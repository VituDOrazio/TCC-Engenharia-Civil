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3.xml" ContentType="application/vnd.openxmlformats-officedocument.spreadsheetml.table+xml"/>
  <Override PartName="/xl/drawings/drawing2.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4.xml" ContentType="application/vnd.openxmlformats-officedocument.drawing+xml"/>
  <Override PartName="/xl/tables/table24.xml" ContentType="application/vnd.openxmlformats-officedocument.spreadsheetml.table+xml"/>
  <Override PartName="/xl/drawings/drawing5.xml" ContentType="application/vnd.openxmlformats-officedocument.drawing+xml"/>
  <Override PartName="/xl/tables/table25.xml" ContentType="application/vnd.openxmlformats-officedocument.spreadsheetml.table+xml"/>
  <Override PartName="/xl/drawings/drawing6.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bortv\Desktop\MEGAsync\Facul\5º Ano\TCC\Planilha\"/>
    </mc:Choice>
  </mc:AlternateContent>
  <xr:revisionPtr revIDLastSave="0" documentId="13_ncr:1_{1303D446-1F47-4D78-8C84-6BB5EF912D10}" xr6:coauthVersionLast="47" xr6:coauthVersionMax="47" xr10:uidLastSave="{00000000-0000-0000-0000-000000000000}"/>
  <bookViews>
    <workbookView xWindow="-120" yWindow="-120" windowWidth="20730" windowHeight="11160" firstSheet="4" activeTab="12" xr2:uid="{A9A9538C-3436-4D55-8199-267D805EBC7F}"/>
  </bookViews>
  <sheets>
    <sheet name="DADOS CAP. CARGA" sheetId="4" state="hidden" r:id="rId1"/>
    <sheet name="DADOS ESTACAS" sheetId="8" state="hidden" r:id="rId2"/>
    <sheet name="DADOS ARMADURA" sheetId="11" state="hidden" r:id="rId3"/>
    <sheet name="DADOS ORÇAMENTO" sheetId="10" state="hidden" r:id="rId4"/>
    <sheet name="SPT" sheetId="1" r:id="rId5"/>
    <sheet name="PILARES" sheetId="2" r:id="rId6"/>
    <sheet name="ESC. SEM FLUIDO" sheetId="5" state="hidden" r:id="rId7"/>
    <sheet name="ESC. COM FLUIDO" sheetId="12" state="hidden" r:id="rId8"/>
    <sheet name="HÉLICE CONTÍNUA" sheetId="13" state="hidden" r:id="rId9"/>
    <sheet name="TEC. VIÁVEL ESF" sheetId="9" state="hidden" r:id="rId10"/>
    <sheet name="TEC. VIÁVEL ECF" sheetId="14" state="hidden" r:id="rId11"/>
    <sheet name="TEC. VIÁVEL HC" sheetId="15" state="hidden" r:id="rId12"/>
    <sheet name="CENÁRIOS" sheetId="16" r:id="rId13"/>
    <sheet name="ORC CEN1" sheetId="17" r:id="rId14"/>
    <sheet name="ORC CEN2" sheetId="18" r:id="rId15"/>
    <sheet name="ORC CEN3" sheetId="19" r:id="rId16"/>
    <sheet name="RESUMO" sheetId="20" state="hidden" r:id="rId17"/>
    <sheet name="DASHBOARD" sheetId="21" r:id="rId18"/>
  </sheets>
  <functionGroups builtInGroupCount="19"/>
  <definedNames>
    <definedName name="Concreto">classeConcreto[CLASSE CONCRETO]</definedName>
    <definedName name="Opcoes">classeConcreto[OPÇÕES]</definedName>
    <definedName name="Solos">K_alpha_C[Solo]</definedName>
    <definedName name="Tipo_da_estaca">'DADOS ESTACAS'!$I$3:$I$5</definedName>
  </definedNames>
  <calcPr calcId="181029" calcMode="manual" iterate="1" iterateCount="2"/>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12" i="13" l="1"/>
  <c r="L312" i="13"/>
  <c r="AF312" i="13"/>
  <c r="BB312" i="13"/>
  <c r="BD312" i="13"/>
  <c r="K311" i="13"/>
  <c r="L311" i="13"/>
  <c r="AF311" i="13"/>
  <c r="BB311" i="13"/>
  <c r="BD311" i="13"/>
  <c r="K310" i="13"/>
  <c r="L310" i="13"/>
  <c r="AF310" i="13"/>
  <c r="BB310" i="13"/>
  <c r="BD310" i="13"/>
  <c r="K309" i="13"/>
  <c r="L309" i="13"/>
  <c r="AF309" i="13"/>
  <c r="BB309" i="13"/>
  <c r="BD309" i="13"/>
  <c r="K308" i="13"/>
  <c r="L308" i="13"/>
  <c r="AF308" i="13"/>
  <c r="BB308" i="13"/>
  <c r="BD308" i="13"/>
  <c r="K307" i="13"/>
  <c r="L307" i="13"/>
  <c r="AF307" i="13"/>
  <c r="BB307" i="13"/>
  <c r="BD307" i="13"/>
  <c r="K306" i="13"/>
  <c r="L306" i="13"/>
  <c r="AF306" i="13"/>
  <c r="BB306" i="13"/>
  <c r="BD306" i="13"/>
  <c r="K305" i="13"/>
  <c r="L305" i="13"/>
  <c r="AF305" i="13"/>
  <c r="BB305" i="13"/>
  <c r="BD305" i="13"/>
  <c r="K304" i="13"/>
  <c r="L304" i="13"/>
  <c r="AF304" i="13"/>
  <c r="BB304" i="13"/>
  <c r="BD304" i="13"/>
  <c r="K303" i="13"/>
  <c r="L303" i="13"/>
  <c r="AF303" i="13"/>
  <c r="BB303" i="13"/>
  <c r="BD303" i="13"/>
  <c r="K302" i="13"/>
  <c r="L302" i="13"/>
  <c r="AF302" i="13"/>
  <c r="BB302" i="13"/>
  <c r="BD302" i="13"/>
  <c r="K301" i="13"/>
  <c r="L301" i="13"/>
  <c r="AF301" i="13"/>
  <c r="BB301" i="13"/>
  <c r="BD301" i="13"/>
  <c r="K300" i="13"/>
  <c r="L300" i="13"/>
  <c r="AF300" i="13"/>
  <c r="BB300" i="13"/>
  <c r="BD300" i="13"/>
  <c r="K299" i="13"/>
  <c r="L299" i="13"/>
  <c r="AF299" i="13"/>
  <c r="BB299" i="13"/>
  <c r="BD299" i="13"/>
  <c r="K298" i="13"/>
  <c r="L298" i="13"/>
  <c r="AF298" i="13"/>
  <c r="BB298" i="13"/>
  <c r="BD298" i="13"/>
  <c r="K297" i="13"/>
  <c r="L297" i="13"/>
  <c r="AF297" i="13"/>
  <c r="BB297" i="13"/>
  <c r="BD297" i="13"/>
  <c r="K296" i="13"/>
  <c r="L296" i="13"/>
  <c r="AF296" i="13"/>
  <c r="BB296" i="13"/>
  <c r="BD296" i="13"/>
  <c r="K295" i="13"/>
  <c r="L295" i="13"/>
  <c r="AF295" i="13"/>
  <c r="BB295" i="13"/>
  <c r="BD295" i="13"/>
  <c r="K294" i="13"/>
  <c r="L294" i="13"/>
  <c r="AF294" i="13"/>
  <c r="BB294" i="13"/>
  <c r="BD294" i="13"/>
  <c r="K293" i="13"/>
  <c r="L293" i="13"/>
  <c r="AF293" i="13"/>
  <c r="BB293" i="13"/>
  <c r="BD293" i="13"/>
  <c r="K292" i="13"/>
  <c r="L292" i="13"/>
  <c r="AF292" i="13"/>
  <c r="BB292" i="13"/>
  <c r="BD292" i="13"/>
  <c r="K291" i="13"/>
  <c r="L291" i="13"/>
  <c r="AF291" i="13"/>
  <c r="BB291" i="13"/>
  <c r="BD291" i="13"/>
  <c r="K284" i="12"/>
  <c r="L284" i="12"/>
  <c r="AF284" i="12"/>
  <c r="BB284" i="12"/>
  <c r="BD284" i="12"/>
  <c r="K283" i="12"/>
  <c r="L283" i="12"/>
  <c r="AF283" i="12"/>
  <c r="BB283" i="12"/>
  <c r="BD283" i="12"/>
  <c r="K282" i="12"/>
  <c r="L282" i="12"/>
  <c r="AF282" i="12"/>
  <c r="BB282" i="12"/>
  <c r="BD282" i="12"/>
  <c r="K281" i="12"/>
  <c r="L281" i="12"/>
  <c r="AF281" i="12"/>
  <c r="BB281" i="12"/>
  <c r="BD281" i="12"/>
  <c r="K280" i="12"/>
  <c r="L280" i="12"/>
  <c r="AF280" i="12"/>
  <c r="BB280" i="12"/>
  <c r="BD280" i="12"/>
  <c r="K279" i="12"/>
  <c r="L279" i="12"/>
  <c r="AF279" i="12"/>
  <c r="BB279" i="12"/>
  <c r="BD279" i="12"/>
  <c r="K278" i="12"/>
  <c r="L278" i="12"/>
  <c r="AF278" i="12"/>
  <c r="BB278" i="12"/>
  <c r="BD278" i="12"/>
  <c r="K277" i="12"/>
  <c r="L277" i="12"/>
  <c r="AF277" i="12"/>
  <c r="BB277" i="12"/>
  <c r="BD277" i="12"/>
  <c r="K276" i="12"/>
  <c r="L276" i="12"/>
  <c r="AF276" i="12"/>
  <c r="BB276" i="12"/>
  <c r="BD276" i="12"/>
  <c r="K275" i="12"/>
  <c r="L275" i="12"/>
  <c r="AF275" i="12"/>
  <c r="BB275" i="12"/>
  <c r="BD275" i="12"/>
  <c r="K274" i="12"/>
  <c r="L274" i="12"/>
  <c r="AF274" i="12"/>
  <c r="BB274" i="12"/>
  <c r="BD274" i="12"/>
  <c r="K273" i="12"/>
  <c r="L273" i="12"/>
  <c r="AF273" i="12"/>
  <c r="BB273" i="12"/>
  <c r="BD273" i="12"/>
  <c r="K272" i="12"/>
  <c r="L272" i="12"/>
  <c r="AF272" i="12"/>
  <c r="BB272" i="12"/>
  <c r="BD272" i="12"/>
  <c r="K271" i="12"/>
  <c r="L271" i="12"/>
  <c r="AF271" i="12"/>
  <c r="BB271" i="12"/>
  <c r="BD271" i="12"/>
  <c r="K270" i="12"/>
  <c r="L270" i="12"/>
  <c r="AF270" i="12"/>
  <c r="BB270" i="12"/>
  <c r="BD270" i="12"/>
  <c r="K269" i="12"/>
  <c r="L269" i="12"/>
  <c r="AF269" i="12"/>
  <c r="BB269" i="12"/>
  <c r="BD269" i="12"/>
  <c r="K268" i="12"/>
  <c r="L268" i="12"/>
  <c r="AF268" i="12"/>
  <c r="BB268" i="12"/>
  <c r="BD268" i="12"/>
  <c r="K267" i="12"/>
  <c r="L267" i="12"/>
  <c r="AF267" i="12"/>
  <c r="BB267" i="12"/>
  <c r="BD267" i="12"/>
  <c r="K266" i="12"/>
  <c r="L266" i="12"/>
  <c r="AF266" i="12"/>
  <c r="BB266" i="12"/>
  <c r="BD266" i="12"/>
  <c r="K265" i="12"/>
  <c r="L265" i="12"/>
  <c r="AF265" i="12"/>
  <c r="BB265" i="12"/>
  <c r="BD265" i="12"/>
  <c r="K172" i="5"/>
  <c r="L172" i="5"/>
  <c r="AF172" i="5"/>
  <c r="BB172" i="5"/>
  <c r="BD172" i="5"/>
  <c r="K171" i="5"/>
  <c r="L171" i="5"/>
  <c r="AF171" i="5"/>
  <c r="BB171" i="5"/>
  <c r="BD171" i="5"/>
  <c r="K170" i="5"/>
  <c r="L170" i="5"/>
  <c r="AF170" i="5"/>
  <c r="BB170" i="5"/>
  <c r="BD170" i="5"/>
  <c r="K169" i="5"/>
  <c r="L169" i="5"/>
  <c r="AF169" i="5"/>
  <c r="BB169" i="5"/>
  <c r="BD169" i="5"/>
  <c r="K168" i="5"/>
  <c r="L168" i="5"/>
  <c r="AF168" i="5"/>
  <c r="BB168" i="5"/>
  <c r="BD168" i="5"/>
  <c r="K167" i="5"/>
  <c r="L167" i="5"/>
  <c r="AF167" i="5"/>
  <c r="BB167" i="5"/>
  <c r="BD167" i="5"/>
  <c r="K166" i="5"/>
  <c r="L166" i="5"/>
  <c r="AF166" i="5"/>
  <c r="BB166" i="5"/>
  <c r="BD166" i="5"/>
  <c r="K165" i="5"/>
  <c r="L165" i="5"/>
  <c r="AF165" i="5"/>
  <c r="BB165" i="5"/>
  <c r="BD165" i="5"/>
  <c r="K164" i="5"/>
  <c r="L164" i="5"/>
  <c r="AF164" i="5"/>
  <c r="BB164" i="5"/>
  <c r="BD164" i="5"/>
  <c r="K163" i="5"/>
  <c r="L163" i="5"/>
  <c r="AF163" i="5"/>
  <c r="BB163" i="5"/>
  <c r="BD163" i="5"/>
  <c r="K162" i="5"/>
  <c r="L162" i="5"/>
  <c r="AF162" i="5"/>
  <c r="BB162" i="5"/>
  <c r="BD162" i="5"/>
  <c r="K161" i="5"/>
  <c r="L161" i="5"/>
  <c r="AF161" i="5"/>
  <c r="BB161" i="5"/>
  <c r="BD161" i="5"/>
  <c r="K290" i="13"/>
  <c r="L290" i="13"/>
  <c r="AF290" i="13"/>
  <c r="BB290" i="13"/>
  <c r="BD290" i="13"/>
  <c r="K289" i="13"/>
  <c r="L289" i="13"/>
  <c r="AF289" i="13"/>
  <c r="BB289" i="13"/>
  <c r="BD289" i="13"/>
  <c r="K288" i="13"/>
  <c r="L288" i="13"/>
  <c r="AF288" i="13"/>
  <c r="BB288" i="13"/>
  <c r="BD288" i="13"/>
  <c r="K287" i="13"/>
  <c r="L287" i="13"/>
  <c r="AF287" i="13"/>
  <c r="BB287" i="13"/>
  <c r="BD287" i="13"/>
  <c r="K286" i="13"/>
  <c r="L286" i="13"/>
  <c r="AF286" i="13"/>
  <c r="BB286" i="13"/>
  <c r="BD286" i="13"/>
  <c r="K285" i="13"/>
  <c r="L285" i="13"/>
  <c r="AF285" i="13"/>
  <c r="BB285" i="13"/>
  <c r="BD285" i="13"/>
  <c r="K284" i="13"/>
  <c r="L284" i="13"/>
  <c r="AF284" i="13"/>
  <c r="BB284" i="13"/>
  <c r="BD284" i="13"/>
  <c r="K283" i="13"/>
  <c r="L283" i="13"/>
  <c r="AF283" i="13"/>
  <c r="BB283" i="13"/>
  <c r="BD283" i="13"/>
  <c r="K282" i="13"/>
  <c r="L282" i="13"/>
  <c r="AF282" i="13"/>
  <c r="BB282" i="13"/>
  <c r="BD282" i="13"/>
  <c r="K281" i="13"/>
  <c r="L281" i="13"/>
  <c r="AF281" i="13"/>
  <c r="BB281" i="13"/>
  <c r="BD281" i="13"/>
  <c r="K280" i="13"/>
  <c r="L280" i="13"/>
  <c r="AF280" i="13"/>
  <c r="BB280" i="13"/>
  <c r="BD280" i="13"/>
  <c r="K279" i="13"/>
  <c r="L279" i="13"/>
  <c r="AF279" i="13"/>
  <c r="BB279" i="13"/>
  <c r="BD279" i="13"/>
  <c r="K278" i="13"/>
  <c r="L278" i="13"/>
  <c r="AF278" i="13"/>
  <c r="BB278" i="13"/>
  <c r="BD278" i="13"/>
  <c r="K277" i="13"/>
  <c r="L277" i="13"/>
  <c r="AF277" i="13"/>
  <c r="BB277" i="13"/>
  <c r="BD277" i="13"/>
  <c r="K276" i="13"/>
  <c r="L276" i="13"/>
  <c r="AF276" i="13"/>
  <c r="BB276" i="13"/>
  <c r="BD276" i="13"/>
  <c r="K275" i="13"/>
  <c r="L275" i="13"/>
  <c r="AF275" i="13"/>
  <c r="BB275" i="13"/>
  <c r="BD275" i="13"/>
  <c r="K274" i="13"/>
  <c r="L274" i="13"/>
  <c r="AF274" i="13"/>
  <c r="BB274" i="13"/>
  <c r="BD274" i="13"/>
  <c r="K273" i="13"/>
  <c r="L273" i="13"/>
  <c r="AF273" i="13"/>
  <c r="BB273" i="13"/>
  <c r="BD273" i="13"/>
  <c r="K272" i="13"/>
  <c r="L272" i="13"/>
  <c r="AF272" i="13"/>
  <c r="BB272" i="13"/>
  <c r="BD272" i="13"/>
  <c r="K271" i="13"/>
  <c r="L271" i="13"/>
  <c r="AF271" i="13"/>
  <c r="BB271" i="13"/>
  <c r="BD271" i="13"/>
  <c r="K270" i="13"/>
  <c r="L270" i="13"/>
  <c r="AF270" i="13"/>
  <c r="BB270" i="13"/>
  <c r="BD270" i="13"/>
  <c r="K269" i="13"/>
  <c r="L269" i="13"/>
  <c r="AF269" i="13"/>
  <c r="BB269" i="13"/>
  <c r="BD269" i="13"/>
  <c r="K264" i="12"/>
  <c r="L264" i="12"/>
  <c r="AF264" i="12"/>
  <c r="BB264" i="12"/>
  <c r="BD264" i="12"/>
  <c r="K263" i="12"/>
  <c r="L263" i="12"/>
  <c r="AF263" i="12"/>
  <c r="BB263" i="12"/>
  <c r="BD263" i="12"/>
  <c r="K262" i="12"/>
  <c r="L262" i="12"/>
  <c r="AF262" i="12"/>
  <c r="BB262" i="12"/>
  <c r="BD262" i="12"/>
  <c r="K261" i="12"/>
  <c r="L261" i="12"/>
  <c r="AF261" i="12"/>
  <c r="BB261" i="12"/>
  <c r="BD261" i="12"/>
  <c r="K260" i="12"/>
  <c r="L260" i="12"/>
  <c r="AF260" i="12"/>
  <c r="BB260" i="12"/>
  <c r="BD260" i="12"/>
  <c r="K259" i="12"/>
  <c r="L259" i="12"/>
  <c r="AF259" i="12"/>
  <c r="BB259" i="12"/>
  <c r="BD259" i="12"/>
  <c r="K258" i="12"/>
  <c r="L258" i="12"/>
  <c r="AF258" i="12"/>
  <c r="BB258" i="12"/>
  <c r="BD258" i="12"/>
  <c r="K257" i="12"/>
  <c r="L257" i="12"/>
  <c r="AF257" i="12"/>
  <c r="BB257" i="12"/>
  <c r="BD257" i="12"/>
  <c r="K256" i="12"/>
  <c r="L256" i="12"/>
  <c r="AF256" i="12"/>
  <c r="BB256" i="12"/>
  <c r="BD256" i="12"/>
  <c r="K255" i="12"/>
  <c r="L255" i="12"/>
  <c r="AF255" i="12"/>
  <c r="BB255" i="12"/>
  <c r="BD255" i="12"/>
  <c r="K254" i="12"/>
  <c r="L254" i="12"/>
  <c r="AF254" i="12"/>
  <c r="BB254" i="12"/>
  <c r="BD254" i="12"/>
  <c r="K253" i="12"/>
  <c r="L253" i="12"/>
  <c r="AF253" i="12"/>
  <c r="BB253" i="12"/>
  <c r="BD253" i="12"/>
  <c r="K252" i="12"/>
  <c r="L252" i="12"/>
  <c r="AF252" i="12"/>
  <c r="BB252" i="12"/>
  <c r="BD252" i="12"/>
  <c r="K251" i="12"/>
  <c r="L251" i="12"/>
  <c r="AF251" i="12"/>
  <c r="BB251" i="12"/>
  <c r="BD251" i="12"/>
  <c r="K250" i="12"/>
  <c r="L250" i="12"/>
  <c r="AF250" i="12"/>
  <c r="BB250" i="12"/>
  <c r="BD250" i="12"/>
  <c r="K249" i="12"/>
  <c r="L249" i="12"/>
  <c r="AF249" i="12"/>
  <c r="BB249" i="12"/>
  <c r="BD249" i="12"/>
  <c r="K248" i="12"/>
  <c r="L248" i="12"/>
  <c r="AF248" i="12"/>
  <c r="BB248" i="12"/>
  <c r="BD248" i="12"/>
  <c r="K247" i="12"/>
  <c r="L247" i="12"/>
  <c r="AF247" i="12"/>
  <c r="BB247" i="12"/>
  <c r="BD247" i="12"/>
  <c r="K246" i="12"/>
  <c r="L246" i="12"/>
  <c r="AF246" i="12"/>
  <c r="BB246" i="12"/>
  <c r="BD246" i="12"/>
  <c r="K245" i="12"/>
  <c r="L245" i="12"/>
  <c r="AF245" i="12"/>
  <c r="BB245" i="12"/>
  <c r="BD245" i="12"/>
  <c r="K160" i="5"/>
  <c r="L160" i="5"/>
  <c r="AF160" i="5"/>
  <c r="BB160" i="5"/>
  <c r="BD160" i="5"/>
  <c r="K159" i="5"/>
  <c r="L159" i="5"/>
  <c r="AF159" i="5"/>
  <c r="BB159" i="5"/>
  <c r="BD159" i="5"/>
  <c r="K158" i="5"/>
  <c r="L158" i="5"/>
  <c r="AF158" i="5"/>
  <c r="BB158" i="5"/>
  <c r="BD158" i="5"/>
  <c r="K157" i="5"/>
  <c r="L157" i="5"/>
  <c r="AF157" i="5"/>
  <c r="BB157" i="5"/>
  <c r="BD157" i="5"/>
  <c r="K156" i="5"/>
  <c r="L156" i="5"/>
  <c r="AF156" i="5"/>
  <c r="BB156" i="5"/>
  <c r="BD156" i="5"/>
  <c r="K155" i="5"/>
  <c r="L155" i="5"/>
  <c r="AF155" i="5"/>
  <c r="BB155" i="5"/>
  <c r="BD155" i="5"/>
  <c r="K154" i="5"/>
  <c r="L154" i="5"/>
  <c r="AF154" i="5"/>
  <c r="BB154" i="5"/>
  <c r="BD154" i="5"/>
  <c r="K153" i="5"/>
  <c r="L153" i="5"/>
  <c r="AF153" i="5"/>
  <c r="BB153" i="5"/>
  <c r="BD153" i="5"/>
  <c r="K152" i="5"/>
  <c r="L152" i="5"/>
  <c r="AF152" i="5"/>
  <c r="BB152" i="5"/>
  <c r="BD152" i="5"/>
  <c r="K151" i="5"/>
  <c r="L151" i="5"/>
  <c r="AF151" i="5"/>
  <c r="BB151" i="5"/>
  <c r="BD151" i="5"/>
  <c r="K150" i="5"/>
  <c r="L150" i="5"/>
  <c r="AF150" i="5"/>
  <c r="BB150" i="5"/>
  <c r="BD150" i="5"/>
  <c r="K149" i="5"/>
  <c r="L149" i="5"/>
  <c r="AF149" i="5"/>
  <c r="BB149" i="5"/>
  <c r="BD149" i="5"/>
  <c r="K268" i="13"/>
  <c r="L268" i="13"/>
  <c r="AF268" i="13"/>
  <c r="BB268" i="13"/>
  <c r="BD268" i="13"/>
  <c r="K267" i="13"/>
  <c r="L267" i="13"/>
  <c r="AF267" i="13"/>
  <c r="BB267" i="13"/>
  <c r="BD267" i="13"/>
  <c r="K266" i="13"/>
  <c r="L266" i="13"/>
  <c r="AF266" i="13"/>
  <c r="BB266" i="13"/>
  <c r="BD266" i="13"/>
  <c r="K265" i="13"/>
  <c r="L265" i="13"/>
  <c r="AF265" i="13"/>
  <c r="BB265" i="13"/>
  <c r="BD265" i="13"/>
  <c r="K264" i="13"/>
  <c r="L264" i="13"/>
  <c r="AF264" i="13"/>
  <c r="BB264" i="13"/>
  <c r="BD264" i="13"/>
  <c r="K263" i="13"/>
  <c r="L263" i="13"/>
  <c r="AF263" i="13"/>
  <c r="BB263" i="13"/>
  <c r="BD263" i="13"/>
  <c r="K262" i="13"/>
  <c r="L262" i="13"/>
  <c r="AF262" i="13"/>
  <c r="BB262" i="13"/>
  <c r="BD262" i="13"/>
  <c r="K261" i="13"/>
  <c r="L261" i="13"/>
  <c r="AF261" i="13"/>
  <c r="BB261" i="13"/>
  <c r="BD261" i="13"/>
  <c r="K260" i="13"/>
  <c r="L260" i="13"/>
  <c r="AF260" i="13"/>
  <c r="BB260" i="13"/>
  <c r="BD260" i="13"/>
  <c r="K259" i="13"/>
  <c r="L259" i="13"/>
  <c r="AF259" i="13"/>
  <c r="BB259" i="13"/>
  <c r="BD259" i="13"/>
  <c r="K258" i="13"/>
  <c r="L258" i="13"/>
  <c r="AF258" i="13"/>
  <c r="BB258" i="13"/>
  <c r="BD258" i="13"/>
  <c r="K257" i="13"/>
  <c r="L257" i="13"/>
  <c r="AF257" i="13"/>
  <c r="BB257" i="13"/>
  <c r="BD257" i="13"/>
  <c r="K256" i="13"/>
  <c r="L256" i="13"/>
  <c r="AF256" i="13"/>
  <c r="BB256" i="13"/>
  <c r="BD256" i="13"/>
  <c r="K255" i="13"/>
  <c r="L255" i="13"/>
  <c r="AF255" i="13"/>
  <c r="BB255" i="13"/>
  <c r="BD255" i="13"/>
  <c r="K254" i="13"/>
  <c r="L254" i="13"/>
  <c r="AF254" i="13"/>
  <c r="BB254" i="13"/>
  <c r="BD254" i="13"/>
  <c r="K253" i="13"/>
  <c r="L253" i="13"/>
  <c r="AF253" i="13"/>
  <c r="BB253" i="13"/>
  <c r="BD253" i="13"/>
  <c r="K252" i="13"/>
  <c r="L252" i="13"/>
  <c r="AF252" i="13"/>
  <c r="BB252" i="13"/>
  <c r="BD252" i="13"/>
  <c r="K251" i="13"/>
  <c r="L251" i="13"/>
  <c r="AF251" i="13"/>
  <c r="BB251" i="13"/>
  <c r="BD251" i="13"/>
  <c r="K250" i="13"/>
  <c r="L250" i="13"/>
  <c r="AF250" i="13"/>
  <c r="BB250" i="13"/>
  <c r="BD250" i="13"/>
  <c r="K249" i="13"/>
  <c r="L249" i="13"/>
  <c r="AF249" i="13"/>
  <c r="BB249" i="13"/>
  <c r="BD249" i="13"/>
  <c r="K248" i="13"/>
  <c r="L248" i="13"/>
  <c r="AF248" i="13"/>
  <c r="BB248" i="13"/>
  <c r="BD248" i="13"/>
  <c r="K247" i="13"/>
  <c r="L247" i="13"/>
  <c r="AF247" i="13"/>
  <c r="BB247" i="13"/>
  <c r="BD247" i="13"/>
  <c r="K244" i="12"/>
  <c r="L244" i="12"/>
  <c r="AF244" i="12"/>
  <c r="BB244" i="12"/>
  <c r="BD244" i="12"/>
  <c r="K243" i="12"/>
  <c r="L243" i="12"/>
  <c r="AF243" i="12"/>
  <c r="BB243" i="12"/>
  <c r="BD243" i="12"/>
  <c r="K242" i="12"/>
  <c r="L242" i="12"/>
  <c r="AF242" i="12"/>
  <c r="BB242" i="12"/>
  <c r="BD242" i="12"/>
  <c r="K241" i="12"/>
  <c r="L241" i="12"/>
  <c r="AF241" i="12"/>
  <c r="BB241" i="12"/>
  <c r="BD241" i="12"/>
  <c r="K240" i="12"/>
  <c r="L240" i="12"/>
  <c r="AF240" i="12"/>
  <c r="BB240" i="12"/>
  <c r="BD240" i="12"/>
  <c r="K239" i="12"/>
  <c r="L239" i="12"/>
  <c r="AF239" i="12"/>
  <c r="BB239" i="12"/>
  <c r="BD239" i="12"/>
  <c r="K238" i="12"/>
  <c r="L238" i="12"/>
  <c r="AF238" i="12"/>
  <c r="BB238" i="12"/>
  <c r="BD238" i="12"/>
  <c r="K237" i="12"/>
  <c r="L237" i="12"/>
  <c r="AF237" i="12"/>
  <c r="BB237" i="12"/>
  <c r="BD237" i="12"/>
  <c r="K236" i="12"/>
  <c r="L236" i="12"/>
  <c r="AF236" i="12"/>
  <c r="BB236" i="12"/>
  <c r="BD236" i="12"/>
  <c r="K235" i="12"/>
  <c r="L235" i="12"/>
  <c r="AF235" i="12"/>
  <c r="BB235" i="12"/>
  <c r="BD235" i="12"/>
  <c r="K234" i="12"/>
  <c r="L234" i="12"/>
  <c r="AF234" i="12"/>
  <c r="BB234" i="12"/>
  <c r="BD234" i="12"/>
  <c r="K233" i="12"/>
  <c r="L233" i="12"/>
  <c r="AF233" i="12"/>
  <c r="BB233" i="12"/>
  <c r="BD233" i="12"/>
  <c r="K232" i="12"/>
  <c r="L232" i="12"/>
  <c r="AF232" i="12"/>
  <c r="BB232" i="12"/>
  <c r="BD232" i="12"/>
  <c r="K231" i="12"/>
  <c r="L231" i="12"/>
  <c r="AF231" i="12"/>
  <c r="BB231" i="12"/>
  <c r="BD231" i="12"/>
  <c r="K230" i="12"/>
  <c r="L230" i="12"/>
  <c r="AF230" i="12"/>
  <c r="BB230" i="12"/>
  <c r="BD230" i="12"/>
  <c r="K229" i="12"/>
  <c r="L229" i="12"/>
  <c r="AF229" i="12"/>
  <c r="BB229" i="12"/>
  <c r="BD229" i="12"/>
  <c r="K228" i="12"/>
  <c r="L228" i="12"/>
  <c r="AF228" i="12"/>
  <c r="BB228" i="12"/>
  <c r="BD228" i="12"/>
  <c r="K227" i="12"/>
  <c r="L227" i="12"/>
  <c r="AF227" i="12"/>
  <c r="BB227" i="12"/>
  <c r="BD227" i="12"/>
  <c r="K226" i="12"/>
  <c r="L226" i="12"/>
  <c r="AF226" i="12"/>
  <c r="BB226" i="12"/>
  <c r="BD226" i="12"/>
  <c r="K225" i="12"/>
  <c r="L225" i="12"/>
  <c r="AF225" i="12"/>
  <c r="BB225" i="12"/>
  <c r="BD225" i="12"/>
  <c r="K148" i="5"/>
  <c r="L148" i="5"/>
  <c r="AF148" i="5"/>
  <c r="BB148" i="5"/>
  <c r="BD148" i="5"/>
  <c r="K147" i="5"/>
  <c r="L147" i="5"/>
  <c r="AF147" i="5"/>
  <c r="BB147" i="5"/>
  <c r="BD147" i="5"/>
  <c r="K146" i="5"/>
  <c r="L146" i="5"/>
  <c r="AF146" i="5"/>
  <c r="BB146" i="5"/>
  <c r="BD146" i="5"/>
  <c r="K145" i="5"/>
  <c r="L145" i="5"/>
  <c r="AF145" i="5"/>
  <c r="BB145" i="5"/>
  <c r="BD145" i="5"/>
  <c r="K144" i="5"/>
  <c r="L144" i="5"/>
  <c r="AF144" i="5"/>
  <c r="BB144" i="5"/>
  <c r="BD144" i="5"/>
  <c r="K143" i="5"/>
  <c r="L143" i="5"/>
  <c r="AF143" i="5"/>
  <c r="BB143" i="5"/>
  <c r="BD143" i="5"/>
  <c r="K142" i="5"/>
  <c r="L142" i="5"/>
  <c r="AF142" i="5"/>
  <c r="BB142" i="5"/>
  <c r="BD142" i="5"/>
  <c r="K141" i="5"/>
  <c r="L141" i="5"/>
  <c r="AF141" i="5"/>
  <c r="BB141" i="5"/>
  <c r="BD141" i="5"/>
  <c r="K140" i="5"/>
  <c r="L140" i="5"/>
  <c r="AF140" i="5"/>
  <c r="BB140" i="5"/>
  <c r="BD140" i="5"/>
  <c r="K139" i="5"/>
  <c r="L139" i="5"/>
  <c r="AF139" i="5"/>
  <c r="BB139" i="5"/>
  <c r="BD139" i="5"/>
  <c r="K138" i="5"/>
  <c r="L138" i="5"/>
  <c r="AF138" i="5"/>
  <c r="BB138" i="5"/>
  <c r="BD138" i="5"/>
  <c r="K137" i="5"/>
  <c r="L137" i="5"/>
  <c r="AF137" i="5"/>
  <c r="BB137" i="5"/>
  <c r="BD137" i="5"/>
  <c r="G4" i="19"/>
  <c r="Q4" i="19" s="1"/>
  <c r="G21" i="19"/>
  <c r="Q21" i="19" s="1"/>
  <c r="J35" i="19"/>
  <c r="I35" i="19"/>
  <c r="H35" i="19"/>
  <c r="F35" i="19"/>
  <c r="E35" i="19"/>
  <c r="J34" i="19"/>
  <c r="I34" i="19"/>
  <c r="H34" i="19"/>
  <c r="F34" i="19"/>
  <c r="E34" i="19"/>
  <c r="J33" i="19"/>
  <c r="I33" i="19"/>
  <c r="H33" i="19"/>
  <c r="F33" i="19"/>
  <c r="E33" i="19"/>
  <c r="J32" i="19"/>
  <c r="I32" i="19"/>
  <c r="H32" i="19"/>
  <c r="F32" i="19"/>
  <c r="E32" i="19"/>
  <c r="J31" i="19"/>
  <c r="I31" i="19"/>
  <c r="H31" i="19"/>
  <c r="F31" i="19"/>
  <c r="E31" i="19"/>
  <c r="J30" i="19"/>
  <c r="I30" i="19"/>
  <c r="H30" i="19"/>
  <c r="F30" i="19"/>
  <c r="E30" i="19"/>
  <c r="J29" i="19"/>
  <c r="I29" i="19"/>
  <c r="H29" i="19"/>
  <c r="F29" i="19"/>
  <c r="E29" i="19"/>
  <c r="J28" i="19"/>
  <c r="I28" i="19"/>
  <c r="H28" i="19"/>
  <c r="F28" i="19"/>
  <c r="E28" i="19"/>
  <c r="J27" i="19"/>
  <c r="I27" i="19"/>
  <c r="H27" i="19"/>
  <c r="F27" i="19"/>
  <c r="E27" i="19"/>
  <c r="J26" i="19"/>
  <c r="I26" i="19"/>
  <c r="H26" i="19"/>
  <c r="F26" i="19"/>
  <c r="E26" i="19"/>
  <c r="J25" i="19"/>
  <c r="I25" i="19"/>
  <c r="H25" i="19"/>
  <c r="F25" i="19"/>
  <c r="E25" i="19"/>
  <c r="J24" i="19"/>
  <c r="I24" i="19"/>
  <c r="H24" i="19"/>
  <c r="F24" i="19"/>
  <c r="E24" i="19"/>
  <c r="J23" i="19"/>
  <c r="I23" i="19"/>
  <c r="H23" i="19"/>
  <c r="F23" i="19"/>
  <c r="E23" i="19"/>
  <c r="J22" i="19"/>
  <c r="I22" i="19"/>
  <c r="H22" i="19"/>
  <c r="F22" i="19"/>
  <c r="E22" i="19"/>
  <c r="J21" i="19"/>
  <c r="I21" i="19"/>
  <c r="H21" i="19"/>
  <c r="K21" i="19" s="1"/>
  <c r="L21" i="19" s="1"/>
  <c r="F21" i="19"/>
  <c r="E21" i="19"/>
  <c r="C21" i="19" s="1"/>
  <c r="J20" i="19"/>
  <c r="I20" i="19"/>
  <c r="H20" i="19"/>
  <c r="F20" i="19"/>
  <c r="E20" i="19"/>
  <c r="J19" i="19"/>
  <c r="I19" i="19"/>
  <c r="H19" i="19"/>
  <c r="F19" i="19"/>
  <c r="E19" i="19"/>
  <c r="J18" i="19"/>
  <c r="I18" i="19"/>
  <c r="H18" i="19"/>
  <c r="F18" i="19"/>
  <c r="E18" i="19"/>
  <c r="J17" i="19"/>
  <c r="I17" i="19"/>
  <c r="H17" i="19"/>
  <c r="F17" i="19"/>
  <c r="E17" i="19"/>
  <c r="J16" i="19"/>
  <c r="I16" i="19"/>
  <c r="H16" i="19"/>
  <c r="F16" i="19"/>
  <c r="E16" i="19"/>
  <c r="J15" i="19"/>
  <c r="I15" i="19"/>
  <c r="H15" i="19"/>
  <c r="F15" i="19"/>
  <c r="E15" i="19"/>
  <c r="J14" i="19"/>
  <c r="I14" i="19"/>
  <c r="H14" i="19"/>
  <c r="F14" i="19"/>
  <c r="E14" i="19"/>
  <c r="J13" i="19"/>
  <c r="I13" i="19"/>
  <c r="H13" i="19"/>
  <c r="F13" i="19"/>
  <c r="E13" i="19"/>
  <c r="J12" i="19"/>
  <c r="I12" i="19"/>
  <c r="H12" i="19"/>
  <c r="F12" i="19"/>
  <c r="E12" i="19"/>
  <c r="J11" i="19"/>
  <c r="I11" i="19"/>
  <c r="H11" i="19"/>
  <c r="F11" i="19"/>
  <c r="E11" i="19"/>
  <c r="J10" i="19"/>
  <c r="I10" i="19"/>
  <c r="H10" i="19"/>
  <c r="F10" i="19"/>
  <c r="E10" i="19"/>
  <c r="J9" i="19"/>
  <c r="I9" i="19"/>
  <c r="H9" i="19"/>
  <c r="F9" i="19"/>
  <c r="E9" i="19"/>
  <c r="J8" i="19"/>
  <c r="I8" i="19"/>
  <c r="H8" i="19"/>
  <c r="F8" i="19"/>
  <c r="E8" i="19"/>
  <c r="J7" i="19"/>
  <c r="I7" i="19"/>
  <c r="H7" i="19"/>
  <c r="F7" i="19"/>
  <c r="E7" i="19"/>
  <c r="J6" i="19"/>
  <c r="I6" i="19"/>
  <c r="H6" i="19"/>
  <c r="F6" i="19"/>
  <c r="E6" i="19"/>
  <c r="J5" i="19"/>
  <c r="I5" i="19"/>
  <c r="H5" i="19"/>
  <c r="F5" i="19"/>
  <c r="E5" i="19"/>
  <c r="J4" i="19"/>
  <c r="I4" i="19"/>
  <c r="H4" i="19"/>
  <c r="K4" i="19" s="1"/>
  <c r="L4" i="19" s="1"/>
  <c r="F4" i="19"/>
  <c r="E4" i="19"/>
  <c r="C4" i="19" s="1"/>
  <c r="G4" i="18"/>
  <c r="Q4" i="18" s="1"/>
  <c r="G21" i="18"/>
  <c r="Q21" i="18" s="1"/>
  <c r="J35" i="18"/>
  <c r="I35" i="18"/>
  <c r="H35" i="18"/>
  <c r="F35" i="18"/>
  <c r="E35" i="18"/>
  <c r="J34" i="18"/>
  <c r="I34" i="18"/>
  <c r="H34" i="18"/>
  <c r="F34" i="18"/>
  <c r="E34" i="18"/>
  <c r="J33" i="18"/>
  <c r="I33" i="18"/>
  <c r="H33" i="18"/>
  <c r="F33" i="18"/>
  <c r="E33" i="18"/>
  <c r="J32" i="18"/>
  <c r="I32" i="18"/>
  <c r="H32" i="18"/>
  <c r="F32" i="18"/>
  <c r="E32" i="18"/>
  <c r="J31" i="18"/>
  <c r="I31" i="18"/>
  <c r="H31" i="18"/>
  <c r="F31" i="18"/>
  <c r="E31" i="18"/>
  <c r="J30" i="18"/>
  <c r="I30" i="18"/>
  <c r="H30" i="18"/>
  <c r="F30" i="18"/>
  <c r="E30" i="18"/>
  <c r="J29" i="18"/>
  <c r="I29" i="18"/>
  <c r="H29" i="18"/>
  <c r="F29" i="18"/>
  <c r="E29" i="18"/>
  <c r="J28" i="18"/>
  <c r="I28" i="18"/>
  <c r="H28" i="18"/>
  <c r="F28" i="18"/>
  <c r="E28" i="18"/>
  <c r="J27" i="18"/>
  <c r="I27" i="18"/>
  <c r="H27" i="18"/>
  <c r="F27" i="18"/>
  <c r="E27" i="18"/>
  <c r="J26" i="18"/>
  <c r="I26" i="18"/>
  <c r="H26" i="18"/>
  <c r="F26" i="18"/>
  <c r="E26" i="18"/>
  <c r="J25" i="18"/>
  <c r="I25" i="18"/>
  <c r="H25" i="18"/>
  <c r="F25" i="18"/>
  <c r="E25" i="18"/>
  <c r="J24" i="18"/>
  <c r="I24" i="18"/>
  <c r="H24" i="18"/>
  <c r="F24" i="18"/>
  <c r="E24" i="18"/>
  <c r="J23" i="18"/>
  <c r="I23" i="18"/>
  <c r="H23" i="18"/>
  <c r="F23" i="18"/>
  <c r="E23" i="18"/>
  <c r="J22" i="18"/>
  <c r="I22" i="18"/>
  <c r="H22" i="18"/>
  <c r="F22" i="18"/>
  <c r="E22" i="18"/>
  <c r="J21" i="18"/>
  <c r="I21" i="18"/>
  <c r="H21" i="18"/>
  <c r="K21" i="18" s="1"/>
  <c r="L21" i="18" s="1"/>
  <c r="F21" i="18"/>
  <c r="E21" i="18"/>
  <c r="C21" i="18" s="1"/>
  <c r="J20" i="18"/>
  <c r="I20" i="18"/>
  <c r="H20" i="18"/>
  <c r="F20" i="18"/>
  <c r="E20" i="18"/>
  <c r="J19" i="18"/>
  <c r="I19" i="18"/>
  <c r="H19" i="18"/>
  <c r="F19" i="18"/>
  <c r="E19" i="18"/>
  <c r="J18" i="18"/>
  <c r="I18" i="18"/>
  <c r="H18" i="18"/>
  <c r="F18" i="18"/>
  <c r="E18" i="18"/>
  <c r="J17" i="18"/>
  <c r="I17" i="18"/>
  <c r="H17" i="18"/>
  <c r="F17" i="18"/>
  <c r="E17" i="18"/>
  <c r="J16" i="18"/>
  <c r="I16" i="18"/>
  <c r="H16" i="18"/>
  <c r="F16" i="18"/>
  <c r="E16" i="18"/>
  <c r="J15" i="18"/>
  <c r="I15" i="18"/>
  <c r="H15" i="18"/>
  <c r="F15" i="18"/>
  <c r="E15" i="18"/>
  <c r="J14" i="18"/>
  <c r="I14" i="18"/>
  <c r="H14" i="18"/>
  <c r="F14" i="18"/>
  <c r="E14" i="18"/>
  <c r="J13" i="18"/>
  <c r="I13" i="18"/>
  <c r="H13" i="18"/>
  <c r="F13" i="18"/>
  <c r="E13" i="18"/>
  <c r="J12" i="18"/>
  <c r="I12" i="18"/>
  <c r="H12" i="18"/>
  <c r="F12" i="18"/>
  <c r="E12" i="18"/>
  <c r="J11" i="18"/>
  <c r="I11" i="18"/>
  <c r="H11" i="18"/>
  <c r="F11" i="18"/>
  <c r="E11" i="18"/>
  <c r="J10" i="18"/>
  <c r="I10" i="18"/>
  <c r="H10" i="18"/>
  <c r="F10" i="18"/>
  <c r="E10" i="18"/>
  <c r="J9" i="18"/>
  <c r="I9" i="18"/>
  <c r="H9" i="18"/>
  <c r="F9" i="18"/>
  <c r="E9" i="18"/>
  <c r="J8" i="18"/>
  <c r="I8" i="18"/>
  <c r="H8" i="18"/>
  <c r="F8" i="18"/>
  <c r="E8" i="18"/>
  <c r="J7" i="18"/>
  <c r="I7" i="18"/>
  <c r="H7" i="18"/>
  <c r="F7" i="18"/>
  <c r="E7" i="18"/>
  <c r="J6" i="18"/>
  <c r="I6" i="18"/>
  <c r="H6" i="18"/>
  <c r="F6" i="18"/>
  <c r="E6" i="18"/>
  <c r="J5" i="18"/>
  <c r="I5" i="18"/>
  <c r="H5" i="18"/>
  <c r="F5" i="18"/>
  <c r="E5" i="18"/>
  <c r="J4" i="18"/>
  <c r="I4" i="18"/>
  <c r="H4" i="18"/>
  <c r="K4" i="18" s="1"/>
  <c r="L4" i="18" s="1"/>
  <c r="F4" i="18"/>
  <c r="E4" i="18"/>
  <c r="C4" i="18" s="1"/>
  <c r="G4" i="17"/>
  <c r="Q4" i="17" s="1"/>
  <c r="G21" i="17"/>
  <c r="Q21" i="17" s="1"/>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C4" i="17"/>
  <c r="C21" i="17"/>
  <c r="F8" i="17"/>
  <c r="H8" i="17"/>
  <c r="I8" i="17"/>
  <c r="J8" i="17"/>
  <c r="F31" i="17"/>
  <c r="F32" i="17"/>
  <c r="F33" i="17"/>
  <c r="F34" i="17"/>
  <c r="F35" i="17"/>
  <c r="H31" i="17"/>
  <c r="H32" i="17"/>
  <c r="H33" i="17"/>
  <c r="H34" i="17"/>
  <c r="H35" i="17"/>
  <c r="I31" i="17"/>
  <c r="I32" i="17"/>
  <c r="I33" i="17"/>
  <c r="I34" i="17"/>
  <c r="I35" i="17"/>
  <c r="J31" i="17"/>
  <c r="J32" i="17"/>
  <c r="J33" i="17"/>
  <c r="J34" i="17"/>
  <c r="J35" i="17"/>
  <c r="F5" i="17"/>
  <c r="F6" i="17"/>
  <c r="F7" i="17"/>
  <c r="F9" i="17"/>
  <c r="F10" i="17"/>
  <c r="F11" i="17"/>
  <c r="F12" i="17"/>
  <c r="F13" i="17"/>
  <c r="F14" i="17"/>
  <c r="F15" i="17"/>
  <c r="F16" i="17"/>
  <c r="F17" i="17"/>
  <c r="F18" i="17"/>
  <c r="F19" i="17"/>
  <c r="F20" i="17"/>
  <c r="F21" i="17"/>
  <c r="F22" i="17"/>
  <c r="F23" i="17"/>
  <c r="F24" i="17"/>
  <c r="F25" i="17"/>
  <c r="F26" i="17"/>
  <c r="F27" i="17"/>
  <c r="F28" i="17"/>
  <c r="F29" i="17"/>
  <c r="F30" i="17"/>
  <c r="F4" i="17"/>
  <c r="H5" i="17"/>
  <c r="I5" i="17"/>
  <c r="J5" i="17"/>
  <c r="H6" i="17"/>
  <c r="I6" i="17"/>
  <c r="J6" i="17"/>
  <c r="H7" i="17"/>
  <c r="I7" i="17"/>
  <c r="J7" i="17"/>
  <c r="H9" i="17"/>
  <c r="I9" i="17"/>
  <c r="J9" i="17"/>
  <c r="H10" i="17"/>
  <c r="I10" i="17"/>
  <c r="J10" i="17"/>
  <c r="H11" i="17"/>
  <c r="I11" i="17"/>
  <c r="J11" i="17"/>
  <c r="H12" i="17"/>
  <c r="I12" i="17"/>
  <c r="J12" i="17"/>
  <c r="H13" i="17"/>
  <c r="I13" i="17"/>
  <c r="J13" i="17"/>
  <c r="H14" i="17"/>
  <c r="I14" i="17"/>
  <c r="J14" i="17"/>
  <c r="H15" i="17"/>
  <c r="I15" i="17"/>
  <c r="J15" i="17"/>
  <c r="H16" i="17"/>
  <c r="I16" i="17"/>
  <c r="J16" i="17"/>
  <c r="H17" i="17"/>
  <c r="I17" i="17"/>
  <c r="J17" i="17"/>
  <c r="H18" i="17"/>
  <c r="I18" i="17"/>
  <c r="J18" i="17"/>
  <c r="H19" i="17"/>
  <c r="I19" i="17"/>
  <c r="J19" i="17"/>
  <c r="H20" i="17"/>
  <c r="I20" i="17"/>
  <c r="J20" i="17"/>
  <c r="H21" i="17"/>
  <c r="I21" i="17"/>
  <c r="J21" i="17"/>
  <c r="H22" i="17"/>
  <c r="I22" i="17"/>
  <c r="J22" i="17"/>
  <c r="H23" i="17"/>
  <c r="I23" i="17"/>
  <c r="J23" i="17"/>
  <c r="H24" i="17"/>
  <c r="I24" i="17"/>
  <c r="J24" i="17"/>
  <c r="H25" i="17"/>
  <c r="I25" i="17"/>
  <c r="J25" i="17"/>
  <c r="H26" i="17"/>
  <c r="I26" i="17"/>
  <c r="J26" i="17"/>
  <c r="H27" i="17"/>
  <c r="I27" i="17"/>
  <c r="J27" i="17"/>
  <c r="H28" i="17"/>
  <c r="I28" i="17"/>
  <c r="J28" i="17"/>
  <c r="H29" i="17"/>
  <c r="I29" i="17"/>
  <c r="J29" i="17"/>
  <c r="H30" i="17"/>
  <c r="I30" i="17"/>
  <c r="J30" i="17"/>
  <c r="J4" i="17"/>
  <c r="I4" i="17"/>
  <c r="H4" i="17"/>
  <c r="K4" i="17" s="1"/>
  <c r="L4" i="17" s="1"/>
  <c r="D10" i="16"/>
  <c r="D11" i="16" s="1"/>
  <c r="C5" i="15"/>
  <c r="C6" i="14"/>
  <c r="C5" i="14"/>
  <c r="C5" i="9"/>
  <c r="B5" i="9" s="1"/>
  <c r="BD246" i="13"/>
  <c r="BB246" i="13"/>
  <c r="AF246" i="13"/>
  <c r="L246" i="13"/>
  <c r="K246" i="13"/>
  <c r="BD245" i="13"/>
  <c r="BB245" i="13"/>
  <c r="AF245" i="13"/>
  <c r="L245" i="13"/>
  <c r="K245" i="13"/>
  <c r="BD244" i="13"/>
  <c r="BB244" i="13"/>
  <c r="AF244" i="13"/>
  <c r="L244" i="13"/>
  <c r="K244" i="13"/>
  <c r="BD243" i="13"/>
  <c r="BB243" i="13"/>
  <c r="AF243" i="13"/>
  <c r="L243" i="13"/>
  <c r="K243" i="13"/>
  <c r="BD242" i="13"/>
  <c r="BB242" i="13"/>
  <c r="AF242" i="13"/>
  <c r="L242" i="13"/>
  <c r="K242" i="13"/>
  <c r="BD241" i="13"/>
  <c r="BB241" i="13"/>
  <c r="AF241" i="13"/>
  <c r="L241" i="13"/>
  <c r="K241" i="13"/>
  <c r="BD240" i="13"/>
  <c r="BB240" i="13"/>
  <c r="AF240" i="13"/>
  <c r="L240" i="13"/>
  <c r="K240" i="13"/>
  <c r="BD239" i="13"/>
  <c r="BB239" i="13"/>
  <c r="AF239" i="13"/>
  <c r="L239" i="13"/>
  <c r="K239" i="13"/>
  <c r="BD238" i="13"/>
  <c r="BB238" i="13"/>
  <c r="AF238" i="13"/>
  <c r="L238" i="13"/>
  <c r="K238" i="13"/>
  <c r="BD237" i="13"/>
  <c r="BB237" i="13"/>
  <c r="AF237" i="13"/>
  <c r="L237" i="13"/>
  <c r="K237" i="13"/>
  <c r="BD236" i="13"/>
  <c r="BB236" i="13"/>
  <c r="AF236" i="13"/>
  <c r="L236" i="13"/>
  <c r="K236" i="13"/>
  <c r="BD235" i="13"/>
  <c r="BB235" i="13"/>
  <c r="AF235" i="13"/>
  <c r="L235" i="13"/>
  <c r="K235" i="13"/>
  <c r="BD234" i="13"/>
  <c r="BB234" i="13"/>
  <c r="AF234" i="13"/>
  <c r="L234" i="13"/>
  <c r="K234" i="13"/>
  <c r="BD233" i="13"/>
  <c r="BB233" i="13"/>
  <c r="AF233" i="13"/>
  <c r="L233" i="13"/>
  <c r="K233" i="13"/>
  <c r="BD232" i="13"/>
  <c r="BB232" i="13"/>
  <c r="AF232" i="13"/>
  <c r="L232" i="13"/>
  <c r="K232" i="13"/>
  <c r="BD231" i="13"/>
  <c r="BB231" i="13"/>
  <c r="AF231" i="13"/>
  <c r="L231" i="13"/>
  <c r="K231" i="13"/>
  <c r="BD230" i="13"/>
  <c r="BB230" i="13"/>
  <c r="AF230" i="13"/>
  <c r="L230" i="13"/>
  <c r="K230" i="13"/>
  <c r="BD229" i="13"/>
  <c r="BB229" i="13"/>
  <c r="AF229" i="13"/>
  <c r="L229" i="13"/>
  <c r="K229" i="13"/>
  <c r="BD228" i="13"/>
  <c r="BB228" i="13"/>
  <c r="AF228" i="13"/>
  <c r="L228" i="13"/>
  <c r="K228" i="13"/>
  <c r="BD227" i="13"/>
  <c r="BB227" i="13"/>
  <c r="AF227" i="13"/>
  <c r="L227" i="13"/>
  <c r="K227" i="13"/>
  <c r="BD226" i="13"/>
  <c r="BB226" i="13"/>
  <c r="AF226" i="13"/>
  <c r="L226" i="13"/>
  <c r="K226" i="13"/>
  <c r="BD225" i="13"/>
  <c r="BB225" i="13"/>
  <c r="AF225" i="13"/>
  <c r="L225" i="13"/>
  <c r="K225" i="13"/>
  <c r="BD224" i="13"/>
  <c r="BB224" i="13"/>
  <c r="AF224" i="13"/>
  <c r="L224" i="13"/>
  <c r="K224" i="13"/>
  <c r="BD223" i="13"/>
  <c r="BB223" i="13"/>
  <c r="AF223" i="13"/>
  <c r="L223" i="13"/>
  <c r="K223" i="13"/>
  <c r="BD222" i="13"/>
  <c r="BB222" i="13"/>
  <c r="AF222" i="13"/>
  <c r="L222" i="13"/>
  <c r="K222" i="13"/>
  <c r="BD221" i="13"/>
  <c r="BB221" i="13"/>
  <c r="AF221" i="13"/>
  <c r="L221" i="13"/>
  <c r="K221" i="13"/>
  <c r="BD220" i="13"/>
  <c r="BB220" i="13"/>
  <c r="AF220" i="13"/>
  <c r="L220" i="13"/>
  <c r="K220" i="13"/>
  <c r="BD219" i="13"/>
  <c r="BB219" i="13"/>
  <c r="AF219" i="13"/>
  <c r="L219" i="13"/>
  <c r="K219" i="13"/>
  <c r="BD218" i="13"/>
  <c r="BB218" i="13"/>
  <c r="AF218" i="13"/>
  <c r="L218" i="13"/>
  <c r="K218" i="13"/>
  <c r="BD217" i="13"/>
  <c r="BB217" i="13"/>
  <c r="AF217" i="13"/>
  <c r="L217" i="13"/>
  <c r="K217" i="13"/>
  <c r="BD216" i="13"/>
  <c r="BB216" i="13"/>
  <c r="AF216" i="13"/>
  <c r="L216" i="13"/>
  <c r="K216" i="13"/>
  <c r="BD215" i="13"/>
  <c r="BB215" i="13"/>
  <c r="AF215" i="13"/>
  <c r="L215" i="13"/>
  <c r="K215" i="13"/>
  <c r="BD214" i="13"/>
  <c r="BB214" i="13"/>
  <c r="AF214" i="13"/>
  <c r="L214" i="13"/>
  <c r="K214" i="13"/>
  <c r="BD213" i="13"/>
  <c r="BB213" i="13"/>
  <c r="AF213" i="13"/>
  <c r="L213" i="13"/>
  <c r="K213" i="13"/>
  <c r="BD212" i="13"/>
  <c r="BB212" i="13"/>
  <c r="AF212" i="13"/>
  <c r="L212" i="13"/>
  <c r="K212" i="13"/>
  <c r="BD211" i="13"/>
  <c r="BB211" i="13"/>
  <c r="AF211" i="13"/>
  <c r="L211" i="13"/>
  <c r="K211" i="13"/>
  <c r="BD210" i="13"/>
  <c r="BB210" i="13"/>
  <c r="AF210" i="13"/>
  <c r="L210" i="13"/>
  <c r="K210" i="13"/>
  <c r="BD209" i="13"/>
  <c r="BB209" i="13"/>
  <c r="AF209" i="13"/>
  <c r="L209" i="13"/>
  <c r="K209" i="13"/>
  <c r="BD208" i="13"/>
  <c r="BB208" i="13"/>
  <c r="AF208" i="13"/>
  <c r="L208" i="13"/>
  <c r="K208" i="13"/>
  <c r="BD207" i="13"/>
  <c r="BB207" i="13"/>
  <c r="AF207" i="13"/>
  <c r="L207" i="13"/>
  <c r="K207" i="13"/>
  <c r="BD206" i="13"/>
  <c r="BB206" i="13"/>
  <c r="AF206" i="13"/>
  <c r="L206" i="13"/>
  <c r="K206" i="13"/>
  <c r="BD205" i="13"/>
  <c r="BB205" i="13"/>
  <c r="AF205" i="13"/>
  <c r="L205" i="13"/>
  <c r="K205" i="13"/>
  <c r="BD204" i="13"/>
  <c r="BB204" i="13"/>
  <c r="AF204" i="13"/>
  <c r="L204" i="13"/>
  <c r="K204" i="13"/>
  <c r="BD203" i="13"/>
  <c r="BB203" i="13"/>
  <c r="AF203" i="13"/>
  <c r="L203" i="13"/>
  <c r="K203" i="13"/>
  <c r="BD202" i="13"/>
  <c r="BB202" i="13"/>
  <c r="AF202" i="13"/>
  <c r="L202" i="13"/>
  <c r="K202" i="13"/>
  <c r="BD201" i="13"/>
  <c r="BB201" i="13"/>
  <c r="AF201" i="13"/>
  <c r="L201" i="13"/>
  <c r="K201" i="13"/>
  <c r="BD200" i="13"/>
  <c r="BB200" i="13"/>
  <c r="AF200" i="13"/>
  <c r="L200" i="13"/>
  <c r="K200" i="13"/>
  <c r="BD199" i="13"/>
  <c r="BB199" i="13"/>
  <c r="AF199" i="13"/>
  <c r="L199" i="13"/>
  <c r="K199" i="13"/>
  <c r="BD198" i="13"/>
  <c r="BB198" i="13"/>
  <c r="AF198" i="13"/>
  <c r="L198" i="13"/>
  <c r="K198" i="13"/>
  <c r="BD197" i="13"/>
  <c r="BB197" i="13"/>
  <c r="AF197" i="13"/>
  <c r="L197" i="13"/>
  <c r="K197" i="13"/>
  <c r="BD196" i="13"/>
  <c r="BB196" i="13"/>
  <c r="AF196" i="13"/>
  <c r="L196" i="13"/>
  <c r="K196" i="13"/>
  <c r="BD195" i="13"/>
  <c r="BB195" i="13"/>
  <c r="AF195" i="13"/>
  <c r="L195" i="13"/>
  <c r="K195" i="13"/>
  <c r="BD194" i="13"/>
  <c r="BB194" i="13"/>
  <c r="AF194" i="13"/>
  <c r="L194" i="13"/>
  <c r="K194" i="13"/>
  <c r="BD193" i="13"/>
  <c r="BB193" i="13"/>
  <c r="AF193" i="13"/>
  <c r="L193" i="13"/>
  <c r="K193" i="13"/>
  <c r="BD192" i="13"/>
  <c r="BB192" i="13"/>
  <c r="AF192" i="13"/>
  <c r="L192" i="13"/>
  <c r="K192" i="13"/>
  <c r="BD191" i="13"/>
  <c r="BB191" i="13"/>
  <c r="AF191" i="13"/>
  <c r="L191" i="13"/>
  <c r="K191" i="13"/>
  <c r="BD190" i="13"/>
  <c r="BB190" i="13"/>
  <c r="AF190" i="13"/>
  <c r="L190" i="13"/>
  <c r="K190" i="13"/>
  <c r="BD189" i="13"/>
  <c r="BB189" i="13"/>
  <c r="AF189" i="13"/>
  <c r="L189" i="13"/>
  <c r="K189" i="13"/>
  <c r="BD188" i="13"/>
  <c r="BB188" i="13"/>
  <c r="AF188" i="13"/>
  <c r="L188" i="13"/>
  <c r="K188" i="13"/>
  <c r="BD187" i="13"/>
  <c r="BB187" i="13"/>
  <c r="AF187" i="13"/>
  <c r="L187" i="13"/>
  <c r="K187" i="13"/>
  <c r="BD186" i="13"/>
  <c r="BB186" i="13"/>
  <c r="AF186" i="13"/>
  <c r="L186" i="13"/>
  <c r="K186" i="13"/>
  <c r="BD185" i="13"/>
  <c r="BB185" i="13"/>
  <c r="AF185" i="13"/>
  <c r="L185" i="13"/>
  <c r="K185" i="13"/>
  <c r="BD184" i="13"/>
  <c r="BB184" i="13"/>
  <c r="AF184" i="13"/>
  <c r="L184" i="13"/>
  <c r="K184" i="13"/>
  <c r="BD183" i="13"/>
  <c r="BB183" i="13"/>
  <c r="AF183" i="13"/>
  <c r="L183" i="13"/>
  <c r="K183" i="13"/>
  <c r="BD182" i="13"/>
  <c r="BB182" i="13"/>
  <c r="AF182" i="13"/>
  <c r="L182" i="13"/>
  <c r="K182" i="13"/>
  <c r="BD181" i="13"/>
  <c r="BB181" i="13"/>
  <c r="AF181" i="13"/>
  <c r="L181" i="13"/>
  <c r="K181" i="13"/>
  <c r="BD180" i="13"/>
  <c r="BB180" i="13"/>
  <c r="AF180" i="13"/>
  <c r="L180" i="13"/>
  <c r="K180" i="13"/>
  <c r="BD179" i="13"/>
  <c r="BB179" i="13"/>
  <c r="AF179" i="13"/>
  <c r="L179" i="13"/>
  <c r="K179" i="13"/>
  <c r="BD178" i="13"/>
  <c r="BB178" i="13"/>
  <c r="AF178" i="13"/>
  <c r="L178" i="13"/>
  <c r="K178" i="13"/>
  <c r="BD177" i="13"/>
  <c r="BB177" i="13"/>
  <c r="AF177" i="13"/>
  <c r="L177" i="13"/>
  <c r="K177" i="13"/>
  <c r="BD176" i="13"/>
  <c r="BB176" i="13"/>
  <c r="AF176" i="13"/>
  <c r="L176" i="13"/>
  <c r="K176" i="13"/>
  <c r="BD175" i="13"/>
  <c r="BB175" i="13"/>
  <c r="AF175" i="13"/>
  <c r="L175" i="13"/>
  <c r="K175" i="13"/>
  <c r="BD174" i="13"/>
  <c r="BB174" i="13"/>
  <c r="AF174" i="13"/>
  <c r="L174" i="13"/>
  <c r="K174" i="13"/>
  <c r="BD173" i="13"/>
  <c r="BB173" i="13"/>
  <c r="AF173" i="13"/>
  <c r="L173" i="13"/>
  <c r="K173" i="13"/>
  <c r="BD172" i="13"/>
  <c r="BB172" i="13"/>
  <c r="AF172" i="13"/>
  <c r="L172" i="13"/>
  <c r="K172" i="13"/>
  <c r="BD171" i="13"/>
  <c r="BB171" i="13"/>
  <c r="AF171" i="13"/>
  <c r="L171" i="13"/>
  <c r="K171" i="13"/>
  <c r="BD170" i="13"/>
  <c r="BB170" i="13"/>
  <c r="AF170" i="13"/>
  <c r="L170" i="13"/>
  <c r="K170" i="13"/>
  <c r="BD169" i="13"/>
  <c r="BB169" i="13"/>
  <c r="AF169" i="13"/>
  <c r="L169" i="13"/>
  <c r="K169" i="13"/>
  <c r="BD168" i="13"/>
  <c r="BB168" i="13"/>
  <c r="AF168" i="13"/>
  <c r="L168" i="13"/>
  <c r="K168" i="13"/>
  <c r="BD167" i="13"/>
  <c r="BB167" i="13"/>
  <c r="AF167" i="13"/>
  <c r="L167" i="13"/>
  <c r="K167" i="13"/>
  <c r="BD166" i="13"/>
  <c r="BB166" i="13"/>
  <c r="AF166" i="13"/>
  <c r="L166" i="13"/>
  <c r="K166" i="13"/>
  <c r="BD165" i="13"/>
  <c r="BB165" i="13"/>
  <c r="AF165" i="13"/>
  <c r="L165" i="13"/>
  <c r="K165" i="13"/>
  <c r="BD164" i="13"/>
  <c r="BB164" i="13"/>
  <c r="AF164" i="13"/>
  <c r="L164" i="13"/>
  <c r="K164" i="13"/>
  <c r="BD163" i="13"/>
  <c r="BB163" i="13"/>
  <c r="AF163" i="13"/>
  <c r="L163" i="13"/>
  <c r="K163" i="13"/>
  <c r="BD162" i="13"/>
  <c r="BB162" i="13"/>
  <c r="AF162" i="13"/>
  <c r="L162" i="13"/>
  <c r="K162" i="13"/>
  <c r="BD161" i="13"/>
  <c r="BB161" i="13"/>
  <c r="AF161" i="13"/>
  <c r="L161" i="13"/>
  <c r="K161" i="13"/>
  <c r="BD160" i="13"/>
  <c r="BB160" i="13"/>
  <c r="AF160" i="13"/>
  <c r="L160" i="13"/>
  <c r="K160" i="13"/>
  <c r="BD159" i="13"/>
  <c r="BB159" i="13"/>
  <c r="AF159" i="13"/>
  <c r="L159" i="13"/>
  <c r="K159" i="13"/>
  <c r="BD158" i="13"/>
  <c r="BB158" i="13"/>
  <c r="AF158" i="13"/>
  <c r="L158" i="13"/>
  <c r="K158" i="13"/>
  <c r="BD157" i="13"/>
  <c r="BB157" i="13"/>
  <c r="AF157" i="13"/>
  <c r="L157" i="13"/>
  <c r="K157" i="13"/>
  <c r="BD156" i="13"/>
  <c r="BB156" i="13"/>
  <c r="AF156" i="13"/>
  <c r="L156" i="13"/>
  <c r="K156" i="13"/>
  <c r="BD155" i="13"/>
  <c r="BB155" i="13"/>
  <c r="AF155" i="13"/>
  <c r="L155" i="13"/>
  <c r="K155" i="13"/>
  <c r="BD154" i="13"/>
  <c r="BB154" i="13"/>
  <c r="AF154" i="13"/>
  <c r="L154" i="13"/>
  <c r="K154" i="13"/>
  <c r="BD153" i="13"/>
  <c r="BB153" i="13"/>
  <c r="AF153" i="13"/>
  <c r="L153" i="13"/>
  <c r="K153" i="13"/>
  <c r="BD152" i="13"/>
  <c r="BB152" i="13"/>
  <c r="AF152" i="13"/>
  <c r="L152" i="13"/>
  <c r="K152" i="13"/>
  <c r="BD151" i="13"/>
  <c r="BB151" i="13"/>
  <c r="AF151" i="13"/>
  <c r="L151" i="13"/>
  <c r="K151" i="13"/>
  <c r="BD150" i="13"/>
  <c r="BB150" i="13"/>
  <c r="AF150" i="13"/>
  <c r="L150" i="13"/>
  <c r="K150" i="13"/>
  <c r="BD149" i="13"/>
  <c r="BB149" i="13"/>
  <c r="AF149" i="13"/>
  <c r="L149" i="13"/>
  <c r="K149" i="13"/>
  <c r="BD148" i="13"/>
  <c r="BB148" i="13"/>
  <c r="AF148" i="13"/>
  <c r="L148" i="13"/>
  <c r="K148" i="13"/>
  <c r="BD147" i="13"/>
  <c r="BB147" i="13"/>
  <c r="AF147" i="13"/>
  <c r="L147" i="13"/>
  <c r="K147" i="13"/>
  <c r="BD146" i="13"/>
  <c r="BB146" i="13"/>
  <c r="AF146" i="13"/>
  <c r="L146" i="13"/>
  <c r="K146" i="13"/>
  <c r="BD145" i="13"/>
  <c r="BB145" i="13"/>
  <c r="AF145" i="13"/>
  <c r="L145" i="13"/>
  <c r="K145" i="13"/>
  <c r="BD144" i="13"/>
  <c r="BB144" i="13"/>
  <c r="AF144" i="13"/>
  <c r="L144" i="13"/>
  <c r="K144" i="13"/>
  <c r="BD143" i="13"/>
  <c r="BB143" i="13"/>
  <c r="AF143" i="13"/>
  <c r="L143" i="13"/>
  <c r="K143" i="13"/>
  <c r="BD142" i="13"/>
  <c r="BB142" i="13"/>
  <c r="AF142" i="13"/>
  <c r="L142" i="13"/>
  <c r="K142" i="13"/>
  <c r="BD141" i="13"/>
  <c r="BB141" i="13"/>
  <c r="AF141" i="13"/>
  <c r="L141" i="13"/>
  <c r="K141" i="13"/>
  <c r="BD140" i="13"/>
  <c r="BB140" i="13"/>
  <c r="AF140" i="13"/>
  <c r="L140" i="13"/>
  <c r="K140" i="13"/>
  <c r="BD139" i="13"/>
  <c r="BB139" i="13"/>
  <c r="AF139" i="13"/>
  <c r="L139" i="13"/>
  <c r="K139" i="13"/>
  <c r="BD138" i="13"/>
  <c r="BB138" i="13"/>
  <c r="AF138" i="13"/>
  <c r="L138" i="13"/>
  <c r="K138" i="13"/>
  <c r="BD137" i="13"/>
  <c r="BB137" i="13"/>
  <c r="AF137" i="13"/>
  <c r="L137" i="13"/>
  <c r="K137" i="13"/>
  <c r="BD136" i="13"/>
  <c r="BB136" i="13"/>
  <c r="AF136" i="13"/>
  <c r="L136" i="13"/>
  <c r="K136" i="13"/>
  <c r="BD135" i="13"/>
  <c r="BB135" i="13"/>
  <c r="AF135" i="13"/>
  <c r="L135" i="13"/>
  <c r="K135" i="13"/>
  <c r="BD134" i="13"/>
  <c r="BB134" i="13"/>
  <c r="AF134" i="13"/>
  <c r="L134" i="13"/>
  <c r="K134" i="13"/>
  <c r="BD133" i="13"/>
  <c r="BB133" i="13"/>
  <c r="AF133" i="13"/>
  <c r="L133" i="13"/>
  <c r="K133" i="13"/>
  <c r="BD132" i="13"/>
  <c r="BB132" i="13"/>
  <c r="AF132" i="13"/>
  <c r="L132" i="13"/>
  <c r="K132" i="13"/>
  <c r="BD131" i="13"/>
  <c r="BB131" i="13"/>
  <c r="AF131" i="13"/>
  <c r="L131" i="13"/>
  <c r="K131" i="13"/>
  <c r="BD130" i="13"/>
  <c r="BB130" i="13"/>
  <c r="AF130" i="13"/>
  <c r="L130" i="13"/>
  <c r="K130" i="13"/>
  <c r="BD129" i="13"/>
  <c r="BB129" i="13"/>
  <c r="AF129" i="13"/>
  <c r="L129" i="13"/>
  <c r="K129" i="13"/>
  <c r="BD128" i="13"/>
  <c r="BB128" i="13"/>
  <c r="AF128" i="13"/>
  <c r="L128" i="13"/>
  <c r="K128" i="13"/>
  <c r="BD127" i="13"/>
  <c r="BB127" i="13"/>
  <c r="AF127" i="13"/>
  <c r="L127" i="13"/>
  <c r="K127" i="13"/>
  <c r="BD126" i="13"/>
  <c r="BB126" i="13"/>
  <c r="AF126" i="13"/>
  <c r="L126" i="13"/>
  <c r="K126" i="13"/>
  <c r="BD125" i="13"/>
  <c r="BB125" i="13"/>
  <c r="AF125" i="13"/>
  <c r="L125" i="13"/>
  <c r="K125" i="13"/>
  <c r="BD124" i="13"/>
  <c r="BB124" i="13"/>
  <c r="AF124" i="13"/>
  <c r="L124" i="13"/>
  <c r="K124" i="13"/>
  <c r="BD123" i="13"/>
  <c r="BB123" i="13"/>
  <c r="AF123" i="13"/>
  <c r="L123" i="13"/>
  <c r="K123" i="13"/>
  <c r="BD122" i="13"/>
  <c r="BB122" i="13"/>
  <c r="AF122" i="13"/>
  <c r="L122" i="13"/>
  <c r="K122" i="13"/>
  <c r="BD121" i="13"/>
  <c r="BB121" i="13"/>
  <c r="AF121" i="13"/>
  <c r="L121" i="13"/>
  <c r="K121" i="13"/>
  <c r="BD120" i="13"/>
  <c r="BB120" i="13"/>
  <c r="AF120" i="13"/>
  <c r="L120" i="13"/>
  <c r="K120" i="13"/>
  <c r="BD119" i="13"/>
  <c r="BB119" i="13"/>
  <c r="AF119" i="13"/>
  <c r="L119" i="13"/>
  <c r="K119" i="13"/>
  <c r="BD118" i="13"/>
  <c r="BB118" i="13"/>
  <c r="AF118" i="13"/>
  <c r="L118" i="13"/>
  <c r="K118" i="13"/>
  <c r="BD117" i="13"/>
  <c r="BB117" i="13"/>
  <c r="AF117" i="13"/>
  <c r="L117" i="13"/>
  <c r="K117" i="13"/>
  <c r="BD116" i="13"/>
  <c r="BB116" i="13"/>
  <c r="AF116" i="13"/>
  <c r="L116" i="13"/>
  <c r="K116" i="13"/>
  <c r="BD115" i="13"/>
  <c r="BB115" i="13"/>
  <c r="AF115" i="13"/>
  <c r="L115" i="13"/>
  <c r="K115" i="13"/>
  <c r="BD114" i="13"/>
  <c r="BB114" i="13"/>
  <c r="AF114" i="13"/>
  <c r="L114" i="13"/>
  <c r="K114" i="13"/>
  <c r="BD113" i="13"/>
  <c r="BB113" i="13"/>
  <c r="AF113" i="13"/>
  <c r="L113" i="13"/>
  <c r="K113" i="13"/>
  <c r="BD112" i="13"/>
  <c r="BB112" i="13"/>
  <c r="AF112" i="13"/>
  <c r="L112" i="13"/>
  <c r="K112" i="13"/>
  <c r="BD111" i="13"/>
  <c r="BB111" i="13"/>
  <c r="AF111" i="13"/>
  <c r="L111" i="13"/>
  <c r="K111" i="13"/>
  <c r="BD110" i="13"/>
  <c r="BB110" i="13"/>
  <c r="AF110" i="13"/>
  <c r="L110" i="13"/>
  <c r="K110" i="13"/>
  <c r="BD109" i="13"/>
  <c r="BB109" i="13"/>
  <c r="AF109" i="13"/>
  <c r="L109" i="13"/>
  <c r="K109" i="13"/>
  <c r="BD108" i="13"/>
  <c r="BB108" i="13"/>
  <c r="AF108" i="13"/>
  <c r="L108" i="13"/>
  <c r="K108" i="13"/>
  <c r="BD107" i="13"/>
  <c r="BB107" i="13"/>
  <c r="AF107" i="13"/>
  <c r="L107" i="13"/>
  <c r="K107" i="13"/>
  <c r="BD106" i="13"/>
  <c r="BB106" i="13"/>
  <c r="AF106" i="13"/>
  <c r="L106" i="13"/>
  <c r="K106" i="13"/>
  <c r="BD105" i="13"/>
  <c r="BB105" i="13"/>
  <c r="AF105" i="13"/>
  <c r="L105" i="13"/>
  <c r="K105" i="13"/>
  <c r="BD104" i="13"/>
  <c r="BB104" i="13"/>
  <c r="AF104" i="13"/>
  <c r="L104" i="13"/>
  <c r="K104" i="13"/>
  <c r="BD103" i="13"/>
  <c r="BB103" i="13"/>
  <c r="AF103" i="13"/>
  <c r="L103" i="13"/>
  <c r="K103" i="13"/>
  <c r="BD102" i="13"/>
  <c r="BB102" i="13"/>
  <c r="AF102" i="13"/>
  <c r="L102" i="13"/>
  <c r="K102" i="13"/>
  <c r="BD101" i="13"/>
  <c r="BB101" i="13"/>
  <c r="AF101" i="13"/>
  <c r="L101" i="13"/>
  <c r="K101" i="13"/>
  <c r="BD100" i="13"/>
  <c r="BB100" i="13"/>
  <c r="AF100" i="13"/>
  <c r="L100" i="13"/>
  <c r="K100" i="13"/>
  <c r="BD99" i="13"/>
  <c r="BB99" i="13"/>
  <c r="AF99" i="13"/>
  <c r="L99" i="13"/>
  <c r="K99" i="13"/>
  <c r="BD98" i="13"/>
  <c r="BB98" i="13"/>
  <c r="AF98" i="13"/>
  <c r="L98" i="13"/>
  <c r="K98" i="13"/>
  <c r="BD97" i="13"/>
  <c r="BB97" i="13"/>
  <c r="AF97" i="13"/>
  <c r="L97" i="13"/>
  <c r="K97" i="13"/>
  <c r="BD96" i="13"/>
  <c r="BB96" i="13"/>
  <c r="AF96" i="13"/>
  <c r="L96" i="13"/>
  <c r="K96" i="13"/>
  <c r="BD95" i="13"/>
  <c r="BB95" i="13"/>
  <c r="AF95" i="13"/>
  <c r="L95" i="13"/>
  <c r="K95" i="13"/>
  <c r="BD94" i="13"/>
  <c r="BB94" i="13"/>
  <c r="AF94" i="13"/>
  <c r="L94" i="13"/>
  <c r="K94" i="13"/>
  <c r="BD93" i="13"/>
  <c r="BB93" i="13"/>
  <c r="AF93" i="13"/>
  <c r="L93" i="13"/>
  <c r="K93" i="13"/>
  <c r="BD92" i="13"/>
  <c r="BB92" i="13"/>
  <c r="AF92" i="13"/>
  <c r="L92" i="13"/>
  <c r="K92" i="13"/>
  <c r="BD91" i="13"/>
  <c r="BB91" i="13"/>
  <c r="AF91" i="13"/>
  <c r="L91" i="13"/>
  <c r="K91" i="13"/>
  <c r="BD90" i="13"/>
  <c r="BB90" i="13"/>
  <c r="AF90" i="13"/>
  <c r="L90" i="13"/>
  <c r="K90" i="13"/>
  <c r="BD89" i="13"/>
  <c r="BB89" i="13"/>
  <c r="AF89" i="13"/>
  <c r="L89" i="13"/>
  <c r="K89" i="13"/>
  <c r="BD88" i="13"/>
  <c r="BB88" i="13"/>
  <c r="AF88" i="13"/>
  <c r="L88" i="13"/>
  <c r="K88" i="13"/>
  <c r="BD87" i="13"/>
  <c r="BB87" i="13"/>
  <c r="AF87" i="13"/>
  <c r="L87" i="13"/>
  <c r="K87" i="13"/>
  <c r="BD86" i="13"/>
  <c r="BB86" i="13"/>
  <c r="AF86" i="13"/>
  <c r="L86" i="13"/>
  <c r="K86" i="13"/>
  <c r="BD85" i="13"/>
  <c r="BB85" i="13"/>
  <c r="AF85" i="13"/>
  <c r="L85" i="13"/>
  <c r="K85" i="13"/>
  <c r="BD84" i="13"/>
  <c r="BB84" i="13"/>
  <c r="AF84" i="13"/>
  <c r="L84" i="13"/>
  <c r="K84" i="13"/>
  <c r="BD83" i="13"/>
  <c r="BB83" i="13"/>
  <c r="AF83" i="13"/>
  <c r="L83" i="13"/>
  <c r="K83" i="13"/>
  <c r="BD82" i="13"/>
  <c r="BB82" i="13"/>
  <c r="AF82" i="13"/>
  <c r="L82" i="13"/>
  <c r="K82" i="13"/>
  <c r="BD81" i="13"/>
  <c r="BB81" i="13"/>
  <c r="AF81" i="13"/>
  <c r="L81" i="13"/>
  <c r="K81" i="13"/>
  <c r="BD80" i="13"/>
  <c r="BB80" i="13"/>
  <c r="AF80" i="13"/>
  <c r="L80" i="13"/>
  <c r="K80" i="13"/>
  <c r="BD79" i="13"/>
  <c r="BB79" i="13"/>
  <c r="AF79" i="13"/>
  <c r="L79" i="13"/>
  <c r="K79" i="13"/>
  <c r="BD78" i="13"/>
  <c r="BB78" i="13"/>
  <c r="AF78" i="13"/>
  <c r="L78" i="13"/>
  <c r="K78" i="13"/>
  <c r="BD77" i="13"/>
  <c r="BB77" i="13"/>
  <c r="AF77" i="13"/>
  <c r="L77" i="13"/>
  <c r="K77" i="13"/>
  <c r="BD76" i="13"/>
  <c r="BB76" i="13"/>
  <c r="AF76" i="13"/>
  <c r="L76" i="13"/>
  <c r="K76" i="13"/>
  <c r="BD75" i="13"/>
  <c r="BB75" i="13"/>
  <c r="AF75" i="13"/>
  <c r="L75" i="13"/>
  <c r="K75" i="13"/>
  <c r="BD74" i="13"/>
  <c r="BB74" i="13"/>
  <c r="AF74" i="13"/>
  <c r="L74" i="13"/>
  <c r="K74" i="13"/>
  <c r="BD73" i="13"/>
  <c r="BB73" i="13"/>
  <c r="AF73" i="13"/>
  <c r="L73" i="13"/>
  <c r="K73" i="13"/>
  <c r="BD72" i="13"/>
  <c r="BB72" i="13"/>
  <c r="AF72" i="13"/>
  <c r="L72" i="13"/>
  <c r="K72" i="13"/>
  <c r="BD71" i="13"/>
  <c r="BB71" i="13"/>
  <c r="AF71" i="13"/>
  <c r="L71" i="13"/>
  <c r="K71" i="13"/>
  <c r="BD70" i="13"/>
  <c r="BB70" i="13"/>
  <c r="AF70" i="13"/>
  <c r="L70" i="13"/>
  <c r="K70" i="13"/>
  <c r="BD69" i="13"/>
  <c r="BB69" i="13"/>
  <c r="AF69" i="13"/>
  <c r="L69" i="13"/>
  <c r="K69" i="13"/>
  <c r="BD68" i="13"/>
  <c r="BB68" i="13"/>
  <c r="AF68" i="13"/>
  <c r="L68" i="13"/>
  <c r="K68" i="13"/>
  <c r="BD67" i="13"/>
  <c r="BB67" i="13"/>
  <c r="AF67" i="13"/>
  <c r="L67" i="13"/>
  <c r="K67" i="13"/>
  <c r="BD66" i="13"/>
  <c r="BB66" i="13"/>
  <c r="AF66" i="13"/>
  <c r="L66" i="13"/>
  <c r="K66" i="13"/>
  <c r="BD65" i="13"/>
  <c r="BB65" i="13"/>
  <c r="AF65" i="13"/>
  <c r="L65" i="13"/>
  <c r="K65" i="13"/>
  <c r="BD64" i="13"/>
  <c r="BB64" i="13"/>
  <c r="AF64" i="13"/>
  <c r="L64" i="13"/>
  <c r="K64" i="13"/>
  <c r="BD63" i="13"/>
  <c r="BB63" i="13"/>
  <c r="AF63" i="13"/>
  <c r="L63" i="13"/>
  <c r="K63" i="13"/>
  <c r="BD62" i="13"/>
  <c r="BB62" i="13"/>
  <c r="AF62" i="13"/>
  <c r="L62" i="13"/>
  <c r="K62" i="13"/>
  <c r="BD61" i="13"/>
  <c r="BB61" i="13"/>
  <c r="AF61" i="13"/>
  <c r="L61" i="13"/>
  <c r="K61" i="13"/>
  <c r="BD60" i="13"/>
  <c r="BB60" i="13"/>
  <c r="AF60" i="13"/>
  <c r="L60" i="13"/>
  <c r="K60" i="13"/>
  <c r="BD59" i="13"/>
  <c r="BB59" i="13"/>
  <c r="AF59" i="13"/>
  <c r="L59" i="13"/>
  <c r="K59" i="13"/>
  <c r="BD58" i="13"/>
  <c r="BB58" i="13"/>
  <c r="AF58" i="13"/>
  <c r="L58" i="13"/>
  <c r="K58" i="13"/>
  <c r="BD57" i="13"/>
  <c r="BB57" i="13"/>
  <c r="AF57" i="13"/>
  <c r="L57" i="13"/>
  <c r="K57" i="13"/>
  <c r="BD56" i="13"/>
  <c r="BB56" i="13"/>
  <c r="AF56" i="13"/>
  <c r="L56" i="13"/>
  <c r="K56" i="13"/>
  <c r="BD55" i="13"/>
  <c r="BB55" i="13"/>
  <c r="AF55" i="13"/>
  <c r="L55" i="13"/>
  <c r="K55" i="13"/>
  <c r="BD54" i="13"/>
  <c r="BB54" i="13"/>
  <c r="AF54" i="13"/>
  <c r="L54" i="13"/>
  <c r="K54" i="13"/>
  <c r="BD53" i="13"/>
  <c r="BB53" i="13"/>
  <c r="AF53" i="13"/>
  <c r="L53" i="13"/>
  <c r="K53" i="13"/>
  <c r="BD52" i="13"/>
  <c r="BB52" i="13"/>
  <c r="AF52" i="13"/>
  <c r="L52" i="13"/>
  <c r="K52" i="13"/>
  <c r="BD51" i="13"/>
  <c r="BB51" i="13"/>
  <c r="AF51" i="13"/>
  <c r="L51" i="13"/>
  <c r="K51" i="13"/>
  <c r="BD50" i="13"/>
  <c r="BB50" i="13"/>
  <c r="AF50" i="13"/>
  <c r="L50" i="13"/>
  <c r="K50" i="13"/>
  <c r="BD49" i="13"/>
  <c r="BB49" i="13"/>
  <c r="AF49" i="13"/>
  <c r="L49" i="13"/>
  <c r="K49" i="13"/>
  <c r="BD48" i="13"/>
  <c r="BB48" i="13"/>
  <c r="AF48" i="13"/>
  <c r="L48" i="13"/>
  <c r="K48" i="13"/>
  <c r="BD47" i="13"/>
  <c r="BB47" i="13"/>
  <c r="AF47" i="13"/>
  <c r="L47" i="13"/>
  <c r="K47" i="13"/>
  <c r="BD46" i="13"/>
  <c r="BB46" i="13"/>
  <c r="AF46" i="13"/>
  <c r="L46" i="13"/>
  <c r="K46" i="13"/>
  <c r="BD45" i="13"/>
  <c r="BB45" i="13"/>
  <c r="AF45" i="13"/>
  <c r="L45" i="13"/>
  <c r="K45" i="13"/>
  <c r="BD44" i="13"/>
  <c r="BB44" i="13"/>
  <c r="AF44" i="13"/>
  <c r="L44" i="13"/>
  <c r="K44" i="13"/>
  <c r="BD43" i="13"/>
  <c r="BB43" i="13"/>
  <c r="AF43" i="13"/>
  <c r="L43" i="13"/>
  <c r="K43" i="13"/>
  <c r="BD42" i="13"/>
  <c r="BB42" i="13"/>
  <c r="AF42" i="13"/>
  <c r="L42" i="13"/>
  <c r="K42" i="13"/>
  <c r="BD41" i="13"/>
  <c r="BB41" i="13"/>
  <c r="AF41" i="13"/>
  <c r="L41" i="13"/>
  <c r="K41" i="13"/>
  <c r="BD40" i="13"/>
  <c r="BB40" i="13"/>
  <c r="AF40" i="13"/>
  <c r="L40" i="13"/>
  <c r="K40" i="13"/>
  <c r="BD39" i="13"/>
  <c r="BB39" i="13"/>
  <c r="AF39" i="13"/>
  <c r="L39" i="13"/>
  <c r="K39" i="13"/>
  <c r="BD38" i="13"/>
  <c r="BB38" i="13"/>
  <c r="AF38" i="13"/>
  <c r="L38" i="13"/>
  <c r="K38" i="13"/>
  <c r="BD37" i="13"/>
  <c r="BB37" i="13"/>
  <c r="AF37" i="13"/>
  <c r="L37" i="13"/>
  <c r="K37" i="13"/>
  <c r="BD36" i="13"/>
  <c r="BB36" i="13"/>
  <c r="AF36" i="13"/>
  <c r="L36" i="13"/>
  <c r="K36" i="13"/>
  <c r="BD35" i="13"/>
  <c r="BB35" i="13"/>
  <c r="AF35" i="13"/>
  <c r="L35" i="13"/>
  <c r="K35" i="13"/>
  <c r="BD34" i="13"/>
  <c r="BB34" i="13"/>
  <c r="AF34" i="13"/>
  <c r="L34" i="13"/>
  <c r="K34" i="13"/>
  <c r="BD33" i="13"/>
  <c r="BB33" i="13"/>
  <c r="AF33" i="13"/>
  <c r="L33" i="13"/>
  <c r="K33" i="13"/>
  <c r="BD32" i="13"/>
  <c r="BB32" i="13"/>
  <c r="AF32" i="13"/>
  <c r="L32" i="13"/>
  <c r="K32" i="13"/>
  <c r="BD31" i="13"/>
  <c r="BB31" i="13"/>
  <c r="AF31" i="13"/>
  <c r="L31" i="13"/>
  <c r="K31" i="13"/>
  <c r="BD30" i="13"/>
  <c r="BB30" i="13"/>
  <c r="AF30" i="13"/>
  <c r="L30" i="13"/>
  <c r="K30" i="13"/>
  <c r="BD29" i="13"/>
  <c r="BB29" i="13"/>
  <c r="AF29" i="13"/>
  <c r="L29" i="13"/>
  <c r="K29" i="13"/>
  <c r="BD28" i="13"/>
  <c r="BB28" i="13"/>
  <c r="AF28" i="13"/>
  <c r="L28" i="13"/>
  <c r="K28" i="13"/>
  <c r="BD27" i="13"/>
  <c r="BB27" i="13"/>
  <c r="AF27" i="13"/>
  <c r="L27" i="13"/>
  <c r="K27" i="13"/>
  <c r="BD26" i="13"/>
  <c r="BB26" i="13"/>
  <c r="AF26" i="13"/>
  <c r="L26" i="13"/>
  <c r="K26" i="13"/>
  <c r="BD25" i="13"/>
  <c r="BB25" i="13"/>
  <c r="AF25" i="13"/>
  <c r="L25" i="13"/>
  <c r="K25" i="13"/>
  <c r="BD24" i="13"/>
  <c r="BB24" i="13"/>
  <c r="AF24" i="13"/>
  <c r="L24" i="13"/>
  <c r="K24" i="13"/>
  <c r="BD23" i="13"/>
  <c r="BB23" i="13"/>
  <c r="AF23" i="13"/>
  <c r="L23" i="13"/>
  <c r="K23" i="13"/>
  <c r="BD22" i="13"/>
  <c r="BB22" i="13"/>
  <c r="AF22" i="13"/>
  <c r="L22" i="13"/>
  <c r="K22" i="13"/>
  <c r="BD21" i="13"/>
  <c r="BB21" i="13"/>
  <c r="AF21" i="13"/>
  <c r="L21" i="13"/>
  <c r="K21" i="13"/>
  <c r="BD20" i="13"/>
  <c r="BB20" i="13"/>
  <c r="AF20" i="13"/>
  <c r="L20" i="13"/>
  <c r="K20" i="13"/>
  <c r="BD19" i="13"/>
  <c r="BB19" i="13"/>
  <c r="AF19" i="13"/>
  <c r="L19" i="13"/>
  <c r="K19" i="13"/>
  <c r="BD18" i="13"/>
  <c r="BB18" i="13"/>
  <c r="AF18" i="13"/>
  <c r="L18" i="13"/>
  <c r="K18" i="13"/>
  <c r="BD17" i="13"/>
  <c r="BB17" i="13"/>
  <c r="AF17" i="13"/>
  <c r="L17" i="13"/>
  <c r="K17" i="13"/>
  <c r="BD16" i="13"/>
  <c r="BB16" i="13"/>
  <c r="AF16" i="13"/>
  <c r="L16" i="13"/>
  <c r="K16" i="13"/>
  <c r="BD15" i="13"/>
  <c r="BB15" i="13"/>
  <c r="AF15" i="13"/>
  <c r="L15" i="13"/>
  <c r="K15" i="13"/>
  <c r="BD14" i="13"/>
  <c r="BB14" i="13"/>
  <c r="AF14" i="13"/>
  <c r="L14" i="13"/>
  <c r="K14" i="13"/>
  <c r="BD13" i="13"/>
  <c r="BB13" i="13"/>
  <c r="AF13" i="13"/>
  <c r="L13" i="13"/>
  <c r="K13" i="13"/>
  <c r="BD12" i="13"/>
  <c r="BB12" i="13"/>
  <c r="AF12" i="13"/>
  <c r="L12" i="13"/>
  <c r="K12" i="13"/>
  <c r="BD11" i="13"/>
  <c r="BB11" i="13"/>
  <c r="AF11" i="13"/>
  <c r="L11" i="13"/>
  <c r="K11" i="13"/>
  <c r="BD10" i="13"/>
  <c r="BB10" i="13"/>
  <c r="AF10" i="13"/>
  <c r="L10" i="13"/>
  <c r="K10" i="13"/>
  <c r="BD9" i="13"/>
  <c r="BB9" i="13"/>
  <c r="AF9" i="13"/>
  <c r="L9" i="13"/>
  <c r="K9" i="13"/>
  <c r="BD8" i="13"/>
  <c r="BB8" i="13"/>
  <c r="AF8" i="13"/>
  <c r="L8" i="13"/>
  <c r="K8" i="13"/>
  <c r="BD7" i="13"/>
  <c r="BB7" i="13"/>
  <c r="AF7" i="13"/>
  <c r="L7" i="13"/>
  <c r="K7" i="13"/>
  <c r="BD6" i="13"/>
  <c r="BB6" i="13"/>
  <c r="AF6" i="13"/>
  <c r="L6" i="13"/>
  <c r="K6" i="13"/>
  <c r="BD5" i="13"/>
  <c r="BB5" i="13"/>
  <c r="AF5" i="13"/>
  <c r="L5" i="13"/>
  <c r="K5" i="13"/>
  <c r="BD224" i="12"/>
  <c r="BB224" i="12"/>
  <c r="AF224" i="12"/>
  <c r="L224" i="12"/>
  <c r="K224" i="12"/>
  <c r="BD223" i="12"/>
  <c r="BB223" i="12"/>
  <c r="AF223" i="12"/>
  <c r="L223" i="12"/>
  <c r="K223" i="12"/>
  <c r="BD222" i="12"/>
  <c r="BB222" i="12"/>
  <c r="AF222" i="12"/>
  <c r="L222" i="12"/>
  <c r="K222" i="12"/>
  <c r="BD221" i="12"/>
  <c r="BB221" i="12"/>
  <c r="AF221" i="12"/>
  <c r="L221" i="12"/>
  <c r="K221" i="12"/>
  <c r="BD220" i="12"/>
  <c r="BB220" i="12"/>
  <c r="AF220" i="12"/>
  <c r="L220" i="12"/>
  <c r="K220" i="12"/>
  <c r="BD219" i="12"/>
  <c r="BB219" i="12"/>
  <c r="AF219" i="12"/>
  <c r="L219" i="12"/>
  <c r="K219" i="12"/>
  <c r="BD218" i="12"/>
  <c r="BB218" i="12"/>
  <c r="AF218" i="12"/>
  <c r="L218" i="12"/>
  <c r="K218" i="12"/>
  <c r="BD217" i="12"/>
  <c r="BB217" i="12"/>
  <c r="AF217" i="12"/>
  <c r="L217" i="12"/>
  <c r="K217" i="12"/>
  <c r="BD216" i="12"/>
  <c r="BB216" i="12"/>
  <c r="AF216" i="12"/>
  <c r="L216" i="12"/>
  <c r="K216" i="12"/>
  <c r="BD215" i="12"/>
  <c r="BB215" i="12"/>
  <c r="AF215" i="12"/>
  <c r="L215" i="12"/>
  <c r="K215" i="12"/>
  <c r="BD214" i="12"/>
  <c r="BB214" i="12"/>
  <c r="AF214" i="12"/>
  <c r="L214" i="12"/>
  <c r="K214" i="12"/>
  <c r="BD213" i="12"/>
  <c r="BB213" i="12"/>
  <c r="AF213" i="12"/>
  <c r="L213" i="12"/>
  <c r="K213" i="12"/>
  <c r="BD212" i="12"/>
  <c r="BB212" i="12"/>
  <c r="AF212" i="12"/>
  <c r="L212" i="12"/>
  <c r="K212" i="12"/>
  <c r="BD211" i="12"/>
  <c r="BB211" i="12"/>
  <c r="AF211" i="12"/>
  <c r="L211" i="12"/>
  <c r="K211" i="12"/>
  <c r="BD210" i="12"/>
  <c r="BB210" i="12"/>
  <c r="AF210" i="12"/>
  <c r="L210" i="12"/>
  <c r="K210" i="12"/>
  <c r="BD209" i="12"/>
  <c r="BB209" i="12"/>
  <c r="AF209" i="12"/>
  <c r="L209" i="12"/>
  <c r="K209" i="12"/>
  <c r="BD208" i="12"/>
  <c r="BB208" i="12"/>
  <c r="AF208" i="12"/>
  <c r="L208" i="12"/>
  <c r="K208" i="12"/>
  <c r="BD207" i="12"/>
  <c r="BB207" i="12"/>
  <c r="AF207" i="12"/>
  <c r="L207" i="12"/>
  <c r="K207" i="12"/>
  <c r="BD206" i="12"/>
  <c r="BB206" i="12"/>
  <c r="AF206" i="12"/>
  <c r="L206" i="12"/>
  <c r="K206" i="12"/>
  <c r="BD205" i="12"/>
  <c r="BB205" i="12"/>
  <c r="AF205" i="12"/>
  <c r="L205" i="12"/>
  <c r="K205" i="12"/>
  <c r="BD204" i="12"/>
  <c r="BB204" i="12"/>
  <c r="AF204" i="12"/>
  <c r="L204" i="12"/>
  <c r="K204" i="12"/>
  <c r="BD203" i="12"/>
  <c r="BB203" i="12"/>
  <c r="AF203" i="12"/>
  <c r="L203" i="12"/>
  <c r="K203" i="12"/>
  <c r="BD202" i="12"/>
  <c r="BB202" i="12"/>
  <c r="AF202" i="12"/>
  <c r="L202" i="12"/>
  <c r="K202" i="12"/>
  <c r="BD201" i="12"/>
  <c r="BB201" i="12"/>
  <c r="AF201" i="12"/>
  <c r="L201" i="12"/>
  <c r="K201" i="12"/>
  <c r="BD200" i="12"/>
  <c r="BB200" i="12"/>
  <c r="AF200" i="12"/>
  <c r="L200" i="12"/>
  <c r="K200" i="12"/>
  <c r="BD199" i="12"/>
  <c r="BB199" i="12"/>
  <c r="AF199" i="12"/>
  <c r="L199" i="12"/>
  <c r="K199" i="12"/>
  <c r="BD198" i="12"/>
  <c r="BB198" i="12"/>
  <c r="AF198" i="12"/>
  <c r="L198" i="12"/>
  <c r="K198" i="12"/>
  <c r="BD197" i="12"/>
  <c r="BB197" i="12"/>
  <c r="AF197" i="12"/>
  <c r="L197" i="12"/>
  <c r="K197" i="12"/>
  <c r="BD196" i="12"/>
  <c r="BB196" i="12"/>
  <c r="AF196" i="12"/>
  <c r="L196" i="12"/>
  <c r="K196" i="12"/>
  <c r="BD195" i="12"/>
  <c r="BB195" i="12"/>
  <c r="AF195" i="12"/>
  <c r="L195" i="12"/>
  <c r="K195" i="12"/>
  <c r="BD194" i="12"/>
  <c r="BB194" i="12"/>
  <c r="AF194" i="12"/>
  <c r="L194" i="12"/>
  <c r="K194" i="12"/>
  <c r="BD193" i="12"/>
  <c r="BB193" i="12"/>
  <c r="AF193" i="12"/>
  <c r="L193" i="12"/>
  <c r="K193" i="12"/>
  <c r="BD192" i="12"/>
  <c r="BB192" i="12"/>
  <c r="AF192" i="12"/>
  <c r="L192" i="12"/>
  <c r="K192" i="12"/>
  <c r="BD191" i="12"/>
  <c r="BB191" i="12"/>
  <c r="AF191" i="12"/>
  <c r="L191" i="12"/>
  <c r="K191" i="12"/>
  <c r="BD190" i="12"/>
  <c r="BB190" i="12"/>
  <c r="AF190" i="12"/>
  <c r="L190" i="12"/>
  <c r="K190" i="12"/>
  <c r="BD189" i="12"/>
  <c r="BB189" i="12"/>
  <c r="AF189" i="12"/>
  <c r="L189" i="12"/>
  <c r="K189" i="12"/>
  <c r="BD188" i="12"/>
  <c r="BB188" i="12"/>
  <c r="AF188" i="12"/>
  <c r="L188" i="12"/>
  <c r="K188" i="12"/>
  <c r="BD187" i="12"/>
  <c r="BB187" i="12"/>
  <c r="AF187" i="12"/>
  <c r="L187" i="12"/>
  <c r="K187" i="12"/>
  <c r="BD186" i="12"/>
  <c r="BB186" i="12"/>
  <c r="AF186" i="12"/>
  <c r="L186" i="12"/>
  <c r="K186" i="12"/>
  <c r="BD185" i="12"/>
  <c r="BB185" i="12"/>
  <c r="AF185" i="12"/>
  <c r="L185" i="12"/>
  <c r="K185" i="12"/>
  <c r="BD184" i="12"/>
  <c r="BB184" i="12"/>
  <c r="AF184" i="12"/>
  <c r="L184" i="12"/>
  <c r="K184" i="12"/>
  <c r="BD183" i="12"/>
  <c r="BB183" i="12"/>
  <c r="AF183" i="12"/>
  <c r="L183" i="12"/>
  <c r="K183" i="12"/>
  <c r="BD182" i="12"/>
  <c r="BB182" i="12"/>
  <c r="AF182" i="12"/>
  <c r="L182" i="12"/>
  <c r="K182" i="12"/>
  <c r="BD181" i="12"/>
  <c r="BB181" i="12"/>
  <c r="AF181" i="12"/>
  <c r="L181" i="12"/>
  <c r="K181" i="12"/>
  <c r="BD180" i="12"/>
  <c r="BB180" i="12"/>
  <c r="AF180" i="12"/>
  <c r="L180" i="12"/>
  <c r="K180" i="12"/>
  <c r="BD179" i="12"/>
  <c r="BB179" i="12"/>
  <c r="AF179" i="12"/>
  <c r="L179" i="12"/>
  <c r="K179" i="12"/>
  <c r="BD178" i="12"/>
  <c r="BB178" i="12"/>
  <c r="AF178" i="12"/>
  <c r="L178" i="12"/>
  <c r="K178" i="12"/>
  <c r="BD177" i="12"/>
  <c r="BB177" i="12"/>
  <c r="AF177" i="12"/>
  <c r="L177" i="12"/>
  <c r="K177" i="12"/>
  <c r="BD176" i="12"/>
  <c r="BB176" i="12"/>
  <c r="AF176" i="12"/>
  <c r="L176" i="12"/>
  <c r="K176" i="12"/>
  <c r="BD175" i="12"/>
  <c r="BB175" i="12"/>
  <c r="AF175" i="12"/>
  <c r="L175" i="12"/>
  <c r="K175" i="12"/>
  <c r="BD174" i="12"/>
  <c r="BB174" i="12"/>
  <c r="AF174" i="12"/>
  <c r="L174" i="12"/>
  <c r="K174" i="12"/>
  <c r="BD173" i="12"/>
  <c r="BB173" i="12"/>
  <c r="AF173" i="12"/>
  <c r="L173" i="12"/>
  <c r="K173" i="12"/>
  <c r="BD172" i="12"/>
  <c r="BB172" i="12"/>
  <c r="AF172" i="12"/>
  <c r="L172" i="12"/>
  <c r="K172" i="12"/>
  <c r="BD171" i="12"/>
  <c r="BB171" i="12"/>
  <c r="AF171" i="12"/>
  <c r="L171" i="12"/>
  <c r="K171" i="12"/>
  <c r="BD170" i="12"/>
  <c r="BB170" i="12"/>
  <c r="AF170" i="12"/>
  <c r="L170" i="12"/>
  <c r="K170" i="12"/>
  <c r="BD169" i="12"/>
  <c r="BB169" i="12"/>
  <c r="AF169" i="12"/>
  <c r="L169" i="12"/>
  <c r="K169" i="12"/>
  <c r="BD168" i="12"/>
  <c r="BB168" i="12"/>
  <c r="AF168" i="12"/>
  <c r="L168" i="12"/>
  <c r="K168" i="12"/>
  <c r="BD167" i="12"/>
  <c r="BB167" i="12"/>
  <c r="AF167" i="12"/>
  <c r="L167" i="12"/>
  <c r="K167" i="12"/>
  <c r="BD166" i="12"/>
  <c r="BB166" i="12"/>
  <c r="AF166" i="12"/>
  <c r="L166" i="12"/>
  <c r="K166" i="12"/>
  <c r="BD165" i="12"/>
  <c r="BB165" i="12"/>
  <c r="AF165" i="12"/>
  <c r="L165" i="12"/>
  <c r="K165" i="12"/>
  <c r="BD164" i="12"/>
  <c r="BB164" i="12"/>
  <c r="AF164" i="12"/>
  <c r="L164" i="12"/>
  <c r="K164" i="12"/>
  <c r="BD163" i="12"/>
  <c r="BB163" i="12"/>
  <c r="AF163" i="12"/>
  <c r="L163" i="12"/>
  <c r="K163" i="12"/>
  <c r="BD162" i="12"/>
  <c r="BB162" i="12"/>
  <c r="AF162" i="12"/>
  <c r="L162" i="12"/>
  <c r="K162" i="12"/>
  <c r="BD161" i="12"/>
  <c r="BB161" i="12"/>
  <c r="AF161" i="12"/>
  <c r="L161" i="12"/>
  <c r="K161" i="12"/>
  <c r="BD160" i="12"/>
  <c r="BB160" i="12"/>
  <c r="AF160" i="12"/>
  <c r="L160" i="12"/>
  <c r="K160" i="12"/>
  <c r="BD159" i="12"/>
  <c r="BB159" i="12"/>
  <c r="AF159" i="12"/>
  <c r="L159" i="12"/>
  <c r="K159" i="12"/>
  <c r="BD158" i="12"/>
  <c r="BB158" i="12"/>
  <c r="AF158" i="12"/>
  <c r="L158" i="12"/>
  <c r="K158" i="12"/>
  <c r="BD157" i="12"/>
  <c r="BB157" i="12"/>
  <c r="AF157" i="12"/>
  <c r="L157" i="12"/>
  <c r="K157" i="12"/>
  <c r="BD156" i="12"/>
  <c r="BB156" i="12"/>
  <c r="AF156" i="12"/>
  <c r="L156" i="12"/>
  <c r="K156" i="12"/>
  <c r="BD155" i="12"/>
  <c r="BB155" i="12"/>
  <c r="AF155" i="12"/>
  <c r="L155" i="12"/>
  <c r="K155" i="12"/>
  <c r="BD154" i="12"/>
  <c r="BB154" i="12"/>
  <c r="AF154" i="12"/>
  <c r="L154" i="12"/>
  <c r="K154" i="12"/>
  <c r="BD153" i="12"/>
  <c r="BB153" i="12"/>
  <c r="AF153" i="12"/>
  <c r="L153" i="12"/>
  <c r="K153" i="12"/>
  <c r="BD152" i="12"/>
  <c r="BB152" i="12"/>
  <c r="AF152" i="12"/>
  <c r="L152" i="12"/>
  <c r="K152" i="12"/>
  <c r="BD151" i="12"/>
  <c r="BB151" i="12"/>
  <c r="AF151" i="12"/>
  <c r="L151" i="12"/>
  <c r="K151" i="12"/>
  <c r="BD150" i="12"/>
  <c r="BB150" i="12"/>
  <c r="AF150" i="12"/>
  <c r="L150" i="12"/>
  <c r="K150" i="12"/>
  <c r="BD149" i="12"/>
  <c r="BB149" i="12"/>
  <c r="AF149" i="12"/>
  <c r="L149" i="12"/>
  <c r="K149" i="12"/>
  <c r="BD148" i="12"/>
  <c r="BB148" i="12"/>
  <c r="AF148" i="12"/>
  <c r="L148" i="12"/>
  <c r="K148" i="12"/>
  <c r="BD147" i="12"/>
  <c r="BB147" i="12"/>
  <c r="AF147" i="12"/>
  <c r="L147" i="12"/>
  <c r="K147" i="12"/>
  <c r="BD146" i="12"/>
  <c r="BB146" i="12"/>
  <c r="AF146" i="12"/>
  <c r="L146" i="12"/>
  <c r="K146" i="12"/>
  <c r="BD145" i="12"/>
  <c r="BB145" i="12"/>
  <c r="AF145" i="12"/>
  <c r="L145" i="12"/>
  <c r="K145" i="12"/>
  <c r="BD144" i="12"/>
  <c r="BB144" i="12"/>
  <c r="AF144" i="12"/>
  <c r="L144" i="12"/>
  <c r="K144" i="12"/>
  <c r="BD143" i="12"/>
  <c r="BB143" i="12"/>
  <c r="AF143" i="12"/>
  <c r="L143" i="12"/>
  <c r="K143" i="12"/>
  <c r="BD142" i="12"/>
  <c r="BB142" i="12"/>
  <c r="AF142" i="12"/>
  <c r="L142" i="12"/>
  <c r="K142" i="12"/>
  <c r="BD141" i="12"/>
  <c r="BB141" i="12"/>
  <c r="AF141" i="12"/>
  <c r="L141" i="12"/>
  <c r="K141" i="12"/>
  <c r="BD140" i="12"/>
  <c r="BB140" i="12"/>
  <c r="AF140" i="12"/>
  <c r="L140" i="12"/>
  <c r="K140" i="12"/>
  <c r="BD139" i="12"/>
  <c r="BB139" i="12"/>
  <c r="AF139" i="12"/>
  <c r="L139" i="12"/>
  <c r="K139" i="12"/>
  <c r="BD138" i="12"/>
  <c r="BB138" i="12"/>
  <c r="AF138" i="12"/>
  <c r="L138" i="12"/>
  <c r="K138" i="12"/>
  <c r="BD137" i="12"/>
  <c r="BB137" i="12"/>
  <c r="AF137" i="12"/>
  <c r="L137" i="12"/>
  <c r="K137" i="12"/>
  <c r="BD136" i="12"/>
  <c r="BB136" i="12"/>
  <c r="AF136" i="12"/>
  <c r="L136" i="12"/>
  <c r="K136" i="12"/>
  <c r="BD135" i="12"/>
  <c r="BB135" i="12"/>
  <c r="AF135" i="12"/>
  <c r="L135" i="12"/>
  <c r="K135" i="12"/>
  <c r="BD134" i="12"/>
  <c r="BB134" i="12"/>
  <c r="AF134" i="12"/>
  <c r="L134" i="12"/>
  <c r="K134" i="12"/>
  <c r="BD133" i="12"/>
  <c r="BB133" i="12"/>
  <c r="AF133" i="12"/>
  <c r="L133" i="12"/>
  <c r="K133" i="12"/>
  <c r="BD132" i="12"/>
  <c r="BB132" i="12"/>
  <c r="AF132" i="12"/>
  <c r="L132" i="12"/>
  <c r="K132" i="12"/>
  <c r="BD131" i="12"/>
  <c r="BB131" i="12"/>
  <c r="AF131" i="12"/>
  <c r="L131" i="12"/>
  <c r="K131" i="12"/>
  <c r="BD130" i="12"/>
  <c r="BB130" i="12"/>
  <c r="AF130" i="12"/>
  <c r="L130" i="12"/>
  <c r="K130" i="12"/>
  <c r="BD129" i="12"/>
  <c r="BB129" i="12"/>
  <c r="AF129" i="12"/>
  <c r="L129" i="12"/>
  <c r="K129" i="12"/>
  <c r="BD128" i="12"/>
  <c r="BB128" i="12"/>
  <c r="AF128" i="12"/>
  <c r="L128" i="12"/>
  <c r="K128" i="12"/>
  <c r="BD127" i="12"/>
  <c r="BB127" i="12"/>
  <c r="AF127" i="12"/>
  <c r="L127" i="12"/>
  <c r="K127" i="12"/>
  <c r="BD126" i="12"/>
  <c r="BB126" i="12"/>
  <c r="AF126" i="12"/>
  <c r="L126" i="12"/>
  <c r="K126" i="12"/>
  <c r="BD125" i="12"/>
  <c r="BB125" i="12"/>
  <c r="AF125" i="12"/>
  <c r="L125" i="12"/>
  <c r="K125" i="12"/>
  <c r="BD124" i="12"/>
  <c r="BB124" i="12"/>
  <c r="AF124" i="12"/>
  <c r="L124" i="12"/>
  <c r="K124" i="12"/>
  <c r="BD123" i="12"/>
  <c r="BB123" i="12"/>
  <c r="AF123" i="12"/>
  <c r="L123" i="12"/>
  <c r="K123" i="12"/>
  <c r="BD122" i="12"/>
  <c r="BB122" i="12"/>
  <c r="AF122" i="12"/>
  <c r="L122" i="12"/>
  <c r="K122" i="12"/>
  <c r="BD121" i="12"/>
  <c r="BB121" i="12"/>
  <c r="AF121" i="12"/>
  <c r="L121" i="12"/>
  <c r="K121" i="12"/>
  <c r="BD120" i="12"/>
  <c r="BB120" i="12"/>
  <c r="AF120" i="12"/>
  <c r="L120" i="12"/>
  <c r="K120" i="12"/>
  <c r="BD119" i="12"/>
  <c r="BB119" i="12"/>
  <c r="AF119" i="12"/>
  <c r="L119" i="12"/>
  <c r="K119" i="12"/>
  <c r="BD118" i="12"/>
  <c r="BB118" i="12"/>
  <c r="AF118" i="12"/>
  <c r="L118" i="12"/>
  <c r="K118" i="12"/>
  <c r="BD117" i="12"/>
  <c r="BB117" i="12"/>
  <c r="AF117" i="12"/>
  <c r="L117" i="12"/>
  <c r="K117" i="12"/>
  <c r="BD116" i="12"/>
  <c r="BB116" i="12"/>
  <c r="AF116" i="12"/>
  <c r="L116" i="12"/>
  <c r="K116" i="12"/>
  <c r="BD115" i="12"/>
  <c r="BB115" i="12"/>
  <c r="AF115" i="12"/>
  <c r="L115" i="12"/>
  <c r="K115" i="12"/>
  <c r="BD114" i="12"/>
  <c r="BB114" i="12"/>
  <c r="AF114" i="12"/>
  <c r="L114" i="12"/>
  <c r="K114" i="12"/>
  <c r="BD113" i="12"/>
  <c r="BB113" i="12"/>
  <c r="AF113" i="12"/>
  <c r="L113" i="12"/>
  <c r="K113" i="12"/>
  <c r="BD112" i="12"/>
  <c r="BB112" i="12"/>
  <c r="AF112" i="12"/>
  <c r="L112" i="12"/>
  <c r="K112" i="12"/>
  <c r="BD111" i="12"/>
  <c r="BB111" i="12"/>
  <c r="AF111" i="12"/>
  <c r="L111" i="12"/>
  <c r="K111" i="12"/>
  <c r="BD110" i="12"/>
  <c r="BB110" i="12"/>
  <c r="AF110" i="12"/>
  <c r="L110" i="12"/>
  <c r="K110" i="12"/>
  <c r="BD109" i="12"/>
  <c r="BB109" i="12"/>
  <c r="AF109" i="12"/>
  <c r="L109" i="12"/>
  <c r="K109" i="12"/>
  <c r="BD108" i="12"/>
  <c r="BB108" i="12"/>
  <c r="AF108" i="12"/>
  <c r="L108" i="12"/>
  <c r="K108" i="12"/>
  <c r="BD107" i="12"/>
  <c r="BB107" i="12"/>
  <c r="AF107" i="12"/>
  <c r="L107" i="12"/>
  <c r="K107" i="12"/>
  <c r="BD106" i="12"/>
  <c r="BB106" i="12"/>
  <c r="AF106" i="12"/>
  <c r="L106" i="12"/>
  <c r="K106" i="12"/>
  <c r="BD105" i="12"/>
  <c r="BB105" i="12"/>
  <c r="AF105" i="12"/>
  <c r="L105" i="12"/>
  <c r="K105" i="12"/>
  <c r="BD104" i="12"/>
  <c r="BB104" i="12"/>
  <c r="AF104" i="12"/>
  <c r="L104" i="12"/>
  <c r="K104" i="12"/>
  <c r="BD103" i="12"/>
  <c r="BB103" i="12"/>
  <c r="AF103" i="12"/>
  <c r="L103" i="12"/>
  <c r="K103" i="12"/>
  <c r="BD102" i="12"/>
  <c r="BB102" i="12"/>
  <c r="AF102" i="12"/>
  <c r="L102" i="12"/>
  <c r="K102" i="12"/>
  <c r="BD101" i="12"/>
  <c r="BB101" i="12"/>
  <c r="AF101" i="12"/>
  <c r="L101" i="12"/>
  <c r="K101" i="12"/>
  <c r="BD100" i="12"/>
  <c r="BB100" i="12"/>
  <c r="AF100" i="12"/>
  <c r="L100" i="12"/>
  <c r="K100" i="12"/>
  <c r="BD99" i="12"/>
  <c r="BB99" i="12"/>
  <c r="AF99" i="12"/>
  <c r="L99" i="12"/>
  <c r="K99" i="12"/>
  <c r="BD98" i="12"/>
  <c r="BB98" i="12"/>
  <c r="AF98" i="12"/>
  <c r="L98" i="12"/>
  <c r="K98" i="12"/>
  <c r="BD97" i="12"/>
  <c r="BB97" i="12"/>
  <c r="AF97" i="12"/>
  <c r="L97" i="12"/>
  <c r="K97" i="12"/>
  <c r="BD96" i="12"/>
  <c r="BB96" i="12"/>
  <c r="AF96" i="12"/>
  <c r="L96" i="12"/>
  <c r="K96" i="12"/>
  <c r="BD95" i="12"/>
  <c r="BB95" i="12"/>
  <c r="AF95" i="12"/>
  <c r="L95" i="12"/>
  <c r="K95" i="12"/>
  <c r="BD94" i="12"/>
  <c r="BB94" i="12"/>
  <c r="AF94" i="12"/>
  <c r="L94" i="12"/>
  <c r="K94" i="12"/>
  <c r="BD93" i="12"/>
  <c r="BB93" i="12"/>
  <c r="AF93" i="12"/>
  <c r="L93" i="12"/>
  <c r="K93" i="12"/>
  <c r="BD92" i="12"/>
  <c r="BB92" i="12"/>
  <c r="AF92" i="12"/>
  <c r="L92" i="12"/>
  <c r="K92" i="12"/>
  <c r="BD91" i="12"/>
  <c r="BB91" i="12"/>
  <c r="AF91" i="12"/>
  <c r="L91" i="12"/>
  <c r="K91" i="12"/>
  <c r="BD90" i="12"/>
  <c r="BB90" i="12"/>
  <c r="AF90" i="12"/>
  <c r="L90" i="12"/>
  <c r="K90" i="12"/>
  <c r="BD89" i="12"/>
  <c r="BB89" i="12"/>
  <c r="AF89" i="12"/>
  <c r="L89" i="12"/>
  <c r="K89" i="12"/>
  <c r="BD88" i="12"/>
  <c r="BB88" i="12"/>
  <c r="AF88" i="12"/>
  <c r="L88" i="12"/>
  <c r="K88" i="12"/>
  <c r="BD87" i="12"/>
  <c r="BB87" i="12"/>
  <c r="AF87" i="12"/>
  <c r="L87" i="12"/>
  <c r="K87" i="12"/>
  <c r="BD86" i="12"/>
  <c r="BB86" i="12"/>
  <c r="AF86" i="12"/>
  <c r="L86" i="12"/>
  <c r="K86" i="12"/>
  <c r="BD85" i="12"/>
  <c r="BB85" i="12"/>
  <c r="AF85" i="12"/>
  <c r="L85" i="12"/>
  <c r="K85" i="12"/>
  <c r="BD84" i="12"/>
  <c r="BB84" i="12"/>
  <c r="AF84" i="12"/>
  <c r="L84" i="12"/>
  <c r="K84" i="12"/>
  <c r="BD83" i="12"/>
  <c r="BB83" i="12"/>
  <c r="AF83" i="12"/>
  <c r="L83" i="12"/>
  <c r="K83" i="12"/>
  <c r="BD82" i="12"/>
  <c r="BB82" i="12"/>
  <c r="AF82" i="12"/>
  <c r="L82" i="12"/>
  <c r="K82" i="12"/>
  <c r="BD81" i="12"/>
  <c r="BB81" i="12"/>
  <c r="AF81" i="12"/>
  <c r="L81" i="12"/>
  <c r="K81" i="12"/>
  <c r="BD80" i="12"/>
  <c r="BB80" i="12"/>
  <c r="AF80" i="12"/>
  <c r="L80" i="12"/>
  <c r="K80" i="12"/>
  <c r="BD79" i="12"/>
  <c r="BB79" i="12"/>
  <c r="AF79" i="12"/>
  <c r="L79" i="12"/>
  <c r="K79" i="12"/>
  <c r="BD78" i="12"/>
  <c r="BB78" i="12"/>
  <c r="AF78" i="12"/>
  <c r="L78" i="12"/>
  <c r="K78" i="12"/>
  <c r="BD77" i="12"/>
  <c r="BB77" i="12"/>
  <c r="AF77" i="12"/>
  <c r="L77" i="12"/>
  <c r="K77" i="12"/>
  <c r="BD76" i="12"/>
  <c r="BB76" i="12"/>
  <c r="AF76" i="12"/>
  <c r="L76" i="12"/>
  <c r="K76" i="12"/>
  <c r="BD75" i="12"/>
  <c r="BB75" i="12"/>
  <c r="AF75" i="12"/>
  <c r="L75" i="12"/>
  <c r="K75" i="12"/>
  <c r="BD74" i="12"/>
  <c r="BB74" i="12"/>
  <c r="AF74" i="12"/>
  <c r="L74" i="12"/>
  <c r="K74" i="12"/>
  <c r="BD73" i="12"/>
  <c r="BB73" i="12"/>
  <c r="AF73" i="12"/>
  <c r="L73" i="12"/>
  <c r="K73" i="12"/>
  <c r="BD72" i="12"/>
  <c r="BB72" i="12"/>
  <c r="AF72" i="12"/>
  <c r="L72" i="12"/>
  <c r="K72" i="12"/>
  <c r="BD71" i="12"/>
  <c r="BB71" i="12"/>
  <c r="AF71" i="12"/>
  <c r="L71" i="12"/>
  <c r="K71" i="12"/>
  <c r="BD70" i="12"/>
  <c r="BB70" i="12"/>
  <c r="AF70" i="12"/>
  <c r="L70" i="12"/>
  <c r="K70" i="12"/>
  <c r="BD69" i="12"/>
  <c r="BB69" i="12"/>
  <c r="AF69" i="12"/>
  <c r="L69" i="12"/>
  <c r="K69" i="12"/>
  <c r="BD68" i="12"/>
  <c r="BB68" i="12"/>
  <c r="AF68" i="12"/>
  <c r="L68" i="12"/>
  <c r="K68" i="12"/>
  <c r="BD67" i="12"/>
  <c r="BB67" i="12"/>
  <c r="AF67" i="12"/>
  <c r="L67" i="12"/>
  <c r="K67" i="12"/>
  <c r="BD66" i="12"/>
  <c r="BB66" i="12"/>
  <c r="AF66" i="12"/>
  <c r="L66" i="12"/>
  <c r="K66" i="12"/>
  <c r="BD65" i="12"/>
  <c r="BB65" i="12"/>
  <c r="AF65" i="12"/>
  <c r="L65" i="12"/>
  <c r="K65" i="12"/>
  <c r="BD64" i="12"/>
  <c r="BB64" i="12"/>
  <c r="AF64" i="12"/>
  <c r="L64" i="12"/>
  <c r="K64" i="12"/>
  <c r="BD63" i="12"/>
  <c r="BB63" i="12"/>
  <c r="AF63" i="12"/>
  <c r="L63" i="12"/>
  <c r="K63" i="12"/>
  <c r="BD62" i="12"/>
  <c r="BB62" i="12"/>
  <c r="AF62" i="12"/>
  <c r="L62" i="12"/>
  <c r="K62" i="12"/>
  <c r="BD61" i="12"/>
  <c r="BB61" i="12"/>
  <c r="AF61" i="12"/>
  <c r="L61" i="12"/>
  <c r="K61" i="12"/>
  <c r="BD60" i="12"/>
  <c r="BB60" i="12"/>
  <c r="AF60" i="12"/>
  <c r="L60" i="12"/>
  <c r="K60" i="12"/>
  <c r="BD59" i="12"/>
  <c r="BB59" i="12"/>
  <c r="AF59" i="12"/>
  <c r="L59" i="12"/>
  <c r="K59" i="12"/>
  <c r="BD58" i="12"/>
  <c r="BB58" i="12"/>
  <c r="AF58" i="12"/>
  <c r="L58" i="12"/>
  <c r="K58" i="12"/>
  <c r="BD57" i="12"/>
  <c r="BB57" i="12"/>
  <c r="AF57" i="12"/>
  <c r="L57" i="12"/>
  <c r="K57" i="12"/>
  <c r="BD56" i="12"/>
  <c r="BB56" i="12"/>
  <c r="AF56" i="12"/>
  <c r="L56" i="12"/>
  <c r="K56" i="12"/>
  <c r="BD55" i="12"/>
  <c r="BB55" i="12"/>
  <c r="AF55" i="12"/>
  <c r="L55" i="12"/>
  <c r="K55" i="12"/>
  <c r="BD54" i="12"/>
  <c r="BB54" i="12"/>
  <c r="AF54" i="12"/>
  <c r="L54" i="12"/>
  <c r="K54" i="12"/>
  <c r="BD53" i="12"/>
  <c r="BB53" i="12"/>
  <c r="AF53" i="12"/>
  <c r="L53" i="12"/>
  <c r="K53" i="12"/>
  <c r="BD52" i="12"/>
  <c r="BB52" i="12"/>
  <c r="AF52" i="12"/>
  <c r="L52" i="12"/>
  <c r="K52" i="12"/>
  <c r="BD51" i="12"/>
  <c r="BB51" i="12"/>
  <c r="AF51" i="12"/>
  <c r="L51" i="12"/>
  <c r="K51" i="12"/>
  <c r="BD50" i="12"/>
  <c r="BB50" i="12"/>
  <c r="AF50" i="12"/>
  <c r="L50" i="12"/>
  <c r="K50" i="12"/>
  <c r="BD49" i="12"/>
  <c r="BB49" i="12"/>
  <c r="AF49" i="12"/>
  <c r="L49" i="12"/>
  <c r="K49" i="12"/>
  <c r="BD48" i="12"/>
  <c r="BB48" i="12"/>
  <c r="AF48" i="12"/>
  <c r="L48" i="12"/>
  <c r="K48" i="12"/>
  <c r="BD47" i="12"/>
  <c r="BB47" i="12"/>
  <c r="AF47" i="12"/>
  <c r="L47" i="12"/>
  <c r="K47" i="12"/>
  <c r="BD46" i="12"/>
  <c r="BB46" i="12"/>
  <c r="AF46" i="12"/>
  <c r="L46" i="12"/>
  <c r="K46" i="12"/>
  <c r="BD45" i="12"/>
  <c r="BB45" i="12"/>
  <c r="AF45" i="12"/>
  <c r="L45" i="12"/>
  <c r="K45" i="12"/>
  <c r="BD44" i="12"/>
  <c r="BB44" i="12"/>
  <c r="AF44" i="12"/>
  <c r="L44" i="12"/>
  <c r="K44" i="12"/>
  <c r="BD43" i="12"/>
  <c r="BB43" i="12"/>
  <c r="AF43" i="12"/>
  <c r="L43" i="12"/>
  <c r="K43" i="12"/>
  <c r="BD42" i="12"/>
  <c r="BB42" i="12"/>
  <c r="AF42" i="12"/>
  <c r="L42" i="12"/>
  <c r="K42" i="12"/>
  <c r="BD41" i="12"/>
  <c r="BB41" i="12"/>
  <c r="AF41" i="12"/>
  <c r="L41" i="12"/>
  <c r="K41" i="12"/>
  <c r="BD40" i="12"/>
  <c r="BB40" i="12"/>
  <c r="AF40" i="12"/>
  <c r="L40" i="12"/>
  <c r="K40" i="12"/>
  <c r="BD39" i="12"/>
  <c r="BB39" i="12"/>
  <c r="AF39" i="12"/>
  <c r="L39" i="12"/>
  <c r="K39" i="12"/>
  <c r="BD38" i="12"/>
  <c r="BB38" i="12"/>
  <c r="AF38" i="12"/>
  <c r="L38" i="12"/>
  <c r="K38" i="12"/>
  <c r="BD37" i="12"/>
  <c r="BB37" i="12"/>
  <c r="AF37" i="12"/>
  <c r="L37" i="12"/>
  <c r="K37" i="12"/>
  <c r="BD36" i="12"/>
  <c r="BB36" i="12"/>
  <c r="AF36" i="12"/>
  <c r="L36" i="12"/>
  <c r="K36" i="12"/>
  <c r="BD35" i="12"/>
  <c r="BB35" i="12"/>
  <c r="AF35" i="12"/>
  <c r="L35" i="12"/>
  <c r="K35" i="12"/>
  <c r="BD34" i="12"/>
  <c r="BB34" i="12"/>
  <c r="AF34" i="12"/>
  <c r="L34" i="12"/>
  <c r="K34" i="12"/>
  <c r="BD33" i="12"/>
  <c r="BB33" i="12"/>
  <c r="AF33" i="12"/>
  <c r="L33" i="12"/>
  <c r="K33" i="12"/>
  <c r="BD32" i="12"/>
  <c r="BB32" i="12"/>
  <c r="AF32" i="12"/>
  <c r="L32" i="12"/>
  <c r="K32" i="12"/>
  <c r="BD31" i="12"/>
  <c r="BB31" i="12"/>
  <c r="AF31" i="12"/>
  <c r="L31" i="12"/>
  <c r="K31" i="12"/>
  <c r="BD30" i="12"/>
  <c r="BB30" i="12"/>
  <c r="AF30" i="12"/>
  <c r="L30" i="12"/>
  <c r="K30" i="12"/>
  <c r="BD29" i="12"/>
  <c r="BB29" i="12"/>
  <c r="AF29" i="12"/>
  <c r="L29" i="12"/>
  <c r="K29" i="12"/>
  <c r="BD28" i="12"/>
  <c r="BB28" i="12"/>
  <c r="AF28" i="12"/>
  <c r="L28" i="12"/>
  <c r="K28" i="12"/>
  <c r="BD27" i="12"/>
  <c r="BB27" i="12"/>
  <c r="AF27" i="12"/>
  <c r="L27" i="12"/>
  <c r="K27" i="12"/>
  <c r="BD26" i="12"/>
  <c r="BB26" i="12"/>
  <c r="AF26" i="12"/>
  <c r="L26" i="12"/>
  <c r="K26" i="12"/>
  <c r="BD25" i="12"/>
  <c r="BB25" i="12"/>
  <c r="AF25" i="12"/>
  <c r="L25" i="12"/>
  <c r="K25" i="12"/>
  <c r="BD24" i="12"/>
  <c r="BB24" i="12"/>
  <c r="AF24" i="12"/>
  <c r="L24" i="12"/>
  <c r="K24" i="12"/>
  <c r="BD23" i="12"/>
  <c r="BB23" i="12"/>
  <c r="AF23" i="12"/>
  <c r="L23" i="12"/>
  <c r="K23" i="12"/>
  <c r="BD22" i="12"/>
  <c r="BB22" i="12"/>
  <c r="AF22" i="12"/>
  <c r="L22" i="12"/>
  <c r="K22" i="12"/>
  <c r="BD21" i="12"/>
  <c r="BB21" i="12"/>
  <c r="AF21" i="12"/>
  <c r="L21" i="12"/>
  <c r="K21" i="12"/>
  <c r="BD20" i="12"/>
  <c r="BB20" i="12"/>
  <c r="AF20" i="12"/>
  <c r="L20" i="12"/>
  <c r="K20" i="12"/>
  <c r="BD19" i="12"/>
  <c r="BB19" i="12"/>
  <c r="AF19" i="12"/>
  <c r="L19" i="12"/>
  <c r="K19" i="12"/>
  <c r="BD18" i="12"/>
  <c r="BB18" i="12"/>
  <c r="AF18" i="12"/>
  <c r="L18" i="12"/>
  <c r="K18" i="12"/>
  <c r="BD17" i="12"/>
  <c r="BB17" i="12"/>
  <c r="AF17" i="12"/>
  <c r="L17" i="12"/>
  <c r="K17" i="12"/>
  <c r="BD16" i="12"/>
  <c r="BB16" i="12"/>
  <c r="AF16" i="12"/>
  <c r="L16" i="12"/>
  <c r="K16" i="12"/>
  <c r="BD15" i="12"/>
  <c r="BB15" i="12"/>
  <c r="AF15" i="12"/>
  <c r="L15" i="12"/>
  <c r="K15" i="12"/>
  <c r="BD14" i="12"/>
  <c r="BB14" i="12"/>
  <c r="AF14" i="12"/>
  <c r="L14" i="12"/>
  <c r="K14" i="12"/>
  <c r="BD13" i="12"/>
  <c r="BB13" i="12"/>
  <c r="AF13" i="12"/>
  <c r="L13" i="12"/>
  <c r="K13" i="12"/>
  <c r="BD12" i="12"/>
  <c r="BB12" i="12"/>
  <c r="AF12" i="12"/>
  <c r="L12" i="12"/>
  <c r="K12" i="12"/>
  <c r="BD11" i="12"/>
  <c r="BB11" i="12"/>
  <c r="AF11" i="12"/>
  <c r="L11" i="12"/>
  <c r="K11" i="12"/>
  <c r="BD10" i="12"/>
  <c r="BB10" i="12"/>
  <c r="AF10" i="12"/>
  <c r="L10" i="12"/>
  <c r="K10" i="12"/>
  <c r="BD9" i="12"/>
  <c r="BB9" i="12"/>
  <c r="AF9" i="12"/>
  <c r="L9" i="12"/>
  <c r="K9" i="12"/>
  <c r="BD8" i="12"/>
  <c r="BB8" i="12"/>
  <c r="AF8" i="12"/>
  <c r="L8" i="12"/>
  <c r="K8" i="12"/>
  <c r="BD7" i="12"/>
  <c r="BB7" i="12"/>
  <c r="AF7" i="12"/>
  <c r="L7" i="12"/>
  <c r="K7" i="12"/>
  <c r="BD6" i="12"/>
  <c r="BB6" i="12"/>
  <c r="AF6" i="12"/>
  <c r="L6" i="12"/>
  <c r="K6" i="12"/>
  <c r="BD5" i="12"/>
  <c r="BB5" i="12"/>
  <c r="AF5" i="12"/>
  <c r="L5" i="12"/>
  <c r="K5" i="12"/>
  <c r="BD136" i="5"/>
  <c r="BB136" i="5"/>
  <c r="AF136" i="5"/>
  <c r="L136" i="5"/>
  <c r="K136" i="5"/>
  <c r="BD135" i="5"/>
  <c r="BB135" i="5"/>
  <c r="AF135" i="5"/>
  <c r="L135" i="5"/>
  <c r="K135" i="5"/>
  <c r="BD134" i="5"/>
  <c r="BB134" i="5"/>
  <c r="AF134" i="5"/>
  <c r="L134" i="5"/>
  <c r="K134" i="5"/>
  <c r="BD133" i="5"/>
  <c r="BB133" i="5"/>
  <c r="AF133" i="5"/>
  <c r="L133" i="5"/>
  <c r="K133" i="5"/>
  <c r="BD132" i="5"/>
  <c r="BB132" i="5"/>
  <c r="AF132" i="5"/>
  <c r="L132" i="5"/>
  <c r="K132" i="5"/>
  <c r="BD131" i="5"/>
  <c r="BB131" i="5"/>
  <c r="AF131" i="5"/>
  <c r="L131" i="5"/>
  <c r="K131" i="5"/>
  <c r="BD130" i="5"/>
  <c r="BB130" i="5"/>
  <c r="AF130" i="5"/>
  <c r="L130" i="5"/>
  <c r="K130" i="5"/>
  <c r="BD129" i="5"/>
  <c r="BB129" i="5"/>
  <c r="AF129" i="5"/>
  <c r="L129" i="5"/>
  <c r="K129" i="5"/>
  <c r="BD128" i="5"/>
  <c r="BB128" i="5"/>
  <c r="AF128" i="5"/>
  <c r="L128" i="5"/>
  <c r="K128" i="5"/>
  <c r="BD127" i="5"/>
  <c r="BB127" i="5"/>
  <c r="AF127" i="5"/>
  <c r="L127" i="5"/>
  <c r="K127" i="5"/>
  <c r="BD126" i="5"/>
  <c r="BB126" i="5"/>
  <c r="AF126" i="5"/>
  <c r="L126" i="5"/>
  <c r="K126" i="5"/>
  <c r="BD125" i="5"/>
  <c r="BB125" i="5"/>
  <c r="AF125" i="5"/>
  <c r="L125" i="5"/>
  <c r="K125" i="5"/>
  <c r="BD124" i="5"/>
  <c r="BB124" i="5"/>
  <c r="AF124" i="5"/>
  <c r="L124" i="5"/>
  <c r="K124" i="5"/>
  <c r="BD123" i="5"/>
  <c r="BB123" i="5"/>
  <c r="AF123" i="5"/>
  <c r="L123" i="5"/>
  <c r="K123" i="5"/>
  <c r="BD122" i="5"/>
  <c r="BB122" i="5"/>
  <c r="AF122" i="5"/>
  <c r="L122" i="5"/>
  <c r="K122" i="5"/>
  <c r="BD121" i="5"/>
  <c r="BB121" i="5"/>
  <c r="AF121" i="5"/>
  <c r="L121" i="5"/>
  <c r="K121" i="5"/>
  <c r="BD120" i="5"/>
  <c r="BB120" i="5"/>
  <c r="AF120" i="5"/>
  <c r="L120" i="5"/>
  <c r="K120" i="5"/>
  <c r="BD119" i="5"/>
  <c r="BB119" i="5"/>
  <c r="AF119" i="5"/>
  <c r="L119" i="5"/>
  <c r="K119" i="5"/>
  <c r="BD118" i="5"/>
  <c r="BB118" i="5"/>
  <c r="AF118" i="5"/>
  <c r="L118" i="5"/>
  <c r="K118" i="5"/>
  <c r="BD117" i="5"/>
  <c r="BB117" i="5"/>
  <c r="AF117" i="5"/>
  <c r="L117" i="5"/>
  <c r="K117" i="5"/>
  <c r="BD116" i="5"/>
  <c r="BB116" i="5"/>
  <c r="AF116" i="5"/>
  <c r="L116" i="5"/>
  <c r="K116" i="5"/>
  <c r="BD115" i="5"/>
  <c r="BB115" i="5"/>
  <c r="AF115" i="5"/>
  <c r="L115" i="5"/>
  <c r="K115" i="5"/>
  <c r="BD114" i="5"/>
  <c r="BB114" i="5"/>
  <c r="AF114" i="5"/>
  <c r="L114" i="5"/>
  <c r="K114" i="5"/>
  <c r="BD113" i="5"/>
  <c r="BB113" i="5"/>
  <c r="AF113" i="5"/>
  <c r="L113" i="5"/>
  <c r="K113" i="5"/>
  <c r="BD112" i="5"/>
  <c r="BB112" i="5"/>
  <c r="AF112" i="5"/>
  <c r="L112" i="5"/>
  <c r="K112" i="5"/>
  <c r="BD111" i="5"/>
  <c r="BB111" i="5"/>
  <c r="AF111" i="5"/>
  <c r="L111" i="5"/>
  <c r="K111" i="5"/>
  <c r="BD110" i="5"/>
  <c r="BB110" i="5"/>
  <c r="AF110" i="5"/>
  <c r="L110" i="5"/>
  <c r="K110" i="5"/>
  <c r="BD109" i="5"/>
  <c r="BB109" i="5"/>
  <c r="AF109" i="5"/>
  <c r="L109" i="5"/>
  <c r="K109" i="5"/>
  <c r="BD108" i="5"/>
  <c r="BB108" i="5"/>
  <c r="AF108" i="5"/>
  <c r="L108" i="5"/>
  <c r="K108" i="5"/>
  <c r="BD107" i="5"/>
  <c r="BB107" i="5"/>
  <c r="AF107" i="5"/>
  <c r="L107" i="5"/>
  <c r="K107" i="5"/>
  <c r="BD106" i="5"/>
  <c r="BB106" i="5"/>
  <c r="AF106" i="5"/>
  <c r="L106" i="5"/>
  <c r="K106" i="5"/>
  <c r="BD105" i="5"/>
  <c r="BB105" i="5"/>
  <c r="AF105" i="5"/>
  <c r="L105" i="5"/>
  <c r="K105" i="5"/>
  <c r="BD104" i="5"/>
  <c r="BB104" i="5"/>
  <c r="AF104" i="5"/>
  <c r="L104" i="5"/>
  <c r="K104" i="5"/>
  <c r="BD103" i="5"/>
  <c r="BB103" i="5"/>
  <c r="AF103" i="5"/>
  <c r="L103" i="5"/>
  <c r="K103" i="5"/>
  <c r="BD102" i="5"/>
  <c r="BB102" i="5"/>
  <c r="AF102" i="5"/>
  <c r="L102" i="5"/>
  <c r="K102" i="5"/>
  <c r="BD101" i="5"/>
  <c r="BB101" i="5"/>
  <c r="AF101" i="5"/>
  <c r="L101" i="5"/>
  <c r="K101" i="5"/>
  <c r="BD100" i="5"/>
  <c r="BB100" i="5"/>
  <c r="AF100" i="5"/>
  <c r="L100" i="5"/>
  <c r="K100" i="5"/>
  <c r="BD99" i="5"/>
  <c r="BB99" i="5"/>
  <c r="AF99" i="5"/>
  <c r="L99" i="5"/>
  <c r="K99" i="5"/>
  <c r="BD98" i="5"/>
  <c r="BB98" i="5"/>
  <c r="AF98" i="5"/>
  <c r="L98" i="5"/>
  <c r="K98" i="5"/>
  <c r="BD97" i="5"/>
  <c r="BB97" i="5"/>
  <c r="AF97" i="5"/>
  <c r="L97" i="5"/>
  <c r="K97" i="5"/>
  <c r="BD96" i="5"/>
  <c r="BB96" i="5"/>
  <c r="AF96" i="5"/>
  <c r="L96" i="5"/>
  <c r="K96" i="5"/>
  <c r="BD95" i="5"/>
  <c r="BB95" i="5"/>
  <c r="AF95" i="5"/>
  <c r="L95" i="5"/>
  <c r="K95" i="5"/>
  <c r="BD94" i="5"/>
  <c r="BB94" i="5"/>
  <c r="AF94" i="5"/>
  <c r="L94" i="5"/>
  <c r="K94" i="5"/>
  <c r="BD93" i="5"/>
  <c r="BB93" i="5"/>
  <c r="AF93" i="5"/>
  <c r="L93" i="5"/>
  <c r="K93" i="5"/>
  <c r="BD92" i="5"/>
  <c r="BB92" i="5"/>
  <c r="AF92" i="5"/>
  <c r="L92" i="5"/>
  <c r="K92" i="5"/>
  <c r="BD91" i="5"/>
  <c r="BB91" i="5"/>
  <c r="AF91" i="5"/>
  <c r="L91" i="5"/>
  <c r="K91" i="5"/>
  <c r="BD90" i="5"/>
  <c r="BB90" i="5"/>
  <c r="AF90" i="5"/>
  <c r="L90" i="5"/>
  <c r="K90" i="5"/>
  <c r="BD89" i="5"/>
  <c r="BB89" i="5"/>
  <c r="AF89" i="5"/>
  <c r="L89" i="5"/>
  <c r="K89" i="5"/>
  <c r="BD88" i="5"/>
  <c r="BB88" i="5"/>
  <c r="AF88" i="5"/>
  <c r="L88" i="5"/>
  <c r="K88" i="5"/>
  <c r="BD87" i="5"/>
  <c r="BB87" i="5"/>
  <c r="AF87" i="5"/>
  <c r="L87" i="5"/>
  <c r="K87" i="5"/>
  <c r="BD86" i="5"/>
  <c r="BB86" i="5"/>
  <c r="AF86" i="5"/>
  <c r="L86" i="5"/>
  <c r="K86" i="5"/>
  <c r="BD85" i="5"/>
  <c r="BB85" i="5"/>
  <c r="AF85" i="5"/>
  <c r="L85" i="5"/>
  <c r="K85" i="5"/>
  <c r="BD84" i="5"/>
  <c r="BB84" i="5"/>
  <c r="AF84" i="5"/>
  <c r="L84" i="5"/>
  <c r="K84" i="5"/>
  <c r="BD83" i="5"/>
  <c r="BB83" i="5"/>
  <c r="AF83" i="5"/>
  <c r="L83" i="5"/>
  <c r="K83" i="5"/>
  <c r="BD82" i="5"/>
  <c r="BB82" i="5"/>
  <c r="AF82" i="5"/>
  <c r="L82" i="5"/>
  <c r="K82" i="5"/>
  <c r="BD81" i="5"/>
  <c r="BB81" i="5"/>
  <c r="AF81" i="5"/>
  <c r="L81" i="5"/>
  <c r="K81" i="5"/>
  <c r="BD80" i="5"/>
  <c r="BB80" i="5"/>
  <c r="AF80" i="5"/>
  <c r="L80" i="5"/>
  <c r="K80" i="5"/>
  <c r="BD79" i="5"/>
  <c r="BB79" i="5"/>
  <c r="AF79" i="5"/>
  <c r="L79" i="5"/>
  <c r="K79" i="5"/>
  <c r="BD78" i="5"/>
  <c r="BB78" i="5"/>
  <c r="AF78" i="5"/>
  <c r="L78" i="5"/>
  <c r="K78" i="5"/>
  <c r="BD77" i="5"/>
  <c r="BB77" i="5"/>
  <c r="AF77" i="5"/>
  <c r="L77" i="5"/>
  <c r="K77" i="5"/>
  <c r="BD76" i="5"/>
  <c r="BB76" i="5"/>
  <c r="AF76" i="5"/>
  <c r="L76" i="5"/>
  <c r="K76" i="5"/>
  <c r="BD75" i="5"/>
  <c r="BB75" i="5"/>
  <c r="AF75" i="5"/>
  <c r="L75" i="5"/>
  <c r="K75" i="5"/>
  <c r="BD74" i="5"/>
  <c r="BB74" i="5"/>
  <c r="AF74" i="5"/>
  <c r="L74" i="5"/>
  <c r="K74" i="5"/>
  <c r="BD73" i="5"/>
  <c r="BB73" i="5"/>
  <c r="AF73" i="5"/>
  <c r="L73" i="5"/>
  <c r="K73" i="5"/>
  <c r="BD72" i="5"/>
  <c r="BB72" i="5"/>
  <c r="AF72" i="5"/>
  <c r="L72" i="5"/>
  <c r="K72" i="5"/>
  <c r="BD71" i="5"/>
  <c r="BB71" i="5"/>
  <c r="AF71" i="5"/>
  <c r="L71" i="5"/>
  <c r="K71" i="5"/>
  <c r="BD70" i="5"/>
  <c r="BB70" i="5"/>
  <c r="AF70" i="5"/>
  <c r="L70" i="5"/>
  <c r="K70" i="5"/>
  <c r="BD69" i="5"/>
  <c r="BB69" i="5"/>
  <c r="AF69" i="5"/>
  <c r="L69" i="5"/>
  <c r="K69" i="5"/>
  <c r="BD68" i="5"/>
  <c r="BB68" i="5"/>
  <c r="AF68" i="5"/>
  <c r="L68" i="5"/>
  <c r="K68" i="5"/>
  <c r="BD67" i="5"/>
  <c r="BB67" i="5"/>
  <c r="AF67" i="5"/>
  <c r="L67" i="5"/>
  <c r="K67" i="5"/>
  <c r="BD66" i="5"/>
  <c r="BB66" i="5"/>
  <c r="AF66" i="5"/>
  <c r="L66" i="5"/>
  <c r="K66" i="5"/>
  <c r="BD65" i="5"/>
  <c r="BB65" i="5"/>
  <c r="AF65" i="5"/>
  <c r="L65" i="5"/>
  <c r="K65" i="5"/>
  <c r="BD64" i="5"/>
  <c r="BB64" i="5"/>
  <c r="AF64" i="5"/>
  <c r="L64" i="5"/>
  <c r="K64" i="5"/>
  <c r="BD63" i="5"/>
  <c r="BB63" i="5"/>
  <c r="AF63" i="5"/>
  <c r="L63" i="5"/>
  <c r="K63" i="5"/>
  <c r="BD62" i="5"/>
  <c r="BB62" i="5"/>
  <c r="AF62" i="5"/>
  <c r="L62" i="5"/>
  <c r="K62" i="5"/>
  <c r="BD61" i="5"/>
  <c r="BB61" i="5"/>
  <c r="AF61" i="5"/>
  <c r="L61" i="5"/>
  <c r="K61" i="5"/>
  <c r="BD60" i="5"/>
  <c r="BB60" i="5"/>
  <c r="AF60" i="5"/>
  <c r="L60" i="5"/>
  <c r="K60" i="5"/>
  <c r="BD59" i="5"/>
  <c r="BB59" i="5"/>
  <c r="AF59" i="5"/>
  <c r="L59" i="5"/>
  <c r="K59" i="5"/>
  <c r="BD58" i="5"/>
  <c r="BB58" i="5"/>
  <c r="AF58" i="5"/>
  <c r="L58" i="5"/>
  <c r="K58" i="5"/>
  <c r="BD57" i="5"/>
  <c r="BB57" i="5"/>
  <c r="AF57" i="5"/>
  <c r="L57" i="5"/>
  <c r="K57" i="5"/>
  <c r="BD56" i="5"/>
  <c r="BB56" i="5"/>
  <c r="AF56" i="5"/>
  <c r="L56" i="5"/>
  <c r="K56" i="5"/>
  <c r="BD55" i="5"/>
  <c r="BB55" i="5"/>
  <c r="AF55" i="5"/>
  <c r="L55" i="5"/>
  <c r="K55" i="5"/>
  <c r="BD54" i="5"/>
  <c r="BB54" i="5"/>
  <c r="AF54" i="5"/>
  <c r="L54" i="5"/>
  <c r="K54" i="5"/>
  <c r="BD53" i="5"/>
  <c r="BB53" i="5"/>
  <c r="AF53" i="5"/>
  <c r="L53" i="5"/>
  <c r="K53" i="5"/>
  <c r="BD52" i="5"/>
  <c r="BB52" i="5"/>
  <c r="AF52" i="5"/>
  <c r="L52" i="5"/>
  <c r="K52" i="5"/>
  <c r="BD51" i="5"/>
  <c r="BB51" i="5"/>
  <c r="AF51" i="5"/>
  <c r="L51" i="5"/>
  <c r="K51" i="5"/>
  <c r="BD50" i="5"/>
  <c r="BB50" i="5"/>
  <c r="AF50" i="5"/>
  <c r="L50" i="5"/>
  <c r="K50" i="5"/>
  <c r="BD49" i="5"/>
  <c r="BB49" i="5"/>
  <c r="AF49" i="5"/>
  <c r="L49" i="5"/>
  <c r="K49" i="5"/>
  <c r="BD48" i="5"/>
  <c r="BB48" i="5"/>
  <c r="AF48" i="5"/>
  <c r="L48" i="5"/>
  <c r="K48" i="5"/>
  <c r="BD47" i="5"/>
  <c r="BB47" i="5"/>
  <c r="AF47" i="5"/>
  <c r="L47" i="5"/>
  <c r="K47" i="5"/>
  <c r="BD46" i="5"/>
  <c r="BB46" i="5"/>
  <c r="AF46" i="5"/>
  <c r="L46" i="5"/>
  <c r="K46" i="5"/>
  <c r="BD45" i="5"/>
  <c r="BB45" i="5"/>
  <c r="AF45" i="5"/>
  <c r="L45" i="5"/>
  <c r="K45" i="5"/>
  <c r="BD44" i="5"/>
  <c r="BB44" i="5"/>
  <c r="AF44" i="5"/>
  <c r="L44" i="5"/>
  <c r="K44" i="5"/>
  <c r="BD43" i="5"/>
  <c r="BB43" i="5"/>
  <c r="AF43" i="5"/>
  <c r="L43" i="5"/>
  <c r="K43" i="5"/>
  <c r="BD42" i="5"/>
  <c r="BB42" i="5"/>
  <c r="AF42" i="5"/>
  <c r="L42" i="5"/>
  <c r="K42" i="5"/>
  <c r="BD41" i="5"/>
  <c r="BB41" i="5"/>
  <c r="AF41" i="5"/>
  <c r="L41" i="5"/>
  <c r="K41" i="5"/>
  <c r="BD40" i="5"/>
  <c r="BB40" i="5"/>
  <c r="AF40" i="5"/>
  <c r="L40" i="5"/>
  <c r="K40" i="5"/>
  <c r="BD39" i="5"/>
  <c r="BB39" i="5"/>
  <c r="AF39" i="5"/>
  <c r="L39" i="5"/>
  <c r="K39" i="5"/>
  <c r="BD38" i="5"/>
  <c r="BB38" i="5"/>
  <c r="AF38" i="5"/>
  <c r="L38" i="5"/>
  <c r="K38" i="5"/>
  <c r="BD37" i="5"/>
  <c r="BB37" i="5"/>
  <c r="AF37" i="5"/>
  <c r="L37" i="5"/>
  <c r="K37" i="5"/>
  <c r="BD36" i="5"/>
  <c r="BB36" i="5"/>
  <c r="AF36" i="5"/>
  <c r="L36" i="5"/>
  <c r="K36" i="5"/>
  <c r="BD35" i="5"/>
  <c r="BB35" i="5"/>
  <c r="AF35" i="5"/>
  <c r="L35" i="5"/>
  <c r="K35" i="5"/>
  <c r="BD34" i="5"/>
  <c r="BB34" i="5"/>
  <c r="AF34" i="5"/>
  <c r="L34" i="5"/>
  <c r="K34" i="5"/>
  <c r="BD33" i="5"/>
  <c r="BB33" i="5"/>
  <c r="AF33" i="5"/>
  <c r="L33" i="5"/>
  <c r="K33" i="5"/>
  <c r="BD32" i="5"/>
  <c r="BB32" i="5"/>
  <c r="AF32" i="5"/>
  <c r="L32" i="5"/>
  <c r="K32" i="5"/>
  <c r="BD31" i="5"/>
  <c r="BB31" i="5"/>
  <c r="AF31" i="5"/>
  <c r="L31" i="5"/>
  <c r="K31" i="5"/>
  <c r="BD30" i="5"/>
  <c r="BB30" i="5"/>
  <c r="AF30" i="5"/>
  <c r="L30" i="5"/>
  <c r="K30" i="5"/>
  <c r="BD29" i="5"/>
  <c r="BB29" i="5"/>
  <c r="AF29" i="5"/>
  <c r="L29" i="5"/>
  <c r="K29" i="5"/>
  <c r="BD28" i="5"/>
  <c r="BB28" i="5"/>
  <c r="AF28" i="5"/>
  <c r="L28" i="5"/>
  <c r="K28" i="5"/>
  <c r="BD27" i="5"/>
  <c r="BB27" i="5"/>
  <c r="AF27" i="5"/>
  <c r="L27" i="5"/>
  <c r="K27" i="5"/>
  <c r="BD26" i="5"/>
  <c r="BB26" i="5"/>
  <c r="AF26" i="5"/>
  <c r="L26" i="5"/>
  <c r="K26" i="5"/>
  <c r="BD25" i="5"/>
  <c r="BB25" i="5"/>
  <c r="AF25" i="5"/>
  <c r="L25" i="5"/>
  <c r="K25" i="5"/>
  <c r="BD24" i="5"/>
  <c r="BB24" i="5"/>
  <c r="AF24" i="5"/>
  <c r="L24" i="5"/>
  <c r="K24" i="5"/>
  <c r="BD23" i="5"/>
  <c r="BB23" i="5"/>
  <c r="AF23" i="5"/>
  <c r="L23" i="5"/>
  <c r="K23" i="5"/>
  <c r="BD22" i="5"/>
  <c r="BB22" i="5"/>
  <c r="AF22" i="5"/>
  <c r="L22" i="5"/>
  <c r="K22" i="5"/>
  <c r="BD21" i="5"/>
  <c r="BB21" i="5"/>
  <c r="AF21" i="5"/>
  <c r="L21" i="5"/>
  <c r="K21" i="5"/>
  <c r="BD20" i="5"/>
  <c r="BB20" i="5"/>
  <c r="AF20" i="5"/>
  <c r="L20" i="5"/>
  <c r="K20" i="5"/>
  <c r="BD19" i="5"/>
  <c r="BB19" i="5"/>
  <c r="AF19" i="5"/>
  <c r="L19" i="5"/>
  <c r="K19" i="5"/>
  <c r="BD18" i="5"/>
  <c r="BB18" i="5"/>
  <c r="AF18" i="5"/>
  <c r="L18" i="5"/>
  <c r="K18" i="5"/>
  <c r="BD17" i="5"/>
  <c r="BB17" i="5"/>
  <c r="AF17" i="5"/>
  <c r="L17" i="5"/>
  <c r="K17" i="5"/>
  <c r="BD16" i="5"/>
  <c r="BB16" i="5"/>
  <c r="AF16" i="5"/>
  <c r="L16" i="5"/>
  <c r="K16" i="5"/>
  <c r="BD15" i="5"/>
  <c r="BB15" i="5"/>
  <c r="AF15" i="5"/>
  <c r="L15" i="5"/>
  <c r="K15" i="5"/>
  <c r="BD14" i="5"/>
  <c r="BB14" i="5"/>
  <c r="AF14" i="5"/>
  <c r="L14" i="5"/>
  <c r="K14" i="5"/>
  <c r="BD13" i="5"/>
  <c r="BB13" i="5"/>
  <c r="AF13" i="5"/>
  <c r="L13" i="5"/>
  <c r="K13" i="5"/>
  <c r="BD12" i="5"/>
  <c r="BB12" i="5"/>
  <c r="AF12" i="5"/>
  <c r="L12" i="5"/>
  <c r="K12" i="5"/>
  <c r="BD11" i="5"/>
  <c r="BB11" i="5"/>
  <c r="AF11" i="5"/>
  <c r="L11" i="5"/>
  <c r="K11" i="5"/>
  <c r="BD10" i="5"/>
  <c r="BB10" i="5"/>
  <c r="AF10" i="5"/>
  <c r="L10" i="5"/>
  <c r="K10" i="5"/>
  <c r="BD9" i="5"/>
  <c r="BB9" i="5"/>
  <c r="AF9" i="5"/>
  <c r="L9" i="5"/>
  <c r="K9" i="5"/>
  <c r="BD8" i="5"/>
  <c r="BB8" i="5"/>
  <c r="AF8" i="5"/>
  <c r="L8" i="5"/>
  <c r="K8" i="5"/>
  <c r="BD7" i="5"/>
  <c r="BB7" i="5"/>
  <c r="AF7" i="5"/>
  <c r="L7" i="5"/>
  <c r="K7" i="5"/>
  <c r="BD6" i="5"/>
  <c r="BB6" i="5"/>
  <c r="AF6" i="5"/>
  <c r="L6" i="5"/>
  <c r="K6" i="5"/>
  <c r="BD5" i="5"/>
  <c r="BB5" i="5"/>
  <c r="AF5" i="5"/>
  <c r="L5" i="5"/>
  <c r="K5" i="5"/>
  <c r="B3" i="2"/>
  <c r="F5" i="14" s="1"/>
  <c r="B3" i="1"/>
  <c r="H28" i="10"/>
  <c r="G28" i="10"/>
  <c r="H27" i="10"/>
  <c r="G27" i="10"/>
  <c r="H26" i="10"/>
  <c r="H25" i="10"/>
  <c r="H24" i="10"/>
  <c r="H23" i="10"/>
  <c r="H22" i="10"/>
  <c r="H21" i="10"/>
  <c r="H20" i="10"/>
  <c r="H19" i="10"/>
  <c r="H18" i="10"/>
  <c r="H17" i="10"/>
  <c r="H16" i="10"/>
  <c r="G16" i="10"/>
  <c r="H15" i="10"/>
  <c r="G15" i="10"/>
  <c r="H14" i="10"/>
  <c r="G14" i="10"/>
  <c r="H13" i="10"/>
  <c r="G13" i="10"/>
  <c r="F13" i="10"/>
  <c r="E13" i="10"/>
  <c r="H12" i="10"/>
  <c r="H11" i="10"/>
  <c r="H10" i="10"/>
  <c r="H9" i="10"/>
  <c r="H8" i="10"/>
  <c r="H7" i="10"/>
  <c r="H6" i="10"/>
  <c r="H5" i="10"/>
  <c r="G5" i="10"/>
  <c r="F5" i="10"/>
  <c r="E5" i="10"/>
  <c r="H4" i="10"/>
  <c r="G4" i="10"/>
  <c r="F4" i="10"/>
  <c r="E4" i="10"/>
  <c r="H3" i="10"/>
  <c r="L12" i="11"/>
  <c r="K12" i="11"/>
  <c r="J12" i="11"/>
  <c r="I12" i="11"/>
  <c r="H12" i="11"/>
  <c r="G12" i="11"/>
  <c r="F12" i="11"/>
  <c r="E12" i="11"/>
  <c r="D12" i="11"/>
  <c r="C12" i="11"/>
  <c r="L11" i="11"/>
  <c r="K11" i="11"/>
  <c r="J11" i="11"/>
  <c r="I11" i="11"/>
  <c r="H11" i="11"/>
  <c r="G11" i="11"/>
  <c r="F11" i="11"/>
  <c r="E11" i="11"/>
  <c r="D11" i="11"/>
  <c r="C11" i="11"/>
  <c r="L10" i="11"/>
  <c r="K10" i="11"/>
  <c r="J10" i="11"/>
  <c r="I10" i="11"/>
  <c r="H10" i="11"/>
  <c r="G10" i="11"/>
  <c r="F10" i="11"/>
  <c r="E10" i="11"/>
  <c r="D10" i="11"/>
  <c r="C10" i="11"/>
  <c r="L9" i="11"/>
  <c r="K9" i="11"/>
  <c r="J9" i="11"/>
  <c r="I9" i="11"/>
  <c r="H9" i="11"/>
  <c r="G9" i="11"/>
  <c r="F9" i="11"/>
  <c r="E9" i="11"/>
  <c r="D9" i="11"/>
  <c r="C9" i="11"/>
  <c r="L8" i="11"/>
  <c r="K8" i="11"/>
  <c r="J8" i="11"/>
  <c r="I8" i="11"/>
  <c r="H8" i="11"/>
  <c r="G8" i="11"/>
  <c r="F8" i="11"/>
  <c r="E8" i="11"/>
  <c r="D8" i="11"/>
  <c r="C8" i="11"/>
  <c r="L7" i="11"/>
  <c r="K7" i="11"/>
  <c r="J7" i="11"/>
  <c r="I7" i="11"/>
  <c r="H7" i="11"/>
  <c r="G7" i="11"/>
  <c r="F7" i="11"/>
  <c r="E7" i="11"/>
  <c r="D7" i="11"/>
  <c r="C7" i="11"/>
  <c r="L6" i="11"/>
  <c r="K6" i="11"/>
  <c r="J6" i="11"/>
  <c r="I6" i="11"/>
  <c r="H6" i="11"/>
  <c r="G6" i="11"/>
  <c r="F6" i="11"/>
  <c r="E6" i="11"/>
  <c r="D6" i="11"/>
  <c r="C6" i="11"/>
  <c r="L5" i="11"/>
  <c r="K5" i="11"/>
  <c r="J5" i="11"/>
  <c r="I5" i="11"/>
  <c r="H5" i="11"/>
  <c r="G5" i="11"/>
  <c r="F5" i="11"/>
  <c r="E5" i="11"/>
  <c r="D5" i="11"/>
  <c r="C5" i="11"/>
  <c r="L4" i="11"/>
  <c r="K4" i="11"/>
  <c r="J4" i="11"/>
  <c r="I4" i="11"/>
  <c r="H4" i="11"/>
  <c r="G4" i="11"/>
  <c r="F4" i="11"/>
  <c r="E4" i="11"/>
  <c r="D4" i="11"/>
  <c r="C4" i="11"/>
  <c r="L3" i="11"/>
  <c r="K3" i="11"/>
  <c r="J3" i="11"/>
  <c r="I3" i="11"/>
  <c r="H3" i="11"/>
  <c r="G3" i="11"/>
  <c r="F3" i="11"/>
  <c r="E3" i="11"/>
  <c r="D3" i="11"/>
  <c r="C3" i="11"/>
  <c r="K5" i="8"/>
  <c r="K4" i="8"/>
  <c r="K3" i="8"/>
  <c r="B4" i="1" l="1"/>
  <c r="B5" i="1" s="1"/>
  <c r="B6" i="1" s="1"/>
  <c r="B7" i="1" s="1"/>
  <c r="B8" i="1" s="1"/>
  <c r="B9" i="1" s="1"/>
  <c r="B10" i="1" s="1"/>
  <c r="B11" i="1" s="1"/>
  <c r="B12" i="1" s="1"/>
  <c r="B13" i="1" s="1"/>
  <c r="B14" i="1" s="1"/>
  <c r="B15" i="1" s="1"/>
  <c r="B16" i="1" s="1"/>
  <c r="B312" i="13"/>
  <c r="B309" i="13"/>
  <c r="B310" i="13"/>
  <c r="B306" i="13"/>
  <c r="B307" i="13"/>
  <c r="B304" i="13"/>
  <c r="B305" i="13"/>
  <c r="B302" i="13"/>
  <c r="B303" i="13"/>
  <c r="B299" i="13"/>
  <c r="B295" i="13"/>
  <c r="B291" i="13"/>
  <c r="B301" i="13"/>
  <c r="B300" i="13"/>
  <c r="B296" i="13"/>
  <c r="B292" i="13"/>
  <c r="B294" i="13"/>
  <c r="B298" i="13"/>
  <c r="B293" i="13"/>
  <c r="B282" i="12"/>
  <c r="B281" i="12"/>
  <c r="B284" i="12"/>
  <c r="B283" i="12"/>
  <c r="B279" i="12"/>
  <c r="B278" i="12"/>
  <c r="B277" i="12"/>
  <c r="B276" i="12"/>
  <c r="B275" i="12"/>
  <c r="B274" i="12"/>
  <c r="B273" i="12"/>
  <c r="B272" i="12"/>
  <c r="B271" i="12"/>
  <c r="B270" i="12"/>
  <c r="B297" i="13"/>
  <c r="B280" i="12"/>
  <c r="B269" i="12"/>
  <c r="B169" i="5"/>
  <c r="B268" i="12"/>
  <c r="B267" i="12"/>
  <c r="B266" i="12"/>
  <c r="B265" i="12"/>
  <c r="B172" i="5"/>
  <c r="B168" i="5"/>
  <c r="B166" i="5"/>
  <c r="B162" i="5"/>
  <c r="B288" i="13"/>
  <c r="B284" i="13"/>
  <c r="B280" i="13"/>
  <c r="B167" i="5"/>
  <c r="B165" i="5"/>
  <c r="B161" i="5"/>
  <c r="B289" i="13"/>
  <c r="B171" i="5"/>
  <c r="B170" i="5"/>
  <c r="B164" i="5"/>
  <c r="B290" i="13"/>
  <c r="B286" i="13"/>
  <c r="B282" i="13"/>
  <c r="B278" i="13"/>
  <c r="B276" i="13"/>
  <c r="B272" i="13"/>
  <c r="B264" i="12"/>
  <c r="B263" i="12"/>
  <c r="B262" i="12"/>
  <c r="B261" i="12"/>
  <c r="B260" i="12"/>
  <c r="B163" i="5"/>
  <c r="B277" i="13"/>
  <c r="B273" i="13"/>
  <c r="B269" i="13"/>
  <c r="B287" i="13"/>
  <c r="B285" i="13"/>
  <c r="B283" i="13"/>
  <c r="B281" i="13"/>
  <c r="B279" i="13"/>
  <c r="B274" i="13"/>
  <c r="B270" i="13"/>
  <c r="B275" i="13"/>
  <c r="B271" i="13"/>
  <c r="B159" i="5"/>
  <c r="B155" i="5"/>
  <c r="B158" i="5"/>
  <c r="B154" i="5"/>
  <c r="B157" i="5"/>
  <c r="B153" i="5"/>
  <c r="B259" i="12"/>
  <c r="B258" i="12"/>
  <c r="B257" i="12"/>
  <c r="B256" i="12"/>
  <c r="B255" i="12"/>
  <c r="B254" i="12"/>
  <c r="B253" i="12"/>
  <c r="B252" i="12"/>
  <c r="B251" i="12"/>
  <c r="B250" i="12"/>
  <c r="B249" i="12"/>
  <c r="B248" i="12"/>
  <c r="B247" i="12"/>
  <c r="B246" i="12"/>
  <c r="B245" i="12"/>
  <c r="B160" i="5"/>
  <c r="B156" i="5"/>
  <c r="B268" i="13"/>
  <c r="B264" i="13"/>
  <c r="B260" i="13"/>
  <c r="B256" i="13"/>
  <c r="B252" i="13"/>
  <c r="B151" i="5"/>
  <c r="B265" i="13"/>
  <c r="B261" i="13"/>
  <c r="B257" i="13"/>
  <c r="B253" i="13"/>
  <c r="B249" i="13"/>
  <c r="B150" i="5"/>
  <c r="B266" i="13"/>
  <c r="B262" i="13"/>
  <c r="B258" i="13"/>
  <c r="B254" i="13"/>
  <c r="B250" i="13"/>
  <c r="B152" i="5"/>
  <c r="B149" i="5"/>
  <c r="B267" i="13"/>
  <c r="B263" i="13"/>
  <c r="B259" i="13"/>
  <c r="B255" i="13"/>
  <c r="B251" i="13"/>
  <c r="B146" i="5"/>
  <c r="B145" i="5"/>
  <c r="B141" i="5"/>
  <c r="B248" i="13"/>
  <c r="B244" i="12"/>
  <c r="B243" i="12"/>
  <c r="B242" i="12"/>
  <c r="B241" i="12"/>
  <c r="B240" i="12"/>
  <c r="B239" i="12"/>
  <c r="B238" i="12"/>
  <c r="B237" i="12"/>
  <c r="B236" i="12"/>
  <c r="B235" i="12"/>
  <c r="B234" i="12"/>
  <c r="B233" i="12"/>
  <c r="B232" i="12"/>
  <c r="B231" i="12"/>
  <c r="B230" i="12"/>
  <c r="B229" i="12"/>
  <c r="B228" i="12"/>
  <c r="B227" i="12"/>
  <c r="B226" i="12"/>
  <c r="B225" i="12"/>
  <c r="B148" i="5"/>
  <c r="B144" i="5"/>
  <c r="B247" i="13"/>
  <c r="B147" i="5"/>
  <c r="B143" i="5"/>
  <c r="B139" i="5"/>
  <c r="B140" i="5"/>
  <c r="D5" i="13"/>
  <c r="D5" i="5"/>
  <c r="P5" i="5" s="1"/>
  <c r="B138" i="5"/>
  <c r="B142" i="5"/>
  <c r="E5" i="5"/>
  <c r="O5" i="13"/>
  <c r="F5" i="5"/>
  <c r="S5" i="5" s="1"/>
  <c r="E5" i="15"/>
  <c r="F6" i="14"/>
  <c r="E5" i="14"/>
  <c r="K27" i="18"/>
  <c r="L27" i="18" s="1"/>
  <c r="K31" i="18"/>
  <c r="L31" i="18" s="1"/>
  <c r="K35" i="18"/>
  <c r="L35" i="18" s="1"/>
  <c r="K23" i="18"/>
  <c r="L23" i="18" s="1"/>
  <c r="K8" i="19"/>
  <c r="L8" i="19" s="1"/>
  <c r="K12" i="19"/>
  <c r="L12" i="19" s="1"/>
  <c r="K16" i="19"/>
  <c r="L16" i="19" s="1"/>
  <c r="K25" i="19"/>
  <c r="L25" i="19" s="1"/>
  <c r="K29" i="19"/>
  <c r="L29" i="19" s="1"/>
  <c r="K34" i="19"/>
  <c r="L34" i="19" s="1"/>
  <c r="BG5" i="5"/>
  <c r="F5" i="13"/>
  <c r="J5" i="13" s="1"/>
  <c r="P5" i="13"/>
  <c r="T5" i="13"/>
  <c r="BG5" i="13"/>
  <c r="Q5" i="5"/>
  <c r="I5" i="5"/>
  <c r="K5" i="18"/>
  <c r="L5" i="18" s="1"/>
  <c r="K9" i="18"/>
  <c r="L9" i="18" s="1"/>
  <c r="K13" i="18"/>
  <c r="L13" i="18" s="1"/>
  <c r="K17" i="18"/>
  <c r="L17" i="18" s="1"/>
  <c r="K24" i="18"/>
  <c r="L24" i="18" s="1"/>
  <c r="K28" i="18"/>
  <c r="L28" i="18" s="1"/>
  <c r="K32" i="18"/>
  <c r="L32" i="18" s="1"/>
  <c r="K17" i="19"/>
  <c r="L17" i="19" s="1"/>
  <c r="K20" i="19"/>
  <c r="L20" i="19" s="1"/>
  <c r="K22" i="19"/>
  <c r="L22" i="19" s="1"/>
  <c r="K26" i="19"/>
  <c r="L26" i="19" s="1"/>
  <c r="K30" i="19"/>
  <c r="L30" i="19" s="1"/>
  <c r="K31" i="19"/>
  <c r="L31" i="19" s="1"/>
  <c r="K35" i="19"/>
  <c r="L35" i="19" s="1"/>
  <c r="K25" i="18"/>
  <c r="L25" i="18" s="1"/>
  <c r="K29" i="18"/>
  <c r="L29" i="18" s="1"/>
  <c r="K33" i="18"/>
  <c r="L33" i="18" s="1"/>
  <c r="K6" i="19"/>
  <c r="L6" i="19" s="1"/>
  <c r="K10" i="19"/>
  <c r="L10" i="19" s="1"/>
  <c r="K14" i="19"/>
  <c r="L14" i="19" s="1"/>
  <c r="K18" i="19"/>
  <c r="L18" i="19" s="1"/>
  <c r="K23" i="19"/>
  <c r="L23" i="19" s="1"/>
  <c r="K27" i="19"/>
  <c r="L27" i="19" s="1"/>
  <c r="K32" i="19"/>
  <c r="L32" i="19" s="1"/>
  <c r="K7" i="18"/>
  <c r="L7" i="18" s="1"/>
  <c r="K11" i="18"/>
  <c r="L11" i="18" s="1"/>
  <c r="K19" i="18"/>
  <c r="L19" i="18" s="1"/>
  <c r="K22" i="18"/>
  <c r="L22" i="18" s="1"/>
  <c r="K26" i="18"/>
  <c r="L26" i="18" s="1"/>
  <c r="K30" i="18"/>
  <c r="L30" i="18" s="1"/>
  <c r="K34" i="18"/>
  <c r="L34" i="18" s="1"/>
  <c r="K15" i="19"/>
  <c r="L15" i="19" s="1"/>
  <c r="K19" i="19"/>
  <c r="L19" i="19" s="1"/>
  <c r="K24" i="19"/>
  <c r="L24" i="19" s="1"/>
  <c r="K28" i="19"/>
  <c r="L28" i="19" s="1"/>
  <c r="K33" i="19"/>
  <c r="L33" i="19" s="1"/>
  <c r="K7" i="19"/>
  <c r="L7" i="19" s="1"/>
  <c r="K11" i="19"/>
  <c r="L11" i="19" s="1"/>
  <c r="K5" i="19"/>
  <c r="L5" i="19" s="1"/>
  <c r="K9" i="19"/>
  <c r="L9" i="19" s="1"/>
  <c r="K13" i="19"/>
  <c r="L13" i="19" s="1"/>
  <c r="K6" i="18"/>
  <c r="L6" i="18" s="1"/>
  <c r="K10" i="18"/>
  <c r="L10" i="18" s="1"/>
  <c r="K14" i="18"/>
  <c r="L14" i="18" s="1"/>
  <c r="K15" i="18"/>
  <c r="L15" i="18" s="1"/>
  <c r="K18" i="18"/>
  <c r="L18" i="18" s="1"/>
  <c r="K16" i="18"/>
  <c r="L16" i="18" s="1"/>
  <c r="K8" i="18"/>
  <c r="L8" i="18" s="1"/>
  <c r="K12" i="18"/>
  <c r="L12" i="18" s="1"/>
  <c r="K20" i="18"/>
  <c r="L20" i="18" s="1"/>
  <c r="B5" i="14"/>
  <c r="E5" i="9"/>
  <c r="C6" i="9"/>
  <c r="C7" i="14"/>
  <c r="C8" i="14" s="1"/>
  <c r="C6" i="15"/>
  <c r="F5" i="9"/>
  <c r="E6" i="14"/>
  <c r="F5" i="15"/>
  <c r="B6" i="14"/>
  <c r="B5" i="15"/>
  <c r="K34" i="17"/>
  <c r="L34" i="17" s="1"/>
  <c r="K8" i="17"/>
  <c r="L8" i="17" s="1"/>
  <c r="K35" i="17"/>
  <c r="L35" i="17" s="1"/>
  <c r="K31" i="17"/>
  <c r="L31" i="17" s="1"/>
  <c r="K32" i="17"/>
  <c r="L32" i="17" s="1"/>
  <c r="K33" i="17"/>
  <c r="L33" i="17" s="1"/>
  <c r="K7" i="17"/>
  <c r="L7" i="17" s="1"/>
  <c r="K29" i="17"/>
  <c r="L29" i="17" s="1"/>
  <c r="K25" i="17"/>
  <c r="L25" i="17" s="1"/>
  <c r="K21" i="17"/>
  <c r="L21" i="17" s="1"/>
  <c r="K13" i="17"/>
  <c r="L13" i="17" s="1"/>
  <c r="K10" i="17"/>
  <c r="L10" i="17" s="1"/>
  <c r="K6" i="17"/>
  <c r="L6" i="17" s="1"/>
  <c r="K15" i="17"/>
  <c r="L15" i="17" s="1"/>
  <c r="K28" i="17"/>
  <c r="L28" i="17" s="1"/>
  <c r="K24" i="17"/>
  <c r="L24" i="17" s="1"/>
  <c r="K20" i="17"/>
  <c r="L20" i="17" s="1"/>
  <c r="K16" i="17"/>
  <c r="L16" i="17" s="1"/>
  <c r="K12" i="17"/>
  <c r="L12" i="17" s="1"/>
  <c r="K30" i="17"/>
  <c r="L30" i="17" s="1"/>
  <c r="K26" i="17"/>
  <c r="L26" i="17" s="1"/>
  <c r="K22" i="17"/>
  <c r="L22" i="17" s="1"/>
  <c r="K18" i="17"/>
  <c r="L18" i="17" s="1"/>
  <c r="K14" i="17"/>
  <c r="L14" i="17" s="1"/>
  <c r="K27" i="17"/>
  <c r="L27" i="17" s="1"/>
  <c r="K23" i="17"/>
  <c r="L23" i="17" s="1"/>
  <c r="K19" i="17"/>
  <c r="L19" i="17" s="1"/>
  <c r="K11" i="17"/>
  <c r="L11" i="17" s="1"/>
  <c r="K17" i="17"/>
  <c r="L17" i="17" s="1"/>
  <c r="K9" i="17"/>
  <c r="L9" i="17" s="1"/>
  <c r="K5" i="17"/>
  <c r="L5" i="17" s="1"/>
  <c r="B4" i="2"/>
  <c r="B9" i="5" s="1"/>
  <c r="B13" i="5"/>
  <c r="B36" i="5"/>
  <c r="B42" i="5"/>
  <c r="B69" i="5"/>
  <c r="B85" i="5"/>
  <c r="B100" i="5"/>
  <c r="B104" i="5"/>
  <c r="B123" i="5"/>
  <c r="B128" i="5"/>
  <c r="B8" i="12"/>
  <c r="B18" i="12"/>
  <c r="B19" i="5"/>
  <c r="B21" i="5"/>
  <c r="B27" i="5"/>
  <c r="B41" i="5"/>
  <c r="B50" i="5"/>
  <c r="B52" i="5"/>
  <c r="B58" i="5"/>
  <c r="B60" i="5"/>
  <c r="B77" i="5"/>
  <c r="B79" i="5"/>
  <c r="B88" i="5"/>
  <c r="B92" i="5"/>
  <c r="B110" i="5"/>
  <c r="B112" i="5"/>
  <c r="B131" i="5"/>
  <c r="B135" i="5"/>
  <c r="B17" i="12"/>
  <c r="B19" i="12"/>
  <c r="L11" i="16"/>
  <c r="H11" i="16"/>
  <c r="H10" i="16"/>
  <c r="D12" i="16"/>
  <c r="L10" i="16"/>
  <c r="S5" i="13" l="1"/>
  <c r="G143" i="5"/>
  <c r="G148" i="5"/>
  <c r="C229" i="12"/>
  <c r="G228" i="12"/>
  <c r="G232" i="12"/>
  <c r="G236" i="12"/>
  <c r="G240" i="12"/>
  <c r="G244" i="12"/>
  <c r="G146" i="5"/>
  <c r="G263" i="13"/>
  <c r="G250" i="13"/>
  <c r="G266" i="13"/>
  <c r="G257" i="13"/>
  <c r="G252" i="13"/>
  <c r="G268" i="13"/>
  <c r="G246" i="12"/>
  <c r="G250" i="12"/>
  <c r="G254" i="12"/>
  <c r="G258" i="12"/>
  <c r="G154" i="5"/>
  <c r="G271" i="13"/>
  <c r="G279" i="13"/>
  <c r="G287" i="13"/>
  <c r="G163" i="5"/>
  <c r="G263" i="12"/>
  <c r="G278" i="13"/>
  <c r="G164" i="5"/>
  <c r="G161" i="5"/>
  <c r="C285" i="13"/>
  <c r="G284" i="13"/>
  <c r="G168" i="5"/>
  <c r="G267" i="12"/>
  <c r="G280" i="12"/>
  <c r="G272" i="12"/>
  <c r="G276" i="12"/>
  <c r="G283" i="12"/>
  <c r="G293" i="13"/>
  <c r="G296" i="13"/>
  <c r="G295" i="13"/>
  <c r="G305" i="13"/>
  <c r="G306" i="13"/>
  <c r="G312" i="13"/>
  <c r="Q5" i="13"/>
  <c r="J5" i="5"/>
  <c r="D6" i="5"/>
  <c r="F6" i="5" s="1"/>
  <c r="O5" i="5"/>
  <c r="D6" i="13"/>
  <c r="E5" i="13"/>
  <c r="G147" i="5"/>
  <c r="G225" i="12"/>
  <c r="G229" i="12"/>
  <c r="G233" i="12"/>
  <c r="G237" i="12"/>
  <c r="G241" i="12"/>
  <c r="G248" i="13"/>
  <c r="G251" i="13"/>
  <c r="G267" i="13"/>
  <c r="G254" i="13"/>
  <c r="G150" i="5"/>
  <c r="G261" i="13"/>
  <c r="G256" i="13"/>
  <c r="C257" i="13"/>
  <c r="G156" i="5"/>
  <c r="G247" i="12"/>
  <c r="G251" i="12"/>
  <c r="G255" i="12"/>
  <c r="G259" i="12"/>
  <c r="G158" i="5"/>
  <c r="G275" i="13"/>
  <c r="G281" i="13"/>
  <c r="G269" i="13"/>
  <c r="G260" i="12"/>
  <c r="G264" i="12"/>
  <c r="G282" i="13"/>
  <c r="G170" i="5"/>
  <c r="G165" i="5"/>
  <c r="G288" i="13"/>
  <c r="G172" i="5"/>
  <c r="G268" i="12"/>
  <c r="G297" i="13"/>
  <c r="G273" i="12"/>
  <c r="G277" i="12"/>
  <c r="G284" i="12"/>
  <c r="G298" i="13"/>
  <c r="G300" i="13"/>
  <c r="G299" i="13"/>
  <c r="G304" i="13"/>
  <c r="G310" i="13"/>
  <c r="BI5" i="5"/>
  <c r="G142" i="5"/>
  <c r="G140" i="5"/>
  <c r="G247" i="13"/>
  <c r="G226" i="12"/>
  <c r="G230" i="12"/>
  <c r="G234" i="12"/>
  <c r="G238" i="12"/>
  <c r="G242" i="12"/>
  <c r="G141" i="5"/>
  <c r="G255" i="13"/>
  <c r="G149" i="5"/>
  <c r="G258" i="13"/>
  <c r="G249" i="13"/>
  <c r="G265" i="13"/>
  <c r="G260" i="13"/>
  <c r="G160" i="5"/>
  <c r="G248" i="12"/>
  <c r="G252" i="12"/>
  <c r="C257" i="12"/>
  <c r="G256" i="12"/>
  <c r="G153" i="5"/>
  <c r="G155" i="5"/>
  <c r="G270" i="13"/>
  <c r="G283" i="13"/>
  <c r="G273" i="13"/>
  <c r="G261" i="12"/>
  <c r="G272" i="13"/>
  <c r="G286" i="13"/>
  <c r="G171" i="5"/>
  <c r="G167" i="5"/>
  <c r="G162" i="5"/>
  <c r="G265" i="12"/>
  <c r="G169" i="5"/>
  <c r="G270" i="12"/>
  <c r="G274" i="12"/>
  <c r="G278" i="12"/>
  <c r="G281" i="12"/>
  <c r="G294" i="13"/>
  <c r="G301" i="13"/>
  <c r="G303" i="13"/>
  <c r="G307" i="13"/>
  <c r="G309" i="13"/>
  <c r="D5" i="12"/>
  <c r="R5" i="5"/>
  <c r="T5" i="5"/>
  <c r="G138" i="5"/>
  <c r="G139" i="5"/>
  <c r="C145" i="5"/>
  <c r="G144" i="5"/>
  <c r="G227" i="12"/>
  <c r="G231" i="12"/>
  <c r="G235" i="12"/>
  <c r="G239" i="12"/>
  <c r="G243" i="12"/>
  <c r="G145" i="5"/>
  <c r="G259" i="13"/>
  <c r="G152" i="5"/>
  <c r="G262" i="13"/>
  <c r="G253" i="13"/>
  <c r="G151" i="5"/>
  <c r="G264" i="13"/>
  <c r="G245" i="12"/>
  <c r="G249" i="12"/>
  <c r="G253" i="12"/>
  <c r="G257" i="12"/>
  <c r="G157" i="5"/>
  <c r="G159" i="5"/>
  <c r="G274" i="13"/>
  <c r="G285" i="13"/>
  <c r="G277" i="13"/>
  <c r="G262" i="12"/>
  <c r="G276" i="13"/>
  <c r="G290" i="13"/>
  <c r="G289" i="13"/>
  <c r="G280" i="13"/>
  <c r="G166" i="5"/>
  <c r="G266" i="12"/>
  <c r="G269" i="12"/>
  <c r="G271" i="12"/>
  <c r="G275" i="12"/>
  <c r="G279" i="12"/>
  <c r="G282" i="12"/>
  <c r="G292" i="13"/>
  <c r="G291" i="13"/>
  <c r="G302" i="13"/>
  <c r="B311" i="13"/>
  <c r="B308" i="13"/>
  <c r="B137" i="5"/>
  <c r="B27" i="12"/>
  <c r="B15" i="12"/>
  <c r="B127" i="5"/>
  <c r="B108" i="5"/>
  <c r="B84" i="5"/>
  <c r="B75" i="5"/>
  <c r="B56" i="5"/>
  <c r="B49" i="5"/>
  <c r="B25" i="5"/>
  <c r="B24" i="12"/>
  <c r="B136" i="5"/>
  <c r="B121" i="5"/>
  <c r="B96" i="5"/>
  <c r="B65" i="5"/>
  <c r="B32" i="5"/>
  <c r="B26" i="12"/>
  <c r="B5" i="12"/>
  <c r="B114" i="5"/>
  <c r="B106" i="5"/>
  <c r="B81" i="5"/>
  <c r="B73" i="5"/>
  <c r="B54" i="5"/>
  <c r="B45" i="5"/>
  <c r="B23" i="5"/>
  <c r="B20" i="12"/>
  <c r="B132" i="5"/>
  <c r="B119" i="5"/>
  <c r="B93" i="5"/>
  <c r="B61" i="5"/>
  <c r="B28" i="5"/>
  <c r="I5" i="13"/>
  <c r="R5" i="13"/>
  <c r="BG6" i="5"/>
  <c r="BI6" i="5"/>
  <c r="E6" i="5"/>
  <c r="T6" i="5" s="1"/>
  <c r="D7" i="5"/>
  <c r="F7" i="5" s="1"/>
  <c r="B8" i="14"/>
  <c r="E8" i="14"/>
  <c r="F8" i="14"/>
  <c r="E6" i="15"/>
  <c r="B6" i="15"/>
  <c r="F6" i="15"/>
  <c r="C7" i="15"/>
  <c r="F7" i="14"/>
  <c r="E7" i="14"/>
  <c r="B7" i="14"/>
  <c r="C9" i="14"/>
  <c r="F6" i="9"/>
  <c r="B6" i="9"/>
  <c r="E6" i="9"/>
  <c r="C7" i="9"/>
  <c r="G9" i="5"/>
  <c r="G27" i="12"/>
  <c r="G15" i="12"/>
  <c r="G135" i="5"/>
  <c r="G112" i="5"/>
  <c r="G92" i="5"/>
  <c r="G79" i="5"/>
  <c r="G60" i="5"/>
  <c r="G52" i="5"/>
  <c r="G41" i="5"/>
  <c r="G21" i="5"/>
  <c r="G20" i="12"/>
  <c r="G132" i="5"/>
  <c r="G121" i="5"/>
  <c r="B102" i="5"/>
  <c r="B94" i="5"/>
  <c r="B71" i="5"/>
  <c r="B63" i="5"/>
  <c r="B38" i="5"/>
  <c r="B30" i="5"/>
  <c r="B11" i="5"/>
  <c r="B23" i="12"/>
  <c r="B7" i="12"/>
  <c r="B133" i="5"/>
  <c r="B111" i="5"/>
  <c r="B90" i="5"/>
  <c r="B78" i="5"/>
  <c r="B59" i="5"/>
  <c r="B51" i="5"/>
  <c r="B26" i="5"/>
  <c r="B18" i="5"/>
  <c r="B39" i="12"/>
  <c r="B51" i="12"/>
  <c r="B78" i="12"/>
  <c r="B92" i="12"/>
  <c r="B106" i="12"/>
  <c r="B116" i="12"/>
  <c r="B124" i="12"/>
  <c r="B141" i="12"/>
  <c r="B28" i="12"/>
  <c r="B44" i="12"/>
  <c r="B61" i="12"/>
  <c r="B80" i="12"/>
  <c r="B91" i="12"/>
  <c r="B101" i="12"/>
  <c r="B120" i="12"/>
  <c r="B131" i="12"/>
  <c r="B143" i="12"/>
  <c r="B159" i="12"/>
  <c r="B32" i="12"/>
  <c r="B45" i="12"/>
  <c r="B58" i="12"/>
  <c r="B72" i="12"/>
  <c r="B83" i="12"/>
  <c r="B110" i="12"/>
  <c r="B132" i="12"/>
  <c r="B147" i="12"/>
  <c r="B166" i="12"/>
  <c r="B60" i="12"/>
  <c r="B71" i="12"/>
  <c r="B86" i="12"/>
  <c r="B104" i="12"/>
  <c r="B129" i="12"/>
  <c r="B149" i="12"/>
  <c r="B157" i="12"/>
  <c r="B170" i="12"/>
  <c r="B185" i="12"/>
  <c r="B200" i="12"/>
  <c r="B212" i="12"/>
  <c r="B224" i="12"/>
  <c r="B175" i="12"/>
  <c r="B188" i="12"/>
  <c r="B196" i="12"/>
  <c r="B208" i="12"/>
  <c r="B220" i="12"/>
  <c r="B168" i="12"/>
  <c r="B183" i="12"/>
  <c r="B210" i="12"/>
  <c r="B167" i="12"/>
  <c r="B186" i="12"/>
  <c r="B209" i="12"/>
  <c r="B34" i="13"/>
  <c r="B52" i="13"/>
  <c r="B69" i="13"/>
  <c r="B27" i="13"/>
  <c r="B42" i="13"/>
  <c r="B93" i="13"/>
  <c r="B126" i="13"/>
  <c r="B6" i="13"/>
  <c r="B40" i="13"/>
  <c r="B38" i="13"/>
  <c r="B80" i="13"/>
  <c r="B112" i="13"/>
  <c r="B16" i="13"/>
  <c r="B28" i="13"/>
  <c r="B54" i="13"/>
  <c r="B78" i="13"/>
  <c r="B98" i="13"/>
  <c r="B146" i="13"/>
  <c r="B168" i="13"/>
  <c r="B65" i="13"/>
  <c r="B76" i="13"/>
  <c r="B85" i="13"/>
  <c r="B111" i="13"/>
  <c r="B162" i="13"/>
  <c r="B7" i="13"/>
  <c r="B22" i="13"/>
  <c r="B39" i="13"/>
  <c r="B63" i="13"/>
  <c r="B88" i="13"/>
  <c r="B102" i="13"/>
  <c r="B116" i="13"/>
  <c r="B150" i="13"/>
  <c r="B197" i="13"/>
  <c r="B120" i="13"/>
  <c r="B129" i="13"/>
  <c r="B133" i="13"/>
  <c r="B138" i="13"/>
  <c r="B153" i="13"/>
  <c r="B187" i="13"/>
  <c r="B122" i="13"/>
  <c r="B143" i="13"/>
  <c r="B154" i="13"/>
  <c r="B167" i="13"/>
  <c r="B183" i="13"/>
  <c r="B156" i="13"/>
  <c r="B175" i="13"/>
  <c r="B181" i="13"/>
  <c r="B189" i="13"/>
  <c r="B234" i="13"/>
  <c r="B212" i="13"/>
  <c r="B219" i="13"/>
  <c r="B225" i="13"/>
  <c r="B233" i="13"/>
  <c r="B240" i="13"/>
  <c r="B245" i="13"/>
  <c r="B200" i="13"/>
  <c r="B206" i="13"/>
  <c r="B211" i="13"/>
  <c r="B227" i="13"/>
  <c r="B237" i="13"/>
  <c r="B16" i="12"/>
  <c r="B130" i="5"/>
  <c r="B120" i="5"/>
  <c r="B101" i="5"/>
  <c r="B91" i="5"/>
  <c r="B68" i="5"/>
  <c r="B48" i="5"/>
  <c r="B35" i="5"/>
  <c r="B16" i="5"/>
  <c r="B8" i="5"/>
  <c r="G26" i="12"/>
  <c r="G5" i="12"/>
  <c r="BH5" i="12" s="1"/>
  <c r="C5" i="12"/>
  <c r="G131" i="5"/>
  <c r="G110" i="5"/>
  <c r="G88" i="5"/>
  <c r="G77" i="5"/>
  <c r="G58" i="5"/>
  <c r="G50" i="5"/>
  <c r="G27" i="5"/>
  <c r="G19" i="5"/>
  <c r="G18" i="12"/>
  <c r="G128" i="5"/>
  <c r="G119" i="5"/>
  <c r="G100" i="5"/>
  <c r="G93" i="5"/>
  <c r="G69" i="5"/>
  <c r="G61" i="5"/>
  <c r="G36" i="5"/>
  <c r="G28" i="5"/>
  <c r="B22" i="12"/>
  <c r="B6" i="12"/>
  <c r="B129" i="5"/>
  <c r="B109" i="5"/>
  <c r="B86" i="5"/>
  <c r="B76" i="5"/>
  <c r="B57" i="5"/>
  <c r="B47" i="5"/>
  <c r="B24" i="5"/>
  <c r="B30" i="12"/>
  <c r="B43" i="12"/>
  <c r="B54" i="12"/>
  <c r="B79" i="12"/>
  <c r="B96" i="12"/>
  <c r="B108" i="12"/>
  <c r="B118" i="12"/>
  <c r="B128" i="12"/>
  <c r="B148" i="12"/>
  <c r="B33" i="12"/>
  <c r="B47" i="12"/>
  <c r="B64" i="12"/>
  <c r="B82" i="12"/>
  <c r="B93" i="12"/>
  <c r="B105" i="12"/>
  <c r="B122" i="12"/>
  <c r="B135" i="12"/>
  <c r="B145" i="12"/>
  <c r="B161" i="12"/>
  <c r="B34" i="12"/>
  <c r="B49" i="12"/>
  <c r="B59" i="12"/>
  <c r="B74" i="12"/>
  <c r="B85" i="12"/>
  <c r="B111" i="12"/>
  <c r="B137" i="12"/>
  <c r="B151" i="12"/>
  <c r="B38" i="12"/>
  <c r="B62" i="12"/>
  <c r="B73" i="12"/>
  <c r="B87" i="12"/>
  <c r="B112" i="12"/>
  <c r="B133" i="12"/>
  <c r="B152" i="12"/>
  <c r="B160" i="12"/>
  <c r="B173" i="12"/>
  <c r="B187" i="12"/>
  <c r="B204" i="12"/>
  <c r="B216" i="12"/>
  <c r="B177" i="12"/>
  <c r="B190" i="12"/>
  <c r="B201" i="12"/>
  <c r="B213" i="12"/>
  <c r="B172" i="12"/>
  <c r="B189" i="12"/>
  <c r="B215" i="12"/>
  <c r="B169" i="12"/>
  <c r="B192" i="12"/>
  <c r="B211" i="12"/>
  <c r="B13" i="13"/>
  <c r="B43" i="13"/>
  <c r="B56" i="13"/>
  <c r="B86" i="13"/>
  <c r="B31" i="13"/>
  <c r="B61" i="13"/>
  <c r="B108" i="13"/>
  <c r="B166" i="13"/>
  <c r="B23" i="13"/>
  <c r="B49" i="13"/>
  <c r="B19" i="13"/>
  <c r="B45" i="13"/>
  <c r="B92" i="13"/>
  <c r="B18" i="13"/>
  <c r="B29" i="13"/>
  <c r="B57" i="13"/>
  <c r="B79" i="13"/>
  <c r="B101" i="13"/>
  <c r="B149" i="13"/>
  <c r="B55" i="13"/>
  <c r="B70" i="13"/>
  <c r="B77" i="13"/>
  <c r="B96" i="13"/>
  <c r="B118" i="13"/>
  <c r="B12" i="13"/>
  <c r="B25" i="13"/>
  <c r="B50" i="13"/>
  <c r="B68" i="13"/>
  <c r="B89" i="13"/>
  <c r="B104" i="13"/>
  <c r="B160" i="13"/>
  <c r="B155" i="13"/>
  <c r="B121" i="13"/>
  <c r="B130" i="13"/>
  <c r="B134" i="13"/>
  <c r="B139" i="13"/>
  <c r="B163" i="13"/>
  <c r="B190" i="13"/>
  <c r="B123" i="13"/>
  <c r="B144" i="13"/>
  <c r="B159" i="13"/>
  <c r="B169" i="13"/>
  <c r="B220" i="13"/>
  <c r="B171" i="13"/>
  <c r="B177" i="13"/>
  <c r="B182" i="13"/>
  <c r="B191" i="13"/>
  <c r="B224" i="13"/>
  <c r="B214" i="13"/>
  <c r="B221" i="13"/>
  <c r="B226" i="13"/>
  <c r="B235" i="13"/>
  <c r="B241" i="13"/>
  <c r="B201" i="13"/>
  <c r="B207" i="13"/>
  <c r="B213" i="13"/>
  <c r="B228" i="13"/>
  <c r="B239" i="13"/>
  <c r="B12" i="12"/>
  <c r="B126" i="5"/>
  <c r="B118" i="5"/>
  <c r="B99" i="5"/>
  <c r="B87" i="5"/>
  <c r="B66" i="5"/>
  <c r="B44" i="5"/>
  <c r="B33" i="5"/>
  <c r="B14" i="5"/>
  <c r="B6" i="5"/>
  <c r="G19" i="12"/>
  <c r="G127" i="5"/>
  <c r="G108" i="5"/>
  <c r="G84" i="5"/>
  <c r="G75" i="5"/>
  <c r="G56" i="5"/>
  <c r="G49" i="5"/>
  <c r="G25" i="5"/>
  <c r="B17" i="5"/>
  <c r="B14" i="12"/>
  <c r="B125" i="5"/>
  <c r="B117" i="5"/>
  <c r="B98" i="5"/>
  <c r="B89" i="5"/>
  <c r="B67" i="5"/>
  <c r="B46" i="5"/>
  <c r="B34" i="5"/>
  <c r="B15" i="5"/>
  <c r="B7" i="5"/>
  <c r="B13" i="12"/>
  <c r="B115" i="5"/>
  <c r="B107" i="5"/>
  <c r="B82" i="5"/>
  <c r="B74" i="5"/>
  <c r="B55" i="5"/>
  <c r="B43" i="5"/>
  <c r="B22" i="5"/>
  <c r="B31" i="12"/>
  <c r="B46" i="12"/>
  <c r="B55" i="12"/>
  <c r="B88" i="12"/>
  <c r="B98" i="12"/>
  <c r="B113" i="12"/>
  <c r="B119" i="12"/>
  <c r="B130" i="12"/>
  <c r="B158" i="12"/>
  <c r="B37" i="12"/>
  <c r="B52" i="12"/>
  <c r="B66" i="12"/>
  <c r="B84" i="12"/>
  <c r="B97" i="12"/>
  <c r="B107" i="12"/>
  <c r="B123" i="12"/>
  <c r="B138" i="12"/>
  <c r="B146" i="12"/>
  <c r="B164" i="12"/>
  <c r="B35" i="12"/>
  <c r="B53" i="12"/>
  <c r="B69" i="12"/>
  <c r="B76" i="12"/>
  <c r="B102" i="12"/>
  <c r="B117" i="12"/>
  <c r="B139" i="12"/>
  <c r="B153" i="12"/>
  <c r="B42" i="12"/>
  <c r="B63" i="12"/>
  <c r="B75" i="12"/>
  <c r="B94" i="12"/>
  <c r="B114" i="12"/>
  <c r="B136" i="12"/>
  <c r="B154" i="12"/>
  <c r="B162" i="12"/>
  <c r="B174" i="12"/>
  <c r="B194" i="12"/>
  <c r="B206" i="12"/>
  <c r="B218" i="12"/>
  <c r="B181" i="12"/>
  <c r="B191" i="12"/>
  <c r="B202" i="12"/>
  <c r="B214" i="12"/>
  <c r="B178" i="12"/>
  <c r="B198" i="12"/>
  <c r="B222" i="12"/>
  <c r="B180" i="12"/>
  <c r="B197" i="12"/>
  <c r="B221" i="12"/>
  <c r="B14" i="13"/>
  <c r="B44" i="13"/>
  <c r="B59" i="13"/>
  <c r="B113" i="13"/>
  <c r="B9" i="13"/>
  <c r="B32" i="13"/>
  <c r="B75" i="13"/>
  <c r="B110" i="13"/>
  <c r="B185" i="13"/>
  <c r="B24" i="13"/>
  <c r="B87" i="13"/>
  <c r="B20" i="13"/>
  <c r="B48" i="13"/>
  <c r="B95" i="13"/>
  <c r="B8" i="13"/>
  <c r="B21" i="13"/>
  <c r="B46" i="13"/>
  <c r="B64" i="13"/>
  <c r="B90" i="13"/>
  <c r="B103" i="13"/>
  <c r="B157" i="13"/>
  <c r="B60" i="13"/>
  <c r="B72" i="13"/>
  <c r="B82" i="13"/>
  <c r="B99" i="13"/>
  <c r="B119" i="13"/>
  <c r="B15" i="13"/>
  <c r="B36" i="13"/>
  <c r="B53" i="13"/>
  <c r="B71" i="13"/>
  <c r="B94" i="13"/>
  <c r="B106" i="13"/>
  <c r="B195" i="13"/>
  <c r="B158" i="13"/>
  <c r="B114" i="13"/>
  <c r="B127" i="13"/>
  <c r="B131" i="13"/>
  <c r="B135" i="13"/>
  <c r="B140" i="13"/>
  <c r="B173" i="13"/>
  <c r="B193" i="13"/>
  <c r="B141" i="13"/>
  <c r="B145" i="13"/>
  <c r="B164" i="13"/>
  <c r="B170" i="13"/>
  <c r="B242" i="13"/>
  <c r="B172" i="13"/>
  <c r="B178" i="13"/>
  <c r="B186" i="13"/>
  <c r="B192" i="13"/>
  <c r="B246" i="13"/>
  <c r="B202" i="13"/>
  <c r="B216" i="13"/>
  <c r="B222" i="13"/>
  <c r="B230" i="13"/>
  <c r="B236" i="13"/>
  <c r="B243" i="13"/>
  <c r="B203" i="13"/>
  <c r="B209" i="13"/>
  <c r="B215" i="13"/>
  <c r="B229" i="13"/>
  <c r="B199" i="13"/>
  <c r="B10" i="12"/>
  <c r="B124" i="5"/>
  <c r="B116" i="5"/>
  <c r="B97" i="5"/>
  <c r="B83" i="5"/>
  <c r="B64" i="5"/>
  <c r="B40" i="5"/>
  <c r="B31" i="5"/>
  <c r="B12" i="5"/>
  <c r="B5" i="5"/>
  <c r="G17" i="12"/>
  <c r="G114" i="5"/>
  <c r="G106" i="5"/>
  <c r="G81" i="5"/>
  <c r="G73" i="5"/>
  <c r="G54" i="5"/>
  <c r="G45" i="5"/>
  <c r="G23" i="5"/>
  <c r="G24" i="12"/>
  <c r="G8" i="12"/>
  <c r="G136" i="5"/>
  <c r="G123" i="5"/>
  <c r="G104" i="5"/>
  <c r="G96" i="5"/>
  <c r="G85" i="5"/>
  <c r="G65" i="5"/>
  <c r="G42" i="5"/>
  <c r="G32" i="5"/>
  <c r="G13" i="5"/>
  <c r="B11" i="12"/>
  <c r="B113" i="5"/>
  <c r="B105" i="5"/>
  <c r="B80" i="5"/>
  <c r="B72" i="5"/>
  <c r="B53" i="5"/>
  <c r="B39" i="5"/>
  <c r="B20" i="5"/>
  <c r="B36" i="12"/>
  <c r="B50" i="12"/>
  <c r="B65" i="12"/>
  <c r="B90" i="12"/>
  <c r="B100" i="12"/>
  <c r="B115" i="12"/>
  <c r="B121" i="12"/>
  <c r="B134" i="12"/>
  <c r="B163" i="12"/>
  <c r="B41" i="12"/>
  <c r="B57" i="12"/>
  <c r="B67" i="12"/>
  <c r="B89" i="12"/>
  <c r="B99" i="12"/>
  <c r="B109" i="12"/>
  <c r="B125" i="12"/>
  <c r="B142" i="12"/>
  <c r="B150" i="12"/>
  <c r="B29" i="12"/>
  <c r="B40" i="12"/>
  <c r="B56" i="12"/>
  <c r="B70" i="12"/>
  <c r="B81" i="12"/>
  <c r="B103" i="12"/>
  <c r="B126" i="12"/>
  <c r="B144" i="12"/>
  <c r="B156" i="12"/>
  <c r="B48" i="12"/>
  <c r="B68" i="12"/>
  <c r="B77" i="12"/>
  <c r="B95" i="12"/>
  <c r="B127" i="12"/>
  <c r="B140" i="12"/>
  <c r="B155" i="12"/>
  <c r="B165" i="12"/>
  <c r="B176" i="12"/>
  <c r="B195" i="12"/>
  <c r="B207" i="12"/>
  <c r="B219" i="12"/>
  <c r="B171" i="12"/>
  <c r="B182" i="12"/>
  <c r="B193" i="12"/>
  <c r="B205" i="12"/>
  <c r="B217" i="12"/>
  <c r="B179" i="12"/>
  <c r="B203" i="12"/>
  <c r="B184" i="12"/>
  <c r="B199" i="12"/>
  <c r="B223" i="12"/>
  <c r="B33" i="13"/>
  <c r="B51" i="13"/>
  <c r="B66" i="13"/>
  <c r="B136" i="13"/>
  <c r="B10" i="13"/>
  <c r="B41" i="13"/>
  <c r="B81" i="13"/>
  <c r="B117" i="13"/>
  <c r="B30" i="13"/>
  <c r="B100" i="13"/>
  <c r="B35" i="13"/>
  <c r="B74" i="13"/>
  <c r="B109" i="13"/>
  <c r="B11" i="13"/>
  <c r="B26" i="13"/>
  <c r="B47" i="13"/>
  <c r="B67" i="13"/>
  <c r="B91" i="13"/>
  <c r="B124" i="13"/>
  <c r="B161" i="13"/>
  <c r="B62" i="13"/>
  <c r="B73" i="13"/>
  <c r="B84" i="13"/>
  <c r="B105" i="13"/>
  <c r="B125" i="13"/>
  <c r="B5" i="13"/>
  <c r="B17" i="13"/>
  <c r="B37" i="13"/>
  <c r="B58" i="13"/>
  <c r="B83" i="13"/>
  <c r="B97" i="13"/>
  <c r="B107" i="13"/>
  <c r="B147" i="13"/>
  <c r="B184" i="13"/>
  <c r="B115" i="13"/>
  <c r="B128" i="13"/>
  <c r="B132" i="13"/>
  <c r="B137" i="13"/>
  <c r="B148" i="13"/>
  <c r="B176" i="13"/>
  <c r="B196" i="13"/>
  <c r="B142" i="13"/>
  <c r="B151" i="13"/>
  <c r="B165" i="13"/>
  <c r="B180" i="13"/>
  <c r="B152" i="13"/>
  <c r="B174" i="13"/>
  <c r="B179" i="13"/>
  <c r="B188" i="13"/>
  <c r="B194" i="13"/>
  <c r="B208" i="13"/>
  <c r="B218" i="13"/>
  <c r="B223" i="13"/>
  <c r="B232" i="13"/>
  <c r="B238" i="13"/>
  <c r="B244" i="13"/>
  <c r="B198" i="13"/>
  <c r="B204" i="13"/>
  <c r="B210" i="13"/>
  <c r="B217" i="13"/>
  <c r="B231" i="13"/>
  <c r="B205" i="13"/>
  <c r="B21" i="12"/>
  <c r="B9" i="12"/>
  <c r="B134" i="5"/>
  <c r="B122" i="5"/>
  <c r="B103" i="5"/>
  <c r="B95" i="5"/>
  <c r="B70" i="5"/>
  <c r="B62" i="5"/>
  <c r="B37" i="5"/>
  <c r="B29" i="5"/>
  <c r="B10" i="5"/>
  <c r="B25" i="12"/>
  <c r="D13" i="16"/>
  <c r="H12" i="16"/>
  <c r="L12" i="16"/>
  <c r="N302" i="13" l="1"/>
  <c r="H302" i="13"/>
  <c r="M302" i="13"/>
  <c r="N291" i="13"/>
  <c r="H291" i="13"/>
  <c r="M291" i="13"/>
  <c r="N166" i="5"/>
  <c r="H166" i="5"/>
  <c r="M166" i="5"/>
  <c r="H290" i="13"/>
  <c r="M290" i="13"/>
  <c r="N290" i="13"/>
  <c r="N276" i="13"/>
  <c r="H276" i="13"/>
  <c r="M276" i="13"/>
  <c r="H253" i="12"/>
  <c r="M253" i="12"/>
  <c r="N253" i="12"/>
  <c r="M152" i="5"/>
  <c r="H152" i="5"/>
  <c r="N152" i="5"/>
  <c r="H239" i="12"/>
  <c r="M239" i="12"/>
  <c r="N239" i="12"/>
  <c r="H144" i="5"/>
  <c r="M144" i="5"/>
  <c r="N144" i="5"/>
  <c r="M138" i="5"/>
  <c r="H138" i="5"/>
  <c r="N138" i="5"/>
  <c r="H303" i="13"/>
  <c r="M303" i="13"/>
  <c r="N303" i="13"/>
  <c r="M281" i="12"/>
  <c r="N281" i="12"/>
  <c r="H281" i="12"/>
  <c r="M270" i="12"/>
  <c r="N270" i="12"/>
  <c r="H270" i="12"/>
  <c r="H171" i="5"/>
  <c r="M171" i="5"/>
  <c r="N171" i="5"/>
  <c r="N261" i="12"/>
  <c r="H261" i="12"/>
  <c r="M261" i="12"/>
  <c r="M273" i="13"/>
  <c r="N273" i="13"/>
  <c r="H273" i="13"/>
  <c r="M283" i="13"/>
  <c r="H283" i="13"/>
  <c r="N283" i="13"/>
  <c r="N155" i="5"/>
  <c r="H155" i="5"/>
  <c r="M155" i="5"/>
  <c r="W257" i="12"/>
  <c r="X257" i="12"/>
  <c r="Y257" i="12"/>
  <c r="H160" i="5"/>
  <c r="M160" i="5"/>
  <c r="N160" i="5"/>
  <c r="H149" i="5"/>
  <c r="M149" i="5"/>
  <c r="N149" i="5"/>
  <c r="N141" i="5"/>
  <c r="H141" i="5"/>
  <c r="M141" i="5"/>
  <c r="H230" i="12"/>
  <c r="M230" i="12"/>
  <c r="N230" i="12"/>
  <c r="H310" i="13"/>
  <c r="M310" i="13"/>
  <c r="N310" i="13"/>
  <c r="N304" i="13"/>
  <c r="H304" i="13"/>
  <c r="M304" i="13"/>
  <c r="N284" i="12"/>
  <c r="H284" i="12"/>
  <c r="M284" i="12"/>
  <c r="H297" i="13"/>
  <c r="M297" i="13"/>
  <c r="N297" i="13"/>
  <c r="H268" i="12"/>
  <c r="M268" i="12"/>
  <c r="N268" i="12"/>
  <c r="H282" i="13"/>
  <c r="N282" i="13"/>
  <c r="M282" i="13"/>
  <c r="H251" i="12"/>
  <c r="M251" i="12"/>
  <c r="N251" i="12"/>
  <c r="Y257" i="13"/>
  <c r="W257" i="13"/>
  <c r="X257" i="13"/>
  <c r="M261" i="13"/>
  <c r="N261" i="13"/>
  <c r="H261" i="13"/>
  <c r="M248" i="13"/>
  <c r="H248" i="13"/>
  <c r="N248" i="13"/>
  <c r="H237" i="12"/>
  <c r="M237" i="12"/>
  <c r="N237" i="12"/>
  <c r="D7" i="13"/>
  <c r="BG6" i="13"/>
  <c r="F6" i="13"/>
  <c r="E6" i="13"/>
  <c r="T6" i="13" s="1"/>
  <c r="M296" i="13"/>
  <c r="N296" i="13"/>
  <c r="H296" i="13"/>
  <c r="M280" i="12"/>
  <c r="H280" i="12"/>
  <c r="N280" i="12"/>
  <c r="N284" i="13"/>
  <c r="H284" i="13"/>
  <c r="M284" i="13"/>
  <c r="N263" i="12"/>
  <c r="H263" i="12"/>
  <c r="M263" i="12"/>
  <c r="M287" i="13"/>
  <c r="H287" i="13"/>
  <c r="N287" i="13"/>
  <c r="H246" i="12"/>
  <c r="M246" i="12"/>
  <c r="N246" i="12"/>
  <c r="N146" i="5"/>
  <c r="H146" i="5"/>
  <c r="M146" i="5"/>
  <c r="H232" i="12"/>
  <c r="M232" i="12"/>
  <c r="N232" i="12"/>
  <c r="X229" i="12"/>
  <c r="Y229" i="12"/>
  <c r="W229" i="12"/>
  <c r="G137" i="5"/>
  <c r="M282" i="12"/>
  <c r="N282" i="12"/>
  <c r="H282" i="12"/>
  <c r="M279" i="12"/>
  <c r="H279" i="12"/>
  <c r="N279" i="12"/>
  <c r="H266" i="12"/>
  <c r="M266" i="12"/>
  <c r="N266" i="12"/>
  <c r="H157" i="5"/>
  <c r="M157" i="5"/>
  <c r="N157" i="5"/>
  <c r="H257" i="12"/>
  <c r="M257" i="12"/>
  <c r="N257" i="12"/>
  <c r="N264" i="13"/>
  <c r="H264" i="13"/>
  <c r="M264" i="13"/>
  <c r="H262" i="13"/>
  <c r="M262" i="13"/>
  <c r="N262" i="13"/>
  <c r="H259" i="13"/>
  <c r="M259" i="13"/>
  <c r="N259" i="13"/>
  <c r="H243" i="12"/>
  <c r="M243" i="12"/>
  <c r="N243" i="12"/>
  <c r="H227" i="12"/>
  <c r="M227" i="12"/>
  <c r="N227" i="12"/>
  <c r="M309" i="13"/>
  <c r="N309" i="13"/>
  <c r="H309" i="13"/>
  <c r="M274" i="12"/>
  <c r="N274" i="12"/>
  <c r="H274" i="12"/>
  <c r="N162" i="5"/>
  <c r="H162" i="5"/>
  <c r="M162" i="5"/>
  <c r="H167" i="5"/>
  <c r="M167" i="5"/>
  <c r="N167" i="5"/>
  <c r="H270" i="13"/>
  <c r="M270" i="13"/>
  <c r="N270" i="13"/>
  <c r="H248" i="12"/>
  <c r="M248" i="12"/>
  <c r="N248" i="12"/>
  <c r="M249" i="13"/>
  <c r="N249" i="13"/>
  <c r="H249" i="13"/>
  <c r="H234" i="12"/>
  <c r="M234" i="12"/>
  <c r="N234" i="12"/>
  <c r="M273" i="12"/>
  <c r="N273" i="12"/>
  <c r="H273" i="12"/>
  <c r="M172" i="5"/>
  <c r="N172" i="5"/>
  <c r="H172" i="5"/>
  <c r="H275" i="13"/>
  <c r="M275" i="13"/>
  <c r="N275" i="13"/>
  <c r="M259" i="12"/>
  <c r="H259" i="12"/>
  <c r="N259" i="12"/>
  <c r="H255" i="12"/>
  <c r="M255" i="12"/>
  <c r="N255" i="12"/>
  <c r="N256" i="13"/>
  <c r="H256" i="13"/>
  <c r="M256" i="13"/>
  <c r="H254" i="13"/>
  <c r="M254" i="13"/>
  <c r="N254" i="13"/>
  <c r="H251" i="13"/>
  <c r="M251" i="13"/>
  <c r="N251" i="13"/>
  <c r="H241" i="12"/>
  <c r="M241" i="12"/>
  <c r="N241" i="12"/>
  <c r="H225" i="12"/>
  <c r="M225" i="12"/>
  <c r="N225" i="12"/>
  <c r="N312" i="13"/>
  <c r="H312" i="13"/>
  <c r="M312" i="13"/>
  <c r="H306" i="13"/>
  <c r="M306" i="13"/>
  <c r="N306" i="13"/>
  <c r="M272" i="12"/>
  <c r="N272" i="12"/>
  <c r="H272" i="12"/>
  <c r="Y285" i="13"/>
  <c r="W285" i="13"/>
  <c r="X285" i="13"/>
  <c r="H163" i="5"/>
  <c r="M163" i="5"/>
  <c r="N163" i="5"/>
  <c r="H250" i="12"/>
  <c r="M250" i="12"/>
  <c r="N250" i="12"/>
  <c r="M257" i="13"/>
  <c r="N257" i="13"/>
  <c r="H257" i="13"/>
  <c r="H236" i="12"/>
  <c r="M236" i="12"/>
  <c r="N236" i="12"/>
  <c r="H143" i="5"/>
  <c r="N143" i="5"/>
  <c r="M143" i="5"/>
  <c r="G308" i="13"/>
  <c r="M292" i="13"/>
  <c r="N292" i="13"/>
  <c r="H292" i="13"/>
  <c r="M269" i="12"/>
  <c r="H269" i="12"/>
  <c r="N269" i="12"/>
  <c r="N280" i="13"/>
  <c r="H280" i="13"/>
  <c r="M280" i="13"/>
  <c r="N262" i="12"/>
  <c r="H262" i="12"/>
  <c r="M262" i="12"/>
  <c r="M277" i="13"/>
  <c r="N277" i="13"/>
  <c r="H277" i="13"/>
  <c r="M285" i="13"/>
  <c r="H285" i="13"/>
  <c r="N285" i="13"/>
  <c r="N159" i="5"/>
  <c r="H159" i="5"/>
  <c r="M159" i="5"/>
  <c r="H245" i="12"/>
  <c r="M245" i="12"/>
  <c r="N245" i="12"/>
  <c r="M145" i="5"/>
  <c r="N145" i="5"/>
  <c r="H145" i="5"/>
  <c r="H231" i="12"/>
  <c r="M231" i="12"/>
  <c r="N231" i="12"/>
  <c r="Y145" i="5"/>
  <c r="W145" i="5"/>
  <c r="X145" i="5"/>
  <c r="H294" i="13"/>
  <c r="M294" i="13"/>
  <c r="N294" i="13"/>
  <c r="M265" i="12"/>
  <c r="N265" i="12"/>
  <c r="H265" i="12"/>
  <c r="H286" i="13"/>
  <c r="N286" i="13"/>
  <c r="M286" i="13"/>
  <c r="N272" i="13"/>
  <c r="H272" i="13"/>
  <c r="M272" i="13"/>
  <c r="H252" i="12"/>
  <c r="M252" i="12"/>
  <c r="N252" i="12"/>
  <c r="M265" i="13"/>
  <c r="N265" i="13"/>
  <c r="H265" i="13"/>
  <c r="H238" i="12"/>
  <c r="M238" i="12"/>
  <c r="N238" i="12"/>
  <c r="M142" i="5"/>
  <c r="H142" i="5"/>
  <c r="N142" i="5"/>
  <c r="H299" i="13"/>
  <c r="N299" i="13"/>
  <c r="M299" i="13"/>
  <c r="H300" i="13"/>
  <c r="M300" i="13"/>
  <c r="N300" i="13"/>
  <c r="H298" i="13"/>
  <c r="M298" i="13"/>
  <c r="N298" i="13"/>
  <c r="M165" i="5"/>
  <c r="N165" i="5"/>
  <c r="H165" i="5"/>
  <c r="M269" i="13"/>
  <c r="N269" i="13"/>
  <c r="H269" i="13"/>
  <c r="M281" i="13"/>
  <c r="H281" i="13"/>
  <c r="N281" i="13"/>
  <c r="M158" i="5"/>
  <c r="N158" i="5"/>
  <c r="H158" i="5"/>
  <c r="H150" i="5"/>
  <c r="M150" i="5"/>
  <c r="N150" i="5"/>
  <c r="H267" i="13"/>
  <c r="M267" i="13"/>
  <c r="N267" i="13"/>
  <c r="H229" i="12"/>
  <c r="M229" i="12"/>
  <c r="N229" i="12"/>
  <c r="H147" i="5"/>
  <c r="M147" i="5"/>
  <c r="N147" i="5"/>
  <c r="M305" i="13"/>
  <c r="N305" i="13"/>
  <c r="H305" i="13"/>
  <c r="N295" i="13"/>
  <c r="H295" i="13"/>
  <c r="M295" i="13"/>
  <c r="H164" i="5"/>
  <c r="M164" i="5"/>
  <c r="N164" i="5"/>
  <c r="H278" i="13"/>
  <c r="M278" i="13"/>
  <c r="N278" i="13"/>
  <c r="H271" i="13"/>
  <c r="M271" i="13"/>
  <c r="N271" i="13"/>
  <c r="H254" i="12"/>
  <c r="M254" i="12"/>
  <c r="N254" i="12"/>
  <c r="N268" i="13"/>
  <c r="H268" i="13"/>
  <c r="M268" i="13"/>
  <c r="N252" i="13"/>
  <c r="H252" i="13"/>
  <c r="M252" i="13"/>
  <c r="H250" i="13"/>
  <c r="M250" i="13"/>
  <c r="N250" i="13"/>
  <c r="H240" i="12"/>
  <c r="M240" i="12"/>
  <c r="N240" i="12"/>
  <c r="H148" i="5"/>
  <c r="M148" i="5"/>
  <c r="N148" i="5"/>
  <c r="G311" i="13"/>
  <c r="M275" i="12"/>
  <c r="N275" i="12"/>
  <c r="H275" i="12"/>
  <c r="M271" i="12"/>
  <c r="N271" i="12"/>
  <c r="H271" i="12"/>
  <c r="M289" i="13"/>
  <c r="N289" i="13"/>
  <c r="H289" i="13"/>
  <c r="H274" i="13"/>
  <c r="M274" i="13"/>
  <c r="N274" i="13"/>
  <c r="H249" i="12"/>
  <c r="M249" i="12"/>
  <c r="N249" i="12"/>
  <c r="M151" i="5"/>
  <c r="N151" i="5"/>
  <c r="H151" i="5"/>
  <c r="M253" i="13"/>
  <c r="N253" i="13"/>
  <c r="H253" i="13"/>
  <c r="H235" i="12"/>
  <c r="M235" i="12"/>
  <c r="N235" i="12"/>
  <c r="H139" i="5"/>
  <c r="N139" i="5"/>
  <c r="M139" i="5"/>
  <c r="O5" i="12"/>
  <c r="E5" i="12"/>
  <c r="BG5" i="12"/>
  <c r="P5" i="12"/>
  <c r="D6" i="12"/>
  <c r="BI5" i="12"/>
  <c r="T5" i="12"/>
  <c r="F5" i="12"/>
  <c r="H307" i="13"/>
  <c r="M307" i="13"/>
  <c r="N307" i="13"/>
  <c r="H301" i="13"/>
  <c r="M301" i="13"/>
  <c r="N301" i="13"/>
  <c r="M278" i="12"/>
  <c r="H278" i="12"/>
  <c r="N278" i="12"/>
  <c r="N169" i="5"/>
  <c r="H169" i="5"/>
  <c r="M169" i="5"/>
  <c r="H153" i="5"/>
  <c r="M153" i="5"/>
  <c r="N153" i="5"/>
  <c r="H256" i="12"/>
  <c r="M256" i="12"/>
  <c r="N256" i="12"/>
  <c r="N260" i="13"/>
  <c r="H260" i="13"/>
  <c r="M260" i="13"/>
  <c r="H258" i="13"/>
  <c r="M258" i="13"/>
  <c r="N258" i="13"/>
  <c r="H255" i="13"/>
  <c r="M255" i="13"/>
  <c r="N255" i="13"/>
  <c r="H242" i="12"/>
  <c r="M242" i="12"/>
  <c r="N242" i="12"/>
  <c r="H226" i="12"/>
  <c r="M226" i="12"/>
  <c r="N226" i="12"/>
  <c r="H247" i="13"/>
  <c r="M247" i="13"/>
  <c r="N247" i="13"/>
  <c r="M140" i="5"/>
  <c r="H140" i="5"/>
  <c r="N140" i="5"/>
  <c r="M277" i="12"/>
  <c r="H277" i="12"/>
  <c r="N277" i="12"/>
  <c r="N288" i="13"/>
  <c r="H288" i="13"/>
  <c r="M288" i="13"/>
  <c r="H170" i="5"/>
  <c r="M170" i="5"/>
  <c r="N170" i="5"/>
  <c r="N264" i="12"/>
  <c r="H264" i="12"/>
  <c r="M264" i="12"/>
  <c r="H260" i="12"/>
  <c r="M260" i="12"/>
  <c r="N260" i="12"/>
  <c r="H247" i="12"/>
  <c r="M247" i="12"/>
  <c r="N247" i="12"/>
  <c r="H156" i="5"/>
  <c r="M156" i="5"/>
  <c r="N156" i="5"/>
  <c r="H233" i="12"/>
  <c r="M233" i="12"/>
  <c r="N233" i="12"/>
  <c r="H293" i="13"/>
  <c r="M293" i="13"/>
  <c r="N293" i="13"/>
  <c r="M283" i="12"/>
  <c r="N283" i="12"/>
  <c r="H283" i="12"/>
  <c r="M276" i="12"/>
  <c r="H276" i="12"/>
  <c r="N276" i="12"/>
  <c r="H267" i="12"/>
  <c r="M267" i="12"/>
  <c r="N267" i="12"/>
  <c r="M168" i="5"/>
  <c r="H168" i="5"/>
  <c r="N168" i="5"/>
  <c r="M161" i="5"/>
  <c r="N161" i="5"/>
  <c r="H161" i="5"/>
  <c r="M279" i="13"/>
  <c r="H279" i="13"/>
  <c r="N279" i="13"/>
  <c r="M154" i="5"/>
  <c r="N154" i="5"/>
  <c r="H154" i="5"/>
  <c r="M258" i="12"/>
  <c r="H258" i="12"/>
  <c r="N258" i="12"/>
  <c r="H266" i="13"/>
  <c r="M266" i="13"/>
  <c r="N266" i="13"/>
  <c r="H263" i="13"/>
  <c r="M263" i="13"/>
  <c r="N263" i="13"/>
  <c r="H244" i="12"/>
  <c r="M244" i="12"/>
  <c r="N244" i="12"/>
  <c r="H228" i="12"/>
  <c r="M228" i="12"/>
  <c r="N228" i="12"/>
  <c r="S6" i="5"/>
  <c r="J6" i="5"/>
  <c r="Q6" i="5"/>
  <c r="R6" i="5"/>
  <c r="I6" i="5"/>
  <c r="BG7" i="5"/>
  <c r="D8" i="5"/>
  <c r="F8" i="5" s="1"/>
  <c r="E7" i="5"/>
  <c r="T7" i="5" s="1"/>
  <c r="BI7" i="5"/>
  <c r="C8" i="15"/>
  <c r="C10" i="14"/>
  <c r="F7" i="15"/>
  <c r="B7" i="15"/>
  <c r="E7" i="15"/>
  <c r="E9" i="14"/>
  <c r="F9" i="14"/>
  <c r="B9" i="14"/>
  <c r="E7" i="9"/>
  <c r="B7" i="9"/>
  <c r="F7" i="9"/>
  <c r="C8" i="9"/>
  <c r="G37" i="5"/>
  <c r="G103" i="5"/>
  <c r="G217" i="13"/>
  <c r="G244" i="13"/>
  <c r="G218" i="13"/>
  <c r="G194" i="13"/>
  <c r="G152" i="13"/>
  <c r="G142" i="13"/>
  <c r="G137" i="13"/>
  <c r="G184" i="13"/>
  <c r="G83" i="13"/>
  <c r="G5" i="13"/>
  <c r="BH5" i="13" s="1"/>
  <c r="C5" i="13"/>
  <c r="G84" i="13"/>
  <c r="G124" i="13"/>
  <c r="G26" i="13"/>
  <c r="G35" i="13"/>
  <c r="G10" i="13"/>
  <c r="G51" i="13"/>
  <c r="G179" i="12"/>
  <c r="G193" i="12"/>
  <c r="G207" i="12"/>
  <c r="G155" i="12"/>
  <c r="G77" i="12"/>
  <c r="G144" i="12"/>
  <c r="G70" i="12"/>
  <c r="G150" i="12"/>
  <c r="G99" i="12"/>
  <c r="G41" i="12"/>
  <c r="G115" i="12"/>
  <c r="G50" i="12"/>
  <c r="G53" i="5"/>
  <c r="G113" i="5"/>
  <c r="N45" i="5"/>
  <c r="M45" i="5"/>
  <c r="H45" i="5"/>
  <c r="M73" i="5"/>
  <c r="N73" i="5"/>
  <c r="H73" i="5"/>
  <c r="N106" i="5"/>
  <c r="H106" i="5"/>
  <c r="M106" i="5"/>
  <c r="N17" i="12"/>
  <c r="M17" i="12"/>
  <c r="H17" i="12"/>
  <c r="G31" i="5"/>
  <c r="G97" i="5"/>
  <c r="G229" i="13"/>
  <c r="G222" i="13"/>
  <c r="G172" i="13"/>
  <c r="G145" i="13"/>
  <c r="G140" i="13"/>
  <c r="G114" i="13"/>
  <c r="G94" i="13"/>
  <c r="G15" i="13"/>
  <c r="G99" i="13"/>
  <c r="G157" i="13"/>
  <c r="G46" i="13"/>
  <c r="G48" i="13"/>
  <c r="G32" i="13"/>
  <c r="G59" i="13"/>
  <c r="G180" i="12"/>
  <c r="G198" i="12"/>
  <c r="G202" i="12"/>
  <c r="G218" i="12"/>
  <c r="G162" i="12"/>
  <c r="G94" i="12"/>
  <c r="G153" i="12"/>
  <c r="G76" i="12"/>
  <c r="G164" i="12"/>
  <c r="G107" i="12"/>
  <c r="G52" i="12"/>
  <c r="G119" i="12"/>
  <c r="G55" i="12"/>
  <c r="G43" i="5"/>
  <c r="G107" i="5"/>
  <c r="G13" i="12"/>
  <c r="G46" i="5"/>
  <c r="G117" i="5"/>
  <c r="G6" i="5"/>
  <c r="BH6" i="5" s="1"/>
  <c r="G66" i="5"/>
  <c r="G126" i="5"/>
  <c r="G12" i="12"/>
  <c r="G207" i="13"/>
  <c r="G235" i="13"/>
  <c r="G182" i="13"/>
  <c r="G169" i="13"/>
  <c r="G190" i="13"/>
  <c r="G130" i="13"/>
  <c r="G160" i="13"/>
  <c r="G50" i="13"/>
  <c r="G70" i="13"/>
  <c r="G79" i="13"/>
  <c r="G49" i="13"/>
  <c r="G108" i="13"/>
  <c r="G13" i="13"/>
  <c r="G211" i="12"/>
  <c r="G177" i="12"/>
  <c r="G187" i="12"/>
  <c r="G133" i="12"/>
  <c r="G62" i="12"/>
  <c r="G111" i="12"/>
  <c r="G49" i="12"/>
  <c r="G135" i="12"/>
  <c r="G82" i="12"/>
  <c r="G148" i="12"/>
  <c r="G96" i="12"/>
  <c r="G30" i="12"/>
  <c r="G76" i="5"/>
  <c r="M28" i="5"/>
  <c r="H28" i="5"/>
  <c r="N28" i="5"/>
  <c r="N61" i="5"/>
  <c r="H61" i="5"/>
  <c r="M61" i="5"/>
  <c r="N119" i="5"/>
  <c r="M119" i="5"/>
  <c r="H119" i="5"/>
  <c r="N26" i="12"/>
  <c r="M26" i="12"/>
  <c r="H26" i="12"/>
  <c r="G35" i="5"/>
  <c r="G101" i="5"/>
  <c r="G227" i="13"/>
  <c r="G245" i="13"/>
  <c r="G219" i="13"/>
  <c r="G234" i="13"/>
  <c r="G156" i="13"/>
  <c r="G143" i="13"/>
  <c r="G138" i="13"/>
  <c r="G197" i="13"/>
  <c r="G88" i="13"/>
  <c r="G7" i="13"/>
  <c r="BH7" i="13" s="1"/>
  <c r="G85" i="13"/>
  <c r="G146" i="13"/>
  <c r="G28" i="13"/>
  <c r="G38" i="13"/>
  <c r="G27" i="13"/>
  <c r="G52" i="13"/>
  <c r="G167" i="12"/>
  <c r="G183" i="12"/>
  <c r="G196" i="12"/>
  <c r="G212" i="12"/>
  <c r="G157" i="12"/>
  <c r="G86" i="12"/>
  <c r="G147" i="12"/>
  <c r="G72" i="12"/>
  <c r="G159" i="12"/>
  <c r="G101" i="12"/>
  <c r="G44" i="12"/>
  <c r="G116" i="12"/>
  <c r="G51" i="12"/>
  <c r="G51" i="5"/>
  <c r="G111" i="5"/>
  <c r="G23" i="12"/>
  <c r="G63" i="5"/>
  <c r="N21" i="5"/>
  <c r="H21" i="5"/>
  <c r="M21" i="5"/>
  <c r="N52" i="5"/>
  <c r="M52" i="5"/>
  <c r="H52" i="5"/>
  <c r="M79" i="5"/>
  <c r="H79" i="5"/>
  <c r="N79" i="5"/>
  <c r="H112" i="5"/>
  <c r="N112" i="5"/>
  <c r="M112" i="5"/>
  <c r="H27" i="12"/>
  <c r="M27" i="12"/>
  <c r="N27" i="12"/>
  <c r="G25" i="12"/>
  <c r="G62" i="5"/>
  <c r="G122" i="5"/>
  <c r="G9" i="12"/>
  <c r="G205" i="13"/>
  <c r="G210" i="13"/>
  <c r="G238" i="13"/>
  <c r="G208" i="13"/>
  <c r="G188" i="13"/>
  <c r="G180" i="13"/>
  <c r="G196" i="13"/>
  <c r="G132" i="13"/>
  <c r="G147" i="13"/>
  <c r="G58" i="13"/>
  <c r="G73" i="13"/>
  <c r="G91" i="13"/>
  <c r="G11" i="13"/>
  <c r="G100" i="13"/>
  <c r="G117" i="13"/>
  <c r="G33" i="13"/>
  <c r="G223" i="12"/>
  <c r="G182" i="12"/>
  <c r="G195" i="12"/>
  <c r="G140" i="12"/>
  <c r="G68" i="12"/>
  <c r="G126" i="12"/>
  <c r="G56" i="12"/>
  <c r="G142" i="12"/>
  <c r="G89" i="12"/>
  <c r="G163" i="12"/>
  <c r="G100" i="12"/>
  <c r="G36" i="12"/>
  <c r="G72" i="5"/>
  <c r="M13" i="5"/>
  <c r="N13" i="5"/>
  <c r="H13" i="5"/>
  <c r="N42" i="5"/>
  <c r="M42" i="5"/>
  <c r="H42" i="5"/>
  <c r="N85" i="5"/>
  <c r="H85" i="5"/>
  <c r="M85" i="5"/>
  <c r="M104" i="5"/>
  <c r="N104" i="5"/>
  <c r="H104" i="5"/>
  <c r="N136" i="5"/>
  <c r="M136" i="5"/>
  <c r="H136" i="5"/>
  <c r="M24" i="12"/>
  <c r="N24" i="12"/>
  <c r="H24" i="12"/>
  <c r="G40" i="5"/>
  <c r="G116" i="5"/>
  <c r="G215" i="13"/>
  <c r="G243" i="13"/>
  <c r="G216" i="13"/>
  <c r="G192" i="13"/>
  <c r="G242" i="13"/>
  <c r="G141" i="13"/>
  <c r="G135" i="13"/>
  <c r="G158" i="13"/>
  <c r="G71" i="13"/>
  <c r="G82" i="13"/>
  <c r="G103" i="13"/>
  <c r="G21" i="13"/>
  <c r="G20" i="13"/>
  <c r="G185" i="13"/>
  <c r="G9" i="13"/>
  <c r="G44" i="13"/>
  <c r="G178" i="12"/>
  <c r="G191" i="12"/>
  <c r="G206" i="12"/>
  <c r="G154" i="12"/>
  <c r="G75" i="12"/>
  <c r="G139" i="12"/>
  <c r="G69" i="12"/>
  <c r="G146" i="12"/>
  <c r="G97" i="12"/>
  <c r="G37" i="12"/>
  <c r="G113" i="12"/>
  <c r="G46" i="12"/>
  <c r="G55" i="5"/>
  <c r="G115" i="5"/>
  <c r="G7" i="5"/>
  <c r="BH7" i="5" s="1"/>
  <c r="G67" i="5"/>
  <c r="G125" i="5"/>
  <c r="G14" i="12"/>
  <c r="N49" i="5"/>
  <c r="M49" i="5"/>
  <c r="H49" i="5"/>
  <c r="M75" i="5"/>
  <c r="H75" i="5"/>
  <c r="N75" i="5"/>
  <c r="N108" i="5"/>
  <c r="M108" i="5"/>
  <c r="H108" i="5"/>
  <c r="G14" i="5"/>
  <c r="G87" i="5"/>
  <c r="G239" i="13"/>
  <c r="G201" i="13"/>
  <c r="G226" i="13"/>
  <c r="G224" i="13"/>
  <c r="G177" i="13"/>
  <c r="G159" i="13"/>
  <c r="G163" i="13"/>
  <c r="G121" i="13"/>
  <c r="G104" i="13"/>
  <c r="G25" i="13"/>
  <c r="G118" i="13"/>
  <c r="G55" i="13"/>
  <c r="G57" i="13"/>
  <c r="G92" i="13"/>
  <c r="G23" i="13"/>
  <c r="G61" i="13"/>
  <c r="G86" i="13"/>
  <c r="G192" i="12"/>
  <c r="G215" i="12"/>
  <c r="G213" i="12"/>
  <c r="G173" i="12"/>
  <c r="G112" i="12"/>
  <c r="G38" i="12"/>
  <c r="G85" i="12"/>
  <c r="G34" i="12"/>
  <c r="G122" i="12"/>
  <c r="G64" i="12"/>
  <c r="G128" i="12"/>
  <c r="G79" i="12"/>
  <c r="G24" i="5"/>
  <c r="G86" i="5"/>
  <c r="G6" i="12"/>
  <c r="BH6" i="12" s="1"/>
  <c r="N27" i="5"/>
  <c r="H27" i="5"/>
  <c r="M27" i="5"/>
  <c r="M58" i="5"/>
  <c r="H58" i="5"/>
  <c r="N58" i="5"/>
  <c r="N88" i="5"/>
  <c r="M88" i="5"/>
  <c r="H88" i="5"/>
  <c r="N131" i="5"/>
  <c r="M131" i="5"/>
  <c r="H131" i="5"/>
  <c r="W5" i="12"/>
  <c r="Y5" i="12"/>
  <c r="X5" i="12"/>
  <c r="G48" i="5"/>
  <c r="G120" i="5"/>
  <c r="G211" i="13"/>
  <c r="G240" i="13"/>
  <c r="G212" i="13"/>
  <c r="G189" i="13"/>
  <c r="G183" i="13"/>
  <c r="G122" i="13"/>
  <c r="G133" i="13"/>
  <c r="G150" i="13"/>
  <c r="G63" i="13"/>
  <c r="G76" i="13"/>
  <c r="G98" i="13"/>
  <c r="G16" i="13"/>
  <c r="G126" i="13"/>
  <c r="G34" i="13"/>
  <c r="G168" i="12"/>
  <c r="G188" i="12"/>
  <c r="G200" i="12"/>
  <c r="G149" i="12"/>
  <c r="G71" i="12"/>
  <c r="G132" i="12"/>
  <c r="G58" i="12"/>
  <c r="G143" i="12"/>
  <c r="G91" i="12"/>
  <c r="G28" i="12"/>
  <c r="G106" i="12"/>
  <c r="G39" i="12"/>
  <c r="G59" i="5"/>
  <c r="G133" i="5"/>
  <c r="G11" i="5"/>
  <c r="G71" i="5"/>
  <c r="M121" i="5"/>
  <c r="N121" i="5"/>
  <c r="H121" i="5"/>
  <c r="G10" i="5"/>
  <c r="G70" i="5"/>
  <c r="G134" i="5"/>
  <c r="G21" i="12"/>
  <c r="G204" i="13"/>
  <c r="G232" i="13"/>
  <c r="G179" i="13"/>
  <c r="G165" i="13"/>
  <c r="G176" i="13"/>
  <c r="G128" i="13"/>
  <c r="G107" i="13"/>
  <c r="G37" i="13"/>
  <c r="G125" i="13"/>
  <c r="G62" i="13"/>
  <c r="G67" i="13"/>
  <c r="G109" i="13"/>
  <c r="G30" i="13"/>
  <c r="G81" i="13"/>
  <c r="G136" i="13"/>
  <c r="G199" i="12"/>
  <c r="G217" i="12"/>
  <c r="G171" i="12"/>
  <c r="G176" i="12"/>
  <c r="G127" i="12"/>
  <c r="G48" i="12"/>
  <c r="G103" i="12"/>
  <c r="G40" i="12"/>
  <c r="G125" i="12"/>
  <c r="G67" i="12"/>
  <c r="G134" i="12"/>
  <c r="G90" i="12"/>
  <c r="G20" i="5"/>
  <c r="G80" i="5"/>
  <c r="M23" i="5"/>
  <c r="H23" i="5"/>
  <c r="N23" i="5"/>
  <c r="H54" i="5"/>
  <c r="N54" i="5"/>
  <c r="M54" i="5"/>
  <c r="M81" i="5"/>
  <c r="N81" i="5"/>
  <c r="H81" i="5"/>
  <c r="M114" i="5"/>
  <c r="H114" i="5"/>
  <c r="N114" i="5"/>
  <c r="G5" i="5"/>
  <c r="BH5" i="5" s="1"/>
  <c r="C5" i="5"/>
  <c r="C6" i="5" s="1"/>
  <c r="G64" i="5"/>
  <c r="G124" i="5"/>
  <c r="G10" i="12"/>
  <c r="G199" i="13"/>
  <c r="G209" i="13"/>
  <c r="G236" i="13"/>
  <c r="G202" i="13"/>
  <c r="G186" i="13"/>
  <c r="G170" i="13"/>
  <c r="G193" i="13"/>
  <c r="G131" i="13"/>
  <c r="G195" i="13"/>
  <c r="G53" i="13"/>
  <c r="G72" i="13"/>
  <c r="G90" i="13"/>
  <c r="G8" i="13"/>
  <c r="G87" i="13"/>
  <c r="G110" i="13"/>
  <c r="G14" i="13"/>
  <c r="G221" i="12"/>
  <c r="G181" i="12"/>
  <c r="G194" i="12"/>
  <c r="G136" i="12"/>
  <c r="G63" i="12"/>
  <c r="G117" i="12"/>
  <c r="G53" i="12"/>
  <c r="G138" i="12"/>
  <c r="G84" i="12"/>
  <c r="G158" i="12"/>
  <c r="G98" i="12"/>
  <c r="G31" i="12"/>
  <c r="G74" i="5"/>
  <c r="G15" i="5"/>
  <c r="G89" i="5"/>
  <c r="G17" i="5"/>
  <c r="H19" i="12"/>
  <c r="N19" i="12"/>
  <c r="M19" i="12"/>
  <c r="G33" i="5"/>
  <c r="G99" i="5"/>
  <c r="G228" i="13"/>
  <c r="G221" i="13"/>
  <c r="G171" i="13"/>
  <c r="G144" i="13"/>
  <c r="G139" i="13"/>
  <c r="G89" i="13"/>
  <c r="G12" i="13"/>
  <c r="G96" i="13"/>
  <c r="G149" i="13"/>
  <c r="G29" i="13"/>
  <c r="G45" i="13"/>
  <c r="G31" i="13"/>
  <c r="G56" i="13"/>
  <c r="G169" i="12"/>
  <c r="G189" i="12"/>
  <c r="G201" i="12"/>
  <c r="G216" i="12"/>
  <c r="G160" i="12"/>
  <c r="G87" i="12"/>
  <c r="G151" i="12"/>
  <c r="G74" i="12"/>
  <c r="G161" i="12"/>
  <c r="G105" i="12"/>
  <c r="G47" i="12"/>
  <c r="G118" i="12"/>
  <c r="G54" i="12"/>
  <c r="G47" i="5"/>
  <c r="G109" i="5"/>
  <c r="G22" i="12"/>
  <c r="H36" i="5"/>
  <c r="M36" i="5"/>
  <c r="N36" i="5"/>
  <c r="N69" i="5"/>
  <c r="H69" i="5"/>
  <c r="M69" i="5"/>
  <c r="N100" i="5"/>
  <c r="H100" i="5"/>
  <c r="M100" i="5"/>
  <c r="N128" i="5"/>
  <c r="M128" i="5"/>
  <c r="H128" i="5"/>
  <c r="N18" i="12"/>
  <c r="M18" i="12"/>
  <c r="H18" i="12"/>
  <c r="N5" i="12"/>
  <c r="M5" i="12"/>
  <c r="H5" i="12"/>
  <c r="G8" i="5"/>
  <c r="G68" i="5"/>
  <c r="G130" i="5"/>
  <c r="G16" i="12"/>
  <c r="G206" i="13"/>
  <c r="G233" i="13"/>
  <c r="G181" i="13"/>
  <c r="G167" i="13"/>
  <c r="G187" i="13"/>
  <c r="G129" i="13"/>
  <c r="G116" i="13"/>
  <c r="G39" i="13"/>
  <c r="G162" i="13"/>
  <c r="G65" i="13"/>
  <c r="G78" i="13"/>
  <c r="G112" i="13"/>
  <c r="G40" i="13"/>
  <c r="G93" i="13"/>
  <c r="G209" i="12"/>
  <c r="G220" i="12"/>
  <c r="G175" i="12"/>
  <c r="G185" i="12"/>
  <c r="G129" i="12"/>
  <c r="G60" i="12"/>
  <c r="G110" i="12"/>
  <c r="G45" i="12"/>
  <c r="G131" i="12"/>
  <c r="G80" i="12"/>
  <c r="G141" i="12"/>
  <c r="G92" i="12"/>
  <c r="G18" i="5"/>
  <c r="G78" i="5"/>
  <c r="G30" i="5"/>
  <c r="G94" i="5"/>
  <c r="N41" i="5"/>
  <c r="M41" i="5"/>
  <c r="H41" i="5"/>
  <c r="N60" i="5"/>
  <c r="H60" i="5"/>
  <c r="M60" i="5"/>
  <c r="N92" i="5"/>
  <c r="M92" i="5"/>
  <c r="H92" i="5"/>
  <c r="N135" i="5"/>
  <c r="M135" i="5"/>
  <c r="H135" i="5"/>
  <c r="M15" i="12"/>
  <c r="H15" i="12"/>
  <c r="N15" i="12"/>
  <c r="G29" i="5"/>
  <c r="G95" i="5"/>
  <c r="G231" i="13"/>
  <c r="G198" i="13"/>
  <c r="G223" i="13"/>
  <c r="G174" i="13"/>
  <c r="G151" i="13"/>
  <c r="G148" i="13"/>
  <c r="G115" i="13"/>
  <c r="G97" i="13"/>
  <c r="G17" i="13"/>
  <c r="G105" i="13"/>
  <c r="G161" i="13"/>
  <c r="G47" i="13"/>
  <c r="G74" i="13"/>
  <c r="G41" i="13"/>
  <c r="G66" i="13"/>
  <c r="G184" i="12"/>
  <c r="G203" i="12"/>
  <c r="G205" i="12"/>
  <c r="G219" i="12"/>
  <c r="G165" i="12"/>
  <c r="G95" i="12"/>
  <c r="G156" i="12"/>
  <c r="G81" i="12"/>
  <c r="G29" i="12"/>
  <c r="G109" i="12"/>
  <c r="G57" i="12"/>
  <c r="G121" i="12"/>
  <c r="G65" i="12"/>
  <c r="G39" i="5"/>
  <c r="G105" i="5"/>
  <c r="G11" i="12"/>
  <c r="M32" i="5"/>
  <c r="H32" i="5"/>
  <c r="N32" i="5"/>
  <c r="H65" i="5"/>
  <c r="N65" i="5"/>
  <c r="M65" i="5"/>
  <c r="N96" i="5"/>
  <c r="M96" i="5"/>
  <c r="H96" i="5"/>
  <c r="N123" i="5"/>
  <c r="M123" i="5"/>
  <c r="H123" i="5"/>
  <c r="M8" i="12"/>
  <c r="N8" i="12"/>
  <c r="H8" i="12"/>
  <c r="G12" i="5"/>
  <c r="G83" i="5"/>
  <c r="G203" i="13"/>
  <c r="G230" i="13"/>
  <c r="G246" i="13"/>
  <c r="G178" i="13"/>
  <c r="G164" i="13"/>
  <c r="G173" i="13"/>
  <c r="G127" i="13"/>
  <c r="G106" i="13"/>
  <c r="G36" i="13"/>
  <c r="G119" i="13"/>
  <c r="G60" i="13"/>
  <c r="G64" i="13"/>
  <c r="G95" i="13"/>
  <c r="G24" i="13"/>
  <c r="G75" i="13"/>
  <c r="G113" i="13"/>
  <c r="G197" i="12"/>
  <c r="G222" i="12"/>
  <c r="G214" i="12"/>
  <c r="G174" i="12"/>
  <c r="G114" i="12"/>
  <c r="G42" i="12"/>
  <c r="G102" i="12"/>
  <c r="G35" i="12"/>
  <c r="G123" i="12"/>
  <c r="G66" i="12"/>
  <c r="G130" i="12"/>
  <c r="G88" i="12"/>
  <c r="G22" i="5"/>
  <c r="G82" i="5"/>
  <c r="G34" i="5"/>
  <c r="G98" i="5"/>
  <c r="M25" i="5"/>
  <c r="N25" i="5"/>
  <c r="H25" i="5"/>
  <c r="N56" i="5"/>
  <c r="M56" i="5"/>
  <c r="H56" i="5"/>
  <c r="N84" i="5"/>
  <c r="M84" i="5"/>
  <c r="H84" i="5"/>
  <c r="N127" i="5"/>
  <c r="M127" i="5"/>
  <c r="H127" i="5"/>
  <c r="G44" i="5"/>
  <c r="G118" i="5"/>
  <c r="G213" i="13"/>
  <c r="G241" i="13"/>
  <c r="G214" i="13"/>
  <c r="G191" i="13"/>
  <c r="G220" i="13"/>
  <c r="G123" i="13"/>
  <c r="G134" i="13"/>
  <c r="G155" i="13"/>
  <c r="G68" i="13"/>
  <c r="G77" i="13"/>
  <c r="G101" i="13"/>
  <c r="G18" i="13"/>
  <c r="G19" i="13"/>
  <c r="G166" i="13"/>
  <c r="G43" i="13"/>
  <c r="G172" i="12"/>
  <c r="G190" i="12"/>
  <c r="G204" i="12"/>
  <c r="G152" i="12"/>
  <c r="G73" i="12"/>
  <c r="G137" i="12"/>
  <c r="G59" i="12"/>
  <c r="G145" i="12"/>
  <c r="G93" i="12"/>
  <c r="G33" i="12"/>
  <c r="G108" i="12"/>
  <c r="G43" i="12"/>
  <c r="G57" i="5"/>
  <c r="G129" i="5"/>
  <c r="N93" i="5"/>
  <c r="H93" i="5"/>
  <c r="M93" i="5"/>
  <c r="M19" i="5"/>
  <c r="H19" i="5"/>
  <c r="N19" i="5"/>
  <c r="N50" i="5"/>
  <c r="M50" i="5"/>
  <c r="H50" i="5"/>
  <c r="M77" i="5"/>
  <c r="N77" i="5"/>
  <c r="H77" i="5"/>
  <c r="N110" i="5"/>
  <c r="M110" i="5"/>
  <c r="H110" i="5"/>
  <c r="C6" i="12"/>
  <c r="G16" i="5"/>
  <c r="G91" i="5"/>
  <c r="G237" i="13"/>
  <c r="G200" i="13"/>
  <c r="G225" i="13"/>
  <c r="G175" i="13"/>
  <c r="G154" i="13"/>
  <c r="G153" i="13"/>
  <c r="G120" i="13"/>
  <c r="G102" i="13"/>
  <c r="G22" i="13"/>
  <c r="G111" i="13"/>
  <c r="G168" i="13"/>
  <c r="G54" i="13"/>
  <c r="G80" i="13"/>
  <c r="G6" i="13"/>
  <c r="BH6" i="13" s="1"/>
  <c r="G42" i="13"/>
  <c r="G69" i="13"/>
  <c r="G186" i="12"/>
  <c r="G210" i="12"/>
  <c r="G208" i="12"/>
  <c r="G224" i="12"/>
  <c r="G170" i="12"/>
  <c r="G104" i="12"/>
  <c r="G166" i="12"/>
  <c r="G83" i="12"/>
  <c r="G32" i="12"/>
  <c r="G120" i="12"/>
  <c r="G61" i="12"/>
  <c r="G124" i="12"/>
  <c r="G78" i="12"/>
  <c r="G26" i="5"/>
  <c r="G90" i="5"/>
  <c r="G7" i="12"/>
  <c r="G38" i="5"/>
  <c r="G102" i="5"/>
  <c r="N132" i="5"/>
  <c r="M132" i="5"/>
  <c r="H132" i="5"/>
  <c r="H20" i="12"/>
  <c r="M20" i="12"/>
  <c r="N20" i="12"/>
  <c r="M9" i="5"/>
  <c r="N9" i="5"/>
  <c r="H9" i="5"/>
  <c r="L13" i="16"/>
  <c r="H13" i="16"/>
  <c r="D14" i="16"/>
  <c r="H311" i="13" l="1"/>
  <c r="M311" i="13"/>
  <c r="N311" i="13"/>
  <c r="Z145" i="5"/>
  <c r="AA145" i="5"/>
  <c r="AA285" i="13"/>
  <c r="Z285" i="13"/>
  <c r="H137" i="5"/>
  <c r="M137" i="5"/>
  <c r="N137" i="5"/>
  <c r="Q6" i="13"/>
  <c r="S6" i="13"/>
  <c r="J6" i="13"/>
  <c r="R6" i="13"/>
  <c r="I6" i="13"/>
  <c r="Z257" i="13"/>
  <c r="AA257" i="13"/>
  <c r="BI6" i="12"/>
  <c r="D7" i="12"/>
  <c r="F6" i="12"/>
  <c r="BG6" i="12"/>
  <c r="E6" i="12"/>
  <c r="T6" i="12" s="1"/>
  <c r="AA257" i="12"/>
  <c r="Z257" i="12"/>
  <c r="BH7" i="12"/>
  <c r="R5" i="12"/>
  <c r="S5" i="12"/>
  <c r="Q5" i="12"/>
  <c r="J5" i="12"/>
  <c r="I5" i="12"/>
  <c r="N308" i="13"/>
  <c r="H308" i="13"/>
  <c r="M308" i="13"/>
  <c r="Z229" i="12"/>
  <c r="AA229" i="12"/>
  <c r="F7" i="13"/>
  <c r="E7" i="13"/>
  <c r="T7" i="13" s="1"/>
  <c r="D8" i="13"/>
  <c r="BH8" i="13" s="1"/>
  <c r="BG7" i="13"/>
  <c r="S7" i="5"/>
  <c r="R7" i="5"/>
  <c r="J7" i="5"/>
  <c r="I7" i="5"/>
  <c r="Q7" i="5"/>
  <c r="O6" i="5"/>
  <c r="BG8" i="5"/>
  <c r="BH8" i="5"/>
  <c r="BI8" i="5"/>
  <c r="D9" i="5"/>
  <c r="E8" i="5"/>
  <c r="T8" i="5" s="1"/>
  <c r="F8" i="9"/>
  <c r="E8" i="9"/>
  <c r="B8" i="9"/>
  <c r="C9" i="9"/>
  <c r="F10" i="14"/>
  <c r="B10" i="14"/>
  <c r="E10" i="14"/>
  <c r="F8" i="15"/>
  <c r="B8" i="15"/>
  <c r="E8" i="15"/>
  <c r="C9" i="15"/>
  <c r="H104" i="12"/>
  <c r="N104" i="12"/>
  <c r="M104" i="12"/>
  <c r="N7" i="12"/>
  <c r="M7" i="12"/>
  <c r="H7" i="12"/>
  <c r="H69" i="13"/>
  <c r="N69" i="13"/>
  <c r="M69" i="13"/>
  <c r="H111" i="13"/>
  <c r="N111" i="13"/>
  <c r="M111" i="13"/>
  <c r="H225" i="13"/>
  <c r="N225" i="13"/>
  <c r="M225" i="13"/>
  <c r="N204" i="12"/>
  <c r="M204" i="12"/>
  <c r="H204" i="12"/>
  <c r="M102" i="5"/>
  <c r="N102" i="5"/>
  <c r="H102" i="5"/>
  <c r="N90" i="5"/>
  <c r="M90" i="5"/>
  <c r="H90" i="5"/>
  <c r="N61" i="12"/>
  <c r="M61" i="12"/>
  <c r="H61" i="12"/>
  <c r="M32" i="12"/>
  <c r="N32" i="12"/>
  <c r="H32" i="12"/>
  <c r="N166" i="12"/>
  <c r="M166" i="12"/>
  <c r="H166" i="12"/>
  <c r="M6" i="13"/>
  <c r="N6" i="13"/>
  <c r="H6" i="13"/>
  <c r="M153" i="13"/>
  <c r="N153" i="13"/>
  <c r="H153" i="13"/>
  <c r="N237" i="13"/>
  <c r="M237" i="13"/>
  <c r="H237" i="13"/>
  <c r="N16" i="5"/>
  <c r="H16" i="5"/>
  <c r="M16" i="5"/>
  <c r="M57" i="5"/>
  <c r="H57" i="5"/>
  <c r="N57" i="5"/>
  <c r="N93" i="12"/>
  <c r="M93" i="12"/>
  <c r="H93" i="12"/>
  <c r="N59" i="12"/>
  <c r="H59" i="12"/>
  <c r="M59" i="12"/>
  <c r="M172" i="12"/>
  <c r="N172" i="12"/>
  <c r="H172" i="12"/>
  <c r="H19" i="13"/>
  <c r="N19" i="13"/>
  <c r="M19" i="13"/>
  <c r="H101" i="13"/>
  <c r="M101" i="13"/>
  <c r="N101" i="13"/>
  <c r="H191" i="13"/>
  <c r="N191" i="13"/>
  <c r="M191" i="13"/>
  <c r="H241" i="13"/>
  <c r="N241" i="13"/>
  <c r="M241" i="13"/>
  <c r="M98" i="5"/>
  <c r="H98" i="5"/>
  <c r="N98" i="5"/>
  <c r="H82" i="5"/>
  <c r="N82" i="5"/>
  <c r="M82" i="5"/>
  <c r="M35" i="12"/>
  <c r="H35" i="12"/>
  <c r="N35" i="12"/>
  <c r="H24" i="13"/>
  <c r="N24" i="13"/>
  <c r="M24" i="13"/>
  <c r="N106" i="13"/>
  <c r="M106" i="13"/>
  <c r="H106" i="13"/>
  <c r="M173" i="13"/>
  <c r="N173" i="13"/>
  <c r="H173" i="13"/>
  <c r="N12" i="5"/>
  <c r="M12" i="5"/>
  <c r="H12" i="5"/>
  <c r="N39" i="5"/>
  <c r="M39" i="5"/>
  <c r="H39" i="5"/>
  <c r="N81" i="12"/>
  <c r="M81" i="12"/>
  <c r="H81" i="12"/>
  <c r="N205" i="12"/>
  <c r="H205" i="12"/>
  <c r="M205" i="12"/>
  <c r="N203" i="12"/>
  <c r="M203" i="12"/>
  <c r="H203" i="12"/>
  <c r="H41" i="13"/>
  <c r="N41" i="13"/>
  <c r="M41" i="13"/>
  <c r="H115" i="13"/>
  <c r="N115" i="13"/>
  <c r="M115" i="13"/>
  <c r="H198" i="13"/>
  <c r="N198" i="13"/>
  <c r="M198" i="13"/>
  <c r="M92" i="12"/>
  <c r="N92" i="12"/>
  <c r="H92" i="12"/>
  <c r="M80" i="12"/>
  <c r="H80" i="12"/>
  <c r="N80" i="12"/>
  <c r="M60" i="12"/>
  <c r="N60" i="12"/>
  <c r="H60" i="12"/>
  <c r="H40" i="13"/>
  <c r="N40" i="13"/>
  <c r="M40" i="13"/>
  <c r="M78" i="13"/>
  <c r="H78" i="13"/>
  <c r="N78" i="13"/>
  <c r="M162" i="13"/>
  <c r="N162" i="13"/>
  <c r="H162" i="13"/>
  <c r="H116" i="13"/>
  <c r="M116" i="13"/>
  <c r="N116" i="13"/>
  <c r="H181" i="13"/>
  <c r="N181" i="13"/>
  <c r="M181" i="13"/>
  <c r="H8" i="5"/>
  <c r="M8" i="5"/>
  <c r="N8" i="5"/>
  <c r="N47" i="5"/>
  <c r="M47" i="5"/>
  <c r="H47" i="5"/>
  <c r="N105" i="12"/>
  <c r="H105" i="12"/>
  <c r="M105" i="12"/>
  <c r="N74" i="12"/>
  <c r="M74" i="12"/>
  <c r="H74" i="12"/>
  <c r="N189" i="12"/>
  <c r="M189" i="12"/>
  <c r="H189" i="12"/>
  <c r="H45" i="13"/>
  <c r="N45" i="13"/>
  <c r="M45" i="13"/>
  <c r="N89" i="5"/>
  <c r="H89" i="5"/>
  <c r="M89" i="5"/>
  <c r="H74" i="5"/>
  <c r="N74" i="5"/>
  <c r="M74" i="5"/>
  <c r="N53" i="12"/>
  <c r="M53" i="12"/>
  <c r="H53" i="12"/>
  <c r="H87" i="13"/>
  <c r="N87" i="13"/>
  <c r="M87" i="13"/>
  <c r="M193" i="13"/>
  <c r="N193" i="13"/>
  <c r="H193" i="13"/>
  <c r="N5" i="5"/>
  <c r="M5" i="5"/>
  <c r="H5" i="5"/>
  <c r="N20" i="5"/>
  <c r="M20" i="5"/>
  <c r="H20" i="5"/>
  <c r="N103" i="12"/>
  <c r="M103" i="12"/>
  <c r="H103" i="12"/>
  <c r="N217" i="12"/>
  <c r="H217" i="12"/>
  <c r="M217" i="12"/>
  <c r="H62" i="13"/>
  <c r="N62" i="13"/>
  <c r="M62" i="13"/>
  <c r="H204" i="13"/>
  <c r="N204" i="13"/>
  <c r="M204" i="13"/>
  <c r="M71" i="5"/>
  <c r="H71" i="5"/>
  <c r="N71" i="5"/>
  <c r="N59" i="5"/>
  <c r="M59" i="5"/>
  <c r="H59" i="5"/>
  <c r="H91" i="12"/>
  <c r="M91" i="12"/>
  <c r="N91" i="12"/>
  <c r="H168" i="12"/>
  <c r="M168" i="12"/>
  <c r="N168" i="12"/>
  <c r="H150" i="13"/>
  <c r="N150" i="13"/>
  <c r="M150" i="13"/>
  <c r="M122" i="13"/>
  <c r="H122" i="13"/>
  <c r="N122" i="13"/>
  <c r="M24" i="5"/>
  <c r="H24" i="5"/>
  <c r="N24" i="5"/>
  <c r="M128" i="12"/>
  <c r="N128" i="12"/>
  <c r="H128" i="12"/>
  <c r="M85" i="12"/>
  <c r="N85" i="12"/>
  <c r="H85" i="12"/>
  <c r="N215" i="12"/>
  <c r="M215" i="12"/>
  <c r="H215" i="12"/>
  <c r="H55" i="13"/>
  <c r="N55" i="13"/>
  <c r="M55" i="13"/>
  <c r="H25" i="13"/>
  <c r="M25" i="13"/>
  <c r="N25" i="13"/>
  <c r="H121" i="13"/>
  <c r="M121" i="13"/>
  <c r="N121" i="13"/>
  <c r="N201" i="13"/>
  <c r="M201" i="13"/>
  <c r="H201" i="13"/>
  <c r="N87" i="5"/>
  <c r="H87" i="5"/>
  <c r="M87" i="5"/>
  <c r="M125" i="5"/>
  <c r="N125" i="5"/>
  <c r="H125" i="5"/>
  <c r="N7" i="5"/>
  <c r="M7" i="5"/>
  <c r="H7" i="5"/>
  <c r="N115" i="5"/>
  <c r="M115" i="5"/>
  <c r="H115" i="5"/>
  <c r="N37" i="12"/>
  <c r="M37" i="12"/>
  <c r="H37" i="12"/>
  <c r="H139" i="12"/>
  <c r="N139" i="12"/>
  <c r="M139" i="12"/>
  <c r="M185" i="13"/>
  <c r="N185" i="13"/>
  <c r="H185" i="13"/>
  <c r="N82" i="13"/>
  <c r="M82" i="13"/>
  <c r="H82" i="13"/>
  <c r="H71" i="13"/>
  <c r="N71" i="13"/>
  <c r="M71" i="13"/>
  <c r="H242" i="13"/>
  <c r="M242" i="13"/>
  <c r="N242" i="13"/>
  <c r="H216" i="13"/>
  <c r="M216" i="13"/>
  <c r="N216" i="13"/>
  <c r="H72" i="5"/>
  <c r="N72" i="5"/>
  <c r="M72" i="5"/>
  <c r="N89" i="12"/>
  <c r="H89" i="12"/>
  <c r="M89" i="12"/>
  <c r="M56" i="12"/>
  <c r="N56" i="12"/>
  <c r="H56" i="12"/>
  <c r="H91" i="13"/>
  <c r="M91" i="13"/>
  <c r="N91" i="13"/>
  <c r="N25" i="12"/>
  <c r="M25" i="12"/>
  <c r="H25" i="12"/>
  <c r="N111" i="5"/>
  <c r="H111" i="5"/>
  <c r="M111" i="5"/>
  <c r="H159" i="12"/>
  <c r="M159" i="12"/>
  <c r="N159" i="12"/>
  <c r="H147" i="12"/>
  <c r="N147" i="12"/>
  <c r="M147" i="12"/>
  <c r="H52" i="13"/>
  <c r="N52" i="13"/>
  <c r="M52" i="13"/>
  <c r="N28" i="13"/>
  <c r="M28" i="13"/>
  <c r="H28" i="13"/>
  <c r="H85" i="13"/>
  <c r="N85" i="13"/>
  <c r="M85" i="13"/>
  <c r="N156" i="13"/>
  <c r="H156" i="13"/>
  <c r="M156" i="13"/>
  <c r="H219" i="13"/>
  <c r="N219" i="13"/>
  <c r="M219" i="13"/>
  <c r="M30" i="12"/>
  <c r="H30" i="12"/>
  <c r="N30" i="12"/>
  <c r="H133" i="12"/>
  <c r="M133" i="12"/>
  <c r="N133" i="12"/>
  <c r="M211" i="12"/>
  <c r="H211" i="12"/>
  <c r="N211" i="12"/>
  <c r="H13" i="13"/>
  <c r="N13" i="13"/>
  <c r="M13" i="13"/>
  <c r="M108" i="13"/>
  <c r="H108" i="13"/>
  <c r="N108" i="13"/>
  <c r="H50" i="13"/>
  <c r="M50" i="13"/>
  <c r="N50" i="13"/>
  <c r="M130" i="13"/>
  <c r="H130" i="13"/>
  <c r="N130" i="13"/>
  <c r="H169" i="13"/>
  <c r="N169" i="13"/>
  <c r="M169" i="13"/>
  <c r="M12" i="12"/>
  <c r="H12" i="12"/>
  <c r="N12" i="12"/>
  <c r="M66" i="5"/>
  <c r="H66" i="5"/>
  <c r="N66" i="5"/>
  <c r="M13" i="12"/>
  <c r="H13" i="12"/>
  <c r="N13" i="12"/>
  <c r="H55" i="12"/>
  <c r="N55" i="12"/>
  <c r="M55" i="12"/>
  <c r="N52" i="12"/>
  <c r="H52" i="12"/>
  <c r="M52" i="12"/>
  <c r="N162" i="12"/>
  <c r="M162" i="12"/>
  <c r="H162" i="12"/>
  <c r="H59" i="13"/>
  <c r="N59" i="13"/>
  <c r="M59" i="13"/>
  <c r="M46" i="13"/>
  <c r="H46" i="13"/>
  <c r="N46" i="13"/>
  <c r="H94" i="13"/>
  <c r="M94" i="13"/>
  <c r="N94" i="13"/>
  <c r="N172" i="13"/>
  <c r="M172" i="13"/>
  <c r="H172" i="13"/>
  <c r="H222" i="13"/>
  <c r="N222" i="13"/>
  <c r="M222" i="13"/>
  <c r="H31" i="5"/>
  <c r="N31" i="5"/>
  <c r="M31" i="5"/>
  <c r="H113" i="5"/>
  <c r="N113" i="5"/>
  <c r="M113" i="5"/>
  <c r="H41" i="12"/>
  <c r="N41" i="12"/>
  <c r="M41" i="12"/>
  <c r="M144" i="12"/>
  <c r="N144" i="12"/>
  <c r="H144" i="12"/>
  <c r="H83" i="13"/>
  <c r="N83" i="13"/>
  <c r="M83" i="13"/>
  <c r="N137" i="13"/>
  <c r="H137" i="13"/>
  <c r="M137" i="13"/>
  <c r="N152" i="13"/>
  <c r="M152" i="13"/>
  <c r="H152" i="13"/>
  <c r="N218" i="13"/>
  <c r="M218" i="13"/>
  <c r="H218" i="13"/>
  <c r="H37" i="5"/>
  <c r="N37" i="5"/>
  <c r="M37" i="5"/>
  <c r="N224" i="12"/>
  <c r="M224" i="12"/>
  <c r="H224" i="12"/>
  <c r="N168" i="13"/>
  <c r="H168" i="13"/>
  <c r="M168" i="13"/>
  <c r="H120" i="13"/>
  <c r="N120" i="13"/>
  <c r="M120" i="13"/>
  <c r="H33" i="12"/>
  <c r="N33" i="12"/>
  <c r="M33" i="12"/>
  <c r="M152" i="12"/>
  <c r="N152" i="12"/>
  <c r="H152" i="12"/>
  <c r="H18" i="13"/>
  <c r="N18" i="13"/>
  <c r="M18" i="13"/>
  <c r="M134" i="13"/>
  <c r="H134" i="13"/>
  <c r="N134" i="13"/>
  <c r="M214" i="13"/>
  <c r="H214" i="13"/>
  <c r="N214" i="13"/>
  <c r="M130" i="12"/>
  <c r="H130" i="12"/>
  <c r="N130" i="12"/>
  <c r="N102" i="12"/>
  <c r="M102" i="12"/>
  <c r="H102" i="12"/>
  <c r="N114" i="12"/>
  <c r="M114" i="12"/>
  <c r="H114" i="12"/>
  <c r="H214" i="12"/>
  <c r="N214" i="12"/>
  <c r="M214" i="12"/>
  <c r="N197" i="12"/>
  <c r="M197" i="12"/>
  <c r="H197" i="12"/>
  <c r="H75" i="13"/>
  <c r="N75" i="13"/>
  <c r="M75" i="13"/>
  <c r="H95" i="13"/>
  <c r="N95" i="13"/>
  <c r="M95" i="13"/>
  <c r="N36" i="13"/>
  <c r="M36" i="13"/>
  <c r="H36" i="13"/>
  <c r="N127" i="13"/>
  <c r="M127" i="13"/>
  <c r="H127" i="13"/>
  <c r="N203" i="13"/>
  <c r="M203" i="13"/>
  <c r="H203" i="13"/>
  <c r="N65" i="12"/>
  <c r="M65" i="12"/>
  <c r="H65" i="12"/>
  <c r="N57" i="12"/>
  <c r="H57" i="12"/>
  <c r="M57" i="12"/>
  <c r="N165" i="12"/>
  <c r="M165" i="12"/>
  <c r="H165" i="12"/>
  <c r="H66" i="13"/>
  <c r="M66" i="13"/>
  <c r="N66" i="13"/>
  <c r="H47" i="13"/>
  <c r="M47" i="13"/>
  <c r="N47" i="13"/>
  <c r="H97" i="13"/>
  <c r="N97" i="13"/>
  <c r="M97" i="13"/>
  <c r="N174" i="13"/>
  <c r="M174" i="13"/>
  <c r="H174" i="13"/>
  <c r="N29" i="5"/>
  <c r="M29" i="5"/>
  <c r="H29" i="5"/>
  <c r="M94" i="5"/>
  <c r="H94" i="5"/>
  <c r="N94" i="5"/>
  <c r="H78" i="5"/>
  <c r="N78" i="5"/>
  <c r="M78" i="5"/>
  <c r="N45" i="12"/>
  <c r="M45" i="12"/>
  <c r="H45" i="12"/>
  <c r="N185" i="12"/>
  <c r="M185" i="12"/>
  <c r="H185" i="12"/>
  <c r="H175" i="12"/>
  <c r="M175" i="12"/>
  <c r="N175" i="12"/>
  <c r="M187" i="13"/>
  <c r="N187" i="13"/>
  <c r="H187" i="13"/>
  <c r="H233" i="13"/>
  <c r="N233" i="13"/>
  <c r="M233" i="13"/>
  <c r="N130" i="5"/>
  <c r="M130" i="5"/>
  <c r="H130" i="5"/>
  <c r="H22" i="12"/>
  <c r="N22" i="12"/>
  <c r="M22" i="12"/>
  <c r="M54" i="12"/>
  <c r="H54" i="12"/>
  <c r="N54" i="12"/>
  <c r="M160" i="12"/>
  <c r="N160" i="12"/>
  <c r="H160" i="12"/>
  <c r="H56" i="13"/>
  <c r="M56" i="13"/>
  <c r="N56" i="13"/>
  <c r="H29" i="13"/>
  <c r="M29" i="13"/>
  <c r="N29" i="13"/>
  <c r="H89" i="13"/>
  <c r="N89" i="13"/>
  <c r="M89" i="13"/>
  <c r="N139" i="13"/>
  <c r="M139" i="13"/>
  <c r="H139" i="13"/>
  <c r="H171" i="13"/>
  <c r="N171" i="13"/>
  <c r="M171" i="13"/>
  <c r="H221" i="13"/>
  <c r="N221" i="13"/>
  <c r="M221" i="13"/>
  <c r="N228" i="13"/>
  <c r="M228" i="13"/>
  <c r="H228" i="13"/>
  <c r="H33" i="5"/>
  <c r="N33" i="5"/>
  <c r="M33" i="5"/>
  <c r="H31" i="12"/>
  <c r="N31" i="12"/>
  <c r="M31" i="12"/>
  <c r="M158" i="12"/>
  <c r="H158" i="12"/>
  <c r="N158" i="12"/>
  <c r="H138" i="12"/>
  <c r="N138" i="12"/>
  <c r="M138" i="12"/>
  <c r="M136" i="12"/>
  <c r="N136" i="12"/>
  <c r="H136" i="12"/>
  <c r="N221" i="12"/>
  <c r="M221" i="12"/>
  <c r="H221" i="12"/>
  <c r="M110" i="13"/>
  <c r="H110" i="13"/>
  <c r="N110" i="13"/>
  <c r="H8" i="13"/>
  <c r="N8" i="13"/>
  <c r="M8" i="13"/>
  <c r="N72" i="13"/>
  <c r="M72" i="13"/>
  <c r="H72" i="13"/>
  <c r="H53" i="13"/>
  <c r="N53" i="13"/>
  <c r="M53" i="13"/>
  <c r="N131" i="13"/>
  <c r="M131" i="13"/>
  <c r="H131" i="13"/>
  <c r="H202" i="13"/>
  <c r="N202" i="13"/>
  <c r="M202" i="13"/>
  <c r="N209" i="13"/>
  <c r="M209" i="13"/>
  <c r="H209" i="13"/>
  <c r="M10" i="12"/>
  <c r="H10" i="12"/>
  <c r="N10" i="12"/>
  <c r="N64" i="5"/>
  <c r="M64" i="5"/>
  <c r="H64" i="5"/>
  <c r="W6" i="5"/>
  <c r="Y6" i="5"/>
  <c r="X6" i="5"/>
  <c r="M90" i="12"/>
  <c r="H90" i="12"/>
  <c r="N90" i="12"/>
  <c r="M48" i="12"/>
  <c r="N48" i="12"/>
  <c r="H48" i="12"/>
  <c r="H176" i="12"/>
  <c r="M176" i="12"/>
  <c r="N176" i="12"/>
  <c r="N171" i="12"/>
  <c r="M171" i="12"/>
  <c r="H171" i="12"/>
  <c r="H136" i="13"/>
  <c r="N136" i="13"/>
  <c r="M136" i="13"/>
  <c r="M30" i="13"/>
  <c r="H30" i="13"/>
  <c r="N30" i="13"/>
  <c r="H125" i="13"/>
  <c r="N125" i="13"/>
  <c r="M125" i="13"/>
  <c r="H107" i="13"/>
  <c r="N107" i="13"/>
  <c r="M107" i="13"/>
  <c r="H179" i="13"/>
  <c r="N179" i="13"/>
  <c r="M179" i="13"/>
  <c r="N232" i="13"/>
  <c r="M232" i="13"/>
  <c r="H232" i="13"/>
  <c r="M10" i="5"/>
  <c r="H10" i="5"/>
  <c r="N10" i="5"/>
  <c r="H39" i="12"/>
  <c r="N39" i="12"/>
  <c r="M39" i="12"/>
  <c r="N28" i="12"/>
  <c r="H28" i="12"/>
  <c r="M28" i="12"/>
  <c r="M143" i="12"/>
  <c r="N143" i="12"/>
  <c r="H143" i="12"/>
  <c r="M149" i="12"/>
  <c r="N149" i="12"/>
  <c r="H149" i="12"/>
  <c r="M34" i="13"/>
  <c r="H34" i="13"/>
  <c r="N34" i="13"/>
  <c r="H126" i="13"/>
  <c r="N126" i="13"/>
  <c r="M126" i="13"/>
  <c r="H76" i="13"/>
  <c r="N76" i="13"/>
  <c r="M76" i="13"/>
  <c r="H63" i="13"/>
  <c r="N63" i="13"/>
  <c r="M63" i="13"/>
  <c r="N133" i="13"/>
  <c r="M133" i="13"/>
  <c r="H133" i="13"/>
  <c r="M183" i="13"/>
  <c r="H183" i="13"/>
  <c r="N183" i="13"/>
  <c r="H212" i="13"/>
  <c r="M212" i="13"/>
  <c r="N212" i="13"/>
  <c r="H6" i="12"/>
  <c r="N6" i="12"/>
  <c r="M6" i="12"/>
  <c r="H79" i="12"/>
  <c r="N79" i="12"/>
  <c r="M79" i="12"/>
  <c r="N34" i="12"/>
  <c r="M34" i="12"/>
  <c r="H34" i="12"/>
  <c r="N38" i="12"/>
  <c r="M38" i="12"/>
  <c r="H38" i="12"/>
  <c r="N173" i="12"/>
  <c r="M173" i="12"/>
  <c r="H173" i="12"/>
  <c r="H86" i="13"/>
  <c r="N86" i="13"/>
  <c r="M86" i="13"/>
  <c r="H23" i="13"/>
  <c r="N23" i="13"/>
  <c r="M23" i="13"/>
  <c r="N118" i="13"/>
  <c r="M118" i="13"/>
  <c r="H118" i="13"/>
  <c r="H104" i="13"/>
  <c r="N104" i="13"/>
  <c r="M104" i="13"/>
  <c r="H226" i="13"/>
  <c r="N226" i="13"/>
  <c r="M226" i="13"/>
  <c r="M14" i="5"/>
  <c r="H14" i="5"/>
  <c r="N14" i="5"/>
  <c r="N69" i="12"/>
  <c r="M69" i="12"/>
  <c r="H69" i="12"/>
  <c r="H75" i="12"/>
  <c r="N75" i="12"/>
  <c r="M75" i="12"/>
  <c r="M206" i="12"/>
  <c r="H206" i="12"/>
  <c r="N206" i="12"/>
  <c r="N178" i="12"/>
  <c r="M178" i="12"/>
  <c r="H178" i="12"/>
  <c r="N135" i="13"/>
  <c r="M135" i="13"/>
  <c r="H135" i="13"/>
  <c r="N215" i="13"/>
  <c r="M215" i="13"/>
  <c r="H215" i="13"/>
  <c r="N40" i="5"/>
  <c r="M40" i="5"/>
  <c r="H40" i="5"/>
  <c r="N36" i="12"/>
  <c r="H36" i="12"/>
  <c r="M36" i="12"/>
  <c r="N163" i="12"/>
  <c r="M163" i="12"/>
  <c r="H163" i="12"/>
  <c r="H142" i="12"/>
  <c r="N142" i="12"/>
  <c r="M142" i="12"/>
  <c r="N140" i="12"/>
  <c r="H140" i="12"/>
  <c r="M140" i="12"/>
  <c r="M223" i="12"/>
  <c r="H223" i="12"/>
  <c r="N223" i="12"/>
  <c r="H117" i="13"/>
  <c r="N117" i="13"/>
  <c r="M117" i="13"/>
  <c r="H58" i="13"/>
  <c r="M58" i="13"/>
  <c r="N58" i="13"/>
  <c r="M132" i="13"/>
  <c r="N132" i="13"/>
  <c r="H132" i="13"/>
  <c r="H208" i="13"/>
  <c r="N208" i="13"/>
  <c r="M208" i="13"/>
  <c r="N210" i="13"/>
  <c r="M210" i="13"/>
  <c r="H210" i="13"/>
  <c r="N9" i="12"/>
  <c r="M9" i="12"/>
  <c r="H9" i="12"/>
  <c r="M62" i="5"/>
  <c r="H62" i="5"/>
  <c r="N62" i="5"/>
  <c r="H116" i="12"/>
  <c r="M116" i="12"/>
  <c r="N116" i="12"/>
  <c r="N101" i="12"/>
  <c r="H101" i="12"/>
  <c r="M101" i="12"/>
  <c r="N86" i="12"/>
  <c r="M86" i="12"/>
  <c r="H86" i="12"/>
  <c r="N212" i="12"/>
  <c r="M212" i="12"/>
  <c r="H212" i="12"/>
  <c r="H167" i="12"/>
  <c r="M167" i="12"/>
  <c r="N167" i="12"/>
  <c r="M146" i="13"/>
  <c r="H146" i="13"/>
  <c r="N146" i="13"/>
  <c r="H197" i="13"/>
  <c r="N197" i="13"/>
  <c r="M197" i="13"/>
  <c r="N143" i="13"/>
  <c r="M143" i="13"/>
  <c r="H143" i="13"/>
  <c r="H234" i="13"/>
  <c r="M234" i="13"/>
  <c r="N234" i="13"/>
  <c r="M101" i="5"/>
  <c r="H101" i="5"/>
  <c r="N101" i="5"/>
  <c r="H148" i="12"/>
  <c r="M148" i="12"/>
  <c r="N148" i="12"/>
  <c r="N135" i="12"/>
  <c r="H135" i="12"/>
  <c r="M135" i="12"/>
  <c r="M111" i="12"/>
  <c r="H111" i="12"/>
  <c r="N111" i="12"/>
  <c r="H70" i="13"/>
  <c r="N70" i="13"/>
  <c r="M70" i="13"/>
  <c r="N207" i="13"/>
  <c r="M207" i="13"/>
  <c r="H207" i="13"/>
  <c r="M117" i="5"/>
  <c r="N117" i="5"/>
  <c r="H117" i="5"/>
  <c r="H107" i="5"/>
  <c r="N107" i="5"/>
  <c r="M107" i="5"/>
  <c r="M164" i="12"/>
  <c r="N164" i="12"/>
  <c r="H164" i="12"/>
  <c r="H153" i="12"/>
  <c r="N153" i="12"/>
  <c r="M153" i="12"/>
  <c r="H99" i="13"/>
  <c r="N99" i="13"/>
  <c r="M99" i="13"/>
  <c r="N140" i="13"/>
  <c r="H140" i="13"/>
  <c r="M140" i="13"/>
  <c r="N229" i="13"/>
  <c r="M229" i="13"/>
  <c r="H229" i="13"/>
  <c r="H115" i="12"/>
  <c r="N115" i="12"/>
  <c r="M115" i="12"/>
  <c r="H77" i="12"/>
  <c r="N77" i="12"/>
  <c r="M77" i="12"/>
  <c r="M207" i="12"/>
  <c r="H207" i="12"/>
  <c r="N207" i="12"/>
  <c r="M124" i="13"/>
  <c r="H124" i="13"/>
  <c r="N124" i="13"/>
  <c r="Y5" i="13"/>
  <c r="W5" i="13"/>
  <c r="X5" i="13"/>
  <c r="N217" i="13"/>
  <c r="M217" i="13"/>
  <c r="H217" i="13"/>
  <c r="H124" i="12"/>
  <c r="M124" i="12"/>
  <c r="N124" i="12"/>
  <c r="N186" i="12"/>
  <c r="M186" i="12"/>
  <c r="H186" i="12"/>
  <c r="N80" i="13"/>
  <c r="M80" i="13"/>
  <c r="H80" i="13"/>
  <c r="H22" i="13"/>
  <c r="N22" i="13"/>
  <c r="M22" i="13"/>
  <c r="H154" i="13"/>
  <c r="N154" i="13"/>
  <c r="M154" i="13"/>
  <c r="M200" i="13"/>
  <c r="H200" i="13"/>
  <c r="N200" i="13"/>
  <c r="W6" i="12"/>
  <c r="Y6" i="12"/>
  <c r="X6" i="12"/>
  <c r="M43" i="12"/>
  <c r="N43" i="12"/>
  <c r="H43" i="12"/>
  <c r="N145" i="12"/>
  <c r="H145" i="12"/>
  <c r="M145" i="12"/>
  <c r="H43" i="13"/>
  <c r="N43" i="13"/>
  <c r="M43" i="13"/>
  <c r="H68" i="13"/>
  <c r="N68" i="13"/>
  <c r="M68" i="13"/>
  <c r="H220" i="13"/>
  <c r="N220" i="13"/>
  <c r="M220" i="13"/>
  <c r="M38" i="5"/>
  <c r="N38" i="5"/>
  <c r="H38" i="5"/>
  <c r="N26" i="5"/>
  <c r="M26" i="5"/>
  <c r="H26" i="5"/>
  <c r="M120" i="12"/>
  <c r="H120" i="12"/>
  <c r="N120" i="12"/>
  <c r="H83" i="12"/>
  <c r="N83" i="12"/>
  <c r="M83" i="12"/>
  <c r="H208" i="12"/>
  <c r="M208" i="12"/>
  <c r="N208" i="12"/>
  <c r="N210" i="12"/>
  <c r="M210" i="12"/>
  <c r="H210" i="12"/>
  <c r="N91" i="5"/>
  <c r="H91" i="5"/>
  <c r="M91" i="5"/>
  <c r="N129" i="5"/>
  <c r="M129" i="5"/>
  <c r="H129" i="5"/>
  <c r="N137" i="12"/>
  <c r="M137" i="12"/>
  <c r="H137" i="12"/>
  <c r="M166" i="13"/>
  <c r="H166" i="13"/>
  <c r="N166" i="13"/>
  <c r="H77" i="13"/>
  <c r="N77" i="13"/>
  <c r="M77" i="13"/>
  <c r="N213" i="13"/>
  <c r="M213" i="13"/>
  <c r="H213" i="13"/>
  <c r="N44" i="5"/>
  <c r="M44" i="5"/>
  <c r="H44" i="5"/>
  <c r="M34" i="5"/>
  <c r="N34" i="5"/>
  <c r="H34" i="5"/>
  <c r="M22" i="5"/>
  <c r="N22" i="5"/>
  <c r="H22" i="5"/>
  <c r="H123" i="12"/>
  <c r="M123" i="12"/>
  <c r="N123" i="12"/>
  <c r="N222" i="12"/>
  <c r="M222" i="12"/>
  <c r="H222" i="12"/>
  <c r="H60" i="13"/>
  <c r="N60" i="13"/>
  <c r="M60" i="13"/>
  <c r="N164" i="13"/>
  <c r="M164" i="13"/>
  <c r="H164" i="13"/>
  <c r="H246" i="13"/>
  <c r="N246" i="13"/>
  <c r="M246" i="13"/>
  <c r="H11" i="12"/>
  <c r="M11" i="12"/>
  <c r="N11" i="12"/>
  <c r="H105" i="5"/>
  <c r="N105" i="5"/>
  <c r="M105" i="5"/>
  <c r="N29" i="12"/>
  <c r="M29" i="12"/>
  <c r="H29" i="12"/>
  <c r="M156" i="12"/>
  <c r="N156" i="12"/>
  <c r="H156" i="12"/>
  <c r="H105" i="13"/>
  <c r="M105" i="13"/>
  <c r="N105" i="13"/>
  <c r="N148" i="13"/>
  <c r="H148" i="13"/>
  <c r="M148" i="13"/>
  <c r="H223" i="13"/>
  <c r="N223" i="13"/>
  <c r="M223" i="13"/>
  <c r="N231" i="13"/>
  <c r="M231" i="13"/>
  <c r="H231" i="13"/>
  <c r="N141" i="12"/>
  <c r="H141" i="12"/>
  <c r="M141" i="12"/>
  <c r="H131" i="12"/>
  <c r="N131" i="12"/>
  <c r="M131" i="12"/>
  <c r="N110" i="12"/>
  <c r="M110" i="12"/>
  <c r="H110" i="12"/>
  <c r="N129" i="12"/>
  <c r="M129" i="12"/>
  <c r="H129" i="12"/>
  <c r="N209" i="12"/>
  <c r="M209" i="12"/>
  <c r="H209" i="12"/>
  <c r="H112" i="13"/>
  <c r="N112" i="13"/>
  <c r="M112" i="13"/>
  <c r="H39" i="13"/>
  <c r="M39" i="13"/>
  <c r="N39" i="13"/>
  <c r="M129" i="13"/>
  <c r="H129" i="13"/>
  <c r="N129" i="13"/>
  <c r="H167" i="13"/>
  <c r="N167" i="13"/>
  <c r="M167" i="13"/>
  <c r="H206" i="13"/>
  <c r="N206" i="13"/>
  <c r="M206" i="13"/>
  <c r="N68" i="5"/>
  <c r="M68" i="5"/>
  <c r="H68" i="5"/>
  <c r="M109" i="5"/>
  <c r="H109" i="5"/>
  <c r="N109" i="5"/>
  <c r="H47" i="12"/>
  <c r="N47" i="12"/>
  <c r="M47" i="12"/>
  <c r="H161" i="12"/>
  <c r="M161" i="12"/>
  <c r="N161" i="12"/>
  <c r="H151" i="12"/>
  <c r="M151" i="12"/>
  <c r="N151" i="12"/>
  <c r="H96" i="13"/>
  <c r="N96" i="13"/>
  <c r="M96" i="13"/>
  <c r="N15" i="5"/>
  <c r="M15" i="5"/>
  <c r="H15" i="5"/>
  <c r="M117" i="12"/>
  <c r="N117" i="12"/>
  <c r="H117" i="12"/>
  <c r="H14" i="13"/>
  <c r="N14" i="13"/>
  <c r="M14" i="13"/>
  <c r="N170" i="13"/>
  <c r="M170" i="13"/>
  <c r="H170" i="13"/>
  <c r="H80" i="5"/>
  <c r="N80" i="5"/>
  <c r="M80" i="5"/>
  <c r="N67" i="12"/>
  <c r="H67" i="12"/>
  <c r="M67" i="12"/>
  <c r="M40" i="12"/>
  <c r="N40" i="12"/>
  <c r="H40" i="12"/>
  <c r="H67" i="13"/>
  <c r="M67" i="13"/>
  <c r="N67" i="13"/>
  <c r="H176" i="13"/>
  <c r="N176" i="13"/>
  <c r="M176" i="13"/>
  <c r="N134" i="5"/>
  <c r="M134" i="5"/>
  <c r="H134" i="5"/>
  <c r="N11" i="5"/>
  <c r="H11" i="5"/>
  <c r="M11" i="5"/>
  <c r="N133" i="5"/>
  <c r="M133" i="5"/>
  <c r="H133" i="5"/>
  <c r="H132" i="12"/>
  <c r="M132" i="12"/>
  <c r="N132" i="12"/>
  <c r="H16" i="13"/>
  <c r="N16" i="13"/>
  <c r="M16" i="13"/>
  <c r="N211" i="13"/>
  <c r="M211" i="13"/>
  <c r="H211" i="13"/>
  <c r="N48" i="5"/>
  <c r="M48" i="5"/>
  <c r="H48" i="5"/>
  <c r="C7" i="12"/>
  <c r="N86" i="5"/>
  <c r="M86" i="5"/>
  <c r="H86" i="5"/>
  <c r="M64" i="12"/>
  <c r="H64" i="12"/>
  <c r="N64" i="12"/>
  <c r="H57" i="13"/>
  <c r="M57" i="13"/>
  <c r="N57" i="13"/>
  <c r="M163" i="13"/>
  <c r="N163" i="13"/>
  <c r="H163" i="13"/>
  <c r="H177" i="13"/>
  <c r="N177" i="13"/>
  <c r="M177" i="13"/>
  <c r="N239" i="13"/>
  <c r="M239" i="13"/>
  <c r="H239" i="13"/>
  <c r="N14" i="12"/>
  <c r="M14" i="12"/>
  <c r="H14" i="12"/>
  <c r="H67" i="5"/>
  <c r="M67" i="5"/>
  <c r="N67" i="5"/>
  <c r="M55" i="5"/>
  <c r="H55" i="5"/>
  <c r="N55" i="5"/>
  <c r="N113" i="12"/>
  <c r="M113" i="12"/>
  <c r="H113" i="12"/>
  <c r="N97" i="12"/>
  <c r="H97" i="12"/>
  <c r="M97" i="12"/>
  <c r="N191" i="12"/>
  <c r="H191" i="12"/>
  <c r="M191" i="12"/>
  <c r="H9" i="13"/>
  <c r="N9" i="13"/>
  <c r="M9" i="13"/>
  <c r="H20" i="13"/>
  <c r="N20" i="13"/>
  <c r="M20" i="13"/>
  <c r="N103" i="13"/>
  <c r="H103" i="13"/>
  <c r="M103" i="13"/>
  <c r="M192" i="13"/>
  <c r="H192" i="13"/>
  <c r="N192" i="13"/>
  <c r="H243" i="13"/>
  <c r="N243" i="13"/>
  <c r="M243" i="13"/>
  <c r="M116" i="5"/>
  <c r="H116" i="5"/>
  <c r="N116" i="5"/>
  <c r="N126" i="12"/>
  <c r="M126" i="12"/>
  <c r="H126" i="12"/>
  <c r="H33" i="13"/>
  <c r="N33" i="13"/>
  <c r="M33" i="13"/>
  <c r="H11" i="13"/>
  <c r="M11" i="13"/>
  <c r="N11" i="13"/>
  <c r="H73" i="13"/>
  <c r="N73" i="13"/>
  <c r="M73" i="13"/>
  <c r="H180" i="13"/>
  <c r="N180" i="13"/>
  <c r="M180" i="13"/>
  <c r="H63" i="5"/>
  <c r="N63" i="5"/>
  <c r="M63" i="5"/>
  <c r="M51" i="5"/>
  <c r="N51" i="5"/>
  <c r="H51" i="5"/>
  <c r="H72" i="12"/>
  <c r="N72" i="12"/>
  <c r="M72" i="12"/>
  <c r="H196" i="12"/>
  <c r="N196" i="12"/>
  <c r="M196" i="12"/>
  <c r="M183" i="12"/>
  <c r="H183" i="12"/>
  <c r="N183" i="12"/>
  <c r="H27" i="13"/>
  <c r="N27" i="13"/>
  <c r="M27" i="13"/>
  <c r="M38" i="13"/>
  <c r="H38" i="13"/>
  <c r="N38" i="13"/>
  <c r="H7" i="13"/>
  <c r="M7" i="13"/>
  <c r="N7" i="13"/>
  <c r="H245" i="13"/>
  <c r="N245" i="13"/>
  <c r="M245" i="13"/>
  <c r="M96" i="12"/>
  <c r="H96" i="12"/>
  <c r="N96" i="12"/>
  <c r="H82" i="12"/>
  <c r="N82" i="12"/>
  <c r="M82" i="12"/>
  <c r="N62" i="12"/>
  <c r="M62" i="12"/>
  <c r="H62" i="12"/>
  <c r="M187" i="12"/>
  <c r="H187" i="12"/>
  <c r="N187" i="12"/>
  <c r="N177" i="12"/>
  <c r="M177" i="12"/>
  <c r="H177" i="12"/>
  <c r="N160" i="13"/>
  <c r="M160" i="13"/>
  <c r="H160" i="13"/>
  <c r="H182" i="13"/>
  <c r="M182" i="13"/>
  <c r="N182" i="13"/>
  <c r="H235" i="13"/>
  <c r="N235" i="13"/>
  <c r="M235" i="13"/>
  <c r="M6" i="5"/>
  <c r="H6" i="5"/>
  <c r="N6" i="5"/>
  <c r="M119" i="12"/>
  <c r="N119" i="12"/>
  <c r="H119" i="12"/>
  <c r="N94" i="12"/>
  <c r="M94" i="12"/>
  <c r="H94" i="12"/>
  <c r="M218" i="12"/>
  <c r="H218" i="12"/>
  <c r="N218" i="12"/>
  <c r="H202" i="12"/>
  <c r="N202" i="12"/>
  <c r="M202" i="12"/>
  <c r="H180" i="12"/>
  <c r="N180" i="12"/>
  <c r="M180" i="12"/>
  <c r="H32" i="13"/>
  <c r="N32" i="13"/>
  <c r="M32" i="13"/>
  <c r="H48" i="13"/>
  <c r="N48" i="13"/>
  <c r="M48" i="13"/>
  <c r="M157" i="13"/>
  <c r="N157" i="13"/>
  <c r="H157" i="13"/>
  <c r="H15" i="13"/>
  <c r="M15" i="13"/>
  <c r="N15" i="13"/>
  <c r="H114" i="13"/>
  <c r="N114" i="13"/>
  <c r="M114" i="13"/>
  <c r="H145" i="13"/>
  <c r="N145" i="13"/>
  <c r="M145" i="13"/>
  <c r="N97" i="5"/>
  <c r="M97" i="5"/>
  <c r="H97" i="5"/>
  <c r="N53" i="5"/>
  <c r="H53" i="5"/>
  <c r="M53" i="5"/>
  <c r="H99" i="12"/>
  <c r="M99" i="12"/>
  <c r="N99" i="12"/>
  <c r="N70" i="12"/>
  <c r="M70" i="12"/>
  <c r="H70" i="12"/>
  <c r="N193" i="12"/>
  <c r="H193" i="12"/>
  <c r="M193" i="12"/>
  <c r="N179" i="12"/>
  <c r="M179" i="12"/>
  <c r="H179" i="12"/>
  <c r="H10" i="13"/>
  <c r="N10" i="13"/>
  <c r="M10" i="13"/>
  <c r="H35" i="13"/>
  <c r="N35" i="13"/>
  <c r="M35" i="13"/>
  <c r="H5" i="13"/>
  <c r="M5" i="13"/>
  <c r="N5" i="13"/>
  <c r="N184" i="13"/>
  <c r="M184" i="13"/>
  <c r="H184" i="13"/>
  <c r="H142" i="13"/>
  <c r="N142" i="13"/>
  <c r="M142" i="13"/>
  <c r="H194" i="13"/>
  <c r="M194" i="13"/>
  <c r="N194" i="13"/>
  <c r="N244" i="13"/>
  <c r="M244" i="13"/>
  <c r="H244" i="13"/>
  <c r="M103" i="5"/>
  <c r="N103" i="5"/>
  <c r="H103" i="5"/>
  <c r="H42" i="13"/>
  <c r="N42" i="13"/>
  <c r="M42" i="13"/>
  <c r="M78" i="12"/>
  <c r="H78" i="12"/>
  <c r="N78" i="12"/>
  <c r="M170" i="12"/>
  <c r="H170" i="12"/>
  <c r="N170" i="12"/>
  <c r="H54" i="13"/>
  <c r="N54" i="13"/>
  <c r="M54" i="13"/>
  <c r="H102" i="13"/>
  <c r="N102" i="13"/>
  <c r="M102" i="13"/>
  <c r="H175" i="13"/>
  <c r="N175" i="13"/>
  <c r="M175" i="13"/>
  <c r="M108" i="12"/>
  <c r="H108" i="12"/>
  <c r="N108" i="12"/>
  <c r="N73" i="12"/>
  <c r="M73" i="12"/>
  <c r="H73" i="12"/>
  <c r="H190" i="12"/>
  <c r="N190" i="12"/>
  <c r="M190" i="12"/>
  <c r="M155" i="13"/>
  <c r="H155" i="13"/>
  <c r="N155" i="13"/>
  <c r="H123" i="13"/>
  <c r="N123" i="13"/>
  <c r="M123" i="13"/>
  <c r="M118" i="5"/>
  <c r="H118" i="5"/>
  <c r="N118" i="5"/>
  <c r="M88" i="12"/>
  <c r="H88" i="12"/>
  <c r="N88" i="12"/>
  <c r="H66" i="12"/>
  <c r="N66" i="12"/>
  <c r="M66" i="12"/>
  <c r="N42" i="12"/>
  <c r="M42" i="12"/>
  <c r="H42" i="12"/>
  <c r="M174" i="12"/>
  <c r="H174" i="12"/>
  <c r="N174" i="12"/>
  <c r="H113" i="13"/>
  <c r="M113" i="13"/>
  <c r="N113" i="13"/>
  <c r="H64" i="13"/>
  <c r="M64" i="13"/>
  <c r="N64" i="13"/>
  <c r="H119" i="13"/>
  <c r="M119" i="13"/>
  <c r="N119" i="13"/>
  <c r="N178" i="13"/>
  <c r="M178" i="13"/>
  <c r="H178" i="13"/>
  <c r="H230" i="13"/>
  <c r="N230" i="13"/>
  <c r="M230" i="13"/>
  <c r="N83" i="5"/>
  <c r="H83" i="5"/>
  <c r="M83" i="5"/>
  <c r="H121" i="12"/>
  <c r="N121" i="12"/>
  <c r="M121" i="12"/>
  <c r="H109" i="12"/>
  <c r="N109" i="12"/>
  <c r="M109" i="12"/>
  <c r="N95" i="12"/>
  <c r="M95" i="12"/>
  <c r="H95" i="12"/>
  <c r="M219" i="12"/>
  <c r="H219" i="12"/>
  <c r="N219" i="12"/>
  <c r="N184" i="12"/>
  <c r="M184" i="12"/>
  <c r="H184" i="12"/>
  <c r="N74" i="13"/>
  <c r="M74" i="13"/>
  <c r="H74" i="13"/>
  <c r="H161" i="13"/>
  <c r="N161" i="13"/>
  <c r="M161" i="13"/>
  <c r="H17" i="13"/>
  <c r="M17" i="13"/>
  <c r="N17" i="13"/>
  <c r="M151" i="13"/>
  <c r="N151" i="13"/>
  <c r="H151" i="13"/>
  <c r="N95" i="5"/>
  <c r="H95" i="5"/>
  <c r="M95" i="5"/>
  <c r="H30" i="5"/>
  <c r="N30" i="5"/>
  <c r="M30" i="5"/>
  <c r="N18" i="5"/>
  <c r="M18" i="5"/>
  <c r="H18" i="5"/>
  <c r="H220" i="12"/>
  <c r="N220" i="12"/>
  <c r="M220" i="12"/>
  <c r="H93" i="13"/>
  <c r="N93" i="13"/>
  <c r="M93" i="13"/>
  <c r="H65" i="13"/>
  <c r="N65" i="13"/>
  <c r="M65" i="13"/>
  <c r="M16" i="12"/>
  <c r="N16" i="12"/>
  <c r="H16" i="12"/>
  <c r="M118" i="12"/>
  <c r="H118" i="12"/>
  <c r="N118" i="12"/>
  <c r="H87" i="12"/>
  <c r="N87" i="12"/>
  <c r="M87" i="12"/>
  <c r="N216" i="12"/>
  <c r="H216" i="12"/>
  <c r="M216" i="12"/>
  <c r="N201" i="12"/>
  <c r="H201" i="12"/>
  <c r="M201" i="12"/>
  <c r="N169" i="12"/>
  <c r="M169" i="12"/>
  <c r="H169" i="12"/>
  <c r="H31" i="13"/>
  <c r="N31" i="13"/>
  <c r="M31" i="13"/>
  <c r="M149" i="13"/>
  <c r="N149" i="13"/>
  <c r="H149" i="13"/>
  <c r="H12" i="13"/>
  <c r="N12" i="13"/>
  <c r="M12" i="13"/>
  <c r="N144" i="13"/>
  <c r="M144" i="13"/>
  <c r="H144" i="13"/>
  <c r="M99" i="5"/>
  <c r="H99" i="5"/>
  <c r="N99" i="5"/>
  <c r="M17" i="5"/>
  <c r="H17" i="5"/>
  <c r="N17" i="5"/>
  <c r="M98" i="12"/>
  <c r="H98" i="12"/>
  <c r="N98" i="12"/>
  <c r="M84" i="12"/>
  <c r="H84" i="12"/>
  <c r="N84" i="12"/>
  <c r="H63" i="12"/>
  <c r="N63" i="12"/>
  <c r="M63" i="12"/>
  <c r="M194" i="12"/>
  <c r="H194" i="12"/>
  <c r="N194" i="12"/>
  <c r="N181" i="12"/>
  <c r="H181" i="12"/>
  <c r="M181" i="12"/>
  <c r="N90" i="13"/>
  <c r="M90" i="13"/>
  <c r="H90" i="13"/>
  <c r="M195" i="13"/>
  <c r="N195" i="13"/>
  <c r="H195" i="13"/>
  <c r="H186" i="13"/>
  <c r="N186" i="13"/>
  <c r="M186" i="13"/>
  <c r="N236" i="13"/>
  <c r="M236" i="13"/>
  <c r="H236" i="13"/>
  <c r="N199" i="13"/>
  <c r="M199" i="13"/>
  <c r="H199" i="13"/>
  <c r="M124" i="5"/>
  <c r="H124" i="5"/>
  <c r="N124" i="5"/>
  <c r="Y5" i="5"/>
  <c r="X5" i="5"/>
  <c r="W5" i="5"/>
  <c r="M134" i="12"/>
  <c r="H134" i="12"/>
  <c r="N134" i="12"/>
  <c r="N125" i="12"/>
  <c r="H125" i="12"/>
  <c r="M125" i="12"/>
  <c r="H127" i="12"/>
  <c r="M127" i="12"/>
  <c r="N127" i="12"/>
  <c r="H199" i="12"/>
  <c r="N199" i="12"/>
  <c r="M199" i="12"/>
  <c r="H81" i="13"/>
  <c r="N81" i="13"/>
  <c r="M81" i="13"/>
  <c r="H109" i="13"/>
  <c r="N109" i="13"/>
  <c r="M109" i="13"/>
  <c r="H37" i="13"/>
  <c r="M37" i="13"/>
  <c r="N37" i="13"/>
  <c r="H128" i="13"/>
  <c r="N128" i="13"/>
  <c r="M128" i="13"/>
  <c r="H165" i="13"/>
  <c r="N165" i="13"/>
  <c r="M165" i="13"/>
  <c r="M21" i="12"/>
  <c r="H21" i="12"/>
  <c r="N21" i="12"/>
  <c r="H70" i="5"/>
  <c r="N70" i="5"/>
  <c r="M70" i="5"/>
  <c r="M106" i="12"/>
  <c r="H106" i="12"/>
  <c r="N106" i="12"/>
  <c r="N58" i="12"/>
  <c r="M58" i="12"/>
  <c r="H58" i="12"/>
  <c r="H71" i="12"/>
  <c r="N71" i="12"/>
  <c r="M71" i="12"/>
  <c r="N200" i="12"/>
  <c r="M200" i="12"/>
  <c r="H200" i="12"/>
  <c r="M188" i="12"/>
  <c r="H188" i="12"/>
  <c r="N188" i="12"/>
  <c r="H98" i="13"/>
  <c r="N98" i="13"/>
  <c r="M98" i="13"/>
  <c r="H189" i="13"/>
  <c r="N189" i="13"/>
  <c r="M189" i="13"/>
  <c r="N240" i="13"/>
  <c r="M240" i="13"/>
  <c r="H240" i="13"/>
  <c r="M120" i="5"/>
  <c r="H120" i="5"/>
  <c r="N120" i="5"/>
  <c r="AA5" i="12"/>
  <c r="Z5" i="12"/>
  <c r="H122" i="12"/>
  <c r="N122" i="12"/>
  <c r="M122" i="12"/>
  <c r="H112" i="12"/>
  <c r="N112" i="12"/>
  <c r="M112" i="12"/>
  <c r="N213" i="12"/>
  <c r="H213" i="12"/>
  <c r="M213" i="12"/>
  <c r="H192" i="12"/>
  <c r="N192" i="12"/>
  <c r="M192" i="12"/>
  <c r="H61" i="13"/>
  <c r="N61" i="13"/>
  <c r="M61" i="13"/>
  <c r="N92" i="13"/>
  <c r="M92" i="13"/>
  <c r="H92" i="13"/>
  <c r="M159" i="13"/>
  <c r="N159" i="13"/>
  <c r="H159" i="13"/>
  <c r="H224" i="13"/>
  <c r="N224" i="13"/>
  <c r="M224" i="13"/>
  <c r="M46" i="12"/>
  <c r="H46" i="12"/>
  <c r="N46" i="12"/>
  <c r="H146" i="12"/>
  <c r="N146" i="12"/>
  <c r="M146" i="12"/>
  <c r="N154" i="12"/>
  <c r="M154" i="12"/>
  <c r="H154" i="12"/>
  <c r="H44" i="13"/>
  <c r="N44" i="13"/>
  <c r="M44" i="13"/>
  <c r="H21" i="13"/>
  <c r="M21" i="13"/>
  <c r="N21" i="13"/>
  <c r="N158" i="13"/>
  <c r="M158" i="13"/>
  <c r="H158" i="13"/>
  <c r="N141" i="13"/>
  <c r="M141" i="13"/>
  <c r="H141" i="13"/>
  <c r="M100" i="12"/>
  <c r="H100" i="12"/>
  <c r="N100" i="12"/>
  <c r="M68" i="12"/>
  <c r="N68" i="12"/>
  <c r="H68" i="12"/>
  <c r="M195" i="12"/>
  <c r="H195" i="12"/>
  <c r="N195" i="12"/>
  <c r="H182" i="12"/>
  <c r="N182" i="12"/>
  <c r="M182" i="12"/>
  <c r="H100" i="13"/>
  <c r="N100" i="13"/>
  <c r="M100" i="13"/>
  <c r="N147" i="13"/>
  <c r="M147" i="13"/>
  <c r="H147" i="13"/>
  <c r="M196" i="13"/>
  <c r="H196" i="13"/>
  <c r="N196" i="13"/>
  <c r="M188" i="13"/>
  <c r="N188" i="13"/>
  <c r="H188" i="13"/>
  <c r="H238" i="13"/>
  <c r="N238" i="13"/>
  <c r="M238" i="13"/>
  <c r="N205" i="13"/>
  <c r="M205" i="13"/>
  <c r="H205" i="13"/>
  <c r="M122" i="5"/>
  <c r="H122" i="5"/>
  <c r="N122" i="5"/>
  <c r="N23" i="12"/>
  <c r="M23" i="12"/>
  <c r="H23" i="12"/>
  <c r="H51" i="12"/>
  <c r="N51" i="12"/>
  <c r="M51" i="12"/>
  <c r="N44" i="12"/>
  <c r="H44" i="12"/>
  <c r="M44" i="12"/>
  <c r="N157" i="12"/>
  <c r="H157" i="12"/>
  <c r="M157" i="12"/>
  <c r="N88" i="13"/>
  <c r="M88" i="13"/>
  <c r="H88" i="13"/>
  <c r="M138" i="13"/>
  <c r="H138" i="13"/>
  <c r="N138" i="13"/>
  <c r="N227" i="13"/>
  <c r="M227" i="13"/>
  <c r="H227" i="13"/>
  <c r="M35" i="5"/>
  <c r="H35" i="5"/>
  <c r="N35" i="5"/>
  <c r="H76" i="5"/>
  <c r="N76" i="5"/>
  <c r="M76" i="5"/>
  <c r="H49" i="12"/>
  <c r="N49" i="12"/>
  <c r="M49" i="12"/>
  <c r="H49" i="13"/>
  <c r="N49" i="13"/>
  <c r="M49" i="13"/>
  <c r="H79" i="13"/>
  <c r="M79" i="13"/>
  <c r="N79" i="13"/>
  <c r="H190" i="13"/>
  <c r="N190" i="13"/>
  <c r="M190" i="13"/>
  <c r="M126" i="5"/>
  <c r="H126" i="5"/>
  <c r="N126" i="5"/>
  <c r="C7" i="5"/>
  <c r="N46" i="5"/>
  <c r="M46" i="5"/>
  <c r="H46" i="5"/>
  <c r="N43" i="5"/>
  <c r="M43" i="5"/>
  <c r="H43" i="5"/>
  <c r="H107" i="12"/>
  <c r="M107" i="12"/>
  <c r="N107" i="12"/>
  <c r="M76" i="12"/>
  <c r="H76" i="12"/>
  <c r="N76" i="12"/>
  <c r="N198" i="12"/>
  <c r="M198" i="12"/>
  <c r="H198" i="12"/>
  <c r="M50" i="12"/>
  <c r="H50" i="12"/>
  <c r="N50" i="12"/>
  <c r="H150" i="12"/>
  <c r="N150" i="12"/>
  <c r="M150" i="12"/>
  <c r="H155" i="12"/>
  <c r="N155" i="12"/>
  <c r="M155" i="12"/>
  <c r="H51" i="13"/>
  <c r="N51" i="13"/>
  <c r="M51" i="13"/>
  <c r="H26" i="13"/>
  <c r="N26" i="13"/>
  <c r="M26" i="13"/>
  <c r="N84" i="13"/>
  <c r="M84" i="13"/>
  <c r="H84" i="13"/>
  <c r="C6" i="13"/>
  <c r="D15" i="16"/>
  <c r="L14" i="16"/>
  <c r="H14" i="16"/>
  <c r="R7" i="13" l="1"/>
  <c r="J7" i="13"/>
  <c r="Q7" i="13"/>
  <c r="S7" i="13"/>
  <c r="I7" i="13"/>
  <c r="I6" i="12"/>
  <c r="R6" i="12"/>
  <c r="S6" i="12"/>
  <c r="J6" i="12"/>
  <c r="Q6" i="12"/>
  <c r="O6" i="13"/>
  <c r="D9" i="13"/>
  <c r="BG8" i="13"/>
  <c r="F8" i="13"/>
  <c r="E8" i="13"/>
  <c r="T8" i="13" s="1"/>
  <c r="D8" i="12"/>
  <c r="BG7" i="12"/>
  <c r="E7" i="12"/>
  <c r="T7" i="12" s="1"/>
  <c r="BI7" i="12"/>
  <c r="F7" i="12"/>
  <c r="H15" i="16"/>
  <c r="O7" i="5"/>
  <c r="BH9" i="5"/>
  <c r="BG9" i="5"/>
  <c r="D10" i="5"/>
  <c r="E9" i="5"/>
  <c r="T9" i="5" s="1"/>
  <c r="F9" i="5"/>
  <c r="BI9" i="5"/>
  <c r="I8" i="5"/>
  <c r="R8" i="5"/>
  <c r="J8" i="5"/>
  <c r="Q8" i="5"/>
  <c r="S8" i="5"/>
  <c r="B9" i="9"/>
  <c r="F9" i="9"/>
  <c r="E9" i="9"/>
  <c r="E9" i="15"/>
  <c r="B9" i="15"/>
  <c r="F9" i="15"/>
  <c r="C10" i="15"/>
  <c r="C10" i="9"/>
  <c r="X6" i="13"/>
  <c r="Y6" i="13"/>
  <c r="W6" i="13"/>
  <c r="C7" i="13"/>
  <c r="AA5" i="5"/>
  <c r="Z5" i="5"/>
  <c r="Y7" i="5"/>
  <c r="X7" i="5"/>
  <c r="W7" i="5"/>
  <c r="C8" i="5"/>
  <c r="AA5" i="13"/>
  <c r="Z5" i="13"/>
  <c r="AA6" i="5"/>
  <c r="Z6" i="5"/>
  <c r="Y7" i="12"/>
  <c r="X7" i="12"/>
  <c r="W7" i="12"/>
  <c r="AA6" i="12"/>
  <c r="Z6" i="12"/>
  <c r="D16" i="16"/>
  <c r="L15" i="16"/>
  <c r="J7" i="12" l="1"/>
  <c r="R7" i="12"/>
  <c r="S7" i="12"/>
  <c r="Q7" i="12"/>
  <c r="I7" i="12"/>
  <c r="O6" i="12"/>
  <c r="O7" i="13"/>
  <c r="D9" i="12"/>
  <c r="BH8" i="12"/>
  <c r="E8" i="12"/>
  <c r="T8" i="12" s="1"/>
  <c r="BG8" i="12"/>
  <c r="BI8" i="12"/>
  <c r="F8" i="12"/>
  <c r="C8" i="12"/>
  <c r="S8" i="13"/>
  <c r="J8" i="13"/>
  <c r="Q8" i="13"/>
  <c r="I8" i="13"/>
  <c r="R8" i="13"/>
  <c r="F9" i="13"/>
  <c r="E9" i="13"/>
  <c r="T9" i="13" s="1"/>
  <c r="BH9" i="13"/>
  <c r="D10" i="13"/>
  <c r="BG9" i="13"/>
  <c r="L16" i="16"/>
  <c r="O8" i="5"/>
  <c r="BG10" i="5"/>
  <c r="BH10" i="5"/>
  <c r="BI10" i="5"/>
  <c r="F10" i="5"/>
  <c r="E10" i="5"/>
  <c r="T10" i="5" s="1"/>
  <c r="D11" i="5"/>
  <c r="S9" i="5"/>
  <c r="I9" i="5"/>
  <c r="J9" i="5"/>
  <c r="Q9" i="5"/>
  <c r="R9" i="5"/>
  <c r="H16" i="16"/>
  <c r="D17" i="16"/>
  <c r="F10" i="15"/>
  <c r="E10" i="15"/>
  <c r="B10" i="15"/>
  <c r="E10" i="9"/>
  <c r="F10" i="9"/>
  <c r="B10" i="9"/>
  <c r="Z7" i="12"/>
  <c r="AA7" i="12"/>
  <c r="AA7" i="5"/>
  <c r="Z7" i="5"/>
  <c r="Z6" i="13"/>
  <c r="AA6" i="13"/>
  <c r="X7" i="13"/>
  <c r="Y7" i="13"/>
  <c r="W7" i="13"/>
  <c r="C8" i="13"/>
  <c r="X8" i="12"/>
  <c r="W8" i="12"/>
  <c r="Y8" i="12"/>
  <c r="C9" i="12"/>
  <c r="W8" i="5"/>
  <c r="Y8" i="5"/>
  <c r="X8" i="5"/>
  <c r="C9" i="5"/>
  <c r="J9" i="13" l="1"/>
  <c r="I9" i="13"/>
  <c r="R9" i="13"/>
  <c r="Q9" i="13"/>
  <c r="S9" i="13"/>
  <c r="O8" i="13"/>
  <c r="E9" i="12"/>
  <c r="T9" i="12" s="1"/>
  <c r="F9" i="12"/>
  <c r="BG9" i="12"/>
  <c r="BI9" i="12"/>
  <c r="BH9" i="12"/>
  <c r="D10" i="12"/>
  <c r="E10" i="13"/>
  <c r="T10" i="13" s="1"/>
  <c r="BH10" i="13"/>
  <c r="D11" i="13"/>
  <c r="BG10" i="13"/>
  <c r="F10" i="13"/>
  <c r="I8" i="12"/>
  <c r="Q8" i="12"/>
  <c r="S8" i="12"/>
  <c r="J8" i="12"/>
  <c r="O8" i="12" s="1"/>
  <c r="R8" i="12"/>
  <c r="O7" i="12"/>
  <c r="L17" i="16"/>
  <c r="O9" i="5"/>
  <c r="R10" i="5"/>
  <c r="S10" i="5"/>
  <c r="I10" i="5"/>
  <c r="J10" i="5"/>
  <c r="Q10" i="5"/>
  <c r="BG11" i="5"/>
  <c r="BH11" i="5"/>
  <c r="D12" i="5"/>
  <c r="E11" i="5"/>
  <c r="T11" i="5" s="1"/>
  <c r="BI11" i="5"/>
  <c r="F11" i="5"/>
  <c r="D18" i="16"/>
  <c r="H17" i="16"/>
  <c r="X9" i="12"/>
  <c r="W9" i="12"/>
  <c r="Y9" i="12"/>
  <c r="C10" i="12"/>
  <c r="Y8" i="13"/>
  <c r="W8" i="13"/>
  <c r="X8" i="13"/>
  <c r="C9" i="13"/>
  <c r="Y9" i="5"/>
  <c r="X9" i="5"/>
  <c r="W9" i="5"/>
  <c r="C10" i="5"/>
  <c r="AA8" i="5"/>
  <c r="Z8" i="5"/>
  <c r="AA8" i="12"/>
  <c r="Z8" i="12"/>
  <c r="Z7" i="13"/>
  <c r="AA7" i="13"/>
  <c r="O9" i="13" l="1"/>
  <c r="D11" i="12"/>
  <c r="BH10" i="12"/>
  <c r="F10" i="12"/>
  <c r="BG10" i="12"/>
  <c r="E10" i="12"/>
  <c r="T10" i="12" s="1"/>
  <c r="BI10" i="12"/>
  <c r="I9" i="12"/>
  <c r="J9" i="12"/>
  <c r="R9" i="12"/>
  <c r="S9" i="12"/>
  <c r="Q9" i="12"/>
  <c r="BH11" i="13"/>
  <c r="D12" i="13"/>
  <c r="BG11" i="13"/>
  <c r="F11" i="13"/>
  <c r="E11" i="13"/>
  <c r="T11" i="13" s="1"/>
  <c r="Q10" i="13"/>
  <c r="R10" i="13"/>
  <c r="S10" i="13"/>
  <c r="J10" i="13"/>
  <c r="I10" i="13"/>
  <c r="L18" i="16"/>
  <c r="O10" i="5"/>
  <c r="S11" i="5"/>
  <c r="I11" i="5"/>
  <c r="J11" i="5"/>
  <c r="Q11" i="5"/>
  <c r="R11" i="5"/>
  <c r="BG12" i="5"/>
  <c r="BH12" i="5"/>
  <c r="F12" i="5"/>
  <c r="BI12" i="5"/>
  <c r="D13" i="5"/>
  <c r="E12" i="5"/>
  <c r="T12" i="5" s="1"/>
  <c r="H18" i="16"/>
  <c r="D19" i="16"/>
  <c r="W10" i="5"/>
  <c r="Y10" i="5"/>
  <c r="X10" i="5"/>
  <c r="C11" i="5"/>
  <c r="W10" i="12"/>
  <c r="Y10" i="12"/>
  <c r="X10" i="12"/>
  <c r="C11" i="12"/>
  <c r="AA9" i="5"/>
  <c r="Z9" i="5"/>
  <c r="W9" i="13"/>
  <c r="Y9" i="13"/>
  <c r="X9" i="13"/>
  <c r="C10" i="13"/>
  <c r="AA8" i="13"/>
  <c r="Z8" i="13"/>
  <c r="AA9" i="12"/>
  <c r="Z9" i="12"/>
  <c r="O9" i="12" l="1"/>
  <c r="O10" i="13"/>
  <c r="J11" i="13"/>
  <c r="Q11" i="13"/>
  <c r="S11" i="13"/>
  <c r="I11" i="13"/>
  <c r="R11" i="13"/>
  <c r="R10" i="12"/>
  <c r="I10" i="12"/>
  <c r="S10" i="12"/>
  <c r="J10" i="12"/>
  <c r="Q10" i="12"/>
  <c r="E12" i="13"/>
  <c r="T12" i="13" s="1"/>
  <c r="BG12" i="13"/>
  <c r="D13" i="13"/>
  <c r="BH12" i="13"/>
  <c r="F12" i="13"/>
  <c r="BG11" i="12"/>
  <c r="E11" i="12"/>
  <c r="T11" i="12" s="1"/>
  <c r="BI11" i="12"/>
  <c r="F11" i="12"/>
  <c r="BH11" i="12"/>
  <c r="D12" i="12"/>
  <c r="L19" i="16"/>
  <c r="O11" i="5"/>
  <c r="I12" i="5"/>
  <c r="Q12" i="5"/>
  <c r="R12" i="5"/>
  <c r="S12" i="5"/>
  <c r="J12" i="5"/>
  <c r="O12" i="5" s="1"/>
  <c r="BH13" i="5"/>
  <c r="BG13" i="5"/>
  <c r="D14" i="5"/>
  <c r="E13" i="5"/>
  <c r="T13" i="5" s="1"/>
  <c r="F13" i="5"/>
  <c r="BI13" i="5"/>
  <c r="H19" i="16"/>
  <c r="D20" i="16"/>
  <c r="X10" i="13"/>
  <c r="W10" i="13"/>
  <c r="Y10" i="13"/>
  <c r="C11" i="13"/>
  <c r="AA9" i="13"/>
  <c r="Z9" i="13"/>
  <c r="X11" i="12"/>
  <c r="W11" i="12"/>
  <c r="Y11" i="12"/>
  <c r="C12" i="12"/>
  <c r="Y11" i="5"/>
  <c r="X11" i="5"/>
  <c r="W11" i="5"/>
  <c r="C12" i="5"/>
  <c r="AA10" i="12"/>
  <c r="Z10" i="12"/>
  <c r="AA10" i="5"/>
  <c r="Z10" i="5"/>
  <c r="I11" i="12" l="1"/>
  <c r="J11" i="12"/>
  <c r="R11" i="12"/>
  <c r="S11" i="12"/>
  <c r="Q11" i="12"/>
  <c r="R12" i="13"/>
  <c r="Q12" i="13"/>
  <c r="I12" i="13"/>
  <c r="S12" i="13"/>
  <c r="J12" i="13"/>
  <c r="F12" i="12"/>
  <c r="D13" i="12"/>
  <c r="BH12" i="12"/>
  <c r="E12" i="12"/>
  <c r="T12" i="12" s="1"/>
  <c r="BG12" i="12"/>
  <c r="BI12" i="12"/>
  <c r="BH13" i="13"/>
  <c r="D14" i="13"/>
  <c r="BG13" i="13"/>
  <c r="F13" i="13"/>
  <c r="E13" i="13"/>
  <c r="T13" i="13" s="1"/>
  <c r="O10" i="12"/>
  <c r="O11" i="13"/>
  <c r="L20" i="16"/>
  <c r="S13" i="5"/>
  <c r="R13" i="5"/>
  <c r="J13" i="5"/>
  <c r="Q13" i="5"/>
  <c r="I13" i="5"/>
  <c r="BG14" i="5"/>
  <c r="BH14" i="5"/>
  <c r="BI14" i="5"/>
  <c r="F14" i="5"/>
  <c r="E14" i="5"/>
  <c r="T14" i="5" s="1"/>
  <c r="D15" i="5"/>
  <c r="H20" i="16"/>
  <c r="D21" i="16"/>
  <c r="W12" i="5"/>
  <c r="Y12" i="5"/>
  <c r="X12" i="5"/>
  <c r="C13" i="5"/>
  <c r="W12" i="12"/>
  <c r="Y12" i="12"/>
  <c r="X12" i="12"/>
  <c r="C13" i="12"/>
  <c r="X11" i="13"/>
  <c r="Y11" i="13"/>
  <c r="W11" i="13"/>
  <c r="C12" i="13"/>
  <c r="AA11" i="5"/>
  <c r="Z11" i="5"/>
  <c r="AA11" i="12"/>
  <c r="Z11" i="12"/>
  <c r="Z10" i="13"/>
  <c r="AA10" i="13"/>
  <c r="O12" i="13" l="1"/>
  <c r="O11" i="12"/>
  <c r="S13" i="13"/>
  <c r="Q13" i="13"/>
  <c r="I13" i="13"/>
  <c r="J13" i="13"/>
  <c r="R13" i="13"/>
  <c r="BG13" i="12"/>
  <c r="BI13" i="12"/>
  <c r="D14" i="12"/>
  <c r="E13" i="12"/>
  <c r="T13" i="12" s="1"/>
  <c r="BH13" i="12"/>
  <c r="F13" i="12"/>
  <c r="R12" i="12"/>
  <c r="S12" i="12"/>
  <c r="J12" i="12"/>
  <c r="I12" i="12"/>
  <c r="Q12" i="12"/>
  <c r="E14" i="13"/>
  <c r="T14" i="13" s="1"/>
  <c r="BH14" i="13"/>
  <c r="D15" i="13"/>
  <c r="BG14" i="13"/>
  <c r="F14" i="13"/>
  <c r="D22" i="16"/>
  <c r="O13" i="5"/>
  <c r="BG15" i="5"/>
  <c r="BH15" i="5"/>
  <c r="D16" i="5"/>
  <c r="E15" i="5"/>
  <c r="T15" i="5" s="1"/>
  <c r="BI15" i="5"/>
  <c r="F15" i="5"/>
  <c r="R14" i="5"/>
  <c r="Q14" i="5"/>
  <c r="I14" i="5"/>
  <c r="J14" i="5"/>
  <c r="S14" i="5"/>
  <c r="H21" i="16"/>
  <c r="L21" i="16"/>
  <c r="Z11" i="13"/>
  <c r="AA11" i="13"/>
  <c r="W12" i="13"/>
  <c r="Y12" i="13"/>
  <c r="X12" i="13"/>
  <c r="C13" i="13"/>
  <c r="Y13" i="12"/>
  <c r="X13" i="12"/>
  <c r="W13" i="12"/>
  <c r="C14" i="12"/>
  <c r="Y13" i="5"/>
  <c r="X13" i="5"/>
  <c r="W13" i="5"/>
  <c r="C14" i="5"/>
  <c r="AA12" i="12"/>
  <c r="Z12" i="12"/>
  <c r="AA12" i="5"/>
  <c r="Z12" i="5"/>
  <c r="BI14" i="12" l="1"/>
  <c r="F14" i="12"/>
  <c r="BH14" i="12"/>
  <c r="D15" i="12"/>
  <c r="BG14" i="12"/>
  <c r="E14" i="12"/>
  <c r="T14" i="12" s="1"/>
  <c r="O13" i="13"/>
  <c r="BH15" i="13"/>
  <c r="D16" i="13"/>
  <c r="BG15" i="13"/>
  <c r="F15" i="13"/>
  <c r="E15" i="13"/>
  <c r="T15" i="13" s="1"/>
  <c r="S13" i="12"/>
  <c r="Q13" i="12"/>
  <c r="I13" i="12"/>
  <c r="J13" i="12"/>
  <c r="R13" i="12"/>
  <c r="O14" i="5"/>
  <c r="O12" i="12"/>
  <c r="J14" i="13"/>
  <c r="I14" i="13"/>
  <c r="R14" i="13"/>
  <c r="S14" i="13"/>
  <c r="Q14" i="13"/>
  <c r="H22" i="16"/>
  <c r="D23" i="16"/>
  <c r="L22" i="16"/>
  <c r="BG16" i="5"/>
  <c r="BH16" i="5"/>
  <c r="F16" i="5"/>
  <c r="D17" i="5"/>
  <c r="BI16" i="5"/>
  <c r="E16" i="5"/>
  <c r="T16" i="5" s="1"/>
  <c r="S15" i="5"/>
  <c r="I15" i="5"/>
  <c r="R15" i="5"/>
  <c r="Q15" i="5"/>
  <c r="J15" i="5"/>
  <c r="AA13" i="5"/>
  <c r="Z13" i="5"/>
  <c r="Z13" i="12"/>
  <c r="AA13" i="12"/>
  <c r="W14" i="5"/>
  <c r="Y14" i="5"/>
  <c r="X14" i="5"/>
  <c r="C15" i="5"/>
  <c r="Y14" i="12"/>
  <c r="X14" i="12"/>
  <c r="W14" i="12"/>
  <c r="C15" i="12"/>
  <c r="Y13" i="13"/>
  <c r="W13" i="13"/>
  <c r="X13" i="13"/>
  <c r="C14" i="13"/>
  <c r="AA12" i="13"/>
  <c r="Z12" i="13"/>
  <c r="O13" i="12" l="1"/>
  <c r="O14" i="13"/>
  <c r="F15" i="12"/>
  <c r="BH15" i="12"/>
  <c r="D16" i="12"/>
  <c r="BG15" i="12"/>
  <c r="E15" i="12"/>
  <c r="T15" i="12" s="1"/>
  <c r="BI15" i="12"/>
  <c r="R15" i="13"/>
  <c r="S15" i="13"/>
  <c r="I15" i="13"/>
  <c r="J15" i="13"/>
  <c r="Q15" i="13"/>
  <c r="Q14" i="12"/>
  <c r="I14" i="12"/>
  <c r="R14" i="12"/>
  <c r="S14" i="12"/>
  <c r="J14" i="12"/>
  <c r="F16" i="13"/>
  <c r="BG16" i="13"/>
  <c r="D17" i="13"/>
  <c r="BH16" i="13"/>
  <c r="E16" i="13"/>
  <c r="T16" i="13" s="1"/>
  <c r="H23" i="16"/>
  <c r="L23" i="16"/>
  <c r="D24" i="16"/>
  <c r="S16" i="5"/>
  <c r="I16" i="5"/>
  <c r="J16" i="5"/>
  <c r="Q16" i="5"/>
  <c r="R16" i="5"/>
  <c r="O15" i="5"/>
  <c r="BH17" i="5"/>
  <c r="BG17" i="5"/>
  <c r="F17" i="5"/>
  <c r="BI17" i="5"/>
  <c r="D18" i="5"/>
  <c r="E17" i="5"/>
  <c r="T17" i="5" s="1"/>
  <c r="X14" i="13"/>
  <c r="Y14" i="13"/>
  <c r="W14" i="13"/>
  <c r="C15" i="13"/>
  <c r="X15" i="12"/>
  <c r="W15" i="12"/>
  <c r="Y15" i="12"/>
  <c r="C16" i="12"/>
  <c r="AA13" i="13"/>
  <c r="Z13" i="13"/>
  <c r="AA14" i="12"/>
  <c r="Z14" i="12"/>
  <c r="Y15" i="5"/>
  <c r="X15" i="5"/>
  <c r="W15" i="5"/>
  <c r="C16" i="5"/>
  <c r="AA14" i="5"/>
  <c r="Z14" i="5"/>
  <c r="O14" i="12" l="1"/>
  <c r="E16" i="12"/>
  <c r="F16" i="12"/>
  <c r="D17" i="12"/>
  <c r="BH16" i="12"/>
  <c r="BI16" i="12"/>
  <c r="T16" i="12"/>
  <c r="BG16" i="12"/>
  <c r="O16" i="5"/>
  <c r="O15" i="13"/>
  <c r="R16" i="13"/>
  <c r="J16" i="13"/>
  <c r="Q16" i="13"/>
  <c r="S16" i="13"/>
  <c r="I16" i="13"/>
  <c r="I15" i="12"/>
  <c r="J15" i="12"/>
  <c r="R15" i="12"/>
  <c r="S15" i="12"/>
  <c r="Q15" i="12"/>
  <c r="BG17" i="13"/>
  <c r="F17" i="13"/>
  <c r="D18" i="13"/>
  <c r="BH17" i="13"/>
  <c r="E17" i="13"/>
  <c r="T17" i="13" s="1"/>
  <c r="D25" i="16"/>
  <c r="D26" i="16" s="1"/>
  <c r="L24" i="16"/>
  <c r="H24" i="16"/>
  <c r="BG18" i="5"/>
  <c r="BH18" i="5"/>
  <c r="D19" i="5"/>
  <c r="E18" i="5"/>
  <c r="T18" i="5" s="1"/>
  <c r="BI18" i="5"/>
  <c r="F18" i="5"/>
  <c r="S17" i="5"/>
  <c r="I17" i="5"/>
  <c r="Q17" i="5"/>
  <c r="R17" i="5"/>
  <c r="J17" i="5"/>
  <c r="Y16" i="5"/>
  <c r="X16" i="5"/>
  <c r="W16" i="5"/>
  <c r="C17" i="5"/>
  <c r="Z14" i="13"/>
  <c r="AA14" i="13"/>
  <c r="X15" i="13"/>
  <c r="Y15" i="13"/>
  <c r="W15" i="13"/>
  <c r="C16" i="13"/>
  <c r="AA15" i="5"/>
  <c r="Z15" i="5"/>
  <c r="AA15" i="12"/>
  <c r="Z15" i="12"/>
  <c r="Y16" i="12"/>
  <c r="X16" i="12"/>
  <c r="W16" i="12"/>
  <c r="C17" i="12"/>
  <c r="R17" i="13" l="1"/>
  <c r="Q17" i="13"/>
  <c r="J17" i="13"/>
  <c r="I17" i="13"/>
  <c r="S17" i="13"/>
  <c r="F17" i="12"/>
  <c r="D18" i="12"/>
  <c r="BG17" i="12"/>
  <c r="E17" i="12"/>
  <c r="T17" i="12" s="1"/>
  <c r="BH17" i="12"/>
  <c r="BI17" i="12"/>
  <c r="O15" i="12"/>
  <c r="J16" i="12"/>
  <c r="Q16" i="12"/>
  <c r="S16" i="12"/>
  <c r="I16" i="12"/>
  <c r="R16" i="12"/>
  <c r="O16" i="13"/>
  <c r="BH18" i="13"/>
  <c r="D19" i="13"/>
  <c r="BG18" i="13"/>
  <c r="F18" i="13"/>
  <c r="E18" i="13"/>
  <c r="T18" i="13" s="1"/>
  <c r="L26" i="16"/>
  <c r="H25" i="16"/>
  <c r="L25" i="16"/>
  <c r="D27" i="16"/>
  <c r="H26" i="16"/>
  <c r="O17" i="5"/>
  <c r="BG19" i="5"/>
  <c r="BH19" i="5"/>
  <c r="BI19" i="5"/>
  <c r="F19" i="5"/>
  <c r="E19" i="5"/>
  <c r="T19" i="5" s="1"/>
  <c r="D20" i="5"/>
  <c r="S18" i="5"/>
  <c r="J18" i="5"/>
  <c r="R18" i="5"/>
  <c r="Q18" i="5"/>
  <c r="I18" i="5"/>
  <c r="Z15" i="13"/>
  <c r="AA15" i="13"/>
  <c r="Z16" i="5"/>
  <c r="AA16" i="5"/>
  <c r="AA16" i="12"/>
  <c r="Z16" i="12"/>
  <c r="X16" i="13"/>
  <c r="Y16" i="13"/>
  <c r="W16" i="13"/>
  <c r="C17" i="13"/>
  <c r="X17" i="5"/>
  <c r="W17" i="5"/>
  <c r="Y17" i="5"/>
  <c r="C18" i="5"/>
  <c r="Y17" i="12"/>
  <c r="X17" i="12"/>
  <c r="W17" i="12"/>
  <c r="C18" i="12"/>
  <c r="BH18" i="12" l="1"/>
  <c r="F18" i="12"/>
  <c r="BG18" i="12"/>
  <c r="BI18" i="12"/>
  <c r="D19" i="12"/>
  <c r="E18" i="12"/>
  <c r="T18" i="12" s="1"/>
  <c r="O17" i="13"/>
  <c r="J18" i="13"/>
  <c r="I18" i="13"/>
  <c r="S18" i="13"/>
  <c r="R18" i="13"/>
  <c r="Q18" i="13"/>
  <c r="J17" i="12"/>
  <c r="Q17" i="12"/>
  <c r="S17" i="12"/>
  <c r="R17" i="12"/>
  <c r="I17" i="12"/>
  <c r="O16" i="12"/>
  <c r="BG19" i="13"/>
  <c r="F19" i="13"/>
  <c r="D20" i="13"/>
  <c r="E19" i="13"/>
  <c r="T19" i="13" s="1"/>
  <c r="BH19" i="13"/>
  <c r="H27" i="16"/>
  <c r="L27" i="16"/>
  <c r="O19" i="13"/>
  <c r="O18" i="5"/>
  <c r="I19" i="5"/>
  <c r="Q19" i="5"/>
  <c r="R19" i="5"/>
  <c r="S19" i="5"/>
  <c r="J19" i="5"/>
  <c r="O19" i="5" s="1"/>
  <c r="BG20" i="5"/>
  <c r="BH20" i="5"/>
  <c r="D21" i="5"/>
  <c r="E20" i="5"/>
  <c r="T20" i="5" s="1"/>
  <c r="F20" i="5"/>
  <c r="BI20" i="5"/>
  <c r="Y18" i="12"/>
  <c r="X18" i="12"/>
  <c r="W18" i="12"/>
  <c r="C19" i="12"/>
  <c r="X17" i="13"/>
  <c r="Y17" i="13"/>
  <c r="W17" i="13"/>
  <c r="C18" i="13"/>
  <c r="AA17" i="5"/>
  <c r="Z17" i="5"/>
  <c r="Z17" i="12"/>
  <c r="AA17" i="12"/>
  <c r="Y18" i="5"/>
  <c r="X18" i="5"/>
  <c r="W18" i="5"/>
  <c r="C19" i="5"/>
  <c r="Z16" i="13"/>
  <c r="AA16" i="13"/>
  <c r="O18" i="13" l="1"/>
  <c r="R19" i="13"/>
  <c r="J19" i="13"/>
  <c r="I19" i="13"/>
  <c r="Q19" i="13"/>
  <c r="S19" i="13"/>
  <c r="Q18" i="12"/>
  <c r="R18" i="12"/>
  <c r="S18" i="12"/>
  <c r="I18" i="12"/>
  <c r="J18" i="12"/>
  <c r="BH20" i="13"/>
  <c r="F20" i="13"/>
  <c r="BG20" i="13"/>
  <c r="D21" i="13"/>
  <c r="E20" i="13"/>
  <c r="T20" i="13" s="1"/>
  <c r="O17" i="12"/>
  <c r="D20" i="12"/>
  <c r="BH19" i="12"/>
  <c r="F19" i="12"/>
  <c r="BG19" i="12"/>
  <c r="E19" i="12"/>
  <c r="T19" i="12" s="1"/>
  <c r="BI19" i="12"/>
  <c r="BH21" i="5"/>
  <c r="BG21" i="5"/>
  <c r="F21" i="5"/>
  <c r="BI21" i="5"/>
  <c r="D22" i="5"/>
  <c r="E21" i="5"/>
  <c r="T21" i="5" s="1"/>
  <c r="S20" i="5"/>
  <c r="I20" i="5"/>
  <c r="J20" i="5"/>
  <c r="R20" i="5"/>
  <c r="Q20" i="5"/>
  <c r="O19" i="12"/>
  <c r="X19" i="5"/>
  <c r="W19" i="5"/>
  <c r="Y19" i="5"/>
  <c r="C20" i="5"/>
  <c r="Y19" i="12"/>
  <c r="X19" i="12"/>
  <c r="W19" i="12"/>
  <c r="C20" i="12"/>
  <c r="Z18" i="5"/>
  <c r="AA18" i="5"/>
  <c r="Z17" i="13"/>
  <c r="AA17" i="13"/>
  <c r="AA18" i="12"/>
  <c r="Z18" i="12"/>
  <c r="Y18" i="13"/>
  <c r="W18" i="13"/>
  <c r="X18" i="13"/>
  <c r="C19" i="13"/>
  <c r="O18" i="12" l="1"/>
  <c r="S19" i="12"/>
  <c r="Q19" i="12"/>
  <c r="J19" i="12"/>
  <c r="R19" i="12"/>
  <c r="I19" i="12"/>
  <c r="BH21" i="13"/>
  <c r="E21" i="13"/>
  <c r="T21" i="13" s="1"/>
  <c r="BG21" i="13"/>
  <c r="D22" i="13"/>
  <c r="F21" i="13"/>
  <c r="BI20" i="12"/>
  <c r="F20" i="12"/>
  <c r="E20" i="12"/>
  <c r="T20" i="12" s="1"/>
  <c r="BH20" i="12"/>
  <c r="D21" i="12"/>
  <c r="BG20" i="12"/>
  <c r="Q20" i="13"/>
  <c r="I20" i="13"/>
  <c r="J20" i="13"/>
  <c r="R20" i="13"/>
  <c r="S20" i="13"/>
  <c r="R21" i="5"/>
  <c r="Q21" i="5"/>
  <c r="S21" i="5"/>
  <c r="I21" i="5"/>
  <c r="J21" i="5"/>
  <c r="O20" i="5"/>
  <c r="BG22" i="5"/>
  <c r="BH22" i="5"/>
  <c r="D23" i="5"/>
  <c r="E22" i="5"/>
  <c r="T22" i="5" s="1"/>
  <c r="BI22" i="5"/>
  <c r="F22" i="5"/>
  <c r="Z19" i="12"/>
  <c r="AA19" i="12"/>
  <c r="X20" i="12"/>
  <c r="W20" i="12"/>
  <c r="Y20" i="12"/>
  <c r="C21" i="12"/>
  <c r="AA19" i="5"/>
  <c r="Z19" i="5"/>
  <c r="W19" i="13"/>
  <c r="Y19" i="13"/>
  <c r="X19" i="13"/>
  <c r="C20" i="13"/>
  <c r="AA18" i="13"/>
  <c r="Z18" i="13"/>
  <c r="Y20" i="5"/>
  <c r="X20" i="5"/>
  <c r="W20" i="5"/>
  <c r="C21" i="5"/>
  <c r="O20" i="13" l="1"/>
  <c r="I20" i="12"/>
  <c r="J20" i="12"/>
  <c r="Q20" i="12"/>
  <c r="R20" i="12"/>
  <c r="S20" i="12"/>
  <c r="F21" i="12"/>
  <c r="E21" i="12"/>
  <c r="T21" i="12" s="1"/>
  <c r="BH21" i="12"/>
  <c r="BI21" i="12"/>
  <c r="D22" i="12"/>
  <c r="BG21" i="12"/>
  <c r="Q21" i="13"/>
  <c r="J21" i="13"/>
  <c r="O21" i="13" s="1"/>
  <c r="I21" i="13"/>
  <c r="S21" i="13"/>
  <c r="R21" i="13"/>
  <c r="F22" i="13"/>
  <c r="E22" i="13"/>
  <c r="T22" i="13" s="1"/>
  <c r="D23" i="13"/>
  <c r="BG22" i="13"/>
  <c r="BH22" i="13"/>
  <c r="O21" i="5"/>
  <c r="BG23" i="5"/>
  <c r="BH23" i="5"/>
  <c r="BI23" i="5"/>
  <c r="F23" i="5"/>
  <c r="E23" i="5"/>
  <c r="T23" i="5" s="1"/>
  <c r="D24" i="5"/>
  <c r="S22" i="5"/>
  <c r="R22" i="5"/>
  <c r="I22" i="5"/>
  <c r="Q22" i="5"/>
  <c r="J22" i="5"/>
  <c r="Z20" i="5"/>
  <c r="AA20" i="5"/>
  <c r="X20" i="13"/>
  <c r="Y20" i="13"/>
  <c r="W20" i="13"/>
  <c r="C21" i="13"/>
  <c r="AA20" i="12"/>
  <c r="Z20" i="12"/>
  <c r="X21" i="5"/>
  <c r="W21" i="5"/>
  <c r="Y21" i="5"/>
  <c r="C22" i="5"/>
  <c r="AA19" i="13"/>
  <c r="Z19" i="13"/>
  <c r="W21" i="12"/>
  <c r="Y21" i="12"/>
  <c r="X21" i="12"/>
  <c r="C22" i="12"/>
  <c r="O20" i="12" l="1"/>
  <c r="D24" i="13"/>
  <c r="BH23" i="13"/>
  <c r="E23" i="13"/>
  <c r="T23" i="13" s="1"/>
  <c r="BG23" i="13"/>
  <c r="F23" i="13"/>
  <c r="BG22" i="12"/>
  <c r="D23" i="12"/>
  <c r="E22" i="12"/>
  <c r="T22" i="12" s="1"/>
  <c r="BH22" i="12"/>
  <c r="F22" i="12"/>
  <c r="BI22" i="12"/>
  <c r="Q21" i="12"/>
  <c r="S21" i="12"/>
  <c r="R21" i="12"/>
  <c r="I21" i="12"/>
  <c r="J21" i="12"/>
  <c r="I22" i="13"/>
  <c r="J22" i="13"/>
  <c r="Q22" i="13"/>
  <c r="R22" i="13"/>
  <c r="S22" i="13"/>
  <c r="O22" i="5"/>
  <c r="BG24" i="5"/>
  <c r="BH24" i="5"/>
  <c r="D25" i="5"/>
  <c r="E24" i="5"/>
  <c r="T24" i="5" s="1"/>
  <c r="F24" i="5"/>
  <c r="BI24" i="5"/>
  <c r="I23" i="5"/>
  <c r="J23" i="5"/>
  <c r="Q23" i="5"/>
  <c r="R23" i="5"/>
  <c r="S23" i="5"/>
  <c r="AA21" i="5"/>
  <c r="Z21" i="5"/>
  <c r="W22" i="12"/>
  <c r="Y22" i="12"/>
  <c r="X22" i="12"/>
  <c r="C23" i="12"/>
  <c r="AA21" i="12"/>
  <c r="Z21" i="12"/>
  <c r="Y22" i="5"/>
  <c r="X22" i="5"/>
  <c r="W22" i="5"/>
  <c r="C23" i="5"/>
  <c r="Z20" i="13"/>
  <c r="AA20" i="13"/>
  <c r="X21" i="13"/>
  <c r="W21" i="13"/>
  <c r="Y21" i="13"/>
  <c r="C22" i="13"/>
  <c r="O21" i="12" l="1"/>
  <c r="O23" i="5"/>
  <c r="D24" i="12"/>
  <c r="BH23" i="12"/>
  <c r="F23" i="12"/>
  <c r="BG23" i="12"/>
  <c r="E23" i="12"/>
  <c r="T23" i="12" s="1"/>
  <c r="BI23" i="12"/>
  <c r="O22" i="13"/>
  <c r="Q22" i="12"/>
  <c r="R22" i="12"/>
  <c r="I22" i="12"/>
  <c r="S22" i="12"/>
  <c r="J22" i="12"/>
  <c r="R23" i="13"/>
  <c r="Q23" i="13"/>
  <c r="S23" i="13"/>
  <c r="J23" i="13"/>
  <c r="I23" i="13"/>
  <c r="BG24" i="13"/>
  <c r="F24" i="13"/>
  <c r="D25" i="13"/>
  <c r="BH24" i="13"/>
  <c r="E24" i="13"/>
  <c r="T24" i="13" s="1"/>
  <c r="BH25" i="5"/>
  <c r="F25" i="5"/>
  <c r="BI25" i="5"/>
  <c r="D26" i="5"/>
  <c r="BG25" i="5"/>
  <c r="E25" i="5"/>
  <c r="T25" i="5" s="1"/>
  <c r="S24" i="5"/>
  <c r="Q24" i="5"/>
  <c r="R24" i="5"/>
  <c r="J24" i="5"/>
  <c r="I24" i="5"/>
  <c r="Z22" i="5"/>
  <c r="AA22" i="5"/>
  <c r="AA22" i="12"/>
  <c r="Z22" i="12"/>
  <c r="Z21" i="13"/>
  <c r="AA21" i="13"/>
  <c r="X23" i="5"/>
  <c r="W23" i="5"/>
  <c r="Y23" i="5"/>
  <c r="C24" i="5"/>
  <c r="W22" i="13"/>
  <c r="Y22" i="13"/>
  <c r="X22" i="13"/>
  <c r="C23" i="13"/>
  <c r="Y23" i="12"/>
  <c r="X23" i="12"/>
  <c r="W23" i="12"/>
  <c r="C24" i="12"/>
  <c r="O22" i="12" l="1"/>
  <c r="J24" i="13"/>
  <c r="O24" i="13" s="1"/>
  <c r="S24" i="13"/>
  <c r="R24" i="13"/>
  <c r="I24" i="13"/>
  <c r="Q24" i="13"/>
  <c r="Q23" i="12"/>
  <c r="J23" i="12"/>
  <c r="O23" i="12" s="1"/>
  <c r="I23" i="12"/>
  <c r="R23" i="12"/>
  <c r="S23" i="12"/>
  <c r="BI24" i="12"/>
  <c r="F24" i="12"/>
  <c r="BH24" i="12"/>
  <c r="D25" i="12"/>
  <c r="BG24" i="12"/>
  <c r="E24" i="12"/>
  <c r="T24" i="12" s="1"/>
  <c r="BG25" i="13"/>
  <c r="F25" i="13"/>
  <c r="E25" i="13"/>
  <c r="T25" i="13" s="1"/>
  <c r="BH25" i="13"/>
  <c r="D26" i="13"/>
  <c r="O23" i="13"/>
  <c r="O24" i="5"/>
  <c r="BG26" i="5"/>
  <c r="BH26" i="5"/>
  <c r="D27" i="5"/>
  <c r="E26" i="5"/>
  <c r="T26" i="5" s="1"/>
  <c r="BI26" i="5"/>
  <c r="F26" i="5"/>
  <c r="R25" i="5"/>
  <c r="Q25" i="5"/>
  <c r="S25" i="5"/>
  <c r="I25" i="5"/>
  <c r="J25" i="5"/>
  <c r="Z23" i="12"/>
  <c r="AA23" i="12"/>
  <c r="X24" i="12"/>
  <c r="W24" i="12"/>
  <c r="Y24" i="12"/>
  <c r="C25" i="12"/>
  <c r="Y23" i="13"/>
  <c r="W23" i="13"/>
  <c r="X23" i="13"/>
  <c r="C24" i="13"/>
  <c r="AA23" i="5"/>
  <c r="Z23" i="5"/>
  <c r="AA22" i="13"/>
  <c r="Z22" i="13"/>
  <c r="Y24" i="5"/>
  <c r="X24" i="5"/>
  <c r="W24" i="5"/>
  <c r="C25" i="5"/>
  <c r="Q24" i="12" l="1"/>
  <c r="R24" i="12"/>
  <c r="I24" i="12"/>
  <c r="S24" i="12"/>
  <c r="J24" i="12"/>
  <c r="O24" i="12" s="1"/>
  <c r="S25" i="13"/>
  <c r="I25" i="13"/>
  <c r="J25" i="13"/>
  <c r="O25" i="13" s="1"/>
  <c r="R25" i="13"/>
  <c r="Q25" i="13"/>
  <c r="D26" i="12"/>
  <c r="BH25" i="12"/>
  <c r="E25" i="12"/>
  <c r="T25" i="12" s="1"/>
  <c r="BG25" i="12"/>
  <c r="BI25" i="12"/>
  <c r="F25" i="12"/>
  <c r="BH26" i="13"/>
  <c r="E26" i="13"/>
  <c r="T26" i="13" s="1"/>
  <c r="BG26" i="13"/>
  <c r="D27" i="13"/>
  <c r="F26" i="13"/>
  <c r="O25" i="5"/>
  <c r="BG27" i="5"/>
  <c r="BH27" i="5"/>
  <c r="D28" i="5"/>
  <c r="F27" i="5"/>
  <c r="BI27" i="5"/>
  <c r="E27" i="5"/>
  <c r="T27" i="5" s="1"/>
  <c r="S26" i="5"/>
  <c r="I26" i="5"/>
  <c r="R26" i="5"/>
  <c r="Q26" i="5"/>
  <c r="J26" i="5"/>
  <c r="AA24" i="12"/>
  <c r="Z24" i="12"/>
  <c r="X25" i="5"/>
  <c r="W25" i="5"/>
  <c r="Y25" i="5"/>
  <c r="C26" i="5"/>
  <c r="X24" i="13"/>
  <c r="Y24" i="13"/>
  <c r="W24" i="13"/>
  <c r="C25" i="13"/>
  <c r="Y25" i="12"/>
  <c r="X25" i="12"/>
  <c r="W25" i="12"/>
  <c r="C26" i="12"/>
  <c r="AA23" i="13"/>
  <c r="Z23" i="13"/>
  <c r="Z24" i="5"/>
  <c r="AA24" i="5"/>
  <c r="BH27" i="13" l="1"/>
  <c r="BG27" i="13"/>
  <c r="F27" i="13"/>
  <c r="D28" i="13"/>
  <c r="E27" i="13"/>
  <c r="T27" i="13" s="1"/>
  <c r="J25" i="12"/>
  <c r="Q25" i="12"/>
  <c r="S25" i="12"/>
  <c r="R25" i="12"/>
  <c r="I25" i="12"/>
  <c r="BH26" i="12"/>
  <c r="F26" i="12"/>
  <c r="BG26" i="12"/>
  <c r="BI26" i="12"/>
  <c r="D27" i="12"/>
  <c r="E26" i="12"/>
  <c r="T26" i="12" s="1"/>
  <c r="J26" i="13"/>
  <c r="Q26" i="13"/>
  <c r="S26" i="13"/>
  <c r="R26" i="13"/>
  <c r="I26" i="13"/>
  <c r="O26" i="5"/>
  <c r="BG28" i="5"/>
  <c r="BH28" i="5"/>
  <c r="BI28" i="5"/>
  <c r="F28" i="5"/>
  <c r="D29" i="5"/>
  <c r="E28" i="5"/>
  <c r="T28" i="5" s="1"/>
  <c r="S27" i="5"/>
  <c r="J27" i="5"/>
  <c r="R27" i="5"/>
  <c r="I27" i="5"/>
  <c r="Q27" i="5"/>
  <c r="AA25" i="12"/>
  <c r="Z25" i="12"/>
  <c r="X25" i="13"/>
  <c r="Y25" i="13"/>
  <c r="W25" i="13"/>
  <c r="C26" i="13"/>
  <c r="Y26" i="5"/>
  <c r="X26" i="5"/>
  <c r="W26" i="5"/>
  <c r="C27" i="5"/>
  <c r="X26" i="12"/>
  <c r="W26" i="12"/>
  <c r="Y26" i="12"/>
  <c r="C27" i="12"/>
  <c r="Z24" i="13"/>
  <c r="AA24" i="13"/>
  <c r="AA25" i="5"/>
  <c r="Z25" i="5"/>
  <c r="O26" i="13" l="1"/>
  <c r="R27" i="13"/>
  <c r="I27" i="13"/>
  <c r="S27" i="13"/>
  <c r="Q27" i="13"/>
  <c r="J27" i="13"/>
  <c r="I26" i="12"/>
  <c r="S26" i="12"/>
  <c r="J26" i="12"/>
  <c r="Q26" i="12"/>
  <c r="R26" i="12"/>
  <c r="BH27" i="12"/>
  <c r="BG27" i="12"/>
  <c r="D28" i="12"/>
  <c r="F27" i="12"/>
  <c r="BI27" i="12"/>
  <c r="E27" i="12"/>
  <c r="T27" i="12" s="1"/>
  <c r="O27" i="5"/>
  <c r="O25" i="12"/>
  <c r="D29" i="13"/>
  <c r="E28" i="13"/>
  <c r="T28" i="13" s="1"/>
  <c r="BG28" i="13"/>
  <c r="F28" i="13"/>
  <c r="BH28" i="13"/>
  <c r="BH29" i="5"/>
  <c r="BG29" i="5"/>
  <c r="F29" i="5"/>
  <c r="D30" i="5"/>
  <c r="E29" i="5"/>
  <c r="T29" i="5" s="1"/>
  <c r="BI29" i="5"/>
  <c r="R28" i="5"/>
  <c r="Q28" i="5"/>
  <c r="I28" i="5"/>
  <c r="S28" i="5"/>
  <c r="J28" i="5"/>
  <c r="Z26" i="5"/>
  <c r="AA26" i="5"/>
  <c r="Z25" i="13"/>
  <c r="AA25" i="13"/>
  <c r="Y26" i="13"/>
  <c r="W26" i="13"/>
  <c r="X26" i="13"/>
  <c r="C27" i="13"/>
  <c r="AA26" i="12"/>
  <c r="Z26" i="12"/>
  <c r="W27" i="5"/>
  <c r="Y27" i="5"/>
  <c r="X27" i="5"/>
  <c r="C28" i="5"/>
  <c r="W27" i="12"/>
  <c r="Y27" i="12"/>
  <c r="X27" i="12"/>
  <c r="C28" i="12"/>
  <c r="Q27" i="12" l="1"/>
  <c r="I27" i="12"/>
  <c r="R27" i="12"/>
  <c r="S27" i="12"/>
  <c r="J27" i="12"/>
  <c r="O26" i="12"/>
  <c r="O27" i="13"/>
  <c r="BH29" i="13"/>
  <c r="F29" i="13"/>
  <c r="BG29" i="13"/>
  <c r="D30" i="13"/>
  <c r="E29" i="13"/>
  <c r="T29" i="13" s="1"/>
  <c r="Q28" i="13"/>
  <c r="S28" i="13"/>
  <c r="J28" i="13"/>
  <c r="I28" i="13"/>
  <c r="R28" i="13"/>
  <c r="BG28" i="12"/>
  <c r="D29" i="12"/>
  <c r="BI28" i="12"/>
  <c r="E28" i="12"/>
  <c r="T28" i="12" s="1"/>
  <c r="BH28" i="12"/>
  <c r="F28" i="12"/>
  <c r="O28" i="5"/>
  <c r="BG30" i="5"/>
  <c r="BH30" i="5"/>
  <c r="F30" i="5"/>
  <c r="E30" i="5"/>
  <c r="T30" i="5" s="1"/>
  <c r="D31" i="5"/>
  <c r="BI30" i="5"/>
  <c r="S29" i="5"/>
  <c r="J29" i="5"/>
  <c r="I29" i="5"/>
  <c r="R29" i="5"/>
  <c r="Q29" i="5"/>
  <c r="AA27" i="12"/>
  <c r="Z27" i="12"/>
  <c r="AA27" i="5"/>
  <c r="Z27" i="5"/>
  <c r="AA26" i="13"/>
  <c r="Z26" i="13"/>
  <c r="Y28" i="12"/>
  <c r="X28" i="12"/>
  <c r="W28" i="12"/>
  <c r="C29" i="12"/>
  <c r="Y28" i="5"/>
  <c r="X28" i="5"/>
  <c r="W28" i="5"/>
  <c r="C29" i="5"/>
  <c r="X27" i="13"/>
  <c r="Y27" i="13"/>
  <c r="W27" i="13"/>
  <c r="C28" i="13"/>
  <c r="S29" i="13" l="1"/>
  <c r="Q29" i="13"/>
  <c r="I29" i="13"/>
  <c r="J29" i="13"/>
  <c r="O29" i="13" s="1"/>
  <c r="R29" i="13"/>
  <c r="O27" i="12"/>
  <c r="J28" i="12"/>
  <c r="S28" i="12"/>
  <c r="R28" i="12"/>
  <c r="Q28" i="12"/>
  <c r="I28" i="12"/>
  <c r="D30" i="12"/>
  <c r="BG29" i="12"/>
  <c r="BI29" i="12"/>
  <c r="F29" i="12"/>
  <c r="E29" i="12"/>
  <c r="T29" i="12" s="1"/>
  <c r="BH29" i="12"/>
  <c r="O28" i="13"/>
  <c r="BG30" i="13"/>
  <c r="D31" i="13"/>
  <c r="BH30" i="13"/>
  <c r="F30" i="13"/>
  <c r="E30" i="13"/>
  <c r="T30" i="13" s="1"/>
  <c r="I30" i="5"/>
  <c r="R30" i="5"/>
  <c r="S30" i="5"/>
  <c r="J30" i="5"/>
  <c r="Q30" i="5"/>
  <c r="O29" i="5"/>
  <c r="BG31" i="5"/>
  <c r="BH31" i="5"/>
  <c r="D32" i="5"/>
  <c r="E31" i="5"/>
  <c r="T31" i="5" s="1"/>
  <c r="BI31" i="5"/>
  <c r="F31" i="5"/>
  <c r="AA28" i="5"/>
  <c r="Z28" i="5"/>
  <c r="X29" i="12"/>
  <c r="W29" i="12"/>
  <c r="Y29" i="12"/>
  <c r="C30" i="12"/>
  <c r="Z27" i="13"/>
  <c r="AA27" i="13"/>
  <c r="W29" i="5"/>
  <c r="Y29" i="5"/>
  <c r="X29" i="5"/>
  <c r="C30" i="5"/>
  <c r="Z28" i="12"/>
  <c r="AA28" i="12"/>
  <c r="X28" i="13"/>
  <c r="Y28" i="13"/>
  <c r="W28" i="13"/>
  <c r="C29" i="13"/>
  <c r="BG31" i="13" l="1"/>
  <c r="BH31" i="13"/>
  <c r="D32" i="13"/>
  <c r="E31" i="13"/>
  <c r="T31" i="13" s="1"/>
  <c r="F31" i="13"/>
  <c r="D31" i="12"/>
  <c r="BH30" i="12"/>
  <c r="E30" i="12"/>
  <c r="T30" i="12" s="1"/>
  <c r="BG30" i="12"/>
  <c r="F30" i="12"/>
  <c r="BI30" i="12"/>
  <c r="I29" i="12"/>
  <c r="S29" i="12"/>
  <c r="J29" i="12"/>
  <c r="Q29" i="12"/>
  <c r="R29" i="12"/>
  <c r="O28" i="12"/>
  <c r="R30" i="13"/>
  <c r="I30" i="13"/>
  <c r="S30" i="13"/>
  <c r="J30" i="13"/>
  <c r="Q30" i="13"/>
  <c r="O30" i="5"/>
  <c r="BG32" i="5"/>
  <c r="BH32" i="5"/>
  <c r="D33" i="5"/>
  <c r="BI32" i="5"/>
  <c r="F32" i="5"/>
  <c r="E32" i="5"/>
  <c r="T32" i="5" s="1"/>
  <c r="S31" i="5"/>
  <c r="R31" i="5"/>
  <c r="Q31" i="5"/>
  <c r="I31" i="5"/>
  <c r="J31" i="5"/>
  <c r="AA29" i="5"/>
  <c r="Z29" i="5"/>
  <c r="W29" i="13"/>
  <c r="Y29" i="13"/>
  <c r="X29" i="13"/>
  <c r="C30" i="13"/>
  <c r="Z28" i="13"/>
  <c r="AA28" i="13"/>
  <c r="AA29" i="12"/>
  <c r="Z29" i="12"/>
  <c r="Y30" i="5"/>
  <c r="X30" i="5"/>
  <c r="W30" i="5"/>
  <c r="C31" i="5"/>
  <c r="X30" i="12"/>
  <c r="W30" i="12"/>
  <c r="Y30" i="12"/>
  <c r="C31" i="12"/>
  <c r="BH32" i="13" l="1"/>
  <c r="D33" i="13"/>
  <c r="F32" i="13"/>
  <c r="E32" i="13"/>
  <c r="T32" i="13" s="1"/>
  <c r="BG32" i="13"/>
  <c r="O29" i="12"/>
  <c r="S30" i="12"/>
  <c r="Q30" i="12"/>
  <c r="R30" i="12"/>
  <c r="I30" i="12"/>
  <c r="J30" i="12"/>
  <c r="O30" i="12" s="1"/>
  <c r="BG31" i="12"/>
  <c r="F31" i="12"/>
  <c r="D32" i="12"/>
  <c r="BI31" i="12"/>
  <c r="E31" i="12"/>
  <c r="T31" i="12" s="1"/>
  <c r="BH31" i="12"/>
  <c r="O30" i="13"/>
  <c r="I31" i="13"/>
  <c r="S31" i="13"/>
  <c r="Q31" i="13"/>
  <c r="J31" i="13"/>
  <c r="R31" i="13"/>
  <c r="O31" i="5"/>
  <c r="BH33" i="5"/>
  <c r="BG33" i="5"/>
  <c r="BI33" i="5"/>
  <c r="D34" i="5"/>
  <c r="F33" i="5"/>
  <c r="E33" i="5"/>
  <c r="T33" i="5" s="1"/>
  <c r="R32" i="5"/>
  <c r="S32" i="5"/>
  <c r="Q32" i="5"/>
  <c r="I32" i="5"/>
  <c r="J32" i="5"/>
  <c r="W31" i="5"/>
  <c r="Y31" i="5"/>
  <c r="X31" i="5"/>
  <c r="C32" i="5"/>
  <c r="AA30" i="12"/>
  <c r="Z30" i="12"/>
  <c r="Y31" i="12"/>
  <c r="X31" i="12"/>
  <c r="W31" i="12"/>
  <c r="C32" i="12"/>
  <c r="AA30" i="5"/>
  <c r="Z30" i="5"/>
  <c r="W30" i="13"/>
  <c r="Y30" i="13"/>
  <c r="X30" i="13"/>
  <c r="C31" i="13"/>
  <c r="AA29" i="13"/>
  <c r="Z29" i="13"/>
  <c r="I32" i="13" l="1"/>
  <c r="S32" i="13"/>
  <c r="R32" i="13"/>
  <c r="Q32" i="13"/>
  <c r="J32" i="13"/>
  <c r="O32" i="13" s="1"/>
  <c r="O31" i="13"/>
  <c r="BH32" i="12"/>
  <c r="F32" i="12"/>
  <c r="BG32" i="12"/>
  <c r="D33" i="12"/>
  <c r="BI32" i="12"/>
  <c r="E32" i="12"/>
  <c r="T32" i="12" s="1"/>
  <c r="D34" i="13"/>
  <c r="F33" i="13"/>
  <c r="BH33" i="13"/>
  <c r="E33" i="13"/>
  <c r="T33" i="13" s="1"/>
  <c r="BG33" i="13"/>
  <c r="O32" i="5"/>
  <c r="J31" i="12"/>
  <c r="S31" i="12"/>
  <c r="Q31" i="12"/>
  <c r="R31" i="12"/>
  <c r="I31" i="12"/>
  <c r="BG34" i="5"/>
  <c r="BH34" i="5"/>
  <c r="BI34" i="5"/>
  <c r="F34" i="5"/>
  <c r="D35" i="5"/>
  <c r="E34" i="5"/>
  <c r="T34" i="5" s="1"/>
  <c r="S33" i="5"/>
  <c r="R33" i="5"/>
  <c r="I33" i="5"/>
  <c r="Q33" i="5"/>
  <c r="J33" i="5"/>
  <c r="AA30" i="13"/>
  <c r="Z30" i="13"/>
  <c r="W32" i="12"/>
  <c r="Y32" i="12"/>
  <c r="X32" i="12"/>
  <c r="C33" i="12"/>
  <c r="Y32" i="5"/>
  <c r="X32" i="5"/>
  <c r="W32" i="5"/>
  <c r="C33" i="5"/>
  <c r="Y31" i="13"/>
  <c r="W31" i="13"/>
  <c r="X31" i="13"/>
  <c r="C32" i="13"/>
  <c r="Z31" i="12"/>
  <c r="AA31" i="12"/>
  <c r="AA31" i="5"/>
  <c r="Z31" i="5"/>
  <c r="J32" i="12" l="1"/>
  <c r="Q32" i="12"/>
  <c r="I32" i="12"/>
  <c r="R32" i="12"/>
  <c r="S32" i="12"/>
  <c r="O31" i="12"/>
  <c r="J33" i="13"/>
  <c r="O33" i="13" s="1"/>
  <c r="I33" i="13"/>
  <c r="R33" i="13"/>
  <c r="S33" i="13"/>
  <c r="Q33" i="13"/>
  <c r="BH33" i="12"/>
  <c r="BI33" i="12"/>
  <c r="D34" i="12"/>
  <c r="E33" i="12"/>
  <c r="T33" i="12" s="1"/>
  <c r="F33" i="12"/>
  <c r="BG33" i="12"/>
  <c r="E34" i="13"/>
  <c r="T34" i="13" s="1"/>
  <c r="BH34" i="13"/>
  <c r="F34" i="13"/>
  <c r="BG34" i="13"/>
  <c r="D35" i="13"/>
  <c r="I34" i="5"/>
  <c r="Q34" i="5"/>
  <c r="J34" i="5"/>
  <c r="S34" i="5"/>
  <c r="R34" i="5"/>
  <c r="O33" i="5"/>
  <c r="O33" i="12"/>
  <c r="BG35" i="5"/>
  <c r="BH35" i="5"/>
  <c r="F35" i="5"/>
  <c r="BI35" i="5"/>
  <c r="E35" i="5"/>
  <c r="T35" i="5" s="1"/>
  <c r="D36" i="5"/>
  <c r="Y32" i="13"/>
  <c r="W32" i="13"/>
  <c r="X32" i="13"/>
  <c r="C33" i="13"/>
  <c r="AA31" i="13"/>
  <c r="Z31" i="13"/>
  <c r="AA32" i="5"/>
  <c r="Z32" i="5"/>
  <c r="Y33" i="12"/>
  <c r="X33" i="12"/>
  <c r="W33" i="12"/>
  <c r="C34" i="12"/>
  <c r="AA32" i="12"/>
  <c r="Z32" i="12"/>
  <c r="W33" i="5"/>
  <c r="Y33" i="5"/>
  <c r="X33" i="5"/>
  <c r="C34" i="5"/>
  <c r="O32" i="12" l="1"/>
  <c r="Q34" i="13"/>
  <c r="J34" i="13"/>
  <c r="S34" i="13"/>
  <c r="R34" i="13"/>
  <c r="I34" i="13"/>
  <c r="J33" i="12"/>
  <c r="S33" i="12"/>
  <c r="I33" i="12"/>
  <c r="Q33" i="12"/>
  <c r="R33" i="12"/>
  <c r="D36" i="13"/>
  <c r="BG35" i="13"/>
  <c r="E35" i="13"/>
  <c r="T35" i="13" s="1"/>
  <c r="BH35" i="13"/>
  <c r="F35" i="13"/>
  <c r="BH34" i="12"/>
  <c r="E34" i="12"/>
  <c r="T34" i="12" s="1"/>
  <c r="D35" i="12"/>
  <c r="BG34" i="12"/>
  <c r="BI34" i="12"/>
  <c r="F34" i="12"/>
  <c r="O34" i="5"/>
  <c r="S35" i="5"/>
  <c r="J35" i="5"/>
  <c r="Q35" i="5"/>
  <c r="R35" i="5"/>
  <c r="I35" i="5"/>
  <c r="BG36" i="5"/>
  <c r="BH36" i="5"/>
  <c r="D37" i="5"/>
  <c r="E36" i="5"/>
  <c r="T36" i="5" s="1"/>
  <c r="BI36" i="5"/>
  <c r="F36" i="5"/>
  <c r="Y34" i="5"/>
  <c r="X34" i="5"/>
  <c r="W34" i="5"/>
  <c r="C35" i="5"/>
  <c r="Y34" i="12"/>
  <c r="X34" i="12"/>
  <c r="W34" i="12"/>
  <c r="C35" i="12"/>
  <c r="AA33" i="5"/>
  <c r="Z33" i="5"/>
  <c r="W33" i="13"/>
  <c r="Y33" i="13"/>
  <c r="X33" i="13"/>
  <c r="C34" i="13"/>
  <c r="Z33" i="12"/>
  <c r="AA33" i="12"/>
  <c r="AA32" i="13"/>
  <c r="Z32" i="13"/>
  <c r="Q35" i="13" l="1"/>
  <c r="I35" i="13"/>
  <c r="S35" i="13"/>
  <c r="J35" i="13"/>
  <c r="R35" i="13"/>
  <c r="BG36" i="13"/>
  <c r="E36" i="13"/>
  <c r="T36" i="13" s="1"/>
  <c r="BH36" i="13"/>
  <c r="D37" i="13"/>
  <c r="F36" i="13"/>
  <c r="BG35" i="12"/>
  <c r="F35" i="12"/>
  <c r="D36" i="12"/>
  <c r="E35" i="12"/>
  <c r="T35" i="12" s="1"/>
  <c r="BH35" i="12"/>
  <c r="BI35" i="12"/>
  <c r="O34" i="13"/>
  <c r="Q34" i="12"/>
  <c r="R34" i="12"/>
  <c r="I34" i="12"/>
  <c r="J34" i="12"/>
  <c r="S34" i="12"/>
  <c r="S36" i="5"/>
  <c r="Q36" i="5"/>
  <c r="I36" i="5"/>
  <c r="J36" i="5"/>
  <c r="R36" i="5"/>
  <c r="O35" i="5"/>
  <c r="BH37" i="5"/>
  <c r="BG37" i="5"/>
  <c r="BI37" i="5"/>
  <c r="D38" i="5"/>
  <c r="F37" i="5"/>
  <c r="E37" i="5"/>
  <c r="T37" i="5" s="1"/>
  <c r="W34" i="13"/>
  <c r="Y34" i="13"/>
  <c r="X34" i="13"/>
  <c r="C35" i="13"/>
  <c r="Z34" i="12"/>
  <c r="AA34" i="12"/>
  <c r="W35" i="5"/>
  <c r="Y35" i="5"/>
  <c r="X35" i="5"/>
  <c r="C36" i="5"/>
  <c r="AA33" i="13"/>
  <c r="Z33" i="13"/>
  <c r="X35" i="12"/>
  <c r="W35" i="12"/>
  <c r="Y35" i="12"/>
  <c r="C36" i="12"/>
  <c r="AA34" i="5"/>
  <c r="Z34" i="5"/>
  <c r="O34" i="12" l="1"/>
  <c r="O35" i="13"/>
  <c r="Q35" i="12"/>
  <c r="I35" i="12"/>
  <c r="S35" i="12"/>
  <c r="R35" i="12"/>
  <c r="J35" i="12"/>
  <c r="I36" i="13"/>
  <c r="S36" i="13"/>
  <c r="J36" i="13"/>
  <c r="R36" i="13"/>
  <c r="Q36" i="13"/>
  <c r="BH36" i="12"/>
  <c r="F36" i="12"/>
  <c r="BG36" i="12"/>
  <c r="D37" i="12"/>
  <c r="BI36" i="12"/>
  <c r="E36" i="12"/>
  <c r="T36" i="12" s="1"/>
  <c r="F37" i="13"/>
  <c r="BH37" i="13"/>
  <c r="E37" i="13"/>
  <c r="T37" i="13" s="1"/>
  <c r="BG37" i="13"/>
  <c r="D38" i="13"/>
  <c r="O36" i="5"/>
  <c r="S37" i="5"/>
  <c r="R37" i="5"/>
  <c r="I37" i="5"/>
  <c r="J37" i="5"/>
  <c r="Q37" i="5"/>
  <c r="BG38" i="5"/>
  <c r="BH38" i="5"/>
  <c r="BI38" i="5"/>
  <c r="D39" i="5"/>
  <c r="F38" i="5"/>
  <c r="E38" i="5"/>
  <c r="T38" i="5" s="1"/>
  <c r="W36" i="12"/>
  <c r="Y36" i="12"/>
  <c r="X36" i="12"/>
  <c r="C37" i="12"/>
  <c r="Y36" i="5"/>
  <c r="X36" i="5"/>
  <c r="W36" i="5"/>
  <c r="C37" i="5"/>
  <c r="C38" i="5" s="1"/>
  <c r="X35" i="13"/>
  <c r="Y35" i="13"/>
  <c r="W35" i="13"/>
  <c r="C36" i="13"/>
  <c r="AA35" i="12"/>
  <c r="Z35" i="12"/>
  <c r="AA35" i="5"/>
  <c r="Z35" i="5"/>
  <c r="AA34" i="13"/>
  <c r="Z34" i="13"/>
  <c r="O35" i="12" l="1"/>
  <c r="O36" i="13"/>
  <c r="BH38" i="13"/>
  <c r="BG38" i="13"/>
  <c r="D39" i="13"/>
  <c r="F38" i="13"/>
  <c r="E38" i="13"/>
  <c r="T38" i="13" s="1"/>
  <c r="I37" i="13"/>
  <c r="R37" i="13"/>
  <c r="J37" i="13"/>
  <c r="S37" i="13"/>
  <c r="Q37" i="13"/>
  <c r="S36" i="12"/>
  <c r="Q36" i="12"/>
  <c r="J36" i="12"/>
  <c r="I36" i="12"/>
  <c r="R36" i="12"/>
  <c r="F37" i="12"/>
  <c r="BG37" i="12"/>
  <c r="D38" i="12"/>
  <c r="BH37" i="12"/>
  <c r="E37" i="12"/>
  <c r="T37" i="12" s="1"/>
  <c r="BI37" i="12"/>
  <c r="X38" i="5"/>
  <c r="W38" i="5"/>
  <c r="Y38" i="5"/>
  <c r="O37" i="5"/>
  <c r="BG39" i="5"/>
  <c r="BH39" i="5"/>
  <c r="F39" i="5"/>
  <c r="E39" i="5"/>
  <c r="T39" i="5" s="1"/>
  <c r="D40" i="5"/>
  <c r="BI39" i="5"/>
  <c r="C39" i="5"/>
  <c r="S38" i="5"/>
  <c r="Q38" i="5"/>
  <c r="I38" i="5"/>
  <c r="R38" i="5"/>
  <c r="J38" i="5"/>
  <c r="W37" i="5"/>
  <c r="Y37" i="5"/>
  <c r="X37" i="5"/>
  <c r="X36" i="13"/>
  <c r="Y36" i="13"/>
  <c r="W36" i="13"/>
  <c r="C37" i="13"/>
  <c r="C38" i="13" s="1"/>
  <c r="Y37" i="12"/>
  <c r="X37" i="12"/>
  <c r="W37" i="12"/>
  <c r="AA36" i="5"/>
  <c r="Z36" i="5"/>
  <c r="AA36" i="12"/>
  <c r="Z36" i="12"/>
  <c r="Z35" i="13"/>
  <c r="AA35" i="13"/>
  <c r="BG38" i="12" l="1"/>
  <c r="E38" i="12"/>
  <c r="T38" i="12" s="1"/>
  <c r="F38" i="12"/>
  <c r="D39" i="12"/>
  <c r="BH38" i="12"/>
  <c r="BI38" i="12"/>
  <c r="O38" i="5"/>
  <c r="J37" i="12"/>
  <c r="R37" i="12"/>
  <c r="Q37" i="12"/>
  <c r="I37" i="12"/>
  <c r="S37" i="12"/>
  <c r="O36" i="12"/>
  <c r="C38" i="12"/>
  <c r="O37" i="13"/>
  <c r="S38" i="13"/>
  <c r="R38" i="13"/>
  <c r="Q38" i="13"/>
  <c r="I38" i="13"/>
  <c r="J38" i="13"/>
  <c r="O38" i="13" s="1"/>
  <c r="E39" i="13"/>
  <c r="T39" i="13" s="1"/>
  <c r="F39" i="13"/>
  <c r="BH39" i="13"/>
  <c r="D40" i="13"/>
  <c r="BG39" i="13"/>
  <c r="W38" i="13"/>
  <c r="X38" i="13"/>
  <c r="Y38" i="13"/>
  <c r="C39" i="13"/>
  <c r="AA38" i="5"/>
  <c r="Z38" i="5"/>
  <c r="Y39" i="5"/>
  <c r="X39" i="5"/>
  <c r="W39" i="5"/>
  <c r="S39" i="5"/>
  <c r="Q39" i="5"/>
  <c r="R39" i="5"/>
  <c r="I39" i="5"/>
  <c r="J39" i="5"/>
  <c r="O39" i="5" s="1"/>
  <c r="BG40" i="5"/>
  <c r="BH40" i="5"/>
  <c r="F40" i="5"/>
  <c r="E40" i="5"/>
  <c r="T40" i="5" s="1"/>
  <c r="D41" i="5"/>
  <c r="BI40" i="5"/>
  <c r="C40" i="5"/>
  <c r="Y37" i="13"/>
  <c r="W37" i="13"/>
  <c r="X37" i="13"/>
  <c r="AA37" i="5"/>
  <c r="Z37" i="5"/>
  <c r="AA37" i="12"/>
  <c r="Z37" i="12"/>
  <c r="Z36" i="13"/>
  <c r="AA36" i="13"/>
  <c r="E40" i="13" l="1"/>
  <c r="T40" i="13" s="1"/>
  <c r="F40" i="13"/>
  <c r="BG40" i="13"/>
  <c r="D41" i="13"/>
  <c r="BH40" i="13"/>
  <c r="O37" i="12"/>
  <c r="F39" i="12"/>
  <c r="D40" i="12"/>
  <c r="BG39" i="12"/>
  <c r="C39" i="12"/>
  <c r="BH39" i="12"/>
  <c r="E39" i="12"/>
  <c r="T39" i="12" s="1"/>
  <c r="BI39" i="12"/>
  <c r="R38" i="12"/>
  <c r="S38" i="12"/>
  <c r="I38" i="12"/>
  <c r="Q38" i="12"/>
  <c r="J38" i="12"/>
  <c r="S39" i="13"/>
  <c r="Q39" i="13"/>
  <c r="I39" i="13"/>
  <c r="J39" i="13"/>
  <c r="R39" i="13"/>
  <c r="Y38" i="12"/>
  <c r="X38" i="12"/>
  <c r="W38" i="12"/>
  <c r="X39" i="13"/>
  <c r="Y39" i="13"/>
  <c r="C40" i="13"/>
  <c r="W39" i="13"/>
  <c r="Z38" i="13"/>
  <c r="AA38" i="13"/>
  <c r="BH41" i="5"/>
  <c r="D42" i="5"/>
  <c r="E41" i="5"/>
  <c r="T41" i="5" s="1"/>
  <c r="BG41" i="5"/>
  <c r="F41" i="5"/>
  <c r="BI41" i="5"/>
  <c r="C41" i="5"/>
  <c r="W40" i="5"/>
  <c r="Y40" i="5"/>
  <c r="X40" i="5"/>
  <c r="AA39" i="5"/>
  <c r="Z39" i="5"/>
  <c r="S40" i="5"/>
  <c r="I40" i="5"/>
  <c r="J40" i="5"/>
  <c r="R40" i="5"/>
  <c r="Q40" i="5"/>
  <c r="AA37" i="13"/>
  <c r="Z37" i="13"/>
  <c r="O38" i="12" l="1"/>
  <c r="O39" i="13"/>
  <c r="S39" i="12"/>
  <c r="J39" i="12"/>
  <c r="R39" i="12"/>
  <c r="I39" i="12"/>
  <c r="Q39" i="12"/>
  <c r="AA38" i="12"/>
  <c r="Z38" i="12"/>
  <c r="W39" i="12"/>
  <c r="X39" i="12"/>
  <c r="Y39" i="12"/>
  <c r="I40" i="13"/>
  <c r="S40" i="13"/>
  <c r="Q40" i="13"/>
  <c r="J40" i="13"/>
  <c r="R40" i="13"/>
  <c r="BI40" i="12"/>
  <c r="D41" i="12"/>
  <c r="E40" i="12"/>
  <c r="T40" i="12" s="1"/>
  <c r="BG40" i="12"/>
  <c r="BH40" i="12"/>
  <c r="F40" i="12"/>
  <c r="C40" i="12"/>
  <c r="BH41" i="13"/>
  <c r="E41" i="13"/>
  <c r="T41" i="13" s="1"/>
  <c r="BG41" i="13"/>
  <c r="D42" i="13"/>
  <c r="F41" i="13"/>
  <c r="Y40" i="13"/>
  <c r="X40" i="13"/>
  <c r="C41" i="13"/>
  <c r="W40" i="13"/>
  <c r="AA39" i="13"/>
  <c r="Z39" i="13"/>
  <c r="O40" i="5"/>
  <c r="W41" i="5"/>
  <c r="Y41" i="5"/>
  <c r="X41" i="5"/>
  <c r="BG42" i="5"/>
  <c r="BH42" i="5"/>
  <c r="BI42" i="5"/>
  <c r="F42" i="5"/>
  <c r="E42" i="5"/>
  <c r="T42" i="5" s="1"/>
  <c r="D43" i="5"/>
  <c r="C42" i="5"/>
  <c r="I41" i="5"/>
  <c r="J41" i="5"/>
  <c r="Q41" i="5"/>
  <c r="S41" i="5"/>
  <c r="R41" i="5"/>
  <c r="Z40" i="5"/>
  <c r="AA40" i="5"/>
  <c r="R41" i="13" l="1"/>
  <c r="S41" i="13"/>
  <c r="I41" i="13"/>
  <c r="J41" i="13"/>
  <c r="Q41" i="13"/>
  <c r="Y40" i="12"/>
  <c r="X40" i="12"/>
  <c r="W40" i="12"/>
  <c r="R40" i="12"/>
  <c r="Q40" i="12"/>
  <c r="J40" i="12"/>
  <c r="S40" i="12"/>
  <c r="I40" i="12"/>
  <c r="D42" i="12"/>
  <c r="BG41" i="12"/>
  <c r="BH41" i="12"/>
  <c r="F41" i="12"/>
  <c r="BI41" i="12"/>
  <c r="C41" i="12"/>
  <c r="E41" i="12"/>
  <c r="T41" i="12" s="1"/>
  <c r="O40" i="13"/>
  <c r="O39" i="12"/>
  <c r="D43" i="13"/>
  <c r="F42" i="13"/>
  <c r="BG42" i="13"/>
  <c r="BH42" i="13"/>
  <c r="E42" i="13"/>
  <c r="T42" i="13" s="1"/>
  <c r="AA39" i="12"/>
  <c r="Z39" i="12"/>
  <c r="Y41" i="13"/>
  <c r="X41" i="13"/>
  <c r="W41" i="13"/>
  <c r="C42" i="13"/>
  <c r="AA40" i="13"/>
  <c r="Z40" i="13"/>
  <c r="O41" i="5"/>
  <c r="BG43" i="5"/>
  <c r="BH43" i="5"/>
  <c r="F43" i="5"/>
  <c r="D44" i="5"/>
  <c r="E43" i="5"/>
  <c r="T43" i="5" s="1"/>
  <c r="BI43" i="5"/>
  <c r="C43" i="5"/>
  <c r="S42" i="5"/>
  <c r="J42" i="5"/>
  <c r="R42" i="5"/>
  <c r="I42" i="5"/>
  <c r="Q42" i="5"/>
  <c r="W42" i="5"/>
  <c r="Y42" i="5"/>
  <c r="X42" i="5"/>
  <c r="Z41" i="5"/>
  <c r="AA41" i="5"/>
  <c r="S42" i="13" l="1"/>
  <c r="J42" i="13"/>
  <c r="R42" i="13"/>
  <c r="Q42" i="13"/>
  <c r="I42" i="13"/>
  <c r="O41" i="13"/>
  <c r="O40" i="12"/>
  <c r="E43" i="13"/>
  <c r="T43" i="13" s="1"/>
  <c r="BG43" i="13"/>
  <c r="D44" i="13"/>
  <c r="BH43" i="13"/>
  <c r="F43" i="13"/>
  <c r="W41" i="12"/>
  <c r="Y41" i="12"/>
  <c r="X41" i="12"/>
  <c r="AA40" i="12"/>
  <c r="Z40" i="12"/>
  <c r="F42" i="12"/>
  <c r="BI42" i="12"/>
  <c r="BH42" i="12"/>
  <c r="D43" i="12"/>
  <c r="BG42" i="12"/>
  <c r="E42" i="12"/>
  <c r="T42" i="12" s="1"/>
  <c r="C42" i="12"/>
  <c r="R41" i="12"/>
  <c r="S41" i="12"/>
  <c r="I41" i="12"/>
  <c r="J41" i="12"/>
  <c r="Q41" i="12"/>
  <c r="W42" i="13"/>
  <c r="C43" i="13"/>
  <c r="Y42" i="13"/>
  <c r="X42" i="13"/>
  <c r="Z41" i="13"/>
  <c r="AA41" i="13"/>
  <c r="O42" i="5"/>
  <c r="Y43" i="5"/>
  <c r="W43" i="5"/>
  <c r="X43" i="5"/>
  <c r="BG44" i="5"/>
  <c r="BH44" i="5"/>
  <c r="F44" i="5"/>
  <c r="E44" i="5"/>
  <c r="T44" i="5" s="1"/>
  <c r="D45" i="5"/>
  <c r="BI44" i="5"/>
  <c r="C44" i="5"/>
  <c r="AA42" i="5"/>
  <c r="Z42" i="5"/>
  <c r="S43" i="5"/>
  <c r="Q43" i="5"/>
  <c r="J43" i="5"/>
  <c r="I43" i="5"/>
  <c r="R43" i="5"/>
  <c r="O41" i="12" l="1"/>
  <c r="X42" i="12"/>
  <c r="Y42" i="12"/>
  <c r="W42" i="12"/>
  <c r="Q43" i="13"/>
  <c r="J43" i="13"/>
  <c r="R43" i="13"/>
  <c r="I43" i="13"/>
  <c r="S43" i="13"/>
  <c r="Q42" i="12"/>
  <c r="J42" i="12"/>
  <c r="S42" i="12"/>
  <c r="R42" i="12"/>
  <c r="I42" i="12"/>
  <c r="Z41" i="12"/>
  <c r="AA41" i="12"/>
  <c r="F43" i="12"/>
  <c r="C43" i="12"/>
  <c r="D44" i="12"/>
  <c r="BH43" i="12"/>
  <c r="E43" i="12"/>
  <c r="T43" i="12" s="1"/>
  <c r="BG43" i="12"/>
  <c r="BI43" i="12"/>
  <c r="BH44" i="13"/>
  <c r="E44" i="13"/>
  <c r="T44" i="13" s="1"/>
  <c r="D45" i="13"/>
  <c r="BG44" i="13"/>
  <c r="F44" i="13"/>
  <c r="O42" i="13"/>
  <c r="AA42" i="13"/>
  <c r="Z42" i="13"/>
  <c r="W43" i="13"/>
  <c r="C44" i="13"/>
  <c r="X43" i="13"/>
  <c r="Y43" i="13"/>
  <c r="BH45" i="5"/>
  <c r="BG45" i="5"/>
  <c r="D46" i="5"/>
  <c r="E45" i="5"/>
  <c r="T45" i="5" s="1"/>
  <c r="F45" i="5"/>
  <c r="BI45" i="5"/>
  <c r="C45" i="5"/>
  <c r="Y44" i="5"/>
  <c r="X44" i="5"/>
  <c r="W44" i="5"/>
  <c r="O43" i="5"/>
  <c r="S44" i="5"/>
  <c r="J44" i="5"/>
  <c r="I44" i="5"/>
  <c r="R44" i="5"/>
  <c r="Q44" i="5"/>
  <c r="AA43" i="5"/>
  <c r="Z43" i="5"/>
  <c r="S43" i="12" l="1"/>
  <c r="Q43" i="12"/>
  <c r="I43" i="12"/>
  <c r="R43" i="12"/>
  <c r="J43" i="12"/>
  <c r="O43" i="12" s="1"/>
  <c r="D46" i="13"/>
  <c r="BH45" i="13"/>
  <c r="F45" i="13"/>
  <c r="BG45" i="13"/>
  <c r="E45" i="13"/>
  <c r="T45" i="13" s="1"/>
  <c r="BI44" i="12"/>
  <c r="D45" i="12"/>
  <c r="BG44" i="12"/>
  <c r="F44" i="12"/>
  <c r="C44" i="12"/>
  <c r="E44" i="12"/>
  <c r="T44" i="12" s="1"/>
  <c r="BH44" i="12"/>
  <c r="O42" i="12"/>
  <c r="I44" i="13"/>
  <c r="J44" i="13"/>
  <c r="O44" i="13" s="1"/>
  <c r="Q44" i="13"/>
  <c r="R44" i="13"/>
  <c r="S44" i="13"/>
  <c r="X43" i="12"/>
  <c r="W43" i="12"/>
  <c r="Y43" i="12"/>
  <c r="O43" i="13"/>
  <c r="Z42" i="12"/>
  <c r="AA42" i="12"/>
  <c r="W44" i="13"/>
  <c r="C45" i="13"/>
  <c r="X44" i="13"/>
  <c r="Y44" i="13"/>
  <c r="AA43" i="13"/>
  <c r="Z43" i="13"/>
  <c r="O44" i="5"/>
  <c r="AA44" i="5"/>
  <c r="Z44" i="5"/>
  <c r="I45" i="5"/>
  <c r="R45" i="5"/>
  <c r="Q45" i="5"/>
  <c r="J45" i="5"/>
  <c r="S45" i="5"/>
  <c r="W45" i="5"/>
  <c r="X45" i="5"/>
  <c r="Y45" i="5"/>
  <c r="BG46" i="5"/>
  <c r="BH46" i="5"/>
  <c r="BI46" i="5"/>
  <c r="F46" i="5"/>
  <c r="E46" i="5"/>
  <c r="T46" i="5" s="1"/>
  <c r="D47" i="5"/>
  <c r="C46" i="5"/>
  <c r="AA43" i="12" l="1"/>
  <c r="Z43" i="12"/>
  <c r="BH45" i="12"/>
  <c r="BI45" i="12"/>
  <c r="BG45" i="12"/>
  <c r="F45" i="12"/>
  <c r="D46" i="12"/>
  <c r="C45" i="12"/>
  <c r="E45" i="12"/>
  <c r="T45" i="12" s="1"/>
  <c r="R45" i="13"/>
  <c r="Q45" i="13"/>
  <c r="S45" i="13"/>
  <c r="J45" i="13"/>
  <c r="I45" i="13"/>
  <c r="X44" i="12"/>
  <c r="W44" i="12"/>
  <c r="Y44" i="12"/>
  <c r="I44" i="12"/>
  <c r="Q44" i="12"/>
  <c r="S44" i="12"/>
  <c r="R44" i="12"/>
  <c r="J44" i="12"/>
  <c r="O44" i="12" s="1"/>
  <c r="F46" i="13"/>
  <c r="BH46" i="13"/>
  <c r="D47" i="13"/>
  <c r="BG46" i="13"/>
  <c r="E46" i="13"/>
  <c r="T46" i="13" s="1"/>
  <c r="Z44" i="13"/>
  <c r="AA44" i="13"/>
  <c r="X45" i="13"/>
  <c r="C46" i="13"/>
  <c r="W45" i="13"/>
  <c r="Y45" i="13"/>
  <c r="O45" i="5"/>
  <c r="BG47" i="5"/>
  <c r="BH47" i="5"/>
  <c r="F47" i="5"/>
  <c r="D48" i="5"/>
  <c r="E47" i="5"/>
  <c r="T47" i="5" s="1"/>
  <c r="BI47" i="5"/>
  <c r="C47" i="5"/>
  <c r="Z45" i="5"/>
  <c r="AA45" i="5"/>
  <c r="Y46" i="5"/>
  <c r="X46" i="5"/>
  <c r="W46" i="5"/>
  <c r="S46" i="5"/>
  <c r="J46" i="5"/>
  <c r="Q46" i="5"/>
  <c r="I46" i="5"/>
  <c r="R46" i="5"/>
  <c r="O45" i="13" l="1"/>
  <c r="W45" i="12"/>
  <c r="Y45" i="12"/>
  <c r="X45" i="12"/>
  <c r="I46" i="13"/>
  <c r="J46" i="13"/>
  <c r="O46" i="13" s="1"/>
  <c r="Q46" i="13"/>
  <c r="S46" i="13"/>
  <c r="R46" i="13"/>
  <c r="AA44" i="12"/>
  <c r="Z44" i="12"/>
  <c r="F46" i="12"/>
  <c r="C46" i="12"/>
  <c r="D47" i="12"/>
  <c r="BH46" i="12"/>
  <c r="E46" i="12"/>
  <c r="T46" i="12" s="1"/>
  <c r="BG46" i="12"/>
  <c r="BI46" i="12"/>
  <c r="R45" i="12"/>
  <c r="S45" i="12"/>
  <c r="Q45" i="12"/>
  <c r="I45" i="12"/>
  <c r="J45" i="12"/>
  <c r="O45" i="12" s="1"/>
  <c r="E47" i="13"/>
  <c r="T47" i="13" s="1"/>
  <c r="D48" i="13"/>
  <c r="BH47" i="13"/>
  <c r="F47" i="13"/>
  <c r="BG47" i="13"/>
  <c r="W46" i="13"/>
  <c r="C47" i="13"/>
  <c r="Y46" i="13"/>
  <c r="X46" i="13"/>
  <c r="AA45" i="13"/>
  <c r="Z45" i="13"/>
  <c r="O46" i="5"/>
  <c r="BG48" i="5"/>
  <c r="BH48" i="5"/>
  <c r="F48" i="5"/>
  <c r="E48" i="5"/>
  <c r="T48" i="5" s="1"/>
  <c r="D49" i="5"/>
  <c r="BI48" i="5"/>
  <c r="C48" i="5"/>
  <c r="Z46" i="5"/>
  <c r="AA46" i="5"/>
  <c r="X47" i="5"/>
  <c r="W47" i="5"/>
  <c r="Y47" i="5"/>
  <c r="S47" i="5"/>
  <c r="I47" i="5"/>
  <c r="Q47" i="5"/>
  <c r="R47" i="5"/>
  <c r="J47" i="5"/>
  <c r="O47" i="13"/>
  <c r="E48" i="13" l="1"/>
  <c r="T48" i="13" s="1"/>
  <c r="D49" i="13"/>
  <c r="BG48" i="13"/>
  <c r="F48" i="13"/>
  <c r="BH48" i="13"/>
  <c r="W46" i="12"/>
  <c r="Y46" i="12"/>
  <c r="X46" i="12"/>
  <c r="R46" i="12"/>
  <c r="Q46" i="12"/>
  <c r="S46" i="12"/>
  <c r="J46" i="12"/>
  <c r="I46" i="12"/>
  <c r="AA45" i="12"/>
  <c r="Z45" i="12"/>
  <c r="I47" i="13"/>
  <c r="S47" i="13"/>
  <c r="Q47" i="13"/>
  <c r="J47" i="13"/>
  <c r="R47" i="13"/>
  <c r="BG47" i="12"/>
  <c r="F47" i="12"/>
  <c r="C47" i="12"/>
  <c r="D48" i="12"/>
  <c r="BI47" i="12"/>
  <c r="BH47" i="12"/>
  <c r="E47" i="12"/>
  <c r="T47" i="12" s="1"/>
  <c r="AA46" i="13"/>
  <c r="Z46" i="13"/>
  <c r="Y47" i="13"/>
  <c r="W47" i="13"/>
  <c r="X47" i="13"/>
  <c r="C48" i="13"/>
  <c r="O47" i="5"/>
  <c r="Z47" i="5"/>
  <c r="AA47" i="5"/>
  <c r="BH49" i="5"/>
  <c r="BG49" i="5"/>
  <c r="E49" i="5"/>
  <c r="T49" i="5" s="1"/>
  <c r="BI49" i="5"/>
  <c r="F49" i="5"/>
  <c r="D50" i="5"/>
  <c r="C49" i="5"/>
  <c r="W48" i="5"/>
  <c r="Y48" i="5"/>
  <c r="X48" i="5"/>
  <c r="S48" i="5"/>
  <c r="Q48" i="5"/>
  <c r="J48" i="5"/>
  <c r="R48" i="5"/>
  <c r="I48" i="5"/>
  <c r="O47" i="12"/>
  <c r="S47" i="12" l="1"/>
  <c r="J47" i="12"/>
  <c r="R47" i="12"/>
  <c r="I47" i="12"/>
  <c r="Q47" i="12"/>
  <c r="BI48" i="12"/>
  <c r="BG48" i="12"/>
  <c r="D49" i="12"/>
  <c r="C48" i="12"/>
  <c r="E48" i="12"/>
  <c r="T48" i="12" s="1"/>
  <c r="BH48" i="12"/>
  <c r="F48" i="12"/>
  <c r="O46" i="12"/>
  <c r="AA46" i="12"/>
  <c r="Z46" i="12"/>
  <c r="Q48" i="13"/>
  <c r="S48" i="13"/>
  <c r="I48" i="13"/>
  <c r="J48" i="13"/>
  <c r="R48" i="13"/>
  <c r="X47" i="12"/>
  <c r="W47" i="12"/>
  <c r="Y47" i="12"/>
  <c r="BH49" i="13"/>
  <c r="C49" i="13"/>
  <c r="BG49" i="13"/>
  <c r="D50" i="13"/>
  <c r="E49" i="13"/>
  <c r="T49" i="13" s="1"/>
  <c r="F49" i="13"/>
  <c r="Y48" i="13"/>
  <c r="X48" i="13"/>
  <c r="W48" i="13"/>
  <c r="Z47" i="13"/>
  <c r="AA47" i="13"/>
  <c r="S49" i="5"/>
  <c r="I49" i="5"/>
  <c r="J49" i="5"/>
  <c r="Q49" i="5"/>
  <c r="R49" i="5"/>
  <c r="W49" i="5"/>
  <c r="Y49" i="5"/>
  <c r="X49" i="5"/>
  <c r="BG50" i="5"/>
  <c r="BH50" i="5"/>
  <c r="D51" i="5"/>
  <c r="E50" i="5"/>
  <c r="T50" i="5" s="1"/>
  <c r="BI50" i="5"/>
  <c r="F50" i="5"/>
  <c r="C50" i="5"/>
  <c r="O48" i="5"/>
  <c r="Z48" i="5"/>
  <c r="AA48" i="5"/>
  <c r="O49" i="5" l="1"/>
  <c r="I49" i="13"/>
  <c r="R49" i="13"/>
  <c r="Q49" i="13"/>
  <c r="S49" i="13"/>
  <c r="J49" i="13"/>
  <c r="O49" i="13" s="1"/>
  <c r="R48" i="12"/>
  <c r="I48" i="12"/>
  <c r="J48" i="12"/>
  <c r="Q48" i="12"/>
  <c r="S48" i="12"/>
  <c r="C49" i="12"/>
  <c r="D50" i="12"/>
  <c r="F49" i="12"/>
  <c r="BH49" i="12"/>
  <c r="BG49" i="12"/>
  <c r="E49" i="12"/>
  <c r="T49" i="12" s="1"/>
  <c r="BI49" i="12"/>
  <c r="O48" i="13"/>
  <c r="W49" i="13"/>
  <c r="X49" i="13"/>
  <c r="Y49" i="13"/>
  <c r="BH50" i="13"/>
  <c r="D51" i="13"/>
  <c r="BG50" i="13"/>
  <c r="C50" i="13"/>
  <c r="F50" i="13"/>
  <c r="E50" i="13"/>
  <c r="T50" i="13" s="1"/>
  <c r="AA47" i="12"/>
  <c r="Z47" i="12"/>
  <c r="Y48" i="12"/>
  <c r="W48" i="12"/>
  <c r="X48" i="12"/>
  <c r="Z48" i="13"/>
  <c r="AA48" i="13"/>
  <c r="W50" i="5"/>
  <c r="Y50" i="5"/>
  <c r="X50" i="5"/>
  <c r="AA49" i="5"/>
  <c r="Z49" i="5"/>
  <c r="BG51" i="5"/>
  <c r="BH51" i="5"/>
  <c r="D52" i="5"/>
  <c r="F51" i="5"/>
  <c r="BI51" i="5"/>
  <c r="E51" i="5"/>
  <c r="T51" i="5" s="1"/>
  <c r="C51" i="5"/>
  <c r="S50" i="5"/>
  <c r="Q50" i="5"/>
  <c r="R50" i="5"/>
  <c r="I50" i="5"/>
  <c r="J50" i="5"/>
  <c r="O48" i="12" l="1"/>
  <c r="AA48" i="12"/>
  <c r="Z48" i="12"/>
  <c r="Z49" i="13"/>
  <c r="AA49" i="13"/>
  <c r="C50" i="12"/>
  <c r="BG50" i="12"/>
  <c r="E50" i="12"/>
  <c r="T50" i="12" s="1"/>
  <c r="BI50" i="12"/>
  <c r="D51" i="12"/>
  <c r="BH50" i="12"/>
  <c r="F50" i="12"/>
  <c r="W50" i="13"/>
  <c r="Y50" i="13"/>
  <c r="X50" i="13"/>
  <c r="BG51" i="13"/>
  <c r="C51" i="13"/>
  <c r="F51" i="13"/>
  <c r="BH51" i="13"/>
  <c r="D52" i="13"/>
  <c r="E51" i="13"/>
  <c r="T51" i="13" s="1"/>
  <c r="X49" i="12"/>
  <c r="W49" i="12"/>
  <c r="Y49" i="12"/>
  <c r="R50" i="13"/>
  <c r="I50" i="13"/>
  <c r="Q50" i="13"/>
  <c r="J50" i="13"/>
  <c r="O50" i="13" s="1"/>
  <c r="S50" i="13"/>
  <c r="Q49" i="12"/>
  <c r="S49" i="12"/>
  <c r="R49" i="12"/>
  <c r="J49" i="12"/>
  <c r="O49" i="12" s="1"/>
  <c r="I49" i="12"/>
  <c r="AA50" i="5"/>
  <c r="Z50" i="5"/>
  <c r="O50" i="5"/>
  <c r="W51" i="5"/>
  <c r="Y51" i="5"/>
  <c r="X51" i="5"/>
  <c r="S51" i="5"/>
  <c r="I51" i="5"/>
  <c r="Q51" i="5"/>
  <c r="J51" i="5"/>
  <c r="R51" i="5"/>
  <c r="BG52" i="5"/>
  <c r="F52" i="5"/>
  <c r="BH52" i="5"/>
  <c r="E52" i="5"/>
  <c r="T52" i="5" s="1"/>
  <c r="D53" i="5"/>
  <c r="BI52" i="5"/>
  <c r="C52" i="5"/>
  <c r="Y51" i="13" l="1"/>
  <c r="W51" i="13"/>
  <c r="X51" i="13"/>
  <c r="BH52" i="13"/>
  <c r="E52" i="13"/>
  <c r="T52" i="13" s="1"/>
  <c r="C52" i="13"/>
  <c r="BG52" i="13"/>
  <c r="D53" i="13"/>
  <c r="F52" i="13"/>
  <c r="Q50" i="12"/>
  <c r="R50" i="12"/>
  <c r="S50" i="12"/>
  <c r="I50" i="12"/>
  <c r="J50" i="12"/>
  <c r="AA50" i="13"/>
  <c r="Z50" i="13"/>
  <c r="Z49" i="12"/>
  <c r="AA49" i="12"/>
  <c r="I51" i="13"/>
  <c r="R51" i="13"/>
  <c r="S51" i="13"/>
  <c r="J51" i="13"/>
  <c r="Q51" i="13"/>
  <c r="BG51" i="12"/>
  <c r="C51" i="12"/>
  <c r="F51" i="12"/>
  <c r="E51" i="12"/>
  <c r="T51" i="12" s="1"/>
  <c r="BH51" i="12"/>
  <c r="D52" i="12"/>
  <c r="BI51" i="12"/>
  <c r="X50" i="12"/>
  <c r="Y50" i="12"/>
  <c r="W50" i="12"/>
  <c r="O51" i="5"/>
  <c r="I52" i="5"/>
  <c r="R52" i="5"/>
  <c r="Q52" i="5"/>
  <c r="S52" i="5"/>
  <c r="J52" i="5"/>
  <c r="O52" i="5" s="1"/>
  <c r="BH53" i="5"/>
  <c r="BG53" i="5"/>
  <c r="D54" i="5"/>
  <c r="E53" i="5"/>
  <c r="T53" i="5" s="1"/>
  <c r="F53" i="5"/>
  <c r="BI53" i="5"/>
  <c r="C53" i="5"/>
  <c r="W52" i="5"/>
  <c r="Y52" i="5"/>
  <c r="X52" i="5"/>
  <c r="Z51" i="5"/>
  <c r="AA51" i="5"/>
  <c r="O50" i="12" l="1"/>
  <c r="S51" i="12"/>
  <c r="I51" i="12"/>
  <c r="Q51" i="12"/>
  <c r="J51" i="12"/>
  <c r="R51" i="12"/>
  <c r="O51" i="13"/>
  <c r="X52" i="13"/>
  <c r="Y52" i="13"/>
  <c r="W52" i="13"/>
  <c r="Z51" i="13"/>
  <c r="AA51" i="13"/>
  <c r="BG52" i="12"/>
  <c r="BI52" i="12"/>
  <c r="F52" i="12"/>
  <c r="C52" i="12"/>
  <c r="D53" i="12"/>
  <c r="BH52" i="12"/>
  <c r="E52" i="12"/>
  <c r="T52" i="12" s="1"/>
  <c r="Y51" i="12"/>
  <c r="W51" i="12"/>
  <c r="X51" i="12"/>
  <c r="S52" i="13"/>
  <c r="Q52" i="13"/>
  <c r="J52" i="13"/>
  <c r="R52" i="13"/>
  <c r="I52" i="13"/>
  <c r="Z50" i="12"/>
  <c r="AA50" i="12"/>
  <c r="E53" i="13"/>
  <c r="T53" i="13" s="1"/>
  <c r="BH53" i="13"/>
  <c r="BG53" i="13"/>
  <c r="C53" i="13"/>
  <c r="F53" i="13"/>
  <c r="D54" i="13"/>
  <c r="BG54" i="5"/>
  <c r="BH54" i="5"/>
  <c r="BI54" i="5"/>
  <c r="F54" i="5"/>
  <c r="E54" i="5"/>
  <c r="T54" i="5" s="1"/>
  <c r="D55" i="5"/>
  <c r="C54" i="5"/>
  <c r="S53" i="5"/>
  <c r="R53" i="5"/>
  <c r="I53" i="5"/>
  <c r="J53" i="5"/>
  <c r="Q53" i="5"/>
  <c r="AA52" i="5"/>
  <c r="Z52" i="5"/>
  <c r="Y53" i="5"/>
  <c r="W53" i="5"/>
  <c r="X53" i="5"/>
  <c r="O51" i="12" l="1"/>
  <c r="O52" i="13"/>
  <c r="E53" i="12"/>
  <c r="T53" i="12" s="1"/>
  <c r="BG53" i="12"/>
  <c r="BI53" i="12"/>
  <c r="BH53" i="12"/>
  <c r="F53" i="12"/>
  <c r="D54" i="12"/>
  <c r="C53" i="12"/>
  <c r="J53" i="13"/>
  <c r="I53" i="13"/>
  <c r="S53" i="13"/>
  <c r="R53" i="13"/>
  <c r="Q53" i="13"/>
  <c r="Y52" i="12"/>
  <c r="X52" i="12"/>
  <c r="W52" i="12"/>
  <c r="Z52" i="13"/>
  <c r="AA52" i="13"/>
  <c r="W53" i="13"/>
  <c r="Y53" i="13"/>
  <c r="X53" i="13"/>
  <c r="S52" i="12"/>
  <c r="Q52" i="12"/>
  <c r="I52" i="12"/>
  <c r="J52" i="12"/>
  <c r="O52" i="12" s="1"/>
  <c r="R52" i="12"/>
  <c r="AA51" i="12"/>
  <c r="Z51" i="12"/>
  <c r="BH54" i="13"/>
  <c r="BG54" i="13"/>
  <c r="C54" i="13"/>
  <c r="F54" i="13"/>
  <c r="E54" i="13"/>
  <c r="T54" i="13" s="1"/>
  <c r="D55" i="13"/>
  <c r="O53" i="5"/>
  <c r="Y54" i="5"/>
  <c r="X54" i="5"/>
  <c r="W54" i="5"/>
  <c r="BG55" i="5"/>
  <c r="BH55" i="5"/>
  <c r="F55" i="5"/>
  <c r="D56" i="5"/>
  <c r="E55" i="5"/>
  <c r="T55" i="5" s="1"/>
  <c r="BI55" i="5"/>
  <c r="C55" i="5"/>
  <c r="AA53" i="5"/>
  <c r="Z53" i="5"/>
  <c r="S54" i="5"/>
  <c r="I54" i="5"/>
  <c r="Q54" i="5"/>
  <c r="R54" i="5"/>
  <c r="J54" i="5"/>
  <c r="S54" i="13" l="1"/>
  <c r="Q54" i="13"/>
  <c r="J54" i="13"/>
  <c r="I54" i="13"/>
  <c r="R54" i="13"/>
  <c r="Z53" i="13"/>
  <c r="AA53" i="13"/>
  <c r="O53" i="13"/>
  <c r="W54" i="13"/>
  <c r="X54" i="13"/>
  <c r="Y54" i="13"/>
  <c r="X53" i="12"/>
  <c r="Y53" i="12"/>
  <c r="W53" i="12"/>
  <c r="Z52" i="12"/>
  <c r="AA52" i="12"/>
  <c r="D55" i="12"/>
  <c r="C54" i="12"/>
  <c r="E54" i="12"/>
  <c r="T54" i="12" s="1"/>
  <c r="BG54" i="12"/>
  <c r="BI54" i="12"/>
  <c r="BH54" i="12"/>
  <c r="F54" i="12"/>
  <c r="E55" i="13"/>
  <c r="T55" i="13" s="1"/>
  <c r="BH55" i="13"/>
  <c r="D56" i="13"/>
  <c r="F55" i="13"/>
  <c r="BG55" i="13"/>
  <c r="C55" i="13"/>
  <c r="I53" i="12"/>
  <c r="Q53" i="12"/>
  <c r="S53" i="12"/>
  <c r="J53" i="12"/>
  <c r="O53" i="12" s="1"/>
  <c r="R53" i="12"/>
  <c r="O54" i="5"/>
  <c r="AA54" i="5"/>
  <c r="Z54" i="5"/>
  <c r="W55" i="5"/>
  <c r="Y55" i="5"/>
  <c r="X55" i="5"/>
  <c r="BG56" i="5"/>
  <c r="BH56" i="5"/>
  <c r="F56" i="5"/>
  <c r="E56" i="5"/>
  <c r="T56" i="5" s="1"/>
  <c r="D57" i="5"/>
  <c r="BI56" i="5"/>
  <c r="C56" i="5"/>
  <c r="S55" i="5"/>
  <c r="I55" i="5"/>
  <c r="Q55" i="5"/>
  <c r="J55" i="5"/>
  <c r="R55" i="5"/>
  <c r="O54" i="13" l="1"/>
  <c r="AA53" i="12"/>
  <c r="Z53" i="12"/>
  <c r="W55" i="13"/>
  <c r="Y55" i="13"/>
  <c r="X55" i="13"/>
  <c r="R55" i="13"/>
  <c r="S55" i="13"/>
  <c r="J55" i="13"/>
  <c r="Q55" i="13"/>
  <c r="I55" i="13"/>
  <c r="I54" i="12"/>
  <c r="J54" i="12"/>
  <c r="R54" i="12"/>
  <c r="Q54" i="12"/>
  <c r="S54" i="12"/>
  <c r="C56" i="13"/>
  <c r="F56" i="13"/>
  <c r="BH56" i="13"/>
  <c r="D57" i="13"/>
  <c r="E56" i="13"/>
  <c r="T56" i="13" s="1"/>
  <c r="BG56" i="13"/>
  <c r="X54" i="12"/>
  <c r="Y54" i="12"/>
  <c r="W54" i="12"/>
  <c r="Z54" i="13"/>
  <c r="AA54" i="13"/>
  <c r="D56" i="12"/>
  <c r="BG55" i="12"/>
  <c r="BI55" i="12"/>
  <c r="C55" i="12"/>
  <c r="BH55" i="12"/>
  <c r="E55" i="12"/>
  <c r="T55" i="12" s="1"/>
  <c r="F55" i="12"/>
  <c r="O55" i="5"/>
  <c r="BH57" i="5"/>
  <c r="BG57" i="5"/>
  <c r="D58" i="5"/>
  <c r="E57" i="5"/>
  <c r="T57" i="5" s="1"/>
  <c r="F57" i="5"/>
  <c r="BI57" i="5"/>
  <c r="C57" i="5"/>
  <c r="X56" i="5"/>
  <c r="W56" i="5"/>
  <c r="Y56" i="5"/>
  <c r="I56" i="5"/>
  <c r="Q56" i="5"/>
  <c r="R56" i="5"/>
  <c r="J56" i="5"/>
  <c r="S56" i="5"/>
  <c r="Z55" i="5"/>
  <c r="AA55" i="5"/>
  <c r="O54" i="12" l="1"/>
  <c r="W56" i="13"/>
  <c r="X56" i="13"/>
  <c r="Y56" i="13"/>
  <c r="O55" i="13"/>
  <c r="E56" i="12"/>
  <c r="T56" i="12" s="1"/>
  <c r="BI56" i="12"/>
  <c r="F56" i="12"/>
  <c r="C56" i="12"/>
  <c r="D57" i="12"/>
  <c r="BH56" i="12"/>
  <c r="BG56" i="12"/>
  <c r="BH57" i="13"/>
  <c r="D58" i="13"/>
  <c r="F57" i="13"/>
  <c r="BG57" i="13"/>
  <c r="C57" i="13"/>
  <c r="E57" i="13"/>
  <c r="T57" i="13" s="1"/>
  <c r="Y55" i="12"/>
  <c r="X55" i="12"/>
  <c r="W55" i="12"/>
  <c r="AA54" i="12"/>
  <c r="Z54" i="12"/>
  <c r="S55" i="12"/>
  <c r="R55" i="12"/>
  <c r="J55" i="12"/>
  <c r="I55" i="12"/>
  <c r="Q55" i="12"/>
  <c r="J56" i="13"/>
  <c r="I56" i="13"/>
  <c r="S56" i="13"/>
  <c r="R56" i="13"/>
  <c r="Q56" i="13"/>
  <c r="AA55" i="13"/>
  <c r="Z55" i="13"/>
  <c r="O56" i="5"/>
  <c r="S57" i="5"/>
  <c r="I57" i="5"/>
  <c r="J57" i="5"/>
  <c r="R57" i="5"/>
  <c r="Q57" i="5"/>
  <c r="AA56" i="5"/>
  <c r="Z56" i="5"/>
  <c r="W57" i="5"/>
  <c r="Y57" i="5"/>
  <c r="X57" i="5"/>
  <c r="BG58" i="5"/>
  <c r="BH58" i="5"/>
  <c r="BI58" i="5"/>
  <c r="F58" i="5"/>
  <c r="E58" i="5"/>
  <c r="T58" i="5" s="1"/>
  <c r="D59" i="5"/>
  <c r="C58" i="5"/>
  <c r="O55" i="12" l="1"/>
  <c r="O56" i="13"/>
  <c r="Y57" i="13"/>
  <c r="W57" i="13"/>
  <c r="X57" i="13"/>
  <c r="Y56" i="12"/>
  <c r="X56" i="12"/>
  <c r="W56" i="12"/>
  <c r="AA55" i="12"/>
  <c r="Z55" i="12"/>
  <c r="J56" i="12"/>
  <c r="I56" i="12"/>
  <c r="S56" i="12"/>
  <c r="R56" i="12"/>
  <c r="Q56" i="12"/>
  <c r="S57" i="13"/>
  <c r="R57" i="13"/>
  <c r="I57" i="13"/>
  <c r="J57" i="13"/>
  <c r="O57" i="13" s="1"/>
  <c r="Q57" i="13"/>
  <c r="AA56" i="13"/>
  <c r="Z56" i="13"/>
  <c r="BH58" i="13"/>
  <c r="D59" i="13"/>
  <c r="F58" i="13"/>
  <c r="E58" i="13"/>
  <c r="T58" i="13" s="1"/>
  <c r="BG58" i="13"/>
  <c r="C58" i="13"/>
  <c r="BH57" i="12"/>
  <c r="BI57" i="12"/>
  <c r="D58" i="12"/>
  <c r="BG57" i="12"/>
  <c r="F57" i="12"/>
  <c r="C57" i="12"/>
  <c r="E57" i="12"/>
  <c r="T57" i="12" s="1"/>
  <c r="S58" i="5"/>
  <c r="Q58" i="5"/>
  <c r="I58" i="5"/>
  <c r="J58" i="5"/>
  <c r="R58" i="5"/>
  <c r="X58" i="5"/>
  <c r="W58" i="5"/>
  <c r="Y58" i="5"/>
  <c r="Z57" i="5"/>
  <c r="AA57" i="5"/>
  <c r="O57" i="5"/>
  <c r="BG59" i="5"/>
  <c r="BH59" i="5"/>
  <c r="F59" i="5"/>
  <c r="D60" i="5"/>
  <c r="E59" i="5"/>
  <c r="T59" i="5" s="1"/>
  <c r="BI59" i="5"/>
  <c r="C59" i="5"/>
  <c r="J57" i="12" l="1"/>
  <c r="R57" i="12"/>
  <c r="S57" i="12"/>
  <c r="Q57" i="12"/>
  <c r="I57" i="12"/>
  <c r="I58" i="13"/>
  <c r="J58" i="13"/>
  <c r="R58" i="13"/>
  <c r="Q58" i="13"/>
  <c r="S58" i="13"/>
  <c r="Z57" i="13"/>
  <c r="AA57" i="13"/>
  <c r="X58" i="13"/>
  <c r="W58" i="13"/>
  <c r="Y58" i="13"/>
  <c r="F59" i="13"/>
  <c r="BH59" i="13"/>
  <c r="D60" i="13"/>
  <c r="E59" i="13"/>
  <c r="T59" i="13" s="1"/>
  <c r="BG59" i="13"/>
  <c r="C59" i="13"/>
  <c r="BI58" i="12"/>
  <c r="BH58" i="12"/>
  <c r="F58" i="12"/>
  <c r="BG58" i="12"/>
  <c r="D59" i="12"/>
  <c r="C58" i="12"/>
  <c r="E58" i="12"/>
  <c r="T58" i="12" s="1"/>
  <c r="O56" i="12"/>
  <c r="AA56" i="12"/>
  <c r="Z56" i="12"/>
  <c r="W57" i="12"/>
  <c r="Y57" i="12"/>
  <c r="X57" i="12"/>
  <c r="O58" i="5"/>
  <c r="W59" i="5"/>
  <c r="Y59" i="5"/>
  <c r="X59" i="5"/>
  <c r="BG60" i="5"/>
  <c r="BH60" i="5"/>
  <c r="F60" i="5"/>
  <c r="D61" i="5"/>
  <c r="BI60" i="5"/>
  <c r="E60" i="5"/>
  <c r="T60" i="5" s="1"/>
  <c r="C60" i="5"/>
  <c r="S59" i="5"/>
  <c r="I59" i="5"/>
  <c r="R59" i="5"/>
  <c r="Q59" i="5"/>
  <c r="J59" i="5"/>
  <c r="AA58" i="5"/>
  <c r="Z58" i="5"/>
  <c r="C61" i="13"/>
  <c r="Q58" i="12" l="1"/>
  <c r="I58" i="12"/>
  <c r="J58" i="12"/>
  <c r="S58" i="12"/>
  <c r="R58" i="12"/>
  <c r="Q59" i="13"/>
  <c r="R59" i="13"/>
  <c r="J59" i="13"/>
  <c r="S59" i="13"/>
  <c r="I59" i="13"/>
  <c r="X58" i="12"/>
  <c r="W58" i="12"/>
  <c r="Y58" i="12"/>
  <c r="O58" i="13"/>
  <c r="AA57" i="12"/>
  <c r="Z57" i="12"/>
  <c r="E59" i="12"/>
  <c r="T59" i="12" s="1"/>
  <c r="BI59" i="12"/>
  <c r="C59" i="12"/>
  <c r="F59" i="12"/>
  <c r="BH59" i="12"/>
  <c r="D60" i="12"/>
  <c r="BG59" i="12"/>
  <c r="F60" i="13"/>
  <c r="BG60" i="13"/>
  <c r="C60" i="13"/>
  <c r="BH60" i="13"/>
  <c r="E60" i="13"/>
  <c r="T60" i="13" s="1"/>
  <c r="D61" i="13"/>
  <c r="Y59" i="13"/>
  <c r="W59" i="13"/>
  <c r="X59" i="13"/>
  <c r="AA58" i="13"/>
  <c r="Z58" i="13"/>
  <c r="O57" i="12"/>
  <c r="O59" i="5"/>
  <c r="W60" i="5"/>
  <c r="Y60" i="5"/>
  <c r="X60" i="5"/>
  <c r="BH61" i="5"/>
  <c r="BG61" i="5"/>
  <c r="F61" i="5"/>
  <c r="D62" i="5"/>
  <c r="BI61" i="5"/>
  <c r="E61" i="5"/>
  <c r="T61" i="5" s="1"/>
  <c r="C61" i="5"/>
  <c r="S60" i="5"/>
  <c r="I60" i="5"/>
  <c r="J60" i="5"/>
  <c r="Q60" i="5"/>
  <c r="R60" i="5"/>
  <c r="Z59" i="5"/>
  <c r="AA59" i="5"/>
  <c r="X61" i="13"/>
  <c r="W61" i="13"/>
  <c r="Y61" i="13"/>
  <c r="C61" i="12"/>
  <c r="O60" i="5" l="1"/>
  <c r="D62" i="13"/>
  <c r="BH61" i="13"/>
  <c r="E61" i="13"/>
  <c r="T61" i="13" s="1"/>
  <c r="BG61" i="13"/>
  <c r="F61" i="13"/>
  <c r="W60" i="13"/>
  <c r="X60" i="13"/>
  <c r="Y60" i="13"/>
  <c r="J60" i="13"/>
  <c r="O60" i="13" s="1"/>
  <c r="I60" i="13"/>
  <c r="S60" i="13"/>
  <c r="R60" i="13"/>
  <c r="Q60" i="13"/>
  <c r="I59" i="12"/>
  <c r="Q59" i="12"/>
  <c r="J59" i="12"/>
  <c r="S59" i="12"/>
  <c r="R59" i="12"/>
  <c r="O59" i="13"/>
  <c r="Z59" i="13"/>
  <c r="AA59" i="13"/>
  <c r="Y59" i="12"/>
  <c r="X59" i="12"/>
  <c r="W59" i="12"/>
  <c r="AA58" i="12"/>
  <c r="Z58" i="12"/>
  <c r="O58" i="12"/>
  <c r="BI60" i="12"/>
  <c r="E60" i="12"/>
  <c r="T60" i="12" s="1"/>
  <c r="BH60" i="12"/>
  <c r="C60" i="12"/>
  <c r="F60" i="12"/>
  <c r="D61" i="12"/>
  <c r="BG60" i="12"/>
  <c r="BG62" i="5"/>
  <c r="BH62" i="5"/>
  <c r="D63" i="5"/>
  <c r="E62" i="5"/>
  <c r="T62" i="5" s="1"/>
  <c r="BI62" i="5"/>
  <c r="F62" i="5"/>
  <c r="C62" i="5"/>
  <c r="X61" i="5"/>
  <c r="W61" i="5"/>
  <c r="Y61" i="5"/>
  <c r="S61" i="5"/>
  <c r="I61" i="5"/>
  <c r="Q61" i="5"/>
  <c r="R61" i="5"/>
  <c r="J61" i="5"/>
  <c r="AA60" i="5"/>
  <c r="Z60" i="5"/>
  <c r="Z61" i="13"/>
  <c r="AA61" i="13"/>
  <c r="O61" i="13"/>
  <c r="W61" i="12"/>
  <c r="Y61" i="12"/>
  <c r="X61" i="12"/>
  <c r="J60" i="12" l="1"/>
  <c r="I60" i="12"/>
  <c r="Q60" i="12"/>
  <c r="S60" i="12"/>
  <c r="R60" i="12"/>
  <c r="Z59" i="12"/>
  <c r="AA59" i="12"/>
  <c r="O59" i="12"/>
  <c r="Y60" i="12"/>
  <c r="X60" i="12"/>
  <c r="W60" i="12"/>
  <c r="AA60" i="13"/>
  <c r="Z60" i="13"/>
  <c r="BH61" i="12"/>
  <c r="BI61" i="12"/>
  <c r="D62" i="12"/>
  <c r="BG61" i="12"/>
  <c r="E61" i="12"/>
  <c r="T61" i="12" s="1"/>
  <c r="F61" i="12"/>
  <c r="S61" i="13"/>
  <c r="Q61" i="13"/>
  <c r="J61" i="13"/>
  <c r="I61" i="13"/>
  <c r="R61" i="13"/>
  <c r="E62" i="13"/>
  <c r="T62" i="13" s="1"/>
  <c r="D63" i="13"/>
  <c r="BH62" i="13"/>
  <c r="BG62" i="13"/>
  <c r="C62" i="13"/>
  <c r="F62" i="13"/>
  <c r="O61" i="5"/>
  <c r="X62" i="5"/>
  <c r="Y62" i="5"/>
  <c r="W62" i="5"/>
  <c r="BG63" i="5"/>
  <c r="BH63" i="5"/>
  <c r="BI63" i="5"/>
  <c r="E63" i="5"/>
  <c r="T63" i="5" s="1"/>
  <c r="D64" i="5"/>
  <c r="F63" i="5"/>
  <c r="C63" i="5"/>
  <c r="Z61" i="5"/>
  <c r="AA61" i="5"/>
  <c r="S62" i="5"/>
  <c r="Q62" i="5"/>
  <c r="J62" i="5"/>
  <c r="R62" i="5"/>
  <c r="I62" i="5"/>
  <c r="AA61" i="12"/>
  <c r="Z61" i="12"/>
  <c r="O61" i="12"/>
  <c r="W62" i="13" l="1"/>
  <c r="Y62" i="13"/>
  <c r="X62" i="13"/>
  <c r="R61" i="12"/>
  <c r="S61" i="12"/>
  <c r="Q61" i="12"/>
  <c r="J61" i="12"/>
  <c r="I61" i="12"/>
  <c r="S62" i="13"/>
  <c r="R62" i="13"/>
  <c r="I62" i="13"/>
  <c r="Q62" i="13"/>
  <c r="J62" i="13"/>
  <c r="O62" i="13" s="1"/>
  <c r="E63" i="13"/>
  <c r="T63" i="13" s="1"/>
  <c r="BH63" i="13"/>
  <c r="D64" i="13"/>
  <c r="BG63" i="13"/>
  <c r="C63" i="13"/>
  <c r="F63" i="13"/>
  <c r="AA60" i="12"/>
  <c r="Z60" i="12"/>
  <c r="BH62" i="12"/>
  <c r="BG62" i="12"/>
  <c r="BI62" i="12"/>
  <c r="D63" i="12"/>
  <c r="C62" i="12"/>
  <c r="E62" i="12"/>
  <c r="T62" i="12" s="1"/>
  <c r="F62" i="12"/>
  <c r="O60" i="12"/>
  <c r="O62" i="5"/>
  <c r="I63" i="5"/>
  <c r="Q63" i="5"/>
  <c r="R63" i="5"/>
  <c r="S63" i="5"/>
  <c r="J63" i="5"/>
  <c r="O63" i="5" s="1"/>
  <c r="BG64" i="5"/>
  <c r="BH64" i="5"/>
  <c r="D65" i="5"/>
  <c r="E64" i="5"/>
  <c r="T64" i="5" s="1"/>
  <c r="BI64" i="5"/>
  <c r="F64" i="5"/>
  <c r="C64" i="5"/>
  <c r="Z62" i="5"/>
  <c r="AA62" i="5"/>
  <c r="Y63" i="5"/>
  <c r="X63" i="5"/>
  <c r="W63" i="5"/>
  <c r="W62" i="12" l="1"/>
  <c r="Y62" i="12"/>
  <c r="X62" i="12"/>
  <c r="I63" i="13"/>
  <c r="R63" i="13"/>
  <c r="Q63" i="13"/>
  <c r="S63" i="13"/>
  <c r="J63" i="13"/>
  <c r="O63" i="13" s="1"/>
  <c r="AA62" i="13"/>
  <c r="Z62" i="13"/>
  <c r="X63" i="13"/>
  <c r="Y63" i="13"/>
  <c r="W63" i="13"/>
  <c r="D64" i="12"/>
  <c r="F63" i="12"/>
  <c r="BG63" i="12"/>
  <c r="E63" i="12"/>
  <c r="T63" i="12" s="1"/>
  <c r="BI63" i="12"/>
  <c r="C63" i="12"/>
  <c r="BH63" i="12"/>
  <c r="Q62" i="12"/>
  <c r="J62" i="12"/>
  <c r="I62" i="12"/>
  <c r="R62" i="12"/>
  <c r="S62" i="12"/>
  <c r="D65" i="13"/>
  <c r="F64" i="13"/>
  <c r="BG64" i="13"/>
  <c r="E64" i="13"/>
  <c r="T64" i="13" s="1"/>
  <c r="BH64" i="13"/>
  <c r="C64" i="13"/>
  <c r="AA63" i="5"/>
  <c r="Z63" i="5"/>
  <c r="W64" i="5"/>
  <c r="Y64" i="5"/>
  <c r="X64" i="5"/>
  <c r="BH65" i="5"/>
  <c r="BG65" i="5"/>
  <c r="F65" i="5"/>
  <c r="D66" i="5"/>
  <c r="BI65" i="5"/>
  <c r="E65" i="5"/>
  <c r="T65" i="5" s="1"/>
  <c r="C65" i="5"/>
  <c r="S64" i="5"/>
  <c r="R64" i="5"/>
  <c r="I64" i="5"/>
  <c r="J64" i="5"/>
  <c r="Q64" i="5"/>
  <c r="Q64" i="13" l="1"/>
  <c r="J64" i="13"/>
  <c r="S64" i="13"/>
  <c r="I64" i="13"/>
  <c r="R64" i="13"/>
  <c r="X63" i="12"/>
  <c r="W63" i="12"/>
  <c r="Y63" i="12"/>
  <c r="R63" i="12"/>
  <c r="J63" i="12"/>
  <c r="S63" i="12"/>
  <c r="Q63" i="12"/>
  <c r="I63" i="12"/>
  <c r="Z63" i="13"/>
  <c r="AA63" i="13"/>
  <c r="Z62" i="12"/>
  <c r="AA62" i="12"/>
  <c r="X64" i="13"/>
  <c r="W64" i="13"/>
  <c r="Y64" i="13"/>
  <c r="C65" i="13"/>
  <c r="D66" i="13"/>
  <c r="F65" i="13"/>
  <c r="BH65" i="13"/>
  <c r="E65" i="13"/>
  <c r="T65" i="13" s="1"/>
  <c r="BG65" i="13"/>
  <c r="O62" i="12"/>
  <c r="C64" i="12"/>
  <c r="D65" i="12"/>
  <c r="F64" i="12"/>
  <c r="BG64" i="12"/>
  <c r="E64" i="12"/>
  <c r="T64" i="12" s="1"/>
  <c r="BI64" i="12"/>
  <c r="BH64" i="12"/>
  <c r="X65" i="5"/>
  <c r="W65" i="5"/>
  <c r="Y65" i="5"/>
  <c r="S65" i="5"/>
  <c r="Q65" i="5"/>
  <c r="I65" i="5"/>
  <c r="J65" i="5"/>
  <c r="R65" i="5"/>
  <c r="AA64" i="5"/>
  <c r="Z64" i="5"/>
  <c r="O64" i="5"/>
  <c r="BG66" i="5"/>
  <c r="BH66" i="5"/>
  <c r="D67" i="5"/>
  <c r="E66" i="5"/>
  <c r="T66" i="5" s="1"/>
  <c r="BI66" i="5"/>
  <c r="F66" i="5"/>
  <c r="C66" i="5"/>
  <c r="O64" i="13" l="1"/>
  <c r="W64" i="12"/>
  <c r="X64" i="12"/>
  <c r="Y64" i="12"/>
  <c r="J65" i="13"/>
  <c r="S65" i="13"/>
  <c r="R65" i="13"/>
  <c r="I65" i="13"/>
  <c r="Q65" i="13"/>
  <c r="J64" i="12"/>
  <c r="Q64" i="12"/>
  <c r="R64" i="12"/>
  <c r="I64" i="12"/>
  <c r="S64" i="12"/>
  <c r="F66" i="13"/>
  <c r="E66" i="13"/>
  <c r="T66" i="13" s="1"/>
  <c r="BH66" i="13"/>
  <c r="D67" i="13"/>
  <c r="BG66" i="13"/>
  <c r="C66" i="13"/>
  <c r="AA64" i="13"/>
  <c r="Z64" i="13"/>
  <c r="O63" i="12"/>
  <c r="AA63" i="12"/>
  <c r="Z63" i="12"/>
  <c r="F65" i="12"/>
  <c r="C65" i="12"/>
  <c r="D66" i="12"/>
  <c r="BH65" i="12"/>
  <c r="BG65" i="12"/>
  <c r="E65" i="12"/>
  <c r="T65" i="12" s="1"/>
  <c r="BI65" i="12"/>
  <c r="Y65" i="13"/>
  <c r="X65" i="13"/>
  <c r="W65" i="13"/>
  <c r="O65" i="5"/>
  <c r="Z65" i="5"/>
  <c r="AA65" i="5"/>
  <c r="W66" i="5"/>
  <c r="Y66" i="5"/>
  <c r="X66" i="5"/>
  <c r="BG67" i="5"/>
  <c r="BH67" i="5"/>
  <c r="BI67" i="5"/>
  <c r="E67" i="5"/>
  <c r="T67" i="5" s="1"/>
  <c r="D68" i="5"/>
  <c r="F67" i="5"/>
  <c r="C67" i="5"/>
  <c r="R66" i="5"/>
  <c r="J66" i="5"/>
  <c r="S66" i="5"/>
  <c r="I66" i="5"/>
  <c r="Q66" i="5"/>
  <c r="O64" i="12" l="1"/>
  <c r="D67" i="12"/>
  <c r="C66" i="12"/>
  <c r="E66" i="12"/>
  <c r="T66" i="12" s="1"/>
  <c r="BH66" i="12"/>
  <c r="BI66" i="12"/>
  <c r="BG66" i="12"/>
  <c r="F66" i="12"/>
  <c r="O65" i="13"/>
  <c r="O66" i="5"/>
  <c r="Y65" i="12"/>
  <c r="W65" i="12"/>
  <c r="X65" i="12"/>
  <c r="Y66" i="13"/>
  <c r="W66" i="13"/>
  <c r="X66" i="13"/>
  <c r="Z65" i="13"/>
  <c r="AA65" i="13"/>
  <c r="J65" i="12"/>
  <c r="R65" i="12"/>
  <c r="S65" i="12"/>
  <c r="Q65" i="12"/>
  <c r="I65" i="12"/>
  <c r="I66" i="13"/>
  <c r="Q66" i="13"/>
  <c r="R66" i="13"/>
  <c r="S66" i="13"/>
  <c r="J66" i="13"/>
  <c r="O66" i="13" s="1"/>
  <c r="Z64" i="12"/>
  <c r="AA64" i="12"/>
  <c r="D68" i="13"/>
  <c r="F67" i="13"/>
  <c r="BH67" i="13"/>
  <c r="BG67" i="13"/>
  <c r="C67" i="13"/>
  <c r="E67" i="13"/>
  <c r="T67" i="13" s="1"/>
  <c r="Y67" i="5"/>
  <c r="W67" i="5"/>
  <c r="X67" i="5"/>
  <c r="Z66" i="5"/>
  <c r="AA66" i="5"/>
  <c r="I67" i="5"/>
  <c r="R67" i="5"/>
  <c r="S67" i="5"/>
  <c r="J67" i="5"/>
  <c r="Q67" i="5"/>
  <c r="BG68" i="5"/>
  <c r="D69" i="5"/>
  <c r="E68" i="5"/>
  <c r="T68" i="5" s="1"/>
  <c r="BH68" i="5"/>
  <c r="BI68" i="5"/>
  <c r="F68" i="5"/>
  <c r="C68" i="5"/>
  <c r="Z66" i="13" l="1"/>
  <c r="AA66" i="13"/>
  <c r="J66" i="12"/>
  <c r="Q66" i="12"/>
  <c r="I66" i="12"/>
  <c r="R66" i="12"/>
  <c r="S66" i="12"/>
  <c r="W67" i="13"/>
  <c r="X67" i="13"/>
  <c r="Y67" i="13"/>
  <c r="F68" i="13"/>
  <c r="D69" i="13"/>
  <c r="BG68" i="13"/>
  <c r="E68" i="13"/>
  <c r="T68" i="13" s="1"/>
  <c r="BH68" i="13"/>
  <c r="C68" i="13"/>
  <c r="O65" i="12"/>
  <c r="W66" i="12"/>
  <c r="X66" i="12"/>
  <c r="Y66" i="12"/>
  <c r="S67" i="13"/>
  <c r="Q67" i="13"/>
  <c r="R67" i="13"/>
  <c r="I67" i="13"/>
  <c r="J67" i="13"/>
  <c r="O67" i="13" s="1"/>
  <c r="Z65" i="12"/>
  <c r="AA65" i="12"/>
  <c r="BG67" i="12"/>
  <c r="D68" i="12"/>
  <c r="BH67" i="12"/>
  <c r="BI67" i="12"/>
  <c r="C67" i="12"/>
  <c r="E67" i="12"/>
  <c r="T67" i="12" s="1"/>
  <c r="F67" i="12"/>
  <c r="O67" i="5"/>
  <c r="W68" i="5"/>
  <c r="X68" i="5"/>
  <c r="Y68" i="5"/>
  <c r="AA67" i="5"/>
  <c r="Z67" i="5"/>
  <c r="S68" i="5"/>
  <c r="R68" i="5"/>
  <c r="J68" i="5"/>
  <c r="Q68" i="5"/>
  <c r="I68" i="5"/>
  <c r="BH69" i="5"/>
  <c r="BG69" i="5"/>
  <c r="F69" i="5"/>
  <c r="D70" i="5"/>
  <c r="BI69" i="5"/>
  <c r="E69" i="5"/>
  <c r="T69" i="5" s="1"/>
  <c r="C69" i="5"/>
  <c r="X67" i="12" l="1"/>
  <c r="W67" i="12"/>
  <c r="Y67" i="12"/>
  <c r="Y68" i="13"/>
  <c r="X68" i="13"/>
  <c r="W68" i="13"/>
  <c r="BH69" i="13"/>
  <c r="D70" i="13"/>
  <c r="BG69" i="13"/>
  <c r="C69" i="13"/>
  <c r="F69" i="13"/>
  <c r="E69" i="13"/>
  <c r="T69" i="13" s="1"/>
  <c r="Z66" i="12"/>
  <c r="AA66" i="12"/>
  <c r="R68" i="13"/>
  <c r="S68" i="13"/>
  <c r="J68" i="13"/>
  <c r="I68" i="13"/>
  <c r="Q68" i="13"/>
  <c r="O66" i="12"/>
  <c r="S67" i="12"/>
  <c r="Q67" i="12"/>
  <c r="R67" i="12"/>
  <c r="J67" i="12"/>
  <c r="I67" i="12"/>
  <c r="D69" i="12"/>
  <c r="F68" i="12"/>
  <c r="BH68" i="12"/>
  <c r="E68" i="12"/>
  <c r="T68" i="12" s="1"/>
  <c r="BG68" i="12"/>
  <c r="BI68" i="12"/>
  <c r="C68" i="12"/>
  <c r="AA67" i="13"/>
  <c r="Z67" i="13"/>
  <c r="AA68" i="5"/>
  <c r="Z68" i="5"/>
  <c r="S69" i="5"/>
  <c r="Q69" i="5"/>
  <c r="R69" i="5"/>
  <c r="I69" i="5"/>
  <c r="J69" i="5"/>
  <c r="O68" i="5"/>
  <c r="Y69" i="5"/>
  <c r="X69" i="5"/>
  <c r="W69" i="5"/>
  <c r="BG70" i="5"/>
  <c r="BH70" i="5"/>
  <c r="D71" i="5"/>
  <c r="E70" i="5"/>
  <c r="T70" i="5" s="1"/>
  <c r="BI70" i="5"/>
  <c r="F70" i="5"/>
  <c r="C70" i="5"/>
  <c r="O68" i="13" l="1"/>
  <c r="W68" i="12"/>
  <c r="Y68" i="12"/>
  <c r="X68" i="12"/>
  <c r="O67" i="12"/>
  <c r="BG70" i="13"/>
  <c r="E70" i="13"/>
  <c r="T70" i="13" s="1"/>
  <c r="F70" i="13"/>
  <c r="BH70" i="13"/>
  <c r="D71" i="13"/>
  <c r="C70" i="13"/>
  <c r="Q68" i="12"/>
  <c r="J68" i="12"/>
  <c r="R68" i="12"/>
  <c r="I68" i="12"/>
  <c r="S68" i="12"/>
  <c r="J69" i="13"/>
  <c r="S69" i="13"/>
  <c r="Q69" i="13"/>
  <c r="I69" i="13"/>
  <c r="R69" i="13"/>
  <c r="C71" i="5"/>
  <c r="F69" i="12"/>
  <c r="D70" i="12"/>
  <c r="BI69" i="12"/>
  <c r="C69" i="12"/>
  <c r="BG69" i="12"/>
  <c r="E69" i="12"/>
  <c r="T69" i="12" s="1"/>
  <c r="BH69" i="12"/>
  <c r="W69" i="13"/>
  <c r="X69" i="13"/>
  <c r="Y69" i="13"/>
  <c r="Z68" i="13"/>
  <c r="AA68" i="13"/>
  <c r="AA67" i="12"/>
  <c r="Z67" i="12"/>
  <c r="O69" i="5"/>
  <c r="X70" i="5"/>
  <c r="W70" i="5"/>
  <c r="Y70" i="5"/>
  <c r="BG71" i="5"/>
  <c r="BH71" i="5"/>
  <c r="BI71" i="5"/>
  <c r="E71" i="5"/>
  <c r="T71" i="5" s="1"/>
  <c r="D72" i="5"/>
  <c r="F71" i="5"/>
  <c r="S70" i="5"/>
  <c r="J70" i="5"/>
  <c r="R70" i="5"/>
  <c r="Q70" i="5"/>
  <c r="I70" i="5"/>
  <c r="Z69" i="5"/>
  <c r="AA69" i="5"/>
  <c r="O69" i="13" l="1"/>
  <c r="O68" i="12"/>
  <c r="D71" i="12"/>
  <c r="E70" i="12"/>
  <c r="T70" i="12" s="1"/>
  <c r="BH70" i="12"/>
  <c r="BI70" i="12"/>
  <c r="BG70" i="12"/>
  <c r="F70" i="12"/>
  <c r="C70" i="12"/>
  <c r="R70" i="13"/>
  <c r="S70" i="13"/>
  <c r="I70" i="13"/>
  <c r="J70" i="13"/>
  <c r="Q70" i="13"/>
  <c r="Z68" i="12"/>
  <c r="AA68" i="12"/>
  <c r="AA69" i="13"/>
  <c r="Z69" i="13"/>
  <c r="S69" i="12"/>
  <c r="Q69" i="12"/>
  <c r="J69" i="12"/>
  <c r="R69" i="12"/>
  <c r="I69" i="12"/>
  <c r="W70" i="13"/>
  <c r="Y70" i="13"/>
  <c r="X70" i="13"/>
  <c r="W69" i="12"/>
  <c r="X69" i="12"/>
  <c r="Y69" i="12"/>
  <c r="X71" i="5"/>
  <c r="W71" i="5"/>
  <c r="Y71" i="5"/>
  <c r="C71" i="13"/>
  <c r="BG71" i="13"/>
  <c r="F71" i="13"/>
  <c r="D72" i="13"/>
  <c r="E71" i="13"/>
  <c r="T71" i="13" s="1"/>
  <c r="BH71" i="13"/>
  <c r="O70" i="5"/>
  <c r="BG72" i="5"/>
  <c r="BH72" i="5"/>
  <c r="F72" i="5"/>
  <c r="D73" i="5"/>
  <c r="E72" i="5"/>
  <c r="T72" i="5" s="1"/>
  <c r="BI72" i="5"/>
  <c r="C72" i="5"/>
  <c r="S71" i="5"/>
  <c r="J71" i="5"/>
  <c r="O71" i="5" s="1"/>
  <c r="Q71" i="5"/>
  <c r="I71" i="5"/>
  <c r="R71" i="5"/>
  <c r="AA70" i="5"/>
  <c r="Z70" i="5"/>
  <c r="Q70" i="12" l="1"/>
  <c r="J70" i="12"/>
  <c r="I70" i="12"/>
  <c r="R70" i="12"/>
  <c r="S70" i="12"/>
  <c r="J71" i="13"/>
  <c r="Q71" i="13"/>
  <c r="S71" i="13"/>
  <c r="I71" i="13"/>
  <c r="R71" i="13"/>
  <c r="AA69" i="12"/>
  <c r="Z69" i="12"/>
  <c r="C71" i="12"/>
  <c r="BI71" i="12"/>
  <c r="D72" i="12"/>
  <c r="BH71" i="12"/>
  <c r="E71" i="12"/>
  <c r="T71" i="12" s="1"/>
  <c r="F71" i="12"/>
  <c r="BG71" i="12"/>
  <c r="BG72" i="13"/>
  <c r="C72" i="13"/>
  <c r="D73" i="13"/>
  <c r="E72" i="13"/>
  <c r="T72" i="13" s="1"/>
  <c r="BH72" i="13"/>
  <c r="F72" i="13"/>
  <c r="Z71" i="5"/>
  <c r="AA71" i="5"/>
  <c r="AA70" i="13"/>
  <c r="Z70" i="13"/>
  <c r="Y71" i="13"/>
  <c r="X71" i="13"/>
  <c r="W71" i="13"/>
  <c r="O69" i="12"/>
  <c r="O70" i="13"/>
  <c r="Y70" i="12"/>
  <c r="W70" i="12"/>
  <c r="X70" i="12"/>
  <c r="X72" i="5"/>
  <c r="W72" i="5"/>
  <c r="Y72" i="5"/>
  <c r="BH73" i="5"/>
  <c r="BG73" i="5"/>
  <c r="F73" i="5"/>
  <c r="E73" i="5"/>
  <c r="T73" i="5" s="1"/>
  <c r="D74" i="5"/>
  <c r="BI73" i="5"/>
  <c r="C73" i="5"/>
  <c r="S72" i="5"/>
  <c r="Q72" i="5"/>
  <c r="R72" i="5"/>
  <c r="J72" i="5"/>
  <c r="I72" i="5"/>
  <c r="O70" i="12" l="1"/>
  <c r="Z70" i="12"/>
  <c r="AA70" i="12"/>
  <c r="R72" i="13"/>
  <c r="Q72" i="13"/>
  <c r="I72" i="13"/>
  <c r="S72" i="13"/>
  <c r="J72" i="13"/>
  <c r="O72" i="13" s="1"/>
  <c r="Y72" i="13"/>
  <c r="W72" i="13"/>
  <c r="X72" i="13"/>
  <c r="J71" i="12"/>
  <c r="O71" i="12" s="1"/>
  <c r="I71" i="12"/>
  <c r="R71" i="12"/>
  <c r="S71" i="12"/>
  <c r="Q71" i="12"/>
  <c r="Z71" i="13"/>
  <c r="AA71" i="13"/>
  <c r="BI72" i="12"/>
  <c r="C72" i="12"/>
  <c r="BG72" i="12"/>
  <c r="D73" i="12"/>
  <c r="F72" i="12"/>
  <c r="E72" i="12"/>
  <c r="T72" i="12" s="1"/>
  <c r="BH72" i="12"/>
  <c r="O71" i="13"/>
  <c r="BG73" i="13"/>
  <c r="C73" i="13"/>
  <c r="E73" i="13"/>
  <c r="T73" i="13" s="1"/>
  <c r="D74" i="13"/>
  <c r="F73" i="13"/>
  <c r="BH73" i="13"/>
  <c r="Y71" i="12"/>
  <c r="X71" i="12"/>
  <c r="W71" i="12"/>
  <c r="O72" i="5"/>
  <c r="BG74" i="5"/>
  <c r="BH74" i="5"/>
  <c r="D75" i="5"/>
  <c r="E74" i="5"/>
  <c r="T74" i="5" s="1"/>
  <c r="F74" i="5"/>
  <c r="BI74" i="5"/>
  <c r="C74" i="5"/>
  <c r="Z72" i="5"/>
  <c r="AA72" i="5"/>
  <c r="X73" i="5"/>
  <c r="W73" i="5"/>
  <c r="Y73" i="5"/>
  <c r="R73" i="5"/>
  <c r="S73" i="5"/>
  <c r="I73" i="5"/>
  <c r="J73" i="5"/>
  <c r="Q73" i="5"/>
  <c r="X73" i="13" l="1"/>
  <c r="Y73" i="13"/>
  <c r="W73" i="13"/>
  <c r="W72" i="12"/>
  <c r="Y72" i="12"/>
  <c r="X72" i="12"/>
  <c r="I73" i="13"/>
  <c r="J73" i="13"/>
  <c r="Q73" i="13"/>
  <c r="S73" i="13"/>
  <c r="R73" i="13"/>
  <c r="S72" i="12"/>
  <c r="Q72" i="12"/>
  <c r="R72" i="12"/>
  <c r="J72" i="12"/>
  <c r="I72" i="12"/>
  <c r="AA72" i="13"/>
  <c r="Z72" i="13"/>
  <c r="AA71" i="12"/>
  <c r="Z71" i="12"/>
  <c r="F74" i="13"/>
  <c r="BG74" i="13"/>
  <c r="BH74" i="13"/>
  <c r="D75" i="13"/>
  <c r="C74" i="13"/>
  <c r="E74" i="13"/>
  <c r="T74" i="13" s="1"/>
  <c r="C73" i="12"/>
  <c r="F73" i="12"/>
  <c r="BI73" i="12"/>
  <c r="BH73" i="12"/>
  <c r="D74" i="12"/>
  <c r="BG73" i="12"/>
  <c r="E73" i="12"/>
  <c r="T73" i="12" s="1"/>
  <c r="O73" i="5"/>
  <c r="BG75" i="5"/>
  <c r="BH75" i="5"/>
  <c r="BI75" i="5"/>
  <c r="F75" i="5"/>
  <c r="E75" i="5"/>
  <c r="T75" i="5" s="1"/>
  <c r="D76" i="5"/>
  <c r="C75" i="5"/>
  <c r="I74" i="5"/>
  <c r="J74" i="5"/>
  <c r="R74" i="5"/>
  <c r="Q74" i="5"/>
  <c r="S74" i="5"/>
  <c r="AA73" i="5"/>
  <c r="Z73" i="5"/>
  <c r="Y74" i="5"/>
  <c r="X74" i="5"/>
  <c r="W74" i="5"/>
  <c r="O73" i="13" l="1"/>
  <c r="Z72" i="12"/>
  <c r="AA72" i="12"/>
  <c r="Y74" i="13"/>
  <c r="X74" i="13"/>
  <c r="W74" i="13"/>
  <c r="I74" i="13"/>
  <c r="S74" i="13"/>
  <c r="J74" i="13"/>
  <c r="R74" i="13"/>
  <c r="Q74" i="13"/>
  <c r="Z73" i="13"/>
  <c r="AA73" i="13"/>
  <c r="J73" i="12"/>
  <c r="S73" i="12"/>
  <c r="I73" i="12"/>
  <c r="R73" i="12"/>
  <c r="Q73" i="12"/>
  <c r="BG75" i="13"/>
  <c r="C75" i="13"/>
  <c r="D76" i="13"/>
  <c r="E75" i="13"/>
  <c r="T75" i="13" s="1"/>
  <c r="F75" i="13"/>
  <c r="BH75" i="13"/>
  <c r="D75" i="12"/>
  <c r="BH74" i="12"/>
  <c r="E74" i="12"/>
  <c r="T74" i="12" s="1"/>
  <c r="BG74" i="12"/>
  <c r="C74" i="12"/>
  <c r="BI74" i="12"/>
  <c r="F74" i="12"/>
  <c r="Y73" i="12"/>
  <c r="X73" i="12"/>
  <c r="W73" i="12"/>
  <c r="O72" i="12"/>
  <c r="W75" i="5"/>
  <c r="Y75" i="5"/>
  <c r="X75" i="5"/>
  <c r="S75" i="5"/>
  <c r="R75" i="5"/>
  <c r="J75" i="5"/>
  <c r="Q75" i="5"/>
  <c r="I75" i="5"/>
  <c r="AA74" i="5"/>
  <c r="Z74" i="5"/>
  <c r="O74" i="5"/>
  <c r="BG76" i="5"/>
  <c r="BH76" i="5"/>
  <c r="F76" i="5"/>
  <c r="D77" i="5"/>
  <c r="E76" i="5"/>
  <c r="T76" i="5" s="1"/>
  <c r="BI76" i="5"/>
  <c r="C76" i="5"/>
  <c r="O75" i="13"/>
  <c r="O74" i="13" l="1"/>
  <c r="I74" i="12"/>
  <c r="R74" i="12"/>
  <c r="J74" i="12"/>
  <c r="O74" i="12" s="1"/>
  <c r="S74" i="12"/>
  <c r="Q74" i="12"/>
  <c r="R75" i="13"/>
  <c r="I75" i="13"/>
  <c r="S75" i="13"/>
  <c r="J75" i="13"/>
  <c r="Q75" i="13"/>
  <c r="Z73" i="12"/>
  <c r="AA73" i="12"/>
  <c r="W74" i="12"/>
  <c r="Y74" i="12"/>
  <c r="X74" i="12"/>
  <c r="E75" i="12"/>
  <c r="T75" i="12" s="1"/>
  <c r="BH75" i="12"/>
  <c r="BG75" i="12"/>
  <c r="BI75" i="12"/>
  <c r="F75" i="12"/>
  <c r="D76" i="12"/>
  <c r="C75" i="12"/>
  <c r="O73" i="12"/>
  <c r="E76" i="13"/>
  <c r="T76" i="13" s="1"/>
  <c r="C76" i="13"/>
  <c r="D77" i="13"/>
  <c r="BH76" i="13"/>
  <c r="F76" i="13"/>
  <c r="BG76" i="13"/>
  <c r="Z74" i="13"/>
  <c r="AA74" i="13"/>
  <c r="W75" i="13"/>
  <c r="X75" i="13"/>
  <c r="Y75" i="13"/>
  <c r="O75" i="5"/>
  <c r="BH77" i="5"/>
  <c r="BG77" i="5"/>
  <c r="F77" i="5"/>
  <c r="E77" i="5"/>
  <c r="T77" i="5" s="1"/>
  <c r="D78" i="5"/>
  <c r="BI77" i="5"/>
  <c r="C77" i="5"/>
  <c r="Y76" i="5"/>
  <c r="W76" i="5"/>
  <c r="X76" i="5"/>
  <c r="S76" i="5"/>
  <c r="Q76" i="5"/>
  <c r="I76" i="5"/>
  <c r="R76" i="5"/>
  <c r="J76" i="5"/>
  <c r="Z75" i="5"/>
  <c r="AA75" i="5"/>
  <c r="O75" i="12"/>
  <c r="Q76" i="13" l="1"/>
  <c r="S76" i="13"/>
  <c r="R76" i="13"/>
  <c r="J76" i="13"/>
  <c r="I76" i="13"/>
  <c r="I75" i="12"/>
  <c r="Q75" i="12"/>
  <c r="R75" i="12"/>
  <c r="S75" i="12"/>
  <c r="J75" i="12"/>
  <c r="Z74" i="12"/>
  <c r="AA74" i="12"/>
  <c r="D78" i="13"/>
  <c r="BG77" i="13"/>
  <c r="C77" i="13"/>
  <c r="F77" i="13"/>
  <c r="BH77" i="13"/>
  <c r="E77" i="13"/>
  <c r="T77" i="13" s="1"/>
  <c r="X75" i="12"/>
  <c r="Y75" i="12"/>
  <c r="W75" i="12"/>
  <c r="Z75" i="13"/>
  <c r="AA75" i="13"/>
  <c r="W76" i="13"/>
  <c r="Y76" i="13"/>
  <c r="X76" i="13"/>
  <c r="D77" i="12"/>
  <c r="E76" i="12"/>
  <c r="T76" i="12" s="1"/>
  <c r="BI76" i="12"/>
  <c r="BH76" i="12"/>
  <c r="F76" i="12"/>
  <c r="BG76" i="12"/>
  <c r="C76" i="12"/>
  <c r="Z76" i="5"/>
  <c r="AA76" i="5"/>
  <c r="BG78" i="5"/>
  <c r="BH78" i="5"/>
  <c r="D79" i="5"/>
  <c r="E78" i="5"/>
  <c r="T78" i="5" s="1"/>
  <c r="F78" i="5"/>
  <c r="BI78" i="5"/>
  <c r="C78" i="5"/>
  <c r="O76" i="5"/>
  <c r="X77" i="5"/>
  <c r="W77" i="5"/>
  <c r="Y77" i="5"/>
  <c r="R77" i="5"/>
  <c r="J77" i="5"/>
  <c r="Q77" i="5"/>
  <c r="I77" i="5"/>
  <c r="S77" i="5"/>
  <c r="S77" i="13" l="1"/>
  <c r="Q77" i="13"/>
  <c r="I77" i="13"/>
  <c r="J77" i="13"/>
  <c r="R77" i="13"/>
  <c r="O76" i="13"/>
  <c r="F77" i="12"/>
  <c r="BG77" i="12"/>
  <c r="D78" i="12"/>
  <c r="BH77" i="12"/>
  <c r="E77" i="12"/>
  <c r="T77" i="12" s="1"/>
  <c r="BI77" i="12"/>
  <c r="C77" i="12"/>
  <c r="AA76" i="13"/>
  <c r="Z76" i="13"/>
  <c r="Z75" i="12"/>
  <c r="AA75" i="12"/>
  <c r="X77" i="13"/>
  <c r="W77" i="13"/>
  <c r="Y77" i="13"/>
  <c r="I76" i="12"/>
  <c r="S76" i="12"/>
  <c r="Q76" i="12"/>
  <c r="J76" i="12"/>
  <c r="R76" i="12"/>
  <c r="Y76" i="12"/>
  <c r="X76" i="12"/>
  <c r="W76" i="12"/>
  <c r="E78" i="13"/>
  <c r="T78" i="13" s="1"/>
  <c r="BH78" i="13"/>
  <c r="F78" i="13"/>
  <c r="BG78" i="13"/>
  <c r="C78" i="13"/>
  <c r="D79" i="13"/>
  <c r="X78" i="5"/>
  <c r="W78" i="5"/>
  <c r="Y78" i="5"/>
  <c r="BG79" i="5"/>
  <c r="BH79" i="5"/>
  <c r="BI79" i="5"/>
  <c r="F79" i="5"/>
  <c r="E79" i="5"/>
  <c r="T79" i="5" s="1"/>
  <c r="D80" i="5"/>
  <c r="C79" i="5"/>
  <c r="Z77" i="5"/>
  <c r="AA77" i="5"/>
  <c r="I78" i="5"/>
  <c r="Q78" i="5"/>
  <c r="J78" i="5"/>
  <c r="R78" i="5"/>
  <c r="S78" i="5"/>
  <c r="O77" i="5"/>
  <c r="O77" i="13" l="1"/>
  <c r="O76" i="12"/>
  <c r="S78" i="13"/>
  <c r="J78" i="13"/>
  <c r="Q78" i="13"/>
  <c r="R78" i="13"/>
  <c r="I78" i="13"/>
  <c r="AA76" i="12"/>
  <c r="Z76" i="12"/>
  <c r="S77" i="12"/>
  <c r="R77" i="12"/>
  <c r="J77" i="12"/>
  <c r="I77" i="12"/>
  <c r="Q77" i="12"/>
  <c r="E79" i="13"/>
  <c r="T79" i="13" s="1"/>
  <c r="BH79" i="13"/>
  <c r="F79" i="13"/>
  <c r="D80" i="13"/>
  <c r="BG79" i="13"/>
  <c r="C79" i="13"/>
  <c r="AA77" i="13"/>
  <c r="Z77" i="13"/>
  <c r="Y78" i="13"/>
  <c r="W78" i="13"/>
  <c r="X78" i="13"/>
  <c r="W77" i="12"/>
  <c r="Y77" i="12"/>
  <c r="X77" i="12"/>
  <c r="BG78" i="12"/>
  <c r="BI78" i="12"/>
  <c r="F78" i="12"/>
  <c r="C78" i="12"/>
  <c r="E78" i="12"/>
  <c r="T78" i="12" s="1"/>
  <c r="D79" i="12"/>
  <c r="BH78" i="12"/>
  <c r="BG80" i="5"/>
  <c r="BH80" i="5"/>
  <c r="F80" i="5"/>
  <c r="D81" i="5"/>
  <c r="E80" i="5"/>
  <c r="T80" i="5" s="1"/>
  <c r="BI80" i="5"/>
  <c r="C80" i="5"/>
  <c r="Z78" i="5"/>
  <c r="AA78" i="5"/>
  <c r="O78" i="5"/>
  <c r="Y79" i="5"/>
  <c r="X79" i="5"/>
  <c r="W79" i="5"/>
  <c r="S79" i="5"/>
  <c r="J79" i="5"/>
  <c r="Q79" i="5"/>
  <c r="R79" i="5"/>
  <c r="I79" i="5"/>
  <c r="O77" i="12" l="1"/>
  <c r="O78" i="13"/>
  <c r="Z78" i="13"/>
  <c r="AA78" i="13"/>
  <c r="I79" i="13"/>
  <c r="R79" i="13"/>
  <c r="Q79" i="13"/>
  <c r="J79" i="13"/>
  <c r="S79" i="13"/>
  <c r="X78" i="12"/>
  <c r="W78" i="12"/>
  <c r="Y78" i="12"/>
  <c r="AA77" i="12"/>
  <c r="Z77" i="12"/>
  <c r="W79" i="13"/>
  <c r="Y79" i="13"/>
  <c r="X79" i="13"/>
  <c r="S78" i="12"/>
  <c r="I78" i="12"/>
  <c r="J78" i="12"/>
  <c r="Q78" i="12"/>
  <c r="R78" i="12"/>
  <c r="BH79" i="12"/>
  <c r="BI79" i="12"/>
  <c r="D80" i="12"/>
  <c r="C79" i="12"/>
  <c r="E79" i="12"/>
  <c r="T79" i="12" s="1"/>
  <c r="F79" i="12"/>
  <c r="BG79" i="12"/>
  <c r="BG80" i="13"/>
  <c r="BH80" i="13"/>
  <c r="C80" i="13"/>
  <c r="D81" i="13"/>
  <c r="E80" i="13"/>
  <c r="T80" i="13" s="1"/>
  <c r="F80" i="13"/>
  <c r="O79" i="5"/>
  <c r="X80" i="5"/>
  <c r="W80" i="5"/>
  <c r="Y80" i="5"/>
  <c r="BH81" i="5"/>
  <c r="BG81" i="5"/>
  <c r="F81" i="5"/>
  <c r="E81" i="5"/>
  <c r="T81" i="5" s="1"/>
  <c r="D82" i="5"/>
  <c r="BI81" i="5"/>
  <c r="C81" i="5"/>
  <c r="S80" i="5"/>
  <c r="Q80" i="5"/>
  <c r="J80" i="5"/>
  <c r="R80" i="5"/>
  <c r="I80" i="5"/>
  <c r="Z79" i="5"/>
  <c r="AA79" i="5"/>
  <c r="Y79" i="12" l="1"/>
  <c r="X79" i="12"/>
  <c r="W79" i="12"/>
  <c r="Z78" i="12"/>
  <c r="AA78" i="12"/>
  <c r="E81" i="13"/>
  <c r="T81" i="13" s="1"/>
  <c r="BH81" i="13"/>
  <c r="F81" i="13"/>
  <c r="BG81" i="13"/>
  <c r="C81" i="13"/>
  <c r="D82" i="13"/>
  <c r="BG80" i="12"/>
  <c r="E80" i="12"/>
  <c r="T80" i="12" s="1"/>
  <c r="BI80" i="12"/>
  <c r="BH80" i="12"/>
  <c r="C80" i="12"/>
  <c r="D81" i="12"/>
  <c r="F80" i="12"/>
  <c r="AA79" i="13"/>
  <c r="Z79" i="13"/>
  <c r="W80" i="13"/>
  <c r="Y80" i="13"/>
  <c r="X80" i="13"/>
  <c r="I79" i="12"/>
  <c r="J79" i="12"/>
  <c r="R79" i="12"/>
  <c r="S79" i="12"/>
  <c r="Q79" i="12"/>
  <c r="O78" i="12"/>
  <c r="O79" i="13"/>
  <c r="R80" i="13"/>
  <c r="Q80" i="13"/>
  <c r="I80" i="13"/>
  <c r="S80" i="13"/>
  <c r="J80" i="13"/>
  <c r="O80" i="13" s="1"/>
  <c r="O80" i="5"/>
  <c r="W81" i="5"/>
  <c r="X81" i="5"/>
  <c r="Y81" i="5"/>
  <c r="R81" i="5"/>
  <c r="S81" i="5"/>
  <c r="Q81" i="5"/>
  <c r="J81" i="5"/>
  <c r="I81" i="5"/>
  <c r="BG82" i="5"/>
  <c r="BH82" i="5"/>
  <c r="E82" i="5"/>
  <c r="T82" i="5" s="1"/>
  <c r="BI82" i="5"/>
  <c r="F82" i="5"/>
  <c r="D83" i="5"/>
  <c r="C82" i="5"/>
  <c r="Z80" i="5"/>
  <c r="AA80" i="5"/>
  <c r="O79" i="12" l="1"/>
  <c r="Y80" i="12"/>
  <c r="X80" i="12"/>
  <c r="W80" i="12"/>
  <c r="J81" i="13"/>
  <c r="Q81" i="13"/>
  <c r="R81" i="13"/>
  <c r="I81" i="13"/>
  <c r="S81" i="13"/>
  <c r="Z80" i="13"/>
  <c r="AA80" i="13"/>
  <c r="BH82" i="13"/>
  <c r="C82" i="13"/>
  <c r="BG82" i="13"/>
  <c r="E82" i="13"/>
  <c r="T82" i="13" s="1"/>
  <c r="F82" i="13"/>
  <c r="D83" i="13"/>
  <c r="I80" i="12"/>
  <c r="Q80" i="12"/>
  <c r="S80" i="12"/>
  <c r="J80" i="12"/>
  <c r="R80" i="12"/>
  <c r="W81" i="13"/>
  <c r="Y81" i="13"/>
  <c r="X81" i="13"/>
  <c r="Z79" i="12"/>
  <c r="AA79" i="12"/>
  <c r="BH81" i="12"/>
  <c r="F81" i="12"/>
  <c r="C81" i="12"/>
  <c r="D82" i="12"/>
  <c r="BG81" i="12"/>
  <c r="E81" i="12"/>
  <c r="T81" i="12" s="1"/>
  <c r="BI81" i="12"/>
  <c r="S82" i="5"/>
  <c r="J82" i="5"/>
  <c r="Q82" i="5"/>
  <c r="I82" i="5"/>
  <c r="R82" i="5"/>
  <c r="O81" i="5"/>
  <c r="X82" i="5"/>
  <c r="W82" i="5"/>
  <c r="Y82" i="5"/>
  <c r="BG83" i="5"/>
  <c r="BH83" i="5"/>
  <c r="D84" i="5"/>
  <c r="E83" i="5"/>
  <c r="T83" i="5" s="1"/>
  <c r="BI83" i="5"/>
  <c r="F83" i="5"/>
  <c r="C83" i="5"/>
  <c r="AA81" i="5"/>
  <c r="Z81" i="5"/>
  <c r="O80" i="12" l="1"/>
  <c r="Y81" i="12"/>
  <c r="W81" i="12"/>
  <c r="X81" i="12"/>
  <c r="J82" i="13"/>
  <c r="Q82" i="13"/>
  <c r="I82" i="13"/>
  <c r="R82" i="13"/>
  <c r="S82" i="13"/>
  <c r="X82" i="13"/>
  <c r="W82" i="13"/>
  <c r="Y82" i="13"/>
  <c r="O81" i="13"/>
  <c r="Z81" i="13"/>
  <c r="AA81" i="13"/>
  <c r="R81" i="12"/>
  <c r="S81" i="12"/>
  <c r="Q81" i="12"/>
  <c r="I81" i="12"/>
  <c r="J81" i="12"/>
  <c r="O82" i="5"/>
  <c r="Z80" i="12"/>
  <c r="AA80" i="12"/>
  <c r="BG82" i="12"/>
  <c r="C82" i="12"/>
  <c r="E82" i="12"/>
  <c r="T82" i="12" s="1"/>
  <c r="F82" i="12"/>
  <c r="D83" i="12"/>
  <c r="BH82" i="12"/>
  <c r="BI82" i="12"/>
  <c r="E83" i="13"/>
  <c r="T83" i="13" s="1"/>
  <c r="D84" i="13"/>
  <c r="BH83" i="13"/>
  <c r="F83" i="13"/>
  <c r="BG83" i="13"/>
  <c r="C83" i="13"/>
  <c r="BG84" i="5"/>
  <c r="BH84" i="5"/>
  <c r="BI84" i="5"/>
  <c r="D85" i="5"/>
  <c r="F84" i="5"/>
  <c r="E84" i="5"/>
  <c r="T84" i="5" s="1"/>
  <c r="C84" i="5"/>
  <c r="AA82" i="5"/>
  <c r="Z82" i="5"/>
  <c r="S83" i="5"/>
  <c r="Q83" i="5"/>
  <c r="I83" i="5"/>
  <c r="J83" i="5"/>
  <c r="R83" i="5"/>
  <c r="Y83" i="5"/>
  <c r="X83" i="5"/>
  <c r="W83" i="5"/>
  <c r="O82" i="13" l="1"/>
  <c r="J82" i="12"/>
  <c r="Q82" i="12"/>
  <c r="R82" i="12"/>
  <c r="S82" i="12"/>
  <c r="I82" i="12"/>
  <c r="O81" i="12"/>
  <c r="AA81" i="12"/>
  <c r="Z81" i="12"/>
  <c r="X83" i="13"/>
  <c r="W83" i="13"/>
  <c r="Y83" i="13"/>
  <c r="F84" i="13"/>
  <c r="BG84" i="13"/>
  <c r="D85" i="13"/>
  <c r="E84" i="13"/>
  <c r="T84" i="13" s="1"/>
  <c r="BH84" i="13"/>
  <c r="C84" i="13"/>
  <c r="Y82" i="12"/>
  <c r="X82" i="12"/>
  <c r="W82" i="12"/>
  <c r="D84" i="12"/>
  <c r="BH83" i="12"/>
  <c r="E83" i="12"/>
  <c r="T83" i="12" s="1"/>
  <c r="BG83" i="12"/>
  <c r="F83" i="12"/>
  <c r="BI83" i="12"/>
  <c r="C83" i="12"/>
  <c r="AA82" i="13"/>
  <c r="Z82" i="13"/>
  <c r="R83" i="13"/>
  <c r="S83" i="13"/>
  <c r="I83" i="13"/>
  <c r="Q83" i="13"/>
  <c r="J83" i="13"/>
  <c r="O83" i="5"/>
  <c r="R84" i="5"/>
  <c r="S84" i="5"/>
  <c r="Q84" i="5"/>
  <c r="I84" i="5"/>
  <c r="J84" i="5"/>
  <c r="Z83" i="5"/>
  <c r="AA83" i="5"/>
  <c r="BH85" i="5"/>
  <c r="BG85" i="5"/>
  <c r="BI85" i="5"/>
  <c r="F85" i="5"/>
  <c r="E85" i="5"/>
  <c r="T85" i="5" s="1"/>
  <c r="D86" i="5"/>
  <c r="C85" i="5"/>
  <c r="Y84" i="5"/>
  <c r="X84" i="5"/>
  <c r="W84" i="5"/>
  <c r="S84" i="13" l="1"/>
  <c r="Q84" i="13"/>
  <c r="I84" i="13"/>
  <c r="J84" i="13"/>
  <c r="R84" i="13"/>
  <c r="X83" i="12"/>
  <c r="W83" i="12"/>
  <c r="Y83" i="12"/>
  <c r="AA82" i="12"/>
  <c r="Z82" i="12"/>
  <c r="O83" i="13"/>
  <c r="BH85" i="13"/>
  <c r="F85" i="13"/>
  <c r="BG85" i="13"/>
  <c r="C85" i="13"/>
  <c r="E85" i="13"/>
  <c r="T85" i="13" s="1"/>
  <c r="D86" i="13"/>
  <c r="S83" i="12"/>
  <c r="Q83" i="12"/>
  <c r="I83" i="12"/>
  <c r="R83" i="12"/>
  <c r="J83" i="12"/>
  <c r="E84" i="12"/>
  <c r="T84" i="12" s="1"/>
  <c r="BH84" i="12"/>
  <c r="BI84" i="12"/>
  <c r="BG84" i="12"/>
  <c r="F84" i="12"/>
  <c r="D85" i="12"/>
  <c r="C84" i="12"/>
  <c r="X84" i="13"/>
  <c r="W84" i="13"/>
  <c r="Y84" i="13"/>
  <c r="AA83" i="13"/>
  <c r="Z83" i="13"/>
  <c r="O82" i="12"/>
  <c r="O84" i="5"/>
  <c r="BG86" i="5"/>
  <c r="BH86" i="5"/>
  <c r="F86" i="5"/>
  <c r="BI86" i="5"/>
  <c r="E86" i="5"/>
  <c r="T86" i="5" s="1"/>
  <c r="D87" i="5"/>
  <c r="C86" i="5"/>
  <c r="AA84" i="5"/>
  <c r="Z84" i="5"/>
  <c r="X85" i="5"/>
  <c r="Y85" i="5"/>
  <c r="W85" i="5"/>
  <c r="I85" i="5"/>
  <c r="Q85" i="5"/>
  <c r="J85" i="5"/>
  <c r="R85" i="5"/>
  <c r="S85" i="5"/>
  <c r="O84" i="13" l="1"/>
  <c r="S84" i="12"/>
  <c r="Q84" i="12"/>
  <c r="J84" i="12"/>
  <c r="I84" i="12"/>
  <c r="R84" i="12"/>
  <c r="W85" i="13"/>
  <c r="Y85" i="13"/>
  <c r="X85" i="13"/>
  <c r="Z84" i="13"/>
  <c r="AA84" i="13"/>
  <c r="O83" i="12"/>
  <c r="AA83" i="12"/>
  <c r="Z83" i="12"/>
  <c r="X84" i="12"/>
  <c r="Y84" i="12"/>
  <c r="W84" i="12"/>
  <c r="BH86" i="13"/>
  <c r="F86" i="13"/>
  <c r="E86" i="13"/>
  <c r="T86" i="13" s="1"/>
  <c r="D87" i="13"/>
  <c r="BG86" i="13"/>
  <c r="C86" i="13"/>
  <c r="S85" i="13"/>
  <c r="Q85" i="13"/>
  <c r="R85" i="13"/>
  <c r="I85" i="13"/>
  <c r="J85" i="13"/>
  <c r="C85" i="12"/>
  <c r="E85" i="12"/>
  <c r="T85" i="12" s="1"/>
  <c r="BH85" i="12"/>
  <c r="BG85" i="12"/>
  <c r="F85" i="12"/>
  <c r="D86" i="12"/>
  <c r="BI85" i="12"/>
  <c r="S86" i="5"/>
  <c r="R86" i="5"/>
  <c r="J86" i="5"/>
  <c r="Q86" i="5"/>
  <c r="I86" i="5"/>
  <c r="AA85" i="5"/>
  <c r="Z85" i="5"/>
  <c r="BG87" i="5"/>
  <c r="BH87" i="5"/>
  <c r="D88" i="5"/>
  <c r="E87" i="5"/>
  <c r="T87" i="5" s="1"/>
  <c r="BI87" i="5"/>
  <c r="F87" i="5"/>
  <c r="C87" i="5"/>
  <c r="O85" i="5"/>
  <c r="Y86" i="5"/>
  <c r="X86" i="5"/>
  <c r="W86" i="5"/>
  <c r="O85" i="13" l="1"/>
  <c r="O84" i="12"/>
  <c r="AA85" i="13"/>
  <c r="Z85" i="13"/>
  <c r="X86" i="13"/>
  <c r="W86" i="13"/>
  <c r="Y86" i="13"/>
  <c r="J86" i="13"/>
  <c r="S86" i="13"/>
  <c r="R86" i="13"/>
  <c r="Q86" i="13"/>
  <c r="I86" i="13"/>
  <c r="X85" i="12"/>
  <c r="Y85" i="12"/>
  <c r="W85" i="12"/>
  <c r="BG86" i="12"/>
  <c r="BI86" i="12"/>
  <c r="F86" i="12"/>
  <c r="C86" i="12"/>
  <c r="D87" i="12"/>
  <c r="BH86" i="12"/>
  <c r="E86" i="12"/>
  <c r="T86" i="12" s="1"/>
  <c r="AA84" i="12"/>
  <c r="Z84" i="12"/>
  <c r="I85" i="12"/>
  <c r="R85" i="12"/>
  <c r="J85" i="12"/>
  <c r="Q85" i="12"/>
  <c r="S85" i="12"/>
  <c r="C87" i="13"/>
  <c r="E87" i="13"/>
  <c r="T87" i="13" s="1"/>
  <c r="BG87" i="13"/>
  <c r="F87" i="13"/>
  <c r="BH87" i="13"/>
  <c r="D88" i="13"/>
  <c r="O86" i="5"/>
  <c r="Z86" i="5"/>
  <c r="AA86" i="5"/>
  <c r="S87" i="5"/>
  <c r="Q87" i="5"/>
  <c r="I87" i="5"/>
  <c r="R87" i="5"/>
  <c r="J87" i="5"/>
  <c r="X87" i="5"/>
  <c r="W87" i="5"/>
  <c r="Y87" i="5"/>
  <c r="BG88" i="5"/>
  <c r="BH88" i="5"/>
  <c r="BI88" i="5"/>
  <c r="D89" i="5"/>
  <c r="F88" i="5"/>
  <c r="E88" i="5"/>
  <c r="T88" i="5" s="1"/>
  <c r="C88" i="5"/>
  <c r="C89" i="13"/>
  <c r="S87" i="13" l="1"/>
  <c r="J87" i="13"/>
  <c r="R87" i="13"/>
  <c r="Q87" i="13"/>
  <c r="I87" i="13"/>
  <c r="S86" i="12"/>
  <c r="J86" i="12"/>
  <c r="R86" i="12"/>
  <c r="Q86" i="12"/>
  <c r="I86" i="12"/>
  <c r="AA85" i="12"/>
  <c r="Z85" i="12"/>
  <c r="Z86" i="13"/>
  <c r="AA86" i="13"/>
  <c r="BG88" i="13"/>
  <c r="E88" i="13"/>
  <c r="T88" i="13" s="1"/>
  <c r="D89" i="13"/>
  <c r="C88" i="13"/>
  <c r="BH88" i="13"/>
  <c r="F88" i="13"/>
  <c r="O85" i="12"/>
  <c r="BH87" i="12"/>
  <c r="E87" i="12"/>
  <c r="T87" i="12" s="1"/>
  <c r="F87" i="12"/>
  <c r="BG87" i="12"/>
  <c r="BI87" i="12"/>
  <c r="C87" i="12"/>
  <c r="D88" i="12"/>
  <c r="O86" i="13"/>
  <c r="W87" i="13"/>
  <c r="X87" i="13"/>
  <c r="Y87" i="13"/>
  <c r="W86" i="12"/>
  <c r="X86" i="12"/>
  <c r="Y86" i="12"/>
  <c r="O87" i="5"/>
  <c r="BH89" i="5"/>
  <c r="BI89" i="5"/>
  <c r="BG89" i="5"/>
  <c r="F89" i="5"/>
  <c r="E89" i="5"/>
  <c r="T89" i="5" s="1"/>
  <c r="D90" i="5"/>
  <c r="C89" i="5"/>
  <c r="X88" i="5"/>
  <c r="Y88" i="5"/>
  <c r="W88" i="5"/>
  <c r="R88" i="5"/>
  <c r="S88" i="5"/>
  <c r="J88" i="5"/>
  <c r="Q88" i="5"/>
  <c r="I88" i="5"/>
  <c r="Z87" i="5"/>
  <c r="AA87" i="5"/>
  <c r="Y89" i="13"/>
  <c r="X89" i="13"/>
  <c r="W89" i="13"/>
  <c r="C89" i="12"/>
  <c r="O86" i="12" l="1"/>
  <c r="BH88" i="12"/>
  <c r="BI88" i="12"/>
  <c r="D89" i="12"/>
  <c r="E88" i="12"/>
  <c r="T88" i="12" s="1"/>
  <c r="BG88" i="12"/>
  <c r="F88" i="12"/>
  <c r="C88" i="12"/>
  <c r="R87" i="12"/>
  <c r="S87" i="12"/>
  <c r="J87" i="12"/>
  <c r="I87" i="12"/>
  <c r="Q87" i="12"/>
  <c r="J88" i="13"/>
  <c r="S88" i="13"/>
  <c r="Q88" i="13"/>
  <c r="R88" i="13"/>
  <c r="I88" i="13"/>
  <c r="AA87" i="13"/>
  <c r="Z87" i="13"/>
  <c r="Y87" i="12"/>
  <c r="X87" i="12"/>
  <c r="W87" i="12"/>
  <c r="Z86" i="12"/>
  <c r="AA86" i="12"/>
  <c r="X88" i="13"/>
  <c r="Y88" i="13"/>
  <c r="W88" i="13"/>
  <c r="O87" i="13"/>
  <c r="D90" i="13"/>
  <c r="BG89" i="13"/>
  <c r="BH89" i="13"/>
  <c r="F89" i="13"/>
  <c r="E89" i="13"/>
  <c r="T89" i="13" s="1"/>
  <c r="AA88" i="5"/>
  <c r="Z88" i="5"/>
  <c r="Q89" i="5"/>
  <c r="J89" i="5"/>
  <c r="I89" i="5"/>
  <c r="R89" i="5"/>
  <c r="S89" i="5"/>
  <c r="O88" i="5"/>
  <c r="Y89" i="5"/>
  <c r="X89" i="5"/>
  <c r="W89" i="5"/>
  <c r="BG90" i="5"/>
  <c r="BH90" i="5"/>
  <c r="F90" i="5"/>
  <c r="BI90" i="5"/>
  <c r="E90" i="5"/>
  <c r="T90" i="5" s="1"/>
  <c r="D91" i="5"/>
  <c r="C90" i="5"/>
  <c r="O89" i="13"/>
  <c r="Z89" i="13"/>
  <c r="AA89" i="13"/>
  <c r="Y89" i="12"/>
  <c r="X89" i="12"/>
  <c r="W89" i="12"/>
  <c r="O87" i="12" l="1"/>
  <c r="W88" i="12"/>
  <c r="Y88" i="12"/>
  <c r="X88" i="12"/>
  <c r="BI89" i="12"/>
  <c r="BH89" i="12"/>
  <c r="BG89" i="12"/>
  <c r="D90" i="12"/>
  <c r="E89" i="12"/>
  <c r="T89" i="12" s="1"/>
  <c r="F89" i="12"/>
  <c r="BG90" i="13"/>
  <c r="C90" i="13"/>
  <c r="E90" i="13"/>
  <c r="T90" i="13" s="1"/>
  <c r="D91" i="13"/>
  <c r="BH90" i="13"/>
  <c r="F90" i="13"/>
  <c r="AA88" i="13"/>
  <c r="Z88" i="13"/>
  <c r="AA87" i="12"/>
  <c r="Z87" i="12"/>
  <c r="O88" i="13"/>
  <c r="I88" i="12"/>
  <c r="R88" i="12"/>
  <c r="S88" i="12"/>
  <c r="Q88" i="12"/>
  <c r="J88" i="12"/>
  <c r="O88" i="12" s="1"/>
  <c r="R89" i="13"/>
  <c r="Q89" i="13"/>
  <c r="I89" i="13"/>
  <c r="S89" i="13"/>
  <c r="J89" i="13"/>
  <c r="O89" i="5"/>
  <c r="W90" i="5"/>
  <c r="Y90" i="5"/>
  <c r="X90" i="5"/>
  <c r="R90" i="5"/>
  <c r="J90" i="5"/>
  <c r="Q90" i="5"/>
  <c r="S90" i="5"/>
  <c r="I90" i="5"/>
  <c r="BG91" i="5"/>
  <c r="BH91" i="5"/>
  <c r="D92" i="5"/>
  <c r="E91" i="5"/>
  <c r="T91" i="5" s="1"/>
  <c r="BI91" i="5"/>
  <c r="F91" i="5"/>
  <c r="C91" i="5"/>
  <c r="Z89" i="5"/>
  <c r="AA89" i="5"/>
  <c r="AA89" i="12"/>
  <c r="Z89" i="12"/>
  <c r="O89" i="12"/>
  <c r="R90" i="13" l="1"/>
  <c r="I90" i="13"/>
  <c r="Q90" i="13"/>
  <c r="S90" i="13"/>
  <c r="J90" i="13"/>
  <c r="O90" i="13" s="1"/>
  <c r="X90" i="13"/>
  <c r="Y90" i="13"/>
  <c r="W90" i="13"/>
  <c r="F90" i="12"/>
  <c r="C90" i="12"/>
  <c r="BH90" i="12"/>
  <c r="D91" i="12"/>
  <c r="BG90" i="12"/>
  <c r="E90" i="12"/>
  <c r="T90" i="12" s="1"/>
  <c r="BI90" i="12"/>
  <c r="Z88" i="12"/>
  <c r="AA88" i="12"/>
  <c r="D92" i="13"/>
  <c r="BH91" i="13"/>
  <c r="F91" i="13"/>
  <c r="E91" i="13"/>
  <c r="T91" i="13" s="1"/>
  <c r="BG91" i="13"/>
  <c r="C91" i="13"/>
  <c r="S89" i="12"/>
  <c r="R89" i="12"/>
  <c r="J89" i="12"/>
  <c r="Q89" i="12"/>
  <c r="I89" i="12"/>
  <c r="X91" i="5"/>
  <c r="W91" i="5"/>
  <c r="Y91" i="5"/>
  <c r="BG92" i="5"/>
  <c r="BH92" i="5"/>
  <c r="BI92" i="5"/>
  <c r="D93" i="5"/>
  <c r="F92" i="5"/>
  <c r="E92" i="5"/>
  <c r="T92" i="5" s="1"/>
  <c r="C92" i="5"/>
  <c r="S91" i="5"/>
  <c r="Q91" i="5"/>
  <c r="R91" i="5"/>
  <c r="I91" i="5"/>
  <c r="J91" i="5"/>
  <c r="Z90" i="5"/>
  <c r="AA90" i="5"/>
  <c r="O90" i="5"/>
  <c r="S91" i="13" l="1"/>
  <c r="Q91" i="13"/>
  <c r="R91" i="13"/>
  <c r="I91" i="13"/>
  <c r="J91" i="13"/>
  <c r="O91" i="13" s="1"/>
  <c r="BG91" i="12"/>
  <c r="BI91" i="12"/>
  <c r="D92" i="12"/>
  <c r="F91" i="12"/>
  <c r="C91" i="12"/>
  <c r="BH91" i="12"/>
  <c r="E91" i="12"/>
  <c r="T91" i="12" s="1"/>
  <c r="Y91" i="13"/>
  <c r="X91" i="13"/>
  <c r="W91" i="13"/>
  <c r="F92" i="13"/>
  <c r="BG92" i="13"/>
  <c r="D93" i="13"/>
  <c r="BH92" i="13"/>
  <c r="C92" i="13"/>
  <c r="E92" i="13"/>
  <c r="T92" i="13" s="1"/>
  <c r="X90" i="12"/>
  <c r="W90" i="12"/>
  <c r="Y90" i="12"/>
  <c r="AA90" i="13"/>
  <c r="Z90" i="13"/>
  <c r="J90" i="12"/>
  <c r="R90" i="12"/>
  <c r="Q90" i="12"/>
  <c r="S90" i="12"/>
  <c r="I90" i="12"/>
  <c r="I92" i="5"/>
  <c r="S92" i="5"/>
  <c r="Q92" i="5"/>
  <c r="J92" i="5"/>
  <c r="R92" i="5"/>
  <c r="Z91" i="5"/>
  <c r="AA91" i="5"/>
  <c r="O91" i="5"/>
  <c r="X92" i="5"/>
  <c r="W92" i="5"/>
  <c r="Y92" i="5"/>
  <c r="BH93" i="5"/>
  <c r="BG93" i="5"/>
  <c r="BI93" i="5"/>
  <c r="D94" i="5"/>
  <c r="F93" i="5"/>
  <c r="E93" i="5"/>
  <c r="T93" i="5" s="1"/>
  <c r="C93" i="5"/>
  <c r="Y92" i="13" l="1"/>
  <c r="X92" i="13"/>
  <c r="W92" i="13"/>
  <c r="S92" i="13"/>
  <c r="R92" i="13"/>
  <c r="I92" i="13"/>
  <c r="Q92" i="13"/>
  <c r="J92" i="13"/>
  <c r="D93" i="12"/>
  <c r="BI92" i="12"/>
  <c r="C92" i="12"/>
  <c r="E92" i="12"/>
  <c r="T92" i="12" s="1"/>
  <c r="BH92" i="12"/>
  <c r="F92" i="12"/>
  <c r="BG92" i="12"/>
  <c r="O90" i="12"/>
  <c r="AA90" i="12"/>
  <c r="Z90" i="12"/>
  <c r="E93" i="13"/>
  <c r="BH93" i="13"/>
  <c r="F93" i="13"/>
  <c r="C93" i="13"/>
  <c r="T93" i="13"/>
  <c r="BG93" i="13"/>
  <c r="D94" i="13"/>
  <c r="AA91" i="13"/>
  <c r="Z91" i="13"/>
  <c r="Y91" i="12"/>
  <c r="X91" i="12"/>
  <c r="W91" i="12"/>
  <c r="S91" i="12"/>
  <c r="J91" i="12"/>
  <c r="I91" i="12"/>
  <c r="Q91" i="12"/>
  <c r="R91" i="12"/>
  <c r="O92" i="5"/>
  <c r="S93" i="5"/>
  <c r="R93" i="5"/>
  <c r="Q93" i="5"/>
  <c r="I93" i="5"/>
  <c r="J93" i="5"/>
  <c r="W93" i="5"/>
  <c r="Y93" i="5"/>
  <c r="X93" i="5"/>
  <c r="BG94" i="5"/>
  <c r="BH94" i="5"/>
  <c r="F94" i="5"/>
  <c r="D95" i="5"/>
  <c r="E94" i="5"/>
  <c r="T94" i="5" s="1"/>
  <c r="BI94" i="5"/>
  <c r="C94" i="5"/>
  <c r="AA92" i="5"/>
  <c r="Z92" i="5"/>
  <c r="O93" i="5" l="1"/>
  <c r="O92" i="13"/>
  <c r="W93" i="13"/>
  <c r="Y93" i="13"/>
  <c r="X93" i="13"/>
  <c r="AA91" i="12"/>
  <c r="Z91" i="12"/>
  <c r="E94" i="13"/>
  <c r="T94" i="13" s="1"/>
  <c r="F94" i="13"/>
  <c r="D95" i="13"/>
  <c r="BH94" i="13"/>
  <c r="BG94" i="13"/>
  <c r="C94" i="13"/>
  <c r="I93" i="13"/>
  <c r="R93" i="13"/>
  <c r="S93" i="13"/>
  <c r="J93" i="13"/>
  <c r="O93" i="13" s="1"/>
  <c r="Q93" i="13"/>
  <c r="Y92" i="12"/>
  <c r="X92" i="12"/>
  <c r="W92" i="12"/>
  <c r="O91" i="12"/>
  <c r="S92" i="12"/>
  <c r="J92" i="12"/>
  <c r="Q92" i="12"/>
  <c r="R92" i="12"/>
  <c r="I92" i="12"/>
  <c r="Z92" i="13"/>
  <c r="AA92" i="13"/>
  <c r="C93" i="12"/>
  <c r="F93" i="12"/>
  <c r="D94" i="12"/>
  <c r="BG93" i="12"/>
  <c r="BI93" i="12"/>
  <c r="BH93" i="12"/>
  <c r="E93" i="12"/>
  <c r="T93" i="12" s="1"/>
  <c r="Y94" i="5"/>
  <c r="X94" i="5"/>
  <c r="W94" i="5"/>
  <c r="S94" i="5"/>
  <c r="I94" i="5"/>
  <c r="R94" i="5"/>
  <c r="J94" i="5"/>
  <c r="Q94" i="5"/>
  <c r="BG95" i="5"/>
  <c r="BH95" i="5"/>
  <c r="F95" i="5"/>
  <c r="E95" i="5"/>
  <c r="T95" i="5" s="1"/>
  <c r="D96" i="5"/>
  <c r="BI95" i="5"/>
  <c r="C95" i="5"/>
  <c r="Z93" i="5"/>
  <c r="AA93" i="5"/>
  <c r="D96" i="13" l="1"/>
  <c r="F95" i="13"/>
  <c r="BG95" i="13"/>
  <c r="C95" i="13"/>
  <c r="E95" i="13"/>
  <c r="T95" i="13" s="1"/>
  <c r="BH95" i="13"/>
  <c r="I93" i="12"/>
  <c r="S93" i="12"/>
  <c r="R93" i="12"/>
  <c r="Q93" i="12"/>
  <c r="J93" i="12"/>
  <c r="O93" i="12" s="1"/>
  <c r="O92" i="12"/>
  <c r="Y94" i="13"/>
  <c r="X94" i="13"/>
  <c r="W94" i="13"/>
  <c r="R94" i="13"/>
  <c r="Q94" i="13"/>
  <c r="S94" i="13"/>
  <c r="I94" i="13"/>
  <c r="J94" i="13"/>
  <c r="O94" i="13" s="1"/>
  <c r="AA93" i="13"/>
  <c r="Z93" i="13"/>
  <c r="Z92" i="12"/>
  <c r="AA92" i="12"/>
  <c r="C94" i="12"/>
  <c r="E94" i="12"/>
  <c r="T94" i="12" s="1"/>
  <c r="BH94" i="12"/>
  <c r="F94" i="12"/>
  <c r="BG94" i="12"/>
  <c r="BI94" i="12"/>
  <c r="D95" i="12"/>
  <c r="X93" i="12"/>
  <c r="W93" i="12"/>
  <c r="Y93" i="12"/>
  <c r="O94" i="5"/>
  <c r="Y95" i="5"/>
  <c r="W95" i="5"/>
  <c r="X95" i="5"/>
  <c r="I95" i="5"/>
  <c r="J95" i="5"/>
  <c r="S95" i="5"/>
  <c r="Q95" i="5"/>
  <c r="R95" i="5"/>
  <c r="AA94" i="5"/>
  <c r="Z94" i="5"/>
  <c r="BG96" i="5"/>
  <c r="BH96" i="5"/>
  <c r="D97" i="5"/>
  <c r="E96" i="5"/>
  <c r="T96" i="5" s="1"/>
  <c r="F96" i="5"/>
  <c r="BI96" i="5"/>
  <c r="C96" i="5"/>
  <c r="BI95" i="12" l="1"/>
  <c r="C95" i="12"/>
  <c r="F95" i="12"/>
  <c r="D96" i="12"/>
  <c r="BG95" i="12"/>
  <c r="BH95" i="12"/>
  <c r="E95" i="12"/>
  <c r="T95" i="12" s="1"/>
  <c r="Z94" i="13"/>
  <c r="AA94" i="13"/>
  <c r="Q95" i="13"/>
  <c r="R95" i="13"/>
  <c r="I95" i="13"/>
  <c r="J95" i="13"/>
  <c r="S95" i="13"/>
  <c r="O95" i="5"/>
  <c r="X94" i="12"/>
  <c r="W94" i="12"/>
  <c r="Y94" i="12"/>
  <c r="BH96" i="13"/>
  <c r="C96" i="13"/>
  <c r="D97" i="13"/>
  <c r="E96" i="13"/>
  <c r="T96" i="13" s="1"/>
  <c r="BG96" i="13"/>
  <c r="F96" i="13"/>
  <c r="Z93" i="12"/>
  <c r="AA93" i="12"/>
  <c r="I94" i="12"/>
  <c r="Q94" i="12"/>
  <c r="R94" i="12"/>
  <c r="J94" i="12"/>
  <c r="S94" i="12"/>
  <c r="X95" i="13"/>
  <c r="Y95" i="13"/>
  <c r="W95" i="13"/>
  <c r="AA95" i="5"/>
  <c r="Z95" i="5"/>
  <c r="W96" i="5"/>
  <c r="Y96" i="5"/>
  <c r="X96" i="5"/>
  <c r="BH97" i="5"/>
  <c r="BG97" i="5"/>
  <c r="BI97" i="5"/>
  <c r="F97" i="5"/>
  <c r="E97" i="5"/>
  <c r="T97" i="5" s="1"/>
  <c r="D98" i="5"/>
  <c r="C97" i="5"/>
  <c r="S96" i="5"/>
  <c r="I96" i="5"/>
  <c r="J96" i="5"/>
  <c r="Q96" i="5"/>
  <c r="R96" i="5"/>
  <c r="O94" i="12" l="1"/>
  <c r="BG96" i="12"/>
  <c r="C96" i="12"/>
  <c r="D97" i="12"/>
  <c r="E96" i="12"/>
  <c r="T96" i="12" s="1"/>
  <c r="F96" i="12"/>
  <c r="BH96" i="12"/>
  <c r="BI96" i="12"/>
  <c r="E97" i="13"/>
  <c r="T97" i="13" s="1"/>
  <c r="F97" i="13"/>
  <c r="BH97" i="13"/>
  <c r="D98" i="13"/>
  <c r="BG97" i="13"/>
  <c r="C97" i="13"/>
  <c r="Q95" i="12"/>
  <c r="I95" i="12"/>
  <c r="S95" i="12"/>
  <c r="J95" i="12"/>
  <c r="R95" i="12"/>
  <c r="AA95" i="13"/>
  <c r="Z95" i="13"/>
  <c r="S96" i="13"/>
  <c r="J96" i="13"/>
  <c r="R96" i="13"/>
  <c r="I96" i="13"/>
  <c r="Q96" i="13"/>
  <c r="X96" i="13"/>
  <c r="Y96" i="13"/>
  <c r="W96" i="13"/>
  <c r="AA94" i="12"/>
  <c r="Z94" i="12"/>
  <c r="O95" i="13"/>
  <c r="X95" i="12"/>
  <c r="W95" i="12"/>
  <c r="Y95" i="12"/>
  <c r="O96" i="5"/>
  <c r="BG98" i="5"/>
  <c r="BH98" i="5"/>
  <c r="F98" i="5"/>
  <c r="D99" i="5"/>
  <c r="E98" i="5"/>
  <c r="T98" i="5" s="1"/>
  <c r="BI98" i="5"/>
  <c r="C98" i="5"/>
  <c r="AA96" i="5"/>
  <c r="Z96" i="5"/>
  <c r="W97" i="5"/>
  <c r="Y97" i="5"/>
  <c r="X97" i="5"/>
  <c r="R97" i="5"/>
  <c r="I97" i="5"/>
  <c r="J97" i="5"/>
  <c r="Q97" i="5"/>
  <c r="S97" i="5"/>
  <c r="O96" i="13" l="1"/>
  <c r="BH98" i="13"/>
  <c r="D99" i="13"/>
  <c r="E98" i="13"/>
  <c r="T98" i="13" s="1"/>
  <c r="F98" i="13"/>
  <c r="BG98" i="13"/>
  <c r="C98" i="13"/>
  <c r="AA96" i="13"/>
  <c r="Z96" i="13"/>
  <c r="BH97" i="12"/>
  <c r="D98" i="12"/>
  <c r="F97" i="12"/>
  <c r="BG97" i="12"/>
  <c r="C97" i="12"/>
  <c r="E97" i="12"/>
  <c r="T97" i="12" s="1"/>
  <c r="BI97" i="12"/>
  <c r="O95" i="12"/>
  <c r="W97" i="13"/>
  <c r="Y97" i="13"/>
  <c r="X97" i="13"/>
  <c r="J97" i="13"/>
  <c r="O97" i="13" s="1"/>
  <c r="Q97" i="13"/>
  <c r="I97" i="13"/>
  <c r="S97" i="13"/>
  <c r="R97" i="13"/>
  <c r="Y96" i="12"/>
  <c r="X96" i="12"/>
  <c r="W96" i="12"/>
  <c r="AA95" i="12"/>
  <c r="Z95" i="12"/>
  <c r="R96" i="12"/>
  <c r="J96" i="12"/>
  <c r="O96" i="12" s="1"/>
  <c r="Q96" i="12"/>
  <c r="I96" i="12"/>
  <c r="S96" i="12"/>
  <c r="O97" i="5"/>
  <c r="Y98" i="5"/>
  <c r="W98" i="5"/>
  <c r="X98" i="5"/>
  <c r="BG99" i="5"/>
  <c r="BH99" i="5"/>
  <c r="F99" i="5"/>
  <c r="E99" i="5"/>
  <c r="T99" i="5" s="1"/>
  <c r="D100" i="5"/>
  <c r="BI99" i="5"/>
  <c r="C99" i="5"/>
  <c r="S98" i="5"/>
  <c r="I98" i="5"/>
  <c r="R98" i="5"/>
  <c r="J98" i="5"/>
  <c r="Q98" i="5"/>
  <c r="AA97" i="5"/>
  <c r="Z97" i="5"/>
  <c r="Q97" i="12" l="1"/>
  <c r="S97" i="12"/>
  <c r="J97" i="12"/>
  <c r="R97" i="12"/>
  <c r="I97" i="12"/>
  <c r="S98" i="13"/>
  <c r="I98" i="13"/>
  <c r="Q98" i="13"/>
  <c r="R98" i="13"/>
  <c r="J98" i="13"/>
  <c r="O98" i="13" s="1"/>
  <c r="E98" i="12"/>
  <c r="T98" i="12" s="1"/>
  <c r="BH98" i="12"/>
  <c r="F98" i="12"/>
  <c r="BG98" i="12"/>
  <c r="BI98" i="12"/>
  <c r="C98" i="12"/>
  <c r="D99" i="12"/>
  <c r="Z97" i="13"/>
  <c r="AA97" i="13"/>
  <c r="X97" i="12"/>
  <c r="W97" i="12"/>
  <c r="Y97" i="12"/>
  <c r="X98" i="13"/>
  <c r="W98" i="13"/>
  <c r="Y98" i="13"/>
  <c r="E99" i="13"/>
  <c r="T99" i="13" s="1"/>
  <c r="D100" i="13"/>
  <c r="BH99" i="13"/>
  <c r="F99" i="13"/>
  <c r="C99" i="13"/>
  <c r="BG99" i="13"/>
  <c r="Z96" i="12"/>
  <c r="AA96" i="12"/>
  <c r="O98" i="5"/>
  <c r="BG100" i="5"/>
  <c r="BH100" i="5"/>
  <c r="D101" i="5"/>
  <c r="E100" i="5"/>
  <c r="T100" i="5" s="1"/>
  <c r="F100" i="5"/>
  <c r="BI100" i="5"/>
  <c r="C100" i="5"/>
  <c r="X99" i="5"/>
  <c r="Y99" i="5"/>
  <c r="W99" i="5"/>
  <c r="I99" i="5"/>
  <c r="J99" i="5"/>
  <c r="R99" i="5"/>
  <c r="Q99" i="5"/>
  <c r="S99" i="5"/>
  <c r="AA98" i="5"/>
  <c r="Z98" i="5"/>
  <c r="Z97" i="12" l="1"/>
  <c r="AA97" i="12"/>
  <c r="X98" i="12"/>
  <c r="Y98" i="12"/>
  <c r="W98" i="12"/>
  <c r="D101" i="13"/>
  <c r="BH100" i="13"/>
  <c r="C100" i="13"/>
  <c r="E100" i="13"/>
  <c r="T100" i="13" s="1"/>
  <c r="F100" i="13"/>
  <c r="BG100" i="13"/>
  <c r="AA98" i="13"/>
  <c r="Z98" i="13"/>
  <c r="O97" i="12"/>
  <c r="W99" i="13"/>
  <c r="Y99" i="13"/>
  <c r="X99" i="13"/>
  <c r="J99" i="13"/>
  <c r="R99" i="13"/>
  <c r="I99" i="13"/>
  <c r="Q99" i="13"/>
  <c r="S99" i="13"/>
  <c r="BH99" i="12"/>
  <c r="F99" i="12"/>
  <c r="BG99" i="12"/>
  <c r="D100" i="12"/>
  <c r="BI99" i="12"/>
  <c r="C99" i="12"/>
  <c r="E99" i="12"/>
  <c r="T99" i="12" s="1"/>
  <c r="Q98" i="12"/>
  <c r="R98" i="12"/>
  <c r="I98" i="12"/>
  <c r="J98" i="12"/>
  <c r="S98" i="12"/>
  <c r="O99" i="5"/>
  <c r="AA99" i="5"/>
  <c r="Z99" i="5"/>
  <c r="X100" i="5"/>
  <c r="W100" i="5"/>
  <c r="Y100" i="5"/>
  <c r="BH101" i="5"/>
  <c r="BG101" i="5"/>
  <c r="BI101" i="5"/>
  <c r="F101" i="5"/>
  <c r="E101" i="5"/>
  <c r="T101" i="5" s="1"/>
  <c r="D102" i="5"/>
  <c r="C101" i="5"/>
  <c r="S100" i="5"/>
  <c r="I100" i="5"/>
  <c r="J100" i="5"/>
  <c r="Q100" i="5"/>
  <c r="R100" i="5"/>
  <c r="O98" i="12" l="1"/>
  <c r="X99" i="12"/>
  <c r="Y99" i="12"/>
  <c r="W99" i="12"/>
  <c r="S99" i="12"/>
  <c r="R99" i="12"/>
  <c r="Q99" i="12"/>
  <c r="I99" i="12"/>
  <c r="J99" i="12"/>
  <c r="X100" i="13"/>
  <c r="W100" i="13"/>
  <c r="Y100" i="13"/>
  <c r="AA98" i="12"/>
  <c r="Z98" i="12"/>
  <c r="BI100" i="12"/>
  <c r="D101" i="12"/>
  <c r="C100" i="12"/>
  <c r="F100" i="12"/>
  <c r="E100" i="12"/>
  <c r="T100" i="12" s="1"/>
  <c r="BH100" i="12"/>
  <c r="BG100" i="12"/>
  <c r="O99" i="13"/>
  <c r="J100" i="13"/>
  <c r="R100" i="13"/>
  <c r="I100" i="13"/>
  <c r="Q100" i="13"/>
  <c r="S100" i="13"/>
  <c r="BH101" i="13"/>
  <c r="D102" i="13"/>
  <c r="BG101" i="13"/>
  <c r="C101" i="13"/>
  <c r="E101" i="13"/>
  <c r="T101" i="13" s="1"/>
  <c r="F101" i="13"/>
  <c r="Z99" i="13"/>
  <c r="AA99" i="13"/>
  <c r="O100" i="5"/>
  <c r="R101" i="5"/>
  <c r="Q101" i="5"/>
  <c r="I101" i="5"/>
  <c r="S101" i="5"/>
  <c r="J101" i="5"/>
  <c r="X101" i="5"/>
  <c r="Y101" i="5"/>
  <c r="W101" i="5"/>
  <c r="BG102" i="5"/>
  <c r="BH102" i="5"/>
  <c r="F102" i="5"/>
  <c r="D103" i="5"/>
  <c r="E102" i="5"/>
  <c r="T102" i="5" s="1"/>
  <c r="BI102" i="5"/>
  <c r="C102" i="5"/>
  <c r="Z100" i="5"/>
  <c r="AA100" i="5"/>
  <c r="O100" i="13" l="1"/>
  <c r="O99" i="12"/>
  <c r="S101" i="13"/>
  <c r="I101" i="13"/>
  <c r="J101" i="13"/>
  <c r="O101" i="13" s="1"/>
  <c r="R101" i="13"/>
  <c r="Q101" i="13"/>
  <c r="E102" i="13"/>
  <c r="T102" i="13" s="1"/>
  <c r="F102" i="13"/>
  <c r="BH102" i="13"/>
  <c r="D103" i="13"/>
  <c r="BG102" i="13"/>
  <c r="C102" i="13"/>
  <c r="Y100" i="12"/>
  <c r="X100" i="12"/>
  <c r="W100" i="12"/>
  <c r="D102" i="12"/>
  <c r="F101" i="12"/>
  <c r="C101" i="12"/>
  <c r="BI101" i="12"/>
  <c r="BH101" i="12"/>
  <c r="BG101" i="12"/>
  <c r="E101" i="12"/>
  <c r="T101" i="12" s="1"/>
  <c r="W101" i="13"/>
  <c r="Y101" i="13"/>
  <c r="X101" i="13"/>
  <c r="S100" i="12"/>
  <c r="Q100" i="12"/>
  <c r="I100" i="12"/>
  <c r="R100" i="12"/>
  <c r="J100" i="12"/>
  <c r="O100" i="12" s="1"/>
  <c r="AA100" i="13"/>
  <c r="Z100" i="13"/>
  <c r="AA99" i="12"/>
  <c r="Z99" i="12"/>
  <c r="O101" i="5"/>
  <c r="AA101" i="5"/>
  <c r="Z101" i="5"/>
  <c r="BG103" i="5"/>
  <c r="BH103" i="5"/>
  <c r="F103" i="5"/>
  <c r="E103" i="5"/>
  <c r="T103" i="5" s="1"/>
  <c r="D104" i="5"/>
  <c r="BI103" i="5"/>
  <c r="C103" i="5"/>
  <c r="X102" i="5"/>
  <c r="W102" i="5"/>
  <c r="Y102" i="5"/>
  <c r="S102" i="5"/>
  <c r="R102" i="5"/>
  <c r="I102" i="5"/>
  <c r="Q102" i="5"/>
  <c r="J102" i="5"/>
  <c r="Z101" i="13" l="1"/>
  <c r="AA101" i="13"/>
  <c r="Q101" i="12"/>
  <c r="R101" i="12"/>
  <c r="S101" i="12"/>
  <c r="J101" i="12"/>
  <c r="I101" i="12"/>
  <c r="E102" i="12"/>
  <c r="T102" i="12" s="1"/>
  <c r="BH102" i="12"/>
  <c r="F102" i="12"/>
  <c r="BG102" i="12"/>
  <c r="BI102" i="12"/>
  <c r="D103" i="12"/>
  <c r="C102" i="12"/>
  <c r="X102" i="13"/>
  <c r="Y102" i="13"/>
  <c r="W102" i="13"/>
  <c r="R102" i="13"/>
  <c r="S102" i="13"/>
  <c r="I102" i="13"/>
  <c r="J102" i="13"/>
  <c r="Q102" i="13"/>
  <c r="W101" i="12"/>
  <c r="Y101" i="12"/>
  <c r="X101" i="12"/>
  <c r="Z100" i="12"/>
  <c r="AA100" i="12"/>
  <c r="D104" i="13"/>
  <c r="BH103" i="13"/>
  <c r="F103" i="13"/>
  <c r="BG103" i="13"/>
  <c r="C103" i="13"/>
  <c r="E103" i="13"/>
  <c r="T103" i="13" s="1"/>
  <c r="C104" i="5"/>
  <c r="O103" i="13"/>
  <c r="O102" i="5"/>
  <c r="AA102" i="5"/>
  <c r="Z102" i="5"/>
  <c r="W103" i="5"/>
  <c r="Y103" i="5"/>
  <c r="X103" i="5"/>
  <c r="I103" i="5"/>
  <c r="R103" i="5"/>
  <c r="Q103" i="5"/>
  <c r="J103" i="5"/>
  <c r="S103" i="5"/>
  <c r="BG104" i="5"/>
  <c r="BH104" i="5"/>
  <c r="E104" i="5"/>
  <c r="T104" i="5" s="1"/>
  <c r="BI104" i="5"/>
  <c r="F104" i="5"/>
  <c r="D105" i="5"/>
  <c r="O102" i="13" l="1"/>
  <c r="X103" i="13"/>
  <c r="W103" i="13"/>
  <c r="Y103" i="13"/>
  <c r="C104" i="13"/>
  <c r="BG104" i="13"/>
  <c r="D105" i="13"/>
  <c r="F104" i="13"/>
  <c r="E104" i="13"/>
  <c r="T104" i="13" s="1"/>
  <c r="BH104" i="13"/>
  <c r="Z102" i="13"/>
  <c r="AA102" i="13"/>
  <c r="R103" i="13"/>
  <c r="J103" i="13"/>
  <c r="S103" i="13"/>
  <c r="Q103" i="13"/>
  <c r="I103" i="13"/>
  <c r="W102" i="12"/>
  <c r="X102" i="12"/>
  <c r="Y102" i="12"/>
  <c r="R102" i="12"/>
  <c r="S102" i="12"/>
  <c r="J102" i="12"/>
  <c r="Q102" i="12"/>
  <c r="I102" i="12"/>
  <c r="O101" i="12"/>
  <c r="AA101" i="12"/>
  <c r="Z101" i="12"/>
  <c r="F103" i="12"/>
  <c r="BH103" i="12"/>
  <c r="D104" i="12"/>
  <c r="BG103" i="12"/>
  <c r="E103" i="12"/>
  <c r="T103" i="12" s="1"/>
  <c r="BI103" i="12"/>
  <c r="C103" i="12"/>
  <c r="W104" i="5"/>
  <c r="Y104" i="5"/>
  <c r="X104" i="5"/>
  <c r="O103" i="5"/>
  <c r="AA103" i="5"/>
  <c r="Z103" i="5"/>
  <c r="BH105" i="5"/>
  <c r="D106" i="5"/>
  <c r="E105" i="5"/>
  <c r="T105" i="5" s="1"/>
  <c r="BI105" i="5"/>
  <c r="BG105" i="5"/>
  <c r="F105" i="5"/>
  <c r="C105" i="5"/>
  <c r="S104" i="5"/>
  <c r="I104" i="5"/>
  <c r="J104" i="5"/>
  <c r="Q104" i="5"/>
  <c r="R104" i="5"/>
  <c r="O103" i="12"/>
  <c r="O104" i="5" l="1"/>
  <c r="S104" i="13"/>
  <c r="J104" i="13"/>
  <c r="I104" i="13"/>
  <c r="Q104" i="13"/>
  <c r="R104" i="13"/>
  <c r="X104" i="13"/>
  <c r="W104" i="13"/>
  <c r="Y104" i="13"/>
  <c r="R103" i="12"/>
  <c r="J103" i="12"/>
  <c r="S103" i="12"/>
  <c r="Q103" i="12"/>
  <c r="I103" i="12"/>
  <c r="BG105" i="13"/>
  <c r="C105" i="13"/>
  <c r="E105" i="13"/>
  <c r="T105" i="13" s="1"/>
  <c r="F105" i="13"/>
  <c r="D106" i="13"/>
  <c r="BH105" i="13"/>
  <c r="W103" i="12"/>
  <c r="X103" i="12"/>
  <c r="Y103" i="12"/>
  <c r="C104" i="12"/>
  <c r="BG104" i="12"/>
  <c r="BI104" i="12"/>
  <c r="F104" i="12"/>
  <c r="D105" i="12"/>
  <c r="E104" i="12"/>
  <c r="T104" i="12" s="1"/>
  <c r="BH104" i="12"/>
  <c r="O102" i="12"/>
  <c r="Z102" i="12"/>
  <c r="AA102" i="12"/>
  <c r="AA103" i="13"/>
  <c r="Z103" i="13"/>
  <c r="AA104" i="5"/>
  <c r="Z104" i="5"/>
  <c r="W105" i="5"/>
  <c r="Y105" i="5"/>
  <c r="X105" i="5"/>
  <c r="R105" i="5"/>
  <c r="S105" i="5"/>
  <c r="J105" i="5"/>
  <c r="I105" i="5"/>
  <c r="Q105" i="5"/>
  <c r="BG106" i="5"/>
  <c r="BH106" i="5"/>
  <c r="BI106" i="5"/>
  <c r="D107" i="5"/>
  <c r="F106" i="5"/>
  <c r="E106" i="5"/>
  <c r="T106" i="5" s="1"/>
  <c r="C106" i="5"/>
  <c r="BG105" i="12" l="1"/>
  <c r="C105" i="12"/>
  <c r="E105" i="12"/>
  <c r="T105" i="12" s="1"/>
  <c r="BH105" i="12"/>
  <c r="BI105" i="12"/>
  <c r="F105" i="12"/>
  <c r="D106" i="12"/>
  <c r="W104" i="12"/>
  <c r="Y104" i="12"/>
  <c r="X104" i="12"/>
  <c r="X105" i="13"/>
  <c r="Y105" i="13"/>
  <c r="W105" i="13"/>
  <c r="J104" i="12"/>
  <c r="Q104" i="12"/>
  <c r="I104" i="12"/>
  <c r="S104" i="12"/>
  <c r="R104" i="12"/>
  <c r="D107" i="13"/>
  <c r="E106" i="13"/>
  <c r="T106" i="13" s="1"/>
  <c r="BG106" i="13"/>
  <c r="C106" i="13"/>
  <c r="F106" i="13"/>
  <c r="BH106" i="13"/>
  <c r="AA103" i="12"/>
  <c r="Z103" i="12"/>
  <c r="I105" i="13"/>
  <c r="S105" i="13"/>
  <c r="R105" i="13"/>
  <c r="J105" i="13"/>
  <c r="Q105" i="13"/>
  <c r="AA104" i="13"/>
  <c r="Z104" i="13"/>
  <c r="O104" i="13"/>
  <c r="I106" i="5"/>
  <c r="J106" i="5"/>
  <c r="R106" i="5"/>
  <c r="S106" i="5"/>
  <c r="Q106" i="5"/>
  <c r="O105" i="5"/>
  <c r="AA105" i="5"/>
  <c r="Z105" i="5"/>
  <c r="X106" i="5"/>
  <c r="Y106" i="5"/>
  <c r="W106" i="5"/>
  <c r="BG107" i="5"/>
  <c r="BH107" i="5"/>
  <c r="BI107" i="5"/>
  <c r="F107" i="5"/>
  <c r="D108" i="5"/>
  <c r="E107" i="5"/>
  <c r="T107" i="5" s="1"/>
  <c r="C107" i="5"/>
  <c r="O105" i="13" l="1"/>
  <c r="I106" i="13"/>
  <c r="R106" i="13"/>
  <c r="S106" i="13"/>
  <c r="Q106" i="13"/>
  <c r="J106" i="13"/>
  <c r="O106" i="13" s="1"/>
  <c r="F107" i="13"/>
  <c r="E107" i="13"/>
  <c r="T107" i="13" s="1"/>
  <c r="BG107" i="13"/>
  <c r="C107" i="13"/>
  <c r="BH107" i="13"/>
  <c r="D108" i="13"/>
  <c r="Z105" i="13"/>
  <c r="AA105" i="13"/>
  <c r="E106" i="12"/>
  <c r="T106" i="12" s="1"/>
  <c r="D107" i="12"/>
  <c r="F106" i="12"/>
  <c r="BG106" i="12"/>
  <c r="C106" i="12"/>
  <c r="BI106" i="12"/>
  <c r="BH106" i="12"/>
  <c r="O106" i="5"/>
  <c r="X106" i="13"/>
  <c r="Y106" i="13"/>
  <c r="W106" i="13"/>
  <c r="O104" i="12"/>
  <c r="AA104" i="12"/>
  <c r="Z104" i="12"/>
  <c r="S105" i="12"/>
  <c r="R105" i="12"/>
  <c r="Q105" i="12"/>
  <c r="J105" i="12"/>
  <c r="I105" i="12"/>
  <c r="X105" i="12"/>
  <c r="W105" i="12"/>
  <c r="Y105" i="12"/>
  <c r="X107" i="5"/>
  <c r="W107" i="5"/>
  <c r="Y107" i="5"/>
  <c r="AA106" i="5"/>
  <c r="Z106" i="5"/>
  <c r="BG108" i="5"/>
  <c r="BH108" i="5"/>
  <c r="F108" i="5"/>
  <c r="BI108" i="5"/>
  <c r="E108" i="5"/>
  <c r="T108" i="5" s="1"/>
  <c r="D109" i="5"/>
  <c r="C108" i="5"/>
  <c r="I107" i="5"/>
  <c r="R107" i="5"/>
  <c r="J107" i="5"/>
  <c r="S107" i="5"/>
  <c r="Q107" i="5"/>
  <c r="O105" i="12" l="1"/>
  <c r="Z106" i="13"/>
  <c r="AA106" i="13"/>
  <c r="X106" i="12"/>
  <c r="W106" i="12"/>
  <c r="Y106" i="12"/>
  <c r="J107" i="13"/>
  <c r="Q107" i="13"/>
  <c r="S107" i="13"/>
  <c r="R107" i="13"/>
  <c r="I107" i="13"/>
  <c r="Z105" i="12"/>
  <c r="AA105" i="12"/>
  <c r="W107" i="13"/>
  <c r="Y107" i="13"/>
  <c r="X107" i="13"/>
  <c r="Q106" i="12"/>
  <c r="I106" i="12"/>
  <c r="R106" i="12"/>
  <c r="S106" i="12"/>
  <c r="J106" i="12"/>
  <c r="O106" i="12" s="1"/>
  <c r="BI107" i="12"/>
  <c r="E107" i="12"/>
  <c r="T107" i="12" s="1"/>
  <c r="BG107" i="12"/>
  <c r="C107" i="12"/>
  <c r="BH107" i="12"/>
  <c r="F107" i="12"/>
  <c r="D108" i="12"/>
  <c r="E108" i="13"/>
  <c r="T108" i="13" s="1"/>
  <c r="BH108" i="13"/>
  <c r="C108" i="13"/>
  <c r="BG108" i="13"/>
  <c r="F108" i="13"/>
  <c r="D109" i="13"/>
  <c r="O107" i="5"/>
  <c r="X108" i="5"/>
  <c r="W108" i="5"/>
  <c r="Y108" i="5"/>
  <c r="R108" i="5"/>
  <c r="I108" i="5"/>
  <c r="J108" i="5"/>
  <c r="Q108" i="5"/>
  <c r="S108" i="5"/>
  <c r="BH109" i="5"/>
  <c r="BG109" i="5"/>
  <c r="D110" i="5"/>
  <c r="E109" i="5"/>
  <c r="T109" i="5" s="1"/>
  <c r="BI109" i="5"/>
  <c r="F109" i="5"/>
  <c r="C109" i="5"/>
  <c r="Z107" i="5"/>
  <c r="AA107" i="5"/>
  <c r="J108" i="13" l="1"/>
  <c r="S108" i="13"/>
  <c r="R108" i="13"/>
  <c r="I108" i="13"/>
  <c r="Q108" i="13"/>
  <c r="Y107" i="12"/>
  <c r="X107" i="12"/>
  <c r="W107" i="12"/>
  <c r="Y108" i="13"/>
  <c r="X108" i="13"/>
  <c r="W108" i="13"/>
  <c r="BI108" i="12"/>
  <c r="F108" i="12"/>
  <c r="BH108" i="12"/>
  <c r="E108" i="12"/>
  <c r="T108" i="12" s="1"/>
  <c r="C108" i="12"/>
  <c r="D109" i="12"/>
  <c r="BG108" i="12"/>
  <c r="AA107" i="13"/>
  <c r="Z107" i="13"/>
  <c r="Z106" i="12"/>
  <c r="AA106" i="12"/>
  <c r="BH109" i="13"/>
  <c r="E109" i="13"/>
  <c r="T109" i="13" s="1"/>
  <c r="C109" i="13"/>
  <c r="F109" i="13"/>
  <c r="BG109" i="13"/>
  <c r="D110" i="13"/>
  <c r="R107" i="12"/>
  <c r="J107" i="12"/>
  <c r="S107" i="12"/>
  <c r="Q107" i="12"/>
  <c r="I107" i="12"/>
  <c r="O107" i="13"/>
  <c r="O108" i="5"/>
  <c r="Y109" i="5"/>
  <c r="X109" i="5"/>
  <c r="W109" i="5"/>
  <c r="BG110" i="5"/>
  <c r="BH110" i="5"/>
  <c r="BI110" i="5"/>
  <c r="D111" i="5"/>
  <c r="F110" i="5"/>
  <c r="E110" i="5"/>
  <c r="T110" i="5" s="1"/>
  <c r="C110" i="5"/>
  <c r="AA108" i="5"/>
  <c r="Z108" i="5"/>
  <c r="I109" i="5"/>
  <c r="J109" i="5"/>
  <c r="R109" i="5"/>
  <c r="Q109" i="5"/>
  <c r="S109" i="5"/>
  <c r="O108" i="13" l="1"/>
  <c r="O107" i="12"/>
  <c r="W108" i="12"/>
  <c r="Y108" i="12"/>
  <c r="X108" i="12"/>
  <c r="J109" i="13"/>
  <c r="I109" i="13"/>
  <c r="Q109" i="13"/>
  <c r="R109" i="13"/>
  <c r="S109" i="13"/>
  <c r="AA107" i="12"/>
  <c r="Z107" i="12"/>
  <c r="X109" i="13"/>
  <c r="Y109" i="13"/>
  <c r="W109" i="13"/>
  <c r="BI109" i="12"/>
  <c r="BH109" i="12"/>
  <c r="F109" i="12"/>
  <c r="D110" i="12"/>
  <c r="C109" i="12"/>
  <c r="E109" i="12"/>
  <c r="T109" i="12" s="1"/>
  <c r="BG109" i="12"/>
  <c r="S108" i="12"/>
  <c r="J108" i="12"/>
  <c r="I108" i="12"/>
  <c r="Q108" i="12"/>
  <c r="R108" i="12"/>
  <c r="Z108" i="13"/>
  <c r="AA108" i="13"/>
  <c r="BG110" i="13"/>
  <c r="C110" i="13"/>
  <c r="F110" i="13"/>
  <c r="BH110" i="13"/>
  <c r="E110" i="13"/>
  <c r="T110" i="13" s="1"/>
  <c r="D111" i="13"/>
  <c r="O109" i="5"/>
  <c r="X110" i="5"/>
  <c r="W110" i="5"/>
  <c r="Y110" i="5"/>
  <c r="BG111" i="5"/>
  <c r="BH111" i="5"/>
  <c r="BI111" i="5"/>
  <c r="F111" i="5"/>
  <c r="D112" i="5"/>
  <c r="E111" i="5"/>
  <c r="T111" i="5" s="1"/>
  <c r="C111" i="5"/>
  <c r="Z109" i="5"/>
  <c r="AA109" i="5"/>
  <c r="J110" i="5"/>
  <c r="I110" i="5"/>
  <c r="R110" i="5"/>
  <c r="Q110" i="5"/>
  <c r="S110" i="5"/>
  <c r="J109" i="12" l="1"/>
  <c r="Q109" i="12"/>
  <c r="S109" i="12"/>
  <c r="I109" i="12"/>
  <c r="R109" i="12"/>
  <c r="O109" i="13"/>
  <c r="Q110" i="13"/>
  <c r="J110" i="13"/>
  <c r="S110" i="13"/>
  <c r="R110" i="13"/>
  <c r="I110" i="13"/>
  <c r="AA109" i="13"/>
  <c r="Z109" i="13"/>
  <c r="Z108" i="12"/>
  <c r="AA108" i="12"/>
  <c r="BH111" i="13"/>
  <c r="D112" i="13"/>
  <c r="E111" i="13"/>
  <c r="T111" i="13" s="1"/>
  <c r="BG111" i="13"/>
  <c r="C111" i="13"/>
  <c r="F111" i="13"/>
  <c r="Y110" i="13"/>
  <c r="X110" i="13"/>
  <c r="W110" i="13"/>
  <c r="O108" i="12"/>
  <c r="W109" i="12"/>
  <c r="Y109" i="12"/>
  <c r="X109" i="12"/>
  <c r="BG110" i="12"/>
  <c r="F110" i="12"/>
  <c r="C110" i="12"/>
  <c r="BI110" i="12"/>
  <c r="E110" i="12"/>
  <c r="T110" i="12" s="1"/>
  <c r="BH110" i="12"/>
  <c r="D111" i="12"/>
  <c r="O110" i="5"/>
  <c r="BG112" i="5"/>
  <c r="BH112" i="5"/>
  <c r="F112" i="5"/>
  <c r="BI112" i="5"/>
  <c r="E112" i="5"/>
  <c r="T112" i="5" s="1"/>
  <c r="D113" i="5"/>
  <c r="C112" i="5"/>
  <c r="AA110" i="5"/>
  <c r="Z110" i="5"/>
  <c r="Y111" i="5"/>
  <c r="X111" i="5"/>
  <c r="W111" i="5"/>
  <c r="R111" i="5"/>
  <c r="J111" i="5"/>
  <c r="Q111" i="5"/>
  <c r="S111" i="5"/>
  <c r="I111" i="5"/>
  <c r="O109" i="12" l="1"/>
  <c r="BG111" i="12"/>
  <c r="BI111" i="12"/>
  <c r="F111" i="12"/>
  <c r="D112" i="12"/>
  <c r="C111" i="12"/>
  <c r="BH111" i="12"/>
  <c r="E111" i="12"/>
  <c r="T111" i="12" s="1"/>
  <c r="W110" i="12"/>
  <c r="Y110" i="12"/>
  <c r="X110" i="12"/>
  <c r="Z109" i="12"/>
  <c r="AA109" i="12"/>
  <c r="W111" i="13"/>
  <c r="X111" i="13"/>
  <c r="Y111" i="13"/>
  <c r="O110" i="13"/>
  <c r="Q110" i="12"/>
  <c r="S110" i="12"/>
  <c r="J110" i="12"/>
  <c r="I110" i="12"/>
  <c r="R110" i="12"/>
  <c r="AA110" i="13"/>
  <c r="Z110" i="13"/>
  <c r="S111" i="13"/>
  <c r="J111" i="13"/>
  <c r="I111" i="13"/>
  <c r="Q111" i="13"/>
  <c r="R111" i="13"/>
  <c r="BG112" i="13"/>
  <c r="D113" i="13"/>
  <c r="E112" i="13"/>
  <c r="T112" i="13" s="1"/>
  <c r="BH112" i="13"/>
  <c r="C112" i="13"/>
  <c r="F112" i="13"/>
  <c r="O111" i="5"/>
  <c r="BH113" i="5"/>
  <c r="BG113" i="5"/>
  <c r="D114" i="5"/>
  <c r="E113" i="5"/>
  <c r="T113" i="5" s="1"/>
  <c r="BI113" i="5"/>
  <c r="F113" i="5"/>
  <c r="C113" i="5"/>
  <c r="Z111" i="5"/>
  <c r="AA111" i="5"/>
  <c r="X112" i="5"/>
  <c r="W112" i="5"/>
  <c r="Y112" i="5"/>
  <c r="Q112" i="5"/>
  <c r="R112" i="5"/>
  <c r="S112" i="5"/>
  <c r="J112" i="5"/>
  <c r="I112" i="5"/>
  <c r="O110" i="12" l="1"/>
  <c r="O111" i="13"/>
  <c r="BH112" i="12"/>
  <c r="D113" i="12"/>
  <c r="F112" i="12"/>
  <c r="BG112" i="12"/>
  <c r="E112" i="12"/>
  <c r="T112" i="12" s="1"/>
  <c r="BI112" i="12"/>
  <c r="C112" i="12"/>
  <c r="R111" i="12"/>
  <c r="Q111" i="12"/>
  <c r="S111" i="12"/>
  <c r="J111" i="12"/>
  <c r="I111" i="12"/>
  <c r="J112" i="13"/>
  <c r="Q112" i="13"/>
  <c r="S112" i="13"/>
  <c r="R112" i="13"/>
  <c r="I112" i="13"/>
  <c r="D114" i="13"/>
  <c r="F113" i="13"/>
  <c r="BH113" i="13"/>
  <c r="E113" i="13"/>
  <c r="T113" i="13" s="1"/>
  <c r="BG113" i="13"/>
  <c r="C113" i="13"/>
  <c r="AA111" i="13"/>
  <c r="Z111" i="13"/>
  <c r="Z110" i="12"/>
  <c r="AA110" i="12"/>
  <c r="X112" i="13"/>
  <c r="W112" i="13"/>
  <c r="Y112" i="13"/>
  <c r="W111" i="12"/>
  <c r="Y111" i="12"/>
  <c r="X111" i="12"/>
  <c r="O112" i="5"/>
  <c r="BG114" i="5"/>
  <c r="BH114" i="5"/>
  <c r="BI114" i="5"/>
  <c r="D115" i="5"/>
  <c r="F114" i="5"/>
  <c r="E114" i="5"/>
  <c r="T114" i="5" s="1"/>
  <c r="C114" i="5"/>
  <c r="AA112" i="5"/>
  <c r="Z112" i="5"/>
  <c r="R113" i="5"/>
  <c r="Q113" i="5"/>
  <c r="J113" i="5"/>
  <c r="S113" i="5"/>
  <c r="I113" i="5"/>
  <c r="X113" i="5"/>
  <c r="W113" i="5"/>
  <c r="Y113" i="5"/>
  <c r="Z112" i="13" l="1"/>
  <c r="AA112" i="13"/>
  <c r="X113" i="13"/>
  <c r="W113" i="13"/>
  <c r="Y113" i="13"/>
  <c r="J113" i="13"/>
  <c r="S113" i="13"/>
  <c r="R113" i="13"/>
  <c r="I113" i="13"/>
  <c r="Q113" i="13"/>
  <c r="O111" i="12"/>
  <c r="W112" i="12"/>
  <c r="Y112" i="12"/>
  <c r="X112" i="12"/>
  <c r="J112" i="12"/>
  <c r="O112" i="12" s="1"/>
  <c r="I112" i="12"/>
  <c r="R112" i="12"/>
  <c r="Q112" i="12"/>
  <c r="S112" i="12"/>
  <c r="BH114" i="13"/>
  <c r="E114" i="13"/>
  <c r="T114" i="13" s="1"/>
  <c r="BG114" i="13"/>
  <c r="C114" i="13"/>
  <c r="F114" i="13"/>
  <c r="D115" i="13"/>
  <c r="BH113" i="12"/>
  <c r="D114" i="12"/>
  <c r="C113" i="12"/>
  <c r="E113" i="12"/>
  <c r="T113" i="12" s="1"/>
  <c r="BG113" i="12"/>
  <c r="BI113" i="12"/>
  <c r="F113" i="12"/>
  <c r="Z111" i="12"/>
  <c r="AA111" i="12"/>
  <c r="O112" i="13"/>
  <c r="AA113" i="5"/>
  <c r="Z113" i="5"/>
  <c r="O113" i="5"/>
  <c r="I114" i="5"/>
  <c r="Q114" i="5"/>
  <c r="R114" i="5"/>
  <c r="J114" i="5"/>
  <c r="S114" i="5"/>
  <c r="W114" i="5"/>
  <c r="X114" i="5"/>
  <c r="Y114" i="5"/>
  <c r="BG115" i="5"/>
  <c r="BH115" i="5"/>
  <c r="BI115" i="5"/>
  <c r="D116" i="5"/>
  <c r="F115" i="5"/>
  <c r="E115" i="5"/>
  <c r="T115" i="5" s="1"/>
  <c r="C115" i="5"/>
  <c r="R113" i="12" l="1"/>
  <c r="I113" i="12"/>
  <c r="Q113" i="12"/>
  <c r="S113" i="12"/>
  <c r="J113" i="12"/>
  <c r="X113" i="12"/>
  <c r="W113" i="12"/>
  <c r="Y113" i="12"/>
  <c r="I114" i="13"/>
  <c r="Q114" i="13"/>
  <c r="J114" i="13"/>
  <c r="S114" i="13"/>
  <c r="R114" i="13"/>
  <c r="BG114" i="12"/>
  <c r="F114" i="12"/>
  <c r="C114" i="12"/>
  <c r="D115" i="12"/>
  <c r="BH114" i="12"/>
  <c r="E114" i="12"/>
  <c r="T114" i="12" s="1"/>
  <c r="BI114" i="12"/>
  <c r="X114" i="13"/>
  <c r="W114" i="13"/>
  <c r="Y114" i="13"/>
  <c r="AA113" i="13"/>
  <c r="Z113" i="13"/>
  <c r="AA112" i="12"/>
  <c r="Z112" i="12"/>
  <c r="O113" i="13"/>
  <c r="BH115" i="13"/>
  <c r="C115" i="13"/>
  <c r="BG115" i="13"/>
  <c r="F115" i="13"/>
  <c r="D116" i="13"/>
  <c r="E115" i="13"/>
  <c r="T115" i="13" s="1"/>
  <c r="O114" i="5"/>
  <c r="BG116" i="5"/>
  <c r="F116" i="5"/>
  <c r="D117" i="5"/>
  <c r="E116" i="5"/>
  <c r="T116" i="5" s="1"/>
  <c r="BH116" i="5"/>
  <c r="BI116" i="5"/>
  <c r="C116" i="5"/>
  <c r="S115" i="5"/>
  <c r="R115" i="5"/>
  <c r="I115" i="5"/>
  <c r="Q115" i="5"/>
  <c r="J115" i="5"/>
  <c r="Y115" i="5"/>
  <c r="X115" i="5"/>
  <c r="W115" i="5"/>
  <c r="AA114" i="5"/>
  <c r="Z114" i="5"/>
  <c r="C117" i="13"/>
  <c r="O113" i="12" l="1"/>
  <c r="O115" i="5"/>
  <c r="O114" i="13"/>
  <c r="BG116" i="13"/>
  <c r="D117" i="13"/>
  <c r="F116" i="13"/>
  <c r="BH116" i="13"/>
  <c r="E116" i="13"/>
  <c r="T116" i="13" s="1"/>
  <c r="C116" i="13"/>
  <c r="W115" i="13"/>
  <c r="Y115" i="13"/>
  <c r="X115" i="13"/>
  <c r="W114" i="12"/>
  <c r="X114" i="12"/>
  <c r="Y114" i="12"/>
  <c r="R115" i="13"/>
  <c r="S115" i="13"/>
  <c r="J115" i="13"/>
  <c r="O115" i="13" s="1"/>
  <c r="I115" i="13"/>
  <c r="Q115" i="13"/>
  <c r="S114" i="12"/>
  <c r="J114" i="12"/>
  <c r="I114" i="12"/>
  <c r="Q114" i="12"/>
  <c r="R114" i="12"/>
  <c r="AA113" i="12"/>
  <c r="Z113" i="12"/>
  <c r="AA114" i="13"/>
  <c r="Z114" i="13"/>
  <c r="D116" i="12"/>
  <c r="BG115" i="12"/>
  <c r="BI115" i="12"/>
  <c r="C115" i="12"/>
  <c r="BH115" i="12"/>
  <c r="F115" i="12"/>
  <c r="E115" i="12"/>
  <c r="T115" i="12" s="1"/>
  <c r="BH117" i="5"/>
  <c r="BG117" i="5"/>
  <c r="F117" i="5"/>
  <c r="E117" i="5"/>
  <c r="T117" i="5" s="1"/>
  <c r="D118" i="5"/>
  <c r="BI117" i="5"/>
  <c r="C117" i="5"/>
  <c r="R116" i="5"/>
  <c r="Q116" i="5"/>
  <c r="S116" i="5"/>
  <c r="J116" i="5"/>
  <c r="I116" i="5"/>
  <c r="Z115" i="5"/>
  <c r="AA115" i="5"/>
  <c r="Y116" i="5"/>
  <c r="X116" i="5"/>
  <c r="W116" i="5"/>
  <c r="W117" i="13"/>
  <c r="X117" i="13"/>
  <c r="Y117" i="13"/>
  <c r="C117" i="12"/>
  <c r="E116" i="12" l="1"/>
  <c r="T116" i="12" s="1"/>
  <c r="BH116" i="12"/>
  <c r="F116" i="12"/>
  <c r="BI116" i="12"/>
  <c r="D117" i="12"/>
  <c r="BG116" i="12"/>
  <c r="C116" i="12"/>
  <c r="R115" i="12"/>
  <c r="I115" i="12"/>
  <c r="S115" i="12"/>
  <c r="Q115" i="12"/>
  <c r="J115" i="12"/>
  <c r="W115" i="12"/>
  <c r="Y115" i="12"/>
  <c r="X115" i="12"/>
  <c r="O114" i="12"/>
  <c r="Z114" i="12"/>
  <c r="AA114" i="12"/>
  <c r="R116" i="13"/>
  <c r="J116" i="13"/>
  <c r="Q116" i="13"/>
  <c r="S116" i="13"/>
  <c r="I116" i="13"/>
  <c r="W116" i="13"/>
  <c r="Y116" i="13"/>
  <c r="X116" i="13"/>
  <c r="F117" i="13"/>
  <c r="BH117" i="13"/>
  <c r="D118" i="13"/>
  <c r="E117" i="13"/>
  <c r="T117" i="13" s="1"/>
  <c r="BG117" i="13"/>
  <c r="Z115" i="13"/>
  <c r="AA115" i="13"/>
  <c r="O117" i="13"/>
  <c r="Y117" i="5"/>
  <c r="X117" i="5"/>
  <c r="W117" i="5"/>
  <c r="I117" i="5"/>
  <c r="J117" i="5"/>
  <c r="Q117" i="5"/>
  <c r="R117" i="5"/>
  <c r="S117" i="5"/>
  <c r="AA116" i="5"/>
  <c r="Z116" i="5"/>
  <c r="BG118" i="5"/>
  <c r="BH118" i="5"/>
  <c r="D119" i="5"/>
  <c r="E118" i="5"/>
  <c r="T118" i="5" s="1"/>
  <c r="F118" i="5"/>
  <c r="BI118" i="5"/>
  <c r="C118" i="5"/>
  <c r="O116" i="5"/>
  <c r="AA117" i="13"/>
  <c r="Z117" i="13"/>
  <c r="X117" i="12"/>
  <c r="W117" i="12"/>
  <c r="Y117" i="12"/>
  <c r="O116" i="13" l="1"/>
  <c r="O115" i="12"/>
  <c r="S117" i="13"/>
  <c r="Q117" i="13"/>
  <c r="J117" i="13"/>
  <c r="R117" i="13"/>
  <c r="I117" i="13"/>
  <c r="Z115" i="12"/>
  <c r="AA115" i="12"/>
  <c r="X116" i="12"/>
  <c r="W116" i="12"/>
  <c r="Y116" i="12"/>
  <c r="R116" i="12"/>
  <c r="S116" i="12"/>
  <c r="I116" i="12"/>
  <c r="Q116" i="12"/>
  <c r="J116" i="12"/>
  <c r="AA116" i="13"/>
  <c r="Z116" i="13"/>
  <c r="E118" i="13"/>
  <c r="T118" i="13" s="1"/>
  <c r="BH118" i="13"/>
  <c r="F118" i="13"/>
  <c r="D119" i="13"/>
  <c r="BG118" i="13"/>
  <c r="C118" i="13"/>
  <c r="F117" i="12"/>
  <c r="D118" i="12"/>
  <c r="BG117" i="12"/>
  <c r="E117" i="12"/>
  <c r="T117" i="12" s="1"/>
  <c r="BH117" i="12"/>
  <c r="BI117" i="12"/>
  <c r="O117" i="5"/>
  <c r="S118" i="5"/>
  <c r="Q118" i="5"/>
  <c r="I118" i="5"/>
  <c r="J118" i="5"/>
  <c r="R118" i="5"/>
  <c r="X118" i="5"/>
  <c r="W118" i="5"/>
  <c r="Y118" i="5"/>
  <c r="BG119" i="5"/>
  <c r="BH119" i="5"/>
  <c r="BI119" i="5"/>
  <c r="F119" i="5"/>
  <c r="E119" i="5"/>
  <c r="T119" i="5" s="1"/>
  <c r="D120" i="5"/>
  <c r="C119" i="5"/>
  <c r="Z117" i="5"/>
  <c r="AA117" i="5"/>
  <c r="AA117" i="12"/>
  <c r="Z117" i="12"/>
  <c r="O117" i="12"/>
  <c r="O116" i="12" l="1"/>
  <c r="Y118" i="13"/>
  <c r="W118" i="13"/>
  <c r="X118" i="13"/>
  <c r="R118" i="13"/>
  <c r="Q118" i="13"/>
  <c r="J118" i="13"/>
  <c r="S118" i="13"/>
  <c r="I118" i="13"/>
  <c r="BG118" i="12"/>
  <c r="F118" i="12"/>
  <c r="C118" i="12"/>
  <c r="D119" i="12"/>
  <c r="BH118" i="12"/>
  <c r="E118" i="12"/>
  <c r="T118" i="12" s="1"/>
  <c r="BI118" i="12"/>
  <c r="J117" i="12"/>
  <c r="I117" i="12"/>
  <c r="R117" i="12"/>
  <c r="S117" i="12"/>
  <c r="Q117" i="12"/>
  <c r="BH119" i="13"/>
  <c r="F119" i="13"/>
  <c r="BG119" i="13"/>
  <c r="C119" i="13"/>
  <c r="D120" i="13"/>
  <c r="E119" i="13"/>
  <c r="T119" i="13" s="1"/>
  <c r="AA116" i="12"/>
  <c r="Z116" i="12"/>
  <c r="O118" i="5"/>
  <c r="AA118" i="5"/>
  <c r="Z118" i="5"/>
  <c r="X119" i="5"/>
  <c r="Y119" i="5"/>
  <c r="W119" i="5"/>
  <c r="BG120" i="5"/>
  <c r="BH120" i="5"/>
  <c r="F120" i="5"/>
  <c r="D121" i="5"/>
  <c r="E120" i="5"/>
  <c r="T120" i="5" s="1"/>
  <c r="BI120" i="5"/>
  <c r="C120" i="5"/>
  <c r="S119" i="5"/>
  <c r="I119" i="5"/>
  <c r="R119" i="5"/>
  <c r="Q119" i="5"/>
  <c r="J119" i="5"/>
  <c r="W118" i="12" l="1"/>
  <c r="Y118" i="12"/>
  <c r="X118" i="12"/>
  <c r="Z118" i="13"/>
  <c r="AA118" i="13"/>
  <c r="R119" i="13"/>
  <c r="S119" i="13"/>
  <c r="Q119" i="13"/>
  <c r="I119" i="13"/>
  <c r="J119" i="13"/>
  <c r="O119" i="13" s="1"/>
  <c r="R118" i="12"/>
  <c r="S118" i="12"/>
  <c r="Q118" i="12"/>
  <c r="J118" i="12"/>
  <c r="I118" i="12"/>
  <c r="O118" i="13"/>
  <c r="W119" i="13"/>
  <c r="Y119" i="13"/>
  <c r="X119" i="13"/>
  <c r="BI119" i="12"/>
  <c r="F119" i="12"/>
  <c r="C119" i="12"/>
  <c r="E119" i="12"/>
  <c r="T119" i="12" s="1"/>
  <c r="D120" i="12"/>
  <c r="BH119" i="12"/>
  <c r="BG119" i="12"/>
  <c r="D121" i="13"/>
  <c r="F120" i="13"/>
  <c r="BH120" i="13"/>
  <c r="E120" i="13"/>
  <c r="T120" i="13" s="1"/>
  <c r="BG120" i="13"/>
  <c r="C120" i="13"/>
  <c r="O119" i="5"/>
  <c r="R120" i="5"/>
  <c r="Q120" i="5"/>
  <c r="J120" i="5"/>
  <c r="I120" i="5"/>
  <c r="S120" i="5"/>
  <c r="Y120" i="5"/>
  <c r="X120" i="5"/>
  <c r="W120" i="5"/>
  <c r="BH121" i="5"/>
  <c r="BG121" i="5"/>
  <c r="F121" i="5"/>
  <c r="E121" i="5"/>
  <c r="T121" i="5" s="1"/>
  <c r="D122" i="5"/>
  <c r="BI121" i="5"/>
  <c r="C121" i="5"/>
  <c r="AA119" i="5"/>
  <c r="Z119" i="5"/>
  <c r="D122" i="13" l="1"/>
  <c r="F121" i="13"/>
  <c r="BG121" i="13"/>
  <c r="BH121" i="13"/>
  <c r="E121" i="13"/>
  <c r="T121" i="13" s="1"/>
  <c r="C121" i="13"/>
  <c r="Z119" i="13"/>
  <c r="AA119" i="13"/>
  <c r="Z118" i="12"/>
  <c r="AA118" i="12"/>
  <c r="W119" i="12"/>
  <c r="Y119" i="12"/>
  <c r="X119" i="12"/>
  <c r="O118" i="12"/>
  <c r="Y120" i="13"/>
  <c r="X120" i="13"/>
  <c r="W120" i="13"/>
  <c r="R120" i="13"/>
  <c r="S120" i="13"/>
  <c r="I120" i="13"/>
  <c r="Q120" i="13"/>
  <c r="J120" i="13"/>
  <c r="O120" i="13" s="1"/>
  <c r="D121" i="12"/>
  <c r="C120" i="12"/>
  <c r="E120" i="12"/>
  <c r="T120" i="12" s="1"/>
  <c r="BG120" i="12"/>
  <c r="BH120" i="12"/>
  <c r="BI120" i="12"/>
  <c r="F120" i="12"/>
  <c r="J119" i="12"/>
  <c r="O119" i="12" s="1"/>
  <c r="Q119" i="12"/>
  <c r="I119" i="12"/>
  <c r="S119" i="12"/>
  <c r="R119" i="12"/>
  <c r="BG122" i="5"/>
  <c r="BH122" i="5"/>
  <c r="D123" i="5"/>
  <c r="E122" i="5"/>
  <c r="T122" i="5" s="1"/>
  <c r="F122" i="5"/>
  <c r="BI122" i="5"/>
  <c r="C122" i="5"/>
  <c r="AA120" i="5"/>
  <c r="Z120" i="5"/>
  <c r="O120" i="5"/>
  <c r="Y121" i="5"/>
  <c r="X121" i="5"/>
  <c r="W121" i="5"/>
  <c r="I121" i="5"/>
  <c r="J121" i="5"/>
  <c r="R121" i="5"/>
  <c r="Q121" i="5"/>
  <c r="S121" i="5"/>
  <c r="X120" i="12" l="1"/>
  <c r="W120" i="12"/>
  <c r="Y120" i="12"/>
  <c r="AA120" i="13"/>
  <c r="Z120" i="13"/>
  <c r="F121" i="12"/>
  <c r="D122" i="12"/>
  <c r="C121" i="12"/>
  <c r="BH121" i="12"/>
  <c r="BG121" i="12"/>
  <c r="E121" i="12"/>
  <c r="T121" i="12" s="1"/>
  <c r="BI121" i="12"/>
  <c r="Y121" i="13"/>
  <c r="X121" i="13"/>
  <c r="W121" i="13"/>
  <c r="J121" i="13"/>
  <c r="S121" i="13"/>
  <c r="I121" i="13"/>
  <c r="R121" i="13"/>
  <c r="Q121" i="13"/>
  <c r="S120" i="12"/>
  <c r="R120" i="12"/>
  <c r="I120" i="12"/>
  <c r="J120" i="12"/>
  <c r="Q120" i="12"/>
  <c r="AA119" i="12"/>
  <c r="Z119" i="12"/>
  <c r="BG122" i="13"/>
  <c r="C122" i="13"/>
  <c r="D123" i="13"/>
  <c r="F122" i="13"/>
  <c r="E122" i="13"/>
  <c r="T122" i="13" s="1"/>
  <c r="BH122" i="13"/>
  <c r="O121" i="5"/>
  <c r="AA121" i="5"/>
  <c r="Z121" i="5"/>
  <c r="X122" i="5"/>
  <c r="Y122" i="5"/>
  <c r="W122" i="5"/>
  <c r="BG123" i="5"/>
  <c r="BH123" i="5"/>
  <c r="BI123" i="5"/>
  <c r="F123" i="5"/>
  <c r="E123" i="5"/>
  <c r="T123" i="5" s="1"/>
  <c r="D124" i="5"/>
  <c r="C123" i="5"/>
  <c r="S122" i="5"/>
  <c r="R122" i="5"/>
  <c r="I122" i="5"/>
  <c r="Q122" i="5"/>
  <c r="J122" i="5"/>
  <c r="O121" i="13" l="1"/>
  <c r="W121" i="12"/>
  <c r="X121" i="12"/>
  <c r="Y121" i="12"/>
  <c r="R122" i="13"/>
  <c r="I122" i="13"/>
  <c r="S122" i="13"/>
  <c r="J122" i="13"/>
  <c r="O122" i="13" s="1"/>
  <c r="Q122" i="13"/>
  <c r="E123" i="13"/>
  <c r="T123" i="13" s="1"/>
  <c r="BH123" i="13"/>
  <c r="F123" i="13"/>
  <c r="BG123" i="13"/>
  <c r="C123" i="13"/>
  <c r="D124" i="13"/>
  <c r="Z121" i="13"/>
  <c r="AA121" i="13"/>
  <c r="E122" i="12"/>
  <c r="T122" i="12" s="1"/>
  <c r="C122" i="12"/>
  <c r="BG122" i="12"/>
  <c r="BI122" i="12"/>
  <c r="D123" i="12"/>
  <c r="BH122" i="12"/>
  <c r="F122" i="12"/>
  <c r="W122" i="13"/>
  <c r="Y122" i="13"/>
  <c r="X122" i="13"/>
  <c r="Q121" i="12"/>
  <c r="J121" i="12"/>
  <c r="R121" i="12"/>
  <c r="S121" i="12"/>
  <c r="I121" i="12"/>
  <c r="O120" i="12"/>
  <c r="AA120" i="12"/>
  <c r="Z120" i="12"/>
  <c r="AA122" i="5"/>
  <c r="Z122" i="5"/>
  <c r="O122" i="5"/>
  <c r="S123" i="5"/>
  <c r="J123" i="5"/>
  <c r="R123" i="5"/>
  <c r="I123" i="5"/>
  <c r="Q123" i="5"/>
  <c r="Y123" i="5"/>
  <c r="X123" i="5"/>
  <c r="W123" i="5"/>
  <c r="BG124" i="5"/>
  <c r="BH124" i="5"/>
  <c r="F124" i="5"/>
  <c r="D125" i="5"/>
  <c r="E124" i="5"/>
  <c r="T124" i="5" s="1"/>
  <c r="BI124" i="5"/>
  <c r="C124" i="5"/>
  <c r="O121" i="12" l="1"/>
  <c r="S122" i="12"/>
  <c r="Q122" i="12"/>
  <c r="I122" i="12"/>
  <c r="R122" i="12"/>
  <c r="J122" i="12"/>
  <c r="J123" i="13"/>
  <c r="Q123" i="13"/>
  <c r="R123" i="13"/>
  <c r="S123" i="13"/>
  <c r="I123" i="13"/>
  <c r="AA122" i="13"/>
  <c r="Z122" i="13"/>
  <c r="Y122" i="12"/>
  <c r="X122" i="12"/>
  <c r="W122" i="12"/>
  <c r="BG124" i="13"/>
  <c r="C124" i="13"/>
  <c r="E124" i="13"/>
  <c r="T124" i="13" s="1"/>
  <c r="D125" i="13"/>
  <c r="F124" i="13"/>
  <c r="BH124" i="13"/>
  <c r="Z121" i="12"/>
  <c r="AA121" i="12"/>
  <c r="BG123" i="12"/>
  <c r="BI123" i="12"/>
  <c r="F123" i="12"/>
  <c r="C123" i="12"/>
  <c r="BH123" i="12"/>
  <c r="D124" i="12"/>
  <c r="E123" i="12"/>
  <c r="T123" i="12" s="1"/>
  <c r="Y123" i="13"/>
  <c r="X123" i="13"/>
  <c r="W123" i="13"/>
  <c r="O123" i="5"/>
  <c r="R124" i="5"/>
  <c r="Q124" i="5"/>
  <c r="J124" i="5"/>
  <c r="S124" i="5"/>
  <c r="I124" i="5"/>
  <c r="AA123" i="5"/>
  <c r="Z123" i="5"/>
  <c r="BH125" i="5"/>
  <c r="BG125" i="5"/>
  <c r="F125" i="5"/>
  <c r="E125" i="5"/>
  <c r="T125" i="5" s="1"/>
  <c r="D126" i="5"/>
  <c r="BI125" i="5"/>
  <c r="C125" i="5"/>
  <c r="X124" i="5"/>
  <c r="W124" i="5"/>
  <c r="Y124" i="5"/>
  <c r="O122" i="12" l="1"/>
  <c r="X123" i="12"/>
  <c r="W123" i="12"/>
  <c r="Y123" i="12"/>
  <c r="BH125" i="13"/>
  <c r="E125" i="13"/>
  <c r="T125" i="13" s="1"/>
  <c r="BG125" i="13"/>
  <c r="C125" i="13"/>
  <c r="D126" i="13"/>
  <c r="F125" i="13"/>
  <c r="S123" i="12"/>
  <c r="Q123" i="12"/>
  <c r="I123" i="12"/>
  <c r="J123" i="12"/>
  <c r="O123" i="12" s="1"/>
  <c r="R123" i="12"/>
  <c r="AA122" i="12"/>
  <c r="Z122" i="12"/>
  <c r="O123" i="13"/>
  <c r="E124" i="12"/>
  <c r="T124" i="12" s="1"/>
  <c r="BH124" i="12"/>
  <c r="BI124" i="12"/>
  <c r="F124" i="12"/>
  <c r="BG124" i="12"/>
  <c r="D125" i="12"/>
  <c r="C124" i="12"/>
  <c r="W124" i="13"/>
  <c r="Y124" i="13"/>
  <c r="X124" i="13"/>
  <c r="Z123" i="13"/>
  <c r="AA123" i="13"/>
  <c r="S124" i="13"/>
  <c r="Q124" i="13"/>
  <c r="J124" i="13"/>
  <c r="R124" i="13"/>
  <c r="I124" i="13"/>
  <c r="X125" i="5"/>
  <c r="W125" i="5"/>
  <c r="Y125" i="5"/>
  <c r="I125" i="5"/>
  <c r="J125" i="5"/>
  <c r="Q125" i="5"/>
  <c r="R125" i="5"/>
  <c r="S125" i="5"/>
  <c r="O124" i="5"/>
  <c r="Z124" i="5"/>
  <c r="AA124" i="5"/>
  <c r="BG126" i="5"/>
  <c r="BH126" i="5"/>
  <c r="E126" i="5"/>
  <c r="T126" i="5" s="1"/>
  <c r="BI126" i="5"/>
  <c r="F126" i="5"/>
  <c r="D127" i="5"/>
  <c r="C126" i="5"/>
  <c r="O124" i="13" l="1"/>
  <c r="W124" i="12"/>
  <c r="X124" i="12"/>
  <c r="Y124" i="12"/>
  <c r="BH126" i="13"/>
  <c r="C126" i="13"/>
  <c r="BG126" i="13"/>
  <c r="D127" i="13"/>
  <c r="E126" i="13"/>
  <c r="T126" i="13" s="1"/>
  <c r="F126" i="13"/>
  <c r="AA124" i="13"/>
  <c r="Z124" i="13"/>
  <c r="BG125" i="12"/>
  <c r="BH125" i="12"/>
  <c r="D126" i="12"/>
  <c r="BI125" i="12"/>
  <c r="F125" i="12"/>
  <c r="E125" i="12"/>
  <c r="T125" i="12" s="1"/>
  <c r="C125" i="12"/>
  <c r="W125" i="13"/>
  <c r="X125" i="13"/>
  <c r="Y125" i="13"/>
  <c r="J124" i="12"/>
  <c r="R124" i="12"/>
  <c r="S124" i="12"/>
  <c r="I124" i="12"/>
  <c r="Q124" i="12"/>
  <c r="R125" i="13"/>
  <c r="Q125" i="13"/>
  <c r="J125" i="13"/>
  <c r="S125" i="13"/>
  <c r="I125" i="13"/>
  <c r="Z123" i="12"/>
  <c r="AA123" i="12"/>
  <c r="O125" i="5"/>
  <c r="S126" i="5"/>
  <c r="R126" i="5"/>
  <c r="I126" i="5"/>
  <c r="Q126" i="5"/>
  <c r="J126" i="5"/>
  <c r="O126" i="5" s="1"/>
  <c r="Y126" i="5"/>
  <c r="X126" i="5"/>
  <c r="W126" i="5"/>
  <c r="BG127" i="5"/>
  <c r="BH127" i="5"/>
  <c r="D128" i="5"/>
  <c r="E127" i="5"/>
  <c r="T127" i="5" s="1"/>
  <c r="BI127" i="5"/>
  <c r="F127" i="5"/>
  <c r="C127" i="5"/>
  <c r="AA125" i="5"/>
  <c r="Z125" i="5"/>
  <c r="AA125" i="13" l="1"/>
  <c r="Z125" i="13"/>
  <c r="S125" i="12"/>
  <c r="J125" i="12"/>
  <c r="I125" i="12"/>
  <c r="Q125" i="12"/>
  <c r="R125" i="12"/>
  <c r="E127" i="13"/>
  <c r="T127" i="13" s="1"/>
  <c r="BG127" i="13"/>
  <c r="D128" i="13"/>
  <c r="BH127" i="13"/>
  <c r="F127" i="13"/>
  <c r="C127" i="13"/>
  <c r="AA124" i="12"/>
  <c r="Z124" i="12"/>
  <c r="O124" i="12"/>
  <c r="W125" i="12"/>
  <c r="X125" i="12"/>
  <c r="Y125" i="12"/>
  <c r="F126" i="12"/>
  <c r="BI126" i="12"/>
  <c r="E126" i="12"/>
  <c r="T126" i="12" s="1"/>
  <c r="C126" i="12"/>
  <c r="BH126" i="12"/>
  <c r="D127" i="12"/>
  <c r="BG126" i="12"/>
  <c r="O125" i="13"/>
  <c r="J126" i="13"/>
  <c r="R126" i="13"/>
  <c r="S126" i="13"/>
  <c r="Q126" i="13"/>
  <c r="I126" i="13"/>
  <c r="Y126" i="13"/>
  <c r="W126" i="13"/>
  <c r="X126" i="13"/>
  <c r="BG128" i="5"/>
  <c r="BH128" i="5"/>
  <c r="BI128" i="5"/>
  <c r="D129" i="5"/>
  <c r="F128" i="5"/>
  <c r="E128" i="5"/>
  <c r="T128" i="5" s="1"/>
  <c r="C128" i="5"/>
  <c r="Y127" i="5"/>
  <c r="X127" i="5"/>
  <c r="W127" i="5"/>
  <c r="AA126" i="5"/>
  <c r="Z126" i="5"/>
  <c r="R127" i="5"/>
  <c r="S127" i="5"/>
  <c r="Q127" i="5"/>
  <c r="J127" i="5"/>
  <c r="I127" i="5"/>
  <c r="O126" i="13" l="1"/>
  <c r="I127" i="13"/>
  <c r="R127" i="13"/>
  <c r="J127" i="13"/>
  <c r="Q127" i="13"/>
  <c r="S127" i="13"/>
  <c r="O125" i="12"/>
  <c r="AA126" i="13"/>
  <c r="Z126" i="13"/>
  <c r="AA125" i="12"/>
  <c r="Z125" i="12"/>
  <c r="E128" i="13"/>
  <c r="T128" i="13" s="1"/>
  <c r="BH128" i="13"/>
  <c r="F128" i="13"/>
  <c r="D129" i="13"/>
  <c r="BG128" i="13"/>
  <c r="C128" i="13"/>
  <c r="BH127" i="12"/>
  <c r="E127" i="12"/>
  <c r="T127" i="12" s="1"/>
  <c r="F127" i="12"/>
  <c r="C127" i="12"/>
  <c r="BG127" i="12"/>
  <c r="D128" i="12"/>
  <c r="BI127" i="12"/>
  <c r="Y126" i="12"/>
  <c r="X126" i="12"/>
  <c r="W126" i="12"/>
  <c r="R126" i="12"/>
  <c r="I126" i="12"/>
  <c r="J126" i="12"/>
  <c r="Q126" i="12"/>
  <c r="S126" i="12"/>
  <c r="X127" i="13"/>
  <c r="W127" i="13"/>
  <c r="Y127" i="13"/>
  <c r="O127" i="5"/>
  <c r="I128" i="5"/>
  <c r="J128" i="5"/>
  <c r="R128" i="5"/>
  <c r="Q128" i="5"/>
  <c r="S128" i="5"/>
  <c r="AA127" i="5"/>
  <c r="Z127" i="5"/>
  <c r="W128" i="5"/>
  <c r="Y128" i="5"/>
  <c r="X128" i="5"/>
  <c r="BH129" i="5"/>
  <c r="BG129" i="5"/>
  <c r="BI129" i="5"/>
  <c r="F129" i="5"/>
  <c r="E129" i="5"/>
  <c r="T129" i="5" s="1"/>
  <c r="D130" i="5"/>
  <c r="C129" i="5"/>
  <c r="O127" i="13" l="1"/>
  <c r="AA127" i="13"/>
  <c r="Z127" i="13"/>
  <c r="J127" i="12"/>
  <c r="Q127" i="12"/>
  <c r="I127" i="12"/>
  <c r="S127" i="12"/>
  <c r="R127" i="12"/>
  <c r="BG128" i="12"/>
  <c r="BI128" i="12"/>
  <c r="BH128" i="12"/>
  <c r="E128" i="12"/>
  <c r="T128" i="12" s="1"/>
  <c r="F128" i="12"/>
  <c r="C128" i="12"/>
  <c r="D129" i="12"/>
  <c r="E129" i="13"/>
  <c r="T129" i="13" s="1"/>
  <c r="BG129" i="13"/>
  <c r="C129" i="13"/>
  <c r="D130" i="13"/>
  <c r="BH129" i="13"/>
  <c r="F129" i="13"/>
  <c r="O126" i="12"/>
  <c r="Z126" i="12"/>
  <c r="AA126" i="12"/>
  <c r="S128" i="13"/>
  <c r="R128" i="13"/>
  <c r="J128" i="13"/>
  <c r="Q128" i="13"/>
  <c r="I128" i="13"/>
  <c r="Y127" i="12"/>
  <c r="X127" i="12"/>
  <c r="W127" i="12"/>
  <c r="Y128" i="13"/>
  <c r="X128" i="13"/>
  <c r="W128" i="13"/>
  <c r="BG130" i="5"/>
  <c r="BH130" i="5"/>
  <c r="F130" i="5"/>
  <c r="BI130" i="5"/>
  <c r="E130" i="5"/>
  <c r="T130" i="5" s="1"/>
  <c r="D131" i="5"/>
  <c r="C130" i="5"/>
  <c r="O128" i="5"/>
  <c r="Z128" i="5"/>
  <c r="AA128" i="5"/>
  <c r="Y129" i="5"/>
  <c r="X129" i="5"/>
  <c r="W129" i="5"/>
  <c r="S129" i="5"/>
  <c r="Q129" i="5"/>
  <c r="J129" i="5"/>
  <c r="R129" i="5"/>
  <c r="I129" i="5"/>
  <c r="O127" i="12" l="1"/>
  <c r="O128" i="13"/>
  <c r="Q129" i="13"/>
  <c r="J129" i="13"/>
  <c r="O129" i="13" s="1"/>
  <c r="S129" i="13"/>
  <c r="I129" i="13"/>
  <c r="R129" i="13"/>
  <c r="J128" i="12"/>
  <c r="O128" i="12" s="1"/>
  <c r="S128" i="12"/>
  <c r="I128" i="12"/>
  <c r="R128" i="12"/>
  <c r="Q128" i="12"/>
  <c r="Z127" i="12"/>
  <c r="AA127" i="12"/>
  <c r="D131" i="13"/>
  <c r="BH130" i="13"/>
  <c r="F130" i="13"/>
  <c r="E130" i="13"/>
  <c r="T130" i="13" s="1"/>
  <c r="BG130" i="13"/>
  <c r="C130" i="13"/>
  <c r="D130" i="12"/>
  <c r="C129" i="12"/>
  <c r="BH129" i="12"/>
  <c r="E129" i="12"/>
  <c r="T129" i="12" s="1"/>
  <c r="F129" i="12"/>
  <c r="BG129" i="12"/>
  <c r="BI129" i="12"/>
  <c r="Z128" i="13"/>
  <c r="AA128" i="13"/>
  <c r="W129" i="13"/>
  <c r="Y129" i="13"/>
  <c r="X129" i="13"/>
  <c r="Y128" i="12"/>
  <c r="W128" i="12"/>
  <c r="X128" i="12"/>
  <c r="O129" i="5"/>
  <c r="X130" i="5"/>
  <c r="Y130" i="5"/>
  <c r="W130" i="5"/>
  <c r="S130" i="5"/>
  <c r="I130" i="5"/>
  <c r="Q130" i="5"/>
  <c r="J130" i="5"/>
  <c r="R130" i="5"/>
  <c r="Z129" i="5"/>
  <c r="AA129" i="5"/>
  <c r="BG131" i="5"/>
  <c r="BH131" i="5"/>
  <c r="D132" i="5"/>
  <c r="E131" i="5"/>
  <c r="T131" i="5" s="1"/>
  <c r="BI131" i="5"/>
  <c r="F131" i="5"/>
  <c r="C131" i="5"/>
  <c r="X129" i="12" l="1"/>
  <c r="W129" i="12"/>
  <c r="Y129" i="12"/>
  <c r="Z129" i="13"/>
  <c r="AA129" i="13"/>
  <c r="S129" i="12"/>
  <c r="Q129" i="12"/>
  <c r="I129" i="12"/>
  <c r="J129" i="12"/>
  <c r="R129" i="12"/>
  <c r="BG130" i="12"/>
  <c r="E130" i="12"/>
  <c r="T130" i="12" s="1"/>
  <c r="C130" i="12"/>
  <c r="BI130" i="12"/>
  <c r="F130" i="12"/>
  <c r="BH130" i="12"/>
  <c r="D131" i="12"/>
  <c r="AA128" i="12"/>
  <c r="Z128" i="12"/>
  <c r="Y130" i="13"/>
  <c r="X130" i="13"/>
  <c r="W130" i="13"/>
  <c r="J130" i="13"/>
  <c r="S130" i="13"/>
  <c r="R130" i="13"/>
  <c r="I130" i="13"/>
  <c r="Q130" i="13"/>
  <c r="D132" i="13"/>
  <c r="F131" i="13"/>
  <c r="BH131" i="13"/>
  <c r="BG131" i="13"/>
  <c r="C131" i="13"/>
  <c r="E131" i="13"/>
  <c r="T131" i="13" s="1"/>
  <c r="O131" i="13"/>
  <c r="O130" i="5"/>
  <c r="BG132" i="5"/>
  <c r="BI132" i="5"/>
  <c r="D133" i="5"/>
  <c r="F132" i="5"/>
  <c r="BH132" i="5"/>
  <c r="E132" i="5"/>
  <c r="T132" i="5" s="1"/>
  <c r="C132" i="5"/>
  <c r="Z130" i="5"/>
  <c r="AA130" i="5"/>
  <c r="R131" i="5"/>
  <c r="S131" i="5"/>
  <c r="Q131" i="5"/>
  <c r="I131" i="5"/>
  <c r="J131" i="5"/>
  <c r="W131" i="5"/>
  <c r="Y131" i="5"/>
  <c r="X131" i="5"/>
  <c r="O130" i="13" l="1"/>
  <c r="O129" i="12"/>
  <c r="R130" i="12"/>
  <c r="S130" i="12"/>
  <c r="Q130" i="12"/>
  <c r="J130" i="12"/>
  <c r="I130" i="12"/>
  <c r="J131" i="13"/>
  <c r="R131" i="13"/>
  <c r="Q131" i="13"/>
  <c r="I131" i="13"/>
  <c r="S131" i="13"/>
  <c r="W131" i="13"/>
  <c r="X131" i="13"/>
  <c r="Y131" i="13"/>
  <c r="F132" i="13"/>
  <c r="BH132" i="13"/>
  <c r="C132" i="13"/>
  <c r="D133" i="13"/>
  <c r="BG132" i="13"/>
  <c r="E132" i="13"/>
  <c r="T132" i="13" s="1"/>
  <c r="AA130" i="13"/>
  <c r="Z130" i="13"/>
  <c r="BI131" i="12"/>
  <c r="C131" i="12"/>
  <c r="D132" i="12"/>
  <c r="BG131" i="12"/>
  <c r="F131" i="12"/>
  <c r="BH131" i="12"/>
  <c r="E131" i="12"/>
  <c r="T131" i="12" s="1"/>
  <c r="X130" i="12"/>
  <c r="Y130" i="12"/>
  <c r="W130" i="12"/>
  <c r="AA129" i="12"/>
  <c r="Z129" i="12"/>
  <c r="Z131" i="5"/>
  <c r="AA131" i="5"/>
  <c r="I132" i="5"/>
  <c r="J132" i="5"/>
  <c r="Q132" i="5"/>
  <c r="R132" i="5"/>
  <c r="S132" i="5"/>
  <c r="O131" i="5"/>
  <c r="Y132" i="5"/>
  <c r="X132" i="5"/>
  <c r="W132" i="5"/>
  <c r="BH133" i="5"/>
  <c r="BG133" i="5"/>
  <c r="BI133" i="5"/>
  <c r="F133" i="5"/>
  <c r="E133" i="5"/>
  <c r="T133" i="5" s="1"/>
  <c r="D134" i="5"/>
  <c r="C133" i="5"/>
  <c r="O131" i="12"/>
  <c r="O130" i="12" l="1"/>
  <c r="Z130" i="12"/>
  <c r="AA130" i="12"/>
  <c r="R131" i="12"/>
  <c r="J131" i="12"/>
  <c r="Q131" i="12"/>
  <c r="I131" i="12"/>
  <c r="S131" i="12"/>
  <c r="R132" i="13"/>
  <c r="I132" i="13"/>
  <c r="S132" i="13"/>
  <c r="J132" i="13"/>
  <c r="O132" i="13" s="1"/>
  <c r="Q132" i="13"/>
  <c r="BG133" i="13"/>
  <c r="C133" i="13"/>
  <c r="E133" i="13"/>
  <c r="T133" i="13" s="1"/>
  <c r="D134" i="13"/>
  <c r="BH133" i="13"/>
  <c r="F133" i="13"/>
  <c r="W131" i="12"/>
  <c r="X131" i="12"/>
  <c r="Y131" i="12"/>
  <c r="D133" i="12"/>
  <c r="F132" i="12"/>
  <c r="BH132" i="12"/>
  <c r="E132" i="12"/>
  <c r="T132" i="12" s="1"/>
  <c r="BI132" i="12"/>
  <c r="BG132" i="12"/>
  <c r="C132" i="12"/>
  <c r="X132" i="13"/>
  <c r="W132" i="13"/>
  <c r="Y132" i="13"/>
  <c r="AA131" i="13"/>
  <c r="Z131" i="13"/>
  <c r="O132" i="5"/>
  <c r="Y133" i="5"/>
  <c r="W133" i="5"/>
  <c r="X133" i="5"/>
  <c r="BG134" i="5"/>
  <c r="BH134" i="5"/>
  <c r="F134" i="5"/>
  <c r="BI134" i="5"/>
  <c r="E134" i="5"/>
  <c r="T134" i="5" s="1"/>
  <c r="D135" i="5"/>
  <c r="C134" i="5"/>
  <c r="AA132" i="5"/>
  <c r="Z132" i="5"/>
  <c r="S133" i="5"/>
  <c r="Q133" i="5"/>
  <c r="J133" i="5"/>
  <c r="R133" i="5"/>
  <c r="I133" i="5"/>
  <c r="X132" i="12" l="1"/>
  <c r="W132" i="12"/>
  <c r="Y132" i="12"/>
  <c r="Z131" i="12"/>
  <c r="AA131" i="12"/>
  <c r="BG134" i="13"/>
  <c r="C134" i="13"/>
  <c r="BH134" i="13"/>
  <c r="F134" i="13"/>
  <c r="E134" i="13"/>
  <c r="T134" i="13" s="1"/>
  <c r="D135" i="13"/>
  <c r="J132" i="12"/>
  <c r="R132" i="12"/>
  <c r="S132" i="12"/>
  <c r="Q132" i="12"/>
  <c r="I132" i="12"/>
  <c r="D134" i="12"/>
  <c r="C133" i="12"/>
  <c r="E133" i="12"/>
  <c r="T133" i="12" s="1"/>
  <c r="BH133" i="12"/>
  <c r="BG133" i="12"/>
  <c r="BI133" i="12"/>
  <c r="F133" i="12"/>
  <c r="I133" i="13"/>
  <c r="J133" i="13"/>
  <c r="R133" i="13"/>
  <c r="S133" i="13"/>
  <c r="Q133" i="13"/>
  <c r="W133" i="13"/>
  <c r="Y133" i="13"/>
  <c r="X133" i="13"/>
  <c r="Z132" i="13"/>
  <c r="AA132" i="13"/>
  <c r="Z133" i="5"/>
  <c r="AA133" i="5"/>
  <c r="O133" i="5"/>
  <c r="W134" i="5"/>
  <c r="Y134" i="5"/>
  <c r="X134" i="5"/>
  <c r="S134" i="5"/>
  <c r="I134" i="5"/>
  <c r="J134" i="5"/>
  <c r="R134" i="5"/>
  <c r="Q134" i="5"/>
  <c r="BG135" i="5"/>
  <c r="BH135" i="5"/>
  <c r="D136" i="5"/>
  <c r="D137" i="5" s="1"/>
  <c r="E135" i="5"/>
  <c r="T135" i="5" s="1"/>
  <c r="BI135" i="5"/>
  <c r="F135" i="5"/>
  <c r="C135" i="5"/>
  <c r="O133" i="13" l="1"/>
  <c r="O134" i="5"/>
  <c r="O132" i="12"/>
  <c r="Z133" i="13"/>
  <c r="AA133" i="13"/>
  <c r="J133" i="12"/>
  <c r="R133" i="12"/>
  <c r="S133" i="12"/>
  <c r="Q133" i="12"/>
  <c r="I133" i="12"/>
  <c r="D136" i="13"/>
  <c r="BH135" i="13"/>
  <c r="F135" i="13"/>
  <c r="BG135" i="13"/>
  <c r="E135" i="13"/>
  <c r="T135" i="13" s="1"/>
  <c r="C135" i="13"/>
  <c r="X134" i="13"/>
  <c r="Y134" i="13"/>
  <c r="W134" i="13"/>
  <c r="X133" i="12"/>
  <c r="W133" i="12"/>
  <c r="Y133" i="12"/>
  <c r="D138" i="5"/>
  <c r="E137" i="5"/>
  <c r="T137" i="5" s="1"/>
  <c r="BG137" i="5"/>
  <c r="F137" i="5"/>
  <c r="BH137" i="5"/>
  <c r="BI137" i="5"/>
  <c r="C137" i="5"/>
  <c r="BH134" i="12"/>
  <c r="E134" i="12"/>
  <c r="T134" i="12" s="1"/>
  <c r="D135" i="12"/>
  <c r="BI134" i="12"/>
  <c r="F134" i="12"/>
  <c r="BG134" i="12"/>
  <c r="C134" i="12"/>
  <c r="S134" i="13"/>
  <c r="J134" i="13"/>
  <c r="R134" i="13"/>
  <c r="I134" i="13"/>
  <c r="Q134" i="13"/>
  <c r="Z132" i="12"/>
  <c r="AA132" i="12"/>
  <c r="R135" i="5"/>
  <c r="J135" i="5"/>
  <c r="I135" i="5"/>
  <c r="S135" i="5"/>
  <c r="Q135" i="5"/>
  <c r="AA134" i="5"/>
  <c r="Z134" i="5"/>
  <c r="BG136" i="5"/>
  <c r="BH136" i="5"/>
  <c r="BI136" i="5"/>
  <c r="F136" i="5"/>
  <c r="E136" i="5"/>
  <c r="T136" i="5" s="1"/>
  <c r="C136" i="5"/>
  <c r="X135" i="5"/>
  <c r="W135" i="5"/>
  <c r="Y135" i="5"/>
  <c r="D139" i="5" l="1"/>
  <c r="BG138" i="5"/>
  <c r="E138" i="5"/>
  <c r="T138" i="5" s="1"/>
  <c r="BI138" i="5"/>
  <c r="F138" i="5"/>
  <c r="BH138" i="5"/>
  <c r="C138" i="5"/>
  <c r="Z134" i="13"/>
  <c r="AA134" i="13"/>
  <c r="F135" i="12"/>
  <c r="D136" i="12"/>
  <c r="BI135" i="12"/>
  <c r="C135" i="12"/>
  <c r="BH135" i="12"/>
  <c r="E135" i="12"/>
  <c r="T135" i="12" s="1"/>
  <c r="BG135" i="12"/>
  <c r="I137" i="5"/>
  <c r="R137" i="5"/>
  <c r="J137" i="5"/>
  <c r="O137" i="5" s="1"/>
  <c r="S137" i="5"/>
  <c r="Q137" i="5"/>
  <c r="AA133" i="12"/>
  <c r="Z133" i="12"/>
  <c r="Y135" i="13"/>
  <c r="X135" i="13"/>
  <c r="W135" i="13"/>
  <c r="S135" i="13"/>
  <c r="Q135" i="13"/>
  <c r="I135" i="13"/>
  <c r="R135" i="13"/>
  <c r="J135" i="13"/>
  <c r="D137" i="13"/>
  <c r="BH136" i="13"/>
  <c r="F136" i="13"/>
  <c r="E136" i="13"/>
  <c r="T136" i="13" s="1"/>
  <c r="BG136" i="13"/>
  <c r="C136" i="13"/>
  <c r="W137" i="5"/>
  <c r="X137" i="5"/>
  <c r="Y137" i="5"/>
  <c r="W134" i="12"/>
  <c r="Y134" i="12"/>
  <c r="X134" i="12"/>
  <c r="O134" i="13"/>
  <c r="I134" i="12"/>
  <c r="J134" i="12"/>
  <c r="O134" i="12" s="1"/>
  <c r="S134" i="12"/>
  <c r="Q134" i="12"/>
  <c r="R134" i="12"/>
  <c r="O133" i="12"/>
  <c r="O135" i="5"/>
  <c r="Z135" i="5"/>
  <c r="AA135" i="5"/>
  <c r="I136" i="5"/>
  <c r="J136" i="5"/>
  <c r="R136" i="5"/>
  <c r="Q136" i="5"/>
  <c r="S136" i="5"/>
  <c r="W136" i="5"/>
  <c r="Y136" i="5"/>
  <c r="X136" i="5"/>
  <c r="Z137" i="5" l="1"/>
  <c r="AA137" i="5"/>
  <c r="O135" i="13"/>
  <c r="J136" i="13"/>
  <c r="I136" i="13"/>
  <c r="Q136" i="13"/>
  <c r="S136" i="13"/>
  <c r="R136" i="13"/>
  <c r="BH136" i="12"/>
  <c r="E136" i="12"/>
  <c r="T136" i="12" s="1"/>
  <c r="BI136" i="12"/>
  <c r="F136" i="12"/>
  <c r="BG136" i="12"/>
  <c r="C136" i="12"/>
  <c r="D137" i="12"/>
  <c r="W138" i="5"/>
  <c r="Y138" i="5"/>
  <c r="X138" i="5"/>
  <c r="S138" i="5"/>
  <c r="I138" i="5"/>
  <c r="Q138" i="5"/>
  <c r="J138" i="5"/>
  <c r="R138" i="5"/>
  <c r="Y136" i="13"/>
  <c r="X136" i="13"/>
  <c r="W136" i="13"/>
  <c r="AA135" i="13"/>
  <c r="Z135" i="13"/>
  <c r="Q135" i="12"/>
  <c r="S135" i="12"/>
  <c r="R135" i="12"/>
  <c r="I135" i="12"/>
  <c r="J135" i="12"/>
  <c r="Z134" i="12"/>
  <c r="AA134" i="12"/>
  <c r="C137" i="13"/>
  <c r="BG137" i="13"/>
  <c r="T137" i="13"/>
  <c r="F137" i="13"/>
  <c r="E137" i="13"/>
  <c r="BH137" i="13"/>
  <c r="D138" i="13"/>
  <c r="X135" i="12"/>
  <c r="Y135" i="12"/>
  <c r="W135" i="12"/>
  <c r="BH139" i="5"/>
  <c r="F139" i="5"/>
  <c r="BG139" i="5"/>
  <c r="E139" i="5"/>
  <c r="T139" i="5" s="1"/>
  <c r="BI139" i="5"/>
  <c r="D140" i="5"/>
  <c r="C139" i="5"/>
  <c r="O136" i="5"/>
  <c r="AA136" i="5"/>
  <c r="Z136" i="5"/>
  <c r="AA135" i="12" l="1"/>
  <c r="Z135" i="12"/>
  <c r="J136" i="12"/>
  <c r="O136" i="12" s="1"/>
  <c r="I136" i="12"/>
  <c r="Q136" i="12"/>
  <c r="R136" i="12"/>
  <c r="S136" i="12"/>
  <c r="O136" i="13"/>
  <c r="X139" i="5"/>
  <c r="Y139" i="5"/>
  <c r="W139" i="5"/>
  <c r="Q137" i="13"/>
  <c r="J137" i="13"/>
  <c r="I137" i="13"/>
  <c r="R137" i="13"/>
  <c r="S137" i="13"/>
  <c r="E140" i="5"/>
  <c r="T140" i="5" s="1"/>
  <c r="BI140" i="5"/>
  <c r="D141" i="5"/>
  <c r="BG140" i="5"/>
  <c r="F140" i="5"/>
  <c r="BH140" i="5"/>
  <c r="C140" i="5"/>
  <c r="O135" i="12"/>
  <c r="O138" i="5"/>
  <c r="C137" i="12"/>
  <c r="E137" i="12"/>
  <c r="T137" i="12" s="1"/>
  <c r="F137" i="12"/>
  <c r="BH137" i="12"/>
  <c r="BG137" i="12"/>
  <c r="BI137" i="12"/>
  <c r="D138" i="12"/>
  <c r="J139" i="5"/>
  <c r="R139" i="5"/>
  <c r="Q139" i="5"/>
  <c r="S139" i="5"/>
  <c r="I139" i="5"/>
  <c r="BG138" i="13"/>
  <c r="C138" i="13"/>
  <c r="F138" i="13"/>
  <c r="E138" i="13"/>
  <c r="T138" i="13" s="1"/>
  <c r="BH138" i="13"/>
  <c r="D139" i="13"/>
  <c r="W137" i="13"/>
  <c r="Y137" i="13"/>
  <c r="X137" i="13"/>
  <c r="AA136" i="13"/>
  <c r="Z136" i="13"/>
  <c r="AA138" i="5"/>
  <c r="Z138" i="5"/>
  <c r="Y136" i="12"/>
  <c r="X136" i="12"/>
  <c r="W136" i="12"/>
  <c r="O137" i="13" l="1"/>
  <c r="AA137" i="13"/>
  <c r="Z137" i="13"/>
  <c r="E138" i="12"/>
  <c r="T138" i="12" s="1"/>
  <c r="C138" i="12"/>
  <c r="BH138" i="12"/>
  <c r="BI138" i="12"/>
  <c r="D139" i="12"/>
  <c r="BG138" i="12"/>
  <c r="F138" i="12"/>
  <c r="Z136" i="12"/>
  <c r="AA136" i="12"/>
  <c r="W137" i="12"/>
  <c r="Y137" i="12"/>
  <c r="X137" i="12"/>
  <c r="Z139" i="5"/>
  <c r="AA139" i="5"/>
  <c r="I138" i="13"/>
  <c r="S138" i="13"/>
  <c r="J138" i="13"/>
  <c r="Q138" i="13"/>
  <c r="R138" i="13"/>
  <c r="Y140" i="5"/>
  <c r="W140" i="5"/>
  <c r="X140" i="5"/>
  <c r="F141" i="5"/>
  <c r="BH141" i="5"/>
  <c r="D142" i="5"/>
  <c r="BG141" i="5"/>
  <c r="E141" i="5"/>
  <c r="T141" i="5" s="1"/>
  <c r="BI141" i="5"/>
  <c r="C141" i="5"/>
  <c r="BG139" i="13"/>
  <c r="C139" i="13"/>
  <c r="D140" i="13"/>
  <c r="F139" i="13"/>
  <c r="BH139" i="13"/>
  <c r="E139" i="13"/>
  <c r="T139" i="13" s="1"/>
  <c r="X138" i="13"/>
  <c r="Y138" i="13"/>
  <c r="W138" i="13"/>
  <c r="O139" i="5"/>
  <c r="J137" i="12"/>
  <c r="Q137" i="12"/>
  <c r="R137" i="12"/>
  <c r="I137" i="12"/>
  <c r="S137" i="12"/>
  <c r="I140" i="5"/>
  <c r="Q140" i="5"/>
  <c r="S140" i="5"/>
  <c r="J140" i="5"/>
  <c r="R140" i="5"/>
  <c r="O138" i="13" l="1"/>
  <c r="O140" i="5"/>
  <c r="O137" i="12"/>
  <c r="X138" i="12"/>
  <c r="W138" i="12"/>
  <c r="Y138" i="12"/>
  <c r="J139" i="13"/>
  <c r="Q139" i="13"/>
  <c r="S139" i="13"/>
  <c r="I139" i="13"/>
  <c r="R139" i="13"/>
  <c r="X141" i="5"/>
  <c r="W141" i="5"/>
  <c r="Y141" i="5"/>
  <c r="AA140" i="5"/>
  <c r="Z140" i="5"/>
  <c r="Z137" i="12"/>
  <c r="AA137" i="12"/>
  <c r="BG139" i="12"/>
  <c r="D140" i="12"/>
  <c r="C139" i="12"/>
  <c r="BI139" i="12"/>
  <c r="F139" i="12"/>
  <c r="BH139" i="12"/>
  <c r="E139" i="12"/>
  <c r="T139" i="12" s="1"/>
  <c r="Z138" i="13"/>
  <c r="AA138" i="13"/>
  <c r="E140" i="13"/>
  <c r="T140" i="13" s="1"/>
  <c r="BH140" i="13"/>
  <c r="D141" i="13"/>
  <c r="BG140" i="13"/>
  <c r="C140" i="13"/>
  <c r="F140" i="13"/>
  <c r="D143" i="5"/>
  <c r="BG142" i="5"/>
  <c r="E142" i="5"/>
  <c r="BI142" i="5"/>
  <c r="F142" i="5"/>
  <c r="T142" i="5"/>
  <c r="BH142" i="5"/>
  <c r="C142" i="5"/>
  <c r="W139" i="13"/>
  <c r="Y139" i="13"/>
  <c r="X139" i="13"/>
  <c r="J141" i="5"/>
  <c r="R141" i="5"/>
  <c r="I141" i="5"/>
  <c r="Q141" i="5"/>
  <c r="S141" i="5"/>
  <c r="J138" i="12"/>
  <c r="R138" i="12"/>
  <c r="S138" i="12"/>
  <c r="Q138" i="12"/>
  <c r="I138" i="12"/>
  <c r="O141" i="5" l="1"/>
  <c r="O138" i="12"/>
  <c r="D144" i="5"/>
  <c r="BH143" i="5"/>
  <c r="F143" i="5"/>
  <c r="BG143" i="5"/>
  <c r="E143" i="5"/>
  <c r="T143" i="5" s="1"/>
  <c r="BI143" i="5"/>
  <c r="C143" i="5"/>
  <c r="BG141" i="13"/>
  <c r="C141" i="13"/>
  <c r="E141" i="13"/>
  <c r="T141" i="13" s="1"/>
  <c r="BH141" i="13"/>
  <c r="D142" i="13"/>
  <c r="F141" i="13"/>
  <c r="S139" i="12"/>
  <c r="R139" i="12"/>
  <c r="J139" i="12"/>
  <c r="Q139" i="12"/>
  <c r="I139" i="12"/>
  <c r="Z141" i="5"/>
  <c r="AA141" i="5"/>
  <c r="O139" i="13"/>
  <c r="I140" i="13"/>
  <c r="J140" i="13"/>
  <c r="Q140" i="13"/>
  <c r="R140" i="13"/>
  <c r="S140" i="13"/>
  <c r="AA139" i="13"/>
  <c r="Z139" i="13"/>
  <c r="W142" i="5"/>
  <c r="Y142" i="5"/>
  <c r="X142" i="5"/>
  <c r="S142" i="5"/>
  <c r="I142" i="5"/>
  <c r="Q142" i="5"/>
  <c r="J142" i="5"/>
  <c r="R142" i="5"/>
  <c r="W140" i="13"/>
  <c r="X140" i="13"/>
  <c r="Y140" i="13"/>
  <c r="Y139" i="12"/>
  <c r="W139" i="12"/>
  <c r="X139" i="12"/>
  <c r="AA138" i="12"/>
  <c r="Z138" i="12"/>
  <c r="E140" i="12"/>
  <c r="T140" i="12" s="1"/>
  <c r="F140" i="12"/>
  <c r="C140" i="12"/>
  <c r="D141" i="12"/>
  <c r="BH140" i="12"/>
  <c r="BG140" i="12"/>
  <c r="BI140" i="12"/>
  <c r="J141" i="13" l="1"/>
  <c r="I141" i="13"/>
  <c r="S141" i="13"/>
  <c r="Q141" i="13"/>
  <c r="R141" i="13"/>
  <c r="J143" i="5"/>
  <c r="R143" i="5"/>
  <c r="Q143" i="5"/>
  <c r="S143" i="5"/>
  <c r="I143" i="5"/>
  <c r="E144" i="5"/>
  <c r="T144" i="5" s="1"/>
  <c r="BI144" i="5"/>
  <c r="F144" i="5"/>
  <c r="D145" i="5"/>
  <c r="BG144" i="5"/>
  <c r="BH144" i="5"/>
  <c r="C144" i="5"/>
  <c r="Y140" i="12"/>
  <c r="W140" i="12"/>
  <c r="X140" i="12"/>
  <c r="F141" i="12"/>
  <c r="C141" i="12"/>
  <c r="D142" i="12"/>
  <c r="BG141" i="12"/>
  <c r="E141" i="12"/>
  <c r="T141" i="12" s="1"/>
  <c r="BH141" i="12"/>
  <c r="BI141" i="12"/>
  <c r="Z139" i="12"/>
  <c r="AA139" i="12"/>
  <c r="AA140" i="13"/>
  <c r="Z140" i="13"/>
  <c r="O142" i="5"/>
  <c r="O139" i="12"/>
  <c r="BH142" i="13"/>
  <c r="D143" i="13"/>
  <c r="BG142" i="13"/>
  <c r="F142" i="13"/>
  <c r="E142" i="13"/>
  <c r="T142" i="13" s="1"/>
  <c r="C142" i="13"/>
  <c r="X141" i="13"/>
  <c r="Y141" i="13"/>
  <c r="W141" i="13"/>
  <c r="S140" i="12"/>
  <c r="Q140" i="12"/>
  <c r="R140" i="12"/>
  <c r="J140" i="12"/>
  <c r="I140" i="12"/>
  <c r="AA142" i="5"/>
  <c r="Z142" i="5"/>
  <c r="O140" i="13"/>
  <c r="X143" i="5"/>
  <c r="Y143" i="5"/>
  <c r="W143" i="5"/>
  <c r="O141" i="13" l="1"/>
  <c r="Z143" i="5"/>
  <c r="AA143" i="5"/>
  <c r="W142" i="13"/>
  <c r="X142" i="13"/>
  <c r="Y142" i="13"/>
  <c r="E143" i="13"/>
  <c r="T143" i="13" s="1"/>
  <c r="BG143" i="13"/>
  <c r="C143" i="13"/>
  <c r="BH143" i="13"/>
  <c r="D144" i="13"/>
  <c r="F143" i="13"/>
  <c r="O140" i="12"/>
  <c r="E142" i="12"/>
  <c r="T142" i="12" s="1"/>
  <c r="BG142" i="12"/>
  <c r="F142" i="12"/>
  <c r="D143" i="12"/>
  <c r="BH142" i="12"/>
  <c r="BI142" i="12"/>
  <c r="C142" i="12"/>
  <c r="I144" i="5"/>
  <c r="Q144" i="5"/>
  <c r="J144" i="5"/>
  <c r="O144" i="5" s="1"/>
  <c r="R144" i="5"/>
  <c r="S144" i="5"/>
  <c r="S142" i="13"/>
  <c r="I142" i="13"/>
  <c r="R142" i="13"/>
  <c r="Q142" i="13"/>
  <c r="J142" i="13"/>
  <c r="O142" i="13" s="1"/>
  <c r="W141" i="12"/>
  <c r="Y141" i="12"/>
  <c r="X141" i="12"/>
  <c r="Z141" i="13"/>
  <c r="AA141" i="13"/>
  <c r="J141" i="12"/>
  <c r="S141" i="12"/>
  <c r="R141" i="12"/>
  <c r="I141" i="12"/>
  <c r="Q141" i="12"/>
  <c r="X144" i="5"/>
  <c r="Y144" i="5"/>
  <c r="W144" i="5"/>
  <c r="O143" i="5"/>
  <c r="AA140" i="12"/>
  <c r="Z140" i="12"/>
  <c r="E145" i="5"/>
  <c r="BI145" i="5"/>
  <c r="F145" i="5"/>
  <c r="D146" i="5"/>
  <c r="O145" i="5"/>
  <c r="BG145" i="5"/>
  <c r="P145" i="5"/>
  <c r="T145" i="5"/>
  <c r="BH145" i="5"/>
  <c r="C145" i="13"/>
  <c r="BH144" i="13" l="1"/>
  <c r="D145" i="13"/>
  <c r="F144" i="13"/>
  <c r="E144" i="13"/>
  <c r="T144" i="13" s="1"/>
  <c r="BG144" i="13"/>
  <c r="C144" i="13"/>
  <c r="F146" i="5"/>
  <c r="D147" i="5"/>
  <c r="BG146" i="5"/>
  <c r="BH146" i="5"/>
  <c r="E146" i="5"/>
  <c r="T146" i="5" s="1"/>
  <c r="BI146" i="5"/>
  <c r="C146" i="5"/>
  <c r="F143" i="12"/>
  <c r="BH143" i="12"/>
  <c r="E143" i="12"/>
  <c r="T143" i="12" s="1"/>
  <c r="BI143" i="12"/>
  <c r="C143" i="12"/>
  <c r="BG143" i="12"/>
  <c r="D144" i="12"/>
  <c r="O141" i="12"/>
  <c r="Z141" i="12"/>
  <c r="AA141" i="12"/>
  <c r="W142" i="12"/>
  <c r="Y142" i="12"/>
  <c r="X142" i="12"/>
  <c r="Q142" i="12"/>
  <c r="J142" i="12"/>
  <c r="O142" i="12" s="1"/>
  <c r="I142" i="12"/>
  <c r="S142" i="12"/>
  <c r="R142" i="12"/>
  <c r="R143" i="13"/>
  <c r="I143" i="13"/>
  <c r="S143" i="13"/>
  <c r="Q143" i="13"/>
  <c r="J143" i="13"/>
  <c r="O143" i="13" s="1"/>
  <c r="X143" i="13"/>
  <c r="Y143" i="13"/>
  <c r="W143" i="13"/>
  <c r="AA142" i="13"/>
  <c r="Z142" i="13"/>
  <c r="Z144" i="5"/>
  <c r="AA144" i="5"/>
  <c r="I145" i="5"/>
  <c r="Q145" i="5"/>
  <c r="J145" i="5"/>
  <c r="R145" i="5"/>
  <c r="S145" i="5"/>
  <c r="Y145" i="13"/>
  <c r="X145" i="13"/>
  <c r="W145" i="13"/>
  <c r="C145" i="12"/>
  <c r="BG144" i="12" l="1"/>
  <c r="BI144" i="12"/>
  <c r="F144" i="12"/>
  <c r="C144" i="12"/>
  <c r="BH144" i="12"/>
  <c r="E144" i="12"/>
  <c r="T144" i="12" s="1"/>
  <c r="D145" i="12"/>
  <c r="J146" i="5"/>
  <c r="R146" i="5"/>
  <c r="S146" i="5"/>
  <c r="I146" i="5"/>
  <c r="Q146" i="5"/>
  <c r="Q144" i="13"/>
  <c r="J144" i="13"/>
  <c r="I144" i="13"/>
  <c r="S144" i="13"/>
  <c r="R144" i="13"/>
  <c r="AA142" i="12"/>
  <c r="Z142" i="12"/>
  <c r="Y143" i="12"/>
  <c r="W143" i="12"/>
  <c r="X143" i="12"/>
  <c r="S143" i="12"/>
  <c r="R143" i="12"/>
  <c r="J143" i="12"/>
  <c r="Q143" i="12"/>
  <c r="I143" i="12"/>
  <c r="Y144" i="13"/>
  <c r="W144" i="13"/>
  <c r="X144" i="13"/>
  <c r="BG145" i="13"/>
  <c r="F145" i="13"/>
  <c r="E145" i="13"/>
  <c r="T145" i="13" s="1"/>
  <c r="BH145" i="13"/>
  <c r="D146" i="13"/>
  <c r="Z143" i="13"/>
  <c r="AA143" i="13"/>
  <c r="W146" i="5"/>
  <c r="X146" i="5"/>
  <c r="Y146" i="5"/>
  <c r="D148" i="5"/>
  <c r="BG147" i="5"/>
  <c r="BH147" i="5"/>
  <c r="E147" i="5"/>
  <c r="T147" i="5" s="1"/>
  <c r="BI147" i="5"/>
  <c r="F147" i="5"/>
  <c r="C147" i="5"/>
  <c r="O145" i="13"/>
  <c r="AA145" i="13"/>
  <c r="Z145" i="13"/>
  <c r="Y145" i="12"/>
  <c r="X145" i="12"/>
  <c r="W145" i="12"/>
  <c r="S147" i="5" l="1"/>
  <c r="I147" i="5"/>
  <c r="Q147" i="5"/>
  <c r="J147" i="5"/>
  <c r="R147" i="5"/>
  <c r="D149" i="5"/>
  <c r="BH148" i="5"/>
  <c r="E148" i="5"/>
  <c r="T148" i="5" s="1"/>
  <c r="BI148" i="5"/>
  <c r="F148" i="5"/>
  <c r="BG148" i="5"/>
  <c r="C148" i="5"/>
  <c r="Z144" i="13"/>
  <c r="AA144" i="13"/>
  <c r="Z143" i="12"/>
  <c r="AA143" i="12"/>
  <c r="O144" i="13"/>
  <c r="F145" i="12"/>
  <c r="D146" i="12"/>
  <c r="BH145" i="12"/>
  <c r="BG145" i="12"/>
  <c r="E145" i="12"/>
  <c r="T145" i="12" s="1"/>
  <c r="BI145" i="12"/>
  <c r="S144" i="12"/>
  <c r="I144" i="12"/>
  <c r="R144" i="12"/>
  <c r="J144" i="12"/>
  <c r="Q144" i="12"/>
  <c r="O143" i="12"/>
  <c r="Z146" i="5"/>
  <c r="AA146" i="5"/>
  <c r="W147" i="5"/>
  <c r="X147" i="5"/>
  <c r="Y147" i="5"/>
  <c r="R145" i="13"/>
  <c r="J145" i="13"/>
  <c r="S145" i="13"/>
  <c r="Q145" i="13"/>
  <c r="I145" i="13"/>
  <c r="O146" i="5"/>
  <c r="F146" i="13"/>
  <c r="E146" i="13"/>
  <c r="T146" i="13" s="1"/>
  <c r="BH146" i="13"/>
  <c r="D147" i="13"/>
  <c r="BG146" i="13"/>
  <c r="C146" i="13"/>
  <c r="X144" i="12"/>
  <c r="Y144" i="12"/>
  <c r="W144" i="12"/>
  <c r="O145" i="12"/>
  <c r="Z145" i="12"/>
  <c r="AA145" i="12"/>
  <c r="O144" i="12" l="1"/>
  <c r="O147" i="5"/>
  <c r="D150" i="5"/>
  <c r="BG149" i="5"/>
  <c r="BH149" i="5"/>
  <c r="E149" i="5"/>
  <c r="T149" i="5" s="1"/>
  <c r="BI149" i="5"/>
  <c r="F149" i="5"/>
  <c r="C149" i="5"/>
  <c r="W146" i="13"/>
  <c r="Y146" i="13"/>
  <c r="X146" i="13"/>
  <c r="AA144" i="12"/>
  <c r="Z144" i="12"/>
  <c r="R146" i="13"/>
  <c r="S146" i="13"/>
  <c r="I146" i="13"/>
  <c r="J146" i="13"/>
  <c r="Q146" i="13"/>
  <c r="BH146" i="12"/>
  <c r="BG146" i="12"/>
  <c r="F146" i="12"/>
  <c r="BI146" i="12"/>
  <c r="C146" i="12"/>
  <c r="E146" i="12"/>
  <c r="T146" i="12" s="1"/>
  <c r="D147" i="12"/>
  <c r="X148" i="5"/>
  <c r="Y148" i="5"/>
  <c r="W148" i="5"/>
  <c r="I148" i="5"/>
  <c r="Q148" i="5"/>
  <c r="J148" i="5"/>
  <c r="O148" i="5" s="1"/>
  <c r="R148" i="5"/>
  <c r="S148" i="5"/>
  <c r="F147" i="13"/>
  <c r="E147" i="13"/>
  <c r="T147" i="13" s="1"/>
  <c r="BH147" i="13"/>
  <c r="D148" i="13"/>
  <c r="BG147" i="13"/>
  <c r="C147" i="13"/>
  <c r="AA147" i="5"/>
  <c r="Z147" i="5"/>
  <c r="I145" i="12"/>
  <c r="Q145" i="12"/>
  <c r="S145" i="12"/>
  <c r="R145" i="12"/>
  <c r="J145" i="12"/>
  <c r="Y147" i="13" l="1"/>
  <c r="X147" i="13"/>
  <c r="W147" i="13"/>
  <c r="Y146" i="12"/>
  <c r="X146" i="12"/>
  <c r="W146" i="12"/>
  <c r="AA146" i="13"/>
  <c r="Z146" i="13"/>
  <c r="R147" i="13"/>
  <c r="I147" i="13"/>
  <c r="S147" i="13"/>
  <c r="J147" i="13"/>
  <c r="O147" i="13" s="1"/>
  <c r="Q147" i="13"/>
  <c r="Z148" i="5"/>
  <c r="AA148" i="5"/>
  <c r="W149" i="5"/>
  <c r="X149" i="5"/>
  <c r="Y149" i="5"/>
  <c r="F148" i="13"/>
  <c r="D149" i="13"/>
  <c r="T148" i="13"/>
  <c r="E148" i="13"/>
  <c r="BH148" i="13"/>
  <c r="C148" i="13"/>
  <c r="BG148" i="13"/>
  <c r="BG147" i="12"/>
  <c r="F147" i="12"/>
  <c r="C147" i="12"/>
  <c r="BH147" i="12"/>
  <c r="E147" i="12"/>
  <c r="T147" i="12" s="1"/>
  <c r="BI147" i="12"/>
  <c r="D148" i="12"/>
  <c r="S146" i="12"/>
  <c r="Q146" i="12"/>
  <c r="J146" i="12"/>
  <c r="I146" i="12"/>
  <c r="R146" i="12"/>
  <c r="O146" i="13"/>
  <c r="S149" i="5"/>
  <c r="I149" i="5"/>
  <c r="Q149" i="5"/>
  <c r="J149" i="5"/>
  <c r="O149" i="5" s="1"/>
  <c r="R149" i="5"/>
  <c r="BH150" i="5"/>
  <c r="E150" i="5"/>
  <c r="T150" i="5" s="1"/>
  <c r="BI150" i="5"/>
  <c r="F150" i="5"/>
  <c r="D151" i="5"/>
  <c r="BG150" i="5"/>
  <c r="C150" i="5"/>
  <c r="BH148" i="12" l="1"/>
  <c r="BG148" i="12"/>
  <c r="E148" i="12"/>
  <c r="T148" i="12" s="1"/>
  <c r="C148" i="12"/>
  <c r="D149" i="12"/>
  <c r="F148" i="12"/>
  <c r="BI148" i="12"/>
  <c r="W147" i="12"/>
  <c r="X147" i="12"/>
  <c r="Y147" i="12"/>
  <c r="F149" i="13"/>
  <c r="E149" i="13"/>
  <c r="T149" i="13" s="1"/>
  <c r="BH149" i="13"/>
  <c r="D150" i="13"/>
  <c r="BG149" i="13"/>
  <c r="C149" i="13"/>
  <c r="AA149" i="5"/>
  <c r="Z149" i="5"/>
  <c r="Z147" i="13"/>
  <c r="AA147" i="13"/>
  <c r="E151" i="5"/>
  <c r="T151" i="5" s="1"/>
  <c r="BI151" i="5"/>
  <c r="D152" i="5"/>
  <c r="F151" i="5"/>
  <c r="BG151" i="5"/>
  <c r="BH151" i="5"/>
  <c r="C151" i="5"/>
  <c r="O146" i="12"/>
  <c r="Q147" i="12"/>
  <c r="I147" i="12"/>
  <c r="S147" i="12"/>
  <c r="R147" i="12"/>
  <c r="J147" i="12"/>
  <c r="S148" i="13"/>
  <c r="Q148" i="13"/>
  <c r="I148" i="13"/>
  <c r="R148" i="13"/>
  <c r="J148" i="13"/>
  <c r="O148" i="13" s="1"/>
  <c r="AA146" i="12"/>
  <c r="Z146" i="12"/>
  <c r="X150" i="5"/>
  <c r="Y150" i="5"/>
  <c r="W150" i="5"/>
  <c r="I150" i="5"/>
  <c r="Q150" i="5"/>
  <c r="J150" i="5"/>
  <c r="O150" i="5" s="1"/>
  <c r="R150" i="5"/>
  <c r="S150" i="5"/>
  <c r="X148" i="13"/>
  <c r="Y148" i="13"/>
  <c r="W148" i="13"/>
  <c r="Z148" i="13" l="1"/>
  <c r="AA148" i="13"/>
  <c r="O147" i="12"/>
  <c r="I151" i="5"/>
  <c r="Q151" i="5"/>
  <c r="J151" i="5"/>
  <c r="O151" i="5" s="1"/>
  <c r="R151" i="5"/>
  <c r="S151" i="5"/>
  <c r="Y149" i="13"/>
  <c r="W149" i="13"/>
  <c r="X149" i="13"/>
  <c r="Z147" i="12"/>
  <c r="AA147" i="12"/>
  <c r="X148" i="12"/>
  <c r="W148" i="12"/>
  <c r="Y148" i="12"/>
  <c r="Z150" i="5"/>
  <c r="AA150" i="5"/>
  <c r="Y151" i="5"/>
  <c r="W151" i="5"/>
  <c r="X151" i="5"/>
  <c r="D153" i="5"/>
  <c r="E152" i="5"/>
  <c r="T152" i="5" s="1"/>
  <c r="BG152" i="5"/>
  <c r="F152" i="5"/>
  <c r="BH152" i="5"/>
  <c r="BI152" i="5"/>
  <c r="C152" i="5"/>
  <c r="I149" i="13"/>
  <c r="Q149" i="13"/>
  <c r="R149" i="13"/>
  <c r="S149" i="13"/>
  <c r="J149" i="13"/>
  <c r="O149" i="13" s="1"/>
  <c r="Q148" i="12"/>
  <c r="R148" i="12"/>
  <c r="S148" i="12"/>
  <c r="I148" i="12"/>
  <c r="J148" i="12"/>
  <c r="BG150" i="13"/>
  <c r="C150" i="13"/>
  <c r="BH150" i="13"/>
  <c r="D151" i="13"/>
  <c r="F150" i="13"/>
  <c r="E150" i="13"/>
  <c r="T150" i="13" s="1"/>
  <c r="BG149" i="12"/>
  <c r="E149" i="12"/>
  <c r="T149" i="12" s="1"/>
  <c r="D150" i="12"/>
  <c r="BH149" i="12"/>
  <c r="BI149" i="12"/>
  <c r="F149" i="12"/>
  <c r="C149" i="12"/>
  <c r="Z151" i="5" l="1"/>
  <c r="AA151" i="5"/>
  <c r="AA148" i="12"/>
  <c r="Z148" i="12"/>
  <c r="X150" i="13"/>
  <c r="W150" i="13"/>
  <c r="Y150" i="13"/>
  <c r="I152" i="5"/>
  <c r="R152" i="5"/>
  <c r="J152" i="5"/>
  <c r="O152" i="5" s="1"/>
  <c r="S152" i="5"/>
  <c r="Q152" i="5"/>
  <c r="E153" i="5"/>
  <c r="T153" i="5" s="1"/>
  <c r="F153" i="5"/>
  <c r="D154" i="5"/>
  <c r="BG153" i="5"/>
  <c r="BH153" i="5"/>
  <c r="BI153" i="5"/>
  <c r="C153" i="5"/>
  <c r="X149" i="12"/>
  <c r="Y149" i="12"/>
  <c r="W149" i="12"/>
  <c r="E150" i="12"/>
  <c r="T150" i="12" s="1"/>
  <c r="BH150" i="12"/>
  <c r="BG150" i="12"/>
  <c r="F150" i="12"/>
  <c r="D151" i="12"/>
  <c r="C150" i="12"/>
  <c r="BI150" i="12"/>
  <c r="S150" i="13"/>
  <c r="R150" i="13"/>
  <c r="I150" i="13"/>
  <c r="J150" i="13"/>
  <c r="O150" i="13" s="1"/>
  <c r="Q150" i="13"/>
  <c r="R149" i="12"/>
  <c r="S149" i="12"/>
  <c r="I149" i="12"/>
  <c r="J149" i="12"/>
  <c r="O149" i="12" s="1"/>
  <c r="Q149" i="12"/>
  <c r="BH151" i="13"/>
  <c r="F151" i="13"/>
  <c r="E151" i="13"/>
  <c r="T151" i="13" s="1"/>
  <c r="D152" i="13"/>
  <c r="BG151" i="13"/>
  <c r="C151" i="13"/>
  <c r="O148" i="12"/>
  <c r="Z149" i="13"/>
  <c r="AA149" i="13"/>
  <c r="W152" i="5"/>
  <c r="X152" i="5"/>
  <c r="Y152" i="5"/>
  <c r="Q150" i="12" l="1"/>
  <c r="J150" i="12"/>
  <c r="S150" i="12"/>
  <c r="R150" i="12"/>
  <c r="I150" i="12"/>
  <c r="I153" i="5"/>
  <c r="Q153" i="5"/>
  <c r="J153" i="5"/>
  <c r="R153" i="5"/>
  <c r="S153" i="5"/>
  <c r="X151" i="13"/>
  <c r="Y151" i="13"/>
  <c r="W151" i="13"/>
  <c r="R151" i="13"/>
  <c r="J151" i="13"/>
  <c r="S151" i="13"/>
  <c r="I151" i="13"/>
  <c r="Q151" i="13"/>
  <c r="X153" i="5"/>
  <c r="Y153" i="5"/>
  <c r="W153" i="5"/>
  <c r="AA150" i="13"/>
  <c r="Z150" i="13"/>
  <c r="Z152" i="5"/>
  <c r="AA152" i="5"/>
  <c r="W150" i="12"/>
  <c r="Y150" i="12"/>
  <c r="X150" i="12"/>
  <c r="Z149" i="12"/>
  <c r="AA149" i="12"/>
  <c r="E154" i="5"/>
  <c r="T154" i="5" s="1"/>
  <c r="BI154" i="5"/>
  <c r="F154" i="5"/>
  <c r="D155" i="5"/>
  <c r="BG154" i="5"/>
  <c r="BH154" i="5"/>
  <c r="C154" i="5"/>
  <c r="BH152" i="13"/>
  <c r="D153" i="13"/>
  <c r="BG152" i="13"/>
  <c r="C152" i="13"/>
  <c r="F152" i="13"/>
  <c r="E152" i="13"/>
  <c r="T152" i="13" s="1"/>
  <c r="BG151" i="12"/>
  <c r="D152" i="12"/>
  <c r="C151" i="12"/>
  <c r="BI151" i="12"/>
  <c r="F151" i="12"/>
  <c r="BH151" i="12"/>
  <c r="E151" i="12"/>
  <c r="T151" i="12" s="1"/>
  <c r="O153" i="5" l="1"/>
  <c r="O151" i="13"/>
  <c r="I151" i="12"/>
  <c r="S151" i="12"/>
  <c r="R151" i="12"/>
  <c r="J151" i="12"/>
  <c r="O151" i="12" s="1"/>
  <c r="Q151" i="12"/>
  <c r="F153" i="13"/>
  <c r="BG153" i="13"/>
  <c r="C153" i="13"/>
  <c r="E153" i="13"/>
  <c r="T153" i="13" s="1"/>
  <c r="BH153" i="13"/>
  <c r="D154" i="13"/>
  <c r="Y154" i="5"/>
  <c r="W154" i="5"/>
  <c r="X154" i="5"/>
  <c r="I154" i="5"/>
  <c r="Q154" i="5"/>
  <c r="J154" i="5"/>
  <c r="O154" i="5" s="1"/>
  <c r="R154" i="5"/>
  <c r="S154" i="5"/>
  <c r="Z153" i="5"/>
  <c r="AA153" i="5"/>
  <c r="Z151" i="13"/>
  <c r="AA151" i="13"/>
  <c r="W151" i="12"/>
  <c r="X151" i="12"/>
  <c r="Y151" i="12"/>
  <c r="I152" i="13"/>
  <c r="R152" i="13"/>
  <c r="Q152" i="13"/>
  <c r="S152" i="13"/>
  <c r="J152" i="13"/>
  <c r="O152" i="13" s="1"/>
  <c r="Z150" i="12"/>
  <c r="AA150" i="12"/>
  <c r="O150" i="12"/>
  <c r="D153" i="12"/>
  <c r="F152" i="12"/>
  <c r="C152" i="12"/>
  <c r="BH152" i="12"/>
  <c r="E152" i="12"/>
  <c r="T152" i="12" s="1"/>
  <c r="BG152" i="12"/>
  <c r="BI152" i="12"/>
  <c r="Y152" i="13"/>
  <c r="W152" i="13"/>
  <c r="X152" i="13"/>
  <c r="F155" i="5"/>
  <c r="D156" i="5"/>
  <c r="BG155" i="5"/>
  <c r="BH155" i="5"/>
  <c r="E155" i="5"/>
  <c r="T155" i="5" s="1"/>
  <c r="BI155" i="5"/>
  <c r="C155" i="5"/>
  <c r="W155" i="5" l="1"/>
  <c r="X155" i="5"/>
  <c r="Y155" i="5"/>
  <c r="D157" i="5"/>
  <c r="BG156" i="5"/>
  <c r="BH156" i="5"/>
  <c r="E156" i="5"/>
  <c r="T156" i="5" s="1"/>
  <c r="BI156" i="5"/>
  <c r="F156" i="5"/>
  <c r="C156" i="5"/>
  <c r="Q152" i="12"/>
  <c r="S152" i="12"/>
  <c r="R152" i="12"/>
  <c r="I152" i="12"/>
  <c r="J152" i="12"/>
  <c r="BH153" i="12"/>
  <c r="E153" i="12"/>
  <c r="T153" i="12" s="1"/>
  <c r="D154" i="12"/>
  <c r="BG153" i="12"/>
  <c r="BI153" i="12"/>
  <c r="F153" i="12"/>
  <c r="C153" i="12"/>
  <c r="Z151" i="12"/>
  <c r="AA151" i="12"/>
  <c r="Y153" i="13"/>
  <c r="X153" i="13"/>
  <c r="W153" i="13"/>
  <c r="J155" i="5"/>
  <c r="R155" i="5"/>
  <c r="S155" i="5"/>
  <c r="I155" i="5"/>
  <c r="Q155" i="5"/>
  <c r="Z154" i="5"/>
  <c r="AA154" i="5"/>
  <c r="E154" i="13"/>
  <c r="T154" i="13" s="1"/>
  <c r="F154" i="13"/>
  <c r="BH154" i="13"/>
  <c r="D155" i="13"/>
  <c r="BG154" i="13"/>
  <c r="C154" i="13"/>
  <c r="Z152" i="13"/>
  <c r="AA152" i="13"/>
  <c r="W152" i="12"/>
  <c r="X152" i="12"/>
  <c r="Y152" i="12"/>
  <c r="J153" i="13"/>
  <c r="R153" i="13"/>
  <c r="Q153" i="13"/>
  <c r="S153" i="13"/>
  <c r="I153" i="13"/>
  <c r="AA152" i="12" l="1"/>
  <c r="Z152" i="12"/>
  <c r="X154" i="13"/>
  <c r="W154" i="13"/>
  <c r="Y154" i="13"/>
  <c r="W156" i="5"/>
  <c r="X156" i="5"/>
  <c r="Y156" i="5"/>
  <c r="I154" i="13"/>
  <c r="R154" i="13"/>
  <c r="S154" i="13"/>
  <c r="Q154" i="13"/>
  <c r="J154" i="13"/>
  <c r="O154" i="13" s="1"/>
  <c r="O153" i="13"/>
  <c r="E155" i="13"/>
  <c r="T155" i="13" s="1"/>
  <c r="BG155" i="13"/>
  <c r="C155" i="13"/>
  <c r="BH155" i="13"/>
  <c r="D156" i="13"/>
  <c r="F155" i="13"/>
  <c r="O155" i="5"/>
  <c r="X153" i="12"/>
  <c r="Y153" i="12"/>
  <c r="W153" i="12"/>
  <c r="BH154" i="12"/>
  <c r="BI154" i="12"/>
  <c r="D155" i="12"/>
  <c r="C154" i="12"/>
  <c r="BG154" i="12"/>
  <c r="F154" i="12"/>
  <c r="E154" i="12"/>
  <c r="T154" i="12" s="1"/>
  <c r="Z155" i="5"/>
  <c r="AA155" i="5"/>
  <c r="Q153" i="12"/>
  <c r="S153" i="12"/>
  <c r="I153" i="12"/>
  <c r="R153" i="12"/>
  <c r="J153" i="12"/>
  <c r="O153" i="12" s="1"/>
  <c r="O152" i="12"/>
  <c r="S156" i="5"/>
  <c r="I156" i="5"/>
  <c r="Q156" i="5"/>
  <c r="J156" i="5"/>
  <c r="R156" i="5"/>
  <c r="BH157" i="5"/>
  <c r="E157" i="5"/>
  <c r="T157" i="5" s="1"/>
  <c r="BI157" i="5"/>
  <c r="F157" i="5"/>
  <c r="D158" i="5"/>
  <c r="BG157" i="5"/>
  <c r="C157" i="5"/>
  <c r="AA153" i="13"/>
  <c r="Z153" i="13"/>
  <c r="I157" i="5" l="1"/>
  <c r="Q157" i="5"/>
  <c r="J157" i="5"/>
  <c r="R157" i="5"/>
  <c r="S157" i="5"/>
  <c r="I154" i="12"/>
  <c r="Q154" i="12"/>
  <c r="J154" i="12"/>
  <c r="R154" i="12"/>
  <c r="S154" i="12"/>
  <c r="AA153" i="12"/>
  <c r="Z153" i="12"/>
  <c r="AA156" i="5"/>
  <c r="Z156" i="5"/>
  <c r="O156" i="5"/>
  <c r="Y155" i="13"/>
  <c r="W155" i="13"/>
  <c r="X155" i="13"/>
  <c r="AA154" i="13"/>
  <c r="Z154" i="13"/>
  <c r="E158" i="5"/>
  <c r="T158" i="5" s="1"/>
  <c r="BI158" i="5"/>
  <c r="F158" i="5"/>
  <c r="D159" i="5"/>
  <c r="BG158" i="5"/>
  <c r="BH158" i="5"/>
  <c r="C158" i="5"/>
  <c r="X154" i="12"/>
  <c r="W154" i="12"/>
  <c r="Y154" i="12"/>
  <c r="S155" i="13"/>
  <c r="J155" i="13"/>
  <c r="Q155" i="13"/>
  <c r="R155" i="13"/>
  <c r="I155" i="13"/>
  <c r="X157" i="5"/>
  <c r="Y157" i="5"/>
  <c r="W157" i="5"/>
  <c r="BG155" i="12"/>
  <c r="BI155" i="12"/>
  <c r="C155" i="12"/>
  <c r="F155" i="12"/>
  <c r="E155" i="12"/>
  <c r="T155" i="12" s="1"/>
  <c r="BH155" i="12"/>
  <c r="D156" i="12"/>
  <c r="E156" i="13"/>
  <c r="T156" i="13" s="1"/>
  <c r="BH156" i="13"/>
  <c r="D157" i="13"/>
  <c r="BG156" i="13"/>
  <c r="C156" i="13"/>
  <c r="F156" i="13"/>
  <c r="O154" i="12" l="1"/>
  <c r="O157" i="5"/>
  <c r="F157" i="13"/>
  <c r="BH157" i="13"/>
  <c r="D158" i="13"/>
  <c r="BG157" i="13"/>
  <c r="C157" i="13"/>
  <c r="E157" i="13"/>
  <c r="T157" i="13" s="1"/>
  <c r="Q155" i="12"/>
  <c r="I155" i="12"/>
  <c r="J155" i="12"/>
  <c r="S155" i="12"/>
  <c r="R155" i="12"/>
  <c r="I156" i="13"/>
  <c r="Q156" i="13"/>
  <c r="J156" i="13"/>
  <c r="O156" i="13" s="1"/>
  <c r="S156" i="13"/>
  <c r="R156" i="13"/>
  <c r="F159" i="5"/>
  <c r="D160" i="5"/>
  <c r="O159" i="5"/>
  <c r="BG159" i="5"/>
  <c r="P159" i="5"/>
  <c r="T159" i="5"/>
  <c r="BH159" i="5"/>
  <c r="E159" i="5"/>
  <c r="BI159" i="5"/>
  <c r="C159" i="5"/>
  <c r="Z157" i="5"/>
  <c r="AA157" i="5"/>
  <c r="W156" i="13"/>
  <c r="X156" i="13"/>
  <c r="Y156" i="13"/>
  <c r="BG156" i="12"/>
  <c r="BI156" i="12"/>
  <c r="D157" i="12"/>
  <c r="BH156" i="12"/>
  <c r="E156" i="12"/>
  <c r="T156" i="12" s="1"/>
  <c r="F156" i="12"/>
  <c r="C156" i="12"/>
  <c r="X155" i="12"/>
  <c r="W155" i="12"/>
  <c r="Y155" i="12"/>
  <c r="O155" i="13"/>
  <c r="AA154" i="12"/>
  <c r="Z154" i="12"/>
  <c r="Y158" i="5"/>
  <c r="W158" i="5"/>
  <c r="X158" i="5"/>
  <c r="I158" i="5"/>
  <c r="Q158" i="5"/>
  <c r="J158" i="5"/>
  <c r="R158" i="5"/>
  <c r="S158" i="5"/>
  <c r="Z155" i="13"/>
  <c r="AA155" i="13"/>
  <c r="O158" i="5" l="1"/>
  <c r="Z158" i="5"/>
  <c r="AA158" i="5"/>
  <c r="Z155" i="12"/>
  <c r="AA155" i="12"/>
  <c r="W156" i="12"/>
  <c r="Y156" i="12"/>
  <c r="X156" i="12"/>
  <c r="F157" i="12"/>
  <c r="C157" i="12"/>
  <c r="E157" i="12"/>
  <c r="T157" i="12" s="1"/>
  <c r="BH157" i="12"/>
  <c r="BI157" i="12"/>
  <c r="D158" i="12"/>
  <c r="BG157" i="12"/>
  <c r="Z156" i="13"/>
  <c r="AA156" i="13"/>
  <c r="J159" i="5"/>
  <c r="R159" i="5"/>
  <c r="S159" i="5"/>
  <c r="I159" i="5"/>
  <c r="Q159" i="5"/>
  <c r="O155" i="12"/>
  <c r="W157" i="13"/>
  <c r="Y157" i="13"/>
  <c r="X157" i="13"/>
  <c r="J157" i="13"/>
  <c r="I157" i="13"/>
  <c r="Q157" i="13"/>
  <c r="R157" i="13"/>
  <c r="S157" i="13"/>
  <c r="I156" i="12"/>
  <c r="J156" i="12"/>
  <c r="S156" i="12"/>
  <c r="Q156" i="12"/>
  <c r="R156" i="12"/>
  <c r="W159" i="5"/>
  <c r="X159" i="5"/>
  <c r="Y159" i="5"/>
  <c r="D161" i="5"/>
  <c r="BG160" i="5"/>
  <c r="BH160" i="5"/>
  <c r="E160" i="5"/>
  <c r="T160" i="5" s="1"/>
  <c r="BI160" i="5"/>
  <c r="F160" i="5"/>
  <c r="C160" i="5"/>
  <c r="BG158" i="13"/>
  <c r="E158" i="13"/>
  <c r="T158" i="13" s="1"/>
  <c r="C158" i="13"/>
  <c r="F158" i="13"/>
  <c r="BH158" i="13"/>
  <c r="D159" i="13"/>
  <c r="D160" i="13" l="1"/>
  <c r="T159" i="13"/>
  <c r="E159" i="13"/>
  <c r="P159" i="13"/>
  <c r="BH159" i="13"/>
  <c r="C159" i="13"/>
  <c r="BG159" i="13"/>
  <c r="F159" i="13"/>
  <c r="O159" i="13"/>
  <c r="S160" i="5"/>
  <c r="I160" i="5"/>
  <c r="Q160" i="5"/>
  <c r="J160" i="5"/>
  <c r="R160" i="5"/>
  <c r="E161" i="5"/>
  <c r="T161" i="5" s="1"/>
  <c r="BI161" i="5"/>
  <c r="F161" i="5"/>
  <c r="D162" i="5"/>
  <c r="BG161" i="5"/>
  <c r="BH161" i="5"/>
  <c r="C161" i="5"/>
  <c r="O157" i="13"/>
  <c r="AA156" i="12"/>
  <c r="Z156" i="12"/>
  <c r="O156" i="12"/>
  <c r="Z157" i="13"/>
  <c r="AA157" i="13"/>
  <c r="I158" i="13"/>
  <c r="R158" i="13"/>
  <c r="S158" i="13"/>
  <c r="J158" i="13"/>
  <c r="Q158" i="13"/>
  <c r="W160" i="5"/>
  <c r="X160" i="5"/>
  <c r="Y160" i="5"/>
  <c r="C158" i="12"/>
  <c r="E158" i="12"/>
  <c r="T158" i="12" s="1"/>
  <c r="BH158" i="12"/>
  <c r="BI158" i="12"/>
  <c r="BG158" i="12"/>
  <c r="F158" i="12"/>
  <c r="D159" i="12"/>
  <c r="X157" i="12"/>
  <c r="Y157" i="12"/>
  <c r="W157" i="12"/>
  <c r="W158" i="13"/>
  <c r="Y158" i="13"/>
  <c r="X158" i="13"/>
  <c r="Z159" i="5"/>
  <c r="AA159" i="5"/>
  <c r="I157" i="12"/>
  <c r="J157" i="12"/>
  <c r="O157" i="12" s="1"/>
  <c r="Q157" i="12"/>
  <c r="R157" i="12"/>
  <c r="S157" i="12"/>
  <c r="O160" i="5" l="1"/>
  <c r="BI159" i="12"/>
  <c r="T159" i="12"/>
  <c r="BG159" i="12"/>
  <c r="P159" i="12"/>
  <c r="C159" i="12"/>
  <c r="D160" i="12"/>
  <c r="F159" i="12"/>
  <c r="O159" i="12"/>
  <c r="BH159" i="12"/>
  <c r="E159" i="12"/>
  <c r="S158" i="12"/>
  <c r="R158" i="12"/>
  <c r="I158" i="12"/>
  <c r="Q158" i="12"/>
  <c r="J158" i="12"/>
  <c r="O158" i="12" s="1"/>
  <c r="F162" i="5"/>
  <c r="D163" i="5"/>
  <c r="BG162" i="5"/>
  <c r="BH162" i="5"/>
  <c r="BI162" i="5"/>
  <c r="E162" i="5"/>
  <c r="T162" i="5" s="1"/>
  <c r="C162" i="5"/>
  <c r="Z158" i="13"/>
  <c r="AA158" i="13"/>
  <c r="W158" i="12"/>
  <c r="Y158" i="12"/>
  <c r="X158" i="12"/>
  <c r="Y159" i="13"/>
  <c r="X159" i="13"/>
  <c r="W159" i="13"/>
  <c r="Z157" i="12"/>
  <c r="AA157" i="12"/>
  <c r="O158" i="13"/>
  <c r="Y161" i="5"/>
  <c r="W161" i="5"/>
  <c r="X161" i="5"/>
  <c r="I161" i="5"/>
  <c r="Q161" i="5"/>
  <c r="J161" i="5"/>
  <c r="O161" i="5" s="1"/>
  <c r="R161" i="5"/>
  <c r="S161" i="5"/>
  <c r="D161" i="13"/>
  <c r="BH160" i="13"/>
  <c r="E160" i="13"/>
  <c r="T160" i="13" s="1"/>
  <c r="BG160" i="13"/>
  <c r="C160" i="13"/>
  <c r="F160" i="13"/>
  <c r="AA160" i="5"/>
  <c r="Z160" i="5"/>
  <c r="R159" i="13"/>
  <c r="Q159" i="13"/>
  <c r="I159" i="13"/>
  <c r="J159" i="13"/>
  <c r="S159" i="13"/>
  <c r="F160" i="12" l="1"/>
  <c r="E160" i="12"/>
  <c r="T160" i="12" s="1"/>
  <c r="C160" i="12"/>
  <c r="BH160" i="12"/>
  <c r="BG160" i="12"/>
  <c r="D161" i="12"/>
  <c r="BI160" i="12"/>
  <c r="R160" i="13"/>
  <c r="S160" i="13"/>
  <c r="Q160" i="13"/>
  <c r="J160" i="13"/>
  <c r="I160" i="13"/>
  <c r="W162" i="5"/>
  <c r="X162" i="5"/>
  <c r="Y162" i="5"/>
  <c r="D164" i="5"/>
  <c r="BG163" i="5"/>
  <c r="BH163" i="5"/>
  <c r="E163" i="5"/>
  <c r="T163" i="5" s="1"/>
  <c r="BI163" i="5"/>
  <c r="F163" i="5"/>
  <c r="C163" i="5"/>
  <c r="X159" i="12"/>
  <c r="W159" i="12"/>
  <c r="Y159" i="12"/>
  <c r="Z161" i="5"/>
  <c r="AA161" i="5"/>
  <c r="Y160" i="13"/>
  <c r="W160" i="13"/>
  <c r="X160" i="13"/>
  <c r="BG161" i="13"/>
  <c r="C161" i="13"/>
  <c r="F161" i="13"/>
  <c r="BH161" i="13"/>
  <c r="D162" i="13"/>
  <c r="E161" i="13"/>
  <c r="T161" i="13" s="1"/>
  <c r="AA159" i="13"/>
  <c r="Z159" i="13"/>
  <c r="AA158" i="12"/>
  <c r="Z158" i="12"/>
  <c r="J162" i="5"/>
  <c r="O162" i="5" s="1"/>
  <c r="R162" i="5"/>
  <c r="S162" i="5"/>
  <c r="I162" i="5"/>
  <c r="Q162" i="5"/>
  <c r="R159" i="12"/>
  <c r="Q159" i="12"/>
  <c r="I159" i="12"/>
  <c r="J159" i="12"/>
  <c r="S159" i="12"/>
  <c r="S161" i="13" l="1"/>
  <c r="I161" i="13"/>
  <c r="J161" i="13"/>
  <c r="Q161" i="13"/>
  <c r="R161" i="13"/>
  <c r="W163" i="5"/>
  <c r="X163" i="5"/>
  <c r="Y163" i="5"/>
  <c r="R160" i="12"/>
  <c r="S160" i="12"/>
  <c r="I160" i="12"/>
  <c r="Q160" i="12"/>
  <c r="J160" i="12"/>
  <c r="X161" i="13"/>
  <c r="Y161" i="13"/>
  <c r="W161" i="13"/>
  <c r="S163" i="5"/>
  <c r="I163" i="5"/>
  <c r="Q163" i="5"/>
  <c r="J163" i="5"/>
  <c r="R163" i="5"/>
  <c r="Z162" i="5"/>
  <c r="AA162" i="5"/>
  <c r="D163" i="13"/>
  <c r="C162" i="13"/>
  <c r="F162" i="13"/>
  <c r="BH162" i="13"/>
  <c r="E162" i="13"/>
  <c r="T162" i="13" s="1"/>
  <c r="BG162" i="13"/>
  <c r="AA159" i="12"/>
  <c r="Z159" i="12"/>
  <c r="BH164" i="5"/>
  <c r="E164" i="5"/>
  <c r="T164" i="5" s="1"/>
  <c r="BI164" i="5"/>
  <c r="F164" i="5"/>
  <c r="D165" i="5"/>
  <c r="BG164" i="5"/>
  <c r="C164" i="5"/>
  <c r="O160" i="13"/>
  <c r="X160" i="12"/>
  <c r="W160" i="12"/>
  <c r="Y160" i="12"/>
  <c r="Z160" i="13"/>
  <c r="AA160" i="13"/>
  <c r="D162" i="12"/>
  <c r="BG161" i="12"/>
  <c r="E161" i="12"/>
  <c r="T161" i="12" s="1"/>
  <c r="BI161" i="12"/>
  <c r="C161" i="12"/>
  <c r="BH161" i="12"/>
  <c r="F161" i="12"/>
  <c r="O163" i="5" l="1"/>
  <c r="BG162" i="12"/>
  <c r="BI162" i="12"/>
  <c r="E162" i="12"/>
  <c r="T162" i="12" s="1"/>
  <c r="F162" i="12"/>
  <c r="C162" i="12"/>
  <c r="D163" i="12"/>
  <c r="BH162" i="12"/>
  <c r="F163" i="13"/>
  <c r="C163" i="13"/>
  <c r="BH163" i="13"/>
  <c r="E163" i="13"/>
  <c r="T163" i="13" s="1"/>
  <c r="BG163" i="13"/>
  <c r="D164" i="13"/>
  <c r="AA161" i="13"/>
  <c r="Z161" i="13"/>
  <c r="R161" i="12"/>
  <c r="J161" i="12"/>
  <c r="S161" i="12"/>
  <c r="Q161" i="12"/>
  <c r="I161" i="12"/>
  <c r="X164" i="5"/>
  <c r="Y164" i="5"/>
  <c r="W164" i="5"/>
  <c r="Z160" i="12"/>
  <c r="AA160" i="12"/>
  <c r="I164" i="5"/>
  <c r="Q164" i="5"/>
  <c r="J164" i="5"/>
  <c r="O164" i="5" s="1"/>
  <c r="R164" i="5"/>
  <c r="S164" i="5"/>
  <c r="R162" i="13"/>
  <c r="S162" i="13"/>
  <c r="J162" i="13"/>
  <c r="Q162" i="13"/>
  <c r="I162" i="13"/>
  <c r="O160" i="12"/>
  <c r="AA163" i="5"/>
  <c r="Z163" i="5"/>
  <c r="O161" i="13"/>
  <c r="W161" i="12"/>
  <c r="Y161" i="12"/>
  <c r="X161" i="12"/>
  <c r="E165" i="5"/>
  <c r="BI165" i="5"/>
  <c r="F165" i="5"/>
  <c r="D166" i="5"/>
  <c r="BG165" i="5"/>
  <c r="T165" i="5"/>
  <c r="BH165" i="5"/>
  <c r="C165" i="5"/>
  <c r="X162" i="13"/>
  <c r="W162" i="13"/>
  <c r="Y162" i="13"/>
  <c r="O162" i="13" l="1"/>
  <c r="O161" i="12"/>
  <c r="Y165" i="5"/>
  <c r="W165" i="5"/>
  <c r="X165" i="5"/>
  <c r="I165" i="5"/>
  <c r="Q165" i="5"/>
  <c r="J165" i="5"/>
  <c r="R165" i="5"/>
  <c r="S165" i="5"/>
  <c r="Z162" i="13"/>
  <c r="AA162" i="13"/>
  <c r="D167" i="5"/>
  <c r="F166" i="5"/>
  <c r="BG166" i="5"/>
  <c r="BH166" i="5"/>
  <c r="BI166" i="5"/>
  <c r="E166" i="5"/>
  <c r="T166" i="5" s="1"/>
  <c r="C166" i="5"/>
  <c r="S163" i="13"/>
  <c r="Q163" i="13"/>
  <c r="J163" i="13"/>
  <c r="R163" i="13"/>
  <c r="I163" i="13"/>
  <c r="W162" i="12"/>
  <c r="X162" i="12"/>
  <c r="Y162" i="12"/>
  <c r="Z161" i="12"/>
  <c r="AA161" i="12"/>
  <c r="I162" i="12"/>
  <c r="S162" i="12"/>
  <c r="R162" i="12"/>
  <c r="Q162" i="12"/>
  <c r="J162" i="12"/>
  <c r="O162" i="12" s="1"/>
  <c r="Z164" i="5"/>
  <c r="AA164" i="5"/>
  <c r="BG164" i="13"/>
  <c r="BH164" i="13"/>
  <c r="E164" i="13"/>
  <c r="T164" i="13" s="1"/>
  <c r="C164" i="13"/>
  <c r="D165" i="13"/>
  <c r="F164" i="13"/>
  <c r="X163" i="13"/>
  <c r="W163" i="13"/>
  <c r="Y163" i="13"/>
  <c r="BH163" i="12"/>
  <c r="BG163" i="12"/>
  <c r="F163" i="12"/>
  <c r="D164" i="12"/>
  <c r="E163" i="12"/>
  <c r="T163" i="12" s="1"/>
  <c r="BI163" i="12"/>
  <c r="C163" i="12"/>
  <c r="F164" i="12" l="1"/>
  <c r="BH164" i="12"/>
  <c r="E164" i="12"/>
  <c r="T164" i="12" s="1"/>
  <c r="BG164" i="12"/>
  <c r="D165" i="12"/>
  <c r="BI164" i="12"/>
  <c r="C164" i="12"/>
  <c r="Z163" i="13"/>
  <c r="AA163" i="13"/>
  <c r="J164" i="13"/>
  <c r="S164" i="13"/>
  <c r="Q164" i="13"/>
  <c r="I164" i="13"/>
  <c r="R164" i="13"/>
  <c r="O165" i="5"/>
  <c r="Z165" i="5"/>
  <c r="AA165" i="5"/>
  <c r="W166" i="5"/>
  <c r="X166" i="5"/>
  <c r="Y166" i="5"/>
  <c r="Q163" i="12"/>
  <c r="J163" i="12"/>
  <c r="I163" i="12"/>
  <c r="S163" i="12"/>
  <c r="R163" i="12"/>
  <c r="Y164" i="13"/>
  <c r="X164" i="13"/>
  <c r="W164" i="13"/>
  <c r="J166" i="5"/>
  <c r="O166" i="5" s="1"/>
  <c r="R166" i="5"/>
  <c r="S166" i="5"/>
  <c r="I166" i="5"/>
  <c r="Q166" i="5"/>
  <c r="F165" i="13"/>
  <c r="BH165" i="13"/>
  <c r="E165" i="13"/>
  <c r="T165" i="13" s="1"/>
  <c r="BG165" i="13"/>
  <c r="C165" i="13"/>
  <c r="D166" i="13"/>
  <c r="Y163" i="12"/>
  <c r="W163" i="12"/>
  <c r="X163" i="12"/>
  <c r="AA162" i="12"/>
  <c r="Z162" i="12"/>
  <c r="O163" i="13"/>
  <c r="F167" i="5"/>
  <c r="BG167" i="5"/>
  <c r="BH167" i="5"/>
  <c r="D168" i="5"/>
  <c r="BI167" i="5"/>
  <c r="E167" i="5"/>
  <c r="T167" i="5" s="1"/>
  <c r="C167" i="5"/>
  <c r="F166" i="13" l="1"/>
  <c r="BG166" i="13"/>
  <c r="C166" i="13"/>
  <c r="D167" i="13"/>
  <c r="E166" i="13"/>
  <c r="T166" i="13" s="1"/>
  <c r="BH166" i="13"/>
  <c r="O164" i="13"/>
  <c r="X167" i="5"/>
  <c r="W167" i="5"/>
  <c r="Y167" i="5"/>
  <c r="Q167" i="5"/>
  <c r="I167" i="5"/>
  <c r="R167" i="5"/>
  <c r="J167" i="5"/>
  <c r="S167" i="5"/>
  <c r="Z163" i="12"/>
  <c r="AA163" i="12"/>
  <c r="Y165" i="13"/>
  <c r="W165" i="13"/>
  <c r="X165" i="13"/>
  <c r="I165" i="13"/>
  <c r="Q165" i="13"/>
  <c r="R165" i="13"/>
  <c r="J165" i="13"/>
  <c r="S165" i="13"/>
  <c r="Z164" i="13"/>
  <c r="AA164" i="13"/>
  <c r="D166" i="12"/>
  <c r="BG165" i="12"/>
  <c r="BH165" i="12"/>
  <c r="BI165" i="12"/>
  <c r="F165" i="12"/>
  <c r="C165" i="12"/>
  <c r="E165" i="12"/>
  <c r="T165" i="12" s="1"/>
  <c r="I164" i="12"/>
  <c r="Q164" i="12"/>
  <c r="R164" i="12"/>
  <c r="S164" i="12"/>
  <c r="J164" i="12"/>
  <c r="O164" i="12" s="1"/>
  <c r="O163" i="12"/>
  <c r="Z166" i="5"/>
  <c r="AA166" i="5"/>
  <c r="E168" i="5"/>
  <c r="BI168" i="5"/>
  <c r="D169" i="5"/>
  <c r="BH168" i="5"/>
  <c r="T168" i="5"/>
  <c r="F168" i="5"/>
  <c r="BG168" i="5"/>
  <c r="C168" i="5"/>
  <c r="W164" i="12"/>
  <c r="X164" i="12"/>
  <c r="Y164" i="12"/>
  <c r="Z164" i="12" l="1"/>
  <c r="AA164" i="12"/>
  <c r="Y168" i="5"/>
  <c r="W168" i="5"/>
  <c r="X168" i="5"/>
  <c r="Y166" i="13"/>
  <c r="X166" i="13"/>
  <c r="W166" i="13"/>
  <c r="F169" i="5"/>
  <c r="D170" i="5"/>
  <c r="BI169" i="5"/>
  <c r="E169" i="5"/>
  <c r="T169" i="5" s="1"/>
  <c r="BG169" i="5"/>
  <c r="BH169" i="5"/>
  <c r="C169" i="5"/>
  <c r="W165" i="12"/>
  <c r="X165" i="12"/>
  <c r="Y165" i="12"/>
  <c r="Z167" i="5"/>
  <c r="AA167" i="5"/>
  <c r="I168" i="5"/>
  <c r="Q168" i="5"/>
  <c r="R168" i="5"/>
  <c r="S168" i="5"/>
  <c r="J168" i="5"/>
  <c r="O168" i="5" s="1"/>
  <c r="S165" i="12"/>
  <c r="Q165" i="12"/>
  <c r="J165" i="12"/>
  <c r="R165" i="12"/>
  <c r="I165" i="12"/>
  <c r="D167" i="12"/>
  <c r="BH166" i="12"/>
  <c r="E166" i="12"/>
  <c r="T166" i="12" s="1"/>
  <c r="BI166" i="12"/>
  <c r="F166" i="12"/>
  <c r="BG166" i="12"/>
  <c r="C166" i="12"/>
  <c r="O165" i="13"/>
  <c r="Z165" i="13"/>
  <c r="AA165" i="13"/>
  <c r="O167" i="5"/>
  <c r="R166" i="13"/>
  <c r="S166" i="13"/>
  <c r="Q166" i="13"/>
  <c r="J166" i="13"/>
  <c r="I166" i="13"/>
  <c r="BH167" i="13"/>
  <c r="E167" i="13"/>
  <c r="T167" i="13" s="1"/>
  <c r="BG167" i="13"/>
  <c r="C167" i="13"/>
  <c r="D168" i="13"/>
  <c r="F167" i="13"/>
  <c r="O165" i="12" l="1"/>
  <c r="J169" i="5"/>
  <c r="O169" i="5" s="1"/>
  <c r="R169" i="5"/>
  <c r="I169" i="5"/>
  <c r="Q169" i="5"/>
  <c r="S169" i="5"/>
  <c r="J166" i="12"/>
  <c r="R166" i="12"/>
  <c r="S166" i="12"/>
  <c r="Q166" i="12"/>
  <c r="I166" i="12"/>
  <c r="E167" i="12"/>
  <c r="T167" i="12" s="1"/>
  <c r="BH167" i="12"/>
  <c r="BI167" i="12"/>
  <c r="BG167" i="12"/>
  <c r="F167" i="12"/>
  <c r="D168" i="12"/>
  <c r="C167" i="12"/>
  <c r="Z165" i="12"/>
  <c r="AA165" i="12"/>
  <c r="Z168" i="5"/>
  <c r="AA168" i="5"/>
  <c r="W167" i="13"/>
  <c r="Y167" i="13"/>
  <c r="X167" i="13"/>
  <c r="Q167" i="13"/>
  <c r="R167" i="13"/>
  <c r="I167" i="13"/>
  <c r="S167" i="13"/>
  <c r="J167" i="13"/>
  <c r="O167" i="13" s="1"/>
  <c r="O166" i="13"/>
  <c r="Y169" i="5"/>
  <c r="W169" i="5"/>
  <c r="X169" i="5"/>
  <c r="D171" i="5"/>
  <c r="BG170" i="5"/>
  <c r="F170" i="5"/>
  <c r="BH170" i="5"/>
  <c r="BI170" i="5"/>
  <c r="E170" i="5"/>
  <c r="T170" i="5" s="1"/>
  <c r="C170" i="5"/>
  <c r="Z166" i="13"/>
  <c r="AA166" i="13"/>
  <c r="BH168" i="13"/>
  <c r="F168" i="13"/>
  <c r="C168" i="13"/>
  <c r="BG168" i="13"/>
  <c r="E168" i="13"/>
  <c r="T168" i="13" s="1"/>
  <c r="D169" i="13"/>
  <c r="X166" i="12"/>
  <c r="W166" i="12"/>
  <c r="Y166" i="12"/>
  <c r="S170" i="5" l="1"/>
  <c r="R170" i="5"/>
  <c r="I170" i="5"/>
  <c r="J170" i="5"/>
  <c r="Q170" i="5"/>
  <c r="R167" i="12"/>
  <c r="I167" i="12"/>
  <c r="S167" i="12"/>
  <c r="Q167" i="12"/>
  <c r="J167" i="12"/>
  <c r="BH171" i="5"/>
  <c r="E171" i="5"/>
  <c r="T171" i="5" s="1"/>
  <c r="BI171" i="5"/>
  <c r="F171" i="5"/>
  <c r="D172" i="5"/>
  <c r="P169" i="5" s="1"/>
  <c r="BG171" i="5"/>
  <c r="C171" i="5"/>
  <c r="U166" i="5"/>
  <c r="AA167" i="13"/>
  <c r="Z167" i="13"/>
  <c r="P168" i="5"/>
  <c r="O166" i="12"/>
  <c r="U169" i="5"/>
  <c r="Z166" i="12"/>
  <c r="AA166" i="12"/>
  <c r="X168" i="13"/>
  <c r="Y168" i="13"/>
  <c r="W168" i="13"/>
  <c r="F169" i="13"/>
  <c r="BH169" i="13"/>
  <c r="BG169" i="13"/>
  <c r="E169" i="13"/>
  <c r="T169" i="13" s="1"/>
  <c r="C169" i="13"/>
  <c r="D170" i="13"/>
  <c r="X167" i="12"/>
  <c r="W167" i="12"/>
  <c r="Y167" i="12"/>
  <c r="J168" i="13"/>
  <c r="O168" i="13" s="1"/>
  <c r="R168" i="13"/>
  <c r="S168" i="13"/>
  <c r="I168" i="13"/>
  <c r="Q168" i="13"/>
  <c r="W170" i="5"/>
  <c r="X170" i="5"/>
  <c r="Y170" i="5"/>
  <c r="Z169" i="5"/>
  <c r="AA169" i="5"/>
  <c r="BH168" i="12"/>
  <c r="BG168" i="12"/>
  <c r="D169" i="12"/>
  <c r="BI168" i="12"/>
  <c r="F168" i="12"/>
  <c r="C168" i="12"/>
  <c r="E168" i="12"/>
  <c r="T168" i="12" s="1"/>
  <c r="O170" i="5" l="1"/>
  <c r="V169" i="5"/>
  <c r="F169" i="12"/>
  <c r="C169" i="12"/>
  <c r="E169" i="12"/>
  <c r="T169" i="12" s="1"/>
  <c r="D170" i="12"/>
  <c r="BH169" i="12"/>
  <c r="BG169" i="12"/>
  <c r="BI169" i="12"/>
  <c r="W168" i="12"/>
  <c r="Y168" i="12"/>
  <c r="X168" i="12"/>
  <c r="BG170" i="13"/>
  <c r="C170" i="13"/>
  <c r="F170" i="13"/>
  <c r="E170" i="13"/>
  <c r="T170" i="13" s="1"/>
  <c r="BH170" i="13"/>
  <c r="D171" i="13"/>
  <c r="AA168" i="13"/>
  <c r="Z168" i="13"/>
  <c r="I171" i="5"/>
  <c r="Q171" i="5"/>
  <c r="S171" i="5"/>
  <c r="J171" i="5"/>
  <c r="R171" i="5"/>
  <c r="O167" i="12"/>
  <c r="P170" i="5"/>
  <c r="AA170" i="5"/>
  <c r="Z170" i="5"/>
  <c r="Z167" i="12"/>
  <c r="AA167" i="12"/>
  <c r="Q168" i="12"/>
  <c r="I168" i="12"/>
  <c r="R168" i="12"/>
  <c r="J168" i="12"/>
  <c r="S168" i="12"/>
  <c r="Y169" i="13"/>
  <c r="X169" i="13"/>
  <c r="W169" i="13"/>
  <c r="Q169" i="13"/>
  <c r="R169" i="13"/>
  <c r="S169" i="13"/>
  <c r="I169" i="13"/>
  <c r="J169" i="13"/>
  <c r="U167" i="5"/>
  <c r="U170" i="5"/>
  <c r="X171" i="5"/>
  <c r="Y171" i="5"/>
  <c r="W171" i="5"/>
  <c r="E172" i="5"/>
  <c r="T172" i="5" s="1"/>
  <c r="BI172" i="5"/>
  <c r="F172" i="5"/>
  <c r="BJ170" i="5" s="1"/>
  <c r="BG172" i="5"/>
  <c r="BH172" i="5"/>
  <c r="C172" i="5"/>
  <c r="P27" i="5"/>
  <c r="P38" i="5"/>
  <c r="P49" i="5"/>
  <c r="P60" i="5"/>
  <c r="P82" i="5"/>
  <c r="P93" i="5"/>
  <c r="P104" i="5"/>
  <c r="P115" i="5"/>
  <c r="P138" i="5"/>
  <c r="P137" i="5"/>
  <c r="U137" i="5"/>
  <c r="U138" i="5"/>
  <c r="P139" i="5"/>
  <c r="U141" i="5"/>
  <c r="P140" i="5"/>
  <c r="U139" i="5"/>
  <c r="P141" i="5"/>
  <c r="U140" i="5"/>
  <c r="P142" i="5"/>
  <c r="P143" i="5"/>
  <c r="U143" i="5"/>
  <c r="U142" i="5"/>
  <c r="P144" i="5"/>
  <c r="P148" i="5"/>
  <c r="U145" i="5"/>
  <c r="V145" i="5" s="1"/>
  <c r="P146" i="5"/>
  <c r="U144" i="5"/>
  <c r="P147" i="5"/>
  <c r="U146" i="5"/>
  <c r="P149" i="5"/>
  <c r="P150" i="5"/>
  <c r="U148" i="5"/>
  <c r="U147" i="5"/>
  <c r="U152" i="5"/>
  <c r="P151" i="5"/>
  <c r="U150" i="5"/>
  <c r="U149" i="5"/>
  <c r="U151" i="5"/>
  <c r="P161" i="5"/>
  <c r="P162" i="5"/>
  <c r="P160" i="5"/>
  <c r="U159" i="5"/>
  <c r="U161" i="5"/>
  <c r="P165" i="5"/>
  <c r="U160" i="5"/>
  <c r="U163" i="5"/>
  <c r="P166" i="5"/>
  <c r="P163" i="5"/>
  <c r="U165" i="5"/>
  <c r="U164" i="5"/>
  <c r="U162" i="5"/>
  <c r="P167" i="5"/>
  <c r="P164" i="5"/>
  <c r="U168" i="5"/>
  <c r="V168" i="5" s="1"/>
  <c r="V139" i="5" l="1"/>
  <c r="U171" i="5"/>
  <c r="O169" i="13"/>
  <c r="O168" i="12"/>
  <c r="V167" i="5"/>
  <c r="V163" i="5"/>
  <c r="V165" i="5"/>
  <c r="V162" i="5"/>
  <c r="V147" i="5"/>
  <c r="V148" i="5"/>
  <c r="V143" i="5"/>
  <c r="Y172" i="5"/>
  <c r="X172" i="5"/>
  <c r="W172" i="5"/>
  <c r="P16" i="5"/>
  <c r="P71" i="5"/>
  <c r="P126" i="5"/>
  <c r="P152" i="5"/>
  <c r="P153" i="5"/>
  <c r="U156" i="5"/>
  <c r="U153" i="5"/>
  <c r="P154" i="5"/>
  <c r="U155" i="5"/>
  <c r="P155" i="5"/>
  <c r="U154" i="5"/>
  <c r="P156" i="5"/>
  <c r="P158" i="5"/>
  <c r="U158" i="5"/>
  <c r="P157" i="5"/>
  <c r="U157" i="5"/>
  <c r="BJ168" i="5"/>
  <c r="O171" i="5"/>
  <c r="W170" i="13"/>
  <c r="X170" i="13"/>
  <c r="Y170" i="13"/>
  <c r="I169" i="12"/>
  <c r="Q169" i="12"/>
  <c r="J169" i="12"/>
  <c r="R169" i="12"/>
  <c r="S169" i="12"/>
  <c r="V166" i="5"/>
  <c r="V161" i="5"/>
  <c r="V151" i="5"/>
  <c r="V150" i="5"/>
  <c r="V144" i="5"/>
  <c r="V142" i="5"/>
  <c r="V140" i="5"/>
  <c r="AA171" i="5"/>
  <c r="Z171" i="5"/>
  <c r="BJ169" i="5"/>
  <c r="Z169" i="13"/>
  <c r="AA169" i="13"/>
  <c r="I170" i="13"/>
  <c r="S170" i="13"/>
  <c r="J170" i="13"/>
  <c r="R170" i="13"/>
  <c r="Q170" i="13"/>
  <c r="C170" i="12"/>
  <c r="D171" i="12"/>
  <c r="F170" i="12"/>
  <c r="BH170" i="12"/>
  <c r="BG170" i="12"/>
  <c r="E170" i="12"/>
  <c r="T170" i="12" s="1"/>
  <c r="BI170" i="12"/>
  <c r="V159" i="5"/>
  <c r="V149" i="5"/>
  <c r="V146" i="5"/>
  <c r="V137" i="5"/>
  <c r="BJ172" i="5"/>
  <c r="BH171" i="13"/>
  <c r="D172" i="13"/>
  <c r="E171" i="13"/>
  <c r="T171" i="13" s="1"/>
  <c r="BG171" i="13"/>
  <c r="C171" i="13"/>
  <c r="F171" i="13"/>
  <c r="V164" i="5"/>
  <c r="V160" i="5"/>
  <c r="V141" i="5"/>
  <c r="V138" i="5"/>
  <c r="I172" i="5"/>
  <c r="Q172" i="5"/>
  <c r="J172" i="5"/>
  <c r="O172" i="5" s="1"/>
  <c r="R172" i="5"/>
  <c r="S172" i="5"/>
  <c r="BJ137" i="5"/>
  <c r="BJ138" i="5"/>
  <c r="BJ141" i="5"/>
  <c r="BJ139" i="5"/>
  <c r="BJ140" i="5"/>
  <c r="BJ142" i="5"/>
  <c r="BJ143" i="5"/>
  <c r="BJ145" i="5"/>
  <c r="BJ146" i="5"/>
  <c r="BJ149" i="5"/>
  <c r="BJ144" i="5"/>
  <c r="BJ147" i="5"/>
  <c r="BJ148" i="5"/>
  <c r="BJ151" i="5"/>
  <c r="BJ150" i="5"/>
  <c r="BJ155" i="5"/>
  <c r="BJ153" i="5"/>
  <c r="BJ152" i="5"/>
  <c r="BJ156" i="5"/>
  <c r="BJ154" i="5"/>
  <c r="BJ157" i="5"/>
  <c r="BJ159" i="5"/>
  <c r="BJ158" i="5"/>
  <c r="BJ161" i="5"/>
  <c r="BJ163" i="5"/>
  <c r="BJ162" i="5"/>
  <c r="BJ160" i="5"/>
  <c r="BJ164" i="5"/>
  <c r="BJ166" i="5"/>
  <c r="BJ167" i="5"/>
  <c r="BJ171" i="5"/>
  <c r="BJ165" i="5"/>
  <c r="V170" i="5"/>
  <c r="P171" i="5"/>
  <c r="V171" i="5" s="1"/>
  <c r="Z168" i="12"/>
  <c r="AA168" i="12"/>
  <c r="Y169" i="12"/>
  <c r="X169" i="12"/>
  <c r="W169" i="12"/>
  <c r="C173" i="13"/>
  <c r="O170" i="13" l="1"/>
  <c r="Y171" i="13"/>
  <c r="X171" i="13"/>
  <c r="W171" i="13"/>
  <c r="Q170" i="12"/>
  <c r="R170" i="12"/>
  <c r="I170" i="12"/>
  <c r="J170" i="12"/>
  <c r="S170" i="12"/>
  <c r="V158" i="5"/>
  <c r="V153" i="5"/>
  <c r="Z169" i="12"/>
  <c r="AA169" i="12"/>
  <c r="F171" i="12"/>
  <c r="C171" i="12"/>
  <c r="D172" i="12"/>
  <c r="BH171" i="12"/>
  <c r="E171" i="12"/>
  <c r="T171" i="12" s="1"/>
  <c r="BG171" i="12"/>
  <c r="BI171" i="12"/>
  <c r="O169" i="12"/>
  <c r="Z170" i="13"/>
  <c r="AA170" i="13"/>
  <c r="V156" i="5"/>
  <c r="V154" i="5"/>
  <c r="V152" i="5"/>
  <c r="P172" i="5"/>
  <c r="V157" i="5"/>
  <c r="U172" i="5"/>
  <c r="J171" i="13"/>
  <c r="O171" i="13" s="1"/>
  <c r="R171" i="13"/>
  <c r="I171" i="13"/>
  <c r="Q171" i="13"/>
  <c r="S171" i="13"/>
  <c r="E172" i="13"/>
  <c r="T172" i="13" s="1"/>
  <c r="BH172" i="13"/>
  <c r="D173" i="13"/>
  <c r="BG172" i="13"/>
  <c r="C172" i="13"/>
  <c r="F172" i="13"/>
  <c r="Y170" i="12"/>
  <c r="X170" i="12"/>
  <c r="W170" i="12"/>
  <c r="V155" i="5"/>
  <c r="Z172" i="5"/>
  <c r="AA172" i="5"/>
  <c r="W173" i="13"/>
  <c r="X173" i="13"/>
  <c r="Y173" i="13"/>
  <c r="C173" i="12"/>
  <c r="X171" i="12" l="1"/>
  <c r="W171" i="12"/>
  <c r="Y171" i="12"/>
  <c r="AA170" i="12"/>
  <c r="Z170" i="12"/>
  <c r="BG173" i="13"/>
  <c r="F173" i="13"/>
  <c r="E173" i="13"/>
  <c r="T173" i="13" s="1"/>
  <c r="BH173" i="13"/>
  <c r="D174" i="13"/>
  <c r="Q172" i="13"/>
  <c r="R172" i="13"/>
  <c r="S172" i="13"/>
  <c r="J172" i="13"/>
  <c r="I172" i="13"/>
  <c r="Q171" i="12"/>
  <c r="J171" i="12"/>
  <c r="S171" i="12"/>
  <c r="R171" i="12"/>
  <c r="I171" i="12"/>
  <c r="BH172" i="12"/>
  <c r="F172" i="12"/>
  <c r="D173" i="12"/>
  <c r="C172" i="12"/>
  <c r="E172" i="12"/>
  <c r="T172" i="12" s="1"/>
  <c r="BI172" i="12"/>
  <c r="BG172" i="12"/>
  <c r="Y172" i="13"/>
  <c r="X172" i="13"/>
  <c r="W172" i="13"/>
  <c r="V172" i="5"/>
  <c r="O170" i="12"/>
  <c r="Z171" i="13"/>
  <c r="AA171" i="13"/>
  <c r="O173" i="13"/>
  <c r="AA173" i="13"/>
  <c r="Z173" i="13"/>
  <c r="Y173" i="12"/>
  <c r="W173" i="12"/>
  <c r="X173" i="12"/>
  <c r="Z172" i="13" l="1"/>
  <c r="AA172" i="13"/>
  <c r="O171" i="12"/>
  <c r="AA171" i="12"/>
  <c r="Z171" i="12"/>
  <c r="Y172" i="12"/>
  <c r="W172" i="12"/>
  <c r="X172" i="12"/>
  <c r="Q173" i="13"/>
  <c r="J173" i="13"/>
  <c r="S173" i="13"/>
  <c r="R173" i="13"/>
  <c r="I173" i="13"/>
  <c r="BI173" i="12"/>
  <c r="E173" i="12"/>
  <c r="T173" i="12" s="1"/>
  <c r="F173" i="12"/>
  <c r="BG173" i="12"/>
  <c r="D174" i="12"/>
  <c r="BH173" i="12"/>
  <c r="Q172" i="12"/>
  <c r="S172" i="12"/>
  <c r="J172" i="12"/>
  <c r="R172" i="12"/>
  <c r="I172" i="12"/>
  <c r="O172" i="13"/>
  <c r="BG174" i="13"/>
  <c r="C174" i="13"/>
  <c r="F174" i="13"/>
  <c r="E174" i="13"/>
  <c r="T174" i="13" s="1"/>
  <c r="BH174" i="13"/>
  <c r="D175" i="13"/>
  <c r="O173" i="12"/>
  <c r="AA173" i="12"/>
  <c r="Z173" i="12"/>
  <c r="O172" i="12" l="1"/>
  <c r="Q174" i="13"/>
  <c r="S174" i="13"/>
  <c r="J174" i="13"/>
  <c r="R174" i="13"/>
  <c r="I174" i="13"/>
  <c r="S173" i="12"/>
  <c r="Q173" i="12"/>
  <c r="J173" i="12"/>
  <c r="R173" i="12"/>
  <c r="I173" i="12"/>
  <c r="AA172" i="12"/>
  <c r="Z172" i="12"/>
  <c r="D175" i="12"/>
  <c r="BH174" i="12"/>
  <c r="BG174" i="12"/>
  <c r="BI174" i="12"/>
  <c r="F174" i="12"/>
  <c r="C174" i="12"/>
  <c r="E174" i="12"/>
  <c r="T174" i="12" s="1"/>
  <c r="F175" i="13"/>
  <c r="E175" i="13"/>
  <c r="T175" i="13" s="1"/>
  <c r="BH175" i="13"/>
  <c r="D176" i="13"/>
  <c r="BG175" i="13"/>
  <c r="C175" i="13"/>
  <c r="W174" i="13"/>
  <c r="X174" i="13"/>
  <c r="Y174" i="13"/>
  <c r="W175" i="13" l="1"/>
  <c r="X175" i="13"/>
  <c r="Y175" i="13"/>
  <c r="R174" i="12"/>
  <c r="J174" i="12"/>
  <c r="S174" i="12"/>
  <c r="I174" i="12"/>
  <c r="Q174" i="12"/>
  <c r="C175" i="12"/>
  <c r="D176" i="12"/>
  <c r="BI175" i="12"/>
  <c r="F175" i="12"/>
  <c r="BH175" i="12"/>
  <c r="E175" i="12"/>
  <c r="T175" i="12" s="1"/>
  <c r="BG175" i="12"/>
  <c r="AA174" i="13"/>
  <c r="Z174" i="13"/>
  <c r="BG176" i="13"/>
  <c r="C176" i="13"/>
  <c r="E176" i="13"/>
  <c r="T176" i="13" s="1"/>
  <c r="F176" i="13"/>
  <c r="BH176" i="13"/>
  <c r="D177" i="13"/>
  <c r="O174" i="13"/>
  <c r="X174" i="12"/>
  <c r="Y174" i="12"/>
  <c r="W174" i="12"/>
  <c r="R175" i="13"/>
  <c r="S175" i="13"/>
  <c r="Q175" i="13"/>
  <c r="J175" i="13"/>
  <c r="I175" i="13"/>
  <c r="O174" i="12" l="1"/>
  <c r="O175" i="13"/>
  <c r="AA174" i="12"/>
  <c r="Z174" i="12"/>
  <c r="J176" i="13"/>
  <c r="I176" i="13"/>
  <c r="R176" i="13"/>
  <c r="Q176" i="13"/>
  <c r="S176" i="13"/>
  <c r="Y175" i="12"/>
  <c r="X175" i="12"/>
  <c r="W175" i="12"/>
  <c r="I175" i="12"/>
  <c r="Q175" i="12"/>
  <c r="R175" i="12"/>
  <c r="S175" i="12"/>
  <c r="J175" i="12"/>
  <c r="O175" i="12" s="1"/>
  <c r="D178" i="13"/>
  <c r="BG177" i="13"/>
  <c r="F177" i="13"/>
  <c r="E177" i="13"/>
  <c r="T177" i="13" s="1"/>
  <c r="BH177" i="13"/>
  <c r="C177" i="13"/>
  <c r="X176" i="13"/>
  <c r="Y176" i="13"/>
  <c r="W176" i="13"/>
  <c r="E176" i="12"/>
  <c r="T176" i="12" s="1"/>
  <c r="BH176" i="12"/>
  <c r="BI176" i="12"/>
  <c r="BG176" i="12"/>
  <c r="F176" i="12"/>
  <c r="D177" i="12"/>
  <c r="C176" i="12"/>
  <c r="Z175" i="13"/>
  <c r="AA175" i="13"/>
  <c r="O176" i="13" l="1"/>
  <c r="F178" i="13"/>
  <c r="E178" i="13"/>
  <c r="T178" i="13" s="1"/>
  <c r="BH178" i="13"/>
  <c r="D179" i="13"/>
  <c r="BG178" i="13"/>
  <c r="C178" i="13"/>
  <c r="W176" i="12"/>
  <c r="X176" i="12"/>
  <c r="Y176" i="12"/>
  <c r="BH177" i="12"/>
  <c r="D178" i="12"/>
  <c r="BI177" i="12"/>
  <c r="C177" i="12"/>
  <c r="F177" i="12"/>
  <c r="BG177" i="12"/>
  <c r="E177" i="12"/>
  <c r="T177" i="12" s="1"/>
  <c r="AA176" i="13"/>
  <c r="Z176" i="13"/>
  <c r="Q177" i="13"/>
  <c r="J177" i="13"/>
  <c r="I177" i="13"/>
  <c r="S177" i="13"/>
  <c r="R177" i="13"/>
  <c r="R176" i="12"/>
  <c r="I176" i="12"/>
  <c r="S176" i="12"/>
  <c r="J176" i="12"/>
  <c r="Q176" i="12"/>
  <c r="X177" i="13"/>
  <c r="W177" i="13"/>
  <c r="Y177" i="13"/>
  <c r="AA175" i="12"/>
  <c r="Z175" i="12"/>
  <c r="O177" i="13" l="1"/>
  <c r="Z176" i="12"/>
  <c r="AA176" i="12"/>
  <c r="F179" i="13"/>
  <c r="E179" i="13"/>
  <c r="T179" i="13" s="1"/>
  <c r="BH179" i="13"/>
  <c r="BG179" i="13"/>
  <c r="D180" i="13"/>
  <c r="C179" i="13"/>
  <c r="S177" i="12"/>
  <c r="R177" i="12"/>
  <c r="Q177" i="12"/>
  <c r="I177" i="12"/>
  <c r="J177" i="12"/>
  <c r="O177" i="12" s="1"/>
  <c r="Z177" i="13"/>
  <c r="AA177" i="13"/>
  <c r="Y177" i="12"/>
  <c r="W177" i="12"/>
  <c r="X177" i="12"/>
  <c r="O176" i="12"/>
  <c r="BH178" i="12"/>
  <c r="E178" i="12"/>
  <c r="T178" i="12" s="1"/>
  <c r="BG178" i="12"/>
  <c r="BI178" i="12"/>
  <c r="F178" i="12"/>
  <c r="C178" i="12"/>
  <c r="D179" i="12"/>
  <c r="W178" i="13"/>
  <c r="Y178" i="13"/>
  <c r="X178" i="13"/>
  <c r="S178" i="13"/>
  <c r="Q178" i="13"/>
  <c r="I178" i="13"/>
  <c r="R178" i="13"/>
  <c r="J178" i="13"/>
  <c r="W178" i="12" l="1"/>
  <c r="Y178" i="12"/>
  <c r="X178" i="12"/>
  <c r="F180" i="13"/>
  <c r="C180" i="13"/>
  <c r="BH180" i="13"/>
  <c r="BG180" i="13"/>
  <c r="E180" i="13"/>
  <c r="T180" i="13" s="1"/>
  <c r="D181" i="13"/>
  <c r="I179" i="13"/>
  <c r="S179" i="13"/>
  <c r="R179" i="13"/>
  <c r="Q179" i="13"/>
  <c r="J179" i="13"/>
  <c r="O179" i="13" s="1"/>
  <c r="AA178" i="13"/>
  <c r="Z178" i="13"/>
  <c r="Q178" i="12"/>
  <c r="I178" i="12"/>
  <c r="J178" i="12"/>
  <c r="S178" i="12"/>
  <c r="R178" i="12"/>
  <c r="X179" i="13"/>
  <c r="W179" i="13"/>
  <c r="Y179" i="13"/>
  <c r="O178" i="13"/>
  <c r="D180" i="12"/>
  <c r="BG179" i="12"/>
  <c r="F179" i="12"/>
  <c r="BH179" i="12"/>
  <c r="E179" i="12"/>
  <c r="T179" i="12" s="1"/>
  <c r="BI179" i="12"/>
  <c r="C179" i="12"/>
  <c r="Z177" i="12"/>
  <c r="AA177" i="12"/>
  <c r="E180" i="12" l="1"/>
  <c r="T180" i="12" s="1"/>
  <c r="BH180" i="12"/>
  <c r="BI180" i="12"/>
  <c r="D181" i="12"/>
  <c r="BG180" i="12"/>
  <c r="F180" i="12"/>
  <c r="C180" i="12"/>
  <c r="BH181" i="13"/>
  <c r="C181" i="13"/>
  <c r="F181" i="13"/>
  <c r="BG181" i="13"/>
  <c r="E181" i="13"/>
  <c r="T181" i="13" s="1"/>
  <c r="D182" i="13"/>
  <c r="X179" i="12"/>
  <c r="Y179" i="12"/>
  <c r="W179" i="12"/>
  <c r="J179" i="12"/>
  <c r="I179" i="12"/>
  <c r="S179" i="12"/>
  <c r="R179" i="12"/>
  <c r="Q179" i="12"/>
  <c r="J180" i="13"/>
  <c r="S180" i="13"/>
  <c r="I180" i="13"/>
  <c r="R180" i="13"/>
  <c r="Q180" i="13"/>
  <c r="W180" i="13"/>
  <c r="Y180" i="13"/>
  <c r="X180" i="13"/>
  <c r="O178" i="12"/>
  <c r="AA178" i="12"/>
  <c r="Z178" i="12"/>
  <c r="Z179" i="13"/>
  <c r="AA179" i="13"/>
  <c r="O180" i="13" l="1"/>
  <c r="Z179" i="12"/>
  <c r="AA179" i="12"/>
  <c r="Z180" i="13"/>
  <c r="AA180" i="13"/>
  <c r="O179" i="12"/>
  <c r="F182" i="13"/>
  <c r="D183" i="13"/>
  <c r="BH182" i="13"/>
  <c r="E182" i="13"/>
  <c r="T182" i="13" s="1"/>
  <c r="BG182" i="13"/>
  <c r="C182" i="13"/>
  <c r="BG181" i="12"/>
  <c r="D182" i="12"/>
  <c r="BI181" i="12"/>
  <c r="BH181" i="12"/>
  <c r="C181" i="12"/>
  <c r="F181" i="12"/>
  <c r="E181" i="12"/>
  <c r="T181" i="12" s="1"/>
  <c r="R181" i="13"/>
  <c r="Q181" i="13"/>
  <c r="S181" i="13"/>
  <c r="I181" i="13"/>
  <c r="J181" i="13"/>
  <c r="Y181" i="13"/>
  <c r="X181" i="13"/>
  <c r="W181" i="13"/>
  <c r="X180" i="12"/>
  <c r="Y180" i="12"/>
  <c r="W180" i="12"/>
  <c r="J180" i="12"/>
  <c r="R180" i="12"/>
  <c r="Q180" i="12"/>
  <c r="I180" i="12"/>
  <c r="S180" i="12"/>
  <c r="O181" i="13" l="1"/>
  <c r="O180" i="12"/>
  <c r="Z181" i="13"/>
  <c r="AA181" i="13"/>
  <c r="R181" i="12"/>
  <c r="J181" i="12"/>
  <c r="S181" i="12"/>
  <c r="I181" i="12"/>
  <c r="Q181" i="12"/>
  <c r="Y181" i="12"/>
  <c r="X181" i="12"/>
  <c r="W181" i="12"/>
  <c r="BI182" i="12"/>
  <c r="F182" i="12"/>
  <c r="BG182" i="12"/>
  <c r="BH182" i="12"/>
  <c r="D183" i="12"/>
  <c r="E182" i="12"/>
  <c r="T182" i="12" s="1"/>
  <c r="C182" i="12"/>
  <c r="W182" i="13"/>
  <c r="Y182" i="13"/>
  <c r="X182" i="13"/>
  <c r="D184" i="13"/>
  <c r="BG183" i="13"/>
  <c r="F183" i="13"/>
  <c r="BH183" i="13"/>
  <c r="E183" i="13"/>
  <c r="T183" i="13" s="1"/>
  <c r="C183" i="13"/>
  <c r="AA180" i="12"/>
  <c r="Z180" i="12"/>
  <c r="S182" i="13"/>
  <c r="I182" i="13"/>
  <c r="Q182" i="13"/>
  <c r="J182" i="13"/>
  <c r="R182" i="13"/>
  <c r="W182" i="12" l="1"/>
  <c r="Y182" i="12"/>
  <c r="X182" i="12"/>
  <c r="O182" i="13"/>
  <c r="AA182" i="13"/>
  <c r="Z182" i="13"/>
  <c r="R182" i="12"/>
  <c r="S182" i="12"/>
  <c r="Q182" i="12"/>
  <c r="J182" i="12"/>
  <c r="I182" i="12"/>
  <c r="O181" i="12"/>
  <c r="W183" i="13"/>
  <c r="Y183" i="13"/>
  <c r="X183" i="13"/>
  <c r="Q183" i="13"/>
  <c r="S183" i="13"/>
  <c r="I183" i="13"/>
  <c r="R183" i="13"/>
  <c r="J183" i="13"/>
  <c r="BG183" i="12"/>
  <c r="BI183" i="12"/>
  <c r="F183" i="12"/>
  <c r="C183" i="12"/>
  <c r="E183" i="12"/>
  <c r="T183" i="12" s="1"/>
  <c r="D184" i="12"/>
  <c r="BH183" i="12"/>
  <c r="BG184" i="13"/>
  <c r="C184" i="13"/>
  <c r="D185" i="13"/>
  <c r="F184" i="13"/>
  <c r="BH184" i="13"/>
  <c r="E184" i="13"/>
  <c r="T184" i="13" s="1"/>
  <c r="Z181" i="12"/>
  <c r="AA181" i="12"/>
  <c r="O182" i="12" l="1"/>
  <c r="Y183" i="12"/>
  <c r="W183" i="12"/>
  <c r="X183" i="12"/>
  <c r="O183" i="13"/>
  <c r="R184" i="13"/>
  <c r="I184" i="13"/>
  <c r="S184" i="13"/>
  <c r="J184" i="13"/>
  <c r="O184" i="13" s="1"/>
  <c r="Q184" i="13"/>
  <c r="E185" i="13"/>
  <c r="T185" i="13" s="1"/>
  <c r="F185" i="13"/>
  <c r="C185" i="13"/>
  <c r="BG185" i="13"/>
  <c r="BH185" i="13"/>
  <c r="D186" i="13"/>
  <c r="S183" i="12"/>
  <c r="R183" i="12"/>
  <c r="J183" i="12"/>
  <c r="Q183" i="12"/>
  <c r="I183" i="12"/>
  <c r="Z183" i="13"/>
  <c r="AA183" i="13"/>
  <c r="AA182" i="12"/>
  <c r="Z182" i="12"/>
  <c r="Y184" i="13"/>
  <c r="W184" i="13"/>
  <c r="X184" i="13"/>
  <c r="BG184" i="12"/>
  <c r="D185" i="12"/>
  <c r="BI184" i="12"/>
  <c r="C184" i="12"/>
  <c r="BH184" i="12"/>
  <c r="E184" i="12"/>
  <c r="T184" i="12" s="1"/>
  <c r="F184" i="12"/>
  <c r="O183" i="12" l="1"/>
  <c r="S184" i="12"/>
  <c r="Q184" i="12"/>
  <c r="I184" i="12"/>
  <c r="R184" i="12"/>
  <c r="J184" i="12"/>
  <c r="O184" i="12" s="1"/>
  <c r="Y185" i="13"/>
  <c r="X185" i="13"/>
  <c r="W185" i="13"/>
  <c r="X184" i="12"/>
  <c r="Y184" i="12"/>
  <c r="W184" i="12"/>
  <c r="AA184" i="13"/>
  <c r="Z184" i="13"/>
  <c r="BG186" i="13"/>
  <c r="C186" i="13"/>
  <c r="F186" i="13"/>
  <c r="D187" i="13"/>
  <c r="BH186" i="13"/>
  <c r="E186" i="13"/>
  <c r="T186" i="13" s="1"/>
  <c r="J185" i="13"/>
  <c r="I185" i="13"/>
  <c r="S185" i="13"/>
  <c r="R185" i="13"/>
  <c r="Q185" i="13"/>
  <c r="Z183" i="12"/>
  <c r="AA183" i="12"/>
  <c r="BG185" i="12"/>
  <c r="D186" i="12"/>
  <c r="E185" i="12"/>
  <c r="T185" i="12" s="1"/>
  <c r="BH185" i="12"/>
  <c r="BI185" i="12"/>
  <c r="F185" i="12"/>
  <c r="C185" i="12"/>
  <c r="S185" i="12" l="1"/>
  <c r="Q185" i="12"/>
  <c r="J185" i="12"/>
  <c r="O185" i="12" s="1"/>
  <c r="I185" i="12"/>
  <c r="R185" i="12"/>
  <c r="D187" i="12"/>
  <c r="BH186" i="12"/>
  <c r="BG186" i="12"/>
  <c r="E186" i="12"/>
  <c r="T186" i="12" s="1"/>
  <c r="BI186" i="12"/>
  <c r="C186" i="12"/>
  <c r="F186" i="12"/>
  <c r="O185" i="13"/>
  <c r="R186" i="13"/>
  <c r="J186" i="13"/>
  <c r="S186" i="13"/>
  <c r="I186" i="13"/>
  <c r="Q186" i="13"/>
  <c r="Y186" i="13"/>
  <c r="X186" i="13"/>
  <c r="W186" i="13"/>
  <c r="Z185" i="13"/>
  <c r="AA185" i="13"/>
  <c r="W185" i="12"/>
  <c r="X185" i="12"/>
  <c r="Y185" i="12"/>
  <c r="BH187" i="13"/>
  <c r="D188" i="13"/>
  <c r="E187" i="13"/>
  <c r="T187" i="13" s="1"/>
  <c r="BG187" i="13"/>
  <c r="C187" i="13"/>
  <c r="F187" i="13"/>
  <c r="Z184" i="12"/>
  <c r="AA184" i="12"/>
  <c r="O187" i="13"/>
  <c r="AA186" i="13" l="1"/>
  <c r="Z186" i="13"/>
  <c r="S186" i="12"/>
  <c r="I186" i="12"/>
  <c r="J186" i="12"/>
  <c r="R186" i="12"/>
  <c r="Q186" i="12"/>
  <c r="Y187" i="13"/>
  <c r="W187" i="13"/>
  <c r="X187" i="13"/>
  <c r="O186" i="13"/>
  <c r="X186" i="12"/>
  <c r="Y186" i="12"/>
  <c r="W186" i="12"/>
  <c r="BG187" i="12"/>
  <c r="BI187" i="12"/>
  <c r="F187" i="12"/>
  <c r="D188" i="12"/>
  <c r="BH187" i="12"/>
  <c r="E187" i="12"/>
  <c r="T187" i="12" s="1"/>
  <c r="C187" i="12"/>
  <c r="I187" i="13"/>
  <c r="S187" i="13"/>
  <c r="Q187" i="13"/>
  <c r="J187" i="13"/>
  <c r="R187" i="13"/>
  <c r="BH188" i="13"/>
  <c r="D189" i="13"/>
  <c r="BG188" i="13"/>
  <c r="F188" i="13"/>
  <c r="C188" i="13"/>
  <c r="E188" i="13"/>
  <c r="T188" i="13" s="1"/>
  <c r="Z185" i="12"/>
  <c r="AA185" i="12"/>
  <c r="O187" i="12"/>
  <c r="O186" i="12" l="1"/>
  <c r="F189" i="13"/>
  <c r="E189" i="13"/>
  <c r="T189" i="13" s="1"/>
  <c r="BG189" i="13"/>
  <c r="BH189" i="13"/>
  <c r="D190" i="13"/>
  <c r="C189" i="13"/>
  <c r="Q187" i="12"/>
  <c r="I187" i="12"/>
  <c r="R187" i="12"/>
  <c r="S187" i="12"/>
  <c r="J187" i="12"/>
  <c r="W188" i="13"/>
  <c r="Y188" i="13"/>
  <c r="X188" i="13"/>
  <c r="Z186" i="12"/>
  <c r="AA186" i="12"/>
  <c r="BH188" i="12"/>
  <c r="E188" i="12"/>
  <c r="T188" i="12" s="1"/>
  <c r="BG188" i="12"/>
  <c r="BI188" i="12"/>
  <c r="D189" i="12"/>
  <c r="F188" i="12"/>
  <c r="C188" i="12"/>
  <c r="AA187" i="13"/>
  <c r="Z187" i="13"/>
  <c r="Q188" i="13"/>
  <c r="I188" i="13"/>
  <c r="S188" i="13"/>
  <c r="R188" i="13"/>
  <c r="J188" i="13"/>
  <c r="X187" i="12"/>
  <c r="W187" i="12"/>
  <c r="Y187" i="12"/>
  <c r="BI189" i="12" l="1"/>
  <c r="BH189" i="12"/>
  <c r="F189" i="12"/>
  <c r="D190" i="12"/>
  <c r="C189" i="12"/>
  <c r="E189" i="12"/>
  <c r="T189" i="12" s="1"/>
  <c r="BG189" i="12"/>
  <c r="BG190" i="13"/>
  <c r="F190" i="13"/>
  <c r="BH190" i="13"/>
  <c r="E190" i="13"/>
  <c r="T190" i="13" s="1"/>
  <c r="C190" i="13"/>
  <c r="D191" i="13"/>
  <c r="S189" i="13"/>
  <c r="J189" i="13"/>
  <c r="O189" i="13" s="1"/>
  <c r="I189" i="13"/>
  <c r="R189" i="13"/>
  <c r="Q189" i="13"/>
  <c r="AA187" i="12"/>
  <c r="Z187" i="12"/>
  <c r="W188" i="12"/>
  <c r="X188" i="12"/>
  <c r="Y188" i="12"/>
  <c r="O188" i="13"/>
  <c r="S188" i="12"/>
  <c r="I188" i="12"/>
  <c r="J188" i="12"/>
  <c r="Q188" i="12"/>
  <c r="R188" i="12"/>
  <c r="AA188" i="13"/>
  <c r="Z188" i="13"/>
  <c r="X189" i="13"/>
  <c r="W189" i="13"/>
  <c r="Y189" i="13"/>
  <c r="AA189" i="13" l="1"/>
  <c r="Z189" i="13"/>
  <c r="X190" i="13"/>
  <c r="Y190" i="13"/>
  <c r="W190" i="13"/>
  <c r="BH190" i="12"/>
  <c r="D191" i="12"/>
  <c r="E190" i="12"/>
  <c r="T190" i="12" s="1"/>
  <c r="BG190" i="12"/>
  <c r="F190" i="12"/>
  <c r="BI190" i="12"/>
  <c r="C190" i="12"/>
  <c r="O188" i="12"/>
  <c r="J189" i="12"/>
  <c r="Q189" i="12"/>
  <c r="R189" i="12"/>
  <c r="S189" i="12"/>
  <c r="I189" i="12"/>
  <c r="Z188" i="12"/>
  <c r="AA188" i="12"/>
  <c r="BG191" i="13"/>
  <c r="D192" i="13"/>
  <c r="BH191" i="13"/>
  <c r="E191" i="13"/>
  <c r="T191" i="13" s="1"/>
  <c r="F191" i="13"/>
  <c r="C191" i="13"/>
  <c r="Q190" i="13"/>
  <c r="R190" i="13"/>
  <c r="J190" i="13"/>
  <c r="O190" i="13" s="1"/>
  <c r="I190" i="13"/>
  <c r="S190" i="13"/>
  <c r="X189" i="12"/>
  <c r="W189" i="12"/>
  <c r="Y189" i="12"/>
  <c r="AA189" i="12" l="1"/>
  <c r="Z189" i="12"/>
  <c r="W190" i="12"/>
  <c r="Y190" i="12"/>
  <c r="X190" i="12"/>
  <c r="E191" i="12"/>
  <c r="T191" i="12" s="1"/>
  <c r="BG191" i="12"/>
  <c r="BI191" i="12"/>
  <c r="F191" i="12"/>
  <c r="C191" i="12"/>
  <c r="D192" i="12"/>
  <c r="BH191" i="12"/>
  <c r="AA190" i="13"/>
  <c r="Z190" i="13"/>
  <c r="Y191" i="13"/>
  <c r="W191" i="13"/>
  <c r="X191" i="13"/>
  <c r="E192" i="13"/>
  <c r="T192" i="13" s="1"/>
  <c r="BH192" i="13"/>
  <c r="C192" i="13"/>
  <c r="D193" i="13"/>
  <c r="BG192" i="13"/>
  <c r="F192" i="13"/>
  <c r="O189" i="12"/>
  <c r="J190" i="12"/>
  <c r="S190" i="12"/>
  <c r="I190" i="12"/>
  <c r="R190" i="12"/>
  <c r="Q190" i="12"/>
  <c r="J191" i="13"/>
  <c r="S191" i="13"/>
  <c r="Q191" i="13"/>
  <c r="I191" i="13"/>
  <c r="R191" i="13"/>
  <c r="O190" i="12" l="1"/>
  <c r="O191" i="13"/>
  <c r="AA191" i="13"/>
  <c r="Z191" i="13"/>
  <c r="AA190" i="12"/>
  <c r="Z190" i="12"/>
  <c r="F193" i="13"/>
  <c r="BH193" i="13"/>
  <c r="E193" i="13"/>
  <c r="T193" i="13" s="1"/>
  <c r="BG193" i="13"/>
  <c r="C193" i="13"/>
  <c r="D194" i="13"/>
  <c r="D193" i="12"/>
  <c r="F192" i="12"/>
  <c r="BI192" i="12"/>
  <c r="BH192" i="12"/>
  <c r="BG192" i="12"/>
  <c r="E192" i="12"/>
  <c r="T192" i="12" s="1"/>
  <c r="C192" i="12"/>
  <c r="S192" i="13"/>
  <c r="Q192" i="13"/>
  <c r="J192" i="13"/>
  <c r="O192" i="13" s="1"/>
  <c r="I192" i="13"/>
  <c r="R192" i="13"/>
  <c r="Y192" i="13"/>
  <c r="X192" i="13"/>
  <c r="W192" i="13"/>
  <c r="X191" i="12"/>
  <c r="W191" i="12"/>
  <c r="Y191" i="12"/>
  <c r="J191" i="12"/>
  <c r="I191" i="12"/>
  <c r="Q191" i="12"/>
  <c r="S191" i="12"/>
  <c r="R191" i="12"/>
  <c r="O191" i="12" l="1"/>
  <c r="I192" i="12"/>
  <c r="R192" i="12"/>
  <c r="J192" i="12"/>
  <c r="O192" i="12" s="1"/>
  <c r="S192" i="12"/>
  <c r="Q192" i="12"/>
  <c r="Z192" i="13"/>
  <c r="AA192" i="13"/>
  <c r="W192" i="12"/>
  <c r="Y192" i="12"/>
  <c r="X192" i="12"/>
  <c r="C193" i="12"/>
  <c r="D194" i="12"/>
  <c r="E193" i="12"/>
  <c r="T193" i="12" s="1"/>
  <c r="BG193" i="12"/>
  <c r="F193" i="12"/>
  <c r="BH193" i="12"/>
  <c r="BI193" i="12"/>
  <c r="D195" i="13"/>
  <c r="F194" i="13"/>
  <c r="BH194" i="13"/>
  <c r="E194" i="13"/>
  <c r="T194" i="13" s="1"/>
  <c r="BG194" i="13"/>
  <c r="C194" i="13"/>
  <c r="AA191" i="12"/>
  <c r="Z191" i="12"/>
  <c r="W193" i="13"/>
  <c r="Y193" i="13"/>
  <c r="X193" i="13"/>
  <c r="R193" i="13"/>
  <c r="I193" i="13"/>
  <c r="S193" i="13"/>
  <c r="J193" i="13"/>
  <c r="Q193" i="13"/>
  <c r="O193" i="13" l="1"/>
  <c r="W194" i="13"/>
  <c r="X194" i="13"/>
  <c r="Y194" i="13"/>
  <c r="R194" i="13"/>
  <c r="S194" i="13"/>
  <c r="Q194" i="13"/>
  <c r="I194" i="13"/>
  <c r="J194" i="13"/>
  <c r="O194" i="13" s="1"/>
  <c r="Q193" i="12"/>
  <c r="S193" i="12"/>
  <c r="I193" i="12"/>
  <c r="J193" i="12"/>
  <c r="O193" i="12" s="1"/>
  <c r="R193" i="12"/>
  <c r="W193" i="12"/>
  <c r="Y193" i="12"/>
  <c r="X193" i="12"/>
  <c r="BG195" i="13"/>
  <c r="C195" i="13"/>
  <c r="D196" i="13"/>
  <c r="E195" i="13"/>
  <c r="T195" i="13" s="1"/>
  <c r="F195" i="13"/>
  <c r="BH195" i="13"/>
  <c r="Z192" i="12"/>
  <c r="AA192" i="12"/>
  <c r="Z193" i="13"/>
  <c r="AA193" i="13"/>
  <c r="D195" i="12"/>
  <c r="C194" i="12"/>
  <c r="BG194" i="12"/>
  <c r="E194" i="12"/>
  <c r="T194" i="12" s="1"/>
  <c r="BH194" i="12"/>
  <c r="F194" i="12"/>
  <c r="BI194" i="12"/>
  <c r="Q194" i="12" l="1"/>
  <c r="R194" i="12"/>
  <c r="S194" i="12"/>
  <c r="J194" i="12"/>
  <c r="I194" i="12"/>
  <c r="BH196" i="13"/>
  <c r="BG196" i="13"/>
  <c r="F196" i="13"/>
  <c r="D197" i="13"/>
  <c r="C196" i="13"/>
  <c r="E196" i="13"/>
  <c r="T196" i="13" s="1"/>
  <c r="X194" i="12"/>
  <c r="W194" i="12"/>
  <c r="Y194" i="12"/>
  <c r="BG195" i="12"/>
  <c r="BI195" i="12"/>
  <c r="F195" i="12"/>
  <c r="BH195" i="12"/>
  <c r="D196" i="12"/>
  <c r="E195" i="12"/>
  <c r="T195" i="12" s="1"/>
  <c r="C195" i="12"/>
  <c r="Z193" i="12"/>
  <c r="AA193" i="12"/>
  <c r="W195" i="13"/>
  <c r="Y195" i="13"/>
  <c r="X195" i="13"/>
  <c r="AA194" i="13"/>
  <c r="Z194" i="13"/>
  <c r="I195" i="13"/>
  <c r="R195" i="13"/>
  <c r="Q195" i="13"/>
  <c r="S195" i="13"/>
  <c r="J195" i="13"/>
  <c r="O194" i="12" l="1"/>
  <c r="O195" i="13"/>
  <c r="BG196" i="12"/>
  <c r="BI196" i="12"/>
  <c r="D197" i="12"/>
  <c r="E196" i="12"/>
  <c r="T196" i="12" s="1"/>
  <c r="F196" i="12"/>
  <c r="C196" i="12"/>
  <c r="BH196" i="12"/>
  <c r="AA195" i="13"/>
  <c r="Z195" i="13"/>
  <c r="X196" i="13"/>
  <c r="Y196" i="13"/>
  <c r="W196" i="13"/>
  <c r="X195" i="12"/>
  <c r="Y195" i="12"/>
  <c r="W195" i="12"/>
  <c r="J195" i="12"/>
  <c r="R195" i="12"/>
  <c r="Q195" i="12"/>
  <c r="S195" i="12"/>
  <c r="I195" i="12"/>
  <c r="BH197" i="13"/>
  <c r="E197" i="13"/>
  <c r="T197" i="13" s="1"/>
  <c r="D198" i="13"/>
  <c r="F197" i="13"/>
  <c r="BG197" i="13"/>
  <c r="C197" i="13"/>
  <c r="AA194" i="12"/>
  <c r="Z194" i="12"/>
  <c r="Q196" i="13"/>
  <c r="R196" i="13"/>
  <c r="J196" i="13"/>
  <c r="S196" i="13"/>
  <c r="I196" i="13"/>
  <c r="O196" i="13" l="1"/>
  <c r="O195" i="12"/>
  <c r="I197" i="13"/>
  <c r="Q197" i="13"/>
  <c r="R197" i="13"/>
  <c r="S197" i="13"/>
  <c r="J197" i="13"/>
  <c r="O197" i="13" s="1"/>
  <c r="BG198" i="13"/>
  <c r="C198" i="13"/>
  <c r="F198" i="13"/>
  <c r="BH198" i="13"/>
  <c r="E198" i="13"/>
  <c r="T198" i="13" s="1"/>
  <c r="D199" i="13"/>
  <c r="D198" i="12"/>
  <c r="BH197" i="12"/>
  <c r="BI197" i="12"/>
  <c r="F197" i="12"/>
  <c r="C197" i="12"/>
  <c r="BG197" i="12"/>
  <c r="E197" i="12"/>
  <c r="T197" i="12" s="1"/>
  <c r="Y197" i="13"/>
  <c r="W197" i="13"/>
  <c r="X197" i="13"/>
  <c r="Z196" i="13"/>
  <c r="AA196" i="13"/>
  <c r="Y196" i="12"/>
  <c r="X196" i="12"/>
  <c r="W196" i="12"/>
  <c r="AA195" i="12"/>
  <c r="Z195" i="12"/>
  <c r="S196" i="12"/>
  <c r="R196" i="12"/>
  <c r="Q196" i="12"/>
  <c r="I196" i="12"/>
  <c r="J196" i="12"/>
  <c r="F199" i="13" l="1"/>
  <c r="BH199" i="13"/>
  <c r="E199" i="13"/>
  <c r="T199" i="13" s="1"/>
  <c r="C199" i="13"/>
  <c r="D200" i="13"/>
  <c r="BG199" i="13"/>
  <c r="J197" i="12"/>
  <c r="R197" i="12"/>
  <c r="Q197" i="12"/>
  <c r="I197" i="12"/>
  <c r="S197" i="12"/>
  <c r="Y198" i="13"/>
  <c r="X198" i="13"/>
  <c r="W198" i="13"/>
  <c r="O196" i="12"/>
  <c r="Z196" i="12"/>
  <c r="AA196" i="12"/>
  <c r="Z197" i="13"/>
  <c r="AA197" i="13"/>
  <c r="W197" i="12"/>
  <c r="X197" i="12"/>
  <c r="Y197" i="12"/>
  <c r="E198" i="12"/>
  <c r="T198" i="12" s="1"/>
  <c r="BH198" i="12"/>
  <c r="BI198" i="12"/>
  <c r="BG198" i="12"/>
  <c r="C198" i="12"/>
  <c r="F198" i="12"/>
  <c r="D199" i="12"/>
  <c r="S198" i="13"/>
  <c r="Q198" i="13"/>
  <c r="I198" i="13"/>
  <c r="R198" i="13"/>
  <c r="J198" i="13"/>
  <c r="C201" i="13"/>
  <c r="O197" i="12" l="1"/>
  <c r="O198" i="13"/>
  <c r="X198" i="12"/>
  <c r="Y198" i="12"/>
  <c r="W198" i="12"/>
  <c r="W199" i="13"/>
  <c r="Y199" i="13"/>
  <c r="X199" i="13"/>
  <c r="F199" i="12"/>
  <c r="BH199" i="12"/>
  <c r="D200" i="12"/>
  <c r="BG199" i="12"/>
  <c r="E199" i="12"/>
  <c r="T199" i="12" s="1"/>
  <c r="C199" i="12"/>
  <c r="BI199" i="12"/>
  <c r="Q198" i="12"/>
  <c r="R198" i="12"/>
  <c r="S198" i="12"/>
  <c r="J198" i="12"/>
  <c r="I198" i="12"/>
  <c r="AA197" i="12"/>
  <c r="Z197" i="12"/>
  <c r="Z198" i="13"/>
  <c r="AA198" i="13"/>
  <c r="BG200" i="13"/>
  <c r="C200" i="13"/>
  <c r="D201" i="13"/>
  <c r="E200" i="13"/>
  <c r="T200" i="13" s="1"/>
  <c r="BH200" i="13"/>
  <c r="F200" i="13"/>
  <c r="J199" i="13"/>
  <c r="S199" i="13"/>
  <c r="R199" i="13"/>
  <c r="Q199" i="13"/>
  <c r="I199" i="13"/>
  <c r="W201" i="13"/>
  <c r="Y201" i="13"/>
  <c r="X201" i="13"/>
  <c r="C201" i="12"/>
  <c r="O198" i="12" l="1"/>
  <c r="S200" i="13"/>
  <c r="Q200" i="13"/>
  <c r="J200" i="13"/>
  <c r="R200" i="13"/>
  <c r="I200" i="13"/>
  <c r="Y200" i="13"/>
  <c r="W200" i="13"/>
  <c r="X200" i="13"/>
  <c r="W199" i="12"/>
  <c r="Y199" i="12"/>
  <c r="X199" i="12"/>
  <c r="Q199" i="12"/>
  <c r="S199" i="12"/>
  <c r="R199" i="12"/>
  <c r="I199" i="12"/>
  <c r="J199" i="12"/>
  <c r="Z199" i="13"/>
  <c r="AA199" i="13"/>
  <c r="O199" i="13"/>
  <c r="BH201" i="13"/>
  <c r="E201" i="13"/>
  <c r="T201" i="13" s="1"/>
  <c r="D202" i="13"/>
  <c r="F201" i="13"/>
  <c r="BG201" i="13"/>
  <c r="F200" i="12"/>
  <c r="C200" i="12"/>
  <c r="BH200" i="12"/>
  <c r="D201" i="12"/>
  <c r="BG200" i="12"/>
  <c r="BI200" i="12"/>
  <c r="E200" i="12"/>
  <c r="T200" i="12" s="1"/>
  <c r="AA198" i="12"/>
  <c r="Z198" i="12"/>
  <c r="O201" i="13"/>
  <c r="P29" i="5"/>
  <c r="U27" i="5"/>
  <c r="U6" i="5"/>
  <c r="P6" i="5"/>
  <c r="U16" i="5"/>
  <c r="P28" i="5"/>
  <c r="U17" i="5"/>
  <c r="P17" i="5"/>
  <c r="U28" i="5"/>
  <c r="U5" i="5"/>
  <c r="P19" i="5"/>
  <c r="U7" i="5"/>
  <c r="U18" i="5"/>
  <c r="P18" i="5"/>
  <c r="U29" i="5"/>
  <c r="U19" i="5"/>
  <c r="U30" i="5"/>
  <c r="P30" i="5"/>
  <c r="P20" i="5"/>
  <c r="P31" i="5"/>
  <c r="P21" i="5"/>
  <c r="U21" i="5"/>
  <c r="U31" i="5"/>
  <c r="P32" i="5"/>
  <c r="U32" i="5"/>
  <c r="U38" i="5"/>
  <c r="U33" i="5"/>
  <c r="P33" i="5"/>
  <c r="P39" i="5"/>
  <c r="U34" i="5"/>
  <c r="P40" i="5"/>
  <c r="P34" i="5"/>
  <c r="U39" i="5"/>
  <c r="U35" i="5"/>
  <c r="P35" i="5"/>
  <c r="U36" i="5"/>
  <c r="P36" i="5"/>
  <c r="U37" i="5"/>
  <c r="P37" i="5"/>
  <c r="P44" i="5"/>
  <c r="U11" i="5"/>
  <c r="P8" i="5"/>
  <c r="U24" i="5"/>
  <c r="P22" i="5"/>
  <c r="U22" i="5"/>
  <c r="P13" i="5"/>
  <c r="U13" i="5"/>
  <c r="U42" i="5"/>
  <c r="P12" i="5"/>
  <c r="U8" i="5"/>
  <c r="P7" i="5"/>
  <c r="U25" i="5"/>
  <c r="U9" i="5"/>
  <c r="P11" i="5"/>
  <c r="U15" i="5"/>
  <c r="U10" i="5"/>
  <c r="U12" i="5"/>
  <c r="V12" i="5" s="1"/>
  <c r="P25" i="5"/>
  <c r="U23" i="5"/>
  <c r="P10" i="5"/>
  <c r="P14" i="5"/>
  <c r="U14" i="5"/>
  <c r="P24" i="5"/>
  <c r="P15" i="5"/>
  <c r="U20" i="5"/>
  <c r="V20" i="5" s="1"/>
  <c r="P26" i="5"/>
  <c r="P23" i="5"/>
  <c r="P9" i="5"/>
  <c r="U26" i="5"/>
  <c r="U43" i="5"/>
  <c r="U49" i="5"/>
  <c r="U51" i="5"/>
  <c r="P50" i="5"/>
  <c r="U50" i="5"/>
  <c r="P52" i="5"/>
  <c r="P51" i="5"/>
  <c r="P55" i="5"/>
  <c r="P53" i="5"/>
  <c r="U52" i="5"/>
  <c r="P62" i="5"/>
  <c r="U58" i="5"/>
  <c r="P61" i="5"/>
  <c r="U60" i="5"/>
  <c r="U61" i="5"/>
  <c r="U64" i="5"/>
  <c r="P66" i="5"/>
  <c r="P63" i="5"/>
  <c r="P64" i="5"/>
  <c r="U63" i="5"/>
  <c r="U65" i="5"/>
  <c r="U62" i="5"/>
  <c r="P65" i="5"/>
  <c r="P67" i="5"/>
  <c r="P68" i="5"/>
  <c r="U66" i="5"/>
  <c r="P69" i="5"/>
  <c r="P72" i="5"/>
  <c r="U67" i="5"/>
  <c r="P73" i="5"/>
  <c r="U68" i="5"/>
  <c r="P70" i="5"/>
  <c r="U69" i="5"/>
  <c r="U70" i="5"/>
  <c r="U71" i="5"/>
  <c r="P77" i="5"/>
  <c r="U72" i="5"/>
  <c r="P74" i="5"/>
  <c r="P83" i="5"/>
  <c r="P84" i="5"/>
  <c r="U82" i="5"/>
  <c r="P85" i="5"/>
  <c r="U83" i="5"/>
  <c r="V83" i="5" s="1"/>
  <c r="P86" i="5"/>
  <c r="U87" i="5"/>
  <c r="P94" i="5"/>
  <c r="U93" i="5"/>
  <c r="P95" i="5"/>
  <c r="U97" i="5"/>
  <c r="U94" i="5"/>
  <c r="U95" i="5"/>
  <c r="P96" i="5"/>
  <c r="P97" i="5"/>
  <c r="P98" i="5"/>
  <c r="P99" i="5"/>
  <c r="U96" i="5"/>
  <c r="P102" i="5"/>
  <c r="P100" i="5"/>
  <c r="U101" i="5"/>
  <c r="U98" i="5"/>
  <c r="V98" i="5" s="1"/>
  <c r="P101" i="5"/>
  <c r="U99" i="5"/>
  <c r="P105" i="5"/>
  <c r="U100" i="5"/>
  <c r="V100" i="5" s="1"/>
  <c r="U104" i="5"/>
  <c r="P103" i="5"/>
  <c r="U105" i="5"/>
  <c r="U102" i="5"/>
  <c r="U103" i="5"/>
  <c r="P106" i="5"/>
  <c r="P107" i="5"/>
  <c r="P116" i="5"/>
  <c r="P117" i="5"/>
  <c r="U115" i="5"/>
  <c r="P118" i="5"/>
  <c r="P125" i="5"/>
  <c r="P127" i="5"/>
  <c r="P128" i="5"/>
  <c r="P129" i="5"/>
  <c r="U126" i="5"/>
  <c r="U127" i="5"/>
  <c r="U128" i="5"/>
  <c r="P130" i="5"/>
  <c r="U129" i="5"/>
  <c r="P133" i="5"/>
  <c r="P131" i="5"/>
  <c r="P132" i="5"/>
  <c r="U117" i="5"/>
  <c r="U130" i="5"/>
  <c r="U116" i="5"/>
  <c r="U131" i="5"/>
  <c r="U133" i="5"/>
  <c r="P134" i="5"/>
  <c r="U134" i="5"/>
  <c r="P135" i="5"/>
  <c r="U132" i="5"/>
  <c r="U135" i="5"/>
  <c r="P136" i="5"/>
  <c r="U136" i="5"/>
  <c r="AA201" i="13"/>
  <c r="Z201" i="13"/>
  <c r="X201" i="12"/>
  <c r="W201" i="12"/>
  <c r="Y201" i="12"/>
  <c r="F201" i="12" l="1"/>
  <c r="D202" i="12"/>
  <c r="BH201" i="12"/>
  <c r="E201" i="12"/>
  <c r="T201" i="12" s="1"/>
  <c r="BG201" i="12"/>
  <c r="BI201" i="12"/>
  <c r="O199" i="12"/>
  <c r="AA200" i="13"/>
  <c r="Z200" i="13"/>
  <c r="J201" i="13"/>
  <c r="Q201" i="13"/>
  <c r="R201" i="13"/>
  <c r="I201" i="13"/>
  <c r="S201" i="13"/>
  <c r="AA199" i="12"/>
  <c r="Z199" i="12"/>
  <c r="O200" i="13"/>
  <c r="Y200" i="12"/>
  <c r="X200" i="12"/>
  <c r="W200" i="12"/>
  <c r="BG202" i="13"/>
  <c r="D203" i="13"/>
  <c r="F202" i="13"/>
  <c r="BH202" i="13"/>
  <c r="E202" i="13"/>
  <c r="T202" i="13" s="1"/>
  <c r="C202" i="13"/>
  <c r="S200" i="12"/>
  <c r="J200" i="12"/>
  <c r="Q200" i="12"/>
  <c r="I200" i="12"/>
  <c r="R200" i="12"/>
  <c r="V96" i="5"/>
  <c r="O201" i="12"/>
  <c r="V136" i="5"/>
  <c r="V72" i="5"/>
  <c r="V67" i="5"/>
  <c r="V65" i="5"/>
  <c r="BJ16" i="5"/>
  <c r="BJ9" i="5"/>
  <c r="BJ5" i="5"/>
  <c r="BJ74" i="5"/>
  <c r="BJ17" i="5"/>
  <c r="BJ51" i="5"/>
  <c r="BJ81" i="5"/>
  <c r="BJ26" i="5"/>
  <c r="BJ119" i="5"/>
  <c r="BJ85" i="5"/>
  <c r="BJ95" i="5"/>
  <c r="BJ53" i="5"/>
  <c r="BJ42" i="5"/>
  <c r="BJ113" i="5"/>
  <c r="BJ12" i="5"/>
  <c r="BJ118" i="5"/>
  <c r="BJ94" i="5"/>
  <c r="BJ11" i="5"/>
  <c r="BJ127" i="5"/>
  <c r="BJ75" i="5"/>
  <c r="BJ82" i="5"/>
  <c r="BJ121" i="5"/>
  <c r="BJ34" i="5"/>
  <c r="BJ99" i="5"/>
  <c r="BJ14" i="5"/>
  <c r="BJ49" i="5"/>
  <c r="BJ78" i="5"/>
  <c r="BJ89" i="5"/>
  <c r="BJ13" i="5"/>
  <c r="BJ129" i="5"/>
  <c r="BJ77" i="5"/>
  <c r="BJ23" i="5"/>
  <c r="BJ69" i="5"/>
  <c r="BJ19" i="5"/>
  <c r="BJ45" i="5"/>
  <c r="BJ109" i="5"/>
  <c r="BJ22" i="5"/>
  <c r="BJ122" i="5"/>
  <c r="BJ33" i="5"/>
  <c r="BJ31" i="5"/>
  <c r="BJ123" i="5"/>
  <c r="BJ115" i="5"/>
  <c r="BJ25" i="5"/>
  <c r="BJ111" i="5"/>
  <c r="BJ101" i="5"/>
  <c r="BJ30" i="5"/>
  <c r="BJ63" i="5"/>
  <c r="BJ126" i="5"/>
  <c r="BJ43" i="5"/>
  <c r="BJ107" i="5"/>
  <c r="BJ114" i="5"/>
  <c r="BJ38" i="5"/>
  <c r="BJ71" i="5"/>
  <c r="BJ102" i="5"/>
  <c r="BJ135" i="5"/>
  <c r="BJ117" i="5"/>
  <c r="BJ65" i="5"/>
  <c r="BJ41" i="5"/>
  <c r="BJ70" i="5"/>
  <c r="BJ105" i="5"/>
  <c r="BJ18" i="5"/>
  <c r="BJ134" i="5"/>
  <c r="BJ29" i="5"/>
  <c r="BJ83" i="5"/>
  <c r="BJ97" i="5"/>
  <c r="BJ73" i="5"/>
  <c r="BJ50" i="5"/>
  <c r="BJ35" i="5"/>
  <c r="BJ61" i="5"/>
  <c r="BJ59" i="5"/>
  <c r="BJ90" i="5"/>
  <c r="BJ39" i="5"/>
  <c r="BJ103" i="5"/>
  <c r="BJ21" i="5"/>
  <c r="BJ110" i="5"/>
  <c r="BJ27" i="5"/>
  <c r="BJ62" i="5"/>
  <c r="BJ58" i="5"/>
  <c r="BJ133" i="5"/>
  <c r="BJ67" i="5"/>
  <c r="BJ55" i="5"/>
  <c r="BJ7" i="5"/>
  <c r="BJ66" i="5"/>
  <c r="BJ130" i="5"/>
  <c r="BJ47" i="5"/>
  <c r="BJ10" i="5"/>
  <c r="BJ54" i="5"/>
  <c r="BJ131" i="5"/>
  <c r="BJ93" i="5"/>
  <c r="BJ6" i="5"/>
  <c r="BJ98" i="5"/>
  <c r="BJ15" i="5"/>
  <c r="BJ46" i="5"/>
  <c r="BJ79" i="5"/>
  <c r="BJ57" i="5"/>
  <c r="BJ86" i="5"/>
  <c r="BJ125" i="5"/>
  <c r="BJ37" i="5"/>
  <c r="BJ87" i="5"/>
  <c r="BJ106" i="5"/>
  <c r="BJ91" i="5"/>
  <c r="BJ80" i="5"/>
  <c r="BJ64" i="5"/>
  <c r="BJ28" i="5"/>
  <c r="BJ44" i="5"/>
  <c r="BJ96" i="5"/>
  <c r="BJ132" i="5"/>
  <c r="BJ124" i="5"/>
  <c r="BJ20" i="5"/>
  <c r="BJ68" i="5"/>
  <c r="BJ84" i="5"/>
  <c r="BJ40" i="5"/>
  <c r="BJ92" i="5"/>
  <c r="BJ128" i="5"/>
  <c r="BJ36" i="5"/>
  <c r="BJ56" i="5"/>
  <c r="BJ52" i="5"/>
  <c r="BJ116" i="5"/>
  <c r="BJ88" i="5"/>
  <c r="BJ48" i="5"/>
  <c r="BJ8" i="5"/>
  <c r="BJ136" i="5"/>
  <c r="BJ76" i="5"/>
  <c r="BJ108" i="5"/>
  <c r="BJ100" i="5"/>
  <c r="BJ24" i="5"/>
  <c r="BJ112" i="5"/>
  <c r="BJ60" i="5"/>
  <c r="BJ32" i="5"/>
  <c r="BJ104" i="5"/>
  <c r="BJ72" i="5"/>
  <c r="BJ120" i="5"/>
  <c r="V135" i="5"/>
  <c r="V132" i="5"/>
  <c r="V130" i="5"/>
  <c r="V129" i="5"/>
  <c r="V105" i="5"/>
  <c r="V99" i="5"/>
  <c r="V93" i="5"/>
  <c r="V71" i="5"/>
  <c r="V69" i="5"/>
  <c r="V64" i="5"/>
  <c r="V62" i="5"/>
  <c r="V51" i="5"/>
  <c r="V9" i="5"/>
  <c r="V15" i="5"/>
  <c r="V10" i="5"/>
  <c r="V22" i="5"/>
  <c r="V34" i="5"/>
  <c r="V33" i="5"/>
  <c r="V32" i="5"/>
  <c r="V31" i="5"/>
  <c r="V28" i="5"/>
  <c r="V27" i="5"/>
  <c r="V134" i="5"/>
  <c r="V131" i="5"/>
  <c r="V128" i="5"/>
  <c r="V115" i="5"/>
  <c r="V103" i="5"/>
  <c r="V94" i="5"/>
  <c r="V63" i="5"/>
  <c r="V60" i="5"/>
  <c r="V52" i="5"/>
  <c r="V49" i="5"/>
  <c r="V23" i="5"/>
  <c r="V24" i="5"/>
  <c r="V7" i="5"/>
  <c r="V37" i="5"/>
  <c r="V35" i="5"/>
  <c r="V19" i="5"/>
  <c r="V17" i="5"/>
  <c r="V16" i="5"/>
  <c r="V29" i="5"/>
  <c r="V133" i="5"/>
  <c r="V127" i="5"/>
  <c r="V117" i="5"/>
  <c r="V104" i="5"/>
  <c r="V101" i="5"/>
  <c r="V102" i="5"/>
  <c r="V97" i="5"/>
  <c r="V82" i="5"/>
  <c r="V68" i="5"/>
  <c r="V66" i="5"/>
  <c r="V61" i="5"/>
  <c r="V26" i="5"/>
  <c r="V25" i="5"/>
  <c r="V11" i="5"/>
  <c r="V13" i="5"/>
  <c r="V8" i="5"/>
  <c r="V38" i="5"/>
  <c r="U40" i="5"/>
  <c r="V40" i="5" s="1"/>
  <c r="P42" i="5"/>
  <c r="U41" i="5"/>
  <c r="P43" i="5"/>
  <c r="P41" i="5"/>
  <c r="P46" i="5"/>
  <c r="P45" i="5"/>
  <c r="P48" i="5"/>
  <c r="U46" i="5"/>
  <c r="P47" i="5"/>
  <c r="U45" i="5"/>
  <c r="U44" i="5"/>
  <c r="V44" i="5" s="1"/>
  <c r="U47" i="5"/>
  <c r="U48" i="5"/>
  <c r="P54" i="5"/>
  <c r="U53" i="5"/>
  <c r="V53" i="5" s="1"/>
  <c r="P56" i="5"/>
  <c r="P59" i="5"/>
  <c r="U54" i="5"/>
  <c r="V54" i="5" s="1"/>
  <c r="U56" i="5"/>
  <c r="U55" i="5"/>
  <c r="V55" i="5" s="1"/>
  <c r="P57" i="5"/>
  <c r="U57" i="5"/>
  <c r="P58" i="5"/>
  <c r="V58" i="5" s="1"/>
  <c r="U59" i="5"/>
  <c r="P78" i="5"/>
  <c r="P76" i="5"/>
  <c r="P75" i="5"/>
  <c r="U73" i="5"/>
  <c r="V73" i="5" s="1"/>
  <c r="U74" i="5"/>
  <c r="V74" i="5" s="1"/>
  <c r="U75" i="5"/>
  <c r="P79" i="5"/>
  <c r="U77" i="5"/>
  <c r="V77" i="5" s="1"/>
  <c r="P80" i="5"/>
  <c r="U78" i="5"/>
  <c r="U76" i="5"/>
  <c r="U79" i="5"/>
  <c r="P81" i="5"/>
  <c r="U80" i="5"/>
  <c r="U81" i="5"/>
  <c r="U84" i="5"/>
  <c r="U85" i="5"/>
  <c r="V85" i="5" s="1"/>
  <c r="U86" i="5"/>
  <c r="V86" i="5" s="1"/>
  <c r="P87" i="5"/>
  <c r="P90" i="5"/>
  <c r="P88" i="5"/>
  <c r="P91" i="5"/>
  <c r="U91" i="5"/>
  <c r="P89" i="5"/>
  <c r="U88" i="5"/>
  <c r="U89" i="5"/>
  <c r="U90" i="5"/>
  <c r="P92" i="5"/>
  <c r="U92" i="5"/>
  <c r="U106" i="5"/>
  <c r="V106" i="5" s="1"/>
  <c r="P109" i="5"/>
  <c r="U107" i="5"/>
  <c r="P113" i="5"/>
  <c r="P110" i="5"/>
  <c r="U108" i="5"/>
  <c r="P108" i="5"/>
  <c r="U109" i="5"/>
  <c r="P111" i="5"/>
  <c r="P112" i="5"/>
  <c r="U110" i="5"/>
  <c r="P114" i="5"/>
  <c r="U112" i="5"/>
  <c r="U113" i="5"/>
  <c r="U111" i="5"/>
  <c r="U114" i="5"/>
  <c r="P120" i="5"/>
  <c r="U118" i="5"/>
  <c r="V118" i="5" s="1"/>
  <c r="P119" i="5"/>
  <c r="U120" i="5"/>
  <c r="P121" i="5"/>
  <c r="U119" i="5"/>
  <c r="P123" i="5"/>
  <c r="P122" i="5"/>
  <c r="U122" i="5"/>
  <c r="U121" i="5"/>
  <c r="P124" i="5"/>
  <c r="U123" i="5"/>
  <c r="U124" i="5"/>
  <c r="U125" i="5"/>
  <c r="V125" i="5" s="1"/>
  <c r="V6" i="5"/>
  <c r="V126" i="5"/>
  <c r="V116" i="5"/>
  <c r="V95" i="5"/>
  <c r="V84" i="5"/>
  <c r="V70" i="5"/>
  <c r="V50" i="5"/>
  <c r="V14" i="5"/>
  <c r="V36" i="5"/>
  <c r="V39" i="5"/>
  <c r="V21" i="5"/>
  <c r="V30" i="5"/>
  <c r="V18" i="5"/>
  <c r="V5" i="5"/>
  <c r="AA201" i="12"/>
  <c r="Z201" i="12"/>
  <c r="V59" i="5" l="1"/>
  <c r="O200" i="12"/>
  <c r="Q202" i="13"/>
  <c r="S202" i="13"/>
  <c r="R202" i="13"/>
  <c r="I202" i="13"/>
  <c r="J202" i="13"/>
  <c r="O202" i="13" s="1"/>
  <c r="AA200" i="12"/>
  <c r="Z200" i="12"/>
  <c r="Y202" i="13"/>
  <c r="W202" i="13"/>
  <c r="X202" i="13"/>
  <c r="C203" i="13"/>
  <c r="BG203" i="13"/>
  <c r="F203" i="13"/>
  <c r="D204" i="13"/>
  <c r="E203" i="13"/>
  <c r="T203" i="13" s="1"/>
  <c r="BH203" i="13"/>
  <c r="BH202" i="12"/>
  <c r="BI202" i="12"/>
  <c r="BG202" i="12"/>
  <c r="F202" i="12"/>
  <c r="D203" i="12"/>
  <c r="C202" i="12"/>
  <c r="E202" i="12"/>
  <c r="T202" i="12" s="1"/>
  <c r="J201" i="12"/>
  <c r="R201" i="12"/>
  <c r="Q201" i="12"/>
  <c r="S201" i="12"/>
  <c r="I201" i="12"/>
  <c r="V78" i="5"/>
  <c r="V111" i="5"/>
  <c r="V120" i="5"/>
  <c r="V112" i="5"/>
  <c r="V109" i="5"/>
  <c r="V79" i="5"/>
  <c r="V75" i="5"/>
  <c r="V48" i="5"/>
  <c r="V43" i="5"/>
  <c r="V87" i="5"/>
  <c r="V107" i="5"/>
  <c r="V121" i="5"/>
  <c r="V110" i="5"/>
  <c r="V91" i="5"/>
  <c r="V76" i="5"/>
  <c r="V45" i="5"/>
  <c r="V122" i="5"/>
  <c r="V114" i="5"/>
  <c r="V113" i="5"/>
  <c r="V88" i="5"/>
  <c r="V81" i="5"/>
  <c r="V80" i="5"/>
  <c r="V57" i="5"/>
  <c r="V47" i="5"/>
  <c r="V46" i="5"/>
  <c r="V42" i="5"/>
  <c r="V124" i="5"/>
  <c r="V123" i="5"/>
  <c r="V119" i="5"/>
  <c r="V108" i="5"/>
  <c r="V92" i="5"/>
  <c r="V89" i="5"/>
  <c r="V90" i="5"/>
  <c r="V56" i="5"/>
  <c r="V41" i="5"/>
  <c r="D205" i="13" l="1"/>
  <c r="BH204" i="13"/>
  <c r="F204" i="13"/>
  <c r="BG204" i="13"/>
  <c r="C204" i="13"/>
  <c r="E204" i="13"/>
  <c r="T204" i="13" s="1"/>
  <c r="AA202" i="13"/>
  <c r="Z202" i="13"/>
  <c r="W202" i="12"/>
  <c r="Y202" i="12"/>
  <c r="X202" i="12"/>
  <c r="Q203" i="13"/>
  <c r="S203" i="13"/>
  <c r="I203" i="13"/>
  <c r="R203" i="13"/>
  <c r="J203" i="13"/>
  <c r="C203" i="12"/>
  <c r="BI203" i="12"/>
  <c r="BH203" i="12"/>
  <c r="E203" i="12"/>
  <c r="T203" i="12" s="1"/>
  <c r="BG203" i="12"/>
  <c r="D204" i="12"/>
  <c r="F203" i="12"/>
  <c r="Q202" i="12"/>
  <c r="R202" i="12"/>
  <c r="S202" i="12"/>
  <c r="J202" i="12"/>
  <c r="I202" i="12"/>
  <c r="W203" i="13"/>
  <c r="Y203" i="13"/>
  <c r="X203" i="13"/>
  <c r="O203" i="13" l="1"/>
  <c r="O202" i="12"/>
  <c r="Z203" i="13"/>
  <c r="AA203" i="13"/>
  <c r="S203" i="12"/>
  <c r="R203" i="12"/>
  <c r="Q203" i="12"/>
  <c r="I203" i="12"/>
  <c r="J203" i="12"/>
  <c r="O203" i="12" s="1"/>
  <c r="AA202" i="12"/>
  <c r="Z202" i="12"/>
  <c r="R204" i="13"/>
  <c r="Q204" i="13"/>
  <c r="I204" i="13"/>
  <c r="J204" i="13"/>
  <c r="S204" i="13"/>
  <c r="BI204" i="12"/>
  <c r="C204" i="12"/>
  <c r="D205" i="12"/>
  <c r="F204" i="12"/>
  <c r="BH204" i="12"/>
  <c r="E204" i="12"/>
  <c r="T204" i="12" s="1"/>
  <c r="BG204" i="12"/>
  <c r="X203" i="12"/>
  <c r="W203" i="12"/>
  <c r="Y203" i="12"/>
  <c r="X204" i="13"/>
  <c r="W204" i="13"/>
  <c r="Y204" i="13"/>
  <c r="D206" i="13"/>
  <c r="BH205" i="13"/>
  <c r="F205" i="13"/>
  <c r="BG205" i="13"/>
  <c r="C205" i="13"/>
  <c r="E205" i="13"/>
  <c r="T205" i="13" s="1"/>
  <c r="O204" i="13" l="1"/>
  <c r="R204" i="12"/>
  <c r="Q204" i="12"/>
  <c r="J204" i="12"/>
  <c r="S204" i="12"/>
  <c r="I204" i="12"/>
  <c r="Z204" i="13"/>
  <c r="AA204" i="13"/>
  <c r="F205" i="12"/>
  <c r="C205" i="12"/>
  <c r="D206" i="12"/>
  <c r="BG205" i="12"/>
  <c r="E205" i="12"/>
  <c r="T205" i="12" s="1"/>
  <c r="BH205" i="12"/>
  <c r="BI205" i="12"/>
  <c r="J205" i="13"/>
  <c r="S205" i="13"/>
  <c r="Q205" i="13"/>
  <c r="R205" i="13"/>
  <c r="I205" i="13"/>
  <c r="Z203" i="12"/>
  <c r="AA203" i="12"/>
  <c r="X205" i="13"/>
  <c r="W205" i="13"/>
  <c r="Y205" i="13"/>
  <c r="BG206" i="13"/>
  <c r="C206" i="13"/>
  <c r="D207" i="13"/>
  <c r="E206" i="13"/>
  <c r="T206" i="13" s="1"/>
  <c r="BH206" i="13"/>
  <c r="F206" i="13"/>
  <c r="Y204" i="12"/>
  <c r="W204" i="12"/>
  <c r="X204" i="12"/>
  <c r="O204" i="12" l="1"/>
  <c r="Z205" i="13"/>
  <c r="AA205" i="13"/>
  <c r="BG207" i="13"/>
  <c r="BH207" i="13"/>
  <c r="F207" i="13"/>
  <c r="C207" i="13"/>
  <c r="D208" i="13"/>
  <c r="E207" i="13"/>
  <c r="T207" i="13" s="1"/>
  <c r="O205" i="13"/>
  <c r="I205" i="12"/>
  <c r="Q205" i="12"/>
  <c r="S205" i="12"/>
  <c r="R205" i="12"/>
  <c r="J205" i="12"/>
  <c r="O205" i="12" s="1"/>
  <c r="Z204" i="12"/>
  <c r="AA204" i="12"/>
  <c r="F206" i="12"/>
  <c r="C206" i="12"/>
  <c r="BH206" i="12"/>
  <c r="BG206" i="12"/>
  <c r="BI206" i="12"/>
  <c r="D207" i="12"/>
  <c r="E206" i="12"/>
  <c r="T206" i="12" s="1"/>
  <c r="R206" i="13"/>
  <c r="J206" i="13"/>
  <c r="Q206" i="13"/>
  <c r="I206" i="13"/>
  <c r="S206" i="13"/>
  <c r="X206" i="13"/>
  <c r="W206" i="13"/>
  <c r="Y206" i="13"/>
  <c r="Y205" i="12"/>
  <c r="X205" i="12"/>
  <c r="W205" i="12"/>
  <c r="O206" i="13" l="1"/>
  <c r="D209" i="13"/>
  <c r="BH208" i="13"/>
  <c r="E208" i="13"/>
  <c r="T208" i="13" s="1"/>
  <c r="F208" i="13"/>
  <c r="BG208" i="13"/>
  <c r="C208" i="13"/>
  <c r="AA205" i="12"/>
  <c r="Z205" i="12"/>
  <c r="Z206" i="13"/>
  <c r="AA206" i="13"/>
  <c r="Q206" i="12"/>
  <c r="J206" i="12"/>
  <c r="O206" i="12" s="1"/>
  <c r="S206" i="12"/>
  <c r="I206" i="12"/>
  <c r="R206" i="12"/>
  <c r="X207" i="13"/>
  <c r="W207" i="13"/>
  <c r="Y207" i="13"/>
  <c r="D208" i="12"/>
  <c r="C207" i="12"/>
  <c r="E207" i="12"/>
  <c r="T207" i="12" s="1"/>
  <c r="BI207" i="12"/>
  <c r="BG207" i="12"/>
  <c r="F207" i="12"/>
  <c r="BH207" i="12"/>
  <c r="W206" i="12"/>
  <c r="X206" i="12"/>
  <c r="Y206" i="12"/>
  <c r="J207" i="13"/>
  <c r="Q207" i="13"/>
  <c r="S207" i="13"/>
  <c r="I207" i="13"/>
  <c r="R207" i="13"/>
  <c r="AA206" i="12" l="1"/>
  <c r="Z206" i="12"/>
  <c r="Y207" i="12"/>
  <c r="W207" i="12"/>
  <c r="X207" i="12"/>
  <c r="AA207" i="13"/>
  <c r="Z207" i="13"/>
  <c r="S208" i="13"/>
  <c r="J208" i="13"/>
  <c r="R208" i="13"/>
  <c r="Q208" i="13"/>
  <c r="I208" i="13"/>
  <c r="BG208" i="12"/>
  <c r="BI208" i="12"/>
  <c r="C208" i="12"/>
  <c r="BH208" i="12"/>
  <c r="E208" i="12"/>
  <c r="T208" i="12" s="1"/>
  <c r="D209" i="12"/>
  <c r="F208" i="12"/>
  <c r="O207" i="13"/>
  <c r="Y208" i="13"/>
  <c r="X208" i="13"/>
  <c r="W208" i="13"/>
  <c r="S207" i="12"/>
  <c r="I207" i="12"/>
  <c r="J207" i="12"/>
  <c r="Q207" i="12"/>
  <c r="R207" i="12"/>
  <c r="BH209" i="13"/>
  <c r="F209" i="13"/>
  <c r="BG209" i="13"/>
  <c r="C209" i="13"/>
  <c r="E209" i="13"/>
  <c r="T209" i="13" s="1"/>
  <c r="D210" i="13"/>
  <c r="O207" i="12" l="1"/>
  <c r="Y209" i="13"/>
  <c r="W209" i="13"/>
  <c r="X209" i="13"/>
  <c r="BH210" i="13"/>
  <c r="F210" i="13"/>
  <c r="BG210" i="13"/>
  <c r="C210" i="13"/>
  <c r="D211" i="13"/>
  <c r="E210" i="13"/>
  <c r="T210" i="13" s="1"/>
  <c r="J208" i="12"/>
  <c r="I208" i="12"/>
  <c r="Q208" i="12"/>
  <c r="R208" i="12"/>
  <c r="S208" i="12"/>
  <c r="W208" i="12"/>
  <c r="X208" i="12"/>
  <c r="Y208" i="12"/>
  <c r="I209" i="13"/>
  <c r="R209" i="13"/>
  <c r="Q209" i="13"/>
  <c r="S209" i="13"/>
  <c r="J209" i="13"/>
  <c r="O209" i="13" s="1"/>
  <c r="Z208" i="13"/>
  <c r="AA208" i="13"/>
  <c r="C209" i="12"/>
  <c r="D210" i="12"/>
  <c r="BG209" i="12"/>
  <c r="BH209" i="12"/>
  <c r="BI209" i="12"/>
  <c r="F209" i="12"/>
  <c r="E209" i="12"/>
  <c r="T209" i="12" s="1"/>
  <c r="O208" i="13"/>
  <c r="Z207" i="12"/>
  <c r="AA207" i="12"/>
  <c r="O208" i="12" l="1"/>
  <c r="AA208" i="12"/>
  <c r="Z208" i="12"/>
  <c r="BG211" i="13"/>
  <c r="C211" i="13"/>
  <c r="D212" i="13"/>
  <c r="BH211" i="13"/>
  <c r="F211" i="13"/>
  <c r="E211" i="13"/>
  <c r="T211" i="13" s="1"/>
  <c r="R209" i="12"/>
  <c r="J209" i="12"/>
  <c r="Q209" i="12"/>
  <c r="I209" i="12"/>
  <c r="S209" i="12"/>
  <c r="Y210" i="13"/>
  <c r="W210" i="13"/>
  <c r="X210" i="13"/>
  <c r="AA209" i="13"/>
  <c r="Z209" i="13"/>
  <c r="BG210" i="12"/>
  <c r="BI210" i="12"/>
  <c r="C210" i="12"/>
  <c r="D211" i="12"/>
  <c r="F210" i="12"/>
  <c r="BH210" i="12"/>
  <c r="E210" i="12"/>
  <c r="T210" i="12" s="1"/>
  <c r="X209" i="12"/>
  <c r="W209" i="12"/>
  <c r="Y209" i="12"/>
  <c r="I210" i="13"/>
  <c r="J210" i="13"/>
  <c r="S210" i="13"/>
  <c r="R210" i="13"/>
  <c r="Q210" i="13"/>
  <c r="O210" i="13" l="1"/>
  <c r="O209" i="12"/>
  <c r="Z210" i="13"/>
  <c r="AA210" i="13"/>
  <c r="X211" i="13"/>
  <c r="W211" i="13"/>
  <c r="Y211" i="13"/>
  <c r="R210" i="12"/>
  <c r="I210" i="12"/>
  <c r="J210" i="12"/>
  <c r="Q210" i="12"/>
  <c r="S210" i="12"/>
  <c r="S211" i="13"/>
  <c r="R211" i="13"/>
  <c r="J211" i="13"/>
  <c r="I211" i="13"/>
  <c r="Q211" i="13"/>
  <c r="Z209" i="12"/>
  <c r="AA209" i="12"/>
  <c r="BG211" i="12"/>
  <c r="F211" i="12"/>
  <c r="BH211" i="12"/>
  <c r="D212" i="12"/>
  <c r="C211" i="12"/>
  <c r="BI211" i="12"/>
  <c r="E211" i="12"/>
  <c r="T211" i="12" s="1"/>
  <c r="W210" i="12"/>
  <c r="Y210" i="12"/>
  <c r="X210" i="12"/>
  <c r="E212" i="13"/>
  <c r="T212" i="13" s="1"/>
  <c r="C212" i="13"/>
  <c r="BH212" i="13"/>
  <c r="F212" i="13"/>
  <c r="D213" i="13"/>
  <c r="BG212" i="13"/>
  <c r="D214" i="13" l="1"/>
  <c r="BH213" i="13"/>
  <c r="F213" i="13"/>
  <c r="BG213" i="13"/>
  <c r="C213" i="13"/>
  <c r="E213" i="13"/>
  <c r="T213" i="13" s="1"/>
  <c r="O210" i="12"/>
  <c r="S212" i="13"/>
  <c r="J212" i="13"/>
  <c r="R212" i="13"/>
  <c r="I212" i="13"/>
  <c r="Q212" i="13"/>
  <c r="Z210" i="12"/>
  <c r="AA210" i="12"/>
  <c r="S211" i="12"/>
  <c r="R211" i="12"/>
  <c r="Q211" i="12"/>
  <c r="I211" i="12"/>
  <c r="J211" i="12"/>
  <c r="AA211" i="13"/>
  <c r="Z211" i="13"/>
  <c r="W211" i="12"/>
  <c r="Y211" i="12"/>
  <c r="X211" i="12"/>
  <c r="X212" i="13"/>
  <c r="W212" i="13"/>
  <c r="Y212" i="13"/>
  <c r="F212" i="12"/>
  <c r="BH212" i="12"/>
  <c r="BG212" i="12"/>
  <c r="E212" i="12"/>
  <c r="T212" i="12" s="1"/>
  <c r="D213" i="12"/>
  <c r="BI212" i="12"/>
  <c r="C212" i="12"/>
  <c r="O211" i="13"/>
  <c r="O212" i="13" l="1"/>
  <c r="D214" i="12"/>
  <c r="E213" i="12"/>
  <c r="T213" i="12" s="1"/>
  <c r="BG213" i="12"/>
  <c r="BH213" i="12"/>
  <c r="F213" i="12"/>
  <c r="C213" i="12"/>
  <c r="BI213" i="12"/>
  <c r="S212" i="12"/>
  <c r="I212" i="12"/>
  <c r="Q212" i="12"/>
  <c r="J212" i="12"/>
  <c r="R212" i="12"/>
  <c r="Z211" i="12"/>
  <c r="AA211" i="12"/>
  <c r="O211" i="12"/>
  <c r="Q213" i="13"/>
  <c r="S213" i="13"/>
  <c r="J213" i="13"/>
  <c r="R213" i="13"/>
  <c r="I213" i="13"/>
  <c r="Y212" i="12"/>
  <c r="X212" i="12"/>
  <c r="W212" i="12"/>
  <c r="AA212" i="13"/>
  <c r="Z212" i="13"/>
  <c r="X213" i="13"/>
  <c r="W213" i="13"/>
  <c r="Y213" i="13"/>
  <c r="BG214" i="13"/>
  <c r="F214" i="13"/>
  <c r="E214" i="13"/>
  <c r="T214" i="13" s="1"/>
  <c r="BH214" i="13"/>
  <c r="D215" i="13"/>
  <c r="C214" i="13"/>
  <c r="O213" i="13" l="1"/>
  <c r="AA213" i="13"/>
  <c r="Z213" i="13"/>
  <c r="X214" i="13"/>
  <c r="Y214" i="13"/>
  <c r="W214" i="13"/>
  <c r="J213" i="12"/>
  <c r="O213" i="12" s="1"/>
  <c r="S213" i="12"/>
  <c r="R213" i="12"/>
  <c r="I213" i="12"/>
  <c r="Q213" i="12"/>
  <c r="BG215" i="13"/>
  <c r="F215" i="13"/>
  <c r="E215" i="13"/>
  <c r="T215" i="13" s="1"/>
  <c r="C215" i="13"/>
  <c r="BH215" i="13"/>
  <c r="D216" i="13"/>
  <c r="Z212" i="12"/>
  <c r="AA212" i="12"/>
  <c r="I214" i="13"/>
  <c r="Q214" i="13"/>
  <c r="J214" i="13"/>
  <c r="R214" i="13"/>
  <c r="S214" i="13"/>
  <c r="O212" i="12"/>
  <c r="Y213" i="12"/>
  <c r="X213" i="12"/>
  <c r="W213" i="12"/>
  <c r="BI214" i="12"/>
  <c r="BG214" i="12"/>
  <c r="C214" i="12"/>
  <c r="BH214" i="12"/>
  <c r="D215" i="12"/>
  <c r="E214" i="12"/>
  <c r="T214" i="12" s="1"/>
  <c r="F214" i="12"/>
  <c r="O215" i="13"/>
  <c r="O214" i="13" l="1"/>
  <c r="E215" i="12"/>
  <c r="T215" i="12" s="1"/>
  <c r="F215" i="12"/>
  <c r="C215" i="12"/>
  <c r="BI215" i="12"/>
  <c r="D216" i="12"/>
  <c r="BH215" i="12"/>
  <c r="BG215" i="12"/>
  <c r="J214" i="12"/>
  <c r="Q214" i="12"/>
  <c r="R214" i="12"/>
  <c r="S214" i="12"/>
  <c r="I214" i="12"/>
  <c r="X214" i="12"/>
  <c r="W214" i="12"/>
  <c r="Y214" i="12"/>
  <c r="C216" i="13"/>
  <c r="E216" i="13"/>
  <c r="T216" i="13" s="1"/>
  <c r="BG216" i="13"/>
  <c r="BH216" i="13"/>
  <c r="D217" i="13"/>
  <c r="F216" i="13"/>
  <c r="S215" i="13"/>
  <c r="Q215" i="13"/>
  <c r="J215" i="13"/>
  <c r="R215" i="13"/>
  <c r="I215" i="13"/>
  <c r="AA214" i="13"/>
  <c r="Z214" i="13"/>
  <c r="Y215" i="13"/>
  <c r="W215" i="13"/>
  <c r="X215" i="13"/>
  <c r="AA213" i="12"/>
  <c r="Z213" i="12"/>
  <c r="O214" i="12" l="1"/>
  <c r="W215" i="12"/>
  <c r="Y215" i="12"/>
  <c r="X215" i="12"/>
  <c r="D218" i="13"/>
  <c r="C217" i="13"/>
  <c r="BG217" i="13"/>
  <c r="F217" i="13"/>
  <c r="E217" i="13"/>
  <c r="T217" i="13" s="1"/>
  <c r="BH217" i="13"/>
  <c r="X216" i="13"/>
  <c r="W216" i="13"/>
  <c r="Y216" i="13"/>
  <c r="I215" i="12"/>
  <c r="J215" i="12"/>
  <c r="O215" i="12" s="1"/>
  <c r="S215" i="12"/>
  <c r="R215" i="12"/>
  <c r="Q215" i="12"/>
  <c r="AA215" i="13"/>
  <c r="Z215" i="13"/>
  <c r="J216" i="13"/>
  <c r="O216" i="13" s="1"/>
  <c r="I216" i="13"/>
  <c r="S216" i="13"/>
  <c r="R216" i="13"/>
  <c r="Q216" i="13"/>
  <c r="Z214" i="12"/>
  <c r="AA214" i="12"/>
  <c r="E216" i="12"/>
  <c r="T216" i="12" s="1"/>
  <c r="BG216" i="12"/>
  <c r="F216" i="12"/>
  <c r="BI216" i="12"/>
  <c r="D217" i="12"/>
  <c r="C216" i="12"/>
  <c r="BH216" i="12"/>
  <c r="Z215" i="12" l="1"/>
  <c r="AA215" i="12"/>
  <c r="AA216" i="13"/>
  <c r="Z216" i="13"/>
  <c r="Q216" i="12"/>
  <c r="J216" i="12"/>
  <c r="I216" i="12"/>
  <c r="S216" i="12"/>
  <c r="R216" i="12"/>
  <c r="X217" i="13"/>
  <c r="W217" i="13"/>
  <c r="Y217" i="13"/>
  <c r="Y216" i="12"/>
  <c r="W216" i="12"/>
  <c r="X216" i="12"/>
  <c r="BG218" i="13"/>
  <c r="C218" i="13"/>
  <c r="F218" i="13"/>
  <c r="E218" i="13"/>
  <c r="T218" i="13" s="1"/>
  <c r="BH218" i="13"/>
  <c r="D219" i="13"/>
  <c r="D218" i="12"/>
  <c r="C217" i="12"/>
  <c r="BH217" i="12"/>
  <c r="E217" i="12"/>
  <c r="T217" i="12" s="1"/>
  <c r="BI217" i="12"/>
  <c r="BG217" i="12"/>
  <c r="F217" i="12"/>
  <c r="I217" i="13"/>
  <c r="Q217" i="13"/>
  <c r="J217" i="13"/>
  <c r="S217" i="13"/>
  <c r="R217" i="13"/>
  <c r="O217" i="13" l="1"/>
  <c r="X217" i="12"/>
  <c r="Y217" i="12"/>
  <c r="W217" i="12"/>
  <c r="Z216" i="12"/>
  <c r="AA216" i="12"/>
  <c r="BI218" i="12"/>
  <c r="D219" i="12"/>
  <c r="BH218" i="12"/>
  <c r="F218" i="12"/>
  <c r="E218" i="12"/>
  <c r="T218" i="12" s="1"/>
  <c r="BG218" i="12"/>
  <c r="C218" i="12"/>
  <c r="I218" i="13"/>
  <c r="J218" i="13"/>
  <c r="O218" i="13" s="1"/>
  <c r="S218" i="13"/>
  <c r="R218" i="13"/>
  <c r="Q218" i="13"/>
  <c r="D220" i="13"/>
  <c r="C219" i="13"/>
  <c r="F219" i="13"/>
  <c r="E219" i="13"/>
  <c r="T219" i="13" s="1"/>
  <c r="BH219" i="13"/>
  <c r="BG219" i="13"/>
  <c r="Y218" i="13"/>
  <c r="W218" i="13"/>
  <c r="X218" i="13"/>
  <c r="Z217" i="13"/>
  <c r="AA217" i="13"/>
  <c r="O216" i="12"/>
  <c r="J217" i="12"/>
  <c r="Q217" i="12"/>
  <c r="S217" i="12"/>
  <c r="R217" i="12"/>
  <c r="I217" i="12"/>
  <c r="O217" i="12" l="1"/>
  <c r="Z218" i="13"/>
  <c r="AA218" i="13"/>
  <c r="R219" i="13"/>
  <c r="S219" i="13"/>
  <c r="Q219" i="13"/>
  <c r="J219" i="13"/>
  <c r="I219" i="13"/>
  <c r="X218" i="12"/>
  <c r="W218" i="12"/>
  <c r="Y218" i="12"/>
  <c r="AA217" i="12"/>
  <c r="Z217" i="12"/>
  <c r="X219" i="13"/>
  <c r="Y219" i="13"/>
  <c r="W219" i="13"/>
  <c r="D220" i="12"/>
  <c r="BH219" i="12"/>
  <c r="BI219" i="12"/>
  <c r="F219" i="12"/>
  <c r="C219" i="12"/>
  <c r="BG219" i="12"/>
  <c r="E219" i="12"/>
  <c r="T219" i="12" s="1"/>
  <c r="BG220" i="13"/>
  <c r="C220" i="13"/>
  <c r="F220" i="13"/>
  <c r="BH220" i="13"/>
  <c r="D221" i="13"/>
  <c r="E220" i="13"/>
  <c r="T220" i="13" s="1"/>
  <c r="Q218" i="12"/>
  <c r="S218" i="12"/>
  <c r="R218" i="12"/>
  <c r="I218" i="12"/>
  <c r="J218" i="12"/>
  <c r="O218" i="12" l="1"/>
  <c r="Z218" i="12"/>
  <c r="AA218" i="12"/>
  <c r="BG221" i="13"/>
  <c r="F221" i="13"/>
  <c r="BH221" i="13"/>
  <c r="D222" i="13"/>
  <c r="C221" i="13"/>
  <c r="E221" i="13"/>
  <c r="T221" i="13" s="1"/>
  <c r="S219" i="12"/>
  <c r="R219" i="12"/>
  <c r="J219" i="12"/>
  <c r="Q219" i="12"/>
  <c r="I219" i="12"/>
  <c r="I220" i="13"/>
  <c r="J220" i="13"/>
  <c r="R220" i="13"/>
  <c r="S220" i="13"/>
  <c r="Q220" i="13"/>
  <c r="O219" i="13"/>
  <c r="Y220" i="13"/>
  <c r="X220" i="13"/>
  <c r="W220" i="13"/>
  <c r="W219" i="12"/>
  <c r="X219" i="12"/>
  <c r="Y219" i="12"/>
  <c r="BH220" i="12"/>
  <c r="BG220" i="12"/>
  <c r="BI220" i="12"/>
  <c r="C220" i="12"/>
  <c r="D221" i="12"/>
  <c r="E220" i="12"/>
  <c r="T220" i="12" s="1"/>
  <c r="F220" i="12"/>
  <c r="Z219" i="13"/>
  <c r="AA219" i="13"/>
  <c r="O220" i="13" l="1"/>
  <c r="R220" i="12"/>
  <c r="J220" i="12"/>
  <c r="O220" i="12" s="1"/>
  <c r="Q220" i="12"/>
  <c r="I220" i="12"/>
  <c r="S220" i="12"/>
  <c r="AA220" i="13"/>
  <c r="Z220" i="13"/>
  <c r="Z219" i="12"/>
  <c r="AA219" i="12"/>
  <c r="R221" i="13"/>
  <c r="S221" i="13"/>
  <c r="J221" i="13"/>
  <c r="I221" i="13"/>
  <c r="Q221" i="13"/>
  <c r="BH221" i="12"/>
  <c r="F221" i="12"/>
  <c r="E221" i="12"/>
  <c r="T221" i="12" s="1"/>
  <c r="D222" i="12"/>
  <c r="C221" i="12"/>
  <c r="BG221" i="12"/>
  <c r="BI221" i="12"/>
  <c r="O219" i="12"/>
  <c r="Y221" i="13"/>
  <c r="X221" i="13"/>
  <c r="W221" i="13"/>
  <c r="X220" i="12"/>
  <c r="W220" i="12"/>
  <c r="Y220" i="12"/>
  <c r="E222" i="13"/>
  <c r="T222" i="13" s="1"/>
  <c r="BG222" i="13"/>
  <c r="BH222" i="13"/>
  <c r="D223" i="13"/>
  <c r="C222" i="13"/>
  <c r="F222" i="13"/>
  <c r="Y222" i="13" l="1"/>
  <c r="X222" i="13"/>
  <c r="W222" i="13"/>
  <c r="BH223" i="13"/>
  <c r="D224" i="13"/>
  <c r="F223" i="13"/>
  <c r="C223" i="13"/>
  <c r="E223" i="13"/>
  <c r="T223" i="13" s="1"/>
  <c r="BG223" i="13"/>
  <c r="Z221" i="13"/>
  <c r="AA221" i="13"/>
  <c r="I221" i="12"/>
  <c r="J221" i="12"/>
  <c r="Q221" i="12"/>
  <c r="R221" i="12"/>
  <c r="S221" i="12"/>
  <c r="O221" i="13"/>
  <c r="Y221" i="12"/>
  <c r="X221" i="12"/>
  <c r="W221" i="12"/>
  <c r="J222" i="13"/>
  <c r="S222" i="13"/>
  <c r="R222" i="13"/>
  <c r="I222" i="13"/>
  <c r="Q222" i="13"/>
  <c r="AA220" i="12"/>
  <c r="Z220" i="12"/>
  <c r="BI222" i="12"/>
  <c r="E222" i="12"/>
  <c r="T222" i="12" s="1"/>
  <c r="BG222" i="12"/>
  <c r="C222" i="12"/>
  <c r="BH222" i="12"/>
  <c r="D223" i="12"/>
  <c r="F222" i="12"/>
  <c r="O222" i="13" l="1"/>
  <c r="O221" i="12"/>
  <c r="F223" i="12"/>
  <c r="C223" i="12"/>
  <c r="BI223" i="12"/>
  <c r="BH223" i="12"/>
  <c r="D224" i="12"/>
  <c r="BG223" i="12"/>
  <c r="E223" i="12"/>
  <c r="T223" i="12" s="1"/>
  <c r="AA221" i="12"/>
  <c r="Z221" i="12"/>
  <c r="Y223" i="13"/>
  <c r="X223" i="13"/>
  <c r="W223" i="13"/>
  <c r="X222" i="12"/>
  <c r="W222" i="12"/>
  <c r="Y222" i="12"/>
  <c r="Q222" i="12"/>
  <c r="S222" i="12"/>
  <c r="R222" i="12"/>
  <c r="I222" i="12"/>
  <c r="J222" i="12"/>
  <c r="I223" i="13"/>
  <c r="J223" i="13"/>
  <c r="R223" i="13"/>
  <c r="S223" i="13"/>
  <c r="Q223" i="13"/>
  <c r="Z222" i="13"/>
  <c r="AA222" i="13"/>
  <c r="BG224" i="13"/>
  <c r="C224" i="13"/>
  <c r="F224" i="13"/>
  <c r="E224" i="13"/>
  <c r="T224" i="13" s="1"/>
  <c r="BH224" i="13"/>
  <c r="D225" i="13"/>
  <c r="F225" i="13" l="1"/>
  <c r="BH225" i="13"/>
  <c r="C225" i="13"/>
  <c r="BG225" i="13"/>
  <c r="E225" i="13"/>
  <c r="T225" i="13" s="1"/>
  <c r="D226" i="13"/>
  <c r="D225" i="12"/>
  <c r="BH224" i="12"/>
  <c r="F224" i="12"/>
  <c r="C224" i="12"/>
  <c r="E224" i="12"/>
  <c r="T224" i="12" s="1"/>
  <c r="BI224" i="12"/>
  <c r="BG224" i="12"/>
  <c r="O222" i="12"/>
  <c r="Z223" i="13"/>
  <c r="AA223" i="13"/>
  <c r="Q224" i="13"/>
  <c r="J224" i="13"/>
  <c r="S224" i="13"/>
  <c r="I224" i="13"/>
  <c r="R224" i="13"/>
  <c r="O223" i="13"/>
  <c r="Y223" i="12"/>
  <c r="W223" i="12"/>
  <c r="X223" i="12"/>
  <c r="X224" i="13"/>
  <c r="W224" i="13"/>
  <c r="Y224" i="13"/>
  <c r="AA222" i="12"/>
  <c r="Z222" i="12"/>
  <c r="I223" i="12"/>
  <c r="R223" i="12"/>
  <c r="J223" i="12"/>
  <c r="O223" i="12" s="1"/>
  <c r="S223" i="12"/>
  <c r="Q223" i="12"/>
  <c r="O224" i="13" l="1"/>
  <c r="AA223" i="12"/>
  <c r="Z223" i="12"/>
  <c r="J224" i="12"/>
  <c r="Q224" i="12"/>
  <c r="R224" i="12"/>
  <c r="I224" i="12"/>
  <c r="S224" i="12"/>
  <c r="W225" i="13"/>
  <c r="X225" i="13"/>
  <c r="Y225" i="13"/>
  <c r="D226" i="12"/>
  <c r="BH225" i="12"/>
  <c r="E225" i="12"/>
  <c r="T225" i="12" s="1"/>
  <c r="BI225" i="12"/>
  <c r="F225" i="12"/>
  <c r="BG225" i="12"/>
  <c r="C225" i="12"/>
  <c r="Z224" i="13"/>
  <c r="AA224" i="13"/>
  <c r="Y224" i="12"/>
  <c r="X224" i="12"/>
  <c r="W224" i="12"/>
  <c r="F226" i="13"/>
  <c r="E226" i="13"/>
  <c r="T226" i="13" s="1"/>
  <c r="BH226" i="13"/>
  <c r="D227" i="13"/>
  <c r="BG226" i="13"/>
  <c r="C226" i="13"/>
  <c r="I225" i="13"/>
  <c r="R225" i="13"/>
  <c r="Q225" i="13"/>
  <c r="S225" i="13"/>
  <c r="J225" i="13"/>
  <c r="O225" i="13" s="1"/>
  <c r="O224" i="12" l="1"/>
  <c r="Z224" i="12"/>
  <c r="AA224" i="12"/>
  <c r="X225" i="12"/>
  <c r="Y225" i="12"/>
  <c r="W225" i="12"/>
  <c r="W226" i="13"/>
  <c r="Y226" i="13"/>
  <c r="X226" i="13"/>
  <c r="D227" i="12"/>
  <c r="BH226" i="12"/>
  <c r="E226" i="12"/>
  <c r="T226" i="12" s="1"/>
  <c r="BI226" i="12"/>
  <c r="F226" i="12"/>
  <c r="BG226" i="12"/>
  <c r="C226" i="12"/>
  <c r="R226" i="13"/>
  <c r="J226" i="13"/>
  <c r="S226" i="13"/>
  <c r="Q226" i="13"/>
  <c r="I226" i="13"/>
  <c r="BH227" i="13"/>
  <c r="D228" i="13"/>
  <c r="BG227" i="13"/>
  <c r="C227" i="13"/>
  <c r="F227" i="13"/>
  <c r="E227" i="13"/>
  <c r="T227" i="13" s="1"/>
  <c r="I225" i="12"/>
  <c r="Q225" i="12"/>
  <c r="J225" i="12"/>
  <c r="O225" i="12" s="1"/>
  <c r="R225" i="12"/>
  <c r="S225" i="12"/>
  <c r="Z225" i="13"/>
  <c r="AA225" i="13"/>
  <c r="C229" i="13"/>
  <c r="X226" i="12" l="1"/>
  <c r="Y226" i="12"/>
  <c r="W226" i="12"/>
  <c r="Z225" i="12"/>
  <c r="AA225" i="12"/>
  <c r="I226" i="12"/>
  <c r="Q226" i="12"/>
  <c r="J226" i="12"/>
  <c r="O226" i="12" s="1"/>
  <c r="R226" i="12"/>
  <c r="S226" i="12"/>
  <c r="F228" i="13"/>
  <c r="C228" i="13"/>
  <c r="BG228" i="13"/>
  <c r="E228" i="13"/>
  <c r="T228" i="13" s="1"/>
  <c r="BH228" i="13"/>
  <c r="D229" i="13"/>
  <c r="D228" i="12"/>
  <c r="BH227" i="12"/>
  <c r="E227" i="12"/>
  <c r="T227" i="12" s="1"/>
  <c r="BI227" i="12"/>
  <c r="F227" i="12"/>
  <c r="BG227" i="12"/>
  <c r="C227" i="12"/>
  <c r="W227" i="13"/>
  <c r="X227" i="13"/>
  <c r="Y227" i="13"/>
  <c r="I227" i="13"/>
  <c r="Q227" i="13"/>
  <c r="S227" i="13"/>
  <c r="J227" i="13"/>
  <c r="R227" i="13"/>
  <c r="O226" i="13"/>
  <c r="AA226" i="13"/>
  <c r="Z226" i="13"/>
  <c r="W229" i="13"/>
  <c r="Y229" i="13"/>
  <c r="X229" i="13"/>
  <c r="O227" i="13" l="1"/>
  <c r="X227" i="12"/>
  <c r="Y227" i="12"/>
  <c r="W227" i="12"/>
  <c r="AA227" i="13"/>
  <c r="Z227" i="13"/>
  <c r="D229" i="12"/>
  <c r="BH228" i="12"/>
  <c r="E228" i="12"/>
  <c r="T228" i="12" s="1"/>
  <c r="BI228" i="12"/>
  <c r="F228" i="12"/>
  <c r="BG228" i="12"/>
  <c r="C228" i="12"/>
  <c r="BG229" i="13"/>
  <c r="BH229" i="13"/>
  <c r="D230" i="13"/>
  <c r="F229" i="13"/>
  <c r="E229" i="13"/>
  <c r="T229" i="13" s="1"/>
  <c r="W228" i="13"/>
  <c r="Y228" i="13"/>
  <c r="X228" i="13"/>
  <c r="I227" i="12"/>
  <c r="Q227" i="12"/>
  <c r="J227" i="12"/>
  <c r="R227" i="12"/>
  <c r="S227" i="12"/>
  <c r="I228" i="13"/>
  <c r="S228" i="13"/>
  <c r="Q228" i="13"/>
  <c r="J228" i="13"/>
  <c r="O228" i="13" s="1"/>
  <c r="R228" i="13"/>
  <c r="Z226" i="12"/>
  <c r="AA226" i="12"/>
  <c r="O229" i="13"/>
  <c r="Z229" i="13"/>
  <c r="AA229" i="13"/>
  <c r="O227" i="12" l="1"/>
  <c r="AA228" i="13"/>
  <c r="Z228" i="13"/>
  <c r="I229" i="13"/>
  <c r="R229" i="13"/>
  <c r="S229" i="13"/>
  <c r="Q229" i="13"/>
  <c r="J229" i="13"/>
  <c r="BH230" i="13"/>
  <c r="D231" i="13"/>
  <c r="BG230" i="13"/>
  <c r="C230" i="13"/>
  <c r="F230" i="13"/>
  <c r="E230" i="13"/>
  <c r="T230" i="13" s="1"/>
  <c r="X228" i="12"/>
  <c r="Y228" i="12"/>
  <c r="W228" i="12"/>
  <c r="D230" i="12"/>
  <c r="P229" i="12"/>
  <c r="T229" i="12"/>
  <c r="BH229" i="12"/>
  <c r="E229" i="12"/>
  <c r="BI229" i="12"/>
  <c r="F229" i="12"/>
  <c r="O229" i="12"/>
  <c r="BG229" i="12"/>
  <c r="I228" i="12"/>
  <c r="Q228" i="12"/>
  <c r="J228" i="12"/>
  <c r="R228" i="12"/>
  <c r="S228" i="12"/>
  <c r="Z227" i="12"/>
  <c r="AA227" i="12"/>
  <c r="I229" i="12" l="1"/>
  <c r="Q229" i="12"/>
  <c r="J229" i="12"/>
  <c r="R229" i="12"/>
  <c r="S229" i="12"/>
  <c r="BG231" i="13"/>
  <c r="F231" i="13"/>
  <c r="BH231" i="13"/>
  <c r="D232" i="13"/>
  <c r="C231" i="13"/>
  <c r="E231" i="13"/>
  <c r="T231" i="13" s="1"/>
  <c r="O228" i="12"/>
  <c r="J230" i="13"/>
  <c r="O230" i="13" s="1"/>
  <c r="I230" i="13"/>
  <c r="R230" i="13"/>
  <c r="Q230" i="13"/>
  <c r="S230" i="13"/>
  <c r="D231" i="12"/>
  <c r="BH230" i="12"/>
  <c r="E230" i="12"/>
  <c r="T230" i="12" s="1"/>
  <c r="BI230" i="12"/>
  <c r="F230" i="12"/>
  <c r="BG230" i="12"/>
  <c r="C230" i="12"/>
  <c r="Y230" i="13"/>
  <c r="W230" i="13"/>
  <c r="X230" i="13"/>
  <c r="Z228" i="12"/>
  <c r="AA228" i="12"/>
  <c r="AA230" i="13" l="1"/>
  <c r="Z230" i="13"/>
  <c r="I230" i="12"/>
  <c r="Q230" i="12"/>
  <c r="J230" i="12"/>
  <c r="R230" i="12"/>
  <c r="S230" i="12"/>
  <c r="BH232" i="13"/>
  <c r="D233" i="13"/>
  <c r="BG232" i="13"/>
  <c r="C232" i="13"/>
  <c r="F232" i="13"/>
  <c r="E232" i="13"/>
  <c r="T232" i="13" s="1"/>
  <c r="X230" i="12"/>
  <c r="Y230" i="12"/>
  <c r="W230" i="12"/>
  <c r="D232" i="12"/>
  <c r="BH231" i="12"/>
  <c r="E231" i="12"/>
  <c r="T231" i="12" s="1"/>
  <c r="BI231" i="12"/>
  <c r="F231" i="12"/>
  <c r="BG231" i="12"/>
  <c r="C231" i="12"/>
  <c r="I231" i="13"/>
  <c r="R231" i="13"/>
  <c r="Q231" i="13"/>
  <c r="S231" i="13"/>
  <c r="J231" i="13"/>
  <c r="W231" i="13"/>
  <c r="X231" i="13"/>
  <c r="Y231" i="13"/>
  <c r="O231" i="13" l="1"/>
  <c r="D233" i="12"/>
  <c r="BH232" i="12"/>
  <c r="E232" i="12"/>
  <c r="T232" i="12" s="1"/>
  <c r="BI232" i="12"/>
  <c r="F232" i="12"/>
  <c r="BG232" i="12"/>
  <c r="C232" i="12"/>
  <c r="Z230" i="12"/>
  <c r="AA230" i="12"/>
  <c r="BH233" i="13"/>
  <c r="D234" i="13"/>
  <c r="F233" i="13"/>
  <c r="C233" i="13"/>
  <c r="E233" i="13"/>
  <c r="T233" i="13" s="1"/>
  <c r="BG233" i="13"/>
  <c r="O230" i="12"/>
  <c r="Z231" i="13"/>
  <c r="AA231" i="13"/>
  <c r="I231" i="12"/>
  <c r="Q231" i="12"/>
  <c r="J231" i="12"/>
  <c r="O231" i="12" s="1"/>
  <c r="R231" i="12"/>
  <c r="S231" i="12"/>
  <c r="Q232" i="13"/>
  <c r="I232" i="13"/>
  <c r="S232" i="13"/>
  <c r="R232" i="13"/>
  <c r="J232" i="13"/>
  <c r="O232" i="13" s="1"/>
  <c r="X231" i="12"/>
  <c r="Y231" i="12"/>
  <c r="W231" i="12"/>
  <c r="Y232" i="13"/>
  <c r="X232" i="13"/>
  <c r="W232" i="13"/>
  <c r="AA232" i="13" l="1"/>
  <c r="Z232" i="13"/>
  <c r="X233" i="13"/>
  <c r="Y233" i="13"/>
  <c r="W233" i="13"/>
  <c r="Z231" i="12"/>
  <c r="AA231" i="12"/>
  <c r="I233" i="13"/>
  <c r="Q233" i="13"/>
  <c r="J233" i="13"/>
  <c r="R233" i="13"/>
  <c r="S233" i="13"/>
  <c r="F234" i="13"/>
  <c r="BG234" i="13"/>
  <c r="E234" i="13"/>
  <c r="T234" i="13" s="1"/>
  <c r="BH234" i="13"/>
  <c r="D235" i="13"/>
  <c r="C234" i="13"/>
  <c r="I232" i="12"/>
  <c r="Q232" i="12"/>
  <c r="J232" i="12"/>
  <c r="R232" i="12"/>
  <c r="S232" i="12"/>
  <c r="X232" i="12"/>
  <c r="Y232" i="12"/>
  <c r="W232" i="12"/>
  <c r="D234" i="12"/>
  <c r="BH233" i="12"/>
  <c r="E233" i="12"/>
  <c r="T233" i="12" s="1"/>
  <c r="BI233" i="12"/>
  <c r="F233" i="12"/>
  <c r="BG233" i="12"/>
  <c r="C233" i="12"/>
  <c r="O233" i="13" l="1"/>
  <c r="I233" i="12"/>
  <c r="Q233" i="12"/>
  <c r="J233" i="12"/>
  <c r="R233" i="12"/>
  <c r="S233" i="12"/>
  <c r="Y234" i="13"/>
  <c r="W234" i="13"/>
  <c r="X234" i="13"/>
  <c r="X233" i="12"/>
  <c r="Y233" i="12"/>
  <c r="W233" i="12"/>
  <c r="O232" i="12"/>
  <c r="E235" i="13"/>
  <c r="T235" i="13" s="1"/>
  <c r="BG235" i="13"/>
  <c r="C235" i="13"/>
  <c r="BH235" i="13"/>
  <c r="D236" i="13"/>
  <c r="F235" i="13"/>
  <c r="Q234" i="13"/>
  <c r="S234" i="13"/>
  <c r="I234" i="13"/>
  <c r="J234" i="13"/>
  <c r="R234" i="13"/>
  <c r="Z233" i="13"/>
  <c r="AA233" i="13"/>
  <c r="D235" i="12"/>
  <c r="BH234" i="12"/>
  <c r="E234" i="12"/>
  <c r="T234" i="12" s="1"/>
  <c r="BI234" i="12"/>
  <c r="F234" i="12"/>
  <c r="BG234" i="12"/>
  <c r="C234" i="12"/>
  <c r="Z232" i="12"/>
  <c r="AA232" i="12"/>
  <c r="O234" i="13" l="1"/>
  <c r="Z233" i="12"/>
  <c r="AA233" i="12"/>
  <c r="D236" i="12"/>
  <c r="BH235" i="12"/>
  <c r="E235" i="12"/>
  <c r="T235" i="12" s="1"/>
  <c r="BI235" i="12"/>
  <c r="F235" i="12"/>
  <c r="BG235" i="12"/>
  <c r="C235" i="12"/>
  <c r="R235" i="13"/>
  <c r="I235" i="13"/>
  <c r="J235" i="13"/>
  <c r="S235" i="13"/>
  <c r="Q235" i="13"/>
  <c r="O233" i="12"/>
  <c r="I234" i="12"/>
  <c r="Q234" i="12"/>
  <c r="J234" i="12"/>
  <c r="O234" i="12" s="1"/>
  <c r="R234" i="12"/>
  <c r="S234" i="12"/>
  <c r="C236" i="13"/>
  <c r="BG236" i="13"/>
  <c r="D237" i="13"/>
  <c r="E236" i="13"/>
  <c r="T236" i="13" s="1"/>
  <c r="BH236" i="13"/>
  <c r="F236" i="13"/>
  <c r="X234" i="12"/>
  <c r="Y234" i="12"/>
  <c r="W234" i="12"/>
  <c r="X235" i="13"/>
  <c r="W235" i="13"/>
  <c r="Y235" i="13"/>
  <c r="AA234" i="13"/>
  <c r="Z234" i="13"/>
  <c r="O235" i="13" l="1"/>
  <c r="Y236" i="13"/>
  <c r="X236" i="13"/>
  <c r="W236" i="13"/>
  <c r="I235" i="12"/>
  <c r="Q235" i="12"/>
  <c r="J235" i="12"/>
  <c r="R235" i="12"/>
  <c r="S235" i="12"/>
  <c r="X235" i="12"/>
  <c r="Y235" i="12"/>
  <c r="W235" i="12"/>
  <c r="S236" i="13"/>
  <c r="J236" i="13"/>
  <c r="I236" i="13"/>
  <c r="Q236" i="13"/>
  <c r="R236" i="13"/>
  <c r="AA235" i="13"/>
  <c r="Z235" i="13"/>
  <c r="Z234" i="12"/>
  <c r="AA234" i="12"/>
  <c r="D238" i="13"/>
  <c r="F237" i="13"/>
  <c r="BH237" i="13"/>
  <c r="E237" i="13"/>
  <c r="T237" i="13" s="1"/>
  <c r="BG237" i="13"/>
  <c r="C237" i="13"/>
  <c r="D237" i="12"/>
  <c r="T236" i="12"/>
  <c r="BH236" i="12"/>
  <c r="E236" i="12"/>
  <c r="BI236" i="12"/>
  <c r="F236" i="12"/>
  <c r="BG236" i="12"/>
  <c r="C236" i="12"/>
  <c r="O235" i="12" l="1"/>
  <c r="I236" i="12"/>
  <c r="Q236" i="12"/>
  <c r="J236" i="12"/>
  <c r="O236" i="12" s="1"/>
  <c r="R236" i="12"/>
  <c r="S236" i="12"/>
  <c r="X236" i="12"/>
  <c r="Y236" i="12"/>
  <c r="W236" i="12"/>
  <c r="X237" i="13"/>
  <c r="Y237" i="13"/>
  <c r="W237" i="13"/>
  <c r="I237" i="13"/>
  <c r="J237" i="13"/>
  <c r="S237" i="13"/>
  <c r="Q237" i="13"/>
  <c r="R237" i="13"/>
  <c r="D238" i="12"/>
  <c r="BH237" i="12"/>
  <c r="E237" i="12"/>
  <c r="T237" i="12" s="1"/>
  <c r="BI237" i="12"/>
  <c r="F237" i="12"/>
  <c r="BG237" i="12"/>
  <c r="C237" i="12"/>
  <c r="F238" i="13"/>
  <c r="BG238" i="13"/>
  <c r="C238" i="13"/>
  <c r="D239" i="13"/>
  <c r="BH238" i="13"/>
  <c r="E238" i="13"/>
  <c r="T238" i="13" s="1"/>
  <c r="O236" i="13"/>
  <c r="Z235" i="12"/>
  <c r="AA235" i="12"/>
  <c r="AA236" i="13"/>
  <c r="Z236" i="13"/>
  <c r="D239" i="12" l="1"/>
  <c r="BH238" i="12"/>
  <c r="E238" i="12"/>
  <c r="T238" i="12" s="1"/>
  <c r="BI238" i="12"/>
  <c r="F238" i="12"/>
  <c r="BG238" i="12"/>
  <c r="C238" i="12"/>
  <c r="D240" i="13"/>
  <c r="BG239" i="13"/>
  <c r="F239" i="13"/>
  <c r="C239" i="13"/>
  <c r="BH239" i="13"/>
  <c r="E239" i="13"/>
  <c r="T239" i="13" s="1"/>
  <c r="Y238" i="13"/>
  <c r="W238" i="13"/>
  <c r="X238" i="13"/>
  <c r="I237" i="12"/>
  <c r="Q237" i="12"/>
  <c r="J237" i="12"/>
  <c r="R237" i="12"/>
  <c r="S237" i="12"/>
  <c r="S238" i="13"/>
  <c r="J238" i="13"/>
  <c r="R238" i="13"/>
  <c r="I238" i="13"/>
  <c r="Q238" i="13"/>
  <c r="X237" i="12"/>
  <c r="Y237" i="12"/>
  <c r="W237" i="12"/>
  <c r="O237" i="13"/>
  <c r="Z237" i="13"/>
  <c r="AA237" i="13"/>
  <c r="Z236" i="12"/>
  <c r="AA236" i="12"/>
  <c r="Z238" i="13" l="1"/>
  <c r="AA238" i="13"/>
  <c r="F240" i="13"/>
  <c r="BG240" i="13"/>
  <c r="C240" i="13"/>
  <c r="BH240" i="13"/>
  <c r="E240" i="13"/>
  <c r="T240" i="13" s="1"/>
  <c r="D241" i="13"/>
  <c r="X238" i="12"/>
  <c r="Y238" i="12"/>
  <c r="W238" i="12"/>
  <c r="Z237" i="12"/>
  <c r="AA237" i="12"/>
  <c r="O238" i="13"/>
  <c r="O237" i="12"/>
  <c r="X239" i="13"/>
  <c r="W239" i="13"/>
  <c r="Y239" i="13"/>
  <c r="D240" i="12"/>
  <c r="BH239" i="12"/>
  <c r="E239" i="12"/>
  <c r="T239" i="12" s="1"/>
  <c r="BI239" i="12"/>
  <c r="F239" i="12"/>
  <c r="BG239" i="12"/>
  <c r="C239" i="12"/>
  <c r="Q239" i="13"/>
  <c r="S239" i="13"/>
  <c r="I239" i="13"/>
  <c r="J239" i="13"/>
  <c r="R239" i="13"/>
  <c r="I238" i="12"/>
  <c r="Q238" i="12"/>
  <c r="J238" i="12"/>
  <c r="R238" i="12"/>
  <c r="S238" i="12"/>
  <c r="O239" i="13" l="1"/>
  <c r="O238" i="12"/>
  <c r="X239" i="12"/>
  <c r="Y239" i="12"/>
  <c r="W239" i="12"/>
  <c r="Z239" i="13"/>
  <c r="AA239" i="13"/>
  <c r="Z238" i="12"/>
  <c r="AA238" i="12"/>
  <c r="X240" i="13"/>
  <c r="Y240" i="13"/>
  <c r="W240" i="13"/>
  <c r="D241" i="12"/>
  <c r="BH240" i="12"/>
  <c r="E240" i="12"/>
  <c r="T240" i="12" s="1"/>
  <c r="BI240" i="12"/>
  <c r="F240" i="12"/>
  <c r="BG240" i="12"/>
  <c r="C240" i="12"/>
  <c r="BG241" i="13"/>
  <c r="F241" i="13"/>
  <c r="D242" i="13"/>
  <c r="C241" i="13"/>
  <c r="BH241" i="13"/>
  <c r="E241" i="13"/>
  <c r="T241" i="13" s="1"/>
  <c r="I240" i="13"/>
  <c r="Q240" i="13"/>
  <c r="J240" i="13"/>
  <c r="S240" i="13"/>
  <c r="R240" i="13"/>
  <c r="I239" i="12"/>
  <c r="Q239" i="12"/>
  <c r="J239" i="12"/>
  <c r="R239" i="12"/>
  <c r="S239" i="12"/>
  <c r="R241" i="13" l="1"/>
  <c r="I241" i="13"/>
  <c r="J241" i="13"/>
  <c r="O241" i="13" s="1"/>
  <c r="Q241" i="13"/>
  <c r="S241" i="13"/>
  <c r="X240" i="12"/>
  <c r="Y240" i="12"/>
  <c r="W240" i="12"/>
  <c r="Z240" i="13"/>
  <c r="AA240" i="13"/>
  <c r="Z239" i="12"/>
  <c r="AA239" i="12"/>
  <c r="O239" i="12"/>
  <c r="O240" i="13"/>
  <c r="D242" i="12"/>
  <c r="BH241" i="12"/>
  <c r="E241" i="12"/>
  <c r="T241" i="12" s="1"/>
  <c r="BI241" i="12"/>
  <c r="F241" i="12"/>
  <c r="BG241" i="12"/>
  <c r="C241" i="12"/>
  <c r="Y241" i="13"/>
  <c r="W241" i="13"/>
  <c r="X241" i="13"/>
  <c r="D243" i="13"/>
  <c r="BG242" i="13"/>
  <c r="C242" i="13"/>
  <c r="F242" i="13"/>
  <c r="BH242" i="13"/>
  <c r="E242" i="13"/>
  <c r="T242" i="13" s="1"/>
  <c r="I240" i="12"/>
  <c r="Q240" i="12"/>
  <c r="J240" i="12"/>
  <c r="O240" i="12" s="1"/>
  <c r="R240" i="12"/>
  <c r="S240" i="12"/>
  <c r="D244" i="13" l="1"/>
  <c r="BH243" i="13"/>
  <c r="E243" i="13"/>
  <c r="T243" i="13" s="1"/>
  <c r="BG243" i="13"/>
  <c r="C243" i="13"/>
  <c r="F243" i="13"/>
  <c r="I241" i="12"/>
  <c r="Q241" i="12"/>
  <c r="J241" i="12"/>
  <c r="R241" i="12"/>
  <c r="S241" i="12"/>
  <c r="Z240" i="12"/>
  <c r="AA240" i="12"/>
  <c r="Z241" i="13"/>
  <c r="AA241" i="13"/>
  <c r="X241" i="12"/>
  <c r="Y241" i="12"/>
  <c r="W241" i="12"/>
  <c r="J242" i="13"/>
  <c r="O242" i="13" s="1"/>
  <c r="R242" i="13"/>
  <c r="I242" i="13"/>
  <c r="Q242" i="13"/>
  <c r="S242" i="13"/>
  <c r="X242" i="13"/>
  <c r="Y242" i="13"/>
  <c r="W242" i="13"/>
  <c r="D243" i="12"/>
  <c r="BH242" i="12"/>
  <c r="E242" i="12"/>
  <c r="T242" i="12" s="1"/>
  <c r="BI242" i="12"/>
  <c r="F242" i="12"/>
  <c r="BG242" i="12"/>
  <c r="C242" i="12"/>
  <c r="O243" i="13"/>
  <c r="I242" i="12" l="1"/>
  <c r="Q242" i="12"/>
  <c r="J242" i="12"/>
  <c r="R242" i="12"/>
  <c r="S242" i="12"/>
  <c r="X242" i="12"/>
  <c r="Y242" i="12"/>
  <c r="W242" i="12"/>
  <c r="Z242" i="13"/>
  <c r="AA242" i="13"/>
  <c r="S243" i="13"/>
  <c r="Q243" i="13"/>
  <c r="J243" i="13"/>
  <c r="I243" i="13"/>
  <c r="R243" i="13"/>
  <c r="D244" i="12"/>
  <c r="P243" i="12"/>
  <c r="T243" i="12"/>
  <c r="BH243" i="12"/>
  <c r="E243" i="12"/>
  <c r="BI243" i="12"/>
  <c r="F243" i="12"/>
  <c r="O243" i="12"/>
  <c r="BG243" i="12"/>
  <c r="C243" i="12"/>
  <c r="O241" i="12"/>
  <c r="X243" i="13"/>
  <c r="W243" i="13"/>
  <c r="Y243" i="13"/>
  <c r="F244" i="13"/>
  <c r="BH244" i="13"/>
  <c r="E244" i="13"/>
  <c r="T244" i="13" s="1"/>
  <c r="D245" i="13"/>
  <c r="BG244" i="13"/>
  <c r="C244" i="13"/>
  <c r="Z241" i="12"/>
  <c r="AA241" i="12"/>
  <c r="W244" i="13" l="1"/>
  <c r="Y244" i="13"/>
  <c r="X244" i="13"/>
  <c r="Z243" i="13"/>
  <c r="AA243" i="13"/>
  <c r="S244" i="13"/>
  <c r="I244" i="13"/>
  <c r="Q244" i="13"/>
  <c r="R244" i="13"/>
  <c r="J244" i="13"/>
  <c r="I243" i="12"/>
  <c r="Q243" i="12"/>
  <c r="J243" i="12"/>
  <c r="R243" i="12"/>
  <c r="S243" i="12"/>
  <c r="O242" i="12"/>
  <c r="BG245" i="13"/>
  <c r="F245" i="13"/>
  <c r="BH245" i="13"/>
  <c r="E245" i="13"/>
  <c r="T245" i="13" s="1"/>
  <c r="D246" i="13"/>
  <c r="C245" i="13"/>
  <c r="X243" i="12"/>
  <c r="Y243" i="12"/>
  <c r="W243" i="12"/>
  <c r="Z242" i="12"/>
  <c r="AA242" i="12"/>
  <c r="D245" i="12"/>
  <c r="BH244" i="12"/>
  <c r="E244" i="12"/>
  <c r="T244" i="12" s="1"/>
  <c r="BI244" i="12"/>
  <c r="F244" i="12"/>
  <c r="BG244" i="12"/>
  <c r="C244" i="12"/>
  <c r="O244" i="13" l="1"/>
  <c r="I244" i="12"/>
  <c r="Q244" i="12"/>
  <c r="J244" i="12"/>
  <c r="R244" i="12"/>
  <c r="S244" i="12"/>
  <c r="X244" i="12"/>
  <c r="Y244" i="12"/>
  <c r="W244" i="12"/>
  <c r="Z243" i="12"/>
  <c r="AA243" i="12"/>
  <c r="BG245" i="12"/>
  <c r="D246" i="12"/>
  <c r="BH245" i="12"/>
  <c r="E245" i="12"/>
  <c r="T245" i="12" s="1"/>
  <c r="BI245" i="12"/>
  <c r="F245" i="12"/>
  <c r="C245" i="12"/>
  <c r="Y245" i="13"/>
  <c r="X245" i="13"/>
  <c r="W245" i="13"/>
  <c r="Q245" i="13"/>
  <c r="S245" i="13"/>
  <c r="J245" i="13"/>
  <c r="I245" i="13"/>
  <c r="R245" i="13"/>
  <c r="D247" i="13"/>
  <c r="C246" i="13"/>
  <c r="BG246" i="13"/>
  <c r="BH246" i="13"/>
  <c r="F246" i="13"/>
  <c r="E246" i="13"/>
  <c r="T246" i="13" s="1"/>
  <c r="Z244" i="13"/>
  <c r="AA244" i="13"/>
  <c r="O245" i="13" l="1"/>
  <c r="O244" i="12"/>
  <c r="J246" i="13"/>
  <c r="R246" i="13"/>
  <c r="I246" i="13"/>
  <c r="S246" i="13"/>
  <c r="Q246" i="13"/>
  <c r="W246" i="13"/>
  <c r="Y246" i="13"/>
  <c r="X246" i="13"/>
  <c r="AA245" i="13"/>
  <c r="Z245" i="13"/>
  <c r="Z244" i="12"/>
  <c r="AA244" i="12"/>
  <c r="BG246" i="12"/>
  <c r="D247" i="12"/>
  <c r="BH246" i="12"/>
  <c r="E246" i="12"/>
  <c r="T246" i="12" s="1"/>
  <c r="BI246" i="12"/>
  <c r="F246" i="12"/>
  <c r="C246" i="12"/>
  <c r="BG247" i="13"/>
  <c r="T247" i="13"/>
  <c r="BH247" i="13"/>
  <c r="E247" i="13"/>
  <c r="D248" i="13"/>
  <c r="F247" i="13"/>
  <c r="C247" i="13"/>
  <c r="W245" i="12"/>
  <c r="X245" i="12"/>
  <c r="Y245" i="12"/>
  <c r="S245" i="12"/>
  <c r="I245" i="12"/>
  <c r="Q245" i="12"/>
  <c r="J245" i="12"/>
  <c r="O245" i="12" s="1"/>
  <c r="R245" i="12"/>
  <c r="P19" i="12"/>
  <c r="P33" i="12"/>
  <c r="P47" i="12"/>
  <c r="P61" i="12"/>
  <c r="P103" i="12"/>
  <c r="P117" i="12"/>
  <c r="P131" i="12"/>
  <c r="P173" i="12"/>
  <c r="P201" i="12"/>
  <c r="P215" i="12"/>
  <c r="O246" i="13" l="1"/>
  <c r="S247" i="13"/>
  <c r="I247" i="13"/>
  <c r="Q247" i="13"/>
  <c r="J247" i="13"/>
  <c r="R247" i="13"/>
  <c r="BG247" i="12"/>
  <c r="D248" i="12"/>
  <c r="BH247" i="12"/>
  <c r="E247" i="12"/>
  <c r="T247" i="12" s="1"/>
  <c r="BI247" i="12"/>
  <c r="F247" i="12"/>
  <c r="C247" i="12"/>
  <c r="AA245" i="12"/>
  <c r="Z245" i="12"/>
  <c r="D249" i="13"/>
  <c r="E248" i="13"/>
  <c r="T248" i="13" s="1"/>
  <c r="F248" i="13"/>
  <c r="BG248" i="13"/>
  <c r="BH248" i="13"/>
  <c r="C248" i="13"/>
  <c r="W246" i="12"/>
  <c r="X246" i="12"/>
  <c r="Y246" i="12"/>
  <c r="S246" i="12"/>
  <c r="I246" i="12"/>
  <c r="Q246" i="12"/>
  <c r="J246" i="12"/>
  <c r="R246" i="12"/>
  <c r="W247" i="13"/>
  <c r="X247" i="13"/>
  <c r="Y247" i="13"/>
  <c r="AA246" i="13"/>
  <c r="Z246" i="13"/>
  <c r="P75" i="12"/>
  <c r="P89" i="12"/>
  <c r="P145" i="12"/>
  <c r="P187" i="12"/>
  <c r="AA247" i="13" l="1"/>
  <c r="Z247" i="13"/>
  <c r="O246" i="12"/>
  <c r="Y248" i="13"/>
  <c r="W248" i="13"/>
  <c r="X248" i="13"/>
  <c r="BG248" i="12"/>
  <c r="D249" i="12"/>
  <c r="BH248" i="12"/>
  <c r="E248" i="12"/>
  <c r="T248" i="12" s="1"/>
  <c r="BI248" i="12"/>
  <c r="F248" i="12"/>
  <c r="C248" i="12"/>
  <c r="O247" i="13"/>
  <c r="S248" i="13"/>
  <c r="I248" i="13"/>
  <c r="Q248" i="13"/>
  <c r="J248" i="13"/>
  <c r="R248" i="13"/>
  <c r="W247" i="12"/>
  <c r="X247" i="12"/>
  <c r="Y247" i="12"/>
  <c r="AA246" i="12"/>
  <c r="Z246" i="12"/>
  <c r="S247" i="12"/>
  <c r="I247" i="12"/>
  <c r="Q247" i="12"/>
  <c r="J247" i="12"/>
  <c r="R247" i="12"/>
  <c r="D250" i="13"/>
  <c r="E249" i="13"/>
  <c r="T249" i="13" s="1"/>
  <c r="F249" i="13"/>
  <c r="BH249" i="13"/>
  <c r="BG249" i="13"/>
  <c r="C249" i="13"/>
  <c r="BG249" i="12" l="1"/>
  <c r="D250" i="12"/>
  <c r="BH249" i="12"/>
  <c r="E249" i="12"/>
  <c r="T249" i="12" s="1"/>
  <c r="BI249" i="12"/>
  <c r="F249" i="12"/>
  <c r="C249" i="12"/>
  <c r="Z248" i="13"/>
  <c r="AA248" i="13"/>
  <c r="I249" i="13"/>
  <c r="Q249" i="13"/>
  <c r="J249" i="13"/>
  <c r="R249" i="13"/>
  <c r="S249" i="13"/>
  <c r="O247" i="12"/>
  <c r="O248" i="13"/>
  <c r="W248" i="12"/>
  <c r="X248" i="12"/>
  <c r="Y248" i="12"/>
  <c r="Y249" i="13"/>
  <c r="W249" i="13"/>
  <c r="X249" i="13"/>
  <c r="BH250" i="13"/>
  <c r="D251" i="13"/>
  <c r="E250" i="13"/>
  <c r="T250" i="13" s="1"/>
  <c r="F250" i="13"/>
  <c r="BG250" i="13"/>
  <c r="C250" i="13"/>
  <c r="AA247" i="12"/>
  <c r="Z247" i="12"/>
  <c r="S248" i="12"/>
  <c r="I248" i="12"/>
  <c r="Q248" i="12"/>
  <c r="J248" i="12"/>
  <c r="R248" i="12"/>
  <c r="P19" i="13"/>
  <c r="P33" i="13"/>
  <c r="P61" i="13"/>
  <c r="P75" i="13"/>
  <c r="P103" i="13"/>
  <c r="P117" i="13"/>
  <c r="P131" i="13"/>
  <c r="P173" i="13"/>
  <c r="P201" i="13"/>
  <c r="P215" i="13"/>
  <c r="P229" i="13"/>
  <c r="X250" i="13" l="1"/>
  <c r="Y250" i="13"/>
  <c r="W250" i="13"/>
  <c r="S249" i="12"/>
  <c r="I249" i="12"/>
  <c r="Q249" i="12"/>
  <c r="J249" i="12"/>
  <c r="O249" i="12" s="1"/>
  <c r="R249" i="12"/>
  <c r="BG251" i="13"/>
  <c r="BH251" i="13"/>
  <c r="D252" i="13"/>
  <c r="E251" i="13"/>
  <c r="T251" i="13" s="1"/>
  <c r="F251" i="13"/>
  <c r="C251" i="13"/>
  <c r="O248" i="12"/>
  <c r="Z249" i="13"/>
  <c r="AA249" i="13"/>
  <c r="O249" i="13"/>
  <c r="BG250" i="12"/>
  <c r="D251" i="12"/>
  <c r="BH250" i="12"/>
  <c r="E250" i="12"/>
  <c r="T250" i="12" s="1"/>
  <c r="BI250" i="12"/>
  <c r="F250" i="12"/>
  <c r="C250" i="12"/>
  <c r="I250" i="13"/>
  <c r="Q250" i="13"/>
  <c r="J250" i="13"/>
  <c r="R250" i="13"/>
  <c r="S250" i="13"/>
  <c r="AA248" i="12"/>
  <c r="Z248" i="12"/>
  <c r="W249" i="12"/>
  <c r="X249" i="12"/>
  <c r="Y249" i="12"/>
  <c r="P47" i="13"/>
  <c r="P89" i="13"/>
  <c r="P145" i="13"/>
  <c r="P187" i="13"/>
  <c r="P243" i="13"/>
  <c r="AA249" i="12" l="1"/>
  <c r="Z249" i="12"/>
  <c r="BG251" i="12"/>
  <c r="D252" i="12"/>
  <c r="BH251" i="12"/>
  <c r="E251" i="12"/>
  <c r="T251" i="12" s="1"/>
  <c r="BI251" i="12"/>
  <c r="F251" i="12"/>
  <c r="C251" i="12"/>
  <c r="F252" i="13"/>
  <c r="BG252" i="13"/>
  <c r="BH252" i="13"/>
  <c r="D253" i="13"/>
  <c r="E252" i="13"/>
  <c r="T252" i="13" s="1"/>
  <c r="C252" i="13"/>
  <c r="O250" i="13"/>
  <c r="W250" i="12"/>
  <c r="X250" i="12"/>
  <c r="Y250" i="12"/>
  <c r="W251" i="13"/>
  <c r="X251" i="13"/>
  <c r="Y251" i="13"/>
  <c r="S250" i="12"/>
  <c r="I250" i="12"/>
  <c r="Q250" i="12"/>
  <c r="J250" i="12"/>
  <c r="R250" i="12"/>
  <c r="S251" i="13"/>
  <c r="I251" i="13"/>
  <c r="Q251" i="13"/>
  <c r="J251" i="13"/>
  <c r="R251" i="13"/>
  <c r="Z250" i="13"/>
  <c r="AA250" i="13"/>
  <c r="AA251" i="13" l="1"/>
  <c r="Z251" i="13"/>
  <c r="S251" i="12"/>
  <c r="I251" i="12"/>
  <c r="Q251" i="12"/>
  <c r="J251" i="12"/>
  <c r="R251" i="12"/>
  <c r="AA250" i="12"/>
  <c r="Z250" i="12"/>
  <c r="W252" i="13"/>
  <c r="X252" i="13"/>
  <c r="Y252" i="13"/>
  <c r="J252" i="13"/>
  <c r="R252" i="13"/>
  <c r="S252" i="13"/>
  <c r="I252" i="13"/>
  <c r="Q252" i="13"/>
  <c r="O251" i="13"/>
  <c r="BG252" i="12"/>
  <c r="D253" i="12"/>
  <c r="BH252" i="12"/>
  <c r="E252" i="12"/>
  <c r="T252" i="12" s="1"/>
  <c r="BI252" i="12"/>
  <c r="F252" i="12"/>
  <c r="C252" i="12"/>
  <c r="O250" i="12"/>
  <c r="D254" i="13"/>
  <c r="E253" i="13"/>
  <c r="T253" i="13" s="1"/>
  <c r="F253" i="13"/>
  <c r="BG253" i="13"/>
  <c r="BH253" i="13"/>
  <c r="C253" i="13"/>
  <c r="W251" i="12"/>
  <c r="X251" i="12"/>
  <c r="Y251" i="12"/>
  <c r="Y253" i="13" l="1"/>
  <c r="W253" i="13"/>
  <c r="X253" i="13"/>
  <c r="BH254" i="13"/>
  <c r="D255" i="13"/>
  <c r="E254" i="13"/>
  <c r="T254" i="13" s="1"/>
  <c r="F254" i="13"/>
  <c r="BG254" i="13"/>
  <c r="C254" i="13"/>
  <c r="BG253" i="12"/>
  <c r="D254" i="12"/>
  <c r="BH253" i="12"/>
  <c r="E253" i="12"/>
  <c r="T253" i="12" s="1"/>
  <c r="BI253" i="12"/>
  <c r="F253" i="12"/>
  <c r="C253" i="12"/>
  <c r="Z252" i="13"/>
  <c r="AA252" i="13"/>
  <c r="AA251" i="12"/>
  <c r="Z251" i="12"/>
  <c r="W252" i="12"/>
  <c r="X252" i="12"/>
  <c r="Y252" i="12"/>
  <c r="O251" i="12"/>
  <c r="I253" i="13"/>
  <c r="Q253" i="13"/>
  <c r="J253" i="13"/>
  <c r="O253" i="13" s="1"/>
  <c r="R253" i="13"/>
  <c r="S253" i="13"/>
  <c r="S252" i="12"/>
  <c r="I252" i="12"/>
  <c r="Q252" i="12"/>
  <c r="J252" i="12"/>
  <c r="R252" i="12"/>
  <c r="O252" i="13"/>
  <c r="O252" i="12" l="1"/>
  <c r="S253" i="12"/>
  <c r="I253" i="12"/>
  <c r="Q253" i="12"/>
  <c r="J253" i="12"/>
  <c r="R253" i="12"/>
  <c r="BG255" i="13"/>
  <c r="BH255" i="13"/>
  <c r="D256" i="13"/>
  <c r="E255" i="13"/>
  <c r="T255" i="13" s="1"/>
  <c r="F255" i="13"/>
  <c r="C255" i="13"/>
  <c r="AA252" i="12"/>
  <c r="Z252" i="12"/>
  <c r="BG254" i="12"/>
  <c r="D255" i="12"/>
  <c r="BH254" i="12"/>
  <c r="E254" i="12"/>
  <c r="T254" i="12" s="1"/>
  <c r="BI254" i="12"/>
  <c r="F254" i="12"/>
  <c r="C254" i="12"/>
  <c r="I254" i="13"/>
  <c r="Q254" i="13"/>
  <c r="J254" i="13"/>
  <c r="R254" i="13"/>
  <c r="S254" i="13"/>
  <c r="Z253" i="13"/>
  <c r="AA253" i="13"/>
  <c r="W253" i="12"/>
  <c r="X253" i="12"/>
  <c r="Y253" i="12"/>
  <c r="X254" i="13"/>
  <c r="Y254" i="13"/>
  <c r="W254" i="13"/>
  <c r="O253" i="12" l="1"/>
  <c r="Z254" i="13"/>
  <c r="AA254" i="13"/>
  <c r="O254" i="13"/>
  <c r="W254" i="12"/>
  <c r="X254" i="12"/>
  <c r="Y254" i="12"/>
  <c r="AA253" i="12"/>
  <c r="Z253" i="12"/>
  <c r="S254" i="12"/>
  <c r="I254" i="12"/>
  <c r="Q254" i="12"/>
  <c r="J254" i="12"/>
  <c r="R254" i="12"/>
  <c r="F256" i="13"/>
  <c r="BG256" i="13"/>
  <c r="BH256" i="13"/>
  <c r="D257" i="13"/>
  <c r="E256" i="13"/>
  <c r="T256" i="13" s="1"/>
  <c r="C256" i="13"/>
  <c r="W255" i="13"/>
  <c r="X255" i="13"/>
  <c r="Y255" i="13"/>
  <c r="BG255" i="12"/>
  <c r="D256" i="12"/>
  <c r="BH255" i="12"/>
  <c r="E255" i="12"/>
  <c r="T255" i="12" s="1"/>
  <c r="BI255" i="12"/>
  <c r="F255" i="12"/>
  <c r="C255" i="12"/>
  <c r="S255" i="13"/>
  <c r="I255" i="13"/>
  <c r="Q255" i="13"/>
  <c r="J255" i="13"/>
  <c r="R255" i="13"/>
  <c r="O254" i="12" l="1"/>
  <c r="BG256" i="12"/>
  <c r="D257" i="12"/>
  <c r="BH256" i="12"/>
  <c r="E256" i="12"/>
  <c r="T256" i="12" s="1"/>
  <c r="BI256" i="12"/>
  <c r="F256" i="12"/>
  <c r="C256" i="12"/>
  <c r="D258" i="13"/>
  <c r="E257" i="13"/>
  <c r="F257" i="13"/>
  <c r="O257" i="13"/>
  <c r="BG257" i="13"/>
  <c r="P257" i="13"/>
  <c r="T257" i="13"/>
  <c r="BH257" i="13"/>
  <c r="W255" i="12"/>
  <c r="X255" i="12"/>
  <c r="Y255" i="12"/>
  <c r="S255" i="12"/>
  <c r="I255" i="12"/>
  <c r="Q255" i="12"/>
  <c r="J255" i="12"/>
  <c r="R255" i="12"/>
  <c r="W256" i="13"/>
  <c r="X256" i="13"/>
  <c r="Y256" i="13"/>
  <c r="J256" i="13"/>
  <c r="R256" i="13"/>
  <c r="S256" i="13"/>
  <c r="I256" i="13"/>
  <c r="Q256" i="13"/>
  <c r="AA254" i="12"/>
  <c r="Z254" i="12"/>
  <c r="O255" i="13"/>
  <c r="AA255" i="13"/>
  <c r="Z255" i="13"/>
  <c r="O256" i="13" l="1"/>
  <c r="BH258" i="13"/>
  <c r="D259" i="13"/>
  <c r="E258" i="13"/>
  <c r="T258" i="13" s="1"/>
  <c r="F258" i="13"/>
  <c r="BG258" i="13"/>
  <c r="C258" i="13"/>
  <c r="W256" i="12"/>
  <c r="X256" i="12"/>
  <c r="Y256" i="12"/>
  <c r="O255" i="12"/>
  <c r="S256" i="12"/>
  <c r="I256" i="12"/>
  <c r="Q256" i="12"/>
  <c r="J256" i="12"/>
  <c r="R256" i="12"/>
  <c r="I257" i="13"/>
  <c r="Q257" i="13"/>
  <c r="J257" i="13"/>
  <c r="R257" i="13"/>
  <c r="S257" i="13"/>
  <c r="Z256" i="13"/>
  <c r="AA256" i="13"/>
  <c r="AA255" i="12"/>
  <c r="Z255" i="12"/>
  <c r="O257" i="12"/>
  <c r="BG257" i="12"/>
  <c r="D258" i="12"/>
  <c r="P257" i="12"/>
  <c r="T257" i="12"/>
  <c r="BH257" i="12"/>
  <c r="E257" i="12"/>
  <c r="BI257" i="12"/>
  <c r="F257" i="12"/>
  <c r="E258" i="12" l="1"/>
  <c r="T258" i="12" s="1"/>
  <c r="BG258" i="12"/>
  <c r="D259" i="12"/>
  <c r="BH258" i="12"/>
  <c r="F258" i="12"/>
  <c r="BI258" i="12"/>
  <c r="C258" i="12"/>
  <c r="X258" i="13"/>
  <c r="Y258" i="13"/>
  <c r="W258" i="13"/>
  <c r="O256" i="12"/>
  <c r="BG259" i="13"/>
  <c r="BH259" i="13"/>
  <c r="D260" i="13"/>
  <c r="E259" i="13"/>
  <c r="T259" i="13" s="1"/>
  <c r="F259" i="13"/>
  <c r="C259" i="13"/>
  <c r="S257" i="12"/>
  <c r="I257" i="12"/>
  <c r="Q257" i="12"/>
  <c r="J257" i="12"/>
  <c r="R257" i="12"/>
  <c r="AA256" i="12"/>
  <c r="Z256" i="12"/>
  <c r="I258" i="13"/>
  <c r="Q258" i="13"/>
  <c r="J258" i="13"/>
  <c r="O258" i="13" s="1"/>
  <c r="R258" i="13"/>
  <c r="S258" i="13"/>
  <c r="F260" i="13" l="1"/>
  <c r="BG260" i="13"/>
  <c r="BH260" i="13"/>
  <c r="D261" i="13"/>
  <c r="E260" i="13"/>
  <c r="T260" i="13" s="1"/>
  <c r="C260" i="13"/>
  <c r="I258" i="12"/>
  <c r="Q258" i="12"/>
  <c r="S258" i="12"/>
  <c r="J258" i="12"/>
  <c r="O258" i="12" s="1"/>
  <c r="R258" i="12"/>
  <c r="D260" i="12"/>
  <c r="E259" i="12"/>
  <c r="T259" i="12" s="1"/>
  <c r="BI259" i="12"/>
  <c r="F259" i="12"/>
  <c r="BG259" i="12"/>
  <c r="BH259" i="12"/>
  <c r="C259" i="12"/>
  <c r="W259" i="13"/>
  <c r="X259" i="13"/>
  <c r="Y259" i="13"/>
  <c r="W258" i="12"/>
  <c r="X258" i="12"/>
  <c r="Y258" i="12"/>
  <c r="S259" i="13"/>
  <c r="I259" i="13"/>
  <c r="Q259" i="13"/>
  <c r="J259" i="13"/>
  <c r="R259" i="13"/>
  <c r="Z258" i="13"/>
  <c r="AA258" i="13"/>
  <c r="O259" i="13" l="1"/>
  <c r="Y259" i="12"/>
  <c r="X259" i="12"/>
  <c r="W259" i="12"/>
  <c r="I259" i="12"/>
  <c r="Q259" i="12"/>
  <c r="S259" i="12"/>
  <c r="J259" i="12"/>
  <c r="R259" i="12"/>
  <c r="AA258" i="12"/>
  <c r="Z258" i="12"/>
  <c r="AA259" i="13"/>
  <c r="Z259" i="13"/>
  <c r="W260" i="13"/>
  <c r="X260" i="13"/>
  <c r="Y260" i="13"/>
  <c r="J260" i="13"/>
  <c r="R260" i="13"/>
  <c r="S260" i="13"/>
  <c r="I260" i="13"/>
  <c r="Q260" i="13"/>
  <c r="D261" i="12"/>
  <c r="E260" i="12"/>
  <c r="T260" i="12" s="1"/>
  <c r="BI260" i="12"/>
  <c r="F260" i="12"/>
  <c r="BG260" i="12"/>
  <c r="BH260" i="12"/>
  <c r="C260" i="12"/>
  <c r="D262" i="13"/>
  <c r="E261" i="13"/>
  <c r="T261" i="13" s="1"/>
  <c r="F261" i="13"/>
  <c r="BG261" i="13"/>
  <c r="BH261" i="13"/>
  <c r="C261" i="13"/>
  <c r="O259" i="12" l="1"/>
  <c r="I261" i="13"/>
  <c r="Q261" i="13"/>
  <c r="J261" i="13"/>
  <c r="R261" i="13"/>
  <c r="S261" i="13"/>
  <c r="X260" i="12"/>
  <c r="Y260" i="12"/>
  <c r="W260" i="12"/>
  <c r="I260" i="12"/>
  <c r="Q260" i="12"/>
  <c r="J260" i="12"/>
  <c r="R260" i="12"/>
  <c r="S260" i="12"/>
  <c r="O260" i="13"/>
  <c r="Z259" i="12"/>
  <c r="AA259" i="12"/>
  <c r="F261" i="12"/>
  <c r="BG261" i="12"/>
  <c r="D262" i="12"/>
  <c r="BH261" i="12"/>
  <c r="E261" i="12"/>
  <c r="T261" i="12" s="1"/>
  <c r="BI261" i="12"/>
  <c r="C261" i="12"/>
  <c r="Y261" i="13"/>
  <c r="W261" i="13"/>
  <c r="X261" i="13"/>
  <c r="BH262" i="13"/>
  <c r="D263" i="13"/>
  <c r="E262" i="13"/>
  <c r="T262" i="13" s="1"/>
  <c r="F262" i="13"/>
  <c r="BG262" i="13"/>
  <c r="C262" i="13"/>
  <c r="Z260" i="13"/>
  <c r="AA260" i="13"/>
  <c r="O260" i="12" l="1"/>
  <c r="O261" i="13"/>
  <c r="I262" i="13"/>
  <c r="Q262" i="13"/>
  <c r="J262" i="13"/>
  <c r="O262" i="13" s="1"/>
  <c r="R262" i="13"/>
  <c r="S262" i="13"/>
  <c r="F262" i="12"/>
  <c r="BG262" i="12"/>
  <c r="D263" i="12"/>
  <c r="BH262" i="12"/>
  <c r="E262" i="12"/>
  <c r="T262" i="12" s="1"/>
  <c r="BI262" i="12"/>
  <c r="C262" i="12"/>
  <c r="X262" i="13"/>
  <c r="Y262" i="13"/>
  <c r="W262" i="13"/>
  <c r="BG263" i="13"/>
  <c r="BH263" i="13"/>
  <c r="D264" i="13"/>
  <c r="E263" i="13"/>
  <c r="T263" i="13" s="1"/>
  <c r="F263" i="13"/>
  <c r="C263" i="13"/>
  <c r="W261" i="12"/>
  <c r="X261" i="12"/>
  <c r="Y261" i="12"/>
  <c r="Z260" i="12"/>
  <c r="AA260" i="12"/>
  <c r="Z261" i="13"/>
  <c r="AA261" i="13"/>
  <c r="J261" i="12"/>
  <c r="R261" i="12"/>
  <c r="S261" i="12"/>
  <c r="I261" i="12"/>
  <c r="Q261" i="12"/>
  <c r="F264" i="13" l="1"/>
  <c r="BG264" i="13"/>
  <c r="BH264" i="13"/>
  <c r="D265" i="13"/>
  <c r="E264" i="13"/>
  <c r="T264" i="13" s="1"/>
  <c r="C264" i="13"/>
  <c r="W262" i="12"/>
  <c r="X262" i="12"/>
  <c r="Y262" i="12"/>
  <c r="O261" i="12"/>
  <c r="Z261" i="12"/>
  <c r="AA261" i="12"/>
  <c r="W263" i="13"/>
  <c r="X263" i="13"/>
  <c r="Y263" i="13"/>
  <c r="J262" i="12"/>
  <c r="R262" i="12"/>
  <c r="S262" i="12"/>
  <c r="I262" i="12"/>
  <c r="Q262" i="12"/>
  <c r="Z262" i="13"/>
  <c r="AA262" i="13"/>
  <c r="F263" i="12"/>
  <c r="BG263" i="12"/>
  <c r="D264" i="12"/>
  <c r="BH263" i="12"/>
  <c r="E263" i="12"/>
  <c r="T263" i="12" s="1"/>
  <c r="BI263" i="12"/>
  <c r="C263" i="12"/>
  <c r="S263" i="13"/>
  <c r="I263" i="13"/>
  <c r="Q263" i="13"/>
  <c r="J263" i="13"/>
  <c r="R263" i="13"/>
  <c r="O263" i="13" l="1"/>
  <c r="D265" i="12"/>
  <c r="F264" i="12"/>
  <c r="BG264" i="12"/>
  <c r="BH264" i="12"/>
  <c r="E264" i="12"/>
  <c r="T264" i="12" s="1"/>
  <c r="BI264" i="12"/>
  <c r="C264" i="12"/>
  <c r="W264" i="13"/>
  <c r="X264" i="13"/>
  <c r="Y264" i="13"/>
  <c r="J264" i="13"/>
  <c r="R264" i="13"/>
  <c r="S264" i="13"/>
  <c r="I264" i="13"/>
  <c r="Q264" i="13"/>
  <c r="W263" i="12"/>
  <c r="X263" i="12"/>
  <c r="Y263" i="12"/>
  <c r="AA263" i="13"/>
  <c r="Z263" i="13"/>
  <c r="Z262" i="12"/>
  <c r="AA262" i="12"/>
  <c r="J263" i="12"/>
  <c r="R263" i="12"/>
  <c r="S263" i="12"/>
  <c r="I263" i="12"/>
  <c r="Q263" i="12"/>
  <c r="O262" i="12"/>
  <c r="D266" i="13"/>
  <c r="E265" i="13"/>
  <c r="T265" i="13" s="1"/>
  <c r="F265" i="13"/>
  <c r="BG265" i="13"/>
  <c r="BH265" i="13"/>
  <c r="C265" i="13"/>
  <c r="W264" i="12" l="1"/>
  <c r="X264" i="12"/>
  <c r="Y264" i="12"/>
  <c r="J264" i="12"/>
  <c r="R264" i="12"/>
  <c r="S264" i="12"/>
  <c r="I264" i="12"/>
  <c r="Q264" i="12"/>
  <c r="I265" i="13"/>
  <c r="Q265" i="13"/>
  <c r="J265" i="13"/>
  <c r="R265" i="13"/>
  <c r="S265" i="13"/>
  <c r="Z264" i="13"/>
  <c r="AA264" i="13"/>
  <c r="D266" i="12"/>
  <c r="E265" i="12"/>
  <c r="T265" i="12" s="1"/>
  <c r="BI265" i="12"/>
  <c r="F265" i="12"/>
  <c r="BG265" i="12"/>
  <c r="BH265" i="12"/>
  <c r="C265" i="12"/>
  <c r="Y265" i="13"/>
  <c r="W265" i="13"/>
  <c r="X265" i="13"/>
  <c r="BH266" i="13"/>
  <c r="D267" i="13"/>
  <c r="E266" i="13"/>
  <c r="T266" i="13" s="1"/>
  <c r="F266" i="13"/>
  <c r="BG266" i="13"/>
  <c r="C266" i="13"/>
  <c r="O263" i="12"/>
  <c r="Z263" i="12"/>
  <c r="AA263" i="12"/>
  <c r="O264" i="13"/>
  <c r="X266" i="13" l="1"/>
  <c r="Y266" i="13"/>
  <c r="W266" i="13"/>
  <c r="D267" i="12"/>
  <c r="E266" i="12"/>
  <c r="T266" i="12" s="1"/>
  <c r="BI266" i="12"/>
  <c r="F266" i="12"/>
  <c r="BG266" i="12"/>
  <c r="BH266" i="12"/>
  <c r="C266" i="12"/>
  <c r="BG267" i="13"/>
  <c r="BH267" i="13"/>
  <c r="D268" i="13"/>
  <c r="E267" i="13"/>
  <c r="T267" i="13" s="1"/>
  <c r="F267" i="13"/>
  <c r="C267" i="13"/>
  <c r="I265" i="12"/>
  <c r="Q265" i="12"/>
  <c r="J265" i="12"/>
  <c r="R265" i="12"/>
  <c r="S265" i="12"/>
  <c r="Z264" i="12"/>
  <c r="AA264" i="12"/>
  <c r="Z265" i="13"/>
  <c r="AA265" i="13"/>
  <c r="O265" i="13"/>
  <c r="O264" i="12"/>
  <c r="I266" i="13"/>
  <c r="Q266" i="13"/>
  <c r="J266" i="13"/>
  <c r="R266" i="13"/>
  <c r="S266" i="13"/>
  <c r="Y265" i="12"/>
  <c r="W265" i="12"/>
  <c r="X265" i="12"/>
  <c r="O265" i="12" l="1"/>
  <c r="W267" i="13"/>
  <c r="X267" i="13"/>
  <c r="Y267" i="13"/>
  <c r="S267" i="13"/>
  <c r="I267" i="13"/>
  <c r="Q267" i="13"/>
  <c r="J267" i="13"/>
  <c r="O267" i="13" s="1"/>
  <c r="R267" i="13"/>
  <c r="S266" i="12"/>
  <c r="I266" i="12"/>
  <c r="Q266" i="12"/>
  <c r="J266" i="12"/>
  <c r="R266" i="12"/>
  <c r="Z265" i="12"/>
  <c r="AA265" i="12"/>
  <c r="O266" i="13"/>
  <c r="W266" i="12"/>
  <c r="Y266" i="12"/>
  <c r="X266" i="12"/>
  <c r="BG267" i="12"/>
  <c r="D268" i="12"/>
  <c r="BH267" i="12"/>
  <c r="E267" i="12"/>
  <c r="T267" i="12" s="1"/>
  <c r="BI267" i="12"/>
  <c r="F267" i="12"/>
  <c r="C267" i="12"/>
  <c r="D269" i="13"/>
  <c r="F268" i="13"/>
  <c r="BG268" i="13"/>
  <c r="BH268" i="13"/>
  <c r="E268" i="13"/>
  <c r="T268" i="13" s="1"/>
  <c r="C268" i="13"/>
  <c r="Z266" i="13"/>
  <c r="AA266" i="13"/>
  <c r="J268" i="13" l="1"/>
  <c r="R268" i="13"/>
  <c r="S268" i="13"/>
  <c r="I268" i="13"/>
  <c r="Q268" i="13"/>
  <c r="W267" i="12"/>
  <c r="X267" i="12"/>
  <c r="Y267" i="12"/>
  <c r="D269" i="12"/>
  <c r="BG268" i="12"/>
  <c r="BH268" i="12"/>
  <c r="E268" i="12"/>
  <c r="T268" i="12" s="1"/>
  <c r="BI268" i="12"/>
  <c r="F268" i="12"/>
  <c r="C268" i="12"/>
  <c r="AA266" i="12"/>
  <c r="Z266" i="12"/>
  <c r="W268" i="13"/>
  <c r="X268" i="13"/>
  <c r="Y268" i="13"/>
  <c r="D270" i="13"/>
  <c r="E269" i="13"/>
  <c r="T269" i="13" s="1"/>
  <c r="F269" i="13"/>
  <c r="BG269" i="13"/>
  <c r="BH269" i="13"/>
  <c r="C269" i="13"/>
  <c r="S267" i="12"/>
  <c r="I267" i="12"/>
  <c r="Q267" i="12"/>
  <c r="J267" i="12"/>
  <c r="R267" i="12"/>
  <c r="O266" i="12"/>
  <c r="AA267" i="13"/>
  <c r="Z267" i="13"/>
  <c r="O267" i="12" l="1"/>
  <c r="Y269" i="13"/>
  <c r="W269" i="13"/>
  <c r="X269" i="13"/>
  <c r="BH270" i="13"/>
  <c r="D271" i="13"/>
  <c r="E270" i="13"/>
  <c r="T270" i="13" s="1"/>
  <c r="F270" i="13"/>
  <c r="BG270" i="13"/>
  <c r="C270" i="13"/>
  <c r="O268" i="13"/>
  <c r="I269" i="13"/>
  <c r="Q269" i="13"/>
  <c r="J269" i="13"/>
  <c r="R269" i="13"/>
  <c r="S269" i="13"/>
  <c r="W268" i="12"/>
  <c r="X268" i="12"/>
  <c r="Y268" i="12"/>
  <c r="AA267" i="12"/>
  <c r="Z267" i="12"/>
  <c r="Z268" i="13"/>
  <c r="AA268" i="13"/>
  <c r="S268" i="12"/>
  <c r="I268" i="12"/>
  <c r="Q268" i="12"/>
  <c r="J268" i="12"/>
  <c r="R268" i="12"/>
  <c r="E269" i="12"/>
  <c r="T269" i="12" s="1"/>
  <c r="BG269" i="12"/>
  <c r="F269" i="12"/>
  <c r="BH269" i="12"/>
  <c r="D270" i="12"/>
  <c r="BI269" i="12"/>
  <c r="C269" i="12"/>
  <c r="E270" i="12" l="1"/>
  <c r="T270" i="12" s="1"/>
  <c r="BI270" i="12"/>
  <c r="F270" i="12"/>
  <c r="D271" i="12"/>
  <c r="BG270" i="12"/>
  <c r="BH270" i="12"/>
  <c r="C270" i="12"/>
  <c r="X270" i="13"/>
  <c r="Y270" i="13"/>
  <c r="W270" i="13"/>
  <c r="I269" i="12"/>
  <c r="Q269" i="12"/>
  <c r="J269" i="12"/>
  <c r="R269" i="12"/>
  <c r="S269" i="12"/>
  <c r="O268" i="12"/>
  <c r="AA268" i="12"/>
  <c r="Z268" i="12"/>
  <c r="O269" i="13"/>
  <c r="O271" i="13"/>
  <c r="BG271" i="13"/>
  <c r="P271" i="13"/>
  <c r="T271" i="13"/>
  <c r="BH271" i="13"/>
  <c r="D272" i="13"/>
  <c r="E271" i="13"/>
  <c r="F271" i="13"/>
  <c r="C271" i="13"/>
  <c r="Y269" i="12"/>
  <c r="W269" i="12"/>
  <c r="X269" i="12"/>
  <c r="Z269" i="13"/>
  <c r="AA269" i="13"/>
  <c r="I270" i="13"/>
  <c r="Q270" i="13"/>
  <c r="J270" i="13"/>
  <c r="R270" i="13"/>
  <c r="S270" i="13"/>
  <c r="O269" i="12" l="1"/>
  <c r="O270" i="13"/>
  <c r="S271" i="13"/>
  <c r="I271" i="13"/>
  <c r="Q271" i="13"/>
  <c r="J271" i="13"/>
  <c r="R271" i="13"/>
  <c r="Z270" i="13"/>
  <c r="AA270" i="13"/>
  <c r="E271" i="12"/>
  <c r="BI271" i="12"/>
  <c r="F271" i="12"/>
  <c r="D272" i="12"/>
  <c r="T271" i="12"/>
  <c r="BG271" i="12"/>
  <c r="O271" i="12"/>
  <c r="BH271" i="12"/>
  <c r="P271" i="12"/>
  <c r="C271" i="12"/>
  <c r="F272" i="13"/>
  <c r="BG272" i="13"/>
  <c r="BH272" i="13"/>
  <c r="D273" i="13"/>
  <c r="E272" i="13"/>
  <c r="T272" i="13" s="1"/>
  <c r="C272" i="13"/>
  <c r="I270" i="12"/>
  <c r="Q270" i="12"/>
  <c r="J270" i="12"/>
  <c r="R270" i="12"/>
  <c r="S270" i="12"/>
  <c r="Z269" i="12"/>
  <c r="AA269" i="12"/>
  <c r="W271" i="13"/>
  <c r="X271" i="13"/>
  <c r="Y271" i="13"/>
  <c r="Y270" i="12"/>
  <c r="X270" i="12"/>
  <c r="W270" i="12"/>
  <c r="Z270" i="12" l="1"/>
  <c r="AA270" i="12"/>
  <c r="AA271" i="13"/>
  <c r="Z271" i="13"/>
  <c r="O270" i="12"/>
  <c r="E272" i="12"/>
  <c r="T272" i="12" s="1"/>
  <c r="BI272" i="12"/>
  <c r="F272" i="12"/>
  <c r="BG272" i="12"/>
  <c r="BH272" i="12"/>
  <c r="D273" i="12"/>
  <c r="C272" i="12"/>
  <c r="D274" i="13"/>
  <c r="E273" i="13"/>
  <c r="T273" i="13" s="1"/>
  <c r="F273" i="13"/>
  <c r="BG273" i="13"/>
  <c r="BH273" i="13"/>
  <c r="C273" i="13"/>
  <c r="I271" i="12"/>
  <c r="Q271" i="12"/>
  <c r="J271" i="12"/>
  <c r="R271" i="12"/>
  <c r="S271" i="12"/>
  <c r="Y271" i="12"/>
  <c r="W271" i="12"/>
  <c r="X271" i="12"/>
  <c r="W272" i="13"/>
  <c r="X272" i="13"/>
  <c r="Y272" i="13"/>
  <c r="J272" i="13"/>
  <c r="O272" i="13" s="1"/>
  <c r="R272" i="13"/>
  <c r="S272" i="13"/>
  <c r="I272" i="13"/>
  <c r="Q272" i="13"/>
  <c r="I272" i="12" l="1"/>
  <c r="Q272" i="12"/>
  <c r="J272" i="12"/>
  <c r="R272" i="12"/>
  <c r="S272" i="12"/>
  <c r="Y273" i="13"/>
  <c r="W273" i="13"/>
  <c r="X273" i="13"/>
  <c r="BH274" i="13"/>
  <c r="D275" i="13"/>
  <c r="E274" i="13"/>
  <c r="T274" i="13" s="1"/>
  <c r="F274" i="13"/>
  <c r="BG274" i="13"/>
  <c r="C274" i="13"/>
  <c r="Y272" i="12"/>
  <c r="W272" i="12"/>
  <c r="X272" i="12"/>
  <c r="E273" i="12"/>
  <c r="T273" i="12" s="1"/>
  <c r="BI273" i="12"/>
  <c r="F273" i="12"/>
  <c r="BH273" i="12"/>
  <c r="D274" i="12"/>
  <c r="BG273" i="12"/>
  <c r="C273" i="12"/>
  <c r="Z272" i="13"/>
  <c r="AA272" i="13"/>
  <c r="Z271" i="12"/>
  <c r="AA271" i="12"/>
  <c r="I273" i="13"/>
  <c r="Q273" i="13"/>
  <c r="J273" i="13"/>
  <c r="R273" i="13"/>
  <c r="S273" i="13"/>
  <c r="O273" i="13" l="1"/>
  <c r="Z272" i="12"/>
  <c r="AA272" i="12"/>
  <c r="BG275" i="13"/>
  <c r="BH275" i="13"/>
  <c r="D276" i="13"/>
  <c r="E275" i="13"/>
  <c r="T275" i="13" s="1"/>
  <c r="F275" i="13"/>
  <c r="C275" i="13"/>
  <c r="Y273" i="12"/>
  <c r="W273" i="12"/>
  <c r="X273" i="12"/>
  <c r="X274" i="13"/>
  <c r="Y274" i="13"/>
  <c r="W274" i="13"/>
  <c r="O272" i="12"/>
  <c r="E274" i="12"/>
  <c r="BI274" i="12"/>
  <c r="F274" i="12"/>
  <c r="D275" i="12"/>
  <c r="T274" i="12"/>
  <c r="BG274" i="12"/>
  <c r="BH274" i="12"/>
  <c r="C274" i="12"/>
  <c r="I273" i="12"/>
  <c r="Q273" i="12"/>
  <c r="J273" i="12"/>
  <c r="R273" i="12"/>
  <c r="S273" i="12"/>
  <c r="I274" i="13"/>
  <c r="Q274" i="13"/>
  <c r="J274" i="13"/>
  <c r="O274" i="13" s="1"/>
  <c r="R274" i="13"/>
  <c r="S274" i="13"/>
  <c r="Z273" i="13"/>
  <c r="AA273" i="13"/>
  <c r="Z273" i="12" l="1"/>
  <c r="AA273" i="12"/>
  <c r="F276" i="13"/>
  <c r="BG276" i="13"/>
  <c r="BH276" i="13"/>
  <c r="D277" i="13"/>
  <c r="E276" i="13"/>
  <c r="T276" i="13" s="1"/>
  <c r="C276" i="13"/>
  <c r="O273" i="12"/>
  <c r="E275" i="12"/>
  <c r="BI275" i="12"/>
  <c r="F275" i="12"/>
  <c r="D276" i="12"/>
  <c r="T275" i="12"/>
  <c r="BG275" i="12"/>
  <c r="BH275" i="12"/>
  <c r="C275" i="12"/>
  <c r="W275" i="13"/>
  <c r="X275" i="13"/>
  <c r="Y275" i="13"/>
  <c r="Y274" i="12"/>
  <c r="X274" i="12"/>
  <c r="W274" i="12"/>
  <c r="S275" i="13"/>
  <c r="I275" i="13"/>
  <c r="Q275" i="13"/>
  <c r="J275" i="13"/>
  <c r="R275" i="13"/>
  <c r="I274" i="12"/>
  <c r="Q274" i="12"/>
  <c r="J274" i="12"/>
  <c r="O274" i="12" s="1"/>
  <c r="R274" i="12"/>
  <c r="S274" i="12"/>
  <c r="Z274" i="13"/>
  <c r="AA274" i="13"/>
  <c r="I275" i="12" l="1"/>
  <c r="Q275" i="12"/>
  <c r="J275" i="12"/>
  <c r="R275" i="12"/>
  <c r="S275" i="12"/>
  <c r="Z274" i="12"/>
  <c r="AA274" i="12"/>
  <c r="Y275" i="12"/>
  <c r="W275" i="12"/>
  <c r="X275" i="12"/>
  <c r="W276" i="13"/>
  <c r="X276" i="13"/>
  <c r="Y276" i="13"/>
  <c r="J276" i="13"/>
  <c r="R276" i="13"/>
  <c r="S276" i="13"/>
  <c r="I276" i="13"/>
  <c r="Q276" i="13"/>
  <c r="AA275" i="13"/>
  <c r="Z275" i="13"/>
  <c r="O275" i="13"/>
  <c r="E276" i="12"/>
  <c r="T276" i="12" s="1"/>
  <c r="BI276" i="12"/>
  <c r="D277" i="12"/>
  <c r="BG276" i="12"/>
  <c r="F276" i="12"/>
  <c r="BH276" i="12"/>
  <c r="C276" i="12"/>
  <c r="D278" i="13"/>
  <c r="E277" i="13"/>
  <c r="T277" i="13" s="1"/>
  <c r="F277" i="13"/>
  <c r="BG277" i="13"/>
  <c r="BH277" i="13"/>
  <c r="C277" i="13"/>
  <c r="O275" i="12" l="1"/>
  <c r="Y277" i="13"/>
  <c r="W277" i="13"/>
  <c r="X277" i="13"/>
  <c r="Z275" i="12"/>
  <c r="AA275" i="12"/>
  <c r="Y276" i="12"/>
  <c r="W276" i="12"/>
  <c r="X276" i="12"/>
  <c r="F278" i="13"/>
  <c r="E278" i="13"/>
  <c r="T278" i="13" s="1"/>
  <c r="BH278" i="13"/>
  <c r="D279" i="13"/>
  <c r="BG278" i="13"/>
  <c r="C278" i="13"/>
  <c r="E277" i="12"/>
  <c r="BI277" i="12"/>
  <c r="BH277" i="12"/>
  <c r="D278" i="12"/>
  <c r="T277" i="12"/>
  <c r="BG277" i="12"/>
  <c r="F277" i="12"/>
  <c r="C277" i="12"/>
  <c r="Z276" i="13"/>
  <c r="AA276" i="13"/>
  <c r="I277" i="13"/>
  <c r="Q277" i="13"/>
  <c r="J277" i="13"/>
  <c r="R277" i="13"/>
  <c r="S277" i="13"/>
  <c r="I276" i="12"/>
  <c r="Q276" i="12"/>
  <c r="R276" i="12"/>
  <c r="S276" i="12"/>
  <c r="J276" i="12"/>
  <c r="O276" i="12" s="1"/>
  <c r="O276" i="13"/>
  <c r="O277" i="13" l="1"/>
  <c r="Z276" i="12"/>
  <c r="AA276" i="12"/>
  <c r="I277" i="12"/>
  <c r="Q277" i="12"/>
  <c r="R277" i="12"/>
  <c r="S277" i="12"/>
  <c r="J277" i="12"/>
  <c r="O277" i="12" s="1"/>
  <c r="E278" i="12"/>
  <c r="T278" i="12" s="1"/>
  <c r="BI278" i="12"/>
  <c r="BH278" i="12"/>
  <c r="D279" i="12"/>
  <c r="F278" i="12"/>
  <c r="BG278" i="12"/>
  <c r="C278" i="12"/>
  <c r="BG279" i="13"/>
  <c r="D280" i="13"/>
  <c r="E279" i="13"/>
  <c r="T279" i="13" s="1"/>
  <c r="F279" i="13"/>
  <c r="BH279" i="13"/>
  <c r="C279" i="13"/>
  <c r="Z277" i="13"/>
  <c r="AA277" i="13"/>
  <c r="Y277" i="12"/>
  <c r="W277" i="12"/>
  <c r="X277" i="12"/>
  <c r="X278" i="13"/>
  <c r="Y278" i="13"/>
  <c r="W278" i="13"/>
  <c r="J278" i="13"/>
  <c r="Q278" i="13"/>
  <c r="I278" i="13"/>
  <c r="R278" i="13"/>
  <c r="S278" i="13"/>
  <c r="AA277" i="12" l="1"/>
  <c r="Z277" i="12"/>
  <c r="O278" i="13"/>
  <c r="Z278" i="13"/>
  <c r="AA278" i="13"/>
  <c r="W279" i="13"/>
  <c r="Y279" i="13"/>
  <c r="X279" i="13"/>
  <c r="S279" i="13"/>
  <c r="I279" i="13"/>
  <c r="Q279" i="13"/>
  <c r="J279" i="13"/>
  <c r="R279" i="13"/>
  <c r="Y278" i="12"/>
  <c r="W278" i="12"/>
  <c r="X278" i="12"/>
  <c r="F280" i="13"/>
  <c r="BH280" i="13"/>
  <c r="E280" i="13"/>
  <c r="T280" i="13" s="1"/>
  <c r="D281" i="13"/>
  <c r="BG280" i="13"/>
  <c r="C280" i="13"/>
  <c r="I278" i="12"/>
  <c r="Q278" i="12"/>
  <c r="R278" i="12"/>
  <c r="S278" i="12"/>
  <c r="J278" i="12"/>
  <c r="O278" i="12" s="1"/>
  <c r="E279" i="12"/>
  <c r="BI279" i="12"/>
  <c r="D280" i="12"/>
  <c r="BH279" i="12"/>
  <c r="F279" i="12"/>
  <c r="T279" i="12"/>
  <c r="BG279" i="12"/>
  <c r="C279" i="12"/>
  <c r="O279" i="13" l="1"/>
  <c r="E280" i="12"/>
  <c r="BI280" i="12"/>
  <c r="BG280" i="12"/>
  <c r="F280" i="12"/>
  <c r="T280" i="12"/>
  <c r="BH280" i="12"/>
  <c r="D281" i="12"/>
  <c r="C280" i="12"/>
  <c r="D282" i="13"/>
  <c r="E281" i="13"/>
  <c r="BG281" i="13"/>
  <c r="F281" i="13"/>
  <c r="T281" i="13"/>
  <c r="BH281" i="13"/>
  <c r="C281" i="13"/>
  <c r="I279" i="12"/>
  <c r="Q279" i="12"/>
  <c r="S279" i="12"/>
  <c r="J279" i="12"/>
  <c r="R279" i="12"/>
  <c r="Z278" i="12"/>
  <c r="AA278" i="12"/>
  <c r="Y279" i="12"/>
  <c r="W279" i="12"/>
  <c r="X279" i="12"/>
  <c r="X280" i="13"/>
  <c r="W280" i="13"/>
  <c r="Y280" i="13"/>
  <c r="J280" i="13"/>
  <c r="R280" i="13"/>
  <c r="S280" i="13"/>
  <c r="I280" i="13"/>
  <c r="Q280" i="13"/>
  <c r="AA279" i="13"/>
  <c r="Z279" i="13"/>
  <c r="O279" i="12" l="1"/>
  <c r="Y281" i="13"/>
  <c r="W281" i="13"/>
  <c r="X281" i="13"/>
  <c r="I281" i="13"/>
  <c r="Q281" i="13"/>
  <c r="S281" i="13"/>
  <c r="J281" i="13"/>
  <c r="R281" i="13"/>
  <c r="BH282" i="13"/>
  <c r="F282" i="13"/>
  <c r="E282" i="13"/>
  <c r="T282" i="13" s="1"/>
  <c r="D283" i="13"/>
  <c r="BG282" i="13"/>
  <c r="C282" i="13"/>
  <c r="O280" i="13"/>
  <c r="Z280" i="13"/>
  <c r="AA280" i="13"/>
  <c r="Y280" i="12"/>
  <c r="W280" i="12"/>
  <c r="X280" i="12"/>
  <c r="E281" i="12"/>
  <c r="BI281" i="12"/>
  <c r="F281" i="12"/>
  <c r="BG281" i="12"/>
  <c r="T281" i="12"/>
  <c r="BH281" i="12"/>
  <c r="D282" i="12"/>
  <c r="C281" i="12"/>
  <c r="I280" i="12"/>
  <c r="Q280" i="12"/>
  <c r="S280" i="12"/>
  <c r="R280" i="12"/>
  <c r="J280" i="12"/>
  <c r="O280" i="12" s="1"/>
  <c r="AA279" i="12"/>
  <c r="Z279" i="12"/>
  <c r="O281" i="13" l="1"/>
  <c r="D283" i="12"/>
  <c r="E282" i="12"/>
  <c r="T282" i="12" s="1"/>
  <c r="BI282" i="12"/>
  <c r="F282" i="12"/>
  <c r="BG282" i="12"/>
  <c r="BH282" i="12"/>
  <c r="C282" i="12"/>
  <c r="J282" i="13"/>
  <c r="R282" i="13"/>
  <c r="S282" i="13"/>
  <c r="I282" i="13"/>
  <c r="Q282" i="13"/>
  <c r="I281" i="12"/>
  <c r="Q281" i="12"/>
  <c r="J281" i="12"/>
  <c r="R281" i="12"/>
  <c r="S281" i="12"/>
  <c r="AA280" i="12"/>
  <c r="Z280" i="12"/>
  <c r="BG283" i="13"/>
  <c r="D284" i="13"/>
  <c r="E283" i="13"/>
  <c r="T283" i="13" s="1"/>
  <c r="F283" i="13"/>
  <c r="BH283" i="13"/>
  <c r="C283" i="13"/>
  <c r="AA281" i="13"/>
  <c r="Z281" i="13"/>
  <c r="Y281" i="12"/>
  <c r="W281" i="12"/>
  <c r="X281" i="12"/>
  <c r="X282" i="13"/>
  <c r="W282" i="13"/>
  <c r="Y282" i="13"/>
  <c r="O281" i="12" l="1"/>
  <c r="Z281" i="12"/>
  <c r="AA281" i="12"/>
  <c r="F284" i="13"/>
  <c r="BH284" i="13"/>
  <c r="E284" i="13"/>
  <c r="T284" i="13" s="1"/>
  <c r="D285" i="13"/>
  <c r="BG284" i="13"/>
  <c r="C284" i="13"/>
  <c r="Z282" i="13"/>
  <c r="AA282" i="13"/>
  <c r="O282" i="13"/>
  <c r="Y282" i="12"/>
  <c r="W282" i="12"/>
  <c r="X282" i="12"/>
  <c r="W283" i="13"/>
  <c r="Y283" i="13"/>
  <c r="X283" i="13"/>
  <c r="S283" i="13"/>
  <c r="I283" i="13"/>
  <c r="Q283" i="13"/>
  <c r="J283" i="13"/>
  <c r="O283" i="13" s="1"/>
  <c r="R283" i="13"/>
  <c r="BI283" i="12"/>
  <c r="E283" i="12"/>
  <c r="T283" i="12" s="1"/>
  <c r="F283" i="12"/>
  <c r="BG283" i="12"/>
  <c r="D284" i="12"/>
  <c r="BH283" i="12"/>
  <c r="C283" i="12"/>
  <c r="P277" i="12"/>
  <c r="U279" i="12"/>
  <c r="I282" i="12"/>
  <c r="Q282" i="12"/>
  <c r="J282" i="12"/>
  <c r="O282" i="12" s="1"/>
  <c r="R282" i="12"/>
  <c r="S282" i="12"/>
  <c r="BG284" i="12" l="1"/>
  <c r="E284" i="12"/>
  <c r="T284" i="12" s="1"/>
  <c r="F284" i="12"/>
  <c r="BI284" i="12"/>
  <c r="BH284" i="12"/>
  <c r="C284" i="12"/>
  <c r="P16" i="12"/>
  <c r="P27" i="12"/>
  <c r="P38" i="12"/>
  <c r="P49" i="12"/>
  <c r="P60" i="12"/>
  <c r="P71" i="12"/>
  <c r="P82" i="12"/>
  <c r="P93" i="12"/>
  <c r="P104" i="12"/>
  <c r="P115" i="12"/>
  <c r="P137" i="12"/>
  <c r="P148" i="12"/>
  <c r="P170" i="12"/>
  <c r="P192" i="12"/>
  <c r="P203" i="12"/>
  <c r="P225" i="12"/>
  <c r="P226" i="12"/>
  <c r="U225" i="12"/>
  <c r="P227" i="12"/>
  <c r="U229" i="12"/>
  <c r="P228" i="12"/>
  <c r="U226" i="12"/>
  <c r="U227" i="12"/>
  <c r="P230" i="12"/>
  <c r="U228" i="12"/>
  <c r="P231" i="12"/>
  <c r="U230" i="12"/>
  <c r="P232" i="12"/>
  <c r="U231" i="12"/>
  <c r="P233" i="12"/>
  <c r="U232" i="12"/>
  <c r="P235" i="12"/>
  <c r="P234" i="12"/>
  <c r="U233" i="12"/>
  <c r="P237" i="12"/>
  <c r="P244" i="12"/>
  <c r="P248" i="12"/>
  <c r="P245" i="12"/>
  <c r="U243" i="12"/>
  <c r="U244" i="12"/>
  <c r="P246" i="12"/>
  <c r="U245" i="12"/>
  <c r="P247" i="12"/>
  <c r="P251" i="12"/>
  <c r="U246" i="12"/>
  <c r="P250" i="12"/>
  <c r="U166" i="12"/>
  <c r="U138" i="12"/>
  <c r="U161" i="12"/>
  <c r="P183" i="12"/>
  <c r="U15" i="12"/>
  <c r="P249" i="12"/>
  <c r="P78" i="12"/>
  <c r="U35" i="12"/>
  <c r="U26" i="12"/>
  <c r="U11" i="12"/>
  <c r="P194" i="12"/>
  <c r="U32" i="12"/>
  <c r="U247" i="12"/>
  <c r="U248" i="12"/>
  <c r="P21" i="12"/>
  <c r="P218" i="12"/>
  <c r="U183" i="12"/>
  <c r="U196" i="12"/>
  <c r="P168" i="12"/>
  <c r="U37" i="12"/>
  <c r="P96" i="12"/>
  <c r="P197" i="12"/>
  <c r="U215" i="12"/>
  <c r="V215" i="12" s="1"/>
  <c r="P163" i="12"/>
  <c r="U66" i="12"/>
  <c r="U167" i="12"/>
  <c r="U43" i="12"/>
  <c r="P22" i="12"/>
  <c r="P184" i="12"/>
  <c r="U98" i="12"/>
  <c r="U182" i="12"/>
  <c r="P119" i="12"/>
  <c r="U93" i="12"/>
  <c r="P210" i="12"/>
  <c r="P65" i="12"/>
  <c r="P39" i="12"/>
  <c r="U60" i="12"/>
  <c r="U61" i="12"/>
  <c r="V61" i="12" s="1"/>
  <c r="U24" i="12"/>
  <c r="U103" i="12"/>
  <c r="V103" i="12" s="1"/>
  <c r="P10" i="12"/>
  <c r="U214" i="12"/>
  <c r="P105" i="12"/>
  <c r="U102" i="12"/>
  <c r="P100" i="12"/>
  <c r="U50" i="12"/>
  <c r="U224" i="12"/>
  <c r="U99" i="12"/>
  <c r="P196" i="12"/>
  <c r="V196" i="12" s="1"/>
  <c r="U79" i="12"/>
  <c r="U168" i="12"/>
  <c r="U148" i="12"/>
  <c r="P68" i="12"/>
  <c r="P70" i="12"/>
  <c r="P101" i="12"/>
  <c r="U74" i="12"/>
  <c r="U18" i="12"/>
  <c r="U202" i="12"/>
  <c r="U6" i="12"/>
  <c r="P127" i="12"/>
  <c r="P77" i="12"/>
  <c r="U27" i="12"/>
  <c r="P69" i="12"/>
  <c r="U70" i="12"/>
  <c r="U72" i="12"/>
  <c r="U130" i="12"/>
  <c r="U104" i="12"/>
  <c r="U200" i="12"/>
  <c r="U126" i="12"/>
  <c r="U203" i="12"/>
  <c r="V203" i="12" s="1"/>
  <c r="P86" i="12"/>
  <c r="U131" i="12"/>
  <c r="V131" i="12" s="1"/>
  <c r="U195" i="12"/>
  <c r="U36" i="12"/>
  <c r="U164" i="12"/>
  <c r="P116" i="12"/>
  <c r="P23" i="12"/>
  <c r="U163" i="12"/>
  <c r="U82" i="12"/>
  <c r="U34" i="12"/>
  <c r="U204" i="12"/>
  <c r="U116" i="12"/>
  <c r="P8" i="12"/>
  <c r="P102" i="12"/>
  <c r="V102" i="12" s="1"/>
  <c r="U5" i="12"/>
  <c r="U206" i="12"/>
  <c r="P67" i="12"/>
  <c r="P36" i="12"/>
  <c r="P195" i="12"/>
  <c r="V195" i="12" s="1"/>
  <c r="U38" i="12"/>
  <c r="P160" i="12"/>
  <c r="U96" i="12"/>
  <c r="P12" i="12"/>
  <c r="U13" i="12"/>
  <c r="P139" i="12"/>
  <c r="P52" i="12"/>
  <c r="P165" i="12"/>
  <c r="U10" i="12"/>
  <c r="U12" i="12"/>
  <c r="P140" i="12"/>
  <c r="U192" i="12"/>
  <c r="U198" i="12"/>
  <c r="U100" i="12"/>
  <c r="U23" i="12"/>
  <c r="P164" i="12"/>
  <c r="V164" i="12" s="1"/>
  <c r="P18" i="12"/>
  <c r="V18" i="12" s="1"/>
  <c r="U176" i="12"/>
  <c r="U83" i="12"/>
  <c r="P34" i="12"/>
  <c r="V34" i="12" s="1"/>
  <c r="P84" i="12"/>
  <c r="U95" i="12"/>
  <c r="P172" i="12"/>
  <c r="U97" i="12"/>
  <c r="P13" i="12"/>
  <c r="V13" i="12" s="1"/>
  <c r="U9" i="12"/>
  <c r="P25" i="12"/>
  <c r="P209" i="12"/>
  <c r="U115" i="12"/>
  <c r="U20" i="12"/>
  <c r="U105" i="12"/>
  <c r="P129" i="12"/>
  <c r="P14" i="12"/>
  <c r="P135" i="12"/>
  <c r="P95" i="12"/>
  <c r="V95" i="12" s="1"/>
  <c r="U21" i="12"/>
  <c r="P133" i="12"/>
  <c r="U17" i="12"/>
  <c r="U128" i="12"/>
  <c r="U54" i="12"/>
  <c r="U19" i="12"/>
  <c r="V19" i="12" s="1"/>
  <c r="P134" i="12"/>
  <c r="U199" i="12"/>
  <c r="U165" i="12"/>
  <c r="U85" i="12"/>
  <c r="P202" i="12"/>
  <c r="V202" i="12" s="1"/>
  <c r="P198" i="12"/>
  <c r="V198" i="12" s="1"/>
  <c r="P26" i="12"/>
  <c r="V26" i="12" s="1"/>
  <c r="P31" i="12"/>
  <c r="P216" i="12"/>
  <c r="U31" i="12"/>
  <c r="P28" i="12"/>
  <c r="P107" i="12"/>
  <c r="U193" i="12"/>
  <c r="P20" i="12"/>
  <c r="V20" i="12" s="1"/>
  <c r="P50" i="12"/>
  <c r="V50" i="12" s="1"/>
  <c r="P200" i="12"/>
  <c r="V200" i="12" s="1"/>
  <c r="P51" i="12"/>
  <c r="P166" i="12"/>
  <c r="V166" i="12" s="1"/>
  <c r="P138" i="12"/>
  <c r="V138" i="12" s="1"/>
  <c r="P161" i="12"/>
  <c r="V161" i="12" s="1"/>
  <c r="U205" i="12"/>
  <c r="U33" i="12"/>
  <c r="V33" i="12" s="1"/>
  <c r="P98" i="12"/>
  <c r="V98" i="12" s="1"/>
  <c r="P182" i="12"/>
  <c r="V182" i="12" s="1"/>
  <c r="P92" i="12"/>
  <c r="U8" i="12"/>
  <c r="P206" i="12"/>
  <c r="V206" i="12" s="1"/>
  <c r="P94" i="12"/>
  <c r="U197" i="12"/>
  <c r="P185" i="12"/>
  <c r="U16" i="12"/>
  <c r="U134" i="12"/>
  <c r="U201" i="12"/>
  <c r="V201" i="12" s="1"/>
  <c r="U137" i="12"/>
  <c r="P132" i="12"/>
  <c r="P193" i="12"/>
  <c r="V193" i="12" s="1"/>
  <c r="P128" i="12"/>
  <c r="V128" i="12" s="1"/>
  <c r="P205" i="12"/>
  <c r="V205" i="12" s="1"/>
  <c r="P97" i="12"/>
  <c r="V97" i="12" s="1"/>
  <c r="P83" i="12"/>
  <c r="V83" i="12" s="1"/>
  <c r="P217" i="12"/>
  <c r="P150" i="12"/>
  <c r="U171" i="12"/>
  <c r="U22" i="12"/>
  <c r="P62" i="12"/>
  <c r="P204" i="12"/>
  <c r="V204" i="12" s="1"/>
  <c r="P64" i="12"/>
  <c r="U67" i="12"/>
  <c r="U149" i="12"/>
  <c r="U63" i="12"/>
  <c r="P74" i="12"/>
  <c r="V74" i="12" s="1"/>
  <c r="U181" i="12"/>
  <c r="P73" i="12"/>
  <c r="P151" i="12"/>
  <c r="U132" i="12"/>
  <c r="P72" i="12"/>
  <c r="V72" i="12" s="1"/>
  <c r="P6" i="12"/>
  <c r="U216" i="12"/>
  <c r="U39" i="12"/>
  <c r="V39" i="12" s="1"/>
  <c r="U25" i="12"/>
  <c r="P44" i="12"/>
  <c r="U48" i="12"/>
  <c r="U84" i="12"/>
  <c r="V84" i="12" s="1"/>
  <c r="P252" i="12"/>
  <c r="U252" i="12"/>
  <c r="P120" i="12"/>
  <c r="U64" i="12"/>
  <c r="U127" i="12"/>
  <c r="P11" i="12"/>
  <c r="U28" i="12"/>
  <c r="P162" i="12"/>
  <c r="U14" i="12"/>
  <c r="U118" i="12"/>
  <c r="U69" i="12"/>
  <c r="U29" i="12"/>
  <c r="U133" i="12"/>
  <c r="P207" i="12"/>
  <c r="P169" i="12"/>
  <c r="U129" i="12"/>
  <c r="U30" i="12"/>
  <c r="U194" i="12"/>
  <c r="P124" i="12"/>
  <c r="P9" i="12"/>
  <c r="U159" i="12"/>
  <c r="V159" i="12" s="1"/>
  <c r="U135" i="12"/>
  <c r="P171" i="12"/>
  <c r="V171" i="12" s="1"/>
  <c r="P66" i="12"/>
  <c r="V66" i="12" s="1"/>
  <c r="U49" i="12"/>
  <c r="U169" i="12"/>
  <c r="P24" i="12"/>
  <c r="V24" i="12" s="1"/>
  <c r="P136" i="12"/>
  <c r="P32" i="12"/>
  <c r="V32" i="12" s="1"/>
  <c r="U71" i="12"/>
  <c r="V71" i="12" s="1"/>
  <c r="P106" i="12"/>
  <c r="U7" i="12"/>
  <c r="P35" i="12"/>
  <c r="V35" i="12" s="1"/>
  <c r="U65" i="12"/>
  <c r="U68" i="12"/>
  <c r="P153" i="12"/>
  <c r="P99" i="12"/>
  <c r="V99" i="12" s="1"/>
  <c r="P43" i="12"/>
  <c r="V43" i="12" s="1"/>
  <c r="P149" i="12"/>
  <c r="V149" i="12" s="1"/>
  <c r="P17" i="12"/>
  <c r="V17" i="12" s="1"/>
  <c r="P63" i="12"/>
  <c r="V63" i="12" s="1"/>
  <c r="U160" i="12"/>
  <c r="U94" i="12"/>
  <c r="P30" i="12"/>
  <c r="U117" i="12"/>
  <c r="V117" i="12" s="1"/>
  <c r="P40" i="12"/>
  <c r="P118" i="12"/>
  <c r="V118" i="12" s="1"/>
  <c r="U62" i="12"/>
  <c r="P15" i="12"/>
  <c r="V15" i="12" s="1"/>
  <c r="U170" i="12"/>
  <c r="P7" i="12"/>
  <c r="U162" i="12"/>
  <c r="P37" i="12"/>
  <c r="V37" i="12" s="1"/>
  <c r="P130" i="12"/>
  <c r="V130" i="12" s="1"/>
  <c r="U101" i="12"/>
  <c r="P167" i="12"/>
  <c r="V167" i="12" s="1"/>
  <c r="P29" i="12"/>
  <c r="V29" i="12" s="1"/>
  <c r="U136" i="12"/>
  <c r="P199" i="12"/>
  <c r="V199" i="12" s="1"/>
  <c r="P91" i="12"/>
  <c r="U249" i="12"/>
  <c r="U184" i="12"/>
  <c r="V184" i="12" s="1"/>
  <c r="U89" i="12"/>
  <c r="V89" i="12" s="1"/>
  <c r="P208" i="12"/>
  <c r="P191" i="12"/>
  <c r="P156" i="12"/>
  <c r="U213" i="12"/>
  <c r="U123" i="12"/>
  <c r="P142" i="12"/>
  <c r="U155" i="12"/>
  <c r="U107" i="12"/>
  <c r="V107" i="12" s="1"/>
  <c r="P112" i="12"/>
  <c r="P180" i="12"/>
  <c r="P141" i="12"/>
  <c r="U92" i="12"/>
  <c r="V92" i="12" s="1"/>
  <c r="U186" i="12"/>
  <c r="P122" i="12"/>
  <c r="U143" i="12"/>
  <c r="U47" i="12"/>
  <c r="V47" i="12" s="1"/>
  <c r="P41" i="12"/>
  <c r="P143" i="12"/>
  <c r="V143" i="12" s="1"/>
  <c r="P87" i="12"/>
  <c r="U80" i="12"/>
  <c r="P53" i="12"/>
  <c r="U44" i="12"/>
  <c r="V44" i="12" s="1"/>
  <c r="P190" i="12"/>
  <c r="U57" i="12"/>
  <c r="P59" i="12"/>
  <c r="U109" i="12"/>
  <c r="U217" i="12"/>
  <c r="U122" i="12"/>
  <c r="U112" i="12"/>
  <c r="U177" i="12"/>
  <c r="U108" i="12"/>
  <c r="P125" i="12"/>
  <c r="U42" i="12"/>
  <c r="P222" i="12"/>
  <c r="P189" i="12"/>
  <c r="P45" i="12"/>
  <c r="P175" i="12"/>
  <c r="P76" i="12"/>
  <c r="P144" i="12"/>
  <c r="U119" i="12"/>
  <c r="V119" i="12" s="1"/>
  <c r="U158" i="12"/>
  <c r="U209" i="12"/>
  <c r="V209" i="12" s="1"/>
  <c r="U153" i="12"/>
  <c r="V153" i="12" s="1"/>
  <c r="U140" i="12"/>
  <c r="V140" i="12" s="1"/>
  <c r="P221" i="12"/>
  <c r="U152" i="12"/>
  <c r="U124" i="12"/>
  <c r="U221" i="12"/>
  <c r="P154" i="12"/>
  <c r="P42" i="12"/>
  <c r="V42" i="12" s="1"/>
  <c r="P88" i="12"/>
  <c r="P157" i="12"/>
  <c r="P186" i="12"/>
  <c r="V186" i="12" s="1"/>
  <c r="P109" i="12"/>
  <c r="V109" i="12" s="1"/>
  <c r="U146" i="12"/>
  <c r="U73" i="12"/>
  <c r="V73" i="12" s="1"/>
  <c r="P212" i="12"/>
  <c r="P121" i="12"/>
  <c r="U173" i="12"/>
  <c r="V173" i="12" s="1"/>
  <c r="U151" i="12"/>
  <c r="V151" i="12" s="1"/>
  <c r="U114" i="12"/>
  <c r="U156" i="12"/>
  <c r="U106" i="12"/>
  <c r="V106" i="12" s="1"/>
  <c r="U212" i="12"/>
  <c r="P158" i="12"/>
  <c r="V158" i="12" s="1"/>
  <c r="P123" i="12"/>
  <c r="V123" i="12" s="1"/>
  <c r="U187" i="12"/>
  <c r="V187" i="12" s="1"/>
  <c r="P224" i="12"/>
  <c r="V224" i="12" s="1"/>
  <c r="U147" i="12"/>
  <c r="U91" i="12"/>
  <c r="U220" i="12"/>
  <c r="U154" i="12"/>
  <c r="U150" i="12"/>
  <c r="V150" i="12" s="1"/>
  <c r="U185" i="12"/>
  <c r="V185" i="12" s="1"/>
  <c r="U210" i="12"/>
  <c r="V210" i="12" s="1"/>
  <c r="P110" i="12"/>
  <c r="U55" i="12"/>
  <c r="U219" i="12"/>
  <c r="U110" i="12"/>
  <c r="U46" i="12"/>
  <c r="U40" i="12"/>
  <c r="V40" i="12" s="1"/>
  <c r="U111" i="12"/>
  <c r="U76" i="12"/>
  <c r="P55" i="12"/>
  <c r="V55" i="12" s="1"/>
  <c r="P211" i="12"/>
  <c r="U222" i="12"/>
  <c r="U175" i="12"/>
  <c r="U174" i="12"/>
  <c r="U56" i="12"/>
  <c r="U77" i="12"/>
  <c r="V77" i="12" s="1"/>
  <c r="U172" i="12"/>
  <c r="V172" i="12" s="1"/>
  <c r="U87" i="12"/>
  <c r="U179" i="12"/>
  <c r="U145" i="12"/>
  <c r="V145" i="12" s="1"/>
  <c r="U81" i="12"/>
  <c r="U90" i="12"/>
  <c r="P213" i="12"/>
  <c r="V213" i="12" s="1"/>
  <c r="U218" i="12"/>
  <c r="P114" i="12"/>
  <c r="V114" i="12" s="1"/>
  <c r="U180" i="12"/>
  <c r="P113" i="12"/>
  <c r="U113" i="12"/>
  <c r="U45" i="12"/>
  <c r="U191" i="12"/>
  <c r="U142" i="12"/>
  <c r="P223" i="12"/>
  <c r="P155" i="12"/>
  <c r="V155" i="12" s="1"/>
  <c r="U157" i="12"/>
  <c r="P56" i="12"/>
  <c r="V56" i="12" s="1"/>
  <c r="P54" i="12"/>
  <c r="V54" i="12" s="1"/>
  <c r="U178" i="12"/>
  <c r="U125" i="12"/>
  <c r="U78" i="12"/>
  <c r="V78" i="12" s="1"/>
  <c r="U51" i="12"/>
  <c r="V51" i="12" s="1"/>
  <c r="P146" i="12"/>
  <c r="V146" i="12" s="1"/>
  <c r="P80" i="12"/>
  <c r="V80" i="12" s="1"/>
  <c r="U52" i="12"/>
  <c r="V52" i="12" s="1"/>
  <c r="P147" i="12"/>
  <c r="V147" i="12" s="1"/>
  <c r="P174" i="12"/>
  <c r="P57" i="12"/>
  <c r="V57" i="12" s="1"/>
  <c r="P176" i="12"/>
  <c r="V176" i="12" s="1"/>
  <c r="P85" i="12"/>
  <c r="V85" i="12" s="1"/>
  <c r="P81" i="12"/>
  <c r="V81" i="12" s="1"/>
  <c r="U144" i="12"/>
  <c r="U41" i="12"/>
  <c r="U58" i="12"/>
  <c r="U207" i="12"/>
  <c r="U120" i="12"/>
  <c r="V120" i="12" s="1"/>
  <c r="P111" i="12"/>
  <c r="U75" i="12"/>
  <c r="V75" i="12" s="1"/>
  <c r="U121" i="12"/>
  <c r="U208" i="12"/>
  <c r="P188" i="12"/>
  <c r="P219" i="12"/>
  <c r="V219" i="12" s="1"/>
  <c r="U190" i="12"/>
  <c r="U53" i="12"/>
  <c r="P48" i="12"/>
  <c r="V48" i="12" s="1"/>
  <c r="P179" i="12"/>
  <c r="U211" i="12"/>
  <c r="U141" i="12"/>
  <c r="V141" i="12" s="1"/>
  <c r="P58" i="12"/>
  <c r="P152" i="12"/>
  <c r="V152" i="12" s="1"/>
  <c r="U189" i="12"/>
  <c r="U188" i="12"/>
  <c r="U59" i="12"/>
  <c r="P108" i="12"/>
  <c r="V108" i="12" s="1"/>
  <c r="P178" i="12"/>
  <c r="V178" i="12" s="1"/>
  <c r="P90" i="12"/>
  <c r="V90" i="12" s="1"/>
  <c r="P79" i="12"/>
  <c r="V79" i="12" s="1"/>
  <c r="P46" i="12"/>
  <c r="V46" i="12" s="1"/>
  <c r="U88" i="12"/>
  <c r="P177" i="12"/>
  <c r="V177" i="12" s="1"/>
  <c r="P220" i="12"/>
  <c r="V220" i="12" s="1"/>
  <c r="U223" i="12"/>
  <c r="U86" i="12"/>
  <c r="V86" i="12" s="1"/>
  <c r="U139" i="12"/>
  <c r="V139" i="12" s="1"/>
  <c r="U250" i="12"/>
  <c r="P253" i="12"/>
  <c r="U251" i="12"/>
  <c r="P254" i="12"/>
  <c r="U255" i="12"/>
  <c r="P256" i="12"/>
  <c r="V256" i="12" s="1"/>
  <c r="P258" i="12"/>
  <c r="U254" i="12"/>
  <c r="P255" i="12"/>
  <c r="V255" i="12" s="1"/>
  <c r="U253" i="12"/>
  <c r="U256" i="12"/>
  <c r="U258" i="12"/>
  <c r="U257" i="12"/>
  <c r="V257" i="12" s="1"/>
  <c r="P259" i="12"/>
  <c r="P262" i="12"/>
  <c r="P263" i="12"/>
  <c r="U259" i="12"/>
  <c r="P260" i="12"/>
  <c r="P261" i="12"/>
  <c r="U260" i="12"/>
  <c r="U262" i="12"/>
  <c r="U261" i="12"/>
  <c r="P266" i="12"/>
  <c r="U271" i="12"/>
  <c r="P272" i="12"/>
  <c r="U272" i="12"/>
  <c r="U274" i="12"/>
  <c r="P273" i="12"/>
  <c r="P275" i="12"/>
  <c r="P274" i="12"/>
  <c r="U273" i="12"/>
  <c r="U276" i="12"/>
  <c r="P278" i="12"/>
  <c r="P280" i="12"/>
  <c r="U275" i="12"/>
  <c r="P276" i="12"/>
  <c r="P279" i="12"/>
  <c r="U277" i="12"/>
  <c r="V277" i="12" s="1"/>
  <c r="U278" i="12"/>
  <c r="U280" i="12"/>
  <c r="Z282" i="12"/>
  <c r="AA282" i="12"/>
  <c r="P281" i="12"/>
  <c r="X284" i="13"/>
  <c r="W284" i="13"/>
  <c r="Y284" i="13"/>
  <c r="J284" i="13"/>
  <c r="O284" i="13" s="1"/>
  <c r="R284" i="13"/>
  <c r="S284" i="13"/>
  <c r="I284" i="13"/>
  <c r="Q284" i="13"/>
  <c r="AA283" i="13"/>
  <c r="Z283" i="13"/>
  <c r="P282" i="12"/>
  <c r="W283" i="12"/>
  <c r="X283" i="12"/>
  <c r="Y283" i="12"/>
  <c r="U282" i="12"/>
  <c r="U281" i="12"/>
  <c r="S283" i="12"/>
  <c r="I283" i="12"/>
  <c r="R283" i="12"/>
  <c r="J283" i="12"/>
  <c r="Q283" i="12"/>
  <c r="D286" i="13"/>
  <c r="E285" i="13"/>
  <c r="O285" i="13"/>
  <c r="BG285" i="13"/>
  <c r="F285" i="13"/>
  <c r="T285" i="13"/>
  <c r="BH285" i="13"/>
  <c r="P285" i="13"/>
  <c r="V30" i="12" l="1"/>
  <c r="V110" i="12"/>
  <c r="V169" i="12"/>
  <c r="V116" i="12"/>
  <c r="V12" i="12"/>
  <c r="O283" i="12"/>
  <c r="U283" i="12"/>
  <c r="V121" i="12"/>
  <c r="V76" i="12"/>
  <c r="V274" i="12"/>
  <c r="P283" i="12"/>
  <c r="V283" i="12" s="1"/>
  <c r="AA283" i="12"/>
  <c r="Z283" i="12"/>
  <c r="V279" i="12"/>
  <c r="V278" i="12"/>
  <c r="V275" i="12"/>
  <c r="V272" i="12"/>
  <c r="V58" i="12"/>
  <c r="V188" i="12"/>
  <c r="V111" i="12"/>
  <c r="V113" i="12"/>
  <c r="V179" i="12"/>
  <c r="V211" i="12"/>
  <c r="V212" i="12"/>
  <c r="V154" i="12"/>
  <c r="V221" i="12"/>
  <c r="V175" i="12"/>
  <c r="V59" i="12"/>
  <c r="V53" i="12"/>
  <c r="V41" i="12"/>
  <c r="V112" i="12"/>
  <c r="V208" i="12"/>
  <c r="V91" i="12"/>
  <c r="V7" i="12"/>
  <c r="V136" i="12"/>
  <c r="V9" i="12"/>
  <c r="V162" i="12"/>
  <c r="V64" i="12"/>
  <c r="V132" i="12"/>
  <c r="V28" i="12"/>
  <c r="V129" i="12"/>
  <c r="V165" i="12"/>
  <c r="V5" i="12"/>
  <c r="V23" i="12"/>
  <c r="V68" i="12"/>
  <c r="V100" i="12"/>
  <c r="V10" i="12"/>
  <c r="V96" i="12"/>
  <c r="V247" i="12"/>
  <c r="V243" i="12"/>
  <c r="V227" i="12"/>
  <c r="V137" i="12"/>
  <c r="V82" i="12"/>
  <c r="V38" i="12"/>
  <c r="I285" i="13"/>
  <c r="Q285" i="13"/>
  <c r="S285" i="13"/>
  <c r="J285" i="13"/>
  <c r="R285" i="13"/>
  <c r="BH286" i="13"/>
  <c r="F286" i="13"/>
  <c r="E286" i="13"/>
  <c r="T286" i="13" s="1"/>
  <c r="D287" i="13"/>
  <c r="BG286" i="13"/>
  <c r="C286" i="13"/>
  <c r="Z284" i="13"/>
  <c r="AA284" i="13"/>
  <c r="V273" i="12"/>
  <c r="V271" i="12"/>
  <c r="V254" i="12"/>
  <c r="V157" i="12"/>
  <c r="V45" i="12"/>
  <c r="V125" i="12"/>
  <c r="V124" i="12"/>
  <c r="V25" i="12"/>
  <c r="V127" i="12"/>
  <c r="V22" i="12"/>
  <c r="V163" i="12"/>
  <c r="V218" i="12"/>
  <c r="V183" i="12"/>
  <c r="V250" i="12"/>
  <c r="V245" i="12"/>
  <c r="V233" i="12"/>
  <c r="V231" i="12"/>
  <c r="V192" i="12"/>
  <c r="V115" i="12"/>
  <c r="V27" i="12"/>
  <c r="V280" i="12"/>
  <c r="V276" i="12"/>
  <c r="V282" i="12"/>
  <c r="V281" i="12"/>
  <c r="V261" i="12"/>
  <c r="V262" i="12"/>
  <c r="V258" i="12"/>
  <c r="V174" i="12"/>
  <c r="V88" i="12"/>
  <c r="V144" i="12"/>
  <c r="V189" i="12"/>
  <c r="V190" i="12"/>
  <c r="V87" i="12"/>
  <c r="V156" i="12"/>
  <c r="V207" i="12"/>
  <c r="V11" i="12"/>
  <c r="V62" i="12"/>
  <c r="V217" i="12"/>
  <c r="V216" i="12"/>
  <c r="V134" i="12"/>
  <c r="V135" i="12"/>
  <c r="V160" i="12"/>
  <c r="V67" i="12"/>
  <c r="V8" i="12"/>
  <c r="V69" i="12"/>
  <c r="V6" i="12"/>
  <c r="V101" i="12"/>
  <c r="V105" i="12"/>
  <c r="V65" i="12"/>
  <c r="V168" i="12"/>
  <c r="V21" i="12"/>
  <c r="V194" i="12"/>
  <c r="V246" i="12"/>
  <c r="V248" i="12"/>
  <c r="V228" i="12"/>
  <c r="V226" i="12"/>
  <c r="V170" i="12"/>
  <c r="V104" i="12"/>
  <c r="V60" i="12"/>
  <c r="V16" i="12"/>
  <c r="V260" i="12"/>
  <c r="V259" i="12"/>
  <c r="V253" i="12"/>
  <c r="V223" i="12"/>
  <c r="V222" i="12"/>
  <c r="V122" i="12"/>
  <c r="V180" i="12"/>
  <c r="V142" i="12"/>
  <c r="V191" i="12"/>
  <c r="V252" i="12"/>
  <c r="V94" i="12"/>
  <c r="V31" i="12"/>
  <c r="V133" i="12"/>
  <c r="V14" i="12"/>
  <c r="V36" i="12"/>
  <c r="V70" i="12"/>
  <c r="V197" i="12"/>
  <c r="V249" i="12"/>
  <c r="V251" i="12"/>
  <c r="V244" i="12"/>
  <c r="V232" i="12"/>
  <c r="V230" i="12"/>
  <c r="V229" i="12"/>
  <c r="V225" i="12"/>
  <c r="V148" i="12"/>
  <c r="V93" i="12"/>
  <c r="V49" i="12"/>
  <c r="W284" i="12"/>
  <c r="Y284" i="12"/>
  <c r="X284" i="12"/>
  <c r="P126" i="12"/>
  <c r="V126" i="12" s="1"/>
  <c r="P181" i="12"/>
  <c r="V181" i="12" s="1"/>
  <c r="P214" i="12"/>
  <c r="V214" i="12" s="1"/>
  <c r="U234" i="12"/>
  <c r="V234" i="12" s="1"/>
  <c r="P236" i="12"/>
  <c r="U235" i="12"/>
  <c r="V235" i="12" s="1"/>
  <c r="U237" i="12"/>
  <c r="V237" i="12" s="1"/>
  <c r="P240" i="12"/>
  <c r="U236" i="12"/>
  <c r="P238" i="12"/>
  <c r="P239" i="12"/>
  <c r="U238" i="12"/>
  <c r="U239" i="12"/>
  <c r="P241" i="12"/>
  <c r="U241" i="12"/>
  <c r="U242" i="12"/>
  <c r="U240" i="12"/>
  <c r="P242" i="12"/>
  <c r="P265" i="12"/>
  <c r="P264" i="12"/>
  <c r="P268" i="12"/>
  <c r="U263" i="12"/>
  <c r="V263" i="12" s="1"/>
  <c r="U265" i="12"/>
  <c r="P267" i="12"/>
  <c r="U267" i="12"/>
  <c r="U264" i="12"/>
  <c r="U266" i="12"/>
  <c r="V266" i="12" s="1"/>
  <c r="U269" i="12"/>
  <c r="P269" i="12"/>
  <c r="P270" i="12"/>
  <c r="U268" i="12"/>
  <c r="U270" i="12"/>
  <c r="S284" i="12"/>
  <c r="J284" i="12"/>
  <c r="R284" i="12"/>
  <c r="I284" i="12"/>
  <c r="Q284" i="12"/>
  <c r="V264" i="12" l="1"/>
  <c r="U284" i="12"/>
  <c r="O284" i="12"/>
  <c r="V270" i="12"/>
  <c r="V242" i="12"/>
  <c r="V241" i="12"/>
  <c r="V238" i="12"/>
  <c r="V269" i="12"/>
  <c r="V268" i="12"/>
  <c r="V236" i="12"/>
  <c r="X286" i="13"/>
  <c r="W286" i="13"/>
  <c r="Y286" i="13"/>
  <c r="V267" i="12"/>
  <c r="V240" i="12"/>
  <c r="J286" i="13"/>
  <c r="R286" i="13"/>
  <c r="S286" i="13"/>
  <c r="I286" i="13"/>
  <c r="Q286" i="13"/>
  <c r="P284" i="12"/>
  <c r="V265" i="12"/>
  <c r="V239" i="12"/>
  <c r="AA284" i="12"/>
  <c r="Z284" i="12"/>
  <c r="BG287" i="13"/>
  <c r="D288" i="13"/>
  <c r="E287" i="13"/>
  <c r="F287" i="13"/>
  <c r="T287" i="13"/>
  <c r="BH287" i="13"/>
  <c r="C287" i="13"/>
  <c r="O286" i="13" l="1"/>
  <c r="V284" i="12"/>
  <c r="F288" i="13"/>
  <c r="BH288" i="13"/>
  <c r="E288" i="13"/>
  <c r="T288" i="13" s="1"/>
  <c r="D289" i="13"/>
  <c r="BG288" i="13"/>
  <c r="C288" i="13"/>
  <c r="W287" i="13"/>
  <c r="Y287" i="13"/>
  <c r="X287" i="13"/>
  <c r="S287" i="13"/>
  <c r="I287" i="13"/>
  <c r="Q287" i="13"/>
  <c r="J287" i="13"/>
  <c r="R287" i="13"/>
  <c r="Z286" i="13"/>
  <c r="AA286" i="13"/>
  <c r="O287" i="13" l="1"/>
  <c r="AA287" i="13"/>
  <c r="Z287" i="13"/>
  <c r="X288" i="13"/>
  <c r="W288" i="13"/>
  <c r="Y288" i="13"/>
  <c r="J288" i="13"/>
  <c r="R288" i="13"/>
  <c r="S288" i="13"/>
  <c r="I288" i="13"/>
  <c r="Q288" i="13"/>
  <c r="D290" i="13"/>
  <c r="E289" i="13"/>
  <c r="T289" i="13" s="1"/>
  <c r="F289" i="13"/>
  <c r="BG289" i="13"/>
  <c r="BH289" i="13"/>
  <c r="C289" i="13"/>
  <c r="Y289" i="13" l="1"/>
  <c r="W289" i="13"/>
  <c r="X289" i="13"/>
  <c r="D291" i="13"/>
  <c r="BH290" i="13"/>
  <c r="E290" i="13"/>
  <c r="T290" i="13" s="1"/>
  <c r="F290" i="13"/>
  <c r="BG290" i="13"/>
  <c r="C290" i="13"/>
  <c r="I289" i="13"/>
  <c r="Q289" i="13"/>
  <c r="J289" i="13"/>
  <c r="S289" i="13"/>
  <c r="R289" i="13"/>
  <c r="O288" i="13"/>
  <c r="Z288" i="13"/>
  <c r="AA288" i="13"/>
  <c r="O289" i="13" l="1"/>
  <c r="I290" i="13"/>
  <c r="Q290" i="13"/>
  <c r="J290" i="13"/>
  <c r="R290" i="13"/>
  <c r="S290" i="13"/>
  <c r="X290" i="13"/>
  <c r="Y290" i="13"/>
  <c r="W290" i="13"/>
  <c r="F291" i="13"/>
  <c r="E291" i="13"/>
  <c r="T291" i="13" s="1"/>
  <c r="D292" i="13"/>
  <c r="BG291" i="13"/>
  <c r="BH291" i="13"/>
  <c r="C291" i="13"/>
  <c r="AA289" i="13"/>
  <c r="Z289" i="13"/>
  <c r="D293" i="13" l="1"/>
  <c r="E292" i="13"/>
  <c r="T292" i="13" s="1"/>
  <c r="F292" i="13"/>
  <c r="BG292" i="13"/>
  <c r="BH292" i="13"/>
  <c r="C292" i="13"/>
  <c r="Z290" i="13"/>
  <c r="AA290" i="13"/>
  <c r="O290" i="13"/>
  <c r="W291" i="13"/>
  <c r="Y291" i="13"/>
  <c r="X291" i="13"/>
  <c r="J291" i="13"/>
  <c r="R291" i="13"/>
  <c r="S291" i="13"/>
  <c r="I291" i="13"/>
  <c r="Q291" i="13"/>
  <c r="Z291" i="13" l="1"/>
  <c r="AA291" i="13"/>
  <c r="Y292" i="13"/>
  <c r="X292" i="13"/>
  <c r="W292" i="13"/>
  <c r="BH293" i="13"/>
  <c r="D294" i="13"/>
  <c r="E293" i="13"/>
  <c r="T293" i="13" s="1"/>
  <c r="F293" i="13"/>
  <c r="BG293" i="13"/>
  <c r="C293" i="13"/>
  <c r="O291" i="13"/>
  <c r="I292" i="13"/>
  <c r="Q292" i="13"/>
  <c r="J292" i="13"/>
  <c r="R292" i="13"/>
  <c r="S292" i="13"/>
  <c r="O292" i="13" l="1"/>
  <c r="BG294" i="13"/>
  <c r="BH294" i="13"/>
  <c r="E294" i="13"/>
  <c r="T294" i="13" s="1"/>
  <c r="F294" i="13"/>
  <c r="D295" i="13"/>
  <c r="C294" i="13"/>
  <c r="I293" i="13"/>
  <c r="Q293" i="13"/>
  <c r="S293" i="13"/>
  <c r="J293" i="13"/>
  <c r="R293" i="13"/>
  <c r="Z292" i="13"/>
  <c r="AA292" i="13"/>
  <c r="X293" i="13"/>
  <c r="Y293" i="13"/>
  <c r="W293" i="13"/>
  <c r="S294" i="13" l="1"/>
  <c r="Q294" i="13"/>
  <c r="R294" i="13"/>
  <c r="I294" i="13"/>
  <c r="J294" i="13"/>
  <c r="O294" i="13" s="1"/>
  <c r="O293" i="13"/>
  <c r="AA293" i="13"/>
  <c r="Z293" i="13"/>
  <c r="W294" i="13"/>
  <c r="X294" i="13"/>
  <c r="Y294" i="13"/>
  <c r="F295" i="13"/>
  <c r="BG295" i="13"/>
  <c r="BH295" i="13"/>
  <c r="E295" i="13"/>
  <c r="T295" i="13" s="1"/>
  <c r="D296" i="13"/>
  <c r="C295" i="13"/>
  <c r="D297" i="13" l="1"/>
  <c r="E296" i="13"/>
  <c r="T296" i="13" s="1"/>
  <c r="F296" i="13"/>
  <c r="BG296" i="13"/>
  <c r="BH296" i="13"/>
  <c r="C296" i="13"/>
  <c r="W295" i="13"/>
  <c r="Y295" i="13"/>
  <c r="X295" i="13"/>
  <c r="J295" i="13"/>
  <c r="O295" i="13" s="1"/>
  <c r="R295" i="13"/>
  <c r="S295" i="13"/>
  <c r="I295" i="13"/>
  <c r="Q295" i="13"/>
  <c r="AA294" i="13"/>
  <c r="Z294" i="13"/>
  <c r="I296" i="13" l="1"/>
  <c r="Q296" i="13"/>
  <c r="J296" i="13"/>
  <c r="R296" i="13"/>
  <c r="S296" i="13"/>
  <c r="Z295" i="13"/>
  <c r="AA295" i="13"/>
  <c r="Y296" i="13"/>
  <c r="X296" i="13"/>
  <c r="W296" i="13"/>
  <c r="BH297" i="13"/>
  <c r="D298" i="13"/>
  <c r="E297" i="13"/>
  <c r="T297" i="13" s="1"/>
  <c r="F297" i="13"/>
  <c r="BG297" i="13"/>
  <c r="C297" i="13"/>
  <c r="O296" i="13" l="1"/>
  <c r="D299" i="13"/>
  <c r="BG298" i="13"/>
  <c r="BH298" i="13"/>
  <c r="E298" i="13"/>
  <c r="T298" i="13" s="1"/>
  <c r="F298" i="13"/>
  <c r="C298" i="13"/>
  <c r="I297" i="13"/>
  <c r="Q297" i="13"/>
  <c r="S297" i="13"/>
  <c r="J297" i="13"/>
  <c r="O297" i="13" s="1"/>
  <c r="R297" i="13"/>
  <c r="Z296" i="13"/>
  <c r="AA296" i="13"/>
  <c r="X297" i="13"/>
  <c r="Y297" i="13"/>
  <c r="W297" i="13"/>
  <c r="S298" i="13" l="1"/>
  <c r="Q298" i="13"/>
  <c r="R298" i="13"/>
  <c r="I298" i="13"/>
  <c r="J298" i="13"/>
  <c r="O298" i="13" s="1"/>
  <c r="AA297" i="13"/>
  <c r="Z297" i="13"/>
  <c r="W298" i="13"/>
  <c r="X298" i="13"/>
  <c r="Y298" i="13"/>
  <c r="D300" i="13"/>
  <c r="F299" i="13"/>
  <c r="O299" i="13"/>
  <c r="BG299" i="13"/>
  <c r="E299" i="13"/>
  <c r="BH299" i="13"/>
  <c r="P299" i="13"/>
  <c r="T299" i="13"/>
  <c r="C299" i="13"/>
  <c r="J299" i="13" l="1"/>
  <c r="R299" i="13"/>
  <c r="S299" i="13"/>
  <c r="I299" i="13"/>
  <c r="Q299" i="13"/>
  <c r="AA298" i="13"/>
  <c r="Z298" i="13"/>
  <c r="W299" i="13"/>
  <c r="X299" i="13"/>
  <c r="Y299" i="13"/>
  <c r="D301" i="13"/>
  <c r="BG300" i="13"/>
  <c r="E300" i="13"/>
  <c r="T300" i="13" s="1"/>
  <c r="F300" i="13"/>
  <c r="BH300" i="13"/>
  <c r="C300" i="13"/>
  <c r="S300" i="13" l="1"/>
  <c r="I300" i="13"/>
  <c r="Q300" i="13"/>
  <c r="J300" i="13"/>
  <c r="R300" i="13"/>
  <c r="W300" i="13"/>
  <c r="Y300" i="13"/>
  <c r="X300" i="13"/>
  <c r="E301" i="13"/>
  <c r="T301" i="13" s="1"/>
  <c r="F301" i="13"/>
  <c r="BG301" i="13"/>
  <c r="D302" i="13"/>
  <c r="BH301" i="13"/>
  <c r="C301" i="13"/>
  <c r="Z299" i="13"/>
  <c r="AA299" i="13"/>
  <c r="O300" i="13" l="1"/>
  <c r="AA300" i="13"/>
  <c r="Z300" i="13"/>
  <c r="D303" i="13"/>
  <c r="F302" i="13"/>
  <c r="BG302" i="13"/>
  <c r="BH302" i="13"/>
  <c r="E302" i="13"/>
  <c r="T302" i="13"/>
  <c r="C302" i="13"/>
  <c r="S301" i="13"/>
  <c r="Q301" i="13"/>
  <c r="R301" i="13"/>
  <c r="I301" i="13"/>
  <c r="J301" i="13"/>
  <c r="W301" i="13"/>
  <c r="X301" i="13"/>
  <c r="Y301" i="13"/>
  <c r="O301" i="13" l="1"/>
  <c r="J302" i="13"/>
  <c r="R302" i="13"/>
  <c r="S302" i="13"/>
  <c r="I302" i="13"/>
  <c r="Q302" i="13"/>
  <c r="W302" i="13"/>
  <c r="X302" i="13"/>
  <c r="Y302" i="13"/>
  <c r="D304" i="13"/>
  <c r="E303" i="13"/>
  <c r="T303" i="13" s="1"/>
  <c r="F303" i="13"/>
  <c r="BG303" i="13"/>
  <c r="BH303" i="13"/>
  <c r="C303" i="13"/>
  <c r="AA301" i="13"/>
  <c r="Z301" i="13"/>
  <c r="F304" i="13" l="1"/>
  <c r="BG304" i="13"/>
  <c r="BH304" i="13"/>
  <c r="D305" i="13"/>
  <c r="E304" i="13"/>
  <c r="T304" i="13" s="1"/>
  <c r="C304" i="13"/>
  <c r="S303" i="13"/>
  <c r="I303" i="13"/>
  <c r="Q303" i="13"/>
  <c r="J303" i="13"/>
  <c r="O303" i="13" s="1"/>
  <c r="R303" i="13"/>
  <c r="O302" i="13"/>
  <c r="W303" i="13"/>
  <c r="X303" i="13"/>
  <c r="Y303" i="13"/>
  <c r="Z302" i="13"/>
  <c r="AA302" i="13"/>
  <c r="W304" i="13" l="1"/>
  <c r="X304" i="13"/>
  <c r="Y304" i="13"/>
  <c r="J304" i="13"/>
  <c r="R304" i="13"/>
  <c r="S304" i="13"/>
  <c r="I304" i="13"/>
  <c r="Q304" i="13"/>
  <c r="AA303" i="13"/>
  <c r="Z303" i="13"/>
  <c r="E305" i="13"/>
  <c r="T305" i="13" s="1"/>
  <c r="F305" i="13"/>
  <c r="D306" i="13"/>
  <c r="BG305" i="13"/>
  <c r="BH305" i="13"/>
  <c r="C305" i="13"/>
  <c r="D307" i="13" l="1"/>
  <c r="F306" i="13"/>
  <c r="BH306" i="13"/>
  <c r="E306" i="13"/>
  <c r="T306" i="13" s="1"/>
  <c r="BG306" i="13"/>
  <c r="C306" i="13"/>
  <c r="I305" i="13"/>
  <c r="Q305" i="13"/>
  <c r="J305" i="13"/>
  <c r="R305" i="13"/>
  <c r="S305" i="13"/>
  <c r="Z304" i="13"/>
  <c r="AA304" i="13"/>
  <c r="Y305" i="13"/>
  <c r="W305" i="13"/>
  <c r="X305" i="13"/>
  <c r="O304" i="13"/>
  <c r="O305" i="13" l="1"/>
  <c r="J306" i="13"/>
  <c r="Q306" i="13"/>
  <c r="I306" i="13"/>
  <c r="R306" i="13"/>
  <c r="S306" i="13"/>
  <c r="X306" i="13"/>
  <c r="Y306" i="13"/>
  <c r="W306" i="13"/>
  <c r="D308" i="13"/>
  <c r="E307" i="13"/>
  <c r="T307" i="13" s="1"/>
  <c r="F307" i="13"/>
  <c r="BG307" i="13"/>
  <c r="BH307" i="13"/>
  <c r="C307" i="13"/>
  <c r="Z305" i="13"/>
  <c r="AA305" i="13"/>
  <c r="Y307" i="13" l="1"/>
  <c r="W307" i="13"/>
  <c r="X307" i="13"/>
  <c r="F308" i="13"/>
  <c r="BG308" i="13"/>
  <c r="BH308" i="13"/>
  <c r="D309" i="13"/>
  <c r="E308" i="13"/>
  <c r="T308" i="13" s="1"/>
  <c r="C308" i="13"/>
  <c r="Z306" i="13"/>
  <c r="AA306" i="13"/>
  <c r="I307" i="13"/>
  <c r="Q307" i="13"/>
  <c r="J307" i="13"/>
  <c r="R307" i="13"/>
  <c r="S307" i="13"/>
  <c r="O306" i="13"/>
  <c r="O307" i="13" l="1"/>
  <c r="D310" i="13"/>
  <c r="E309" i="13"/>
  <c r="T309" i="13" s="1"/>
  <c r="F309" i="13"/>
  <c r="BG309" i="13"/>
  <c r="BH309" i="13"/>
  <c r="C309" i="13"/>
  <c r="Z307" i="13"/>
  <c r="AA307" i="13"/>
  <c r="W308" i="13"/>
  <c r="X308" i="13"/>
  <c r="Y308" i="13"/>
  <c r="J308" i="13"/>
  <c r="R308" i="13"/>
  <c r="S308" i="13"/>
  <c r="I308" i="13"/>
  <c r="Q308" i="13"/>
  <c r="I309" i="13" l="1"/>
  <c r="Q309" i="13"/>
  <c r="J309" i="13"/>
  <c r="R309" i="13"/>
  <c r="S309" i="13"/>
  <c r="Z308" i="13"/>
  <c r="AA308" i="13"/>
  <c r="O308" i="13"/>
  <c r="Y309" i="13"/>
  <c r="W309" i="13"/>
  <c r="X309" i="13"/>
  <c r="BH310" i="13"/>
  <c r="D311" i="13"/>
  <c r="E310" i="13"/>
  <c r="T310" i="13" s="1"/>
  <c r="F310" i="13"/>
  <c r="BG310" i="13"/>
  <c r="C310" i="13"/>
  <c r="O309" i="13" l="1"/>
  <c r="X310" i="13"/>
  <c r="Y310" i="13"/>
  <c r="W310" i="13"/>
  <c r="BG311" i="13"/>
  <c r="BH311" i="13"/>
  <c r="D312" i="13"/>
  <c r="E311" i="13"/>
  <c r="T311" i="13" s="1"/>
  <c r="F311" i="13"/>
  <c r="C311" i="13"/>
  <c r="U303" i="13"/>
  <c r="P307" i="13"/>
  <c r="U305" i="13"/>
  <c r="U307" i="13"/>
  <c r="U309" i="13"/>
  <c r="Z309" i="13"/>
  <c r="AA309" i="13"/>
  <c r="I310" i="13"/>
  <c r="Q310" i="13"/>
  <c r="J310" i="13"/>
  <c r="R310" i="13"/>
  <c r="S310" i="13"/>
  <c r="P309" i="13"/>
  <c r="O310" i="13" l="1"/>
  <c r="P310" i="13"/>
  <c r="F312" i="13"/>
  <c r="BG312" i="13"/>
  <c r="BH312" i="13"/>
  <c r="E312" i="13"/>
  <c r="T312" i="13" s="1"/>
  <c r="C312" i="13"/>
  <c r="P27" i="13"/>
  <c r="P38" i="13"/>
  <c r="P49" i="13"/>
  <c r="P60" i="13"/>
  <c r="P82" i="13"/>
  <c r="P93" i="13"/>
  <c r="P104" i="13"/>
  <c r="P115" i="13"/>
  <c r="P137" i="13"/>
  <c r="P148" i="13"/>
  <c r="P170" i="13"/>
  <c r="P192" i="13"/>
  <c r="P203" i="13"/>
  <c r="P225" i="13"/>
  <c r="P236" i="13"/>
  <c r="P248" i="13"/>
  <c r="P249" i="13"/>
  <c r="P247" i="13"/>
  <c r="U250" i="13"/>
  <c r="P252" i="13"/>
  <c r="U247" i="13"/>
  <c r="U248" i="13"/>
  <c r="P251" i="13"/>
  <c r="P6" i="13"/>
  <c r="P250" i="13"/>
  <c r="V250" i="13" s="1"/>
  <c r="U242" i="13"/>
  <c r="U48" i="13"/>
  <c r="U249" i="13"/>
  <c r="P255" i="13"/>
  <c r="U251" i="13"/>
  <c r="U20" i="13"/>
  <c r="U16" i="13"/>
  <c r="U40" i="13"/>
  <c r="U50" i="13"/>
  <c r="P28" i="13"/>
  <c r="P18" i="13"/>
  <c r="U17" i="13"/>
  <c r="P30" i="13"/>
  <c r="U5" i="13"/>
  <c r="V5" i="13" s="1"/>
  <c r="P253" i="13"/>
  <c r="P39" i="13"/>
  <c r="P40" i="13"/>
  <c r="P239" i="13"/>
  <c r="U6" i="13"/>
  <c r="U7" i="13"/>
  <c r="U52" i="13"/>
  <c r="P68" i="13"/>
  <c r="P31" i="13"/>
  <c r="P29" i="13"/>
  <c r="U19" i="13"/>
  <c r="V19" i="13" s="1"/>
  <c r="U62" i="13"/>
  <c r="U28" i="13"/>
  <c r="U236" i="13"/>
  <c r="V236" i="13" s="1"/>
  <c r="P242" i="13"/>
  <c r="V242" i="13" s="1"/>
  <c r="U129" i="13"/>
  <c r="P84" i="13"/>
  <c r="U171" i="13"/>
  <c r="U197" i="13"/>
  <c r="P136" i="13"/>
  <c r="P94" i="13"/>
  <c r="U231" i="13"/>
  <c r="U30" i="13"/>
  <c r="P11" i="13"/>
  <c r="U135" i="13"/>
  <c r="U240" i="13"/>
  <c r="P63" i="13"/>
  <c r="P7" i="13"/>
  <c r="U217" i="13"/>
  <c r="U102" i="13"/>
  <c r="U134" i="13"/>
  <c r="U95" i="13"/>
  <c r="P55" i="13"/>
  <c r="U196" i="13"/>
  <c r="P198" i="13"/>
  <c r="U165" i="13"/>
  <c r="U118" i="13"/>
  <c r="U21" i="13"/>
  <c r="U8" i="13"/>
  <c r="P228" i="13"/>
  <c r="U173" i="13"/>
  <c r="V173" i="13" s="1"/>
  <c r="U67" i="13"/>
  <c r="P72" i="13"/>
  <c r="U65" i="13"/>
  <c r="P41" i="13"/>
  <c r="P165" i="13"/>
  <c r="U181" i="13"/>
  <c r="U139" i="13"/>
  <c r="P87" i="13"/>
  <c r="P26" i="13"/>
  <c r="P193" i="13"/>
  <c r="P205" i="13"/>
  <c r="U148" i="13"/>
  <c r="P105" i="13"/>
  <c r="U29" i="13"/>
  <c r="P12" i="13"/>
  <c r="U216" i="13"/>
  <c r="P164" i="13"/>
  <c r="P64" i="13"/>
  <c r="P81" i="13"/>
  <c r="U15" i="13"/>
  <c r="P232" i="13"/>
  <c r="P118" i="13"/>
  <c r="V118" i="13" s="1"/>
  <c r="P172" i="13"/>
  <c r="U170" i="13"/>
  <c r="V170" i="13" s="1"/>
  <c r="P129" i="13"/>
  <c r="V129" i="13" s="1"/>
  <c r="U11" i="13"/>
  <c r="P36" i="13"/>
  <c r="U232" i="13"/>
  <c r="P182" i="13"/>
  <c r="U59" i="13"/>
  <c r="P97" i="13"/>
  <c r="P10" i="13"/>
  <c r="P237" i="13"/>
  <c r="U138" i="13"/>
  <c r="P160" i="13"/>
  <c r="P127" i="13"/>
  <c r="U71" i="13"/>
  <c r="U214" i="13"/>
  <c r="P231" i="13"/>
  <c r="V231" i="13" s="1"/>
  <c r="P241" i="13"/>
  <c r="U96" i="13"/>
  <c r="U172" i="13"/>
  <c r="U82" i="13"/>
  <c r="P37" i="13"/>
  <c r="P167" i="13"/>
  <c r="U192" i="13"/>
  <c r="U195" i="13"/>
  <c r="P78" i="13"/>
  <c r="P95" i="13"/>
  <c r="V95" i="13" s="1"/>
  <c r="U26" i="13"/>
  <c r="P206" i="13"/>
  <c r="P99" i="13"/>
  <c r="U160" i="13"/>
  <c r="U103" i="13"/>
  <c r="V103" i="13" s="1"/>
  <c r="P69" i="13"/>
  <c r="U203" i="13"/>
  <c r="V203" i="13" s="1"/>
  <c r="U230" i="13"/>
  <c r="P80" i="13"/>
  <c r="U85" i="13"/>
  <c r="U25" i="13"/>
  <c r="P183" i="13"/>
  <c r="P184" i="13"/>
  <c r="P150" i="13"/>
  <c r="U97" i="13"/>
  <c r="P234" i="13"/>
  <c r="U31" i="13"/>
  <c r="P217" i="13"/>
  <c r="V217" i="13" s="1"/>
  <c r="U164" i="13"/>
  <c r="P62" i="13"/>
  <c r="V62" i="13" s="1"/>
  <c r="P66" i="13"/>
  <c r="U33" i="13"/>
  <c r="V33" i="13" s="1"/>
  <c r="U226" i="13"/>
  <c r="U116" i="13"/>
  <c r="P132" i="13"/>
  <c r="U73" i="13"/>
  <c r="P24" i="13"/>
  <c r="P169" i="13"/>
  <c r="P200" i="13"/>
  <c r="P133" i="13"/>
  <c r="U94" i="13"/>
  <c r="U234" i="13"/>
  <c r="U39" i="13"/>
  <c r="U200" i="13"/>
  <c r="U161" i="13"/>
  <c r="P52" i="13"/>
  <c r="V52" i="13" s="1"/>
  <c r="P73" i="13"/>
  <c r="P21" i="13"/>
  <c r="V21" i="13" s="1"/>
  <c r="P226" i="13"/>
  <c r="V226" i="13" s="1"/>
  <c r="U101" i="13"/>
  <c r="U132" i="13"/>
  <c r="U130" i="13"/>
  <c r="U84" i="13"/>
  <c r="U225" i="13"/>
  <c r="U32" i="13"/>
  <c r="P197" i="13"/>
  <c r="V197" i="13" s="1"/>
  <c r="P140" i="13"/>
  <c r="P25" i="13"/>
  <c r="V25" i="13" s="1"/>
  <c r="U61" i="13"/>
  <c r="V61" i="13" s="1"/>
  <c r="U237" i="13"/>
  <c r="U115" i="13"/>
  <c r="P208" i="13"/>
  <c r="U76" i="13"/>
  <c r="U24" i="13"/>
  <c r="U35" i="13"/>
  <c r="P194" i="13"/>
  <c r="U137" i="13"/>
  <c r="P14" i="13"/>
  <c r="P53" i="13"/>
  <c r="P210" i="13"/>
  <c r="P168" i="13"/>
  <c r="U63" i="13"/>
  <c r="U106" i="13"/>
  <c r="U68" i="13"/>
  <c r="U43" i="13"/>
  <c r="U163" i="13"/>
  <c r="P195" i="13"/>
  <c r="V195" i="13" s="1"/>
  <c r="U193" i="13"/>
  <c r="U136" i="13"/>
  <c r="U36" i="13"/>
  <c r="P50" i="13"/>
  <c r="V50" i="13" s="1"/>
  <c r="U241" i="13"/>
  <c r="P202" i="13"/>
  <c r="U83" i="13"/>
  <c r="P98" i="13"/>
  <c r="U239" i="13"/>
  <c r="P20" i="13"/>
  <c r="V20" i="13" s="1"/>
  <c r="P162" i="13"/>
  <c r="U159" i="13"/>
  <c r="V159" i="13" s="1"/>
  <c r="P254" i="13"/>
  <c r="U13" i="13"/>
  <c r="P216" i="13"/>
  <c r="V216" i="13" s="1"/>
  <c r="U100" i="13"/>
  <c r="U126" i="13"/>
  <c r="P171" i="13"/>
  <c r="V171" i="13" s="1"/>
  <c r="U128" i="13"/>
  <c r="U12" i="13"/>
  <c r="U23" i="13"/>
  <c r="P17" i="13"/>
  <c r="V17" i="13" s="1"/>
  <c r="P196" i="13"/>
  <c r="V196" i="13" s="1"/>
  <c r="U80" i="13"/>
  <c r="P100" i="13"/>
  <c r="U53" i="13"/>
  <c r="P34" i="13"/>
  <c r="P141" i="13"/>
  <c r="U168" i="13"/>
  <c r="U104" i="13"/>
  <c r="V104" i="13" s="1"/>
  <c r="P240" i="13"/>
  <c r="V240" i="13" s="1"/>
  <c r="U202" i="13"/>
  <c r="U252" i="13"/>
  <c r="P128" i="13"/>
  <c r="P83" i="13"/>
  <c r="V83" i="13" s="1"/>
  <c r="P23" i="13"/>
  <c r="U182" i="13"/>
  <c r="U198" i="13"/>
  <c r="P149" i="13"/>
  <c r="P101" i="13"/>
  <c r="V101" i="13" s="1"/>
  <c r="P32" i="13"/>
  <c r="V32" i="13" s="1"/>
  <c r="U38" i="13"/>
  <c r="U205" i="13"/>
  <c r="P166" i="13"/>
  <c r="U60" i="13"/>
  <c r="U70" i="13"/>
  <c r="U14" i="13"/>
  <c r="P235" i="13"/>
  <c r="P134" i="13"/>
  <c r="V134" i="13" s="1"/>
  <c r="U131" i="13"/>
  <c r="V131" i="13" s="1"/>
  <c r="P77" i="13"/>
  <c r="P48" i="13"/>
  <c r="V48" i="13" s="1"/>
  <c r="P8" i="13"/>
  <c r="V8" i="13" s="1"/>
  <c r="U166" i="13"/>
  <c r="U127" i="13"/>
  <c r="P230" i="13"/>
  <c r="V230" i="13" s="1"/>
  <c r="U238" i="13"/>
  <c r="U149" i="13"/>
  <c r="U99" i="13"/>
  <c r="P238" i="13"/>
  <c r="U34" i="13"/>
  <c r="U183" i="13"/>
  <c r="U150" i="13"/>
  <c r="P51" i="13"/>
  <c r="P70" i="13"/>
  <c r="V70" i="13" s="1"/>
  <c r="P35" i="13"/>
  <c r="V35" i="13" s="1"/>
  <c r="P233" i="13"/>
  <c r="P119" i="13"/>
  <c r="P152" i="13"/>
  <c r="P139" i="13"/>
  <c r="U93" i="13"/>
  <c r="U233" i="13"/>
  <c r="P15" i="13"/>
  <c r="P204" i="13"/>
  <c r="U162" i="13"/>
  <c r="U49" i="13"/>
  <c r="P65" i="13"/>
  <c r="V65" i="13" s="1"/>
  <c r="P9" i="13"/>
  <c r="U227" i="13"/>
  <c r="P106" i="13"/>
  <c r="V106" i="13" s="1"/>
  <c r="U105" i="13"/>
  <c r="P102" i="13"/>
  <c r="V102" i="13" s="1"/>
  <c r="U64" i="13"/>
  <c r="U201" i="13"/>
  <c r="V201" i="13" s="1"/>
  <c r="P227" i="13"/>
  <c r="V227" i="13" s="1"/>
  <c r="P135" i="13"/>
  <c r="V135" i="13" s="1"/>
  <c r="P86" i="13"/>
  <c r="U229" i="13"/>
  <c r="V229" i="13" s="1"/>
  <c r="U27" i="13"/>
  <c r="P199" i="13"/>
  <c r="P138" i="13"/>
  <c r="V138" i="13" s="1"/>
  <c r="U9" i="13"/>
  <c r="V9" i="13" s="1"/>
  <c r="P67" i="13"/>
  <c r="V67" i="13" s="1"/>
  <c r="U22" i="13"/>
  <c r="P207" i="13"/>
  <c r="U98" i="13"/>
  <c r="P130" i="13"/>
  <c r="V130" i="13" s="1"/>
  <c r="U72" i="13"/>
  <c r="P13" i="13"/>
  <c r="V13" i="13" s="1"/>
  <c r="P163" i="13"/>
  <c r="V163" i="13" s="1"/>
  <c r="U215" i="13"/>
  <c r="V215" i="13" s="1"/>
  <c r="P42" i="13"/>
  <c r="U69" i="13"/>
  <c r="P22" i="13"/>
  <c r="U167" i="13"/>
  <c r="U194" i="13"/>
  <c r="U133" i="13"/>
  <c r="P96" i="13"/>
  <c r="U235" i="13"/>
  <c r="U18" i="13"/>
  <c r="U199" i="13"/>
  <c r="P161" i="13"/>
  <c r="V161" i="13" s="1"/>
  <c r="U37" i="13"/>
  <c r="U66" i="13"/>
  <c r="U10" i="13"/>
  <c r="U228" i="13"/>
  <c r="P116" i="13"/>
  <c r="V116" i="13" s="1"/>
  <c r="P122" i="13"/>
  <c r="U204" i="13"/>
  <c r="P76" i="13"/>
  <c r="V76" i="13" s="1"/>
  <c r="U169" i="13"/>
  <c r="U224" i="13"/>
  <c r="P158" i="13"/>
  <c r="U187" i="13"/>
  <c r="V187" i="13" s="1"/>
  <c r="U121" i="13"/>
  <c r="P121" i="13"/>
  <c r="P218" i="13"/>
  <c r="U146" i="13"/>
  <c r="P153" i="13"/>
  <c r="P175" i="13"/>
  <c r="U91" i="13"/>
  <c r="U87" i="13"/>
  <c r="V87" i="13" s="1"/>
  <c r="P224" i="13"/>
  <c r="U124" i="13"/>
  <c r="U206" i="13"/>
  <c r="U185" i="13"/>
  <c r="U75" i="13"/>
  <c r="V75" i="13" s="1"/>
  <c r="P179" i="13"/>
  <c r="P213" i="13"/>
  <c r="P91" i="13"/>
  <c r="P222" i="13"/>
  <c r="U77" i="13"/>
  <c r="P43" i="13"/>
  <c r="V43" i="13" s="1"/>
  <c r="U153" i="13"/>
  <c r="U152" i="13"/>
  <c r="U119" i="13"/>
  <c r="V119" i="13" s="1"/>
  <c r="P174" i="13"/>
  <c r="P107" i="13"/>
  <c r="U212" i="13"/>
  <c r="U145" i="13"/>
  <c r="V145" i="13" s="1"/>
  <c r="P114" i="13"/>
  <c r="P211" i="13"/>
  <c r="P109" i="13"/>
  <c r="U208" i="13"/>
  <c r="P188" i="13"/>
  <c r="P123" i="13"/>
  <c r="U222" i="13"/>
  <c r="U90" i="13"/>
  <c r="P56" i="13"/>
  <c r="U175" i="13"/>
  <c r="U211" i="13"/>
  <c r="P245" i="13"/>
  <c r="P151" i="13"/>
  <c r="P155" i="13"/>
  <c r="U213" i="13"/>
  <c r="V213" i="13" s="1"/>
  <c r="U108" i="13"/>
  <c r="U207" i="13"/>
  <c r="V207" i="13" s="1"/>
  <c r="U78" i="13"/>
  <c r="V78" i="13" s="1"/>
  <c r="U246" i="13"/>
  <c r="U143" i="13"/>
  <c r="U221" i="13"/>
  <c r="U186" i="13"/>
  <c r="U243" i="13"/>
  <c r="V243" i="13" s="1"/>
  <c r="P79" i="13"/>
  <c r="U45" i="13"/>
  <c r="U147" i="13"/>
  <c r="U107" i="13"/>
  <c r="U158" i="13"/>
  <c r="U92" i="13"/>
  <c r="P176" i="13"/>
  <c r="U218" i="13"/>
  <c r="U109" i="13"/>
  <c r="U110" i="13"/>
  <c r="P111" i="13"/>
  <c r="P142" i="13"/>
  <c r="U144" i="13"/>
  <c r="P190" i="13"/>
  <c r="P219" i="13"/>
  <c r="U42" i="13"/>
  <c r="U157" i="13"/>
  <c r="P74" i="13"/>
  <c r="P120" i="13"/>
  <c r="U155" i="13"/>
  <c r="P186" i="13"/>
  <c r="V186" i="13" s="1"/>
  <c r="P125" i="13"/>
  <c r="U111" i="13"/>
  <c r="U113" i="13"/>
  <c r="P246" i="13"/>
  <c r="U223" i="13"/>
  <c r="U184" i="13"/>
  <c r="V184" i="13" s="1"/>
  <c r="P108" i="13"/>
  <c r="P177" i="13"/>
  <c r="U51" i="13"/>
  <c r="U209" i="13"/>
  <c r="U55" i="13"/>
  <c r="V55" i="13" s="1"/>
  <c r="U140" i="13"/>
  <c r="V140" i="13" s="1"/>
  <c r="U46" i="13"/>
  <c r="U174" i="13"/>
  <c r="P44" i="13"/>
  <c r="V44" i="13" s="1"/>
  <c r="U88" i="13"/>
  <c r="U44" i="13"/>
  <c r="P54" i="13"/>
  <c r="U125" i="13"/>
  <c r="U112" i="13"/>
  <c r="U122" i="13"/>
  <c r="V122" i="13" s="1"/>
  <c r="U156" i="13"/>
  <c r="P185" i="13"/>
  <c r="V185" i="13" s="1"/>
  <c r="P221" i="13"/>
  <c r="V221" i="13" s="1"/>
  <c r="U114" i="13"/>
  <c r="U81" i="13"/>
  <c r="U191" i="13"/>
  <c r="U188" i="13"/>
  <c r="P212" i="13"/>
  <c r="V212" i="13" s="1"/>
  <c r="P147" i="13"/>
  <c r="V147" i="13" s="1"/>
  <c r="U154" i="13"/>
  <c r="P90" i="13"/>
  <c r="V90" i="13" s="1"/>
  <c r="P154" i="13"/>
  <c r="U244" i="13"/>
  <c r="U86" i="13"/>
  <c r="V86" i="13" s="1"/>
  <c r="P244" i="13"/>
  <c r="P92" i="13"/>
  <c r="V92" i="13" s="1"/>
  <c r="U74" i="13"/>
  <c r="P110" i="13"/>
  <c r="P143" i="13"/>
  <c r="V143" i="13" s="1"/>
  <c r="U220" i="13"/>
  <c r="U177" i="13"/>
  <c r="U142" i="13"/>
  <c r="P156" i="13"/>
  <c r="V156" i="13" s="1"/>
  <c r="P124" i="13"/>
  <c r="V124" i="13" s="1"/>
  <c r="U123" i="13"/>
  <c r="V123" i="13" s="1"/>
  <c r="P59" i="13"/>
  <c r="V59" i="13" s="1"/>
  <c r="U54" i="13"/>
  <c r="U179" i="13"/>
  <c r="U189" i="13"/>
  <c r="P57" i="13"/>
  <c r="U178" i="13"/>
  <c r="U253" i="13"/>
  <c r="P88" i="13"/>
  <c r="P178" i="13"/>
  <c r="U47" i="13"/>
  <c r="V47" i="13" s="1"/>
  <c r="U141" i="13"/>
  <c r="U245" i="13"/>
  <c r="V245" i="13" s="1"/>
  <c r="U219" i="13"/>
  <c r="V219" i="13" s="1"/>
  <c r="U117" i="13"/>
  <c r="V117" i="13" s="1"/>
  <c r="U89" i="13"/>
  <c r="V89" i="13" s="1"/>
  <c r="P112" i="13"/>
  <c r="P180" i="13"/>
  <c r="U79" i="13"/>
  <c r="P46" i="13"/>
  <c r="V46" i="13" s="1"/>
  <c r="U254" i="13"/>
  <c r="P223" i="13"/>
  <c r="V223" i="13" s="1"/>
  <c r="U120" i="13"/>
  <c r="P58" i="13"/>
  <c r="P220" i="13"/>
  <c r="U210" i="13"/>
  <c r="V210" i="13" s="1"/>
  <c r="P144" i="13"/>
  <c r="V144" i="13" s="1"/>
  <c r="U56" i="13"/>
  <c r="U151" i="13"/>
  <c r="P209" i="13"/>
  <c r="V209" i="13" s="1"/>
  <c r="U190" i="13"/>
  <c r="V190" i="13" s="1"/>
  <c r="U58" i="13"/>
  <c r="P189" i="13"/>
  <c r="V189" i="13" s="1"/>
  <c r="P191" i="13"/>
  <c r="V191" i="13" s="1"/>
  <c r="U41" i="13"/>
  <c r="P146" i="13"/>
  <c r="V146" i="13" s="1"/>
  <c r="P113" i="13"/>
  <c r="U176" i="13"/>
  <c r="U57" i="13"/>
  <c r="U180" i="13"/>
  <c r="P45" i="13"/>
  <c r="V45" i="13" s="1"/>
  <c r="P85" i="13"/>
  <c r="V85" i="13" s="1"/>
  <c r="P157" i="13"/>
  <c r="V157" i="13" s="1"/>
  <c r="P256" i="13"/>
  <c r="P258" i="13"/>
  <c r="U255" i="13"/>
  <c r="P259" i="13"/>
  <c r="U259" i="13"/>
  <c r="U257" i="13"/>
  <c r="V257" i="13" s="1"/>
  <c r="U256" i="13"/>
  <c r="P260" i="13"/>
  <c r="P263" i="13"/>
  <c r="U258" i="13"/>
  <c r="P261" i="13"/>
  <c r="P264" i="13"/>
  <c r="U260" i="13"/>
  <c r="P262" i="13"/>
  <c r="U261" i="13"/>
  <c r="P266" i="13"/>
  <c r="U263" i="13"/>
  <c r="P272" i="13"/>
  <c r="P275" i="13"/>
  <c r="U272" i="13"/>
  <c r="U271" i="13"/>
  <c r="P274" i="13"/>
  <c r="P276" i="13"/>
  <c r="U273" i="13"/>
  <c r="U275" i="13"/>
  <c r="P273" i="13"/>
  <c r="U276" i="13"/>
  <c r="U274" i="13"/>
  <c r="P277" i="13"/>
  <c r="P278" i="13"/>
  <c r="P279" i="13"/>
  <c r="U277" i="13"/>
  <c r="U278" i="13"/>
  <c r="P281" i="13"/>
  <c r="U279" i="13"/>
  <c r="P280" i="13"/>
  <c r="U280" i="13"/>
  <c r="U282" i="13"/>
  <c r="U281" i="13"/>
  <c r="P282" i="13"/>
  <c r="P283" i="13"/>
  <c r="P284" i="13"/>
  <c r="U283" i="13"/>
  <c r="P288" i="13"/>
  <c r="U285" i="13"/>
  <c r="P286" i="13"/>
  <c r="U284" i="13"/>
  <c r="P287" i="13"/>
  <c r="U287" i="13"/>
  <c r="P289" i="13"/>
  <c r="U286" i="13"/>
  <c r="U289" i="13"/>
  <c r="P290" i="13"/>
  <c r="P291" i="13"/>
  <c r="U288" i="13"/>
  <c r="P301" i="13"/>
  <c r="P300" i="13"/>
  <c r="U299" i="13"/>
  <c r="P304" i="13"/>
  <c r="U300" i="13"/>
  <c r="P302" i="13"/>
  <c r="P303" i="13"/>
  <c r="U301" i="13"/>
  <c r="U304" i="13"/>
  <c r="U308" i="13"/>
  <c r="U302" i="13"/>
  <c r="U306" i="13"/>
  <c r="P308" i="13"/>
  <c r="P306" i="13"/>
  <c r="P305" i="13"/>
  <c r="V310" i="13"/>
  <c r="W311" i="13"/>
  <c r="X311" i="13"/>
  <c r="Y311" i="13"/>
  <c r="Z310" i="13"/>
  <c r="AA310" i="13"/>
  <c r="U310" i="13"/>
  <c r="S311" i="13"/>
  <c r="I311" i="13"/>
  <c r="Q311" i="13"/>
  <c r="J311" i="13"/>
  <c r="R311" i="13"/>
  <c r="V309" i="13"/>
  <c r="V307" i="13"/>
  <c r="V180" i="13" l="1"/>
  <c r="V165" i="13"/>
  <c r="V73" i="13"/>
  <c r="V113" i="13"/>
  <c r="V220" i="13"/>
  <c r="V91" i="13"/>
  <c r="V22" i="13"/>
  <c r="V23" i="13"/>
  <c r="V7" i="13"/>
  <c r="V308" i="13"/>
  <c r="V301" i="13"/>
  <c r="V246" i="13"/>
  <c r="V128" i="13"/>
  <c r="V200" i="13"/>
  <c r="V40" i="13"/>
  <c r="U311" i="13"/>
  <c r="V244" i="13"/>
  <c r="V177" i="13"/>
  <c r="V153" i="13"/>
  <c r="V100" i="13"/>
  <c r="V288" i="13"/>
  <c r="V279" i="13"/>
  <c r="V275" i="13"/>
  <c r="V305" i="13"/>
  <c r="V303" i="13"/>
  <c r="V299" i="13"/>
  <c r="V289" i="13"/>
  <c r="V286" i="13"/>
  <c r="V284" i="13"/>
  <c r="V281" i="13"/>
  <c r="V278" i="13"/>
  <c r="V273" i="13"/>
  <c r="V274" i="13"/>
  <c r="V272" i="13"/>
  <c r="V258" i="13"/>
  <c r="V112" i="13"/>
  <c r="V88" i="13"/>
  <c r="V54" i="13"/>
  <c r="V120" i="13"/>
  <c r="V111" i="13"/>
  <c r="V176" i="13"/>
  <c r="V155" i="13"/>
  <c r="V211" i="13"/>
  <c r="V107" i="13"/>
  <c r="V51" i="13"/>
  <c r="V238" i="13"/>
  <c r="V235" i="13"/>
  <c r="V166" i="13"/>
  <c r="V141" i="13"/>
  <c r="V98" i="13"/>
  <c r="V53" i="13"/>
  <c r="V24" i="13"/>
  <c r="V99" i="13"/>
  <c r="V37" i="13"/>
  <c r="V241" i="13"/>
  <c r="V127" i="13"/>
  <c r="V10" i="13"/>
  <c r="V15" i="13"/>
  <c r="V41" i="13"/>
  <c r="V94" i="13"/>
  <c r="V84" i="13"/>
  <c r="V31" i="13"/>
  <c r="V253" i="13"/>
  <c r="V18" i="13"/>
  <c r="V6" i="13"/>
  <c r="V252" i="13"/>
  <c r="V248" i="13"/>
  <c r="V192" i="13"/>
  <c r="V115" i="13"/>
  <c r="V60" i="13"/>
  <c r="W312" i="13"/>
  <c r="X312" i="13"/>
  <c r="Y312" i="13"/>
  <c r="P16" i="13"/>
  <c r="V16" i="13" s="1"/>
  <c r="P71" i="13"/>
  <c r="V71" i="13" s="1"/>
  <c r="P126" i="13"/>
  <c r="V126" i="13" s="1"/>
  <c r="P181" i="13"/>
  <c r="V181" i="13" s="1"/>
  <c r="P214" i="13"/>
  <c r="V214" i="13" s="1"/>
  <c r="U262" i="13"/>
  <c r="V262" i="13" s="1"/>
  <c r="P265" i="13"/>
  <c r="P267" i="13"/>
  <c r="U264" i="13"/>
  <c r="V264" i="13" s="1"/>
  <c r="U266" i="13"/>
  <c r="U265" i="13"/>
  <c r="U267" i="13"/>
  <c r="U270" i="13"/>
  <c r="P268" i="13"/>
  <c r="P269" i="13"/>
  <c r="P270" i="13"/>
  <c r="U268" i="13"/>
  <c r="U269" i="13"/>
  <c r="P293" i="13"/>
  <c r="U291" i="13"/>
  <c r="V291" i="13" s="1"/>
  <c r="U290" i="13"/>
  <c r="P292" i="13"/>
  <c r="P295" i="13"/>
  <c r="P294" i="13"/>
  <c r="U292" i="13"/>
  <c r="U294" i="13"/>
  <c r="U293" i="13"/>
  <c r="P296" i="13"/>
  <c r="U298" i="13"/>
  <c r="P298" i="13"/>
  <c r="P297" i="13"/>
  <c r="U297" i="13"/>
  <c r="U295" i="13"/>
  <c r="U296" i="13"/>
  <c r="V287" i="13"/>
  <c r="V280" i="13"/>
  <c r="V304" i="13"/>
  <c r="V276" i="13"/>
  <c r="O311" i="13"/>
  <c r="P311" i="13" s="1"/>
  <c r="AA311" i="13"/>
  <c r="Z311" i="13"/>
  <c r="V306" i="13"/>
  <c r="V302" i="13"/>
  <c r="V300" i="13"/>
  <c r="V290" i="13"/>
  <c r="V285" i="13"/>
  <c r="V283" i="13"/>
  <c r="V277" i="13"/>
  <c r="V271" i="13"/>
  <c r="V263" i="13"/>
  <c r="V256" i="13"/>
  <c r="V58" i="13"/>
  <c r="V154" i="13"/>
  <c r="V125" i="13"/>
  <c r="V74" i="13"/>
  <c r="V110" i="13"/>
  <c r="V151" i="13"/>
  <c r="V56" i="13"/>
  <c r="V188" i="13"/>
  <c r="V114" i="13"/>
  <c r="V174" i="13"/>
  <c r="V218" i="13"/>
  <c r="V158" i="13"/>
  <c r="V233" i="13"/>
  <c r="V77" i="13"/>
  <c r="V149" i="13"/>
  <c r="V34" i="13"/>
  <c r="V162" i="13"/>
  <c r="V14" i="13"/>
  <c r="V133" i="13"/>
  <c r="V150" i="13"/>
  <c r="V69" i="13"/>
  <c r="V206" i="13"/>
  <c r="V160" i="13"/>
  <c r="V97" i="13"/>
  <c r="V36" i="13"/>
  <c r="V172" i="13"/>
  <c r="V81" i="13"/>
  <c r="V12" i="13"/>
  <c r="V205" i="13"/>
  <c r="V139" i="13"/>
  <c r="V228" i="13"/>
  <c r="V11" i="13"/>
  <c r="V136" i="13"/>
  <c r="V68" i="13"/>
  <c r="V239" i="13"/>
  <c r="V28" i="13"/>
  <c r="V251" i="13"/>
  <c r="V49" i="13"/>
  <c r="V260" i="13"/>
  <c r="V259" i="13"/>
  <c r="V79" i="13"/>
  <c r="V108" i="13"/>
  <c r="V179" i="13"/>
  <c r="V175" i="13"/>
  <c r="V121" i="13"/>
  <c r="V224" i="13"/>
  <c r="V42" i="13"/>
  <c r="V199" i="13"/>
  <c r="V204" i="13"/>
  <c r="V202" i="13"/>
  <c r="V168" i="13"/>
  <c r="V132" i="13"/>
  <c r="V66" i="13"/>
  <c r="V80" i="13"/>
  <c r="V64" i="13"/>
  <c r="V193" i="13"/>
  <c r="V72" i="13"/>
  <c r="V198" i="13"/>
  <c r="V63" i="13"/>
  <c r="V30" i="13"/>
  <c r="V247" i="13"/>
  <c r="V225" i="13"/>
  <c r="V148" i="13"/>
  <c r="V93" i="13"/>
  <c r="V38" i="13"/>
  <c r="V282" i="13"/>
  <c r="V266" i="13"/>
  <c r="V261" i="13"/>
  <c r="V178" i="13"/>
  <c r="V57" i="13"/>
  <c r="V142" i="13"/>
  <c r="V109" i="13"/>
  <c r="V222" i="13"/>
  <c r="V152" i="13"/>
  <c r="V254" i="13"/>
  <c r="V194" i="13"/>
  <c r="V208" i="13"/>
  <c r="V169" i="13"/>
  <c r="V234" i="13"/>
  <c r="V183" i="13"/>
  <c r="V167" i="13"/>
  <c r="V96" i="13"/>
  <c r="V237" i="13"/>
  <c r="V182" i="13"/>
  <c r="V232" i="13"/>
  <c r="V164" i="13"/>
  <c r="V105" i="13"/>
  <c r="V26" i="13"/>
  <c r="V29" i="13"/>
  <c r="V39" i="13"/>
  <c r="V255" i="13"/>
  <c r="V249" i="13"/>
  <c r="V137" i="13"/>
  <c r="V82" i="13"/>
  <c r="V27" i="13"/>
  <c r="J312" i="13"/>
  <c r="O312" i="13" s="1"/>
  <c r="R312" i="13"/>
  <c r="S312" i="13"/>
  <c r="I312" i="13"/>
  <c r="P312" i="13" s="1"/>
  <c r="Q312" i="13"/>
  <c r="V269" i="13" l="1"/>
  <c r="U312" i="13"/>
  <c r="V312" i="13" s="1"/>
  <c r="V311" i="13"/>
  <c r="V298" i="13"/>
  <c r="V292" i="13"/>
  <c r="V268" i="13"/>
  <c r="Z312" i="13"/>
  <c r="AA312" i="13"/>
  <c r="V296" i="13"/>
  <c r="V294" i="13"/>
  <c r="V270" i="13"/>
  <c r="V267" i="13"/>
  <c r="V297" i="13"/>
  <c r="V295" i="13"/>
  <c r="V293" i="13"/>
  <c r="V265" i="13"/>
  <c r="E10" i="16"/>
  <c r="F10" i="16"/>
  <c r="I10" i="16"/>
  <c r="J10" i="16"/>
  <c r="M10" i="16"/>
  <c r="N10" i="16"/>
  <c r="E11" i="16"/>
  <c r="F11" i="16"/>
  <c r="I11" i="16"/>
  <c r="J11" i="16"/>
  <c r="M11" i="16"/>
  <c r="N11" i="16"/>
  <c r="E12" i="16"/>
  <c r="F12" i="16"/>
  <c r="I12" i="16"/>
  <c r="J12" i="16"/>
  <c r="M12" i="16"/>
  <c r="N12" i="16"/>
  <c r="E13" i="16"/>
  <c r="F13" i="16"/>
  <c r="I13" i="16"/>
  <c r="J13" i="16"/>
  <c r="M13" i="16"/>
  <c r="N13" i="16"/>
  <c r="E14" i="16"/>
  <c r="F14" i="16"/>
  <c r="I14" i="16"/>
  <c r="J14" i="16"/>
  <c r="M14" i="16"/>
  <c r="N14" i="16"/>
  <c r="E15" i="16"/>
  <c r="F15" i="16"/>
  <c r="I15" i="16"/>
  <c r="J15" i="16"/>
  <c r="M15" i="16"/>
  <c r="N15" i="16"/>
  <c r="E16" i="16"/>
  <c r="F16" i="16"/>
  <c r="I16" i="16"/>
  <c r="J16" i="16"/>
  <c r="M16" i="16"/>
  <c r="N16" i="16"/>
  <c r="E17" i="16"/>
  <c r="F17" i="16"/>
  <c r="I17" i="16"/>
  <c r="J17" i="16"/>
  <c r="M17" i="16"/>
  <c r="N17" i="16"/>
  <c r="E18" i="16"/>
  <c r="F18" i="16"/>
  <c r="I18" i="16"/>
  <c r="J18" i="16"/>
  <c r="M18" i="16"/>
  <c r="N18" i="16"/>
  <c r="E19" i="16"/>
  <c r="F19" i="16"/>
  <c r="I19" i="16"/>
  <c r="J19" i="16"/>
  <c r="M19" i="16"/>
  <c r="N19" i="16"/>
  <c r="E20" i="16"/>
  <c r="F20" i="16"/>
  <c r="I20" i="16"/>
  <c r="J20" i="16"/>
  <c r="M20" i="16"/>
  <c r="N20" i="16"/>
  <c r="E21" i="16"/>
  <c r="F21" i="16"/>
  <c r="I21" i="16"/>
  <c r="J21" i="16"/>
  <c r="M21" i="16"/>
  <c r="N21" i="16"/>
  <c r="E22" i="16"/>
  <c r="F22" i="16"/>
  <c r="I22" i="16"/>
  <c r="J22" i="16"/>
  <c r="M22" i="16"/>
  <c r="N22" i="16"/>
  <c r="E23" i="16"/>
  <c r="F23" i="16"/>
  <c r="I23" i="16"/>
  <c r="J23" i="16"/>
  <c r="M23" i="16"/>
  <c r="N23" i="16"/>
  <c r="E24" i="16"/>
  <c r="F24" i="16"/>
  <c r="I24" i="16"/>
  <c r="J24" i="16"/>
  <c r="M24" i="16"/>
  <c r="N24" i="16"/>
  <c r="E25" i="16"/>
  <c r="F25" i="16"/>
  <c r="I25" i="16"/>
  <c r="J25" i="16"/>
  <c r="M25" i="16"/>
  <c r="N25" i="16"/>
  <c r="E26" i="16"/>
  <c r="F26" i="16"/>
  <c r="I26" i="16"/>
  <c r="J26" i="16"/>
  <c r="M26" i="16"/>
  <c r="N26" i="16"/>
  <c r="E27" i="16"/>
  <c r="F27" i="16"/>
  <c r="I27" i="16"/>
  <c r="J27" i="16"/>
  <c r="M27" i="16"/>
  <c r="N27" i="16"/>
  <c r="AB5" i="12"/>
  <c r="AC5" i="12"/>
  <c r="AD5" i="12"/>
  <c r="AE5" i="12"/>
  <c r="AG5" i="12"/>
  <c r="AH5" i="12"/>
  <c r="AI5" i="12"/>
  <c r="AJ5" i="12"/>
  <c r="AK5" i="12"/>
  <c r="AL5" i="12"/>
  <c r="AM5" i="12"/>
  <c r="AN5" i="12"/>
  <c r="AO5" i="12"/>
  <c r="AP5" i="12"/>
  <c r="AQ5" i="12"/>
  <c r="AR5" i="12"/>
  <c r="AS5" i="12"/>
  <c r="AT5" i="12"/>
  <c r="AU5" i="12"/>
  <c r="AV5" i="12"/>
  <c r="AW5" i="12"/>
  <c r="AX5" i="12"/>
  <c r="AY5" i="12"/>
  <c r="AZ5" i="12"/>
  <c r="BA5" i="12"/>
  <c r="BC5" i="12"/>
  <c r="BE5" i="12"/>
  <c r="BF5" i="12"/>
  <c r="BJ5" i="12"/>
  <c r="BK5" i="12"/>
  <c r="BL5" i="12"/>
  <c r="BM5" i="12"/>
  <c r="AB6" i="12"/>
  <c r="AC6" i="12"/>
  <c r="AD6" i="12"/>
  <c r="AE6" i="12"/>
  <c r="AG6" i="12"/>
  <c r="AH6" i="12"/>
  <c r="AI6" i="12"/>
  <c r="AJ6" i="12"/>
  <c r="AK6" i="12"/>
  <c r="AL6" i="12"/>
  <c r="AM6" i="12"/>
  <c r="AN6" i="12"/>
  <c r="AO6" i="12"/>
  <c r="AP6" i="12"/>
  <c r="AQ6" i="12"/>
  <c r="AR6" i="12"/>
  <c r="AS6" i="12"/>
  <c r="AT6" i="12"/>
  <c r="AU6" i="12"/>
  <c r="AV6" i="12"/>
  <c r="AW6" i="12"/>
  <c r="AX6" i="12"/>
  <c r="AY6" i="12"/>
  <c r="AZ6" i="12"/>
  <c r="BA6" i="12"/>
  <c r="BC6" i="12"/>
  <c r="BE6" i="12"/>
  <c r="BF6" i="12"/>
  <c r="BJ6" i="12"/>
  <c r="BK6" i="12"/>
  <c r="BL6" i="12"/>
  <c r="BM6" i="12"/>
  <c r="AB7" i="12"/>
  <c r="AC7" i="12"/>
  <c r="AD7" i="12"/>
  <c r="AE7" i="12"/>
  <c r="AG7" i="12"/>
  <c r="AH7" i="12"/>
  <c r="AI7" i="12"/>
  <c r="AJ7" i="12"/>
  <c r="AK7" i="12"/>
  <c r="AL7" i="12"/>
  <c r="AM7" i="12"/>
  <c r="AN7" i="12"/>
  <c r="AO7" i="12"/>
  <c r="AP7" i="12"/>
  <c r="AQ7" i="12"/>
  <c r="AR7" i="12"/>
  <c r="AS7" i="12"/>
  <c r="AT7" i="12"/>
  <c r="AU7" i="12"/>
  <c r="AV7" i="12"/>
  <c r="AW7" i="12"/>
  <c r="AX7" i="12"/>
  <c r="AY7" i="12"/>
  <c r="AZ7" i="12"/>
  <c r="BA7" i="12"/>
  <c r="BC7" i="12"/>
  <c r="BE7" i="12"/>
  <c r="BF7" i="12"/>
  <c r="BJ7" i="12"/>
  <c r="BK7" i="12"/>
  <c r="BL7" i="12"/>
  <c r="BM7" i="12"/>
  <c r="AB8" i="12"/>
  <c r="AC8" i="12"/>
  <c r="AD8" i="12"/>
  <c r="AE8" i="12"/>
  <c r="AG8" i="12"/>
  <c r="AH8" i="12"/>
  <c r="AI8" i="12"/>
  <c r="AJ8" i="12"/>
  <c r="AK8" i="12"/>
  <c r="AL8" i="12"/>
  <c r="AM8" i="12"/>
  <c r="AN8" i="12"/>
  <c r="AO8" i="12"/>
  <c r="AP8" i="12"/>
  <c r="AQ8" i="12"/>
  <c r="AR8" i="12"/>
  <c r="AS8" i="12"/>
  <c r="AT8" i="12"/>
  <c r="AU8" i="12"/>
  <c r="AV8" i="12"/>
  <c r="AW8" i="12"/>
  <c r="AX8" i="12"/>
  <c r="AY8" i="12"/>
  <c r="AZ8" i="12"/>
  <c r="BA8" i="12"/>
  <c r="BC8" i="12"/>
  <c r="BE8" i="12"/>
  <c r="BF8" i="12"/>
  <c r="BJ8" i="12"/>
  <c r="BK8" i="12"/>
  <c r="BL8" i="12"/>
  <c r="BM8" i="12"/>
  <c r="AB9" i="12"/>
  <c r="AC9" i="12"/>
  <c r="AD9" i="12"/>
  <c r="AE9" i="12"/>
  <c r="AG9" i="12"/>
  <c r="AH9" i="12"/>
  <c r="AI9" i="12"/>
  <c r="AJ9" i="12"/>
  <c r="AK9" i="12"/>
  <c r="AL9" i="12"/>
  <c r="AM9" i="12"/>
  <c r="AN9" i="12"/>
  <c r="AO9" i="12"/>
  <c r="AP9" i="12"/>
  <c r="AQ9" i="12"/>
  <c r="AR9" i="12"/>
  <c r="AS9" i="12"/>
  <c r="AT9" i="12"/>
  <c r="AU9" i="12"/>
  <c r="AV9" i="12"/>
  <c r="AW9" i="12"/>
  <c r="AX9" i="12"/>
  <c r="AY9" i="12"/>
  <c r="AZ9" i="12"/>
  <c r="BA9" i="12"/>
  <c r="BC9" i="12"/>
  <c r="BE9" i="12"/>
  <c r="BF9" i="12"/>
  <c r="BJ9" i="12"/>
  <c r="BK9" i="12"/>
  <c r="BL9" i="12"/>
  <c r="BM9" i="12"/>
  <c r="AB10" i="12"/>
  <c r="AC10" i="12"/>
  <c r="AD10" i="12"/>
  <c r="AE10" i="12"/>
  <c r="AG10" i="12"/>
  <c r="AH10" i="12"/>
  <c r="AI10" i="12"/>
  <c r="AJ10" i="12"/>
  <c r="AK10" i="12"/>
  <c r="AL10" i="12"/>
  <c r="AM10" i="12"/>
  <c r="AN10" i="12"/>
  <c r="AO10" i="12"/>
  <c r="AP10" i="12"/>
  <c r="AQ10" i="12"/>
  <c r="AR10" i="12"/>
  <c r="AS10" i="12"/>
  <c r="AT10" i="12"/>
  <c r="AU10" i="12"/>
  <c r="AV10" i="12"/>
  <c r="AW10" i="12"/>
  <c r="AX10" i="12"/>
  <c r="AY10" i="12"/>
  <c r="AZ10" i="12"/>
  <c r="BA10" i="12"/>
  <c r="BC10" i="12"/>
  <c r="BE10" i="12"/>
  <c r="BF10" i="12"/>
  <c r="BJ10" i="12"/>
  <c r="BK10" i="12"/>
  <c r="BL10" i="12"/>
  <c r="BM10" i="12"/>
  <c r="AB11" i="12"/>
  <c r="AC11" i="12"/>
  <c r="AD11" i="12"/>
  <c r="AE11" i="12"/>
  <c r="AG11" i="12"/>
  <c r="AH11" i="12"/>
  <c r="AI11" i="12"/>
  <c r="AJ11" i="12"/>
  <c r="AK11" i="12"/>
  <c r="AL11" i="12"/>
  <c r="AM11" i="12"/>
  <c r="AN11" i="12"/>
  <c r="AO11" i="12"/>
  <c r="AP11" i="12"/>
  <c r="AQ11" i="12"/>
  <c r="AR11" i="12"/>
  <c r="AS11" i="12"/>
  <c r="AT11" i="12"/>
  <c r="AU11" i="12"/>
  <c r="AV11" i="12"/>
  <c r="AW11" i="12"/>
  <c r="AX11" i="12"/>
  <c r="AY11" i="12"/>
  <c r="AZ11" i="12"/>
  <c r="BA11" i="12"/>
  <c r="BC11" i="12"/>
  <c r="BE11" i="12"/>
  <c r="BF11" i="12"/>
  <c r="BJ11" i="12"/>
  <c r="BK11" i="12"/>
  <c r="BL11" i="12"/>
  <c r="BM11" i="12"/>
  <c r="AB12" i="12"/>
  <c r="AC12" i="12"/>
  <c r="AD12" i="12"/>
  <c r="AE12" i="12"/>
  <c r="AG12" i="12"/>
  <c r="AH12" i="12"/>
  <c r="AI12" i="12"/>
  <c r="AJ12" i="12"/>
  <c r="AK12" i="12"/>
  <c r="AL12" i="12"/>
  <c r="AM12" i="12"/>
  <c r="AN12" i="12"/>
  <c r="AO12" i="12"/>
  <c r="AP12" i="12"/>
  <c r="AQ12" i="12"/>
  <c r="AR12" i="12"/>
  <c r="AS12" i="12"/>
  <c r="AT12" i="12"/>
  <c r="AU12" i="12"/>
  <c r="AV12" i="12"/>
  <c r="AW12" i="12"/>
  <c r="AX12" i="12"/>
  <c r="AY12" i="12"/>
  <c r="AZ12" i="12"/>
  <c r="BA12" i="12"/>
  <c r="BC12" i="12"/>
  <c r="BE12" i="12"/>
  <c r="BF12" i="12"/>
  <c r="BJ12" i="12"/>
  <c r="BK12" i="12"/>
  <c r="BL12" i="12"/>
  <c r="BM12" i="12"/>
  <c r="AB13" i="12"/>
  <c r="AC13" i="12"/>
  <c r="AD13" i="12"/>
  <c r="AE13" i="12"/>
  <c r="AG13" i="12"/>
  <c r="AH13" i="12"/>
  <c r="AI13" i="12"/>
  <c r="AJ13" i="12"/>
  <c r="AK13" i="12"/>
  <c r="AL13" i="12"/>
  <c r="AM13" i="12"/>
  <c r="AN13" i="12"/>
  <c r="AO13" i="12"/>
  <c r="AP13" i="12"/>
  <c r="AQ13" i="12"/>
  <c r="AR13" i="12"/>
  <c r="AS13" i="12"/>
  <c r="AT13" i="12"/>
  <c r="AU13" i="12"/>
  <c r="AV13" i="12"/>
  <c r="AW13" i="12"/>
  <c r="AX13" i="12"/>
  <c r="AY13" i="12"/>
  <c r="AZ13" i="12"/>
  <c r="BA13" i="12"/>
  <c r="BC13" i="12"/>
  <c r="BE13" i="12"/>
  <c r="BF13" i="12"/>
  <c r="BJ13" i="12"/>
  <c r="BK13" i="12"/>
  <c r="BL13" i="12"/>
  <c r="BM13" i="12"/>
  <c r="AB14" i="12"/>
  <c r="AC14" i="12"/>
  <c r="AD14" i="12"/>
  <c r="AE14" i="12"/>
  <c r="AG14" i="12"/>
  <c r="AH14" i="12"/>
  <c r="AI14" i="12"/>
  <c r="AJ14" i="12"/>
  <c r="AK14" i="12"/>
  <c r="AL14" i="12"/>
  <c r="AM14" i="12"/>
  <c r="AN14" i="12"/>
  <c r="AO14" i="12"/>
  <c r="AP14" i="12"/>
  <c r="AQ14" i="12"/>
  <c r="AR14" i="12"/>
  <c r="AS14" i="12"/>
  <c r="AT14" i="12"/>
  <c r="AU14" i="12"/>
  <c r="AV14" i="12"/>
  <c r="AW14" i="12"/>
  <c r="AX14" i="12"/>
  <c r="AY14" i="12"/>
  <c r="AZ14" i="12"/>
  <c r="BA14" i="12"/>
  <c r="BC14" i="12"/>
  <c r="BE14" i="12"/>
  <c r="BF14" i="12"/>
  <c r="BJ14" i="12"/>
  <c r="BK14" i="12"/>
  <c r="BL14" i="12"/>
  <c r="BM14" i="12"/>
  <c r="AB15" i="12"/>
  <c r="AC15" i="12"/>
  <c r="AD15" i="12"/>
  <c r="AE15" i="12"/>
  <c r="AG15" i="12"/>
  <c r="AH15" i="12"/>
  <c r="AI15" i="12"/>
  <c r="AJ15" i="12"/>
  <c r="AK15" i="12"/>
  <c r="AL15" i="12"/>
  <c r="AM15" i="12"/>
  <c r="AN15" i="12"/>
  <c r="AO15" i="12"/>
  <c r="AP15" i="12"/>
  <c r="AQ15" i="12"/>
  <c r="AR15" i="12"/>
  <c r="AS15" i="12"/>
  <c r="AT15" i="12"/>
  <c r="AU15" i="12"/>
  <c r="AV15" i="12"/>
  <c r="AW15" i="12"/>
  <c r="AX15" i="12"/>
  <c r="AY15" i="12"/>
  <c r="AZ15" i="12"/>
  <c r="BA15" i="12"/>
  <c r="BC15" i="12"/>
  <c r="BE15" i="12"/>
  <c r="BF15" i="12"/>
  <c r="BJ15" i="12"/>
  <c r="BK15" i="12"/>
  <c r="BL15" i="12"/>
  <c r="BM15" i="12"/>
  <c r="AB16" i="12"/>
  <c r="AC16" i="12"/>
  <c r="AD16" i="12"/>
  <c r="AE16" i="12"/>
  <c r="AG16" i="12"/>
  <c r="AH16" i="12"/>
  <c r="AI16" i="12"/>
  <c r="AJ16" i="12"/>
  <c r="AK16" i="12"/>
  <c r="AL16" i="12"/>
  <c r="AM16" i="12"/>
  <c r="AN16" i="12"/>
  <c r="AO16" i="12"/>
  <c r="AP16" i="12"/>
  <c r="AQ16" i="12"/>
  <c r="AR16" i="12"/>
  <c r="AS16" i="12"/>
  <c r="AT16" i="12"/>
  <c r="AU16" i="12"/>
  <c r="AV16" i="12"/>
  <c r="AW16" i="12"/>
  <c r="AX16" i="12"/>
  <c r="AY16" i="12"/>
  <c r="AZ16" i="12"/>
  <c r="BA16" i="12"/>
  <c r="BC16" i="12"/>
  <c r="BE16" i="12"/>
  <c r="BF16" i="12"/>
  <c r="BJ16" i="12"/>
  <c r="BK16" i="12"/>
  <c r="BL16" i="12"/>
  <c r="BM16" i="12"/>
  <c r="AB17" i="12"/>
  <c r="AC17" i="12"/>
  <c r="AD17" i="12"/>
  <c r="AE17" i="12"/>
  <c r="AG17" i="12"/>
  <c r="AH17" i="12"/>
  <c r="AI17" i="12"/>
  <c r="AJ17" i="12"/>
  <c r="AK17" i="12"/>
  <c r="AL17" i="12"/>
  <c r="AM17" i="12"/>
  <c r="AN17" i="12"/>
  <c r="AO17" i="12"/>
  <c r="AP17" i="12"/>
  <c r="AQ17" i="12"/>
  <c r="AR17" i="12"/>
  <c r="AS17" i="12"/>
  <c r="AT17" i="12"/>
  <c r="AU17" i="12"/>
  <c r="AV17" i="12"/>
  <c r="AW17" i="12"/>
  <c r="AX17" i="12"/>
  <c r="AY17" i="12"/>
  <c r="AZ17" i="12"/>
  <c r="BA17" i="12"/>
  <c r="BC17" i="12"/>
  <c r="BE17" i="12"/>
  <c r="BF17" i="12"/>
  <c r="BJ17" i="12"/>
  <c r="BK17" i="12"/>
  <c r="BL17" i="12"/>
  <c r="BM17" i="12"/>
  <c r="AB18" i="12"/>
  <c r="AC18" i="12"/>
  <c r="AD18" i="12"/>
  <c r="AE18" i="12"/>
  <c r="AG18" i="12"/>
  <c r="AH18" i="12"/>
  <c r="AI18" i="12"/>
  <c r="AJ18" i="12"/>
  <c r="AK18" i="12"/>
  <c r="AL18" i="12"/>
  <c r="AM18" i="12"/>
  <c r="AN18" i="12"/>
  <c r="AO18" i="12"/>
  <c r="AP18" i="12"/>
  <c r="AQ18" i="12"/>
  <c r="AR18" i="12"/>
  <c r="AS18" i="12"/>
  <c r="AT18" i="12"/>
  <c r="AU18" i="12"/>
  <c r="AV18" i="12"/>
  <c r="AW18" i="12"/>
  <c r="AX18" i="12"/>
  <c r="AY18" i="12"/>
  <c r="AZ18" i="12"/>
  <c r="BA18" i="12"/>
  <c r="BC18" i="12"/>
  <c r="BE18" i="12"/>
  <c r="BF18" i="12"/>
  <c r="BJ18" i="12"/>
  <c r="BK18" i="12"/>
  <c r="BL18" i="12"/>
  <c r="BM18" i="12"/>
  <c r="AB19" i="12"/>
  <c r="AC19" i="12"/>
  <c r="AD19" i="12"/>
  <c r="AE19" i="12"/>
  <c r="AG19" i="12"/>
  <c r="AH19" i="12"/>
  <c r="AI19" i="12"/>
  <c r="AJ19" i="12"/>
  <c r="AK19" i="12"/>
  <c r="AL19" i="12"/>
  <c r="AM19" i="12"/>
  <c r="AN19" i="12"/>
  <c r="AO19" i="12"/>
  <c r="AP19" i="12"/>
  <c r="AQ19" i="12"/>
  <c r="AR19" i="12"/>
  <c r="AS19" i="12"/>
  <c r="AT19" i="12"/>
  <c r="AU19" i="12"/>
  <c r="AV19" i="12"/>
  <c r="AW19" i="12"/>
  <c r="AX19" i="12"/>
  <c r="AY19" i="12"/>
  <c r="AZ19" i="12"/>
  <c r="BA19" i="12"/>
  <c r="BC19" i="12"/>
  <c r="BE19" i="12"/>
  <c r="BF19" i="12"/>
  <c r="BJ19" i="12"/>
  <c r="BK19" i="12"/>
  <c r="BL19" i="12"/>
  <c r="BM19" i="12"/>
  <c r="AB20" i="12"/>
  <c r="AC20" i="12"/>
  <c r="AD20" i="12"/>
  <c r="AE20" i="12"/>
  <c r="AG20" i="12"/>
  <c r="AH20" i="12"/>
  <c r="AI20" i="12"/>
  <c r="AJ20" i="12"/>
  <c r="AK20" i="12"/>
  <c r="AL20" i="12"/>
  <c r="AM20" i="12"/>
  <c r="AN20" i="12"/>
  <c r="AO20" i="12"/>
  <c r="AP20" i="12"/>
  <c r="AQ20" i="12"/>
  <c r="AR20" i="12"/>
  <c r="AS20" i="12"/>
  <c r="AT20" i="12"/>
  <c r="AU20" i="12"/>
  <c r="AV20" i="12"/>
  <c r="AW20" i="12"/>
  <c r="AX20" i="12"/>
  <c r="AY20" i="12"/>
  <c r="AZ20" i="12"/>
  <c r="BA20" i="12"/>
  <c r="BC20" i="12"/>
  <c r="BE20" i="12"/>
  <c r="BF20" i="12"/>
  <c r="BJ20" i="12"/>
  <c r="BK20" i="12"/>
  <c r="BL20" i="12"/>
  <c r="BM20" i="12"/>
  <c r="AB21" i="12"/>
  <c r="AC21" i="12"/>
  <c r="AD21" i="12"/>
  <c r="AE21" i="12"/>
  <c r="AG21" i="12"/>
  <c r="AH21" i="12"/>
  <c r="AI21" i="12"/>
  <c r="AJ21" i="12"/>
  <c r="AK21" i="12"/>
  <c r="AL21" i="12"/>
  <c r="AM21" i="12"/>
  <c r="AN21" i="12"/>
  <c r="AO21" i="12"/>
  <c r="AP21" i="12"/>
  <c r="AQ21" i="12"/>
  <c r="AR21" i="12"/>
  <c r="AS21" i="12"/>
  <c r="AT21" i="12"/>
  <c r="AU21" i="12"/>
  <c r="AV21" i="12"/>
  <c r="AW21" i="12"/>
  <c r="AX21" i="12"/>
  <c r="AY21" i="12"/>
  <c r="AZ21" i="12"/>
  <c r="BA21" i="12"/>
  <c r="BC21" i="12"/>
  <c r="BE21" i="12"/>
  <c r="BF21" i="12"/>
  <c r="BJ21" i="12"/>
  <c r="BK21" i="12"/>
  <c r="BL21" i="12"/>
  <c r="BM21" i="12"/>
  <c r="AB22" i="12"/>
  <c r="AC22" i="12"/>
  <c r="AD22" i="12"/>
  <c r="AE22" i="12"/>
  <c r="AG22" i="12"/>
  <c r="AH22" i="12"/>
  <c r="AI22" i="12"/>
  <c r="AJ22" i="12"/>
  <c r="AK22" i="12"/>
  <c r="AL22" i="12"/>
  <c r="AM22" i="12"/>
  <c r="AN22" i="12"/>
  <c r="AO22" i="12"/>
  <c r="AP22" i="12"/>
  <c r="AQ22" i="12"/>
  <c r="AR22" i="12"/>
  <c r="AS22" i="12"/>
  <c r="AT22" i="12"/>
  <c r="AU22" i="12"/>
  <c r="AV22" i="12"/>
  <c r="AW22" i="12"/>
  <c r="AX22" i="12"/>
  <c r="AY22" i="12"/>
  <c r="AZ22" i="12"/>
  <c r="BA22" i="12"/>
  <c r="BC22" i="12"/>
  <c r="BE22" i="12"/>
  <c r="BF22" i="12"/>
  <c r="BJ22" i="12"/>
  <c r="BK22" i="12"/>
  <c r="BL22" i="12"/>
  <c r="BM22" i="12"/>
  <c r="AB23" i="12"/>
  <c r="AC23" i="12"/>
  <c r="AD23" i="12"/>
  <c r="AE23" i="12"/>
  <c r="AG23" i="12"/>
  <c r="AH23" i="12"/>
  <c r="AI23" i="12"/>
  <c r="AJ23" i="12"/>
  <c r="AK23" i="12"/>
  <c r="AL23" i="12"/>
  <c r="AM23" i="12"/>
  <c r="AN23" i="12"/>
  <c r="AO23" i="12"/>
  <c r="AP23" i="12"/>
  <c r="AQ23" i="12"/>
  <c r="AR23" i="12"/>
  <c r="AS23" i="12"/>
  <c r="AT23" i="12"/>
  <c r="AU23" i="12"/>
  <c r="AV23" i="12"/>
  <c r="AW23" i="12"/>
  <c r="AX23" i="12"/>
  <c r="AY23" i="12"/>
  <c r="AZ23" i="12"/>
  <c r="BA23" i="12"/>
  <c r="BC23" i="12"/>
  <c r="BE23" i="12"/>
  <c r="BF23" i="12"/>
  <c r="BJ23" i="12"/>
  <c r="BK23" i="12"/>
  <c r="BL23" i="12"/>
  <c r="BM23" i="12"/>
  <c r="AB24" i="12"/>
  <c r="AC24" i="12"/>
  <c r="AD24" i="12"/>
  <c r="AE24" i="12"/>
  <c r="AG24" i="12"/>
  <c r="AH24" i="12"/>
  <c r="AI24" i="12"/>
  <c r="AJ24" i="12"/>
  <c r="AK24" i="12"/>
  <c r="AL24" i="12"/>
  <c r="AM24" i="12"/>
  <c r="AN24" i="12"/>
  <c r="AO24" i="12"/>
  <c r="AP24" i="12"/>
  <c r="AQ24" i="12"/>
  <c r="AR24" i="12"/>
  <c r="AS24" i="12"/>
  <c r="AT24" i="12"/>
  <c r="AU24" i="12"/>
  <c r="AV24" i="12"/>
  <c r="AW24" i="12"/>
  <c r="AX24" i="12"/>
  <c r="AY24" i="12"/>
  <c r="AZ24" i="12"/>
  <c r="BA24" i="12"/>
  <c r="BC24" i="12"/>
  <c r="BE24" i="12"/>
  <c r="BF24" i="12"/>
  <c r="BJ24" i="12"/>
  <c r="BK24" i="12"/>
  <c r="BL24" i="12"/>
  <c r="BM24" i="12"/>
  <c r="AB25" i="12"/>
  <c r="AC25" i="12"/>
  <c r="AD25" i="12"/>
  <c r="AE25" i="12"/>
  <c r="AG25" i="12"/>
  <c r="AH25" i="12"/>
  <c r="AI25" i="12"/>
  <c r="AJ25" i="12"/>
  <c r="AK25" i="12"/>
  <c r="AL25" i="12"/>
  <c r="AM25" i="12"/>
  <c r="AN25" i="12"/>
  <c r="AO25" i="12"/>
  <c r="AP25" i="12"/>
  <c r="AQ25" i="12"/>
  <c r="AR25" i="12"/>
  <c r="AS25" i="12"/>
  <c r="AT25" i="12"/>
  <c r="AU25" i="12"/>
  <c r="AV25" i="12"/>
  <c r="AW25" i="12"/>
  <c r="AX25" i="12"/>
  <c r="AY25" i="12"/>
  <c r="AZ25" i="12"/>
  <c r="BA25" i="12"/>
  <c r="BC25" i="12"/>
  <c r="BE25" i="12"/>
  <c r="BF25" i="12"/>
  <c r="BJ25" i="12"/>
  <c r="BK25" i="12"/>
  <c r="BL25" i="12"/>
  <c r="BM25" i="12"/>
  <c r="AB26" i="12"/>
  <c r="AC26" i="12"/>
  <c r="AD26" i="12"/>
  <c r="AE26" i="12"/>
  <c r="AG26" i="12"/>
  <c r="AH26" i="12"/>
  <c r="AI26" i="12"/>
  <c r="AJ26" i="12"/>
  <c r="AK26" i="12"/>
  <c r="AL26" i="12"/>
  <c r="AM26" i="12"/>
  <c r="AN26" i="12"/>
  <c r="AO26" i="12"/>
  <c r="AP26" i="12"/>
  <c r="AQ26" i="12"/>
  <c r="AR26" i="12"/>
  <c r="AS26" i="12"/>
  <c r="AT26" i="12"/>
  <c r="AU26" i="12"/>
  <c r="AV26" i="12"/>
  <c r="AW26" i="12"/>
  <c r="AX26" i="12"/>
  <c r="AY26" i="12"/>
  <c r="AZ26" i="12"/>
  <c r="BA26" i="12"/>
  <c r="BC26" i="12"/>
  <c r="BE26" i="12"/>
  <c r="BF26" i="12"/>
  <c r="BJ26" i="12"/>
  <c r="BK26" i="12"/>
  <c r="BL26" i="12"/>
  <c r="BM26" i="12"/>
  <c r="AB27" i="12"/>
  <c r="AC27" i="12"/>
  <c r="AD27" i="12"/>
  <c r="AE27" i="12"/>
  <c r="AG27" i="12"/>
  <c r="AH27" i="12"/>
  <c r="AI27" i="12"/>
  <c r="AJ27" i="12"/>
  <c r="AK27" i="12"/>
  <c r="AL27" i="12"/>
  <c r="AM27" i="12"/>
  <c r="AN27" i="12"/>
  <c r="AO27" i="12"/>
  <c r="AP27" i="12"/>
  <c r="AQ27" i="12"/>
  <c r="AR27" i="12"/>
  <c r="AS27" i="12"/>
  <c r="AT27" i="12"/>
  <c r="AU27" i="12"/>
  <c r="AV27" i="12"/>
  <c r="AW27" i="12"/>
  <c r="AX27" i="12"/>
  <c r="AY27" i="12"/>
  <c r="AZ27" i="12"/>
  <c r="BA27" i="12"/>
  <c r="BC27" i="12"/>
  <c r="BE27" i="12"/>
  <c r="BF27" i="12"/>
  <c r="BJ27" i="12"/>
  <c r="BK27" i="12"/>
  <c r="BL27" i="12"/>
  <c r="BM27" i="12"/>
  <c r="AB28" i="12"/>
  <c r="AC28" i="12"/>
  <c r="AD28" i="12"/>
  <c r="AE28" i="12"/>
  <c r="AG28" i="12"/>
  <c r="AH28" i="12"/>
  <c r="AI28" i="12"/>
  <c r="AJ28" i="12"/>
  <c r="AK28" i="12"/>
  <c r="AL28" i="12"/>
  <c r="AM28" i="12"/>
  <c r="AN28" i="12"/>
  <c r="AO28" i="12"/>
  <c r="AP28" i="12"/>
  <c r="AQ28" i="12"/>
  <c r="AR28" i="12"/>
  <c r="AS28" i="12"/>
  <c r="AT28" i="12"/>
  <c r="AU28" i="12"/>
  <c r="AV28" i="12"/>
  <c r="AW28" i="12"/>
  <c r="AX28" i="12"/>
  <c r="AY28" i="12"/>
  <c r="AZ28" i="12"/>
  <c r="BA28" i="12"/>
  <c r="BC28" i="12"/>
  <c r="BE28" i="12"/>
  <c r="BF28" i="12"/>
  <c r="BJ28" i="12"/>
  <c r="BK28" i="12"/>
  <c r="BL28" i="12"/>
  <c r="BM28" i="12"/>
  <c r="AB29" i="12"/>
  <c r="AC29" i="12"/>
  <c r="AD29" i="12"/>
  <c r="AE29" i="12"/>
  <c r="AG29" i="12"/>
  <c r="AH29" i="12"/>
  <c r="AI29" i="12"/>
  <c r="AJ29" i="12"/>
  <c r="AK29" i="12"/>
  <c r="AL29" i="12"/>
  <c r="AM29" i="12"/>
  <c r="AN29" i="12"/>
  <c r="AO29" i="12"/>
  <c r="AP29" i="12"/>
  <c r="AQ29" i="12"/>
  <c r="AR29" i="12"/>
  <c r="AS29" i="12"/>
  <c r="AT29" i="12"/>
  <c r="AU29" i="12"/>
  <c r="AV29" i="12"/>
  <c r="AW29" i="12"/>
  <c r="AX29" i="12"/>
  <c r="AY29" i="12"/>
  <c r="AZ29" i="12"/>
  <c r="BA29" i="12"/>
  <c r="BC29" i="12"/>
  <c r="BE29" i="12"/>
  <c r="BF29" i="12"/>
  <c r="BJ29" i="12"/>
  <c r="BK29" i="12"/>
  <c r="BL29" i="12"/>
  <c r="BM29" i="12"/>
  <c r="AB30" i="12"/>
  <c r="AC30" i="12"/>
  <c r="AD30" i="12"/>
  <c r="AE30" i="12"/>
  <c r="AG30" i="12"/>
  <c r="AH30" i="12"/>
  <c r="AI30" i="12"/>
  <c r="AJ30" i="12"/>
  <c r="AK30" i="12"/>
  <c r="AL30" i="12"/>
  <c r="AM30" i="12"/>
  <c r="AN30" i="12"/>
  <c r="AO30" i="12"/>
  <c r="AP30" i="12"/>
  <c r="AQ30" i="12"/>
  <c r="AR30" i="12"/>
  <c r="AS30" i="12"/>
  <c r="AT30" i="12"/>
  <c r="AU30" i="12"/>
  <c r="AV30" i="12"/>
  <c r="AW30" i="12"/>
  <c r="AX30" i="12"/>
  <c r="AY30" i="12"/>
  <c r="AZ30" i="12"/>
  <c r="BA30" i="12"/>
  <c r="BC30" i="12"/>
  <c r="BE30" i="12"/>
  <c r="BF30" i="12"/>
  <c r="BJ30" i="12"/>
  <c r="BK30" i="12"/>
  <c r="BL30" i="12"/>
  <c r="BM30" i="12"/>
  <c r="AB31" i="12"/>
  <c r="AC31" i="12"/>
  <c r="AD31" i="12"/>
  <c r="AE31" i="12"/>
  <c r="AG31" i="12"/>
  <c r="AH31" i="12"/>
  <c r="AI31" i="12"/>
  <c r="AJ31" i="12"/>
  <c r="AK31" i="12"/>
  <c r="AL31" i="12"/>
  <c r="AM31" i="12"/>
  <c r="AN31" i="12"/>
  <c r="AO31" i="12"/>
  <c r="AP31" i="12"/>
  <c r="AQ31" i="12"/>
  <c r="AR31" i="12"/>
  <c r="AS31" i="12"/>
  <c r="AT31" i="12"/>
  <c r="AU31" i="12"/>
  <c r="AV31" i="12"/>
  <c r="AW31" i="12"/>
  <c r="AX31" i="12"/>
  <c r="AY31" i="12"/>
  <c r="AZ31" i="12"/>
  <c r="BA31" i="12"/>
  <c r="BC31" i="12"/>
  <c r="BE31" i="12"/>
  <c r="BF31" i="12"/>
  <c r="BJ31" i="12"/>
  <c r="BK31" i="12"/>
  <c r="BL31" i="12"/>
  <c r="BM31" i="12"/>
  <c r="AB32" i="12"/>
  <c r="AC32" i="12"/>
  <c r="AD32" i="12"/>
  <c r="AE32" i="12"/>
  <c r="AG32" i="12"/>
  <c r="AH32" i="12"/>
  <c r="AI32" i="12"/>
  <c r="AJ32" i="12"/>
  <c r="AK32" i="12"/>
  <c r="AL32" i="12"/>
  <c r="AM32" i="12"/>
  <c r="AN32" i="12"/>
  <c r="AO32" i="12"/>
  <c r="AP32" i="12"/>
  <c r="AQ32" i="12"/>
  <c r="AR32" i="12"/>
  <c r="AS32" i="12"/>
  <c r="AT32" i="12"/>
  <c r="AU32" i="12"/>
  <c r="AV32" i="12"/>
  <c r="AW32" i="12"/>
  <c r="AX32" i="12"/>
  <c r="AY32" i="12"/>
  <c r="AZ32" i="12"/>
  <c r="BA32" i="12"/>
  <c r="BC32" i="12"/>
  <c r="BE32" i="12"/>
  <c r="BF32" i="12"/>
  <c r="BJ32" i="12"/>
  <c r="BK32" i="12"/>
  <c r="BL32" i="12"/>
  <c r="BM32" i="12"/>
  <c r="AB33" i="12"/>
  <c r="AC33" i="12"/>
  <c r="AD33" i="12"/>
  <c r="AE33" i="12"/>
  <c r="AG33" i="12"/>
  <c r="AH33" i="12"/>
  <c r="AI33" i="12"/>
  <c r="AJ33" i="12"/>
  <c r="AK33" i="12"/>
  <c r="AL33" i="12"/>
  <c r="AM33" i="12"/>
  <c r="AN33" i="12"/>
  <c r="AO33" i="12"/>
  <c r="AP33" i="12"/>
  <c r="AQ33" i="12"/>
  <c r="AR33" i="12"/>
  <c r="AS33" i="12"/>
  <c r="AT33" i="12"/>
  <c r="AU33" i="12"/>
  <c r="AV33" i="12"/>
  <c r="AW33" i="12"/>
  <c r="AX33" i="12"/>
  <c r="AY33" i="12"/>
  <c r="AZ33" i="12"/>
  <c r="BA33" i="12"/>
  <c r="BC33" i="12"/>
  <c r="BE33" i="12"/>
  <c r="BF33" i="12"/>
  <c r="BJ33" i="12"/>
  <c r="BK33" i="12"/>
  <c r="BL33" i="12"/>
  <c r="BM33" i="12"/>
  <c r="AB34" i="12"/>
  <c r="AC34" i="12"/>
  <c r="AD34" i="12"/>
  <c r="AE34" i="12"/>
  <c r="AG34" i="12"/>
  <c r="AH34" i="12"/>
  <c r="AI34" i="12"/>
  <c r="AJ34" i="12"/>
  <c r="AK34" i="12"/>
  <c r="AL34" i="12"/>
  <c r="AM34" i="12"/>
  <c r="AN34" i="12"/>
  <c r="AO34" i="12"/>
  <c r="AP34" i="12"/>
  <c r="AQ34" i="12"/>
  <c r="AR34" i="12"/>
  <c r="AS34" i="12"/>
  <c r="AT34" i="12"/>
  <c r="AU34" i="12"/>
  <c r="AV34" i="12"/>
  <c r="AW34" i="12"/>
  <c r="AX34" i="12"/>
  <c r="AY34" i="12"/>
  <c r="AZ34" i="12"/>
  <c r="BA34" i="12"/>
  <c r="BC34" i="12"/>
  <c r="BE34" i="12"/>
  <c r="BF34" i="12"/>
  <c r="BJ34" i="12"/>
  <c r="BK34" i="12"/>
  <c r="BL34" i="12"/>
  <c r="BM34" i="12"/>
  <c r="AB35" i="12"/>
  <c r="AC35" i="12"/>
  <c r="AD35" i="12"/>
  <c r="AE35" i="12"/>
  <c r="AG35" i="12"/>
  <c r="AH35" i="12"/>
  <c r="AI35" i="12"/>
  <c r="AJ35" i="12"/>
  <c r="AK35" i="12"/>
  <c r="AL35" i="12"/>
  <c r="AM35" i="12"/>
  <c r="AN35" i="12"/>
  <c r="AO35" i="12"/>
  <c r="AP35" i="12"/>
  <c r="AQ35" i="12"/>
  <c r="AR35" i="12"/>
  <c r="AS35" i="12"/>
  <c r="AT35" i="12"/>
  <c r="AU35" i="12"/>
  <c r="AV35" i="12"/>
  <c r="AW35" i="12"/>
  <c r="AX35" i="12"/>
  <c r="AY35" i="12"/>
  <c r="AZ35" i="12"/>
  <c r="BA35" i="12"/>
  <c r="BC35" i="12"/>
  <c r="BE35" i="12"/>
  <c r="BF35" i="12"/>
  <c r="BJ35" i="12"/>
  <c r="BK35" i="12"/>
  <c r="BL35" i="12"/>
  <c r="BM35" i="12"/>
  <c r="AB36" i="12"/>
  <c r="AC36" i="12"/>
  <c r="AD36" i="12"/>
  <c r="AE36" i="12"/>
  <c r="AG36" i="12"/>
  <c r="AH36" i="12"/>
  <c r="AI36" i="12"/>
  <c r="AJ36" i="12"/>
  <c r="AK36" i="12"/>
  <c r="AL36" i="12"/>
  <c r="AM36" i="12"/>
  <c r="AN36" i="12"/>
  <c r="AO36" i="12"/>
  <c r="AP36" i="12"/>
  <c r="AQ36" i="12"/>
  <c r="AR36" i="12"/>
  <c r="AS36" i="12"/>
  <c r="AT36" i="12"/>
  <c r="AU36" i="12"/>
  <c r="AV36" i="12"/>
  <c r="AW36" i="12"/>
  <c r="AX36" i="12"/>
  <c r="AY36" i="12"/>
  <c r="AZ36" i="12"/>
  <c r="BA36" i="12"/>
  <c r="BC36" i="12"/>
  <c r="BE36" i="12"/>
  <c r="BF36" i="12"/>
  <c r="BJ36" i="12"/>
  <c r="BK36" i="12"/>
  <c r="BL36" i="12"/>
  <c r="BM36" i="12"/>
  <c r="AB37" i="12"/>
  <c r="AC37" i="12"/>
  <c r="AD37" i="12"/>
  <c r="AE37" i="12"/>
  <c r="AG37" i="12"/>
  <c r="AH37" i="12"/>
  <c r="AI37" i="12"/>
  <c r="AJ37" i="12"/>
  <c r="AK37" i="12"/>
  <c r="AL37" i="12"/>
  <c r="AM37" i="12"/>
  <c r="AN37" i="12"/>
  <c r="AO37" i="12"/>
  <c r="AP37" i="12"/>
  <c r="AQ37" i="12"/>
  <c r="AR37" i="12"/>
  <c r="AS37" i="12"/>
  <c r="AT37" i="12"/>
  <c r="AU37" i="12"/>
  <c r="AV37" i="12"/>
  <c r="AW37" i="12"/>
  <c r="AX37" i="12"/>
  <c r="AY37" i="12"/>
  <c r="AZ37" i="12"/>
  <c r="BA37" i="12"/>
  <c r="BC37" i="12"/>
  <c r="BE37" i="12"/>
  <c r="BF37" i="12"/>
  <c r="BJ37" i="12"/>
  <c r="BK37" i="12"/>
  <c r="BL37" i="12"/>
  <c r="BM37" i="12"/>
  <c r="AB38" i="12"/>
  <c r="AC38" i="12"/>
  <c r="AD38" i="12"/>
  <c r="AE38" i="12"/>
  <c r="AG38" i="12"/>
  <c r="AH38" i="12"/>
  <c r="AI38" i="12"/>
  <c r="AJ38" i="12"/>
  <c r="AK38" i="12"/>
  <c r="AL38" i="12"/>
  <c r="AM38" i="12"/>
  <c r="AN38" i="12"/>
  <c r="AO38" i="12"/>
  <c r="AP38" i="12"/>
  <c r="AQ38" i="12"/>
  <c r="AR38" i="12"/>
  <c r="AS38" i="12"/>
  <c r="AT38" i="12"/>
  <c r="AU38" i="12"/>
  <c r="AV38" i="12"/>
  <c r="AW38" i="12"/>
  <c r="AX38" i="12"/>
  <c r="AY38" i="12"/>
  <c r="AZ38" i="12"/>
  <c r="BA38" i="12"/>
  <c r="BC38" i="12"/>
  <c r="BE38" i="12"/>
  <c r="BF38" i="12"/>
  <c r="BJ38" i="12"/>
  <c r="BK38" i="12"/>
  <c r="BL38" i="12"/>
  <c r="BM38" i="12"/>
  <c r="AB39" i="12"/>
  <c r="AC39" i="12"/>
  <c r="AD39" i="12"/>
  <c r="AE39" i="12"/>
  <c r="AG39" i="12"/>
  <c r="AH39" i="12"/>
  <c r="AI39" i="12"/>
  <c r="AJ39" i="12"/>
  <c r="AK39" i="12"/>
  <c r="AL39" i="12"/>
  <c r="AM39" i="12"/>
  <c r="AN39" i="12"/>
  <c r="AO39" i="12"/>
  <c r="AP39" i="12"/>
  <c r="AQ39" i="12"/>
  <c r="AR39" i="12"/>
  <c r="AS39" i="12"/>
  <c r="AT39" i="12"/>
  <c r="AU39" i="12"/>
  <c r="AV39" i="12"/>
  <c r="AW39" i="12"/>
  <c r="AX39" i="12"/>
  <c r="AY39" i="12"/>
  <c r="AZ39" i="12"/>
  <c r="BA39" i="12"/>
  <c r="BC39" i="12"/>
  <c r="BE39" i="12"/>
  <c r="BF39" i="12"/>
  <c r="BJ39" i="12"/>
  <c r="BK39" i="12"/>
  <c r="BL39" i="12"/>
  <c r="BM39" i="12"/>
  <c r="AB40" i="12"/>
  <c r="AC40" i="12"/>
  <c r="AD40" i="12"/>
  <c r="AE40" i="12"/>
  <c r="AG40" i="12"/>
  <c r="AH40" i="12"/>
  <c r="AI40" i="12"/>
  <c r="AJ40" i="12"/>
  <c r="AK40" i="12"/>
  <c r="AL40" i="12"/>
  <c r="AM40" i="12"/>
  <c r="AN40" i="12"/>
  <c r="AO40" i="12"/>
  <c r="AP40" i="12"/>
  <c r="AQ40" i="12"/>
  <c r="AR40" i="12"/>
  <c r="AS40" i="12"/>
  <c r="AT40" i="12"/>
  <c r="AU40" i="12"/>
  <c r="AV40" i="12"/>
  <c r="AW40" i="12"/>
  <c r="AX40" i="12"/>
  <c r="AY40" i="12"/>
  <c r="AZ40" i="12"/>
  <c r="BA40" i="12"/>
  <c r="BC40" i="12"/>
  <c r="BE40" i="12"/>
  <c r="BF40" i="12"/>
  <c r="BJ40" i="12"/>
  <c r="BK40" i="12"/>
  <c r="BL40" i="12"/>
  <c r="BM40" i="12"/>
  <c r="AB41" i="12"/>
  <c r="AC41" i="12"/>
  <c r="AD41" i="12"/>
  <c r="AE41" i="12"/>
  <c r="AG41" i="12"/>
  <c r="AH41" i="12"/>
  <c r="AI41" i="12"/>
  <c r="AJ41" i="12"/>
  <c r="AK41" i="12"/>
  <c r="AL41" i="12"/>
  <c r="AM41" i="12"/>
  <c r="AN41" i="12"/>
  <c r="AO41" i="12"/>
  <c r="AP41" i="12"/>
  <c r="AQ41" i="12"/>
  <c r="AR41" i="12"/>
  <c r="AS41" i="12"/>
  <c r="AT41" i="12"/>
  <c r="AU41" i="12"/>
  <c r="AV41" i="12"/>
  <c r="AW41" i="12"/>
  <c r="AX41" i="12"/>
  <c r="AY41" i="12"/>
  <c r="AZ41" i="12"/>
  <c r="BA41" i="12"/>
  <c r="BC41" i="12"/>
  <c r="BE41" i="12"/>
  <c r="BF41" i="12"/>
  <c r="BJ41" i="12"/>
  <c r="BK41" i="12"/>
  <c r="BL41" i="12"/>
  <c r="BM41" i="12"/>
  <c r="AB42" i="12"/>
  <c r="AC42" i="12"/>
  <c r="AD42" i="12"/>
  <c r="AE42" i="12"/>
  <c r="AG42" i="12"/>
  <c r="AH42" i="12"/>
  <c r="AI42" i="12"/>
  <c r="AJ42" i="12"/>
  <c r="AK42" i="12"/>
  <c r="AL42" i="12"/>
  <c r="AM42" i="12"/>
  <c r="AN42" i="12"/>
  <c r="AO42" i="12"/>
  <c r="AP42" i="12"/>
  <c r="AQ42" i="12"/>
  <c r="AR42" i="12"/>
  <c r="AS42" i="12"/>
  <c r="AT42" i="12"/>
  <c r="AU42" i="12"/>
  <c r="AV42" i="12"/>
  <c r="AW42" i="12"/>
  <c r="AX42" i="12"/>
  <c r="AY42" i="12"/>
  <c r="AZ42" i="12"/>
  <c r="BA42" i="12"/>
  <c r="BC42" i="12"/>
  <c r="BE42" i="12"/>
  <c r="BF42" i="12"/>
  <c r="BJ42" i="12"/>
  <c r="BK42" i="12"/>
  <c r="BL42" i="12"/>
  <c r="BM42" i="12"/>
  <c r="AB43" i="12"/>
  <c r="AC43" i="12"/>
  <c r="AD43" i="12"/>
  <c r="AE43" i="12"/>
  <c r="AG43" i="12"/>
  <c r="AH43" i="12"/>
  <c r="AI43" i="12"/>
  <c r="AJ43" i="12"/>
  <c r="AK43" i="12"/>
  <c r="AL43" i="12"/>
  <c r="AM43" i="12"/>
  <c r="AN43" i="12"/>
  <c r="AO43" i="12"/>
  <c r="AP43" i="12"/>
  <c r="AQ43" i="12"/>
  <c r="AR43" i="12"/>
  <c r="AS43" i="12"/>
  <c r="AT43" i="12"/>
  <c r="AU43" i="12"/>
  <c r="AV43" i="12"/>
  <c r="AW43" i="12"/>
  <c r="AX43" i="12"/>
  <c r="AY43" i="12"/>
  <c r="AZ43" i="12"/>
  <c r="BA43" i="12"/>
  <c r="BC43" i="12"/>
  <c r="BE43" i="12"/>
  <c r="BF43" i="12"/>
  <c r="BJ43" i="12"/>
  <c r="BK43" i="12"/>
  <c r="BL43" i="12"/>
  <c r="BM43" i="12"/>
  <c r="AB44" i="12"/>
  <c r="AC44" i="12"/>
  <c r="AD44" i="12"/>
  <c r="AE44" i="12"/>
  <c r="AG44" i="12"/>
  <c r="AH44" i="12"/>
  <c r="AI44" i="12"/>
  <c r="AJ44" i="12"/>
  <c r="AK44" i="12"/>
  <c r="AL44" i="12"/>
  <c r="AM44" i="12"/>
  <c r="AN44" i="12"/>
  <c r="AO44" i="12"/>
  <c r="AP44" i="12"/>
  <c r="AQ44" i="12"/>
  <c r="AR44" i="12"/>
  <c r="AS44" i="12"/>
  <c r="AT44" i="12"/>
  <c r="AU44" i="12"/>
  <c r="AV44" i="12"/>
  <c r="AW44" i="12"/>
  <c r="AX44" i="12"/>
  <c r="AY44" i="12"/>
  <c r="AZ44" i="12"/>
  <c r="BA44" i="12"/>
  <c r="BC44" i="12"/>
  <c r="BE44" i="12"/>
  <c r="BF44" i="12"/>
  <c r="BJ44" i="12"/>
  <c r="BK44" i="12"/>
  <c r="BL44" i="12"/>
  <c r="BM44" i="12"/>
  <c r="AB45" i="12"/>
  <c r="AC45" i="12"/>
  <c r="AD45" i="12"/>
  <c r="AE45" i="12"/>
  <c r="AG45" i="12"/>
  <c r="AH45" i="12"/>
  <c r="AI45" i="12"/>
  <c r="AJ45" i="12"/>
  <c r="AK45" i="12"/>
  <c r="AL45" i="12"/>
  <c r="AM45" i="12"/>
  <c r="AN45" i="12"/>
  <c r="AO45" i="12"/>
  <c r="AP45" i="12"/>
  <c r="AQ45" i="12"/>
  <c r="AR45" i="12"/>
  <c r="AS45" i="12"/>
  <c r="AT45" i="12"/>
  <c r="AU45" i="12"/>
  <c r="AV45" i="12"/>
  <c r="AW45" i="12"/>
  <c r="AX45" i="12"/>
  <c r="AY45" i="12"/>
  <c r="AZ45" i="12"/>
  <c r="BA45" i="12"/>
  <c r="BC45" i="12"/>
  <c r="BE45" i="12"/>
  <c r="BF45" i="12"/>
  <c r="BJ45" i="12"/>
  <c r="BK45" i="12"/>
  <c r="BL45" i="12"/>
  <c r="BM45" i="12"/>
  <c r="AB46" i="12"/>
  <c r="AC46" i="12"/>
  <c r="AD46" i="12"/>
  <c r="AE46" i="12"/>
  <c r="AG46" i="12"/>
  <c r="AH46" i="12"/>
  <c r="AI46" i="12"/>
  <c r="AJ46" i="12"/>
  <c r="AK46" i="12"/>
  <c r="AL46" i="12"/>
  <c r="AM46" i="12"/>
  <c r="AN46" i="12"/>
  <c r="AO46" i="12"/>
  <c r="AP46" i="12"/>
  <c r="AQ46" i="12"/>
  <c r="AR46" i="12"/>
  <c r="AS46" i="12"/>
  <c r="AT46" i="12"/>
  <c r="AU46" i="12"/>
  <c r="AV46" i="12"/>
  <c r="AW46" i="12"/>
  <c r="AX46" i="12"/>
  <c r="AY46" i="12"/>
  <c r="AZ46" i="12"/>
  <c r="BA46" i="12"/>
  <c r="BC46" i="12"/>
  <c r="BE46" i="12"/>
  <c r="BF46" i="12"/>
  <c r="BJ46" i="12"/>
  <c r="BK46" i="12"/>
  <c r="BL46" i="12"/>
  <c r="BM46" i="12"/>
  <c r="AB47" i="12"/>
  <c r="AC47" i="12"/>
  <c r="AD47" i="12"/>
  <c r="AE47" i="12"/>
  <c r="AG47" i="12"/>
  <c r="AH47" i="12"/>
  <c r="AI47" i="12"/>
  <c r="AJ47" i="12"/>
  <c r="AK47" i="12"/>
  <c r="AL47" i="12"/>
  <c r="AM47" i="12"/>
  <c r="AN47" i="12"/>
  <c r="AO47" i="12"/>
  <c r="AP47" i="12"/>
  <c r="AQ47" i="12"/>
  <c r="AR47" i="12"/>
  <c r="AS47" i="12"/>
  <c r="AT47" i="12"/>
  <c r="AU47" i="12"/>
  <c r="AV47" i="12"/>
  <c r="AW47" i="12"/>
  <c r="AX47" i="12"/>
  <c r="AY47" i="12"/>
  <c r="AZ47" i="12"/>
  <c r="BA47" i="12"/>
  <c r="BC47" i="12"/>
  <c r="BE47" i="12"/>
  <c r="BF47" i="12"/>
  <c r="BJ47" i="12"/>
  <c r="BK47" i="12"/>
  <c r="BL47" i="12"/>
  <c r="BM47" i="12"/>
  <c r="AB48" i="12"/>
  <c r="AC48" i="12"/>
  <c r="AD48" i="12"/>
  <c r="AE48" i="12"/>
  <c r="AG48" i="12"/>
  <c r="AH48" i="12"/>
  <c r="AI48" i="12"/>
  <c r="AJ48" i="12"/>
  <c r="AK48" i="12"/>
  <c r="AL48" i="12"/>
  <c r="AM48" i="12"/>
  <c r="AN48" i="12"/>
  <c r="AO48" i="12"/>
  <c r="AP48" i="12"/>
  <c r="AQ48" i="12"/>
  <c r="AR48" i="12"/>
  <c r="AS48" i="12"/>
  <c r="AT48" i="12"/>
  <c r="AU48" i="12"/>
  <c r="AV48" i="12"/>
  <c r="AW48" i="12"/>
  <c r="AX48" i="12"/>
  <c r="AY48" i="12"/>
  <c r="AZ48" i="12"/>
  <c r="BA48" i="12"/>
  <c r="BC48" i="12"/>
  <c r="BE48" i="12"/>
  <c r="BF48" i="12"/>
  <c r="BJ48" i="12"/>
  <c r="BK48" i="12"/>
  <c r="BL48" i="12"/>
  <c r="BM48" i="12"/>
  <c r="AB49" i="12"/>
  <c r="AC49" i="12"/>
  <c r="AD49" i="12"/>
  <c r="AE49" i="12"/>
  <c r="AG49" i="12"/>
  <c r="AH49" i="12"/>
  <c r="AI49" i="12"/>
  <c r="AJ49" i="12"/>
  <c r="AK49" i="12"/>
  <c r="AL49" i="12"/>
  <c r="AM49" i="12"/>
  <c r="AN49" i="12"/>
  <c r="AO49" i="12"/>
  <c r="AP49" i="12"/>
  <c r="AQ49" i="12"/>
  <c r="AR49" i="12"/>
  <c r="AS49" i="12"/>
  <c r="AT49" i="12"/>
  <c r="AU49" i="12"/>
  <c r="AV49" i="12"/>
  <c r="AW49" i="12"/>
  <c r="AX49" i="12"/>
  <c r="AY49" i="12"/>
  <c r="AZ49" i="12"/>
  <c r="BA49" i="12"/>
  <c r="BC49" i="12"/>
  <c r="BE49" i="12"/>
  <c r="BF49" i="12"/>
  <c r="BJ49" i="12"/>
  <c r="BK49" i="12"/>
  <c r="BL49" i="12"/>
  <c r="BM49" i="12"/>
  <c r="AB50" i="12"/>
  <c r="AC50" i="12"/>
  <c r="AD50" i="12"/>
  <c r="AE50" i="12"/>
  <c r="AG50" i="12"/>
  <c r="AH50" i="12"/>
  <c r="AI50" i="12"/>
  <c r="AJ50" i="12"/>
  <c r="AK50" i="12"/>
  <c r="AL50" i="12"/>
  <c r="AM50" i="12"/>
  <c r="AN50" i="12"/>
  <c r="AO50" i="12"/>
  <c r="AP50" i="12"/>
  <c r="AQ50" i="12"/>
  <c r="AR50" i="12"/>
  <c r="AS50" i="12"/>
  <c r="AT50" i="12"/>
  <c r="AU50" i="12"/>
  <c r="AV50" i="12"/>
  <c r="AW50" i="12"/>
  <c r="AX50" i="12"/>
  <c r="AY50" i="12"/>
  <c r="AZ50" i="12"/>
  <c r="BA50" i="12"/>
  <c r="BC50" i="12"/>
  <c r="BE50" i="12"/>
  <c r="BF50" i="12"/>
  <c r="BJ50" i="12"/>
  <c r="BK50" i="12"/>
  <c r="BL50" i="12"/>
  <c r="BM50" i="12"/>
  <c r="AB51" i="12"/>
  <c r="AC51" i="12"/>
  <c r="AD51" i="12"/>
  <c r="AE51" i="12"/>
  <c r="AG51" i="12"/>
  <c r="AH51" i="12"/>
  <c r="AI51" i="12"/>
  <c r="AJ51" i="12"/>
  <c r="AK51" i="12"/>
  <c r="AL51" i="12"/>
  <c r="AM51" i="12"/>
  <c r="AN51" i="12"/>
  <c r="AO51" i="12"/>
  <c r="AP51" i="12"/>
  <c r="AQ51" i="12"/>
  <c r="AR51" i="12"/>
  <c r="AS51" i="12"/>
  <c r="AT51" i="12"/>
  <c r="AU51" i="12"/>
  <c r="AV51" i="12"/>
  <c r="AW51" i="12"/>
  <c r="AX51" i="12"/>
  <c r="AY51" i="12"/>
  <c r="AZ51" i="12"/>
  <c r="BA51" i="12"/>
  <c r="BC51" i="12"/>
  <c r="BE51" i="12"/>
  <c r="BF51" i="12"/>
  <c r="BJ51" i="12"/>
  <c r="BK51" i="12"/>
  <c r="BL51" i="12"/>
  <c r="BM51" i="12"/>
  <c r="AB52" i="12"/>
  <c r="AC52" i="12"/>
  <c r="AD52" i="12"/>
  <c r="AE52" i="12"/>
  <c r="AG52" i="12"/>
  <c r="AH52" i="12"/>
  <c r="AI52" i="12"/>
  <c r="AJ52" i="12"/>
  <c r="AK52" i="12"/>
  <c r="AL52" i="12"/>
  <c r="AM52" i="12"/>
  <c r="AN52" i="12"/>
  <c r="AO52" i="12"/>
  <c r="AP52" i="12"/>
  <c r="AQ52" i="12"/>
  <c r="AR52" i="12"/>
  <c r="AS52" i="12"/>
  <c r="AT52" i="12"/>
  <c r="AU52" i="12"/>
  <c r="AV52" i="12"/>
  <c r="AW52" i="12"/>
  <c r="AX52" i="12"/>
  <c r="AY52" i="12"/>
  <c r="AZ52" i="12"/>
  <c r="BA52" i="12"/>
  <c r="BC52" i="12"/>
  <c r="BE52" i="12"/>
  <c r="BF52" i="12"/>
  <c r="BJ52" i="12"/>
  <c r="BK52" i="12"/>
  <c r="BL52" i="12"/>
  <c r="BM52" i="12"/>
  <c r="AB53" i="12"/>
  <c r="AC53" i="12"/>
  <c r="AD53" i="12"/>
  <c r="AE53" i="12"/>
  <c r="AG53" i="12"/>
  <c r="AH53" i="12"/>
  <c r="AI53" i="12"/>
  <c r="AJ53" i="12"/>
  <c r="AK53" i="12"/>
  <c r="AL53" i="12"/>
  <c r="AM53" i="12"/>
  <c r="AN53" i="12"/>
  <c r="AO53" i="12"/>
  <c r="AP53" i="12"/>
  <c r="AQ53" i="12"/>
  <c r="AR53" i="12"/>
  <c r="AS53" i="12"/>
  <c r="AT53" i="12"/>
  <c r="AU53" i="12"/>
  <c r="AV53" i="12"/>
  <c r="AW53" i="12"/>
  <c r="AX53" i="12"/>
  <c r="AY53" i="12"/>
  <c r="AZ53" i="12"/>
  <c r="BA53" i="12"/>
  <c r="BC53" i="12"/>
  <c r="BE53" i="12"/>
  <c r="BF53" i="12"/>
  <c r="BJ53" i="12"/>
  <c r="BK53" i="12"/>
  <c r="BL53" i="12"/>
  <c r="BM53" i="12"/>
  <c r="AB54" i="12"/>
  <c r="AC54" i="12"/>
  <c r="AD54" i="12"/>
  <c r="AE54" i="12"/>
  <c r="AG54" i="12"/>
  <c r="AH54" i="12"/>
  <c r="AI54" i="12"/>
  <c r="AJ54" i="12"/>
  <c r="AK54" i="12"/>
  <c r="AL54" i="12"/>
  <c r="AM54" i="12"/>
  <c r="AN54" i="12"/>
  <c r="AO54" i="12"/>
  <c r="AP54" i="12"/>
  <c r="AQ54" i="12"/>
  <c r="AR54" i="12"/>
  <c r="AS54" i="12"/>
  <c r="AT54" i="12"/>
  <c r="AU54" i="12"/>
  <c r="AV54" i="12"/>
  <c r="AW54" i="12"/>
  <c r="AX54" i="12"/>
  <c r="AY54" i="12"/>
  <c r="AZ54" i="12"/>
  <c r="BA54" i="12"/>
  <c r="BC54" i="12"/>
  <c r="BE54" i="12"/>
  <c r="BF54" i="12"/>
  <c r="BJ54" i="12"/>
  <c r="BK54" i="12"/>
  <c r="BL54" i="12"/>
  <c r="BM54" i="12"/>
  <c r="AB55" i="12"/>
  <c r="AC55" i="12"/>
  <c r="AD55" i="12"/>
  <c r="AE55" i="12"/>
  <c r="AG55" i="12"/>
  <c r="AH55" i="12"/>
  <c r="AI55" i="12"/>
  <c r="AJ55" i="12"/>
  <c r="AK55" i="12"/>
  <c r="AL55" i="12"/>
  <c r="AM55" i="12"/>
  <c r="AN55" i="12"/>
  <c r="AO55" i="12"/>
  <c r="AP55" i="12"/>
  <c r="AQ55" i="12"/>
  <c r="AR55" i="12"/>
  <c r="AS55" i="12"/>
  <c r="AT55" i="12"/>
  <c r="AU55" i="12"/>
  <c r="AV55" i="12"/>
  <c r="AW55" i="12"/>
  <c r="AX55" i="12"/>
  <c r="AY55" i="12"/>
  <c r="AZ55" i="12"/>
  <c r="BA55" i="12"/>
  <c r="BC55" i="12"/>
  <c r="BE55" i="12"/>
  <c r="BF55" i="12"/>
  <c r="BJ55" i="12"/>
  <c r="BK55" i="12"/>
  <c r="BL55" i="12"/>
  <c r="BM55" i="12"/>
  <c r="AB56" i="12"/>
  <c r="AC56" i="12"/>
  <c r="AD56" i="12"/>
  <c r="AE56" i="12"/>
  <c r="AG56" i="12"/>
  <c r="AH56" i="12"/>
  <c r="AI56" i="12"/>
  <c r="AJ56" i="12"/>
  <c r="AK56" i="12"/>
  <c r="AL56" i="12"/>
  <c r="AM56" i="12"/>
  <c r="AN56" i="12"/>
  <c r="AO56" i="12"/>
  <c r="AP56" i="12"/>
  <c r="AQ56" i="12"/>
  <c r="AR56" i="12"/>
  <c r="AS56" i="12"/>
  <c r="AT56" i="12"/>
  <c r="AU56" i="12"/>
  <c r="AV56" i="12"/>
  <c r="AW56" i="12"/>
  <c r="AX56" i="12"/>
  <c r="AY56" i="12"/>
  <c r="AZ56" i="12"/>
  <c r="BA56" i="12"/>
  <c r="BC56" i="12"/>
  <c r="BE56" i="12"/>
  <c r="BF56" i="12"/>
  <c r="BJ56" i="12"/>
  <c r="BK56" i="12"/>
  <c r="BL56" i="12"/>
  <c r="BM56" i="12"/>
  <c r="AB57" i="12"/>
  <c r="AC57" i="12"/>
  <c r="AD57" i="12"/>
  <c r="AE57" i="12"/>
  <c r="AG57" i="12"/>
  <c r="AH57" i="12"/>
  <c r="AI57" i="12"/>
  <c r="AJ57" i="12"/>
  <c r="AK57" i="12"/>
  <c r="AL57" i="12"/>
  <c r="AM57" i="12"/>
  <c r="AN57" i="12"/>
  <c r="AO57" i="12"/>
  <c r="AP57" i="12"/>
  <c r="AQ57" i="12"/>
  <c r="AR57" i="12"/>
  <c r="AS57" i="12"/>
  <c r="AT57" i="12"/>
  <c r="AU57" i="12"/>
  <c r="AV57" i="12"/>
  <c r="AW57" i="12"/>
  <c r="AX57" i="12"/>
  <c r="AY57" i="12"/>
  <c r="AZ57" i="12"/>
  <c r="BA57" i="12"/>
  <c r="BC57" i="12"/>
  <c r="BE57" i="12"/>
  <c r="BF57" i="12"/>
  <c r="BJ57" i="12"/>
  <c r="BK57" i="12"/>
  <c r="BL57" i="12"/>
  <c r="BM57" i="12"/>
  <c r="AB58" i="12"/>
  <c r="AC58" i="12"/>
  <c r="AD58" i="12"/>
  <c r="AE58" i="12"/>
  <c r="AG58" i="12"/>
  <c r="AH58" i="12"/>
  <c r="AI58" i="12"/>
  <c r="AJ58" i="12"/>
  <c r="AK58" i="12"/>
  <c r="AL58" i="12"/>
  <c r="AM58" i="12"/>
  <c r="AN58" i="12"/>
  <c r="AO58" i="12"/>
  <c r="AP58" i="12"/>
  <c r="AQ58" i="12"/>
  <c r="AR58" i="12"/>
  <c r="AS58" i="12"/>
  <c r="AT58" i="12"/>
  <c r="AU58" i="12"/>
  <c r="AV58" i="12"/>
  <c r="AW58" i="12"/>
  <c r="AX58" i="12"/>
  <c r="AY58" i="12"/>
  <c r="AZ58" i="12"/>
  <c r="BA58" i="12"/>
  <c r="BC58" i="12"/>
  <c r="BE58" i="12"/>
  <c r="BF58" i="12"/>
  <c r="BJ58" i="12"/>
  <c r="BK58" i="12"/>
  <c r="BL58" i="12"/>
  <c r="BM58" i="12"/>
  <c r="AB59" i="12"/>
  <c r="AC59" i="12"/>
  <c r="AD59" i="12"/>
  <c r="AE59" i="12"/>
  <c r="AG59" i="12"/>
  <c r="AH59" i="12"/>
  <c r="AI59" i="12"/>
  <c r="AJ59" i="12"/>
  <c r="AK59" i="12"/>
  <c r="AL59" i="12"/>
  <c r="AM59" i="12"/>
  <c r="AN59" i="12"/>
  <c r="AO59" i="12"/>
  <c r="AP59" i="12"/>
  <c r="AQ59" i="12"/>
  <c r="AR59" i="12"/>
  <c r="AS59" i="12"/>
  <c r="AT59" i="12"/>
  <c r="AU59" i="12"/>
  <c r="AV59" i="12"/>
  <c r="AW59" i="12"/>
  <c r="AX59" i="12"/>
  <c r="AY59" i="12"/>
  <c r="AZ59" i="12"/>
  <c r="BA59" i="12"/>
  <c r="BC59" i="12"/>
  <c r="BE59" i="12"/>
  <c r="BF59" i="12"/>
  <c r="BJ59" i="12"/>
  <c r="BK59" i="12"/>
  <c r="BL59" i="12"/>
  <c r="BM59" i="12"/>
  <c r="AB60" i="12"/>
  <c r="AC60" i="12"/>
  <c r="AD60" i="12"/>
  <c r="AE60" i="12"/>
  <c r="AG60" i="12"/>
  <c r="AH60" i="12"/>
  <c r="AI60" i="12"/>
  <c r="AJ60" i="12"/>
  <c r="AK60" i="12"/>
  <c r="AL60" i="12"/>
  <c r="AM60" i="12"/>
  <c r="AN60" i="12"/>
  <c r="AO60" i="12"/>
  <c r="AP60" i="12"/>
  <c r="AQ60" i="12"/>
  <c r="AR60" i="12"/>
  <c r="AS60" i="12"/>
  <c r="AT60" i="12"/>
  <c r="AU60" i="12"/>
  <c r="AV60" i="12"/>
  <c r="AW60" i="12"/>
  <c r="AX60" i="12"/>
  <c r="AY60" i="12"/>
  <c r="AZ60" i="12"/>
  <c r="BA60" i="12"/>
  <c r="BC60" i="12"/>
  <c r="BE60" i="12"/>
  <c r="BF60" i="12"/>
  <c r="BJ60" i="12"/>
  <c r="BK60" i="12"/>
  <c r="BL60" i="12"/>
  <c r="BM60" i="12"/>
  <c r="AB61" i="12"/>
  <c r="AC61" i="12"/>
  <c r="AD61" i="12"/>
  <c r="AE61" i="12"/>
  <c r="AG61" i="12"/>
  <c r="AH61" i="12"/>
  <c r="AI61" i="12"/>
  <c r="AJ61" i="12"/>
  <c r="AK61" i="12"/>
  <c r="AL61" i="12"/>
  <c r="AM61" i="12"/>
  <c r="AN61" i="12"/>
  <c r="AO61" i="12"/>
  <c r="AP61" i="12"/>
  <c r="AQ61" i="12"/>
  <c r="AR61" i="12"/>
  <c r="AS61" i="12"/>
  <c r="AT61" i="12"/>
  <c r="AU61" i="12"/>
  <c r="AV61" i="12"/>
  <c r="AW61" i="12"/>
  <c r="AX61" i="12"/>
  <c r="AY61" i="12"/>
  <c r="AZ61" i="12"/>
  <c r="BA61" i="12"/>
  <c r="BC61" i="12"/>
  <c r="BE61" i="12"/>
  <c r="BF61" i="12"/>
  <c r="BJ61" i="12"/>
  <c r="BK61" i="12"/>
  <c r="BL61" i="12"/>
  <c r="BM61" i="12"/>
  <c r="AB62" i="12"/>
  <c r="AC62" i="12"/>
  <c r="AD62" i="12"/>
  <c r="AE62" i="12"/>
  <c r="AG62" i="12"/>
  <c r="AH62" i="12"/>
  <c r="AI62" i="12"/>
  <c r="AJ62" i="12"/>
  <c r="AK62" i="12"/>
  <c r="AL62" i="12"/>
  <c r="AM62" i="12"/>
  <c r="AN62" i="12"/>
  <c r="AO62" i="12"/>
  <c r="AP62" i="12"/>
  <c r="AQ62" i="12"/>
  <c r="AR62" i="12"/>
  <c r="AS62" i="12"/>
  <c r="AT62" i="12"/>
  <c r="AU62" i="12"/>
  <c r="AV62" i="12"/>
  <c r="AW62" i="12"/>
  <c r="AX62" i="12"/>
  <c r="AY62" i="12"/>
  <c r="AZ62" i="12"/>
  <c r="BA62" i="12"/>
  <c r="BC62" i="12"/>
  <c r="BE62" i="12"/>
  <c r="BF62" i="12"/>
  <c r="BJ62" i="12"/>
  <c r="BK62" i="12"/>
  <c r="BL62" i="12"/>
  <c r="BM62" i="12"/>
  <c r="AB63" i="12"/>
  <c r="AC63" i="12"/>
  <c r="AD63" i="12"/>
  <c r="AE63" i="12"/>
  <c r="AG63" i="12"/>
  <c r="AH63" i="12"/>
  <c r="AI63" i="12"/>
  <c r="AJ63" i="12"/>
  <c r="AK63" i="12"/>
  <c r="AL63" i="12"/>
  <c r="AM63" i="12"/>
  <c r="AN63" i="12"/>
  <c r="AO63" i="12"/>
  <c r="AP63" i="12"/>
  <c r="AQ63" i="12"/>
  <c r="AR63" i="12"/>
  <c r="AS63" i="12"/>
  <c r="AT63" i="12"/>
  <c r="AU63" i="12"/>
  <c r="AV63" i="12"/>
  <c r="AW63" i="12"/>
  <c r="AX63" i="12"/>
  <c r="AY63" i="12"/>
  <c r="AZ63" i="12"/>
  <c r="BA63" i="12"/>
  <c r="BC63" i="12"/>
  <c r="BE63" i="12"/>
  <c r="BF63" i="12"/>
  <c r="BJ63" i="12"/>
  <c r="BK63" i="12"/>
  <c r="BL63" i="12"/>
  <c r="BM63" i="12"/>
  <c r="AB64" i="12"/>
  <c r="AC64" i="12"/>
  <c r="AD64" i="12"/>
  <c r="AE64" i="12"/>
  <c r="AG64" i="12"/>
  <c r="AH64" i="12"/>
  <c r="AI64" i="12"/>
  <c r="AJ64" i="12"/>
  <c r="AK64" i="12"/>
  <c r="AL64" i="12"/>
  <c r="AM64" i="12"/>
  <c r="AN64" i="12"/>
  <c r="AO64" i="12"/>
  <c r="AP64" i="12"/>
  <c r="AQ64" i="12"/>
  <c r="AR64" i="12"/>
  <c r="AS64" i="12"/>
  <c r="AT64" i="12"/>
  <c r="AU64" i="12"/>
  <c r="AV64" i="12"/>
  <c r="AW64" i="12"/>
  <c r="AX64" i="12"/>
  <c r="AY64" i="12"/>
  <c r="AZ64" i="12"/>
  <c r="BA64" i="12"/>
  <c r="BC64" i="12"/>
  <c r="BE64" i="12"/>
  <c r="BF64" i="12"/>
  <c r="BJ64" i="12"/>
  <c r="BK64" i="12"/>
  <c r="BL64" i="12"/>
  <c r="BM64" i="12"/>
  <c r="AB65" i="12"/>
  <c r="AC65" i="12"/>
  <c r="AD65" i="12"/>
  <c r="AE65" i="12"/>
  <c r="AG65" i="12"/>
  <c r="AH65" i="12"/>
  <c r="AI65" i="12"/>
  <c r="AJ65" i="12"/>
  <c r="AK65" i="12"/>
  <c r="AL65" i="12"/>
  <c r="AM65" i="12"/>
  <c r="AN65" i="12"/>
  <c r="AO65" i="12"/>
  <c r="AP65" i="12"/>
  <c r="AQ65" i="12"/>
  <c r="AR65" i="12"/>
  <c r="AS65" i="12"/>
  <c r="AT65" i="12"/>
  <c r="AU65" i="12"/>
  <c r="AV65" i="12"/>
  <c r="AW65" i="12"/>
  <c r="AX65" i="12"/>
  <c r="AY65" i="12"/>
  <c r="AZ65" i="12"/>
  <c r="BA65" i="12"/>
  <c r="BC65" i="12"/>
  <c r="BE65" i="12"/>
  <c r="BF65" i="12"/>
  <c r="BJ65" i="12"/>
  <c r="BK65" i="12"/>
  <c r="BL65" i="12"/>
  <c r="BM65" i="12"/>
  <c r="AB66" i="12"/>
  <c r="AC66" i="12"/>
  <c r="AD66" i="12"/>
  <c r="AE66" i="12"/>
  <c r="AG66" i="12"/>
  <c r="AH66" i="12"/>
  <c r="AI66" i="12"/>
  <c r="AJ66" i="12"/>
  <c r="AK66" i="12"/>
  <c r="AL66" i="12"/>
  <c r="AM66" i="12"/>
  <c r="AN66" i="12"/>
  <c r="AO66" i="12"/>
  <c r="AP66" i="12"/>
  <c r="AQ66" i="12"/>
  <c r="AR66" i="12"/>
  <c r="AS66" i="12"/>
  <c r="AT66" i="12"/>
  <c r="AU66" i="12"/>
  <c r="AV66" i="12"/>
  <c r="AW66" i="12"/>
  <c r="AX66" i="12"/>
  <c r="AY66" i="12"/>
  <c r="AZ66" i="12"/>
  <c r="BA66" i="12"/>
  <c r="BC66" i="12"/>
  <c r="BE66" i="12"/>
  <c r="BF66" i="12"/>
  <c r="BJ66" i="12"/>
  <c r="BK66" i="12"/>
  <c r="BL66" i="12"/>
  <c r="BM66" i="12"/>
  <c r="AB67" i="12"/>
  <c r="AC67" i="12"/>
  <c r="AD67" i="12"/>
  <c r="AE67" i="12"/>
  <c r="AG67" i="12"/>
  <c r="AH67" i="12"/>
  <c r="AI67" i="12"/>
  <c r="AJ67" i="12"/>
  <c r="AK67" i="12"/>
  <c r="AL67" i="12"/>
  <c r="AM67" i="12"/>
  <c r="AN67" i="12"/>
  <c r="AO67" i="12"/>
  <c r="AP67" i="12"/>
  <c r="AQ67" i="12"/>
  <c r="AR67" i="12"/>
  <c r="AS67" i="12"/>
  <c r="AT67" i="12"/>
  <c r="AU67" i="12"/>
  <c r="AV67" i="12"/>
  <c r="AW67" i="12"/>
  <c r="AX67" i="12"/>
  <c r="AY67" i="12"/>
  <c r="AZ67" i="12"/>
  <c r="BA67" i="12"/>
  <c r="BC67" i="12"/>
  <c r="BE67" i="12"/>
  <c r="BF67" i="12"/>
  <c r="BJ67" i="12"/>
  <c r="BK67" i="12"/>
  <c r="BL67" i="12"/>
  <c r="BM67" i="12"/>
  <c r="AB68" i="12"/>
  <c r="AC68" i="12"/>
  <c r="AD68" i="12"/>
  <c r="AE68" i="12"/>
  <c r="AG68" i="12"/>
  <c r="AH68" i="12"/>
  <c r="AI68" i="12"/>
  <c r="AJ68" i="12"/>
  <c r="AK68" i="12"/>
  <c r="AL68" i="12"/>
  <c r="AM68" i="12"/>
  <c r="AN68" i="12"/>
  <c r="AO68" i="12"/>
  <c r="AP68" i="12"/>
  <c r="AQ68" i="12"/>
  <c r="AR68" i="12"/>
  <c r="AS68" i="12"/>
  <c r="AT68" i="12"/>
  <c r="AU68" i="12"/>
  <c r="AV68" i="12"/>
  <c r="AW68" i="12"/>
  <c r="AX68" i="12"/>
  <c r="AY68" i="12"/>
  <c r="AZ68" i="12"/>
  <c r="BA68" i="12"/>
  <c r="BC68" i="12"/>
  <c r="BE68" i="12"/>
  <c r="BF68" i="12"/>
  <c r="BJ68" i="12"/>
  <c r="BK68" i="12"/>
  <c r="BL68" i="12"/>
  <c r="BM68" i="12"/>
  <c r="AB69" i="12"/>
  <c r="AC69" i="12"/>
  <c r="AD69" i="12"/>
  <c r="AE69" i="12"/>
  <c r="AG69" i="12"/>
  <c r="AH69" i="12"/>
  <c r="AI69" i="12"/>
  <c r="AJ69" i="12"/>
  <c r="AK69" i="12"/>
  <c r="AL69" i="12"/>
  <c r="AM69" i="12"/>
  <c r="AN69" i="12"/>
  <c r="AO69" i="12"/>
  <c r="AP69" i="12"/>
  <c r="AQ69" i="12"/>
  <c r="AR69" i="12"/>
  <c r="AS69" i="12"/>
  <c r="AT69" i="12"/>
  <c r="AU69" i="12"/>
  <c r="AV69" i="12"/>
  <c r="AW69" i="12"/>
  <c r="AX69" i="12"/>
  <c r="AY69" i="12"/>
  <c r="AZ69" i="12"/>
  <c r="BA69" i="12"/>
  <c r="BC69" i="12"/>
  <c r="BE69" i="12"/>
  <c r="BF69" i="12"/>
  <c r="BJ69" i="12"/>
  <c r="BK69" i="12"/>
  <c r="BL69" i="12"/>
  <c r="BM69" i="12"/>
  <c r="AB70" i="12"/>
  <c r="AC70" i="12"/>
  <c r="AD70" i="12"/>
  <c r="AE70" i="12"/>
  <c r="AG70" i="12"/>
  <c r="AH70" i="12"/>
  <c r="AI70" i="12"/>
  <c r="AJ70" i="12"/>
  <c r="AK70" i="12"/>
  <c r="AL70" i="12"/>
  <c r="AM70" i="12"/>
  <c r="AN70" i="12"/>
  <c r="AO70" i="12"/>
  <c r="AP70" i="12"/>
  <c r="AQ70" i="12"/>
  <c r="AR70" i="12"/>
  <c r="AS70" i="12"/>
  <c r="AT70" i="12"/>
  <c r="AU70" i="12"/>
  <c r="AV70" i="12"/>
  <c r="AW70" i="12"/>
  <c r="AX70" i="12"/>
  <c r="AY70" i="12"/>
  <c r="AZ70" i="12"/>
  <c r="BA70" i="12"/>
  <c r="BC70" i="12"/>
  <c r="BE70" i="12"/>
  <c r="BF70" i="12"/>
  <c r="BJ70" i="12"/>
  <c r="BK70" i="12"/>
  <c r="BL70" i="12"/>
  <c r="BM70" i="12"/>
  <c r="AB71" i="12"/>
  <c r="AC71" i="12"/>
  <c r="AD71" i="12"/>
  <c r="AE71" i="12"/>
  <c r="AG71" i="12"/>
  <c r="AH71" i="12"/>
  <c r="AI71" i="12"/>
  <c r="AJ71" i="12"/>
  <c r="AK71" i="12"/>
  <c r="AL71" i="12"/>
  <c r="AM71" i="12"/>
  <c r="AN71" i="12"/>
  <c r="AO71" i="12"/>
  <c r="AP71" i="12"/>
  <c r="AQ71" i="12"/>
  <c r="AR71" i="12"/>
  <c r="AS71" i="12"/>
  <c r="AT71" i="12"/>
  <c r="AU71" i="12"/>
  <c r="AV71" i="12"/>
  <c r="AW71" i="12"/>
  <c r="AX71" i="12"/>
  <c r="AY71" i="12"/>
  <c r="AZ71" i="12"/>
  <c r="BA71" i="12"/>
  <c r="BC71" i="12"/>
  <c r="BE71" i="12"/>
  <c r="BF71" i="12"/>
  <c r="BJ71" i="12"/>
  <c r="BK71" i="12"/>
  <c r="BL71" i="12"/>
  <c r="BM71" i="12"/>
  <c r="AB72" i="12"/>
  <c r="AC72" i="12"/>
  <c r="AD72" i="12"/>
  <c r="AE72" i="12"/>
  <c r="AG72" i="12"/>
  <c r="AH72" i="12"/>
  <c r="AI72" i="12"/>
  <c r="AJ72" i="12"/>
  <c r="AK72" i="12"/>
  <c r="AL72" i="12"/>
  <c r="AM72" i="12"/>
  <c r="AN72" i="12"/>
  <c r="AO72" i="12"/>
  <c r="AP72" i="12"/>
  <c r="AQ72" i="12"/>
  <c r="AR72" i="12"/>
  <c r="AS72" i="12"/>
  <c r="AT72" i="12"/>
  <c r="AU72" i="12"/>
  <c r="AV72" i="12"/>
  <c r="AW72" i="12"/>
  <c r="AX72" i="12"/>
  <c r="AY72" i="12"/>
  <c r="AZ72" i="12"/>
  <c r="BA72" i="12"/>
  <c r="BC72" i="12"/>
  <c r="BE72" i="12"/>
  <c r="BF72" i="12"/>
  <c r="BJ72" i="12"/>
  <c r="BK72" i="12"/>
  <c r="BL72" i="12"/>
  <c r="BM72" i="12"/>
  <c r="AB73" i="12"/>
  <c r="AC73" i="12"/>
  <c r="AD73" i="12"/>
  <c r="AE73" i="12"/>
  <c r="AG73" i="12"/>
  <c r="AH73" i="12"/>
  <c r="AI73" i="12"/>
  <c r="AJ73" i="12"/>
  <c r="AK73" i="12"/>
  <c r="AL73" i="12"/>
  <c r="AM73" i="12"/>
  <c r="AN73" i="12"/>
  <c r="AO73" i="12"/>
  <c r="AP73" i="12"/>
  <c r="AQ73" i="12"/>
  <c r="AR73" i="12"/>
  <c r="AS73" i="12"/>
  <c r="AT73" i="12"/>
  <c r="AU73" i="12"/>
  <c r="AV73" i="12"/>
  <c r="AW73" i="12"/>
  <c r="AX73" i="12"/>
  <c r="AY73" i="12"/>
  <c r="AZ73" i="12"/>
  <c r="BA73" i="12"/>
  <c r="BC73" i="12"/>
  <c r="BE73" i="12"/>
  <c r="BF73" i="12"/>
  <c r="BJ73" i="12"/>
  <c r="BK73" i="12"/>
  <c r="BL73" i="12"/>
  <c r="BM73" i="12"/>
  <c r="AB74" i="12"/>
  <c r="AC74" i="12"/>
  <c r="AD74" i="12"/>
  <c r="AE74" i="12"/>
  <c r="AG74" i="12"/>
  <c r="AH74" i="12"/>
  <c r="AI74" i="12"/>
  <c r="AJ74" i="12"/>
  <c r="AK74" i="12"/>
  <c r="AL74" i="12"/>
  <c r="AM74" i="12"/>
  <c r="AN74" i="12"/>
  <c r="AO74" i="12"/>
  <c r="AP74" i="12"/>
  <c r="AQ74" i="12"/>
  <c r="AR74" i="12"/>
  <c r="AS74" i="12"/>
  <c r="AT74" i="12"/>
  <c r="AU74" i="12"/>
  <c r="AV74" i="12"/>
  <c r="AW74" i="12"/>
  <c r="AX74" i="12"/>
  <c r="AY74" i="12"/>
  <c r="AZ74" i="12"/>
  <c r="BA74" i="12"/>
  <c r="BC74" i="12"/>
  <c r="BE74" i="12"/>
  <c r="BF74" i="12"/>
  <c r="BJ74" i="12"/>
  <c r="BK74" i="12"/>
  <c r="BL74" i="12"/>
  <c r="BM74" i="12"/>
  <c r="AB75" i="12"/>
  <c r="AC75" i="12"/>
  <c r="AD75" i="12"/>
  <c r="AE75" i="12"/>
  <c r="AG75" i="12"/>
  <c r="AH75" i="12"/>
  <c r="AI75" i="12"/>
  <c r="AJ75" i="12"/>
  <c r="AK75" i="12"/>
  <c r="AL75" i="12"/>
  <c r="AM75" i="12"/>
  <c r="AN75" i="12"/>
  <c r="AO75" i="12"/>
  <c r="AP75" i="12"/>
  <c r="AQ75" i="12"/>
  <c r="AR75" i="12"/>
  <c r="AS75" i="12"/>
  <c r="AT75" i="12"/>
  <c r="AU75" i="12"/>
  <c r="AV75" i="12"/>
  <c r="AW75" i="12"/>
  <c r="AX75" i="12"/>
  <c r="AY75" i="12"/>
  <c r="AZ75" i="12"/>
  <c r="BA75" i="12"/>
  <c r="BC75" i="12"/>
  <c r="BE75" i="12"/>
  <c r="BF75" i="12"/>
  <c r="BJ75" i="12"/>
  <c r="BK75" i="12"/>
  <c r="BL75" i="12"/>
  <c r="BM75" i="12"/>
  <c r="AB76" i="12"/>
  <c r="AC76" i="12"/>
  <c r="AD76" i="12"/>
  <c r="AE76" i="12"/>
  <c r="AG76" i="12"/>
  <c r="AH76" i="12"/>
  <c r="AI76" i="12"/>
  <c r="AJ76" i="12"/>
  <c r="AK76" i="12"/>
  <c r="AL76" i="12"/>
  <c r="AM76" i="12"/>
  <c r="AN76" i="12"/>
  <c r="AO76" i="12"/>
  <c r="AP76" i="12"/>
  <c r="AQ76" i="12"/>
  <c r="AR76" i="12"/>
  <c r="AS76" i="12"/>
  <c r="AT76" i="12"/>
  <c r="AU76" i="12"/>
  <c r="AV76" i="12"/>
  <c r="AW76" i="12"/>
  <c r="AX76" i="12"/>
  <c r="AY76" i="12"/>
  <c r="AZ76" i="12"/>
  <c r="BA76" i="12"/>
  <c r="BC76" i="12"/>
  <c r="BE76" i="12"/>
  <c r="BF76" i="12"/>
  <c r="BJ76" i="12"/>
  <c r="BK76" i="12"/>
  <c r="BL76" i="12"/>
  <c r="BM76" i="12"/>
  <c r="AB77" i="12"/>
  <c r="AC77" i="12"/>
  <c r="AD77" i="12"/>
  <c r="AE77" i="12"/>
  <c r="AG77" i="12"/>
  <c r="AH77" i="12"/>
  <c r="AI77" i="12"/>
  <c r="AJ77" i="12"/>
  <c r="AK77" i="12"/>
  <c r="AL77" i="12"/>
  <c r="AM77" i="12"/>
  <c r="AN77" i="12"/>
  <c r="AO77" i="12"/>
  <c r="AP77" i="12"/>
  <c r="AQ77" i="12"/>
  <c r="AR77" i="12"/>
  <c r="AS77" i="12"/>
  <c r="AT77" i="12"/>
  <c r="AU77" i="12"/>
  <c r="AV77" i="12"/>
  <c r="AW77" i="12"/>
  <c r="AX77" i="12"/>
  <c r="AY77" i="12"/>
  <c r="AZ77" i="12"/>
  <c r="BA77" i="12"/>
  <c r="BC77" i="12"/>
  <c r="BE77" i="12"/>
  <c r="BF77" i="12"/>
  <c r="BJ77" i="12"/>
  <c r="BK77" i="12"/>
  <c r="BL77" i="12"/>
  <c r="BM77" i="12"/>
  <c r="AB78" i="12"/>
  <c r="AC78" i="12"/>
  <c r="AD78" i="12"/>
  <c r="AE78" i="12"/>
  <c r="AG78" i="12"/>
  <c r="AH78" i="12"/>
  <c r="AI78" i="12"/>
  <c r="AJ78" i="12"/>
  <c r="AK78" i="12"/>
  <c r="AL78" i="12"/>
  <c r="AM78" i="12"/>
  <c r="AN78" i="12"/>
  <c r="AO78" i="12"/>
  <c r="AP78" i="12"/>
  <c r="AQ78" i="12"/>
  <c r="AR78" i="12"/>
  <c r="AS78" i="12"/>
  <c r="AT78" i="12"/>
  <c r="AU78" i="12"/>
  <c r="AV78" i="12"/>
  <c r="AW78" i="12"/>
  <c r="AX78" i="12"/>
  <c r="AY78" i="12"/>
  <c r="AZ78" i="12"/>
  <c r="BA78" i="12"/>
  <c r="BC78" i="12"/>
  <c r="BE78" i="12"/>
  <c r="BF78" i="12"/>
  <c r="BJ78" i="12"/>
  <c r="BK78" i="12"/>
  <c r="BL78" i="12"/>
  <c r="BM78" i="12"/>
  <c r="AB79" i="12"/>
  <c r="AC79" i="12"/>
  <c r="AD79" i="12"/>
  <c r="AE79" i="12"/>
  <c r="AG79" i="12"/>
  <c r="AH79" i="12"/>
  <c r="AI79" i="12"/>
  <c r="AJ79" i="12"/>
  <c r="AK79" i="12"/>
  <c r="AL79" i="12"/>
  <c r="AM79" i="12"/>
  <c r="AN79" i="12"/>
  <c r="AO79" i="12"/>
  <c r="AP79" i="12"/>
  <c r="AQ79" i="12"/>
  <c r="AR79" i="12"/>
  <c r="AS79" i="12"/>
  <c r="AT79" i="12"/>
  <c r="AU79" i="12"/>
  <c r="AV79" i="12"/>
  <c r="AW79" i="12"/>
  <c r="AX79" i="12"/>
  <c r="AY79" i="12"/>
  <c r="AZ79" i="12"/>
  <c r="BA79" i="12"/>
  <c r="BC79" i="12"/>
  <c r="BE79" i="12"/>
  <c r="BF79" i="12"/>
  <c r="BJ79" i="12"/>
  <c r="BK79" i="12"/>
  <c r="BL79" i="12"/>
  <c r="BM79" i="12"/>
  <c r="AB80" i="12"/>
  <c r="AC80" i="12"/>
  <c r="AD80" i="12"/>
  <c r="AE80" i="12"/>
  <c r="AG80" i="12"/>
  <c r="AH80" i="12"/>
  <c r="AI80" i="12"/>
  <c r="AJ80" i="12"/>
  <c r="AK80" i="12"/>
  <c r="AL80" i="12"/>
  <c r="AM80" i="12"/>
  <c r="AN80" i="12"/>
  <c r="AO80" i="12"/>
  <c r="AP80" i="12"/>
  <c r="AQ80" i="12"/>
  <c r="AR80" i="12"/>
  <c r="AS80" i="12"/>
  <c r="AT80" i="12"/>
  <c r="AU80" i="12"/>
  <c r="AV80" i="12"/>
  <c r="AW80" i="12"/>
  <c r="AX80" i="12"/>
  <c r="AY80" i="12"/>
  <c r="AZ80" i="12"/>
  <c r="BA80" i="12"/>
  <c r="BC80" i="12"/>
  <c r="BE80" i="12"/>
  <c r="BF80" i="12"/>
  <c r="BJ80" i="12"/>
  <c r="BK80" i="12"/>
  <c r="BL80" i="12"/>
  <c r="BM80" i="12"/>
  <c r="AB81" i="12"/>
  <c r="AC81" i="12"/>
  <c r="AD81" i="12"/>
  <c r="AE81" i="12"/>
  <c r="AG81" i="12"/>
  <c r="AH81" i="12"/>
  <c r="AI81" i="12"/>
  <c r="AJ81" i="12"/>
  <c r="AK81" i="12"/>
  <c r="AL81" i="12"/>
  <c r="AM81" i="12"/>
  <c r="AN81" i="12"/>
  <c r="AO81" i="12"/>
  <c r="AP81" i="12"/>
  <c r="AQ81" i="12"/>
  <c r="AR81" i="12"/>
  <c r="AS81" i="12"/>
  <c r="AT81" i="12"/>
  <c r="AU81" i="12"/>
  <c r="AV81" i="12"/>
  <c r="AW81" i="12"/>
  <c r="AX81" i="12"/>
  <c r="AY81" i="12"/>
  <c r="AZ81" i="12"/>
  <c r="BA81" i="12"/>
  <c r="BC81" i="12"/>
  <c r="BE81" i="12"/>
  <c r="BF81" i="12"/>
  <c r="BJ81" i="12"/>
  <c r="BK81" i="12"/>
  <c r="BL81" i="12"/>
  <c r="BM81" i="12"/>
  <c r="AB82" i="12"/>
  <c r="AC82" i="12"/>
  <c r="AD82" i="12"/>
  <c r="AE82" i="12"/>
  <c r="AG82" i="12"/>
  <c r="AH82" i="12"/>
  <c r="AI82" i="12"/>
  <c r="AJ82" i="12"/>
  <c r="AK82" i="12"/>
  <c r="AL82" i="12"/>
  <c r="AM82" i="12"/>
  <c r="AN82" i="12"/>
  <c r="AO82" i="12"/>
  <c r="AP82" i="12"/>
  <c r="AQ82" i="12"/>
  <c r="AR82" i="12"/>
  <c r="AS82" i="12"/>
  <c r="AT82" i="12"/>
  <c r="AU82" i="12"/>
  <c r="AV82" i="12"/>
  <c r="AW82" i="12"/>
  <c r="AX82" i="12"/>
  <c r="AY82" i="12"/>
  <c r="AZ82" i="12"/>
  <c r="BA82" i="12"/>
  <c r="BC82" i="12"/>
  <c r="BE82" i="12"/>
  <c r="BF82" i="12"/>
  <c r="BJ82" i="12"/>
  <c r="BK82" i="12"/>
  <c r="BL82" i="12"/>
  <c r="BM82" i="12"/>
  <c r="AB83" i="12"/>
  <c r="AC83" i="12"/>
  <c r="AD83" i="12"/>
  <c r="AE83" i="12"/>
  <c r="AG83" i="12"/>
  <c r="AH83" i="12"/>
  <c r="AI83" i="12"/>
  <c r="AJ83" i="12"/>
  <c r="AK83" i="12"/>
  <c r="AL83" i="12"/>
  <c r="AM83" i="12"/>
  <c r="AN83" i="12"/>
  <c r="AO83" i="12"/>
  <c r="AP83" i="12"/>
  <c r="AQ83" i="12"/>
  <c r="AR83" i="12"/>
  <c r="AS83" i="12"/>
  <c r="AT83" i="12"/>
  <c r="AU83" i="12"/>
  <c r="AV83" i="12"/>
  <c r="AW83" i="12"/>
  <c r="AX83" i="12"/>
  <c r="AY83" i="12"/>
  <c r="AZ83" i="12"/>
  <c r="BA83" i="12"/>
  <c r="BC83" i="12"/>
  <c r="BE83" i="12"/>
  <c r="BF83" i="12"/>
  <c r="BJ83" i="12"/>
  <c r="BK83" i="12"/>
  <c r="BL83" i="12"/>
  <c r="BM83" i="12"/>
  <c r="AB84" i="12"/>
  <c r="AC84" i="12"/>
  <c r="AD84" i="12"/>
  <c r="AE84" i="12"/>
  <c r="AG84" i="12"/>
  <c r="AH84" i="12"/>
  <c r="AI84" i="12"/>
  <c r="AJ84" i="12"/>
  <c r="AK84" i="12"/>
  <c r="AL84" i="12"/>
  <c r="AM84" i="12"/>
  <c r="AN84" i="12"/>
  <c r="AO84" i="12"/>
  <c r="AP84" i="12"/>
  <c r="AQ84" i="12"/>
  <c r="AR84" i="12"/>
  <c r="AS84" i="12"/>
  <c r="AT84" i="12"/>
  <c r="AU84" i="12"/>
  <c r="AV84" i="12"/>
  <c r="AW84" i="12"/>
  <c r="AX84" i="12"/>
  <c r="AY84" i="12"/>
  <c r="AZ84" i="12"/>
  <c r="BA84" i="12"/>
  <c r="BC84" i="12"/>
  <c r="BE84" i="12"/>
  <c r="BF84" i="12"/>
  <c r="BJ84" i="12"/>
  <c r="BK84" i="12"/>
  <c r="BL84" i="12"/>
  <c r="BM84" i="12"/>
  <c r="AB85" i="12"/>
  <c r="AC85" i="12"/>
  <c r="AD85" i="12"/>
  <c r="AE85" i="12"/>
  <c r="AG85" i="12"/>
  <c r="AH85" i="12"/>
  <c r="AI85" i="12"/>
  <c r="AJ85" i="12"/>
  <c r="AK85" i="12"/>
  <c r="AL85" i="12"/>
  <c r="AM85" i="12"/>
  <c r="AN85" i="12"/>
  <c r="AO85" i="12"/>
  <c r="AP85" i="12"/>
  <c r="AQ85" i="12"/>
  <c r="AR85" i="12"/>
  <c r="AS85" i="12"/>
  <c r="AT85" i="12"/>
  <c r="AU85" i="12"/>
  <c r="AV85" i="12"/>
  <c r="AW85" i="12"/>
  <c r="AX85" i="12"/>
  <c r="AY85" i="12"/>
  <c r="AZ85" i="12"/>
  <c r="BA85" i="12"/>
  <c r="BC85" i="12"/>
  <c r="BE85" i="12"/>
  <c r="BF85" i="12"/>
  <c r="BJ85" i="12"/>
  <c r="BK85" i="12"/>
  <c r="BL85" i="12"/>
  <c r="BM85" i="12"/>
  <c r="AB86" i="12"/>
  <c r="AC86" i="12"/>
  <c r="AD86" i="12"/>
  <c r="AE86" i="12"/>
  <c r="AG86" i="12"/>
  <c r="AH86" i="12"/>
  <c r="AI86" i="12"/>
  <c r="AJ86" i="12"/>
  <c r="AK86" i="12"/>
  <c r="AL86" i="12"/>
  <c r="AM86" i="12"/>
  <c r="AN86" i="12"/>
  <c r="AO86" i="12"/>
  <c r="AP86" i="12"/>
  <c r="AQ86" i="12"/>
  <c r="AR86" i="12"/>
  <c r="AS86" i="12"/>
  <c r="AT86" i="12"/>
  <c r="AU86" i="12"/>
  <c r="AV86" i="12"/>
  <c r="AW86" i="12"/>
  <c r="AX86" i="12"/>
  <c r="AY86" i="12"/>
  <c r="AZ86" i="12"/>
  <c r="BA86" i="12"/>
  <c r="BC86" i="12"/>
  <c r="BE86" i="12"/>
  <c r="BF86" i="12"/>
  <c r="BJ86" i="12"/>
  <c r="BK86" i="12"/>
  <c r="BL86" i="12"/>
  <c r="BM86" i="12"/>
  <c r="AB87" i="12"/>
  <c r="AC87" i="12"/>
  <c r="AD87" i="12"/>
  <c r="AE87" i="12"/>
  <c r="AG87" i="12"/>
  <c r="AH87" i="12"/>
  <c r="AI87" i="12"/>
  <c r="AJ87" i="12"/>
  <c r="AK87" i="12"/>
  <c r="AL87" i="12"/>
  <c r="AM87" i="12"/>
  <c r="AN87" i="12"/>
  <c r="AO87" i="12"/>
  <c r="AP87" i="12"/>
  <c r="AQ87" i="12"/>
  <c r="AR87" i="12"/>
  <c r="AS87" i="12"/>
  <c r="AT87" i="12"/>
  <c r="AU87" i="12"/>
  <c r="AV87" i="12"/>
  <c r="AW87" i="12"/>
  <c r="AX87" i="12"/>
  <c r="AY87" i="12"/>
  <c r="AZ87" i="12"/>
  <c r="BA87" i="12"/>
  <c r="BC87" i="12"/>
  <c r="BE87" i="12"/>
  <c r="BF87" i="12"/>
  <c r="BJ87" i="12"/>
  <c r="BK87" i="12"/>
  <c r="BL87" i="12"/>
  <c r="BM87" i="12"/>
  <c r="AB88" i="12"/>
  <c r="AC88" i="12"/>
  <c r="AD88" i="12"/>
  <c r="AE88" i="12"/>
  <c r="AG88" i="12"/>
  <c r="AH88" i="12"/>
  <c r="AI88" i="12"/>
  <c r="AJ88" i="12"/>
  <c r="AK88" i="12"/>
  <c r="AL88" i="12"/>
  <c r="AM88" i="12"/>
  <c r="AN88" i="12"/>
  <c r="AO88" i="12"/>
  <c r="AP88" i="12"/>
  <c r="AQ88" i="12"/>
  <c r="AR88" i="12"/>
  <c r="AS88" i="12"/>
  <c r="AT88" i="12"/>
  <c r="AU88" i="12"/>
  <c r="AV88" i="12"/>
  <c r="AW88" i="12"/>
  <c r="AX88" i="12"/>
  <c r="AY88" i="12"/>
  <c r="AZ88" i="12"/>
  <c r="BA88" i="12"/>
  <c r="BC88" i="12"/>
  <c r="BE88" i="12"/>
  <c r="BF88" i="12"/>
  <c r="BJ88" i="12"/>
  <c r="BK88" i="12"/>
  <c r="BL88" i="12"/>
  <c r="BM88" i="12"/>
  <c r="AB89" i="12"/>
  <c r="AC89" i="12"/>
  <c r="AD89" i="12"/>
  <c r="AE89" i="12"/>
  <c r="AG89" i="12"/>
  <c r="AH89" i="12"/>
  <c r="AI89" i="12"/>
  <c r="AJ89" i="12"/>
  <c r="AK89" i="12"/>
  <c r="AL89" i="12"/>
  <c r="AM89" i="12"/>
  <c r="AN89" i="12"/>
  <c r="AO89" i="12"/>
  <c r="AP89" i="12"/>
  <c r="AQ89" i="12"/>
  <c r="AR89" i="12"/>
  <c r="AS89" i="12"/>
  <c r="AT89" i="12"/>
  <c r="AU89" i="12"/>
  <c r="AV89" i="12"/>
  <c r="AW89" i="12"/>
  <c r="AX89" i="12"/>
  <c r="AY89" i="12"/>
  <c r="AZ89" i="12"/>
  <c r="BA89" i="12"/>
  <c r="BC89" i="12"/>
  <c r="BE89" i="12"/>
  <c r="BF89" i="12"/>
  <c r="BJ89" i="12"/>
  <c r="BK89" i="12"/>
  <c r="BL89" i="12"/>
  <c r="BM89" i="12"/>
  <c r="AB90" i="12"/>
  <c r="AC90" i="12"/>
  <c r="AD90" i="12"/>
  <c r="AE90" i="12"/>
  <c r="AG90" i="12"/>
  <c r="AH90" i="12"/>
  <c r="AI90" i="12"/>
  <c r="AJ90" i="12"/>
  <c r="AK90" i="12"/>
  <c r="AL90" i="12"/>
  <c r="AM90" i="12"/>
  <c r="AN90" i="12"/>
  <c r="AO90" i="12"/>
  <c r="AP90" i="12"/>
  <c r="AQ90" i="12"/>
  <c r="AR90" i="12"/>
  <c r="AS90" i="12"/>
  <c r="AT90" i="12"/>
  <c r="AU90" i="12"/>
  <c r="AV90" i="12"/>
  <c r="AW90" i="12"/>
  <c r="AX90" i="12"/>
  <c r="AY90" i="12"/>
  <c r="AZ90" i="12"/>
  <c r="BA90" i="12"/>
  <c r="BC90" i="12"/>
  <c r="BE90" i="12"/>
  <c r="BF90" i="12"/>
  <c r="BJ90" i="12"/>
  <c r="BK90" i="12"/>
  <c r="BL90" i="12"/>
  <c r="BM90" i="12"/>
  <c r="AB91" i="12"/>
  <c r="AC91" i="12"/>
  <c r="AD91" i="12"/>
  <c r="AE91" i="12"/>
  <c r="AG91" i="12"/>
  <c r="AH91" i="12"/>
  <c r="AI91" i="12"/>
  <c r="AJ91" i="12"/>
  <c r="AK91" i="12"/>
  <c r="AL91" i="12"/>
  <c r="AM91" i="12"/>
  <c r="AN91" i="12"/>
  <c r="AO91" i="12"/>
  <c r="AP91" i="12"/>
  <c r="AQ91" i="12"/>
  <c r="AR91" i="12"/>
  <c r="AS91" i="12"/>
  <c r="AT91" i="12"/>
  <c r="AU91" i="12"/>
  <c r="AV91" i="12"/>
  <c r="AW91" i="12"/>
  <c r="AX91" i="12"/>
  <c r="AY91" i="12"/>
  <c r="AZ91" i="12"/>
  <c r="BA91" i="12"/>
  <c r="BC91" i="12"/>
  <c r="BE91" i="12"/>
  <c r="BF91" i="12"/>
  <c r="BJ91" i="12"/>
  <c r="BK91" i="12"/>
  <c r="BL91" i="12"/>
  <c r="BM91" i="12"/>
  <c r="AB92" i="12"/>
  <c r="AC92" i="12"/>
  <c r="AD92" i="12"/>
  <c r="AE92" i="12"/>
  <c r="AG92" i="12"/>
  <c r="AH92" i="12"/>
  <c r="AI92" i="12"/>
  <c r="AJ92" i="12"/>
  <c r="AK92" i="12"/>
  <c r="AL92" i="12"/>
  <c r="AM92" i="12"/>
  <c r="AN92" i="12"/>
  <c r="AO92" i="12"/>
  <c r="AP92" i="12"/>
  <c r="AQ92" i="12"/>
  <c r="AR92" i="12"/>
  <c r="AS92" i="12"/>
  <c r="AT92" i="12"/>
  <c r="AU92" i="12"/>
  <c r="AV92" i="12"/>
  <c r="AW92" i="12"/>
  <c r="AX92" i="12"/>
  <c r="AY92" i="12"/>
  <c r="AZ92" i="12"/>
  <c r="BA92" i="12"/>
  <c r="BC92" i="12"/>
  <c r="BE92" i="12"/>
  <c r="BF92" i="12"/>
  <c r="BJ92" i="12"/>
  <c r="BK92" i="12"/>
  <c r="BL92" i="12"/>
  <c r="BM92" i="12"/>
  <c r="AB93" i="12"/>
  <c r="AC93" i="12"/>
  <c r="AD93" i="12"/>
  <c r="AE93" i="12"/>
  <c r="AG93" i="12"/>
  <c r="AH93" i="12"/>
  <c r="AI93" i="12"/>
  <c r="AJ93" i="12"/>
  <c r="AK93" i="12"/>
  <c r="AL93" i="12"/>
  <c r="AM93" i="12"/>
  <c r="AN93" i="12"/>
  <c r="AO93" i="12"/>
  <c r="AP93" i="12"/>
  <c r="AQ93" i="12"/>
  <c r="AR93" i="12"/>
  <c r="AS93" i="12"/>
  <c r="AT93" i="12"/>
  <c r="AU93" i="12"/>
  <c r="AV93" i="12"/>
  <c r="AW93" i="12"/>
  <c r="AX93" i="12"/>
  <c r="AY93" i="12"/>
  <c r="AZ93" i="12"/>
  <c r="BA93" i="12"/>
  <c r="BC93" i="12"/>
  <c r="BE93" i="12"/>
  <c r="BF93" i="12"/>
  <c r="BJ93" i="12"/>
  <c r="BK93" i="12"/>
  <c r="BL93" i="12"/>
  <c r="BM93" i="12"/>
  <c r="AB94" i="12"/>
  <c r="AC94" i="12"/>
  <c r="AD94" i="12"/>
  <c r="AE94" i="12"/>
  <c r="AG94" i="12"/>
  <c r="AH94" i="12"/>
  <c r="AI94" i="12"/>
  <c r="AJ94" i="12"/>
  <c r="AK94" i="12"/>
  <c r="AL94" i="12"/>
  <c r="AM94" i="12"/>
  <c r="AN94" i="12"/>
  <c r="AO94" i="12"/>
  <c r="AP94" i="12"/>
  <c r="AQ94" i="12"/>
  <c r="AR94" i="12"/>
  <c r="AS94" i="12"/>
  <c r="AT94" i="12"/>
  <c r="AU94" i="12"/>
  <c r="AV94" i="12"/>
  <c r="AW94" i="12"/>
  <c r="AX94" i="12"/>
  <c r="AY94" i="12"/>
  <c r="AZ94" i="12"/>
  <c r="BA94" i="12"/>
  <c r="BC94" i="12"/>
  <c r="BE94" i="12"/>
  <c r="BF94" i="12"/>
  <c r="BJ94" i="12"/>
  <c r="BK94" i="12"/>
  <c r="BL94" i="12"/>
  <c r="BM94" i="12"/>
  <c r="AB95" i="12"/>
  <c r="AC95" i="12"/>
  <c r="AD95" i="12"/>
  <c r="AE95" i="12"/>
  <c r="AG95" i="12"/>
  <c r="AH95" i="12"/>
  <c r="AI95" i="12"/>
  <c r="AJ95" i="12"/>
  <c r="AK95" i="12"/>
  <c r="AL95" i="12"/>
  <c r="AM95" i="12"/>
  <c r="AN95" i="12"/>
  <c r="AO95" i="12"/>
  <c r="AP95" i="12"/>
  <c r="AQ95" i="12"/>
  <c r="AR95" i="12"/>
  <c r="AS95" i="12"/>
  <c r="AT95" i="12"/>
  <c r="AU95" i="12"/>
  <c r="AV95" i="12"/>
  <c r="AW95" i="12"/>
  <c r="AX95" i="12"/>
  <c r="AY95" i="12"/>
  <c r="AZ95" i="12"/>
  <c r="BA95" i="12"/>
  <c r="BC95" i="12"/>
  <c r="BE95" i="12"/>
  <c r="BF95" i="12"/>
  <c r="BJ95" i="12"/>
  <c r="BK95" i="12"/>
  <c r="BL95" i="12"/>
  <c r="BM95" i="12"/>
  <c r="AB96" i="12"/>
  <c r="AC96" i="12"/>
  <c r="AD96" i="12"/>
  <c r="AE96" i="12"/>
  <c r="AG96" i="12"/>
  <c r="AH96" i="12"/>
  <c r="AI96" i="12"/>
  <c r="AJ96" i="12"/>
  <c r="AK96" i="12"/>
  <c r="AL96" i="12"/>
  <c r="AM96" i="12"/>
  <c r="AN96" i="12"/>
  <c r="AO96" i="12"/>
  <c r="AP96" i="12"/>
  <c r="AQ96" i="12"/>
  <c r="AR96" i="12"/>
  <c r="AS96" i="12"/>
  <c r="AT96" i="12"/>
  <c r="AU96" i="12"/>
  <c r="AV96" i="12"/>
  <c r="AW96" i="12"/>
  <c r="AX96" i="12"/>
  <c r="AY96" i="12"/>
  <c r="AZ96" i="12"/>
  <c r="BA96" i="12"/>
  <c r="BC96" i="12"/>
  <c r="BE96" i="12"/>
  <c r="BF96" i="12"/>
  <c r="BJ96" i="12"/>
  <c r="BK96" i="12"/>
  <c r="BL96" i="12"/>
  <c r="BM96" i="12"/>
  <c r="AB97" i="12"/>
  <c r="AC97" i="12"/>
  <c r="AD97" i="12"/>
  <c r="AE97" i="12"/>
  <c r="AG97" i="12"/>
  <c r="AH97" i="12"/>
  <c r="AI97" i="12"/>
  <c r="AJ97" i="12"/>
  <c r="AK97" i="12"/>
  <c r="AL97" i="12"/>
  <c r="AM97" i="12"/>
  <c r="AN97" i="12"/>
  <c r="AO97" i="12"/>
  <c r="AP97" i="12"/>
  <c r="AQ97" i="12"/>
  <c r="AR97" i="12"/>
  <c r="AS97" i="12"/>
  <c r="AT97" i="12"/>
  <c r="AU97" i="12"/>
  <c r="AV97" i="12"/>
  <c r="AW97" i="12"/>
  <c r="AX97" i="12"/>
  <c r="AY97" i="12"/>
  <c r="AZ97" i="12"/>
  <c r="BA97" i="12"/>
  <c r="BC97" i="12"/>
  <c r="BE97" i="12"/>
  <c r="BF97" i="12"/>
  <c r="BJ97" i="12"/>
  <c r="BK97" i="12"/>
  <c r="BL97" i="12"/>
  <c r="BM97" i="12"/>
  <c r="AB98" i="12"/>
  <c r="AC98" i="12"/>
  <c r="AD98" i="12"/>
  <c r="AE98" i="12"/>
  <c r="AG98" i="12"/>
  <c r="AH98" i="12"/>
  <c r="AI98" i="12"/>
  <c r="AJ98" i="12"/>
  <c r="AK98" i="12"/>
  <c r="AL98" i="12"/>
  <c r="AM98" i="12"/>
  <c r="AN98" i="12"/>
  <c r="AO98" i="12"/>
  <c r="AP98" i="12"/>
  <c r="AQ98" i="12"/>
  <c r="AR98" i="12"/>
  <c r="AS98" i="12"/>
  <c r="AT98" i="12"/>
  <c r="AU98" i="12"/>
  <c r="AV98" i="12"/>
  <c r="AW98" i="12"/>
  <c r="AX98" i="12"/>
  <c r="AY98" i="12"/>
  <c r="AZ98" i="12"/>
  <c r="BA98" i="12"/>
  <c r="BC98" i="12"/>
  <c r="BE98" i="12"/>
  <c r="BF98" i="12"/>
  <c r="BJ98" i="12"/>
  <c r="BK98" i="12"/>
  <c r="BL98" i="12"/>
  <c r="BM98" i="12"/>
  <c r="AB99" i="12"/>
  <c r="AC99" i="12"/>
  <c r="AD99" i="12"/>
  <c r="AE99" i="12"/>
  <c r="AG99" i="12"/>
  <c r="AH99" i="12"/>
  <c r="AI99" i="12"/>
  <c r="AJ99" i="12"/>
  <c r="AK99" i="12"/>
  <c r="AL99" i="12"/>
  <c r="AM99" i="12"/>
  <c r="AN99" i="12"/>
  <c r="AO99" i="12"/>
  <c r="AP99" i="12"/>
  <c r="AQ99" i="12"/>
  <c r="AR99" i="12"/>
  <c r="AS99" i="12"/>
  <c r="AT99" i="12"/>
  <c r="AU99" i="12"/>
  <c r="AV99" i="12"/>
  <c r="AW99" i="12"/>
  <c r="AX99" i="12"/>
  <c r="AY99" i="12"/>
  <c r="AZ99" i="12"/>
  <c r="BA99" i="12"/>
  <c r="BC99" i="12"/>
  <c r="BE99" i="12"/>
  <c r="BF99" i="12"/>
  <c r="BJ99" i="12"/>
  <c r="BK99" i="12"/>
  <c r="BL99" i="12"/>
  <c r="BM99" i="12"/>
  <c r="AB100" i="12"/>
  <c r="AC100" i="12"/>
  <c r="AD100" i="12"/>
  <c r="AE100" i="12"/>
  <c r="AG100" i="12"/>
  <c r="AH100" i="12"/>
  <c r="AI100" i="12"/>
  <c r="AJ100" i="12"/>
  <c r="AK100" i="12"/>
  <c r="AL100" i="12"/>
  <c r="AM100" i="12"/>
  <c r="AN100" i="12"/>
  <c r="AO100" i="12"/>
  <c r="AP100" i="12"/>
  <c r="AQ100" i="12"/>
  <c r="AR100" i="12"/>
  <c r="AS100" i="12"/>
  <c r="AT100" i="12"/>
  <c r="AU100" i="12"/>
  <c r="AV100" i="12"/>
  <c r="AW100" i="12"/>
  <c r="AX100" i="12"/>
  <c r="AY100" i="12"/>
  <c r="AZ100" i="12"/>
  <c r="BA100" i="12"/>
  <c r="BC100" i="12"/>
  <c r="BE100" i="12"/>
  <c r="BF100" i="12"/>
  <c r="BJ100" i="12"/>
  <c r="BK100" i="12"/>
  <c r="BL100" i="12"/>
  <c r="BM100" i="12"/>
  <c r="AB101" i="12"/>
  <c r="AC101" i="12"/>
  <c r="AD101" i="12"/>
  <c r="AE101" i="12"/>
  <c r="AG101" i="12"/>
  <c r="AH101" i="12"/>
  <c r="AI101" i="12"/>
  <c r="AJ101" i="12"/>
  <c r="AK101" i="12"/>
  <c r="AL101" i="12"/>
  <c r="AM101" i="12"/>
  <c r="AN101" i="12"/>
  <c r="AO101" i="12"/>
  <c r="AP101" i="12"/>
  <c r="AQ101" i="12"/>
  <c r="AR101" i="12"/>
  <c r="AS101" i="12"/>
  <c r="AT101" i="12"/>
  <c r="AU101" i="12"/>
  <c r="AV101" i="12"/>
  <c r="AW101" i="12"/>
  <c r="AX101" i="12"/>
  <c r="AY101" i="12"/>
  <c r="AZ101" i="12"/>
  <c r="BA101" i="12"/>
  <c r="BC101" i="12"/>
  <c r="BE101" i="12"/>
  <c r="BF101" i="12"/>
  <c r="BJ101" i="12"/>
  <c r="BK101" i="12"/>
  <c r="BL101" i="12"/>
  <c r="BM101" i="12"/>
  <c r="AB102" i="12"/>
  <c r="AC102" i="12"/>
  <c r="AD102" i="12"/>
  <c r="AE102" i="12"/>
  <c r="AG102" i="12"/>
  <c r="AH102" i="12"/>
  <c r="AI102" i="12"/>
  <c r="AJ102" i="12"/>
  <c r="AK102" i="12"/>
  <c r="AL102" i="12"/>
  <c r="AM102" i="12"/>
  <c r="AN102" i="12"/>
  <c r="AO102" i="12"/>
  <c r="AP102" i="12"/>
  <c r="AQ102" i="12"/>
  <c r="AR102" i="12"/>
  <c r="AS102" i="12"/>
  <c r="AT102" i="12"/>
  <c r="AU102" i="12"/>
  <c r="AV102" i="12"/>
  <c r="AW102" i="12"/>
  <c r="AX102" i="12"/>
  <c r="AY102" i="12"/>
  <c r="AZ102" i="12"/>
  <c r="BA102" i="12"/>
  <c r="BC102" i="12"/>
  <c r="BE102" i="12"/>
  <c r="BF102" i="12"/>
  <c r="BJ102" i="12"/>
  <c r="BK102" i="12"/>
  <c r="BL102" i="12"/>
  <c r="BM102" i="12"/>
  <c r="AB103" i="12"/>
  <c r="AC103" i="12"/>
  <c r="AD103" i="12"/>
  <c r="AE103" i="12"/>
  <c r="AG103" i="12"/>
  <c r="AH103" i="12"/>
  <c r="AI103" i="12"/>
  <c r="AJ103" i="12"/>
  <c r="AK103" i="12"/>
  <c r="AL103" i="12"/>
  <c r="AM103" i="12"/>
  <c r="AN103" i="12"/>
  <c r="AO103" i="12"/>
  <c r="AP103" i="12"/>
  <c r="AQ103" i="12"/>
  <c r="AR103" i="12"/>
  <c r="AS103" i="12"/>
  <c r="AT103" i="12"/>
  <c r="AU103" i="12"/>
  <c r="AV103" i="12"/>
  <c r="AW103" i="12"/>
  <c r="AX103" i="12"/>
  <c r="AY103" i="12"/>
  <c r="AZ103" i="12"/>
  <c r="BA103" i="12"/>
  <c r="BC103" i="12"/>
  <c r="BE103" i="12"/>
  <c r="BF103" i="12"/>
  <c r="BJ103" i="12"/>
  <c r="BK103" i="12"/>
  <c r="BL103" i="12"/>
  <c r="BM103" i="12"/>
  <c r="AB104" i="12"/>
  <c r="AC104" i="12"/>
  <c r="AD104" i="12"/>
  <c r="AE104" i="12"/>
  <c r="AG104" i="12"/>
  <c r="AH104" i="12"/>
  <c r="AI104" i="12"/>
  <c r="AJ104" i="12"/>
  <c r="AK104" i="12"/>
  <c r="AL104" i="12"/>
  <c r="AM104" i="12"/>
  <c r="AN104" i="12"/>
  <c r="AO104" i="12"/>
  <c r="AP104" i="12"/>
  <c r="AQ104" i="12"/>
  <c r="AR104" i="12"/>
  <c r="AS104" i="12"/>
  <c r="AT104" i="12"/>
  <c r="AU104" i="12"/>
  <c r="AV104" i="12"/>
  <c r="AW104" i="12"/>
  <c r="AX104" i="12"/>
  <c r="AY104" i="12"/>
  <c r="AZ104" i="12"/>
  <c r="BA104" i="12"/>
  <c r="BC104" i="12"/>
  <c r="BE104" i="12"/>
  <c r="BF104" i="12"/>
  <c r="BJ104" i="12"/>
  <c r="BK104" i="12"/>
  <c r="BL104" i="12"/>
  <c r="BM104" i="12"/>
  <c r="AB105" i="12"/>
  <c r="AC105" i="12"/>
  <c r="AD105" i="12"/>
  <c r="AE105" i="12"/>
  <c r="AG105" i="12"/>
  <c r="AH105" i="12"/>
  <c r="AI105" i="12"/>
  <c r="AJ105" i="12"/>
  <c r="AK105" i="12"/>
  <c r="AL105" i="12"/>
  <c r="AM105" i="12"/>
  <c r="AN105" i="12"/>
  <c r="AO105" i="12"/>
  <c r="AP105" i="12"/>
  <c r="AQ105" i="12"/>
  <c r="AR105" i="12"/>
  <c r="AS105" i="12"/>
  <c r="AT105" i="12"/>
  <c r="AU105" i="12"/>
  <c r="AV105" i="12"/>
  <c r="AW105" i="12"/>
  <c r="AX105" i="12"/>
  <c r="AY105" i="12"/>
  <c r="AZ105" i="12"/>
  <c r="BA105" i="12"/>
  <c r="BC105" i="12"/>
  <c r="BE105" i="12"/>
  <c r="BF105" i="12"/>
  <c r="BJ105" i="12"/>
  <c r="BK105" i="12"/>
  <c r="BL105" i="12"/>
  <c r="BM105" i="12"/>
  <c r="AB106" i="12"/>
  <c r="AC106" i="12"/>
  <c r="AD106" i="12"/>
  <c r="AE106" i="12"/>
  <c r="AG106" i="12"/>
  <c r="AH106" i="12"/>
  <c r="AI106" i="12"/>
  <c r="AJ106" i="12"/>
  <c r="AK106" i="12"/>
  <c r="AL106" i="12"/>
  <c r="AM106" i="12"/>
  <c r="AN106" i="12"/>
  <c r="AO106" i="12"/>
  <c r="AP106" i="12"/>
  <c r="AQ106" i="12"/>
  <c r="AR106" i="12"/>
  <c r="AS106" i="12"/>
  <c r="AT106" i="12"/>
  <c r="AU106" i="12"/>
  <c r="AV106" i="12"/>
  <c r="AW106" i="12"/>
  <c r="AX106" i="12"/>
  <c r="AY106" i="12"/>
  <c r="AZ106" i="12"/>
  <c r="BA106" i="12"/>
  <c r="BC106" i="12"/>
  <c r="BE106" i="12"/>
  <c r="BF106" i="12"/>
  <c r="BJ106" i="12"/>
  <c r="BK106" i="12"/>
  <c r="BL106" i="12"/>
  <c r="BM106" i="12"/>
  <c r="AB107" i="12"/>
  <c r="AC107" i="12"/>
  <c r="AD107" i="12"/>
  <c r="AE107" i="12"/>
  <c r="AG107" i="12"/>
  <c r="AH107" i="12"/>
  <c r="AI107" i="12"/>
  <c r="AJ107" i="12"/>
  <c r="AK107" i="12"/>
  <c r="AL107" i="12"/>
  <c r="AM107" i="12"/>
  <c r="AN107" i="12"/>
  <c r="AO107" i="12"/>
  <c r="AP107" i="12"/>
  <c r="AQ107" i="12"/>
  <c r="AR107" i="12"/>
  <c r="AS107" i="12"/>
  <c r="AT107" i="12"/>
  <c r="AU107" i="12"/>
  <c r="AV107" i="12"/>
  <c r="AW107" i="12"/>
  <c r="AX107" i="12"/>
  <c r="AY107" i="12"/>
  <c r="AZ107" i="12"/>
  <c r="BA107" i="12"/>
  <c r="BC107" i="12"/>
  <c r="BE107" i="12"/>
  <c r="BF107" i="12"/>
  <c r="BJ107" i="12"/>
  <c r="BK107" i="12"/>
  <c r="BL107" i="12"/>
  <c r="BM107" i="12"/>
  <c r="AB108" i="12"/>
  <c r="AC108" i="12"/>
  <c r="AD108" i="12"/>
  <c r="AE108" i="12"/>
  <c r="AG108" i="12"/>
  <c r="AH108" i="12"/>
  <c r="AI108" i="12"/>
  <c r="AJ108" i="12"/>
  <c r="AK108" i="12"/>
  <c r="AL108" i="12"/>
  <c r="AM108" i="12"/>
  <c r="AN108" i="12"/>
  <c r="AO108" i="12"/>
  <c r="AP108" i="12"/>
  <c r="AQ108" i="12"/>
  <c r="AR108" i="12"/>
  <c r="AS108" i="12"/>
  <c r="AT108" i="12"/>
  <c r="AU108" i="12"/>
  <c r="AV108" i="12"/>
  <c r="AW108" i="12"/>
  <c r="AX108" i="12"/>
  <c r="AY108" i="12"/>
  <c r="AZ108" i="12"/>
  <c r="BA108" i="12"/>
  <c r="BC108" i="12"/>
  <c r="BE108" i="12"/>
  <c r="BF108" i="12"/>
  <c r="BJ108" i="12"/>
  <c r="BK108" i="12"/>
  <c r="BL108" i="12"/>
  <c r="BM108" i="12"/>
  <c r="AB109" i="12"/>
  <c r="AC109" i="12"/>
  <c r="AD109" i="12"/>
  <c r="AE109" i="12"/>
  <c r="AG109" i="12"/>
  <c r="AH109" i="12"/>
  <c r="AI109" i="12"/>
  <c r="AJ109" i="12"/>
  <c r="AK109" i="12"/>
  <c r="AL109" i="12"/>
  <c r="AM109" i="12"/>
  <c r="AN109" i="12"/>
  <c r="AO109" i="12"/>
  <c r="AP109" i="12"/>
  <c r="AQ109" i="12"/>
  <c r="AR109" i="12"/>
  <c r="AS109" i="12"/>
  <c r="AT109" i="12"/>
  <c r="AU109" i="12"/>
  <c r="AV109" i="12"/>
  <c r="AW109" i="12"/>
  <c r="AX109" i="12"/>
  <c r="AY109" i="12"/>
  <c r="AZ109" i="12"/>
  <c r="BA109" i="12"/>
  <c r="BC109" i="12"/>
  <c r="BE109" i="12"/>
  <c r="BF109" i="12"/>
  <c r="BJ109" i="12"/>
  <c r="BK109" i="12"/>
  <c r="BL109" i="12"/>
  <c r="BM109" i="12"/>
  <c r="AB110" i="12"/>
  <c r="AC110" i="12"/>
  <c r="AD110" i="12"/>
  <c r="AE110" i="12"/>
  <c r="AG110" i="12"/>
  <c r="AH110" i="12"/>
  <c r="AI110" i="12"/>
  <c r="AJ110" i="12"/>
  <c r="AK110" i="12"/>
  <c r="AL110" i="12"/>
  <c r="AM110" i="12"/>
  <c r="AN110" i="12"/>
  <c r="AO110" i="12"/>
  <c r="AP110" i="12"/>
  <c r="AQ110" i="12"/>
  <c r="AR110" i="12"/>
  <c r="AS110" i="12"/>
  <c r="AT110" i="12"/>
  <c r="AU110" i="12"/>
  <c r="AV110" i="12"/>
  <c r="AW110" i="12"/>
  <c r="AX110" i="12"/>
  <c r="AY110" i="12"/>
  <c r="AZ110" i="12"/>
  <c r="BA110" i="12"/>
  <c r="BC110" i="12"/>
  <c r="BE110" i="12"/>
  <c r="BF110" i="12"/>
  <c r="BJ110" i="12"/>
  <c r="BK110" i="12"/>
  <c r="BL110" i="12"/>
  <c r="BM110" i="12"/>
  <c r="AB111" i="12"/>
  <c r="AC111" i="12"/>
  <c r="AD111" i="12"/>
  <c r="AE111" i="12"/>
  <c r="AG111" i="12"/>
  <c r="AH111" i="12"/>
  <c r="AI111" i="12"/>
  <c r="AJ111" i="12"/>
  <c r="AK111" i="12"/>
  <c r="AL111" i="12"/>
  <c r="AM111" i="12"/>
  <c r="AN111" i="12"/>
  <c r="AO111" i="12"/>
  <c r="AP111" i="12"/>
  <c r="AQ111" i="12"/>
  <c r="AR111" i="12"/>
  <c r="AS111" i="12"/>
  <c r="AT111" i="12"/>
  <c r="AU111" i="12"/>
  <c r="AV111" i="12"/>
  <c r="AW111" i="12"/>
  <c r="AX111" i="12"/>
  <c r="AY111" i="12"/>
  <c r="AZ111" i="12"/>
  <c r="BA111" i="12"/>
  <c r="BC111" i="12"/>
  <c r="BE111" i="12"/>
  <c r="BF111" i="12"/>
  <c r="BJ111" i="12"/>
  <c r="BK111" i="12"/>
  <c r="BL111" i="12"/>
  <c r="BM111" i="12"/>
  <c r="AB112" i="12"/>
  <c r="AC112" i="12"/>
  <c r="AD112" i="12"/>
  <c r="AE112" i="12"/>
  <c r="AG112" i="12"/>
  <c r="AH112" i="12"/>
  <c r="AI112" i="12"/>
  <c r="AJ112" i="12"/>
  <c r="AK112" i="12"/>
  <c r="AL112" i="12"/>
  <c r="AM112" i="12"/>
  <c r="AN112" i="12"/>
  <c r="AO112" i="12"/>
  <c r="AP112" i="12"/>
  <c r="AQ112" i="12"/>
  <c r="AR112" i="12"/>
  <c r="AS112" i="12"/>
  <c r="AT112" i="12"/>
  <c r="AU112" i="12"/>
  <c r="AV112" i="12"/>
  <c r="AW112" i="12"/>
  <c r="AX112" i="12"/>
  <c r="AY112" i="12"/>
  <c r="AZ112" i="12"/>
  <c r="BA112" i="12"/>
  <c r="BC112" i="12"/>
  <c r="BE112" i="12"/>
  <c r="BF112" i="12"/>
  <c r="BJ112" i="12"/>
  <c r="BK112" i="12"/>
  <c r="BL112" i="12"/>
  <c r="BM112" i="12"/>
  <c r="AB113" i="12"/>
  <c r="AC113" i="12"/>
  <c r="AD113" i="12"/>
  <c r="AE113" i="12"/>
  <c r="AG113" i="12"/>
  <c r="AH113" i="12"/>
  <c r="AI113" i="12"/>
  <c r="AJ113" i="12"/>
  <c r="AK113" i="12"/>
  <c r="AL113" i="12"/>
  <c r="AM113" i="12"/>
  <c r="AN113" i="12"/>
  <c r="AO113" i="12"/>
  <c r="AP113" i="12"/>
  <c r="AQ113" i="12"/>
  <c r="AR113" i="12"/>
  <c r="AS113" i="12"/>
  <c r="AT113" i="12"/>
  <c r="AU113" i="12"/>
  <c r="AV113" i="12"/>
  <c r="AW113" i="12"/>
  <c r="AX113" i="12"/>
  <c r="AY113" i="12"/>
  <c r="AZ113" i="12"/>
  <c r="BA113" i="12"/>
  <c r="BC113" i="12"/>
  <c r="BE113" i="12"/>
  <c r="BF113" i="12"/>
  <c r="BJ113" i="12"/>
  <c r="BK113" i="12"/>
  <c r="BL113" i="12"/>
  <c r="BM113" i="12"/>
  <c r="AB114" i="12"/>
  <c r="AC114" i="12"/>
  <c r="AD114" i="12"/>
  <c r="AE114" i="12"/>
  <c r="AG114" i="12"/>
  <c r="AH114" i="12"/>
  <c r="AI114" i="12"/>
  <c r="AJ114" i="12"/>
  <c r="AK114" i="12"/>
  <c r="AL114" i="12"/>
  <c r="AM114" i="12"/>
  <c r="AN114" i="12"/>
  <c r="AO114" i="12"/>
  <c r="AP114" i="12"/>
  <c r="AQ114" i="12"/>
  <c r="AR114" i="12"/>
  <c r="AS114" i="12"/>
  <c r="AT114" i="12"/>
  <c r="AU114" i="12"/>
  <c r="AV114" i="12"/>
  <c r="AW114" i="12"/>
  <c r="AX114" i="12"/>
  <c r="AY114" i="12"/>
  <c r="AZ114" i="12"/>
  <c r="BA114" i="12"/>
  <c r="BC114" i="12"/>
  <c r="BE114" i="12"/>
  <c r="BF114" i="12"/>
  <c r="BJ114" i="12"/>
  <c r="BK114" i="12"/>
  <c r="BL114" i="12"/>
  <c r="BM114" i="12"/>
  <c r="AB115" i="12"/>
  <c r="AC115" i="12"/>
  <c r="AD115" i="12"/>
  <c r="AE115" i="12"/>
  <c r="AG115" i="12"/>
  <c r="AH115" i="12"/>
  <c r="AI115" i="12"/>
  <c r="AJ115" i="12"/>
  <c r="AK115" i="12"/>
  <c r="AL115" i="12"/>
  <c r="AM115" i="12"/>
  <c r="AN115" i="12"/>
  <c r="AO115" i="12"/>
  <c r="AP115" i="12"/>
  <c r="AQ115" i="12"/>
  <c r="AR115" i="12"/>
  <c r="AS115" i="12"/>
  <c r="AT115" i="12"/>
  <c r="AU115" i="12"/>
  <c r="AV115" i="12"/>
  <c r="AW115" i="12"/>
  <c r="AX115" i="12"/>
  <c r="AY115" i="12"/>
  <c r="AZ115" i="12"/>
  <c r="BA115" i="12"/>
  <c r="BC115" i="12"/>
  <c r="BE115" i="12"/>
  <c r="BF115" i="12"/>
  <c r="BJ115" i="12"/>
  <c r="BK115" i="12"/>
  <c r="BL115" i="12"/>
  <c r="BM115" i="12"/>
  <c r="AB116" i="12"/>
  <c r="AC116" i="12"/>
  <c r="AD116" i="12"/>
  <c r="AE116" i="12"/>
  <c r="AG116" i="12"/>
  <c r="AH116" i="12"/>
  <c r="AI116" i="12"/>
  <c r="AJ116" i="12"/>
  <c r="AK116" i="12"/>
  <c r="AL116" i="12"/>
  <c r="AM116" i="12"/>
  <c r="AN116" i="12"/>
  <c r="AO116" i="12"/>
  <c r="AP116" i="12"/>
  <c r="AQ116" i="12"/>
  <c r="AR116" i="12"/>
  <c r="AS116" i="12"/>
  <c r="AT116" i="12"/>
  <c r="AU116" i="12"/>
  <c r="AV116" i="12"/>
  <c r="AW116" i="12"/>
  <c r="AX116" i="12"/>
  <c r="AY116" i="12"/>
  <c r="AZ116" i="12"/>
  <c r="BA116" i="12"/>
  <c r="BC116" i="12"/>
  <c r="BE116" i="12"/>
  <c r="BF116" i="12"/>
  <c r="BJ116" i="12"/>
  <c r="BK116" i="12"/>
  <c r="BL116" i="12"/>
  <c r="BM116" i="12"/>
  <c r="AB117" i="12"/>
  <c r="AC117" i="12"/>
  <c r="AD117" i="12"/>
  <c r="AE117" i="12"/>
  <c r="AG117" i="12"/>
  <c r="AH117" i="12"/>
  <c r="AI117" i="12"/>
  <c r="AJ117" i="12"/>
  <c r="AK117" i="12"/>
  <c r="AL117" i="12"/>
  <c r="AM117" i="12"/>
  <c r="AN117" i="12"/>
  <c r="AO117" i="12"/>
  <c r="AP117" i="12"/>
  <c r="AQ117" i="12"/>
  <c r="AR117" i="12"/>
  <c r="AS117" i="12"/>
  <c r="AT117" i="12"/>
  <c r="AU117" i="12"/>
  <c r="AV117" i="12"/>
  <c r="AW117" i="12"/>
  <c r="AX117" i="12"/>
  <c r="AY117" i="12"/>
  <c r="AZ117" i="12"/>
  <c r="BA117" i="12"/>
  <c r="BC117" i="12"/>
  <c r="BE117" i="12"/>
  <c r="BF117" i="12"/>
  <c r="BJ117" i="12"/>
  <c r="BK117" i="12"/>
  <c r="BL117" i="12"/>
  <c r="BM117" i="12"/>
  <c r="AB118" i="12"/>
  <c r="AC118" i="12"/>
  <c r="AD118" i="12"/>
  <c r="AE118" i="12"/>
  <c r="AG118" i="12"/>
  <c r="AH118" i="12"/>
  <c r="AI118" i="12"/>
  <c r="AJ118" i="12"/>
  <c r="AK118" i="12"/>
  <c r="AL118" i="12"/>
  <c r="AM118" i="12"/>
  <c r="AN118" i="12"/>
  <c r="AO118" i="12"/>
  <c r="AP118" i="12"/>
  <c r="AQ118" i="12"/>
  <c r="AR118" i="12"/>
  <c r="AS118" i="12"/>
  <c r="AT118" i="12"/>
  <c r="AU118" i="12"/>
  <c r="AV118" i="12"/>
  <c r="AW118" i="12"/>
  <c r="AX118" i="12"/>
  <c r="AY118" i="12"/>
  <c r="AZ118" i="12"/>
  <c r="BA118" i="12"/>
  <c r="BC118" i="12"/>
  <c r="BE118" i="12"/>
  <c r="BF118" i="12"/>
  <c r="BJ118" i="12"/>
  <c r="BK118" i="12"/>
  <c r="BL118" i="12"/>
  <c r="BM118" i="12"/>
  <c r="AB119" i="12"/>
  <c r="AC119" i="12"/>
  <c r="AD119" i="12"/>
  <c r="AE119" i="12"/>
  <c r="AG119" i="12"/>
  <c r="AH119" i="12"/>
  <c r="AI119" i="12"/>
  <c r="AJ119" i="12"/>
  <c r="AK119" i="12"/>
  <c r="AL119" i="12"/>
  <c r="AM119" i="12"/>
  <c r="AN119" i="12"/>
  <c r="AO119" i="12"/>
  <c r="AP119" i="12"/>
  <c r="AQ119" i="12"/>
  <c r="AR119" i="12"/>
  <c r="AS119" i="12"/>
  <c r="AT119" i="12"/>
  <c r="AU119" i="12"/>
  <c r="AV119" i="12"/>
  <c r="AW119" i="12"/>
  <c r="AX119" i="12"/>
  <c r="AY119" i="12"/>
  <c r="AZ119" i="12"/>
  <c r="BA119" i="12"/>
  <c r="BC119" i="12"/>
  <c r="BE119" i="12"/>
  <c r="BF119" i="12"/>
  <c r="BJ119" i="12"/>
  <c r="BK119" i="12"/>
  <c r="BL119" i="12"/>
  <c r="BM119" i="12"/>
  <c r="AB120" i="12"/>
  <c r="AC120" i="12"/>
  <c r="AD120" i="12"/>
  <c r="AE120" i="12"/>
  <c r="AG120" i="12"/>
  <c r="AH120" i="12"/>
  <c r="AI120" i="12"/>
  <c r="AJ120" i="12"/>
  <c r="AK120" i="12"/>
  <c r="AL120" i="12"/>
  <c r="AM120" i="12"/>
  <c r="AN120" i="12"/>
  <c r="AO120" i="12"/>
  <c r="AP120" i="12"/>
  <c r="AQ120" i="12"/>
  <c r="AR120" i="12"/>
  <c r="AS120" i="12"/>
  <c r="AT120" i="12"/>
  <c r="AU120" i="12"/>
  <c r="AV120" i="12"/>
  <c r="AW120" i="12"/>
  <c r="AX120" i="12"/>
  <c r="AY120" i="12"/>
  <c r="AZ120" i="12"/>
  <c r="BA120" i="12"/>
  <c r="BC120" i="12"/>
  <c r="BE120" i="12"/>
  <c r="BF120" i="12"/>
  <c r="BJ120" i="12"/>
  <c r="BK120" i="12"/>
  <c r="BL120" i="12"/>
  <c r="BM120" i="12"/>
  <c r="AB121" i="12"/>
  <c r="AC121" i="12"/>
  <c r="AD121" i="12"/>
  <c r="AE121" i="12"/>
  <c r="AG121" i="12"/>
  <c r="AH121" i="12"/>
  <c r="AI121" i="12"/>
  <c r="AJ121" i="12"/>
  <c r="AK121" i="12"/>
  <c r="AL121" i="12"/>
  <c r="AM121" i="12"/>
  <c r="AN121" i="12"/>
  <c r="AO121" i="12"/>
  <c r="AP121" i="12"/>
  <c r="AQ121" i="12"/>
  <c r="AR121" i="12"/>
  <c r="AS121" i="12"/>
  <c r="AT121" i="12"/>
  <c r="AU121" i="12"/>
  <c r="AV121" i="12"/>
  <c r="AW121" i="12"/>
  <c r="AX121" i="12"/>
  <c r="AY121" i="12"/>
  <c r="AZ121" i="12"/>
  <c r="BA121" i="12"/>
  <c r="BC121" i="12"/>
  <c r="BE121" i="12"/>
  <c r="BF121" i="12"/>
  <c r="BJ121" i="12"/>
  <c r="BK121" i="12"/>
  <c r="BL121" i="12"/>
  <c r="BM121" i="12"/>
  <c r="AB122" i="12"/>
  <c r="AC122" i="12"/>
  <c r="AD122" i="12"/>
  <c r="AE122" i="12"/>
  <c r="AG122" i="12"/>
  <c r="AH122" i="12"/>
  <c r="AI122" i="12"/>
  <c r="AJ122" i="12"/>
  <c r="AK122" i="12"/>
  <c r="AL122" i="12"/>
  <c r="AM122" i="12"/>
  <c r="AN122" i="12"/>
  <c r="AO122" i="12"/>
  <c r="AP122" i="12"/>
  <c r="AQ122" i="12"/>
  <c r="AR122" i="12"/>
  <c r="AS122" i="12"/>
  <c r="AT122" i="12"/>
  <c r="AU122" i="12"/>
  <c r="AV122" i="12"/>
  <c r="AW122" i="12"/>
  <c r="AX122" i="12"/>
  <c r="AY122" i="12"/>
  <c r="AZ122" i="12"/>
  <c r="BA122" i="12"/>
  <c r="BC122" i="12"/>
  <c r="BE122" i="12"/>
  <c r="BF122" i="12"/>
  <c r="BJ122" i="12"/>
  <c r="BK122" i="12"/>
  <c r="BL122" i="12"/>
  <c r="BM122" i="12"/>
  <c r="AB123" i="12"/>
  <c r="AC123" i="12"/>
  <c r="AD123" i="12"/>
  <c r="AE123" i="12"/>
  <c r="AG123" i="12"/>
  <c r="AH123" i="12"/>
  <c r="AI123" i="12"/>
  <c r="AJ123" i="12"/>
  <c r="AK123" i="12"/>
  <c r="AL123" i="12"/>
  <c r="AM123" i="12"/>
  <c r="AN123" i="12"/>
  <c r="AO123" i="12"/>
  <c r="AP123" i="12"/>
  <c r="AQ123" i="12"/>
  <c r="AR123" i="12"/>
  <c r="AS123" i="12"/>
  <c r="AT123" i="12"/>
  <c r="AU123" i="12"/>
  <c r="AV123" i="12"/>
  <c r="AW123" i="12"/>
  <c r="AX123" i="12"/>
  <c r="AY123" i="12"/>
  <c r="AZ123" i="12"/>
  <c r="BA123" i="12"/>
  <c r="BC123" i="12"/>
  <c r="BE123" i="12"/>
  <c r="BF123" i="12"/>
  <c r="BJ123" i="12"/>
  <c r="BK123" i="12"/>
  <c r="BL123" i="12"/>
  <c r="BM123" i="12"/>
  <c r="AB124" i="12"/>
  <c r="AC124" i="12"/>
  <c r="AD124" i="12"/>
  <c r="AE124" i="12"/>
  <c r="AG124" i="12"/>
  <c r="AH124" i="12"/>
  <c r="AI124" i="12"/>
  <c r="AJ124" i="12"/>
  <c r="AK124" i="12"/>
  <c r="AL124" i="12"/>
  <c r="AM124" i="12"/>
  <c r="AN124" i="12"/>
  <c r="AO124" i="12"/>
  <c r="AP124" i="12"/>
  <c r="AQ124" i="12"/>
  <c r="AR124" i="12"/>
  <c r="AS124" i="12"/>
  <c r="AT124" i="12"/>
  <c r="AU124" i="12"/>
  <c r="AV124" i="12"/>
  <c r="AW124" i="12"/>
  <c r="AX124" i="12"/>
  <c r="AY124" i="12"/>
  <c r="AZ124" i="12"/>
  <c r="BA124" i="12"/>
  <c r="BC124" i="12"/>
  <c r="BE124" i="12"/>
  <c r="BF124" i="12"/>
  <c r="BJ124" i="12"/>
  <c r="BK124" i="12"/>
  <c r="BL124" i="12"/>
  <c r="BM124" i="12"/>
  <c r="AB125" i="12"/>
  <c r="AC125" i="12"/>
  <c r="AD125" i="12"/>
  <c r="AE125" i="12"/>
  <c r="AG125" i="12"/>
  <c r="AH125" i="12"/>
  <c r="AI125" i="12"/>
  <c r="AJ125" i="12"/>
  <c r="AK125" i="12"/>
  <c r="AL125" i="12"/>
  <c r="AM125" i="12"/>
  <c r="AN125" i="12"/>
  <c r="AO125" i="12"/>
  <c r="AP125" i="12"/>
  <c r="AQ125" i="12"/>
  <c r="AR125" i="12"/>
  <c r="AS125" i="12"/>
  <c r="AT125" i="12"/>
  <c r="AU125" i="12"/>
  <c r="AV125" i="12"/>
  <c r="AW125" i="12"/>
  <c r="AX125" i="12"/>
  <c r="AY125" i="12"/>
  <c r="AZ125" i="12"/>
  <c r="BA125" i="12"/>
  <c r="BC125" i="12"/>
  <c r="BE125" i="12"/>
  <c r="BF125" i="12"/>
  <c r="BJ125" i="12"/>
  <c r="BK125" i="12"/>
  <c r="BL125" i="12"/>
  <c r="BM125" i="12"/>
  <c r="AB126" i="12"/>
  <c r="AC126" i="12"/>
  <c r="AD126" i="12"/>
  <c r="AE126" i="12"/>
  <c r="AG126" i="12"/>
  <c r="AH126" i="12"/>
  <c r="AI126" i="12"/>
  <c r="AJ126" i="12"/>
  <c r="AK126" i="12"/>
  <c r="AL126" i="12"/>
  <c r="AM126" i="12"/>
  <c r="AN126" i="12"/>
  <c r="AO126" i="12"/>
  <c r="AP126" i="12"/>
  <c r="AQ126" i="12"/>
  <c r="AR126" i="12"/>
  <c r="AS126" i="12"/>
  <c r="AT126" i="12"/>
  <c r="AU126" i="12"/>
  <c r="AV126" i="12"/>
  <c r="AW126" i="12"/>
  <c r="AX126" i="12"/>
  <c r="AY126" i="12"/>
  <c r="AZ126" i="12"/>
  <c r="BA126" i="12"/>
  <c r="BC126" i="12"/>
  <c r="BE126" i="12"/>
  <c r="BF126" i="12"/>
  <c r="BJ126" i="12"/>
  <c r="BK126" i="12"/>
  <c r="BL126" i="12"/>
  <c r="BM126" i="12"/>
  <c r="AB127" i="12"/>
  <c r="AC127" i="12"/>
  <c r="AD127" i="12"/>
  <c r="AE127" i="12"/>
  <c r="AG127" i="12"/>
  <c r="AH127" i="12"/>
  <c r="AI127" i="12"/>
  <c r="AJ127" i="12"/>
  <c r="AK127" i="12"/>
  <c r="AL127" i="12"/>
  <c r="AM127" i="12"/>
  <c r="AN127" i="12"/>
  <c r="AO127" i="12"/>
  <c r="AP127" i="12"/>
  <c r="AQ127" i="12"/>
  <c r="AR127" i="12"/>
  <c r="AS127" i="12"/>
  <c r="AT127" i="12"/>
  <c r="AU127" i="12"/>
  <c r="AV127" i="12"/>
  <c r="AW127" i="12"/>
  <c r="AX127" i="12"/>
  <c r="AY127" i="12"/>
  <c r="AZ127" i="12"/>
  <c r="BA127" i="12"/>
  <c r="BC127" i="12"/>
  <c r="BE127" i="12"/>
  <c r="BF127" i="12"/>
  <c r="BJ127" i="12"/>
  <c r="BK127" i="12"/>
  <c r="BL127" i="12"/>
  <c r="BM127" i="12"/>
  <c r="AB128" i="12"/>
  <c r="AC128" i="12"/>
  <c r="AD128" i="12"/>
  <c r="AE128" i="12"/>
  <c r="AG128" i="12"/>
  <c r="AH128" i="12"/>
  <c r="AI128" i="12"/>
  <c r="AJ128" i="12"/>
  <c r="AK128" i="12"/>
  <c r="AL128" i="12"/>
  <c r="AM128" i="12"/>
  <c r="AN128" i="12"/>
  <c r="AO128" i="12"/>
  <c r="AP128" i="12"/>
  <c r="AQ128" i="12"/>
  <c r="AR128" i="12"/>
  <c r="AS128" i="12"/>
  <c r="AT128" i="12"/>
  <c r="AU128" i="12"/>
  <c r="AV128" i="12"/>
  <c r="AW128" i="12"/>
  <c r="AX128" i="12"/>
  <c r="AY128" i="12"/>
  <c r="AZ128" i="12"/>
  <c r="BA128" i="12"/>
  <c r="BC128" i="12"/>
  <c r="BE128" i="12"/>
  <c r="BF128" i="12"/>
  <c r="BJ128" i="12"/>
  <c r="BK128" i="12"/>
  <c r="BL128" i="12"/>
  <c r="BM128" i="12"/>
  <c r="AB129" i="12"/>
  <c r="AC129" i="12"/>
  <c r="AD129" i="12"/>
  <c r="AE129" i="12"/>
  <c r="AG129" i="12"/>
  <c r="AH129" i="12"/>
  <c r="AI129" i="12"/>
  <c r="AJ129" i="12"/>
  <c r="AK129" i="12"/>
  <c r="AL129" i="12"/>
  <c r="AM129" i="12"/>
  <c r="AN129" i="12"/>
  <c r="AO129" i="12"/>
  <c r="AP129" i="12"/>
  <c r="AQ129" i="12"/>
  <c r="AR129" i="12"/>
  <c r="AS129" i="12"/>
  <c r="AT129" i="12"/>
  <c r="AU129" i="12"/>
  <c r="AV129" i="12"/>
  <c r="AW129" i="12"/>
  <c r="AX129" i="12"/>
  <c r="AY129" i="12"/>
  <c r="AZ129" i="12"/>
  <c r="BA129" i="12"/>
  <c r="BC129" i="12"/>
  <c r="BE129" i="12"/>
  <c r="BF129" i="12"/>
  <c r="BJ129" i="12"/>
  <c r="BK129" i="12"/>
  <c r="BL129" i="12"/>
  <c r="BM129" i="12"/>
  <c r="AB130" i="12"/>
  <c r="AC130" i="12"/>
  <c r="AD130" i="12"/>
  <c r="AE130" i="12"/>
  <c r="AG130" i="12"/>
  <c r="AH130" i="12"/>
  <c r="AI130" i="12"/>
  <c r="AJ130" i="12"/>
  <c r="AK130" i="12"/>
  <c r="AL130" i="12"/>
  <c r="AM130" i="12"/>
  <c r="AN130" i="12"/>
  <c r="AO130" i="12"/>
  <c r="AP130" i="12"/>
  <c r="AQ130" i="12"/>
  <c r="AR130" i="12"/>
  <c r="AS130" i="12"/>
  <c r="AT130" i="12"/>
  <c r="AU130" i="12"/>
  <c r="AV130" i="12"/>
  <c r="AW130" i="12"/>
  <c r="AX130" i="12"/>
  <c r="AY130" i="12"/>
  <c r="AZ130" i="12"/>
  <c r="BA130" i="12"/>
  <c r="BC130" i="12"/>
  <c r="BE130" i="12"/>
  <c r="BF130" i="12"/>
  <c r="BJ130" i="12"/>
  <c r="BK130" i="12"/>
  <c r="BL130" i="12"/>
  <c r="BM130" i="12"/>
  <c r="AB131" i="12"/>
  <c r="AC131" i="12"/>
  <c r="AD131" i="12"/>
  <c r="AE131" i="12"/>
  <c r="AG131" i="12"/>
  <c r="AH131" i="12"/>
  <c r="AI131" i="12"/>
  <c r="AJ131" i="12"/>
  <c r="AK131" i="12"/>
  <c r="AL131" i="12"/>
  <c r="AM131" i="12"/>
  <c r="AN131" i="12"/>
  <c r="AO131" i="12"/>
  <c r="AP131" i="12"/>
  <c r="AQ131" i="12"/>
  <c r="AR131" i="12"/>
  <c r="AS131" i="12"/>
  <c r="AT131" i="12"/>
  <c r="AU131" i="12"/>
  <c r="AV131" i="12"/>
  <c r="AW131" i="12"/>
  <c r="AX131" i="12"/>
  <c r="AY131" i="12"/>
  <c r="AZ131" i="12"/>
  <c r="BA131" i="12"/>
  <c r="BC131" i="12"/>
  <c r="BE131" i="12"/>
  <c r="BF131" i="12"/>
  <c r="BJ131" i="12"/>
  <c r="BK131" i="12"/>
  <c r="BL131" i="12"/>
  <c r="BM131" i="12"/>
  <c r="AB132" i="12"/>
  <c r="AC132" i="12"/>
  <c r="AD132" i="12"/>
  <c r="AE132" i="12"/>
  <c r="AG132" i="12"/>
  <c r="AH132" i="12"/>
  <c r="AI132" i="12"/>
  <c r="AJ132" i="12"/>
  <c r="AK132" i="12"/>
  <c r="AL132" i="12"/>
  <c r="AM132" i="12"/>
  <c r="AN132" i="12"/>
  <c r="AO132" i="12"/>
  <c r="AP132" i="12"/>
  <c r="AQ132" i="12"/>
  <c r="AR132" i="12"/>
  <c r="AS132" i="12"/>
  <c r="AT132" i="12"/>
  <c r="AU132" i="12"/>
  <c r="AV132" i="12"/>
  <c r="AW132" i="12"/>
  <c r="AX132" i="12"/>
  <c r="AY132" i="12"/>
  <c r="AZ132" i="12"/>
  <c r="BA132" i="12"/>
  <c r="BC132" i="12"/>
  <c r="BE132" i="12"/>
  <c r="BF132" i="12"/>
  <c r="BJ132" i="12"/>
  <c r="BK132" i="12"/>
  <c r="BL132" i="12"/>
  <c r="BM132" i="12"/>
  <c r="AB133" i="12"/>
  <c r="AC133" i="12"/>
  <c r="AD133" i="12"/>
  <c r="AE133" i="12"/>
  <c r="AG133" i="12"/>
  <c r="AH133" i="12"/>
  <c r="AI133" i="12"/>
  <c r="AJ133" i="12"/>
  <c r="AK133" i="12"/>
  <c r="AL133" i="12"/>
  <c r="AM133" i="12"/>
  <c r="AN133" i="12"/>
  <c r="AO133" i="12"/>
  <c r="AP133" i="12"/>
  <c r="AQ133" i="12"/>
  <c r="AR133" i="12"/>
  <c r="AS133" i="12"/>
  <c r="AT133" i="12"/>
  <c r="AU133" i="12"/>
  <c r="AV133" i="12"/>
  <c r="AW133" i="12"/>
  <c r="AX133" i="12"/>
  <c r="AY133" i="12"/>
  <c r="AZ133" i="12"/>
  <c r="BA133" i="12"/>
  <c r="BC133" i="12"/>
  <c r="BE133" i="12"/>
  <c r="BF133" i="12"/>
  <c r="BJ133" i="12"/>
  <c r="BK133" i="12"/>
  <c r="BL133" i="12"/>
  <c r="BM133" i="12"/>
  <c r="AB134" i="12"/>
  <c r="AC134" i="12"/>
  <c r="AD134" i="12"/>
  <c r="AE134" i="12"/>
  <c r="AG134" i="12"/>
  <c r="AH134" i="12"/>
  <c r="AI134" i="12"/>
  <c r="AJ134" i="12"/>
  <c r="AK134" i="12"/>
  <c r="AL134" i="12"/>
  <c r="AM134" i="12"/>
  <c r="AN134" i="12"/>
  <c r="AO134" i="12"/>
  <c r="AP134" i="12"/>
  <c r="AQ134" i="12"/>
  <c r="AR134" i="12"/>
  <c r="AS134" i="12"/>
  <c r="AT134" i="12"/>
  <c r="AU134" i="12"/>
  <c r="AV134" i="12"/>
  <c r="AW134" i="12"/>
  <c r="AX134" i="12"/>
  <c r="AY134" i="12"/>
  <c r="AZ134" i="12"/>
  <c r="BA134" i="12"/>
  <c r="BC134" i="12"/>
  <c r="BE134" i="12"/>
  <c r="BF134" i="12"/>
  <c r="BJ134" i="12"/>
  <c r="BK134" i="12"/>
  <c r="BL134" i="12"/>
  <c r="BM134" i="12"/>
  <c r="AB135" i="12"/>
  <c r="AC135" i="12"/>
  <c r="AD135" i="12"/>
  <c r="AE135" i="12"/>
  <c r="AG135" i="12"/>
  <c r="AH135" i="12"/>
  <c r="AI135" i="12"/>
  <c r="AJ135" i="12"/>
  <c r="AK135" i="12"/>
  <c r="AL135" i="12"/>
  <c r="AM135" i="12"/>
  <c r="AN135" i="12"/>
  <c r="AO135" i="12"/>
  <c r="AP135" i="12"/>
  <c r="AQ135" i="12"/>
  <c r="AR135" i="12"/>
  <c r="AS135" i="12"/>
  <c r="AT135" i="12"/>
  <c r="AU135" i="12"/>
  <c r="AV135" i="12"/>
  <c r="AW135" i="12"/>
  <c r="AX135" i="12"/>
  <c r="AY135" i="12"/>
  <c r="AZ135" i="12"/>
  <c r="BA135" i="12"/>
  <c r="BC135" i="12"/>
  <c r="BE135" i="12"/>
  <c r="BF135" i="12"/>
  <c r="BJ135" i="12"/>
  <c r="BK135" i="12"/>
  <c r="BL135" i="12"/>
  <c r="BM135" i="12"/>
  <c r="AB136" i="12"/>
  <c r="AC136" i="12"/>
  <c r="AD136" i="12"/>
  <c r="AE136" i="12"/>
  <c r="AG136" i="12"/>
  <c r="AH136" i="12"/>
  <c r="AI136" i="12"/>
  <c r="AJ136" i="12"/>
  <c r="AK136" i="12"/>
  <c r="AL136" i="12"/>
  <c r="AM136" i="12"/>
  <c r="AN136" i="12"/>
  <c r="AO136" i="12"/>
  <c r="AP136" i="12"/>
  <c r="AQ136" i="12"/>
  <c r="AR136" i="12"/>
  <c r="AS136" i="12"/>
  <c r="AT136" i="12"/>
  <c r="AU136" i="12"/>
  <c r="AV136" i="12"/>
  <c r="AW136" i="12"/>
  <c r="AX136" i="12"/>
  <c r="AY136" i="12"/>
  <c r="AZ136" i="12"/>
  <c r="BA136" i="12"/>
  <c r="BC136" i="12"/>
  <c r="BE136" i="12"/>
  <c r="BF136" i="12"/>
  <c r="BJ136" i="12"/>
  <c r="BK136" i="12"/>
  <c r="BL136" i="12"/>
  <c r="BM136" i="12"/>
  <c r="AB137" i="12"/>
  <c r="AC137" i="12"/>
  <c r="AD137" i="12"/>
  <c r="AE137" i="12"/>
  <c r="AG137" i="12"/>
  <c r="AH137" i="12"/>
  <c r="AI137" i="12"/>
  <c r="AJ137" i="12"/>
  <c r="AK137" i="12"/>
  <c r="AL137" i="12"/>
  <c r="AM137" i="12"/>
  <c r="AN137" i="12"/>
  <c r="AO137" i="12"/>
  <c r="AP137" i="12"/>
  <c r="AQ137" i="12"/>
  <c r="AR137" i="12"/>
  <c r="AS137" i="12"/>
  <c r="AT137" i="12"/>
  <c r="AU137" i="12"/>
  <c r="AV137" i="12"/>
  <c r="AW137" i="12"/>
  <c r="AX137" i="12"/>
  <c r="AY137" i="12"/>
  <c r="AZ137" i="12"/>
  <c r="BA137" i="12"/>
  <c r="BC137" i="12"/>
  <c r="BE137" i="12"/>
  <c r="BF137" i="12"/>
  <c r="BJ137" i="12"/>
  <c r="BK137" i="12"/>
  <c r="BL137" i="12"/>
  <c r="BM137" i="12"/>
  <c r="AB138" i="12"/>
  <c r="AC138" i="12"/>
  <c r="AD138" i="12"/>
  <c r="AE138" i="12"/>
  <c r="AG138" i="12"/>
  <c r="AH138" i="12"/>
  <c r="AI138" i="12"/>
  <c r="AJ138" i="12"/>
  <c r="AK138" i="12"/>
  <c r="AL138" i="12"/>
  <c r="AM138" i="12"/>
  <c r="AN138" i="12"/>
  <c r="AO138" i="12"/>
  <c r="AP138" i="12"/>
  <c r="AQ138" i="12"/>
  <c r="AR138" i="12"/>
  <c r="AS138" i="12"/>
  <c r="AT138" i="12"/>
  <c r="AU138" i="12"/>
  <c r="AV138" i="12"/>
  <c r="AW138" i="12"/>
  <c r="AX138" i="12"/>
  <c r="AY138" i="12"/>
  <c r="AZ138" i="12"/>
  <c r="BA138" i="12"/>
  <c r="BC138" i="12"/>
  <c r="BE138" i="12"/>
  <c r="BF138" i="12"/>
  <c r="BJ138" i="12"/>
  <c r="BK138" i="12"/>
  <c r="BL138" i="12"/>
  <c r="BM138" i="12"/>
  <c r="AB139" i="12"/>
  <c r="AC139" i="12"/>
  <c r="AD139" i="12"/>
  <c r="AE139" i="12"/>
  <c r="AG139" i="12"/>
  <c r="AH139" i="12"/>
  <c r="AI139" i="12"/>
  <c r="AJ139" i="12"/>
  <c r="AK139" i="12"/>
  <c r="AL139" i="12"/>
  <c r="AM139" i="12"/>
  <c r="AN139" i="12"/>
  <c r="AO139" i="12"/>
  <c r="AP139" i="12"/>
  <c r="AQ139" i="12"/>
  <c r="AR139" i="12"/>
  <c r="AS139" i="12"/>
  <c r="AT139" i="12"/>
  <c r="AU139" i="12"/>
  <c r="AV139" i="12"/>
  <c r="AW139" i="12"/>
  <c r="AX139" i="12"/>
  <c r="AY139" i="12"/>
  <c r="AZ139" i="12"/>
  <c r="BA139" i="12"/>
  <c r="BC139" i="12"/>
  <c r="BE139" i="12"/>
  <c r="BF139" i="12"/>
  <c r="BJ139" i="12"/>
  <c r="BK139" i="12"/>
  <c r="BL139" i="12"/>
  <c r="BM139" i="12"/>
  <c r="AB140" i="12"/>
  <c r="AC140" i="12"/>
  <c r="AD140" i="12"/>
  <c r="AE140" i="12"/>
  <c r="AG140" i="12"/>
  <c r="AH140" i="12"/>
  <c r="AI140" i="12"/>
  <c r="AJ140" i="12"/>
  <c r="AK140" i="12"/>
  <c r="AL140" i="12"/>
  <c r="AM140" i="12"/>
  <c r="AN140" i="12"/>
  <c r="AO140" i="12"/>
  <c r="AP140" i="12"/>
  <c r="AQ140" i="12"/>
  <c r="AR140" i="12"/>
  <c r="AS140" i="12"/>
  <c r="AT140" i="12"/>
  <c r="AU140" i="12"/>
  <c r="AV140" i="12"/>
  <c r="AW140" i="12"/>
  <c r="AX140" i="12"/>
  <c r="AY140" i="12"/>
  <c r="AZ140" i="12"/>
  <c r="BA140" i="12"/>
  <c r="BC140" i="12"/>
  <c r="BE140" i="12"/>
  <c r="BF140" i="12"/>
  <c r="BJ140" i="12"/>
  <c r="BK140" i="12"/>
  <c r="BL140" i="12"/>
  <c r="BM140" i="12"/>
  <c r="AB141" i="12"/>
  <c r="AC141" i="12"/>
  <c r="AD141" i="12"/>
  <c r="AE141" i="12"/>
  <c r="AG141" i="12"/>
  <c r="AH141" i="12"/>
  <c r="AI141" i="12"/>
  <c r="AJ141" i="12"/>
  <c r="AK141" i="12"/>
  <c r="AL141" i="12"/>
  <c r="AM141" i="12"/>
  <c r="AN141" i="12"/>
  <c r="AO141" i="12"/>
  <c r="AP141" i="12"/>
  <c r="AQ141" i="12"/>
  <c r="AR141" i="12"/>
  <c r="AS141" i="12"/>
  <c r="AT141" i="12"/>
  <c r="AU141" i="12"/>
  <c r="AV141" i="12"/>
  <c r="AW141" i="12"/>
  <c r="AX141" i="12"/>
  <c r="AY141" i="12"/>
  <c r="AZ141" i="12"/>
  <c r="BA141" i="12"/>
  <c r="BC141" i="12"/>
  <c r="BE141" i="12"/>
  <c r="BF141" i="12"/>
  <c r="BJ141" i="12"/>
  <c r="BK141" i="12"/>
  <c r="BL141" i="12"/>
  <c r="BM141" i="12"/>
  <c r="AB142" i="12"/>
  <c r="AC142" i="12"/>
  <c r="AD142" i="12"/>
  <c r="AE142" i="12"/>
  <c r="AG142" i="12"/>
  <c r="AH142" i="12"/>
  <c r="AI142" i="12"/>
  <c r="AJ142" i="12"/>
  <c r="AK142" i="12"/>
  <c r="AL142" i="12"/>
  <c r="AM142" i="12"/>
  <c r="AN142" i="12"/>
  <c r="AO142" i="12"/>
  <c r="AP142" i="12"/>
  <c r="AQ142" i="12"/>
  <c r="AR142" i="12"/>
  <c r="AS142" i="12"/>
  <c r="AT142" i="12"/>
  <c r="AU142" i="12"/>
  <c r="AV142" i="12"/>
  <c r="AW142" i="12"/>
  <c r="AX142" i="12"/>
  <c r="AY142" i="12"/>
  <c r="AZ142" i="12"/>
  <c r="BA142" i="12"/>
  <c r="BC142" i="12"/>
  <c r="BE142" i="12"/>
  <c r="BF142" i="12"/>
  <c r="BJ142" i="12"/>
  <c r="BK142" i="12"/>
  <c r="BL142" i="12"/>
  <c r="BM142" i="12"/>
  <c r="AB143" i="12"/>
  <c r="AC143" i="12"/>
  <c r="AD143" i="12"/>
  <c r="AE143" i="12"/>
  <c r="AG143" i="12"/>
  <c r="AH143" i="12"/>
  <c r="AI143" i="12"/>
  <c r="AJ143" i="12"/>
  <c r="AK143" i="12"/>
  <c r="AL143" i="12"/>
  <c r="AM143" i="12"/>
  <c r="AN143" i="12"/>
  <c r="AO143" i="12"/>
  <c r="AP143" i="12"/>
  <c r="AQ143" i="12"/>
  <c r="AR143" i="12"/>
  <c r="AS143" i="12"/>
  <c r="AT143" i="12"/>
  <c r="AU143" i="12"/>
  <c r="AV143" i="12"/>
  <c r="AW143" i="12"/>
  <c r="AX143" i="12"/>
  <c r="AY143" i="12"/>
  <c r="AZ143" i="12"/>
  <c r="BA143" i="12"/>
  <c r="BC143" i="12"/>
  <c r="BE143" i="12"/>
  <c r="BF143" i="12"/>
  <c r="BJ143" i="12"/>
  <c r="BK143" i="12"/>
  <c r="BL143" i="12"/>
  <c r="BM143" i="12"/>
  <c r="AB144" i="12"/>
  <c r="AC144" i="12"/>
  <c r="AD144" i="12"/>
  <c r="AE144" i="12"/>
  <c r="AG144" i="12"/>
  <c r="AH144" i="12"/>
  <c r="AI144" i="12"/>
  <c r="AJ144" i="12"/>
  <c r="AK144" i="12"/>
  <c r="AL144" i="12"/>
  <c r="AM144" i="12"/>
  <c r="AN144" i="12"/>
  <c r="AO144" i="12"/>
  <c r="AP144" i="12"/>
  <c r="AQ144" i="12"/>
  <c r="AR144" i="12"/>
  <c r="AS144" i="12"/>
  <c r="AT144" i="12"/>
  <c r="AU144" i="12"/>
  <c r="AV144" i="12"/>
  <c r="AW144" i="12"/>
  <c r="AX144" i="12"/>
  <c r="AY144" i="12"/>
  <c r="AZ144" i="12"/>
  <c r="BA144" i="12"/>
  <c r="BC144" i="12"/>
  <c r="BE144" i="12"/>
  <c r="BF144" i="12"/>
  <c r="BJ144" i="12"/>
  <c r="BK144" i="12"/>
  <c r="BL144" i="12"/>
  <c r="BM144" i="12"/>
  <c r="AB145" i="12"/>
  <c r="AC145" i="12"/>
  <c r="AD145" i="12"/>
  <c r="AE145" i="12"/>
  <c r="AG145" i="12"/>
  <c r="AH145" i="12"/>
  <c r="AI145" i="12"/>
  <c r="AJ145" i="12"/>
  <c r="AK145" i="12"/>
  <c r="AL145" i="12"/>
  <c r="AM145" i="12"/>
  <c r="AN145" i="12"/>
  <c r="AO145" i="12"/>
  <c r="AP145" i="12"/>
  <c r="AQ145" i="12"/>
  <c r="AR145" i="12"/>
  <c r="AS145" i="12"/>
  <c r="AT145" i="12"/>
  <c r="AU145" i="12"/>
  <c r="AV145" i="12"/>
  <c r="AW145" i="12"/>
  <c r="AX145" i="12"/>
  <c r="AY145" i="12"/>
  <c r="AZ145" i="12"/>
  <c r="BA145" i="12"/>
  <c r="BC145" i="12"/>
  <c r="BE145" i="12"/>
  <c r="BF145" i="12"/>
  <c r="BJ145" i="12"/>
  <c r="BK145" i="12"/>
  <c r="BL145" i="12"/>
  <c r="BM145" i="12"/>
  <c r="AB146" i="12"/>
  <c r="AC146" i="12"/>
  <c r="AD146" i="12"/>
  <c r="AE146" i="12"/>
  <c r="AG146" i="12"/>
  <c r="AH146" i="12"/>
  <c r="AI146" i="12"/>
  <c r="AJ146" i="12"/>
  <c r="AK146" i="12"/>
  <c r="AL146" i="12"/>
  <c r="AM146" i="12"/>
  <c r="AN146" i="12"/>
  <c r="AO146" i="12"/>
  <c r="AP146" i="12"/>
  <c r="AQ146" i="12"/>
  <c r="AR146" i="12"/>
  <c r="AS146" i="12"/>
  <c r="AT146" i="12"/>
  <c r="AU146" i="12"/>
  <c r="AV146" i="12"/>
  <c r="AW146" i="12"/>
  <c r="AX146" i="12"/>
  <c r="AY146" i="12"/>
  <c r="AZ146" i="12"/>
  <c r="BA146" i="12"/>
  <c r="BC146" i="12"/>
  <c r="BE146" i="12"/>
  <c r="BF146" i="12"/>
  <c r="BJ146" i="12"/>
  <c r="BK146" i="12"/>
  <c r="BL146" i="12"/>
  <c r="BM146" i="12"/>
  <c r="AB147" i="12"/>
  <c r="AC147" i="12"/>
  <c r="AD147" i="12"/>
  <c r="AE147" i="12"/>
  <c r="AG147" i="12"/>
  <c r="AH147" i="12"/>
  <c r="AI147" i="12"/>
  <c r="AJ147" i="12"/>
  <c r="AK147" i="12"/>
  <c r="AL147" i="12"/>
  <c r="AM147" i="12"/>
  <c r="AN147" i="12"/>
  <c r="AO147" i="12"/>
  <c r="AP147" i="12"/>
  <c r="AQ147" i="12"/>
  <c r="AR147" i="12"/>
  <c r="AS147" i="12"/>
  <c r="AT147" i="12"/>
  <c r="AU147" i="12"/>
  <c r="AV147" i="12"/>
  <c r="AW147" i="12"/>
  <c r="AX147" i="12"/>
  <c r="AY147" i="12"/>
  <c r="AZ147" i="12"/>
  <c r="BA147" i="12"/>
  <c r="BC147" i="12"/>
  <c r="BE147" i="12"/>
  <c r="BF147" i="12"/>
  <c r="BJ147" i="12"/>
  <c r="BK147" i="12"/>
  <c r="BL147" i="12"/>
  <c r="BM147" i="12"/>
  <c r="AB148" i="12"/>
  <c r="AC148" i="12"/>
  <c r="AD148" i="12"/>
  <c r="AE148" i="12"/>
  <c r="AG148" i="12"/>
  <c r="AH148" i="12"/>
  <c r="AI148" i="12"/>
  <c r="AJ148" i="12"/>
  <c r="AK148" i="12"/>
  <c r="AL148" i="12"/>
  <c r="AM148" i="12"/>
  <c r="AN148" i="12"/>
  <c r="AO148" i="12"/>
  <c r="AP148" i="12"/>
  <c r="AQ148" i="12"/>
  <c r="AR148" i="12"/>
  <c r="AS148" i="12"/>
  <c r="AT148" i="12"/>
  <c r="AU148" i="12"/>
  <c r="AV148" i="12"/>
  <c r="AW148" i="12"/>
  <c r="AX148" i="12"/>
  <c r="AY148" i="12"/>
  <c r="AZ148" i="12"/>
  <c r="BA148" i="12"/>
  <c r="BC148" i="12"/>
  <c r="BE148" i="12"/>
  <c r="BF148" i="12"/>
  <c r="BJ148" i="12"/>
  <c r="BK148" i="12"/>
  <c r="BL148" i="12"/>
  <c r="BM148" i="12"/>
  <c r="AB149" i="12"/>
  <c r="AC149" i="12"/>
  <c r="AD149" i="12"/>
  <c r="AE149" i="12"/>
  <c r="AG149" i="12"/>
  <c r="AH149" i="12"/>
  <c r="AI149" i="12"/>
  <c r="AJ149" i="12"/>
  <c r="AK149" i="12"/>
  <c r="AL149" i="12"/>
  <c r="AM149" i="12"/>
  <c r="AN149" i="12"/>
  <c r="AO149" i="12"/>
  <c r="AP149" i="12"/>
  <c r="AQ149" i="12"/>
  <c r="AR149" i="12"/>
  <c r="AS149" i="12"/>
  <c r="AT149" i="12"/>
  <c r="AU149" i="12"/>
  <c r="AV149" i="12"/>
  <c r="AW149" i="12"/>
  <c r="AX149" i="12"/>
  <c r="AY149" i="12"/>
  <c r="AZ149" i="12"/>
  <c r="BA149" i="12"/>
  <c r="BC149" i="12"/>
  <c r="BE149" i="12"/>
  <c r="BF149" i="12"/>
  <c r="BJ149" i="12"/>
  <c r="BK149" i="12"/>
  <c r="BL149" i="12"/>
  <c r="BM149" i="12"/>
  <c r="AB150" i="12"/>
  <c r="AC150" i="12"/>
  <c r="AD150" i="12"/>
  <c r="AE150" i="12"/>
  <c r="AG150" i="12"/>
  <c r="AH150" i="12"/>
  <c r="AI150" i="12"/>
  <c r="AJ150" i="12"/>
  <c r="AK150" i="12"/>
  <c r="AL150" i="12"/>
  <c r="AM150" i="12"/>
  <c r="AN150" i="12"/>
  <c r="AO150" i="12"/>
  <c r="AP150" i="12"/>
  <c r="AQ150" i="12"/>
  <c r="AR150" i="12"/>
  <c r="AS150" i="12"/>
  <c r="AT150" i="12"/>
  <c r="AU150" i="12"/>
  <c r="AV150" i="12"/>
  <c r="AW150" i="12"/>
  <c r="AX150" i="12"/>
  <c r="AY150" i="12"/>
  <c r="AZ150" i="12"/>
  <c r="BA150" i="12"/>
  <c r="BC150" i="12"/>
  <c r="BE150" i="12"/>
  <c r="BF150" i="12"/>
  <c r="BJ150" i="12"/>
  <c r="BK150" i="12"/>
  <c r="BL150" i="12"/>
  <c r="BM150" i="12"/>
  <c r="AB151" i="12"/>
  <c r="AC151" i="12"/>
  <c r="AD151" i="12"/>
  <c r="AE151" i="12"/>
  <c r="AG151" i="12"/>
  <c r="AH151" i="12"/>
  <c r="AI151" i="12"/>
  <c r="AJ151" i="12"/>
  <c r="AK151" i="12"/>
  <c r="AL151" i="12"/>
  <c r="AM151" i="12"/>
  <c r="AN151" i="12"/>
  <c r="AO151" i="12"/>
  <c r="AP151" i="12"/>
  <c r="AQ151" i="12"/>
  <c r="AR151" i="12"/>
  <c r="AS151" i="12"/>
  <c r="AT151" i="12"/>
  <c r="AU151" i="12"/>
  <c r="AV151" i="12"/>
  <c r="AW151" i="12"/>
  <c r="AX151" i="12"/>
  <c r="AY151" i="12"/>
  <c r="AZ151" i="12"/>
  <c r="BA151" i="12"/>
  <c r="BC151" i="12"/>
  <c r="BE151" i="12"/>
  <c r="BF151" i="12"/>
  <c r="BJ151" i="12"/>
  <c r="BK151" i="12"/>
  <c r="BL151" i="12"/>
  <c r="BM151" i="12"/>
  <c r="AB152" i="12"/>
  <c r="AC152" i="12"/>
  <c r="AD152" i="12"/>
  <c r="AE152" i="12"/>
  <c r="AG152" i="12"/>
  <c r="AH152" i="12"/>
  <c r="AI152" i="12"/>
  <c r="AJ152" i="12"/>
  <c r="AK152" i="12"/>
  <c r="AL152" i="12"/>
  <c r="AM152" i="12"/>
  <c r="AN152" i="12"/>
  <c r="AO152" i="12"/>
  <c r="AP152" i="12"/>
  <c r="AQ152" i="12"/>
  <c r="AR152" i="12"/>
  <c r="AS152" i="12"/>
  <c r="AT152" i="12"/>
  <c r="AU152" i="12"/>
  <c r="AV152" i="12"/>
  <c r="AW152" i="12"/>
  <c r="AX152" i="12"/>
  <c r="AY152" i="12"/>
  <c r="AZ152" i="12"/>
  <c r="BA152" i="12"/>
  <c r="BC152" i="12"/>
  <c r="BE152" i="12"/>
  <c r="BF152" i="12"/>
  <c r="BJ152" i="12"/>
  <c r="BK152" i="12"/>
  <c r="BL152" i="12"/>
  <c r="BM152" i="12"/>
  <c r="AB153" i="12"/>
  <c r="AC153" i="12"/>
  <c r="AD153" i="12"/>
  <c r="AE153" i="12"/>
  <c r="AG153" i="12"/>
  <c r="AH153" i="12"/>
  <c r="AI153" i="12"/>
  <c r="AJ153" i="12"/>
  <c r="AK153" i="12"/>
  <c r="AL153" i="12"/>
  <c r="AM153" i="12"/>
  <c r="AN153" i="12"/>
  <c r="AO153" i="12"/>
  <c r="AP153" i="12"/>
  <c r="AQ153" i="12"/>
  <c r="AR153" i="12"/>
  <c r="AS153" i="12"/>
  <c r="AT153" i="12"/>
  <c r="AU153" i="12"/>
  <c r="AV153" i="12"/>
  <c r="AW153" i="12"/>
  <c r="AX153" i="12"/>
  <c r="AY153" i="12"/>
  <c r="AZ153" i="12"/>
  <c r="BA153" i="12"/>
  <c r="BC153" i="12"/>
  <c r="BE153" i="12"/>
  <c r="BF153" i="12"/>
  <c r="BJ153" i="12"/>
  <c r="BK153" i="12"/>
  <c r="BL153" i="12"/>
  <c r="BM153" i="12"/>
  <c r="AB154" i="12"/>
  <c r="AC154" i="12"/>
  <c r="AD154" i="12"/>
  <c r="AE154" i="12"/>
  <c r="AG154" i="12"/>
  <c r="AH154" i="12"/>
  <c r="AI154" i="12"/>
  <c r="AJ154" i="12"/>
  <c r="AK154" i="12"/>
  <c r="AL154" i="12"/>
  <c r="AM154" i="12"/>
  <c r="AN154" i="12"/>
  <c r="AO154" i="12"/>
  <c r="AP154" i="12"/>
  <c r="AQ154" i="12"/>
  <c r="AR154" i="12"/>
  <c r="AS154" i="12"/>
  <c r="AT154" i="12"/>
  <c r="AU154" i="12"/>
  <c r="AV154" i="12"/>
  <c r="AW154" i="12"/>
  <c r="AX154" i="12"/>
  <c r="AY154" i="12"/>
  <c r="AZ154" i="12"/>
  <c r="BA154" i="12"/>
  <c r="BC154" i="12"/>
  <c r="BE154" i="12"/>
  <c r="BF154" i="12"/>
  <c r="BJ154" i="12"/>
  <c r="BK154" i="12"/>
  <c r="BL154" i="12"/>
  <c r="BM154" i="12"/>
  <c r="AB155" i="12"/>
  <c r="AC155" i="12"/>
  <c r="AD155" i="12"/>
  <c r="AE155" i="12"/>
  <c r="AG155" i="12"/>
  <c r="AH155" i="12"/>
  <c r="AI155" i="12"/>
  <c r="AJ155" i="12"/>
  <c r="AK155" i="12"/>
  <c r="AL155" i="12"/>
  <c r="AM155" i="12"/>
  <c r="AN155" i="12"/>
  <c r="AO155" i="12"/>
  <c r="AP155" i="12"/>
  <c r="AQ155" i="12"/>
  <c r="AR155" i="12"/>
  <c r="AS155" i="12"/>
  <c r="AT155" i="12"/>
  <c r="AU155" i="12"/>
  <c r="AV155" i="12"/>
  <c r="AW155" i="12"/>
  <c r="AX155" i="12"/>
  <c r="AY155" i="12"/>
  <c r="AZ155" i="12"/>
  <c r="BA155" i="12"/>
  <c r="BC155" i="12"/>
  <c r="BE155" i="12"/>
  <c r="BF155" i="12"/>
  <c r="BJ155" i="12"/>
  <c r="BK155" i="12"/>
  <c r="BL155" i="12"/>
  <c r="BM155" i="12"/>
  <c r="AB156" i="12"/>
  <c r="AC156" i="12"/>
  <c r="AD156" i="12"/>
  <c r="AE156" i="12"/>
  <c r="AG156" i="12"/>
  <c r="AH156" i="12"/>
  <c r="AI156" i="12"/>
  <c r="AJ156" i="12"/>
  <c r="AK156" i="12"/>
  <c r="AL156" i="12"/>
  <c r="AM156" i="12"/>
  <c r="AN156" i="12"/>
  <c r="AO156" i="12"/>
  <c r="AP156" i="12"/>
  <c r="AQ156" i="12"/>
  <c r="AR156" i="12"/>
  <c r="AS156" i="12"/>
  <c r="AT156" i="12"/>
  <c r="AU156" i="12"/>
  <c r="AV156" i="12"/>
  <c r="AW156" i="12"/>
  <c r="AX156" i="12"/>
  <c r="AY156" i="12"/>
  <c r="AZ156" i="12"/>
  <c r="BA156" i="12"/>
  <c r="BC156" i="12"/>
  <c r="BE156" i="12"/>
  <c r="BF156" i="12"/>
  <c r="BJ156" i="12"/>
  <c r="BK156" i="12"/>
  <c r="BL156" i="12"/>
  <c r="BM156" i="12"/>
  <c r="AB157" i="12"/>
  <c r="AC157" i="12"/>
  <c r="AD157" i="12"/>
  <c r="AE157" i="12"/>
  <c r="AG157" i="12"/>
  <c r="AH157" i="12"/>
  <c r="AI157" i="12"/>
  <c r="AJ157" i="12"/>
  <c r="AK157" i="12"/>
  <c r="AL157" i="12"/>
  <c r="AM157" i="12"/>
  <c r="AN157" i="12"/>
  <c r="AO157" i="12"/>
  <c r="AP157" i="12"/>
  <c r="AQ157" i="12"/>
  <c r="AR157" i="12"/>
  <c r="AS157" i="12"/>
  <c r="AT157" i="12"/>
  <c r="AU157" i="12"/>
  <c r="AV157" i="12"/>
  <c r="AW157" i="12"/>
  <c r="AX157" i="12"/>
  <c r="AY157" i="12"/>
  <c r="AZ157" i="12"/>
  <c r="BA157" i="12"/>
  <c r="BC157" i="12"/>
  <c r="BE157" i="12"/>
  <c r="BF157" i="12"/>
  <c r="BJ157" i="12"/>
  <c r="BK157" i="12"/>
  <c r="BL157" i="12"/>
  <c r="BM157" i="12"/>
  <c r="AB158" i="12"/>
  <c r="AC158" i="12"/>
  <c r="AD158" i="12"/>
  <c r="AE158" i="12"/>
  <c r="AG158" i="12"/>
  <c r="AH158" i="12"/>
  <c r="AI158" i="12"/>
  <c r="AJ158" i="12"/>
  <c r="AK158" i="12"/>
  <c r="AL158" i="12"/>
  <c r="AM158" i="12"/>
  <c r="AN158" i="12"/>
  <c r="AO158" i="12"/>
  <c r="AP158" i="12"/>
  <c r="AQ158" i="12"/>
  <c r="AR158" i="12"/>
  <c r="AS158" i="12"/>
  <c r="AT158" i="12"/>
  <c r="AU158" i="12"/>
  <c r="AV158" i="12"/>
  <c r="AW158" i="12"/>
  <c r="AX158" i="12"/>
  <c r="AY158" i="12"/>
  <c r="AZ158" i="12"/>
  <c r="BA158" i="12"/>
  <c r="BC158" i="12"/>
  <c r="BE158" i="12"/>
  <c r="BF158" i="12"/>
  <c r="BJ158" i="12"/>
  <c r="BK158" i="12"/>
  <c r="BL158" i="12"/>
  <c r="BM158" i="12"/>
  <c r="AB159" i="12"/>
  <c r="AC159" i="12"/>
  <c r="AD159" i="12"/>
  <c r="AE159" i="12"/>
  <c r="AG159" i="12"/>
  <c r="AH159" i="12"/>
  <c r="AI159" i="12"/>
  <c r="AJ159" i="12"/>
  <c r="AK159" i="12"/>
  <c r="AL159" i="12"/>
  <c r="AM159" i="12"/>
  <c r="AN159" i="12"/>
  <c r="AO159" i="12"/>
  <c r="AP159" i="12"/>
  <c r="AQ159" i="12"/>
  <c r="AR159" i="12"/>
  <c r="AS159" i="12"/>
  <c r="AT159" i="12"/>
  <c r="AU159" i="12"/>
  <c r="AV159" i="12"/>
  <c r="AW159" i="12"/>
  <c r="AX159" i="12"/>
  <c r="AY159" i="12"/>
  <c r="AZ159" i="12"/>
  <c r="BA159" i="12"/>
  <c r="BC159" i="12"/>
  <c r="BE159" i="12"/>
  <c r="BF159" i="12"/>
  <c r="BJ159" i="12"/>
  <c r="BK159" i="12"/>
  <c r="BL159" i="12"/>
  <c r="BM159" i="12"/>
  <c r="AB160" i="12"/>
  <c r="AC160" i="12"/>
  <c r="AD160" i="12"/>
  <c r="AE160" i="12"/>
  <c r="AG160" i="12"/>
  <c r="AH160" i="12"/>
  <c r="AI160" i="12"/>
  <c r="AJ160" i="12"/>
  <c r="AK160" i="12"/>
  <c r="AL160" i="12"/>
  <c r="AM160" i="12"/>
  <c r="AN160" i="12"/>
  <c r="AO160" i="12"/>
  <c r="AP160" i="12"/>
  <c r="AQ160" i="12"/>
  <c r="AR160" i="12"/>
  <c r="AS160" i="12"/>
  <c r="AT160" i="12"/>
  <c r="AU160" i="12"/>
  <c r="AV160" i="12"/>
  <c r="AW160" i="12"/>
  <c r="AX160" i="12"/>
  <c r="AY160" i="12"/>
  <c r="AZ160" i="12"/>
  <c r="BA160" i="12"/>
  <c r="BC160" i="12"/>
  <c r="BE160" i="12"/>
  <c r="BF160" i="12"/>
  <c r="BJ160" i="12"/>
  <c r="BK160" i="12"/>
  <c r="BL160" i="12"/>
  <c r="BM160" i="12"/>
  <c r="AB161" i="12"/>
  <c r="AC161" i="12"/>
  <c r="AD161" i="12"/>
  <c r="AE161" i="12"/>
  <c r="AG161" i="12"/>
  <c r="AH161" i="12"/>
  <c r="AI161" i="12"/>
  <c r="AJ161" i="12"/>
  <c r="AK161" i="12"/>
  <c r="AL161" i="12"/>
  <c r="AM161" i="12"/>
  <c r="AN161" i="12"/>
  <c r="AO161" i="12"/>
  <c r="AP161" i="12"/>
  <c r="AQ161" i="12"/>
  <c r="AR161" i="12"/>
  <c r="AS161" i="12"/>
  <c r="AT161" i="12"/>
  <c r="AU161" i="12"/>
  <c r="AV161" i="12"/>
  <c r="AW161" i="12"/>
  <c r="AX161" i="12"/>
  <c r="AY161" i="12"/>
  <c r="AZ161" i="12"/>
  <c r="BA161" i="12"/>
  <c r="BC161" i="12"/>
  <c r="BE161" i="12"/>
  <c r="BF161" i="12"/>
  <c r="BJ161" i="12"/>
  <c r="BK161" i="12"/>
  <c r="BL161" i="12"/>
  <c r="BM161" i="12"/>
  <c r="AB162" i="12"/>
  <c r="AC162" i="12"/>
  <c r="AD162" i="12"/>
  <c r="AE162" i="12"/>
  <c r="AG162" i="12"/>
  <c r="AH162" i="12"/>
  <c r="AI162" i="12"/>
  <c r="AJ162" i="12"/>
  <c r="AK162" i="12"/>
  <c r="AL162" i="12"/>
  <c r="AM162" i="12"/>
  <c r="AN162" i="12"/>
  <c r="AO162" i="12"/>
  <c r="AP162" i="12"/>
  <c r="AQ162" i="12"/>
  <c r="AR162" i="12"/>
  <c r="AS162" i="12"/>
  <c r="AT162" i="12"/>
  <c r="AU162" i="12"/>
  <c r="AV162" i="12"/>
  <c r="AW162" i="12"/>
  <c r="AX162" i="12"/>
  <c r="AY162" i="12"/>
  <c r="AZ162" i="12"/>
  <c r="BA162" i="12"/>
  <c r="BC162" i="12"/>
  <c r="BE162" i="12"/>
  <c r="BF162" i="12"/>
  <c r="BJ162" i="12"/>
  <c r="BK162" i="12"/>
  <c r="BL162" i="12"/>
  <c r="BM162" i="12"/>
  <c r="AB163" i="12"/>
  <c r="AC163" i="12"/>
  <c r="AD163" i="12"/>
  <c r="AE163" i="12"/>
  <c r="AG163" i="12"/>
  <c r="AH163" i="12"/>
  <c r="AI163" i="12"/>
  <c r="AJ163" i="12"/>
  <c r="AK163" i="12"/>
  <c r="AL163" i="12"/>
  <c r="AM163" i="12"/>
  <c r="AN163" i="12"/>
  <c r="AO163" i="12"/>
  <c r="AP163" i="12"/>
  <c r="AQ163" i="12"/>
  <c r="AR163" i="12"/>
  <c r="AS163" i="12"/>
  <c r="AT163" i="12"/>
  <c r="AU163" i="12"/>
  <c r="AV163" i="12"/>
  <c r="AW163" i="12"/>
  <c r="AX163" i="12"/>
  <c r="AY163" i="12"/>
  <c r="AZ163" i="12"/>
  <c r="BA163" i="12"/>
  <c r="BC163" i="12"/>
  <c r="BE163" i="12"/>
  <c r="BF163" i="12"/>
  <c r="BJ163" i="12"/>
  <c r="BK163" i="12"/>
  <c r="BL163" i="12"/>
  <c r="BM163" i="12"/>
  <c r="AB164" i="12"/>
  <c r="AC164" i="12"/>
  <c r="AD164" i="12"/>
  <c r="AE164" i="12"/>
  <c r="AG164" i="12"/>
  <c r="AH164" i="12"/>
  <c r="AI164" i="12"/>
  <c r="AJ164" i="12"/>
  <c r="AK164" i="12"/>
  <c r="AL164" i="12"/>
  <c r="AM164" i="12"/>
  <c r="AN164" i="12"/>
  <c r="AO164" i="12"/>
  <c r="AP164" i="12"/>
  <c r="AQ164" i="12"/>
  <c r="AR164" i="12"/>
  <c r="AS164" i="12"/>
  <c r="AT164" i="12"/>
  <c r="AU164" i="12"/>
  <c r="AV164" i="12"/>
  <c r="AW164" i="12"/>
  <c r="AX164" i="12"/>
  <c r="AY164" i="12"/>
  <c r="AZ164" i="12"/>
  <c r="BA164" i="12"/>
  <c r="BC164" i="12"/>
  <c r="BE164" i="12"/>
  <c r="BF164" i="12"/>
  <c r="BJ164" i="12"/>
  <c r="BK164" i="12"/>
  <c r="BL164" i="12"/>
  <c r="BM164" i="12"/>
  <c r="AB165" i="12"/>
  <c r="AC165" i="12"/>
  <c r="AD165" i="12"/>
  <c r="AE165" i="12"/>
  <c r="AG165" i="12"/>
  <c r="AH165" i="12"/>
  <c r="AI165" i="12"/>
  <c r="AJ165" i="12"/>
  <c r="AK165" i="12"/>
  <c r="AL165" i="12"/>
  <c r="AM165" i="12"/>
  <c r="AN165" i="12"/>
  <c r="AO165" i="12"/>
  <c r="AP165" i="12"/>
  <c r="AQ165" i="12"/>
  <c r="AR165" i="12"/>
  <c r="AS165" i="12"/>
  <c r="AT165" i="12"/>
  <c r="AU165" i="12"/>
  <c r="AV165" i="12"/>
  <c r="AW165" i="12"/>
  <c r="AX165" i="12"/>
  <c r="AY165" i="12"/>
  <c r="AZ165" i="12"/>
  <c r="BA165" i="12"/>
  <c r="BC165" i="12"/>
  <c r="BE165" i="12"/>
  <c r="BF165" i="12"/>
  <c r="BJ165" i="12"/>
  <c r="BK165" i="12"/>
  <c r="BL165" i="12"/>
  <c r="BM165" i="12"/>
  <c r="AB166" i="12"/>
  <c r="AC166" i="12"/>
  <c r="AD166" i="12"/>
  <c r="AE166" i="12"/>
  <c r="AG166" i="12"/>
  <c r="AH166" i="12"/>
  <c r="AI166" i="12"/>
  <c r="AJ166" i="12"/>
  <c r="AK166" i="12"/>
  <c r="AL166" i="12"/>
  <c r="AM166" i="12"/>
  <c r="AN166" i="12"/>
  <c r="AO166" i="12"/>
  <c r="AP166" i="12"/>
  <c r="AQ166" i="12"/>
  <c r="AR166" i="12"/>
  <c r="AS166" i="12"/>
  <c r="AT166" i="12"/>
  <c r="AU166" i="12"/>
  <c r="AV166" i="12"/>
  <c r="AW166" i="12"/>
  <c r="AX166" i="12"/>
  <c r="AY166" i="12"/>
  <c r="AZ166" i="12"/>
  <c r="BA166" i="12"/>
  <c r="BC166" i="12"/>
  <c r="BE166" i="12"/>
  <c r="BF166" i="12"/>
  <c r="BJ166" i="12"/>
  <c r="BK166" i="12"/>
  <c r="BL166" i="12"/>
  <c r="BM166" i="12"/>
  <c r="AB167" i="12"/>
  <c r="AC167" i="12"/>
  <c r="AD167" i="12"/>
  <c r="AE167" i="12"/>
  <c r="AG167" i="12"/>
  <c r="AH167" i="12"/>
  <c r="AI167" i="12"/>
  <c r="AJ167" i="12"/>
  <c r="AK167" i="12"/>
  <c r="AL167" i="12"/>
  <c r="AM167" i="12"/>
  <c r="AN167" i="12"/>
  <c r="AO167" i="12"/>
  <c r="AP167" i="12"/>
  <c r="AQ167" i="12"/>
  <c r="AR167" i="12"/>
  <c r="AS167" i="12"/>
  <c r="AT167" i="12"/>
  <c r="AU167" i="12"/>
  <c r="AV167" i="12"/>
  <c r="AW167" i="12"/>
  <c r="AX167" i="12"/>
  <c r="AY167" i="12"/>
  <c r="AZ167" i="12"/>
  <c r="BA167" i="12"/>
  <c r="BC167" i="12"/>
  <c r="BE167" i="12"/>
  <c r="BF167" i="12"/>
  <c r="BJ167" i="12"/>
  <c r="BK167" i="12"/>
  <c r="BL167" i="12"/>
  <c r="BM167" i="12"/>
  <c r="AB168" i="12"/>
  <c r="AC168" i="12"/>
  <c r="AD168" i="12"/>
  <c r="AE168" i="12"/>
  <c r="AG168" i="12"/>
  <c r="AH168" i="12"/>
  <c r="AI168" i="12"/>
  <c r="AJ168" i="12"/>
  <c r="AK168" i="12"/>
  <c r="AL168" i="12"/>
  <c r="AM168" i="12"/>
  <c r="AN168" i="12"/>
  <c r="AO168" i="12"/>
  <c r="AP168" i="12"/>
  <c r="AQ168" i="12"/>
  <c r="AR168" i="12"/>
  <c r="AS168" i="12"/>
  <c r="AT168" i="12"/>
  <c r="AU168" i="12"/>
  <c r="AV168" i="12"/>
  <c r="AW168" i="12"/>
  <c r="AX168" i="12"/>
  <c r="AY168" i="12"/>
  <c r="AZ168" i="12"/>
  <c r="BA168" i="12"/>
  <c r="BC168" i="12"/>
  <c r="BE168" i="12"/>
  <c r="BF168" i="12"/>
  <c r="BJ168" i="12"/>
  <c r="BK168" i="12"/>
  <c r="BL168" i="12"/>
  <c r="BM168" i="12"/>
  <c r="AB169" i="12"/>
  <c r="AC169" i="12"/>
  <c r="AD169" i="12"/>
  <c r="AE169" i="12"/>
  <c r="AG169" i="12"/>
  <c r="AH169" i="12"/>
  <c r="AI169" i="12"/>
  <c r="AJ169" i="12"/>
  <c r="AK169" i="12"/>
  <c r="AL169" i="12"/>
  <c r="AM169" i="12"/>
  <c r="AN169" i="12"/>
  <c r="AO169" i="12"/>
  <c r="AP169" i="12"/>
  <c r="AQ169" i="12"/>
  <c r="AR169" i="12"/>
  <c r="AS169" i="12"/>
  <c r="AT169" i="12"/>
  <c r="AU169" i="12"/>
  <c r="AV169" i="12"/>
  <c r="AW169" i="12"/>
  <c r="AX169" i="12"/>
  <c r="AY169" i="12"/>
  <c r="AZ169" i="12"/>
  <c r="BA169" i="12"/>
  <c r="BC169" i="12"/>
  <c r="BE169" i="12"/>
  <c r="BF169" i="12"/>
  <c r="BJ169" i="12"/>
  <c r="BK169" i="12"/>
  <c r="BL169" i="12"/>
  <c r="BM169" i="12"/>
  <c r="AB170" i="12"/>
  <c r="AC170" i="12"/>
  <c r="AD170" i="12"/>
  <c r="AE170" i="12"/>
  <c r="AG170" i="12"/>
  <c r="AH170" i="12"/>
  <c r="AI170" i="12"/>
  <c r="AJ170" i="12"/>
  <c r="AK170" i="12"/>
  <c r="AL170" i="12"/>
  <c r="AM170" i="12"/>
  <c r="AN170" i="12"/>
  <c r="AO170" i="12"/>
  <c r="AP170" i="12"/>
  <c r="AQ170" i="12"/>
  <c r="AR170" i="12"/>
  <c r="AS170" i="12"/>
  <c r="AT170" i="12"/>
  <c r="AU170" i="12"/>
  <c r="AV170" i="12"/>
  <c r="AW170" i="12"/>
  <c r="AX170" i="12"/>
  <c r="AY170" i="12"/>
  <c r="AZ170" i="12"/>
  <c r="BA170" i="12"/>
  <c r="BC170" i="12"/>
  <c r="BE170" i="12"/>
  <c r="BF170" i="12"/>
  <c r="BJ170" i="12"/>
  <c r="BK170" i="12"/>
  <c r="BL170" i="12"/>
  <c r="BM170" i="12"/>
  <c r="AB171" i="12"/>
  <c r="AC171" i="12"/>
  <c r="AD171" i="12"/>
  <c r="AE171" i="12"/>
  <c r="AG171" i="12"/>
  <c r="AH171" i="12"/>
  <c r="AI171" i="12"/>
  <c r="AJ171" i="12"/>
  <c r="AK171" i="12"/>
  <c r="AL171" i="12"/>
  <c r="AM171" i="12"/>
  <c r="AN171" i="12"/>
  <c r="AO171" i="12"/>
  <c r="AP171" i="12"/>
  <c r="AQ171" i="12"/>
  <c r="AR171" i="12"/>
  <c r="AS171" i="12"/>
  <c r="AT171" i="12"/>
  <c r="AU171" i="12"/>
  <c r="AV171" i="12"/>
  <c r="AW171" i="12"/>
  <c r="AX171" i="12"/>
  <c r="AY171" i="12"/>
  <c r="AZ171" i="12"/>
  <c r="BA171" i="12"/>
  <c r="BC171" i="12"/>
  <c r="BE171" i="12"/>
  <c r="BF171" i="12"/>
  <c r="BJ171" i="12"/>
  <c r="BK171" i="12"/>
  <c r="BL171" i="12"/>
  <c r="BM171" i="12"/>
  <c r="AB172" i="12"/>
  <c r="AC172" i="12"/>
  <c r="AD172" i="12"/>
  <c r="AE172" i="12"/>
  <c r="AG172" i="12"/>
  <c r="AH172" i="12"/>
  <c r="AI172" i="12"/>
  <c r="AJ172" i="12"/>
  <c r="AK172" i="12"/>
  <c r="AL172" i="12"/>
  <c r="AM172" i="12"/>
  <c r="AN172" i="12"/>
  <c r="AO172" i="12"/>
  <c r="AP172" i="12"/>
  <c r="AQ172" i="12"/>
  <c r="AR172" i="12"/>
  <c r="AS172" i="12"/>
  <c r="AT172" i="12"/>
  <c r="AU172" i="12"/>
  <c r="AV172" i="12"/>
  <c r="AW172" i="12"/>
  <c r="AX172" i="12"/>
  <c r="AY172" i="12"/>
  <c r="AZ172" i="12"/>
  <c r="BA172" i="12"/>
  <c r="BC172" i="12"/>
  <c r="BE172" i="12"/>
  <c r="BF172" i="12"/>
  <c r="BJ172" i="12"/>
  <c r="BK172" i="12"/>
  <c r="BL172" i="12"/>
  <c r="BM172" i="12"/>
  <c r="AB173" i="12"/>
  <c r="AC173" i="12"/>
  <c r="AD173" i="12"/>
  <c r="AE173" i="12"/>
  <c r="AG173" i="12"/>
  <c r="AH173" i="12"/>
  <c r="AI173" i="12"/>
  <c r="AJ173" i="12"/>
  <c r="AK173" i="12"/>
  <c r="AL173" i="12"/>
  <c r="AM173" i="12"/>
  <c r="AN173" i="12"/>
  <c r="AO173" i="12"/>
  <c r="AP173" i="12"/>
  <c r="AQ173" i="12"/>
  <c r="AR173" i="12"/>
  <c r="AS173" i="12"/>
  <c r="AT173" i="12"/>
  <c r="AU173" i="12"/>
  <c r="AV173" i="12"/>
  <c r="AW173" i="12"/>
  <c r="AX173" i="12"/>
  <c r="AY173" i="12"/>
  <c r="AZ173" i="12"/>
  <c r="BA173" i="12"/>
  <c r="BC173" i="12"/>
  <c r="BE173" i="12"/>
  <c r="BF173" i="12"/>
  <c r="BJ173" i="12"/>
  <c r="BK173" i="12"/>
  <c r="BL173" i="12"/>
  <c r="BM173" i="12"/>
  <c r="AB174" i="12"/>
  <c r="AC174" i="12"/>
  <c r="AD174" i="12"/>
  <c r="AE174" i="12"/>
  <c r="AG174" i="12"/>
  <c r="AH174" i="12"/>
  <c r="AI174" i="12"/>
  <c r="AJ174" i="12"/>
  <c r="AK174" i="12"/>
  <c r="AL174" i="12"/>
  <c r="AM174" i="12"/>
  <c r="AN174" i="12"/>
  <c r="AO174" i="12"/>
  <c r="AP174" i="12"/>
  <c r="AQ174" i="12"/>
  <c r="AR174" i="12"/>
  <c r="AS174" i="12"/>
  <c r="AT174" i="12"/>
  <c r="AU174" i="12"/>
  <c r="AV174" i="12"/>
  <c r="AW174" i="12"/>
  <c r="AX174" i="12"/>
  <c r="AY174" i="12"/>
  <c r="AZ174" i="12"/>
  <c r="BA174" i="12"/>
  <c r="BC174" i="12"/>
  <c r="BE174" i="12"/>
  <c r="BF174" i="12"/>
  <c r="BJ174" i="12"/>
  <c r="BK174" i="12"/>
  <c r="BL174" i="12"/>
  <c r="BM174" i="12"/>
  <c r="AB175" i="12"/>
  <c r="AC175" i="12"/>
  <c r="AD175" i="12"/>
  <c r="AE175" i="12"/>
  <c r="AG175" i="12"/>
  <c r="AH175" i="12"/>
  <c r="AI175" i="12"/>
  <c r="AJ175" i="12"/>
  <c r="AK175" i="12"/>
  <c r="AL175" i="12"/>
  <c r="AM175" i="12"/>
  <c r="AN175" i="12"/>
  <c r="AO175" i="12"/>
  <c r="AP175" i="12"/>
  <c r="AQ175" i="12"/>
  <c r="AR175" i="12"/>
  <c r="AS175" i="12"/>
  <c r="AT175" i="12"/>
  <c r="AU175" i="12"/>
  <c r="AV175" i="12"/>
  <c r="AW175" i="12"/>
  <c r="AX175" i="12"/>
  <c r="AY175" i="12"/>
  <c r="AZ175" i="12"/>
  <c r="BA175" i="12"/>
  <c r="BC175" i="12"/>
  <c r="BE175" i="12"/>
  <c r="BF175" i="12"/>
  <c r="BJ175" i="12"/>
  <c r="BK175" i="12"/>
  <c r="BL175" i="12"/>
  <c r="BM175" i="12"/>
  <c r="AB176" i="12"/>
  <c r="AC176" i="12"/>
  <c r="AD176" i="12"/>
  <c r="AE176" i="12"/>
  <c r="AG176" i="12"/>
  <c r="AH176" i="12"/>
  <c r="AI176" i="12"/>
  <c r="AJ176" i="12"/>
  <c r="AK176" i="12"/>
  <c r="AL176" i="12"/>
  <c r="AM176" i="12"/>
  <c r="AN176" i="12"/>
  <c r="AO176" i="12"/>
  <c r="AP176" i="12"/>
  <c r="AQ176" i="12"/>
  <c r="AR176" i="12"/>
  <c r="AS176" i="12"/>
  <c r="AT176" i="12"/>
  <c r="AU176" i="12"/>
  <c r="AV176" i="12"/>
  <c r="AW176" i="12"/>
  <c r="AX176" i="12"/>
  <c r="AY176" i="12"/>
  <c r="AZ176" i="12"/>
  <c r="BA176" i="12"/>
  <c r="BC176" i="12"/>
  <c r="BE176" i="12"/>
  <c r="BF176" i="12"/>
  <c r="BJ176" i="12"/>
  <c r="BK176" i="12"/>
  <c r="BL176" i="12"/>
  <c r="BM176" i="12"/>
  <c r="AB177" i="12"/>
  <c r="AC177" i="12"/>
  <c r="AD177" i="12"/>
  <c r="AE177" i="12"/>
  <c r="AG177" i="12"/>
  <c r="AH177" i="12"/>
  <c r="AI177" i="12"/>
  <c r="AJ177" i="12"/>
  <c r="AK177" i="12"/>
  <c r="AL177" i="12"/>
  <c r="AM177" i="12"/>
  <c r="AN177" i="12"/>
  <c r="AO177" i="12"/>
  <c r="AP177" i="12"/>
  <c r="AQ177" i="12"/>
  <c r="AR177" i="12"/>
  <c r="AS177" i="12"/>
  <c r="AT177" i="12"/>
  <c r="AU177" i="12"/>
  <c r="AV177" i="12"/>
  <c r="AW177" i="12"/>
  <c r="AX177" i="12"/>
  <c r="AY177" i="12"/>
  <c r="AZ177" i="12"/>
  <c r="BA177" i="12"/>
  <c r="BC177" i="12"/>
  <c r="BE177" i="12"/>
  <c r="BF177" i="12"/>
  <c r="BJ177" i="12"/>
  <c r="BK177" i="12"/>
  <c r="BL177" i="12"/>
  <c r="BM177" i="12"/>
  <c r="AB178" i="12"/>
  <c r="AC178" i="12"/>
  <c r="AD178" i="12"/>
  <c r="AE178" i="12"/>
  <c r="AG178" i="12"/>
  <c r="AH178" i="12"/>
  <c r="AI178" i="12"/>
  <c r="AJ178" i="12"/>
  <c r="AK178" i="12"/>
  <c r="AL178" i="12"/>
  <c r="AM178" i="12"/>
  <c r="AN178" i="12"/>
  <c r="AO178" i="12"/>
  <c r="AP178" i="12"/>
  <c r="AQ178" i="12"/>
  <c r="AR178" i="12"/>
  <c r="AS178" i="12"/>
  <c r="AT178" i="12"/>
  <c r="AU178" i="12"/>
  <c r="AV178" i="12"/>
  <c r="AW178" i="12"/>
  <c r="AX178" i="12"/>
  <c r="AY178" i="12"/>
  <c r="AZ178" i="12"/>
  <c r="BA178" i="12"/>
  <c r="BC178" i="12"/>
  <c r="BE178" i="12"/>
  <c r="BF178" i="12"/>
  <c r="BJ178" i="12"/>
  <c r="BK178" i="12"/>
  <c r="BL178" i="12"/>
  <c r="BM178" i="12"/>
  <c r="AB179" i="12"/>
  <c r="AC179" i="12"/>
  <c r="AD179" i="12"/>
  <c r="AE179" i="12"/>
  <c r="AG179" i="12"/>
  <c r="AH179" i="12"/>
  <c r="AI179" i="12"/>
  <c r="AJ179" i="12"/>
  <c r="AK179" i="12"/>
  <c r="AL179" i="12"/>
  <c r="AM179" i="12"/>
  <c r="AN179" i="12"/>
  <c r="AO179" i="12"/>
  <c r="AP179" i="12"/>
  <c r="AQ179" i="12"/>
  <c r="AR179" i="12"/>
  <c r="AS179" i="12"/>
  <c r="AT179" i="12"/>
  <c r="AU179" i="12"/>
  <c r="AV179" i="12"/>
  <c r="AW179" i="12"/>
  <c r="AX179" i="12"/>
  <c r="AY179" i="12"/>
  <c r="AZ179" i="12"/>
  <c r="BA179" i="12"/>
  <c r="BC179" i="12"/>
  <c r="BE179" i="12"/>
  <c r="BF179" i="12"/>
  <c r="BJ179" i="12"/>
  <c r="BK179" i="12"/>
  <c r="BL179" i="12"/>
  <c r="BM179" i="12"/>
  <c r="AB180" i="12"/>
  <c r="AC180" i="12"/>
  <c r="AD180" i="12"/>
  <c r="AE180" i="12"/>
  <c r="AG180" i="12"/>
  <c r="AH180" i="12"/>
  <c r="AI180" i="12"/>
  <c r="AJ180" i="12"/>
  <c r="AK180" i="12"/>
  <c r="AL180" i="12"/>
  <c r="AM180" i="12"/>
  <c r="AN180" i="12"/>
  <c r="AO180" i="12"/>
  <c r="AP180" i="12"/>
  <c r="AQ180" i="12"/>
  <c r="AR180" i="12"/>
  <c r="AS180" i="12"/>
  <c r="AT180" i="12"/>
  <c r="AU180" i="12"/>
  <c r="AV180" i="12"/>
  <c r="AW180" i="12"/>
  <c r="AX180" i="12"/>
  <c r="AY180" i="12"/>
  <c r="AZ180" i="12"/>
  <c r="BA180" i="12"/>
  <c r="BC180" i="12"/>
  <c r="BE180" i="12"/>
  <c r="BF180" i="12"/>
  <c r="BJ180" i="12"/>
  <c r="BK180" i="12"/>
  <c r="BL180" i="12"/>
  <c r="BM180" i="12"/>
  <c r="AB181" i="12"/>
  <c r="AC181" i="12"/>
  <c r="AD181" i="12"/>
  <c r="AE181" i="12"/>
  <c r="AG181" i="12"/>
  <c r="AH181" i="12"/>
  <c r="AI181" i="12"/>
  <c r="AJ181" i="12"/>
  <c r="AK181" i="12"/>
  <c r="AL181" i="12"/>
  <c r="AM181" i="12"/>
  <c r="AN181" i="12"/>
  <c r="AO181" i="12"/>
  <c r="AP181" i="12"/>
  <c r="AQ181" i="12"/>
  <c r="AR181" i="12"/>
  <c r="AS181" i="12"/>
  <c r="AT181" i="12"/>
  <c r="AU181" i="12"/>
  <c r="AV181" i="12"/>
  <c r="AW181" i="12"/>
  <c r="AX181" i="12"/>
  <c r="AY181" i="12"/>
  <c r="AZ181" i="12"/>
  <c r="BA181" i="12"/>
  <c r="BC181" i="12"/>
  <c r="BE181" i="12"/>
  <c r="BF181" i="12"/>
  <c r="BJ181" i="12"/>
  <c r="BK181" i="12"/>
  <c r="BL181" i="12"/>
  <c r="BM181" i="12"/>
  <c r="AB182" i="12"/>
  <c r="AC182" i="12"/>
  <c r="AD182" i="12"/>
  <c r="AE182" i="12"/>
  <c r="AG182" i="12"/>
  <c r="AH182" i="12"/>
  <c r="AI182" i="12"/>
  <c r="AJ182" i="12"/>
  <c r="AK182" i="12"/>
  <c r="AL182" i="12"/>
  <c r="AM182" i="12"/>
  <c r="AN182" i="12"/>
  <c r="AO182" i="12"/>
  <c r="AP182" i="12"/>
  <c r="AQ182" i="12"/>
  <c r="AR182" i="12"/>
  <c r="AS182" i="12"/>
  <c r="AT182" i="12"/>
  <c r="AU182" i="12"/>
  <c r="AV182" i="12"/>
  <c r="AW182" i="12"/>
  <c r="AX182" i="12"/>
  <c r="AY182" i="12"/>
  <c r="AZ182" i="12"/>
  <c r="BA182" i="12"/>
  <c r="BC182" i="12"/>
  <c r="BE182" i="12"/>
  <c r="BF182" i="12"/>
  <c r="BJ182" i="12"/>
  <c r="BK182" i="12"/>
  <c r="BL182" i="12"/>
  <c r="BM182" i="12"/>
  <c r="AB183" i="12"/>
  <c r="AC183" i="12"/>
  <c r="AD183" i="12"/>
  <c r="AE183" i="12"/>
  <c r="AG183" i="12"/>
  <c r="AH183" i="12"/>
  <c r="AI183" i="12"/>
  <c r="AJ183" i="12"/>
  <c r="AK183" i="12"/>
  <c r="AL183" i="12"/>
  <c r="AM183" i="12"/>
  <c r="AN183" i="12"/>
  <c r="AO183" i="12"/>
  <c r="AP183" i="12"/>
  <c r="AQ183" i="12"/>
  <c r="AR183" i="12"/>
  <c r="AS183" i="12"/>
  <c r="AT183" i="12"/>
  <c r="AU183" i="12"/>
  <c r="AV183" i="12"/>
  <c r="AW183" i="12"/>
  <c r="AX183" i="12"/>
  <c r="AY183" i="12"/>
  <c r="AZ183" i="12"/>
  <c r="BA183" i="12"/>
  <c r="BC183" i="12"/>
  <c r="BE183" i="12"/>
  <c r="BF183" i="12"/>
  <c r="BJ183" i="12"/>
  <c r="BK183" i="12"/>
  <c r="BL183" i="12"/>
  <c r="BM183" i="12"/>
  <c r="AB184" i="12"/>
  <c r="AC184" i="12"/>
  <c r="AD184" i="12"/>
  <c r="AE184" i="12"/>
  <c r="AG184" i="12"/>
  <c r="AH184" i="12"/>
  <c r="AI184" i="12"/>
  <c r="AJ184" i="12"/>
  <c r="AK184" i="12"/>
  <c r="AL184" i="12"/>
  <c r="AM184" i="12"/>
  <c r="AN184" i="12"/>
  <c r="AO184" i="12"/>
  <c r="AP184" i="12"/>
  <c r="AQ184" i="12"/>
  <c r="AR184" i="12"/>
  <c r="AS184" i="12"/>
  <c r="AT184" i="12"/>
  <c r="AU184" i="12"/>
  <c r="AV184" i="12"/>
  <c r="AW184" i="12"/>
  <c r="AX184" i="12"/>
  <c r="AY184" i="12"/>
  <c r="AZ184" i="12"/>
  <c r="BA184" i="12"/>
  <c r="BC184" i="12"/>
  <c r="BE184" i="12"/>
  <c r="BF184" i="12"/>
  <c r="BJ184" i="12"/>
  <c r="BK184" i="12"/>
  <c r="BL184" i="12"/>
  <c r="BM184" i="12"/>
  <c r="AB185" i="12"/>
  <c r="AC185" i="12"/>
  <c r="AD185" i="12"/>
  <c r="AE185" i="12"/>
  <c r="AG185" i="12"/>
  <c r="AH185" i="12"/>
  <c r="AI185" i="12"/>
  <c r="AJ185" i="12"/>
  <c r="AK185" i="12"/>
  <c r="AL185" i="12"/>
  <c r="AM185" i="12"/>
  <c r="AN185" i="12"/>
  <c r="AO185" i="12"/>
  <c r="AP185" i="12"/>
  <c r="AQ185" i="12"/>
  <c r="AR185" i="12"/>
  <c r="AS185" i="12"/>
  <c r="AT185" i="12"/>
  <c r="AU185" i="12"/>
  <c r="AV185" i="12"/>
  <c r="AW185" i="12"/>
  <c r="AX185" i="12"/>
  <c r="AY185" i="12"/>
  <c r="AZ185" i="12"/>
  <c r="BA185" i="12"/>
  <c r="BC185" i="12"/>
  <c r="BE185" i="12"/>
  <c r="BF185" i="12"/>
  <c r="BJ185" i="12"/>
  <c r="BK185" i="12"/>
  <c r="BL185" i="12"/>
  <c r="BM185" i="12"/>
  <c r="AB186" i="12"/>
  <c r="AC186" i="12"/>
  <c r="AD186" i="12"/>
  <c r="AE186" i="12"/>
  <c r="AG186" i="12"/>
  <c r="AH186" i="12"/>
  <c r="AI186" i="12"/>
  <c r="AJ186" i="12"/>
  <c r="AK186" i="12"/>
  <c r="AL186" i="12"/>
  <c r="AM186" i="12"/>
  <c r="AN186" i="12"/>
  <c r="AO186" i="12"/>
  <c r="AP186" i="12"/>
  <c r="AQ186" i="12"/>
  <c r="AR186" i="12"/>
  <c r="AS186" i="12"/>
  <c r="AT186" i="12"/>
  <c r="AU186" i="12"/>
  <c r="AV186" i="12"/>
  <c r="AW186" i="12"/>
  <c r="AX186" i="12"/>
  <c r="AY186" i="12"/>
  <c r="AZ186" i="12"/>
  <c r="BA186" i="12"/>
  <c r="BC186" i="12"/>
  <c r="BE186" i="12"/>
  <c r="BF186" i="12"/>
  <c r="BJ186" i="12"/>
  <c r="BK186" i="12"/>
  <c r="BL186" i="12"/>
  <c r="BM186" i="12"/>
  <c r="AB187" i="12"/>
  <c r="AC187" i="12"/>
  <c r="AD187" i="12"/>
  <c r="AE187" i="12"/>
  <c r="AG187" i="12"/>
  <c r="AH187" i="12"/>
  <c r="AI187" i="12"/>
  <c r="AJ187" i="12"/>
  <c r="AK187" i="12"/>
  <c r="AL187" i="12"/>
  <c r="AM187" i="12"/>
  <c r="AN187" i="12"/>
  <c r="AO187" i="12"/>
  <c r="AP187" i="12"/>
  <c r="AQ187" i="12"/>
  <c r="AR187" i="12"/>
  <c r="AS187" i="12"/>
  <c r="AT187" i="12"/>
  <c r="AU187" i="12"/>
  <c r="AV187" i="12"/>
  <c r="AW187" i="12"/>
  <c r="AX187" i="12"/>
  <c r="AY187" i="12"/>
  <c r="AZ187" i="12"/>
  <c r="BA187" i="12"/>
  <c r="BC187" i="12"/>
  <c r="BE187" i="12"/>
  <c r="BF187" i="12"/>
  <c r="BJ187" i="12"/>
  <c r="BK187" i="12"/>
  <c r="BL187" i="12"/>
  <c r="BM187" i="12"/>
  <c r="AB188" i="12"/>
  <c r="AC188" i="12"/>
  <c r="AD188" i="12"/>
  <c r="AE188" i="12"/>
  <c r="AG188" i="12"/>
  <c r="AH188" i="12"/>
  <c r="AI188" i="12"/>
  <c r="AJ188" i="12"/>
  <c r="AK188" i="12"/>
  <c r="AL188" i="12"/>
  <c r="AM188" i="12"/>
  <c r="AN188" i="12"/>
  <c r="AO188" i="12"/>
  <c r="AP188" i="12"/>
  <c r="AQ188" i="12"/>
  <c r="AR188" i="12"/>
  <c r="AS188" i="12"/>
  <c r="AT188" i="12"/>
  <c r="AU188" i="12"/>
  <c r="AV188" i="12"/>
  <c r="AW188" i="12"/>
  <c r="AX188" i="12"/>
  <c r="AY188" i="12"/>
  <c r="AZ188" i="12"/>
  <c r="BA188" i="12"/>
  <c r="BC188" i="12"/>
  <c r="BE188" i="12"/>
  <c r="BF188" i="12"/>
  <c r="BJ188" i="12"/>
  <c r="BK188" i="12"/>
  <c r="BL188" i="12"/>
  <c r="BM188" i="12"/>
  <c r="AB189" i="12"/>
  <c r="AC189" i="12"/>
  <c r="AD189" i="12"/>
  <c r="AE189" i="12"/>
  <c r="AG189" i="12"/>
  <c r="AH189" i="12"/>
  <c r="AI189" i="12"/>
  <c r="AJ189" i="12"/>
  <c r="AK189" i="12"/>
  <c r="AL189" i="12"/>
  <c r="AM189" i="12"/>
  <c r="AN189" i="12"/>
  <c r="AO189" i="12"/>
  <c r="AP189" i="12"/>
  <c r="AQ189" i="12"/>
  <c r="AR189" i="12"/>
  <c r="AS189" i="12"/>
  <c r="AT189" i="12"/>
  <c r="AU189" i="12"/>
  <c r="AV189" i="12"/>
  <c r="AW189" i="12"/>
  <c r="AX189" i="12"/>
  <c r="AY189" i="12"/>
  <c r="AZ189" i="12"/>
  <c r="BA189" i="12"/>
  <c r="BC189" i="12"/>
  <c r="BE189" i="12"/>
  <c r="BF189" i="12"/>
  <c r="BJ189" i="12"/>
  <c r="BK189" i="12"/>
  <c r="BL189" i="12"/>
  <c r="BM189" i="12"/>
  <c r="AB190" i="12"/>
  <c r="AC190" i="12"/>
  <c r="AD190" i="12"/>
  <c r="AE190" i="12"/>
  <c r="AG190" i="12"/>
  <c r="AH190" i="12"/>
  <c r="AI190" i="12"/>
  <c r="AJ190" i="12"/>
  <c r="AK190" i="12"/>
  <c r="AL190" i="12"/>
  <c r="AM190" i="12"/>
  <c r="AN190" i="12"/>
  <c r="AO190" i="12"/>
  <c r="AP190" i="12"/>
  <c r="AQ190" i="12"/>
  <c r="AR190" i="12"/>
  <c r="AS190" i="12"/>
  <c r="AT190" i="12"/>
  <c r="AU190" i="12"/>
  <c r="AV190" i="12"/>
  <c r="AW190" i="12"/>
  <c r="AX190" i="12"/>
  <c r="AY190" i="12"/>
  <c r="AZ190" i="12"/>
  <c r="BA190" i="12"/>
  <c r="BC190" i="12"/>
  <c r="BE190" i="12"/>
  <c r="BF190" i="12"/>
  <c r="BJ190" i="12"/>
  <c r="BK190" i="12"/>
  <c r="BL190" i="12"/>
  <c r="BM190" i="12"/>
  <c r="AB191" i="12"/>
  <c r="AC191" i="12"/>
  <c r="AD191" i="12"/>
  <c r="AE191" i="12"/>
  <c r="AG191" i="12"/>
  <c r="AH191" i="12"/>
  <c r="AI191" i="12"/>
  <c r="AJ191" i="12"/>
  <c r="AK191" i="12"/>
  <c r="AL191" i="12"/>
  <c r="AM191" i="12"/>
  <c r="AN191" i="12"/>
  <c r="AO191" i="12"/>
  <c r="AP191" i="12"/>
  <c r="AQ191" i="12"/>
  <c r="AR191" i="12"/>
  <c r="AS191" i="12"/>
  <c r="AT191" i="12"/>
  <c r="AU191" i="12"/>
  <c r="AV191" i="12"/>
  <c r="AW191" i="12"/>
  <c r="AX191" i="12"/>
  <c r="AY191" i="12"/>
  <c r="AZ191" i="12"/>
  <c r="BA191" i="12"/>
  <c r="BC191" i="12"/>
  <c r="BE191" i="12"/>
  <c r="BF191" i="12"/>
  <c r="BJ191" i="12"/>
  <c r="BK191" i="12"/>
  <c r="BL191" i="12"/>
  <c r="BM191" i="12"/>
  <c r="AB192" i="12"/>
  <c r="AC192" i="12"/>
  <c r="AD192" i="12"/>
  <c r="AE192" i="12"/>
  <c r="AG192" i="12"/>
  <c r="AH192" i="12"/>
  <c r="AI192" i="12"/>
  <c r="AJ192" i="12"/>
  <c r="AK192" i="12"/>
  <c r="AL192" i="12"/>
  <c r="AM192" i="12"/>
  <c r="AN192" i="12"/>
  <c r="AO192" i="12"/>
  <c r="AP192" i="12"/>
  <c r="AQ192" i="12"/>
  <c r="AR192" i="12"/>
  <c r="AS192" i="12"/>
  <c r="AT192" i="12"/>
  <c r="AU192" i="12"/>
  <c r="AV192" i="12"/>
  <c r="AW192" i="12"/>
  <c r="AX192" i="12"/>
  <c r="AY192" i="12"/>
  <c r="AZ192" i="12"/>
  <c r="BA192" i="12"/>
  <c r="BC192" i="12"/>
  <c r="BE192" i="12"/>
  <c r="BF192" i="12"/>
  <c r="BJ192" i="12"/>
  <c r="BK192" i="12"/>
  <c r="BL192" i="12"/>
  <c r="BM192" i="12"/>
  <c r="AB193" i="12"/>
  <c r="AC193" i="12"/>
  <c r="AD193" i="12"/>
  <c r="AE193" i="12"/>
  <c r="AG193" i="12"/>
  <c r="AH193" i="12"/>
  <c r="AI193" i="12"/>
  <c r="AJ193" i="12"/>
  <c r="AK193" i="12"/>
  <c r="AL193" i="12"/>
  <c r="AM193" i="12"/>
  <c r="AN193" i="12"/>
  <c r="AO193" i="12"/>
  <c r="AP193" i="12"/>
  <c r="AQ193" i="12"/>
  <c r="AR193" i="12"/>
  <c r="AS193" i="12"/>
  <c r="AT193" i="12"/>
  <c r="AU193" i="12"/>
  <c r="AV193" i="12"/>
  <c r="AW193" i="12"/>
  <c r="AX193" i="12"/>
  <c r="AY193" i="12"/>
  <c r="AZ193" i="12"/>
  <c r="BA193" i="12"/>
  <c r="BC193" i="12"/>
  <c r="BE193" i="12"/>
  <c r="BF193" i="12"/>
  <c r="BJ193" i="12"/>
  <c r="BK193" i="12"/>
  <c r="BL193" i="12"/>
  <c r="BM193" i="12"/>
  <c r="AB194" i="12"/>
  <c r="AC194" i="12"/>
  <c r="AD194" i="12"/>
  <c r="AE194" i="12"/>
  <c r="AG194" i="12"/>
  <c r="AH194" i="12"/>
  <c r="AI194" i="12"/>
  <c r="AJ194" i="12"/>
  <c r="AK194" i="12"/>
  <c r="AL194" i="12"/>
  <c r="AM194" i="12"/>
  <c r="AN194" i="12"/>
  <c r="AO194" i="12"/>
  <c r="AP194" i="12"/>
  <c r="AQ194" i="12"/>
  <c r="AR194" i="12"/>
  <c r="AS194" i="12"/>
  <c r="AT194" i="12"/>
  <c r="AU194" i="12"/>
  <c r="AV194" i="12"/>
  <c r="AW194" i="12"/>
  <c r="AX194" i="12"/>
  <c r="AY194" i="12"/>
  <c r="AZ194" i="12"/>
  <c r="BA194" i="12"/>
  <c r="BC194" i="12"/>
  <c r="BE194" i="12"/>
  <c r="BF194" i="12"/>
  <c r="BJ194" i="12"/>
  <c r="BK194" i="12"/>
  <c r="BL194" i="12"/>
  <c r="BM194" i="12"/>
  <c r="AB195" i="12"/>
  <c r="AC195" i="12"/>
  <c r="AD195" i="12"/>
  <c r="AE195" i="12"/>
  <c r="AG195" i="12"/>
  <c r="AH195" i="12"/>
  <c r="AI195" i="12"/>
  <c r="AJ195" i="12"/>
  <c r="AK195" i="12"/>
  <c r="AL195" i="12"/>
  <c r="AM195" i="12"/>
  <c r="AN195" i="12"/>
  <c r="AO195" i="12"/>
  <c r="AP195" i="12"/>
  <c r="AQ195" i="12"/>
  <c r="AR195" i="12"/>
  <c r="AS195" i="12"/>
  <c r="AT195" i="12"/>
  <c r="AU195" i="12"/>
  <c r="AV195" i="12"/>
  <c r="AW195" i="12"/>
  <c r="AX195" i="12"/>
  <c r="AY195" i="12"/>
  <c r="AZ195" i="12"/>
  <c r="BA195" i="12"/>
  <c r="BC195" i="12"/>
  <c r="BE195" i="12"/>
  <c r="BF195" i="12"/>
  <c r="BJ195" i="12"/>
  <c r="BK195" i="12"/>
  <c r="BL195" i="12"/>
  <c r="BM195" i="12"/>
  <c r="AB196" i="12"/>
  <c r="AC196" i="12"/>
  <c r="AD196" i="12"/>
  <c r="AE196" i="12"/>
  <c r="AG196" i="12"/>
  <c r="AH196" i="12"/>
  <c r="AI196" i="12"/>
  <c r="AJ196" i="12"/>
  <c r="AK196" i="12"/>
  <c r="AL196" i="12"/>
  <c r="AM196" i="12"/>
  <c r="AN196" i="12"/>
  <c r="AO196" i="12"/>
  <c r="AP196" i="12"/>
  <c r="AQ196" i="12"/>
  <c r="AR196" i="12"/>
  <c r="AS196" i="12"/>
  <c r="AT196" i="12"/>
  <c r="AU196" i="12"/>
  <c r="AV196" i="12"/>
  <c r="AW196" i="12"/>
  <c r="AX196" i="12"/>
  <c r="AY196" i="12"/>
  <c r="AZ196" i="12"/>
  <c r="BA196" i="12"/>
  <c r="BC196" i="12"/>
  <c r="BE196" i="12"/>
  <c r="BF196" i="12"/>
  <c r="BJ196" i="12"/>
  <c r="BK196" i="12"/>
  <c r="BL196" i="12"/>
  <c r="BM196" i="12"/>
  <c r="AB197" i="12"/>
  <c r="AC197" i="12"/>
  <c r="AD197" i="12"/>
  <c r="AE197" i="12"/>
  <c r="AG197" i="12"/>
  <c r="AH197" i="12"/>
  <c r="AI197" i="12"/>
  <c r="AJ197" i="12"/>
  <c r="AK197" i="12"/>
  <c r="AL197" i="12"/>
  <c r="AM197" i="12"/>
  <c r="AN197" i="12"/>
  <c r="AO197" i="12"/>
  <c r="AP197" i="12"/>
  <c r="AQ197" i="12"/>
  <c r="AR197" i="12"/>
  <c r="AS197" i="12"/>
  <c r="AT197" i="12"/>
  <c r="AU197" i="12"/>
  <c r="AV197" i="12"/>
  <c r="AW197" i="12"/>
  <c r="AX197" i="12"/>
  <c r="AY197" i="12"/>
  <c r="AZ197" i="12"/>
  <c r="BA197" i="12"/>
  <c r="BC197" i="12"/>
  <c r="BE197" i="12"/>
  <c r="BF197" i="12"/>
  <c r="BJ197" i="12"/>
  <c r="BK197" i="12"/>
  <c r="BL197" i="12"/>
  <c r="BM197" i="12"/>
  <c r="AB198" i="12"/>
  <c r="AC198" i="12"/>
  <c r="AD198" i="12"/>
  <c r="AE198" i="12"/>
  <c r="AG198" i="12"/>
  <c r="AH198" i="12"/>
  <c r="AI198" i="12"/>
  <c r="AJ198" i="12"/>
  <c r="AK198" i="12"/>
  <c r="AL198" i="12"/>
  <c r="AM198" i="12"/>
  <c r="AN198" i="12"/>
  <c r="AO198" i="12"/>
  <c r="AP198" i="12"/>
  <c r="AQ198" i="12"/>
  <c r="AR198" i="12"/>
  <c r="AS198" i="12"/>
  <c r="AT198" i="12"/>
  <c r="AU198" i="12"/>
  <c r="AV198" i="12"/>
  <c r="AW198" i="12"/>
  <c r="AX198" i="12"/>
  <c r="AY198" i="12"/>
  <c r="AZ198" i="12"/>
  <c r="BA198" i="12"/>
  <c r="BC198" i="12"/>
  <c r="BE198" i="12"/>
  <c r="BF198" i="12"/>
  <c r="BJ198" i="12"/>
  <c r="BK198" i="12"/>
  <c r="BL198" i="12"/>
  <c r="BM198" i="12"/>
  <c r="AB199" i="12"/>
  <c r="AC199" i="12"/>
  <c r="AD199" i="12"/>
  <c r="AE199" i="12"/>
  <c r="AG199" i="12"/>
  <c r="AH199" i="12"/>
  <c r="AI199" i="12"/>
  <c r="AJ199" i="12"/>
  <c r="AK199" i="12"/>
  <c r="AL199" i="12"/>
  <c r="AM199" i="12"/>
  <c r="AN199" i="12"/>
  <c r="AO199" i="12"/>
  <c r="AP199" i="12"/>
  <c r="AQ199" i="12"/>
  <c r="AR199" i="12"/>
  <c r="AS199" i="12"/>
  <c r="AT199" i="12"/>
  <c r="AU199" i="12"/>
  <c r="AV199" i="12"/>
  <c r="AW199" i="12"/>
  <c r="AX199" i="12"/>
  <c r="AY199" i="12"/>
  <c r="AZ199" i="12"/>
  <c r="BA199" i="12"/>
  <c r="BC199" i="12"/>
  <c r="BE199" i="12"/>
  <c r="BF199" i="12"/>
  <c r="BJ199" i="12"/>
  <c r="BK199" i="12"/>
  <c r="BL199" i="12"/>
  <c r="BM199" i="12"/>
  <c r="AB200" i="12"/>
  <c r="AC200" i="12"/>
  <c r="AD200" i="12"/>
  <c r="AE200" i="12"/>
  <c r="AG200" i="12"/>
  <c r="AH200" i="12"/>
  <c r="AI200" i="12"/>
  <c r="AJ200" i="12"/>
  <c r="AK200" i="12"/>
  <c r="AL200" i="12"/>
  <c r="AM200" i="12"/>
  <c r="AN200" i="12"/>
  <c r="AO200" i="12"/>
  <c r="AP200" i="12"/>
  <c r="AQ200" i="12"/>
  <c r="AR200" i="12"/>
  <c r="AS200" i="12"/>
  <c r="AT200" i="12"/>
  <c r="AU200" i="12"/>
  <c r="AV200" i="12"/>
  <c r="AW200" i="12"/>
  <c r="AX200" i="12"/>
  <c r="AY200" i="12"/>
  <c r="AZ200" i="12"/>
  <c r="BA200" i="12"/>
  <c r="BC200" i="12"/>
  <c r="BE200" i="12"/>
  <c r="BF200" i="12"/>
  <c r="BJ200" i="12"/>
  <c r="BK200" i="12"/>
  <c r="BL200" i="12"/>
  <c r="BM200" i="12"/>
  <c r="AB201" i="12"/>
  <c r="AC201" i="12"/>
  <c r="AD201" i="12"/>
  <c r="AE201" i="12"/>
  <c r="AG201" i="12"/>
  <c r="AH201" i="12"/>
  <c r="AI201" i="12"/>
  <c r="AJ201" i="12"/>
  <c r="AK201" i="12"/>
  <c r="AL201" i="12"/>
  <c r="AM201" i="12"/>
  <c r="AN201" i="12"/>
  <c r="AO201" i="12"/>
  <c r="AP201" i="12"/>
  <c r="AQ201" i="12"/>
  <c r="AR201" i="12"/>
  <c r="AS201" i="12"/>
  <c r="AT201" i="12"/>
  <c r="AU201" i="12"/>
  <c r="AV201" i="12"/>
  <c r="AW201" i="12"/>
  <c r="AX201" i="12"/>
  <c r="AY201" i="12"/>
  <c r="AZ201" i="12"/>
  <c r="BA201" i="12"/>
  <c r="BC201" i="12"/>
  <c r="BE201" i="12"/>
  <c r="BF201" i="12"/>
  <c r="BJ201" i="12"/>
  <c r="BK201" i="12"/>
  <c r="BL201" i="12"/>
  <c r="BM201" i="12"/>
  <c r="AB202" i="12"/>
  <c r="AC202" i="12"/>
  <c r="AD202" i="12"/>
  <c r="AE202" i="12"/>
  <c r="AG202" i="12"/>
  <c r="AH202" i="12"/>
  <c r="AI202" i="12"/>
  <c r="AJ202" i="12"/>
  <c r="AK202" i="12"/>
  <c r="AL202" i="12"/>
  <c r="AM202" i="12"/>
  <c r="AN202" i="12"/>
  <c r="AO202" i="12"/>
  <c r="AP202" i="12"/>
  <c r="AQ202" i="12"/>
  <c r="AR202" i="12"/>
  <c r="AS202" i="12"/>
  <c r="AT202" i="12"/>
  <c r="AU202" i="12"/>
  <c r="AV202" i="12"/>
  <c r="AW202" i="12"/>
  <c r="AX202" i="12"/>
  <c r="AY202" i="12"/>
  <c r="AZ202" i="12"/>
  <c r="BA202" i="12"/>
  <c r="BC202" i="12"/>
  <c r="BE202" i="12"/>
  <c r="BF202" i="12"/>
  <c r="BJ202" i="12"/>
  <c r="BK202" i="12"/>
  <c r="BL202" i="12"/>
  <c r="BM202" i="12"/>
  <c r="AB203" i="12"/>
  <c r="AC203" i="12"/>
  <c r="AD203" i="12"/>
  <c r="AE203" i="12"/>
  <c r="AG203" i="12"/>
  <c r="AH203" i="12"/>
  <c r="AI203" i="12"/>
  <c r="AJ203" i="12"/>
  <c r="AK203" i="12"/>
  <c r="AL203" i="12"/>
  <c r="AM203" i="12"/>
  <c r="AN203" i="12"/>
  <c r="AO203" i="12"/>
  <c r="AP203" i="12"/>
  <c r="AQ203" i="12"/>
  <c r="AR203" i="12"/>
  <c r="AS203" i="12"/>
  <c r="AT203" i="12"/>
  <c r="AU203" i="12"/>
  <c r="AV203" i="12"/>
  <c r="AW203" i="12"/>
  <c r="AX203" i="12"/>
  <c r="AY203" i="12"/>
  <c r="AZ203" i="12"/>
  <c r="BA203" i="12"/>
  <c r="BC203" i="12"/>
  <c r="BE203" i="12"/>
  <c r="BF203" i="12"/>
  <c r="BJ203" i="12"/>
  <c r="BK203" i="12"/>
  <c r="BL203" i="12"/>
  <c r="BM203" i="12"/>
  <c r="AB204" i="12"/>
  <c r="AC204" i="12"/>
  <c r="AD204" i="12"/>
  <c r="AE204" i="12"/>
  <c r="AG204" i="12"/>
  <c r="AH204" i="12"/>
  <c r="AI204" i="12"/>
  <c r="AJ204" i="12"/>
  <c r="AK204" i="12"/>
  <c r="AL204" i="12"/>
  <c r="AM204" i="12"/>
  <c r="AN204" i="12"/>
  <c r="AO204" i="12"/>
  <c r="AP204" i="12"/>
  <c r="AQ204" i="12"/>
  <c r="AR204" i="12"/>
  <c r="AS204" i="12"/>
  <c r="AT204" i="12"/>
  <c r="AU204" i="12"/>
  <c r="AV204" i="12"/>
  <c r="AW204" i="12"/>
  <c r="AX204" i="12"/>
  <c r="AY204" i="12"/>
  <c r="AZ204" i="12"/>
  <c r="BA204" i="12"/>
  <c r="BC204" i="12"/>
  <c r="BE204" i="12"/>
  <c r="BF204" i="12"/>
  <c r="BJ204" i="12"/>
  <c r="BK204" i="12"/>
  <c r="BL204" i="12"/>
  <c r="BM204" i="12"/>
  <c r="AB205" i="12"/>
  <c r="AC205" i="12"/>
  <c r="AD205" i="12"/>
  <c r="AE205" i="12"/>
  <c r="AG205" i="12"/>
  <c r="AH205" i="12"/>
  <c r="AI205" i="12"/>
  <c r="AJ205" i="12"/>
  <c r="AK205" i="12"/>
  <c r="AL205" i="12"/>
  <c r="AM205" i="12"/>
  <c r="AN205" i="12"/>
  <c r="AO205" i="12"/>
  <c r="AP205" i="12"/>
  <c r="AQ205" i="12"/>
  <c r="AR205" i="12"/>
  <c r="AS205" i="12"/>
  <c r="AT205" i="12"/>
  <c r="AU205" i="12"/>
  <c r="AV205" i="12"/>
  <c r="AW205" i="12"/>
  <c r="AX205" i="12"/>
  <c r="AY205" i="12"/>
  <c r="AZ205" i="12"/>
  <c r="BA205" i="12"/>
  <c r="BC205" i="12"/>
  <c r="BE205" i="12"/>
  <c r="BF205" i="12"/>
  <c r="BJ205" i="12"/>
  <c r="BK205" i="12"/>
  <c r="BL205" i="12"/>
  <c r="BM205" i="12"/>
  <c r="AB206" i="12"/>
  <c r="AC206" i="12"/>
  <c r="AD206" i="12"/>
  <c r="AE206" i="12"/>
  <c r="AG206" i="12"/>
  <c r="AH206" i="12"/>
  <c r="AI206" i="12"/>
  <c r="AJ206" i="12"/>
  <c r="AK206" i="12"/>
  <c r="AL206" i="12"/>
  <c r="AM206" i="12"/>
  <c r="AN206" i="12"/>
  <c r="AO206" i="12"/>
  <c r="AP206" i="12"/>
  <c r="AQ206" i="12"/>
  <c r="AR206" i="12"/>
  <c r="AS206" i="12"/>
  <c r="AT206" i="12"/>
  <c r="AU206" i="12"/>
  <c r="AV206" i="12"/>
  <c r="AW206" i="12"/>
  <c r="AX206" i="12"/>
  <c r="AY206" i="12"/>
  <c r="AZ206" i="12"/>
  <c r="BA206" i="12"/>
  <c r="BC206" i="12"/>
  <c r="BE206" i="12"/>
  <c r="BF206" i="12"/>
  <c r="BJ206" i="12"/>
  <c r="BK206" i="12"/>
  <c r="BL206" i="12"/>
  <c r="BM206" i="12"/>
  <c r="AB207" i="12"/>
  <c r="AC207" i="12"/>
  <c r="AD207" i="12"/>
  <c r="AE207" i="12"/>
  <c r="AG207" i="12"/>
  <c r="AH207" i="12"/>
  <c r="AI207" i="12"/>
  <c r="AJ207" i="12"/>
  <c r="AK207" i="12"/>
  <c r="AL207" i="12"/>
  <c r="AM207" i="12"/>
  <c r="AN207" i="12"/>
  <c r="AO207" i="12"/>
  <c r="AP207" i="12"/>
  <c r="AQ207" i="12"/>
  <c r="AR207" i="12"/>
  <c r="AS207" i="12"/>
  <c r="AT207" i="12"/>
  <c r="AU207" i="12"/>
  <c r="AV207" i="12"/>
  <c r="AW207" i="12"/>
  <c r="AX207" i="12"/>
  <c r="AY207" i="12"/>
  <c r="AZ207" i="12"/>
  <c r="BA207" i="12"/>
  <c r="BC207" i="12"/>
  <c r="BE207" i="12"/>
  <c r="BF207" i="12"/>
  <c r="BJ207" i="12"/>
  <c r="BK207" i="12"/>
  <c r="BL207" i="12"/>
  <c r="BM207" i="12"/>
  <c r="AB208" i="12"/>
  <c r="AC208" i="12"/>
  <c r="AD208" i="12"/>
  <c r="AE208" i="12"/>
  <c r="AG208" i="12"/>
  <c r="AH208" i="12"/>
  <c r="AI208" i="12"/>
  <c r="AJ208" i="12"/>
  <c r="AK208" i="12"/>
  <c r="AL208" i="12"/>
  <c r="AM208" i="12"/>
  <c r="AN208" i="12"/>
  <c r="AO208" i="12"/>
  <c r="AP208" i="12"/>
  <c r="AQ208" i="12"/>
  <c r="AR208" i="12"/>
  <c r="AS208" i="12"/>
  <c r="AT208" i="12"/>
  <c r="AU208" i="12"/>
  <c r="AV208" i="12"/>
  <c r="AW208" i="12"/>
  <c r="AX208" i="12"/>
  <c r="AY208" i="12"/>
  <c r="AZ208" i="12"/>
  <c r="BA208" i="12"/>
  <c r="BC208" i="12"/>
  <c r="BE208" i="12"/>
  <c r="BF208" i="12"/>
  <c r="BJ208" i="12"/>
  <c r="BK208" i="12"/>
  <c r="BL208" i="12"/>
  <c r="BM208" i="12"/>
  <c r="AB209" i="12"/>
  <c r="AC209" i="12"/>
  <c r="AD209" i="12"/>
  <c r="AE209" i="12"/>
  <c r="AG209" i="12"/>
  <c r="AH209" i="12"/>
  <c r="AI209" i="12"/>
  <c r="AJ209" i="12"/>
  <c r="AK209" i="12"/>
  <c r="AL209" i="12"/>
  <c r="AM209" i="12"/>
  <c r="AN209" i="12"/>
  <c r="AO209" i="12"/>
  <c r="AP209" i="12"/>
  <c r="AQ209" i="12"/>
  <c r="AR209" i="12"/>
  <c r="AS209" i="12"/>
  <c r="AT209" i="12"/>
  <c r="AU209" i="12"/>
  <c r="AV209" i="12"/>
  <c r="AW209" i="12"/>
  <c r="AX209" i="12"/>
  <c r="AY209" i="12"/>
  <c r="AZ209" i="12"/>
  <c r="BA209" i="12"/>
  <c r="BC209" i="12"/>
  <c r="BE209" i="12"/>
  <c r="BF209" i="12"/>
  <c r="BJ209" i="12"/>
  <c r="BK209" i="12"/>
  <c r="BL209" i="12"/>
  <c r="BM209" i="12"/>
  <c r="AB210" i="12"/>
  <c r="AC210" i="12"/>
  <c r="AD210" i="12"/>
  <c r="AE210" i="12"/>
  <c r="AG210" i="12"/>
  <c r="AH210" i="12"/>
  <c r="AI210" i="12"/>
  <c r="AJ210" i="12"/>
  <c r="AK210" i="12"/>
  <c r="AL210" i="12"/>
  <c r="AM210" i="12"/>
  <c r="AN210" i="12"/>
  <c r="AO210" i="12"/>
  <c r="AP210" i="12"/>
  <c r="AQ210" i="12"/>
  <c r="AR210" i="12"/>
  <c r="AS210" i="12"/>
  <c r="AT210" i="12"/>
  <c r="AU210" i="12"/>
  <c r="AV210" i="12"/>
  <c r="AW210" i="12"/>
  <c r="AX210" i="12"/>
  <c r="AY210" i="12"/>
  <c r="AZ210" i="12"/>
  <c r="BA210" i="12"/>
  <c r="BC210" i="12"/>
  <c r="BE210" i="12"/>
  <c r="BF210" i="12"/>
  <c r="BJ210" i="12"/>
  <c r="BK210" i="12"/>
  <c r="BL210" i="12"/>
  <c r="BM210" i="12"/>
  <c r="AB211" i="12"/>
  <c r="AC211" i="12"/>
  <c r="AD211" i="12"/>
  <c r="AE211" i="12"/>
  <c r="AG211" i="12"/>
  <c r="AH211" i="12"/>
  <c r="AI211" i="12"/>
  <c r="AJ211" i="12"/>
  <c r="AK211" i="12"/>
  <c r="AL211" i="12"/>
  <c r="AM211" i="12"/>
  <c r="AN211" i="12"/>
  <c r="AO211" i="12"/>
  <c r="AP211" i="12"/>
  <c r="AQ211" i="12"/>
  <c r="AR211" i="12"/>
  <c r="AS211" i="12"/>
  <c r="AT211" i="12"/>
  <c r="AU211" i="12"/>
  <c r="AV211" i="12"/>
  <c r="AW211" i="12"/>
  <c r="AX211" i="12"/>
  <c r="AY211" i="12"/>
  <c r="AZ211" i="12"/>
  <c r="BA211" i="12"/>
  <c r="BC211" i="12"/>
  <c r="BE211" i="12"/>
  <c r="BF211" i="12"/>
  <c r="BJ211" i="12"/>
  <c r="BK211" i="12"/>
  <c r="BL211" i="12"/>
  <c r="BM211" i="12"/>
  <c r="AB212" i="12"/>
  <c r="AC212" i="12"/>
  <c r="AD212" i="12"/>
  <c r="AE212" i="12"/>
  <c r="AG212" i="12"/>
  <c r="AH212" i="12"/>
  <c r="AI212" i="12"/>
  <c r="AJ212" i="12"/>
  <c r="AK212" i="12"/>
  <c r="AL212" i="12"/>
  <c r="AM212" i="12"/>
  <c r="AN212" i="12"/>
  <c r="AO212" i="12"/>
  <c r="AP212" i="12"/>
  <c r="AQ212" i="12"/>
  <c r="AR212" i="12"/>
  <c r="AS212" i="12"/>
  <c r="AT212" i="12"/>
  <c r="AU212" i="12"/>
  <c r="AV212" i="12"/>
  <c r="AW212" i="12"/>
  <c r="AX212" i="12"/>
  <c r="AY212" i="12"/>
  <c r="AZ212" i="12"/>
  <c r="BA212" i="12"/>
  <c r="BC212" i="12"/>
  <c r="BE212" i="12"/>
  <c r="BF212" i="12"/>
  <c r="BJ212" i="12"/>
  <c r="BK212" i="12"/>
  <c r="BL212" i="12"/>
  <c r="BM212" i="12"/>
  <c r="AB213" i="12"/>
  <c r="AC213" i="12"/>
  <c r="AD213" i="12"/>
  <c r="AE213" i="12"/>
  <c r="AG213" i="12"/>
  <c r="AH213" i="12"/>
  <c r="AI213" i="12"/>
  <c r="AJ213" i="12"/>
  <c r="AK213" i="12"/>
  <c r="AL213" i="12"/>
  <c r="AM213" i="12"/>
  <c r="AN213" i="12"/>
  <c r="AO213" i="12"/>
  <c r="AP213" i="12"/>
  <c r="AQ213" i="12"/>
  <c r="AR213" i="12"/>
  <c r="AS213" i="12"/>
  <c r="AT213" i="12"/>
  <c r="AU213" i="12"/>
  <c r="AV213" i="12"/>
  <c r="AW213" i="12"/>
  <c r="AX213" i="12"/>
  <c r="AY213" i="12"/>
  <c r="AZ213" i="12"/>
  <c r="BA213" i="12"/>
  <c r="BC213" i="12"/>
  <c r="BE213" i="12"/>
  <c r="BF213" i="12"/>
  <c r="BJ213" i="12"/>
  <c r="BK213" i="12"/>
  <c r="BL213" i="12"/>
  <c r="BM213" i="12"/>
  <c r="AB214" i="12"/>
  <c r="AC214" i="12"/>
  <c r="AD214" i="12"/>
  <c r="AE214" i="12"/>
  <c r="AG214" i="12"/>
  <c r="AH214" i="12"/>
  <c r="AI214" i="12"/>
  <c r="AJ214" i="12"/>
  <c r="AK214" i="12"/>
  <c r="AL214" i="12"/>
  <c r="AM214" i="12"/>
  <c r="AN214" i="12"/>
  <c r="AO214" i="12"/>
  <c r="AP214" i="12"/>
  <c r="AQ214" i="12"/>
  <c r="AR214" i="12"/>
  <c r="AS214" i="12"/>
  <c r="AT214" i="12"/>
  <c r="AU214" i="12"/>
  <c r="AV214" i="12"/>
  <c r="AW214" i="12"/>
  <c r="AX214" i="12"/>
  <c r="AY214" i="12"/>
  <c r="AZ214" i="12"/>
  <c r="BA214" i="12"/>
  <c r="BC214" i="12"/>
  <c r="BE214" i="12"/>
  <c r="BF214" i="12"/>
  <c r="BJ214" i="12"/>
  <c r="BK214" i="12"/>
  <c r="BL214" i="12"/>
  <c r="BM214" i="12"/>
  <c r="AB215" i="12"/>
  <c r="AC215" i="12"/>
  <c r="AD215" i="12"/>
  <c r="AE215" i="12"/>
  <c r="AG215" i="12"/>
  <c r="AH215" i="12"/>
  <c r="AI215" i="12"/>
  <c r="AJ215" i="12"/>
  <c r="AK215" i="12"/>
  <c r="AL215" i="12"/>
  <c r="AM215" i="12"/>
  <c r="AN215" i="12"/>
  <c r="AO215" i="12"/>
  <c r="AP215" i="12"/>
  <c r="AQ215" i="12"/>
  <c r="AR215" i="12"/>
  <c r="AS215" i="12"/>
  <c r="AT215" i="12"/>
  <c r="AU215" i="12"/>
  <c r="AV215" i="12"/>
  <c r="AW215" i="12"/>
  <c r="AX215" i="12"/>
  <c r="AY215" i="12"/>
  <c r="AZ215" i="12"/>
  <c r="BA215" i="12"/>
  <c r="BC215" i="12"/>
  <c r="BE215" i="12"/>
  <c r="BF215" i="12"/>
  <c r="BJ215" i="12"/>
  <c r="BK215" i="12"/>
  <c r="BL215" i="12"/>
  <c r="BM215" i="12"/>
  <c r="AB216" i="12"/>
  <c r="AC216" i="12"/>
  <c r="AD216" i="12"/>
  <c r="AE216" i="12"/>
  <c r="AG216" i="12"/>
  <c r="AH216" i="12"/>
  <c r="AI216" i="12"/>
  <c r="AJ216" i="12"/>
  <c r="AK216" i="12"/>
  <c r="AL216" i="12"/>
  <c r="AM216" i="12"/>
  <c r="AN216" i="12"/>
  <c r="AO216" i="12"/>
  <c r="AP216" i="12"/>
  <c r="AQ216" i="12"/>
  <c r="AR216" i="12"/>
  <c r="AS216" i="12"/>
  <c r="AT216" i="12"/>
  <c r="AU216" i="12"/>
  <c r="AV216" i="12"/>
  <c r="AW216" i="12"/>
  <c r="AX216" i="12"/>
  <c r="AY216" i="12"/>
  <c r="AZ216" i="12"/>
  <c r="BA216" i="12"/>
  <c r="BC216" i="12"/>
  <c r="BE216" i="12"/>
  <c r="BF216" i="12"/>
  <c r="BJ216" i="12"/>
  <c r="BK216" i="12"/>
  <c r="BL216" i="12"/>
  <c r="BM216" i="12"/>
  <c r="AB217" i="12"/>
  <c r="AC217" i="12"/>
  <c r="AD217" i="12"/>
  <c r="AE217" i="12"/>
  <c r="AG217" i="12"/>
  <c r="AH217" i="12"/>
  <c r="AI217" i="12"/>
  <c r="AJ217" i="12"/>
  <c r="AK217" i="12"/>
  <c r="AL217" i="12"/>
  <c r="AM217" i="12"/>
  <c r="AN217" i="12"/>
  <c r="AO217" i="12"/>
  <c r="AP217" i="12"/>
  <c r="AQ217" i="12"/>
  <c r="AR217" i="12"/>
  <c r="AS217" i="12"/>
  <c r="AT217" i="12"/>
  <c r="AU217" i="12"/>
  <c r="AV217" i="12"/>
  <c r="AW217" i="12"/>
  <c r="AX217" i="12"/>
  <c r="AY217" i="12"/>
  <c r="AZ217" i="12"/>
  <c r="BA217" i="12"/>
  <c r="BC217" i="12"/>
  <c r="BE217" i="12"/>
  <c r="BF217" i="12"/>
  <c r="BJ217" i="12"/>
  <c r="BK217" i="12"/>
  <c r="BL217" i="12"/>
  <c r="BM217" i="12"/>
  <c r="AB218" i="12"/>
  <c r="AC218" i="12"/>
  <c r="AD218" i="12"/>
  <c r="AE218" i="12"/>
  <c r="AG218" i="12"/>
  <c r="AH218" i="12"/>
  <c r="AI218" i="12"/>
  <c r="AJ218" i="12"/>
  <c r="AK218" i="12"/>
  <c r="AL218" i="12"/>
  <c r="AM218" i="12"/>
  <c r="AN218" i="12"/>
  <c r="AO218" i="12"/>
  <c r="AP218" i="12"/>
  <c r="AQ218" i="12"/>
  <c r="AR218" i="12"/>
  <c r="AS218" i="12"/>
  <c r="AT218" i="12"/>
  <c r="AU218" i="12"/>
  <c r="AV218" i="12"/>
  <c r="AW218" i="12"/>
  <c r="AX218" i="12"/>
  <c r="AY218" i="12"/>
  <c r="AZ218" i="12"/>
  <c r="BA218" i="12"/>
  <c r="BC218" i="12"/>
  <c r="BE218" i="12"/>
  <c r="BF218" i="12"/>
  <c r="BJ218" i="12"/>
  <c r="BK218" i="12"/>
  <c r="BL218" i="12"/>
  <c r="BM218" i="12"/>
  <c r="AB219" i="12"/>
  <c r="AC219" i="12"/>
  <c r="AD219" i="12"/>
  <c r="AE219" i="12"/>
  <c r="AG219" i="12"/>
  <c r="AH219" i="12"/>
  <c r="AI219" i="12"/>
  <c r="AJ219" i="12"/>
  <c r="AK219" i="12"/>
  <c r="AL219" i="12"/>
  <c r="AM219" i="12"/>
  <c r="AN219" i="12"/>
  <c r="AO219" i="12"/>
  <c r="AP219" i="12"/>
  <c r="AQ219" i="12"/>
  <c r="AR219" i="12"/>
  <c r="AS219" i="12"/>
  <c r="AT219" i="12"/>
  <c r="AU219" i="12"/>
  <c r="AV219" i="12"/>
  <c r="AW219" i="12"/>
  <c r="AX219" i="12"/>
  <c r="AY219" i="12"/>
  <c r="AZ219" i="12"/>
  <c r="BA219" i="12"/>
  <c r="BC219" i="12"/>
  <c r="BE219" i="12"/>
  <c r="BF219" i="12"/>
  <c r="BJ219" i="12"/>
  <c r="BK219" i="12"/>
  <c r="BL219" i="12"/>
  <c r="BM219" i="12"/>
  <c r="AB220" i="12"/>
  <c r="AC220" i="12"/>
  <c r="AD220" i="12"/>
  <c r="AE220" i="12"/>
  <c r="AG220" i="12"/>
  <c r="AH220" i="12"/>
  <c r="AI220" i="12"/>
  <c r="AJ220" i="12"/>
  <c r="AK220" i="12"/>
  <c r="AL220" i="12"/>
  <c r="AM220" i="12"/>
  <c r="AN220" i="12"/>
  <c r="AO220" i="12"/>
  <c r="AP220" i="12"/>
  <c r="AQ220" i="12"/>
  <c r="AR220" i="12"/>
  <c r="AS220" i="12"/>
  <c r="AT220" i="12"/>
  <c r="AU220" i="12"/>
  <c r="AV220" i="12"/>
  <c r="AW220" i="12"/>
  <c r="AX220" i="12"/>
  <c r="AY220" i="12"/>
  <c r="AZ220" i="12"/>
  <c r="BA220" i="12"/>
  <c r="BC220" i="12"/>
  <c r="BE220" i="12"/>
  <c r="BF220" i="12"/>
  <c r="BJ220" i="12"/>
  <c r="BK220" i="12"/>
  <c r="BL220" i="12"/>
  <c r="BM220" i="12"/>
  <c r="AB221" i="12"/>
  <c r="AC221" i="12"/>
  <c r="AD221" i="12"/>
  <c r="AE221" i="12"/>
  <c r="AG221" i="12"/>
  <c r="AH221" i="12"/>
  <c r="AI221" i="12"/>
  <c r="AJ221" i="12"/>
  <c r="AK221" i="12"/>
  <c r="AL221" i="12"/>
  <c r="AM221" i="12"/>
  <c r="AN221" i="12"/>
  <c r="AO221" i="12"/>
  <c r="AP221" i="12"/>
  <c r="AQ221" i="12"/>
  <c r="AR221" i="12"/>
  <c r="AS221" i="12"/>
  <c r="AT221" i="12"/>
  <c r="AU221" i="12"/>
  <c r="AV221" i="12"/>
  <c r="AW221" i="12"/>
  <c r="AX221" i="12"/>
  <c r="AY221" i="12"/>
  <c r="AZ221" i="12"/>
  <c r="BA221" i="12"/>
  <c r="BC221" i="12"/>
  <c r="BE221" i="12"/>
  <c r="BF221" i="12"/>
  <c r="BJ221" i="12"/>
  <c r="BK221" i="12"/>
  <c r="BL221" i="12"/>
  <c r="BM221" i="12"/>
  <c r="AB222" i="12"/>
  <c r="AC222" i="12"/>
  <c r="AD222" i="12"/>
  <c r="AE222" i="12"/>
  <c r="AG222" i="12"/>
  <c r="AH222" i="12"/>
  <c r="AI222" i="12"/>
  <c r="AJ222" i="12"/>
  <c r="AK222" i="12"/>
  <c r="AL222" i="12"/>
  <c r="AM222" i="12"/>
  <c r="AN222" i="12"/>
  <c r="AO222" i="12"/>
  <c r="AP222" i="12"/>
  <c r="AQ222" i="12"/>
  <c r="AR222" i="12"/>
  <c r="AS222" i="12"/>
  <c r="AT222" i="12"/>
  <c r="AU222" i="12"/>
  <c r="AV222" i="12"/>
  <c r="AW222" i="12"/>
  <c r="AX222" i="12"/>
  <c r="AY222" i="12"/>
  <c r="AZ222" i="12"/>
  <c r="BA222" i="12"/>
  <c r="BC222" i="12"/>
  <c r="BE222" i="12"/>
  <c r="BF222" i="12"/>
  <c r="BJ222" i="12"/>
  <c r="BK222" i="12"/>
  <c r="BL222" i="12"/>
  <c r="BM222" i="12"/>
  <c r="AB223" i="12"/>
  <c r="AC223" i="12"/>
  <c r="AD223" i="12"/>
  <c r="AE223" i="12"/>
  <c r="AG223" i="12"/>
  <c r="AH223" i="12"/>
  <c r="AI223" i="12"/>
  <c r="AJ223" i="12"/>
  <c r="AK223" i="12"/>
  <c r="AL223" i="12"/>
  <c r="AM223" i="12"/>
  <c r="AN223" i="12"/>
  <c r="AO223" i="12"/>
  <c r="AP223" i="12"/>
  <c r="AQ223" i="12"/>
  <c r="AR223" i="12"/>
  <c r="AS223" i="12"/>
  <c r="AT223" i="12"/>
  <c r="AU223" i="12"/>
  <c r="AV223" i="12"/>
  <c r="AW223" i="12"/>
  <c r="AX223" i="12"/>
  <c r="AY223" i="12"/>
  <c r="AZ223" i="12"/>
  <c r="BA223" i="12"/>
  <c r="BC223" i="12"/>
  <c r="BE223" i="12"/>
  <c r="BF223" i="12"/>
  <c r="BJ223" i="12"/>
  <c r="BK223" i="12"/>
  <c r="BL223" i="12"/>
  <c r="BM223" i="12"/>
  <c r="AB224" i="12"/>
  <c r="AC224" i="12"/>
  <c r="AD224" i="12"/>
  <c r="AE224" i="12"/>
  <c r="AG224" i="12"/>
  <c r="AH224" i="12"/>
  <c r="AI224" i="12"/>
  <c r="AJ224" i="12"/>
  <c r="AK224" i="12"/>
  <c r="AL224" i="12"/>
  <c r="AM224" i="12"/>
  <c r="AN224" i="12"/>
  <c r="AO224" i="12"/>
  <c r="AP224" i="12"/>
  <c r="AQ224" i="12"/>
  <c r="AR224" i="12"/>
  <c r="AS224" i="12"/>
  <c r="AT224" i="12"/>
  <c r="AU224" i="12"/>
  <c r="AV224" i="12"/>
  <c r="AW224" i="12"/>
  <c r="AX224" i="12"/>
  <c r="AY224" i="12"/>
  <c r="AZ224" i="12"/>
  <c r="BA224" i="12"/>
  <c r="BC224" i="12"/>
  <c r="BE224" i="12"/>
  <c r="BF224" i="12"/>
  <c r="BJ224" i="12"/>
  <c r="BK224" i="12"/>
  <c r="BL224" i="12"/>
  <c r="BM224" i="12"/>
  <c r="AB225" i="12"/>
  <c r="AC225" i="12"/>
  <c r="AD225" i="12"/>
  <c r="AE225" i="12"/>
  <c r="AG225" i="12"/>
  <c r="AH225" i="12"/>
  <c r="AI225" i="12"/>
  <c r="AJ225" i="12"/>
  <c r="AK225" i="12"/>
  <c r="AL225" i="12"/>
  <c r="AM225" i="12"/>
  <c r="AN225" i="12"/>
  <c r="AO225" i="12"/>
  <c r="AP225" i="12"/>
  <c r="AQ225" i="12"/>
  <c r="AR225" i="12"/>
  <c r="AS225" i="12"/>
  <c r="AT225" i="12"/>
  <c r="AU225" i="12"/>
  <c r="AV225" i="12"/>
  <c r="AW225" i="12"/>
  <c r="AX225" i="12"/>
  <c r="AY225" i="12"/>
  <c r="AZ225" i="12"/>
  <c r="BA225" i="12"/>
  <c r="BC225" i="12"/>
  <c r="BE225" i="12"/>
  <c r="BF225" i="12"/>
  <c r="BJ225" i="12"/>
  <c r="BK225" i="12"/>
  <c r="BL225" i="12"/>
  <c r="BM225" i="12"/>
  <c r="AB226" i="12"/>
  <c r="AC226" i="12"/>
  <c r="AD226" i="12"/>
  <c r="AE226" i="12"/>
  <c r="AG226" i="12"/>
  <c r="AH226" i="12"/>
  <c r="AI226" i="12"/>
  <c r="AJ226" i="12"/>
  <c r="AK226" i="12"/>
  <c r="AL226" i="12"/>
  <c r="AM226" i="12"/>
  <c r="AN226" i="12"/>
  <c r="AO226" i="12"/>
  <c r="AP226" i="12"/>
  <c r="AQ226" i="12"/>
  <c r="AR226" i="12"/>
  <c r="AS226" i="12"/>
  <c r="AT226" i="12"/>
  <c r="AU226" i="12"/>
  <c r="AV226" i="12"/>
  <c r="AW226" i="12"/>
  <c r="AX226" i="12"/>
  <c r="AY226" i="12"/>
  <c r="AZ226" i="12"/>
  <c r="BA226" i="12"/>
  <c r="BC226" i="12"/>
  <c r="BE226" i="12"/>
  <c r="BF226" i="12"/>
  <c r="BJ226" i="12"/>
  <c r="BK226" i="12"/>
  <c r="BL226" i="12"/>
  <c r="BM226" i="12"/>
  <c r="AB227" i="12"/>
  <c r="AC227" i="12"/>
  <c r="AD227" i="12"/>
  <c r="AE227" i="12"/>
  <c r="AG227" i="12"/>
  <c r="AH227" i="12"/>
  <c r="AI227" i="12"/>
  <c r="AJ227" i="12"/>
  <c r="AK227" i="12"/>
  <c r="AL227" i="12"/>
  <c r="AM227" i="12"/>
  <c r="AN227" i="12"/>
  <c r="AO227" i="12"/>
  <c r="AP227" i="12"/>
  <c r="AQ227" i="12"/>
  <c r="AR227" i="12"/>
  <c r="AS227" i="12"/>
  <c r="AT227" i="12"/>
  <c r="AU227" i="12"/>
  <c r="AV227" i="12"/>
  <c r="AW227" i="12"/>
  <c r="AX227" i="12"/>
  <c r="AY227" i="12"/>
  <c r="AZ227" i="12"/>
  <c r="BA227" i="12"/>
  <c r="BC227" i="12"/>
  <c r="BE227" i="12"/>
  <c r="BF227" i="12"/>
  <c r="BJ227" i="12"/>
  <c r="BK227" i="12"/>
  <c r="BL227" i="12"/>
  <c r="BM227" i="12"/>
  <c r="AB228" i="12"/>
  <c r="AC228" i="12"/>
  <c r="AD228" i="12"/>
  <c r="AE228" i="12"/>
  <c r="AG228" i="12"/>
  <c r="AH228" i="12"/>
  <c r="AI228" i="12"/>
  <c r="AJ228" i="12"/>
  <c r="AK228" i="12"/>
  <c r="AL228" i="12"/>
  <c r="AM228" i="12"/>
  <c r="AN228" i="12"/>
  <c r="AO228" i="12"/>
  <c r="AP228" i="12"/>
  <c r="AQ228" i="12"/>
  <c r="AR228" i="12"/>
  <c r="AS228" i="12"/>
  <c r="AT228" i="12"/>
  <c r="AU228" i="12"/>
  <c r="AV228" i="12"/>
  <c r="AW228" i="12"/>
  <c r="AX228" i="12"/>
  <c r="AY228" i="12"/>
  <c r="AZ228" i="12"/>
  <c r="BA228" i="12"/>
  <c r="BC228" i="12"/>
  <c r="BE228" i="12"/>
  <c r="BF228" i="12"/>
  <c r="BJ228" i="12"/>
  <c r="BK228" i="12"/>
  <c r="BL228" i="12"/>
  <c r="BM228" i="12"/>
  <c r="AB229" i="12"/>
  <c r="AC229" i="12"/>
  <c r="AD229" i="12"/>
  <c r="AE229" i="12"/>
  <c r="AG229" i="12"/>
  <c r="AH229" i="12"/>
  <c r="AI229" i="12"/>
  <c r="AJ229" i="12"/>
  <c r="AK229" i="12"/>
  <c r="AL229" i="12"/>
  <c r="AM229" i="12"/>
  <c r="AN229" i="12"/>
  <c r="AO229" i="12"/>
  <c r="AP229" i="12"/>
  <c r="AQ229" i="12"/>
  <c r="AR229" i="12"/>
  <c r="AS229" i="12"/>
  <c r="AT229" i="12"/>
  <c r="AU229" i="12"/>
  <c r="AV229" i="12"/>
  <c r="AW229" i="12"/>
  <c r="AX229" i="12"/>
  <c r="AY229" i="12"/>
  <c r="AZ229" i="12"/>
  <c r="BA229" i="12"/>
  <c r="BC229" i="12"/>
  <c r="BE229" i="12"/>
  <c r="BF229" i="12"/>
  <c r="BJ229" i="12"/>
  <c r="BK229" i="12"/>
  <c r="BL229" i="12"/>
  <c r="BM229" i="12"/>
  <c r="AB230" i="12"/>
  <c r="AC230" i="12"/>
  <c r="AD230" i="12"/>
  <c r="AE230" i="12"/>
  <c r="AG230" i="12"/>
  <c r="AH230" i="12"/>
  <c r="AI230" i="12"/>
  <c r="AJ230" i="12"/>
  <c r="AK230" i="12"/>
  <c r="AL230" i="12"/>
  <c r="AM230" i="12"/>
  <c r="AN230" i="12"/>
  <c r="AO230" i="12"/>
  <c r="AP230" i="12"/>
  <c r="AQ230" i="12"/>
  <c r="AR230" i="12"/>
  <c r="AS230" i="12"/>
  <c r="AT230" i="12"/>
  <c r="AU230" i="12"/>
  <c r="AV230" i="12"/>
  <c r="AW230" i="12"/>
  <c r="AX230" i="12"/>
  <c r="AY230" i="12"/>
  <c r="AZ230" i="12"/>
  <c r="BA230" i="12"/>
  <c r="BC230" i="12"/>
  <c r="BE230" i="12"/>
  <c r="BF230" i="12"/>
  <c r="BJ230" i="12"/>
  <c r="BK230" i="12"/>
  <c r="BL230" i="12"/>
  <c r="BM230" i="12"/>
  <c r="AB231" i="12"/>
  <c r="AC231" i="12"/>
  <c r="AD231" i="12"/>
  <c r="AE231" i="12"/>
  <c r="AG231" i="12"/>
  <c r="AH231" i="12"/>
  <c r="AI231" i="12"/>
  <c r="AJ231" i="12"/>
  <c r="AK231" i="12"/>
  <c r="AL231" i="12"/>
  <c r="AM231" i="12"/>
  <c r="AN231" i="12"/>
  <c r="AO231" i="12"/>
  <c r="AP231" i="12"/>
  <c r="AQ231" i="12"/>
  <c r="AR231" i="12"/>
  <c r="AS231" i="12"/>
  <c r="AT231" i="12"/>
  <c r="AU231" i="12"/>
  <c r="AV231" i="12"/>
  <c r="AW231" i="12"/>
  <c r="AX231" i="12"/>
  <c r="AY231" i="12"/>
  <c r="AZ231" i="12"/>
  <c r="BA231" i="12"/>
  <c r="BC231" i="12"/>
  <c r="BE231" i="12"/>
  <c r="BF231" i="12"/>
  <c r="BJ231" i="12"/>
  <c r="BK231" i="12"/>
  <c r="BL231" i="12"/>
  <c r="BM231" i="12"/>
  <c r="AB232" i="12"/>
  <c r="AC232" i="12"/>
  <c r="AD232" i="12"/>
  <c r="AE232" i="12"/>
  <c r="AG232" i="12"/>
  <c r="AH232" i="12"/>
  <c r="AI232" i="12"/>
  <c r="AJ232" i="12"/>
  <c r="AK232" i="12"/>
  <c r="AL232" i="12"/>
  <c r="AM232" i="12"/>
  <c r="AN232" i="12"/>
  <c r="AO232" i="12"/>
  <c r="AP232" i="12"/>
  <c r="AQ232" i="12"/>
  <c r="AR232" i="12"/>
  <c r="AS232" i="12"/>
  <c r="AT232" i="12"/>
  <c r="AU232" i="12"/>
  <c r="AV232" i="12"/>
  <c r="AW232" i="12"/>
  <c r="AX232" i="12"/>
  <c r="AY232" i="12"/>
  <c r="AZ232" i="12"/>
  <c r="BA232" i="12"/>
  <c r="BC232" i="12"/>
  <c r="BE232" i="12"/>
  <c r="BF232" i="12"/>
  <c r="BJ232" i="12"/>
  <c r="BK232" i="12"/>
  <c r="BL232" i="12"/>
  <c r="BM232" i="12"/>
  <c r="AB233" i="12"/>
  <c r="AC233" i="12"/>
  <c r="AD233" i="12"/>
  <c r="AE233" i="12"/>
  <c r="AG233" i="12"/>
  <c r="AH233" i="12"/>
  <c r="AI233" i="12"/>
  <c r="AJ233" i="12"/>
  <c r="AK233" i="12"/>
  <c r="AL233" i="12"/>
  <c r="AM233" i="12"/>
  <c r="AN233" i="12"/>
  <c r="AO233" i="12"/>
  <c r="AP233" i="12"/>
  <c r="AQ233" i="12"/>
  <c r="AR233" i="12"/>
  <c r="AS233" i="12"/>
  <c r="AT233" i="12"/>
  <c r="AU233" i="12"/>
  <c r="AV233" i="12"/>
  <c r="AW233" i="12"/>
  <c r="AX233" i="12"/>
  <c r="AY233" i="12"/>
  <c r="AZ233" i="12"/>
  <c r="BA233" i="12"/>
  <c r="BC233" i="12"/>
  <c r="BE233" i="12"/>
  <c r="BF233" i="12"/>
  <c r="BJ233" i="12"/>
  <c r="BK233" i="12"/>
  <c r="BL233" i="12"/>
  <c r="BM233" i="12"/>
  <c r="AB234" i="12"/>
  <c r="AC234" i="12"/>
  <c r="AD234" i="12"/>
  <c r="AE234" i="12"/>
  <c r="AG234" i="12"/>
  <c r="AH234" i="12"/>
  <c r="AI234" i="12"/>
  <c r="AJ234" i="12"/>
  <c r="AK234" i="12"/>
  <c r="AL234" i="12"/>
  <c r="AM234" i="12"/>
  <c r="AN234" i="12"/>
  <c r="AO234" i="12"/>
  <c r="AP234" i="12"/>
  <c r="AQ234" i="12"/>
  <c r="AR234" i="12"/>
  <c r="AS234" i="12"/>
  <c r="AT234" i="12"/>
  <c r="AU234" i="12"/>
  <c r="AV234" i="12"/>
  <c r="AW234" i="12"/>
  <c r="AX234" i="12"/>
  <c r="AY234" i="12"/>
  <c r="AZ234" i="12"/>
  <c r="BA234" i="12"/>
  <c r="BC234" i="12"/>
  <c r="BE234" i="12"/>
  <c r="BF234" i="12"/>
  <c r="BJ234" i="12"/>
  <c r="BK234" i="12"/>
  <c r="BL234" i="12"/>
  <c r="BM234" i="12"/>
  <c r="AB235" i="12"/>
  <c r="AC235" i="12"/>
  <c r="AD235" i="12"/>
  <c r="AE235" i="12"/>
  <c r="AG235" i="12"/>
  <c r="AH235" i="12"/>
  <c r="AI235" i="12"/>
  <c r="AJ235" i="12"/>
  <c r="AK235" i="12"/>
  <c r="AL235" i="12"/>
  <c r="AM235" i="12"/>
  <c r="AN235" i="12"/>
  <c r="AO235" i="12"/>
  <c r="AP235" i="12"/>
  <c r="AQ235" i="12"/>
  <c r="AR235" i="12"/>
  <c r="AS235" i="12"/>
  <c r="AT235" i="12"/>
  <c r="AU235" i="12"/>
  <c r="AV235" i="12"/>
  <c r="AW235" i="12"/>
  <c r="AX235" i="12"/>
  <c r="AY235" i="12"/>
  <c r="AZ235" i="12"/>
  <c r="BA235" i="12"/>
  <c r="BC235" i="12"/>
  <c r="BE235" i="12"/>
  <c r="BF235" i="12"/>
  <c r="BJ235" i="12"/>
  <c r="BK235" i="12"/>
  <c r="BL235" i="12"/>
  <c r="BM235" i="12"/>
  <c r="AB236" i="12"/>
  <c r="AC236" i="12"/>
  <c r="AD236" i="12"/>
  <c r="AE236" i="12"/>
  <c r="AG236" i="12"/>
  <c r="AH236" i="12"/>
  <c r="AI236" i="12"/>
  <c r="AJ236" i="12"/>
  <c r="AK236" i="12"/>
  <c r="AL236" i="12"/>
  <c r="AM236" i="12"/>
  <c r="AN236" i="12"/>
  <c r="AO236" i="12"/>
  <c r="AP236" i="12"/>
  <c r="AQ236" i="12"/>
  <c r="AR236" i="12"/>
  <c r="AS236" i="12"/>
  <c r="AT236" i="12"/>
  <c r="AU236" i="12"/>
  <c r="AV236" i="12"/>
  <c r="AW236" i="12"/>
  <c r="AX236" i="12"/>
  <c r="AY236" i="12"/>
  <c r="AZ236" i="12"/>
  <c r="BA236" i="12"/>
  <c r="BC236" i="12"/>
  <c r="BE236" i="12"/>
  <c r="BF236" i="12"/>
  <c r="BJ236" i="12"/>
  <c r="BK236" i="12"/>
  <c r="BL236" i="12"/>
  <c r="BM236" i="12"/>
  <c r="AB237" i="12"/>
  <c r="AC237" i="12"/>
  <c r="AD237" i="12"/>
  <c r="AE237" i="12"/>
  <c r="AG237" i="12"/>
  <c r="AH237" i="12"/>
  <c r="AI237" i="12"/>
  <c r="AJ237" i="12"/>
  <c r="AK237" i="12"/>
  <c r="AL237" i="12"/>
  <c r="AM237" i="12"/>
  <c r="AN237" i="12"/>
  <c r="AO237" i="12"/>
  <c r="AP237" i="12"/>
  <c r="AQ237" i="12"/>
  <c r="AR237" i="12"/>
  <c r="AS237" i="12"/>
  <c r="AT237" i="12"/>
  <c r="AU237" i="12"/>
  <c r="AV237" i="12"/>
  <c r="AW237" i="12"/>
  <c r="AX237" i="12"/>
  <c r="AY237" i="12"/>
  <c r="AZ237" i="12"/>
  <c r="BA237" i="12"/>
  <c r="BC237" i="12"/>
  <c r="BE237" i="12"/>
  <c r="BF237" i="12"/>
  <c r="BJ237" i="12"/>
  <c r="BK237" i="12"/>
  <c r="BL237" i="12"/>
  <c r="BM237" i="12"/>
  <c r="AB238" i="12"/>
  <c r="AC238" i="12"/>
  <c r="AD238" i="12"/>
  <c r="AE238" i="12"/>
  <c r="AG238" i="12"/>
  <c r="AH238" i="12"/>
  <c r="AI238" i="12"/>
  <c r="AJ238" i="12"/>
  <c r="AK238" i="12"/>
  <c r="AL238" i="12"/>
  <c r="AM238" i="12"/>
  <c r="AN238" i="12"/>
  <c r="AO238" i="12"/>
  <c r="AP238" i="12"/>
  <c r="AQ238" i="12"/>
  <c r="AR238" i="12"/>
  <c r="AS238" i="12"/>
  <c r="AT238" i="12"/>
  <c r="AU238" i="12"/>
  <c r="AV238" i="12"/>
  <c r="AW238" i="12"/>
  <c r="AX238" i="12"/>
  <c r="AY238" i="12"/>
  <c r="AZ238" i="12"/>
  <c r="BA238" i="12"/>
  <c r="BC238" i="12"/>
  <c r="BE238" i="12"/>
  <c r="BF238" i="12"/>
  <c r="BJ238" i="12"/>
  <c r="BK238" i="12"/>
  <c r="BL238" i="12"/>
  <c r="BM238" i="12"/>
  <c r="AB239" i="12"/>
  <c r="AC239" i="12"/>
  <c r="AD239" i="12"/>
  <c r="AE239" i="12"/>
  <c r="AG239" i="12"/>
  <c r="AH239" i="12"/>
  <c r="AI239" i="12"/>
  <c r="AJ239" i="12"/>
  <c r="AK239" i="12"/>
  <c r="AL239" i="12"/>
  <c r="AM239" i="12"/>
  <c r="AN239" i="12"/>
  <c r="AO239" i="12"/>
  <c r="AP239" i="12"/>
  <c r="AQ239" i="12"/>
  <c r="AR239" i="12"/>
  <c r="AS239" i="12"/>
  <c r="AT239" i="12"/>
  <c r="AU239" i="12"/>
  <c r="AV239" i="12"/>
  <c r="AW239" i="12"/>
  <c r="AX239" i="12"/>
  <c r="AY239" i="12"/>
  <c r="AZ239" i="12"/>
  <c r="BA239" i="12"/>
  <c r="BC239" i="12"/>
  <c r="BE239" i="12"/>
  <c r="BF239" i="12"/>
  <c r="BJ239" i="12"/>
  <c r="BK239" i="12"/>
  <c r="BL239" i="12"/>
  <c r="BM239" i="12"/>
  <c r="AB240" i="12"/>
  <c r="AC240" i="12"/>
  <c r="AD240" i="12"/>
  <c r="AE240" i="12"/>
  <c r="AG240" i="12"/>
  <c r="AH240" i="12"/>
  <c r="AI240" i="12"/>
  <c r="AJ240" i="12"/>
  <c r="AK240" i="12"/>
  <c r="AL240" i="12"/>
  <c r="AM240" i="12"/>
  <c r="AN240" i="12"/>
  <c r="AO240" i="12"/>
  <c r="AP240" i="12"/>
  <c r="AQ240" i="12"/>
  <c r="AR240" i="12"/>
  <c r="AS240" i="12"/>
  <c r="AT240" i="12"/>
  <c r="AU240" i="12"/>
  <c r="AV240" i="12"/>
  <c r="AW240" i="12"/>
  <c r="AX240" i="12"/>
  <c r="AY240" i="12"/>
  <c r="AZ240" i="12"/>
  <c r="BA240" i="12"/>
  <c r="BC240" i="12"/>
  <c r="BE240" i="12"/>
  <c r="BF240" i="12"/>
  <c r="BJ240" i="12"/>
  <c r="BK240" i="12"/>
  <c r="BL240" i="12"/>
  <c r="BM240" i="12"/>
  <c r="AB241" i="12"/>
  <c r="AC241" i="12"/>
  <c r="AD241" i="12"/>
  <c r="AE241" i="12"/>
  <c r="AG241" i="12"/>
  <c r="AH241" i="12"/>
  <c r="AI241" i="12"/>
  <c r="AJ241" i="12"/>
  <c r="AK241" i="12"/>
  <c r="AL241" i="12"/>
  <c r="AM241" i="12"/>
  <c r="AN241" i="12"/>
  <c r="AO241" i="12"/>
  <c r="AP241" i="12"/>
  <c r="AQ241" i="12"/>
  <c r="AR241" i="12"/>
  <c r="AS241" i="12"/>
  <c r="AT241" i="12"/>
  <c r="AU241" i="12"/>
  <c r="AV241" i="12"/>
  <c r="AW241" i="12"/>
  <c r="AX241" i="12"/>
  <c r="AY241" i="12"/>
  <c r="AZ241" i="12"/>
  <c r="BA241" i="12"/>
  <c r="BC241" i="12"/>
  <c r="BE241" i="12"/>
  <c r="BF241" i="12"/>
  <c r="BJ241" i="12"/>
  <c r="BK241" i="12"/>
  <c r="BL241" i="12"/>
  <c r="BM241" i="12"/>
  <c r="AB242" i="12"/>
  <c r="AC242" i="12"/>
  <c r="AD242" i="12"/>
  <c r="AE242" i="12"/>
  <c r="AG242" i="12"/>
  <c r="AH242" i="12"/>
  <c r="AI242" i="12"/>
  <c r="AJ242" i="12"/>
  <c r="AK242" i="12"/>
  <c r="AL242" i="12"/>
  <c r="AM242" i="12"/>
  <c r="AN242" i="12"/>
  <c r="AO242" i="12"/>
  <c r="AP242" i="12"/>
  <c r="AQ242" i="12"/>
  <c r="AR242" i="12"/>
  <c r="AS242" i="12"/>
  <c r="AT242" i="12"/>
  <c r="AU242" i="12"/>
  <c r="AV242" i="12"/>
  <c r="AW242" i="12"/>
  <c r="AX242" i="12"/>
  <c r="AY242" i="12"/>
  <c r="AZ242" i="12"/>
  <c r="BA242" i="12"/>
  <c r="BC242" i="12"/>
  <c r="BE242" i="12"/>
  <c r="BF242" i="12"/>
  <c r="BJ242" i="12"/>
  <c r="BK242" i="12"/>
  <c r="BL242" i="12"/>
  <c r="BM242" i="12"/>
  <c r="AB243" i="12"/>
  <c r="AC243" i="12"/>
  <c r="AD243" i="12"/>
  <c r="AE243" i="12"/>
  <c r="AG243" i="12"/>
  <c r="AH243" i="12"/>
  <c r="AI243" i="12"/>
  <c r="AJ243" i="12"/>
  <c r="AK243" i="12"/>
  <c r="AL243" i="12"/>
  <c r="AM243" i="12"/>
  <c r="AN243" i="12"/>
  <c r="AO243" i="12"/>
  <c r="AP243" i="12"/>
  <c r="AQ243" i="12"/>
  <c r="AR243" i="12"/>
  <c r="AS243" i="12"/>
  <c r="AT243" i="12"/>
  <c r="AU243" i="12"/>
  <c r="AV243" i="12"/>
  <c r="AW243" i="12"/>
  <c r="AX243" i="12"/>
  <c r="AY243" i="12"/>
  <c r="AZ243" i="12"/>
  <c r="BA243" i="12"/>
  <c r="BC243" i="12"/>
  <c r="BE243" i="12"/>
  <c r="BF243" i="12"/>
  <c r="BJ243" i="12"/>
  <c r="BK243" i="12"/>
  <c r="BL243" i="12"/>
  <c r="BM243" i="12"/>
  <c r="AB244" i="12"/>
  <c r="AC244" i="12"/>
  <c r="AD244" i="12"/>
  <c r="AE244" i="12"/>
  <c r="AG244" i="12"/>
  <c r="AH244" i="12"/>
  <c r="AI244" i="12"/>
  <c r="AJ244" i="12"/>
  <c r="AK244" i="12"/>
  <c r="AL244" i="12"/>
  <c r="AM244" i="12"/>
  <c r="AN244" i="12"/>
  <c r="AO244" i="12"/>
  <c r="AP244" i="12"/>
  <c r="AQ244" i="12"/>
  <c r="AR244" i="12"/>
  <c r="AS244" i="12"/>
  <c r="AT244" i="12"/>
  <c r="AU244" i="12"/>
  <c r="AV244" i="12"/>
  <c r="AW244" i="12"/>
  <c r="AX244" i="12"/>
  <c r="AY244" i="12"/>
  <c r="AZ244" i="12"/>
  <c r="BA244" i="12"/>
  <c r="BC244" i="12"/>
  <c r="BE244" i="12"/>
  <c r="BF244" i="12"/>
  <c r="BJ244" i="12"/>
  <c r="BK244" i="12"/>
  <c r="BL244" i="12"/>
  <c r="BM244" i="12"/>
  <c r="AB245" i="12"/>
  <c r="AC245" i="12"/>
  <c r="AD245" i="12"/>
  <c r="AE245" i="12"/>
  <c r="AG245" i="12"/>
  <c r="AH245" i="12"/>
  <c r="AI245" i="12"/>
  <c r="AJ245" i="12"/>
  <c r="AK245" i="12"/>
  <c r="AL245" i="12"/>
  <c r="AM245" i="12"/>
  <c r="AN245" i="12"/>
  <c r="AO245" i="12"/>
  <c r="AP245" i="12"/>
  <c r="AQ245" i="12"/>
  <c r="AR245" i="12"/>
  <c r="AS245" i="12"/>
  <c r="AT245" i="12"/>
  <c r="AU245" i="12"/>
  <c r="AV245" i="12"/>
  <c r="AW245" i="12"/>
  <c r="AX245" i="12"/>
  <c r="AY245" i="12"/>
  <c r="AZ245" i="12"/>
  <c r="BA245" i="12"/>
  <c r="BC245" i="12"/>
  <c r="BE245" i="12"/>
  <c r="BF245" i="12"/>
  <c r="BJ245" i="12"/>
  <c r="BK245" i="12"/>
  <c r="BL245" i="12"/>
  <c r="BM245" i="12"/>
  <c r="AB246" i="12"/>
  <c r="AC246" i="12"/>
  <c r="AD246" i="12"/>
  <c r="AE246" i="12"/>
  <c r="AG246" i="12"/>
  <c r="AH246" i="12"/>
  <c r="AI246" i="12"/>
  <c r="AJ246" i="12"/>
  <c r="AK246" i="12"/>
  <c r="AL246" i="12"/>
  <c r="AM246" i="12"/>
  <c r="AN246" i="12"/>
  <c r="AO246" i="12"/>
  <c r="AP246" i="12"/>
  <c r="AQ246" i="12"/>
  <c r="AR246" i="12"/>
  <c r="AS246" i="12"/>
  <c r="AT246" i="12"/>
  <c r="AU246" i="12"/>
  <c r="AV246" i="12"/>
  <c r="AW246" i="12"/>
  <c r="AX246" i="12"/>
  <c r="AY246" i="12"/>
  <c r="AZ246" i="12"/>
  <c r="BA246" i="12"/>
  <c r="BC246" i="12"/>
  <c r="BE246" i="12"/>
  <c r="BF246" i="12"/>
  <c r="BJ246" i="12"/>
  <c r="BK246" i="12"/>
  <c r="BL246" i="12"/>
  <c r="BM246" i="12"/>
  <c r="AB247" i="12"/>
  <c r="AC247" i="12"/>
  <c r="AD247" i="12"/>
  <c r="AE247" i="12"/>
  <c r="AG247" i="12"/>
  <c r="AH247" i="12"/>
  <c r="AI247" i="12"/>
  <c r="AJ247" i="12"/>
  <c r="AK247" i="12"/>
  <c r="AL247" i="12"/>
  <c r="AM247" i="12"/>
  <c r="AN247" i="12"/>
  <c r="AO247" i="12"/>
  <c r="AP247" i="12"/>
  <c r="AQ247" i="12"/>
  <c r="AR247" i="12"/>
  <c r="AS247" i="12"/>
  <c r="AT247" i="12"/>
  <c r="AU247" i="12"/>
  <c r="AV247" i="12"/>
  <c r="AW247" i="12"/>
  <c r="AX247" i="12"/>
  <c r="AY247" i="12"/>
  <c r="AZ247" i="12"/>
  <c r="BA247" i="12"/>
  <c r="BC247" i="12"/>
  <c r="BE247" i="12"/>
  <c r="BF247" i="12"/>
  <c r="BJ247" i="12"/>
  <c r="BK247" i="12"/>
  <c r="BL247" i="12"/>
  <c r="BM247" i="12"/>
  <c r="AB248" i="12"/>
  <c r="AC248" i="12"/>
  <c r="AD248" i="12"/>
  <c r="AE248" i="12"/>
  <c r="AG248" i="12"/>
  <c r="AH248" i="12"/>
  <c r="AI248" i="12"/>
  <c r="AJ248" i="12"/>
  <c r="AK248" i="12"/>
  <c r="AL248" i="12"/>
  <c r="AM248" i="12"/>
  <c r="AN248" i="12"/>
  <c r="AO248" i="12"/>
  <c r="AP248" i="12"/>
  <c r="AQ248" i="12"/>
  <c r="AR248" i="12"/>
  <c r="AS248" i="12"/>
  <c r="AT248" i="12"/>
  <c r="AU248" i="12"/>
  <c r="AV248" i="12"/>
  <c r="AW248" i="12"/>
  <c r="AX248" i="12"/>
  <c r="AY248" i="12"/>
  <c r="AZ248" i="12"/>
  <c r="BA248" i="12"/>
  <c r="BC248" i="12"/>
  <c r="BE248" i="12"/>
  <c r="BF248" i="12"/>
  <c r="BJ248" i="12"/>
  <c r="BK248" i="12"/>
  <c r="BL248" i="12"/>
  <c r="BM248" i="12"/>
  <c r="AB249" i="12"/>
  <c r="AC249" i="12"/>
  <c r="AD249" i="12"/>
  <c r="AE249" i="12"/>
  <c r="AG249" i="12"/>
  <c r="AH249" i="12"/>
  <c r="AI249" i="12"/>
  <c r="AJ249" i="12"/>
  <c r="AK249" i="12"/>
  <c r="AL249" i="12"/>
  <c r="AM249" i="12"/>
  <c r="AN249" i="12"/>
  <c r="AO249" i="12"/>
  <c r="AP249" i="12"/>
  <c r="AQ249" i="12"/>
  <c r="AR249" i="12"/>
  <c r="AS249" i="12"/>
  <c r="AT249" i="12"/>
  <c r="AU249" i="12"/>
  <c r="AV249" i="12"/>
  <c r="AW249" i="12"/>
  <c r="AX249" i="12"/>
  <c r="AY249" i="12"/>
  <c r="AZ249" i="12"/>
  <c r="BA249" i="12"/>
  <c r="BC249" i="12"/>
  <c r="BE249" i="12"/>
  <c r="BF249" i="12"/>
  <c r="BJ249" i="12"/>
  <c r="BK249" i="12"/>
  <c r="BL249" i="12"/>
  <c r="BM249" i="12"/>
  <c r="AB250" i="12"/>
  <c r="AC250" i="12"/>
  <c r="AD250" i="12"/>
  <c r="AE250" i="12"/>
  <c r="AG250" i="12"/>
  <c r="AH250" i="12"/>
  <c r="AI250" i="12"/>
  <c r="AJ250" i="12"/>
  <c r="AK250" i="12"/>
  <c r="AL250" i="12"/>
  <c r="AM250" i="12"/>
  <c r="AN250" i="12"/>
  <c r="AO250" i="12"/>
  <c r="AP250" i="12"/>
  <c r="AQ250" i="12"/>
  <c r="AR250" i="12"/>
  <c r="AS250" i="12"/>
  <c r="AT250" i="12"/>
  <c r="AU250" i="12"/>
  <c r="AV250" i="12"/>
  <c r="AW250" i="12"/>
  <c r="AX250" i="12"/>
  <c r="AY250" i="12"/>
  <c r="AZ250" i="12"/>
  <c r="BA250" i="12"/>
  <c r="BC250" i="12"/>
  <c r="BE250" i="12"/>
  <c r="BF250" i="12"/>
  <c r="BJ250" i="12"/>
  <c r="BK250" i="12"/>
  <c r="BL250" i="12"/>
  <c r="BM250" i="12"/>
  <c r="AB251" i="12"/>
  <c r="AC251" i="12"/>
  <c r="AD251" i="12"/>
  <c r="AE251" i="12"/>
  <c r="AG251" i="12"/>
  <c r="AH251" i="12"/>
  <c r="AI251" i="12"/>
  <c r="AJ251" i="12"/>
  <c r="AK251" i="12"/>
  <c r="AL251" i="12"/>
  <c r="AM251" i="12"/>
  <c r="AN251" i="12"/>
  <c r="AO251" i="12"/>
  <c r="AP251" i="12"/>
  <c r="AQ251" i="12"/>
  <c r="AR251" i="12"/>
  <c r="AS251" i="12"/>
  <c r="AT251" i="12"/>
  <c r="AU251" i="12"/>
  <c r="AV251" i="12"/>
  <c r="AW251" i="12"/>
  <c r="AX251" i="12"/>
  <c r="AY251" i="12"/>
  <c r="AZ251" i="12"/>
  <c r="BA251" i="12"/>
  <c r="BC251" i="12"/>
  <c r="BE251" i="12"/>
  <c r="BF251" i="12"/>
  <c r="BJ251" i="12"/>
  <c r="BK251" i="12"/>
  <c r="BL251" i="12"/>
  <c r="BM251" i="12"/>
  <c r="AB252" i="12"/>
  <c r="AC252" i="12"/>
  <c r="AD252" i="12"/>
  <c r="AE252" i="12"/>
  <c r="AG252" i="12"/>
  <c r="AH252" i="12"/>
  <c r="AI252" i="12"/>
  <c r="AJ252" i="12"/>
  <c r="AK252" i="12"/>
  <c r="AL252" i="12"/>
  <c r="AM252" i="12"/>
  <c r="AN252" i="12"/>
  <c r="AO252" i="12"/>
  <c r="AP252" i="12"/>
  <c r="AQ252" i="12"/>
  <c r="AR252" i="12"/>
  <c r="AS252" i="12"/>
  <c r="AT252" i="12"/>
  <c r="AU252" i="12"/>
  <c r="AV252" i="12"/>
  <c r="AW252" i="12"/>
  <c r="AX252" i="12"/>
  <c r="AY252" i="12"/>
  <c r="AZ252" i="12"/>
  <c r="BA252" i="12"/>
  <c r="BC252" i="12"/>
  <c r="BE252" i="12"/>
  <c r="BF252" i="12"/>
  <c r="BJ252" i="12"/>
  <c r="BK252" i="12"/>
  <c r="BL252" i="12"/>
  <c r="BM252" i="12"/>
  <c r="AB253" i="12"/>
  <c r="AC253" i="12"/>
  <c r="AD253" i="12"/>
  <c r="AE253" i="12"/>
  <c r="AG253" i="12"/>
  <c r="AH253" i="12"/>
  <c r="AI253" i="12"/>
  <c r="AJ253" i="12"/>
  <c r="AK253" i="12"/>
  <c r="AL253" i="12"/>
  <c r="AM253" i="12"/>
  <c r="AN253" i="12"/>
  <c r="AO253" i="12"/>
  <c r="AP253" i="12"/>
  <c r="AQ253" i="12"/>
  <c r="AR253" i="12"/>
  <c r="AS253" i="12"/>
  <c r="AT253" i="12"/>
  <c r="AU253" i="12"/>
  <c r="AV253" i="12"/>
  <c r="AW253" i="12"/>
  <c r="AX253" i="12"/>
  <c r="AY253" i="12"/>
  <c r="AZ253" i="12"/>
  <c r="BA253" i="12"/>
  <c r="BC253" i="12"/>
  <c r="BE253" i="12"/>
  <c r="BF253" i="12"/>
  <c r="BJ253" i="12"/>
  <c r="BK253" i="12"/>
  <c r="BL253" i="12"/>
  <c r="BM253" i="12"/>
  <c r="AB254" i="12"/>
  <c r="AC254" i="12"/>
  <c r="AD254" i="12"/>
  <c r="AE254" i="12"/>
  <c r="AG254" i="12"/>
  <c r="AH254" i="12"/>
  <c r="AI254" i="12"/>
  <c r="AJ254" i="12"/>
  <c r="AK254" i="12"/>
  <c r="AL254" i="12"/>
  <c r="AM254" i="12"/>
  <c r="AN254" i="12"/>
  <c r="AO254" i="12"/>
  <c r="AP254" i="12"/>
  <c r="AQ254" i="12"/>
  <c r="AR254" i="12"/>
  <c r="AS254" i="12"/>
  <c r="AT254" i="12"/>
  <c r="AU254" i="12"/>
  <c r="AV254" i="12"/>
  <c r="AW254" i="12"/>
  <c r="AX254" i="12"/>
  <c r="AY254" i="12"/>
  <c r="AZ254" i="12"/>
  <c r="BA254" i="12"/>
  <c r="BC254" i="12"/>
  <c r="BE254" i="12"/>
  <c r="BF254" i="12"/>
  <c r="BJ254" i="12"/>
  <c r="BK254" i="12"/>
  <c r="BL254" i="12"/>
  <c r="BM254" i="12"/>
  <c r="AB255" i="12"/>
  <c r="AC255" i="12"/>
  <c r="AD255" i="12"/>
  <c r="AE255" i="12"/>
  <c r="AG255" i="12"/>
  <c r="AH255" i="12"/>
  <c r="AI255" i="12"/>
  <c r="AJ255" i="12"/>
  <c r="AK255" i="12"/>
  <c r="AL255" i="12"/>
  <c r="AM255" i="12"/>
  <c r="AN255" i="12"/>
  <c r="AO255" i="12"/>
  <c r="AP255" i="12"/>
  <c r="AQ255" i="12"/>
  <c r="AR255" i="12"/>
  <c r="AS255" i="12"/>
  <c r="AT255" i="12"/>
  <c r="AU255" i="12"/>
  <c r="AV255" i="12"/>
  <c r="AW255" i="12"/>
  <c r="AX255" i="12"/>
  <c r="AY255" i="12"/>
  <c r="AZ255" i="12"/>
  <c r="BA255" i="12"/>
  <c r="BC255" i="12"/>
  <c r="BE255" i="12"/>
  <c r="BF255" i="12"/>
  <c r="BJ255" i="12"/>
  <c r="BK255" i="12"/>
  <c r="BL255" i="12"/>
  <c r="BM255" i="12"/>
  <c r="AB256" i="12"/>
  <c r="AC256" i="12"/>
  <c r="AD256" i="12"/>
  <c r="AE256" i="12"/>
  <c r="AG256" i="12"/>
  <c r="AH256" i="12"/>
  <c r="AI256" i="12"/>
  <c r="AJ256" i="12"/>
  <c r="AK256" i="12"/>
  <c r="AL256" i="12"/>
  <c r="AM256" i="12"/>
  <c r="AN256" i="12"/>
  <c r="AO256" i="12"/>
  <c r="AP256" i="12"/>
  <c r="AQ256" i="12"/>
  <c r="AR256" i="12"/>
  <c r="AS256" i="12"/>
  <c r="AT256" i="12"/>
  <c r="AU256" i="12"/>
  <c r="AV256" i="12"/>
  <c r="AW256" i="12"/>
  <c r="AX256" i="12"/>
  <c r="AY256" i="12"/>
  <c r="AZ256" i="12"/>
  <c r="BA256" i="12"/>
  <c r="BC256" i="12"/>
  <c r="BE256" i="12"/>
  <c r="BF256" i="12"/>
  <c r="BJ256" i="12"/>
  <c r="BK256" i="12"/>
  <c r="BL256" i="12"/>
  <c r="BM256" i="12"/>
  <c r="AB257" i="12"/>
  <c r="AC257" i="12"/>
  <c r="AD257" i="12"/>
  <c r="AE257" i="12"/>
  <c r="AG257" i="12"/>
  <c r="AH257" i="12"/>
  <c r="AI257" i="12"/>
  <c r="AJ257" i="12"/>
  <c r="AK257" i="12"/>
  <c r="AL257" i="12"/>
  <c r="AM257" i="12"/>
  <c r="AN257" i="12"/>
  <c r="AO257" i="12"/>
  <c r="AP257" i="12"/>
  <c r="AQ257" i="12"/>
  <c r="AR257" i="12"/>
  <c r="AS257" i="12"/>
  <c r="AT257" i="12"/>
  <c r="AU257" i="12"/>
  <c r="AV257" i="12"/>
  <c r="AW257" i="12"/>
  <c r="AX257" i="12"/>
  <c r="AY257" i="12"/>
  <c r="AZ257" i="12"/>
  <c r="BA257" i="12"/>
  <c r="BC257" i="12"/>
  <c r="BE257" i="12"/>
  <c r="BF257" i="12"/>
  <c r="BJ257" i="12"/>
  <c r="BK257" i="12"/>
  <c r="BL257" i="12"/>
  <c r="BM257" i="12"/>
  <c r="AB258" i="12"/>
  <c r="AC258" i="12"/>
  <c r="AD258" i="12"/>
  <c r="AE258" i="12"/>
  <c r="AG258" i="12"/>
  <c r="AH258" i="12"/>
  <c r="AI258" i="12"/>
  <c r="AJ258" i="12"/>
  <c r="AK258" i="12"/>
  <c r="AL258" i="12"/>
  <c r="AM258" i="12"/>
  <c r="AN258" i="12"/>
  <c r="AO258" i="12"/>
  <c r="AP258" i="12"/>
  <c r="AQ258" i="12"/>
  <c r="AR258" i="12"/>
  <c r="AS258" i="12"/>
  <c r="AT258" i="12"/>
  <c r="AU258" i="12"/>
  <c r="AV258" i="12"/>
  <c r="AW258" i="12"/>
  <c r="AX258" i="12"/>
  <c r="AY258" i="12"/>
  <c r="AZ258" i="12"/>
  <c r="BA258" i="12"/>
  <c r="BC258" i="12"/>
  <c r="BE258" i="12"/>
  <c r="BF258" i="12"/>
  <c r="BJ258" i="12"/>
  <c r="BK258" i="12"/>
  <c r="BL258" i="12"/>
  <c r="BM258" i="12"/>
  <c r="AB259" i="12"/>
  <c r="AC259" i="12"/>
  <c r="AD259" i="12"/>
  <c r="AE259" i="12"/>
  <c r="AG259" i="12"/>
  <c r="AH259" i="12"/>
  <c r="AI259" i="12"/>
  <c r="AJ259" i="12"/>
  <c r="AK259" i="12"/>
  <c r="AL259" i="12"/>
  <c r="AM259" i="12"/>
  <c r="AN259" i="12"/>
  <c r="AO259" i="12"/>
  <c r="AP259" i="12"/>
  <c r="AQ259" i="12"/>
  <c r="AR259" i="12"/>
  <c r="AS259" i="12"/>
  <c r="AT259" i="12"/>
  <c r="AU259" i="12"/>
  <c r="AV259" i="12"/>
  <c r="AW259" i="12"/>
  <c r="AX259" i="12"/>
  <c r="AY259" i="12"/>
  <c r="AZ259" i="12"/>
  <c r="BA259" i="12"/>
  <c r="BC259" i="12"/>
  <c r="BE259" i="12"/>
  <c r="BF259" i="12"/>
  <c r="BJ259" i="12"/>
  <c r="BK259" i="12"/>
  <c r="BL259" i="12"/>
  <c r="BM259" i="12"/>
  <c r="AB260" i="12"/>
  <c r="AC260" i="12"/>
  <c r="AD260" i="12"/>
  <c r="AE260" i="12"/>
  <c r="AG260" i="12"/>
  <c r="AH260" i="12"/>
  <c r="AI260" i="12"/>
  <c r="AJ260" i="12"/>
  <c r="AK260" i="12"/>
  <c r="AL260" i="12"/>
  <c r="AM260" i="12"/>
  <c r="AN260" i="12"/>
  <c r="AO260" i="12"/>
  <c r="AP260" i="12"/>
  <c r="AQ260" i="12"/>
  <c r="AR260" i="12"/>
  <c r="AS260" i="12"/>
  <c r="AT260" i="12"/>
  <c r="AU260" i="12"/>
  <c r="AV260" i="12"/>
  <c r="AW260" i="12"/>
  <c r="AX260" i="12"/>
  <c r="AY260" i="12"/>
  <c r="AZ260" i="12"/>
  <c r="BA260" i="12"/>
  <c r="BC260" i="12"/>
  <c r="BE260" i="12"/>
  <c r="BF260" i="12"/>
  <c r="BJ260" i="12"/>
  <c r="BK260" i="12"/>
  <c r="BL260" i="12"/>
  <c r="BM260" i="12"/>
  <c r="AB261" i="12"/>
  <c r="AC261" i="12"/>
  <c r="AD261" i="12"/>
  <c r="AE261" i="12"/>
  <c r="AG261" i="12"/>
  <c r="AH261" i="12"/>
  <c r="AI261" i="12"/>
  <c r="AJ261" i="12"/>
  <c r="AK261" i="12"/>
  <c r="AL261" i="12"/>
  <c r="AM261" i="12"/>
  <c r="AN261" i="12"/>
  <c r="AO261" i="12"/>
  <c r="AP261" i="12"/>
  <c r="AQ261" i="12"/>
  <c r="AR261" i="12"/>
  <c r="AS261" i="12"/>
  <c r="AT261" i="12"/>
  <c r="AU261" i="12"/>
  <c r="AV261" i="12"/>
  <c r="AW261" i="12"/>
  <c r="AX261" i="12"/>
  <c r="AY261" i="12"/>
  <c r="AZ261" i="12"/>
  <c r="BA261" i="12"/>
  <c r="BC261" i="12"/>
  <c r="BE261" i="12"/>
  <c r="BF261" i="12"/>
  <c r="BJ261" i="12"/>
  <c r="BK261" i="12"/>
  <c r="BL261" i="12"/>
  <c r="BM261" i="12"/>
  <c r="AB262" i="12"/>
  <c r="AC262" i="12"/>
  <c r="AD262" i="12"/>
  <c r="AE262" i="12"/>
  <c r="AG262" i="12"/>
  <c r="AH262" i="12"/>
  <c r="AI262" i="12"/>
  <c r="AJ262" i="12"/>
  <c r="AK262" i="12"/>
  <c r="AL262" i="12"/>
  <c r="AM262" i="12"/>
  <c r="AN262" i="12"/>
  <c r="AO262" i="12"/>
  <c r="AP262" i="12"/>
  <c r="AQ262" i="12"/>
  <c r="AR262" i="12"/>
  <c r="AS262" i="12"/>
  <c r="AT262" i="12"/>
  <c r="AU262" i="12"/>
  <c r="AV262" i="12"/>
  <c r="AW262" i="12"/>
  <c r="AX262" i="12"/>
  <c r="AY262" i="12"/>
  <c r="AZ262" i="12"/>
  <c r="BA262" i="12"/>
  <c r="BC262" i="12"/>
  <c r="BE262" i="12"/>
  <c r="BF262" i="12"/>
  <c r="BJ262" i="12"/>
  <c r="BK262" i="12"/>
  <c r="BL262" i="12"/>
  <c r="BM262" i="12"/>
  <c r="AB263" i="12"/>
  <c r="AC263" i="12"/>
  <c r="AD263" i="12"/>
  <c r="AE263" i="12"/>
  <c r="AG263" i="12"/>
  <c r="AH263" i="12"/>
  <c r="AI263" i="12"/>
  <c r="AJ263" i="12"/>
  <c r="AK263" i="12"/>
  <c r="AL263" i="12"/>
  <c r="AM263" i="12"/>
  <c r="AN263" i="12"/>
  <c r="AO263" i="12"/>
  <c r="AP263" i="12"/>
  <c r="AQ263" i="12"/>
  <c r="AR263" i="12"/>
  <c r="AS263" i="12"/>
  <c r="AT263" i="12"/>
  <c r="AU263" i="12"/>
  <c r="AV263" i="12"/>
  <c r="AW263" i="12"/>
  <c r="AX263" i="12"/>
  <c r="AY263" i="12"/>
  <c r="AZ263" i="12"/>
  <c r="BA263" i="12"/>
  <c r="BC263" i="12"/>
  <c r="BE263" i="12"/>
  <c r="BF263" i="12"/>
  <c r="BJ263" i="12"/>
  <c r="BK263" i="12"/>
  <c r="BL263" i="12"/>
  <c r="BM263" i="12"/>
  <c r="AB264" i="12"/>
  <c r="AC264" i="12"/>
  <c r="AD264" i="12"/>
  <c r="AE264" i="12"/>
  <c r="AG264" i="12"/>
  <c r="AH264" i="12"/>
  <c r="AI264" i="12"/>
  <c r="AJ264" i="12"/>
  <c r="AK264" i="12"/>
  <c r="AL264" i="12"/>
  <c r="AM264" i="12"/>
  <c r="AN264" i="12"/>
  <c r="AO264" i="12"/>
  <c r="AP264" i="12"/>
  <c r="AQ264" i="12"/>
  <c r="AR264" i="12"/>
  <c r="AS264" i="12"/>
  <c r="AT264" i="12"/>
  <c r="AU264" i="12"/>
  <c r="AV264" i="12"/>
  <c r="AW264" i="12"/>
  <c r="AX264" i="12"/>
  <c r="AY264" i="12"/>
  <c r="AZ264" i="12"/>
  <c r="BA264" i="12"/>
  <c r="BC264" i="12"/>
  <c r="BE264" i="12"/>
  <c r="BF264" i="12"/>
  <c r="BJ264" i="12"/>
  <c r="BK264" i="12"/>
  <c r="BL264" i="12"/>
  <c r="BM264" i="12"/>
  <c r="AB265" i="12"/>
  <c r="AC265" i="12"/>
  <c r="AD265" i="12"/>
  <c r="AE265" i="12"/>
  <c r="AG265" i="12"/>
  <c r="AH265" i="12"/>
  <c r="AI265" i="12"/>
  <c r="AJ265" i="12"/>
  <c r="AK265" i="12"/>
  <c r="AL265" i="12"/>
  <c r="AM265" i="12"/>
  <c r="AN265" i="12"/>
  <c r="AO265" i="12"/>
  <c r="AP265" i="12"/>
  <c r="AQ265" i="12"/>
  <c r="AR265" i="12"/>
  <c r="AS265" i="12"/>
  <c r="AT265" i="12"/>
  <c r="AU265" i="12"/>
  <c r="AV265" i="12"/>
  <c r="AW265" i="12"/>
  <c r="AX265" i="12"/>
  <c r="AY265" i="12"/>
  <c r="AZ265" i="12"/>
  <c r="BA265" i="12"/>
  <c r="BC265" i="12"/>
  <c r="BE265" i="12"/>
  <c r="BF265" i="12"/>
  <c r="BJ265" i="12"/>
  <c r="BK265" i="12"/>
  <c r="BL265" i="12"/>
  <c r="BM265" i="12"/>
  <c r="AB266" i="12"/>
  <c r="AC266" i="12"/>
  <c r="AD266" i="12"/>
  <c r="AE266" i="12"/>
  <c r="AG266" i="12"/>
  <c r="AH266" i="12"/>
  <c r="AI266" i="12"/>
  <c r="AJ266" i="12"/>
  <c r="AK266" i="12"/>
  <c r="AL266" i="12"/>
  <c r="AM266" i="12"/>
  <c r="AN266" i="12"/>
  <c r="AO266" i="12"/>
  <c r="AP266" i="12"/>
  <c r="AQ266" i="12"/>
  <c r="AR266" i="12"/>
  <c r="AS266" i="12"/>
  <c r="AT266" i="12"/>
  <c r="AU266" i="12"/>
  <c r="AV266" i="12"/>
  <c r="AW266" i="12"/>
  <c r="AX266" i="12"/>
  <c r="AY266" i="12"/>
  <c r="AZ266" i="12"/>
  <c r="BA266" i="12"/>
  <c r="BC266" i="12"/>
  <c r="BE266" i="12"/>
  <c r="BF266" i="12"/>
  <c r="BJ266" i="12"/>
  <c r="BK266" i="12"/>
  <c r="BL266" i="12"/>
  <c r="BM266" i="12"/>
  <c r="AB267" i="12"/>
  <c r="AC267" i="12"/>
  <c r="AD267" i="12"/>
  <c r="AE267" i="12"/>
  <c r="AG267" i="12"/>
  <c r="AH267" i="12"/>
  <c r="AI267" i="12"/>
  <c r="AJ267" i="12"/>
  <c r="AK267" i="12"/>
  <c r="AL267" i="12"/>
  <c r="AM267" i="12"/>
  <c r="AN267" i="12"/>
  <c r="AO267" i="12"/>
  <c r="AP267" i="12"/>
  <c r="AQ267" i="12"/>
  <c r="AR267" i="12"/>
  <c r="AS267" i="12"/>
  <c r="AT267" i="12"/>
  <c r="AU267" i="12"/>
  <c r="AV267" i="12"/>
  <c r="AW267" i="12"/>
  <c r="AX267" i="12"/>
  <c r="AY267" i="12"/>
  <c r="AZ267" i="12"/>
  <c r="BA267" i="12"/>
  <c r="BC267" i="12"/>
  <c r="BE267" i="12"/>
  <c r="BF267" i="12"/>
  <c r="BJ267" i="12"/>
  <c r="BK267" i="12"/>
  <c r="BL267" i="12"/>
  <c r="BM267" i="12"/>
  <c r="AB268" i="12"/>
  <c r="AC268" i="12"/>
  <c r="AD268" i="12"/>
  <c r="AE268" i="12"/>
  <c r="AG268" i="12"/>
  <c r="AH268" i="12"/>
  <c r="AI268" i="12"/>
  <c r="AJ268" i="12"/>
  <c r="AK268" i="12"/>
  <c r="AL268" i="12"/>
  <c r="AM268" i="12"/>
  <c r="AN268" i="12"/>
  <c r="AO268" i="12"/>
  <c r="AP268" i="12"/>
  <c r="AQ268" i="12"/>
  <c r="AR268" i="12"/>
  <c r="AS268" i="12"/>
  <c r="AT268" i="12"/>
  <c r="AU268" i="12"/>
  <c r="AV268" i="12"/>
  <c r="AW268" i="12"/>
  <c r="AX268" i="12"/>
  <c r="AY268" i="12"/>
  <c r="AZ268" i="12"/>
  <c r="BA268" i="12"/>
  <c r="BC268" i="12"/>
  <c r="BE268" i="12"/>
  <c r="BF268" i="12"/>
  <c r="BJ268" i="12"/>
  <c r="BK268" i="12"/>
  <c r="BL268" i="12"/>
  <c r="BM268" i="12"/>
  <c r="AB269" i="12"/>
  <c r="AC269" i="12"/>
  <c r="AD269" i="12"/>
  <c r="AE269" i="12"/>
  <c r="AG269" i="12"/>
  <c r="AH269" i="12"/>
  <c r="AI269" i="12"/>
  <c r="AJ269" i="12"/>
  <c r="AK269" i="12"/>
  <c r="AL269" i="12"/>
  <c r="AM269" i="12"/>
  <c r="AN269" i="12"/>
  <c r="AO269" i="12"/>
  <c r="AP269" i="12"/>
  <c r="AQ269" i="12"/>
  <c r="AR269" i="12"/>
  <c r="AS269" i="12"/>
  <c r="AT269" i="12"/>
  <c r="AU269" i="12"/>
  <c r="AV269" i="12"/>
  <c r="AW269" i="12"/>
  <c r="AX269" i="12"/>
  <c r="AY269" i="12"/>
  <c r="AZ269" i="12"/>
  <c r="BA269" i="12"/>
  <c r="BC269" i="12"/>
  <c r="BE269" i="12"/>
  <c r="BF269" i="12"/>
  <c r="BJ269" i="12"/>
  <c r="BK269" i="12"/>
  <c r="BL269" i="12"/>
  <c r="BM269" i="12"/>
  <c r="AB270" i="12"/>
  <c r="AC270" i="12"/>
  <c r="AD270" i="12"/>
  <c r="AE270" i="12"/>
  <c r="AG270" i="12"/>
  <c r="AH270" i="12"/>
  <c r="AI270" i="12"/>
  <c r="AJ270" i="12"/>
  <c r="AK270" i="12"/>
  <c r="AL270" i="12"/>
  <c r="AM270" i="12"/>
  <c r="AN270" i="12"/>
  <c r="AO270" i="12"/>
  <c r="AP270" i="12"/>
  <c r="AQ270" i="12"/>
  <c r="AR270" i="12"/>
  <c r="AS270" i="12"/>
  <c r="AT270" i="12"/>
  <c r="AU270" i="12"/>
  <c r="AV270" i="12"/>
  <c r="AW270" i="12"/>
  <c r="AX270" i="12"/>
  <c r="AY270" i="12"/>
  <c r="AZ270" i="12"/>
  <c r="BA270" i="12"/>
  <c r="BC270" i="12"/>
  <c r="BE270" i="12"/>
  <c r="BF270" i="12"/>
  <c r="BJ270" i="12"/>
  <c r="BK270" i="12"/>
  <c r="BL270" i="12"/>
  <c r="BM270" i="12"/>
  <c r="AB271" i="12"/>
  <c r="AC271" i="12"/>
  <c r="AD271" i="12"/>
  <c r="AE271" i="12"/>
  <c r="AG271" i="12"/>
  <c r="AH271" i="12"/>
  <c r="AI271" i="12"/>
  <c r="AJ271" i="12"/>
  <c r="AK271" i="12"/>
  <c r="AL271" i="12"/>
  <c r="AM271" i="12"/>
  <c r="AN271" i="12"/>
  <c r="AO271" i="12"/>
  <c r="AP271" i="12"/>
  <c r="AQ271" i="12"/>
  <c r="AR271" i="12"/>
  <c r="AS271" i="12"/>
  <c r="AT271" i="12"/>
  <c r="AU271" i="12"/>
  <c r="AV271" i="12"/>
  <c r="AW271" i="12"/>
  <c r="AX271" i="12"/>
  <c r="AY271" i="12"/>
  <c r="AZ271" i="12"/>
  <c r="BA271" i="12"/>
  <c r="BC271" i="12"/>
  <c r="BE271" i="12"/>
  <c r="BF271" i="12"/>
  <c r="BJ271" i="12"/>
  <c r="BK271" i="12"/>
  <c r="BL271" i="12"/>
  <c r="BM271" i="12"/>
  <c r="AB272" i="12"/>
  <c r="AC272" i="12"/>
  <c r="AD272" i="12"/>
  <c r="AE272" i="12"/>
  <c r="AG272" i="12"/>
  <c r="AH272" i="12"/>
  <c r="AI272" i="12"/>
  <c r="AJ272" i="12"/>
  <c r="AK272" i="12"/>
  <c r="AL272" i="12"/>
  <c r="AM272" i="12"/>
  <c r="AN272" i="12"/>
  <c r="AO272" i="12"/>
  <c r="AP272" i="12"/>
  <c r="AQ272" i="12"/>
  <c r="AR272" i="12"/>
  <c r="AS272" i="12"/>
  <c r="AT272" i="12"/>
  <c r="AU272" i="12"/>
  <c r="AV272" i="12"/>
  <c r="AW272" i="12"/>
  <c r="AX272" i="12"/>
  <c r="AY272" i="12"/>
  <c r="AZ272" i="12"/>
  <c r="BA272" i="12"/>
  <c r="BC272" i="12"/>
  <c r="BE272" i="12"/>
  <c r="BF272" i="12"/>
  <c r="BJ272" i="12"/>
  <c r="BK272" i="12"/>
  <c r="BL272" i="12"/>
  <c r="BM272" i="12"/>
  <c r="AB273" i="12"/>
  <c r="AC273" i="12"/>
  <c r="AD273" i="12"/>
  <c r="AE273" i="12"/>
  <c r="AG273" i="12"/>
  <c r="AH273" i="12"/>
  <c r="AI273" i="12"/>
  <c r="AJ273" i="12"/>
  <c r="AK273" i="12"/>
  <c r="AL273" i="12"/>
  <c r="AM273" i="12"/>
  <c r="AN273" i="12"/>
  <c r="AO273" i="12"/>
  <c r="AP273" i="12"/>
  <c r="AQ273" i="12"/>
  <c r="AR273" i="12"/>
  <c r="AS273" i="12"/>
  <c r="AT273" i="12"/>
  <c r="AU273" i="12"/>
  <c r="AV273" i="12"/>
  <c r="AW273" i="12"/>
  <c r="AX273" i="12"/>
  <c r="AY273" i="12"/>
  <c r="AZ273" i="12"/>
  <c r="BA273" i="12"/>
  <c r="BC273" i="12"/>
  <c r="BE273" i="12"/>
  <c r="BF273" i="12"/>
  <c r="BJ273" i="12"/>
  <c r="BK273" i="12"/>
  <c r="BL273" i="12"/>
  <c r="BM273" i="12"/>
  <c r="AB274" i="12"/>
  <c r="AC274" i="12"/>
  <c r="AD274" i="12"/>
  <c r="AE274" i="12"/>
  <c r="AG274" i="12"/>
  <c r="AH274" i="12"/>
  <c r="AI274" i="12"/>
  <c r="AJ274" i="12"/>
  <c r="AK274" i="12"/>
  <c r="AL274" i="12"/>
  <c r="AM274" i="12"/>
  <c r="AN274" i="12"/>
  <c r="AO274" i="12"/>
  <c r="AP274" i="12"/>
  <c r="AQ274" i="12"/>
  <c r="AR274" i="12"/>
  <c r="AS274" i="12"/>
  <c r="AT274" i="12"/>
  <c r="AU274" i="12"/>
  <c r="AV274" i="12"/>
  <c r="AW274" i="12"/>
  <c r="AX274" i="12"/>
  <c r="AY274" i="12"/>
  <c r="AZ274" i="12"/>
  <c r="BA274" i="12"/>
  <c r="BC274" i="12"/>
  <c r="BE274" i="12"/>
  <c r="BF274" i="12"/>
  <c r="BJ274" i="12"/>
  <c r="BK274" i="12"/>
  <c r="BL274" i="12"/>
  <c r="BM274" i="12"/>
  <c r="AB275" i="12"/>
  <c r="AC275" i="12"/>
  <c r="AD275" i="12"/>
  <c r="AE275" i="12"/>
  <c r="AG275" i="12"/>
  <c r="AH275" i="12"/>
  <c r="AI275" i="12"/>
  <c r="AJ275" i="12"/>
  <c r="AK275" i="12"/>
  <c r="AL275" i="12"/>
  <c r="AM275" i="12"/>
  <c r="AN275" i="12"/>
  <c r="AO275" i="12"/>
  <c r="AP275" i="12"/>
  <c r="AQ275" i="12"/>
  <c r="AR275" i="12"/>
  <c r="AS275" i="12"/>
  <c r="AT275" i="12"/>
  <c r="AU275" i="12"/>
  <c r="AV275" i="12"/>
  <c r="AW275" i="12"/>
  <c r="AX275" i="12"/>
  <c r="AY275" i="12"/>
  <c r="AZ275" i="12"/>
  <c r="BA275" i="12"/>
  <c r="BC275" i="12"/>
  <c r="BE275" i="12"/>
  <c r="BF275" i="12"/>
  <c r="BJ275" i="12"/>
  <c r="BK275" i="12"/>
  <c r="BL275" i="12"/>
  <c r="BM275" i="12"/>
  <c r="AB276" i="12"/>
  <c r="AC276" i="12"/>
  <c r="AD276" i="12"/>
  <c r="AE276" i="12"/>
  <c r="AG276" i="12"/>
  <c r="AH276" i="12"/>
  <c r="AI276" i="12"/>
  <c r="AJ276" i="12"/>
  <c r="AK276" i="12"/>
  <c r="AL276" i="12"/>
  <c r="AM276" i="12"/>
  <c r="AN276" i="12"/>
  <c r="AO276" i="12"/>
  <c r="AP276" i="12"/>
  <c r="AQ276" i="12"/>
  <c r="AR276" i="12"/>
  <c r="AS276" i="12"/>
  <c r="AT276" i="12"/>
  <c r="AU276" i="12"/>
  <c r="AV276" i="12"/>
  <c r="AW276" i="12"/>
  <c r="AX276" i="12"/>
  <c r="AY276" i="12"/>
  <c r="AZ276" i="12"/>
  <c r="BA276" i="12"/>
  <c r="BC276" i="12"/>
  <c r="BE276" i="12"/>
  <c r="BF276" i="12"/>
  <c r="BJ276" i="12"/>
  <c r="BK276" i="12"/>
  <c r="BL276" i="12"/>
  <c r="BM276" i="12"/>
  <c r="AB277" i="12"/>
  <c r="AC277" i="12"/>
  <c r="AD277" i="12"/>
  <c r="AE277" i="12"/>
  <c r="AG277" i="12"/>
  <c r="AH277" i="12"/>
  <c r="AI277" i="12"/>
  <c r="AJ277" i="12"/>
  <c r="AK277" i="12"/>
  <c r="AL277" i="12"/>
  <c r="AM277" i="12"/>
  <c r="AN277" i="12"/>
  <c r="AO277" i="12"/>
  <c r="AP277" i="12"/>
  <c r="AQ277" i="12"/>
  <c r="AR277" i="12"/>
  <c r="AS277" i="12"/>
  <c r="AT277" i="12"/>
  <c r="AU277" i="12"/>
  <c r="AV277" i="12"/>
  <c r="AW277" i="12"/>
  <c r="AX277" i="12"/>
  <c r="AY277" i="12"/>
  <c r="AZ277" i="12"/>
  <c r="BA277" i="12"/>
  <c r="BC277" i="12"/>
  <c r="BE277" i="12"/>
  <c r="BF277" i="12"/>
  <c r="BJ277" i="12"/>
  <c r="BK277" i="12"/>
  <c r="BL277" i="12"/>
  <c r="BM277" i="12"/>
  <c r="AB278" i="12"/>
  <c r="AC278" i="12"/>
  <c r="AD278" i="12"/>
  <c r="AE278" i="12"/>
  <c r="AG278" i="12"/>
  <c r="AH278" i="12"/>
  <c r="AI278" i="12"/>
  <c r="AJ278" i="12"/>
  <c r="AK278" i="12"/>
  <c r="AL278" i="12"/>
  <c r="AM278" i="12"/>
  <c r="AN278" i="12"/>
  <c r="AO278" i="12"/>
  <c r="AP278" i="12"/>
  <c r="AQ278" i="12"/>
  <c r="AR278" i="12"/>
  <c r="AS278" i="12"/>
  <c r="AT278" i="12"/>
  <c r="AU278" i="12"/>
  <c r="AV278" i="12"/>
  <c r="AW278" i="12"/>
  <c r="AX278" i="12"/>
  <c r="AY278" i="12"/>
  <c r="AZ278" i="12"/>
  <c r="BA278" i="12"/>
  <c r="BC278" i="12"/>
  <c r="BE278" i="12"/>
  <c r="BF278" i="12"/>
  <c r="BJ278" i="12"/>
  <c r="BK278" i="12"/>
  <c r="BL278" i="12"/>
  <c r="BM278" i="12"/>
  <c r="AB279" i="12"/>
  <c r="AC279" i="12"/>
  <c r="AD279" i="12"/>
  <c r="AE279" i="12"/>
  <c r="AG279" i="12"/>
  <c r="AH279" i="12"/>
  <c r="AI279" i="12"/>
  <c r="AJ279" i="12"/>
  <c r="AK279" i="12"/>
  <c r="AL279" i="12"/>
  <c r="AM279" i="12"/>
  <c r="AN279" i="12"/>
  <c r="AO279" i="12"/>
  <c r="AP279" i="12"/>
  <c r="AQ279" i="12"/>
  <c r="AR279" i="12"/>
  <c r="AS279" i="12"/>
  <c r="AT279" i="12"/>
  <c r="AU279" i="12"/>
  <c r="AV279" i="12"/>
  <c r="AW279" i="12"/>
  <c r="AX279" i="12"/>
  <c r="AY279" i="12"/>
  <c r="AZ279" i="12"/>
  <c r="BA279" i="12"/>
  <c r="BC279" i="12"/>
  <c r="BE279" i="12"/>
  <c r="BF279" i="12"/>
  <c r="BJ279" i="12"/>
  <c r="BK279" i="12"/>
  <c r="BL279" i="12"/>
  <c r="BM279" i="12"/>
  <c r="AB280" i="12"/>
  <c r="AC280" i="12"/>
  <c r="AD280" i="12"/>
  <c r="AE280" i="12"/>
  <c r="AG280" i="12"/>
  <c r="AH280" i="12"/>
  <c r="AI280" i="12"/>
  <c r="AJ280" i="12"/>
  <c r="AK280" i="12"/>
  <c r="AL280" i="12"/>
  <c r="AM280" i="12"/>
  <c r="AN280" i="12"/>
  <c r="AO280" i="12"/>
  <c r="AP280" i="12"/>
  <c r="AQ280" i="12"/>
  <c r="AR280" i="12"/>
  <c r="AS280" i="12"/>
  <c r="AT280" i="12"/>
  <c r="AU280" i="12"/>
  <c r="AV280" i="12"/>
  <c r="AW280" i="12"/>
  <c r="AX280" i="12"/>
  <c r="AY280" i="12"/>
  <c r="AZ280" i="12"/>
  <c r="BA280" i="12"/>
  <c r="BC280" i="12"/>
  <c r="BE280" i="12"/>
  <c r="BF280" i="12"/>
  <c r="BJ280" i="12"/>
  <c r="BK280" i="12"/>
  <c r="BL280" i="12"/>
  <c r="BM280" i="12"/>
  <c r="AB281" i="12"/>
  <c r="AC281" i="12"/>
  <c r="AD281" i="12"/>
  <c r="AE281" i="12"/>
  <c r="AG281" i="12"/>
  <c r="AH281" i="12"/>
  <c r="AI281" i="12"/>
  <c r="AJ281" i="12"/>
  <c r="AK281" i="12"/>
  <c r="AL281" i="12"/>
  <c r="AM281" i="12"/>
  <c r="AN281" i="12"/>
  <c r="AO281" i="12"/>
  <c r="AP281" i="12"/>
  <c r="AQ281" i="12"/>
  <c r="AR281" i="12"/>
  <c r="AS281" i="12"/>
  <c r="AT281" i="12"/>
  <c r="AU281" i="12"/>
  <c r="AV281" i="12"/>
  <c r="AW281" i="12"/>
  <c r="AX281" i="12"/>
  <c r="AY281" i="12"/>
  <c r="AZ281" i="12"/>
  <c r="BA281" i="12"/>
  <c r="BC281" i="12"/>
  <c r="BE281" i="12"/>
  <c r="BF281" i="12"/>
  <c r="BJ281" i="12"/>
  <c r="BK281" i="12"/>
  <c r="BL281" i="12"/>
  <c r="BM281" i="12"/>
  <c r="AB282" i="12"/>
  <c r="AC282" i="12"/>
  <c r="AD282" i="12"/>
  <c r="AE282" i="12"/>
  <c r="AG282" i="12"/>
  <c r="AH282" i="12"/>
  <c r="AI282" i="12"/>
  <c r="AJ282" i="12"/>
  <c r="AK282" i="12"/>
  <c r="AL282" i="12"/>
  <c r="AM282" i="12"/>
  <c r="AN282" i="12"/>
  <c r="AO282" i="12"/>
  <c r="AP282" i="12"/>
  <c r="AQ282" i="12"/>
  <c r="AR282" i="12"/>
  <c r="AS282" i="12"/>
  <c r="AT282" i="12"/>
  <c r="AU282" i="12"/>
  <c r="AV282" i="12"/>
  <c r="AW282" i="12"/>
  <c r="AX282" i="12"/>
  <c r="AY282" i="12"/>
  <c r="AZ282" i="12"/>
  <c r="BA282" i="12"/>
  <c r="BC282" i="12"/>
  <c r="BE282" i="12"/>
  <c r="BF282" i="12"/>
  <c r="BJ282" i="12"/>
  <c r="BK282" i="12"/>
  <c r="BL282" i="12"/>
  <c r="BM282" i="12"/>
  <c r="AB283" i="12"/>
  <c r="AC283" i="12"/>
  <c r="AD283" i="12"/>
  <c r="AE283" i="12"/>
  <c r="AG283" i="12"/>
  <c r="AH283" i="12"/>
  <c r="AI283" i="12"/>
  <c r="AJ283" i="12"/>
  <c r="AK283" i="12"/>
  <c r="AL283" i="12"/>
  <c r="AM283" i="12"/>
  <c r="AN283" i="12"/>
  <c r="AO283" i="12"/>
  <c r="AP283" i="12"/>
  <c r="AQ283" i="12"/>
  <c r="AR283" i="12"/>
  <c r="AS283" i="12"/>
  <c r="AT283" i="12"/>
  <c r="AU283" i="12"/>
  <c r="AV283" i="12"/>
  <c r="AW283" i="12"/>
  <c r="AX283" i="12"/>
  <c r="AY283" i="12"/>
  <c r="AZ283" i="12"/>
  <c r="BA283" i="12"/>
  <c r="BC283" i="12"/>
  <c r="BE283" i="12"/>
  <c r="BF283" i="12"/>
  <c r="BJ283" i="12"/>
  <c r="BK283" i="12"/>
  <c r="BL283" i="12"/>
  <c r="BM283" i="12"/>
  <c r="AB284" i="12"/>
  <c r="AC284" i="12"/>
  <c r="AD284" i="12"/>
  <c r="AE284" i="12"/>
  <c r="AG284" i="12"/>
  <c r="AH284" i="12"/>
  <c r="AI284" i="12"/>
  <c r="AJ284" i="12"/>
  <c r="AK284" i="12"/>
  <c r="AL284" i="12"/>
  <c r="AM284" i="12"/>
  <c r="AN284" i="12"/>
  <c r="AO284" i="12"/>
  <c r="AP284" i="12"/>
  <c r="AQ284" i="12"/>
  <c r="AR284" i="12"/>
  <c r="AS284" i="12"/>
  <c r="AT284" i="12"/>
  <c r="AU284" i="12"/>
  <c r="AV284" i="12"/>
  <c r="AW284" i="12"/>
  <c r="AX284" i="12"/>
  <c r="AY284" i="12"/>
  <c r="AZ284" i="12"/>
  <c r="BA284" i="12"/>
  <c r="BC284" i="12"/>
  <c r="BE284" i="12"/>
  <c r="BF284" i="12"/>
  <c r="BJ284" i="12"/>
  <c r="BK284" i="12"/>
  <c r="BL284" i="12"/>
  <c r="BM284" i="12"/>
  <c r="AB5" i="5"/>
  <c r="AC5" i="5"/>
  <c r="AD5" i="5"/>
  <c r="AE5" i="5"/>
  <c r="AG5" i="5"/>
  <c r="AH5" i="5"/>
  <c r="AI5" i="5"/>
  <c r="AJ5" i="5"/>
  <c r="AK5" i="5"/>
  <c r="AL5" i="5"/>
  <c r="AM5" i="5"/>
  <c r="AN5" i="5"/>
  <c r="AO5" i="5"/>
  <c r="AP5" i="5"/>
  <c r="AQ5" i="5"/>
  <c r="AR5" i="5"/>
  <c r="AS5" i="5"/>
  <c r="AT5" i="5"/>
  <c r="AU5" i="5"/>
  <c r="AV5" i="5"/>
  <c r="AW5" i="5"/>
  <c r="AX5" i="5"/>
  <c r="AY5" i="5"/>
  <c r="AZ5" i="5"/>
  <c r="BA5" i="5"/>
  <c r="BC5" i="5"/>
  <c r="BE5" i="5"/>
  <c r="BF5" i="5"/>
  <c r="BK5" i="5"/>
  <c r="BL5" i="5"/>
  <c r="BM5" i="5"/>
  <c r="BN5" i="5"/>
  <c r="AB6" i="5"/>
  <c r="AC6" i="5"/>
  <c r="AD6" i="5"/>
  <c r="AE6" i="5"/>
  <c r="AG6" i="5"/>
  <c r="AH6" i="5"/>
  <c r="AI6" i="5"/>
  <c r="AJ6" i="5"/>
  <c r="AK6" i="5"/>
  <c r="AL6" i="5"/>
  <c r="AM6" i="5"/>
  <c r="AN6" i="5"/>
  <c r="AO6" i="5"/>
  <c r="AP6" i="5"/>
  <c r="AQ6" i="5"/>
  <c r="AR6" i="5"/>
  <c r="AS6" i="5"/>
  <c r="AT6" i="5"/>
  <c r="AU6" i="5"/>
  <c r="AV6" i="5"/>
  <c r="AW6" i="5"/>
  <c r="AX6" i="5"/>
  <c r="AY6" i="5"/>
  <c r="AZ6" i="5"/>
  <c r="BA6" i="5"/>
  <c r="BC6" i="5"/>
  <c r="BE6" i="5"/>
  <c r="BF6" i="5"/>
  <c r="BK6" i="5"/>
  <c r="BL6" i="5"/>
  <c r="BM6" i="5"/>
  <c r="BN6" i="5"/>
  <c r="AB7" i="5"/>
  <c r="AC7" i="5"/>
  <c r="AD7" i="5"/>
  <c r="AE7" i="5"/>
  <c r="AG7" i="5"/>
  <c r="AH7" i="5"/>
  <c r="AI7" i="5"/>
  <c r="AJ7" i="5"/>
  <c r="AK7" i="5"/>
  <c r="AL7" i="5"/>
  <c r="AM7" i="5"/>
  <c r="AN7" i="5"/>
  <c r="AO7" i="5"/>
  <c r="AP7" i="5"/>
  <c r="AQ7" i="5"/>
  <c r="AR7" i="5"/>
  <c r="AS7" i="5"/>
  <c r="AT7" i="5"/>
  <c r="AU7" i="5"/>
  <c r="AV7" i="5"/>
  <c r="AW7" i="5"/>
  <c r="AX7" i="5"/>
  <c r="AY7" i="5"/>
  <c r="AZ7" i="5"/>
  <c r="BA7" i="5"/>
  <c r="BC7" i="5"/>
  <c r="BE7" i="5"/>
  <c r="BF7" i="5"/>
  <c r="BK7" i="5"/>
  <c r="BL7" i="5"/>
  <c r="BM7" i="5"/>
  <c r="BN7" i="5"/>
  <c r="AB8" i="5"/>
  <c r="AC8" i="5"/>
  <c r="AD8" i="5"/>
  <c r="AE8" i="5"/>
  <c r="AG8" i="5"/>
  <c r="AH8" i="5"/>
  <c r="AI8" i="5"/>
  <c r="AJ8" i="5"/>
  <c r="AK8" i="5"/>
  <c r="AL8" i="5"/>
  <c r="AM8" i="5"/>
  <c r="AN8" i="5"/>
  <c r="AO8" i="5"/>
  <c r="AP8" i="5"/>
  <c r="AQ8" i="5"/>
  <c r="AR8" i="5"/>
  <c r="AS8" i="5"/>
  <c r="AT8" i="5"/>
  <c r="AU8" i="5"/>
  <c r="AV8" i="5"/>
  <c r="AW8" i="5"/>
  <c r="AX8" i="5"/>
  <c r="AY8" i="5"/>
  <c r="AZ8" i="5"/>
  <c r="BA8" i="5"/>
  <c r="BC8" i="5"/>
  <c r="BE8" i="5"/>
  <c r="BF8" i="5"/>
  <c r="BK8" i="5"/>
  <c r="BL8" i="5"/>
  <c r="BM8" i="5"/>
  <c r="BN8" i="5"/>
  <c r="AB9" i="5"/>
  <c r="AC9" i="5"/>
  <c r="AD9" i="5"/>
  <c r="AE9" i="5"/>
  <c r="AG9" i="5"/>
  <c r="AH9" i="5"/>
  <c r="AI9" i="5"/>
  <c r="AJ9" i="5"/>
  <c r="AK9" i="5"/>
  <c r="AL9" i="5"/>
  <c r="AM9" i="5"/>
  <c r="AN9" i="5"/>
  <c r="AO9" i="5"/>
  <c r="AP9" i="5"/>
  <c r="AQ9" i="5"/>
  <c r="AR9" i="5"/>
  <c r="AS9" i="5"/>
  <c r="AT9" i="5"/>
  <c r="AU9" i="5"/>
  <c r="AV9" i="5"/>
  <c r="AW9" i="5"/>
  <c r="AX9" i="5"/>
  <c r="AY9" i="5"/>
  <c r="AZ9" i="5"/>
  <c r="BA9" i="5"/>
  <c r="BC9" i="5"/>
  <c r="BE9" i="5"/>
  <c r="BF9" i="5"/>
  <c r="BK9" i="5"/>
  <c r="BL9" i="5"/>
  <c r="BM9" i="5"/>
  <c r="BN9" i="5"/>
  <c r="AB10" i="5"/>
  <c r="AC10" i="5"/>
  <c r="AD10" i="5"/>
  <c r="AE10" i="5"/>
  <c r="AG10" i="5"/>
  <c r="AH10" i="5"/>
  <c r="AI10" i="5"/>
  <c r="AJ10" i="5"/>
  <c r="AK10" i="5"/>
  <c r="AL10" i="5"/>
  <c r="AM10" i="5"/>
  <c r="AN10" i="5"/>
  <c r="AO10" i="5"/>
  <c r="AP10" i="5"/>
  <c r="AQ10" i="5"/>
  <c r="AR10" i="5"/>
  <c r="AS10" i="5"/>
  <c r="AT10" i="5"/>
  <c r="AU10" i="5"/>
  <c r="AV10" i="5"/>
  <c r="AW10" i="5"/>
  <c r="AX10" i="5"/>
  <c r="AY10" i="5"/>
  <c r="AZ10" i="5"/>
  <c r="BA10" i="5"/>
  <c r="BC10" i="5"/>
  <c r="BE10" i="5"/>
  <c r="BF10" i="5"/>
  <c r="BK10" i="5"/>
  <c r="BL10" i="5"/>
  <c r="BM10" i="5"/>
  <c r="BN10" i="5"/>
  <c r="AB11" i="5"/>
  <c r="AC11" i="5"/>
  <c r="AD11" i="5"/>
  <c r="AE11" i="5"/>
  <c r="AG11" i="5"/>
  <c r="AH11" i="5"/>
  <c r="AI11" i="5"/>
  <c r="AJ11" i="5"/>
  <c r="AK11" i="5"/>
  <c r="AL11" i="5"/>
  <c r="AM11" i="5"/>
  <c r="AN11" i="5"/>
  <c r="AO11" i="5"/>
  <c r="AP11" i="5"/>
  <c r="AQ11" i="5"/>
  <c r="AR11" i="5"/>
  <c r="AS11" i="5"/>
  <c r="AT11" i="5"/>
  <c r="AU11" i="5"/>
  <c r="AV11" i="5"/>
  <c r="AW11" i="5"/>
  <c r="AX11" i="5"/>
  <c r="AY11" i="5"/>
  <c r="AZ11" i="5"/>
  <c r="BA11" i="5"/>
  <c r="BC11" i="5"/>
  <c r="BE11" i="5"/>
  <c r="BF11" i="5"/>
  <c r="BK11" i="5"/>
  <c r="BL11" i="5"/>
  <c r="BM11" i="5"/>
  <c r="BN11" i="5"/>
  <c r="AB12" i="5"/>
  <c r="AC12" i="5"/>
  <c r="AD12" i="5"/>
  <c r="AE12" i="5"/>
  <c r="AG12" i="5"/>
  <c r="AH12" i="5"/>
  <c r="AI12" i="5"/>
  <c r="AJ12" i="5"/>
  <c r="AK12" i="5"/>
  <c r="AL12" i="5"/>
  <c r="AM12" i="5"/>
  <c r="AN12" i="5"/>
  <c r="AO12" i="5"/>
  <c r="AP12" i="5"/>
  <c r="AQ12" i="5"/>
  <c r="AR12" i="5"/>
  <c r="AS12" i="5"/>
  <c r="AT12" i="5"/>
  <c r="AU12" i="5"/>
  <c r="AV12" i="5"/>
  <c r="AW12" i="5"/>
  <c r="AX12" i="5"/>
  <c r="AY12" i="5"/>
  <c r="AZ12" i="5"/>
  <c r="BA12" i="5"/>
  <c r="BC12" i="5"/>
  <c r="BE12" i="5"/>
  <c r="BF12" i="5"/>
  <c r="BK12" i="5"/>
  <c r="BL12" i="5"/>
  <c r="BM12" i="5"/>
  <c r="BN12" i="5"/>
  <c r="AB13" i="5"/>
  <c r="AC13" i="5"/>
  <c r="AD13" i="5"/>
  <c r="AE13" i="5"/>
  <c r="AG13" i="5"/>
  <c r="AH13" i="5"/>
  <c r="AI13" i="5"/>
  <c r="AJ13" i="5"/>
  <c r="AK13" i="5"/>
  <c r="AL13" i="5"/>
  <c r="AM13" i="5"/>
  <c r="AN13" i="5"/>
  <c r="AO13" i="5"/>
  <c r="AP13" i="5"/>
  <c r="AQ13" i="5"/>
  <c r="AR13" i="5"/>
  <c r="AS13" i="5"/>
  <c r="AT13" i="5"/>
  <c r="AU13" i="5"/>
  <c r="AV13" i="5"/>
  <c r="AW13" i="5"/>
  <c r="AX13" i="5"/>
  <c r="AY13" i="5"/>
  <c r="AZ13" i="5"/>
  <c r="BA13" i="5"/>
  <c r="BC13" i="5"/>
  <c r="BE13" i="5"/>
  <c r="BF13" i="5"/>
  <c r="BK13" i="5"/>
  <c r="BL13" i="5"/>
  <c r="BM13" i="5"/>
  <c r="BN13" i="5"/>
  <c r="AB14" i="5"/>
  <c r="AC14" i="5"/>
  <c r="AD14" i="5"/>
  <c r="AE14" i="5"/>
  <c r="AG14" i="5"/>
  <c r="AH14" i="5"/>
  <c r="AI14" i="5"/>
  <c r="AJ14" i="5"/>
  <c r="AK14" i="5"/>
  <c r="AL14" i="5"/>
  <c r="AM14" i="5"/>
  <c r="AN14" i="5"/>
  <c r="AO14" i="5"/>
  <c r="AP14" i="5"/>
  <c r="AQ14" i="5"/>
  <c r="AR14" i="5"/>
  <c r="AS14" i="5"/>
  <c r="AT14" i="5"/>
  <c r="AU14" i="5"/>
  <c r="AV14" i="5"/>
  <c r="AW14" i="5"/>
  <c r="AX14" i="5"/>
  <c r="AY14" i="5"/>
  <c r="AZ14" i="5"/>
  <c r="BA14" i="5"/>
  <c r="BC14" i="5"/>
  <c r="BE14" i="5"/>
  <c r="BF14" i="5"/>
  <c r="BK14" i="5"/>
  <c r="BL14" i="5"/>
  <c r="BM14" i="5"/>
  <c r="BN14" i="5"/>
  <c r="AB15" i="5"/>
  <c r="AC15" i="5"/>
  <c r="AD15" i="5"/>
  <c r="AE15" i="5"/>
  <c r="AG15" i="5"/>
  <c r="AH15" i="5"/>
  <c r="AI15" i="5"/>
  <c r="AJ15" i="5"/>
  <c r="AK15" i="5"/>
  <c r="AL15" i="5"/>
  <c r="AM15" i="5"/>
  <c r="AN15" i="5"/>
  <c r="AO15" i="5"/>
  <c r="AP15" i="5"/>
  <c r="AQ15" i="5"/>
  <c r="AR15" i="5"/>
  <c r="AS15" i="5"/>
  <c r="AT15" i="5"/>
  <c r="AU15" i="5"/>
  <c r="AV15" i="5"/>
  <c r="AW15" i="5"/>
  <c r="AX15" i="5"/>
  <c r="AY15" i="5"/>
  <c r="AZ15" i="5"/>
  <c r="BA15" i="5"/>
  <c r="BC15" i="5"/>
  <c r="BE15" i="5"/>
  <c r="BF15" i="5"/>
  <c r="BK15" i="5"/>
  <c r="BL15" i="5"/>
  <c r="BM15" i="5"/>
  <c r="BN15" i="5"/>
  <c r="AB16" i="5"/>
  <c r="AC16" i="5"/>
  <c r="AD16" i="5"/>
  <c r="AE16" i="5"/>
  <c r="AG16" i="5"/>
  <c r="AH16" i="5"/>
  <c r="AI16" i="5"/>
  <c r="AJ16" i="5"/>
  <c r="AK16" i="5"/>
  <c r="AL16" i="5"/>
  <c r="AM16" i="5"/>
  <c r="AN16" i="5"/>
  <c r="AO16" i="5"/>
  <c r="AP16" i="5"/>
  <c r="AQ16" i="5"/>
  <c r="AR16" i="5"/>
  <c r="AS16" i="5"/>
  <c r="AT16" i="5"/>
  <c r="AU16" i="5"/>
  <c r="AV16" i="5"/>
  <c r="AW16" i="5"/>
  <c r="AX16" i="5"/>
  <c r="AY16" i="5"/>
  <c r="AZ16" i="5"/>
  <c r="BA16" i="5"/>
  <c r="BC16" i="5"/>
  <c r="BE16" i="5"/>
  <c r="BF16" i="5"/>
  <c r="BK16" i="5"/>
  <c r="BL16" i="5"/>
  <c r="BM16" i="5"/>
  <c r="BN16" i="5"/>
  <c r="AB17" i="5"/>
  <c r="AC17" i="5"/>
  <c r="AD17" i="5"/>
  <c r="AE17" i="5"/>
  <c r="AG17" i="5"/>
  <c r="AH17" i="5"/>
  <c r="AI17" i="5"/>
  <c r="AJ17" i="5"/>
  <c r="AK17" i="5"/>
  <c r="AL17" i="5"/>
  <c r="AM17" i="5"/>
  <c r="AN17" i="5"/>
  <c r="AO17" i="5"/>
  <c r="AP17" i="5"/>
  <c r="AQ17" i="5"/>
  <c r="AR17" i="5"/>
  <c r="AS17" i="5"/>
  <c r="AT17" i="5"/>
  <c r="AU17" i="5"/>
  <c r="AV17" i="5"/>
  <c r="AW17" i="5"/>
  <c r="AX17" i="5"/>
  <c r="AY17" i="5"/>
  <c r="AZ17" i="5"/>
  <c r="BA17" i="5"/>
  <c r="BC17" i="5"/>
  <c r="BE17" i="5"/>
  <c r="BF17" i="5"/>
  <c r="BK17" i="5"/>
  <c r="BL17" i="5"/>
  <c r="BM17" i="5"/>
  <c r="BN17" i="5"/>
  <c r="AB18" i="5"/>
  <c r="AC18" i="5"/>
  <c r="AD18" i="5"/>
  <c r="AE18" i="5"/>
  <c r="AG18" i="5"/>
  <c r="AH18" i="5"/>
  <c r="AI18" i="5"/>
  <c r="AJ18" i="5"/>
  <c r="AK18" i="5"/>
  <c r="AL18" i="5"/>
  <c r="AM18" i="5"/>
  <c r="AN18" i="5"/>
  <c r="AO18" i="5"/>
  <c r="AP18" i="5"/>
  <c r="AQ18" i="5"/>
  <c r="AR18" i="5"/>
  <c r="AS18" i="5"/>
  <c r="AT18" i="5"/>
  <c r="AU18" i="5"/>
  <c r="AV18" i="5"/>
  <c r="AW18" i="5"/>
  <c r="AX18" i="5"/>
  <c r="AY18" i="5"/>
  <c r="AZ18" i="5"/>
  <c r="BA18" i="5"/>
  <c r="BC18" i="5"/>
  <c r="BE18" i="5"/>
  <c r="BF18" i="5"/>
  <c r="BK18" i="5"/>
  <c r="BL18" i="5"/>
  <c r="BM18" i="5"/>
  <c r="BN18" i="5"/>
  <c r="AB19" i="5"/>
  <c r="AC19" i="5"/>
  <c r="AD19" i="5"/>
  <c r="AE19" i="5"/>
  <c r="AG19" i="5"/>
  <c r="AH19" i="5"/>
  <c r="AI19" i="5"/>
  <c r="AJ19" i="5"/>
  <c r="AK19" i="5"/>
  <c r="AL19" i="5"/>
  <c r="AM19" i="5"/>
  <c r="AN19" i="5"/>
  <c r="AO19" i="5"/>
  <c r="AP19" i="5"/>
  <c r="AQ19" i="5"/>
  <c r="AR19" i="5"/>
  <c r="AS19" i="5"/>
  <c r="AT19" i="5"/>
  <c r="AU19" i="5"/>
  <c r="AV19" i="5"/>
  <c r="AW19" i="5"/>
  <c r="AX19" i="5"/>
  <c r="AY19" i="5"/>
  <c r="AZ19" i="5"/>
  <c r="BA19" i="5"/>
  <c r="BC19" i="5"/>
  <c r="BE19" i="5"/>
  <c r="BF19" i="5"/>
  <c r="BK19" i="5"/>
  <c r="BL19" i="5"/>
  <c r="BM19" i="5"/>
  <c r="BN19" i="5"/>
  <c r="AB20" i="5"/>
  <c r="AC20" i="5"/>
  <c r="AD20" i="5"/>
  <c r="AE20" i="5"/>
  <c r="AG20" i="5"/>
  <c r="AH20" i="5"/>
  <c r="AI20" i="5"/>
  <c r="AJ20" i="5"/>
  <c r="AK20" i="5"/>
  <c r="AL20" i="5"/>
  <c r="AM20" i="5"/>
  <c r="AN20" i="5"/>
  <c r="AO20" i="5"/>
  <c r="AP20" i="5"/>
  <c r="AQ20" i="5"/>
  <c r="AR20" i="5"/>
  <c r="AS20" i="5"/>
  <c r="AT20" i="5"/>
  <c r="AU20" i="5"/>
  <c r="AV20" i="5"/>
  <c r="AW20" i="5"/>
  <c r="AX20" i="5"/>
  <c r="AY20" i="5"/>
  <c r="AZ20" i="5"/>
  <c r="BA20" i="5"/>
  <c r="BC20" i="5"/>
  <c r="BE20" i="5"/>
  <c r="BF20" i="5"/>
  <c r="BK20" i="5"/>
  <c r="BL20" i="5"/>
  <c r="BM20" i="5"/>
  <c r="BN20" i="5"/>
  <c r="AB21" i="5"/>
  <c r="AC21" i="5"/>
  <c r="AD21" i="5"/>
  <c r="AE21" i="5"/>
  <c r="AG21" i="5"/>
  <c r="AH21" i="5"/>
  <c r="AI21" i="5"/>
  <c r="AJ21" i="5"/>
  <c r="AK21" i="5"/>
  <c r="AL21" i="5"/>
  <c r="AM21" i="5"/>
  <c r="AN21" i="5"/>
  <c r="AO21" i="5"/>
  <c r="AP21" i="5"/>
  <c r="AQ21" i="5"/>
  <c r="AR21" i="5"/>
  <c r="AS21" i="5"/>
  <c r="AT21" i="5"/>
  <c r="AU21" i="5"/>
  <c r="AV21" i="5"/>
  <c r="AW21" i="5"/>
  <c r="AX21" i="5"/>
  <c r="AY21" i="5"/>
  <c r="AZ21" i="5"/>
  <c r="BA21" i="5"/>
  <c r="BC21" i="5"/>
  <c r="BE21" i="5"/>
  <c r="BF21" i="5"/>
  <c r="BK21" i="5"/>
  <c r="BL21" i="5"/>
  <c r="BM21" i="5"/>
  <c r="BN21" i="5"/>
  <c r="AB22" i="5"/>
  <c r="AC22" i="5"/>
  <c r="AD22" i="5"/>
  <c r="AE22" i="5"/>
  <c r="AG22" i="5"/>
  <c r="AH22" i="5"/>
  <c r="AI22" i="5"/>
  <c r="AJ22" i="5"/>
  <c r="AK22" i="5"/>
  <c r="AL22" i="5"/>
  <c r="AM22" i="5"/>
  <c r="AN22" i="5"/>
  <c r="AO22" i="5"/>
  <c r="AP22" i="5"/>
  <c r="AQ22" i="5"/>
  <c r="AR22" i="5"/>
  <c r="AS22" i="5"/>
  <c r="AT22" i="5"/>
  <c r="AU22" i="5"/>
  <c r="AV22" i="5"/>
  <c r="AW22" i="5"/>
  <c r="AX22" i="5"/>
  <c r="AY22" i="5"/>
  <c r="AZ22" i="5"/>
  <c r="BA22" i="5"/>
  <c r="BC22" i="5"/>
  <c r="BE22" i="5"/>
  <c r="BF22" i="5"/>
  <c r="BK22" i="5"/>
  <c r="BL22" i="5"/>
  <c r="BM22" i="5"/>
  <c r="BN22" i="5"/>
  <c r="AB23" i="5"/>
  <c r="AC23" i="5"/>
  <c r="AD23" i="5"/>
  <c r="AE23" i="5"/>
  <c r="AG23" i="5"/>
  <c r="AH23" i="5"/>
  <c r="AI23" i="5"/>
  <c r="AJ23" i="5"/>
  <c r="AK23" i="5"/>
  <c r="AL23" i="5"/>
  <c r="AM23" i="5"/>
  <c r="AN23" i="5"/>
  <c r="AO23" i="5"/>
  <c r="AP23" i="5"/>
  <c r="AQ23" i="5"/>
  <c r="AR23" i="5"/>
  <c r="AS23" i="5"/>
  <c r="AT23" i="5"/>
  <c r="AU23" i="5"/>
  <c r="AV23" i="5"/>
  <c r="AW23" i="5"/>
  <c r="AX23" i="5"/>
  <c r="AY23" i="5"/>
  <c r="AZ23" i="5"/>
  <c r="BA23" i="5"/>
  <c r="BC23" i="5"/>
  <c r="BE23" i="5"/>
  <c r="BF23" i="5"/>
  <c r="BK23" i="5"/>
  <c r="BL23" i="5"/>
  <c r="BM23" i="5"/>
  <c r="BN23" i="5"/>
  <c r="AB24" i="5"/>
  <c r="AC24" i="5"/>
  <c r="AD24" i="5"/>
  <c r="AE24" i="5"/>
  <c r="AG24" i="5"/>
  <c r="AH24" i="5"/>
  <c r="AI24" i="5"/>
  <c r="AJ24" i="5"/>
  <c r="AK24" i="5"/>
  <c r="AL24" i="5"/>
  <c r="AM24" i="5"/>
  <c r="AN24" i="5"/>
  <c r="AO24" i="5"/>
  <c r="AP24" i="5"/>
  <c r="AQ24" i="5"/>
  <c r="AR24" i="5"/>
  <c r="AS24" i="5"/>
  <c r="AT24" i="5"/>
  <c r="AU24" i="5"/>
  <c r="AV24" i="5"/>
  <c r="AW24" i="5"/>
  <c r="AX24" i="5"/>
  <c r="AY24" i="5"/>
  <c r="AZ24" i="5"/>
  <c r="BA24" i="5"/>
  <c r="BC24" i="5"/>
  <c r="BE24" i="5"/>
  <c r="BF24" i="5"/>
  <c r="BK24" i="5"/>
  <c r="BL24" i="5"/>
  <c r="BM24" i="5"/>
  <c r="BN24" i="5"/>
  <c r="AB25" i="5"/>
  <c r="AC25" i="5"/>
  <c r="AD25" i="5"/>
  <c r="AE25" i="5"/>
  <c r="AG25" i="5"/>
  <c r="AH25" i="5"/>
  <c r="AI25" i="5"/>
  <c r="AJ25" i="5"/>
  <c r="AK25" i="5"/>
  <c r="AL25" i="5"/>
  <c r="AM25" i="5"/>
  <c r="AN25" i="5"/>
  <c r="AO25" i="5"/>
  <c r="AP25" i="5"/>
  <c r="AQ25" i="5"/>
  <c r="AR25" i="5"/>
  <c r="AS25" i="5"/>
  <c r="AT25" i="5"/>
  <c r="AU25" i="5"/>
  <c r="AV25" i="5"/>
  <c r="AW25" i="5"/>
  <c r="AX25" i="5"/>
  <c r="AY25" i="5"/>
  <c r="AZ25" i="5"/>
  <c r="BA25" i="5"/>
  <c r="BC25" i="5"/>
  <c r="BE25" i="5"/>
  <c r="BF25" i="5"/>
  <c r="BK25" i="5"/>
  <c r="BL25" i="5"/>
  <c r="BM25" i="5"/>
  <c r="BN25" i="5"/>
  <c r="AB26" i="5"/>
  <c r="AC26" i="5"/>
  <c r="AD26" i="5"/>
  <c r="AE26" i="5"/>
  <c r="AG26" i="5"/>
  <c r="AH26" i="5"/>
  <c r="AI26" i="5"/>
  <c r="AJ26" i="5"/>
  <c r="AK26" i="5"/>
  <c r="AL26" i="5"/>
  <c r="AM26" i="5"/>
  <c r="AN26" i="5"/>
  <c r="AO26" i="5"/>
  <c r="AP26" i="5"/>
  <c r="AQ26" i="5"/>
  <c r="AR26" i="5"/>
  <c r="AS26" i="5"/>
  <c r="AT26" i="5"/>
  <c r="AU26" i="5"/>
  <c r="AV26" i="5"/>
  <c r="AW26" i="5"/>
  <c r="AX26" i="5"/>
  <c r="AY26" i="5"/>
  <c r="AZ26" i="5"/>
  <c r="BA26" i="5"/>
  <c r="BC26" i="5"/>
  <c r="BE26" i="5"/>
  <c r="BF26" i="5"/>
  <c r="BK26" i="5"/>
  <c r="BL26" i="5"/>
  <c r="BM26" i="5"/>
  <c r="BN26" i="5"/>
  <c r="AB27" i="5"/>
  <c r="AC27" i="5"/>
  <c r="AD27" i="5"/>
  <c r="AE27" i="5"/>
  <c r="AG27" i="5"/>
  <c r="AH27" i="5"/>
  <c r="AI27" i="5"/>
  <c r="AJ27" i="5"/>
  <c r="AK27" i="5"/>
  <c r="AL27" i="5"/>
  <c r="AM27" i="5"/>
  <c r="AN27" i="5"/>
  <c r="AO27" i="5"/>
  <c r="AP27" i="5"/>
  <c r="AQ27" i="5"/>
  <c r="AR27" i="5"/>
  <c r="AS27" i="5"/>
  <c r="AT27" i="5"/>
  <c r="AU27" i="5"/>
  <c r="AV27" i="5"/>
  <c r="AW27" i="5"/>
  <c r="AX27" i="5"/>
  <c r="AY27" i="5"/>
  <c r="AZ27" i="5"/>
  <c r="BA27" i="5"/>
  <c r="BC27" i="5"/>
  <c r="BE27" i="5"/>
  <c r="BF27" i="5"/>
  <c r="BK27" i="5"/>
  <c r="BL27" i="5"/>
  <c r="BM27" i="5"/>
  <c r="BN27" i="5"/>
  <c r="AB28" i="5"/>
  <c r="AC28" i="5"/>
  <c r="AD28" i="5"/>
  <c r="AE28" i="5"/>
  <c r="AG28" i="5"/>
  <c r="AH28" i="5"/>
  <c r="AI28" i="5"/>
  <c r="AJ28" i="5"/>
  <c r="AK28" i="5"/>
  <c r="AL28" i="5"/>
  <c r="AM28" i="5"/>
  <c r="AN28" i="5"/>
  <c r="AO28" i="5"/>
  <c r="AP28" i="5"/>
  <c r="AQ28" i="5"/>
  <c r="AR28" i="5"/>
  <c r="AS28" i="5"/>
  <c r="AT28" i="5"/>
  <c r="AU28" i="5"/>
  <c r="AV28" i="5"/>
  <c r="AW28" i="5"/>
  <c r="AX28" i="5"/>
  <c r="AY28" i="5"/>
  <c r="AZ28" i="5"/>
  <c r="BA28" i="5"/>
  <c r="BC28" i="5"/>
  <c r="BE28" i="5"/>
  <c r="BF28" i="5"/>
  <c r="BK28" i="5"/>
  <c r="BL28" i="5"/>
  <c r="BM28" i="5"/>
  <c r="BN28" i="5"/>
  <c r="AB29" i="5"/>
  <c r="AC29" i="5"/>
  <c r="AD29" i="5"/>
  <c r="AE29" i="5"/>
  <c r="AG29" i="5"/>
  <c r="AH29" i="5"/>
  <c r="AI29" i="5"/>
  <c r="AJ29" i="5"/>
  <c r="AK29" i="5"/>
  <c r="AL29" i="5"/>
  <c r="AM29" i="5"/>
  <c r="AN29" i="5"/>
  <c r="AO29" i="5"/>
  <c r="AP29" i="5"/>
  <c r="AQ29" i="5"/>
  <c r="AR29" i="5"/>
  <c r="AS29" i="5"/>
  <c r="AT29" i="5"/>
  <c r="AU29" i="5"/>
  <c r="AV29" i="5"/>
  <c r="AW29" i="5"/>
  <c r="AX29" i="5"/>
  <c r="AY29" i="5"/>
  <c r="AZ29" i="5"/>
  <c r="BA29" i="5"/>
  <c r="BC29" i="5"/>
  <c r="BE29" i="5"/>
  <c r="BF29" i="5"/>
  <c r="BK29" i="5"/>
  <c r="BL29" i="5"/>
  <c r="BM29" i="5"/>
  <c r="BN29" i="5"/>
  <c r="AB30" i="5"/>
  <c r="AC30" i="5"/>
  <c r="AD30" i="5"/>
  <c r="AE30" i="5"/>
  <c r="AG30" i="5"/>
  <c r="AH30" i="5"/>
  <c r="AI30" i="5"/>
  <c r="AJ30" i="5"/>
  <c r="AK30" i="5"/>
  <c r="AL30" i="5"/>
  <c r="AM30" i="5"/>
  <c r="AN30" i="5"/>
  <c r="AO30" i="5"/>
  <c r="AP30" i="5"/>
  <c r="AQ30" i="5"/>
  <c r="AR30" i="5"/>
  <c r="AS30" i="5"/>
  <c r="AT30" i="5"/>
  <c r="AU30" i="5"/>
  <c r="AV30" i="5"/>
  <c r="AW30" i="5"/>
  <c r="AX30" i="5"/>
  <c r="AY30" i="5"/>
  <c r="AZ30" i="5"/>
  <c r="BA30" i="5"/>
  <c r="BC30" i="5"/>
  <c r="BE30" i="5"/>
  <c r="BF30" i="5"/>
  <c r="BK30" i="5"/>
  <c r="BL30" i="5"/>
  <c r="BM30" i="5"/>
  <c r="BN30" i="5"/>
  <c r="AB31" i="5"/>
  <c r="AC31" i="5"/>
  <c r="AD31" i="5"/>
  <c r="AE31" i="5"/>
  <c r="AG31" i="5"/>
  <c r="AH31" i="5"/>
  <c r="AI31" i="5"/>
  <c r="AJ31" i="5"/>
  <c r="AK31" i="5"/>
  <c r="AL31" i="5"/>
  <c r="AM31" i="5"/>
  <c r="AN31" i="5"/>
  <c r="AO31" i="5"/>
  <c r="AP31" i="5"/>
  <c r="AQ31" i="5"/>
  <c r="AR31" i="5"/>
  <c r="AS31" i="5"/>
  <c r="AT31" i="5"/>
  <c r="AU31" i="5"/>
  <c r="AV31" i="5"/>
  <c r="AW31" i="5"/>
  <c r="AX31" i="5"/>
  <c r="AY31" i="5"/>
  <c r="AZ31" i="5"/>
  <c r="BA31" i="5"/>
  <c r="BC31" i="5"/>
  <c r="BE31" i="5"/>
  <c r="BF31" i="5"/>
  <c r="BK31" i="5"/>
  <c r="BL31" i="5"/>
  <c r="BM31" i="5"/>
  <c r="BN31" i="5"/>
  <c r="AB32" i="5"/>
  <c r="AC32" i="5"/>
  <c r="AD32" i="5"/>
  <c r="AE32" i="5"/>
  <c r="AG32" i="5"/>
  <c r="AH32" i="5"/>
  <c r="AI32" i="5"/>
  <c r="AJ32" i="5"/>
  <c r="AK32" i="5"/>
  <c r="AL32" i="5"/>
  <c r="AM32" i="5"/>
  <c r="AN32" i="5"/>
  <c r="AO32" i="5"/>
  <c r="AP32" i="5"/>
  <c r="AQ32" i="5"/>
  <c r="AR32" i="5"/>
  <c r="AS32" i="5"/>
  <c r="AT32" i="5"/>
  <c r="AU32" i="5"/>
  <c r="AV32" i="5"/>
  <c r="AW32" i="5"/>
  <c r="AX32" i="5"/>
  <c r="AY32" i="5"/>
  <c r="AZ32" i="5"/>
  <c r="BA32" i="5"/>
  <c r="BC32" i="5"/>
  <c r="BE32" i="5"/>
  <c r="BF32" i="5"/>
  <c r="BK32" i="5"/>
  <c r="BL32" i="5"/>
  <c r="BM32" i="5"/>
  <c r="BN32" i="5"/>
  <c r="AB33" i="5"/>
  <c r="AC33" i="5"/>
  <c r="AD33" i="5"/>
  <c r="AE33" i="5"/>
  <c r="AG33" i="5"/>
  <c r="AH33" i="5"/>
  <c r="AI33" i="5"/>
  <c r="AJ33" i="5"/>
  <c r="AK33" i="5"/>
  <c r="AL33" i="5"/>
  <c r="AM33" i="5"/>
  <c r="AN33" i="5"/>
  <c r="AO33" i="5"/>
  <c r="AP33" i="5"/>
  <c r="AQ33" i="5"/>
  <c r="AR33" i="5"/>
  <c r="AS33" i="5"/>
  <c r="AT33" i="5"/>
  <c r="AU33" i="5"/>
  <c r="AV33" i="5"/>
  <c r="AW33" i="5"/>
  <c r="AX33" i="5"/>
  <c r="AY33" i="5"/>
  <c r="AZ33" i="5"/>
  <c r="BA33" i="5"/>
  <c r="BC33" i="5"/>
  <c r="BE33" i="5"/>
  <c r="BF33" i="5"/>
  <c r="BK33" i="5"/>
  <c r="BL33" i="5"/>
  <c r="BM33" i="5"/>
  <c r="BN33" i="5"/>
  <c r="AB34" i="5"/>
  <c r="AC34" i="5"/>
  <c r="AD34" i="5"/>
  <c r="AE34" i="5"/>
  <c r="AG34" i="5"/>
  <c r="AH34" i="5"/>
  <c r="AI34" i="5"/>
  <c r="AJ34" i="5"/>
  <c r="AK34" i="5"/>
  <c r="AL34" i="5"/>
  <c r="AM34" i="5"/>
  <c r="AN34" i="5"/>
  <c r="AO34" i="5"/>
  <c r="AP34" i="5"/>
  <c r="AQ34" i="5"/>
  <c r="AR34" i="5"/>
  <c r="AS34" i="5"/>
  <c r="AT34" i="5"/>
  <c r="AU34" i="5"/>
  <c r="AV34" i="5"/>
  <c r="AW34" i="5"/>
  <c r="AX34" i="5"/>
  <c r="AY34" i="5"/>
  <c r="AZ34" i="5"/>
  <c r="BA34" i="5"/>
  <c r="BC34" i="5"/>
  <c r="BE34" i="5"/>
  <c r="BF34" i="5"/>
  <c r="BK34" i="5"/>
  <c r="BL34" i="5"/>
  <c r="BM34" i="5"/>
  <c r="BN34" i="5"/>
  <c r="AB35" i="5"/>
  <c r="AC35" i="5"/>
  <c r="AD35" i="5"/>
  <c r="AE35" i="5"/>
  <c r="AG35" i="5"/>
  <c r="AH35" i="5"/>
  <c r="AI35" i="5"/>
  <c r="AJ35" i="5"/>
  <c r="AK35" i="5"/>
  <c r="AL35" i="5"/>
  <c r="AM35" i="5"/>
  <c r="AN35" i="5"/>
  <c r="AO35" i="5"/>
  <c r="AP35" i="5"/>
  <c r="AQ35" i="5"/>
  <c r="AR35" i="5"/>
  <c r="AS35" i="5"/>
  <c r="AT35" i="5"/>
  <c r="AU35" i="5"/>
  <c r="AV35" i="5"/>
  <c r="AW35" i="5"/>
  <c r="AX35" i="5"/>
  <c r="AY35" i="5"/>
  <c r="AZ35" i="5"/>
  <c r="BA35" i="5"/>
  <c r="BC35" i="5"/>
  <c r="BE35" i="5"/>
  <c r="BF35" i="5"/>
  <c r="BK35" i="5"/>
  <c r="BL35" i="5"/>
  <c r="BM35" i="5"/>
  <c r="BN35" i="5"/>
  <c r="AB36" i="5"/>
  <c r="AC36" i="5"/>
  <c r="AD36" i="5"/>
  <c r="AE36" i="5"/>
  <c r="AG36" i="5"/>
  <c r="AH36" i="5"/>
  <c r="AI36" i="5"/>
  <c r="AJ36" i="5"/>
  <c r="AK36" i="5"/>
  <c r="AL36" i="5"/>
  <c r="AM36" i="5"/>
  <c r="AN36" i="5"/>
  <c r="AO36" i="5"/>
  <c r="AP36" i="5"/>
  <c r="AQ36" i="5"/>
  <c r="AR36" i="5"/>
  <c r="AS36" i="5"/>
  <c r="AT36" i="5"/>
  <c r="AU36" i="5"/>
  <c r="AV36" i="5"/>
  <c r="AW36" i="5"/>
  <c r="AX36" i="5"/>
  <c r="AY36" i="5"/>
  <c r="AZ36" i="5"/>
  <c r="BA36" i="5"/>
  <c r="BC36" i="5"/>
  <c r="BE36" i="5"/>
  <c r="BF36" i="5"/>
  <c r="BK36" i="5"/>
  <c r="BL36" i="5"/>
  <c r="BM36" i="5"/>
  <c r="BN36" i="5"/>
  <c r="AB37" i="5"/>
  <c r="AC37" i="5"/>
  <c r="AD37" i="5"/>
  <c r="AE37" i="5"/>
  <c r="AG37" i="5"/>
  <c r="AH37" i="5"/>
  <c r="AI37" i="5"/>
  <c r="AJ37" i="5"/>
  <c r="AK37" i="5"/>
  <c r="AL37" i="5"/>
  <c r="AM37" i="5"/>
  <c r="AN37" i="5"/>
  <c r="AO37" i="5"/>
  <c r="AP37" i="5"/>
  <c r="AQ37" i="5"/>
  <c r="AR37" i="5"/>
  <c r="AS37" i="5"/>
  <c r="AT37" i="5"/>
  <c r="AU37" i="5"/>
  <c r="AV37" i="5"/>
  <c r="AW37" i="5"/>
  <c r="AX37" i="5"/>
  <c r="AY37" i="5"/>
  <c r="AZ37" i="5"/>
  <c r="BA37" i="5"/>
  <c r="BC37" i="5"/>
  <c r="BE37" i="5"/>
  <c r="BF37" i="5"/>
  <c r="BK37" i="5"/>
  <c r="BL37" i="5"/>
  <c r="BM37" i="5"/>
  <c r="BN37" i="5"/>
  <c r="AB38" i="5"/>
  <c r="AC38" i="5"/>
  <c r="AD38" i="5"/>
  <c r="AE38" i="5"/>
  <c r="AG38" i="5"/>
  <c r="AH38" i="5"/>
  <c r="AI38" i="5"/>
  <c r="AJ38" i="5"/>
  <c r="AK38" i="5"/>
  <c r="AL38" i="5"/>
  <c r="AM38" i="5"/>
  <c r="AN38" i="5"/>
  <c r="AO38" i="5"/>
  <c r="AP38" i="5"/>
  <c r="AQ38" i="5"/>
  <c r="AR38" i="5"/>
  <c r="AS38" i="5"/>
  <c r="AT38" i="5"/>
  <c r="AU38" i="5"/>
  <c r="AV38" i="5"/>
  <c r="AW38" i="5"/>
  <c r="AX38" i="5"/>
  <c r="AY38" i="5"/>
  <c r="AZ38" i="5"/>
  <c r="BA38" i="5"/>
  <c r="BC38" i="5"/>
  <c r="BE38" i="5"/>
  <c r="BF38" i="5"/>
  <c r="BK38" i="5"/>
  <c r="BL38" i="5"/>
  <c r="BM38" i="5"/>
  <c r="BN38" i="5"/>
  <c r="AB39" i="5"/>
  <c r="AC39" i="5"/>
  <c r="AD39" i="5"/>
  <c r="AE39" i="5"/>
  <c r="AG39" i="5"/>
  <c r="AH39" i="5"/>
  <c r="AI39" i="5"/>
  <c r="AJ39" i="5"/>
  <c r="AK39" i="5"/>
  <c r="AL39" i="5"/>
  <c r="AM39" i="5"/>
  <c r="AN39" i="5"/>
  <c r="AO39" i="5"/>
  <c r="AP39" i="5"/>
  <c r="AQ39" i="5"/>
  <c r="AR39" i="5"/>
  <c r="AS39" i="5"/>
  <c r="AT39" i="5"/>
  <c r="AU39" i="5"/>
  <c r="AV39" i="5"/>
  <c r="AW39" i="5"/>
  <c r="AX39" i="5"/>
  <c r="AY39" i="5"/>
  <c r="AZ39" i="5"/>
  <c r="BA39" i="5"/>
  <c r="BC39" i="5"/>
  <c r="BE39" i="5"/>
  <c r="BF39" i="5"/>
  <c r="BK39" i="5"/>
  <c r="BL39" i="5"/>
  <c r="BM39" i="5"/>
  <c r="BN39" i="5"/>
  <c r="AB40" i="5"/>
  <c r="AC40" i="5"/>
  <c r="AD40" i="5"/>
  <c r="AE40" i="5"/>
  <c r="AG40" i="5"/>
  <c r="AH40" i="5"/>
  <c r="AI40" i="5"/>
  <c r="AJ40" i="5"/>
  <c r="AK40" i="5"/>
  <c r="AL40" i="5"/>
  <c r="AM40" i="5"/>
  <c r="AN40" i="5"/>
  <c r="AO40" i="5"/>
  <c r="AP40" i="5"/>
  <c r="AQ40" i="5"/>
  <c r="AR40" i="5"/>
  <c r="AS40" i="5"/>
  <c r="AT40" i="5"/>
  <c r="AU40" i="5"/>
  <c r="AV40" i="5"/>
  <c r="AW40" i="5"/>
  <c r="AX40" i="5"/>
  <c r="AY40" i="5"/>
  <c r="AZ40" i="5"/>
  <c r="BA40" i="5"/>
  <c r="BC40" i="5"/>
  <c r="BE40" i="5"/>
  <c r="BF40" i="5"/>
  <c r="BK40" i="5"/>
  <c r="BL40" i="5"/>
  <c r="BM40" i="5"/>
  <c r="BN40" i="5"/>
  <c r="AB41" i="5"/>
  <c r="AC41" i="5"/>
  <c r="AD41" i="5"/>
  <c r="AE41" i="5"/>
  <c r="AG41" i="5"/>
  <c r="AH41" i="5"/>
  <c r="AI41" i="5"/>
  <c r="AJ41" i="5"/>
  <c r="AK41" i="5"/>
  <c r="AL41" i="5"/>
  <c r="AM41" i="5"/>
  <c r="AN41" i="5"/>
  <c r="AO41" i="5"/>
  <c r="AP41" i="5"/>
  <c r="AQ41" i="5"/>
  <c r="AR41" i="5"/>
  <c r="AS41" i="5"/>
  <c r="AT41" i="5"/>
  <c r="AU41" i="5"/>
  <c r="AV41" i="5"/>
  <c r="AW41" i="5"/>
  <c r="AX41" i="5"/>
  <c r="AY41" i="5"/>
  <c r="AZ41" i="5"/>
  <c r="BA41" i="5"/>
  <c r="BC41" i="5"/>
  <c r="BE41" i="5"/>
  <c r="BF41" i="5"/>
  <c r="BK41" i="5"/>
  <c r="BL41" i="5"/>
  <c r="BM41" i="5"/>
  <c r="BN41" i="5"/>
  <c r="AB42" i="5"/>
  <c r="AC42" i="5"/>
  <c r="AD42" i="5"/>
  <c r="AE42" i="5"/>
  <c r="AG42" i="5"/>
  <c r="AH42" i="5"/>
  <c r="AI42" i="5"/>
  <c r="AJ42" i="5"/>
  <c r="AK42" i="5"/>
  <c r="AL42" i="5"/>
  <c r="AM42" i="5"/>
  <c r="AN42" i="5"/>
  <c r="AO42" i="5"/>
  <c r="AP42" i="5"/>
  <c r="AQ42" i="5"/>
  <c r="AR42" i="5"/>
  <c r="AS42" i="5"/>
  <c r="AT42" i="5"/>
  <c r="AU42" i="5"/>
  <c r="AV42" i="5"/>
  <c r="AW42" i="5"/>
  <c r="AX42" i="5"/>
  <c r="AY42" i="5"/>
  <c r="AZ42" i="5"/>
  <c r="BA42" i="5"/>
  <c r="BC42" i="5"/>
  <c r="BE42" i="5"/>
  <c r="BF42" i="5"/>
  <c r="BK42" i="5"/>
  <c r="BL42" i="5"/>
  <c r="BM42" i="5"/>
  <c r="BN42" i="5"/>
  <c r="AB43" i="5"/>
  <c r="AC43" i="5"/>
  <c r="AD43" i="5"/>
  <c r="AE43" i="5"/>
  <c r="AG43" i="5"/>
  <c r="AH43" i="5"/>
  <c r="AI43" i="5"/>
  <c r="AJ43" i="5"/>
  <c r="AK43" i="5"/>
  <c r="AL43" i="5"/>
  <c r="AM43" i="5"/>
  <c r="AN43" i="5"/>
  <c r="AO43" i="5"/>
  <c r="AP43" i="5"/>
  <c r="AQ43" i="5"/>
  <c r="AR43" i="5"/>
  <c r="AS43" i="5"/>
  <c r="AT43" i="5"/>
  <c r="AU43" i="5"/>
  <c r="AV43" i="5"/>
  <c r="AW43" i="5"/>
  <c r="AX43" i="5"/>
  <c r="AY43" i="5"/>
  <c r="AZ43" i="5"/>
  <c r="BA43" i="5"/>
  <c r="BC43" i="5"/>
  <c r="BE43" i="5"/>
  <c r="BF43" i="5"/>
  <c r="BK43" i="5"/>
  <c r="BL43" i="5"/>
  <c r="BM43" i="5"/>
  <c r="BN43" i="5"/>
  <c r="AB44" i="5"/>
  <c r="AC44" i="5"/>
  <c r="AD44" i="5"/>
  <c r="AE44" i="5"/>
  <c r="AG44" i="5"/>
  <c r="AH44" i="5"/>
  <c r="AI44" i="5"/>
  <c r="AJ44" i="5"/>
  <c r="AK44" i="5"/>
  <c r="AL44" i="5"/>
  <c r="AM44" i="5"/>
  <c r="AN44" i="5"/>
  <c r="AO44" i="5"/>
  <c r="AP44" i="5"/>
  <c r="AQ44" i="5"/>
  <c r="AR44" i="5"/>
  <c r="AS44" i="5"/>
  <c r="AT44" i="5"/>
  <c r="AU44" i="5"/>
  <c r="AV44" i="5"/>
  <c r="AW44" i="5"/>
  <c r="AX44" i="5"/>
  <c r="AY44" i="5"/>
  <c r="AZ44" i="5"/>
  <c r="BA44" i="5"/>
  <c r="BC44" i="5"/>
  <c r="BE44" i="5"/>
  <c r="BF44" i="5"/>
  <c r="BK44" i="5"/>
  <c r="BL44" i="5"/>
  <c r="BM44" i="5"/>
  <c r="BN44" i="5"/>
  <c r="AB45" i="5"/>
  <c r="AC45" i="5"/>
  <c r="AD45" i="5"/>
  <c r="AE45" i="5"/>
  <c r="AG45" i="5"/>
  <c r="AH45" i="5"/>
  <c r="AI45" i="5"/>
  <c r="AJ45" i="5"/>
  <c r="AK45" i="5"/>
  <c r="AL45" i="5"/>
  <c r="AM45" i="5"/>
  <c r="AN45" i="5"/>
  <c r="AO45" i="5"/>
  <c r="AP45" i="5"/>
  <c r="AQ45" i="5"/>
  <c r="AR45" i="5"/>
  <c r="AS45" i="5"/>
  <c r="AT45" i="5"/>
  <c r="AU45" i="5"/>
  <c r="AV45" i="5"/>
  <c r="AW45" i="5"/>
  <c r="AX45" i="5"/>
  <c r="AY45" i="5"/>
  <c r="AZ45" i="5"/>
  <c r="BA45" i="5"/>
  <c r="BC45" i="5"/>
  <c r="BE45" i="5"/>
  <c r="BF45" i="5"/>
  <c r="BK45" i="5"/>
  <c r="BL45" i="5"/>
  <c r="BM45" i="5"/>
  <c r="BN45" i="5"/>
  <c r="AB46" i="5"/>
  <c r="AC46" i="5"/>
  <c r="AD46" i="5"/>
  <c r="AE46" i="5"/>
  <c r="AG46" i="5"/>
  <c r="AH46" i="5"/>
  <c r="AI46" i="5"/>
  <c r="AJ46" i="5"/>
  <c r="AK46" i="5"/>
  <c r="AL46" i="5"/>
  <c r="AM46" i="5"/>
  <c r="AN46" i="5"/>
  <c r="AO46" i="5"/>
  <c r="AP46" i="5"/>
  <c r="AQ46" i="5"/>
  <c r="AR46" i="5"/>
  <c r="AS46" i="5"/>
  <c r="AT46" i="5"/>
  <c r="AU46" i="5"/>
  <c r="AV46" i="5"/>
  <c r="AW46" i="5"/>
  <c r="AX46" i="5"/>
  <c r="AY46" i="5"/>
  <c r="AZ46" i="5"/>
  <c r="BA46" i="5"/>
  <c r="BC46" i="5"/>
  <c r="BE46" i="5"/>
  <c r="BF46" i="5"/>
  <c r="BK46" i="5"/>
  <c r="BL46" i="5"/>
  <c r="BM46" i="5"/>
  <c r="BN46" i="5"/>
  <c r="AB47" i="5"/>
  <c r="AC47" i="5"/>
  <c r="AD47" i="5"/>
  <c r="AE47" i="5"/>
  <c r="AG47" i="5"/>
  <c r="AH47" i="5"/>
  <c r="AI47" i="5"/>
  <c r="AJ47" i="5"/>
  <c r="AK47" i="5"/>
  <c r="AL47" i="5"/>
  <c r="AM47" i="5"/>
  <c r="AN47" i="5"/>
  <c r="AO47" i="5"/>
  <c r="AP47" i="5"/>
  <c r="AQ47" i="5"/>
  <c r="AR47" i="5"/>
  <c r="AS47" i="5"/>
  <c r="AT47" i="5"/>
  <c r="AU47" i="5"/>
  <c r="AV47" i="5"/>
  <c r="AW47" i="5"/>
  <c r="AX47" i="5"/>
  <c r="AY47" i="5"/>
  <c r="AZ47" i="5"/>
  <c r="BA47" i="5"/>
  <c r="BC47" i="5"/>
  <c r="BE47" i="5"/>
  <c r="BF47" i="5"/>
  <c r="BK47" i="5"/>
  <c r="BL47" i="5"/>
  <c r="BM47" i="5"/>
  <c r="BN47" i="5"/>
  <c r="AB48" i="5"/>
  <c r="AC48" i="5"/>
  <c r="AD48" i="5"/>
  <c r="AE48" i="5"/>
  <c r="AG48" i="5"/>
  <c r="AH48" i="5"/>
  <c r="AI48" i="5"/>
  <c r="AJ48" i="5"/>
  <c r="AK48" i="5"/>
  <c r="AL48" i="5"/>
  <c r="AM48" i="5"/>
  <c r="AN48" i="5"/>
  <c r="AO48" i="5"/>
  <c r="AP48" i="5"/>
  <c r="AQ48" i="5"/>
  <c r="AR48" i="5"/>
  <c r="AS48" i="5"/>
  <c r="AT48" i="5"/>
  <c r="AU48" i="5"/>
  <c r="AV48" i="5"/>
  <c r="AW48" i="5"/>
  <c r="AX48" i="5"/>
  <c r="AY48" i="5"/>
  <c r="AZ48" i="5"/>
  <c r="BA48" i="5"/>
  <c r="BC48" i="5"/>
  <c r="BE48" i="5"/>
  <c r="BF48" i="5"/>
  <c r="BK48" i="5"/>
  <c r="BL48" i="5"/>
  <c r="BM48" i="5"/>
  <c r="BN48" i="5"/>
  <c r="AB49" i="5"/>
  <c r="AC49" i="5"/>
  <c r="AD49" i="5"/>
  <c r="AE49" i="5"/>
  <c r="AG49" i="5"/>
  <c r="AH49" i="5"/>
  <c r="AI49" i="5"/>
  <c r="AJ49" i="5"/>
  <c r="AK49" i="5"/>
  <c r="AL49" i="5"/>
  <c r="AM49" i="5"/>
  <c r="AN49" i="5"/>
  <c r="AO49" i="5"/>
  <c r="AP49" i="5"/>
  <c r="AQ49" i="5"/>
  <c r="AR49" i="5"/>
  <c r="AS49" i="5"/>
  <c r="AT49" i="5"/>
  <c r="AU49" i="5"/>
  <c r="AV49" i="5"/>
  <c r="AW49" i="5"/>
  <c r="AX49" i="5"/>
  <c r="AY49" i="5"/>
  <c r="AZ49" i="5"/>
  <c r="BA49" i="5"/>
  <c r="BC49" i="5"/>
  <c r="BE49" i="5"/>
  <c r="BF49" i="5"/>
  <c r="BK49" i="5"/>
  <c r="BL49" i="5"/>
  <c r="BM49" i="5"/>
  <c r="BN49" i="5"/>
  <c r="AB50" i="5"/>
  <c r="AC50" i="5"/>
  <c r="AD50" i="5"/>
  <c r="AE50" i="5"/>
  <c r="AG50" i="5"/>
  <c r="AH50" i="5"/>
  <c r="AI50" i="5"/>
  <c r="AJ50" i="5"/>
  <c r="AK50" i="5"/>
  <c r="AL50" i="5"/>
  <c r="AM50" i="5"/>
  <c r="AN50" i="5"/>
  <c r="AO50" i="5"/>
  <c r="AP50" i="5"/>
  <c r="AQ50" i="5"/>
  <c r="AR50" i="5"/>
  <c r="AS50" i="5"/>
  <c r="AT50" i="5"/>
  <c r="AU50" i="5"/>
  <c r="AV50" i="5"/>
  <c r="AW50" i="5"/>
  <c r="AX50" i="5"/>
  <c r="AY50" i="5"/>
  <c r="AZ50" i="5"/>
  <c r="BA50" i="5"/>
  <c r="BC50" i="5"/>
  <c r="BE50" i="5"/>
  <c r="BF50" i="5"/>
  <c r="BK50" i="5"/>
  <c r="BL50" i="5"/>
  <c r="BM50" i="5"/>
  <c r="BN50" i="5"/>
  <c r="AB51" i="5"/>
  <c r="AC51" i="5"/>
  <c r="AD51" i="5"/>
  <c r="AE51" i="5"/>
  <c r="AG51" i="5"/>
  <c r="AH51" i="5"/>
  <c r="AI51" i="5"/>
  <c r="AJ51" i="5"/>
  <c r="AK51" i="5"/>
  <c r="AL51" i="5"/>
  <c r="AM51" i="5"/>
  <c r="AN51" i="5"/>
  <c r="AO51" i="5"/>
  <c r="AP51" i="5"/>
  <c r="AQ51" i="5"/>
  <c r="AR51" i="5"/>
  <c r="AS51" i="5"/>
  <c r="AT51" i="5"/>
  <c r="AU51" i="5"/>
  <c r="AV51" i="5"/>
  <c r="AW51" i="5"/>
  <c r="AX51" i="5"/>
  <c r="AY51" i="5"/>
  <c r="AZ51" i="5"/>
  <c r="BA51" i="5"/>
  <c r="BC51" i="5"/>
  <c r="BE51" i="5"/>
  <c r="BF51" i="5"/>
  <c r="BK51" i="5"/>
  <c r="BL51" i="5"/>
  <c r="BM51" i="5"/>
  <c r="BN51" i="5"/>
  <c r="AB52" i="5"/>
  <c r="AC52" i="5"/>
  <c r="AD52" i="5"/>
  <c r="AE52" i="5"/>
  <c r="AG52" i="5"/>
  <c r="AH52" i="5"/>
  <c r="AI52" i="5"/>
  <c r="AJ52" i="5"/>
  <c r="AK52" i="5"/>
  <c r="AL52" i="5"/>
  <c r="AM52" i="5"/>
  <c r="AN52" i="5"/>
  <c r="AO52" i="5"/>
  <c r="AP52" i="5"/>
  <c r="AQ52" i="5"/>
  <c r="AR52" i="5"/>
  <c r="AS52" i="5"/>
  <c r="AT52" i="5"/>
  <c r="AU52" i="5"/>
  <c r="AV52" i="5"/>
  <c r="AW52" i="5"/>
  <c r="AX52" i="5"/>
  <c r="AY52" i="5"/>
  <c r="AZ52" i="5"/>
  <c r="BA52" i="5"/>
  <c r="BC52" i="5"/>
  <c r="BE52" i="5"/>
  <c r="BF52" i="5"/>
  <c r="BK52" i="5"/>
  <c r="BL52" i="5"/>
  <c r="BM52" i="5"/>
  <c r="BN52" i="5"/>
  <c r="AB53" i="5"/>
  <c r="AC53" i="5"/>
  <c r="AD53" i="5"/>
  <c r="AE53" i="5"/>
  <c r="AG53" i="5"/>
  <c r="AH53" i="5"/>
  <c r="AI53" i="5"/>
  <c r="AJ53" i="5"/>
  <c r="AK53" i="5"/>
  <c r="AL53" i="5"/>
  <c r="AM53" i="5"/>
  <c r="AN53" i="5"/>
  <c r="AO53" i="5"/>
  <c r="AP53" i="5"/>
  <c r="AQ53" i="5"/>
  <c r="AR53" i="5"/>
  <c r="AS53" i="5"/>
  <c r="AT53" i="5"/>
  <c r="AU53" i="5"/>
  <c r="AV53" i="5"/>
  <c r="AW53" i="5"/>
  <c r="AX53" i="5"/>
  <c r="AY53" i="5"/>
  <c r="AZ53" i="5"/>
  <c r="BA53" i="5"/>
  <c r="BC53" i="5"/>
  <c r="BE53" i="5"/>
  <c r="BF53" i="5"/>
  <c r="BK53" i="5"/>
  <c r="BL53" i="5"/>
  <c r="BM53" i="5"/>
  <c r="BN53" i="5"/>
  <c r="AB54" i="5"/>
  <c r="AC54" i="5"/>
  <c r="AD54" i="5"/>
  <c r="AE54" i="5"/>
  <c r="AG54" i="5"/>
  <c r="AH54" i="5"/>
  <c r="AI54" i="5"/>
  <c r="AJ54" i="5"/>
  <c r="AK54" i="5"/>
  <c r="AL54" i="5"/>
  <c r="AM54" i="5"/>
  <c r="AN54" i="5"/>
  <c r="AO54" i="5"/>
  <c r="AP54" i="5"/>
  <c r="AQ54" i="5"/>
  <c r="AR54" i="5"/>
  <c r="AS54" i="5"/>
  <c r="AT54" i="5"/>
  <c r="AU54" i="5"/>
  <c r="AV54" i="5"/>
  <c r="AW54" i="5"/>
  <c r="AX54" i="5"/>
  <c r="AY54" i="5"/>
  <c r="AZ54" i="5"/>
  <c r="BA54" i="5"/>
  <c r="BC54" i="5"/>
  <c r="BE54" i="5"/>
  <c r="BF54" i="5"/>
  <c r="BK54" i="5"/>
  <c r="BL54" i="5"/>
  <c r="BM54" i="5"/>
  <c r="BN54" i="5"/>
  <c r="AB55" i="5"/>
  <c r="AC55" i="5"/>
  <c r="AD55" i="5"/>
  <c r="AE55" i="5"/>
  <c r="AG55" i="5"/>
  <c r="AH55" i="5"/>
  <c r="AI55" i="5"/>
  <c r="AJ55" i="5"/>
  <c r="AK55" i="5"/>
  <c r="AL55" i="5"/>
  <c r="AM55" i="5"/>
  <c r="AN55" i="5"/>
  <c r="AO55" i="5"/>
  <c r="AP55" i="5"/>
  <c r="AQ55" i="5"/>
  <c r="AR55" i="5"/>
  <c r="AS55" i="5"/>
  <c r="AT55" i="5"/>
  <c r="AU55" i="5"/>
  <c r="AV55" i="5"/>
  <c r="AW55" i="5"/>
  <c r="AX55" i="5"/>
  <c r="AY55" i="5"/>
  <c r="AZ55" i="5"/>
  <c r="BA55" i="5"/>
  <c r="BC55" i="5"/>
  <c r="BE55" i="5"/>
  <c r="BF55" i="5"/>
  <c r="BK55" i="5"/>
  <c r="BL55" i="5"/>
  <c r="BM55" i="5"/>
  <c r="BN55" i="5"/>
  <c r="AB56" i="5"/>
  <c r="AC56" i="5"/>
  <c r="AD56" i="5"/>
  <c r="AE56" i="5"/>
  <c r="AG56" i="5"/>
  <c r="AH56" i="5"/>
  <c r="AI56" i="5"/>
  <c r="AJ56" i="5"/>
  <c r="AK56" i="5"/>
  <c r="AL56" i="5"/>
  <c r="AM56" i="5"/>
  <c r="AN56" i="5"/>
  <c r="AO56" i="5"/>
  <c r="AP56" i="5"/>
  <c r="AQ56" i="5"/>
  <c r="AR56" i="5"/>
  <c r="AS56" i="5"/>
  <c r="AT56" i="5"/>
  <c r="AU56" i="5"/>
  <c r="AV56" i="5"/>
  <c r="AW56" i="5"/>
  <c r="AX56" i="5"/>
  <c r="AY56" i="5"/>
  <c r="AZ56" i="5"/>
  <c r="BA56" i="5"/>
  <c r="BC56" i="5"/>
  <c r="BE56" i="5"/>
  <c r="BF56" i="5"/>
  <c r="BK56" i="5"/>
  <c r="BL56" i="5"/>
  <c r="BM56" i="5"/>
  <c r="BN56" i="5"/>
  <c r="AB57" i="5"/>
  <c r="AC57" i="5"/>
  <c r="AD57" i="5"/>
  <c r="AE57" i="5"/>
  <c r="AG57" i="5"/>
  <c r="AH57" i="5"/>
  <c r="AI57" i="5"/>
  <c r="AJ57" i="5"/>
  <c r="AK57" i="5"/>
  <c r="AL57" i="5"/>
  <c r="AM57" i="5"/>
  <c r="AN57" i="5"/>
  <c r="AO57" i="5"/>
  <c r="AP57" i="5"/>
  <c r="AQ57" i="5"/>
  <c r="AR57" i="5"/>
  <c r="AS57" i="5"/>
  <c r="AT57" i="5"/>
  <c r="AU57" i="5"/>
  <c r="AV57" i="5"/>
  <c r="AW57" i="5"/>
  <c r="AX57" i="5"/>
  <c r="AY57" i="5"/>
  <c r="AZ57" i="5"/>
  <c r="BA57" i="5"/>
  <c r="BC57" i="5"/>
  <c r="BE57" i="5"/>
  <c r="BF57" i="5"/>
  <c r="BK57" i="5"/>
  <c r="BL57" i="5"/>
  <c r="BM57" i="5"/>
  <c r="BN57" i="5"/>
  <c r="AB58" i="5"/>
  <c r="AC58" i="5"/>
  <c r="AD58" i="5"/>
  <c r="AE58" i="5"/>
  <c r="AG58" i="5"/>
  <c r="AH58" i="5"/>
  <c r="AI58" i="5"/>
  <c r="AJ58" i="5"/>
  <c r="AK58" i="5"/>
  <c r="AL58" i="5"/>
  <c r="AM58" i="5"/>
  <c r="AN58" i="5"/>
  <c r="AO58" i="5"/>
  <c r="AP58" i="5"/>
  <c r="AQ58" i="5"/>
  <c r="AR58" i="5"/>
  <c r="AS58" i="5"/>
  <c r="AT58" i="5"/>
  <c r="AU58" i="5"/>
  <c r="AV58" i="5"/>
  <c r="AW58" i="5"/>
  <c r="AX58" i="5"/>
  <c r="AY58" i="5"/>
  <c r="AZ58" i="5"/>
  <c r="BA58" i="5"/>
  <c r="BC58" i="5"/>
  <c r="BE58" i="5"/>
  <c r="BF58" i="5"/>
  <c r="BK58" i="5"/>
  <c r="BL58" i="5"/>
  <c r="BM58" i="5"/>
  <c r="BN58" i="5"/>
  <c r="AB59" i="5"/>
  <c r="AC59" i="5"/>
  <c r="AD59" i="5"/>
  <c r="AE59" i="5"/>
  <c r="AG59" i="5"/>
  <c r="AH59" i="5"/>
  <c r="AI59" i="5"/>
  <c r="AJ59" i="5"/>
  <c r="AK59" i="5"/>
  <c r="AL59" i="5"/>
  <c r="AM59" i="5"/>
  <c r="AN59" i="5"/>
  <c r="AO59" i="5"/>
  <c r="AP59" i="5"/>
  <c r="AQ59" i="5"/>
  <c r="AR59" i="5"/>
  <c r="AS59" i="5"/>
  <c r="AT59" i="5"/>
  <c r="AU59" i="5"/>
  <c r="AV59" i="5"/>
  <c r="AW59" i="5"/>
  <c r="AX59" i="5"/>
  <c r="AY59" i="5"/>
  <c r="AZ59" i="5"/>
  <c r="BA59" i="5"/>
  <c r="BC59" i="5"/>
  <c r="BE59" i="5"/>
  <c r="BF59" i="5"/>
  <c r="BK59" i="5"/>
  <c r="BL59" i="5"/>
  <c r="BM59" i="5"/>
  <c r="BN59" i="5"/>
  <c r="AB60" i="5"/>
  <c r="AC60" i="5"/>
  <c r="AD60" i="5"/>
  <c r="AE60" i="5"/>
  <c r="AG60" i="5"/>
  <c r="AH60" i="5"/>
  <c r="AI60" i="5"/>
  <c r="AJ60" i="5"/>
  <c r="AK60" i="5"/>
  <c r="AL60" i="5"/>
  <c r="AM60" i="5"/>
  <c r="AN60" i="5"/>
  <c r="AO60" i="5"/>
  <c r="AP60" i="5"/>
  <c r="AQ60" i="5"/>
  <c r="AR60" i="5"/>
  <c r="AS60" i="5"/>
  <c r="AT60" i="5"/>
  <c r="AU60" i="5"/>
  <c r="AV60" i="5"/>
  <c r="AW60" i="5"/>
  <c r="AX60" i="5"/>
  <c r="AY60" i="5"/>
  <c r="AZ60" i="5"/>
  <c r="BA60" i="5"/>
  <c r="BC60" i="5"/>
  <c r="BE60" i="5"/>
  <c r="BF60" i="5"/>
  <c r="BK60" i="5"/>
  <c r="BL60" i="5"/>
  <c r="BM60" i="5"/>
  <c r="BN60" i="5"/>
  <c r="AB61" i="5"/>
  <c r="AC61" i="5"/>
  <c r="AD61" i="5"/>
  <c r="AE61" i="5"/>
  <c r="AG61" i="5"/>
  <c r="AH61" i="5"/>
  <c r="AI61" i="5"/>
  <c r="AJ61" i="5"/>
  <c r="AK61" i="5"/>
  <c r="AL61" i="5"/>
  <c r="AM61" i="5"/>
  <c r="AN61" i="5"/>
  <c r="AO61" i="5"/>
  <c r="AP61" i="5"/>
  <c r="AQ61" i="5"/>
  <c r="AR61" i="5"/>
  <c r="AS61" i="5"/>
  <c r="AT61" i="5"/>
  <c r="AU61" i="5"/>
  <c r="AV61" i="5"/>
  <c r="AW61" i="5"/>
  <c r="AX61" i="5"/>
  <c r="AY61" i="5"/>
  <c r="AZ61" i="5"/>
  <c r="BA61" i="5"/>
  <c r="BC61" i="5"/>
  <c r="BE61" i="5"/>
  <c r="BF61" i="5"/>
  <c r="BK61" i="5"/>
  <c r="BL61" i="5"/>
  <c r="BM61" i="5"/>
  <c r="BN61" i="5"/>
  <c r="AB62" i="5"/>
  <c r="AC62" i="5"/>
  <c r="AD62" i="5"/>
  <c r="AE62" i="5"/>
  <c r="AG62" i="5"/>
  <c r="AH62" i="5"/>
  <c r="AI62" i="5"/>
  <c r="AJ62" i="5"/>
  <c r="AK62" i="5"/>
  <c r="AL62" i="5"/>
  <c r="AM62" i="5"/>
  <c r="AN62" i="5"/>
  <c r="AO62" i="5"/>
  <c r="AP62" i="5"/>
  <c r="AQ62" i="5"/>
  <c r="AR62" i="5"/>
  <c r="AS62" i="5"/>
  <c r="AT62" i="5"/>
  <c r="AU62" i="5"/>
  <c r="AV62" i="5"/>
  <c r="AW62" i="5"/>
  <c r="AX62" i="5"/>
  <c r="AY62" i="5"/>
  <c r="AZ62" i="5"/>
  <c r="BA62" i="5"/>
  <c r="BC62" i="5"/>
  <c r="BE62" i="5"/>
  <c r="BF62" i="5"/>
  <c r="BK62" i="5"/>
  <c r="BL62" i="5"/>
  <c r="BM62" i="5"/>
  <c r="BN62" i="5"/>
  <c r="AB63" i="5"/>
  <c r="AC63" i="5"/>
  <c r="AD63" i="5"/>
  <c r="AE63" i="5"/>
  <c r="AG63" i="5"/>
  <c r="AH63" i="5"/>
  <c r="AI63" i="5"/>
  <c r="AJ63" i="5"/>
  <c r="AK63" i="5"/>
  <c r="AL63" i="5"/>
  <c r="AM63" i="5"/>
  <c r="AN63" i="5"/>
  <c r="AO63" i="5"/>
  <c r="AP63" i="5"/>
  <c r="AQ63" i="5"/>
  <c r="AR63" i="5"/>
  <c r="AS63" i="5"/>
  <c r="AT63" i="5"/>
  <c r="AU63" i="5"/>
  <c r="AV63" i="5"/>
  <c r="AW63" i="5"/>
  <c r="AX63" i="5"/>
  <c r="AY63" i="5"/>
  <c r="AZ63" i="5"/>
  <c r="BA63" i="5"/>
  <c r="BC63" i="5"/>
  <c r="BE63" i="5"/>
  <c r="BF63" i="5"/>
  <c r="BK63" i="5"/>
  <c r="BL63" i="5"/>
  <c r="BM63" i="5"/>
  <c r="BN63" i="5"/>
  <c r="AB64" i="5"/>
  <c r="AC64" i="5"/>
  <c r="AD64" i="5"/>
  <c r="AE64" i="5"/>
  <c r="AG64" i="5"/>
  <c r="AH64" i="5"/>
  <c r="AI64" i="5"/>
  <c r="AJ64" i="5"/>
  <c r="AK64" i="5"/>
  <c r="AL64" i="5"/>
  <c r="AM64" i="5"/>
  <c r="AN64" i="5"/>
  <c r="AO64" i="5"/>
  <c r="AP64" i="5"/>
  <c r="AQ64" i="5"/>
  <c r="AR64" i="5"/>
  <c r="AS64" i="5"/>
  <c r="AT64" i="5"/>
  <c r="AU64" i="5"/>
  <c r="AV64" i="5"/>
  <c r="AW64" i="5"/>
  <c r="AX64" i="5"/>
  <c r="AY64" i="5"/>
  <c r="AZ64" i="5"/>
  <c r="BA64" i="5"/>
  <c r="BC64" i="5"/>
  <c r="BE64" i="5"/>
  <c r="BF64" i="5"/>
  <c r="BK64" i="5"/>
  <c r="BL64" i="5"/>
  <c r="BM64" i="5"/>
  <c r="BN64" i="5"/>
  <c r="AB65" i="5"/>
  <c r="AC65" i="5"/>
  <c r="AD65" i="5"/>
  <c r="AE65" i="5"/>
  <c r="AG65" i="5"/>
  <c r="AH65" i="5"/>
  <c r="AI65" i="5"/>
  <c r="AJ65" i="5"/>
  <c r="AK65" i="5"/>
  <c r="AL65" i="5"/>
  <c r="AM65" i="5"/>
  <c r="AN65" i="5"/>
  <c r="AO65" i="5"/>
  <c r="AP65" i="5"/>
  <c r="AQ65" i="5"/>
  <c r="AR65" i="5"/>
  <c r="AS65" i="5"/>
  <c r="AT65" i="5"/>
  <c r="AU65" i="5"/>
  <c r="AV65" i="5"/>
  <c r="AW65" i="5"/>
  <c r="AX65" i="5"/>
  <c r="AY65" i="5"/>
  <c r="AZ65" i="5"/>
  <c r="BA65" i="5"/>
  <c r="BC65" i="5"/>
  <c r="BE65" i="5"/>
  <c r="BF65" i="5"/>
  <c r="BK65" i="5"/>
  <c r="BL65" i="5"/>
  <c r="BM65" i="5"/>
  <c r="BN65" i="5"/>
  <c r="AB66" i="5"/>
  <c r="AC66" i="5"/>
  <c r="AD66" i="5"/>
  <c r="AE66" i="5"/>
  <c r="AG66" i="5"/>
  <c r="AH66" i="5"/>
  <c r="AI66" i="5"/>
  <c r="AJ66" i="5"/>
  <c r="AK66" i="5"/>
  <c r="AL66" i="5"/>
  <c r="AM66" i="5"/>
  <c r="AN66" i="5"/>
  <c r="AO66" i="5"/>
  <c r="AP66" i="5"/>
  <c r="AQ66" i="5"/>
  <c r="AR66" i="5"/>
  <c r="AS66" i="5"/>
  <c r="AT66" i="5"/>
  <c r="AU66" i="5"/>
  <c r="AV66" i="5"/>
  <c r="AW66" i="5"/>
  <c r="AX66" i="5"/>
  <c r="AY66" i="5"/>
  <c r="AZ66" i="5"/>
  <c r="BA66" i="5"/>
  <c r="BC66" i="5"/>
  <c r="BE66" i="5"/>
  <c r="BF66" i="5"/>
  <c r="BK66" i="5"/>
  <c r="BL66" i="5"/>
  <c r="BM66" i="5"/>
  <c r="BN66" i="5"/>
  <c r="AB67" i="5"/>
  <c r="AC67" i="5"/>
  <c r="AD67" i="5"/>
  <c r="AE67" i="5"/>
  <c r="AG67" i="5"/>
  <c r="AH67" i="5"/>
  <c r="AI67" i="5"/>
  <c r="AJ67" i="5"/>
  <c r="AK67" i="5"/>
  <c r="AL67" i="5"/>
  <c r="AM67" i="5"/>
  <c r="AN67" i="5"/>
  <c r="AO67" i="5"/>
  <c r="AP67" i="5"/>
  <c r="AQ67" i="5"/>
  <c r="AR67" i="5"/>
  <c r="AS67" i="5"/>
  <c r="AT67" i="5"/>
  <c r="AU67" i="5"/>
  <c r="AV67" i="5"/>
  <c r="AW67" i="5"/>
  <c r="AX67" i="5"/>
  <c r="AY67" i="5"/>
  <c r="AZ67" i="5"/>
  <c r="BA67" i="5"/>
  <c r="BC67" i="5"/>
  <c r="BE67" i="5"/>
  <c r="BF67" i="5"/>
  <c r="BK67" i="5"/>
  <c r="BL67" i="5"/>
  <c r="BM67" i="5"/>
  <c r="BN67" i="5"/>
  <c r="AB68" i="5"/>
  <c r="AC68" i="5"/>
  <c r="AD68" i="5"/>
  <c r="AE68" i="5"/>
  <c r="AG68" i="5"/>
  <c r="AH68" i="5"/>
  <c r="AI68" i="5"/>
  <c r="AJ68" i="5"/>
  <c r="AK68" i="5"/>
  <c r="AL68" i="5"/>
  <c r="AM68" i="5"/>
  <c r="AN68" i="5"/>
  <c r="AO68" i="5"/>
  <c r="AP68" i="5"/>
  <c r="AQ68" i="5"/>
  <c r="AR68" i="5"/>
  <c r="AS68" i="5"/>
  <c r="AT68" i="5"/>
  <c r="AU68" i="5"/>
  <c r="AV68" i="5"/>
  <c r="AW68" i="5"/>
  <c r="AX68" i="5"/>
  <c r="AY68" i="5"/>
  <c r="AZ68" i="5"/>
  <c r="BA68" i="5"/>
  <c r="BC68" i="5"/>
  <c r="BE68" i="5"/>
  <c r="BF68" i="5"/>
  <c r="BK68" i="5"/>
  <c r="BL68" i="5"/>
  <c r="BM68" i="5"/>
  <c r="BN68" i="5"/>
  <c r="AB69" i="5"/>
  <c r="AC69" i="5"/>
  <c r="AD69" i="5"/>
  <c r="AE69" i="5"/>
  <c r="AG69" i="5"/>
  <c r="AH69" i="5"/>
  <c r="AI69" i="5"/>
  <c r="AJ69" i="5"/>
  <c r="AK69" i="5"/>
  <c r="AL69" i="5"/>
  <c r="AM69" i="5"/>
  <c r="AN69" i="5"/>
  <c r="AO69" i="5"/>
  <c r="AP69" i="5"/>
  <c r="AQ69" i="5"/>
  <c r="AR69" i="5"/>
  <c r="AS69" i="5"/>
  <c r="AT69" i="5"/>
  <c r="AU69" i="5"/>
  <c r="AV69" i="5"/>
  <c r="AW69" i="5"/>
  <c r="AX69" i="5"/>
  <c r="AY69" i="5"/>
  <c r="AZ69" i="5"/>
  <c r="BA69" i="5"/>
  <c r="BC69" i="5"/>
  <c r="BE69" i="5"/>
  <c r="BF69" i="5"/>
  <c r="BK69" i="5"/>
  <c r="BL69" i="5"/>
  <c r="BM69" i="5"/>
  <c r="BN69" i="5"/>
  <c r="AB70" i="5"/>
  <c r="AC70" i="5"/>
  <c r="AD70" i="5"/>
  <c r="AE70" i="5"/>
  <c r="AG70" i="5"/>
  <c r="AH70" i="5"/>
  <c r="AI70" i="5"/>
  <c r="AJ70" i="5"/>
  <c r="AK70" i="5"/>
  <c r="AL70" i="5"/>
  <c r="AM70" i="5"/>
  <c r="AN70" i="5"/>
  <c r="AO70" i="5"/>
  <c r="AP70" i="5"/>
  <c r="AQ70" i="5"/>
  <c r="AR70" i="5"/>
  <c r="AS70" i="5"/>
  <c r="AT70" i="5"/>
  <c r="AU70" i="5"/>
  <c r="AV70" i="5"/>
  <c r="AW70" i="5"/>
  <c r="AX70" i="5"/>
  <c r="AY70" i="5"/>
  <c r="AZ70" i="5"/>
  <c r="BA70" i="5"/>
  <c r="BC70" i="5"/>
  <c r="BE70" i="5"/>
  <c r="BF70" i="5"/>
  <c r="BK70" i="5"/>
  <c r="BL70" i="5"/>
  <c r="BM70" i="5"/>
  <c r="BN70" i="5"/>
  <c r="AB71" i="5"/>
  <c r="AC71" i="5"/>
  <c r="AD71" i="5"/>
  <c r="AE71" i="5"/>
  <c r="AG71" i="5"/>
  <c r="AH71" i="5"/>
  <c r="AI71" i="5"/>
  <c r="AJ71" i="5"/>
  <c r="AK71" i="5"/>
  <c r="AL71" i="5"/>
  <c r="AM71" i="5"/>
  <c r="AN71" i="5"/>
  <c r="AO71" i="5"/>
  <c r="AP71" i="5"/>
  <c r="AQ71" i="5"/>
  <c r="AR71" i="5"/>
  <c r="AS71" i="5"/>
  <c r="AT71" i="5"/>
  <c r="AU71" i="5"/>
  <c r="AV71" i="5"/>
  <c r="AW71" i="5"/>
  <c r="AX71" i="5"/>
  <c r="AY71" i="5"/>
  <c r="AZ71" i="5"/>
  <c r="BA71" i="5"/>
  <c r="BC71" i="5"/>
  <c r="BE71" i="5"/>
  <c r="BF71" i="5"/>
  <c r="BK71" i="5"/>
  <c r="BL71" i="5"/>
  <c r="BM71" i="5"/>
  <c r="BN71" i="5"/>
  <c r="AB72" i="5"/>
  <c r="AC72" i="5"/>
  <c r="AD72" i="5"/>
  <c r="AE72" i="5"/>
  <c r="AG72" i="5"/>
  <c r="AH72" i="5"/>
  <c r="AI72" i="5"/>
  <c r="AJ72" i="5"/>
  <c r="AK72" i="5"/>
  <c r="AL72" i="5"/>
  <c r="AM72" i="5"/>
  <c r="AN72" i="5"/>
  <c r="AO72" i="5"/>
  <c r="AP72" i="5"/>
  <c r="AQ72" i="5"/>
  <c r="AR72" i="5"/>
  <c r="AS72" i="5"/>
  <c r="AT72" i="5"/>
  <c r="AU72" i="5"/>
  <c r="AV72" i="5"/>
  <c r="AW72" i="5"/>
  <c r="AX72" i="5"/>
  <c r="AY72" i="5"/>
  <c r="AZ72" i="5"/>
  <c r="BA72" i="5"/>
  <c r="BC72" i="5"/>
  <c r="BE72" i="5"/>
  <c r="BF72" i="5"/>
  <c r="BK72" i="5"/>
  <c r="BL72" i="5"/>
  <c r="BM72" i="5"/>
  <c r="BN72" i="5"/>
  <c r="AB73" i="5"/>
  <c r="AC73" i="5"/>
  <c r="AD73" i="5"/>
  <c r="AE73" i="5"/>
  <c r="AG73" i="5"/>
  <c r="AH73" i="5"/>
  <c r="AI73" i="5"/>
  <c r="AJ73" i="5"/>
  <c r="AK73" i="5"/>
  <c r="AL73" i="5"/>
  <c r="AM73" i="5"/>
  <c r="AN73" i="5"/>
  <c r="AO73" i="5"/>
  <c r="AP73" i="5"/>
  <c r="AQ73" i="5"/>
  <c r="AR73" i="5"/>
  <c r="AS73" i="5"/>
  <c r="AT73" i="5"/>
  <c r="AU73" i="5"/>
  <c r="AV73" i="5"/>
  <c r="AW73" i="5"/>
  <c r="AX73" i="5"/>
  <c r="AY73" i="5"/>
  <c r="AZ73" i="5"/>
  <c r="BA73" i="5"/>
  <c r="BC73" i="5"/>
  <c r="BE73" i="5"/>
  <c r="BF73" i="5"/>
  <c r="BK73" i="5"/>
  <c r="BL73" i="5"/>
  <c r="BM73" i="5"/>
  <c r="BN73" i="5"/>
  <c r="AB74" i="5"/>
  <c r="AC74" i="5"/>
  <c r="AD74" i="5"/>
  <c r="AE74" i="5"/>
  <c r="AG74" i="5"/>
  <c r="AH74" i="5"/>
  <c r="AI74" i="5"/>
  <c r="AJ74" i="5"/>
  <c r="AK74" i="5"/>
  <c r="AL74" i="5"/>
  <c r="AM74" i="5"/>
  <c r="AN74" i="5"/>
  <c r="AO74" i="5"/>
  <c r="AP74" i="5"/>
  <c r="AQ74" i="5"/>
  <c r="AR74" i="5"/>
  <c r="AS74" i="5"/>
  <c r="AT74" i="5"/>
  <c r="AU74" i="5"/>
  <c r="AV74" i="5"/>
  <c r="AW74" i="5"/>
  <c r="AX74" i="5"/>
  <c r="AY74" i="5"/>
  <c r="AZ74" i="5"/>
  <c r="BA74" i="5"/>
  <c r="BC74" i="5"/>
  <c r="BE74" i="5"/>
  <c r="BF74" i="5"/>
  <c r="BK74" i="5"/>
  <c r="BL74" i="5"/>
  <c r="BM74" i="5"/>
  <c r="BN74" i="5"/>
  <c r="AB75" i="5"/>
  <c r="AC75" i="5"/>
  <c r="AD75" i="5"/>
  <c r="AE75" i="5"/>
  <c r="AG75" i="5"/>
  <c r="AH75" i="5"/>
  <c r="AI75" i="5"/>
  <c r="AJ75" i="5"/>
  <c r="AK75" i="5"/>
  <c r="AL75" i="5"/>
  <c r="AM75" i="5"/>
  <c r="AN75" i="5"/>
  <c r="AO75" i="5"/>
  <c r="AP75" i="5"/>
  <c r="AQ75" i="5"/>
  <c r="AR75" i="5"/>
  <c r="AS75" i="5"/>
  <c r="AT75" i="5"/>
  <c r="AU75" i="5"/>
  <c r="AV75" i="5"/>
  <c r="AW75" i="5"/>
  <c r="AX75" i="5"/>
  <c r="AY75" i="5"/>
  <c r="AZ75" i="5"/>
  <c r="BA75" i="5"/>
  <c r="BC75" i="5"/>
  <c r="BE75" i="5"/>
  <c r="BF75" i="5"/>
  <c r="BK75" i="5"/>
  <c r="BL75" i="5"/>
  <c r="BM75" i="5"/>
  <c r="BN75" i="5"/>
  <c r="AB76" i="5"/>
  <c r="AC76" i="5"/>
  <c r="AD76" i="5"/>
  <c r="AE76" i="5"/>
  <c r="AG76" i="5"/>
  <c r="AH76" i="5"/>
  <c r="AI76" i="5"/>
  <c r="AJ76" i="5"/>
  <c r="AK76" i="5"/>
  <c r="AL76" i="5"/>
  <c r="AM76" i="5"/>
  <c r="AN76" i="5"/>
  <c r="AO76" i="5"/>
  <c r="AP76" i="5"/>
  <c r="AQ76" i="5"/>
  <c r="AR76" i="5"/>
  <c r="AS76" i="5"/>
  <c r="AT76" i="5"/>
  <c r="AU76" i="5"/>
  <c r="AV76" i="5"/>
  <c r="AW76" i="5"/>
  <c r="AX76" i="5"/>
  <c r="AY76" i="5"/>
  <c r="AZ76" i="5"/>
  <c r="BA76" i="5"/>
  <c r="BC76" i="5"/>
  <c r="BE76" i="5"/>
  <c r="BF76" i="5"/>
  <c r="BK76" i="5"/>
  <c r="BL76" i="5"/>
  <c r="BM76" i="5"/>
  <c r="BN76" i="5"/>
  <c r="AB77" i="5"/>
  <c r="AC77" i="5"/>
  <c r="AD77" i="5"/>
  <c r="AE77" i="5"/>
  <c r="AG77" i="5"/>
  <c r="AH77" i="5"/>
  <c r="AI77" i="5"/>
  <c r="AJ77" i="5"/>
  <c r="AK77" i="5"/>
  <c r="AL77" i="5"/>
  <c r="AM77" i="5"/>
  <c r="AN77" i="5"/>
  <c r="AO77" i="5"/>
  <c r="AP77" i="5"/>
  <c r="AQ77" i="5"/>
  <c r="AR77" i="5"/>
  <c r="AS77" i="5"/>
  <c r="AT77" i="5"/>
  <c r="AU77" i="5"/>
  <c r="AV77" i="5"/>
  <c r="AW77" i="5"/>
  <c r="AX77" i="5"/>
  <c r="AY77" i="5"/>
  <c r="AZ77" i="5"/>
  <c r="BA77" i="5"/>
  <c r="BC77" i="5"/>
  <c r="BE77" i="5"/>
  <c r="BF77" i="5"/>
  <c r="BK77" i="5"/>
  <c r="BL77" i="5"/>
  <c r="BM77" i="5"/>
  <c r="BN77" i="5"/>
  <c r="AB78" i="5"/>
  <c r="AC78" i="5"/>
  <c r="AD78" i="5"/>
  <c r="AE78" i="5"/>
  <c r="AG78" i="5"/>
  <c r="AH78" i="5"/>
  <c r="AI78" i="5"/>
  <c r="AJ78" i="5"/>
  <c r="AK78" i="5"/>
  <c r="AL78" i="5"/>
  <c r="AM78" i="5"/>
  <c r="AN78" i="5"/>
  <c r="AO78" i="5"/>
  <c r="AP78" i="5"/>
  <c r="AQ78" i="5"/>
  <c r="AR78" i="5"/>
  <c r="AS78" i="5"/>
  <c r="AT78" i="5"/>
  <c r="AU78" i="5"/>
  <c r="AV78" i="5"/>
  <c r="AW78" i="5"/>
  <c r="AX78" i="5"/>
  <c r="AY78" i="5"/>
  <c r="AZ78" i="5"/>
  <c r="BA78" i="5"/>
  <c r="BC78" i="5"/>
  <c r="BE78" i="5"/>
  <c r="BF78" i="5"/>
  <c r="BK78" i="5"/>
  <c r="BL78" i="5"/>
  <c r="BM78" i="5"/>
  <c r="BN78" i="5"/>
  <c r="AB79" i="5"/>
  <c r="AC79" i="5"/>
  <c r="AD79" i="5"/>
  <c r="AE79" i="5"/>
  <c r="AG79" i="5"/>
  <c r="AH79" i="5"/>
  <c r="AI79" i="5"/>
  <c r="AJ79" i="5"/>
  <c r="AK79" i="5"/>
  <c r="AL79" i="5"/>
  <c r="AM79" i="5"/>
  <c r="AN79" i="5"/>
  <c r="AO79" i="5"/>
  <c r="AP79" i="5"/>
  <c r="AQ79" i="5"/>
  <c r="AR79" i="5"/>
  <c r="AS79" i="5"/>
  <c r="AT79" i="5"/>
  <c r="AU79" i="5"/>
  <c r="AV79" i="5"/>
  <c r="AW79" i="5"/>
  <c r="AX79" i="5"/>
  <c r="AY79" i="5"/>
  <c r="AZ79" i="5"/>
  <c r="BA79" i="5"/>
  <c r="BC79" i="5"/>
  <c r="BE79" i="5"/>
  <c r="BF79" i="5"/>
  <c r="BK79" i="5"/>
  <c r="BL79" i="5"/>
  <c r="BM79" i="5"/>
  <c r="BN79" i="5"/>
  <c r="AB80" i="5"/>
  <c r="AC80" i="5"/>
  <c r="AD80" i="5"/>
  <c r="AE80" i="5"/>
  <c r="AG80" i="5"/>
  <c r="AH80" i="5"/>
  <c r="AI80" i="5"/>
  <c r="AJ80" i="5"/>
  <c r="AK80" i="5"/>
  <c r="AL80" i="5"/>
  <c r="AM80" i="5"/>
  <c r="AN80" i="5"/>
  <c r="AO80" i="5"/>
  <c r="AP80" i="5"/>
  <c r="AQ80" i="5"/>
  <c r="AR80" i="5"/>
  <c r="AS80" i="5"/>
  <c r="AT80" i="5"/>
  <c r="AU80" i="5"/>
  <c r="AV80" i="5"/>
  <c r="AW80" i="5"/>
  <c r="AX80" i="5"/>
  <c r="AY80" i="5"/>
  <c r="AZ80" i="5"/>
  <c r="BA80" i="5"/>
  <c r="BC80" i="5"/>
  <c r="BE80" i="5"/>
  <c r="BF80" i="5"/>
  <c r="BK80" i="5"/>
  <c r="BL80" i="5"/>
  <c r="BM80" i="5"/>
  <c r="BN80" i="5"/>
  <c r="AB81" i="5"/>
  <c r="AC81" i="5"/>
  <c r="AD81" i="5"/>
  <c r="AE81" i="5"/>
  <c r="AG81" i="5"/>
  <c r="AH81" i="5"/>
  <c r="AI81" i="5"/>
  <c r="AJ81" i="5"/>
  <c r="AK81" i="5"/>
  <c r="AL81" i="5"/>
  <c r="AM81" i="5"/>
  <c r="AN81" i="5"/>
  <c r="AO81" i="5"/>
  <c r="AP81" i="5"/>
  <c r="AQ81" i="5"/>
  <c r="AR81" i="5"/>
  <c r="AS81" i="5"/>
  <c r="AT81" i="5"/>
  <c r="AU81" i="5"/>
  <c r="AV81" i="5"/>
  <c r="AW81" i="5"/>
  <c r="AX81" i="5"/>
  <c r="AY81" i="5"/>
  <c r="AZ81" i="5"/>
  <c r="BA81" i="5"/>
  <c r="BC81" i="5"/>
  <c r="BE81" i="5"/>
  <c r="BF81" i="5"/>
  <c r="BK81" i="5"/>
  <c r="BL81" i="5"/>
  <c r="BM81" i="5"/>
  <c r="BN81" i="5"/>
  <c r="AB82" i="5"/>
  <c r="AC82" i="5"/>
  <c r="AD82" i="5"/>
  <c r="AE82" i="5"/>
  <c r="AG82" i="5"/>
  <c r="AH82" i="5"/>
  <c r="AI82" i="5"/>
  <c r="AJ82" i="5"/>
  <c r="AK82" i="5"/>
  <c r="AL82" i="5"/>
  <c r="AM82" i="5"/>
  <c r="AN82" i="5"/>
  <c r="AO82" i="5"/>
  <c r="AP82" i="5"/>
  <c r="AQ82" i="5"/>
  <c r="AR82" i="5"/>
  <c r="AS82" i="5"/>
  <c r="AT82" i="5"/>
  <c r="AU82" i="5"/>
  <c r="AV82" i="5"/>
  <c r="AW82" i="5"/>
  <c r="AX82" i="5"/>
  <c r="AY82" i="5"/>
  <c r="AZ82" i="5"/>
  <c r="BA82" i="5"/>
  <c r="BC82" i="5"/>
  <c r="BE82" i="5"/>
  <c r="BF82" i="5"/>
  <c r="BK82" i="5"/>
  <c r="BL82" i="5"/>
  <c r="BM82" i="5"/>
  <c r="BN82" i="5"/>
  <c r="AB83" i="5"/>
  <c r="AC83" i="5"/>
  <c r="AD83" i="5"/>
  <c r="AE83" i="5"/>
  <c r="AG83" i="5"/>
  <c r="AH83" i="5"/>
  <c r="AI83" i="5"/>
  <c r="AJ83" i="5"/>
  <c r="AK83" i="5"/>
  <c r="AL83" i="5"/>
  <c r="AM83" i="5"/>
  <c r="AN83" i="5"/>
  <c r="AO83" i="5"/>
  <c r="AP83" i="5"/>
  <c r="AQ83" i="5"/>
  <c r="AR83" i="5"/>
  <c r="AS83" i="5"/>
  <c r="AT83" i="5"/>
  <c r="AU83" i="5"/>
  <c r="AV83" i="5"/>
  <c r="AW83" i="5"/>
  <c r="AX83" i="5"/>
  <c r="AY83" i="5"/>
  <c r="AZ83" i="5"/>
  <c r="BA83" i="5"/>
  <c r="BC83" i="5"/>
  <c r="BE83" i="5"/>
  <c r="BF83" i="5"/>
  <c r="BK83" i="5"/>
  <c r="BL83" i="5"/>
  <c r="BM83" i="5"/>
  <c r="BN83" i="5"/>
  <c r="AB84" i="5"/>
  <c r="AC84" i="5"/>
  <c r="AD84" i="5"/>
  <c r="AE84" i="5"/>
  <c r="AG84" i="5"/>
  <c r="AH84" i="5"/>
  <c r="AI84" i="5"/>
  <c r="AJ84" i="5"/>
  <c r="AK84" i="5"/>
  <c r="AL84" i="5"/>
  <c r="AM84" i="5"/>
  <c r="AN84" i="5"/>
  <c r="AO84" i="5"/>
  <c r="AP84" i="5"/>
  <c r="AQ84" i="5"/>
  <c r="AR84" i="5"/>
  <c r="AS84" i="5"/>
  <c r="AT84" i="5"/>
  <c r="AU84" i="5"/>
  <c r="AV84" i="5"/>
  <c r="AW84" i="5"/>
  <c r="AX84" i="5"/>
  <c r="AY84" i="5"/>
  <c r="AZ84" i="5"/>
  <c r="BA84" i="5"/>
  <c r="BC84" i="5"/>
  <c r="BE84" i="5"/>
  <c r="BF84" i="5"/>
  <c r="BK84" i="5"/>
  <c r="BL84" i="5"/>
  <c r="BM84" i="5"/>
  <c r="BN84" i="5"/>
  <c r="AB85" i="5"/>
  <c r="AC85" i="5"/>
  <c r="AD85" i="5"/>
  <c r="AE85" i="5"/>
  <c r="AG85" i="5"/>
  <c r="AH85" i="5"/>
  <c r="AI85" i="5"/>
  <c r="AJ85" i="5"/>
  <c r="AK85" i="5"/>
  <c r="AL85" i="5"/>
  <c r="AM85" i="5"/>
  <c r="AN85" i="5"/>
  <c r="AO85" i="5"/>
  <c r="AP85" i="5"/>
  <c r="AQ85" i="5"/>
  <c r="AR85" i="5"/>
  <c r="AS85" i="5"/>
  <c r="AT85" i="5"/>
  <c r="AU85" i="5"/>
  <c r="AV85" i="5"/>
  <c r="AW85" i="5"/>
  <c r="AX85" i="5"/>
  <c r="AY85" i="5"/>
  <c r="AZ85" i="5"/>
  <c r="BA85" i="5"/>
  <c r="BC85" i="5"/>
  <c r="BE85" i="5"/>
  <c r="BF85" i="5"/>
  <c r="BK85" i="5"/>
  <c r="BL85" i="5"/>
  <c r="BM85" i="5"/>
  <c r="BN85" i="5"/>
  <c r="AB86" i="5"/>
  <c r="AC86" i="5"/>
  <c r="AD86" i="5"/>
  <c r="AE86" i="5"/>
  <c r="AG86" i="5"/>
  <c r="AH86" i="5"/>
  <c r="AI86" i="5"/>
  <c r="AJ86" i="5"/>
  <c r="AK86" i="5"/>
  <c r="AL86" i="5"/>
  <c r="AM86" i="5"/>
  <c r="AN86" i="5"/>
  <c r="AO86" i="5"/>
  <c r="AP86" i="5"/>
  <c r="AQ86" i="5"/>
  <c r="AR86" i="5"/>
  <c r="AS86" i="5"/>
  <c r="AT86" i="5"/>
  <c r="AU86" i="5"/>
  <c r="AV86" i="5"/>
  <c r="AW86" i="5"/>
  <c r="AX86" i="5"/>
  <c r="AY86" i="5"/>
  <c r="AZ86" i="5"/>
  <c r="BA86" i="5"/>
  <c r="BC86" i="5"/>
  <c r="BE86" i="5"/>
  <c r="BF86" i="5"/>
  <c r="BK86" i="5"/>
  <c r="BL86" i="5"/>
  <c r="BM86" i="5"/>
  <c r="BN86" i="5"/>
  <c r="AB87" i="5"/>
  <c r="AC87" i="5"/>
  <c r="AD87" i="5"/>
  <c r="AE87" i="5"/>
  <c r="AG87" i="5"/>
  <c r="AH87" i="5"/>
  <c r="AI87" i="5"/>
  <c r="AJ87" i="5"/>
  <c r="AK87" i="5"/>
  <c r="AL87" i="5"/>
  <c r="AM87" i="5"/>
  <c r="AN87" i="5"/>
  <c r="AO87" i="5"/>
  <c r="AP87" i="5"/>
  <c r="AQ87" i="5"/>
  <c r="AR87" i="5"/>
  <c r="AS87" i="5"/>
  <c r="AT87" i="5"/>
  <c r="AU87" i="5"/>
  <c r="AV87" i="5"/>
  <c r="AW87" i="5"/>
  <c r="AX87" i="5"/>
  <c r="AY87" i="5"/>
  <c r="AZ87" i="5"/>
  <c r="BA87" i="5"/>
  <c r="BC87" i="5"/>
  <c r="BE87" i="5"/>
  <c r="BF87" i="5"/>
  <c r="BK87" i="5"/>
  <c r="BL87" i="5"/>
  <c r="BM87" i="5"/>
  <c r="BN87" i="5"/>
  <c r="AB88" i="5"/>
  <c r="AC88" i="5"/>
  <c r="AD88" i="5"/>
  <c r="AE88" i="5"/>
  <c r="AG88" i="5"/>
  <c r="AH88" i="5"/>
  <c r="AI88" i="5"/>
  <c r="AJ88" i="5"/>
  <c r="AK88" i="5"/>
  <c r="AL88" i="5"/>
  <c r="AM88" i="5"/>
  <c r="AN88" i="5"/>
  <c r="AO88" i="5"/>
  <c r="AP88" i="5"/>
  <c r="AQ88" i="5"/>
  <c r="AR88" i="5"/>
  <c r="AS88" i="5"/>
  <c r="AT88" i="5"/>
  <c r="AU88" i="5"/>
  <c r="AV88" i="5"/>
  <c r="AW88" i="5"/>
  <c r="AX88" i="5"/>
  <c r="AY88" i="5"/>
  <c r="AZ88" i="5"/>
  <c r="BA88" i="5"/>
  <c r="BC88" i="5"/>
  <c r="BE88" i="5"/>
  <c r="BF88" i="5"/>
  <c r="BK88" i="5"/>
  <c r="BL88" i="5"/>
  <c r="BM88" i="5"/>
  <c r="BN88" i="5"/>
  <c r="AB89" i="5"/>
  <c r="AC89" i="5"/>
  <c r="AD89" i="5"/>
  <c r="AE89" i="5"/>
  <c r="AG89" i="5"/>
  <c r="AH89" i="5"/>
  <c r="AI89" i="5"/>
  <c r="AJ89" i="5"/>
  <c r="AK89" i="5"/>
  <c r="AL89" i="5"/>
  <c r="AM89" i="5"/>
  <c r="AN89" i="5"/>
  <c r="AO89" i="5"/>
  <c r="AP89" i="5"/>
  <c r="AQ89" i="5"/>
  <c r="AR89" i="5"/>
  <c r="AS89" i="5"/>
  <c r="AT89" i="5"/>
  <c r="AU89" i="5"/>
  <c r="AV89" i="5"/>
  <c r="AW89" i="5"/>
  <c r="AX89" i="5"/>
  <c r="AY89" i="5"/>
  <c r="AZ89" i="5"/>
  <c r="BA89" i="5"/>
  <c r="BC89" i="5"/>
  <c r="BE89" i="5"/>
  <c r="BF89" i="5"/>
  <c r="BK89" i="5"/>
  <c r="BL89" i="5"/>
  <c r="BM89" i="5"/>
  <c r="BN89" i="5"/>
  <c r="AB90" i="5"/>
  <c r="AC90" i="5"/>
  <c r="AD90" i="5"/>
  <c r="AE90" i="5"/>
  <c r="AG90" i="5"/>
  <c r="AH90" i="5"/>
  <c r="AI90" i="5"/>
  <c r="AJ90" i="5"/>
  <c r="AK90" i="5"/>
  <c r="AL90" i="5"/>
  <c r="AM90" i="5"/>
  <c r="AN90" i="5"/>
  <c r="AO90" i="5"/>
  <c r="AP90" i="5"/>
  <c r="AQ90" i="5"/>
  <c r="AR90" i="5"/>
  <c r="AS90" i="5"/>
  <c r="AT90" i="5"/>
  <c r="AU90" i="5"/>
  <c r="AV90" i="5"/>
  <c r="AW90" i="5"/>
  <c r="AX90" i="5"/>
  <c r="AY90" i="5"/>
  <c r="AZ90" i="5"/>
  <c r="BA90" i="5"/>
  <c r="BC90" i="5"/>
  <c r="BE90" i="5"/>
  <c r="BF90" i="5"/>
  <c r="BK90" i="5"/>
  <c r="BL90" i="5"/>
  <c r="BM90" i="5"/>
  <c r="BN90" i="5"/>
  <c r="AB91" i="5"/>
  <c r="AC91" i="5"/>
  <c r="AD91" i="5"/>
  <c r="AE91" i="5"/>
  <c r="AG91" i="5"/>
  <c r="AH91" i="5"/>
  <c r="AI91" i="5"/>
  <c r="AJ91" i="5"/>
  <c r="AK91" i="5"/>
  <c r="AL91" i="5"/>
  <c r="AM91" i="5"/>
  <c r="AN91" i="5"/>
  <c r="AO91" i="5"/>
  <c r="AP91" i="5"/>
  <c r="AQ91" i="5"/>
  <c r="AR91" i="5"/>
  <c r="AS91" i="5"/>
  <c r="AT91" i="5"/>
  <c r="AU91" i="5"/>
  <c r="AV91" i="5"/>
  <c r="AW91" i="5"/>
  <c r="AX91" i="5"/>
  <c r="AY91" i="5"/>
  <c r="AZ91" i="5"/>
  <c r="BA91" i="5"/>
  <c r="BC91" i="5"/>
  <c r="BE91" i="5"/>
  <c r="BF91" i="5"/>
  <c r="BK91" i="5"/>
  <c r="BL91" i="5"/>
  <c r="BM91" i="5"/>
  <c r="BN91" i="5"/>
  <c r="AB92" i="5"/>
  <c r="AC92" i="5"/>
  <c r="AD92" i="5"/>
  <c r="AE92" i="5"/>
  <c r="AG92" i="5"/>
  <c r="AH92" i="5"/>
  <c r="AI92" i="5"/>
  <c r="AJ92" i="5"/>
  <c r="AK92" i="5"/>
  <c r="AL92" i="5"/>
  <c r="AM92" i="5"/>
  <c r="AN92" i="5"/>
  <c r="AO92" i="5"/>
  <c r="AP92" i="5"/>
  <c r="AQ92" i="5"/>
  <c r="AR92" i="5"/>
  <c r="AS92" i="5"/>
  <c r="AT92" i="5"/>
  <c r="AU92" i="5"/>
  <c r="AV92" i="5"/>
  <c r="AW92" i="5"/>
  <c r="AX92" i="5"/>
  <c r="AY92" i="5"/>
  <c r="AZ92" i="5"/>
  <c r="BA92" i="5"/>
  <c r="BC92" i="5"/>
  <c r="BE92" i="5"/>
  <c r="BF92" i="5"/>
  <c r="BK92" i="5"/>
  <c r="BL92" i="5"/>
  <c r="BM92" i="5"/>
  <c r="BN92" i="5"/>
  <c r="AB93" i="5"/>
  <c r="AC93" i="5"/>
  <c r="AD93" i="5"/>
  <c r="AE93" i="5"/>
  <c r="AG93" i="5"/>
  <c r="AH93" i="5"/>
  <c r="AI93" i="5"/>
  <c r="AJ93" i="5"/>
  <c r="AK93" i="5"/>
  <c r="AL93" i="5"/>
  <c r="AM93" i="5"/>
  <c r="AN93" i="5"/>
  <c r="AO93" i="5"/>
  <c r="AP93" i="5"/>
  <c r="AQ93" i="5"/>
  <c r="AR93" i="5"/>
  <c r="AS93" i="5"/>
  <c r="AT93" i="5"/>
  <c r="AU93" i="5"/>
  <c r="AV93" i="5"/>
  <c r="AW93" i="5"/>
  <c r="AX93" i="5"/>
  <c r="AY93" i="5"/>
  <c r="AZ93" i="5"/>
  <c r="BA93" i="5"/>
  <c r="BC93" i="5"/>
  <c r="BE93" i="5"/>
  <c r="BF93" i="5"/>
  <c r="BK93" i="5"/>
  <c r="BL93" i="5"/>
  <c r="BM93" i="5"/>
  <c r="BN93" i="5"/>
  <c r="AB94" i="5"/>
  <c r="AC94" i="5"/>
  <c r="AD94" i="5"/>
  <c r="AE94" i="5"/>
  <c r="AG94" i="5"/>
  <c r="AH94" i="5"/>
  <c r="AI94" i="5"/>
  <c r="AJ94" i="5"/>
  <c r="AK94" i="5"/>
  <c r="AL94" i="5"/>
  <c r="AM94" i="5"/>
  <c r="AN94" i="5"/>
  <c r="AO94" i="5"/>
  <c r="AP94" i="5"/>
  <c r="AQ94" i="5"/>
  <c r="AR94" i="5"/>
  <c r="AS94" i="5"/>
  <c r="AT94" i="5"/>
  <c r="AU94" i="5"/>
  <c r="AV94" i="5"/>
  <c r="AW94" i="5"/>
  <c r="AX94" i="5"/>
  <c r="AY94" i="5"/>
  <c r="AZ94" i="5"/>
  <c r="BA94" i="5"/>
  <c r="BC94" i="5"/>
  <c r="BE94" i="5"/>
  <c r="BF94" i="5"/>
  <c r="BK94" i="5"/>
  <c r="BL94" i="5"/>
  <c r="BM94" i="5"/>
  <c r="BN94" i="5"/>
  <c r="AB95" i="5"/>
  <c r="AC95" i="5"/>
  <c r="AD95" i="5"/>
  <c r="AE95" i="5"/>
  <c r="AG95" i="5"/>
  <c r="AH95" i="5"/>
  <c r="AI95" i="5"/>
  <c r="AJ95" i="5"/>
  <c r="AK95" i="5"/>
  <c r="AL95" i="5"/>
  <c r="AM95" i="5"/>
  <c r="AN95" i="5"/>
  <c r="AO95" i="5"/>
  <c r="AP95" i="5"/>
  <c r="AQ95" i="5"/>
  <c r="AR95" i="5"/>
  <c r="AS95" i="5"/>
  <c r="AT95" i="5"/>
  <c r="AU95" i="5"/>
  <c r="AV95" i="5"/>
  <c r="AW95" i="5"/>
  <c r="AX95" i="5"/>
  <c r="AY95" i="5"/>
  <c r="AZ95" i="5"/>
  <c r="BA95" i="5"/>
  <c r="BC95" i="5"/>
  <c r="BE95" i="5"/>
  <c r="BF95" i="5"/>
  <c r="BK95" i="5"/>
  <c r="BL95" i="5"/>
  <c r="BM95" i="5"/>
  <c r="BN95" i="5"/>
  <c r="AB96" i="5"/>
  <c r="AC96" i="5"/>
  <c r="AD96" i="5"/>
  <c r="AE96" i="5"/>
  <c r="AG96" i="5"/>
  <c r="AH96" i="5"/>
  <c r="AI96" i="5"/>
  <c r="AJ96" i="5"/>
  <c r="AK96" i="5"/>
  <c r="AL96" i="5"/>
  <c r="AM96" i="5"/>
  <c r="AN96" i="5"/>
  <c r="AO96" i="5"/>
  <c r="AP96" i="5"/>
  <c r="AQ96" i="5"/>
  <c r="AR96" i="5"/>
  <c r="AS96" i="5"/>
  <c r="AT96" i="5"/>
  <c r="AU96" i="5"/>
  <c r="AV96" i="5"/>
  <c r="AW96" i="5"/>
  <c r="AX96" i="5"/>
  <c r="AY96" i="5"/>
  <c r="AZ96" i="5"/>
  <c r="BA96" i="5"/>
  <c r="BC96" i="5"/>
  <c r="BE96" i="5"/>
  <c r="BF96" i="5"/>
  <c r="BK96" i="5"/>
  <c r="BL96" i="5"/>
  <c r="BM96" i="5"/>
  <c r="BN96" i="5"/>
  <c r="AB97" i="5"/>
  <c r="AC97" i="5"/>
  <c r="AD97" i="5"/>
  <c r="AE97" i="5"/>
  <c r="AG97" i="5"/>
  <c r="AH97" i="5"/>
  <c r="AI97" i="5"/>
  <c r="AJ97" i="5"/>
  <c r="AK97" i="5"/>
  <c r="AL97" i="5"/>
  <c r="AM97" i="5"/>
  <c r="AN97" i="5"/>
  <c r="AO97" i="5"/>
  <c r="AP97" i="5"/>
  <c r="AQ97" i="5"/>
  <c r="AR97" i="5"/>
  <c r="AS97" i="5"/>
  <c r="AT97" i="5"/>
  <c r="AU97" i="5"/>
  <c r="AV97" i="5"/>
  <c r="AW97" i="5"/>
  <c r="AX97" i="5"/>
  <c r="AY97" i="5"/>
  <c r="AZ97" i="5"/>
  <c r="BA97" i="5"/>
  <c r="BC97" i="5"/>
  <c r="BE97" i="5"/>
  <c r="BF97" i="5"/>
  <c r="BK97" i="5"/>
  <c r="BL97" i="5"/>
  <c r="BM97" i="5"/>
  <c r="BN97" i="5"/>
  <c r="AB98" i="5"/>
  <c r="AC98" i="5"/>
  <c r="AD98" i="5"/>
  <c r="AE98" i="5"/>
  <c r="AG98" i="5"/>
  <c r="AH98" i="5"/>
  <c r="AI98" i="5"/>
  <c r="AJ98" i="5"/>
  <c r="AK98" i="5"/>
  <c r="AL98" i="5"/>
  <c r="AM98" i="5"/>
  <c r="AN98" i="5"/>
  <c r="AO98" i="5"/>
  <c r="AP98" i="5"/>
  <c r="AQ98" i="5"/>
  <c r="AR98" i="5"/>
  <c r="AS98" i="5"/>
  <c r="AT98" i="5"/>
  <c r="AU98" i="5"/>
  <c r="AV98" i="5"/>
  <c r="AW98" i="5"/>
  <c r="AX98" i="5"/>
  <c r="AY98" i="5"/>
  <c r="AZ98" i="5"/>
  <c r="BA98" i="5"/>
  <c r="BC98" i="5"/>
  <c r="BE98" i="5"/>
  <c r="BF98" i="5"/>
  <c r="BK98" i="5"/>
  <c r="BL98" i="5"/>
  <c r="BM98" i="5"/>
  <c r="BN98" i="5"/>
  <c r="AB99" i="5"/>
  <c r="AC99" i="5"/>
  <c r="AD99" i="5"/>
  <c r="AE99" i="5"/>
  <c r="AG99" i="5"/>
  <c r="AH99" i="5"/>
  <c r="AI99" i="5"/>
  <c r="AJ99" i="5"/>
  <c r="AK99" i="5"/>
  <c r="AL99" i="5"/>
  <c r="AM99" i="5"/>
  <c r="AN99" i="5"/>
  <c r="AO99" i="5"/>
  <c r="AP99" i="5"/>
  <c r="AQ99" i="5"/>
  <c r="AR99" i="5"/>
  <c r="AS99" i="5"/>
  <c r="AT99" i="5"/>
  <c r="AU99" i="5"/>
  <c r="AV99" i="5"/>
  <c r="AW99" i="5"/>
  <c r="AX99" i="5"/>
  <c r="AY99" i="5"/>
  <c r="AZ99" i="5"/>
  <c r="BA99" i="5"/>
  <c r="BC99" i="5"/>
  <c r="BE99" i="5"/>
  <c r="BF99" i="5"/>
  <c r="BK99" i="5"/>
  <c r="BL99" i="5"/>
  <c r="BM99" i="5"/>
  <c r="BN99" i="5"/>
  <c r="AB100" i="5"/>
  <c r="AC100" i="5"/>
  <c r="AD100" i="5"/>
  <c r="AE100" i="5"/>
  <c r="AG100" i="5"/>
  <c r="AH100" i="5"/>
  <c r="AI100" i="5"/>
  <c r="AJ100" i="5"/>
  <c r="AK100" i="5"/>
  <c r="AL100" i="5"/>
  <c r="AM100" i="5"/>
  <c r="AN100" i="5"/>
  <c r="AO100" i="5"/>
  <c r="AP100" i="5"/>
  <c r="AQ100" i="5"/>
  <c r="AR100" i="5"/>
  <c r="AS100" i="5"/>
  <c r="AT100" i="5"/>
  <c r="AU100" i="5"/>
  <c r="AV100" i="5"/>
  <c r="AW100" i="5"/>
  <c r="AX100" i="5"/>
  <c r="AY100" i="5"/>
  <c r="AZ100" i="5"/>
  <c r="BA100" i="5"/>
  <c r="BC100" i="5"/>
  <c r="BE100" i="5"/>
  <c r="BF100" i="5"/>
  <c r="BK100" i="5"/>
  <c r="BL100" i="5"/>
  <c r="BM100" i="5"/>
  <c r="BN100" i="5"/>
  <c r="AB101" i="5"/>
  <c r="AC101" i="5"/>
  <c r="AD101" i="5"/>
  <c r="AE101" i="5"/>
  <c r="AG101" i="5"/>
  <c r="AH101" i="5"/>
  <c r="AI101" i="5"/>
  <c r="AJ101" i="5"/>
  <c r="AK101" i="5"/>
  <c r="AL101" i="5"/>
  <c r="AM101" i="5"/>
  <c r="AN101" i="5"/>
  <c r="AO101" i="5"/>
  <c r="AP101" i="5"/>
  <c r="AQ101" i="5"/>
  <c r="AR101" i="5"/>
  <c r="AS101" i="5"/>
  <c r="AT101" i="5"/>
  <c r="AU101" i="5"/>
  <c r="AV101" i="5"/>
  <c r="AW101" i="5"/>
  <c r="AX101" i="5"/>
  <c r="AY101" i="5"/>
  <c r="AZ101" i="5"/>
  <c r="BA101" i="5"/>
  <c r="BC101" i="5"/>
  <c r="BE101" i="5"/>
  <c r="BF101" i="5"/>
  <c r="BK101" i="5"/>
  <c r="BL101" i="5"/>
  <c r="BM101" i="5"/>
  <c r="BN101" i="5"/>
  <c r="AB102" i="5"/>
  <c r="AC102" i="5"/>
  <c r="AD102" i="5"/>
  <c r="AE102" i="5"/>
  <c r="AG102" i="5"/>
  <c r="AH102" i="5"/>
  <c r="AI102" i="5"/>
  <c r="AJ102" i="5"/>
  <c r="AK102" i="5"/>
  <c r="AL102" i="5"/>
  <c r="AM102" i="5"/>
  <c r="AN102" i="5"/>
  <c r="AO102" i="5"/>
  <c r="AP102" i="5"/>
  <c r="AQ102" i="5"/>
  <c r="AR102" i="5"/>
  <c r="AS102" i="5"/>
  <c r="AT102" i="5"/>
  <c r="AU102" i="5"/>
  <c r="AV102" i="5"/>
  <c r="AW102" i="5"/>
  <c r="AX102" i="5"/>
  <c r="AY102" i="5"/>
  <c r="AZ102" i="5"/>
  <c r="BA102" i="5"/>
  <c r="BC102" i="5"/>
  <c r="BE102" i="5"/>
  <c r="BF102" i="5"/>
  <c r="BK102" i="5"/>
  <c r="BL102" i="5"/>
  <c r="BM102" i="5"/>
  <c r="BN102" i="5"/>
  <c r="AB103" i="5"/>
  <c r="AC103" i="5"/>
  <c r="AD103" i="5"/>
  <c r="AE103" i="5"/>
  <c r="AG103" i="5"/>
  <c r="AH103" i="5"/>
  <c r="AI103" i="5"/>
  <c r="AJ103" i="5"/>
  <c r="AK103" i="5"/>
  <c r="AL103" i="5"/>
  <c r="AM103" i="5"/>
  <c r="AN103" i="5"/>
  <c r="AO103" i="5"/>
  <c r="AP103" i="5"/>
  <c r="AQ103" i="5"/>
  <c r="AR103" i="5"/>
  <c r="AS103" i="5"/>
  <c r="AT103" i="5"/>
  <c r="AU103" i="5"/>
  <c r="AV103" i="5"/>
  <c r="AW103" i="5"/>
  <c r="AX103" i="5"/>
  <c r="AY103" i="5"/>
  <c r="AZ103" i="5"/>
  <c r="BA103" i="5"/>
  <c r="BC103" i="5"/>
  <c r="BE103" i="5"/>
  <c r="BF103" i="5"/>
  <c r="BK103" i="5"/>
  <c r="BL103" i="5"/>
  <c r="BM103" i="5"/>
  <c r="BN103" i="5"/>
  <c r="AB104" i="5"/>
  <c r="AC104" i="5"/>
  <c r="AD104" i="5"/>
  <c r="AE104" i="5"/>
  <c r="AG104" i="5"/>
  <c r="AH104" i="5"/>
  <c r="AI104" i="5"/>
  <c r="AJ104" i="5"/>
  <c r="AK104" i="5"/>
  <c r="AL104" i="5"/>
  <c r="AM104" i="5"/>
  <c r="AN104" i="5"/>
  <c r="AO104" i="5"/>
  <c r="AP104" i="5"/>
  <c r="AQ104" i="5"/>
  <c r="AR104" i="5"/>
  <c r="AS104" i="5"/>
  <c r="AT104" i="5"/>
  <c r="AU104" i="5"/>
  <c r="AV104" i="5"/>
  <c r="AW104" i="5"/>
  <c r="AX104" i="5"/>
  <c r="AY104" i="5"/>
  <c r="AZ104" i="5"/>
  <c r="BA104" i="5"/>
  <c r="BC104" i="5"/>
  <c r="BE104" i="5"/>
  <c r="BF104" i="5"/>
  <c r="BK104" i="5"/>
  <c r="BL104" i="5"/>
  <c r="BM104" i="5"/>
  <c r="BN104" i="5"/>
  <c r="AB105" i="5"/>
  <c r="AC105" i="5"/>
  <c r="AD105" i="5"/>
  <c r="AE105" i="5"/>
  <c r="AG105" i="5"/>
  <c r="AH105" i="5"/>
  <c r="AI105" i="5"/>
  <c r="AJ105" i="5"/>
  <c r="AK105" i="5"/>
  <c r="AL105" i="5"/>
  <c r="AM105" i="5"/>
  <c r="AN105" i="5"/>
  <c r="AO105" i="5"/>
  <c r="AP105" i="5"/>
  <c r="AQ105" i="5"/>
  <c r="AR105" i="5"/>
  <c r="AS105" i="5"/>
  <c r="AT105" i="5"/>
  <c r="AU105" i="5"/>
  <c r="AV105" i="5"/>
  <c r="AW105" i="5"/>
  <c r="AX105" i="5"/>
  <c r="AY105" i="5"/>
  <c r="AZ105" i="5"/>
  <c r="BA105" i="5"/>
  <c r="BC105" i="5"/>
  <c r="BE105" i="5"/>
  <c r="BF105" i="5"/>
  <c r="BK105" i="5"/>
  <c r="BL105" i="5"/>
  <c r="BM105" i="5"/>
  <c r="BN105" i="5"/>
  <c r="AB106" i="5"/>
  <c r="AC106" i="5"/>
  <c r="AD106" i="5"/>
  <c r="AE106" i="5"/>
  <c r="AG106" i="5"/>
  <c r="AH106" i="5"/>
  <c r="AI106" i="5"/>
  <c r="AJ106" i="5"/>
  <c r="AK106" i="5"/>
  <c r="AL106" i="5"/>
  <c r="AM106" i="5"/>
  <c r="AN106" i="5"/>
  <c r="AO106" i="5"/>
  <c r="AP106" i="5"/>
  <c r="AQ106" i="5"/>
  <c r="AR106" i="5"/>
  <c r="AS106" i="5"/>
  <c r="AT106" i="5"/>
  <c r="AU106" i="5"/>
  <c r="AV106" i="5"/>
  <c r="AW106" i="5"/>
  <c r="AX106" i="5"/>
  <c r="AY106" i="5"/>
  <c r="AZ106" i="5"/>
  <c r="BA106" i="5"/>
  <c r="BC106" i="5"/>
  <c r="BE106" i="5"/>
  <c r="BF106" i="5"/>
  <c r="BK106" i="5"/>
  <c r="BL106" i="5"/>
  <c r="BM106" i="5"/>
  <c r="BN106" i="5"/>
  <c r="AB107" i="5"/>
  <c r="AC107" i="5"/>
  <c r="AD107" i="5"/>
  <c r="AE107" i="5"/>
  <c r="AG107" i="5"/>
  <c r="AH107" i="5"/>
  <c r="AI107" i="5"/>
  <c r="AJ107" i="5"/>
  <c r="AK107" i="5"/>
  <c r="AL107" i="5"/>
  <c r="AM107" i="5"/>
  <c r="AN107" i="5"/>
  <c r="AO107" i="5"/>
  <c r="AP107" i="5"/>
  <c r="AQ107" i="5"/>
  <c r="AR107" i="5"/>
  <c r="AS107" i="5"/>
  <c r="AT107" i="5"/>
  <c r="AU107" i="5"/>
  <c r="AV107" i="5"/>
  <c r="AW107" i="5"/>
  <c r="AX107" i="5"/>
  <c r="AY107" i="5"/>
  <c r="AZ107" i="5"/>
  <c r="BA107" i="5"/>
  <c r="BC107" i="5"/>
  <c r="BE107" i="5"/>
  <c r="BF107" i="5"/>
  <c r="BK107" i="5"/>
  <c r="BL107" i="5"/>
  <c r="BM107" i="5"/>
  <c r="BN107" i="5"/>
  <c r="AB108" i="5"/>
  <c r="AC108" i="5"/>
  <c r="AD108" i="5"/>
  <c r="AE108" i="5"/>
  <c r="AG108" i="5"/>
  <c r="AH108" i="5"/>
  <c r="AI108" i="5"/>
  <c r="AJ108" i="5"/>
  <c r="AK108" i="5"/>
  <c r="AL108" i="5"/>
  <c r="AM108" i="5"/>
  <c r="AN108" i="5"/>
  <c r="AO108" i="5"/>
  <c r="AP108" i="5"/>
  <c r="AQ108" i="5"/>
  <c r="AR108" i="5"/>
  <c r="AS108" i="5"/>
  <c r="AT108" i="5"/>
  <c r="AU108" i="5"/>
  <c r="AV108" i="5"/>
  <c r="AW108" i="5"/>
  <c r="AX108" i="5"/>
  <c r="AY108" i="5"/>
  <c r="AZ108" i="5"/>
  <c r="BA108" i="5"/>
  <c r="BC108" i="5"/>
  <c r="BE108" i="5"/>
  <c r="BF108" i="5"/>
  <c r="BK108" i="5"/>
  <c r="BL108" i="5"/>
  <c r="BM108" i="5"/>
  <c r="BN108" i="5"/>
  <c r="AB109" i="5"/>
  <c r="AC109" i="5"/>
  <c r="AD109" i="5"/>
  <c r="AE109" i="5"/>
  <c r="AG109" i="5"/>
  <c r="AH109" i="5"/>
  <c r="AI109" i="5"/>
  <c r="AJ109" i="5"/>
  <c r="AK109" i="5"/>
  <c r="AL109" i="5"/>
  <c r="AM109" i="5"/>
  <c r="AN109" i="5"/>
  <c r="AO109" i="5"/>
  <c r="AP109" i="5"/>
  <c r="AQ109" i="5"/>
  <c r="AR109" i="5"/>
  <c r="AS109" i="5"/>
  <c r="AT109" i="5"/>
  <c r="AU109" i="5"/>
  <c r="AV109" i="5"/>
  <c r="AW109" i="5"/>
  <c r="AX109" i="5"/>
  <c r="AY109" i="5"/>
  <c r="AZ109" i="5"/>
  <c r="BA109" i="5"/>
  <c r="BC109" i="5"/>
  <c r="BE109" i="5"/>
  <c r="BF109" i="5"/>
  <c r="BK109" i="5"/>
  <c r="BL109" i="5"/>
  <c r="BM109" i="5"/>
  <c r="BN109" i="5"/>
  <c r="AB110" i="5"/>
  <c r="AC110" i="5"/>
  <c r="AD110" i="5"/>
  <c r="AE110" i="5"/>
  <c r="AG110" i="5"/>
  <c r="AH110" i="5"/>
  <c r="AI110" i="5"/>
  <c r="AJ110" i="5"/>
  <c r="AK110" i="5"/>
  <c r="AL110" i="5"/>
  <c r="AM110" i="5"/>
  <c r="AN110" i="5"/>
  <c r="AO110" i="5"/>
  <c r="AP110" i="5"/>
  <c r="AQ110" i="5"/>
  <c r="AR110" i="5"/>
  <c r="AS110" i="5"/>
  <c r="AT110" i="5"/>
  <c r="AU110" i="5"/>
  <c r="AV110" i="5"/>
  <c r="AW110" i="5"/>
  <c r="AX110" i="5"/>
  <c r="AY110" i="5"/>
  <c r="AZ110" i="5"/>
  <c r="BA110" i="5"/>
  <c r="BC110" i="5"/>
  <c r="BE110" i="5"/>
  <c r="BF110" i="5"/>
  <c r="BK110" i="5"/>
  <c r="BL110" i="5"/>
  <c r="BM110" i="5"/>
  <c r="BN110" i="5"/>
  <c r="AB111" i="5"/>
  <c r="AC111" i="5"/>
  <c r="AD111" i="5"/>
  <c r="AE111" i="5"/>
  <c r="AG111" i="5"/>
  <c r="AH111" i="5"/>
  <c r="AI111" i="5"/>
  <c r="AJ111" i="5"/>
  <c r="AK111" i="5"/>
  <c r="AL111" i="5"/>
  <c r="AM111" i="5"/>
  <c r="AN111" i="5"/>
  <c r="AO111" i="5"/>
  <c r="AP111" i="5"/>
  <c r="AQ111" i="5"/>
  <c r="AR111" i="5"/>
  <c r="AS111" i="5"/>
  <c r="AT111" i="5"/>
  <c r="AU111" i="5"/>
  <c r="AV111" i="5"/>
  <c r="AW111" i="5"/>
  <c r="AX111" i="5"/>
  <c r="AY111" i="5"/>
  <c r="AZ111" i="5"/>
  <c r="BA111" i="5"/>
  <c r="BC111" i="5"/>
  <c r="BE111" i="5"/>
  <c r="BF111" i="5"/>
  <c r="BK111" i="5"/>
  <c r="BL111" i="5"/>
  <c r="BM111" i="5"/>
  <c r="BN111" i="5"/>
  <c r="AB112" i="5"/>
  <c r="AC112" i="5"/>
  <c r="AD112" i="5"/>
  <c r="AE112" i="5"/>
  <c r="AG112" i="5"/>
  <c r="AH112" i="5"/>
  <c r="AI112" i="5"/>
  <c r="AJ112" i="5"/>
  <c r="AK112" i="5"/>
  <c r="AL112" i="5"/>
  <c r="AM112" i="5"/>
  <c r="AN112" i="5"/>
  <c r="AO112" i="5"/>
  <c r="AP112" i="5"/>
  <c r="AQ112" i="5"/>
  <c r="AR112" i="5"/>
  <c r="AS112" i="5"/>
  <c r="AT112" i="5"/>
  <c r="AU112" i="5"/>
  <c r="AV112" i="5"/>
  <c r="AW112" i="5"/>
  <c r="AX112" i="5"/>
  <c r="AY112" i="5"/>
  <c r="AZ112" i="5"/>
  <c r="BA112" i="5"/>
  <c r="BC112" i="5"/>
  <c r="BE112" i="5"/>
  <c r="BF112" i="5"/>
  <c r="BK112" i="5"/>
  <c r="BL112" i="5"/>
  <c r="BM112" i="5"/>
  <c r="BN112" i="5"/>
  <c r="AB113" i="5"/>
  <c r="AC113" i="5"/>
  <c r="AD113" i="5"/>
  <c r="AE113" i="5"/>
  <c r="AG113" i="5"/>
  <c r="AH113" i="5"/>
  <c r="AI113" i="5"/>
  <c r="AJ113" i="5"/>
  <c r="AK113" i="5"/>
  <c r="AL113" i="5"/>
  <c r="AM113" i="5"/>
  <c r="AN113" i="5"/>
  <c r="AO113" i="5"/>
  <c r="AP113" i="5"/>
  <c r="AQ113" i="5"/>
  <c r="AR113" i="5"/>
  <c r="AS113" i="5"/>
  <c r="AT113" i="5"/>
  <c r="AU113" i="5"/>
  <c r="AV113" i="5"/>
  <c r="AW113" i="5"/>
  <c r="AX113" i="5"/>
  <c r="AY113" i="5"/>
  <c r="AZ113" i="5"/>
  <c r="BA113" i="5"/>
  <c r="BC113" i="5"/>
  <c r="BE113" i="5"/>
  <c r="BF113" i="5"/>
  <c r="BK113" i="5"/>
  <c r="BL113" i="5"/>
  <c r="BM113" i="5"/>
  <c r="BN113" i="5"/>
  <c r="AB114" i="5"/>
  <c r="AC114" i="5"/>
  <c r="AD114" i="5"/>
  <c r="AE114" i="5"/>
  <c r="AG114" i="5"/>
  <c r="AH114" i="5"/>
  <c r="AI114" i="5"/>
  <c r="AJ114" i="5"/>
  <c r="AK114" i="5"/>
  <c r="AL114" i="5"/>
  <c r="AM114" i="5"/>
  <c r="AN114" i="5"/>
  <c r="AO114" i="5"/>
  <c r="AP114" i="5"/>
  <c r="AQ114" i="5"/>
  <c r="AR114" i="5"/>
  <c r="AS114" i="5"/>
  <c r="AT114" i="5"/>
  <c r="AU114" i="5"/>
  <c r="AV114" i="5"/>
  <c r="AW114" i="5"/>
  <c r="AX114" i="5"/>
  <c r="AY114" i="5"/>
  <c r="AZ114" i="5"/>
  <c r="BA114" i="5"/>
  <c r="BC114" i="5"/>
  <c r="BE114" i="5"/>
  <c r="BF114" i="5"/>
  <c r="BK114" i="5"/>
  <c r="BL114" i="5"/>
  <c r="BM114" i="5"/>
  <c r="BN114" i="5"/>
  <c r="AB115" i="5"/>
  <c r="AC115" i="5"/>
  <c r="AD115" i="5"/>
  <c r="AE115" i="5"/>
  <c r="AG115" i="5"/>
  <c r="AH115" i="5"/>
  <c r="AI115" i="5"/>
  <c r="AJ115" i="5"/>
  <c r="AK115" i="5"/>
  <c r="AL115" i="5"/>
  <c r="AM115" i="5"/>
  <c r="AN115" i="5"/>
  <c r="AO115" i="5"/>
  <c r="AP115" i="5"/>
  <c r="AQ115" i="5"/>
  <c r="AR115" i="5"/>
  <c r="AS115" i="5"/>
  <c r="AT115" i="5"/>
  <c r="AU115" i="5"/>
  <c r="AV115" i="5"/>
  <c r="AW115" i="5"/>
  <c r="AX115" i="5"/>
  <c r="AY115" i="5"/>
  <c r="AZ115" i="5"/>
  <c r="BA115" i="5"/>
  <c r="BC115" i="5"/>
  <c r="BE115" i="5"/>
  <c r="BF115" i="5"/>
  <c r="BK115" i="5"/>
  <c r="BL115" i="5"/>
  <c r="BM115" i="5"/>
  <c r="BN115" i="5"/>
  <c r="AB116" i="5"/>
  <c r="AC116" i="5"/>
  <c r="AD116" i="5"/>
  <c r="AE116" i="5"/>
  <c r="AG116" i="5"/>
  <c r="AH116" i="5"/>
  <c r="AI116" i="5"/>
  <c r="AJ116" i="5"/>
  <c r="AK116" i="5"/>
  <c r="AL116" i="5"/>
  <c r="AM116" i="5"/>
  <c r="AN116" i="5"/>
  <c r="AO116" i="5"/>
  <c r="AP116" i="5"/>
  <c r="AQ116" i="5"/>
  <c r="AR116" i="5"/>
  <c r="AS116" i="5"/>
  <c r="AT116" i="5"/>
  <c r="AU116" i="5"/>
  <c r="AV116" i="5"/>
  <c r="AW116" i="5"/>
  <c r="AX116" i="5"/>
  <c r="AY116" i="5"/>
  <c r="AZ116" i="5"/>
  <c r="BA116" i="5"/>
  <c r="BC116" i="5"/>
  <c r="BE116" i="5"/>
  <c r="BF116" i="5"/>
  <c r="BK116" i="5"/>
  <c r="BL116" i="5"/>
  <c r="BM116" i="5"/>
  <c r="BN116" i="5"/>
  <c r="AB117" i="5"/>
  <c r="AC117" i="5"/>
  <c r="AD117" i="5"/>
  <c r="AE117" i="5"/>
  <c r="AG117" i="5"/>
  <c r="AH117" i="5"/>
  <c r="AI117" i="5"/>
  <c r="AJ117" i="5"/>
  <c r="AK117" i="5"/>
  <c r="AL117" i="5"/>
  <c r="AM117" i="5"/>
  <c r="AN117" i="5"/>
  <c r="AO117" i="5"/>
  <c r="AP117" i="5"/>
  <c r="AQ117" i="5"/>
  <c r="AR117" i="5"/>
  <c r="AS117" i="5"/>
  <c r="AT117" i="5"/>
  <c r="AU117" i="5"/>
  <c r="AV117" i="5"/>
  <c r="AW117" i="5"/>
  <c r="AX117" i="5"/>
  <c r="AY117" i="5"/>
  <c r="AZ117" i="5"/>
  <c r="BA117" i="5"/>
  <c r="BC117" i="5"/>
  <c r="BE117" i="5"/>
  <c r="BF117" i="5"/>
  <c r="BK117" i="5"/>
  <c r="BL117" i="5"/>
  <c r="BM117" i="5"/>
  <c r="BN117" i="5"/>
  <c r="AB118" i="5"/>
  <c r="AC118" i="5"/>
  <c r="AD118" i="5"/>
  <c r="AE118" i="5"/>
  <c r="AG118" i="5"/>
  <c r="AH118" i="5"/>
  <c r="AI118" i="5"/>
  <c r="AJ118" i="5"/>
  <c r="AK118" i="5"/>
  <c r="AL118" i="5"/>
  <c r="AM118" i="5"/>
  <c r="AN118" i="5"/>
  <c r="AO118" i="5"/>
  <c r="AP118" i="5"/>
  <c r="AQ118" i="5"/>
  <c r="AR118" i="5"/>
  <c r="AS118" i="5"/>
  <c r="AT118" i="5"/>
  <c r="AU118" i="5"/>
  <c r="AV118" i="5"/>
  <c r="AW118" i="5"/>
  <c r="AX118" i="5"/>
  <c r="AY118" i="5"/>
  <c r="AZ118" i="5"/>
  <c r="BA118" i="5"/>
  <c r="BC118" i="5"/>
  <c r="BE118" i="5"/>
  <c r="BF118" i="5"/>
  <c r="BK118" i="5"/>
  <c r="BL118" i="5"/>
  <c r="BM118" i="5"/>
  <c r="BN118" i="5"/>
  <c r="AB119" i="5"/>
  <c r="AC119" i="5"/>
  <c r="AD119" i="5"/>
  <c r="AE119" i="5"/>
  <c r="AG119" i="5"/>
  <c r="AH119" i="5"/>
  <c r="AI119" i="5"/>
  <c r="AJ119" i="5"/>
  <c r="AK119" i="5"/>
  <c r="AL119" i="5"/>
  <c r="AM119" i="5"/>
  <c r="AN119" i="5"/>
  <c r="AO119" i="5"/>
  <c r="AP119" i="5"/>
  <c r="AQ119" i="5"/>
  <c r="AR119" i="5"/>
  <c r="AS119" i="5"/>
  <c r="AT119" i="5"/>
  <c r="AU119" i="5"/>
  <c r="AV119" i="5"/>
  <c r="AW119" i="5"/>
  <c r="AX119" i="5"/>
  <c r="AY119" i="5"/>
  <c r="AZ119" i="5"/>
  <c r="BA119" i="5"/>
  <c r="BC119" i="5"/>
  <c r="BE119" i="5"/>
  <c r="BF119" i="5"/>
  <c r="BK119" i="5"/>
  <c r="BL119" i="5"/>
  <c r="BM119" i="5"/>
  <c r="BN119" i="5"/>
  <c r="AB120" i="5"/>
  <c r="AC120" i="5"/>
  <c r="AD120" i="5"/>
  <c r="AE120" i="5"/>
  <c r="AG120" i="5"/>
  <c r="AH120" i="5"/>
  <c r="AI120" i="5"/>
  <c r="AJ120" i="5"/>
  <c r="AK120" i="5"/>
  <c r="AL120" i="5"/>
  <c r="AM120" i="5"/>
  <c r="AN120" i="5"/>
  <c r="AO120" i="5"/>
  <c r="AP120" i="5"/>
  <c r="AQ120" i="5"/>
  <c r="AR120" i="5"/>
  <c r="AS120" i="5"/>
  <c r="AT120" i="5"/>
  <c r="AU120" i="5"/>
  <c r="AV120" i="5"/>
  <c r="AW120" i="5"/>
  <c r="AX120" i="5"/>
  <c r="AY120" i="5"/>
  <c r="AZ120" i="5"/>
  <c r="BA120" i="5"/>
  <c r="BC120" i="5"/>
  <c r="BE120" i="5"/>
  <c r="BF120" i="5"/>
  <c r="BK120" i="5"/>
  <c r="BL120" i="5"/>
  <c r="BM120" i="5"/>
  <c r="BN120" i="5"/>
  <c r="AB121" i="5"/>
  <c r="AC121" i="5"/>
  <c r="AD121" i="5"/>
  <c r="AE121" i="5"/>
  <c r="AG121" i="5"/>
  <c r="AH121" i="5"/>
  <c r="AI121" i="5"/>
  <c r="AJ121" i="5"/>
  <c r="AK121" i="5"/>
  <c r="AL121" i="5"/>
  <c r="AM121" i="5"/>
  <c r="AN121" i="5"/>
  <c r="AO121" i="5"/>
  <c r="AP121" i="5"/>
  <c r="AQ121" i="5"/>
  <c r="AR121" i="5"/>
  <c r="AS121" i="5"/>
  <c r="AT121" i="5"/>
  <c r="AU121" i="5"/>
  <c r="AV121" i="5"/>
  <c r="AW121" i="5"/>
  <c r="AX121" i="5"/>
  <c r="AY121" i="5"/>
  <c r="AZ121" i="5"/>
  <c r="BA121" i="5"/>
  <c r="BC121" i="5"/>
  <c r="BE121" i="5"/>
  <c r="BF121" i="5"/>
  <c r="BK121" i="5"/>
  <c r="BL121" i="5"/>
  <c r="BM121" i="5"/>
  <c r="BN121" i="5"/>
  <c r="AB122" i="5"/>
  <c r="AC122" i="5"/>
  <c r="AD122" i="5"/>
  <c r="AE122" i="5"/>
  <c r="AG122" i="5"/>
  <c r="AH122" i="5"/>
  <c r="AI122" i="5"/>
  <c r="AJ122" i="5"/>
  <c r="AK122" i="5"/>
  <c r="AL122" i="5"/>
  <c r="AM122" i="5"/>
  <c r="AN122" i="5"/>
  <c r="AO122" i="5"/>
  <c r="AP122" i="5"/>
  <c r="AQ122" i="5"/>
  <c r="AR122" i="5"/>
  <c r="AS122" i="5"/>
  <c r="AT122" i="5"/>
  <c r="AU122" i="5"/>
  <c r="AV122" i="5"/>
  <c r="AW122" i="5"/>
  <c r="AX122" i="5"/>
  <c r="AY122" i="5"/>
  <c r="AZ122" i="5"/>
  <c r="BA122" i="5"/>
  <c r="BC122" i="5"/>
  <c r="BE122" i="5"/>
  <c r="BF122" i="5"/>
  <c r="BK122" i="5"/>
  <c r="BL122" i="5"/>
  <c r="BM122" i="5"/>
  <c r="BN122" i="5"/>
  <c r="AB123" i="5"/>
  <c r="AC123" i="5"/>
  <c r="AD123" i="5"/>
  <c r="AE123" i="5"/>
  <c r="AG123" i="5"/>
  <c r="AH123" i="5"/>
  <c r="AI123" i="5"/>
  <c r="AJ123" i="5"/>
  <c r="AK123" i="5"/>
  <c r="AL123" i="5"/>
  <c r="AM123" i="5"/>
  <c r="AN123" i="5"/>
  <c r="AO123" i="5"/>
  <c r="AP123" i="5"/>
  <c r="AQ123" i="5"/>
  <c r="AR123" i="5"/>
  <c r="AS123" i="5"/>
  <c r="AT123" i="5"/>
  <c r="AU123" i="5"/>
  <c r="AV123" i="5"/>
  <c r="AW123" i="5"/>
  <c r="AX123" i="5"/>
  <c r="AY123" i="5"/>
  <c r="AZ123" i="5"/>
  <c r="BA123" i="5"/>
  <c r="BC123" i="5"/>
  <c r="BE123" i="5"/>
  <c r="BF123" i="5"/>
  <c r="BK123" i="5"/>
  <c r="BL123" i="5"/>
  <c r="BM123" i="5"/>
  <c r="BN123" i="5"/>
  <c r="AB124" i="5"/>
  <c r="AC124" i="5"/>
  <c r="AD124" i="5"/>
  <c r="AE124" i="5"/>
  <c r="AG124" i="5"/>
  <c r="AH124" i="5"/>
  <c r="AI124" i="5"/>
  <c r="AJ124" i="5"/>
  <c r="AK124" i="5"/>
  <c r="AL124" i="5"/>
  <c r="AM124" i="5"/>
  <c r="AN124" i="5"/>
  <c r="AO124" i="5"/>
  <c r="AP124" i="5"/>
  <c r="AQ124" i="5"/>
  <c r="AR124" i="5"/>
  <c r="AS124" i="5"/>
  <c r="AT124" i="5"/>
  <c r="AU124" i="5"/>
  <c r="AV124" i="5"/>
  <c r="AW124" i="5"/>
  <c r="AX124" i="5"/>
  <c r="AY124" i="5"/>
  <c r="AZ124" i="5"/>
  <c r="BA124" i="5"/>
  <c r="BC124" i="5"/>
  <c r="BE124" i="5"/>
  <c r="BF124" i="5"/>
  <c r="BK124" i="5"/>
  <c r="BL124" i="5"/>
  <c r="BM124" i="5"/>
  <c r="BN124" i="5"/>
  <c r="AB125" i="5"/>
  <c r="AC125" i="5"/>
  <c r="AD125" i="5"/>
  <c r="AE125" i="5"/>
  <c r="AG125" i="5"/>
  <c r="AH125" i="5"/>
  <c r="AI125" i="5"/>
  <c r="AJ125" i="5"/>
  <c r="AK125" i="5"/>
  <c r="AL125" i="5"/>
  <c r="AM125" i="5"/>
  <c r="AN125" i="5"/>
  <c r="AO125" i="5"/>
  <c r="AP125" i="5"/>
  <c r="AQ125" i="5"/>
  <c r="AR125" i="5"/>
  <c r="AS125" i="5"/>
  <c r="AT125" i="5"/>
  <c r="AU125" i="5"/>
  <c r="AV125" i="5"/>
  <c r="AW125" i="5"/>
  <c r="AX125" i="5"/>
  <c r="AY125" i="5"/>
  <c r="AZ125" i="5"/>
  <c r="BA125" i="5"/>
  <c r="BC125" i="5"/>
  <c r="BE125" i="5"/>
  <c r="BF125" i="5"/>
  <c r="BK125" i="5"/>
  <c r="BL125" i="5"/>
  <c r="BM125" i="5"/>
  <c r="BN125" i="5"/>
  <c r="AB126" i="5"/>
  <c r="AC126" i="5"/>
  <c r="AD126" i="5"/>
  <c r="AE126" i="5"/>
  <c r="AG126" i="5"/>
  <c r="AH126" i="5"/>
  <c r="AI126" i="5"/>
  <c r="AJ126" i="5"/>
  <c r="AK126" i="5"/>
  <c r="AL126" i="5"/>
  <c r="AM126" i="5"/>
  <c r="AN126" i="5"/>
  <c r="AO126" i="5"/>
  <c r="AP126" i="5"/>
  <c r="AQ126" i="5"/>
  <c r="AR126" i="5"/>
  <c r="AS126" i="5"/>
  <c r="AT126" i="5"/>
  <c r="AU126" i="5"/>
  <c r="AV126" i="5"/>
  <c r="AW126" i="5"/>
  <c r="AX126" i="5"/>
  <c r="AY126" i="5"/>
  <c r="AZ126" i="5"/>
  <c r="BA126" i="5"/>
  <c r="BC126" i="5"/>
  <c r="BE126" i="5"/>
  <c r="BF126" i="5"/>
  <c r="BK126" i="5"/>
  <c r="BL126" i="5"/>
  <c r="BM126" i="5"/>
  <c r="BN126" i="5"/>
  <c r="AB127" i="5"/>
  <c r="AC127" i="5"/>
  <c r="AD127" i="5"/>
  <c r="AE127" i="5"/>
  <c r="AG127" i="5"/>
  <c r="AH127" i="5"/>
  <c r="AI127" i="5"/>
  <c r="AJ127" i="5"/>
  <c r="AK127" i="5"/>
  <c r="AL127" i="5"/>
  <c r="AM127" i="5"/>
  <c r="AN127" i="5"/>
  <c r="AO127" i="5"/>
  <c r="AP127" i="5"/>
  <c r="AQ127" i="5"/>
  <c r="AR127" i="5"/>
  <c r="AS127" i="5"/>
  <c r="AT127" i="5"/>
  <c r="AU127" i="5"/>
  <c r="AV127" i="5"/>
  <c r="AW127" i="5"/>
  <c r="AX127" i="5"/>
  <c r="AY127" i="5"/>
  <c r="AZ127" i="5"/>
  <c r="BA127" i="5"/>
  <c r="BC127" i="5"/>
  <c r="BE127" i="5"/>
  <c r="BF127" i="5"/>
  <c r="BK127" i="5"/>
  <c r="BL127" i="5"/>
  <c r="BM127" i="5"/>
  <c r="BN127" i="5"/>
  <c r="AB128" i="5"/>
  <c r="AC128" i="5"/>
  <c r="AD128" i="5"/>
  <c r="AE128" i="5"/>
  <c r="AG128" i="5"/>
  <c r="AH128" i="5"/>
  <c r="AI128" i="5"/>
  <c r="AJ128" i="5"/>
  <c r="AK128" i="5"/>
  <c r="AL128" i="5"/>
  <c r="AM128" i="5"/>
  <c r="AN128" i="5"/>
  <c r="AO128" i="5"/>
  <c r="AP128" i="5"/>
  <c r="AQ128" i="5"/>
  <c r="AR128" i="5"/>
  <c r="AS128" i="5"/>
  <c r="AT128" i="5"/>
  <c r="AU128" i="5"/>
  <c r="AV128" i="5"/>
  <c r="AW128" i="5"/>
  <c r="AX128" i="5"/>
  <c r="AY128" i="5"/>
  <c r="AZ128" i="5"/>
  <c r="BA128" i="5"/>
  <c r="BC128" i="5"/>
  <c r="BE128" i="5"/>
  <c r="BF128" i="5"/>
  <c r="BK128" i="5"/>
  <c r="BL128" i="5"/>
  <c r="BM128" i="5"/>
  <c r="BN128" i="5"/>
  <c r="AB129" i="5"/>
  <c r="AC129" i="5"/>
  <c r="AD129" i="5"/>
  <c r="AE129" i="5"/>
  <c r="AG129" i="5"/>
  <c r="AH129" i="5"/>
  <c r="AI129" i="5"/>
  <c r="AJ129" i="5"/>
  <c r="AK129" i="5"/>
  <c r="AL129" i="5"/>
  <c r="AM129" i="5"/>
  <c r="AN129" i="5"/>
  <c r="AO129" i="5"/>
  <c r="AP129" i="5"/>
  <c r="AQ129" i="5"/>
  <c r="AR129" i="5"/>
  <c r="AS129" i="5"/>
  <c r="AT129" i="5"/>
  <c r="AU129" i="5"/>
  <c r="AV129" i="5"/>
  <c r="AW129" i="5"/>
  <c r="AX129" i="5"/>
  <c r="AY129" i="5"/>
  <c r="AZ129" i="5"/>
  <c r="BA129" i="5"/>
  <c r="BC129" i="5"/>
  <c r="BE129" i="5"/>
  <c r="BF129" i="5"/>
  <c r="BK129" i="5"/>
  <c r="BL129" i="5"/>
  <c r="BM129" i="5"/>
  <c r="BN129" i="5"/>
  <c r="AB130" i="5"/>
  <c r="AC130" i="5"/>
  <c r="AD130" i="5"/>
  <c r="AE130" i="5"/>
  <c r="AG130" i="5"/>
  <c r="AH130" i="5"/>
  <c r="AI130" i="5"/>
  <c r="AJ130" i="5"/>
  <c r="AK130" i="5"/>
  <c r="AL130" i="5"/>
  <c r="AM130" i="5"/>
  <c r="AN130" i="5"/>
  <c r="AO130" i="5"/>
  <c r="AP130" i="5"/>
  <c r="AQ130" i="5"/>
  <c r="AR130" i="5"/>
  <c r="AS130" i="5"/>
  <c r="AT130" i="5"/>
  <c r="AU130" i="5"/>
  <c r="AV130" i="5"/>
  <c r="AW130" i="5"/>
  <c r="AX130" i="5"/>
  <c r="AY130" i="5"/>
  <c r="AZ130" i="5"/>
  <c r="BA130" i="5"/>
  <c r="BC130" i="5"/>
  <c r="BE130" i="5"/>
  <c r="BF130" i="5"/>
  <c r="BK130" i="5"/>
  <c r="BL130" i="5"/>
  <c r="BM130" i="5"/>
  <c r="BN130" i="5"/>
  <c r="AB131" i="5"/>
  <c r="AC131" i="5"/>
  <c r="AD131" i="5"/>
  <c r="AE131" i="5"/>
  <c r="AG131" i="5"/>
  <c r="AH131" i="5"/>
  <c r="AI131" i="5"/>
  <c r="AJ131" i="5"/>
  <c r="AK131" i="5"/>
  <c r="AL131" i="5"/>
  <c r="AM131" i="5"/>
  <c r="AN131" i="5"/>
  <c r="AO131" i="5"/>
  <c r="AP131" i="5"/>
  <c r="AQ131" i="5"/>
  <c r="AR131" i="5"/>
  <c r="AS131" i="5"/>
  <c r="AT131" i="5"/>
  <c r="AU131" i="5"/>
  <c r="AV131" i="5"/>
  <c r="AW131" i="5"/>
  <c r="AX131" i="5"/>
  <c r="AY131" i="5"/>
  <c r="AZ131" i="5"/>
  <c r="BA131" i="5"/>
  <c r="BC131" i="5"/>
  <c r="BE131" i="5"/>
  <c r="BF131" i="5"/>
  <c r="BK131" i="5"/>
  <c r="BL131" i="5"/>
  <c r="BM131" i="5"/>
  <c r="BN131" i="5"/>
  <c r="AB132" i="5"/>
  <c r="AC132" i="5"/>
  <c r="AD132" i="5"/>
  <c r="AE132" i="5"/>
  <c r="AG132" i="5"/>
  <c r="AH132" i="5"/>
  <c r="AI132" i="5"/>
  <c r="AJ132" i="5"/>
  <c r="AK132" i="5"/>
  <c r="AL132" i="5"/>
  <c r="AM132" i="5"/>
  <c r="AN132" i="5"/>
  <c r="AO132" i="5"/>
  <c r="AP132" i="5"/>
  <c r="AQ132" i="5"/>
  <c r="AR132" i="5"/>
  <c r="AS132" i="5"/>
  <c r="AT132" i="5"/>
  <c r="AU132" i="5"/>
  <c r="AV132" i="5"/>
  <c r="AW132" i="5"/>
  <c r="AX132" i="5"/>
  <c r="AY132" i="5"/>
  <c r="AZ132" i="5"/>
  <c r="BA132" i="5"/>
  <c r="BC132" i="5"/>
  <c r="BE132" i="5"/>
  <c r="BF132" i="5"/>
  <c r="BK132" i="5"/>
  <c r="BL132" i="5"/>
  <c r="BM132" i="5"/>
  <c r="BN132" i="5"/>
  <c r="AB133" i="5"/>
  <c r="AC133" i="5"/>
  <c r="AD133" i="5"/>
  <c r="AE133" i="5"/>
  <c r="AG133" i="5"/>
  <c r="AH133" i="5"/>
  <c r="AI133" i="5"/>
  <c r="AJ133" i="5"/>
  <c r="AK133" i="5"/>
  <c r="AL133" i="5"/>
  <c r="AM133" i="5"/>
  <c r="AN133" i="5"/>
  <c r="AO133" i="5"/>
  <c r="AP133" i="5"/>
  <c r="AQ133" i="5"/>
  <c r="AR133" i="5"/>
  <c r="AS133" i="5"/>
  <c r="AT133" i="5"/>
  <c r="AU133" i="5"/>
  <c r="AV133" i="5"/>
  <c r="AW133" i="5"/>
  <c r="AX133" i="5"/>
  <c r="AY133" i="5"/>
  <c r="AZ133" i="5"/>
  <c r="BA133" i="5"/>
  <c r="BC133" i="5"/>
  <c r="BE133" i="5"/>
  <c r="BF133" i="5"/>
  <c r="BK133" i="5"/>
  <c r="BL133" i="5"/>
  <c r="BM133" i="5"/>
  <c r="BN133" i="5"/>
  <c r="AB134" i="5"/>
  <c r="AC134" i="5"/>
  <c r="AD134" i="5"/>
  <c r="AE134" i="5"/>
  <c r="AG134" i="5"/>
  <c r="AH134" i="5"/>
  <c r="AI134" i="5"/>
  <c r="AJ134" i="5"/>
  <c r="AK134" i="5"/>
  <c r="AL134" i="5"/>
  <c r="AM134" i="5"/>
  <c r="AN134" i="5"/>
  <c r="AO134" i="5"/>
  <c r="AP134" i="5"/>
  <c r="AQ134" i="5"/>
  <c r="AR134" i="5"/>
  <c r="AS134" i="5"/>
  <c r="AT134" i="5"/>
  <c r="AU134" i="5"/>
  <c r="AV134" i="5"/>
  <c r="AW134" i="5"/>
  <c r="AX134" i="5"/>
  <c r="AY134" i="5"/>
  <c r="AZ134" i="5"/>
  <c r="BA134" i="5"/>
  <c r="BC134" i="5"/>
  <c r="BE134" i="5"/>
  <c r="BF134" i="5"/>
  <c r="BK134" i="5"/>
  <c r="BL134" i="5"/>
  <c r="BM134" i="5"/>
  <c r="BN134" i="5"/>
  <c r="AB135" i="5"/>
  <c r="AC135" i="5"/>
  <c r="AD135" i="5"/>
  <c r="AE135" i="5"/>
  <c r="AG135" i="5"/>
  <c r="AH135" i="5"/>
  <c r="AI135" i="5"/>
  <c r="AJ135" i="5"/>
  <c r="AK135" i="5"/>
  <c r="AL135" i="5"/>
  <c r="AM135" i="5"/>
  <c r="AN135" i="5"/>
  <c r="AO135" i="5"/>
  <c r="AP135" i="5"/>
  <c r="AQ135" i="5"/>
  <c r="AR135" i="5"/>
  <c r="AS135" i="5"/>
  <c r="AT135" i="5"/>
  <c r="AU135" i="5"/>
  <c r="AV135" i="5"/>
  <c r="AW135" i="5"/>
  <c r="AX135" i="5"/>
  <c r="AY135" i="5"/>
  <c r="AZ135" i="5"/>
  <c r="BA135" i="5"/>
  <c r="BC135" i="5"/>
  <c r="BE135" i="5"/>
  <c r="BF135" i="5"/>
  <c r="BK135" i="5"/>
  <c r="BL135" i="5"/>
  <c r="BM135" i="5"/>
  <c r="BN135" i="5"/>
  <c r="AB136" i="5"/>
  <c r="AC136" i="5"/>
  <c r="AD136" i="5"/>
  <c r="AE136" i="5"/>
  <c r="AG136" i="5"/>
  <c r="AH136" i="5"/>
  <c r="AI136" i="5"/>
  <c r="AJ136" i="5"/>
  <c r="AK136" i="5"/>
  <c r="AL136" i="5"/>
  <c r="AM136" i="5"/>
  <c r="AN136" i="5"/>
  <c r="AO136" i="5"/>
  <c r="AP136" i="5"/>
  <c r="AQ136" i="5"/>
  <c r="AR136" i="5"/>
  <c r="AS136" i="5"/>
  <c r="AT136" i="5"/>
  <c r="AU136" i="5"/>
  <c r="AV136" i="5"/>
  <c r="AW136" i="5"/>
  <c r="AX136" i="5"/>
  <c r="AY136" i="5"/>
  <c r="AZ136" i="5"/>
  <c r="BA136" i="5"/>
  <c r="BC136" i="5"/>
  <c r="BE136" i="5"/>
  <c r="BF136" i="5"/>
  <c r="BK136" i="5"/>
  <c r="BL136" i="5"/>
  <c r="BM136" i="5"/>
  <c r="BN136" i="5"/>
  <c r="AB137" i="5"/>
  <c r="AC137" i="5"/>
  <c r="AD137" i="5"/>
  <c r="AE137" i="5"/>
  <c r="AG137" i="5"/>
  <c r="AH137" i="5"/>
  <c r="AI137" i="5"/>
  <c r="AJ137" i="5"/>
  <c r="AK137" i="5"/>
  <c r="AL137" i="5"/>
  <c r="AM137" i="5"/>
  <c r="AN137" i="5"/>
  <c r="AO137" i="5"/>
  <c r="AP137" i="5"/>
  <c r="AQ137" i="5"/>
  <c r="AR137" i="5"/>
  <c r="AS137" i="5"/>
  <c r="AT137" i="5"/>
  <c r="AU137" i="5"/>
  <c r="AV137" i="5"/>
  <c r="AW137" i="5"/>
  <c r="AX137" i="5"/>
  <c r="AY137" i="5"/>
  <c r="AZ137" i="5"/>
  <c r="BA137" i="5"/>
  <c r="BC137" i="5"/>
  <c r="BE137" i="5"/>
  <c r="BF137" i="5"/>
  <c r="BK137" i="5"/>
  <c r="BL137" i="5"/>
  <c r="BM137" i="5"/>
  <c r="BN137" i="5"/>
  <c r="AB138" i="5"/>
  <c r="AC138" i="5"/>
  <c r="AD138" i="5"/>
  <c r="AE138" i="5"/>
  <c r="AG138" i="5"/>
  <c r="AH138" i="5"/>
  <c r="AI138" i="5"/>
  <c r="AJ138" i="5"/>
  <c r="AK138" i="5"/>
  <c r="AL138" i="5"/>
  <c r="AM138" i="5"/>
  <c r="AN138" i="5"/>
  <c r="AO138" i="5"/>
  <c r="AP138" i="5"/>
  <c r="AQ138" i="5"/>
  <c r="AR138" i="5"/>
  <c r="AS138" i="5"/>
  <c r="AT138" i="5"/>
  <c r="AU138" i="5"/>
  <c r="AV138" i="5"/>
  <c r="AW138" i="5"/>
  <c r="AX138" i="5"/>
  <c r="AY138" i="5"/>
  <c r="AZ138" i="5"/>
  <c r="BA138" i="5"/>
  <c r="BC138" i="5"/>
  <c r="BE138" i="5"/>
  <c r="BF138" i="5"/>
  <c r="BK138" i="5"/>
  <c r="BL138" i="5"/>
  <c r="BM138" i="5"/>
  <c r="BN138" i="5"/>
  <c r="AB139" i="5"/>
  <c r="AC139" i="5"/>
  <c r="AD139" i="5"/>
  <c r="AE139" i="5"/>
  <c r="AG139" i="5"/>
  <c r="AH139" i="5"/>
  <c r="AI139" i="5"/>
  <c r="AJ139" i="5"/>
  <c r="AK139" i="5"/>
  <c r="AL139" i="5"/>
  <c r="AM139" i="5"/>
  <c r="AN139" i="5"/>
  <c r="AO139" i="5"/>
  <c r="AP139" i="5"/>
  <c r="AQ139" i="5"/>
  <c r="AR139" i="5"/>
  <c r="AS139" i="5"/>
  <c r="AT139" i="5"/>
  <c r="AU139" i="5"/>
  <c r="AV139" i="5"/>
  <c r="AW139" i="5"/>
  <c r="AX139" i="5"/>
  <c r="AY139" i="5"/>
  <c r="AZ139" i="5"/>
  <c r="BA139" i="5"/>
  <c r="BC139" i="5"/>
  <c r="BE139" i="5"/>
  <c r="BF139" i="5"/>
  <c r="BK139" i="5"/>
  <c r="BL139" i="5"/>
  <c r="BM139" i="5"/>
  <c r="BN139" i="5"/>
  <c r="AB140" i="5"/>
  <c r="AC140" i="5"/>
  <c r="AD140" i="5"/>
  <c r="AE140" i="5"/>
  <c r="AG140" i="5"/>
  <c r="AH140" i="5"/>
  <c r="AI140" i="5"/>
  <c r="AJ140" i="5"/>
  <c r="AK140" i="5"/>
  <c r="AL140" i="5"/>
  <c r="AM140" i="5"/>
  <c r="AN140" i="5"/>
  <c r="AO140" i="5"/>
  <c r="AP140" i="5"/>
  <c r="AQ140" i="5"/>
  <c r="AR140" i="5"/>
  <c r="AS140" i="5"/>
  <c r="AT140" i="5"/>
  <c r="AU140" i="5"/>
  <c r="AV140" i="5"/>
  <c r="AW140" i="5"/>
  <c r="AX140" i="5"/>
  <c r="AY140" i="5"/>
  <c r="AZ140" i="5"/>
  <c r="BA140" i="5"/>
  <c r="BC140" i="5"/>
  <c r="BE140" i="5"/>
  <c r="BF140" i="5"/>
  <c r="BK140" i="5"/>
  <c r="BL140" i="5"/>
  <c r="BM140" i="5"/>
  <c r="BN140" i="5"/>
  <c r="AB141" i="5"/>
  <c r="AC141" i="5"/>
  <c r="AD141" i="5"/>
  <c r="AE141" i="5"/>
  <c r="AG141" i="5"/>
  <c r="AH141" i="5"/>
  <c r="AI141" i="5"/>
  <c r="AJ141" i="5"/>
  <c r="AK141" i="5"/>
  <c r="AL141" i="5"/>
  <c r="AM141" i="5"/>
  <c r="AN141" i="5"/>
  <c r="AO141" i="5"/>
  <c r="AP141" i="5"/>
  <c r="AQ141" i="5"/>
  <c r="AR141" i="5"/>
  <c r="AS141" i="5"/>
  <c r="AT141" i="5"/>
  <c r="AU141" i="5"/>
  <c r="AV141" i="5"/>
  <c r="AW141" i="5"/>
  <c r="AX141" i="5"/>
  <c r="AY141" i="5"/>
  <c r="AZ141" i="5"/>
  <c r="BA141" i="5"/>
  <c r="BC141" i="5"/>
  <c r="BE141" i="5"/>
  <c r="BF141" i="5"/>
  <c r="BK141" i="5"/>
  <c r="BL141" i="5"/>
  <c r="BM141" i="5"/>
  <c r="BN141" i="5"/>
  <c r="AB142" i="5"/>
  <c r="AC142" i="5"/>
  <c r="AD142" i="5"/>
  <c r="AE142" i="5"/>
  <c r="AG142" i="5"/>
  <c r="AH142" i="5"/>
  <c r="AI142" i="5"/>
  <c r="AJ142" i="5"/>
  <c r="AK142" i="5"/>
  <c r="AL142" i="5"/>
  <c r="AM142" i="5"/>
  <c r="AN142" i="5"/>
  <c r="AO142" i="5"/>
  <c r="AP142" i="5"/>
  <c r="AQ142" i="5"/>
  <c r="AR142" i="5"/>
  <c r="AS142" i="5"/>
  <c r="AT142" i="5"/>
  <c r="AU142" i="5"/>
  <c r="AV142" i="5"/>
  <c r="AW142" i="5"/>
  <c r="AX142" i="5"/>
  <c r="AY142" i="5"/>
  <c r="AZ142" i="5"/>
  <c r="BA142" i="5"/>
  <c r="BC142" i="5"/>
  <c r="BE142" i="5"/>
  <c r="BF142" i="5"/>
  <c r="BK142" i="5"/>
  <c r="BL142" i="5"/>
  <c r="BM142" i="5"/>
  <c r="BN142" i="5"/>
  <c r="AB143" i="5"/>
  <c r="AC143" i="5"/>
  <c r="AD143" i="5"/>
  <c r="AE143" i="5"/>
  <c r="AG143" i="5"/>
  <c r="AH143" i="5"/>
  <c r="AI143" i="5"/>
  <c r="AJ143" i="5"/>
  <c r="AK143" i="5"/>
  <c r="AL143" i="5"/>
  <c r="AM143" i="5"/>
  <c r="AN143" i="5"/>
  <c r="AO143" i="5"/>
  <c r="AP143" i="5"/>
  <c r="AQ143" i="5"/>
  <c r="AR143" i="5"/>
  <c r="AS143" i="5"/>
  <c r="AT143" i="5"/>
  <c r="AU143" i="5"/>
  <c r="AV143" i="5"/>
  <c r="AW143" i="5"/>
  <c r="AX143" i="5"/>
  <c r="AY143" i="5"/>
  <c r="AZ143" i="5"/>
  <c r="BA143" i="5"/>
  <c r="BC143" i="5"/>
  <c r="BE143" i="5"/>
  <c r="BF143" i="5"/>
  <c r="BK143" i="5"/>
  <c r="BL143" i="5"/>
  <c r="BM143" i="5"/>
  <c r="BN143" i="5"/>
  <c r="AB144" i="5"/>
  <c r="AC144" i="5"/>
  <c r="AD144" i="5"/>
  <c r="AE144" i="5"/>
  <c r="AG144" i="5"/>
  <c r="AH144" i="5"/>
  <c r="AI144" i="5"/>
  <c r="AJ144" i="5"/>
  <c r="AK144" i="5"/>
  <c r="AL144" i="5"/>
  <c r="AM144" i="5"/>
  <c r="AN144" i="5"/>
  <c r="AO144" i="5"/>
  <c r="AP144" i="5"/>
  <c r="AQ144" i="5"/>
  <c r="AR144" i="5"/>
  <c r="AS144" i="5"/>
  <c r="AT144" i="5"/>
  <c r="AU144" i="5"/>
  <c r="AV144" i="5"/>
  <c r="AW144" i="5"/>
  <c r="AX144" i="5"/>
  <c r="AY144" i="5"/>
  <c r="AZ144" i="5"/>
  <c r="BA144" i="5"/>
  <c r="BC144" i="5"/>
  <c r="BE144" i="5"/>
  <c r="BF144" i="5"/>
  <c r="BK144" i="5"/>
  <c r="BL144" i="5"/>
  <c r="BM144" i="5"/>
  <c r="BN144" i="5"/>
  <c r="AB145" i="5"/>
  <c r="AC145" i="5"/>
  <c r="AD145" i="5"/>
  <c r="AE145" i="5"/>
  <c r="AG145" i="5"/>
  <c r="AH145" i="5"/>
  <c r="AI145" i="5"/>
  <c r="AJ145" i="5"/>
  <c r="AK145" i="5"/>
  <c r="AL145" i="5"/>
  <c r="AM145" i="5"/>
  <c r="AN145" i="5"/>
  <c r="AO145" i="5"/>
  <c r="AP145" i="5"/>
  <c r="AQ145" i="5"/>
  <c r="AR145" i="5"/>
  <c r="AS145" i="5"/>
  <c r="AT145" i="5"/>
  <c r="AU145" i="5"/>
  <c r="AV145" i="5"/>
  <c r="AW145" i="5"/>
  <c r="AX145" i="5"/>
  <c r="AY145" i="5"/>
  <c r="AZ145" i="5"/>
  <c r="BA145" i="5"/>
  <c r="BC145" i="5"/>
  <c r="BE145" i="5"/>
  <c r="BF145" i="5"/>
  <c r="BK145" i="5"/>
  <c r="BL145" i="5"/>
  <c r="BM145" i="5"/>
  <c r="BN145" i="5"/>
  <c r="AB146" i="5"/>
  <c r="AC146" i="5"/>
  <c r="AD146" i="5"/>
  <c r="AE146" i="5"/>
  <c r="AG146" i="5"/>
  <c r="AH146" i="5"/>
  <c r="AI146" i="5"/>
  <c r="AJ146" i="5"/>
  <c r="AK146" i="5"/>
  <c r="AL146" i="5"/>
  <c r="AM146" i="5"/>
  <c r="AN146" i="5"/>
  <c r="AO146" i="5"/>
  <c r="AP146" i="5"/>
  <c r="AQ146" i="5"/>
  <c r="AR146" i="5"/>
  <c r="AS146" i="5"/>
  <c r="AT146" i="5"/>
  <c r="AU146" i="5"/>
  <c r="AV146" i="5"/>
  <c r="AW146" i="5"/>
  <c r="AX146" i="5"/>
  <c r="AY146" i="5"/>
  <c r="AZ146" i="5"/>
  <c r="BA146" i="5"/>
  <c r="BC146" i="5"/>
  <c r="BE146" i="5"/>
  <c r="BF146" i="5"/>
  <c r="BK146" i="5"/>
  <c r="BL146" i="5"/>
  <c r="BM146" i="5"/>
  <c r="BN146" i="5"/>
  <c r="AB147" i="5"/>
  <c r="AC147" i="5"/>
  <c r="AD147" i="5"/>
  <c r="AE147" i="5"/>
  <c r="AG147" i="5"/>
  <c r="AH147" i="5"/>
  <c r="AI147" i="5"/>
  <c r="AJ147" i="5"/>
  <c r="AK147" i="5"/>
  <c r="AL147" i="5"/>
  <c r="AM147" i="5"/>
  <c r="AN147" i="5"/>
  <c r="AO147" i="5"/>
  <c r="AP147" i="5"/>
  <c r="AQ147" i="5"/>
  <c r="AR147" i="5"/>
  <c r="AS147" i="5"/>
  <c r="AT147" i="5"/>
  <c r="AU147" i="5"/>
  <c r="AV147" i="5"/>
  <c r="AW147" i="5"/>
  <c r="AX147" i="5"/>
  <c r="AY147" i="5"/>
  <c r="AZ147" i="5"/>
  <c r="BA147" i="5"/>
  <c r="BC147" i="5"/>
  <c r="BE147" i="5"/>
  <c r="BF147" i="5"/>
  <c r="BK147" i="5"/>
  <c r="BL147" i="5"/>
  <c r="BM147" i="5"/>
  <c r="BN147" i="5"/>
  <c r="AB148" i="5"/>
  <c r="AC148" i="5"/>
  <c r="AD148" i="5"/>
  <c r="AE148" i="5"/>
  <c r="AG148" i="5"/>
  <c r="AH148" i="5"/>
  <c r="AI148" i="5"/>
  <c r="AJ148" i="5"/>
  <c r="AK148" i="5"/>
  <c r="AL148" i="5"/>
  <c r="AM148" i="5"/>
  <c r="AN148" i="5"/>
  <c r="AO148" i="5"/>
  <c r="AP148" i="5"/>
  <c r="AQ148" i="5"/>
  <c r="AR148" i="5"/>
  <c r="AS148" i="5"/>
  <c r="AT148" i="5"/>
  <c r="AU148" i="5"/>
  <c r="AV148" i="5"/>
  <c r="AW148" i="5"/>
  <c r="AX148" i="5"/>
  <c r="AY148" i="5"/>
  <c r="AZ148" i="5"/>
  <c r="BA148" i="5"/>
  <c r="BC148" i="5"/>
  <c r="BE148" i="5"/>
  <c r="BF148" i="5"/>
  <c r="BK148" i="5"/>
  <c r="BL148" i="5"/>
  <c r="BM148" i="5"/>
  <c r="BN148" i="5"/>
  <c r="AB149" i="5"/>
  <c r="AC149" i="5"/>
  <c r="AD149" i="5"/>
  <c r="AE149" i="5"/>
  <c r="AG149" i="5"/>
  <c r="AH149" i="5"/>
  <c r="AI149" i="5"/>
  <c r="AJ149" i="5"/>
  <c r="AK149" i="5"/>
  <c r="AL149" i="5"/>
  <c r="AM149" i="5"/>
  <c r="AN149" i="5"/>
  <c r="AO149" i="5"/>
  <c r="AP149" i="5"/>
  <c r="AQ149" i="5"/>
  <c r="AR149" i="5"/>
  <c r="AS149" i="5"/>
  <c r="AT149" i="5"/>
  <c r="AU149" i="5"/>
  <c r="AV149" i="5"/>
  <c r="AW149" i="5"/>
  <c r="AX149" i="5"/>
  <c r="AY149" i="5"/>
  <c r="AZ149" i="5"/>
  <c r="BA149" i="5"/>
  <c r="BC149" i="5"/>
  <c r="BE149" i="5"/>
  <c r="BF149" i="5"/>
  <c r="BK149" i="5"/>
  <c r="BL149" i="5"/>
  <c r="BM149" i="5"/>
  <c r="BN149" i="5"/>
  <c r="AB150" i="5"/>
  <c r="AC150" i="5"/>
  <c r="AD150" i="5"/>
  <c r="AE150" i="5"/>
  <c r="AG150" i="5"/>
  <c r="AH150" i="5"/>
  <c r="AI150" i="5"/>
  <c r="AJ150" i="5"/>
  <c r="AK150" i="5"/>
  <c r="AL150" i="5"/>
  <c r="AM150" i="5"/>
  <c r="AN150" i="5"/>
  <c r="AO150" i="5"/>
  <c r="AP150" i="5"/>
  <c r="AQ150" i="5"/>
  <c r="AR150" i="5"/>
  <c r="AS150" i="5"/>
  <c r="AT150" i="5"/>
  <c r="AU150" i="5"/>
  <c r="AV150" i="5"/>
  <c r="AW150" i="5"/>
  <c r="AX150" i="5"/>
  <c r="AY150" i="5"/>
  <c r="AZ150" i="5"/>
  <c r="BA150" i="5"/>
  <c r="BC150" i="5"/>
  <c r="BE150" i="5"/>
  <c r="BF150" i="5"/>
  <c r="BK150" i="5"/>
  <c r="BL150" i="5"/>
  <c r="BM150" i="5"/>
  <c r="BN150" i="5"/>
  <c r="AB151" i="5"/>
  <c r="AC151" i="5"/>
  <c r="AD151" i="5"/>
  <c r="AE151" i="5"/>
  <c r="AG151" i="5"/>
  <c r="AH151" i="5"/>
  <c r="AI151" i="5"/>
  <c r="AJ151" i="5"/>
  <c r="AK151" i="5"/>
  <c r="AL151" i="5"/>
  <c r="AM151" i="5"/>
  <c r="AN151" i="5"/>
  <c r="AO151" i="5"/>
  <c r="AP151" i="5"/>
  <c r="AQ151" i="5"/>
  <c r="AR151" i="5"/>
  <c r="AS151" i="5"/>
  <c r="AT151" i="5"/>
  <c r="AU151" i="5"/>
  <c r="AV151" i="5"/>
  <c r="AW151" i="5"/>
  <c r="AX151" i="5"/>
  <c r="AY151" i="5"/>
  <c r="AZ151" i="5"/>
  <c r="BA151" i="5"/>
  <c r="BC151" i="5"/>
  <c r="BE151" i="5"/>
  <c r="BF151" i="5"/>
  <c r="BK151" i="5"/>
  <c r="BL151" i="5"/>
  <c r="BM151" i="5"/>
  <c r="BN151" i="5"/>
  <c r="AB152" i="5"/>
  <c r="AC152" i="5"/>
  <c r="AD152" i="5"/>
  <c r="AE152" i="5"/>
  <c r="AG152" i="5"/>
  <c r="AH152" i="5"/>
  <c r="AI152" i="5"/>
  <c r="AJ152" i="5"/>
  <c r="AK152" i="5"/>
  <c r="AL152" i="5"/>
  <c r="AM152" i="5"/>
  <c r="AN152" i="5"/>
  <c r="AO152" i="5"/>
  <c r="AP152" i="5"/>
  <c r="AQ152" i="5"/>
  <c r="AR152" i="5"/>
  <c r="AS152" i="5"/>
  <c r="AT152" i="5"/>
  <c r="AU152" i="5"/>
  <c r="AV152" i="5"/>
  <c r="AW152" i="5"/>
  <c r="AX152" i="5"/>
  <c r="AY152" i="5"/>
  <c r="AZ152" i="5"/>
  <c r="BA152" i="5"/>
  <c r="BC152" i="5"/>
  <c r="BE152" i="5"/>
  <c r="BF152" i="5"/>
  <c r="BK152" i="5"/>
  <c r="BL152" i="5"/>
  <c r="BM152" i="5"/>
  <c r="BN152" i="5"/>
  <c r="AB153" i="5"/>
  <c r="AC153" i="5"/>
  <c r="AD153" i="5"/>
  <c r="AE153" i="5"/>
  <c r="AG153" i="5"/>
  <c r="AH153" i="5"/>
  <c r="AI153" i="5"/>
  <c r="AJ153" i="5"/>
  <c r="AK153" i="5"/>
  <c r="AL153" i="5"/>
  <c r="AM153" i="5"/>
  <c r="AN153" i="5"/>
  <c r="AO153" i="5"/>
  <c r="AP153" i="5"/>
  <c r="AQ153" i="5"/>
  <c r="AR153" i="5"/>
  <c r="AS153" i="5"/>
  <c r="AT153" i="5"/>
  <c r="AU153" i="5"/>
  <c r="AV153" i="5"/>
  <c r="AW153" i="5"/>
  <c r="AX153" i="5"/>
  <c r="AY153" i="5"/>
  <c r="AZ153" i="5"/>
  <c r="BA153" i="5"/>
  <c r="BC153" i="5"/>
  <c r="BE153" i="5"/>
  <c r="BF153" i="5"/>
  <c r="BK153" i="5"/>
  <c r="BL153" i="5"/>
  <c r="BM153" i="5"/>
  <c r="BN153" i="5"/>
  <c r="AB154" i="5"/>
  <c r="AC154" i="5"/>
  <c r="AD154" i="5"/>
  <c r="AE154" i="5"/>
  <c r="AG154" i="5"/>
  <c r="AH154" i="5"/>
  <c r="AI154" i="5"/>
  <c r="AJ154" i="5"/>
  <c r="AK154" i="5"/>
  <c r="AL154" i="5"/>
  <c r="AM154" i="5"/>
  <c r="AN154" i="5"/>
  <c r="AO154" i="5"/>
  <c r="AP154" i="5"/>
  <c r="AQ154" i="5"/>
  <c r="AR154" i="5"/>
  <c r="AS154" i="5"/>
  <c r="AT154" i="5"/>
  <c r="AU154" i="5"/>
  <c r="AV154" i="5"/>
  <c r="AW154" i="5"/>
  <c r="AX154" i="5"/>
  <c r="AY154" i="5"/>
  <c r="AZ154" i="5"/>
  <c r="BA154" i="5"/>
  <c r="BC154" i="5"/>
  <c r="BE154" i="5"/>
  <c r="BF154" i="5"/>
  <c r="BK154" i="5"/>
  <c r="BL154" i="5"/>
  <c r="BM154" i="5"/>
  <c r="BN154" i="5"/>
  <c r="AB155" i="5"/>
  <c r="AC155" i="5"/>
  <c r="AD155" i="5"/>
  <c r="AE155" i="5"/>
  <c r="AG155" i="5"/>
  <c r="AH155" i="5"/>
  <c r="AI155" i="5"/>
  <c r="AJ155" i="5"/>
  <c r="AK155" i="5"/>
  <c r="AL155" i="5"/>
  <c r="AM155" i="5"/>
  <c r="AN155" i="5"/>
  <c r="AO155" i="5"/>
  <c r="AP155" i="5"/>
  <c r="AQ155" i="5"/>
  <c r="AR155" i="5"/>
  <c r="AS155" i="5"/>
  <c r="AT155" i="5"/>
  <c r="AU155" i="5"/>
  <c r="AV155" i="5"/>
  <c r="AW155" i="5"/>
  <c r="AX155" i="5"/>
  <c r="AY155" i="5"/>
  <c r="AZ155" i="5"/>
  <c r="BA155" i="5"/>
  <c r="BC155" i="5"/>
  <c r="BE155" i="5"/>
  <c r="BF155" i="5"/>
  <c r="BK155" i="5"/>
  <c r="BL155" i="5"/>
  <c r="BM155" i="5"/>
  <c r="BN155" i="5"/>
  <c r="AB156" i="5"/>
  <c r="AC156" i="5"/>
  <c r="AD156" i="5"/>
  <c r="AE156" i="5"/>
  <c r="AG156" i="5"/>
  <c r="AH156" i="5"/>
  <c r="AI156" i="5"/>
  <c r="AJ156" i="5"/>
  <c r="AK156" i="5"/>
  <c r="AL156" i="5"/>
  <c r="AM156" i="5"/>
  <c r="AN156" i="5"/>
  <c r="AO156" i="5"/>
  <c r="AP156" i="5"/>
  <c r="AQ156" i="5"/>
  <c r="AR156" i="5"/>
  <c r="AS156" i="5"/>
  <c r="AT156" i="5"/>
  <c r="AU156" i="5"/>
  <c r="AV156" i="5"/>
  <c r="AW156" i="5"/>
  <c r="AX156" i="5"/>
  <c r="AY156" i="5"/>
  <c r="AZ156" i="5"/>
  <c r="BA156" i="5"/>
  <c r="BC156" i="5"/>
  <c r="BE156" i="5"/>
  <c r="BF156" i="5"/>
  <c r="BK156" i="5"/>
  <c r="BL156" i="5"/>
  <c r="BM156" i="5"/>
  <c r="BN156" i="5"/>
  <c r="AB157" i="5"/>
  <c r="AC157" i="5"/>
  <c r="AD157" i="5"/>
  <c r="AE157" i="5"/>
  <c r="AG157" i="5"/>
  <c r="AH157" i="5"/>
  <c r="AI157" i="5"/>
  <c r="AJ157" i="5"/>
  <c r="AK157" i="5"/>
  <c r="AL157" i="5"/>
  <c r="AM157" i="5"/>
  <c r="AN157" i="5"/>
  <c r="AO157" i="5"/>
  <c r="AP157" i="5"/>
  <c r="AQ157" i="5"/>
  <c r="AR157" i="5"/>
  <c r="AS157" i="5"/>
  <c r="AT157" i="5"/>
  <c r="AU157" i="5"/>
  <c r="AV157" i="5"/>
  <c r="AW157" i="5"/>
  <c r="AX157" i="5"/>
  <c r="AY157" i="5"/>
  <c r="AZ157" i="5"/>
  <c r="BA157" i="5"/>
  <c r="BC157" i="5"/>
  <c r="BE157" i="5"/>
  <c r="BF157" i="5"/>
  <c r="BK157" i="5"/>
  <c r="BL157" i="5"/>
  <c r="BM157" i="5"/>
  <c r="BN157" i="5"/>
  <c r="AB158" i="5"/>
  <c r="AC158" i="5"/>
  <c r="AD158" i="5"/>
  <c r="AE158" i="5"/>
  <c r="AG158" i="5"/>
  <c r="AH158" i="5"/>
  <c r="AI158" i="5"/>
  <c r="AJ158" i="5"/>
  <c r="AK158" i="5"/>
  <c r="AL158" i="5"/>
  <c r="AM158" i="5"/>
  <c r="AN158" i="5"/>
  <c r="AO158" i="5"/>
  <c r="AP158" i="5"/>
  <c r="AQ158" i="5"/>
  <c r="AR158" i="5"/>
  <c r="AS158" i="5"/>
  <c r="AT158" i="5"/>
  <c r="AU158" i="5"/>
  <c r="AV158" i="5"/>
  <c r="AW158" i="5"/>
  <c r="AX158" i="5"/>
  <c r="AY158" i="5"/>
  <c r="AZ158" i="5"/>
  <c r="BA158" i="5"/>
  <c r="BC158" i="5"/>
  <c r="BE158" i="5"/>
  <c r="BF158" i="5"/>
  <c r="BK158" i="5"/>
  <c r="BL158" i="5"/>
  <c r="BM158" i="5"/>
  <c r="BN158" i="5"/>
  <c r="AB159" i="5"/>
  <c r="AC159" i="5"/>
  <c r="AD159" i="5"/>
  <c r="AE159" i="5"/>
  <c r="AG159" i="5"/>
  <c r="AH159" i="5"/>
  <c r="AI159" i="5"/>
  <c r="AJ159" i="5"/>
  <c r="AK159" i="5"/>
  <c r="AL159" i="5"/>
  <c r="AM159" i="5"/>
  <c r="AN159" i="5"/>
  <c r="AO159" i="5"/>
  <c r="AP159" i="5"/>
  <c r="AQ159" i="5"/>
  <c r="AR159" i="5"/>
  <c r="AS159" i="5"/>
  <c r="AT159" i="5"/>
  <c r="AU159" i="5"/>
  <c r="AV159" i="5"/>
  <c r="AW159" i="5"/>
  <c r="AX159" i="5"/>
  <c r="AY159" i="5"/>
  <c r="AZ159" i="5"/>
  <c r="BA159" i="5"/>
  <c r="BC159" i="5"/>
  <c r="BE159" i="5"/>
  <c r="BF159" i="5"/>
  <c r="BK159" i="5"/>
  <c r="BL159" i="5"/>
  <c r="BM159" i="5"/>
  <c r="BN159" i="5"/>
  <c r="AB160" i="5"/>
  <c r="AC160" i="5"/>
  <c r="AD160" i="5"/>
  <c r="AE160" i="5"/>
  <c r="AG160" i="5"/>
  <c r="AH160" i="5"/>
  <c r="AI160" i="5"/>
  <c r="AJ160" i="5"/>
  <c r="AK160" i="5"/>
  <c r="AL160" i="5"/>
  <c r="AM160" i="5"/>
  <c r="AN160" i="5"/>
  <c r="AO160" i="5"/>
  <c r="AP160" i="5"/>
  <c r="AQ160" i="5"/>
  <c r="AR160" i="5"/>
  <c r="AS160" i="5"/>
  <c r="AT160" i="5"/>
  <c r="AU160" i="5"/>
  <c r="AV160" i="5"/>
  <c r="AW160" i="5"/>
  <c r="AX160" i="5"/>
  <c r="AY160" i="5"/>
  <c r="AZ160" i="5"/>
  <c r="BA160" i="5"/>
  <c r="BC160" i="5"/>
  <c r="BE160" i="5"/>
  <c r="BF160" i="5"/>
  <c r="BK160" i="5"/>
  <c r="BL160" i="5"/>
  <c r="BM160" i="5"/>
  <c r="BN160" i="5"/>
  <c r="AB161" i="5"/>
  <c r="AC161" i="5"/>
  <c r="AD161" i="5"/>
  <c r="AE161" i="5"/>
  <c r="AG161" i="5"/>
  <c r="AH161" i="5"/>
  <c r="AI161" i="5"/>
  <c r="AJ161" i="5"/>
  <c r="AK161" i="5"/>
  <c r="AL161" i="5"/>
  <c r="AM161" i="5"/>
  <c r="AN161" i="5"/>
  <c r="AO161" i="5"/>
  <c r="AP161" i="5"/>
  <c r="AQ161" i="5"/>
  <c r="AR161" i="5"/>
  <c r="AS161" i="5"/>
  <c r="AT161" i="5"/>
  <c r="AU161" i="5"/>
  <c r="AV161" i="5"/>
  <c r="AW161" i="5"/>
  <c r="AX161" i="5"/>
  <c r="AY161" i="5"/>
  <c r="AZ161" i="5"/>
  <c r="BA161" i="5"/>
  <c r="BC161" i="5"/>
  <c r="BE161" i="5"/>
  <c r="BF161" i="5"/>
  <c r="BK161" i="5"/>
  <c r="BL161" i="5"/>
  <c r="BM161" i="5"/>
  <c r="BN161" i="5"/>
  <c r="AB162" i="5"/>
  <c r="AC162" i="5"/>
  <c r="AD162" i="5"/>
  <c r="AE162" i="5"/>
  <c r="AG162" i="5"/>
  <c r="AH162" i="5"/>
  <c r="AI162" i="5"/>
  <c r="AJ162" i="5"/>
  <c r="AK162" i="5"/>
  <c r="AL162" i="5"/>
  <c r="AM162" i="5"/>
  <c r="AN162" i="5"/>
  <c r="AO162" i="5"/>
  <c r="AP162" i="5"/>
  <c r="AQ162" i="5"/>
  <c r="AR162" i="5"/>
  <c r="AS162" i="5"/>
  <c r="AT162" i="5"/>
  <c r="AU162" i="5"/>
  <c r="AV162" i="5"/>
  <c r="AW162" i="5"/>
  <c r="AX162" i="5"/>
  <c r="AY162" i="5"/>
  <c r="AZ162" i="5"/>
  <c r="BA162" i="5"/>
  <c r="BC162" i="5"/>
  <c r="BE162" i="5"/>
  <c r="BF162" i="5"/>
  <c r="BK162" i="5"/>
  <c r="BL162" i="5"/>
  <c r="BM162" i="5"/>
  <c r="BN162" i="5"/>
  <c r="AB163" i="5"/>
  <c r="AC163" i="5"/>
  <c r="AD163" i="5"/>
  <c r="AE163" i="5"/>
  <c r="AG163" i="5"/>
  <c r="AH163" i="5"/>
  <c r="AI163" i="5"/>
  <c r="AJ163" i="5"/>
  <c r="AK163" i="5"/>
  <c r="AL163" i="5"/>
  <c r="AM163" i="5"/>
  <c r="AN163" i="5"/>
  <c r="AO163" i="5"/>
  <c r="AP163" i="5"/>
  <c r="AQ163" i="5"/>
  <c r="AR163" i="5"/>
  <c r="AS163" i="5"/>
  <c r="AT163" i="5"/>
  <c r="AU163" i="5"/>
  <c r="AV163" i="5"/>
  <c r="AW163" i="5"/>
  <c r="AX163" i="5"/>
  <c r="AY163" i="5"/>
  <c r="AZ163" i="5"/>
  <c r="BA163" i="5"/>
  <c r="BC163" i="5"/>
  <c r="BE163" i="5"/>
  <c r="BF163" i="5"/>
  <c r="BK163" i="5"/>
  <c r="BL163" i="5"/>
  <c r="BM163" i="5"/>
  <c r="BN163" i="5"/>
  <c r="AB164" i="5"/>
  <c r="AC164" i="5"/>
  <c r="AD164" i="5"/>
  <c r="AE164" i="5"/>
  <c r="AG164" i="5"/>
  <c r="AH164" i="5"/>
  <c r="AI164" i="5"/>
  <c r="AJ164" i="5"/>
  <c r="AK164" i="5"/>
  <c r="AL164" i="5"/>
  <c r="AM164" i="5"/>
  <c r="AN164" i="5"/>
  <c r="AO164" i="5"/>
  <c r="AP164" i="5"/>
  <c r="AQ164" i="5"/>
  <c r="AR164" i="5"/>
  <c r="AS164" i="5"/>
  <c r="AT164" i="5"/>
  <c r="AU164" i="5"/>
  <c r="AV164" i="5"/>
  <c r="AW164" i="5"/>
  <c r="AX164" i="5"/>
  <c r="AY164" i="5"/>
  <c r="AZ164" i="5"/>
  <c r="BA164" i="5"/>
  <c r="BC164" i="5"/>
  <c r="BE164" i="5"/>
  <c r="BF164" i="5"/>
  <c r="BK164" i="5"/>
  <c r="BL164" i="5"/>
  <c r="BM164" i="5"/>
  <c r="BN164" i="5"/>
  <c r="AB165" i="5"/>
  <c r="AC165" i="5"/>
  <c r="AD165" i="5"/>
  <c r="AE165" i="5"/>
  <c r="AG165" i="5"/>
  <c r="AH165" i="5"/>
  <c r="AI165" i="5"/>
  <c r="AJ165" i="5"/>
  <c r="AK165" i="5"/>
  <c r="AL165" i="5"/>
  <c r="AM165" i="5"/>
  <c r="AN165" i="5"/>
  <c r="AO165" i="5"/>
  <c r="AP165" i="5"/>
  <c r="AQ165" i="5"/>
  <c r="AR165" i="5"/>
  <c r="AS165" i="5"/>
  <c r="AT165" i="5"/>
  <c r="AU165" i="5"/>
  <c r="AV165" i="5"/>
  <c r="AW165" i="5"/>
  <c r="AX165" i="5"/>
  <c r="AY165" i="5"/>
  <c r="AZ165" i="5"/>
  <c r="BA165" i="5"/>
  <c r="BC165" i="5"/>
  <c r="BE165" i="5"/>
  <c r="BF165" i="5"/>
  <c r="BK165" i="5"/>
  <c r="BL165" i="5"/>
  <c r="BM165" i="5"/>
  <c r="BN165" i="5"/>
  <c r="AB166" i="5"/>
  <c r="AC166" i="5"/>
  <c r="AD166" i="5"/>
  <c r="AE166" i="5"/>
  <c r="AG166" i="5"/>
  <c r="AH166" i="5"/>
  <c r="AI166" i="5"/>
  <c r="AJ166" i="5"/>
  <c r="AK166" i="5"/>
  <c r="AL166" i="5"/>
  <c r="AM166" i="5"/>
  <c r="AN166" i="5"/>
  <c r="AO166" i="5"/>
  <c r="AP166" i="5"/>
  <c r="AQ166" i="5"/>
  <c r="AR166" i="5"/>
  <c r="AS166" i="5"/>
  <c r="AT166" i="5"/>
  <c r="AU166" i="5"/>
  <c r="AV166" i="5"/>
  <c r="AW166" i="5"/>
  <c r="AX166" i="5"/>
  <c r="AY166" i="5"/>
  <c r="AZ166" i="5"/>
  <c r="BA166" i="5"/>
  <c r="BC166" i="5"/>
  <c r="BE166" i="5"/>
  <c r="BF166" i="5"/>
  <c r="BK166" i="5"/>
  <c r="BL166" i="5"/>
  <c r="BM166" i="5"/>
  <c r="BN166" i="5"/>
  <c r="AB167" i="5"/>
  <c r="AC167" i="5"/>
  <c r="AD167" i="5"/>
  <c r="AE167" i="5"/>
  <c r="AG167" i="5"/>
  <c r="AH167" i="5"/>
  <c r="AI167" i="5"/>
  <c r="AJ167" i="5"/>
  <c r="AK167" i="5"/>
  <c r="AL167" i="5"/>
  <c r="AM167" i="5"/>
  <c r="AN167" i="5"/>
  <c r="AO167" i="5"/>
  <c r="AP167" i="5"/>
  <c r="AQ167" i="5"/>
  <c r="AR167" i="5"/>
  <c r="AS167" i="5"/>
  <c r="AT167" i="5"/>
  <c r="AU167" i="5"/>
  <c r="AV167" i="5"/>
  <c r="AW167" i="5"/>
  <c r="AX167" i="5"/>
  <c r="AY167" i="5"/>
  <c r="AZ167" i="5"/>
  <c r="BA167" i="5"/>
  <c r="BC167" i="5"/>
  <c r="BE167" i="5"/>
  <c r="BF167" i="5"/>
  <c r="BK167" i="5"/>
  <c r="BL167" i="5"/>
  <c r="BM167" i="5"/>
  <c r="BN167" i="5"/>
  <c r="AB168" i="5"/>
  <c r="AC168" i="5"/>
  <c r="AD168" i="5"/>
  <c r="AE168" i="5"/>
  <c r="AG168" i="5"/>
  <c r="AH168" i="5"/>
  <c r="AI168" i="5"/>
  <c r="AJ168" i="5"/>
  <c r="AK168" i="5"/>
  <c r="AL168" i="5"/>
  <c r="AM168" i="5"/>
  <c r="AN168" i="5"/>
  <c r="AO168" i="5"/>
  <c r="AP168" i="5"/>
  <c r="AQ168" i="5"/>
  <c r="AR168" i="5"/>
  <c r="AS168" i="5"/>
  <c r="AT168" i="5"/>
  <c r="AU168" i="5"/>
  <c r="AV168" i="5"/>
  <c r="AW168" i="5"/>
  <c r="AX168" i="5"/>
  <c r="AY168" i="5"/>
  <c r="AZ168" i="5"/>
  <c r="BA168" i="5"/>
  <c r="BC168" i="5"/>
  <c r="BE168" i="5"/>
  <c r="BF168" i="5"/>
  <c r="BK168" i="5"/>
  <c r="BL168" i="5"/>
  <c r="BM168" i="5"/>
  <c r="BN168" i="5"/>
  <c r="AB169" i="5"/>
  <c r="AC169" i="5"/>
  <c r="AD169" i="5"/>
  <c r="AE169" i="5"/>
  <c r="AG169" i="5"/>
  <c r="AH169" i="5"/>
  <c r="AI169" i="5"/>
  <c r="AJ169" i="5"/>
  <c r="AK169" i="5"/>
  <c r="AL169" i="5"/>
  <c r="AM169" i="5"/>
  <c r="AN169" i="5"/>
  <c r="AO169" i="5"/>
  <c r="AP169" i="5"/>
  <c r="AQ169" i="5"/>
  <c r="AR169" i="5"/>
  <c r="AS169" i="5"/>
  <c r="AT169" i="5"/>
  <c r="AU169" i="5"/>
  <c r="AV169" i="5"/>
  <c r="AW169" i="5"/>
  <c r="AX169" i="5"/>
  <c r="AY169" i="5"/>
  <c r="AZ169" i="5"/>
  <c r="BA169" i="5"/>
  <c r="BC169" i="5"/>
  <c r="BE169" i="5"/>
  <c r="BF169" i="5"/>
  <c r="BK169" i="5"/>
  <c r="BL169" i="5"/>
  <c r="BM169" i="5"/>
  <c r="BN169" i="5"/>
  <c r="AB170" i="5"/>
  <c r="AC170" i="5"/>
  <c r="AD170" i="5"/>
  <c r="AE170" i="5"/>
  <c r="AG170" i="5"/>
  <c r="AH170" i="5"/>
  <c r="AI170" i="5"/>
  <c r="AJ170" i="5"/>
  <c r="AK170" i="5"/>
  <c r="AL170" i="5"/>
  <c r="AM170" i="5"/>
  <c r="AN170" i="5"/>
  <c r="AO170" i="5"/>
  <c r="AP170" i="5"/>
  <c r="AQ170" i="5"/>
  <c r="AR170" i="5"/>
  <c r="AS170" i="5"/>
  <c r="AT170" i="5"/>
  <c r="AU170" i="5"/>
  <c r="AV170" i="5"/>
  <c r="AW170" i="5"/>
  <c r="AX170" i="5"/>
  <c r="AY170" i="5"/>
  <c r="AZ170" i="5"/>
  <c r="BA170" i="5"/>
  <c r="BC170" i="5"/>
  <c r="BE170" i="5"/>
  <c r="BF170" i="5"/>
  <c r="BK170" i="5"/>
  <c r="BL170" i="5"/>
  <c r="BM170" i="5"/>
  <c r="BN170" i="5"/>
  <c r="AB171" i="5"/>
  <c r="AC171" i="5"/>
  <c r="AD171" i="5"/>
  <c r="AE171" i="5"/>
  <c r="AG171" i="5"/>
  <c r="AH171" i="5"/>
  <c r="AI171" i="5"/>
  <c r="AJ171" i="5"/>
  <c r="AK171" i="5"/>
  <c r="AL171" i="5"/>
  <c r="AM171" i="5"/>
  <c r="AN171" i="5"/>
  <c r="AO171" i="5"/>
  <c r="AP171" i="5"/>
  <c r="AQ171" i="5"/>
  <c r="AR171" i="5"/>
  <c r="AS171" i="5"/>
  <c r="AT171" i="5"/>
  <c r="AU171" i="5"/>
  <c r="AV171" i="5"/>
  <c r="AW171" i="5"/>
  <c r="AX171" i="5"/>
  <c r="AY171" i="5"/>
  <c r="AZ171" i="5"/>
  <c r="BA171" i="5"/>
  <c r="BC171" i="5"/>
  <c r="BE171" i="5"/>
  <c r="BF171" i="5"/>
  <c r="BK171" i="5"/>
  <c r="BL171" i="5"/>
  <c r="BM171" i="5"/>
  <c r="BN171" i="5"/>
  <c r="AB172" i="5"/>
  <c r="AC172" i="5"/>
  <c r="AD172" i="5"/>
  <c r="AE172" i="5"/>
  <c r="AG172" i="5"/>
  <c r="AH172" i="5"/>
  <c r="AI172" i="5"/>
  <c r="AJ172" i="5"/>
  <c r="AK172" i="5"/>
  <c r="AL172" i="5"/>
  <c r="AM172" i="5"/>
  <c r="AN172" i="5"/>
  <c r="AO172" i="5"/>
  <c r="AP172" i="5"/>
  <c r="AQ172" i="5"/>
  <c r="AR172" i="5"/>
  <c r="AS172" i="5"/>
  <c r="AT172" i="5"/>
  <c r="AU172" i="5"/>
  <c r="AV172" i="5"/>
  <c r="AW172" i="5"/>
  <c r="AX172" i="5"/>
  <c r="AY172" i="5"/>
  <c r="AZ172" i="5"/>
  <c r="BA172" i="5"/>
  <c r="BC172" i="5"/>
  <c r="BE172" i="5"/>
  <c r="BF172" i="5"/>
  <c r="BK172" i="5"/>
  <c r="BL172" i="5"/>
  <c r="BM172" i="5"/>
  <c r="BN172" i="5"/>
  <c r="AB5" i="13"/>
  <c r="AC5" i="13"/>
  <c r="AD5" i="13"/>
  <c r="AE5" i="13"/>
  <c r="AG5" i="13"/>
  <c r="AH5" i="13"/>
  <c r="AI5" i="13"/>
  <c r="AJ5" i="13"/>
  <c r="AK5" i="13"/>
  <c r="AL5" i="13"/>
  <c r="AM5" i="13"/>
  <c r="AN5" i="13"/>
  <c r="AO5" i="13"/>
  <c r="AP5" i="13"/>
  <c r="AQ5" i="13"/>
  <c r="AR5" i="13"/>
  <c r="AS5" i="13"/>
  <c r="AT5" i="13"/>
  <c r="AU5" i="13"/>
  <c r="AV5" i="13"/>
  <c r="AW5" i="13"/>
  <c r="AX5" i="13"/>
  <c r="AY5" i="13"/>
  <c r="AZ5" i="13"/>
  <c r="BA5" i="13"/>
  <c r="BC5" i="13"/>
  <c r="BE5" i="13"/>
  <c r="BF5" i="13"/>
  <c r="BI5" i="13"/>
  <c r="BJ5" i="13"/>
  <c r="BK5" i="13"/>
  <c r="BL5" i="13"/>
  <c r="AB6" i="13"/>
  <c r="AC6" i="13"/>
  <c r="AD6" i="13"/>
  <c r="AE6" i="13"/>
  <c r="AG6" i="13"/>
  <c r="AH6" i="13"/>
  <c r="AI6" i="13"/>
  <c r="AJ6" i="13"/>
  <c r="AK6" i="13"/>
  <c r="AL6" i="13"/>
  <c r="AM6" i="13"/>
  <c r="AN6" i="13"/>
  <c r="AO6" i="13"/>
  <c r="AP6" i="13"/>
  <c r="AQ6" i="13"/>
  <c r="AR6" i="13"/>
  <c r="AS6" i="13"/>
  <c r="AT6" i="13"/>
  <c r="AU6" i="13"/>
  <c r="AV6" i="13"/>
  <c r="AW6" i="13"/>
  <c r="AX6" i="13"/>
  <c r="AY6" i="13"/>
  <c r="AZ6" i="13"/>
  <c r="BA6" i="13"/>
  <c r="BC6" i="13"/>
  <c r="BE6" i="13"/>
  <c r="BF6" i="13"/>
  <c r="BI6" i="13"/>
  <c r="BJ6" i="13"/>
  <c r="BK6" i="13"/>
  <c r="BL6" i="13"/>
  <c r="AB7" i="13"/>
  <c r="AC7" i="13"/>
  <c r="AD7" i="13"/>
  <c r="AE7" i="13"/>
  <c r="AG7" i="13"/>
  <c r="AH7" i="13"/>
  <c r="AI7" i="13"/>
  <c r="AJ7" i="13"/>
  <c r="AK7" i="13"/>
  <c r="AL7" i="13"/>
  <c r="AM7" i="13"/>
  <c r="AN7" i="13"/>
  <c r="AO7" i="13"/>
  <c r="AP7" i="13"/>
  <c r="AQ7" i="13"/>
  <c r="AR7" i="13"/>
  <c r="AS7" i="13"/>
  <c r="AT7" i="13"/>
  <c r="AU7" i="13"/>
  <c r="AV7" i="13"/>
  <c r="AW7" i="13"/>
  <c r="AX7" i="13"/>
  <c r="AY7" i="13"/>
  <c r="AZ7" i="13"/>
  <c r="BA7" i="13"/>
  <c r="BC7" i="13"/>
  <c r="BE7" i="13"/>
  <c r="BF7" i="13"/>
  <c r="BI7" i="13"/>
  <c r="BJ7" i="13"/>
  <c r="BK7" i="13"/>
  <c r="BL7" i="13"/>
  <c r="AB8" i="13"/>
  <c r="AC8" i="13"/>
  <c r="AD8" i="13"/>
  <c r="AE8" i="13"/>
  <c r="AG8" i="13"/>
  <c r="AH8" i="13"/>
  <c r="AI8" i="13"/>
  <c r="AJ8" i="13"/>
  <c r="AK8" i="13"/>
  <c r="AL8" i="13"/>
  <c r="AM8" i="13"/>
  <c r="AN8" i="13"/>
  <c r="AO8" i="13"/>
  <c r="AP8" i="13"/>
  <c r="AQ8" i="13"/>
  <c r="AR8" i="13"/>
  <c r="AS8" i="13"/>
  <c r="AT8" i="13"/>
  <c r="AU8" i="13"/>
  <c r="AV8" i="13"/>
  <c r="AW8" i="13"/>
  <c r="AX8" i="13"/>
  <c r="AY8" i="13"/>
  <c r="AZ8" i="13"/>
  <c r="BA8" i="13"/>
  <c r="BC8" i="13"/>
  <c r="BE8" i="13"/>
  <c r="BF8" i="13"/>
  <c r="BI8" i="13"/>
  <c r="BJ8" i="13"/>
  <c r="BK8" i="13"/>
  <c r="BL8" i="13"/>
  <c r="AB9" i="13"/>
  <c r="AC9" i="13"/>
  <c r="AD9" i="13"/>
  <c r="AE9" i="13"/>
  <c r="AG9" i="13"/>
  <c r="AH9" i="13"/>
  <c r="AI9" i="13"/>
  <c r="AJ9" i="13"/>
  <c r="AK9" i="13"/>
  <c r="AL9" i="13"/>
  <c r="AM9" i="13"/>
  <c r="AN9" i="13"/>
  <c r="AO9" i="13"/>
  <c r="AP9" i="13"/>
  <c r="AQ9" i="13"/>
  <c r="AR9" i="13"/>
  <c r="AS9" i="13"/>
  <c r="AT9" i="13"/>
  <c r="AU9" i="13"/>
  <c r="AV9" i="13"/>
  <c r="AW9" i="13"/>
  <c r="AX9" i="13"/>
  <c r="AY9" i="13"/>
  <c r="AZ9" i="13"/>
  <c r="BA9" i="13"/>
  <c r="BC9" i="13"/>
  <c r="BE9" i="13"/>
  <c r="BF9" i="13"/>
  <c r="BI9" i="13"/>
  <c r="BJ9" i="13"/>
  <c r="BK9" i="13"/>
  <c r="BL9" i="13"/>
  <c r="AB10" i="13"/>
  <c r="AC10" i="13"/>
  <c r="AD10" i="13"/>
  <c r="AE10" i="13"/>
  <c r="AG10" i="13"/>
  <c r="AH10" i="13"/>
  <c r="AI10" i="13"/>
  <c r="AJ10" i="13"/>
  <c r="AK10" i="13"/>
  <c r="AL10" i="13"/>
  <c r="AM10" i="13"/>
  <c r="AN10" i="13"/>
  <c r="AO10" i="13"/>
  <c r="AP10" i="13"/>
  <c r="AQ10" i="13"/>
  <c r="AR10" i="13"/>
  <c r="AS10" i="13"/>
  <c r="AT10" i="13"/>
  <c r="AU10" i="13"/>
  <c r="AV10" i="13"/>
  <c r="AW10" i="13"/>
  <c r="AX10" i="13"/>
  <c r="AY10" i="13"/>
  <c r="AZ10" i="13"/>
  <c r="BA10" i="13"/>
  <c r="BC10" i="13"/>
  <c r="BE10" i="13"/>
  <c r="BF10" i="13"/>
  <c r="BI10" i="13"/>
  <c r="BJ10" i="13"/>
  <c r="BK10" i="13"/>
  <c r="BL10" i="13"/>
  <c r="AB11" i="13"/>
  <c r="AC11" i="13"/>
  <c r="AD11" i="13"/>
  <c r="AE11" i="13"/>
  <c r="AG11" i="13"/>
  <c r="AH11" i="13"/>
  <c r="AI11" i="13"/>
  <c r="AJ11" i="13"/>
  <c r="AK11" i="13"/>
  <c r="AL11" i="13"/>
  <c r="AM11" i="13"/>
  <c r="AN11" i="13"/>
  <c r="AO11" i="13"/>
  <c r="AP11" i="13"/>
  <c r="AQ11" i="13"/>
  <c r="AR11" i="13"/>
  <c r="AS11" i="13"/>
  <c r="AT11" i="13"/>
  <c r="AU11" i="13"/>
  <c r="AV11" i="13"/>
  <c r="AW11" i="13"/>
  <c r="AX11" i="13"/>
  <c r="AY11" i="13"/>
  <c r="AZ11" i="13"/>
  <c r="BA11" i="13"/>
  <c r="BC11" i="13"/>
  <c r="BE11" i="13"/>
  <c r="BF11" i="13"/>
  <c r="BI11" i="13"/>
  <c r="BJ11" i="13"/>
  <c r="BK11" i="13"/>
  <c r="BL11" i="13"/>
  <c r="AB12" i="13"/>
  <c r="AC12" i="13"/>
  <c r="AD12" i="13"/>
  <c r="AE12" i="13"/>
  <c r="AG12" i="13"/>
  <c r="AH12" i="13"/>
  <c r="AI12" i="13"/>
  <c r="AJ12" i="13"/>
  <c r="AK12" i="13"/>
  <c r="AL12" i="13"/>
  <c r="AM12" i="13"/>
  <c r="AN12" i="13"/>
  <c r="AO12" i="13"/>
  <c r="AP12" i="13"/>
  <c r="AQ12" i="13"/>
  <c r="AR12" i="13"/>
  <c r="AS12" i="13"/>
  <c r="AT12" i="13"/>
  <c r="AU12" i="13"/>
  <c r="AV12" i="13"/>
  <c r="AW12" i="13"/>
  <c r="AX12" i="13"/>
  <c r="AY12" i="13"/>
  <c r="AZ12" i="13"/>
  <c r="BA12" i="13"/>
  <c r="BC12" i="13"/>
  <c r="BE12" i="13"/>
  <c r="BF12" i="13"/>
  <c r="BI12" i="13"/>
  <c r="BJ12" i="13"/>
  <c r="BK12" i="13"/>
  <c r="BL12" i="13"/>
  <c r="AB13" i="13"/>
  <c r="AC13" i="13"/>
  <c r="AD13" i="13"/>
  <c r="AE13" i="13"/>
  <c r="AG13" i="13"/>
  <c r="AH13" i="13"/>
  <c r="AI13" i="13"/>
  <c r="AJ13" i="13"/>
  <c r="AK13" i="13"/>
  <c r="AL13" i="13"/>
  <c r="AM13" i="13"/>
  <c r="AN13" i="13"/>
  <c r="AO13" i="13"/>
  <c r="AP13" i="13"/>
  <c r="AQ13" i="13"/>
  <c r="AR13" i="13"/>
  <c r="AS13" i="13"/>
  <c r="AT13" i="13"/>
  <c r="AU13" i="13"/>
  <c r="AV13" i="13"/>
  <c r="AW13" i="13"/>
  <c r="AX13" i="13"/>
  <c r="AY13" i="13"/>
  <c r="AZ13" i="13"/>
  <c r="BA13" i="13"/>
  <c r="BC13" i="13"/>
  <c r="BE13" i="13"/>
  <c r="BF13" i="13"/>
  <c r="BI13" i="13"/>
  <c r="BJ13" i="13"/>
  <c r="BK13" i="13"/>
  <c r="BL13" i="13"/>
  <c r="AB14" i="13"/>
  <c r="AC14" i="13"/>
  <c r="AD14" i="13"/>
  <c r="AE14" i="13"/>
  <c r="AG14" i="13"/>
  <c r="AH14" i="13"/>
  <c r="AI14" i="13"/>
  <c r="AJ14" i="13"/>
  <c r="AK14" i="13"/>
  <c r="AL14" i="13"/>
  <c r="AM14" i="13"/>
  <c r="AN14" i="13"/>
  <c r="AO14" i="13"/>
  <c r="AP14" i="13"/>
  <c r="AQ14" i="13"/>
  <c r="AR14" i="13"/>
  <c r="AS14" i="13"/>
  <c r="AT14" i="13"/>
  <c r="AU14" i="13"/>
  <c r="AV14" i="13"/>
  <c r="AW14" i="13"/>
  <c r="AX14" i="13"/>
  <c r="AY14" i="13"/>
  <c r="AZ14" i="13"/>
  <c r="BA14" i="13"/>
  <c r="BC14" i="13"/>
  <c r="BE14" i="13"/>
  <c r="BF14" i="13"/>
  <c r="BI14" i="13"/>
  <c r="BJ14" i="13"/>
  <c r="BK14" i="13"/>
  <c r="BL14" i="13"/>
  <c r="AB15" i="13"/>
  <c r="AC15" i="13"/>
  <c r="AD15" i="13"/>
  <c r="AE15" i="13"/>
  <c r="AG15" i="13"/>
  <c r="AH15" i="13"/>
  <c r="AI15" i="13"/>
  <c r="AJ15" i="13"/>
  <c r="AK15" i="13"/>
  <c r="AL15" i="13"/>
  <c r="AM15" i="13"/>
  <c r="AN15" i="13"/>
  <c r="AO15" i="13"/>
  <c r="AP15" i="13"/>
  <c r="AQ15" i="13"/>
  <c r="AR15" i="13"/>
  <c r="AS15" i="13"/>
  <c r="AT15" i="13"/>
  <c r="AU15" i="13"/>
  <c r="AV15" i="13"/>
  <c r="AW15" i="13"/>
  <c r="AX15" i="13"/>
  <c r="AY15" i="13"/>
  <c r="AZ15" i="13"/>
  <c r="BA15" i="13"/>
  <c r="BC15" i="13"/>
  <c r="BE15" i="13"/>
  <c r="BF15" i="13"/>
  <c r="BI15" i="13"/>
  <c r="BJ15" i="13"/>
  <c r="BK15" i="13"/>
  <c r="BL15" i="13"/>
  <c r="AB16" i="13"/>
  <c r="AC16" i="13"/>
  <c r="AD16" i="13"/>
  <c r="AE16" i="13"/>
  <c r="AG16" i="13"/>
  <c r="AH16" i="13"/>
  <c r="AI16" i="13"/>
  <c r="AJ16" i="13"/>
  <c r="AK16" i="13"/>
  <c r="AL16" i="13"/>
  <c r="AM16" i="13"/>
  <c r="AN16" i="13"/>
  <c r="AO16" i="13"/>
  <c r="AP16" i="13"/>
  <c r="AQ16" i="13"/>
  <c r="AR16" i="13"/>
  <c r="AS16" i="13"/>
  <c r="AT16" i="13"/>
  <c r="AU16" i="13"/>
  <c r="AV16" i="13"/>
  <c r="AW16" i="13"/>
  <c r="AX16" i="13"/>
  <c r="AY16" i="13"/>
  <c r="AZ16" i="13"/>
  <c r="BA16" i="13"/>
  <c r="BC16" i="13"/>
  <c r="BE16" i="13"/>
  <c r="BF16" i="13"/>
  <c r="BI16" i="13"/>
  <c r="BJ16" i="13"/>
  <c r="BK16" i="13"/>
  <c r="BL16" i="13"/>
  <c r="AB17" i="13"/>
  <c r="AC17" i="13"/>
  <c r="AD17" i="13"/>
  <c r="AE17" i="13"/>
  <c r="AG17" i="13"/>
  <c r="AH17" i="13"/>
  <c r="AI17" i="13"/>
  <c r="AJ17" i="13"/>
  <c r="AK17" i="13"/>
  <c r="AL17" i="13"/>
  <c r="AM17" i="13"/>
  <c r="AN17" i="13"/>
  <c r="AO17" i="13"/>
  <c r="AP17" i="13"/>
  <c r="AQ17" i="13"/>
  <c r="AR17" i="13"/>
  <c r="AS17" i="13"/>
  <c r="AT17" i="13"/>
  <c r="AU17" i="13"/>
  <c r="AV17" i="13"/>
  <c r="AW17" i="13"/>
  <c r="AX17" i="13"/>
  <c r="AY17" i="13"/>
  <c r="AZ17" i="13"/>
  <c r="BA17" i="13"/>
  <c r="BC17" i="13"/>
  <c r="BE17" i="13"/>
  <c r="BF17" i="13"/>
  <c r="BI17" i="13"/>
  <c r="BJ17" i="13"/>
  <c r="BK17" i="13"/>
  <c r="BL17" i="13"/>
  <c r="AB18" i="13"/>
  <c r="AC18" i="13"/>
  <c r="AD18" i="13"/>
  <c r="AE18" i="13"/>
  <c r="AG18" i="13"/>
  <c r="AH18" i="13"/>
  <c r="AI18" i="13"/>
  <c r="AJ18" i="13"/>
  <c r="AK18" i="13"/>
  <c r="AL18" i="13"/>
  <c r="AM18" i="13"/>
  <c r="AN18" i="13"/>
  <c r="AO18" i="13"/>
  <c r="AP18" i="13"/>
  <c r="AQ18" i="13"/>
  <c r="AR18" i="13"/>
  <c r="AS18" i="13"/>
  <c r="AT18" i="13"/>
  <c r="AU18" i="13"/>
  <c r="AV18" i="13"/>
  <c r="AW18" i="13"/>
  <c r="AX18" i="13"/>
  <c r="AY18" i="13"/>
  <c r="AZ18" i="13"/>
  <c r="BA18" i="13"/>
  <c r="BC18" i="13"/>
  <c r="BE18" i="13"/>
  <c r="BF18" i="13"/>
  <c r="BI18" i="13"/>
  <c r="BJ18" i="13"/>
  <c r="BK18" i="13"/>
  <c r="BL18" i="13"/>
  <c r="AB19" i="13"/>
  <c r="AC19" i="13"/>
  <c r="AD19" i="13"/>
  <c r="AE19" i="13"/>
  <c r="AG19" i="13"/>
  <c r="AH19" i="13"/>
  <c r="AI19" i="13"/>
  <c r="AJ19" i="13"/>
  <c r="AK19" i="13"/>
  <c r="AL19" i="13"/>
  <c r="AM19" i="13"/>
  <c r="AN19" i="13"/>
  <c r="AO19" i="13"/>
  <c r="AP19" i="13"/>
  <c r="AQ19" i="13"/>
  <c r="AR19" i="13"/>
  <c r="AS19" i="13"/>
  <c r="AT19" i="13"/>
  <c r="AU19" i="13"/>
  <c r="AV19" i="13"/>
  <c r="AW19" i="13"/>
  <c r="AX19" i="13"/>
  <c r="AY19" i="13"/>
  <c r="AZ19" i="13"/>
  <c r="BA19" i="13"/>
  <c r="BC19" i="13"/>
  <c r="BE19" i="13"/>
  <c r="BF19" i="13"/>
  <c r="BI19" i="13"/>
  <c r="BJ19" i="13"/>
  <c r="BK19" i="13"/>
  <c r="BL19" i="13"/>
  <c r="AB20" i="13"/>
  <c r="AC20" i="13"/>
  <c r="AD20" i="13"/>
  <c r="AE20" i="13"/>
  <c r="AG20" i="13"/>
  <c r="AH20" i="13"/>
  <c r="AI20" i="13"/>
  <c r="AJ20" i="13"/>
  <c r="AK20" i="13"/>
  <c r="AL20" i="13"/>
  <c r="AM20" i="13"/>
  <c r="AN20" i="13"/>
  <c r="AO20" i="13"/>
  <c r="AP20" i="13"/>
  <c r="AQ20" i="13"/>
  <c r="AR20" i="13"/>
  <c r="AS20" i="13"/>
  <c r="AT20" i="13"/>
  <c r="AU20" i="13"/>
  <c r="AV20" i="13"/>
  <c r="AW20" i="13"/>
  <c r="AX20" i="13"/>
  <c r="AY20" i="13"/>
  <c r="AZ20" i="13"/>
  <c r="BA20" i="13"/>
  <c r="BC20" i="13"/>
  <c r="BE20" i="13"/>
  <c r="BF20" i="13"/>
  <c r="BI20" i="13"/>
  <c r="BJ20" i="13"/>
  <c r="BK20" i="13"/>
  <c r="BL20" i="13"/>
  <c r="AB21" i="13"/>
  <c r="AC21" i="13"/>
  <c r="AD21" i="13"/>
  <c r="AE21" i="13"/>
  <c r="AG21" i="13"/>
  <c r="AH21" i="13"/>
  <c r="AI21" i="13"/>
  <c r="AJ21" i="13"/>
  <c r="AK21" i="13"/>
  <c r="AL21" i="13"/>
  <c r="AM21" i="13"/>
  <c r="AN21" i="13"/>
  <c r="AO21" i="13"/>
  <c r="AP21" i="13"/>
  <c r="AQ21" i="13"/>
  <c r="AR21" i="13"/>
  <c r="AS21" i="13"/>
  <c r="AT21" i="13"/>
  <c r="AU21" i="13"/>
  <c r="AV21" i="13"/>
  <c r="AW21" i="13"/>
  <c r="AX21" i="13"/>
  <c r="AY21" i="13"/>
  <c r="AZ21" i="13"/>
  <c r="BA21" i="13"/>
  <c r="BC21" i="13"/>
  <c r="BE21" i="13"/>
  <c r="BF21" i="13"/>
  <c r="BI21" i="13"/>
  <c r="BJ21" i="13"/>
  <c r="BK21" i="13"/>
  <c r="BL21" i="13"/>
  <c r="AB22" i="13"/>
  <c r="AC22" i="13"/>
  <c r="AD22" i="13"/>
  <c r="AE22" i="13"/>
  <c r="AG22" i="13"/>
  <c r="AH22" i="13"/>
  <c r="AI22" i="13"/>
  <c r="AJ22" i="13"/>
  <c r="AK22" i="13"/>
  <c r="AL22" i="13"/>
  <c r="AM22" i="13"/>
  <c r="AN22" i="13"/>
  <c r="AO22" i="13"/>
  <c r="AP22" i="13"/>
  <c r="AQ22" i="13"/>
  <c r="AR22" i="13"/>
  <c r="AS22" i="13"/>
  <c r="AT22" i="13"/>
  <c r="AU22" i="13"/>
  <c r="AV22" i="13"/>
  <c r="AW22" i="13"/>
  <c r="AX22" i="13"/>
  <c r="AY22" i="13"/>
  <c r="AZ22" i="13"/>
  <c r="BA22" i="13"/>
  <c r="BC22" i="13"/>
  <c r="BE22" i="13"/>
  <c r="BF22" i="13"/>
  <c r="BI22" i="13"/>
  <c r="BJ22" i="13"/>
  <c r="BK22" i="13"/>
  <c r="BL22" i="13"/>
  <c r="AB23" i="13"/>
  <c r="AC23" i="13"/>
  <c r="AD23" i="13"/>
  <c r="AE23" i="13"/>
  <c r="AG23" i="13"/>
  <c r="AH23" i="13"/>
  <c r="AI23" i="13"/>
  <c r="AJ23" i="13"/>
  <c r="AK23" i="13"/>
  <c r="AL23" i="13"/>
  <c r="AM23" i="13"/>
  <c r="AN23" i="13"/>
  <c r="AO23" i="13"/>
  <c r="AP23" i="13"/>
  <c r="AQ23" i="13"/>
  <c r="AR23" i="13"/>
  <c r="AS23" i="13"/>
  <c r="AT23" i="13"/>
  <c r="AU23" i="13"/>
  <c r="AV23" i="13"/>
  <c r="AW23" i="13"/>
  <c r="AX23" i="13"/>
  <c r="AY23" i="13"/>
  <c r="AZ23" i="13"/>
  <c r="BA23" i="13"/>
  <c r="BC23" i="13"/>
  <c r="BE23" i="13"/>
  <c r="BF23" i="13"/>
  <c r="BI23" i="13"/>
  <c r="BJ23" i="13"/>
  <c r="BK23" i="13"/>
  <c r="BL23" i="13"/>
  <c r="AB24" i="13"/>
  <c r="AC24" i="13"/>
  <c r="AD24" i="13"/>
  <c r="AE24" i="13"/>
  <c r="AG24" i="13"/>
  <c r="AH24" i="13"/>
  <c r="AI24" i="13"/>
  <c r="AJ24" i="13"/>
  <c r="AK24" i="13"/>
  <c r="AL24" i="13"/>
  <c r="AM24" i="13"/>
  <c r="AN24" i="13"/>
  <c r="AO24" i="13"/>
  <c r="AP24" i="13"/>
  <c r="AQ24" i="13"/>
  <c r="AR24" i="13"/>
  <c r="AS24" i="13"/>
  <c r="AT24" i="13"/>
  <c r="AU24" i="13"/>
  <c r="AV24" i="13"/>
  <c r="AW24" i="13"/>
  <c r="AX24" i="13"/>
  <c r="AY24" i="13"/>
  <c r="AZ24" i="13"/>
  <c r="BA24" i="13"/>
  <c r="BC24" i="13"/>
  <c r="BE24" i="13"/>
  <c r="BF24" i="13"/>
  <c r="BI24" i="13"/>
  <c r="BJ24" i="13"/>
  <c r="BK24" i="13"/>
  <c r="BL24" i="13"/>
  <c r="AB25" i="13"/>
  <c r="AC25" i="13"/>
  <c r="AD25" i="13"/>
  <c r="AE25" i="13"/>
  <c r="AG25" i="13"/>
  <c r="AH25" i="13"/>
  <c r="AI25" i="13"/>
  <c r="AJ25" i="13"/>
  <c r="AK25" i="13"/>
  <c r="AL25" i="13"/>
  <c r="AM25" i="13"/>
  <c r="AN25" i="13"/>
  <c r="AO25" i="13"/>
  <c r="AP25" i="13"/>
  <c r="AQ25" i="13"/>
  <c r="AR25" i="13"/>
  <c r="AS25" i="13"/>
  <c r="AT25" i="13"/>
  <c r="AU25" i="13"/>
  <c r="AV25" i="13"/>
  <c r="AW25" i="13"/>
  <c r="AX25" i="13"/>
  <c r="AY25" i="13"/>
  <c r="AZ25" i="13"/>
  <c r="BA25" i="13"/>
  <c r="BC25" i="13"/>
  <c r="BE25" i="13"/>
  <c r="BF25" i="13"/>
  <c r="BI25" i="13"/>
  <c r="BJ25" i="13"/>
  <c r="BK25" i="13"/>
  <c r="BL25" i="13"/>
  <c r="AB26" i="13"/>
  <c r="AC26" i="13"/>
  <c r="AD26" i="13"/>
  <c r="AE26" i="13"/>
  <c r="AG26" i="13"/>
  <c r="AH26" i="13"/>
  <c r="AI26" i="13"/>
  <c r="AJ26" i="13"/>
  <c r="AK26" i="13"/>
  <c r="AL26" i="13"/>
  <c r="AM26" i="13"/>
  <c r="AN26" i="13"/>
  <c r="AO26" i="13"/>
  <c r="AP26" i="13"/>
  <c r="AQ26" i="13"/>
  <c r="AR26" i="13"/>
  <c r="AS26" i="13"/>
  <c r="AT26" i="13"/>
  <c r="AU26" i="13"/>
  <c r="AV26" i="13"/>
  <c r="AW26" i="13"/>
  <c r="AX26" i="13"/>
  <c r="AY26" i="13"/>
  <c r="AZ26" i="13"/>
  <c r="BA26" i="13"/>
  <c r="BC26" i="13"/>
  <c r="BE26" i="13"/>
  <c r="BF26" i="13"/>
  <c r="BI26" i="13"/>
  <c r="BJ26" i="13"/>
  <c r="BK26" i="13"/>
  <c r="BL26" i="13"/>
  <c r="AB27" i="13"/>
  <c r="AC27" i="13"/>
  <c r="AD27" i="13"/>
  <c r="AE27" i="13"/>
  <c r="AG27" i="13"/>
  <c r="AH27" i="13"/>
  <c r="AI27" i="13"/>
  <c r="AJ27" i="13"/>
  <c r="AK27" i="13"/>
  <c r="AL27" i="13"/>
  <c r="AM27" i="13"/>
  <c r="AN27" i="13"/>
  <c r="AO27" i="13"/>
  <c r="AP27" i="13"/>
  <c r="AQ27" i="13"/>
  <c r="AR27" i="13"/>
  <c r="AS27" i="13"/>
  <c r="AT27" i="13"/>
  <c r="AU27" i="13"/>
  <c r="AV27" i="13"/>
  <c r="AW27" i="13"/>
  <c r="AX27" i="13"/>
  <c r="AY27" i="13"/>
  <c r="AZ27" i="13"/>
  <c r="BA27" i="13"/>
  <c r="BC27" i="13"/>
  <c r="BE27" i="13"/>
  <c r="BF27" i="13"/>
  <c r="BI27" i="13"/>
  <c r="BJ27" i="13"/>
  <c r="BK27" i="13"/>
  <c r="BL27" i="13"/>
  <c r="AB28" i="13"/>
  <c r="AC28" i="13"/>
  <c r="AD28" i="13"/>
  <c r="AE28" i="13"/>
  <c r="AG28" i="13"/>
  <c r="AH28" i="13"/>
  <c r="AI28" i="13"/>
  <c r="AJ28" i="13"/>
  <c r="AK28" i="13"/>
  <c r="AL28" i="13"/>
  <c r="AM28" i="13"/>
  <c r="AN28" i="13"/>
  <c r="AO28" i="13"/>
  <c r="AP28" i="13"/>
  <c r="AQ28" i="13"/>
  <c r="AR28" i="13"/>
  <c r="AS28" i="13"/>
  <c r="AT28" i="13"/>
  <c r="AU28" i="13"/>
  <c r="AV28" i="13"/>
  <c r="AW28" i="13"/>
  <c r="AX28" i="13"/>
  <c r="AY28" i="13"/>
  <c r="AZ28" i="13"/>
  <c r="BA28" i="13"/>
  <c r="BC28" i="13"/>
  <c r="BE28" i="13"/>
  <c r="BF28" i="13"/>
  <c r="BI28" i="13"/>
  <c r="BJ28" i="13"/>
  <c r="BK28" i="13"/>
  <c r="BL28" i="13"/>
  <c r="AB29" i="13"/>
  <c r="AC29" i="13"/>
  <c r="AD29" i="13"/>
  <c r="AE29" i="13"/>
  <c r="AG29" i="13"/>
  <c r="AH29" i="13"/>
  <c r="AI29" i="13"/>
  <c r="AJ29" i="13"/>
  <c r="AK29" i="13"/>
  <c r="AL29" i="13"/>
  <c r="AM29" i="13"/>
  <c r="AN29" i="13"/>
  <c r="AO29" i="13"/>
  <c r="AP29" i="13"/>
  <c r="AQ29" i="13"/>
  <c r="AR29" i="13"/>
  <c r="AS29" i="13"/>
  <c r="AT29" i="13"/>
  <c r="AU29" i="13"/>
  <c r="AV29" i="13"/>
  <c r="AW29" i="13"/>
  <c r="AX29" i="13"/>
  <c r="AY29" i="13"/>
  <c r="AZ29" i="13"/>
  <c r="BA29" i="13"/>
  <c r="BC29" i="13"/>
  <c r="BE29" i="13"/>
  <c r="BF29" i="13"/>
  <c r="BI29" i="13"/>
  <c r="BJ29" i="13"/>
  <c r="BK29" i="13"/>
  <c r="BL29" i="13"/>
  <c r="AB30" i="13"/>
  <c r="AC30" i="13"/>
  <c r="AD30" i="13"/>
  <c r="AE30" i="13"/>
  <c r="AG30" i="13"/>
  <c r="AH30" i="13"/>
  <c r="AI30" i="13"/>
  <c r="AJ30" i="13"/>
  <c r="AK30" i="13"/>
  <c r="AL30" i="13"/>
  <c r="AM30" i="13"/>
  <c r="AN30" i="13"/>
  <c r="AO30" i="13"/>
  <c r="AP30" i="13"/>
  <c r="AQ30" i="13"/>
  <c r="AR30" i="13"/>
  <c r="AS30" i="13"/>
  <c r="AT30" i="13"/>
  <c r="AU30" i="13"/>
  <c r="AV30" i="13"/>
  <c r="AW30" i="13"/>
  <c r="AX30" i="13"/>
  <c r="AY30" i="13"/>
  <c r="AZ30" i="13"/>
  <c r="BA30" i="13"/>
  <c r="BC30" i="13"/>
  <c r="BE30" i="13"/>
  <c r="BF30" i="13"/>
  <c r="BI30" i="13"/>
  <c r="BJ30" i="13"/>
  <c r="BK30" i="13"/>
  <c r="BL30" i="13"/>
  <c r="AB31" i="13"/>
  <c r="AC31" i="13"/>
  <c r="AD31" i="13"/>
  <c r="AE31" i="13"/>
  <c r="AG31" i="13"/>
  <c r="AH31" i="13"/>
  <c r="AI31" i="13"/>
  <c r="AJ31" i="13"/>
  <c r="AK31" i="13"/>
  <c r="AL31" i="13"/>
  <c r="AM31" i="13"/>
  <c r="AN31" i="13"/>
  <c r="AO31" i="13"/>
  <c r="AP31" i="13"/>
  <c r="AQ31" i="13"/>
  <c r="AR31" i="13"/>
  <c r="AS31" i="13"/>
  <c r="AT31" i="13"/>
  <c r="AU31" i="13"/>
  <c r="AV31" i="13"/>
  <c r="AW31" i="13"/>
  <c r="AX31" i="13"/>
  <c r="AY31" i="13"/>
  <c r="AZ31" i="13"/>
  <c r="BA31" i="13"/>
  <c r="BC31" i="13"/>
  <c r="BE31" i="13"/>
  <c r="BF31" i="13"/>
  <c r="BI31" i="13"/>
  <c r="BJ31" i="13"/>
  <c r="BK31" i="13"/>
  <c r="BL31" i="13"/>
  <c r="AB32" i="13"/>
  <c r="AC32" i="13"/>
  <c r="AD32" i="13"/>
  <c r="AE32" i="13"/>
  <c r="AG32" i="13"/>
  <c r="AH32" i="13"/>
  <c r="AI32" i="13"/>
  <c r="AJ32" i="13"/>
  <c r="AK32" i="13"/>
  <c r="AL32" i="13"/>
  <c r="AM32" i="13"/>
  <c r="AN32" i="13"/>
  <c r="AO32" i="13"/>
  <c r="AP32" i="13"/>
  <c r="AQ32" i="13"/>
  <c r="AR32" i="13"/>
  <c r="AS32" i="13"/>
  <c r="AT32" i="13"/>
  <c r="AU32" i="13"/>
  <c r="AV32" i="13"/>
  <c r="AW32" i="13"/>
  <c r="AX32" i="13"/>
  <c r="AY32" i="13"/>
  <c r="AZ32" i="13"/>
  <c r="BA32" i="13"/>
  <c r="BC32" i="13"/>
  <c r="BE32" i="13"/>
  <c r="BF32" i="13"/>
  <c r="BI32" i="13"/>
  <c r="BJ32" i="13"/>
  <c r="BK32" i="13"/>
  <c r="BL32" i="13"/>
  <c r="AB33" i="13"/>
  <c r="AC33" i="13"/>
  <c r="AD33" i="13"/>
  <c r="AE33" i="13"/>
  <c r="AG33" i="13"/>
  <c r="AH33" i="13"/>
  <c r="AI33" i="13"/>
  <c r="AJ33" i="13"/>
  <c r="AK33" i="13"/>
  <c r="AL33" i="13"/>
  <c r="AM33" i="13"/>
  <c r="AN33" i="13"/>
  <c r="AO33" i="13"/>
  <c r="AP33" i="13"/>
  <c r="AQ33" i="13"/>
  <c r="AR33" i="13"/>
  <c r="AS33" i="13"/>
  <c r="AT33" i="13"/>
  <c r="AU33" i="13"/>
  <c r="AV33" i="13"/>
  <c r="AW33" i="13"/>
  <c r="AX33" i="13"/>
  <c r="AY33" i="13"/>
  <c r="AZ33" i="13"/>
  <c r="BA33" i="13"/>
  <c r="BC33" i="13"/>
  <c r="BE33" i="13"/>
  <c r="BF33" i="13"/>
  <c r="BI33" i="13"/>
  <c r="BJ33" i="13"/>
  <c r="BK33" i="13"/>
  <c r="BL33" i="13"/>
  <c r="AB34" i="13"/>
  <c r="AC34" i="13"/>
  <c r="AD34" i="13"/>
  <c r="AE34" i="13"/>
  <c r="AG34" i="13"/>
  <c r="AH34" i="13"/>
  <c r="AI34" i="13"/>
  <c r="AJ34" i="13"/>
  <c r="AK34" i="13"/>
  <c r="AL34" i="13"/>
  <c r="AM34" i="13"/>
  <c r="AN34" i="13"/>
  <c r="AO34" i="13"/>
  <c r="AP34" i="13"/>
  <c r="AQ34" i="13"/>
  <c r="AR34" i="13"/>
  <c r="AS34" i="13"/>
  <c r="AT34" i="13"/>
  <c r="AU34" i="13"/>
  <c r="AV34" i="13"/>
  <c r="AW34" i="13"/>
  <c r="AX34" i="13"/>
  <c r="AY34" i="13"/>
  <c r="AZ34" i="13"/>
  <c r="BA34" i="13"/>
  <c r="BC34" i="13"/>
  <c r="BE34" i="13"/>
  <c r="BF34" i="13"/>
  <c r="BI34" i="13"/>
  <c r="BJ34" i="13"/>
  <c r="BK34" i="13"/>
  <c r="BL34" i="13"/>
  <c r="AB35" i="13"/>
  <c r="AC35" i="13"/>
  <c r="AD35" i="13"/>
  <c r="AE35" i="13"/>
  <c r="AG35" i="13"/>
  <c r="AH35" i="13"/>
  <c r="AI35" i="13"/>
  <c r="AJ35" i="13"/>
  <c r="AK35" i="13"/>
  <c r="AL35" i="13"/>
  <c r="AM35" i="13"/>
  <c r="AN35" i="13"/>
  <c r="AO35" i="13"/>
  <c r="AP35" i="13"/>
  <c r="AQ35" i="13"/>
  <c r="AR35" i="13"/>
  <c r="AS35" i="13"/>
  <c r="AT35" i="13"/>
  <c r="AU35" i="13"/>
  <c r="AV35" i="13"/>
  <c r="AW35" i="13"/>
  <c r="AX35" i="13"/>
  <c r="AY35" i="13"/>
  <c r="AZ35" i="13"/>
  <c r="BA35" i="13"/>
  <c r="BC35" i="13"/>
  <c r="BE35" i="13"/>
  <c r="BF35" i="13"/>
  <c r="BI35" i="13"/>
  <c r="BJ35" i="13"/>
  <c r="BK35" i="13"/>
  <c r="BL35" i="13"/>
  <c r="AB36" i="13"/>
  <c r="AC36" i="13"/>
  <c r="AD36" i="13"/>
  <c r="AE36" i="13"/>
  <c r="AG36" i="13"/>
  <c r="AH36" i="13"/>
  <c r="AI36" i="13"/>
  <c r="AJ36" i="13"/>
  <c r="AK36" i="13"/>
  <c r="AL36" i="13"/>
  <c r="AM36" i="13"/>
  <c r="AN36" i="13"/>
  <c r="AO36" i="13"/>
  <c r="AP36" i="13"/>
  <c r="AQ36" i="13"/>
  <c r="AR36" i="13"/>
  <c r="AS36" i="13"/>
  <c r="AT36" i="13"/>
  <c r="AU36" i="13"/>
  <c r="AV36" i="13"/>
  <c r="AW36" i="13"/>
  <c r="AX36" i="13"/>
  <c r="AY36" i="13"/>
  <c r="AZ36" i="13"/>
  <c r="BA36" i="13"/>
  <c r="BC36" i="13"/>
  <c r="BE36" i="13"/>
  <c r="BF36" i="13"/>
  <c r="BI36" i="13"/>
  <c r="BJ36" i="13"/>
  <c r="BK36" i="13"/>
  <c r="BL36" i="13"/>
  <c r="AB37" i="13"/>
  <c r="AC37" i="13"/>
  <c r="AD37" i="13"/>
  <c r="AE37" i="13"/>
  <c r="AG37" i="13"/>
  <c r="AH37" i="13"/>
  <c r="AI37" i="13"/>
  <c r="AJ37" i="13"/>
  <c r="AK37" i="13"/>
  <c r="AL37" i="13"/>
  <c r="AM37" i="13"/>
  <c r="AN37" i="13"/>
  <c r="AO37" i="13"/>
  <c r="AP37" i="13"/>
  <c r="AQ37" i="13"/>
  <c r="AR37" i="13"/>
  <c r="AS37" i="13"/>
  <c r="AT37" i="13"/>
  <c r="AU37" i="13"/>
  <c r="AV37" i="13"/>
  <c r="AW37" i="13"/>
  <c r="AX37" i="13"/>
  <c r="AY37" i="13"/>
  <c r="AZ37" i="13"/>
  <c r="BA37" i="13"/>
  <c r="BC37" i="13"/>
  <c r="BE37" i="13"/>
  <c r="BF37" i="13"/>
  <c r="BI37" i="13"/>
  <c r="BJ37" i="13"/>
  <c r="BK37" i="13"/>
  <c r="BL37" i="13"/>
  <c r="AB38" i="13"/>
  <c r="AC38" i="13"/>
  <c r="AD38" i="13"/>
  <c r="AE38" i="13"/>
  <c r="AG38" i="13"/>
  <c r="AH38" i="13"/>
  <c r="AI38" i="13"/>
  <c r="AJ38" i="13"/>
  <c r="AK38" i="13"/>
  <c r="AL38" i="13"/>
  <c r="AM38" i="13"/>
  <c r="AN38" i="13"/>
  <c r="AO38" i="13"/>
  <c r="AP38" i="13"/>
  <c r="AQ38" i="13"/>
  <c r="AR38" i="13"/>
  <c r="AS38" i="13"/>
  <c r="AT38" i="13"/>
  <c r="AU38" i="13"/>
  <c r="AV38" i="13"/>
  <c r="AW38" i="13"/>
  <c r="AX38" i="13"/>
  <c r="AY38" i="13"/>
  <c r="AZ38" i="13"/>
  <c r="BA38" i="13"/>
  <c r="BC38" i="13"/>
  <c r="BE38" i="13"/>
  <c r="BF38" i="13"/>
  <c r="BI38" i="13"/>
  <c r="BJ38" i="13"/>
  <c r="BK38" i="13"/>
  <c r="BL38" i="13"/>
  <c r="AB39" i="13"/>
  <c r="AC39" i="13"/>
  <c r="AD39" i="13"/>
  <c r="AE39" i="13"/>
  <c r="AG39" i="13"/>
  <c r="AH39" i="13"/>
  <c r="AI39" i="13"/>
  <c r="AJ39" i="13"/>
  <c r="AK39" i="13"/>
  <c r="AL39" i="13"/>
  <c r="AM39" i="13"/>
  <c r="AN39" i="13"/>
  <c r="AO39" i="13"/>
  <c r="AP39" i="13"/>
  <c r="AQ39" i="13"/>
  <c r="AR39" i="13"/>
  <c r="AS39" i="13"/>
  <c r="AT39" i="13"/>
  <c r="AU39" i="13"/>
  <c r="AV39" i="13"/>
  <c r="AW39" i="13"/>
  <c r="AX39" i="13"/>
  <c r="AY39" i="13"/>
  <c r="AZ39" i="13"/>
  <c r="BA39" i="13"/>
  <c r="BC39" i="13"/>
  <c r="BE39" i="13"/>
  <c r="BF39" i="13"/>
  <c r="BI39" i="13"/>
  <c r="BJ39" i="13"/>
  <c r="BK39" i="13"/>
  <c r="BL39" i="13"/>
  <c r="AB40" i="13"/>
  <c r="AC40" i="13"/>
  <c r="AD40" i="13"/>
  <c r="AE40" i="13"/>
  <c r="AG40" i="13"/>
  <c r="AH40" i="13"/>
  <c r="AI40" i="13"/>
  <c r="AJ40" i="13"/>
  <c r="AK40" i="13"/>
  <c r="AL40" i="13"/>
  <c r="AM40" i="13"/>
  <c r="AN40" i="13"/>
  <c r="AO40" i="13"/>
  <c r="AP40" i="13"/>
  <c r="AQ40" i="13"/>
  <c r="AR40" i="13"/>
  <c r="AS40" i="13"/>
  <c r="AT40" i="13"/>
  <c r="AU40" i="13"/>
  <c r="AV40" i="13"/>
  <c r="AW40" i="13"/>
  <c r="AX40" i="13"/>
  <c r="AY40" i="13"/>
  <c r="AZ40" i="13"/>
  <c r="BA40" i="13"/>
  <c r="BC40" i="13"/>
  <c r="BE40" i="13"/>
  <c r="BF40" i="13"/>
  <c r="BI40" i="13"/>
  <c r="BJ40" i="13"/>
  <c r="BK40" i="13"/>
  <c r="BL40" i="13"/>
  <c r="AB41" i="13"/>
  <c r="AC41" i="13"/>
  <c r="AD41" i="13"/>
  <c r="AE41" i="13"/>
  <c r="AG41" i="13"/>
  <c r="AH41" i="13"/>
  <c r="AI41" i="13"/>
  <c r="AJ41" i="13"/>
  <c r="AK41" i="13"/>
  <c r="AL41" i="13"/>
  <c r="AM41" i="13"/>
  <c r="AN41" i="13"/>
  <c r="AO41" i="13"/>
  <c r="AP41" i="13"/>
  <c r="AQ41" i="13"/>
  <c r="AR41" i="13"/>
  <c r="AS41" i="13"/>
  <c r="AT41" i="13"/>
  <c r="AU41" i="13"/>
  <c r="AV41" i="13"/>
  <c r="AW41" i="13"/>
  <c r="AX41" i="13"/>
  <c r="AY41" i="13"/>
  <c r="AZ41" i="13"/>
  <c r="BA41" i="13"/>
  <c r="BC41" i="13"/>
  <c r="BE41" i="13"/>
  <c r="BF41" i="13"/>
  <c r="BI41" i="13"/>
  <c r="BJ41" i="13"/>
  <c r="BK41" i="13"/>
  <c r="BL41" i="13"/>
  <c r="AB42" i="13"/>
  <c r="AC42" i="13"/>
  <c r="AD42" i="13"/>
  <c r="AE42" i="13"/>
  <c r="AG42" i="13"/>
  <c r="AH42" i="13"/>
  <c r="AI42" i="13"/>
  <c r="AJ42" i="13"/>
  <c r="AK42" i="13"/>
  <c r="AL42" i="13"/>
  <c r="AM42" i="13"/>
  <c r="AN42" i="13"/>
  <c r="AO42" i="13"/>
  <c r="AP42" i="13"/>
  <c r="AQ42" i="13"/>
  <c r="AR42" i="13"/>
  <c r="AS42" i="13"/>
  <c r="AT42" i="13"/>
  <c r="AU42" i="13"/>
  <c r="AV42" i="13"/>
  <c r="AW42" i="13"/>
  <c r="AX42" i="13"/>
  <c r="AY42" i="13"/>
  <c r="AZ42" i="13"/>
  <c r="BA42" i="13"/>
  <c r="BC42" i="13"/>
  <c r="BE42" i="13"/>
  <c r="BF42" i="13"/>
  <c r="BI42" i="13"/>
  <c r="BJ42" i="13"/>
  <c r="BK42" i="13"/>
  <c r="BL42" i="13"/>
  <c r="AB43" i="13"/>
  <c r="AC43" i="13"/>
  <c r="AD43" i="13"/>
  <c r="AE43" i="13"/>
  <c r="AG43" i="13"/>
  <c r="AH43" i="13"/>
  <c r="AI43" i="13"/>
  <c r="AJ43" i="13"/>
  <c r="AK43" i="13"/>
  <c r="AL43" i="13"/>
  <c r="AM43" i="13"/>
  <c r="AN43" i="13"/>
  <c r="AO43" i="13"/>
  <c r="AP43" i="13"/>
  <c r="AQ43" i="13"/>
  <c r="AR43" i="13"/>
  <c r="AS43" i="13"/>
  <c r="AT43" i="13"/>
  <c r="AU43" i="13"/>
  <c r="AV43" i="13"/>
  <c r="AW43" i="13"/>
  <c r="AX43" i="13"/>
  <c r="AY43" i="13"/>
  <c r="AZ43" i="13"/>
  <c r="BA43" i="13"/>
  <c r="BC43" i="13"/>
  <c r="BE43" i="13"/>
  <c r="BF43" i="13"/>
  <c r="BI43" i="13"/>
  <c r="BJ43" i="13"/>
  <c r="BK43" i="13"/>
  <c r="BL43" i="13"/>
  <c r="AB44" i="13"/>
  <c r="AC44" i="13"/>
  <c r="AD44" i="13"/>
  <c r="AE44" i="13"/>
  <c r="AG44" i="13"/>
  <c r="AH44" i="13"/>
  <c r="AI44" i="13"/>
  <c r="AJ44" i="13"/>
  <c r="AK44" i="13"/>
  <c r="AL44" i="13"/>
  <c r="AM44" i="13"/>
  <c r="AN44" i="13"/>
  <c r="AO44" i="13"/>
  <c r="AP44" i="13"/>
  <c r="AQ44" i="13"/>
  <c r="AR44" i="13"/>
  <c r="AS44" i="13"/>
  <c r="AT44" i="13"/>
  <c r="AU44" i="13"/>
  <c r="AV44" i="13"/>
  <c r="AW44" i="13"/>
  <c r="AX44" i="13"/>
  <c r="AY44" i="13"/>
  <c r="AZ44" i="13"/>
  <c r="BA44" i="13"/>
  <c r="BC44" i="13"/>
  <c r="BE44" i="13"/>
  <c r="BF44" i="13"/>
  <c r="BI44" i="13"/>
  <c r="BJ44" i="13"/>
  <c r="BK44" i="13"/>
  <c r="BL44" i="13"/>
  <c r="AB45" i="13"/>
  <c r="AC45" i="13"/>
  <c r="AD45" i="13"/>
  <c r="AE45" i="13"/>
  <c r="AG45" i="13"/>
  <c r="AH45" i="13"/>
  <c r="AI45" i="13"/>
  <c r="AJ45" i="13"/>
  <c r="AK45" i="13"/>
  <c r="AL45" i="13"/>
  <c r="AM45" i="13"/>
  <c r="AN45" i="13"/>
  <c r="AO45" i="13"/>
  <c r="AP45" i="13"/>
  <c r="AQ45" i="13"/>
  <c r="AR45" i="13"/>
  <c r="AS45" i="13"/>
  <c r="AT45" i="13"/>
  <c r="AU45" i="13"/>
  <c r="AV45" i="13"/>
  <c r="AW45" i="13"/>
  <c r="AX45" i="13"/>
  <c r="AY45" i="13"/>
  <c r="AZ45" i="13"/>
  <c r="BA45" i="13"/>
  <c r="BC45" i="13"/>
  <c r="BE45" i="13"/>
  <c r="BF45" i="13"/>
  <c r="BI45" i="13"/>
  <c r="BJ45" i="13"/>
  <c r="BK45" i="13"/>
  <c r="BL45" i="13"/>
  <c r="AB46" i="13"/>
  <c r="AC46" i="13"/>
  <c r="AD46" i="13"/>
  <c r="AE46" i="13"/>
  <c r="AG46" i="13"/>
  <c r="AH46" i="13"/>
  <c r="AI46" i="13"/>
  <c r="AJ46" i="13"/>
  <c r="AK46" i="13"/>
  <c r="AL46" i="13"/>
  <c r="AM46" i="13"/>
  <c r="AN46" i="13"/>
  <c r="AO46" i="13"/>
  <c r="AP46" i="13"/>
  <c r="AQ46" i="13"/>
  <c r="AR46" i="13"/>
  <c r="AS46" i="13"/>
  <c r="AT46" i="13"/>
  <c r="AU46" i="13"/>
  <c r="AV46" i="13"/>
  <c r="AW46" i="13"/>
  <c r="AX46" i="13"/>
  <c r="AY46" i="13"/>
  <c r="AZ46" i="13"/>
  <c r="BA46" i="13"/>
  <c r="BC46" i="13"/>
  <c r="BE46" i="13"/>
  <c r="BF46" i="13"/>
  <c r="BI46" i="13"/>
  <c r="BJ46" i="13"/>
  <c r="BK46" i="13"/>
  <c r="BL46" i="13"/>
  <c r="AB47" i="13"/>
  <c r="AC47" i="13"/>
  <c r="AD47" i="13"/>
  <c r="AE47" i="13"/>
  <c r="AG47" i="13"/>
  <c r="AH47" i="13"/>
  <c r="AI47" i="13"/>
  <c r="AJ47" i="13"/>
  <c r="AK47" i="13"/>
  <c r="AL47" i="13"/>
  <c r="AM47" i="13"/>
  <c r="AN47" i="13"/>
  <c r="AO47" i="13"/>
  <c r="AP47" i="13"/>
  <c r="AQ47" i="13"/>
  <c r="AR47" i="13"/>
  <c r="AS47" i="13"/>
  <c r="AT47" i="13"/>
  <c r="AU47" i="13"/>
  <c r="AV47" i="13"/>
  <c r="AW47" i="13"/>
  <c r="AX47" i="13"/>
  <c r="AY47" i="13"/>
  <c r="AZ47" i="13"/>
  <c r="BA47" i="13"/>
  <c r="BC47" i="13"/>
  <c r="BE47" i="13"/>
  <c r="BF47" i="13"/>
  <c r="BI47" i="13"/>
  <c r="BJ47" i="13"/>
  <c r="BK47" i="13"/>
  <c r="BL47" i="13"/>
  <c r="AB48" i="13"/>
  <c r="AC48" i="13"/>
  <c r="AD48" i="13"/>
  <c r="AE48" i="13"/>
  <c r="AG48" i="13"/>
  <c r="AH48" i="13"/>
  <c r="AI48" i="13"/>
  <c r="AJ48" i="13"/>
  <c r="AK48" i="13"/>
  <c r="AL48" i="13"/>
  <c r="AM48" i="13"/>
  <c r="AN48" i="13"/>
  <c r="AO48" i="13"/>
  <c r="AP48" i="13"/>
  <c r="AQ48" i="13"/>
  <c r="AR48" i="13"/>
  <c r="AS48" i="13"/>
  <c r="AT48" i="13"/>
  <c r="AU48" i="13"/>
  <c r="AV48" i="13"/>
  <c r="AW48" i="13"/>
  <c r="AX48" i="13"/>
  <c r="AY48" i="13"/>
  <c r="AZ48" i="13"/>
  <c r="BA48" i="13"/>
  <c r="BC48" i="13"/>
  <c r="BE48" i="13"/>
  <c r="BF48" i="13"/>
  <c r="BI48" i="13"/>
  <c r="BJ48" i="13"/>
  <c r="BK48" i="13"/>
  <c r="BL48" i="13"/>
  <c r="AB49" i="13"/>
  <c r="AC49" i="13"/>
  <c r="AD49" i="13"/>
  <c r="AE49" i="13"/>
  <c r="AG49" i="13"/>
  <c r="AH49" i="13"/>
  <c r="AI49" i="13"/>
  <c r="AJ49" i="13"/>
  <c r="AK49" i="13"/>
  <c r="AL49" i="13"/>
  <c r="AM49" i="13"/>
  <c r="AN49" i="13"/>
  <c r="AO49" i="13"/>
  <c r="AP49" i="13"/>
  <c r="AQ49" i="13"/>
  <c r="AR49" i="13"/>
  <c r="AS49" i="13"/>
  <c r="AT49" i="13"/>
  <c r="AU49" i="13"/>
  <c r="AV49" i="13"/>
  <c r="AW49" i="13"/>
  <c r="AX49" i="13"/>
  <c r="AY49" i="13"/>
  <c r="AZ49" i="13"/>
  <c r="BA49" i="13"/>
  <c r="BC49" i="13"/>
  <c r="BE49" i="13"/>
  <c r="BF49" i="13"/>
  <c r="BI49" i="13"/>
  <c r="BJ49" i="13"/>
  <c r="BK49" i="13"/>
  <c r="BL49" i="13"/>
  <c r="AB50" i="13"/>
  <c r="AC50" i="13"/>
  <c r="AD50" i="13"/>
  <c r="AE50" i="13"/>
  <c r="AG50" i="13"/>
  <c r="AH50" i="13"/>
  <c r="AI50" i="13"/>
  <c r="AJ50" i="13"/>
  <c r="AK50" i="13"/>
  <c r="AL50" i="13"/>
  <c r="AM50" i="13"/>
  <c r="AN50" i="13"/>
  <c r="AO50" i="13"/>
  <c r="AP50" i="13"/>
  <c r="AQ50" i="13"/>
  <c r="AR50" i="13"/>
  <c r="AS50" i="13"/>
  <c r="AT50" i="13"/>
  <c r="AU50" i="13"/>
  <c r="AV50" i="13"/>
  <c r="AW50" i="13"/>
  <c r="AX50" i="13"/>
  <c r="AY50" i="13"/>
  <c r="AZ50" i="13"/>
  <c r="BA50" i="13"/>
  <c r="BC50" i="13"/>
  <c r="BE50" i="13"/>
  <c r="BF50" i="13"/>
  <c r="BI50" i="13"/>
  <c r="BJ50" i="13"/>
  <c r="BK50" i="13"/>
  <c r="BL50" i="13"/>
  <c r="AB51" i="13"/>
  <c r="AC51" i="13"/>
  <c r="AD51" i="13"/>
  <c r="AE51" i="13"/>
  <c r="AG51" i="13"/>
  <c r="AH51" i="13"/>
  <c r="AI51" i="13"/>
  <c r="AJ51" i="13"/>
  <c r="AK51" i="13"/>
  <c r="AL51" i="13"/>
  <c r="AM51" i="13"/>
  <c r="AN51" i="13"/>
  <c r="AO51" i="13"/>
  <c r="AP51" i="13"/>
  <c r="AQ51" i="13"/>
  <c r="AR51" i="13"/>
  <c r="AS51" i="13"/>
  <c r="AT51" i="13"/>
  <c r="AU51" i="13"/>
  <c r="AV51" i="13"/>
  <c r="AW51" i="13"/>
  <c r="AX51" i="13"/>
  <c r="AY51" i="13"/>
  <c r="AZ51" i="13"/>
  <c r="BA51" i="13"/>
  <c r="BC51" i="13"/>
  <c r="BE51" i="13"/>
  <c r="BF51" i="13"/>
  <c r="BI51" i="13"/>
  <c r="BJ51" i="13"/>
  <c r="BK51" i="13"/>
  <c r="BL51" i="13"/>
  <c r="AB52" i="13"/>
  <c r="AC52" i="13"/>
  <c r="AD52" i="13"/>
  <c r="AE52" i="13"/>
  <c r="AG52" i="13"/>
  <c r="AH52" i="13"/>
  <c r="AI52" i="13"/>
  <c r="AJ52" i="13"/>
  <c r="AK52" i="13"/>
  <c r="AL52" i="13"/>
  <c r="AM52" i="13"/>
  <c r="AN52" i="13"/>
  <c r="AO52" i="13"/>
  <c r="AP52" i="13"/>
  <c r="AQ52" i="13"/>
  <c r="AR52" i="13"/>
  <c r="AS52" i="13"/>
  <c r="AT52" i="13"/>
  <c r="AU52" i="13"/>
  <c r="AV52" i="13"/>
  <c r="AW52" i="13"/>
  <c r="AX52" i="13"/>
  <c r="AY52" i="13"/>
  <c r="AZ52" i="13"/>
  <c r="BA52" i="13"/>
  <c r="BC52" i="13"/>
  <c r="BE52" i="13"/>
  <c r="BF52" i="13"/>
  <c r="BI52" i="13"/>
  <c r="BJ52" i="13"/>
  <c r="BK52" i="13"/>
  <c r="BL52" i="13"/>
  <c r="AB53" i="13"/>
  <c r="AC53" i="13"/>
  <c r="AD53" i="13"/>
  <c r="AE53" i="13"/>
  <c r="AG53" i="13"/>
  <c r="AH53" i="13"/>
  <c r="AI53" i="13"/>
  <c r="AJ53" i="13"/>
  <c r="AK53" i="13"/>
  <c r="AL53" i="13"/>
  <c r="AM53" i="13"/>
  <c r="AN53" i="13"/>
  <c r="AO53" i="13"/>
  <c r="AP53" i="13"/>
  <c r="AQ53" i="13"/>
  <c r="AR53" i="13"/>
  <c r="AS53" i="13"/>
  <c r="AT53" i="13"/>
  <c r="AU53" i="13"/>
  <c r="AV53" i="13"/>
  <c r="AW53" i="13"/>
  <c r="AX53" i="13"/>
  <c r="AY53" i="13"/>
  <c r="AZ53" i="13"/>
  <c r="BA53" i="13"/>
  <c r="BC53" i="13"/>
  <c r="BE53" i="13"/>
  <c r="BF53" i="13"/>
  <c r="BI53" i="13"/>
  <c r="BJ53" i="13"/>
  <c r="BK53" i="13"/>
  <c r="BL53" i="13"/>
  <c r="AB54" i="13"/>
  <c r="AC54" i="13"/>
  <c r="AD54" i="13"/>
  <c r="AE54" i="13"/>
  <c r="AG54" i="13"/>
  <c r="AH54" i="13"/>
  <c r="AI54" i="13"/>
  <c r="AJ54" i="13"/>
  <c r="AK54" i="13"/>
  <c r="AL54" i="13"/>
  <c r="AM54" i="13"/>
  <c r="AN54" i="13"/>
  <c r="AO54" i="13"/>
  <c r="AP54" i="13"/>
  <c r="AQ54" i="13"/>
  <c r="AR54" i="13"/>
  <c r="AS54" i="13"/>
  <c r="AT54" i="13"/>
  <c r="AU54" i="13"/>
  <c r="AV54" i="13"/>
  <c r="AW54" i="13"/>
  <c r="AX54" i="13"/>
  <c r="AY54" i="13"/>
  <c r="AZ54" i="13"/>
  <c r="BA54" i="13"/>
  <c r="BC54" i="13"/>
  <c r="BE54" i="13"/>
  <c r="BF54" i="13"/>
  <c r="BI54" i="13"/>
  <c r="BJ54" i="13"/>
  <c r="BK54" i="13"/>
  <c r="BL54" i="13"/>
  <c r="AB55" i="13"/>
  <c r="AC55" i="13"/>
  <c r="AD55" i="13"/>
  <c r="AE55" i="13"/>
  <c r="AG55" i="13"/>
  <c r="AH55" i="13"/>
  <c r="AI55" i="13"/>
  <c r="AJ55" i="13"/>
  <c r="AK55" i="13"/>
  <c r="AL55" i="13"/>
  <c r="AM55" i="13"/>
  <c r="AN55" i="13"/>
  <c r="AO55" i="13"/>
  <c r="AP55" i="13"/>
  <c r="AQ55" i="13"/>
  <c r="AR55" i="13"/>
  <c r="AS55" i="13"/>
  <c r="AT55" i="13"/>
  <c r="AU55" i="13"/>
  <c r="AV55" i="13"/>
  <c r="AW55" i="13"/>
  <c r="AX55" i="13"/>
  <c r="AY55" i="13"/>
  <c r="AZ55" i="13"/>
  <c r="BA55" i="13"/>
  <c r="BC55" i="13"/>
  <c r="BE55" i="13"/>
  <c r="BF55" i="13"/>
  <c r="BI55" i="13"/>
  <c r="BJ55" i="13"/>
  <c r="BK55" i="13"/>
  <c r="BL55" i="13"/>
  <c r="AB56" i="13"/>
  <c r="AC56" i="13"/>
  <c r="AD56" i="13"/>
  <c r="AE56" i="13"/>
  <c r="AG56" i="13"/>
  <c r="AH56" i="13"/>
  <c r="AI56" i="13"/>
  <c r="AJ56" i="13"/>
  <c r="AK56" i="13"/>
  <c r="AL56" i="13"/>
  <c r="AM56" i="13"/>
  <c r="AN56" i="13"/>
  <c r="AO56" i="13"/>
  <c r="AP56" i="13"/>
  <c r="AQ56" i="13"/>
  <c r="AR56" i="13"/>
  <c r="AS56" i="13"/>
  <c r="AT56" i="13"/>
  <c r="AU56" i="13"/>
  <c r="AV56" i="13"/>
  <c r="AW56" i="13"/>
  <c r="AX56" i="13"/>
  <c r="AY56" i="13"/>
  <c r="AZ56" i="13"/>
  <c r="BA56" i="13"/>
  <c r="BC56" i="13"/>
  <c r="BE56" i="13"/>
  <c r="BF56" i="13"/>
  <c r="BI56" i="13"/>
  <c r="BJ56" i="13"/>
  <c r="BK56" i="13"/>
  <c r="BL56" i="13"/>
  <c r="AB57" i="13"/>
  <c r="AC57" i="13"/>
  <c r="AD57" i="13"/>
  <c r="AE57" i="13"/>
  <c r="AG57" i="13"/>
  <c r="AH57" i="13"/>
  <c r="AI57" i="13"/>
  <c r="AJ57" i="13"/>
  <c r="AK57" i="13"/>
  <c r="AL57" i="13"/>
  <c r="AM57" i="13"/>
  <c r="AN57" i="13"/>
  <c r="AO57" i="13"/>
  <c r="AP57" i="13"/>
  <c r="AQ57" i="13"/>
  <c r="AR57" i="13"/>
  <c r="AS57" i="13"/>
  <c r="AT57" i="13"/>
  <c r="AU57" i="13"/>
  <c r="AV57" i="13"/>
  <c r="AW57" i="13"/>
  <c r="AX57" i="13"/>
  <c r="AY57" i="13"/>
  <c r="AZ57" i="13"/>
  <c r="BA57" i="13"/>
  <c r="BC57" i="13"/>
  <c r="BE57" i="13"/>
  <c r="BF57" i="13"/>
  <c r="BI57" i="13"/>
  <c r="BJ57" i="13"/>
  <c r="BK57" i="13"/>
  <c r="BL57" i="13"/>
  <c r="AB58" i="13"/>
  <c r="AC58" i="13"/>
  <c r="AD58" i="13"/>
  <c r="AE58" i="13"/>
  <c r="AG58" i="13"/>
  <c r="AH58" i="13"/>
  <c r="AI58" i="13"/>
  <c r="AJ58" i="13"/>
  <c r="AK58" i="13"/>
  <c r="AL58" i="13"/>
  <c r="AM58" i="13"/>
  <c r="AN58" i="13"/>
  <c r="AO58" i="13"/>
  <c r="AP58" i="13"/>
  <c r="AQ58" i="13"/>
  <c r="AR58" i="13"/>
  <c r="AS58" i="13"/>
  <c r="AT58" i="13"/>
  <c r="AU58" i="13"/>
  <c r="AV58" i="13"/>
  <c r="AW58" i="13"/>
  <c r="AX58" i="13"/>
  <c r="AY58" i="13"/>
  <c r="AZ58" i="13"/>
  <c r="BA58" i="13"/>
  <c r="BC58" i="13"/>
  <c r="BE58" i="13"/>
  <c r="BF58" i="13"/>
  <c r="BI58" i="13"/>
  <c r="BJ58" i="13"/>
  <c r="BK58" i="13"/>
  <c r="BL58" i="13"/>
  <c r="AB59" i="13"/>
  <c r="AC59" i="13"/>
  <c r="AD59" i="13"/>
  <c r="AE59" i="13"/>
  <c r="AG59" i="13"/>
  <c r="AH59" i="13"/>
  <c r="AI59" i="13"/>
  <c r="AJ59" i="13"/>
  <c r="AK59" i="13"/>
  <c r="AL59" i="13"/>
  <c r="AM59" i="13"/>
  <c r="AN59" i="13"/>
  <c r="AO59" i="13"/>
  <c r="AP59" i="13"/>
  <c r="AQ59" i="13"/>
  <c r="AR59" i="13"/>
  <c r="AS59" i="13"/>
  <c r="AT59" i="13"/>
  <c r="AU59" i="13"/>
  <c r="AV59" i="13"/>
  <c r="AW59" i="13"/>
  <c r="AX59" i="13"/>
  <c r="AY59" i="13"/>
  <c r="AZ59" i="13"/>
  <c r="BA59" i="13"/>
  <c r="BC59" i="13"/>
  <c r="BE59" i="13"/>
  <c r="BF59" i="13"/>
  <c r="BI59" i="13"/>
  <c r="BJ59" i="13"/>
  <c r="BK59" i="13"/>
  <c r="BL59" i="13"/>
  <c r="AB60" i="13"/>
  <c r="AC60" i="13"/>
  <c r="AD60" i="13"/>
  <c r="AE60" i="13"/>
  <c r="AG60" i="13"/>
  <c r="AH60" i="13"/>
  <c r="AI60" i="13"/>
  <c r="AJ60" i="13"/>
  <c r="AK60" i="13"/>
  <c r="AL60" i="13"/>
  <c r="AM60" i="13"/>
  <c r="AN60" i="13"/>
  <c r="AO60" i="13"/>
  <c r="AP60" i="13"/>
  <c r="AQ60" i="13"/>
  <c r="AR60" i="13"/>
  <c r="AS60" i="13"/>
  <c r="AT60" i="13"/>
  <c r="AU60" i="13"/>
  <c r="AV60" i="13"/>
  <c r="AW60" i="13"/>
  <c r="AX60" i="13"/>
  <c r="AY60" i="13"/>
  <c r="AZ60" i="13"/>
  <c r="BA60" i="13"/>
  <c r="BC60" i="13"/>
  <c r="BE60" i="13"/>
  <c r="BF60" i="13"/>
  <c r="BI60" i="13"/>
  <c r="BJ60" i="13"/>
  <c r="BK60" i="13"/>
  <c r="BL60" i="13"/>
  <c r="AB61" i="13"/>
  <c r="AC61" i="13"/>
  <c r="AD61" i="13"/>
  <c r="AE61" i="13"/>
  <c r="AG61" i="13"/>
  <c r="AH61" i="13"/>
  <c r="AI61" i="13"/>
  <c r="AJ61" i="13"/>
  <c r="AK61" i="13"/>
  <c r="AL61" i="13"/>
  <c r="AM61" i="13"/>
  <c r="AN61" i="13"/>
  <c r="AO61" i="13"/>
  <c r="AP61" i="13"/>
  <c r="AQ61" i="13"/>
  <c r="AR61" i="13"/>
  <c r="AS61" i="13"/>
  <c r="AT61" i="13"/>
  <c r="AU61" i="13"/>
  <c r="AV61" i="13"/>
  <c r="AW61" i="13"/>
  <c r="AX61" i="13"/>
  <c r="AY61" i="13"/>
  <c r="AZ61" i="13"/>
  <c r="BA61" i="13"/>
  <c r="BC61" i="13"/>
  <c r="BE61" i="13"/>
  <c r="BF61" i="13"/>
  <c r="BI61" i="13"/>
  <c r="BJ61" i="13"/>
  <c r="BK61" i="13"/>
  <c r="BL61" i="13"/>
  <c r="AB62" i="13"/>
  <c r="AC62" i="13"/>
  <c r="AD62" i="13"/>
  <c r="AE62" i="13"/>
  <c r="AG62" i="13"/>
  <c r="AH62" i="13"/>
  <c r="AI62" i="13"/>
  <c r="AJ62" i="13"/>
  <c r="AK62" i="13"/>
  <c r="AL62" i="13"/>
  <c r="AM62" i="13"/>
  <c r="AN62" i="13"/>
  <c r="AO62" i="13"/>
  <c r="AP62" i="13"/>
  <c r="AQ62" i="13"/>
  <c r="AR62" i="13"/>
  <c r="AS62" i="13"/>
  <c r="AT62" i="13"/>
  <c r="AU62" i="13"/>
  <c r="AV62" i="13"/>
  <c r="AW62" i="13"/>
  <c r="AX62" i="13"/>
  <c r="AY62" i="13"/>
  <c r="AZ62" i="13"/>
  <c r="BA62" i="13"/>
  <c r="BC62" i="13"/>
  <c r="BE62" i="13"/>
  <c r="BF62" i="13"/>
  <c r="BI62" i="13"/>
  <c r="BJ62" i="13"/>
  <c r="BK62" i="13"/>
  <c r="BL62" i="13"/>
  <c r="AB63" i="13"/>
  <c r="AC63" i="13"/>
  <c r="AD63" i="13"/>
  <c r="AE63" i="13"/>
  <c r="AG63" i="13"/>
  <c r="AH63" i="13"/>
  <c r="AI63" i="13"/>
  <c r="AJ63" i="13"/>
  <c r="AK63" i="13"/>
  <c r="AL63" i="13"/>
  <c r="AM63" i="13"/>
  <c r="AN63" i="13"/>
  <c r="AO63" i="13"/>
  <c r="AP63" i="13"/>
  <c r="AQ63" i="13"/>
  <c r="AR63" i="13"/>
  <c r="AS63" i="13"/>
  <c r="AT63" i="13"/>
  <c r="AU63" i="13"/>
  <c r="AV63" i="13"/>
  <c r="AW63" i="13"/>
  <c r="AX63" i="13"/>
  <c r="AY63" i="13"/>
  <c r="AZ63" i="13"/>
  <c r="BA63" i="13"/>
  <c r="BC63" i="13"/>
  <c r="BE63" i="13"/>
  <c r="BF63" i="13"/>
  <c r="BI63" i="13"/>
  <c r="BJ63" i="13"/>
  <c r="BK63" i="13"/>
  <c r="BL63" i="13"/>
  <c r="AB64" i="13"/>
  <c r="AC64" i="13"/>
  <c r="AD64" i="13"/>
  <c r="AE64" i="13"/>
  <c r="AG64" i="13"/>
  <c r="AH64" i="13"/>
  <c r="AI64" i="13"/>
  <c r="AJ64" i="13"/>
  <c r="AK64" i="13"/>
  <c r="AL64" i="13"/>
  <c r="AM64" i="13"/>
  <c r="AN64" i="13"/>
  <c r="AO64" i="13"/>
  <c r="AP64" i="13"/>
  <c r="AQ64" i="13"/>
  <c r="AR64" i="13"/>
  <c r="AS64" i="13"/>
  <c r="AT64" i="13"/>
  <c r="AU64" i="13"/>
  <c r="AV64" i="13"/>
  <c r="AW64" i="13"/>
  <c r="AX64" i="13"/>
  <c r="AY64" i="13"/>
  <c r="AZ64" i="13"/>
  <c r="BA64" i="13"/>
  <c r="BC64" i="13"/>
  <c r="BE64" i="13"/>
  <c r="BF64" i="13"/>
  <c r="BI64" i="13"/>
  <c r="BJ64" i="13"/>
  <c r="BK64" i="13"/>
  <c r="BL64" i="13"/>
  <c r="AB65" i="13"/>
  <c r="AC65" i="13"/>
  <c r="AD65" i="13"/>
  <c r="AE65" i="13"/>
  <c r="AG65" i="13"/>
  <c r="AH65" i="13"/>
  <c r="AI65" i="13"/>
  <c r="AJ65" i="13"/>
  <c r="AK65" i="13"/>
  <c r="AL65" i="13"/>
  <c r="AM65" i="13"/>
  <c r="AN65" i="13"/>
  <c r="AO65" i="13"/>
  <c r="AP65" i="13"/>
  <c r="AQ65" i="13"/>
  <c r="AR65" i="13"/>
  <c r="AS65" i="13"/>
  <c r="AT65" i="13"/>
  <c r="AU65" i="13"/>
  <c r="AV65" i="13"/>
  <c r="AW65" i="13"/>
  <c r="AX65" i="13"/>
  <c r="AY65" i="13"/>
  <c r="AZ65" i="13"/>
  <c r="BA65" i="13"/>
  <c r="BC65" i="13"/>
  <c r="BE65" i="13"/>
  <c r="BF65" i="13"/>
  <c r="BI65" i="13"/>
  <c r="BJ65" i="13"/>
  <c r="BK65" i="13"/>
  <c r="BL65" i="13"/>
  <c r="AB66" i="13"/>
  <c r="AC66" i="13"/>
  <c r="AD66" i="13"/>
  <c r="AE66" i="13"/>
  <c r="AG66" i="13"/>
  <c r="AH66" i="13"/>
  <c r="AI66" i="13"/>
  <c r="AJ66" i="13"/>
  <c r="AK66" i="13"/>
  <c r="AL66" i="13"/>
  <c r="AM66" i="13"/>
  <c r="AN66" i="13"/>
  <c r="AO66" i="13"/>
  <c r="AP66" i="13"/>
  <c r="AQ66" i="13"/>
  <c r="AR66" i="13"/>
  <c r="AS66" i="13"/>
  <c r="AT66" i="13"/>
  <c r="AU66" i="13"/>
  <c r="AV66" i="13"/>
  <c r="AW66" i="13"/>
  <c r="AX66" i="13"/>
  <c r="AY66" i="13"/>
  <c r="AZ66" i="13"/>
  <c r="BA66" i="13"/>
  <c r="BC66" i="13"/>
  <c r="BE66" i="13"/>
  <c r="BF66" i="13"/>
  <c r="BI66" i="13"/>
  <c r="BJ66" i="13"/>
  <c r="BK66" i="13"/>
  <c r="BL66" i="13"/>
  <c r="AB67" i="13"/>
  <c r="AC67" i="13"/>
  <c r="AD67" i="13"/>
  <c r="AE67" i="13"/>
  <c r="AG67" i="13"/>
  <c r="AH67" i="13"/>
  <c r="AI67" i="13"/>
  <c r="AJ67" i="13"/>
  <c r="AK67" i="13"/>
  <c r="AL67" i="13"/>
  <c r="AM67" i="13"/>
  <c r="AN67" i="13"/>
  <c r="AO67" i="13"/>
  <c r="AP67" i="13"/>
  <c r="AQ67" i="13"/>
  <c r="AR67" i="13"/>
  <c r="AS67" i="13"/>
  <c r="AT67" i="13"/>
  <c r="AU67" i="13"/>
  <c r="AV67" i="13"/>
  <c r="AW67" i="13"/>
  <c r="AX67" i="13"/>
  <c r="AY67" i="13"/>
  <c r="AZ67" i="13"/>
  <c r="BA67" i="13"/>
  <c r="BC67" i="13"/>
  <c r="BE67" i="13"/>
  <c r="BF67" i="13"/>
  <c r="BI67" i="13"/>
  <c r="BJ67" i="13"/>
  <c r="BK67" i="13"/>
  <c r="BL67" i="13"/>
  <c r="AB68" i="13"/>
  <c r="AC68" i="13"/>
  <c r="AD68" i="13"/>
  <c r="AE68" i="13"/>
  <c r="AG68" i="13"/>
  <c r="AH68" i="13"/>
  <c r="AI68" i="13"/>
  <c r="AJ68" i="13"/>
  <c r="AK68" i="13"/>
  <c r="AL68" i="13"/>
  <c r="AM68" i="13"/>
  <c r="AN68" i="13"/>
  <c r="AO68" i="13"/>
  <c r="AP68" i="13"/>
  <c r="AQ68" i="13"/>
  <c r="AR68" i="13"/>
  <c r="AS68" i="13"/>
  <c r="AT68" i="13"/>
  <c r="AU68" i="13"/>
  <c r="AV68" i="13"/>
  <c r="AW68" i="13"/>
  <c r="AX68" i="13"/>
  <c r="AY68" i="13"/>
  <c r="AZ68" i="13"/>
  <c r="BA68" i="13"/>
  <c r="BC68" i="13"/>
  <c r="BE68" i="13"/>
  <c r="BF68" i="13"/>
  <c r="BI68" i="13"/>
  <c r="BJ68" i="13"/>
  <c r="BK68" i="13"/>
  <c r="BL68" i="13"/>
  <c r="AB69" i="13"/>
  <c r="AC69" i="13"/>
  <c r="AD69" i="13"/>
  <c r="AE69" i="13"/>
  <c r="AG69" i="13"/>
  <c r="AH69" i="13"/>
  <c r="AI69" i="13"/>
  <c r="AJ69" i="13"/>
  <c r="AK69" i="13"/>
  <c r="AL69" i="13"/>
  <c r="AM69" i="13"/>
  <c r="AN69" i="13"/>
  <c r="AO69" i="13"/>
  <c r="AP69" i="13"/>
  <c r="AQ69" i="13"/>
  <c r="AR69" i="13"/>
  <c r="AS69" i="13"/>
  <c r="AT69" i="13"/>
  <c r="AU69" i="13"/>
  <c r="AV69" i="13"/>
  <c r="AW69" i="13"/>
  <c r="AX69" i="13"/>
  <c r="AY69" i="13"/>
  <c r="AZ69" i="13"/>
  <c r="BA69" i="13"/>
  <c r="BC69" i="13"/>
  <c r="BE69" i="13"/>
  <c r="BF69" i="13"/>
  <c r="BI69" i="13"/>
  <c r="BJ69" i="13"/>
  <c r="BK69" i="13"/>
  <c r="BL69" i="13"/>
  <c r="AB70" i="13"/>
  <c r="AC70" i="13"/>
  <c r="AD70" i="13"/>
  <c r="AE70" i="13"/>
  <c r="AG70" i="13"/>
  <c r="AH70" i="13"/>
  <c r="AI70" i="13"/>
  <c r="AJ70" i="13"/>
  <c r="AK70" i="13"/>
  <c r="AL70" i="13"/>
  <c r="AM70" i="13"/>
  <c r="AN70" i="13"/>
  <c r="AO70" i="13"/>
  <c r="AP70" i="13"/>
  <c r="AQ70" i="13"/>
  <c r="AR70" i="13"/>
  <c r="AS70" i="13"/>
  <c r="AT70" i="13"/>
  <c r="AU70" i="13"/>
  <c r="AV70" i="13"/>
  <c r="AW70" i="13"/>
  <c r="AX70" i="13"/>
  <c r="AY70" i="13"/>
  <c r="AZ70" i="13"/>
  <c r="BA70" i="13"/>
  <c r="BC70" i="13"/>
  <c r="BE70" i="13"/>
  <c r="BF70" i="13"/>
  <c r="BI70" i="13"/>
  <c r="BJ70" i="13"/>
  <c r="BK70" i="13"/>
  <c r="BL70" i="13"/>
  <c r="AB71" i="13"/>
  <c r="AC71" i="13"/>
  <c r="AD71" i="13"/>
  <c r="AE71" i="13"/>
  <c r="AG71" i="13"/>
  <c r="AH71" i="13"/>
  <c r="AI71" i="13"/>
  <c r="AJ71" i="13"/>
  <c r="AK71" i="13"/>
  <c r="AL71" i="13"/>
  <c r="AM71" i="13"/>
  <c r="AN71" i="13"/>
  <c r="AO71" i="13"/>
  <c r="AP71" i="13"/>
  <c r="AQ71" i="13"/>
  <c r="AR71" i="13"/>
  <c r="AS71" i="13"/>
  <c r="AT71" i="13"/>
  <c r="AU71" i="13"/>
  <c r="AV71" i="13"/>
  <c r="AW71" i="13"/>
  <c r="AX71" i="13"/>
  <c r="AY71" i="13"/>
  <c r="AZ71" i="13"/>
  <c r="BA71" i="13"/>
  <c r="BC71" i="13"/>
  <c r="BE71" i="13"/>
  <c r="BF71" i="13"/>
  <c r="BI71" i="13"/>
  <c r="BJ71" i="13"/>
  <c r="BK71" i="13"/>
  <c r="BL71" i="13"/>
  <c r="AB72" i="13"/>
  <c r="AC72" i="13"/>
  <c r="AD72" i="13"/>
  <c r="AE72" i="13"/>
  <c r="AG72" i="13"/>
  <c r="AH72" i="13"/>
  <c r="AI72" i="13"/>
  <c r="AJ72" i="13"/>
  <c r="AK72" i="13"/>
  <c r="AL72" i="13"/>
  <c r="AM72" i="13"/>
  <c r="AN72" i="13"/>
  <c r="AO72" i="13"/>
  <c r="AP72" i="13"/>
  <c r="AQ72" i="13"/>
  <c r="AR72" i="13"/>
  <c r="AS72" i="13"/>
  <c r="AT72" i="13"/>
  <c r="AU72" i="13"/>
  <c r="AV72" i="13"/>
  <c r="AW72" i="13"/>
  <c r="AX72" i="13"/>
  <c r="AY72" i="13"/>
  <c r="AZ72" i="13"/>
  <c r="BA72" i="13"/>
  <c r="BC72" i="13"/>
  <c r="BE72" i="13"/>
  <c r="BF72" i="13"/>
  <c r="BI72" i="13"/>
  <c r="BJ72" i="13"/>
  <c r="BK72" i="13"/>
  <c r="BL72" i="13"/>
  <c r="AB73" i="13"/>
  <c r="AC73" i="13"/>
  <c r="AD73" i="13"/>
  <c r="AE73" i="13"/>
  <c r="AG73" i="13"/>
  <c r="AH73" i="13"/>
  <c r="AI73" i="13"/>
  <c r="AJ73" i="13"/>
  <c r="AK73" i="13"/>
  <c r="AL73" i="13"/>
  <c r="AM73" i="13"/>
  <c r="AN73" i="13"/>
  <c r="AO73" i="13"/>
  <c r="AP73" i="13"/>
  <c r="AQ73" i="13"/>
  <c r="AR73" i="13"/>
  <c r="AS73" i="13"/>
  <c r="AT73" i="13"/>
  <c r="AU73" i="13"/>
  <c r="AV73" i="13"/>
  <c r="AW73" i="13"/>
  <c r="AX73" i="13"/>
  <c r="AY73" i="13"/>
  <c r="AZ73" i="13"/>
  <c r="BA73" i="13"/>
  <c r="BC73" i="13"/>
  <c r="BE73" i="13"/>
  <c r="BF73" i="13"/>
  <c r="BI73" i="13"/>
  <c r="BJ73" i="13"/>
  <c r="BK73" i="13"/>
  <c r="BL73" i="13"/>
  <c r="AB74" i="13"/>
  <c r="AC74" i="13"/>
  <c r="AD74" i="13"/>
  <c r="AE74" i="13"/>
  <c r="AG74" i="13"/>
  <c r="AH74" i="13"/>
  <c r="AI74" i="13"/>
  <c r="AJ74" i="13"/>
  <c r="AK74" i="13"/>
  <c r="AL74" i="13"/>
  <c r="AM74" i="13"/>
  <c r="AN74" i="13"/>
  <c r="AO74" i="13"/>
  <c r="AP74" i="13"/>
  <c r="AQ74" i="13"/>
  <c r="AR74" i="13"/>
  <c r="AS74" i="13"/>
  <c r="AT74" i="13"/>
  <c r="AU74" i="13"/>
  <c r="AV74" i="13"/>
  <c r="AW74" i="13"/>
  <c r="AX74" i="13"/>
  <c r="AY74" i="13"/>
  <c r="AZ74" i="13"/>
  <c r="BA74" i="13"/>
  <c r="BC74" i="13"/>
  <c r="BE74" i="13"/>
  <c r="BF74" i="13"/>
  <c r="BI74" i="13"/>
  <c r="BJ74" i="13"/>
  <c r="BK74" i="13"/>
  <c r="BL74" i="13"/>
  <c r="AB75" i="13"/>
  <c r="AC75" i="13"/>
  <c r="AD75" i="13"/>
  <c r="AE75" i="13"/>
  <c r="AG75" i="13"/>
  <c r="AH75" i="13"/>
  <c r="AI75" i="13"/>
  <c r="AJ75" i="13"/>
  <c r="AK75" i="13"/>
  <c r="AL75" i="13"/>
  <c r="AM75" i="13"/>
  <c r="AN75" i="13"/>
  <c r="AO75" i="13"/>
  <c r="AP75" i="13"/>
  <c r="AQ75" i="13"/>
  <c r="AR75" i="13"/>
  <c r="AS75" i="13"/>
  <c r="AT75" i="13"/>
  <c r="AU75" i="13"/>
  <c r="AV75" i="13"/>
  <c r="AW75" i="13"/>
  <c r="AX75" i="13"/>
  <c r="AY75" i="13"/>
  <c r="AZ75" i="13"/>
  <c r="BA75" i="13"/>
  <c r="BC75" i="13"/>
  <c r="BE75" i="13"/>
  <c r="BF75" i="13"/>
  <c r="BI75" i="13"/>
  <c r="BJ75" i="13"/>
  <c r="BK75" i="13"/>
  <c r="BL75" i="13"/>
  <c r="AB76" i="13"/>
  <c r="AC76" i="13"/>
  <c r="AD76" i="13"/>
  <c r="AE76" i="13"/>
  <c r="AG76" i="13"/>
  <c r="AH76" i="13"/>
  <c r="AI76" i="13"/>
  <c r="AJ76" i="13"/>
  <c r="AK76" i="13"/>
  <c r="AL76" i="13"/>
  <c r="AM76" i="13"/>
  <c r="AN76" i="13"/>
  <c r="AO76" i="13"/>
  <c r="AP76" i="13"/>
  <c r="AQ76" i="13"/>
  <c r="AR76" i="13"/>
  <c r="AS76" i="13"/>
  <c r="AT76" i="13"/>
  <c r="AU76" i="13"/>
  <c r="AV76" i="13"/>
  <c r="AW76" i="13"/>
  <c r="AX76" i="13"/>
  <c r="AY76" i="13"/>
  <c r="AZ76" i="13"/>
  <c r="BA76" i="13"/>
  <c r="BC76" i="13"/>
  <c r="BE76" i="13"/>
  <c r="BF76" i="13"/>
  <c r="BI76" i="13"/>
  <c r="BJ76" i="13"/>
  <c r="BK76" i="13"/>
  <c r="BL76" i="13"/>
  <c r="AB77" i="13"/>
  <c r="AC77" i="13"/>
  <c r="AD77" i="13"/>
  <c r="AE77" i="13"/>
  <c r="AG77" i="13"/>
  <c r="AH77" i="13"/>
  <c r="AI77" i="13"/>
  <c r="AJ77" i="13"/>
  <c r="AK77" i="13"/>
  <c r="AL77" i="13"/>
  <c r="AM77" i="13"/>
  <c r="AN77" i="13"/>
  <c r="AO77" i="13"/>
  <c r="AP77" i="13"/>
  <c r="AQ77" i="13"/>
  <c r="AR77" i="13"/>
  <c r="AS77" i="13"/>
  <c r="AT77" i="13"/>
  <c r="AU77" i="13"/>
  <c r="AV77" i="13"/>
  <c r="AW77" i="13"/>
  <c r="AX77" i="13"/>
  <c r="AY77" i="13"/>
  <c r="AZ77" i="13"/>
  <c r="BA77" i="13"/>
  <c r="BC77" i="13"/>
  <c r="BE77" i="13"/>
  <c r="BF77" i="13"/>
  <c r="BI77" i="13"/>
  <c r="BJ77" i="13"/>
  <c r="BK77" i="13"/>
  <c r="BL77" i="13"/>
  <c r="AB78" i="13"/>
  <c r="AC78" i="13"/>
  <c r="AD78" i="13"/>
  <c r="AE78" i="13"/>
  <c r="AG78" i="13"/>
  <c r="AH78" i="13"/>
  <c r="AI78" i="13"/>
  <c r="AJ78" i="13"/>
  <c r="AK78" i="13"/>
  <c r="AL78" i="13"/>
  <c r="AM78" i="13"/>
  <c r="AN78" i="13"/>
  <c r="AO78" i="13"/>
  <c r="AP78" i="13"/>
  <c r="AQ78" i="13"/>
  <c r="AR78" i="13"/>
  <c r="AS78" i="13"/>
  <c r="AT78" i="13"/>
  <c r="AU78" i="13"/>
  <c r="AV78" i="13"/>
  <c r="AW78" i="13"/>
  <c r="AX78" i="13"/>
  <c r="AY78" i="13"/>
  <c r="AZ78" i="13"/>
  <c r="BA78" i="13"/>
  <c r="BC78" i="13"/>
  <c r="BE78" i="13"/>
  <c r="BF78" i="13"/>
  <c r="BI78" i="13"/>
  <c r="BJ78" i="13"/>
  <c r="BK78" i="13"/>
  <c r="BL78" i="13"/>
  <c r="AB79" i="13"/>
  <c r="AC79" i="13"/>
  <c r="AD79" i="13"/>
  <c r="AE79" i="13"/>
  <c r="AG79" i="13"/>
  <c r="AH79" i="13"/>
  <c r="AI79" i="13"/>
  <c r="AJ79" i="13"/>
  <c r="AK79" i="13"/>
  <c r="AL79" i="13"/>
  <c r="AM79" i="13"/>
  <c r="AN79" i="13"/>
  <c r="AO79" i="13"/>
  <c r="AP79" i="13"/>
  <c r="AQ79" i="13"/>
  <c r="AR79" i="13"/>
  <c r="AS79" i="13"/>
  <c r="AT79" i="13"/>
  <c r="AU79" i="13"/>
  <c r="AV79" i="13"/>
  <c r="AW79" i="13"/>
  <c r="AX79" i="13"/>
  <c r="AY79" i="13"/>
  <c r="AZ79" i="13"/>
  <c r="BA79" i="13"/>
  <c r="BC79" i="13"/>
  <c r="BE79" i="13"/>
  <c r="BF79" i="13"/>
  <c r="BI79" i="13"/>
  <c r="BJ79" i="13"/>
  <c r="BK79" i="13"/>
  <c r="BL79" i="13"/>
  <c r="AB80" i="13"/>
  <c r="AC80" i="13"/>
  <c r="AD80" i="13"/>
  <c r="AE80" i="13"/>
  <c r="AG80" i="13"/>
  <c r="AH80" i="13"/>
  <c r="AI80" i="13"/>
  <c r="AJ80" i="13"/>
  <c r="AK80" i="13"/>
  <c r="AL80" i="13"/>
  <c r="AM80" i="13"/>
  <c r="AN80" i="13"/>
  <c r="AO80" i="13"/>
  <c r="AP80" i="13"/>
  <c r="AQ80" i="13"/>
  <c r="AR80" i="13"/>
  <c r="AS80" i="13"/>
  <c r="AT80" i="13"/>
  <c r="AU80" i="13"/>
  <c r="AV80" i="13"/>
  <c r="AW80" i="13"/>
  <c r="AX80" i="13"/>
  <c r="AY80" i="13"/>
  <c r="AZ80" i="13"/>
  <c r="BA80" i="13"/>
  <c r="BC80" i="13"/>
  <c r="BE80" i="13"/>
  <c r="BF80" i="13"/>
  <c r="BI80" i="13"/>
  <c r="BJ80" i="13"/>
  <c r="BK80" i="13"/>
  <c r="BL80" i="13"/>
  <c r="AB81" i="13"/>
  <c r="AC81" i="13"/>
  <c r="AD81" i="13"/>
  <c r="AE81" i="13"/>
  <c r="AG81" i="13"/>
  <c r="AH81" i="13"/>
  <c r="AI81" i="13"/>
  <c r="AJ81" i="13"/>
  <c r="AK81" i="13"/>
  <c r="AL81" i="13"/>
  <c r="AM81" i="13"/>
  <c r="AN81" i="13"/>
  <c r="AO81" i="13"/>
  <c r="AP81" i="13"/>
  <c r="AQ81" i="13"/>
  <c r="AR81" i="13"/>
  <c r="AS81" i="13"/>
  <c r="AT81" i="13"/>
  <c r="AU81" i="13"/>
  <c r="AV81" i="13"/>
  <c r="AW81" i="13"/>
  <c r="AX81" i="13"/>
  <c r="AY81" i="13"/>
  <c r="AZ81" i="13"/>
  <c r="BA81" i="13"/>
  <c r="BC81" i="13"/>
  <c r="BE81" i="13"/>
  <c r="BF81" i="13"/>
  <c r="BI81" i="13"/>
  <c r="BJ81" i="13"/>
  <c r="BK81" i="13"/>
  <c r="BL81" i="13"/>
  <c r="AB82" i="13"/>
  <c r="AC82" i="13"/>
  <c r="AD82" i="13"/>
  <c r="AE82" i="13"/>
  <c r="AG82" i="13"/>
  <c r="AH82" i="13"/>
  <c r="AI82" i="13"/>
  <c r="AJ82" i="13"/>
  <c r="AK82" i="13"/>
  <c r="AL82" i="13"/>
  <c r="AM82" i="13"/>
  <c r="AN82" i="13"/>
  <c r="AO82" i="13"/>
  <c r="AP82" i="13"/>
  <c r="AQ82" i="13"/>
  <c r="AR82" i="13"/>
  <c r="AS82" i="13"/>
  <c r="AT82" i="13"/>
  <c r="AU82" i="13"/>
  <c r="AV82" i="13"/>
  <c r="AW82" i="13"/>
  <c r="AX82" i="13"/>
  <c r="AY82" i="13"/>
  <c r="AZ82" i="13"/>
  <c r="BA82" i="13"/>
  <c r="BC82" i="13"/>
  <c r="BE82" i="13"/>
  <c r="BF82" i="13"/>
  <c r="BI82" i="13"/>
  <c r="BJ82" i="13"/>
  <c r="BK82" i="13"/>
  <c r="BL82" i="13"/>
  <c r="AB83" i="13"/>
  <c r="AC83" i="13"/>
  <c r="AD83" i="13"/>
  <c r="AE83" i="13"/>
  <c r="AG83" i="13"/>
  <c r="AH83" i="13"/>
  <c r="AI83" i="13"/>
  <c r="AJ83" i="13"/>
  <c r="AK83" i="13"/>
  <c r="AL83" i="13"/>
  <c r="AM83" i="13"/>
  <c r="AN83" i="13"/>
  <c r="AO83" i="13"/>
  <c r="AP83" i="13"/>
  <c r="AQ83" i="13"/>
  <c r="AR83" i="13"/>
  <c r="AS83" i="13"/>
  <c r="AT83" i="13"/>
  <c r="AU83" i="13"/>
  <c r="AV83" i="13"/>
  <c r="AW83" i="13"/>
  <c r="AX83" i="13"/>
  <c r="AY83" i="13"/>
  <c r="AZ83" i="13"/>
  <c r="BA83" i="13"/>
  <c r="BC83" i="13"/>
  <c r="BE83" i="13"/>
  <c r="BF83" i="13"/>
  <c r="BI83" i="13"/>
  <c r="BJ83" i="13"/>
  <c r="BK83" i="13"/>
  <c r="BL83" i="13"/>
  <c r="AB84" i="13"/>
  <c r="AC84" i="13"/>
  <c r="AD84" i="13"/>
  <c r="AE84" i="13"/>
  <c r="AG84" i="13"/>
  <c r="AH84" i="13"/>
  <c r="AI84" i="13"/>
  <c r="AJ84" i="13"/>
  <c r="AK84" i="13"/>
  <c r="AL84" i="13"/>
  <c r="AM84" i="13"/>
  <c r="AN84" i="13"/>
  <c r="AO84" i="13"/>
  <c r="AP84" i="13"/>
  <c r="AQ84" i="13"/>
  <c r="AR84" i="13"/>
  <c r="AS84" i="13"/>
  <c r="AT84" i="13"/>
  <c r="AU84" i="13"/>
  <c r="AV84" i="13"/>
  <c r="AW84" i="13"/>
  <c r="AX84" i="13"/>
  <c r="AY84" i="13"/>
  <c r="AZ84" i="13"/>
  <c r="BA84" i="13"/>
  <c r="BC84" i="13"/>
  <c r="BE84" i="13"/>
  <c r="BF84" i="13"/>
  <c r="BI84" i="13"/>
  <c r="BJ84" i="13"/>
  <c r="BK84" i="13"/>
  <c r="BL84" i="13"/>
  <c r="AB85" i="13"/>
  <c r="AC85" i="13"/>
  <c r="AD85" i="13"/>
  <c r="AE85" i="13"/>
  <c r="AG85" i="13"/>
  <c r="AH85" i="13"/>
  <c r="AI85" i="13"/>
  <c r="AJ85" i="13"/>
  <c r="AK85" i="13"/>
  <c r="AL85" i="13"/>
  <c r="AM85" i="13"/>
  <c r="AN85" i="13"/>
  <c r="AO85" i="13"/>
  <c r="AP85" i="13"/>
  <c r="AQ85" i="13"/>
  <c r="AR85" i="13"/>
  <c r="AS85" i="13"/>
  <c r="AT85" i="13"/>
  <c r="AU85" i="13"/>
  <c r="AV85" i="13"/>
  <c r="AW85" i="13"/>
  <c r="AX85" i="13"/>
  <c r="AY85" i="13"/>
  <c r="AZ85" i="13"/>
  <c r="BA85" i="13"/>
  <c r="BC85" i="13"/>
  <c r="BE85" i="13"/>
  <c r="BF85" i="13"/>
  <c r="BI85" i="13"/>
  <c r="BJ85" i="13"/>
  <c r="BK85" i="13"/>
  <c r="BL85" i="13"/>
  <c r="AB86" i="13"/>
  <c r="AC86" i="13"/>
  <c r="AD86" i="13"/>
  <c r="AE86" i="13"/>
  <c r="AG86" i="13"/>
  <c r="AH86" i="13"/>
  <c r="AI86" i="13"/>
  <c r="AJ86" i="13"/>
  <c r="AK86" i="13"/>
  <c r="AL86" i="13"/>
  <c r="AM86" i="13"/>
  <c r="AN86" i="13"/>
  <c r="AO86" i="13"/>
  <c r="AP86" i="13"/>
  <c r="AQ86" i="13"/>
  <c r="AR86" i="13"/>
  <c r="AS86" i="13"/>
  <c r="AT86" i="13"/>
  <c r="AU86" i="13"/>
  <c r="AV86" i="13"/>
  <c r="AW86" i="13"/>
  <c r="AX86" i="13"/>
  <c r="AY86" i="13"/>
  <c r="AZ86" i="13"/>
  <c r="BA86" i="13"/>
  <c r="BC86" i="13"/>
  <c r="BE86" i="13"/>
  <c r="BF86" i="13"/>
  <c r="BI86" i="13"/>
  <c r="BJ86" i="13"/>
  <c r="BK86" i="13"/>
  <c r="BL86" i="13"/>
  <c r="AB87" i="13"/>
  <c r="AC87" i="13"/>
  <c r="AD87" i="13"/>
  <c r="AE87" i="13"/>
  <c r="AG87" i="13"/>
  <c r="AH87" i="13"/>
  <c r="AI87" i="13"/>
  <c r="AJ87" i="13"/>
  <c r="AK87" i="13"/>
  <c r="AL87" i="13"/>
  <c r="AM87" i="13"/>
  <c r="AN87" i="13"/>
  <c r="AO87" i="13"/>
  <c r="AP87" i="13"/>
  <c r="AQ87" i="13"/>
  <c r="AR87" i="13"/>
  <c r="AS87" i="13"/>
  <c r="AT87" i="13"/>
  <c r="AU87" i="13"/>
  <c r="AV87" i="13"/>
  <c r="AW87" i="13"/>
  <c r="AX87" i="13"/>
  <c r="AY87" i="13"/>
  <c r="AZ87" i="13"/>
  <c r="BA87" i="13"/>
  <c r="BC87" i="13"/>
  <c r="BE87" i="13"/>
  <c r="BF87" i="13"/>
  <c r="BI87" i="13"/>
  <c r="BJ87" i="13"/>
  <c r="BK87" i="13"/>
  <c r="BL87" i="13"/>
  <c r="AB88" i="13"/>
  <c r="AC88" i="13"/>
  <c r="AD88" i="13"/>
  <c r="AE88" i="13"/>
  <c r="AG88" i="13"/>
  <c r="AH88" i="13"/>
  <c r="AI88" i="13"/>
  <c r="AJ88" i="13"/>
  <c r="AK88" i="13"/>
  <c r="AL88" i="13"/>
  <c r="AM88" i="13"/>
  <c r="AN88" i="13"/>
  <c r="AO88" i="13"/>
  <c r="AP88" i="13"/>
  <c r="AQ88" i="13"/>
  <c r="AR88" i="13"/>
  <c r="AS88" i="13"/>
  <c r="AT88" i="13"/>
  <c r="AU88" i="13"/>
  <c r="AV88" i="13"/>
  <c r="AW88" i="13"/>
  <c r="AX88" i="13"/>
  <c r="AY88" i="13"/>
  <c r="AZ88" i="13"/>
  <c r="BA88" i="13"/>
  <c r="BC88" i="13"/>
  <c r="BE88" i="13"/>
  <c r="BF88" i="13"/>
  <c r="BI88" i="13"/>
  <c r="BJ88" i="13"/>
  <c r="BK88" i="13"/>
  <c r="BL88" i="13"/>
  <c r="AB89" i="13"/>
  <c r="AC89" i="13"/>
  <c r="AD89" i="13"/>
  <c r="AE89" i="13"/>
  <c r="AG89" i="13"/>
  <c r="AH89" i="13"/>
  <c r="AI89" i="13"/>
  <c r="AJ89" i="13"/>
  <c r="AK89" i="13"/>
  <c r="AL89" i="13"/>
  <c r="AM89" i="13"/>
  <c r="AN89" i="13"/>
  <c r="AO89" i="13"/>
  <c r="AP89" i="13"/>
  <c r="AQ89" i="13"/>
  <c r="AR89" i="13"/>
  <c r="AS89" i="13"/>
  <c r="AT89" i="13"/>
  <c r="AU89" i="13"/>
  <c r="AV89" i="13"/>
  <c r="AW89" i="13"/>
  <c r="AX89" i="13"/>
  <c r="AY89" i="13"/>
  <c r="AZ89" i="13"/>
  <c r="BA89" i="13"/>
  <c r="BC89" i="13"/>
  <c r="BE89" i="13"/>
  <c r="BF89" i="13"/>
  <c r="BI89" i="13"/>
  <c r="BJ89" i="13"/>
  <c r="BK89" i="13"/>
  <c r="BL89" i="13"/>
  <c r="AB90" i="13"/>
  <c r="AC90" i="13"/>
  <c r="AD90" i="13"/>
  <c r="AE90" i="13"/>
  <c r="AG90" i="13"/>
  <c r="AH90" i="13"/>
  <c r="AI90" i="13"/>
  <c r="AJ90" i="13"/>
  <c r="AK90" i="13"/>
  <c r="AL90" i="13"/>
  <c r="AM90" i="13"/>
  <c r="AN90" i="13"/>
  <c r="AO90" i="13"/>
  <c r="AP90" i="13"/>
  <c r="AQ90" i="13"/>
  <c r="AR90" i="13"/>
  <c r="AS90" i="13"/>
  <c r="AT90" i="13"/>
  <c r="AU90" i="13"/>
  <c r="AV90" i="13"/>
  <c r="AW90" i="13"/>
  <c r="AX90" i="13"/>
  <c r="AY90" i="13"/>
  <c r="AZ90" i="13"/>
  <c r="BA90" i="13"/>
  <c r="BC90" i="13"/>
  <c r="BE90" i="13"/>
  <c r="BF90" i="13"/>
  <c r="BI90" i="13"/>
  <c r="BJ90" i="13"/>
  <c r="BK90" i="13"/>
  <c r="BL90" i="13"/>
  <c r="AB91" i="13"/>
  <c r="AC91" i="13"/>
  <c r="AD91" i="13"/>
  <c r="AE91" i="13"/>
  <c r="AG91" i="13"/>
  <c r="AH91" i="13"/>
  <c r="AI91" i="13"/>
  <c r="AJ91" i="13"/>
  <c r="AK91" i="13"/>
  <c r="AL91" i="13"/>
  <c r="AM91" i="13"/>
  <c r="AN91" i="13"/>
  <c r="AO91" i="13"/>
  <c r="AP91" i="13"/>
  <c r="AQ91" i="13"/>
  <c r="AR91" i="13"/>
  <c r="AS91" i="13"/>
  <c r="AT91" i="13"/>
  <c r="AU91" i="13"/>
  <c r="AV91" i="13"/>
  <c r="AW91" i="13"/>
  <c r="AX91" i="13"/>
  <c r="AY91" i="13"/>
  <c r="AZ91" i="13"/>
  <c r="BA91" i="13"/>
  <c r="BC91" i="13"/>
  <c r="BE91" i="13"/>
  <c r="BF91" i="13"/>
  <c r="BI91" i="13"/>
  <c r="BJ91" i="13"/>
  <c r="BK91" i="13"/>
  <c r="BL91" i="13"/>
  <c r="AB92" i="13"/>
  <c r="AC92" i="13"/>
  <c r="AD92" i="13"/>
  <c r="AE92" i="13"/>
  <c r="AG92" i="13"/>
  <c r="AH92" i="13"/>
  <c r="AI92" i="13"/>
  <c r="AJ92" i="13"/>
  <c r="AK92" i="13"/>
  <c r="AL92" i="13"/>
  <c r="AM92" i="13"/>
  <c r="AN92" i="13"/>
  <c r="AO92" i="13"/>
  <c r="AP92" i="13"/>
  <c r="AQ92" i="13"/>
  <c r="AR92" i="13"/>
  <c r="AS92" i="13"/>
  <c r="AT92" i="13"/>
  <c r="AU92" i="13"/>
  <c r="AV92" i="13"/>
  <c r="AW92" i="13"/>
  <c r="AX92" i="13"/>
  <c r="AY92" i="13"/>
  <c r="AZ92" i="13"/>
  <c r="BA92" i="13"/>
  <c r="BC92" i="13"/>
  <c r="BE92" i="13"/>
  <c r="BF92" i="13"/>
  <c r="BI92" i="13"/>
  <c r="BJ92" i="13"/>
  <c r="BK92" i="13"/>
  <c r="BL92" i="13"/>
  <c r="AB93" i="13"/>
  <c r="AC93" i="13"/>
  <c r="AD93" i="13"/>
  <c r="AE93" i="13"/>
  <c r="AG93" i="13"/>
  <c r="AH93" i="13"/>
  <c r="AI93" i="13"/>
  <c r="AJ93" i="13"/>
  <c r="AK93" i="13"/>
  <c r="AL93" i="13"/>
  <c r="AM93" i="13"/>
  <c r="AN93" i="13"/>
  <c r="AO93" i="13"/>
  <c r="AP93" i="13"/>
  <c r="AQ93" i="13"/>
  <c r="AR93" i="13"/>
  <c r="AS93" i="13"/>
  <c r="AT93" i="13"/>
  <c r="AU93" i="13"/>
  <c r="AV93" i="13"/>
  <c r="AW93" i="13"/>
  <c r="AX93" i="13"/>
  <c r="AY93" i="13"/>
  <c r="AZ93" i="13"/>
  <c r="BA93" i="13"/>
  <c r="BC93" i="13"/>
  <c r="BE93" i="13"/>
  <c r="BF93" i="13"/>
  <c r="BI93" i="13"/>
  <c r="BJ93" i="13"/>
  <c r="BK93" i="13"/>
  <c r="BL93" i="13"/>
  <c r="AB94" i="13"/>
  <c r="AC94" i="13"/>
  <c r="AD94" i="13"/>
  <c r="AE94" i="13"/>
  <c r="AG94" i="13"/>
  <c r="AH94" i="13"/>
  <c r="AI94" i="13"/>
  <c r="AJ94" i="13"/>
  <c r="AK94" i="13"/>
  <c r="AL94" i="13"/>
  <c r="AM94" i="13"/>
  <c r="AN94" i="13"/>
  <c r="AO94" i="13"/>
  <c r="AP94" i="13"/>
  <c r="AQ94" i="13"/>
  <c r="AR94" i="13"/>
  <c r="AS94" i="13"/>
  <c r="AT94" i="13"/>
  <c r="AU94" i="13"/>
  <c r="AV94" i="13"/>
  <c r="AW94" i="13"/>
  <c r="AX94" i="13"/>
  <c r="AY94" i="13"/>
  <c r="AZ94" i="13"/>
  <c r="BA94" i="13"/>
  <c r="BC94" i="13"/>
  <c r="BE94" i="13"/>
  <c r="BF94" i="13"/>
  <c r="BI94" i="13"/>
  <c r="BJ94" i="13"/>
  <c r="BK94" i="13"/>
  <c r="BL94" i="13"/>
  <c r="AB95" i="13"/>
  <c r="AC95" i="13"/>
  <c r="AD95" i="13"/>
  <c r="AE95" i="13"/>
  <c r="AG95" i="13"/>
  <c r="AH95" i="13"/>
  <c r="AI95" i="13"/>
  <c r="AJ95" i="13"/>
  <c r="AK95" i="13"/>
  <c r="AL95" i="13"/>
  <c r="AM95" i="13"/>
  <c r="AN95" i="13"/>
  <c r="AO95" i="13"/>
  <c r="AP95" i="13"/>
  <c r="AQ95" i="13"/>
  <c r="AR95" i="13"/>
  <c r="AS95" i="13"/>
  <c r="AT95" i="13"/>
  <c r="AU95" i="13"/>
  <c r="AV95" i="13"/>
  <c r="AW95" i="13"/>
  <c r="AX95" i="13"/>
  <c r="AY95" i="13"/>
  <c r="AZ95" i="13"/>
  <c r="BA95" i="13"/>
  <c r="BC95" i="13"/>
  <c r="BE95" i="13"/>
  <c r="BF95" i="13"/>
  <c r="BI95" i="13"/>
  <c r="BJ95" i="13"/>
  <c r="BK95" i="13"/>
  <c r="BL95" i="13"/>
  <c r="AB96" i="13"/>
  <c r="AC96" i="13"/>
  <c r="AD96" i="13"/>
  <c r="AE96" i="13"/>
  <c r="AG96" i="13"/>
  <c r="AH96" i="13"/>
  <c r="AI96" i="13"/>
  <c r="AJ96" i="13"/>
  <c r="AK96" i="13"/>
  <c r="AL96" i="13"/>
  <c r="AM96" i="13"/>
  <c r="AN96" i="13"/>
  <c r="AO96" i="13"/>
  <c r="AP96" i="13"/>
  <c r="AQ96" i="13"/>
  <c r="AR96" i="13"/>
  <c r="AS96" i="13"/>
  <c r="AT96" i="13"/>
  <c r="AU96" i="13"/>
  <c r="AV96" i="13"/>
  <c r="AW96" i="13"/>
  <c r="AX96" i="13"/>
  <c r="AY96" i="13"/>
  <c r="AZ96" i="13"/>
  <c r="BA96" i="13"/>
  <c r="BC96" i="13"/>
  <c r="BE96" i="13"/>
  <c r="BF96" i="13"/>
  <c r="BI96" i="13"/>
  <c r="BJ96" i="13"/>
  <c r="BK96" i="13"/>
  <c r="BL96" i="13"/>
  <c r="AB97" i="13"/>
  <c r="AC97" i="13"/>
  <c r="AD97" i="13"/>
  <c r="AE97" i="13"/>
  <c r="AG97" i="13"/>
  <c r="AH97" i="13"/>
  <c r="AI97" i="13"/>
  <c r="AJ97" i="13"/>
  <c r="AK97" i="13"/>
  <c r="AL97" i="13"/>
  <c r="AM97" i="13"/>
  <c r="AN97" i="13"/>
  <c r="AO97" i="13"/>
  <c r="AP97" i="13"/>
  <c r="AQ97" i="13"/>
  <c r="AR97" i="13"/>
  <c r="AS97" i="13"/>
  <c r="AT97" i="13"/>
  <c r="AU97" i="13"/>
  <c r="AV97" i="13"/>
  <c r="AW97" i="13"/>
  <c r="AX97" i="13"/>
  <c r="AY97" i="13"/>
  <c r="AZ97" i="13"/>
  <c r="BA97" i="13"/>
  <c r="BC97" i="13"/>
  <c r="BE97" i="13"/>
  <c r="BF97" i="13"/>
  <c r="BI97" i="13"/>
  <c r="BJ97" i="13"/>
  <c r="BK97" i="13"/>
  <c r="BL97" i="13"/>
  <c r="AB98" i="13"/>
  <c r="AC98" i="13"/>
  <c r="AD98" i="13"/>
  <c r="AE98" i="13"/>
  <c r="AG98" i="13"/>
  <c r="AH98" i="13"/>
  <c r="AI98" i="13"/>
  <c r="AJ98" i="13"/>
  <c r="AK98" i="13"/>
  <c r="AL98" i="13"/>
  <c r="AM98" i="13"/>
  <c r="AN98" i="13"/>
  <c r="AO98" i="13"/>
  <c r="AP98" i="13"/>
  <c r="AQ98" i="13"/>
  <c r="AR98" i="13"/>
  <c r="AS98" i="13"/>
  <c r="AT98" i="13"/>
  <c r="AU98" i="13"/>
  <c r="AV98" i="13"/>
  <c r="AW98" i="13"/>
  <c r="AX98" i="13"/>
  <c r="AY98" i="13"/>
  <c r="AZ98" i="13"/>
  <c r="BA98" i="13"/>
  <c r="BC98" i="13"/>
  <c r="BE98" i="13"/>
  <c r="BF98" i="13"/>
  <c r="BI98" i="13"/>
  <c r="BJ98" i="13"/>
  <c r="BK98" i="13"/>
  <c r="BL98" i="13"/>
  <c r="AB99" i="13"/>
  <c r="AC99" i="13"/>
  <c r="AD99" i="13"/>
  <c r="AE99" i="13"/>
  <c r="AG99" i="13"/>
  <c r="AH99" i="13"/>
  <c r="AI99" i="13"/>
  <c r="AJ99" i="13"/>
  <c r="AK99" i="13"/>
  <c r="AL99" i="13"/>
  <c r="AM99" i="13"/>
  <c r="AN99" i="13"/>
  <c r="AO99" i="13"/>
  <c r="AP99" i="13"/>
  <c r="AQ99" i="13"/>
  <c r="AR99" i="13"/>
  <c r="AS99" i="13"/>
  <c r="AT99" i="13"/>
  <c r="AU99" i="13"/>
  <c r="AV99" i="13"/>
  <c r="AW99" i="13"/>
  <c r="AX99" i="13"/>
  <c r="AY99" i="13"/>
  <c r="AZ99" i="13"/>
  <c r="BA99" i="13"/>
  <c r="BC99" i="13"/>
  <c r="BE99" i="13"/>
  <c r="BF99" i="13"/>
  <c r="BI99" i="13"/>
  <c r="BJ99" i="13"/>
  <c r="BK99" i="13"/>
  <c r="BL99" i="13"/>
  <c r="AB100" i="13"/>
  <c r="AC100" i="13"/>
  <c r="AD100" i="13"/>
  <c r="AE100" i="13"/>
  <c r="AG100" i="13"/>
  <c r="AH100" i="13"/>
  <c r="AI100" i="13"/>
  <c r="AJ100" i="13"/>
  <c r="AK100" i="13"/>
  <c r="AL100" i="13"/>
  <c r="AM100" i="13"/>
  <c r="AN100" i="13"/>
  <c r="AO100" i="13"/>
  <c r="AP100" i="13"/>
  <c r="AQ100" i="13"/>
  <c r="AR100" i="13"/>
  <c r="AS100" i="13"/>
  <c r="AT100" i="13"/>
  <c r="AU100" i="13"/>
  <c r="AV100" i="13"/>
  <c r="AW100" i="13"/>
  <c r="AX100" i="13"/>
  <c r="AY100" i="13"/>
  <c r="AZ100" i="13"/>
  <c r="BA100" i="13"/>
  <c r="BC100" i="13"/>
  <c r="BE100" i="13"/>
  <c r="BF100" i="13"/>
  <c r="BI100" i="13"/>
  <c r="BJ100" i="13"/>
  <c r="BK100" i="13"/>
  <c r="BL100" i="13"/>
  <c r="AB101" i="13"/>
  <c r="AC101" i="13"/>
  <c r="AD101" i="13"/>
  <c r="AE101" i="13"/>
  <c r="AG101" i="13"/>
  <c r="AH101" i="13"/>
  <c r="AI101" i="13"/>
  <c r="AJ101" i="13"/>
  <c r="AK101" i="13"/>
  <c r="AL101" i="13"/>
  <c r="AM101" i="13"/>
  <c r="AN101" i="13"/>
  <c r="AO101" i="13"/>
  <c r="AP101" i="13"/>
  <c r="AQ101" i="13"/>
  <c r="AR101" i="13"/>
  <c r="AS101" i="13"/>
  <c r="AT101" i="13"/>
  <c r="AU101" i="13"/>
  <c r="AV101" i="13"/>
  <c r="AW101" i="13"/>
  <c r="AX101" i="13"/>
  <c r="AY101" i="13"/>
  <c r="AZ101" i="13"/>
  <c r="BA101" i="13"/>
  <c r="BC101" i="13"/>
  <c r="BE101" i="13"/>
  <c r="BF101" i="13"/>
  <c r="BI101" i="13"/>
  <c r="BJ101" i="13"/>
  <c r="BK101" i="13"/>
  <c r="BL101" i="13"/>
  <c r="AB102" i="13"/>
  <c r="AC102" i="13"/>
  <c r="AD102" i="13"/>
  <c r="AE102" i="13"/>
  <c r="AG102" i="13"/>
  <c r="AH102" i="13"/>
  <c r="AI102" i="13"/>
  <c r="AJ102" i="13"/>
  <c r="AK102" i="13"/>
  <c r="AL102" i="13"/>
  <c r="AM102" i="13"/>
  <c r="AN102" i="13"/>
  <c r="AO102" i="13"/>
  <c r="AP102" i="13"/>
  <c r="AQ102" i="13"/>
  <c r="AR102" i="13"/>
  <c r="AS102" i="13"/>
  <c r="AT102" i="13"/>
  <c r="AU102" i="13"/>
  <c r="AV102" i="13"/>
  <c r="AW102" i="13"/>
  <c r="AX102" i="13"/>
  <c r="AY102" i="13"/>
  <c r="AZ102" i="13"/>
  <c r="BA102" i="13"/>
  <c r="BC102" i="13"/>
  <c r="BE102" i="13"/>
  <c r="BF102" i="13"/>
  <c r="BI102" i="13"/>
  <c r="BJ102" i="13"/>
  <c r="BK102" i="13"/>
  <c r="BL102" i="13"/>
  <c r="AB103" i="13"/>
  <c r="AC103" i="13"/>
  <c r="AD103" i="13"/>
  <c r="AE103" i="13"/>
  <c r="AG103" i="13"/>
  <c r="AH103" i="13"/>
  <c r="AI103" i="13"/>
  <c r="AJ103" i="13"/>
  <c r="AK103" i="13"/>
  <c r="AL103" i="13"/>
  <c r="AM103" i="13"/>
  <c r="AN103" i="13"/>
  <c r="AO103" i="13"/>
  <c r="AP103" i="13"/>
  <c r="AQ103" i="13"/>
  <c r="AR103" i="13"/>
  <c r="AS103" i="13"/>
  <c r="AT103" i="13"/>
  <c r="AU103" i="13"/>
  <c r="AV103" i="13"/>
  <c r="AW103" i="13"/>
  <c r="AX103" i="13"/>
  <c r="AY103" i="13"/>
  <c r="AZ103" i="13"/>
  <c r="BA103" i="13"/>
  <c r="BC103" i="13"/>
  <c r="BE103" i="13"/>
  <c r="BF103" i="13"/>
  <c r="BI103" i="13"/>
  <c r="BJ103" i="13"/>
  <c r="BK103" i="13"/>
  <c r="BL103" i="13"/>
  <c r="AB104" i="13"/>
  <c r="AC104" i="13"/>
  <c r="AD104" i="13"/>
  <c r="AE104" i="13"/>
  <c r="AG104" i="13"/>
  <c r="AH104" i="13"/>
  <c r="AI104" i="13"/>
  <c r="AJ104" i="13"/>
  <c r="AK104" i="13"/>
  <c r="AL104" i="13"/>
  <c r="AM104" i="13"/>
  <c r="AN104" i="13"/>
  <c r="AO104" i="13"/>
  <c r="AP104" i="13"/>
  <c r="AQ104" i="13"/>
  <c r="AR104" i="13"/>
  <c r="AS104" i="13"/>
  <c r="AT104" i="13"/>
  <c r="AU104" i="13"/>
  <c r="AV104" i="13"/>
  <c r="AW104" i="13"/>
  <c r="AX104" i="13"/>
  <c r="AY104" i="13"/>
  <c r="AZ104" i="13"/>
  <c r="BA104" i="13"/>
  <c r="BC104" i="13"/>
  <c r="BE104" i="13"/>
  <c r="BF104" i="13"/>
  <c r="BI104" i="13"/>
  <c r="BJ104" i="13"/>
  <c r="BK104" i="13"/>
  <c r="BL104" i="13"/>
  <c r="AB105" i="13"/>
  <c r="AC105" i="13"/>
  <c r="AD105" i="13"/>
  <c r="AE105" i="13"/>
  <c r="AG105" i="13"/>
  <c r="AH105" i="13"/>
  <c r="AI105" i="13"/>
  <c r="AJ105" i="13"/>
  <c r="AK105" i="13"/>
  <c r="AL105" i="13"/>
  <c r="AM105" i="13"/>
  <c r="AN105" i="13"/>
  <c r="AO105" i="13"/>
  <c r="AP105" i="13"/>
  <c r="AQ105" i="13"/>
  <c r="AR105" i="13"/>
  <c r="AS105" i="13"/>
  <c r="AT105" i="13"/>
  <c r="AU105" i="13"/>
  <c r="AV105" i="13"/>
  <c r="AW105" i="13"/>
  <c r="AX105" i="13"/>
  <c r="AY105" i="13"/>
  <c r="AZ105" i="13"/>
  <c r="BA105" i="13"/>
  <c r="BC105" i="13"/>
  <c r="BE105" i="13"/>
  <c r="BF105" i="13"/>
  <c r="BI105" i="13"/>
  <c r="BJ105" i="13"/>
  <c r="BK105" i="13"/>
  <c r="BL105" i="13"/>
  <c r="AB106" i="13"/>
  <c r="AC106" i="13"/>
  <c r="AD106" i="13"/>
  <c r="AE106" i="13"/>
  <c r="AG106" i="13"/>
  <c r="AH106" i="13"/>
  <c r="AI106" i="13"/>
  <c r="AJ106" i="13"/>
  <c r="AK106" i="13"/>
  <c r="AL106" i="13"/>
  <c r="AM106" i="13"/>
  <c r="AN106" i="13"/>
  <c r="AO106" i="13"/>
  <c r="AP106" i="13"/>
  <c r="AQ106" i="13"/>
  <c r="AR106" i="13"/>
  <c r="AS106" i="13"/>
  <c r="AT106" i="13"/>
  <c r="AU106" i="13"/>
  <c r="AV106" i="13"/>
  <c r="AW106" i="13"/>
  <c r="AX106" i="13"/>
  <c r="AY106" i="13"/>
  <c r="AZ106" i="13"/>
  <c r="BA106" i="13"/>
  <c r="BC106" i="13"/>
  <c r="BE106" i="13"/>
  <c r="BF106" i="13"/>
  <c r="BI106" i="13"/>
  <c r="BJ106" i="13"/>
  <c r="BK106" i="13"/>
  <c r="BL106" i="13"/>
  <c r="AB107" i="13"/>
  <c r="AC107" i="13"/>
  <c r="AD107" i="13"/>
  <c r="AE107" i="13"/>
  <c r="AG107" i="13"/>
  <c r="AH107" i="13"/>
  <c r="AI107" i="13"/>
  <c r="AJ107" i="13"/>
  <c r="AK107" i="13"/>
  <c r="AL107" i="13"/>
  <c r="AM107" i="13"/>
  <c r="AN107" i="13"/>
  <c r="AO107" i="13"/>
  <c r="AP107" i="13"/>
  <c r="AQ107" i="13"/>
  <c r="AR107" i="13"/>
  <c r="AS107" i="13"/>
  <c r="AT107" i="13"/>
  <c r="AU107" i="13"/>
  <c r="AV107" i="13"/>
  <c r="AW107" i="13"/>
  <c r="AX107" i="13"/>
  <c r="AY107" i="13"/>
  <c r="AZ107" i="13"/>
  <c r="BA107" i="13"/>
  <c r="BC107" i="13"/>
  <c r="BE107" i="13"/>
  <c r="BF107" i="13"/>
  <c r="BI107" i="13"/>
  <c r="BJ107" i="13"/>
  <c r="BK107" i="13"/>
  <c r="BL107" i="13"/>
  <c r="AB108" i="13"/>
  <c r="AC108" i="13"/>
  <c r="AD108" i="13"/>
  <c r="AE108" i="13"/>
  <c r="AG108" i="13"/>
  <c r="AH108" i="13"/>
  <c r="AI108" i="13"/>
  <c r="AJ108" i="13"/>
  <c r="AK108" i="13"/>
  <c r="AL108" i="13"/>
  <c r="AM108" i="13"/>
  <c r="AN108" i="13"/>
  <c r="AO108" i="13"/>
  <c r="AP108" i="13"/>
  <c r="AQ108" i="13"/>
  <c r="AR108" i="13"/>
  <c r="AS108" i="13"/>
  <c r="AT108" i="13"/>
  <c r="AU108" i="13"/>
  <c r="AV108" i="13"/>
  <c r="AW108" i="13"/>
  <c r="AX108" i="13"/>
  <c r="AY108" i="13"/>
  <c r="AZ108" i="13"/>
  <c r="BA108" i="13"/>
  <c r="BC108" i="13"/>
  <c r="BE108" i="13"/>
  <c r="BF108" i="13"/>
  <c r="BI108" i="13"/>
  <c r="BJ108" i="13"/>
  <c r="BK108" i="13"/>
  <c r="BL108" i="13"/>
  <c r="AB109" i="13"/>
  <c r="AC109" i="13"/>
  <c r="AD109" i="13"/>
  <c r="AE109" i="13"/>
  <c r="AG109" i="13"/>
  <c r="AH109" i="13"/>
  <c r="AI109" i="13"/>
  <c r="AJ109" i="13"/>
  <c r="AK109" i="13"/>
  <c r="AL109" i="13"/>
  <c r="AM109" i="13"/>
  <c r="AN109" i="13"/>
  <c r="AO109" i="13"/>
  <c r="AP109" i="13"/>
  <c r="AQ109" i="13"/>
  <c r="AR109" i="13"/>
  <c r="AS109" i="13"/>
  <c r="AT109" i="13"/>
  <c r="AU109" i="13"/>
  <c r="AV109" i="13"/>
  <c r="AW109" i="13"/>
  <c r="AX109" i="13"/>
  <c r="AY109" i="13"/>
  <c r="AZ109" i="13"/>
  <c r="BA109" i="13"/>
  <c r="BC109" i="13"/>
  <c r="BE109" i="13"/>
  <c r="BF109" i="13"/>
  <c r="BI109" i="13"/>
  <c r="BJ109" i="13"/>
  <c r="BK109" i="13"/>
  <c r="BL109" i="13"/>
  <c r="AB110" i="13"/>
  <c r="AC110" i="13"/>
  <c r="AD110" i="13"/>
  <c r="AE110" i="13"/>
  <c r="AG110" i="13"/>
  <c r="AH110" i="13"/>
  <c r="AI110" i="13"/>
  <c r="AJ110" i="13"/>
  <c r="AK110" i="13"/>
  <c r="AL110" i="13"/>
  <c r="AM110" i="13"/>
  <c r="AN110" i="13"/>
  <c r="AO110" i="13"/>
  <c r="AP110" i="13"/>
  <c r="AQ110" i="13"/>
  <c r="AR110" i="13"/>
  <c r="AS110" i="13"/>
  <c r="AT110" i="13"/>
  <c r="AU110" i="13"/>
  <c r="AV110" i="13"/>
  <c r="AW110" i="13"/>
  <c r="AX110" i="13"/>
  <c r="AY110" i="13"/>
  <c r="AZ110" i="13"/>
  <c r="BA110" i="13"/>
  <c r="BC110" i="13"/>
  <c r="BE110" i="13"/>
  <c r="BF110" i="13"/>
  <c r="BI110" i="13"/>
  <c r="BJ110" i="13"/>
  <c r="BK110" i="13"/>
  <c r="BL110" i="13"/>
  <c r="AB111" i="13"/>
  <c r="AC111" i="13"/>
  <c r="AD111" i="13"/>
  <c r="AE111" i="13"/>
  <c r="AG111" i="13"/>
  <c r="AH111" i="13"/>
  <c r="AI111" i="13"/>
  <c r="AJ111" i="13"/>
  <c r="AK111" i="13"/>
  <c r="AL111" i="13"/>
  <c r="AM111" i="13"/>
  <c r="AN111" i="13"/>
  <c r="AO111" i="13"/>
  <c r="AP111" i="13"/>
  <c r="AQ111" i="13"/>
  <c r="AR111" i="13"/>
  <c r="AS111" i="13"/>
  <c r="AT111" i="13"/>
  <c r="AU111" i="13"/>
  <c r="AV111" i="13"/>
  <c r="AW111" i="13"/>
  <c r="AX111" i="13"/>
  <c r="AY111" i="13"/>
  <c r="AZ111" i="13"/>
  <c r="BA111" i="13"/>
  <c r="BC111" i="13"/>
  <c r="BE111" i="13"/>
  <c r="BF111" i="13"/>
  <c r="BI111" i="13"/>
  <c r="BJ111" i="13"/>
  <c r="BK111" i="13"/>
  <c r="BL111" i="13"/>
  <c r="AB112" i="13"/>
  <c r="AC112" i="13"/>
  <c r="AD112" i="13"/>
  <c r="AE112" i="13"/>
  <c r="AG112" i="13"/>
  <c r="AH112" i="13"/>
  <c r="AI112" i="13"/>
  <c r="AJ112" i="13"/>
  <c r="AK112" i="13"/>
  <c r="AL112" i="13"/>
  <c r="AM112" i="13"/>
  <c r="AN112" i="13"/>
  <c r="AO112" i="13"/>
  <c r="AP112" i="13"/>
  <c r="AQ112" i="13"/>
  <c r="AR112" i="13"/>
  <c r="AS112" i="13"/>
  <c r="AT112" i="13"/>
  <c r="AU112" i="13"/>
  <c r="AV112" i="13"/>
  <c r="AW112" i="13"/>
  <c r="AX112" i="13"/>
  <c r="AY112" i="13"/>
  <c r="AZ112" i="13"/>
  <c r="BA112" i="13"/>
  <c r="BC112" i="13"/>
  <c r="BE112" i="13"/>
  <c r="BF112" i="13"/>
  <c r="BI112" i="13"/>
  <c r="BJ112" i="13"/>
  <c r="BK112" i="13"/>
  <c r="BL112" i="13"/>
  <c r="AB113" i="13"/>
  <c r="AC113" i="13"/>
  <c r="AD113" i="13"/>
  <c r="AE113" i="13"/>
  <c r="AG113" i="13"/>
  <c r="AH113" i="13"/>
  <c r="AI113" i="13"/>
  <c r="AJ113" i="13"/>
  <c r="AK113" i="13"/>
  <c r="AL113" i="13"/>
  <c r="AM113" i="13"/>
  <c r="AN113" i="13"/>
  <c r="AO113" i="13"/>
  <c r="AP113" i="13"/>
  <c r="AQ113" i="13"/>
  <c r="AR113" i="13"/>
  <c r="AS113" i="13"/>
  <c r="AT113" i="13"/>
  <c r="AU113" i="13"/>
  <c r="AV113" i="13"/>
  <c r="AW113" i="13"/>
  <c r="AX113" i="13"/>
  <c r="AY113" i="13"/>
  <c r="AZ113" i="13"/>
  <c r="BA113" i="13"/>
  <c r="BC113" i="13"/>
  <c r="BE113" i="13"/>
  <c r="BF113" i="13"/>
  <c r="BI113" i="13"/>
  <c r="BJ113" i="13"/>
  <c r="BK113" i="13"/>
  <c r="BL113" i="13"/>
  <c r="AB114" i="13"/>
  <c r="AC114" i="13"/>
  <c r="AD114" i="13"/>
  <c r="AE114" i="13"/>
  <c r="AG114" i="13"/>
  <c r="AH114" i="13"/>
  <c r="AI114" i="13"/>
  <c r="AJ114" i="13"/>
  <c r="AK114" i="13"/>
  <c r="AL114" i="13"/>
  <c r="AM114" i="13"/>
  <c r="AN114" i="13"/>
  <c r="AO114" i="13"/>
  <c r="AP114" i="13"/>
  <c r="AQ114" i="13"/>
  <c r="AR114" i="13"/>
  <c r="AS114" i="13"/>
  <c r="AT114" i="13"/>
  <c r="AU114" i="13"/>
  <c r="AV114" i="13"/>
  <c r="AW114" i="13"/>
  <c r="AX114" i="13"/>
  <c r="AY114" i="13"/>
  <c r="AZ114" i="13"/>
  <c r="BA114" i="13"/>
  <c r="BC114" i="13"/>
  <c r="BE114" i="13"/>
  <c r="BF114" i="13"/>
  <c r="BI114" i="13"/>
  <c r="BJ114" i="13"/>
  <c r="BK114" i="13"/>
  <c r="BL114" i="13"/>
  <c r="AB115" i="13"/>
  <c r="AC115" i="13"/>
  <c r="AD115" i="13"/>
  <c r="AE115" i="13"/>
  <c r="AG115" i="13"/>
  <c r="AH115" i="13"/>
  <c r="AI115" i="13"/>
  <c r="AJ115" i="13"/>
  <c r="AK115" i="13"/>
  <c r="AL115" i="13"/>
  <c r="AM115" i="13"/>
  <c r="AN115" i="13"/>
  <c r="AO115" i="13"/>
  <c r="AP115" i="13"/>
  <c r="AQ115" i="13"/>
  <c r="AR115" i="13"/>
  <c r="AS115" i="13"/>
  <c r="AT115" i="13"/>
  <c r="AU115" i="13"/>
  <c r="AV115" i="13"/>
  <c r="AW115" i="13"/>
  <c r="AX115" i="13"/>
  <c r="AY115" i="13"/>
  <c r="AZ115" i="13"/>
  <c r="BA115" i="13"/>
  <c r="BC115" i="13"/>
  <c r="BE115" i="13"/>
  <c r="BF115" i="13"/>
  <c r="BI115" i="13"/>
  <c r="BJ115" i="13"/>
  <c r="BK115" i="13"/>
  <c r="BL115" i="13"/>
  <c r="AB116" i="13"/>
  <c r="AC116" i="13"/>
  <c r="AD116" i="13"/>
  <c r="AE116" i="13"/>
  <c r="AG116" i="13"/>
  <c r="AH116" i="13"/>
  <c r="AI116" i="13"/>
  <c r="AJ116" i="13"/>
  <c r="AK116" i="13"/>
  <c r="AL116" i="13"/>
  <c r="AM116" i="13"/>
  <c r="AN116" i="13"/>
  <c r="AO116" i="13"/>
  <c r="AP116" i="13"/>
  <c r="AQ116" i="13"/>
  <c r="AR116" i="13"/>
  <c r="AS116" i="13"/>
  <c r="AT116" i="13"/>
  <c r="AU116" i="13"/>
  <c r="AV116" i="13"/>
  <c r="AW116" i="13"/>
  <c r="AX116" i="13"/>
  <c r="AY116" i="13"/>
  <c r="AZ116" i="13"/>
  <c r="BA116" i="13"/>
  <c r="BC116" i="13"/>
  <c r="BE116" i="13"/>
  <c r="BF116" i="13"/>
  <c r="BI116" i="13"/>
  <c r="BJ116" i="13"/>
  <c r="BK116" i="13"/>
  <c r="BL116" i="13"/>
  <c r="AB117" i="13"/>
  <c r="AC117" i="13"/>
  <c r="AD117" i="13"/>
  <c r="AE117" i="13"/>
  <c r="AG117" i="13"/>
  <c r="AH117" i="13"/>
  <c r="AI117" i="13"/>
  <c r="AJ117" i="13"/>
  <c r="AK117" i="13"/>
  <c r="AL117" i="13"/>
  <c r="AM117" i="13"/>
  <c r="AN117" i="13"/>
  <c r="AO117" i="13"/>
  <c r="AP117" i="13"/>
  <c r="AQ117" i="13"/>
  <c r="AR117" i="13"/>
  <c r="AS117" i="13"/>
  <c r="AT117" i="13"/>
  <c r="AU117" i="13"/>
  <c r="AV117" i="13"/>
  <c r="AW117" i="13"/>
  <c r="AX117" i="13"/>
  <c r="AY117" i="13"/>
  <c r="AZ117" i="13"/>
  <c r="BA117" i="13"/>
  <c r="BC117" i="13"/>
  <c r="BE117" i="13"/>
  <c r="BF117" i="13"/>
  <c r="BI117" i="13"/>
  <c r="BJ117" i="13"/>
  <c r="BK117" i="13"/>
  <c r="BL117" i="13"/>
  <c r="AB118" i="13"/>
  <c r="AC118" i="13"/>
  <c r="AD118" i="13"/>
  <c r="AE118" i="13"/>
  <c r="AG118" i="13"/>
  <c r="AH118" i="13"/>
  <c r="AI118" i="13"/>
  <c r="AJ118" i="13"/>
  <c r="AK118" i="13"/>
  <c r="AL118" i="13"/>
  <c r="AM118" i="13"/>
  <c r="AN118" i="13"/>
  <c r="AO118" i="13"/>
  <c r="AP118" i="13"/>
  <c r="AQ118" i="13"/>
  <c r="AR118" i="13"/>
  <c r="AS118" i="13"/>
  <c r="AT118" i="13"/>
  <c r="AU118" i="13"/>
  <c r="AV118" i="13"/>
  <c r="AW118" i="13"/>
  <c r="AX118" i="13"/>
  <c r="AY118" i="13"/>
  <c r="AZ118" i="13"/>
  <c r="BA118" i="13"/>
  <c r="BC118" i="13"/>
  <c r="BE118" i="13"/>
  <c r="BF118" i="13"/>
  <c r="BI118" i="13"/>
  <c r="BJ118" i="13"/>
  <c r="BK118" i="13"/>
  <c r="BL118" i="13"/>
  <c r="AB119" i="13"/>
  <c r="AC119" i="13"/>
  <c r="AD119" i="13"/>
  <c r="AE119" i="13"/>
  <c r="AG119" i="13"/>
  <c r="AH119" i="13"/>
  <c r="AI119" i="13"/>
  <c r="AJ119" i="13"/>
  <c r="AK119" i="13"/>
  <c r="AL119" i="13"/>
  <c r="AM119" i="13"/>
  <c r="AN119" i="13"/>
  <c r="AO119" i="13"/>
  <c r="AP119" i="13"/>
  <c r="AQ119" i="13"/>
  <c r="AR119" i="13"/>
  <c r="AS119" i="13"/>
  <c r="AT119" i="13"/>
  <c r="AU119" i="13"/>
  <c r="AV119" i="13"/>
  <c r="AW119" i="13"/>
  <c r="AX119" i="13"/>
  <c r="AY119" i="13"/>
  <c r="AZ119" i="13"/>
  <c r="BA119" i="13"/>
  <c r="BC119" i="13"/>
  <c r="BE119" i="13"/>
  <c r="BF119" i="13"/>
  <c r="BI119" i="13"/>
  <c r="BJ119" i="13"/>
  <c r="BK119" i="13"/>
  <c r="BL119" i="13"/>
  <c r="AB120" i="13"/>
  <c r="AC120" i="13"/>
  <c r="AD120" i="13"/>
  <c r="AE120" i="13"/>
  <c r="AG120" i="13"/>
  <c r="AH120" i="13"/>
  <c r="AI120" i="13"/>
  <c r="AJ120" i="13"/>
  <c r="AK120" i="13"/>
  <c r="AL120" i="13"/>
  <c r="AM120" i="13"/>
  <c r="AN120" i="13"/>
  <c r="AO120" i="13"/>
  <c r="AP120" i="13"/>
  <c r="AQ120" i="13"/>
  <c r="AR120" i="13"/>
  <c r="AS120" i="13"/>
  <c r="AT120" i="13"/>
  <c r="AU120" i="13"/>
  <c r="AV120" i="13"/>
  <c r="AW120" i="13"/>
  <c r="AX120" i="13"/>
  <c r="AY120" i="13"/>
  <c r="AZ120" i="13"/>
  <c r="BA120" i="13"/>
  <c r="BC120" i="13"/>
  <c r="BE120" i="13"/>
  <c r="BF120" i="13"/>
  <c r="BI120" i="13"/>
  <c r="BJ120" i="13"/>
  <c r="BK120" i="13"/>
  <c r="BL120" i="13"/>
  <c r="AB121" i="13"/>
  <c r="AC121" i="13"/>
  <c r="AD121" i="13"/>
  <c r="AE121" i="13"/>
  <c r="AG121" i="13"/>
  <c r="AH121" i="13"/>
  <c r="AI121" i="13"/>
  <c r="AJ121" i="13"/>
  <c r="AK121" i="13"/>
  <c r="AL121" i="13"/>
  <c r="AM121" i="13"/>
  <c r="AN121" i="13"/>
  <c r="AO121" i="13"/>
  <c r="AP121" i="13"/>
  <c r="AQ121" i="13"/>
  <c r="AR121" i="13"/>
  <c r="AS121" i="13"/>
  <c r="AT121" i="13"/>
  <c r="AU121" i="13"/>
  <c r="AV121" i="13"/>
  <c r="AW121" i="13"/>
  <c r="AX121" i="13"/>
  <c r="AY121" i="13"/>
  <c r="AZ121" i="13"/>
  <c r="BA121" i="13"/>
  <c r="BC121" i="13"/>
  <c r="BE121" i="13"/>
  <c r="BF121" i="13"/>
  <c r="BI121" i="13"/>
  <c r="BJ121" i="13"/>
  <c r="BK121" i="13"/>
  <c r="BL121" i="13"/>
  <c r="AB122" i="13"/>
  <c r="AC122" i="13"/>
  <c r="AD122" i="13"/>
  <c r="AE122" i="13"/>
  <c r="AG122" i="13"/>
  <c r="AH122" i="13"/>
  <c r="AI122" i="13"/>
  <c r="AJ122" i="13"/>
  <c r="AK122" i="13"/>
  <c r="AL122" i="13"/>
  <c r="AM122" i="13"/>
  <c r="AN122" i="13"/>
  <c r="AO122" i="13"/>
  <c r="AP122" i="13"/>
  <c r="AQ122" i="13"/>
  <c r="AR122" i="13"/>
  <c r="AS122" i="13"/>
  <c r="AT122" i="13"/>
  <c r="AU122" i="13"/>
  <c r="AV122" i="13"/>
  <c r="AW122" i="13"/>
  <c r="AX122" i="13"/>
  <c r="AY122" i="13"/>
  <c r="AZ122" i="13"/>
  <c r="BA122" i="13"/>
  <c r="BC122" i="13"/>
  <c r="BE122" i="13"/>
  <c r="BF122" i="13"/>
  <c r="BI122" i="13"/>
  <c r="BJ122" i="13"/>
  <c r="BK122" i="13"/>
  <c r="BL122" i="13"/>
  <c r="AB123" i="13"/>
  <c r="AC123" i="13"/>
  <c r="AD123" i="13"/>
  <c r="AE123" i="13"/>
  <c r="AG123" i="13"/>
  <c r="AH123" i="13"/>
  <c r="AI123" i="13"/>
  <c r="AJ123" i="13"/>
  <c r="AK123" i="13"/>
  <c r="AL123" i="13"/>
  <c r="AM123" i="13"/>
  <c r="AN123" i="13"/>
  <c r="AO123" i="13"/>
  <c r="AP123" i="13"/>
  <c r="AQ123" i="13"/>
  <c r="AR123" i="13"/>
  <c r="AS123" i="13"/>
  <c r="AT123" i="13"/>
  <c r="AU123" i="13"/>
  <c r="AV123" i="13"/>
  <c r="AW123" i="13"/>
  <c r="AX123" i="13"/>
  <c r="AY123" i="13"/>
  <c r="AZ123" i="13"/>
  <c r="BA123" i="13"/>
  <c r="BC123" i="13"/>
  <c r="BE123" i="13"/>
  <c r="BF123" i="13"/>
  <c r="BI123" i="13"/>
  <c r="BJ123" i="13"/>
  <c r="BK123" i="13"/>
  <c r="BL123" i="13"/>
  <c r="AB124" i="13"/>
  <c r="AC124" i="13"/>
  <c r="AD124" i="13"/>
  <c r="AE124" i="13"/>
  <c r="AG124" i="13"/>
  <c r="AH124" i="13"/>
  <c r="AI124" i="13"/>
  <c r="AJ124" i="13"/>
  <c r="AK124" i="13"/>
  <c r="AL124" i="13"/>
  <c r="AM124" i="13"/>
  <c r="AN124" i="13"/>
  <c r="AO124" i="13"/>
  <c r="AP124" i="13"/>
  <c r="AQ124" i="13"/>
  <c r="AR124" i="13"/>
  <c r="AS124" i="13"/>
  <c r="AT124" i="13"/>
  <c r="AU124" i="13"/>
  <c r="AV124" i="13"/>
  <c r="AW124" i="13"/>
  <c r="AX124" i="13"/>
  <c r="AY124" i="13"/>
  <c r="AZ124" i="13"/>
  <c r="BA124" i="13"/>
  <c r="BC124" i="13"/>
  <c r="BE124" i="13"/>
  <c r="BF124" i="13"/>
  <c r="BI124" i="13"/>
  <c r="BJ124" i="13"/>
  <c r="BK124" i="13"/>
  <c r="BL124" i="13"/>
  <c r="AB125" i="13"/>
  <c r="AC125" i="13"/>
  <c r="AD125" i="13"/>
  <c r="AE125" i="13"/>
  <c r="AG125" i="13"/>
  <c r="AH125" i="13"/>
  <c r="AI125" i="13"/>
  <c r="AJ125" i="13"/>
  <c r="AK125" i="13"/>
  <c r="AL125" i="13"/>
  <c r="AM125" i="13"/>
  <c r="AN125" i="13"/>
  <c r="AO125" i="13"/>
  <c r="AP125" i="13"/>
  <c r="AQ125" i="13"/>
  <c r="AR125" i="13"/>
  <c r="AS125" i="13"/>
  <c r="AT125" i="13"/>
  <c r="AU125" i="13"/>
  <c r="AV125" i="13"/>
  <c r="AW125" i="13"/>
  <c r="AX125" i="13"/>
  <c r="AY125" i="13"/>
  <c r="AZ125" i="13"/>
  <c r="BA125" i="13"/>
  <c r="BC125" i="13"/>
  <c r="BE125" i="13"/>
  <c r="BF125" i="13"/>
  <c r="BI125" i="13"/>
  <c r="BJ125" i="13"/>
  <c r="BK125" i="13"/>
  <c r="BL125" i="13"/>
  <c r="AB126" i="13"/>
  <c r="AC126" i="13"/>
  <c r="AD126" i="13"/>
  <c r="AE126" i="13"/>
  <c r="AG126" i="13"/>
  <c r="AH126" i="13"/>
  <c r="AI126" i="13"/>
  <c r="AJ126" i="13"/>
  <c r="AK126" i="13"/>
  <c r="AL126" i="13"/>
  <c r="AM126" i="13"/>
  <c r="AN126" i="13"/>
  <c r="AO126" i="13"/>
  <c r="AP126" i="13"/>
  <c r="AQ126" i="13"/>
  <c r="AR126" i="13"/>
  <c r="AS126" i="13"/>
  <c r="AT126" i="13"/>
  <c r="AU126" i="13"/>
  <c r="AV126" i="13"/>
  <c r="AW126" i="13"/>
  <c r="AX126" i="13"/>
  <c r="AY126" i="13"/>
  <c r="AZ126" i="13"/>
  <c r="BA126" i="13"/>
  <c r="BC126" i="13"/>
  <c r="BE126" i="13"/>
  <c r="BF126" i="13"/>
  <c r="BI126" i="13"/>
  <c r="BJ126" i="13"/>
  <c r="BK126" i="13"/>
  <c r="BL126" i="13"/>
  <c r="AB127" i="13"/>
  <c r="AC127" i="13"/>
  <c r="AD127" i="13"/>
  <c r="AE127" i="13"/>
  <c r="AG127" i="13"/>
  <c r="AH127" i="13"/>
  <c r="AI127" i="13"/>
  <c r="AJ127" i="13"/>
  <c r="AK127" i="13"/>
  <c r="AL127" i="13"/>
  <c r="AM127" i="13"/>
  <c r="AN127" i="13"/>
  <c r="AO127" i="13"/>
  <c r="AP127" i="13"/>
  <c r="AQ127" i="13"/>
  <c r="AR127" i="13"/>
  <c r="AS127" i="13"/>
  <c r="AT127" i="13"/>
  <c r="AU127" i="13"/>
  <c r="AV127" i="13"/>
  <c r="AW127" i="13"/>
  <c r="AX127" i="13"/>
  <c r="AY127" i="13"/>
  <c r="AZ127" i="13"/>
  <c r="BA127" i="13"/>
  <c r="BC127" i="13"/>
  <c r="BE127" i="13"/>
  <c r="BF127" i="13"/>
  <c r="BI127" i="13"/>
  <c r="BJ127" i="13"/>
  <c r="BK127" i="13"/>
  <c r="BL127" i="13"/>
  <c r="AB128" i="13"/>
  <c r="AC128" i="13"/>
  <c r="AD128" i="13"/>
  <c r="AE128" i="13"/>
  <c r="AG128" i="13"/>
  <c r="AH128" i="13"/>
  <c r="AI128" i="13"/>
  <c r="AJ128" i="13"/>
  <c r="AK128" i="13"/>
  <c r="AL128" i="13"/>
  <c r="AM128" i="13"/>
  <c r="AN128" i="13"/>
  <c r="AO128" i="13"/>
  <c r="AP128" i="13"/>
  <c r="AQ128" i="13"/>
  <c r="AR128" i="13"/>
  <c r="AS128" i="13"/>
  <c r="AT128" i="13"/>
  <c r="AU128" i="13"/>
  <c r="AV128" i="13"/>
  <c r="AW128" i="13"/>
  <c r="AX128" i="13"/>
  <c r="AY128" i="13"/>
  <c r="AZ128" i="13"/>
  <c r="BA128" i="13"/>
  <c r="BC128" i="13"/>
  <c r="BE128" i="13"/>
  <c r="BF128" i="13"/>
  <c r="BI128" i="13"/>
  <c r="BJ128" i="13"/>
  <c r="BK128" i="13"/>
  <c r="BL128" i="13"/>
  <c r="AB129" i="13"/>
  <c r="AC129" i="13"/>
  <c r="AD129" i="13"/>
  <c r="AE129" i="13"/>
  <c r="AG129" i="13"/>
  <c r="AH129" i="13"/>
  <c r="AI129" i="13"/>
  <c r="AJ129" i="13"/>
  <c r="AK129" i="13"/>
  <c r="AL129" i="13"/>
  <c r="AM129" i="13"/>
  <c r="AN129" i="13"/>
  <c r="AO129" i="13"/>
  <c r="AP129" i="13"/>
  <c r="AQ129" i="13"/>
  <c r="AR129" i="13"/>
  <c r="AS129" i="13"/>
  <c r="AT129" i="13"/>
  <c r="AU129" i="13"/>
  <c r="AV129" i="13"/>
  <c r="AW129" i="13"/>
  <c r="AX129" i="13"/>
  <c r="AY129" i="13"/>
  <c r="AZ129" i="13"/>
  <c r="BA129" i="13"/>
  <c r="BC129" i="13"/>
  <c r="BE129" i="13"/>
  <c r="BF129" i="13"/>
  <c r="BI129" i="13"/>
  <c r="BJ129" i="13"/>
  <c r="BK129" i="13"/>
  <c r="BL129" i="13"/>
  <c r="AB130" i="13"/>
  <c r="AC130" i="13"/>
  <c r="AD130" i="13"/>
  <c r="AE130" i="13"/>
  <c r="AG130" i="13"/>
  <c r="AH130" i="13"/>
  <c r="AI130" i="13"/>
  <c r="AJ130" i="13"/>
  <c r="AK130" i="13"/>
  <c r="AL130" i="13"/>
  <c r="AM130" i="13"/>
  <c r="AN130" i="13"/>
  <c r="AO130" i="13"/>
  <c r="AP130" i="13"/>
  <c r="AQ130" i="13"/>
  <c r="AR130" i="13"/>
  <c r="AS130" i="13"/>
  <c r="AT130" i="13"/>
  <c r="AU130" i="13"/>
  <c r="AV130" i="13"/>
  <c r="AW130" i="13"/>
  <c r="AX130" i="13"/>
  <c r="AY130" i="13"/>
  <c r="AZ130" i="13"/>
  <c r="BA130" i="13"/>
  <c r="BC130" i="13"/>
  <c r="BE130" i="13"/>
  <c r="BF130" i="13"/>
  <c r="BI130" i="13"/>
  <c r="BJ130" i="13"/>
  <c r="BK130" i="13"/>
  <c r="BL130" i="13"/>
  <c r="AB131" i="13"/>
  <c r="AC131" i="13"/>
  <c r="AD131" i="13"/>
  <c r="AE131" i="13"/>
  <c r="AG131" i="13"/>
  <c r="AH131" i="13"/>
  <c r="AI131" i="13"/>
  <c r="AJ131" i="13"/>
  <c r="AK131" i="13"/>
  <c r="AL131" i="13"/>
  <c r="AM131" i="13"/>
  <c r="AN131" i="13"/>
  <c r="AO131" i="13"/>
  <c r="AP131" i="13"/>
  <c r="AQ131" i="13"/>
  <c r="AR131" i="13"/>
  <c r="AS131" i="13"/>
  <c r="AT131" i="13"/>
  <c r="AU131" i="13"/>
  <c r="AV131" i="13"/>
  <c r="AW131" i="13"/>
  <c r="AX131" i="13"/>
  <c r="AY131" i="13"/>
  <c r="AZ131" i="13"/>
  <c r="BA131" i="13"/>
  <c r="BC131" i="13"/>
  <c r="BE131" i="13"/>
  <c r="BF131" i="13"/>
  <c r="BI131" i="13"/>
  <c r="BJ131" i="13"/>
  <c r="BK131" i="13"/>
  <c r="BL131" i="13"/>
  <c r="AB132" i="13"/>
  <c r="AC132" i="13"/>
  <c r="AD132" i="13"/>
  <c r="AE132" i="13"/>
  <c r="AG132" i="13"/>
  <c r="AH132" i="13"/>
  <c r="AI132" i="13"/>
  <c r="AJ132" i="13"/>
  <c r="AK132" i="13"/>
  <c r="AL132" i="13"/>
  <c r="AM132" i="13"/>
  <c r="AN132" i="13"/>
  <c r="AO132" i="13"/>
  <c r="AP132" i="13"/>
  <c r="AQ132" i="13"/>
  <c r="AR132" i="13"/>
  <c r="AS132" i="13"/>
  <c r="AT132" i="13"/>
  <c r="AU132" i="13"/>
  <c r="AV132" i="13"/>
  <c r="AW132" i="13"/>
  <c r="AX132" i="13"/>
  <c r="AY132" i="13"/>
  <c r="AZ132" i="13"/>
  <c r="BA132" i="13"/>
  <c r="BC132" i="13"/>
  <c r="BE132" i="13"/>
  <c r="BF132" i="13"/>
  <c r="BI132" i="13"/>
  <c r="BJ132" i="13"/>
  <c r="BK132" i="13"/>
  <c r="BL132" i="13"/>
  <c r="AB133" i="13"/>
  <c r="AC133" i="13"/>
  <c r="AD133" i="13"/>
  <c r="AE133" i="13"/>
  <c r="AG133" i="13"/>
  <c r="AH133" i="13"/>
  <c r="AI133" i="13"/>
  <c r="AJ133" i="13"/>
  <c r="AK133" i="13"/>
  <c r="AL133" i="13"/>
  <c r="AM133" i="13"/>
  <c r="AN133" i="13"/>
  <c r="AO133" i="13"/>
  <c r="AP133" i="13"/>
  <c r="AQ133" i="13"/>
  <c r="AR133" i="13"/>
  <c r="AS133" i="13"/>
  <c r="AT133" i="13"/>
  <c r="AU133" i="13"/>
  <c r="AV133" i="13"/>
  <c r="AW133" i="13"/>
  <c r="AX133" i="13"/>
  <c r="AY133" i="13"/>
  <c r="AZ133" i="13"/>
  <c r="BA133" i="13"/>
  <c r="BC133" i="13"/>
  <c r="BE133" i="13"/>
  <c r="BF133" i="13"/>
  <c r="BI133" i="13"/>
  <c r="BJ133" i="13"/>
  <c r="BK133" i="13"/>
  <c r="BL133" i="13"/>
  <c r="AB134" i="13"/>
  <c r="AC134" i="13"/>
  <c r="AD134" i="13"/>
  <c r="AE134" i="13"/>
  <c r="AG134" i="13"/>
  <c r="AH134" i="13"/>
  <c r="AI134" i="13"/>
  <c r="AJ134" i="13"/>
  <c r="AK134" i="13"/>
  <c r="AL134" i="13"/>
  <c r="AM134" i="13"/>
  <c r="AN134" i="13"/>
  <c r="AO134" i="13"/>
  <c r="AP134" i="13"/>
  <c r="AQ134" i="13"/>
  <c r="AR134" i="13"/>
  <c r="AS134" i="13"/>
  <c r="AT134" i="13"/>
  <c r="AU134" i="13"/>
  <c r="AV134" i="13"/>
  <c r="AW134" i="13"/>
  <c r="AX134" i="13"/>
  <c r="AY134" i="13"/>
  <c r="AZ134" i="13"/>
  <c r="BA134" i="13"/>
  <c r="BC134" i="13"/>
  <c r="BE134" i="13"/>
  <c r="BF134" i="13"/>
  <c r="BI134" i="13"/>
  <c r="BJ134" i="13"/>
  <c r="BK134" i="13"/>
  <c r="BL134" i="13"/>
  <c r="AB135" i="13"/>
  <c r="AC135" i="13"/>
  <c r="AD135" i="13"/>
  <c r="AE135" i="13"/>
  <c r="AG135" i="13"/>
  <c r="AH135" i="13"/>
  <c r="AI135" i="13"/>
  <c r="AJ135" i="13"/>
  <c r="AK135" i="13"/>
  <c r="AL135" i="13"/>
  <c r="AM135" i="13"/>
  <c r="AN135" i="13"/>
  <c r="AO135" i="13"/>
  <c r="AP135" i="13"/>
  <c r="AQ135" i="13"/>
  <c r="AR135" i="13"/>
  <c r="AS135" i="13"/>
  <c r="AT135" i="13"/>
  <c r="AU135" i="13"/>
  <c r="AV135" i="13"/>
  <c r="AW135" i="13"/>
  <c r="AX135" i="13"/>
  <c r="AY135" i="13"/>
  <c r="AZ135" i="13"/>
  <c r="BA135" i="13"/>
  <c r="BC135" i="13"/>
  <c r="BE135" i="13"/>
  <c r="BF135" i="13"/>
  <c r="BI135" i="13"/>
  <c r="BJ135" i="13"/>
  <c r="BK135" i="13"/>
  <c r="BL135" i="13"/>
  <c r="AB136" i="13"/>
  <c r="AC136" i="13"/>
  <c r="AD136" i="13"/>
  <c r="AE136" i="13"/>
  <c r="AG136" i="13"/>
  <c r="AH136" i="13"/>
  <c r="AI136" i="13"/>
  <c r="AJ136" i="13"/>
  <c r="AK136" i="13"/>
  <c r="AL136" i="13"/>
  <c r="AM136" i="13"/>
  <c r="AN136" i="13"/>
  <c r="AO136" i="13"/>
  <c r="AP136" i="13"/>
  <c r="AQ136" i="13"/>
  <c r="AR136" i="13"/>
  <c r="AS136" i="13"/>
  <c r="AT136" i="13"/>
  <c r="AU136" i="13"/>
  <c r="AV136" i="13"/>
  <c r="AW136" i="13"/>
  <c r="AX136" i="13"/>
  <c r="AY136" i="13"/>
  <c r="AZ136" i="13"/>
  <c r="BA136" i="13"/>
  <c r="BC136" i="13"/>
  <c r="BE136" i="13"/>
  <c r="BF136" i="13"/>
  <c r="BI136" i="13"/>
  <c r="BJ136" i="13"/>
  <c r="BK136" i="13"/>
  <c r="BL136" i="13"/>
  <c r="AB137" i="13"/>
  <c r="AC137" i="13"/>
  <c r="AD137" i="13"/>
  <c r="AE137" i="13"/>
  <c r="AG137" i="13"/>
  <c r="AH137" i="13"/>
  <c r="AI137" i="13"/>
  <c r="AJ137" i="13"/>
  <c r="AK137" i="13"/>
  <c r="AL137" i="13"/>
  <c r="AM137" i="13"/>
  <c r="AN137" i="13"/>
  <c r="AO137" i="13"/>
  <c r="AP137" i="13"/>
  <c r="AQ137" i="13"/>
  <c r="AR137" i="13"/>
  <c r="AS137" i="13"/>
  <c r="AT137" i="13"/>
  <c r="AU137" i="13"/>
  <c r="AV137" i="13"/>
  <c r="AW137" i="13"/>
  <c r="AX137" i="13"/>
  <c r="AY137" i="13"/>
  <c r="AZ137" i="13"/>
  <c r="BA137" i="13"/>
  <c r="BC137" i="13"/>
  <c r="BE137" i="13"/>
  <c r="BF137" i="13"/>
  <c r="BI137" i="13"/>
  <c r="BJ137" i="13"/>
  <c r="BK137" i="13"/>
  <c r="BL137" i="13"/>
  <c r="AB138" i="13"/>
  <c r="AC138" i="13"/>
  <c r="AD138" i="13"/>
  <c r="AE138" i="13"/>
  <c r="AG138" i="13"/>
  <c r="AH138" i="13"/>
  <c r="AI138" i="13"/>
  <c r="AJ138" i="13"/>
  <c r="AK138" i="13"/>
  <c r="AL138" i="13"/>
  <c r="AM138" i="13"/>
  <c r="AN138" i="13"/>
  <c r="AO138" i="13"/>
  <c r="AP138" i="13"/>
  <c r="AQ138" i="13"/>
  <c r="AR138" i="13"/>
  <c r="AS138" i="13"/>
  <c r="AT138" i="13"/>
  <c r="AU138" i="13"/>
  <c r="AV138" i="13"/>
  <c r="AW138" i="13"/>
  <c r="AX138" i="13"/>
  <c r="AY138" i="13"/>
  <c r="AZ138" i="13"/>
  <c r="BA138" i="13"/>
  <c r="BC138" i="13"/>
  <c r="BE138" i="13"/>
  <c r="BF138" i="13"/>
  <c r="BI138" i="13"/>
  <c r="BJ138" i="13"/>
  <c r="BK138" i="13"/>
  <c r="BL138" i="13"/>
  <c r="AB139" i="13"/>
  <c r="AC139" i="13"/>
  <c r="AD139" i="13"/>
  <c r="AE139" i="13"/>
  <c r="AG139" i="13"/>
  <c r="AH139" i="13"/>
  <c r="AI139" i="13"/>
  <c r="AJ139" i="13"/>
  <c r="AK139" i="13"/>
  <c r="AL139" i="13"/>
  <c r="AM139" i="13"/>
  <c r="AN139" i="13"/>
  <c r="AO139" i="13"/>
  <c r="AP139" i="13"/>
  <c r="AQ139" i="13"/>
  <c r="AR139" i="13"/>
  <c r="AS139" i="13"/>
  <c r="AT139" i="13"/>
  <c r="AU139" i="13"/>
  <c r="AV139" i="13"/>
  <c r="AW139" i="13"/>
  <c r="AX139" i="13"/>
  <c r="AY139" i="13"/>
  <c r="AZ139" i="13"/>
  <c r="BA139" i="13"/>
  <c r="BC139" i="13"/>
  <c r="BE139" i="13"/>
  <c r="BF139" i="13"/>
  <c r="BI139" i="13"/>
  <c r="BJ139" i="13"/>
  <c r="BK139" i="13"/>
  <c r="BL139" i="13"/>
  <c r="AB140" i="13"/>
  <c r="AC140" i="13"/>
  <c r="AD140" i="13"/>
  <c r="AE140" i="13"/>
  <c r="AG140" i="13"/>
  <c r="AH140" i="13"/>
  <c r="AI140" i="13"/>
  <c r="AJ140" i="13"/>
  <c r="AK140" i="13"/>
  <c r="AL140" i="13"/>
  <c r="AM140" i="13"/>
  <c r="AN140" i="13"/>
  <c r="AO140" i="13"/>
  <c r="AP140" i="13"/>
  <c r="AQ140" i="13"/>
  <c r="AR140" i="13"/>
  <c r="AS140" i="13"/>
  <c r="AT140" i="13"/>
  <c r="AU140" i="13"/>
  <c r="AV140" i="13"/>
  <c r="AW140" i="13"/>
  <c r="AX140" i="13"/>
  <c r="AY140" i="13"/>
  <c r="AZ140" i="13"/>
  <c r="BA140" i="13"/>
  <c r="BC140" i="13"/>
  <c r="BE140" i="13"/>
  <c r="BF140" i="13"/>
  <c r="BI140" i="13"/>
  <c r="BJ140" i="13"/>
  <c r="BK140" i="13"/>
  <c r="BL140" i="13"/>
  <c r="AB141" i="13"/>
  <c r="AC141" i="13"/>
  <c r="AD141" i="13"/>
  <c r="AE141" i="13"/>
  <c r="AG141" i="13"/>
  <c r="AH141" i="13"/>
  <c r="AI141" i="13"/>
  <c r="AJ141" i="13"/>
  <c r="AK141" i="13"/>
  <c r="AL141" i="13"/>
  <c r="AM141" i="13"/>
  <c r="AN141" i="13"/>
  <c r="AO141" i="13"/>
  <c r="AP141" i="13"/>
  <c r="AQ141" i="13"/>
  <c r="AR141" i="13"/>
  <c r="AS141" i="13"/>
  <c r="AT141" i="13"/>
  <c r="AU141" i="13"/>
  <c r="AV141" i="13"/>
  <c r="AW141" i="13"/>
  <c r="AX141" i="13"/>
  <c r="AY141" i="13"/>
  <c r="AZ141" i="13"/>
  <c r="BA141" i="13"/>
  <c r="BC141" i="13"/>
  <c r="BE141" i="13"/>
  <c r="BF141" i="13"/>
  <c r="BI141" i="13"/>
  <c r="BJ141" i="13"/>
  <c r="BK141" i="13"/>
  <c r="BL141" i="13"/>
  <c r="AB142" i="13"/>
  <c r="AC142" i="13"/>
  <c r="AD142" i="13"/>
  <c r="AE142" i="13"/>
  <c r="AG142" i="13"/>
  <c r="AH142" i="13"/>
  <c r="AI142" i="13"/>
  <c r="AJ142" i="13"/>
  <c r="AK142" i="13"/>
  <c r="AL142" i="13"/>
  <c r="AM142" i="13"/>
  <c r="AN142" i="13"/>
  <c r="AO142" i="13"/>
  <c r="AP142" i="13"/>
  <c r="AQ142" i="13"/>
  <c r="AR142" i="13"/>
  <c r="AS142" i="13"/>
  <c r="AT142" i="13"/>
  <c r="AU142" i="13"/>
  <c r="AV142" i="13"/>
  <c r="AW142" i="13"/>
  <c r="AX142" i="13"/>
  <c r="AY142" i="13"/>
  <c r="AZ142" i="13"/>
  <c r="BA142" i="13"/>
  <c r="BC142" i="13"/>
  <c r="BE142" i="13"/>
  <c r="BF142" i="13"/>
  <c r="BI142" i="13"/>
  <c r="BJ142" i="13"/>
  <c r="BK142" i="13"/>
  <c r="BL142" i="13"/>
  <c r="AB143" i="13"/>
  <c r="AC143" i="13"/>
  <c r="AD143" i="13"/>
  <c r="AE143" i="13"/>
  <c r="AG143" i="13"/>
  <c r="AH143" i="13"/>
  <c r="AI143" i="13"/>
  <c r="AJ143" i="13"/>
  <c r="AK143" i="13"/>
  <c r="AL143" i="13"/>
  <c r="AM143" i="13"/>
  <c r="AN143" i="13"/>
  <c r="AO143" i="13"/>
  <c r="AP143" i="13"/>
  <c r="AQ143" i="13"/>
  <c r="AR143" i="13"/>
  <c r="AS143" i="13"/>
  <c r="AT143" i="13"/>
  <c r="AU143" i="13"/>
  <c r="AV143" i="13"/>
  <c r="AW143" i="13"/>
  <c r="AX143" i="13"/>
  <c r="AY143" i="13"/>
  <c r="AZ143" i="13"/>
  <c r="BA143" i="13"/>
  <c r="BC143" i="13"/>
  <c r="BE143" i="13"/>
  <c r="BF143" i="13"/>
  <c r="BI143" i="13"/>
  <c r="BJ143" i="13"/>
  <c r="BK143" i="13"/>
  <c r="BL143" i="13"/>
  <c r="AB144" i="13"/>
  <c r="AC144" i="13"/>
  <c r="AD144" i="13"/>
  <c r="AE144" i="13"/>
  <c r="AG144" i="13"/>
  <c r="AH144" i="13"/>
  <c r="AI144" i="13"/>
  <c r="AJ144" i="13"/>
  <c r="AK144" i="13"/>
  <c r="AL144" i="13"/>
  <c r="AM144" i="13"/>
  <c r="AN144" i="13"/>
  <c r="AO144" i="13"/>
  <c r="AP144" i="13"/>
  <c r="AQ144" i="13"/>
  <c r="AR144" i="13"/>
  <c r="AS144" i="13"/>
  <c r="AT144" i="13"/>
  <c r="AU144" i="13"/>
  <c r="AV144" i="13"/>
  <c r="AW144" i="13"/>
  <c r="AX144" i="13"/>
  <c r="AY144" i="13"/>
  <c r="AZ144" i="13"/>
  <c r="BA144" i="13"/>
  <c r="BC144" i="13"/>
  <c r="BE144" i="13"/>
  <c r="BF144" i="13"/>
  <c r="BI144" i="13"/>
  <c r="BJ144" i="13"/>
  <c r="BK144" i="13"/>
  <c r="BL144" i="13"/>
  <c r="AB145" i="13"/>
  <c r="AC145" i="13"/>
  <c r="AD145" i="13"/>
  <c r="AE145" i="13"/>
  <c r="AG145" i="13"/>
  <c r="AH145" i="13"/>
  <c r="AI145" i="13"/>
  <c r="AJ145" i="13"/>
  <c r="AK145" i="13"/>
  <c r="AL145" i="13"/>
  <c r="AM145" i="13"/>
  <c r="AN145" i="13"/>
  <c r="AO145" i="13"/>
  <c r="AP145" i="13"/>
  <c r="AQ145" i="13"/>
  <c r="AR145" i="13"/>
  <c r="AS145" i="13"/>
  <c r="AT145" i="13"/>
  <c r="AU145" i="13"/>
  <c r="AV145" i="13"/>
  <c r="AW145" i="13"/>
  <c r="AX145" i="13"/>
  <c r="AY145" i="13"/>
  <c r="AZ145" i="13"/>
  <c r="BA145" i="13"/>
  <c r="BC145" i="13"/>
  <c r="BE145" i="13"/>
  <c r="BF145" i="13"/>
  <c r="BI145" i="13"/>
  <c r="BJ145" i="13"/>
  <c r="BK145" i="13"/>
  <c r="BL145" i="13"/>
  <c r="AB146" i="13"/>
  <c r="AC146" i="13"/>
  <c r="AD146" i="13"/>
  <c r="AE146" i="13"/>
  <c r="AG146" i="13"/>
  <c r="AH146" i="13"/>
  <c r="AI146" i="13"/>
  <c r="AJ146" i="13"/>
  <c r="AK146" i="13"/>
  <c r="AL146" i="13"/>
  <c r="AM146" i="13"/>
  <c r="AN146" i="13"/>
  <c r="AO146" i="13"/>
  <c r="AP146" i="13"/>
  <c r="AQ146" i="13"/>
  <c r="AR146" i="13"/>
  <c r="AS146" i="13"/>
  <c r="AT146" i="13"/>
  <c r="AU146" i="13"/>
  <c r="AV146" i="13"/>
  <c r="AW146" i="13"/>
  <c r="AX146" i="13"/>
  <c r="AY146" i="13"/>
  <c r="AZ146" i="13"/>
  <c r="BA146" i="13"/>
  <c r="BC146" i="13"/>
  <c r="BE146" i="13"/>
  <c r="BF146" i="13"/>
  <c r="BI146" i="13"/>
  <c r="BJ146" i="13"/>
  <c r="BK146" i="13"/>
  <c r="BL146" i="13"/>
  <c r="AB147" i="13"/>
  <c r="AC147" i="13"/>
  <c r="AD147" i="13"/>
  <c r="AE147" i="13"/>
  <c r="AG147" i="13"/>
  <c r="AH147" i="13"/>
  <c r="AI147" i="13"/>
  <c r="AJ147" i="13"/>
  <c r="AK147" i="13"/>
  <c r="AL147" i="13"/>
  <c r="AM147" i="13"/>
  <c r="AN147" i="13"/>
  <c r="AO147" i="13"/>
  <c r="AP147" i="13"/>
  <c r="AQ147" i="13"/>
  <c r="AR147" i="13"/>
  <c r="AS147" i="13"/>
  <c r="AT147" i="13"/>
  <c r="AU147" i="13"/>
  <c r="AV147" i="13"/>
  <c r="AW147" i="13"/>
  <c r="AX147" i="13"/>
  <c r="AY147" i="13"/>
  <c r="AZ147" i="13"/>
  <c r="BA147" i="13"/>
  <c r="BC147" i="13"/>
  <c r="BE147" i="13"/>
  <c r="BF147" i="13"/>
  <c r="BI147" i="13"/>
  <c r="BJ147" i="13"/>
  <c r="BK147" i="13"/>
  <c r="BL147" i="13"/>
  <c r="AB148" i="13"/>
  <c r="AC148" i="13"/>
  <c r="AD148" i="13"/>
  <c r="AE148" i="13"/>
  <c r="AG148" i="13"/>
  <c r="AH148" i="13"/>
  <c r="AI148" i="13"/>
  <c r="AJ148" i="13"/>
  <c r="AK148" i="13"/>
  <c r="AL148" i="13"/>
  <c r="AM148" i="13"/>
  <c r="AN148" i="13"/>
  <c r="AO148" i="13"/>
  <c r="AP148" i="13"/>
  <c r="AQ148" i="13"/>
  <c r="AR148" i="13"/>
  <c r="AS148" i="13"/>
  <c r="AT148" i="13"/>
  <c r="AU148" i="13"/>
  <c r="AV148" i="13"/>
  <c r="AW148" i="13"/>
  <c r="AX148" i="13"/>
  <c r="AY148" i="13"/>
  <c r="AZ148" i="13"/>
  <c r="BA148" i="13"/>
  <c r="BC148" i="13"/>
  <c r="BE148" i="13"/>
  <c r="BF148" i="13"/>
  <c r="BI148" i="13"/>
  <c r="BJ148" i="13"/>
  <c r="BK148" i="13"/>
  <c r="BL148" i="13"/>
  <c r="AB149" i="13"/>
  <c r="AC149" i="13"/>
  <c r="AD149" i="13"/>
  <c r="AE149" i="13"/>
  <c r="AG149" i="13"/>
  <c r="AH149" i="13"/>
  <c r="AI149" i="13"/>
  <c r="AJ149" i="13"/>
  <c r="AK149" i="13"/>
  <c r="AL149" i="13"/>
  <c r="AM149" i="13"/>
  <c r="AN149" i="13"/>
  <c r="AO149" i="13"/>
  <c r="AP149" i="13"/>
  <c r="AQ149" i="13"/>
  <c r="AR149" i="13"/>
  <c r="AS149" i="13"/>
  <c r="AT149" i="13"/>
  <c r="AU149" i="13"/>
  <c r="AV149" i="13"/>
  <c r="AW149" i="13"/>
  <c r="AX149" i="13"/>
  <c r="AY149" i="13"/>
  <c r="AZ149" i="13"/>
  <c r="BA149" i="13"/>
  <c r="BC149" i="13"/>
  <c r="BE149" i="13"/>
  <c r="BF149" i="13"/>
  <c r="BI149" i="13"/>
  <c r="BJ149" i="13"/>
  <c r="BK149" i="13"/>
  <c r="BL149" i="13"/>
  <c r="AB150" i="13"/>
  <c r="AC150" i="13"/>
  <c r="AD150" i="13"/>
  <c r="AE150" i="13"/>
  <c r="AG150" i="13"/>
  <c r="AH150" i="13"/>
  <c r="AI150" i="13"/>
  <c r="AJ150" i="13"/>
  <c r="AK150" i="13"/>
  <c r="AL150" i="13"/>
  <c r="AM150" i="13"/>
  <c r="AN150" i="13"/>
  <c r="AO150" i="13"/>
  <c r="AP150" i="13"/>
  <c r="AQ150" i="13"/>
  <c r="AR150" i="13"/>
  <c r="AS150" i="13"/>
  <c r="AT150" i="13"/>
  <c r="AU150" i="13"/>
  <c r="AV150" i="13"/>
  <c r="AW150" i="13"/>
  <c r="AX150" i="13"/>
  <c r="AY150" i="13"/>
  <c r="AZ150" i="13"/>
  <c r="BA150" i="13"/>
  <c r="BC150" i="13"/>
  <c r="BE150" i="13"/>
  <c r="BF150" i="13"/>
  <c r="BI150" i="13"/>
  <c r="BJ150" i="13"/>
  <c r="BK150" i="13"/>
  <c r="BL150" i="13"/>
  <c r="AB151" i="13"/>
  <c r="AC151" i="13"/>
  <c r="AD151" i="13"/>
  <c r="AE151" i="13"/>
  <c r="AG151" i="13"/>
  <c r="AH151" i="13"/>
  <c r="AI151" i="13"/>
  <c r="AJ151" i="13"/>
  <c r="AK151" i="13"/>
  <c r="AL151" i="13"/>
  <c r="AM151" i="13"/>
  <c r="AN151" i="13"/>
  <c r="AO151" i="13"/>
  <c r="AP151" i="13"/>
  <c r="AQ151" i="13"/>
  <c r="AR151" i="13"/>
  <c r="AS151" i="13"/>
  <c r="AT151" i="13"/>
  <c r="AU151" i="13"/>
  <c r="AV151" i="13"/>
  <c r="AW151" i="13"/>
  <c r="AX151" i="13"/>
  <c r="AY151" i="13"/>
  <c r="AZ151" i="13"/>
  <c r="BA151" i="13"/>
  <c r="BC151" i="13"/>
  <c r="BE151" i="13"/>
  <c r="BF151" i="13"/>
  <c r="BI151" i="13"/>
  <c r="BJ151" i="13"/>
  <c r="BK151" i="13"/>
  <c r="BL151" i="13"/>
  <c r="AB152" i="13"/>
  <c r="AC152" i="13"/>
  <c r="AD152" i="13"/>
  <c r="AE152" i="13"/>
  <c r="AG152" i="13"/>
  <c r="AH152" i="13"/>
  <c r="AI152" i="13"/>
  <c r="AJ152" i="13"/>
  <c r="AK152" i="13"/>
  <c r="AL152" i="13"/>
  <c r="AM152" i="13"/>
  <c r="AN152" i="13"/>
  <c r="AO152" i="13"/>
  <c r="AP152" i="13"/>
  <c r="AQ152" i="13"/>
  <c r="AR152" i="13"/>
  <c r="AS152" i="13"/>
  <c r="AT152" i="13"/>
  <c r="AU152" i="13"/>
  <c r="AV152" i="13"/>
  <c r="AW152" i="13"/>
  <c r="AX152" i="13"/>
  <c r="AY152" i="13"/>
  <c r="AZ152" i="13"/>
  <c r="BA152" i="13"/>
  <c r="BC152" i="13"/>
  <c r="BE152" i="13"/>
  <c r="BF152" i="13"/>
  <c r="BI152" i="13"/>
  <c r="BJ152" i="13"/>
  <c r="BK152" i="13"/>
  <c r="BL152" i="13"/>
  <c r="AB153" i="13"/>
  <c r="AC153" i="13"/>
  <c r="AD153" i="13"/>
  <c r="AE153" i="13"/>
  <c r="AG153" i="13"/>
  <c r="AH153" i="13"/>
  <c r="AI153" i="13"/>
  <c r="AJ153" i="13"/>
  <c r="AK153" i="13"/>
  <c r="AL153" i="13"/>
  <c r="AM153" i="13"/>
  <c r="AN153" i="13"/>
  <c r="AO153" i="13"/>
  <c r="AP153" i="13"/>
  <c r="AQ153" i="13"/>
  <c r="AR153" i="13"/>
  <c r="AS153" i="13"/>
  <c r="AT153" i="13"/>
  <c r="AU153" i="13"/>
  <c r="AV153" i="13"/>
  <c r="AW153" i="13"/>
  <c r="AX153" i="13"/>
  <c r="AY153" i="13"/>
  <c r="AZ153" i="13"/>
  <c r="BA153" i="13"/>
  <c r="BC153" i="13"/>
  <c r="BE153" i="13"/>
  <c r="BF153" i="13"/>
  <c r="BI153" i="13"/>
  <c r="BJ153" i="13"/>
  <c r="BK153" i="13"/>
  <c r="BL153" i="13"/>
  <c r="AB154" i="13"/>
  <c r="AC154" i="13"/>
  <c r="AD154" i="13"/>
  <c r="AE154" i="13"/>
  <c r="AG154" i="13"/>
  <c r="AH154" i="13"/>
  <c r="AI154" i="13"/>
  <c r="AJ154" i="13"/>
  <c r="AK154" i="13"/>
  <c r="AL154" i="13"/>
  <c r="AM154" i="13"/>
  <c r="AN154" i="13"/>
  <c r="AO154" i="13"/>
  <c r="AP154" i="13"/>
  <c r="AQ154" i="13"/>
  <c r="AR154" i="13"/>
  <c r="AS154" i="13"/>
  <c r="AT154" i="13"/>
  <c r="AU154" i="13"/>
  <c r="AV154" i="13"/>
  <c r="AW154" i="13"/>
  <c r="AX154" i="13"/>
  <c r="AY154" i="13"/>
  <c r="AZ154" i="13"/>
  <c r="BA154" i="13"/>
  <c r="BC154" i="13"/>
  <c r="BE154" i="13"/>
  <c r="BF154" i="13"/>
  <c r="BI154" i="13"/>
  <c r="BJ154" i="13"/>
  <c r="BK154" i="13"/>
  <c r="BL154" i="13"/>
  <c r="AB155" i="13"/>
  <c r="AC155" i="13"/>
  <c r="AD155" i="13"/>
  <c r="AE155" i="13"/>
  <c r="AG155" i="13"/>
  <c r="AH155" i="13"/>
  <c r="AI155" i="13"/>
  <c r="AJ155" i="13"/>
  <c r="AK155" i="13"/>
  <c r="AL155" i="13"/>
  <c r="AM155" i="13"/>
  <c r="AN155" i="13"/>
  <c r="AO155" i="13"/>
  <c r="AP155" i="13"/>
  <c r="AQ155" i="13"/>
  <c r="AR155" i="13"/>
  <c r="AS155" i="13"/>
  <c r="AT155" i="13"/>
  <c r="AU155" i="13"/>
  <c r="AV155" i="13"/>
  <c r="AW155" i="13"/>
  <c r="AX155" i="13"/>
  <c r="AY155" i="13"/>
  <c r="AZ155" i="13"/>
  <c r="BA155" i="13"/>
  <c r="BC155" i="13"/>
  <c r="BE155" i="13"/>
  <c r="BF155" i="13"/>
  <c r="BI155" i="13"/>
  <c r="BJ155" i="13"/>
  <c r="BK155" i="13"/>
  <c r="BL155" i="13"/>
  <c r="AB156" i="13"/>
  <c r="AC156" i="13"/>
  <c r="AD156" i="13"/>
  <c r="AE156" i="13"/>
  <c r="AG156" i="13"/>
  <c r="AH156" i="13"/>
  <c r="AI156" i="13"/>
  <c r="AJ156" i="13"/>
  <c r="AK156" i="13"/>
  <c r="AL156" i="13"/>
  <c r="AM156" i="13"/>
  <c r="AN156" i="13"/>
  <c r="AO156" i="13"/>
  <c r="AP156" i="13"/>
  <c r="AQ156" i="13"/>
  <c r="AR156" i="13"/>
  <c r="AS156" i="13"/>
  <c r="AT156" i="13"/>
  <c r="AU156" i="13"/>
  <c r="AV156" i="13"/>
  <c r="AW156" i="13"/>
  <c r="AX156" i="13"/>
  <c r="AY156" i="13"/>
  <c r="AZ156" i="13"/>
  <c r="BA156" i="13"/>
  <c r="BC156" i="13"/>
  <c r="BE156" i="13"/>
  <c r="BF156" i="13"/>
  <c r="BI156" i="13"/>
  <c r="BJ156" i="13"/>
  <c r="BK156" i="13"/>
  <c r="BL156" i="13"/>
  <c r="AB157" i="13"/>
  <c r="AC157" i="13"/>
  <c r="AD157" i="13"/>
  <c r="AE157" i="13"/>
  <c r="AG157" i="13"/>
  <c r="AH157" i="13"/>
  <c r="AI157" i="13"/>
  <c r="AJ157" i="13"/>
  <c r="AK157" i="13"/>
  <c r="AL157" i="13"/>
  <c r="AM157" i="13"/>
  <c r="AN157" i="13"/>
  <c r="AO157" i="13"/>
  <c r="AP157" i="13"/>
  <c r="AQ157" i="13"/>
  <c r="AR157" i="13"/>
  <c r="AS157" i="13"/>
  <c r="AT157" i="13"/>
  <c r="AU157" i="13"/>
  <c r="AV157" i="13"/>
  <c r="AW157" i="13"/>
  <c r="AX157" i="13"/>
  <c r="AY157" i="13"/>
  <c r="AZ157" i="13"/>
  <c r="BA157" i="13"/>
  <c r="BC157" i="13"/>
  <c r="BE157" i="13"/>
  <c r="BF157" i="13"/>
  <c r="BI157" i="13"/>
  <c r="BJ157" i="13"/>
  <c r="BK157" i="13"/>
  <c r="BL157" i="13"/>
  <c r="AB158" i="13"/>
  <c r="AC158" i="13"/>
  <c r="AD158" i="13"/>
  <c r="AE158" i="13"/>
  <c r="AG158" i="13"/>
  <c r="AH158" i="13"/>
  <c r="AI158" i="13"/>
  <c r="AJ158" i="13"/>
  <c r="AK158" i="13"/>
  <c r="AL158" i="13"/>
  <c r="AM158" i="13"/>
  <c r="AN158" i="13"/>
  <c r="AO158" i="13"/>
  <c r="AP158" i="13"/>
  <c r="AQ158" i="13"/>
  <c r="AR158" i="13"/>
  <c r="AS158" i="13"/>
  <c r="AT158" i="13"/>
  <c r="AU158" i="13"/>
  <c r="AV158" i="13"/>
  <c r="AW158" i="13"/>
  <c r="AX158" i="13"/>
  <c r="AY158" i="13"/>
  <c r="AZ158" i="13"/>
  <c r="BA158" i="13"/>
  <c r="BC158" i="13"/>
  <c r="BE158" i="13"/>
  <c r="BF158" i="13"/>
  <c r="BI158" i="13"/>
  <c r="BJ158" i="13"/>
  <c r="BK158" i="13"/>
  <c r="BL158" i="13"/>
  <c r="AB159" i="13"/>
  <c r="AC159" i="13"/>
  <c r="AD159" i="13"/>
  <c r="AE159" i="13"/>
  <c r="AG159" i="13"/>
  <c r="AH159" i="13"/>
  <c r="AI159" i="13"/>
  <c r="AJ159" i="13"/>
  <c r="AK159" i="13"/>
  <c r="AL159" i="13"/>
  <c r="AM159" i="13"/>
  <c r="AN159" i="13"/>
  <c r="AO159" i="13"/>
  <c r="AP159" i="13"/>
  <c r="AQ159" i="13"/>
  <c r="AR159" i="13"/>
  <c r="AS159" i="13"/>
  <c r="AT159" i="13"/>
  <c r="AU159" i="13"/>
  <c r="AV159" i="13"/>
  <c r="AW159" i="13"/>
  <c r="AX159" i="13"/>
  <c r="AY159" i="13"/>
  <c r="AZ159" i="13"/>
  <c r="BA159" i="13"/>
  <c r="BC159" i="13"/>
  <c r="BE159" i="13"/>
  <c r="BF159" i="13"/>
  <c r="BI159" i="13"/>
  <c r="BJ159" i="13"/>
  <c r="BK159" i="13"/>
  <c r="BL159" i="13"/>
  <c r="AB160" i="13"/>
  <c r="AC160" i="13"/>
  <c r="AD160" i="13"/>
  <c r="AE160" i="13"/>
  <c r="AG160" i="13"/>
  <c r="AH160" i="13"/>
  <c r="AI160" i="13"/>
  <c r="AJ160" i="13"/>
  <c r="AK160" i="13"/>
  <c r="AL160" i="13"/>
  <c r="AM160" i="13"/>
  <c r="AN160" i="13"/>
  <c r="AO160" i="13"/>
  <c r="AP160" i="13"/>
  <c r="AQ160" i="13"/>
  <c r="AR160" i="13"/>
  <c r="AS160" i="13"/>
  <c r="AT160" i="13"/>
  <c r="AU160" i="13"/>
  <c r="AV160" i="13"/>
  <c r="AW160" i="13"/>
  <c r="AX160" i="13"/>
  <c r="AY160" i="13"/>
  <c r="AZ160" i="13"/>
  <c r="BA160" i="13"/>
  <c r="BC160" i="13"/>
  <c r="BE160" i="13"/>
  <c r="BF160" i="13"/>
  <c r="BI160" i="13"/>
  <c r="BJ160" i="13"/>
  <c r="BK160" i="13"/>
  <c r="BL160" i="13"/>
  <c r="AB161" i="13"/>
  <c r="AC161" i="13"/>
  <c r="AD161" i="13"/>
  <c r="AE161" i="13"/>
  <c r="AG161" i="13"/>
  <c r="AH161" i="13"/>
  <c r="AI161" i="13"/>
  <c r="AJ161" i="13"/>
  <c r="AK161" i="13"/>
  <c r="AL161" i="13"/>
  <c r="AM161" i="13"/>
  <c r="AN161" i="13"/>
  <c r="AO161" i="13"/>
  <c r="AP161" i="13"/>
  <c r="AQ161" i="13"/>
  <c r="AR161" i="13"/>
  <c r="AS161" i="13"/>
  <c r="AT161" i="13"/>
  <c r="AU161" i="13"/>
  <c r="AV161" i="13"/>
  <c r="AW161" i="13"/>
  <c r="AX161" i="13"/>
  <c r="AY161" i="13"/>
  <c r="AZ161" i="13"/>
  <c r="BA161" i="13"/>
  <c r="BC161" i="13"/>
  <c r="BE161" i="13"/>
  <c r="BF161" i="13"/>
  <c r="BI161" i="13"/>
  <c r="BJ161" i="13"/>
  <c r="BK161" i="13"/>
  <c r="BL161" i="13"/>
  <c r="AB162" i="13"/>
  <c r="AC162" i="13"/>
  <c r="AD162" i="13"/>
  <c r="AE162" i="13"/>
  <c r="AG162" i="13"/>
  <c r="AH162" i="13"/>
  <c r="AI162" i="13"/>
  <c r="AJ162" i="13"/>
  <c r="AK162" i="13"/>
  <c r="AL162" i="13"/>
  <c r="AM162" i="13"/>
  <c r="AN162" i="13"/>
  <c r="AO162" i="13"/>
  <c r="AP162" i="13"/>
  <c r="AQ162" i="13"/>
  <c r="AR162" i="13"/>
  <c r="AS162" i="13"/>
  <c r="AT162" i="13"/>
  <c r="AU162" i="13"/>
  <c r="AV162" i="13"/>
  <c r="AW162" i="13"/>
  <c r="AX162" i="13"/>
  <c r="AY162" i="13"/>
  <c r="AZ162" i="13"/>
  <c r="BA162" i="13"/>
  <c r="BC162" i="13"/>
  <c r="BE162" i="13"/>
  <c r="BF162" i="13"/>
  <c r="BI162" i="13"/>
  <c r="BJ162" i="13"/>
  <c r="BK162" i="13"/>
  <c r="BL162" i="13"/>
  <c r="AB163" i="13"/>
  <c r="AC163" i="13"/>
  <c r="AD163" i="13"/>
  <c r="AE163" i="13"/>
  <c r="AG163" i="13"/>
  <c r="AH163" i="13"/>
  <c r="AI163" i="13"/>
  <c r="AJ163" i="13"/>
  <c r="AK163" i="13"/>
  <c r="AL163" i="13"/>
  <c r="AM163" i="13"/>
  <c r="AN163" i="13"/>
  <c r="AO163" i="13"/>
  <c r="AP163" i="13"/>
  <c r="AQ163" i="13"/>
  <c r="AR163" i="13"/>
  <c r="AS163" i="13"/>
  <c r="AT163" i="13"/>
  <c r="AU163" i="13"/>
  <c r="AV163" i="13"/>
  <c r="AW163" i="13"/>
  <c r="AX163" i="13"/>
  <c r="AY163" i="13"/>
  <c r="AZ163" i="13"/>
  <c r="BA163" i="13"/>
  <c r="BC163" i="13"/>
  <c r="BE163" i="13"/>
  <c r="BF163" i="13"/>
  <c r="BI163" i="13"/>
  <c r="BJ163" i="13"/>
  <c r="BK163" i="13"/>
  <c r="BL163" i="13"/>
  <c r="AB164" i="13"/>
  <c r="AC164" i="13"/>
  <c r="AD164" i="13"/>
  <c r="AE164" i="13"/>
  <c r="AG164" i="13"/>
  <c r="AH164" i="13"/>
  <c r="AI164" i="13"/>
  <c r="AJ164" i="13"/>
  <c r="AK164" i="13"/>
  <c r="AL164" i="13"/>
  <c r="AM164" i="13"/>
  <c r="AN164" i="13"/>
  <c r="AO164" i="13"/>
  <c r="AP164" i="13"/>
  <c r="AQ164" i="13"/>
  <c r="AR164" i="13"/>
  <c r="AS164" i="13"/>
  <c r="AT164" i="13"/>
  <c r="AU164" i="13"/>
  <c r="AV164" i="13"/>
  <c r="AW164" i="13"/>
  <c r="AX164" i="13"/>
  <c r="AY164" i="13"/>
  <c r="AZ164" i="13"/>
  <c r="BA164" i="13"/>
  <c r="BC164" i="13"/>
  <c r="BE164" i="13"/>
  <c r="BF164" i="13"/>
  <c r="BI164" i="13"/>
  <c r="BJ164" i="13"/>
  <c r="BK164" i="13"/>
  <c r="BL164" i="13"/>
  <c r="AB165" i="13"/>
  <c r="AC165" i="13"/>
  <c r="AD165" i="13"/>
  <c r="AE165" i="13"/>
  <c r="AG165" i="13"/>
  <c r="AH165" i="13"/>
  <c r="AI165" i="13"/>
  <c r="AJ165" i="13"/>
  <c r="AK165" i="13"/>
  <c r="AL165" i="13"/>
  <c r="AM165" i="13"/>
  <c r="AN165" i="13"/>
  <c r="AO165" i="13"/>
  <c r="AP165" i="13"/>
  <c r="AQ165" i="13"/>
  <c r="AR165" i="13"/>
  <c r="AS165" i="13"/>
  <c r="AT165" i="13"/>
  <c r="AU165" i="13"/>
  <c r="AV165" i="13"/>
  <c r="AW165" i="13"/>
  <c r="AX165" i="13"/>
  <c r="AY165" i="13"/>
  <c r="AZ165" i="13"/>
  <c r="BA165" i="13"/>
  <c r="BC165" i="13"/>
  <c r="BE165" i="13"/>
  <c r="BF165" i="13"/>
  <c r="BI165" i="13"/>
  <c r="BJ165" i="13"/>
  <c r="BK165" i="13"/>
  <c r="BL165" i="13"/>
  <c r="AB166" i="13"/>
  <c r="AC166" i="13"/>
  <c r="AD166" i="13"/>
  <c r="AE166" i="13"/>
  <c r="AG166" i="13"/>
  <c r="AH166" i="13"/>
  <c r="AI166" i="13"/>
  <c r="AJ166" i="13"/>
  <c r="AK166" i="13"/>
  <c r="AL166" i="13"/>
  <c r="AM166" i="13"/>
  <c r="AN166" i="13"/>
  <c r="AO166" i="13"/>
  <c r="AP166" i="13"/>
  <c r="AQ166" i="13"/>
  <c r="AR166" i="13"/>
  <c r="AS166" i="13"/>
  <c r="AT166" i="13"/>
  <c r="AU166" i="13"/>
  <c r="AV166" i="13"/>
  <c r="AW166" i="13"/>
  <c r="AX166" i="13"/>
  <c r="AY166" i="13"/>
  <c r="AZ166" i="13"/>
  <c r="BA166" i="13"/>
  <c r="BC166" i="13"/>
  <c r="BE166" i="13"/>
  <c r="BF166" i="13"/>
  <c r="BI166" i="13"/>
  <c r="BJ166" i="13"/>
  <c r="BK166" i="13"/>
  <c r="BL166" i="13"/>
  <c r="AB167" i="13"/>
  <c r="AC167" i="13"/>
  <c r="AD167" i="13"/>
  <c r="AE167" i="13"/>
  <c r="AG167" i="13"/>
  <c r="AH167" i="13"/>
  <c r="AI167" i="13"/>
  <c r="AJ167" i="13"/>
  <c r="AK167" i="13"/>
  <c r="AL167" i="13"/>
  <c r="AM167" i="13"/>
  <c r="AN167" i="13"/>
  <c r="AO167" i="13"/>
  <c r="AP167" i="13"/>
  <c r="AQ167" i="13"/>
  <c r="AR167" i="13"/>
  <c r="AS167" i="13"/>
  <c r="AT167" i="13"/>
  <c r="AU167" i="13"/>
  <c r="AV167" i="13"/>
  <c r="AW167" i="13"/>
  <c r="AX167" i="13"/>
  <c r="AY167" i="13"/>
  <c r="AZ167" i="13"/>
  <c r="BA167" i="13"/>
  <c r="BC167" i="13"/>
  <c r="BE167" i="13"/>
  <c r="BF167" i="13"/>
  <c r="BI167" i="13"/>
  <c r="BJ167" i="13"/>
  <c r="BK167" i="13"/>
  <c r="BL167" i="13"/>
  <c r="AB168" i="13"/>
  <c r="AC168" i="13"/>
  <c r="AD168" i="13"/>
  <c r="AE168" i="13"/>
  <c r="AG168" i="13"/>
  <c r="AH168" i="13"/>
  <c r="AI168" i="13"/>
  <c r="AJ168" i="13"/>
  <c r="AK168" i="13"/>
  <c r="AL168" i="13"/>
  <c r="AM168" i="13"/>
  <c r="AN168" i="13"/>
  <c r="AO168" i="13"/>
  <c r="AP168" i="13"/>
  <c r="AQ168" i="13"/>
  <c r="AR168" i="13"/>
  <c r="AS168" i="13"/>
  <c r="AT168" i="13"/>
  <c r="AU168" i="13"/>
  <c r="AV168" i="13"/>
  <c r="AW168" i="13"/>
  <c r="AX168" i="13"/>
  <c r="AY168" i="13"/>
  <c r="AZ168" i="13"/>
  <c r="BA168" i="13"/>
  <c r="BC168" i="13"/>
  <c r="BE168" i="13"/>
  <c r="BF168" i="13"/>
  <c r="BI168" i="13"/>
  <c r="BJ168" i="13"/>
  <c r="BK168" i="13"/>
  <c r="BL168" i="13"/>
  <c r="AB169" i="13"/>
  <c r="AC169" i="13"/>
  <c r="AD169" i="13"/>
  <c r="AE169" i="13"/>
  <c r="AG169" i="13"/>
  <c r="AH169" i="13"/>
  <c r="AI169" i="13"/>
  <c r="AJ169" i="13"/>
  <c r="AK169" i="13"/>
  <c r="AL169" i="13"/>
  <c r="AM169" i="13"/>
  <c r="AN169" i="13"/>
  <c r="AO169" i="13"/>
  <c r="AP169" i="13"/>
  <c r="AQ169" i="13"/>
  <c r="AR169" i="13"/>
  <c r="AS169" i="13"/>
  <c r="AT169" i="13"/>
  <c r="AU169" i="13"/>
  <c r="AV169" i="13"/>
  <c r="AW169" i="13"/>
  <c r="AX169" i="13"/>
  <c r="AY169" i="13"/>
  <c r="AZ169" i="13"/>
  <c r="BA169" i="13"/>
  <c r="BC169" i="13"/>
  <c r="BE169" i="13"/>
  <c r="BF169" i="13"/>
  <c r="BI169" i="13"/>
  <c r="BJ169" i="13"/>
  <c r="BK169" i="13"/>
  <c r="BL169" i="13"/>
  <c r="AB170" i="13"/>
  <c r="AC170" i="13"/>
  <c r="AD170" i="13"/>
  <c r="AE170" i="13"/>
  <c r="AG170" i="13"/>
  <c r="AH170" i="13"/>
  <c r="AI170" i="13"/>
  <c r="AJ170" i="13"/>
  <c r="AK170" i="13"/>
  <c r="AL170" i="13"/>
  <c r="AM170" i="13"/>
  <c r="AN170" i="13"/>
  <c r="AO170" i="13"/>
  <c r="AP170" i="13"/>
  <c r="AQ170" i="13"/>
  <c r="AR170" i="13"/>
  <c r="AS170" i="13"/>
  <c r="AT170" i="13"/>
  <c r="AU170" i="13"/>
  <c r="AV170" i="13"/>
  <c r="AW170" i="13"/>
  <c r="AX170" i="13"/>
  <c r="AY170" i="13"/>
  <c r="AZ170" i="13"/>
  <c r="BA170" i="13"/>
  <c r="BC170" i="13"/>
  <c r="BE170" i="13"/>
  <c r="BF170" i="13"/>
  <c r="BI170" i="13"/>
  <c r="BJ170" i="13"/>
  <c r="BK170" i="13"/>
  <c r="BL170" i="13"/>
  <c r="AB171" i="13"/>
  <c r="AC171" i="13"/>
  <c r="AD171" i="13"/>
  <c r="AE171" i="13"/>
  <c r="AG171" i="13"/>
  <c r="AH171" i="13"/>
  <c r="AI171" i="13"/>
  <c r="AJ171" i="13"/>
  <c r="AK171" i="13"/>
  <c r="AL171" i="13"/>
  <c r="AM171" i="13"/>
  <c r="AN171" i="13"/>
  <c r="AO171" i="13"/>
  <c r="AP171" i="13"/>
  <c r="AQ171" i="13"/>
  <c r="AR171" i="13"/>
  <c r="AS171" i="13"/>
  <c r="AT171" i="13"/>
  <c r="AU171" i="13"/>
  <c r="AV171" i="13"/>
  <c r="AW171" i="13"/>
  <c r="AX171" i="13"/>
  <c r="AY171" i="13"/>
  <c r="AZ171" i="13"/>
  <c r="BA171" i="13"/>
  <c r="BC171" i="13"/>
  <c r="BE171" i="13"/>
  <c r="BF171" i="13"/>
  <c r="BI171" i="13"/>
  <c r="BJ171" i="13"/>
  <c r="BK171" i="13"/>
  <c r="BL171" i="13"/>
  <c r="AB172" i="13"/>
  <c r="AC172" i="13"/>
  <c r="AD172" i="13"/>
  <c r="AE172" i="13"/>
  <c r="AG172" i="13"/>
  <c r="AH172" i="13"/>
  <c r="AI172" i="13"/>
  <c r="AJ172" i="13"/>
  <c r="AK172" i="13"/>
  <c r="AL172" i="13"/>
  <c r="AM172" i="13"/>
  <c r="AN172" i="13"/>
  <c r="AO172" i="13"/>
  <c r="AP172" i="13"/>
  <c r="AQ172" i="13"/>
  <c r="AR172" i="13"/>
  <c r="AS172" i="13"/>
  <c r="AT172" i="13"/>
  <c r="AU172" i="13"/>
  <c r="AV172" i="13"/>
  <c r="AW172" i="13"/>
  <c r="AX172" i="13"/>
  <c r="AY172" i="13"/>
  <c r="AZ172" i="13"/>
  <c r="BA172" i="13"/>
  <c r="BC172" i="13"/>
  <c r="BE172" i="13"/>
  <c r="BF172" i="13"/>
  <c r="BI172" i="13"/>
  <c r="BJ172" i="13"/>
  <c r="BK172" i="13"/>
  <c r="BL172" i="13"/>
  <c r="AB173" i="13"/>
  <c r="AC173" i="13"/>
  <c r="AD173" i="13"/>
  <c r="AE173" i="13"/>
  <c r="AG173" i="13"/>
  <c r="AH173" i="13"/>
  <c r="AI173" i="13"/>
  <c r="AJ173" i="13"/>
  <c r="AK173" i="13"/>
  <c r="AL173" i="13"/>
  <c r="AM173" i="13"/>
  <c r="AN173" i="13"/>
  <c r="AO173" i="13"/>
  <c r="AP173" i="13"/>
  <c r="AQ173" i="13"/>
  <c r="AR173" i="13"/>
  <c r="AS173" i="13"/>
  <c r="AT173" i="13"/>
  <c r="AU173" i="13"/>
  <c r="AV173" i="13"/>
  <c r="AW173" i="13"/>
  <c r="AX173" i="13"/>
  <c r="AY173" i="13"/>
  <c r="AZ173" i="13"/>
  <c r="BA173" i="13"/>
  <c r="BC173" i="13"/>
  <c r="BE173" i="13"/>
  <c r="BF173" i="13"/>
  <c r="BI173" i="13"/>
  <c r="BJ173" i="13"/>
  <c r="BK173" i="13"/>
  <c r="BL173" i="13"/>
  <c r="AB174" i="13"/>
  <c r="AC174" i="13"/>
  <c r="AD174" i="13"/>
  <c r="AE174" i="13"/>
  <c r="AG174" i="13"/>
  <c r="AH174" i="13"/>
  <c r="AI174" i="13"/>
  <c r="AJ174" i="13"/>
  <c r="AK174" i="13"/>
  <c r="AL174" i="13"/>
  <c r="AM174" i="13"/>
  <c r="AN174" i="13"/>
  <c r="AO174" i="13"/>
  <c r="AP174" i="13"/>
  <c r="AQ174" i="13"/>
  <c r="AR174" i="13"/>
  <c r="AS174" i="13"/>
  <c r="AT174" i="13"/>
  <c r="AU174" i="13"/>
  <c r="AV174" i="13"/>
  <c r="AW174" i="13"/>
  <c r="AX174" i="13"/>
  <c r="AY174" i="13"/>
  <c r="AZ174" i="13"/>
  <c r="BA174" i="13"/>
  <c r="BC174" i="13"/>
  <c r="BE174" i="13"/>
  <c r="BF174" i="13"/>
  <c r="BI174" i="13"/>
  <c r="BJ174" i="13"/>
  <c r="BK174" i="13"/>
  <c r="BL174" i="13"/>
  <c r="AB175" i="13"/>
  <c r="AC175" i="13"/>
  <c r="AD175" i="13"/>
  <c r="AE175" i="13"/>
  <c r="AG175" i="13"/>
  <c r="AH175" i="13"/>
  <c r="AI175" i="13"/>
  <c r="AJ175" i="13"/>
  <c r="AK175" i="13"/>
  <c r="AL175" i="13"/>
  <c r="AM175" i="13"/>
  <c r="AN175" i="13"/>
  <c r="AO175" i="13"/>
  <c r="AP175" i="13"/>
  <c r="AQ175" i="13"/>
  <c r="AR175" i="13"/>
  <c r="AS175" i="13"/>
  <c r="AT175" i="13"/>
  <c r="AU175" i="13"/>
  <c r="AV175" i="13"/>
  <c r="AW175" i="13"/>
  <c r="AX175" i="13"/>
  <c r="AY175" i="13"/>
  <c r="AZ175" i="13"/>
  <c r="BA175" i="13"/>
  <c r="BC175" i="13"/>
  <c r="BE175" i="13"/>
  <c r="BF175" i="13"/>
  <c r="BI175" i="13"/>
  <c r="BJ175" i="13"/>
  <c r="BK175" i="13"/>
  <c r="BL175" i="13"/>
  <c r="AB176" i="13"/>
  <c r="AC176" i="13"/>
  <c r="AD176" i="13"/>
  <c r="AE176" i="13"/>
  <c r="AG176" i="13"/>
  <c r="AH176" i="13"/>
  <c r="AI176" i="13"/>
  <c r="AJ176" i="13"/>
  <c r="AK176" i="13"/>
  <c r="AL176" i="13"/>
  <c r="AM176" i="13"/>
  <c r="AN176" i="13"/>
  <c r="AO176" i="13"/>
  <c r="AP176" i="13"/>
  <c r="AQ176" i="13"/>
  <c r="AR176" i="13"/>
  <c r="AS176" i="13"/>
  <c r="AT176" i="13"/>
  <c r="AU176" i="13"/>
  <c r="AV176" i="13"/>
  <c r="AW176" i="13"/>
  <c r="AX176" i="13"/>
  <c r="AY176" i="13"/>
  <c r="AZ176" i="13"/>
  <c r="BA176" i="13"/>
  <c r="BC176" i="13"/>
  <c r="BE176" i="13"/>
  <c r="BF176" i="13"/>
  <c r="BI176" i="13"/>
  <c r="BJ176" i="13"/>
  <c r="BK176" i="13"/>
  <c r="BL176" i="13"/>
  <c r="AB177" i="13"/>
  <c r="AC177" i="13"/>
  <c r="AD177" i="13"/>
  <c r="AE177" i="13"/>
  <c r="AG177" i="13"/>
  <c r="AH177" i="13"/>
  <c r="AI177" i="13"/>
  <c r="AJ177" i="13"/>
  <c r="AK177" i="13"/>
  <c r="AL177" i="13"/>
  <c r="AM177" i="13"/>
  <c r="AN177" i="13"/>
  <c r="AO177" i="13"/>
  <c r="AP177" i="13"/>
  <c r="AQ177" i="13"/>
  <c r="AR177" i="13"/>
  <c r="AS177" i="13"/>
  <c r="AT177" i="13"/>
  <c r="AU177" i="13"/>
  <c r="AV177" i="13"/>
  <c r="AW177" i="13"/>
  <c r="AX177" i="13"/>
  <c r="AY177" i="13"/>
  <c r="AZ177" i="13"/>
  <c r="BA177" i="13"/>
  <c r="BC177" i="13"/>
  <c r="BE177" i="13"/>
  <c r="BF177" i="13"/>
  <c r="BI177" i="13"/>
  <c r="BJ177" i="13"/>
  <c r="BK177" i="13"/>
  <c r="BL177" i="13"/>
  <c r="AB178" i="13"/>
  <c r="AC178" i="13"/>
  <c r="AD178" i="13"/>
  <c r="AE178" i="13"/>
  <c r="AG178" i="13"/>
  <c r="AH178" i="13"/>
  <c r="AI178" i="13"/>
  <c r="AJ178" i="13"/>
  <c r="AK178" i="13"/>
  <c r="AL178" i="13"/>
  <c r="AM178" i="13"/>
  <c r="AN178" i="13"/>
  <c r="AO178" i="13"/>
  <c r="AP178" i="13"/>
  <c r="AQ178" i="13"/>
  <c r="AR178" i="13"/>
  <c r="AS178" i="13"/>
  <c r="AT178" i="13"/>
  <c r="AU178" i="13"/>
  <c r="AV178" i="13"/>
  <c r="AW178" i="13"/>
  <c r="AX178" i="13"/>
  <c r="AY178" i="13"/>
  <c r="AZ178" i="13"/>
  <c r="BA178" i="13"/>
  <c r="BC178" i="13"/>
  <c r="BE178" i="13"/>
  <c r="BF178" i="13"/>
  <c r="BI178" i="13"/>
  <c r="BJ178" i="13"/>
  <c r="BK178" i="13"/>
  <c r="BL178" i="13"/>
  <c r="AB179" i="13"/>
  <c r="AC179" i="13"/>
  <c r="AD179" i="13"/>
  <c r="AE179" i="13"/>
  <c r="AG179" i="13"/>
  <c r="AH179" i="13"/>
  <c r="AI179" i="13"/>
  <c r="AJ179" i="13"/>
  <c r="AK179" i="13"/>
  <c r="AL179" i="13"/>
  <c r="AM179" i="13"/>
  <c r="AN179" i="13"/>
  <c r="AO179" i="13"/>
  <c r="AP179" i="13"/>
  <c r="AQ179" i="13"/>
  <c r="AR179" i="13"/>
  <c r="AS179" i="13"/>
  <c r="AT179" i="13"/>
  <c r="AU179" i="13"/>
  <c r="AV179" i="13"/>
  <c r="AW179" i="13"/>
  <c r="AX179" i="13"/>
  <c r="AY179" i="13"/>
  <c r="AZ179" i="13"/>
  <c r="BA179" i="13"/>
  <c r="BC179" i="13"/>
  <c r="BE179" i="13"/>
  <c r="BF179" i="13"/>
  <c r="BI179" i="13"/>
  <c r="BJ179" i="13"/>
  <c r="BK179" i="13"/>
  <c r="BL179" i="13"/>
  <c r="AB180" i="13"/>
  <c r="AC180" i="13"/>
  <c r="AD180" i="13"/>
  <c r="AE180" i="13"/>
  <c r="AG180" i="13"/>
  <c r="AH180" i="13"/>
  <c r="AI180" i="13"/>
  <c r="AJ180" i="13"/>
  <c r="AK180" i="13"/>
  <c r="AL180" i="13"/>
  <c r="AM180" i="13"/>
  <c r="AN180" i="13"/>
  <c r="AO180" i="13"/>
  <c r="AP180" i="13"/>
  <c r="AQ180" i="13"/>
  <c r="AR180" i="13"/>
  <c r="AS180" i="13"/>
  <c r="AT180" i="13"/>
  <c r="AU180" i="13"/>
  <c r="AV180" i="13"/>
  <c r="AW180" i="13"/>
  <c r="AX180" i="13"/>
  <c r="AY180" i="13"/>
  <c r="AZ180" i="13"/>
  <c r="BA180" i="13"/>
  <c r="BC180" i="13"/>
  <c r="BE180" i="13"/>
  <c r="BF180" i="13"/>
  <c r="BI180" i="13"/>
  <c r="BJ180" i="13"/>
  <c r="BK180" i="13"/>
  <c r="BL180" i="13"/>
  <c r="AB181" i="13"/>
  <c r="AC181" i="13"/>
  <c r="AD181" i="13"/>
  <c r="AE181" i="13"/>
  <c r="AG181" i="13"/>
  <c r="AH181" i="13"/>
  <c r="AI181" i="13"/>
  <c r="AJ181" i="13"/>
  <c r="AK181" i="13"/>
  <c r="AL181" i="13"/>
  <c r="AM181" i="13"/>
  <c r="AN181" i="13"/>
  <c r="AO181" i="13"/>
  <c r="AP181" i="13"/>
  <c r="AQ181" i="13"/>
  <c r="AR181" i="13"/>
  <c r="AS181" i="13"/>
  <c r="AT181" i="13"/>
  <c r="AU181" i="13"/>
  <c r="AV181" i="13"/>
  <c r="AW181" i="13"/>
  <c r="AX181" i="13"/>
  <c r="AY181" i="13"/>
  <c r="AZ181" i="13"/>
  <c r="BA181" i="13"/>
  <c r="BC181" i="13"/>
  <c r="BE181" i="13"/>
  <c r="BF181" i="13"/>
  <c r="BI181" i="13"/>
  <c r="BJ181" i="13"/>
  <c r="BK181" i="13"/>
  <c r="BL181" i="13"/>
  <c r="AB182" i="13"/>
  <c r="AC182" i="13"/>
  <c r="AD182" i="13"/>
  <c r="AE182" i="13"/>
  <c r="AG182" i="13"/>
  <c r="AH182" i="13"/>
  <c r="AI182" i="13"/>
  <c r="AJ182" i="13"/>
  <c r="AK182" i="13"/>
  <c r="AL182" i="13"/>
  <c r="AM182" i="13"/>
  <c r="AN182" i="13"/>
  <c r="AO182" i="13"/>
  <c r="AP182" i="13"/>
  <c r="AQ182" i="13"/>
  <c r="AR182" i="13"/>
  <c r="AS182" i="13"/>
  <c r="AT182" i="13"/>
  <c r="AU182" i="13"/>
  <c r="AV182" i="13"/>
  <c r="AW182" i="13"/>
  <c r="AX182" i="13"/>
  <c r="AY182" i="13"/>
  <c r="AZ182" i="13"/>
  <c r="BA182" i="13"/>
  <c r="BC182" i="13"/>
  <c r="BE182" i="13"/>
  <c r="BF182" i="13"/>
  <c r="BI182" i="13"/>
  <c r="BJ182" i="13"/>
  <c r="BK182" i="13"/>
  <c r="BL182" i="13"/>
  <c r="AB183" i="13"/>
  <c r="AC183" i="13"/>
  <c r="AD183" i="13"/>
  <c r="AE183" i="13"/>
  <c r="AG183" i="13"/>
  <c r="AH183" i="13"/>
  <c r="AI183" i="13"/>
  <c r="AJ183" i="13"/>
  <c r="AK183" i="13"/>
  <c r="AL183" i="13"/>
  <c r="AM183" i="13"/>
  <c r="AN183" i="13"/>
  <c r="AO183" i="13"/>
  <c r="AP183" i="13"/>
  <c r="AQ183" i="13"/>
  <c r="AR183" i="13"/>
  <c r="AS183" i="13"/>
  <c r="AT183" i="13"/>
  <c r="AU183" i="13"/>
  <c r="AV183" i="13"/>
  <c r="AW183" i="13"/>
  <c r="AX183" i="13"/>
  <c r="AY183" i="13"/>
  <c r="AZ183" i="13"/>
  <c r="BA183" i="13"/>
  <c r="BC183" i="13"/>
  <c r="BE183" i="13"/>
  <c r="BF183" i="13"/>
  <c r="BI183" i="13"/>
  <c r="BJ183" i="13"/>
  <c r="BK183" i="13"/>
  <c r="BL183" i="13"/>
  <c r="AB184" i="13"/>
  <c r="AC184" i="13"/>
  <c r="AD184" i="13"/>
  <c r="AE184" i="13"/>
  <c r="AG184" i="13"/>
  <c r="AH184" i="13"/>
  <c r="AI184" i="13"/>
  <c r="AJ184" i="13"/>
  <c r="AK184" i="13"/>
  <c r="AL184" i="13"/>
  <c r="AM184" i="13"/>
  <c r="AN184" i="13"/>
  <c r="AO184" i="13"/>
  <c r="AP184" i="13"/>
  <c r="AQ184" i="13"/>
  <c r="AR184" i="13"/>
  <c r="AS184" i="13"/>
  <c r="AT184" i="13"/>
  <c r="AU184" i="13"/>
  <c r="AV184" i="13"/>
  <c r="AW184" i="13"/>
  <c r="AX184" i="13"/>
  <c r="AY184" i="13"/>
  <c r="AZ184" i="13"/>
  <c r="BA184" i="13"/>
  <c r="BC184" i="13"/>
  <c r="BE184" i="13"/>
  <c r="BF184" i="13"/>
  <c r="BI184" i="13"/>
  <c r="BJ184" i="13"/>
  <c r="BK184" i="13"/>
  <c r="BL184" i="13"/>
  <c r="AB185" i="13"/>
  <c r="AC185" i="13"/>
  <c r="AD185" i="13"/>
  <c r="AE185" i="13"/>
  <c r="AG185" i="13"/>
  <c r="AH185" i="13"/>
  <c r="AI185" i="13"/>
  <c r="AJ185" i="13"/>
  <c r="AK185" i="13"/>
  <c r="AL185" i="13"/>
  <c r="AM185" i="13"/>
  <c r="AN185" i="13"/>
  <c r="AO185" i="13"/>
  <c r="AP185" i="13"/>
  <c r="AQ185" i="13"/>
  <c r="AR185" i="13"/>
  <c r="AS185" i="13"/>
  <c r="AT185" i="13"/>
  <c r="AU185" i="13"/>
  <c r="AV185" i="13"/>
  <c r="AW185" i="13"/>
  <c r="AX185" i="13"/>
  <c r="AY185" i="13"/>
  <c r="AZ185" i="13"/>
  <c r="BA185" i="13"/>
  <c r="BC185" i="13"/>
  <c r="BE185" i="13"/>
  <c r="BF185" i="13"/>
  <c r="BI185" i="13"/>
  <c r="BJ185" i="13"/>
  <c r="BK185" i="13"/>
  <c r="BL185" i="13"/>
  <c r="AB186" i="13"/>
  <c r="AC186" i="13"/>
  <c r="AD186" i="13"/>
  <c r="AE186" i="13"/>
  <c r="AG186" i="13"/>
  <c r="AH186" i="13"/>
  <c r="AI186" i="13"/>
  <c r="AJ186" i="13"/>
  <c r="AK186" i="13"/>
  <c r="AL186" i="13"/>
  <c r="AM186" i="13"/>
  <c r="AN186" i="13"/>
  <c r="AO186" i="13"/>
  <c r="AP186" i="13"/>
  <c r="AQ186" i="13"/>
  <c r="AR186" i="13"/>
  <c r="AS186" i="13"/>
  <c r="AT186" i="13"/>
  <c r="AU186" i="13"/>
  <c r="AV186" i="13"/>
  <c r="AW186" i="13"/>
  <c r="AX186" i="13"/>
  <c r="AY186" i="13"/>
  <c r="AZ186" i="13"/>
  <c r="BA186" i="13"/>
  <c r="BC186" i="13"/>
  <c r="BE186" i="13"/>
  <c r="BF186" i="13"/>
  <c r="BI186" i="13"/>
  <c r="BJ186" i="13"/>
  <c r="BK186" i="13"/>
  <c r="BL186" i="13"/>
  <c r="AB187" i="13"/>
  <c r="AC187" i="13"/>
  <c r="AD187" i="13"/>
  <c r="AE187" i="13"/>
  <c r="AG187" i="13"/>
  <c r="AH187" i="13"/>
  <c r="AI187" i="13"/>
  <c r="AJ187" i="13"/>
  <c r="AK187" i="13"/>
  <c r="AL187" i="13"/>
  <c r="AM187" i="13"/>
  <c r="AN187" i="13"/>
  <c r="AO187" i="13"/>
  <c r="AP187" i="13"/>
  <c r="AQ187" i="13"/>
  <c r="AR187" i="13"/>
  <c r="AS187" i="13"/>
  <c r="AT187" i="13"/>
  <c r="AU187" i="13"/>
  <c r="AV187" i="13"/>
  <c r="AW187" i="13"/>
  <c r="AX187" i="13"/>
  <c r="AY187" i="13"/>
  <c r="AZ187" i="13"/>
  <c r="BA187" i="13"/>
  <c r="BC187" i="13"/>
  <c r="BE187" i="13"/>
  <c r="BF187" i="13"/>
  <c r="BI187" i="13"/>
  <c r="BJ187" i="13"/>
  <c r="BK187" i="13"/>
  <c r="BL187" i="13"/>
  <c r="AB188" i="13"/>
  <c r="AC188" i="13"/>
  <c r="AD188" i="13"/>
  <c r="AE188" i="13"/>
  <c r="AG188" i="13"/>
  <c r="AH188" i="13"/>
  <c r="AI188" i="13"/>
  <c r="AJ188" i="13"/>
  <c r="AK188" i="13"/>
  <c r="AL188" i="13"/>
  <c r="AM188" i="13"/>
  <c r="AN188" i="13"/>
  <c r="AO188" i="13"/>
  <c r="AP188" i="13"/>
  <c r="AQ188" i="13"/>
  <c r="AR188" i="13"/>
  <c r="AS188" i="13"/>
  <c r="AT188" i="13"/>
  <c r="AU188" i="13"/>
  <c r="AV188" i="13"/>
  <c r="AW188" i="13"/>
  <c r="AX188" i="13"/>
  <c r="AY188" i="13"/>
  <c r="AZ188" i="13"/>
  <c r="BA188" i="13"/>
  <c r="BC188" i="13"/>
  <c r="BE188" i="13"/>
  <c r="BF188" i="13"/>
  <c r="BI188" i="13"/>
  <c r="BJ188" i="13"/>
  <c r="BK188" i="13"/>
  <c r="BL188" i="13"/>
  <c r="AB189" i="13"/>
  <c r="AC189" i="13"/>
  <c r="AD189" i="13"/>
  <c r="AE189" i="13"/>
  <c r="AG189" i="13"/>
  <c r="AH189" i="13"/>
  <c r="AI189" i="13"/>
  <c r="AJ189" i="13"/>
  <c r="AK189" i="13"/>
  <c r="AL189" i="13"/>
  <c r="AM189" i="13"/>
  <c r="AN189" i="13"/>
  <c r="AO189" i="13"/>
  <c r="AP189" i="13"/>
  <c r="AQ189" i="13"/>
  <c r="AR189" i="13"/>
  <c r="AS189" i="13"/>
  <c r="AT189" i="13"/>
  <c r="AU189" i="13"/>
  <c r="AV189" i="13"/>
  <c r="AW189" i="13"/>
  <c r="AX189" i="13"/>
  <c r="AY189" i="13"/>
  <c r="AZ189" i="13"/>
  <c r="BA189" i="13"/>
  <c r="BC189" i="13"/>
  <c r="BE189" i="13"/>
  <c r="BF189" i="13"/>
  <c r="BI189" i="13"/>
  <c r="BJ189" i="13"/>
  <c r="BK189" i="13"/>
  <c r="BL189" i="13"/>
  <c r="AB190" i="13"/>
  <c r="AC190" i="13"/>
  <c r="AD190" i="13"/>
  <c r="AE190" i="13"/>
  <c r="AG190" i="13"/>
  <c r="AH190" i="13"/>
  <c r="AI190" i="13"/>
  <c r="AJ190" i="13"/>
  <c r="AK190" i="13"/>
  <c r="AL190" i="13"/>
  <c r="AM190" i="13"/>
  <c r="AN190" i="13"/>
  <c r="AO190" i="13"/>
  <c r="AP190" i="13"/>
  <c r="AQ190" i="13"/>
  <c r="AR190" i="13"/>
  <c r="AS190" i="13"/>
  <c r="AT190" i="13"/>
  <c r="AU190" i="13"/>
  <c r="AV190" i="13"/>
  <c r="AW190" i="13"/>
  <c r="AX190" i="13"/>
  <c r="AY190" i="13"/>
  <c r="AZ190" i="13"/>
  <c r="BA190" i="13"/>
  <c r="BC190" i="13"/>
  <c r="BE190" i="13"/>
  <c r="BF190" i="13"/>
  <c r="BI190" i="13"/>
  <c r="BJ190" i="13"/>
  <c r="BK190" i="13"/>
  <c r="BL190" i="13"/>
  <c r="AB191" i="13"/>
  <c r="AC191" i="13"/>
  <c r="AD191" i="13"/>
  <c r="AE191" i="13"/>
  <c r="AG191" i="13"/>
  <c r="AH191" i="13"/>
  <c r="AI191" i="13"/>
  <c r="AJ191" i="13"/>
  <c r="AK191" i="13"/>
  <c r="AL191" i="13"/>
  <c r="AM191" i="13"/>
  <c r="AN191" i="13"/>
  <c r="AO191" i="13"/>
  <c r="AP191" i="13"/>
  <c r="AQ191" i="13"/>
  <c r="AR191" i="13"/>
  <c r="AS191" i="13"/>
  <c r="AT191" i="13"/>
  <c r="AU191" i="13"/>
  <c r="AV191" i="13"/>
  <c r="AW191" i="13"/>
  <c r="AX191" i="13"/>
  <c r="AY191" i="13"/>
  <c r="AZ191" i="13"/>
  <c r="BA191" i="13"/>
  <c r="BC191" i="13"/>
  <c r="BE191" i="13"/>
  <c r="BF191" i="13"/>
  <c r="BI191" i="13"/>
  <c r="BJ191" i="13"/>
  <c r="BK191" i="13"/>
  <c r="BL191" i="13"/>
  <c r="AB192" i="13"/>
  <c r="AC192" i="13"/>
  <c r="AD192" i="13"/>
  <c r="AE192" i="13"/>
  <c r="AG192" i="13"/>
  <c r="AH192" i="13"/>
  <c r="AI192" i="13"/>
  <c r="AJ192" i="13"/>
  <c r="AK192" i="13"/>
  <c r="AL192" i="13"/>
  <c r="AM192" i="13"/>
  <c r="AN192" i="13"/>
  <c r="AO192" i="13"/>
  <c r="AP192" i="13"/>
  <c r="AQ192" i="13"/>
  <c r="AR192" i="13"/>
  <c r="AS192" i="13"/>
  <c r="AT192" i="13"/>
  <c r="AU192" i="13"/>
  <c r="AV192" i="13"/>
  <c r="AW192" i="13"/>
  <c r="AX192" i="13"/>
  <c r="AY192" i="13"/>
  <c r="AZ192" i="13"/>
  <c r="BA192" i="13"/>
  <c r="BC192" i="13"/>
  <c r="BE192" i="13"/>
  <c r="BF192" i="13"/>
  <c r="BI192" i="13"/>
  <c r="BJ192" i="13"/>
  <c r="BK192" i="13"/>
  <c r="BL192" i="13"/>
  <c r="AB193" i="13"/>
  <c r="AC193" i="13"/>
  <c r="AD193" i="13"/>
  <c r="AE193" i="13"/>
  <c r="AG193" i="13"/>
  <c r="AH193" i="13"/>
  <c r="AI193" i="13"/>
  <c r="AJ193" i="13"/>
  <c r="AK193" i="13"/>
  <c r="AL193" i="13"/>
  <c r="AM193" i="13"/>
  <c r="AN193" i="13"/>
  <c r="AO193" i="13"/>
  <c r="AP193" i="13"/>
  <c r="AQ193" i="13"/>
  <c r="AR193" i="13"/>
  <c r="AS193" i="13"/>
  <c r="AT193" i="13"/>
  <c r="AU193" i="13"/>
  <c r="AV193" i="13"/>
  <c r="AW193" i="13"/>
  <c r="AX193" i="13"/>
  <c r="AY193" i="13"/>
  <c r="AZ193" i="13"/>
  <c r="BA193" i="13"/>
  <c r="BC193" i="13"/>
  <c r="BE193" i="13"/>
  <c r="BF193" i="13"/>
  <c r="BI193" i="13"/>
  <c r="BJ193" i="13"/>
  <c r="BK193" i="13"/>
  <c r="BL193" i="13"/>
  <c r="AB194" i="13"/>
  <c r="AC194" i="13"/>
  <c r="AD194" i="13"/>
  <c r="AE194" i="13"/>
  <c r="AG194" i="13"/>
  <c r="AH194" i="13"/>
  <c r="AI194" i="13"/>
  <c r="AJ194" i="13"/>
  <c r="AK194" i="13"/>
  <c r="AL194" i="13"/>
  <c r="AM194" i="13"/>
  <c r="AN194" i="13"/>
  <c r="AO194" i="13"/>
  <c r="AP194" i="13"/>
  <c r="AQ194" i="13"/>
  <c r="AR194" i="13"/>
  <c r="AS194" i="13"/>
  <c r="AT194" i="13"/>
  <c r="AU194" i="13"/>
  <c r="AV194" i="13"/>
  <c r="AW194" i="13"/>
  <c r="AX194" i="13"/>
  <c r="AY194" i="13"/>
  <c r="AZ194" i="13"/>
  <c r="BA194" i="13"/>
  <c r="BC194" i="13"/>
  <c r="BE194" i="13"/>
  <c r="BF194" i="13"/>
  <c r="BI194" i="13"/>
  <c r="BJ194" i="13"/>
  <c r="BK194" i="13"/>
  <c r="BL194" i="13"/>
  <c r="AB195" i="13"/>
  <c r="AC195" i="13"/>
  <c r="AD195" i="13"/>
  <c r="AE195" i="13"/>
  <c r="AG195" i="13"/>
  <c r="AH195" i="13"/>
  <c r="AI195" i="13"/>
  <c r="AJ195" i="13"/>
  <c r="AK195" i="13"/>
  <c r="AL195" i="13"/>
  <c r="AM195" i="13"/>
  <c r="AN195" i="13"/>
  <c r="AO195" i="13"/>
  <c r="AP195" i="13"/>
  <c r="AQ195" i="13"/>
  <c r="AR195" i="13"/>
  <c r="AS195" i="13"/>
  <c r="AT195" i="13"/>
  <c r="AU195" i="13"/>
  <c r="AV195" i="13"/>
  <c r="AW195" i="13"/>
  <c r="AX195" i="13"/>
  <c r="AY195" i="13"/>
  <c r="AZ195" i="13"/>
  <c r="BA195" i="13"/>
  <c r="BC195" i="13"/>
  <c r="BE195" i="13"/>
  <c r="BF195" i="13"/>
  <c r="BI195" i="13"/>
  <c r="BJ195" i="13"/>
  <c r="BK195" i="13"/>
  <c r="BL195" i="13"/>
  <c r="AB196" i="13"/>
  <c r="AC196" i="13"/>
  <c r="AD196" i="13"/>
  <c r="AE196" i="13"/>
  <c r="AG196" i="13"/>
  <c r="AH196" i="13"/>
  <c r="AI196" i="13"/>
  <c r="AJ196" i="13"/>
  <c r="AK196" i="13"/>
  <c r="AL196" i="13"/>
  <c r="AM196" i="13"/>
  <c r="AN196" i="13"/>
  <c r="AO196" i="13"/>
  <c r="AP196" i="13"/>
  <c r="AQ196" i="13"/>
  <c r="AR196" i="13"/>
  <c r="AS196" i="13"/>
  <c r="AT196" i="13"/>
  <c r="AU196" i="13"/>
  <c r="AV196" i="13"/>
  <c r="AW196" i="13"/>
  <c r="AX196" i="13"/>
  <c r="AY196" i="13"/>
  <c r="AZ196" i="13"/>
  <c r="BA196" i="13"/>
  <c r="BC196" i="13"/>
  <c r="BE196" i="13"/>
  <c r="BF196" i="13"/>
  <c r="BI196" i="13"/>
  <c r="BJ196" i="13"/>
  <c r="BK196" i="13"/>
  <c r="BL196" i="13"/>
  <c r="AB197" i="13"/>
  <c r="AC197" i="13"/>
  <c r="AD197" i="13"/>
  <c r="AE197" i="13"/>
  <c r="AG197" i="13"/>
  <c r="AH197" i="13"/>
  <c r="AI197" i="13"/>
  <c r="AJ197" i="13"/>
  <c r="AK197" i="13"/>
  <c r="AL197" i="13"/>
  <c r="AM197" i="13"/>
  <c r="AN197" i="13"/>
  <c r="AO197" i="13"/>
  <c r="AP197" i="13"/>
  <c r="AQ197" i="13"/>
  <c r="AR197" i="13"/>
  <c r="AS197" i="13"/>
  <c r="AT197" i="13"/>
  <c r="AU197" i="13"/>
  <c r="AV197" i="13"/>
  <c r="AW197" i="13"/>
  <c r="AX197" i="13"/>
  <c r="AY197" i="13"/>
  <c r="AZ197" i="13"/>
  <c r="BA197" i="13"/>
  <c r="BC197" i="13"/>
  <c r="BE197" i="13"/>
  <c r="BF197" i="13"/>
  <c r="BI197" i="13"/>
  <c r="BJ197" i="13"/>
  <c r="BK197" i="13"/>
  <c r="BL197" i="13"/>
  <c r="AB198" i="13"/>
  <c r="AC198" i="13"/>
  <c r="AD198" i="13"/>
  <c r="AE198" i="13"/>
  <c r="AG198" i="13"/>
  <c r="AH198" i="13"/>
  <c r="AI198" i="13"/>
  <c r="AJ198" i="13"/>
  <c r="AK198" i="13"/>
  <c r="AL198" i="13"/>
  <c r="AM198" i="13"/>
  <c r="AN198" i="13"/>
  <c r="AO198" i="13"/>
  <c r="AP198" i="13"/>
  <c r="AQ198" i="13"/>
  <c r="AR198" i="13"/>
  <c r="AS198" i="13"/>
  <c r="AT198" i="13"/>
  <c r="AU198" i="13"/>
  <c r="AV198" i="13"/>
  <c r="AW198" i="13"/>
  <c r="AX198" i="13"/>
  <c r="AY198" i="13"/>
  <c r="AZ198" i="13"/>
  <c r="BA198" i="13"/>
  <c r="BC198" i="13"/>
  <c r="BE198" i="13"/>
  <c r="BF198" i="13"/>
  <c r="BI198" i="13"/>
  <c r="BJ198" i="13"/>
  <c r="BK198" i="13"/>
  <c r="BL198" i="13"/>
  <c r="AB199" i="13"/>
  <c r="AC199" i="13"/>
  <c r="AD199" i="13"/>
  <c r="AE199" i="13"/>
  <c r="AG199" i="13"/>
  <c r="AH199" i="13"/>
  <c r="AI199" i="13"/>
  <c r="AJ199" i="13"/>
  <c r="AK199" i="13"/>
  <c r="AL199" i="13"/>
  <c r="AM199" i="13"/>
  <c r="AN199" i="13"/>
  <c r="AO199" i="13"/>
  <c r="AP199" i="13"/>
  <c r="AQ199" i="13"/>
  <c r="AR199" i="13"/>
  <c r="AS199" i="13"/>
  <c r="AT199" i="13"/>
  <c r="AU199" i="13"/>
  <c r="AV199" i="13"/>
  <c r="AW199" i="13"/>
  <c r="AX199" i="13"/>
  <c r="AY199" i="13"/>
  <c r="AZ199" i="13"/>
  <c r="BA199" i="13"/>
  <c r="BC199" i="13"/>
  <c r="BE199" i="13"/>
  <c r="BF199" i="13"/>
  <c r="BI199" i="13"/>
  <c r="BJ199" i="13"/>
  <c r="BK199" i="13"/>
  <c r="BL199" i="13"/>
  <c r="AB200" i="13"/>
  <c r="AC200" i="13"/>
  <c r="AD200" i="13"/>
  <c r="AE200" i="13"/>
  <c r="AG200" i="13"/>
  <c r="AH200" i="13"/>
  <c r="AI200" i="13"/>
  <c r="AJ200" i="13"/>
  <c r="AK200" i="13"/>
  <c r="AL200" i="13"/>
  <c r="AM200" i="13"/>
  <c r="AN200" i="13"/>
  <c r="AO200" i="13"/>
  <c r="AP200" i="13"/>
  <c r="AQ200" i="13"/>
  <c r="AR200" i="13"/>
  <c r="AS200" i="13"/>
  <c r="AT200" i="13"/>
  <c r="AU200" i="13"/>
  <c r="AV200" i="13"/>
  <c r="AW200" i="13"/>
  <c r="AX200" i="13"/>
  <c r="AY200" i="13"/>
  <c r="AZ200" i="13"/>
  <c r="BA200" i="13"/>
  <c r="BC200" i="13"/>
  <c r="BE200" i="13"/>
  <c r="BF200" i="13"/>
  <c r="BI200" i="13"/>
  <c r="BJ200" i="13"/>
  <c r="BK200" i="13"/>
  <c r="BL200" i="13"/>
  <c r="AB201" i="13"/>
  <c r="AC201" i="13"/>
  <c r="AD201" i="13"/>
  <c r="AE201" i="13"/>
  <c r="AG201" i="13"/>
  <c r="AH201" i="13"/>
  <c r="AI201" i="13"/>
  <c r="AJ201" i="13"/>
  <c r="AK201" i="13"/>
  <c r="AL201" i="13"/>
  <c r="AM201" i="13"/>
  <c r="AN201" i="13"/>
  <c r="AO201" i="13"/>
  <c r="AP201" i="13"/>
  <c r="AQ201" i="13"/>
  <c r="AR201" i="13"/>
  <c r="AS201" i="13"/>
  <c r="AT201" i="13"/>
  <c r="AU201" i="13"/>
  <c r="AV201" i="13"/>
  <c r="AW201" i="13"/>
  <c r="AX201" i="13"/>
  <c r="AY201" i="13"/>
  <c r="AZ201" i="13"/>
  <c r="BA201" i="13"/>
  <c r="BC201" i="13"/>
  <c r="BE201" i="13"/>
  <c r="BF201" i="13"/>
  <c r="BI201" i="13"/>
  <c r="BJ201" i="13"/>
  <c r="BK201" i="13"/>
  <c r="BL201" i="13"/>
  <c r="AB202" i="13"/>
  <c r="AC202" i="13"/>
  <c r="AD202" i="13"/>
  <c r="AE202" i="13"/>
  <c r="AG202" i="13"/>
  <c r="AH202" i="13"/>
  <c r="AI202" i="13"/>
  <c r="AJ202" i="13"/>
  <c r="AK202" i="13"/>
  <c r="AL202" i="13"/>
  <c r="AM202" i="13"/>
  <c r="AN202" i="13"/>
  <c r="AO202" i="13"/>
  <c r="AP202" i="13"/>
  <c r="AQ202" i="13"/>
  <c r="AR202" i="13"/>
  <c r="AS202" i="13"/>
  <c r="AT202" i="13"/>
  <c r="AU202" i="13"/>
  <c r="AV202" i="13"/>
  <c r="AW202" i="13"/>
  <c r="AX202" i="13"/>
  <c r="AY202" i="13"/>
  <c r="AZ202" i="13"/>
  <c r="BA202" i="13"/>
  <c r="BC202" i="13"/>
  <c r="BE202" i="13"/>
  <c r="BF202" i="13"/>
  <c r="BI202" i="13"/>
  <c r="BJ202" i="13"/>
  <c r="BK202" i="13"/>
  <c r="BL202" i="13"/>
  <c r="AB203" i="13"/>
  <c r="AC203" i="13"/>
  <c r="AD203" i="13"/>
  <c r="AE203" i="13"/>
  <c r="AG203" i="13"/>
  <c r="AH203" i="13"/>
  <c r="AI203" i="13"/>
  <c r="AJ203" i="13"/>
  <c r="AK203" i="13"/>
  <c r="AL203" i="13"/>
  <c r="AM203" i="13"/>
  <c r="AN203" i="13"/>
  <c r="AO203" i="13"/>
  <c r="AP203" i="13"/>
  <c r="AQ203" i="13"/>
  <c r="AR203" i="13"/>
  <c r="AS203" i="13"/>
  <c r="AT203" i="13"/>
  <c r="AU203" i="13"/>
  <c r="AV203" i="13"/>
  <c r="AW203" i="13"/>
  <c r="AX203" i="13"/>
  <c r="AY203" i="13"/>
  <c r="AZ203" i="13"/>
  <c r="BA203" i="13"/>
  <c r="BC203" i="13"/>
  <c r="BE203" i="13"/>
  <c r="BF203" i="13"/>
  <c r="BI203" i="13"/>
  <c r="BJ203" i="13"/>
  <c r="BK203" i="13"/>
  <c r="BL203" i="13"/>
  <c r="AB204" i="13"/>
  <c r="AC204" i="13"/>
  <c r="AD204" i="13"/>
  <c r="AE204" i="13"/>
  <c r="AG204" i="13"/>
  <c r="AH204" i="13"/>
  <c r="AI204" i="13"/>
  <c r="AJ204" i="13"/>
  <c r="AK204" i="13"/>
  <c r="AL204" i="13"/>
  <c r="AM204" i="13"/>
  <c r="AN204" i="13"/>
  <c r="AO204" i="13"/>
  <c r="AP204" i="13"/>
  <c r="AQ204" i="13"/>
  <c r="AR204" i="13"/>
  <c r="AS204" i="13"/>
  <c r="AT204" i="13"/>
  <c r="AU204" i="13"/>
  <c r="AV204" i="13"/>
  <c r="AW204" i="13"/>
  <c r="AX204" i="13"/>
  <c r="AY204" i="13"/>
  <c r="AZ204" i="13"/>
  <c r="BA204" i="13"/>
  <c r="BC204" i="13"/>
  <c r="BE204" i="13"/>
  <c r="BF204" i="13"/>
  <c r="BI204" i="13"/>
  <c r="BJ204" i="13"/>
  <c r="BK204" i="13"/>
  <c r="BL204" i="13"/>
  <c r="AB205" i="13"/>
  <c r="AC205" i="13"/>
  <c r="AD205" i="13"/>
  <c r="AE205" i="13"/>
  <c r="AG205" i="13"/>
  <c r="AH205" i="13"/>
  <c r="AI205" i="13"/>
  <c r="AJ205" i="13"/>
  <c r="AK205" i="13"/>
  <c r="AL205" i="13"/>
  <c r="AM205" i="13"/>
  <c r="AN205" i="13"/>
  <c r="AO205" i="13"/>
  <c r="AP205" i="13"/>
  <c r="AQ205" i="13"/>
  <c r="AR205" i="13"/>
  <c r="AS205" i="13"/>
  <c r="AT205" i="13"/>
  <c r="AU205" i="13"/>
  <c r="AV205" i="13"/>
  <c r="AW205" i="13"/>
  <c r="AX205" i="13"/>
  <c r="AY205" i="13"/>
  <c r="AZ205" i="13"/>
  <c r="BA205" i="13"/>
  <c r="BC205" i="13"/>
  <c r="BE205" i="13"/>
  <c r="BF205" i="13"/>
  <c r="BI205" i="13"/>
  <c r="BJ205" i="13"/>
  <c r="BK205" i="13"/>
  <c r="BL205" i="13"/>
  <c r="AB206" i="13"/>
  <c r="AC206" i="13"/>
  <c r="AD206" i="13"/>
  <c r="AE206" i="13"/>
  <c r="AG206" i="13"/>
  <c r="AH206" i="13"/>
  <c r="AI206" i="13"/>
  <c r="AJ206" i="13"/>
  <c r="AK206" i="13"/>
  <c r="AL206" i="13"/>
  <c r="AM206" i="13"/>
  <c r="AN206" i="13"/>
  <c r="AO206" i="13"/>
  <c r="AP206" i="13"/>
  <c r="AQ206" i="13"/>
  <c r="AR206" i="13"/>
  <c r="AS206" i="13"/>
  <c r="AT206" i="13"/>
  <c r="AU206" i="13"/>
  <c r="AV206" i="13"/>
  <c r="AW206" i="13"/>
  <c r="AX206" i="13"/>
  <c r="AY206" i="13"/>
  <c r="AZ206" i="13"/>
  <c r="BA206" i="13"/>
  <c r="BC206" i="13"/>
  <c r="BE206" i="13"/>
  <c r="BF206" i="13"/>
  <c r="BI206" i="13"/>
  <c r="BJ206" i="13"/>
  <c r="BK206" i="13"/>
  <c r="BL206" i="13"/>
  <c r="AB207" i="13"/>
  <c r="AC207" i="13"/>
  <c r="AD207" i="13"/>
  <c r="AE207" i="13"/>
  <c r="AG207" i="13"/>
  <c r="AH207" i="13"/>
  <c r="AI207" i="13"/>
  <c r="AJ207" i="13"/>
  <c r="AK207" i="13"/>
  <c r="AL207" i="13"/>
  <c r="AM207" i="13"/>
  <c r="AN207" i="13"/>
  <c r="AO207" i="13"/>
  <c r="AP207" i="13"/>
  <c r="AQ207" i="13"/>
  <c r="AR207" i="13"/>
  <c r="AS207" i="13"/>
  <c r="AT207" i="13"/>
  <c r="AU207" i="13"/>
  <c r="AV207" i="13"/>
  <c r="AW207" i="13"/>
  <c r="AX207" i="13"/>
  <c r="AY207" i="13"/>
  <c r="AZ207" i="13"/>
  <c r="BA207" i="13"/>
  <c r="BC207" i="13"/>
  <c r="BE207" i="13"/>
  <c r="BF207" i="13"/>
  <c r="BI207" i="13"/>
  <c r="BJ207" i="13"/>
  <c r="BK207" i="13"/>
  <c r="BL207" i="13"/>
  <c r="AB208" i="13"/>
  <c r="AC208" i="13"/>
  <c r="AD208" i="13"/>
  <c r="AE208" i="13"/>
  <c r="AG208" i="13"/>
  <c r="AH208" i="13"/>
  <c r="AI208" i="13"/>
  <c r="AJ208" i="13"/>
  <c r="AK208" i="13"/>
  <c r="AL208" i="13"/>
  <c r="AM208" i="13"/>
  <c r="AN208" i="13"/>
  <c r="AO208" i="13"/>
  <c r="AP208" i="13"/>
  <c r="AQ208" i="13"/>
  <c r="AR208" i="13"/>
  <c r="AS208" i="13"/>
  <c r="AT208" i="13"/>
  <c r="AU208" i="13"/>
  <c r="AV208" i="13"/>
  <c r="AW208" i="13"/>
  <c r="AX208" i="13"/>
  <c r="AY208" i="13"/>
  <c r="AZ208" i="13"/>
  <c r="BA208" i="13"/>
  <c r="BC208" i="13"/>
  <c r="BE208" i="13"/>
  <c r="BF208" i="13"/>
  <c r="BI208" i="13"/>
  <c r="BJ208" i="13"/>
  <c r="BK208" i="13"/>
  <c r="BL208" i="13"/>
  <c r="AB209" i="13"/>
  <c r="AC209" i="13"/>
  <c r="AD209" i="13"/>
  <c r="AE209" i="13"/>
  <c r="AG209" i="13"/>
  <c r="AH209" i="13"/>
  <c r="AI209" i="13"/>
  <c r="AJ209" i="13"/>
  <c r="AK209" i="13"/>
  <c r="AL209" i="13"/>
  <c r="AM209" i="13"/>
  <c r="AN209" i="13"/>
  <c r="AO209" i="13"/>
  <c r="AP209" i="13"/>
  <c r="AQ209" i="13"/>
  <c r="AR209" i="13"/>
  <c r="AS209" i="13"/>
  <c r="AT209" i="13"/>
  <c r="AU209" i="13"/>
  <c r="AV209" i="13"/>
  <c r="AW209" i="13"/>
  <c r="AX209" i="13"/>
  <c r="AY209" i="13"/>
  <c r="AZ209" i="13"/>
  <c r="BA209" i="13"/>
  <c r="BC209" i="13"/>
  <c r="BE209" i="13"/>
  <c r="BF209" i="13"/>
  <c r="BI209" i="13"/>
  <c r="BJ209" i="13"/>
  <c r="BK209" i="13"/>
  <c r="BL209" i="13"/>
  <c r="AB210" i="13"/>
  <c r="AC210" i="13"/>
  <c r="AD210" i="13"/>
  <c r="AE210" i="13"/>
  <c r="AG210" i="13"/>
  <c r="AH210" i="13"/>
  <c r="AI210" i="13"/>
  <c r="AJ210" i="13"/>
  <c r="AK210" i="13"/>
  <c r="AL210" i="13"/>
  <c r="AM210" i="13"/>
  <c r="AN210" i="13"/>
  <c r="AO210" i="13"/>
  <c r="AP210" i="13"/>
  <c r="AQ210" i="13"/>
  <c r="AR210" i="13"/>
  <c r="AS210" i="13"/>
  <c r="AT210" i="13"/>
  <c r="AU210" i="13"/>
  <c r="AV210" i="13"/>
  <c r="AW210" i="13"/>
  <c r="AX210" i="13"/>
  <c r="AY210" i="13"/>
  <c r="AZ210" i="13"/>
  <c r="BA210" i="13"/>
  <c r="BC210" i="13"/>
  <c r="BE210" i="13"/>
  <c r="BF210" i="13"/>
  <c r="BI210" i="13"/>
  <c r="BJ210" i="13"/>
  <c r="BK210" i="13"/>
  <c r="BL210" i="13"/>
  <c r="AB211" i="13"/>
  <c r="AC211" i="13"/>
  <c r="AD211" i="13"/>
  <c r="AE211" i="13"/>
  <c r="AG211" i="13"/>
  <c r="AH211" i="13"/>
  <c r="AI211" i="13"/>
  <c r="AJ211" i="13"/>
  <c r="AK211" i="13"/>
  <c r="AL211" i="13"/>
  <c r="AM211" i="13"/>
  <c r="AN211" i="13"/>
  <c r="AO211" i="13"/>
  <c r="AP211" i="13"/>
  <c r="AQ211" i="13"/>
  <c r="AR211" i="13"/>
  <c r="AS211" i="13"/>
  <c r="AT211" i="13"/>
  <c r="AU211" i="13"/>
  <c r="AV211" i="13"/>
  <c r="AW211" i="13"/>
  <c r="AX211" i="13"/>
  <c r="AY211" i="13"/>
  <c r="AZ211" i="13"/>
  <c r="BA211" i="13"/>
  <c r="BC211" i="13"/>
  <c r="BE211" i="13"/>
  <c r="BF211" i="13"/>
  <c r="BI211" i="13"/>
  <c r="BJ211" i="13"/>
  <c r="BK211" i="13"/>
  <c r="BL211" i="13"/>
  <c r="AB212" i="13"/>
  <c r="AC212" i="13"/>
  <c r="AD212" i="13"/>
  <c r="AE212" i="13"/>
  <c r="AG212" i="13"/>
  <c r="AH212" i="13"/>
  <c r="AI212" i="13"/>
  <c r="AJ212" i="13"/>
  <c r="AK212" i="13"/>
  <c r="AL212" i="13"/>
  <c r="AM212" i="13"/>
  <c r="AN212" i="13"/>
  <c r="AO212" i="13"/>
  <c r="AP212" i="13"/>
  <c r="AQ212" i="13"/>
  <c r="AR212" i="13"/>
  <c r="AS212" i="13"/>
  <c r="AT212" i="13"/>
  <c r="AU212" i="13"/>
  <c r="AV212" i="13"/>
  <c r="AW212" i="13"/>
  <c r="AX212" i="13"/>
  <c r="AY212" i="13"/>
  <c r="AZ212" i="13"/>
  <c r="BA212" i="13"/>
  <c r="BC212" i="13"/>
  <c r="BE212" i="13"/>
  <c r="BF212" i="13"/>
  <c r="BI212" i="13"/>
  <c r="BJ212" i="13"/>
  <c r="BK212" i="13"/>
  <c r="BL212" i="13"/>
  <c r="AB213" i="13"/>
  <c r="AC213" i="13"/>
  <c r="AD213" i="13"/>
  <c r="AE213" i="13"/>
  <c r="AG213" i="13"/>
  <c r="AH213" i="13"/>
  <c r="AI213" i="13"/>
  <c r="AJ213" i="13"/>
  <c r="AK213" i="13"/>
  <c r="AL213" i="13"/>
  <c r="AM213" i="13"/>
  <c r="AN213" i="13"/>
  <c r="AO213" i="13"/>
  <c r="AP213" i="13"/>
  <c r="AQ213" i="13"/>
  <c r="AR213" i="13"/>
  <c r="AS213" i="13"/>
  <c r="AT213" i="13"/>
  <c r="AU213" i="13"/>
  <c r="AV213" i="13"/>
  <c r="AW213" i="13"/>
  <c r="AX213" i="13"/>
  <c r="AY213" i="13"/>
  <c r="AZ213" i="13"/>
  <c r="BA213" i="13"/>
  <c r="BC213" i="13"/>
  <c r="BE213" i="13"/>
  <c r="BF213" i="13"/>
  <c r="BI213" i="13"/>
  <c r="BJ213" i="13"/>
  <c r="BK213" i="13"/>
  <c r="BL213" i="13"/>
  <c r="AB214" i="13"/>
  <c r="AC214" i="13"/>
  <c r="AD214" i="13"/>
  <c r="AE214" i="13"/>
  <c r="AG214" i="13"/>
  <c r="AH214" i="13"/>
  <c r="AI214" i="13"/>
  <c r="AJ214" i="13"/>
  <c r="AK214" i="13"/>
  <c r="AL214" i="13"/>
  <c r="AM214" i="13"/>
  <c r="AN214" i="13"/>
  <c r="AO214" i="13"/>
  <c r="AP214" i="13"/>
  <c r="AQ214" i="13"/>
  <c r="AR214" i="13"/>
  <c r="AS214" i="13"/>
  <c r="AT214" i="13"/>
  <c r="AU214" i="13"/>
  <c r="AV214" i="13"/>
  <c r="AW214" i="13"/>
  <c r="AX214" i="13"/>
  <c r="AY214" i="13"/>
  <c r="AZ214" i="13"/>
  <c r="BA214" i="13"/>
  <c r="BC214" i="13"/>
  <c r="BE214" i="13"/>
  <c r="BF214" i="13"/>
  <c r="BI214" i="13"/>
  <c r="BJ214" i="13"/>
  <c r="BK214" i="13"/>
  <c r="BL214" i="13"/>
  <c r="AB215" i="13"/>
  <c r="AC215" i="13"/>
  <c r="AD215" i="13"/>
  <c r="AE215" i="13"/>
  <c r="AG215" i="13"/>
  <c r="AH215" i="13"/>
  <c r="AI215" i="13"/>
  <c r="AJ215" i="13"/>
  <c r="AK215" i="13"/>
  <c r="AL215" i="13"/>
  <c r="AM215" i="13"/>
  <c r="AN215" i="13"/>
  <c r="AO215" i="13"/>
  <c r="AP215" i="13"/>
  <c r="AQ215" i="13"/>
  <c r="AR215" i="13"/>
  <c r="AS215" i="13"/>
  <c r="AT215" i="13"/>
  <c r="AU215" i="13"/>
  <c r="AV215" i="13"/>
  <c r="AW215" i="13"/>
  <c r="AX215" i="13"/>
  <c r="AY215" i="13"/>
  <c r="AZ215" i="13"/>
  <c r="BA215" i="13"/>
  <c r="BC215" i="13"/>
  <c r="BE215" i="13"/>
  <c r="BF215" i="13"/>
  <c r="BI215" i="13"/>
  <c r="BJ215" i="13"/>
  <c r="BK215" i="13"/>
  <c r="BL215" i="13"/>
  <c r="AB216" i="13"/>
  <c r="AC216" i="13"/>
  <c r="AD216" i="13"/>
  <c r="AE216" i="13"/>
  <c r="AG216" i="13"/>
  <c r="AH216" i="13"/>
  <c r="AI216" i="13"/>
  <c r="AJ216" i="13"/>
  <c r="AK216" i="13"/>
  <c r="AL216" i="13"/>
  <c r="AM216" i="13"/>
  <c r="AN216" i="13"/>
  <c r="AO216" i="13"/>
  <c r="AP216" i="13"/>
  <c r="AQ216" i="13"/>
  <c r="AR216" i="13"/>
  <c r="AS216" i="13"/>
  <c r="AT216" i="13"/>
  <c r="AU216" i="13"/>
  <c r="AV216" i="13"/>
  <c r="AW216" i="13"/>
  <c r="AX216" i="13"/>
  <c r="AY216" i="13"/>
  <c r="AZ216" i="13"/>
  <c r="BA216" i="13"/>
  <c r="BC216" i="13"/>
  <c r="BE216" i="13"/>
  <c r="BF216" i="13"/>
  <c r="BI216" i="13"/>
  <c r="BJ216" i="13"/>
  <c r="BK216" i="13"/>
  <c r="BL216" i="13"/>
  <c r="AB217" i="13"/>
  <c r="AC217" i="13"/>
  <c r="AD217" i="13"/>
  <c r="AE217" i="13"/>
  <c r="AG217" i="13"/>
  <c r="AH217" i="13"/>
  <c r="AI217" i="13"/>
  <c r="AJ217" i="13"/>
  <c r="AK217" i="13"/>
  <c r="AL217" i="13"/>
  <c r="AM217" i="13"/>
  <c r="AN217" i="13"/>
  <c r="AO217" i="13"/>
  <c r="AP217" i="13"/>
  <c r="AQ217" i="13"/>
  <c r="AR217" i="13"/>
  <c r="AS217" i="13"/>
  <c r="AT217" i="13"/>
  <c r="AU217" i="13"/>
  <c r="AV217" i="13"/>
  <c r="AW217" i="13"/>
  <c r="AX217" i="13"/>
  <c r="AY217" i="13"/>
  <c r="AZ217" i="13"/>
  <c r="BA217" i="13"/>
  <c r="BC217" i="13"/>
  <c r="BE217" i="13"/>
  <c r="BF217" i="13"/>
  <c r="BI217" i="13"/>
  <c r="BJ217" i="13"/>
  <c r="BK217" i="13"/>
  <c r="BL217" i="13"/>
  <c r="AB218" i="13"/>
  <c r="AC218" i="13"/>
  <c r="AD218" i="13"/>
  <c r="AE218" i="13"/>
  <c r="AG218" i="13"/>
  <c r="AH218" i="13"/>
  <c r="AI218" i="13"/>
  <c r="AJ218" i="13"/>
  <c r="AK218" i="13"/>
  <c r="AL218" i="13"/>
  <c r="AM218" i="13"/>
  <c r="AN218" i="13"/>
  <c r="AO218" i="13"/>
  <c r="AP218" i="13"/>
  <c r="AQ218" i="13"/>
  <c r="AR218" i="13"/>
  <c r="AS218" i="13"/>
  <c r="AT218" i="13"/>
  <c r="AU218" i="13"/>
  <c r="AV218" i="13"/>
  <c r="AW218" i="13"/>
  <c r="AX218" i="13"/>
  <c r="AY218" i="13"/>
  <c r="AZ218" i="13"/>
  <c r="BA218" i="13"/>
  <c r="BC218" i="13"/>
  <c r="BE218" i="13"/>
  <c r="BF218" i="13"/>
  <c r="BI218" i="13"/>
  <c r="BJ218" i="13"/>
  <c r="BK218" i="13"/>
  <c r="BL218" i="13"/>
  <c r="AB219" i="13"/>
  <c r="AC219" i="13"/>
  <c r="AD219" i="13"/>
  <c r="AE219" i="13"/>
  <c r="AG219" i="13"/>
  <c r="AH219" i="13"/>
  <c r="AI219" i="13"/>
  <c r="AJ219" i="13"/>
  <c r="AK219" i="13"/>
  <c r="AL219" i="13"/>
  <c r="AM219" i="13"/>
  <c r="AN219" i="13"/>
  <c r="AO219" i="13"/>
  <c r="AP219" i="13"/>
  <c r="AQ219" i="13"/>
  <c r="AR219" i="13"/>
  <c r="AS219" i="13"/>
  <c r="AT219" i="13"/>
  <c r="AU219" i="13"/>
  <c r="AV219" i="13"/>
  <c r="AW219" i="13"/>
  <c r="AX219" i="13"/>
  <c r="AY219" i="13"/>
  <c r="AZ219" i="13"/>
  <c r="BA219" i="13"/>
  <c r="BC219" i="13"/>
  <c r="BE219" i="13"/>
  <c r="BF219" i="13"/>
  <c r="BI219" i="13"/>
  <c r="BJ219" i="13"/>
  <c r="BK219" i="13"/>
  <c r="BL219" i="13"/>
  <c r="AB220" i="13"/>
  <c r="AC220" i="13"/>
  <c r="AD220" i="13"/>
  <c r="AE220" i="13"/>
  <c r="AG220" i="13"/>
  <c r="AH220" i="13"/>
  <c r="AI220" i="13"/>
  <c r="AJ220" i="13"/>
  <c r="AK220" i="13"/>
  <c r="AL220" i="13"/>
  <c r="AM220" i="13"/>
  <c r="AN220" i="13"/>
  <c r="AO220" i="13"/>
  <c r="AP220" i="13"/>
  <c r="AQ220" i="13"/>
  <c r="AR220" i="13"/>
  <c r="AS220" i="13"/>
  <c r="AT220" i="13"/>
  <c r="AU220" i="13"/>
  <c r="AV220" i="13"/>
  <c r="AW220" i="13"/>
  <c r="AX220" i="13"/>
  <c r="AY220" i="13"/>
  <c r="AZ220" i="13"/>
  <c r="BA220" i="13"/>
  <c r="BC220" i="13"/>
  <c r="BE220" i="13"/>
  <c r="BF220" i="13"/>
  <c r="BI220" i="13"/>
  <c r="BJ220" i="13"/>
  <c r="BK220" i="13"/>
  <c r="BL220" i="13"/>
  <c r="AB221" i="13"/>
  <c r="AC221" i="13"/>
  <c r="AD221" i="13"/>
  <c r="AE221" i="13"/>
  <c r="AG221" i="13"/>
  <c r="AH221" i="13"/>
  <c r="AI221" i="13"/>
  <c r="AJ221" i="13"/>
  <c r="AK221" i="13"/>
  <c r="AL221" i="13"/>
  <c r="AM221" i="13"/>
  <c r="AN221" i="13"/>
  <c r="AO221" i="13"/>
  <c r="AP221" i="13"/>
  <c r="AQ221" i="13"/>
  <c r="AR221" i="13"/>
  <c r="AS221" i="13"/>
  <c r="AT221" i="13"/>
  <c r="AU221" i="13"/>
  <c r="AV221" i="13"/>
  <c r="AW221" i="13"/>
  <c r="AX221" i="13"/>
  <c r="AY221" i="13"/>
  <c r="AZ221" i="13"/>
  <c r="BA221" i="13"/>
  <c r="BC221" i="13"/>
  <c r="BE221" i="13"/>
  <c r="BF221" i="13"/>
  <c r="BI221" i="13"/>
  <c r="BJ221" i="13"/>
  <c r="BK221" i="13"/>
  <c r="BL221" i="13"/>
  <c r="AB222" i="13"/>
  <c r="AC222" i="13"/>
  <c r="AD222" i="13"/>
  <c r="AE222" i="13"/>
  <c r="AG222" i="13"/>
  <c r="AH222" i="13"/>
  <c r="AI222" i="13"/>
  <c r="AJ222" i="13"/>
  <c r="AK222" i="13"/>
  <c r="AL222" i="13"/>
  <c r="AM222" i="13"/>
  <c r="AN222" i="13"/>
  <c r="AO222" i="13"/>
  <c r="AP222" i="13"/>
  <c r="AQ222" i="13"/>
  <c r="AR222" i="13"/>
  <c r="AS222" i="13"/>
  <c r="AT222" i="13"/>
  <c r="AU222" i="13"/>
  <c r="AV222" i="13"/>
  <c r="AW222" i="13"/>
  <c r="AX222" i="13"/>
  <c r="AY222" i="13"/>
  <c r="AZ222" i="13"/>
  <c r="BA222" i="13"/>
  <c r="BC222" i="13"/>
  <c r="BE222" i="13"/>
  <c r="BF222" i="13"/>
  <c r="BI222" i="13"/>
  <c r="BJ222" i="13"/>
  <c r="BK222" i="13"/>
  <c r="BL222" i="13"/>
  <c r="AB223" i="13"/>
  <c r="AC223" i="13"/>
  <c r="AD223" i="13"/>
  <c r="AE223" i="13"/>
  <c r="AG223" i="13"/>
  <c r="AH223" i="13"/>
  <c r="AI223" i="13"/>
  <c r="AJ223" i="13"/>
  <c r="AK223" i="13"/>
  <c r="AL223" i="13"/>
  <c r="AM223" i="13"/>
  <c r="AN223" i="13"/>
  <c r="AO223" i="13"/>
  <c r="AP223" i="13"/>
  <c r="AQ223" i="13"/>
  <c r="AR223" i="13"/>
  <c r="AS223" i="13"/>
  <c r="AT223" i="13"/>
  <c r="AU223" i="13"/>
  <c r="AV223" i="13"/>
  <c r="AW223" i="13"/>
  <c r="AX223" i="13"/>
  <c r="AY223" i="13"/>
  <c r="AZ223" i="13"/>
  <c r="BA223" i="13"/>
  <c r="BC223" i="13"/>
  <c r="BE223" i="13"/>
  <c r="BF223" i="13"/>
  <c r="BI223" i="13"/>
  <c r="BJ223" i="13"/>
  <c r="BK223" i="13"/>
  <c r="BL223" i="13"/>
  <c r="AB224" i="13"/>
  <c r="AC224" i="13"/>
  <c r="AD224" i="13"/>
  <c r="AE224" i="13"/>
  <c r="AG224" i="13"/>
  <c r="AH224" i="13"/>
  <c r="AI224" i="13"/>
  <c r="AJ224" i="13"/>
  <c r="AK224" i="13"/>
  <c r="AL224" i="13"/>
  <c r="AM224" i="13"/>
  <c r="AN224" i="13"/>
  <c r="AO224" i="13"/>
  <c r="AP224" i="13"/>
  <c r="AQ224" i="13"/>
  <c r="AR224" i="13"/>
  <c r="AS224" i="13"/>
  <c r="AT224" i="13"/>
  <c r="AU224" i="13"/>
  <c r="AV224" i="13"/>
  <c r="AW224" i="13"/>
  <c r="AX224" i="13"/>
  <c r="AY224" i="13"/>
  <c r="AZ224" i="13"/>
  <c r="BA224" i="13"/>
  <c r="BC224" i="13"/>
  <c r="BE224" i="13"/>
  <c r="BF224" i="13"/>
  <c r="BI224" i="13"/>
  <c r="BJ224" i="13"/>
  <c r="BK224" i="13"/>
  <c r="BL224" i="13"/>
  <c r="AB225" i="13"/>
  <c r="AC225" i="13"/>
  <c r="AD225" i="13"/>
  <c r="AE225" i="13"/>
  <c r="AG225" i="13"/>
  <c r="AH225" i="13"/>
  <c r="AI225" i="13"/>
  <c r="AJ225" i="13"/>
  <c r="AK225" i="13"/>
  <c r="AL225" i="13"/>
  <c r="AM225" i="13"/>
  <c r="AN225" i="13"/>
  <c r="AO225" i="13"/>
  <c r="AP225" i="13"/>
  <c r="AQ225" i="13"/>
  <c r="AR225" i="13"/>
  <c r="AS225" i="13"/>
  <c r="AT225" i="13"/>
  <c r="AU225" i="13"/>
  <c r="AV225" i="13"/>
  <c r="AW225" i="13"/>
  <c r="AX225" i="13"/>
  <c r="AY225" i="13"/>
  <c r="AZ225" i="13"/>
  <c r="BA225" i="13"/>
  <c r="BC225" i="13"/>
  <c r="BE225" i="13"/>
  <c r="BF225" i="13"/>
  <c r="BI225" i="13"/>
  <c r="BJ225" i="13"/>
  <c r="BK225" i="13"/>
  <c r="BL225" i="13"/>
  <c r="AB226" i="13"/>
  <c r="AC226" i="13"/>
  <c r="AD226" i="13"/>
  <c r="AE226" i="13"/>
  <c r="AG226" i="13"/>
  <c r="AH226" i="13"/>
  <c r="AI226" i="13"/>
  <c r="AJ226" i="13"/>
  <c r="AK226" i="13"/>
  <c r="AL226" i="13"/>
  <c r="AM226" i="13"/>
  <c r="AN226" i="13"/>
  <c r="AO226" i="13"/>
  <c r="AP226" i="13"/>
  <c r="AQ226" i="13"/>
  <c r="AR226" i="13"/>
  <c r="AS226" i="13"/>
  <c r="AT226" i="13"/>
  <c r="AU226" i="13"/>
  <c r="AV226" i="13"/>
  <c r="AW226" i="13"/>
  <c r="AX226" i="13"/>
  <c r="AY226" i="13"/>
  <c r="AZ226" i="13"/>
  <c r="BA226" i="13"/>
  <c r="BC226" i="13"/>
  <c r="BE226" i="13"/>
  <c r="BF226" i="13"/>
  <c r="BI226" i="13"/>
  <c r="BJ226" i="13"/>
  <c r="BK226" i="13"/>
  <c r="BL226" i="13"/>
  <c r="AB227" i="13"/>
  <c r="AC227" i="13"/>
  <c r="AD227" i="13"/>
  <c r="AE227" i="13"/>
  <c r="AG227" i="13"/>
  <c r="AH227" i="13"/>
  <c r="AI227" i="13"/>
  <c r="AJ227" i="13"/>
  <c r="AK227" i="13"/>
  <c r="AL227" i="13"/>
  <c r="AM227" i="13"/>
  <c r="AN227" i="13"/>
  <c r="AO227" i="13"/>
  <c r="AP227" i="13"/>
  <c r="AQ227" i="13"/>
  <c r="AR227" i="13"/>
  <c r="AS227" i="13"/>
  <c r="AT227" i="13"/>
  <c r="AU227" i="13"/>
  <c r="AV227" i="13"/>
  <c r="AW227" i="13"/>
  <c r="AX227" i="13"/>
  <c r="AY227" i="13"/>
  <c r="AZ227" i="13"/>
  <c r="BA227" i="13"/>
  <c r="BC227" i="13"/>
  <c r="BE227" i="13"/>
  <c r="BF227" i="13"/>
  <c r="BI227" i="13"/>
  <c r="BJ227" i="13"/>
  <c r="BK227" i="13"/>
  <c r="BL227" i="13"/>
  <c r="AB228" i="13"/>
  <c r="AC228" i="13"/>
  <c r="AD228" i="13"/>
  <c r="AE228" i="13"/>
  <c r="AG228" i="13"/>
  <c r="AH228" i="13"/>
  <c r="AI228" i="13"/>
  <c r="AJ228" i="13"/>
  <c r="AK228" i="13"/>
  <c r="AL228" i="13"/>
  <c r="AM228" i="13"/>
  <c r="AN228" i="13"/>
  <c r="AO228" i="13"/>
  <c r="AP228" i="13"/>
  <c r="AQ228" i="13"/>
  <c r="AR228" i="13"/>
  <c r="AS228" i="13"/>
  <c r="AT228" i="13"/>
  <c r="AU228" i="13"/>
  <c r="AV228" i="13"/>
  <c r="AW228" i="13"/>
  <c r="AX228" i="13"/>
  <c r="AY228" i="13"/>
  <c r="AZ228" i="13"/>
  <c r="BA228" i="13"/>
  <c r="BC228" i="13"/>
  <c r="BE228" i="13"/>
  <c r="BF228" i="13"/>
  <c r="BI228" i="13"/>
  <c r="BJ228" i="13"/>
  <c r="BK228" i="13"/>
  <c r="BL228" i="13"/>
  <c r="AB229" i="13"/>
  <c r="AC229" i="13"/>
  <c r="AD229" i="13"/>
  <c r="AE229" i="13"/>
  <c r="AG229" i="13"/>
  <c r="AH229" i="13"/>
  <c r="AI229" i="13"/>
  <c r="AJ229" i="13"/>
  <c r="AK229" i="13"/>
  <c r="AL229" i="13"/>
  <c r="AM229" i="13"/>
  <c r="AN229" i="13"/>
  <c r="AO229" i="13"/>
  <c r="AP229" i="13"/>
  <c r="AQ229" i="13"/>
  <c r="AR229" i="13"/>
  <c r="AS229" i="13"/>
  <c r="AT229" i="13"/>
  <c r="AU229" i="13"/>
  <c r="AV229" i="13"/>
  <c r="AW229" i="13"/>
  <c r="AX229" i="13"/>
  <c r="AY229" i="13"/>
  <c r="AZ229" i="13"/>
  <c r="BA229" i="13"/>
  <c r="BC229" i="13"/>
  <c r="BE229" i="13"/>
  <c r="BF229" i="13"/>
  <c r="BI229" i="13"/>
  <c r="BJ229" i="13"/>
  <c r="BK229" i="13"/>
  <c r="BL229" i="13"/>
  <c r="AB230" i="13"/>
  <c r="AC230" i="13"/>
  <c r="AD230" i="13"/>
  <c r="AE230" i="13"/>
  <c r="AG230" i="13"/>
  <c r="AH230" i="13"/>
  <c r="AI230" i="13"/>
  <c r="AJ230" i="13"/>
  <c r="AK230" i="13"/>
  <c r="AL230" i="13"/>
  <c r="AM230" i="13"/>
  <c r="AN230" i="13"/>
  <c r="AO230" i="13"/>
  <c r="AP230" i="13"/>
  <c r="AQ230" i="13"/>
  <c r="AR230" i="13"/>
  <c r="AS230" i="13"/>
  <c r="AT230" i="13"/>
  <c r="AU230" i="13"/>
  <c r="AV230" i="13"/>
  <c r="AW230" i="13"/>
  <c r="AX230" i="13"/>
  <c r="AY230" i="13"/>
  <c r="AZ230" i="13"/>
  <c r="BA230" i="13"/>
  <c r="BC230" i="13"/>
  <c r="BE230" i="13"/>
  <c r="BF230" i="13"/>
  <c r="BI230" i="13"/>
  <c r="BJ230" i="13"/>
  <c r="BK230" i="13"/>
  <c r="BL230" i="13"/>
  <c r="AB231" i="13"/>
  <c r="AC231" i="13"/>
  <c r="AD231" i="13"/>
  <c r="AE231" i="13"/>
  <c r="AG231" i="13"/>
  <c r="AH231" i="13"/>
  <c r="AI231" i="13"/>
  <c r="AJ231" i="13"/>
  <c r="AK231" i="13"/>
  <c r="AL231" i="13"/>
  <c r="AM231" i="13"/>
  <c r="AN231" i="13"/>
  <c r="AO231" i="13"/>
  <c r="AP231" i="13"/>
  <c r="AQ231" i="13"/>
  <c r="AR231" i="13"/>
  <c r="AS231" i="13"/>
  <c r="AT231" i="13"/>
  <c r="AU231" i="13"/>
  <c r="AV231" i="13"/>
  <c r="AW231" i="13"/>
  <c r="AX231" i="13"/>
  <c r="AY231" i="13"/>
  <c r="AZ231" i="13"/>
  <c r="BA231" i="13"/>
  <c r="BC231" i="13"/>
  <c r="BE231" i="13"/>
  <c r="BF231" i="13"/>
  <c r="BI231" i="13"/>
  <c r="BJ231" i="13"/>
  <c r="BK231" i="13"/>
  <c r="BL231" i="13"/>
  <c r="AB232" i="13"/>
  <c r="AC232" i="13"/>
  <c r="AD232" i="13"/>
  <c r="AE232" i="13"/>
  <c r="AG232" i="13"/>
  <c r="AH232" i="13"/>
  <c r="AI232" i="13"/>
  <c r="AJ232" i="13"/>
  <c r="AK232" i="13"/>
  <c r="AL232" i="13"/>
  <c r="AM232" i="13"/>
  <c r="AN232" i="13"/>
  <c r="AO232" i="13"/>
  <c r="AP232" i="13"/>
  <c r="AQ232" i="13"/>
  <c r="AR232" i="13"/>
  <c r="AS232" i="13"/>
  <c r="AT232" i="13"/>
  <c r="AU232" i="13"/>
  <c r="AV232" i="13"/>
  <c r="AW232" i="13"/>
  <c r="AX232" i="13"/>
  <c r="AY232" i="13"/>
  <c r="AZ232" i="13"/>
  <c r="BA232" i="13"/>
  <c r="BC232" i="13"/>
  <c r="BE232" i="13"/>
  <c r="BF232" i="13"/>
  <c r="BI232" i="13"/>
  <c r="BJ232" i="13"/>
  <c r="BK232" i="13"/>
  <c r="BL232" i="13"/>
  <c r="AB233" i="13"/>
  <c r="AC233" i="13"/>
  <c r="AD233" i="13"/>
  <c r="AE233" i="13"/>
  <c r="AG233" i="13"/>
  <c r="AH233" i="13"/>
  <c r="AI233" i="13"/>
  <c r="AJ233" i="13"/>
  <c r="AK233" i="13"/>
  <c r="AL233" i="13"/>
  <c r="AM233" i="13"/>
  <c r="AN233" i="13"/>
  <c r="AO233" i="13"/>
  <c r="AP233" i="13"/>
  <c r="AQ233" i="13"/>
  <c r="AR233" i="13"/>
  <c r="AS233" i="13"/>
  <c r="AT233" i="13"/>
  <c r="AU233" i="13"/>
  <c r="AV233" i="13"/>
  <c r="AW233" i="13"/>
  <c r="AX233" i="13"/>
  <c r="AY233" i="13"/>
  <c r="AZ233" i="13"/>
  <c r="BA233" i="13"/>
  <c r="BC233" i="13"/>
  <c r="BE233" i="13"/>
  <c r="BF233" i="13"/>
  <c r="BI233" i="13"/>
  <c r="BJ233" i="13"/>
  <c r="BK233" i="13"/>
  <c r="BL233" i="13"/>
  <c r="AB234" i="13"/>
  <c r="AC234" i="13"/>
  <c r="AD234" i="13"/>
  <c r="AE234" i="13"/>
  <c r="AG234" i="13"/>
  <c r="AH234" i="13"/>
  <c r="AI234" i="13"/>
  <c r="AJ234" i="13"/>
  <c r="AK234" i="13"/>
  <c r="AL234" i="13"/>
  <c r="AM234" i="13"/>
  <c r="AN234" i="13"/>
  <c r="AO234" i="13"/>
  <c r="AP234" i="13"/>
  <c r="AQ234" i="13"/>
  <c r="AR234" i="13"/>
  <c r="AS234" i="13"/>
  <c r="AT234" i="13"/>
  <c r="AU234" i="13"/>
  <c r="AV234" i="13"/>
  <c r="AW234" i="13"/>
  <c r="AX234" i="13"/>
  <c r="AY234" i="13"/>
  <c r="AZ234" i="13"/>
  <c r="BA234" i="13"/>
  <c r="BC234" i="13"/>
  <c r="BE234" i="13"/>
  <c r="BF234" i="13"/>
  <c r="BI234" i="13"/>
  <c r="BJ234" i="13"/>
  <c r="BK234" i="13"/>
  <c r="BL234" i="13"/>
  <c r="AB235" i="13"/>
  <c r="AC235" i="13"/>
  <c r="AD235" i="13"/>
  <c r="AE235" i="13"/>
  <c r="AG235" i="13"/>
  <c r="AH235" i="13"/>
  <c r="AI235" i="13"/>
  <c r="AJ235" i="13"/>
  <c r="AK235" i="13"/>
  <c r="AL235" i="13"/>
  <c r="AM235" i="13"/>
  <c r="AN235" i="13"/>
  <c r="AO235" i="13"/>
  <c r="AP235" i="13"/>
  <c r="AQ235" i="13"/>
  <c r="AR235" i="13"/>
  <c r="AS235" i="13"/>
  <c r="AT235" i="13"/>
  <c r="AU235" i="13"/>
  <c r="AV235" i="13"/>
  <c r="AW235" i="13"/>
  <c r="AX235" i="13"/>
  <c r="AY235" i="13"/>
  <c r="AZ235" i="13"/>
  <c r="BA235" i="13"/>
  <c r="BC235" i="13"/>
  <c r="BE235" i="13"/>
  <c r="BF235" i="13"/>
  <c r="BI235" i="13"/>
  <c r="BJ235" i="13"/>
  <c r="BK235" i="13"/>
  <c r="BL235" i="13"/>
  <c r="AB236" i="13"/>
  <c r="AC236" i="13"/>
  <c r="AD236" i="13"/>
  <c r="AE236" i="13"/>
  <c r="AG236" i="13"/>
  <c r="AH236" i="13"/>
  <c r="AI236" i="13"/>
  <c r="AJ236" i="13"/>
  <c r="AK236" i="13"/>
  <c r="AL236" i="13"/>
  <c r="AM236" i="13"/>
  <c r="AN236" i="13"/>
  <c r="AO236" i="13"/>
  <c r="AP236" i="13"/>
  <c r="AQ236" i="13"/>
  <c r="AR236" i="13"/>
  <c r="AS236" i="13"/>
  <c r="AT236" i="13"/>
  <c r="AU236" i="13"/>
  <c r="AV236" i="13"/>
  <c r="AW236" i="13"/>
  <c r="AX236" i="13"/>
  <c r="AY236" i="13"/>
  <c r="AZ236" i="13"/>
  <c r="BA236" i="13"/>
  <c r="BC236" i="13"/>
  <c r="BE236" i="13"/>
  <c r="BF236" i="13"/>
  <c r="BI236" i="13"/>
  <c r="BJ236" i="13"/>
  <c r="BK236" i="13"/>
  <c r="BL236" i="13"/>
  <c r="AB237" i="13"/>
  <c r="AC237" i="13"/>
  <c r="AD237" i="13"/>
  <c r="AE237" i="13"/>
  <c r="AG237" i="13"/>
  <c r="AH237" i="13"/>
  <c r="AI237" i="13"/>
  <c r="AJ237" i="13"/>
  <c r="AK237" i="13"/>
  <c r="AL237" i="13"/>
  <c r="AM237" i="13"/>
  <c r="AN237" i="13"/>
  <c r="AO237" i="13"/>
  <c r="AP237" i="13"/>
  <c r="AQ237" i="13"/>
  <c r="AR237" i="13"/>
  <c r="AS237" i="13"/>
  <c r="AT237" i="13"/>
  <c r="AU237" i="13"/>
  <c r="AV237" i="13"/>
  <c r="AW237" i="13"/>
  <c r="AX237" i="13"/>
  <c r="AY237" i="13"/>
  <c r="AZ237" i="13"/>
  <c r="BA237" i="13"/>
  <c r="BC237" i="13"/>
  <c r="BE237" i="13"/>
  <c r="BF237" i="13"/>
  <c r="BI237" i="13"/>
  <c r="BJ237" i="13"/>
  <c r="BK237" i="13"/>
  <c r="BL237" i="13"/>
  <c r="AB238" i="13"/>
  <c r="AC238" i="13"/>
  <c r="AD238" i="13"/>
  <c r="AE238" i="13"/>
  <c r="AG238" i="13"/>
  <c r="AH238" i="13"/>
  <c r="AI238" i="13"/>
  <c r="AJ238" i="13"/>
  <c r="AK238" i="13"/>
  <c r="AL238" i="13"/>
  <c r="AM238" i="13"/>
  <c r="AN238" i="13"/>
  <c r="AO238" i="13"/>
  <c r="AP238" i="13"/>
  <c r="AQ238" i="13"/>
  <c r="AR238" i="13"/>
  <c r="AS238" i="13"/>
  <c r="AT238" i="13"/>
  <c r="AU238" i="13"/>
  <c r="AV238" i="13"/>
  <c r="AW238" i="13"/>
  <c r="AX238" i="13"/>
  <c r="AY238" i="13"/>
  <c r="AZ238" i="13"/>
  <c r="BA238" i="13"/>
  <c r="BC238" i="13"/>
  <c r="BE238" i="13"/>
  <c r="BF238" i="13"/>
  <c r="BI238" i="13"/>
  <c r="BJ238" i="13"/>
  <c r="BK238" i="13"/>
  <c r="BL238" i="13"/>
  <c r="AB239" i="13"/>
  <c r="AC239" i="13"/>
  <c r="AD239" i="13"/>
  <c r="AE239" i="13"/>
  <c r="AG239" i="13"/>
  <c r="AH239" i="13"/>
  <c r="AI239" i="13"/>
  <c r="AJ239" i="13"/>
  <c r="AK239" i="13"/>
  <c r="AL239" i="13"/>
  <c r="AM239" i="13"/>
  <c r="AN239" i="13"/>
  <c r="AO239" i="13"/>
  <c r="AP239" i="13"/>
  <c r="AQ239" i="13"/>
  <c r="AR239" i="13"/>
  <c r="AS239" i="13"/>
  <c r="AT239" i="13"/>
  <c r="AU239" i="13"/>
  <c r="AV239" i="13"/>
  <c r="AW239" i="13"/>
  <c r="AX239" i="13"/>
  <c r="AY239" i="13"/>
  <c r="AZ239" i="13"/>
  <c r="BA239" i="13"/>
  <c r="BC239" i="13"/>
  <c r="BE239" i="13"/>
  <c r="BF239" i="13"/>
  <c r="BI239" i="13"/>
  <c r="BJ239" i="13"/>
  <c r="BK239" i="13"/>
  <c r="BL239" i="13"/>
  <c r="AB240" i="13"/>
  <c r="AC240" i="13"/>
  <c r="AD240" i="13"/>
  <c r="AE240" i="13"/>
  <c r="AG240" i="13"/>
  <c r="AH240" i="13"/>
  <c r="AI240" i="13"/>
  <c r="AJ240" i="13"/>
  <c r="AK240" i="13"/>
  <c r="AL240" i="13"/>
  <c r="AM240" i="13"/>
  <c r="AN240" i="13"/>
  <c r="AO240" i="13"/>
  <c r="AP240" i="13"/>
  <c r="AQ240" i="13"/>
  <c r="AR240" i="13"/>
  <c r="AS240" i="13"/>
  <c r="AT240" i="13"/>
  <c r="AU240" i="13"/>
  <c r="AV240" i="13"/>
  <c r="AW240" i="13"/>
  <c r="AX240" i="13"/>
  <c r="AY240" i="13"/>
  <c r="AZ240" i="13"/>
  <c r="BA240" i="13"/>
  <c r="BC240" i="13"/>
  <c r="BE240" i="13"/>
  <c r="BF240" i="13"/>
  <c r="BI240" i="13"/>
  <c r="BJ240" i="13"/>
  <c r="BK240" i="13"/>
  <c r="BL240" i="13"/>
  <c r="AB241" i="13"/>
  <c r="AC241" i="13"/>
  <c r="AD241" i="13"/>
  <c r="AE241" i="13"/>
  <c r="AG241" i="13"/>
  <c r="AH241" i="13"/>
  <c r="AI241" i="13"/>
  <c r="AJ241" i="13"/>
  <c r="AK241" i="13"/>
  <c r="AL241" i="13"/>
  <c r="AM241" i="13"/>
  <c r="AN241" i="13"/>
  <c r="AO241" i="13"/>
  <c r="AP241" i="13"/>
  <c r="AQ241" i="13"/>
  <c r="AR241" i="13"/>
  <c r="AS241" i="13"/>
  <c r="AT241" i="13"/>
  <c r="AU241" i="13"/>
  <c r="AV241" i="13"/>
  <c r="AW241" i="13"/>
  <c r="AX241" i="13"/>
  <c r="AY241" i="13"/>
  <c r="AZ241" i="13"/>
  <c r="BA241" i="13"/>
  <c r="BC241" i="13"/>
  <c r="BE241" i="13"/>
  <c r="BF241" i="13"/>
  <c r="BI241" i="13"/>
  <c r="BJ241" i="13"/>
  <c r="BK241" i="13"/>
  <c r="BL241" i="13"/>
  <c r="AB242" i="13"/>
  <c r="AC242" i="13"/>
  <c r="AD242" i="13"/>
  <c r="AE242" i="13"/>
  <c r="AG242" i="13"/>
  <c r="AH242" i="13"/>
  <c r="AI242" i="13"/>
  <c r="AJ242" i="13"/>
  <c r="AK242" i="13"/>
  <c r="AL242" i="13"/>
  <c r="AM242" i="13"/>
  <c r="AN242" i="13"/>
  <c r="AO242" i="13"/>
  <c r="AP242" i="13"/>
  <c r="AQ242" i="13"/>
  <c r="AR242" i="13"/>
  <c r="AS242" i="13"/>
  <c r="AT242" i="13"/>
  <c r="AU242" i="13"/>
  <c r="AV242" i="13"/>
  <c r="AW242" i="13"/>
  <c r="AX242" i="13"/>
  <c r="AY242" i="13"/>
  <c r="AZ242" i="13"/>
  <c r="BA242" i="13"/>
  <c r="BC242" i="13"/>
  <c r="BE242" i="13"/>
  <c r="BF242" i="13"/>
  <c r="BI242" i="13"/>
  <c r="BJ242" i="13"/>
  <c r="BK242" i="13"/>
  <c r="BL242" i="13"/>
  <c r="AB243" i="13"/>
  <c r="AC243" i="13"/>
  <c r="AD243" i="13"/>
  <c r="AE243" i="13"/>
  <c r="AG243" i="13"/>
  <c r="AH243" i="13"/>
  <c r="AI243" i="13"/>
  <c r="AJ243" i="13"/>
  <c r="AK243" i="13"/>
  <c r="AL243" i="13"/>
  <c r="AM243" i="13"/>
  <c r="AN243" i="13"/>
  <c r="AO243" i="13"/>
  <c r="AP243" i="13"/>
  <c r="AQ243" i="13"/>
  <c r="AR243" i="13"/>
  <c r="AS243" i="13"/>
  <c r="AT243" i="13"/>
  <c r="AU243" i="13"/>
  <c r="AV243" i="13"/>
  <c r="AW243" i="13"/>
  <c r="AX243" i="13"/>
  <c r="AY243" i="13"/>
  <c r="AZ243" i="13"/>
  <c r="BA243" i="13"/>
  <c r="BC243" i="13"/>
  <c r="BE243" i="13"/>
  <c r="BF243" i="13"/>
  <c r="BI243" i="13"/>
  <c r="BJ243" i="13"/>
  <c r="BK243" i="13"/>
  <c r="BL243" i="13"/>
  <c r="AB244" i="13"/>
  <c r="AC244" i="13"/>
  <c r="AD244" i="13"/>
  <c r="AE244" i="13"/>
  <c r="AG244" i="13"/>
  <c r="AH244" i="13"/>
  <c r="AI244" i="13"/>
  <c r="AJ244" i="13"/>
  <c r="AK244" i="13"/>
  <c r="AL244" i="13"/>
  <c r="AM244" i="13"/>
  <c r="AN244" i="13"/>
  <c r="AO244" i="13"/>
  <c r="AP244" i="13"/>
  <c r="AQ244" i="13"/>
  <c r="AR244" i="13"/>
  <c r="AS244" i="13"/>
  <c r="AT244" i="13"/>
  <c r="AU244" i="13"/>
  <c r="AV244" i="13"/>
  <c r="AW244" i="13"/>
  <c r="AX244" i="13"/>
  <c r="AY244" i="13"/>
  <c r="AZ244" i="13"/>
  <c r="BA244" i="13"/>
  <c r="BC244" i="13"/>
  <c r="BE244" i="13"/>
  <c r="BF244" i="13"/>
  <c r="BI244" i="13"/>
  <c r="BJ244" i="13"/>
  <c r="BK244" i="13"/>
  <c r="BL244" i="13"/>
  <c r="AB245" i="13"/>
  <c r="AC245" i="13"/>
  <c r="AD245" i="13"/>
  <c r="AE245" i="13"/>
  <c r="AG245" i="13"/>
  <c r="AH245" i="13"/>
  <c r="AI245" i="13"/>
  <c r="AJ245" i="13"/>
  <c r="AK245" i="13"/>
  <c r="AL245" i="13"/>
  <c r="AM245" i="13"/>
  <c r="AN245" i="13"/>
  <c r="AO245" i="13"/>
  <c r="AP245" i="13"/>
  <c r="AQ245" i="13"/>
  <c r="AR245" i="13"/>
  <c r="AS245" i="13"/>
  <c r="AT245" i="13"/>
  <c r="AU245" i="13"/>
  <c r="AV245" i="13"/>
  <c r="AW245" i="13"/>
  <c r="AX245" i="13"/>
  <c r="AY245" i="13"/>
  <c r="AZ245" i="13"/>
  <c r="BA245" i="13"/>
  <c r="BC245" i="13"/>
  <c r="BE245" i="13"/>
  <c r="BF245" i="13"/>
  <c r="BI245" i="13"/>
  <c r="BJ245" i="13"/>
  <c r="BK245" i="13"/>
  <c r="BL245" i="13"/>
  <c r="AB246" i="13"/>
  <c r="AC246" i="13"/>
  <c r="AD246" i="13"/>
  <c r="AE246" i="13"/>
  <c r="AG246" i="13"/>
  <c r="AH246" i="13"/>
  <c r="AI246" i="13"/>
  <c r="AJ246" i="13"/>
  <c r="AK246" i="13"/>
  <c r="AL246" i="13"/>
  <c r="AM246" i="13"/>
  <c r="AN246" i="13"/>
  <c r="AO246" i="13"/>
  <c r="AP246" i="13"/>
  <c r="AQ246" i="13"/>
  <c r="AR246" i="13"/>
  <c r="AS246" i="13"/>
  <c r="AT246" i="13"/>
  <c r="AU246" i="13"/>
  <c r="AV246" i="13"/>
  <c r="AW246" i="13"/>
  <c r="AX246" i="13"/>
  <c r="AY246" i="13"/>
  <c r="AZ246" i="13"/>
  <c r="BA246" i="13"/>
  <c r="BC246" i="13"/>
  <c r="BE246" i="13"/>
  <c r="BF246" i="13"/>
  <c r="BI246" i="13"/>
  <c r="BJ246" i="13"/>
  <c r="BK246" i="13"/>
  <c r="BL246" i="13"/>
  <c r="AB247" i="13"/>
  <c r="AC247" i="13"/>
  <c r="AD247" i="13"/>
  <c r="AE247" i="13"/>
  <c r="AG247" i="13"/>
  <c r="AH247" i="13"/>
  <c r="AI247" i="13"/>
  <c r="AJ247" i="13"/>
  <c r="AK247" i="13"/>
  <c r="AL247" i="13"/>
  <c r="AM247" i="13"/>
  <c r="AN247" i="13"/>
  <c r="AO247" i="13"/>
  <c r="AP247" i="13"/>
  <c r="AQ247" i="13"/>
  <c r="AR247" i="13"/>
  <c r="AS247" i="13"/>
  <c r="AT247" i="13"/>
  <c r="AU247" i="13"/>
  <c r="AV247" i="13"/>
  <c r="AW247" i="13"/>
  <c r="AX247" i="13"/>
  <c r="AY247" i="13"/>
  <c r="AZ247" i="13"/>
  <c r="BA247" i="13"/>
  <c r="BC247" i="13"/>
  <c r="BE247" i="13"/>
  <c r="BF247" i="13"/>
  <c r="BI247" i="13"/>
  <c r="BJ247" i="13"/>
  <c r="BK247" i="13"/>
  <c r="BL247" i="13"/>
  <c r="AB248" i="13"/>
  <c r="AC248" i="13"/>
  <c r="AD248" i="13"/>
  <c r="AE248" i="13"/>
  <c r="AG248" i="13"/>
  <c r="AH248" i="13"/>
  <c r="AI248" i="13"/>
  <c r="AJ248" i="13"/>
  <c r="AK248" i="13"/>
  <c r="AL248" i="13"/>
  <c r="AM248" i="13"/>
  <c r="AN248" i="13"/>
  <c r="AO248" i="13"/>
  <c r="AP248" i="13"/>
  <c r="AQ248" i="13"/>
  <c r="AR248" i="13"/>
  <c r="AS248" i="13"/>
  <c r="AT248" i="13"/>
  <c r="AU248" i="13"/>
  <c r="AV248" i="13"/>
  <c r="AW248" i="13"/>
  <c r="AX248" i="13"/>
  <c r="AY248" i="13"/>
  <c r="AZ248" i="13"/>
  <c r="BA248" i="13"/>
  <c r="BC248" i="13"/>
  <c r="BE248" i="13"/>
  <c r="BF248" i="13"/>
  <c r="BI248" i="13"/>
  <c r="BJ248" i="13"/>
  <c r="BK248" i="13"/>
  <c r="BL248" i="13"/>
  <c r="AB249" i="13"/>
  <c r="AC249" i="13"/>
  <c r="AD249" i="13"/>
  <c r="AE249" i="13"/>
  <c r="AG249" i="13"/>
  <c r="AH249" i="13"/>
  <c r="AI249" i="13"/>
  <c r="AJ249" i="13"/>
  <c r="AK249" i="13"/>
  <c r="AL249" i="13"/>
  <c r="AM249" i="13"/>
  <c r="AN249" i="13"/>
  <c r="AO249" i="13"/>
  <c r="AP249" i="13"/>
  <c r="AQ249" i="13"/>
  <c r="AR249" i="13"/>
  <c r="AS249" i="13"/>
  <c r="AT249" i="13"/>
  <c r="AU249" i="13"/>
  <c r="AV249" i="13"/>
  <c r="AW249" i="13"/>
  <c r="AX249" i="13"/>
  <c r="AY249" i="13"/>
  <c r="AZ249" i="13"/>
  <c r="BA249" i="13"/>
  <c r="BC249" i="13"/>
  <c r="BE249" i="13"/>
  <c r="BF249" i="13"/>
  <c r="BI249" i="13"/>
  <c r="BJ249" i="13"/>
  <c r="BK249" i="13"/>
  <c r="BL249" i="13"/>
  <c r="AB250" i="13"/>
  <c r="AC250" i="13"/>
  <c r="AD250" i="13"/>
  <c r="AE250" i="13"/>
  <c r="AG250" i="13"/>
  <c r="AH250" i="13"/>
  <c r="AI250" i="13"/>
  <c r="AJ250" i="13"/>
  <c r="AK250" i="13"/>
  <c r="AL250" i="13"/>
  <c r="AM250" i="13"/>
  <c r="AN250" i="13"/>
  <c r="AO250" i="13"/>
  <c r="AP250" i="13"/>
  <c r="AQ250" i="13"/>
  <c r="AR250" i="13"/>
  <c r="AS250" i="13"/>
  <c r="AT250" i="13"/>
  <c r="AU250" i="13"/>
  <c r="AV250" i="13"/>
  <c r="AW250" i="13"/>
  <c r="AX250" i="13"/>
  <c r="AY250" i="13"/>
  <c r="AZ250" i="13"/>
  <c r="BA250" i="13"/>
  <c r="BC250" i="13"/>
  <c r="BE250" i="13"/>
  <c r="BF250" i="13"/>
  <c r="BI250" i="13"/>
  <c r="BJ250" i="13"/>
  <c r="BK250" i="13"/>
  <c r="BL250" i="13"/>
  <c r="AB251" i="13"/>
  <c r="AC251" i="13"/>
  <c r="AD251" i="13"/>
  <c r="AE251" i="13"/>
  <c r="AG251" i="13"/>
  <c r="AH251" i="13"/>
  <c r="AI251" i="13"/>
  <c r="AJ251" i="13"/>
  <c r="AK251" i="13"/>
  <c r="AL251" i="13"/>
  <c r="AM251" i="13"/>
  <c r="AN251" i="13"/>
  <c r="AO251" i="13"/>
  <c r="AP251" i="13"/>
  <c r="AQ251" i="13"/>
  <c r="AR251" i="13"/>
  <c r="AS251" i="13"/>
  <c r="AT251" i="13"/>
  <c r="AU251" i="13"/>
  <c r="AV251" i="13"/>
  <c r="AW251" i="13"/>
  <c r="AX251" i="13"/>
  <c r="AY251" i="13"/>
  <c r="AZ251" i="13"/>
  <c r="BA251" i="13"/>
  <c r="BC251" i="13"/>
  <c r="BE251" i="13"/>
  <c r="BF251" i="13"/>
  <c r="BI251" i="13"/>
  <c r="BJ251" i="13"/>
  <c r="BK251" i="13"/>
  <c r="BL251" i="13"/>
  <c r="AB252" i="13"/>
  <c r="AC252" i="13"/>
  <c r="AD252" i="13"/>
  <c r="AE252" i="13"/>
  <c r="AG252" i="13"/>
  <c r="AH252" i="13"/>
  <c r="AI252" i="13"/>
  <c r="AJ252" i="13"/>
  <c r="AK252" i="13"/>
  <c r="AL252" i="13"/>
  <c r="AM252" i="13"/>
  <c r="AN252" i="13"/>
  <c r="AO252" i="13"/>
  <c r="AP252" i="13"/>
  <c r="AQ252" i="13"/>
  <c r="AR252" i="13"/>
  <c r="AS252" i="13"/>
  <c r="AT252" i="13"/>
  <c r="AU252" i="13"/>
  <c r="AV252" i="13"/>
  <c r="AW252" i="13"/>
  <c r="AX252" i="13"/>
  <c r="AY252" i="13"/>
  <c r="AZ252" i="13"/>
  <c r="BA252" i="13"/>
  <c r="BC252" i="13"/>
  <c r="BE252" i="13"/>
  <c r="BF252" i="13"/>
  <c r="BI252" i="13"/>
  <c r="BJ252" i="13"/>
  <c r="BK252" i="13"/>
  <c r="BL252" i="13"/>
  <c r="AB253" i="13"/>
  <c r="AC253" i="13"/>
  <c r="AD253" i="13"/>
  <c r="AE253" i="13"/>
  <c r="AG253" i="13"/>
  <c r="AH253" i="13"/>
  <c r="AI253" i="13"/>
  <c r="AJ253" i="13"/>
  <c r="AK253" i="13"/>
  <c r="AL253" i="13"/>
  <c r="AM253" i="13"/>
  <c r="AN253" i="13"/>
  <c r="AO253" i="13"/>
  <c r="AP253" i="13"/>
  <c r="AQ253" i="13"/>
  <c r="AR253" i="13"/>
  <c r="AS253" i="13"/>
  <c r="AT253" i="13"/>
  <c r="AU253" i="13"/>
  <c r="AV253" i="13"/>
  <c r="AW253" i="13"/>
  <c r="AX253" i="13"/>
  <c r="AY253" i="13"/>
  <c r="AZ253" i="13"/>
  <c r="BA253" i="13"/>
  <c r="BC253" i="13"/>
  <c r="BE253" i="13"/>
  <c r="BF253" i="13"/>
  <c r="BI253" i="13"/>
  <c r="BJ253" i="13"/>
  <c r="BK253" i="13"/>
  <c r="BL253" i="13"/>
  <c r="AB254" i="13"/>
  <c r="AC254" i="13"/>
  <c r="AD254" i="13"/>
  <c r="AE254" i="13"/>
  <c r="AG254" i="13"/>
  <c r="AH254" i="13"/>
  <c r="AI254" i="13"/>
  <c r="AJ254" i="13"/>
  <c r="AK254" i="13"/>
  <c r="AL254" i="13"/>
  <c r="AM254" i="13"/>
  <c r="AN254" i="13"/>
  <c r="AO254" i="13"/>
  <c r="AP254" i="13"/>
  <c r="AQ254" i="13"/>
  <c r="AR254" i="13"/>
  <c r="AS254" i="13"/>
  <c r="AT254" i="13"/>
  <c r="AU254" i="13"/>
  <c r="AV254" i="13"/>
  <c r="AW254" i="13"/>
  <c r="AX254" i="13"/>
  <c r="AY254" i="13"/>
  <c r="AZ254" i="13"/>
  <c r="BA254" i="13"/>
  <c r="BC254" i="13"/>
  <c r="BE254" i="13"/>
  <c r="BF254" i="13"/>
  <c r="BI254" i="13"/>
  <c r="BJ254" i="13"/>
  <c r="BK254" i="13"/>
  <c r="BL254" i="13"/>
  <c r="AB255" i="13"/>
  <c r="AC255" i="13"/>
  <c r="AD255" i="13"/>
  <c r="AE255" i="13"/>
  <c r="AG255" i="13"/>
  <c r="AH255" i="13"/>
  <c r="AI255" i="13"/>
  <c r="AJ255" i="13"/>
  <c r="AK255" i="13"/>
  <c r="AL255" i="13"/>
  <c r="AM255" i="13"/>
  <c r="AN255" i="13"/>
  <c r="AO255" i="13"/>
  <c r="AP255" i="13"/>
  <c r="AQ255" i="13"/>
  <c r="AR255" i="13"/>
  <c r="AS255" i="13"/>
  <c r="AT255" i="13"/>
  <c r="AU255" i="13"/>
  <c r="AV255" i="13"/>
  <c r="AW255" i="13"/>
  <c r="AX255" i="13"/>
  <c r="AY255" i="13"/>
  <c r="AZ255" i="13"/>
  <c r="BA255" i="13"/>
  <c r="BC255" i="13"/>
  <c r="BE255" i="13"/>
  <c r="BF255" i="13"/>
  <c r="BI255" i="13"/>
  <c r="BJ255" i="13"/>
  <c r="BK255" i="13"/>
  <c r="BL255" i="13"/>
  <c r="AB256" i="13"/>
  <c r="AC256" i="13"/>
  <c r="AD256" i="13"/>
  <c r="AE256" i="13"/>
  <c r="AG256" i="13"/>
  <c r="AH256" i="13"/>
  <c r="AI256" i="13"/>
  <c r="AJ256" i="13"/>
  <c r="AK256" i="13"/>
  <c r="AL256" i="13"/>
  <c r="AM256" i="13"/>
  <c r="AN256" i="13"/>
  <c r="AO256" i="13"/>
  <c r="AP256" i="13"/>
  <c r="AQ256" i="13"/>
  <c r="AR256" i="13"/>
  <c r="AS256" i="13"/>
  <c r="AT256" i="13"/>
  <c r="AU256" i="13"/>
  <c r="AV256" i="13"/>
  <c r="AW256" i="13"/>
  <c r="AX256" i="13"/>
  <c r="AY256" i="13"/>
  <c r="AZ256" i="13"/>
  <c r="BA256" i="13"/>
  <c r="BC256" i="13"/>
  <c r="BE256" i="13"/>
  <c r="BF256" i="13"/>
  <c r="BI256" i="13"/>
  <c r="BJ256" i="13"/>
  <c r="BK256" i="13"/>
  <c r="BL256" i="13"/>
  <c r="AB257" i="13"/>
  <c r="AC257" i="13"/>
  <c r="AD257" i="13"/>
  <c r="AE257" i="13"/>
  <c r="AG257" i="13"/>
  <c r="AH257" i="13"/>
  <c r="AI257" i="13"/>
  <c r="AJ257" i="13"/>
  <c r="AK257" i="13"/>
  <c r="AL257" i="13"/>
  <c r="AM257" i="13"/>
  <c r="AN257" i="13"/>
  <c r="AO257" i="13"/>
  <c r="AP257" i="13"/>
  <c r="AQ257" i="13"/>
  <c r="AR257" i="13"/>
  <c r="AS257" i="13"/>
  <c r="AT257" i="13"/>
  <c r="AU257" i="13"/>
  <c r="AV257" i="13"/>
  <c r="AW257" i="13"/>
  <c r="AX257" i="13"/>
  <c r="AY257" i="13"/>
  <c r="AZ257" i="13"/>
  <c r="BA257" i="13"/>
  <c r="BC257" i="13"/>
  <c r="BE257" i="13"/>
  <c r="BF257" i="13"/>
  <c r="BI257" i="13"/>
  <c r="BJ257" i="13"/>
  <c r="BK257" i="13"/>
  <c r="BL257" i="13"/>
  <c r="AB258" i="13"/>
  <c r="AC258" i="13"/>
  <c r="AD258" i="13"/>
  <c r="AE258" i="13"/>
  <c r="AG258" i="13"/>
  <c r="AH258" i="13"/>
  <c r="AI258" i="13"/>
  <c r="AJ258" i="13"/>
  <c r="AK258" i="13"/>
  <c r="AL258" i="13"/>
  <c r="AM258" i="13"/>
  <c r="AN258" i="13"/>
  <c r="AO258" i="13"/>
  <c r="AP258" i="13"/>
  <c r="AQ258" i="13"/>
  <c r="AR258" i="13"/>
  <c r="AS258" i="13"/>
  <c r="AT258" i="13"/>
  <c r="AU258" i="13"/>
  <c r="AV258" i="13"/>
  <c r="AW258" i="13"/>
  <c r="AX258" i="13"/>
  <c r="AY258" i="13"/>
  <c r="AZ258" i="13"/>
  <c r="BA258" i="13"/>
  <c r="BC258" i="13"/>
  <c r="BE258" i="13"/>
  <c r="BF258" i="13"/>
  <c r="BI258" i="13"/>
  <c r="BJ258" i="13"/>
  <c r="BK258" i="13"/>
  <c r="BL258" i="13"/>
  <c r="AB259" i="13"/>
  <c r="AC259" i="13"/>
  <c r="AD259" i="13"/>
  <c r="AE259" i="13"/>
  <c r="AG259" i="13"/>
  <c r="AH259" i="13"/>
  <c r="AI259" i="13"/>
  <c r="AJ259" i="13"/>
  <c r="AK259" i="13"/>
  <c r="AL259" i="13"/>
  <c r="AM259" i="13"/>
  <c r="AN259" i="13"/>
  <c r="AO259" i="13"/>
  <c r="AP259" i="13"/>
  <c r="AQ259" i="13"/>
  <c r="AR259" i="13"/>
  <c r="AS259" i="13"/>
  <c r="AT259" i="13"/>
  <c r="AU259" i="13"/>
  <c r="AV259" i="13"/>
  <c r="AW259" i="13"/>
  <c r="AX259" i="13"/>
  <c r="AY259" i="13"/>
  <c r="AZ259" i="13"/>
  <c r="BA259" i="13"/>
  <c r="BC259" i="13"/>
  <c r="BE259" i="13"/>
  <c r="BF259" i="13"/>
  <c r="BI259" i="13"/>
  <c r="BJ259" i="13"/>
  <c r="BK259" i="13"/>
  <c r="BL259" i="13"/>
  <c r="AB260" i="13"/>
  <c r="AC260" i="13"/>
  <c r="AD260" i="13"/>
  <c r="AE260" i="13"/>
  <c r="AG260" i="13"/>
  <c r="AH260" i="13"/>
  <c r="AI260" i="13"/>
  <c r="AJ260" i="13"/>
  <c r="AK260" i="13"/>
  <c r="AL260" i="13"/>
  <c r="AM260" i="13"/>
  <c r="AN260" i="13"/>
  <c r="AO260" i="13"/>
  <c r="AP260" i="13"/>
  <c r="AQ260" i="13"/>
  <c r="AR260" i="13"/>
  <c r="AS260" i="13"/>
  <c r="AT260" i="13"/>
  <c r="AU260" i="13"/>
  <c r="AV260" i="13"/>
  <c r="AW260" i="13"/>
  <c r="AX260" i="13"/>
  <c r="AY260" i="13"/>
  <c r="AZ260" i="13"/>
  <c r="BA260" i="13"/>
  <c r="BC260" i="13"/>
  <c r="BE260" i="13"/>
  <c r="BF260" i="13"/>
  <c r="BI260" i="13"/>
  <c r="BJ260" i="13"/>
  <c r="BK260" i="13"/>
  <c r="BL260" i="13"/>
  <c r="AB261" i="13"/>
  <c r="AC261" i="13"/>
  <c r="AD261" i="13"/>
  <c r="AE261" i="13"/>
  <c r="AG261" i="13"/>
  <c r="AH261" i="13"/>
  <c r="AI261" i="13"/>
  <c r="AJ261" i="13"/>
  <c r="AK261" i="13"/>
  <c r="AL261" i="13"/>
  <c r="AM261" i="13"/>
  <c r="AN261" i="13"/>
  <c r="AO261" i="13"/>
  <c r="AP261" i="13"/>
  <c r="AQ261" i="13"/>
  <c r="AR261" i="13"/>
  <c r="AS261" i="13"/>
  <c r="AT261" i="13"/>
  <c r="AU261" i="13"/>
  <c r="AV261" i="13"/>
  <c r="AW261" i="13"/>
  <c r="AX261" i="13"/>
  <c r="AY261" i="13"/>
  <c r="AZ261" i="13"/>
  <c r="BA261" i="13"/>
  <c r="BC261" i="13"/>
  <c r="BE261" i="13"/>
  <c r="BF261" i="13"/>
  <c r="BI261" i="13"/>
  <c r="BJ261" i="13"/>
  <c r="BK261" i="13"/>
  <c r="BL261" i="13"/>
  <c r="AB262" i="13"/>
  <c r="AC262" i="13"/>
  <c r="AD262" i="13"/>
  <c r="AE262" i="13"/>
  <c r="AG262" i="13"/>
  <c r="AH262" i="13"/>
  <c r="AI262" i="13"/>
  <c r="AJ262" i="13"/>
  <c r="AK262" i="13"/>
  <c r="AL262" i="13"/>
  <c r="AM262" i="13"/>
  <c r="AN262" i="13"/>
  <c r="AO262" i="13"/>
  <c r="AP262" i="13"/>
  <c r="AQ262" i="13"/>
  <c r="AR262" i="13"/>
  <c r="AS262" i="13"/>
  <c r="AT262" i="13"/>
  <c r="AU262" i="13"/>
  <c r="AV262" i="13"/>
  <c r="AW262" i="13"/>
  <c r="AX262" i="13"/>
  <c r="AY262" i="13"/>
  <c r="AZ262" i="13"/>
  <c r="BA262" i="13"/>
  <c r="BC262" i="13"/>
  <c r="BE262" i="13"/>
  <c r="BF262" i="13"/>
  <c r="BI262" i="13"/>
  <c r="BJ262" i="13"/>
  <c r="BK262" i="13"/>
  <c r="BL262" i="13"/>
  <c r="AB263" i="13"/>
  <c r="AC263" i="13"/>
  <c r="AD263" i="13"/>
  <c r="AE263" i="13"/>
  <c r="AG263" i="13"/>
  <c r="AH263" i="13"/>
  <c r="AI263" i="13"/>
  <c r="AJ263" i="13"/>
  <c r="AK263" i="13"/>
  <c r="AL263" i="13"/>
  <c r="AM263" i="13"/>
  <c r="AN263" i="13"/>
  <c r="AO263" i="13"/>
  <c r="AP263" i="13"/>
  <c r="AQ263" i="13"/>
  <c r="AR263" i="13"/>
  <c r="AS263" i="13"/>
  <c r="AT263" i="13"/>
  <c r="AU263" i="13"/>
  <c r="AV263" i="13"/>
  <c r="AW263" i="13"/>
  <c r="AX263" i="13"/>
  <c r="AY263" i="13"/>
  <c r="AZ263" i="13"/>
  <c r="BA263" i="13"/>
  <c r="BC263" i="13"/>
  <c r="BE263" i="13"/>
  <c r="BF263" i="13"/>
  <c r="BI263" i="13"/>
  <c r="BJ263" i="13"/>
  <c r="BK263" i="13"/>
  <c r="BL263" i="13"/>
  <c r="AB264" i="13"/>
  <c r="AC264" i="13"/>
  <c r="AD264" i="13"/>
  <c r="AE264" i="13"/>
  <c r="AG264" i="13"/>
  <c r="AH264" i="13"/>
  <c r="AI264" i="13"/>
  <c r="AJ264" i="13"/>
  <c r="AK264" i="13"/>
  <c r="AL264" i="13"/>
  <c r="AM264" i="13"/>
  <c r="AN264" i="13"/>
  <c r="AO264" i="13"/>
  <c r="AP264" i="13"/>
  <c r="AQ264" i="13"/>
  <c r="AR264" i="13"/>
  <c r="AS264" i="13"/>
  <c r="AT264" i="13"/>
  <c r="AU264" i="13"/>
  <c r="AV264" i="13"/>
  <c r="AW264" i="13"/>
  <c r="AX264" i="13"/>
  <c r="AY264" i="13"/>
  <c r="AZ264" i="13"/>
  <c r="BA264" i="13"/>
  <c r="BC264" i="13"/>
  <c r="BE264" i="13"/>
  <c r="BF264" i="13"/>
  <c r="BI264" i="13"/>
  <c r="BJ264" i="13"/>
  <c r="BK264" i="13"/>
  <c r="BL264" i="13"/>
  <c r="AB265" i="13"/>
  <c r="AC265" i="13"/>
  <c r="AD265" i="13"/>
  <c r="AE265" i="13"/>
  <c r="AG265" i="13"/>
  <c r="AH265" i="13"/>
  <c r="AI265" i="13"/>
  <c r="AJ265" i="13"/>
  <c r="AK265" i="13"/>
  <c r="AL265" i="13"/>
  <c r="AM265" i="13"/>
  <c r="AN265" i="13"/>
  <c r="AO265" i="13"/>
  <c r="AP265" i="13"/>
  <c r="AQ265" i="13"/>
  <c r="AR265" i="13"/>
  <c r="AS265" i="13"/>
  <c r="AT265" i="13"/>
  <c r="AU265" i="13"/>
  <c r="AV265" i="13"/>
  <c r="AW265" i="13"/>
  <c r="AX265" i="13"/>
  <c r="AY265" i="13"/>
  <c r="AZ265" i="13"/>
  <c r="BA265" i="13"/>
  <c r="BC265" i="13"/>
  <c r="BE265" i="13"/>
  <c r="BF265" i="13"/>
  <c r="BI265" i="13"/>
  <c r="BJ265" i="13"/>
  <c r="BK265" i="13"/>
  <c r="BL265" i="13"/>
  <c r="AB266" i="13"/>
  <c r="AC266" i="13"/>
  <c r="AD266" i="13"/>
  <c r="AE266" i="13"/>
  <c r="AG266" i="13"/>
  <c r="AH266" i="13"/>
  <c r="AI266" i="13"/>
  <c r="AJ266" i="13"/>
  <c r="AK266" i="13"/>
  <c r="AL266" i="13"/>
  <c r="AM266" i="13"/>
  <c r="AN266" i="13"/>
  <c r="AO266" i="13"/>
  <c r="AP266" i="13"/>
  <c r="AQ266" i="13"/>
  <c r="AR266" i="13"/>
  <c r="AS266" i="13"/>
  <c r="AT266" i="13"/>
  <c r="AU266" i="13"/>
  <c r="AV266" i="13"/>
  <c r="AW266" i="13"/>
  <c r="AX266" i="13"/>
  <c r="AY266" i="13"/>
  <c r="AZ266" i="13"/>
  <c r="BA266" i="13"/>
  <c r="BC266" i="13"/>
  <c r="BE266" i="13"/>
  <c r="BF266" i="13"/>
  <c r="BI266" i="13"/>
  <c r="BJ266" i="13"/>
  <c r="BK266" i="13"/>
  <c r="BL266" i="13"/>
  <c r="AB267" i="13"/>
  <c r="AC267" i="13"/>
  <c r="AD267" i="13"/>
  <c r="AE267" i="13"/>
  <c r="AG267" i="13"/>
  <c r="AH267" i="13"/>
  <c r="AI267" i="13"/>
  <c r="AJ267" i="13"/>
  <c r="AK267" i="13"/>
  <c r="AL267" i="13"/>
  <c r="AM267" i="13"/>
  <c r="AN267" i="13"/>
  <c r="AO267" i="13"/>
  <c r="AP267" i="13"/>
  <c r="AQ267" i="13"/>
  <c r="AR267" i="13"/>
  <c r="AS267" i="13"/>
  <c r="AT267" i="13"/>
  <c r="AU267" i="13"/>
  <c r="AV267" i="13"/>
  <c r="AW267" i="13"/>
  <c r="AX267" i="13"/>
  <c r="AY267" i="13"/>
  <c r="AZ267" i="13"/>
  <c r="BA267" i="13"/>
  <c r="BC267" i="13"/>
  <c r="BE267" i="13"/>
  <c r="BF267" i="13"/>
  <c r="BI267" i="13"/>
  <c r="BJ267" i="13"/>
  <c r="BK267" i="13"/>
  <c r="BL267" i="13"/>
  <c r="AB268" i="13"/>
  <c r="AC268" i="13"/>
  <c r="AD268" i="13"/>
  <c r="AE268" i="13"/>
  <c r="AG268" i="13"/>
  <c r="AH268" i="13"/>
  <c r="AI268" i="13"/>
  <c r="AJ268" i="13"/>
  <c r="AK268" i="13"/>
  <c r="AL268" i="13"/>
  <c r="AM268" i="13"/>
  <c r="AN268" i="13"/>
  <c r="AO268" i="13"/>
  <c r="AP268" i="13"/>
  <c r="AQ268" i="13"/>
  <c r="AR268" i="13"/>
  <c r="AS268" i="13"/>
  <c r="AT268" i="13"/>
  <c r="AU268" i="13"/>
  <c r="AV268" i="13"/>
  <c r="AW268" i="13"/>
  <c r="AX268" i="13"/>
  <c r="AY268" i="13"/>
  <c r="AZ268" i="13"/>
  <c r="BA268" i="13"/>
  <c r="BC268" i="13"/>
  <c r="BE268" i="13"/>
  <c r="BF268" i="13"/>
  <c r="BI268" i="13"/>
  <c r="BJ268" i="13"/>
  <c r="BK268" i="13"/>
  <c r="BL268" i="13"/>
  <c r="AB269" i="13"/>
  <c r="AC269" i="13"/>
  <c r="AD269" i="13"/>
  <c r="AE269" i="13"/>
  <c r="AG269" i="13"/>
  <c r="AH269" i="13"/>
  <c r="AI269" i="13"/>
  <c r="AJ269" i="13"/>
  <c r="AK269" i="13"/>
  <c r="AL269" i="13"/>
  <c r="AM269" i="13"/>
  <c r="AN269" i="13"/>
  <c r="AO269" i="13"/>
  <c r="AP269" i="13"/>
  <c r="AQ269" i="13"/>
  <c r="AR269" i="13"/>
  <c r="AS269" i="13"/>
  <c r="AT269" i="13"/>
  <c r="AU269" i="13"/>
  <c r="AV269" i="13"/>
  <c r="AW269" i="13"/>
  <c r="AX269" i="13"/>
  <c r="AY269" i="13"/>
  <c r="AZ269" i="13"/>
  <c r="BA269" i="13"/>
  <c r="BC269" i="13"/>
  <c r="BE269" i="13"/>
  <c r="BF269" i="13"/>
  <c r="BI269" i="13"/>
  <c r="BJ269" i="13"/>
  <c r="BK269" i="13"/>
  <c r="BL269" i="13"/>
  <c r="AB270" i="13"/>
  <c r="AC270" i="13"/>
  <c r="AD270" i="13"/>
  <c r="AE270" i="13"/>
  <c r="AG270" i="13"/>
  <c r="AH270" i="13"/>
  <c r="AI270" i="13"/>
  <c r="AJ270" i="13"/>
  <c r="AK270" i="13"/>
  <c r="AL270" i="13"/>
  <c r="AM270" i="13"/>
  <c r="AN270" i="13"/>
  <c r="AO270" i="13"/>
  <c r="AP270" i="13"/>
  <c r="AQ270" i="13"/>
  <c r="AR270" i="13"/>
  <c r="AS270" i="13"/>
  <c r="AT270" i="13"/>
  <c r="AU270" i="13"/>
  <c r="AV270" i="13"/>
  <c r="AW270" i="13"/>
  <c r="AX270" i="13"/>
  <c r="AY270" i="13"/>
  <c r="AZ270" i="13"/>
  <c r="BA270" i="13"/>
  <c r="BC270" i="13"/>
  <c r="BE270" i="13"/>
  <c r="BF270" i="13"/>
  <c r="BI270" i="13"/>
  <c r="BJ270" i="13"/>
  <c r="BK270" i="13"/>
  <c r="BL270" i="13"/>
  <c r="AB271" i="13"/>
  <c r="AC271" i="13"/>
  <c r="AD271" i="13"/>
  <c r="AE271" i="13"/>
  <c r="AG271" i="13"/>
  <c r="AH271" i="13"/>
  <c r="AI271" i="13"/>
  <c r="AJ271" i="13"/>
  <c r="AK271" i="13"/>
  <c r="AL271" i="13"/>
  <c r="AM271" i="13"/>
  <c r="AN271" i="13"/>
  <c r="AO271" i="13"/>
  <c r="AP271" i="13"/>
  <c r="AQ271" i="13"/>
  <c r="AR271" i="13"/>
  <c r="AS271" i="13"/>
  <c r="AT271" i="13"/>
  <c r="AU271" i="13"/>
  <c r="AV271" i="13"/>
  <c r="AW271" i="13"/>
  <c r="AX271" i="13"/>
  <c r="AY271" i="13"/>
  <c r="AZ271" i="13"/>
  <c r="BA271" i="13"/>
  <c r="BC271" i="13"/>
  <c r="BE271" i="13"/>
  <c r="BF271" i="13"/>
  <c r="BI271" i="13"/>
  <c r="BJ271" i="13"/>
  <c r="BK271" i="13"/>
  <c r="BL271" i="13"/>
  <c r="AB272" i="13"/>
  <c r="AC272" i="13"/>
  <c r="AD272" i="13"/>
  <c r="AE272" i="13"/>
  <c r="AG272" i="13"/>
  <c r="AH272" i="13"/>
  <c r="AI272" i="13"/>
  <c r="AJ272" i="13"/>
  <c r="AK272" i="13"/>
  <c r="AL272" i="13"/>
  <c r="AM272" i="13"/>
  <c r="AN272" i="13"/>
  <c r="AO272" i="13"/>
  <c r="AP272" i="13"/>
  <c r="AQ272" i="13"/>
  <c r="AR272" i="13"/>
  <c r="AS272" i="13"/>
  <c r="AT272" i="13"/>
  <c r="AU272" i="13"/>
  <c r="AV272" i="13"/>
  <c r="AW272" i="13"/>
  <c r="AX272" i="13"/>
  <c r="AY272" i="13"/>
  <c r="AZ272" i="13"/>
  <c r="BA272" i="13"/>
  <c r="BC272" i="13"/>
  <c r="BE272" i="13"/>
  <c r="BF272" i="13"/>
  <c r="BI272" i="13"/>
  <c r="BJ272" i="13"/>
  <c r="BK272" i="13"/>
  <c r="BL272" i="13"/>
  <c r="AB273" i="13"/>
  <c r="AC273" i="13"/>
  <c r="AD273" i="13"/>
  <c r="AE273" i="13"/>
  <c r="AG273" i="13"/>
  <c r="AH273" i="13"/>
  <c r="AI273" i="13"/>
  <c r="AJ273" i="13"/>
  <c r="AK273" i="13"/>
  <c r="AL273" i="13"/>
  <c r="AM273" i="13"/>
  <c r="AN273" i="13"/>
  <c r="AO273" i="13"/>
  <c r="AP273" i="13"/>
  <c r="AQ273" i="13"/>
  <c r="AR273" i="13"/>
  <c r="AS273" i="13"/>
  <c r="AT273" i="13"/>
  <c r="AU273" i="13"/>
  <c r="AV273" i="13"/>
  <c r="AW273" i="13"/>
  <c r="AX273" i="13"/>
  <c r="AY273" i="13"/>
  <c r="AZ273" i="13"/>
  <c r="BA273" i="13"/>
  <c r="BC273" i="13"/>
  <c r="BE273" i="13"/>
  <c r="BF273" i="13"/>
  <c r="BI273" i="13"/>
  <c r="BJ273" i="13"/>
  <c r="BK273" i="13"/>
  <c r="BL273" i="13"/>
  <c r="AB274" i="13"/>
  <c r="AC274" i="13"/>
  <c r="AD274" i="13"/>
  <c r="AE274" i="13"/>
  <c r="AG274" i="13"/>
  <c r="AH274" i="13"/>
  <c r="AI274" i="13"/>
  <c r="AJ274" i="13"/>
  <c r="AK274" i="13"/>
  <c r="AL274" i="13"/>
  <c r="AM274" i="13"/>
  <c r="AN274" i="13"/>
  <c r="AO274" i="13"/>
  <c r="AP274" i="13"/>
  <c r="AQ274" i="13"/>
  <c r="AR274" i="13"/>
  <c r="AS274" i="13"/>
  <c r="AT274" i="13"/>
  <c r="AU274" i="13"/>
  <c r="AV274" i="13"/>
  <c r="AW274" i="13"/>
  <c r="AX274" i="13"/>
  <c r="AY274" i="13"/>
  <c r="AZ274" i="13"/>
  <c r="BA274" i="13"/>
  <c r="BC274" i="13"/>
  <c r="BE274" i="13"/>
  <c r="BF274" i="13"/>
  <c r="BI274" i="13"/>
  <c r="BJ274" i="13"/>
  <c r="BK274" i="13"/>
  <c r="BL274" i="13"/>
  <c r="AB275" i="13"/>
  <c r="AC275" i="13"/>
  <c r="AD275" i="13"/>
  <c r="AE275" i="13"/>
  <c r="AG275" i="13"/>
  <c r="AH275" i="13"/>
  <c r="AI275" i="13"/>
  <c r="AJ275" i="13"/>
  <c r="AK275" i="13"/>
  <c r="AL275" i="13"/>
  <c r="AM275" i="13"/>
  <c r="AN275" i="13"/>
  <c r="AO275" i="13"/>
  <c r="AP275" i="13"/>
  <c r="AQ275" i="13"/>
  <c r="AR275" i="13"/>
  <c r="AS275" i="13"/>
  <c r="AT275" i="13"/>
  <c r="AU275" i="13"/>
  <c r="AV275" i="13"/>
  <c r="AW275" i="13"/>
  <c r="AX275" i="13"/>
  <c r="AY275" i="13"/>
  <c r="AZ275" i="13"/>
  <c r="BA275" i="13"/>
  <c r="BC275" i="13"/>
  <c r="BE275" i="13"/>
  <c r="BF275" i="13"/>
  <c r="BI275" i="13"/>
  <c r="BJ275" i="13"/>
  <c r="BK275" i="13"/>
  <c r="BL275" i="13"/>
  <c r="AB276" i="13"/>
  <c r="AC276" i="13"/>
  <c r="AD276" i="13"/>
  <c r="AE276" i="13"/>
  <c r="AG276" i="13"/>
  <c r="AH276" i="13"/>
  <c r="AI276" i="13"/>
  <c r="AJ276" i="13"/>
  <c r="AK276" i="13"/>
  <c r="AL276" i="13"/>
  <c r="AM276" i="13"/>
  <c r="AN276" i="13"/>
  <c r="AO276" i="13"/>
  <c r="AP276" i="13"/>
  <c r="AQ276" i="13"/>
  <c r="AR276" i="13"/>
  <c r="AS276" i="13"/>
  <c r="AT276" i="13"/>
  <c r="AU276" i="13"/>
  <c r="AV276" i="13"/>
  <c r="AW276" i="13"/>
  <c r="AX276" i="13"/>
  <c r="AY276" i="13"/>
  <c r="AZ276" i="13"/>
  <c r="BA276" i="13"/>
  <c r="BC276" i="13"/>
  <c r="BE276" i="13"/>
  <c r="BF276" i="13"/>
  <c r="BI276" i="13"/>
  <c r="BJ276" i="13"/>
  <c r="BK276" i="13"/>
  <c r="BL276" i="13"/>
  <c r="AB277" i="13"/>
  <c r="AC277" i="13"/>
  <c r="AD277" i="13"/>
  <c r="AE277" i="13"/>
  <c r="AG277" i="13"/>
  <c r="AH277" i="13"/>
  <c r="AI277" i="13"/>
  <c r="AJ277" i="13"/>
  <c r="AK277" i="13"/>
  <c r="AL277" i="13"/>
  <c r="AM277" i="13"/>
  <c r="AN277" i="13"/>
  <c r="AO277" i="13"/>
  <c r="AP277" i="13"/>
  <c r="AQ277" i="13"/>
  <c r="AR277" i="13"/>
  <c r="AS277" i="13"/>
  <c r="AT277" i="13"/>
  <c r="AU277" i="13"/>
  <c r="AV277" i="13"/>
  <c r="AW277" i="13"/>
  <c r="AX277" i="13"/>
  <c r="AY277" i="13"/>
  <c r="AZ277" i="13"/>
  <c r="BA277" i="13"/>
  <c r="BC277" i="13"/>
  <c r="BE277" i="13"/>
  <c r="BF277" i="13"/>
  <c r="BI277" i="13"/>
  <c r="BJ277" i="13"/>
  <c r="BK277" i="13"/>
  <c r="BL277" i="13"/>
  <c r="AB278" i="13"/>
  <c r="AC278" i="13"/>
  <c r="AD278" i="13"/>
  <c r="AE278" i="13"/>
  <c r="AG278" i="13"/>
  <c r="AH278" i="13"/>
  <c r="AI278" i="13"/>
  <c r="AJ278" i="13"/>
  <c r="AK278" i="13"/>
  <c r="AL278" i="13"/>
  <c r="AM278" i="13"/>
  <c r="AN278" i="13"/>
  <c r="AO278" i="13"/>
  <c r="AP278" i="13"/>
  <c r="AQ278" i="13"/>
  <c r="AR278" i="13"/>
  <c r="AS278" i="13"/>
  <c r="AT278" i="13"/>
  <c r="AU278" i="13"/>
  <c r="AV278" i="13"/>
  <c r="AW278" i="13"/>
  <c r="AX278" i="13"/>
  <c r="AY278" i="13"/>
  <c r="AZ278" i="13"/>
  <c r="BA278" i="13"/>
  <c r="BC278" i="13"/>
  <c r="BE278" i="13"/>
  <c r="BF278" i="13"/>
  <c r="BI278" i="13"/>
  <c r="BJ278" i="13"/>
  <c r="BK278" i="13"/>
  <c r="BL278" i="13"/>
  <c r="AB279" i="13"/>
  <c r="AC279" i="13"/>
  <c r="AD279" i="13"/>
  <c r="AE279" i="13"/>
  <c r="AG279" i="13"/>
  <c r="AH279" i="13"/>
  <c r="AI279" i="13"/>
  <c r="AJ279" i="13"/>
  <c r="AK279" i="13"/>
  <c r="AL279" i="13"/>
  <c r="AM279" i="13"/>
  <c r="AN279" i="13"/>
  <c r="AO279" i="13"/>
  <c r="AP279" i="13"/>
  <c r="AQ279" i="13"/>
  <c r="AR279" i="13"/>
  <c r="AS279" i="13"/>
  <c r="AT279" i="13"/>
  <c r="AU279" i="13"/>
  <c r="AV279" i="13"/>
  <c r="AW279" i="13"/>
  <c r="AX279" i="13"/>
  <c r="AY279" i="13"/>
  <c r="AZ279" i="13"/>
  <c r="BA279" i="13"/>
  <c r="BC279" i="13"/>
  <c r="BE279" i="13"/>
  <c r="BF279" i="13"/>
  <c r="BI279" i="13"/>
  <c r="BJ279" i="13"/>
  <c r="BK279" i="13"/>
  <c r="BL279" i="13"/>
  <c r="AB280" i="13"/>
  <c r="AC280" i="13"/>
  <c r="AD280" i="13"/>
  <c r="AE280" i="13"/>
  <c r="AG280" i="13"/>
  <c r="AH280" i="13"/>
  <c r="AI280" i="13"/>
  <c r="AJ280" i="13"/>
  <c r="AK280" i="13"/>
  <c r="AL280" i="13"/>
  <c r="AM280" i="13"/>
  <c r="AN280" i="13"/>
  <c r="AO280" i="13"/>
  <c r="AP280" i="13"/>
  <c r="AQ280" i="13"/>
  <c r="AR280" i="13"/>
  <c r="AS280" i="13"/>
  <c r="AT280" i="13"/>
  <c r="AU280" i="13"/>
  <c r="AV280" i="13"/>
  <c r="AW280" i="13"/>
  <c r="AX280" i="13"/>
  <c r="AY280" i="13"/>
  <c r="AZ280" i="13"/>
  <c r="BA280" i="13"/>
  <c r="BC280" i="13"/>
  <c r="BE280" i="13"/>
  <c r="BF280" i="13"/>
  <c r="BI280" i="13"/>
  <c r="BJ280" i="13"/>
  <c r="BK280" i="13"/>
  <c r="BL280" i="13"/>
  <c r="AB281" i="13"/>
  <c r="AC281" i="13"/>
  <c r="AD281" i="13"/>
  <c r="AE281" i="13"/>
  <c r="AG281" i="13"/>
  <c r="AH281" i="13"/>
  <c r="AI281" i="13"/>
  <c r="AJ281" i="13"/>
  <c r="AK281" i="13"/>
  <c r="AL281" i="13"/>
  <c r="AM281" i="13"/>
  <c r="AN281" i="13"/>
  <c r="AO281" i="13"/>
  <c r="AP281" i="13"/>
  <c r="AQ281" i="13"/>
  <c r="AR281" i="13"/>
  <c r="AS281" i="13"/>
  <c r="AT281" i="13"/>
  <c r="AU281" i="13"/>
  <c r="AV281" i="13"/>
  <c r="AW281" i="13"/>
  <c r="AX281" i="13"/>
  <c r="AY281" i="13"/>
  <c r="AZ281" i="13"/>
  <c r="BA281" i="13"/>
  <c r="BC281" i="13"/>
  <c r="BE281" i="13"/>
  <c r="BF281" i="13"/>
  <c r="BI281" i="13"/>
  <c r="BJ281" i="13"/>
  <c r="BK281" i="13"/>
  <c r="BL281" i="13"/>
  <c r="AB282" i="13"/>
  <c r="AC282" i="13"/>
  <c r="AD282" i="13"/>
  <c r="AE282" i="13"/>
  <c r="AG282" i="13"/>
  <c r="AH282" i="13"/>
  <c r="AI282" i="13"/>
  <c r="AJ282" i="13"/>
  <c r="AK282" i="13"/>
  <c r="AL282" i="13"/>
  <c r="AM282" i="13"/>
  <c r="AN282" i="13"/>
  <c r="AO282" i="13"/>
  <c r="AP282" i="13"/>
  <c r="AQ282" i="13"/>
  <c r="AR282" i="13"/>
  <c r="AS282" i="13"/>
  <c r="AT282" i="13"/>
  <c r="AU282" i="13"/>
  <c r="AV282" i="13"/>
  <c r="AW282" i="13"/>
  <c r="AX282" i="13"/>
  <c r="AY282" i="13"/>
  <c r="AZ282" i="13"/>
  <c r="BA282" i="13"/>
  <c r="BC282" i="13"/>
  <c r="BE282" i="13"/>
  <c r="BF282" i="13"/>
  <c r="BI282" i="13"/>
  <c r="BJ282" i="13"/>
  <c r="BK282" i="13"/>
  <c r="BL282" i="13"/>
  <c r="AB283" i="13"/>
  <c r="AC283" i="13"/>
  <c r="AD283" i="13"/>
  <c r="AE283" i="13"/>
  <c r="AG283" i="13"/>
  <c r="AH283" i="13"/>
  <c r="AI283" i="13"/>
  <c r="AJ283" i="13"/>
  <c r="AK283" i="13"/>
  <c r="AL283" i="13"/>
  <c r="AM283" i="13"/>
  <c r="AN283" i="13"/>
  <c r="AO283" i="13"/>
  <c r="AP283" i="13"/>
  <c r="AQ283" i="13"/>
  <c r="AR283" i="13"/>
  <c r="AS283" i="13"/>
  <c r="AT283" i="13"/>
  <c r="AU283" i="13"/>
  <c r="AV283" i="13"/>
  <c r="AW283" i="13"/>
  <c r="AX283" i="13"/>
  <c r="AY283" i="13"/>
  <c r="AZ283" i="13"/>
  <c r="BA283" i="13"/>
  <c r="BC283" i="13"/>
  <c r="BE283" i="13"/>
  <c r="BF283" i="13"/>
  <c r="BI283" i="13"/>
  <c r="BJ283" i="13"/>
  <c r="BK283" i="13"/>
  <c r="BL283" i="13"/>
  <c r="AB284" i="13"/>
  <c r="AC284" i="13"/>
  <c r="AD284" i="13"/>
  <c r="AE284" i="13"/>
  <c r="AG284" i="13"/>
  <c r="AH284" i="13"/>
  <c r="AI284" i="13"/>
  <c r="AJ284" i="13"/>
  <c r="AK284" i="13"/>
  <c r="AL284" i="13"/>
  <c r="AM284" i="13"/>
  <c r="AN284" i="13"/>
  <c r="AO284" i="13"/>
  <c r="AP284" i="13"/>
  <c r="AQ284" i="13"/>
  <c r="AR284" i="13"/>
  <c r="AS284" i="13"/>
  <c r="AT284" i="13"/>
  <c r="AU284" i="13"/>
  <c r="AV284" i="13"/>
  <c r="AW284" i="13"/>
  <c r="AX284" i="13"/>
  <c r="AY284" i="13"/>
  <c r="AZ284" i="13"/>
  <c r="BA284" i="13"/>
  <c r="BC284" i="13"/>
  <c r="BE284" i="13"/>
  <c r="BF284" i="13"/>
  <c r="BI284" i="13"/>
  <c r="BJ284" i="13"/>
  <c r="BK284" i="13"/>
  <c r="BL284" i="13"/>
  <c r="AB285" i="13"/>
  <c r="AC285" i="13"/>
  <c r="AD285" i="13"/>
  <c r="AE285" i="13"/>
  <c r="AG285" i="13"/>
  <c r="AH285" i="13"/>
  <c r="AI285" i="13"/>
  <c r="AJ285" i="13"/>
  <c r="AK285" i="13"/>
  <c r="AL285" i="13"/>
  <c r="AM285" i="13"/>
  <c r="AN285" i="13"/>
  <c r="AO285" i="13"/>
  <c r="AP285" i="13"/>
  <c r="AQ285" i="13"/>
  <c r="AR285" i="13"/>
  <c r="AS285" i="13"/>
  <c r="AT285" i="13"/>
  <c r="AU285" i="13"/>
  <c r="AV285" i="13"/>
  <c r="AW285" i="13"/>
  <c r="AX285" i="13"/>
  <c r="AY285" i="13"/>
  <c r="AZ285" i="13"/>
  <c r="BA285" i="13"/>
  <c r="BC285" i="13"/>
  <c r="BE285" i="13"/>
  <c r="BF285" i="13"/>
  <c r="BI285" i="13"/>
  <c r="BJ285" i="13"/>
  <c r="BK285" i="13"/>
  <c r="BL285" i="13"/>
  <c r="AB286" i="13"/>
  <c r="AC286" i="13"/>
  <c r="AD286" i="13"/>
  <c r="AE286" i="13"/>
  <c r="AG286" i="13"/>
  <c r="AH286" i="13"/>
  <c r="AI286" i="13"/>
  <c r="AJ286" i="13"/>
  <c r="AK286" i="13"/>
  <c r="AL286" i="13"/>
  <c r="AM286" i="13"/>
  <c r="AN286" i="13"/>
  <c r="AO286" i="13"/>
  <c r="AP286" i="13"/>
  <c r="AQ286" i="13"/>
  <c r="AR286" i="13"/>
  <c r="AS286" i="13"/>
  <c r="AT286" i="13"/>
  <c r="AU286" i="13"/>
  <c r="AV286" i="13"/>
  <c r="AW286" i="13"/>
  <c r="AX286" i="13"/>
  <c r="AY286" i="13"/>
  <c r="AZ286" i="13"/>
  <c r="BA286" i="13"/>
  <c r="BC286" i="13"/>
  <c r="BE286" i="13"/>
  <c r="BF286" i="13"/>
  <c r="BI286" i="13"/>
  <c r="BJ286" i="13"/>
  <c r="BK286" i="13"/>
  <c r="BL286" i="13"/>
  <c r="AB287" i="13"/>
  <c r="AC287" i="13"/>
  <c r="AD287" i="13"/>
  <c r="AE287" i="13"/>
  <c r="AG287" i="13"/>
  <c r="AH287" i="13"/>
  <c r="AI287" i="13"/>
  <c r="AJ287" i="13"/>
  <c r="AK287" i="13"/>
  <c r="AL287" i="13"/>
  <c r="AM287" i="13"/>
  <c r="AN287" i="13"/>
  <c r="AO287" i="13"/>
  <c r="AP287" i="13"/>
  <c r="AQ287" i="13"/>
  <c r="AR287" i="13"/>
  <c r="AS287" i="13"/>
  <c r="AT287" i="13"/>
  <c r="AU287" i="13"/>
  <c r="AV287" i="13"/>
  <c r="AW287" i="13"/>
  <c r="AX287" i="13"/>
  <c r="AY287" i="13"/>
  <c r="AZ287" i="13"/>
  <c r="BA287" i="13"/>
  <c r="BC287" i="13"/>
  <c r="BE287" i="13"/>
  <c r="BF287" i="13"/>
  <c r="BI287" i="13"/>
  <c r="BJ287" i="13"/>
  <c r="BK287" i="13"/>
  <c r="BL287" i="13"/>
  <c r="AB288" i="13"/>
  <c r="AC288" i="13"/>
  <c r="AD288" i="13"/>
  <c r="AE288" i="13"/>
  <c r="AG288" i="13"/>
  <c r="AH288" i="13"/>
  <c r="AI288" i="13"/>
  <c r="AJ288" i="13"/>
  <c r="AK288" i="13"/>
  <c r="AL288" i="13"/>
  <c r="AM288" i="13"/>
  <c r="AN288" i="13"/>
  <c r="AO288" i="13"/>
  <c r="AP288" i="13"/>
  <c r="AQ288" i="13"/>
  <c r="AR288" i="13"/>
  <c r="AS288" i="13"/>
  <c r="AT288" i="13"/>
  <c r="AU288" i="13"/>
  <c r="AV288" i="13"/>
  <c r="AW288" i="13"/>
  <c r="AX288" i="13"/>
  <c r="AY288" i="13"/>
  <c r="AZ288" i="13"/>
  <c r="BA288" i="13"/>
  <c r="BC288" i="13"/>
  <c r="BE288" i="13"/>
  <c r="BF288" i="13"/>
  <c r="BI288" i="13"/>
  <c r="BJ288" i="13"/>
  <c r="BK288" i="13"/>
  <c r="BL288" i="13"/>
  <c r="AB289" i="13"/>
  <c r="AC289" i="13"/>
  <c r="AD289" i="13"/>
  <c r="AE289" i="13"/>
  <c r="AG289" i="13"/>
  <c r="AH289" i="13"/>
  <c r="AI289" i="13"/>
  <c r="AJ289" i="13"/>
  <c r="AK289" i="13"/>
  <c r="AL289" i="13"/>
  <c r="AM289" i="13"/>
  <c r="AN289" i="13"/>
  <c r="AO289" i="13"/>
  <c r="AP289" i="13"/>
  <c r="AQ289" i="13"/>
  <c r="AR289" i="13"/>
  <c r="AS289" i="13"/>
  <c r="AT289" i="13"/>
  <c r="AU289" i="13"/>
  <c r="AV289" i="13"/>
  <c r="AW289" i="13"/>
  <c r="AX289" i="13"/>
  <c r="AY289" i="13"/>
  <c r="AZ289" i="13"/>
  <c r="BA289" i="13"/>
  <c r="BC289" i="13"/>
  <c r="BE289" i="13"/>
  <c r="BF289" i="13"/>
  <c r="BI289" i="13"/>
  <c r="BJ289" i="13"/>
  <c r="BK289" i="13"/>
  <c r="BL289" i="13"/>
  <c r="AB290" i="13"/>
  <c r="AC290" i="13"/>
  <c r="AD290" i="13"/>
  <c r="AE290" i="13"/>
  <c r="AG290" i="13"/>
  <c r="AH290" i="13"/>
  <c r="AI290" i="13"/>
  <c r="AJ290" i="13"/>
  <c r="AK290" i="13"/>
  <c r="AL290" i="13"/>
  <c r="AM290" i="13"/>
  <c r="AN290" i="13"/>
  <c r="AO290" i="13"/>
  <c r="AP290" i="13"/>
  <c r="AQ290" i="13"/>
  <c r="AR290" i="13"/>
  <c r="AS290" i="13"/>
  <c r="AT290" i="13"/>
  <c r="AU290" i="13"/>
  <c r="AV290" i="13"/>
  <c r="AW290" i="13"/>
  <c r="AX290" i="13"/>
  <c r="AY290" i="13"/>
  <c r="AZ290" i="13"/>
  <c r="BA290" i="13"/>
  <c r="BC290" i="13"/>
  <c r="BE290" i="13"/>
  <c r="BF290" i="13"/>
  <c r="BI290" i="13"/>
  <c r="BJ290" i="13"/>
  <c r="BK290" i="13"/>
  <c r="BL290" i="13"/>
  <c r="AB291" i="13"/>
  <c r="AC291" i="13"/>
  <c r="AD291" i="13"/>
  <c r="AE291" i="13"/>
  <c r="AG291" i="13"/>
  <c r="AH291" i="13"/>
  <c r="AI291" i="13"/>
  <c r="AJ291" i="13"/>
  <c r="AK291" i="13"/>
  <c r="AL291" i="13"/>
  <c r="AM291" i="13"/>
  <c r="AN291" i="13"/>
  <c r="AO291" i="13"/>
  <c r="AP291" i="13"/>
  <c r="AQ291" i="13"/>
  <c r="AR291" i="13"/>
  <c r="AS291" i="13"/>
  <c r="AT291" i="13"/>
  <c r="AU291" i="13"/>
  <c r="AV291" i="13"/>
  <c r="AW291" i="13"/>
  <c r="AX291" i="13"/>
  <c r="AY291" i="13"/>
  <c r="AZ291" i="13"/>
  <c r="BA291" i="13"/>
  <c r="BC291" i="13"/>
  <c r="BE291" i="13"/>
  <c r="BF291" i="13"/>
  <c r="BI291" i="13"/>
  <c r="BJ291" i="13"/>
  <c r="BK291" i="13"/>
  <c r="BL291" i="13"/>
  <c r="AB292" i="13"/>
  <c r="AC292" i="13"/>
  <c r="AD292" i="13"/>
  <c r="AE292" i="13"/>
  <c r="AG292" i="13"/>
  <c r="AH292" i="13"/>
  <c r="AI292" i="13"/>
  <c r="AJ292" i="13"/>
  <c r="AK292" i="13"/>
  <c r="AL292" i="13"/>
  <c r="AM292" i="13"/>
  <c r="AN292" i="13"/>
  <c r="AO292" i="13"/>
  <c r="AP292" i="13"/>
  <c r="AQ292" i="13"/>
  <c r="AR292" i="13"/>
  <c r="AS292" i="13"/>
  <c r="AT292" i="13"/>
  <c r="AU292" i="13"/>
  <c r="AV292" i="13"/>
  <c r="AW292" i="13"/>
  <c r="AX292" i="13"/>
  <c r="AY292" i="13"/>
  <c r="AZ292" i="13"/>
  <c r="BA292" i="13"/>
  <c r="BC292" i="13"/>
  <c r="BE292" i="13"/>
  <c r="BF292" i="13"/>
  <c r="BI292" i="13"/>
  <c r="BJ292" i="13"/>
  <c r="BK292" i="13"/>
  <c r="BL292" i="13"/>
  <c r="AB293" i="13"/>
  <c r="AC293" i="13"/>
  <c r="AD293" i="13"/>
  <c r="AE293" i="13"/>
  <c r="AG293" i="13"/>
  <c r="AH293" i="13"/>
  <c r="AI293" i="13"/>
  <c r="AJ293" i="13"/>
  <c r="AK293" i="13"/>
  <c r="AL293" i="13"/>
  <c r="AM293" i="13"/>
  <c r="AN293" i="13"/>
  <c r="AO293" i="13"/>
  <c r="AP293" i="13"/>
  <c r="AQ293" i="13"/>
  <c r="AR293" i="13"/>
  <c r="AS293" i="13"/>
  <c r="AT293" i="13"/>
  <c r="AU293" i="13"/>
  <c r="AV293" i="13"/>
  <c r="AW293" i="13"/>
  <c r="AX293" i="13"/>
  <c r="AY293" i="13"/>
  <c r="AZ293" i="13"/>
  <c r="BA293" i="13"/>
  <c r="BC293" i="13"/>
  <c r="BE293" i="13"/>
  <c r="BF293" i="13"/>
  <c r="BI293" i="13"/>
  <c r="BJ293" i="13"/>
  <c r="BK293" i="13"/>
  <c r="BL293" i="13"/>
  <c r="AB294" i="13"/>
  <c r="AC294" i="13"/>
  <c r="AD294" i="13"/>
  <c r="AE294" i="13"/>
  <c r="AG294" i="13"/>
  <c r="AH294" i="13"/>
  <c r="AI294" i="13"/>
  <c r="AJ294" i="13"/>
  <c r="AK294" i="13"/>
  <c r="AL294" i="13"/>
  <c r="AM294" i="13"/>
  <c r="AN294" i="13"/>
  <c r="AO294" i="13"/>
  <c r="AP294" i="13"/>
  <c r="AQ294" i="13"/>
  <c r="AR294" i="13"/>
  <c r="AS294" i="13"/>
  <c r="AT294" i="13"/>
  <c r="AU294" i="13"/>
  <c r="AV294" i="13"/>
  <c r="AW294" i="13"/>
  <c r="AX294" i="13"/>
  <c r="AY294" i="13"/>
  <c r="AZ294" i="13"/>
  <c r="BA294" i="13"/>
  <c r="BC294" i="13"/>
  <c r="BE294" i="13"/>
  <c r="BF294" i="13"/>
  <c r="BI294" i="13"/>
  <c r="BJ294" i="13"/>
  <c r="BK294" i="13"/>
  <c r="BL294" i="13"/>
  <c r="AB295" i="13"/>
  <c r="AC295" i="13"/>
  <c r="AD295" i="13"/>
  <c r="AE295" i="13"/>
  <c r="AG295" i="13"/>
  <c r="AH295" i="13"/>
  <c r="AI295" i="13"/>
  <c r="AJ295" i="13"/>
  <c r="AK295" i="13"/>
  <c r="AL295" i="13"/>
  <c r="AM295" i="13"/>
  <c r="AN295" i="13"/>
  <c r="AO295" i="13"/>
  <c r="AP295" i="13"/>
  <c r="AQ295" i="13"/>
  <c r="AR295" i="13"/>
  <c r="AS295" i="13"/>
  <c r="AT295" i="13"/>
  <c r="AU295" i="13"/>
  <c r="AV295" i="13"/>
  <c r="AW295" i="13"/>
  <c r="AX295" i="13"/>
  <c r="AY295" i="13"/>
  <c r="AZ295" i="13"/>
  <c r="BA295" i="13"/>
  <c r="BC295" i="13"/>
  <c r="BE295" i="13"/>
  <c r="BF295" i="13"/>
  <c r="BI295" i="13"/>
  <c r="BJ295" i="13"/>
  <c r="BK295" i="13"/>
  <c r="BL295" i="13"/>
  <c r="AB296" i="13"/>
  <c r="AC296" i="13"/>
  <c r="AD296" i="13"/>
  <c r="AE296" i="13"/>
  <c r="AG296" i="13"/>
  <c r="AH296" i="13"/>
  <c r="AI296" i="13"/>
  <c r="AJ296" i="13"/>
  <c r="AK296" i="13"/>
  <c r="AL296" i="13"/>
  <c r="AM296" i="13"/>
  <c r="AN296" i="13"/>
  <c r="AO296" i="13"/>
  <c r="AP296" i="13"/>
  <c r="AQ296" i="13"/>
  <c r="AR296" i="13"/>
  <c r="AS296" i="13"/>
  <c r="AT296" i="13"/>
  <c r="AU296" i="13"/>
  <c r="AV296" i="13"/>
  <c r="AW296" i="13"/>
  <c r="AX296" i="13"/>
  <c r="AY296" i="13"/>
  <c r="AZ296" i="13"/>
  <c r="BA296" i="13"/>
  <c r="BC296" i="13"/>
  <c r="BE296" i="13"/>
  <c r="BF296" i="13"/>
  <c r="BI296" i="13"/>
  <c r="BJ296" i="13"/>
  <c r="BK296" i="13"/>
  <c r="BL296" i="13"/>
  <c r="AB297" i="13"/>
  <c r="AC297" i="13"/>
  <c r="AD297" i="13"/>
  <c r="AE297" i="13"/>
  <c r="AG297" i="13"/>
  <c r="AH297" i="13"/>
  <c r="AI297" i="13"/>
  <c r="AJ297" i="13"/>
  <c r="AK297" i="13"/>
  <c r="AL297" i="13"/>
  <c r="AM297" i="13"/>
  <c r="AN297" i="13"/>
  <c r="AO297" i="13"/>
  <c r="AP297" i="13"/>
  <c r="AQ297" i="13"/>
  <c r="AR297" i="13"/>
  <c r="AS297" i="13"/>
  <c r="AT297" i="13"/>
  <c r="AU297" i="13"/>
  <c r="AV297" i="13"/>
  <c r="AW297" i="13"/>
  <c r="AX297" i="13"/>
  <c r="AY297" i="13"/>
  <c r="AZ297" i="13"/>
  <c r="BA297" i="13"/>
  <c r="BC297" i="13"/>
  <c r="BE297" i="13"/>
  <c r="BF297" i="13"/>
  <c r="BI297" i="13"/>
  <c r="BJ297" i="13"/>
  <c r="BK297" i="13"/>
  <c r="BL297" i="13"/>
  <c r="AB298" i="13"/>
  <c r="AC298" i="13"/>
  <c r="AD298" i="13"/>
  <c r="AE298" i="13"/>
  <c r="AG298" i="13"/>
  <c r="AH298" i="13"/>
  <c r="AI298" i="13"/>
  <c r="AJ298" i="13"/>
  <c r="AK298" i="13"/>
  <c r="AL298" i="13"/>
  <c r="AM298" i="13"/>
  <c r="AN298" i="13"/>
  <c r="AO298" i="13"/>
  <c r="AP298" i="13"/>
  <c r="AQ298" i="13"/>
  <c r="AR298" i="13"/>
  <c r="AS298" i="13"/>
  <c r="AT298" i="13"/>
  <c r="AU298" i="13"/>
  <c r="AV298" i="13"/>
  <c r="AW298" i="13"/>
  <c r="AX298" i="13"/>
  <c r="AY298" i="13"/>
  <c r="AZ298" i="13"/>
  <c r="BA298" i="13"/>
  <c r="BC298" i="13"/>
  <c r="BE298" i="13"/>
  <c r="BF298" i="13"/>
  <c r="BI298" i="13"/>
  <c r="BJ298" i="13"/>
  <c r="BK298" i="13"/>
  <c r="BL298" i="13"/>
  <c r="AB299" i="13"/>
  <c r="AC299" i="13"/>
  <c r="AD299" i="13"/>
  <c r="AE299" i="13"/>
  <c r="AG299" i="13"/>
  <c r="AH299" i="13"/>
  <c r="AI299" i="13"/>
  <c r="AJ299" i="13"/>
  <c r="AK299" i="13"/>
  <c r="AL299" i="13"/>
  <c r="AM299" i="13"/>
  <c r="AN299" i="13"/>
  <c r="AO299" i="13"/>
  <c r="AP299" i="13"/>
  <c r="AQ299" i="13"/>
  <c r="AR299" i="13"/>
  <c r="AS299" i="13"/>
  <c r="AT299" i="13"/>
  <c r="AU299" i="13"/>
  <c r="AV299" i="13"/>
  <c r="AW299" i="13"/>
  <c r="AX299" i="13"/>
  <c r="AY299" i="13"/>
  <c r="AZ299" i="13"/>
  <c r="BA299" i="13"/>
  <c r="BC299" i="13"/>
  <c r="BE299" i="13"/>
  <c r="BF299" i="13"/>
  <c r="BI299" i="13"/>
  <c r="BJ299" i="13"/>
  <c r="BK299" i="13"/>
  <c r="BL299" i="13"/>
  <c r="AB300" i="13"/>
  <c r="AC300" i="13"/>
  <c r="AD300" i="13"/>
  <c r="AE300" i="13"/>
  <c r="AG300" i="13"/>
  <c r="AH300" i="13"/>
  <c r="AI300" i="13"/>
  <c r="AJ300" i="13"/>
  <c r="AK300" i="13"/>
  <c r="AL300" i="13"/>
  <c r="AM300" i="13"/>
  <c r="AN300" i="13"/>
  <c r="AO300" i="13"/>
  <c r="AP300" i="13"/>
  <c r="AQ300" i="13"/>
  <c r="AR300" i="13"/>
  <c r="AS300" i="13"/>
  <c r="AT300" i="13"/>
  <c r="AU300" i="13"/>
  <c r="AV300" i="13"/>
  <c r="AW300" i="13"/>
  <c r="AX300" i="13"/>
  <c r="AY300" i="13"/>
  <c r="AZ300" i="13"/>
  <c r="BA300" i="13"/>
  <c r="BC300" i="13"/>
  <c r="BE300" i="13"/>
  <c r="BF300" i="13"/>
  <c r="BI300" i="13"/>
  <c r="BJ300" i="13"/>
  <c r="BK300" i="13"/>
  <c r="BL300" i="13"/>
  <c r="AB301" i="13"/>
  <c r="AC301" i="13"/>
  <c r="AD301" i="13"/>
  <c r="AE301" i="13"/>
  <c r="AG301" i="13"/>
  <c r="AH301" i="13"/>
  <c r="AI301" i="13"/>
  <c r="AJ301" i="13"/>
  <c r="AK301" i="13"/>
  <c r="AL301" i="13"/>
  <c r="AM301" i="13"/>
  <c r="AN301" i="13"/>
  <c r="AO301" i="13"/>
  <c r="AP301" i="13"/>
  <c r="AQ301" i="13"/>
  <c r="AR301" i="13"/>
  <c r="AS301" i="13"/>
  <c r="AT301" i="13"/>
  <c r="AU301" i="13"/>
  <c r="AV301" i="13"/>
  <c r="AW301" i="13"/>
  <c r="AX301" i="13"/>
  <c r="AY301" i="13"/>
  <c r="AZ301" i="13"/>
  <c r="BA301" i="13"/>
  <c r="BC301" i="13"/>
  <c r="BE301" i="13"/>
  <c r="BF301" i="13"/>
  <c r="BI301" i="13"/>
  <c r="BJ301" i="13"/>
  <c r="BK301" i="13"/>
  <c r="BL301" i="13"/>
  <c r="AB302" i="13"/>
  <c r="AC302" i="13"/>
  <c r="AD302" i="13"/>
  <c r="AE302" i="13"/>
  <c r="AG302" i="13"/>
  <c r="AH302" i="13"/>
  <c r="AI302" i="13"/>
  <c r="AJ302" i="13"/>
  <c r="AK302" i="13"/>
  <c r="AL302" i="13"/>
  <c r="AM302" i="13"/>
  <c r="AN302" i="13"/>
  <c r="AO302" i="13"/>
  <c r="AP302" i="13"/>
  <c r="AQ302" i="13"/>
  <c r="AR302" i="13"/>
  <c r="AS302" i="13"/>
  <c r="AT302" i="13"/>
  <c r="AU302" i="13"/>
  <c r="AV302" i="13"/>
  <c r="AW302" i="13"/>
  <c r="AX302" i="13"/>
  <c r="AY302" i="13"/>
  <c r="AZ302" i="13"/>
  <c r="BA302" i="13"/>
  <c r="BC302" i="13"/>
  <c r="BE302" i="13"/>
  <c r="BF302" i="13"/>
  <c r="BI302" i="13"/>
  <c r="BJ302" i="13"/>
  <c r="BK302" i="13"/>
  <c r="BL302" i="13"/>
  <c r="AB303" i="13"/>
  <c r="AC303" i="13"/>
  <c r="AD303" i="13"/>
  <c r="AE303" i="13"/>
  <c r="AG303" i="13"/>
  <c r="AH303" i="13"/>
  <c r="AI303" i="13"/>
  <c r="AJ303" i="13"/>
  <c r="AK303" i="13"/>
  <c r="AL303" i="13"/>
  <c r="AM303" i="13"/>
  <c r="AN303" i="13"/>
  <c r="AO303" i="13"/>
  <c r="AP303" i="13"/>
  <c r="AQ303" i="13"/>
  <c r="AR303" i="13"/>
  <c r="AS303" i="13"/>
  <c r="AT303" i="13"/>
  <c r="AU303" i="13"/>
  <c r="AV303" i="13"/>
  <c r="AW303" i="13"/>
  <c r="AX303" i="13"/>
  <c r="AY303" i="13"/>
  <c r="AZ303" i="13"/>
  <c r="BA303" i="13"/>
  <c r="BC303" i="13"/>
  <c r="BE303" i="13"/>
  <c r="BF303" i="13"/>
  <c r="BI303" i="13"/>
  <c r="BJ303" i="13"/>
  <c r="BK303" i="13"/>
  <c r="BL303" i="13"/>
  <c r="AB304" i="13"/>
  <c r="AC304" i="13"/>
  <c r="AD304" i="13"/>
  <c r="AE304" i="13"/>
  <c r="AG304" i="13"/>
  <c r="AH304" i="13"/>
  <c r="AI304" i="13"/>
  <c r="AJ304" i="13"/>
  <c r="AK304" i="13"/>
  <c r="AL304" i="13"/>
  <c r="AM304" i="13"/>
  <c r="AN304" i="13"/>
  <c r="AO304" i="13"/>
  <c r="AP304" i="13"/>
  <c r="AQ304" i="13"/>
  <c r="AR304" i="13"/>
  <c r="AS304" i="13"/>
  <c r="AT304" i="13"/>
  <c r="AU304" i="13"/>
  <c r="AV304" i="13"/>
  <c r="AW304" i="13"/>
  <c r="AX304" i="13"/>
  <c r="AY304" i="13"/>
  <c r="AZ304" i="13"/>
  <c r="BA304" i="13"/>
  <c r="BC304" i="13"/>
  <c r="BE304" i="13"/>
  <c r="BF304" i="13"/>
  <c r="BI304" i="13"/>
  <c r="BJ304" i="13"/>
  <c r="BK304" i="13"/>
  <c r="BL304" i="13"/>
  <c r="AB305" i="13"/>
  <c r="AC305" i="13"/>
  <c r="AD305" i="13"/>
  <c r="AE305" i="13"/>
  <c r="AG305" i="13"/>
  <c r="AH305" i="13"/>
  <c r="AI305" i="13"/>
  <c r="AJ305" i="13"/>
  <c r="AK305" i="13"/>
  <c r="AL305" i="13"/>
  <c r="AM305" i="13"/>
  <c r="AN305" i="13"/>
  <c r="AO305" i="13"/>
  <c r="AP305" i="13"/>
  <c r="AQ305" i="13"/>
  <c r="AR305" i="13"/>
  <c r="AS305" i="13"/>
  <c r="AT305" i="13"/>
  <c r="AU305" i="13"/>
  <c r="AV305" i="13"/>
  <c r="AW305" i="13"/>
  <c r="AX305" i="13"/>
  <c r="AY305" i="13"/>
  <c r="AZ305" i="13"/>
  <c r="BA305" i="13"/>
  <c r="BC305" i="13"/>
  <c r="BE305" i="13"/>
  <c r="BF305" i="13"/>
  <c r="BI305" i="13"/>
  <c r="BJ305" i="13"/>
  <c r="BK305" i="13"/>
  <c r="BL305" i="13"/>
  <c r="AB306" i="13"/>
  <c r="AC306" i="13"/>
  <c r="AD306" i="13"/>
  <c r="AE306" i="13"/>
  <c r="AG306" i="13"/>
  <c r="AH306" i="13"/>
  <c r="AI306" i="13"/>
  <c r="AJ306" i="13"/>
  <c r="AK306" i="13"/>
  <c r="AL306" i="13"/>
  <c r="AM306" i="13"/>
  <c r="AN306" i="13"/>
  <c r="AO306" i="13"/>
  <c r="AP306" i="13"/>
  <c r="AQ306" i="13"/>
  <c r="AR306" i="13"/>
  <c r="AS306" i="13"/>
  <c r="AT306" i="13"/>
  <c r="AU306" i="13"/>
  <c r="AV306" i="13"/>
  <c r="AW306" i="13"/>
  <c r="AX306" i="13"/>
  <c r="AY306" i="13"/>
  <c r="AZ306" i="13"/>
  <c r="BA306" i="13"/>
  <c r="BC306" i="13"/>
  <c r="BE306" i="13"/>
  <c r="BF306" i="13"/>
  <c r="BI306" i="13"/>
  <c r="BJ306" i="13"/>
  <c r="BK306" i="13"/>
  <c r="BL306" i="13"/>
  <c r="AB307" i="13"/>
  <c r="AC307" i="13"/>
  <c r="AD307" i="13"/>
  <c r="AE307" i="13"/>
  <c r="AG307" i="13"/>
  <c r="AH307" i="13"/>
  <c r="AI307" i="13"/>
  <c r="AJ307" i="13"/>
  <c r="AK307" i="13"/>
  <c r="AL307" i="13"/>
  <c r="AM307" i="13"/>
  <c r="AN307" i="13"/>
  <c r="AO307" i="13"/>
  <c r="AP307" i="13"/>
  <c r="AQ307" i="13"/>
  <c r="AR307" i="13"/>
  <c r="AS307" i="13"/>
  <c r="AT307" i="13"/>
  <c r="AU307" i="13"/>
  <c r="AV307" i="13"/>
  <c r="AW307" i="13"/>
  <c r="AX307" i="13"/>
  <c r="AY307" i="13"/>
  <c r="AZ307" i="13"/>
  <c r="BA307" i="13"/>
  <c r="BC307" i="13"/>
  <c r="BE307" i="13"/>
  <c r="BF307" i="13"/>
  <c r="BI307" i="13"/>
  <c r="BJ307" i="13"/>
  <c r="BK307" i="13"/>
  <c r="BL307" i="13"/>
  <c r="AB308" i="13"/>
  <c r="AC308" i="13"/>
  <c r="AD308" i="13"/>
  <c r="AE308" i="13"/>
  <c r="AG308" i="13"/>
  <c r="AH308" i="13"/>
  <c r="AI308" i="13"/>
  <c r="AJ308" i="13"/>
  <c r="AK308" i="13"/>
  <c r="AL308" i="13"/>
  <c r="AM308" i="13"/>
  <c r="AN308" i="13"/>
  <c r="AO308" i="13"/>
  <c r="AP308" i="13"/>
  <c r="AQ308" i="13"/>
  <c r="AR308" i="13"/>
  <c r="AS308" i="13"/>
  <c r="AT308" i="13"/>
  <c r="AU308" i="13"/>
  <c r="AV308" i="13"/>
  <c r="AW308" i="13"/>
  <c r="AX308" i="13"/>
  <c r="AY308" i="13"/>
  <c r="AZ308" i="13"/>
  <c r="BA308" i="13"/>
  <c r="BC308" i="13"/>
  <c r="BE308" i="13"/>
  <c r="BF308" i="13"/>
  <c r="BI308" i="13"/>
  <c r="BJ308" i="13"/>
  <c r="BK308" i="13"/>
  <c r="BL308" i="13"/>
  <c r="AB309" i="13"/>
  <c r="AC309" i="13"/>
  <c r="AD309" i="13"/>
  <c r="AE309" i="13"/>
  <c r="AG309" i="13"/>
  <c r="AH309" i="13"/>
  <c r="AI309" i="13"/>
  <c r="AJ309" i="13"/>
  <c r="AK309" i="13"/>
  <c r="AL309" i="13"/>
  <c r="AM309" i="13"/>
  <c r="AN309" i="13"/>
  <c r="AO309" i="13"/>
  <c r="AP309" i="13"/>
  <c r="AQ309" i="13"/>
  <c r="AR309" i="13"/>
  <c r="AS309" i="13"/>
  <c r="AT309" i="13"/>
  <c r="AU309" i="13"/>
  <c r="AV309" i="13"/>
  <c r="AW309" i="13"/>
  <c r="AX309" i="13"/>
  <c r="AY309" i="13"/>
  <c r="AZ309" i="13"/>
  <c r="BA309" i="13"/>
  <c r="BC309" i="13"/>
  <c r="BE309" i="13"/>
  <c r="BF309" i="13"/>
  <c r="BI309" i="13"/>
  <c r="BJ309" i="13"/>
  <c r="BK309" i="13"/>
  <c r="BL309" i="13"/>
  <c r="AB310" i="13"/>
  <c r="AC310" i="13"/>
  <c r="AD310" i="13"/>
  <c r="AE310" i="13"/>
  <c r="AG310" i="13"/>
  <c r="AH310" i="13"/>
  <c r="AI310" i="13"/>
  <c r="AJ310" i="13"/>
  <c r="AK310" i="13"/>
  <c r="AL310" i="13"/>
  <c r="AM310" i="13"/>
  <c r="AN310" i="13"/>
  <c r="AO310" i="13"/>
  <c r="AP310" i="13"/>
  <c r="AQ310" i="13"/>
  <c r="AR310" i="13"/>
  <c r="AS310" i="13"/>
  <c r="AT310" i="13"/>
  <c r="AU310" i="13"/>
  <c r="AV310" i="13"/>
  <c r="AW310" i="13"/>
  <c r="AX310" i="13"/>
  <c r="AY310" i="13"/>
  <c r="AZ310" i="13"/>
  <c r="BA310" i="13"/>
  <c r="BC310" i="13"/>
  <c r="BE310" i="13"/>
  <c r="BF310" i="13"/>
  <c r="BI310" i="13"/>
  <c r="BJ310" i="13"/>
  <c r="BK310" i="13"/>
  <c r="BL310" i="13"/>
  <c r="AB311" i="13"/>
  <c r="AC311" i="13"/>
  <c r="AD311" i="13"/>
  <c r="AE311" i="13"/>
  <c r="AG311" i="13"/>
  <c r="AH311" i="13"/>
  <c r="AI311" i="13"/>
  <c r="AJ311" i="13"/>
  <c r="AK311" i="13"/>
  <c r="AL311" i="13"/>
  <c r="AM311" i="13"/>
  <c r="AN311" i="13"/>
  <c r="AO311" i="13"/>
  <c r="AP311" i="13"/>
  <c r="AQ311" i="13"/>
  <c r="AR311" i="13"/>
  <c r="AS311" i="13"/>
  <c r="AT311" i="13"/>
  <c r="AU311" i="13"/>
  <c r="AV311" i="13"/>
  <c r="AW311" i="13"/>
  <c r="AX311" i="13"/>
  <c r="AY311" i="13"/>
  <c r="AZ311" i="13"/>
  <c r="BA311" i="13"/>
  <c r="BC311" i="13"/>
  <c r="BE311" i="13"/>
  <c r="BF311" i="13"/>
  <c r="BI311" i="13"/>
  <c r="BJ311" i="13"/>
  <c r="BK311" i="13"/>
  <c r="BL311" i="13"/>
  <c r="AB312" i="13"/>
  <c r="AC312" i="13"/>
  <c r="AD312" i="13"/>
  <c r="AE312" i="13"/>
  <c r="AG312" i="13"/>
  <c r="AH312" i="13"/>
  <c r="AI312" i="13"/>
  <c r="AJ312" i="13"/>
  <c r="AK312" i="13"/>
  <c r="AL312" i="13"/>
  <c r="AM312" i="13"/>
  <c r="AN312" i="13"/>
  <c r="AO312" i="13"/>
  <c r="AP312" i="13"/>
  <c r="AQ312" i="13"/>
  <c r="AR312" i="13"/>
  <c r="AS312" i="13"/>
  <c r="AT312" i="13"/>
  <c r="AU312" i="13"/>
  <c r="AV312" i="13"/>
  <c r="AW312" i="13"/>
  <c r="AX312" i="13"/>
  <c r="AY312" i="13"/>
  <c r="AZ312" i="13"/>
  <c r="BA312" i="13"/>
  <c r="BC312" i="13"/>
  <c r="BE312" i="13"/>
  <c r="BF312" i="13"/>
  <c r="BI312" i="13"/>
  <c r="BJ312" i="13"/>
  <c r="BK312" i="13"/>
  <c r="BL312" i="13"/>
  <c r="M4" i="17"/>
  <c r="N4" i="17"/>
  <c r="O4" i="17"/>
  <c r="P4" i="17"/>
  <c r="C5" i="17"/>
  <c r="G5" i="17"/>
  <c r="M5" i="17"/>
  <c r="N5" i="17"/>
  <c r="O5" i="17"/>
  <c r="P5" i="17"/>
  <c r="Q5" i="17"/>
  <c r="C6" i="17"/>
  <c r="G6" i="17"/>
  <c r="M6" i="17"/>
  <c r="N6" i="17"/>
  <c r="O6" i="17"/>
  <c r="P6" i="17"/>
  <c r="Q6" i="17"/>
  <c r="C7" i="17"/>
  <c r="G7" i="17"/>
  <c r="M7" i="17"/>
  <c r="N7" i="17"/>
  <c r="O7" i="17"/>
  <c r="P7" i="17"/>
  <c r="Q7" i="17"/>
  <c r="C8" i="17"/>
  <c r="G8" i="17"/>
  <c r="M8" i="17"/>
  <c r="N8" i="17"/>
  <c r="O8" i="17"/>
  <c r="P8" i="17"/>
  <c r="Q8" i="17"/>
  <c r="C9" i="17"/>
  <c r="G9" i="17"/>
  <c r="M9" i="17"/>
  <c r="N9" i="17"/>
  <c r="O9" i="17"/>
  <c r="P9" i="17"/>
  <c r="Q9" i="17"/>
  <c r="C10" i="17"/>
  <c r="G10" i="17"/>
  <c r="M10" i="17"/>
  <c r="N10" i="17"/>
  <c r="O10" i="17"/>
  <c r="P10" i="17"/>
  <c r="Q10" i="17"/>
  <c r="C11" i="17"/>
  <c r="G11" i="17"/>
  <c r="M11" i="17"/>
  <c r="N11" i="17"/>
  <c r="O11" i="17"/>
  <c r="P11" i="17"/>
  <c r="Q11" i="17"/>
  <c r="C12" i="17"/>
  <c r="G12" i="17"/>
  <c r="M12" i="17"/>
  <c r="N12" i="17"/>
  <c r="O12" i="17"/>
  <c r="P12" i="17"/>
  <c r="Q12" i="17"/>
  <c r="C13" i="17"/>
  <c r="G13" i="17"/>
  <c r="M13" i="17"/>
  <c r="N13" i="17"/>
  <c r="O13" i="17"/>
  <c r="P13" i="17"/>
  <c r="Q13" i="17"/>
  <c r="C14" i="17"/>
  <c r="G14" i="17"/>
  <c r="M14" i="17"/>
  <c r="N14" i="17"/>
  <c r="O14" i="17"/>
  <c r="P14" i="17"/>
  <c r="Q14" i="17"/>
  <c r="C15" i="17"/>
  <c r="G15" i="17"/>
  <c r="M15" i="17"/>
  <c r="N15" i="17"/>
  <c r="O15" i="17"/>
  <c r="P15" i="17"/>
  <c r="Q15" i="17"/>
  <c r="C16" i="17"/>
  <c r="G16" i="17"/>
  <c r="M16" i="17"/>
  <c r="N16" i="17"/>
  <c r="O16" i="17"/>
  <c r="P16" i="17"/>
  <c r="Q16" i="17"/>
  <c r="C17" i="17"/>
  <c r="G17" i="17"/>
  <c r="M17" i="17"/>
  <c r="N17" i="17"/>
  <c r="O17" i="17"/>
  <c r="P17" i="17"/>
  <c r="Q17" i="17"/>
  <c r="C18" i="17"/>
  <c r="G18" i="17"/>
  <c r="M18" i="17"/>
  <c r="N18" i="17"/>
  <c r="O18" i="17"/>
  <c r="P18" i="17"/>
  <c r="Q18" i="17"/>
  <c r="C19" i="17"/>
  <c r="G19" i="17"/>
  <c r="M19" i="17"/>
  <c r="N19" i="17"/>
  <c r="O19" i="17"/>
  <c r="P19" i="17"/>
  <c r="Q19" i="17"/>
  <c r="C20" i="17"/>
  <c r="G20" i="17"/>
  <c r="M20" i="17"/>
  <c r="N20" i="17"/>
  <c r="O20" i="17"/>
  <c r="P20" i="17"/>
  <c r="Q20" i="17"/>
  <c r="M21" i="17"/>
  <c r="N21" i="17"/>
  <c r="O21" i="17"/>
  <c r="P21" i="17"/>
  <c r="C22" i="17"/>
  <c r="G22" i="17"/>
  <c r="M22" i="17"/>
  <c r="N22" i="17"/>
  <c r="O22" i="17"/>
  <c r="P22" i="17"/>
  <c r="Q22" i="17"/>
  <c r="C23" i="17"/>
  <c r="G23" i="17"/>
  <c r="M23" i="17"/>
  <c r="N23" i="17"/>
  <c r="O23" i="17"/>
  <c r="P23" i="17"/>
  <c r="Q23" i="17"/>
  <c r="C24" i="17"/>
  <c r="G24" i="17"/>
  <c r="M24" i="17"/>
  <c r="N24" i="17"/>
  <c r="O24" i="17"/>
  <c r="P24" i="17"/>
  <c r="Q24" i="17"/>
  <c r="C25" i="17"/>
  <c r="G25" i="17"/>
  <c r="M25" i="17"/>
  <c r="N25" i="17"/>
  <c r="O25" i="17"/>
  <c r="P25" i="17"/>
  <c r="Q25" i="17"/>
  <c r="C26" i="17"/>
  <c r="G26" i="17"/>
  <c r="M26" i="17"/>
  <c r="N26" i="17"/>
  <c r="O26" i="17"/>
  <c r="P26" i="17"/>
  <c r="Q26" i="17"/>
  <c r="C27" i="17"/>
  <c r="G27" i="17"/>
  <c r="M27" i="17"/>
  <c r="N27" i="17"/>
  <c r="O27" i="17"/>
  <c r="P27" i="17"/>
  <c r="Q27" i="17"/>
  <c r="C28" i="17"/>
  <c r="G28" i="17"/>
  <c r="M28" i="17"/>
  <c r="N28" i="17"/>
  <c r="O28" i="17"/>
  <c r="P28" i="17"/>
  <c r="Q28" i="17"/>
  <c r="C29" i="17"/>
  <c r="G29" i="17"/>
  <c r="M29" i="17"/>
  <c r="N29" i="17"/>
  <c r="O29" i="17"/>
  <c r="P29" i="17"/>
  <c r="Q29" i="17"/>
  <c r="C30" i="17"/>
  <c r="G30" i="17"/>
  <c r="M30" i="17"/>
  <c r="N30" i="17"/>
  <c r="O30" i="17"/>
  <c r="P30" i="17"/>
  <c r="Q30" i="17"/>
  <c r="C31" i="17"/>
  <c r="G31" i="17"/>
  <c r="M31" i="17"/>
  <c r="N31" i="17"/>
  <c r="O31" i="17"/>
  <c r="P31" i="17"/>
  <c r="Q31" i="17"/>
  <c r="C32" i="17"/>
  <c r="G32" i="17"/>
  <c r="M32" i="17"/>
  <c r="N32" i="17"/>
  <c r="O32" i="17"/>
  <c r="P32" i="17"/>
  <c r="Q32" i="17"/>
  <c r="C33" i="17"/>
  <c r="G33" i="17"/>
  <c r="M33" i="17"/>
  <c r="N33" i="17"/>
  <c r="O33" i="17"/>
  <c r="P33" i="17"/>
  <c r="Q33" i="17"/>
  <c r="C34" i="17"/>
  <c r="G34" i="17"/>
  <c r="M34" i="17"/>
  <c r="N34" i="17"/>
  <c r="O34" i="17"/>
  <c r="P34" i="17"/>
  <c r="Q34" i="17"/>
  <c r="C35" i="17"/>
  <c r="G35" i="17"/>
  <c r="M35" i="17"/>
  <c r="N35" i="17"/>
  <c r="O35" i="17"/>
  <c r="P35" i="17"/>
  <c r="Q35" i="17"/>
  <c r="M36" i="17"/>
  <c r="N36" i="17"/>
  <c r="O36" i="17"/>
  <c r="P36" i="17"/>
  <c r="M4" i="18"/>
  <c r="N4" i="18"/>
  <c r="O4" i="18"/>
  <c r="P4" i="18"/>
  <c r="C5" i="18"/>
  <c r="G5" i="18"/>
  <c r="M5" i="18"/>
  <c r="N5" i="18"/>
  <c r="O5" i="18"/>
  <c r="P5" i="18"/>
  <c r="Q5" i="18"/>
  <c r="C6" i="18"/>
  <c r="G6" i="18"/>
  <c r="M6" i="18"/>
  <c r="N6" i="18"/>
  <c r="O6" i="18"/>
  <c r="P6" i="18"/>
  <c r="Q6" i="18"/>
  <c r="C7" i="18"/>
  <c r="G7" i="18"/>
  <c r="M7" i="18"/>
  <c r="N7" i="18"/>
  <c r="O7" i="18"/>
  <c r="P7" i="18"/>
  <c r="Q7" i="18"/>
  <c r="C8" i="18"/>
  <c r="G8" i="18"/>
  <c r="M8" i="18"/>
  <c r="N8" i="18"/>
  <c r="O8" i="18"/>
  <c r="P8" i="18"/>
  <c r="Q8" i="18"/>
  <c r="C9" i="18"/>
  <c r="G9" i="18"/>
  <c r="M9" i="18"/>
  <c r="N9" i="18"/>
  <c r="O9" i="18"/>
  <c r="P9" i="18"/>
  <c r="Q9" i="18"/>
  <c r="C10" i="18"/>
  <c r="G10" i="18"/>
  <c r="M10" i="18"/>
  <c r="N10" i="18"/>
  <c r="O10" i="18"/>
  <c r="P10" i="18"/>
  <c r="Q10" i="18"/>
  <c r="C11" i="18"/>
  <c r="G11" i="18"/>
  <c r="M11" i="18"/>
  <c r="N11" i="18"/>
  <c r="O11" i="18"/>
  <c r="P11" i="18"/>
  <c r="Q11" i="18"/>
  <c r="C12" i="18"/>
  <c r="G12" i="18"/>
  <c r="M12" i="18"/>
  <c r="N12" i="18"/>
  <c r="O12" i="18"/>
  <c r="P12" i="18"/>
  <c r="Q12" i="18"/>
  <c r="C13" i="18"/>
  <c r="G13" i="18"/>
  <c r="M13" i="18"/>
  <c r="N13" i="18"/>
  <c r="O13" i="18"/>
  <c r="P13" i="18"/>
  <c r="Q13" i="18"/>
  <c r="C14" i="18"/>
  <c r="G14" i="18"/>
  <c r="M14" i="18"/>
  <c r="N14" i="18"/>
  <c r="O14" i="18"/>
  <c r="P14" i="18"/>
  <c r="Q14" i="18"/>
  <c r="C15" i="18"/>
  <c r="G15" i="18"/>
  <c r="M15" i="18"/>
  <c r="N15" i="18"/>
  <c r="O15" i="18"/>
  <c r="P15" i="18"/>
  <c r="Q15" i="18"/>
  <c r="C16" i="18"/>
  <c r="G16" i="18"/>
  <c r="M16" i="18"/>
  <c r="N16" i="18"/>
  <c r="O16" i="18"/>
  <c r="P16" i="18"/>
  <c r="Q16" i="18"/>
  <c r="C17" i="18"/>
  <c r="G17" i="18"/>
  <c r="M17" i="18"/>
  <c r="N17" i="18"/>
  <c r="O17" i="18"/>
  <c r="P17" i="18"/>
  <c r="Q17" i="18"/>
  <c r="C18" i="18"/>
  <c r="G18" i="18"/>
  <c r="M18" i="18"/>
  <c r="N18" i="18"/>
  <c r="O18" i="18"/>
  <c r="P18" i="18"/>
  <c r="Q18" i="18"/>
  <c r="C19" i="18"/>
  <c r="G19" i="18"/>
  <c r="M19" i="18"/>
  <c r="N19" i="18"/>
  <c r="O19" i="18"/>
  <c r="P19" i="18"/>
  <c r="Q19" i="18"/>
  <c r="C20" i="18"/>
  <c r="G20" i="18"/>
  <c r="M20" i="18"/>
  <c r="N20" i="18"/>
  <c r="O20" i="18"/>
  <c r="P20" i="18"/>
  <c r="Q20" i="18"/>
  <c r="M21" i="18"/>
  <c r="N21" i="18"/>
  <c r="O21" i="18"/>
  <c r="P21" i="18"/>
  <c r="C22" i="18"/>
  <c r="G22" i="18"/>
  <c r="M22" i="18"/>
  <c r="N22" i="18"/>
  <c r="O22" i="18"/>
  <c r="P22" i="18"/>
  <c r="Q22" i="18"/>
  <c r="C23" i="18"/>
  <c r="G23" i="18"/>
  <c r="M23" i="18"/>
  <c r="N23" i="18"/>
  <c r="O23" i="18"/>
  <c r="P23" i="18"/>
  <c r="Q23" i="18"/>
  <c r="C24" i="18"/>
  <c r="G24" i="18"/>
  <c r="M24" i="18"/>
  <c r="N24" i="18"/>
  <c r="O24" i="18"/>
  <c r="P24" i="18"/>
  <c r="Q24" i="18"/>
  <c r="C25" i="18"/>
  <c r="G25" i="18"/>
  <c r="M25" i="18"/>
  <c r="N25" i="18"/>
  <c r="O25" i="18"/>
  <c r="P25" i="18"/>
  <c r="Q25" i="18"/>
  <c r="C26" i="18"/>
  <c r="G26" i="18"/>
  <c r="M26" i="18"/>
  <c r="N26" i="18"/>
  <c r="O26" i="18"/>
  <c r="P26" i="18"/>
  <c r="Q26" i="18"/>
  <c r="C27" i="18"/>
  <c r="G27" i="18"/>
  <c r="M27" i="18"/>
  <c r="N27" i="18"/>
  <c r="O27" i="18"/>
  <c r="P27" i="18"/>
  <c r="Q27" i="18"/>
  <c r="C28" i="18"/>
  <c r="G28" i="18"/>
  <c r="M28" i="18"/>
  <c r="N28" i="18"/>
  <c r="O28" i="18"/>
  <c r="P28" i="18"/>
  <c r="Q28" i="18"/>
  <c r="C29" i="18"/>
  <c r="G29" i="18"/>
  <c r="M29" i="18"/>
  <c r="N29" i="18"/>
  <c r="O29" i="18"/>
  <c r="P29" i="18"/>
  <c r="Q29" i="18"/>
  <c r="C30" i="18"/>
  <c r="G30" i="18"/>
  <c r="M30" i="18"/>
  <c r="N30" i="18"/>
  <c r="O30" i="18"/>
  <c r="P30" i="18"/>
  <c r="Q30" i="18"/>
  <c r="C31" i="18"/>
  <c r="G31" i="18"/>
  <c r="M31" i="18"/>
  <c r="N31" i="18"/>
  <c r="O31" i="18"/>
  <c r="P31" i="18"/>
  <c r="Q31" i="18"/>
  <c r="C32" i="18"/>
  <c r="G32" i="18"/>
  <c r="M32" i="18"/>
  <c r="N32" i="18"/>
  <c r="O32" i="18"/>
  <c r="P32" i="18"/>
  <c r="Q32" i="18"/>
  <c r="C33" i="18"/>
  <c r="G33" i="18"/>
  <c r="M33" i="18"/>
  <c r="N33" i="18"/>
  <c r="O33" i="18"/>
  <c r="P33" i="18"/>
  <c r="Q33" i="18"/>
  <c r="C34" i="18"/>
  <c r="G34" i="18"/>
  <c r="M34" i="18"/>
  <c r="N34" i="18"/>
  <c r="O34" i="18"/>
  <c r="P34" i="18"/>
  <c r="Q34" i="18"/>
  <c r="C35" i="18"/>
  <c r="G35" i="18"/>
  <c r="M35" i="18"/>
  <c r="N35" i="18"/>
  <c r="O35" i="18"/>
  <c r="P35" i="18"/>
  <c r="Q35" i="18"/>
  <c r="M36" i="18"/>
  <c r="N36" i="18"/>
  <c r="O36" i="18"/>
  <c r="P36" i="18"/>
  <c r="M4" i="19"/>
  <c r="N4" i="19"/>
  <c r="O4" i="19"/>
  <c r="P4" i="19"/>
  <c r="C5" i="19"/>
  <c r="G5" i="19"/>
  <c r="M5" i="19"/>
  <c r="N5" i="19"/>
  <c r="O5" i="19"/>
  <c r="P5" i="19"/>
  <c r="Q5" i="19"/>
  <c r="C6" i="19"/>
  <c r="G6" i="19"/>
  <c r="M6" i="19"/>
  <c r="N6" i="19"/>
  <c r="O6" i="19"/>
  <c r="P6" i="19"/>
  <c r="Q6" i="19"/>
  <c r="C7" i="19"/>
  <c r="G7" i="19"/>
  <c r="M7" i="19"/>
  <c r="N7" i="19"/>
  <c r="O7" i="19"/>
  <c r="P7" i="19"/>
  <c r="Q7" i="19"/>
  <c r="C8" i="19"/>
  <c r="G8" i="19"/>
  <c r="M8" i="19"/>
  <c r="N8" i="19"/>
  <c r="O8" i="19"/>
  <c r="P8" i="19"/>
  <c r="Q8" i="19"/>
  <c r="C9" i="19"/>
  <c r="G9" i="19"/>
  <c r="M9" i="19"/>
  <c r="N9" i="19"/>
  <c r="O9" i="19"/>
  <c r="P9" i="19"/>
  <c r="Q9" i="19"/>
  <c r="C10" i="19"/>
  <c r="G10" i="19"/>
  <c r="M10" i="19"/>
  <c r="N10" i="19"/>
  <c r="O10" i="19"/>
  <c r="P10" i="19"/>
  <c r="Q10" i="19"/>
  <c r="C11" i="19"/>
  <c r="G11" i="19"/>
  <c r="M11" i="19"/>
  <c r="N11" i="19"/>
  <c r="O11" i="19"/>
  <c r="P11" i="19"/>
  <c r="Q11" i="19"/>
  <c r="C12" i="19"/>
  <c r="G12" i="19"/>
  <c r="M12" i="19"/>
  <c r="N12" i="19"/>
  <c r="O12" i="19"/>
  <c r="P12" i="19"/>
  <c r="Q12" i="19"/>
  <c r="C13" i="19"/>
  <c r="G13" i="19"/>
  <c r="M13" i="19"/>
  <c r="N13" i="19"/>
  <c r="O13" i="19"/>
  <c r="P13" i="19"/>
  <c r="Q13" i="19"/>
  <c r="C14" i="19"/>
  <c r="G14" i="19"/>
  <c r="M14" i="19"/>
  <c r="N14" i="19"/>
  <c r="O14" i="19"/>
  <c r="P14" i="19"/>
  <c r="Q14" i="19"/>
  <c r="C15" i="19"/>
  <c r="G15" i="19"/>
  <c r="M15" i="19"/>
  <c r="N15" i="19"/>
  <c r="O15" i="19"/>
  <c r="P15" i="19"/>
  <c r="Q15" i="19"/>
  <c r="C16" i="19"/>
  <c r="G16" i="19"/>
  <c r="M16" i="19"/>
  <c r="N16" i="19"/>
  <c r="O16" i="19"/>
  <c r="P16" i="19"/>
  <c r="Q16" i="19"/>
  <c r="C17" i="19"/>
  <c r="G17" i="19"/>
  <c r="M17" i="19"/>
  <c r="N17" i="19"/>
  <c r="O17" i="19"/>
  <c r="P17" i="19"/>
  <c r="Q17" i="19"/>
  <c r="C18" i="19"/>
  <c r="G18" i="19"/>
  <c r="M18" i="19"/>
  <c r="N18" i="19"/>
  <c r="O18" i="19"/>
  <c r="P18" i="19"/>
  <c r="Q18" i="19"/>
  <c r="C19" i="19"/>
  <c r="G19" i="19"/>
  <c r="M19" i="19"/>
  <c r="N19" i="19"/>
  <c r="O19" i="19"/>
  <c r="P19" i="19"/>
  <c r="Q19" i="19"/>
  <c r="C20" i="19"/>
  <c r="G20" i="19"/>
  <c r="M20" i="19"/>
  <c r="N20" i="19"/>
  <c r="O20" i="19"/>
  <c r="P20" i="19"/>
  <c r="Q20" i="19"/>
  <c r="M21" i="19"/>
  <c r="N21" i="19"/>
  <c r="O21" i="19"/>
  <c r="P21" i="19"/>
  <c r="C22" i="19"/>
  <c r="G22" i="19"/>
  <c r="M22" i="19"/>
  <c r="N22" i="19"/>
  <c r="O22" i="19"/>
  <c r="P22" i="19"/>
  <c r="Q22" i="19"/>
  <c r="C23" i="19"/>
  <c r="G23" i="19"/>
  <c r="M23" i="19"/>
  <c r="N23" i="19"/>
  <c r="O23" i="19"/>
  <c r="P23" i="19"/>
  <c r="Q23" i="19"/>
  <c r="C24" i="19"/>
  <c r="G24" i="19"/>
  <c r="M24" i="19"/>
  <c r="N24" i="19"/>
  <c r="O24" i="19"/>
  <c r="P24" i="19"/>
  <c r="Q24" i="19"/>
  <c r="C25" i="19"/>
  <c r="G25" i="19"/>
  <c r="M25" i="19"/>
  <c r="N25" i="19"/>
  <c r="O25" i="19"/>
  <c r="P25" i="19"/>
  <c r="Q25" i="19"/>
  <c r="C26" i="19"/>
  <c r="G26" i="19"/>
  <c r="M26" i="19"/>
  <c r="N26" i="19"/>
  <c r="O26" i="19"/>
  <c r="P26" i="19"/>
  <c r="Q26" i="19"/>
  <c r="C27" i="19"/>
  <c r="G27" i="19"/>
  <c r="M27" i="19"/>
  <c r="N27" i="19"/>
  <c r="O27" i="19"/>
  <c r="P27" i="19"/>
  <c r="Q27" i="19"/>
  <c r="C28" i="19"/>
  <c r="G28" i="19"/>
  <c r="M28" i="19"/>
  <c r="N28" i="19"/>
  <c r="O28" i="19"/>
  <c r="P28" i="19"/>
  <c r="Q28" i="19"/>
  <c r="C29" i="19"/>
  <c r="G29" i="19"/>
  <c r="M29" i="19"/>
  <c r="N29" i="19"/>
  <c r="O29" i="19"/>
  <c r="P29" i="19"/>
  <c r="Q29" i="19"/>
  <c r="C30" i="19"/>
  <c r="G30" i="19"/>
  <c r="M30" i="19"/>
  <c r="N30" i="19"/>
  <c r="O30" i="19"/>
  <c r="P30" i="19"/>
  <c r="Q30" i="19"/>
  <c r="C31" i="19"/>
  <c r="G31" i="19"/>
  <c r="M31" i="19"/>
  <c r="N31" i="19"/>
  <c r="O31" i="19"/>
  <c r="P31" i="19"/>
  <c r="Q31" i="19"/>
  <c r="C32" i="19"/>
  <c r="G32" i="19"/>
  <c r="M32" i="19"/>
  <c r="N32" i="19"/>
  <c r="O32" i="19"/>
  <c r="P32" i="19"/>
  <c r="Q32" i="19"/>
  <c r="C33" i="19"/>
  <c r="G33" i="19"/>
  <c r="M33" i="19"/>
  <c r="N33" i="19"/>
  <c r="O33" i="19"/>
  <c r="P33" i="19"/>
  <c r="Q33" i="19"/>
  <c r="C34" i="19"/>
  <c r="G34" i="19"/>
  <c r="M34" i="19"/>
  <c r="N34" i="19"/>
  <c r="O34" i="19"/>
  <c r="P34" i="19"/>
  <c r="Q34" i="19"/>
  <c r="C35" i="19"/>
  <c r="G35" i="19"/>
  <c r="M35" i="19"/>
  <c r="N35" i="19"/>
  <c r="O35" i="19"/>
  <c r="P35" i="19"/>
  <c r="Q35" i="19"/>
  <c r="M36" i="19"/>
  <c r="N36" i="19"/>
  <c r="O36" i="19"/>
  <c r="P36" i="19"/>
  <c r="C3" i="20"/>
  <c r="D3" i="20"/>
  <c r="E3" i="20"/>
  <c r="C4" i="20"/>
  <c r="D4" i="20"/>
  <c r="E4" i="20"/>
  <c r="C5" i="20"/>
  <c r="D5" i="20"/>
  <c r="E5" i="20"/>
  <c r="C6" i="20"/>
  <c r="D6" i="20"/>
  <c r="E6" i="20"/>
  <c r="C9" i="20"/>
  <c r="D9" i="20"/>
  <c r="E9" i="20"/>
  <c r="C10" i="20"/>
  <c r="D10" i="20"/>
  <c r="E10" i="20"/>
  <c r="D5" i="14"/>
  <c r="G5" i="14"/>
  <c r="H5" i="14"/>
  <c r="I5" i="14"/>
  <c r="J5" i="14"/>
  <c r="K5" i="14"/>
  <c r="L5" i="14"/>
  <c r="M5" i="14"/>
  <c r="N5" i="14"/>
  <c r="O5" i="14"/>
  <c r="P5" i="14"/>
  <c r="Q5" i="14"/>
  <c r="R5" i="14"/>
  <c r="S5" i="14"/>
  <c r="T5" i="14"/>
  <c r="U5" i="14"/>
  <c r="V5" i="14"/>
  <c r="W5" i="14"/>
  <c r="X5" i="14"/>
  <c r="Y5" i="14"/>
  <c r="Z5" i="14"/>
  <c r="AA5" i="14"/>
  <c r="AB5" i="14"/>
  <c r="AC5" i="14"/>
  <c r="AD5" i="14"/>
  <c r="AE5" i="14"/>
  <c r="AF5" i="14"/>
  <c r="AG5" i="14"/>
  <c r="AH5" i="14"/>
  <c r="AI5" i="14"/>
  <c r="AJ5" i="14"/>
  <c r="AK5" i="14"/>
  <c r="AL5" i="14"/>
  <c r="AM5" i="14"/>
  <c r="AN5" i="14"/>
  <c r="AO5" i="14"/>
  <c r="AP5" i="14"/>
  <c r="AQ5" i="14"/>
  <c r="AR5" i="14"/>
  <c r="AS5" i="14"/>
  <c r="AT5" i="14"/>
  <c r="AU5" i="14"/>
  <c r="AV5" i="14"/>
  <c r="AW5" i="14"/>
  <c r="AX5" i="14"/>
  <c r="AY5" i="14"/>
  <c r="AZ5" i="14"/>
  <c r="D6" i="14"/>
  <c r="G6" i="14"/>
  <c r="H6" i="14"/>
  <c r="I6" i="14"/>
  <c r="J6" i="14"/>
  <c r="K6" i="14"/>
  <c r="L6" i="14"/>
  <c r="M6" i="14"/>
  <c r="N6" i="14"/>
  <c r="O6" i="14"/>
  <c r="P6" i="14"/>
  <c r="Q6" i="14"/>
  <c r="R6" i="14"/>
  <c r="S6" i="14"/>
  <c r="T6" i="14"/>
  <c r="U6" i="14"/>
  <c r="V6" i="14"/>
  <c r="W6" i="14"/>
  <c r="X6" i="14"/>
  <c r="Y6" i="14"/>
  <c r="Z6" i="14"/>
  <c r="AA6" i="14"/>
  <c r="AB6" i="14"/>
  <c r="AC6" i="14"/>
  <c r="AD6" i="14"/>
  <c r="AE6" i="14"/>
  <c r="AF6" i="14"/>
  <c r="AG6" i="14"/>
  <c r="AH6" i="14"/>
  <c r="AI6" i="14"/>
  <c r="AJ6" i="14"/>
  <c r="AK6" i="14"/>
  <c r="AL6" i="14"/>
  <c r="AM6" i="14"/>
  <c r="AN6" i="14"/>
  <c r="AO6" i="14"/>
  <c r="AP6" i="14"/>
  <c r="AQ6" i="14"/>
  <c r="AR6" i="14"/>
  <c r="AS6" i="14"/>
  <c r="AT6" i="14"/>
  <c r="AU6" i="14"/>
  <c r="AV6" i="14"/>
  <c r="AW6" i="14"/>
  <c r="AX6" i="14"/>
  <c r="AY6" i="14"/>
  <c r="AZ6" i="14"/>
  <c r="D7" i="14"/>
  <c r="G7" i="14"/>
  <c r="H7" i="14"/>
  <c r="I7" i="14"/>
  <c r="J7" i="14"/>
  <c r="K7" i="14"/>
  <c r="L7" i="14"/>
  <c r="M7" i="14"/>
  <c r="N7" i="14"/>
  <c r="O7" i="14"/>
  <c r="P7" i="14"/>
  <c r="Q7" i="14"/>
  <c r="R7" i="14"/>
  <c r="S7" i="14"/>
  <c r="T7" i="14"/>
  <c r="U7" i="14"/>
  <c r="V7" i="14"/>
  <c r="W7" i="14"/>
  <c r="X7" i="14"/>
  <c r="Y7" i="14"/>
  <c r="Z7" i="14"/>
  <c r="AA7" i="14"/>
  <c r="AB7" i="14"/>
  <c r="AC7" i="14"/>
  <c r="AD7" i="14"/>
  <c r="AE7" i="14"/>
  <c r="AF7" i="14"/>
  <c r="AG7" i="14"/>
  <c r="AH7" i="14"/>
  <c r="AI7" i="14"/>
  <c r="AJ7" i="14"/>
  <c r="AK7" i="14"/>
  <c r="AL7" i="14"/>
  <c r="AM7" i="14"/>
  <c r="AN7" i="14"/>
  <c r="AO7" i="14"/>
  <c r="AP7" i="14"/>
  <c r="AQ7" i="14"/>
  <c r="AR7" i="14"/>
  <c r="AS7" i="14"/>
  <c r="AT7" i="14"/>
  <c r="AU7" i="14"/>
  <c r="AV7" i="14"/>
  <c r="AW7" i="14"/>
  <c r="AX7" i="14"/>
  <c r="AY7" i="14"/>
  <c r="AZ7" i="14"/>
  <c r="D8" i="14"/>
  <c r="G8" i="14"/>
  <c r="H8" i="14"/>
  <c r="I8" i="14"/>
  <c r="J8" i="14"/>
  <c r="K8" i="14"/>
  <c r="L8" i="14"/>
  <c r="M8" i="14"/>
  <c r="N8" i="14"/>
  <c r="O8" i="14"/>
  <c r="P8" i="14"/>
  <c r="Q8" i="14"/>
  <c r="R8" i="14"/>
  <c r="S8" i="14"/>
  <c r="T8" i="14"/>
  <c r="U8" i="14"/>
  <c r="V8" i="14"/>
  <c r="W8" i="14"/>
  <c r="X8" i="14"/>
  <c r="Y8" i="14"/>
  <c r="Z8" i="14"/>
  <c r="AA8" i="14"/>
  <c r="AB8" i="14"/>
  <c r="AC8" i="14"/>
  <c r="AD8" i="14"/>
  <c r="AE8" i="14"/>
  <c r="AF8" i="14"/>
  <c r="AG8" i="14"/>
  <c r="AH8" i="14"/>
  <c r="AI8" i="14"/>
  <c r="AJ8" i="14"/>
  <c r="AK8" i="14"/>
  <c r="AL8" i="14"/>
  <c r="AM8" i="14"/>
  <c r="AN8" i="14"/>
  <c r="AO8" i="14"/>
  <c r="AP8" i="14"/>
  <c r="AQ8" i="14"/>
  <c r="AR8" i="14"/>
  <c r="AS8" i="14"/>
  <c r="AT8" i="14"/>
  <c r="AU8" i="14"/>
  <c r="AV8" i="14"/>
  <c r="AW8" i="14"/>
  <c r="AX8" i="14"/>
  <c r="AY8" i="14"/>
  <c r="AZ8" i="14"/>
  <c r="D9" i="14"/>
  <c r="G9" i="14"/>
  <c r="H9" i="14"/>
  <c r="I9" i="14"/>
  <c r="J9" i="14"/>
  <c r="K9" i="14"/>
  <c r="L9" i="14"/>
  <c r="M9" i="14"/>
  <c r="N9" i="14"/>
  <c r="O9" i="14"/>
  <c r="P9" i="14"/>
  <c r="Q9" i="14"/>
  <c r="R9" i="14"/>
  <c r="S9" i="14"/>
  <c r="T9" i="14"/>
  <c r="U9" i="14"/>
  <c r="V9" i="14"/>
  <c r="W9" i="14"/>
  <c r="X9" i="14"/>
  <c r="Y9" i="14"/>
  <c r="Z9" i="14"/>
  <c r="AA9" i="14"/>
  <c r="AB9" i="14"/>
  <c r="AC9" i="14"/>
  <c r="AD9" i="14"/>
  <c r="AE9" i="14"/>
  <c r="AF9" i="14"/>
  <c r="AG9" i="14"/>
  <c r="AH9" i="14"/>
  <c r="AI9" i="14"/>
  <c r="AJ9" i="14"/>
  <c r="AK9" i="14"/>
  <c r="AL9" i="14"/>
  <c r="AM9" i="14"/>
  <c r="AN9" i="14"/>
  <c r="AO9" i="14"/>
  <c r="AP9" i="14"/>
  <c r="AQ9" i="14"/>
  <c r="AR9" i="14"/>
  <c r="AS9" i="14"/>
  <c r="AT9" i="14"/>
  <c r="AU9" i="14"/>
  <c r="AV9" i="14"/>
  <c r="AW9" i="14"/>
  <c r="AX9" i="14"/>
  <c r="AY9" i="14"/>
  <c r="AZ9" i="14"/>
  <c r="D10" i="14"/>
  <c r="G10" i="14"/>
  <c r="H10" i="14"/>
  <c r="I10" i="14"/>
  <c r="J10" i="14"/>
  <c r="K10" i="14"/>
  <c r="L10" i="14"/>
  <c r="M10" i="14"/>
  <c r="N10" i="14"/>
  <c r="O10" i="14"/>
  <c r="P10" i="14"/>
  <c r="Q10" i="14"/>
  <c r="R10" i="14"/>
  <c r="S10" i="14"/>
  <c r="T10" i="14"/>
  <c r="U10" i="14"/>
  <c r="V10" i="14"/>
  <c r="W10" i="14"/>
  <c r="X10" i="14"/>
  <c r="Y10" i="14"/>
  <c r="Z10" i="14"/>
  <c r="AA10" i="14"/>
  <c r="AB10" i="14"/>
  <c r="AC10" i="14"/>
  <c r="AD10" i="14"/>
  <c r="AE10" i="14"/>
  <c r="AF10" i="14"/>
  <c r="AG10" i="14"/>
  <c r="AH10" i="14"/>
  <c r="AI10" i="14"/>
  <c r="AJ10" i="14"/>
  <c r="AK10" i="14"/>
  <c r="AL10" i="14"/>
  <c r="AM10" i="14"/>
  <c r="AN10" i="14"/>
  <c r="AO10" i="14"/>
  <c r="AP10" i="14"/>
  <c r="AQ10" i="14"/>
  <c r="AR10" i="14"/>
  <c r="AS10" i="14"/>
  <c r="AT10" i="14"/>
  <c r="AU10" i="14"/>
  <c r="AV10" i="14"/>
  <c r="AW10" i="14"/>
  <c r="AX10" i="14"/>
  <c r="AY10" i="14"/>
  <c r="AZ10" i="14"/>
  <c r="D5" i="9"/>
  <c r="G5" i="9"/>
  <c r="H5" i="9"/>
  <c r="I5" i="9"/>
  <c r="J5" i="9"/>
  <c r="K5" i="9"/>
  <c r="L5" i="9"/>
  <c r="M5" i="9"/>
  <c r="N5" i="9"/>
  <c r="O5" i="9"/>
  <c r="P5" i="9"/>
  <c r="Q5" i="9"/>
  <c r="R5" i="9"/>
  <c r="S5" i="9"/>
  <c r="T5" i="9"/>
  <c r="U5" i="9"/>
  <c r="V5" i="9"/>
  <c r="W5" i="9"/>
  <c r="X5" i="9"/>
  <c r="Y5" i="9"/>
  <c r="Z5" i="9"/>
  <c r="AA5" i="9"/>
  <c r="AB5" i="9"/>
  <c r="AC5" i="9"/>
  <c r="AD5" i="9"/>
  <c r="AE5" i="9"/>
  <c r="AF5" i="9"/>
  <c r="AG5" i="9"/>
  <c r="AH5" i="9"/>
  <c r="AI5" i="9"/>
  <c r="AJ5" i="9"/>
  <c r="AK5" i="9"/>
  <c r="AL5" i="9"/>
  <c r="AM5" i="9"/>
  <c r="AN5" i="9"/>
  <c r="AO5" i="9"/>
  <c r="AP5" i="9"/>
  <c r="AQ5" i="9"/>
  <c r="AR5" i="9"/>
  <c r="AS5" i="9"/>
  <c r="AT5" i="9"/>
  <c r="AU5" i="9"/>
  <c r="AV5" i="9"/>
  <c r="AW5" i="9"/>
  <c r="AX5" i="9"/>
  <c r="AY5" i="9"/>
  <c r="AZ5" i="9"/>
  <c r="D6" i="9"/>
  <c r="G6" i="9"/>
  <c r="H6" i="9"/>
  <c r="I6" i="9"/>
  <c r="J6" i="9"/>
  <c r="K6" i="9"/>
  <c r="L6" i="9"/>
  <c r="M6" i="9"/>
  <c r="N6" i="9"/>
  <c r="O6" i="9"/>
  <c r="P6" i="9"/>
  <c r="Q6" i="9"/>
  <c r="R6" i="9"/>
  <c r="S6" i="9"/>
  <c r="T6" i="9"/>
  <c r="U6" i="9"/>
  <c r="V6" i="9"/>
  <c r="W6" i="9"/>
  <c r="X6" i="9"/>
  <c r="Y6" i="9"/>
  <c r="Z6" i="9"/>
  <c r="AA6" i="9"/>
  <c r="AB6" i="9"/>
  <c r="AC6" i="9"/>
  <c r="AD6" i="9"/>
  <c r="AE6" i="9"/>
  <c r="AF6" i="9"/>
  <c r="AG6" i="9"/>
  <c r="AH6" i="9"/>
  <c r="AI6" i="9"/>
  <c r="AJ6" i="9"/>
  <c r="AK6" i="9"/>
  <c r="AL6" i="9"/>
  <c r="AM6" i="9"/>
  <c r="AN6" i="9"/>
  <c r="AO6" i="9"/>
  <c r="AP6" i="9"/>
  <c r="AQ6" i="9"/>
  <c r="AR6" i="9"/>
  <c r="AS6" i="9"/>
  <c r="AT6" i="9"/>
  <c r="AU6" i="9"/>
  <c r="AV6" i="9"/>
  <c r="AW6" i="9"/>
  <c r="AX6" i="9"/>
  <c r="AY6" i="9"/>
  <c r="AZ6" i="9"/>
  <c r="D7" i="9"/>
  <c r="G7" i="9"/>
  <c r="H7" i="9"/>
  <c r="I7" i="9"/>
  <c r="J7" i="9"/>
  <c r="K7" i="9"/>
  <c r="L7" i="9"/>
  <c r="M7" i="9"/>
  <c r="N7" i="9"/>
  <c r="O7" i="9"/>
  <c r="P7" i="9"/>
  <c r="Q7" i="9"/>
  <c r="R7" i="9"/>
  <c r="S7" i="9"/>
  <c r="T7" i="9"/>
  <c r="U7" i="9"/>
  <c r="V7" i="9"/>
  <c r="W7" i="9"/>
  <c r="X7" i="9"/>
  <c r="Y7" i="9"/>
  <c r="Z7" i="9"/>
  <c r="AA7" i="9"/>
  <c r="AB7" i="9"/>
  <c r="AC7" i="9"/>
  <c r="AD7" i="9"/>
  <c r="AE7" i="9"/>
  <c r="AF7" i="9"/>
  <c r="AG7" i="9"/>
  <c r="AH7" i="9"/>
  <c r="AI7" i="9"/>
  <c r="AJ7" i="9"/>
  <c r="AK7" i="9"/>
  <c r="AL7" i="9"/>
  <c r="AM7" i="9"/>
  <c r="AN7" i="9"/>
  <c r="AO7" i="9"/>
  <c r="AP7" i="9"/>
  <c r="AQ7" i="9"/>
  <c r="AR7" i="9"/>
  <c r="AS7" i="9"/>
  <c r="AT7" i="9"/>
  <c r="AU7" i="9"/>
  <c r="AV7" i="9"/>
  <c r="AW7" i="9"/>
  <c r="AX7" i="9"/>
  <c r="AY7" i="9"/>
  <c r="AZ7" i="9"/>
  <c r="D8" i="9"/>
  <c r="G8" i="9"/>
  <c r="H8" i="9"/>
  <c r="I8" i="9"/>
  <c r="J8" i="9"/>
  <c r="K8" i="9"/>
  <c r="L8" i="9"/>
  <c r="M8" i="9"/>
  <c r="N8" i="9"/>
  <c r="O8" i="9"/>
  <c r="P8" i="9"/>
  <c r="Q8" i="9"/>
  <c r="R8" i="9"/>
  <c r="S8" i="9"/>
  <c r="T8" i="9"/>
  <c r="U8" i="9"/>
  <c r="V8" i="9"/>
  <c r="W8" i="9"/>
  <c r="X8" i="9"/>
  <c r="Y8" i="9"/>
  <c r="Z8" i="9"/>
  <c r="AA8" i="9"/>
  <c r="AB8" i="9"/>
  <c r="AC8" i="9"/>
  <c r="AD8" i="9"/>
  <c r="AE8" i="9"/>
  <c r="AF8" i="9"/>
  <c r="AG8" i="9"/>
  <c r="AH8" i="9"/>
  <c r="AI8" i="9"/>
  <c r="AJ8" i="9"/>
  <c r="AK8" i="9"/>
  <c r="AL8" i="9"/>
  <c r="AM8" i="9"/>
  <c r="AN8" i="9"/>
  <c r="AO8" i="9"/>
  <c r="AP8" i="9"/>
  <c r="AQ8" i="9"/>
  <c r="AR8" i="9"/>
  <c r="AS8" i="9"/>
  <c r="AT8" i="9"/>
  <c r="AU8" i="9"/>
  <c r="AV8" i="9"/>
  <c r="AW8" i="9"/>
  <c r="AX8" i="9"/>
  <c r="AY8" i="9"/>
  <c r="AZ8" i="9"/>
  <c r="D9" i="9"/>
  <c r="G9" i="9"/>
  <c r="H9" i="9"/>
  <c r="I9" i="9"/>
  <c r="J9" i="9"/>
  <c r="K9" i="9"/>
  <c r="L9" i="9"/>
  <c r="M9" i="9"/>
  <c r="N9" i="9"/>
  <c r="O9" i="9"/>
  <c r="P9" i="9"/>
  <c r="Q9" i="9"/>
  <c r="R9" i="9"/>
  <c r="S9" i="9"/>
  <c r="T9" i="9"/>
  <c r="U9" i="9"/>
  <c r="V9" i="9"/>
  <c r="W9" i="9"/>
  <c r="X9" i="9"/>
  <c r="Y9" i="9"/>
  <c r="Z9" i="9"/>
  <c r="AA9" i="9"/>
  <c r="AB9" i="9"/>
  <c r="AC9" i="9"/>
  <c r="AD9" i="9"/>
  <c r="AE9" i="9"/>
  <c r="AF9" i="9"/>
  <c r="AG9" i="9"/>
  <c r="AH9" i="9"/>
  <c r="AI9" i="9"/>
  <c r="AJ9" i="9"/>
  <c r="AK9" i="9"/>
  <c r="AL9" i="9"/>
  <c r="AM9" i="9"/>
  <c r="AN9" i="9"/>
  <c r="AO9" i="9"/>
  <c r="AP9" i="9"/>
  <c r="AQ9" i="9"/>
  <c r="AR9" i="9"/>
  <c r="AS9" i="9"/>
  <c r="AT9" i="9"/>
  <c r="AU9" i="9"/>
  <c r="AV9" i="9"/>
  <c r="AW9" i="9"/>
  <c r="AX9" i="9"/>
  <c r="AY9" i="9"/>
  <c r="AZ9" i="9"/>
  <c r="D10" i="9"/>
  <c r="G10" i="9"/>
  <c r="H10" i="9"/>
  <c r="I10" i="9"/>
  <c r="J10" i="9"/>
  <c r="K10" i="9"/>
  <c r="L10" i="9"/>
  <c r="M10" i="9"/>
  <c r="N10" i="9"/>
  <c r="O10" i="9"/>
  <c r="P10" i="9"/>
  <c r="Q10" i="9"/>
  <c r="R10" i="9"/>
  <c r="S10" i="9"/>
  <c r="T10" i="9"/>
  <c r="U10" i="9"/>
  <c r="V10" i="9"/>
  <c r="W10" i="9"/>
  <c r="X10" i="9"/>
  <c r="Y10" i="9"/>
  <c r="Z10" i="9"/>
  <c r="AA10" i="9"/>
  <c r="AB10" i="9"/>
  <c r="AC10" i="9"/>
  <c r="AD10" i="9"/>
  <c r="AE10" i="9"/>
  <c r="AF10" i="9"/>
  <c r="AG10" i="9"/>
  <c r="AH10" i="9"/>
  <c r="AI10" i="9"/>
  <c r="AJ10" i="9"/>
  <c r="AK10" i="9"/>
  <c r="AL10" i="9"/>
  <c r="AM10" i="9"/>
  <c r="AN10" i="9"/>
  <c r="AO10" i="9"/>
  <c r="AP10" i="9"/>
  <c r="AQ10" i="9"/>
  <c r="AR10" i="9"/>
  <c r="AS10" i="9"/>
  <c r="AT10" i="9"/>
  <c r="AU10" i="9"/>
  <c r="AV10" i="9"/>
  <c r="AW10" i="9"/>
  <c r="AX10" i="9"/>
  <c r="AY10" i="9"/>
  <c r="AZ10" i="9"/>
  <c r="D5" i="15"/>
  <c r="G5" i="15"/>
  <c r="H5" i="15"/>
  <c r="I5" i="15"/>
  <c r="J5" i="15"/>
  <c r="K5" i="15"/>
  <c r="L5" i="15"/>
  <c r="M5" i="15"/>
  <c r="N5" i="15"/>
  <c r="O5" i="15"/>
  <c r="P5" i="15"/>
  <c r="Q5" i="15"/>
  <c r="R5" i="15"/>
  <c r="S5" i="15"/>
  <c r="T5" i="15"/>
  <c r="U5" i="15"/>
  <c r="V5" i="15"/>
  <c r="W5" i="15"/>
  <c r="X5" i="15"/>
  <c r="Y5" i="15"/>
  <c r="Z5" i="15"/>
  <c r="AA5" i="15"/>
  <c r="AB5" i="15"/>
  <c r="AC5" i="15"/>
  <c r="AD5" i="15"/>
  <c r="AE5" i="15"/>
  <c r="AF5" i="15"/>
  <c r="AG5" i="15"/>
  <c r="AH5" i="15"/>
  <c r="AI5" i="15"/>
  <c r="AJ5" i="15"/>
  <c r="AK5" i="15"/>
  <c r="AL5" i="15"/>
  <c r="AM5" i="15"/>
  <c r="AN5" i="15"/>
  <c r="AO5" i="15"/>
  <c r="AP5" i="15"/>
  <c r="AQ5" i="15"/>
  <c r="AR5" i="15"/>
  <c r="AS5" i="15"/>
  <c r="AT5" i="15"/>
  <c r="AU5" i="15"/>
  <c r="AV5" i="15"/>
  <c r="AW5" i="15"/>
  <c r="AX5" i="15"/>
  <c r="AY5" i="15"/>
  <c r="AZ5" i="15"/>
  <c r="D6" i="15"/>
  <c r="G6" i="15"/>
  <c r="H6" i="15"/>
  <c r="I6" i="15"/>
  <c r="J6" i="15"/>
  <c r="K6" i="15"/>
  <c r="L6" i="15"/>
  <c r="M6" i="15"/>
  <c r="N6" i="15"/>
  <c r="O6" i="15"/>
  <c r="P6" i="15"/>
  <c r="Q6" i="15"/>
  <c r="R6" i="15"/>
  <c r="S6" i="15"/>
  <c r="T6" i="15"/>
  <c r="U6" i="15"/>
  <c r="V6" i="15"/>
  <c r="W6" i="15"/>
  <c r="X6" i="15"/>
  <c r="Y6" i="15"/>
  <c r="Z6" i="15"/>
  <c r="AA6" i="15"/>
  <c r="AB6" i="15"/>
  <c r="AC6" i="15"/>
  <c r="AD6" i="15"/>
  <c r="AE6" i="15"/>
  <c r="AF6" i="15"/>
  <c r="AG6" i="15"/>
  <c r="AH6" i="15"/>
  <c r="AI6" i="15"/>
  <c r="AJ6" i="15"/>
  <c r="AK6" i="15"/>
  <c r="AL6" i="15"/>
  <c r="AM6" i="15"/>
  <c r="AN6" i="15"/>
  <c r="AO6" i="15"/>
  <c r="AP6" i="15"/>
  <c r="AQ6" i="15"/>
  <c r="AR6" i="15"/>
  <c r="AS6" i="15"/>
  <c r="AT6" i="15"/>
  <c r="AU6" i="15"/>
  <c r="AV6" i="15"/>
  <c r="AW6" i="15"/>
  <c r="AX6" i="15"/>
  <c r="AY6" i="15"/>
  <c r="AZ6" i="15"/>
  <c r="D7" i="15"/>
  <c r="G7" i="15"/>
  <c r="H7" i="15"/>
  <c r="I7" i="15"/>
  <c r="J7" i="15"/>
  <c r="K7" i="15"/>
  <c r="L7" i="15"/>
  <c r="M7" i="15"/>
  <c r="N7" i="15"/>
  <c r="O7" i="15"/>
  <c r="P7" i="15"/>
  <c r="Q7" i="15"/>
  <c r="R7" i="15"/>
  <c r="S7" i="15"/>
  <c r="T7" i="15"/>
  <c r="U7" i="15"/>
  <c r="V7" i="15"/>
  <c r="W7" i="15"/>
  <c r="X7" i="15"/>
  <c r="Y7" i="15"/>
  <c r="Z7" i="15"/>
  <c r="AA7" i="15"/>
  <c r="AB7" i="15"/>
  <c r="AC7" i="15"/>
  <c r="AD7" i="15"/>
  <c r="AE7" i="15"/>
  <c r="AF7" i="15"/>
  <c r="AG7" i="15"/>
  <c r="AH7" i="15"/>
  <c r="AI7" i="15"/>
  <c r="AJ7" i="15"/>
  <c r="AK7" i="15"/>
  <c r="AL7" i="15"/>
  <c r="AM7" i="15"/>
  <c r="AN7" i="15"/>
  <c r="AO7" i="15"/>
  <c r="AP7" i="15"/>
  <c r="AQ7" i="15"/>
  <c r="AR7" i="15"/>
  <c r="AS7" i="15"/>
  <c r="AT7" i="15"/>
  <c r="AU7" i="15"/>
  <c r="AV7" i="15"/>
  <c r="AW7" i="15"/>
  <c r="AX7" i="15"/>
  <c r="AY7" i="15"/>
  <c r="AZ7" i="15"/>
  <c r="D8" i="15"/>
  <c r="G8" i="15"/>
  <c r="H8" i="15"/>
  <c r="I8" i="15"/>
  <c r="J8" i="15"/>
  <c r="K8" i="15"/>
  <c r="L8" i="15"/>
  <c r="M8" i="15"/>
  <c r="N8" i="15"/>
  <c r="O8" i="15"/>
  <c r="P8" i="15"/>
  <c r="Q8" i="15"/>
  <c r="R8" i="15"/>
  <c r="S8" i="15"/>
  <c r="T8" i="15"/>
  <c r="U8" i="15"/>
  <c r="V8" i="15"/>
  <c r="W8" i="15"/>
  <c r="X8" i="15"/>
  <c r="Y8" i="15"/>
  <c r="Z8" i="15"/>
  <c r="AA8" i="15"/>
  <c r="AB8" i="15"/>
  <c r="AC8" i="15"/>
  <c r="AD8" i="15"/>
  <c r="AE8" i="15"/>
  <c r="AF8" i="15"/>
  <c r="AG8" i="15"/>
  <c r="AH8" i="15"/>
  <c r="AI8" i="15"/>
  <c r="AJ8" i="15"/>
  <c r="AK8" i="15"/>
  <c r="AL8" i="15"/>
  <c r="AM8" i="15"/>
  <c r="AN8" i="15"/>
  <c r="AO8" i="15"/>
  <c r="AP8" i="15"/>
  <c r="AQ8" i="15"/>
  <c r="AR8" i="15"/>
  <c r="AS8" i="15"/>
  <c r="AT8" i="15"/>
  <c r="AU8" i="15"/>
  <c r="AV8" i="15"/>
  <c r="AW8" i="15"/>
  <c r="AX8" i="15"/>
  <c r="AY8" i="15"/>
  <c r="AZ8" i="15"/>
  <c r="D9" i="15"/>
  <c r="G9" i="15"/>
  <c r="H9" i="15"/>
  <c r="I9" i="15"/>
  <c r="J9" i="15"/>
  <c r="K9" i="15"/>
  <c r="L9" i="15"/>
  <c r="M9" i="15"/>
  <c r="N9" i="15"/>
  <c r="O9" i="15"/>
  <c r="P9" i="15"/>
  <c r="Q9" i="15"/>
  <c r="R9" i="15"/>
  <c r="S9" i="15"/>
  <c r="T9" i="15"/>
  <c r="U9" i="15"/>
  <c r="V9" i="15"/>
  <c r="W9" i="15"/>
  <c r="X9" i="15"/>
  <c r="Y9" i="15"/>
  <c r="Z9" i="15"/>
  <c r="AA9" i="15"/>
  <c r="AB9" i="15"/>
  <c r="AC9" i="15"/>
  <c r="AD9" i="15"/>
  <c r="AE9" i="15"/>
  <c r="AF9" i="15"/>
  <c r="AG9" i="15"/>
  <c r="AH9" i="15"/>
  <c r="AI9" i="15"/>
  <c r="AJ9" i="15"/>
  <c r="AK9" i="15"/>
  <c r="AL9" i="15"/>
  <c r="AM9" i="15"/>
  <c r="AN9" i="15"/>
  <c r="AO9" i="15"/>
  <c r="AP9" i="15"/>
  <c r="AQ9" i="15"/>
  <c r="AR9" i="15"/>
  <c r="AS9" i="15"/>
  <c r="AT9" i="15"/>
  <c r="AU9" i="15"/>
  <c r="AV9" i="15"/>
  <c r="AW9" i="15"/>
  <c r="AX9" i="15"/>
  <c r="AY9" i="15"/>
  <c r="AZ9" i="15"/>
  <c r="D10" i="15"/>
  <c r="G10" i="15"/>
  <c r="H10" i="15"/>
  <c r="I10" i="15"/>
  <c r="J10" i="15"/>
  <c r="K10" i="15"/>
  <c r="L10" i="15"/>
  <c r="M10" i="15"/>
  <c r="N10" i="15"/>
  <c r="O10" i="15"/>
  <c r="P10" i="15"/>
  <c r="Q10" i="15"/>
  <c r="R10" i="15"/>
  <c r="S10" i="15"/>
  <c r="T10" i="15"/>
  <c r="U10" i="15"/>
  <c r="V10" i="15"/>
  <c r="W10" i="15"/>
  <c r="X10" i="15"/>
  <c r="Y10" i="15"/>
  <c r="Z10" i="15"/>
  <c r="AA10" i="15"/>
  <c r="AB10" i="15"/>
  <c r="AC10" i="15"/>
  <c r="AD10" i="15"/>
  <c r="AE10" i="15"/>
  <c r="AF10" i="15"/>
  <c r="AG10" i="15"/>
  <c r="AH10" i="15"/>
  <c r="AI10" i="15"/>
  <c r="AJ10" i="15"/>
  <c r="AK10" i="15"/>
  <c r="AL10" i="15"/>
  <c r="AM10" i="15"/>
  <c r="AN10" i="15"/>
  <c r="AO10" i="15"/>
  <c r="AP10" i="15"/>
  <c r="AQ10" i="15"/>
  <c r="AR10" i="15"/>
  <c r="AS10" i="15"/>
  <c r="AT10" i="15"/>
  <c r="AU10" i="15"/>
  <c r="AV10" i="15"/>
  <c r="AW10" i="15"/>
  <c r="AX10" i="15"/>
  <c r="AY10" i="15"/>
  <c r="AZ10" i="15"/>
</calcChain>
</file>

<file path=xl/sharedStrings.xml><?xml version="1.0" encoding="utf-8"?>
<sst xmlns="http://schemas.openxmlformats.org/spreadsheetml/2006/main" count="711" uniqueCount="281">
  <si>
    <t>Solo</t>
  </si>
  <si>
    <t>Areia</t>
  </si>
  <si>
    <t>Areia argilosa</t>
  </si>
  <si>
    <t>Areia siltosa</t>
  </si>
  <si>
    <t>Argila</t>
  </si>
  <si>
    <t>Argila arenosa</t>
  </si>
  <si>
    <t>Argila siltosa</t>
  </si>
  <si>
    <t>Silte</t>
  </si>
  <si>
    <t>Silte arenoso</t>
  </si>
  <si>
    <t>Silte argiloso</t>
  </si>
  <si>
    <t>Areia siltoargilosa</t>
  </si>
  <si>
    <t>Areia argilossiltosa</t>
  </si>
  <si>
    <t>Silte arenoargiloso</t>
  </si>
  <si>
    <t>Silte argiloarenoso</t>
  </si>
  <si>
    <t>Argila arenossiltosa</t>
  </si>
  <si>
    <t>Argila siltoarenosa</t>
  </si>
  <si>
    <t>K (MPa)</t>
  </si>
  <si>
    <r>
      <t>N</t>
    </r>
    <r>
      <rPr>
        <vertAlign val="subscript"/>
        <sz val="12"/>
        <color theme="1"/>
        <rFont val="Arial"/>
        <family val="2"/>
      </rPr>
      <t>SPT</t>
    </r>
  </si>
  <si>
    <t>α (%)</t>
  </si>
  <si>
    <t>Tipo de estaca</t>
  </si>
  <si>
    <t>Franki</t>
  </si>
  <si>
    <t>Metálica</t>
  </si>
  <si>
    <t>Pré-moldada</t>
  </si>
  <si>
    <t>1+D/0,80</t>
  </si>
  <si>
    <t>Escavada</t>
  </si>
  <si>
    <t>Raíz, Hélice contínua e Ômega</t>
  </si>
  <si>
    <r>
      <t>F</t>
    </r>
    <r>
      <rPr>
        <b/>
        <vertAlign val="subscript"/>
        <sz val="12"/>
        <color theme="1"/>
        <rFont val="Arial"/>
        <family val="2"/>
      </rPr>
      <t>1</t>
    </r>
  </si>
  <si>
    <r>
      <t>F</t>
    </r>
    <r>
      <rPr>
        <b/>
        <vertAlign val="subscript"/>
        <sz val="12"/>
        <color theme="1"/>
        <rFont val="Arial"/>
        <family val="2"/>
      </rPr>
      <t>2</t>
    </r>
  </si>
  <si>
    <r>
      <t>2∙F</t>
    </r>
    <r>
      <rPr>
        <vertAlign val="subscript"/>
        <sz val="12"/>
        <color theme="1"/>
        <rFont val="Arial"/>
        <family val="2"/>
      </rPr>
      <t>1</t>
    </r>
  </si>
  <si>
    <t>Ø (cm)</t>
  </si>
  <si>
    <t>Prof. (m)</t>
  </si>
  <si>
    <t>ESCAVADA SEM FLUIDO ESTABILIZANTE</t>
  </si>
  <si>
    <t>Ø ESF (cm)</t>
  </si>
  <si>
    <t>Pe ESF (kN)</t>
  </si>
  <si>
    <t>Ø ECF (cm)</t>
  </si>
  <si>
    <t>Pe ECF (kN)</t>
  </si>
  <si>
    <t>Ø HC (cm)</t>
  </si>
  <si>
    <t>Pe HC (kN)</t>
  </si>
  <si>
    <t>HÉLICE CONTÍNUA</t>
  </si>
  <si>
    <t>HC</t>
  </si>
  <si>
    <t>ESF</t>
  </si>
  <si>
    <t>ECF</t>
  </si>
  <si>
    <t>ESCAVADA COM FLUIDO ESTABILIZANTE</t>
  </si>
  <si>
    <t>U (m)</t>
  </si>
  <si>
    <t>AOKI E VELLOSO</t>
  </si>
  <si>
    <t>R_AV (kN)</t>
  </si>
  <si>
    <t>ESTACA</t>
  </si>
  <si>
    <t>DÉCOURT E QUARESMA</t>
  </si>
  <si>
    <t>R_DC (kN)</t>
  </si>
  <si>
    <t>Tipo do solo</t>
  </si>
  <si>
    <t>C (kPa)</t>
  </si>
  <si>
    <t>Argilas</t>
  </si>
  <si>
    <t>Solos intermediários</t>
  </si>
  <si>
    <t>Areias</t>
  </si>
  <si>
    <t>α ESF</t>
  </si>
  <si>
    <t>β ESF</t>
  </si>
  <si>
    <t>α ECF</t>
  </si>
  <si>
    <t>β ECF</t>
  </si>
  <si>
    <t>α HC</t>
  </si>
  <si>
    <t>β HC</t>
  </si>
  <si>
    <t>10∙(NL/3+1)</t>
  </si>
  <si>
    <r>
      <t>FS</t>
    </r>
    <r>
      <rPr>
        <b/>
        <vertAlign val="subscript"/>
        <sz val="12"/>
        <color theme="1"/>
        <rFont val="Arial"/>
        <family val="2"/>
      </rPr>
      <t>G</t>
    </r>
    <r>
      <rPr>
        <b/>
        <sz val="12"/>
        <color theme="1"/>
        <rFont val="Arial"/>
        <family val="2"/>
      </rPr>
      <t xml:space="preserve"> =</t>
    </r>
  </si>
  <si>
    <r>
      <t>FS</t>
    </r>
    <r>
      <rPr>
        <b/>
        <vertAlign val="subscript"/>
        <sz val="12"/>
        <color theme="1"/>
        <rFont val="Arial"/>
        <family val="2"/>
      </rPr>
      <t>P</t>
    </r>
    <r>
      <rPr>
        <b/>
        <sz val="12"/>
        <color theme="1"/>
        <rFont val="Arial"/>
        <family val="2"/>
      </rPr>
      <t xml:space="preserve"> =</t>
    </r>
  </si>
  <si>
    <r>
      <t>FS</t>
    </r>
    <r>
      <rPr>
        <b/>
        <vertAlign val="subscript"/>
        <sz val="12"/>
        <color theme="1"/>
        <rFont val="Arial"/>
        <family val="2"/>
      </rPr>
      <t>A</t>
    </r>
    <r>
      <rPr>
        <b/>
        <sz val="12"/>
        <color theme="1"/>
        <rFont val="Arial"/>
        <family val="2"/>
      </rPr>
      <t xml:space="preserve"> =</t>
    </r>
  </si>
  <si>
    <t>CALCULAR CAPACIDADE DE CARGA PELOS MÉTODOS:</t>
  </si>
  <si>
    <t>idDiâmetro</t>
  </si>
  <si>
    <t>idPilar</t>
  </si>
  <si>
    <t>Pilar</t>
  </si>
  <si>
    <t>Carga (kN)</t>
  </si>
  <si>
    <r>
      <t>a</t>
    </r>
    <r>
      <rPr>
        <vertAlign val="subscript"/>
        <sz val="12"/>
        <color theme="1"/>
        <rFont val="Arial"/>
        <family val="2"/>
      </rPr>
      <t>p</t>
    </r>
    <r>
      <rPr>
        <sz val="12"/>
        <color theme="1"/>
        <rFont val="Arial"/>
        <family val="2"/>
      </rPr>
      <t xml:space="preserve"> (cm)</t>
    </r>
  </si>
  <si>
    <r>
      <t>b</t>
    </r>
    <r>
      <rPr>
        <vertAlign val="subscript"/>
        <sz val="12"/>
        <color theme="1"/>
        <rFont val="Arial"/>
        <family val="2"/>
      </rPr>
      <t>p</t>
    </r>
    <r>
      <rPr>
        <sz val="12"/>
        <color theme="1"/>
        <rFont val="Arial"/>
        <family val="2"/>
      </rPr>
      <t xml:space="preserve"> (cm)</t>
    </r>
  </si>
  <si>
    <t>PILARES</t>
  </si>
  <si>
    <t>CONTROLE</t>
  </si>
  <si>
    <t>DADOS SPT</t>
  </si>
  <si>
    <t>CAP. CARGA - AOKI E VELLOSO</t>
  </si>
  <si>
    <t>CAP. CARGA - DÉCOURT E QUARESMA</t>
  </si>
  <si>
    <r>
      <t>P</t>
    </r>
    <r>
      <rPr>
        <b/>
        <vertAlign val="subscript"/>
        <sz val="12"/>
        <color theme="1"/>
        <rFont val="Arial"/>
        <family val="2"/>
      </rPr>
      <t>adm</t>
    </r>
  </si>
  <si>
    <t>DIMENSIONAMENTO - ESTACAS</t>
  </si>
  <si>
    <t>N.A. (m)</t>
  </si>
  <si>
    <t>(Deixar em branco se não observado)</t>
  </si>
  <si>
    <t>SIGLA</t>
  </si>
  <si>
    <t>TIPO DE ESTACA</t>
  </si>
  <si>
    <t>nE</t>
  </si>
  <si>
    <t>GRUPO DE ESTACAS</t>
  </si>
  <si>
    <t>ε</t>
  </si>
  <si>
    <t>DUAS ESTACAS</t>
  </si>
  <si>
    <t>TRÊS ESTACAS</t>
  </si>
  <si>
    <t>QUATRO ESTACAS</t>
  </si>
  <si>
    <r>
      <t>σ</t>
    </r>
    <r>
      <rPr>
        <vertAlign val="subscript"/>
        <sz val="11"/>
        <color theme="1"/>
        <rFont val="Calibri"/>
        <family val="2"/>
        <scheme val="minor"/>
      </rPr>
      <t>máx</t>
    </r>
    <r>
      <rPr>
        <sz val="11"/>
        <color theme="1"/>
        <rFont val="Calibri"/>
        <family val="2"/>
        <scheme val="minor"/>
      </rPr>
      <t xml:space="preserve"> (MPa)</t>
    </r>
  </si>
  <si>
    <t>σ (MPa)</t>
  </si>
  <si>
    <t>TAXA MÍN. ARMADURA</t>
  </si>
  <si>
    <t>COMPRIMENTO (m)</t>
  </si>
  <si>
    <t>DIMENSIONAMENTO - BLOCO</t>
  </si>
  <si>
    <t>Comprimento (m)</t>
  </si>
  <si>
    <t>a (cm)</t>
  </si>
  <si>
    <t>d (cm)</t>
  </si>
  <si>
    <t>h (cm)</t>
  </si>
  <si>
    <t>Verif. Biela</t>
  </si>
  <si>
    <t>As,mín (cm²)</t>
  </si>
  <si>
    <t>bp (cm)</t>
  </si>
  <si>
    <t>NSPT</t>
  </si>
  <si>
    <t>F1</t>
  </si>
  <si>
    <t>F2</t>
  </si>
  <si>
    <t>Ap (m²)</t>
  </si>
  <si>
    <t>(α∙K∙NL∙ΔL)</t>
  </si>
  <si>
    <t>Padm (kN)</t>
  </si>
  <si>
    <r>
      <t>Padm</t>
    </r>
    <r>
      <rPr>
        <sz val="11"/>
        <color theme="1"/>
        <rFont val="Arial"/>
        <family val="2"/>
      </rPr>
      <t>∙ε (kN)</t>
    </r>
  </si>
  <si>
    <t>As,lado (cm²)</t>
  </si>
  <si>
    <t>As,sup (cm²)</t>
  </si>
  <si>
    <t>As,malha (cm²)</t>
  </si>
  <si>
    <t>As,susp,tot (cm²)</t>
  </si>
  <si>
    <t>Asp,face (cm²)</t>
  </si>
  <si>
    <t>Aço Est (kg)</t>
  </si>
  <si>
    <t>Conc Est (m³)</t>
  </si>
  <si>
    <t>Aço Bloco (kg)</t>
  </si>
  <si>
    <t>Conc Bloco (m³)</t>
  </si>
  <si>
    <t>Nsd (kN)</t>
  </si>
  <si>
    <t>cd,b,pil (kN/cm²)</t>
  </si>
  <si>
    <t>cd,b,est (kN/cm²)</t>
  </si>
  <si>
    <t>cd,b,lim (kN/cm²)</t>
  </si>
  <si>
    <t>α</t>
  </si>
  <si>
    <r>
      <t>a</t>
    </r>
    <r>
      <rPr>
        <sz val="11"/>
        <color theme="1"/>
        <rFont val="Calibri"/>
        <family val="2"/>
        <scheme val="minor"/>
      </rPr>
      <t>p (cm)</t>
    </r>
  </si>
  <si>
    <t>Ap (cm²)</t>
  </si>
  <si>
    <t>ap,eq (cm)</t>
  </si>
  <si>
    <t>UMA ESTACA</t>
  </si>
  <si>
    <t>fcd (kN/cm²)</t>
  </si>
  <si>
    <t>coef. Blévot</t>
  </si>
  <si>
    <t>e (cm)</t>
  </si>
  <si>
    <t>Asp e Asw (cm²/m)</t>
  </si>
  <si>
    <t>LIMITAÇÕES</t>
  </si>
  <si>
    <t>N.A.</t>
  </si>
  <si>
    <t>Estab. Furo</t>
  </si>
  <si>
    <t>Biela comp.</t>
  </si>
  <si>
    <t>Nº Est.</t>
  </si>
  <si>
    <t>Prof. &gt;= 3m</t>
  </si>
  <si>
    <t>Controle</t>
  </si>
  <si>
    <t>ECONOMIA</t>
  </si>
  <si>
    <t>Aço (kg)</t>
  </si>
  <si>
    <t>Conc (m³)</t>
  </si>
  <si>
    <t>Aço (R$/kg)</t>
  </si>
  <si>
    <t>Conc (R$/m³)</t>
  </si>
  <si>
    <t>Custo</t>
  </si>
  <si>
    <t>CÓDIGO</t>
  </si>
  <si>
    <t>DESCRIÇÃO</t>
  </si>
  <si>
    <t>CUSTO TOTAL</t>
  </si>
  <si>
    <t>UN.</t>
  </si>
  <si>
    <t xml:space="preserve"> MÃO DE OBRA</t>
  </si>
  <si>
    <t>MATERIAL</t>
  </si>
  <si>
    <t>EQUIPAMENTO</t>
  </si>
  <si>
    <t>M³</t>
  </si>
  <si>
    <t>MONTAGEM DE ARMADURA DE ESTACAS, DIÂMETRO = 8,0 MM. AF_09/2021_PS</t>
  </si>
  <si>
    <t>MONTAGEM DE ARMADURA DE ESTACAS, DIÂMETRO = 10,0 MM. AF_09/2021_PS</t>
  </si>
  <si>
    <t>MONTAGEM DE ARMADURA DE ESTACAS, DIÂMETRO = 12,5 MM. AF_09/2021_PS</t>
  </si>
  <si>
    <t>MONTAGEM DE ARMADURA DE ESTACAS, DIÂMETRO = 16,0 MM. AF_09/2021_PS</t>
  </si>
  <si>
    <t>MONTAGEM DE ARMADURA DE ESTACAS, DIÂMETRO = 20,0 MM. AF_09/2021_PS</t>
  </si>
  <si>
    <t>MONTAGEM DE ARMADURA DE ESTACAS, DIÂMETRO = 25,0 MM. AF_09/2021_PS</t>
  </si>
  <si>
    <t>MONTAGEM DE ARMADURA DE ESTACAS, DIÂMETRO = 32,0 MM. AF_09/2021_PE</t>
  </si>
  <si>
    <t>CONCRETO FCK = 25MPA, TRAÇO 1:2,3:2,7 (EM MASSA SECA DE CIMENTO/ AREIA MÉDIA/ BRITA 1) - PREPARO MECÂNICO COM BETONEIRA 400 L. AF_05/2021</t>
  </si>
  <si>
    <t>CONCRETO FCK = 30MPA, TRAÇO 1:2,1:2,5 (EM MASSA SECA DE CIMENTO/ AREIA MÉDIA/ BRITA 1) - PREPARO MECÂNICO COM BETONEIRA 400 L. AF_05/2021</t>
  </si>
  <si>
    <t>CONCRETO FCK = 40MPA, TRAÇO 1:1,6:1,9 (EM MASSA SECA DE CIMENTO/ AREIA MÉDIA/ BRITA 1) - PREPARO MECÂNICO COM BETONEIRA 400 L. AF_05/2021</t>
  </si>
  <si>
    <t>MONTAGEM DE ARMADURA TRANSVERSAL DE ESTACAS DE SEÇÃO CIRCULAR, DIÂMETRO = 6,30 MM. AF_09/2021_PS</t>
  </si>
  <si>
    <t>KG</t>
  </si>
  <si>
    <t>LANÇAMENTO COM USO DE BOMBA, ADENSAMENTO E ACABAMENTO DE CONCRETO EM ESTRUTURAS. AF_02/2022</t>
  </si>
  <si>
    <t>M</t>
  </si>
  <si>
    <t>PERFURATRIZ HIDRÁULICA SOBRE CAMINHÃO COM TRADO CURTO ACOPLADO, PROFUNDIDADE MÁXIMA DE 20 M, DIÂMETRO MÁXIMO DE 1500 MM, POTÊNCIA INSTALADA DE 137 HP, MESA ROTATIVA COM TORQUE MÁXIMO DE 30 KNM. AF_06/2015</t>
  </si>
  <si>
    <t>BENTONITA, ARGILA CONSTITUIDA POR  MONTMORILONITA</t>
  </si>
  <si>
    <t>PERFURATRIZ COM TORRE METÁLICA PARA EXECUÇÃO DE ESTACA HÉLICE CONTÍNUA, PROFUNDIDADE MÁXIMA DE 30 M, DIÂMETRO MÁXIMO DE 800 MM, POTÊNCIA INSTALADA DE 268 HP, MESA ROTATIVA COM TORQUE MÁXIMO DE 170 KNM. AF_06/2015</t>
  </si>
  <si>
    <t>PERFURATRIZ COM TORRE METÁLICA PARA EXECUÇÃO DE ESTACA HÉLICE CONTÍNUA, PROFUNDIDADE MÁXIMA DE 32 M, DIÂMETRO MÁXIMO DE 1000 MM, POTÊNCIA INSTALADA DE 350 HP, MESA ROTATIVA COM TORQUE MÁXIMO DE 263 KNM AF_01/2016</t>
  </si>
  <si>
    <t>LASTRO DE CONCRETO MAGRO, APLICADO EM BLOCOS DE COROAMENTO OU SAPATAS, ESPESSURA DE 5 CM. AF_08/2017</t>
  </si>
  <si>
    <t>M²</t>
  </si>
  <si>
    <t>ARMAÇÃO DE ESTRUTURAS DIVERSAS DE CONCRETO ARMADO, EXCETO VIGAS, PILARES, LAJES E FUNDAÇÕES, UTILIZANDO AÇO CA-50 DE 6,3 MM - MONTAGEM. AF_06/2022</t>
  </si>
  <si>
    <t>ARMAÇÃO DE ESTRUTURAS DIVERSAS DE CONCRETO ARMADO, EXCETO VIGAS, PILARES, LAJES E FUNDAÇÕES, UTILIZANDO AÇO CA-50 DE 8,0 MM - MONTAGEM. AF_06/2022</t>
  </si>
  <si>
    <t>ARMAÇÃO DE ESTRUTURAS DIVERSAS DE CONCRETO ARMADO, EXCETO VIGAS, PILARES, LAJES E FUNDAÇÕES, UTILIZANDO AÇO CA-50 DE 10,0 MM - MONTAGEM. AF_06/2022</t>
  </si>
  <si>
    <t>ARMAÇÃO DE ESTRUTURAS DIVERSAS DE CONCRETO ARMADO, EXCETO VIGAS, PILARES, LAJES E FUNDAÇÕES, UTILIZANDO AÇO CA-50 DE 12,5 MM - MONTAGEM. AF_06/2022</t>
  </si>
  <si>
    <t>ARMAÇÃO DE ESTRUTURAS DIVERSAS DE CONCRETO ARMADO, EXCETO VIGAS, PILARES, LAJES E FUNDAÇÕES, UTILIZANDO AÇO CA-50 DE 16,0 MM - MONTAGEM. AF_06/2022</t>
  </si>
  <si>
    <t>ARMAÇÃO DE ESTRUTURAS DIVERSAS DE CONCRETO ARMADO, EXCETO VIGAS, PILARES, LAJES E FUNDAÇÕES, UTILIZANDO AÇO CA-50 DE 20,0 MM - MONTAGEM. AF_06/2022</t>
  </si>
  <si>
    <t>ARMAÇÃO DE ESTRUTURAS DIVERSAS DE CONCRETO ARMADO, EXCETO VIGAS, PILARES, LAJES E FUNDAÇÕES, UTILIZANDO AÇO CA-50 DE 25,0 MM - MONTAGEM. AF_06/2022</t>
  </si>
  <si>
    <t>FABRICAÇÃO, MONTAGEM E DESMONTAGEM DE FÔRMA PARA BLOCO DE COROAMENTO, EM MADEIRA SERRADA, E=25 MM, 4 UTILIZAÇÕES. AF_06/2017</t>
  </si>
  <si>
    <t>ESCAVAÇÃO MANUAL PARA BLOCO DE COROAMENTO OU SAPATA (SEM ESCAVAÇÃO PARA COLOCAÇÃO DE FÔRMAS). AF_06/2017</t>
  </si>
  <si>
    <t>idDimensionamento</t>
  </si>
  <si>
    <t>Opção</t>
  </si>
  <si>
    <t>idPilar,idDimensionamento</t>
  </si>
  <si>
    <t>As,mín</t>
  </si>
  <si>
    <t>Ø</t>
  </si>
  <si>
    <t>BLOCO</t>
  </si>
  <si>
    <t>8</t>
  </si>
  <si>
    <t>10</t>
  </si>
  <si>
    <t>C</t>
  </si>
  <si>
    <t>N</t>
  </si>
  <si>
    <t>C1</t>
  </si>
  <si>
    <t>N1</t>
  </si>
  <si>
    <t>Ø1</t>
  </si>
  <si>
    <t>C2</t>
  </si>
  <si>
    <t>N3</t>
  </si>
  <si>
    <t>Ø4</t>
  </si>
  <si>
    <t>N2</t>
  </si>
  <si>
    <t>Ø2</t>
  </si>
  <si>
    <t>C3</t>
  </si>
  <si>
    <t>Ø3</t>
  </si>
  <si>
    <t>C4</t>
  </si>
  <si>
    <t>N4</t>
  </si>
  <si>
    <t>C5</t>
  </si>
  <si>
    <t>N5</t>
  </si>
  <si>
    <t>Ø5</t>
  </si>
  <si>
    <t>C6</t>
  </si>
  <si>
    <t>N6</t>
  </si>
  <si>
    <t>Ø6</t>
  </si>
  <si>
    <t>C7</t>
  </si>
  <si>
    <t>N7</t>
  </si>
  <si>
    <t>Ø7</t>
  </si>
  <si>
    <t>Ø\QNTD</t>
  </si>
  <si>
    <t>1</t>
  </si>
  <si>
    <t>2</t>
  </si>
  <si>
    <t>3</t>
  </si>
  <si>
    <t>4</t>
  </si>
  <si>
    <t>5</t>
  </si>
  <si>
    <t>6</t>
  </si>
  <si>
    <t>7</t>
  </si>
  <si>
    <t>9</t>
  </si>
  <si>
    <t>As,lado</t>
  </si>
  <si>
    <t>As,sup</t>
  </si>
  <si>
    <t>As,malha</t>
  </si>
  <si>
    <t>As,susp,tot</t>
  </si>
  <si>
    <t>Asp,face</t>
  </si>
  <si>
    <t>Asp</t>
  </si>
  <si>
    <t>Asw</t>
  </si>
  <si>
    <t>ESTACAS</t>
  </si>
  <si>
    <t>id1</t>
  </si>
  <si>
    <t>idEst</t>
  </si>
  <si>
    <t>id2</t>
  </si>
  <si>
    <t>id3</t>
  </si>
  <si>
    <t>id4</t>
  </si>
  <si>
    <t>id5</t>
  </si>
  <si>
    <t>id7</t>
  </si>
  <si>
    <t>id6</t>
  </si>
  <si>
    <t>CENÁRIO 1</t>
  </si>
  <si>
    <t>Concreto:</t>
  </si>
  <si>
    <t>Aço:</t>
  </si>
  <si>
    <t>Tipo da estaca:</t>
  </si>
  <si>
    <t>Estacas</t>
  </si>
  <si>
    <t>Armadura estacas (cm²)</t>
  </si>
  <si>
    <t>CA-50</t>
  </si>
  <si>
    <t>C30</t>
  </si>
  <si>
    <t>Cálculo</t>
  </si>
  <si>
    <t>Parâmetros</t>
  </si>
  <si>
    <t>Solução Possível</t>
  </si>
  <si>
    <t>CENÁRIO 2</t>
  </si>
  <si>
    <t>CENÁRIO 3</t>
  </si>
  <si>
    <t>CLASSE CONCRETO</t>
  </si>
  <si>
    <t>C25</t>
  </si>
  <si>
    <t>C40</t>
  </si>
  <si>
    <t>OPÇÕES</t>
  </si>
  <si>
    <t>OP.1</t>
  </si>
  <si>
    <t>OP.2</t>
  </si>
  <si>
    <t>OP.3</t>
  </si>
  <si>
    <t>ITEM</t>
  </si>
  <si>
    <t>CUSTO MÃO DE OBRA</t>
  </si>
  <si>
    <t>CUSTO MATERIAL</t>
  </si>
  <si>
    <t>QUANTIDADE</t>
  </si>
  <si>
    <t>CUSTO UNITÁRIO</t>
  </si>
  <si>
    <t>#</t>
  </si>
  <si>
    <t>Total</t>
  </si>
  <si>
    <t>BDI</t>
  </si>
  <si>
    <t>PILAR</t>
  </si>
  <si>
    <t>ap (cm)</t>
  </si>
  <si>
    <t>Prof. &gt;= 4m</t>
  </si>
  <si>
    <t>Cenário 1</t>
  </si>
  <si>
    <t>Orçamento</t>
  </si>
  <si>
    <t>Mão de obra</t>
  </si>
  <si>
    <t>Material</t>
  </si>
  <si>
    <t>Equipamento</t>
  </si>
  <si>
    <t>Cenário 2</t>
  </si>
  <si>
    <t>Cenário 3</t>
  </si>
  <si>
    <t>CUSTO EQUIPAMENTO</t>
  </si>
  <si>
    <t>Informações</t>
  </si>
  <si>
    <t>Prof. Máx.</t>
  </si>
  <si>
    <t>V. Conc.</t>
  </si>
  <si>
    <t>BDI:</t>
  </si>
  <si>
    <t xml:space="preserve">Prof. &gt;= 8Ø </t>
  </si>
  <si>
    <t>IMPRIMIR</t>
  </si>
  <si>
    <t>Observação: Utilizar valores característicos para a carga dos pilares.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</si>
</sst>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R$&quot;\ * #,##0.00_-;\-&quot;R$&quot;\ * #,##0.00_-;_-&quot;R$&quot;\ * &quot;-&quot;??_-;_-@_-"/>
    <numFmt numFmtId="164" formatCode="0.0"/>
    <numFmt numFmtId="165" formatCode="0\ &quot;cm&quot;"/>
    <numFmt numFmtId="166" formatCode="&quot;P&quot;00"/>
    <numFmt numFmtId="167" formatCode="0.000"/>
    <numFmt numFmtId="168" formatCode="&quot;R$ &quot;#,##0.00"/>
    <numFmt numFmtId="169" formatCode="0&quot;.&quot;00"/>
    <numFmt numFmtId="170" formatCode="0.00\ &quot;m³&quot;"/>
    <numFmt numFmtId="171" formatCode="0\ &quot;m&quot;"/>
  </numFmts>
  <fonts count="17" x14ac:knownFonts="1">
    <font>
      <sz val="11"/>
      <color theme="1"/>
      <name val="Calibri"/>
      <family val="2"/>
      <scheme val="minor"/>
    </font>
    <font>
      <sz val="12"/>
      <color theme="1"/>
      <name val="Arial"/>
      <family val="2"/>
    </font>
    <font>
      <vertAlign val="subscript"/>
      <sz val="12"/>
      <color theme="1"/>
      <name val="Arial"/>
      <family val="2"/>
    </font>
    <font>
      <b/>
      <sz val="12"/>
      <color theme="1"/>
      <name val="Arial"/>
      <family val="2"/>
    </font>
    <font>
      <b/>
      <sz val="16"/>
      <color theme="1"/>
      <name val="Arial"/>
      <family val="2"/>
    </font>
    <font>
      <b/>
      <vertAlign val="subscript"/>
      <sz val="12"/>
      <color theme="1"/>
      <name val="Arial"/>
      <family val="2"/>
    </font>
    <font>
      <sz val="8"/>
      <name val="Calibri"/>
      <family val="2"/>
      <scheme val="minor"/>
    </font>
    <font>
      <sz val="8"/>
      <color rgb="FF000000"/>
      <name val="Segoe UI"/>
      <family val="2"/>
    </font>
    <font>
      <b/>
      <sz val="12"/>
      <color theme="0"/>
      <name val="Arial"/>
      <family val="2"/>
    </font>
    <font>
      <vertAlign val="subscript"/>
      <sz val="11"/>
      <color theme="1"/>
      <name val="Calibri"/>
      <family val="2"/>
      <scheme val="minor"/>
    </font>
    <font>
      <sz val="11"/>
      <color theme="1"/>
      <name val="Calibri"/>
      <family val="2"/>
      <scheme val="minor"/>
    </font>
    <font>
      <sz val="11"/>
      <color theme="1"/>
      <name val="Arial"/>
      <family val="2"/>
    </font>
    <font>
      <sz val="12"/>
      <color theme="1"/>
      <name val="Calibri"/>
      <family val="2"/>
    </font>
    <font>
      <sz val="16"/>
      <color theme="1"/>
      <name val="Arial"/>
      <family val="2"/>
    </font>
    <font>
      <sz val="10"/>
      <name val="Courier New"/>
      <family val="3"/>
    </font>
    <font>
      <sz val="9"/>
      <color theme="1"/>
      <name val="Arial"/>
      <family val="2"/>
    </font>
    <font>
      <sz val="12"/>
      <color rgb="FF000000"/>
      <name val="Arial"/>
      <family val="2"/>
    </font>
  </fonts>
  <fills count="11">
    <fill>
      <patternFill patternType="none"/>
    </fill>
    <fill>
      <patternFill patternType="gray125"/>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1"/>
        <bgColor theme="1"/>
      </patternFill>
    </fill>
    <fill>
      <patternFill patternType="solid">
        <fgColor theme="9" tint="0.39994506668294322"/>
        <bgColor theme="9" tint="0.39991454817346722"/>
      </patternFill>
    </fill>
    <fill>
      <patternFill patternType="solid">
        <fgColor theme="9" tint="-0.499984740745262"/>
        <bgColor theme="9" tint="-0.499984740745262"/>
      </patternFill>
    </fill>
    <fill>
      <patternFill patternType="solid">
        <fgColor theme="8" tint="-0.499984740745262"/>
        <bgColor theme="9" tint="-0.499984740745262"/>
      </patternFill>
    </fill>
    <fill>
      <patternFill patternType="solid">
        <fgColor theme="8" tint="0.39994506668294322"/>
        <bgColor theme="9" tint="0.39988402966399123"/>
      </patternFill>
    </fill>
    <fill>
      <patternFill patternType="solid">
        <fgColor theme="5" tint="-0.499984740745262"/>
        <bgColor theme="9" tint="-0.499984740745262"/>
      </patternFill>
    </fill>
    <fill>
      <patternFill patternType="solid">
        <fgColor theme="5" tint="0.39994506668294322"/>
        <bgColor theme="9" tint="0.39985351115451523"/>
      </patternFill>
    </fill>
  </fills>
  <borders count="20">
    <border>
      <left/>
      <right/>
      <top/>
      <bottom/>
      <diagonal/>
    </border>
    <border>
      <left/>
      <right/>
      <top/>
      <bottom style="thin">
        <color theme="1"/>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theme="1"/>
      </left>
      <right style="thin">
        <color theme="1"/>
      </right>
      <top style="medium">
        <color theme="1"/>
      </top>
      <bottom style="medium">
        <color theme="1"/>
      </bottom>
      <diagonal/>
    </border>
    <border>
      <left style="thin">
        <color theme="1"/>
      </left>
      <right style="thin">
        <color theme="1"/>
      </right>
      <top style="thin">
        <color theme="1"/>
      </top>
      <bottom style="thin">
        <color theme="1"/>
      </bottom>
      <diagonal/>
    </border>
    <border>
      <left/>
      <right/>
      <top style="thin">
        <color theme="1"/>
      </top>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theme="5" tint="-0.499984740745262"/>
      </left>
      <right style="thin">
        <color theme="5" tint="-0.499984740745262"/>
      </right>
      <top style="thin">
        <color theme="5" tint="-0.499984740745262"/>
      </top>
      <bottom style="thin">
        <color theme="5" tint="-0.499984740745262"/>
      </bottom>
      <diagonal/>
    </border>
    <border>
      <left/>
      <right style="thin">
        <color theme="9" tint="-0.499984740745262"/>
      </right>
      <top style="thin">
        <color theme="9" tint="-0.499984740745262"/>
      </top>
      <bottom style="thin">
        <color theme="9" tint="-0.499984740745262"/>
      </bottom>
      <diagonal/>
    </border>
    <border>
      <left/>
      <right/>
      <top style="thin">
        <color theme="9" tint="-0.499984740745262"/>
      </top>
      <bottom style="thin">
        <color theme="9" tint="-0.499984740745262"/>
      </bottom>
      <diagonal/>
    </border>
    <border>
      <left style="thin">
        <color theme="8" tint="-0.499984740745262"/>
      </left>
      <right/>
      <top style="thin">
        <color theme="8" tint="-0.499984740745262"/>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5" tint="-0.499984740745262"/>
      </left>
      <right/>
      <top style="thin">
        <color theme="5" tint="-0.499984740745262"/>
      </top>
      <bottom style="thin">
        <color theme="5" tint="-0.499984740745262"/>
      </bottom>
      <diagonal/>
    </border>
    <border>
      <left/>
      <right style="thin">
        <color theme="5" tint="-0.499984740745262"/>
      </right>
      <top style="thin">
        <color theme="5" tint="-0.499984740745262"/>
      </top>
      <bottom style="thin">
        <color theme="5" tint="-0.499984740745262"/>
      </bottom>
      <diagonal/>
    </border>
    <border>
      <left style="thin">
        <color auto="1"/>
      </left>
      <right style="thin">
        <color auto="1"/>
      </right>
      <top style="thin">
        <color auto="1"/>
      </top>
      <bottom style="thin">
        <color auto="1"/>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indexed="64"/>
      </right>
      <top style="medium">
        <color theme="1"/>
      </top>
      <bottom style="thin">
        <color auto="1"/>
      </bottom>
      <diagonal/>
    </border>
  </borders>
  <cellStyleXfs count="3">
    <xf numFmtId="0" fontId="0" fillId="0" borderId="0"/>
    <xf numFmtId="9" fontId="10" fillId="0" borderId="0" applyFont="0" applyFill="0" applyBorder="0" applyAlignment="0" applyProtection="0"/>
    <xf numFmtId="44" fontId="10" fillId="0" borderId="0" applyFont="0" applyFill="0" applyBorder="0" applyAlignment="0" applyProtection="0"/>
  </cellStyleXfs>
  <cellXfs count="86">
    <xf numFmtId="0" fontId="0" fillId="0" borderId="0" xfId="0"/>
    <xf numFmtId="0" fontId="1" fillId="0" borderId="0" xfId="0" applyFont="1" applyAlignment="1">
      <alignment horizontal="center" vertical="center"/>
    </xf>
    <xf numFmtId="0" fontId="1" fillId="0" borderId="0" xfId="0" applyFont="1" applyAlignment="1">
      <alignment horizontal="left" vertical="center"/>
    </xf>
    <xf numFmtId="0" fontId="3" fillId="0" borderId="0" xfId="0" applyFont="1" applyAlignment="1">
      <alignment horizontal="left" vertical="center"/>
    </xf>
    <xf numFmtId="2" fontId="1" fillId="0" borderId="0" xfId="0" applyNumberFormat="1" applyFont="1" applyAlignment="1">
      <alignment horizontal="center" vertical="center"/>
    </xf>
    <xf numFmtId="164" fontId="1" fillId="0" borderId="0" xfId="0" applyNumberFormat="1" applyFont="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xf>
    <xf numFmtId="0" fontId="3" fillId="0" borderId="1" xfId="0" applyFont="1" applyBorder="1" applyAlignment="1">
      <alignment horizontal="center" vertical="center"/>
    </xf>
    <xf numFmtId="0" fontId="1" fillId="2" borderId="0" xfId="0" applyFont="1" applyFill="1" applyAlignment="1">
      <alignment horizontal="center" vertical="center"/>
    </xf>
    <xf numFmtId="164" fontId="1" fillId="2" borderId="0" xfId="0" applyNumberFormat="1" applyFont="1" applyFill="1" applyAlignment="1">
      <alignment horizontal="center" vertical="center"/>
    </xf>
    <xf numFmtId="0" fontId="1" fillId="3" borderId="0" xfId="0" applyFont="1" applyFill="1" applyAlignment="1">
      <alignment horizontal="center" vertical="center"/>
    </xf>
    <xf numFmtId="1" fontId="1" fillId="0" borderId="0" xfId="0" applyNumberFormat="1" applyFont="1" applyAlignment="1">
      <alignment horizontal="center" vertical="center"/>
    </xf>
    <xf numFmtId="164" fontId="3" fillId="0" borderId="0" xfId="0" applyNumberFormat="1" applyFont="1" applyAlignment="1">
      <alignment horizontal="left" vertical="center"/>
    </xf>
    <xf numFmtId="0" fontId="3" fillId="0" borderId="0" xfId="0" applyFont="1" applyAlignment="1">
      <alignment horizontal="right" vertical="center"/>
    </xf>
    <xf numFmtId="2" fontId="0" fillId="0" borderId="0" xfId="0" applyNumberFormat="1" applyAlignment="1">
      <alignment horizontal="center" vertical="center"/>
    </xf>
    <xf numFmtId="166" fontId="1" fillId="0" borderId="0" xfId="0" applyNumberFormat="1" applyFont="1" applyAlignment="1">
      <alignment horizontal="center" vertical="center"/>
    </xf>
    <xf numFmtId="0" fontId="8" fillId="4" borderId="5" xfId="0" applyFont="1" applyFill="1" applyBorder="1" applyAlignment="1">
      <alignment horizontal="center" vertical="center"/>
    </xf>
    <xf numFmtId="0" fontId="1" fillId="0" borderId="0" xfId="0" applyFont="1" applyAlignment="1">
      <alignment vertical="center"/>
    </xf>
    <xf numFmtId="0" fontId="3" fillId="0" borderId="0" xfId="0" applyFont="1" applyAlignment="1">
      <alignment vertical="center"/>
    </xf>
    <xf numFmtId="0" fontId="1" fillId="2" borderId="6" xfId="0" applyFont="1" applyFill="1" applyBorder="1" applyAlignment="1">
      <alignment horizontal="center" vertical="center"/>
    </xf>
    <xf numFmtId="0" fontId="4" fillId="0" borderId="0" xfId="0" applyFont="1" applyAlignment="1">
      <alignment vertical="center"/>
    </xf>
    <xf numFmtId="0" fontId="0" fillId="0" borderId="0" xfId="0" applyAlignment="1">
      <alignment vertical="center"/>
    </xf>
    <xf numFmtId="10" fontId="1" fillId="0" borderId="0" xfId="1" applyNumberFormat="1" applyFont="1" applyAlignment="1">
      <alignment horizontal="center" vertical="center"/>
    </xf>
    <xf numFmtId="0" fontId="11" fillId="0" borderId="0" xfId="0" applyFont="1" applyAlignment="1">
      <alignment horizontal="center" vertical="center"/>
    </xf>
    <xf numFmtId="0" fontId="1" fillId="2" borderId="1" xfId="0" applyFont="1" applyFill="1" applyBorder="1" applyAlignment="1">
      <alignment horizontal="center" vertical="center"/>
    </xf>
    <xf numFmtId="10" fontId="1" fillId="2" borderId="7" xfId="1" applyNumberFormat="1" applyFont="1" applyFill="1" applyBorder="1" applyAlignment="1">
      <alignment horizontal="center" vertical="center"/>
    </xf>
    <xf numFmtId="0" fontId="1" fillId="2" borderId="7" xfId="0" applyFont="1" applyFill="1" applyBorder="1" applyAlignment="1">
      <alignment horizontal="center" vertical="center"/>
    </xf>
    <xf numFmtId="164" fontId="1" fillId="2" borderId="7" xfId="0" applyNumberFormat="1" applyFont="1" applyFill="1" applyBorder="1" applyAlignment="1">
      <alignment horizontal="center" vertical="center"/>
    </xf>
    <xf numFmtId="10" fontId="1" fillId="0" borderId="0" xfId="1" applyNumberFormat="1" applyFont="1" applyBorder="1" applyAlignment="1">
      <alignment horizontal="center" vertical="center"/>
    </xf>
    <xf numFmtId="10" fontId="1" fillId="2" borderId="1" xfId="1"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0" fontId="1" fillId="0" borderId="7" xfId="0" applyFont="1" applyBorder="1" applyAlignment="1">
      <alignment horizontal="center" vertical="center"/>
    </xf>
    <xf numFmtId="0" fontId="4" fillId="0" borderId="0" xfId="0" applyFont="1" applyAlignment="1">
      <alignment horizontal="center" vertical="center"/>
    </xf>
    <xf numFmtId="0" fontId="12" fillId="0" borderId="0" xfId="0" applyFont="1" applyAlignment="1">
      <alignment horizontal="center" vertical="center"/>
    </xf>
    <xf numFmtId="167" fontId="1" fillId="0" borderId="0" xfId="0" applyNumberFormat="1" applyFont="1" applyAlignment="1">
      <alignment horizontal="center" vertical="center"/>
    </xf>
    <xf numFmtId="0" fontId="13" fillId="0" borderId="0" xfId="0" applyFont="1" applyAlignment="1">
      <alignment horizontal="center" vertical="center"/>
    </xf>
    <xf numFmtId="0" fontId="4" fillId="0" borderId="0" xfId="0" applyFont="1" applyAlignment="1">
      <alignment horizontal="left" vertical="center"/>
    </xf>
    <xf numFmtId="44" fontId="1" fillId="0" borderId="0" xfId="2" applyFont="1" applyAlignment="1">
      <alignment horizontal="center" vertical="center"/>
    </xf>
    <xf numFmtId="0" fontId="1" fillId="0" borderId="0" xfId="0" applyFont="1" applyAlignment="1">
      <alignment horizontal="left" vertical="center" wrapText="1"/>
    </xf>
    <xf numFmtId="168" fontId="1" fillId="0" borderId="0" xfId="2" applyNumberFormat="1" applyFont="1" applyAlignment="1">
      <alignment horizontal="center" vertical="center"/>
    </xf>
    <xf numFmtId="0" fontId="14" fillId="0" borderId="0" xfId="0" applyFont="1" applyAlignment="1">
      <alignment horizontal="left"/>
    </xf>
    <xf numFmtId="0" fontId="1" fillId="0" borderId="0" xfId="0" applyFont="1" applyAlignment="1">
      <alignment horizontal="right" vertical="center"/>
    </xf>
    <xf numFmtId="0" fontId="1" fillId="5" borderId="10" xfId="0" applyFont="1" applyFill="1" applyBorder="1" applyAlignment="1">
      <alignment horizontal="center" vertical="center"/>
    </xf>
    <xf numFmtId="0" fontId="8" fillId="6" borderId="0" xfId="0" applyFont="1" applyFill="1" applyAlignment="1">
      <alignment horizontal="right" vertical="center"/>
    </xf>
    <xf numFmtId="0" fontId="8" fillId="9" borderId="0" xfId="0" applyFont="1" applyFill="1" applyAlignment="1">
      <alignment horizontal="right" vertical="center"/>
    </xf>
    <xf numFmtId="0" fontId="8" fillId="7" borderId="0" xfId="0" applyFont="1" applyFill="1" applyAlignment="1">
      <alignment horizontal="right" vertical="center"/>
    </xf>
    <xf numFmtId="0" fontId="1" fillId="8" borderId="8" xfId="0" applyFont="1" applyFill="1" applyBorder="1" applyAlignment="1">
      <alignment horizontal="center" vertical="center"/>
    </xf>
    <xf numFmtId="0" fontId="1" fillId="10" borderId="9" xfId="0" applyFont="1" applyFill="1" applyBorder="1" applyAlignment="1">
      <alignment horizontal="center" vertical="center"/>
    </xf>
    <xf numFmtId="169" fontId="1" fillId="0" borderId="0" xfId="2" applyNumberFormat="1" applyFont="1" applyAlignment="1">
      <alignment horizontal="center" vertical="center"/>
    </xf>
    <xf numFmtId="168" fontId="1" fillId="0" borderId="0" xfId="0" applyNumberFormat="1" applyFont="1" applyAlignment="1">
      <alignment horizontal="center" vertical="center"/>
    </xf>
    <xf numFmtId="0" fontId="1" fillId="0" borderId="0" xfId="0" applyFont="1" applyAlignment="1">
      <alignment horizontal="center" vertical="center" wrapText="1"/>
    </xf>
    <xf numFmtId="0" fontId="8" fillId="4" borderId="17" xfId="0" applyFont="1" applyFill="1" applyBorder="1" applyAlignment="1">
      <alignment horizontal="center" vertical="center"/>
    </xf>
    <xf numFmtId="0" fontId="8" fillId="4" borderId="18"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16" xfId="0" applyFont="1" applyBorder="1" applyAlignment="1">
      <alignment horizontal="center" vertical="center"/>
    </xf>
    <xf numFmtId="0" fontId="1" fillId="0" borderId="0" xfId="0" applyFont="1"/>
    <xf numFmtId="44" fontId="1" fillId="0" borderId="0" xfId="2" applyFont="1" applyFill="1" applyBorder="1" applyAlignment="1">
      <alignment horizontal="center" vertical="center"/>
    </xf>
    <xf numFmtId="170" fontId="1" fillId="0" borderId="16" xfId="0" applyNumberFormat="1" applyFont="1" applyBorder="1" applyAlignment="1">
      <alignment horizontal="center" vertical="center"/>
    </xf>
    <xf numFmtId="171" fontId="1" fillId="2" borderId="17" xfId="0" applyNumberFormat="1" applyFont="1" applyFill="1" applyBorder="1" applyAlignment="1">
      <alignment horizontal="center" vertical="center"/>
    </xf>
    <xf numFmtId="171" fontId="1" fillId="2" borderId="19" xfId="0" applyNumberFormat="1" applyFont="1" applyFill="1" applyBorder="1" applyAlignment="1">
      <alignment horizontal="center" vertical="center"/>
    </xf>
    <xf numFmtId="10" fontId="1" fillId="5" borderId="10" xfId="1" applyNumberFormat="1" applyFont="1" applyFill="1" applyBorder="1" applyAlignment="1">
      <alignment horizontal="center" vertical="center"/>
    </xf>
    <xf numFmtId="10" fontId="1" fillId="8" borderId="8" xfId="1" applyNumberFormat="1" applyFont="1" applyFill="1" applyBorder="1" applyAlignment="1">
      <alignment horizontal="center" vertical="center"/>
    </xf>
    <xf numFmtId="10" fontId="1" fillId="10" borderId="9" xfId="1" applyNumberFormat="1" applyFont="1" applyFill="1" applyBorder="1" applyAlignment="1">
      <alignment horizontal="center" vertical="center"/>
    </xf>
    <xf numFmtId="168" fontId="16" fillId="0" borderId="0" xfId="2" applyNumberFormat="1" applyFont="1" applyAlignment="1">
      <alignment horizontal="center" vertical="center"/>
    </xf>
    <xf numFmtId="0" fontId="1" fillId="0" borderId="0" xfId="0" applyFont="1" applyAlignment="1">
      <alignment horizontal="left" vertical="center" wrapText="1"/>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2" xfId="0" applyFont="1" applyBorder="1" applyAlignment="1">
      <alignment horizontal="center" vertical="center"/>
    </xf>
    <xf numFmtId="165" fontId="3" fillId="0" borderId="4" xfId="0" applyNumberFormat="1" applyFont="1" applyBorder="1" applyAlignment="1">
      <alignment horizontal="center" vertical="center"/>
    </xf>
    <xf numFmtId="165" fontId="3" fillId="0" borderId="0" xfId="0" applyNumberFormat="1" applyFont="1" applyAlignment="1">
      <alignment horizontal="center" vertical="center"/>
    </xf>
    <xf numFmtId="165" fontId="3" fillId="0" borderId="2" xfId="0" applyNumberFormat="1" applyFont="1" applyBorder="1" applyAlignment="1">
      <alignment horizontal="center" vertical="center"/>
    </xf>
    <xf numFmtId="0" fontId="1" fillId="0" borderId="4" xfId="0" applyFont="1" applyBorder="1" applyAlignment="1">
      <alignment horizontal="center" vertical="center"/>
    </xf>
    <xf numFmtId="0" fontId="1" fillId="0" borderId="0" xfId="0" applyFont="1" applyAlignment="1">
      <alignment horizontal="center" vertical="center"/>
    </xf>
    <xf numFmtId="0" fontId="1" fillId="0" borderId="2" xfId="0" applyFont="1" applyBorder="1" applyAlignment="1">
      <alignment horizontal="center" vertical="center"/>
    </xf>
    <xf numFmtId="0" fontId="4" fillId="0" borderId="0" xfId="0" applyFont="1" applyAlignment="1">
      <alignment horizontal="center" vertical="center"/>
    </xf>
    <xf numFmtId="0" fontId="15" fillId="5" borderId="11" xfId="0" applyFont="1" applyFill="1" applyBorder="1" applyAlignment="1">
      <alignment horizontal="center" vertical="center"/>
    </xf>
    <xf numFmtId="0" fontId="15" fillId="5" borderId="10" xfId="0" applyFont="1" applyFill="1" applyBorder="1" applyAlignment="1">
      <alignment horizontal="center" vertical="center"/>
    </xf>
    <xf numFmtId="0" fontId="15" fillId="8" borderId="12" xfId="0" applyFont="1" applyFill="1" applyBorder="1" applyAlignment="1">
      <alignment horizontal="center" vertical="center"/>
    </xf>
    <xf numFmtId="0" fontId="15" fillId="8" borderId="13" xfId="0" applyFont="1" applyFill="1" applyBorder="1" applyAlignment="1">
      <alignment horizontal="center" vertical="center"/>
    </xf>
    <xf numFmtId="0" fontId="15" fillId="10" borderId="14" xfId="0" applyFont="1" applyFill="1" applyBorder="1" applyAlignment="1">
      <alignment horizontal="center" vertical="center"/>
    </xf>
    <xf numFmtId="0" fontId="15" fillId="10" borderId="15" xfId="0" applyFont="1" applyFill="1" applyBorder="1" applyAlignment="1">
      <alignment horizontal="center" vertical="center"/>
    </xf>
    <xf numFmtId="0" fontId="1" fillId="0" borderId="0" xfId="0" applyNumberFormat="1" applyFont="1" applyAlignment="1">
      <alignment horizontal="center" vertical="center"/>
    </xf>
    <xf numFmtId="0" fontId="1" fillId="0" borderId="0" xfId="0" applyFont="1" applyFill="1" applyBorder="1" applyAlignment="1">
      <alignment horizontal="center" vertical="center"/>
    </xf>
    <xf numFmtId="166" fontId="1" fillId="0" borderId="0" xfId="0" applyNumberFormat="1" applyFont="1" applyFill="1" applyBorder="1" applyAlignment="1">
      <alignment horizontal="center" vertical="center"/>
    </xf>
    <xf numFmtId="2" fontId="1" fillId="0" borderId="0" xfId="0" applyNumberFormat="1" applyFont="1" applyFill="1" applyBorder="1" applyAlignment="1">
      <alignment horizontal="center" vertical="center"/>
    </xf>
  </cellXfs>
  <cellStyles count="3">
    <cellStyle name="Moeda" xfId="2" builtinId="4"/>
    <cellStyle name="Normal" xfId="0" builtinId="0"/>
    <cellStyle name="Porcentagem" xfId="1" builtinId="5"/>
  </cellStyles>
  <dxfs count="608">
    <dxf>
      <font>
        <strike val="0"/>
        <outline val="0"/>
        <shadow val="0"/>
        <u val="none"/>
        <sz val="12"/>
        <color theme="1"/>
        <name val="Arial"/>
        <family val="2"/>
        <scheme val="none"/>
      </font>
    </dxf>
    <dxf>
      <font>
        <strike val="0"/>
        <outline val="0"/>
        <shadow val="0"/>
        <u val="none"/>
        <sz val="12"/>
        <color theme="1"/>
        <name val="Arial"/>
        <family val="2"/>
        <scheme val="none"/>
      </font>
    </dxf>
    <dxf>
      <font>
        <strike val="0"/>
        <outline val="0"/>
        <shadow val="0"/>
        <u val="none"/>
        <sz val="12"/>
        <color theme="1"/>
        <name val="Arial"/>
        <family val="2"/>
        <scheme val="none"/>
      </font>
    </dxf>
    <dxf>
      <font>
        <strike val="0"/>
        <outline val="0"/>
        <shadow val="0"/>
        <u val="none"/>
        <sz val="12"/>
        <color theme="1"/>
        <name val="Arial"/>
        <family val="2"/>
        <scheme val="none"/>
      </font>
    </dxf>
    <dxf>
      <font>
        <strike val="0"/>
        <outline val="0"/>
        <shadow val="0"/>
        <u val="none"/>
        <sz val="12"/>
        <color theme="1"/>
        <name val="Arial"/>
        <family val="2"/>
        <scheme val="none"/>
      </font>
    </dxf>
    <dxf>
      <font>
        <strike val="0"/>
        <outline val="0"/>
        <shadow val="0"/>
        <u val="none"/>
        <sz val="12"/>
        <color theme="1"/>
        <name val="Arial"/>
        <family val="2"/>
        <scheme val="none"/>
      </font>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i val="0"/>
      </font>
      <fill>
        <patternFill>
          <bgColor theme="5" tint="0.39994506668294322"/>
        </patternFill>
      </fill>
    </dxf>
    <dxf>
      <font>
        <b/>
        <i val="0"/>
      </font>
      <fill>
        <patternFill>
          <bgColor theme="8" tint="0.39994506668294322"/>
        </patternFill>
      </fill>
    </dxf>
    <dxf>
      <font>
        <b/>
        <i val="0"/>
      </font>
      <fill>
        <patternFill>
          <bgColor theme="9" tint="0.39994506668294322"/>
        </patternFill>
      </fill>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6" formatCode="&quot;P&quot;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6" formatCode="&quot;P&quot;00"/>
      <alignment horizontal="center" vertical="center" textRotation="0" wrapText="0" indent="0" justifyLastLine="0" shrinkToFit="0" readingOrder="0"/>
    </dxf>
    <dxf>
      <font>
        <strike val="0"/>
        <outline val="0"/>
        <shadow val="0"/>
        <u val="none"/>
        <vertAlign val="baseline"/>
        <sz val="12"/>
        <name val="Arial"/>
        <family val="2"/>
        <scheme val="none"/>
      </font>
      <numFmt numFmtId="34" formatCode="_-&quot;R$&quot;\ * #,##0.00_-;\-&quot;R$&quot;\ * #,##0.00_-;_-&quot;R$&quot;\ * &quot;-&quot;??_-;_-@_-"/>
      <fill>
        <patternFill patternType="none">
          <fgColor indexed="64"/>
          <bgColor auto="1"/>
        </patternFill>
      </fill>
    </dxf>
    <dxf>
      <font>
        <strike val="0"/>
        <outline val="0"/>
        <shadow val="0"/>
        <u val="none"/>
        <vertAlign val="baseline"/>
        <sz val="12"/>
        <name val="Arial"/>
        <family val="2"/>
        <scheme val="none"/>
      </font>
      <numFmt numFmtId="34" formatCode="_-&quot;R$&quot;\ * #,##0.00_-;\-&quot;R$&quot;\ * #,##0.00_-;_-&quot;R$&quot;\ * &quot;-&quot;??_-;_-@_-"/>
      <fill>
        <patternFill patternType="none">
          <fgColor indexed="64"/>
          <bgColor auto="1"/>
        </patternFill>
      </fill>
    </dxf>
    <dxf>
      <font>
        <strike val="0"/>
        <outline val="0"/>
        <shadow val="0"/>
        <u val="none"/>
        <vertAlign val="baseline"/>
        <sz val="12"/>
        <name val="Arial"/>
        <family val="2"/>
        <scheme val="none"/>
      </font>
      <numFmt numFmtId="34" formatCode="_-&quot;R$&quot;\ * #,##0.00_-;\-&quot;R$&quot;\ * #,##0.00_-;_-&quot;R$&quot;\ * &quot;-&quot;??_-;_-@_-"/>
      <fill>
        <patternFill patternType="none">
          <fgColor indexed="64"/>
          <bgColor auto="1"/>
        </patternFill>
      </fill>
    </dxf>
    <dxf>
      <font>
        <strike val="0"/>
        <outline val="0"/>
        <shadow val="0"/>
        <u val="none"/>
        <vertAlign val="baseline"/>
        <sz val="12"/>
        <name val="Arial"/>
        <family val="2"/>
        <scheme val="none"/>
      </font>
      <fill>
        <patternFill patternType="none">
          <fgColor indexed="64"/>
          <bgColor auto="1"/>
        </patternFill>
      </fill>
    </dxf>
    <dxf>
      <font>
        <strike val="0"/>
        <outline val="0"/>
        <shadow val="0"/>
        <u val="none"/>
        <vertAlign val="baseline"/>
        <sz val="12"/>
        <name val="Arial"/>
        <family val="2"/>
        <scheme val="none"/>
      </font>
      <fill>
        <patternFill patternType="none">
          <fgColor indexed="64"/>
          <bgColor auto="1"/>
        </patternFill>
      </fill>
    </dxf>
    <dxf>
      <font>
        <strike val="0"/>
        <outline val="0"/>
        <shadow val="0"/>
        <u val="none"/>
        <vertAlign val="baseline"/>
        <sz val="12"/>
        <name val="Arial"/>
        <family val="2"/>
        <scheme val="none"/>
      </font>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rgb="FF000000"/>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9" formatCode="0&quot;.&quot;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9" formatCode="0&quot;.&quot;00"/>
      <alignment horizontal="center" vertical="center" textRotation="0" wrapText="0" indent="0" justifyLastLine="0" shrinkToFit="0" readingOrder="0"/>
    </dxf>
    <dxf>
      <font>
        <b val="0"/>
        <i val="0"/>
        <strike val="0"/>
        <condense val="0"/>
        <extend val="0"/>
        <outline val="0"/>
        <shadow val="0"/>
        <u val="none"/>
        <vertAlign val="baseline"/>
        <sz val="12"/>
        <color rgb="FF000000"/>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rgb="FF000000"/>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9" formatCode="0&quot;.&quot;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9" formatCode="0&quot;.&quot;00"/>
      <alignment horizontal="center" vertical="center" textRotation="0" wrapText="0" indent="0" justifyLastLine="0" shrinkToFit="0" readingOrder="0"/>
    </dxf>
    <dxf>
      <font>
        <b val="0"/>
        <i val="0"/>
        <strike val="0"/>
        <condense val="0"/>
        <extend val="0"/>
        <outline val="0"/>
        <shadow val="0"/>
        <u val="none"/>
        <vertAlign val="baseline"/>
        <sz val="12"/>
        <color rgb="FF000000"/>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9" formatCode="0&quot;.&quot;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9" formatCode="0&quot;.&quot;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right" vertical="center" textRotation="0" wrapText="0" indent="1"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right" vertical="center" textRotation="0" wrapText="0" indent="1"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right" vertical="center" textRotation="0" wrapText="0" indent="1" justifyLastLine="0" shrinkToFit="0" readingOrder="0"/>
    </dxf>
    <dxf>
      <font>
        <b val="0"/>
        <i val="0"/>
        <strike val="0"/>
        <condense val="0"/>
        <extend val="0"/>
        <outline val="0"/>
        <shadow val="0"/>
        <u val="none"/>
        <vertAlign val="baseline"/>
        <sz val="12"/>
        <color theme="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6" formatCode="&quot;P&quot;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6" formatCode="&quot;P&quot;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6" formatCode="&quot;P&quot;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6" formatCode="&quot;P&quot;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7" formatCode="0.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7" formatCode="0.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7" formatCode="0.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rgb="FF000000"/>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7" formatCode="0.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7" formatCode="0.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7" formatCode="0.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rgb="FF000000"/>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7" formatCode="0.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7" formatCode="0.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7" formatCode="0.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 formatCode="0"/>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dxf>
    <dxf>
      <font>
        <strike val="0"/>
        <outline val="0"/>
        <shadow val="0"/>
        <u val="none"/>
        <sz val="12"/>
        <color theme="1"/>
        <name val="Arial"/>
        <family val="2"/>
        <scheme val="none"/>
      </font>
    </dxf>
    <dxf>
      <font>
        <strike val="0"/>
        <outline val="0"/>
        <shadow val="0"/>
        <u val="none"/>
        <sz val="12"/>
        <color theme="1"/>
        <name val="Arial"/>
        <family val="2"/>
        <scheme val="none"/>
      </font>
    </dxf>
    <dxf>
      <font>
        <strike val="0"/>
        <outline val="0"/>
        <shadow val="0"/>
        <u val="none"/>
        <sz val="12"/>
        <color theme="1"/>
        <name val="Arial"/>
        <family val="2"/>
        <scheme val="none"/>
      </font>
    </dxf>
    <dxf>
      <font>
        <strike val="0"/>
        <outline val="0"/>
        <shadow val="0"/>
        <u val="none"/>
        <sz val="12"/>
        <color theme="1"/>
        <name val="Arial"/>
        <family val="2"/>
        <scheme val="none"/>
      </font>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8" formatCode="&quot;R$ &quot;#,##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0" formatCode="General"/>
      <alignment horizontal="center" vertical="center" textRotation="0" wrapText="0" indent="0" justifyLastLine="0" shrinkToFit="0" readingOrder="0"/>
    </dxf>
    <dxf>
      <font>
        <strike val="0"/>
        <outline val="0"/>
        <shadow val="0"/>
        <u val="no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numFmt numFmtId="2" formatCode="0.00"/>
      <alignment horizontal="center" vertical="center" textRotation="0" wrapText="0" indent="0" justifyLastLine="0" shrinkToFit="0" readingOrder="0"/>
    </dxf>
    <dxf>
      <font>
        <strike val="0"/>
        <outline val="0"/>
        <shadow val="0"/>
        <u val="no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sz val="12"/>
        <color theme="1"/>
        <name val="Arial"/>
        <family val="2"/>
        <scheme val="none"/>
      </font>
      <numFmt numFmtId="164" formatCode="0.0"/>
      <alignment horizontal="center" vertical="center" textRotation="0" wrapText="0" indent="0" justifyLastLine="0" shrinkToFit="0" readingOrder="0"/>
    </dxf>
    <dxf>
      <font>
        <strike val="0"/>
        <outline val="0"/>
        <shadow val="0"/>
        <u val="none"/>
        <sz val="12"/>
        <color theme="1"/>
        <name val="Arial"/>
        <family val="2"/>
        <scheme val="none"/>
      </font>
      <alignment horizontal="center" vertical="center" textRotation="0" wrapText="0" indent="0" justifyLastLine="0" shrinkToFit="0" readingOrder="0"/>
    </dxf>
    <dxf>
      <border outline="0">
        <top style="thin">
          <color theme="1"/>
        </top>
      </border>
    </dxf>
    <dxf>
      <font>
        <strike val="0"/>
        <outline val="0"/>
        <shadow val="0"/>
        <u val="none"/>
        <sz val="12"/>
        <color theme="1"/>
        <name val="Arial"/>
        <family val="2"/>
        <scheme val="none"/>
      </font>
      <alignment horizontal="center" vertical="center" textRotation="0" wrapText="0" indent="0" justifyLastLine="0" shrinkToFit="0" readingOrder="0"/>
    </dxf>
    <dxf>
      <border outline="0">
        <bottom style="thin">
          <color theme="1"/>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164" formatCode="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ont>
        <strike val="0"/>
        <outline val="0"/>
        <shadow val="0"/>
        <u val="none"/>
        <sz val="12"/>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1"/>
          <bgColor theme="1"/>
        </patternFill>
      </fill>
    </dxf>
    <dxf>
      <font>
        <b/>
        <color theme="0"/>
      </font>
      <fill>
        <patternFill patternType="solid">
          <fgColor theme="1"/>
          <bgColor theme="1"/>
        </patternFill>
      </fill>
    </dxf>
    <dxf>
      <border>
        <top style="double">
          <color theme="1"/>
        </top>
      </border>
    </dxf>
    <dxf>
      <font>
        <b/>
        <color theme="0"/>
      </font>
      <fill>
        <patternFill patternType="solid">
          <fgColor theme="1"/>
          <bgColor theme="1"/>
        </patternFill>
      </fill>
      <border>
        <bottom style="medium">
          <color theme="1"/>
        </bottom>
      </border>
    </dxf>
    <dxf>
      <font>
        <color theme="1"/>
      </font>
      <border>
        <left style="thin">
          <color theme="1"/>
        </left>
        <right style="thin">
          <color theme="1"/>
        </right>
        <top style="medium">
          <color theme="1"/>
        </top>
        <bottom style="medium">
          <color theme="1"/>
        </bottom>
        <vertical style="thin">
          <color theme="1"/>
        </vertical>
        <horizontal style="thin">
          <color theme="1"/>
        </horizontal>
      </border>
    </dxf>
    <dxf>
      <font>
        <b/>
        <i val="0"/>
      </font>
      <fill>
        <patternFill>
          <bgColor theme="5" tint="-0.24994659260841701"/>
        </patternFill>
      </fill>
    </dxf>
    <dxf>
      <font>
        <b/>
        <i val="0"/>
      </font>
      <fill>
        <patternFill>
          <bgColor theme="5" tint="-0.24994659260841701"/>
        </patternFill>
      </fill>
    </dxf>
    <dxf>
      <fill>
        <patternFill patternType="none">
          <bgColor auto="1"/>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8" tint="-0.24994659260841701"/>
        </patternFill>
      </fill>
    </dxf>
    <dxf>
      <font>
        <b/>
        <i val="0"/>
      </font>
      <fill>
        <patternFill>
          <bgColor theme="8" tint="-0.24994659260841701"/>
        </patternFill>
      </fill>
    </dxf>
    <dxf>
      <fill>
        <patternFill patternType="none">
          <bgColor auto="1"/>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9" tint="-0.24994659260841701"/>
        </patternFill>
      </fill>
    </dxf>
    <dxf>
      <font>
        <b/>
        <i val="0"/>
      </font>
      <fill>
        <patternFill>
          <bgColor theme="9" tint="-0.24994659260841701"/>
        </patternFill>
      </fill>
    </dxf>
    <dxf>
      <fill>
        <patternFill patternType="none">
          <bgColor auto="1"/>
        </patternFill>
      </fill>
      <border>
        <left style="thin">
          <color auto="1"/>
        </left>
        <right style="thin">
          <color auto="1"/>
        </right>
        <top style="thin">
          <color auto="1"/>
        </top>
        <bottom style="thin">
          <color auto="1"/>
        </bottom>
        <vertical style="thin">
          <color auto="1"/>
        </vertical>
        <horizontal style="thin">
          <color auto="1"/>
        </horizontal>
      </border>
    </dxf>
    <dxf>
      <fill>
        <patternFill patternType="solid">
          <fgColor theme="9" tint="0.39985351115451523"/>
          <bgColor theme="5" tint="0.39994506668294322"/>
        </patternFill>
      </fill>
    </dxf>
    <dxf>
      <font>
        <b/>
        <color theme="0"/>
      </font>
      <fill>
        <patternFill patternType="solid">
          <fgColor theme="9" tint="-0.499984740745262"/>
          <bgColor theme="5" tint="-0.499984740745262"/>
        </patternFill>
      </fill>
      <border>
        <bottom style="medium">
          <color theme="5" tint="-0.499984740745262"/>
        </bottom>
      </border>
    </dxf>
    <dxf>
      <font>
        <color theme="1"/>
      </font>
      <border>
        <left style="thin">
          <color theme="5" tint="-0.499984740745262"/>
        </left>
        <right style="thin">
          <color theme="5" tint="-0.499984740745262"/>
        </right>
        <top style="medium">
          <color theme="5" tint="-0.499984740745262"/>
        </top>
        <bottom style="medium">
          <color theme="5" tint="-0.499984740745262"/>
        </bottom>
        <vertical style="thin">
          <color theme="5" tint="-0.499984740745262"/>
        </vertical>
        <horizontal style="thin">
          <color theme="5" tint="-0.499984740745262"/>
        </horizontal>
      </border>
    </dxf>
    <dxf>
      <fill>
        <patternFill patternType="solid">
          <fgColor theme="9" tint="0.39988402966399123"/>
          <bgColor theme="8" tint="0.39994506668294322"/>
        </patternFill>
      </fill>
    </dxf>
    <dxf>
      <font>
        <b/>
        <color theme="0"/>
      </font>
      <fill>
        <patternFill patternType="solid">
          <fgColor theme="9" tint="-0.499984740745262"/>
          <bgColor theme="8" tint="-0.499984740745262"/>
        </patternFill>
      </fill>
      <border>
        <bottom style="medium">
          <color theme="8" tint="-0.499984740745262"/>
        </bottom>
      </border>
    </dxf>
    <dxf>
      <font>
        <color theme="1"/>
      </font>
      <border>
        <left style="thin">
          <color theme="8" tint="-0.499984740745262"/>
        </left>
        <right style="thin">
          <color theme="8" tint="-0.499984740745262"/>
        </right>
        <top style="medium">
          <color theme="8" tint="-0.499984740745262"/>
        </top>
        <bottom style="medium">
          <color theme="8" tint="-0.499984740745262"/>
        </bottom>
        <vertical style="thin">
          <color theme="8" tint="-0.499984740745262"/>
        </vertical>
        <horizontal style="thin">
          <color theme="8" tint="-0.499984740745262"/>
        </horizontal>
      </border>
    </dxf>
    <dxf>
      <fill>
        <patternFill patternType="solid">
          <fgColor theme="9" tint="0.39991454817346722"/>
          <bgColor theme="9" tint="0.39994506668294322"/>
        </patternFill>
      </fill>
    </dxf>
    <dxf>
      <font>
        <b/>
        <color theme="0"/>
      </font>
      <fill>
        <patternFill patternType="solid">
          <fgColor theme="9" tint="-0.499984740745262"/>
          <bgColor theme="9" tint="-0.499984740745262"/>
        </patternFill>
      </fill>
      <border>
        <bottom style="medium">
          <color theme="9" tint="-0.499984740745262"/>
        </bottom>
      </border>
    </dxf>
    <dxf>
      <font>
        <color theme="1"/>
      </font>
      <border>
        <left style="thin">
          <color theme="9" tint="-0.499984740745262"/>
        </left>
        <right style="thin">
          <color theme="9" tint="-0.499984740745262"/>
        </right>
        <top style="medium">
          <color theme="9" tint="-0.499984740745262"/>
        </top>
        <bottom style="medium">
          <color theme="9" tint="-0.499984740745262"/>
        </bottom>
        <vertical style="thin">
          <color theme="9" tint="-0.499984740745262"/>
        </vertical>
        <horizontal style="thin">
          <color theme="9" tint="-0.499984740745262"/>
        </horizontal>
      </border>
    </dxf>
  </dxfs>
  <tableStyles count="7" defaultTableStyle="TableStyleMedium2" defaultPivotStyle="PivotStyleLight16">
    <tableStyle name="cenario1" pivot="0" count="4" xr9:uid="{52F890AE-1F1E-4E49-9C0A-244FD44F5466}">
      <tableStyleElement type="wholeTable" dxfId="607"/>
      <tableStyleElement type="headerRow" dxfId="606"/>
      <tableStyleElement type="firstRowStripe" size="9" dxfId="605"/>
      <tableStyleElement type="secondRowStripe" size="9"/>
    </tableStyle>
    <tableStyle name="cenario2" pivot="0" count="4" xr9:uid="{F9837094-98BA-4968-867C-50715BE51FE4}">
      <tableStyleElement type="wholeTable" dxfId="604"/>
      <tableStyleElement type="headerRow" dxfId="603"/>
      <tableStyleElement type="firstRowStripe" size="9" dxfId="602"/>
      <tableStyleElement type="secondRowStripe" size="9"/>
    </tableStyle>
    <tableStyle name="cenario3" pivot="0" count="4" xr9:uid="{910E1BF4-1D20-41C3-97A1-509F8E5404AE}">
      <tableStyleElement type="wholeTable" dxfId="601"/>
      <tableStyleElement type="headerRow" dxfId="600"/>
      <tableStyleElement type="firstRowStripe" size="9" dxfId="599"/>
      <tableStyleElement type="secondRowStripe" size="9"/>
    </tableStyle>
    <tableStyle name="orcamento1" pivot="0" count="3" xr9:uid="{F2293816-E422-4A8D-A3E5-33B98323E69A}">
      <tableStyleElement type="wholeTable" dxfId="598"/>
      <tableStyleElement type="headerRow" dxfId="597"/>
      <tableStyleElement type="totalRow" dxfId="596"/>
    </tableStyle>
    <tableStyle name="orcamento2" pivot="0" count="3" xr9:uid="{A0CF9234-A908-4368-BE7D-924DCE893D41}">
      <tableStyleElement type="wholeTable" dxfId="595"/>
      <tableStyleElement type="headerRow" dxfId="594"/>
      <tableStyleElement type="totalRow" dxfId="593"/>
    </tableStyle>
    <tableStyle name="orcamento3" pivot="0" count="3" xr9:uid="{AA55E89A-7F78-44DE-9B1F-D9506060E699}">
      <tableStyleElement type="wholeTable" dxfId="592"/>
      <tableStyleElement type="headerRow" dxfId="591"/>
      <tableStyleElement type="totalRow" dxfId="590"/>
    </tableStyle>
    <tableStyle name="resumo" pivot="0" count="8" xr9:uid="{18FAE289-F043-4086-B3F5-2508E1448D24}">
      <tableStyleElement type="wholeTable" dxfId="589"/>
      <tableStyleElement type="headerRow" dxfId="588"/>
      <tableStyleElement type="totalRow" dxfId="587"/>
      <tableStyleElement type="firstColumn" dxfId="586"/>
      <tableStyleElement type="lastColumn" dxfId="585"/>
      <tableStyleElement type="firstRowStripe" size="4" dxfId="584"/>
      <tableStyleElement type="secondRowStripe" size="4"/>
      <tableStyleElement type="firstColumnStripe" dxfId="58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pt-BR"/>
              <a:t>Custo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pt-BR"/>
        </a:p>
      </c:txPr>
    </c:title>
    <c:autoTitleDeleted val="0"/>
    <c:plotArea>
      <c:layout>
        <c:manualLayout>
          <c:layoutTarget val="inner"/>
          <c:xMode val="edge"/>
          <c:yMode val="edge"/>
          <c:x val="0.18486238722432324"/>
          <c:y val="0.23203038194444447"/>
          <c:w val="0.79098683168720785"/>
          <c:h val="0.70382864583333338"/>
        </c:manualLayout>
      </c:layout>
      <c:barChart>
        <c:barDir val="bar"/>
        <c:grouping val="clustered"/>
        <c:varyColors val="0"/>
        <c:ser>
          <c:idx val="0"/>
          <c:order val="0"/>
          <c:tx>
            <c:strRef>
              <c:f>RESUMO!$C$2</c:f>
              <c:strCache>
                <c:ptCount val="1"/>
                <c:pt idx="0">
                  <c:v>Cenário 1</c:v>
                </c:pt>
              </c:strCache>
            </c:strRef>
          </c:tx>
          <c:spPr>
            <a:solidFill>
              <a:schemeClr val="accent6">
                <a:lumMod val="75000"/>
              </a:schemeClr>
            </a:solidFill>
            <a:ln>
              <a:noFill/>
            </a:ln>
            <a:effectLst/>
          </c:spPr>
          <c:invertIfNegative val="0"/>
          <c:dLbls>
            <c:spPr>
              <a:solidFill>
                <a:schemeClr val="bg1">
                  <a:lumMod val="95000"/>
                  <a:alpha val="60000"/>
                </a:schemeClr>
              </a:solid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RESUMO!$B$3:$B$6</c:f>
              <c:strCache>
                <c:ptCount val="4"/>
                <c:pt idx="0">
                  <c:v>Mão de obra</c:v>
                </c:pt>
                <c:pt idx="1">
                  <c:v>Material</c:v>
                </c:pt>
                <c:pt idx="2">
                  <c:v>Equipamento</c:v>
                </c:pt>
                <c:pt idx="3">
                  <c:v>Total</c:v>
                </c:pt>
              </c:strCache>
            </c:strRef>
          </c:cat>
          <c:val>
            <c:numRef>
              <c:f>RESUMO!$C$3:$C$6</c:f>
              <c:numCache>
                <c:formatCode>_("R$"* #,##0.00_);_("R$"* \(#,##0.00\);_("R$"* "-"??_);_(@_)</c:formatCode>
                <c:ptCount val="4"/>
                <c:pt idx="0">
                  <c:v>8006.4117710252995</c:v>
                </c:pt>
                <c:pt idx="1">
                  <c:v>20815.475575560256</c:v>
                </c:pt>
                <c:pt idx="2">
                  <c:v>1696.6769267557343</c:v>
                </c:pt>
                <c:pt idx="3">
                  <c:v>30518.56427334129</c:v>
                </c:pt>
              </c:numCache>
            </c:numRef>
          </c:val>
          <c:extLst>
            <c:ext xmlns:c16="http://schemas.microsoft.com/office/drawing/2014/chart" uri="{C3380CC4-5D6E-409C-BE32-E72D297353CC}">
              <c16:uniqueId val="{00000000-45D2-4F28-9545-C9759400A480}"/>
            </c:ext>
          </c:extLst>
        </c:ser>
        <c:ser>
          <c:idx val="1"/>
          <c:order val="1"/>
          <c:tx>
            <c:strRef>
              <c:f>RESUMO!$D$2</c:f>
              <c:strCache>
                <c:ptCount val="1"/>
                <c:pt idx="0">
                  <c:v>Cenário 2</c:v>
                </c:pt>
              </c:strCache>
            </c:strRef>
          </c:tx>
          <c:spPr>
            <a:solidFill>
              <a:schemeClr val="accent5">
                <a:lumMod val="75000"/>
              </a:schemeClr>
            </a:solidFill>
            <a:ln>
              <a:noFill/>
            </a:ln>
            <a:effectLst/>
          </c:spPr>
          <c:invertIfNegative val="0"/>
          <c:dLbls>
            <c:spPr>
              <a:solidFill>
                <a:schemeClr val="bg1">
                  <a:lumMod val="95000"/>
                  <a:alpha val="60000"/>
                </a:schemeClr>
              </a:solid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RESUMO!$B$3:$B$6</c:f>
              <c:strCache>
                <c:ptCount val="4"/>
                <c:pt idx="0">
                  <c:v>Mão de obra</c:v>
                </c:pt>
                <c:pt idx="1">
                  <c:v>Material</c:v>
                </c:pt>
                <c:pt idx="2">
                  <c:v>Equipamento</c:v>
                </c:pt>
                <c:pt idx="3">
                  <c:v>Total</c:v>
                </c:pt>
              </c:strCache>
            </c:strRef>
          </c:cat>
          <c:val>
            <c:numRef>
              <c:f>RESUMO!$D$3:$D$6</c:f>
              <c:numCache>
                <c:formatCode>_("R$"* #,##0.00_);_("R$"* \(#,##0.00\);_("R$"* "-"??_);_(@_)</c:formatCode>
                <c:ptCount val="4"/>
                <c:pt idx="0">
                  <c:v>13955.964465882391</c:v>
                </c:pt>
                <c:pt idx="1">
                  <c:v>53529.821460555402</c:v>
                </c:pt>
                <c:pt idx="2">
                  <c:v>1503.7393656966442</c:v>
                </c:pt>
                <c:pt idx="3">
                  <c:v>68989.525292134436</c:v>
                </c:pt>
              </c:numCache>
            </c:numRef>
          </c:val>
          <c:extLst>
            <c:ext xmlns:c16="http://schemas.microsoft.com/office/drawing/2014/chart" uri="{C3380CC4-5D6E-409C-BE32-E72D297353CC}">
              <c16:uniqueId val="{00000001-45D2-4F28-9545-C9759400A480}"/>
            </c:ext>
          </c:extLst>
        </c:ser>
        <c:ser>
          <c:idx val="2"/>
          <c:order val="2"/>
          <c:tx>
            <c:strRef>
              <c:f>RESUMO!$E$2</c:f>
              <c:strCache>
                <c:ptCount val="1"/>
                <c:pt idx="0">
                  <c:v>Cenário 3</c:v>
                </c:pt>
              </c:strCache>
            </c:strRef>
          </c:tx>
          <c:spPr>
            <a:solidFill>
              <a:schemeClr val="accent2">
                <a:lumMod val="75000"/>
              </a:schemeClr>
            </a:solidFill>
            <a:ln>
              <a:noFill/>
            </a:ln>
            <a:effectLst/>
          </c:spPr>
          <c:invertIfNegative val="0"/>
          <c:dLbls>
            <c:spPr>
              <a:solidFill>
                <a:schemeClr val="bg1">
                  <a:lumMod val="95000"/>
                  <a:alpha val="60000"/>
                </a:schemeClr>
              </a:solid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RESUMO!$B$3:$B$6</c:f>
              <c:strCache>
                <c:ptCount val="4"/>
                <c:pt idx="0">
                  <c:v>Mão de obra</c:v>
                </c:pt>
                <c:pt idx="1">
                  <c:v>Material</c:v>
                </c:pt>
                <c:pt idx="2">
                  <c:v>Equipamento</c:v>
                </c:pt>
                <c:pt idx="3">
                  <c:v>Total</c:v>
                </c:pt>
              </c:strCache>
            </c:strRef>
          </c:cat>
          <c:val>
            <c:numRef>
              <c:f>RESUMO!$E$3:$E$6</c:f>
              <c:numCache>
                <c:formatCode>_("R$"* #,##0.00_);_("R$"* \(#,##0.00\);_("R$"* "-"??_);_(@_)</c:formatCode>
                <c:ptCount val="4"/>
                <c:pt idx="0">
                  <c:v>7508.8190485165824</c:v>
                </c:pt>
                <c:pt idx="1">
                  <c:v>21093.013161991374</c:v>
                </c:pt>
                <c:pt idx="2">
                  <c:v>4294.714649790003</c:v>
                </c:pt>
                <c:pt idx="3">
                  <c:v>32896.546860297953</c:v>
                </c:pt>
              </c:numCache>
            </c:numRef>
          </c:val>
          <c:extLst>
            <c:ext xmlns:c16="http://schemas.microsoft.com/office/drawing/2014/chart" uri="{C3380CC4-5D6E-409C-BE32-E72D297353CC}">
              <c16:uniqueId val="{00000002-45D2-4F28-9545-C9759400A480}"/>
            </c:ext>
          </c:extLst>
        </c:ser>
        <c:dLbls>
          <c:dLblPos val="outEnd"/>
          <c:showLegendKey val="0"/>
          <c:showVal val="1"/>
          <c:showCatName val="0"/>
          <c:showSerName val="0"/>
          <c:showPercent val="0"/>
          <c:showBubbleSize val="0"/>
        </c:dLbls>
        <c:gapWidth val="25"/>
        <c:axId val="100320192"/>
        <c:axId val="1942174192"/>
      </c:barChart>
      <c:catAx>
        <c:axId val="100320192"/>
        <c:scaling>
          <c:orientation val="maxMin"/>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crossAx val="1942174192"/>
        <c:crosses val="autoZero"/>
        <c:auto val="1"/>
        <c:lblAlgn val="ctr"/>
        <c:lblOffset val="0"/>
        <c:noMultiLvlLbl val="0"/>
      </c:catAx>
      <c:valAx>
        <c:axId val="1942174192"/>
        <c:scaling>
          <c:orientation val="minMax"/>
        </c:scaling>
        <c:delete val="0"/>
        <c:axPos val="t"/>
        <c:majorGridlines>
          <c:spPr>
            <a:ln w="9525" cap="flat" cmpd="sng" algn="ctr">
              <a:solidFill>
                <a:schemeClr val="bg1">
                  <a:lumMod val="7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5400000" spcFirstLastPara="1" vertOverflow="ellipsis"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crossAx val="100320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legend>
    <c:plotVisOnly val="1"/>
    <c:dispBlanksAs val="gap"/>
    <c:showDLblsOverMax val="0"/>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pt-BR">
                <a:latin typeface="Arial" panose="020B0604020202020204" pitchFamily="34" charset="0"/>
                <a:cs typeface="Arial" panose="020B0604020202020204" pitchFamily="34" charset="0"/>
              </a:rPr>
              <a:t>Profundidade</a:t>
            </a:r>
            <a:r>
              <a:rPr lang="pt-BR" baseline="0">
                <a:latin typeface="Arial" panose="020B0604020202020204" pitchFamily="34" charset="0"/>
                <a:cs typeface="Arial" panose="020B0604020202020204" pitchFamily="34" charset="0"/>
              </a:rPr>
              <a:t> máxima</a:t>
            </a:r>
            <a:endParaRPr lang="pt-BR">
              <a:latin typeface="Arial" panose="020B0604020202020204" pitchFamily="34" charset="0"/>
              <a:cs typeface="Arial" panose="020B0604020202020204" pitchFamily="34" charset="0"/>
            </a:endParaRPr>
          </a:p>
        </c:rich>
      </c:tx>
      <c:layout>
        <c:manualLayout>
          <c:xMode val="edge"/>
          <c:yMode val="edge"/>
          <c:x val="0.24611348024785204"/>
          <c:y val="7.40833333333333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pt-BR"/>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22048611111106E-2"/>
          <c:y val="0.15486024305555557"/>
          <c:w val="0.94532708333333337"/>
          <c:h val="0.78099878472222217"/>
        </c:manualLayout>
      </c:layout>
      <c:bar3DChart>
        <c:barDir val="col"/>
        <c:grouping val="clustered"/>
        <c:varyColors val="0"/>
        <c:ser>
          <c:idx val="0"/>
          <c:order val="0"/>
          <c:tx>
            <c:strRef>
              <c:f>RESUMO!$C$8</c:f>
              <c:strCache>
                <c:ptCount val="1"/>
                <c:pt idx="0">
                  <c:v>Cenário 1</c:v>
                </c:pt>
              </c:strCache>
            </c:strRef>
          </c:tx>
          <c:spPr>
            <a:solidFill>
              <a:schemeClr val="accent6">
                <a:lumMod val="75000"/>
              </a:schemeClr>
            </a:solidFill>
            <a:ln>
              <a:noFill/>
            </a:ln>
            <a:effectLst/>
            <a:sp3d/>
          </c:spPr>
          <c:invertIfNegative val="0"/>
          <c:dLbls>
            <c:spPr>
              <a:solidFill>
                <a:sysClr val="window" lastClr="FFFFFF">
                  <a:lumMod val="95000"/>
                  <a:alpha val="80000"/>
                </a:sysClr>
              </a:solid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RESUMO!$B$9:$B$10</c15:sqref>
                  </c15:fullRef>
                </c:ext>
              </c:extLst>
              <c:f>RESUMO!$B$9</c:f>
              <c:strCache>
                <c:ptCount val="1"/>
                <c:pt idx="0">
                  <c:v>Prof. Máx.</c:v>
                </c:pt>
              </c:strCache>
            </c:strRef>
          </c:cat>
          <c:val>
            <c:numRef>
              <c:extLst>
                <c:ext xmlns:c15="http://schemas.microsoft.com/office/drawing/2012/chart" uri="{02D57815-91ED-43cb-92C2-25804820EDAC}">
                  <c15:fullRef>
                    <c15:sqref>RESUMO!$C$9:$C$10</c15:sqref>
                  </c15:fullRef>
                </c:ext>
              </c:extLst>
              <c:f>RESUMO!$C$9</c:f>
              <c:numCache>
                <c:formatCode>0.00\ "m³"</c:formatCode>
                <c:ptCount val="1"/>
                <c:pt idx="0" formatCode="0\ &quot;m&quot;">
                  <c:v>13</c:v>
                </c:pt>
              </c:numCache>
            </c:numRef>
          </c:val>
          <c:shape val="cylinder"/>
          <c:extLst>
            <c:ext xmlns:c16="http://schemas.microsoft.com/office/drawing/2014/chart" uri="{C3380CC4-5D6E-409C-BE32-E72D297353CC}">
              <c16:uniqueId val="{00000000-45D2-4F28-9545-C9759400A480}"/>
            </c:ext>
          </c:extLst>
        </c:ser>
        <c:ser>
          <c:idx val="1"/>
          <c:order val="1"/>
          <c:tx>
            <c:strRef>
              <c:f>RESUMO!$D$8</c:f>
              <c:strCache>
                <c:ptCount val="1"/>
                <c:pt idx="0">
                  <c:v>Cenário 2</c:v>
                </c:pt>
              </c:strCache>
            </c:strRef>
          </c:tx>
          <c:spPr>
            <a:solidFill>
              <a:schemeClr val="accent5">
                <a:lumMod val="75000"/>
              </a:schemeClr>
            </a:solidFill>
            <a:ln>
              <a:noFill/>
            </a:ln>
            <a:effectLst/>
            <a:sp3d/>
          </c:spPr>
          <c:invertIfNegative val="0"/>
          <c:dLbls>
            <c:spPr>
              <a:solidFill>
                <a:sysClr val="window" lastClr="FFFFFF">
                  <a:lumMod val="95000"/>
                  <a:alpha val="80000"/>
                </a:sysClr>
              </a:solid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RESUMO!$B$9:$B$10</c15:sqref>
                  </c15:fullRef>
                </c:ext>
              </c:extLst>
              <c:f>RESUMO!$B$9</c:f>
              <c:strCache>
                <c:ptCount val="1"/>
                <c:pt idx="0">
                  <c:v>Prof. Máx.</c:v>
                </c:pt>
              </c:strCache>
            </c:strRef>
          </c:cat>
          <c:val>
            <c:numRef>
              <c:extLst>
                <c:ext xmlns:c15="http://schemas.microsoft.com/office/drawing/2012/chart" uri="{02D57815-91ED-43cb-92C2-25804820EDAC}">
                  <c15:fullRef>
                    <c15:sqref>RESUMO!$D$9:$D$10</c15:sqref>
                  </c15:fullRef>
                </c:ext>
              </c:extLst>
              <c:f>RESUMO!$D$9</c:f>
              <c:numCache>
                <c:formatCode>0.00\ "m³"</c:formatCode>
                <c:ptCount val="1"/>
                <c:pt idx="0" formatCode="0\ &quot;m&quot;">
                  <c:v>12</c:v>
                </c:pt>
              </c:numCache>
            </c:numRef>
          </c:val>
          <c:shape val="cylinder"/>
          <c:extLst>
            <c:ext xmlns:c16="http://schemas.microsoft.com/office/drawing/2014/chart" uri="{C3380CC4-5D6E-409C-BE32-E72D297353CC}">
              <c16:uniqueId val="{00000001-45D2-4F28-9545-C9759400A480}"/>
            </c:ext>
          </c:extLst>
        </c:ser>
        <c:ser>
          <c:idx val="2"/>
          <c:order val="2"/>
          <c:tx>
            <c:strRef>
              <c:f>RESUMO!$E$8</c:f>
              <c:strCache>
                <c:ptCount val="1"/>
                <c:pt idx="0">
                  <c:v>Cenário 3</c:v>
                </c:pt>
              </c:strCache>
            </c:strRef>
          </c:tx>
          <c:spPr>
            <a:solidFill>
              <a:srgbClr val="ED7D31">
                <a:lumMod val="75000"/>
              </a:srgbClr>
            </a:solidFill>
            <a:ln>
              <a:noFill/>
            </a:ln>
            <a:effectLst/>
            <a:sp3d/>
          </c:spPr>
          <c:invertIfNegative val="0"/>
          <c:dLbls>
            <c:spPr>
              <a:solidFill>
                <a:sysClr val="window" lastClr="FFFFFF">
                  <a:lumMod val="95000"/>
                  <a:alpha val="80000"/>
                </a:sysClr>
              </a:solid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RESUMO!$B$9:$B$10</c15:sqref>
                  </c15:fullRef>
                </c:ext>
              </c:extLst>
              <c:f>RESUMO!$B$9</c:f>
              <c:strCache>
                <c:ptCount val="1"/>
                <c:pt idx="0">
                  <c:v>Prof. Máx.</c:v>
                </c:pt>
              </c:strCache>
            </c:strRef>
          </c:cat>
          <c:val>
            <c:numRef>
              <c:extLst>
                <c:ext xmlns:c15="http://schemas.microsoft.com/office/drawing/2012/chart" uri="{02D57815-91ED-43cb-92C2-25804820EDAC}">
                  <c15:fullRef>
                    <c15:sqref>RESUMO!$E$9:$E$10</c15:sqref>
                  </c15:fullRef>
                </c:ext>
              </c:extLst>
              <c:f>RESUMO!$E$9</c:f>
              <c:numCache>
                <c:formatCode>0.00\ "m³"</c:formatCode>
                <c:ptCount val="1"/>
                <c:pt idx="0" formatCode="0\ &quot;m&quot;">
                  <c:v>13</c:v>
                </c:pt>
              </c:numCache>
            </c:numRef>
          </c:val>
          <c:shape val="cylinder"/>
          <c:extLst>
            <c:ext xmlns:c16="http://schemas.microsoft.com/office/drawing/2014/chart" uri="{C3380CC4-5D6E-409C-BE32-E72D297353CC}">
              <c16:uniqueId val="{00000002-45D2-4F28-9545-C9759400A480}"/>
            </c:ext>
          </c:extLst>
        </c:ser>
        <c:dLbls>
          <c:showLegendKey val="0"/>
          <c:showVal val="1"/>
          <c:showCatName val="0"/>
          <c:showSerName val="0"/>
          <c:showPercent val="0"/>
          <c:showBubbleSize val="0"/>
        </c:dLbls>
        <c:gapWidth val="10"/>
        <c:gapDepth val="50"/>
        <c:shape val="box"/>
        <c:axId val="100320192"/>
        <c:axId val="1942174192"/>
        <c:axId val="0"/>
      </c:bar3DChart>
      <c:catAx>
        <c:axId val="100320192"/>
        <c:scaling>
          <c:orientation val="minMax"/>
        </c:scaling>
        <c:delete val="0"/>
        <c:axPos val="b"/>
        <c:majorGridlines>
          <c:spPr>
            <a:ln w="9525" cap="flat" cmpd="sng" algn="ctr">
              <a:solidFill>
                <a:schemeClr val="tx1"/>
              </a:solidFill>
              <a:round/>
            </a:ln>
            <a:effectLst/>
          </c:spPr>
        </c:majorGridlines>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crossAx val="1942174192"/>
        <c:crosses val="autoZero"/>
        <c:auto val="1"/>
        <c:lblAlgn val="ctr"/>
        <c:lblOffset val="0"/>
        <c:noMultiLvlLbl val="0"/>
      </c:catAx>
      <c:valAx>
        <c:axId val="1942174192"/>
        <c:scaling>
          <c:orientation val="minMax"/>
        </c:scaling>
        <c:delete val="0"/>
        <c:axPos val="l"/>
        <c:majorGridlines>
          <c:spPr>
            <a:ln w="9525" cap="flat" cmpd="sng" algn="ctr">
              <a:solidFill>
                <a:schemeClr val="bg1">
                  <a:lumMod val="75000"/>
                </a:schemeClr>
              </a:solidFill>
              <a:round/>
            </a:ln>
            <a:effectLst/>
          </c:spPr>
        </c:majorGridlines>
        <c:numFmt formatCode="0\ &quot;m&quot;" sourceLinked="1"/>
        <c:majorTickMark val="none"/>
        <c:minorTickMark val="none"/>
        <c:tickLblPos val="nextTo"/>
        <c:spPr>
          <a:noFill/>
          <a:ln>
            <a:noFill/>
          </a:ln>
          <a:effectLst/>
        </c:spPr>
        <c:txPr>
          <a:bodyPr rot="0" spcFirstLastPara="1" vertOverflow="ellipsis"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crossAx val="100320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legend>
    <c:plotVisOnly val="1"/>
    <c:dispBlanksAs val="gap"/>
    <c:showDLblsOverMax val="0"/>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pt-BR"/>
              <a:t>Volume de concreto</a:t>
            </a:r>
          </a:p>
        </c:rich>
      </c:tx>
      <c:layout>
        <c:manualLayout>
          <c:xMode val="edge"/>
          <c:yMode val="edge"/>
          <c:x val="0.24611348024785204"/>
          <c:y val="7.40833333333333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pt-BR"/>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22048611111106E-2"/>
          <c:y val="0.15486024305555557"/>
          <c:w val="0.94532708333333337"/>
          <c:h val="0.78099878472222217"/>
        </c:manualLayout>
      </c:layout>
      <c:bar3DChart>
        <c:barDir val="col"/>
        <c:grouping val="clustered"/>
        <c:varyColors val="0"/>
        <c:ser>
          <c:idx val="0"/>
          <c:order val="0"/>
          <c:tx>
            <c:strRef>
              <c:f>RESUMO!$C$8</c:f>
              <c:strCache>
                <c:ptCount val="1"/>
                <c:pt idx="0">
                  <c:v>Cenário 1</c:v>
                </c:pt>
              </c:strCache>
            </c:strRef>
          </c:tx>
          <c:spPr>
            <a:solidFill>
              <a:schemeClr val="accent6">
                <a:lumMod val="75000"/>
              </a:schemeClr>
            </a:solidFill>
            <a:ln>
              <a:noFill/>
            </a:ln>
            <a:effectLst/>
            <a:sp3d/>
          </c:spPr>
          <c:invertIfNegative val="0"/>
          <c:dLbls>
            <c:spPr>
              <a:solidFill>
                <a:sysClr val="window" lastClr="FFFFFF">
                  <a:lumMod val="95000"/>
                  <a:alpha val="80000"/>
                </a:sysClr>
              </a:solid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RESUMO!$B$9:$B$10</c15:sqref>
                  </c15:fullRef>
                </c:ext>
              </c:extLst>
              <c:f>RESUMO!$B$10</c:f>
              <c:strCache>
                <c:ptCount val="1"/>
                <c:pt idx="0">
                  <c:v>V. Conc.</c:v>
                </c:pt>
              </c:strCache>
            </c:strRef>
          </c:cat>
          <c:val>
            <c:numRef>
              <c:extLst>
                <c:ext xmlns:c15="http://schemas.microsoft.com/office/drawing/2012/chart" uri="{02D57815-91ED-43cb-92C2-25804820EDAC}">
                  <c15:fullRef>
                    <c15:sqref>RESUMO!$C$9:$C$10</c15:sqref>
                  </c15:fullRef>
                </c:ext>
              </c:extLst>
              <c:f>RESUMO!$C$10</c:f>
              <c:numCache>
                <c:formatCode>0.00\ "m³"</c:formatCode>
                <c:ptCount val="1"/>
                <c:pt idx="0">
                  <c:v>26.06166394603099</c:v>
                </c:pt>
              </c:numCache>
            </c:numRef>
          </c:val>
          <c:shape val="cylinder"/>
          <c:extLst>
            <c:ext xmlns:c16="http://schemas.microsoft.com/office/drawing/2014/chart" uri="{C3380CC4-5D6E-409C-BE32-E72D297353CC}">
              <c16:uniqueId val="{00000000-45D2-4F28-9545-C9759400A480}"/>
            </c:ext>
          </c:extLst>
        </c:ser>
        <c:ser>
          <c:idx val="1"/>
          <c:order val="1"/>
          <c:tx>
            <c:strRef>
              <c:f>RESUMO!$D$8</c:f>
              <c:strCache>
                <c:ptCount val="1"/>
                <c:pt idx="0">
                  <c:v>Cenário 2</c:v>
                </c:pt>
              </c:strCache>
            </c:strRef>
          </c:tx>
          <c:spPr>
            <a:solidFill>
              <a:schemeClr val="accent5">
                <a:lumMod val="75000"/>
              </a:schemeClr>
            </a:solidFill>
            <a:ln>
              <a:noFill/>
            </a:ln>
            <a:effectLst/>
            <a:sp3d/>
          </c:spPr>
          <c:invertIfNegative val="0"/>
          <c:dLbls>
            <c:spPr>
              <a:solidFill>
                <a:sysClr val="window" lastClr="FFFFFF">
                  <a:lumMod val="95000"/>
                  <a:alpha val="80000"/>
                </a:sysClr>
              </a:solid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RESUMO!$B$9:$B$10</c15:sqref>
                  </c15:fullRef>
                </c:ext>
              </c:extLst>
              <c:f>RESUMO!$B$10</c:f>
              <c:strCache>
                <c:ptCount val="1"/>
                <c:pt idx="0">
                  <c:v>V. Conc.</c:v>
                </c:pt>
              </c:strCache>
            </c:strRef>
          </c:cat>
          <c:val>
            <c:numRef>
              <c:extLst>
                <c:ext xmlns:c15="http://schemas.microsoft.com/office/drawing/2012/chart" uri="{02D57815-91ED-43cb-92C2-25804820EDAC}">
                  <c15:fullRef>
                    <c15:sqref>RESUMO!$D$9:$D$10</c15:sqref>
                  </c15:fullRef>
                </c:ext>
              </c:extLst>
              <c:f>RESUMO!$D$10</c:f>
              <c:numCache>
                <c:formatCode>0.00\ "m³"</c:formatCode>
                <c:ptCount val="1"/>
                <c:pt idx="0">
                  <c:v>43.24030806371232</c:v>
                </c:pt>
              </c:numCache>
            </c:numRef>
          </c:val>
          <c:shape val="cylinder"/>
          <c:extLst>
            <c:ext xmlns:c16="http://schemas.microsoft.com/office/drawing/2014/chart" uri="{C3380CC4-5D6E-409C-BE32-E72D297353CC}">
              <c16:uniqueId val="{00000001-45D2-4F28-9545-C9759400A480}"/>
            </c:ext>
          </c:extLst>
        </c:ser>
        <c:ser>
          <c:idx val="2"/>
          <c:order val="2"/>
          <c:tx>
            <c:strRef>
              <c:f>RESUMO!$E$8</c:f>
              <c:strCache>
                <c:ptCount val="1"/>
                <c:pt idx="0">
                  <c:v>Cenário 3</c:v>
                </c:pt>
              </c:strCache>
            </c:strRef>
          </c:tx>
          <c:spPr>
            <a:solidFill>
              <a:srgbClr val="ED7D31">
                <a:lumMod val="75000"/>
              </a:srgbClr>
            </a:solidFill>
            <a:ln>
              <a:noFill/>
            </a:ln>
            <a:effectLst/>
            <a:sp3d/>
          </c:spPr>
          <c:invertIfNegative val="0"/>
          <c:dLbls>
            <c:spPr>
              <a:solidFill>
                <a:sysClr val="window" lastClr="FFFFFF">
                  <a:lumMod val="95000"/>
                  <a:alpha val="80000"/>
                </a:sysClr>
              </a:solid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RESUMO!$B$9:$B$10</c15:sqref>
                  </c15:fullRef>
                </c:ext>
              </c:extLst>
              <c:f>RESUMO!$B$10</c:f>
              <c:strCache>
                <c:ptCount val="1"/>
                <c:pt idx="0">
                  <c:v>V. Conc.</c:v>
                </c:pt>
              </c:strCache>
            </c:strRef>
          </c:cat>
          <c:val>
            <c:numRef>
              <c:extLst>
                <c:ext xmlns:c15="http://schemas.microsoft.com/office/drawing/2012/chart" uri="{02D57815-91ED-43cb-92C2-25804820EDAC}">
                  <c15:fullRef>
                    <c15:sqref>RESUMO!$E$9:$E$10</c15:sqref>
                  </c15:fullRef>
                </c:ext>
              </c:extLst>
              <c:f>RESUMO!$E$10</c:f>
              <c:numCache>
                <c:formatCode>0.00\ "m³"</c:formatCode>
                <c:ptCount val="1"/>
                <c:pt idx="0">
                  <c:v>25.495379194484848</c:v>
                </c:pt>
              </c:numCache>
            </c:numRef>
          </c:val>
          <c:shape val="cylinder"/>
          <c:extLst>
            <c:ext xmlns:c16="http://schemas.microsoft.com/office/drawing/2014/chart" uri="{C3380CC4-5D6E-409C-BE32-E72D297353CC}">
              <c16:uniqueId val="{00000002-45D2-4F28-9545-C9759400A480}"/>
            </c:ext>
          </c:extLst>
        </c:ser>
        <c:dLbls>
          <c:showLegendKey val="0"/>
          <c:showVal val="1"/>
          <c:showCatName val="0"/>
          <c:showSerName val="0"/>
          <c:showPercent val="0"/>
          <c:showBubbleSize val="0"/>
        </c:dLbls>
        <c:gapWidth val="10"/>
        <c:gapDepth val="50"/>
        <c:shape val="box"/>
        <c:axId val="100320192"/>
        <c:axId val="1942174192"/>
        <c:axId val="0"/>
      </c:bar3DChart>
      <c:catAx>
        <c:axId val="100320192"/>
        <c:scaling>
          <c:orientation val="minMax"/>
        </c:scaling>
        <c:delete val="0"/>
        <c:axPos val="b"/>
        <c:majorGridlines>
          <c:spPr>
            <a:ln w="9525" cap="flat" cmpd="sng" algn="ctr">
              <a:solidFill>
                <a:schemeClr val="tx1"/>
              </a:solidFill>
              <a:round/>
            </a:ln>
            <a:effectLst/>
          </c:spPr>
        </c:majorGridlines>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crossAx val="1942174192"/>
        <c:crosses val="autoZero"/>
        <c:auto val="1"/>
        <c:lblAlgn val="ctr"/>
        <c:lblOffset val="0"/>
        <c:noMultiLvlLbl val="0"/>
      </c:catAx>
      <c:valAx>
        <c:axId val="1942174192"/>
        <c:scaling>
          <c:orientation val="minMax"/>
        </c:scaling>
        <c:delete val="0"/>
        <c:axPos val="l"/>
        <c:majorGridlines>
          <c:spPr>
            <a:ln w="9525" cap="flat" cmpd="sng" algn="ctr">
              <a:solidFill>
                <a:schemeClr val="bg1">
                  <a:lumMod val="75000"/>
                </a:schemeClr>
              </a:solidFill>
              <a:round/>
            </a:ln>
            <a:effectLst/>
          </c:spPr>
        </c:majorGridlines>
        <c:numFmt formatCode="0\ &quot;m³&quot;" sourceLinked="0"/>
        <c:majorTickMark val="none"/>
        <c:minorTickMark val="none"/>
        <c:tickLblPos val="nextTo"/>
        <c:spPr>
          <a:noFill/>
          <a:ln>
            <a:noFill/>
          </a:ln>
          <a:effectLst/>
        </c:spPr>
        <c:txPr>
          <a:bodyPr rot="0" spcFirstLastPara="1" vertOverflow="ellipsis"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crossAx val="100320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pt-BR"/>
        </a:p>
      </c:txPr>
    </c:legend>
    <c:plotVisOnly val="1"/>
    <c:dispBlanksAs val="gap"/>
    <c:showDLblsOverMax val="0"/>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M$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174625</xdr:colOff>
      <xdr:row>8</xdr:row>
      <xdr:rowOff>130175</xdr:rowOff>
    </xdr:from>
    <xdr:to>
      <xdr:col>13</xdr:col>
      <xdr:colOff>6625</xdr:colOff>
      <xdr:row>10</xdr:row>
      <xdr:rowOff>109175</xdr:rowOff>
    </xdr:to>
    <xdr:sp macro="[0]!remover" textlink="">
      <xdr:nvSpPr>
        <xdr:cNvPr id="3" name="removerLinha">
          <a:extLst>
            <a:ext uri="{FF2B5EF4-FFF2-40B4-BE49-F238E27FC236}">
              <a16:creationId xmlns:a16="http://schemas.microsoft.com/office/drawing/2014/main" id="{00000000-0008-0000-0400-000003000000}"/>
            </a:ext>
          </a:extLst>
        </xdr:cNvPr>
        <xdr:cNvSpPr/>
      </xdr:nvSpPr>
      <xdr:spPr>
        <a:xfrm>
          <a:off x="5080000" y="1587500"/>
          <a:ext cx="2880000" cy="36000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pt-BR" sz="2000">
              <a:latin typeface="Arial" panose="020B0604020202020204" pitchFamily="34" charset="0"/>
              <a:cs typeface="Arial" panose="020B0604020202020204" pitchFamily="34" charset="0"/>
            </a:rPr>
            <a:t>REMOVER</a:t>
          </a:r>
          <a:r>
            <a:rPr lang="pt-BR" sz="2000" baseline="0">
              <a:latin typeface="Arial" panose="020B0604020202020204" pitchFamily="34" charset="0"/>
              <a:cs typeface="Arial" panose="020B0604020202020204" pitchFamily="34" charset="0"/>
            </a:rPr>
            <a:t> LINHA</a:t>
          </a:r>
          <a:endParaRPr lang="pt-BR" sz="2000">
            <a:latin typeface="Arial" panose="020B0604020202020204" pitchFamily="34" charset="0"/>
            <a:cs typeface="Arial" panose="020B0604020202020204" pitchFamily="34" charset="0"/>
          </a:endParaRPr>
        </a:p>
      </xdr:txBody>
    </xdr:sp>
    <xdr:clientData/>
  </xdr:twoCellAnchor>
  <xdr:twoCellAnchor>
    <xdr:from>
      <xdr:col>8</xdr:col>
      <xdr:colOff>174625</xdr:colOff>
      <xdr:row>6</xdr:row>
      <xdr:rowOff>3175</xdr:rowOff>
    </xdr:from>
    <xdr:to>
      <xdr:col>13</xdr:col>
      <xdr:colOff>6625</xdr:colOff>
      <xdr:row>7</xdr:row>
      <xdr:rowOff>172675</xdr:rowOff>
    </xdr:to>
    <xdr:sp macro="[0]!adicionar" textlink="">
      <xdr:nvSpPr>
        <xdr:cNvPr id="2" name="adicionarLinha">
          <a:extLst>
            <a:ext uri="{FF2B5EF4-FFF2-40B4-BE49-F238E27FC236}">
              <a16:creationId xmlns:a16="http://schemas.microsoft.com/office/drawing/2014/main" id="{00000000-0008-0000-0400-000002000000}"/>
            </a:ext>
          </a:extLst>
        </xdr:cNvPr>
        <xdr:cNvSpPr/>
      </xdr:nvSpPr>
      <xdr:spPr>
        <a:xfrm>
          <a:off x="5080000" y="1079500"/>
          <a:ext cx="2880000" cy="36000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pt-BR" sz="2000">
              <a:latin typeface="Arial" panose="020B0604020202020204" pitchFamily="34" charset="0"/>
              <a:cs typeface="Arial" panose="020B0604020202020204" pitchFamily="34" charset="0"/>
            </a:rPr>
            <a:t>ADICIONAR</a:t>
          </a:r>
          <a:r>
            <a:rPr lang="pt-BR" sz="2000" baseline="0">
              <a:latin typeface="Arial" panose="020B0604020202020204" pitchFamily="34" charset="0"/>
              <a:cs typeface="Arial" panose="020B0604020202020204" pitchFamily="34" charset="0"/>
            </a:rPr>
            <a:t> LINHA</a:t>
          </a:r>
          <a:endParaRPr lang="pt-BR" sz="20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9525</xdr:colOff>
          <xdr:row>7</xdr:row>
          <xdr:rowOff>66675</xdr:rowOff>
        </xdr:from>
        <xdr:to>
          <xdr:col>7</xdr:col>
          <xdr:colOff>552450</xdr:colOff>
          <xdr:row>8</xdr:row>
          <xdr:rowOff>85725</xdr:rowOff>
        </xdr:to>
        <xdr:sp macro="" textlink="">
          <xdr:nvSpPr>
            <xdr:cNvPr id="1036" name="DecourtQuaresma" hidden="1">
              <a:extLst>
                <a:ext uri="{63B3BB69-23CF-44E3-9099-C40C66FF867C}">
                  <a14:compatExt spid="_x0000_s1036"/>
                </a:ext>
                <a:ext uri="{FF2B5EF4-FFF2-40B4-BE49-F238E27FC236}">
                  <a16:creationId xmlns:a16="http://schemas.microsoft.com/office/drawing/2014/main" id="{00000000-0008-0000-04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Décourt e Quaresma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xdr:row>
          <xdr:rowOff>0</xdr:rowOff>
        </xdr:from>
        <xdr:to>
          <xdr:col>7</xdr:col>
          <xdr:colOff>552450</xdr:colOff>
          <xdr:row>7</xdr:row>
          <xdr:rowOff>28575</xdr:rowOff>
        </xdr:to>
        <xdr:sp macro="" textlink="">
          <xdr:nvSpPr>
            <xdr:cNvPr id="1034" name="AokiVelloso" hidden="1">
              <a:extLst>
                <a:ext uri="{63B3BB69-23CF-44E3-9099-C40C66FF867C}">
                  <a14:compatExt spid="_x0000_s1034"/>
                </a:ext>
                <a:ext uri="{FF2B5EF4-FFF2-40B4-BE49-F238E27FC236}">
                  <a16:creationId xmlns:a16="http://schemas.microsoft.com/office/drawing/2014/main" id="{00000000-0008-0000-04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Aoki e Velloso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133350</xdr:rowOff>
        </xdr:from>
        <xdr:to>
          <xdr:col>7</xdr:col>
          <xdr:colOff>552450</xdr:colOff>
          <xdr:row>9</xdr:row>
          <xdr:rowOff>161925</xdr:rowOff>
        </xdr:to>
        <xdr:sp macro="" textlink="">
          <xdr:nvSpPr>
            <xdr:cNvPr id="1033" name="ambosAutores"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Ambos autores (mais conservador)</a:t>
              </a:r>
            </a:p>
          </xdr:txBody>
        </xdr:sp>
        <xdr:clientData/>
      </xdr:twoCellAnchor>
    </mc:Choice>
    <mc:Fallback/>
  </mc:AlternateContent>
  <xdr:twoCellAnchor>
    <xdr:from>
      <xdr:col>8</xdr:col>
      <xdr:colOff>174625</xdr:colOff>
      <xdr:row>11</xdr:row>
      <xdr:rowOff>66675</xdr:rowOff>
    </xdr:from>
    <xdr:to>
      <xdr:col>13</xdr:col>
      <xdr:colOff>6625</xdr:colOff>
      <xdr:row>13</xdr:row>
      <xdr:rowOff>45675</xdr:rowOff>
    </xdr:to>
    <xdr:sp macro="[0]!dimensionar" textlink="">
      <xdr:nvSpPr>
        <xdr:cNvPr id="4" name="dimensionar">
          <a:extLst>
            <a:ext uri="{FF2B5EF4-FFF2-40B4-BE49-F238E27FC236}">
              <a16:creationId xmlns:a16="http://schemas.microsoft.com/office/drawing/2014/main" id="{00000000-0008-0000-0400-000004000000}"/>
            </a:ext>
          </a:extLst>
        </xdr:cNvPr>
        <xdr:cNvSpPr/>
      </xdr:nvSpPr>
      <xdr:spPr>
        <a:xfrm>
          <a:off x="5080000" y="2095500"/>
          <a:ext cx="2880000" cy="36000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pt-BR" sz="2000">
              <a:latin typeface="Arial" panose="020B0604020202020204" pitchFamily="34" charset="0"/>
              <a:cs typeface="Arial" panose="020B0604020202020204" pitchFamily="34" charset="0"/>
            </a:rPr>
            <a:t>DIMENSIONAR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212725</xdr:colOff>
      <xdr:row>3</xdr:row>
      <xdr:rowOff>139700</xdr:rowOff>
    </xdr:from>
    <xdr:to>
      <xdr:col>10</xdr:col>
      <xdr:colOff>44725</xdr:colOff>
      <xdr:row>5</xdr:row>
      <xdr:rowOff>118700</xdr:rowOff>
    </xdr:to>
    <xdr:sp macro="[0]!remover" textlink="">
      <xdr:nvSpPr>
        <xdr:cNvPr id="2" name="removerLinha">
          <a:extLst>
            <a:ext uri="{FF2B5EF4-FFF2-40B4-BE49-F238E27FC236}">
              <a16:creationId xmlns:a16="http://schemas.microsoft.com/office/drawing/2014/main" id="{00000000-0008-0000-0500-000002000000}"/>
            </a:ext>
          </a:extLst>
        </xdr:cNvPr>
        <xdr:cNvSpPr/>
      </xdr:nvSpPr>
      <xdr:spPr>
        <a:xfrm>
          <a:off x="2794000" y="635000"/>
          <a:ext cx="2880000" cy="369525"/>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pt-BR" sz="2000">
              <a:latin typeface="Arial" panose="020B0604020202020204" pitchFamily="34" charset="0"/>
              <a:cs typeface="Arial" panose="020B0604020202020204" pitchFamily="34" charset="0"/>
            </a:rPr>
            <a:t>REMOVER</a:t>
          </a:r>
          <a:r>
            <a:rPr lang="pt-BR" sz="2000" baseline="0">
              <a:latin typeface="Arial" panose="020B0604020202020204" pitchFamily="34" charset="0"/>
              <a:cs typeface="Arial" panose="020B0604020202020204" pitchFamily="34" charset="0"/>
            </a:rPr>
            <a:t> LINHA</a:t>
          </a:r>
          <a:endParaRPr lang="pt-BR" sz="2000">
            <a:latin typeface="Arial" panose="020B0604020202020204" pitchFamily="34" charset="0"/>
            <a:cs typeface="Arial" panose="020B0604020202020204" pitchFamily="34" charset="0"/>
          </a:endParaRPr>
        </a:p>
      </xdr:txBody>
    </xdr:sp>
    <xdr:clientData/>
  </xdr:twoCellAnchor>
  <xdr:twoCellAnchor>
    <xdr:from>
      <xdr:col>5</xdr:col>
      <xdr:colOff>212725</xdr:colOff>
      <xdr:row>1</xdr:row>
      <xdr:rowOff>69850</xdr:rowOff>
    </xdr:from>
    <xdr:to>
      <xdr:col>10</xdr:col>
      <xdr:colOff>44725</xdr:colOff>
      <xdr:row>2</xdr:row>
      <xdr:rowOff>182200</xdr:rowOff>
    </xdr:to>
    <xdr:sp macro="[0]!adicionar" textlink="">
      <xdr:nvSpPr>
        <xdr:cNvPr id="3" name="adicionarLinha">
          <a:extLst>
            <a:ext uri="{FF2B5EF4-FFF2-40B4-BE49-F238E27FC236}">
              <a16:creationId xmlns:a16="http://schemas.microsoft.com/office/drawing/2014/main" id="{00000000-0008-0000-0500-000003000000}"/>
            </a:ext>
          </a:extLst>
        </xdr:cNvPr>
        <xdr:cNvSpPr/>
      </xdr:nvSpPr>
      <xdr:spPr>
        <a:xfrm>
          <a:off x="2794000" y="127000"/>
          <a:ext cx="2880000" cy="36000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pt-BR" sz="2000">
              <a:latin typeface="Arial" panose="020B0604020202020204" pitchFamily="34" charset="0"/>
              <a:cs typeface="Arial" panose="020B0604020202020204" pitchFamily="34" charset="0"/>
            </a:rPr>
            <a:t>ADICIONAR</a:t>
          </a:r>
          <a:r>
            <a:rPr lang="pt-BR" sz="2000" baseline="0">
              <a:latin typeface="Arial" panose="020B0604020202020204" pitchFamily="34" charset="0"/>
              <a:cs typeface="Arial" panose="020B0604020202020204" pitchFamily="34" charset="0"/>
            </a:rPr>
            <a:t> LINHA</a:t>
          </a:r>
          <a:endParaRPr lang="pt-BR" sz="2000">
            <a:latin typeface="Arial" panose="020B0604020202020204" pitchFamily="34" charset="0"/>
            <a:cs typeface="Arial" panose="020B0604020202020204" pitchFamily="34" charset="0"/>
          </a:endParaRPr>
        </a:p>
      </xdr:txBody>
    </xdr:sp>
    <xdr:clientData/>
  </xdr:twoCellAnchor>
  <xdr:twoCellAnchor>
    <xdr:from>
      <xdr:col>5</xdr:col>
      <xdr:colOff>212725</xdr:colOff>
      <xdr:row>6</xdr:row>
      <xdr:rowOff>66675</xdr:rowOff>
    </xdr:from>
    <xdr:to>
      <xdr:col>10</xdr:col>
      <xdr:colOff>44725</xdr:colOff>
      <xdr:row>8</xdr:row>
      <xdr:rowOff>45675</xdr:rowOff>
    </xdr:to>
    <xdr:sp macro="[0]!dimensionar" textlink="">
      <xdr:nvSpPr>
        <xdr:cNvPr id="5" name="dimensionar">
          <a:extLst>
            <a:ext uri="{FF2B5EF4-FFF2-40B4-BE49-F238E27FC236}">
              <a16:creationId xmlns:a16="http://schemas.microsoft.com/office/drawing/2014/main" id="{00000000-0008-0000-0500-000005000000}"/>
            </a:ext>
          </a:extLst>
        </xdr:cNvPr>
        <xdr:cNvSpPr/>
      </xdr:nvSpPr>
      <xdr:spPr>
        <a:xfrm>
          <a:off x="2794000" y="1143000"/>
          <a:ext cx="2880000" cy="36000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pt-BR" sz="2000">
              <a:latin typeface="Arial" panose="020B0604020202020204" pitchFamily="34" charset="0"/>
              <a:cs typeface="Arial" panose="020B0604020202020204" pitchFamily="34" charset="0"/>
            </a:rPr>
            <a:t>DIMENSIONAR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123825</xdr:colOff>
      <xdr:row>3</xdr:row>
      <xdr:rowOff>57150</xdr:rowOff>
    </xdr:from>
    <xdr:to>
      <xdr:col>5</xdr:col>
      <xdr:colOff>1581150</xdr:colOff>
      <xdr:row>4</xdr:row>
      <xdr:rowOff>152400</xdr:rowOff>
    </xdr:to>
    <xdr:sp macro="[0]!resetCenario1" textlink="">
      <xdr:nvSpPr>
        <xdr:cNvPr id="2" name="reset1">
          <a:extLst>
            <a:ext uri="{FF2B5EF4-FFF2-40B4-BE49-F238E27FC236}">
              <a16:creationId xmlns:a16="http://schemas.microsoft.com/office/drawing/2014/main" id="{00000000-0008-0000-0C00-000002000000}"/>
            </a:ext>
          </a:extLst>
        </xdr:cNvPr>
        <xdr:cNvSpPr/>
      </xdr:nvSpPr>
      <xdr:spPr>
        <a:xfrm>
          <a:off x="2667000" y="571500"/>
          <a:ext cx="1457325" cy="295275"/>
        </a:xfrm>
        <a:prstGeom prst="roundRect">
          <a:avLst/>
        </a:prstGeom>
        <a:ln>
          <a:solidFill>
            <a:sysClr val="windowText" lastClr="00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RESETAR</a:t>
          </a:r>
          <a:r>
            <a:rPr lang="pt-BR" sz="900" baseline="0">
              <a:solidFill>
                <a:sysClr val="windowText" lastClr="000000"/>
              </a:solidFill>
              <a:latin typeface="Arial" panose="020B0604020202020204" pitchFamily="34" charset="0"/>
              <a:cs typeface="Arial" panose="020B0604020202020204" pitchFamily="34" charset="0"/>
            </a:rPr>
            <a:t> SOLUÇÕES</a:t>
          </a:r>
          <a:endParaRPr lang="pt-BR" sz="9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127000</xdr:colOff>
      <xdr:row>3</xdr:row>
      <xdr:rowOff>57150</xdr:rowOff>
    </xdr:from>
    <xdr:to>
      <xdr:col>9</xdr:col>
      <xdr:colOff>1584325</xdr:colOff>
      <xdr:row>4</xdr:row>
      <xdr:rowOff>152400</xdr:rowOff>
    </xdr:to>
    <xdr:sp macro="[0]!resetCenario2" textlink="">
      <xdr:nvSpPr>
        <xdr:cNvPr id="3" name="reset2">
          <a:extLst>
            <a:ext uri="{FF2B5EF4-FFF2-40B4-BE49-F238E27FC236}">
              <a16:creationId xmlns:a16="http://schemas.microsoft.com/office/drawing/2014/main" id="{00000000-0008-0000-0C00-000003000000}"/>
            </a:ext>
          </a:extLst>
        </xdr:cNvPr>
        <xdr:cNvSpPr/>
      </xdr:nvSpPr>
      <xdr:spPr>
        <a:xfrm>
          <a:off x="6794500" y="571500"/>
          <a:ext cx="1457325" cy="295275"/>
        </a:xfrm>
        <a:prstGeom prst="roundRect">
          <a:avLst/>
        </a:prstGeom>
        <a:ln>
          <a:solidFill>
            <a:sysClr val="windowText" lastClr="000000"/>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RESETAR</a:t>
          </a:r>
          <a:r>
            <a:rPr lang="pt-BR" sz="900" baseline="0">
              <a:solidFill>
                <a:sysClr val="windowText" lastClr="000000"/>
              </a:solidFill>
              <a:latin typeface="Arial" panose="020B0604020202020204" pitchFamily="34" charset="0"/>
              <a:cs typeface="Arial" panose="020B0604020202020204" pitchFamily="34" charset="0"/>
            </a:rPr>
            <a:t> SOLUÇÕES</a:t>
          </a:r>
          <a:endParaRPr lang="pt-BR" sz="9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130175</xdr:colOff>
      <xdr:row>3</xdr:row>
      <xdr:rowOff>57150</xdr:rowOff>
    </xdr:from>
    <xdr:to>
      <xdr:col>13</xdr:col>
      <xdr:colOff>1587500</xdr:colOff>
      <xdr:row>4</xdr:row>
      <xdr:rowOff>152400</xdr:rowOff>
    </xdr:to>
    <xdr:sp macro="[0]!resetCenario3" textlink="">
      <xdr:nvSpPr>
        <xdr:cNvPr id="4" name="reset3">
          <a:extLst>
            <a:ext uri="{FF2B5EF4-FFF2-40B4-BE49-F238E27FC236}">
              <a16:creationId xmlns:a16="http://schemas.microsoft.com/office/drawing/2014/main" id="{00000000-0008-0000-0C00-000004000000}"/>
            </a:ext>
          </a:extLst>
        </xdr:cNvPr>
        <xdr:cNvSpPr/>
      </xdr:nvSpPr>
      <xdr:spPr>
        <a:xfrm>
          <a:off x="10922000" y="571500"/>
          <a:ext cx="1457325" cy="295275"/>
        </a:xfrm>
        <a:prstGeom prst="roundRect">
          <a:avLst/>
        </a:prstGeom>
        <a:ln>
          <a:solidFill>
            <a:sysClr val="windowText" lastClr="00000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RESETAR</a:t>
          </a:r>
          <a:r>
            <a:rPr lang="pt-BR" sz="900" baseline="0">
              <a:solidFill>
                <a:sysClr val="windowText" lastClr="000000"/>
              </a:solidFill>
              <a:latin typeface="Arial" panose="020B0604020202020204" pitchFamily="34" charset="0"/>
              <a:cs typeface="Arial" panose="020B0604020202020204" pitchFamily="34" charset="0"/>
            </a:rPr>
            <a:t> SOLUÇÕES</a:t>
          </a:r>
          <a:endParaRPr lang="pt-BR" sz="9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0</xdr:col>
      <xdr:colOff>0</xdr:colOff>
      <xdr:row>0</xdr:row>
      <xdr:rowOff>0</xdr:rowOff>
    </xdr:from>
    <xdr:to>
      <xdr:col>3</xdr:col>
      <xdr:colOff>1259025</xdr:colOff>
      <xdr:row>1</xdr:row>
      <xdr:rowOff>158850</xdr:rowOff>
    </xdr:to>
    <xdr:grpSp>
      <xdr:nvGrpSpPr>
        <xdr:cNvPr id="5" name="Agrupar 4">
          <a:extLst>
            <a:ext uri="{FF2B5EF4-FFF2-40B4-BE49-F238E27FC236}">
              <a16:creationId xmlns:a16="http://schemas.microsoft.com/office/drawing/2014/main" id="{00000000-0008-0000-0C00-000005000000}"/>
            </a:ext>
          </a:extLst>
        </xdr:cNvPr>
        <xdr:cNvGrpSpPr/>
      </xdr:nvGrpSpPr>
      <xdr:grpSpPr>
        <a:xfrm>
          <a:off x="0" y="0"/>
          <a:ext cx="1440000" cy="216000"/>
          <a:chOff x="0" y="0"/>
          <a:chExt cx="2880000" cy="360000"/>
        </a:xfrm>
      </xdr:grpSpPr>
      <xdr:sp macro="[0]!irDashboard" textlink="">
        <xdr:nvSpPr>
          <xdr:cNvPr id="6" name="adicionarLinha">
            <a:extLst>
              <a:ext uri="{FF2B5EF4-FFF2-40B4-BE49-F238E27FC236}">
                <a16:creationId xmlns:a16="http://schemas.microsoft.com/office/drawing/2014/main" id="{00000000-0008-0000-0C00-000006000000}"/>
              </a:ext>
            </a:extLst>
          </xdr:cNvPr>
          <xdr:cNvSpPr/>
        </xdr:nvSpPr>
        <xdr:spPr>
          <a:xfrm>
            <a:off x="0" y="0"/>
            <a:ext cx="2880000" cy="36000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l"/>
            <a:r>
              <a:rPr lang="pt-BR" sz="1200">
                <a:latin typeface="Arial" panose="020B0604020202020204" pitchFamily="34" charset="0"/>
                <a:cs typeface="Arial" panose="020B0604020202020204" pitchFamily="34" charset="0"/>
              </a:rPr>
              <a:t>DASHBOARD</a:t>
            </a:r>
          </a:p>
        </xdr:txBody>
      </xdr:sp>
      <xdr:sp macro="[0]!irDashboard" textlink="">
        <xdr:nvSpPr>
          <xdr:cNvPr id="7" name="Seta: para a Esquerda 6">
            <a:extLst>
              <a:ext uri="{FF2B5EF4-FFF2-40B4-BE49-F238E27FC236}">
                <a16:creationId xmlns:a16="http://schemas.microsoft.com/office/drawing/2014/main" id="{00000000-0008-0000-0C00-000007000000}"/>
              </a:ext>
            </a:extLst>
          </xdr:cNvPr>
          <xdr:cNvSpPr/>
        </xdr:nvSpPr>
        <xdr:spPr>
          <a:xfrm rot="10800000">
            <a:off x="2360877" y="40557"/>
            <a:ext cx="366347" cy="278422"/>
          </a:xfrm>
          <a:prstGeom prst="leftArrow">
            <a:avLst/>
          </a:prstGeom>
          <a:solidFill>
            <a:schemeClr val="bg1"/>
          </a:solidFill>
          <a:ln>
            <a:noFill/>
          </a:ln>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pt-BR" sz="800"/>
          </a:p>
        </xdr:txBody>
      </xdr:sp>
    </xdr:grpSp>
    <xdr:clientData/>
  </xdr:twoCellAnchor>
  <xdr:twoCellAnchor>
    <xdr:from>
      <xdr:col>5</xdr:col>
      <xdr:colOff>123825</xdr:colOff>
      <xdr:row>5</xdr:row>
      <xdr:rowOff>38100</xdr:rowOff>
    </xdr:from>
    <xdr:to>
      <xdr:col>5</xdr:col>
      <xdr:colOff>1581150</xdr:colOff>
      <xdr:row>6</xdr:row>
      <xdr:rowOff>133350</xdr:rowOff>
    </xdr:to>
    <xdr:sp macro="[0]!irOrc1" textlink="">
      <xdr:nvSpPr>
        <xdr:cNvPr id="8" name="orc1">
          <a:extLst>
            <a:ext uri="{FF2B5EF4-FFF2-40B4-BE49-F238E27FC236}">
              <a16:creationId xmlns:a16="http://schemas.microsoft.com/office/drawing/2014/main" id="{00000000-0008-0000-0C00-000008000000}"/>
            </a:ext>
          </a:extLst>
        </xdr:cNvPr>
        <xdr:cNvSpPr/>
      </xdr:nvSpPr>
      <xdr:spPr>
        <a:xfrm>
          <a:off x="2667000" y="952500"/>
          <a:ext cx="1457325" cy="295275"/>
        </a:xfrm>
        <a:prstGeom prst="roundRect">
          <a:avLst/>
        </a:prstGeom>
        <a:ln>
          <a:solidFill>
            <a:sysClr val="windowText" lastClr="00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ORÇAMENTO 1</a:t>
          </a:r>
        </a:p>
      </xdr:txBody>
    </xdr:sp>
    <xdr:clientData/>
  </xdr:twoCellAnchor>
  <xdr:twoCellAnchor>
    <xdr:from>
      <xdr:col>9</xdr:col>
      <xdr:colOff>127000</xdr:colOff>
      <xdr:row>5</xdr:row>
      <xdr:rowOff>38100</xdr:rowOff>
    </xdr:from>
    <xdr:to>
      <xdr:col>9</xdr:col>
      <xdr:colOff>1584325</xdr:colOff>
      <xdr:row>6</xdr:row>
      <xdr:rowOff>133350</xdr:rowOff>
    </xdr:to>
    <xdr:sp macro="[0]!irOrc2" textlink="">
      <xdr:nvSpPr>
        <xdr:cNvPr id="10" name="orc2">
          <a:extLst>
            <a:ext uri="{FF2B5EF4-FFF2-40B4-BE49-F238E27FC236}">
              <a16:creationId xmlns:a16="http://schemas.microsoft.com/office/drawing/2014/main" id="{00000000-0008-0000-0C00-00000A000000}"/>
            </a:ext>
          </a:extLst>
        </xdr:cNvPr>
        <xdr:cNvSpPr/>
      </xdr:nvSpPr>
      <xdr:spPr>
        <a:xfrm>
          <a:off x="6794500" y="952500"/>
          <a:ext cx="1457325" cy="295275"/>
        </a:xfrm>
        <a:prstGeom prst="roundRect">
          <a:avLst/>
        </a:prstGeom>
        <a:ln>
          <a:solidFill>
            <a:sysClr val="windowText" lastClr="000000"/>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ORÇAMENTO 2</a:t>
          </a:r>
        </a:p>
      </xdr:txBody>
    </xdr:sp>
    <xdr:clientData/>
  </xdr:twoCellAnchor>
  <xdr:twoCellAnchor>
    <xdr:from>
      <xdr:col>13</xdr:col>
      <xdr:colOff>130175</xdr:colOff>
      <xdr:row>5</xdr:row>
      <xdr:rowOff>38100</xdr:rowOff>
    </xdr:from>
    <xdr:to>
      <xdr:col>13</xdr:col>
      <xdr:colOff>1587500</xdr:colOff>
      <xdr:row>6</xdr:row>
      <xdr:rowOff>133350</xdr:rowOff>
    </xdr:to>
    <xdr:sp macro="[0]!irOrc3" textlink="">
      <xdr:nvSpPr>
        <xdr:cNvPr id="11" name="orc3">
          <a:extLst>
            <a:ext uri="{FF2B5EF4-FFF2-40B4-BE49-F238E27FC236}">
              <a16:creationId xmlns:a16="http://schemas.microsoft.com/office/drawing/2014/main" id="{00000000-0008-0000-0C00-00000B000000}"/>
            </a:ext>
          </a:extLst>
        </xdr:cNvPr>
        <xdr:cNvSpPr/>
      </xdr:nvSpPr>
      <xdr:spPr>
        <a:xfrm>
          <a:off x="10922000" y="952500"/>
          <a:ext cx="1457325" cy="295275"/>
        </a:xfrm>
        <a:prstGeom prst="roundRect">
          <a:avLst/>
        </a:prstGeom>
        <a:ln>
          <a:solidFill>
            <a:sysClr val="windowText" lastClr="00000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ORÇAMENTO</a:t>
          </a:r>
          <a:r>
            <a:rPr lang="pt-BR" sz="900" baseline="0">
              <a:solidFill>
                <a:sysClr val="windowText" lastClr="000000"/>
              </a:solidFill>
              <a:latin typeface="Arial" panose="020B0604020202020204" pitchFamily="34" charset="0"/>
              <a:cs typeface="Arial" panose="020B0604020202020204" pitchFamily="34" charset="0"/>
            </a:rPr>
            <a:t> 3</a:t>
          </a:r>
          <a:endParaRPr lang="pt-BR" sz="900">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120107</xdr:colOff>
      <xdr:row>1</xdr:row>
      <xdr:rowOff>305571</xdr:rowOff>
    </xdr:to>
    <xdr:sp macro="[0]!voltarCenarios" textlink="">
      <xdr:nvSpPr>
        <xdr:cNvPr id="5" name="reset1">
          <a:extLst>
            <a:ext uri="{FF2B5EF4-FFF2-40B4-BE49-F238E27FC236}">
              <a16:creationId xmlns:a16="http://schemas.microsoft.com/office/drawing/2014/main" id="{00000000-0008-0000-0D00-000005000000}"/>
            </a:ext>
          </a:extLst>
        </xdr:cNvPr>
        <xdr:cNvSpPr/>
      </xdr:nvSpPr>
      <xdr:spPr>
        <a:xfrm>
          <a:off x="0" y="0"/>
          <a:ext cx="1440000" cy="360000"/>
        </a:xfrm>
        <a:prstGeom prst="roundRect">
          <a:avLst/>
        </a:prstGeom>
        <a:ln>
          <a:solidFill>
            <a:sysClr val="windowText" lastClr="00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pt-BR" sz="1200">
              <a:solidFill>
                <a:sysClr val="windowText" lastClr="000000"/>
              </a:solidFill>
              <a:latin typeface="Arial" panose="020B0604020202020204" pitchFamily="34" charset="0"/>
              <a:cs typeface="Arial" panose="020B0604020202020204" pitchFamily="34" charset="0"/>
            </a:rPr>
            <a:t>CENÁRIOS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120107</xdr:colOff>
      <xdr:row>1</xdr:row>
      <xdr:rowOff>305571</xdr:rowOff>
    </xdr:to>
    <xdr:sp macro="[0]!voltarCenarios" textlink="">
      <xdr:nvSpPr>
        <xdr:cNvPr id="2" name="orc2">
          <a:extLst>
            <a:ext uri="{FF2B5EF4-FFF2-40B4-BE49-F238E27FC236}">
              <a16:creationId xmlns:a16="http://schemas.microsoft.com/office/drawing/2014/main" id="{00000000-0008-0000-0E00-000002000000}"/>
            </a:ext>
          </a:extLst>
        </xdr:cNvPr>
        <xdr:cNvSpPr/>
      </xdr:nvSpPr>
      <xdr:spPr>
        <a:xfrm>
          <a:off x="0" y="0"/>
          <a:ext cx="1440000" cy="360000"/>
        </a:xfrm>
        <a:prstGeom prst="roundRect">
          <a:avLst/>
        </a:prstGeom>
        <a:ln>
          <a:solidFill>
            <a:sysClr val="windowText" lastClr="000000"/>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pt-BR" sz="1200">
              <a:solidFill>
                <a:sysClr val="windowText" lastClr="000000"/>
              </a:solidFill>
              <a:latin typeface="Arial" panose="020B0604020202020204" pitchFamily="34" charset="0"/>
              <a:cs typeface="Arial" panose="020B0604020202020204" pitchFamily="34" charset="0"/>
            </a:rPr>
            <a:t>CENÁRIOS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120107</xdr:colOff>
      <xdr:row>1</xdr:row>
      <xdr:rowOff>305571</xdr:rowOff>
    </xdr:to>
    <xdr:sp macro="[0]!voltarCenarios" textlink="">
      <xdr:nvSpPr>
        <xdr:cNvPr id="2" name="orc3">
          <a:extLst>
            <a:ext uri="{FF2B5EF4-FFF2-40B4-BE49-F238E27FC236}">
              <a16:creationId xmlns:a16="http://schemas.microsoft.com/office/drawing/2014/main" id="{00000000-0008-0000-0F00-000002000000}"/>
            </a:ext>
          </a:extLst>
        </xdr:cNvPr>
        <xdr:cNvSpPr/>
      </xdr:nvSpPr>
      <xdr:spPr>
        <a:xfrm>
          <a:off x="0" y="0"/>
          <a:ext cx="1440000" cy="360000"/>
        </a:xfrm>
        <a:prstGeom prst="roundRect">
          <a:avLst/>
        </a:prstGeom>
        <a:ln>
          <a:solidFill>
            <a:sysClr val="windowText" lastClr="00000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pt-BR" sz="1200">
              <a:solidFill>
                <a:sysClr val="windowText" lastClr="000000"/>
              </a:solidFill>
              <a:latin typeface="Arial" panose="020B0604020202020204" pitchFamily="34" charset="0"/>
              <a:cs typeface="Arial" panose="020B0604020202020204" pitchFamily="34" charset="0"/>
            </a:rPr>
            <a:t>CENÁRIOS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4</xdr:row>
      <xdr:rowOff>127000</xdr:rowOff>
    </xdr:from>
    <xdr:to>
      <xdr:col>9</xdr:col>
      <xdr:colOff>220846</xdr:colOff>
      <xdr:row>34</xdr:row>
      <xdr:rowOff>172000</xdr:rowOff>
    </xdr:to>
    <xdr:graphicFrame macro="">
      <xdr:nvGraphicFramePr>
        <xdr:cNvPr id="4" name="grafTotal">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4</xdr:col>
      <xdr:colOff>418154</xdr:colOff>
      <xdr:row>1</xdr:row>
      <xdr:rowOff>169500</xdr:rowOff>
    </xdr:to>
    <xdr:grpSp>
      <xdr:nvGrpSpPr>
        <xdr:cNvPr id="9" name="Agrupar 8">
          <a:extLst>
            <a:ext uri="{FF2B5EF4-FFF2-40B4-BE49-F238E27FC236}">
              <a16:creationId xmlns:a16="http://schemas.microsoft.com/office/drawing/2014/main" id="{00000000-0008-0000-1100-000009000000}"/>
            </a:ext>
          </a:extLst>
        </xdr:cNvPr>
        <xdr:cNvGrpSpPr/>
      </xdr:nvGrpSpPr>
      <xdr:grpSpPr>
        <a:xfrm>
          <a:off x="0" y="0"/>
          <a:ext cx="2880000" cy="360000"/>
          <a:chOff x="0" y="0"/>
          <a:chExt cx="2880000" cy="360000"/>
        </a:xfrm>
      </xdr:grpSpPr>
      <xdr:sp macro="[0]!voltarCenarios" textlink="">
        <xdr:nvSpPr>
          <xdr:cNvPr id="7" name="adicionarLinha">
            <a:extLst>
              <a:ext uri="{FF2B5EF4-FFF2-40B4-BE49-F238E27FC236}">
                <a16:creationId xmlns:a16="http://schemas.microsoft.com/office/drawing/2014/main" id="{00000000-0008-0000-1100-000007000000}"/>
              </a:ext>
            </a:extLst>
          </xdr:cNvPr>
          <xdr:cNvSpPr/>
        </xdr:nvSpPr>
        <xdr:spPr>
          <a:xfrm>
            <a:off x="0" y="0"/>
            <a:ext cx="2880000" cy="36000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pt-BR" sz="2000">
                <a:latin typeface="Arial" panose="020B0604020202020204" pitchFamily="34" charset="0"/>
                <a:cs typeface="Arial" panose="020B0604020202020204" pitchFamily="34" charset="0"/>
              </a:rPr>
              <a:t>    CENÁRIOS</a:t>
            </a:r>
          </a:p>
        </xdr:txBody>
      </xdr:sp>
      <xdr:sp macro="[0]!voltarCenarios" textlink="">
        <xdr:nvSpPr>
          <xdr:cNvPr id="8" name="Seta: para a Esquerda 7">
            <a:extLst>
              <a:ext uri="{FF2B5EF4-FFF2-40B4-BE49-F238E27FC236}">
                <a16:creationId xmlns:a16="http://schemas.microsoft.com/office/drawing/2014/main" id="{00000000-0008-0000-1100-000008000000}"/>
              </a:ext>
            </a:extLst>
          </xdr:cNvPr>
          <xdr:cNvSpPr/>
        </xdr:nvSpPr>
        <xdr:spPr>
          <a:xfrm>
            <a:off x="146537" y="29307"/>
            <a:ext cx="366347" cy="278423"/>
          </a:xfrm>
          <a:prstGeom prst="leftArrow">
            <a:avLst/>
          </a:prstGeom>
          <a:solidFill>
            <a:schemeClr val="bg1"/>
          </a:solidFill>
          <a:ln>
            <a:noFill/>
          </a:ln>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pt-BR" sz="1100"/>
          </a:p>
        </xdr:txBody>
      </xdr:sp>
    </xdr:grpSp>
    <xdr:clientData/>
  </xdr:twoCellAnchor>
  <xdr:twoCellAnchor>
    <xdr:from>
      <xdr:col>10</xdr:col>
      <xdr:colOff>254000</xdr:colOff>
      <xdr:row>0</xdr:row>
      <xdr:rowOff>0</xdr:rowOff>
    </xdr:from>
    <xdr:to>
      <xdr:col>16</xdr:col>
      <xdr:colOff>167092</xdr:colOff>
      <xdr:row>18</xdr:row>
      <xdr:rowOff>171000</xdr:rowOff>
    </xdr:to>
    <xdr:graphicFrame macro="">
      <xdr:nvGraphicFramePr>
        <xdr:cNvPr id="10" name="grafProf">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254000</xdr:colOff>
      <xdr:row>18</xdr:row>
      <xdr:rowOff>0</xdr:rowOff>
    </xdr:from>
    <xdr:to>
      <xdr:col>16</xdr:col>
      <xdr:colOff>167092</xdr:colOff>
      <xdr:row>36</xdr:row>
      <xdr:rowOff>171000</xdr:rowOff>
    </xdr:to>
    <xdr:graphicFrame macro="">
      <xdr:nvGraphicFramePr>
        <xdr:cNvPr id="11" name="grafConc">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662D298-6094-498C-B243-AB7EA3ED78B4}" name="K_alpha_C" displayName="K_alpha_C" ref="B4:D19" totalsRowShown="0" headerRowDxfId="582" dataDxfId="581">
  <autoFilter ref="B4:D19" xr:uid="{B662D298-6094-498C-B243-AB7EA3ED78B4}">
    <filterColumn colId="0" hiddenButton="1"/>
    <filterColumn colId="1" hiddenButton="1"/>
    <filterColumn colId="2" hiddenButton="1"/>
  </autoFilter>
  <tableColumns count="3">
    <tableColumn id="1" xr3:uid="{95D2A8A0-E97F-468E-A54A-C6725A0AF82F}" name="Solo" dataDxfId="580"/>
    <tableColumn id="2" xr3:uid="{51E38B43-B7A6-4BA8-92C6-42BEC84E6105}" name="K (MPa)" dataDxfId="579"/>
    <tableColumn id="3" xr3:uid="{86DF5AE1-3366-4157-AFC4-50C045BF933F}" name="α (%)" dataDxfId="57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9167D0A-EB4A-4C97-AC39-EEBBE4BAAC9F}" name="ref_F1_F2" displayName="ref_F1_F2" ref="F4:H9" totalsRowShown="0" headerRowDxfId="577" dataDxfId="576">
  <autoFilter ref="F4:H9" xr:uid="{C9167D0A-EB4A-4C97-AC39-EEBBE4BAAC9F}">
    <filterColumn colId="0" hiddenButton="1"/>
    <filterColumn colId="1" hiddenButton="1"/>
    <filterColumn colId="2" hiddenButton="1"/>
  </autoFilter>
  <tableColumns count="3">
    <tableColumn id="1" xr3:uid="{A815990B-008D-449E-9AEB-F4975A495CA2}" name="Tipo de estaca" dataDxfId="575"/>
    <tableColumn id="2" xr3:uid="{E9EEB72A-5393-4C73-BE06-4F510B0A3BE3}" name="F1" dataDxfId="574"/>
    <tableColumn id="3" xr3:uid="{B4202A78-D1F3-4AA1-9120-361E3D1AA253}" name="F2" dataDxfId="57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AF8E49E-28C0-4D5E-8AAC-A1BB68224D3A}" name="F1_F2" displayName="F1_F2" ref="F11:H14" totalsRowShown="0" headerRowDxfId="572" dataDxfId="570" headerRowBorderDxfId="571" tableBorderDxfId="569">
  <autoFilter ref="F11:H14" xr:uid="{DAF8E49E-28C0-4D5E-8AAC-A1BB68224D3A}">
    <filterColumn colId="0" hiddenButton="1"/>
    <filterColumn colId="1" hiddenButton="1"/>
    <filterColumn colId="2" hiddenButton="1"/>
  </autoFilter>
  <tableColumns count="3">
    <tableColumn id="1" xr3:uid="{8500F311-3332-47BB-A29B-B3CEB74FFD8B}" name="Tipo de estaca" dataDxfId="568"/>
    <tableColumn id="2" xr3:uid="{25193A04-1EEA-4FC0-A4E9-D18A405AE4EF}" name="F1" dataDxfId="567"/>
    <tableColumn id="3" xr3:uid="{30C6430F-0BA2-442B-B764-11B91B0D345E}" name="F2"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5C02CD0-BBA1-48F0-8C18-6906215E47F8}" name="ref_C" displayName="ref_C" ref="L4:M8" totalsRowShown="0" headerRowDxfId="565" dataDxfId="564">
  <autoFilter ref="L4:M8" xr:uid="{75C02CD0-BBA1-48F0-8C18-6906215E47F8}">
    <filterColumn colId="0" hiddenButton="1"/>
    <filterColumn colId="1" hiddenButton="1"/>
  </autoFilter>
  <tableColumns count="2">
    <tableColumn id="1" xr3:uid="{102A0446-C470-4645-8B67-38844D04FF2F}" name="Tipo do solo" dataDxfId="563"/>
    <tableColumn id="2" xr3:uid="{232B1E6A-4FDA-4811-B23C-FED577A108A8}" name="C (kPa)" dataDxfId="56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2DA0C56-12EB-4F4D-8FF8-46CD4402B7FB}" name="ref_alpha_beta" displayName="ref_alpha_beta" ref="O4:U7" totalsRowShown="0" headerRowDxfId="561" dataDxfId="560">
  <autoFilter ref="O4:U7" xr:uid="{02DA0C56-12EB-4F4D-8FF8-46CD4402B7FB}">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25ABE12-7161-4D2C-85BD-EF3A93B8F9FE}" name="Tipo do solo" dataDxfId="559"/>
    <tableColumn id="2" xr3:uid="{BC26B5A5-453E-43F6-9CDA-80CFD2650574}" name="α ESF" dataDxfId="558"/>
    <tableColumn id="3" xr3:uid="{30B33294-109F-4C04-ABD9-C87489E1D3CF}" name="β ESF" dataDxfId="557"/>
    <tableColumn id="4" xr3:uid="{6E7E40F1-DAB8-42C4-B7F5-0D306DAAD858}" name="α ECF" dataDxfId="556"/>
    <tableColumn id="5" xr3:uid="{87A7E929-17D0-43F7-9031-5631E0B18A73}" name="β ECF" dataDxfId="555"/>
    <tableColumn id="6" xr3:uid="{70C18D67-BA27-4B22-B317-DFD49C2CA75E}" name="α HC" dataDxfId="554"/>
    <tableColumn id="7" xr3:uid="{269272B3-01DF-463A-A2B4-21024F923740}" name="β HC" dataDxfId="55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10E3516-510F-4160-8CB4-42CA742D521C}" name="C_alpha_beta" displayName="C_alpha_beta" ref="W4:AD19" totalsRowShown="0" headerRowDxfId="552" dataDxfId="551">
  <autoFilter ref="W4:AD19" xr:uid="{010E3516-510F-4160-8CB4-42CA742D521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043761A-9FD1-48BD-B6EC-03C0BEDE5857}" name="Solo" dataDxfId="550"/>
    <tableColumn id="4" xr3:uid="{295A34DE-5020-4A31-9470-32699AAEC86E}" name="C (kPa)" dataDxfId="549"/>
    <tableColumn id="5" xr3:uid="{68620579-1E8B-41D2-8264-76AF9C7100AC}" name="α ESF" dataDxfId="548"/>
    <tableColumn id="6" xr3:uid="{90BB2F51-7FCA-46C4-9916-35E9CF1DA013}" name="β ESF" dataDxfId="547"/>
    <tableColumn id="7" xr3:uid="{E550453E-F96B-4E31-B49E-BA6854AC65CE}" name="α ECF" dataDxfId="546"/>
    <tableColumn id="8" xr3:uid="{F3D55F4B-38F1-416A-8BF0-E64CBA30DD10}" name="β ECF" dataDxfId="545"/>
    <tableColumn id="9" xr3:uid="{650D8B6A-3C70-46AF-BBA8-D9D3437A93AF}" name="α HC" dataDxfId="544"/>
    <tableColumn id="10" xr3:uid="{60E1E714-DF96-477E-9D1C-DD1881A4C54F}" name="β HC" dataDxfId="54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5DFAFA8-DD77-4969-A1D8-C02CB830D0B2}" name="estacas" displayName="estacas" ref="B2:G13" totalsRowShown="0" headerRowDxfId="542" dataDxfId="541">
  <autoFilter ref="B2:G13" xr:uid="{B5DFAFA8-DD77-4969-A1D8-C02CB830D0B2}">
    <filterColumn colId="0" hiddenButton="1"/>
    <filterColumn colId="1" hiddenButton="1"/>
    <filterColumn colId="2" hiddenButton="1"/>
    <filterColumn colId="3" hiddenButton="1"/>
    <filterColumn colId="4" hiddenButton="1"/>
    <filterColumn colId="5" hiddenButton="1"/>
  </autoFilter>
  <tableColumns count="6">
    <tableColumn id="1" xr3:uid="{7C6834F4-50D0-41CA-AF8C-81D641BBA12C}" name="Ø ESF (cm)" dataDxfId="540"/>
    <tableColumn id="2" xr3:uid="{FDD6C553-8F8C-40AD-9DE9-8EB8686E81FD}" name="Pe ESF (kN)" dataDxfId="539"/>
    <tableColumn id="3" xr3:uid="{D080A96C-7673-4BCC-9663-DBA4775ED0A2}" name="Ø ECF (cm)" dataDxfId="538"/>
    <tableColumn id="4" xr3:uid="{6A559868-9813-4AF5-86AB-741BF38D347D}" name="Pe ECF (kN)" dataDxfId="537"/>
    <tableColumn id="5" xr3:uid="{00DBF023-E65D-4F04-ADAD-5025498AB863}" name="Ø HC (cm)" dataDxfId="536"/>
    <tableColumn id="6" xr3:uid="{4F8405FC-97F3-4B48-996A-1A4C08659CD6}" name="Pe HC (kN)" dataDxfId="53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2550BB7-623F-44DA-9A03-7C8C8B210586}" name="tipoEstaca" displayName="tipoEstaca" ref="I2:N5" totalsRowShown="0" headerRowDxfId="534" dataDxfId="533">
  <autoFilter ref="I2:N5" xr:uid="{B2550BB7-623F-44DA-9A03-7C8C8B210586}">
    <filterColumn colId="0" hiddenButton="1"/>
    <filterColumn colId="1" hiddenButton="1"/>
    <filterColumn colId="2" hiddenButton="1"/>
    <filterColumn colId="3" hiddenButton="1"/>
    <filterColumn colId="4" hiddenButton="1"/>
    <filterColumn colId="5" hiddenButton="1"/>
  </autoFilter>
  <tableColumns count="6">
    <tableColumn id="2" xr3:uid="{9A36AB56-F26A-44F3-BABE-9056AD028A31}" name="TIPO DE ESTACA" dataDxfId="532"/>
    <tableColumn id="4" xr3:uid="{04583289-A679-4166-9F36-144FEEA5A799}" name="SIGLA" dataDxfId="531"/>
    <tableColumn id="1" xr3:uid="{99C01BAD-E57A-43D6-A832-0F1495AAB39E}" name="fcd (kN/cm²)" dataDxfId="530">
      <calculatedColumnFormula>4/5</calculatedColumnFormula>
    </tableColumn>
    <tableColumn id="3" xr3:uid="{F866E66A-B60E-4C44-9521-1A8CFE49EE5A}" name="TAXA MÍN. ARMADURA" dataDxfId="529"/>
    <tableColumn id="5" xr3:uid="{6492886A-DA4B-45B1-B9D5-A4D8E5670A6E}" name="COMPRIMENTO (m)" dataDxfId="528"/>
    <tableColumn id="6" xr3:uid="{4AD05ADC-9C8D-4D87-9719-225F894BFC82}" name="σmáx (MPa)" dataDxfId="52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7FD12F-C2D7-4EBF-B4B4-A788C9587052}" name="grupoEstacas" displayName="grupoEstacas" ref="I7:K11" totalsRowShown="0" headerRowDxfId="526" dataDxfId="525">
  <autoFilter ref="I7:K11" xr:uid="{127FD12F-C2D7-4EBF-B4B4-A788C9587052}">
    <filterColumn colId="0" hiddenButton="1"/>
    <filterColumn colId="1" hiddenButton="1"/>
    <filterColumn colId="2" hiddenButton="1"/>
  </autoFilter>
  <tableColumns count="3">
    <tableColumn id="1" xr3:uid="{E349D9AD-9098-4FA6-9F17-97113A0609DE}" name="GRUPO DE ESTACAS" dataDxfId="524"/>
    <tableColumn id="2" xr3:uid="{0C00B31C-7B4A-48DE-93DF-72A3AB03BBEB}" name="ε" dataDxfId="523" dataCellStyle="Porcentagem"/>
    <tableColumn id="3" xr3:uid="{77ABE3CA-3441-4666-9816-C246E329CDAA}" name="coef. Blévot" dataDxfId="522"/>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93EA5D2-D758-4585-9C49-5480E533FB41}" name="classeConcreto" displayName="classeConcreto" ref="M7:N10" totalsRowShown="0" headerRowDxfId="521" dataDxfId="520">
  <autoFilter ref="M7:N10" xr:uid="{293EA5D2-D758-4585-9C49-5480E533FB41}">
    <filterColumn colId="0" hiddenButton="1"/>
    <filterColumn colId="1" hiddenButton="1"/>
  </autoFilter>
  <tableColumns count="2">
    <tableColumn id="1" xr3:uid="{0DE88FD8-FA8A-424A-8046-B48B475FBB29}" name="CLASSE CONCRETO" dataDxfId="519"/>
    <tableColumn id="2" xr3:uid="{5BB03045-1FB1-4811-B196-6051CA8EA753}" name="OPÇÕES" dataDxfId="518"/>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579945E-BAB1-4D17-BEB8-E4825FFEFE97}" name="areaAco" displayName="areaAco" ref="B2:L12" totalsRowShown="0" headerRowDxfId="517" dataDxfId="516">
  <autoFilter ref="B2:L12" xr:uid="{5579945E-BAB1-4D17-BEB8-E4825FFEFE9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8F2BDD79-5674-4377-9A67-0AA55049F8F2}" name="Ø\QNTD" dataDxfId="515"/>
    <tableColumn id="2" xr3:uid="{64D268FE-2908-4659-A2BF-E74ED9C17A21}" name="1" dataDxfId="514">
      <calculatedColumnFormula>areaAco[[#Headers],[1]]*PI()*(areaAco[[#This Row],[Ø\QNTD]]/10)^2/4</calculatedColumnFormula>
    </tableColumn>
    <tableColumn id="3" xr3:uid="{CB05D7AE-B15F-4D84-B4EB-4253776B7B0C}" name="2" dataDxfId="513">
      <calculatedColumnFormula>areaAco[[#Headers],[2]]*PI()*(areaAco[[#This Row],[Ø\QNTD]]/10)^2/4</calculatedColumnFormula>
    </tableColumn>
    <tableColumn id="4" xr3:uid="{25BD3EDF-D181-43E7-A47F-181E6C9644F3}" name="3" dataDxfId="512">
      <calculatedColumnFormula>areaAco[[#Headers],[3]]*PI()*(areaAco[[#This Row],[Ø\QNTD]]/10)^2/4</calculatedColumnFormula>
    </tableColumn>
    <tableColumn id="5" xr3:uid="{738516CA-F9DB-4D44-ACEA-426A46077537}" name="4" dataDxfId="511">
      <calculatedColumnFormula>areaAco[[#Headers],[4]]*PI()*(areaAco[[#This Row],[Ø\QNTD]]/10)^2/4</calculatedColumnFormula>
    </tableColumn>
    <tableColumn id="6" xr3:uid="{4DB3A45C-4400-479D-8484-0D39AD709623}" name="5" dataDxfId="510">
      <calculatedColumnFormula>areaAco[[#Headers],[5]]*PI()*(areaAco[[#This Row],[Ø\QNTD]]/10)^2/4</calculatedColumnFormula>
    </tableColumn>
    <tableColumn id="7" xr3:uid="{1451CA56-2E85-45C7-8562-D3D4B1325F34}" name="6" dataDxfId="509">
      <calculatedColumnFormula>areaAco[[#Headers],[6]]*PI()*(areaAco[[#This Row],[Ø\QNTD]]/10)^2/4</calculatedColumnFormula>
    </tableColumn>
    <tableColumn id="8" xr3:uid="{9D9709C0-1B58-46F6-BD8E-74D71B4C1316}" name="7" dataDxfId="508">
      <calculatedColumnFormula>areaAco[[#Headers],[7]]*PI()*(areaAco[[#This Row],[Ø\QNTD]]/10)^2/4</calculatedColumnFormula>
    </tableColumn>
    <tableColumn id="9" xr3:uid="{44D366BF-A083-433A-A722-0A603D9902AF}" name="8" dataDxfId="507">
      <calculatedColumnFormula>areaAco[[#Headers],[8]]*PI()*(areaAco[[#This Row],[Ø\QNTD]]/10)^2/4</calculatedColumnFormula>
    </tableColumn>
    <tableColumn id="10" xr3:uid="{E340D783-ED8E-4037-912E-CF0D64B7FCB1}" name="9" dataDxfId="506">
      <calculatedColumnFormula>areaAco[[#Headers],[9]]*PI()*(areaAco[[#This Row],[Ø\QNTD]]/10)^2/4</calculatedColumnFormula>
    </tableColumn>
    <tableColumn id="11" xr3:uid="{E2E34BE1-60EB-4E0C-8741-B2632BFC914B}" name="10" dataDxfId="505">
      <calculatedColumnFormula>areaAco[[#Headers],[10]]*PI()*(areaAco[[#This Row],[Ø\QNTD]]/10)^2/4</calculatedColumnFormula>
    </tableColum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A4B2CD9-1741-4F57-85FF-024EF436A84E}" name="composicoes" displayName="composicoes" ref="B2:H28" totalsRowShown="0" headerRowDxfId="504" dataDxfId="503">
  <autoFilter ref="B2:H28" xr:uid="{9A4B2CD9-1741-4F57-85FF-024EF436A84E}">
    <filterColumn colId="0" hiddenButton="1"/>
    <filterColumn colId="1" hiddenButton="1"/>
    <filterColumn colId="2" hiddenButton="1"/>
    <filterColumn colId="3" hiddenButton="1"/>
    <filterColumn colId="4" hiddenButton="1"/>
    <filterColumn colId="5" hiddenButton="1"/>
    <filterColumn colId="6" hiddenButton="1"/>
  </autoFilter>
  <sortState xmlns:xlrd2="http://schemas.microsoft.com/office/spreadsheetml/2017/richdata2" ref="B3:H28">
    <sortCondition ref="B2:B28"/>
  </sortState>
  <tableColumns count="7">
    <tableColumn id="1" xr3:uid="{FAF7E5BA-4D81-411B-B95F-AD529F8886D2}" name="CÓDIGO" dataDxfId="502"/>
    <tableColumn id="2" xr3:uid="{C51E7B0D-2900-40E6-B259-05EFF885DFC7}" name="DESCRIÇÃO" dataDxfId="501"/>
    <tableColumn id="3" xr3:uid="{000C329D-5EA2-4FE3-A08B-5E9CE528AD48}" name="UN." dataDxfId="500"/>
    <tableColumn id="4" xr3:uid="{FDFFA1B9-2F1C-40DB-9CBE-649BCA9F4F56}" name=" MÃO DE OBRA" dataDxfId="499" dataCellStyle="Moeda"/>
    <tableColumn id="5" xr3:uid="{5C93BC07-087C-4D2A-AA0E-051F69AFDBC0}" name="MATERIAL" dataDxfId="498" dataCellStyle="Moeda"/>
    <tableColumn id="6" xr3:uid="{E9A00EA6-070B-4603-BFD3-5055A0B646A9}" name="EQUIPAMENTO" dataDxfId="497" dataCellStyle="Moeda"/>
    <tableColumn id="7" xr3:uid="{A6D59BC7-BD2D-4778-A982-50F1544656C0}" name="CUSTO TOTAL" dataDxfId="496" dataCellStyle="Moeda">
      <calculatedColumnFormula>SUM(composicoes[[#This Row],[ MÃO DE OBRA]:[EQUIPAMENTO]])</calculatedColumnFormula>
    </tableColumn>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F01EB6-6D5E-41AF-B19D-35E913A61491}" name="SPT" displayName="SPT" ref="B2:D16" totalsRowShown="0" headerRowDxfId="495" dataDxfId="494">
  <autoFilter ref="B2:D16" xr:uid="{F9F01EB6-6D5E-41AF-B19D-35E913A61491}">
    <filterColumn colId="0" hiddenButton="1"/>
    <filterColumn colId="1" hiddenButton="1"/>
    <filterColumn colId="2" hiddenButton="1"/>
  </autoFilter>
  <tableColumns count="3">
    <tableColumn id="4" xr3:uid="{74D66C9D-3922-4D44-8169-5DBBC8BD9A6E}" name="Prof. (m)" dataDxfId="493">
      <calculatedColumnFormula>IFERROR(B2+1,0)</calculatedColumnFormula>
    </tableColumn>
    <tableColumn id="2" xr3:uid="{7C99E363-6B73-4A64-B8BC-9B57E96FBFE3}" name="NSPT" dataDxfId="492"/>
    <tableColumn id="3" xr3:uid="{81775E2C-6DF8-48F8-8D9E-E9A965587263}" name="Solo" dataDxfId="491"/>
  </tableColumns>
  <tableStyleInfo name="TableStyleMedium1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53BE1D4-4990-43B6-A5AD-A011C14EC6A2}" name="PILARES" displayName="PILARES" ref="B2:E4" totalsRowShown="0" headerRowDxfId="1" dataDxfId="0">
  <autoFilter ref="B2:E4" xr:uid="{A53BE1D4-4990-43B6-A5AD-A011C14EC6A2}">
    <filterColumn colId="0" hiddenButton="1"/>
    <filterColumn colId="1" hiddenButton="1"/>
    <filterColumn colId="2" hiddenButton="1"/>
    <filterColumn colId="3" hiddenButton="1"/>
  </autoFilter>
  <tableColumns count="4">
    <tableColumn id="1" xr3:uid="{8AC98869-87EC-4D86-BB7D-FD76DE593573}" name="Pilar" dataDxfId="5">
      <calculatedColumnFormula>IFERROR(B2+1,1)</calculatedColumnFormula>
    </tableColumn>
    <tableColumn id="2" xr3:uid="{C7ADF22E-CAE5-409B-AE7D-DA4AE8A0F2FC}" name="Carga (kN)" dataDxfId="4"/>
    <tableColumn id="3" xr3:uid="{DA80F86D-E33F-4253-8EC2-EFD7094E1F5B}" name="ap (cm)" dataDxfId="3"/>
    <tableColumn id="4" xr3:uid="{4425CA8A-FC2B-493E-B09F-06ADE6F8300D}" name="bp (cm)" dataDxfId="2"/>
  </tableColumns>
  <tableStyleInfo name="TableStyleMedium1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6CAFB7-1DC9-4F8C-A81C-AD5FD8802F24}" name="ESF" displayName="ESF" ref="B4:BN172" totalsRowShown="0" headerRowDxfId="490" dataDxfId="489">
  <autoFilter ref="B4:BN172" xr:uid="{BC6CAFB7-1DC9-4F8C-A81C-AD5FD8802F2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20" xr3:uid="{75F028D5-B367-4B1B-ABD4-30243A91EB18}" name="idDiâmetro" dataDxfId="488">
      <calculatedColumnFormula>ROUNDUP((ROW(ESF[[#This Row],[idDiâmetro]])-ROW(ESF[[#Headers],[idDiâmetro]]))/(COUNT(SPT[Prof. (m)])*COUNT(PILARES[Pilar])),0)</calculatedColumnFormula>
    </tableColumn>
    <tableColumn id="21" xr3:uid="{9CCA5570-B2EA-44CD-9BD2-D83A0897D3ED}" name="idPilar" dataDxfId="487">
      <calculatedColumnFormula>IF(ESF[[#This Row],[idDiâmetro]]&lt;&gt;B4,1,IF(ESF[[#This Row],[Prof. (m)]]=0,C4+1,C4))</calculatedColumnFormula>
    </tableColumn>
    <tableColumn id="4" xr3:uid="{4FF2B2F6-E75C-4EB3-8F79-316CF5F0740E}" name="Prof. (m)" dataDxfId="486">
      <calculatedColumnFormula>IFERROR(IF(D4=MAX(SPT[Prof. (m)]),0,D4+1),0)</calculatedColumnFormula>
    </tableColumn>
    <tableColumn id="2" xr3:uid="{5756FB72-B580-4476-9CA3-25511FB971A2}" name="NSPT" dataDxfId="485">
      <calculatedColumnFormula>INDEX(SPT[],MATCH(ESF[[#This Row],[Prof. (m)]],SPT[Prof. (m)],0),2)</calculatedColumnFormula>
    </tableColumn>
    <tableColumn id="3" xr3:uid="{708D9B37-C732-46CD-A465-C298B6C8F30A}" name="Solo" dataDxfId="484">
      <calculatedColumnFormula>INDEX(SPT[],MATCH(ESF[[#This Row],[Prof. (m)]],SPT[Prof. (m)],0),3)</calculatedColumnFormula>
    </tableColumn>
    <tableColumn id="25" xr3:uid="{0832B9FC-36AD-4DDC-AC4E-898E801BB646}" name="Ø (cm)" dataDxfId="483">
      <calculatedColumnFormula>INDEX(estacas[],ESF[[#This Row],[idDiâmetro]],MATCH($B$2,estacas[#Headers],0))</calculatedColumnFormula>
    </tableColumn>
    <tableColumn id="9" xr3:uid="{DE1655AA-324A-4660-A03C-A0418F042315}" name="Pe ESF (kN)" dataDxfId="482">
      <calculatedColumnFormula>INDEX(estacas[],MATCH(ESF[[#This Row],[Ø (cm)]],estacas[Ø ESF (cm)],0),MATCH(ESF[[#Headers],[Pe ESF (kN)]],estacas[#Headers],0))</calculatedColumnFormula>
    </tableColumn>
    <tableColumn id="5" xr3:uid="{A34D1C43-0B9C-4DE9-BE34-0DF6F3BFA080}" name="K (MPa)" dataDxfId="481">
      <calculatedColumnFormula>INDEX(K_alpha_C[],MATCH(ESF[[#This Row],[Solo]],K_alpha_C[Solo],0),2)</calculatedColumnFormula>
    </tableColumn>
    <tableColumn id="6" xr3:uid="{81577202-45E8-48AD-B504-28DCE628E4B6}" name="α (%)" dataDxfId="480">
      <calculatedColumnFormula>INDEX(K_alpha_C[],MATCH(ESF[[#This Row],[Solo]],K_alpha_C[Solo],0),3)</calculatedColumnFormula>
    </tableColumn>
    <tableColumn id="7" xr3:uid="{3E183F4B-5E58-48C3-AAB3-A2CB41A522F5}" name="F1" dataDxfId="479">
      <calculatedColumnFormula>INDEX(F1_F2[],MATCH($D$2,F1_F2[Tipo de estaca],0),2)</calculatedColumnFormula>
    </tableColumn>
    <tableColumn id="8" xr3:uid="{704A6450-741F-4D1B-90B8-497CACCAED6E}" name="F2" dataDxfId="478">
      <calculatedColumnFormula>INDEX(F1_F2[],MATCH($D$2,F1_F2[Tipo de estaca],0),3)</calculatedColumnFormula>
    </tableColumn>
    <tableColumn id="10" xr3:uid="{C4F931D0-75E8-4225-B41D-1717FE903CE6}" name="Ap (m²)" dataDxfId="477">
      <calculatedColumnFormula>PI()*(ESF[[#This Row],[Ø (cm)]]/100)^2/4</calculatedColumnFormula>
    </tableColumn>
    <tableColumn id="11" xr3:uid="{CC01B602-B4D7-46B6-8BA8-BB420190665C}" name="U (m)" dataDxfId="476">
      <calculatedColumnFormula>PI()*ESF[[#This Row],[Ø (cm)]]/100</calculatedColumnFormula>
    </tableColumn>
    <tableColumn id="12" xr3:uid="{C3FF7CEE-522F-45E6-ADF9-F3FCC816DBAE}" name="(α∙K∙NL∙ΔL)" dataDxfId="475">
      <calculatedColumnFormula>IF(ESF[[#This Row],[Prof. (m)]]=0,0,ESF[[#This Row],[α (%)]]/100*ESF[[#This Row],[K (MPa)]]*1000*ESF[[#This Row],[NSPT]])</calculatedColumnFormula>
    </tableColumn>
    <tableColumn id="13" xr3:uid="{1931F6C4-A43B-478E-82D4-45B047DAA60E}" name="R_AV (kN)" dataDxfId="474">
      <calculatedColumnFormula>IF(ESF[[#This Row],[Prof. (m)]]=0,0,(ESF[[#This Row],[K (MPa)]]*1000*ESF[[#This Row],[NSPT]]/ESF[[#This Row],[F1]]*ESF[[#This Row],[Ap (m²)]]+ESF[[#This Row],[U (m)]]/ESF[[#This Row],[F2]]*SUMIFS(ESF[(α∙K∙NL∙ΔL)],ESF[Prof. (m)],"&lt;="&amp;ESF[[#This Row],[Prof. (m)]],ESF[idDiâmetro],ESF[[#This Row],[idDiâmetro]],ESF[idPilar],ESF[[#This Row],[idPilar]]))/'DADOS CAP. CARGA'!$D$2)</calculatedColumnFormula>
    </tableColumn>
    <tableColumn id="14" xr3:uid="{849F3186-C29D-4290-91A3-D8A8A7867A1C}" name="C (kPa)" dataDxfId="473">
      <calculatedColumnFormula>INDEX(C_alpha_beta[],MATCH(ESF[[#This Row],[Solo]],C_alpha_beta[Solo],0),MATCH(ESF[[#Headers],[C (kPa)]],C_alpha_beta[#Headers],0))</calculatedColumnFormula>
    </tableColumn>
    <tableColumn id="15" xr3:uid="{FDD13B31-C90D-48FB-B812-107EBBA274BA}" name="α ESF" dataDxfId="472">
      <calculatedColumnFormula>INDEX(C_alpha_beta[],MATCH(ESF[[#This Row],[Solo]],C_alpha_beta[Solo],0),MATCH(ESF[[#Headers],[α ESF]],C_alpha_beta[#Headers],0))</calculatedColumnFormula>
    </tableColumn>
    <tableColumn id="16" xr3:uid="{FEC261E0-0352-46FB-B254-0A29BE420274}" name="β ESF" dataDxfId="471">
      <calculatedColumnFormula>INDEX(C_alpha_beta[],MATCH(ESF[[#This Row],[Solo]],C_alpha_beta[Solo],0),MATCH(ESF[[#Headers],[β ESF]],C_alpha_beta[#Headers],0))</calculatedColumnFormula>
    </tableColumn>
    <tableColumn id="18" xr3:uid="{FB599FDD-66F5-4997-BFC9-A762ED2D24E7}" name="10∙(NL/3+1)" dataDxfId="470">
      <calculatedColumnFormula>IF(ESF[[#This Row],[Prof. (m)]]=0,0,10*(ESF[[#This Row],[NSPT]]/3+1))</calculatedColumnFormula>
    </tableColumn>
    <tableColumn id="17" xr3:uid="{294860EA-CF03-44CB-83F3-E2B19534727B}" name="R_DC (kN)" dataDxfId="469">
      <calculatedColumnFormula>(ESF[[#This Row],[α ESF]]*ESF[[#This Row],[C (kPa)]]*ESF[[#This Row],[NSPT]]*ESF[[#This Row],[Ap (m²)]])/'DADOS CAP. CARGA'!$Q$2+(ESF[[#This Row],[β ESF]]*SUMIFS(ESF[10∙(NL/3+1)],ESF[Prof. (m)],"&lt;="&amp;ESF[[#This Row],[Prof. (m)]],ESF[idDiâmetro],ESF[[#This Row],[idDiâmetro]],ESF[idPilar],ESF[[#This Row],[idPilar]])*ESF[[#This Row],[U (m)]])/'DADOS CAP. CARGA'!$S$2</calculatedColumnFormula>
    </tableColumn>
    <tableColumn id="19" xr3:uid="{66A1FB31-0A8C-48FA-8C58-3720EC4617BA}" name="Padm (kN)" dataDxfId="468">
      <calculatedColumnFormula>IF(SPT!$M$5=1,MIN(ESF[[#This Row],[Pe ESF (kN)]],ESF[[#This Row],[R_AV (kN)]]),IF(SPT!$M$5=2,MIN(ESF[[#This Row],[Pe ESF (kN)]],ESF[[#This Row],[R_DC (kN)]]),MIN(ESF[[#This Row],[Pe ESF (kN)]],ESF[[#This Row],[R_AV (kN)]],ESF[[#This Row],[R_DC (kN)]])))</calculatedColumnFormula>
    </tableColumn>
    <tableColumn id="22" xr3:uid="{BF6352B0-7E52-4676-BB43-312E6F90C808}" name="Nsd (kN)" dataDxfId="467">
      <calculatedColumnFormula>INDEX(PILARES[],ESF[[#This Row],[idPilar]],MATCH("Carga (kN)",PILARES[#Headers],0))*1.4</calculatedColumnFormula>
    </tableColumn>
    <tableColumn id="23" xr3:uid="{A03120B9-4249-4933-A167-C2EC46922FB6}" name="ap (cm)" dataDxfId="466">
      <calculatedColumnFormula>INDEX(PILARES[],ESF[[#This Row],[idPilar]],MATCH(ESF[[#Headers],[ap (cm)]],PILARES[#Headers],0))</calculatedColumnFormula>
    </tableColumn>
    <tableColumn id="24" xr3:uid="{59F0FD12-0C32-4537-8DAE-BFB322461AD6}" name="bp (cm)" dataDxfId="465">
      <calculatedColumnFormula>INDEX(PILARES[],ESF[[#This Row],[idPilar]],MATCH(ESF[[#Headers],[bp (cm)]],PILARES[#Headers],0))</calculatedColumnFormula>
    </tableColumn>
    <tableColumn id="50" xr3:uid="{5F6A75E7-FA24-4699-AE56-DC5944A8AA5D}" name="ap,eq (cm)" dataDxfId="464">
      <calculatedColumnFormula>SQRT(ESF[[#This Row],[ap (cm)]]*ESF[[#This Row],[bp (cm)]])</calculatedColumnFormula>
    </tableColumn>
    <tableColumn id="51" xr3:uid="{BB881B40-2077-4748-87A7-C4C634E766B3}" name="Ap (cm²)" dataDxfId="463">
      <calculatedColumnFormula>ESF[[#This Row],[ap (cm)]]*ESF[[#This Row],[bp (cm)]]</calculatedColumnFormula>
    </tableColumn>
    <tableColumn id="1" xr3:uid="{B7003B63-90F3-4D32-B132-52724E6B4EB5}" name="nE" dataDxfId="462">
      <calculatedColumnFormula>IF(ESF[[#This Row],[Padm∙ε (kN)]]&gt;=ESF[[#This Row],[Padm (kN)]],ROUNDUP(1.05*ESF[[#This Row],[Nsd (kN)]]/ESF[[#This Row],[Padm (kN)]],0),ROUNDUP(1.05*ESF[[#This Row],[Nsd (kN)]]/ESF[[#This Row],[Padm (kN)]],0)+1)</calculatedColumnFormula>
    </tableColumn>
    <tableColumn id="26" xr3:uid="{2541AF04-239E-4E83-B219-9435C58F6F8F}" name="Padm∙ε (kN)" dataDxfId="461">
      <calculatedColumnFormula>IFERROR(IF(ESF[[#This Row],[nE]]=1,ESF[[#This Row],[Padm (kN)]],ESF[[#This Row],[Padm (kN)]]*ESF[[#This Row],[nE]]*INDEX(grupoEstacas[],ESF[[#This Row],[nE]],MATCH("ε",grupoEstacas[#Headers],0))),"N.S.")</calculatedColumnFormula>
    </tableColumn>
    <tableColumn id="28" xr3:uid="{2EE2B609-EBA1-4E27-B04F-4739905E34C9}" name="σ (MPa)" dataDxfId="460">
      <calculatedColumnFormula>1.05*ESF[[#This Row],[Nsd (kN)]]/(ESF[[#This Row],[nE]]*PI()*ESF[[#This Row],[Ø (cm)]]^2/4)*10</calculatedColumnFormula>
    </tableColumn>
    <tableColumn id="30" xr3:uid="{CE240E0F-0778-4B30-B545-F93F90C7F32E}" name="As,mín (cm²)" dataDxfId="459">
      <calculatedColumnFormula>IF(ESF[[#This Row],[σ (MPa)]]&lt;INDEX(tipoEstaca[],MATCH($D$2,tipoEstaca[TIPO DE ESTACA],0),MATCH("σmáx (MPa)",tipoEstaca[#Headers],0)),0.4%*PI()*ESF[[#This Row],[Ø (cm)]]^2/4,"N.S.")</calculatedColumnFormula>
    </tableColumn>
    <tableColumn id="31" xr3:uid="{4CDC116C-2BB5-42DE-8CD4-4E825F585D65}" name="Comprimento (m)" dataDxfId="458">
      <calculatedColumnFormula>INDEX(tipoEstaca[],MATCH($D$2,tipoEstaca[TIPO DE ESTACA],0),MATCH(ESF[[#Headers],[Comprimento (m)]],tipoEstaca[#Headers],0))</calculatedColumnFormula>
    </tableColumn>
    <tableColumn id="32" xr3:uid="{6329AFF3-9FCE-44B6-A677-2168653BC5B8}" name="Aço Est (kg)" dataDxfId="457">
      <calculatedColumnFormula>ESF[[#This Row],[As,mín (cm²)]]/100^2*ESF[[#This Row],[Comprimento (m)]]*7850</calculatedColumnFormula>
    </tableColumn>
    <tableColumn id="33" xr3:uid="{3D32AC9C-6C36-4A7A-97C0-D1706478BC77}" name="Conc Est (m³)" dataDxfId="456">
      <calculatedColumnFormula>ESF[[#This Row],[nE]]*ESF[[#This Row],[Prof. (m)]]*ESF[[#This Row],[Ap (m²)]]</calculatedColumnFormula>
    </tableColumn>
    <tableColumn id="27" xr3:uid="{62325FF1-573F-4BEF-9598-E4FD4DEFAC26}" name="e (cm)" dataDxfId="455">
      <calculatedColumnFormula>IF(ESF[[#This Row],[nE]]=1,0,MAX(3*ESF[[#This Row],[Ø (cm)]],60))</calculatedColumnFormula>
    </tableColumn>
    <tableColumn id="29" xr3:uid="{757861B5-888F-49A9-A994-338CF646EBAE}" name="a (cm)" dataDxfId="454">
      <calculatedColumnFormula>IF(ESF[[#This Row],[nE]]=1,ESF[[#This Row],[Ø (cm)]]+2*10,MAX(1.5*ESF[[#This Row],[Ø (cm)]],ESF[[#This Row],[Ø (cm)]]+15))</calculatedColumnFormula>
    </tableColumn>
    <tableColumn id="34" xr3:uid="{DFC2CDB4-0F0D-4C4B-9942-C5C7F2B84F5A}" name="d (cm)" dataDxfId="453">
      <calculatedColumnFormula>alturaUtil(ESF[[#This Row],[nE]],ESF[[#This Row],[Ø (cm)]],ESF[[#This Row],[e (cm)]],ESF[[#This Row],[ap,eq (cm)]])</calculatedColumnFormula>
    </tableColumn>
    <tableColumn id="35" xr3:uid="{4FCCA589-A0D4-4038-BF5F-3BA8B060AF46}" name="h (cm)" dataDxfId="452">
      <calculatedColumnFormula>IFERROR(ESF[[#This Row],[d (cm)]]+arredondarParaCimaMultiplo5cm(MAX(5,SQRT(PI())/2*ESF[[#This Row],[Ø (cm)]]/5)),"N.S.")</calculatedColumnFormula>
    </tableColumn>
    <tableColumn id="49" xr3:uid="{37B77033-A61F-4229-BDD2-CCC2F1CD0EC6}" name="α" dataDxfId="451">
      <calculatedColumnFormula>alpha(ESF[[#This Row],[nE]],ESF[[#This Row],[d (cm)]],ESF[[#This Row],[e (cm)]],ESF[[#This Row],[ap,eq (cm)]])</calculatedColumnFormula>
    </tableColumn>
    <tableColumn id="36" xr3:uid="{BF37B8A0-105D-4960-9EB1-AEB72CCB370A}" name="cd,b,pil (kN/cm²)" dataDxfId="450">
      <calculatedColumnFormula>IFERROR(ESF[[#This Row],[Nsd (kN)]]/(ESF[[#This Row],[Ap (cm²)]]*SIN(ESF[[#This Row],[α]])^2),"N.S.")</calculatedColumnFormula>
    </tableColumn>
    <tableColumn id="37" xr3:uid="{B223F291-1CC7-4F38-B053-E72A10B83686}" name="cd,b,est (kN/cm²)" dataDxfId="449">
      <calculatedColumnFormula>IFERROR(ESF[[#This Row],[Nsd (kN)]]/(ESF[[#This Row],[nE]]*PI()*ESF[[#This Row],[Ø (cm)]]^2/4*SIN(ESF[[#This Row],[α]])^2),"N.S.")</calculatedColumnFormula>
    </tableColumn>
    <tableColumn id="52" xr3:uid="{0A4944D3-3A85-45D8-A824-96795DE3BC44}" name="coef. Blévot" dataDxfId="448">
      <calculatedColumnFormula>IFERROR(INDEX(grupoEstacas[],ESF[[#This Row],[nE]],MATCH("coef. Blévot",grupoEstacas[#Headers],0)),"N.S.")</calculatedColumnFormula>
    </tableColumn>
    <tableColumn id="38" xr3:uid="{6D54368A-B7D6-4F12-B502-8FBAE741D85D}" name="cd,b,lim (kN/cm²)" dataDxfId="447">
      <calculatedColumnFormula>IFERROR(ESF[[#This Row],[coef. Blévot]]*0.9*INDEX(tipoEstaca[],MATCH($D$2,tipoEstaca[TIPO DE ESTACA],0),MATCH("fcd (kN/cm²)",tipoEstaca[#Headers],0)),"N.S.")</calculatedColumnFormula>
    </tableColumn>
    <tableColumn id="39" xr3:uid="{B62BF6AA-AC8A-4034-896D-DBC650042F4F}" name="Verif. Biela" dataDxfId="446">
      <calculatedColumnFormula>IF(AND(ESF[[#This Row],[cd,b,pil (kN/cm²)]]&lt;=ESF[[#This Row],[cd,b,lim (kN/cm²)]],ESF[[#This Row],[cd,b,est (kN/cm²)]]&lt;=ESF[[#This Row],[cd,b,lim (kN/cm²)]]),"OK","ERRO")</calculatedColumnFormula>
    </tableColumn>
    <tableColumn id="40" xr3:uid="{CF370C4D-15B3-4F05-A7FE-6742AEB6CC39}" name="As,lado (cm²)" dataDxfId="445">
      <calculatedColumnFormula>As_lado(ESF[[#This Row],[nE]],ESF[[#This Row],[Nsd (kN)]],ESF[[#This Row],[d (cm)]],ESF[[#This Row],[e (cm)]],ESF[[#This Row],[ap,eq (cm)]])</calculatedColumnFormula>
    </tableColumn>
    <tableColumn id="46" xr3:uid="{CBF0D29E-20C6-40E9-BD5B-C1D1D6B0F061}" name="Asp e Asw (cm²/m)" dataDxfId="444">
      <calculatedColumnFormula>IF(ESF[[#This Row],[nE]]=1,ESF[[#This Row],[As,lado (cm²)]],IF(ESF[[#This Row],[nE]]=2,0.075*2*ESF[a (cm)],"N.A."))</calculatedColumnFormula>
    </tableColumn>
    <tableColumn id="41" xr3:uid="{DBCDD8A4-2D6D-4676-BB7D-9367BF4BFC21}" name="As,sup (cm²)" dataDxfId="443">
      <calculatedColumnFormula>IFERROR(IF(ESF[[#This Row],[nE]]=1,"N.A.",0.2*ESF[[#This Row],[As,lado (cm²)]]),"N.S.")</calculatedColumnFormula>
    </tableColumn>
    <tableColumn id="42" xr3:uid="{6DF59465-31F9-43F0-A5BF-CF93DE7197FE}" name="As,malha (cm²)" dataDxfId="442">
      <calculatedColumnFormula>As_malha(ESF[[#This Row],[nE]],ESF[[#This Row],[As,lado (cm²)]],ESF[[#This Row],[Nsd (kN)]])</calculatedColumnFormula>
    </tableColumn>
    <tableColumn id="43" xr3:uid="{B7D6F5CD-BCAB-4987-A14B-9866401D435C}" name="As,susp,tot (cm²)" dataDxfId="441">
      <calculatedColumnFormula>As_susp_tot(ESF[[#This Row],[nE]],ESF[[#This Row],[Nsd (kN)]])</calculatedColumnFormula>
    </tableColumn>
    <tableColumn id="44" xr3:uid="{180B24A3-272A-4499-92B1-6F4D596D5B97}" name="Asp,face (cm²)" dataDxfId="440">
      <calculatedColumnFormula>Asp_face(ESF[[#This Row],[nE]],ESF[[#This Row],[As,lado (cm²)]])</calculatedColumnFormula>
    </tableColumn>
    <tableColumn id="47" xr3:uid="{EB53FBBE-CBF5-4168-93FD-0BD27785F636}" name="Aço Bloco (kg)" dataDxfId="439">
      <calculatedColumnFormula>acoBloco(ESF[[#This Row],[nE]],ESF[[#This Row],[e (cm)]],ESF[[#This Row],[a (cm)]],ESF[[#This Row],[h (cm)]],ESF[[#This Row],[As,lado (cm²)]],ESF[[#This Row],[Asp e Asw (cm²/m)]],ESF[[#This Row],[As,sup (cm²)]],ESF[[#This Row],[As,malha (cm²)]],ESF[[#This Row],[As,susp,tot (cm²)]],ESF[[#This Row],[Asp,face (cm²)]])</calculatedColumnFormula>
    </tableColumn>
    <tableColumn id="48" xr3:uid="{33A27CED-7A47-4D57-95B9-890050798A12}" name="Conc Bloco (m³)" dataDxfId="438">
      <calculatedColumnFormula>concretoBloco(ESF[[#This Row],[nE]],ESF[[#This Row],[e (cm)]],ESF[[#This Row],[a (cm)]],ESF[[#This Row],[h (cm)]])</calculatedColumnFormula>
    </tableColumn>
    <tableColumn id="59" xr3:uid="{0EB856A7-70CE-4DFE-862B-E5BB3A198170}" name="Aço (kg)" dataDxfId="437">
      <calculatedColumnFormula>SUM(ESF[[#This Row],[Aço Est (kg)]],ESF[[#This Row],[Aço Bloco (kg)]])</calculatedColumnFormula>
    </tableColumn>
    <tableColumn id="60" xr3:uid="{C435F6F5-76FE-47BD-BB43-9BF97B4DF2AB}" name="Aço (R$/kg)" dataDxfId="436">
      <calculatedColumnFormula>INDEX(composicoes[],MATCH(95580,composicoes[CÓDIGO],0),MATCH("CUSTO TOTAL",composicoes[#Headers],0))</calculatedColumnFormula>
    </tableColumn>
    <tableColumn id="58" xr3:uid="{EB25E821-75C4-4874-85D5-E3FD9AB3E879}" name="Conc (m³)" dataDxfId="435">
      <calculatedColumnFormula>SUM(ESF[[#This Row],[Conc Est (m³)]],ESF[[#This Row],[Conc Bloco (m³)]])</calculatedColumnFormula>
    </tableColumn>
    <tableColumn id="61" xr3:uid="{AFEE8B78-823C-4958-AC48-74BC6E775F2A}" name="Conc (R$/m³)" dataDxfId="434">
      <calculatedColumnFormula>INDEX(composicoes[],MATCH(94966,composicoes[CÓDIGO],0),MATCH("CUSTO TOTAL",composicoes[#Headers],0))</calculatedColumnFormula>
    </tableColumn>
    <tableColumn id="62" xr3:uid="{46C09328-135F-46C3-8527-EDD099DD40A3}" name="Custo" dataDxfId="433" dataCellStyle="Moeda">
      <calculatedColumnFormula>ESF[[#This Row],[Aço (kg)]]*ESF[[#This Row],[Aço (R$/kg)]]+ESF[[#This Row],[Conc (m³)]]*ESF[[#This Row],[Conc (R$/m³)]]</calculatedColumnFormula>
    </tableColumn>
    <tableColumn id="45" xr3:uid="{D13B4AC9-199F-4247-A05E-B24F6227E0A2}" name="Nº Est." dataDxfId="432">
      <calculatedColumnFormula>IF(COUNTIF(ESF[#This Row],"N.S.")&gt;0,"lim.","OK")</calculatedColumnFormula>
    </tableColumn>
    <tableColumn id="54" xr3:uid="{1E288A1A-704F-4C12-ACFC-9610BD57B489}" name="Prof. &gt;= 3m" dataDxfId="431">
      <calculatedColumnFormula>IF(ESF[[#This Row],[Prof. (m)]]&lt;3,"lim.","OK")</calculatedColumnFormula>
    </tableColumn>
    <tableColumn id="65" xr3:uid="{D6A8B272-B790-47AB-8ABB-9F6991B53F7B}" name="Prof. &gt;= 8Ø " dataDxfId="430">
      <calculatedColumnFormula>IF(ESF[[#This Row],[Prof. (m)]]&gt;=8*ESF[[#This Row],[Ø (cm)]]/100,"OK","lim.")</calculatedColumnFormula>
    </tableColumn>
    <tableColumn id="53" xr3:uid="{3B554D46-FB48-47ED-81F7-C11F7E15DAD0}" name="N.A." dataDxfId="429">
      <calculatedColumnFormula>IF(AND(SPT!$F$3&lt;&gt;"",ESF[[#This Row],[Prof. (m)]]&gt;=SPT!$F$3),"lim.","OK")</calculatedColumnFormula>
    </tableColumn>
    <tableColumn id="55" xr3:uid="{8265E858-021A-46F6-8994-D0EF18CF7098}" name="Estab. Furo" dataDxfId="428">
      <calculatedColumnFormula>IF(COUNTIFS(ESF[Solo],"Areia",ESF[Prof. (m)],"&lt;="&amp;ESF[[#This Row],[Prof. (m)]])&gt;=1,"lim.","OK")</calculatedColumnFormula>
    </tableColumn>
    <tableColumn id="57" xr3:uid="{6117BAAF-A6FD-4AEB-B032-F3A5901A2153}" name="Biela comp." dataDxfId="427">
      <calculatedColumnFormula>IF(ESF[[#This Row],[Verif. Biela]]="OK","OK","lim.")</calculatedColumnFormula>
    </tableColumn>
    <tableColumn id="56" xr3:uid="{3B0DF1B9-3424-4641-A63F-562EFF51591F}" name="Controle" dataDxfId="426">
      <calculatedColumnFormula>IF(COUNTA(ESF[[#This Row],[Nº Est.]:[Biela comp.]])=COUNTIF(ESF[[#This Row],[Nº Est.]:[Biela comp.]],"OK"),"OK","lim.")</calculatedColumnFormula>
    </tableColumn>
    <tableColumn id="63" xr3:uid="{1D09F213-8BAF-45E0-BA33-9082643F10BC}" name="idDimensionamento" dataDxfId="6">
      <calculatedColumnFormula>IF(ESF[[#This Row],[Controle]]="OK",ESF[[#This Row],[nE]]&amp;" Ø"&amp;ESF[[#This Row],[Ø (cm)]]&amp;"cm Prof. "&amp;ESF[[#This Row],[Prof. (m)]]&amp;" m","")</calculatedColumnFormula>
    </tableColumn>
    <tableColumn id="64" xr3:uid="{D14D6526-9F9B-4A40-91D9-8A63D55A5096}" name="idPilar,idDimensionamento" dataDxfId="425">
      <calculatedColumnFormula>IF(ESF[[#This Row],[idDimensionamento]]="","",ESF[[#This Row],[idPilar]]&amp;ESF[[#This Row],[idDimensionamento]])</calculatedColumnFormula>
    </tableColumn>
  </tableColumns>
  <tableStyleInfo name="TableStyleMedium1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E4E07B8-390D-4225-A985-B95277932C6D}" name="ECF" displayName="ECF" ref="B4:BM284" totalsRowShown="0" headerRowDxfId="424" dataDxfId="423">
  <autoFilter ref="B4:BM284" xr:uid="{BC6CAFB7-1DC9-4F8C-A81C-AD5FD8802F2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autoFilter>
  <tableColumns count="64">
    <tableColumn id="20" xr3:uid="{2D3E1471-79B0-44B2-AD58-91B4F3FE87B4}" name="idDiâmetro" dataDxfId="422">
      <calculatedColumnFormula>ROUNDUP((ROW(ECF[[#This Row],[idDiâmetro]])-ROW(ECF[[#Headers],[idDiâmetro]]))/(COUNT(SPT[Prof. (m)])*COUNT(PILARES[Pilar])),0)</calculatedColumnFormula>
    </tableColumn>
    <tableColumn id="21" xr3:uid="{A1BC98DB-3F03-4DC6-8EA4-CAAD45F4D142}" name="idPilar" dataDxfId="421">
      <calculatedColumnFormula>IF(ECF[[#This Row],[idDiâmetro]]&lt;&gt;B4,1,IF(ECF[[#This Row],[Prof. (m)]]=0,C4+1,C4))</calculatedColumnFormula>
    </tableColumn>
    <tableColumn id="4" xr3:uid="{713B3C34-CEA9-4425-81CA-723187BAF88D}" name="Prof. (m)" dataDxfId="420">
      <calculatedColumnFormula>IFERROR(IF(D4=MAX(SPT[Prof. (m)]),0,D4+1),0)</calculatedColumnFormula>
    </tableColumn>
    <tableColumn id="2" xr3:uid="{C4B31BF2-24AF-4AD1-A00B-A5A2FBC98D29}" name="NSPT" dataDxfId="419">
      <calculatedColumnFormula>INDEX(SPT[],MATCH(ECF[[#This Row],[Prof. (m)]],SPT[Prof. (m)],0),2)</calculatedColumnFormula>
    </tableColumn>
    <tableColumn id="3" xr3:uid="{06783A56-E8F0-4DD7-9914-2F86EFCEC870}" name="Solo" dataDxfId="418">
      <calculatedColumnFormula>INDEX(SPT[],MATCH(ECF[[#This Row],[Prof. (m)]],SPT[Prof. (m)],0),3)</calculatedColumnFormula>
    </tableColumn>
    <tableColumn id="25" xr3:uid="{F517054B-C627-46D3-8CC2-E6BB070705B9}" name="Ø (cm)" dataDxfId="417">
      <calculatedColumnFormula>INDEX(estacas[],ECF[[#This Row],[idDiâmetro]],MATCH($B$2,estacas[#Headers],0))</calculatedColumnFormula>
    </tableColumn>
    <tableColumn id="9" xr3:uid="{1B8FE539-6E47-4984-9135-FE830145F84A}" name="Pe ECF (kN)" dataDxfId="416">
      <calculatedColumnFormula>INDEX(estacas[],MATCH(ECF[[#This Row],[Ø (cm)]],estacas[Ø ECF (cm)],0),MATCH(ECF[[#Headers],[Pe ECF (kN)]],estacas[#Headers],0))</calculatedColumnFormula>
    </tableColumn>
    <tableColumn id="5" xr3:uid="{A897FD38-C824-4D77-A6A6-F7DAE0C7316C}" name="K (MPa)" dataDxfId="415">
      <calculatedColumnFormula>INDEX(K_alpha_C[],MATCH(ECF[[#This Row],[Solo]],K_alpha_C[Solo],0),2)</calculatedColumnFormula>
    </tableColumn>
    <tableColumn id="6" xr3:uid="{C4771C9B-E4A0-4A4F-9CA8-123596E48BE2}" name="α (%)" dataDxfId="414">
      <calculatedColumnFormula>INDEX(K_alpha_C[],MATCH(ECF[[#This Row],[Solo]],K_alpha_C[Solo],0),3)</calculatedColumnFormula>
    </tableColumn>
    <tableColumn id="7" xr3:uid="{98F0A3A3-B0AA-471F-BF02-16C39287EE8E}" name="F1" dataDxfId="413">
      <calculatedColumnFormula>INDEX(F1_F2[],MATCH($D$2,F1_F2[Tipo de estaca],0),2)</calculatedColumnFormula>
    </tableColumn>
    <tableColumn id="8" xr3:uid="{F4643CD0-0704-4097-8ED1-EC94A413E34D}" name="F2" dataDxfId="412">
      <calculatedColumnFormula>INDEX(F1_F2[],MATCH($D$2,F1_F2[Tipo de estaca],0),3)</calculatedColumnFormula>
    </tableColumn>
    <tableColumn id="10" xr3:uid="{3C34E082-678E-4F30-84AD-40B2CEAD522C}" name="Ap (m²)" dataDxfId="411">
      <calculatedColumnFormula>PI()*(ECF[[#This Row],[Ø (cm)]]/100)^2/4</calculatedColumnFormula>
    </tableColumn>
    <tableColumn id="11" xr3:uid="{8F5F3C48-8026-4BC7-BEC7-E16105F187CD}" name="U (m)" dataDxfId="410">
      <calculatedColumnFormula>PI()*ECF[[#This Row],[Ø (cm)]]/100</calculatedColumnFormula>
    </tableColumn>
    <tableColumn id="12" xr3:uid="{18F49A7F-0897-4B0D-AE31-06E2778B5E56}" name="(α∙K∙NL∙ΔL)" dataDxfId="409">
      <calculatedColumnFormula>IF(ECF[[#This Row],[Prof. (m)]]=0,0,ECF[[#This Row],[α (%)]]/100*ECF[[#This Row],[K (MPa)]]*1000*ECF[[#This Row],[NSPT]])</calculatedColumnFormula>
    </tableColumn>
    <tableColumn id="13" xr3:uid="{1BF1F91F-EC86-4679-BA81-B54F36B82D4A}" name="R_AV (kN)" dataDxfId="408">
      <calculatedColumnFormula>IF(ECF[[#This Row],[Prof. (m)]]=0,0,(ECF[[#This Row],[K (MPa)]]*1000*ECF[[#This Row],[NSPT]]/ECF[[#This Row],[F1]]*ECF[[#This Row],[Ap (m²)]]+ECF[[#This Row],[U (m)]]/ECF[[#This Row],[F2]]*SUMIFS(ECF[(α∙K∙NL∙ΔL)],ECF[Prof. (m)],"&lt;="&amp;ECF[[#This Row],[Prof. (m)]],ECF[idDiâmetro],ECF[[#This Row],[idDiâmetro]],ECF[idPilar],ECF[[#This Row],[idPilar]]))/'DADOS CAP. CARGA'!$D$2)</calculatedColumnFormula>
    </tableColumn>
    <tableColumn id="14" xr3:uid="{C543438D-4D1A-462B-A1AA-99012929ABCF}" name="C (kPa)" dataDxfId="407">
      <calculatedColumnFormula>INDEX(C_alpha_beta[],MATCH(ECF[[#This Row],[Solo]],C_alpha_beta[Solo],0),MATCH(ECF[[#Headers],[C (kPa)]],C_alpha_beta[#Headers],0))</calculatedColumnFormula>
    </tableColumn>
    <tableColumn id="15" xr3:uid="{5F6A4B70-98FB-459F-94C7-C18198576FB9}" name="α ESF" dataDxfId="406">
      <calculatedColumnFormula>INDEX(C_alpha_beta[],MATCH(ECF[[#This Row],[Solo]],C_alpha_beta[Solo],0),MATCH(ECF[[#Headers],[α ESF]],C_alpha_beta[#Headers],0))</calculatedColumnFormula>
    </tableColumn>
    <tableColumn id="16" xr3:uid="{7B21371E-0C63-4753-8DB1-0E7B7A0ED86B}" name="β ESF" dataDxfId="405">
      <calculatedColumnFormula>INDEX(C_alpha_beta[],MATCH(ECF[[#This Row],[Solo]],C_alpha_beta[Solo],0),MATCH(ECF[[#Headers],[β ESF]],C_alpha_beta[#Headers],0))</calculatedColumnFormula>
    </tableColumn>
    <tableColumn id="18" xr3:uid="{5E69AB1A-6C63-4D1F-A9EE-61DED3E9A706}" name="10∙(NL/3+1)" dataDxfId="404">
      <calculatedColumnFormula>IF(ECF[[#This Row],[Prof. (m)]]=0,0,10*(ECF[[#This Row],[NSPT]]/3+1))</calculatedColumnFormula>
    </tableColumn>
    <tableColumn id="17" xr3:uid="{6752E7BC-3632-4BA7-ADCC-52E067F804D1}" name="R_DC (kN)" dataDxfId="403">
      <calculatedColumnFormula>(ECF[[#This Row],[α ESF]]*ECF[[#This Row],[C (kPa)]]*ECF[[#This Row],[NSPT]]*ECF[[#This Row],[Ap (m²)]])/'DADOS CAP. CARGA'!$Q$2+(ECF[[#This Row],[β ESF]]*SUMIFS(ECF[10∙(NL/3+1)],ECF[Prof. (m)],"&lt;="&amp;ECF[[#This Row],[Prof. (m)]],ECF[idDiâmetro],ECF[[#This Row],[idDiâmetro]],ECF[idPilar],ECF[[#This Row],[idPilar]])*ECF[[#This Row],[U (m)]])/'DADOS CAP. CARGA'!$S$2</calculatedColumnFormula>
    </tableColumn>
    <tableColumn id="19" xr3:uid="{D46A1677-67AC-4EB4-BDF9-2B97D079EA37}" name="Padm (kN)" dataDxfId="402">
      <calculatedColumnFormula>IF(SPT!$M$5=1,MIN(ECF[[#This Row],[Pe ECF (kN)]],ECF[[#This Row],[R_AV (kN)]]),IF(SPT!$M$5=2,MIN(ECF[[#This Row],[Pe ECF (kN)]],ECF[[#This Row],[R_DC (kN)]]),MIN(ECF[[#This Row],[Pe ECF (kN)]],ECF[[#This Row],[R_AV (kN)]],ECF[[#This Row],[R_DC (kN)]])))</calculatedColumnFormula>
    </tableColumn>
    <tableColumn id="22" xr3:uid="{C4B35B21-F4E2-48F3-B668-2CAFA48E544F}" name="Nsd (kN)" dataDxfId="401">
      <calculatedColumnFormula>INDEX(PILARES[],ECF[[#This Row],[idPilar]],MATCH("Carga (kN)",PILARES[#Headers],0))*1.4</calculatedColumnFormula>
    </tableColumn>
    <tableColumn id="23" xr3:uid="{2D34C7D5-F852-42DD-A7BA-3AB2F423196A}" name="ap (cm)" dataDxfId="400">
      <calculatedColumnFormula>INDEX(PILARES[],ECF[[#This Row],[idPilar]],MATCH(ECF[[#Headers],[ap (cm)]],PILARES[#Headers],0))</calculatedColumnFormula>
    </tableColumn>
    <tableColumn id="24" xr3:uid="{77B4CD08-37A4-4989-B8E6-F503664CFC95}" name="bp (cm)" dataDxfId="399">
      <calculatedColumnFormula>INDEX(PILARES[],ECF[[#This Row],[idPilar]],MATCH(ECF[[#Headers],[bp (cm)]],PILARES[#Headers],0))</calculatedColumnFormula>
    </tableColumn>
    <tableColumn id="50" xr3:uid="{00C9AC70-7A2D-4F39-824A-EC748EFC592A}" name="ap,eq (cm)" dataDxfId="398">
      <calculatedColumnFormula>SQRT(ECF[[#This Row],[ap (cm)]]*ECF[[#This Row],[bp (cm)]])</calculatedColumnFormula>
    </tableColumn>
    <tableColumn id="51" xr3:uid="{3749B911-CE65-4D83-BC57-785E8CAC9D37}" name="Ap (cm²)" dataDxfId="397">
      <calculatedColumnFormula>ECF[[#This Row],[ap (cm)]]*ECF[[#This Row],[bp (cm)]]</calculatedColumnFormula>
    </tableColumn>
    <tableColumn id="1" xr3:uid="{D84CEE2C-FDB1-4C77-B663-08E5F71B118A}" name="nE" dataDxfId="396">
      <calculatedColumnFormula>IF(ECF[[#This Row],[Padm∙ε (kN)]]&gt;=ECF[[#This Row],[Padm (kN)]],ROUNDUP(1.05*ECF[[#This Row],[Nsd (kN)]]/ECF[[#This Row],[Padm (kN)]],0),ROUNDUP(1.05*ECF[[#This Row],[Nsd (kN)]]/ECF[[#This Row],[Padm (kN)]],0)+1)</calculatedColumnFormula>
    </tableColumn>
    <tableColumn id="26" xr3:uid="{8D593B17-9F1F-4AEA-A620-E76741A4DA4D}" name="Padm∙ε (kN)" dataDxfId="395">
      <calculatedColumnFormula>IFERROR(IF(ECF[[#This Row],[nE]]=1,ECF[[#This Row],[Padm (kN)]],ECF[[#This Row],[Padm (kN)]]*ECF[[#This Row],[nE]]*INDEX(grupoEstacas[],ECF[[#This Row],[nE]],MATCH("ε",grupoEstacas[#Headers],0))),"N.S.")</calculatedColumnFormula>
    </tableColumn>
    <tableColumn id="28" xr3:uid="{BC146304-757D-4DE7-AD23-D28A66741E24}" name="σ (MPa)" dataDxfId="394">
      <calculatedColumnFormula>1.05*ECF[[#This Row],[Nsd (kN)]]/(ECF[[#This Row],[nE]]*PI()*ECF[[#This Row],[Ø (cm)]]^2/4)*10</calculatedColumnFormula>
    </tableColumn>
    <tableColumn id="30" xr3:uid="{5834E72E-ECAE-4C89-98A0-BD561603CDF3}" name="As,mín (cm²)" dataDxfId="393">
      <calculatedColumnFormula>IF(ECF[[#This Row],[σ (MPa)]]&lt;INDEX(tipoEstaca[],MATCH($D$2,tipoEstaca[TIPO DE ESTACA],0),MATCH("σmáx (MPa)",tipoEstaca[#Headers],0)),0.4%*PI()*ECF[[#This Row],[Ø (cm)]]^2/4,"N.S.")</calculatedColumnFormula>
    </tableColumn>
    <tableColumn id="31" xr3:uid="{AFD8371D-5788-4E12-AC23-6B7ED53ED673}" name="Comprimento (m)" dataDxfId="392">
      <calculatedColumnFormula>INDEX(tipoEstaca[],MATCH($D$2,tipoEstaca[TIPO DE ESTACA],0),MATCH(ECF[[#Headers],[Comprimento (m)]],tipoEstaca[#Headers],0))</calculatedColumnFormula>
    </tableColumn>
    <tableColumn id="32" xr3:uid="{8CB0B1CE-88C2-4999-BA36-33B0B9BE2D2C}" name="Aço Est (kg)" dataDxfId="391">
      <calculatedColumnFormula>ECF[[#This Row],[As,mín (cm²)]]/100^2*ECF[[#This Row],[Comprimento (m)]]*7850</calculatedColumnFormula>
    </tableColumn>
    <tableColumn id="33" xr3:uid="{0D0027F0-BDFA-455E-A894-0F29C9FEC93A}" name="Conc Est (m³)" dataDxfId="390">
      <calculatedColumnFormula>ECF[[#This Row],[nE]]*ECF[[#This Row],[Prof. (m)]]*ECF[[#This Row],[Ap (m²)]]</calculatedColumnFormula>
    </tableColumn>
    <tableColumn id="27" xr3:uid="{C912AB05-83A1-4D71-A37E-8760C3F80FD3}" name="e (cm)" dataDxfId="389">
      <calculatedColumnFormula>IF(ECF[[#This Row],[nE]]=1,0,MAX(3*ECF[[#This Row],[Ø (cm)]],60))</calculatedColumnFormula>
    </tableColumn>
    <tableColumn id="29" xr3:uid="{973B6B9D-7C95-4CC3-9335-04567F18DD57}" name="a (cm)" dataDxfId="388">
      <calculatedColumnFormula>IF(ECF[[#This Row],[nE]]=1,ECF[[#This Row],[Ø (cm)]]+2*10,MAX(1.5*ECF[[#This Row],[Ø (cm)]],ECF[[#This Row],[Ø (cm)]]+15))</calculatedColumnFormula>
    </tableColumn>
    <tableColumn id="34" xr3:uid="{34567084-765E-4470-9466-A369FB01FA2E}" name="d (cm)" dataDxfId="387">
      <calculatedColumnFormula>alturaUtil(ECF[[#This Row],[nE]],ECF[[#This Row],[Ø (cm)]],ECF[[#This Row],[e (cm)]],ECF[[#This Row],[ap,eq (cm)]])</calculatedColumnFormula>
    </tableColumn>
    <tableColumn id="35" xr3:uid="{251B9CDE-BC8D-40D3-AFDA-04F338E2DEC5}" name="h (cm)" dataDxfId="386">
      <calculatedColumnFormula>IFERROR(ECF[[#This Row],[d (cm)]]+arredondarParaCimaMultiplo5cm(MAX(5,SQRT(PI())/2*ECF[[#This Row],[Ø (cm)]]/5)),"N.S.")</calculatedColumnFormula>
    </tableColumn>
    <tableColumn id="49" xr3:uid="{9688CB32-1E38-4623-81E5-E3781C3AB8EE}" name="α" dataDxfId="385">
      <calculatedColumnFormula>alpha(ECF[[#This Row],[nE]],ECF[[#This Row],[d (cm)]],ECF[[#This Row],[e (cm)]],ECF[[#This Row],[ap,eq (cm)]])</calculatedColumnFormula>
    </tableColumn>
    <tableColumn id="36" xr3:uid="{474DC5A2-B543-4342-BE42-1B94608C7C56}" name="cd,b,pil (kN/cm²)" dataDxfId="384">
      <calculatedColumnFormula>IFERROR(ECF[[#This Row],[Nsd (kN)]]/(ECF[[#This Row],[Ap (cm²)]]*SIN(ECF[[#This Row],[α]])^2),"N.S.")</calculatedColumnFormula>
    </tableColumn>
    <tableColumn id="37" xr3:uid="{95E9A6AE-0B78-4FE9-AEAB-47AB04CD5994}" name="cd,b,est (kN/cm²)" dataDxfId="383">
      <calculatedColumnFormula>IFERROR(ECF[[#This Row],[Nsd (kN)]]/(ECF[[#This Row],[nE]]*PI()*ECF[[#This Row],[Ø (cm)]]^2/4*SIN(ECF[[#This Row],[α]])^2),"N.S.")</calculatedColumnFormula>
    </tableColumn>
    <tableColumn id="52" xr3:uid="{6C606936-1258-4C25-B4FB-654F98DF0A6A}" name="coef. Blévot" dataDxfId="382">
      <calculatedColumnFormula>IFERROR(INDEX(grupoEstacas[],ECF[[#This Row],[nE]],MATCH("coef. Blévot",grupoEstacas[#Headers],0)),"N.S.")</calculatedColumnFormula>
    </tableColumn>
    <tableColumn id="38" xr3:uid="{FECA48E7-DF33-4FBB-BD69-753E5FFD753F}" name="cd,b,lim (kN/cm²)" dataDxfId="381">
      <calculatedColumnFormula>IFERROR(ECF[[#This Row],[coef. Blévot]]*0.9*INDEX(tipoEstaca[],MATCH($D$2,tipoEstaca[TIPO DE ESTACA],0),MATCH("fcd (kN/cm²)",tipoEstaca[#Headers],0)),"N.S.")</calculatedColumnFormula>
    </tableColumn>
    <tableColumn id="39" xr3:uid="{6C54A5AA-0739-420A-B39E-7032690E6301}" name="Verif. Biela" dataDxfId="380">
      <calculatedColumnFormula>IF(AND(ECF[[#This Row],[cd,b,pil (kN/cm²)]]&lt;=ECF[[#This Row],[cd,b,lim (kN/cm²)]],ECF[[#This Row],[cd,b,est (kN/cm²)]]&lt;=ECF[[#This Row],[cd,b,lim (kN/cm²)]]),"OK","ERRO")</calculatedColumnFormula>
    </tableColumn>
    <tableColumn id="40" xr3:uid="{158E2827-AD2C-4E9F-82BD-100ABD27EAD1}" name="As,lado (cm²)" dataDxfId="379">
      <calculatedColumnFormula>As_lado(ECF[[#This Row],[nE]],ECF[[#This Row],[Nsd (kN)]],ECF[[#This Row],[d (cm)]],ECF[[#This Row],[e (cm)]],ECF[[#This Row],[ap,eq (cm)]])</calculatedColumnFormula>
    </tableColumn>
    <tableColumn id="46" xr3:uid="{0B9F01FC-1FF8-41E6-BE8C-C99158051B4C}" name="Asp e Asw (cm²/m)" dataDxfId="378">
      <calculatedColumnFormula>IF(ECF[[#This Row],[nE]]=1,ECF[[#This Row],[As,lado (cm²)]],IF(ECF[[#This Row],[nE]]=2,0.075*2*ECF[a (cm)],"N.A."))</calculatedColumnFormula>
    </tableColumn>
    <tableColumn id="41" xr3:uid="{6405BF5A-79BD-4DB8-AD25-9078FCF6BF23}" name="As,sup (cm²)" dataDxfId="377">
      <calculatedColumnFormula>IFERROR(IF(ECF[[#This Row],[nE]]=1,"N.A.",0.2*ECF[[#This Row],[As,lado (cm²)]]),"N.S.")</calculatedColumnFormula>
    </tableColumn>
    <tableColumn id="42" xr3:uid="{9E7EB412-3081-4387-92B9-9FA98F842F1A}" name="As,malha (cm²)" dataDxfId="376">
      <calculatedColumnFormula>As_malha(ECF[[#This Row],[nE]],ECF[[#This Row],[As,lado (cm²)]],ECF[[#This Row],[Nsd (kN)]])</calculatedColumnFormula>
    </tableColumn>
    <tableColumn id="43" xr3:uid="{8B768779-8D7A-4E30-9625-A9073789AD28}" name="As,susp,tot (cm²)" dataDxfId="375">
      <calculatedColumnFormula>As_susp_tot(ECF[[#This Row],[nE]],ECF[[#This Row],[Nsd (kN)]])</calculatedColumnFormula>
    </tableColumn>
    <tableColumn id="44" xr3:uid="{D6A98097-E6D8-4B24-9AD1-A3CE3D32A874}" name="Asp,face (cm²)" dataDxfId="374">
      <calculatedColumnFormula>Asp_face(ECF[[#This Row],[nE]],ECF[[#This Row],[As,lado (cm²)]])</calculatedColumnFormula>
    </tableColumn>
    <tableColumn id="47" xr3:uid="{40BEFBB7-3E47-420A-BFEE-6D8764B3A7C1}" name="Aço Bloco (kg)" dataDxfId="373">
      <calculatedColumnFormula>acoBloco(ECF[[#This Row],[nE]],ECF[[#This Row],[e (cm)]],ECF[[#This Row],[a (cm)]],ECF[[#This Row],[h (cm)]],ECF[[#This Row],[As,lado (cm²)]],ECF[[#This Row],[Asp e Asw (cm²/m)]],ECF[[#This Row],[As,sup (cm²)]],ECF[[#This Row],[As,malha (cm²)]],ECF[[#This Row],[As,susp,tot (cm²)]],ECF[[#This Row],[Asp,face (cm²)]])</calculatedColumnFormula>
    </tableColumn>
    <tableColumn id="48" xr3:uid="{314249A5-0D54-4BC0-92DB-827E85AA4E97}" name="Conc Bloco (m³)" dataDxfId="372">
      <calculatedColumnFormula>concretoBloco(ECF[[#This Row],[nE]],ECF[[#This Row],[e (cm)]],ECF[[#This Row],[a (cm)]],ECF[[#This Row],[h (cm)]])</calculatedColumnFormula>
    </tableColumn>
    <tableColumn id="59" xr3:uid="{7E3EDCE1-AD8B-4BE9-95C2-3F1ABA0ED3B8}" name="Aço (kg)" dataDxfId="371">
      <calculatedColumnFormula>SUM(ECF[[#This Row],[Aço Est (kg)]],ECF[[#This Row],[Aço Bloco (kg)]])</calculatedColumnFormula>
    </tableColumn>
    <tableColumn id="60" xr3:uid="{C11409CC-59A8-4A35-95C3-9122BC8E7D8B}" name="Aço (R$/kg)" dataDxfId="370">
      <calculatedColumnFormula>INDEX(composicoes[],MATCH(95580,composicoes[CÓDIGO],0),MATCH("CUSTO TOTAL",composicoes[#Headers],0))</calculatedColumnFormula>
    </tableColumn>
    <tableColumn id="58" xr3:uid="{48D8B0E5-3D52-4EB4-82C7-D51236D24C7B}" name="Conc (m³)" dataDxfId="369">
      <calculatedColumnFormula>SUM(ECF[[#This Row],[Conc Est (m³)]],ECF[[#This Row],[Conc Bloco (m³)]])</calculatedColumnFormula>
    </tableColumn>
    <tableColumn id="61" xr3:uid="{2A5B8A6D-6EBE-4851-A163-777F96DA5D8D}" name="Conc (R$/m³)" dataDxfId="368">
      <calculatedColumnFormula>INDEX(composicoes[],MATCH(94966,composicoes[CÓDIGO],0),MATCH("CUSTO TOTAL",composicoes[#Headers],0))</calculatedColumnFormula>
    </tableColumn>
    <tableColumn id="62" xr3:uid="{18AD1B9A-B979-4005-984A-262F2D4FC4AB}" name="Custo" dataDxfId="367" dataCellStyle="Moeda">
      <calculatedColumnFormula>ECF[[#This Row],[Aço (kg)]]*ECF[[#This Row],[Aço (R$/kg)]]+ECF[[#This Row],[Conc (m³)]]*ECF[[#This Row],[Conc (R$/m³)]]</calculatedColumnFormula>
    </tableColumn>
    <tableColumn id="45" xr3:uid="{EC689761-7434-4AA1-AF70-E784A84E35E7}" name="Nº Est." dataDxfId="366">
      <calculatedColumnFormula>IF(COUNTIF(ECF[#This Row],"N.S.")&gt;0,"lim.","OK")</calculatedColumnFormula>
    </tableColumn>
    <tableColumn id="54" xr3:uid="{4678F171-0B9B-4A0D-85CD-E5BDB008DECD}" name="Prof. &gt;= 4m" dataDxfId="365">
      <calculatedColumnFormula>IF(ECF[[#This Row],[Prof. (m)]]&lt;4,"lim.","OK")</calculatedColumnFormula>
    </tableColumn>
    <tableColumn id="55" xr3:uid="{A6E27342-8D2E-44B1-8BCA-F7763337AF5F}" name="Prof. &gt;= 8Ø " dataDxfId="364">
      <calculatedColumnFormula>IF(ECF[[#This Row],[Prof. (m)]]&gt;=8*ECF[[#This Row],[Ø (cm)]]/100,"OK","lim.")</calculatedColumnFormula>
    </tableColumn>
    <tableColumn id="53" xr3:uid="{910ADD53-B37C-4BB9-B7B9-B40EDF7062B3}" name="N.A." dataDxfId="363">
      <calculatedColumnFormula>IF(AND(SPT!$F$3&lt;&gt;"",ECF[[#This Row],[Prof. (m)]]&gt;=SPT!$F$3-2),"lim.","OK")</calculatedColumnFormula>
    </tableColumn>
    <tableColumn id="57" xr3:uid="{F2CCC05A-7C24-4570-9375-9B2918DC868D}" name="Biela comp." dataDxfId="362">
      <calculatedColumnFormula>IF(ECF[[#This Row],[Verif. Biela]]="OK","OK","lim.")</calculatedColumnFormula>
    </tableColumn>
    <tableColumn id="56" xr3:uid="{03590BEB-2D61-47D4-B896-77746806ACAD}" name="Controle" dataDxfId="361">
      <calculatedColumnFormula>IF(COUNTA(ECF[[#This Row],[Nº Est.]:[Biela comp.]])=COUNTIF(ECF[[#This Row],[Nº Est.]:[Biela comp.]],"OK"),"OK","lim.")</calculatedColumnFormula>
    </tableColumn>
    <tableColumn id="63" xr3:uid="{A0055519-CE6B-478F-A424-F02B55E62624}" name="idDimensionamento" dataDxfId="360">
      <calculatedColumnFormula>IF(ECF[[#This Row],[Controle]]="OK",ECF[[#This Row],[nE]]&amp;" Ø "&amp;ECF[[#This Row],[Ø (cm)]]&amp;" cm, Prof. "&amp;ECF[[#This Row],[Prof. (m)]]&amp;" m","")</calculatedColumnFormula>
    </tableColumn>
    <tableColumn id="64" xr3:uid="{9B828D5B-D86F-473E-8B1C-0EBABABDECE2}" name="idPilar,idDimensionamento" dataDxfId="359">
      <calculatedColumnFormula>IF(ECF[[#This Row],[idDimensionamento]]="","",ECF[[#This Row],[idPilar]]&amp;ECF[[#This Row],[idDimensionamento]])</calculatedColumnFormula>
    </tableColumn>
  </tableColumns>
  <tableStyleInfo name="TableStyleMedium1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C9B36DC-D61C-4D1E-9A52-AAD52AC397B0}" name="HC" displayName="HC" ref="B4:BL312" totalsRowShown="0" headerRowDxfId="358" dataDxfId="357">
  <autoFilter ref="B4:BL312" xr:uid="{BC6CAFB7-1DC9-4F8C-A81C-AD5FD8802F2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autoFilter>
  <tableColumns count="63">
    <tableColumn id="20" xr3:uid="{AF0DE078-CE69-49B0-9C86-F82AB480B464}" name="idDiâmetro" dataDxfId="356">
      <calculatedColumnFormula>ROUNDUP((ROW(HC[[#This Row],[idDiâmetro]])-ROW(HC[[#Headers],[idDiâmetro]]))/(COUNT(SPT[Prof. (m)])*COUNT(PILARES[Pilar])),0)</calculatedColumnFormula>
    </tableColumn>
    <tableColumn id="21" xr3:uid="{2FFE2491-D29D-4688-B7CF-95110752C222}" name="idPilar" dataDxfId="355">
      <calculatedColumnFormula>IF(HC[[#This Row],[idDiâmetro]]&lt;&gt;B4,1,IF(HC[[#This Row],[Prof. (m)]]=0,C4+1,C4))</calculatedColumnFormula>
    </tableColumn>
    <tableColumn id="4" xr3:uid="{6BF144F5-B0B1-4F39-B21D-DCCAB86E462A}" name="Prof. (m)" dataDxfId="354">
      <calculatedColumnFormula>IFERROR(IF(D4=MAX(SPT[Prof. (m)]),0,D4+1),0)</calculatedColumnFormula>
    </tableColumn>
    <tableColumn id="2" xr3:uid="{6046A0E1-39EC-4D3D-8CE4-F0697D59E2D8}" name="NSPT" dataDxfId="353">
      <calculatedColumnFormula>INDEX(SPT[],MATCH(HC[[#This Row],[Prof. (m)]],SPT[Prof. (m)],0),2)</calculatedColumnFormula>
    </tableColumn>
    <tableColumn id="3" xr3:uid="{A0878303-A3DE-4DBE-BE04-ECF413645300}" name="Solo" dataDxfId="352">
      <calculatedColumnFormula>INDEX(SPT[],MATCH(HC[[#This Row],[Prof. (m)]],SPT[Prof. (m)],0),3)</calculatedColumnFormula>
    </tableColumn>
    <tableColumn id="25" xr3:uid="{AEC8C3FB-D933-49A2-A42D-01CC743E3ACA}" name="Ø (cm)" dataDxfId="351">
      <calculatedColumnFormula>INDEX(estacas[],HC[[#This Row],[idDiâmetro]],MATCH($B$2,estacas[#Headers],0))</calculatedColumnFormula>
    </tableColumn>
    <tableColumn id="9" xr3:uid="{315D86D9-6DE6-4C98-A850-8ABDC577BE44}" name="Pe HC (kN)" dataDxfId="350">
      <calculatedColumnFormula>INDEX(estacas[],MATCH(HC[[#This Row],[Ø (cm)]],estacas[Ø HC (cm)],0),MATCH(HC[[#Headers],[Pe HC (kN)]],estacas[#Headers],0))</calculatedColumnFormula>
    </tableColumn>
    <tableColumn id="5" xr3:uid="{693C551E-1D7D-4FAE-A4CE-D3A11FD35942}" name="K (MPa)" dataDxfId="349">
      <calculatedColumnFormula>INDEX(K_alpha_C[],MATCH(HC[[#This Row],[Solo]],K_alpha_C[Solo],0),2)</calculatedColumnFormula>
    </tableColumn>
    <tableColumn id="6" xr3:uid="{8D4EFE6F-2280-4DA6-8171-C258F88EAB08}" name="α (%)" dataDxfId="348">
      <calculatedColumnFormula>INDEX(K_alpha_C[],MATCH(HC[[#This Row],[Solo]],K_alpha_C[Solo],0),3)</calculatedColumnFormula>
    </tableColumn>
    <tableColumn id="7" xr3:uid="{9BABB24E-4C1F-446B-8C6B-4FBD1705599C}" name="F1" dataDxfId="347">
      <calculatedColumnFormula>INDEX(F1_F2[],MATCH($D$2,F1_F2[Tipo de estaca],0),2)</calculatedColumnFormula>
    </tableColumn>
    <tableColumn id="8" xr3:uid="{A3D035B3-82A0-4E33-8099-88FC88F4E3CF}" name="F2" dataDxfId="346">
      <calculatedColumnFormula>INDEX(F1_F2[],MATCH($D$2,F1_F2[Tipo de estaca],0),3)</calculatedColumnFormula>
    </tableColumn>
    <tableColumn id="10" xr3:uid="{C5CE1AAA-0426-4B25-ACCA-D20E51C1C4F5}" name="Ap (m²)" dataDxfId="345">
      <calculatedColumnFormula>PI()*(HC[[#This Row],[Ø (cm)]]/100)^2/4</calculatedColumnFormula>
    </tableColumn>
    <tableColumn id="11" xr3:uid="{39EBF807-7B07-483B-B525-EE174C81F4A5}" name="U (m)" dataDxfId="344">
      <calculatedColumnFormula>PI()*HC[[#This Row],[Ø (cm)]]/100</calculatedColumnFormula>
    </tableColumn>
    <tableColumn id="12" xr3:uid="{806986DB-C8A7-4100-877A-C66A11B83B2C}" name="(α∙K∙NL∙ΔL)" dataDxfId="343">
      <calculatedColumnFormula>IF(HC[[#This Row],[Prof. (m)]]=0,0,HC[[#This Row],[α (%)]]/100*HC[[#This Row],[K (MPa)]]*1000*HC[[#This Row],[NSPT]])</calculatedColumnFormula>
    </tableColumn>
    <tableColumn id="13" xr3:uid="{9DEB1F48-6DE9-4FC3-9A7C-902164C5CA50}" name="R_AV (kN)" dataDxfId="342">
      <calculatedColumnFormula>IF(HC[[#This Row],[Prof. (m)]]=0,0,(HC[[#This Row],[K (MPa)]]*1000*HC[[#This Row],[NSPT]]/HC[[#This Row],[F1]]*HC[[#This Row],[Ap (m²)]]+HC[[#This Row],[U (m)]]/HC[[#This Row],[F2]]*SUMIFS(HC[(α∙K∙NL∙ΔL)],HC[Prof. (m)],"&lt;="&amp;HC[[#This Row],[Prof. (m)]],HC[idDiâmetro],HC[[#This Row],[idDiâmetro]],HC[idPilar],HC[[#This Row],[idPilar]]))/'DADOS CAP. CARGA'!$D$2)</calculatedColumnFormula>
    </tableColumn>
    <tableColumn id="14" xr3:uid="{DF7C0B52-ED8A-4E07-A579-515090533866}" name="C (kPa)" dataDxfId="341">
      <calculatedColumnFormula>INDEX(C_alpha_beta[],MATCH(HC[[#This Row],[Solo]],C_alpha_beta[Solo],0),MATCH(HC[[#Headers],[C (kPa)]],C_alpha_beta[#Headers],0))</calculatedColumnFormula>
    </tableColumn>
    <tableColumn id="15" xr3:uid="{D82B690C-0626-4F70-BB5A-E924B205CE3C}" name="α ESF" dataDxfId="340">
      <calculatedColumnFormula>INDEX(C_alpha_beta[],MATCH(HC[[#This Row],[Solo]],C_alpha_beta[Solo],0),MATCH(HC[[#Headers],[α ESF]],C_alpha_beta[#Headers],0))</calculatedColumnFormula>
    </tableColumn>
    <tableColumn id="16" xr3:uid="{5377C494-E7F5-4557-BBAC-60C911B0FEEB}" name="β ESF" dataDxfId="339">
      <calculatedColumnFormula>INDEX(C_alpha_beta[],MATCH(HC[[#This Row],[Solo]],C_alpha_beta[Solo],0),MATCH(HC[[#Headers],[β ESF]],C_alpha_beta[#Headers],0))</calculatedColumnFormula>
    </tableColumn>
    <tableColumn id="18" xr3:uid="{AB7E6A9B-ACE2-4830-ABCE-ABC98329A44D}" name="10∙(NL/3+1)" dataDxfId="338">
      <calculatedColumnFormula>IF(HC[[#This Row],[Prof. (m)]]=0,0,10*(HC[[#This Row],[NSPT]]/3+1))</calculatedColumnFormula>
    </tableColumn>
    <tableColumn id="17" xr3:uid="{D5D6D2C3-80E1-42A6-9C7F-2BEF52D59A24}" name="R_DC (kN)" dataDxfId="337">
      <calculatedColumnFormula>(HC[[#This Row],[α ESF]]*HC[[#This Row],[C (kPa)]]*HC[[#This Row],[NSPT]]*HC[[#This Row],[Ap (m²)]])/'DADOS CAP. CARGA'!$Q$2+(HC[[#This Row],[β ESF]]*SUMIFS(HC[10∙(NL/3+1)],HC[Prof. (m)],"&lt;="&amp;HC[[#This Row],[Prof. (m)]],HC[idDiâmetro],HC[[#This Row],[idDiâmetro]],HC[idPilar],HC[[#This Row],[idPilar]])*HC[[#This Row],[U (m)]])/'DADOS CAP. CARGA'!$S$2</calculatedColumnFormula>
    </tableColumn>
    <tableColumn id="19" xr3:uid="{1400D009-F72D-4C89-918A-BCFB5275DBCA}" name="Padm (kN)" dataDxfId="336">
      <calculatedColumnFormula>IF(SPT!$M$5=1,MIN(HC[[#This Row],[Pe HC (kN)]],HC[[#This Row],[R_AV (kN)]]),IF(SPT!$M$5=2,MIN(HC[[#This Row],[Pe HC (kN)]],HC[[#This Row],[R_DC (kN)]]),MIN(HC[[#This Row],[Pe HC (kN)]],HC[[#This Row],[R_AV (kN)]],HC[[#This Row],[R_DC (kN)]])))</calculatedColumnFormula>
    </tableColumn>
    <tableColumn id="22" xr3:uid="{3CBB38BC-04D1-42D5-8EB9-7AB59EB5867E}" name="Nsd (kN)" dataDxfId="335">
      <calculatedColumnFormula>INDEX(PILARES[],HC[[#This Row],[idPilar]],MATCH("Carga (kN)",PILARES[#Headers],0))*1.4</calculatedColumnFormula>
    </tableColumn>
    <tableColumn id="23" xr3:uid="{D7358BDC-931F-4191-9BB9-4A7C12C475C0}" name="ap (cm)" dataDxfId="334">
      <calculatedColumnFormula>INDEX(PILARES[],HC[[#This Row],[idPilar]],MATCH(HC[[#Headers],[ap (cm)]],PILARES[#Headers],0))</calculatedColumnFormula>
    </tableColumn>
    <tableColumn id="24" xr3:uid="{DFA8721B-6507-4154-8749-DAA0E4BD40DC}" name="bp (cm)" dataDxfId="333">
      <calculatedColumnFormula>INDEX(PILARES[],HC[[#This Row],[idPilar]],MATCH(HC[[#Headers],[bp (cm)]],PILARES[#Headers],0))</calculatedColumnFormula>
    </tableColumn>
    <tableColumn id="50" xr3:uid="{AB45A48E-7BEF-4EB9-9028-2AA0F0ADA8A3}" name="ap,eq (cm)" dataDxfId="332">
      <calculatedColumnFormula>SQRT(HC[[#This Row],[ap (cm)]]*HC[[#This Row],[bp (cm)]])</calculatedColumnFormula>
    </tableColumn>
    <tableColumn id="51" xr3:uid="{A4FE53B3-7581-42C2-A45A-9430FB710DCA}" name="Ap (cm²)" dataDxfId="331">
      <calculatedColumnFormula>HC[[#This Row],[ap (cm)]]*HC[[#This Row],[bp (cm)]]</calculatedColumnFormula>
    </tableColumn>
    <tableColumn id="1" xr3:uid="{8402336F-131E-449A-95FE-136C5BCBEB8D}" name="nE" dataDxfId="330">
      <calculatedColumnFormula>IF(HC[[#This Row],[Padm∙ε (kN)]]&gt;=HC[[#This Row],[Padm (kN)]],ROUNDUP(1.05*HC[[#This Row],[Nsd (kN)]]/HC[[#This Row],[Padm (kN)]],0),ROUNDUP(1.05*HC[[#This Row],[Nsd (kN)]]/HC[[#This Row],[Padm (kN)]],0)+1)</calculatedColumnFormula>
    </tableColumn>
    <tableColumn id="26" xr3:uid="{18D71CA0-EF75-45C3-BF50-A2E55138C4E9}" name="Padm∙ε (kN)" dataDxfId="329">
      <calculatedColumnFormula>IFERROR(IF(HC[[#This Row],[nE]]=1,HC[[#This Row],[Padm (kN)]],HC[[#This Row],[Padm (kN)]]*HC[[#This Row],[nE]]*INDEX(grupoEstacas[],HC[[#This Row],[nE]],MATCH("ε",grupoEstacas[#Headers],0))),"N.S.")</calculatedColumnFormula>
    </tableColumn>
    <tableColumn id="28" xr3:uid="{E5AD4CEE-10B8-4E97-9F73-1FB2E21A3095}" name="σ (MPa)" dataDxfId="328">
      <calculatedColumnFormula>1.05*HC[[#This Row],[Nsd (kN)]]/(HC[[#This Row],[nE]]*PI()*HC[[#This Row],[Ø (cm)]]^2/4)*10</calculatedColumnFormula>
    </tableColumn>
    <tableColumn id="30" xr3:uid="{7C737A75-6821-41BA-AD31-EF7F3E625CC7}" name="As,mín (cm²)" dataDxfId="327">
      <calculatedColumnFormula>IF(HC[[#This Row],[σ (MPa)]]&lt;INDEX(tipoEstaca[],MATCH($D$2,tipoEstaca[TIPO DE ESTACA],0),MATCH("σmáx (MPa)",tipoEstaca[#Headers],0)),0.4%*PI()*HC[[#This Row],[Ø (cm)]]^2/4,"N.S.")</calculatedColumnFormula>
    </tableColumn>
    <tableColumn id="31" xr3:uid="{D2ABE7DA-CDA0-4853-8D0F-4CD58DB51379}" name="Comprimento (m)" dataDxfId="326">
      <calculatedColumnFormula>INDEX(tipoEstaca[],MATCH($D$2,tipoEstaca[TIPO DE ESTACA],0),MATCH(HC[[#Headers],[Comprimento (m)]],tipoEstaca[#Headers],0))</calculatedColumnFormula>
    </tableColumn>
    <tableColumn id="32" xr3:uid="{AD3601BE-E318-41EB-933A-D4BE5D2D548B}" name="Aço Est (kg)" dataDxfId="325">
      <calculatedColumnFormula>HC[[#This Row],[As,mín (cm²)]]/100^2*HC[[#This Row],[Comprimento (m)]]*7850</calculatedColumnFormula>
    </tableColumn>
    <tableColumn id="33" xr3:uid="{4AF4E1AC-CC72-4198-9703-F9A5F484AD14}" name="Conc Est (m³)" dataDxfId="324">
      <calculatedColumnFormula>HC[[#This Row],[nE]]*HC[[#This Row],[Prof. (m)]]*HC[[#This Row],[Ap (m²)]]</calculatedColumnFormula>
    </tableColumn>
    <tableColumn id="27" xr3:uid="{0241A3CD-C990-4786-9654-598DFA588BDF}" name="e (cm)" dataDxfId="323">
      <calculatedColumnFormula>IF(HC[[#This Row],[nE]]=1,0,MAX(3*HC[[#This Row],[Ø (cm)]],60))</calculatedColumnFormula>
    </tableColumn>
    <tableColumn id="29" xr3:uid="{28D11FA0-0C99-4CF0-A6AB-D8BCEE326F56}" name="a (cm)" dataDxfId="322">
      <calculatedColumnFormula>IF(HC[[#This Row],[nE]]=1,HC[[#This Row],[Ø (cm)]]+2*10,MAX(1.5*HC[[#This Row],[Ø (cm)]],HC[[#This Row],[Ø (cm)]]+15))</calculatedColumnFormula>
    </tableColumn>
    <tableColumn id="34" xr3:uid="{979CB642-39AB-4EFF-967F-5501025C2010}" name="d (cm)" dataDxfId="321">
      <calculatedColumnFormula>alturaUtil(HC[[#This Row],[nE]],HC[[#This Row],[Ø (cm)]],HC[[#This Row],[e (cm)]],HC[[#This Row],[ap,eq (cm)]])</calculatedColumnFormula>
    </tableColumn>
    <tableColumn id="35" xr3:uid="{69159B05-1838-4D9D-9689-65CC67E4C294}" name="h (cm)" dataDxfId="320">
      <calculatedColumnFormula>IFERROR(HC[[#This Row],[d (cm)]]+arredondarParaCimaMultiplo5cm(MAX(5,SQRT(PI())/2*HC[[#This Row],[Ø (cm)]]/5)),"N.S.")</calculatedColumnFormula>
    </tableColumn>
    <tableColumn id="49" xr3:uid="{7600E31C-AB29-4023-AF3F-2D467EE38E28}" name="α" dataDxfId="319">
      <calculatedColumnFormula>alpha(HC[[#This Row],[nE]],HC[[#This Row],[d (cm)]],HC[[#This Row],[e (cm)]],HC[[#This Row],[ap,eq (cm)]])</calculatedColumnFormula>
    </tableColumn>
    <tableColumn id="36" xr3:uid="{E4A5DA3A-4D62-484D-9F63-84B466F1912B}" name="cd,b,pil (kN/cm²)" dataDxfId="318">
      <calculatedColumnFormula>IFERROR(HC[[#This Row],[Nsd (kN)]]/(HC[[#This Row],[Ap (cm²)]]*SIN(HC[[#This Row],[α]])^2),"N.S.")</calculatedColumnFormula>
    </tableColumn>
    <tableColumn id="37" xr3:uid="{2CFC4CF4-C8B7-4C31-B133-8A3BE9051AB8}" name="cd,b,est (kN/cm²)" dataDxfId="317">
      <calculatedColumnFormula>IFERROR(HC[[#This Row],[Nsd (kN)]]/(HC[[#This Row],[nE]]*PI()*HC[[#This Row],[Ø (cm)]]^2/4*SIN(HC[[#This Row],[α]])^2),"N.S.")</calculatedColumnFormula>
    </tableColumn>
    <tableColumn id="52" xr3:uid="{C2C9770B-9B0B-454E-9FDD-DB069330862D}" name="coef. Blévot" dataDxfId="316">
      <calculatedColumnFormula>IFERROR(INDEX(grupoEstacas[],HC[[#This Row],[nE]],MATCH("coef. Blévot",grupoEstacas[#Headers],0)),"N.S.")</calculatedColumnFormula>
    </tableColumn>
    <tableColumn id="38" xr3:uid="{70E367D5-A3DA-441C-B4CA-8FFC758B9EDA}" name="cd,b,lim (kN/cm²)" dataDxfId="315">
      <calculatedColumnFormula>IFERROR(HC[[#This Row],[coef. Blévot]]*0.9*INDEX(tipoEstaca[],MATCH($D$2,tipoEstaca[TIPO DE ESTACA],0),MATCH("fcd (kN/cm²)",tipoEstaca[#Headers],0)),"N.S.")</calculatedColumnFormula>
    </tableColumn>
    <tableColumn id="39" xr3:uid="{E601633E-58D3-4021-B90D-5600DC9DFA65}" name="Verif. Biela" dataDxfId="314">
      <calculatedColumnFormula>IF(AND(HC[[#This Row],[cd,b,pil (kN/cm²)]]&lt;=HC[[#This Row],[cd,b,lim (kN/cm²)]],HC[[#This Row],[cd,b,est (kN/cm²)]]&lt;=HC[[#This Row],[cd,b,lim (kN/cm²)]]),"OK","ERRO")</calculatedColumnFormula>
    </tableColumn>
    <tableColumn id="40" xr3:uid="{28647B87-5BF8-4A37-BCDE-76C26B19B53A}" name="As,lado (cm²)" dataDxfId="313">
      <calculatedColumnFormula>As_lado(HC[[#This Row],[nE]],HC[[#This Row],[Nsd (kN)]],HC[[#This Row],[d (cm)]],HC[[#This Row],[e (cm)]],HC[[#This Row],[ap,eq (cm)]])</calculatedColumnFormula>
    </tableColumn>
    <tableColumn id="46" xr3:uid="{BAB2D34A-4CE4-4009-9084-200FC22E9C1D}" name="Asp e Asw (cm²/m)" dataDxfId="312">
      <calculatedColumnFormula>IF(HC[[#This Row],[nE]]=1,HC[[#This Row],[As,lado (cm²)]],IF(HC[[#This Row],[nE]]=2,0.075*2*HC[a (cm)],"N.A."))</calculatedColumnFormula>
    </tableColumn>
    <tableColumn id="41" xr3:uid="{2E3822A8-CA70-4AFC-9E6B-C734DEA6B547}" name="As,sup (cm²)" dataDxfId="311">
      <calculatedColumnFormula>IFERROR(IF(HC[[#This Row],[nE]]=1,"N.A.",0.2*HC[[#This Row],[As,lado (cm²)]]),"N.S.")</calculatedColumnFormula>
    </tableColumn>
    <tableColumn id="42" xr3:uid="{1AE53329-788B-4AD9-BE59-FC48C4BD75C1}" name="As,malha (cm²)" dataDxfId="310">
      <calculatedColumnFormula>As_malha(HC[[#This Row],[nE]],HC[[#This Row],[As,lado (cm²)]],HC[[#This Row],[Nsd (kN)]])</calculatedColumnFormula>
    </tableColumn>
    <tableColumn id="43" xr3:uid="{9D2A2441-0FD5-4AD6-8FA6-ED3FF6378A4B}" name="As,susp,tot (cm²)" dataDxfId="309">
      <calculatedColumnFormula>As_susp_tot(HC[[#This Row],[nE]],HC[[#This Row],[Nsd (kN)]])</calculatedColumnFormula>
    </tableColumn>
    <tableColumn id="44" xr3:uid="{CA33D45B-1B67-4143-B929-AA3C1E6EF896}" name="Asp,face (cm²)" dataDxfId="308">
      <calculatedColumnFormula>Asp_face(HC[[#This Row],[nE]],HC[[#This Row],[As,lado (cm²)]])</calculatedColumnFormula>
    </tableColumn>
    <tableColumn id="47" xr3:uid="{8A04F75D-29C4-411C-ADC9-9310EF4E2F8C}" name="Aço Bloco (kg)" dataDxfId="307">
      <calculatedColumnFormula>acoBloco(HC[[#This Row],[nE]],HC[[#This Row],[e (cm)]],HC[[#This Row],[a (cm)]],HC[[#This Row],[h (cm)]],HC[[#This Row],[As,lado (cm²)]],HC[[#This Row],[Asp e Asw (cm²/m)]],HC[[#This Row],[As,sup (cm²)]],HC[[#This Row],[As,malha (cm²)]],HC[[#This Row],[As,susp,tot (cm²)]],HC[[#This Row],[Asp,face (cm²)]])</calculatedColumnFormula>
    </tableColumn>
    <tableColumn id="48" xr3:uid="{C52B4C8F-AFF1-4565-A189-8E0F267C4B16}" name="Conc Bloco (m³)" dataDxfId="306">
      <calculatedColumnFormula>concretoBloco(HC[[#This Row],[nE]],HC[[#This Row],[e (cm)]],HC[[#This Row],[a (cm)]],HC[[#This Row],[h (cm)]])</calculatedColumnFormula>
    </tableColumn>
    <tableColumn id="59" xr3:uid="{ECF1385A-74BC-4748-8129-6A04D685D19D}" name="Aço (kg)" dataDxfId="305">
      <calculatedColumnFormula>SUM(HC[[#This Row],[Aço Est (kg)]],HC[[#This Row],[Aço Bloco (kg)]])</calculatedColumnFormula>
    </tableColumn>
    <tableColumn id="60" xr3:uid="{3D98BD00-2256-4AFB-B5F0-C0C32FDCF210}" name="Aço (R$/kg)" dataDxfId="304">
      <calculatedColumnFormula>INDEX(composicoes[],MATCH(95580,composicoes[CÓDIGO],0),MATCH("CUSTO TOTAL",composicoes[#Headers],0))</calculatedColumnFormula>
    </tableColumn>
    <tableColumn id="58" xr3:uid="{03875CB3-167C-4608-8B1C-31F30ADA68A0}" name="Conc (m³)" dataDxfId="303">
      <calculatedColumnFormula>SUM(HC[[#This Row],[Conc Est (m³)]],HC[[#This Row],[Conc Bloco (m³)]])</calculatedColumnFormula>
    </tableColumn>
    <tableColumn id="61" xr3:uid="{2BFFE3E2-2A75-48CB-9B75-78ED4FE1C4B3}" name="Conc (R$/m³)" dataDxfId="302">
      <calculatedColumnFormula>INDEX(composicoes[],MATCH(94966,composicoes[CÓDIGO],0),MATCH("CUSTO TOTAL",composicoes[#Headers],0))</calculatedColumnFormula>
    </tableColumn>
    <tableColumn id="62" xr3:uid="{FBB8F5CC-BE37-4B51-A1A7-2A6C6A0FA7A5}" name="Custo" dataDxfId="301" dataCellStyle="Moeda">
      <calculatedColumnFormula>HC[[#This Row],[Aço (kg)]]*HC[[#This Row],[Aço (R$/kg)]]+HC[[#This Row],[Conc (m³)]]*HC[[#This Row],[Conc (R$/m³)]]</calculatedColumnFormula>
    </tableColumn>
    <tableColumn id="45" xr3:uid="{FCBD17A2-E598-4E5C-A836-8A2E284B68BA}" name="Nº Est." dataDxfId="300">
      <calculatedColumnFormula>IF(COUNTIF(HC[#This Row],"N.S.")&gt;0,"lim.","OK")</calculatedColumnFormula>
    </tableColumn>
    <tableColumn id="54" xr3:uid="{EDE97F61-71ED-4FB9-9449-8BDA84E3C2EB}" name="Prof. &gt;= 4m" dataDxfId="299">
      <calculatedColumnFormula>IF(HC[[#This Row],[Prof. (m)]]&lt;4,"lim.","OK")</calculatedColumnFormula>
    </tableColumn>
    <tableColumn id="53" xr3:uid="{816D6871-C210-42D9-B629-340D37F25C03}" name="Prof. &gt;= 8Ø " dataDxfId="298">
      <calculatedColumnFormula>IF(HC[[#This Row],[Prof. (m)]]&gt;=8*HC[[#This Row],[Ø (cm)]]/100,"OK","lim.")</calculatedColumnFormula>
    </tableColumn>
    <tableColumn id="57" xr3:uid="{47F76249-1182-40C4-92D5-3D512AB5799D}" name="Biela comp." dataDxfId="297">
      <calculatedColumnFormula>IF(HC[[#This Row],[Verif. Biela]]="OK","OK","lim.")</calculatedColumnFormula>
    </tableColumn>
    <tableColumn id="56" xr3:uid="{26733000-8ECF-4441-BDE2-3E21614A0FAA}" name="Controle" dataDxfId="296">
      <calculatedColumnFormula>IF(COUNTA(HC[[#This Row],[Nº Est.]:[Biela comp.]])=COUNTIF(HC[[#This Row],[Nº Est.]:[Biela comp.]],"OK"),"OK","lim.")</calculatedColumnFormula>
    </tableColumn>
    <tableColumn id="63" xr3:uid="{F0B44F34-6DE0-449C-8067-EB23915B5995}" name="idDimensionamento" dataDxfId="295">
      <calculatedColumnFormula>IF(HC[[#This Row],[Controle]]="OK",HC[[#This Row],[nE]]&amp;" Ø "&amp;HC[[#This Row],[Ø (cm)]]&amp;" cm, Prof. "&amp;HC[[#This Row],[Prof. (m)]]&amp;" m","")</calculatedColumnFormula>
    </tableColumn>
    <tableColumn id="64" xr3:uid="{155899ED-BA61-4F42-A5ED-4136C94090D0}" name="idPilar,idDimensionamento" dataDxfId="294">
      <calculatedColumnFormula>IF(HC[[#This Row],[idDimensionamento]]="","",HC[[#This Row],[idPilar]]&amp;HC[[#This Row],[idDimensionamento]])</calculatedColumnFormula>
    </tableColumn>
  </tableColumns>
  <tableStyleInfo name="TableStyleMedium1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D749BF0-D241-406B-85D8-2DD9F87CD27E}" name="viavelESF" displayName="viavelESF" ref="B4:AZ10" totalsRowShown="0" headerRowDxfId="293" dataDxfId="292">
  <autoFilter ref="B4:AZ10" xr:uid="{6D749BF0-D241-406B-85D8-2DD9F87CD27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autoFilter>
  <tableColumns count="51">
    <tableColumn id="6" xr3:uid="{E32545BC-B51F-46F8-9E1C-8269FDEDBC94}" name="Opção" dataDxfId="291">
      <calculatedColumnFormula>COUNTIF($C$4:C4,viavelESF[[#This Row],[Pilar]])+1</calculatedColumnFormula>
    </tableColumn>
    <tableColumn id="1" xr3:uid="{A6AACF6D-C482-4728-879D-2680371227E2}" name="Pilar" dataDxfId="290">
      <calculatedColumnFormula>IF(C4="Pilar",1,ROUNDDOWN(COUNTA($C4:C$5)/3,0)+1)</calculatedColumnFormula>
    </tableColumn>
    <tableColumn id="5" xr3:uid="{7BD7EBFE-38CD-41B6-B09B-67A0770003D9}" name="idDimensionamento" dataDxfId="13">
      <calculatedColumnFormula>opcao($B$2,viavelESF[[#This Row],[Pilar]],viavelESF[[#This Row],[Opção]])</calculatedColumnFormula>
    </tableColumn>
    <tableColumn id="32" xr3:uid="{85E873AE-2F1A-49D6-80CF-C1C5A26CCC81}" name="ap (cm)" dataDxfId="12">
      <calculatedColumnFormula>INDEX(PILARES[],MATCH(viavelESF[[#This Row],[Pilar]],PILARES[Pilar],0),MATCH(viavelESF[[#Headers],[ap (cm)]],PILARES[#Headers],0))</calculatedColumnFormula>
    </tableColumn>
    <tableColumn id="31" xr3:uid="{87DBEF97-502F-4560-99BF-EE1268152AAF}" name="bp (cm)" dataDxfId="10">
      <calculatedColumnFormula>INDEX(PILARES[],MATCH(viavelESF[[#This Row],[Pilar]],PILARES[Pilar],0),MATCH(viavelESF[[#Headers],[bp (cm)]],PILARES[#Headers],0))</calculatedColumnFormula>
    </tableColumn>
    <tableColumn id="51" xr3:uid="{8A5518DD-DEBD-4E3B-AB40-3C96608D1713}" name="nE" dataDxfId="11">
      <calculatedColumnFormula>IF(viavelESF[[#This Row],[idDimensionamento]]="",0,INDEX(ESF[],MATCH(viavelESF[[#This Row],[Pilar]]&amp;viavelESF[[#This Row],[idDimensionamento]],ESF[idPilar,idDimensionamento],0),MATCH(viavelESF[[#Headers],[nE]],ESF[#Headers],0)))</calculatedColumnFormula>
    </tableColumn>
    <tableColumn id="68" xr3:uid="{540EBB3D-E5C7-4876-9094-10D51F85E970}" name="Ø (cm)" dataDxfId="289">
      <calculatedColumnFormula>INDEX(ESF[],MATCH(viavelESF[[#This Row],[Pilar]]&amp;viavelESF[[#This Row],[idDimensionamento]],ESF[idPilar,idDimensionamento],0),MATCH(viavelESF[[#Headers],[Ø (cm)]],ESF[#Headers],0))</calculatedColumnFormula>
    </tableColumn>
    <tableColumn id="35" xr3:uid="{1EA73C73-AD2C-4737-AF67-A865E00176DD}" name="As,mín" dataDxfId="288">
      <calculatedColumnFormula>INDEX(ESF[],MATCH(viavelESF[[#This Row],[Pilar]]&amp;viavelESF[[#This Row],[idDimensionamento]],ESF[idPilar,idDimensionamento],0),MATCH("As,mín (cm²)",ESF[#Headers],0))</calculatedColumnFormula>
    </tableColumn>
    <tableColumn id="37" xr3:uid="{D567E2D2-BEEF-43B6-9329-543CA08BB73A}" name="N" dataDxfId="287">
      <calculatedColumnFormula>IF(viavelESF[[#This Row],[idDimensionamento]]="",0,6)</calculatedColumnFormula>
    </tableColumn>
    <tableColumn id="36" xr3:uid="{971AA700-E556-451B-993C-511EB12EEA1B}" name="Ø" dataDxfId="286">
      <calculatedColumnFormula>IF(viavelESF[[#This Row],[idDimensionamento]]="",0,INDEX(areaAco[],MATCH(10*SQRT(viavelESF[[#This Row],[As,mín]]*4/(viavelESF[[#This Row],[N]]*PI())),areaAco[Ø\QNTD],1)+1,1))</calculatedColumnFormula>
    </tableColumn>
    <tableColumn id="60" xr3:uid="{D7C3A758-B43F-43FA-BF01-1584B62D30E1}" name="C" dataDxfId="285">
      <calculatedColumnFormula>IF(viavelESF[[#This Row],[idDimensionamento]]="",0,INDEX(ESF[],MATCH(viavelESF[[#This Row],[Pilar]]&amp;viavelESF[[#This Row],[idDimensionamento]],ESF[idPilar,idDimensionamento],0),MATCH("Comprimento (m)",ESF[#Headers],0))*100)</calculatedColumnFormula>
    </tableColumn>
    <tableColumn id="13" xr3:uid="{3E68FE03-349A-4566-AC02-BF28563F339D}" name="idEst" dataDxfId="284">
      <calculatedColumnFormula>IF(viavelESF[[#This Row],[N]]=0,"N.A.",viavelESF[[#This Row],[N]]&amp;" Ø"&amp;viavelESF[[#This Row],[Ø]]&amp;"mm C="&amp;viavelESF[[#This Row],[C]]&amp;"cm")</calculatedColumnFormula>
    </tableColumn>
    <tableColumn id="10" xr3:uid="{59675A29-FF89-4F77-808D-8D343016A14E}" name="Aço (kg)" dataDxfId="283">
      <calculatedColumnFormula>viavelESF[[#This Row],[nE]]*viavelESF[[#This Row],[N]]*(PI()*(viavelESF[[#This Row],[Ø]]/10)^2/4*viavelESF[[#This Row],[C]])/100^3*7850</calculatedColumnFormula>
    </tableColumn>
    <tableColumn id="55" xr3:uid="{A7F542B7-8580-48CD-9640-457ECAFE3B08}" name="e (cm)" dataDxfId="282">
      <calculatedColumnFormula>INDEX(ESF[],MATCH(viavelESF[[#This Row],[Pilar]]&amp;viavelESF[[#This Row],[idDimensionamento]],ESF[idPilar,idDimensionamento],0),MATCH(viavelESF[[#Headers],[e (cm)]],ESF[#Headers],0))</calculatedColumnFormula>
    </tableColumn>
    <tableColumn id="54" xr3:uid="{F7BFF06E-A431-451A-9B16-4D5C59E6AA32}" name="a (cm)" dataDxfId="281">
      <calculatedColumnFormula>INDEX(ESF[],MATCH(viavelESF[[#This Row],[Pilar]]&amp;viavelESF[[#This Row],[idDimensionamento]],ESF[idPilar,idDimensionamento],0),MATCH(viavelESF[[#Headers],[a (cm)]],ESF[#Headers],0))</calculatedColumnFormula>
    </tableColumn>
    <tableColumn id="53" xr3:uid="{7880A52C-7D61-452A-930F-D4C9036ECD8F}" name="h (cm)" dataDxfId="280">
      <calculatedColumnFormula>INDEX(ESF[],MATCH(viavelESF[[#This Row],[Pilar]]&amp;viavelESF[[#This Row],[idDimensionamento]],ESF[idPilar,idDimensionamento],0),MATCH(viavelESF[[#Headers],[h (cm)]],ESF[#Headers],0))</calculatedColumnFormula>
    </tableColumn>
    <tableColumn id="2" xr3:uid="{B4EA43D3-E608-4736-A86C-98A6C02EEE2C}" name="As,lado" dataDxfId="279">
      <calculatedColumnFormula>IF(viavelESF[[#This Row],[idDimensionamento]]="","N.A.",INDEX(ESF[],MATCH(viavelESF[[#This Row],[Pilar]]&amp;viavelESF[[#This Row],[idDimensionamento]],ESF[idPilar,idDimensionamento],0),MATCH("As,lado (cm²)",ESF[#Headers],0)))</calculatedColumnFormula>
    </tableColumn>
    <tableColumn id="12" xr3:uid="{7C7A1200-3291-4C9E-9C3A-254602375C1A}" name="N1" dataDxfId="278">
      <calculatedColumnFormula>IF(viavelESF[[#This Row],[As,lado]]="N.A.",0,IF(viavelESF[[#This Row],[nE]]=1,ROUNDUP(viavelESF[[#This Row],[As,lado]]/(PI()*(viavelESF[[#This Row],[Ø1]]/10)^2/4)/2,0),ROUNDUP(viavelESF[[#This Row],[As,lado]]/(PI()*(viavelESF[[#This Row],[Ø1]]/10)^2/4),0)))</calculatedColumnFormula>
    </tableColumn>
    <tableColumn id="11" xr3:uid="{1085A9A5-07A2-4EE5-9A1D-9F0A17362353}" name="Ø1" dataDxfId="277">
      <calculatedColumnFormula>IF(viavelESF[[#This Row],[As,lado]]="N.A.",0,dArmadura(viavelESF[[#This Row],[nE]],viavelESF[[#This Row],[Ø (cm)]],viavelESF[[#This Row],[e (cm)]],viavelESF[[#This Row],[a (cm)]],viavelESF[[#This Row],[h (cm)]],viavelESF[[#Headers],[As,lado]],viavelESF[[#This Row],[As,lado]]))</calculatedColumnFormula>
    </tableColumn>
    <tableColumn id="61" xr3:uid="{9600BB53-644D-42F7-A240-C432236340C3}" name="C1" dataDxfId="276">
      <calculatedColumnFormula>IF(viavelESF[[#This Row],[As,lado]]="N.A.",0,comprimento(viavelESF[[#This Row],[nE]],viavelESF[[#This Row],[Ø1]],viavelESF[[#This Row],[e (cm)]],viavelESF[[#This Row],[a (cm)]],viavelESF[[#This Row],[h (cm)]],viavelESF[[#Headers],[As,lado]]))</calculatedColumnFormula>
    </tableColumn>
    <tableColumn id="16" xr3:uid="{88B6190D-F48A-4859-B9BC-6F9142B2BF89}" name="id1" dataDxfId="275">
      <calculatedColumnFormula>IF(viavelESF[[#This Row],[N1]]=0,"N.A.",viavelESF[[#This Row],[N1]]&amp;" Ø"&amp;viavelESF[[#This Row],[Ø1]]&amp;" mm C = "&amp;viavelESF[[#This Row],[C1]]&amp;"cm")</calculatedColumnFormula>
    </tableColumn>
    <tableColumn id="56" xr3:uid="{62B45D03-8A1E-45B4-8655-26DB22FC0C56}" name="Asp" dataDxfId="274">
      <calculatedColumnFormula>IF(viavelESF[[#This Row],[idDimensionamento]]="","N.A.",INDEX(ESF[],MATCH(viavelESF[[#This Row],[Pilar]]&amp;viavelESF[[#This Row],[idDimensionamento]],ESF[idPilar,idDimensionamento],0),MATCH("Asp e Asw (cm²/m)",ESF[#Headers],0)))</calculatedColumnFormula>
    </tableColumn>
    <tableColumn id="58" xr3:uid="{EE0E221B-E94F-440E-BB0F-A6F76601CE36}" name="N2" dataDxfId="273">
      <calculatedColumnFormula>IF(viavelESF[[#This Row],[Asp]]="N.A.",0,ROUNDUP(viavelESF[[#This Row],[Asp]]/(PI()*(viavelESF[[#This Row],[Ø2]]/10)^2/4)/2,0))</calculatedColumnFormula>
    </tableColumn>
    <tableColumn id="59" xr3:uid="{BC60BBDB-6F63-44B9-B6EB-02C8189DC96D}" name="Ø2" dataDxfId="272">
      <calculatedColumnFormula>IF(viavelESF[[#This Row],[Asp]]="N.A.",0,dArmadura(viavelESF[[#This Row],[nE]],viavelESF[[#This Row],[Ø (cm)]],viavelESF[[#This Row],[e (cm)]],viavelESF[[#This Row],[a (cm)]],viavelESF[[#This Row],[h (cm)]],viavelESF[[#Headers],[Asp]],viavelESF[[#This Row],[Asp]]))</calculatedColumnFormula>
    </tableColumn>
    <tableColumn id="62" xr3:uid="{3B0E0372-3A1D-442C-850F-8CE8463F4C9C}" name="C2" dataDxfId="271">
      <calculatedColumnFormula>IF(viavelESF[[#This Row],[Asp]]="N.A.",0,comprimento(viavelESF[[#This Row],[nE]],viavelESF[[#This Row],[Ø2]],viavelESF[[#This Row],[e (cm)]],viavelESF[[#This Row],[a (cm)]],viavelESF[[#This Row],[h (cm)]],viavelESF[[#Headers],[Asp]]))</calculatedColumnFormula>
    </tableColumn>
    <tableColumn id="19" xr3:uid="{83435989-1F22-4A56-9E3E-1E405ABFD84F}" name="id2" dataDxfId="270">
      <calculatedColumnFormula>IF(viavelESF[[#This Row],[N2]]=0,"N.A.",viavelESF[[#This Row],[N2]]&amp;" Ø"&amp;viavelESF[[#This Row],[Ø2]]&amp;" mm C = "&amp;viavelESF[[#This Row],[C2]]&amp;"cm")</calculatedColumnFormula>
    </tableColumn>
    <tableColumn id="3" xr3:uid="{96D2A2C4-556B-4CE9-A9C4-EE051A5B9E1B}" name="Asw" dataDxfId="269">
      <calculatedColumnFormula>viavelESF[[#This Row],[Asp]]</calculatedColumnFormula>
    </tableColumn>
    <tableColumn id="15" xr3:uid="{FF8A3464-FD17-4ECD-BAA5-B83A3D3136EE}" name="N3" dataDxfId="268">
      <calculatedColumnFormula>IF(viavelESF[[#This Row],[Asw]]="N.A.",0,ROUNDUP(viavelESF[[#This Row],[Asw]]/(PI()*(viavelESF[[#This Row],[Ø3]]/10)^2/4)/2,0))</calculatedColumnFormula>
    </tableColumn>
    <tableColumn id="14" xr3:uid="{E1CFE10D-9708-45B3-BFA2-65A710066C8A}" name="Ø3" dataDxfId="267">
      <calculatedColumnFormula>IF(viavelESF[[#This Row],[Asw]]="N.A.",0,dArmadura(viavelESF[[#This Row],[nE]],viavelESF[[#This Row],[Ø (cm)]],viavelESF[[#This Row],[e (cm)]],viavelESF[[#This Row],[a (cm)]],viavelESF[[#This Row],[h (cm)]],viavelESF[[#Headers],[Asw]],viavelESF[[#This Row],[Asw]]))</calculatedColumnFormula>
    </tableColumn>
    <tableColumn id="63" xr3:uid="{28FD71A8-5AA6-4CC6-870C-1C131857F2FB}" name="C3" dataDxfId="266">
      <calculatedColumnFormula>IF(viavelESF[[#This Row],[Asw]]="N.A.",0,comprimento(viavelESF[[#This Row],[nE]],viavelESF[[#This Row],[Ø3]],viavelESF[[#This Row],[e (cm)]],viavelESF[[#This Row],[a (cm)]],viavelESF[[#This Row],[h (cm)]],viavelESF[[#Headers],[Asw]]))</calculatedColumnFormula>
    </tableColumn>
    <tableColumn id="22" xr3:uid="{90CD0105-E6B4-4238-A7FB-059E01842A72}" name="id3" dataDxfId="265">
      <calculatedColumnFormula>IF(viavelESF[[#This Row],[N3]]=0,"N.A.",viavelESF[[#This Row],[N3]]&amp;" Ø"&amp;viavelESF[[#This Row],[Ø3]]&amp;" mm C = "&amp;viavelESF[[#This Row],[C3]]&amp;"cm")</calculatedColumnFormula>
    </tableColumn>
    <tableColumn id="4" xr3:uid="{E2FD5B44-77C9-4189-983B-22DF661A293A}" name="As,sup" dataDxfId="264">
      <calculatedColumnFormula>IF(viavelESF[[#This Row],[idDimensionamento]]="","N.A.",INDEX(ESF[],MATCH(viavelESF[[#This Row],[Pilar]]&amp;viavelESF[[#This Row],[idDimensionamento]],ESF[idPilar,idDimensionamento],0),MATCH("As,sup (cm²)",ESF[#Headers],0)))</calculatedColumnFormula>
    </tableColumn>
    <tableColumn id="18" xr3:uid="{FAA77139-C1A7-4268-8588-164CF616D339}" name="N4" dataDxfId="263">
      <calculatedColumnFormula>IF(viavelESF[[#This Row],[As,sup]]="N.A.",0,ROUNDUP(viavelESF[[#This Row],[As,sup]]/(PI()*(viavelESF[[#This Row],[Ø4]]/10)^2/4),0))</calculatedColumnFormula>
    </tableColumn>
    <tableColumn id="17" xr3:uid="{4BBCCEDB-872F-4214-B3B5-F039F8FE85CF}" name="Ø4" dataDxfId="262">
      <calculatedColumnFormula>IF(viavelESF[[#This Row],[As,sup]]="N.A.",0,dArmadura(viavelESF[[#This Row],[nE]],viavelESF[[#This Row],[Ø (cm)]],viavelESF[[#This Row],[e (cm)]],viavelESF[[#This Row],[a (cm)]],viavelESF[[#This Row],[h (cm)]],viavelESF[[#Headers],[As,sup]],viavelESF[[#This Row],[As,sup]]))</calculatedColumnFormula>
    </tableColumn>
    <tableColumn id="64" xr3:uid="{94947A0C-9B86-4122-B82C-3CA015E3C519}" name="C4" dataDxfId="261">
      <calculatedColumnFormula>IF(viavelESF[[#This Row],[As,sup]]="N.A.",0,comprimento(viavelESF[[#This Row],[nE]],viavelESF[[#This Row],[Ø4]],viavelESF[[#This Row],[e (cm)]],viavelESF[[#This Row],[a (cm)]],viavelESF[[#This Row],[h (cm)]],viavelESF[[#Headers],[As,sup]]))</calculatedColumnFormula>
    </tableColumn>
    <tableColumn id="27" xr3:uid="{2F0C3C7D-69BE-4AC2-8DAF-6053FC2CA210}" name="id4" dataDxfId="260">
      <calculatedColumnFormula>IF(viavelESF[[#This Row],[N4]]=0,"N.A.",viavelESF[[#This Row],[N4]]&amp;" Ø"&amp;viavelESF[[#This Row],[Ø4]]&amp;" mm C = "&amp;viavelESF[[#This Row],[C4]]&amp;"cm")</calculatedColumnFormula>
    </tableColumn>
    <tableColumn id="7" xr3:uid="{7679BDF5-C727-4284-A369-87641EA3F1D6}" name="As,malha" dataDxfId="259">
      <calculatedColumnFormula>IF(viavelESF[[#This Row],[idDimensionamento]]="","N.A.",INDEX(ESF[],MATCH(viavelESF[[#This Row],[Pilar]]&amp;viavelESF[[#This Row],[idDimensionamento]],ESF[idPilar,idDimensionamento],0),MATCH("As,malha (cm²)",ESF[#Headers],0)))</calculatedColumnFormula>
    </tableColumn>
    <tableColumn id="21" xr3:uid="{66D6C220-D0CE-467B-9F2C-DB2AA8E64005}" name="N5" dataDxfId="258">
      <calculatedColumnFormula>IF(viavelESF[[#This Row],[As,malha]]="N.A.",0,ROUNDUP(viavelESF[[#This Row],[As,malha]]/(PI()*(viavelESF[[#This Row],[Ø5]]/10)^2/4),0))</calculatedColumnFormula>
    </tableColumn>
    <tableColumn id="20" xr3:uid="{3F51C43A-250B-4E3E-A9A6-6942648441B4}" name="Ø5" dataDxfId="257">
      <calculatedColumnFormula>IF(viavelESF[[#This Row],[As,malha]]="N.A.",0,dArmadura(viavelESF[[#This Row],[nE]],viavelESF[[#This Row],[Ø (cm)]],viavelESF[[#This Row],[e (cm)]],viavelESF[[#This Row],[a (cm)]],viavelESF[[#This Row],[h (cm)]],viavelESF[[#Headers],[As,malha]],viavelESF[[#This Row],[As,malha]]))</calculatedColumnFormula>
    </tableColumn>
    <tableColumn id="65" xr3:uid="{068BE3EA-86A4-450F-8563-1D90653E725B}" name="C5" dataDxfId="256">
      <calculatedColumnFormula>IF(viavelESF[[#This Row],[As,malha]]="N.A.",0,comprimento(viavelESF[[#This Row],[nE]],viavelESF[[#This Row],[Ø4]],viavelESF[[#This Row],[e (cm)]],viavelESF[[#This Row],[a (cm)]],viavelESF[[#This Row],[h (cm)]],viavelESF[[#Headers],[As,malha]]))</calculatedColumnFormula>
    </tableColumn>
    <tableColumn id="28" xr3:uid="{609F9AD2-7FB4-4076-A021-ED27C6F45DFF}" name="id5" dataDxfId="255">
      <calculatedColumnFormula>IF(viavelESF[[#This Row],[N5]]=0,"N.A.",viavelESF[[#This Row],[N5]]&amp;" Ø"&amp;viavelESF[[#This Row],[Ø5]]&amp;" mm C = "&amp;viavelESF[[#This Row],[C5]]&amp;"cm")</calculatedColumnFormula>
    </tableColumn>
    <tableColumn id="8" xr3:uid="{425FF363-0FD3-4EE6-B7A2-82F1C46C370F}" name="As,susp,tot" dataDxfId="254">
      <calculatedColumnFormula>IF(viavelESF[[#This Row],[idDimensionamento]]="","N.A.",INDEX(ESF[],MATCH(viavelESF[[#This Row],[Pilar]]&amp;viavelESF[[#This Row],[idDimensionamento]],ESF[idPilar,idDimensionamento],0),MATCH("As,susp,tot (cm²)",ESF[#Headers],0)))</calculatedColumnFormula>
    </tableColumn>
    <tableColumn id="24" xr3:uid="{99F3C33C-5C31-477B-B812-25B659BE65DA}" name="N6" dataDxfId="253">
      <calculatedColumnFormula>IF(viavelESF[[#This Row],[As,susp,tot]]="N.A.",0,ROUNDUP(viavelESF[[#This Row],[As,susp,tot]]/(PI()*(viavelESF[[#This Row],[Ø6]]/10)^2/4),0))</calculatedColumnFormula>
    </tableColumn>
    <tableColumn id="23" xr3:uid="{D6349DCF-D812-4B8D-B57B-AD8CBA22CD9D}" name="Ø6" dataDxfId="252">
      <calculatedColumnFormula>IF(viavelESF[[#This Row],[As,susp,tot]]="N.A.",0,dArmadura(viavelESF[[#This Row],[nE]],viavelESF[[#This Row],[Ø (cm)]],viavelESF[[#This Row],[e (cm)]],viavelESF[[#This Row],[a (cm)]],viavelESF[[#This Row],[h (cm)]],viavelESF[[#Headers],[As,susp,tot]],viavelESF[[#This Row],[As,susp,tot]]))</calculatedColumnFormula>
    </tableColumn>
    <tableColumn id="66" xr3:uid="{10159EDA-B206-4313-A05D-F4B6DBB82FCA}" name="C6" dataDxfId="251">
      <calculatedColumnFormula>IF(viavelESF[[#This Row],[As,susp,tot]]="N.A.",0,comprimento(viavelESF[[#This Row],[nE]],viavelESF[[#This Row],[Ø4]],viavelESF[[#This Row],[e (cm)]],viavelESF[[#This Row],[a (cm)]],viavelESF[[#This Row],[h (cm)]],viavelESF[[#Headers],[As,susp,tot]]))</calculatedColumnFormula>
    </tableColumn>
    <tableColumn id="29" xr3:uid="{8D77FE24-7EFD-4A75-A7EC-71954F14D15F}" name="id6" dataDxfId="250">
      <calculatedColumnFormula>IF(viavelESF[[#This Row],[N6]]=0,"N.A.",viavelESF[[#This Row],[N6]]&amp;" Ø"&amp;viavelESF[[#This Row],[Ø6]]&amp;" mm C = "&amp;viavelESF[[#This Row],[C6]]&amp;"cm")</calculatedColumnFormula>
    </tableColumn>
    <tableColumn id="9" xr3:uid="{6A0E52DD-941B-446D-8670-AC1D4B3D731D}" name="Asp,face" dataDxfId="249">
      <calculatedColumnFormula>IF(viavelESF[[#This Row],[idDimensionamento]]="","N.A.",INDEX(ESF[],MATCH(viavelESF[[#This Row],[Pilar]]&amp;viavelESF[[#This Row],[idDimensionamento]],ESF[idPilar,idDimensionamento],0),MATCH("Asp,face (cm²)",ESF[#Headers],0)))</calculatedColumnFormula>
    </tableColumn>
    <tableColumn id="25" xr3:uid="{815A3530-5512-4A98-87BF-513B243E0983}" name="N7" dataDxfId="248">
      <calculatedColumnFormula>IF(viavelESF[[#This Row],[Asp,face]]="N.A.",0,ROUNDUP(viavelESF[[#This Row],[Asp,face]]/(PI()*(viavelESF[[#This Row],[Ø7]]/10)^2/4),0))</calculatedColumnFormula>
    </tableColumn>
    <tableColumn id="26" xr3:uid="{D4FF9CA5-BA83-49CB-B0F3-2FED48DBF39A}" name="Ø7" dataDxfId="247">
      <calculatedColumnFormula>IF(viavelESF[[#This Row],[Asp,face]]="N.A.",0,dArmadura(viavelESF[[#This Row],[nE]],viavelESF[[#This Row],[Ø (cm)]],viavelESF[[#This Row],[e (cm)]],viavelESF[[#This Row],[a (cm)]],viavelESF[[#This Row],[h (cm)]],viavelESF[[#Headers],[Asp,face]],viavelESF[[#This Row],[Asp,face]]))</calculatedColumnFormula>
    </tableColumn>
    <tableColumn id="67" xr3:uid="{49877CE0-22C4-42F5-A953-C1E0C5099E6B}" name="C7" dataDxfId="246">
      <calculatedColumnFormula>IF(viavelESF[[#This Row],[Asp,face]]="N.A.",0,comprimento(viavelESF[[#This Row],[nE]],viavelESF[[#This Row],[Ø4]],viavelESF[[#This Row],[e (cm)]],viavelESF[[#This Row],[a (cm)]],viavelESF[[#This Row],[h (cm)]],viavelESF[[#Headers],[Asp,face]]))</calculatedColumnFormula>
    </tableColumn>
    <tableColumn id="30" xr3:uid="{371A0038-A8F2-4272-84B7-8A1626595C5E}" name="id7" dataDxfId="245">
      <calculatedColumnFormula>IF(viavelESF[[#This Row],[N7]]=0,"N.A.",viavelESF[[#This Row],[N7]]&amp;" Ø"&amp;viavelESF[[#This Row],[Ø7]]&amp;" mm C = "&amp;viavelESF[[#This Row],[C7]]&amp;"cm")</calculatedColumnFormula>
    </tableColumn>
  </tableColumns>
  <tableStyleInfo name="TableStyleMedium1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D2FA118-CA70-4D18-9AEC-1BFADCF930D5}" name="viavelECF" displayName="viavelECF" ref="B4:AZ10" totalsRowShown="0" headerRowDxfId="244" dataDxfId="243">
  <autoFilter ref="B4:AZ10" xr:uid="{6D749BF0-D241-406B-85D8-2DD9F87CD27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autoFilter>
  <tableColumns count="51">
    <tableColumn id="6" xr3:uid="{1503C653-8E40-40A7-B537-B752EABB800A}" name="Opção" dataDxfId="242">
      <calculatedColumnFormula>COUNTIF($C$4:C4,viavelECF[[#This Row],[Pilar]])+1</calculatedColumnFormula>
    </tableColumn>
    <tableColumn id="1" xr3:uid="{14B4AD5F-B4B2-4894-ADCD-C247D2F42DE3}" name="Pilar" dataDxfId="241">
      <calculatedColumnFormula>ROUNDDOWN((COUNTA($C$4:C4)-1)/3,0)+1</calculatedColumnFormula>
    </tableColumn>
    <tableColumn id="5" xr3:uid="{A0B73E20-D641-4640-AC72-9A4CD92AA973}" name="idDimensionamento" dataDxfId="17">
      <calculatedColumnFormula>opcao($B$2,viavelECF[[#This Row],[Pilar]],viavelECF[[#This Row],[Opção]])</calculatedColumnFormula>
    </tableColumn>
    <tableColumn id="32" xr3:uid="{E5D2B86A-36C7-4EF0-AF4B-E5A47FB467A4}" name="ap (cm)" dataDxfId="16">
      <calculatedColumnFormula>INDEX(PILARES[],MATCH(viavelECF[[#This Row],[Pilar]],PILARES[Pilar],0),MATCH(viavelECF[[#Headers],[ap (cm)]],PILARES[#Headers],0))</calculatedColumnFormula>
    </tableColumn>
    <tableColumn id="31" xr3:uid="{1A684286-0CBC-49C7-9FF9-398614CC22FA}" name="bp (cm)" dataDxfId="14">
      <calculatedColumnFormula>INDEX(PILARES[],MATCH(viavelECF[[#This Row],[Pilar]],PILARES[Pilar],0),MATCH(viavelECF[[#Headers],[bp (cm)]],PILARES[#Headers],0))</calculatedColumnFormula>
    </tableColumn>
    <tableColumn id="51" xr3:uid="{6D14E64E-B96D-4676-A079-D9923CF17B2A}" name="nE" dataDxfId="15">
      <calculatedColumnFormula>IF(viavelECF[[#This Row],[idDimensionamento]]="",0,INDEX(ECF[],MATCH(viavelECF[[#This Row],[Pilar]]&amp;viavelECF[[#This Row],[idDimensionamento]],ECF[idPilar,idDimensionamento],0),MATCH(viavelECF[[#Headers],[nE]],ECF[#Headers],0)))</calculatedColumnFormula>
    </tableColumn>
    <tableColumn id="68" xr3:uid="{B4A41AC8-CE58-4769-A1D1-123609FD7741}" name="Ø (cm)" dataDxfId="240">
      <calculatedColumnFormula>INDEX(ESF[],MATCH(viavelECF[[#This Row],[Pilar]]&amp;viavelECF[[#This Row],[idDimensionamento]],ESF[idPilar,idDimensionamento],0),MATCH(viavelECF[[#Headers],[Ø (cm)]],ESF[#Headers],0))</calculatedColumnFormula>
    </tableColumn>
    <tableColumn id="35" xr3:uid="{15B97DD5-3067-40AE-8505-C55209E97077}" name="As,mín" dataDxfId="239">
      <calculatedColumnFormula>INDEX(ESF[],MATCH(viavelECF[[#This Row],[Pilar]]&amp;viavelECF[[#This Row],[idDimensionamento]],ESF[idPilar,idDimensionamento],0),MATCH("As,mín (cm²)",ESF[#Headers],0))</calculatedColumnFormula>
    </tableColumn>
    <tableColumn id="37" xr3:uid="{E28E2473-BE1A-4B4A-B5B8-17568D388ECE}" name="N" dataDxfId="238">
      <calculatedColumnFormula>IF(viavelECF[[#This Row],[idDimensionamento]]="",0,6)</calculatedColumnFormula>
    </tableColumn>
    <tableColumn id="36" xr3:uid="{75FF7897-8B3A-44E5-B09F-276AD500710E}" name="Ø" dataDxfId="237">
      <calculatedColumnFormula>IF(viavelECF[[#This Row],[idDimensionamento]]="",0,INDEX(areaAco[],MATCH(10*SQRT(viavelECF[[#This Row],[As,mín]]*4/(viavelECF[[#This Row],[N]]*PI())),areaAco[Ø\QNTD],1)+1,1))</calculatedColumnFormula>
    </tableColumn>
    <tableColumn id="60" xr3:uid="{0527E062-563A-45A5-A15E-AABF319154E1}" name="C" dataDxfId="236">
      <calculatedColumnFormula>IF(viavelECF[[#This Row],[idDimensionamento]]="",0,INDEX(ECF[],MATCH(viavelECF[[#This Row],[Pilar]]&amp;viavelECF[[#This Row],[idDimensionamento]],ECF[idPilar,idDimensionamento],0),MATCH("Comprimento (m)",ECF[#Headers],0))*100)</calculatedColumnFormula>
    </tableColumn>
    <tableColumn id="13" xr3:uid="{78AE7E60-832A-4C01-A6F3-EFEC56796FBE}" name="idEst" dataDxfId="235">
      <calculatedColumnFormula>IF(viavelECF[[#This Row],[N]]=0,"N.A.",viavelECF[[#This Row],[N]]&amp;" Ø"&amp;viavelECF[[#This Row],[Ø]]&amp;" mm C = "&amp;viavelECF[[#This Row],[C]]&amp;"cm")</calculatedColumnFormula>
    </tableColumn>
    <tableColumn id="10" xr3:uid="{BF3B5D76-055F-4E00-81AB-C4B0E0DFEAF1}" name="Aço (kg)" dataDxfId="234">
      <calculatedColumnFormula>viavelECF[[#This Row],[nE]]*viavelECF[[#This Row],[N]]*(PI()*(viavelECF[[#This Row],[Ø]]/10)^2/4*viavelECF[[#This Row],[C]])/100^3*7850</calculatedColumnFormula>
    </tableColumn>
    <tableColumn id="55" xr3:uid="{10B770A7-9B48-410C-B060-5B6E5F6887D3}" name="e (cm)" dataDxfId="233">
      <calculatedColumnFormula>INDEX(ESF[],MATCH(viavelECF[[#This Row],[Pilar]]&amp;viavelECF[[#This Row],[idDimensionamento]],ESF[idPilar,idDimensionamento],0),MATCH(viavelECF[[#Headers],[e (cm)]],ESF[#Headers],0))</calculatedColumnFormula>
    </tableColumn>
    <tableColumn id="54" xr3:uid="{9732FDE6-2853-4152-A8B8-A4E0C21CC3EE}" name="a (cm)" dataDxfId="232">
      <calculatedColumnFormula>INDEX(ESF[],MATCH(viavelECF[[#This Row],[Pilar]]&amp;viavelECF[[#This Row],[idDimensionamento]],ESF[idPilar,idDimensionamento],0),MATCH(viavelECF[[#Headers],[a (cm)]],ESF[#Headers],0))</calculatedColumnFormula>
    </tableColumn>
    <tableColumn id="53" xr3:uid="{4E5C7F79-ECC1-47CF-9826-98B68299D2E8}" name="h (cm)" dataDxfId="231">
      <calculatedColumnFormula>INDEX(ESF[],MATCH(viavelECF[[#This Row],[Pilar]]&amp;viavelECF[[#This Row],[idDimensionamento]],ESF[idPilar,idDimensionamento],0),MATCH(viavelECF[[#Headers],[h (cm)]],ESF[#Headers],0))</calculatedColumnFormula>
    </tableColumn>
    <tableColumn id="2" xr3:uid="{E5EBEEA9-7595-4BAB-94F0-CE733600CEAA}" name="As,lado" dataDxfId="230">
      <calculatedColumnFormula>INDEX(ESF[],MATCH(viavelECF[[#This Row],[Pilar]]&amp;viavelECF[[#This Row],[idDimensionamento]],ESF[idPilar,idDimensionamento],0),MATCH("As,lado (cm²)",ESF[#Headers],0))</calculatedColumnFormula>
    </tableColumn>
    <tableColumn id="12" xr3:uid="{F6D33126-538A-4A8F-A232-FECC114DD165}" name="N1" dataDxfId="229">
      <calculatedColumnFormula>IF(viavelECF[[#This Row],[As,lado]]="N.A.",0,IF(viavelECF[[#This Row],[nE]]=1,ROUNDUP(viavelECF[[#This Row],[As,lado]]/(PI()*(viavelECF[[#This Row],[Ø1]]/10)^2/4)/2,0),ROUNDUP(viavelECF[[#This Row],[As,lado]]/(PI()*(viavelECF[[#This Row],[Ø1]]/10)^2/4),0)))</calculatedColumnFormula>
    </tableColumn>
    <tableColumn id="11" xr3:uid="{4A9CF8CF-9794-4546-91AF-4A1D2493A201}" name="Ø1" dataDxfId="228">
      <calculatedColumnFormula>IF(viavelECF[[#This Row],[As,lado]]="N.A.",0,dArmadura(viavelECF[[#This Row],[nE]],viavelECF[[#This Row],[Ø (cm)]],viavelECF[[#This Row],[e (cm)]],viavelECF[[#This Row],[a (cm)]],viavelECF[[#This Row],[h (cm)]],viavelECF[[#Headers],[As,lado]],viavelECF[[#This Row],[As,lado]]))</calculatedColumnFormula>
    </tableColumn>
    <tableColumn id="61" xr3:uid="{13477E16-56E5-4801-B550-FAB6387027B5}" name="C1" dataDxfId="227">
      <calculatedColumnFormula>IF(viavelECF[[#This Row],[As,lado]]="N.A.",0,comprimento(viavelECF[[#This Row],[nE]],viavelECF[[#This Row],[Ø1]],viavelECF[[#This Row],[e (cm)]],viavelECF[[#This Row],[a (cm)]],viavelECF[[#This Row],[h (cm)]],viavelECF[[#Headers],[As,lado]]))</calculatedColumnFormula>
    </tableColumn>
    <tableColumn id="16" xr3:uid="{F1858E0E-0D6D-4367-80CA-E654FFE441FE}" name="id1" dataDxfId="226">
      <calculatedColumnFormula>IF(viavelECF[[#This Row],[N1]]=0,"N.A.",viavelECF[[#This Row],[N1]]&amp;" Ø"&amp;viavelECF[[#This Row],[Ø1]]&amp;" mm C = "&amp;viavelECF[[#This Row],[C1]]&amp;"cm")</calculatedColumnFormula>
    </tableColumn>
    <tableColumn id="56" xr3:uid="{0C55406E-BB98-46A5-9EBF-F67C7A79AAE3}" name="Asp" dataDxfId="225">
      <calculatedColumnFormula>IF(viavelECF[[#This Row],[idDimensionamento]]="","N.A.",INDEX(ECF[],MATCH(viavelECF[[#This Row],[Pilar]]&amp;viavelECF[[#This Row],[idDimensionamento]],ECF[idPilar,idDimensionamento],0),MATCH("Asp e Asw (cm²/m)",ECF[#Headers],0)))</calculatedColumnFormula>
    </tableColumn>
    <tableColumn id="58" xr3:uid="{7E1D4E87-1029-4253-885A-00C278595F35}" name="N2" dataDxfId="224">
      <calculatedColumnFormula>IF(viavelECF[[#This Row],[Asp]]="N.A.",0,ROUNDUP(viavelECF[[#This Row],[Asp]]/(PI()*(viavelECF[[#This Row],[Ø2]]/10)^2/4)/2,0))</calculatedColumnFormula>
    </tableColumn>
    <tableColumn id="59" xr3:uid="{A9FA6311-4BB4-4419-A2E4-44D0235EF37D}" name="Ø2" dataDxfId="223">
      <calculatedColumnFormula>IF(viavelECF[[#This Row],[Asp]]="N.A.",0,dArmadura(viavelECF[[#This Row],[nE]],viavelECF[[#This Row],[Ø (cm)]],viavelECF[[#This Row],[e (cm)]],viavelECF[[#This Row],[a (cm)]],viavelECF[[#This Row],[h (cm)]],viavelECF[[#Headers],[Asp]],viavelECF[[#This Row],[Asp]]))</calculatedColumnFormula>
    </tableColumn>
    <tableColumn id="62" xr3:uid="{172F2D2C-D1B2-4353-9036-8DCF80B7CF0B}" name="C2" dataDxfId="222">
      <calculatedColumnFormula>IF(viavelECF[[#This Row],[Asp]]="N.A.",0,comprimento(viavelECF[[#This Row],[nE]],viavelECF[[#This Row],[Ø2]],viavelECF[[#This Row],[e (cm)]],viavelECF[[#This Row],[a (cm)]],viavelECF[[#This Row],[h (cm)]],viavelECF[[#Headers],[Asp]]))</calculatedColumnFormula>
    </tableColumn>
    <tableColumn id="19" xr3:uid="{5F7BFAD7-9F7B-47DE-8BD3-66AB3878F59D}" name="id2" dataDxfId="221">
      <calculatedColumnFormula>IF(viavelECF[[#This Row],[N2]]=0,"N.A.",viavelECF[[#This Row],[N2]]&amp;" Ø"&amp;viavelECF[[#This Row],[Ø2]]&amp;" mm C = "&amp;viavelECF[[#This Row],[C2]]&amp;"cm")</calculatedColumnFormula>
    </tableColumn>
    <tableColumn id="3" xr3:uid="{1EBACB93-F2C4-4937-9F2F-645C7F7DB45F}" name="Asw" dataDxfId="220">
      <calculatedColumnFormula>viavelECF[[#This Row],[Asp]]</calculatedColumnFormula>
    </tableColumn>
    <tableColumn id="15" xr3:uid="{DAB59513-3C8A-4185-94EE-75EB309B6CC8}" name="N3" dataDxfId="219">
      <calculatedColumnFormula>IF(viavelECF[[#This Row],[Asw]]="N.A.",0,ROUNDUP(viavelECF[[#This Row],[Asw]]/(PI()*(viavelECF[[#This Row],[Ø3]]/10)^2/4)/2,0))</calculatedColumnFormula>
    </tableColumn>
    <tableColumn id="14" xr3:uid="{76B0B33B-6C37-4909-BFBE-8193BCAED007}" name="Ø3" dataDxfId="218">
      <calculatedColumnFormula>IF(viavelECF[[#This Row],[Asw]]="N.A.",0,dArmadura(viavelECF[[#This Row],[nE]],viavelECF[[#This Row],[Ø (cm)]],viavelECF[[#This Row],[e (cm)]],viavelECF[[#This Row],[a (cm)]],viavelECF[[#This Row],[h (cm)]],viavelECF[[#Headers],[Asw]],viavelECF[[#This Row],[Asw]]))</calculatedColumnFormula>
    </tableColumn>
    <tableColumn id="63" xr3:uid="{B1EE9661-268C-4DC9-B8AD-F100478D1E01}" name="C3" dataDxfId="217">
      <calculatedColumnFormula>IF(viavelECF[[#This Row],[Asw]]="N.A.",0,comprimento(viavelECF[[#This Row],[nE]],viavelECF[[#This Row],[Ø3]],viavelECF[[#This Row],[e (cm)]],viavelECF[[#This Row],[a (cm)]],viavelECF[[#This Row],[h (cm)]],viavelECF[[#Headers],[Asw]]))</calculatedColumnFormula>
    </tableColumn>
    <tableColumn id="22" xr3:uid="{DDF23DCE-F183-4474-B0A2-41F9D8F832E3}" name="id3" dataDxfId="216">
      <calculatedColumnFormula>IF(viavelECF[[#This Row],[N3]]=0,"N.A.",viavelECF[[#This Row],[N3]]&amp;" Ø"&amp;viavelECF[[#This Row],[Ø3]]&amp;" mm C = "&amp;viavelECF[[#This Row],[C3]]&amp;"cm")</calculatedColumnFormula>
    </tableColumn>
    <tableColumn id="4" xr3:uid="{F0671318-62EC-430E-9FD0-3E4068FD2411}" name="As,sup" dataDxfId="215">
      <calculatedColumnFormula>IF(viavelECF[[#This Row],[idDimensionamento]]="","N.A.",INDEX(ECF[],MATCH(viavelECF[[#This Row],[Pilar]]&amp;viavelECF[[#This Row],[idDimensionamento]],ECF[idPilar,idDimensionamento],0),MATCH("As,sup (cm²)",ECF[#Headers],0)))</calculatedColumnFormula>
    </tableColumn>
    <tableColumn id="18" xr3:uid="{65E9E630-2885-49B0-BCD3-48162906555E}" name="N4" dataDxfId="214">
      <calculatedColumnFormula>IF(viavelECF[[#This Row],[As,sup]]="N.A.",0,ROUNDUP(viavelECF[[#This Row],[As,sup]]/(PI()*(viavelECF[[#This Row],[Ø4]]/10)^2/4),0))</calculatedColumnFormula>
    </tableColumn>
    <tableColumn id="17" xr3:uid="{1FD00011-F960-4DBD-A399-6A4EC55812EA}" name="Ø4" dataDxfId="213">
      <calculatedColumnFormula>IF(viavelECF[[#This Row],[As,sup]]="N.A.",0,dArmadura(viavelECF[[#This Row],[nE]],viavelECF[[#This Row],[Ø (cm)]],viavelECF[[#This Row],[e (cm)]],viavelECF[[#This Row],[a (cm)]],viavelECF[[#This Row],[h (cm)]],viavelECF[[#Headers],[As,sup]],viavelECF[[#This Row],[As,sup]]))</calculatedColumnFormula>
    </tableColumn>
    <tableColumn id="64" xr3:uid="{0CD49223-B7A6-4860-AC09-84A16E37BDDA}" name="C4" dataDxfId="212">
      <calculatedColumnFormula>IF(viavelECF[[#This Row],[As,sup]]="N.A.",0,comprimento(viavelECF[[#This Row],[nE]],viavelECF[[#This Row],[Ø4]],viavelECF[[#This Row],[e (cm)]],viavelECF[[#This Row],[a (cm)]],viavelECF[[#This Row],[h (cm)]],viavelECF[[#Headers],[As,sup]]))</calculatedColumnFormula>
    </tableColumn>
    <tableColumn id="27" xr3:uid="{1B602894-B0EC-445D-A709-CE5D2A3DEA8B}" name="id4" dataDxfId="211">
      <calculatedColumnFormula>IF(viavelECF[[#This Row],[N4]]=0,"N.A.",viavelECF[[#This Row],[N4]]&amp;" Ø"&amp;viavelECF[[#This Row],[Ø4]]&amp;" mm C = "&amp;viavelECF[[#This Row],[C4]]&amp;"cm")</calculatedColumnFormula>
    </tableColumn>
    <tableColumn id="7" xr3:uid="{EE7EB5EF-89A7-43F3-BF57-2E1AEFDB3F40}" name="As,malha" dataDxfId="210">
      <calculatedColumnFormula>IF(viavelECF[[#This Row],[idDimensionamento]]="","N.A.",INDEX(ECF[],MATCH(viavelECF[[#This Row],[Pilar]]&amp;viavelECF[[#This Row],[idDimensionamento]],ECF[idPilar,idDimensionamento],0),MATCH("As,malha (cm²)",ECF[#Headers],0)))</calculatedColumnFormula>
    </tableColumn>
    <tableColumn id="21" xr3:uid="{A16ECA76-4C17-463A-AF13-F39AA5013D5D}" name="N5" dataDxfId="209">
      <calculatedColumnFormula>IF(viavelECF[[#This Row],[As,malha]]="N.A.",0,ROUNDUP(viavelECF[[#This Row],[As,malha]]/(PI()*(viavelECF[[#This Row],[Ø5]]/10)^2/4),0))</calculatedColumnFormula>
    </tableColumn>
    <tableColumn id="20" xr3:uid="{2CFF4D00-44C5-4D19-9C15-0915A91AE898}" name="Ø5" dataDxfId="208">
      <calculatedColumnFormula>IF(viavelECF[[#This Row],[As,malha]]="N.A.",0,dArmadura(viavelECF[[#This Row],[nE]],viavelECF[[#This Row],[Ø (cm)]],viavelECF[[#This Row],[e (cm)]],viavelECF[[#This Row],[a (cm)]],viavelECF[[#This Row],[h (cm)]],viavelECF[[#Headers],[As,malha]],viavelECF[[#This Row],[As,malha]]))</calculatedColumnFormula>
    </tableColumn>
    <tableColumn id="65" xr3:uid="{AF558F1F-3089-48A5-8E1C-DB8445E90FA0}" name="C5" dataDxfId="207">
      <calculatedColumnFormula>IF(viavelECF[[#This Row],[As,malha]]="N.A.",0,comprimento(viavelECF[[#This Row],[nE]],viavelECF[[#This Row],[Ø4]],viavelECF[[#This Row],[e (cm)]],viavelECF[[#This Row],[a (cm)]],viavelECF[[#This Row],[h (cm)]],viavelECF[[#Headers],[As,malha]]))</calculatedColumnFormula>
    </tableColumn>
    <tableColumn id="28" xr3:uid="{F8D6C2B4-A288-4149-B9CA-902948635D59}" name="id5" dataDxfId="206">
      <calculatedColumnFormula>IF(viavelECF[[#This Row],[N5]]=0,"N.A.",viavelECF[[#This Row],[N5]]&amp;" Ø"&amp;viavelECF[[#This Row],[Ø5]]&amp;" mm C = "&amp;viavelECF[[#This Row],[C5]]&amp;"cm")</calculatedColumnFormula>
    </tableColumn>
    <tableColumn id="8" xr3:uid="{03193ED6-844D-4544-BC7F-E041B504B65F}" name="As,susp,tot" dataDxfId="205">
      <calculatedColumnFormula>IF(viavelECF[[#This Row],[idDimensionamento]]="","N.A.",INDEX(ECF[],MATCH(viavelECF[[#This Row],[Pilar]]&amp;viavelECF[[#This Row],[idDimensionamento]],ECF[idPilar,idDimensionamento],0),MATCH("As,susp,tot (cm²)",ECF[#Headers],0)))</calculatedColumnFormula>
    </tableColumn>
    <tableColumn id="24" xr3:uid="{6BD12F4C-88DC-4AAD-AF60-CECE762F8115}" name="N6" dataDxfId="204">
      <calculatedColumnFormula>IF(viavelECF[[#This Row],[As,susp,tot]]="N.A.",0,ROUNDUP(viavelECF[[#This Row],[As,susp,tot]]/(PI()*(viavelECF[[#This Row],[Ø6]]/10)^2/4),0))</calculatedColumnFormula>
    </tableColumn>
    <tableColumn id="23" xr3:uid="{6FFDAEF6-36B2-4BC0-AFAD-75E5B50CE54C}" name="Ø6" dataDxfId="203">
      <calculatedColumnFormula>IF(viavelECF[[#This Row],[As,susp,tot]]="N.A.",0,dArmadura(viavelECF[[#This Row],[nE]],viavelECF[[#This Row],[Ø (cm)]],viavelECF[[#This Row],[e (cm)]],viavelECF[[#This Row],[a (cm)]],viavelECF[[#This Row],[h (cm)]],viavelECF[[#Headers],[As,susp,tot]],viavelECF[[#This Row],[As,susp,tot]]))</calculatedColumnFormula>
    </tableColumn>
    <tableColumn id="66" xr3:uid="{F4E286B4-0507-4242-9A30-A4EAC2EAE611}" name="C6" dataDxfId="202">
      <calculatedColumnFormula>IF(viavelECF[[#This Row],[As,susp,tot]]="N.A.",0,comprimento(viavelECF[[#This Row],[nE]],viavelECF[[#This Row],[Ø4]],viavelECF[[#This Row],[e (cm)]],viavelECF[[#This Row],[a (cm)]],viavelECF[[#This Row],[h (cm)]],viavelECF[[#Headers],[As,susp,tot]]))</calculatedColumnFormula>
    </tableColumn>
    <tableColumn id="29" xr3:uid="{A84BDEED-F2AA-4B0E-957C-6CEDC1B594E5}" name="id6" dataDxfId="201">
      <calculatedColumnFormula>IF(viavelECF[[#This Row],[N6]]=0,"N.A.",viavelECF[[#This Row],[N6]]&amp;" Ø"&amp;viavelECF[[#This Row],[Ø6]]&amp;" mm C = "&amp;viavelECF[[#This Row],[C6]]&amp;"cm")</calculatedColumnFormula>
    </tableColumn>
    <tableColumn id="9" xr3:uid="{1B5FDF76-3116-4A96-97B5-EEC06BD82257}" name="Asp,face" dataDxfId="200">
      <calculatedColumnFormula>IF(viavelECF[[#This Row],[idDimensionamento]]="","N.A.",INDEX(ECF[],MATCH(viavelECF[[#This Row],[Pilar]]&amp;viavelECF[[#This Row],[idDimensionamento]],ECF[idPilar,idDimensionamento],0),MATCH("Asp,face (cm²)",ECF[#Headers],0)))</calculatedColumnFormula>
    </tableColumn>
    <tableColumn id="25" xr3:uid="{EE08F79E-B79B-46C9-B202-81EC3687F78C}" name="N7" dataDxfId="199">
      <calculatedColumnFormula>IF(viavelECF[[#This Row],[Asp,face]]="N.A.",0,ROUNDUP(viavelECF[[#This Row],[Asp,face]]/(PI()*(viavelECF[[#This Row],[Ø7]]/10)^2/4),0))</calculatedColumnFormula>
    </tableColumn>
    <tableColumn id="26" xr3:uid="{B5A86D9A-39C5-4DC2-BC99-DE1C0C472CE8}" name="Ø7" dataDxfId="198">
      <calculatedColumnFormula>IF(viavelECF[[#This Row],[Asp,face]]="N.A.",0,dArmadura(viavelECF[[#This Row],[nE]],viavelECF[[#This Row],[Ø (cm)]],viavelECF[[#This Row],[e (cm)]],viavelECF[[#This Row],[a (cm)]],viavelECF[[#This Row],[h (cm)]],viavelECF[[#Headers],[Asp,face]],viavelECF[[#This Row],[Asp,face]]))</calculatedColumnFormula>
    </tableColumn>
    <tableColumn id="67" xr3:uid="{A6B2138C-6B9A-4ABB-AF5E-9356AFE36926}" name="C7" dataDxfId="197">
      <calculatedColumnFormula>IF(viavelECF[[#This Row],[Asp,face]]="N.A.",0,comprimento(viavelECF[[#This Row],[nE]],viavelECF[[#This Row],[Ø4]],viavelECF[[#This Row],[e (cm)]],viavelECF[[#This Row],[a (cm)]],viavelECF[[#This Row],[h (cm)]],viavelECF[[#Headers],[Asp,face]]))</calculatedColumnFormula>
    </tableColumn>
    <tableColumn id="30" xr3:uid="{A4C0B26C-4B05-4A09-9699-87F80468BC2D}" name="id7" dataDxfId="196">
      <calculatedColumnFormula>IF(viavelECF[[#This Row],[N7]]=0,"N.A.",viavelECF[[#This Row],[N7]]&amp;" Ø"&amp;viavelECF[[#This Row],[Ø7]]&amp;" mm C = "&amp;viavelECF[[#This Row],[C7]]&amp;"cm")</calculatedColumnFormula>
    </tableColumn>
  </tableColumns>
  <tableStyleInfo name="TableStyleMedium1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4110FEC-B70A-46D4-8AA5-C593CC454647}" name="viavelHC" displayName="viavelHC" ref="B4:AZ10" totalsRowShown="0" headerRowDxfId="195" dataDxfId="194">
  <autoFilter ref="B4:AZ10" xr:uid="{6D749BF0-D241-406B-85D8-2DD9F87CD27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autoFilter>
  <tableColumns count="51">
    <tableColumn id="6" xr3:uid="{6058F43F-EFB0-4CF1-BDA3-107C0876F32B}" name="Opção" dataDxfId="193">
      <calculatedColumnFormula>COUNTIF($C$4:C4,viavelHC[[#This Row],[Pilar]])+1</calculatedColumnFormula>
    </tableColumn>
    <tableColumn id="1" xr3:uid="{6D82CBB7-29FB-46D9-AD4A-C29C1EC43DA8}" name="Pilar" dataDxfId="192">
      <calculatedColumnFormula>ROUNDDOWN((COUNTA($C$4:C4)-1)/3,0)+1</calculatedColumnFormula>
    </tableColumn>
    <tableColumn id="5" xr3:uid="{ADA1BFAF-F5EC-4591-A732-9EFB94740807}" name="idDimensionamento" dataDxfId="191">
      <calculatedColumnFormula>opcao($B$2,viavelHC[[#This Row],[Pilar]],viavelHC[[#This Row],[Opção]])</calculatedColumnFormula>
    </tableColumn>
    <tableColumn id="32" xr3:uid="{881544F0-632F-4E64-B3E2-02C93B26168C}" name="ap (cm)" dataDxfId="190">
      <calculatedColumnFormula>INDEX(PILARES[],MATCH(viavelHC[[#This Row],[Pilar]],PILARES[Pilar],0),MATCH(viavelHC[[#Headers],[ap (cm)]],PILARES[#Headers],0))</calculatedColumnFormula>
    </tableColumn>
    <tableColumn id="31" xr3:uid="{2E72C123-5DA6-4EDF-9B10-0A6F09FB11CF}" name="bp (cm)" dataDxfId="189">
      <calculatedColumnFormula>INDEX(PILARES[],MATCH(viavelHC[[#This Row],[Pilar]],PILARES[Pilar],0),MATCH(viavelHC[[#Headers],[bp (cm)]],PILARES[#Headers],0))</calculatedColumnFormula>
    </tableColumn>
    <tableColumn id="51" xr3:uid="{2916079C-EF77-42D6-B752-80EAB7DF47B5}" name="nE" dataDxfId="188">
      <calculatedColumnFormula>INDEX(ESF[],MATCH(viavelHC[[#This Row],[Pilar]]&amp;viavelHC[[#This Row],[idDimensionamento]],HC[idPilar,idDimensionamento],0),MATCH(viavelHC[[#Headers],[nE]],HC[#Headers],0))</calculatedColumnFormula>
    </tableColumn>
    <tableColumn id="68" xr3:uid="{86A3E6AA-42DA-4F7E-B00A-12460A9E579B}" name="Ø (cm)" dataDxfId="187">
      <calculatedColumnFormula>INDEX(ESF[],MATCH(viavelHC[[#This Row],[Pilar]]&amp;viavelHC[[#This Row],[idDimensionamento]],HC[idPilar,idDimensionamento],0),MATCH(viavelHC[[#Headers],[Ø (cm)]],HC[#Headers],0))</calculatedColumnFormula>
    </tableColumn>
    <tableColumn id="35" xr3:uid="{DF8DEE7A-7DB4-4B61-8EF4-CB3940F9A558}" name="As,mín" dataDxfId="186">
      <calculatedColumnFormula>INDEX(ESF[],MATCH(viavelHC[[#This Row],[Pilar]]&amp;viavelHC[[#This Row],[idDimensionamento]],HC[idPilar,idDimensionamento],0),MATCH("As,mín (cm²)",HC[#Headers],0))</calculatedColumnFormula>
    </tableColumn>
    <tableColumn id="37" xr3:uid="{39C63CAC-41A8-4CF6-A16F-D45B31723E5B}" name="N" dataDxfId="185">
      <calculatedColumnFormula>IF(viavelHC[[#This Row],[idDimensionamento]]="",0,6)</calculatedColumnFormula>
    </tableColumn>
    <tableColumn id="36" xr3:uid="{64BD0285-694F-4DAF-90B2-D46C9FD2AFF8}" name="Ø" dataDxfId="184">
      <calculatedColumnFormula>IF(viavelHC[[#This Row],[idDimensionamento]]="",0,INDEX(areaAco[],MATCH(10*SQRT(viavelHC[[#This Row],[As,mín]]*4/(viavelHC[[#This Row],[N]]*PI())),areaAco[Ø\QNTD],1)+1,1))</calculatedColumnFormula>
    </tableColumn>
    <tableColumn id="60" xr3:uid="{0F12197B-1942-4E89-85C8-8C4A76AD994C}" name="C" dataDxfId="183">
      <calculatedColumnFormula>INDEX(ESF[],MATCH(viavelHC[[#This Row],[Pilar]]&amp;viavelHC[[#This Row],[idDimensionamento]],HC[idPilar,idDimensionamento],0),MATCH("Comprimento (m)",HC[#Headers],0))*100</calculatedColumnFormula>
    </tableColumn>
    <tableColumn id="13" xr3:uid="{C00563EC-40AB-493F-B5EB-8DED8F3ACE1C}" name="idEst" dataDxfId="182">
      <calculatedColumnFormula>IF(viavelHC[[#This Row],[N]]=0,"N.A.",viavelHC[[#This Row],[N]]&amp;" Ø"&amp;viavelHC[[#This Row],[Ø]]&amp;" mm C = "&amp;viavelHC[[#This Row],[C]]&amp;"cm")</calculatedColumnFormula>
    </tableColumn>
    <tableColumn id="10" xr3:uid="{2469D00B-B5DA-4E63-87BD-751E3FF95C7A}" name="Aço (kg)" dataDxfId="181">
      <calculatedColumnFormula>viavelHC[[#This Row],[nE]]*viavelHC[[#This Row],[N]]*(PI()*(viavelHC[[#This Row],[Ø]]/10)^2/4*viavelHC[[#This Row],[C]])/100^3*7850</calculatedColumnFormula>
    </tableColumn>
    <tableColumn id="55" xr3:uid="{BF2AF425-A54E-46C6-9728-4A6722350886}" name="e (cm)" dataDxfId="180">
      <calculatedColumnFormula>INDEX(ESF[],MATCH(viavelHC[[#This Row],[Pilar]]&amp;viavelHC[[#This Row],[idDimensionamento]],HC[idPilar,idDimensionamento],0),MATCH(viavelHC[[#Headers],[e (cm)]],HC[#Headers],0))</calculatedColumnFormula>
    </tableColumn>
    <tableColumn id="54" xr3:uid="{2F6E9AB6-0482-4646-B618-9A2D5E50D53F}" name="a (cm)" dataDxfId="179">
      <calculatedColumnFormula>INDEX(ESF[],MATCH(viavelHC[[#This Row],[Pilar]]&amp;viavelHC[[#This Row],[idDimensionamento]],HC[idPilar,idDimensionamento],0),MATCH(viavelHC[[#Headers],[a (cm)]],HC[#Headers],0))</calculatedColumnFormula>
    </tableColumn>
    <tableColumn id="53" xr3:uid="{B9928167-1BA1-47BA-9329-14BF4232D2D3}" name="h (cm)" dataDxfId="178">
      <calculatedColumnFormula>INDEX(ESF[],MATCH(viavelHC[[#This Row],[Pilar]]&amp;viavelHC[[#This Row],[idDimensionamento]],HC[idPilar,idDimensionamento],0),MATCH(viavelHC[[#Headers],[h (cm)]],HC[#Headers],0))</calculatedColumnFormula>
    </tableColumn>
    <tableColumn id="2" xr3:uid="{A518A182-63A5-4673-B936-95852764A288}" name="As,lado" dataDxfId="177">
      <calculatedColumnFormula>IF(viavelHC[[#This Row],[idDimensionamento]]="","N.A.",INDEX(ESF[],MATCH(viavelHC[[#This Row],[Pilar]]&amp;viavelHC[[#This Row],[idDimensionamento]],HC[idPilar,idDimensionamento],0),MATCH("As,lado (cm²)",HC[#Headers],0)))</calculatedColumnFormula>
    </tableColumn>
    <tableColumn id="12" xr3:uid="{B412890E-E277-407E-8C8D-899A95224773}" name="N1" dataDxfId="176">
      <calculatedColumnFormula>IF(viavelHC[[#This Row],[As,lado]]="N.A.",0,IF(viavelHC[[#This Row],[nE]]=1,ROUNDUP(viavelHC[[#This Row],[As,lado]]/(PI()*(viavelHC[[#This Row],[Ø1]]/10)^2/4)/2,0),ROUNDUP(viavelHC[[#This Row],[As,lado]]/(PI()*(viavelHC[[#This Row],[Ø1]]/10)^2/4),0)))</calculatedColumnFormula>
    </tableColumn>
    <tableColumn id="11" xr3:uid="{A56D1D30-9628-488C-A91F-35C972056C16}" name="Ø1" dataDxfId="175">
      <calculatedColumnFormula>IF(viavelHC[[#This Row],[As,lado]]="N.A.",0,dArmadura(viavelHC[[#This Row],[nE]],viavelHC[[#This Row],[Ø (cm)]],viavelHC[[#This Row],[e (cm)]],viavelHC[[#This Row],[a (cm)]],viavelHC[[#This Row],[h (cm)]],viavelHC[[#Headers],[As,lado]],viavelHC[[#This Row],[As,lado]]))</calculatedColumnFormula>
    </tableColumn>
    <tableColumn id="61" xr3:uid="{ADDB6E27-6162-4A66-8D5E-624E1DFC1160}" name="C1" dataDxfId="174">
      <calculatedColumnFormula>IF(viavelHC[[#This Row],[As,lado]]="N.A.",0,comprimento(viavelHC[[#This Row],[nE]],viavelHC[[#This Row],[Ø1]],viavelHC[[#This Row],[e (cm)]],viavelHC[[#This Row],[a (cm)]],viavelHC[[#This Row],[h (cm)]],viavelHC[[#Headers],[As,lado]]))</calculatedColumnFormula>
    </tableColumn>
    <tableColumn id="16" xr3:uid="{4A4E720C-A371-4E88-BC16-A382F6CFDCA8}" name="id1" dataDxfId="173">
      <calculatedColumnFormula>IF(viavelHC[[#This Row],[N1]]=0,"N.A.",viavelHC[[#This Row],[N1]]&amp;" Ø"&amp;viavelHC[[#This Row],[Ø1]]&amp;" mm C = "&amp;viavelHC[[#This Row],[C1]]&amp;"cm")</calculatedColumnFormula>
    </tableColumn>
    <tableColumn id="56" xr3:uid="{A69C59F1-ED65-482E-B775-DA595EC5466D}" name="Asp" dataDxfId="172">
      <calculatedColumnFormula>INDEX(ESF[],MATCH(viavelHC[[#This Row],[Pilar]]&amp;viavelHC[[#This Row],[idDimensionamento]],ESF[idPilar,idDimensionamento],0),MATCH("Asp e Asw (cm²/m)",ESF[#Headers],0))</calculatedColumnFormula>
    </tableColumn>
    <tableColumn id="58" xr3:uid="{5CF9B112-E06C-4F32-85C2-90003D180A1B}" name="N2" dataDxfId="171">
      <calculatedColumnFormula>IF(viavelHC[[#This Row],[Asp]]="N.A.",0,ROUNDUP(viavelHC[[#This Row],[Asp]]/(PI()*(viavelHC[[#This Row],[Ø2]]/10)^2/4)/2,0))</calculatedColumnFormula>
    </tableColumn>
    <tableColumn id="59" xr3:uid="{30D66FE8-B27F-490F-8C5C-8F983AD547D4}" name="Ø2" dataDxfId="170">
      <calculatedColumnFormula>IF(viavelHC[[#This Row],[Asp]]="N.A.",0,dArmadura(viavelHC[[#This Row],[nE]],viavelHC[[#This Row],[Ø (cm)]],viavelHC[[#This Row],[e (cm)]],viavelHC[[#This Row],[a (cm)]],viavelHC[[#This Row],[h (cm)]],viavelHC[[#Headers],[Asp]],viavelHC[[#This Row],[Asp]]))</calculatedColumnFormula>
    </tableColumn>
    <tableColumn id="62" xr3:uid="{07951CCC-0B7C-49C5-BBF1-8BD4A00D6396}" name="C2" dataDxfId="169">
      <calculatedColumnFormula>IF(viavelHC[[#This Row],[Asp]]="N.A.",0,comprimento(viavelHC[[#This Row],[nE]],viavelHC[[#This Row],[Ø2]],viavelHC[[#This Row],[e (cm)]],viavelHC[[#This Row],[a (cm)]],viavelHC[[#This Row],[h (cm)]],viavelHC[[#Headers],[Asp]]))</calculatedColumnFormula>
    </tableColumn>
    <tableColumn id="19" xr3:uid="{6D1D259B-5298-4F71-94A1-83DF8DFEFBF3}" name="id2" dataDxfId="168">
      <calculatedColumnFormula>IF(viavelHC[[#This Row],[N2]]=0,"N.A.",viavelHC[[#This Row],[N2]]&amp;" Ø"&amp;viavelHC[[#This Row],[Ø2]]&amp;" mm C = "&amp;viavelHC[[#This Row],[C2]]&amp;"cm")</calculatedColumnFormula>
    </tableColumn>
    <tableColumn id="3" xr3:uid="{57DAD0DE-0055-4299-A91A-B02A73CC3B41}" name="Asw" dataDxfId="167">
      <calculatedColumnFormula>viavelHC[[#This Row],[Asp]]</calculatedColumnFormula>
    </tableColumn>
    <tableColumn id="15" xr3:uid="{A0F50082-16F7-4718-89FB-F9969BC609CB}" name="N3" dataDxfId="166">
      <calculatedColumnFormula>IF(viavelHC[[#This Row],[Asw]]="N.A.",0,ROUNDUP(viavelHC[[#This Row],[Asw]]/(PI()*(viavelHC[[#This Row],[Ø3]]/10)^2/4)/2,0))</calculatedColumnFormula>
    </tableColumn>
    <tableColumn id="14" xr3:uid="{92A2917E-EE01-49B1-809F-BF1EE2A6AE57}" name="Ø3" dataDxfId="165">
      <calculatedColumnFormula>IF(viavelHC[[#This Row],[Asw]]="N.A.",0,dArmadura(viavelHC[[#This Row],[nE]],viavelHC[[#This Row],[Ø (cm)]],viavelHC[[#This Row],[e (cm)]],viavelHC[[#This Row],[a (cm)]],viavelHC[[#This Row],[h (cm)]],viavelHC[[#Headers],[Asw]],viavelHC[[#This Row],[Asw]]))</calculatedColumnFormula>
    </tableColumn>
    <tableColumn id="63" xr3:uid="{5E6F199F-7FE8-4458-91AC-801E8DDF9A73}" name="C3" dataDxfId="164">
      <calculatedColumnFormula>IF(viavelHC[[#This Row],[Asw]]="N.A.",0,comprimento(viavelHC[[#This Row],[nE]],viavelHC[[#This Row],[Ø3]],viavelHC[[#This Row],[e (cm)]],viavelHC[[#This Row],[a (cm)]],viavelHC[[#This Row],[h (cm)]],viavelHC[[#Headers],[Asw]]))</calculatedColumnFormula>
    </tableColumn>
    <tableColumn id="22" xr3:uid="{DE31FF2C-0D4A-4A33-A035-DDEF211B8EAE}" name="id3" dataDxfId="163">
      <calculatedColumnFormula>IF(viavelHC[[#This Row],[N3]]=0,"N.A.",viavelHC[[#This Row],[N3]]&amp;" Ø"&amp;viavelHC[[#This Row],[Ø3]]&amp;" mm C = "&amp;viavelHC[[#This Row],[C3]]&amp;"cm")</calculatedColumnFormula>
    </tableColumn>
    <tableColumn id="4" xr3:uid="{EC94DB69-1A4A-4061-9574-402844244913}" name="As,sup" dataDxfId="162">
      <calculatedColumnFormula>IF(viavelHC[[#This Row],[idDimensionamento]]="","N.A.",INDEX(ESF[],MATCH(viavelHC[[#This Row],[Pilar]]&amp;viavelHC[[#This Row],[idDimensionamento]],ESF[idPilar,idDimensionamento],0),MATCH("As,sup (cm²)",ESF[#Headers],0)))</calculatedColumnFormula>
    </tableColumn>
    <tableColumn id="18" xr3:uid="{0646BDFD-7837-4BC5-926E-3A268FF37C6A}" name="N4" dataDxfId="161">
      <calculatedColumnFormula>IF(viavelHC[[#This Row],[As,sup]]="N.A.",0,ROUNDUP(viavelHC[[#This Row],[As,sup]]/(PI()*(viavelHC[[#This Row],[Ø4]]/10)^2/4),0))</calculatedColumnFormula>
    </tableColumn>
    <tableColumn id="17" xr3:uid="{EA79084D-8D12-4F01-A439-B32B195D184D}" name="Ø4" dataDxfId="160">
      <calculatedColumnFormula>IF(viavelHC[[#This Row],[As,sup]]="N.A.",0,dArmadura(viavelHC[[#This Row],[nE]],viavelHC[[#This Row],[Ø (cm)]],viavelHC[[#This Row],[e (cm)]],viavelHC[[#This Row],[a (cm)]],viavelHC[[#This Row],[h (cm)]],viavelHC[[#Headers],[As,sup]],viavelHC[[#This Row],[As,sup]]))</calculatedColumnFormula>
    </tableColumn>
    <tableColumn id="64" xr3:uid="{6043AD07-6F6C-4DAC-8DC0-95F1D5853D78}" name="C4" dataDxfId="159">
      <calculatedColumnFormula>IF(viavelHC[[#This Row],[As,sup]]="N.A.",0,comprimento(viavelHC[[#This Row],[nE]],viavelHC[[#This Row],[Ø4]],viavelHC[[#This Row],[e (cm)]],viavelHC[[#This Row],[a (cm)]],viavelHC[[#This Row],[h (cm)]],viavelHC[[#Headers],[As,sup]]))</calculatedColumnFormula>
    </tableColumn>
    <tableColumn id="27" xr3:uid="{2745FC92-C076-4371-A3A5-E5A3CB4CE20C}" name="id4" dataDxfId="158">
      <calculatedColumnFormula>IF(viavelHC[[#This Row],[N4]]=0,"N.A.",viavelHC[[#This Row],[N4]]&amp;" Ø"&amp;viavelHC[[#This Row],[Ø4]]&amp;" mm C = "&amp;viavelHC[[#This Row],[C4]]&amp;"cm")</calculatedColumnFormula>
    </tableColumn>
    <tableColumn id="7" xr3:uid="{CFB9B4B1-5EFE-48B9-9387-4F95B116CB01}" name="As,malha" dataDxfId="157">
      <calculatedColumnFormula>IF(viavelHC[[#This Row],[idDimensionamento]]="","N.A.",INDEX(ESF[],MATCH(viavelHC[[#This Row],[Pilar]]&amp;viavelHC[[#This Row],[idDimensionamento]],ESF[idPilar,idDimensionamento],0),MATCH("As,malha (cm²)",ESF[#Headers],0)))</calculatedColumnFormula>
    </tableColumn>
    <tableColumn id="21" xr3:uid="{C58E973B-CD29-4CB8-8AF1-DEDC7C3A70BD}" name="N5" dataDxfId="156">
      <calculatedColumnFormula>IF(viavelHC[[#This Row],[As,malha]]="N.A.",0,ROUNDUP(viavelHC[[#This Row],[As,malha]]/(PI()*(viavelHC[[#This Row],[Ø5]]/10)^2/4),0))</calculatedColumnFormula>
    </tableColumn>
    <tableColumn id="20" xr3:uid="{EFD8F74E-A679-433D-B904-550FAF2F8D58}" name="Ø5" dataDxfId="155">
      <calculatedColumnFormula>IF(viavelHC[[#This Row],[As,malha]]="N.A.",0,dArmadura(viavelHC[[#This Row],[nE]],viavelHC[[#This Row],[Ø (cm)]],viavelHC[[#This Row],[e (cm)]],viavelHC[[#This Row],[a (cm)]],viavelHC[[#This Row],[h (cm)]],viavelHC[[#Headers],[As,malha]],viavelHC[[#This Row],[As,malha]]))</calculatedColumnFormula>
    </tableColumn>
    <tableColumn id="65" xr3:uid="{161F2850-CDF9-4F0B-97A2-58EEDF4C202A}" name="C5" dataDxfId="154">
      <calculatedColumnFormula>IF(viavelHC[[#This Row],[As,malha]]="N.A.",0,comprimento(viavelHC[[#This Row],[nE]],viavelHC[[#This Row],[Ø4]],viavelHC[[#This Row],[e (cm)]],viavelHC[[#This Row],[a (cm)]],viavelHC[[#This Row],[h (cm)]],viavelHC[[#Headers],[As,malha]]))</calculatedColumnFormula>
    </tableColumn>
    <tableColumn id="28" xr3:uid="{8D43D741-9C40-444A-BDD1-6526A1C7E44F}" name="id5" dataDxfId="153">
      <calculatedColumnFormula>IF(viavelHC[[#This Row],[N5]]=0,"N.A.",viavelHC[[#This Row],[N5]]&amp;" Ø"&amp;viavelHC[[#This Row],[Ø5]]&amp;" mm C = "&amp;viavelHC[[#This Row],[C5]]&amp;"cm")</calculatedColumnFormula>
    </tableColumn>
    <tableColumn id="8" xr3:uid="{87356132-7A9D-4C5C-80DD-C348E239BE21}" name="As,susp,tot" dataDxfId="152">
      <calculatedColumnFormula>IF(viavelHC[[#This Row],[idDimensionamento]]="","N.A.",INDEX(ESF[],MATCH(viavelHC[[#This Row],[Pilar]]&amp;viavelHC[[#This Row],[idDimensionamento]],ESF[idPilar,idDimensionamento],0),MATCH("As,susp,tot (cm²)",ESF[#Headers],0)))</calculatedColumnFormula>
    </tableColumn>
    <tableColumn id="24" xr3:uid="{08DDDFA5-E7B5-4A4D-8A81-CEB2FEF2C774}" name="N6" dataDxfId="151">
      <calculatedColumnFormula>IF(viavelHC[[#This Row],[As,susp,tot]]="N.A.",0,ROUNDUP(viavelHC[[#This Row],[As,susp,tot]]/(PI()*(viavelHC[[#This Row],[Ø6]]/10)^2/4),0))</calculatedColumnFormula>
    </tableColumn>
    <tableColumn id="23" xr3:uid="{7B9D34AD-333E-43E7-85E5-C9E8BC869796}" name="Ø6" dataDxfId="150">
      <calculatedColumnFormula>IF(viavelHC[[#This Row],[As,susp,tot]]="N.A.",0,dArmadura(viavelHC[[#This Row],[nE]],viavelHC[[#This Row],[Ø (cm)]],viavelHC[[#This Row],[e (cm)]],viavelHC[[#This Row],[a (cm)]],viavelHC[[#This Row],[h (cm)]],viavelHC[[#Headers],[As,susp,tot]],viavelHC[[#This Row],[As,susp,tot]]))</calculatedColumnFormula>
    </tableColumn>
    <tableColumn id="66" xr3:uid="{C9FFEB56-1ED5-48DD-AAC8-D5553FFB6F98}" name="C6" dataDxfId="149">
      <calculatedColumnFormula>IF(viavelHC[[#This Row],[As,susp,tot]]="N.A.",0,comprimento(viavelHC[[#This Row],[nE]],viavelHC[[#This Row],[Ø4]],viavelHC[[#This Row],[e (cm)]],viavelHC[[#This Row],[a (cm)]],viavelHC[[#This Row],[h (cm)]],viavelHC[[#Headers],[As,susp,tot]]))</calculatedColumnFormula>
    </tableColumn>
    <tableColumn id="29" xr3:uid="{970C079D-C014-4047-8DBA-2D67A2A38F06}" name="id6" dataDxfId="148">
      <calculatedColumnFormula>IF(viavelHC[[#This Row],[N6]]=0,"N.A.",viavelHC[[#This Row],[N6]]&amp;" Ø"&amp;viavelHC[[#This Row],[Ø6]]&amp;" mm C = "&amp;viavelHC[[#This Row],[C6]]&amp;"cm")</calculatedColumnFormula>
    </tableColumn>
    <tableColumn id="9" xr3:uid="{779DED9F-1273-4D50-8A35-DCFF24384103}" name="Asp,face" dataDxfId="147">
      <calculatedColumnFormula>IF(viavelHC[[#This Row],[idDimensionamento]]="","N.A.",INDEX(ESF[],MATCH(viavelHC[[#This Row],[Pilar]]&amp;viavelHC[[#This Row],[idDimensionamento]],ESF[idPilar,idDimensionamento],0),MATCH("Asp,face (cm²)",ESF[#Headers],0)))</calculatedColumnFormula>
    </tableColumn>
    <tableColumn id="25" xr3:uid="{E620D515-211F-48BB-BF6C-46222E21D5D0}" name="N7" dataDxfId="146">
      <calculatedColumnFormula>IF(viavelHC[[#This Row],[Asp,face]]="N.A.",0,ROUNDUP(viavelHC[[#This Row],[Asp,face]]/(PI()*(viavelHC[[#This Row],[Ø7]]/10)^2/4),0))</calculatedColumnFormula>
    </tableColumn>
    <tableColumn id="26" xr3:uid="{F2F1C0B1-7050-4DE2-9CB8-F1316CD2F6F5}" name="Ø7" dataDxfId="145">
      <calculatedColumnFormula>IF(viavelHC[[#This Row],[Asp,face]]="N.A.",0,dArmadura(viavelHC[[#This Row],[nE]],viavelHC[[#This Row],[Ø (cm)]],viavelHC[[#This Row],[e (cm)]],viavelHC[[#This Row],[a (cm)]],viavelHC[[#This Row],[h (cm)]],viavelHC[[#Headers],[Asp,face]],viavelHC[[#This Row],[Asp,face]]))</calculatedColumnFormula>
    </tableColumn>
    <tableColumn id="67" xr3:uid="{AD7E78EE-AC41-4573-9DCB-5B5841A0C19A}" name="C7" dataDxfId="144">
      <calculatedColumnFormula>IF(viavelHC[[#This Row],[Asp,face]]="N.A.",0,comprimento(viavelHC[[#This Row],[nE]],viavelHC[[#This Row],[Ø4]],viavelHC[[#This Row],[e (cm)]],viavelHC[[#This Row],[a (cm)]],viavelHC[[#This Row],[h (cm)]],viavelHC[[#Headers],[Asp,face]]))</calculatedColumnFormula>
    </tableColumn>
    <tableColumn id="30" xr3:uid="{D5838A90-CEFC-4FA1-8C73-96455D765B3A}" name="id7" dataDxfId="143">
      <calculatedColumnFormula>IF(viavelHC[[#This Row],[N7]]=0,"N.A.",viavelHC[[#This Row],[N7]]&amp;" Ø"&amp;viavelHC[[#This Row],[Ø7]]&amp;" mm C = "&amp;viavelHC[[#This Row],[C7]]&amp;"cm")</calculatedColumnFormula>
    </tableColumn>
  </tableColumns>
  <tableStyleInfo name="TableStyleMedium1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7CED527-6817-44E4-B315-2DFE1E7F0BBE}" name="cenario1" displayName="cenario1" ref="D9:F27">
  <autoFilter ref="D9:F27" xr:uid="{B7CED527-6817-44E4-B315-2DFE1E7F0BBE}">
    <filterColumn colId="0" hiddenButton="1"/>
    <filterColumn colId="1" hiddenButton="1"/>
    <filterColumn colId="2" hiddenButton="1"/>
  </autoFilter>
  <tableColumns count="3">
    <tableColumn id="1" xr3:uid="{A6360713-F7A0-426B-BEA1-52800E355318}" name="Parâmetros" totalsRowLabel="Total" dataDxfId="142" totalsRowDxfId="141">
      <calculatedColumnFormula>INDEX($B$10:$B$18,ROW(cenario1[[#This Row],[Parâmetros]])-ROW(cenario1[[#Headers],[Parâmetros]])-COUNTA($B$10:$B$18)*COUNTIF($D$9:D9,$B$18),1)</calculatedColumnFormula>
    </tableColumn>
    <tableColumn id="2" xr3:uid="{EEABEDF6-8740-4AB1-9C21-2C74B5121D0B}" name="Cálculo" dataDxfId="140" totalsRowDxfId="139">
      <calculatedColumnFormula>calculoCenarios($E$3,$D$2,cenario1[[#This Row],[Parâmetros]],ROW(cenario1[[#This Row],[Parâmetros]])-ROW(cenario1[[#Headers],[Parâmetros]]))</calculatedColumnFormula>
    </tableColumn>
    <tableColumn id="3" xr3:uid="{691AF422-84E0-4238-8F4A-956D3F65E821}" name="Solução Possível" totalsRowFunction="count" dataDxfId="138">
      <calculatedColumnFormula>solucaoCenarios($E$3,$D$2,cenario1[[#This Row],[Parâmetros]],ROW(cenario1[[#This Row],[Parâmetros]])-ROW(cenario1[[#Headers],[Parâmetros]]))</calculatedColumnFormula>
    </tableColumn>
  </tableColumns>
  <tableStyleInfo name="cenario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12C83AB-CD3C-460D-9AB8-A92F02E3D6E5}" name="cenario2" displayName="cenario2" ref="H9:J27">
  <autoFilter ref="H9:J27" xr:uid="{A12C83AB-CD3C-460D-9AB8-A92F02E3D6E5}">
    <filterColumn colId="0" hiddenButton="1"/>
    <filterColumn colId="1" hiddenButton="1"/>
    <filterColumn colId="2" hiddenButton="1"/>
  </autoFilter>
  <tableColumns count="3">
    <tableColumn id="1" xr3:uid="{CB427E4A-F43A-4722-91BD-C6949D938297}" name="Parâmetros" totalsRowLabel="Total" dataDxfId="137" totalsRowDxfId="136">
      <calculatedColumnFormula>cenario1[[#This Row],[Parâmetros]]</calculatedColumnFormula>
    </tableColumn>
    <tableColumn id="2" xr3:uid="{5FE1F325-69A8-4130-A372-079A18FBB794}" name="Cálculo" dataDxfId="135" totalsRowDxfId="134">
      <calculatedColumnFormula>calculoCenarios($I$3,$H$2,cenario2[[#This Row],[Parâmetros]],ROW(cenario2[[#This Row],[Parâmetros]])-ROW(cenario2[[#Headers],[Parâmetros]]))</calculatedColumnFormula>
    </tableColumn>
    <tableColumn id="3" xr3:uid="{7CD07A40-EF33-449A-9504-CDECFAF5048D}" name="Solução Possível" totalsRowFunction="count" dataDxfId="133" totalsRowDxfId="132">
      <calculatedColumnFormula>solucaoCenarios($I$3,$H$2,cenario2[[#This Row],[Parâmetros]],ROW(cenario2[[#This Row],[Parâmetros]])-ROW(cenario2[[#Headers],[Parâmetros]]))</calculatedColumnFormula>
    </tableColumn>
  </tableColumns>
  <tableStyleInfo name="cenario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5E4DBC7-4C48-4C40-A699-9C6073E787FF}" name="cenario3" displayName="cenario3" ref="L9:N27">
  <autoFilter ref="L9:N27" xr:uid="{E5E4DBC7-4C48-4C40-A699-9C6073E787FF}">
    <filterColumn colId="0" hiddenButton="1"/>
    <filterColumn colId="1" hiddenButton="1"/>
    <filterColumn colId="2" hiddenButton="1"/>
  </autoFilter>
  <tableColumns count="3">
    <tableColumn id="1" xr3:uid="{62CB5437-CC09-474A-AA15-039570AB63C7}" name="Parâmetros" totalsRowLabel="Total" dataDxfId="131" totalsRowDxfId="130">
      <calculatedColumnFormula>cenario1[[#This Row],[Parâmetros]]</calculatedColumnFormula>
    </tableColumn>
    <tableColumn id="2" xr3:uid="{ED8A6C1C-83FC-4250-8376-D83ED0048B59}" name="Cálculo" dataDxfId="129" totalsRowDxfId="128">
      <calculatedColumnFormula>calculoCenarios($M$3,$L$2,cenario3[[#This Row],[Parâmetros]],ROW(cenario3[[#This Row],[Parâmetros]])-ROW(cenario3[[#Headers],[Parâmetros]]))</calculatedColumnFormula>
    </tableColumn>
    <tableColumn id="3" xr3:uid="{43D6EC0C-3F53-4769-AC3E-F99519EAF9DB}" name="Solução Possível" totalsRowFunction="count" dataDxfId="127" totalsRowDxfId="126">
      <calculatedColumnFormula>solucaoCenarios($M$3,$L$2,cenario3[[#This Row],[Parâmetros]],ROW(cenario3[[#This Row],[Parâmetros]])-ROW(cenario3[[#Headers],[Parâmetros]]))</calculatedColumnFormula>
    </tableColumn>
  </tableColumns>
  <tableStyleInfo name="cenario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9C56BE7-4874-4E6B-9ACA-F7425C4FA4C0}" name="orcCenario1" displayName="orcCenario1" ref="B3:Q36" totalsRowCount="1" headerRowDxfId="125" dataDxfId="124">
  <autoFilter ref="B3:Q35" xr:uid="{29C56BE7-4874-4E6B-9ACA-F7425C4FA4C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s>
        <filter val="Sim"/>
      </filters>
    </filterColumn>
  </autoFilter>
  <sortState xmlns:xlrd2="http://schemas.microsoft.com/office/spreadsheetml/2017/richdata2" ref="D4:K30">
    <sortCondition ref="D3:D30"/>
  </sortState>
  <tableColumns count="16">
    <tableColumn id="14" xr3:uid="{1DB72DB1-9E68-4185-AEE0-C933B828167E}" name="#" totalsRowLabel="Total" dataDxfId="123" totalsRowDxfId="122" dataCellStyle="Moeda"/>
    <tableColumn id="13" xr3:uid="{FE276091-1C9D-4599-A114-3C0966ADA610}" name="ITEM" dataDxfId="121" totalsRowDxfId="120" dataCellStyle="Moeda">
      <calculatedColumnFormula>IF(orcCenario1[[#This Row],[DESCRIÇÃO]]="ESTACAS",100,IF(orcCenario1[[#This Row],[DESCRIÇÃO]]="BLOCO",200,orcCenario1[[#This Row],['#]]-COUNTIFS(orcCenario1[QUANTIDADE],0,orcCenario1['#],"&lt;"&amp;orcCenario1[[#This Row],['#]],orcCenario1['#],"&gt;"&amp;ROUNDDOWN(orcCenario1[[#This Row],['#]],-2))))</calculatedColumnFormula>
    </tableColumn>
    <tableColumn id="1" xr3:uid="{52764B4D-B046-4674-AAF8-13EEDD9DA7B3}" name="CÓDIGO" dataDxfId="119" totalsRowDxfId="118"/>
    <tableColumn id="2" xr3:uid="{C101BB62-FC00-4F37-9A1A-FC02DE164C42}" name="DESCRIÇÃO" dataDxfId="117" totalsRowDxfId="116">
      <calculatedColumnFormula>IF(orcCenario1[[#This Row],['#]]=100,"ESTACAS",IF(orcCenario1[[#This Row],['#]]=200,"BLOCO",INDEX(composicoes[],MATCH(orcCenario1[[#This Row],[CÓDIGO]],composicoes[CÓDIGO],0),MATCH(orcCenario1[[#Headers],[DESCRIÇÃO]],composicoes[#Headers],0))))</calculatedColumnFormula>
    </tableColumn>
    <tableColumn id="3" xr3:uid="{F1A99225-9FBF-43D9-B627-33920865D701}" name="UN." dataDxfId="115" totalsRowDxfId="114">
      <calculatedColumnFormula>IFERROR(INDEX(composicoes[],MATCH(orcCenario1[[#This Row],[CÓDIGO]],composicoes[CÓDIGO],0),MATCH(orcCenario1[[#Headers],[UN.]],composicoes[#Headers],0)),"")</calculatedColumnFormula>
    </tableColumn>
    <tableColumn id="12" xr3:uid="{1715699A-76CF-4437-9B7C-955D52BC8361}" name="QUANTIDADE" dataDxfId="113" totalsRowDxfId="112">
      <calculatedColumnFormula>IF(orcCenario1[[#This Row],[CÓDIGO]]="","",quantitativo(orcCenario1[[#This Row],[CÓDIGO]],orcCenario1[[#This Row],['#]],CENÁRIOS!$E$3,CENÁRIOS!$E$4,cenario1[]))</calculatedColumnFormula>
    </tableColumn>
    <tableColumn id="4" xr3:uid="{CAD85D88-62E7-4810-B36C-68B421DEA0BB}" name=" MÃO DE OBRA" dataDxfId="111" totalsRowDxfId="110" dataCellStyle="Moeda">
      <calculatedColumnFormula>IFERROR(INDEX(composicoes[],MATCH(orcCenario1[[#This Row],[CÓDIGO]],composicoes[CÓDIGO],0),MATCH(orcCenario1[[#Headers],[ MÃO DE OBRA]],composicoes[#Headers],0)),"")</calculatedColumnFormula>
    </tableColumn>
    <tableColumn id="5" xr3:uid="{FA44BBCA-E3A7-4B8A-84F3-111B80449D8A}" name="MATERIAL" dataDxfId="109" totalsRowDxfId="108" dataCellStyle="Moeda">
      <calculatedColumnFormula>IFERROR(INDEX(composicoes[],MATCH(orcCenario1[[#This Row],[CÓDIGO]],composicoes[CÓDIGO],0),MATCH(orcCenario1[[#Headers],[MATERIAL]],composicoes[#Headers],0)),"")</calculatedColumnFormula>
    </tableColumn>
    <tableColumn id="6" xr3:uid="{D051B5FC-169C-4261-A43D-309A02E97BEB}" name="EQUIPAMENTO" dataDxfId="107" totalsRowDxfId="106" dataCellStyle="Moeda">
      <calculatedColumnFormula>IFERROR(INDEX(composicoes[],MATCH(orcCenario1[[#This Row],[CÓDIGO]],composicoes[CÓDIGO],0),MATCH(orcCenario1[[#Headers],[EQUIPAMENTO]],composicoes[#Headers],0)),"")</calculatedColumnFormula>
    </tableColumn>
    <tableColumn id="7" xr3:uid="{130C2A95-F462-4657-904E-908B70543CC2}" name="CUSTO UNITÁRIO" dataDxfId="105" totalsRowDxfId="104" dataCellStyle="Moeda">
      <calculatedColumnFormula>IF(orcCenario1[[#This Row],[ MÃO DE OBRA]]="","",SUM(orcCenario1[[#This Row],[ MÃO DE OBRA]:[EQUIPAMENTO]]))</calculatedColumnFormula>
    </tableColumn>
    <tableColumn id="15" xr3:uid="{9DE16EBC-4A27-447F-963E-018768DA8706}" name="BDI" dataDxfId="103" totalsRowDxfId="102" dataCellStyle="Porcentagem" totalsRowCellStyle="Porcentagem">
      <calculatedColumnFormula>IF(orcCenario1[[#This Row],[CUSTO UNITÁRIO]]="","",CENÁRIOS!$E$6)</calculatedColumnFormula>
    </tableColumn>
    <tableColumn id="8" xr3:uid="{8483DECA-D7CE-4E20-892F-85E8022C8ADA}" name="CUSTO MÃO DE OBRA" totalsRowFunction="custom" dataDxfId="101" totalsRowDxfId="100" dataCellStyle="Moeda">
      <calculatedColumnFormula>IF(orcCenario1[[#This Row],[ MÃO DE OBRA]]&lt;&gt;"",orcCenario1[[#This Row],[QUANTIDADE]]*orcCenario1[[#This Row],[ MÃO DE OBRA]]*(1+orcCenario1[[#This Row],[BDI]]),SUMIFS(orcCenario1[CUSTO MÃO DE OBRA],orcCenario1['#],"&gt;"&amp;orcCenario1[[#This Row],['#]],orcCenario1['#],"&lt;"&amp;orcCenario1[[#This Row],['#]]+100))</calculatedColumnFormula>
      <totalsRowFormula>SUM(orcCenario1[CUSTO MÃO DE OBRA])/2</totalsRowFormula>
    </tableColumn>
    <tableColumn id="9" xr3:uid="{F60AFD30-C5F1-482C-9859-9BF476FBF42A}" name="CUSTO MATERIAL" totalsRowFunction="custom" dataDxfId="99" totalsRowDxfId="98" dataCellStyle="Moeda">
      <calculatedColumnFormula>IF(orcCenario1[[#This Row],[MATERIAL]]&lt;&gt;"",orcCenario1[[#This Row],[QUANTIDADE]]*orcCenario1[[#This Row],[MATERIAL]]*(1+orcCenario1[[#This Row],[BDI]]),SUMIFS(orcCenario1[CUSTO MATERIAL],orcCenario1['#],"&gt;"&amp;orcCenario1[[#This Row],['#]],orcCenario1['#],"&lt;"&amp;orcCenario1[[#This Row],['#]]+100))</calculatedColumnFormula>
      <totalsRowFormula>SUM(orcCenario1[CUSTO MATERIAL])/2</totalsRowFormula>
    </tableColumn>
    <tableColumn id="10" xr3:uid="{F88A388D-EB7D-4662-99CB-9A6BE3834466}" name="CUSTO EQUIPAMENTO" totalsRowFunction="custom" dataDxfId="97" totalsRowDxfId="96" dataCellStyle="Moeda">
      <calculatedColumnFormula>IF(orcCenario1[EQUIPAMENTO]&lt;&gt;"",orcCenario1[[#This Row],[QUANTIDADE]]*orcCenario1[EQUIPAMENTO]*(1+orcCenario1[[#This Row],[BDI]]),SUMIFS(orcCenario1[CUSTO EQUIPAMENTO],orcCenario1['#],"&gt;"&amp;orcCenario1[[#This Row],['#]],orcCenario1['#],"&lt;"&amp;orcCenario1[[#This Row],['#]]+100))</calculatedColumnFormula>
      <totalsRowFormula>SUM(orcCenario1[CUSTO EQUIPAMENTO])/2</totalsRowFormula>
    </tableColumn>
    <tableColumn id="11" xr3:uid="{CF6EAE82-3410-4F02-8869-97C707A6D7D0}" name="CUSTO TOTAL" totalsRowFunction="custom" dataDxfId="95" totalsRowDxfId="94" dataCellStyle="Moeda">
      <calculatedColumnFormula>SUM(orcCenario1[[#This Row],[CUSTO MÃO DE OBRA]:[CUSTO EQUIPAMENTO]])</calculatedColumnFormula>
      <totalsRowFormula>SUM(orcCenario1[CUSTO TOTAL])/2</totalsRowFormula>
    </tableColumn>
    <tableColumn id="16" xr3:uid="{056DD2B6-1585-4267-9C13-443D8FA617FC}" name="IMPRIMIR" dataDxfId="93" totalsRowDxfId="92" dataCellStyle="Moeda">
      <calculatedColumnFormula>IF(orcCenario1[[#This Row],[QUANTIDADE]]=0,"Não","Sim")</calculatedColumnFormula>
    </tableColumn>
  </tableColumns>
  <tableStyleInfo name="orcamento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243ED25-A65F-4ABE-A669-2DD03DE5C7A3}" name="orcCenario2" displayName="orcCenario2" ref="B3:Q36" totalsRowCount="1" headerRowDxfId="91" dataDxfId="90">
  <autoFilter ref="B3:Q35" xr:uid="{29C56BE7-4874-4E6B-9ACA-F7425C4FA4C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s>
        <filter val="Sim"/>
      </filters>
    </filterColumn>
  </autoFilter>
  <sortState xmlns:xlrd2="http://schemas.microsoft.com/office/spreadsheetml/2017/richdata2" ref="B4:I30">
    <sortCondition ref="B3:B30"/>
  </sortState>
  <tableColumns count="16">
    <tableColumn id="14" xr3:uid="{EAB98B9F-2FBE-4DBD-8FFD-F14DC0FE32D3}" name="#" totalsRowLabel="Total" dataDxfId="89" totalsRowDxfId="88" dataCellStyle="Moeda"/>
    <tableColumn id="13" xr3:uid="{BE2F5C25-BDDE-48CD-911C-635675500C26}" name="ITEM" dataDxfId="87" totalsRowDxfId="86" dataCellStyle="Moeda">
      <calculatedColumnFormula>IF(orcCenario2[[#This Row],[DESCRIÇÃO]]="ESTACAS",100,IF(orcCenario2[[#This Row],[DESCRIÇÃO]]="BLOCO",200,orcCenario2[[#This Row],['#]]-COUNTIFS(orcCenario2[QUANTIDADE],0,orcCenario2['#],"&lt;"&amp;orcCenario2[[#This Row],['#]],orcCenario2['#],"&gt;"&amp;ROUNDDOWN(orcCenario2[[#This Row],['#]],-2))))</calculatedColumnFormula>
    </tableColumn>
    <tableColumn id="1" xr3:uid="{739B9BD4-E8EE-43B3-B868-FCE7BB542DD6}" name="CÓDIGO" dataDxfId="85" totalsRowDxfId="84"/>
    <tableColumn id="2" xr3:uid="{537637A0-51A3-4C22-845D-9FE0B7C13A03}" name="DESCRIÇÃO" dataDxfId="83" totalsRowDxfId="82">
      <calculatedColumnFormula>IF(orcCenario2[[#This Row],['#]]=100,"ESTACAS",IF(orcCenario2[[#This Row],['#]]=200,"BLOCO",INDEX(composicoes[],MATCH(orcCenario2[[#This Row],[CÓDIGO]],composicoes[CÓDIGO],0),MATCH(orcCenario2[[#Headers],[DESCRIÇÃO]],composicoes[#Headers],0))))</calculatedColumnFormula>
    </tableColumn>
    <tableColumn id="3" xr3:uid="{C402DDB6-A30E-4931-BDC4-AFF5C4F50464}" name="UN." dataDxfId="81" totalsRowDxfId="80">
      <calculatedColumnFormula>IFERROR(INDEX(composicoes[],MATCH(orcCenario2[[#This Row],[CÓDIGO]],composicoes[CÓDIGO],0),MATCH(orcCenario2[[#Headers],[UN.]],composicoes[#Headers],0)),"")</calculatedColumnFormula>
    </tableColumn>
    <tableColumn id="12" xr3:uid="{A78A0F4A-CC04-4AF5-BE1A-7E1C57B5EDFA}" name="QUANTIDADE" dataDxfId="79" totalsRowDxfId="78">
      <calculatedColumnFormula>IF(orcCenario2[[#This Row],[CÓDIGO]]="","",quantitativo(orcCenario2[[#This Row],[CÓDIGO]],orcCenario2[[#This Row],['#]],CENÁRIOS!$I$3,CENÁRIOS!$I$4,cenario2[]))</calculatedColumnFormula>
    </tableColumn>
    <tableColumn id="4" xr3:uid="{E477F2C3-0479-4641-865E-C1CBB6B58BFA}" name=" MÃO DE OBRA" dataDxfId="77" totalsRowDxfId="76" dataCellStyle="Moeda">
      <calculatedColumnFormula>IFERROR(INDEX(composicoes[],MATCH(orcCenario2[[#This Row],[CÓDIGO]],composicoes[CÓDIGO],0),MATCH(orcCenario2[[#Headers],[ MÃO DE OBRA]],composicoes[#Headers],0)),"")</calculatedColumnFormula>
    </tableColumn>
    <tableColumn id="5" xr3:uid="{CFBE6086-B7E5-402E-AA90-71A8EA383C4E}" name="MATERIAL" dataDxfId="75" totalsRowDxfId="74" dataCellStyle="Moeda">
      <calculatedColumnFormula>IFERROR(INDEX(composicoes[],MATCH(orcCenario2[[#This Row],[CÓDIGO]],composicoes[CÓDIGO],0),MATCH(orcCenario2[[#Headers],[MATERIAL]],composicoes[#Headers],0)),"")</calculatedColumnFormula>
    </tableColumn>
    <tableColumn id="6" xr3:uid="{2351DEC3-9685-4975-869A-112A27B113DA}" name="EQUIPAMENTO" dataDxfId="73" totalsRowDxfId="72" dataCellStyle="Moeda">
      <calculatedColumnFormula>IFERROR(INDEX(composicoes[],MATCH(orcCenario2[[#This Row],[CÓDIGO]],composicoes[CÓDIGO],0),MATCH(orcCenario2[[#Headers],[EQUIPAMENTO]],composicoes[#Headers],0)),"")</calculatedColumnFormula>
    </tableColumn>
    <tableColumn id="7" xr3:uid="{D418CEF4-72A7-4A4D-A55C-F86A38ED1FA2}" name="CUSTO UNITÁRIO" dataDxfId="71" totalsRowDxfId="70" dataCellStyle="Moeda">
      <calculatedColumnFormula>IF(orcCenario2[[#This Row],[ MÃO DE OBRA]]="","",SUM(orcCenario2[[#This Row],[ MÃO DE OBRA]:[EQUIPAMENTO]]))</calculatedColumnFormula>
    </tableColumn>
    <tableColumn id="15" xr3:uid="{6ACF59F7-2765-4572-B043-3BFCDE14BA0E}" name="BDI" dataDxfId="69" totalsRowDxfId="68" dataCellStyle="Porcentagem" totalsRowCellStyle="Porcentagem">
      <calculatedColumnFormula>IF(orcCenario2[[#This Row],[CUSTO UNITÁRIO]]="","",CENÁRIOS!$I$6)</calculatedColumnFormula>
    </tableColumn>
    <tableColumn id="8" xr3:uid="{698FA383-1E4E-45B2-8181-72822EDFDF88}" name="CUSTO MÃO DE OBRA" totalsRowFunction="custom" dataDxfId="67" totalsRowDxfId="66" dataCellStyle="Moeda">
      <calculatedColumnFormula>IF(orcCenario2[[#This Row],[ MÃO DE OBRA]]&lt;&gt;"",orcCenario2[[#This Row],[QUANTIDADE]]*orcCenario2[[#This Row],[ MÃO DE OBRA]]*(1+orcCenario2[[#This Row],[BDI]]),SUMIFS(orcCenario2[CUSTO MÃO DE OBRA],orcCenario2['#],"&gt;"&amp;orcCenario2[[#This Row],['#]],orcCenario2['#],"&lt;"&amp;orcCenario2[[#This Row],['#]]+100))</calculatedColumnFormula>
      <totalsRowFormula>SUM(orcCenario2[CUSTO MÃO DE OBRA])/2</totalsRowFormula>
    </tableColumn>
    <tableColumn id="9" xr3:uid="{22A9EA0B-096B-405C-9277-3D4BC95F0A4C}" name="CUSTO MATERIAL" totalsRowFunction="custom" dataDxfId="65" totalsRowDxfId="64" dataCellStyle="Moeda">
      <calculatedColumnFormula>IF(orcCenario2[[#This Row],[MATERIAL]]&lt;&gt;"",orcCenario2[[#This Row],[QUANTIDADE]]*orcCenario2[[#This Row],[MATERIAL]]*(1+orcCenario2[[#This Row],[BDI]]),SUMIFS(orcCenario2[CUSTO MATERIAL],orcCenario2['#],"&gt;"&amp;orcCenario2[[#This Row],['#]],orcCenario2['#],"&lt;"&amp;orcCenario2[[#This Row],['#]]+100))</calculatedColumnFormula>
      <totalsRowFormula>SUM(orcCenario2[CUSTO MATERIAL])/2</totalsRowFormula>
    </tableColumn>
    <tableColumn id="10" xr3:uid="{50B1E66E-686F-42E7-980C-397867E467DF}" name="CUSTO EQUIPAMENTO" totalsRowFunction="custom" dataDxfId="63" totalsRowDxfId="62" dataCellStyle="Moeda">
      <calculatedColumnFormula>IF(orcCenario2[EQUIPAMENTO]&lt;&gt;"",orcCenario2[[#This Row],[QUANTIDADE]]*orcCenario2[EQUIPAMENTO]*(1+orcCenario2[[#This Row],[BDI]]),SUMIFS(orcCenario2[CUSTO EQUIPAMENTO],orcCenario2['#],"&gt;"&amp;orcCenario2[[#This Row],['#]],orcCenario2['#],"&lt;"&amp;orcCenario2[[#This Row],['#]]+100))</calculatedColumnFormula>
      <totalsRowFormula>SUM(orcCenario2[CUSTO EQUIPAMENTO])/2</totalsRowFormula>
    </tableColumn>
    <tableColumn id="11" xr3:uid="{4A998F26-D7A3-4173-9A76-61ECAB81C49F}" name="CUSTO TOTAL" totalsRowFunction="custom" dataDxfId="61" totalsRowDxfId="60" dataCellStyle="Moeda">
      <calculatedColumnFormula>SUM(orcCenario2[[#This Row],[CUSTO MÃO DE OBRA]:[CUSTO EQUIPAMENTO]])</calculatedColumnFormula>
      <totalsRowFormula>SUM(orcCenario2[CUSTO TOTAL])/2</totalsRowFormula>
    </tableColumn>
    <tableColumn id="16" xr3:uid="{9CB276D1-B19E-4E78-A79D-21C9F8512DC3}" name="IMPRIMIR" dataDxfId="59" totalsRowDxfId="58" dataCellStyle="Moeda">
      <calculatedColumnFormula>IF(orcCenario2[[#This Row],[QUANTIDADE]]=0,"Não","Sim")</calculatedColumnFormula>
    </tableColumn>
  </tableColumns>
  <tableStyleInfo name="orcamento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CE13C66-2395-481E-9452-9F6F7CDAE75E}" name="orcCenario3" displayName="orcCenario3" ref="B3:Q36" totalsRowCount="1" headerRowDxfId="57" dataDxfId="56">
  <autoFilter ref="B3:Q35" xr:uid="{29C56BE7-4874-4E6B-9ACA-F7425C4FA4C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s>
        <filter val="Sim"/>
      </filters>
    </filterColumn>
  </autoFilter>
  <sortState xmlns:xlrd2="http://schemas.microsoft.com/office/spreadsheetml/2017/richdata2" ref="B4:I30">
    <sortCondition ref="B3:B30"/>
  </sortState>
  <tableColumns count="16">
    <tableColumn id="14" xr3:uid="{BF360D6B-8903-4D9E-AE5D-55972DC37E76}" name="#" totalsRowLabel="Total" dataDxfId="55" totalsRowDxfId="54" dataCellStyle="Moeda"/>
    <tableColumn id="13" xr3:uid="{D44EDBD0-E4E6-4B63-B7D5-D15F3A6B5B74}" name="ITEM" dataDxfId="53" totalsRowDxfId="52" dataCellStyle="Moeda">
      <calculatedColumnFormula>IF(orcCenario3[[#This Row],[DESCRIÇÃO]]="ESTACAS",100,IF(orcCenario3[[#This Row],[DESCRIÇÃO]]="BLOCO",200,orcCenario3[[#This Row],['#]]-COUNTIFS(orcCenario3[QUANTIDADE],0,orcCenario3['#],"&lt;"&amp;orcCenario3[[#This Row],['#]],orcCenario3['#],"&gt;"&amp;ROUNDDOWN(orcCenario3[[#This Row],['#]],-2))))</calculatedColumnFormula>
    </tableColumn>
    <tableColumn id="1" xr3:uid="{89EFDAFE-95DE-4557-B397-28CA1979CFC1}" name="CÓDIGO" dataDxfId="51" totalsRowDxfId="50"/>
    <tableColumn id="2" xr3:uid="{E6872DF1-BAA7-4497-8534-A9849B6E98CD}" name="DESCRIÇÃO" dataDxfId="49" totalsRowDxfId="48">
      <calculatedColumnFormula>IF(orcCenario3[[#This Row],['#]]=100,"ESTACAS",IF(orcCenario3[[#This Row],['#]]=200,"BLOCO",INDEX(composicoes[],MATCH(orcCenario3[[#This Row],[CÓDIGO]],composicoes[CÓDIGO],0),MATCH(orcCenario3[[#Headers],[DESCRIÇÃO]],composicoes[#Headers],0))))</calculatedColumnFormula>
    </tableColumn>
    <tableColumn id="3" xr3:uid="{4756A8A5-61F9-4BBB-BE88-F8B518BC1F0A}" name="UN." dataDxfId="47" totalsRowDxfId="46">
      <calculatedColumnFormula>IFERROR(INDEX(composicoes[],MATCH(orcCenario3[[#This Row],[CÓDIGO]],composicoes[CÓDIGO],0),MATCH(orcCenario3[[#Headers],[UN.]],composicoes[#Headers],0)),"")</calculatedColumnFormula>
    </tableColumn>
    <tableColumn id="12" xr3:uid="{9FD26F95-4C5E-459B-B8E3-AC598CE335CD}" name="QUANTIDADE" dataDxfId="45" totalsRowDxfId="44">
      <calculatedColumnFormula>IF(orcCenario3[[#This Row],[CÓDIGO]]="","",quantitativo(orcCenario3[[#This Row],[CÓDIGO]],orcCenario3[[#This Row],['#]],CENÁRIOS!$M$3,CENÁRIOS!$M$4,cenario3[]))</calculatedColumnFormula>
    </tableColumn>
    <tableColumn id="4" xr3:uid="{08308C31-D74F-4136-93EA-7B9CED42DAF2}" name=" MÃO DE OBRA" dataDxfId="43" totalsRowDxfId="42" dataCellStyle="Moeda">
      <calculatedColumnFormula>IFERROR(INDEX(composicoes[],MATCH(orcCenario3[[#This Row],[CÓDIGO]],composicoes[CÓDIGO],0),MATCH(orcCenario3[[#Headers],[ MÃO DE OBRA]],composicoes[#Headers],0)),"")</calculatedColumnFormula>
    </tableColumn>
    <tableColumn id="5" xr3:uid="{37E6BC5C-59AF-4671-9574-83296A7C55D5}" name="MATERIAL" dataDxfId="41" totalsRowDxfId="40" dataCellStyle="Moeda">
      <calculatedColumnFormula>IFERROR(INDEX(composicoes[],MATCH(orcCenario3[[#This Row],[CÓDIGO]],composicoes[CÓDIGO],0),MATCH(orcCenario3[[#Headers],[MATERIAL]],composicoes[#Headers],0)),"")</calculatedColumnFormula>
    </tableColumn>
    <tableColumn id="6" xr3:uid="{6F4A9357-E971-4DD5-84EC-ABEB1313765B}" name="EQUIPAMENTO" dataDxfId="39" totalsRowDxfId="38" dataCellStyle="Moeda">
      <calculatedColumnFormula>IFERROR(INDEX(composicoes[],MATCH(orcCenario3[[#This Row],[CÓDIGO]],composicoes[CÓDIGO],0),MATCH(orcCenario3[[#Headers],[EQUIPAMENTO]],composicoes[#Headers],0)),"")</calculatedColumnFormula>
    </tableColumn>
    <tableColumn id="7" xr3:uid="{8FA4E44D-99C5-4AB1-9772-0C3239779493}" name="CUSTO UNITÁRIO" dataDxfId="37" totalsRowDxfId="36" dataCellStyle="Moeda">
      <calculatedColumnFormula>IF(orcCenario3[[#This Row],[ MÃO DE OBRA]]="","",SUM(orcCenario3[[#This Row],[ MÃO DE OBRA]:[EQUIPAMENTO]]))</calculatedColumnFormula>
    </tableColumn>
    <tableColumn id="15" xr3:uid="{D4A34EE0-4C49-4160-AF60-76DEB3563883}" name="BDI" dataDxfId="35" totalsRowDxfId="34" dataCellStyle="Porcentagem" totalsRowCellStyle="Porcentagem">
      <calculatedColumnFormula>IF(orcCenario3[[#This Row],[CUSTO UNITÁRIO]]="","",CENÁRIOS!$M$6)</calculatedColumnFormula>
    </tableColumn>
    <tableColumn id="8" xr3:uid="{D0882CDF-9DC9-4EDF-9AE7-194DCCB14239}" name="CUSTO MÃO DE OBRA" totalsRowFunction="custom" dataDxfId="33" totalsRowDxfId="32" dataCellStyle="Moeda">
      <calculatedColumnFormula>IF(orcCenario3[[#This Row],[ MÃO DE OBRA]]&lt;&gt;"",orcCenario3[[#This Row],[QUANTIDADE]]*orcCenario3[[#This Row],[ MÃO DE OBRA]]*(1+orcCenario3[[#This Row],[BDI]]),SUMIFS(orcCenario3[CUSTO MÃO DE OBRA],orcCenario3['#],"&gt;"&amp;orcCenario3[[#This Row],['#]],orcCenario3['#],"&lt;"&amp;orcCenario3[[#This Row],['#]]+100))</calculatedColumnFormula>
      <totalsRowFormula>SUM(orcCenario3[CUSTO MÃO DE OBRA])/2</totalsRowFormula>
    </tableColumn>
    <tableColumn id="9" xr3:uid="{0756CB3C-0F9A-4E41-87ED-7370DC511F6B}" name="CUSTO MATERIAL" totalsRowFunction="custom" dataDxfId="31" totalsRowDxfId="30" dataCellStyle="Moeda">
      <calculatedColumnFormula>IF(orcCenario3[[#This Row],[MATERIAL]]&lt;&gt;"",orcCenario3[[#This Row],[QUANTIDADE]]*orcCenario3[[#This Row],[MATERIAL]]*(1+orcCenario3[[#This Row],[BDI]]),SUMIFS(orcCenario3[CUSTO MATERIAL],orcCenario3['#],"&gt;"&amp;orcCenario3[[#This Row],['#]],orcCenario3['#],"&lt;"&amp;orcCenario3[[#This Row],['#]]+100))</calculatedColumnFormula>
      <totalsRowFormula>SUM(orcCenario3[CUSTO MATERIAL])/2</totalsRowFormula>
    </tableColumn>
    <tableColumn id="10" xr3:uid="{0CB1F16F-94E5-4D91-BA01-628917AFDE3F}" name="CUSTO EQUIPAMENTO" totalsRowFunction="custom" dataDxfId="29" totalsRowDxfId="28" dataCellStyle="Moeda">
      <calculatedColumnFormula>IF(orcCenario3[EQUIPAMENTO]&lt;&gt;"",orcCenario3[[#This Row],[QUANTIDADE]]*orcCenario3[EQUIPAMENTO]*(1+orcCenario3[[#This Row],[BDI]]),SUMIFS(orcCenario3[CUSTO EQUIPAMENTO],orcCenario3['#],"&gt;"&amp;orcCenario3[[#This Row],['#]],orcCenario3['#],"&lt;"&amp;orcCenario3[[#This Row],['#]]+100))</calculatedColumnFormula>
      <totalsRowFormula>SUM(orcCenario3[CUSTO EQUIPAMENTO])/2</totalsRowFormula>
    </tableColumn>
    <tableColumn id="11" xr3:uid="{95044468-6027-472C-B678-3D4E24458A0F}" name="CUSTO TOTAL" totalsRowFunction="custom" dataDxfId="27" totalsRowDxfId="26" dataCellStyle="Moeda">
      <calculatedColumnFormula>SUM(orcCenario3[[#This Row],[CUSTO MÃO DE OBRA]:[CUSTO EQUIPAMENTO]])</calculatedColumnFormula>
      <totalsRowFormula>SUM(orcCenario3[CUSTO TOTAL])/2</totalsRowFormula>
    </tableColumn>
    <tableColumn id="16" xr3:uid="{5E3C87DB-BF80-41DB-8ADA-E6CDC3C3E59A}" name="IMPRIMIR" dataDxfId="25" totalsRowDxfId="24" dataCellStyle="Moeda">
      <calculatedColumnFormula>IF(orcCenario3[[#This Row],[QUANTIDADE]]=0,"Não","Sim")</calculatedColumnFormula>
    </tableColumn>
  </tableColumns>
  <tableStyleInfo name="orcamento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F5E535A-0498-45D5-BAE7-B7651018CD3D}" name="resumoTotal" displayName="resumoTotal" ref="B2:E6" totalsRowShown="0" headerRowDxfId="23" dataDxfId="22">
  <autoFilter ref="B2:E6" xr:uid="{0F5E535A-0498-45D5-BAE7-B7651018CD3D}">
    <filterColumn colId="0" hiddenButton="1"/>
    <filterColumn colId="1" hiddenButton="1"/>
    <filterColumn colId="2" hiddenButton="1"/>
    <filterColumn colId="3" hiddenButton="1"/>
  </autoFilter>
  <tableColumns count="4">
    <tableColumn id="2" xr3:uid="{86861AFC-3AA6-47A9-A59E-D2AC7A025A39}" name="Orçamento" dataDxfId="21"/>
    <tableColumn id="3" xr3:uid="{3B808871-E5A1-45AC-8E94-DE2B44F1A8A5}" name="Cenário 1" dataDxfId="20">
      <calculatedColumnFormula>INDEX(orcCenario1[#Totals],1,MATCH("Custo "&amp;resumoTotal[[#This Row],[Orçamento]],orcCenario1[#Headers],0))</calculatedColumnFormula>
    </tableColumn>
    <tableColumn id="4" xr3:uid="{BFA3A2EC-0539-4466-B98B-4D6DEF6353FC}" name="Cenário 2" dataDxfId="19">
      <calculatedColumnFormula>INDEX(orcCenario2[#Totals],1,MATCH("Custo "&amp;resumoTotal[[#This Row],[Orçamento]],orcCenario2[#Headers],0))</calculatedColumnFormula>
    </tableColumn>
    <tableColumn id="5" xr3:uid="{460C4DFC-3389-438C-B420-64BD0EB8B31D}" name="Cenário 3" dataDxfId="18">
      <calculatedColumnFormula>INDEX(orcCenario3[#Totals],1,MATCH("Custo "&amp;resumoTotal[[#This Row],[Orçamento]],orcCenario3[#Headers],0))</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2.bin"/><Relationship Id="rId5" Type="http://schemas.openxmlformats.org/officeDocument/2006/relationships/table" Target="../tables/table10.xml"/><Relationship Id="rId4" Type="http://schemas.openxmlformats.org/officeDocument/2006/relationships/table" Target="../tables/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3.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3.xml"/><Relationship Id="rId1" Type="http://schemas.openxmlformats.org/officeDocument/2006/relationships/printerSettings" Target="../printerSettings/printerSettings11.bin"/><Relationship Id="rId5" Type="http://schemas.openxmlformats.org/officeDocument/2006/relationships/table" Target="../tables/table23.xml"/><Relationship Id="rId4"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A2BF-7DDE-4DCD-9219-2A1255160C95}">
  <sheetPr codeName="capCarga"/>
  <dimension ref="A1:AE20"/>
  <sheetViews>
    <sheetView showGridLines="0" topLeftCell="A4" workbookViewId="0">
      <selection activeCell="C6" sqref="C6"/>
    </sheetView>
  </sheetViews>
  <sheetFormatPr defaultColWidth="0" defaultRowHeight="0" customHeight="1" zeroHeight="1" x14ac:dyDescent="0.25"/>
  <cols>
    <col min="1" max="1" width="2.7109375" style="1" customWidth="1"/>
    <col min="2" max="2" width="21.28515625" style="1" bestFit="1" customWidth="1"/>
    <col min="3" max="3" width="9.85546875" style="1" bestFit="1" customWidth="1"/>
    <col min="4" max="4" width="6.7109375" style="1" bestFit="1" customWidth="1"/>
    <col min="5" max="5" width="2.7109375" style="1" customWidth="1"/>
    <col min="6" max="6" width="47.5703125" style="1" bestFit="1" customWidth="1"/>
    <col min="7" max="7" width="10.7109375" style="1" bestFit="1" customWidth="1"/>
    <col min="8" max="8" width="5.5703125" style="1" bestFit="1" customWidth="1"/>
    <col min="9" max="9" width="1.7109375" style="1" customWidth="1"/>
    <col min="10" max="10" width="2.7109375" style="11" customWidth="1"/>
    <col min="11" max="11" width="1.7109375" style="1" customWidth="1"/>
    <col min="12" max="12" width="15" style="1" bestFit="1" customWidth="1"/>
    <col min="13" max="13" width="9.140625" style="1" bestFit="1" customWidth="1"/>
    <col min="14" max="14" width="2.7109375" style="1" customWidth="1"/>
    <col min="15" max="15" width="22.28515625" style="1" bestFit="1" customWidth="1"/>
    <col min="16" max="17" width="7.85546875" style="1" bestFit="1" customWidth="1"/>
    <col min="18" max="19" width="8" style="1" bestFit="1" customWidth="1"/>
    <col min="20" max="21" width="6.7109375" style="1" bestFit="1" customWidth="1"/>
    <col min="22" max="22" width="2.7109375" style="1" customWidth="1"/>
    <col min="23" max="23" width="21.28515625" style="1" bestFit="1" customWidth="1"/>
    <col min="24" max="24" width="9.140625" style="1" bestFit="1" customWidth="1"/>
    <col min="25" max="26" width="7.85546875" style="1" bestFit="1" customWidth="1"/>
    <col min="27" max="28" width="8" style="1" bestFit="1" customWidth="1"/>
    <col min="29" max="30" width="6.7109375" style="1" bestFit="1" customWidth="1"/>
    <col min="31" max="31" width="2.7109375" style="1" customWidth="1"/>
    <col min="32" max="16384" width="9.140625" style="1" hidden="1"/>
  </cols>
  <sheetData>
    <row r="1" spans="2:30" ht="5.0999999999999996" customHeight="1" x14ac:dyDescent="0.25"/>
    <row r="2" spans="2:30" ht="15" customHeight="1" x14ac:dyDescent="0.25">
      <c r="B2" s="3" t="s">
        <v>44</v>
      </c>
      <c r="C2" s="14" t="s">
        <v>61</v>
      </c>
      <c r="D2" s="13">
        <v>2</v>
      </c>
      <c r="L2" s="3" t="s">
        <v>47</v>
      </c>
      <c r="M2" s="19"/>
      <c r="N2" s="19"/>
      <c r="O2" s="19"/>
      <c r="P2" s="14" t="s">
        <v>62</v>
      </c>
      <c r="Q2" s="13">
        <v>4</v>
      </c>
      <c r="R2" s="14" t="s">
        <v>63</v>
      </c>
      <c r="S2" s="13">
        <v>2</v>
      </c>
    </row>
    <row r="3" spans="2:30" ht="15" customHeight="1" x14ac:dyDescent="0.25"/>
    <row r="4" spans="2:30" ht="31.5" customHeight="1" x14ac:dyDescent="0.25">
      <c r="B4" s="1" t="s">
        <v>0</v>
      </c>
      <c r="C4" s="1" t="s">
        <v>16</v>
      </c>
      <c r="D4" s="1" t="s">
        <v>18</v>
      </c>
      <c r="F4" s="7" t="s">
        <v>19</v>
      </c>
      <c r="G4" s="7" t="s">
        <v>26</v>
      </c>
      <c r="H4" s="7" t="s">
        <v>27</v>
      </c>
      <c r="L4" s="7" t="s">
        <v>49</v>
      </c>
      <c r="M4" s="7" t="s">
        <v>50</v>
      </c>
      <c r="O4" s="1" t="s">
        <v>49</v>
      </c>
      <c r="P4" s="1" t="s">
        <v>54</v>
      </c>
      <c r="Q4" s="1" t="s">
        <v>55</v>
      </c>
      <c r="R4" s="1" t="s">
        <v>56</v>
      </c>
      <c r="S4" s="1" t="s">
        <v>57</v>
      </c>
      <c r="T4" s="1" t="s">
        <v>58</v>
      </c>
      <c r="U4" s="1" t="s">
        <v>59</v>
      </c>
      <c r="W4" s="1" t="s">
        <v>0</v>
      </c>
      <c r="X4" s="1" t="s">
        <v>50</v>
      </c>
      <c r="Y4" s="1" t="s">
        <v>54</v>
      </c>
      <c r="Z4" s="1" t="s">
        <v>55</v>
      </c>
      <c r="AA4" s="1" t="s">
        <v>56</v>
      </c>
      <c r="AB4" s="1" t="s">
        <v>57</v>
      </c>
      <c r="AC4" s="1" t="s">
        <v>58</v>
      </c>
      <c r="AD4" s="1" t="s">
        <v>59</v>
      </c>
    </row>
    <row r="5" spans="2:30" ht="15" customHeight="1" x14ac:dyDescent="0.25">
      <c r="B5" s="1" t="s">
        <v>1</v>
      </c>
      <c r="C5" s="4">
        <v>1</v>
      </c>
      <c r="D5" s="5">
        <v>1.4</v>
      </c>
      <c r="F5" s="1" t="s">
        <v>20</v>
      </c>
      <c r="G5" s="4">
        <v>2.5</v>
      </c>
      <c r="H5" s="5">
        <v>5</v>
      </c>
      <c r="L5" s="1" t="s">
        <v>4</v>
      </c>
      <c r="M5" s="1">
        <v>120</v>
      </c>
      <c r="O5" s="1" t="s">
        <v>51</v>
      </c>
      <c r="P5" s="4">
        <v>0.85</v>
      </c>
      <c r="Q5" s="4">
        <v>0.8</v>
      </c>
      <c r="R5" s="4">
        <v>0.85</v>
      </c>
      <c r="S5" s="4">
        <v>0.9</v>
      </c>
      <c r="T5" s="4">
        <v>0.3</v>
      </c>
      <c r="U5" s="4">
        <v>1</v>
      </c>
      <c r="W5" s="1" t="s">
        <v>1</v>
      </c>
      <c r="X5" s="1">
        <v>400</v>
      </c>
      <c r="Y5" s="4">
        <v>0.5</v>
      </c>
      <c r="Z5" s="4">
        <v>0.5</v>
      </c>
      <c r="AA5" s="4">
        <v>0.5</v>
      </c>
      <c r="AB5" s="4">
        <v>0.6</v>
      </c>
      <c r="AC5" s="4">
        <v>0.3</v>
      </c>
      <c r="AD5" s="4">
        <v>1</v>
      </c>
    </row>
    <row r="6" spans="2:30" ht="15" customHeight="1" x14ac:dyDescent="0.25">
      <c r="B6" s="1" t="s">
        <v>3</v>
      </c>
      <c r="C6" s="4">
        <v>0.8</v>
      </c>
      <c r="D6" s="5">
        <v>2</v>
      </c>
      <c r="F6" s="1" t="s">
        <v>21</v>
      </c>
      <c r="G6" s="1">
        <v>1.75</v>
      </c>
      <c r="H6" s="1">
        <v>3.5</v>
      </c>
      <c r="L6" s="1" t="s">
        <v>9</v>
      </c>
      <c r="M6" s="1">
        <v>200</v>
      </c>
      <c r="O6" s="1" t="s">
        <v>52</v>
      </c>
      <c r="P6" s="4">
        <v>0.6</v>
      </c>
      <c r="Q6" s="4">
        <v>0.65</v>
      </c>
      <c r="R6" s="4">
        <v>0.6</v>
      </c>
      <c r="S6" s="4">
        <v>0.75</v>
      </c>
      <c r="T6" s="4">
        <v>0.3</v>
      </c>
      <c r="U6" s="4">
        <v>1</v>
      </c>
      <c r="W6" s="1" t="s">
        <v>3</v>
      </c>
      <c r="X6" s="1">
        <v>400</v>
      </c>
      <c r="Y6" s="4">
        <v>0.5</v>
      </c>
      <c r="Z6" s="4">
        <v>0.5</v>
      </c>
      <c r="AA6" s="4">
        <v>0.5</v>
      </c>
      <c r="AB6" s="4">
        <v>0.6</v>
      </c>
      <c r="AC6" s="4">
        <v>0.3</v>
      </c>
      <c r="AD6" s="4">
        <v>1</v>
      </c>
    </row>
    <row r="7" spans="2:30" ht="15" customHeight="1" x14ac:dyDescent="0.25">
      <c r="B7" s="1" t="s">
        <v>10</v>
      </c>
      <c r="C7" s="4">
        <v>0.7</v>
      </c>
      <c r="D7" s="5">
        <v>2.4</v>
      </c>
      <c r="F7" s="1" t="s">
        <v>22</v>
      </c>
      <c r="G7" s="1" t="s">
        <v>23</v>
      </c>
      <c r="H7" s="1" t="s">
        <v>28</v>
      </c>
      <c r="L7" s="1" t="s">
        <v>8</v>
      </c>
      <c r="M7" s="1">
        <v>250</v>
      </c>
      <c r="O7" s="1" t="s">
        <v>53</v>
      </c>
      <c r="P7" s="4">
        <v>0.5</v>
      </c>
      <c r="Q7" s="4">
        <v>0.5</v>
      </c>
      <c r="R7" s="4">
        <v>0.5</v>
      </c>
      <c r="S7" s="4">
        <v>0.6</v>
      </c>
      <c r="T7" s="4">
        <v>0.3</v>
      </c>
      <c r="U7" s="4">
        <v>1</v>
      </c>
      <c r="W7" s="1" t="s">
        <v>10</v>
      </c>
      <c r="X7" s="1">
        <v>400</v>
      </c>
      <c r="Y7" s="4">
        <v>0.5</v>
      </c>
      <c r="Z7" s="4">
        <v>0.5</v>
      </c>
      <c r="AA7" s="4">
        <v>0.5</v>
      </c>
      <c r="AB7" s="4">
        <v>0.6</v>
      </c>
      <c r="AC7" s="4">
        <v>0.3</v>
      </c>
      <c r="AD7" s="4">
        <v>1</v>
      </c>
    </row>
    <row r="8" spans="2:30" ht="15" customHeight="1" x14ac:dyDescent="0.25">
      <c r="B8" s="1" t="s">
        <v>2</v>
      </c>
      <c r="C8" s="4">
        <v>0.6</v>
      </c>
      <c r="D8" s="5">
        <v>3</v>
      </c>
      <c r="F8" s="1" t="s">
        <v>24</v>
      </c>
      <c r="G8" s="5">
        <v>3</v>
      </c>
      <c r="H8" s="5">
        <v>6</v>
      </c>
      <c r="L8" s="1" t="s">
        <v>1</v>
      </c>
      <c r="M8" s="1">
        <v>400</v>
      </c>
      <c r="W8" s="1" t="s">
        <v>2</v>
      </c>
      <c r="X8" s="1">
        <v>400</v>
      </c>
      <c r="Y8" s="4">
        <v>0.5</v>
      </c>
      <c r="Z8" s="4">
        <v>0.5</v>
      </c>
      <c r="AA8" s="4">
        <v>0.5</v>
      </c>
      <c r="AB8" s="4">
        <v>0.6</v>
      </c>
      <c r="AC8" s="4">
        <v>0.3</v>
      </c>
      <c r="AD8" s="4">
        <v>1</v>
      </c>
    </row>
    <row r="9" spans="2:30" ht="15" customHeight="1" x14ac:dyDescent="0.25">
      <c r="B9" s="1" t="s">
        <v>11</v>
      </c>
      <c r="C9" s="4">
        <v>0.5</v>
      </c>
      <c r="D9" s="5">
        <v>2.8</v>
      </c>
      <c r="F9" s="1" t="s">
        <v>25</v>
      </c>
      <c r="G9" s="5">
        <v>2</v>
      </c>
      <c r="H9" s="5">
        <v>4</v>
      </c>
      <c r="W9" s="1" t="s">
        <v>11</v>
      </c>
      <c r="X9" s="1">
        <v>400</v>
      </c>
      <c r="Y9" s="4">
        <v>0.5</v>
      </c>
      <c r="Z9" s="4">
        <v>0.5</v>
      </c>
      <c r="AA9" s="4">
        <v>0.5</v>
      </c>
      <c r="AB9" s="4">
        <v>0.6</v>
      </c>
      <c r="AC9" s="4">
        <v>0.3</v>
      </c>
      <c r="AD9" s="4">
        <v>1</v>
      </c>
    </row>
    <row r="10" spans="2:30" ht="15" customHeight="1" x14ac:dyDescent="0.25">
      <c r="B10" s="1" t="s">
        <v>7</v>
      </c>
      <c r="C10" s="4">
        <v>0.4</v>
      </c>
      <c r="D10" s="5">
        <v>3</v>
      </c>
      <c r="W10" s="1" t="s">
        <v>7</v>
      </c>
      <c r="X10" s="1">
        <v>200</v>
      </c>
      <c r="Y10" s="4">
        <v>0.6</v>
      </c>
      <c r="Z10" s="4">
        <v>0.65</v>
      </c>
      <c r="AA10" s="4">
        <v>0.6</v>
      </c>
      <c r="AB10" s="4">
        <v>0.75</v>
      </c>
      <c r="AC10" s="4">
        <v>0.3</v>
      </c>
      <c r="AD10" s="4">
        <v>1</v>
      </c>
    </row>
    <row r="11" spans="2:30" ht="15" customHeight="1" x14ac:dyDescent="0.25">
      <c r="B11" s="1" t="s">
        <v>8</v>
      </c>
      <c r="C11" s="4">
        <v>0.55000000000000004</v>
      </c>
      <c r="D11" s="5">
        <v>2.2000000000000002</v>
      </c>
      <c r="F11" s="8" t="s">
        <v>19</v>
      </c>
      <c r="G11" s="8" t="s">
        <v>26</v>
      </c>
      <c r="H11" s="8" t="s">
        <v>27</v>
      </c>
      <c r="W11" s="1" t="s">
        <v>8</v>
      </c>
      <c r="X11" s="1">
        <v>250</v>
      </c>
      <c r="Y11" s="4">
        <v>0.6</v>
      </c>
      <c r="Z11" s="4">
        <v>0.65</v>
      </c>
      <c r="AA11" s="4">
        <v>0.6</v>
      </c>
      <c r="AB11" s="4">
        <v>0.75</v>
      </c>
      <c r="AC11" s="4">
        <v>0.3</v>
      </c>
      <c r="AD11" s="4">
        <v>1</v>
      </c>
    </row>
    <row r="12" spans="2:30" ht="15" customHeight="1" x14ac:dyDescent="0.25">
      <c r="B12" s="1" t="s">
        <v>12</v>
      </c>
      <c r="C12" s="4">
        <v>0.45</v>
      </c>
      <c r="D12" s="5">
        <v>2.8</v>
      </c>
      <c r="F12" s="9" t="s">
        <v>31</v>
      </c>
      <c r="G12" s="10">
        <v>3</v>
      </c>
      <c r="H12" s="10">
        <v>6</v>
      </c>
      <c r="W12" s="1" t="s">
        <v>12</v>
      </c>
      <c r="X12" s="1">
        <v>250</v>
      </c>
      <c r="Y12" s="4">
        <v>0.6</v>
      </c>
      <c r="Z12" s="4">
        <v>0.65</v>
      </c>
      <c r="AA12" s="4">
        <v>0.6</v>
      </c>
      <c r="AB12" s="4">
        <v>0.75</v>
      </c>
      <c r="AC12" s="4">
        <v>0.3</v>
      </c>
      <c r="AD12" s="4">
        <v>1</v>
      </c>
    </row>
    <row r="13" spans="2:30" ht="15" customHeight="1" x14ac:dyDescent="0.25">
      <c r="B13" s="1" t="s">
        <v>9</v>
      </c>
      <c r="C13" s="4">
        <v>0.23</v>
      </c>
      <c r="D13" s="5">
        <v>3.4</v>
      </c>
      <c r="F13" s="1" t="s">
        <v>42</v>
      </c>
      <c r="G13" s="5">
        <v>3</v>
      </c>
      <c r="H13" s="5">
        <v>6</v>
      </c>
      <c r="W13" s="1" t="s">
        <v>9</v>
      </c>
      <c r="X13" s="1">
        <v>200</v>
      </c>
      <c r="Y13" s="4">
        <v>0.6</v>
      </c>
      <c r="Z13" s="4">
        <v>0.65</v>
      </c>
      <c r="AA13" s="4">
        <v>0.6</v>
      </c>
      <c r="AB13" s="4">
        <v>0.75</v>
      </c>
      <c r="AC13" s="4">
        <v>0.3</v>
      </c>
      <c r="AD13" s="4">
        <v>1</v>
      </c>
    </row>
    <row r="14" spans="2:30" ht="15" customHeight="1" x14ac:dyDescent="0.25">
      <c r="B14" s="1" t="s">
        <v>13</v>
      </c>
      <c r="C14" s="4">
        <v>0.25</v>
      </c>
      <c r="D14" s="5">
        <v>3</v>
      </c>
      <c r="F14" s="9" t="s">
        <v>38</v>
      </c>
      <c r="G14" s="10">
        <v>2</v>
      </c>
      <c r="H14" s="10">
        <v>4</v>
      </c>
      <c r="W14" s="1" t="s">
        <v>13</v>
      </c>
      <c r="X14" s="1">
        <v>200</v>
      </c>
      <c r="Y14" s="4">
        <v>0.6</v>
      </c>
      <c r="Z14" s="4">
        <v>0.65</v>
      </c>
      <c r="AA14" s="4">
        <v>0.6</v>
      </c>
      <c r="AB14" s="4">
        <v>0.75</v>
      </c>
      <c r="AC14" s="4">
        <v>0.3</v>
      </c>
      <c r="AD14" s="4">
        <v>1</v>
      </c>
    </row>
    <row r="15" spans="2:30" ht="15" customHeight="1" x14ac:dyDescent="0.25">
      <c r="B15" s="1" t="s">
        <v>4</v>
      </c>
      <c r="C15" s="4">
        <v>0.2</v>
      </c>
      <c r="D15" s="5">
        <v>6</v>
      </c>
      <c r="W15" s="1" t="s">
        <v>4</v>
      </c>
      <c r="X15" s="1">
        <v>120</v>
      </c>
      <c r="Y15" s="4">
        <v>0.85</v>
      </c>
      <c r="Z15" s="4">
        <v>0.8</v>
      </c>
      <c r="AA15" s="4">
        <v>0.85</v>
      </c>
      <c r="AB15" s="4">
        <v>0.9</v>
      </c>
      <c r="AC15" s="4">
        <v>0.3</v>
      </c>
      <c r="AD15" s="4">
        <v>1</v>
      </c>
    </row>
    <row r="16" spans="2:30" ht="15" customHeight="1" x14ac:dyDescent="0.25">
      <c r="B16" s="1" t="s">
        <v>5</v>
      </c>
      <c r="C16" s="4">
        <v>0.35</v>
      </c>
      <c r="D16" s="5">
        <v>2.4</v>
      </c>
      <c r="W16" s="1" t="s">
        <v>5</v>
      </c>
      <c r="X16" s="1">
        <v>120</v>
      </c>
      <c r="Y16" s="4">
        <v>0.85</v>
      </c>
      <c r="Z16" s="4">
        <v>0.8</v>
      </c>
      <c r="AA16" s="4">
        <v>0.85</v>
      </c>
      <c r="AB16" s="4">
        <v>0.9</v>
      </c>
      <c r="AC16" s="4">
        <v>0.3</v>
      </c>
      <c r="AD16" s="4">
        <v>1</v>
      </c>
    </row>
    <row r="17" spans="2:30" ht="15" customHeight="1" x14ac:dyDescent="0.25">
      <c r="B17" s="1" t="s">
        <v>14</v>
      </c>
      <c r="C17" s="4">
        <v>0.3</v>
      </c>
      <c r="D17" s="5">
        <v>2.8</v>
      </c>
      <c r="W17" s="1" t="s">
        <v>14</v>
      </c>
      <c r="X17" s="1">
        <v>120</v>
      </c>
      <c r="Y17" s="4">
        <v>0.85</v>
      </c>
      <c r="Z17" s="4">
        <v>0.8</v>
      </c>
      <c r="AA17" s="4">
        <v>0.85</v>
      </c>
      <c r="AB17" s="4">
        <v>0.9</v>
      </c>
      <c r="AC17" s="4">
        <v>0.3</v>
      </c>
      <c r="AD17" s="4">
        <v>1</v>
      </c>
    </row>
    <row r="18" spans="2:30" ht="15" customHeight="1" x14ac:dyDescent="0.25">
      <c r="B18" s="1" t="s">
        <v>6</v>
      </c>
      <c r="C18" s="4">
        <v>0.22</v>
      </c>
      <c r="D18" s="5">
        <v>4</v>
      </c>
      <c r="W18" s="1" t="s">
        <v>6</v>
      </c>
      <c r="X18" s="1">
        <v>120</v>
      </c>
      <c r="Y18" s="4">
        <v>0.85</v>
      </c>
      <c r="Z18" s="4">
        <v>0.8</v>
      </c>
      <c r="AA18" s="4">
        <v>0.85</v>
      </c>
      <c r="AB18" s="4">
        <v>0.9</v>
      </c>
      <c r="AC18" s="4">
        <v>0.3</v>
      </c>
      <c r="AD18" s="4">
        <v>1</v>
      </c>
    </row>
    <row r="19" spans="2:30" ht="15" customHeight="1" x14ac:dyDescent="0.25">
      <c r="B19" s="1" t="s">
        <v>15</v>
      </c>
      <c r="C19" s="4">
        <v>0.33</v>
      </c>
      <c r="D19" s="5">
        <v>3</v>
      </c>
      <c r="W19" s="1" t="s">
        <v>15</v>
      </c>
      <c r="X19" s="1">
        <v>120</v>
      </c>
      <c r="Y19" s="4">
        <v>0.85</v>
      </c>
      <c r="Z19" s="4">
        <v>0.8</v>
      </c>
      <c r="AA19" s="4">
        <v>0.85</v>
      </c>
      <c r="AB19" s="4">
        <v>0.9</v>
      </c>
      <c r="AC19" s="4">
        <v>0.3</v>
      </c>
      <c r="AD19" s="4">
        <v>1</v>
      </c>
    </row>
    <row r="20" spans="2:30" ht="15" customHeight="1" x14ac:dyDescent="0.25"/>
  </sheetData>
  <phoneticPr fontId="6" type="noConversion"/>
  <pageMargins left="0.511811024" right="0.511811024" top="0.78740157499999996" bottom="0.78740157499999996" header="0.31496062000000002" footer="0.31496062000000002"/>
  <pageSetup paperSize="9" orientation="portrait" r:id="rId1"/>
  <tableParts count="6">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684F7-1836-4BD4-BE51-5CA4E164268D}">
  <sheetPr codeName="estacas"/>
  <dimension ref="A1:O14"/>
  <sheetViews>
    <sheetView showGridLines="0" workbookViewId="0">
      <selection activeCell="C6" sqref="C6"/>
    </sheetView>
  </sheetViews>
  <sheetFormatPr defaultColWidth="0" defaultRowHeight="15" zeroHeight="1" x14ac:dyDescent="0.25"/>
  <cols>
    <col min="1" max="1" width="2.7109375" style="1" customWidth="1"/>
    <col min="2" max="2" width="13.5703125" style="1" bestFit="1" customWidth="1"/>
    <col min="3" max="3" width="14.42578125" style="1" bestFit="1" customWidth="1"/>
    <col min="4" max="4" width="13.7109375" style="1" bestFit="1" customWidth="1"/>
    <col min="5" max="5" width="14.5703125" style="1" bestFit="1" customWidth="1"/>
    <col min="6" max="6" width="12.28515625" style="1" bestFit="1" customWidth="1"/>
    <col min="7" max="7" width="13.140625" style="1" bestFit="1" customWidth="1"/>
    <col min="8" max="8" width="2.7109375" style="1" customWidth="1"/>
    <col min="9" max="9" width="47.5703125" style="1" bestFit="1" customWidth="1"/>
    <col min="10" max="10" width="10.28515625" style="1" bestFit="1" customWidth="1"/>
    <col min="11" max="11" width="14.42578125" style="1" bestFit="1" customWidth="1"/>
    <col min="12" max="12" width="27.28515625" style="1" bestFit="1" customWidth="1"/>
    <col min="13" max="13" width="25" style="1" bestFit="1" customWidth="1"/>
    <col min="14" max="14" width="11" style="1" bestFit="1" customWidth="1"/>
    <col min="15" max="15" width="2.7109375" style="1" customWidth="1"/>
    <col min="16" max="16384" width="9.140625" style="1" hidden="1"/>
  </cols>
  <sheetData>
    <row r="1" spans="2:14" x14ac:dyDescent="0.25"/>
    <row r="2" spans="2:14" ht="18" x14ac:dyDescent="0.25">
      <c r="B2" s="1" t="s">
        <v>32</v>
      </c>
      <c r="C2" s="1" t="s">
        <v>33</v>
      </c>
      <c r="D2" s="1" t="s">
        <v>34</v>
      </c>
      <c r="E2" s="1" t="s">
        <v>35</v>
      </c>
      <c r="F2" s="1" t="s">
        <v>36</v>
      </c>
      <c r="G2" s="1" t="s">
        <v>37</v>
      </c>
      <c r="I2" s="1" t="s">
        <v>81</v>
      </c>
      <c r="J2" s="1" t="s">
        <v>80</v>
      </c>
      <c r="K2" s="1" t="s">
        <v>125</v>
      </c>
      <c r="L2" s="32" t="s">
        <v>90</v>
      </c>
      <c r="M2" s="32" t="s">
        <v>91</v>
      </c>
      <c r="N2" s="32" t="s">
        <v>88</v>
      </c>
    </row>
    <row r="3" spans="2:14" x14ac:dyDescent="0.25">
      <c r="B3" s="1">
        <v>25</v>
      </c>
      <c r="C3" s="1">
        <v>250</v>
      </c>
      <c r="D3" s="1">
        <v>60</v>
      </c>
      <c r="E3" s="1">
        <v>1100</v>
      </c>
      <c r="F3" s="1">
        <v>27.5</v>
      </c>
      <c r="G3" s="1">
        <v>350</v>
      </c>
      <c r="I3" s="1" t="s">
        <v>31</v>
      </c>
      <c r="J3" s="1" t="s">
        <v>40</v>
      </c>
      <c r="K3" s="35">
        <f>4/5</f>
        <v>0.8</v>
      </c>
      <c r="L3" s="26">
        <v>4.0000000000000001E-3</v>
      </c>
      <c r="M3" s="27">
        <v>2</v>
      </c>
      <c r="N3" s="28">
        <v>5</v>
      </c>
    </row>
    <row r="4" spans="2:14" x14ac:dyDescent="0.25">
      <c r="B4" s="1">
        <v>30</v>
      </c>
      <c r="C4" s="1">
        <v>360</v>
      </c>
      <c r="D4" s="1">
        <v>70</v>
      </c>
      <c r="E4" s="1">
        <v>1500</v>
      </c>
      <c r="F4" s="1">
        <v>30</v>
      </c>
      <c r="G4" s="1">
        <v>450</v>
      </c>
      <c r="I4" s="1" t="s">
        <v>42</v>
      </c>
      <c r="J4" s="1" t="s">
        <v>41</v>
      </c>
      <c r="K4" s="35">
        <f>4/3.6</f>
        <v>1.1111111111111112</v>
      </c>
      <c r="L4" s="29">
        <v>4.0000000000000001E-3</v>
      </c>
      <c r="M4" s="1">
        <v>4</v>
      </c>
      <c r="N4" s="5">
        <v>6</v>
      </c>
    </row>
    <row r="5" spans="2:14" x14ac:dyDescent="0.25">
      <c r="B5" s="1">
        <v>35</v>
      </c>
      <c r="C5" s="1">
        <v>490</v>
      </c>
      <c r="D5" s="1">
        <v>80</v>
      </c>
      <c r="E5" s="1">
        <v>2000</v>
      </c>
      <c r="F5" s="1">
        <v>35</v>
      </c>
      <c r="G5" s="1">
        <v>600</v>
      </c>
      <c r="I5" s="1" t="s">
        <v>38</v>
      </c>
      <c r="J5" s="1" t="s">
        <v>39</v>
      </c>
      <c r="K5" s="35">
        <f>4/3.6</f>
        <v>1.1111111111111112</v>
      </c>
      <c r="L5" s="30">
        <v>4.0000000000000001E-3</v>
      </c>
      <c r="M5" s="25">
        <v>4</v>
      </c>
      <c r="N5" s="31">
        <v>6</v>
      </c>
    </row>
    <row r="6" spans="2:14" x14ac:dyDescent="0.25">
      <c r="B6" s="1">
        <v>40</v>
      </c>
      <c r="C6" s="1">
        <v>640</v>
      </c>
      <c r="D6" s="1">
        <v>100</v>
      </c>
      <c r="E6" s="1">
        <v>3100</v>
      </c>
      <c r="F6" s="1">
        <v>40</v>
      </c>
      <c r="G6" s="1">
        <v>800</v>
      </c>
    </row>
    <row r="7" spans="2:14" x14ac:dyDescent="0.25">
      <c r="B7" s="1">
        <v>45</v>
      </c>
      <c r="C7" s="1">
        <v>810</v>
      </c>
      <c r="D7" s="1">
        <v>120</v>
      </c>
      <c r="E7" s="1">
        <v>4500</v>
      </c>
      <c r="F7" s="1">
        <v>42.5</v>
      </c>
      <c r="G7" s="1">
        <v>900</v>
      </c>
      <c r="I7" s="1" t="s">
        <v>83</v>
      </c>
      <c r="J7" s="1" t="s">
        <v>84</v>
      </c>
      <c r="K7" s="1" t="s">
        <v>126</v>
      </c>
      <c r="M7" s="1" t="s">
        <v>248</v>
      </c>
      <c r="N7" s="1" t="s">
        <v>251</v>
      </c>
    </row>
    <row r="8" spans="2:14" x14ac:dyDescent="0.25">
      <c r="B8" s="1">
        <v>50</v>
      </c>
      <c r="C8" s="1">
        <v>1000</v>
      </c>
      <c r="D8" s="1">
        <v>140</v>
      </c>
      <c r="E8" s="1">
        <v>6200</v>
      </c>
      <c r="F8" s="1">
        <v>50</v>
      </c>
      <c r="G8" s="1">
        <v>1250</v>
      </c>
      <c r="I8" s="1" t="s">
        <v>124</v>
      </c>
      <c r="J8" s="23">
        <v>1</v>
      </c>
      <c r="K8" s="1">
        <v>1</v>
      </c>
      <c r="M8" s="1" t="s">
        <v>249</v>
      </c>
      <c r="N8" s="1" t="s">
        <v>252</v>
      </c>
    </row>
    <row r="9" spans="2:14" ht="16.5" customHeight="1" x14ac:dyDescent="0.25">
      <c r="D9" s="1">
        <v>150</v>
      </c>
      <c r="E9" s="1">
        <v>7100</v>
      </c>
      <c r="F9" s="1">
        <v>60</v>
      </c>
      <c r="G9" s="1">
        <v>1800</v>
      </c>
      <c r="I9" s="1" t="s">
        <v>85</v>
      </c>
      <c r="J9" s="23">
        <v>0.9375</v>
      </c>
      <c r="K9" s="1">
        <v>1.4</v>
      </c>
      <c r="M9" s="1" t="s">
        <v>242</v>
      </c>
      <c r="N9" s="1" t="s">
        <v>253</v>
      </c>
    </row>
    <row r="10" spans="2:14" x14ac:dyDescent="0.25">
      <c r="D10" s="1">
        <v>160</v>
      </c>
      <c r="E10" s="1">
        <v>8200</v>
      </c>
      <c r="F10" s="1">
        <v>70</v>
      </c>
      <c r="G10" s="1">
        <v>2450</v>
      </c>
      <c r="I10" s="1" t="s">
        <v>86</v>
      </c>
      <c r="J10" s="23">
        <v>0.875</v>
      </c>
      <c r="K10" s="1">
        <v>1.75</v>
      </c>
      <c r="M10" s="1" t="s">
        <v>250</v>
      </c>
      <c r="N10" s="1" t="s">
        <v>254</v>
      </c>
    </row>
    <row r="11" spans="2:14" x14ac:dyDescent="0.25">
      <c r="D11" s="1">
        <v>180</v>
      </c>
      <c r="E11" s="1">
        <v>10100</v>
      </c>
      <c r="F11" s="1">
        <v>80</v>
      </c>
      <c r="G11" s="1">
        <v>3200</v>
      </c>
      <c r="I11" s="1" t="s">
        <v>87</v>
      </c>
      <c r="J11" s="23">
        <v>0.8125</v>
      </c>
      <c r="K11" s="1">
        <v>2.1</v>
      </c>
    </row>
    <row r="12" spans="2:14" x14ac:dyDescent="0.25">
      <c r="D12" s="1">
        <v>200</v>
      </c>
      <c r="E12" s="1">
        <v>12500</v>
      </c>
      <c r="F12" s="1">
        <v>90</v>
      </c>
      <c r="G12" s="1">
        <v>4000</v>
      </c>
    </row>
    <row r="13" spans="2:14" x14ac:dyDescent="0.25">
      <c r="F13" s="1">
        <v>100</v>
      </c>
      <c r="G13" s="1">
        <v>5000</v>
      </c>
    </row>
    <row r="14" spans="2:14" x14ac:dyDescent="0.25"/>
  </sheetData>
  <dataConsolidate link="1"/>
  <phoneticPr fontId="6" type="noConversion"/>
  <pageMargins left="0.511811024" right="0.511811024" top="0.78740157499999996" bottom="0.78740157499999996" header="0.31496062000000002" footer="0.31496062000000002"/>
  <pageSetup paperSize="9" orientation="portrait" r:id="rId1"/>
  <tableParts count="4">
    <tablePart r:id="rId2"/>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964C9-1D42-4CDE-9CBE-C44117613B18}">
  <sheetPr codeName="armadura"/>
  <dimension ref="A1:M13"/>
  <sheetViews>
    <sheetView showGridLines="0" workbookViewId="0">
      <selection activeCell="C6" sqref="C6"/>
    </sheetView>
  </sheetViews>
  <sheetFormatPr defaultColWidth="0" defaultRowHeight="15" zeroHeight="1" x14ac:dyDescent="0.25"/>
  <cols>
    <col min="1" max="1" width="2.7109375" style="1" customWidth="1"/>
    <col min="2" max="2" width="10.140625" style="1" bestFit="1" customWidth="1"/>
    <col min="3" max="9" width="7" style="1" bestFit="1" customWidth="1"/>
    <col min="10" max="12" width="8.28515625" style="1" bestFit="1" customWidth="1"/>
    <col min="13" max="13" width="2.7109375" style="1" customWidth="1"/>
    <col min="14" max="16384" width="9.140625" style="1" hidden="1"/>
  </cols>
  <sheetData>
    <row r="1" spans="2:12" x14ac:dyDescent="0.25"/>
    <row r="2" spans="2:12" x14ac:dyDescent="0.25">
      <c r="B2" s="1" t="s">
        <v>210</v>
      </c>
      <c r="C2" s="1" t="s">
        <v>211</v>
      </c>
      <c r="D2" s="1" t="s">
        <v>212</v>
      </c>
      <c r="E2" s="1" t="s">
        <v>213</v>
      </c>
      <c r="F2" s="1" t="s">
        <v>214</v>
      </c>
      <c r="G2" s="1" t="s">
        <v>215</v>
      </c>
      <c r="H2" s="1" t="s">
        <v>216</v>
      </c>
      <c r="I2" s="1" t="s">
        <v>217</v>
      </c>
      <c r="J2" s="1" t="s">
        <v>185</v>
      </c>
      <c r="K2" s="1" t="s">
        <v>218</v>
      </c>
      <c r="L2" s="1" t="s">
        <v>186</v>
      </c>
    </row>
    <row r="3" spans="2:12" x14ac:dyDescent="0.25">
      <c r="B3" s="5">
        <v>6.3</v>
      </c>
      <c r="C3" s="4">
        <f>areaAco[[#Headers],[1]]*PI()*(areaAco[[#This Row],[Ø\QNTD]]/10)^2/4</f>
        <v>0.31172453105244724</v>
      </c>
      <c r="D3" s="4">
        <f>areaAco[[#Headers],[2]]*PI()*(areaAco[[#This Row],[Ø\QNTD]]/10)^2/4</f>
        <v>0.62344906210489448</v>
      </c>
      <c r="E3" s="4">
        <f>areaAco[[#Headers],[3]]*PI()*(areaAco[[#This Row],[Ø\QNTD]]/10)^2/4</f>
        <v>0.93517359315734172</v>
      </c>
      <c r="F3" s="4">
        <f>areaAco[[#Headers],[4]]*PI()*(areaAco[[#This Row],[Ø\QNTD]]/10)^2/4</f>
        <v>1.246898124209789</v>
      </c>
      <c r="G3" s="4">
        <f>areaAco[[#Headers],[5]]*PI()*(areaAco[[#This Row],[Ø\QNTD]]/10)^2/4</f>
        <v>1.5586226552622362</v>
      </c>
      <c r="H3" s="4">
        <f>areaAco[[#Headers],[6]]*PI()*(areaAco[[#This Row],[Ø\QNTD]]/10)^2/4</f>
        <v>1.8703471863146834</v>
      </c>
      <c r="I3" s="4">
        <f>areaAco[[#Headers],[7]]*PI()*(areaAco[[#This Row],[Ø\QNTD]]/10)^2/4</f>
        <v>2.1820717173671307</v>
      </c>
      <c r="J3" s="4">
        <f>areaAco[[#Headers],[8]]*PI()*(areaAco[[#This Row],[Ø\QNTD]]/10)^2/4</f>
        <v>2.4937962484195779</v>
      </c>
      <c r="K3" s="4">
        <f>areaAco[[#Headers],[9]]*PI()*(areaAco[[#This Row],[Ø\QNTD]]/10)^2/4</f>
        <v>2.8055207794720252</v>
      </c>
      <c r="L3" s="4">
        <f>areaAco[[#Headers],[10]]*PI()*(areaAco[[#This Row],[Ø\QNTD]]/10)^2/4</f>
        <v>3.1172453105244724</v>
      </c>
    </row>
    <row r="4" spans="2:12" x14ac:dyDescent="0.25">
      <c r="B4" s="5">
        <v>8</v>
      </c>
      <c r="C4" s="4">
        <f>areaAco[[#Headers],[1]]*PI()*(areaAco[[#This Row],[Ø\QNTD]]/10)^2/4</f>
        <v>0.50265482457436694</v>
      </c>
      <c r="D4" s="4">
        <f>areaAco[[#Headers],[2]]*PI()*(areaAco[[#This Row],[Ø\QNTD]]/10)^2/4</f>
        <v>1.0053096491487339</v>
      </c>
      <c r="E4" s="4">
        <f>areaAco[[#Headers],[3]]*PI()*(areaAco[[#This Row],[Ø\QNTD]]/10)^2/4</f>
        <v>1.5079644737231011</v>
      </c>
      <c r="F4" s="4">
        <f>areaAco[[#Headers],[4]]*PI()*(areaAco[[#This Row],[Ø\QNTD]]/10)^2/4</f>
        <v>2.0106192982974678</v>
      </c>
      <c r="G4" s="4">
        <f>areaAco[[#Headers],[5]]*PI()*(areaAco[[#This Row],[Ø\QNTD]]/10)^2/4</f>
        <v>2.5132741228718349</v>
      </c>
      <c r="H4" s="4">
        <f>areaAco[[#Headers],[6]]*PI()*(areaAco[[#This Row],[Ø\QNTD]]/10)^2/4</f>
        <v>3.0159289474462021</v>
      </c>
      <c r="I4" s="4">
        <f>areaAco[[#Headers],[7]]*PI()*(areaAco[[#This Row],[Ø\QNTD]]/10)^2/4</f>
        <v>3.5185837720205688</v>
      </c>
      <c r="J4" s="4">
        <f>areaAco[[#Headers],[8]]*PI()*(areaAco[[#This Row],[Ø\QNTD]]/10)^2/4</f>
        <v>4.0212385965949355</v>
      </c>
      <c r="K4" s="4">
        <f>areaAco[[#Headers],[9]]*PI()*(areaAco[[#This Row],[Ø\QNTD]]/10)^2/4</f>
        <v>4.5238934211693032</v>
      </c>
      <c r="L4" s="4">
        <f>areaAco[[#Headers],[10]]*PI()*(areaAco[[#This Row],[Ø\QNTD]]/10)^2/4</f>
        <v>5.0265482457436699</v>
      </c>
    </row>
    <row r="5" spans="2:12" x14ac:dyDescent="0.25">
      <c r="B5" s="5">
        <v>10</v>
      </c>
      <c r="C5" s="4">
        <f>areaAco[[#Headers],[1]]*PI()*(areaAco[[#This Row],[Ø\QNTD]]/10)^2/4</f>
        <v>0.78539816339744828</v>
      </c>
      <c r="D5" s="4">
        <f>areaAco[[#Headers],[2]]*PI()*(areaAco[[#This Row],[Ø\QNTD]]/10)^2/4</f>
        <v>1.5707963267948966</v>
      </c>
      <c r="E5" s="4">
        <f>areaAco[[#Headers],[3]]*PI()*(areaAco[[#This Row],[Ø\QNTD]]/10)^2/4</f>
        <v>2.3561944901923448</v>
      </c>
      <c r="F5" s="4">
        <f>areaAco[[#Headers],[4]]*PI()*(areaAco[[#This Row],[Ø\QNTD]]/10)^2/4</f>
        <v>3.1415926535897931</v>
      </c>
      <c r="G5" s="4">
        <f>areaAco[[#Headers],[5]]*PI()*(areaAco[[#This Row],[Ø\QNTD]]/10)^2/4</f>
        <v>3.9269908169872414</v>
      </c>
      <c r="H5" s="4">
        <f>areaAco[[#Headers],[6]]*PI()*(areaAco[[#This Row],[Ø\QNTD]]/10)^2/4</f>
        <v>4.7123889803846897</v>
      </c>
      <c r="I5" s="4">
        <f>areaAco[[#Headers],[7]]*PI()*(areaAco[[#This Row],[Ø\QNTD]]/10)^2/4</f>
        <v>5.497787143782138</v>
      </c>
      <c r="J5" s="4">
        <f>areaAco[[#Headers],[8]]*PI()*(areaAco[[#This Row],[Ø\QNTD]]/10)^2/4</f>
        <v>6.2831853071795862</v>
      </c>
      <c r="K5" s="4">
        <f>areaAco[[#Headers],[9]]*PI()*(areaAco[[#This Row],[Ø\QNTD]]/10)^2/4</f>
        <v>7.0685834705770345</v>
      </c>
      <c r="L5" s="4">
        <f>areaAco[[#Headers],[10]]*PI()*(areaAco[[#This Row],[Ø\QNTD]]/10)^2/4</f>
        <v>7.8539816339744828</v>
      </c>
    </row>
    <row r="6" spans="2:12" x14ac:dyDescent="0.25">
      <c r="B6" s="5">
        <v>12.5</v>
      </c>
      <c r="C6" s="4">
        <f>areaAco[[#Headers],[1]]*PI()*(areaAco[[#This Row],[Ø\QNTD]]/10)^2/4</f>
        <v>1.227184630308513</v>
      </c>
      <c r="D6" s="4">
        <f>areaAco[[#Headers],[2]]*PI()*(areaAco[[#This Row],[Ø\QNTD]]/10)^2/4</f>
        <v>2.454369260617026</v>
      </c>
      <c r="E6" s="4">
        <f>areaAco[[#Headers],[3]]*PI()*(areaAco[[#This Row],[Ø\QNTD]]/10)^2/4</f>
        <v>3.6815538909255388</v>
      </c>
      <c r="F6" s="4">
        <f>areaAco[[#Headers],[4]]*PI()*(areaAco[[#This Row],[Ø\QNTD]]/10)^2/4</f>
        <v>4.908738521234052</v>
      </c>
      <c r="G6" s="4">
        <f>areaAco[[#Headers],[5]]*PI()*(areaAco[[#This Row],[Ø\QNTD]]/10)^2/4</f>
        <v>6.1359231515425643</v>
      </c>
      <c r="H6" s="4">
        <f>areaAco[[#Headers],[6]]*PI()*(areaAco[[#This Row],[Ø\QNTD]]/10)^2/4</f>
        <v>7.3631077818510775</v>
      </c>
      <c r="I6" s="4">
        <f>areaAco[[#Headers],[7]]*PI()*(areaAco[[#This Row],[Ø\QNTD]]/10)^2/4</f>
        <v>8.5902924121595898</v>
      </c>
      <c r="J6" s="4">
        <f>areaAco[[#Headers],[8]]*PI()*(areaAco[[#This Row],[Ø\QNTD]]/10)^2/4</f>
        <v>9.8174770424681039</v>
      </c>
      <c r="K6" s="4">
        <f>areaAco[[#Headers],[9]]*PI()*(areaAco[[#This Row],[Ø\QNTD]]/10)^2/4</f>
        <v>11.044661672776616</v>
      </c>
      <c r="L6" s="4">
        <f>areaAco[[#Headers],[10]]*PI()*(areaAco[[#This Row],[Ø\QNTD]]/10)^2/4</f>
        <v>12.271846303085129</v>
      </c>
    </row>
    <row r="7" spans="2:12" x14ac:dyDescent="0.25">
      <c r="B7" s="5">
        <v>16</v>
      </c>
      <c r="C7" s="4">
        <f>areaAco[[#Headers],[1]]*PI()*(areaAco[[#This Row],[Ø\QNTD]]/10)^2/4</f>
        <v>2.0106192982974678</v>
      </c>
      <c r="D7" s="4">
        <f>areaAco[[#Headers],[2]]*PI()*(areaAco[[#This Row],[Ø\QNTD]]/10)^2/4</f>
        <v>4.0212385965949355</v>
      </c>
      <c r="E7" s="4">
        <f>areaAco[[#Headers],[3]]*PI()*(areaAco[[#This Row],[Ø\QNTD]]/10)^2/4</f>
        <v>6.0318578948924042</v>
      </c>
      <c r="F7" s="4">
        <f>areaAco[[#Headers],[4]]*PI()*(areaAco[[#This Row],[Ø\QNTD]]/10)^2/4</f>
        <v>8.0424771931898711</v>
      </c>
      <c r="G7" s="4">
        <f>areaAco[[#Headers],[5]]*PI()*(areaAco[[#This Row],[Ø\QNTD]]/10)^2/4</f>
        <v>10.05309649148734</v>
      </c>
      <c r="H7" s="4">
        <f>areaAco[[#Headers],[6]]*PI()*(areaAco[[#This Row],[Ø\QNTD]]/10)^2/4</f>
        <v>12.063715789784808</v>
      </c>
      <c r="I7" s="4">
        <f>areaAco[[#Headers],[7]]*PI()*(areaAco[[#This Row],[Ø\QNTD]]/10)^2/4</f>
        <v>14.074335088082275</v>
      </c>
      <c r="J7" s="4">
        <f>areaAco[[#Headers],[8]]*PI()*(areaAco[[#This Row],[Ø\QNTD]]/10)^2/4</f>
        <v>16.084954386379742</v>
      </c>
      <c r="K7" s="4">
        <f>areaAco[[#Headers],[9]]*PI()*(areaAco[[#This Row],[Ø\QNTD]]/10)^2/4</f>
        <v>18.095573684677213</v>
      </c>
      <c r="L7" s="4">
        <f>areaAco[[#Headers],[10]]*PI()*(areaAco[[#This Row],[Ø\QNTD]]/10)^2/4</f>
        <v>20.106192982974679</v>
      </c>
    </row>
    <row r="8" spans="2:12" x14ac:dyDescent="0.25">
      <c r="B8" s="5">
        <v>20</v>
      </c>
      <c r="C8" s="4">
        <f>areaAco[[#Headers],[1]]*PI()*(areaAco[[#This Row],[Ø\QNTD]]/10)^2/4</f>
        <v>3.1415926535897931</v>
      </c>
      <c r="D8" s="4">
        <f>areaAco[[#Headers],[2]]*PI()*(areaAco[[#This Row],[Ø\QNTD]]/10)^2/4</f>
        <v>6.2831853071795862</v>
      </c>
      <c r="E8" s="4">
        <f>areaAco[[#Headers],[3]]*PI()*(areaAco[[#This Row],[Ø\QNTD]]/10)^2/4</f>
        <v>9.4247779607693793</v>
      </c>
      <c r="F8" s="4">
        <f>areaAco[[#Headers],[4]]*PI()*(areaAco[[#This Row],[Ø\QNTD]]/10)^2/4</f>
        <v>12.566370614359172</v>
      </c>
      <c r="G8" s="4">
        <f>areaAco[[#Headers],[5]]*PI()*(areaAco[[#This Row],[Ø\QNTD]]/10)^2/4</f>
        <v>15.707963267948966</v>
      </c>
      <c r="H8" s="4">
        <f>areaAco[[#Headers],[6]]*PI()*(areaAco[[#This Row],[Ø\QNTD]]/10)^2/4</f>
        <v>18.849555921538759</v>
      </c>
      <c r="I8" s="4">
        <f>areaAco[[#Headers],[7]]*PI()*(areaAco[[#This Row],[Ø\QNTD]]/10)^2/4</f>
        <v>21.991148575128552</v>
      </c>
      <c r="J8" s="4">
        <f>areaAco[[#Headers],[8]]*PI()*(areaAco[[#This Row],[Ø\QNTD]]/10)^2/4</f>
        <v>25.132741228718345</v>
      </c>
      <c r="K8" s="4">
        <f>areaAco[[#Headers],[9]]*PI()*(areaAco[[#This Row],[Ø\QNTD]]/10)^2/4</f>
        <v>28.274333882308138</v>
      </c>
      <c r="L8" s="4">
        <f>areaAco[[#Headers],[10]]*PI()*(areaAco[[#This Row],[Ø\QNTD]]/10)^2/4</f>
        <v>31.415926535897931</v>
      </c>
    </row>
    <row r="9" spans="2:12" x14ac:dyDescent="0.25">
      <c r="B9" s="5">
        <v>22</v>
      </c>
      <c r="C9" s="4">
        <f>areaAco[[#Headers],[1]]*PI()*(areaAco[[#This Row],[Ø\QNTD]]/10)^2/4</f>
        <v>3.8013271108436504</v>
      </c>
      <c r="D9" s="4">
        <f>areaAco[[#Headers],[2]]*PI()*(areaAco[[#This Row],[Ø\QNTD]]/10)^2/4</f>
        <v>7.6026542216873008</v>
      </c>
      <c r="E9" s="4">
        <f>areaAco[[#Headers],[3]]*PI()*(areaAco[[#This Row],[Ø\QNTD]]/10)^2/4</f>
        <v>11.40398133253095</v>
      </c>
      <c r="F9" s="4">
        <f>areaAco[[#Headers],[4]]*PI()*(areaAco[[#This Row],[Ø\QNTD]]/10)^2/4</f>
        <v>15.205308443374602</v>
      </c>
      <c r="G9" s="4">
        <f>areaAco[[#Headers],[5]]*PI()*(areaAco[[#This Row],[Ø\QNTD]]/10)^2/4</f>
        <v>19.006635554218253</v>
      </c>
      <c r="H9" s="4">
        <f>areaAco[[#Headers],[6]]*PI()*(areaAco[[#This Row],[Ø\QNTD]]/10)^2/4</f>
        <v>22.807962665061901</v>
      </c>
      <c r="I9" s="4">
        <f>areaAco[[#Headers],[7]]*PI()*(areaAco[[#This Row],[Ø\QNTD]]/10)^2/4</f>
        <v>26.609289775905552</v>
      </c>
      <c r="J9" s="4">
        <f>areaAco[[#Headers],[8]]*PI()*(areaAco[[#This Row],[Ø\QNTD]]/10)^2/4</f>
        <v>30.410616886749203</v>
      </c>
      <c r="K9" s="4">
        <f>areaAco[[#Headers],[9]]*PI()*(areaAco[[#This Row],[Ø\QNTD]]/10)^2/4</f>
        <v>34.211943997592854</v>
      </c>
      <c r="L9" s="4">
        <f>areaAco[[#Headers],[10]]*PI()*(areaAco[[#This Row],[Ø\QNTD]]/10)^2/4</f>
        <v>38.013271108436506</v>
      </c>
    </row>
    <row r="10" spans="2:12" x14ac:dyDescent="0.25">
      <c r="B10" s="5">
        <v>25</v>
      </c>
      <c r="C10" s="4">
        <f>areaAco[[#Headers],[1]]*PI()*(areaAco[[#This Row],[Ø\QNTD]]/10)^2/4</f>
        <v>4.908738521234052</v>
      </c>
      <c r="D10" s="4">
        <f>areaAco[[#Headers],[2]]*PI()*(areaAco[[#This Row],[Ø\QNTD]]/10)^2/4</f>
        <v>9.8174770424681039</v>
      </c>
      <c r="E10" s="4">
        <f>areaAco[[#Headers],[3]]*PI()*(areaAco[[#This Row],[Ø\QNTD]]/10)^2/4</f>
        <v>14.726215563702155</v>
      </c>
      <c r="F10" s="4">
        <f>areaAco[[#Headers],[4]]*PI()*(areaAco[[#This Row],[Ø\QNTD]]/10)^2/4</f>
        <v>19.634954084936208</v>
      </c>
      <c r="G10" s="4">
        <f>areaAco[[#Headers],[5]]*PI()*(areaAco[[#This Row],[Ø\QNTD]]/10)^2/4</f>
        <v>24.543692606170257</v>
      </c>
      <c r="H10" s="4">
        <f>areaAco[[#Headers],[6]]*PI()*(areaAco[[#This Row],[Ø\QNTD]]/10)^2/4</f>
        <v>29.45243112740431</v>
      </c>
      <c r="I10" s="4">
        <f>areaAco[[#Headers],[7]]*PI()*(areaAco[[#This Row],[Ø\QNTD]]/10)^2/4</f>
        <v>34.361169648638359</v>
      </c>
      <c r="J10" s="4">
        <f>areaAco[[#Headers],[8]]*PI()*(areaAco[[#This Row],[Ø\QNTD]]/10)^2/4</f>
        <v>39.269908169872416</v>
      </c>
      <c r="K10" s="4">
        <f>areaAco[[#Headers],[9]]*PI()*(areaAco[[#This Row],[Ø\QNTD]]/10)^2/4</f>
        <v>44.178646691106465</v>
      </c>
      <c r="L10" s="4">
        <f>areaAco[[#Headers],[10]]*PI()*(areaAco[[#This Row],[Ø\QNTD]]/10)^2/4</f>
        <v>49.087385212340514</v>
      </c>
    </row>
    <row r="11" spans="2:12" x14ac:dyDescent="0.25">
      <c r="B11" s="5">
        <v>32</v>
      </c>
      <c r="C11" s="4">
        <f>areaAco[[#Headers],[1]]*PI()*(areaAco[[#This Row],[Ø\QNTD]]/10)^2/4</f>
        <v>8.0424771931898711</v>
      </c>
      <c r="D11" s="4">
        <f>areaAco[[#Headers],[2]]*PI()*(areaAco[[#This Row],[Ø\QNTD]]/10)^2/4</f>
        <v>16.084954386379742</v>
      </c>
      <c r="E11" s="4">
        <f>areaAco[[#Headers],[3]]*PI()*(areaAco[[#This Row],[Ø\QNTD]]/10)^2/4</f>
        <v>24.127431579569617</v>
      </c>
      <c r="F11" s="4">
        <f>areaAco[[#Headers],[4]]*PI()*(areaAco[[#This Row],[Ø\QNTD]]/10)^2/4</f>
        <v>32.169908772759484</v>
      </c>
      <c r="G11" s="4">
        <f>areaAco[[#Headers],[5]]*PI()*(areaAco[[#This Row],[Ø\QNTD]]/10)^2/4</f>
        <v>40.212385965949359</v>
      </c>
      <c r="H11" s="4">
        <f>areaAco[[#Headers],[6]]*PI()*(areaAco[[#This Row],[Ø\QNTD]]/10)^2/4</f>
        <v>48.254863159139234</v>
      </c>
      <c r="I11" s="4">
        <f>areaAco[[#Headers],[7]]*PI()*(areaAco[[#This Row],[Ø\QNTD]]/10)^2/4</f>
        <v>56.297340352329101</v>
      </c>
      <c r="J11" s="4">
        <f>areaAco[[#Headers],[8]]*PI()*(areaAco[[#This Row],[Ø\QNTD]]/10)^2/4</f>
        <v>64.339817545518969</v>
      </c>
      <c r="K11" s="4">
        <f>areaAco[[#Headers],[9]]*PI()*(areaAco[[#This Row],[Ø\QNTD]]/10)^2/4</f>
        <v>72.38229473870885</v>
      </c>
      <c r="L11" s="4">
        <f>areaAco[[#Headers],[10]]*PI()*(areaAco[[#This Row],[Ø\QNTD]]/10)^2/4</f>
        <v>80.424771931898718</v>
      </c>
    </row>
    <row r="12" spans="2:12" x14ac:dyDescent="0.25">
      <c r="B12" s="5">
        <v>40</v>
      </c>
      <c r="C12" s="4">
        <f>areaAco[[#Headers],[1]]*PI()*(areaAco[[#This Row],[Ø\QNTD]]/10)^2/4</f>
        <v>12.566370614359172</v>
      </c>
      <c r="D12" s="4">
        <f>areaAco[[#Headers],[2]]*PI()*(areaAco[[#This Row],[Ø\QNTD]]/10)^2/4</f>
        <v>25.132741228718345</v>
      </c>
      <c r="E12" s="4">
        <f>areaAco[[#Headers],[3]]*PI()*(areaAco[[#This Row],[Ø\QNTD]]/10)^2/4</f>
        <v>37.699111843077517</v>
      </c>
      <c r="F12" s="4">
        <f>areaAco[[#Headers],[4]]*PI()*(areaAco[[#This Row],[Ø\QNTD]]/10)^2/4</f>
        <v>50.26548245743669</v>
      </c>
      <c r="G12" s="4">
        <f>areaAco[[#Headers],[5]]*PI()*(areaAco[[#This Row],[Ø\QNTD]]/10)^2/4</f>
        <v>62.831853071795862</v>
      </c>
      <c r="H12" s="4">
        <f>areaAco[[#Headers],[6]]*PI()*(areaAco[[#This Row],[Ø\QNTD]]/10)^2/4</f>
        <v>75.398223686155035</v>
      </c>
      <c r="I12" s="4">
        <f>areaAco[[#Headers],[7]]*PI()*(areaAco[[#This Row],[Ø\QNTD]]/10)^2/4</f>
        <v>87.964594300514207</v>
      </c>
      <c r="J12" s="4">
        <f>areaAco[[#Headers],[8]]*PI()*(areaAco[[#This Row],[Ø\QNTD]]/10)^2/4</f>
        <v>100.53096491487338</v>
      </c>
      <c r="K12" s="4">
        <f>areaAco[[#Headers],[9]]*PI()*(areaAco[[#This Row],[Ø\QNTD]]/10)^2/4</f>
        <v>113.09733552923255</v>
      </c>
      <c r="L12" s="4">
        <f>areaAco[[#Headers],[10]]*PI()*(areaAco[[#This Row],[Ø\QNTD]]/10)^2/4</f>
        <v>125.66370614359172</v>
      </c>
    </row>
    <row r="13" spans="2:12" x14ac:dyDescent="0.25"/>
  </sheetData>
  <dataConsolidate link="1"/>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F817D-D7A1-4F8E-BB51-713D27BC87D5}">
  <sheetPr codeName="orcamento"/>
  <dimension ref="A2:I32"/>
  <sheetViews>
    <sheetView showGridLines="0" workbookViewId="0">
      <selection activeCell="C6" sqref="C6"/>
    </sheetView>
  </sheetViews>
  <sheetFormatPr defaultColWidth="0" defaultRowHeight="15" x14ac:dyDescent="0.25"/>
  <cols>
    <col min="1" max="1" width="2.7109375" style="1" customWidth="1"/>
    <col min="2" max="2" width="10.42578125" style="1" bestFit="1" customWidth="1"/>
    <col min="3" max="3" width="100.7109375" style="1" customWidth="1"/>
    <col min="4" max="4" width="5.28515625" style="1" bestFit="1" customWidth="1"/>
    <col min="5" max="5" width="18.42578125" style="1" bestFit="1" customWidth="1"/>
    <col min="6" max="6" width="13" style="1" bestFit="1" customWidth="1"/>
    <col min="7" max="7" width="18.5703125" style="1" bestFit="1" customWidth="1"/>
    <col min="8" max="8" width="17.85546875" style="1" bestFit="1" customWidth="1"/>
    <col min="9" max="9" width="2.7109375" style="1" customWidth="1"/>
    <col min="10" max="16384" width="9.140625" style="1" hidden="1"/>
  </cols>
  <sheetData>
    <row r="2" spans="2:8" x14ac:dyDescent="0.25">
      <c r="B2" s="1" t="s">
        <v>142</v>
      </c>
      <c r="C2" s="1" t="s">
        <v>143</v>
      </c>
      <c r="D2" s="1" t="s">
        <v>145</v>
      </c>
      <c r="E2" s="1" t="s">
        <v>146</v>
      </c>
      <c r="F2" s="1" t="s">
        <v>147</v>
      </c>
      <c r="G2" s="1" t="s">
        <v>148</v>
      </c>
      <c r="H2" s="1" t="s">
        <v>144</v>
      </c>
    </row>
    <row r="3" spans="2:8" x14ac:dyDescent="0.25">
      <c r="B3" s="1">
        <v>43366</v>
      </c>
      <c r="C3" s="39" t="s">
        <v>165</v>
      </c>
      <c r="D3" s="1" t="s">
        <v>161</v>
      </c>
      <c r="E3" s="40"/>
      <c r="F3" s="40">
        <v>1.58</v>
      </c>
      <c r="G3" s="40"/>
      <c r="H3" s="40">
        <f>SUM(composicoes[[#This Row],[ MÃO DE OBRA]:[EQUIPAMENTO]])</f>
        <v>1.58</v>
      </c>
    </row>
    <row r="4" spans="2:8" ht="60" x14ac:dyDescent="0.25">
      <c r="B4" s="1">
        <v>90674</v>
      </c>
      <c r="C4" s="39" t="s">
        <v>166</v>
      </c>
      <c r="D4" s="1" t="s">
        <v>163</v>
      </c>
      <c r="E4" s="40">
        <f>ROUND(0.04*(21.29+21.29),2)</f>
        <v>1.7</v>
      </c>
      <c r="F4" s="40">
        <f>ROUND(0.04*(123.03+6.69),2)</f>
        <v>5.19</v>
      </c>
      <c r="G4" s="40">
        <f>ROUND(0.04*(599.47+285.62),2)</f>
        <v>35.4</v>
      </c>
      <c r="H4" s="40">
        <f>SUM(composicoes[[#This Row],[ MÃO DE OBRA]:[EQUIPAMENTO]])</f>
        <v>42.29</v>
      </c>
    </row>
    <row r="5" spans="2:8" ht="45" x14ac:dyDescent="0.25">
      <c r="B5" s="1">
        <v>90680</v>
      </c>
      <c r="C5" s="39" t="s">
        <v>164</v>
      </c>
      <c r="D5" s="1" t="s">
        <v>163</v>
      </c>
      <c r="E5" s="40">
        <f>ROUND(0.04*(21.29+20.31),2)</f>
        <v>1.66</v>
      </c>
      <c r="F5" s="40">
        <f>ROUND(0.04*(95.91+62.03),2)</f>
        <v>6.32</v>
      </c>
      <c r="G5" s="40">
        <f>ROUND(0.04*(315.58+59.11),2)</f>
        <v>14.99</v>
      </c>
      <c r="H5" s="40">
        <f>SUM(composicoes[[#This Row],[ MÃO DE OBRA]:[EQUIPAMENTO]])</f>
        <v>22.97</v>
      </c>
    </row>
    <row r="6" spans="2:8" ht="45" x14ac:dyDescent="0.25">
      <c r="B6" s="1">
        <v>92916</v>
      </c>
      <c r="C6" s="39" t="s">
        <v>170</v>
      </c>
      <c r="D6" s="1" t="s">
        <v>161</v>
      </c>
      <c r="E6" s="40">
        <v>4.08</v>
      </c>
      <c r="F6" s="40">
        <v>11.96</v>
      </c>
      <c r="G6" s="40"/>
      <c r="H6" s="40">
        <f>SUM(composicoes[[#This Row],[ MÃO DE OBRA]:[EQUIPAMENTO]])</f>
        <v>16.04</v>
      </c>
    </row>
    <row r="7" spans="2:8" ht="45" x14ac:dyDescent="0.25">
      <c r="B7" s="1">
        <v>92917</v>
      </c>
      <c r="C7" s="39" t="s">
        <v>171</v>
      </c>
      <c r="D7" s="1" t="s">
        <v>161</v>
      </c>
      <c r="E7" s="40">
        <v>2.75</v>
      </c>
      <c r="F7" s="40">
        <v>11.81</v>
      </c>
      <c r="G7" s="40"/>
      <c r="H7" s="40">
        <f>SUM(composicoes[[#This Row],[ MÃO DE OBRA]:[EQUIPAMENTO]])</f>
        <v>14.56</v>
      </c>
    </row>
    <row r="8" spans="2:8" ht="45" x14ac:dyDescent="0.25">
      <c r="B8" s="1">
        <v>92919</v>
      </c>
      <c r="C8" s="39" t="s">
        <v>172</v>
      </c>
      <c r="D8" s="1" t="s">
        <v>161</v>
      </c>
      <c r="E8" s="40">
        <v>1.86</v>
      </c>
      <c r="F8" s="40">
        <v>10.86</v>
      </c>
      <c r="G8" s="40"/>
      <c r="H8" s="40">
        <f>SUM(composicoes[[#This Row],[ MÃO DE OBRA]:[EQUIPAMENTO]])</f>
        <v>12.719999999999999</v>
      </c>
    </row>
    <row r="9" spans="2:8" ht="45" x14ac:dyDescent="0.25">
      <c r="B9" s="1">
        <v>92921</v>
      </c>
      <c r="C9" s="39" t="s">
        <v>173</v>
      </c>
      <c r="D9" s="1" t="s">
        <v>161</v>
      </c>
      <c r="E9" s="40">
        <v>1.19</v>
      </c>
      <c r="F9" s="40">
        <v>9.31</v>
      </c>
      <c r="G9" s="40"/>
      <c r="H9" s="40">
        <f>SUM(composicoes[[#This Row],[ MÃO DE OBRA]:[EQUIPAMENTO]])</f>
        <v>10.5</v>
      </c>
    </row>
    <row r="10" spans="2:8" ht="45" x14ac:dyDescent="0.25">
      <c r="B10" s="1">
        <v>92922</v>
      </c>
      <c r="C10" s="39" t="s">
        <v>174</v>
      </c>
      <c r="D10" s="1" t="s">
        <v>161</v>
      </c>
      <c r="E10" s="40">
        <v>0.86</v>
      </c>
      <c r="F10" s="40">
        <v>9.15</v>
      </c>
      <c r="G10" s="40"/>
      <c r="H10" s="40">
        <f>SUM(composicoes[[#This Row],[ MÃO DE OBRA]:[EQUIPAMENTO]])</f>
        <v>10.01</v>
      </c>
    </row>
    <row r="11" spans="2:8" ht="45" x14ac:dyDescent="0.25">
      <c r="B11" s="1">
        <v>92923</v>
      </c>
      <c r="C11" s="39" t="s">
        <v>175</v>
      </c>
      <c r="D11" s="1" t="s">
        <v>161</v>
      </c>
      <c r="E11" s="40">
        <v>0.65</v>
      </c>
      <c r="F11" s="40">
        <v>10.56</v>
      </c>
      <c r="G11" s="40"/>
      <c r="H11" s="40">
        <f>SUM(composicoes[[#This Row],[ MÃO DE OBRA]:[EQUIPAMENTO]])</f>
        <v>11.21</v>
      </c>
    </row>
    <row r="12" spans="2:8" ht="45" x14ac:dyDescent="0.25">
      <c r="B12" s="1">
        <v>92924</v>
      </c>
      <c r="C12" s="39" t="s">
        <v>176</v>
      </c>
      <c r="D12" s="1" t="s">
        <v>161</v>
      </c>
      <c r="E12" s="40">
        <v>0.51</v>
      </c>
      <c r="F12" s="40">
        <v>10.49</v>
      </c>
      <c r="G12" s="40"/>
      <c r="H12" s="40">
        <f>SUM(composicoes[[#This Row],[ MÃO DE OBRA]:[EQUIPAMENTO]])</f>
        <v>11</v>
      </c>
    </row>
    <row r="13" spans="2:8" ht="60" x14ac:dyDescent="0.25">
      <c r="B13" s="1">
        <v>93224</v>
      </c>
      <c r="C13" s="39" t="s">
        <v>167</v>
      </c>
      <c r="D13" s="1" t="s">
        <v>163</v>
      </c>
      <c r="E13" s="40">
        <f>ROUND(0.04*(21.29+21.29),2)</f>
        <v>1.7</v>
      </c>
      <c r="F13" s="40">
        <f>ROUND(0.04*(158.65+6.69),2)</f>
        <v>6.61</v>
      </c>
      <c r="G13" s="40">
        <f>ROUND(0.04*(932.14+444.12),2)</f>
        <v>55.05</v>
      </c>
      <c r="H13" s="40">
        <f>SUM(composicoes[[#This Row],[ MÃO DE OBRA]:[EQUIPAMENTO]])</f>
        <v>63.36</v>
      </c>
    </row>
    <row r="14" spans="2:8" ht="30" x14ac:dyDescent="0.25">
      <c r="B14" s="1">
        <v>94965</v>
      </c>
      <c r="C14" s="39" t="s">
        <v>157</v>
      </c>
      <c r="D14" s="1" t="s">
        <v>149</v>
      </c>
      <c r="E14" s="40">
        <v>57.3</v>
      </c>
      <c r="F14" s="40">
        <v>365.86</v>
      </c>
      <c r="G14" s="40">
        <f>0.71+0.6</f>
        <v>1.31</v>
      </c>
      <c r="H14" s="40">
        <f>SUM(composicoes[[#This Row],[ MÃO DE OBRA]:[EQUIPAMENTO]])</f>
        <v>424.47</v>
      </c>
    </row>
    <row r="15" spans="2:8" ht="30" x14ac:dyDescent="0.25">
      <c r="B15" s="1">
        <v>94966</v>
      </c>
      <c r="C15" s="39" t="s">
        <v>158</v>
      </c>
      <c r="D15" s="1" t="s">
        <v>149</v>
      </c>
      <c r="E15" s="40">
        <v>56.82</v>
      </c>
      <c r="F15" s="40">
        <v>381.4</v>
      </c>
      <c r="G15" s="40">
        <f>0.71+0.59</f>
        <v>1.2999999999999998</v>
      </c>
      <c r="H15" s="40">
        <f>SUM(composicoes[[#This Row],[ MÃO DE OBRA]:[EQUIPAMENTO]])</f>
        <v>439.52</v>
      </c>
    </row>
    <row r="16" spans="2:8" ht="30" x14ac:dyDescent="0.25">
      <c r="B16" s="1">
        <v>94967</v>
      </c>
      <c r="C16" s="39" t="s">
        <v>159</v>
      </c>
      <c r="D16" s="1" t="s">
        <v>149</v>
      </c>
      <c r="E16" s="40">
        <v>60.4</v>
      </c>
      <c r="F16" s="40">
        <v>443.17</v>
      </c>
      <c r="G16" s="40">
        <f>0.75+0.63</f>
        <v>1.38</v>
      </c>
      <c r="H16" s="40">
        <f>SUM(composicoes[[#This Row],[ MÃO DE OBRA]:[EQUIPAMENTO]])</f>
        <v>504.95</v>
      </c>
    </row>
    <row r="17" spans="2:8" x14ac:dyDescent="0.25">
      <c r="B17" s="1">
        <v>95576</v>
      </c>
      <c r="C17" s="39" t="s">
        <v>150</v>
      </c>
      <c r="D17" s="1" t="s">
        <v>161</v>
      </c>
      <c r="E17" s="40">
        <v>1.9</v>
      </c>
      <c r="F17" s="40">
        <v>11.38</v>
      </c>
      <c r="G17" s="40"/>
      <c r="H17" s="40">
        <f>SUM(composicoes[[#This Row],[ MÃO DE OBRA]:[EQUIPAMENTO]])</f>
        <v>13.280000000000001</v>
      </c>
    </row>
    <row r="18" spans="2:8" x14ac:dyDescent="0.25">
      <c r="B18" s="1">
        <v>95577</v>
      </c>
      <c r="C18" s="39" t="s">
        <v>151</v>
      </c>
      <c r="D18" s="1" t="s">
        <v>161</v>
      </c>
      <c r="E18" s="40">
        <v>0.91</v>
      </c>
      <c r="F18" s="40">
        <v>10.38</v>
      </c>
      <c r="G18" s="40"/>
      <c r="H18" s="40">
        <f>SUM(composicoes[[#This Row],[ MÃO DE OBRA]:[EQUIPAMENTO]])</f>
        <v>11.290000000000001</v>
      </c>
    </row>
    <row r="19" spans="2:8" x14ac:dyDescent="0.25">
      <c r="B19" s="1">
        <v>95578</v>
      </c>
      <c r="C19" s="39" t="s">
        <v>152</v>
      </c>
      <c r="D19" s="1" t="s">
        <v>161</v>
      </c>
      <c r="E19" s="40">
        <v>0.48</v>
      </c>
      <c r="F19" s="40">
        <v>8.93</v>
      </c>
      <c r="G19" s="40"/>
      <c r="H19" s="40">
        <f>SUM(composicoes[[#This Row],[ MÃO DE OBRA]:[EQUIPAMENTO]])</f>
        <v>9.41</v>
      </c>
    </row>
    <row r="20" spans="2:8" x14ac:dyDescent="0.25">
      <c r="B20" s="1">
        <v>95579</v>
      </c>
      <c r="C20" s="39" t="s">
        <v>153</v>
      </c>
      <c r="D20" s="1" t="s">
        <v>161</v>
      </c>
      <c r="E20" s="40">
        <v>0.3</v>
      </c>
      <c r="F20" s="40">
        <v>8.7899999999999991</v>
      </c>
      <c r="G20" s="40"/>
      <c r="H20" s="40">
        <f>SUM(composicoes[[#This Row],[ MÃO DE OBRA]:[EQUIPAMENTO]])</f>
        <v>9.09</v>
      </c>
    </row>
    <row r="21" spans="2:8" x14ac:dyDescent="0.25">
      <c r="B21" s="1">
        <v>95580</v>
      </c>
      <c r="C21" s="39" t="s">
        <v>154</v>
      </c>
      <c r="D21" s="1" t="s">
        <v>161</v>
      </c>
      <c r="E21" s="40">
        <v>0.21</v>
      </c>
      <c r="F21" s="40">
        <v>10.25</v>
      </c>
      <c r="G21" s="40"/>
      <c r="H21" s="40">
        <f>SUM(composicoes[[#This Row],[ MÃO DE OBRA]:[EQUIPAMENTO]])</f>
        <v>10.46</v>
      </c>
    </row>
    <row r="22" spans="2:8" x14ac:dyDescent="0.25">
      <c r="B22" s="1">
        <v>95581</v>
      </c>
      <c r="C22" s="39" t="s">
        <v>155</v>
      </c>
      <c r="D22" s="1" t="s">
        <v>161</v>
      </c>
      <c r="E22" s="40">
        <v>0.2</v>
      </c>
      <c r="F22" s="40">
        <v>10.23</v>
      </c>
      <c r="G22" s="40"/>
      <c r="H22" s="40">
        <f>SUM(composicoes[[#This Row],[ MÃO DE OBRA]:[EQUIPAMENTO]])</f>
        <v>10.43</v>
      </c>
    </row>
    <row r="23" spans="2:8" x14ac:dyDescent="0.25">
      <c r="B23" s="1">
        <v>95582</v>
      </c>
      <c r="C23" s="39" t="s">
        <v>156</v>
      </c>
      <c r="D23" s="1" t="s">
        <v>161</v>
      </c>
      <c r="E23" s="40">
        <v>0.18</v>
      </c>
      <c r="F23" s="40">
        <v>11.15</v>
      </c>
      <c r="G23" s="40"/>
      <c r="H23" s="40">
        <f>SUM(composicoes[[#This Row],[ MÃO DE OBRA]:[EQUIPAMENTO]])</f>
        <v>11.33</v>
      </c>
    </row>
    <row r="24" spans="2:8" ht="30" x14ac:dyDescent="0.25">
      <c r="B24" s="1">
        <v>95584</v>
      </c>
      <c r="C24" s="39" t="s">
        <v>160</v>
      </c>
      <c r="D24" s="1" t="s">
        <v>161</v>
      </c>
      <c r="E24" s="40">
        <v>3.22</v>
      </c>
      <c r="F24" s="40">
        <v>11.51</v>
      </c>
      <c r="G24" s="40"/>
      <c r="H24" s="40">
        <f>SUM(composicoes[[#This Row],[ MÃO DE OBRA]:[EQUIPAMENTO]])</f>
        <v>14.73</v>
      </c>
    </row>
    <row r="25" spans="2:8" ht="30" x14ac:dyDescent="0.25">
      <c r="B25" s="1">
        <v>96522</v>
      </c>
      <c r="C25" s="39" t="s">
        <v>178</v>
      </c>
      <c r="D25" s="1" t="s">
        <v>149</v>
      </c>
      <c r="E25" s="40">
        <v>112.56</v>
      </c>
      <c r="F25" s="40">
        <v>50.47</v>
      </c>
      <c r="G25" s="40"/>
      <c r="H25" s="40">
        <f>SUM(composicoes[[#This Row],[ MÃO DE OBRA]:[EQUIPAMENTO]])</f>
        <v>163.03</v>
      </c>
    </row>
    <row r="26" spans="2:8" ht="30" x14ac:dyDescent="0.25">
      <c r="B26" s="1">
        <v>96534</v>
      </c>
      <c r="C26" s="39" t="s">
        <v>177</v>
      </c>
      <c r="D26" s="1" t="s">
        <v>169</v>
      </c>
      <c r="E26" s="40">
        <v>39.979999999999997</v>
      </c>
      <c r="F26" s="40">
        <v>61.79</v>
      </c>
      <c r="G26" s="40">
        <v>0.01</v>
      </c>
      <c r="H26" s="40">
        <f>SUM(composicoes[[#This Row],[ MÃO DE OBRA]:[EQUIPAMENTO]])</f>
        <v>101.78</v>
      </c>
    </row>
    <row r="27" spans="2:8" ht="30" x14ac:dyDescent="0.25">
      <c r="B27" s="1">
        <v>96619</v>
      </c>
      <c r="C27" s="39" t="s">
        <v>168</v>
      </c>
      <c r="D27" s="1" t="s">
        <v>169</v>
      </c>
      <c r="E27" s="40">
        <v>10.85</v>
      </c>
      <c r="F27" s="40">
        <v>18.559999999999999</v>
      </c>
      <c r="G27" s="40">
        <f>0.13+0.06</f>
        <v>0.19</v>
      </c>
      <c r="H27" s="40">
        <f>SUM(composicoes[[#This Row],[ MÃO DE OBRA]:[EQUIPAMENTO]])</f>
        <v>29.599999999999998</v>
      </c>
    </row>
    <row r="28" spans="2:8" ht="30" x14ac:dyDescent="0.25">
      <c r="B28" s="1">
        <v>103673</v>
      </c>
      <c r="C28" s="39" t="s">
        <v>162</v>
      </c>
      <c r="D28" s="1" t="s">
        <v>149</v>
      </c>
      <c r="E28" s="40">
        <v>29.75</v>
      </c>
      <c r="F28" s="40">
        <v>13.78</v>
      </c>
      <c r="G28" s="40">
        <f>0.12+0.03</f>
        <v>0.15</v>
      </c>
      <c r="H28" s="40">
        <f>SUM(composicoes[[#This Row],[ MÃO DE OBRA]:[EQUIPAMENTO]])</f>
        <v>43.68</v>
      </c>
    </row>
    <row r="29" spans="2:8" x14ac:dyDescent="0.25">
      <c r="C29" s="39"/>
      <c r="E29" s="40"/>
      <c r="F29" s="40"/>
      <c r="G29" s="40"/>
      <c r="H29" s="40"/>
    </row>
    <row r="30" spans="2:8" x14ac:dyDescent="0.25">
      <c r="C30" s="39"/>
      <c r="E30" s="40"/>
      <c r="F30" s="40"/>
      <c r="G30" s="40"/>
      <c r="H30" s="40"/>
    </row>
    <row r="31" spans="2:8" x14ac:dyDescent="0.25">
      <c r="C31" s="39"/>
      <c r="E31" s="40"/>
      <c r="F31" s="40"/>
      <c r="G31" s="40"/>
      <c r="H31" s="40"/>
    </row>
    <row r="32" spans="2:8" x14ac:dyDescent="0.25">
      <c r="D32" s="41"/>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953E9-0956-4E8A-937B-880C47186C5A}">
  <sheetPr codeName="SPT"/>
  <dimension ref="A1:N16"/>
  <sheetViews>
    <sheetView showGridLines="0" zoomScaleNormal="100" workbookViewId="0">
      <selection activeCell="B1" sqref="B1:M16"/>
    </sheetView>
  </sheetViews>
  <sheetFormatPr defaultColWidth="0" defaultRowHeight="15" customHeight="1" x14ac:dyDescent="0.25"/>
  <cols>
    <col min="1" max="1" width="2.7109375" style="1" customWidth="1"/>
    <col min="2" max="2" width="10.7109375" style="1" customWidth="1"/>
    <col min="3" max="3" width="7.7109375" style="1" customWidth="1"/>
    <col min="4" max="4" width="21.7109375" style="1" customWidth="1"/>
    <col min="5" max="5" width="2.7109375" style="1" customWidth="1"/>
    <col min="6" max="6" width="9.7109375" style="1" bestFit="1" customWidth="1"/>
    <col min="7" max="13" width="9.140625" style="1" customWidth="1"/>
    <col min="14" max="14" width="2.7109375" style="1" customWidth="1"/>
    <col min="15" max="16384" width="9.140625" style="1" hidden="1"/>
  </cols>
  <sheetData>
    <row r="1" spans="2:13" ht="5.0999999999999996" customHeight="1" thickBot="1" x14ac:dyDescent="0.3"/>
    <row r="2" spans="2:13" ht="20.25" thickBot="1" x14ac:dyDescent="0.3">
      <c r="B2" s="1" t="s">
        <v>30</v>
      </c>
      <c r="C2" s="1" t="s">
        <v>17</v>
      </c>
      <c r="D2" s="1" t="s">
        <v>0</v>
      </c>
      <c r="F2" s="17" t="s">
        <v>78</v>
      </c>
      <c r="G2" s="2" t="s">
        <v>79</v>
      </c>
    </row>
    <row r="3" spans="2:13" ht="15" customHeight="1" x14ac:dyDescent="0.25">
      <c r="B3" s="1">
        <f>IFERROR(B2+1,0)</f>
        <v>0</v>
      </c>
      <c r="C3" s="1">
        <v>0</v>
      </c>
      <c r="D3" s="1" t="s">
        <v>3</v>
      </c>
      <c r="F3" s="20"/>
    </row>
    <row r="4" spans="2:13" ht="15" customHeight="1" x14ac:dyDescent="0.25">
      <c r="B4" s="1">
        <f>IFERROR(B3+1,0)</f>
        <v>1</v>
      </c>
      <c r="C4" s="1">
        <v>2</v>
      </c>
      <c r="D4" s="1" t="s">
        <v>3</v>
      </c>
    </row>
    <row r="5" spans="2:13" ht="15" customHeight="1" x14ac:dyDescent="0.25">
      <c r="B5" s="1">
        <f t="shared" ref="B5:B13" si="0">IFERROR(B4+1,0)</f>
        <v>2</v>
      </c>
      <c r="C5" s="1">
        <v>2</v>
      </c>
      <c r="D5" s="1" t="s">
        <v>3</v>
      </c>
      <c r="F5" s="3" t="s">
        <v>64</v>
      </c>
      <c r="M5" s="1">
        <v>3</v>
      </c>
    </row>
    <row r="6" spans="2:13" ht="15" customHeight="1" x14ac:dyDescent="0.25">
      <c r="B6" s="1">
        <f t="shared" si="0"/>
        <v>3</v>
      </c>
      <c r="C6" s="1">
        <v>4</v>
      </c>
      <c r="D6" s="1" t="s">
        <v>3</v>
      </c>
    </row>
    <row r="7" spans="2:13" ht="15" customHeight="1" x14ac:dyDescent="0.25">
      <c r="B7" s="1">
        <f t="shared" si="0"/>
        <v>4</v>
      </c>
      <c r="C7" s="1">
        <v>8</v>
      </c>
      <c r="D7" s="1" t="s">
        <v>3</v>
      </c>
    </row>
    <row r="8" spans="2:13" ht="15" customHeight="1" x14ac:dyDescent="0.25">
      <c r="B8" s="1">
        <f t="shared" si="0"/>
        <v>5</v>
      </c>
      <c r="C8" s="1">
        <v>17</v>
      </c>
      <c r="D8" s="1" t="s">
        <v>3</v>
      </c>
    </row>
    <row r="9" spans="2:13" ht="15" customHeight="1" x14ac:dyDescent="0.25">
      <c r="B9" s="1">
        <f t="shared" si="0"/>
        <v>6</v>
      </c>
      <c r="C9" s="1">
        <v>21</v>
      </c>
      <c r="D9" s="1" t="s">
        <v>8</v>
      </c>
    </row>
    <row r="10" spans="2:13" ht="15" customHeight="1" x14ac:dyDescent="0.25">
      <c r="B10" s="1">
        <f t="shared" si="0"/>
        <v>7</v>
      </c>
      <c r="C10" s="1">
        <v>8</v>
      </c>
      <c r="D10" s="1" t="s">
        <v>8</v>
      </c>
    </row>
    <row r="11" spans="2:13" ht="15" customHeight="1" x14ac:dyDescent="0.25">
      <c r="B11" s="1">
        <f t="shared" si="0"/>
        <v>8</v>
      </c>
      <c r="C11" s="1">
        <v>10</v>
      </c>
      <c r="D11" s="1" t="s">
        <v>8</v>
      </c>
    </row>
    <row r="12" spans="2:13" ht="15" customHeight="1" x14ac:dyDescent="0.25">
      <c r="B12" s="1">
        <f t="shared" si="0"/>
        <v>9</v>
      </c>
      <c r="C12" s="1">
        <v>26</v>
      </c>
      <c r="D12" s="1" t="s">
        <v>3</v>
      </c>
    </row>
    <row r="13" spans="2:13" ht="15" customHeight="1" x14ac:dyDescent="0.25">
      <c r="B13" s="1">
        <f t="shared" si="0"/>
        <v>10</v>
      </c>
      <c r="C13" s="1">
        <v>32</v>
      </c>
      <c r="D13" s="1" t="s">
        <v>3</v>
      </c>
    </row>
    <row r="14" spans="2:13" ht="15" customHeight="1" x14ac:dyDescent="0.25">
      <c r="B14" s="1">
        <f>IFERROR(B13+1,0)</f>
        <v>11</v>
      </c>
      <c r="C14" s="1">
        <v>41</v>
      </c>
      <c r="D14" s="1" t="s">
        <v>3</v>
      </c>
    </row>
    <row r="15" spans="2:13" ht="15" customHeight="1" x14ac:dyDescent="0.25">
      <c r="B15" s="1">
        <f>IFERROR(B14+1,0)</f>
        <v>12</v>
      </c>
      <c r="C15" s="1">
        <v>52</v>
      </c>
      <c r="D15" s="1" t="s">
        <v>3</v>
      </c>
    </row>
    <row r="16" spans="2:13" ht="15" customHeight="1" x14ac:dyDescent="0.25">
      <c r="B16" s="1">
        <f>IFERROR(B15+1,0)</f>
        <v>13</v>
      </c>
      <c r="C16" s="1">
        <v>68</v>
      </c>
      <c r="D16" s="1" t="s">
        <v>3</v>
      </c>
    </row>
  </sheetData>
  <dataConsolidate link="1"/>
  <dataValidations count="1">
    <dataValidation type="list" allowBlank="1" showInputMessage="1" showErrorMessage="1" sqref="D3:D16" xr:uid="{A60FFBBA-1F6E-4303-8677-A99E19AD7E3A}">
      <formula1>Solos</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AokiVelloso">
              <controlPr defaultSize="0" autoFill="0" autoLine="0" autoPict="0">
                <anchor moveWithCells="1">
                  <from>
                    <xdr:col>5</xdr:col>
                    <xdr:colOff>9525</xdr:colOff>
                    <xdr:row>6</xdr:row>
                    <xdr:rowOff>0</xdr:rowOff>
                  </from>
                  <to>
                    <xdr:col>7</xdr:col>
                    <xdr:colOff>552450</xdr:colOff>
                    <xdr:row>7</xdr:row>
                    <xdr:rowOff>28575</xdr:rowOff>
                  </to>
                </anchor>
              </controlPr>
            </control>
          </mc:Choice>
        </mc:AlternateContent>
        <mc:AlternateContent xmlns:mc="http://schemas.openxmlformats.org/markup-compatibility/2006">
          <mc:Choice Requires="x14">
            <control shapeId="1036" r:id="rId5" name="DecourtQuaresma">
              <controlPr defaultSize="0" autoFill="0" autoLine="0" autoPict="0">
                <anchor moveWithCells="1">
                  <from>
                    <xdr:col>5</xdr:col>
                    <xdr:colOff>9525</xdr:colOff>
                    <xdr:row>7</xdr:row>
                    <xdr:rowOff>66675</xdr:rowOff>
                  </from>
                  <to>
                    <xdr:col>7</xdr:col>
                    <xdr:colOff>552450</xdr:colOff>
                    <xdr:row>8</xdr:row>
                    <xdr:rowOff>85725</xdr:rowOff>
                  </to>
                </anchor>
              </controlPr>
            </control>
          </mc:Choice>
        </mc:AlternateContent>
        <mc:AlternateContent xmlns:mc="http://schemas.openxmlformats.org/markup-compatibility/2006">
          <mc:Choice Requires="x14">
            <control shapeId="1033" r:id="rId6" name="ambosAutores">
              <controlPr defaultSize="0" autoFill="0" autoLine="0" autoPict="0">
                <anchor moveWithCells="1">
                  <from>
                    <xdr:col>5</xdr:col>
                    <xdr:colOff>9525</xdr:colOff>
                    <xdr:row>8</xdr:row>
                    <xdr:rowOff>133350</xdr:rowOff>
                  </from>
                  <to>
                    <xdr:col>7</xdr:col>
                    <xdr:colOff>552450</xdr:colOff>
                    <xdr:row>9</xdr:row>
                    <xdr:rowOff>161925</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C1017-6FC8-48E5-AF36-3D3080A6544F}">
  <sheetPr codeName="pilares"/>
  <dimension ref="A1:K14"/>
  <sheetViews>
    <sheetView showGridLines="0" workbookViewId="0">
      <selection activeCell="K11" sqref="B1:K11"/>
    </sheetView>
  </sheetViews>
  <sheetFormatPr defaultColWidth="0" defaultRowHeight="15" x14ac:dyDescent="0.25"/>
  <cols>
    <col min="1" max="1" width="2.7109375" style="1" customWidth="1"/>
    <col min="2" max="2" width="6.140625" style="1" bestFit="1" customWidth="1"/>
    <col min="3" max="3" width="12.85546875" style="1" bestFit="1" customWidth="1"/>
    <col min="4" max="4" width="8.42578125" style="1" bestFit="1" customWidth="1"/>
    <col min="5" max="5" width="8.5703125" style="1" bestFit="1" customWidth="1"/>
    <col min="6" max="10" width="9.140625" style="1" customWidth="1"/>
    <col min="11" max="11" width="2.7109375" style="1" customWidth="1"/>
    <col min="12" max="16384" width="9.140625" style="1" hidden="1"/>
  </cols>
  <sheetData>
    <row r="1" spans="2:10" ht="5.0999999999999996" customHeight="1" x14ac:dyDescent="0.25"/>
    <row r="2" spans="2:10" ht="19.5" x14ac:dyDescent="0.25">
      <c r="B2" s="83" t="s">
        <v>67</v>
      </c>
      <c r="C2" s="83" t="s">
        <v>68</v>
      </c>
      <c r="D2" s="83" t="s">
        <v>69</v>
      </c>
      <c r="E2" s="83" t="s">
        <v>70</v>
      </c>
    </row>
    <row r="3" spans="2:10" x14ac:dyDescent="0.25">
      <c r="B3" s="84">
        <f>IFERROR(B2+1,1)</f>
        <v>1</v>
      </c>
      <c r="C3" s="85">
        <v>2500</v>
      </c>
      <c r="D3" s="83">
        <v>60</v>
      </c>
      <c r="E3" s="83">
        <v>60</v>
      </c>
    </row>
    <row r="4" spans="2:10" x14ac:dyDescent="0.25">
      <c r="B4" s="84">
        <f>IFERROR(B3+1,1)</f>
        <v>2</v>
      </c>
      <c r="C4" s="85">
        <v>1250</v>
      </c>
      <c r="D4" s="83">
        <v>50</v>
      </c>
      <c r="E4" s="83">
        <v>40</v>
      </c>
    </row>
    <row r="5" spans="2:10" x14ac:dyDescent="0.25">
      <c r="B5" s="16"/>
      <c r="C5" s="4"/>
    </row>
    <row r="6" spans="2:10" x14ac:dyDescent="0.25">
      <c r="B6" s="16"/>
      <c r="C6" s="4"/>
    </row>
    <row r="7" spans="2:10" x14ac:dyDescent="0.25">
      <c r="B7" s="16"/>
      <c r="C7" s="4"/>
    </row>
    <row r="8" spans="2:10" x14ac:dyDescent="0.25">
      <c r="B8" s="16"/>
      <c r="C8" s="4"/>
    </row>
    <row r="9" spans="2:10" x14ac:dyDescent="0.25">
      <c r="B9" s="16"/>
      <c r="C9" s="4"/>
    </row>
    <row r="10" spans="2:10" x14ac:dyDescent="0.25">
      <c r="B10" s="16"/>
      <c r="C10" s="4"/>
      <c r="F10" s="65" t="s">
        <v>280</v>
      </c>
      <c r="G10" s="65"/>
      <c r="H10" s="65"/>
      <c r="I10" s="65"/>
      <c r="J10" s="65"/>
    </row>
    <row r="11" spans="2:10" x14ac:dyDescent="0.25">
      <c r="B11" s="16"/>
      <c r="C11" s="4"/>
      <c r="F11" s="65"/>
      <c r="G11" s="65"/>
      <c r="H11" s="65"/>
      <c r="I11" s="65"/>
      <c r="J11" s="65"/>
    </row>
    <row r="12" spans="2:10" x14ac:dyDescent="0.25">
      <c r="B12" s="16"/>
      <c r="C12" s="4"/>
    </row>
    <row r="13" spans="2:10" x14ac:dyDescent="0.25">
      <c r="B13" s="16"/>
      <c r="C13" s="4"/>
    </row>
    <row r="14" spans="2:10" x14ac:dyDescent="0.25">
      <c r="B14" s="16"/>
      <c r="C14" s="4"/>
    </row>
  </sheetData>
  <mergeCells count="1">
    <mergeCell ref="F10:J11"/>
  </mergeCells>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FAB5B-AFF4-4944-A618-DF95BA01BCB8}">
  <sheetPr codeName="ESF"/>
  <dimension ref="B1:BN187"/>
  <sheetViews>
    <sheetView showGridLines="0" zoomScaleNormal="100" workbookViewId="0">
      <pane xSplit="7" ySplit="4" topLeftCell="Q152" activePane="bottomRight" state="frozen"/>
      <selection activeCell="U159" sqref="U159"/>
      <selection pane="topRight" activeCell="U159" sqref="U159"/>
      <selection pane="bottomLeft" activeCell="U159" sqref="U159"/>
      <selection pane="bottomRight" activeCell="U159" sqref="U159"/>
    </sheetView>
  </sheetViews>
  <sheetFormatPr defaultRowHeight="15" x14ac:dyDescent="0.25"/>
  <cols>
    <col min="1" max="1" width="2.7109375" style="18" customWidth="1"/>
    <col min="2" max="2" width="13.5703125" style="18" bestFit="1" customWidth="1"/>
    <col min="3" max="3" width="8.140625" style="18" bestFit="1" customWidth="1"/>
    <col min="4" max="4" width="10.42578125" style="18" bestFit="1" customWidth="1"/>
    <col min="5" max="5" width="7.5703125" style="18" bestFit="1" customWidth="1"/>
    <col min="6" max="6" width="15.42578125" style="18" bestFit="1" customWidth="1"/>
    <col min="7" max="7" width="8.28515625" style="18" bestFit="1" customWidth="1"/>
    <col min="8" max="8" width="14.42578125" style="18" bestFit="1" customWidth="1"/>
    <col min="9" max="9" width="9.7109375" style="18" customWidth="1"/>
    <col min="10" max="10" width="7" style="18" bestFit="1" customWidth="1"/>
    <col min="11" max="12" width="5.7109375" style="18" bestFit="1" customWidth="1"/>
    <col min="13" max="13" width="9" style="18" bestFit="1" customWidth="1"/>
    <col min="14" max="14" width="7" style="18" bestFit="1" customWidth="1"/>
    <col min="15" max="15" width="18" style="18" bestFit="1" customWidth="1"/>
    <col min="16" max="16" width="12.42578125" style="18" bestFit="1" customWidth="1"/>
    <col min="17" max="17" width="9.140625" style="18" bestFit="1" customWidth="1"/>
    <col min="18" max="19" width="7.85546875" style="18" bestFit="1" customWidth="1"/>
    <col min="20" max="20" width="13.5703125" style="18" bestFit="1" customWidth="1"/>
    <col min="21" max="21" width="12.7109375" style="18" customWidth="1"/>
    <col min="22" max="22" width="12.5703125" style="18" bestFit="1" customWidth="1"/>
    <col min="23" max="23" width="10.7109375" style="18" bestFit="1" customWidth="1"/>
    <col min="24" max="24" width="8.140625" style="18" bestFit="1" customWidth="1"/>
    <col min="25" max="25" width="9.42578125" style="18" bestFit="1" customWidth="1"/>
    <col min="26" max="26" width="12.5703125" style="18" bestFit="1" customWidth="1"/>
    <col min="27" max="27" width="10.28515625" style="18" bestFit="1" customWidth="1"/>
    <col min="28" max="28" width="4.28515625" style="18" bestFit="1" customWidth="1"/>
    <col min="29" max="29" width="13.7109375" style="18" bestFit="1" customWidth="1"/>
    <col min="30" max="30" width="8.85546875" style="18" bestFit="1" customWidth="1"/>
    <col min="31" max="31" width="14.85546875" style="18" bestFit="1" customWidth="1"/>
    <col min="32" max="32" width="20.42578125" style="18" bestFit="1" customWidth="1"/>
    <col min="33" max="33" width="14.5703125" style="18" bestFit="1" customWidth="1"/>
    <col min="34" max="34" width="16.140625" style="18" bestFit="1" customWidth="1"/>
    <col min="35" max="36" width="7.85546875" style="18" bestFit="1" customWidth="1"/>
    <col min="37" max="38" width="11" style="18" bestFit="1" customWidth="1"/>
    <col min="39" max="39" width="15.5703125" style="18" bestFit="1" customWidth="1"/>
    <col min="40" max="40" width="19" style="1" bestFit="1" customWidth="1"/>
    <col min="41" max="41" width="19.7109375" style="1" bestFit="1" customWidth="1"/>
    <col min="42" max="42" width="14.28515625" style="1" bestFit="1" customWidth="1"/>
    <col min="43" max="43" width="19.5703125" style="1" bestFit="1" customWidth="1"/>
    <col min="44" max="44" width="12.85546875" style="18" bestFit="1" customWidth="1"/>
    <col min="45" max="45" width="15.5703125" style="18" bestFit="1" customWidth="1"/>
    <col min="46" max="46" width="21.7109375" style="18" bestFit="1" customWidth="1"/>
    <col min="47" max="47" width="15" style="18" bestFit="1" customWidth="1"/>
    <col min="48" max="48" width="17.5703125" style="18" bestFit="1" customWidth="1"/>
    <col min="49" max="49" width="19.85546875" style="18" bestFit="1" customWidth="1"/>
    <col min="50" max="50" width="16.85546875" style="18" bestFit="1" customWidth="1"/>
    <col min="51" max="51" width="17.5703125" style="18" bestFit="1" customWidth="1"/>
    <col min="52" max="52" width="19.140625" style="18" bestFit="1" customWidth="1"/>
    <col min="53" max="53" width="10.28515625" style="18" bestFit="1" customWidth="1"/>
    <col min="54" max="54" width="14" style="18" bestFit="1" customWidth="1"/>
    <col min="55" max="55" width="11.85546875" style="18" bestFit="1" customWidth="1"/>
    <col min="56" max="56" width="15.5703125" style="18" bestFit="1" customWidth="1"/>
    <col min="57" max="57" width="15.140625" style="18" bestFit="1" customWidth="1"/>
    <col min="58" max="58" width="8.5703125" style="18" bestFit="1" customWidth="1"/>
    <col min="59" max="59" width="13.5703125" style="18" bestFit="1" customWidth="1"/>
    <col min="60" max="60" width="13.85546875" style="18" bestFit="1" customWidth="1"/>
    <col min="61" max="61" width="5.7109375" style="18" bestFit="1" customWidth="1"/>
    <col min="62" max="62" width="14" style="18" bestFit="1" customWidth="1"/>
    <col min="63" max="63" width="14.140625" style="18" bestFit="1" customWidth="1"/>
    <col min="64" max="64" width="10.7109375" style="18" bestFit="1" customWidth="1"/>
    <col min="65" max="65" width="23.5703125" style="18" bestFit="1" customWidth="1"/>
    <col min="66" max="66" width="31.28515625" style="18" bestFit="1" customWidth="1"/>
    <col min="67" max="16384" width="9.140625" style="18"/>
  </cols>
  <sheetData>
    <row r="1" spans="2:66" ht="5.0999999999999996" customHeight="1" x14ac:dyDescent="0.25"/>
    <row r="2" spans="2:66" s="21" customFormat="1" ht="20.25" x14ac:dyDescent="0.25">
      <c r="B2" s="7" t="s">
        <v>32</v>
      </c>
      <c r="D2" s="21" t="s">
        <v>31</v>
      </c>
      <c r="O2" s="22"/>
      <c r="P2" s="22"/>
      <c r="AN2" s="33"/>
      <c r="AO2" s="33"/>
      <c r="AP2" s="33"/>
      <c r="AQ2" s="33"/>
    </row>
    <row r="3" spans="2:66" s="19" customFormat="1" ht="18.75" x14ac:dyDescent="0.25">
      <c r="B3" s="66" t="s">
        <v>72</v>
      </c>
      <c r="C3" s="68"/>
      <c r="D3" s="69" t="s">
        <v>73</v>
      </c>
      <c r="E3" s="70"/>
      <c r="F3" s="71"/>
      <c r="G3" s="66" t="s">
        <v>46</v>
      </c>
      <c r="H3" s="68"/>
      <c r="I3" s="66" t="s">
        <v>74</v>
      </c>
      <c r="J3" s="67"/>
      <c r="K3" s="67"/>
      <c r="L3" s="67"/>
      <c r="M3" s="67"/>
      <c r="N3" s="67"/>
      <c r="O3" s="67"/>
      <c r="P3" s="67"/>
      <c r="Q3" s="66" t="s">
        <v>75</v>
      </c>
      <c r="R3" s="67"/>
      <c r="S3" s="67"/>
      <c r="T3" s="67"/>
      <c r="U3" s="68"/>
      <c r="V3" s="6" t="s">
        <v>76</v>
      </c>
      <c r="W3" s="66" t="s">
        <v>71</v>
      </c>
      <c r="X3" s="67"/>
      <c r="Y3" s="67"/>
      <c r="Z3" s="67"/>
      <c r="AA3" s="68"/>
      <c r="AB3" s="66" t="s">
        <v>77</v>
      </c>
      <c r="AC3" s="67"/>
      <c r="AD3" s="67"/>
      <c r="AE3" s="67"/>
      <c r="AF3" s="67"/>
      <c r="AG3" s="67"/>
      <c r="AH3" s="68"/>
      <c r="AI3" s="66" t="s">
        <v>92</v>
      </c>
      <c r="AJ3" s="67"/>
      <c r="AK3" s="67"/>
      <c r="AL3" s="67"/>
      <c r="AM3" s="67"/>
      <c r="AN3" s="67"/>
      <c r="AO3" s="67"/>
      <c r="AP3" s="67"/>
      <c r="AQ3" s="67"/>
      <c r="AR3" s="67"/>
      <c r="AS3" s="67"/>
      <c r="AT3" s="67"/>
      <c r="AU3" s="67"/>
      <c r="AV3" s="67"/>
      <c r="AW3" s="67"/>
      <c r="AX3" s="67"/>
      <c r="AY3" s="67"/>
      <c r="AZ3" s="68"/>
      <c r="BA3" s="66" t="s">
        <v>136</v>
      </c>
      <c r="BB3" s="67"/>
      <c r="BC3" s="67"/>
      <c r="BD3" s="67"/>
      <c r="BE3" s="68"/>
      <c r="BF3" s="66" t="s">
        <v>129</v>
      </c>
      <c r="BG3" s="67"/>
      <c r="BH3" s="67"/>
      <c r="BI3" s="67"/>
      <c r="BJ3" s="67"/>
      <c r="BK3" s="67"/>
      <c r="BL3" s="68"/>
    </row>
    <row r="4" spans="2:66" ht="20.25" x14ac:dyDescent="0.25">
      <c r="B4" s="1" t="s">
        <v>65</v>
      </c>
      <c r="C4" s="1" t="s">
        <v>66</v>
      </c>
      <c r="D4" s="1" t="s">
        <v>30</v>
      </c>
      <c r="E4" s="1" t="s">
        <v>100</v>
      </c>
      <c r="F4" s="1" t="s">
        <v>0</v>
      </c>
      <c r="G4" s="1" t="s">
        <v>29</v>
      </c>
      <c r="H4" s="1" t="s">
        <v>33</v>
      </c>
      <c r="I4" s="1" t="s">
        <v>16</v>
      </c>
      <c r="J4" s="1" t="s">
        <v>18</v>
      </c>
      <c r="K4" s="1" t="s">
        <v>101</v>
      </c>
      <c r="L4" s="1" t="s">
        <v>102</v>
      </c>
      <c r="M4" s="1" t="s">
        <v>103</v>
      </c>
      <c r="N4" s="1" t="s">
        <v>43</v>
      </c>
      <c r="O4" s="21" t="s">
        <v>104</v>
      </c>
      <c r="P4" s="1" t="s">
        <v>45</v>
      </c>
      <c r="Q4" s="1" t="s">
        <v>50</v>
      </c>
      <c r="R4" s="1" t="s">
        <v>54</v>
      </c>
      <c r="S4" s="1" t="s">
        <v>55</v>
      </c>
      <c r="T4" s="1" t="s">
        <v>60</v>
      </c>
      <c r="U4" s="1" t="s">
        <v>48</v>
      </c>
      <c r="V4" s="1" t="s">
        <v>105</v>
      </c>
      <c r="W4" s="1" t="s">
        <v>116</v>
      </c>
      <c r="X4" s="1" t="s">
        <v>121</v>
      </c>
      <c r="Y4" s="1" t="s">
        <v>99</v>
      </c>
      <c r="Z4" s="1" t="s">
        <v>123</v>
      </c>
      <c r="AA4" s="1" t="s">
        <v>122</v>
      </c>
      <c r="AB4" s="1" t="s">
        <v>82</v>
      </c>
      <c r="AC4" s="1" t="s">
        <v>106</v>
      </c>
      <c r="AD4" s="24" t="s">
        <v>89</v>
      </c>
      <c r="AE4" s="1" t="s">
        <v>98</v>
      </c>
      <c r="AF4" s="1" t="s">
        <v>93</v>
      </c>
      <c r="AG4" s="1" t="s">
        <v>112</v>
      </c>
      <c r="AH4" s="1" t="s">
        <v>113</v>
      </c>
      <c r="AI4" s="1" t="s">
        <v>127</v>
      </c>
      <c r="AJ4" s="1" t="s">
        <v>94</v>
      </c>
      <c r="AK4" s="1" t="s">
        <v>95</v>
      </c>
      <c r="AL4" s="1" t="s">
        <v>96</v>
      </c>
      <c r="AM4" s="34" t="s">
        <v>120</v>
      </c>
      <c r="AN4" s="2" t="s">
        <v>117</v>
      </c>
      <c r="AO4" s="2" t="s">
        <v>118</v>
      </c>
      <c r="AP4" s="2" t="s">
        <v>126</v>
      </c>
      <c r="AQ4" s="2" t="s">
        <v>119</v>
      </c>
      <c r="AR4" s="1" t="s">
        <v>97</v>
      </c>
      <c r="AS4" s="1" t="s">
        <v>107</v>
      </c>
      <c r="AT4" s="1" t="s">
        <v>128</v>
      </c>
      <c r="AU4" s="1" t="s">
        <v>108</v>
      </c>
      <c r="AV4" s="1" t="s">
        <v>109</v>
      </c>
      <c r="AW4" s="1" t="s">
        <v>110</v>
      </c>
      <c r="AX4" s="1" t="s">
        <v>111</v>
      </c>
      <c r="AY4" s="1" t="s">
        <v>114</v>
      </c>
      <c r="AZ4" s="1" t="s">
        <v>115</v>
      </c>
      <c r="BA4" s="1" t="s">
        <v>137</v>
      </c>
      <c r="BB4" s="1" t="s">
        <v>139</v>
      </c>
      <c r="BC4" s="1" t="s">
        <v>138</v>
      </c>
      <c r="BD4" s="1" t="s">
        <v>140</v>
      </c>
      <c r="BE4" s="1" t="s">
        <v>141</v>
      </c>
      <c r="BF4" s="1" t="s">
        <v>133</v>
      </c>
      <c r="BG4" s="1" t="s">
        <v>134</v>
      </c>
      <c r="BH4" s="1" t="s">
        <v>278</v>
      </c>
      <c r="BI4" s="1" t="s">
        <v>130</v>
      </c>
      <c r="BJ4" s="1" t="s">
        <v>131</v>
      </c>
      <c r="BK4" s="1" t="s">
        <v>132</v>
      </c>
      <c r="BL4" s="1" t="s">
        <v>135</v>
      </c>
      <c r="BM4" s="1" t="s">
        <v>179</v>
      </c>
      <c r="BN4" s="1" t="s">
        <v>181</v>
      </c>
    </row>
    <row r="5" spans="2:66" x14ac:dyDescent="0.25">
      <c r="B5" s="12">
        <f>ROUNDUP((ROW(ESF[[#This Row],[idDiâmetro]])-ROW(ESF[[#Headers],[idDiâmetro]]))/(COUNT(SPT[Prof. (m)])*COUNT(PILARES[Pilar])),0)</f>
        <v>1</v>
      </c>
      <c r="C5" s="12">
        <f>IF(ESF[[#This Row],[idDiâmetro]]&lt;&gt;B4,1,IF(ESF[[#This Row],[Prof. (m)]]=0,C4+1,C4))</f>
        <v>1</v>
      </c>
      <c r="D5" s="1">
        <f>IFERROR(IF(D4=MAX(SPT[Prof. (m)]),0,D4+1),0)</f>
        <v>0</v>
      </c>
      <c r="E5" s="1">
        <f>INDEX(SPT[],MATCH(ESF[[#This Row],[Prof. (m)]],SPT[Prof. (m)],0),2)</f>
        <v>0</v>
      </c>
      <c r="F5" s="1" t="str">
        <f>INDEX(SPT[],MATCH(ESF[[#This Row],[Prof. (m)]],SPT[Prof. (m)],0),3)</f>
        <v>Areia siltosa</v>
      </c>
      <c r="G5" s="1">
        <f>INDEX(estacas[],ESF[[#This Row],[idDiâmetro]],MATCH($B$2,estacas[#Headers],0))</f>
        <v>25</v>
      </c>
      <c r="H5" s="1">
        <f>INDEX(estacas[],MATCH(ESF[[#This Row],[Ø (cm)]],estacas[Ø ESF (cm)],0),MATCH(ESF[[#Headers],[Pe ESF (kN)]],estacas[#Headers],0))</f>
        <v>250</v>
      </c>
      <c r="I5" s="4">
        <f>INDEX(K_alpha_C[],MATCH(ESF[[#This Row],[Solo]],K_alpha_C[Solo],0),2)</f>
        <v>0.8</v>
      </c>
      <c r="J5" s="5">
        <f>INDEX(K_alpha_C[],MATCH(ESF[[#This Row],[Solo]],K_alpha_C[Solo],0),3)</f>
        <v>2</v>
      </c>
      <c r="K5" s="4">
        <f>INDEX(F1_F2[],MATCH($D$2,F1_F2[Tipo de estaca],0),2)</f>
        <v>3</v>
      </c>
      <c r="L5" s="4">
        <f>INDEX(F1_F2[],MATCH($D$2,F1_F2[Tipo de estaca],0),3)</f>
        <v>6</v>
      </c>
      <c r="M5" s="4">
        <f>PI()*(ESF[[#This Row],[Ø (cm)]]/100)^2/4</f>
        <v>4.9087385212340517E-2</v>
      </c>
      <c r="N5" s="4">
        <f>PI()*ESF[[#This Row],[Ø (cm)]]/100</f>
        <v>0.78539816339744828</v>
      </c>
      <c r="O5" s="4">
        <f>IF(ESF[[#This Row],[Prof. (m)]]=0,0,ESF[[#This Row],[α (%)]]/100*ESF[[#This Row],[K (MPa)]]*1000*ESF[[#This Row],[NSPT]])</f>
        <v>0</v>
      </c>
      <c r="P5" s="4">
        <f>IF(ESF[[#This Row],[Prof. (m)]]=0,0,(ESF[[#This Row],[K (MPa)]]*1000*ESF[[#This Row],[NSPT]]/ESF[[#This Row],[F1]]*ESF[[#This Row],[Ap (m²)]]+ESF[[#This Row],[U (m)]]/ESF[[#This Row],[F2]]*SUMIFS(ESF[(α∙K∙NL∙ΔL)],ESF[Prof. (m)],"&lt;="&amp;ESF[[#This Row],[Prof. (m)]],ESF[idDiâmetro],ESF[[#This Row],[idDiâmetro]],ESF[idPilar],ESF[[#This Row],[idPilar]]))/'DADOS CAP. CARGA'!$D$2)</f>
        <v>0</v>
      </c>
      <c r="Q5" s="12">
        <f>INDEX(C_alpha_beta[],MATCH(ESF[[#This Row],[Solo]],C_alpha_beta[Solo],0),MATCH(ESF[[#Headers],[C (kPa)]],C_alpha_beta[#Headers],0))</f>
        <v>400</v>
      </c>
      <c r="R5" s="4">
        <f>INDEX(C_alpha_beta[],MATCH(ESF[[#This Row],[Solo]],C_alpha_beta[Solo],0),MATCH(ESF[[#Headers],[α ESF]],C_alpha_beta[#Headers],0))</f>
        <v>0.5</v>
      </c>
      <c r="S5" s="4">
        <f>INDEX(C_alpha_beta[],MATCH(ESF[[#This Row],[Solo]],C_alpha_beta[Solo],0),MATCH(ESF[[#Headers],[β ESF]],C_alpha_beta[#Headers],0))</f>
        <v>0.5</v>
      </c>
      <c r="T5" s="4">
        <f>IF(ESF[[#This Row],[Prof. (m)]]=0,0,10*(ESF[[#This Row],[NSPT]]/3+1))</f>
        <v>0</v>
      </c>
      <c r="U5" s="4">
        <f>(ESF[[#This Row],[α ESF]]*ESF[[#This Row],[C (kPa)]]*ESF[[#This Row],[NSPT]]*ESF[[#This Row],[Ap (m²)]])/'DADOS CAP. CARGA'!$Q$2+(ESF[[#This Row],[β ESF]]*SUMIFS(ESF[10∙(NL/3+1)],ESF[Prof. (m)],"&lt;="&amp;ESF[[#This Row],[Prof. (m)]],ESF[idDiâmetro],ESF[[#This Row],[idDiâmetro]],ESF[idPilar],ESF[[#This Row],[idPilar]])*ESF[[#This Row],[U (m)]])/'DADOS CAP. CARGA'!$S$2</f>
        <v>0</v>
      </c>
      <c r="V5" s="4">
        <f>IF(SPT!$M$5=1,MIN(ESF[[#This Row],[Pe ESF (kN)]],ESF[[#This Row],[R_AV (kN)]]),IF(SPT!$M$5=2,MIN(ESF[[#This Row],[Pe ESF (kN)]],ESF[[#This Row],[R_DC (kN)]]),MIN(ESF[[#This Row],[Pe ESF (kN)]],ESF[[#This Row],[R_AV (kN)]],ESF[[#This Row],[R_DC (kN)]])))</f>
        <v>0</v>
      </c>
      <c r="W5" s="4">
        <f>INDEX(PILARES[],ESF[[#This Row],[idPilar]],MATCH("Carga (kN)",PILARES[#Headers],0))*1.4</f>
        <v>3500</v>
      </c>
      <c r="X5" s="12">
        <f>INDEX(PILARES[],ESF[[#This Row],[idPilar]],MATCH(ESF[[#Headers],[ap (cm)]],PILARES[#Headers],0))</f>
        <v>60</v>
      </c>
      <c r="Y5" s="12">
        <f>INDEX(PILARES[],ESF[[#This Row],[idPilar]],MATCH(ESF[[#Headers],[bp (cm)]],PILARES[#Headers],0))</f>
        <v>60</v>
      </c>
      <c r="Z5" s="4">
        <f>SQRT(ESF[[#This Row],[ap (cm)]]*ESF[[#This Row],[bp (cm)]])</f>
        <v>60</v>
      </c>
      <c r="AA5" s="12">
        <f>ESF[[#This Row],[ap (cm)]]*ESF[[#This Row],[bp (cm)]]</f>
        <v>3600</v>
      </c>
      <c r="AB5" s="12" t="e">
        <f ca="1">IF(ESF[[#This Row],[Padm∙ε (kN)]]&gt;=ESF[[#This Row],[Padm (kN)]],ROUNDUP(1.05*ESF[[#This Row],[Nsd (kN)]]/ESF[[#This Row],[Padm (kN)]],0),ROUNDUP(1.05*ESF[[#This Row],[Nsd (kN)]]/ESF[[#This Row],[Padm (kN)]],0)+1)</f>
        <v>#DIV/0!</v>
      </c>
      <c r="AC5" s="4" t="str">
        <f ca="1">IFERROR(IF(ESF[[#This Row],[nE]]=1,ESF[[#This Row],[Padm (kN)]],ESF[[#This Row],[Padm (kN)]]*ESF[[#This Row],[nE]]*INDEX(grupoEstacas[],ESF[[#This Row],[nE]],MATCH("ε",grupoEstacas[#Headers],0))),"N.S.")</f>
        <v>N.S.</v>
      </c>
      <c r="AD5" s="4" t="e">
        <f ca="1">1.05*ESF[[#This Row],[Nsd (kN)]]/(ESF[[#This Row],[nE]]*PI()*ESF[[#This Row],[Ø (cm)]]^2/4)*10</f>
        <v>#DIV/0!</v>
      </c>
      <c r="AE5" s="4" t="e">
        <f ca="1">IF(ESF[[#This Row],[σ (MPa)]]&lt;INDEX(tipoEstaca[],MATCH($D$2,tipoEstaca[TIPO DE ESTACA],0),MATCH("σmáx (MPa)",tipoEstaca[#Headers],0)),0.4%*PI()*ESF[[#This Row],[Ø (cm)]]^2/4,"N.S.")</f>
        <v>#DIV/0!</v>
      </c>
      <c r="AF5" s="1">
        <f>INDEX(tipoEstaca[],MATCH($D$2,tipoEstaca[TIPO DE ESTACA],0),MATCH(ESF[[#Headers],[Comprimento (m)]],tipoEstaca[#Headers],0))</f>
        <v>2</v>
      </c>
      <c r="AG5" s="5" t="e">
        <f ca="1">ESF[[#This Row],[As,mín (cm²)]]/100^2*ESF[[#This Row],[Comprimento (m)]]*7850</f>
        <v>#DIV/0!</v>
      </c>
      <c r="AH5" s="4" t="e">
        <f ca="1">ESF[[#This Row],[nE]]*ESF[[#This Row],[Prof. (m)]]*ESF[[#This Row],[Ap (m²)]]</f>
        <v>#DIV/0!</v>
      </c>
      <c r="AI5" s="1" t="e">
        <f ca="1">IF(ESF[[#This Row],[nE]]=1,0,MAX(3*ESF[[#This Row],[Ø (cm)]],60))</f>
        <v>#DIV/0!</v>
      </c>
      <c r="AJ5" s="1" t="e">
        <f ca="1">IF(ESF[[#This Row],[nE]]=1,ESF[[#This Row],[Ø (cm)]]+2*10,MAX(1.5*ESF[[#This Row],[Ø (cm)]],ESF[[#This Row],[Ø (cm)]]+15))</f>
        <v>#DIV/0!</v>
      </c>
      <c r="AK5" s="1" t="e">
        <f ca="1">alturaUtil(ESF[[#This Row],[nE]],ESF[[#This Row],[Ø (cm)]],ESF[[#This Row],[e (cm)]],ESF[[#This Row],[ap,eq (cm)]])</f>
        <v>#VALUE!</v>
      </c>
      <c r="AL5" s="1" t="str">
        <f ca="1">IFERROR(ESF[[#This Row],[d (cm)]]+arredondarParaCimaMultiplo5cm(MAX(5,SQRT(PI())/2*ESF[[#This Row],[Ø (cm)]]/5)),"N.S.")</f>
        <v>N.S.</v>
      </c>
      <c r="AM5" s="5" t="e">
        <f ca="1">alpha(ESF[[#This Row],[nE]],ESF[[#This Row],[d (cm)]],ESF[[#This Row],[e (cm)]],ESF[[#This Row],[ap,eq (cm)]])</f>
        <v>#VALUE!</v>
      </c>
      <c r="AN5" s="35" t="str">
        <f ca="1">IFERROR(ESF[[#This Row],[Nsd (kN)]]/(ESF[[#This Row],[Ap (cm²)]]*SIN(ESF[[#This Row],[α]])^2),"N.S.")</f>
        <v>N.S.</v>
      </c>
      <c r="AO5" s="35" t="str">
        <f ca="1">IFERROR(ESF[[#This Row],[Nsd (kN)]]/(ESF[[#This Row],[nE]]*PI()*ESF[[#This Row],[Ø (cm)]]^2/4*SIN(ESF[[#This Row],[α]])^2),"N.S.")</f>
        <v>N.S.</v>
      </c>
      <c r="AP5" s="4" t="str">
        <f ca="1">IFERROR(INDEX(grupoEstacas[],ESF[[#This Row],[nE]],MATCH("coef. Blévot",grupoEstacas[#Headers],0)),"N.S.")</f>
        <v>N.S.</v>
      </c>
      <c r="AQ5" s="35" t="str">
        <f ca="1">IFERROR(ESF[[#This Row],[coef. Blévot]]*0.9*INDEX(tipoEstaca[],MATCH($D$2,tipoEstaca[TIPO DE ESTACA],0),MATCH("fcd (kN/cm²)",tipoEstaca[#Headers],0)),"N.S.")</f>
        <v>N.S.</v>
      </c>
      <c r="AR5" s="1" t="str">
        <f ca="1">IF(AND(ESF[[#This Row],[cd,b,pil (kN/cm²)]]&lt;=ESF[[#This Row],[cd,b,lim (kN/cm²)]],ESF[[#This Row],[cd,b,est (kN/cm²)]]&lt;=ESF[[#This Row],[cd,b,lim (kN/cm²)]]),"OK","ERRO")</f>
        <v>OK</v>
      </c>
      <c r="AS5" s="4" t="e">
        <f ca="1">As_lado(ESF[[#This Row],[nE]],ESF[[#This Row],[Nsd (kN)]],ESF[[#This Row],[d (cm)]],ESF[[#This Row],[e (cm)]],ESF[[#This Row],[ap,eq (cm)]])</f>
        <v>#VALUE!</v>
      </c>
      <c r="AT5" s="4" t="e">
        <f ca="1">IF(ESF[[#This Row],[nE]]=1,ESF[[#This Row],[As,lado (cm²)]],IF(ESF[[#This Row],[nE]]=2,0.075*2*ESF[a (cm)],"N.A."))</f>
        <v>#DIV/0!</v>
      </c>
      <c r="AU5" s="4" t="str">
        <f ca="1">IFERROR(IF(ESF[[#This Row],[nE]]=1,"N.A.",0.2*ESF[[#This Row],[As,lado (cm²)]]),"N.S.")</f>
        <v>N.S.</v>
      </c>
      <c r="AV5" s="4" t="e">
        <f ca="1">As_malha(ESF[[#This Row],[nE]],ESF[[#This Row],[As,lado (cm²)]],ESF[[#This Row],[Nsd (kN)]])</f>
        <v>#VALUE!</v>
      </c>
      <c r="AW5" s="4" t="e">
        <f ca="1">As_susp_tot(ESF[[#This Row],[nE]],ESF[[#This Row],[Nsd (kN)]])</f>
        <v>#VALUE!</v>
      </c>
      <c r="AX5" s="4" t="e">
        <f ca="1">Asp_face(ESF[[#This Row],[nE]],ESF[[#This Row],[As,lado (cm²)]])</f>
        <v>#VALUE!</v>
      </c>
      <c r="AY5" s="5" t="e">
        <f ca="1">acoBloco(ESF[[#This Row],[nE]],ESF[[#This Row],[e (cm)]],ESF[[#This Row],[a (cm)]],ESF[[#This Row],[h (cm)]],ESF[[#This Row],[As,lado (cm²)]],ESF[[#This Row],[Asp e Asw (cm²/m)]],ESF[[#This Row],[As,sup (cm²)]],ESF[[#This Row],[As,malha (cm²)]],ESF[[#This Row],[As,susp,tot (cm²)]],ESF[[#This Row],[Asp,face (cm²)]])</f>
        <v>#VALUE!</v>
      </c>
      <c r="AZ5" s="4" t="e">
        <f ca="1">concretoBloco(ESF[[#This Row],[nE]],ESF[[#This Row],[e (cm)]],ESF[[#This Row],[a (cm)]],ESF[[#This Row],[h (cm)]])</f>
        <v>#VALUE!</v>
      </c>
      <c r="BA5" s="5" t="e">
        <f ca="1">SUM(ESF[[#This Row],[Aço Est (kg)]],ESF[[#This Row],[Aço Bloco (kg)]])</f>
        <v>#DIV/0!</v>
      </c>
      <c r="BB5" s="4">
        <f>INDEX(composicoes[],MATCH(95580,composicoes[CÓDIGO],0),MATCH("CUSTO TOTAL",composicoes[#Headers],0))</f>
        <v>10.46</v>
      </c>
      <c r="BC5" s="4" t="e">
        <f ca="1">SUM(ESF[[#This Row],[Conc Est (m³)]],ESF[[#This Row],[Conc Bloco (m³)]])</f>
        <v>#DIV/0!</v>
      </c>
      <c r="BD5" s="4">
        <f>INDEX(composicoes[],MATCH(94966,composicoes[CÓDIGO],0),MATCH("CUSTO TOTAL",composicoes[#Headers],0))</f>
        <v>439.52</v>
      </c>
      <c r="BE5" s="38" t="e">
        <f ca="1">ESF[[#This Row],[Aço (kg)]]*ESF[[#This Row],[Aço (R$/kg)]]+ESF[[#This Row],[Conc (m³)]]*ESF[[#This Row],[Conc (R$/m³)]]</f>
        <v>#DIV/0!</v>
      </c>
      <c r="BF5" s="4" t="str">
        <f ca="1">IF(COUNTIF(ESF[#This Row],"N.S.")&gt;0,"lim.","OK")</f>
        <v>lim.</v>
      </c>
      <c r="BG5" s="4" t="str">
        <f>IF(ESF[[#This Row],[Prof. (m)]]&lt;3,"lim.","OK")</f>
        <v>lim.</v>
      </c>
      <c r="BH5" s="4" t="str">
        <f>IF(ESF[[#This Row],[Prof. (m)]]&gt;=8*ESF[[#This Row],[Ø (cm)]]/100,"OK","lim.")</f>
        <v>lim.</v>
      </c>
      <c r="BI5" s="4" t="str">
        <f>IF(AND(SPT!$F$3&lt;&gt;"",ESF[[#This Row],[Prof. (m)]]&gt;=SPT!$F$3),"lim.","OK")</f>
        <v>OK</v>
      </c>
      <c r="BJ5" s="4" t="str">
        <f>IF(COUNTIFS(ESF[Solo],"Areia",ESF[Prof. (m)],"&lt;="&amp;ESF[[#This Row],[Prof. (m)]])&gt;=1,"lim.","OK")</f>
        <v>OK</v>
      </c>
      <c r="BK5" s="4" t="str">
        <f ca="1">IF(ESF[[#This Row],[Verif. Biela]]="OK","OK","lim.")</f>
        <v>OK</v>
      </c>
      <c r="BL5" s="4" t="str">
        <f ca="1">IF(COUNTA(ESF[[#This Row],[Nº Est.]:[Biela comp.]])=COUNTIF(ESF[[#This Row],[Nº Est.]:[Biela comp.]],"OK"),"OK","lim.")</f>
        <v>lim.</v>
      </c>
      <c r="BM5" s="4" t="str">
        <f ca="1">IF(ESF[[#This Row],[Controle]]="OK",ESF[[#This Row],[nE]]&amp;" Ø"&amp;ESF[[#This Row],[Ø (cm)]]&amp;"cm Prof. "&amp;ESF[[#This Row],[Prof. (m)]]&amp;" m","")</f>
        <v/>
      </c>
      <c r="BN5" s="4" t="str">
        <f ca="1">IF(ESF[[#This Row],[idDimensionamento]]="","",ESF[[#This Row],[idPilar]]&amp;ESF[[#This Row],[idDimensionamento]])</f>
        <v/>
      </c>
    </row>
    <row r="6" spans="2:66" x14ac:dyDescent="0.25">
      <c r="B6" s="12">
        <f>ROUNDUP((ROW(ESF[[#This Row],[idDiâmetro]])-ROW(ESF[[#Headers],[idDiâmetro]]))/(COUNT(SPT[Prof. (m)])*COUNT(PILARES[Pilar])),0)</f>
        <v>1</v>
      </c>
      <c r="C6" s="12">
        <f>IF(ESF[[#This Row],[idDiâmetro]]&lt;&gt;B5,1,IF(ESF[[#This Row],[Prof. (m)]]=0,C5+1,C5))</f>
        <v>1</v>
      </c>
      <c r="D6" s="1">
        <f>IFERROR(IF(D5=MAX(SPT[Prof. (m)]),0,D5+1),0)</f>
        <v>1</v>
      </c>
      <c r="E6" s="1">
        <f>INDEX(SPT[],MATCH(ESF[[#This Row],[Prof. (m)]],SPT[Prof. (m)],0),2)</f>
        <v>2</v>
      </c>
      <c r="F6" s="1" t="str">
        <f>INDEX(SPT[],MATCH(ESF[[#This Row],[Prof. (m)]],SPT[Prof. (m)],0),3)</f>
        <v>Areia siltosa</v>
      </c>
      <c r="G6" s="1">
        <f>INDEX(estacas[],ESF[[#This Row],[idDiâmetro]],MATCH($B$2,estacas[#Headers],0))</f>
        <v>25</v>
      </c>
      <c r="H6" s="1">
        <f>INDEX(estacas[],MATCH(ESF[[#This Row],[Ø (cm)]],estacas[Ø ESF (cm)],0),MATCH(ESF[[#Headers],[Pe ESF (kN)]],estacas[#Headers],0))</f>
        <v>250</v>
      </c>
      <c r="I6" s="4">
        <f>INDEX(K_alpha_C[],MATCH(ESF[[#This Row],[Solo]],K_alpha_C[Solo],0),2)</f>
        <v>0.8</v>
      </c>
      <c r="J6" s="5">
        <f>INDEX(K_alpha_C[],MATCH(ESF[[#This Row],[Solo]],K_alpha_C[Solo],0),3)</f>
        <v>2</v>
      </c>
      <c r="K6" s="4">
        <f>INDEX(F1_F2[],MATCH($D$2,F1_F2[Tipo de estaca],0),2)</f>
        <v>3</v>
      </c>
      <c r="L6" s="4">
        <f>INDEX(F1_F2[],MATCH($D$2,F1_F2[Tipo de estaca],0),3)</f>
        <v>6</v>
      </c>
      <c r="M6" s="4">
        <f>PI()*(ESF[[#This Row],[Ø (cm)]]/100)^2/4</f>
        <v>4.9087385212340517E-2</v>
      </c>
      <c r="N6" s="4">
        <f>PI()*ESF[[#This Row],[Ø (cm)]]/100</f>
        <v>0.78539816339744828</v>
      </c>
      <c r="O6" s="4">
        <f>IF(ESF[[#This Row],[Prof. (m)]]=0,0,ESF[[#This Row],[α (%)]]/100*ESF[[#This Row],[K (MPa)]]*1000*ESF[[#This Row],[NSPT]])</f>
        <v>32</v>
      </c>
      <c r="P6" s="4">
        <f>IF(ESF[[#This Row],[Prof. (m)]]=0,0,(ESF[[#This Row],[K (MPa)]]*1000*ESF[[#This Row],[NSPT]]/ESF[[#This Row],[F1]]*ESF[[#This Row],[Ap (m²)]]+ESF[[#This Row],[U (m)]]/ESF[[#This Row],[F2]]*SUMIFS(ESF[(α∙K∙NL∙ΔL)],ESF[Prof. (m)],"&lt;="&amp;ESF[[#This Row],[Prof. (m)]],ESF[idDiâmetro],ESF[[#This Row],[idDiâmetro]],ESF[idPilar],ESF[[#This Row],[idPilar]]))/'DADOS CAP. CARGA'!$D$2)</f>
        <v>15.184364492350667</v>
      </c>
      <c r="Q6" s="12">
        <f>INDEX(C_alpha_beta[],MATCH(ESF[[#This Row],[Solo]],C_alpha_beta[Solo],0),MATCH(ESF[[#Headers],[C (kPa)]],C_alpha_beta[#Headers],0))</f>
        <v>400</v>
      </c>
      <c r="R6" s="4">
        <f>INDEX(C_alpha_beta[],MATCH(ESF[[#This Row],[Solo]],C_alpha_beta[Solo],0),MATCH(ESF[[#Headers],[α ESF]],C_alpha_beta[#Headers],0))</f>
        <v>0.5</v>
      </c>
      <c r="S6" s="4">
        <f>INDEX(C_alpha_beta[],MATCH(ESF[[#This Row],[Solo]],C_alpha_beta[Solo],0),MATCH(ESF[[#Headers],[β ESF]],C_alpha_beta[#Headers],0))</f>
        <v>0.5</v>
      </c>
      <c r="T6" s="4">
        <f>IF(ESF[[#This Row],[Prof. (m)]]=0,0,10*(ESF[[#This Row],[NSPT]]/3+1))</f>
        <v>16.666666666666664</v>
      </c>
      <c r="U6" s="4">
        <f>(ESF[[#This Row],[α ESF]]*ESF[[#This Row],[C (kPa)]]*ESF[[#This Row],[NSPT]]*ESF[[#This Row],[Ap (m²)]])/'DADOS CAP. CARGA'!$Q$2+(ESF[[#This Row],[β ESF]]*SUMIFS(ESF[10∙(NL/3+1)],ESF[Prof. (m)],"&lt;="&amp;ESF[[#This Row],[Prof. (m)]],ESF[idDiâmetro],ESF[[#This Row],[idDiâmetro]],ESF[idPilar],ESF[[#This Row],[idPilar]])*ESF[[#This Row],[U (m)]])/'DADOS CAP. CARGA'!$S$2</f>
        <v>8.1812308687234196</v>
      </c>
      <c r="V6" s="4">
        <f>IF(SPT!$M$5=1,MIN(ESF[[#This Row],[Pe ESF (kN)]],ESF[[#This Row],[R_AV (kN)]]),IF(SPT!$M$5=2,MIN(ESF[[#This Row],[Pe ESF (kN)]],ESF[[#This Row],[R_DC (kN)]]),MIN(ESF[[#This Row],[Pe ESF (kN)]],ESF[[#This Row],[R_AV (kN)]],ESF[[#This Row],[R_DC (kN)]])))</f>
        <v>8.1812308687234196</v>
      </c>
      <c r="W6" s="4">
        <f>INDEX(PILARES[],ESF[[#This Row],[idPilar]],MATCH("Carga (kN)",PILARES[#Headers],0))*1.4</f>
        <v>3500</v>
      </c>
      <c r="X6" s="12">
        <f>INDEX(PILARES[],ESF[[#This Row],[idPilar]],MATCH(ESF[[#Headers],[ap (cm)]],PILARES[#Headers],0))</f>
        <v>60</v>
      </c>
      <c r="Y6" s="12">
        <f>INDEX(PILARES[],ESF[[#This Row],[idPilar]],MATCH(ESF[[#Headers],[bp (cm)]],PILARES[#Headers],0))</f>
        <v>60</v>
      </c>
      <c r="Z6" s="4">
        <f>SQRT(ESF[[#This Row],[ap (cm)]]*ESF[[#This Row],[bp (cm)]])</f>
        <v>60</v>
      </c>
      <c r="AA6" s="12">
        <f>ESF[[#This Row],[ap (cm)]]*ESF[[#This Row],[bp (cm)]]</f>
        <v>3600</v>
      </c>
      <c r="AB6" s="12">
        <f ca="1">IF(ESF[[#This Row],[Padm∙ε (kN)]]&gt;=ESF[[#This Row],[Padm (kN)]],ROUNDUP(1.05*ESF[[#This Row],[Nsd (kN)]]/ESF[[#This Row],[Padm (kN)]],0),ROUNDUP(1.05*ESF[[#This Row],[Nsd (kN)]]/ESF[[#This Row],[Padm (kN)]],0)+1)</f>
        <v>450</v>
      </c>
      <c r="AC6" s="4" t="str">
        <f ca="1">IFERROR(IF(ESF[[#This Row],[nE]]=1,ESF[[#This Row],[Padm (kN)]],ESF[[#This Row],[Padm (kN)]]*ESF[[#This Row],[nE]]*INDEX(grupoEstacas[],ESF[[#This Row],[nE]],MATCH("ε",grupoEstacas[#Headers],0))),"N.S.")</f>
        <v>N.S.</v>
      </c>
      <c r="AD6" s="4">
        <f ca="1">1.05*ESF[[#This Row],[Nsd (kN)]]/(ESF[[#This Row],[nE]]*PI()*ESF[[#This Row],[Ø (cm)]]^2/4)*10</f>
        <v>0.16636996717872793</v>
      </c>
      <c r="AE6" s="4">
        <f ca="1">IF(ESF[[#This Row],[σ (MPa)]]&lt;INDEX(tipoEstaca[],MATCH($D$2,tipoEstaca[TIPO DE ESTACA],0),MATCH("σmáx (MPa)",tipoEstaca[#Headers],0)),0.4%*PI()*ESF[[#This Row],[Ø (cm)]]^2/4,"N.S.")</f>
        <v>1.9634954084936209</v>
      </c>
      <c r="AF6" s="1">
        <f>INDEX(tipoEstaca[],MATCH($D$2,tipoEstaca[TIPO DE ESTACA],0),MATCH(ESF[[#Headers],[Comprimento (m)]],tipoEstaca[#Headers],0))</f>
        <v>2</v>
      </c>
      <c r="AG6" s="5">
        <f ca="1">ESF[[#This Row],[As,mín (cm²)]]/100^2*ESF[[#This Row],[Comprimento (m)]]*7850</f>
        <v>3.0826877913349846</v>
      </c>
      <c r="AH6" s="4">
        <f ca="1">ESF[[#This Row],[nE]]*ESF[[#This Row],[Prof. (m)]]*ESF[[#This Row],[Ap (m²)]]</f>
        <v>22.089323345553233</v>
      </c>
      <c r="AI6" s="1">
        <f ca="1">IF(ESF[[#This Row],[nE]]=1,0,MAX(3*ESF[[#This Row],[Ø (cm)]],60))</f>
        <v>75</v>
      </c>
      <c r="AJ6" s="1">
        <f ca="1">IF(ESF[[#This Row],[nE]]=1,ESF[[#This Row],[Ø (cm)]]+2*10,MAX(1.5*ESF[[#This Row],[Ø (cm)]],ESF[[#This Row],[Ø (cm)]]+15))</f>
        <v>40</v>
      </c>
      <c r="AK6" s="1" t="str">
        <f ca="1">alturaUtil(ESF[[#This Row],[nE]],ESF[[#This Row],[Ø (cm)]],ESF[[#This Row],[e (cm)]],ESF[[#This Row],[ap,eq (cm)]])</f>
        <v>N.S.</v>
      </c>
      <c r="AL6" s="1" t="str">
        <f ca="1">IFERROR(ESF[[#This Row],[d (cm)]]+arredondarParaCimaMultiplo5cm(MAX(5,SQRT(PI())/2*ESF[[#This Row],[Ø (cm)]]/5)),"N.S.")</f>
        <v>N.S.</v>
      </c>
      <c r="AM6" s="5" t="str">
        <f ca="1">alpha(ESF[[#This Row],[nE]],ESF[[#This Row],[d (cm)]],ESF[[#This Row],[e (cm)]],ESF[[#This Row],[ap,eq (cm)]])</f>
        <v>N.S.</v>
      </c>
      <c r="AN6" s="35" t="str">
        <f ca="1">IFERROR(ESF[[#This Row],[Nsd (kN)]]/(ESF[[#This Row],[Ap (cm²)]]*SIN(ESF[[#This Row],[α]])^2),"N.S.")</f>
        <v>N.S.</v>
      </c>
      <c r="AO6" s="35" t="str">
        <f ca="1">IFERROR(ESF[[#This Row],[Nsd (kN)]]/(ESF[[#This Row],[nE]]*PI()*ESF[[#This Row],[Ø (cm)]]^2/4*SIN(ESF[[#This Row],[α]])^2),"N.S.")</f>
        <v>N.S.</v>
      </c>
      <c r="AP6" s="4" t="str">
        <f ca="1">IFERROR(INDEX(grupoEstacas[],ESF[[#This Row],[nE]],MATCH("coef. Blévot",grupoEstacas[#Headers],0)),"N.S.")</f>
        <v>N.S.</v>
      </c>
      <c r="AQ6" s="35" t="str">
        <f ca="1">IFERROR(ESF[[#This Row],[coef. Blévot]]*0.9*INDEX(tipoEstaca[],MATCH($D$2,tipoEstaca[TIPO DE ESTACA],0),MATCH("fcd (kN/cm²)",tipoEstaca[#Headers],0)),"N.S.")</f>
        <v>N.S.</v>
      </c>
      <c r="AR6" s="1" t="str">
        <f ca="1">IF(AND(ESF[[#This Row],[cd,b,pil (kN/cm²)]]&lt;=ESF[[#This Row],[cd,b,lim (kN/cm²)]],ESF[[#This Row],[cd,b,est (kN/cm²)]]&lt;=ESF[[#This Row],[cd,b,lim (kN/cm²)]]),"OK","ERRO")</f>
        <v>OK</v>
      </c>
      <c r="AS6" s="4" t="str">
        <f ca="1">As_lado(ESF[[#This Row],[nE]],ESF[[#This Row],[Nsd (kN)]],ESF[[#This Row],[d (cm)]],ESF[[#This Row],[e (cm)]],ESF[[#This Row],[ap,eq (cm)]])</f>
        <v>N.S.</v>
      </c>
      <c r="AT6" s="4" t="str">
        <f ca="1">IF(ESF[[#This Row],[nE]]=1,ESF[[#This Row],[As,lado (cm²)]],IF(ESF[[#This Row],[nE]]=2,0.075*2*ESF[a (cm)],"N.A."))</f>
        <v>N.A.</v>
      </c>
      <c r="AU6" s="4" t="str">
        <f ca="1">IFERROR(IF(ESF[[#This Row],[nE]]=1,"N.A.",0.2*ESF[[#This Row],[As,lado (cm²)]]),"N.S.")</f>
        <v>N.S.</v>
      </c>
      <c r="AV6" s="4" t="str">
        <f ca="1">As_malha(ESF[[#This Row],[nE]],ESF[[#This Row],[As,lado (cm²)]],ESF[[#This Row],[Nsd (kN)]])</f>
        <v>N.S.</v>
      </c>
      <c r="AW6" s="4" t="str">
        <f ca="1">As_susp_tot(ESF[[#This Row],[nE]],ESF[[#This Row],[Nsd (kN)]])</f>
        <v>N.S.</v>
      </c>
      <c r="AX6" s="4" t="str">
        <f ca="1">Asp_face(ESF[[#This Row],[nE]],ESF[[#This Row],[As,lado (cm²)]])</f>
        <v>N.S.</v>
      </c>
      <c r="AY6" s="5" t="str">
        <f ca="1">acoBloco(ESF[[#This Row],[nE]],ESF[[#This Row],[e (cm)]],ESF[[#This Row],[a (cm)]],ESF[[#This Row],[h (cm)]],ESF[[#This Row],[As,lado (cm²)]],ESF[[#This Row],[Asp e Asw (cm²/m)]],ESF[[#This Row],[As,sup (cm²)]],ESF[[#This Row],[As,malha (cm²)]],ESF[[#This Row],[As,susp,tot (cm²)]],ESF[[#This Row],[Asp,face (cm²)]])</f>
        <v>N.S.</v>
      </c>
      <c r="AZ6" s="4" t="str">
        <f ca="1">concretoBloco(ESF[[#This Row],[nE]],ESF[[#This Row],[e (cm)]],ESF[[#This Row],[a (cm)]],ESF[[#This Row],[h (cm)]])</f>
        <v>N.S.</v>
      </c>
      <c r="BA6" s="5">
        <f ca="1">SUM(ESF[[#This Row],[Aço Est (kg)]],ESF[[#This Row],[Aço Bloco (kg)]])</f>
        <v>3.0826877913349846</v>
      </c>
      <c r="BB6" s="4">
        <f>INDEX(composicoes[],MATCH(95580,composicoes[CÓDIGO],0),MATCH("CUSTO TOTAL",composicoes[#Headers],0))</f>
        <v>10.46</v>
      </c>
      <c r="BC6" s="4">
        <f ca="1">SUM(ESF[[#This Row],[Conc Est (m³)]],ESF[[#This Row],[Conc Bloco (m³)]])</f>
        <v>22.089323345553233</v>
      </c>
      <c r="BD6" s="4">
        <f>INDEX(composicoes[],MATCH(94966,composicoes[CÓDIGO],0),MATCH("CUSTO TOTAL",composicoes[#Headers],0))</f>
        <v>439.52</v>
      </c>
      <c r="BE6" s="38">
        <f ca="1">ESF[[#This Row],[Aço (kg)]]*ESF[[#This Row],[Aço (R$/kg)]]+ESF[[#This Row],[Conc (m³)]]*ESF[[#This Row],[Conc (R$/m³)]]</f>
        <v>9740.9443111349192</v>
      </c>
      <c r="BF6" s="4" t="str">
        <f ca="1">IF(COUNTIF(ESF[#This Row],"N.S.")&gt;0,"lim.","OK")</f>
        <v>lim.</v>
      </c>
      <c r="BG6" s="4" t="str">
        <f>IF(ESF[[#This Row],[Prof. (m)]]&lt;3,"lim.","OK")</f>
        <v>lim.</v>
      </c>
      <c r="BH6" s="4" t="str">
        <f>IF(ESF[[#This Row],[Prof. (m)]]&gt;=8*ESF[[#This Row],[Ø (cm)]]/100,"OK","lim.")</f>
        <v>lim.</v>
      </c>
      <c r="BI6" s="4" t="str">
        <f>IF(AND(SPT!$F$3&lt;&gt;"",ESF[[#This Row],[Prof. (m)]]&gt;=SPT!$F$3),"lim.","OK")</f>
        <v>OK</v>
      </c>
      <c r="BJ6" s="4" t="str">
        <f>IF(COUNTIFS(ESF[Solo],"Areia",ESF[Prof. (m)],"&lt;="&amp;ESF[[#This Row],[Prof. (m)]])&gt;=1,"lim.","OK")</f>
        <v>OK</v>
      </c>
      <c r="BK6" s="4" t="str">
        <f ca="1">IF(ESF[[#This Row],[Verif. Biela]]="OK","OK","lim.")</f>
        <v>OK</v>
      </c>
      <c r="BL6" s="4" t="str">
        <f ca="1">IF(COUNTA(ESF[[#This Row],[Nº Est.]:[Biela comp.]])=COUNTIF(ESF[[#This Row],[Nº Est.]:[Biela comp.]],"OK"),"OK","lim.")</f>
        <v>lim.</v>
      </c>
      <c r="BM6" s="4" t="str">
        <f ca="1">IF(ESF[[#This Row],[Controle]]="OK",ESF[[#This Row],[nE]]&amp;" Ø"&amp;ESF[[#This Row],[Ø (cm)]]&amp;"cm Prof. "&amp;ESF[[#This Row],[Prof. (m)]]&amp;" m","")</f>
        <v/>
      </c>
      <c r="BN6" s="4" t="str">
        <f ca="1">IF(ESF[[#This Row],[idDimensionamento]]="","",ESF[[#This Row],[idPilar]]&amp;ESF[[#This Row],[idDimensionamento]])</f>
        <v/>
      </c>
    </row>
    <row r="7" spans="2:66" x14ac:dyDescent="0.25">
      <c r="B7" s="12">
        <f>ROUNDUP((ROW(ESF[[#This Row],[idDiâmetro]])-ROW(ESF[[#Headers],[idDiâmetro]]))/(COUNT(SPT[Prof. (m)])*COUNT(PILARES[Pilar])),0)</f>
        <v>1</v>
      </c>
      <c r="C7" s="12">
        <f>IF(ESF[[#This Row],[idDiâmetro]]&lt;&gt;B6,1,IF(ESF[[#This Row],[Prof. (m)]]=0,C6+1,C6))</f>
        <v>1</v>
      </c>
      <c r="D7" s="1">
        <f>IFERROR(IF(D6=MAX(SPT[Prof. (m)]),0,D6+1),0)</f>
        <v>2</v>
      </c>
      <c r="E7" s="1">
        <f>INDEX(SPT[],MATCH(ESF[[#This Row],[Prof. (m)]],SPT[Prof. (m)],0),2)</f>
        <v>2</v>
      </c>
      <c r="F7" s="1" t="str">
        <f>INDEX(SPT[],MATCH(ESF[[#This Row],[Prof. (m)]],SPT[Prof. (m)],0),3)</f>
        <v>Areia siltosa</v>
      </c>
      <c r="G7" s="1">
        <f>INDEX(estacas[],ESF[[#This Row],[idDiâmetro]],MATCH($B$2,estacas[#Headers],0))</f>
        <v>25</v>
      </c>
      <c r="H7" s="1">
        <f>INDEX(estacas[],MATCH(ESF[[#This Row],[Ø (cm)]],estacas[Ø ESF (cm)],0),MATCH(ESF[[#Headers],[Pe ESF (kN)]],estacas[#Headers],0))</f>
        <v>250</v>
      </c>
      <c r="I7" s="4">
        <f>INDEX(K_alpha_C[],MATCH(ESF[[#This Row],[Solo]],K_alpha_C[Solo],0),2)</f>
        <v>0.8</v>
      </c>
      <c r="J7" s="5">
        <f>INDEX(K_alpha_C[],MATCH(ESF[[#This Row],[Solo]],K_alpha_C[Solo],0),3)</f>
        <v>2</v>
      </c>
      <c r="K7" s="4">
        <f>INDEX(F1_F2[],MATCH($D$2,F1_F2[Tipo de estaca],0),2)</f>
        <v>3</v>
      </c>
      <c r="L7" s="4">
        <f>INDEX(F1_F2[],MATCH($D$2,F1_F2[Tipo de estaca],0),3)</f>
        <v>6</v>
      </c>
      <c r="M7" s="4">
        <f>PI()*(ESF[[#This Row],[Ø (cm)]]/100)^2/4</f>
        <v>4.9087385212340517E-2</v>
      </c>
      <c r="N7" s="4">
        <f>PI()*ESF[[#This Row],[Ø (cm)]]/100</f>
        <v>0.78539816339744828</v>
      </c>
      <c r="O7" s="4">
        <f>IF(ESF[[#This Row],[Prof. (m)]]=0,0,ESF[[#This Row],[α (%)]]/100*ESF[[#This Row],[K (MPa)]]*1000*ESF[[#This Row],[NSPT]])</f>
        <v>32</v>
      </c>
      <c r="P7" s="4">
        <f>IF(ESF[[#This Row],[Prof. (m)]]=0,0,(ESF[[#This Row],[K (MPa)]]*1000*ESF[[#This Row],[NSPT]]/ESF[[#This Row],[F1]]*ESF[[#This Row],[Ap (m²)]]+ESF[[#This Row],[U (m)]]/ESF[[#This Row],[F2]]*SUMIFS(ESF[(α∙K∙NL∙ΔL)],ESF[Prof. (m)],"&lt;="&amp;ESF[[#This Row],[Prof. (m)]],ESF[idDiâmetro],ESF[[#This Row],[idDiâmetro]],ESF[idPilar],ESF[[#This Row],[idPilar]]))/'DADOS CAP. CARGA'!$D$2)</f>
        <v>17.278759594743864</v>
      </c>
      <c r="Q7" s="12">
        <f>INDEX(C_alpha_beta[],MATCH(ESF[[#This Row],[Solo]],C_alpha_beta[Solo],0),MATCH(ESF[[#Headers],[C (kPa)]],C_alpha_beta[#Headers],0))</f>
        <v>400</v>
      </c>
      <c r="R7" s="4">
        <f>INDEX(C_alpha_beta[],MATCH(ESF[[#This Row],[Solo]],C_alpha_beta[Solo],0),MATCH(ESF[[#Headers],[α ESF]],C_alpha_beta[#Headers],0))</f>
        <v>0.5</v>
      </c>
      <c r="S7" s="4">
        <f>INDEX(C_alpha_beta[],MATCH(ESF[[#This Row],[Solo]],C_alpha_beta[Solo],0),MATCH(ESF[[#Headers],[β ESF]],C_alpha_beta[#Headers],0))</f>
        <v>0.5</v>
      </c>
      <c r="T7" s="4">
        <f>IF(ESF[[#This Row],[Prof. (m)]]=0,0,10*(ESF[[#This Row],[NSPT]]/3+1))</f>
        <v>16.666666666666664</v>
      </c>
      <c r="U7" s="4">
        <f>(ESF[[#This Row],[α ESF]]*ESF[[#This Row],[C (kPa)]]*ESF[[#This Row],[NSPT]]*ESF[[#This Row],[Ap (m²)]])/'DADOS CAP. CARGA'!$Q$2+(ESF[[#This Row],[β ESF]]*SUMIFS(ESF[10∙(NL/3+1)],ESF[Prof. (m)],"&lt;="&amp;ESF[[#This Row],[Prof. (m)]],ESF[idDiâmetro],ESF[[#This Row],[idDiâmetro]],ESF[idPilar],ESF[[#This Row],[idPilar]])*ESF[[#This Row],[U (m)]])/'DADOS CAP. CARGA'!$S$2</f>
        <v>11.453723216212786</v>
      </c>
      <c r="V7" s="4">
        <f>IF(SPT!$M$5=1,MIN(ESF[[#This Row],[Pe ESF (kN)]],ESF[[#This Row],[R_AV (kN)]]),IF(SPT!$M$5=2,MIN(ESF[[#This Row],[Pe ESF (kN)]],ESF[[#This Row],[R_DC (kN)]]),MIN(ESF[[#This Row],[Pe ESF (kN)]],ESF[[#This Row],[R_AV (kN)]],ESF[[#This Row],[R_DC (kN)]])))</f>
        <v>11.453723216212786</v>
      </c>
      <c r="W7" s="4">
        <f>INDEX(PILARES[],ESF[[#This Row],[idPilar]],MATCH("Carga (kN)",PILARES[#Headers],0))*1.4</f>
        <v>3500</v>
      </c>
      <c r="X7" s="12">
        <f>INDEX(PILARES[],ESF[[#This Row],[idPilar]],MATCH(ESF[[#Headers],[ap (cm)]],PILARES[#Headers],0))</f>
        <v>60</v>
      </c>
      <c r="Y7" s="12">
        <f>INDEX(PILARES[],ESF[[#This Row],[idPilar]],MATCH(ESF[[#Headers],[bp (cm)]],PILARES[#Headers],0))</f>
        <v>60</v>
      </c>
      <c r="Z7" s="4">
        <f>SQRT(ESF[[#This Row],[ap (cm)]]*ESF[[#This Row],[bp (cm)]])</f>
        <v>60</v>
      </c>
      <c r="AA7" s="12">
        <f>ESF[[#This Row],[ap (cm)]]*ESF[[#This Row],[bp (cm)]]</f>
        <v>3600</v>
      </c>
      <c r="AB7" s="12">
        <f ca="1">IF(ESF[[#This Row],[Padm∙ε (kN)]]&gt;=ESF[[#This Row],[Padm (kN)]],ROUNDUP(1.05*ESF[[#This Row],[Nsd (kN)]]/ESF[[#This Row],[Padm (kN)]],0),ROUNDUP(1.05*ESF[[#This Row],[Nsd (kN)]]/ESF[[#This Row],[Padm (kN)]],0)+1)</f>
        <v>321</v>
      </c>
      <c r="AC7" s="4" t="str">
        <f ca="1">IFERROR(IF(ESF[[#This Row],[nE]]=1,ESF[[#This Row],[Padm (kN)]],ESF[[#This Row],[Padm (kN)]]*ESF[[#This Row],[nE]]*INDEX(grupoEstacas[],ESF[[#This Row],[nE]],MATCH("ε",grupoEstacas[#Headers],0))),"N.S.")</f>
        <v>N.S.</v>
      </c>
      <c r="AD7" s="4">
        <f ca="1">1.05*ESF[[#This Row],[Nsd (kN)]]/(ESF[[#This Row],[nE]]*PI()*ESF[[#This Row],[Ø (cm)]]^2/4)*10</f>
        <v>0.23322892595148775</v>
      </c>
      <c r="AE7" s="4">
        <f ca="1">IF(ESF[[#This Row],[σ (MPa)]]&lt;INDEX(tipoEstaca[],MATCH($D$2,tipoEstaca[TIPO DE ESTACA],0),MATCH("σmáx (MPa)",tipoEstaca[#Headers],0)),0.4%*PI()*ESF[[#This Row],[Ø (cm)]]^2/4,"N.S.")</f>
        <v>1.9634954084936209</v>
      </c>
      <c r="AF7" s="1">
        <f>INDEX(tipoEstaca[],MATCH($D$2,tipoEstaca[TIPO DE ESTACA],0),MATCH(ESF[[#Headers],[Comprimento (m)]],tipoEstaca[#Headers],0))</f>
        <v>2</v>
      </c>
      <c r="AG7" s="5">
        <f ca="1">ESF[[#This Row],[As,mín (cm²)]]/100^2*ESF[[#This Row],[Comprimento (m)]]*7850</f>
        <v>3.0826877913349846</v>
      </c>
      <c r="AH7" s="4">
        <f ca="1">ESF[[#This Row],[nE]]*ESF[[#This Row],[Prof. (m)]]*ESF[[#This Row],[Ap (m²)]]</f>
        <v>31.514101306322612</v>
      </c>
      <c r="AI7" s="1">
        <f ca="1">IF(ESF[[#This Row],[nE]]=1,0,MAX(3*ESF[[#This Row],[Ø (cm)]],60))</f>
        <v>75</v>
      </c>
      <c r="AJ7" s="1">
        <f ca="1">IF(ESF[[#This Row],[nE]]=1,ESF[[#This Row],[Ø (cm)]]+2*10,MAX(1.5*ESF[[#This Row],[Ø (cm)]],ESF[[#This Row],[Ø (cm)]]+15))</f>
        <v>40</v>
      </c>
      <c r="AK7" s="1" t="str">
        <f ca="1">alturaUtil(ESF[[#This Row],[nE]],ESF[[#This Row],[Ø (cm)]],ESF[[#This Row],[e (cm)]],ESF[[#This Row],[ap,eq (cm)]])</f>
        <v>N.S.</v>
      </c>
      <c r="AL7" s="1" t="str">
        <f ca="1">IFERROR(ESF[[#This Row],[d (cm)]]+arredondarParaCimaMultiplo5cm(MAX(5,SQRT(PI())/2*ESF[[#This Row],[Ø (cm)]]/5)),"N.S.")</f>
        <v>N.S.</v>
      </c>
      <c r="AM7" s="5" t="str">
        <f ca="1">alpha(ESF[[#This Row],[nE]],ESF[[#This Row],[d (cm)]],ESF[[#This Row],[e (cm)]],ESF[[#This Row],[ap,eq (cm)]])</f>
        <v>N.S.</v>
      </c>
      <c r="AN7" s="35" t="str">
        <f ca="1">IFERROR(ESF[[#This Row],[Nsd (kN)]]/(ESF[[#This Row],[Ap (cm²)]]*SIN(ESF[[#This Row],[α]])^2),"N.S.")</f>
        <v>N.S.</v>
      </c>
      <c r="AO7" s="35" t="str">
        <f ca="1">IFERROR(ESF[[#This Row],[Nsd (kN)]]/(ESF[[#This Row],[nE]]*PI()*ESF[[#This Row],[Ø (cm)]]^2/4*SIN(ESF[[#This Row],[α]])^2),"N.S.")</f>
        <v>N.S.</v>
      </c>
      <c r="AP7" s="4" t="str">
        <f ca="1">IFERROR(INDEX(grupoEstacas[],ESF[[#This Row],[nE]],MATCH("coef. Blévot",grupoEstacas[#Headers],0)),"N.S.")</f>
        <v>N.S.</v>
      </c>
      <c r="AQ7" s="35" t="str">
        <f ca="1">IFERROR(ESF[[#This Row],[coef. Blévot]]*0.9*INDEX(tipoEstaca[],MATCH($D$2,tipoEstaca[TIPO DE ESTACA],0),MATCH("fcd (kN/cm²)",tipoEstaca[#Headers],0)),"N.S.")</f>
        <v>N.S.</v>
      </c>
      <c r="AR7" s="1" t="str">
        <f ca="1">IF(AND(ESF[[#This Row],[cd,b,pil (kN/cm²)]]&lt;=ESF[[#This Row],[cd,b,lim (kN/cm²)]],ESF[[#This Row],[cd,b,est (kN/cm²)]]&lt;=ESF[[#This Row],[cd,b,lim (kN/cm²)]]),"OK","ERRO")</f>
        <v>OK</v>
      </c>
      <c r="AS7" s="4" t="str">
        <f ca="1">As_lado(ESF[[#This Row],[nE]],ESF[[#This Row],[Nsd (kN)]],ESF[[#This Row],[d (cm)]],ESF[[#This Row],[e (cm)]],ESF[[#This Row],[ap,eq (cm)]])</f>
        <v>N.S.</v>
      </c>
      <c r="AT7" s="4" t="str">
        <f ca="1">IF(ESF[[#This Row],[nE]]=1,ESF[[#This Row],[As,lado (cm²)]],IF(ESF[[#This Row],[nE]]=2,0.075*2*ESF[a (cm)],"N.A."))</f>
        <v>N.A.</v>
      </c>
      <c r="AU7" s="4" t="str">
        <f ca="1">IFERROR(IF(ESF[[#This Row],[nE]]=1,"N.A.",0.2*ESF[[#This Row],[As,lado (cm²)]]),"N.S.")</f>
        <v>N.S.</v>
      </c>
      <c r="AV7" s="4" t="str">
        <f ca="1">As_malha(ESF[[#This Row],[nE]],ESF[[#This Row],[As,lado (cm²)]],ESF[[#This Row],[Nsd (kN)]])</f>
        <v>N.S.</v>
      </c>
      <c r="AW7" s="4" t="str">
        <f ca="1">As_susp_tot(ESF[[#This Row],[nE]],ESF[[#This Row],[Nsd (kN)]])</f>
        <v>N.S.</v>
      </c>
      <c r="AX7" s="4" t="str">
        <f ca="1">Asp_face(ESF[[#This Row],[nE]],ESF[[#This Row],[As,lado (cm²)]])</f>
        <v>N.S.</v>
      </c>
      <c r="AY7" s="5" t="str">
        <f ca="1">acoBloco(ESF[[#This Row],[nE]],ESF[[#This Row],[e (cm)]],ESF[[#This Row],[a (cm)]],ESF[[#This Row],[h (cm)]],ESF[[#This Row],[As,lado (cm²)]],ESF[[#This Row],[Asp e Asw (cm²/m)]],ESF[[#This Row],[As,sup (cm²)]],ESF[[#This Row],[As,malha (cm²)]],ESF[[#This Row],[As,susp,tot (cm²)]],ESF[[#This Row],[Asp,face (cm²)]])</f>
        <v>N.S.</v>
      </c>
      <c r="AZ7" s="4" t="str">
        <f ca="1">concretoBloco(ESF[[#This Row],[nE]],ESF[[#This Row],[e (cm)]],ESF[[#This Row],[a (cm)]],ESF[[#This Row],[h (cm)]])</f>
        <v>N.S.</v>
      </c>
      <c r="BA7" s="5">
        <f ca="1">SUM(ESF[[#This Row],[Aço Est (kg)]],ESF[[#This Row],[Aço Bloco (kg)]])</f>
        <v>3.0826877913349846</v>
      </c>
      <c r="BB7" s="4">
        <f>INDEX(composicoes[],MATCH(95580,composicoes[CÓDIGO],0),MATCH("CUSTO TOTAL",composicoes[#Headers],0))</f>
        <v>10.46</v>
      </c>
      <c r="BC7" s="4">
        <f ca="1">SUM(ESF[[#This Row],[Conc Est (m³)]],ESF[[#This Row],[Conc Bloco (m³)]])</f>
        <v>31.514101306322612</v>
      </c>
      <c r="BD7" s="4">
        <f>INDEX(composicoes[],MATCH(94966,composicoes[CÓDIGO],0),MATCH("CUSTO TOTAL",composicoes[#Headers],0))</f>
        <v>439.52</v>
      </c>
      <c r="BE7" s="38">
        <f ca="1">ESF[[#This Row],[Aço (kg)]]*ESF[[#This Row],[Aço (R$/kg)]]+ESF[[#This Row],[Conc (m³)]]*ESF[[#This Row],[Conc (R$/m³)]]</f>
        <v>13883.322720452277</v>
      </c>
      <c r="BF7" s="4" t="str">
        <f ca="1">IF(COUNTIF(ESF[#This Row],"N.S.")&gt;0,"lim.","OK")</f>
        <v>lim.</v>
      </c>
      <c r="BG7" s="4" t="str">
        <f>IF(ESF[[#This Row],[Prof. (m)]]&lt;3,"lim.","OK")</f>
        <v>lim.</v>
      </c>
      <c r="BH7" s="4" t="str">
        <f>IF(ESF[[#This Row],[Prof. (m)]]&gt;=8*ESF[[#This Row],[Ø (cm)]]/100,"OK","lim.")</f>
        <v>OK</v>
      </c>
      <c r="BI7" s="4" t="str">
        <f>IF(AND(SPT!$F$3&lt;&gt;"",ESF[[#This Row],[Prof. (m)]]&gt;=SPT!$F$3),"lim.","OK")</f>
        <v>OK</v>
      </c>
      <c r="BJ7" s="4" t="str">
        <f>IF(COUNTIFS(ESF[Solo],"Areia",ESF[Prof. (m)],"&lt;="&amp;ESF[[#This Row],[Prof. (m)]])&gt;=1,"lim.","OK")</f>
        <v>OK</v>
      </c>
      <c r="BK7" s="4" t="str">
        <f ca="1">IF(ESF[[#This Row],[Verif. Biela]]="OK","OK","lim.")</f>
        <v>OK</v>
      </c>
      <c r="BL7" s="4" t="str">
        <f ca="1">IF(COUNTA(ESF[[#This Row],[Nº Est.]:[Biela comp.]])=COUNTIF(ESF[[#This Row],[Nº Est.]:[Biela comp.]],"OK"),"OK","lim.")</f>
        <v>lim.</v>
      </c>
      <c r="BM7" s="4" t="str">
        <f ca="1">IF(ESF[[#This Row],[Controle]]="OK",ESF[[#This Row],[nE]]&amp;" Ø"&amp;ESF[[#This Row],[Ø (cm)]]&amp;"cm Prof. "&amp;ESF[[#This Row],[Prof. (m)]]&amp;" m","")</f>
        <v/>
      </c>
      <c r="BN7" s="4" t="str">
        <f ca="1">IF(ESF[[#This Row],[idDimensionamento]]="","",ESF[[#This Row],[idPilar]]&amp;ESF[[#This Row],[idDimensionamento]])</f>
        <v/>
      </c>
    </row>
    <row r="8" spans="2:66" x14ac:dyDescent="0.25">
      <c r="B8" s="12">
        <f>ROUNDUP((ROW(ESF[[#This Row],[idDiâmetro]])-ROW(ESF[[#Headers],[idDiâmetro]]))/(COUNT(SPT[Prof. (m)])*COUNT(PILARES[Pilar])),0)</f>
        <v>1</v>
      </c>
      <c r="C8" s="12">
        <f>IF(ESF[[#This Row],[idDiâmetro]]&lt;&gt;B7,1,IF(ESF[[#This Row],[Prof. (m)]]=0,C7+1,C7))</f>
        <v>1</v>
      </c>
      <c r="D8" s="1">
        <f>IFERROR(IF(D7=MAX(SPT[Prof. (m)]),0,D7+1),0)</f>
        <v>3</v>
      </c>
      <c r="E8" s="1">
        <f>INDEX(SPT[],MATCH(ESF[[#This Row],[Prof. (m)]],SPT[Prof. (m)],0),2)</f>
        <v>4</v>
      </c>
      <c r="F8" s="1" t="str">
        <f>INDEX(SPT[],MATCH(ESF[[#This Row],[Prof. (m)]],SPT[Prof. (m)],0),3)</f>
        <v>Areia siltosa</v>
      </c>
      <c r="G8" s="1">
        <f>INDEX(estacas[],ESF[[#This Row],[idDiâmetro]],MATCH($B$2,estacas[#Headers],0))</f>
        <v>25</v>
      </c>
      <c r="H8" s="1">
        <f>INDEX(estacas[],MATCH(ESF[[#This Row],[Ø (cm)]],estacas[Ø ESF (cm)],0),MATCH(ESF[[#Headers],[Pe ESF (kN)]],estacas[#Headers],0))</f>
        <v>250</v>
      </c>
      <c r="I8" s="4">
        <f>INDEX(K_alpha_C[],MATCH(ESF[[#This Row],[Solo]],K_alpha_C[Solo],0),2)</f>
        <v>0.8</v>
      </c>
      <c r="J8" s="5">
        <f>INDEX(K_alpha_C[],MATCH(ESF[[#This Row],[Solo]],K_alpha_C[Solo],0),3)</f>
        <v>2</v>
      </c>
      <c r="K8" s="4">
        <f>INDEX(F1_F2[],MATCH($D$2,F1_F2[Tipo de estaca],0),2)</f>
        <v>3</v>
      </c>
      <c r="L8" s="4">
        <f>INDEX(F1_F2[],MATCH($D$2,F1_F2[Tipo de estaca],0),3)</f>
        <v>6</v>
      </c>
      <c r="M8" s="4">
        <f>PI()*(ESF[[#This Row],[Ø (cm)]]/100)^2/4</f>
        <v>4.9087385212340517E-2</v>
      </c>
      <c r="N8" s="4">
        <f>PI()*ESF[[#This Row],[Ø (cm)]]/100</f>
        <v>0.78539816339744828</v>
      </c>
      <c r="O8" s="4">
        <f>IF(ESF[[#This Row],[Prof. (m)]]=0,0,ESF[[#This Row],[α (%)]]/100*ESF[[#This Row],[K (MPa)]]*1000*ESF[[#This Row],[NSPT]])</f>
        <v>64</v>
      </c>
      <c r="P8" s="4">
        <f>IF(ESF[[#This Row],[Prof. (m)]]=0,0,(ESF[[#This Row],[K (MPa)]]*1000*ESF[[#This Row],[NSPT]]/ESF[[#This Row],[F1]]*ESF[[#This Row],[Ap (m²)]]+ESF[[#This Row],[U (m)]]/ESF[[#This Row],[F2]]*SUMIFS(ESF[(α∙K∙NL∙ΔL)],ESF[Prof. (m)],"&lt;="&amp;ESF[[#This Row],[Prof. (m)]],ESF[idDiâmetro],ESF[[#This Row],[idDiâmetro]],ESF[idPilar],ESF[[#This Row],[idPilar]]))/'DADOS CAP. CARGA'!$D$2)</f>
        <v>34.557519189487728</v>
      </c>
      <c r="Q8" s="12">
        <f>INDEX(C_alpha_beta[],MATCH(ESF[[#This Row],[Solo]],C_alpha_beta[Solo],0),MATCH(ESF[[#Headers],[C (kPa)]],C_alpha_beta[#Headers],0))</f>
        <v>400</v>
      </c>
      <c r="R8" s="4">
        <f>INDEX(C_alpha_beta[],MATCH(ESF[[#This Row],[Solo]],C_alpha_beta[Solo],0),MATCH(ESF[[#Headers],[α ESF]],C_alpha_beta[#Headers],0))</f>
        <v>0.5</v>
      </c>
      <c r="S8" s="4">
        <f>INDEX(C_alpha_beta[],MATCH(ESF[[#This Row],[Solo]],C_alpha_beta[Solo],0),MATCH(ESF[[#Headers],[β ESF]],C_alpha_beta[#Headers],0))</f>
        <v>0.5</v>
      </c>
      <c r="T8" s="4">
        <f>IF(ESF[[#This Row],[Prof. (m)]]=0,0,10*(ESF[[#This Row],[NSPT]]/3+1))</f>
        <v>23.333333333333329</v>
      </c>
      <c r="U8" s="4">
        <f>(ESF[[#This Row],[α ESF]]*ESF[[#This Row],[C (kPa)]]*ESF[[#This Row],[NSPT]]*ESF[[#This Row],[Ap (m²)]])/'DADOS CAP. CARGA'!$Q$2+(ESF[[#This Row],[β ESF]]*SUMIFS(ESF[10∙(NL/3+1)],ESF[Prof. (m)],"&lt;="&amp;ESF[[#This Row],[Prof. (m)]],ESF[idDiâmetro],ESF[[#This Row],[idDiâmetro]],ESF[idPilar],ESF[[#This Row],[idPilar]])*ESF[[#This Row],[U (m)]])/'DADOS CAP. CARGA'!$S$2</f>
        <v>20.943951023931952</v>
      </c>
      <c r="V8" s="4">
        <f>IF(SPT!$M$5=1,MIN(ESF[[#This Row],[Pe ESF (kN)]],ESF[[#This Row],[R_AV (kN)]]),IF(SPT!$M$5=2,MIN(ESF[[#This Row],[Pe ESF (kN)]],ESF[[#This Row],[R_DC (kN)]]),MIN(ESF[[#This Row],[Pe ESF (kN)]],ESF[[#This Row],[R_AV (kN)]],ESF[[#This Row],[R_DC (kN)]])))</f>
        <v>20.943951023931952</v>
      </c>
      <c r="W8" s="4">
        <f>INDEX(PILARES[],ESF[[#This Row],[idPilar]],MATCH("Carga (kN)",PILARES[#Headers],0))*1.4</f>
        <v>3500</v>
      </c>
      <c r="X8" s="12">
        <f>INDEX(PILARES[],ESF[[#This Row],[idPilar]],MATCH(ESF[[#Headers],[ap (cm)]],PILARES[#Headers],0))</f>
        <v>60</v>
      </c>
      <c r="Y8" s="12">
        <f>INDEX(PILARES[],ESF[[#This Row],[idPilar]],MATCH(ESF[[#Headers],[bp (cm)]],PILARES[#Headers],0))</f>
        <v>60</v>
      </c>
      <c r="Z8" s="4">
        <f>SQRT(ESF[[#This Row],[ap (cm)]]*ESF[[#This Row],[bp (cm)]])</f>
        <v>60</v>
      </c>
      <c r="AA8" s="12">
        <f>ESF[[#This Row],[ap (cm)]]*ESF[[#This Row],[bp (cm)]]</f>
        <v>3600</v>
      </c>
      <c r="AB8" s="12">
        <f ca="1">IF(ESF[[#This Row],[Padm∙ε (kN)]]&gt;=ESF[[#This Row],[Padm (kN)]],ROUNDUP(1.05*ESF[[#This Row],[Nsd (kN)]]/ESF[[#This Row],[Padm (kN)]],0),ROUNDUP(1.05*ESF[[#This Row],[Nsd (kN)]]/ESF[[#This Row],[Padm (kN)]],0)+1)</f>
        <v>176</v>
      </c>
      <c r="AC8" s="4" t="str">
        <f ca="1">IFERROR(IF(ESF[[#This Row],[nE]]=1,ESF[[#This Row],[Padm (kN)]],ESF[[#This Row],[Padm (kN)]]*ESF[[#This Row],[nE]]*INDEX(grupoEstacas[],ESF[[#This Row],[nE]],MATCH("ε",grupoEstacas[#Headers],0))),"N.S.")</f>
        <v>N.S.</v>
      </c>
      <c r="AD8" s="4">
        <f ca="1">1.05*ESF[[#This Row],[Nsd (kN)]]/(ESF[[#This Row],[nE]]*PI()*ESF[[#This Row],[Ø (cm)]]^2/4)*10</f>
        <v>0.42537775699106573</v>
      </c>
      <c r="AE8" s="4">
        <f ca="1">IF(ESF[[#This Row],[σ (MPa)]]&lt;INDEX(tipoEstaca[],MATCH($D$2,tipoEstaca[TIPO DE ESTACA],0),MATCH("σmáx (MPa)",tipoEstaca[#Headers],0)),0.4%*PI()*ESF[[#This Row],[Ø (cm)]]^2/4,"N.S.")</f>
        <v>1.9634954084936209</v>
      </c>
      <c r="AF8" s="1">
        <f>INDEX(tipoEstaca[],MATCH($D$2,tipoEstaca[TIPO DE ESTACA],0),MATCH(ESF[[#Headers],[Comprimento (m)]],tipoEstaca[#Headers],0))</f>
        <v>2</v>
      </c>
      <c r="AG8" s="5">
        <f ca="1">ESF[[#This Row],[As,mín (cm²)]]/100^2*ESF[[#This Row],[Comprimento (m)]]*7850</f>
        <v>3.0826877913349846</v>
      </c>
      <c r="AH8" s="4">
        <f ca="1">ESF[[#This Row],[nE]]*ESF[[#This Row],[Prof. (m)]]*ESF[[#This Row],[Ap (m²)]]</f>
        <v>25.918139392115794</v>
      </c>
      <c r="AI8" s="1">
        <f ca="1">IF(ESF[[#This Row],[nE]]=1,0,MAX(3*ESF[[#This Row],[Ø (cm)]],60))</f>
        <v>75</v>
      </c>
      <c r="AJ8" s="1">
        <f ca="1">IF(ESF[[#This Row],[nE]]=1,ESF[[#This Row],[Ø (cm)]]+2*10,MAX(1.5*ESF[[#This Row],[Ø (cm)]],ESF[[#This Row],[Ø (cm)]]+15))</f>
        <v>40</v>
      </c>
      <c r="AK8" s="1" t="str">
        <f ca="1">alturaUtil(ESF[[#This Row],[nE]],ESF[[#This Row],[Ø (cm)]],ESF[[#This Row],[e (cm)]],ESF[[#This Row],[ap,eq (cm)]])</f>
        <v>N.S.</v>
      </c>
      <c r="AL8" s="1" t="str">
        <f ca="1">IFERROR(ESF[[#This Row],[d (cm)]]+arredondarParaCimaMultiplo5cm(MAX(5,SQRT(PI())/2*ESF[[#This Row],[Ø (cm)]]/5)),"N.S.")</f>
        <v>N.S.</v>
      </c>
      <c r="AM8" s="5" t="str">
        <f ca="1">alpha(ESF[[#This Row],[nE]],ESF[[#This Row],[d (cm)]],ESF[[#This Row],[e (cm)]],ESF[[#This Row],[ap,eq (cm)]])</f>
        <v>N.S.</v>
      </c>
      <c r="AN8" s="35" t="str">
        <f ca="1">IFERROR(ESF[[#This Row],[Nsd (kN)]]/(ESF[[#This Row],[Ap (cm²)]]*SIN(ESF[[#This Row],[α]])^2),"N.S.")</f>
        <v>N.S.</v>
      </c>
      <c r="AO8" s="35" t="str">
        <f ca="1">IFERROR(ESF[[#This Row],[Nsd (kN)]]/(ESF[[#This Row],[nE]]*PI()*ESF[[#This Row],[Ø (cm)]]^2/4*SIN(ESF[[#This Row],[α]])^2),"N.S.")</f>
        <v>N.S.</v>
      </c>
      <c r="AP8" s="4" t="str">
        <f ca="1">IFERROR(INDEX(grupoEstacas[],ESF[[#This Row],[nE]],MATCH("coef. Blévot",grupoEstacas[#Headers],0)),"N.S.")</f>
        <v>N.S.</v>
      </c>
      <c r="AQ8" s="35" t="str">
        <f ca="1">IFERROR(ESF[[#This Row],[coef. Blévot]]*0.9*INDEX(tipoEstaca[],MATCH($D$2,tipoEstaca[TIPO DE ESTACA],0),MATCH("fcd (kN/cm²)",tipoEstaca[#Headers],0)),"N.S.")</f>
        <v>N.S.</v>
      </c>
      <c r="AR8" s="1" t="str">
        <f ca="1">IF(AND(ESF[[#This Row],[cd,b,pil (kN/cm²)]]&lt;=ESF[[#This Row],[cd,b,lim (kN/cm²)]],ESF[[#This Row],[cd,b,est (kN/cm²)]]&lt;=ESF[[#This Row],[cd,b,lim (kN/cm²)]]),"OK","ERRO")</f>
        <v>OK</v>
      </c>
      <c r="AS8" s="4" t="str">
        <f ca="1">As_lado(ESF[[#This Row],[nE]],ESF[[#This Row],[Nsd (kN)]],ESF[[#This Row],[d (cm)]],ESF[[#This Row],[e (cm)]],ESF[[#This Row],[ap,eq (cm)]])</f>
        <v>N.S.</v>
      </c>
      <c r="AT8" s="4" t="str">
        <f ca="1">IF(ESF[[#This Row],[nE]]=1,ESF[[#This Row],[As,lado (cm²)]],IF(ESF[[#This Row],[nE]]=2,0.075*2*ESF[a (cm)],"N.A."))</f>
        <v>N.A.</v>
      </c>
      <c r="AU8" s="4" t="str">
        <f ca="1">IFERROR(IF(ESF[[#This Row],[nE]]=1,"N.A.",0.2*ESF[[#This Row],[As,lado (cm²)]]),"N.S.")</f>
        <v>N.S.</v>
      </c>
      <c r="AV8" s="4" t="str">
        <f ca="1">As_malha(ESF[[#This Row],[nE]],ESF[[#This Row],[As,lado (cm²)]],ESF[[#This Row],[Nsd (kN)]])</f>
        <v>N.S.</v>
      </c>
      <c r="AW8" s="4" t="str">
        <f ca="1">As_susp_tot(ESF[[#This Row],[nE]],ESF[[#This Row],[Nsd (kN)]])</f>
        <v>N.S.</v>
      </c>
      <c r="AX8" s="4" t="str">
        <f ca="1">Asp_face(ESF[[#This Row],[nE]],ESF[[#This Row],[As,lado (cm²)]])</f>
        <v>N.S.</v>
      </c>
      <c r="AY8" s="5" t="str">
        <f ca="1">acoBloco(ESF[[#This Row],[nE]],ESF[[#This Row],[e (cm)]],ESF[[#This Row],[a (cm)]],ESF[[#This Row],[h (cm)]],ESF[[#This Row],[As,lado (cm²)]],ESF[[#This Row],[Asp e Asw (cm²/m)]],ESF[[#This Row],[As,sup (cm²)]],ESF[[#This Row],[As,malha (cm²)]],ESF[[#This Row],[As,susp,tot (cm²)]],ESF[[#This Row],[Asp,face (cm²)]])</f>
        <v>N.S.</v>
      </c>
      <c r="AZ8" s="4" t="str">
        <f ca="1">concretoBloco(ESF[[#This Row],[nE]],ESF[[#This Row],[e (cm)]],ESF[[#This Row],[a (cm)]],ESF[[#This Row],[h (cm)]])</f>
        <v>N.S.</v>
      </c>
      <c r="BA8" s="5">
        <f ca="1">SUM(ESF[[#This Row],[Aço Est (kg)]],ESF[[#This Row],[Aço Bloco (kg)]])</f>
        <v>3.0826877913349846</v>
      </c>
      <c r="BB8" s="4">
        <f>INDEX(composicoes[],MATCH(95580,composicoes[CÓDIGO],0),MATCH("CUSTO TOTAL",composicoes[#Headers],0))</f>
        <v>10.46</v>
      </c>
      <c r="BC8" s="4">
        <f ca="1">SUM(ESF[[#This Row],[Conc Est (m³)]],ESF[[#This Row],[Conc Bloco (m³)]])</f>
        <v>25.918139392115794</v>
      </c>
      <c r="BD8" s="4">
        <f>INDEX(composicoes[],MATCH(94966,composicoes[CÓDIGO],0),MATCH("CUSTO TOTAL",composicoes[#Headers],0))</f>
        <v>439.52</v>
      </c>
      <c r="BE8" s="38">
        <f ca="1">ESF[[#This Row],[Aço (kg)]]*ESF[[#This Row],[Aço (R$/kg)]]+ESF[[#This Row],[Conc (m³)]]*ESF[[#This Row],[Conc (R$/m³)]]</f>
        <v>11423.785539920096</v>
      </c>
      <c r="BF8" s="4" t="str">
        <f ca="1">IF(COUNTIF(ESF[#This Row],"N.S.")&gt;0,"lim.","OK")</f>
        <v>lim.</v>
      </c>
      <c r="BG8" s="4" t="str">
        <f>IF(ESF[[#This Row],[Prof. (m)]]&lt;3,"lim.","OK")</f>
        <v>OK</v>
      </c>
      <c r="BH8" s="4" t="str">
        <f>IF(ESF[[#This Row],[Prof. (m)]]&gt;=8*ESF[[#This Row],[Ø (cm)]]/100,"OK","lim.")</f>
        <v>OK</v>
      </c>
      <c r="BI8" s="4" t="str">
        <f>IF(AND(SPT!$F$3&lt;&gt;"",ESF[[#This Row],[Prof. (m)]]&gt;=SPT!$F$3),"lim.","OK")</f>
        <v>OK</v>
      </c>
      <c r="BJ8" s="4" t="str">
        <f>IF(COUNTIFS(ESF[Solo],"Areia",ESF[Prof. (m)],"&lt;="&amp;ESF[[#This Row],[Prof. (m)]])&gt;=1,"lim.","OK")</f>
        <v>OK</v>
      </c>
      <c r="BK8" s="4" t="str">
        <f ca="1">IF(ESF[[#This Row],[Verif. Biela]]="OK","OK","lim.")</f>
        <v>OK</v>
      </c>
      <c r="BL8" s="4" t="str">
        <f ca="1">IF(COUNTA(ESF[[#This Row],[Nº Est.]:[Biela comp.]])=COUNTIF(ESF[[#This Row],[Nº Est.]:[Biela comp.]],"OK"),"OK","lim.")</f>
        <v>lim.</v>
      </c>
      <c r="BM8" s="4" t="str">
        <f ca="1">IF(ESF[[#This Row],[Controle]]="OK",ESF[[#This Row],[nE]]&amp;" Ø"&amp;ESF[[#This Row],[Ø (cm)]]&amp;"cm Prof. "&amp;ESF[[#This Row],[Prof. (m)]]&amp;" m","")</f>
        <v/>
      </c>
      <c r="BN8" s="4" t="str">
        <f ca="1">IF(ESF[[#This Row],[idDimensionamento]]="","",ESF[[#This Row],[idPilar]]&amp;ESF[[#This Row],[idDimensionamento]])</f>
        <v/>
      </c>
    </row>
    <row r="9" spans="2:66" x14ac:dyDescent="0.25">
      <c r="B9" s="12">
        <f>ROUNDUP((ROW(ESF[[#This Row],[idDiâmetro]])-ROW(ESF[[#Headers],[idDiâmetro]]))/(COUNT(SPT[Prof. (m)])*COUNT(PILARES[Pilar])),0)</f>
        <v>1</v>
      </c>
      <c r="C9" s="12">
        <f>IF(ESF[[#This Row],[idDiâmetro]]&lt;&gt;B8,1,IF(ESF[[#This Row],[Prof. (m)]]=0,C8+1,C8))</f>
        <v>1</v>
      </c>
      <c r="D9" s="1">
        <f>IFERROR(IF(D8=MAX(SPT[Prof. (m)]),0,D8+1),0)</f>
        <v>4</v>
      </c>
      <c r="E9" s="1">
        <f>INDEX(SPT[],MATCH(ESF[[#This Row],[Prof. (m)]],SPT[Prof. (m)],0),2)</f>
        <v>8</v>
      </c>
      <c r="F9" s="1" t="str">
        <f>INDEX(SPT[],MATCH(ESF[[#This Row],[Prof. (m)]],SPT[Prof. (m)],0),3)</f>
        <v>Areia siltosa</v>
      </c>
      <c r="G9" s="1">
        <f>INDEX(estacas[],ESF[[#This Row],[idDiâmetro]],MATCH($B$2,estacas[#Headers],0))</f>
        <v>25</v>
      </c>
      <c r="H9" s="1">
        <f>INDEX(estacas[],MATCH(ESF[[#This Row],[Ø (cm)]],estacas[Ø ESF (cm)],0),MATCH(ESF[[#Headers],[Pe ESF (kN)]],estacas[#Headers],0))</f>
        <v>250</v>
      </c>
      <c r="I9" s="4">
        <f>INDEX(K_alpha_C[],MATCH(ESF[[#This Row],[Solo]],K_alpha_C[Solo],0),2)</f>
        <v>0.8</v>
      </c>
      <c r="J9" s="5">
        <f>INDEX(K_alpha_C[],MATCH(ESF[[#This Row],[Solo]],K_alpha_C[Solo],0),3)</f>
        <v>2</v>
      </c>
      <c r="K9" s="4">
        <f>INDEX(F1_F2[],MATCH($D$2,F1_F2[Tipo de estaca],0),2)</f>
        <v>3</v>
      </c>
      <c r="L9" s="4">
        <f>INDEX(F1_F2[],MATCH($D$2,F1_F2[Tipo de estaca],0),3)</f>
        <v>6</v>
      </c>
      <c r="M9" s="4">
        <f>PI()*(ESF[[#This Row],[Ø (cm)]]/100)^2/4</f>
        <v>4.9087385212340517E-2</v>
      </c>
      <c r="N9" s="4">
        <f>PI()*ESF[[#This Row],[Ø (cm)]]/100</f>
        <v>0.78539816339744828</v>
      </c>
      <c r="O9" s="4">
        <f>IF(ESF[[#This Row],[Prof. (m)]]=0,0,ESF[[#This Row],[α (%)]]/100*ESF[[#This Row],[K (MPa)]]*1000*ESF[[#This Row],[NSPT]])</f>
        <v>128</v>
      </c>
      <c r="P9" s="4">
        <f>IF(ESF[[#This Row],[Prof. (m)]]=0,0,(ESF[[#This Row],[K (MPa)]]*1000*ESF[[#This Row],[NSPT]]/ESF[[#This Row],[F1]]*ESF[[#This Row],[Ap (m²)]]+ESF[[#This Row],[U (m)]]/ESF[[#This Row],[F2]]*SUMIFS(ESF[(α∙K∙NL∙ΔL)],ESF[Prof. (m)],"&lt;="&amp;ESF[[#This Row],[Prof. (m)]],ESF[idDiâmetro],ESF[[#This Row],[idDiâmetro]],ESF[idPilar],ESF[[#This Row],[idPilar]]))/'DADOS CAP. CARGA'!$D$2)</f>
        <v>69.115038378975456</v>
      </c>
      <c r="Q9" s="12">
        <f>INDEX(C_alpha_beta[],MATCH(ESF[[#This Row],[Solo]],C_alpha_beta[Solo],0),MATCH(ESF[[#Headers],[C (kPa)]],C_alpha_beta[#Headers],0))</f>
        <v>400</v>
      </c>
      <c r="R9" s="4">
        <f>INDEX(C_alpha_beta[],MATCH(ESF[[#This Row],[Solo]],C_alpha_beta[Solo],0),MATCH(ESF[[#Headers],[α ESF]],C_alpha_beta[#Headers],0))</f>
        <v>0.5</v>
      </c>
      <c r="S9" s="4">
        <f>INDEX(C_alpha_beta[],MATCH(ESF[[#This Row],[Solo]],C_alpha_beta[Solo],0),MATCH(ESF[[#Headers],[β ESF]],C_alpha_beta[#Headers],0))</f>
        <v>0.5</v>
      </c>
      <c r="T9" s="4">
        <f>IF(ESF[[#This Row],[Prof. (m)]]=0,0,10*(ESF[[#This Row],[NSPT]]/3+1))</f>
        <v>36.666666666666664</v>
      </c>
      <c r="U9" s="4">
        <f>(ESF[[#This Row],[α ESF]]*ESF[[#This Row],[C (kPa)]]*ESF[[#This Row],[NSPT]]*ESF[[#This Row],[Ap (m²)]])/'DADOS CAP. CARGA'!$Q$2+(ESF[[#This Row],[β ESF]]*SUMIFS(ESF[10∙(NL/3+1)],ESF[Prof. (m)],"&lt;="&amp;ESF[[#This Row],[Prof. (m)]],ESF[idDiâmetro],ESF[[#This Row],[idDiâmetro]],ESF[idPilar],ESF[[#This Row],[idPilar]])*ESF[[#This Row],[U (m)]])/'DADOS CAP. CARGA'!$S$2</f>
        <v>37.960911230876661</v>
      </c>
      <c r="V9" s="4">
        <f>IF(SPT!$M$5=1,MIN(ESF[[#This Row],[Pe ESF (kN)]],ESF[[#This Row],[R_AV (kN)]]),IF(SPT!$M$5=2,MIN(ESF[[#This Row],[Pe ESF (kN)]],ESF[[#This Row],[R_DC (kN)]]),MIN(ESF[[#This Row],[Pe ESF (kN)]],ESF[[#This Row],[R_AV (kN)]],ESF[[#This Row],[R_DC (kN)]])))</f>
        <v>37.960911230876661</v>
      </c>
      <c r="W9" s="4">
        <f>INDEX(PILARES[],ESF[[#This Row],[idPilar]],MATCH("Carga (kN)",PILARES[#Headers],0))*1.4</f>
        <v>3500</v>
      </c>
      <c r="X9" s="12">
        <f>INDEX(PILARES[],ESF[[#This Row],[idPilar]],MATCH(ESF[[#Headers],[ap (cm)]],PILARES[#Headers],0))</f>
        <v>60</v>
      </c>
      <c r="Y9" s="12">
        <f>INDEX(PILARES[],ESF[[#This Row],[idPilar]],MATCH(ESF[[#Headers],[bp (cm)]],PILARES[#Headers],0))</f>
        <v>60</v>
      </c>
      <c r="Z9" s="4">
        <f>SQRT(ESF[[#This Row],[ap (cm)]]*ESF[[#This Row],[bp (cm)]])</f>
        <v>60</v>
      </c>
      <c r="AA9" s="12">
        <f>ESF[[#This Row],[ap (cm)]]*ESF[[#This Row],[bp (cm)]]</f>
        <v>3600</v>
      </c>
      <c r="AB9" s="12">
        <f ca="1">IF(ESF[[#This Row],[Padm∙ε (kN)]]&gt;=ESF[[#This Row],[Padm (kN)]],ROUNDUP(1.05*ESF[[#This Row],[Nsd (kN)]]/ESF[[#This Row],[Padm (kN)]],0),ROUNDUP(1.05*ESF[[#This Row],[Nsd (kN)]]/ESF[[#This Row],[Padm (kN)]],0)+1)</f>
        <v>97</v>
      </c>
      <c r="AC9" s="4" t="str">
        <f ca="1">IFERROR(IF(ESF[[#This Row],[nE]]=1,ESF[[#This Row],[Padm (kN)]],ESF[[#This Row],[Padm (kN)]]*ESF[[#This Row],[nE]]*INDEX(grupoEstacas[],ESF[[#This Row],[nE]],MATCH("ε",grupoEstacas[#Headers],0))),"N.S.")</f>
        <v>N.S.</v>
      </c>
      <c r="AD9" s="4">
        <f ca="1">1.05*ESF[[#This Row],[Nsd (kN)]]/(ESF[[#This Row],[nE]]*PI()*ESF[[#This Row],[Ø (cm)]]^2/4)*10</f>
        <v>0.77181943536523256</v>
      </c>
      <c r="AE9" s="4">
        <f ca="1">IF(ESF[[#This Row],[σ (MPa)]]&lt;INDEX(tipoEstaca[],MATCH($D$2,tipoEstaca[TIPO DE ESTACA],0),MATCH("σmáx (MPa)",tipoEstaca[#Headers],0)),0.4%*PI()*ESF[[#This Row],[Ø (cm)]]^2/4,"N.S.")</f>
        <v>1.9634954084936209</v>
      </c>
      <c r="AF9" s="1">
        <f>INDEX(tipoEstaca[],MATCH($D$2,tipoEstaca[TIPO DE ESTACA],0),MATCH(ESF[[#Headers],[Comprimento (m)]],tipoEstaca[#Headers],0))</f>
        <v>2</v>
      </c>
      <c r="AG9" s="5">
        <f ca="1">ESF[[#This Row],[As,mín (cm²)]]/100^2*ESF[[#This Row],[Comprimento (m)]]*7850</f>
        <v>3.0826877913349846</v>
      </c>
      <c r="AH9" s="4">
        <f ca="1">ESF[[#This Row],[nE]]*ESF[[#This Row],[Prof. (m)]]*ESF[[#This Row],[Ap (m²)]]</f>
        <v>19.04590546238812</v>
      </c>
      <c r="AI9" s="1">
        <f ca="1">IF(ESF[[#This Row],[nE]]=1,0,MAX(3*ESF[[#This Row],[Ø (cm)]],60))</f>
        <v>75</v>
      </c>
      <c r="AJ9" s="1">
        <f ca="1">IF(ESF[[#This Row],[nE]]=1,ESF[[#This Row],[Ø (cm)]]+2*10,MAX(1.5*ESF[[#This Row],[Ø (cm)]],ESF[[#This Row],[Ø (cm)]]+15))</f>
        <v>40</v>
      </c>
      <c r="AK9" s="1" t="str">
        <f ca="1">alturaUtil(ESF[[#This Row],[nE]],ESF[[#This Row],[Ø (cm)]],ESF[[#This Row],[e (cm)]],ESF[[#This Row],[ap,eq (cm)]])</f>
        <v>N.S.</v>
      </c>
      <c r="AL9" s="1" t="str">
        <f ca="1">IFERROR(ESF[[#This Row],[d (cm)]]+arredondarParaCimaMultiplo5cm(MAX(5,SQRT(PI())/2*ESF[[#This Row],[Ø (cm)]]/5)),"N.S.")</f>
        <v>N.S.</v>
      </c>
      <c r="AM9" s="5" t="str">
        <f ca="1">alpha(ESF[[#This Row],[nE]],ESF[[#This Row],[d (cm)]],ESF[[#This Row],[e (cm)]],ESF[[#This Row],[ap,eq (cm)]])</f>
        <v>N.S.</v>
      </c>
      <c r="AN9" s="35" t="str">
        <f ca="1">IFERROR(ESF[[#This Row],[Nsd (kN)]]/(ESF[[#This Row],[Ap (cm²)]]*SIN(ESF[[#This Row],[α]])^2),"N.S.")</f>
        <v>N.S.</v>
      </c>
      <c r="AO9" s="35" t="str">
        <f ca="1">IFERROR(ESF[[#This Row],[Nsd (kN)]]/(ESF[[#This Row],[nE]]*PI()*ESF[[#This Row],[Ø (cm)]]^2/4*SIN(ESF[[#This Row],[α]])^2),"N.S.")</f>
        <v>N.S.</v>
      </c>
      <c r="AP9" s="4" t="str">
        <f ca="1">IFERROR(INDEX(grupoEstacas[],ESF[[#This Row],[nE]],MATCH("coef. Blévot",grupoEstacas[#Headers],0)),"N.S.")</f>
        <v>N.S.</v>
      </c>
      <c r="AQ9" s="35" t="str">
        <f ca="1">IFERROR(ESF[[#This Row],[coef. Blévot]]*0.9*INDEX(tipoEstaca[],MATCH($D$2,tipoEstaca[TIPO DE ESTACA],0),MATCH("fcd (kN/cm²)",tipoEstaca[#Headers],0)),"N.S.")</f>
        <v>N.S.</v>
      </c>
      <c r="AR9" s="1" t="str">
        <f ca="1">IF(AND(ESF[[#This Row],[cd,b,pil (kN/cm²)]]&lt;=ESF[[#This Row],[cd,b,lim (kN/cm²)]],ESF[[#This Row],[cd,b,est (kN/cm²)]]&lt;=ESF[[#This Row],[cd,b,lim (kN/cm²)]]),"OK","ERRO")</f>
        <v>OK</v>
      </c>
      <c r="AS9" s="4" t="str">
        <f ca="1">As_lado(ESF[[#This Row],[nE]],ESF[[#This Row],[Nsd (kN)]],ESF[[#This Row],[d (cm)]],ESF[[#This Row],[e (cm)]],ESF[[#This Row],[ap,eq (cm)]])</f>
        <v>N.S.</v>
      </c>
      <c r="AT9" s="4" t="str">
        <f ca="1">IF(ESF[[#This Row],[nE]]=1,ESF[[#This Row],[As,lado (cm²)]],IF(ESF[[#This Row],[nE]]=2,0.075*2*ESF[a (cm)],"N.A."))</f>
        <v>N.A.</v>
      </c>
      <c r="AU9" s="4" t="str">
        <f ca="1">IFERROR(IF(ESF[[#This Row],[nE]]=1,"N.A.",0.2*ESF[[#This Row],[As,lado (cm²)]]),"N.S.")</f>
        <v>N.S.</v>
      </c>
      <c r="AV9" s="4" t="str">
        <f ca="1">As_malha(ESF[[#This Row],[nE]],ESF[[#This Row],[As,lado (cm²)]],ESF[[#This Row],[Nsd (kN)]])</f>
        <v>N.S.</v>
      </c>
      <c r="AW9" s="4" t="str">
        <f ca="1">As_susp_tot(ESF[[#This Row],[nE]],ESF[[#This Row],[Nsd (kN)]])</f>
        <v>N.S.</v>
      </c>
      <c r="AX9" s="4" t="str">
        <f ca="1">Asp_face(ESF[[#This Row],[nE]],ESF[[#This Row],[As,lado (cm²)]])</f>
        <v>N.S.</v>
      </c>
      <c r="AY9" s="5" t="str">
        <f ca="1">acoBloco(ESF[[#This Row],[nE]],ESF[[#This Row],[e (cm)]],ESF[[#This Row],[a (cm)]],ESF[[#This Row],[h (cm)]],ESF[[#This Row],[As,lado (cm²)]],ESF[[#This Row],[Asp e Asw (cm²/m)]],ESF[[#This Row],[As,sup (cm²)]],ESF[[#This Row],[As,malha (cm²)]],ESF[[#This Row],[As,susp,tot (cm²)]],ESF[[#This Row],[Asp,face (cm²)]])</f>
        <v>N.S.</v>
      </c>
      <c r="AZ9" s="4" t="str">
        <f ca="1">concretoBloco(ESF[[#This Row],[nE]],ESF[[#This Row],[e (cm)]],ESF[[#This Row],[a (cm)]],ESF[[#This Row],[h (cm)]])</f>
        <v>N.S.</v>
      </c>
      <c r="BA9" s="5">
        <f ca="1">SUM(ESF[[#This Row],[Aço Est (kg)]],ESF[[#This Row],[Aço Bloco (kg)]])</f>
        <v>3.0826877913349846</v>
      </c>
      <c r="BB9" s="4">
        <f>INDEX(composicoes[],MATCH(95580,composicoes[CÓDIGO],0),MATCH("CUSTO TOTAL",composicoes[#Headers],0))</f>
        <v>10.46</v>
      </c>
      <c r="BC9" s="4">
        <f ca="1">SUM(ESF[[#This Row],[Conc Est (m³)]],ESF[[#This Row],[Conc Bloco (m³)]])</f>
        <v>19.04590546238812</v>
      </c>
      <c r="BD9" s="4">
        <f>INDEX(composicoes[],MATCH(94966,composicoes[CÓDIGO],0),MATCH("CUSTO TOTAL",composicoes[#Headers],0))</f>
        <v>439.52</v>
      </c>
      <c r="BE9" s="38">
        <f ca="1">ESF[[#This Row],[Aço (kg)]]*ESF[[#This Row],[Aço (R$/kg)]]+ESF[[#This Row],[Conc (m³)]]*ESF[[#This Row],[Conc (R$/m³)]]</f>
        <v>8403.3012831261894</v>
      </c>
      <c r="BF9" s="4" t="str">
        <f ca="1">IF(COUNTIF(ESF[#This Row],"N.S.")&gt;0,"lim.","OK")</f>
        <v>lim.</v>
      </c>
      <c r="BG9" s="4" t="str">
        <f>IF(ESF[[#This Row],[Prof. (m)]]&lt;3,"lim.","OK")</f>
        <v>OK</v>
      </c>
      <c r="BH9" s="4" t="str">
        <f>IF(ESF[[#This Row],[Prof. (m)]]&gt;=8*ESF[[#This Row],[Ø (cm)]]/100,"OK","lim.")</f>
        <v>OK</v>
      </c>
      <c r="BI9" s="4" t="str">
        <f>IF(AND(SPT!$F$3&lt;&gt;"",ESF[[#This Row],[Prof. (m)]]&gt;=SPT!$F$3),"lim.","OK")</f>
        <v>OK</v>
      </c>
      <c r="BJ9" s="4" t="str">
        <f>IF(COUNTIFS(ESF[Solo],"Areia",ESF[Prof. (m)],"&lt;="&amp;ESF[[#This Row],[Prof. (m)]])&gt;=1,"lim.","OK")</f>
        <v>OK</v>
      </c>
      <c r="BK9" s="4" t="str">
        <f ca="1">IF(ESF[[#This Row],[Verif. Biela]]="OK","OK","lim.")</f>
        <v>OK</v>
      </c>
      <c r="BL9" s="4" t="str">
        <f ca="1">IF(COUNTA(ESF[[#This Row],[Nº Est.]:[Biela comp.]])=COUNTIF(ESF[[#This Row],[Nº Est.]:[Biela comp.]],"OK"),"OK","lim.")</f>
        <v>lim.</v>
      </c>
      <c r="BM9" s="4" t="str">
        <f ca="1">IF(ESF[[#This Row],[Controle]]="OK",ESF[[#This Row],[nE]]&amp;" Ø"&amp;ESF[[#This Row],[Ø (cm)]]&amp;"cm Prof. "&amp;ESF[[#This Row],[Prof. (m)]]&amp;" m","")</f>
        <v/>
      </c>
      <c r="BN9" s="4" t="str">
        <f ca="1">IF(ESF[[#This Row],[idDimensionamento]]="","",ESF[[#This Row],[idPilar]]&amp;ESF[[#This Row],[idDimensionamento]])</f>
        <v/>
      </c>
    </row>
    <row r="10" spans="2:66" x14ac:dyDescent="0.25">
      <c r="B10" s="12">
        <f>ROUNDUP((ROW(ESF[[#This Row],[idDiâmetro]])-ROW(ESF[[#Headers],[idDiâmetro]]))/(COUNT(SPT[Prof. (m)])*COUNT(PILARES[Pilar])),0)</f>
        <v>1</v>
      </c>
      <c r="C10" s="12">
        <f>IF(ESF[[#This Row],[idDiâmetro]]&lt;&gt;B9,1,IF(ESF[[#This Row],[Prof. (m)]]=0,C9+1,C9))</f>
        <v>1</v>
      </c>
      <c r="D10" s="1">
        <f>IFERROR(IF(D9=MAX(SPT[Prof. (m)]),0,D9+1),0)</f>
        <v>5</v>
      </c>
      <c r="E10" s="1">
        <f>INDEX(SPT[],MATCH(ESF[[#This Row],[Prof. (m)]],SPT[Prof. (m)],0),2)</f>
        <v>17</v>
      </c>
      <c r="F10" s="1" t="str">
        <f>INDEX(SPT[],MATCH(ESF[[#This Row],[Prof. (m)]],SPT[Prof. (m)],0),3)</f>
        <v>Areia siltosa</v>
      </c>
      <c r="G10" s="1">
        <f>INDEX(estacas[],ESF[[#This Row],[idDiâmetro]],MATCH($B$2,estacas[#Headers],0))</f>
        <v>25</v>
      </c>
      <c r="H10" s="1">
        <f>INDEX(estacas[],MATCH(ESF[[#This Row],[Ø (cm)]],estacas[Ø ESF (cm)],0),MATCH(ESF[[#Headers],[Pe ESF (kN)]],estacas[#Headers],0))</f>
        <v>250</v>
      </c>
      <c r="I10" s="4">
        <f>INDEX(K_alpha_C[],MATCH(ESF[[#This Row],[Solo]],K_alpha_C[Solo],0),2)</f>
        <v>0.8</v>
      </c>
      <c r="J10" s="5">
        <f>INDEX(K_alpha_C[],MATCH(ESF[[#This Row],[Solo]],K_alpha_C[Solo],0),3)</f>
        <v>2</v>
      </c>
      <c r="K10" s="4">
        <f>INDEX(F1_F2[],MATCH($D$2,F1_F2[Tipo de estaca],0),2)</f>
        <v>3</v>
      </c>
      <c r="L10" s="4">
        <f>INDEX(F1_F2[],MATCH($D$2,F1_F2[Tipo de estaca],0),3)</f>
        <v>6</v>
      </c>
      <c r="M10" s="4">
        <f>PI()*(ESF[[#This Row],[Ø (cm)]]/100)^2/4</f>
        <v>4.9087385212340517E-2</v>
      </c>
      <c r="N10" s="4">
        <f>PI()*ESF[[#This Row],[Ø (cm)]]/100</f>
        <v>0.78539816339744828</v>
      </c>
      <c r="O10" s="4">
        <f>IF(ESF[[#This Row],[Prof. (m)]]=0,0,ESF[[#This Row],[α (%)]]/100*ESF[[#This Row],[K (MPa)]]*1000*ESF[[#This Row],[NSPT]])</f>
        <v>272</v>
      </c>
      <c r="P10" s="4">
        <f>IF(ESF[[#This Row],[Prof. (m)]]=0,0,(ESF[[#This Row],[K (MPa)]]*1000*ESF[[#This Row],[NSPT]]/ESF[[#This Row],[F1]]*ESF[[#This Row],[Ap (m²)]]+ESF[[#This Row],[U (m)]]/ESF[[#This Row],[F2]]*SUMIFS(ESF[(α∙K∙NL∙ΔL)],ESF[Prof. (m)],"&lt;="&amp;ESF[[#This Row],[Prof. (m)]],ESF[idDiâmetro],ESF[[#This Row],[idDiâmetro]],ESF[idPilar],ESF[[#This Row],[idPilar]]))/'DADOS CAP. CARGA'!$D$2)</f>
        <v>145.82225900412624</v>
      </c>
      <c r="Q10" s="12">
        <f>INDEX(C_alpha_beta[],MATCH(ESF[[#This Row],[Solo]],C_alpha_beta[Solo],0),MATCH(ESF[[#Headers],[C (kPa)]],C_alpha_beta[#Headers],0))</f>
        <v>400</v>
      </c>
      <c r="R10" s="4">
        <f>INDEX(C_alpha_beta[],MATCH(ESF[[#This Row],[Solo]],C_alpha_beta[Solo],0),MATCH(ESF[[#Headers],[α ESF]],C_alpha_beta[#Headers],0))</f>
        <v>0.5</v>
      </c>
      <c r="S10" s="4">
        <f>INDEX(C_alpha_beta[],MATCH(ESF[[#This Row],[Solo]],C_alpha_beta[Solo],0),MATCH(ESF[[#Headers],[β ESF]],C_alpha_beta[#Headers],0))</f>
        <v>0.5</v>
      </c>
      <c r="T10" s="4">
        <f>IF(ESF[[#This Row],[Prof. (m)]]=0,0,10*(ESF[[#This Row],[NSPT]]/3+1))</f>
        <v>66.666666666666671</v>
      </c>
      <c r="U10" s="4">
        <f>(ESF[[#This Row],[α ESF]]*ESF[[#This Row],[C (kPa)]]*ESF[[#This Row],[NSPT]]*ESF[[#This Row],[Ap (m²)]])/'DADOS CAP. CARGA'!$Q$2+(ESF[[#This Row],[β ESF]]*SUMIFS(ESF[10∙(NL/3+1)],ESF[Prof. (m)],"&lt;="&amp;ESF[[#This Row],[Prof. (m)]],ESF[idDiâmetro],ESF[[#This Row],[idDiâmetro]],ESF[idPilar],ESF[[#This Row],[idPilar]])*ESF[[#This Row],[U (m)]])/'DADOS CAP. CARGA'!$S$2</f>
        <v>73.140203966387361</v>
      </c>
      <c r="V10" s="4">
        <f>IF(SPT!$M$5=1,MIN(ESF[[#This Row],[Pe ESF (kN)]],ESF[[#This Row],[R_AV (kN)]]),IF(SPT!$M$5=2,MIN(ESF[[#This Row],[Pe ESF (kN)]],ESF[[#This Row],[R_DC (kN)]]),MIN(ESF[[#This Row],[Pe ESF (kN)]],ESF[[#This Row],[R_AV (kN)]],ESF[[#This Row],[R_DC (kN)]])))</f>
        <v>73.140203966387361</v>
      </c>
      <c r="W10" s="4">
        <f>INDEX(PILARES[],ESF[[#This Row],[idPilar]],MATCH("Carga (kN)",PILARES[#Headers],0))*1.4</f>
        <v>3500</v>
      </c>
      <c r="X10" s="12">
        <f>INDEX(PILARES[],ESF[[#This Row],[idPilar]],MATCH(ESF[[#Headers],[ap (cm)]],PILARES[#Headers],0))</f>
        <v>60</v>
      </c>
      <c r="Y10" s="12">
        <f>INDEX(PILARES[],ESF[[#This Row],[idPilar]],MATCH(ESF[[#Headers],[bp (cm)]],PILARES[#Headers],0))</f>
        <v>60</v>
      </c>
      <c r="Z10" s="4">
        <f>SQRT(ESF[[#This Row],[ap (cm)]]*ESF[[#This Row],[bp (cm)]])</f>
        <v>60</v>
      </c>
      <c r="AA10" s="12">
        <f>ESF[[#This Row],[ap (cm)]]*ESF[[#This Row],[bp (cm)]]</f>
        <v>3600</v>
      </c>
      <c r="AB10" s="12">
        <f ca="1">IF(ESF[[#This Row],[Padm∙ε (kN)]]&gt;=ESF[[#This Row],[Padm (kN)]],ROUNDUP(1.05*ESF[[#This Row],[Nsd (kN)]]/ESF[[#This Row],[Padm (kN)]],0),ROUNDUP(1.05*ESF[[#This Row],[Nsd (kN)]]/ESF[[#This Row],[Padm (kN)]],0)+1)</f>
        <v>51</v>
      </c>
      <c r="AC10" s="4" t="str">
        <f ca="1">IFERROR(IF(ESF[[#This Row],[nE]]=1,ESF[[#This Row],[Padm (kN)]],ESF[[#This Row],[Padm (kN)]]*ESF[[#This Row],[nE]]*INDEX(grupoEstacas[],ESF[[#This Row],[nE]],MATCH("ε",grupoEstacas[#Headers],0))),"N.S.")</f>
        <v>N.S.</v>
      </c>
      <c r="AD10" s="4">
        <f ca="1">1.05*ESF[[#This Row],[Nsd (kN)]]/(ESF[[#This Row],[nE]]*PI()*ESF[[#This Row],[Ø (cm)]]^2/4)*10</f>
        <v>1.4679702986358347</v>
      </c>
      <c r="AE10" s="4">
        <f ca="1">IF(ESF[[#This Row],[σ (MPa)]]&lt;INDEX(tipoEstaca[],MATCH($D$2,tipoEstaca[TIPO DE ESTACA],0),MATCH("σmáx (MPa)",tipoEstaca[#Headers],0)),0.4%*PI()*ESF[[#This Row],[Ø (cm)]]^2/4,"N.S.")</f>
        <v>1.9634954084936209</v>
      </c>
      <c r="AF10" s="1">
        <f>INDEX(tipoEstaca[],MATCH($D$2,tipoEstaca[TIPO DE ESTACA],0),MATCH(ESF[[#Headers],[Comprimento (m)]],tipoEstaca[#Headers],0))</f>
        <v>2</v>
      </c>
      <c r="AG10" s="5">
        <f ca="1">ESF[[#This Row],[As,mín (cm²)]]/100^2*ESF[[#This Row],[Comprimento (m)]]*7850</f>
        <v>3.0826877913349846</v>
      </c>
      <c r="AH10" s="4">
        <f ca="1">ESF[[#This Row],[nE]]*ESF[[#This Row],[Prof. (m)]]*ESF[[#This Row],[Ap (m²)]]</f>
        <v>12.517283229146832</v>
      </c>
      <c r="AI10" s="1">
        <f ca="1">IF(ESF[[#This Row],[nE]]=1,0,MAX(3*ESF[[#This Row],[Ø (cm)]],60))</f>
        <v>75</v>
      </c>
      <c r="AJ10" s="1">
        <f ca="1">IF(ESF[[#This Row],[nE]]=1,ESF[[#This Row],[Ø (cm)]]+2*10,MAX(1.5*ESF[[#This Row],[Ø (cm)]],ESF[[#This Row],[Ø (cm)]]+15))</f>
        <v>40</v>
      </c>
      <c r="AK10" s="1" t="str">
        <f ca="1">alturaUtil(ESF[[#This Row],[nE]],ESF[[#This Row],[Ø (cm)]],ESF[[#This Row],[e (cm)]],ESF[[#This Row],[ap,eq (cm)]])</f>
        <v>N.S.</v>
      </c>
      <c r="AL10" s="1" t="str">
        <f ca="1">IFERROR(ESF[[#This Row],[d (cm)]]+arredondarParaCimaMultiplo5cm(MAX(5,SQRT(PI())/2*ESF[[#This Row],[Ø (cm)]]/5)),"N.S.")</f>
        <v>N.S.</v>
      </c>
      <c r="AM10" s="5" t="str">
        <f ca="1">alpha(ESF[[#This Row],[nE]],ESF[[#This Row],[d (cm)]],ESF[[#This Row],[e (cm)]],ESF[[#This Row],[ap,eq (cm)]])</f>
        <v>N.S.</v>
      </c>
      <c r="AN10" s="35" t="str">
        <f ca="1">IFERROR(ESF[[#This Row],[Nsd (kN)]]/(ESF[[#This Row],[Ap (cm²)]]*SIN(ESF[[#This Row],[α]])^2),"N.S.")</f>
        <v>N.S.</v>
      </c>
      <c r="AO10" s="35" t="str">
        <f ca="1">IFERROR(ESF[[#This Row],[Nsd (kN)]]/(ESF[[#This Row],[nE]]*PI()*ESF[[#This Row],[Ø (cm)]]^2/4*SIN(ESF[[#This Row],[α]])^2),"N.S.")</f>
        <v>N.S.</v>
      </c>
      <c r="AP10" s="4" t="str">
        <f ca="1">IFERROR(INDEX(grupoEstacas[],ESF[[#This Row],[nE]],MATCH("coef. Blévot",grupoEstacas[#Headers],0)),"N.S.")</f>
        <v>N.S.</v>
      </c>
      <c r="AQ10" s="35" t="str">
        <f ca="1">IFERROR(ESF[[#This Row],[coef. Blévot]]*0.9*INDEX(tipoEstaca[],MATCH($D$2,tipoEstaca[TIPO DE ESTACA],0),MATCH("fcd (kN/cm²)",tipoEstaca[#Headers],0)),"N.S.")</f>
        <v>N.S.</v>
      </c>
      <c r="AR10" s="1" t="str">
        <f ca="1">IF(AND(ESF[[#This Row],[cd,b,pil (kN/cm²)]]&lt;=ESF[[#This Row],[cd,b,lim (kN/cm²)]],ESF[[#This Row],[cd,b,est (kN/cm²)]]&lt;=ESF[[#This Row],[cd,b,lim (kN/cm²)]]),"OK","ERRO")</f>
        <v>OK</v>
      </c>
      <c r="AS10" s="4" t="str">
        <f ca="1">As_lado(ESF[[#This Row],[nE]],ESF[[#This Row],[Nsd (kN)]],ESF[[#This Row],[d (cm)]],ESF[[#This Row],[e (cm)]],ESF[[#This Row],[ap,eq (cm)]])</f>
        <v>N.S.</v>
      </c>
      <c r="AT10" s="4" t="str">
        <f ca="1">IF(ESF[[#This Row],[nE]]=1,ESF[[#This Row],[As,lado (cm²)]],IF(ESF[[#This Row],[nE]]=2,0.075*2*ESF[a (cm)],"N.A."))</f>
        <v>N.A.</v>
      </c>
      <c r="AU10" s="4" t="str">
        <f ca="1">IFERROR(IF(ESF[[#This Row],[nE]]=1,"N.A.",0.2*ESF[[#This Row],[As,lado (cm²)]]),"N.S.")</f>
        <v>N.S.</v>
      </c>
      <c r="AV10" s="4" t="str">
        <f ca="1">As_malha(ESF[[#This Row],[nE]],ESF[[#This Row],[As,lado (cm²)]],ESF[[#This Row],[Nsd (kN)]])</f>
        <v>N.S.</v>
      </c>
      <c r="AW10" s="4" t="str">
        <f ca="1">As_susp_tot(ESF[[#This Row],[nE]],ESF[[#This Row],[Nsd (kN)]])</f>
        <v>N.S.</v>
      </c>
      <c r="AX10" s="4" t="str">
        <f ca="1">Asp_face(ESF[[#This Row],[nE]],ESF[[#This Row],[As,lado (cm²)]])</f>
        <v>N.S.</v>
      </c>
      <c r="AY10" s="5" t="str">
        <f ca="1">acoBloco(ESF[[#This Row],[nE]],ESF[[#This Row],[e (cm)]],ESF[[#This Row],[a (cm)]],ESF[[#This Row],[h (cm)]],ESF[[#This Row],[As,lado (cm²)]],ESF[[#This Row],[Asp e Asw (cm²/m)]],ESF[[#This Row],[As,sup (cm²)]],ESF[[#This Row],[As,malha (cm²)]],ESF[[#This Row],[As,susp,tot (cm²)]],ESF[[#This Row],[Asp,face (cm²)]])</f>
        <v>N.S.</v>
      </c>
      <c r="AZ10" s="4" t="str">
        <f ca="1">concretoBloco(ESF[[#This Row],[nE]],ESF[[#This Row],[e (cm)]],ESF[[#This Row],[a (cm)]],ESF[[#This Row],[h (cm)]])</f>
        <v>N.S.</v>
      </c>
      <c r="BA10" s="5">
        <f ca="1">SUM(ESF[[#This Row],[Aço Est (kg)]],ESF[[#This Row],[Aço Bloco (kg)]])</f>
        <v>3.0826877913349846</v>
      </c>
      <c r="BB10" s="4">
        <f>INDEX(composicoes[],MATCH(95580,composicoes[CÓDIGO],0),MATCH("CUSTO TOTAL",composicoes[#Headers],0))</f>
        <v>10.46</v>
      </c>
      <c r="BC10" s="4">
        <f ca="1">SUM(ESF[[#This Row],[Conc Est (m³)]],ESF[[#This Row],[Conc Bloco (m³)]])</f>
        <v>12.517283229146832</v>
      </c>
      <c r="BD10" s="4">
        <f>INDEX(composicoes[],MATCH(94966,composicoes[CÓDIGO],0),MATCH("CUSTO TOTAL",composicoes[#Headers],0))</f>
        <v>439.52</v>
      </c>
      <c r="BE10" s="38">
        <f ca="1">ESF[[#This Row],[Aço (kg)]]*ESF[[#This Row],[Aço (R$/kg)]]+ESF[[#This Row],[Conc (m³)]]*ESF[[#This Row],[Conc (R$/m³)]]</f>
        <v>5533.8412391719794</v>
      </c>
      <c r="BF10" s="4" t="str">
        <f ca="1">IF(COUNTIF(ESF[#This Row],"N.S.")&gt;0,"lim.","OK")</f>
        <v>lim.</v>
      </c>
      <c r="BG10" s="4" t="str">
        <f>IF(ESF[[#This Row],[Prof. (m)]]&lt;3,"lim.","OK")</f>
        <v>OK</v>
      </c>
      <c r="BH10" s="4" t="str">
        <f>IF(ESF[[#This Row],[Prof. (m)]]&gt;=8*ESF[[#This Row],[Ø (cm)]]/100,"OK","lim.")</f>
        <v>OK</v>
      </c>
      <c r="BI10" s="4" t="str">
        <f>IF(AND(SPT!$F$3&lt;&gt;"",ESF[[#This Row],[Prof. (m)]]&gt;=SPT!$F$3),"lim.","OK")</f>
        <v>OK</v>
      </c>
      <c r="BJ10" s="4" t="str">
        <f>IF(COUNTIFS(ESF[Solo],"Areia",ESF[Prof. (m)],"&lt;="&amp;ESF[[#This Row],[Prof. (m)]])&gt;=1,"lim.","OK")</f>
        <v>OK</v>
      </c>
      <c r="BK10" s="4" t="str">
        <f ca="1">IF(ESF[[#This Row],[Verif. Biela]]="OK","OK","lim.")</f>
        <v>OK</v>
      </c>
      <c r="BL10" s="4" t="str">
        <f ca="1">IF(COUNTA(ESF[[#This Row],[Nº Est.]:[Biela comp.]])=COUNTIF(ESF[[#This Row],[Nº Est.]:[Biela comp.]],"OK"),"OK","lim.")</f>
        <v>lim.</v>
      </c>
      <c r="BM10" s="4" t="str">
        <f ca="1">IF(ESF[[#This Row],[Controle]]="OK",ESF[[#This Row],[nE]]&amp;" Ø"&amp;ESF[[#This Row],[Ø (cm)]]&amp;"cm Prof. "&amp;ESF[[#This Row],[Prof. (m)]]&amp;" m","")</f>
        <v/>
      </c>
      <c r="BN10" s="4" t="str">
        <f ca="1">IF(ESF[[#This Row],[idDimensionamento]]="","",ESF[[#This Row],[idPilar]]&amp;ESF[[#This Row],[idDimensionamento]])</f>
        <v/>
      </c>
    </row>
    <row r="11" spans="2:66" x14ac:dyDescent="0.25">
      <c r="B11" s="12">
        <f>ROUNDUP((ROW(ESF[[#This Row],[idDiâmetro]])-ROW(ESF[[#Headers],[idDiâmetro]]))/(COUNT(SPT[Prof. (m)])*COUNT(PILARES[Pilar])),0)</f>
        <v>1</v>
      </c>
      <c r="C11" s="12">
        <f>IF(ESF[[#This Row],[idDiâmetro]]&lt;&gt;B10,1,IF(ESF[[#This Row],[Prof. (m)]]=0,C10+1,C10))</f>
        <v>1</v>
      </c>
      <c r="D11" s="1">
        <f>IFERROR(IF(D10=MAX(SPT[Prof. (m)]),0,D10+1),0)</f>
        <v>6</v>
      </c>
      <c r="E11" s="1">
        <f>INDEX(SPT[],MATCH(ESF[[#This Row],[Prof. (m)]],SPT[Prof. (m)],0),2)</f>
        <v>21</v>
      </c>
      <c r="F11" s="1" t="str">
        <f>INDEX(SPT[],MATCH(ESF[[#This Row],[Prof. (m)]],SPT[Prof. (m)],0),3)</f>
        <v>Silte arenoso</v>
      </c>
      <c r="G11" s="1">
        <f>INDEX(estacas[],ESF[[#This Row],[idDiâmetro]],MATCH($B$2,estacas[#Headers],0))</f>
        <v>25</v>
      </c>
      <c r="H11" s="1">
        <f>INDEX(estacas[],MATCH(ESF[[#This Row],[Ø (cm)]],estacas[Ø ESF (cm)],0),MATCH(ESF[[#Headers],[Pe ESF (kN)]],estacas[#Headers],0))</f>
        <v>250</v>
      </c>
      <c r="I11" s="4">
        <f>INDEX(K_alpha_C[],MATCH(ESF[[#This Row],[Solo]],K_alpha_C[Solo],0),2)</f>
        <v>0.55000000000000004</v>
      </c>
      <c r="J11" s="5">
        <f>INDEX(K_alpha_C[],MATCH(ESF[[#This Row],[Solo]],K_alpha_C[Solo],0),3)</f>
        <v>2.2000000000000002</v>
      </c>
      <c r="K11" s="4">
        <f>INDEX(F1_F2[],MATCH($D$2,F1_F2[Tipo de estaca],0),2)</f>
        <v>3</v>
      </c>
      <c r="L11" s="4">
        <f>INDEX(F1_F2[],MATCH($D$2,F1_F2[Tipo de estaca],0),3)</f>
        <v>6</v>
      </c>
      <c r="M11" s="4">
        <f>PI()*(ESF[[#This Row],[Ø (cm)]]/100)^2/4</f>
        <v>4.9087385212340517E-2</v>
      </c>
      <c r="N11" s="4">
        <f>PI()*ESF[[#This Row],[Ø (cm)]]/100</f>
        <v>0.78539816339744828</v>
      </c>
      <c r="O11" s="4">
        <f>IF(ESF[[#This Row],[Prof. (m)]]=0,0,ESF[[#This Row],[α (%)]]/100*ESF[[#This Row],[K (MPa)]]*1000*ESF[[#This Row],[NSPT]])</f>
        <v>254.10000000000002</v>
      </c>
      <c r="P11" s="4">
        <f>IF(ESF[[#This Row],[Prof. (m)]]=0,0,(ESF[[#This Row],[K (MPa)]]*1000*ESF[[#This Row],[NSPT]]/ESF[[#This Row],[F1]]*ESF[[#This Row],[Ap (m²)]]+ESF[[#This Row],[U (m)]]/ESF[[#This Row],[F2]]*SUMIFS(ESF[(α∙K∙NL∙ΔL)],ESF[Prof. (m)],"&lt;="&amp;ESF[[#This Row],[Prof. (m)]],ESF[idDiâmetro],ESF[[#This Row],[idDiâmetro]],ESF[idPilar],ESF[[#This Row],[idPilar]]))/'DADOS CAP. CARGA'!$D$2)</f>
        <v>145.68154183318418</v>
      </c>
      <c r="Q11" s="12">
        <f>INDEX(C_alpha_beta[],MATCH(ESF[[#This Row],[Solo]],C_alpha_beta[Solo],0),MATCH(ESF[[#Headers],[C (kPa)]],C_alpha_beta[#Headers],0))</f>
        <v>250</v>
      </c>
      <c r="R11" s="4">
        <f>INDEX(C_alpha_beta[],MATCH(ESF[[#This Row],[Solo]],C_alpha_beta[Solo],0),MATCH(ESF[[#Headers],[α ESF]],C_alpha_beta[#Headers],0))</f>
        <v>0.6</v>
      </c>
      <c r="S11" s="4">
        <f>INDEX(C_alpha_beta[],MATCH(ESF[[#This Row],[Solo]],C_alpha_beta[Solo],0),MATCH(ESF[[#Headers],[β ESF]],C_alpha_beta[#Headers],0))</f>
        <v>0.65</v>
      </c>
      <c r="T11" s="4">
        <f>IF(ESF[[#This Row],[Prof. (m)]]=0,0,10*(ESF[[#This Row],[NSPT]]/3+1))</f>
        <v>80</v>
      </c>
      <c r="U11" s="4">
        <f>(ESF[[#This Row],[α ESF]]*ESF[[#This Row],[C (kPa)]]*ESF[[#This Row],[NSPT]]*ESF[[#This Row],[Ap (m²)]])/'DADOS CAP. CARGA'!$Q$2+(ESF[[#This Row],[β ESF]]*SUMIFS(ESF[10∙(NL/3+1)],ESF[Prof. (m)],"&lt;="&amp;ESF[[#This Row],[Prof. (m)]],ESF[idDiâmetro],ESF[[#This Row],[idDiâmetro]],ESF[idPilar],ESF[[#This Row],[idPilar]])*ESF[[#This Row],[U (m)]])/'DADOS CAP. CARGA'!$S$2</f>
        <v>99.91737259971913</v>
      </c>
      <c r="V11" s="4">
        <f>IF(SPT!$M$5=1,MIN(ESF[[#This Row],[Pe ESF (kN)]],ESF[[#This Row],[R_AV (kN)]]),IF(SPT!$M$5=2,MIN(ESF[[#This Row],[Pe ESF (kN)]],ESF[[#This Row],[R_DC (kN)]]),MIN(ESF[[#This Row],[Pe ESF (kN)]],ESF[[#This Row],[R_AV (kN)]],ESF[[#This Row],[R_DC (kN)]])))</f>
        <v>99.91737259971913</v>
      </c>
      <c r="W11" s="4">
        <f>INDEX(PILARES[],ESF[[#This Row],[idPilar]],MATCH("Carga (kN)",PILARES[#Headers],0))*1.4</f>
        <v>3500</v>
      </c>
      <c r="X11" s="12">
        <f>INDEX(PILARES[],ESF[[#This Row],[idPilar]],MATCH(ESF[[#Headers],[ap (cm)]],PILARES[#Headers],0))</f>
        <v>60</v>
      </c>
      <c r="Y11" s="12">
        <f>INDEX(PILARES[],ESF[[#This Row],[idPilar]],MATCH(ESF[[#Headers],[bp (cm)]],PILARES[#Headers],0))</f>
        <v>60</v>
      </c>
      <c r="Z11" s="4">
        <f>SQRT(ESF[[#This Row],[ap (cm)]]*ESF[[#This Row],[bp (cm)]])</f>
        <v>60</v>
      </c>
      <c r="AA11" s="12">
        <f>ESF[[#This Row],[ap (cm)]]*ESF[[#This Row],[bp (cm)]]</f>
        <v>3600</v>
      </c>
      <c r="AB11" s="12">
        <f ca="1">IF(ESF[[#This Row],[Padm∙ε (kN)]]&gt;=ESF[[#This Row],[Padm (kN)]],ROUNDUP(1.05*ESF[[#This Row],[Nsd (kN)]]/ESF[[#This Row],[Padm (kN)]],0),ROUNDUP(1.05*ESF[[#This Row],[Nsd (kN)]]/ESF[[#This Row],[Padm (kN)]],0)+1)</f>
        <v>37</v>
      </c>
      <c r="AC11" s="4" t="str">
        <f ca="1">IFERROR(IF(ESF[[#This Row],[nE]]=1,ESF[[#This Row],[Padm (kN)]],ESF[[#This Row],[Padm (kN)]]*ESF[[#This Row],[nE]]*INDEX(grupoEstacas[],ESF[[#This Row],[nE]],MATCH("ε",grupoEstacas[#Headers],0))),"N.S.")</f>
        <v>N.S.</v>
      </c>
      <c r="AD11" s="4">
        <f ca="1">1.05*ESF[[#This Row],[Nsd (kN)]]/(ESF[[#This Row],[nE]]*PI()*ESF[[#This Row],[Ø (cm)]]^2/4)*10</f>
        <v>2.0234185197412855</v>
      </c>
      <c r="AE11" s="4">
        <f ca="1">IF(ESF[[#This Row],[σ (MPa)]]&lt;INDEX(tipoEstaca[],MATCH($D$2,tipoEstaca[TIPO DE ESTACA],0),MATCH("σmáx (MPa)",tipoEstaca[#Headers],0)),0.4%*PI()*ESF[[#This Row],[Ø (cm)]]^2/4,"N.S.")</f>
        <v>1.9634954084936209</v>
      </c>
      <c r="AF11" s="1">
        <f>INDEX(tipoEstaca[],MATCH($D$2,tipoEstaca[TIPO DE ESTACA],0),MATCH(ESF[[#Headers],[Comprimento (m)]],tipoEstaca[#Headers],0))</f>
        <v>2</v>
      </c>
      <c r="AG11" s="5">
        <f ca="1">ESF[[#This Row],[As,mín (cm²)]]/100^2*ESF[[#This Row],[Comprimento (m)]]*7850</f>
        <v>3.0826877913349846</v>
      </c>
      <c r="AH11" s="4">
        <f ca="1">ESF[[#This Row],[nE]]*ESF[[#This Row],[Prof. (m)]]*ESF[[#This Row],[Ap (m²)]]</f>
        <v>10.897399517139595</v>
      </c>
      <c r="AI11" s="1">
        <f ca="1">IF(ESF[[#This Row],[nE]]=1,0,MAX(3*ESF[[#This Row],[Ø (cm)]],60))</f>
        <v>75</v>
      </c>
      <c r="AJ11" s="1">
        <f ca="1">IF(ESF[[#This Row],[nE]]=1,ESF[[#This Row],[Ø (cm)]]+2*10,MAX(1.5*ESF[[#This Row],[Ø (cm)]],ESF[[#This Row],[Ø (cm)]]+15))</f>
        <v>40</v>
      </c>
      <c r="AK11" s="1" t="str">
        <f ca="1">alturaUtil(ESF[[#This Row],[nE]],ESF[[#This Row],[Ø (cm)]],ESF[[#This Row],[e (cm)]],ESF[[#This Row],[ap,eq (cm)]])</f>
        <v>N.S.</v>
      </c>
      <c r="AL11" s="1" t="str">
        <f ca="1">IFERROR(ESF[[#This Row],[d (cm)]]+arredondarParaCimaMultiplo5cm(MAX(5,SQRT(PI())/2*ESF[[#This Row],[Ø (cm)]]/5)),"N.S.")</f>
        <v>N.S.</v>
      </c>
      <c r="AM11" s="5" t="str">
        <f ca="1">alpha(ESF[[#This Row],[nE]],ESF[[#This Row],[d (cm)]],ESF[[#This Row],[e (cm)]],ESF[[#This Row],[ap,eq (cm)]])</f>
        <v>N.S.</v>
      </c>
      <c r="AN11" s="35" t="str">
        <f ca="1">IFERROR(ESF[[#This Row],[Nsd (kN)]]/(ESF[[#This Row],[Ap (cm²)]]*SIN(ESF[[#This Row],[α]])^2),"N.S.")</f>
        <v>N.S.</v>
      </c>
      <c r="AO11" s="35" t="str">
        <f ca="1">IFERROR(ESF[[#This Row],[Nsd (kN)]]/(ESF[[#This Row],[nE]]*PI()*ESF[[#This Row],[Ø (cm)]]^2/4*SIN(ESF[[#This Row],[α]])^2),"N.S.")</f>
        <v>N.S.</v>
      </c>
      <c r="AP11" s="4" t="str">
        <f ca="1">IFERROR(INDEX(grupoEstacas[],ESF[[#This Row],[nE]],MATCH("coef. Blévot",grupoEstacas[#Headers],0)),"N.S.")</f>
        <v>N.S.</v>
      </c>
      <c r="AQ11" s="35" t="str">
        <f ca="1">IFERROR(ESF[[#This Row],[coef. Blévot]]*0.9*INDEX(tipoEstaca[],MATCH($D$2,tipoEstaca[TIPO DE ESTACA],0),MATCH("fcd (kN/cm²)",tipoEstaca[#Headers],0)),"N.S.")</f>
        <v>N.S.</v>
      </c>
      <c r="AR11" s="1" t="str">
        <f ca="1">IF(AND(ESF[[#This Row],[cd,b,pil (kN/cm²)]]&lt;=ESF[[#This Row],[cd,b,lim (kN/cm²)]],ESF[[#This Row],[cd,b,est (kN/cm²)]]&lt;=ESF[[#This Row],[cd,b,lim (kN/cm²)]]),"OK","ERRO")</f>
        <v>OK</v>
      </c>
      <c r="AS11" s="4" t="str">
        <f ca="1">As_lado(ESF[[#This Row],[nE]],ESF[[#This Row],[Nsd (kN)]],ESF[[#This Row],[d (cm)]],ESF[[#This Row],[e (cm)]],ESF[[#This Row],[ap,eq (cm)]])</f>
        <v>N.S.</v>
      </c>
      <c r="AT11" s="4" t="str">
        <f ca="1">IF(ESF[[#This Row],[nE]]=1,ESF[[#This Row],[As,lado (cm²)]],IF(ESF[[#This Row],[nE]]=2,0.075*2*ESF[a (cm)],"N.A."))</f>
        <v>N.A.</v>
      </c>
      <c r="AU11" s="4" t="str">
        <f ca="1">IFERROR(IF(ESF[[#This Row],[nE]]=1,"N.A.",0.2*ESF[[#This Row],[As,lado (cm²)]]),"N.S.")</f>
        <v>N.S.</v>
      </c>
      <c r="AV11" s="4" t="str">
        <f ca="1">As_malha(ESF[[#This Row],[nE]],ESF[[#This Row],[As,lado (cm²)]],ESF[[#This Row],[Nsd (kN)]])</f>
        <v>N.S.</v>
      </c>
      <c r="AW11" s="4" t="str">
        <f ca="1">As_susp_tot(ESF[[#This Row],[nE]],ESF[[#This Row],[Nsd (kN)]])</f>
        <v>N.S.</v>
      </c>
      <c r="AX11" s="4" t="str">
        <f ca="1">Asp_face(ESF[[#This Row],[nE]],ESF[[#This Row],[As,lado (cm²)]])</f>
        <v>N.S.</v>
      </c>
      <c r="AY11" s="5" t="str">
        <f ca="1">acoBloco(ESF[[#This Row],[nE]],ESF[[#This Row],[e (cm)]],ESF[[#This Row],[a (cm)]],ESF[[#This Row],[h (cm)]],ESF[[#This Row],[As,lado (cm²)]],ESF[[#This Row],[Asp e Asw (cm²/m)]],ESF[[#This Row],[As,sup (cm²)]],ESF[[#This Row],[As,malha (cm²)]],ESF[[#This Row],[As,susp,tot (cm²)]],ESF[[#This Row],[Asp,face (cm²)]])</f>
        <v>N.S.</v>
      </c>
      <c r="AZ11" s="4" t="str">
        <f ca="1">concretoBloco(ESF[[#This Row],[nE]],ESF[[#This Row],[e (cm)]],ESF[[#This Row],[a (cm)]],ESF[[#This Row],[h (cm)]])</f>
        <v>N.S.</v>
      </c>
      <c r="BA11" s="5">
        <f ca="1">SUM(ESF[[#This Row],[Aço Est (kg)]],ESF[[#This Row],[Aço Bloco (kg)]])</f>
        <v>3.0826877913349846</v>
      </c>
      <c r="BB11" s="4">
        <f>INDEX(composicoes[],MATCH(95580,composicoes[CÓDIGO],0),MATCH("CUSTO TOTAL",composicoes[#Headers],0))</f>
        <v>10.46</v>
      </c>
      <c r="BC11" s="4">
        <f ca="1">SUM(ESF[[#This Row],[Conc Est (m³)]],ESF[[#This Row],[Conc Bloco (m³)]])</f>
        <v>10.897399517139595</v>
      </c>
      <c r="BD11" s="4">
        <f>INDEX(composicoes[],MATCH(94966,composicoes[CÓDIGO],0),MATCH("CUSTO TOTAL",composicoes[#Headers],0))</f>
        <v>439.52</v>
      </c>
      <c r="BE11" s="38">
        <f ca="1">ESF[[#This Row],[Aço (kg)]]*ESF[[#This Row],[Aço (R$/kg)]]+ESF[[#This Row],[Conc (m³)]]*ESF[[#This Row],[Conc (R$/m³)]]</f>
        <v>4821.8699500705588</v>
      </c>
      <c r="BF11" s="4" t="str">
        <f ca="1">IF(COUNTIF(ESF[#This Row],"N.S.")&gt;0,"lim.","OK")</f>
        <v>lim.</v>
      </c>
      <c r="BG11" s="4" t="str">
        <f>IF(ESF[[#This Row],[Prof. (m)]]&lt;3,"lim.","OK")</f>
        <v>OK</v>
      </c>
      <c r="BH11" s="4" t="str">
        <f>IF(ESF[[#This Row],[Prof. (m)]]&gt;=8*ESF[[#This Row],[Ø (cm)]]/100,"OK","lim.")</f>
        <v>OK</v>
      </c>
      <c r="BI11" s="4" t="str">
        <f>IF(AND(SPT!$F$3&lt;&gt;"",ESF[[#This Row],[Prof. (m)]]&gt;=SPT!$F$3),"lim.","OK")</f>
        <v>OK</v>
      </c>
      <c r="BJ11" s="4" t="str">
        <f>IF(COUNTIFS(ESF[Solo],"Areia",ESF[Prof. (m)],"&lt;="&amp;ESF[[#This Row],[Prof. (m)]])&gt;=1,"lim.","OK")</f>
        <v>OK</v>
      </c>
      <c r="BK11" s="4" t="str">
        <f ca="1">IF(ESF[[#This Row],[Verif. Biela]]="OK","OK","lim.")</f>
        <v>OK</v>
      </c>
      <c r="BL11" s="4" t="str">
        <f ca="1">IF(COUNTA(ESF[[#This Row],[Nº Est.]:[Biela comp.]])=COUNTIF(ESF[[#This Row],[Nº Est.]:[Biela comp.]],"OK"),"OK","lim.")</f>
        <v>lim.</v>
      </c>
      <c r="BM11" s="4" t="str">
        <f ca="1">IF(ESF[[#This Row],[Controle]]="OK",ESF[[#This Row],[nE]]&amp;" Ø"&amp;ESF[[#This Row],[Ø (cm)]]&amp;"cm Prof. "&amp;ESF[[#This Row],[Prof. (m)]]&amp;" m","")</f>
        <v/>
      </c>
      <c r="BN11" s="4" t="str">
        <f ca="1">IF(ESF[[#This Row],[idDimensionamento]]="","",ESF[[#This Row],[idPilar]]&amp;ESF[[#This Row],[idDimensionamento]])</f>
        <v/>
      </c>
    </row>
    <row r="12" spans="2:66" x14ac:dyDescent="0.25">
      <c r="B12" s="12">
        <f>ROUNDUP((ROW(ESF[[#This Row],[idDiâmetro]])-ROW(ESF[[#Headers],[idDiâmetro]]))/(COUNT(SPT[Prof. (m)])*COUNT(PILARES[Pilar])),0)</f>
        <v>1</v>
      </c>
      <c r="C12" s="12">
        <f>IF(ESF[[#This Row],[idDiâmetro]]&lt;&gt;B11,1,IF(ESF[[#This Row],[Prof. (m)]]=0,C11+1,C11))</f>
        <v>1</v>
      </c>
      <c r="D12" s="1">
        <f>IFERROR(IF(D11=MAX(SPT[Prof. (m)]),0,D11+1),0)</f>
        <v>7</v>
      </c>
      <c r="E12" s="1">
        <f>INDEX(SPT[],MATCH(ESF[[#This Row],[Prof. (m)]],SPT[Prof. (m)],0),2)</f>
        <v>8</v>
      </c>
      <c r="F12" s="1" t="str">
        <f>INDEX(SPT[],MATCH(ESF[[#This Row],[Prof. (m)]],SPT[Prof. (m)],0),3)</f>
        <v>Silte arenoso</v>
      </c>
      <c r="G12" s="1">
        <f>INDEX(estacas[],ESF[[#This Row],[idDiâmetro]],MATCH($B$2,estacas[#Headers],0))</f>
        <v>25</v>
      </c>
      <c r="H12" s="1">
        <f>INDEX(estacas[],MATCH(ESF[[#This Row],[Ø (cm)]],estacas[Ø ESF (cm)],0),MATCH(ESF[[#Headers],[Pe ESF (kN)]],estacas[#Headers],0))</f>
        <v>250</v>
      </c>
      <c r="I12" s="4">
        <f>INDEX(K_alpha_C[],MATCH(ESF[[#This Row],[Solo]],K_alpha_C[Solo],0),2)</f>
        <v>0.55000000000000004</v>
      </c>
      <c r="J12" s="5">
        <f>INDEX(K_alpha_C[],MATCH(ESF[[#This Row],[Solo]],K_alpha_C[Solo],0),3)</f>
        <v>2.2000000000000002</v>
      </c>
      <c r="K12" s="4">
        <f>INDEX(F1_F2[],MATCH($D$2,F1_F2[Tipo de estaca],0),2)</f>
        <v>3</v>
      </c>
      <c r="L12" s="4">
        <f>INDEX(F1_F2[],MATCH($D$2,F1_F2[Tipo de estaca],0),3)</f>
        <v>6</v>
      </c>
      <c r="M12" s="4">
        <f>PI()*(ESF[[#This Row],[Ø (cm)]]/100)^2/4</f>
        <v>4.9087385212340517E-2</v>
      </c>
      <c r="N12" s="4">
        <f>PI()*ESF[[#This Row],[Ø (cm)]]/100</f>
        <v>0.78539816339744828</v>
      </c>
      <c r="O12" s="4">
        <f>IF(ESF[[#This Row],[Prof. (m)]]=0,0,ESF[[#This Row],[α (%)]]/100*ESF[[#This Row],[K (MPa)]]*1000*ESF[[#This Row],[NSPT]])</f>
        <v>96.800000000000011</v>
      </c>
      <c r="P12" s="4">
        <f>IF(ESF[[#This Row],[Prof. (m)]]=0,0,(ESF[[#This Row],[K (MPa)]]*1000*ESF[[#This Row],[NSPT]]/ESF[[#This Row],[F1]]*ESF[[#This Row],[Ap (m²)]]+ESF[[#This Row],[U (m)]]/ESF[[#This Row],[F2]]*SUMIFS(ESF[(α∙K∙NL∙ΔL)],ESF[Prof. (m)],"&lt;="&amp;ESF[[#This Row],[Prof. (m)]],ESF[idDiâmetro],ESF[[#This Row],[idDiâmetro]],ESF[idPilar],ESF[[#This Row],[idPilar]]))/'DADOS CAP. CARGA'!$D$2)</f>
        <v>93.521286306551161</v>
      </c>
      <c r="Q12" s="12">
        <f>INDEX(C_alpha_beta[],MATCH(ESF[[#This Row],[Solo]],C_alpha_beta[Solo],0),MATCH(ESF[[#Headers],[C (kPa)]],C_alpha_beta[#Headers],0))</f>
        <v>250</v>
      </c>
      <c r="R12" s="4">
        <f>INDEX(C_alpha_beta[],MATCH(ESF[[#This Row],[Solo]],C_alpha_beta[Solo],0),MATCH(ESF[[#Headers],[α ESF]],C_alpha_beta[#Headers],0))</f>
        <v>0.6</v>
      </c>
      <c r="S12" s="4">
        <f>INDEX(C_alpha_beta[],MATCH(ESF[[#This Row],[Solo]],C_alpha_beta[Solo],0),MATCH(ESF[[#Headers],[β ESF]],C_alpha_beta[#Headers],0))</f>
        <v>0.65</v>
      </c>
      <c r="T12" s="4">
        <f>IF(ESF[[#This Row],[Prof. (m)]]=0,0,10*(ESF[[#This Row],[NSPT]]/3+1))</f>
        <v>36.666666666666664</v>
      </c>
      <c r="U12" s="4">
        <f>(ESF[[#This Row],[α ESF]]*ESF[[#This Row],[C (kPa)]]*ESF[[#This Row],[NSPT]]*ESF[[#This Row],[Ap (m²)]])/'DADOS CAP. CARGA'!$Q$2+(ESF[[#This Row],[β ESF]]*SUMIFS(ESF[10∙(NL/3+1)],ESF[Prof. (m)],"&lt;="&amp;ESF[[#This Row],[Prof. (m)]],ESF[idDiâmetro],ESF[[#This Row],[idDiâmetro]],ESF[idPilar],ESF[[#This Row],[idPilar]])*ESF[[#This Row],[U (m)]])/'DADOS CAP. CARGA'!$S$2</f>
        <v>85.346600422522712</v>
      </c>
      <c r="V12" s="4">
        <f>IF(SPT!$M$5=1,MIN(ESF[[#This Row],[Pe ESF (kN)]],ESF[[#This Row],[R_AV (kN)]]),IF(SPT!$M$5=2,MIN(ESF[[#This Row],[Pe ESF (kN)]],ESF[[#This Row],[R_DC (kN)]]),MIN(ESF[[#This Row],[Pe ESF (kN)]],ESF[[#This Row],[R_AV (kN)]],ESF[[#This Row],[R_DC (kN)]])))</f>
        <v>85.346600422522712</v>
      </c>
      <c r="W12" s="4">
        <f>INDEX(PILARES[],ESF[[#This Row],[idPilar]],MATCH("Carga (kN)",PILARES[#Headers],0))*1.4</f>
        <v>3500</v>
      </c>
      <c r="X12" s="12">
        <f>INDEX(PILARES[],ESF[[#This Row],[idPilar]],MATCH(ESF[[#Headers],[ap (cm)]],PILARES[#Headers],0))</f>
        <v>60</v>
      </c>
      <c r="Y12" s="12">
        <f>INDEX(PILARES[],ESF[[#This Row],[idPilar]],MATCH(ESF[[#Headers],[bp (cm)]],PILARES[#Headers],0))</f>
        <v>60</v>
      </c>
      <c r="Z12" s="4">
        <f>SQRT(ESF[[#This Row],[ap (cm)]]*ESF[[#This Row],[bp (cm)]])</f>
        <v>60</v>
      </c>
      <c r="AA12" s="12">
        <f>ESF[[#This Row],[ap (cm)]]*ESF[[#This Row],[bp (cm)]]</f>
        <v>3600</v>
      </c>
      <c r="AB12" s="12">
        <f ca="1">IF(ESF[[#This Row],[Padm∙ε (kN)]]&gt;=ESF[[#This Row],[Padm (kN)]],ROUNDUP(1.05*ESF[[#This Row],[Nsd (kN)]]/ESF[[#This Row],[Padm (kN)]],0),ROUNDUP(1.05*ESF[[#This Row],[Nsd (kN)]]/ESF[[#This Row],[Padm (kN)]],0)+1)</f>
        <v>44</v>
      </c>
      <c r="AC12" s="4" t="str">
        <f ca="1">IFERROR(IF(ESF[[#This Row],[nE]]=1,ESF[[#This Row],[Padm (kN)]],ESF[[#This Row],[Padm (kN)]]*ESF[[#This Row],[nE]]*INDEX(grupoEstacas[],ESF[[#This Row],[nE]],MATCH("ε",grupoEstacas[#Headers],0))),"N.S.")</f>
        <v>N.S.</v>
      </c>
      <c r="AD12" s="4">
        <f ca="1">1.05*ESF[[#This Row],[Nsd (kN)]]/(ESF[[#This Row],[nE]]*PI()*ESF[[#This Row],[Ø (cm)]]^2/4)*10</f>
        <v>1.7015110279642629</v>
      </c>
      <c r="AE12" s="4">
        <f ca="1">IF(ESF[[#This Row],[σ (MPa)]]&lt;INDEX(tipoEstaca[],MATCH($D$2,tipoEstaca[TIPO DE ESTACA],0),MATCH("σmáx (MPa)",tipoEstaca[#Headers],0)),0.4%*PI()*ESF[[#This Row],[Ø (cm)]]^2/4,"N.S.")</f>
        <v>1.9634954084936209</v>
      </c>
      <c r="AF12" s="1">
        <f>INDEX(tipoEstaca[],MATCH($D$2,tipoEstaca[TIPO DE ESTACA],0),MATCH(ESF[[#Headers],[Comprimento (m)]],tipoEstaca[#Headers],0))</f>
        <v>2</v>
      </c>
      <c r="AG12" s="5">
        <f ca="1">ESF[[#This Row],[As,mín (cm²)]]/100^2*ESF[[#This Row],[Comprimento (m)]]*7850</f>
        <v>3.0826877913349846</v>
      </c>
      <c r="AH12" s="4">
        <f ca="1">ESF[[#This Row],[nE]]*ESF[[#This Row],[Prof. (m)]]*ESF[[#This Row],[Ap (m²)]]</f>
        <v>15.11891464540088</v>
      </c>
      <c r="AI12" s="1">
        <f ca="1">IF(ESF[[#This Row],[nE]]=1,0,MAX(3*ESF[[#This Row],[Ø (cm)]],60))</f>
        <v>75</v>
      </c>
      <c r="AJ12" s="1">
        <f ca="1">IF(ESF[[#This Row],[nE]]=1,ESF[[#This Row],[Ø (cm)]]+2*10,MAX(1.5*ESF[[#This Row],[Ø (cm)]],ESF[[#This Row],[Ø (cm)]]+15))</f>
        <v>40</v>
      </c>
      <c r="AK12" s="1" t="str">
        <f ca="1">alturaUtil(ESF[[#This Row],[nE]],ESF[[#This Row],[Ø (cm)]],ESF[[#This Row],[e (cm)]],ESF[[#This Row],[ap,eq (cm)]])</f>
        <v>N.S.</v>
      </c>
      <c r="AL12" s="1" t="str">
        <f ca="1">IFERROR(ESF[[#This Row],[d (cm)]]+arredondarParaCimaMultiplo5cm(MAX(5,SQRT(PI())/2*ESF[[#This Row],[Ø (cm)]]/5)),"N.S.")</f>
        <v>N.S.</v>
      </c>
      <c r="AM12" s="5" t="str">
        <f ca="1">alpha(ESF[[#This Row],[nE]],ESF[[#This Row],[d (cm)]],ESF[[#This Row],[e (cm)]],ESF[[#This Row],[ap,eq (cm)]])</f>
        <v>N.S.</v>
      </c>
      <c r="AN12" s="35" t="str">
        <f ca="1">IFERROR(ESF[[#This Row],[Nsd (kN)]]/(ESF[[#This Row],[Ap (cm²)]]*SIN(ESF[[#This Row],[α]])^2),"N.S.")</f>
        <v>N.S.</v>
      </c>
      <c r="AO12" s="35" t="str">
        <f ca="1">IFERROR(ESF[[#This Row],[Nsd (kN)]]/(ESF[[#This Row],[nE]]*PI()*ESF[[#This Row],[Ø (cm)]]^2/4*SIN(ESF[[#This Row],[α]])^2),"N.S.")</f>
        <v>N.S.</v>
      </c>
      <c r="AP12" s="4" t="str">
        <f ca="1">IFERROR(INDEX(grupoEstacas[],ESF[[#This Row],[nE]],MATCH("coef. Blévot",grupoEstacas[#Headers],0)),"N.S.")</f>
        <v>N.S.</v>
      </c>
      <c r="AQ12" s="35" t="str">
        <f ca="1">IFERROR(ESF[[#This Row],[coef. Blévot]]*0.9*INDEX(tipoEstaca[],MATCH($D$2,tipoEstaca[TIPO DE ESTACA],0),MATCH("fcd (kN/cm²)",tipoEstaca[#Headers],0)),"N.S.")</f>
        <v>N.S.</v>
      </c>
      <c r="AR12" s="1" t="str">
        <f ca="1">IF(AND(ESF[[#This Row],[cd,b,pil (kN/cm²)]]&lt;=ESF[[#This Row],[cd,b,lim (kN/cm²)]],ESF[[#This Row],[cd,b,est (kN/cm²)]]&lt;=ESF[[#This Row],[cd,b,lim (kN/cm²)]]),"OK","ERRO")</f>
        <v>OK</v>
      </c>
      <c r="AS12" s="4" t="str">
        <f ca="1">As_lado(ESF[[#This Row],[nE]],ESF[[#This Row],[Nsd (kN)]],ESF[[#This Row],[d (cm)]],ESF[[#This Row],[e (cm)]],ESF[[#This Row],[ap,eq (cm)]])</f>
        <v>N.S.</v>
      </c>
      <c r="AT12" s="4" t="str">
        <f ca="1">IF(ESF[[#This Row],[nE]]=1,ESF[[#This Row],[As,lado (cm²)]],IF(ESF[[#This Row],[nE]]=2,0.075*2*ESF[a (cm)],"N.A."))</f>
        <v>N.A.</v>
      </c>
      <c r="AU12" s="4" t="str">
        <f ca="1">IFERROR(IF(ESF[[#This Row],[nE]]=1,"N.A.",0.2*ESF[[#This Row],[As,lado (cm²)]]),"N.S.")</f>
        <v>N.S.</v>
      </c>
      <c r="AV12" s="4" t="str">
        <f ca="1">As_malha(ESF[[#This Row],[nE]],ESF[[#This Row],[As,lado (cm²)]],ESF[[#This Row],[Nsd (kN)]])</f>
        <v>N.S.</v>
      </c>
      <c r="AW12" s="4" t="str">
        <f ca="1">As_susp_tot(ESF[[#This Row],[nE]],ESF[[#This Row],[Nsd (kN)]])</f>
        <v>N.S.</v>
      </c>
      <c r="AX12" s="4" t="str">
        <f ca="1">Asp_face(ESF[[#This Row],[nE]],ESF[[#This Row],[As,lado (cm²)]])</f>
        <v>N.S.</v>
      </c>
      <c r="AY12" s="5" t="str">
        <f ca="1">acoBloco(ESF[[#This Row],[nE]],ESF[[#This Row],[e (cm)]],ESF[[#This Row],[a (cm)]],ESF[[#This Row],[h (cm)]],ESF[[#This Row],[As,lado (cm²)]],ESF[[#This Row],[Asp e Asw (cm²/m)]],ESF[[#This Row],[As,sup (cm²)]],ESF[[#This Row],[As,malha (cm²)]],ESF[[#This Row],[As,susp,tot (cm²)]],ESF[[#This Row],[Asp,face (cm²)]])</f>
        <v>N.S.</v>
      </c>
      <c r="AZ12" s="4" t="str">
        <f ca="1">concretoBloco(ESF[[#This Row],[nE]],ESF[[#This Row],[e (cm)]],ESF[[#This Row],[a (cm)]],ESF[[#This Row],[h (cm)]])</f>
        <v>N.S.</v>
      </c>
      <c r="BA12" s="5">
        <f ca="1">SUM(ESF[[#This Row],[Aço Est (kg)]],ESF[[#This Row],[Aço Bloco (kg)]])</f>
        <v>3.0826877913349846</v>
      </c>
      <c r="BB12" s="4">
        <f>INDEX(composicoes[],MATCH(95580,composicoes[CÓDIGO],0),MATCH("CUSTO TOTAL",composicoes[#Headers],0))</f>
        <v>10.46</v>
      </c>
      <c r="BC12" s="4">
        <f ca="1">SUM(ESF[[#This Row],[Conc Est (m³)]],ESF[[#This Row],[Conc Bloco (m³)]])</f>
        <v>15.11891464540088</v>
      </c>
      <c r="BD12" s="4">
        <f>INDEX(composicoes[],MATCH(94966,composicoes[CÓDIGO],0),MATCH("CUSTO TOTAL",composicoes[#Headers],0))</f>
        <v>439.52</v>
      </c>
      <c r="BE12" s="38">
        <f ca="1">ESF[[#This Row],[Aço (kg)]]*ESF[[#This Row],[Aço (R$/kg)]]+ESF[[#This Row],[Conc (m³)]]*ESF[[#This Row],[Conc (R$/m³)]]</f>
        <v>6677.3102792439577</v>
      </c>
      <c r="BF12" s="4" t="str">
        <f ca="1">IF(COUNTIF(ESF[#This Row],"N.S.")&gt;0,"lim.","OK")</f>
        <v>lim.</v>
      </c>
      <c r="BG12" s="4" t="str">
        <f>IF(ESF[[#This Row],[Prof. (m)]]&lt;3,"lim.","OK")</f>
        <v>OK</v>
      </c>
      <c r="BH12" s="4" t="str">
        <f>IF(ESF[[#This Row],[Prof. (m)]]&gt;=8*ESF[[#This Row],[Ø (cm)]]/100,"OK","lim.")</f>
        <v>OK</v>
      </c>
      <c r="BI12" s="4" t="str">
        <f>IF(AND(SPT!$F$3&lt;&gt;"",ESF[[#This Row],[Prof. (m)]]&gt;=SPT!$F$3),"lim.","OK")</f>
        <v>OK</v>
      </c>
      <c r="BJ12" s="4" t="str">
        <f>IF(COUNTIFS(ESF[Solo],"Areia",ESF[Prof. (m)],"&lt;="&amp;ESF[[#This Row],[Prof. (m)]])&gt;=1,"lim.","OK")</f>
        <v>OK</v>
      </c>
      <c r="BK12" s="4" t="str">
        <f ca="1">IF(ESF[[#This Row],[Verif. Biela]]="OK","OK","lim.")</f>
        <v>OK</v>
      </c>
      <c r="BL12" s="4" t="str">
        <f ca="1">IF(COUNTA(ESF[[#This Row],[Nº Est.]:[Biela comp.]])=COUNTIF(ESF[[#This Row],[Nº Est.]:[Biela comp.]],"OK"),"OK","lim.")</f>
        <v>lim.</v>
      </c>
      <c r="BM12" s="4" t="str">
        <f ca="1">IF(ESF[[#This Row],[Controle]]="OK",ESF[[#This Row],[nE]]&amp;" Ø"&amp;ESF[[#This Row],[Ø (cm)]]&amp;"cm Prof. "&amp;ESF[[#This Row],[Prof. (m)]]&amp;" m","")</f>
        <v/>
      </c>
      <c r="BN12" s="4" t="str">
        <f ca="1">IF(ESF[[#This Row],[idDimensionamento]]="","",ESF[[#This Row],[idPilar]]&amp;ESF[[#This Row],[idDimensionamento]])</f>
        <v/>
      </c>
    </row>
    <row r="13" spans="2:66" x14ac:dyDescent="0.25">
      <c r="B13" s="12">
        <f>ROUNDUP((ROW(ESF[[#This Row],[idDiâmetro]])-ROW(ESF[[#Headers],[idDiâmetro]]))/(COUNT(SPT[Prof. (m)])*COUNT(PILARES[Pilar])),0)</f>
        <v>1</v>
      </c>
      <c r="C13" s="12">
        <f>IF(ESF[[#This Row],[idDiâmetro]]&lt;&gt;B12,1,IF(ESF[[#This Row],[Prof. (m)]]=0,C12+1,C12))</f>
        <v>1</v>
      </c>
      <c r="D13" s="1">
        <f>IFERROR(IF(D12=MAX(SPT[Prof. (m)]),0,D12+1),0)</f>
        <v>8</v>
      </c>
      <c r="E13" s="1">
        <f>INDEX(SPT[],MATCH(ESF[[#This Row],[Prof. (m)]],SPT[Prof. (m)],0),2)</f>
        <v>10</v>
      </c>
      <c r="F13" s="1" t="str">
        <f>INDEX(SPT[],MATCH(ESF[[#This Row],[Prof. (m)]],SPT[Prof. (m)],0),3)</f>
        <v>Silte arenoso</v>
      </c>
      <c r="G13" s="1">
        <f>INDEX(estacas[],ESF[[#This Row],[idDiâmetro]],MATCH($B$2,estacas[#Headers],0))</f>
        <v>25</v>
      </c>
      <c r="H13" s="1">
        <f>INDEX(estacas[],MATCH(ESF[[#This Row],[Ø (cm)]],estacas[Ø ESF (cm)],0),MATCH(ESF[[#Headers],[Pe ESF (kN)]],estacas[#Headers],0))</f>
        <v>250</v>
      </c>
      <c r="I13" s="4">
        <f>INDEX(K_alpha_C[],MATCH(ESF[[#This Row],[Solo]],K_alpha_C[Solo],0),2)</f>
        <v>0.55000000000000004</v>
      </c>
      <c r="J13" s="5">
        <f>INDEX(K_alpha_C[],MATCH(ESF[[#This Row],[Solo]],K_alpha_C[Solo],0),3)</f>
        <v>2.2000000000000002</v>
      </c>
      <c r="K13" s="4">
        <f>INDEX(F1_F2[],MATCH($D$2,F1_F2[Tipo de estaca],0),2)</f>
        <v>3</v>
      </c>
      <c r="L13" s="4">
        <f>INDEX(F1_F2[],MATCH($D$2,F1_F2[Tipo de estaca],0),3)</f>
        <v>6</v>
      </c>
      <c r="M13" s="4">
        <f>PI()*(ESF[[#This Row],[Ø (cm)]]/100)^2/4</f>
        <v>4.9087385212340517E-2</v>
      </c>
      <c r="N13" s="4">
        <f>PI()*ESF[[#This Row],[Ø (cm)]]/100</f>
        <v>0.78539816339744828</v>
      </c>
      <c r="O13" s="4">
        <f>IF(ESF[[#This Row],[Prof. (m)]]=0,0,ESF[[#This Row],[α (%)]]/100*ESF[[#This Row],[K (MPa)]]*1000*ESF[[#This Row],[NSPT]])</f>
        <v>121.00000000000001</v>
      </c>
      <c r="P13" s="4">
        <f>IF(ESF[[#This Row],[Prof. (m)]]=0,0,(ESF[[#This Row],[K (MPa)]]*1000*ESF[[#This Row],[NSPT]]/ESF[[#This Row],[F1]]*ESF[[#This Row],[Ap (m²)]]+ESF[[#This Row],[U (m)]]/ESF[[#This Row],[F2]]*SUMIFS(ESF[(α∙K∙NL∙ΔL)],ESF[Prof. (m)],"&lt;="&amp;ESF[[#This Row],[Prof. (m)]],ESF[idDiâmetro],ESF[[#This Row],[idDiâmetro]],ESF[idPilar],ESF[[#This Row],[idPilar]]))/'DADOS CAP. CARGA'!$D$2)</f>
        <v>110.44007174307117</v>
      </c>
      <c r="Q13" s="12">
        <f>INDEX(C_alpha_beta[],MATCH(ESF[[#This Row],[Solo]],C_alpha_beta[Solo],0),MATCH(ESF[[#Headers],[C (kPa)]],C_alpha_beta[#Headers],0))</f>
        <v>250</v>
      </c>
      <c r="R13" s="4">
        <f>INDEX(C_alpha_beta[],MATCH(ESF[[#This Row],[Solo]],C_alpha_beta[Solo],0),MATCH(ESF[[#Headers],[α ESF]],C_alpha_beta[#Headers],0))</f>
        <v>0.6</v>
      </c>
      <c r="S13" s="4">
        <f>INDEX(C_alpha_beta[],MATCH(ESF[[#This Row],[Solo]],C_alpha_beta[Solo],0),MATCH(ESF[[#Headers],[β ESF]],C_alpha_beta[#Headers],0))</f>
        <v>0.65</v>
      </c>
      <c r="T13" s="4">
        <f>IF(ESF[[#This Row],[Prof. (m)]]=0,0,10*(ESF[[#This Row],[NSPT]]/3+1))</f>
        <v>43.333333333333343</v>
      </c>
      <c r="U13" s="4">
        <f>(ESF[[#This Row],[α ESF]]*ESF[[#This Row],[C (kPa)]]*ESF[[#This Row],[NSPT]]*ESF[[#This Row],[Ap (m²)]])/'DADOS CAP. CARGA'!$Q$2+(ESF[[#This Row],[β ESF]]*SUMIFS(ESF[10∙(NL/3+1)],ESF[Prof. (m)],"&lt;="&amp;ESF[[#This Row],[Prof. (m)]],ESF[idDiâmetro],ESF[[#This Row],[idDiâmetro]],ESF[idPilar],ESF[[#This Row],[idPilar]])*ESF[[#This Row],[U (m)]])/'DADOS CAP. CARGA'!$S$2</f>
        <v>100.08917844796233</v>
      </c>
      <c r="V13" s="4">
        <f>IF(SPT!$M$5=1,MIN(ESF[[#This Row],[Pe ESF (kN)]],ESF[[#This Row],[R_AV (kN)]]),IF(SPT!$M$5=2,MIN(ESF[[#This Row],[Pe ESF (kN)]],ESF[[#This Row],[R_DC (kN)]]),MIN(ESF[[#This Row],[Pe ESF (kN)]],ESF[[#This Row],[R_AV (kN)]],ESF[[#This Row],[R_DC (kN)]])))</f>
        <v>100.08917844796233</v>
      </c>
      <c r="W13" s="4">
        <f>INDEX(PILARES[],ESF[[#This Row],[idPilar]],MATCH("Carga (kN)",PILARES[#Headers],0))*1.4</f>
        <v>3500</v>
      </c>
      <c r="X13" s="12">
        <f>INDEX(PILARES[],ESF[[#This Row],[idPilar]],MATCH(ESF[[#Headers],[ap (cm)]],PILARES[#Headers],0))</f>
        <v>60</v>
      </c>
      <c r="Y13" s="12">
        <f>INDEX(PILARES[],ESF[[#This Row],[idPilar]],MATCH(ESF[[#Headers],[bp (cm)]],PILARES[#Headers],0))</f>
        <v>60</v>
      </c>
      <c r="Z13" s="4">
        <f>SQRT(ESF[[#This Row],[ap (cm)]]*ESF[[#This Row],[bp (cm)]])</f>
        <v>60</v>
      </c>
      <c r="AA13" s="12">
        <f>ESF[[#This Row],[ap (cm)]]*ESF[[#This Row],[bp (cm)]]</f>
        <v>3600</v>
      </c>
      <c r="AB13" s="12">
        <f ca="1">IF(ESF[[#This Row],[Padm∙ε (kN)]]&gt;=ESF[[#This Row],[Padm (kN)]],ROUNDUP(1.05*ESF[[#This Row],[Nsd (kN)]]/ESF[[#This Row],[Padm (kN)]],0),ROUNDUP(1.05*ESF[[#This Row],[Nsd (kN)]]/ESF[[#This Row],[Padm (kN)]],0)+1)</f>
        <v>37</v>
      </c>
      <c r="AC13" s="4" t="str">
        <f ca="1">IFERROR(IF(ESF[[#This Row],[nE]]=1,ESF[[#This Row],[Padm (kN)]],ESF[[#This Row],[Padm (kN)]]*ESF[[#This Row],[nE]]*INDEX(grupoEstacas[],ESF[[#This Row],[nE]],MATCH("ε",grupoEstacas[#Headers],0))),"N.S.")</f>
        <v>N.S.</v>
      </c>
      <c r="AD13" s="4">
        <f ca="1">1.05*ESF[[#This Row],[Nsd (kN)]]/(ESF[[#This Row],[nE]]*PI()*ESF[[#This Row],[Ø (cm)]]^2/4)*10</f>
        <v>2.0234185197412855</v>
      </c>
      <c r="AE13" s="4">
        <f ca="1">IF(ESF[[#This Row],[σ (MPa)]]&lt;INDEX(tipoEstaca[],MATCH($D$2,tipoEstaca[TIPO DE ESTACA],0),MATCH("σmáx (MPa)",tipoEstaca[#Headers],0)),0.4%*PI()*ESF[[#This Row],[Ø (cm)]]^2/4,"N.S.")</f>
        <v>1.9634954084936209</v>
      </c>
      <c r="AF13" s="1">
        <f>INDEX(tipoEstaca[],MATCH($D$2,tipoEstaca[TIPO DE ESTACA],0),MATCH(ESF[[#Headers],[Comprimento (m)]],tipoEstaca[#Headers],0))</f>
        <v>2</v>
      </c>
      <c r="AG13" s="5">
        <f ca="1">ESF[[#This Row],[As,mín (cm²)]]/100^2*ESF[[#This Row],[Comprimento (m)]]*7850</f>
        <v>3.0826877913349846</v>
      </c>
      <c r="AH13" s="4">
        <f ca="1">ESF[[#This Row],[nE]]*ESF[[#This Row],[Prof. (m)]]*ESF[[#This Row],[Ap (m²)]]</f>
        <v>14.529866022852794</v>
      </c>
      <c r="AI13" s="1">
        <f ca="1">IF(ESF[[#This Row],[nE]]=1,0,MAX(3*ESF[[#This Row],[Ø (cm)]],60))</f>
        <v>75</v>
      </c>
      <c r="AJ13" s="1">
        <f ca="1">IF(ESF[[#This Row],[nE]]=1,ESF[[#This Row],[Ø (cm)]]+2*10,MAX(1.5*ESF[[#This Row],[Ø (cm)]],ESF[[#This Row],[Ø (cm)]]+15))</f>
        <v>40</v>
      </c>
      <c r="AK13" s="1" t="str">
        <f ca="1">alturaUtil(ESF[[#This Row],[nE]],ESF[[#This Row],[Ø (cm)]],ESF[[#This Row],[e (cm)]],ESF[[#This Row],[ap,eq (cm)]])</f>
        <v>N.S.</v>
      </c>
      <c r="AL13" s="1" t="str">
        <f ca="1">IFERROR(ESF[[#This Row],[d (cm)]]+arredondarParaCimaMultiplo5cm(MAX(5,SQRT(PI())/2*ESF[[#This Row],[Ø (cm)]]/5)),"N.S.")</f>
        <v>N.S.</v>
      </c>
      <c r="AM13" s="5" t="str">
        <f ca="1">alpha(ESF[[#This Row],[nE]],ESF[[#This Row],[d (cm)]],ESF[[#This Row],[e (cm)]],ESF[[#This Row],[ap,eq (cm)]])</f>
        <v>N.S.</v>
      </c>
      <c r="AN13" s="35" t="str">
        <f ca="1">IFERROR(ESF[[#This Row],[Nsd (kN)]]/(ESF[[#This Row],[Ap (cm²)]]*SIN(ESF[[#This Row],[α]])^2),"N.S.")</f>
        <v>N.S.</v>
      </c>
      <c r="AO13" s="35" t="str">
        <f ca="1">IFERROR(ESF[[#This Row],[Nsd (kN)]]/(ESF[[#This Row],[nE]]*PI()*ESF[[#This Row],[Ø (cm)]]^2/4*SIN(ESF[[#This Row],[α]])^2),"N.S.")</f>
        <v>N.S.</v>
      </c>
      <c r="AP13" s="4" t="str">
        <f ca="1">IFERROR(INDEX(grupoEstacas[],ESF[[#This Row],[nE]],MATCH("coef. Blévot",grupoEstacas[#Headers],0)),"N.S.")</f>
        <v>N.S.</v>
      </c>
      <c r="AQ13" s="35" t="str">
        <f ca="1">IFERROR(ESF[[#This Row],[coef. Blévot]]*0.9*INDEX(tipoEstaca[],MATCH($D$2,tipoEstaca[TIPO DE ESTACA],0),MATCH("fcd (kN/cm²)",tipoEstaca[#Headers],0)),"N.S.")</f>
        <v>N.S.</v>
      </c>
      <c r="AR13" s="1" t="str">
        <f ca="1">IF(AND(ESF[[#This Row],[cd,b,pil (kN/cm²)]]&lt;=ESF[[#This Row],[cd,b,lim (kN/cm²)]],ESF[[#This Row],[cd,b,est (kN/cm²)]]&lt;=ESF[[#This Row],[cd,b,lim (kN/cm²)]]),"OK","ERRO")</f>
        <v>OK</v>
      </c>
      <c r="AS13" s="4" t="str">
        <f ca="1">As_lado(ESF[[#This Row],[nE]],ESF[[#This Row],[Nsd (kN)]],ESF[[#This Row],[d (cm)]],ESF[[#This Row],[e (cm)]],ESF[[#This Row],[ap,eq (cm)]])</f>
        <v>N.S.</v>
      </c>
      <c r="AT13" s="4" t="str">
        <f ca="1">IF(ESF[[#This Row],[nE]]=1,ESF[[#This Row],[As,lado (cm²)]],IF(ESF[[#This Row],[nE]]=2,0.075*2*ESF[a (cm)],"N.A."))</f>
        <v>N.A.</v>
      </c>
      <c r="AU13" s="4" t="str">
        <f ca="1">IFERROR(IF(ESF[[#This Row],[nE]]=1,"N.A.",0.2*ESF[[#This Row],[As,lado (cm²)]]),"N.S.")</f>
        <v>N.S.</v>
      </c>
      <c r="AV13" s="4" t="str">
        <f ca="1">As_malha(ESF[[#This Row],[nE]],ESF[[#This Row],[As,lado (cm²)]],ESF[[#This Row],[Nsd (kN)]])</f>
        <v>N.S.</v>
      </c>
      <c r="AW13" s="4" t="str">
        <f ca="1">As_susp_tot(ESF[[#This Row],[nE]],ESF[[#This Row],[Nsd (kN)]])</f>
        <v>N.S.</v>
      </c>
      <c r="AX13" s="4" t="str">
        <f ca="1">Asp_face(ESF[[#This Row],[nE]],ESF[[#This Row],[As,lado (cm²)]])</f>
        <v>N.S.</v>
      </c>
      <c r="AY13" s="5" t="str">
        <f ca="1">acoBloco(ESF[[#This Row],[nE]],ESF[[#This Row],[e (cm)]],ESF[[#This Row],[a (cm)]],ESF[[#This Row],[h (cm)]],ESF[[#This Row],[As,lado (cm²)]],ESF[[#This Row],[Asp e Asw (cm²/m)]],ESF[[#This Row],[As,sup (cm²)]],ESF[[#This Row],[As,malha (cm²)]],ESF[[#This Row],[As,susp,tot (cm²)]],ESF[[#This Row],[Asp,face (cm²)]])</f>
        <v>N.S.</v>
      </c>
      <c r="AZ13" s="4" t="str">
        <f ca="1">concretoBloco(ESF[[#This Row],[nE]],ESF[[#This Row],[e (cm)]],ESF[[#This Row],[a (cm)]],ESF[[#This Row],[h (cm)]])</f>
        <v>N.S.</v>
      </c>
      <c r="BA13" s="5">
        <f ca="1">SUM(ESF[[#This Row],[Aço Est (kg)]],ESF[[#This Row],[Aço Bloco (kg)]])</f>
        <v>3.0826877913349846</v>
      </c>
      <c r="BB13" s="4">
        <f>INDEX(composicoes[],MATCH(95580,composicoes[CÓDIGO],0),MATCH("CUSTO TOTAL",composicoes[#Headers],0))</f>
        <v>10.46</v>
      </c>
      <c r="BC13" s="4">
        <f ca="1">SUM(ESF[[#This Row],[Conc Est (m³)]],ESF[[#This Row],[Conc Bloco (m³)]])</f>
        <v>14.529866022852794</v>
      </c>
      <c r="BD13" s="4">
        <f>INDEX(composicoes[],MATCH(94966,composicoes[CÓDIGO],0),MATCH("CUSTO TOTAL",composicoes[#Headers],0))</f>
        <v>439.52</v>
      </c>
      <c r="BE13" s="38">
        <f ca="1">ESF[[#This Row],[Aço (kg)]]*ESF[[#This Row],[Aço (R$/kg)]]+ESF[[#This Row],[Conc (m³)]]*ESF[[#This Row],[Conc (R$/m³)]]</f>
        <v>6418.4116286616236</v>
      </c>
      <c r="BF13" s="4" t="str">
        <f ca="1">IF(COUNTIF(ESF[#This Row],"N.S.")&gt;0,"lim.","OK")</f>
        <v>lim.</v>
      </c>
      <c r="BG13" s="4" t="str">
        <f>IF(ESF[[#This Row],[Prof. (m)]]&lt;3,"lim.","OK")</f>
        <v>OK</v>
      </c>
      <c r="BH13" s="4" t="str">
        <f>IF(ESF[[#This Row],[Prof. (m)]]&gt;=8*ESF[[#This Row],[Ø (cm)]]/100,"OK","lim.")</f>
        <v>OK</v>
      </c>
      <c r="BI13" s="4" t="str">
        <f>IF(AND(SPT!$F$3&lt;&gt;"",ESF[[#This Row],[Prof. (m)]]&gt;=SPT!$F$3),"lim.","OK")</f>
        <v>OK</v>
      </c>
      <c r="BJ13" s="4" t="str">
        <f>IF(COUNTIFS(ESF[Solo],"Areia",ESF[Prof. (m)],"&lt;="&amp;ESF[[#This Row],[Prof. (m)]])&gt;=1,"lim.","OK")</f>
        <v>OK</v>
      </c>
      <c r="BK13" s="4" t="str">
        <f ca="1">IF(ESF[[#This Row],[Verif. Biela]]="OK","OK","lim.")</f>
        <v>OK</v>
      </c>
      <c r="BL13" s="4" t="str">
        <f ca="1">IF(COUNTA(ESF[[#This Row],[Nº Est.]:[Biela comp.]])=COUNTIF(ESF[[#This Row],[Nº Est.]:[Biela comp.]],"OK"),"OK","lim.")</f>
        <v>lim.</v>
      </c>
      <c r="BM13" s="4" t="str">
        <f ca="1">IF(ESF[[#This Row],[Controle]]="OK",ESF[[#This Row],[nE]]&amp;" Ø"&amp;ESF[[#This Row],[Ø (cm)]]&amp;"cm Prof. "&amp;ESF[[#This Row],[Prof. (m)]]&amp;" m","")</f>
        <v/>
      </c>
      <c r="BN13" s="4" t="str">
        <f ca="1">IF(ESF[[#This Row],[idDimensionamento]]="","",ESF[[#This Row],[idPilar]]&amp;ESF[[#This Row],[idDimensionamento]])</f>
        <v/>
      </c>
    </row>
    <row r="14" spans="2:66" x14ac:dyDescent="0.25">
      <c r="B14" s="12">
        <f>ROUNDUP((ROW(ESF[[#This Row],[idDiâmetro]])-ROW(ESF[[#Headers],[idDiâmetro]]))/(COUNT(SPT[Prof. (m)])*COUNT(PILARES[Pilar])),0)</f>
        <v>1</v>
      </c>
      <c r="C14" s="12">
        <f>IF(ESF[[#This Row],[idDiâmetro]]&lt;&gt;B13,1,IF(ESF[[#This Row],[Prof. (m)]]=0,C13+1,C13))</f>
        <v>1</v>
      </c>
      <c r="D14" s="1">
        <f>IFERROR(IF(D13=MAX(SPT[Prof. (m)]),0,D13+1),0)</f>
        <v>9</v>
      </c>
      <c r="E14" s="1">
        <f>INDEX(SPT[],MATCH(ESF[[#This Row],[Prof. (m)]],SPT[Prof. (m)],0),2)</f>
        <v>26</v>
      </c>
      <c r="F14" s="1" t="str">
        <f>INDEX(SPT[],MATCH(ESF[[#This Row],[Prof. (m)]],SPT[Prof. (m)],0),3)</f>
        <v>Areia siltosa</v>
      </c>
      <c r="G14" s="1">
        <f>INDEX(estacas[],ESF[[#This Row],[idDiâmetro]],MATCH($B$2,estacas[#Headers],0))</f>
        <v>25</v>
      </c>
      <c r="H14" s="1">
        <f>INDEX(estacas[],MATCH(ESF[[#This Row],[Ø (cm)]],estacas[Ø ESF (cm)],0),MATCH(ESF[[#Headers],[Pe ESF (kN)]],estacas[#Headers],0))</f>
        <v>250</v>
      </c>
      <c r="I14" s="4">
        <f>INDEX(K_alpha_C[],MATCH(ESF[[#This Row],[Solo]],K_alpha_C[Solo],0),2)</f>
        <v>0.8</v>
      </c>
      <c r="J14" s="5">
        <f>INDEX(K_alpha_C[],MATCH(ESF[[#This Row],[Solo]],K_alpha_C[Solo],0),3)</f>
        <v>2</v>
      </c>
      <c r="K14" s="4">
        <f>INDEX(F1_F2[],MATCH($D$2,F1_F2[Tipo de estaca],0),2)</f>
        <v>3</v>
      </c>
      <c r="L14" s="4">
        <f>INDEX(F1_F2[],MATCH($D$2,F1_F2[Tipo de estaca],0),3)</f>
        <v>6</v>
      </c>
      <c r="M14" s="4">
        <f>PI()*(ESF[[#This Row],[Ø (cm)]]/100)^2/4</f>
        <v>4.9087385212340517E-2</v>
      </c>
      <c r="N14" s="4">
        <f>PI()*ESF[[#This Row],[Ø (cm)]]/100</f>
        <v>0.78539816339744828</v>
      </c>
      <c r="O14" s="4">
        <f>IF(ESF[[#This Row],[Prof. (m)]]=0,0,ESF[[#This Row],[α (%)]]/100*ESF[[#This Row],[K (MPa)]]*1000*ESF[[#This Row],[NSPT]])</f>
        <v>416</v>
      </c>
      <c r="P14" s="4">
        <f>IF(ESF[[#This Row],[Prof. (m)]]=0,0,(ESF[[#This Row],[K (MPa)]]*1000*ESF[[#This Row],[NSPT]]/ESF[[#This Row],[F1]]*ESF[[#This Row],[Ap (m²)]]+ESF[[#This Row],[U (m)]]/ESF[[#This Row],[F2]]*SUMIFS(ESF[(α∙K∙NL∙ΔL)],ESF[Prof. (m)],"&lt;="&amp;ESF[[#This Row],[Prof. (m)]],ESF[idDiâmetro],ESF[[#This Row],[idDiâmetro]],ESF[idPilar],ESF[[#This Row],[idPilar]]))/'DADOS CAP. CARGA'!$D$2)</f>
        <v>262.84004036565102</v>
      </c>
      <c r="Q14" s="12">
        <f>INDEX(C_alpha_beta[],MATCH(ESF[[#This Row],[Solo]],C_alpha_beta[Solo],0),MATCH(ESF[[#Headers],[C (kPa)]],C_alpha_beta[#Headers],0))</f>
        <v>400</v>
      </c>
      <c r="R14" s="4">
        <f>INDEX(C_alpha_beta[],MATCH(ESF[[#This Row],[Solo]],C_alpha_beta[Solo],0),MATCH(ESF[[#Headers],[α ESF]],C_alpha_beta[#Headers],0))</f>
        <v>0.5</v>
      </c>
      <c r="S14" s="4">
        <f>INDEX(C_alpha_beta[],MATCH(ESF[[#This Row],[Solo]],C_alpha_beta[Solo],0),MATCH(ESF[[#Headers],[β ESF]],C_alpha_beta[#Headers],0))</f>
        <v>0.5</v>
      </c>
      <c r="T14" s="4">
        <f>IF(ESF[[#This Row],[Prof. (m)]]=0,0,10*(ESF[[#This Row],[NSPT]]/3+1))</f>
        <v>96.666666666666657</v>
      </c>
      <c r="U14" s="4">
        <f>(ESF[[#This Row],[α ESF]]*ESF[[#This Row],[C (kPa)]]*ESF[[#This Row],[NSPT]]*ESF[[#This Row],[Ap (m²)]])/'DADOS CAP. CARGA'!$Q$2+(ESF[[#This Row],[β ESF]]*SUMIFS(ESF[10∙(NL/3+1)],ESF[Prof. (m)],"&lt;="&amp;ESF[[#This Row],[Prof. (m)]],ESF[idDiâmetro],ESF[[#This Row],[idDiâmetro]],ESF[idPilar],ESF[[#This Row],[idPilar]])*ESF[[#This Row],[U (m)]])/'DADOS CAP. CARGA'!$S$2</f>
        <v>145.62590946327686</v>
      </c>
      <c r="V14" s="4">
        <f>IF(SPT!$M$5=1,MIN(ESF[[#This Row],[Pe ESF (kN)]],ESF[[#This Row],[R_AV (kN)]]),IF(SPT!$M$5=2,MIN(ESF[[#This Row],[Pe ESF (kN)]],ESF[[#This Row],[R_DC (kN)]]),MIN(ESF[[#This Row],[Pe ESF (kN)]],ESF[[#This Row],[R_AV (kN)]],ESF[[#This Row],[R_DC (kN)]])))</f>
        <v>145.62590946327686</v>
      </c>
      <c r="W14" s="4">
        <f>INDEX(PILARES[],ESF[[#This Row],[idPilar]],MATCH("Carga (kN)",PILARES[#Headers],0))*1.4</f>
        <v>3500</v>
      </c>
      <c r="X14" s="12">
        <f>INDEX(PILARES[],ESF[[#This Row],[idPilar]],MATCH(ESF[[#Headers],[ap (cm)]],PILARES[#Headers],0))</f>
        <v>60</v>
      </c>
      <c r="Y14" s="12">
        <f>INDEX(PILARES[],ESF[[#This Row],[idPilar]],MATCH(ESF[[#Headers],[bp (cm)]],PILARES[#Headers],0))</f>
        <v>60</v>
      </c>
      <c r="Z14" s="4">
        <f>SQRT(ESF[[#This Row],[ap (cm)]]*ESF[[#This Row],[bp (cm)]])</f>
        <v>60</v>
      </c>
      <c r="AA14" s="12">
        <f>ESF[[#This Row],[ap (cm)]]*ESF[[#This Row],[bp (cm)]]</f>
        <v>3600</v>
      </c>
      <c r="AB14" s="12">
        <f ca="1">IF(ESF[[#This Row],[Padm∙ε (kN)]]&gt;=ESF[[#This Row],[Padm (kN)]],ROUNDUP(1.05*ESF[[#This Row],[Nsd (kN)]]/ESF[[#This Row],[Padm (kN)]],0),ROUNDUP(1.05*ESF[[#This Row],[Nsd (kN)]]/ESF[[#This Row],[Padm (kN)]],0)+1)</f>
        <v>26</v>
      </c>
      <c r="AC14" s="4" t="str">
        <f ca="1">IFERROR(IF(ESF[[#This Row],[nE]]=1,ESF[[#This Row],[Padm (kN)]],ESF[[#This Row],[Padm (kN)]]*ESF[[#This Row],[nE]]*INDEX(grupoEstacas[],ESF[[#This Row],[nE]],MATCH("ε",grupoEstacas[#Headers],0))),"N.S.")</f>
        <v>N.S.</v>
      </c>
      <c r="AD14" s="4">
        <f ca="1">1.05*ESF[[#This Row],[Nsd (kN)]]/(ESF[[#This Row],[nE]]*PI()*ESF[[#This Row],[Ø (cm)]]^2/4)*10</f>
        <v>2.8794802011702907</v>
      </c>
      <c r="AE14" s="4">
        <f ca="1">IF(ESF[[#This Row],[σ (MPa)]]&lt;INDEX(tipoEstaca[],MATCH($D$2,tipoEstaca[TIPO DE ESTACA],0),MATCH("σmáx (MPa)",tipoEstaca[#Headers],0)),0.4%*PI()*ESF[[#This Row],[Ø (cm)]]^2/4,"N.S.")</f>
        <v>1.9634954084936209</v>
      </c>
      <c r="AF14" s="1">
        <f>INDEX(tipoEstaca[],MATCH($D$2,tipoEstaca[TIPO DE ESTACA],0),MATCH(ESF[[#Headers],[Comprimento (m)]],tipoEstaca[#Headers],0))</f>
        <v>2</v>
      </c>
      <c r="AG14" s="5">
        <f ca="1">ESF[[#This Row],[As,mín (cm²)]]/100^2*ESF[[#This Row],[Comprimento (m)]]*7850</f>
        <v>3.0826877913349846</v>
      </c>
      <c r="AH14" s="4">
        <f ca="1">ESF[[#This Row],[nE]]*ESF[[#This Row],[Prof. (m)]]*ESF[[#This Row],[Ap (m²)]]</f>
        <v>11.486448139687681</v>
      </c>
      <c r="AI14" s="1">
        <f ca="1">IF(ESF[[#This Row],[nE]]=1,0,MAX(3*ESF[[#This Row],[Ø (cm)]],60))</f>
        <v>75</v>
      </c>
      <c r="AJ14" s="1">
        <f ca="1">IF(ESF[[#This Row],[nE]]=1,ESF[[#This Row],[Ø (cm)]]+2*10,MAX(1.5*ESF[[#This Row],[Ø (cm)]],ESF[[#This Row],[Ø (cm)]]+15))</f>
        <v>40</v>
      </c>
      <c r="AK14" s="1" t="str">
        <f ca="1">alturaUtil(ESF[[#This Row],[nE]],ESF[[#This Row],[Ø (cm)]],ESF[[#This Row],[e (cm)]],ESF[[#This Row],[ap,eq (cm)]])</f>
        <v>N.S.</v>
      </c>
      <c r="AL14" s="1" t="str">
        <f ca="1">IFERROR(ESF[[#This Row],[d (cm)]]+arredondarParaCimaMultiplo5cm(MAX(5,SQRT(PI())/2*ESF[[#This Row],[Ø (cm)]]/5)),"N.S.")</f>
        <v>N.S.</v>
      </c>
      <c r="AM14" s="5" t="str">
        <f ca="1">alpha(ESF[[#This Row],[nE]],ESF[[#This Row],[d (cm)]],ESF[[#This Row],[e (cm)]],ESF[[#This Row],[ap,eq (cm)]])</f>
        <v>N.S.</v>
      </c>
      <c r="AN14" s="35" t="str">
        <f ca="1">IFERROR(ESF[[#This Row],[Nsd (kN)]]/(ESF[[#This Row],[Ap (cm²)]]*SIN(ESF[[#This Row],[α]])^2),"N.S.")</f>
        <v>N.S.</v>
      </c>
      <c r="AO14" s="35" t="str">
        <f ca="1">IFERROR(ESF[[#This Row],[Nsd (kN)]]/(ESF[[#This Row],[nE]]*PI()*ESF[[#This Row],[Ø (cm)]]^2/4*SIN(ESF[[#This Row],[α]])^2),"N.S.")</f>
        <v>N.S.</v>
      </c>
      <c r="AP14" s="4" t="str">
        <f ca="1">IFERROR(INDEX(grupoEstacas[],ESF[[#This Row],[nE]],MATCH("coef. Blévot",grupoEstacas[#Headers],0)),"N.S.")</f>
        <v>N.S.</v>
      </c>
      <c r="AQ14" s="35" t="str">
        <f ca="1">IFERROR(ESF[[#This Row],[coef. Blévot]]*0.9*INDEX(tipoEstaca[],MATCH($D$2,tipoEstaca[TIPO DE ESTACA],0),MATCH("fcd (kN/cm²)",tipoEstaca[#Headers],0)),"N.S.")</f>
        <v>N.S.</v>
      </c>
      <c r="AR14" s="1" t="str">
        <f ca="1">IF(AND(ESF[[#This Row],[cd,b,pil (kN/cm²)]]&lt;=ESF[[#This Row],[cd,b,lim (kN/cm²)]],ESF[[#This Row],[cd,b,est (kN/cm²)]]&lt;=ESF[[#This Row],[cd,b,lim (kN/cm²)]]),"OK","ERRO")</f>
        <v>OK</v>
      </c>
      <c r="AS14" s="4" t="str">
        <f ca="1">As_lado(ESF[[#This Row],[nE]],ESF[[#This Row],[Nsd (kN)]],ESF[[#This Row],[d (cm)]],ESF[[#This Row],[e (cm)]],ESF[[#This Row],[ap,eq (cm)]])</f>
        <v>N.S.</v>
      </c>
      <c r="AT14" s="4" t="str">
        <f ca="1">IF(ESF[[#This Row],[nE]]=1,ESF[[#This Row],[As,lado (cm²)]],IF(ESF[[#This Row],[nE]]=2,0.075*2*ESF[a (cm)],"N.A."))</f>
        <v>N.A.</v>
      </c>
      <c r="AU14" s="4" t="str">
        <f ca="1">IFERROR(IF(ESF[[#This Row],[nE]]=1,"N.A.",0.2*ESF[[#This Row],[As,lado (cm²)]]),"N.S.")</f>
        <v>N.S.</v>
      </c>
      <c r="AV14" s="4" t="str">
        <f ca="1">As_malha(ESF[[#This Row],[nE]],ESF[[#This Row],[As,lado (cm²)]],ESF[[#This Row],[Nsd (kN)]])</f>
        <v>N.S.</v>
      </c>
      <c r="AW14" s="4" t="str">
        <f ca="1">As_susp_tot(ESF[[#This Row],[nE]],ESF[[#This Row],[Nsd (kN)]])</f>
        <v>N.S.</v>
      </c>
      <c r="AX14" s="4" t="str">
        <f ca="1">Asp_face(ESF[[#This Row],[nE]],ESF[[#This Row],[As,lado (cm²)]])</f>
        <v>N.S.</v>
      </c>
      <c r="AY14" s="5" t="str">
        <f ca="1">acoBloco(ESF[[#This Row],[nE]],ESF[[#This Row],[e (cm)]],ESF[[#This Row],[a (cm)]],ESF[[#This Row],[h (cm)]],ESF[[#This Row],[As,lado (cm²)]],ESF[[#This Row],[Asp e Asw (cm²/m)]],ESF[[#This Row],[As,sup (cm²)]],ESF[[#This Row],[As,malha (cm²)]],ESF[[#This Row],[As,susp,tot (cm²)]],ESF[[#This Row],[Asp,face (cm²)]])</f>
        <v>N.S.</v>
      </c>
      <c r="AZ14" s="4" t="str">
        <f ca="1">concretoBloco(ESF[[#This Row],[nE]],ESF[[#This Row],[e (cm)]],ESF[[#This Row],[a (cm)]],ESF[[#This Row],[h (cm)]])</f>
        <v>N.S.</v>
      </c>
      <c r="BA14" s="5">
        <f ca="1">SUM(ESF[[#This Row],[Aço Est (kg)]],ESF[[#This Row],[Aço Bloco (kg)]])</f>
        <v>3.0826877913349846</v>
      </c>
      <c r="BB14" s="4">
        <f>INDEX(composicoes[],MATCH(95580,composicoes[CÓDIGO],0),MATCH("CUSTO TOTAL",composicoes[#Headers],0))</f>
        <v>10.46</v>
      </c>
      <c r="BC14" s="4">
        <f ca="1">SUM(ESF[[#This Row],[Conc Est (m³)]],ESF[[#This Row],[Conc Bloco (m³)]])</f>
        <v>11.486448139687681</v>
      </c>
      <c r="BD14" s="4">
        <f>INDEX(composicoes[],MATCH(94966,composicoes[CÓDIGO],0),MATCH("CUSTO TOTAL",composicoes[#Headers],0))</f>
        <v>439.52</v>
      </c>
      <c r="BE14" s="38">
        <f ca="1">ESF[[#This Row],[Aço (kg)]]*ESF[[#This Row],[Aço (R$/kg)]]+ESF[[#This Row],[Conc (m³)]]*ESF[[#This Row],[Conc (R$/m³)]]</f>
        <v>5080.7686006528929</v>
      </c>
      <c r="BF14" s="4" t="str">
        <f ca="1">IF(COUNTIF(ESF[#This Row],"N.S.")&gt;0,"lim.","OK")</f>
        <v>lim.</v>
      </c>
      <c r="BG14" s="4" t="str">
        <f>IF(ESF[[#This Row],[Prof. (m)]]&lt;3,"lim.","OK")</f>
        <v>OK</v>
      </c>
      <c r="BH14" s="4" t="str">
        <f>IF(ESF[[#This Row],[Prof. (m)]]&gt;=8*ESF[[#This Row],[Ø (cm)]]/100,"OK","lim.")</f>
        <v>OK</v>
      </c>
      <c r="BI14" s="4" t="str">
        <f>IF(AND(SPT!$F$3&lt;&gt;"",ESF[[#This Row],[Prof. (m)]]&gt;=SPT!$F$3),"lim.","OK")</f>
        <v>OK</v>
      </c>
      <c r="BJ14" s="4" t="str">
        <f>IF(COUNTIFS(ESF[Solo],"Areia",ESF[Prof. (m)],"&lt;="&amp;ESF[[#This Row],[Prof. (m)]])&gt;=1,"lim.","OK")</f>
        <v>OK</v>
      </c>
      <c r="BK14" s="4" t="str">
        <f ca="1">IF(ESF[[#This Row],[Verif. Biela]]="OK","OK","lim.")</f>
        <v>OK</v>
      </c>
      <c r="BL14" s="4" t="str">
        <f ca="1">IF(COUNTA(ESF[[#This Row],[Nº Est.]:[Biela comp.]])=COUNTIF(ESF[[#This Row],[Nº Est.]:[Biela comp.]],"OK"),"OK","lim.")</f>
        <v>lim.</v>
      </c>
      <c r="BM14" s="4" t="str">
        <f ca="1">IF(ESF[[#This Row],[Controle]]="OK",ESF[[#This Row],[nE]]&amp;" Ø"&amp;ESF[[#This Row],[Ø (cm)]]&amp;"cm Prof. "&amp;ESF[[#This Row],[Prof. (m)]]&amp;" m","")</f>
        <v/>
      </c>
      <c r="BN14" s="4" t="str">
        <f ca="1">IF(ESF[[#This Row],[idDimensionamento]]="","",ESF[[#This Row],[idPilar]]&amp;ESF[[#This Row],[idDimensionamento]])</f>
        <v/>
      </c>
    </row>
    <row r="15" spans="2:66" x14ac:dyDescent="0.25">
      <c r="B15" s="12">
        <f>ROUNDUP((ROW(ESF[[#This Row],[idDiâmetro]])-ROW(ESF[[#Headers],[idDiâmetro]]))/(COUNT(SPT[Prof. (m)])*COUNT(PILARES[Pilar])),0)</f>
        <v>1</v>
      </c>
      <c r="C15" s="12">
        <f>IF(ESF[[#This Row],[idDiâmetro]]&lt;&gt;B14,1,IF(ESF[[#This Row],[Prof. (m)]]=0,C14+1,C14))</f>
        <v>1</v>
      </c>
      <c r="D15" s="1">
        <f>IFERROR(IF(D14=MAX(SPT[Prof. (m)]),0,D14+1),0)</f>
        <v>10</v>
      </c>
      <c r="E15" s="1">
        <f>INDEX(SPT[],MATCH(ESF[[#This Row],[Prof. (m)]],SPT[Prof. (m)],0),2)</f>
        <v>32</v>
      </c>
      <c r="F15" s="1" t="str">
        <f>INDEX(SPT[],MATCH(ESF[[#This Row],[Prof. (m)]],SPT[Prof. (m)],0),3)</f>
        <v>Areia siltosa</v>
      </c>
      <c r="G15" s="1">
        <f>INDEX(estacas[],ESF[[#This Row],[idDiâmetro]],MATCH($B$2,estacas[#Headers],0))</f>
        <v>25</v>
      </c>
      <c r="H15" s="1">
        <f>INDEX(estacas[],MATCH(ESF[[#This Row],[Ø (cm)]],estacas[Ø ESF (cm)],0),MATCH(ESF[[#Headers],[Pe ESF (kN)]],estacas[#Headers],0))</f>
        <v>250</v>
      </c>
      <c r="I15" s="4">
        <f>INDEX(K_alpha_C[],MATCH(ESF[[#This Row],[Solo]],K_alpha_C[Solo],0),2)</f>
        <v>0.8</v>
      </c>
      <c r="J15" s="5">
        <f>INDEX(K_alpha_C[],MATCH(ESF[[#This Row],[Solo]],K_alpha_C[Solo],0),3)</f>
        <v>2</v>
      </c>
      <c r="K15" s="4">
        <f>INDEX(F1_F2[],MATCH($D$2,F1_F2[Tipo de estaca],0),2)</f>
        <v>3</v>
      </c>
      <c r="L15" s="4">
        <f>INDEX(F1_F2[],MATCH($D$2,F1_F2[Tipo de estaca],0),3)</f>
        <v>6</v>
      </c>
      <c r="M15" s="4">
        <f>PI()*(ESF[[#This Row],[Ø (cm)]]/100)^2/4</f>
        <v>4.9087385212340517E-2</v>
      </c>
      <c r="N15" s="4">
        <f>PI()*ESF[[#This Row],[Ø (cm)]]/100</f>
        <v>0.78539816339744828</v>
      </c>
      <c r="O15" s="4">
        <f>IF(ESF[[#This Row],[Prof. (m)]]=0,0,ESF[[#This Row],[α (%)]]/100*ESF[[#This Row],[K (MPa)]]*1000*ESF[[#This Row],[NSPT]])</f>
        <v>512</v>
      </c>
      <c r="P15" s="4">
        <f>IF(ESF[[#This Row],[Prof. (m)]]=0,0,(ESF[[#This Row],[K (MPa)]]*1000*ESF[[#This Row],[NSPT]]/ESF[[#This Row],[F1]]*ESF[[#This Row],[Ap (m²)]]+ESF[[#This Row],[U (m)]]/ESF[[#This Row],[F2]]*SUMIFS(ESF[(α∙K∙NL∙ΔL)],ESF[Prof. (m)],"&lt;="&amp;ESF[[#This Row],[Prof. (m)]],ESF[idDiâmetro],ESF[[#This Row],[idDiâmetro]],ESF[idPilar],ESF[[#This Row],[idPilar]]))/'DADOS CAP. CARGA'!$D$2)</f>
        <v>335.62027017381462</v>
      </c>
      <c r="Q15" s="12">
        <f>INDEX(C_alpha_beta[],MATCH(ESF[[#This Row],[Solo]],C_alpha_beta[Solo],0),MATCH(ESF[[#Headers],[C (kPa)]],C_alpha_beta[#Headers],0))</f>
        <v>400</v>
      </c>
      <c r="R15" s="4">
        <f>INDEX(C_alpha_beta[],MATCH(ESF[[#This Row],[Solo]],C_alpha_beta[Solo],0),MATCH(ESF[[#Headers],[α ESF]],C_alpha_beta[#Headers],0))</f>
        <v>0.5</v>
      </c>
      <c r="S15" s="4">
        <f>INDEX(C_alpha_beta[],MATCH(ESF[[#This Row],[Solo]],C_alpha_beta[Solo],0),MATCH(ESF[[#Headers],[β ESF]],C_alpha_beta[#Headers],0))</f>
        <v>0.5</v>
      </c>
      <c r="T15" s="4">
        <f>IF(ESF[[#This Row],[Prof. (m)]]=0,0,10*(ESF[[#This Row],[NSPT]]/3+1))</f>
        <v>116.66666666666666</v>
      </c>
      <c r="U15" s="4">
        <f>(ESF[[#This Row],[α ESF]]*ESF[[#This Row],[C (kPa)]]*ESF[[#This Row],[NSPT]]*ESF[[#This Row],[Ap (m²)]])/'DADOS CAP. CARGA'!$Q$2+(ESF[[#This Row],[β ESF]]*SUMIFS(ESF[10∙(NL/3+1)],ESF[Prof. (m)],"&lt;="&amp;ESF[[#This Row],[Prof. (m)]],ESF[idDiâmetro],ESF[[#This Row],[idDiâmetro]],ESF[idPilar],ESF[[#This Row],[idPilar]])*ESF[[#This Row],[U (m)]])/'DADOS CAP. CARGA'!$S$2</f>
        <v>183.25957145940458</v>
      </c>
      <c r="V15" s="4">
        <f>IF(SPT!$M$5=1,MIN(ESF[[#This Row],[Pe ESF (kN)]],ESF[[#This Row],[R_AV (kN)]]),IF(SPT!$M$5=2,MIN(ESF[[#This Row],[Pe ESF (kN)]],ESF[[#This Row],[R_DC (kN)]]),MIN(ESF[[#This Row],[Pe ESF (kN)]],ESF[[#This Row],[R_AV (kN)]],ESF[[#This Row],[R_DC (kN)]])))</f>
        <v>183.25957145940458</v>
      </c>
      <c r="W15" s="4">
        <f>INDEX(PILARES[],ESF[[#This Row],[idPilar]],MATCH("Carga (kN)",PILARES[#Headers],0))*1.4</f>
        <v>3500</v>
      </c>
      <c r="X15" s="12">
        <f>INDEX(PILARES[],ESF[[#This Row],[idPilar]],MATCH(ESF[[#Headers],[ap (cm)]],PILARES[#Headers],0))</f>
        <v>60</v>
      </c>
      <c r="Y15" s="12">
        <f>INDEX(PILARES[],ESF[[#This Row],[idPilar]],MATCH(ESF[[#Headers],[bp (cm)]],PILARES[#Headers],0))</f>
        <v>60</v>
      </c>
      <c r="Z15" s="4">
        <f>SQRT(ESF[[#This Row],[ap (cm)]]*ESF[[#This Row],[bp (cm)]])</f>
        <v>60</v>
      </c>
      <c r="AA15" s="12">
        <f>ESF[[#This Row],[ap (cm)]]*ESF[[#This Row],[bp (cm)]]</f>
        <v>3600</v>
      </c>
      <c r="AB15" s="12">
        <f ca="1">IF(ESF[[#This Row],[Padm∙ε (kN)]]&gt;=ESF[[#This Row],[Padm (kN)]],ROUNDUP(1.05*ESF[[#This Row],[Nsd (kN)]]/ESF[[#This Row],[Padm (kN)]],0),ROUNDUP(1.05*ESF[[#This Row],[Nsd (kN)]]/ESF[[#This Row],[Padm (kN)]],0)+1)</f>
        <v>21</v>
      </c>
      <c r="AC15" s="4" t="str">
        <f ca="1">IFERROR(IF(ESF[[#This Row],[nE]]=1,ESF[[#This Row],[Padm (kN)]],ESF[[#This Row],[Padm (kN)]]*ESF[[#This Row],[nE]]*INDEX(grupoEstacas[],ESF[[#This Row],[nE]],MATCH("ε",grupoEstacas[#Headers],0))),"N.S.")</f>
        <v>N.S.</v>
      </c>
      <c r="AD15" s="4">
        <f ca="1">1.05*ESF[[#This Row],[Nsd (kN)]]/(ESF[[#This Row],[nE]]*PI()*ESF[[#This Row],[Ø (cm)]]^2/4)*10</f>
        <v>3.5650707252584555</v>
      </c>
      <c r="AE15" s="4">
        <f ca="1">IF(ESF[[#This Row],[σ (MPa)]]&lt;INDEX(tipoEstaca[],MATCH($D$2,tipoEstaca[TIPO DE ESTACA],0),MATCH("σmáx (MPa)",tipoEstaca[#Headers],0)),0.4%*PI()*ESF[[#This Row],[Ø (cm)]]^2/4,"N.S.")</f>
        <v>1.9634954084936209</v>
      </c>
      <c r="AF15" s="1">
        <f>INDEX(tipoEstaca[],MATCH($D$2,tipoEstaca[TIPO DE ESTACA],0),MATCH(ESF[[#Headers],[Comprimento (m)]],tipoEstaca[#Headers],0))</f>
        <v>2</v>
      </c>
      <c r="AG15" s="5">
        <f ca="1">ESF[[#This Row],[As,mín (cm²)]]/100^2*ESF[[#This Row],[Comprimento (m)]]*7850</f>
        <v>3.0826877913349846</v>
      </c>
      <c r="AH15" s="4">
        <f ca="1">ESF[[#This Row],[nE]]*ESF[[#This Row],[Prof. (m)]]*ESF[[#This Row],[Ap (m²)]]</f>
        <v>10.308350894591509</v>
      </c>
      <c r="AI15" s="1">
        <f ca="1">IF(ESF[[#This Row],[nE]]=1,0,MAX(3*ESF[[#This Row],[Ø (cm)]],60))</f>
        <v>75</v>
      </c>
      <c r="AJ15" s="1">
        <f ca="1">IF(ESF[[#This Row],[nE]]=1,ESF[[#This Row],[Ø (cm)]]+2*10,MAX(1.5*ESF[[#This Row],[Ø (cm)]],ESF[[#This Row],[Ø (cm)]]+15))</f>
        <v>40</v>
      </c>
      <c r="AK15" s="1" t="str">
        <f ca="1">alturaUtil(ESF[[#This Row],[nE]],ESF[[#This Row],[Ø (cm)]],ESF[[#This Row],[e (cm)]],ESF[[#This Row],[ap,eq (cm)]])</f>
        <v>N.S.</v>
      </c>
      <c r="AL15" s="1" t="str">
        <f ca="1">IFERROR(ESF[[#This Row],[d (cm)]]+arredondarParaCimaMultiplo5cm(MAX(5,SQRT(PI())/2*ESF[[#This Row],[Ø (cm)]]/5)),"N.S.")</f>
        <v>N.S.</v>
      </c>
      <c r="AM15" s="5" t="str">
        <f ca="1">alpha(ESF[[#This Row],[nE]],ESF[[#This Row],[d (cm)]],ESF[[#This Row],[e (cm)]],ESF[[#This Row],[ap,eq (cm)]])</f>
        <v>N.S.</v>
      </c>
      <c r="AN15" s="35" t="str">
        <f ca="1">IFERROR(ESF[[#This Row],[Nsd (kN)]]/(ESF[[#This Row],[Ap (cm²)]]*SIN(ESF[[#This Row],[α]])^2),"N.S.")</f>
        <v>N.S.</v>
      </c>
      <c r="AO15" s="35" t="str">
        <f ca="1">IFERROR(ESF[[#This Row],[Nsd (kN)]]/(ESF[[#This Row],[nE]]*PI()*ESF[[#This Row],[Ø (cm)]]^2/4*SIN(ESF[[#This Row],[α]])^2),"N.S.")</f>
        <v>N.S.</v>
      </c>
      <c r="AP15" s="4" t="str">
        <f ca="1">IFERROR(INDEX(grupoEstacas[],ESF[[#This Row],[nE]],MATCH("coef. Blévot",grupoEstacas[#Headers],0)),"N.S.")</f>
        <v>N.S.</v>
      </c>
      <c r="AQ15" s="35" t="str">
        <f ca="1">IFERROR(ESF[[#This Row],[coef. Blévot]]*0.9*INDEX(tipoEstaca[],MATCH($D$2,tipoEstaca[TIPO DE ESTACA],0),MATCH("fcd (kN/cm²)",tipoEstaca[#Headers],0)),"N.S.")</f>
        <v>N.S.</v>
      </c>
      <c r="AR15" s="1" t="str">
        <f ca="1">IF(AND(ESF[[#This Row],[cd,b,pil (kN/cm²)]]&lt;=ESF[[#This Row],[cd,b,lim (kN/cm²)]],ESF[[#This Row],[cd,b,est (kN/cm²)]]&lt;=ESF[[#This Row],[cd,b,lim (kN/cm²)]]),"OK","ERRO")</f>
        <v>OK</v>
      </c>
      <c r="AS15" s="4" t="str">
        <f ca="1">As_lado(ESF[[#This Row],[nE]],ESF[[#This Row],[Nsd (kN)]],ESF[[#This Row],[d (cm)]],ESF[[#This Row],[e (cm)]],ESF[[#This Row],[ap,eq (cm)]])</f>
        <v>N.S.</v>
      </c>
      <c r="AT15" s="4" t="str">
        <f ca="1">IF(ESF[[#This Row],[nE]]=1,ESF[[#This Row],[As,lado (cm²)]],IF(ESF[[#This Row],[nE]]=2,0.075*2*ESF[a (cm)],"N.A."))</f>
        <v>N.A.</v>
      </c>
      <c r="AU15" s="4" t="str">
        <f ca="1">IFERROR(IF(ESF[[#This Row],[nE]]=1,"N.A.",0.2*ESF[[#This Row],[As,lado (cm²)]]),"N.S.")</f>
        <v>N.S.</v>
      </c>
      <c r="AV15" s="4" t="str">
        <f ca="1">As_malha(ESF[[#This Row],[nE]],ESF[[#This Row],[As,lado (cm²)]],ESF[[#This Row],[Nsd (kN)]])</f>
        <v>N.S.</v>
      </c>
      <c r="AW15" s="4" t="str">
        <f ca="1">As_susp_tot(ESF[[#This Row],[nE]],ESF[[#This Row],[Nsd (kN)]])</f>
        <v>N.S.</v>
      </c>
      <c r="AX15" s="4" t="str">
        <f ca="1">Asp_face(ESF[[#This Row],[nE]],ESF[[#This Row],[As,lado (cm²)]])</f>
        <v>N.S.</v>
      </c>
      <c r="AY15" s="5" t="str">
        <f ca="1">acoBloco(ESF[[#This Row],[nE]],ESF[[#This Row],[e (cm)]],ESF[[#This Row],[a (cm)]],ESF[[#This Row],[h (cm)]],ESF[[#This Row],[As,lado (cm²)]],ESF[[#This Row],[Asp e Asw (cm²/m)]],ESF[[#This Row],[As,sup (cm²)]],ESF[[#This Row],[As,malha (cm²)]],ESF[[#This Row],[As,susp,tot (cm²)]],ESF[[#This Row],[Asp,face (cm²)]])</f>
        <v>N.S.</v>
      </c>
      <c r="AZ15" s="4" t="str">
        <f ca="1">concretoBloco(ESF[[#This Row],[nE]],ESF[[#This Row],[e (cm)]],ESF[[#This Row],[a (cm)]],ESF[[#This Row],[h (cm)]])</f>
        <v>N.S.</v>
      </c>
      <c r="BA15" s="5">
        <f ca="1">SUM(ESF[[#This Row],[Aço Est (kg)]],ESF[[#This Row],[Aço Bloco (kg)]])</f>
        <v>3.0826877913349846</v>
      </c>
      <c r="BB15" s="4">
        <f>INDEX(composicoes[],MATCH(95580,composicoes[CÓDIGO],0),MATCH("CUSTO TOTAL",composicoes[#Headers],0))</f>
        <v>10.46</v>
      </c>
      <c r="BC15" s="4">
        <f ca="1">SUM(ESF[[#This Row],[Conc Est (m³)]],ESF[[#This Row],[Conc Bloco (m³)]])</f>
        <v>10.308350894591509</v>
      </c>
      <c r="BD15" s="4">
        <f>INDEX(composicoes[],MATCH(94966,composicoes[CÓDIGO],0),MATCH("CUSTO TOTAL",composicoes[#Headers],0))</f>
        <v>439.52</v>
      </c>
      <c r="BE15" s="38">
        <f ca="1">ESF[[#This Row],[Aço (kg)]]*ESF[[#This Row],[Aço (R$/kg)]]+ESF[[#This Row],[Conc (m³)]]*ESF[[#This Row],[Conc (R$/m³)]]</f>
        <v>4562.9712994882238</v>
      </c>
      <c r="BF15" s="4" t="str">
        <f ca="1">IF(COUNTIF(ESF[#This Row],"N.S.")&gt;0,"lim.","OK")</f>
        <v>lim.</v>
      </c>
      <c r="BG15" s="4" t="str">
        <f>IF(ESF[[#This Row],[Prof. (m)]]&lt;3,"lim.","OK")</f>
        <v>OK</v>
      </c>
      <c r="BH15" s="4" t="str">
        <f>IF(ESF[[#This Row],[Prof. (m)]]&gt;=8*ESF[[#This Row],[Ø (cm)]]/100,"OK","lim.")</f>
        <v>OK</v>
      </c>
      <c r="BI15" s="4" t="str">
        <f>IF(AND(SPT!$F$3&lt;&gt;"",ESF[[#This Row],[Prof. (m)]]&gt;=SPT!$F$3),"lim.","OK")</f>
        <v>OK</v>
      </c>
      <c r="BJ15" s="4" t="str">
        <f>IF(COUNTIFS(ESF[Solo],"Areia",ESF[Prof. (m)],"&lt;="&amp;ESF[[#This Row],[Prof. (m)]])&gt;=1,"lim.","OK")</f>
        <v>OK</v>
      </c>
      <c r="BK15" s="4" t="str">
        <f ca="1">IF(ESF[[#This Row],[Verif. Biela]]="OK","OK","lim.")</f>
        <v>OK</v>
      </c>
      <c r="BL15" s="4" t="str">
        <f ca="1">IF(COUNTA(ESF[[#This Row],[Nº Est.]:[Biela comp.]])=COUNTIF(ESF[[#This Row],[Nº Est.]:[Biela comp.]],"OK"),"OK","lim.")</f>
        <v>lim.</v>
      </c>
      <c r="BM15" s="4" t="str">
        <f ca="1">IF(ESF[[#This Row],[Controle]]="OK",ESF[[#This Row],[nE]]&amp;" Ø"&amp;ESF[[#This Row],[Ø (cm)]]&amp;"cm Prof. "&amp;ESF[[#This Row],[Prof. (m)]]&amp;" m","")</f>
        <v/>
      </c>
      <c r="BN15" s="4" t="str">
        <f ca="1">IF(ESF[[#This Row],[idDimensionamento]]="","",ESF[[#This Row],[idPilar]]&amp;ESF[[#This Row],[idDimensionamento]])</f>
        <v/>
      </c>
    </row>
    <row r="16" spans="2:66" x14ac:dyDescent="0.25">
      <c r="B16" s="12">
        <f>ROUNDUP((ROW(ESF[[#This Row],[idDiâmetro]])-ROW(ESF[[#Headers],[idDiâmetro]]))/(COUNT(SPT[Prof. (m)])*COUNT(PILARES[Pilar])),0)</f>
        <v>1</v>
      </c>
      <c r="C16" s="12">
        <f>IF(ESF[[#This Row],[idDiâmetro]]&lt;&gt;B15,1,IF(ESF[[#This Row],[Prof. (m)]]=0,C15+1,C15))</f>
        <v>1</v>
      </c>
      <c r="D16" s="1">
        <f>IFERROR(IF(D15=MAX(SPT[Prof. (m)]),0,D15+1),0)</f>
        <v>11</v>
      </c>
      <c r="E16" s="1">
        <f>INDEX(SPT[],MATCH(ESF[[#This Row],[Prof. (m)]],SPT[Prof. (m)],0),2)</f>
        <v>41</v>
      </c>
      <c r="F16" s="1" t="str">
        <f>INDEX(SPT[],MATCH(ESF[[#This Row],[Prof. (m)]],SPT[Prof. (m)],0),3)</f>
        <v>Areia siltosa</v>
      </c>
      <c r="G16" s="1">
        <f>INDEX(estacas[],ESF[[#This Row],[idDiâmetro]],MATCH($B$2,estacas[#Headers],0))</f>
        <v>25</v>
      </c>
      <c r="H16" s="1">
        <f>INDEX(estacas[],MATCH(ESF[[#This Row],[Ø (cm)]],estacas[Ø ESF (cm)],0),MATCH(ESF[[#Headers],[Pe ESF (kN)]],estacas[#Headers],0))</f>
        <v>250</v>
      </c>
      <c r="I16" s="4">
        <f>INDEX(K_alpha_C[],MATCH(ESF[[#This Row],[Solo]],K_alpha_C[Solo],0),2)</f>
        <v>0.8</v>
      </c>
      <c r="J16" s="5">
        <f>INDEX(K_alpha_C[],MATCH(ESF[[#This Row],[Solo]],K_alpha_C[Solo],0),3)</f>
        <v>2</v>
      </c>
      <c r="K16" s="4">
        <f>INDEX(F1_F2[],MATCH($D$2,F1_F2[Tipo de estaca],0),2)</f>
        <v>3</v>
      </c>
      <c r="L16" s="4">
        <f>INDEX(F1_F2[],MATCH($D$2,F1_F2[Tipo de estaca],0),3)</f>
        <v>6</v>
      </c>
      <c r="M16" s="4">
        <f>PI()*(ESF[[#This Row],[Ø (cm)]]/100)^2/4</f>
        <v>4.9087385212340517E-2</v>
      </c>
      <c r="N16" s="4">
        <f>PI()*ESF[[#This Row],[Ø (cm)]]/100</f>
        <v>0.78539816339744828</v>
      </c>
      <c r="O16" s="4">
        <f>IF(ESF[[#This Row],[Prof. (m)]]=0,0,ESF[[#This Row],[α (%)]]/100*ESF[[#This Row],[K (MPa)]]*1000*ESF[[#This Row],[NSPT]])</f>
        <v>656</v>
      </c>
      <c r="P16" s="4">
        <f>IF(ESF[[#This Row],[Prof. (m)]]=0,0,(ESF[[#This Row],[K (MPa)]]*1000*ESF[[#This Row],[NSPT]]/ESF[[#This Row],[F1]]*ESF[[#This Row],[Ap (m²)]]+ESF[[#This Row],[U (m)]]/ESF[[#This Row],[F2]]*SUMIFS(ESF[(α∙K∙NL∙ΔL)],ESF[Prof. (m)],"&lt;="&amp;ESF[[#This Row],[Prof. (m)]],ESF[idDiâmetro],ESF[[#This Row],[idDiâmetro]],ESF[idPilar],ESF[[#This Row],[idPilar]]))/'DADOS CAP. CARGA'!$D$2)</f>
        <v>437.46023202768367</v>
      </c>
      <c r="Q16" s="12">
        <f>INDEX(C_alpha_beta[],MATCH(ESF[[#This Row],[Solo]],C_alpha_beta[Solo],0),MATCH(ESF[[#Headers],[C (kPa)]],C_alpha_beta[#Headers],0))</f>
        <v>400</v>
      </c>
      <c r="R16" s="4">
        <f>INDEX(C_alpha_beta[],MATCH(ESF[[#This Row],[Solo]],C_alpha_beta[Solo],0),MATCH(ESF[[#Headers],[α ESF]],C_alpha_beta[#Headers],0))</f>
        <v>0.5</v>
      </c>
      <c r="S16" s="4">
        <f>INDEX(C_alpha_beta[],MATCH(ESF[[#This Row],[Solo]],C_alpha_beta[Solo],0),MATCH(ESF[[#Headers],[β ESF]],C_alpha_beta[#Headers],0))</f>
        <v>0.5</v>
      </c>
      <c r="T16" s="4">
        <f>IF(ESF[[#This Row],[Prof. (m)]]=0,0,10*(ESF[[#This Row],[NSPT]]/3+1))</f>
        <v>146.66666666666666</v>
      </c>
      <c r="U16" s="4">
        <f>(ESF[[#This Row],[α ESF]]*ESF[[#This Row],[C (kPa)]]*ESF[[#This Row],[NSPT]]*ESF[[#This Row],[Ap (m²)]])/'DADOS CAP. CARGA'!$Q$2+(ESF[[#This Row],[β ESF]]*SUMIFS(ESF[10∙(NL/3+1)],ESF[Prof. (m)],"&lt;="&amp;ESF[[#This Row],[Prof. (m)]],ESF[idDiâmetro],ESF[[#This Row],[idDiâmetro]],ESF[idPilar],ESF[[#This Row],[idPilar]])*ESF[[#This Row],[U (m)]])/'DADOS CAP. CARGA'!$S$2</f>
        <v>234.14682746286422</v>
      </c>
      <c r="V16" s="4">
        <f>IF(SPT!$M$5=1,MIN(ESF[[#This Row],[Pe ESF (kN)]],ESF[[#This Row],[R_AV (kN)]]),IF(SPT!$M$5=2,MIN(ESF[[#This Row],[Pe ESF (kN)]],ESF[[#This Row],[R_DC (kN)]]),MIN(ESF[[#This Row],[Pe ESF (kN)]],ESF[[#This Row],[R_AV (kN)]],ESF[[#This Row],[R_DC (kN)]])))</f>
        <v>234.14682746286422</v>
      </c>
      <c r="W16" s="4">
        <f>INDEX(PILARES[],ESF[[#This Row],[idPilar]],MATCH("Carga (kN)",PILARES[#Headers],0))*1.4</f>
        <v>3500</v>
      </c>
      <c r="X16" s="12">
        <f>INDEX(PILARES[],ESF[[#This Row],[idPilar]],MATCH(ESF[[#Headers],[ap (cm)]],PILARES[#Headers],0))</f>
        <v>60</v>
      </c>
      <c r="Y16" s="12">
        <f>INDEX(PILARES[],ESF[[#This Row],[idPilar]],MATCH(ESF[[#Headers],[bp (cm)]],PILARES[#Headers],0))</f>
        <v>60</v>
      </c>
      <c r="Z16" s="4">
        <f>SQRT(ESF[[#This Row],[ap (cm)]]*ESF[[#This Row],[bp (cm)]])</f>
        <v>60</v>
      </c>
      <c r="AA16" s="12">
        <f>ESF[[#This Row],[ap (cm)]]*ESF[[#This Row],[bp (cm)]]</f>
        <v>3600</v>
      </c>
      <c r="AB16" s="12">
        <f ca="1">IF(ESF[[#This Row],[Padm∙ε (kN)]]&gt;=ESF[[#This Row],[Padm (kN)]],ROUNDUP(1.05*ESF[[#This Row],[Nsd (kN)]]/ESF[[#This Row],[Padm (kN)]],0),ROUNDUP(1.05*ESF[[#This Row],[Nsd (kN)]]/ESF[[#This Row],[Padm (kN)]],0)+1)</f>
        <v>16</v>
      </c>
      <c r="AC16" s="4" t="str">
        <f ca="1">IFERROR(IF(ESF[[#This Row],[nE]]=1,ESF[[#This Row],[Padm (kN)]],ESF[[#This Row],[Padm (kN)]]*ESF[[#This Row],[nE]]*INDEX(grupoEstacas[],ESF[[#This Row],[nE]],MATCH("ε",grupoEstacas[#Headers],0))),"N.S.")</f>
        <v>N.S.</v>
      </c>
      <c r="AD16" s="4">
        <f ca="1">1.05*ESF[[#This Row],[Nsd (kN)]]/(ESF[[#This Row],[nE]]*PI()*ESF[[#This Row],[Ø (cm)]]^2/4)*10</f>
        <v>4.6791553269017232</v>
      </c>
      <c r="AE16" s="4">
        <f ca="1">IF(ESF[[#This Row],[σ (MPa)]]&lt;INDEX(tipoEstaca[],MATCH($D$2,tipoEstaca[TIPO DE ESTACA],0),MATCH("σmáx (MPa)",tipoEstaca[#Headers],0)),0.4%*PI()*ESF[[#This Row],[Ø (cm)]]^2/4,"N.S.")</f>
        <v>1.9634954084936209</v>
      </c>
      <c r="AF16" s="1">
        <f>INDEX(tipoEstaca[],MATCH($D$2,tipoEstaca[TIPO DE ESTACA],0),MATCH(ESF[[#Headers],[Comprimento (m)]],tipoEstaca[#Headers],0))</f>
        <v>2</v>
      </c>
      <c r="AG16" s="5">
        <f ca="1">ESF[[#This Row],[As,mín (cm²)]]/100^2*ESF[[#This Row],[Comprimento (m)]]*7850</f>
        <v>3.0826877913349846</v>
      </c>
      <c r="AH16" s="4">
        <f ca="1">ESF[[#This Row],[nE]]*ESF[[#This Row],[Prof. (m)]]*ESF[[#This Row],[Ap (m²)]]</f>
        <v>8.6393797973719302</v>
      </c>
      <c r="AI16" s="1">
        <f ca="1">IF(ESF[[#This Row],[nE]]=1,0,MAX(3*ESF[[#This Row],[Ø (cm)]],60))</f>
        <v>75</v>
      </c>
      <c r="AJ16" s="1">
        <f ca="1">IF(ESF[[#This Row],[nE]]=1,ESF[[#This Row],[Ø (cm)]]+2*10,MAX(1.5*ESF[[#This Row],[Ø (cm)]],ESF[[#This Row],[Ø (cm)]]+15))</f>
        <v>40</v>
      </c>
      <c r="AK16" s="1" t="str">
        <f ca="1">alturaUtil(ESF[[#This Row],[nE]],ESF[[#This Row],[Ø (cm)]],ESF[[#This Row],[e (cm)]],ESF[[#This Row],[ap,eq (cm)]])</f>
        <v>N.S.</v>
      </c>
      <c r="AL16" s="1" t="str">
        <f ca="1">IFERROR(ESF[[#This Row],[d (cm)]]+arredondarParaCimaMultiplo5cm(MAX(5,SQRT(PI())/2*ESF[[#This Row],[Ø (cm)]]/5)),"N.S.")</f>
        <v>N.S.</v>
      </c>
      <c r="AM16" s="5" t="str">
        <f ca="1">alpha(ESF[[#This Row],[nE]],ESF[[#This Row],[d (cm)]],ESF[[#This Row],[e (cm)]],ESF[[#This Row],[ap,eq (cm)]])</f>
        <v>N.S.</v>
      </c>
      <c r="AN16" s="35" t="str">
        <f ca="1">IFERROR(ESF[[#This Row],[Nsd (kN)]]/(ESF[[#This Row],[Ap (cm²)]]*SIN(ESF[[#This Row],[α]])^2),"N.S.")</f>
        <v>N.S.</v>
      </c>
      <c r="AO16" s="35" t="str">
        <f ca="1">IFERROR(ESF[[#This Row],[Nsd (kN)]]/(ESF[[#This Row],[nE]]*PI()*ESF[[#This Row],[Ø (cm)]]^2/4*SIN(ESF[[#This Row],[α]])^2),"N.S.")</f>
        <v>N.S.</v>
      </c>
      <c r="AP16" s="4" t="str">
        <f ca="1">IFERROR(INDEX(grupoEstacas[],ESF[[#This Row],[nE]],MATCH("coef. Blévot",grupoEstacas[#Headers],0)),"N.S.")</f>
        <v>N.S.</v>
      </c>
      <c r="AQ16" s="35" t="str">
        <f ca="1">IFERROR(ESF[[#This Row],[coef. Blévot]]*0.9*INDEX(tipoEstaca[],MATCH($D$2,tipoEstaca[TIPO DE ESTACA],0),MATCH("fcd (kN/cm²)",tipoEstaca[#Headers],0)),"N.S.")</f>
        <v>N.S.</v>
      </c>
      <c r="AR16" s="1" t="str">
        <f ca="1">IF(AND(ESF[[#This Row],[cd,b,pil (kN/cm²)]]&lt;=ESF[[#This Row],[cd,b,lim (kN/cm²)]],ESF[[#This Row],[cd,b,est (kN/cm²)]]&lt;=ESF[[#This Row],[cd,b,lim (kN/cm²)]]),"OK","ERRO")</f>
        <v>OK</v>
      </c>
      <c r="AS16" s="4" t="str">
        <f ca="1">As_lado(ESF[[#This Row],[nE]],ESF[[#This Row],[Nsd (kN)]],ESF[[#This Row],[d (cm)]],ESF[[#This Row],[e (cm)]],ESF[[#This Row],[ap,eq (cm)]])</f>
        <v>N.S.</v>
      </c>
      <c r="AT16" s="4" t="str">
        <f ca="1">IF(ESF[[#This Row],[nE]]=1,ESF[[#This Row],[As,lado (cm²)]],IF(ESF[[#This Row],[nE]]=2,0.075*2*ESF[a (cm)],"N.A."))</f>
        <v>N.A.</v>
      </c>
      <c r="AU16" s="4" t="str">
        <f ca="1">IFERROR(IF(ESF[[#This Row],[nE]]=1,"N.A.",0.2*ESF[[#This Row],[As,lado (cm²)]]),"N.S.")</f>
        <v>N.S.</v>
      </c>
      <c r="AV16" s="4" t="str">
        <f ca="1">As_malha(ESF[[#This Row],[nE]],ESF[[#This Row],[As,lado (cm²)]],ESF[[#This Row],[Nsd (kN)]])</f>
        <v>N.S.</v>
      </c>
      <c r="AW16" s="4" t="str">
        <f ca="1">As_susp_tot(ESF[[#This Row],[nE]],ESF[[#This Row],[Nsd (kN)]])</f>
        <v>N.S.</v>
      </c>
      <c r="AX16" s="4" t="str">
        <f ca="1">Asp_face(ESF[[#This Row],[nE]],ESF[[#This Row],[As,lado (cm²)]])</f>
        <v>N.S.</v>
      </c>
      <c r="AY16" s="5" t="str">
        <f ca="1">acoBloco(ESF[[#This Row],[nE]],ESF[[#This Row],[e (cm)]],ESF[[#This Row],[a (cm)]],ESF[[#This Row],[h (cm)]],ESF[[#This Row],[As,lado (cm²)]],ESF[[#This Row],[Asp e Asw (cm²/m)]],ESF[[#This Row],[As,sup (cm²)]],ESF[[#This Row],[As,malha (cm²)]],ESF[[#This Row],[As,susp,tot (cm²)]],ESF[[#This Row],[Asp,face (cm²)]])</f>
        <v>N.S.</v>
      </c>
      <c r="AZ16" s="4" t="str">
        <f ca="1">concretoBloco(ESF[[#This Row],[nE]],ESF[[#This Row],[e (cm)]],ESF[[#This Row],[a (cm)]],ESF[[#This Row],[h (cm)]])</f>
        <v>N.S.</v>
      </c>
      <c r="BA16" s="5">
        <f ca="1">SUM(ESF[[#This Row],[Aço Est (kg)]],ESF[[#This Row],[Aço Bloco (kg)]])</f>
        <v>3.0826877913349846</v>
      </c>
      <c r="BB16" s="4">
        <f>INDEX(composicoes[],MATCH(95580,composicoes[CÓDIGO],0),MATCH("CUSTO TOTAL",composicoes[#Headers],0))</f>
        <v>10.46</v>
      </c>
      <c r="BC16" s="4">
        <f ca="1">SUM(ESF[[#This Row],[Conc Est (m³)]],ESF[[#This Row],[Conc Bloco (m³)]])</f>
        <v>8.6393797973719302</v>
      </c>
      <c r="BD16" s="4">
        <f>INDEX(composicoes[],MATCH(94966,composicoes[CÓDIGO],0),MATCH("CUSTO TOTAL",composicoes[#Headers],0))</f>
        <v>439.52</v>
      </c>
      <c r="BE16" s="38">
        <f ca="1">ESF[[#This Row],[Aço (kg)]]*ESF[[#This Row],[Aço (R$/kg)]]+ESF[[#This Row],[Conc (m³)]]*ESF[[#This Row],[Conc (R$/m³)]]</f>
        <v>3829.4251228382741</v>
      </c>
      <c r="BF16" s="4" t="str">
        <f ca="1">IF(COUNTIF(ESF[#This Row],"N.S.")&gt;0,"lim.","OK")</f>
        <v>lim.</v>
      </c>
      <c r="BG16" s="4" t="str">
        <f>IF(ESF[[#This Row],[Prof. (m)]]&lt;3,"lim.","OK")</f>
        <v>OK</v>
      </c>
      <c r="BH16" s="4" t="str">
        <f>IF(ESF[[#This Row],[Prof. (m)]]&gt;=8*ESF[[#This Row],[Ø (cm)]]/100,"OK","lim.")</f>
        <v>OK</v>
      </c>
      <c r="BI16" s="4" t="str">
        <f>IF(AND(SPT!$F$3&lt;&gt;"",ESF[[#This Row],[Prof. (m)]]&gt;=SPT!$F$3),"lim.","OK")</f>
        <v>OK</v>
      </c>
      <c r="BJ16" s="4" t="str">
        <f>IF(COUNTIFS(ESF[Solo],"Areia",ESF[Prof. (m)],"&lt;="&amp;ESF[[#This Row],[Prof. (m)]])&gt;=1,"lim.","OK")</f>
        <v>OK</v>
      </c>
      <c r="BK16" s="4" t="str">
        <f ca="1">IF(ESF[[#This Row],[Verif. Biela]]="OK","OK","lim.")</f>
        <v>OK</v>
      </c>
      <c r="BL16" s="4" t="str">
        <f ca="1">IF(COUNTA(ESF[[#This Row],[Nº Est.]:[Biela comp.]])=COUNTIF(ESF[[#This Row],[Nº Est.]:[Biela comp.]],"OK"),"OK","lim.")</f>
        <v>lim.</v>
      </c>
      <c r="BM16" s="4" t="str">
        <f ca="1">IF(ESF[[#This Row],[Controle]]="OK",ESF[[#This Row],[nE]]&amp;" Ø"&amp;ESF[[#This Row],[Ø (cm)]]&amp;"cm Prof. "&amp;ESF[[#This Row],[Prof. (m)]]&amp;" m","")</f>
        <v/>
      </c>
      <c r="BN16" s="4" t="str">
        <f ca="1">IF(ESF[[#This Row],[idDimensionamento]]="","",ESF[[#This Row],[idPilar]]&amp;ESF[[#This Row],[idDimensionamento]])</f>
        <v/>
      </c>
    </row>
    <row r="17" spans="2:66" x14ac:dyDescent="0.25">
      <c r="B17" s="12">
        <f>ROUNDUP((ROW(ESF[[#This Row],[idDiâmetro]])-ROW(ESF[[#Headers],[idDiâmetro]]))/(COUNT(SPT[Prof. (m)])*COUNT(PILARES[Pilar])),0)</f>
        <v>1</v>
      </c>
      <c r="C17" s="12">
        <f>IF(ESF[[#This Row],[idDiâmetro]]&lt;&gt;B16,1,IF(ESF[[#This Row],[Prof. (m)]]=0,C16+1,C16))</f>
        <v>1</v>
      </c>
      <c r="D17" s="1">
        <f>IFERROR(IF(D16=MAX(SPT[Prof. (m)]),0,D16+1),0)</f>
        <v>12</v>
      </c>
      <c r="E17" s="1">
        <f>INDEX(SPT[],MATCH(ESF[[#This Row],[Prof. (m)]],SPT[Prof. (m)],0),2)</f>
        <v>52</v>
      </c>
      <c r="F17" s="1" t="str">
        <f>INDEX(SPT[],MATCH(ESF[[#This Row],[Prof. (m)]],SPT[Prof. (m)],0),3)</f>
        <v>Areia siltosa</v>
      </c>
      <c r="G17" s="1">
        <f>INDEX(estacas[],ESF[[#This Row],[idDiâmetro]],MATCH($B$2,estacas[#Headers],0))</f>
        <v>25</v>
      </c>
      <c r="H17" s="1">
        <f>INDEX(estacas[],MATCH(ESF[[#This Row],[Ø (cm)]],estacas[Ø ESF (cm)],0),MATCH(ESF[[#Headers],[Pe ESF (kN)]],estacas[#Headers],0))</f>
        <v>250</v>
      </c>
      <c r="I17" s="4">
        <f>INDEX(K_alpha_C[],MATCH(ESF[[#This Row],[Solo]],K_alpha_C[Solo],0),2)</f>
        <v>0.8</v>
      </c>
      <c r="J17" s="5">
        <f>INDEX(K_alpha_C[],MATCH(ESF[[#This Row],[Solo]],K_alpha_C[Solo],0),3)</f>
        <v>2</v>
      </c>
      <c r="K17" s="4">
        <f>INDEX(F1_F2[],MATCH($D$2,F1_F2[Tipo de estaca],0),2)</f>
        <v>3</v>
      </c>
      <c r="L17" s="4">
        <f>INDEX(F1_F2[],MATCH($D$2,F1_F2[Tipo de estaca],0),3)</f>
        <v>6</v>
      </c>
      <c r="M17" s="4">
        <f>PI()*(ESF[[#This Row],[Ø (cm)]]/100)^2/4</f>
        <v>4.9087385212340517E-2</v>
      </c>
      <c r="N17" s="4">
        <f>PI()*ESF[[#This Row],[Ø (cm)]]/100</f>
        <v>0.78539816339744828</v>
      </c>
      <c r="O17" s="4">
        <f>IF(ESF[[#This Row],[Prof. (m)]]=0,0,ESF[[#This Row],[α (%)]]/100*ESF[[#This Row],[K (MPa)]]*1000*ESF[[#This Row],[NSPT]])</f>
        <v>832</v>
      </c>
      <c r="P17" s="4">
        <f>IF(ESF[[#This Row],[Prof. (m)]]=0,0,(ESF[[#This Row],[K (MPa)]]*1000*ESF[[#This Row],[NSPT]]/ESF[[#This Row],[F1]]*ESF[[#This Row],[Ap (m²)]]+ESF[[#This Row],[U (m)]]/ESF[[#This Row],[F2]]*SUMIFS(ESF[(α∙K∙NL∙ΔL)],ESF[Prof. (m)],"&lt;="&amp;ESF[[#This Row],[Prof. (m)]],ESF[idDiâmetro],ESF[[#This Row],[idDiâmetro]],ESF[idPilar],ESF[[#This Row],[idPilar]]))/'DADOS CAP. CARGA'!$D$2)</f>
        <v>563.90933633467284</v>
      </c>
      <c r="Q17" s="12">
        <f>INDEX(C_alpha_beta[],MATCH(ESF[[#This Row],[Solo]],C_alpha_beta[Solo],0),MATCH(ESF[[#Headers],[C (kPa)]],C_alpha_beta[#Headers],0))</f>
        <v>400</v>
      </c>
      <c r="R17" s="4">
        <f>INDEX(C_alpha_beta[],MATCH(ESF[[#This Row],[Solo]],C_alpha_beta[Solo],0),MATCH(ESF[[#Headers],[α ESF]],C_alpha_beta[#Headers],0))</f>
        <v>0.5</v>
      </c>
      <c r="S17" s="4">
        <f>INDEX(C_alpha_beta[],MATCH(ESF[[#This Row],[Solo]],C_alpha_beta[Solo],0),MATCH(ESF[[#Headers],[β ESF]],C_alpha_beta[#Headers],0))</f>
        <v>0.5</v>
      </c>
      <c r="T17" s="4">
        <f>IF(ESF[[#This Row],[Prof. (m)]]=0,0,10*(ESF[[#This Row],[NSPT]]/3+1))</f>
        <v>183.33333333333331</v>
      </c>
      <c r="U17" s="4">
        <f>(ESF[[#This Row],[α ESF]]*ESF[[#This Row],[C (kPa)]]*ESF[[#This Row],[NSPT]]*ESF[[#This Row],[Ap (m²)]])/'DADOS CAP. CARGA'!$Q$2+(ESF[[#This Row],[β ESF]]*SUMIFS(ESF[10∙(NL/3+1)],ESF[Prof. (m)],"&lt;="&amp;ESF[[#This Row],[Prof. (m)]],ESF[idDiâmetro],ESF[[#This Row],[idDiâmetro]],ESF[idPilar],ESF[[#This Row],[idPilar]])*ESF[[#This Row],[U (m)]])/'DADOS CAP. CARGA'!$S$2</f>
        <v>297.14230515203457</v>
      </c>
      <c r="V17" s="4">
        <f>IF(SPT!$M$5=1,MIN(ESF[[#This Row],[Pe ESF (kN)]],ESF[[#This Row],[R_AV (kN)]]),IF(SPT!$M$5=2,MIN(ESF[[#This Row],[Pe ESF (kN)]],ESF[[#This Row],[R_DC (kN)]]),MIN(ESF[[#This Row],[Pe ESF (kN)]],ESF[[#This Row],[R_AV (kN)]],ESF[[#This Row],[R_DC (kN)]])))</f>
        <v>250</v>
      </c>
      <c r="W17" s="4">
        <f>INDEX(PILARES[],ESF[[#This Row],[idPilar]],MATCH("Carga (kN)",PILARES[#Headers],0))*1.4</f>
        <v>3500</v>
      </c>
      <c r="X17" s="12">
        <f>INDEX(PILARES[],ESF[[#This Row],[idPilar]],MATCH(ESF[[#Headers],[ap (cm)]],PILARES[#Headers],0))</f>
        <v>60</v>
      </c>
      <c r="Y17" s="12">
        <f>INDEX(PILARES[],ESF[[#This Row],[idPilar]],MATCH(ESF[[#Headers],[bp (cm)]],PILARES[#Headers],0))</f>
        <v>60</v>
      </c>
      <c r="Z17" s="4">
        <f>SQRT(ESF[[#This Row],[ap (cm)]]*ESF[[#This Row],[bp (cm)]])</f>
        <v>60</v>
      </c>
      <c r="AA17" s="12">
        <f>ESF[[#This Row],[ap (cm)]]*ESF[[#This Row],[bp (cm)]]</f>
        <v>3600</v>
      </c>
      <c r="AB17" s="12">
        <f ca="1">IF(ESF[[#This Row],[Padm∙ε (kN)]]&gt;=ESF[[#This Row],[Padm (kN)]],ROUNDUP(1.05*ESF[[#This Row],[Nsd (kN)]]/ESF[[#This Row],[Padm (kN)]],0),ROUNDUP(1.05*ESF[[#This Row],[Nsd (kN)]]/ESF[[#This Row],[Padm (kN)]],0)+1)</f>
        <v>15</v>
      </c>
      <c r="AC17" s="4" t="str">
        <f ca="1">IFERROR(IF(ESF[[#This Row],[nE]]=1,ESF[[#This Row],[Padm (kN)]],ESF[[#This Row],[Padm (kN)]]*ESF[[#This Row],[nE]]*INDEX(grupoEstacas[],ESF[[#This Row],[nE]],MATCH("ε",grupoEstacas[#Headers],0))),"N.S.")</f>
        <v>N.S.</v>
      </c>
      <c r="AD17" s="4">
        <f ca="1">1.05*ESF[[#This Row],[Nsd (kN)]]/(ESF[[#This Row],[nE]]*PI()*ESF[[#This Row],[Ø (cm)]]^2/4)*10</f>
        <v>4.9910990153618382</v>
      </c>
      <c r="AE17" s="4">
        <f ca="1">IF(ESF[[#This Row],[σ (MPa)]]&lt;INDEX(tipoEstaca[],MATCH($D$2,tipoEstaca[TIPO DE ESTACA],0),MATCH("σmáx (MPa)",tipoEstaca[#Headers],0)),0.4%*PI()*ESF[[#This Row],[Ø (cm)]]^2/4,"N.S.")</f>
        <v>1.9634954084936209</v>
      </c>
      <c r="AF17" s="1">
        <f>INDEX(tipoEstaca[],MATCH($D$2,tipoEstaca[TIPO DE ESTACA],0),MATCH(ESF[[#Headers],[Comprimento (m)]],tipoEstaca[#Headers],0))</f>
        <v>2</v>
      </c>
      <c r="AG17" s="5">
        <f ca="1">ESF[[#This Row],[As,mín (cm²)]]/100^2*ESF[[#This Row],[Comprimento (m)]]*7850</f>
        <v>3.0826877913349846</v>
      </c>
      <c r="AH17" s="4">
        <f ca="1">ESF[[#This Row],[nE]]*ESF[[#This Row],[Prof. (m)]]*ESF[[#This Row],[Ap (m²)]]</f>
        <v>8.8357293382212934</v>
      </c>
      <c r="AI17" s="1">
        <f ca="1">IF(ESF[[#This Row],[nE]]=1,0,MAX(3*ESF[[#This Row],[Ø (cm)]],60))</f>
        <v>75</v>
      </c>
      <c r="AJ17" s="1">
        <f ca="1">IF(ESF[[#This Row],[nE]]=1,ESF[[#This Row],[Ø (cm)]]+2*10,MAX(1.5*ESF[[#This Row],[Ø (cm)]],ESF[[#This Row],[Ø (cm)]]+15))</f>
        <v>40</v>
      </c>
      <c r="AK17" s="1" t="str">
        <f ca="1">alturaUtil(ESF[[#This Row],[nE]],ESF[[#This Row],[Ø (cm)]],ESF[[#This Row],[e (cm)]],ESF[[#This Row],[ap,eq (cm)]])</f>
        <v>N.S.</v>
      </c>
      <c r="AL17" s="1" t="str">
        <f ca="1">IFERROR(ESF[[#This Row],[d (cm)]]+arredondarParaCimaMultiplo5cm(MAX(5,SQRT(PI())/2*ESF[[#This Row],[Ø (cm)]]/5)),"N.S.")</f>
        <v>N.S.</v>
      </c>
      <c r="AM17" s="5" t="str">
        <f ca="1">alpha(ESF[[#This Row],[nE]],ESF[[#This Row],[d (cm)]],ESF[[#This Row],[e (cm)]],ESF[[#This Row],[ap,eq (cm)]])</f>
        <v>N.S.</v>
      </c>
      <c r="AN17" s="35" t="str">
        <f ca="1">IFERROR(ESF[[#This Row],[Nsd (kN)]]/(ESF[[#This Row],[Ap (cm²)]]*SIN(ESF[[#This Row],[α]])^2),"N.S.")</f>
        <v>N.S.</v>
      </c>
      <c r="AO17" s="35" t="str">
        <f ca="1">IFERROR(ESF[[#This Row],[Nsd (kN)]]/(ESF[[#This Row],[nE]]*PI()*ESF[[#This Row],[Ø (cm)]]^2/4*SIN(ESF[[#This Row],[α]])^2),"N.S.")</f>
        <v>N.S.</v>
      </c>
      <c r="AP17" s="4" t="str">
        <f ca="1">IFERROR(INDEX(grupoEstacas[],ESF[[#This Row],[nE]],MATCH("coef. Blévot",grupoEstacas[#Headers],0)),"N.S.")</f>
        <v>N.S.</v>
      </c>
      <c r="AQ17" s="35" t="str">
        <f ca="1">IFERROR(ESF[[#This Row],[coef. Blévot]]*0.9*INDEX(tipoEstaca[],MATCH($D$2,tipoEstaca[TIPO DE ESTACA],0),MATCH("fcd (kN/cm²)",tipoEstaca[#Headers],0)),"N.S.")</f>
        <v>N.S.</v>
      </c>
      <c r="AR17" s="1" t="str">
        <f ca="1">IF(AND(ESF[[#This Row],[cd,b,pil (kN/cm²)]]&lt;=ESF[[#This Row],[cd,b,lim (kN/cm²)]],ESF[[#This Row],[cd,b,est (kN/cm²)]]&lt;=ESF[[#This Row],[cd,b,lim (kN/cm²)]]),"OK","ERRO")</f>
        <v>OK</v>
      </c>
      <c r="AS17" s="4" t="str">
        <f ca="1">As_lado(ESF[[#This Row],[nE]],ESF[[#This Row],[Nsd (kN)]],ESF[[#This Row],[d (cm)]],ESF[[#This Row],[e (cm)]],ESF[[#This Row],[ap,eq (cm)]])</f>
        <v>N.S.</v>
      </c>
      <c r="AT17" s="4" t="str">
        <f ca="1">IF(ESF[[#This Row],[nE]]=1,ESF[[#This Row],[As,lado (cm²)]],IF(ESF[[#This Row],[nE]]=2,0.075*2*ESF[a (cm)],"N.A."))</f>
        <v>N.A.</v>
      </c>
      <c r="AU17" s="4" t="str">
        <f ca="1">IFERROR(IF(ESF[[#This Row],[nE]]=1,"N.A.",0.2*ESF[[#This Row],[As,lado (cm²)]]),"N.S.")</f>
        <v>N.S.</v>
      </c>
      <c r="AV17" s="4" t="str">
        <f ca="1">As_malha(ESF[[#This Row],[nE]],ESF[[#This Row],[As,lado (cm²)]],ESF[[#This Row],[Nsd (kN)]])</f>
        <v>N.S.</v>
      </c>
      <c r="AW17" s="4" t="str">
        <f ca="1">As_susp_tot(ESF[[#This Row],[nE]],ESF[[#This Row],[Nsd (kN)]])</f>
        <v>N.S.</v>
      </c>
      <c r="AX17" s="4" t="str">
        <f ca="1">Asp_face(ESF[[#This Row],[nE]],ESF[[#This Row],[As,lado (cm²)]])</f>
        <v>N.S.</v>
      </c>
      <c r="AY17" s="5" t="str">
        <f ca="1">acoBloco(ESF[[#This Row],[nE]],ESF[[#This Row],[e (cm)]],ESF[[#This Row],[a (cm)]],ESF[[#This Row],[h (cm)]],ESF[[#This Row],[As,lado (cm²)]],ESF[[#This Row],[Asp e Asw (cm²/m)]],ESF[[#This Row],[As,sup (cm²)]],ESF[[#This Row],[As,malha (cm²)]],ESF[[#This Row],[As,susp,tot (cm²)]],ESF[[#This Row],[Asp,face (cm²)]])</f>
        <v>N.S.</v>
      </c>
      <c r="AZ17" s="4" t="str">
        <f ca="1">concretoBloco(ESF[[#This Row],[nE]],ESF[[#This Row],[e (cm)]],ESF[[#This Row],[a (cm)]],ESF[[#This Row],[h (cm)]])</f>
        <v>N.S.</v>
      </c>
      <c r="BA17" s="5">
        <f ca="1">SUM(ESF[[#This Row],[Aço Est (kg)]],ESF[[#This Row],[Aço Bloco (kg)]])</f>
        <v>3.0826877913349846</v>
      </c>
      <c r="BB17" s="4">
        <f>INDEX(composicoes[],MATCH(95580,composicoes[CÓDIGO],0),MATCH("CUSTO TOTAL",composicoes[#Headers],0))</f>
        <v>10.46</v>
      </c>
      <c r="BC17" s="4">
        <f ca="1">SUM(ESF[[#This Row],[Conc Est (m³)]],ESF[[#This Row],[Conc Bloco (m³)]])</f>
        <v>8.8357293382212934</v>
      </c>
      <c r="BD17" s="4">
        <f>INDEX(composicoes[],MATCH(94966,composicoes[CÓDIGO],0),MATCH("CUSTO TOTAL",composicoes[#Headers],0))</f>
        <v>439.52</v>
      </c>
      <c r="BE17" s="38">
        <f ca="1">ESF[[#This Row],[Aço (kg)]]*ESF[[#This Row],[Aço (R$/kg)]]+ESF[[#This Row],[Conc (m³)]]*ESF[[#This Row],[Conc (R$/m³)]]</f>
        <v>3915.7246730323864</v>
      </c>
      <c r="BF17" s="4" t="str">
        <f ca="1">IF(COUNTIF(ESF[#This Row],"N.S.")&gt;0,"lim.","OK")</f>
        <v>lim.</v>
      </c>
      <c r="BG17" s="4" t="str">
        <f>IF(ESF[[#This Row],[Prof. (m)]]&lt;3,"lim.","OK")</f>
        <v>OK</v>
      </c>
      <c r="BH17" s="4" t="str">
        <f>IF(ESF[[#This Row],[Prof. (m)]]&gt;=8*ESF[[#This Row],[Ø (cm)]]/100,"OK","lim.")</f>
        <v>OK</v>
      </c>
      <c r="BI17" s="4" t="str">
        <f>IF(AND(SPT!$F$3&lt;&gt;"",ESF[[#This Row],[Prof. (m)]]&gt;=SPT!$F$3),"lim.","OK")</f>
        <v>OK</v>
      </c>
      <c r="BJ17" s="4" t="str">
        <f>IF(COUNTIFS(ESF[Solo],"Areia",ESF[Prof. (m)],"&lt;="&amp;ESF[[#This Row],[Prof. (m)]])&gt;=1,"lim.","OK")</f>
        <v>OK</v>
      </c>
      <c r="BK17" s="4" t="str">
        <f ca="1">IF(ESF[[#This Row],[Verif. Biela]]="OK","OK","lim.")</f>
        <v>OK</v>
      </c>
      <c r="BL17" s="4" t="str">
        <f ca="1">IF(COUNTA(ESF[[#This Row],[Nº Est.]:[Biela comp.]])=COUNTIF(ESF[[#This Row],[Nº Est.]:[Biela comp.]],"OK"),"OK","lim.")</f>
        <v>lim.</v>
      </c>
      <c r="BM17" s="4" t="str">
        <f ca="1">IF(ESF[[#This Row],[Controle]]="OK",ESF[[#This Row],[nE]]&amp;" Ø"&amp;ESF[[#This Row],[Ø (cm)]]&amp;"cm Prof. "&amp;ESF[[#This Row],[Prof. (m)]]&amp;" m","")</f>
        <v/>
      </c>
      <c r="BN17" s="4" t="str">
        <f ca="1">IF(ESF[[#This Row],[idDimensionamento]]="","",ESF[[#This Row],[idPilar]]&amp;ESF[[#This Row],[idDimensionamento]])</f>
        <v/>
      </c>
    </row>
    <row r="18" spans="2:66" x14ac:dyDescent="0.25">
      <c r="B18" s="12">
        <f>ROUNDUP((ROW(ESF[[#This Row],[idDiâmetro]])-ROW(ESF[[#Headers],[idDiâmetro]]))/(COUNT(SPT[Prof. (m)])*COUNT(PILARES[Pilar])),0)</f>
        <v>1</v>
      </c>
      <c r="C18" s="12">
        <f>IF(ESF[[#This Row],[idDiâmetro]]&lt;&gt;B17,1,IF(ESF[[#This Row],[Prof. (m)]]=0,C17+1,C17))</f>
        <v>1</v>
      </c>
      <c r="D18" s="1">
        <f>IFERROR(IF(D17=MAX(SPT[Prof. (m)]),0,D17+1),0)</f>
        <v>13</v>
      </c>
      <c r="E18" s="1">
        <f>INDEX(SPT[],MATCH(ESF[[#This Row],[Prof. (m)]],SPT[Prof. (m)],0),2)</f>
        <v>68</v>
      </c>
      <c r="F18" s="1" t="str">
        <f>INDEX(SPT[],MATCH(ESF[[#This Row],[Prof. (m)]],SPT[Prof. (m)],0),3)</f>
        <v>Areia siltosa</v>
      </c>
      <c r="G18" s="1">
        <f>INDEX(estacas[],ESF[[#This Row],[idDiâmetro]],MATCH($B$2,estacas[#Headers],0))</f>
        <v>25</v>
      </c>
      <c r="H18" s="1">
        <f>INDEX(estacas[],MATCH(ESF[[#This Row],[Ø (cm)]],estacas[Ø ESF (cm)],0),MATCH(ESF[[#Headers],[Pe ESF (kN)]],estacas[#Headers],0))</f>
        <v>250</v>
      </c>
      <c r="I18" s="4">
        <f>INDEX(K_alpha_C[],MATCH(ESF[[#This Row],[Solo]],K_alpha_C[Solo],0),2)</f>
        <v>0.8</v>
      </c>
      <c r="J18" s="5">
        <f>INDEX(K_alpha_C[],MATCH(ESF[[#This Row],[Solo]],K_alpha_C[Solo],0),3)</f>
        <v>2</v>
      </c>
      <c r="K18" s="4">
        <f>INDEX(F1_F2[],MATCH($D$2,F1_F2[Tipo de estaca],0),2)</f>
        <v>3</v>
      </c>
      <c r="L18" s="4">
        <f>INDEX(F1_F2[],MATCH($D$2,F1_F2[Tipo de estaca],0),3)</f>
        <v>6</v>
      </c>
      <c r="M18" s="4">
        <f>PI()*(ESF[[#This Row],[Ø (cm)]]/100)^2/4</f>
        <v>4.9087385212340517E-2</v>
      </c>
      <c r="N18" s="4">
        <f>PI()*ESF[[#This Row],[Ø (cm)]]/100</f>
        <v>0.78539816339744828</v>
      </c>
      <c r="O18" s="4">
        <f>IF(ESF[[#This Row],[Prof. (m)]]=0,0,ESF[[#This Row],[α (%)]]/100*ESF[[#This Row],[K (MPa)]]*1000*ESF[[#This Row],[NSPT]])</f>
        <v>1088</v>
      </c>
      <c r="P18" s="4">
        <f>IF(ESF[[#This Row],[Prof. (m)]]=0,0,(ESF[[#This Row],[K (MPa)]]*1000*ESF[[#This Row],[NSPT]]/ESF[[#This Row],[F1]]*ESF[[#This Row],[Ap (m²)]]+ESF[[#This Row],[U (m)]]/ESF[[#This Row],[F2]]*SUMIFS(ESF[(α∙K∙NL∙ΔL)],ESF[Prof. (m)],"&lt;="&amp;ESF[[#This Row],[Prof. (m)]],ESF[idDiâmetro],ESF[[#This Row],[idDiâmetro]],ESF[idPilar],ESF[[#This Row],[idPilar]]))/'DADOS CAP. CARGA'!$D$2)</f>
        <v>739.83852493570123</v>
      </c>
      <c r="Q18" s="12">
        <f>INDEX(C_alpha_beta[],MATCH(ESF[[#This Row],[Solo]],C_alpha_beta[Solo],0),MATCH(ESF[[#Headers],[C (kPa)]],C_alpha_beta[#Headers],0))</f>
        <v>400</v>
      </c>
      <c r="R18" s="4">
        <f>INDEX(C_alpha_beta[],MATCH(ESF[[#This Row],[Solo]],C_alpha_beta[Solo],0),MATCH(ESF[[#Headers],[α ESF]],C_alpha_beta[#Headers],0))</f>
        <v>0.5</v>
      </c>
      <c r="S18" s="4">
        <f>INDEX(C_alpha_beta[],MATCH(ESF[[#This Row],[Solo]],C_alpha_beta[Solo],0),MATCH(ESF[[#Headers],[β ESF]],C_alpha_beta[#Headers],0))</f>
        <v>0.5</v>
      </c>
      <c r="T18" s="4">
        <f>IF(ESF[[#This Row],[Prof. (m)]]=0,0,10*(ESF[[#This Row],[NSPT]]/3+1))</f>
        <v>236.66666666666669</v>
      </c>
      <c r="U18" s="4">
        <f>(ESF[[#This Row],[α ESF]]*ESF[[#This Row],[C (kPa)]]*ESF[[#This Row],[NSPT]]*ESF[[#This Row],[Ap (m²)]])/'DADOS CAP. CARGA'!$Q$2+(ESF[[#This Row],[β ESF]]*SUMIFS(ESF[10∙(NL/3+1)],ESF[Prof. (m)],"&lt;="&amp;ESF[[#This Row],[Prof. (m)]],ESF[idDiâmetro],ESF[[#This Row],[idDiâmetro]],ESF[idPilar],ESF[[#This Row],[idPilar]])*ESF[[#This Row],[U (m)]])/'DADOS CAP. CARGA'!$S$2</f>
        <v>382.88160465625606</v>
      </c>
      <c r="V18" s="4">
        <f>IF(SPT!$M$5=1,MIN(ESF[[#This Row],[Pe ESF (kN)]],ESF[[#This Row],[R_AV (kN)]]),IF(SPT!$M$5=2,MIN(ESF[[#This Row],[Pe ESF (kN)]],ESF[[#This Row],[R_DC (kN)]]),MIN(ESF[[#This Row],[Pe ESF (kN)]],ESF[[#This Row],[R_AV (kN)]],ESF[[#This Row],[R_DC (kN)]])))</f>
        <v>250</v>
      </c>
      <c r="W18" s="4">
        <f>INDEX(PILARES[],ESF[[#This Row],[idPilar]],MATCH("Carga (kN)",PILARES[#Headers],0))*1.4</f>
        <v>3500</v>
      </c>
      <c r="X18" s="12">
        <f>INDEX(PILARES[],ESF[[#This Row],[idPilar]],MATCH(ESF[[#Headers],[ap (cm)]],PILARES[#Headers],0))</f>
        <v>60</v>
      </c>
      <c r="Y18" s="12">
        <f>INDEX(PILARES[],ESF[[#This Row],[idPilar]],MATCH(ESF[[#Headers],[bp (cm)]],PILARES[#Headers],0))</f>
        <v>60</v>
      </c>
      <c r="Z18" s="4">
        <f>SQRT(ESF[[#This Row],[ap (cm)]]*ESF[[#This Row],[bp (cm)]])</f>
        <v>60</v>
      </c>
      <c r="AA18" s="12">
        <f>ESF[[#This Row],[ap (cm)]]*ESF[[#This Row],[bp (cm)]]</f>
        <v>3600</v>
      </c>
      <c r="AB18" s="12">
        <f ca="1">IF(ESF[[#This Row],[Padm∙ε (kN)]]&gt;=ESF[[#This Row],[Padm (kN)]],ROUNDUP(1.05*ESF[[#This Row],[Nsd (kN)]]/ESF[[#This Row],[Padm (kN)]],0),ROUNDUP(1.05*ESF[[#This Row],[Nsd (kN)]]/ESF[[#This Row],[Padm (kN)]],0)+1)</f>
        <v>15</v>
      </c>
      <c r="AC18" s="4" t="str">
        <f ca="1">IFERROR(IF(ESF[[#This Row],[nE]]=1,ESF[[#This Row],[Padm (kN)]],ESF[[#This Row],[Padm (kN)]]*ESF[[#This Row],[nE]]*INDEX(grupoEstacas[],ESF[[#This Row],[nE]],MATCH("ε",grupoEstacas[#Headers],0))),"N.S.")</f>
        <v>N.S.</v>
      </c>
      <c r="AD18" s="4">
        <f ca="1">1.05*ESF[[#This Row],[Nsd (kN)]]/(ESF[[#This Row],[nE]]*PI()*ESF[[#This Row],[Ø (cm)]]^2/4)*10</f>
        <v>4.9910990153618382</v>
      </c>
      <c r="AE18" s="4">
        <f ca="1">IF(ESF[[#This Row],[σ (MPa)]]&lt;INDEX(tipoEstaca[],MATCH($D$2,tipoEstaca[TIPO DE ESTACA],0),MATCH("σmáx (MPa)",tipoEstaca[#Headers],0)),0.4%*PI()*ESF[[#This Row],[Ø (cm)]]^2/4,"N.S.")</f>
        <v>1.9634954084936209</v>
      </c>
      <c r="AF18" s="1">
        <f>INDEX(tipoEstaca[],MATCH($D$2,tipoEstaca[TIPO DE ESTACA],0),MATCH(ESF[[#Headers],[Comprimento (m)]],tipoEstaca[#Headers],0))</f>
        <v>2</v>
      </c>
      <c r="AG18" s="5">
        <f ca="1">ESF[[#This Row],[As,mín (cm²)]]/100^2*ESF[[#This Row],[Comprimento (m)]]*7850</f>
        <v>3.0826877913349846</v>
      </c>
      <c r="AH18" s="4">
        <f ca="1">ESF[[#This Row],[nE]]*ESF[[#This Row],[Prof. (m)]]*ESF[[#This Row],[Ap (m²)]]</f>
        <v>9.5720401164064004</v>
      </c>
      <c r="AI18" s="1">
        <f ca="1">IF(ESF[[#This Row],[nE]]=1,0,MAX(3*ESF[[#This Row],[Ø (cm)]],60))</f>
        <v>75</v>
      </c>
      <c r="AJ18" s="1">
        <f ca="1">IF(ESF[[#This Row],[nE]]=1,ESF[[#This Row],[Ø (cm)]]+2*10,MAX(1.5*ESF[[#This Row],[Ø (cm)]],ESF[[#This Row],[Ø (cm)]]+15))</f>
        <v>40</v>
      </c>
      <c r="AK18" s="1" t="str">
        <f ca="1">alturaUtil(ESF[[#This Row],[nE]],ESF[[#This Row],[Ø (cm)]],ESF[[#This Row],[e (cm)]],ESF[[#This Row],[ap,eq (cm)]])</f>
        <v>N.S.</v>
      </c>
      <c r="AL18" s="1" t="str">
        <f ca="1">IFERROR(ESF[[#This Row],[d (cm)]]+arredondarParaCimaMultiplo5cm(MAX(5,SQRT(PI())/2*ESF[[#This Row],[Ø (cm)]]/5)),"N.S.")</f>
        <v>N.S.</v>
      </c>
      <c r="AM18" s="5" t="str">
        <f ca="1">alpha(ESF[[#This Row],[nE]],ESF[[#This Row],[d (cm)]],ESF[[#This Row],[e (cm)]],ESF[[#This Row],[ap,eq (cm)]])</f>
        <v>N.S.</v>
      </c>
      <c r="AN18" s="35" t="str">
        <f ca="1">IFERROR(ESF[[#This Row],[Nsd (kN)]]/(ESF[[#This Row],[Ap (cm²)]]*SIN(ESF[[#This Row],[α]])^2),"N.S.")</f>
        <v>N.S.</v>
      </c>
      <c r="AO18" s="35" t="str">
        <f ca="1">IFERROR(ESF[[#This Row],[Nsd (kN)]]/(ESF[[#This Row],[nE]]*PI()*ESF[[#This Row],[Ø (cm)]]^2/4*SIN(ESF[[#This Row],[α]])^2),"N.S.")</f>
        <v>N.S.</v>
      </c>
      <c r="AP18" s="4" t="str">
        <f ca="1">IFERROR(INDEX(grupoEstacas[],ESF[[#This Row],[nE]],MATCH("coef. Blévot",grupoEstacas[#Headers],0)),"N.S.")</f>
        <v>N.S.</v>
      </c>
      <c r="AQ18" s="35" t="str">
        <f ca="1">IFERROR(ESF[[#This Row],[coef. Blévot]]*0.9*INDEX(tipoEstaca[],MATCH($D$2,tipoEstaca[TIPO DE ESTACA],0),MATCH("fcd (kN/cm²)",tipoEstaca[#Headers],0)),"N.S.")</f>
        <v>N.S.</v>
      </c>
      <c r="AR18" s="1" t="str">
        <f ca="1">IF(AND(ESF[[#This Row],[cd,b,pil (kN/cm²)]]&lt;=ESF[[#This Row],[cd,b,lim (kN/cm²)]],ESF[[#This Row],[cd,b,est (kN/cm²)]]&lt;=ESF[[#This Row],[cd,b,lim (kN/cm²)]]),"OK","ERRO")</f>
        <v>OK</v>
      </c>
      <c r="AS18" s="4" t="str">
        <f ca="1">As_lado(ESF[[#This Row],[nE]],ESF[[#This Row],[Nsd (kN)]],ESF[[#This Row],[d (cm)]],ESF[[#This Row],[e (cm)]],ESF[[#This Row],[ap,eq (cm)]])</f>
        <v>N.S.</v>
      </c>
      <c r="AT18" s="4" t="str">
        <f ca="1">IF(ESF[[#This Row],[nE]]=1,ESF[[#This Row],[As,lado (cm²)]],IF(ESF[[#This Row],[nE]]=2,0.075*2*ESF[a (cm)],"N.A."))</f>
        <v>N.A.</v>
      </c>
      <c r="AU18" s="4" t="str">
        <f ca="1">IFERROR(IF(ESF[[#This Row],[nE]]=1,"N.A.",0.2*ESF[[#This Row],[As,lado (cm²)]]),"N.S.")</f>
        <v>N.S.</v>
      </c>
      <c r="AV18" s="4" t="str">
        <f ca="1">As_malha(ESF[[#This Row],[nE]],ESF[[#This Row],[As,lado (cm²)]],ESF[[#This Row],[Nsd (kN)]])</f>
        <v>N.S.</v>
      </c>
      <c r="AW18" s="4" t="str">
        <f ca="1">As_susp_tot(ESF[[#This Row],[nE]],ESF[[#This Row],[Nsd (kN)]])</f>
        <v>N.S.</v>
      </c>
      <c r="AX18" s="4" t="str">
        <f ca="1">Asp_face(ESF[[#This Row],[nE]],ESF[[#This Row],[As,lado (cm²)]])</f>
        <v>N.S.</v>
      </c>
      <c r="AY18" s="5" t="str">
        <f ca="1">acoBloco(ESF[[#This Row],[nE]],ESF[[#This Row],[e (cm)]],ESF[[#This Row],[a (cm)]],ESF[[#This Row],[h (cm)]],ESF[[#This Row],[As,lado (cm²)]],ESF[[#This Row],[Asp e Asw (cm²/m)]],ESF[[#This Row],[As,sup (cm²)]],ESF[[#This Row],[As,malha (cm²)]],ESF[[#This Row],[As,susp,tot (cm²)]],ESF[[#This Row],[Asp,face (cm²)]])</f>
        <v>N.S.</v>
      </c>
      <c r="AZ18" s="4" t="str">
        <f ca="1">concretoBloco(ESF[[#This Row],[nE]],ESF[[#This Row],[e (cm)]],ESF[[#This Row],[a (cm)]],ESF[[#This Row],[h (cm)]])</f>
        <v>N.S.</v>
      </c>
      <c r="BA18" s="5">
        <f ca="1">SUM(ESF[[#This Row],[Aço Est (kg)]],ESF[[#This Row],[Aço Bloco (kg)]])</f>
        <v>3.0826877913349846</v>
      </c>
      <c r="BB18" s="4">
        <f>INDEX(composicoes[],MATCH(95580,composicoes[CÓDIGO],0),MATCH("CUSTO TOTAL",composicoes[#Headers],0))</f>
        <v>10.46</v>
      </c>
      <c r="BC18" s="4">
        <f ca="1">SUM(ESF[[#This Row],[Conc Est (m³)]],ESF[[#This Row],[Conc Bloco (m³)]])</f>
        <v>9.5720401164064004</v>
      </c>
      <c r="BD18" s="4">
        <f>INDEX(composicoes[],MATCH(94966,composicoes[CÓDIGO],0),MATCH("CUSTO TOTAL",composicoes[#Headers],0))</f>
        <v>439.52</v>
      </c>
      <c r="BE18" s="38">
        <f ca="1">ESF[[#This Row],[Aço (kg)]]*ESF[[#This Row],[Aço (R$/kg)]]+ESF[[#This Row],[Conc (m³)]]*ESF[[#This Row],[Conc (R$/m³)]]</f>
        <v>4239.3479862603044</v>
      </c>
      <c r="BF18" s="4" t="str">
        <f ca="1">IF(COUNTIF(ESF[#This Row],"N.S.")&gt;0,"lim.","OK")</f>
        <v>lim.</v>
      </c>
      <c r="BG18" s="4" t="str">
        <f>IF(ESF[[#This Row],[Prof. (m)]]&lt;3,"lim.","OK")</f>
        <v>OK</v>
      </c>
      <c r="BH18" s="4" t="str">
        <f>IF(ESF[[#This Row],[Prof. (m)]]&gt;=8*ESF[[#This Row],[Ø (cm)]]/100,"OK","lim.")</f>
        <v>OK</v>
      </c>
      <c r="BI18" s="4" t="str">
        <f>IF(AND(SPT!$F$3&lt;&gt;"",ESF[[#This Row],[Prof. (m)]]&gt;=SPT!$F$3),"lim.","OK")</f>
        <v>OK</v>
      </c>
      <c r="BJ18" s="4" t="str">
        <f>IF(COUNTIFS(ESF[Solo],"Areia",ESF[Prof. (m)],"&lt;="&amp;ESF[[#This Row],[Prof. (m)]])&gt;=1,"lim.","OK")</f>
        <v>OK</v>
      </c>
      <c r="BK18" s="4" t="str">
        <f ca="1">IF(ESF[[#This Row],[Verif. Biela]]="OK","OK","lim.")</f>
        <v>OK</v>
      </c>
      <c r="BL18" s="4" t="str">
        <f ca="1">IF(COUNTA(ESF[[#This Row],[Nº Est.]:[Biela comp.]])=COUNTIF(ESF[[#This Row],[Nº Est.]:[Biela comp.]],"OK"),"OK","lim.")</f>
        <v>lim.</v>
      </c>
      <c r="BM18" s="4" t="str">
        <f ca="1">IF(ESF[[#This Row],[Controle]]="OK",ESF[[#This Row],[nE]]&amp;" Ø"&amp;ESF[[#This Row],[Ø (cm)]]&amp;"cm Prof. "&amp;ESF[[#This Row],[Prof. (m)]]&amp;" m","")</f>
        <v/>
      </c>
      <c r="BN18" s="4" t="str">
        <f ca="1">IF(ESF[[#This Row],[idDimensionamento]]="","",ESF[[#This Row],[idPilar]]&amp;ESF[[#This Row],[idDimensionamento]])</f>
        <v/>
      </c>
    </row>
    <row r="19" spans="2:66" x14ac:dyDescent="0.25">
      <c r="B19" s="12">
        <f>ROUNDUP((ROW(ESF[[#This Row],[idDiâmetro]])-ROW(ESF[[#Headers],[idDiâmetro]]))/(COUNT(SPT[Prof. (m)])*COUNT(PILARES[Pilar])),0)</f>
        <v>1</v>
      </c>
      <c r="C19" s="12">
        <f>IF(ESF[[#This Row],[idDiâmetro]]&lt;&gt;B18,1,IF(ESF[[#This Row],[Prof. (m)]]=0,C18+1,C18))</f>
        <v>2</v>
      </c>
      <c r="D19" s="1">
        <f>IFERROR(IF(D18=MAX(SPT[Prof. (m)]),0,D18+1),0)</f>
        <v>0</v>
      </c>
      <c r="E19" s="1">
        <f>INDEX(SPT[],MATCH(ESF[[#This Row],[Prof. (m)]],SPT[Prof. (m)],0),2)</f>
        <v>0</v>
      </c>
      <c r="F19" s="1" t="str">
        <f>INDEX(SPT[],MATCH(ESF[[#This Row],[Prof. (m)]],SPT[Prof. (m)],0),3)</f>
        <v>Areia siltosa</v>
      </c>
      <c r="G19" s="1">
        <f>INDEX(estacas[],ESF[[#This Row],[idDiâmetro]],MATCH($B$2,estacas[#Headers],0))</f>
        <v>25</v>
      </c>
      <c r="H19" s="1">
        <f>INDEX(estacas[],MATCH(ESF[[#This Row],[Ø (cm)]],estacas[Ø ESF (cm)],0),MATCH(ESF[[#Headers],[Pe ESF (kN)]],estacas[#Headers],0))</f>
        <v>250</v>
      </c>
      <c r="I19" s="4">
        <f>INDEX(K_alpha_C[],MATCH(ESF[[#This Row],[Solo]],K_alpha_C[Solo],0),2)</f>
        <v>0.8</v>
      </c>
      <c r="J19" s="5">
        <f>INDEX(K_alpha_C[],MATCH(ESF[[#This Row],[Solo]],K_alpha_C[Solo],0),3)</f>
        <v>2</v>
      </c>
      <c r="K19" s="4">
        <f>INDEX(F1_F2[],MATCH($D$2,F1_F2[Tipo de estaca],0),2)</f>
        <v>3</v>
      </c>
      <c r="L19" s="4">
        <f>INDEX(F1_F2[],MATCH($D$2,F1_F2[Tipo de estaca],0),3)</f>
        <v>6</v>
      </c>
      <c r="M19" s="4">
        <f>PI()*(ESF[[#This Row],[Ø (cm)]]/100)^2/4</f>
        <v>4.9087385212340517E-2</v>
      </c>
      <c r="N19" s="4">
        <f>PI()*ESF[[#This Row],[Ø (cm)]]/100</f>
        <v>0.78539816339744828</v>
      </c>
      <c r="O19" s="4">
        <f>IF(ESF[[#This Row],[Prof. (m)]]=0,0,ESF[[#This Row],[α (%)]]/100*ESF[[#This Row],[K (MPa)]]*1000*ESF[[#This Row],[NSPT]])</f>
        <v>0</v>
      </c>
      <c r="P19" s="4">
        <f>IF(ESF[[#This Row],[Prof. (m)]]=0,0,(ESF[[#This Row],[K (MPa)]]*1000*ESF[[#This Row],[NSPT]]/ESF[[#This Row],[F1]]*ESF[[#This Row],[Ap (m²)]]+ESF[[#This Row],[U (m)]]/ESF[[#This Row],[F2]]*SUMIFS(ESF[(α∙K∙NL∙ΔL)],ESF[Prof. (m)],"&lt;="&amp;ESF[[#This Row],[Prof. (m)]],ESF[idDiâmetro],ESF[[#This Row],[idDiâmetro]],ESF[idPilar],ESF[[#This Row],[idPilar]]))/'DADOS CAP. CARGA'!$D$2)</f>
        <v>0</v>
      </c>
      <c r="Q19" s="12">
        <f>INDEX(C_alpha_beta[],MATCH(ESF[[#This Row],[Solo]],C_alpha_beta[Solo],0),MATCH(ESF[[#Headers],[C (kPa)]],C_alpha_beta[#Headers],0))</f>
        <v>400</v>
      </c>
      <c r="R19" s="4">
        <f>INDEX(C_alpha_beta[],MATCH(ESF[[#This Row],[Solo]],C_alpha_beta[Solo],0),MATCH(ESF[[#Headers],[α ESF]],C_alpha_beta[#Headers],0))</f>
        <v>0.5</v>
      </c>
      <c r="S19" s="4">
        <f>INDEX(C_alpha_beta[],MATCH(ESF[[#This Row],[Solo]],C_alpha_beta[Solo],0),MATCH(ESF[[#Headers],[β ESF]],C_alpha_beta[#Headers],0))</f>
        <v>0.5</v>
      </c>
      <c r="T19" s="4">
        <f>IF(ESF[[#This Row],[Prof. (m)]]=0,0,10*(ESF[[#This Row],[NSPT]]/3+1))</f>
        <v>0</v>
      </c>
      <c r="U19" s="4">
        <f>(ESF[[#This Row],[α ESF]]*ESF[[#This Row],[C (kPa)]]*ESF[[#This Row],[NSPT]]*ESF[[#This Row],[Ap (m²)]])/'DADOS CAP. CARGA'!$Q$2+(ESF[[#This Row],[β ESF]]*SUMIFS(ESF[10∙(NL/3+1)],ESF[Prof. (m)],"&lt;="&amp;ESF[[#This Row],[Prof. (m)]],ESF[idDiâmetro],ESF[[#This Row],[idDiâmetro]],ESF[idPilar],ESF[[#This Row],[idPilar]])*ESF[[#This Row],[U (m)]])/'DADOS CAP. CARGA'!$S$2</f>
        <v>0</v>
      </c>
      <c r="V19" s="4">
        <f>IF(SPT!$M$5=1,MIN(ESF[[#This Row],[Pe ESF (kN)]],ESF[[#This Row],[R_AV (kN)]]),IF(SPT!$M$5=2,MIN(ESF[[#This Row],[Pe ESF (kN)]],ESF[[#This Row],[R_DC (kN)]]),MIN(ESF[[#This Row],[Pe ESF (kN)]],ESF[[#This Row],[R_AV (kN)]],ESF[[#This Row],[R_DC (kN)]])))</f>
        <v>0</v>
      </c>
      <c r="W19" s="4">
        <f>INDEX(PILARES[],ESF[[#This Row],[idPilar]],MATCH("Carga (kN)",PILARES[#Headers],0))*1.4</f>
        <v>1750</v>
      </c>
      <c r="X19" s="12">
        <f>INDEX(PILARES[],ESF[[#This Row],[idPilar]],MATCH(ESF[[#Headers],[ap (cm)]],PILARES[#Headers],0))</f>
        <v>50</v>
      </c>
      <c r="Y19" s="12">
        <f>INDEX(PILARES[],ESF[[#This Row],[idPilar]],MATCH(ESF[[#Headers],[bp (cm)]],PILARES[#Headers],0))</f>
        <v>40</v>
      </c>
      <c r="Z19" s="4">
        <f>SQRT(ESF[[#This Row],[ap (cm)]]*ESF[[#This Row],[bp (cm)]])</f>
        <v>44.721359549995796</v>
      </c>
      <c r="AA19" s="12">
        <f>ESF[[#This Row],[ap (cm)]]*ESF[[#This Row],[bp (cm)]]</f>
        <v>2000</v>
      </c>
      <c r="AB19" s="12" t="e">
        <f ca="1">IF(ESF[[#This Row],[Padm∙ε (kN)]]&gt;=ESF[[#This Row],[Padm (kN)]],ROUNDUP(1.05*ESF[[#This Row],[Nsd (kN)]]/ESF[[#This Row],[Padm (kN)]],0),ROUNDUP(1.05*ESF[[#This Row],[Nsd (kN)]]/ESF[[#This Row],[Padm (kN)]],0)+1)</f>
        <v>#DIV/0!</v>
      </c>
      <c r="AC19" s="4" t="str">
        <f ca="1">IFERROR(IF(ESF[[#This Row],[nE]]=1,ESF[[#This Row],[Padm (kN)]],ESF[[#This Row],[Padm (kN)]]*ESF[[#This Row],[nE]]*INDEX(grupoEstacas[],ESF[[#This Row],[nE]],MATCH("ε",grupoEstacas[#Headers],0))),"N.S.")</f>
        <v>N.S.</v>
      </c>
      <c r="AD19" s="4" t="e">
        <f ca="1">1.05*ESF[[#This Row],[Nsd (kN)]]/(ESF[[#This Row],[nE]]*PI()*ESF[[#This Row],[Ø (cm)]]^2/4)*10</f>
        <v>#DIV/0!</v>
      </c>
      <c r="AE19" s="4" t="e">
        <f ca="1">IF(ESF[[#This Row],[σ (MPa)]]&lt;INDEX(tipoEstaca[],MATCH($D$2,tipoEstaca[TIPO DE ESTACA],0),MATCH("σmáx (MPa)",tipoEstaca[#Headers],0)),0.4%*PI()*ESF[[#This Row],[Ø (cm)]]^2/4,"N.S.")</f>
        <v>#DIV/0!</v>
      </c>
      <c r="AF19" s="1">
        <f>INDEX(tipoEstaca[],MATCH($D$2,tipoEstaca[TIPO DE ESTACA],0),MATCH(ESF[[#Headers],[Comprimento (m)]],tipoEstaca[#Headers],0))</f>
        <v>2</v>
      </c>
      <c r="AG19" s="5" t="e">
        <f ca="1">ESF[[#This Row],[As,mín (cm²)]]/100^2*ESF[[#This Row],[Comprimento (m)]]*7850</f>
        <v>#DIV/0!</v>
      </c>
      <c r="AH19" s="4" t="e">
        <f ca="1">ESF[[#This Row],[nE]]*ESF[[#This Row],[Prof. (m)]]*ESF[[#This Row],[Ap (m²)]]</f>
        <v>#DIV/0!</v>
      </c>
      <c r="AI19" s="1" t="e">
        <f ca="1">IF(ESF[[#This Row],[nE]]=1,0,MAX(3*ESF[[#This Row],[Ø (cm)]],60))</f>
        <v>#DIV/0!</v>
      </c>
      <c r="AJ19" s="1" t="e">
        <f ca="1">IF(ESF[[#This Row],[nE]]=1,ESF[[#This Row],[Ø (cm)]]+2*10,MAX(1.5*ESF[[#This Row],[Ø (cm)]],ESF[[#This Row],[Ø (cm)]]+15))</f>
        <v>#DIV/0!</v>
      </c>
      <c r="AK19" s="1" t="e">
        <f ca="1">alturaUtil(ESF[[#This Row],[nE]],ESF[[#This Row],[Ø (cm)]],ESF[[#This Row],[e (cm)]],ESF[[#This Row],[ap,eq (cm)]])</f>
        <v>#VALUE!</v>
      </c>
      <c r="AL19" s="1" t="str">
        <f ca="1">IFERROR(ESF[[#This Row],[d (cm)]]+arredondarParaCimaMultiplo5cm(MAX(5,SQRT(PI())/2*ESF[[#This Row],[Ø (cm)]]/5)),"N.S.")</f>
        <v>N.S.</v>
      </c>
      <c r="AM19" s="5" t="e">
        <f ca="1">alpha(ESF[[#This Row],[nE]],ESF[[#This Row],[d (cm)]],ESF[[#This Row],[e (cm)]],ESF[[#This Row],[ap,eq (cm)]])</f>
        <v>#VALUE!</v>
      </c>
      <c r="AN19" s="35" t="str">
        <f ca="1">IFERROR(ESF[[#This Row],[Nsd (kN)]]/(ESF[[#This Row],[Ap (cm²)]]*SIN(ESF[[#This Row],[α]])^2),"N.S.")</f>
        <v>N.S.</v>
      </c>
      <c r="AO19" s="35" t="str">
        <f ca="1">IFERROR(ESF[[#This Row],[Nsd (kN)]]/(ESF[[#This Row],[nE]]*PI()*ESF[[#This Row],[Ø (cm)]]^2/4*SIN(ESF[[#This Row],[α]])^2),"N.S.")</f>
        <v>N.S.</v>
      </c>
      <c r="AP19" s="4" t="str">
        <f ca="1">IFERROR(INDEX(grupoEstacas[],ESF[[#This Row],[nE]],MATCH("coef. Blévot",grupoEstacas[#Headers],0)),"N.S.")</f>
        <v>N.S.</v>
      </c>
      <c r="AQ19" s="35" t="str">
        <f ca="1">IFERROR(ESF[[#This Row],[coef. Blévot]]*0.9*INDEX(tipoEstaca[],MATCH($D$2,tipoEstaca[TIPO DE ESTACA],0),MATCH("fcd (kN/cm²)",tipoEstaca[#Headers],0)),"N.S.")</f>
        <v>N.S.</v>
      </c>
      <c r="AR19" s="1" t="str">
        <f ca="1">IF(AND(ESF[[#This Row],[cd,b,pil (kN/cm²)]]&lt;=ESF[[#This Row],[cd,b,lim (kN/cm²)]],ESF[[#This Row],[cd,b,est (kN/cm²)]]&lt;=ESF[[#This Row],[cd,b,lim (kN/cm²)]]),"OK","ERRO")</f>
        <v>OK</v>
      </c>
      <c r="AS19" s="4" t="e">
        <f ca="1">As_lado(ESF[[#This Row],[nE]],ESF[[#This Row],[Nsd (kN)]],ESF[[#This Row],[d (cm)]],ESF[[#This Row],[e (cm)]],ESF[[#This Row],[ap,eq (cm)]])</f>
        <v>#VALUE!</v>
      </c>
      <c r="AT19" s="4" t="e">
        <f ca="1">IF(ESF[[#This Row],[nE]]=1,ESF[[#This Row],[As,lado (cm²)]],IF(ESF[[#This Row],[nE]]=2,0.075*2*ESF[a (cm)],"N.A."))</f>
        <v>#DIV/0!</v>
      </c>
      <c r="AU19" s="4" t="str">
        <f ca="1">IFERROR(IF(ESF[[#This Row],[nE]]=1,"N.A.",0.2*ESF[[#This Row],[As,lado (cm²)]]),"N.S.")</f>
        <v>N.S.</v>
      </c>
      <c r="AV19" s="4" t="e">
        <f ca="1">As_malha(ESF[[#This Row],[nE]],ESF[[#This Row],[As,lado (cm²)]],ESF[[#This Row],[Nsd (kN)]])</f>
        <v>#VALUE!</v>
      </c>
      <c r="AW19" s="4" t="e">
        <f ca="1">As_susp_tot(ESF[[#This Row],[nE]],ESF[[#This Row],[Nsd (kN)]])</f>
        <v>#VALUE!</v>
      </c>
      <c r="AX19" s="4" t="e">
        <f ca="1">Asp_face(ESF[[#This Row],[nE]],ESF[[#This Row],[As,lado (cm²)]])</f>
        <v>#VALUE!</v>
      </c>
      <c r="AY19" s="5" t="e">
        <f ca="1">acoBloco(ESF[[#This Row],[nE]],ESF[[#This Row],[e (cm)]],ESF[[#This Row],[a (cm)]],ESF[[#This Row],[h (cm)]],ESF[[#This Row],[As,lado (cm²)]],ESF[[#This Row],[Asp e Asw (cm²/m)]],ESF[[#This Row],[As,sup (cm²)]],ESF[[#This Row],[As,malha (cm²)]],ESF[[#This Row],[As,susp,tot (cm²)]],ESF[[#This Row],[Asp,face (cm²)]])</f>
        <v>#VALUE!</v>
      </c>
      <c r="AZ19" s="4" t="e">
        <f ca="1">concretoBloco(ESF[[#This Row],[nE]],ESF[[#This Row],[e (cm)]],ESF[[#This Row],[a (cm)]],ESF[[#This Row],[h (cm)]])</f>
        <v>#VALUE!</v>
      </c>
      <c r="BA19" s="5" t="e">
        <f ca="1">SUM(ESF[[#This Row],[Aço Est (kg)]],ESF[[#This Row],[Aço Bloco (kg)]])</f>
        <v>#DIV/0!</v>
      </c>
      <c r="BB19" s="4">
        <f>INDEX(composicoes[],MATCH(95580,composicoes[CÓDIGO],0),MATCH("CUSTO TOTAL",composicoes[#Headers],0))</f>
        <v>10.46</v>
      </c>
      <c r="BC19" s="4" t="e">
        <f ca="1">SUM(ESF[[#This Row],[Conc Est (m³)]],ESF[[#This Row],[Conc Bloco (m³)]])</f>
        <v>#DIV/0!</v>
      </c>
      <c r="BD19" s="4">
        <f>INDEX(composicoes[],MATCH(94966,composicoes[CÓDIGO],0),MATCH("CUSTO TOTAL",composicoes[#Headers],0))</f>
        <v>439.52</v>
      </c>
      <c r="BE19" s="38" t="e">
        <f ca="1">ESF[[#This Row],[Aço (kg)]]*ESF[[#This Row],[Aço (R$/kg)]]+ESF[[#This Row],[Conc (m³)]]*ESF[[#This Row],[Conc (R$/m³)]]</f>
        <v>#DIV/0!</v>
      </c>
      <c r="BF19" s="4" t="str">
        <f ca="1">IF(COUNTIF(ESF[#This Row],"N.S.")&gt;0,"lim.","OK")</f>
        <v>lim.</v>
      </c>
      <c r="BG19" s="4" t="str">
        <f>IF(ESF[[#This Row],[Prof. (m)]]&lt;3,"lim.","OK")</f>
        <v>lim.</v>
      </c>
      <c r="BH19" s="4" t="str">
        <f>IF(ESF[[#This Row],[Prof. (m)]]&gt;=8*ESF[[#This Row],[Ø (cm)]]/100,"OK","lim.")</f>
        <v>lim.</v>
      </c>
      <c r="BI19" s="4" t="str">
        <f>IF(AND(SPT!$F$3&lt;&gt;"",ESF[[#This Row],[Prof. (m)]]&gt;=SPT!$F$3),"lim.","OK")</f>
        <v>OK</v>
      </c>
      <c r="BJ19" s="4" t="str">
        <f>IF(COUNTIFS(ESF[Solo],"Areia",ESF[Prof. (m)],"&lt;="&amp;ESF[[#This Row],[Prof. (m)]])&gt;=1,"lim.","OK")</f>
        <v>OK</v>
      </c>
      <c r="BK19" s="4" t="str">
        <f ca="1">IF(ESF[[#This Row],[Verif. Biela]]="OK","OK","lim.")</f>
        <v>OK</v>
      </c>
      <c r="BL19" s="4" t="str">
        <f ca="1">IF(COUNTA(ESF[[#This Row],[Nº Est.]:[Biela comp.]])=COUNTIF(ESF[[#This Row],[Nº Est.]:[Biela comp.]],"OK"),"OK","lim.")</f>
        <v>lim.</v>
      </c>
      <c r="BM19" s="4" t="str">
        <f ca="1">IF(ESF[[#This Row],[Controle]]="OK",ESF[[#This Row],[nE]]&amp;" Ø"&amp;ESF[[#This Row],[Ø (cm)]]&amp;"cm Prof. "&amp;ESF[[#This Row],[Prof. (m)]]&amp;" m","")</f>
        <v/>
      </c>
      <c r="BN19" s="4" t="str">
        <f ca="1">IF(ESF[[#This Row],[idDimensionamento]]="","",ESF[[#This Row],[idPilar]]&amp;ESF[[#This Row],[idDimensionamento]])</f>
        <v/>
      </c>
    </row>
    <row r="20" spans="2:66" x14ac:dyDescent="0.25">
      <c r="B20" s="12">
        <f>ROUNDUP((ROW(ESF[[#This Row],[idDiâmetro]])-ROW(ESF[[#Headers],[idDiâmetro]]))/(COUNT(SPT[Prof. (m)])*COUNT(PILARES[Pilar])),0)</f>
        <v>1</v>
      </c>
      <c r="C20" s="12">
        <f>IF(ESF[[#This Row],[idDiâmetro]]&lt;&gt;B19,1,IF(ESF[[#This Row],[Prof. (m)]]=0,C19+1,C19))</f>
        <v>2</v>
      </c>
      <c r="D20" s="1">
        <f>IFERROR(IF(D19=MAX(SPT[Prof. (m)]),0,D19+1),0)</f>
        <v>1</v>
      </c>
      <c r="E20" s="1">
        <f>INDEX(SPT[],MATCH(ESF[[#This Row],[Prof. (m)]],SPT[Prof. (m)],0),2)</f>
        <v>2</v>
      </c>
      <c r="F20" s="1" t="str">
        <f>INDEX(SPT[],MATCH(ESF[[#This Row],[Prof. (m)]],SPT[Prof. (m)],0),3)</f>
        <v>Areia siltosa</v>
      </c>
      <c r="G20" s="1">
        <f>INDEX(estacas[],ESF[[#This Row],[idDiâmetro]],MATCH($B$2,estacas[#Headers],0))</f>
        <v>25</v>
      </c>
      <c r="H20" s="1">
        <f>INDEX(estacas[],MATCH(ESF[[#This Row],[Ø (cm)]],estacas[Ø ESF (cm)],0),MATCH(ESF[[#Headers],[Pe ESF (kN)]],estacas[#Headers],0))</f>
        <v>250</v>
      </c>
      <c r="I20" s="4">
        <f>INDEX(K_alpha_C[],MATCH(ESF[[#This Row],[Solo]],K_alpha_C[Solo],0),2)</f>
        <v>0.8</v>
      </c>
      <c r="J20" s="5">
        <f>INDEX(K_alpha_C[],MATCH(ESF[[#This Row],[Solo]],K_alpha_C[Solo],0),3)</f>
        <v>2</v>
      </c>
      <c r="K20" s="4">
        <f>INDEX(F1_F2[],MATCH($D$2,F1_F2[Tipo de estaca],0),2)</f>
        <v>3</v>
      </c>
      <c r="L20" s="4">
        <f>INDEX(F1_F2[],MATCH($D$2,F1_F2[Tipo de estaca],0),3)</f>
        <v>6</v>
      </c>
      <c r="M20" s="4">
        <f>PI()*(ESF[[#This Row],[Ø (cm)]]/100)^2/4</f>
        <v>4.9087385212340517E-2</v>
      </c>
      <c r="N20" s="4">
        <f>PI()*ESF[[#This Row],[Ø (cm)]]/100</f>
        <v>0.78539816339744828</v>
      </c>
      <c r="O20" s="4">
        <f>IF(ESF[[#This Row],[Prof. (m)]]=0,0,ESF[[#This Row],[α (%)]]/100*ESF[[#This Row],[K (MPa)]]*1000*ESF[[#This Row],[NSPT]])</f>
        <v>32</v>
      </c>
      <c r="P20" s="4">
        <f>IF(ESF[[#This Row],[Prof. (m)]]=0,0,(ESF[[#This Row],[K (MPa)]]*1000*ESF[[#This Row],[NSPT]]/ESF[[#This Row],[F1]]*ESF[[#This Row],[Ap (m²)]]+ESF[[#This Row],[U (m)]]/ESF[[#This Row],[F2]]*SUMIFS(ESF[(α∙K∙NL∙ΔL)],ESF[Prof. (m)],"&lt;="&amp;ESF[[#This Row],[Prof. (m)]],ESF[idDiâmetro],ESF[[#This Row],[idDiâmetro]],ESF[idPilar],ESF[[#This Row],[idPilar]]))/'DADOS CAP. CARGA'!$D$2)</f>
        <v>15.184364492350667</v>
      </c>
      <c r="Q20" s="12">
        <f>INDEX(C_alpha_beta[],MATCH(ESF[[#This Row],[Solo]],C_alpha_beta[Solo],0),MATCH(ESF[[#Headers],[C (kPa)]],C_alpha_beta[#Headers],0))</f>
        <v>400</v>
      </c>
      <c r="R20" s="4">
        <f>INDEX(C_alpha_beta[],MATCH(ESF[[#This Row],[Solo]],C_alpha_beta[Solo],0),MATCH(ESF[[#Headers],[α ESF]],C_alpha_beta[#Headers],0))</f>
        <v>0.5</v>
      </c>
      <c r="S20" s="4">
        <f>INDEX(C_alpha_beta[],MATCH(ESF[[#This Row],[Solo]],C_alpha_beta[Solo],0),MATCH(ESF[[#Headers],[β ESF]],C_alpha_beta[#Headers],0))</f>
        <v>0.5</v>
      </c>
      <c r="T20" s="4">
        <f>IF(ESF[[#This Row],[Prof. (m)]]=0,0,10*(ESF[[#This Row],[NSPT]]/3+1))</f>
        <v>16.666666666666664</v>
      </c>
      <c r="U20" s="4">
        <f>(ESF[[#This Row],[α ESF]]*ESF[[#This Row],[C (kPa)]]*ESF[[#This Row],[NSPT]]*ESF[[#This Row],[Ap (m²)]])/'DADOS CAP. CARGA'!$Q$2+(ESF[[#This Row],[β ESF]]*SUMIFS(ESF[10∙(NL/3+1)],ESF[Prof. (m)],"&lt;="&amp;ESF[[#This Row],[Prof. (m)]],ESF[idDiâmetro],ESF[[#This Row],[idDiâmetro]],ESF[idPilar],ESF[[#This Row],[idPilar]])*ESF[[#This Row],[U (m)]])/'DADOS CAP. CARGA'!$S$2</f>
        <v>8.1812308687234196</v>
      </c>
      <c r="V20" s="4">
        <f>IF(SPT!$M$5=1,MIN(ESF[[#This Row],[Pe ESF (kN)]],ESF[[#This Row],[R_AV (kN)]]),IF(SPT!$M$5=2,MIN(ESF[[#This Row],[Pe ESF (kN)]],ESF[[#This Row],[R_DC (kN)]]),MIN(ESF[[#This Row],[Pe ESF (kN)]],ESF[[#This Row],[R_AV (kN)]],ESF[[#This Row],[R_DC (kN)]])))</f>
        <v>8.1812308687234196</v>
      </c>
      <c r="W20" s="4">
        <f>INDEX(PILARES[],ESF[[#This Row],[idPilar]],MATCH("Carga (kN)",PILARES[#Headers],0))*1.4</f>
        <v>1750</v>
      </c>
      <c r="X20" s="12">
        <f>INDEX(PILARES[],ESF[[#This Row],[idPilar]],MATCH(ESF[[#Headers],[ap (cm)]],PILARES[#Headers],0))</f>
        <v>50</v>
      </c>
      <c r="Y20" s="12">
        <f>INDEX(PILARES[],ESF[[#This Row],[idPilar]],MATCH(ESF[[#Headers],[bp (cm)]],PILARES[#Headers],0))</f>
        <v>40</v>
      </c>
      <c r="Z20" s="4">
        <f>SQRT(ESF[[#This Row],[ap (cm)]]*ESF[[#This Row],[bp (cm)]])</f>
        <v>44.721359549995796</v>
      </c>
      <c r="AA20" s="12">
        <f>ESF[[#This Row],[ap (cm)]]*ESF[[#This Row],[bp (cm)]]</f>
        <v>2000</v>
      </c>
      <c r="AB20" s="12">
        <f ca="1">IF(ESF[[#This Row],[Padm∙ε (kN)]]&gt;=ESF[[#This Row],[Padm (kN)]],ROUNDUP(1.05*ESF[[#This Row],[Nsd (kN)]]/ESF[[#This Row],[Padm (kN)]],0),ROUNDUP(1.05*ESF[[#This Row],[Nsd (kN)]]/ESF[[#This Row],[Padm (kN)]],0)+1)</f>
        <v>225</v>
      </c>
      <c r="AC20" s="4" t="str">
        <f ca="1">IFERROR(IF(ESF[[#This Row],[nE]]=1,ESF[[#This Row],[Padm (kN)]],ESF[[#This Row],[Padm (kN)]]*ESF[[#This Row],[nE]]*INDEX(grupoEstacas[],ESF[[#This Row],[nE]],MATCH("ε",grupoEstacas[#Headers],0))),"N.S.")</f>
        <v>N.S.</v>
      </c>
      <c r="AD20" s="4">
        <f ca="1">1.05*ESF[[#This Row],[Nsd (kN)]]/(ESF[[#This Row],[nE]]*PI()*ESF[[#This Row],[Ø (cm)]]^2/4)*10</f>
        <v>0.16636996717872793</v>
      </c>
      <c r="AE20" s="4">
        <f ca="1">IF(ESF[[#This Row],[σ (MPa)]]&lt;INDEX(tipoEstaca[],MATCH($D$2,tipoEstaca[TIPO DE ESTACA],0),MATCH("σmáx (MPa)",tipoEstaca[#Headers],0)),0.4%*PI()*ESF[[#This Row],[Ø (cm)]]^2/4,"N.S.")</f>
        <v>1.9634954084936209</v>
      </c>
      <c r="AF20" s="1">
        <f>INDEX(tipoEstaca[],MATCH($D$2,tipoEstaca[TIPO DE ESTACA],0),MATCH(ESF[[#Headers],[Comprimento (m)]],tipoEstaca[#Headers],0))</f>
        <v>2</v>
      </c>
      <c r="AG20" s="5">
        <f ca="1">ESF[[#This Row],[As,mín (cm²)]]/100^2*ESF[[#This Row],[Comprimento (m)]]*7850</f>
        <v>3.0826877913349846</v>
      </c>
      <c r="AH20" s="4">
        <f ca="1">ESF[[#This Row],[nE]]*ESF[[#This Row],[Prof. (m)]]*ESF[[#This Row],[Ap (m²)]]</f>
        <v>11.044661672776616</v>
      </c>
      <c r="AI20" s="1">
        <f ca="1">IF(ESF[[#This Row],[nE]]=1,0,MAX(3*ESF[[#This Row],[Ø (cm)]],60))</f>
        <v>75</v>
      </c>
      <c r="AJ20" s="1">
        <f ca="1">IF(ESF[[#This Row],[nE]]=1,ESF[[#This Row],[Ø (cm)]]+2*10,MAX(1.5*ESF[[#This Row],[Ø (cm)]],ESF[[#This Row],[Ø (cm)]]+15))</f>
        <v>40</v>
      </c>
      <c r="AK20" s="1" t="str">
        <f ca="1">alturaUtil(ESF[[#This Row],[nE]],ESF[[#This Row],[Ø (cm)]],ESF[[#This Row],[e (cm)]],ESF[[#This Row],[ap,eq (cm)]])</f>
        <v>N.S.</v>
      </c>
      <c r="AL20" s="1" t="str">
        <f ca="1">IFERROR(ESF[[#This Row],[d (cm)]]+arredondarParaCimaMultiplo5cm(MAX(5,SQRT(PI())/2*ESF[[#This Row],[Ø (cm)]]/5)),"N.S.")</f>
        <v>N.S.</v>
      </c>
      <c r="AM20" s="5" t="str">
        <f ca="1">alpha(ESF[[#This Row],[nE]],ESF[[#This Row],[d (cm)]],ESF[[#This Row],[e (cm)]],ESF[[#This Row],[ap,eq (cm)]])</f>
        <v>N.S.</v>
      </c>
      <c r="AN20" s="35" t="str">
        <f ca="1">IFERROR(ESF[[#This Row],[Nsd (kN)]]/(ESF[[#This Row],[Ap (cm²)]]*SIN(ESF[[#This Row],[α]])^2),"N.S.")</f>
        <v>N.S.</v>
      </c>
      <c r="AO20" s="35" t="str">
        <f ca="1">IFERROR(ESF[[#This Row],[Nsd (kN)]]/(ESF[[#This Row],[nE]]*PI()*ESF[[#This Row],[Ø (cm)]]^2/4*SIN(ESF[[#This Row],[α]])^2),"N.S.")</f>
        <v>N.S.</v>
      </c>
      <c r="AP20" s="4" t="str">
        <f ca="1">IFERROR(INDEX(grupoEstacas[],ESF[[#This Row],[nE]],MATCH("coef. Blévot",grupoEstacas[#Headers],0)),"N.S.")</f>
        <v>N.S.</v>
      </c>
      <c r="AQ20" s="35" t="str">
        <f ca="1">IFERROR(ESF[[#This Row],[coef. Blévot]]*0.9*INDEX(tipoEstaca[],MATCH($D$2,tipoEstaca[TIPO DE ESTACA],0),MATCH("fcd (kN/cm²)",tipoEstaca[#Headers],0)),"N.S.")</f>
        <v>N.S.</v>
      </c>
      <c r="AR20" s="1" t="str">
        <f ca="1">IF(AND(ESF[[#This Row],[cd,b,pil (kN/cm²)]]&lt;=ESF[[#This Row],[cd,b,lim (kN/cm²)]],ESF[[#This Row],[cd,b,est (kN/cm²)]]&lt;=ESF[[#This Row],[cd,b,lim (kN/cm²)]]),"OK","ERRO")</f>
        <v>OK</v>
      </c>
      <c r="AS20" s="4" t="str">
        <f ca="1">As_lado(ESF[[#This Row],[nE]],ESF[[#This Row],[Nsd (kN)]],ESF[[#This Row],[d (cm)]],ESF[[#This Row],[e (cm)]],ESF[[#This Row],[ap,eq (cm)]])</f>
        <v>N.S.</v>
      </c>
      <c r="AT20" s="4" t="str">
        <f ca="1">IF(ESF[[#This Row],[nE]]=1,ESF[[#This Row],[As,lado (cm²)]],IF(ESF[[#This Row],[nE]]=2,0.075*2*ESF[a (cm)],"N.A."))</f>
        <v>N.A.</v>
      </c>
      <c r="AU20" s="4" t="str">
        <f ca="1">IFERROR(IF(ESF[[#This Row],[nE]]=1,"N.A.",0.2*ESF[[#This Row],[As,lado (cm²)]]),"N.S.")</f>
        <v>N.S.</v>
      </c>
      <c r="AV20" s="4" t="str">
        <f ca="1">As_malha(ESF[[#This Row],[nE]],ESF[[#This Row],[As,lado (cm²)]],ESF[[#This Row],[Nsd (kN)]])</f>
        <v>N.S.</v>
      </c>
      <c r="AW20" s="4" t="str">
        <f ca="1">As_susp_tot(ESF[[#This Row],[nE]],ESF[[#This Row],[Nsd (kN)]])</f>
        <v>N.S.</v>
      </c>
      <c r="AX20" s="4" t="str">
        <f ca="1">Asp_face(ESF[[#This Row],[nE]],ESF[[#This Row],[As,lado (cm²)]])</f>
        <v>N.S.</v>
      </c>
      <c r="AY20" s="5" t="str">
        <f ca="1">acoBloco(ESF[[#This Row],[nE]],ESF[[#This Row],[e (cm)]],ESF[[#This Row],[a (cm)]],ESF[[#This Row],[h (cm)]],ESF[[#This Row],[As,lado (cm²)]],ESF[[#This Row],[Asp e Asw (cm²/m)]],ESF[[#This Row],[As,sup (cm²)]],ESF[[#This Row],[As,malha (cm²)]],ESF[[#This Row],[As,susp,tot (cm²)]],ESF[[#This Row],[Asp,face (cm²)]])</f>
        <v>N.S.</v>
      </c>
      <c r="AZ20" s="4" t="str">
        <f ca="1">concretoBloco(ESF[[#This Row],[nE]],ESF[[#This Row],[e (cm)]],ESF[[#This Row],[a (cm)]],ESF[[#This Row],[h (cm)]])</f>
        <v>N.S.</v>
      </c>
      <c r="BA20" s="5">
        <f ca="1">SUM(ESF[[#This Row],[Aço Est (kg)]],ESF[[#This Row],[Aço Bloco (kg)]])</f>
        <v>3.0826877913349846</v>
      </c>
      <c r="BB20" s="4">
        <f>INDEX(composicoes[],MATCH(95580,composicoes[CÓDIGO],0),MATCH("CUSTO TOTAL",composicoes[#Headers],0))</f>
        <v>10.46</v>
      </c>
      <c r="BC20" s="4">
        <f ca="1">SUM(ESF[[#This Row],[Conc Est (m³)]],ESF[[#This Row],[Conc Bloco (m³)]])</f>
        <v>11.044661672776616</v>
      </c>
      <c r="BD20" s="4">
        <f>INDEX(composicoes[],MATCH(94966,composicoes[CÓDIGO],0),MATCH("CUSTO TOTAL",composicoes[#Headers],0))</f>
        <v>439.52</v>
      </c>
      <c r="BE20" s="38">
        <f ca="1">ESF[[#This Row],[Aço (kg)]]*ESF[[#This Row],[Aço (R$/kg)]]+ESF[[#This Row],[Conc (m³)]]*ESF[[#This Row],[Conc (R$/m³)]]</f>
        <v>4886.5946127161415</v>
      </c>
      <c r="BF20" s="4" t="str">
        <f ca="1">IF(COUNTIF(ESF[#This Row],"N.S.")&gt;0,"lim.","OK")</f>
        <v>lim.</v>
      </c>
      <c r="BG20" s="4" t="str">
        <f>IF(ESF[[#This Row],[Prof. (m)]]&lt;3,"lim.","OK")</f>
        <v>lim.</v>
      </c>
      <c r="BH20" s="4" t="str">
        <f>IF(ESF[[#This Row],[Prof. (m)]]&gt;=8*ESF[[#This Row],[Ø (cm)]]/100,"OK","lim.")</f>
        <v>lim.</v>
      </c>
      <c r="BI20" s="4" t="str">
        <f>IF(AND(SPT!$F$3&lt;&gt;"",ESF[[#This Row],[Prof. (m)]]&gt;=SPT!$F$3),"lim.","OK")</f>
        <v>OK</v>
      </c>
      <c r="BJ20" s="4" t="str">
        <f>IF(COUNTIFS(ESF[Solo],"Areia",ESF[Prof. (m)],"&lt;="&amp;ESF[[#This Row],[Prof. (m)]])&gt;=1,"lim.","OK")</f>
        <v>OK</v>
      </c>
      <c r="BK20" s="4" t="str">
        <f ca="1">IF(ESF[[#This Row],[Verif. Biela]]="OK","OK","lim.")</f>
        <v>OK</v>
      </c>
      <c r="BL20" s="4" t="str">
        <f ca="1">IF(COUNTA(ESF[[#This Row],[Nº Est.]:[Biela comp.]])=COUNTIF(ESF[[#This Row],[Nº Est.]:[Biela comp.]],"OK"),"OK","lim.")</f>
        <v>lim.</v>
      </c>
      <c r="BM20" s="4" t="str">
        <f ca="1">IF(ESF[[#This Row],[Controle]]="OK",ESF[[#This Row],[nE]]&amp;" Ø"&amp;ESF[[#This Row],[Ø (cm)]]&amp;"cm Prof. "&amp;ESF[[#This Row],[Prof. (m)]]&amp;" m","")</f>
        <v/>
      </c>
      <c r="BN20" s="4" t="str">
        <f ca="1">IF(ESF[[#This Row],[idDimensionamento]]="","",ESF[[#This Row],[idPilar]]&amp;ESF[[#This Row],[idDimensionamento]])</f>
        <v/>
      </c>
    </row>
    <row r="21" spans="2:66" x14ac:dyDescent="0.25">
      <c r="B21" s="12">
        <f>ROUNDUP((ROW(ESF[[#This Row],[idDiâmetro]])-ROW(ESF[[#Headers],[idDiâmetro]]))/(COUNT(SPT[Prof. (m)])*COUNT(PILARES[Pilar])),0)</f>
        <v>1</v>
      </c>
      <c r="C21" s="12">
        <f>IF(ESF[[#This Row],[idDiâmetro]]&lt;&gt;B20,1,IF(ESF[[#This Row],[Prof. (m)]]=0,C20+1,C20))</f>
        <v>2</v>
      </c>
      <c r="D21" s="1">
        <f>IFERROR(IF(D20=MAX(SPT[Prof. (m)]),0,D20+1),0)</f>
        <v>2</v>
      </c>
      <c r="E21" s="1">
        <f>INDEX(SPT[],MATCH(ESF[[#This Row],[Prof. (m)]],SPT[Prof. (m)],0),2)</f>
        <v>2</v>
      </c>
      <c r="F21" s="1" t="str">
        <f>INDEX(SPT[],MATCH(ESF[[#This Row],[Prof. (m)]],SPT[Prof. (m)],0),3)</f>
        <v>Areia siltosa</v>
      </c>
      <c r="G21" s="1">
        <f>INDEX(estacas[],ESF[[#This Row],[idDiâmetro]],MATCH($B$2,estacas[#Headers],0))</f>
        <v>25</v>
      </c>
      <c r="H21" s="1">
        <f>INDEX(estacas[],MATCH(ESF[[#This Row],[Ø (cm)]],estacas[Ø ESF (cm)],0),MATCH(ESF[[#Headers],[Pe ESF (kN)]],estacas[#Headers],0))</f>
        <v>250</v>
      </c>
      <c r="I21" s="4">
        <f>INDEX(K_alpha_C[],MATCH(ESF[[#This Row],[Solo]],K_alpha_C[Solo],0),2)</f>
        <v>0.8</v>
      </c>
      <c r="J21" s="5">
        <f>INDEX(K_alpha_C[],MATCH(ESF[[#This Row],[Solo]],K_alpha_C[Solo],0),3)</f>
        <v>2</v>
      </c>
      <c r="K21" s="4">
        <f>INDEX(F1_F2[],MATCH($D$2,F1_F2[Tipo de estaca],0),2)</f>
        <v>3</v>
      </c>
      <c r="L21" s="4">
        <f>INDEX(F1_F2[],MATCH($D$2,F1_F2[Tipo de estaca],0),3)</f>
        <v>6</v>
      </c>
      <c r="M21" s="4">
        <f>PI()*(ESF[[#This Row],[Ø (cm)]]/100)^2/4</f>
        <v>4.9087385212340517E-2</v>
      </c>
      <c r="N21" s="4">
        <f>PI()*ESF[[#This Row],[Ø (cm)]]/100</f>
        <v>0.78539816339744828</v>
      </c>
      <c r="O21" s="4">
        <f>IF(ESF[[#This Row],[Prof. (m)]]=0,0,ESF[[#This Row],[α (%)]]/100*ESF[[#This Row],[K (MPa)]]*1000*ESF[[#This Row],[NSPT]])</f>
        <v>32</v>
      </c>
      <c r="P21" s="4">
        <f>IF(ESF[[#This Row],[Prof. (m)]]=0,0,(ESF[[#This Row],[K (MPa)]]*1000*ESF[[#This Row],[NSPT]]/ESF[[#This Row],[F1]]*ESF[[#This Row],[Ap (m²)]]+ESF[[#This Row],[U (m)]]/ESF[[#This Row],[F2]]*SUMIFS(ESF[(α∙K∙NL∙ΔL)],ESF[Prof. (m)],"&lt;="&amp;ESF[[#This Row],[Prof. (m)]],ESF[idDiâmetro],ESF[[#This Row],[idDiâmetro]],ESF[idPilar],ESF[[#This Row],[idPilar]]))/'DADOS CAP. CARGA'!$D$2)</f>
        <v>17.278759594743864</v>
      </c>
      <c r="Q21" s="12">
        <f>INDEX(C_alpha_beta[],MATCH(ESF[[#This Row],[Solo]],C_alpha_beta[Solo],0),MATCH(ESF[[#Headers],[C (kPa)]],C_alpha_beta[#Headers],0))</f>
        <v>400</v>
      </c>
      <c r="R21" s="4">
        <f>INDEX(C_alpha_beta[],MATCH(ESF[[#This Row],[Solo]],C_alpha_beta[Solo],0),MATCH(ESF[[#Headers],[α ESF]],C_alpha_beta[#Headers],0))</f>
        <v>0.5</v>
      </c>
      <c r="S21" s="4">
        <f>INDEX(C_alpha_beta[],MATCH(ESF[[#This Row],[Solo]],C_alpha_beta[Solo],0),MATCH(ESF[[#Headers],[β ESF]],C_alpha_beta[#Headers],0))</f>
        <v>0.5</v>
      </c>
      <c r="T21" s="4">
        <f>IF(ESF[[#This Row],[Prof. (m)]]=0,0,10*(ESF[[#This Row],[NSPT]]/3+1))</f>
        <v>16.666666666666664</v>
      </c>
      <c r="U21" s="4">
        <f>(ESF[[#This Row],[α ESF]]*ESF[[#This Row],[C (kPa)]]*ESF[[#This Row],[NSPT]]*ESF[[#This Row],[Ap (m²)]])/'DADOS CAP. CARGA'!$Q$2+(ESF[[#This Row],[β ESF]]*SUMIFS(ESF[10∙(NL/3+1)],ESF[Prof. (m)],"&lt;="&amp;ESF[[#This Row],[Prof. (m)]],ESF[idDiâmetro],ESF[[#This Row],[idDiâmetro]],ESF[idPilar],ESF[[#This Row],[idPilar]])*ESF[[#This Row],[U (m)]])/'DADOS CAP. CARGA'!$S$2</f>
        <v>11.453723216212786</v>
      </c>
      <c r="V21" s="4">
        <f>IF(SPT!$M$5=1,MIN(ESF[[#This Row],[Pe ESF (kN)]],ESF[[#This Row],[R_AV (kN)]]),IF(SPT!$M$5=2,MIN(ESF[[#This Row],[Pe ESF (kN)]],ESF[[#This Row],[R_DC (kN)]]),MIN(ESF[[#This Row],[Pe ESF (kN)]],ESF[[#This Row],[R_AV (kN)]],ESF[[#This Row],[R_DC (kN)]])))</f>
        <v>11.453723216212786</v>
      </c>
      <c r="W21" s="4">
        <f>INDEX(PILARES[],ESF[[#This Row],[idPilar]],MATCH("Carga (kN)",PILARES[#Headers],0))*1.4</f>
        <v>1750</v>
      </c>
      <c r="X21" s="12">
        <f>INDEX(PILARES[],ESF[[#This Row],[idPilar]],MATCH(ESF[[#Headers],[ap (cm)]],PILARES[#Headers],0))</f>
        <v>50</v>
      </c>
      <c r="Y21" s="12">
        <f>INDEX(PILARES[],ESF[[#This Row],[idPilar]],MATCH(ESF[[#Headers],[bp (cm)]],PILARES[#Headers],0))</f>
        <v>40</v>
      </c>
      <c r="Z21" s="4">
        <f>SQRT(ESF[[#This Row],[ap (cm)]]*ESF[[#This Row],[bp (cm)]])</f>
        <v>44.721359549995796</v>
      </c>
      <c r="AA21" s="12">
        <f>ESF[[#This Row],[ap (cm)]]*ESF[[#This Row],[bp (cm)]]</f>
        <v>2000</v>
      </c>
      <c r="AB21" s="12">
        <f ca="1">IF(ESF[[#This Row],[Padm∙ε (kN)]]&gt;=ESF[[#This Row],[Padm (kN)]],ROUNDUP(1.05*ESF[[#This Row],[Nsd (kN)]]/ESF[[#This Row],[Padm (kN)]],0),ROUNDUP(1.05*ESF[[#This Row],[Nsd (kN)]]/ESF[[#This Row],[Padm (kN)]],0)+1)</f>
        <v>161</v>
      </c>
      <c r="AC21" s="4" t="str">
        <f ca="1">IFERROR(IF(ESF[[#This Row],[nE]]=1,ESF[[#This Row],[Padm (kN)]],ESF[[#This Row],[Padm (kN)]]*ESF[[#This Row],[nE]]*INDEX(grupoEstacas[],ESF[[#This Row],[nE]],MATCH("ε",grupoEstacas[#Headers],0))),"N.S.")</f>
        <v>N.S.</v>
      </c>
      <c r="AD21" s="4">
        <f ca="1">1.05*ESF[[#This Row],[Nsd (kN)]]/(ESF[[#This Row],[nE]]*PI()*ESF[[#This Row],[Ø (cm)]]^2/4)*10</f>
        <v>0.23250461251685584</v>
      </c>
      <c r="AE21" s="4">
        <f ca="1">IF(ESF[[#This Row],[σ (MPa)]]&lt;INDEX(tipoEstaca[],MATCH($D$2,tipoEstaca[TIPO DE ESTACA],0),MATCH("σmáx (MPa)",tipoEstaca[#Headers],0)),0.4%*PI()*ESF[[#This Row],[Ø (cm)]]^2/4,"N.S.")</f>
        <v>1.9634954084936209</v>
      </c>
      <c r="AF21" s="1">
        <f>INDEX(tipoEstaca[],MATCH($D$2,tipoEstaca[TIPO DE ESTACA],0),MATCH(ESF[[#Headers],[Comprimento (m)]],tipoEstaca[#Headers],0))</f>
        <v>2</v>
      </c>
      <c r="AG21" s="5">
        <f ca="1">ESF[[#This Row],[As,mín (cm²)]]/100^2*ESF[[#This Row],[Comprimento (m)]]*7850</f>
        <v>3.0826877913349846</v>
      </c>
      <c r="AH21" s="4">
        <f ca="1">ESF[[#This Row],[nE]]*ESF[[#This Row],[Prof. (m)]]*ESF[[#This Row],[Ap (m²)]]</f>
        <v>15.806138038373646</v>
      </c>
      <c r="AI21" s="1">
        <f ca="1">IF(ESF[[#This Row],[nE]]=1,0,MAX(3*ESF[[#This Row],[Ø (cm)]],60))</f>
        <v>75</v>
      </c>
      <c r="AJ21" s="1">
        <f ca="1">IF(ESF[[#This Row],[nE]]=1,ESF[[#This Row],[Ø (cm)]]+2*10,MAX(1.5*ESF[[#This Row],[Ø (cm)]],ESF[[#This Row],[Ø (cm)]]+15))</f>
        <v>40</v>
      </c>
      <c r="AK21" s="1" t="str">
        <f ca="1">alturaUtil(ESF[[#This Row],[nE]],ESF[[#This Row],[Ø (cm)]],ESF[[#This Row],[e (cm)]],ESF[[#This Row],[ap,eq (cm)]])</f>
        <v>N.S.</v>
      </c>
      <c r="AL21" s="1" t="str">
        <f ca="1">IFERROR(ESF[[#This Row],[d (cm)]]+arredondarParaCimaMultiplo5cm(MAX(5,SQRT(PI())/2*ESF[[#This Row],[Ø (cm)]]/5)),"N.S.")</f>
        <v>N.S.</v>
      </c>
      <c r="AM21" s="5" t="str">
        <f ca="1">alpha(ESF[[#This Row],[nE]],ESF[[#This Row],[d (cm)]],ESF[[#This Row],[e (cm)]],ESF[[#This Row],[ap,eq (cm)]])</f>
        <v>N.S.</v>
      </c>
      <c r="AN21" s="35" t="str">
        <f ca="1">IFERROR(ESF[[#This Row],[Nsd (kN)]]/(ESF[[#This Row],[Ap (cm²)]]*SIN(ESF[[#This Row],[α]])^2),"N.S.")</f>
        <v>N.S.</v>
      </c>
      <c r="AO21" s="35" t="str">
        <f ca="1">IFERROR(ESF[[#This Row],[Nsd (kN)]]/(ESF[[#This Row],[nE]]*PI()*ESF[[#This Row],[Ø (cm)]]^2/4*SIN(ESF[[#This Row],[α]])^2),"N.S.")</f>
        <v>N.S.</v>
      </c>
      <c r="AP21" s="4" t="str">
        <f ca="1">IFERROR(INDEX(grupoEstacas[],ESF[[#This Row],[nE]],MATCH("coef. Blévot",grupoEstacas[#Headers],0)),"N.S.")</f>
        <v>N.S.</v>
      </c>
      <c r="AQ21" s="35" t="str">
        <f ca="1">IFERROR(ESF[[#This Row],[coef. Blévot]]*0.9*INDEX(tipoEstaca[],MATCH($D$2,tipoEstaca[TIPO DE ESTACA],0),MATCH("fcd (kN/cm²)",tipoEstaca[#Headers],0)),"N.S.")</f>
        <v>N.S.</v>
      </c>
      <c r="AR21" s="1" t="str">
        <f ca="1">IF(AND(ESF[[#This Row],[cd,b,pil (kN/cm²)]]&lt;=ESF[[#This Row],[cd,b,lim (kN/cm²)]],ESF[[#This Row],[cd,b,est (kN/cm²)]]&lt;=ESF[[#This Row],[cd,b,lim (kN/cm²)]]),"OK","ERRO")</f>
        <v>OK</v>
      </c>
      <c r="AS21" s="4" t="str">
        <f ca="1">As_lado(ESF[[#This Row],[nE]],ESF[[#This Row],[Nsd (kN)]],ESF[[#This Row],[d (cm)]],ESF[[#This Row],[e (cm)]],ESF[[#This Row],[ap,eq (cm)]])</f>
        <v>N.S.</v>
      </c>
      <c r="AT21" s="4" t="str">
        <f ca="1">IF(ESF[[#This Row],[nE]]=1,ESF[[#This Row],[As,lado (cm²)]],IF(ESF[[#This Row],[nE]]=2,0.075*2*ESF[a (cm)],"N.A."))</f>
        <v>N.A.</v>
      </c>
      <c r="AU21" s="4" t="str">
        <f ca="1">IFERROR(IF(ESF[[#This Row],[nE]]=1,"N.A.",0.2*ESF[[#This Row],[As,lado (cm²)]]),"N.S.")</f>
        <v>N.S.</v>
      </c>
      <c r="AV21" s="4" t="str">
        <f ca="1">As_malha(ESF[[#This Row],[nE]],ESF[[#This Row],[As,lado (cm²)]],ESF[[#This Row],[Nsd (kN)]])</f>
        <v>N.S.</v>
      </c>
      <c r="AW21" s="4" t="str">
        <f ca="1">As_susp_tot(ESF[[#This Row],[nE]],ESF[[#This Row],[Nsd (kN)]])</f>
        <v>N.S.</v>
      </c>
      <c r="AX21" s="4" t="str">
        <f ca="1">Asp_face(ESF[[#This Row],[nE]],ESF[[#This Row],[As,lado (cm²)]])</f>
        <v>N.S.</v>
      </c>
      <c r="AY21" s="5" t="str">
        <f ca="1">acoBloco(ESF[[#This Row],[nE]],ESF[[#This Row],[e (cm)]],ESF[[#This Row],[a (cm)]],ESF[[#This Row],[h (cm)]],ESF[[#This Row],[As,lado (cm²)]],ESF[[#This Row],[Asp e Asw (cm²/m)]],ESF[[#This Row],[As,sup (cm²)]],ESF[[#This Row],[As,malha (cm²)]],ESF[[#This Row],[As,susp,tot (cm²)]],ESF[[#This Row],[Asp,face (cm²)]])</f>
        <v>N.S.</v>
      </c>
      <c r="AZ21" s="4" t="str">
        <f ca="1">concretoBloco(ESF[[#This Row],[nE]],ESF[[#This Row],[e (cm)]],ESF[[#This Row],[a (cm)]],ESF[[#This Row],[h (cm)]])</f>
        <v>N.S.</v>
      </c>
      <c r="BA21" s="5">
        <f ca="1">SUM(ESF[[#This Row],[Aço Est (kg)]],ESF[[#This Row],[Aço Bloco (kg)]])</f>
        <v>3.0826877913349846</v>
      </c>
      <c r="BB21" s="4">
        <f>INDEX(composicoes[],MATCH(95580,composicoes[CÓDIGO],0),MATCH("CUSTO TOTAL",composicoes[#Headers],0))</f>
        <v>10.46</v>
      </c>
      <c r="BC21" s="4">
        <f ca="1">SUM(ESF[[#This Row],[Conc Est (m³)]],ESF[[#This Row],[Conc Bloco (m³)]])</f>
        <v>15.806138038373646</v>
      </c>
      <c r="BD21" s="4">
        <f>INDEX(composicoes[],MATCH(94966,composicoes[CÓDIGO],0),MATCH("CUSTO TOTAL",composicoes[#Headers],0))</f>
        <v>439.52</v>
      </c>
      <c r="BE21" s="38">
        <f ca="1">ESF[[#This Row],[Aço (kg)]]*ESF[[#This Row],[Aço (R$/kg)]]+ESF[[#This Row],[Conc (m³)]]*ESF[[#This Row],[Conc (R$/m³)]]</f>
        <v>6979.3587049233483</v>
      </c>
      <c r="BF21" s="4" t="str">
        <f ca="1">IF(COUNTIF(ESF[#This Row],"N.S.")&gt;0,"lim.","OK")</f>
        <v>lim.</v>
      </c>
      <c r="BG21" s="4" t="str">
        <f>IF(ESF[[#This Row],[Prof. (m)]]&lt;3,"lim.","OK")</f>
        <v>lim.</v>
      </c>
      <c r="BH21" s="4" t="str">
        <f>IF(ESF[[#This Row],[Prof. (m)]]&gt;=8*ESF[[#This Row],[Ø (cm)]]/100,"OK","lim.")</f>
        <v>OK</v>
      </c>
      <c r="BI21" s="4" t="str">
        <f>IF(AND(SPT!$F$3&lt;&gt;"",ESF[[#This Row],[Prof. (m)]]&gt;=SPT!$F$3),"lim.","OK")</f>
        <v>OK</v>
      </c>
      <c r="BJ21" s="4" t="str">
        <f>IF(COUNTIFS(ESF[Solo],"Areia",ESF[Prof. (m)],"&lt;="&amp;ESF[[#This Row],[Prof. (m)]])&gt;=1,"lim.","OK")</f>
        <v>OK</v>
      </c>
      <c r="BK21" s="4" t="str">
        <f ca="1">IF(ESF[[#This Row],[Verif. Biela]]="OK","OK","lim.")</f>
        <v>OK</v>
      </c>
      <c r="BL21" s="4" t="str">
        <f ca="1">IF(COUNTA(ESF[[#This Row],[Nº Est.]:[Biela comp.]])=COUNTIF(ESF[[#This Row],[Nº Est.]:[Biela comp.]],"OK"),"OK","lim.")</f>
        <v>lim.</v>
      </c>
      <c r="BM21" s="4" t="str">
        <f ca="1">IF(ESF[[#This Row],[Controle]]="OK",ESF[[#This Row],[nE]]&amp;" Ø"&amp;ESF[[#This Row],[Ø (cm)]]&amp;"cm Prof. "&amp;ESF[[#This Row],[Prof. (m)]]&amp;" m","")</f>
        <v/>
      </c>
      <c r="BN21" s="4" t="str">
        <f ca="1">IF(ESF[[#This Row],[idDimensionamento]]="","",ESF[[#This Row],[idPilar]]&amp;ESF[[#This Row],[idDimensionamento]])</f>
        <v/>
      </c>
    </row>
    <row r="22" spans="2:66" x14ac:dyDescent="0.25">
      <c r="B22" s="12">
        <f>ROUNDUP((ROW(ESF[[#This Row],[idDiâmetro]])-ROW(ESF[[#Headers],[idDiâmetro]]))/(COUNT(SPT[Prof. (m)])*COUNT(PILARES[Pilar])),0)</f>
        <v>1</v>
      </c>
      <c r="C22" s="12">
        <f>IF(ESF[[#This Row],[idDiâmetro]]&lt;&gt;B21,1,IF(ESF[[#This Row],[Prof. (m)]]=0,C21+1,C21))</f>
        <v>2</v>
      </c>
      <c r="D22" s="1">
        <f>IFERROR(IF(D21=MAX(SPT[Prof. (m)]),0,D21+1),0)</f>
        <v>3</v>
      </c>
      <c r="E22" s="1">
        <f>INDEX(SPT[],MATCH(ESF[[#This Row],[Prof. (m)]],SPT[Prof. (m)],0),2)</f>
        <v>4</v>
      </c>
      <c r="F22" s="1" t="str">
        <f>INDEX(SPT[],MATCH(ESF[[#This Row],[Prof. (m)]],SPT[Prof. (m)],0),3)</f>
        <v>Areia siltosa</v>
      </c>
      <c r="G22" s="1">
        <f>INDEX(estacas[],ESF[[#This Row],[idDiâmetro]],MATCH($B$2,estacas[#Headers],0))</f>
        <v>25</v>
      </c>
      <c r="H22" s="1">
        <f>INDEX(estacas[],MATCH(ESF[[#This Row],[Ø (cm)]],estacas[Ø ESF (cm)],0),MATCH(ESF[[#Headers],[Pe ESF (kN)]],estacas[#Headers],0))</f>
        <v>250</v>
      </c>
      <c r="I22" s="4">
        <f>INDEX(K_alpha_C[],MATCH(ESF[[#This Row],[Solo]],K_alpha_C[Solo],0),2)</f>
        <v>0.8</v>
      </c>
      <c r="J22" s="5">
        <f>INDEX(K_alpha_C[],MATCH(ESF[[#This Row],[Solo]],K_alpha_C[Solo],0),3)</f>
        <v>2</v>
      </c>
      <c r="K22" s="4">
        <f>INDEX(F1_F2[],MATCH($D$2,F1_F2[Tipo de estaca],0),2)</f>
        <v>3</v>
      </c>
      <c r="L22" s="4">
        <f>INDEX(F1_F2[],MATCH($D$2,F1_F2[Tipo de estaca],0),3)</f>
        <v>6</v>
      </c>
      <c r="M22" s="4">
        <f>PI()*(ESF[[#This Row],[Ø (cm)]]/100)^2/4</f>
        <v>4.9087385212340517E-2</v>
      </c>
      <c r="N22" s="4">
        <f>PI()*ESF[[#This Row],[Ø (cm)]]/100</f>
        <v>0.78539816339744828</v>
      </c>
      <c r="O22" s="4">
        <f>IF(ESF[[#This Row],[Prof. (m)]]=0,0,ESF[[#This Row],[α (%)]]/100*ESF[[#This Row],[K (MPa)]]*1000*ESF[[#This Row],[NSPT]])</f>
        <v>64</v>
      </c>
      <c r="P22" s="4">
        <f>IF(ESF[[#This Row],[Prof. (m)]]=0,0,(ESF[[#This Row],[K (MPa)]]*1000*ESF[[#This Row],[NSPT]]/ESF[[#This Row],[F1]]*ESF[[#This Row],[Ap (m²)]]+ESF[[#This Row],[U (m)]]/ESF[[#This Row],[F2]]*SUMIFS(ESF[(α∙K∙NL∙ΔL)],ESF[Prof. (m)],"&lt;="&amp;ESF[[#This Row],[Prof. (m)]],ESF[idDiâmetro],ESF[[#This Row],[idDiâmetro]],ESF[idPilar],ESF[[#This Row],[idPilar]]))/'DADOS CAP. CARGA'!$D$2)</f>
        <v>34.557519189487728</v>
      </c>
      <c r="Q22" s="12">
        <f>INDEX(C_alpha_beta[],MATCH(ESF[[#This Row],[Solo]],C_alpha_beta[Solo],0),MATCH(ESF[[#Headers],[C (kPa)]],C_alpha_beta[#Headers],0))</f>
        <v>400</v>
      </c>
      <c r="R22" s="4">
        <f>INDEX(C_alpha_beta[],MATCH(ESF[[#This Row],[Solo]],C_alpha_beta[Solo],0),MATCH(ESF[[#Headers],[α ESF]],C_alpha_beta[#Headers],0))</f>
        <v>0.5</v>
      </c>
      <c r="S22" s="4">
        <f>INDEX(C_alpha_beta[],MATCH(ESF[[#This Row],[Solo]],C_alpha_beta[Solo],0),MATCH(ESF[[#Headers],[β ESF]],C_alpha_beta[#Headers],0))</f>
        <v>0.5</v>
      </c>
      <c r="T22" s="4">
        <f>IF(ESF[[#This Row],[Prof. (m)]]=0,0,10*(ESF[[#This Row],[NSPT]]/3+1))</f>
        <v>23.333333333333329</v>
      </c>
      <c r="U22" s="4">
        <f>(ESF[[#This Row],[α ESF]]*ESF[[#This Row],[C (kPa)]]*ESF[[#This Row],[NSPT]]*ESF[[#This Row],[Ap (m²)]])/'DADOS CAP. CARGA'!$Q$2+(ESF[[#This Row],[β ESF]]*SUMIFS(ESF[10∙(NL/3+1)],ESF[Prof. (m)],"&lt;="&amp;ESF[[#This Row],[Prof. (m)]],ESF[idDiâmetro],ESF[[#This Row],[idDiâmetro]],ESF[idPilar],ESF[[#This Row],[idPilar]])*ESF[[#This Row],[U (m)]])/'DADOS CAP. CARGA'!$S$2</f>
        <v>20.943951023931952</v>
      </c>
      <c r="V22" s="4">
        <f>IF(SPT!$M$5=1,MIN(ESF[[#This Row],[Pe ESF (kN)]],ESF[[#This Row],[R_AV (kN)]]),IF(SPT!$M$5=2,MIN(ESF[[#This Row],[Pe ESF (kN)]],ESF[[#This Row],[R_DC (kN)]]),MIN(ESF[[#This Row],[Pe ESF (kN)]],ESF[[#This Row],[R_AV (kN)]],ESF[[#This Row],[R_DC (kN)]])))</f>
        <v>20.943951023931952</v>
      </c>
      <c r="W22" s="4">
        <f>INDEX(PILARES[],ESF[[#This Row],[idPilar]],MATCH("Carga (kN)",PILARES[#Headers],0))*1.4</f>
        <v>1750</v>
      </c>
      <c r="X22" s="12">
        <f>INDEX(PILARES[],ESF[[#This Row],[idPilar]],MATCH(ESF[[#Headers],[ap (cm)]],PILARES[#Headers],0))</f>
        <v>50</v>
      </c>
      <c r="Y22" s="12">
        <f>INDEX(PILARES[],ESF[[#This Row],[idPilar]],MATCH(ESF[[#Headers],[bp (cm)]],PILARES[#Headers],0))</f>
        <v>40</v>
      </c>
      <c r="Z22" s="4">
        <f>SQRT(ESF[[#This Row],[ap (cm)]]*ESF[[#This Row],[bp (cm)]])</f>
        <v>44.721359549995796</v>
      </c>
      <c r="AA22" s="12">
        <f>ESF[[#This Row],[ap (cm)]]*ESF[[#This Row],[bp (cm)]]</f>
        <v>2000</v>
      </c>
      <c r="AB22" s="12">
        <f ca="1">IF(ESF[[#This Row],[Padm∙ε (kN)]]&gt;=ESF[[#This Row],[Padm (kN)]],ROUNDUP(1.05*ESF[[#This Row],[Nsd (kN)]]/ESF[[#This Row],[Padm (kN)]],0),ROUNDUP(1.05*ESF[[#This Row],[Nsd (kN)]]/ESF[[#This Row],[Padm (kN)]],0)+1)</f>
        <v>88</v>
      </c>
      <c r="AC22" s="4" t="str">
        <f ca="1">IFERROR(IF(ESF[[#This Row],[nE]]=1,ESF[[#This Row],[Padm (kN)]],ESF[[#This Row],[Padm (kN)]]*ESF[[#This Row],[nE]]*INDEX(grupoEstacas[],ESF[[#This Row],[nE]],MATCH("ε",grupoEstacas[#Headers],0))),"N.S.")</f>
        <v>N.S.</v>
      </c>
      <c r="AD22" s="4">
        <f ca="1">1.05*ESF[[#This Row],[Nsd (kN)]]/(ESF[[#This Row],[nE]]*PI()*ESF[[#This Row],[Ø (cm)]]^2/4)*10</f>
        <v>0.42537775699106573</v>
      </c>
      <c r="AE22" s="4">
        <f ca="1">IF(ESF[[#This Row],[σ (MPa)]]&lt;INDEX(tipoEstaca[],MATCH($D$2,tipoEstaca[TIPO DE ESTACA],0),MATCH("σmáx (MPa)",tipoEstaca[#Headers],0)),0.4%*PI()*ESF[[#This Row],[Ø (cm)]]^2/4,"N.S.")</f>
        <v>1.9634954084936209</v>
      </c>
      <c r="AF22" s="1">
        <f>INDEX(tipoEstaca[],MATCH($D$2,tipoEstaca[TIPO DE ESTACA],0),MATCH(ESF[[#Headers],[Comprimento (m)]],tipoEstaca[#Headers],0))</f>
        <v>2</v>
      </c>
      <c r="AG22" s="5">
        <f ca="1">ESF[[#This Row],[As,mín (cm²)]]/100^2*ESF[[#This Row],[Comprimento (m)]]*7850</f>
        <v>3.0826877913349846</v>
      </c>
      <c r="AH22" s="4">
        <f ca="1">ESF[[#This Row],[nE]]*ESF[[#This Row],[Prof. (m)]]*ESF[[#This Row],[Ap (m²)]]</f>
        <v>12.959069696057897</v>
      </c>
      <c r="AI22" s="1">
        <f ca="1">IF(ESF[[#This Row],[nE]]=1,0,MAX(3*ESF[[#This Row],[Ø (cm)]],60))</f>
        <v>75</v>
      </c>
      <c r="AJ22" s="1">
        <f ca="1">IF(ESF[[#This Row],[nE]]=1,ESF[[#This Row],[Ø (cm)]]+2*10,MAX(1.5*ESF[[#This Row],[Ø (cm)]],ESF[[#This Row],[Ø (cm)]]+15))</f>
        <v>40</v>
      </c>
      <c r="AK22" s="1" t="str">
        <f ca="1">alturaUtil(ESF[[#This Row],[nE]],ESF[[#This Row],[Ø (cm)]],ESF[[#This Row],[e (cm)]],ESF[[#This Row],[ap,eq (cm)]])</f>
        <v>N.S.</v>
      </c>
      <c r="AL22" s="1" t="str">
        <f ca="1">IFERROR(ESF[[#This Row],[d (cm)]]+arredondarParaCimaMultiplo5cm(MAX(5,SQRT(PI())/2*ESF[[#This Row],[Ø (cm)]]/5)),"N.S.")</f>
        <v>N.S.</v>
      </c>
      <c r="AM22" s="5" t="str">
        <f ca="1">alpha(ESF[[#This Row],[nE]],ESF[[#This Row],[d (cm)]],ESF[[#This Row],[e (cm)]],ESF[[#This Row],[ap,eq (cm)]])</f>
        <v>N.S.</v>
      </c>
      <c r="AN22" s="35" t="str">
        <f ca="1">IFERROR(ESF[[#This Row],[Nsd (kN)]]/(ESF[[#This Row],[Ap (cm²)]]*SIN(ESF[[#This Row],[α]])^2),"N.S.")</f>
        <v>N.S.</v>
      </c>
      <c r="AO22" s="35" t="str">
        <f ca="1">IFERROR(ESF[[#This Row],[Nsd (kN)]]/(ESF[[#This Row],[nE]]*PI()*ESF[[#This Row],[Ø (cm)]]^2/4*SIN(ESF[[#This Row],[α]])^2),"N.S.")</f>
        <v>N.S.</v>
      </c>
      <c r="AP22" s="4" t="str">
        <f ca="1">IFERROR(INDEX(grupoEstacas[],ESF[[#This Row],[nE]],MATCH("coef. Blévot",grupoEstacas[#Headers],0)),"N.S.")</f>
        <v>N.S.</v>
      </c>
      <c r="AQ22" s="35" t="str">
        <f ca="1">IFERROR(ESF[[#This Row],[coef. Blévot]]*0.9*INDEX(tipoEstaca[],MATCH($D$2,tipoEstaca[TIPO DE ESTACA],0),MATCH("fcd (kN/cm²)",tipoEstaca[#Headers],0)),"N.S.")</f>
        <v>N.S.</v>
      </c>
      <c r="AR22" s="1" t="str">
        <f ca="1">IF(AND(ESF[[#This Row],[cd,b,pil (kN/cm²)]]&lt;=ESF[[#This Row],[cd,b,lim (kN/cm²)]],ESF[[#This Row],[cd,b,est (kN/cm²)]]&lt;=ESF[[#This Row],[cd,b,lim (kN/cm²)]]),"OK","ERRO")</f>
        <v>OK</v>
      </c>
      <c r="AS22" s="4" t="str">
        <f ca="1">As_lado(ESF[[#This Row],[nE]],ESF[[#This Row],[Nsd (kN)]],ESF[[#This Row],[d (cm)]],ESF[[#This Row],[e (cm)]],ESF[[#This Row],[ap,eq (cm)]])</f>
        <v>N.S.</v>
      </c>
      <c r="AT22" s="4" t="str">
        <f ca="1">IF(ESF[[#This Row],[nE]]=1,ESF[[#This Row],[As,lado (cm²)]],IF(ESF[[#This Row],[nE]]=2,0.075*2*ESF[a (cm)],"N.A."))</f>
        <v>N.A.</v>
      </c>
      <c r="AU22" s="4" t="str">
        <f ca="1">IFERROR(IF(ESF[[#This Row],[nE]]=1,"N.A.",0.2*ESF[[#This Row],[As,lado (cm²)]]),"N.S.")</f>
        <v>N.S.</v>
      </c>
      <c r="AV22" s="4" t="str">
        <f ca="1">As_malha(ESF[[#This Row],[nE]],ESF[[#This Row],[As,lado (cm²)]],ESF[[#This Row],[Nsd (kN)]])</f>
        <v>N.S.</v>
      </c>
      <c r="AW22" s="4" t="str">
        <f ca="1">As_susp_tot(ESF[[#This Row],[nE]],ESF[[#This Row],[Nsd (kN)]])</f>
        <v>N.S.</v>
      </c>
      <c r="AX22" s="4" t="str">
        <f ca="1">Asp_face(ESF[[#This Row],[nE]],ESF[[#This Row],[As,lado (cm²)]])</f>
        <v>N.S.</v>
      </c>
      <c r="AY22" s="5" t="str">
        <f ca="1">acoBloco(ESF[[#This Row],[nE]],ESF[[#This Row],[e (cm)]],ESF[[#This Row],[a (cm)]],ESF[[#This Row],[h (cm)]],ESF[[#This Row],[As,lado (cm²)]],ESF[[#This Row],[Asp e Asw (cm²/m)]],ESF[[#This Row],[As,sup (cm²)]],ESF[[#This Row],[As,malha (cm²)]],ESF[[#This Row],[As,susp,tot (cm²)]],ESF[[#This Row],[Asp,face (cm²)]])</f>
        <v>N.S.</v>
      </c>
      <c r="AZ22" s="4" t="str">
        <f ca="1">concretoBloco(ESF[[#This Row],[nE]],ESF[[#This Row],[e (cm)]],ESF[[#This Row],[a (cm)]],ESF[[#This Row],[h (cm)]])</f>
        <v>N.S.</v>
      </c>
      <c r="BA22" s="5">
        <f ca="1">SUM(ESF[[#This Row],[Aço Est (kg)]],ESF[[#This Row],[Aço Bloco (kg)]])</f>
        <v>3.0826877913349846</v>
      </c>
      <c r="BB22" s="4">
        <f>INDEX(composicoes[],MATCH(95580,composicoes[CÓDIGO],0),MATCH("CUSTO TOTAL",composicoes[#Headers],0))</f>
        <v>10.46</v>
      </c>
      <c r="BC22" s="4">
        <f ca="1">SUM(ESF[[#This Row],[Conc Est (m³)]],ESF[[#This Row],[Conc Bloco (m³)]])</f>
        <v>12.959069696057897</v>
      </c>
      <c r="BD22" s="4">
        <f>INDEX(composicoes[],MATCH(94966,composicoes[CÓDIGO],0),MATCH("CUSTO TOTAL",composicoes[#Headers],0))</f>
        <v>439.52</v>
      </c>
      <c r="BE22" s="38">
        <f ca="1">ESF[[#This Row],[Aço (kg)]]*ESF[[#This Row],[Aço (R$/kg)]]+ESF[[#This Row],[Conc (m³)]]*ESF[[#This Row],[Conc (R$/m³)]]</f>
        <v>5728.01522710873</v>
      </c>
      <c r="BF22" s="4" t="str">
        <f ca="1">IF(COUNTIF(ESF[#This Row],"N.S.")&gt;0,"lim.","OK")</f>
        <v>lim.</v>
      </c>
      <c r="BG22" s="4" t="str">
        <f>IF(ESF[[#This Row],[Prof. (m)]]&lt;3,"lim.","OK")</f>
        <v>OK</v>
      </c>
      <c r="BH22" s="4" t="str">
        <f>IF(ESF[[#This Row],[Prof. (m)]]&gt;=8*ESF[[#This Row],[Ø (cm)]]/100,"OK","lim.")</f>
        <v>OK</v>
      </c>
      <c r="BI22" s="4" t="str">
        <f>IF(AND(SPT!$F$3&lt;&gt;"",ESF[[#This Row],[Prof. (m)]]&gt;=SPT!$F$3),"lim.","OK")</f>
        <v>OK</v>
      </c>
      <c r="BJ22" s="4" t="str">
        <f>IF(COUNTIFS(ESF[Solo],"Areia",ESF[Prof. (m)],"&lt;="&amp;ESF[[#This Row],[Prof. (m)]])&gt;=1,"lim.","OK")</f>
        <v>OK</v>
      </c>
      <c r="BK22" s="4" t="str">
        <f ca="1">IF(ESF[[#This Row],[Verif. Biela]]="OK","OK","lim.")</f>
        <v>OK</v>
      </c>
      <c r="BL22" s="4" t="str">
        <f ca="1">IF(COUNTA(ESF[[#This Row],[Nº Est.]:[Biela comp.]])=COUNTIF(ESF[[#This Row],[Nº Est.]:[Biela comp.]],"OK"),"OK","lim.")</f>
        <v>lim.</v>
      </c>
      <c r="BM22" s="4" t="str">
        <f ca="1">IF(ESF[[#This Row],[Controle]]="OK",ESF[[#This Row],[nE]]&amp;" Ø"&amp;ESF[[#This Row],[Ø (cm)]]&amp;"cm Prof. "&amp;ESF[[#This Row],[Prof. (m)]]&amp;" m","")</f>
        <v/>
      </c>
      <c r="BN22" s="4" t="str">
        <f ca="1">IF(ESF[[#This Row],[idDimensionamento]]="","",ESF[[#This Row],[idPilar]]&amp;ESF[[#This Row],[idDimensionamento]])</f>
        <v/>
      </c>
    </row>
    <row r="23" spans="2:66" x14ac:dyDescent="0.25">
      <c r="B23" s="12">
        <f>ROUNDUP((ROW(ESF[[#This Row],[idDiâmetro]])-ROW(ESF[[#Headers],[idDiâmetro]]))/(COUNT(SPT[Prof. (m)])*COUNT(PILARES[Pilar])),0)</f>
        <v>1</v>
      </c>
      <c r="C23" s="12">
        <f>IF(ESF[[#This Row],[idDiâmetro]]&lt;&gt;B22,1,IF(ESF[[#This Row],[Prof. (m)]]=0,C22+1,C22))</f>
        <v>2</v>
      </c>
      <c r="D23" s="1">
        <f>IFERROR(IF(D22=MAX(SPT[Prof. (m)]),0,D22+1),0)</f>
        <v>4</v>
      </c>
      <c r="E23" s="1">
        <f>INDEX(SPT[],MATCH(ESF[[#This Row],[Prof. (m)]],SPT[Prof. (m)],0),2)</f>
        <v>8</v>
      </c>
      <c r="F23" s="1" t="str">
        <f>INDEX(SPT[],MATCH(ESF[[#This Row],[Prof. (m)]],SPT[Prof. (m)],0),3)</f>
        <v>Areia siltosa</v>
      </c>
      <c r="G23" s="1">
        <f>INDEX(estacas[],ESF[[#This Row],[idDiâmetro]],MATCH($B$2,estacas[#Headers],0))</f>
        <v>25</v>
      </c>
      <c r="H23" s="1">
        <f>INDEX(estacas[],MATCH(ESF[[#This Row],[Ø (cm)]],estacas[Ø ESF (cm)],0),MATCH(ESF[[#Headers],[Pe ESF (kN)]],estacas[#Headers],0))</f>
        <v>250</v>
      </c>
      <c r="I23" s="4">
        <f>INDEX(K_alpha_C[],MATCH(ESF[[#This Row],[Solo]],K_alpha_C[Solo],0),2)</f>
        <v>0.8</v>
      </c>
      <c r="J23" s="5">
        <f>INDEX(K_alpha_C[],MATCH(ESF[[#This Row],[Solo]],K_alpha_C[Solo],0),3)</f>
        <v>2</v>
      </c>
      <c r="K23" s="4">
        <f>INDEX(F1_F2[],MATCH($D$2,F1_F2[Tipo de estaca],0),2)</f>
        <v>3</v>
      </c>
      <c r="L23" s="4">
        <f>INDEX(F1_F2[],MATCH($D$2,F1_F2[Tipo de estaca],0),3)</f>
        <v>6</v>
      </c>
      <c r="M23" s="4">
        <f>PI()*(ESF[[#This Row],[Ø (cm)]]/100)^2/4</f>
        <v>4.9087385212340517E-2</v>
      </c>
      <c r="N23" s="4">
        <f>PI()*ESF[[#This Row],[Ø (cm)]]/100</f>
        <v>0.78539816339744828</v>
      </c>
      <c r="O23" s="4">
        <f>IF(ESF[[#This Row],[Prof. (m)]]=0,0,ESF[[#This Row],[α (%)]]/100*ESF[[#This Row],[K (MPa)]]*1000*ESF[[#This Row],[NSPT]])</f>
        <v>128</v>
      </c>
      <c r="P23" s="4">
        <f>IF(ESF[[#This Row],[Prof. (m)]]=0,0,(ESF[[#This Row],[K (MPa)]]*1000*ESF[[#This Row],[NSPT]]/ESF[[#This Row],[F1]]*ESF[[#This Row],[Ap (m²)]]+ESF[[#This Row],[U (m)]]/ESF[[#This Row],[F2]]*SUMIFS(ESF[(α∙K∙NL∙ΔL)],ESF[Prof. (m)],"&lt;="&amp;ESF[[#This Row],[Prof. (m)]],ESF[idDiâmetro],ESF[[#This Row],[idDiâmetro]],ESF[idPilar],ESF[[#This Row],[idPilar]]))/'DADOS CAP. CARGA'!$D$2)</f>
        <v>69.115038378975456</v>
      </c>
      <c r="Q23" s="12">
        <f>INDEX(C_alpha_beta[],MATCH(ESF[[#This Row],[Solo]],C_alpha_beta[Solo],0),MATCH(ESF[[#Headers],[C (kPa)]],C_alpha_beta[#Headers],0))</f>
        <v>400</v>
      </c>
      <c r="R23" s="4">
        <f>INDEX(C_alpha_beta[],MATCH(ESF[[#This Row],[Solo]],C_alpha_beta[Solo],0),MATCH(ESF[[#Headers],[α ESF]],C_alpha_beta[#Headers],0))</f>
        <v>0.5</v>
      </c>
      <c r="S23" s="4">
        <f>INDEX(C_alpha_beta[],MATCH(ESF[[#This Row],[Solo]],C_alpha_beta[Solo],0),MATCH(ESF[[#Headers],[β ESF]],C_alpha_beta[#Headers],0))</f>
        <v>0.5</v>
      </c>
      <c r="T23" s="4">
        <f>IF(ESF[[#This Row],[Prof. (m)]]=0,0,10*(ESF[[#This Row],[NSPT]]/3+1))</f>
        <v>36.666666666666664</v>
      </c>
      <c r="U23" s="4">
        <f>(ESF[[#This Row],[α ESF]]*ESF[[#This Row],[C (kPa)]]*ESF[[#This Row],[NSPT]]*ESF[[#This Row],[Ap (m²)]])/'DADOS CAP. CARGA'!$Q$2+(ESF[[#This Row],[β ESF]]*SUMIFS(ESF[10∙(NL/3+1)],ESF[Prof. (m)],"&lt;="&amp;ESF[[#This Row],[Prof. (m)]],ESF[idDiâmetro],ESF[[#This Row],[idDiâmetro]],ESF[idPilar],ESF[[#This Row],[idPilar]])*ESF[[#This Row],[U (m)]])/'DADOS CAP. CARGA'!$S$2</f>
        <v>37.960911230876661</v>
      </c>
      <c r="V23" s="4">
        <f>IF(SPT!$M$5=1,MIN(ESF[[#This Row],[Pe ESF (kN)]],ESF[[#This Row],[R_AV (kN)]]),IF(SPT!$M$5=2,MIN(ESF[[#This Row],[Pe ESF (kN)]],ESF[[#This Row],[R_DC (kN)]]),MIN(ESF[[#This Row],[Pe ESF (kN)]],ESF[[#This Row],[R_AV (kN)]],ESF[[#This Row],[R_DC (kN)]])))</f>
        <v>37.960911230876661</v>
      </c>
      <c r="W23" s="4">
        <f>INDEX(PILARES[],ESF[[#This Row],[idPilar]],MATCH("Carga (kN)",PILARES[#Headers],0))*1.4</f>
        <v>1750</v>
      </c>
      <c r="X23" s="12">
        <f>INDEX(PILARES[],ESF[[#This Row],[idPilar]],MATCH(ESF[[#Headers],[ap (cm)]],PILARES[#Headers],0))</f>
        <v>50</v>
      </c>
      <c r="Y23" s="12">
        <f>INDEX(PILARES[],ESF[[#This Row],[idPilar]],MATCH(ESF[[#Headers],[bp (cm)]],PILARES[#Headers],0))</f>
        <v>40</v>
      </c>
      <c r="Z23" s="4">
        <f>SQRT(ESF[[#This Row],[ap (cm)]]*ESF[[#This Row],[bp (cm)]])</f>
        <v>44.721359549995796</v>
      </c>
      <c r="AA23" s="12">
        <f>ESF[[#This Row],[ap (cm)]]*ESF[[#This Row],[bp (cm)]]</f>
        <v>2000</v>
      </c>
      <c r="AB23" s="12">
        <f ca="1">IF(ESF[[#This Row],[Padm∙ε (kN)]]&gt;=ESF[[#This Row],[Padm (kN)]],ROUNDUP(1.05*ESF[[#This Row],[Nsd (kN)]]/ESF[[#This Row],[Padm (kN)]],0),ROUNDUP(1.05*ESF[[#This Row],[Nsd (kN)]]/ESF[[#This Row],[Padm (kN)]],0)+1)</f>
        <v>49</v>
      </c>
      <c r="AC23" s="4" t="str">
        <f ca="1">IFERROR(IF(ESF[[#This Row],[nE]]=1,ESF[[#This Row],[Padm (kN)]],ESF[[#This Row],[Padm (kN)]]*ESF[[#This Row],[nE]]*INDEX(grupoEstacas[],ESF[[#This Row],[nE]],MATCH("ε",grupoEstacas[#Headers],0))),"N.S.")</f>
        <v>N.S.</v>
      </c>
      <c r="AD23" s="4">
        <f ca="1">1.05*ESF[[#This Row],[Nsd (kN)]]/(ESF[[#This Row],[nE]]*PI()*ESF[[#This Row],[Ø (cm)]]^2/4)*10</f>
        <v>0.76394372684109768</v>
      </c>
      <c r="AE23" s="4">
        <f ca="1">IF(ESF[[#This Row],[σ (MPa)]]&lt;INDEX(tipoEstaca[],MATCH($D$2,tipoEstaca[TIPO DE ESTACA],0),MATCH("σmáx (MPa)",tipoEstaca[#Headers],0)),0.4%*PI()*ESF[[#This Row],[Ø (cm)]]^2/4,"N.S.")</f>
        <v>1.9634954084936209</v>
      </c>
      <c r="AF23" s="1">
        <f>INDEX(tipoEstaca[],MATCH($D$2,tipoEstaca[TIPO DE ESTACA],0),MATCH(ESF[[#Headers],[Comprimento (m)]],tipoEstaca[#Headers],0))</f>
        <v>2</v>
      </c>
      <c r="AG23" s="5">
        <f ca="1">ESF[[#This Row],[As,mín (cm²)]]/100^2*ESF[[#This Row],[Comprimento (m)]]*7850</f>
        <v>3.0826877913349846</v>
      </c>
      <c r="AH23" s="4">
        <f ca="1">ESF[[#This Row],[nE]]*ESF[[#This Row],[Prof. (m)]]*ESF[[#This Row],[Ap (m²)]]</f>
        <v>9.6211275016187408</v>
      </c>
      <c r="AI23" s="1">
        <f ca="1">IF(ESF[[#This Row],[nE]]=1,0,MAX(3*ESF[[#This Row],[Ø (cm)]],60))</f>
        <v>75</v>
      </c>
      <c r="AJ23" s="1">
        <f ca="1">IF(ESF[[#This Row],[nE]]=1,ESF[[#This Row],[Ø (cm)]]+2*10,MAX(1.5*ESF[[#This Row],[Ø (cm)]],ESF[[#This Row],[Ø (cm)]]+15))</f>
        <v>40</v>
      </c>
      <c r="AK23" s="1" t="str">
        <f ca="1">alturaUtil(ESF[[#This Row],[nE]],ESF[[#This Row],[Ø (cm)]],ESF[[#This Row],[e (cm)]],ESF[[#This Row],[ap,eq (cm)]])</f>
        <v>N.S.</v>
      </c>
      <c r="AL23" s="1" t="str">
        <f ca="1">IFERROR(ESF[[#This Row],[d (cm)]]+arredondarParaCimaMultiplo5cm(MAX(5,SQRT(PI())/2*ESF[[#This Row],[Ø (cm)]]/5)),"N.S.")</f>
        <v>N.S.</v>
      </c>
      <c r="AM23" s="5" t="str">
        <f ca="1">alpha(ESF[[#This Row],[nE]],ESF[[#This Row],[d (cm)]],ESF[[#This Row],[e (cm)]],ESF[[#This Row],[ap,eq (cm)]])</f>
        <v>N.S.</v>
      </c>
      <c r="AN23" s="35" t="str">
        <f ca="1">IFERROR(ESF[[#This Row],[Nsd (kN)]]/(ESF[[#This Row],[Ap (cm²)]]*SIN(ESF[[#This Row],[α]])^2),"N.S.")</f>
        <v>N.S.</v>
      </c>
      <c r="AO23" s="35" t="str">
        <f ca="1">IFERROR(ESF[[#This Row],[Nsd (kN)]]/(ESF[[#This Row],[nE]]*PI()*ESF[[#This Row],[Ø (cm)]]^2/4*SIN(ESF[[#This Row],[α]])^2),"N.S.")</f>
        <v>N.S.</v>
      </c>
      <c r="AP23" s="4" t="str">
        <f ca="1">IFERROR(INDEX(grupoEstacas[],ESF[[#This Row],[nE]],MATCH("coef. Blévot",grupoEstacas[#Headers],0)),"N.S.")</f>
        <v>N.S.</v>
      </c>
      <c r="AQ23" s="35" t="str">
        <f ca="1">IFERROR(ESF[[#This Row],[coef. Blévot]]*0.9*INDEX(tipoEstaca[],MATCH($D$2,tipoEstaca[TIPO DE ESTACA],0),MATCH("fcd (kN/cm²)",tipoEstaca[#Headers],0)),"N.S.")</f>
        <v>N.S.</v>
      </c>
      <c r="AR23" s="1" t="str">
        <f ca="1">IF(AND(ESF[[#This Row],[cd,b,pil (kN/cm²)]]&lt;=ESF[[#This Row],[cd,b,lim (kN/cm²)]],ESF[[#This Row],[cd,b,est (kN/cm²)]]&lt;=ESF[[#This Row],[cd,b,lim (kN/cm²)]]),"OK","ERRO")</f>
        <v>OK</v>
      </c>
      <c r="AS23" s="4" t="str">
        <f ca="1">As_lado(ESF[[#This Row],[nE]],ESF[[#This Row],[Nsd (kN)]],ESF[[#This Row],[d (cm)]],ESF[[#This Row],[e (cm)]],ESF[[#This Row],[ap,eq (cm)]])</f>
        <v>N.S.</v>
      </c>
      <c r="AT23" s="4" t="str">
        <f ca="1">IF(ESF[[#This Row],[nE]]=1,ESF[[#This Row],[As,lado (cm²)]],IF(ESF[[#This Row],[nE]]=2,0.075*2*ESF[a (cm)],"N.A."))</f>
        <v>N.A.</v>
      </c>
      <c r="AU23" s="4" t="str">
        <f ca="1">IFERROR(IF(ESF[[#This Row],[nE]]=1,"N.A.",0.2*ESF[[#This Row],[As,lado (cm²)]]),"N.S.")</f>
        <v>N.S.</v>
      </c>
      <c r="AV23" s="4" t="str">
        <f ca="1">As_malha(ESF[[#This Row],[nE]],ESF[[#This Row],[As,lado (cm²)]],ESF[[#This Row],[Nsd (kN)]])</f>
        <v>N.S.</v>
      </c>
      <c r="AW23" s="4" t="str">
        <f ca="1">As_susp_tot(ESF[[#This Row],[nE]],ESF[[#This Row],[Nsd (kN)]])</f>
        <v>N.S.</v>
      </c>
      <c r="AX23" s="4" t="str">
        <f ca="1">Asp_face(ESF[[#This Row],[nE]],ESF[[#This Row],[As,lado (cm²)]])</f>
        <v>N.S.</v>
      </c>
      <c r="AY23" s="5" t="str">
        <f ca="1">acoBloco(ESF[[#This Row],[nE]],ESF[[#This Row],[e (cm)]],ESF[[#This Row],[a (cm)]],ESF[[#This Row],[h (cm)]],ESF[[#This Row],[As,lado (cm²)]],ESF[[#This Row],[Asp e Asw (cm²/m)]],ESF[[#This Row],[As,sup (cm²)]],ESF[[#This Row],[As,malha (cm²)]],ESF[[#This Row],[As,susp,tot (cm²)]],ESF[[#This Row],[Asp,face (cm²)]])</f>
        <v>N.S.</v>
      </c>
      <c r="AZ23" s="4" t="str">
        <f ca="1">concretoBloco(ESF[[#This Row],[nE]],ESF[[#This Row],[e (cm)]],ESF[[#This Row],[a (cm)]],ESF[[#This Row],[h (cm)]])</f>
        <v>N.S.</v>
      </c>
      <c r="BA23" s="5">
        <f ca="1">SUM(ESF[[#This Row],[Aço Est (kg)]],ESF[[#This Row],[Aço Bloco (kg)]])</f>
        <v>3.0826877913349846</v>
      </c>
      <c r="BB23" s="4">
        <f>INDEX(composicoes[],MATCH(95580,composicoes[CÓDIGO],0),MATCH("CUSTO TOTAL",composicoes[#Headers],0))</f>
        <v>10.46</v>
      </c>
      <c r="BC23" s="4">
        <f ca="1">SUM(ESF[[#This Row],[Conc Est (m³)]],ESF[[#This Row],[Conc Bloco (m³)]])</f>
        <v>9.6211275016187408</v>
      </c>
      <c r="BD23" s="4">
        <f>INDEX(composicoes[],MATCH(94966,composicoes[CÓDIGO],0),MATCH("CUSTO TOTAL",composicoes[#Headers],0))</f>
        <v>439.52</v>
      </c>
      <c r="BE23" s="38">
        <f ca="1">ESF[[#This Row],[Aço (kg)]]*ESF[[#This Row],[Aço (R$/kg)]]+ESF[[#This Row],[Conc (m³)]]*ESF[[#This Row],[Conc (R$/m³)]]</f>
        <v>4260.9228738088323</v>
      </c>
      <c r="BF23" s="4" t="str">
        <f ca="1">IF(COUNTIF(ESF[#This Row],"N.S.")&gt;0,"lim.","OK")</f>
        <v>lim.</v>
      </c>
      <c r="BG23" s="4" t="str">
        <f>IF(ESF[[#This Row],[Prof. (m)]]&lt;3,"lim.","OK")</f>
        <v>OK</v>
      </c>
      <c r="BH23" s="4" t="str">
        <f>IF(ESF[[#This Row],[Prof. (m)]]&gt;=8*ESF[[#This Row],[Ø (cm)]]/100,"OK","lim.")</f>
        <v>OK</v>
      </c>
      <c r="BI23" s="4" t="str">
        <f>IF(AND(SPT!$F$3&lt;&gt;"",ESF[[#This Row],[Prof. (m)]]&gt;=SPT!$F$3),"lim.","OK")</f>
        <v>OK</v>
      </c>
      <c r="BJ23" s="4" t="str">
        <f>IF(COUNTIFS(ESF[Solo],"Areia",ESF[Prof. (m)],"&lt;="&amp;ESF[[#This Row],[Prof. (m)]])&gt;=1,"lim.","OK")</f>
        <v>OK</v>
      </c>
      <c r="BK23" s="4" t="str">
        <f ca="1">IF(ESF[[#This Row],[Verif. Biela]]="OK","OK","lim.")</f>
        <v>OK</v>
      </c>
      <c r="BL23" s="4" t="str">
        <f ca="1">IF(COUNTA(ESF[[#This Row],[Nº Est.]:[Biela comp.]])=COUNTIF(ESF[[#This Row],[Nº Est.]:[Biela comp.]],"OK"),"OK","lim.")</f>
        <v>lim.</v>
      </c>
      <c r="BM23" s="4" t="str">
        <f ca="1">IF(ESF[[#This Row],[Controle]]="OK",ESF[[#This Row],[nE]]&amp;" Ø"&amp;ESF[[#This Row],[Ø (cm)]]&amp;"cm Prof. "&amp;ESF[[#This Row],[Prof. (m)]]&amp;" m","")</f>
        <v/>
      </c>
      <c r="BN23" s="4" t="str">
        <f ca="1">IF(ESF[[#This Row],[idDimensionamento]]="","",ESF[[#This Row],[idPilar]]&amp;ESF[[#This Row],[idDimensionamento]])</f>
        <v/>
      </c>
    </row>
    <row r="24" spans="2:66" x14ac:dyDescent="0.25">
      <c r="B24" s="12">
        <f>ROUNDUP((ROW(ESF[[#This Row],[idDiâmetro]])-ROW(ESF[[#Headers],[idDiâmetro]]))/(COUNT(SPT[Prof. (m)])*COUNT(PILARES[Pilar])),0)</f>
        <v>1</v>
      </c>
      <c r="C24" s="12">
        <f>IF(ESF[[#This Row],[idDiâmetro]]&lt;&gt;B23,1,IF(ESF[[#This Row],[Prof. (m)]]=0,C23+1,C23))</f>
        <v>2</v>
      </c>
      <c r="D24" s="1">
        <f>IFERROR(IF(D23=MAX(SPT[Prof. (m)]),0,D23+1),0)</f>
        <v>5</v>
      </c>
      <c r="E24" s="1">
        <f>INDEX(SPT[],MATCH(ESF[[#This Row],[Prof. (m)]],SPT[Prof. (m)],0),2)</f>
        <v>17</v>
      </c>
      <c r="F24" s="1" t="str">
        <f>INDEX(SPT[],MATCH(ESF[[#This Row],[Prof. (m)]],SPT[Prof. (m)],0),3)</f>
        <v>Areia siltosa</v>
      </c>
      <c r="G24" s="1">
        <f>INDEX(estacas[],ESF[[#This Row],[idDiâmetro]],MATCH($B$2,estacas[#Headers],0))</f>
        <v>25</v>
      </c>
      <c r="H24" s="1">
        <f>INDEX(estacas[],MATCH(ESF[[#This Row],[Ø (cm)]],estacas[Ø ESF (cm)],0),MATCH(ESF[[#Headers],[Pe ESF (kN)]],estacas[#Headers],0))</f>
        <v>250</v>
      </c>
      <c r="I24" s="4">
        <f>INDEX(K_alpha_C[],MATCH(ESF[[#This Row],[Solo]],K_alpha_C[Solo],0),2)</f>
        <v>0.8</v>
      </c>
      <c r="J24" s="5">
        <f>INDEX(K_alpha_C[],MATCH(ESF[[#This Row],[Solo]],K_alpha_C[Solo],0),3)</f>
        <v>2</v>
      </c>
      <c r="K24" s="4">
        <f>INDEX(F1_F2[],MATCH($D$2,F1_F2[Tipo de estaca],0),2)</f>
        <v>3</v>
      </c>
      <c r="L24" s="4">
        <f>INDEX(F1_F2[],MATCH($D$2,F1_F2[Tipo de estaca],0),3)</f>
        <v>6</v>
      </c>
      <c r="M24" s="4">
        <f>PI()*(ESF[[#This Row],[Ø (cm)]]/100)^2/4</f>
        <v>4.9087385212340517E-2</v>
      </c>
      <c r="N24" s="4">
        <f>PI()*ESF[[#This Row],[Ø (cm)]]/100</f>
        <v>0.78539816339744828</v>
      </c>
      <c r="O24" s="4">
        <f>IF(ESF[[#This Row],[Prof. (m)]]=0,0,ESF[[#This Row],[α (%)]]/100*ESF[[#This Row],[K (MPa)]]*1000*ESF[[#This Row],[NSPT]])</f>
        <v>272</v>
      </c>
      <c r="P24" s="4">
        <f>IF(ESF[[#This Row],[Prof. (m)]]=0,0,(ESF[[#This Row],[K (MPa)]]*1000*ESF[[#This Row],[NSPT]]/ESF[[#This Row],[F1]]*ESF[[#This Row],[Ap (m²)]]+ESF[[#This Row],[U (m)]]/ESF[[#This Row],[F2]]*SUMIFS(ESF[(α∙K∙NL∙ΔL)],ESF[Prof. (m)],"&lt;="&amp;ESF[[#This Row],[Prof. (m)]],ESF[idDiâmetro],ESF[[#This Row],[idDiâmetro]],ESF[idPilar],ESF[[#This Row],[idPilar]]))/'DADOS CAP. CARGA'!$D$2)</f>
        <v>145.82225900412624</v>
      </c>
      <c r="Q24" s="12">
        <f>INDEX(C_alpha_beta[],MATCH(ESF[[#This Row],[Solo]],C_alpha_beta[Solo],0),MATCH(ESF[[#Headers],[C (kPa)]],C_alpha_beta[#Headers],0))</f>
        <v>400</v>
      </c>
      <c r="R24" s="4">
        <f>INDEX(C_alpha_beta[],MATCH(ESF[[#This Row],[Solo]],C_alpha_beta[Solo],0),MATCH(ESF[[#Headers],[α ESF]],C_alpha_beta[#Headers],0))</f>
        <v>0.5</v>
      </c>
      <c r="S24" s="4">
        <f>INDEX(C_alpha_beta[],MATCH(ESF[[#This Row],[Solo]],C_alpha_beta[Solo],0),MATCH(ESF[[#Headers],[β ESF]],C_alpha_beta[#Headers],0))</f>
        <v>0.5</v>
      </c>
      <c r="T24" s="4">
        <f>IF(ESF[[#This Row],[Prof. (m)]]=0,0,10*(ESF[[#This Row],[NSPT]]/3+1))</f>
        <v>66.666666666666671</v>
      </c>
      <c r="U24" s="4">
        <f>(ESF[[#This Row],[α ESF]]*ESF[[#This Row],[C (kPa)]]*ESF[[#This Row],[NSPT]]*ESF[[#This Row],[Ap (m²)]])/'DADOS CAP. CARGA'!$Q$2+(ESF[[#This Row],[β ESF]]*SUMIFS(ESF[10∙(NL/3+1)],ESF[Prof. (m)],"&lt;="&amp;ESF[[#This Row],[Prof. (m)]],ESF[idDiâmetro],ESF[[#This Row],[idDiâmetro]],ESF[idPilar],ESF[[#This Row],[idPilar]])*ESF[[#This Row],[U (m)]])/'DADOS CAP. CARGA'!$S$2</f>
        <v>73.140203966387361</v>
      </c>
      <c r="V24" s="4">
        <f>IF(SPT!$M$5=1,MIN(ESF[[#This Row],[Pe ESF (kN)]],ESF[[#This Row],[R_AV (kN)]]),IF(SPT!$M$5=2,MIN(ESF[[#This Row],[Pe ESF (kN)]],ESF[[#This Row],[R_DC (kN)]]),MIN(ESF[[#This Row],[Pe ESF (kN)]],ESF[[#This Row],[R_AV (kN)]],ESF[[#This Row],[R_DC (kN)]])))</f>
        <v>73.140203966387361</v>
      </c>
      <c r="W24" s="4">
        <f>INDEX(PILARES[],ESF[[#This Row],[idPilar]],MATCH("Carga (kN)",PILARES[#Headers],0))*1.4</f>
        <v>1750</v>
      </c>
      <c r="X24" s="12">
        <f>INDEX(PILARES[],ESF[[#This Row],[idPilar]],MATCH(ESF[[#Headers],[ap (cm)]],PILARES[#Headers],0))</f>
        <v>50</v>
      </c>
      <c r="Y24" s="12">
        <f>INDEX(PILARES[],ESF[[#This Row],[idPilar]],MATCH(ESF[[#Headers],[bp (cm)]],PILARES[#Headers],0))</f>
        <v>40</v>
      </c>
      <c r="Z24" s="4">
        <f>SQRT(ESF[[#This Row],[ap (cm)]]*ESF[[#This Row],[bp (cm)]])</f>
        <v>44.721359549995796</v>
      </c>
      <c r="AA24" s="12">
        <f>ESF[[#This Row],[ap (cm)]]*ESF[[#This Row],[bp (cm)]]</f>
        <v>2000</v>
      </c>
      <c r="AB24" s="12">
        <f ca="1">IF(ESF[[#This Row],[Padm∙ε (kN)]]&gt;=ESF[[#This Row],[Padm (kN)]],ROUNDUP(1.05*ESF[[#This Row],[Nsd (kN)]]/ESF[[#This Row],[Padm (kN)]],0),ROUNDUP(1.05*ESF[[#This Row],[Nsd (kN)]]/ESF[[#This Row],[Padm (kN)]],0)+1)</f>
        <v>26</v>
      </c>
      <c r="AC24" s="4" t="str">
        <f ca="1">IFERROR(IF(ESF[[#This Row],[nE]]=1,ESF[[#This Row],[Padm (kN)]],ESF[[#This Row],[Padm (kN)]]*ESF[[#This Row],[nE]]*INDEX(grupoEstacas[],ESF[[#This Row],[nE]],MATCH("ε",grupoEstacas[#Headers],0))),"N.S.")</f>
        <v>N.S.</v>
      </c>
      <c r="AD24" s="4">
        <f ca="1">1.05*ESF[[#This Row],[Nsd (kN)]]/(ESF[[#This Row],[nE]]*PI()*ESF[[#This Row],[Ø (cm)]]^2/4)*10</f>
        <v>1.4397401005851453</v>
      </c>
      <c r="AE24" s="4">
        <f ca="1">IF(ESF[[#This Row],[σ (MPa)]]&lt;INDEX(tipoEstaca[],MATCH($D$2,tipoEstaca[TIPO DE ESTACA],0),MATCH("σmáx (MPa)",tipoEstaca[#Headers],0)),0.4%*PI()*ESF[[#This Row],[Ø (cm)]]^2/4,"N.S.")</f>
        <v>1.9634954084936209</v>
      </c>
      <c r="AF24" s="1">
        <f>INDEX(tipoEstaca[],MATCH($D$2,tipoEstaca[TIPO DE ESTACA],0),MATCH(ESF[[#Headers],[Comprimento (m)]],tipoEstaca[#Headers],0))</f>
        <v>2</v>
      </c>
      <c r="AG24" s="5">
        <f ca="1">ESF[[#This Row],[As,mín (cm²)]]/100^2*ESF[[#This Row],[Comprimento (m)]]*7850</f>
        <v>3.0826877913349846</v>
      </c>
      <c r="AH24" s="4">
        <f ca="1">ESF[[#This Row],[nE]]*ESF[[#This Row],[Prof. (m)]]*ESF[[#This Row],[Ap (m²)]]</f>
        <v>6.3813600776042669</v>
      </c>
      <c r="AI24" s="1">
        <f ca="1">IF(ESF[[#This Row],[nE]]=1,0,MAX(3*ESF[[#This Row],[Ø (cm)]],60))</f>
        <v>75</v>
      </c>
      <c r="AJ24" s="1">
        <f ca="1">IF(ESF[[#This Row],[nE]]=1,ESF[[#This Row],[Ø (cm)]]+2*10,MAX(1.5*ESF[[#This Row],[Ø (cm)]],ESF[[#This Row],[Ø (cm)]]+15))</f>
        <v>40</v>
      </c>
      <c r="AK24" s="1" t="str">
        <f ca="1">alturaUtil(ESF[[#This Row],[nE]],ESF[[#This Row],[Ø (cm)]],ESF[[#This Row],[e (cm)]],ESF[[#This Row],[ap,eq (cm)]])</f>
        <v>N.S.</v>
      </c>
      <c r="AL24" s="1" t="str">
        <f ca="1">IFERROR(ESF[[#This Row],[d (cm)]]+arredondarParaCimaMultiplo5cm(MAX(5,SQRT(PI())/2*ESF[[#This Row],[Ø (cm)]]/5)),"N.S.")</f>
        <v>N.S.</v>
      </c>
      <c r="AM24" s="5" t="str">
        <f ca="1">alpha(ESF[[#This Row],[nE]],ESF[[#This Row],[d (cm)]],ESF[[#This Row],[e (cm)]],ESF[[#This Row],[ap,eq (cm)]])</f>
        <v>N.S.</v>
      </c>
      <c r="AN24" s="35" t="str">
        <f ca="1">IFERROR(ESF[[#This Row],[Nsd (kN)]]/(ESF[[#This Row],[Ap (cm²)]]*SIN(ESF[[#This Row],[α]])^2),"N.S.")</f>
        <v>N.S.</v>
      </c>
      <c r="AO24" s="35" t="str">
        <f ca="1">IFERROR(ESF[[#This Row],[Nsd (kN)]]/(ESF[[#This Row],[nE]]*PI()*ESF[[#This Row],[Ø (cm)]]^2/4*SIN(ESF[[#This Row],[α]])^2),"N.S.")</f>
        <v>N.S.</v>
      </c>
      <c r="AP24" s="4" t="str">
        <f ca="1">IFERROR(INDEX(grupoEstacas[],ESF[[#This Row],[nE]],MATCH("coef. Blévot",grupoEstacas[#Headers],0)),"N.S.")</f>
        <v>N.S.</v>
      </c>
      <c r="AQ24" s="35" t="str">
        <f ca="1">IFERROR(ESF[[#This Row],[coef. Blévot]]*0.9*INDEX(tipoEstaca[],MATCH($D$2,tipoEstaca[TIPO DE ESTACA],0),MATCH("fcd (kN/cm²)",tipoEstaca[#Headers],0)),"N.S.")</f>
        <v>N.S.</v>
      </c>
      <c r="AR24" s="1" t="str">
        <f ca="1">IF(AND(ESF[[#This Row],[cd,b,pil (kN/cm²)]]&lt;=ESF[[#This Row],[cd,b,lim (kN/cm²)]],ESF[[#This Row],[cd,b,est (kN/cm²)]]&lt;=ESF[[#This Row],[cd,b,lim (kN/cm²)]]),"OK","ERRO")</f>
        <v>OK</v>
      </c>
      <c r="AS24" s="4" t="str">
        <f ca="1">As_lado(ESF[[#This Row],[nE]],ESF[[#This Row],[Nsd (kN)]],ESF[[#This Row],[d (cm)]],ESF[[#This Row],[e (cm)]],ESF[[#This Row],[ap,eq (cm)]])</f>
        <v>N.S.</v>
      </c>
      <c r="AT24" s="4" t="str">
        <f ca="1">IF(ESF[[#This Row],[nE]]=1,ESF[[#This Row],[As,lado (cm²)]],IF(ESF[[#This Row],[nE]]=2,0.075*2*ESF[a (cm)],"N.A."))</f>
        <v>N.A.</v>
      </c>
      <c r="AU24" s="4" t="str">
        <f ca="1">IFERROR(IF(ESF[[#This Row],[nE]]=1,"N.A.",0.2*ESF[[#This Row],[As,lado (cm²)]]),"N.S.")</f>
        <v>N.S.</v>
      </c>
      <c r="AV24" s="4" t="str">
        <f ca="1">As_malha(ESF[[#This Row],[nE]],ESF[[#This Row],[As,lado (cm²)]],ESF[[#This Row],[Nsd (kN)]])</f>
        <v>N.S.</v>
      </c>
      <c r="AW24" s="4" t="str">
        <f ca="1">As_susp_tot(ESF[[#This Row],[nE]],ESF[[#This Row],[Nsd (kN)]])</f>
        <v>N.S.</v>
      </c>
      <c r="AX24" s="4" t="str">
        <f ca="1">Asp_face(ESF[[#This Row],[nE]],ESF[[#This Row],[As,lado (cm²)]])</f>
        <v>N.S.</v>
      </c>
      <c r="AY24" s="5" t="str">
        <f ca="1">acoBloco(ESF[[#This Row],[nE]],ESF[[#This Row],[e (cm)]],ESF[[#This Row],[a (cm)]],ESF[[#This Row],[h (cm)]],ESF[[#This Row],[As,lado (cm²)]],ESF[[#This Row],[Asp e Asw (cm²/m)]],ESF[[#This Row],[As,sup (cm²)]],ESF[[#This Row],[As,malha (cm²)]],ESF[[#This Row],[As,susp,tot (cm²)]],ESF[[#This Row],[Asp,face (cm²)]])</f>
        <v>N.S.</v>
      </c>
      <c r="AZ24" s="4" t="str">
        <f ca="1">concretoBloco(ESF[[#This Row],[nE]],ESF[[#This Row],[e (cm)]],ESF[[#This Row],[a (cm)]],ESF[[#This Row],[h (cm)]])</f>
        <v>N.S.</v>
      </c>
      <c r="BA24" s="5">
        <f ca="1">SUM(ESF[[#This Row],[Aço Est (kg)]],ESF[[#This Row],[Aço Bloco (kg)]])</f>
        <v>3.0826877913349846</v>
      </c>
      <c r="BB24" s="4">
        <f>INDEX(composicoes[],MATCH(95580,composicoes[CÓDIGO],0),MATCH("CUSTO TOTAL",composicoes[#Headers],0))</f>
        <v>10.46</v>
      </c>
      <c r="BC24" s="4">
        <f ca="1">SUM(ESF[[#This Row],[Conc Est (m³)]],ESF[[#This Row],[Conc Bloco (m³)]])</f>
        <v>6.3813600776042669</v>
      </c>
      <c r="BD24" s="4">
        <f>INDEX(composicoes[],MATCH(94966,composicoes[CÓDIGO],0),MATCH("CUSTO TOTAL",composicoes[#Headers],0))</f>
        <v>439.52</v>
      </c>
      <c r="BE24" s="38">
        <f ca="1">ESF[[#This Row],[Aço (kg)]]*ESF[[#This Row],[Aço (R$/kg)]]+ESF[[#This Row],[Conc (m³)]]*ESF[[#This Row],[Conc (R$/m³)]]</f>
        <v>2836.9802956059912</v>
      </c>
      <c r="BF24" s="4" t="str">
        <f ca="1">IF(COUNTIF(ESF[#This Row],"N.S.")&gt;0,"lim.","OK")</f>
        <v>lim.</v>
      </c>
      <c r="BG24" s="4" t="str">
        <f>IF(ESF[[#This Row],[Prof. (m)]]&lt;3,"lim.","OK")</f>
        <v>OK</v>
      </c>
      <c r="BH24" s="4" t="str">
        <f>IF(ESF[[#This Row],[Prof. (m)]]&gt;=8*ESF[[#This Row],[Ø (cm)]]/100,"OK","lim.")</f>
        <v>OK</v>
      </c>
      <c r="BI24" s="4" t="str">
        <f>IF(AND(SPT!$F$3&lt;&gt;"",ESF[[#This Row],[Prof. (m)]]&gt;=SPT!$F$3),"lim.","OK")</f>
        <v>OK</v>
      </c>
      <c r="BJ24" s="4" t="str">
        <f>IF(COUNTIFS(ESF[Solo],"Areia",ESF[Prof. (m)],"&lt;="&amp;ESF[[#This Row],[Prof. (m)]])&gt;=1,"lim.","OK")</f>
        <v>OK</v>
      </c>
      <c r="BK24" s="4" t="str">
        <f ca="1">IF(ESF[[#This Row],[Verif. Biela]]="OK","OK","lim.")</f>
        <v>OK</v>
      </c>
      <c r="BL24" s="4" t="str">
        <f ca="1">IF(COUNTA(ESF[[#This Row],[Nº Est.]:[Biela comp.]])=COUNTIF(ESF[[#This Row],[Nº Est.]:[Biela comp.]],"OK"),"OK","lim.")</f>
        <v>lim.</v>
      </c>
      <c r="BM24" s="4" t="str">
        <f ca="1">IF(ESF[[#This Row],[Controle]]="OK",ESF[[#This Row],[nE]]&amp;" Ø"&amp;ESF[[#This Row],[Ø (cm)]]&amp;"cm Prof. "&amp;ESF[[#This Row],[Prof. (m)]]&amp;" m","")</f>
        <v/>
      </c>
      <c r="BN24" s="4" t="str">
        <f ca="1">IF(ESF[[#This Row],[idDimensionamento]]="","",ESF[[#This Row],[idPilar]]&amp;ESF[[#This Row],[idDimensionamento]])</f>
        <v/>
      </c>
    </row>
    <row r="25" spans="2:66" x14ac:dyDescent="0.25">
      <c r="B25" s="12">
        <f>ROUNDUP((ROW(ESF[[#This Row],[idDiâmetro]])-ROW(ESF[[#Headers],[idDiâmetro]]))/(COUNT(SPT[Prof. (m)])*COUNT(PILARES[Pilar])),0)</f>
        <v>1</v>
      </c>
      <c r="C25" s="12">
        <f>IF(ESF[[#This Row],[idDiâmetro]]&lt;&gt;B24,1,IF(ESF[[#This Row],[Prof. (m)]]=0,C24+1,C24))</f>
        <v>2</v>
      </c>
      <c r="D25" s="1">
        <f>IFERROR(IF(D24=MAX(SPT[Prof. (m)]),0,D24+1),0)</f>
        <v>6</v>
      </c>
      <c r="E25" s="1">
        <f>INDEX(SPT[],MATCH(ESF[[#This Row],[Prof. (m)]],SPT[Prof. (m)],0),2)</f>
        <v>21</v>
      </c>
      <c r="F25" s="1" t="str">
        <f>INDEX(SPT[],MATCH(ESF[[#This Row],[Prof. (m)]],SPT[Prof. (m)],0),3)</f>
        <v>Silte arenoso</v>
      </c>
      <c r="G25" s="1">
        <f>INDEX(estacas[],ESF[[#This Row],[idDiâmetro]],MATCH($B$2,estacas[#Headers],0))</f>
        <v>25</v>
      </c>
      <c r="H25" s="1">
        <f>INDEX(estacas[],MATCH(ESF[[#This Row],[Ø (cm)]],estacas[Ø ESF (cm)],0),MATCH(ESF[[#Headers],[Pe ESF (kN)]],estacas[#Headers],0))</f>
        <v>250</v>
      </c>
      <c r="I25" s="4">
        <f>INDEX(K_alpha_C[],MATCH(ESF[[#This Row],[Solo]],K_alpha_C[Solo],0),2)</f>
        <v>0.55000000000000004</v>
      </c>
      <c r="J25" s="5">
        <f>INDEX(K_alpha_C[],MATCH(ESF[[#This Row],[Solo]],K_alpha_C[Solo],0),3)</f>
        <v>2.2000000000000002</v>
      </c>
      <c r="K25" s="4">
        <f>INDEX(F1_F2[],MATCH($D$2,F1_F2[Tipo de estaca],0),2)</f>
        <v>3</v>
      </c>
      <c r="L25" s="4">
        <f>INDEX(F1_F2[],MATCH($D$2,F1_F2[Tipo de estaca],0),3)</f>
        <v>6</v>
      </c>
      <c r="M25" s="4">
        <f>PI()*(ESF[[#This Row],[Ø (cm)]]/100)^2/4</f>
        <v>4.9087385212340517E-2</v>
      </c>
      <c r="N25" s="4">
        <f>PI()*ESF[[#This Row],[Ø (cm)]]/100</f>
        <v>0.78539816339744828</v>
      </c>
      <c r="O25" s="4">
        <f>IF(ESF[[#This Row],[Prof. (m)]]=0,0,ESF[[#This Row],[α (%)]]/100*ESF[[#This Row],[K (MPa)]]*1000*ESF[[#This Row],[NSPT]])</f>
        <v>254.10000000000002</v>
      </c>
      <c r="P25" s="4">
        <f>IF(ESF[[#This Row],[Prof. (m)]]=0,0,(ESF[[#This Row],[K (MPa)]]*1000*ESF[[#This Row],[NSPT]]/ESF[[#This Row],[F1]]*ESF[[#This Row],[Ap (m²)]]+ESF[[#This Row],[U (m)]]/ESF[[#This Row],[F2]]*SUMIFS(ESF[(α∙K∙NL∙ΔL)],ESF[Prof. (m)],"&lt;="&amp;ESF[[#This Row],[Prof. (m)]],ESF[idDiâmetro],ESF[[#This Row],[idDiâmetro]],ESF[idPilar],ESF[[#This Row],[idPilar]]))/'DADOS CAP. CARGA'!$D$2)</f>
        <v>145.68154183318418</v>
      </c>
      <c r="Q25" s="12">
        <f>INDEX(C_alpha_beta[],MATCH(ESF[[#This Row],[Solo]],C_alpha_beta[Solo],0),MATCH(ESF[[#Headers],[C (kPa)]],C_alpha_beta[#Headers],0))</f>
        <v>250</v>
      </c>
      <c r="R25" s="4">
        <f>INDEX(C_alpha_beta[],MATCH(ESF[[#This Row],[Solo]],C_alpha_beta[Solo],0),MATCH(ESF[[#Headers],[α ESF]],C_alpha_beta[#Headers],0))</f>
        <v>0.6</v>
      </c>
      <c r="S25" s="4">
        <f>INDEX(C_alpha_beta[],MATCH(ESF[[#This Row],[Solo]],C_alpha_beta[Solo],0),MATCH(ESF[[#Headers],[β ESF]],C_alpha_beta[#Headers],0))</f>
        <v>0.65</v>
      </c>
      <c r="T25" s="4">
        <f>IF(ESF[[#This Row],[Prof. (m)]]=0,0,10*(ESF[[#This Row],[NSPT]]/3+1))</f>
        <v>80</v>
      </c>
      <c r="U25" s="4">
        <f>(ESF[[#This Row],[α ESF]]*ESF[[#This Row],[C (kPa)]]*ESF[[#This Row],[NSPT]]*ESF[[#This Row],[Ap (m²)]])/'DADOS CAP. CARGA'!$Q$2+(ESF[[#This Row],[β ESF]]*SUMIFS(ESF[10∙(NL/3+1)],ESF[Prof. (m)],"&lt;="&amp;ESF[[#This Row],[Prof. (m)]],ESF[idDiâmetro],ESF[[#This Row],[idDiâmetro]],ESF[idPilar],ESF[[#This Row],[idPilar]])*ESF[[#This Row],[U (m)]])/'DADOS CAP. CARGA'!$S$2</f>
        <v>99.91737259971913</v>
      </c>
      <c r="V25" s="4">
        <f>IF(SPT!$M$5=1,MIN(ESF[[#This Row],[Pe ESF (kN)]],ESF[[#This Row],[R_AV (kN)]]),IF(SPT!$M$5=2,MIN(ESF[[#This Row],[Pe ESF (kN)]],ESF[[#This Row],[R_DC (kN)]]),MIN(ESF[[#This Row],[Pe ESF (kN)]],ESF[[#This Row],[R_AV (kN)]],ESF[[#This Row],[R_DC (kN)]])))</f>
        <v>99.91737259971913</v>
      </c>
      <c r="W25" s="4">
        <f>INDEX(PILARES[],ESF[[#This Row],[idPilar]],MATCH("Carga (kN)",PILARES[#Headers],0))*1.4</f>
        <v>1750</v>
      </c>
      <c r="X25" s="12">
        <f>INDEX(PILARES[],ESF[[#This Row],[idPilar]],MATCH(ESF[[#Headers],[ap (cm)]],PILARES[#Headers],0))</f>
        <v>50</v>
      </c>
      <c r="Y25" s="12">
        <f>INDEX(PILARES[],ESF[[#This Row],[idPilar]],MATCH(ESF[[#Headers],[bp (cm)]],PILARES[#Headers],0))</f>
        <v>40</v>
      </c>
      <c r="Z25" s="4">
        <f>SQRT(ESF[[#This Row],[ap (cm)]]*ESF[[#This Row],[bp (cm)]])</f>
        <v>44.721359549995796</v>
      </c>
      <c r="AA25" s="12">
        <f>ESF[[#This Row],[ap (cm)]]*ESF[[#This Row],[bp (cm)]]</f>
        <v>2000</v>
      </c>
      <c r="AB25" s="12">
        <f ca="1">IF(ESF[[#This Row],[Padm∙ε (kN)]]&gt;=ESF[[#This Row],[Padm (kN)]],ROUNDUP(1.05*ESF[[#This Row],[Nsd (kN)]]/ESF[[#This Row],[Padm (kN)]],0),ROUNDUP(1.05*ESF[[#This Row],[Nsd (kN)]]/ESF[[#This Row],[Padm (kN)]],0)+1)</f>
        <v>19</v>
      </c>
      <c r="AC25" s="4" t="str">
        <f ca="1">IFERROR(IF(ESF[[#This Row],[nE]]=1,ESF[[#This Row],[Padm (kN)]],ESF[[#This Row],[Padm (kN)]]*ESF[[#This Row],[nE]]*INDEX(grupoEstacas[],ESF[[#This Row],[nE]],MATCH("ε",grupoEstacas[#Headers],0))),"N.S.")</f>
        <v>N.S.</v>
      </c>
      <c r="AD25" s="4">
        <f ca="1">1.05*ESF[[#This Row],[Nsd (kN)]]/(ESF[[#This Row],[nE]]*PI()*ESF[[#This Row],[Ø (cm)]]^2/4)*10</f>
        <v>1.9701706639586203</v>
      </c>
      <c r="AE25" s="4">
        <f ca="1">IF(ESF[[#This Row],[σ (MPa)]]&lt;INDEX(tipoEstaca[],MATCH($D$2,tipoEstaca[TIPO DE ESTACA],0),MATCH("σmáx (MPa)",tipoEstaca[#Headers],0)),0.4%*PI()*ESF[[#This Row],[Ø (cm)]]^2/4,"N.S.")</f>
        <v>1.9634954084936209</v>
      </c>
      <c r="AF25" s="1">
        <f>INDEX(tipoEstaca[],MATCH($D$2,tipoEstaca[TIPO DE ESTACA],0),MATCH(ESF[[#Headers],[Comprimento (m)]],tipoEstaca[#Headers],0))</f>
        <v>2</v>
      </c>
      <c r="AG25" s="5">
        <f ca="1">ESF[[#This Row],[As,mín (cm²)]]/100^2*ESF[[#This Row],[Comprimento (m)]]*7850</f>
        <v>3.0826877913349846</v>
      </c>
      <c r="AH25" s="4">
        <f ca="1">ESF[[#This Row],[nE]]*ESF[[#This Row],[Prof. (m)]]*ESF[[#This Row],[Ap (m²)]]</f>
        <v>5.5959619142068187</v>
      </c>
      <c r="AI25" s="1">
        <f ca="1">IF(ESF[[#This Row],[nE]]=1,0,MAX(3*ESF[[#This Row],[Ø (cm)]],60))</f>
        <v>75</v>
      </c>
      <c r="AJ25" s="1">
        <f ca="1">IF(ESF[[#This Row],[nE]]=1,ESF[[#This Row],[Ø (cm)]]+2*10,MAX(1.5*ESF[[#This Row],[Ø (cm)]],ESF[[#This Row],[Ø (cm)]]+15))</f>
        <v>40</v>
      </c>
      <c r="AK25" s="1" t="str">
        <f ca="1">alturaUtil(ESF[[#This Row],[nE]],ESF[[#This Row],[Ø (cm)]],ESF[[#This Row],[e (cm)]],ESF[[#This Row],[ap,eq (cm)]])</f>
        <v>N.S.</v>
      </c>
      <c r="AL25" s="1" t="str">
        <f ca="1">IFERROR(ESF[[#This Row],[d (cm)]]+arredondarParaCimaMultiplo5cm(MAX(5,SQRT(PI())/2*ESF[[#This Row],[Ø (cm)]]/5)),"N.S.")</f>
        <v>N.S.</v>
      </c>
      <c r="AM25" s="5" t="str">
        <f ca="1">alpha(ESF[[#This Row],[nE]],ESF[[#This Row],[d (cm)]],ESF[[#This Row],[e (cm)]],ESF[[#This Row],[ap,eq (cm)]])</f>
        <v>N.S.</v>
      </c>
      <c r="AN25" s="35" t="str">
        <f ca="1">IFERROR(ESF[[#This Row],[Nsd (kN)]]/(ESF[[#This Row],[Ap (cm²)]]*SIN(ESF[[#This Row],[α]])^2),"N.S.")</f>
        <v>N.S.</v>
      </c>
      <c r="AO25" s="35" t="str">
        <f ca="1">IFERROR(ESF[[#This Row],[Nsd (kN)]]/(ESF[[#This Row],[nE]]*PI()*ESF[[#This Row],[Ø (cm)]]^2/4*SIN(ESF[[#This Row],[α]])^2),"N.S.")</f>
        <v>N.S.</v>
      </c>
      <c r="AP25" s="4" t="str">
        <f ca="1">IFERROR(INDEX(grupoEstacas[],ESF[[#This Row],[nE]],MATCH("coef. Blévot",grupoEstacas[#Headers],0)),"N.S.")</f>
        <v>N.S.</v>
      </c>
      <c r="AQ25" s="35" t="str">
        <f ca="1">IFERROR(ESF[[#This Row],[coef. Blévot]]*0.9*INDEX(tipoEstaca[],MATCH($D$2,tipoEstaca[TIPO DE ESTACA],0),MATCH("fcd (kN/cm²)",tipoEstaca[#Headers],0)),"N.S.")</f>
        <v>N.S.</v>
      </c>
      <c r="AR25" s="1" t="str">
        <f ca="1">IF(AND(ESF[[#This Row],[cd,b,pil (kN/cm²)]]&lt;=ESF[[#This Row],[cd,b,lim (kN/cm²)]],ESF[[#This Row],[cd,b,est (kN/cm²)]]&lt;=ESF[[#This Row],[cd,b,lim (kN/cm²)]]),"OK","ERRO")</f>
        <v>OK</v>
      </c>
      <c r="AS25" s="4" t="str">
        <f ca="1">As_lado(ESF[[#This Row],[nE]],ESF[[#This Row],[Nsd (kN)]],ESF[[#This Row],[d (cm)]],ESF[[#This Row],[e (cm)]],ESF[[#This Row],[ap,eq (cm)]])</f>
        <v>N.S.</v>
      </c>
      <c r="AT25" s="4" t="str">
        <f ca="1">IF(ESF[[#This Row],[nE]]=1,ESF[[#This Row],[As,lado (cm²)]],IF(ESF[[#This Row],[nE]]=2,0.075*2*ESF[a (cm)],"N.A."))</f>
        <v>N.A.</v>
      </c>
      <c r="AU25" s="4" t="str">
        <f ca="1">IFERROR(IF(ESF[[#This Row],[nE]]=1,"N.A.",0.2*ESF[[#This Row],[As,lado (cm²)]]),"N.S.")</f>
        <v>N.S.</v>
      </c>
      <c r="AV25" s="4" t="str">
        <f ca="1">As_malha(ESF[[#This Row],[nE]],ESF[[#This Row],[As,lado (cm²)]],ESF[[#This Row],[Nsd (kN)]])</f>
        <v>N.S.</v>
      </c>
      <c r="AW25" s="4" t="str">
        <f ca="1">As_susp_tot(ESF[[#This Row],[nE]],ESF[[#This Row],[Nsd (kN)]])</f>
        <v>N.S.</v>
      </c>
      <c r="AX25" s="4" t="str">
        <f ca="1">Asp_face(ESF[[#This Row],[nE]],ESF[[#This Row],[As,lado (cm²)]])</f>
        <v>N.S.</v>
      </c>
      <c r="AY25" s="5" t="str">
        <f ca="1">acoBloco(ESF[[#This Row],[nE]],ESF[[#This Row],[e (cm)]],ESF[[#This Row],[a (cm)]],ESF[[#This Row],[h (cm)]],ESF[[#This Row],[As,lado (cm²)]],ESF[[#This Row],[Asp e Asw (cm²/m)]],ESF[[#This Row],[As,sup (cm²)]],ESF[[#This Row],[As,malha (cm²)]],ESF[[#This Row],[As,susp,tot (cm²)]],ESF[[#This Row],[Asp,face (cm²)]])</f>
        <v>N.S.</v>
      </c>
      <c r="AZ25" s="4" t="str">
        <f ca="1">concretoBloco(ESF[[#This Row],[nE]],ESF[[#This Row],[e (cm)]],ESF[[#This Row],[a (cm)]],ESF[[#This Row],[h (cm)]])</f>
        <v>N.S.</v>
      </c>
      <c r="BA25" s="5">
        <f ca="1">SUM(ESF[[#This Row],[Aço Est (kg)]],ESF[[#This Row],[Aço Bloco (kg)]])</f>
        <v>3.0826877913349846</v>
      </c>
      <c r="BB25" s="4">
        <f>INDEX(composicoes[],MATCH(95580,composicoes[CÓDIGO],0),MATCH("CUSTO TOTAL",composicoes[#Headers],0))</f>
        <v>10.46</v>
      </c>
      <c r="BC25" s="4">
        <f ca="1">SUM(ESF[[#This Row],[Conc Est (m³)]],ESF[[#This Row],[Conc Bloco (m³)]])</f>
        <v>5.5959619142068187</v>
      </c>
      <c r="BD25" s="4">
        <f>INDEX(composicoes[],MATCH(94966,composicoes[CÓDIGO],0),MATCH("CUSTO TOTAL",composicoes[#Headers],0))</f>
        <v>439.52</v>
      </c>
      <c r="BE25" s="38">
        <f ca="1">ESF[[#This Row],[Aço (kg)]]*ESF[[#This Row],[Aço (R$/kg)]]+ESF[[#This Row],[Conc (m³)]]*ESF[[#This Row],[Conc (R$/m³)]]</f>
        <v>2491.7820948295443</v>
      </c>
      <c r="BF25" s="4" t="str">
        <f ca="1">IF(COUNTIF(ESF[#This Row],"N.S.")&gt;0,"lim.","OK")</f>
        <v>lim.</v>
      </c>
      <c r="BG25" s="4" t="str">
        <f>IF(ESF[[#This Row],[Prof. (m)]]&lt;3,"lim.","OK")</f>
        <v>OK</v>
      </c>
      <c r="BH25" s="4" t="str">
        <f>IF(ESF[[#This Row],[Prof. (m)]]&gt;=8*ESF[[#This Row],[Ø (cm)]]/100,"OK","lim.")</f>
        <v>OK</v>
      </c>
      <c r="BI25" s="4" t="str">
        <f>IF(AND(SPT!$F$3&lt;&gt;"",ESF[[#This Row],[Prof. (m)]]&gt;=SPT!$F$3),"lim.","OK")</f>
        <v>OK</v>
      </c>
      <c r="BJ25" s="4" t="str">
        <f>IF(COUNTIFS(ESF[Solo],"Areia",ESF[Prof. (m)],"&lt;="&amp;ESF[[#This Row],[Prof. (m)]])&gt;=1,"lim.","OK")</f>
        <v>OK</v>
      </c>
      <c r="BK25" s="4" t="str">
        <f ca="1">IF(ESF[[#This Row],[Verif. Biela]]="OK","OK","lim.")</f>
        <v>OK</v>
      </c>
      <c r="BL25" s="4" t="str">
        <f ca="1">IF(COUNTA(ESF[[#This Row],[Nº Est.]:[Biela comp.]])=COUNTIF(ESF[[#This Row],[Nº Est.]:[Biela comp.]],"OK"),"OK","lim.")</f>
        <v>lim.</v>
      </c>
      <c r="BM25" s="4" t="str">
        <f ca="1">IF(ESF[[#This Row],[Controle]]="OK",ESF[[#This Row],[nE]]&amp;" Ø"&amp;ESF[[#This Row],[Ø (cm)]]&amp;"cm Prof. "&amp;ESF[[#This Row],[Prof. (m)]]&amp;" m","")</f>
        <v/>
      </c>
      <c r="BN25" s="4" t="str">
        <f ca="1">IF(ESF[[#This Row],[idDimensionamento]]="","",ESF[[#This Row],[idPilar]]&amp;ESF[[#This Row],[idDimensionamento]])</f>
        <v/>
      </c>
    </row>
    <row r="26" spans="2:66" x14ac:dyDescent="0.25">
      <c r="B26" s="12">
        <f>ROUNDUP((ROW(ESF[[#This Row],[idDiâmetro]])-ROW(ESF[[#Headers],[idDiâmetro]]))/(COUNT(SPT[Prof. (m)])*COUNT(PILARES[Pilar])),0)</f>
        <v>1</v>
      </c>
      <c r="C26" s="12">
        <f>IF(ESF[[#This Row],[idDiâmetro]]&lt;&gt;B25,1,IF(ESF[[#This Row],[Prof. (m)]]=0,C25+1,C25))</f>
        <v>2</v>
      </c>
      <c r="D26" s="1">
        <f>IFERROR(IF(D25=MAX(SPT[Prof. (m)]),0,D25+1),0)</f>
        <v>7</v>
      </c>
      <c r="E26" s="1">
        <f>INDEX(SPT[],MATCH(ESF[[#This Row],[Prof. (m)]],SPT[Prof. (m)],0),2)</f>
        <v>8</v>
      </c>
      <c r="F26" s="1" t="str">
        <f>INDEX(SPT[],MATCH(ESF[[#This Row],[Prof. (m)]],SPT[Prof. (m)],0),3)</f>
        <v>Silte arenoso</v>
      </c>
      <c r="G26" s="1">
        <f>INDEX(estacas[],ESF[[#This Row],[idDiâmetro]],MATCH($B$2,estacas[#Headers],0))</f>
        <v>25</v>
      </c>
      <c r="H26" s="1">
        <f>INDEX(estacas[],MATCH(ESF[[#This Row],[Ø (cm)]],estacas[Ø ESF (cm)],0),MATCH(ESF[[#Headers],[Pe ESF (kN)]],estacas[#Headers],0))</f>
        <v>250</v>
      </c>
      <c r="I26" s="4">
        <f>INDEX(K_alpha_C[],MATCH(ESF[[#This Row],[Solo]],K_alpha_C[Solo],0),2)</f>
        <v>0.55000000000000004</v>
      </c>
      <c r="J26" s="5">
        <f>INDEX(K_alpha_C[],MATCH(ESF[[#This Row],[Solo]],K_alpha_C[Solo],0),3)</f>
        <v>2.2000000000000002</v>
      </c>
      <c r="K26" s="4">
        <f>INDEX(F1_F2[],MATCH($D$2,F1_F2[Tipo de estaca],0),2)</f>
        <v>3</v>
      </c>
      <c r="L26" s="4">
        <f>INDEX(F1_F2[],MATCH($D$2,F1_F2[Tipo de estaca],0),3)</f>
        <v>6</v>
      </c>
      <c r="M26" s="4">
        <f>PI()*(ESF[[#This Row],[Ø (cm)]]/100)^2/4</f>
        <v>4.9087385212340517E-2</v>
      </c>
      <c r="N26" s="4">
        <f>PI()*ESF[[#This Row],[Ø (cm)]]/100</f>
        <v>0.78539816339744828</v>
      </c>
      <c r="O26" s="4">
        <f>IF(ESF[[#This Row],[Prof. (m)]]=0,0,ESF[[#This Row],[α (%)]]/100*ESF[[#This Row],[K (MPa)]]*1000*ESF[[#This Row],[NSPT]])</f>
        <v>96.800000000000011</v>
      </c>
      <c r="P26" s="4">
        <f>IF(ESF[[#This Row],[Prof. (m)]]=0,0,(ESF[[#This Row],[K (MPa)]]*1000*ESF[[#This Row],[NSPT]]/ESF[[#This Row],[F1]]*ESF[[#This Row],[Ap (m²)]]+ESF[[#This Row],[U (m)]]/ESF[[#This Row],[F2]]*SUMIFS(ESF[(α∙K∙NL∙ΔL)],ESF[Prof. (m)],"&lt;="&amp;ESF[[#This Row],[Prof. (m)]],ESF[idDiâmetro],ESF[[#This Row],[idDiâmetro]],ESF[idPilar],ESF[[#This Row],[idPilar]]))/'DADOS CAP. CARGA'!$D$2)</f>
        <v>93.521286306551161</v>
      </c>
      <c r="Q26" s="12">
        <f>INDEX(C_alpha_beta[],MATCH(ESF[[#This Row],[Solo]],C_alpha_beta[Solo],0),MATCH(ESF[[#Headers],[C (kPa)]],C_alpha_beta[#Headers],0))</f>
        <v>250</v>
      </c>
      <c r="R26" s="4">
        <f>INDEX(C_alpha_beta[],MATCH(ESF[[#This Row],[Solo]],C_alpha_beta[Solo],0),MATCH(ESF[[#Headers],[α ESF]],C_alpha_beta[#Headers],0))</f>
        <v>0.6</v>
      </c>
      <c r="S26" s="4">
        <f>INDEX(C_alpha_beta[],MATCH(ESF[[#This Row],[Solo]],C_alpha_beta[Solo],0),MATCH(ESF[[#Headers],[β ESF]],C_alpha_beta[#Headers],0))</f>
        <v>0.65</v>
      </c>
      <c r="T26" s="4">
        <f>IF(ESF[[#This Row],[Prof. (m)]]=0,0,10*(ESF[[#This Row],[NSPT]]/3+1))</f>
        <v>36.666666666666664</v>
      </c>
      <c r="U26" s="4">
        <f>(ESF[[#This Row],[α ESF]]*ESF[[#This Row],[C (kPa)]]*ESF[[#This Row],[NSPT]]*ESF[[#This Row],[Ap (m²)]])/'DADOS CAP. CARGA'!$Q$2+(ESF[[#This Row],[β ESF]]*SUMIFS(ESF[10∙(NL/3+1)],ESF[Prof. (m)],"&lt;="&amp;ESF[[#This Row],[Prof. (m)]],ESF[idDiâmetro],ESF[[#This Row],[idDiâmetro]],ESF[idPilar],ESF[[#This Row],[idPilar]])*ESF[[#This Row],[U (m)]])/'DADOS CAP. CARGA'!$S$2</f>
        <v>85.346600422522712</v>
      </c>
      <c r="V26" s="4">
        <f>IF(SPT!$M$5=1,MIN(ESF[[#This Row],[Pe ESF (kN)]],ESF[[#This Row],[R_AV (kN)]]),IF(SPT!$M$5=2,MIN(ESF[[#This Row],[Pe ESF (kN)]],ESF[[#This Row],[R_DC (kN)]]),MIN(ESF[[#This Row],[Pe ESF (kN)]],ESF[[#This Row],[R_AV (kN)]],ESF[[#This Row],[R_DC (kN)]])))</f>
        <v>85.346600422522712</v>
      </c>
      <c r="W26" s="4">
        <f>INDEX(PILARES[],ESF[[#This Row],[idPilar]],MATCH("Carga (kN)",PILARES[#Headers],0))*1.4</f>
        <v>1750</v>
      </c>
      <c r="X26" s="12">
        <f>INDEX(PILARES[],ESF[[#This Row],[idPilar]],MATCH(ESF[[#Headers],[ap (cm)]],PILARES[#Headers],0))</f>
        <v>50</v>
      </c>
      <c r="Y26" s="12">
        <f>INDEX(PILARES[],ESF[[#This Row],[idPilar]],MATCH(ESF[[#Headers],[bp (cm)]],PILARES[#Headers],0))</f>
        <v>40</v>
      </c>
      <c r="Z26" s="4">
        <f>SQRT(ESF[[#This Row],[ap (cm)]]*ESF[[#This Row],[bp (cm)]])</f>
        <v>44.721359549995796</v>
      </c>
      <c r="AA26" s="12">
        <f>ESF[[#This Row],[ap (cm)]]*ESF[[#This Row],[bp (cm)]]</f>
        <v>2000</v>
      </c>
      <c r="AB26" s="12">
        <f ca="1">IF(ESF[[#This Row],[Padm∙ε (kN)]]&gt;=ESF[[#This Row],[Padm (kN)]],ROUNDUP(1.05*ESF[[#This Row],[Nsd (kN)]]/ESF[[#This Row],[Padm (kN)]],0),ROUNDUP(1.05*ESF[[#This Row],[Nsd (kN)]]/ESF[[#This Row],[Padm (kN)]],0)+1)</f>
        <v>22</v>
      </c>
      <c r="AC26" s="4" t="str">
        <f ca="1">IFERROR(IF(ESF[[#This Row],[nE]]=1,ESF[[#This Row],[Padm (kN)]],ESF[[#This Row],[Padm (kN)]]*ESF[[#This Row],[nE]]*INDEX(grupoEstacas[],ESF[[#This Row],[nE]],MATCH("ε",grupoEstacas[#Headers],0))),"N.S.")</f>
        <v>N.S.</v>
      </c>
      <c r="AD26" s="4">
        <f ca="1">1.05*ESF[[#This Row],[Nsd (kN)]]/(ESF[[#This Row],[nE]]*PI()*ESF[[#This Row],[Ø (cm)]]^2/4)*10</f>
        <v>1.7015110279642629</v>
      </c>
      <c r="AE26" s="4">
        <f ca="1">IF(ESF[[#This Row],[σ (MPa)]]&lt;INDEX(tipoEstaca[],MATCH($D$2,tipoEstaca[TIPO DE ESTACA],0),MATCH("σmáx (MPa)",tipoEstaca[#Headers],0)),0.4%*PI()*ESF[[#This Row],[Ø (cm)]]^2/4,"N.S.")</f>
        <v>1.9634954084936209</v>
      </c>
      <c r="AF26" s="1">
        <f>INDEX(tipoEstaca[],MATCH($D$2,tipoEstaca[TIPO DE ESTACA],0),MATCH(ESF[[#Headers],[Comprimento (m)]],tipoEstaca[#Headers],0))</f>
        <v>2</v>
      </c>
      <c r="AG26" s="5">
        <f ca="1">ESF[[#This Row],[As,mín (cm²)]]/100^2*ESF[[#This Row],[Comprimento (m)]]*7850</f>
        <v>3.0826877913349846</v>
      </c>
      <c r="AH26" s="4">
        <f ca="1">ESF[[#This Row],[nE]]*ESF[[#This Row],[Prof. (m)]]*ESF[[#This Row],[Ap (m²)]]</f>
        <v>7.5594573227004398</v>
      </c>
      <c r="AI26" s="1">
        <f ca="1">IF(ESF[[#This Row],[nE]]=1,0,MAX(3*ESF[[#This Row],[Ø (cm)]],60))</f>
        <v>75</v>
      </c>
      <c r="AJ26" s="1">
        <f ca="1">IF(ESF[[#This Row],[nE]]=1,ESF[[#This Row],[Ø (cm)]]+2*10,MAX(1.5*ESF[[#This Row],[Ø (cm)]],ESF[[#This Row],[Ø (cm)]]+15))</f>
        <v>40</v>
      </c>
      <c r="AK26" s="1" t="str">
        <f ca="1">alturaUtil(ESF[[#This Row],[nE]],ESF[[#This Row],[Ø (cm)]],ESF[[#This Row],[e (cm)]],ESF[[#This Row],[ap,eq (cm)]])</f>
        <v>N.S.</v>
      </c>
      <c r="AL26" s="1" t="str">
        <f ca="1">IFERROR(ESF[[#This Row],[d (cm)]]+arredondarParaCimaMultiplo5cm(MAX(5,SQRT(PI())/2*ESF[[#This Row],[Ø (cm)]]/5)),"N.S.")</f>
        <v>N.S.</v>
      </c>
      <c r="AM26" s="5" t="str">
        <f ca="1">alpha(ESF[[#This Row],[nE]],ESF[[#This Row],[d (cm)]],ESF[[#This Row],[e (cm)]],ESF[[#This Row],[ap,eq (cm)]])</f>
        <v>N.S.</v>
      </c>
      <c r="AN26" s="35" t="str">
        <f ca="1">IFERROR(ESF[[#This Row],[Nsd (kN)]]/(ESF[[#This Row],[Ap (cm²)]]*SIN(ESF[[#This Row],[α]])^2),"N.S.")</f>
        <v>N.S.</v>
      </c>
      <c r="AO26" s="35" t="str">
        <f ca="1">IFERROR(ESF[[#This Row],[Nsd (kN)]]/(ESF[[#This Row],[nE]]*PI()*ESF[[#This Row],[Ø (cm)]]^2/4*SIN(ESF[[#This Row],[α]])^2),"N.S.")</f>
        <v>N.S.</v>
      </c>
      <c r="AP26" s="4" t="str">
        <f ca="1">IFERROR(INDEX(grupoEstacas[],ESF[[#This Row],[nE]],MATCH("coef. Blévot",grupoEstacas[#Headers],0)),"N.S.")</f>
        <v>N.S.</v>
      </c>
      <c r="AQ26" s="35" t="str">
        <f ca="1">IFERROR(ESF[[#This Row],[coef. Blévot]]*0.9*INDEX(tipoEstaca[],MATCH($D$2,tipoEstaca[TIPO DE ESTACA],0),MATCH("fcd (kN/cm²)",tipoEstaca[#Headers],0)),"N.S.")</f>
        <v>N.S.</v>
      </c>
      <c r="AR26" s="1" t="str">
        <f ca="1">IF(AND(ESF[[#This Row],[cd,b,pil (kN/cm²)]]&lt;=ESF[[#This Row],[cd,b,lim (kN/cm²)]],ESF[[#This Row],[cd,b,est (kN/cm²)]]&lt;=ESF[[#This Row],[cd,b,lim (kN/cm²)]]),"OK","ERRO")</f>
        <v>OK</v>
      </c>
      <c r="AS26" s="4" t="str">
        <f ca="1">As_lado(ESF[[#This Row],[nE]],ESF[[#This Row],[Nsd (kN)]],ESF[[#This Row],[d (cm)]],ESF[[#This Row],[e (cm)]],ESF[[#This Row],[ap,eq (cm)]])</f>
        <v>N.S.</v>
      </c>
      <c r="AT26" s="4" t="str">
        <f ca="1">IF(ESF[[#This Row],[nE]]=1,ESF[[#This Row],[As,lado (cm²)]],IF(ESF[[#This Row],[nE]]=2,0.075*2*ESF[a (cm)],"N.A."))</f>
        <v>N.A.</v>
      </c>
      <c r="AU26" s="4" t="str">
        <f ca="1">IFERROR(IF(ESF[[#This Row],[nE]]=1,"N.A.",0.2*ESF[[#This Row],[As,lado (cm²)]]),"N.S.")</f>
        <v>N.S.</v>
      </c>
      <c r="AV26" s="4" t="str">
        <f ca="1">As_malha(ESF[[#This Row],[nE]],ESF[[#This Row],[As,lado (cm²)]],ESF[[#This Row],[Nsd (kN)]])</f>
        <v>N.S.</v>
      </c>
      <c r="AW26" s="4" t="str">
        <f ca="1">As_susp_tot(ESF[[#This Row],[nE]],ESF[[#This Row],[Nsd (kN)]])</f>
        <v>N.S.</v>
      </c>
      <c r="AX26" s="4" t="str">
        <f ca="1">Asp_face(ESF[[#This Row],[nE]],ESF[[#This Row],[As,lado (cm²)]])</f>
        <v>N.S.</v>
      </c>
      <c r="AY26" s="5" t="str">
        <f ca="1">acoBloco(ESF[[#This Row],[nE]],ESF[[#This Row],[e (cm)]],ESF[[#This Row],[a (cm)]],ESF[[#This Row],[h (cm)]],ESF[[#This Row],[As,lado (cm²)]],ESF[[#This Row],[Asp e Asw (cm²/m)]],ESF[[#This Row],[As,sup (cm²)]],ESF[[#This Row],[As,malha (cm²)]],ESF[[#This Row],[As,susp,tot (cm²)]],ESF[[#This Row],[Asp,face (cm²)]])</f>
        <v>N.S.</v>
      </c>
      <c r="AZ26" s="4" t="str">
        <f ca="1">concretoBloco(ESF[[#This Row],[nE]],ESF[[#This Row],[e (cm)]],ESF[[#This Row],[a (cm)]],ESF[[#This Row],[h (cm)]])</f>
        <v>N.S.</v>
      </c>
      <c r="BA26" s="5">
        <f ca="1">SUM(ESF[[#This Row],[Aço Est (kg)]],ESF[[#This Row],[Aço Bloco (kg)]])</f>
        <v>3.0826877913349846</v>
      </c>
      <c r="BB26" s="4">
        <f>INDEX(composicoes[],MATCH(95580,composicoes[CÓDIGO],0),MATCH("CUSTO TOTAL",composicoes[#Headers],0))</f>
        <v>10.46</v>
      </c>
      <c r="BC26" s="4">
        <f ca="1">SUM(ESF[[#This Row],[Conc Est (m³)]],ESF[[#This Row],[Conc Bloco (m³)]])</f>
        <v>7.5594573227004398</v>
      </c>
      <c r="BD26" s="4">
        <f>INDEX(composicoes[],MATCH(94966,composicoes[CÓDIGO],0),MATCH("CUSTO TOTAL",composicoes[#Headers],0))</f>
        <v>439.52</v>
      </c>
      <c r="BE26" s="38">
        <f ca="1">ESF[[#This Row],[Aço (kg)]]*ESF[[#This Row],[Aço (R$/kg)]]+ESF[[#This Row],[Conc (m³)]]*ESF[[#This Row],[Conc (R$/m³)]]</f>
        <v>3354.7775967706607</v>
      </c>
      <c r="BF26" s="4" t="str">
        <f ca="1">IF(COUNTIF(ESF[#This Row],"N.S.")&gt;0,"lim.","OK")</f>
        <v>lim.</v>
      </c>
      <c r="BG26" s="4" t="str">
        <f>IF(ESF[[#This Row],[Prof. (m)]]&lt;3,"lim.","OK")</f>
        <v>OK</v>
      </c>
      <c r="BH26" s="4" t="str">
        <f>IF(ESF[[#This Row],[Prof. (m)]]&gt;=8*ESF[[#This Row],[Ø (cm)]]/100,"OK","lim.")</f>
        <v>OK</v>
      </c>
      <c r="BI26" s="4" t="str">
        <f>IF(AND(SPT!$F$3&lt;&gt;"",ESF[[#This Row],[Prof. (m)]]&gt;=SPT!$F$3),"lim.","OK")</f>
        <v>OK</v>
      </c>
      <c r="BJ26" s="4" t="str">
        <f>IF(COUNTIFS(ESF[Solo],"Areia",ESF[Prof. (m)],"&lt;="&amp;ESF[[#This Row],[Prof. (m)]])&gt;=1,"lim.","OK")</f>
        <v>OK</v>
      </c>
      <c r="BK26" s="4" t="str">
        <f ca="1">IF(ESF[[#This Row],[Verif. Biela]]="OK","OK","lim.")</f>
        <v>OK</v>
      </c>
      <c r="BL26" s="4" t="str">
        <f ca="1">IF(COUNTA(ESF[[#This Row],[Nº Est.]:[Biela comp.]])=COUNTIF(ESF[[#This Row],[Nº Est.]:[Biela comp.]],"OK"),"OK","lim.")</f>
        <v>lim.</v>
      </c>
      <c r="BM26" s="4" t="str">
        <f ca="1">IF(ESF[[#This Row],[Controle]]="OK",ESF[[#This Row],[nE]]&amp;" Ø"&amp;ESF[[#This Row],[Ø (cm)]]&amp;"cm Prof. "&amp;ESF[[#This Row],[Prof. (m)]]&amp;" m","")</f>
        <v/>
      </c>
      <c r="BN26" s="4" t="str">
        <f ca="1">IF(ESF[[#This Row],[idDimensionamento]]="","",ESF[[#This Row],[idPilar]]&amp;ESF[[#This Row],[idDimensionamento]])</f>
        <v/>
      </c>
    </row>
    <row r="27" spans="2:66" x14ac:dyDescent="0.25">
      <c r="B27" s="12">
        <f>ROUNDUP((ROW(ESF[[#This Row],[idDiâmetro]])-ROW(ESF[[#Headers],[idDiâmetro]]))/(COUNT(SPT[Prof. (m)])*COUNT(PILARES[Pilar])),0)</f>
        <v>1</v>
      </c>
      <c r="C27" s="12">
        <f>IF(ESF[[#This Row],[idDiâmetro]]&lt;&gt;B26,1,IF(ESF[[#This Row],[Prof. (m)]]=0,C26+1,C26))</f>
        <v>2</v>
      </c>
      <c r="D27" s="1">
        <f>IFERROR(IF(D26=MAX(SPT[Prof. (m)]),0,D26+1),0)</f>
        <v>8</v>
      </c>
      <c r="E27" s="1">
        <f>INDEX(SPT[],MATCH(ESF[[#This Row],[Prof. (m)]],SPT[Prof. (m)],0),2)</f>
        <v>10</v>
      </c>
      <c r="F27" s="1" t="str">
        <f>INDEX(SPT[],MATCH(ESF[[#This Row],[Prof. (m)]],SPT[Prof. (m)],0),3)</f>
        <v>Silte arenoso</v>
      </c>
      <c r="G27" s="1">
        <f>INDEX(estacas[],ESF[[#This Row],[idDiâmetro]],MATCH($B$2,estacas[#Headers],0))</f>
        <v>25</v>
      </c>
      <c r="H27" s="1">
        <f>INDEX(estacas[],MATCH(ESF[[#This Row],[Ø (cm)]],estacas[Ø ESF (cm)],0),MATCH(ESF[[#Headers],[Pe ESF (kN)]],estacas[#Headers],0))</f>
        <v>250</v>
      </c>
      <c r="I27" s="4">
        <f>INDEX(K_alpha_C[],MATCH(ESF[[#This Row],[Solo]],K_alpha_C[Solo],0),2)</f>
        <v>0.55000000000000004</v>
      </c>
      <c r="J27" s="5">
        <f>INDEX(K_alpha_C[],MATCH(ESF[[#This Row],[Solo]],K_alpha_C[Solo],0),3)</f>
        <v>2.2000000000000002</v>
      </c>
      <c r="K27" s="4">
        <f>INDEX(F1_F2[],MATCH($D$2,F1_F2[Tipo de estaca],0),2)</f>
        <v>3</v>
      </c>
      <c r="L27" s="4">
        <f>INDEX(F1_F2[],MATCH($D$2,F1_F2[Tipo de estaca],0),3)</f>
        <v>6</v>
      </c>
      <c r="M27" s="4">
        <f>PI()*(ESF[[#This Row],[Ø (cm)]]/100)^2/4</f>
        <v>4.9087385212340517E-2</v>
      </c>
      <c r="N27" s="4">
        <f>PI()*ESF[[#This Row],[Ø (cm)]]/100</f>
        <v>0.78539816339744828</v>
      </c>
      <c r="O27" s="4">
        <f>IF(ESF[[#This Row],[Prof. (m)]]=0,0,ESF[[#This Row],[α (%)]]/100*ESF[[#This Row],[K (MPa)]]*1000*ESF[[#This Row],[NSPT]])</f>
        <v>121.00000000000001</v>
      </c>
      <c r="P27" s="4">
        <f>IF(ESF[[#This Row],[Prof. (m)]]=0,0,(ESF[[#This Row],[K (MPa)]]*1000*ESF[[#This Row],[NSPT]]/ESF[[#This Row],[F1]]*ESF[[#This Row],[Ap (m²)]]+ESF[[#This Row],[U (m)]]/ESF[[#This Row],[F2]]*SUMIFS(ESF[(α∙K∙NL∙ΔL)],ESF[Prof. (m)],"&lt;="&amp;ESF[[#This Row],[Prof. (m)]],ESF[idDiâmetro],ESF[[#This Row],[idDiâmetro]],ESF[idPilar],ESF[[#This Row],[idPilar]]))/'DADOS CAP. CARGA'!$D$2)</f>
        <v>110.44007174307117</v>
      </c>
      <c r="Q27" s="12">
        <f>INDEX(C_alpha_beta[],MATCH(ESF[[#This Row],[Solo]],C_alpha_beta[Solo],0),MATCH(ESF[[#Headers],[C (kPa)]],C_alpha_beta[#Headers],0))</f>
        <v>250</v>
      </c>
      <c r="R27" s="4">
        <f>INDEX(C_alpha_beta[],MATCH(ESF[[#This Row],[Solo]],C_alpha_beta[Solo],0),MATCH(ESF[[#Headers],[α ESF]],C_alpha_beta[#Headers],0))</f>
        <v>0.6</v>
      </c>
      <c r="S27" s="4">
        <f>INDEX(C_alpha_beta[],MATCH(ESF[[#This Row],[Solo]],C_alpha_beta[Solo],0),MATCH(ESF[[#Headers],[β ESF]],C_alpha_beta[#Headers],0))</f>
        <v>0.65</v>
      </c>
      <c r="T27" s="4">
        <f>IF(ESF[[#This Row],[Prof. (m)]]=0,0,10*(ESF[[#This Row],[NSPT]]/3+1))</f>
        <v>43.333333333333343</v>
      </c>
      <c r="U27" s="4">
        <f>(ESF[[#This Row],[α ESF]]*ESF[[#This Row],[C (kPa)]]*ESF[[#This Row],[NSPT]]*ESF[[#This Row],[Ap (m²)]])/'DADOS CAP. CARGA'!$Q$2+(ESF[[#This Row],[β ESF]]*SUMIFS(ESF[10∙(NL/3+1)],ESF[Prof. (m)],"&lt;="&amp;ESF[[#This Row],[Prof. (m)]],ESF[idDiâmetro],ESF[[#This Row],[idDiâmetro]],ESF[idPilar],ESF[[#This Row],[idPilar]])*ESF[[#This Row],[U (m)]])/'DADOS CAP. CARGA'!$S$2</f>
        <v>100.08917844796233</v>
      </c>
      <c r="V27" s="4">
        <f>IF(SPT!$M$5=1,MIN(ESF[[#This Row],[Pe ESF (kN)]],ESF[[#This Row],[R_AV (kN)]]),IF(SPT!$M$5=2,MIN(ESF[[#This Row],[Pe ESF (kN)]],ESF[[#This Row],[R_DC (kN)]]),MIN(ESF[[#This Row],[Pe ESF (kN)]],ESF[[#This Row],[R_AV (kN)]],ESF[[#This Row],[R_DC (kN)]])))</f>
        <v>100.08917844796233</v>
      </c>
      <c r="W27" s="4">
        <f>INDEX(PILARES[],ESF[[#This Row],[idPilar]],MATCH("Carga (kN)",PILARES[#Headers],0))*1.4</f>
        <v>1750</v>
      </c>
      <c r="X27" s="12">
        <f>INDEX(PILARES[],ESF[[#This Row],[idPilar]],MATCH(ESF[[#Headers],[ap (cm)]],PILARES[#Headers],0))</f>
        <v>50</v>
      </c>
      <c r="Y27" s="12">
        <f>INDEX(PILARES[],ESF[[#This Row],[idPilar]],MATCH(ESF[[#Headers],[bp (cm)]],PILARES[#Headers],0))</f>
        <v>40</v>
      </c>
      <c r="Z27" s="4">
        <f>SQRT(ESF[[#This Row],[ap (cm)]]*ESF[[#This Row],[bp (cm)]])</f>
        <v>44.721359549995796</v>
      </c>
      <c r="AA27" s="12">
        <f>ESF[[#This Row],[ap (cm)]]*ESF[[#This Row],[bp (cm)]]</f>
        <v>2000</v>
      </c>
      <c r="AB27" s="12">
        <f ca="1">IF(ESF[[#This Row],[Padm∙ε (kN)]]&gt;=ESF[[#This Row],[Padm (kN)]],ROUNDUP(1.05*ESF[[#This Row],[Nsd (kN)]]/ESF[[#This Row],[Padm (kN)]],0),ROUNDUP(1.05*ESF[[#This Row],[Nsd (kN)]]/ESF[[#This Row],[Padm (kN)]],0)+1)</f>
        <v>19</v>
      </c>
      <c r="AC27" s="4" t="str">
        <f ca="1">IFERROR(IF(ESF[[#This Row],[nE]]=1,ESF[[#This Row],[Padm (kN)]],ESF[[#This Row],[Padm (kN)]]*ESF[[#This Row],[nE]]*INDEX(grupoEstacas[],ESF[[#This Row],[nE]],MATCH("ε",grupoEstacas[#Headers],0))),"N.S.")</f>
        <v>N.S.</v>
      </c>
      <c r="AD27" s="4">
        <f ca="1">1.05*ESF[[#This Row],[Nsd (kN)]]/(ESF[[#This Row],[nE]]*PI()*ESF[[#This Row],[Ø (cm)]]^2/4)*10</f>
        <v>1.9701706639586203</v>
      </c>
      <c r="AE27" s="4">
        <f ca="1">IF(ESF[[#This Row],[σ (MPa)]]&lt;INDEX(tipoEstaca[],MATCH($D$2,tipoEstaca[TIPO DE ESTACA],0),MATCH("σmáx (MPa)",tipoEstaca[#Headers],0)),0.4%*PI()*ESF[[#This Row],[Ø (cm)]]^2/4,"N.S.")</f>
        <v>1.9634954084936209</v>
      </c>
      <c r="AF27" s="1">
        <f>INDEX(tipoEstaca[],MATCH($D$2,tipoEstaca[TIPO DE ESTACA],0),MATCH(ESF[[#Headers],[Comprimento (m)]],tipoEstaca[#Headers],0))</f>
        <v>2</v>
      </c>
      <c r="AG27" s="5">
        <f ca="1">ESF[[#This Row],[As,mín (cm²)]]/100^2*ESF[[#This Row],[Comprimento (m)]]*7850</f>
        <v>3.0826877913349846</v>
      </c>
      <c r="AH27" s="4">
        <f ca="1">ESF[[#This Row],[nE]]*ESF[[#This Row],[Prof. (m)]]*ESF[[#This Row],[Ap (m²)]]</f>
        <v>7.4612825522757582</v>
      </c>
      <c r="AI27" s="1">
        <f ca="1">IF(ESF[[#This Row],[nE]]=1,0,MAX(3*ESF[[#This Row],[Ø (cm)]],60))</f>
        <v>75</v>
      </c>
      <c r="AJ27" s="1">
        <f ca="1">IF(ESF[[#This Row],[nE]]=1,ESF[[#This Row],[Ø (cm)]]+2*10,MAX(1.5*ESF[[#This Row],[Ø (cm)]],ESF[[#This Row],[Ø (cm)]]+15))</f>
        <v>40</v>
      </c>
      <c r="AK27" s="1" t="str">
        <f ca="1">alturaUtil(ESF[[#This Row],[nE]],ESF[[#This Row],[Ø (cm)]],ESF[[#This Row],[e (cm)]],ESF[[#This Row],[ap,eq (cm)]])</f>
        <v>N.S.</v>
      </c>
      <c r="AL27" s="1" t="str">
        <f ca="1">IFERROR(ESF[[#This Row],[d (cm)]]+arredondarParaCimaMultiplo5cm(MAX(5,SQRT(PI())/2*ESF[[#This Row],[Ø (cm)]]/5)),"N.S.")</f>
        <v>N.S.</v>
      </c>
      <c r="AM27" s="5" t="str">
        <f ca="1">alpha(ESF[[#This Row],[nE]],ESF[[#This Row],[d (cm)]],ESF[[#This Row],[e (cm)]],ESF[[#This Row],[ap,eq (cm)]])</f>
        <v>N.S.</v>
      </c>
      <c r="AN27" s="35" t="str">
        <f ca="1">IFERROR(ESF[[#This Row],[Nsd (kN)]]/(ESF[[#This Row],[Ap (cm²)]]*SIN(ESF[[#This Row],[α]])^2),"N.S.")</f>
        <v>N.S.</v>
      </c>
      <c r="AO27" s="35" t="str">
        <f ca="1">IFERROR(ESF[[#This Row],[Nsd (kN)]]/(ESF[[#This Row],[nE]]*PI()*ESF[[#This Row],[Ø (cm)]]^2/4*SIN(ESF[[#This Row],[α]])^2),"N.S.")</f>
        <v>N.S.</v>
      </c>
      <c r="AP27" s="4" t="str">
        <f ca="1">IFERROR(INDEX(grupoEstacas[],ESF[[#This Row],[nE]],MATCH("coef. Blévot",grupoEstacas[#Headers],0)),"N.S.")</f>
        <v>N.S.</v>
      </c>
      <c r="AQ27" s="35" t="str">
        <f ca="1">IFERROR(ESF[[#This Row],[coef. Blévot]]*0.9*INDEX(tipoEstaca[],MATCH($D$2,tipoEstaca[TIPO DE ESTACA],0),MATCH("fcd (kN/cm²)",tipoEstaca[#Headers],0)),"N.S.")</f>
        <v>N.S.</v>
      </c>
      <c r="AR27" s="1" t="str">
        <f ca="1">IF(AND(ESF[[#This Row],[cd,b,pil (kN/cm²)]]&lt;=ESF[[#This Row],[cd,b,lim (kN/cm²)]],ESF[[#This Row],[cd,b,est (kN/cm²)]]&lt;=ESF[[#This Row],[cd,b,lim (kN/cm²)]]),"OK","ERRO")</f>
        <v>OK</v>
      </c>
      <c r="AS27" s="4" t="str">
        <f ca="1">As_lado(ESF[[#This Row],[nE]],ESF[[#This Row],[Nsd (kN)]],ESF[[#This Row],[d (cm)]],ESF[[#This Row],[e (cm)]],ESF[[#This Row],[ap,eq (cm)]])</f>
        <v>N.S.</v>
      </c>
      <c r="AT27" s="4" t="str">
        <f ca="1">IF(ESF[[#This Row],[nE]]=1,ESF[[#This Row],[As,lado (cm²)]],IF(ESF[[#This Row],[nE]]=2,0.075*2*ESF[a (cm)],"N.A."))</f>
        <v>N.A.</v>
      </c>
      <c r="AU27" s="4" t="str">
        <f ca="1">IFERROR(IF(ESF[[#This Row],[nE]]=1,"N.A.",0.2*ESF[[#This Row],[As,lado (cm²)]]),"N.S.")</f>
        <v>N.S.</v>
      </c>
      <c r="AV27" s="4" t="str">
        <f ca="1">As_malha(ESF[[#This Row],[nE]],ESF[[#This Row],[As,lado (cm²)]],ESF[[#This Row],[Nsd (kN)]])</f>
        <v>N.S.</v>
      </c>
      <c r="AW27" s="4" t="str">
        <f ca="1">As_susp_tot(ESF[[#This Row],[nE]],ESF[[#This Row],[Nsd (kN)]])</f>
        <v>N.S.</v>
      </c>
      <c r="AX27" s="4" t="str">
        <f ca="1">Asp_face(ESF[[#This Row],[nE]],ESF[[#This Row],[As,lado (cm²)]])</f>
        <v>N.S.</v>
      </c>
      <c r="AY27" s="5" t="str">
        <f ca="1">acoBloco(ESF[[#This Row],[nE]],ESF[[#This Row],[e (cm)]],ESF[[#This Row],[a (cm)]],ESF[[#This Row],[h (cm)]],ESF[[#This Row],[As,lado (cm²)]],ESF[[#This Row],[Asp e Asw (cm²/m)]],ESF[[#This Row],[As,sup (cm²)]],ESF[[#This Row],[As,malha (cm²)]],ESF[[#This Row],[As,susp,tot (cm²)]],ESF[[#This Row],[Asp,face (cm²)]])</f>
        <v>N.S.</v>
      </c>
      <c r="AZ27" s="4" t="str">
        <f ca="1">concretoBloco(ESF[[#This Row],[nE]],ESF[[#This Row],[e (cm)]],ESF[[#This Row],[a (cm)]],ESF[[#This Row],[h (cm)]])</f>
        <v>N.S.</v>
      </c>
      <c r="BA27" s="5">
        <f ca="1">SUM(ESF[[#This Row],[Aço Est (kg)]],ESF[[#This Row],[Aço Bloco (kg)]])</f>
        <v>3.0826877913349846</v>
      </c>
      <c r="BB27" s="4">
        <f>INDEX(composicoes[],MATCH(95580,composicoes[CÓDIGO],0),MATCH("CUSTO TOTAL",composicoes[#Headers],0))</f>
        <v>10.46</v>
      </c>
      <c r="BC27" s="4">
        <f ca="1">SUM(ESF[[#This Row],[Conc Est (m³)]],ESF[[#This Row],[Conc Bloco (m³)]])</f>
        <v>7.4612825522757582</v>
      </c>
      <c r="BD27" s="4">
        <f>INDEX(composicoes[],MATCH(94966,composicoes[CÓDIGO],0),MATCH("CUSTO TOTAL",composicoes[#Headers],0))</f>
        <v>439.52</v>
      </c>
      <c r="BE27" s="38">
        <f ca="1">ESF[[#This Row],[Aço (kg)]]*ESF[[#This Row],[Aço (R$/kg)]]+ESF[[#This Row],[Conc (m³)]]*ESF[[#This Row],[Conc (R$/m³)]]</f>
        <v>3311.627821673605</v>
      </c>
      <c r="BF27" s="4" t="str">
        <f ca="1">IF(COUNTIF(ESF[#This Row],"N.S.")&gt;0,"lim.","OK")</f>
        <v>lim.</v>
      </c>
      <c r="BG27" s="4" t="str">
        <f>IF(ESF[[#This Row],[Prof. (m)]]&lt;3,"lim.","OK")</f>
        <v>OK</v>
      </c>
      <c r="BH27" s="4" t="str">
        <f>IF(ESF[[#This Row],[Prof. (m)]]&gt;=8*ESF[[#This Row],[Ø (cm)]]/100,"OK","lim.")</f>
        <v>OK</v>
      </c>
      <c r="BI27" s="4" t="str">
        <f>IF(AND(SPT!$F$3&lt;&gt;"",ESF[[#This Row],[Prof. (m)]]&gt;=SPT!$F$3),"lim.","OK")</f>
        <v>OK</v>
      </c>
      <c r="BJ27" s="4" t="str">
        <f>IF(COUNTIFS(ESF[Solo],"Areia",ESF[Prof. (m)],"&lt;="&amp;ESF[[#This Row],[Prof. (m)]])&gt;=1,"lim.","OK")</f>
        <v>OK</v>
      </c>
      <c r="BK27" s="4" t="str">
        <f ca="1">IF(ESF[[#This Row],[Verif. Biela]]="OK","OK","lim.")</f>
        <v>OK</v>
      </c>
      <c r="BL27" s="4" t="str">
        <f ca="1">IF(COUNTA(ESF[[#This Row],[Nº Est.]:[Biela comp.]])=COUNTIF(ESF[[#This Row],[Nº Est.]:[Biela comp.]],"OK"),"OK","lim.")</f>
        <v>lim.</v>
      </c>
      <c r="BM27" s="4" t="str">
        <f ca="1">IF(ESF[[#This Row],[Controle]]="OK",ESF[[#This Row],[nE]]&amp;" Ø"&amp;ESF[[#This Row],[Ø (cm)]]&amp;"cm Prof. "&amp;ESF[[#This Row],[Prof. (m)]]&amp;" m","")</f>
        <v/>
      </c>
      <c r="BN27" s="4" t="str">
        <f ca="1">IF(ESF[[#This Row],[idDimensionamento]]="","",ESF[[#This Row],[idPilar]]&amp;ESF[[#This Row],[idDimensionamento]])</f>
        <v/>
      </c>
    </row>
    <row r="28" spans="2:66" x14ac:dyDescent="0.25">
      <c r="B28" s="12">
        <f>ROUNDUP((ROW(ESF[[#This Row],[idDiâmetro]])-ROW(ESF[[#Headers],[idDiâmetro]]))/(COUNT(SPT[Prof. (m)])*COUNT(PILARES[Pilar])),0)</f>
        <v>1</v>
      </c>
      <c r="C28" s="12">
        <f>IF(ESF[[#This Row],[idDiâmetro]]&lt;&gt;B27,1,IF(ESF[[#This Row],[Prof. (m)]]=0,C27+1,C27))</f>
        <v>2</v>
      </c>
      <c r="D28" s="1">
        <f>IFERROR(IF(D27=MAX(SPT[Prof. (m)]),0,D27+1),0)</f>
        <v>9</v>
      </c>
      <c r="E28" s="1">
        <f>INDEX(SPT[],MATCH(ESF[[#This Row],[Prof. (m)]],SPT[Prof. (m)],0),2)</f>
        <v>26</v>
      </c>
      <c r="F28" s="1" t="str">
        <f>INDEX(SPT[],MATCH(ESF[[#This Row],[Prof. (m)]],SPT[Prof. (m)],0),3)</f>
        <v>Areia siltosa</v>
      </c>
      <c r="G28" s="1">
        <f>INDEX(estacas[],ESF[[#This Row],[idDiâmetro]],MATCH($B$2,estacas[#Headers],0))</f>
        <v>25</v>
      </c>
      <c r="H28" s="1">
        <f>INDEX(estacas[],MATCH(ESF[[#This Row],[Ø (cm)]],estacas[Ø ESF (cm)],0),MATCH(ESF[[#Headers],[Pe ESF (kN)]],estacas[#Headers],0))</f>
        <v>250</v>
      </c>
      <c r="I28" s="4">
        <f>INDEX(K_alpha_C[],MATCH(ESF[[#This Row],[Solo]],K_alpha_C[Solo],0),2)</f>
        <v>0.8</v>
      </c>
      <c r="J28" s="5">
        <f>INDEX(K_alpha_C[],MATCH(ESF[[#This Row],[Solo]],K_alpha_C[Solo],0),3)</f>
        <v>2</v>
      </c>
      <c r="K28" s="4">
        <f>INDEX(F1_F2[],MATCH($D$2,F1_F2[Tipo de estaca],0),2)</f>
        <v>3</v>
      </c>
      <c r="L28" s="4">
        <f>INDEX(F1_F2[],MATCH($D$2,F1_F2[Tipo de estaca],0),3)</f>
        <v>6</v>
      </c>
      <c r="M28" s="4">
        <f>PI()*(ESF[[#This Row],[Ø (cm)]]/100)^2/4</f>
        <v>4.9087385212340517E-2</v>
      </c>
      <c r="N28" s="4">
        <f>PI()*ESF[[#This Row],[Ø (cm)]]/100</f>
        <v>0.78539816339744828</v>
      </c>
      <c r="O28" s="4">
        <f>IF(ESF[[#This Row],[Prof. (m)]]=0,0,ESF[[#This Row],[α (%)]]/100*ESF[[#This Row],[K (MPa)]]*1000*ESF[[#This Row],[NSPT]])</f>
        <v>416</v>
      </c>
      <c r="P28" s="4">
        <f>IF(ESF[[#This Row],[Prof. (m)]]=0,0,(ESF[[#This Row],[K (MPa)]]*1000*ESF[[#This Row],[NSPT]]/ESF[[#This Row],[F1]]*ESF[[#This Row],[Ap (m²)]]+ESF[[#This Row],[U (m)]]/ESF[[#This Row],[F2]]*SUMIFS(ESF[(α∙K∙NL∙ΔL)],ESF[Prof. (m)],"&lt;="&amp;ESF[[#This Row],[Prof. (m)]],ESF[idDiâmetro],ESF[[#This Row],[idDiâmetro]],ESF[idPilar],ESF[[#This Row],[idPilar]]))/'DADOS CAP. CARGA'!$D$2)</f>
        <v>262.84004036565102</v>
      </c>
      <c r="Q28" s="12">
        <f>INDEX(C_alpha_beta[],MATCH(ESF[[#This Row],[Solo]],C_alpha_beta[Solo],0),MATCH(ESF[[#Headers],[C (kPa)]],C_alpha_beta[#Headers],0))</f>
        <v>400</v>
      </c>
      <c r="R28" s="4">
        <f>INDEX(C_alpha_beta[],MATCH(ESF[[#This Row],[Solo]],C_alpha_beta[Solo],0),MATCH(ESF[[#Headers],[α ESF]],C_alpha_beta[#Headers],0))</f>
        <v>0.5</v>
      </c>
      <c r="S28" s="4">
        <f>INDEX(C_alpha_beta[],MATCH(ESF[[#This Row],[Solo]],C_alpha_beta[Solo],0),MATCH(ESF[[#Headers],[β ESF]],C_alpha_beta[#Headers],0))</f>
        <v>0.5</v>
      </c>
      <c r="T28" s="4">
        <f>IF(ESF[[#This Row],[Prof. (m)]]=0,0,10*(ESF[[#This Row],[NSPT]]/3+1))</f>
        <v>96.666666666666657</v>
      </c>
      <c r="U28" s="4">
        <f>(ESF[[#This Row],[α ESF]]*ESF[[#This Row],[C (kPa)]]*ESF[[#This Row],[NSPT]]*ESF[[#This Row],[Ap (m²)]])/'DADOS CAP. CARGA'!$Q$2+(ESF[[#This Row],[β ESF]]*SUMIFS(ESF[10∙(NL/3+1)],ESF[Prof. (m)],"&lt;="&amp;ESF[[#This Row],[Prof. (m)]],ESF[idDiâmetro],ESF[[#This Row],[idDiâmetro]],ESF[idPilar],ESF[[#This Row],[idPilar]])*ESF[[#This Row],[U (m)]])/'DADOS CAP. CARGA'!$S$2</f>
        <v>145.62590946327686</v>
      </c>
      <c r="V28" s="4">
        <f>IF(SPT!$M$5=1,MIN(ESF[[#This Row],[Pe ESF (kN)]],ESF[[#This Row],[R_AV (kN)]]),IF(SPT!$M$5=2,MIN(ESF[[#This Row],[Pe ESF (kN)]],ESF[[#This Row],[R_DC (kN)]]),MIN(ESF[[#This Row],[Pe ESF (kN)]],ESF[[#This Row],[R_AV (kN)]],ESF[[#This Row],[R_DC (kN)]])))</f>
        <v>145.62590946327686</v>
      </c>
      <c r="W28" s="4">
        <f>INDEX(PILARES[],ESF[[#This Row],[idPilar]],MATCH("Carga (kN)",PILARES[#Headers],0))*1.4</f>
        <v>1750</v>
      </c>
      <c r="X28" s="12">
        <f>INDEX(PILARES[],ESF[[#This Row],[idPilar]],MATCH(ESF[[#Headers],[ap (cm)]],PILARES[#Headers],0))</f>
        <v>50</v>
      </c>
      <c r="Y28" s="12">
        <f>INDEX(PILARES[],ESF[[#This Row],[idPilar]],MATCH(ESF[[#Headers],[bp (cm)]],PILARES[#Headers],0))</f>
        <v>40</v>
      </c>
      <c r="Z28" s="4">
        <f>SQRT(ESF[[#This Row],[ap (cm)]]*ESF[[#This Row],[bp (cm)]])</f>
        <v>44.721359549995796</v>
      </c>
      <c r="AA28" s="12">
        <f>ESF[[#This Row],[ap (cm)]]*ESF[[#This Row],[bp (cm)]]</f>
        <v>2000</v>
      </c>
      <c r="AB28" s="12">
        <f ca="1">IF(ESF[[#This Row],[Padm∙ε (kN)]]&gt;=ESF[[#This Row],[Padm (kN)]],ROUNDUP(1.05*ESF[[#This Row],[Nsd (kN)]]/ESF[[#This Row],[Padm (kN)]],0),ROUNDUP(1.05*ESF[[#This Row],[Nsd (kN)]]/ESF[[#This Row],[Padm (kN)]],0)+1)</f>
        <v>13</v>
      </c>
      <c r="AC28" s="4" t="str">
        <f ca="1">IFERROR(IF(ESF[[#This Row],[nE]]=1,ESF[[#This Row],[Padm (kN)]],ESF[[#This Row],[Padm (kN)]]*ESF[[#This Row],[nE]]*INDEX(grupoEstacas[],ESF[[#This Row],[nE]],MATCH("ε",grupoEstacas[#Headers],0))),"N.S.")</f>
        <v>N.S.</v>
      </c>
      <c r="AD28" s="4">
        <f ca="1">1.05*ESF[[#This Row],[Nsd (kN)]]/(ESF[[#This Row],[nE]]*PI()*ESF[[#This Row],[Ø (cm)]]^2/4)*10</f>
        <v>2.8794802011702907</v>
      </c>
      <c r="AE28" s="4">
        <f ca="1">IF(ESF[[#This Row],[σ (MPa)]]&lt;INDEX(tipoEstaca[],MATCH($D$2,tipoEstaca[TIPO DE ESTACA],0),MATCH("σmáx (MPa)",tipoEstaca[#Headers],0)),0.4%*PI()*ESF[[#This Row],[Ø (cm)]]^2/4,"N.S.")</f>
        <v>1.9634954084936209</v>
      </c>
      <c r="AF28" s="1">
        <f>INDEX(tipoEstaca[],MATCH($D$2,tipoEstaca[TIPO DE ESTACA],0),MATCH(ESF[[#Headers],[Comprimento (m)]],tipoEstaca[#Headers],0))</f>
        <v>2</v>
      </c>
      <c r="AG28" s="5">
        <f ca="1">ESF[[#This Row],[As,mín (cm²)]]/100^2*ESF[[#This Row],[Comprimento (m)]]*7850</f>
        <v>3.0826877913349846</v>
      </c>
      <c r="AH28" s="4">
        <f ca="1">ESF[[#This Row],[nE]]*ESF[[#This Row],[Prof. (m)]]*ESF[[#This Row],[Ap (m²)]]</f>
        <v>5.7432240698438406</v>
      </c>
      <c r="AI28" s="1">
        <f ca="1">IF(ESF[[#This Row],[nE]]=1,0,MAX(3*ESF[[#This Row],[Ø (cm)]],60))</f>
        <v>75</v>
      </c>
      <c r="AJ28" s="1">
        <f ca="1">IF(ESF[[#This Row],[nE]]=1,ESF[[#This Row],[Ø (cm)]]+2*10,MAX(1.5*ESF[[#This Row],[Ø (cm)]],ESF[[#This Row],[Ø (cm)]]+15))</f>
        <v>40</v>
      </c>
      <c r="AK28" s="1" t="str">
        <f ca="1">alturaUtil(ESF[[#This Row],[nE]],ESF[[#This Row],[Ø (cm)]],ESF[[#This Row],[e (cm)]],ESF[[#This Row],[ap,eq (cm)]])</f>
        <v>N.S.</v>
      </c>
      <c r="AL28" s="1" t="str">
        <f ca="1">IFERROR(ESF[[#This Row],[d (cm)]]+arredondarParaCimaMultiplo5cm(MAX(5,SQRT(PI())/2*ESF[[#This Row],[Ø (cm)]]/5)),"N.S.")</f>
        <v>N.S.</v>
      </c>
      <c r="AM28" s="5" t="str">
        <f ca="1">alpha(ESF[[#This Row],[nE]],ESF[[#This Row],[d (cm)]],ESF[[#This Row],[e (cm)]],ESF[[#This Row],[ap,eq (cm)]])</f>
        <v>N.S.</v>
      </c>
      <c r="AN28" s="35" t="str">
        <f ca="1">IFERROR(ESF[[#This Row],[Nsd (kN)]]/(ESF[[#This Row],[Ap (cm²)]]*SIN(ESF[[#This Row],[α]])^2),"N.S.")</f>
        <v>N.S.</v>
      </c>
      <c r="AO28" s="35" t="str">
        <f ca="1">IFERROR(ESF[[#This Row],[Nsd (kN)]]/(ESF[[#This Row],[nE]]*PI()*ESF[[#This Row],[Ø (cm)]]^2/4*SIN(ESF[[#This Row],[α]])^2),"N.S.")</f>
        <v>N.S.</v>
      </c>
      <c r="AP28" s="4" t="str">
        <f ca="1">IFERROR(INDEX(grupoEstacas[],ESF[[#This Row],[nE]],MATCH("coef. Blévot",grupoEstacas[#Headers],0)),"N.S.")</f>
        <v>N.S.</v>
      </c>
      <c r="AQ28" s="35" t="str">
        <f ca="1">IFERROR(ESF[[#This Row],[coef. Blévot]]*0.9*INDEX(tipoEstaca[],MATCH($D$2,tipoEstaca[TIPO DE ESTACA],0),MATCH("fcd (kN/cm²)",tipoEstaca[#Headers],0)),"N.S.")</f>
        <v>N.S.</v>
      </c>
      <c r="AR28" s="1" t="str">
        <f ca="1">IF(AND(ESF[[#This Row],[cd,b,pil (kN/cm²)]]&lt;=ESF[[#This Row],[cd,b,lim (kN/cm²)]],ESF[[#This Row],[cd,b,est (kN/cm²)]]&lt;=ESF[[#This Row],[cd,b,lim (kN/cm²)]]),"OK","ERRO")</f>
        <v>OK</v>
      </c>
      <c r="AS28" s="4" t="str">
        <f ca="1">As_lado(ESF[[#This Row],[nE]],ESF[[#This Row],[Nsd (kN)]],ESF[[#This Row],[d (cm)]],ESF[[#This Row],[e (cm)]],ESF[[#This Row],[ap,eq (cm)]])</f>
        <v>N.S.</v>
      </c>
      <c r="AT28" s="4" t="str">
        <f ca="1">IF(ESF[[#This Row],[nE]]=1,ESF[[#This Row],[As,lado (cm²)]],IF(ESF[[#This Row],[nE]]=2,0.075*2*ESF[a (cm)],"N.A."))</f>
        <v>N.A.</v>
      </c>
      <c r="AU28" s="4" t="str">
        <f ca="1">IFERROR(IF(ESF[[#This Row],[nE]]=1,"N.A.",0.2*ESF[[#This Row],[As,lado (cm²)]]),"N.S.")</f>
        <v>N.S.</v>
      </c>
      <c r="AV28" s="4" t="str">
        <f ca="1">As_malha(ESF[[#This Row],[nE]],ESF[[#This Row],[As,lado (cm²)]],ESF[[#This Row],[Nsd (kN)]])</f>
        <v>N.S.</v>
      </c>
      <c r="AW28" s="4" t="str">
        <f ca="1">As_susp_tot(ESF[[#This Row],[nE]],ESF[[#This Row],[Nsd (kN)]])</f>
        <v>N.S.</v>
      </c>
      <c r="AX28" s="4" t="str">
        <f ca="1">Asp_face(ESF[[#This Row],[nE]],ESF[[#This Row],[As,lado (cm²)]])</f>
        <v>N.S.</v>
      </c>
      <c r="AY28" s="5" t="str">
        <f ca="1">acoBloco(ESF[[#This Row],[nE]],ESF[[#This Row],[e (cm)]],ESF[[#This Row],[a (cm)]],ESF[[#This Row],[h (cm)]],ESF[[#This Row],[As,lado (cm²)]],ESF[[#This Row],[Asp e Asw (cm²/m)]],ESF[[#This Row],[As,sup (cm²)]],ESF[[#This Row],[As,malha (cm²)]],ESF[[#This Row],[As,susp,tot (cm²)]],ESF[[#This Row],[Asp,face (cm²)]])</f>
        <v>N.S.</v>
      </c>
      <c r="AZ28" s="4" t="str">
        <f ca="1">concretoBloco(ESF[[#This Row],[nE]],ESF[[#This Row],[e (cm)]],ESF[[#This Row],[a (cm)]],ESF[[#This Row],[h (cm)]])</f>
        <v>N.S.</v>
      </c>
      <c r="BA28" s="5">
        <f ca="1">SUM(ESF[[#This Row],[Aço Est (kg)]],ESF[[#This Row],[Aço Bloco (kg)]])</f>
        <v>3.0826877913349846</v>
      </c>
      <c r="BB28" s="4">
        <f>INDEX(composicoes[],MATCH(95580,composicoes[CÓDIGO],0),MATCH("CUSTO TOTAL",composicoes[#Headers],0))</f>
        <v>10.46</v>
      </c>
      <c r="BC28" s="4">
        <f ca="1">SUM(ESF[[#This Row],[Conc Est (m³)]],ESF[[#This Row],[Conc Bloco (m³)]])</f>
        <v>5.7432240698438406</v>
      </c>
      <c r="BD28" s="4">
        <f>INDEX(composicoes[],MATCH(94966,composicoes[CÓDIGO],0),MATCH("CUSTO TOTAL",composicoes[#Headers],0))</f>
        <v>439.52</v>
      </c>
      <c r="BE28" s="38">
        <f ca="1">ESF[[#This Row],[Aço (kg)]]*ESF[[#This Row],[Aço (R$/kg)]]+ESF[[#This Row],[Conc (m³)]]*ESF[[#This Row],[Conc (R$/m³)]]</f>
        <v>2556.5067574751283</v>
      </c>
      <c r="BF28" s="4" t="str">
        <f ca="1">IF(COUNTIF(ESF[#This Row],"N.S.")&gt;0,"lim.","OK")</f>
        <v>lim.</v>
      </c>
      <c r="BG28" s="4" t="str">
        <f>IF(ESF[[#This Row],[Prof. (m)]]&lt;3,"lim.","OK")</f>
        <v>OK</v>
      </c>
      <c r="BH28" s="4" t="str">
        <f>IF(ESF[[#This Row],[Prof. (m)]]&gt;=8*ESF[[#This Row],[Ø (cm)]]/100,"OK","lim.")</f>
        <v>OK</v>
      </c>
      <c r="BI28" s="4" t="str">
        <f>IF(AND(SPT!$F$3&lt;&gt;"",ESF[[#This Row],[Prof. (m)]]&gt;=SPT!$F$3),"lim.","OK")</f>
        <v>OK</v>
      </c>
      <c r="BJ28" s="4" t="str">
        <f>IF(COUNTIFS(ESF[Solo],"Areia",ESF[Prof. (m)],"&lt;="&amp;ESF[[#This Row],[Prof. (m)]])&gt;=1,"lim.","OK")</f>
        <v>OK</v>
      </c>
      <c r="BK28" s="4" t="str">
        <f ca="1">IF(ESF[[#This Row],[Verif. Biela]]="OK","OK","lim.")</f>
        <v>OK</v>
      </c>
      <c r="BL28" s="4" t="str">
        <f ca="1">IF(COUNTA(ESF[[#This Row],[Nº Est.]:[Biela comp.]])=COUNTIF(ESF[[#This Row],[Nº Est.]:[Biela comp.]],"OK"),"OK","lim.")</f>
        <v>lim.</v>
      </c>
      <c r="BM28" s="4" t="str">
        <f ca="1">IF(ESF[[#This Row],[Controle]]="OK",ESF[[#This Row],[nE]]&amp;" Ø"&amp;ESF[[#This Row],[Ø (cm)]]&amp;"cm Prof. "&amp;ESF[[#This Row],[Prof. (m)]]&amp;" m","")</f>
        <v/>
      </c>
      <c r="BN28" s="4" t="str">
        <f ca="1">IF(ESF[[#This Row],[idDimensionamento]]="","",ESF[[#This Row],[idPilar]]&amp;ESF[[#This Row],[idDimensionamento]])</f>
        <v/>
      </c>
    </row>
    <row r="29" spans="2:66" x14ac:dyDescent="0.25">
      <c r="B29" s="12">
        <f>ROUNDUP((ROW(ESF[[#This Row],[idDiâmetro]])-ROW(ESF[[#Headers],[idDiâmetro]]))/(COUNT(SPT[Prof. (m)])*COUNT(PILARES[Pilar])),0)</f>
        <v>1</v>
      </c>
      <c r="C29" s="12">
        <f>IF(ESF[[#This Row],[idDiâmetro]]&lt;&gt;B28,1,IF(ESF[[#This Row],[Prof. (m)]]=0,C28+1,C28))</f>
        <v>2</v>
      </c>
      <c r="D29" s="1">
        <f>IFERROR(IF(D28=MAX(SPT[Prof. (m)]),0,D28+1),0)</f>
        <v>10</v>
      </c>
      <c r="E29" s="1">
        <f>INDEX(SPT[],MATCH(ESF[[#This Row],[Prof. (m)]],SPT[Prof. (m)],0),2)</f>
        <v>32</v>
      </c>
      <c r="F29" s="1" t="str">
        <f>INDEX(SPT[],MATCH(ESF[[#This Row],[Prof. (m)]],SPT[Prof. (m)],0),3)</f>
        <v>Areia siltosa</v>
      </c>
      <c r="G29" s="1">
        <f>INDEX(estacas[],ESF[[#This Row],[idDiâmetro]],MATCH($B$2,estacas[#Headers],0))</f>
        <v>25</v>
      </c>
      <c r="H29" s="1">
        <f>INDEX(estacas[],MATCH(ESF[[#This Row],[Ø (cm)]],estacas[Ø ESF (cm)],0),MATCH(ESF[[#Headers],[Pe ESF (kN)]],estacas[#Headers],0))</f>
        <v>250</v>
      </c>
      <c r="I29" s="4">
        <f>INDEX(K_alpha_C[],MATCH(ESF[[#This Row],[Solo]],K_alpha_C[Solo],0),2)</f>
        <v>0.8</v>
      </c>
      <c r="J29" s="5">
        <f>INDEX(K_alpha_C[],MATCH(ESF[[#This Row],[Solo]],K_alpha_C[Solo],0),3)</f>
        <v>2</v>
      </c>
      <c r="K29" s="4">
        <f>INDEX(F1_F2[],MATCH($D$2,F1_F2[Tipo de estaca],0),2)</f>
        <v>3</v>
      </c>
      <c r="L29" s="4">
        <f>INDEX(F1_F2[],MATCH($D$2,F1_F2[Tipo de estaca],0),3)</f>
        <v>6</v>
      </c>
      <c r="M29" s="4">
        <f>PI()*(ESF[[#This Row],[Ø (cm)]]/100)^2/4</f>
        <v>4.9087385212340517E-2</v>
      </c>
      <c r="N29" s="4">
        <f>PI()*ESF[[#This Row],[Ø (cm)]]/100</f>
        <v>0.78539816339744828</v>
      </c>
      <c r="O29" s="4">
        <f>IF(ESF[[#This Row],[Prof. (m)]]=0,0,ESF[[#This Row],[α (%)]]/100*ESF[[#This Row],[K (MPa)]]*1000*ESF[[#This Row],[NSPT]])</f>
        <v>512</v>
      </c>
      <c r="P29" s="4">
        <f>IF(ESF[[#This Row],[Prof. (m)]]=0,0,(ESF[[#This Row],[K (MPa)]]*1000*ESF[[#This Row],[NSPT]]/ESF[[#This Row],[F1]]*ESF[[#This Row],[Ap (m²)]]+ESF[[#This Row],[U (m)]]/ESF[[#This Row],[F2]]*SUMIFS(ESF[(α∙K∙NL∙ΔL)],ESF[Prof. (m)],"&lt;="&amp;ESF[[#This Row],[Prof. (m)]],ESF[idDiâmetro],ESF[[#This Row],[idDiâmetro]],ESF[idPilar],ESF[[#This Row],[idPilar]]))/'DADOS CAP. CARGA'!$D$2)</f>
        <v>335.62027017381462</v>
      </c>
      <c r="Q29" s="12">
        <f>INDEX(C_alpha_beta[],MATCH(ESF[[#This Row],[Solo]],C_alpha_beta[Solo],0),MATCH(ESF[[#Headers],[C (kPa)]],C_alpha_beta[#Headers],0))</f>
        <v>400</v>
      </c>
      <c r="R29" s="4">
        <f>INDEX(C_alpha_beta[],MATCH(ESF[[#This Row],[Solo]],C_alpha_beta[Solo],0),MATCH(ESF[[#Headers],[α ESF]],C_alpha_beta[#Headers],0))</f>
        <v>0.5</v>
      </c>
      <c r="S29" s="4">
        <f>INDEX(C_alpha_beta[],MATCH(ESF[[#This Row],[Solo]],C_alpha_beta[Solo],0),MATCH(ESF[[#Headers],[β ESF]],C_alpha_beta[#Headers],0))</f>
        <v>0.5</v>
      </c>
      <c r="T29" s="4">
        <f>IF(ESF[[#This Row],[Prof. (m)]]=0,0,10*(ESF[[#This Row],[NSPT]]/3+1))</f>
        <v>116.66666666666666</v>
      </c>
      <c r="U29" s="4">
        <f>(ESF[[#This Row],[α ESF]]*ESF[[#This Row],[C (kPa)]]*ESF[[#This Row],[NSPT]]*ESF[[#This Row],[Ap (m²)]])/'DADOS CAP. CARGA'!$Q$2+(ESF[[#This Row],[β ESF]]*SUMIFS(ESF[10∙(NL/3+1)],ESF[Prof. (m)],"&lt;="&amp;ESF[[#This Row],[Prof. (m)]],ESF[idDiâmetro],ESF[[#This Row],[idDiâmetro]],ESF[idPilar],ESF[[#This Row],[idPilar]])*ESF[[#This Row],[U (m)]])/'DADOS CAP. CARGA'!$S$2</f>
        <v>183.25957145940458</v>
      </c>
      <c r="V29" s="4">
        <f>IF(SPT!$M$5=1,MIN(ESF[[#This Row],[Pe ESF (kN)]],ESF[[#This Row],[R_AV (kN)]]),IF(SPT!$M$5=2,MIN(ESF[[#This Row],[Pe ESF (kN)]],ESF[[#This Row],[R_DC (kN)]]),MIN(ESF[[#This Row],[Pe ESF (kN)]],ESF[[#This Row],[R_AV (kN)]],ESF[[#This Row],[R_DC (kN)]])))</f>
        <v>183.25957145940458</v>
      </c>
      <c r="W29" s="4">
        <f>INDEX(PILARES[],ESF[[#This Row],[idPilar]],MATCH("Carga (kN)",PILARES[#Headers],0))*1.4</f>
        <v>1750</v>
      </c>
      <c r="X29" s="12">
        <f>INDEX(PILARES[],ESF[[#This Row],[idPilar]],MATCH(ESF[[#Headers],[ap (cm)]],PILARES[#Headers],0))</f>
        <v>50</v>
      </c>
      <c r="Y29" s="12">
        <f>INDEX(PILARES[],ESF[[#This Row],[idPilar]],MATCH(ESF[[#Headers],[bp (cm)]],PILARES[#Headers],0))</f>
        <v>40</v>
      </c>
      <c r="Z29" s="4">
        <f>SQRT(ESF[[#This Row],[ap (cm)]]*ESF[[#This Row],[bp (cm)]])</f>
        <v>44.721359549995796</v>
      </c>
      <c r="AA29" s="12">
        <f>ESF[[#This Row],[ap (cm)]]*ESF[[#This Row],[bp (cm)]]</f>
        <v>2000</v>
      </c>
      <c r="AB29" s="12">
        <f ca="1">IF(ESF[[#This Row],[Padm∙ε (kN)]]&gt;=ESF[[#This Row],[Padm (kN)]],ROUNDUP(1.05*ESF[[#This Row],[Nsd (kN)]]/ESF[[#This Row],[Padm (kN)]],0),ROUNDUP(1.05*ESF[[#This Row],[Nsd (kN)]]/ESF[[#This Row],[Padm (kN)]],0)+1)</f>
        <v>11</v>
      </c>
      <c r="AC29" s="4" t="str">
        <f ca="1">IFERROR(IF(ESF[[#This Row],[nE]]=1,ESF[[#This Row],[Padm (kN)]],ESF[[#This Row],[Padm (kN)]]*ESF[[#This Row],[nE]]*INDEX(grupoEstacas[],ESF[[#This Row],[nE]],MATCH("ε",grupoEstacas[#Headers],0))),"N.S.")</f>
        <v>N.S.</v>
      </c>
      <c r="AD29" s="4">
        <f ca="1">1.05*ESF[[#This Row],[Nsd (kN)]]/(ESF[[#This Row],[nE]]*PI()*ESF[[#This Row],[Ø (cm)]]^2/4)*10</f>
        <v>3.4030220559285258</v>
      </c>
      <c r="AE29" s="4">
        <f ca="1">IF(ESF[[#This Row],[σ (MPa)]]&lt;INDEX(tipoEstaca[],MATCH($D$2,tipoEstaca[TIPO DE ESTACA],0),MATCH("σmáx (MPa)",tipoEstaca[#Headers],0)),0.4%*PI()*ESF[[#This Row],[Ø (cm)]]^2/4,"N.S.")</f>
        <v>1.9634954084936209</v>
      </c>
      <c r="AF29" s="1">
        <f>INDEX(tipoEstaca[],MATCH($D$2,tipoEstaca[TIPO DE ESTACA],0),MATCH(ESF[[#Headers],[Comprimento (m)]],tipoEstaca[#Headers],0))</f>
        <v>2</v>
      </c>
      <c r="AG29" s="5">
        <f ca="1">ESF[[#This Row],[As,mín (cm²)]]/100^2*ESF[[#This Row],[Comprimento (m)]]*7850</f>
        <v>3.0826877913349846</v>
      </c>
      <c r="AH29" s="4">
        <f ca="1">ESF[[#This Row],[nE]]*ESF[[#This Row],[Prof. (m)]]*ESF[[#This Row],[Ap (m²)]]</f>
        <v>5.3996123733574573</v>
      </c>
      <c r="AI29" s="1">
        <f ca="1">IF(ESF[[#This Row],[nE]]=1,0,MAX(3*ESF[[#This Row],[Ø (cm)]],60))</f>
        <v>75</v>
      </c>
      <c r="AJ29" s="1">
        <f ca="1">IF(ESF[[#This Row],[nE]]=1,ESF[[#This Row],[Ø (cm)]]+2*10,MAX(1.5*ESF[[#This Row],[Ø (cm)]],ESF[[#This Row],[Ø (cm)]]+15))</f>
        <v>40</v>
      </c>
      <c r="AK29" s="1" t="str">
        <f ca="1">alturaUtil(ESF[[#This Row],[nE]],ESF[[#This Row],[Ø (cm)]],ESF[[#This Row],[e (cm)]],ESF[[#This Row],[ap,eq (cm)]])</f>
        <v>N.S.</v>
      </c>
      <c r="AL29" s="1" t="str">
        <f ca="1">IFERROR(ESF[[#This Row],[d (cm)]]+arredondarParaCimaMultiplo5cm(MAX(5,SQRT(PI())/2*ESF[[#This Row],[Ø (cm)]]/5)),"N.S.")</f>
        <v>N.S.</v>
      </c>
      <c r="AM29" s="5" t="str">
        <f ca="1">alpha(ESF[[#This Row],[nE]],ESF[[#This Row],[d (cm)]],ESF[[#This Row],[e (cm)]],ESF[[#This Row],[ap,eq (cm)]])</f>
        <v>N.S.</v>
      </c>
      <c r="AN29" s="35" t="str">
        <f ca="1">IFERROR(ESF[[#This Row],[Nsd (kN)]]/(ESF[[#This Row],[Ap (cm²)]]*SIN(ESF[[#This Row],[α]])^2),"N.S.")</f>
        <v>N.S.</v>
      </c>
      <c r="AO29" s="35" t="str">
        <f ca="1">IFERROR(ESF[[#This Row],[Nsd (kN)]]/(ESF[[#This Row],[nE]]*PI()*ESF[[#This Row],[Ø (cm)]]^2/4*SIN(ESF[[#This Row],[α]])^2),"N.S.")</f>
        <v>N.S.</v>
      </c>
      <c r="AP29" s="4" t="str">
        <f ca="1">IFERROR(INDEX(grupoEstacas[],ESF[[#This Row],[nE]],MATCH("coef. Blévot",grupoEstacas[#Headers],0)),"N.S.")</f>
        <v>N.S.</v>
      </c>
      <c r="AQ29" s="35" t="str">
        <f ca="1">IFERROR(ESF[[#This Row],[coef. Blévot]]*0.9*INDEX(tipoEstaca[],MATCH($D$2,tipoEstaca[TIPO DE ESTACA],0),MATCH("fcd (kN/cm²)",tipoEstaca[#Headers],0)),"N.S.")</f>
        <v>N.S.</v>
      </c>
      <c r="AR29" s="1" t="str">
        <f ca="1">IF(AND(ESF[[#This Row],[cd,b,pil (kN/cm²)]]&lt;=ESF[[#This Row],[cd,b,lim (kN/cm²)]],ESF[[#This Row],[cd,b,est (kN/cm²)]]&lt;=ESF[[#This Row],[cd,b,lim (kN/cm²)]]),"OK","ERRO")</f>
        <v>OK</v>
      </c>
      <c r="AS29" s="4" t="str">
        <f ca="1">As_lado(ESF[[#This Row],[nE]],ESF[[#This Row],[Nsd (kN)]],ESF[[#This Row],[d (cm)]],ESF[[#This Row],[e (cm)]],ESF[[#This Row],[ap,eq (cm)]])</f>
        <v>N.S.</v>
      </c>
      <c r="AT29" s="4" t="str">
        <f ca="1">IF(ESF[[#This Row],[nE]]=1,ESF[[#This Row],[As,lado (cm²)]],IF(ESF[[#This Row],[nE]]=2,0.075*2*ESF[a (cm)],"N.A."))</f>
        <v>N.A.</v>
      </c>
      <c r="AU29" s="4" t="str">
        <f ca="1">IFERROR(IF(ESF[[#This Row],[nE]]=1,"N.A.",0.2*ESF[[#This Row],[As,lado (cm²)]]),"N.S.")</f>
        <v>N.S.</v>
      </c>
      <c r="AV29" s="4" t="str">
        <f ca="1">As_malha(ESF[[#This Row],[nE]],ESF[[#This Row],[As,lado (cm²)]],ESF[[#This Row],[Nsd (kN)]])</f>
        <v>N.S.</v>
      </c>
      <c r="AW29" s="4" t="str">
        <f ca="1">As_susp_tot(ESF[[#This Row],[nE]],ESF[[#This Row],[Nsd (kN)]])</f>
        <v>N.S.</v>
      </c>
      <c r="AX29" s="4" t="str">
        <f ca="1">Asp_face(ESF[[#This Row],[nE]],ESF[[#This Row],[As,lado (cm²)]])</f>
        <v>N.S.</v>
      </c>
      <c r="AY29" s="5" t="str">
        <f ca="1">acoBloco(ESF[[#This Row],[nE]],ESF[[#This Row],[e (cm)]],ESF[[#This Row],[a (cm)]],ESF[[#This Row],[h (cm)]],ESF[[#This Row],[As,lado (cm²)]],ESF[[#This Row],[Asp e Asw (cm²/m)]],ESF[[#This Row],[As,sup (cm²)]],ESF[[#This Row],[As,malha (cm²)]],ESF[[#This Row],[As,susp,tot (cm²)]],ESF[[#This Row],[Asp,face (cm²)]])</f>
        <v>N.S.</v>
      </c>
      <c r="AZ29" s="4" t="str">
        <f ca="1">concretoBloco(ESF[[#This Row],[nE]],ESF[[#This Row],[e (cm)]],ESF[[#This Row],[a (cm)]],ESF[[#This Row],[h (cm)]])</f>
        <v>N.S.</v>
      </c>
      <c r="BA29" s="5">
        <f ca="1">SUM(ESF[[#This Row],[Aço Est (kg)]],ESF[[#This Row],[Aço Bloco (kg)]])</f>
        <v>3.0826877913349846</v>
      </c>
      <c r="BB29" s="4">
        <f>INDEX(composicoes[],MATCH(95580,composicoes[CÓDIGO],0),MATCH("CUSTO TOTAL",composicoes[#Headers],0))</f>
        <v>10.46</v>
      </c>
      <c r="BC29" s="4">
        <f ca="1">SUM(ESF[[#This Row],[Conc Est (m³)]],ESF[[#This Row],[Conc Bloco (m³)]])</f>
        <v>5.3996123733574573</v>
      </c>
      <c r="BD29" s="4">
        <f>INDEX(composicoes[],MATCH(94966,composicoes[CÓDIGO],0),MATCH("CUSTO TOTAL",composicoes[#Headers],0))</f>
        <v>439.52</v>
      </c>
      <c r="BE29" s="38">
        <f ca="1">ESF[[#This Row],[Aço (kg)]]*ESF[[#This Row],[Aço (R$/kg)]]+ESF[[#This Row],[Conc (m³)]]*ESF[[#This Row],[Conc (R$/m³)]]</f>
        <v>2405.4825446354334</v>
      </c>
      <c r="BF29" s="4" t="str">
        <f ca="1">IF(COUNTIF(ESF[#This Row],"N.S.")&gt;0,"lim.","OK")</f>
        <v>lim.</v>
      </c>
      <c r="BG29" s="4" t="str">
        <f>IF(ESF[[#This Row],[Prof. (m)]]&lt;3,"lim.","OK")</f>
        <v>OK</v>
      </c>
      <c r="BH29" s="4" t="str">
        <f>IF(ESF[[#This Row],[Prof. (m)]]&gt;=8*ESF[[#This Row],[Ø (cm)]]/100,"OK","lim.")</f>
        <v>OK</v>
      </c>
      <c r="BI29" s="4" t="str">
        <f>IF(AND(SPT!$F$3&lt;&gt;"",ESF[[#This Row],[Prof. (m)]]&gt;=SPT!$F$3),"lim.","OK")</f>
        <v>OK</v>
      </c>
      <c r="BJ29" s="4" t="str">
        <f>IF(COUNTIFS(ESF[Solo],"Areia",ESF[Prof. (m)],"&lt;="&amp;ESF[[#This Row],[Prof. (m)]])&gt;=1,"lim.","OK")</f>
        <v>OK</v>
      </c>
      <c r="BK29" s="4" t="str">
        <f ca="1">IF(ESF[[#This Row],[Verif. Biela]]="OK","OK","lim.")</f>
        <v>OK</v>
      </c>
      <c r="BL29" s="4" t="str">
        <f ca="1">IF(COUNTA(ESF[[#This Row],[Nº Est.]:[Biela comp.]])=COUNTIF(ESF[[#This Row],[Nº Est.]:[Biela comp.]],"OK"),"OK","lim.")</f>
        <v>lim.</v>
      </c>
      <c r="BM29" s="4" t="str">
        <f ca="1">IF(ESF[[#This Row],[Controle]]="OK",ESF[[#This Row],[nE]]&amp;" Ø"&amp;ESF[[#This Row],[Ø (cm)]]&amp;"cm Prof. "&amp;ESF[[#This Row],[Prof. (m)]]&amp;" m","")</f>
        <v/>
      </c>
      <c r="BN29" s="4" t="str">
        <f ca="1">IF(ESF[[#This Row],[idDimensionamento]]="","",ESF[[#This Row],[idPilar]]&amp;ESF[[#This Row],[idDimensionamento]])</f>
        <v/>
      </c>
    </row>
    <row r="30" spans="2:66" x14ac:dyDescent="0.25">
      <c r="B30" s="12">
        <f>ROUNDUP((ROW(ESF[[#This Row],[idDiâmetro]])-ROW(ESF[[#Headers],[idDiâmetro]]))/(COUNT(SPT[Prof. (m)])*COUNT(PILARES[Pilar])),0)</f>
        <v>1</v>
      </c>
      <c r="C30" s="12">
        <f>IF(ESF[[#This Row],[idDiâmetro]]&lt;&gt;B29,1,IF(ESF[[#This Row],[Prof. (m)]]=0,C29+1,C29))</f>
        <v>2</v>
      </c>
      <c r="D30" s="1">
        <f>IFERROR(IF(D29=MAX(SPT[Prof. (m)]),0,D29+1),0)</f>
        <v>11</v>
      </c>
      <c r="E30" s="1">
        <f>INDEX(SPT[],MATCH(ESF[[#This Row],[Prof. (m)]],SPT[Prof. (m)],0),2)</f>
        <v>41</v>
      </c>
      <c r="F30" s="1" t="str">
        <f>INDEX(SPT[],MATCH(ESF[[#This Row],[Prof. (m)]],SPT[Prof. (m)],0),3)</f>
        <v>Areia siltosa</v>
      </c>
      <c r="G30" s="1">
        <f>INDEX(estacas[],ESF[[#This Row],[idDiâmetro]],MATCH($B$2,estacas[#Headers],0))</f>
        <v>25</v>
      </c>
      <c r="H30" s="1">
        <f>INDEX(estacas[],MATCH(ESF[[#This Row],[Ø (cm)]],estacas[Ø ESF (cm)],0),MATCH(ESF[[#Headers],[Pe ESF (kN)]],estacas[#Headers],0))</f>
        <v>250</v>
      </c>
      <c r="I30" s="4">
        <f>INDEX(K_alpha_C[],MATCH(ESF[[#This Row],[Solo]],K_alpha_C[Solo],0),2)</f>
        <v>0.8</v>
      </c>
      <c r="J30" s="5">
        <f>INDEX(K_alpha_C[],MATCH(ESF[[#This Row],[Solo]],K_alpha_C[Solo],0),3)</f>
        <v>2</v>
      </c>
      <c r="K30" s="4">
        <f>INDEX(F1_F2[],MATCH($D$2,F1_F2[Tipo de estaca],0),2)</f>
        <v>3</v>
      </c>
      <c r="L30" s="4">
        <f>INDEX(F1_F2[],MATCH($D$2,F1_F2[Tipo de estaca],0),3)</f>
        <v>6</v>
      </c>
      <c r="M30" s="4">
        <f>PI()*(ESF[[#This Row],[Ø (cm)]]/100)^2/4</f>
        <v>4.9087385212340517E-2</v>
      </c>
      <c r="N30" s="4">
        <f>PI()*ESF[[#This Row],[Ø (cm)]]/100</f>
        <v>0.78539816339744828</v>
      </c>
      <c r="O30" s="4">
        <f>IF(ESF[[#This Row],[Prof. (m)]]=0,0,ESF[[#This Row],[α (%)]]/100*ESF[[#This Row],[K (MPa)]]*1000*ESF[[#This Row],[NSPT]])</f>
        <v>656</v>
      </c>
      <c r="P30" s="4">
        <f>IF(ESF[[#This Row],[Prof. (m)]]=0,0,(ESF[[#This Row],[K (MPa)]]*1000*ESF[[#This Row],[NSPT]]/ESF[[#This Row],[F1]]*ESF[[#This Row],[Ap (m²)]]+ESF[[#This Row],[U (m)]]/ESF[[#This Row],[F2]]*SUMIFS(ESF[(α∙K∙NL∙ΔL)],ESF[Prof. (m)],"&lt;="&amp;ESF[[#This Row],[Prof. (m)]],ESF[idDiâmetro],ESF[[#This Row],[idDiâmetro]],ESF[idPilar],ESF[[#This Row],[idPilar]]))/'DADOS CAP. CARGA'!$D$2)</f>
        <v>437.46023202768367</v>
      </c>
      <c r="Q30" s="12">
        <f>INDEX(C_alpha_beta[],MATCH(ESF[[#This Row],[Solo]],C_alpha_beta[Solo],0),MATCH(ESF[[#Headers],[C (kPa)]],C_alpha_beta[#Headers],0))</f>
        <v>400</v>
      </c>
      <c r="R30" s="4">
        <f>INDEX(C_alpha_beta[],MATCH(ESF[[#This Row],[Solo]],C_alpha_beta[Solo],0),MATCH(ESF[[#Headers],[α ESF]],C_alpha_beta[#Headers],0))</f>
        <v>0.5</v>
      </c>
      <c r="S30" s="4">
        <f>INDEX(C_alpha_beta[],MATCH(ESF[[#This Row],[Solo]],C_alpha_beta[Solo],0),MATCH(ESF[[#Headers],[β ESF]],C_alpha_beta[#Headers],0))</f>
        <v>0.5</v>
      </c>
      <c r="T30" s="4">
        <f>IF(ESF[[#This Row],[Prof. (m)]]=0,0,10*(ESF[[#This Row],[NSPT]]/3+1))</f>
        <v>146.66666666666666</v>
      </c>
      <c r="U30" s="4">
        <f>(ESF[[#This Row],[α ESF]]*ESF[[#This Row],[C (kPa)]]*ESF[[#This Row],[NSPT]]*ESF[[#This Row],[Ap (m²)]])/'DADOS CAP. CARGA'!$Q$2+(ESF[[#This Row],[β ESF]]*SUMIFS(ESF[10∙(NL/3+1)],ESF[Prof. (m)],"&lt;="&amp;ESF[[#This Row],[Prof. (m)]],ESF[idDiâmetro],ESF[[#This Row],[idDiâmetro]],ESF[idPilar],ESF[[#This Row],[idPilar]])*ESF[[#This Row],[U (m)]])/'DADOS CAP. CARGA'!$S$2</f>
        <v>234.14682746286422</v>
      </c>
      <c r="V30" s="4">
        <f>IF(SPT!$M$5=1,MIN(ESF[[#This Row],[Pe ESF (kN)]],ESF[[#This Row],[R_AV (kN)]]),IF(SPT!$M$5=2,MIN(ESF[[#This Row],[Pe ESF (kN)]],ESF[[#This Row],[R_DC (kN)]]),MIN(ESF[[#This Row],[Pe ESF (kN)]],ESF[[#This Row],[R_AV (kN)]],ESF[[#This Row],[R_DC (kN)]])))</f>
        <v>234.14682746286422</v>
      </c>
      <c r="W30" s="4">
        <f>INDEX(PILARES[],ESF[[#This Row],[idPilar]],MATCH("Carga (kN)",PILARES[#Headers],0))*1.4</f>
        <v>1750</v>
      </c>
      <c r="X30" s="12">
        <f>INDEX(PILARES[],ESF[[#This Row],[idPilar]],MATCH(ESF[[#Headers],[ap (cm)]],PILARES[#Headers],0))</f>
        <v>50</v>
      </c>
      <c r="Y30" s="12">
        <f>INDEX(PILARES[],ESF[[#This Row],[idPilar]],MATCH(ESF[[#Headers],[bp (cm)]],PILARES[#Headers],0))</f>
        <v>40</v>
      </c>
      <c r="Z30" s="4">
        <f>SQRT(ESF[[#This Row],[ap (cm)]]*ESF[[#This Row],[bp (cm)]])</f>
        <v>44.721359549995796</v>
      </c>
      <c r="AA30" s="12">
        <f>ESF[[#This Row],[ap (cm)]]*ESF[[#This Row],[bp (cm)]]</f>
        <v>2000</v>
      </c>
      <c r="AB30" s="12">
        <f ca="1">IF(ESF[[#This Row],[Padm∙ε (kN)]]&gt;=ESF[[#This Row],[Padm (kN)]],ROUNDUP(1.05*ESF[[#This Row],[Nsd (kN)]]/ESF[[#This Row],[Padm (kN)]],0),ROUNDUP(1.05*ESF[[#This Row],[Nsd (kN)]]/ESF[[#This Row],[Padm (kN)]],0)+1)</f>
        <v>8</v>
      </c>
      <c r="AC30" s="4" t="str">
        <f ca="1">IFERROR(IF(ESF[[#This Row],[nE]]=1,ESF[[#This Row],[Padm (kN)]],ESF[[#This Row],[Padm (kN)]]*ESF[[#This Row],[nE]]*INDEX(grupoEstacas[],ESF[[#This Row],[nE]],MATCH("ε",grupoEstacas[#Headers],0))),"N.S.")</f>
        <v>N.S.</v>
      </c>
      <c r="AD30" s="4">
        <f ca="1">1.05*ESF[[#This Row],[Nsd (kN)]]/(ESF[[#This Row],[nE]]*PI()*ESF[[#This Row],[Ø (cm)]]^2/4)*10</f>
        <v>4.6791553269017232</v>
      </c>
      <c r="AE30" s="4">
        <f ca="1">IF(ESF[[#This Row],[σ (MPa)]]&lt;INDEX(tipoEstaca[],MATCH($D$2,tipoEstaca[TIPO DE ESTACA],0),MATCH("σmáx (MPa)",tipoEstaca[#Headers],0)),0.4%*PI()*ESF[[#This Row],[Ø (cm)]]^2/4,"N.S.")</f>
        <v>1.9634954084936209</v>
      </c>
      <c r="AF30" s="1">
        <f>INDEX(tipoEstaca[],MATCH($D$2,tipoEstaca[TIPO DE ESTACA],0),MATCH(ESF[[#Headers],[Comprimento (m)]],tipoEstaca[#Headers],0))</f>
        <v>2</v>
      </c>
      <c r="AG30" s="5">
        <f ca="1">ESF[[#This Row],[As,mín (cm²)]]/100^2*ESF[[#This Row],[Comprimento (m)]]*7850</f>
        <v>3.0826877913349846</v>
      </c>
      <c r="AH30" s="4">
        <f ca="1">ESF[[#This Row],[nE]]*ESF[[#This Row],[Prof. (m)]]*ESF[[#This Row],[Ap (m²)]]</f>
        <v>4.3196898986859651</v>
      </c>
      <c r="AI30" s="1">
        <f ca="1">IF(ESF[[#This Row],[nE]]=1,0,MAX(3*ESF[[#This Row],[Ø (cm)]],60))</f>
        <v>75</v>
      </c>
      <c r="AJ30" s="1">
        <f ca="1">IF(ESF[[#This Row],[nE]]=1,ESF[[#This Row],[Ø (cm)]]+2*10,MAX(1.5*ESF[[#This Row],[Ø (cm)]],ESF[[#This Row],[Ø (cm)]]+15))</f>
        <v>40</v>
      </c>
      <c r="AK30" s="1" t="str">
        <f ca="1">alturaUtil(ESF[[#This Row],[nE]],ESF[[#This Row],[Ø (cm)]],ESF[[#This Row],[e (cm)]],ESF[[#This Row],[ap,eq (cm)]])</f>
        <v>N.S.</v>
      </c>
      <c r="AL30" s="1" t="str">
        <f ca="1">IFERROR(ESF[[#This Row],[d (cm)]]+arredondarParaCimaMultiplo5cm(MAX(5,SQRT(PI())/2*ESF[[#This Row],[Ø (cm)]]/5)),"N.S.")</f>
        <v>N.S.</v>
      </c>
      <c r="AM30" s="5" t="str">
        <f ca="1">alpha(ESF[[#This Row],[nE]],ESF[[#This Row],[d (cm)]],ESF[[#This Row],[e (cm)]],ESF[[#This Row],[ap,eq (cm)]])</f>
        <v>N.S.</v>
      </c>
      <c r="AN30" s="35" t="str">
        <f ca="1">IFERROR(ESF[[#This Row],[Nsd (kN)]]/(ESF[[#This Row],[Ap (cm²)]]*SIN(ESF[[#This Row],[α]])^2),"N.S.")</f>
        <v>N.S.</v>
      </c>
      <c r="AO30" s="35" t="str">
        <f ca="1">IFERROR(ESF[[#This Row],[Nsd (kN)]]/(ESF[[#This Row],[nE]]*PI()*ESF[[#This Row],[Ø (cm)]]^2/4*SIN(ESF[[#This Row],[α]])^2),"N.S.")</f>
        <v>N.S.</v>
      </c>
      <c r="AP30" s="4" t="str">
        <f ca="1">IFERROR(INDEX(grupoEstacas[],ESF[[#This Row],[nE]],MATCH("coef. Blévot",grupoEstacas[#Headers],0)),"N.S.")</f>
        <v>N.S.</v>
      </c>
      <c r="AQ30" s="35" t="str">
        <f ca="1">IFERROR(ESF[[#This Row],[coef. Blévot]]*0.9*INDEX(tipoEstaca[],MATCH($D$2,tipoEstaca[TIPO DE ESTACA],0),MATCH("fcd (kN/cm²)",tipoEstaca[#Headers],0)),"N.S.")</f>
        <v>N.S.</v>
      </c>
      <c r="AR30" s="1" t="str">
        <f ca="1">IF(AND(ESF[[#This Row],[cd,b,pil (kN/cm²)]]&lt;=ESF[[#This Row],[cd,b,lim (kN/cm²)]],ESF[[#This Row],[cd,b,est (kN/cm²)]]&lt;=ESF[[#This Row],[cd,b,lim (kN/cm²)]]),"OK","ERRO")</f>
        <v>OK</v>
      </c>
      <c r="AS30" s="4" t="str">
        <f ca="1">As_lado(ESF[[#This Row],[nE]],ESF[[#This Row],[Nsd (kN)]],ESF[[#This Row],[d (cm)]],ESF[[#This Row],[e (cm)]],ESF[[#This Row],[ap,eq (cm)]])</f>
        <v>N.S.</v>
      </c>
      <c r="AT30" s="4" t="str">
        <f ca="1">IF(ESF[[#This Row],[nE]]=1,ESF[[#This Row],[As,lado (cm²)]],IF(ESF[[#This Row],[nE]]=2,0.075*2*ESF[a (cm)],"N.A."))</f>
        <v>N.A.</v>
      </c>
      <c r="AU30" s="4" t="str">
        <f ca="1">IFERROR(IF(ESF[[#This Row],[nE]]=1,"N.A.",0.2*ESF[[#This Row],[As,lado (cm²)]]),"N.S.")</f>
        <v>N.S.</v>
      </c>
      <c r="AV30" s="4" t="str">
        <f ca="1">As_malha(ESF[[#This Row],[nE]],ESF[[#This Row],[As,lado (cm²)]],ESF[[#This Row],[Nsd (kN)]])</f>
        <v>N.S.</v>
      </c>
      <c r="AW30" s="4" t="str">
        <f ca="1">As_susp_tot(ESF[[#This Row],[nE]],ESF[[#This Row],[Nsd (kN)]])</f>
        <v>N.S.</v>
      </c>
      <c r="AX30" s="4" t="str">
        <f ca="1">Asp_face(ESF[[#This Row],[nE]],ESF[[#This Row],[As,lado (cm²)]])</f>
        <v>N.S.</v>
      </c>
      <c r="AY30" s="5" t="str">
        <f ca="1">acoBloco(ESF[[#This Row],[nE]],ESF[[#This Row],[e (cm)]],ESF[[#This Row],[a (cm)]],ESF[[#This Row],[h (cm)]],ESF[[#This Row],[As,lado (cm²)]],ESF[[#This Row],[Asp e Asw (cm²/m)]],ESF[[#This Row],[As,sup (cm²)]],ESF[[#This Row],[As,malha (cm²)]],ESF[[#This Row],[As,susp,tot (cm²)]],ESF[[#This Row],[Asp,face (cm²)]])</f>
        <v>N.S.</v>
      </c>
      <c r="AZ30" s="4" t="str">
        <f ca="1">concretoBloco(ESF[[#This Row],[nE]],ESF[[#This Row],[e (cm)]],ESF[[#This Row],[a (cm)]],ESF[[#This Row],[h (cm)]])</f>
        <v>N.S.</v>
      </c>
      <c r="BA30" s="5">
        <f ca="1">SUM(ESF[[#This Row],[Aço Est (kg)]],ESF[[#This Row],[Aço Bloco (kg)]])</f>
        <v>3.0826877913349846</v>
      </c>
      <c r="BB30" s="4">
        <f>INDEX(composicoes[],MATCH(95580,composicoes[CÓDIGO],0),MATCH("CUSTO TOTAL",composicoes[#Headers],0))</f>
        <v>10.46</v>
      </c>
      <c r="BC30" s="4">
        <f ca="1">SUM(ESF[[#This Row],[Conc Est (m³)]],ESF[[#This Row],[Conc Bloco (m³)]])</f>
        <v>4.3196898986859651</v>
      </c>
      <c r="BD30" s="4">
        <f>INDEX(composicoes[],MATCH(94966,composicoes[CÓDIGO],0),MATCH("CUSTO TOTAL",composicoes[#Headers],0))</f>
        <v>439.52</v>
      </c>
      <c r="BE30" s="38">
        <f ca="1">ESF[[#This Row],[Aço (kg)]]*ESF[[#This Row],[Aço (R$/kg)]]+ESF[[#This Row],[Conc (m³)]]*ESF[[#This Row],[Conc (R$/m³)]]</f>
        <v>1930.8350185678191</v>
      </c>
      <c r="BF30" s="4" t="str">
        <f ca="1">IF(COUNTIF(ESF[#This Row],"N.S.")&gt;0,"lim.","OK")</f>
        <v>lim.</v>
      </c>
      <c r="BG30" s="4" t="str">
        <f>IF(ESF[[#This Row],[Prof. (m)]]&lt;3,"lim.","OK")</f>
        <v>OK</v>
      </c>
      <c r="BH30" s="4" t="str">
        <f>IF(ESF[[#This Row],[Prof. (m)]]&gt;=8*ESF[[#This Row],[Ø (cm)]]/100,"OK","lim.")</f>
        <v>OK</v>
      </c>
      <c r="BI30" s="4" t="str">
        <f>IF(AND(SPT!$F$3&lt;&gt;"",ESF[[#This Row],[Prof. (m)]]&gt;=SPT!$F$3),"lim.","OK")</f>
        <v>OK</v>
      </c>
      <c r="BJ30" s="4" t="str">
        <f>IF(COUNTIFS(ESF[Solo],"Areia",ESF[Prof. (m)],"&lt;="&amp;ESF[[#This Row],[Prof. (m)]])&gt;=1,"lim.","OK")</f>
        <v>OK</v>
      </c>
      <c r="BK30" s="4" t="str">
        <f ca="1">IF(ESF[[#This Row],[Verif. Biela]]="OK","OK","lim.")</f>
        <v>OK</v>
      </c>
      <c r="BL30" s="4" t="str">
        <f ca="1">IF(COUNTA(ESF[[#This Row],[Nº Est.]:[Biela comp.]])=COUNTIF(ESF[[#This Row],[Nº Est.]:[Biela comp.]],"OK"),"OK","lim.")</f>
        <v>lim.</v>
      </c>
      <c r="BM30" s="4" t="str">
        <f ca="1">IF(ESF[[#This Row],[Controle]]="OK",ESF[[#This Row],[nE]]&amp;" Ø"&amp;ESF[[#This Row],[Ø (cm)]]&amp;"cm Prof. "&amp;ESF[[#This Row],[Prof. (m)]]&amp;" m","")</f>
        <v/>
      </c>
      <c r="BN30" s="4" t="str">
        <f ca="1">IF(ESF[[#This Row],[idDimensionamento]]="","",ESF[[#This Row],[idPilar]]&amp;ESF[[#This Row],[idDimensionamento]])</f>
        <v/>
      </c>
    </row>
    <row r="31" spans="2:66" x14ac:dyDescent="0.25">
      <c r="B31" s="12">
        <f>ROUNDUP((ROW(ESF[[#This Row],[idDiâmetro]])-ROW(ESF[[#Headers],[idDiâmetro]]))/(COUNT(SPT[Prof. (m)])*COUNT(PILARES[Pilar])),0)</f>
        <v>1</v>
      </c>
      <c r="C31" s="12">
        <f>IF(ESF[[#This Row],[idDiâmetro]]&lt;&gt;B30,1,IF(ESF[[#This Row],[Prof. (m)]]=0,C30+1,C30))</f>
        <v>2</v>
      </c>
      <c r="D31" s="1">
        <f>IFERROR(IF(D30=MAX(SPT[Prof. (m)]),0,D30+1),0)</f>
        <v>12</v>
      </c>
      <c r="E31" s="1">
        <f>INDEX(SPT[],MATCH(ESF[[#This Row],[Prof. (m)]],SPT[Prof. (m)],0),2)</f>
        <v>52</v>
      </c>
      <c r="F31" s="1" t="str">
        <f>INDEX(SPT[],MATCH(ESF[[#This Row],[Prof. (m)]],SPT[Prof. (m)],0),3)</f>
        <v>Areia siltosa</v>
      </c>
      <c r="G31" s="1">
        <f>INDEX(estacas[],ESF[[#This Row],[idDiâmetro]],MATCH($B$2,estacas[#Headers],0))</f>
        <v>25</v>
      </c>
      <c r="H31" s="1">
        <f>INDEX(estacas[],MATCH(ESF[[#This Row],[Ø (cm)]],estacas[Ø ESF (cm)],0),MATCH(ESF[[#Headers],[Pe ESF (kN)]],estacas[#Headers],0))</f>
        <v>250</v>
      </c>
      <c r="I31" s="4">
        <f>INDEX(K_alpha_C[],MATCH(ESF[[#This Row],[Solo]],K_alpha_C[Solo],0),2)</f>
        <v>0.8</v>
      </c>
      <c r="J31" s="5">
        <f>INDEX(K_alpha_C[],MATCH(ESF[[#This Row],[Solo]],K_alpha_C[Solo],0),3)</f>
        <v>2</v>
      </c>
      <c r="K31" s="4">
        <f>INDEX(F1_F2[],MATCH($D$2,F1_F2[Tipo de estaca],0),2)</f>
        <v>3</v>
      </c>
      <c r="L31" s="4">
        <f>INDEX(F1_F2[],MATCH($D$2,F1_F2[Tipo de estaca],0),3)</f>
        <v>6</v>
      </c>
      <c r="M31" s="4">
        <f>PI()*(ESF[[#This Row],[Ø (cm)]]/100)^2/4</f>
        <v>4.9087385212340517E-2</v>
      </c>
      <c r="N31" s="4">
        <f>PI()*ESF[[#This Row],[Ø (cm)]]/100</f>
        <v>0.78539816339744828</v>
      </c>
      <c r="O31" s="4">
        <f>IF(ESF[[#This Row],[Prof. (m)]]=0,0,ESF[[#This Row],[α (%)]]/100*ESF[[#This Row],[K (MPa)]]*1000*ESF[[#This Row],[NSPT]])</f>
        <v>832</v>
      </c>
      <c r="P31" s="4">
        <f>IF(ESF[[#This Row],[Prof. (m)]]=0,0,(ESF[[#This Row],[K (MPa)]]*1000*ESF[[#This Row],[NSPT]]/ESF[[#This Row],[F1]]*ESF[[#This Row],[Ap (m²)]]+ESF[[#This Row],[U (m)]]/ESF[[#This Row],[F2]]*SUMIFS(ESF[(α∙K∙NL∙ΔL)],ESF[Prof. (m)],"&lt;="&amp;ESF[[#This Row],[Prof. (m)]],ESF[idDiâmetro],ESF[[#This Row],[idDiâmetro]],ESF[idPilar],ESF[[#This Row],[idPilar]]))/'DADOS CAP. CARGA'!$D$2)</f>
        <v>563.90933633467284</v>
      </c>
      <c r="Q31" s="12">
        <f>INDEX(C_alpha_beta[],MATCH(ESF[[#This Row],[Solo]],C_alpha_beta[Solo],0),MATCH(ESF[[#Headers],[C (kPa)]],C_alpha_beta[#Headers],0))</f>
        <v>400</v>
      </c>
      <c r="R31" s="4">
        <f>INDEX(C_alpha_beta[],MATCH(ESF[[#This Row],[Solo]],C_alpha_beta[Solo],0),MATCH(ESF[[#Headers],[α ESF]],C_alpha_beta[#Headers],0))</f>
        <v>0.5</v>
      </c>
      <c r="S31" s="4">
        <f>INDEX(C_alpha_beta[],MATCH(ESF[[#This Row],[Solo]],C_alpha_beta[Solo],0),MATCH(ESF[[#Headers],[β ESF]],C_alpha_beta[#Headers],0))</f>
        <v>0.5</v>
      </c>
      <c r="T31" s="4">
        <f>IF(ESF[[#This Row],[Prof. (m)]]=0,0,10*(ESF[[#This Row],[NSPT]]/3+1))</f>
        <v>183.33333333333331</v>
      </c>
      <c r="U31" s="4">
        <f>(ESF[[#This Row],[α ESF]]*ESF[[#This Row],[C (kPa)]]*ESF[[#This Row],[NSPT]]*ESF[[#This Row],[Ap (m²)]])/'DADOS CAP. CARGA'!$Q$2+(ESF[[#This Row],[β ESF]]*SUMIFS(ESF[10∙(NL/3+1)],ESF[Prof. (m)],"&lt;="&amp;ESF[[#This Row],[Prof. (m)]],ESF[idDiâmetro],ESF[[#This Row],[idDiâmetro]],ESF[idPilar],ESF[[#This Row],[idPilar]])*ESF[[#This Row],[U (m)]])/'DADOS CAP. CARGA'!$S$2</f>
        <v>297.14230515203457</v>
      </c>
      <c r="V31" s="4">
        <f>IF(SPT!$M$5=1,MIN(ESF[[#This Row],[Pe ESF (kN)]],ESF[[#This Row],[R_AV (kN)]]),IF(SPT!$M$5=2,MIN(ESF[[#This Row],[Pe ESF (kN)]],ESF[[#This Row],[R_DC (kN)]]),MIN(ESF[[#This Row],[Pe ESF (kN)]],ESF[[#This Row],[R_AV (kN)]],ESF[[#This Row],[R_DC (kN)]])))</f>
        <v>250</v>
      </c>
      <c r="W31" s="4">
        <f>INDEX(PILARES[],ESF[[#This Row],[idPilar]],MATCH("Carga (kN)",PILARES[#Headers],0))*1.4</f>
        <v>1750</v>
      </c>
      <c r="X31" s="12">
        <f>INDEX(PILARES[],ESF[[#This Row],[idPilar]],MATCH(ESF[[#Headers],[ap (cm)]],PILARES[#Headers],0))</f>
        <v>50</v>
      </c>
      <c r="Y31" s="12">
        <f>INDEX(PILARES[],ESF[[#This Row],[idPilar]],MATCH(ESF[[#Headers],[bp (cm)]],PILARES[#Headers],0))</f>
        <v>40</v>
      </c>
      <c r="Z31" s="4">
        <f>SQRT(ESF[[#This Row],[ap (cm)]]*ESF[[#This Row],[bp (cm)]])</f>
        <v>44.721359549995796</v>
      </c>
      <c r="AA31" s="12">
        <f>ESF[[#This Row],[ap (cm)]]*ESF[[#This Row],[bp (cm)]]</f>
        <v>2000</v>
      </c>
      <c r="AB31" s="12">
        <f ca="1">IF(ESF[[#This Row],[Padm∙ε (kN)]]&gt;=ESF[[#This Row],[Padm (kN)]],ROUNDUP(1.05*ESF[[#This Row],[Nsd (kN)]]/ESF[[#This Row],[Padm (kN)]],0),ROUNDUP(1.05*ESF[[#This Row],[Nsd (kN)]]/ESF[[#This Row],[Padm (kN)]],0)+1)</f>
        <v>8</v>
      </c>
      <c r="AC31" s="4" t="str">
        <f ca="1">IFERROR(IF(ESF[[#This Row],[nE]]=1,ESF[[#This Row],[Padm (kN)]],ESF[[#This Row],[Padm (kN)]]*ESF[[#This Row],[nE]]*INDEX(grupoEstacas[],ESF[[#This Row],[nE]],MATCH("ε",grupoEstacas[#Headers],0))),"N.S.")</f>
        <v>N.S.</v>
      </c>
      <c r="AD31" s="4">
        <f ca="1">1.05*ESF[[#This Row],[Nsd (kN)]]/(ESF[[#This Row],[nE]]*PI()*ESF[[#This Row],[Ø (cm)]]^2/4)*10</f>
        <v>4.6791553269017232</v>
      </c>
      <c r="AE31" s="4">
        <f ca="1">IF(ESF[[#This Row],[σ (MPa)]]&lt;INDEX(tipoEstaca[],MATCH($D$2,tipoEstaca[TIPO DE ESTACA],0),MATCH("σmáx (MPa)",tipoEstaca[#Headers],0)),0.4%*PI()*ESF[[#This Row],[Ø (cm)]]^2/4,"N.S.")</f>
        <v>1.9634954084936209</v>
      </c>
      <c r="AF31" s="1">
        <f>INDEX(tipoEstaca[],MATCH($D$2,tipoEstaca[TIPO DE ESTACA],0),MATCH(ESF[[#Headers],[Comprimento (m)]],tipoEstaca[#Headers],0))</f>
        <v>2</v>
      </c>
      <c r="AG31" s="5">
        <f ca="1">ESF[[#This Row],[As,mín (cm²)]]/100^2*ESF[[#This Row],[Comprimento (m)]]*7850</f>
        <v>3.0826877913349846</v>
      </c>
      <c r="AH31" s="4">
        <f ca="1">ESF[[#This Row],[nE]]*ESF[[#This Row],[Prof. (m)]]*ESF[[#This Row],[Ap (m²)]]</f>
        <v>4.7123889803846897</v>
      </c>
      <c r="AI31" s="1">
        <f ca="1">IF(ESF[[#This Row],[nE]]=1,0,MAX(3*ESF[[#This Row],[Ø (cm)]],60))</f>
        <v>75</v>
      </c>
      <c r="AJ31" s="1">
        <f ca="1">IF(ESF[[#This Row],[nE]]=1,ESF[[#This Row],[Ø (cm)]]+2*10,MAX(1.5*ESF[[#This Row],[Ø (cm)]],ESF[[#This Row],[Ø (cm)]]+15))</f>
        <v>40</v>
      </c>
      <c r="AK31" s="1" t="str">
        <f ca="1">alturaUtil(ESF[[#This Row],[nE]],ESF[[#This Row],[Ø (cm)]],ESF[[#This Row],[e (cm)]],ESF[[#This Row],[ap,eq (cm)]])</f>
        <v>N.S.</v>
      </c>
      <c r="AL31" s="1" t="str">
        <f ca="1">IFERROR(ESF[[#This Row],[d (cm)]]+arredondarParaCimaMultiplo5cm(MAX(5,SQRT(PI())/2*ESF[[#This Row],[Ø (cm)]]/5)),"N.S.")</f>
        <v>N.S.</v>
      </c>
      <c r="AM31" s="5" t="str">
        <f ca="1">alpha(ESF[[#This Row],[nE]],ESF[[#This Row],[d (cm)]],ESF[[#This Row],[e (cm)]],ESF[[#This Row],[ap,eq (cm)]])</f>
        <v>N.S.</v>
      </c>
      <c r="AN31" s="35" t="str">
        <f ca="1">IFERROR(ESF[[#This Row],[Nsd (kN)]]/(ESF[[#This Row],[Ap (cm²)]]*SIN(ESF[[#This Row],[α]])^2),"N.S.")</f>
        <v>N.S.</v>
      </c>
      <c r="AO31" s="35" t="str">
        <f ca="1">IFERROR(ESF[[#This Row],[Nsd (kN)]]/(ESF[[#This Row],[nE]]*PI()*ESF[[#This Row],[Ø (cm)]]^2/4*SIN(ESF[[#This Row],[α]])^2),"N.S.")</f>
        <v>N.S.</v>
      </c>
      <c r="AP31" s="4" t="str">
        <f ca="1">IFERROR(INDEX(grupoEstacas[],ESF[[#This Row],[nE]],MATCH("coef. Blévot",grupoEstacas[#Headers],0)),"N.S.")</f>
        <v>N.S.</v>
      </c>
      <c r="AQ31" s="35" t="str">
        <f ca="1">IFERROR(ESF[[#This Row],[coef. Blévot]]*0.9*INDEX(tipoEstaca[],MATCH($D$2,tipoEstaca[TIPO DE ESTACA],0),MATCH("fcd (kN/cm²)",tipoEstaca[#Headers],0)),"N.S.")</f>
        <v>N.S.</v>
      </c>
      <c r="AR31" s="1" t="str">
        <f ca="1">IF(AND(ESF[[#This Row],[cd,b,pil (kN/cm²)]]&lt;=ESF[[#This Row],[cd,b,lim (kN/cm²)]],ESF[[#This Row],[cd,b,est (kN/cm²)]]&lt;=ESF[[#This Row],[cd,b,lim (kN/cm²)]]),"OK","ERRO")</f>
        <v>OK</v>
      </c>
      <c r="AS31" s="4" t="str">
        <f ca="1">As_lado(ESF[[#This Row],[nE]],ESF[[#This Row],[Nsd (kN)]],ESF[[#This Row],[d (cm)]],ESF[[#This Row],[e (cm)]],ESF[[#This Row],[ap,eq (cm)]])</f>
        <v>N.S.</v>
      </c>
      <c r="AT31" s="4" t="str">
        <f ca="1">IF(ESF[[#This Row],[nE]]=1,ESF[[#This Row],[As,lado (cm²)]],IF(ESF[[#This Row],[nE]]=2,0.075*2*ESF[a (cm)],"N.A."))</f>
        <v>N.A.</v>
      </c>
      <c r="AU31" s="4" t="str">
        <f ca="1">IFERROR(IF(ESF[[#This Row],[nE]]=1,"N.A.",0.2*ESF[[#This Row],[As,lado (cm²)]]),"N.S.")</f>
        <v>N.S.</v>
      </c>
      <c r="AV31" s="4" t="str">
        <f ca="1">As_malha(ESF[[#This Row],[nE]],ESF[[#This Row],[As,lado (cm²)]],ESF[[#This Row],[Nsd (kN)]])</f>
        <v>N.S.</v>
      </c>
      <c r="AW31" s="4" t="str">
        <f ca="1">As_susp_tot(ESF[[#This Row],[nE]],ESF[[#This Row],[Nsd (kN)]])</f>
        <v>N.S.</v>
      </c>
      <c r="AX31" s="4" t="str">
        <f ca="1">Asp_face(ESF[[#This Row],[nE]],ESF[[#This Row],[As,lado (cm²)]])</f>
        <v>N.S.</v>
      </c>
      <c r="AY31" s="5" t="str">
        <f ca="1">acoBloco(ESF[[#This Row],[nE]],ESF[[#This Row],[e (cm)]],ESF[[#This Row],[a (cm)]],ESF[[#This Row],[h (cm)]],ESF[[#This Row],[As,lado (cm²)]],ESF[[#This Row],[Asp e Asw (cm²/m)]],ESF[[#This Row],[As,sup (cm²)]],ESF[[#This Row],[As,malha (cm²)]],ESF[[#This Row],[As,susp,tot (cm²)]],ESF[[#This Row],[Asp,face (cm²)]])</f>
        <v>N.S.</v>
      </c>
      <c r="AZ31" s="4" t="str">
        <f ca="1">concretoBloco(ESF[[#This Row],[nE]],ESF[[#This Row],[e (cm)]],ESF[[#This Row],[a (cm)]],ESF[[#This Row],[h (cm)]])</f>
        <v>N.S.</v>
      </c>
      <c r="BA31" s="5">
        <f ca="1">SUM(ESF[[#This Row],[Aço Est (kg)]],ESF[[#This Row],[Aço Bloco (kg)]])</f>
        <v>3.0826877913349846</v>
      </c>
      <c r="BB31" s="4">
        <f>INDEX(composicoes[],MATCH(95580,composicoes[CÓDIGO],0),MATCH("CUSTO TOTAL",composicoes[#Headers],0))</f>
        <v>10.46</v>
      </c>
      <c r="BC31" s="4">
        <f ca="1">SUM(ESF[[#This Row],[Conc Est (m³)]],ESF[[#This Row],[Conc Bloco (m³)]])</f>
        <v>4.7123889803846897</v>
      </c>
      <c r="BD31" s="4">
        <f>INDEX(composicoes[],MATCH(94966,composicoes[CÓDIGO],0),MATCH("CUSTO TOTAL",composicoes[#Headers],0))</f>
        <v>439.52</v>
      </c>
      <c r="BE31" s="38">
        <f ca="1">ESF[[#This Row],[Aço (kg)]]*ESF[[#This Row],[Aço (R$/kg)]]+ESF[[#This Row],[Conc (m³)]]*ESF[[#This Row],[Conc (R$/m³)]]</f>
        <v>2103.4341189560423</v>
      </c>
      <c r="BF31" s="4" t="str">
        <f ca="1">IF(COUNTIF(ESF[#This Row],"N.S.")&gt;0,"lim.","OK")</f>
        <v>lim.</v>
      </c>
      <c r="BG31" s="4" t="str">
        <f>IF(ESF[[#This Row],[Prof. (m)]]&lt;3,"lim.","OK")</f>
        <v>OK</v>
      </c>
      <c r="BH31" s="4" t="str">
        <f>IF(ESF[[#This Row],[Prof. (m)]]&gt;=8*ESF[[#This Row],[Ø (cm)]]/100,"OK","lim.")</f>
        <v>OK</v>
      </c>
      <c r="BI31" s="4" t="str">
        <f>IF(AND(SPT!$F$3&lt;&gt;"",ESF[[#This Row],[Prof. (m)]]&gt;=SPT!$F$3),"lim.","OK")</f>
        <v>OK</v>
      </c>
      <c r="BJ31" s="4" t="str">
        <f>IF(COUNTIFS(ESF[Solo],"Areia",ESF[Prof. (m)],"&lt;="&amp;ESF[[#This Row],[Prof. (m)]])&gt;=1,"lim.","OK")</f>
        <v>OK</v>
      </c>
      <c r="BK31" s="4" t="str">
        <f ca="1">IF(ESF[[#This Row],[Verif. Biela]]="OK","OK","lim.")</f>
        <v>OK</v>
      </c>
      <c r="BL31" s="4" t="str">
        <f ca="1">IF(COUNTA(ESF[[#This Row],[Nº Est.]:[Biela comp.]])=COUNTIF(ESF[[#This Row],[Nº Est.]:[Biela comp.]],"OK"),"OK","lim.")</f>
        <v>lim.</v>
      </c>
      <c r="BM31" s="4" t="str">
        <f ca="1">IF(ESF[[#This Row],[Controle]]="OK",ESF[[#This Row],[nE]]&amp;" Ø"&amp;ESF[[#This Row],[Ø (cm)]]&amp;"cm Prof. "&amp;ESF[[#This Row],[Prof. (m)]]&amp;" m","")</f>
        <v/>
      </c>
      <c r="BN31" s="4" t="str">
        <f ca="1">IF(ESF[[#This Row],[idDimensionamento]]="","",ESF[[#This Row],[idPilar]]&amp;ESF[[#This Row],[idDimensionamento]])</f>
        <v/>
      </c>
    </row>
    <row r="32" spans="2:66" x14ac:dyDescent="0.25">
      <c r="B32" s="12">
        <f>ROUNDUP((ROW(ESF[[#This Row],[idDiâmetro]])-ROW(ESF[[#Headers],[idDiâmetro]]))/(COUNT(SPT[Prof. (m)])*COUNT(PILARES[Pilar])),0)</f>
        <v>1</v>
      </c>
      <c r="C32" s="12">
        <f>IF(ESF[[#This Row],[idDiâmetro]]&lt;&gt;B31,1,IF(ESF[[#This Row],[Prof. (m)]]=0,C31+1,C31))</f>
        <v>2</v>
      </c>
      <c r="D32" s="1">
        <f>IFERROR(IF(D31=MAX(SPT[Prof. (m)]),0,D31+1),0)</f>
        <v>13</v>
      </c>
      <c r="E32" s="1">
        <f>INDEX(SPT[],MATCH(ESF[[#This Row],[Prof. (m)]],SPT[Prof. (m)],0),2)</f>
        <v>68</v>
      </c>
      <c r="F32" s="1" t="str">
        <f>INDEX(SPT[],MATCH(ESF[[#This Row],[Prof. (m)]],SPT[Prof. (m)],0),3)</f>
        <v>Areia siltosa</v>
      </c>
      <c r="G32" s="1">
        <f>INDEX(estacas[],ESF[[#This Row],[idDiâmetro]],MATCH($B$2,estacas[#Headers],0))</f>
        <v>25</v>
      </c>
      <c r="H32" s="1">
        <f>INDEX(estacas[],MATCH(ESF[[#This Row],[Ø (cm)]],estacas[Ø ESF (cm)],0),MATCH(ESF[[#Headers],[Pe ESF (kN)]],estacas[#Headers],0))</f>
        <v>250</v>
      </c>
      <c r="I32" s="4">
        <f>INDEX(K_alpha_C[],MATCH(ESF[[#This Row],[Solo]],K_alpha_C[Solo],0),2)</f>
        <v>0.8</v>
      </c>
      <c r="J32" s="5">
        <f>INDEX(K_alpha_C[],MATCH(ESF[[#This Row],[Solo]],K_alpha_C[Solo],0),3)</f>
        <v>2</v>
      </c>
      <c r="K32" s="4">
        <f>INDEX(F1_F2[],MATCH($D$2,F1_F2[Tipo de estaca],0),2)</f>
        <v>3</v>
      </c>
      <c r="L32" s="4">
        <f>INDEX(F1_F2[],MATCH($D$2,F1_F2[Tipo de estaca],0),3)</f>
        <v>6</v>
      </c>
      <c r="M32" s="4">
        <f>PI()*(ESF[[#This Row],[Ø (cm)]]/100)^2/4</f>
        <v>4.9087385212340517E-2</v>
      </c>
      <c r="N32" s="4">
        <f>PI()*ESF[[#This Row],[Ø (cm)]]/100</f>
        <v>0.78539816339744828</v>
      </c>
      <c r="O32" s="4">
        <f>IF(ESF[[#This Row],[Prof. (m)]]=0,0,ESF[[#This Row],[α (%)]]/100*ESF[[#This Row],[K (MPa)]]*1000*ESF[[#This Row],[NSPT]])</f>
        <v>1088</v>
      </c>
      <c r="P32" s="4">
        <f>IF(ESF[[#This Row],[Prof. (m)]]=0,0,(ESF[[#This Row],[K (MPa)]]*1000*ESF[[#This Row],[NSPT]]/ESF[[#This Row],[F1]]*ESF[[#This Row],[Ap (m²)]]+ESF[[#This Row],[U (m)]]/ESF[[#This Row],[F2]]*SUMIFS(ESF[(α∙K∙NL∙ΔL)],ESF[Prof. (m)],"&lt;="&amp;ESF[[#This Row],[Prof. (m)]],ESF[idDiâmetro],ESF[[#This Row],[idDiâmetro]],ESF[idPilar],ESF[[#This Row],[idPilar]]))/'DADOS CAP. CARGA'!$D$2)</f>
        <v>739.83852493570123</v>
      </c>
      <c r="Q32" s="12">
        <f>INDEX(C_alpha_beta[],MATCH(ESF[[#This Row],[Solo]],C_alpha_beta[Solo],0),MATCH(ESF[[#Headers],[C (kPa)]],C_alpha_beta[#Headers],0))</f>
        <v>400</v>
      </c>
      <c r="R32" s="4">
        <f>INDEX(C_alpha_beta[],MATCH(ESF[[#This Row],[Solo]],C_alpha_beta[Solo],0),MATCH(ESF[[#Headers],[α ESF]],C_alpha_beta[#Headers],0))</f>
        <v>0.5</v>
      </c>
      <c r="S32" s="4">
        <f>INDEX(C_alpha_beta[],MATCH(ESF[[#This Row],[Solo]],C_alpha_beta[Solo],0),MATCH(ESF[[#Headers],[β ESF]],C_alpha_beta[#Headers],0))</f>
        <v>0.5</v>
      </c>
      <c r="T32" s="4">
        <f>IF(ESF[[#This Row],[Prof. (m)]]=0,0,10*(ESF[[#This Row],[NSPT]]/3+1))</f>
        <v>236.66666666666669</v>
      </c>
      <c r="U32" s="4">
        <f>(ESF[[#This Row],[α ESF]]*ESF[[#This Row],[C (kPa)]]*ESF[[#This Row],[NSPT]]*ESF[[#This Row],[Ap (m²)]])/'DADOS CAP. CARGA'!$Q$2+(ESF[[#This Row],[β ESF]]*SUMIFS(ESF[10∙(NL/3+1)],ESF[Prof. (m)],"&lt;="&amp;ESF[[#This Row],[Prof. (m)]],ESF[idDiâmetro],ESF[[#This Row],[idDiâmetro]],ESF[idPilar],ESF[[#This Row],[idPilar]])*ESF[[#This Row],[U (m)]])/'DADOS CAP. CARGA'!$S$2</f>
        <v>382.88160465625606</v>
      </c>
      <c r="V32" s="4">
        <f>IF(SPT!$M$5=1,MIN(ESF[[#This Row],[Pe ESF (kN)]],ESF[[#This Row],[R_AV (kN)]]),IF(SPT!$M$5=2,MIN(ESF[[#This Row],[Pe ESF (kN)]],ESF[[#This Row],[R_DC (kN)]]),MIN(ESF[[#This Row],[Pe ESF (kN)]],ESF[[#This Row],[R_AV (kN)]],ESF[[#This Row],[R_DC (kN)]])))</f>
        <v>250</v>
      </c>
      <c r="W32" s="4">
        <f>INDEX(PILARES[],ESF[[#This Row],[idPilar]],MATCH("Carga (kN)",PILARES[#Headers],0))*1.4</f>
        <v>1750</v>
      </c>
      <c r="X32" s="12">
        <f>INDEX(PILARES[],ESF[[#This Row],[idPilar]],MATCH(ESF[[#Headers],[ap (cm)]],PILARES[#Headers],0))</f>
        <v>50</v>
      </c>
      <c r="Y32" s="12">
        <f>INDEX(PILARES[],ESF[[#This Row],[idPilar]],MATCH(ESF[[#Headers],[bp (cm)]],PILARES[#Headers],0))</f>
        <v>40</v>
      </c>
      <c r="Z32" s="4">
        <f>SQRT(ESF[[#This Row],[ap (cm)]]*ESF[[#This Row],[bp (cm)]])</f>
        <v>44.721359549995796</v>
      </c>
      <c r="AA32" s="12">
        <f>ESF[[#This Row],[ap (cm)]]*ESF[[#This Row],[bp (cm)]]</f>
        <v>2000</v>
      </c>
      <c r="AB32" s="12">
        <f ca="1">IF(ESF[[#This Row],[Padm∙ε (kN)]]&gt;=ESF[[#This Row],[Padm (kN)]],ROUNDUP(1.05*ESF[[#This Row],[Nsd (kN)]]/ESF[[#This Row],[Padm (kN)]],0),ROUNDUP(1.05*ESF[[#This Row],[Nsd (kN)]]/ESF[[#This Row],[Padm (kN)]],0)+1)</f>
        <v>8</v>
      </c>
      <c r="AC32" s="4" t="str">
        <f ca="1">IFERROR(IF(ESF[[#This Row],[nE]]=1,ESF[[#This Row],[Padm (kN)]],ESF[[#This Row],[Padm (kN)]]*ESF[[#This Row],[nE]]*INDEX(grupoEstacas[],ESF[[#This Row],[nE]],MATCH("ε",grupoEstacas[#Headers],0))),"N.S.")</f>
        <v>N.S.</v>
      </c>
      <c r="AD32" s="4">
        <f ca="1">1.05*ESF[[#This Row],[Nsd (kN)]]/(ESF[[#This Row],[nE]]*PI()*ESF[[#This Row],[Ø (cm)]]^2/4)*10</f>
        <v>4.6791553269017232</v>
      </c>
      <c r="AE32" s="4">
        <f ca="1">IF(ESF[[#This Row],[σ (MPa)]]&lt;INDEX(tipoEstaca[],MATCH($D$2,tipoEstaca[TIPO DE ESTACA],0),MATCH("σmáx (MPa)",tipoEstaca[#Headers],0)),0.4%*PI()*ESF[[#This Row],[Ø (cm)]]^2/4,"N.S.")</f>
        <v>1.9634954084936209</v>
      </c>
      <c r="AF32" s="1">
        <f>INDEX(tipoEstaca[],MATCH($D$2,tipoEstaca[TIPO DE ESTACA],0),MATCH(ESF[[#Headers],[Comprimento (m)]],tipoEstaca[#Headers],0))</f>
        <v>2</v>
      </c>
      <c r="AG32" s="5">
        <f ca="1">ESF[[#This Row],[As,mín (cm²)]]/100^2*ESF[[#This Row],[Comprimento (m)]]*7850</f>
        <v>3.0826877913349846</v>
      </c>
      <c r="AH32" s="4">
        <f ca="1">ESF[[#This Row],[nE]]*ESF[[#This Row],[Prof. (m)]]*ESF[[#This Row],[Ap (m²)]]</f>
        <v>5.1050880620834143</v>
      </c>
      <c r="AI32" s="1">
        <f ca="1">IF(ESF[[#This Row],[nE]]=1,0,MAX(3*ESF[[#This Row],[Ø (cm)]],60))</f>
        <v>75</v>
      </c>
      <c r="AJ32" s="1">
        <f ca="1">IF(ESF[[#This Row],[nE]]=1,ESF[[#This Row],[Ø (cm)]]+2*10,MAX(1.5*ESF[[#This Row],[Ø (cm)]],ESF[[#This Row],[Ø (cm)]]+15))</f>
        <v>40</v>
      </c>
      <c r="AK32" s="1" t="str">
        <f ca="1">alturaUtil(ESF[[#This Row],[nE]],ESF[[#This Row],[Ø (cm)]],ESF[[#This Row],[e (cm)]],ESF[[#This Row],[ap,eq (cm)]])</f>
        <v>N.S.</v>
      </c>
      <c r="AL32" s="1" t="str">
        <f ca="1">IFERROR(ESF[[#This Row],[d (cm)]]+arredondarParaCimaMultiplo5cm(MAX(5,SQRT(PI())/2*ESF[[#This Row],[Ø (cm)]]/5)),"N.S.")</f>
        <v>N.S.</v>
      </c>
      <c r="AM32" s="5" t="str">
        <f ca="1">alpha(ESF[[#This Row],[nE]],ESF[[#This Row],[d (cm)]],ESF[[#This Row],[e (cm)]],ESF[[#This Row],[ap,eq (cm)]])</f>
        <v>N.S.</v>
      </c>
      <c r="AN32" s="35" t="str">
        <f ca="1">IFERROR(ESF[[#This Row],[Nsd (kN)]]/(ESF[[#This Row],[Ap (cm²)]]*SIN(ESF[[#This Row],[α]])^2),"N.S.")</f>
        <v>N.S.</v>
      </c>
      <c r="AO32" s="35" t="str">
        <f ca="1">IFERROR(ESF[[#This Row],[Nsd (kN)]]/(ESF[[#This Row],[nE]]*PI()*ESF[[#This Row],[Ø (cm)]]^2/4*SIN(ESF[[#This Row],[α]])^2),"N.S.")</f>
        <v>N.S.</v>
      </c>
      <c r="AP32" s="4" t="str">
        <f ca="1">IFERROR(INDEX(grupoEstacas[],ESF[[#This Row],[nE]],MATCH("coef. Blévot",grupoEstacas[#Headers],0)),"N.S.")</f>
        <v>N.S.</v>
      </c>
      <c r="AQ32" s="35" t="str">
        <f ca="1">IFERROR(ESF[[#This Row],[coef. Blévot]]*0.9*INDEX(tipoEstaca[],MATCH($D$2,tipoEstaca[TIPO DE ESTACA],0),MATCH("fcd (kN/cm²)",tipoEstaca[#Headers],0)),"N.S.")</f>
        <v>N.S.</v>
      </c>
      <c r="AR32" s="1" t="str">
        <f ca="1">IF(AND(ESF[[#This Row],[cd,b,pil (kN/cm²)]]&lt;=ESF[[#This Row],[cd,b,lim (kN/cm²)]],ESF[[#This Row],[cd,b,est (kN/cm²)]]&lt;=ESF[[#This Row],[cd,b,lim (kN/cm²)]]),"OK","ERRO")</f>
        <v>OK</v>
      </c>
      <c r="AS32" s="4" t="str">
        <f ca="1">As_lado(ESF[[#This Row],[nE]],ESF[[#This Row],[Nsd (kN)]],ESF[[#This Row],[d (cm)]],ESF[[#This Row],[e (cm)]],ESF[[#This Row],[ap,eq (cm)]])</f>
        <v>N.S.</v>
      </c>
      <c r="AT32" s="4" t="str">
        <f ca="1">IF(ESF[[#This Row],[nE]]=1,ESF[[#This Row],[As,lado (cm²)]],IF(ESF[[#This Row],[nE]]=2,0.075*2*ESF[a (cm)],"N.A."))</f>
        <v>N.A.</v>
      </c>
      <c r="AU32" s="4" t="str">
        <f ca="1">IFERROR(IF(ESF[[#This Row],[nE]]=1,"N.A.",0.2*ESF[[#This Row],[As,lado (cm²)]]),"N.S.")</f>
        <v>N.S.</v>
      </c>
      <c r="AV32" s="4" t="str">
        <f ca="1">As_malha(ESF[[#This Row],[nE]],ESF[[#This Row],[As,lado (cm²)]],ESF[[#This Row],[Nsd (kN)]])</f>
        <v>N.S.</v>
      </c>
      <c r="AW32" s="4" t="str">
        <f ca="1">As_susp_tot(ESF[[#This Row],[nE]],ESF[[#This Row],[Nsd (kN)]])</f>
        <v>N.S.</v>
      </c>
      <c r="AX32" s="4" t="str">
        <f ca="1">Asp_face(ESF[[#This Row],[nE]],ESF[[#This Row],[As,lado (cm²)]])</f>
        <v>N.S.</v>
      </c>
      <c r="AY32" s="5" t="str">
        <f ca="1">acoBloco(ESF[[#This Row],[nE]],ESF[[#This Row],[e (cm)]],ESF[[#This Row],[a (cm)]],ESF[[#This Row],[h (cm)]],ESF[[#This Row],[As,lado (cm²)]],ESF[[#This Row],[Asp e Asw (cm²/m)]],ESF[[#This Row],[As,sup (cm²)]],ESF[[#This Row],[As,malha (cm²)]],ESF[[#This Row],[As,susp,tot (cm²)]],ESF[[#This Row],[Asp,face (cm²)]])</f>
        <v>N.S.</v>
      </c>
      <c r="AZ32" s="4" t="str">
        <f ca="1">concretoBloco(ESF[[#This Row],[nE]],ESF[[#This Row],[e (cm)]],ESF[[#This Row],[a (cm)]],ESF[[#This Row],[h (cm)]])</f>
        <v>N.S.</v>
      </c>
      <c r="BA32" s="5">
        <f ca="1">SUM(ESF[[#This Row],[Aço Est (kg)]],ESF[[#This Row],[Aço Bloco (kg)]])</f>
        <v>3.0826877913349846</v>
      </c>
      <c r="BB32" s="4">
        <f>INDEX(composicoes[],MATCH(95580,composicoes[CÓDIGO],0),MATCH("CUSTO TOTAL",composicoes[#Headers],0))</f>
        <v>10.46</v>
      </c>
      <c r="BC32" s="4">
        <f ca="1">SUM(ESF[[#This Row],[Conc Est (m³)]],ESF[[#This Row],[Conc Bloco (m³)]])</f>
        <v>5.1050880620834143</v>
      </c>
      <c r="BD32" s="4">
        <f>INDEX(composicoes[],MATCH(94966,composicoes[CÓDIGO],0),MATCH("CUSTO TOTAL",composicoes[#Headers],0))</f>
        <v>439.52</v>
      </c>
      <c r="BE32" s="38">
        <f ca="1">ESF[[#This Row],[Aço (kg)]]*ESF[[#This Row],[Aço (R$/kg)]]+ESF[[#This Row],[Conc (m³)]]*ESF[[#This Row],[Conc (R$/m³)]]</f>
        <v>2276.0332193442659</v>
      </c>
      <c r="BF32" s="4" t="str">
        <f ca="1">IF(COUNTIF(ESF[#This Row],"N.S.")&gt;0,"lim.","OK")</f>
        <v>lim.</v>
      </c>
      <c r="BG32" s="4" t="str">
        <f>IF(ESF[[#This Row],[Prof. (m)]]&lt;3,"lim.","OK")</f>
        <v>OK</v>
      </c>
      <c r="BH32" s="4" t="str">
        <f>IF(ESF[[#This Row],[Prof. (m)]]&gt;=8*ESF[[#This Row],[Ø (cm)]]/100,"OK","lim.")</f>
        <v>OK</v>
      </c>
      <c r="BI32" s="4" t="str">
        <f>IF(AND(SPT!$F$3&lt;&gt;"",ESF[[#This Row],[Prof. (m)]]&gt;=SPT!$F$3),"lim.","OK")</f>
        <v>OK</v>
      </c>
      <c r="BJ32" s="4" t="str">
        <f>IF(COUNTIFS(ESF[Solo],"Areia",ESF[Prof. (m)],"&lt;="&amp;ESF[[#This Row],[Prof. (m)]])&gt;=1,"lim.","OK")</f>
        <v>OK</v>
      </c>
      <c r="BK32" s="4" t="str">
        <f ca="1">IF(ESF[[#This Row],[Verif. Biela]]="OK","OK","lim.")</f>
        <v>OK</v>
      </c>
      <c r="BL32" s="4" t="str">
        <f ca="1">IF(COUNTA(ESF[[#This Row],[Nº Est.]:[Biela comp.]])=COUNTIF(ESF[[#This Row],[Nº Est.]:[Biela comp.]],"OK"),"OK","lim.")</f>
        <v>lim.</v>
      </c>
      <c r="BM32" s="4" t="str">
        <f ca="1">IF(ESF[[#This Row],[Controle]]="OK",ESF[[#This Row],[nE]]&amp;" Ø"&amp;ESF[[#This Row],[Ø (cm)]]&amp;"cm Prof. "&amp;ESF[[#This Row],[Prof. (m)]]&amp;" m","")</f>
        <v/>
      </c>
      <c r="BN32" s="4" t="str">
        <f ca="1">IF(ESF[[#This Row],[idDimensionamento]]="","",ESF[[#This Row],[idPilar]]&amp;ESF[[#This Row],[idDimensionamento]])</f>
        <v/>
      </c>
    </row>
    <row r="33" spans="2:66" x14ac:dyDescent="0.25">
      <c r="B33" s="12">
        <f>ROUNDUP((ROW(ESF[[#This Row],[idDiâmetro]])-ROW(ESF[[#Headers],[idDiâmetro]]))/(COUNT(SPT[Prof. (m)])*COUNT(PILARES[Pilar])),0)</f>
        <v>2</v>
      </c>
      <c r="C33" s="12">
        <f>IF(ESF[[#This Row],[idDiâmetro]]&lt;&gt;B32,1,IF(ESF[[#This Row],[Prof. (m)]]=0,C32+1,C32))</f>
        <v>1</v>
      </c>
      <c r="D33" s="1">
        <f>IFERROR(IF(D32=MAX(SPT[Prof. (m)]),0,D32+1),0)</f>
        <v>0</v>
      </c>
      <c r="E33" s="1">
        <f>INDEX(SPT[],MATCH(ESF[[#This Row],[Prof. (m)]],SPT[Prof. (m)],0),2)</f>
        <v>0</v>
      </c>
      <c r="F33" s="1" t="str">
        <f>INDEX(SPT[],MATCH(ESF[[#This Row],[Prof. (m)]],SPT[Prof. (m)],0),3)</f>
        <v>Areia siltosa</v>
      </c>
      <c r="G33" s="1">
        <f>INDEX(estacas[],ESF[[#This Row],[idDiâmetro]],MATCH($B$2,estacas[#Headers],0))</f>
        <v>30</v>
      </c>
      <c r="H33" s="1">
        <f>INDEX(estacas[],MATCH(ESF[[#This Row],[Ø (cm)]],estacas[Ø ESF (cm)],0),MATCH(ESF[[#Headers],[Pe ESF (kN)]],estacas[#Headers],0))</f>
        <v>360</v>
      </c>
      <c r="I33" s="4">
        <f>INDEX(K_alpha_C[],MATCH(ESF[[#This Row],[Solo]],K_alpha_C[Solo],0),2)</f>
        <v>0.8</v>
      </c>
      <c r="J33" s="5">
        <f>INDEX(K_alpha_C[],MATCH(ESF[[#This Row],[Solo]],K_alpha_C[Solo],0),3)</f>
        <v>2</v>
      </c>
      <c r="K33" s="4">
        <f>INDEX(F1_F2[],MATCH($D$2,F1_F2[Tipo de estaca],0),2)</f>
        <v>3</v>
      </c>
      <c r="L33" s="4">
        <f>INDEX(F1_F2[],MATCH($D$2,F1_F2[Tipo de estaca],0),3)</f>
        <v>6</v>
      </c>
      <c r="M33" s="4">
        <f>PI()*(ESF[[#This Row],[Ø (cm)]]/100)^2/4</f>
        <v>7.0685834705770348E-2</v>
      </c>
      <c r="N33" s="4">
        <f>PI()*ESF[[#This Row],[Ø (cm)]]/100</f>
        <v>0.94247779607693782</v>
      </c>
      <c r="O33" s="4">
        <f>IF(ESF[[#This Row],[Prof. (m)]]=0,0,ESF[[#This Row],[α (%)]]/100*ESF[[#This Row],[K (MPa)]]*1000*ESF[[#This Row],[NSPT]])</f>
        <v>0</v>
      </c>
      <c r="P33" s="4">
        <f>IF(ESF[[#This Row],[Prof. (m)]]=0,0,(ESF[[#This Row],[K (MPa)]]*1000*ESF[[#This Row],[NSPT]]/ESF[[#This Row],[F1]]*ESF[[#This Row],[Ap (m²)]]+ESF[[#This Row],[U (m)]]/ESF[[#This Row],[F2]]*SUMIFS(ESF[(α∙K∙NL∙ΔL)],ESF[Prof. (m)],"&lt;="&amp;ESF[[#This Row],[Prof. (m)]],ESF[idDiâmetro],ESF[[#This Row],[idDiâmetro]],ESF[idPilar],ESF[[#This Row],[idPilar]]))/'DADOS CAP. CARGA'!$D$2)</f>
        <v>0</v>
      </c>
      <c r="Q33" s="12">
        <f>INDEX(C_alpha_beta[],MATCH(ESF[[#This Row],[Solo]],C_alpha_beta[Solo],0),MATCH(ESF[[#Headers],[C (kPa)]],C_alpha_beta[#Headers],0))</f>
        <v>400</v>
      </c>
      <c r="R33" s="4">
        <f>INDEX(C_alpha_beta[],MATCH(ESF[[#This Row],[Solo]],C_alpha_beta[Solo],0),MATCH(ESF[[#Headers],[α ESF]],C_alpha_beta[#Headers],0))</f>
        <v>0.5</v>
      </c>
      <c r="S33" s="4">
        <f>INDEX(C_alpha_beta[],MATCH(ESF[[#This Row],[Solo]],C_alpha_beta[Solo],0),MATCH(ESF[[#Headers],[β ESF]],C_alpha_beta[#Headers],0))</f>
        <v>0.5</v>
      </c>
      <c r="T33" s="4">
        <f>IF(ESF[[#This Row],[Prof. (m)]]=0,0,10*(ESF[[#This Row],[NSPT]]/3+1))</f>
        <v>0</v>
      </c>
      <c r="U33" s="4">
        <f>(ESF[[#This Row],[α ESF]]*ESF[[#This Row],[C (kPa)]]*ESF[[#This Row],[NSPT]]*ESF[[#This Row],[Ap (m²)]])/'DADOS CAP. CARGA'!$Q$2+(ESF[[#This Row],[β ESF]]*SUMIFS(ESF[10∙(NL/3+1)],ESF[Prof. (m)],"&lt;="&amp;ESF[[#This Row],[Prof. (m)]],ESF[idDiâmetro],ESF[[#This Row],[idDiâmetro]],ESF[idPilar],ESF[[#This Row],[idPilar]])*ESF[[#This Row],[U (m)]])/'DADOS CAP. CARGA'!$S$2</f>
        <v>0</v>
      </c>
      <c r="V33" s="4">
        <f>IF(SPT!$M$5=1,MIN(ESF[[#This Row],[Pe ESF (kN)]],ESF[[#This Row],[R_AV (kN)]]),IF(SPT!$M$5=2,MIN(ESF[[#This Row],[Pe ESF (kN)]],ESF[[#This Row],[R_DC (kN)]]),MIN(ESF[[#This Row],[Pe ESF (kN)]],ESF[[#This Row],[R_AV (kN)]],ESF[[#This Row],[R_DC (kN)]])))</f>
        <v>0</v>
      </c>
      <c r="W33" s="4">
        <f>INDEX(PILARES[],ESF[[#This Row],[idPilar]],MATCH("Carga (kN)",PILARES[#Headers],0))*1.4</f>
        <v>3500</v>
      </c>
      <c r="X33" s="12">
        <f>INDEX(PILARES[],ESF[[#This Row],[idPilar]],MATCH(ESF[[#Headers],[ap (cm)]],PILARES[#Headers],0))</f>
        <v>60</v>
      </c>
      <c r="Y33" s="12">
        <f>INDEX(PILARES[],ESF[[#This Row],[idPilar]],MATCH(ESF[[#Headers],[bp (cm)]],PILARES[#Headers],0))</f>
        <v>60</v>
      </c>
      <c r="Z33" s="4">
        <f>SQRT(ESF[[#This Row],[ap (cm)]]*ESF[[#This Row],[bp (cm)]])</f>
        <v>60</v>
      </c>
      <c r="AA33" s="12">
        <f>ESF[[#This Row],[ap (cm)]]*ESF[[#This Row],[bp (cm)]]</f>
        <v>3600</v>
      </c>
      <c r="AB33" s="12" t="e">
        <f ca="1">IF(ESF[[#This Row],[Padm∙ε (kN)]]&gt;=ESF[[#This Row],[Padm (kN)]],ROUNDUP(1.05*ESF[[#This Row],[Nsd (kN)]]/ESF[[#This Row],[Padm (kN)]],0),ROUNDUP(1.05*ESF[[#This Row],[Nsd (kN)]]/ESF[[#This Row],[Padm (kN)]],0)+1)</f>
        <v>#DIV/0!</v>
      </c>
      <c r="AC33" s="4" t="str">
        <f ca="1">IFERROR(IF(ESF[[#This Row],[nE]]=1,ESF[[#This Row],[Padm (kN)]],ESF[[#This Row],[Padm (kN)]]*ESF[[#This Row],[nE]]*INDEX(grupoEstacas[],ESF[[#This Row],[nE]],MATCH("ε",grupoEstacas[#Headers],0))),"N.S.")</f>
        <v>N.S.</v>
      </c>
      <c r="AD33" s="4" t="e">
        <f ca="1">1.05*ESF[[#This Row],[Nsd (kN)]]/(ESF[[#This Row],[nE]]*PI()*ESF[[#This Row],[Ø (cm)]]^2/4)*10</f>
        <v>#DIV/0!</v>
      </c>
      <c r="AE33" s="4" t="e">
        <f ca="1">IF(ESF[[#This Row],[σ (MPa)]]&lt;INDEX(tipoEstaca[],MATCH($D$2,tipoEstaca[TIPO DE ESTACA],0),MATCH("σmáx (MPa)",tipoEstaca[#Headers],0)),0.4%*PI()*ESF[[#This Row],[Ø (cm)]]^2/4,"N.S.")</f>
        <v>#DIV/0!</v>
      </c>
      <c r="AF33" s="1">
        <f>INDEX(tipoEstaca[],MATCH($D$2,tipoEstaca[TIPO DE ESTACA],0),MATCH(ESF[[#Headers],[Comprimento (m)]],tipoEstaca[#Headers],0))</f>
        <v>2</v>
      </c>
      <c r="AG33" s="5" t="e">
        <f ca="1">ESF[[#This Row],[As,mín (cm²)]]/100^2*ESF[[#This Row],[Comprimento (m)]]*7850</f>
        <v>#DIV/0!</v>
      </c>
      <c r="AH33" s="4" t="e">
        <f ca="1">ESF[[#This Row],[nE]]*ESF[[#This Row],[Prof. (m)]]*ESF[[#This Row],[Ap (m²)]]</f>
        <v>#DIV/0!</v>
      </c>
      <c r="AI33" s="1" t="e">
        <f ca="1">IF(ESF[[#This Row],[nE]]=1,0,MAX(3*ESF[[#This Row],[Ø (cm)]],60))</f>
        <v>#DIV/0!</v>
      </c>
      <c r="AJ33" s="1" t="e">
        <f ca="1">IF(ESF[[#This Row],[nE]]=1,ESF[[#This Row],[Ø (cm)]]+2*10,MAX(1.5*ESF[[#This Row],[Ø (cm)]],ESF[[#This Row],[Ø (cm)]]+15))</f>
        <v>#DIV/0!</v>
      </c>
      <c r="AK33" s="1" t="e">
        <f ca="1">alturaUtil(ESF[[#This Row],[nE]],ESF[[#This Row],[Ø (cm)]],ESF[[#This Row],[e (cm)]],ESF[[#This Row],[ap,eq (cm)]])</f>
        <v>#VALUE!</v>
      </c>
      <c r="AL33" s="1" t="str">
        <f ca="1">IFERROR(ESF[[#This Row],[d (cm)]]+arredondarParaCimaMultiplo5cm(MAX(5,SQRT(PI())/2*ESF[[#This Row],[Ø (cm)]]/5)),"N.S.")</f>
        <v>N.S.</v>
      </c>
      <c r="AM33" s="5" t="e">
        <f ca="1">alpha(ESF[[#This Row],[nE]],ESF[[#This Row],[d (cm)]],ESF[[#This Row],[e (cm)]],ESF[[#This Row],[ap,eq (cm)]])</f>
        <v>#VALUE!</v>
      </c>
      <c r="AN33" s="35" t="str">
        <f ca="1">IFERROR(ESF[[#This Row],[Nsd (kN)]]/(ESF[[#This Row],[Ap (cm²)]]*SIN(ESF[[#This Row],[α]])^2),"N.S.")</f>
        <v>N.S.</v>
      </c>
      <c r="AO33" s="35" t="str">
        <f ca="1">IFERROR(ESF[[#This Row],[Nsd (kN)]]/(ESF[[#This Row],[nE]]*PI()*ESF[[#This Row],[Ø (cm)]]^2/4*SIN(ESF[[#This Row],[α]])^2),"N.S.")</f>
        <v>N.S.</v>
      </c>
      <c r="AP33" s="4" t="str">
        <f ca="1">IFERROR(INDEX(grupoEstacas[],ESF[[#This Row],[nE]],MATCH("coef. Blévot",grupoEstacas[#Headers],0)),"N.S.")</f>
        <v>N.S.</v>
      </c>
      <c r="AQ33" s="35" t="str">
        <f ca="1">IFERROR(ESF[[#This Row],[coef. Blévot]]*0.9*INDEX(tipoEstaca[],MATCH($D$2,tipoEstaca[TIPO DE ESTACA],0),MATCH("fcd (kN/cm²)",tipoEstaca[#Headers],0)),"N.S.")</f>
        <v>N.S.</v>
      </c>
      <c r="AR33" s="1" t="str">
        <f ca="1">IF(AND(ESF[[#This Row],[cd,b,pil (kN/cm²)]]&lt;=ESF[[#This Row],[cd,b,lim (kN/cm²)]],ESF[[#This Row],[cd,b,est (kN/cm²)]]&lt;=ESF[[#This Row],[cd,b,lim (kN/cm²)]]),"OK","ERRO")</f>
        <v>OK</v>
      </c>
      <c r="AS33" s="4" t="e">
        <f ca="1">As_lado(ESF[[#This Row],[nE]],ESF[[#This Row],[Nsd (kN)]],ESF[[#This Row],[d (cm)]],ESF[[#This Row],[e (cm)]],ESF[[#This Row],[ap,eq (cm)]])</f>
        <v>#VALUE!</v>
      </c>
      <c r="AT33" s="4" t="e">
        <f ca="1">IF(ESF[[#This Row],[nE]]=1,ESF[[#This Row],[As,lado (cm²)]],IF(ESF[[#This Row],[nE]]=2,0.075*2*ESF[a (cm)],"N.A."))</f>
        <v>#DIV/0!</v>
      </c>
      <c r="AU33" s="4" t="str">
        <f ca="1">IFERROR(IF(ESF[[#This Row],[nE]]=1,"N.A.",0.2*ESF[[#This Row],[As,lado (cm²)]]),"N.S.")</f>
        <v>N.S.</v>
      </c>
      <c r="AV33" s="4" t="e">
        <f ca="1">As_malha(ESF[[#This Row],[nE]],ESF[[#This Row],[As,lado (cm²)]],ESF[[#This Row],[Nsd (kN)]])</f>
        <v>#VALUE!</v>
      </c>
      <c r="AW33" s="4" t="e">
        <f ca="1">As_susp_tot(ESF[[#This Row],[nE]],ESF[[#This Row],[Nsd (kN)]])</f>
        <v>#VALUE!</v>
      </c>
      <c r="AX33" s="4" t="e">
        <f ca="1">Asp_face(ESF[[#This Row],[nE]],ESF[[#This Row],[As,lado (cm²)]])</f>
        <v>#VALUE!</v>
      </c>
      <c r="AY33" s="5" t="e">
        <f ca="1">acoBloco(ESF[[#This Row],[nE]],ESF[[#This Row],[e (cm)]],ESF[[#This Row],[a (cm)]],ESF[[#This Row],[h (cm)]],ESF[[#This Row],[As,lado (cm²)]],ESF[[#This Row],[Asp e Asw (cm²/m)]],ESF[[#This Row],[As,sup (cm²)]],ESF[[#This Row],[As,malha (cm²)]],ESF[[#This Row],[As,susp,tot (cm²)]],ESF[[#This Row],[Asp,face (cm²)]])</f>
        <v>#VALUE!</v>
      </c>
      <c r="AZ33" s="4" t="e">
        <f ca="1">concretoBloco(ESF[[#This Row],[nE]],ESF[[#This Row],[e (cm)]],ESF[[#This Row],[a (cm)]],ESF[[#This Row],[h (cm)]])</f>
        <v>#VALUE!</v>
      </c>
      <c r="BA33" s="5" t="e">
        <f ca="1">SUM(ESF[[#This Row],[Aço Est (kg)]],ESF[[#This Row],[Aço Bloco (kg)]])</f>
        <v>#DIV/0!</v>
      </c>
      <c r="BB33" s="4">
        <f>INDEX(composicoes[],MATCH(95580,composicoes[CÓDIGO],0),MATCH("CUSTO TOTAL",composicoes[#Headers],0))</f>
        <v>10.46</v>
      </c>
      <c r="BC33" s="4" t="e">
        <f ca="1">SUM(ESF[[#This Row],[Conc Est (m³)]],ESF[[#This Row],[Conc Bloco (m³)]])</f>
        <v>#DIV/0!</v>
      </c>
      <c r="BD33" s="4">
        <f>INDEX(composicoes[],MATCH(94966,composicoes[CÓDIGO],0),MATCH("CUSTO TOTAL",composicoes[#Headers],0))</f>
        <v>439.52</v>
      </c>
      <c r="BE33" s="38" t="e">
        <f ca="1">ESF[[#This Row],[Aço (kg)]]*ESF[[#This Row],[Aço (R$/kg)]]+ESF[[#This Row],[Conc (m³)]]*ESF[[#This Row],[Conc (R$/m³)]]</f>
        <v>#DIV/0!</v>
      </c>
      <c r="BF33" s="4" t="str">
        <f ca="1">IF(COUNTIF(ESF[#This Row],"N.S.")&gt;0,"lim.","OK")</f>
        <v>lim.</v>
      </c>
      <c r="BG33" s="4" t="str">
        <f>IF(ESF[[#This Row],[Prof. (m)]]&lt;3,"lim.","OK")</f>
        <v>lim.</v>
      </c>
      <c r="BH33" s="4" t="str">
        <f>IF(ESF[[#This Row],[Prof. (m)]]&gt;=8*ESF[[#This Row],[Ø (cm)]]/100,"OK","lim.")</f>
        <v>lim.</v>
      </c>
      <c r="BI33" s="4" t="str">
        <f>IF(AND(SPT!$F$3&lt;&gt;"",ESF[[#This Row],[Prof. (m)]]&gt;=SPT!$F$3),"lim.","OK")</f>
        <v>OK</v>
      </c>
      <c r="BJ33" s="4" t="str">
        <f>IF(COUNTIFS(ESF[Solo],"Areia",ESF[Prof. (m)],"&lt;="&amp;ESF[[#This Row],[Prof. (m)]])&gt;=1,"lim.","OK")</f>
        <v>OK</v>
      </c>
      <c r="BK33" s="4" t="str">
        <f ca="1">IF(ESF[[#This Row],[Verif. Biela]]="OK","OK","lim.")</f>
        <v>OK</v>
      </c>
      <c r="BL33" s="4" t="str">
        <f ca="1">IF(COUNTA(ESF[[#This Row],[Nº Est.]:[Biela comp.]])=COUNTIF(ESF[[#This Row],[Nº Est.]:[Biela comp.]],"OK"),"OK","lim.")</f>
        <v>lim.</v>
      </c>
      <c r="BM33" s="4" t="str">
        <f ca="1">IF(ESF[[#This Row],[Controle]]="OK",ESF[[#This Row],[nE]]&amp;" Ø"&amp;ESF[[#This Row],[Ø (cm)]]&amp;"cm Prof. "&amp;ESF[[#This Row],[Prof. (m)]]&amp;" m","")</f>
        <v/>
      </c>
      <c r="BN33" s="4" t="str">
        <f ca="1">IF(ESF[[#This Row],[idDimensionamento]]="","",ESF[[#This Row],[idPilar]]&amp;ESF[[#This Row],[idDimensionamento]])</f>
        <v/>
      </c>
    </row>
    <row r="34" spans="2:66" x14ac:dyDescent="0.25">
      <c r="B34" s="12">
        <f>ROUNDUP((ROW(ESF[[#This Row],[idDiâmetro]])-ROW(ESF[[#Headers],[idDiâmetro]]))/(COUNT(SPT[Prof. (m)])*COUNT(PILARES[Pilar])),0)</f>
        <v>2</v>
      </c>
      <c r="C34" s="12">
        <f>IF(ESF[[#This Row],[idDiâmetro]]&lt;&gt;B33,1,IF(ESF[[#This Row],[Prof. (m)]]=0,C33+1,C33))</f>
        <v>1</v>
      </c>
      <c r="D34" s="1">
        <f>IFERROR(IF(D33=MAX(SPT[Prof. (m)]),0,D33+1),0)</f>
        <v>1</v>
      </c>
      <c r="E34" s="1">
        <f>INDEX(SPT[],MATCH(ESF[[#This Row],[Prof. (m)]],SPT[Prof. (m)],0),2)</f>
        <v>2</v>
      </c>
      <c r="F34" s="1" t="str">
        <f>INDEX(SPT[],MATCH(ESF[[#This Row],[Prof. (m)]],SPT[Prof. (m)],0),3)</f>
        <v>Areia siltosa</v>
      </c>
      <c r="G34" s="1">
        <f>INDEX(estacas[],ESF[[#This Row],[idDiâmetro]],MATCH($B$2,estacas[#Headers],0))</f>
        <v>30</v>
      </c>
      <c r="H34" s="1">
        <f>INDEX(estacas[],MATCH(ESF[[#This Row],[Ø (cm)]],estacas[Ø ESF (cm)],0),MATCH(ESF[[#Headers],[Pe ESF (kN)]],estacas[#Headers],0))</f>
        <v>360</v>
      </c>
      <c r="I34" s="4">
        <f>INDEX(K_alpha_C[],MATCH(ESF[[#This Row],[Solo]],K_alpha_C[Solo],0),2)</f>
        <v>0.8</v>
      </c>
      <c r="J34" s="5">
        <f>INDEX(K_alpha_C[],MATCH(ESF[[#This Row],[Solo]],K_alpha_C[Solo],0),3)</f>
        <v>2</v>
      </c>
      <c r="K34" s="4">
        <f>INDEX(F1_F2[],MATCH($D$2,F1_F2[Tipo de estaca],0),2)</f>
        <v>3</v>
      </c>
      <c r="L34" s="4">
        <f>INDEX(F1_F2[],MATCH($D$2,F1_F2[Tipo de estaca],0),3)</f>
        <v>6</v>
      </c>
      <c r="M34" s="4">
        <f>PI()*(ESF[[#This Row],[Ø (cm)]]/100)^2/4</f>
        <v>7.0685834705770348E-2</v>
      </c>
      <c r="N34" s="4">
        <f>PI()*ESF[[#This Row],[Ø (cm)]]/100</f>
        <v>0.94247779607693782</v>
      </c>
      <c r="O34" s="4">
        <f>IF(ESF[[#This Row],[Prof. (m)]]=0,0,ESF[[#This Row],[α (%)]]/100*ESF[[#This Row],[K (MPa)]]*1000*ESF[[#This Row],[NSPT]])</f>
        <v>32</v>
      </c>
      <c r="P34" s="4">
        <f>IF(ESF[[#This Row],[Prof. (m)]]=0,0,(ESF[[#This Row],[K (MPa)]]*1000*ESF[[#This Row],[NSPT]]/ESF[[#This Row],[F1]]*ESF[[#This Row],[Ap (m²)]]+ESF[[#This Row],[U (m)]]/ESF[[#This Row],[F2]]*SUMIFS(ESF[(α∙K∙NL∙ΔL)],ESF[Prof. (m)],"&lt;="&amp;ESF[[#This Row],[Prof. (m)]],ESF[idDiâmetro],ESF[[#This Row],[idDiâmetro]],ESF[idPilar],ESF[[#This Row],[idPilar]]))/'DADOS CAP. CARGA'!$D$2)</f>
        <v>21.362830044410597</v>
      </c>
      <c r="Q34" s="12">
        <f>INDEX(C_alpha_beta[],MATCH(ESF[[#This Row],[Solo]],C_alpha_beta[Solo],0),MATCH(ESF[[#Headers],[C (kPa)]],C_alpha_beta[#Headers],0))</f>
        <v>400</v>
      </c>
      <c r="R34" s="4">
        <f>INDEX(C_alpha_beta[],MATCH(ESF[[#This Row],[Solo]],C_alpha_beta[Solo],0),MATCH(ESF[[#Headers],[α ESF]],C_alpha_beta[#Headers],0))</f>
        <v>0.5</v>
      </c>
      <c r="S34" s="4">
        <f>INDEX(C_alpha_beta[],MATCH(ESF[[#This Row],[Solo]],C_alpha_beta[Solo],0),MATCH(ESF[[#Headers],[β ESF]],C_alpha_beta[#Headers],0))</f>
        <v>0.5</v>
      </c>
      <c r="T34" s="4">
        <f>IF(ESF[[#This Row],[Prof. (m)]]=0,0,10*(ESF[[#This Row],[NSPT]]/3+1))</f>
        <v>16.666666666666664</v>
      </c>
      <c r="U34" s="4">
        <f>(ESF[[#This Row],[α ESF]]*ESF[[#This Row],[C (kPa)]]*ESF[[#This Row],[NSPT]]*ESF[[#This Row],[Ap (m²)]])/'DADOS CAP. CARGA'!$Q$2+(ESF[[#This Row],[β ESF]]*SUMIFS(ESF[10∙(NL/3+1)],ESF[Prof. (m)],"&lt;="&amp;ESF[[#This Row],[Prof. (m)]],ESF[idDiâmetro],ESF[[#This Row],[idDiâmetro]],ESF[idPilar],ESF[[#This Row],[idPilar]])*ESF[[#This Row],[U (m)]])/'DADOS CAP. CARGA'!$S$2</f>
        <v>10.995574287564274</v>
      </c>
      <c r="V34" s="4">
        <f>IF(SPT!$M$5=1,MIN(ESF[[#This Row],[Pe ESF (kN)]],ESF[[#This Row],[R_AV (kN)]]),IF(SPT!$M$5=2,MIN(ESF[[#This Row],[Pe ESF (kN)]],ESF[[#This Row],[R_DC (kN)]]),MIN(ESF[[#This Row],[Pe ESF (kN)]],ESF[[#This Row],[R_AV (kN)]],ESF[[#This Row],[R_DC (kN)]])))</f>
        <v>10.995574287564274</v>
      </c>
      <c r="W34" s="4">
        <f>INDEX(PILARES[],ESF[[#This Row],[idPilar]],MATCH("Carga (kN)",PILARES[#Headers],0))*1.4</f>
        <v>3500</v>
      </c>
      <c r="X34" s="12">
        <f>INDEX(PILARES[],ESF[[#This Row],[idPilar]],MATCH(ESF[[#Headers],[ap (cm)]],PILARES[#Headers],0))</f>
        <v>60</v>
      </c>
      <c r="Y34" s="12">
        <f>INDEX(PILARES[],ESF[[#This Row],[idPilar]],MATCH(ESF[[#Headers],[bp (cm)]],PILARES[#Headers],0))</f>
        <v>60</v>
      </c>
      <c r="Z34" s="4">
        <f>SQRT(ESF[[#This Row],[ap (cm)]]*ESF[[#This Row],[bp (cm)]])</f>
        <v>60</v>
      </c>
      <c r="AA34" s="12">
        <f>ESF[[#This Row],[ap (cm)]]*ESF[[#This Row],[bp (cm)]]</f>
        <v>3600</v>
      </c>
      <c r="AB34" s="12">
        <f ca="1">IF(ESF[[#This Row],[Padm∙ε (kN)]]&gt;=ESF[[#This Row],[Padm (kN)]],ROUNDUP(1.05*ESF[[#This Row],[Nsd (kN)]]/ESF[[#This Row],[Padm (kN)]],0),ROUNDUP(1.05*ESF[[#This Row],[Nsd (kN)]]/ESF[[#This Row],[Padm (kN)]],0)+1)</f>
        <v>335</v>
      </c>
      <c r="AC34" s="4" t="str">
        <f ca="1">IFERROR(IF(ESF[[#This Row],[nE]]=1,ESF[[#This Row],[Padm (kN)]],ESF[[#This Row],[Padm (kN)]]*ESF[[#This Row],[nE]]*INDEX(grupoEstacas[],ESF[[#This Row],[nE]],MATCH("ε",grupoEstacas[#Headers],0))),"N.S.")</f>
        <v>N.S.</v>
      </c>
      <c r="AD34" s="4">
        <f ca="1">1.05*ESF[[#This Row],[Nsd (kN)]]/(ESF[[#This Row],[nE]]*PI()*ESF[[#This Row],[Ø (cm)]]^2/4)*10</f>
        <v>0.15519586490552978</v>
      </c>
      <c r="AE34" s="4">
        <f ca="1">IF(ESF[[#This Row],[σ (MPa)]]&lt;INDEX(tipoEstaca[],MATCH($D$2,tipoEstaca[TIPO DE ESTACA],0),MATCH("σmáx (MPa)",tipoEstaca[#Headers],0)),0.4%*PI()*ESF[[#This Row],[Ø (cm)]]^2/4,"N.S.")</f>
        <v>2.8274333882308138</v>
      </c>
      <c r="AF34" s="1">
        <f>INDEX(tipoEstaca[],MATCH($D$2,tipoEstaca[TIPO DE ESTACA],0),MATCH(ESF[[#Headers],[Comprimento (m)]],tipoEstaca[#Headers],0))</f>
        <v>2</v>
      </c>
      <c r="AG34" s="5">
        <f ca="1">ESF[[#This Row],[As,mín (cm²)]]/100^2*ESF[[#This Row],[Comprimento (m)]]*7850</f>
        <v>4.4390704195223778</v>
      </c>
      <c r="AH34" s="4">
        <f ca="1">ESF[[#This Row],[nE]]*ESF[[#This Row],[Prof. (m)]]*ESF[[#This Row],[Ap (m²)]]</f>
        <v>23.679754626433066</v>
      </c>
      <c r="AI34" s="1">
        <f ca="1">IF(ESF[[#This Row],[nE]]=1,0,MAX(3*ESF[[#This Row],[Ø (cm)]],60))</f>
        <v>90</v>
      </c>
      <c r="AJ34" s="1">
        <f ca="1">IF(ESF[[#This Row],[nE]]=1,ESF[[#This Row],[Ø (cm)]]+2*10,MAX(1.5*ESF[[#This Row],[Ø (cm)]],ESF[[#This Row],[Ø (cm)]]+15))</f>
        <v>45</v>
      </c>
      <c r="AK34" s="1" t="str">
        <f ca="1">alturaUtil(ESF[[#This Row],[nE]],ESF[[#This Row],[Ø (cm)]],ESF[[#This Row],[e (cm)]],ESF[[#This Row],[ap,eq (cm)]])</f>
        <v>N.S.</v>
      </c>
      <c r="AL34" s="1" t="str">
        <f ca="1">IFERROR(ESF[[#This Row],[d (cm)]]+arredondarParaCimaMultiplo5cm(MAX(5,SQRT(PI())/2*ESF[[#This Row],[Ø (cm)]]/5)),"N.S.")</f>
        <v>N.S.</v>
      </c>
      <c r="AM34" s="5" t="str">
        <f ca="1">alpha(ESF[[#This Row],[nE]],ESF[[#This Row],[d (cm)]],ESF[[#This Row],[e (cm)]],ESF[[#This Row],[ap,eq (cm)]])</f>
        <v>N.S.</v>
      </c>
      <c r="AN34" s="35" t="str">
        <f ca="1">IFERROR(ESF[[#This Row],[Nsd (kN)]]/(ESF[[#This Row],[Ap (cm²)]]*SIN(ESF[[#This Row],[α]])^2),"N.S.")</f>
        <v>N.S.</v>
      </c>
      <c r="AO34" s="35" t="str">
        <f ca="1">IFERROR(ESF[[#This Row],[Nsd (kN)]]/(ESF[[#This Row],[nE]]*PI()*ESF[[#This Row],[Ø (cm)]]^2/4*SIN(ESF[[#This Row],[α]])^2),"N.S.")</f>
        <v>N.S.</v>
      </c>
      <c r="AP34" s="4" t="str">
        <f ca="1">IFERROR(INDEX(grupoEstacas[],ESF[[#This Row],[nE]],MATCH("coef. Blévot",grupoEstacas[#Headers],0)),"N.S.")</f>
        <v>N.S.</v>
      </c>
      <c r="AQ34" s="35" t="str">
        <f ca="1">IFERROR(ESF[[#This Row],[coef. Blévot]]*0.9*INDEX(tipoEstaca[],MATCH($D$2,tipoEstaca[TIPO DE ESTACA],0),MATCH("fcd (kN/cm²)",tipoEstaca[#Headers],0)),"N.S.")</f>
        <v>N.S.</v>
      </c>
      <c r="AR34" s="1" t="str">
        <f ca="1">IF(AND(ESF[[#This Row],[cd,b,pil (kN/cm²)]]&lt;=ESF[[#This Row],[cd,b,lim (kN/cm²)]],ESF[[#This Row],[cd,b,est (kN/cm²)]]&lt;=ESF[[#This Row],[cd,b,lim (kN/cm²)]]),"OK","ERRO")</f>
        <v>OK</v>
      </c>
      <c r="AS34" s="4" t="str">
        <f ca="1">As_lado(ESF[[#This Row],[nE]],ESF[[#This Row],[Nsd (kN)]],ESF[[#This Row],[d (cm)]],ESF[[#This Row],[e (cm)]],ESF[[#This Row],[ap,eq (cm)]])</f>
        <v>N.S.</v>
      </c>
      <c r="AT34" s="4" t="str">
        <f ca="1">IF(ESF[[#This Row],[nE]]=1,ESF[[#This Row],[As,lado (cm²)]],IF(ESF[[#This Row],[nE]]=2,0.075*2*ESF[a (cm)],"N.A."))</f>
        <v>N.A.</v>
      </c>
      <c r="AU34" s="4" t="str">
        <f ca="1">IFERROR(IF(ESF[[#This Row],[nE]]=1,"N.A.",0.2*ESF[[#This Row],[As,lado (cm²)]]),"N.S.")</f>
        <v>N.S.</v>
      </c>
      <c r="AV34" s="4" t="str">
        <f ca="1">As_malha(ESF[[#This Row],[nE]],ESF[[#This Row],[As,lado (cm²)]],ESF[[#This Row],[Nsd (kN)]])</f>
        <v>N.S.</v>
      </c>
      <c r="AW34" s="4" t="str">
        <f ca="1">As_susp_tot(ESF[[#This Row],[nE]],ESF[[#This Row],[Nsd (kN)]])</f>
        <v>N.S.</v>
      </c>
      <c r="AX34" s="4" t="str">
        <f ca="1">Asp_face(ESF[[#This Row],[nE]],ESF[[#This Row],[As,lado (cm²)]])</f>
        <v>N.S.</v>
      </c>
      <c r="AY34" s="5" t="str">
        <f ca="1">acoBloco(ESF[[#This Row],[nE]],ESF[[#This Row],[e (cm)]],ESF[[#This Row],[a (cm)]],ESF[[#This Row],[h (cm)]],ESF[[#This Row],[As,lado (cm²)]],ESF[[#This Row],[Asp e Asw (cm²/m)]],ESF[[#This Row],[As,sup (cm²)]],ESF[[#This Row],[As,malha (cm²)]],ESF[[#This Row],[As,susp,tot (cm²)]],ESF[[#This Row],[Asp,face (cm²)]])</f>
        <v>N.S.</v>
      </c>
      <c r="AZ34" s="4" t="str">
        <f ca="1">concretoBloco(ESF[[#This Row],[nE]],ESF[[#This Row],[e (cm)]],ESF[[#This Row],[a (cm)]],ESF[[#This Row],[h (cm)]])</f>
        <v>N.S.</v>
      </c>
      <c r="BA34" s="5">
        <f ca="1">SUM(ESF[[#This Row],[Aço Est (kg)]],ESF[[#This Row],[Aço Bloco (kg)]])</f>
        <v>4.4390704195223778</v>
      </c>
      <c r="BB34" s="4">
        <f>INDEX(composicoes[],MATCH(95580,composicoes[CÓDIGO],0),MATCH("CUSTO TOTAL",composicoes[#Headers],0))</f>
        <v>10.46</v>
      </c>
      <c r="BC34" s="4">
        <f ca="1">SUM(ESF[[#This Row],[Conc Est (m³)]],ESF[[#This Row],[Conc Bloco (m³)]])</f>
        <v>23.679754626433066</v>
      </c>
      <c r="BD34" s="4">
        <f>INDEX(composicoes[],MATCH(94966,composicoes[CÓDIGO],0),MATCH("CUSTO TOTAL",composicoes[#Headers],0))</f>
        <v>439.52</v>
      </c>
      <c r="BE34" s="38">
        <f ca="1">ESF[[#This Row],[Aço (kg)]]*ESF[[#This Row],[Aço (R$/kg)]]+ESF[[#This Row],[Conc (m³)]]*ESF[[#This Row],[Conc (R$/m³)]]</f>
        <v>10454.158429998064</v>
      </c>
      <c r="BF34" s="4" t="str">
        <f ca="1">IF(COUNTIF(ESF[#This Row],"N.S.")&gt;0,"lim.","OK")</f>
        <v>lim.</v>
      </c>
      <c r="BG34" s="4" t="str">
        <f>IF(ESF[[#This Row],[Prof. (m)]]&lt;3,"lim.","OK")</f>
        <v>lim.</v>
      </c>
      <c r="BH34" s="4" t="str">
        <f>IF(ESF[[#This Row],[Prof. (m)]]&gt;=8*ESF[[#This Row],[Ø (cm)]]/100,"OK","lim.")</f>
        <v>lim.</v>
      </c>
      <c r="BI34" s="4" t="str">
        <f>IF(AND(SPT!$F$3&lt;&gt;"",ESF[[#This Row],[Prof. (m)]]&gt;=SPT!$F$3),"lim.","OK")</f>
        <v>OK</v>
      </c>
      <c r="BJ34" s="4" t="str">
        <f>IF(COUNTIFS(ESF[Solo],"Areia",ESF[Prof. (m)],"&lt;="&amp;ESF[[#This Row],[Prof. (m)]])&gt;=1,"lim.","OK")</f>
        <v>OK</v>
      </c>
      <c r="BK34" s="4" t="str">
        <f ca="1">IF(ESF[[#This Row],[Verif. Biela]]="OK","OK","lim.")</f>
        <v>OK</v>
      </c>
      <c r="BL34" s="4" t="str">
        <f ca="1">IF(COUNTA(ESF[[#This Row],[Nº Est.]:[Biela comp.]])=COUNTIF(ESF[[#This Row],[Nº Est.]:[Biela comp.]],"OK"),"OK","lim.")</f>
        <v>lim.</v>
      </c>
      <c r="BM34" s="4" t="str">
        <f ca="1">IF(ESF[[#This Row],[Controle]]="OK",ESF[[#This Row],[nE]]&amp;" Ø"&amp;ESF[[#This Row],[Ø (cm)]]&amp;"cm Prof. "&amp;ESF[[#This Row],[Prof. (m)]]&amp;" m","")</f>
        <v/>
      </c>
      <c r="BN34" s="4" t="str">
        <f ca="1">IF(ESF[[#This Row],[idDimensionamento]]="","",ESF[[#This Row],[idPilar]]&amp;ESF[[#This Row],[idDimensionamento]])</f>
        <v/>
      </c>
    </row>
    <row r="35" spans="2:66" x14ac:dyDescent="0.25">
      <c r="B35" s="12">
        <f>ROUNDUP((ROW(ESF[[#This Row],[idDiâmetro]])-ROW(ESF[[#Headers],[idDiâmetro]]))/(COUNT(SPT[Prof. (m)])*COUNT(PILARES[Pilar])),0)</f>
        <v>2</v>
      </c>
      <c r="C35" s="12">
        <f>IF(ESF[[#This Row],[idDiâmetro]]&lt;&gt;B34,1,IF(ESF[[#This Row],[Prof. (m)]]=0,C34+1,C34))</f>
        <v>1</v>
      </c>
      <c r="D35" s="1">
        <f>IFERROR(IF(D34=MAX(SPT[Prof. (m)]),0,D34+1),0)</f>
        <v>2</v>
      </c>
      <c r="E35" s="1">
        <f>INDEX(SPT[],MATCH(ESF[[#This Row],[Prof. (m)]],SPT[Prof. (m)],0),2)</f>
        <v>2</v>
      </c>
      <c r="F35" s="1" t="str">
        <f>INDEX(SPT[],MATCH(ESF[[#This Row],[Prof. (m)]],SPT[Prof. (m)],0),3)</f>
        <v>Areia siltosa</v>
      </c>
      <c r="G35" s="1">
        <f>INDEX(estacas[],ESF[[#This Row],[idDiâmetro]],MATCH($B$2,estacas[#Headers],0))</f>
        <v>30</v>
      </c>
      <c r="H35" s="1">
        <f>INDEX(estacas[],MATCH(ESF[[#This Row],[Ø (cm)]],estacas[Ø ESF (cm)],0),MATCH(ESF[[#Headers],[Pe ESF (kN)]],estacas[#Headers],0))</f>
        <v>360</v>
      </c>
      <c r="I35" s="4">
        <f>INDEX(K_alpha_C[],MATCH(ESF[[#This Row],[Solo]],K_alpha_C[Solo],0),2)</f>
        <v>0.8</v>
      </c>
      <c r="J35" s="5">
        <f>INDEX(K_alpha_C[],MATCH(ESF[[#This Row],[Solo]],K_alpha_C[Solo],0),3)</f>
        <v>2</v>
      </c>
      <c r="K35" s="4">
        <f>INDEX(F1_F2[],MATCH($D$2,F1_F2[Tipo de estaca],0),2)</f>
        <v>3</v>
      </c>
      <c r="L35" s="4">
        <f>INDEX(F1_F2[],MATCH($D$2,F1_F2[Tipo de estaca],0),3)</f>
        <v>6</v>
      </c>
      <c r="M35" s="4">
        <f>PI()*(ESF[[#This Row],[Ø (cm)]]/100)^2/4</f>
        <v>7.0685834705770348E-2</v>
      </c>
      <c r="N35" s="4">
        <f>PI()*ESF[[#This Row],[Ø (cm)]]/100</f>
        <v>0.94247779607693782</v>
      </c>
      <c r="O35" s="4">
        <f>IF(ESF[[#This Row],[Prof. (m)]]=0,0,ESF[[#This Row],[α (%)]]/100*ESF[[#This Row],[K (MPa)]]*1000*ESF[[#This Row],[NSPT]])</f>
        <v>32</v>
      </c>
      <c r="P35" s="4">
        <f>IF(ESF[[#This Row],[Prof. (m)]]=0,0,(ESF[[#This Row],[K (MPa)]]*1000*ESF[[#This Row],[NSPT]]/ESF[[#This Row],[F1]]*ESF[[#This Row],[Ap (m²)]]+ESF[[#This Row],[U (m)]]/ESF[[#This Row],[F2]]*SUMIFS(ESF[(α∙K∙NL∙ΔL)],ESF[Prof. (m)],"&lt;="&amp;ESF[[#This Row],[Prof. (m)]],ESF[idDiâmetro],ESF[[#This Row],[idDiâmetro]],ESF[idPilar],ESF[[#This Row],[idPilar]]))/'DADOS CAP. CARGA'!$D$2)</f>
        <v>23.876104167282431</v>
      </c>
      <c r="Q35" s="12">
        <f>INDEX(C_alpha_beta[],MATCH(ESF[[#This Row],[Solo]],C_alpha_beta[Solo],0),MATCH(ESF[[#Headers],[C (kPa)]],C_alpha_beta[#Headers],0))</f>
        <v>400</v>
      </c>
      <c r="R35" s="4">
        <f>INDEX(C_alpha_beta[],MATCH(ESF[[#This Row],[Solo]],C_alpha_beta[Solo],0),MATCH(ESF[[#Headers],[α ESF]],C_alpha_beta[#Headers],0))</f>
        <v>0.5</v>
      </c>
      <c r="S35" s="4">
        <f>INDEX(C_alpha_beta[],MATCH(ESF[[#This Row],[Solo]],C_alpha_beta[Solo],0),MATCH(ESF[[#Headers],[β ESF]],C_alpha_beta[#Headers],0))</f>
        <v>0.5</v>
      </c>
      <c r="T35" s="4">
        <f>IF(ESF[[#This Row],[Prof. (m)]]=0,0,10*(ESF[[#This Row],[NSPT]]/3+1))</f>
        <v>16.666666666666664</v>
      </c>
      <c r="U35" s="4">
        <f>(ESF[[#This Row],[α ESF]]*ESF[[#This Row],[C (kPa)]]*ESF[[#This Row],[NSPT]]*ESF[[#This Row],[Ap (m²)]])/'DADOS CAP. CARGA'!$Q$2+(ESF[[#This Row],[β ESF]]*SUMIFS(ESF[10∙(NL/3+1)],ESF[Prof. (m)],"&lt;="&amp;ESF[[#This Row],[Prof. (m)]],ESF[idDiâmetro],ESF[[#This Row],[idDiâmetro]],ESF[idPilar],ESF[[#This Row],[idPilar]])*ESF[[#This Row],[U (m)]])/'DADOS CAP. CARGA'!$S$2</f>
        <v>14.922565104551516</v>
      </c>
      <c r="V35" s="4">
        <f>IF(SPT!$M$5=1,MIN(ESF[[#This Row],[Pe ESF (kN)]],ESF[[#This Row],[R_AV (kN)]]),IF(SPT!$M$5=2,MIN(ESF[[#This Row],[Pe ESF (kN)]],ESF[[#This Row],[R_DC (kN)]]),MIN(ESF[[#This Row],[Pe ESF (kN)]],ESF[[#This Row],[R_AV (kN)]],ESF[[#This Row],[R_DC (kN)]])))</f>
        <v>14.922565104551516</v>
      </c>
      <c r="W35" s="4">
        <f>INDEX(PILARES[],ESF[[#This Row],[idPilar]],MATCH("Carga (kN)",PILARES[#Headers],0))*1.4</f>
        <v>3500</v>
      </c>
      <c r="X35" s="12">
        <f>INDEX(PILARES[],ESF[[#This Row],[idPilar]],MATCH(ESF[[#Headers],[ap (cm)]],PILARES[#Headers],0))</f>
        <v>60</v>
      </c>
      <c r="Y35" s="12">
        <f>INDEX(PILARES[],ESF[[#This Row],[idPilar]],MATCH(ESF[[#Headers],[bp (cm)]],PILARES[#Headers],0))</f>
        <v>60</v>
      </c>
      <c r="Z35" s="4">
        <f>SQRT(ESF[[#This Row],[ap (cm)]]*ESF[[#This Row],[bp (cm)]])</f>
        <v>60</v>
      </c>
      <c r="AA35" s="12">
        <f>ESF[[#This Row],[ap (cm)]]*ESF[[#This Row],[bp (cm)]]</f>
        <v>3600</v>
      </c>
      <c r="AB35" s="12">
        <f ca="1">IF(ESF[[#This Row],[Padm∙ε (kN)]]&gt;=ESF[[#This Row],[Padm (kN)]],ROUNDUP(1.05*ESF[[#This Row],[Nsd (kN)]]/ESF[[#This Row],[Padm (kN)]],0),ROUNDUP(1.05*ESF[[#This Row],[Nsd (kN)]]/ESF[[#This Row],[Padm (kN)]],0)+1)</f>
        <v>247</v>
      </c>
      <c r="AC35" s="4" t="str">
        <f ca="1">IFERROR(IF(ESF[[#This Row],[nE]]=1,ESF[[#This Row],[Padm (kN)]],ESF[[#This Row],[Padm (kN)]]*ESF[[#This Row],[nE]]*INDEX(grupoEstacas[],ESF[[#This Row],[nE]],MATCH("ε",grupoEstacas[#Headers],0))),"N.S.")</f>
        <v>N.S.</v>
      </c>
      <c r="AD35" s="4">
        <f ca="1">1.05*ESF[[#This Row],[Nsd (kN)]]/(ESF[[#This Row],[nE]]*PI()*ESF[[#This Row],[Ø (cm)]]^2/4)*10</f>
        <v>0.21048831879899788</v>
      </c>
      <c r="AE35" s="4">
        <f ca="1">IF(ESF[[#This Row],[σ (MPa)]]&lt;INDEX(tipoEstaca[],MATCH($D$2,tipoEstaca[TIPO DE ESTACA],0),MATCH("σmáx (MPa)",tipoEstaca[#Headers],0)),0.4%*PI()*ESF[[#This Row],[Ø (cm)]]^2/4,"N.S.")</f>
        <v>2.8274333882308138</v>
      </c>
      <c r="AF35" s="1">
        <f>INDEX(tipoEstaca[],MATCH($D$2,tipoEstaca[TIPO DE ESTACA],0),MATCH(ESF[[#Headers],[Comprimento (m)]],tipoEstaca[#Headers],0))</f>
        <v>2</v>
      </c>
      <c r="AG35" s="5">
        <f ca="1">ESF[[#This Row],[As,mín (cm²)]]/100^2*ESF[[#This Row],[Comprimento (m)]]*7850</f>
        <v>4.4390704195223778</v>
      </c>
      <c r="AH35" s="4">
        <f ca="1">ESF[[#This Row],[nE]]*ESF[[#This Row],[Prof. (m)]]*ESF[[#This Row],[Ap (m²)]]</f>
        <v>34.918802344650551</v>
      </c>
      <c r="AI35" s="1">
        <f ca="1">IF(ESF[[#This Row],[nE]]=1,0,MAX(3*ESF[[#This Row],[Ø (cm)]],60))</f>
        <v>90</v>
      </c>
      <c r="AJ35" s="1">
        <f ca="1">IF(ESF[[#This Row],[nE]]=1,ESF[[#This Row],[Ø (cm)]]+2*10,MAX(1.5*ESF[[#This Row],[Ø (cm)]],ESF[[#This Row],[Ø (cm)]]+15))</f>
        <v>45</v>
      </c>
      <c r="AK35" s="1" t="str">
        <f ca="1">alturaUtil(ESF[[#This Row],[nE]],ESF[[#This Row],[Ø (cm)]],ESF[[#This Row],[e (cm)]],ESF[[#This Row],[ap,eq (cm)]])</f>
        <v>N.S.</v>
      </c>
      <c r="AL35" s="1" t="str">
        <f ca="1">IFERROR(ESF[[#This Row],[d (cm)]]+arredondarParaCimaMultiplo5cm(MAX(5,SQRT(PI())/2*ESF[[#This Row],[Ø (cm)]]/5)),"N.S.")</f>
        <v>N.S.</v>
      </c>
      <c r="AM35" s="5" t="str">
        <f ca="1">alpha(ESF[[#This Row],[nE]],ESF[[#This Row],[d (cm)]],ESF[[#This Row],[e (cm)]],ESF[[#This Row],[ap,eq (cm)]])</f>
        <v>N.S.</v>
      </c>
      <c r="AN35" s="35" t="str">
        <f ca="1">IFERROR(ESF[[#This Row],[Nsd (kN)]]/(ESF[[#This Row],[Ap (cm²)]]*SIN(ESF[[#This Row],[α]])^2),"N.S.")</f>
        <v>N.S.</v>
      </c>
      <c r="AO35" s="35" t="str">
        <f ca="1">IFERROR(ESF[[#This Row],[Nsd (kN)]]/(ESF[[#This Row],[nE]]*PI()*ESF[[#This Row],[Ø (cm)]]^2/4*SIN(ESF[[#This Row],[α]])^2),"N.S.")</f>
        <v>N.S.</v>
      </c>
      <c r="AP35" s="4" t="str">
        <f ca="1">IFERROR(INDEX(grupoEstacas[],ESF[[#This Row],[nE]],MATCH("coef. Blévot",grupoEstacas[#Headers],0)),"N.S.")</f>
        <v>N.S.</v>
      </c>
      <c r="AQ35" s="35" t="str">
        <f ca="1">IFERROR(ESF[[#This Row],[coef. Blévot]]*0.9*INDEX(tipoEstaca[],MATCH($D$2,tipoEstaca[TIPO DE ESTACA],0),MATCH("fcd (kN/cm²)",tipoEstaca[#Headers],0)),"N.S.")</f>
        <v>N.S.</v>
      </c>
      <c r="AR35" s="1" t="str">
        <f ca="1">IF(AND(ESF[[#This Row],[cd,b,pil (kN/cm²)]]&lt;=ESF[[#This Row],[cd,b,lim (kN/cm²)]],ESF[[#This Row],[cd,b,est (kN/cm²)]]&lt;=ESF[[#This Row],[cd,b,lim (kN/cm²)]]),"OK","ERRO")</f>
        <v>OK</v>
      </c>
      <c r="AS35" s="4" t="str">
        <f ca="1">As_lado(ESF[[#This Row],[nE]],ESF[[#This Row],[Nsd (kN)]],ESF[[#This Row],[d (cm)]],ESF[[#This Row],[e (cm)]],ESF[[#This Row],[ap,eq (cm)]])</f>
        <v>N.S.</v>
      </c>
      <c r="AT35" s="4" t="str">
        <f ca="1">IF(ESF[[#This Row],[nE]]=1,ESF[[#This Row],[As,lado (cm²)]],IF(ESF[[#This Row],[nE]]=2,0.075*2*ESF[a (cm)],"N.A."))</f>
        <v>N.A.</v>
      </c>
      <c r="AU35" s="4" t="str">
        <f ca="1">IFERROR(IF(ESF[[#This Row],[nE]]=1,"N.A.",0.2*ESF[[#This Row],[As,lado (cm²)]]),"N.S.")</f>
        <v>N.S.</v>
      </c>
      <c r="AV35" s="4" t="str">
        <f ca="1">As_malha(ESF[[#This Row],[nE]],ESF[[#This Row],[As,lado (cm²)]],ESF[[#This Row],[Nsd (kN)]])</f>
        <v>N.S.</v>
      </c>
      <c r="AW35" s="4" t="str">
        <f ca="1">As_susp_tot(ESF[[#This Row],[nE]],ESF[[#This Row],[Nsd (kN)]])</f>
        <v>N.S.</v>
      </c>
      <c r="AX35" s="4" t="str">
        <f ca="1">Asp_face(ESF[[#This Row],[nE]],ESF[[#This Row],[As,lado (cm²)]])</f>
        <v>N.S.</v>
      </c>
      <c r="AY35" s="5" t="str">
        <f ca="1">acoBloco(ESF[[#This Row],[nE]],ESF[[#This Row],[e (cm)]],ESF[[#This Row],[a (cm)]],ESF[[#This Row],[h (cm)]],ESF[[#This Row],[As,lado (cm²)]],ESF[[#This Row],[Asp e Asw (cm²/m)]],ESF[[#This Row],[As,sup (cm²)]],ESF[[#This Row],[As,malha (cm²)]],ESF[[#This Row],[As,susp,tot (cm²)]],ESF[[#This Row],[Asp,face (cm²)]])</f>
        <v>N.S.</v>
      </c>
      <c r="AZ35" s="4" t="str">
        <f ca="1">concretoBloco(ESF[[#This Row],[nE]],ESF[[#This Row],[e (cm)]],ESF[[#This Row],[a (cm)]],ESF[[#This Row],[h (cm)]])</f>
        <v>N.S.</v>
      </c>
      <c r="BA35" s="5">
        <f ca="1">SUM(ESF[[#This Row],[Aço Est (kg)]],ESF[[#This Row],[Aço Bloco (kg)]])</f>
        <v>4.4390704195223778</v>
      </c>
      <c r="BB35" s="4">
        <f>INDEX(composicoes[],MATCH(95580,composicoes[CÓDIGO],0),MATCH("CUSTO TOTAL",composicoes[#Headers],0))</f>
        <v>10.46</v>
      </c>
      <c r="BC35" s="4">
        <f ca="1">SUM(ESF[[#This Row],[Conc Est (m³)]],ESF[[#This Row],[Conc Bloco (m³)]])</f>
        <v>34.918802344650551</v>
      </c>
      <c r="BD35" s="4">
        <f>INDEX(composicoes[],MATCH(94966,composicoes[CÓDIGO],0),MATCH("CUSTO TOTAL",composicoes[#Headers],0))</f>
        <v>439.52</v>
      </c>
      <c r="BE35" s="38">
        <f ca="1">ESF[[#This Row],[Aço (kg)]]*ESF[[#This Row],[Aço (R$/kg)]]+ESF[[#This Row],[Conc (m³)]]*ESF[[#This Row],[Conc (R$/m³)]]</f>
        <v>15393.944683109014</v>
      </c>
      <c r="BF35" s="4" t="str">
        <f ca="1">IF(COUNTIF(ESF[#This Row],"N.S.")&gt;0,"lim.","OK")</f>
        <v>lim.</v>
      </c>
      <c r="BG35" s="4" t="str">
        <f>IF(ESF[[#This Row],[Prof. (m)]]&lt;3,"lim.","OK")</f>
        <v>lim.</v>
      </c>
      <c r="BH35" s="4" t="str">
        <f>IF(ESF[[#This Row],[Prof. (m)]]&gt;=8*ESF[[#This Row],[Ø (cm)]]/100,"OK","lim.")</f>
        <v>lim.</v>
      </c>
      <c r="BI35" s="4" t="str">
        <f>IF(AND(SPT!$F$3&lt;&gt;"",ESF[[#This Row],[Prof. (m)]]&gt;=SPT!$F$3),"lim.","OK")</f>
        <v>OK</v>
      </c>
      <c r="BJ35" s="4" t="str">
        <f>IF(COUNTIFS(ESF[Solo],"Areia",ESF[Prof. (m)],"&lt;="&amp;ESF[[#This Row],[Prof. (m)]])&gt;=1,"lim.","OK")</f>
        <v>OK</v>
      </c>
      <c r="BK35" s="4" t="str">
        <f ca="1">IF(ESF[[#This Row],[Verif. Biela]]="OK","OK","lim.")</f>
        <v>OK</v>
      </c>
      <c r="BL35" s="4" t="str">
        <f ca="1">IF(COUNTA(ESF[[#This Row],[Nº Est.]:[Biela comp.]])=COUNTIF(ESF[[#This Row],[Nº Est.]:[Biela comp.]],"OK"),"OK","lim.")</f>
        <v>lim.</v>
      </c>
      <c r="BM35" s="4" t="str">
        <f ca="1">IF(ESF[[#This Row],[Controle]]="OK",ESF[[#This Row],[nE]]&amp;" Ø"&amp;ESF[[#This Row],[Ø (cm)]]&amp;"cm Prof. "&amp;ESF[[#This Row],[Prof. (m)]]&amp;" m","")</f>
        <v/>
      </c>
      <c r="BN35" s="4" t="str">
        <f ca="1">IF(ESF[[#This Row],[idDimensionamento]]="","",ESF[[#This Row],[idPilar]]&amp;ESF[[#This Row],[idDimensionamento]])</f>
        <v/>
      </c>
    </row>
    <row r="36" spans="2:66" x14ac:dyDescent="0.25">
      <c r="B36" s="12">
        <f>ROUNDUP((ROW(ESF[[#This Row],[idDiâmetro]])-ROW(ESF[[#Headers],[idDiâmetro]]))/(COUNT(SPT[Prof. (m)])*COUNT(PILARES[Pilar])),0)</f>
        <v>2</v>
      </c>
      <c r="C36" s="12">
        <f>IF(ESF[[#This Row],[idDiâmetro]]&lt;&gt;B35,1,IF(ESF[[#This Row],[Prof. (m)]]=0,C35+1,C35))</f>
        <v>1</v>
      </c>
      <c r="D36" s="1">
        <f>IFERROR(IF(D35=MAX(SPT[Prof. (m)]),0,D35+1),0)</f>
        <v>3</v>
      </c>
      <c r="E36" s="1">
        <f>INDEX(SPT[],MATCH(ESF[[#This Row],[Prof. (m)]],SPT[Prof. (m)],0),2)</f>
        <v>4</v>
      </c>
      <c r="F36" s="1" t="str">
        <f>INDEX(SPT[],MATCH(ESF[[#This Row],[Prof. (m)]],SPT[Prof. (m)],0),3)</f>
        <v>Areia siltosa</v>
      </c>
      <c r="G36" s="1">
        <f>INDEX(estacas[],ESF[[#This Row],[idDiâmetro]],MATCH($B$2,estacas[#Headers],0))</f>
        <v>30</v>
      </c>
      <c r="H36" s="1">
        <f>INDEX(estacas[],MATCH(ESF[[#This Row],[Ø (cm)]],estacas[Ø ESF (cm)],0),MATCH(ESF[[#Headers],[Pe ESF (kN)]],estacas[#Headers],0))</f>
        <v>360</v>
      </c>
      <c r="I36" s="4">
        <f>INDEX(K_alpha_C[],MATCH(ESF[[#This Row],[Solo]],K_alpha_C[Solo],0),2)</f>
        <v>0.8</v>
      </c>
      <c r="J36" s="5">
        <f>INDEX(K_alpha_C[],MATCH(ESF[[#This Row],[Solo]],K_alpha_C[Solo],0),3)</f>
        <v>2</v>
      </c>
      <c r="K36" s="4">
        <f>INDEX(F1_F2[],MATCH($D$2,F1_F2[Tipo de estaca],0),2)</f>
        <v>3</v>
      </c>
      <c r="L36" s="4">
        <f>INDEX(F1_F2[],MATCH($D$2,F1_F2[Tipo de estaca],0),3)</f>
        <v>6</v>
      </c>
      <c r="M36" s="4">
        <f>PI()*(ESF[[#This Row],[Ø (cm)]]/100)^2/4</f>
        <v>7.0685834705770348E-2</v>
      </c>
      <c r="N36" s="4">
        <f>PI()*ESF[[#This Row],[Ø (cm)]]/100</f>
        <v>0.94247779607693782</v>
      </c>
      <c r="O36" s="4">
        <f>IF(ESF[[#This Row],[Prof. (m)]]=0,0,ESF[[#This Row],[α (%)]]/100*ESF[[#This Row],[K (MPa)]]*1000*ESF[[#This Row],[NSPT]])</f>
        <v>64</v>
      </c>
      <c r="P36" s="4">
        <f>IF(ESF[[#This Row],[Prof. (m)]]=0,0,(ESF[[#This Row],[K (MPa)]]*1000*ESF[[#This Row],[NSPT]]/ESF[[#This Row],[F1]]*ESF[[#This Row],[Ap (m²)]]+ESF[[#This Row],[U (m)]]/ESF[[#This Row],[F2]]*SUMIFS(ESF[(α∙K∙NL∙ΔL)],ESF[Prof. (m)],"&lt;="&amp;ESF[[#This Row],[Prof. (m)]],ESF[idDiâmetro],ESF[[#This Row],[idDiâmetro]],ESF[idPilar],ESF[[#This Row],[idPilar]]))/'DADOS CAP. CARGA'!$D$2)</f>
        <v>47.752208334564862</v>
      </c>
      <c r="Q36" s="12">
        <f>INDEX(C_alpha_beta[],MATCH(ESF[[#This Row],[Solo]],C_alpha_beta[Solo],0),MATCH(ESF[[#Headers],[C (kPa)]],C_alpha_beta[#Headers],0))</f>
        <v>400</v>
      </c>
      <c r="R36" s="4">
        <f>INDEX(C_alpha_beta[],MATCH(ESF[[#This Row],[Solo]],C_alpha_beta[Solo],0),MATCH(ESF[[#Headers],[α ESF]],C_alpha_beta[#Headers],0))</f>
        <v>0.5</v>
      </c>
      <c r="S36" s="4">
        <f>INDEX(C_alpha_beta[],MATCH(ESF[[#This Row],[Solo]],C_alpha_beta[Solo],0),MATCH(ESF[[#Headers],[β ESF]],C_alpha_beta[#Headers],0))</f>
        <v>0.5</v>
      </c>
      <c r="T36" s="4">
        <f>IF(ESF[[#This Row],[Prof. (m)]]=0,0,10*(ESF[[#This Row],[NSPT]]/3+1))</f>
        <v>23.333333333333329</v>
      </c>
      <c r="U36" s="4">
        <f>(ESF[[#This Row],[α ESF]]*ESF[[#This Row],[C (kPa)]]*ESF[[#This Row],[NSPT]]*ESF[[#This Row],[Ap (m²)]])/'DADOS CAP. CARGA'!$Q$2+(ESF[[#This Row],[β ESF]]*SUMIFS(ESF[10∙(NL/3+1)],ESF[Prof. (m)],"&lt;="&amp;ESF[[#This Row],[Prof. (m)]],ESF[idDiâmetro],ESF[[#This Row],[idDiâmetro]],ESF[idPilar],ESF[[#This Row],[idPilar]])*ESF[[#This Row],[U (m)]])/'DADOS CAP. CARGA'!$S$2</f>
        <v>27.488935718910685</v>
      </c>
      <c r="V36" s="4">
        <f>IF(SPT!$M$5=1,MIN(ESF[[#This Row],[Pe ESF (kN)]],ESF[[#This Row],[R_AV (kN)]]),IF(SPT!$M$5=2,MIN(ESF[[#This Row],[Pe ESF (kN)]],ESF[[#This Row],[R_DC (kN)]]),MIN(ESF[[#This Row],[Pe ESF (kN)]],ESF[[#This Row],[R_AV (kN)]],ESF[[#This Row],[R_DC (kN)]])))</f>
        <v>27.488935718910685</v>
      </c>
      <c r="W36" s="4">
        <f>INDEX(PILARES[],ESF[[#This Row],[idPilar]],MATCH("Carga (kN)",PILARES[#Headers],0))*1.4</f>
        <v>3500</v>
      </c>
      <c r="X36" s="12">
        <f>INDEX(PILARES[],ESF[[#This Row],[idPilar]],MATCH(ESF[[#Headers],[ap (cm)]],PILARES[#Headers],0))</f>
        <v>60</v>
      </c>
      <c r="Y36" s="12">
        <f>INDEX(PILARES[],ESF[[#This Row],[idPilar]],MATCH(ESF[[#Headers],[bp (cm)]],PILARES[#Headers],0))</f>
        <v>60</v>
      </c>
      <c r="Z36" s="4">
        <f>SQRT(ESF[[#This Row],[ap (cm)]]*ESF[[#This Row],[bp (cm)]])</f>
        <v>60</v>
      </c>
      <c r="AA36" s="12">
        <f>ESF[[#This Row],[ap (cm)]]*ESF[[#This Row],[bp (cm)]]</f>
        <v>3600</v>
      </c>
      <c r="AB36" s="12">
        <f ca="1">IF(ESF[[#This Row],[Padm∙ε (kN)]]&gt;=ESF[[#This Row],[Padm (kN)]],ROUNDUP(1.05*ESF[[#This Row],[Nsd (kN)]]/ESF[[#This Row],[Padm (kN)]],0),ROUNDUP(1.05*ESF[[#This Row],[Nsd (kN)]]/ESF[[#This Row],[Padm (kN)]],0)+1)</f>
        <v>134</v>
      </c>
      <c r="AC36" s="4" t="str">
        <f ca="1">IFERROR(IF(ESF[[#This Row],[nE]]=1,ESF[[#This Row],[Padm (kN)]],ESF[[#This Row],[Padm (kN)]]*ESF[[#This Row],[nE]]*INDEX(grupoEstacas[],ESF[[#This Row],[nE]],MATCH("ε",grupoEstacas[#Headers],0))),"N.S.")</f>
        <v>N.S.</v>
      </c>
      <c r="AD36" s="4">
        <f ca="1">1.05*ESF[[#This Row],[Nsd (kN)]]/(ESF[[#This Row],[nE]]*PI()*ESF[[#This Row],[Ø (cm)]]^2/4)*10</f>
        <v>0.38798966226382448</v>
      </c>
      <c r="AE36" s="4">
        <f ca="1">IF(ESF[[#This Row],[σ (MPa)]]&lt;INDEX(tipoEstaca[],MATCH($D$2,tipoEstaca[TIPO DE ESTACA],0),MATCH("σmáx (MPa)",tipoEstaca[#Headers],0)),0.4%*PI()*ESF[[#This Row],[Ø (cm)]]^2/4,"N.S.")</f>
        <v>2.8274333882308138</v>
      </c>
      <c r="AF36" s="1">
        <f>INDEX(tipoEstaca[],MATCH($D$2,tipoEstaca[TIPO DE ESTACA],0),MATCH(ESF[[#Headers],[Comprimento (m)]],tipoEstaca[#Headers],0))</f>
        <v>2</v>
      </c>
      <c r="AG36" s="5">
        <f ca="1">ESF[[#This Row],[As,mín (cm²)]]/100^2*ESF[[#This Row],[Comprimento (m)]]*7850</f>
        <v>4.4390704195223778</v>
      </c>
      <c r="AH36" s="4">
        <f ca="1">ESF[[#This Row],[nE]]*ESF[[#This Row],[Prof. (m)]]*ESF[[#This Row],[Ap (m²)]]</f>
        <v>28.415705551719679</v>
      </c>
      <c r="AI36" s="1">
        <f ca="1">IF(ESF[[#This Row],[nE]]=1,0,MAX(3*ESF[[#This Row],[Ø (cm)]],60))</f>
        <v>90</v>
      </c>
      <c r="AJ36" s="1">
        <f ca="1">IF(ESF[[#This Row],[nE]]=1,ESF[[#This Row],[Ø (cm)]]+2*10,MAX(1.5*ESF[[#This Row],[Ø (cm)]],ESF[[#This Row],[Ø (cm)]]+15))</f>
        <v>45</v>
      </c>
      <c r="AK36" s="1" t="str">
        <f ca="1">alturaUtil(ESF[[#This Row],[nE]],ESF[[#This Row],[Ø (cm)]],ESF[[#This Row],[e (cm)]],ESF[[#This Row],[ap,eq (cm)]])</f>
        <v>N.S.</v>
      </c>
      <c r="AL36" s="1" t="str">
        <f ca="1">IFERROR(ESF[[#This Row],[d (cm)]]+arredondarParaCimaMultiplo5cm(MAX(5,SQRT(PI())/2*ESF[[#This Row],[Ø (cm)]]/5)),"N.S.")</f>
        <v>N.S.</v>
      </c>
      <c r="AM36" s="5" t="str">
        <f ca="1">alpha(ESF[[#This Row],[nE]],ESF[[#This Row],[d (cm)]],ESF[[#This Row],[e (cm)]],ESF[[#This Row],[ap,eq (cm)]])</f>
        <v>N.S.</v>
      </c>
      <c r="AN36" s="35" t="str">
        <f ca="1">IFERROR(ESF[[#This Row],[Nsd (kN)]]/(ESF[[#This Row],[Ap (cm²)]]*SIN(ESF[[#This Row],[α]])^2),"N.S.")</f>
        <v>N.S.</v>
      </c>
      <c r="AO36" s="35" t="str">
        <f ca="1">IFERROR(ESF[[#This Row],[Nsd (kN)]]/(ESF[[#This Row],[nE]]*PI()*ESF[[#This Row],[Ø (cm)]]^2/4*SIN(ESF[[#This Row],[α]])^2),"N.S.")</f>
        <v>N.S.</v>
      </c>
      <c r="AP36" s="4" t="str">
        <f ca="1">IFERROR(INDEX(grupoEstacas[],ESF[[#This Row],[nE]],MATCH("coef. Blévot",grupoEstacas[#Headers],0)),"N.S.")</f>
        <v>N.S.</v>
      </c>
      <c r="AQ36" s="35" t="str">
        <f ca="1">IFERROR(ESF[[#This Row],[coef. Blévot]]*0.9*INDEX(tipoEstaca[],MATCH($D$2,tipoEstaca[TIPO DE ESTACA],0),MATCH("fcd (kN/cm²)",tipoEstaca[#Headers],0)),"N.S.")</f>
        <v>N.S.</v>
      </c>
      <c r="AR36" s="1" t="str">
        <f ca="1">IF(AND(ESF[[#This Row],[cd,b,pil (kN/cm²)]]&lt;=ESF[[#This Row],[cd,b,lim (kN/cm²)]],ESF[[#This Row],[cd,b,est (kN/cm²)]]&lt;=ESF[[#This Row],[cd,b,lim (kN/cm²)]]),"OK","ERRO")</f>
        <v>OK</v>
      </c>
      <c r="AS36" s="4" t="str">
        <f ca="1">As_lado(ESF[[#This Row],[nE]],ESF[[#This Row],[Nsd (kN)]],ESF[[#This Row],[d (cm)]],ESF[[#This Row],[e (cm)]],ESF[[#This Row],[ap,eq (cm)]])</f>
        <v>N.S.</v>
      </c>
      <c r="AT36" s="4" t="str">
        <f ca="1">IF(ESF[[#This Row],[nE]]=1,ESF[[#This Row],[As,lado (cm²)]],IF(ESF[[#This Row],[nE]]=2,0.075*2*ESF[a (cm)],"N.A."))</f>
        <v>N.A.</v>
      </c>
      <c r="AU36" s="4" t="str">
        <f ca="1">IFERROR(IF(ESF[[#This Row],[nE]]=1,"N.A.",0.2*ESF[[#This Row],[As,lado (cm²)]]),"N.S.")</f>
        <v>N.S.</v>
      </c>
      <c r="AV36" s="4" t="str">
        <f ca="1">As_malha(ESF[[#This Row],[nE]],ESF[[#This Row],[As,lado (cm²)]],ESF[[#This Row],[Nsd (kN)]])</f>
        <v>N.S.</v>
      </c>
      <c r="AW36" s="4" t="str">
        <f ca="1">As_susp_tot(ESF[[#This Row],[nE]],ESF[[#This Row],[Nsd (kN)]])</f>
        <v>N.S.</v>
      </c>
      <c r="AX36" s="4" t="str">
        <f ca="1">Asp_face(ESF[[#This Row],[nE]],ESF[[#This Row],[As,lado (cm²)]])</f>
        <v>N.S.</v>
      </c>
      <c r="AY36" s="5" t="str">
        <f ca="1">acoBloco(ESF[[#This Row],[nE]],ESF[[#This Row],[e (cm)]],ESF[[#This Row],[a (cm)]],ESF[[#This Row],[h (cm)]],ESF[[#This Row],[As,lado (cm²)]],ESF[[#This Row],[Asp e Asw (cm²/m)]],ESF[[#This Row],[As,sup (cm²)]],ESF[[#This Row],[As,malha (cm²)]],ESF[[#This Row],[As,susp,tot (cm²)]],ESF[[#This Row],[Asp,face (cm²)]])</f>
        <v>N.S.</v>
      </c>
      <c r="AZ36" s="4" t="str">
        <f ca="1">concretoBloco(ESF[[#This Row],[nE]],ESF[[#This Row],[e (cm)]],ESF[[#This Row],[a (cm)]],ESF[[#This Row],[h (cm)]])</f>
        <v>N.S.</v>
      </c>
      <c r="BA36" s="5">
        <f ca="1">SUM(ESF[[#This Row],[Aço Est (kg)]],ESF[[#This Row],[Aço Bloco (kg)]])</f>
        <v>4.4390704195223778</v>
      </c>
      <c r="BB36" s="4">
        <f>INDEX(composicoes[],MATCH(95580,composicoes[CÓDIGO],0),MATCH("CUSTO TOTAL",composicoes[#Headers],0))</f>
        <v>10.46</v>
      </c>
      <c r="BC36" s="4">
        <f ca="1">SUM(ESF[[#This Row],[Conc Est (m³)]],ESF[[#This Row],[Conc Bloco (m³)]])</f>
        <v>28.415705551719679</v>
      </c>
      <c r="BD36" s="4">
        <f>INDEX(composicoes[],MATCH(94966,composicoes[CÓDIGO],0),MATCH("CUSTO TOTAL",composicoes[#Headers],0))</f>
        <v>439.52</v>
      </c>
      <c r="BE36" s="38">
        <f ca="1">ESF[[#This Row],[Aço (kg)]]*ESF[[#This Row],[Aço (R$/kg)]]+ESF[[#This Row],[Conc (m³)]]*ESF[[#This Row],[Conc (R$/m³)]]</f>
        <v>12535.703580680036</v>
      </c>
      <c r="BF36" s="4" t="str">
        <f ca="1">IF(COUNTIF(ESF[#This Row],"N.S.")&gt;0,"lim.","OK")</f>
        <v>lim.</v>
      </c>
      <c r="BG36" s="4" t="str">
        <f>IF(ESF[[#This Row],[Prof. (m)]]&lt;3,"lim.","OK")</f>
        <v>OK</v>
      </c>
      <c r="BH36" s="4" t="str">
        <f>IF(ESF[[#This Row],[Prof. (m)]]&gt;=8*ESF[[#This Row],[Ø (cm)]]/100,"OK","lim.")</f>
        <v>OK</v>
      </c>
      <c r="BI36" s="4" t="str">
        <f>IF(AND(SPT!$F$3&lt;&gt;"",ESF[[#This Row],[Prof. (m)]]&gt;=SPT!$F$3),"lim.","OK")</f>
        <v>OK</v>
      </c>
      <c r="BJ36" s="4" t="str">
        <f>IF(COUNTIFS(ESF[Solo],"Areia",ESF[Prof. (m)],"&lt;="&amp;ESF[[#This Row],[Prof. (m)]])&gt;=1,"lim.","OK")</f>
        <v>OK</v>
      </c>
      <c r="BK36" s="4" t="str">
        <f ca="1">IF(ESF[[#This Row],[Verif. Biela]]="OK","OK","lim.")</f>
        <v>OK</v>
      </c>
      <c r="BL36" s="4" t="str">
        <f ca="1">IF(COUNTA(ESF[[#This Row],[Nº Est.]:[Biela comp.]])=COUNTIF(ESF[[#This Row],[Nº Est.]:[Biela comp.]],"OK"),"OK","lim.")</f>
        <v>lim.</v>
      </c>
      <c r="BM36" s="4" t="str">
        <f ca="1">IF(ESF[[#This Row],[Controle]]="OK",ESF[[#This Row],[nE]]&amp;" Ø"&amp;ESF[[#This Row],[Ø (cm)]]&amp;"cm Prof. "&amp;ESF[[#This Row],[Prof. (m)]]&amp;" m","")</f>
        <v/>
      </c>
      <c r="BN36" s="4" t="str">
        <f ca="1">IF(ESF[[#This Row],[idDimensionamento]]="","",ESF[[#This Row],[idPilar]]&amp;ESF[[#This Row],[idDimensionamento]])</f>
        <v/>
      </c>
    </row>
    <row r="37" spans="2:66" x14ac:dyDescent="0.25">
      <c r="B37" s="12">
        <f>ROUNDUP((ROW(ESF[[#This Row],[idDiâmetro]])-ROW(ESF[[#Headers],[idDiâmetro]]))/(COUNT(SPT[Prof. (m)])*COUNT(PILARES[Pilar])),0)</f>
        <v>2</v>
      </c>
      <c r="C37" s="12">
        <f>IF(ESF[[#This Row],[idDiâmetro]]&lt;&gt;B36,1,IF(ESF[[#This Row],[Prof. (m)]]=0,C36+1,C36))</f>
        <v>1</v>
      </c>
      <c r="D37" s="1">
        <f>IFERROR(IF(D36=MAX(SPT[Prof. (m)]),0,D36+1),0)</f>
        <v>4</v>
      </c>
      <c r="E37" s="1">
        <f>INDEX(SPT[],MATCH(ESF[[#This Row],[Prof. (m)]],SPT[Prof. (m)],0),2)</f>
        <v>8</v>
      </c>
      <c r="F37" s="1" t="str">
        <f>INDEX(SPT[],MATCH(ESF[[#This Row],[Prof. (m)]],SPT[Prof. (m)],0),3)</f>
        <v>Areia siltosa</v>
      </c>
      <c r="G37" s="1">
        <f>INDEX(estacas[],ESF[[#This Row],[idDiâmetro]],MATCH($B$2,estacas[#Headers],0))</f>
        <v>30</v>
      </c>
      <c r="H37" s="1">
        <f>INDEX(estacas[],MATCH(ESF[[#This Row],[Ø (cm)]],estacas[Ø ESF (cm)],0),MATCH(ESF[[#Headers],[Pe ESF (kN)]],estacas[#Headers],0))</f>
        <v>360</v>
      </c>
      <c r="I37" s="4">
        <f>INDEX(K_alpha_C[],MATCH(ESF[[#This Row],[Solo]],K_alpha_C[Solo],0),2)</f>
        <v>0.8</v>
      </c>
      <c r="J37" s="5">
        <f>INDEX(K_alpha_C[],MATCH(ESF[[#This Row],[Solo]],K_alpha_C[Solo],0),3)</f>
        <v>2</v>
      </c>
      <c r="K37" s="4">
        <f>INDEX(F1_F2[],MATCH($D$2,F1_F2[Tipo de estaca],0),2)</f>
        <v>3</v>
      </c>
      <c r="L37" s="4">
        <f>INDEX(F1_F2[],MATCH($D$2,F1_F2[Tipo de estaca],0),3)</f>
        <v>6</v>
      </c>
      <c r="M37" s="4">
        <f>PI()*(ESF[[#This Row],[Ø (cm)]]/100)^2/4</f>
        <v>7.0685834705770348E-2</v>
      </c>
      <c r="N37" s="4">
        <f>PI()*ESF[[#This Row],[Ø (cm)]]/100</f>
        <v>0.94247779607693782</v>
      </c>
      <c r="O37" s="4">
        <f>IF(ESF[[#This Row],[Prof. (m)]]=0,0,ESF[[#This Row],[α (%)]]/100*ESF[[#This Row],[K (MPa)]]*1000*ESF[[#This Row],[NSPT]])</f>
        <v>128</v>
      </c>
      <c r="P37" s="4">
        <f>IF(ESF[[#This Row],[Prof. (m)]]=0,0,(ESF[[#This Row],[K (MPa)]]*1000*ESF[[#This Row],[NSPT]]/ESF[[#This Row],[F1]]*ESF[[#This Row],[Ap (m²)]]+ESF[[#This Row],[U (m)]]/ESF[[#This Row],[F2]]*SUMIFS(ESF[(α∙K∙NL∙ΔL)],ESF[Prof. (m)],"&lt;="&amp;ESF[[#This Row],[Prof. (m)]],ESF[idDiâmetro],ESF[[#This Row],[idDiâmetro]],ESF[idPilar],ESF[[#This Row],[idPilar]]))/'DADOS CAP. CARGA'!$D$2)</f>
        <v>95.504416669129725</v>
      </c>
      <c r="Q37" s="12">
        <f>INDEX(C_alpha_beta[],MATCH(ESF[[#This Row],[Solo]],C_alpha_beta[Solo],0),MATCH(ESF[[#Headers],[C (kPa)]],C_alpha_beta[#Headers],0))</f>
        <v>400</v>
      </c>
      <c r="R37" s="4">
        <f>INDEX(C_alpha_beta[],MATCH(ESF[[#This Row],[Solo]],C_alpha_beta[Solo],0),MATCH(ESF[[#Headers],[α ESF]],C_alpha_beta[#Headers],0))</f>
        <v>0.5</v>
      </c>
      <c r="S37" s="4">
        <f>INDEX(C_alpha_beta[],MATCH(ESF[[#This Row],[Solo]],C_alpha_beta[Solo],0),MATCH(ESF[[#Headers],[β ESF]],C_alpha_beta[#Headers],0))</f>
        <v>0.5</v>
      </c>
      <c r="T37" s="4">
        <f>IF(ESF[[#This Row],[Prof. (m)]]=0,0,10*(ESF[[#This Row],[NSPT]]/3+1))</f>
        <v>36.666666666666664</v>
      </c>
      <c r="U37" s="4">
        <f>(ESF[[#This Row],[α ESF]]*ESF[[#This Row],[C (kPa)]]*ESF[[#This Row],[NSPT]]*ESF[[#This Row],[Ap (m²)]])/'DADOS CAP. CARGA'!$Q$2+(ESF[[#This Row],[β ESF]]*SUMIFS(ESF[10∙(NL/3+1)],ESF[Prof. (m)],"&lt;="&amp;ESF[[#This Row],[Prof. (m)]],ESF[idDiâmetro],ESF[[#This Row],[idDiâmetro]],ESF[idPilar],ESF[[#This Row],[idPilar]])*ESF[[#This Row],[U (m)]])/'DADOS CAP. CARGA'!$S$2</f>
        <v>50.265482457436683</v>
      </c>
      <c r="V37" s="4">
        <f>IF(SPT!$M$5=1,MIN(ESF[[#This Row],[Pe ESF (kN)]],ESF[[#This Row],[R_AV (kN)]]),IF(SPT!$M$5=2,MIN(ESF[[#This Row],[Pe ESF (kN)]],ESF[[#This Row],[R_DC (kN)]]),MIN(ESF[[#This Row],[Pe ESF (kN)]],ESF[[#This Row],[R_AV (kN)]],ESF[[#This Row],[R_DC (kN)]])))</f>
        <v>50.265482457436683</v>
      </c>
      <c r="W37" s="4">
        <f>INDEX(PILARES[],ESF[[#This Row],[idPilar]],MATCH("Carga (kN)",PILARES[#Headers],0))*1.4</f>
        <v>3500</v>
      </c>
      <c r="X37" s="12">
        <f>INDEX(PILARES[],ESF[[#This Row],[idPilar]],MATCH(ESF[[#Headers],[ap (cm)]],PILARES[#Headers],0))</f>
        <v>60</v>
      </c>
      <c r="Y37" s="12">
        <f>INDEX(PILARES[],ESF[[#This Row],[idPilar]],MATCH(ESF[[#Headers],[bp (cm)]],PILARES[#Headers],0))</f>
        <v>60</v>
      </c>
      <c r="Z37" s="4">
        <f>SQRT(ESF[[#This Row],[ap (cm)]]*ESF[[#This Row],[bp (cm)]])</f>
        <v>60</v>
      </c>
      <c r="AA37" s="12">
        <f>ESF[[#This Row],[ap (cm)]]*ESF[[#This Row],[bp (cm)]]</f>
        <v>3600</v>
      </c>
      <c r="AB37" s="12">
        <f ca="1">IF(ESF[[#This Row],[Padm∙ε (kN)]]&gt;=ESF[[#This Row],[Padm (kN)]],ROUNDUP(1.05*ESF[[#This Row],[Nsd (kN)]]/ESF[[#This Row],[Padm (kN)]],0),ROUNDUP(1.05*ESF[[#This Row],[Nsd (kN)]]/ESF[[#This Row],[Padm (kN)]],0)+1)</f>
        <v>74</v>
      </c>
      <c r="AC37" s="4" t="str">
        <f ca="1">IFERROR(IF(ESF[[#This Row],[nE]]=1,ESF[[#This Row],[Padm (kN)]],ESF[[#This Row],[Padm (kN)]]*ESF[[#This Row],[nE]]*INDEX(grupoEstacas[],ESF[[#This Row],[nE]],MATCH("ε",grupoEstacas[#Headers],0))),"N.S.")</f>
        <v>N.S.</v>
      </c>
      <c r="AD37" s="4">
        <f ca="1">1.05*ESF[[#This Row],[Nsd (kN)]]/(ESF[[#This Row],[nE]]*PI()*ESF[[#This Row],[Ø (cm)]]^2/4)*10</f>
        <v>0.7025758749101686</v>
      </c>
      <c r="AE37" s="4">
        <f ca="1">IF(ESF[[#This Row],[σ (MPa)]]&lt;INDEX(tipoEstaca[],MATCH($D$2,tipoEstaca[TIPO DE ESTACA],0),MATCH("σmáx (MPa)",tipoEstaca[#Headers],0)),0.4%*PI()*ESF[[#This Row],[Ø (cm)]]^2/4,"N.S.")</f>
        <v>2.8274333882308138</v>
      </c>
      <c r="AF37" s="1">
        <f>INDEX(tipoEstaca[],MATCH($D$2,tipoEstaca[TIPO DE ESTACA],0),MATCH(ESF[[#Headers],[Comprimento (m)]],tipoEstaca[#Headers],0))</f>
        <v>2</v>
      </c>
      <c r="AG37" s="5">
        <f ca="1">ESF[[#This Row],[As,mín (cm²)]]/100^2*ESF[[#This Row],[Comprimento (m)]]*7850</f>
        <v>4.4390704195223778</v>
      </c>
      <c r="AH37" s="4">
        <f ca="1">ESF[[#This Row],[nE]]*ESF[[#This Row],[Prof. (m)]]*ESF[[#This Row],[Ap (m²)]]</f>
        <v>20.923007072908025</v>
      </c>
      <c r="AI37" s="1">
        <f ca="1">IF(ESF[[#This Row],[nE]]=1,0,MAX(3*ESF[[#This Row],[Ø (cm)]],60))</f>
        <v>90</v>
      </c>
      <c r="AJ37" s="1">
        <f ca="1">IF(ESF[[#This Row],[nE]]=1,ESF[[#This Row],[Ø (cm)]]+2*10,MAX(1.5*ESF[[#This Row],[Ø (cm)]],ESF[[#This Row],[Ø (cm)]]+15))</f>
        <v>45</v>
      </c>
      <c r="AK37" s="1" t="str">
        <f ca="1">alturaUtil(ESF[[#This Row],[nE]],ESF[[#This Row],[Ø (cm)]],ESF[[#This Row],[e (cm)]],ESF[[#This Row],[ap,eq (cm)]])</f>
        <v>N.S.</v>
      </c>
      <c r="AL37" s="1" t="str">
        <f ca="1">IFERROR(ESF[[#This Row],[d (cm)]]+arredondarParaCimaMultiplo5cm(MAX(5,SQRT(PI())/2*ESF[[#This Row],[Ø (cm)]]/5)),"N.S.")</f>
        <v>N.S.</v>
      </c>
      <c r="AM37" s="5" t="str">
        <f ca="1">alpha(ESF[[#This Row],[nE]],ESF[[#This Row],[d (cm)]],ESF[[#This Row],[e (cm)]],ESF[[#This Row],[ap,eq (cm)]])</f>
        <v>N.S.</v>
      </c>
      <c r="AN37" s="35" t="str">
        <f ca="1">IFERROR(ESF[[#This Row],[Nsd (kN)]]/(ESF[[#This Row],[Ap (cm²)]]*SIN(ESF[[#This Row],[α]])^2),"N.S.")</f>
        <v>N.S.</v>
      </c>
      <c r="AO37" s="35" t="str">
        <f ca="1">IFERROR(ESF[[#This Row],[Nsd (kN)]]/(ESF[[#This Row],[nE]]*PI()*ESF[[#This Row],[Ø (cm)]]^2/4*SIN(ESF[[#This Row],[α]])^2),"N.S.")</f>
        <v>N.S.</v>
      </c>
      <c r="AP37" s="4" t="str">
        <f ca="1">IFERROR(INDEX(grupoEstacas[],ESF[[#This Row],[nE]],MATCH("coef. Blévot",grupoEstacas[#Headers],0)),"N.S.")</f>
        <v>N.S.</v>
      </c>
      <c r="AQ37" s="35" t="str">
        <f ca="1">IFERROR(ESF[[#This Row],[coef. Blévot]]*0.9*INDEX(tipoEstaca[],MATCH($D$2,tipoEstaca[TIPO DE ESTACA],0),MATCH("fcd (kN/cm²)",tipoEstaca[#Headers],0)),"N.S.")</f>
        <v>N.S.</v>
      </c>
      <c r="AR37" s="1" t="str">
        <f ca="1">IF(AND(ESF[[#This Row],[cd,b,pil (kN/cm²)]]&lt;=ESF[[#This Row],[cd,b,lim (kN/cm²)]],ESF[[#This Row],[cd,b,est (kN/cm²)]]&lt;=ESF[[#This Row],[cd,b,lim (kN/cm²)]]),"OK","ERRO")</f>
        <v>OK</v>
      </c>
      <c r="AS37" s="4" t="str">
        <f ca="1">As_lado(ESF[[#This Row],[nE]],ESF[[#This Row],[Nsd (kN)]],ESF[[#This Row],[d (cm)]],ESF[[#This Row],[e (cm)]],ESF[[#This Row],[ap,eq (cm)]])</f>
        <v>N.S.</v>
      </c>
      <c r="AT37" s="4" t="str">
        <f ca="1">IF(ESF[[#This Row],[nE]]=1,ESF[[#This Row],[As,lado (cm²)]],IF(ESF[[#This Row],[nE]]=2,0.075*2*ESF[a (cm)],"N.A."))</f>
        <v>N.A.</v>
      </c>
      <c r="AU37" s="4" t="str">
        <f ca="1">IFERROR(IF(ESF[[#This Row],[nE]]=1,"N.A.",0.2*ESF[[#This Row],[As,lado (cm²)]]),"N.S.")</f>
        <v>N.S.</v>
      </c>
      <c r="AV37" s="4" t="str">
        <f ca="1">As_malha(ESF[[#This Row],[nE]],ESF[[#This Row],[As,lado (cm²)]],ESF[[#This Row],[Nsd (kN)]])</f>
        <v>N.S.</v>
      </c>
      <c r="AW37" s="4" t="str">
        <f ca="1">As_susp_tot(ESF[[#This Row],[nE]],ESF[[#This Row],[Nsd (kN)]])</f>
        <v>N.S.</v>
      </c>
      <c r="AX37" s="4" t="str">
        <f ca="1">Asp_face(ESF[[#This Row],[nE]],ESF[[#This Row],[As,lado (cm²)]])</f>
        <v>N.S.</v>
      </c>
      <c r="AY37" s="5" t="str">
        <f ca="1">acoBloco(ESF[[#This Row],[nE]],ESF[[#This Row],[e (cm)]],ESF[[#This Row],[a (cm)]],ESF[[#This Row],[h (cm)]],ESF[[#This Row],[As,lado (cm²)]],ESF[[#This Row],[Asp e Asw (cm²/m)]],ESF[[#This Row],[As,sup (cm²)]],ESF[[#This Row],[As,malha (cm²)]],ESF[[#This Row],[As,susp,tot (cm²)]],ESF[[#This Row],[Asp,face (cm²)]])</f>
        <v>N.S.</v>
      </c>
      <c r="AZ37" s="4" t="str">
        <f ca="1">concretoBloco(ESF[[#This Row],[nE]],ESF[[#This Row],[e (cm)]],ESF[[#This Row],[a (cm)]],ESF[[#This Row],[h (cm)]])</f>
        <v>N.S.</v>
      </c>
      <c r="BA37" s="5">
        <f ca="1">SUM(ESF[[#This Row],[Aço Est (kg)]],ESF[[#This Row],[Aço Bloco (kg)]])</f>
        <v>4.4390704195223778</v>
      </c>
      <c r="BB37" s="4">
        <f>INDEX(composicoes[],MATCH(95580,composicoes[CÓDIGO],0),MATCH("CUSTO TOTAL",composicoes[#Headers],0))</f>
        <v>10.46</v>
      </c>
      <c r="BC37" s="4">
        <f ca="1">SUM(ESF[[#This Row],[Conc Est (m³)]],ESF[[#This Row],[Conc Bloco (m³)]])</f>
        <v>20.923007072908025</v>
      </c>
      <c r="BD37" s="4">
        <f>INDEX(composicoes[],MATCH(94966,composicoes[CÓDIGO],0),MATCH("CUSTO TOTAL",composicoes[#Headers],0))</f>
        <v>439.52</v>
      </c>
      <c r="BE37" s="38">
        <f ca="1">ESF[[#This Row],[Aço (kg)]]*ESF[[#This Row],[Aço (R$/kg)]]+ESF[[#This Row],[Conc (m³)]]*ESF[[#This Row],[Conc (R$/m³)]]</f>
        <v>9242.5127452727374</v>
      </c>
      <c r="BF37" s="4" t="str">
        <f ca="1">IF(COUNTIF(ESF[#This Row],"N.S.")&gt;0,"lim.","OK")</f>
        <v>lim.</v>
      </c>
      <c r="BG37" s="4" t="str">
        <f>IF(ESF[[#This Row],[Prof. (m)]]&lt;3,"lim.","OK")</f>
        <v>OK</v>
      </c>
      <c r="BH37" s="4" t="str">
        <f>IF(ESF[[#This Row],[Prof. (m)]]&gt;=8*ESF[[#This Row],[Ø (cm)]]/100,"OK","lim.")</f>
        <v>OK</v>
      </c>
      <c r="BI37" s="4" t="str">
        <f>IF(AND(SPT!$F$3&lt;&gt;"",ESF[[#This Row],[Prof. (m)]]&gt;=SPT!$F$3),"lim.","OK")</f>
        <v>OK</v>
      </c>
      <c r="BJ37" s="4" t="str">
        <f>IF(COUNTIFS(ESF[Solo],"Areia",ESF[Prof. (m)],"&lt;="&amp;ESF[[#This Row],[Prof. (m)]])&gt;=1,"lim.","OK")</f>
        <v>OK</v>
      </c>
      <c r="BK37" s="4" t="str">
        <f ca="1">IF(ESF[[#This Row],[Verif. Biela]]="OK","OK","lim.")</f>
        <v>OK</v>
      </c>
      <c r="BL37" s="4" t="str">
        <f ca="1">IF(COUNTA(ESF[[#This Row],[Nº Est.]:[Biela comp.]])=COUNTIF(ESF[[#This Row],[Nº Est.]:[Biela comp.]],"OK"),"OK","lim.")</f>
        <v>lim.</v>
      </c>
      <c r="BM37" s="4" t="str">
        <f ca="1">IF(ESF[[#This Row],[Controle]]="OK",ESF[[#This Row],[nE]]&amp;" Ø"&amp;ESF[[#This Row],[Ø (cm)]]&amp;"cm Prof. "&amp;ESF[[#This Row],[Prof. (m)]]&amp;" m","")</f>
        <v/>
      </c>
      <c r="BN37" s="4" t="str">
        <f ca="1">IF(ESF[[#This Row],[idDimensionamento]]="","",ESF[[#This Row],[idPilar]]&amp;ESF[[#This Row],[idDimensionamento]])</f>
        <v/>
      </c>
    </row>
    <row r="38" spans="2:66" x14ac:dyDescent="0.25">
      <c r="B38" s="12">
        <f>ROUNDUP((ROW(ESF[[#This Row],[idDiâmetro]])-ROW(ESF[[#Headers],[idDiâmetro]]))/(COUNT(SPT[Prof. (m)])*COUNT(PILARES[Pilar])),0)</f>
        <v>2</v>
      </c>
      <c r="C38" s="12">
        <f>IF(ESF[[#This Row],[idDiâmetro]]&lt;&gt;B37,1,IF(ESF[[#This Row],[Prof. (m)]]=0,C37+1,C37))</f>
        <v>1</v>
      </c>
      <c r="D38" s="1">
        <f>IFERROR(IF(D37=MAX(SPT[Prof. (m)]),0,D37+1),0)</f>
        <v>5</v>
      </c>
      <c r="E38" s="1">
        <f>INDEX(SPT[],MATCH(ESF[[#This Row],[Prof. (m)]],SPT[Prof. (m)],0),2)</f>
        <v>17</v>
      </c>
      <c r="F38" s="1" t="str">
        <f>INDEX(SPT[],MATCH(ESF[[#This Row],[Prof. (m)]],SPT[Prof. (m)],0),3)</f>
        <v>Areia siltosa</v>
      </c>
      <c r="G38" s="1">
        <f>INDEX(estacas[],ESF[[#This Row],[idDiâmetro]],MATCH($B$2,estacas[#Headers],0))</f>
        <v>30</v>
      </c>
      <c r="H38" s="1">
        <f>INDEX(estacas[],MATCH(ESF[[#This Row],[Ø (cm)]],estacas[Ø ESF (cm)],0),MATCH(ESF[[#Headers],[Pe ESF (kN)]],estacas[#Headers],0))</f>
        <v>360</v>
      </c>
      <c r="I38" s="4">
        <f>INDEX(K_alpha_C[],MATCH(ESF[[#This Row],[Solo]],K_alpha_C[Solo],0),2)</f>
        <v>0.8</v>
      </c>
      <c r="J38" s="5">
        <f>INDEX(K_alpha_C[],MATCH(ESF[[#This Row],[Solo]],K_alpha_C[Solo],0),3)</f>
        <v>2</v>
      </c>
      <c r="K38" s="4">
        <f>INDEX(F1_F2[],MATCH($D$2,F1_F2[Tipo de estaca],0),2)</f>
        <v>3</v>
      </c>
      <c r="L38" s="4">
        <f>INDEX(F1_F2[],MATCH($D$2,F1_F2[Tipo de estaca],0),3)</f>
        <v>6</v>
      </c>
      <c r="M38" s="4">
        <f>PI()*(ESF[[#This Row],[Ø (cm)]]/100)^2/4</f>
        <v>7.0685834705770348E-2</v>
      </c>
      <c r="N38" s="4">
        <f>PI()*ESF[[#This Row],[Ø (cm)]]/100</f>
        <v>0.94247779607693782</v>
      </c>
      <c r="O38" s="4">
        <f>IF(ESF[[#This Row],[Prof. (m)]]=0,0,ESF[[#This Row],[α (%)]]/100*ESF[[#This Row],[K (MPa)]]*1000*ESF[[#This Row],[NSPT]])</f>
        <v>272</v>
      </c>
      <c r="P38" s="4">
        <f>IF(ESF[[#This Row],[Prof. (m)]]=0,0,(ESF[[#This Row],[K (MPa)]]*1000*ESF[[#This Row],[NSPT]]/ESF[[#This Row],[F1]]*ESF[[#This Row],[Ap (m²)]]+ESF[[#This Row],[U (m)]]/ESF[[#This Row],[F2]]*SUMIFS(ESF[(α∙K∙NL∙ΔL)],ESF[Prof. (m)],"&lt;="&amp;ESF[[#This Row],[Prof. (m)]],ESF[idDiâmetro],ESF[[#This Row],[idDiâmetro]],ESF[idPilar],ESF[[#This Row],[idPilar]]))/'DADOS CAP. CARGA'!$D$2)</f>
        <v>201.69024836046469</v>
      </c>
      <c r="Q38" s="12">
        <f>INDEX(C_alpha_beta[],MATCH(ESF[[#This Row],[Solo]],C_alpha_beta[Solo],0),MATCH(ESF[[#Headers],[C (kPa)]],C_alpha_beta[#Headers],0))</f>
        <v>400</v>
      </c>
      <c r="R38" s="4">
        <f>INDEX(C_alpha_beta[],MATCH(ESF[[#This Row],[Solo]],C_alpha_beta[Solo],0),MATCH(ESF[[#Headers],[α ESF]],C_alpha_beta[#Headers],0))</f>
        <v>0.5</v>
      </c>
      <c r="S38" s="4">
        <f>INDEX(C_alpha_beta[],MATCH(ESF[[#This Row],[Solo]],C_alpha_beta[Solo],0),MATCH(ESF[[#Headers],[β ESF]],C_alpha_beta[#Headers],0))</f>
        <v>0.5</v>
      </c>
      <c r="T38" s="4">
        <f>IF(ESF[[#This Row],[Prof. (m)]]=0,0,10*(ESF[[#This Row],[NSPT]]/3+1))</f>
        <v>66.666666666666671</v>
      </c>
      <c r="U38" s="4">
        <f>(ESF[[#This Row],[α ESF]]*ESF[[#This Row],[C (kPa)]]*ESF[[#This Row],[NSPT]]*ESF[[#This Row],[Ap (m²)]])/'DADOS CAP. CARGA'!$Q$2+(ESF[[#This Row],[β ESF]]*SUMIFS(ESF[10∙(NL/3+1)],ESF[Prof. (m)],"&lt;="&amp;ESF[[#This Row],[Prof. (m)]],ESF[idDiâmetro],ESF[[#This Row],[idDiâmetro]],ESF[idPilar],ESF[[#This Row],[idPilar]])*ESF[[#This Row],[U (m)]])/'DADOS CAP. CARGA'!$S$2</f>
        <v>97.782071342982306</v>
      </c>
      <c r="V38" s="4">
        <f>IF(SPT!$M$5=1,MIN(ESF[[#This Row],[Pe ESF (kN)]],ESF[[#This Row],[R_AV (kN)]]),IF(SPT!$M$5=2,MIN(ESF[[#This Row],[Pe ESF (kN)]],ESF[[#This Row],[R_DC (kN)]]),MIN(ESF[[#This Row],[Pe ESF (kN)]],ESF[[#This Row],[R_AV (kN)]],ESF[[#This Row],[R_DC (kN)]])))</f>
        <v>97.782071342982306</v>
      </c>
      <c r="W38" s="4">
        <f>INDEX(PILARES[],ESF[[#This Row],[idPilar]],MATCH("Carga (kN)",PILARES[#Headers],0))*1.4</f>
        <v>3500</v>
      </c>
      <c r="X38" s="12">
        <f>INDEX(PILARES[],ESF[[#This Row],[idPilar]],MATCH(ESF[[#Headers],[ap (cm)]],PILARES[#Headers],0))</f>
        <v>60</v>
      </c>
      <c r="Y38" s="12">
        <f>INDEX(PILARES[],ESF[[#This Row],[idPilar]],MATCH(ESF[[#Headers],[bp (cm)]],PILARES[#Headers],0))</f>
        <v>60</v>
      </c>
      <c r="Z38" s="4">
        <f>SQRT(ESF[[#This Row],[ap (cm)]]*ESF[[#This Row],[bp (cm)]])</f>
        <v>60</v>
      </c>
      <c r="AA38" s="12">
        <f>ESF[[#This Row],[ap (cm)]]*ESF[[#This Row],[bp (cm)]]</f>
        <v>3600</v>
      </c>
      <c r="AB38" s="12">
        <f ca="1">IF(ESF[[#This Row],[Padm∙ε (kN)]]&gt;=ESF[[#This Row],[Padm (kN)]],ROUNDUP(1.05*ESF[[#This Row],[Nsd (kN)]]/ESF[[#This Row],[Padm (kN)]],0),ROUNDUP(1.05*ESF[[#This Row],[Nsd (kN)]]/ESF[[#This Row],[Padm (kN)]],0)+1)</f>
        <v>38</v>
      </c>
      <c r="AC38" s="4" t="str">
        <f ca="1">IFERROR(IF(ESF[[#This Row],[nE]]=1,ESF[[#This Row],[Padm (kN)]],ESF[[#This Row],[Padm (kN)]]*ESF[[#This Row],[nE]]*INDEX(grupoEstacas[],ESF[[#This Row],[nE]],MATCH("ε",grupoEstacas[#Headers],0))),"N.S.")</f>
        <v>N.S.</v>
      </c>
      <c r="AD38" s="4">
        <f ca="1">1.05*ESF[[#This Row],[Nsd (kN)]]/(ESF[[#This Row],[nE]]*PI()*ESF[[#This Row],[Ø (cm)]]^2/4)*10</f>
        <v>1.3681740721934863</v>
      </c>
      <c r="AE38" s="4">
        <f ca="1">IF(ESF[[#This Row],[σ (MPa)]]&lt;INDEX(tipoEstaca[],MATCH($D$2,tipoEstaca[TIPO DE ESTACA],0),MATCH("σmáx (MPa)",tipoEstaca[#Headers],0)),0.4%*PI()*ESF[[#This Row],[Ø (cm)]]^2/4,"N.S.")</f>
        <v>2.8274333882308138</v>
      </c>
      <c r="AF38" s="1">
        <f>INDEX(tipoEstaca[],MATCH($D$2,tipoEstaca[TIPO DE ESTACA],0),MATCH(ESF[[#Headers],[Comprimento (m)]],tipoEstaca[#Headers],0))</f>
        <v>2</v>
      </c>
      <c r="AG38" s="5">
        <f ca="1">ESF[[#This Row],[As,mín (cm²)]]/100^2*ESF[[#This Row],[Comprimento (m)]]*7850</f>
        <v>4.4390704195223778</v>
      </c>
      <c r="AH38" s="4">
        <f ca="1">ESF[[#This Row],[nE]]*ESF[[#This Row],[Prof. (m)]]*ESF[[#This Row],[Ap (m²)]]</f>
        <v>13.430308594096367</v>
      </c>
      <c r="AI38" s="1">
        <f ca="1">IF(ESF[[#This Row],[nE]]=1,0,MAX(3*ESF[[#This Row],[Ø (cm)]],60))</f>
        <v>90</v>
      </c>
      <c r="AJ38" s="1">
        <f ca="1">IF(ESF[[#This Row],[nE]]=1,ESF[[#This Row],[Ø (cm)]]+2*10,MAX(1.5*ESF[[#This Row],[Ø (cm)]],ESF[[#This Row],[Ø (cm)]]+15))</f>
        <v>45</v>
      </c>
      <c r="AK38" s="1" t="str">
        <f ca="1">alturaUtil(ESF[[#This Row],[nE]],ESF[[#This Row],[Ø (cm)]],ESF[[#This Row],[e (cm)]],ESF[[#This Row],[ap,eq (cm)]])</f>
        <v>N.S.</v>
      </c>
      <c r="AL38" s="1" t="str">
        <f ca="1">IFERROR(ESF[[#This Row],[d (cm)]]+arredondarParaCimaMultiplo5cm(MAX(5,SQRT(PI())/2*ESF[[#This Row],[Ø (cm)]]/5)),"N.S.")</f>
        <v>N.S.</v>
      </c>
      <c r="AM38" s="5" t="str">
        <f ca="1">alpha(ESF[[#This Row],[nE]],ESF[[#This Row],[d (cm)]],ESF[[#This Row],[e (cm)]],ESF[[#This Row],[ap,eq (cm)]])</f>
        <v>N.S.</v>
      </c>
      <c r="AN38" s="35" t="str">
        <f ca="1">IFERROR(ESF[[#This Row],[Nsd (kN)]]/(ESF[[#This Row],[Ap (cm²)]]*SIN(ESF[[#This Row],[α]])^2),"N.S.")</f>
        <v>N.S.</v>
      </c>
      <c r="AO38" s="35" t="str">
        <f ca="1">IFERROR(ESF[[#This Row],[Nsd (kN)]]/(ESF[[#This Row],[nE]]*PI()*ESF[[#This Row],[Ø (cm)]]^2/4*SIN(ESF[[#This Row],[α]])^2),"N.S.")</f>
        <v>N.S.</v>
      </c>
      <c r="AP38" s="4" t="str">
        <f ca="1">IFERROR(INDEX(grupoEstacas[],ESF[[#This Row],[nE]],MATCH("coef. Blévot",grupoEstacas[#Headers],0)),"N.S.")</f>
        <v>N.S.</v>
      </c>
      <c r="AQ38" s="35" t="str">
        <f ca="1">IFERROR(ESF[[#This Row],[coef. Blévot]]*0.9*INDEX(tipoEstaca[],MATCH($D$2,tipoEstaca[TIPO DE ESTACA],0),MATCH("fcd (kN/cm²)",tipoEstaca[#Headers],0)),"N.S.")</f>
        <v>N.S.</v>
      </c>
      <c r="AR38" s="1" t="str">
        <f ca="1">IF(AND(ESF[[#This Row],[cd,b,pil (kN/cm²)]]&lt;=ESF[[#This Row],[cd,b,lim (kN/cm²)]],ESF[[#This Row],[cd,b,est (kN/cm²)]]&lt;=ESF[[#This Row],[cd,b,lim (kN/cm²)]]),"OK","ERRO")</f>
        <v>OK</v>
      </c>
      <c r="AS38" s="4" t="str">
        <f ca="1">As_lado(ESF[[#This Row],[nE]],ESF[[#This Row],[Nsd (kN)]],ESF[[#This Row],[d (cm)]],ESF[[#This Row],[e (cm)]],ESF[[#This Row],[ap,eq (cm)]])</f>
        <v>N.S.</v>
      </c>
      <c r="AT38" s="4" t="str">
        <f ca="1">IF(ESF[[#This Row],[nE]]=1,ESF[[#This Row],[As,lado (cm²)]],IF(ESF[[#This Row],[nE]]=2,0.075*2*ESF[a (cm)],"N.A."))</f>
        <v>N.A.</v>
      </c>
      <c r="AU38" s="4" t="str">
        <f ca="1">IFERROR(IF(ESF[[#This Row],[nE]]=1,"N.A.",0.2*ESF[[#This Row],[As,lado (cm²)]]),"N.S.")</f>
        <v>N.S.</v>
      </c>
      <c r="AV38" s="4" t="str">
        <f ca="1">As_malha(ESF[[#This Row],[nE]],ESF[[#This Row],[As,lado (cm²)]],ESF[[#This Row],[Nsd (kN)]])</f>
        <v>N.S.</v>
      </c>
      <c r="AW38" s="4" t="str">
        <f ca="1">As_susp_tot(ESF[[#This Row],[nE]],ESF[[#This Row],[Nsd (kN)]])</f>
        <v>N.S.</v>
      </c>
      <c r="AX38" s="4" t="str">
        <f ca="1">Asp_face(ESF[[#This Row],[nE]],ESF[[#This Row],[As,lado (cm²)]])</f>
        <v>N.S.</v>
      </c>
      <c r="AY38" s="5" t="str">
        <f ca="1">acoBloco(ESF[[#This Row],[nE]],ESF[[#This Row],[e (cm)]],ESF[[#This Row],[a (cm)]],ESF[[#This Row],[h (cm)]],ESF[[#This Row],[As,lado (cm²)]],ESF[[#This Row],[Asp e Asw (cm²/m)]],ESF[[#This Row],[As,sup (cm²)]],ESF[[#This Row],[As,malha (cm²)]],ESF[[#This Row],[As,susp,tot (cm²)]],ESF[[#This Row],[Asp,face (cm²)]])</f>
        <v>N.S.</v>
      </c>
      <c r="AZ38" s="4" t="str">
        <f ca="1">concretoBloco(ESF[[#This Row],[nE]],ESF[[#This Row],[e (cm)]],ESF[[#This Row],[a (cm)]],ESF[[#This Row],[h (cm)]])</f>
        <v>N.S.</v>
      </c>
      <c r="BA38" s="5">
        <f ca="1">SUM(ESF[[#This Row],[Aço Est (kg)]],ESF[[#This Row],[Aço Bloco (kg)]])</f>
        <v>4.4390704195223778</v>
      </c>
      <c r="BB38" s="4">
        <f>INDEX(composicoes[],MATCH(95580,composicoes[CÓDIGO],0),MATCH("CUSTO TOTAL",composicoes[#Headers],0))</f>
        <v>10.46</v>
      </c>
      <c r="BC38" s="4">
        <f ca="1">SUM(ESF[[#This Row],[Conc Est (m³)]],ESF[[#This Row],[Conc Bloco (m³)]])</f>
        <v>13.430308594096367</v>
      </c>
      <c r="BD38" s="4">
        <f>INDEX(composicoes[],MATCH(94966,composicoes[CÓDIGO],0),MATCH("CUSTO TOTAL",composicoes[#Headers],0))</f>
        <v>439.52</v>
      </c>
      <c r="BE38" s="38">
        <f ca="1">ESF[[#This Row],[Aço (kg)]]*ESF[[#This Row],[Aço (R$/kg)]]+ESF[[#This Row],[Conc (m³)]]*ESF[[#This Row],[Conc (R$/m³)]]</f>
        <v>5949.321909865439</v>
      </c>
      <c r="BF38" s="4" t="str">
        <f ca="1">IF(COUNTIF(ESF[#This Row],"N.S.")&gt;0,"lim.","OK")</f>
        <v>lim.</v>
      </c>
      <c r="BG38" s="4" t="str">
        <f>IF(ESF[[#This Row],[Prof. (m)]]&lt;3,"lim.","OK")</f>
        <v>OK</v>
      </c>
      <c r="BH38" s="4" t="str">
        <f>IF(ESF[[#This Row],[Prof. (m)]]&gt;=8*ESF[[#This Row],[Ø (cm)]]/100,"OK","lim.")</f>
        <v>OK</v>
      </c>
      <c r="BI38" s="4" t="str">
        <f>IF(AND(SPT!$F$3&lt;&gt;"",ESF[[#This Row],[Prof. (m)]]&gt;=SPT!$F$3),"lim.","OK")</f>
        <v>OK</v>
      </c>
      <c r="BJ38" s="4" t="str">
        <f>IF(COUNTIFS(ESF[Solo],"Areia",ESF[Prof. (m)],"&lt;="&amp;ESF[[#This Row],[Prof. (m)]])&gt;=1,"lim.","OK")</f>
        <v>OK</v>
      </c>
      <c r="BK38" s="4" t="str">
        <f ca="1">IF(ESF[[#This Row],[Verif. Biela]]="OK","OK","lim.")</f>
        <v>OK</v>
      </c>
      <c r="BL38" s="4" t="str">
        <f ca="1">IF(COUNTA(ESF[[#This Row],[Nº Est.]:[Biela comp.]])=COUNTIF(ESF[[#This Row],[Nº Est.]:[Biela comp.]],"OK"),"OK","lim.")</f>
        <v>lim.</v>
      </c>
      <c r="BM38" s="4" t="str">
        <f ca="1">IF(ESF[[#This Row],[Controle]]="OK",ESF[[#This Row],[nE]]&amp;" Ø"&amp;ESF[[#This Row],[Ø (cm)]]&amp;"cm Prof. "&amp;ESF[[#This Row],[Prof. (m)]]&amp;" m","")</f>
        <v/>
      </c>
      <c r="BN38" s="4" t="str">
        <f ca="1">IF(ESF[[#This Row],[idDimensionamento]]="","",ESF[[#This Row],[idPilar]]&amp;ESF[[#This Row],[idDimensionamento]])</f>
        <v/>
      </c>
    </row>
    <row r="39" spans="2:66" x14ac:dyDescent="0.25">
      <c r="B39" s="12">
        <f>ROUNDUP((ROW(ESF[[#This Row],[idDiâmetro]])-ROW(ESF[[#Headers],[idDiâmetro]]))/(COUNT(SPT[Prof. (m)])*COUNT(PILARES[Pilar])),0)</f>
        <v>2</v>
      </c>
      <c r="C39" s="12">
        <f>IF(ESF[[#This Row],[idDiâmetro]]&lt;&gt;B38,1,IF(ESF[[#This Row],[Prof. (m)]]=0,C38+1,C38))</f>
        <v>1</v>
      </c>
      <c r="D39" s="1">
        <f>IFERROR(IF(D38=MAX(SPT[Prof. (m)]),0,D38+1),0)</f>
        <v>6</v>
      </c>
      <c r="E39" s="1">
        <f>INDEX(SPT[],MATCH(ESF[[#This Row],[Prof. (m)]],SPT[Prof. (m)],0),2)</f>
        <v>21</v>
      </c>
      <c r="F39" s="1" t="str">
        <f>INDEX(SPT[],MATCH(ESF[[#This Row],[Prof. (m)]],SPT[Prof. (m)],0),3)</f>
        <v>Silte arenoso</v>
      </c>
      <c r="G39" s="1">
        <f>INDEX(estacas[],ESF[[#This Row],[idDiâmetro]],MATCH($B$2,estacas[#Headers],0))</f>
        <v>30</v>
      </c>
      <c r="H39" s="1">
        <f>INDEX(estacas[],MATCH(ESF[[#This Row],[Ø (cm)]],estacas[Ø ESF (cm)],0),MATCH(ESF[[#Headers],[Pe ESF (kN)]],estacas[#Headers],0))</f>
        <v>360</v>
      </c>
      <c r="I39" s="4">
        <f>INDEX(K_alpha_C[],MATCH(ESF[[#This Row],[Solo]],K_alpha_C[Solo],0),2)</f>
        <v>0.55000000000000004</v>
      </c>
      <c r="J39" s="5">
        <f>INDEX(K_alpha_C[],MATCH(ESF[[#This Row],[Solo]],K_alpha_C[Solo],0),3)</f>
        <v>2.2000000000000002</v>
      </c>
      <c r="K39" s="4">
        <f>INDEX(F1_F2[],MATCH($D$2,F1_F2[Tipo de estaca],0),2)</f>
        <v>3</v>
      </c>
      <c r="L39" s="4">
        <f>INDEX(F1_F2[],MATCH($D$2,F1_F2[Tipo de estaca],0),3)</f>
        <v>6</v>
      </c>
      <c r="M39" s="4">
        <f>PI()*(ESF[[#This Row],[Ø (cm)]]/100)^2/4</f>
        <v>7.0685834705770348E-2</v>
      </c>
      <c r="N39" s="4">
        <f>PI()*ESF[[#This Row],[Ø (cm)]]/100</f>
        <v>0.94247779607693782</v>
      </c>
      <c r="O39" s="4">
        <f>IF(ESF[[#This Row],[Prof. (m)]]=0,0,ESF[[#This Row],[α (%)]]/100*ESF[[#This Row],[K (MPa)]]*1000*ESF[[#This Row],[NSPT]])</f>
        <v>254.10000000000002</v>
      </c>
      <c r="P39" s="4">
        <f>IF(ESF[[#This Row],[Prof. (m)]]=0,0,(ESF[[#This Row],[K (MPa)]]*1000*ESF[[#This Row],[NSPT]]/ESF[[#This Row],[F1]]*ESF[[#This Row],[Ap (m²)]]+ESF[[#This Row],[U (m)]]/ESF[[#This Row],[F2]]*SUMIFS(ESF[(α∙K∙NL∙ΔL)],ESF[Prof. (m)],"&lt;="&amp;ESF[[#This Row],[Prof. (m)]],ESF[idDiâmetro],ESF[[#This Row],[idDiâmetro]],ESF[idPilar],ESF[[#This Row],[idPilar]]))/'DADOS CAP. CARGA'!$D$2)</f>
        <v>197.49622216792235</v>
      </c>
      <c r="Q39" s="12">
        <f>INDEX(C_alpha_beta[],MATCH(ESF[[#This Row],[Solo]],C_alpha_beta[Solo],0),MATCH(ESF[[#Headers],[C (kPa)]],C_alpha_beta[#Headers],0))</f>
        <v>250</v>
      </c>
      <c r="R39" s="4">
        <f>INDEX(C_alpha_beta[],MATCH(ESF[[#This Row],[Solo]],C_alpha_beta[Solo],0),MATCH(ESF[[#Headers],[α ESF]],C_alpha_beta[#Headers],0))</f>
        <v>0.6</v>
      </c>
      <c r="S39" s="4">
        <f>INDEX(C_alpha_beta[],MATCH(ESF[[#This Row],[Solo]],C_alpha_beta[Solo],0),MATCH(ESF[[#Headers],[β ESF]],C_alpha_beta[#Headers],0))</f>
        <v>0.65</v>
      </c>
      <c r="T39" s="4">
        <f>IF(ESF[[#This Row],[Prof. (m)]]=0,0,10*(ESF[[#This Row],[NSPT]]/3+1))</f>
        <v>80</v>
      </c>
      <c r="U39" s="4">
        <f>(ESF[[#This Row],[α ESF]]*ESF[[#This Row],[C (kPa)]]*ESF[[#This Row],[NSPT]]*ESF[[#This Row],[Ap (m²)]])/'DADOS CAP. CARGA'!$Q$2+(ESF[[#This Row],[β ESF]]*SUMIFS(ESF[10∙(NL/3+1)],ESF[Prof. (m)],"&lt;="&amp;ESF[[#This Row],[Prof. (m)]],ESF[idDiâmetro],ESF[[#This Row],[idDiâmetro]],ESF[idPilar],ESF[[#This Row],[idPilar]])*ESF[[#This Row],[U (m)]])/'DADOS CAP. CARGA'!$S$2</f>
        <v>129.17836292479529</v>
      </c>
      <c r="V39" s="4">
        <f>IF(SPT!$M$5=1,MIN(ESF[[#This Row],[Pe ESF (kN)]],ESF[[#This Row],[R_AV (kN)]]),IF(SPT!$M$5=2,MIN(ESF[[#This Row],[Pe ESF (kN)]],ESF[[#This Row],[R_DC (kN)]]),MIN(ESF[[#This Row],[Pe ESF (kN)]],ESF[[#This Row],[R_AV (kN)]],ESF[[#This Row],[R_DC (kN)]])))</f>
        <v>129.17836292479529</v>
      </c>
      <c r="W39" s="4">
        <f>INDEX(PILARES[],ESF[[#This Row],[idPilar]],MATCH("Carga (kN)",PILARES[#Headers],0))*1.4</f>
        <v>3500</v>
      </c>
      <c r="X39" s="12">
        <f>INDEX(PILARES[],ESF[[#This Row],[idPilar]],MATCH(ESF[[#Headers],[ap (cm)]],PILARES[#Headers],0))</f>
        <v>60</v>
      </c>
      <c r="Y39" s="12">
        <f>INDEX(PILARES[],ESF[[#This Row],[idPilar]],MATCH(ESF[[#Headers],[bp (cm)]],PILARES[#Headers],0))</f>
        <v>60</v>
      </c>
      <c r="Z39" s="4">
        <f>SQRT(ESF[[#This Row],[ap (cm)]]*ESF[[#This Row],[bp (cm)]])</f>
        <v>60</v>
      </c>
      <c r="AA39" s="12">
        <f>ESF[[#This Row],[ap (cm)]]*ESF[[#This Row],[bp (cm)]]</f>
        <v>3600</v>
      </c>
      <c r="AB39" s="12">
        <f ca="1">IF(ESF[[#This Row],[Padm∙ε (kN)]]&gt;=ESF[[#This Row],[Padm (kN)]],ROUNDUP(1.05*ESF[[#This Row],[Nsd (kN)]]/ESF[[#This Row],[Padm (kN)]],0),ROUNDUP(1.05*ESF[[#This Row],[Nsd (kN)]]/ESF[[#This Row],[Padm (kN)]],0)+1)</f>
        <v>29</v>
      </c>
      <c r="AC39" s="4" t="str">
        <f ca="1">IFERROR(IF(ESF[[#This Row],[nE]]=1,ESF[[#This Row],[Padm (kN)]],ESF[[#This Row],[Padm (kN)]]*ESF[[#This Row],[nE]]*INDEX(grupoEstacas[],ESF[[#This Row],[nE]],MATCH("ε",grupoEstacas[#Headers],0))),"N.S.")</f>
        <v>N.S.</v>
      </c>
      <c r="AD39" s="4">
        <f ca="1">1.05*ESF[[#This Row],[Nsd (kN)]]/(ESF[[#This Row],[nE]]*PI()*ESF[[#This Row],[Ø (cm)]]^2/4)*10</f>
        <v>1.7927798187362922</v>
      </c>
      <c r="AE39" s="4">
        <f ca="1">IF(ESF[[#This Row],[σ (MPa)]]&lt;INDEX(tipoEstaca[],MATCH($D$2,tipoEstaca[TIPO DE ESTACA],0),MATCH("σmáx (MPa)",tipoEstaca[#Headers],0)),0.4%*PI()*ESF[[#This Row],[Ø (cm)]]^2/4,"N.S.")</f>
        <v>2.8274333882308138</v>
      </c>
      <c r="AF39" s="1">
        <f>INDEX(tipoEstaca[],MATCH($D$2,tipoEstaca[TIPO DE ESTACA],0),MATCH(ESF[[#Headers],[Comprimento (m)]],tipoEstaca[#Headers],0))</f>
        <v>2</v>
      </c>
      <c r="AG39" s="5">
        <f ca="1">ESF[[#This Row],[As,mín (cm²)]]/100^2*ESF[[#This Row],[Comprimento (m)]]*7850</f>
        <v>4.4390704195223778</v>
      </c>
      <c r="AH39" s="4">
        <f ca="1">ESF[[#This Row],[nE]]*ESF[[#This Row],[Prof. (m)]]*ESF[[#This Row],[Ap (m²)]]</f>
        <v>12.299335238804041</v>
      </c>
      <c r="AI39" s="1">
        <f ca="1">IF(ESF[[#This Row],[nE]]=1,0,MAX(3*ESF[[#This Row],[Ø (cm)]],60))</f>
        <v>90</v>
      </c>
      <c r="AJ39" s="1">
        <f ca="1">IF(ESF[[#This Row],[nE]]=1,ESF[[#This Row],[Ø (cm)]]+2*10,MAX(1.5*ESF[[#This Row],[Ø (cm)]],ESF[[#This Row],[Ø (cm)]]+15))</f>
        <v>45</v>
      </c>
      <c r="AK39" s="1" t="str">
        <f ca="1">alturaUtil(ESF[[#This Row],[nE]],ESF[[#This Row],[Ø (cm)]],ESF[[#This Row],[e (cm)]],ESF[[#This Row],[ap,eq (cm)]])</f>
        <v>N.S.</v>
      </c>
      <c r="AL39" s="1" t="str">
        <f ca="1">IFERROR(ESF[[#This Row],[d (cm)]]+arredondarParaCimaMultiplo5cm(MAX(5,SQRT(PI())/2*ESF[[#This Row],[Ø (cm)]]/5)),"N.S.")</f>
        <v>N.S.</v>
      </c>
      <c r="AM39" s="5" t="str">
        <f ca="1">alpha(ESF[[#This Row],[nE]],ESF[[#This Row],[d (cm)]],ESF[[#This Row],[e (cm)]],ESF[[#This Row],[ap,eq (cm)]])</f>
        <v>N.S.</v>
      </c>
      <c r="AN39" s="35" t="str">
        <f ca="1">IFERROR(ESF[[#This Row],[Nsd (kN)]]/(ESF[[#This Row],[Ap (cm²)]]*SIN(ESF[[#This Row],[α]])^2),"N.S.")</f>
        <v>N.S.</v>
      </c>
      <c r="AO39" s="35" t="str">
        <f ca="1">IFERROR(ESF[[#This Row],[Nsd (kN)]]/(ESF[[#This Row],[nE]]*PI()*ESF[[#This Row],[Ø (cm)]]^2/4*SIN(ESF[[#This Row],[α]])^2),"N.S.")</f>
        <v>N.S.</v>
      </c>
      <c r="AP39" s="4" t="str">
        <f ca="1">IFERROR(INDEX(grupoEstacas[],ESF[[#This Row],[nE]],MATCH("coef. Blévot",grupoEstacas[#Headers],0)),"N.S.")</f>
        <v>N.S.</v>
      </c>
      <c r="AQ39" s="35" t="str">
        <f ca="1">IFERROR(ESF[[#This Row],[coef. Blévot]]*0.9*INDEX(tipoEstaca[],MATCH($D$2,tipoEstaca[TIPO DE ESTACA],0),MATCH("fcd (kN/cm²)",tipoEstaca[#Headers],0)),"N.S.")</f>
        <v>N.S.</v>
      </c>
      <c r="AR39" s="1" t="str">
        <f ca="1">IF(AND(ESF[[#This Row],[cd,b,pil (kN/cm²)]]&lt;=ESF[[#This Row],[cd,b,lim (kN/cm²)]],ESF[[#This Row],[cd,b,est (kN/cm²)]]&lt;=ESF[[#This Row],[cd,b,lim (kN/cm²)]]),"OK","ERRO")</f>
        <v>OK</v>
      </c>
      <c r="AS39" s="4" t="str">
        <f ca="1">As_lado(ESF[[#This Row],[nE]],ESF[[#This Row],[Nsd (kN)]],ESF[[#This Row],[d (cm)]],ESF[[#This Row],[e (cm)]],ESF[[#This Row],[ap,eq (cm)]])</f>
        <v>N.S.</v>
      </c>
      <c r="AT39" s="4" t="str">
        <f ca="1">IF(ESF[[#This Row],[nE]]=1,ESF[[#This Row],[As,lado (cm²)]],IF(ESF[[#This Row],[nE]]=2,0.075*2*ESF[a (cm)],"N.A."))</f>
        <v>N.A.</v>
      </c>
      <c r="AU39" s="4" t="str">
        <f ca="1">IFERROR(IF(ESF[[#This Row],[nE]]=1,"N.A.",0.2*ESF[[#This Row],[As,lado (cm²)]]),"N.S.")</f>
        <v>N.S.</v>
      </c>
      <c r="AV39" s="4" t="str">
        <f ca="1">As_malha(ESF[[#This Row],[nE]],ESF[[#This Row],[As,lado (cm²)]],ESF[[#This Row],[Nsd (kN)]])</f>
        <v>N.S.</v>
      </c>
      <c r="AW39" s="4" t="str">
        <f ca="1">As_susp_tot(ESF[[#This Row],[nE]],ESF[[#This Row],[Nsd (kN)]])</f>
        <v>N.S.</v>
      </c>
      <c r="AX39" s="4" t="str">
        <f ca="1">Asp_face(ESF[[#This Row],[nE]],ESF[[#This Row],[As,lado (cm²)]])</f>
        <v>N.S.</v>
      </c>
      <c r="AY39" s="5" t="str">
        <f ca="1">acoBloco(ESF[[#This Row],[nE]],ESF[[#This Row],[e (cm)]],ESF[[#This Row],[a (cm)]],ESF[[#This Row],[h (cm)]],ESF[[#This Row],[As,lado (cm²)]],ESF[[#This Row],[Asp e Asw (cm²/m)]],ESF[[#This Row],[As,sup (cm²)]],ESF[[#This Row],[As,malha (cm²)]],ESF[[#This Row],[As,susp,tot (cm²)]],ESF[[#This Row],[Asp,face (cm²)]])</f>
        <v>N.S.</v>
      </c>
      <c r="AZ39" s="4" t="str">
        <f ca="1">concretoBloco(ESF[[#This Row],[nE]],ESF[[#This Row],[e (cm)]],ESF[[#This Row],[a (cm)]],ESF[[#This Row],[h (cm)]])</f>
        <v>N.S.</v>
      </c>
      <c r="BA39" s="5">
        <f ca="1">SUM(ESF[[#This Row],[Aço Est (kg)]],ESF[[#This Row],[Aço Bloco (kg)]])</f>
        <v>4.4390704195223778</v>
      </c>
      <c r="BB39" s="4">
        <f>INDEX(composicoes[],MATCH(95580,composicoes[CÓDIGO],0),MATCH("CUSTO TOTAL",composicoes[#Headers],0))</f>
        <v>10.46</v>
      </c>
      <c r="BC39" s="4">
        <f ca="1">SUM(ESF[[#This Row],[Conc Est (m³)]],ESF[[#This Row],[Conc Bloco (m³)]])</f>
        <v>12.299335238804041</v>
      </c>
      <c r="BD39" s="4">
        <f>INDEX(composicoes[],MATCH(94966,composicoes[CÓDIGO],0),MATCH("CUSTO TOTAL",composicoes[#Headers],0))</f>
        <v>439.52</v>
      </c>
      <c r="BE39" s="38">
        <f ca="1">ESF[[#This Row],[Aço (kg)]]*ESF[[#This Row],[Aço (R$/kg)]]+ESF[[#This Row],[Conc (m³)]]*ESF[[#This Row],[Conc (R$/m³)]]</f>
        <v>5452.2365007473563</v>
      </c>
      <c r="BF39" s="4" t="str">
        <f ca="1">IF(COUNTIF(ESF[#This Row],"N.S.")&gt;0,"lim.","OK")</f>
        <v>lim.</v>
      </c>
      <c r="BG39" s="4" t="str">
        <f>IF(ESF[[#This Row],[Prof. (m)]]&lt;3,"lim.","OK")</f>
        <v>OK</v>
      </c>
      <c r="BH39" s="4" t="str">
        <f>IF(ESF[[#This Row],[Prof. (m)]]&gt;=8*ESF[[#This Row],[Ø (cm)]]/100,"OK","lim.")</f>
        <v>OK</v>
      </c>
      <c r="BI39" s="4" t="str">
        <f>IF(AND(SPT!$F$3&lt;&gt;"",ESF[[#This Row],[Prof. (m)]]&gt;=SPT!$F$3),"lim.","OK")</f>
        <v>OK</v>
      </c>
      <c r="BJ39" s="4" t="str">
        <f>IF(COUNTIFS(ESF[Solo],"Areia",ESF[Prof. (m)],"&lt;="&amp;ESF[[#This Row],[Prof. (m)]])&gt;=1,"lim.","OK")</f>
        <v>OK</v>
      </c>
      <c r="BK39" s="4" t="str">
        <f ca="1">IF(ESF[[#This Row],[Verif. Biela]]="OK","OK","lim.")</f>
        <v>OK</v>
      </c>
      <c r="BL39" s="4" t="str">
        <f ca="1">IF(COUNTA(ESF[[#This Row],[Nº Est.]:[Biela comp.]])=COUNTIF(ESF[[#This Row],[Nº Est.]:[Biela comp.]],"OK"),"OK","lim.")</f>
        <v>lim.</v>
      </c>
      <c r="BM39" s="4" t="str">
        <f ca="1">IF(ESF[[#This Row],[Controle]]="OK",ESF[[#This Row],[nE]]&amp;" Ø"&amp;ESF[[#This Row],[Ø (cm)]]&amp;"cm Prof. "&amp;ESF[[#This Row],[Prof. (m)]]&amp;" m","")</f>
        <v/>
      </c>
      <c r="BN39" s="4" t="str">
        <f ca="1">IF(ESF[[#This Row],[idDimensionamento]]="","",ESF[[#This Row],[idPilar]]&amp;ESF[[#This Row],[idDimensionamento]])</f>
        <v/>
      </c>
    </row>
    <row r="40" spans="2:66" x14ac:dyDescent="0.25">
      <c r="B40" s="12">
        <f>ROUNDUP((ROW(ESF[[#This Row],[idDiâmetro]])-ROW(ESF[[#Headers],[idDiâmetro]]))/(COUNT(SPT[Prof. (m)])*COUNT(PILARES[Pilar])),0)</f>
        <v>2</v>
      </c>
      <c r="C40" s="12">
        <f>IF(ESF[[#This Row],[idDiâmetro]]&lt;&gt;B39,1,IF(ESF[[#This Row],[Prof. (m)]]=0,C39+1,C39))</f>
        <v>1</v>
      </c>
      <c r="D40" s="1">
        <f>IFERROR(IF(D39=MAX(SPT[Prof. (m)]),0,D39+1),0)</f>
        <v>7</v>
      </c>
      <c r="E40" s="1">
        <f>INDEX(SPT[],MATCH(ESF[[#This Row],[Prof. (m)]],SPT[Prof. (m)],0),2)</f>
        <v>8</v>
      </c>
      <c r="F40" s="1" t="str">
        <f>INDEX(SPT[],MATCH(ESF[[#This Row],[Prof. (m)]],SPT[Prof. (m)],0),3)</f>
        <v>Silte arenoso</v>
      </c>
      <c r="G40" s="1">
        <f>INDEX(estacas[],ESF[[#This Row],[idDiâmetro]],MATCH($B$2,estacas[#Headers],0))</f>
        <v>30</v>
      </c>
      <c r="H40" s="1">
        <f>INDEX(estacas[],MATCH(ESF[[#This Row],[Ø (cm)]],estacas[Ø ESF (cm)],0),MATCH(ESF[[#Headers],[Pe ESF (kN)]],estacas[#Headers],0))</f>
        <v>360</v>
      </c>
      <c r="I40" s="4">
        <f>INDEX(K_alpha_C[],MATCH(ESF[[#This Row],[Solo]],K_alpha_C[Solo],0),2)</f>
        <v>0.55000000000000004</v>
      </c>
      <c r="J40" s="5">
        <f>INDEX(K_alpha_C[],MATCH(ESF[[#This Row],[Solo]],K_alpha_C[Solo],0),3)</f>
        <v>2.2000000000000002</v>
      </c>
      <c r="K40" s="4">
        <f>INDEX(F1_F2[],MATCH($D$2,F1_F2[Tipo de estaca],0),2)</f>
        <v>3</v>
      </c>
      <c r="L40" s="4">
        <f>INDEX(F1_F2[],MATCH($D$2,F1_F2[Tipo de estaca],0),3)</f>
        <v>6</v>
      </c>
      <c r="M40" s="4">
        <f>PI()*(ESF[[#This Row],[Ø (cm)]]/100)^2/4</f>
        <v>7.0685834705770348E-2</v>
      </c>
      <c r="N40" s="4">
        <f>PI()*ESF[[#This Row],[Ø (cm)]]/100</f>
        <v>0.94247779607693782</v>
      </c>
      <c r="O40" s="4">
        <f>IF(ESF[[#This Row],[Prof. (m)]]=0,0,ESF[[#This Row],[α (%)]]/100*ESF[[#This Row],[K (MPa)]]*1000*ESF[[#This Row],[NSPT]])</f>
        <v>96.800000000000011</v>
      </c>
      <c r="P40" s="4">
        <f>IF(ESF[[#This Row],[Prof. (m)]]=0,0,(ESF[[#This Row],[K (MPa)]]*1000*ESF[[#This Row],[NSPT]]/ESF[[#This Row],[F1]]*ESF[[#This Row],[Ap (m²)]]+ESF[[#This Row],[U (m)]]/ESF[[#This Row],[F2]]*SUMIFS(ESF[(α∙K∙NL∙ΔL)],ESF[Prof. (m)],"&lt;="&amp;ESF[[#This Row],[Prof. (m)]],ESF[idDiâmetro],ESF[[#This Row],[idDiâmetro]],ESF[idPilar],ESF[[#This Row],[idPilar]]))/'DADOS CAP. CARGA'!$D$2)</f>
        <v>120.86492336523332</v>
      </c>
      <c r="Q40" s="12">
        <f>INDEX(C_alpha_beta[],MATCH(ESF[[#This Row],[Solo]],C_alpha_beta[Solo],0),MATCH(ESF[[#Headers],[C (kPa)]],C_alpha_beta[#Headers],0))</f>
        <v>250</v>
      </c>
      <c r="R40" s="4">
        <f>INDEX(C_alpha_beta[],MATCH(ESF[[#This Row],[Solo]],C_alpha_beta[Solo],0),MATCH(ESF[[#Headers],[α ESF]],C_alpha_beta[#Headers],0))</f>
        <v>0.6</v>
      </c>
      <c r="S40" s="4">
        <f>INDEX(C_alpha_beta[],MATCH(ESF[[#This Row],[Solo]],C_alpha_beta[Solo],0),MATCH(ESF[[#Headers],[β ESF]],C_alpha_beta[#Headers],0))</f>
        <v>0.65</v>
      </c>
      <c r="T40" s="4">
        <f>IF(ESF[[#This Row],[Prof. (m)]]=0,0,10*(ESF[[#This Row],[NSPT]]/3+1))</f>
        <v>36.666666666666664</v>
      </c>
      <c r="U40" s="4">
        <f>(ESF[[#This Row],[α ESF]]*ESF[[#This Row],[C (kPa)]]*ESF[[#This Row],[NSPT]]*ESF[[#This Row],[Ap (m²)]])/'DADOS CAP. CARGA'!$Q$2+(ESF[[#This Row],[β ESF]]*SUMIFS(ESF[10∙(NL/3+1)],ESF[Prof. (m)],"&lt;="&amp;ESF[[#This Row],[Prof. (m)]],ESF[idDiâmetro],ESF[[#This Row],[idDiâmetro]],ESF[idPilar],ESF[[#This Row],[idPilar]])*ESF[[#This Row],[U (m)]])/'DADOS CAP. CARGA'!$S$2</f>
        <v>105.95021224231577</v>
      </c>
      <c r="V40" s="4">
        <f>IF(SPT!$M$5=1,MIN(ESF[[#This Row],[Pe ESF (kN)]],ESF[[#This Row],[R_AV (kN)]]),IF(SPT!$M$5=2,MIN(ESF[[#This Row],[Pe ESF (kN)]],ESF[[#This Row],[R_DC (kN)]]),MIN(ESF[[#This Row],[Pe ESF (kN)]],ESF[[#This Row],[R_AV (kN)]],ESF[[#This Row],[R_DC (kN)]])))</f>
        <v>105.95021224231577</v>
      </c>
      <c r="W40" s="4">
        <f>INDEX(PILARES[],ESF[[#This Row],[idPilar]],MATCH("Carga (kN)",PILARES[#Headers],0))*1.4</f>
        <v>3500</v>
      </c>
      <c r="X40" s="12">
        <f>INDEX(PILARES[],ESF[[#This Row],[idPilar]],MATCH(ESF[[#Headers],[ap (cm)]],PILARES[#Headers],0))</f>
        <v>60</v>
      </c>
      <c r="Y40" s="12">
        <f>INDEX(PILARES[],ESF[[#This Row],[idPilar]],MATCH(ESF[[#Headers],[bp (cm)]],PILARES[#Headers],0))</f>
        <v>60</v>
      </c>
      <c r="Z40" s="4">
        <f>SQRT(ESF[[#This Row],[ap (cm)]]*ESF[[#This Row],[bp (cm)]])</f>
        <v>60</v>
      </c>
      <c r="AA40" s="12">
        <f>ESF[[#This Row],[ap (cm)]]*ESF[[#This Row],[bp (cm)]]</f>
        <v>3600</v>
      </c>
      <c r="AB40" s="12">
        <f ca="1">IF(ESF[[#This Row],[Padm∙ε (kN)]]&gt;=ESF[[#This Row],[Padm (kN)]],ROUNDUP(1.05*ESF[[#This Row],[Nsd (kN)]]/ESF[[#This Row],[Padm (kN)]],0),ROUNDUP(1.05*ESF[[#This Row],[Nsd (kN)]]/ESF[[#This Row],[Padm (kN)]],0)+1)</f>
        <v>35</v>
      </c>
      <c r="AC40" s="4" t="str">
        <f ca="1">IFERROR(IF(ESF[[#This Row],[nE]]=1,ESF[[#This Row],[Padm (kN)]],ESF[[#This Row],[Padm (kN)]]*ESF[[#This Row],[nE]]*INDEX(grupoEstacas[],ESF[[#This Row],[nE]],MATCH("ε",grupoEstacas[#Headers],0))),"N.S.")</f>
        <v>N.S.</v>
      </c>
      <c r="AD40" s="4">
        <f ca="1">1.05*ESF[[#This Row],[Nsd (kN)]]/(ESF[[#This Row],[nE]]*PI()*ESF[[#This Row],[Ø (cm)]]^2/4)*10</f>
        <v>1.4854461355243567</v>
      </c>
      <c r="AE40" s="4">
        <f ca="1">IF(ESF[[#This Row],[σ (MPa)]]&lt;INDEX(tipoEstaca[],MATCH($D$2,tipoEstaca[TIPO DE ESTACA],0),MATCH("σmáx (MPa)",tipoEstaca[#Headers],0)),0.4%*PI()*ESF[[#This Row],[Ø (cm)]]^2/4,"N.S.")</f>
        <v>2.8274333882308138</v>
      </c>
      <c r="AF40" s="1">
        <f>INDEX(tipoEstaca[],MATCH($D$2,tipoEstaca[TIPO DE ESTACA],0),MATCH(ESF[[#Headers],[Comprimento (m)]],tipoEstaca[#Headers],0))</f>
        <v>2</v>
      </c>
      <c r="AG40" s="5">
        <f ca="1">ESF[[#This Row],[As,mín (cm²)]]/100^2*ESF[[#This Row],[Comprimento (m)]]*7850</f>
        <v>4.4390704195223778</v>
      </c>
      <c r="AH40" s="4">
        <f ca="1">ESF[[#This Row],[nE]]*ESF[[#This Row],[Prof. (m)]]*ESF[[#This Row],[Ap (m²)]]</f>
        <v>17.318029502913735</v>
      </c>
      <c r="AI40" s="1">
        <f ca="1">IF(ESF[[#This Row],[nE]]=1,0,MAX(3*ESF[[#This Row],[Ø (cm)]],60))</f>
        <v>90</v>
      </c>
      <c r="AJ40" s="1">
        <f ca="1">IF(ESF[[#This Row],[nE]]=1,ESF[[#This Row],[Ø (cm)]]+2*10,MAX(1.5*ESF[[#This Row],[Ø (cm)]],ESF[[#This Row],[Ø (cm)]]+15))</f>
        <v>45</v>
      </c>
      <c r="AK40" s="1" t="str">
        <f ca="1">alturaUtil(ESF[[#This Row],[nE]],ESF[[#This Row],[Ø (cm)]],ESF[[#This Row],[e (cm)]],ESF[[#This Row],[ap,eq (cm)]])</f>
        <v>N.S.</v>
      </c>
      <c r="AL40" s="1" t="str">
        <f ca="1">IFERROR(ESF[[#This Row],[d (cm)]]+arredondarParaCimaMultiplo5cm(MAX(5,SQRT(PI())/2*ESF[[#This Row],[Ø (cm)]]/5)),"N.S.")</f>
        <v>N.S.</v>
      </c>
      <c r="AM40" s="5" t="str">
        <f ca="1">alpha(ESF[[#This Row],[nE]],ESF[[#This Row],[d (cm)]],ESF[[#This Row],[e (cm)]],ESF[[#This Row],[ap,eq (cm)]])</f>
        <v>N.S.</v>
      </c>
      <c r="AN40" s="35" t="str">
        <f ca="1">IFERROR(ESF[[#This Row],[Nsd (kN)]]/(ESF[[#This Row],[Ap (cm²)]]*SIN(ESF[[#This Row],[α]])^2),"N.S.")</f>
        <v>N.S.</v>
      </c>
      <c r="AO40" s="35" t="str">
        <f ca="1">IFERROR(ESF[[#This Row],[Nsd (kN)]]/(ESF[[#This Row],[nE]]*PI()*ESF[[#This Row],[Ø (cm)]]^2/4*SIN(ESF[[#This Row],[α]])^2),"N.S.")</f>
        <v>N.S.</v>
      </c>
      <c r="AP40" s="4" t="str">
        <f ca="1">IFERROR(INDEX(grupoEstacas[],ESF[[#This Row],[nE]],MATCH("coef. Blévot",grupoEstacas[#Headers],0)),"N.S.")</f>
        <v>N.S.</v>
      </c>
      <c r="AQ40" s="35" t="str">
        <f ca="1">IFERROR(ESF[[#This Row],[coef. Blévot]]*0.9*INDEX(tipoEstaca[],MATCH($D$2,tipoEstaca[TIPO DE ESTACA],0),MATCH("fcd (kN/cm²)",tipoEstaca[#Headers],0)),"N.S.")</f>
        <v>N.S.</v>
      </c>
      <c r="AR40" s="1" t="str">
        <f ca="1">IF(AND(ESF[[#This Row],[cd,b,pil (kN/cm²)]]&lt;=ESF[[#This Row],[cd,b,lim (kN/cm²)]],ESF[[#This Row],[cd,b,est (kN/cm²)]]&lt;=ESF[[#This Row],[cd,b,lim (kN/cm²)]]),"OK","ERRO")</f>
        <v>OK</v>
      </c>
      <c r="AS40" s="4" t="str">
        <f ca="1">As_lado(ESF[[#This Row],[nE]],ESF[[#This Row],[Nsd (kN)]],ESF[[#This Row],[d (cm)]],ESF[[#This Row],[e (cm)]],ESF[[#This Row],[ap,eq (cm)]])</f>
        <v>N.S.</v>
      </c>
      <c r="AT40" s="4" t="str">
        <f ca="1">IF(ESF[[#This Row],[nE]]=1,ESF[[#This Row],[As,lado (cm²)]],IF(ESF[[#This Row],[nE]]=2,0.075*2*ESF[a (cm)],"N.A."))</f>
        <v>N.A.</v>
      </c>
      <c r="AU40" s="4" t="str">
        <f ca="1">IFERROR(IF(ESF[[#This Row],[nE]]=1,"N.A.",0.2*ESF[[#This Row],[As,lado (cm²)]]),"N.S.")</f>
        <v>N.S.</v>
      </c>
      <c r="AV40" s="4" t="str">
        <f ca="1">As_malha(ESF[[#This Row],[nE]],ESF[[#This Row],[As,lado (cm²)]],ESF[[#This Row],[Nsd (kN)]])</f>
        <v>N.S.</v>
      </c>
      <c r="AW40" s="4" t="str">
        <f ca="1">As_susp_tot(ESF[[#This Row],[nE]],ESF[[#This Row],[Nsd (kN)]])</f>
        <v>N.S.</v>
      </c>
      <c r="AX40" s="4" t="str">
        <f ca="1">Asp_face(ESF[[#This Row],[nE]],ESF[[#This Row],[As,lado (cm²)]])</f>
        <v>N.S.</v>
      </c>
      <c r="AY40" s="5" t="str">
        <f ca="1">acoBloco(ESF[[#This Row],[nE]],ESF[[#This Row],[e (cm)]],ESF[[#This Row],[a (cm)]],ESF[[#This Row],[h (cm)]],ESF[[#This Row],[As,lado (cm²)]],ESF[[#This Row],[Asp e Asw (cm²/m)]],ESF[[#This Row],[As,sup (cm²)]],ESF[[#This Row],[As,malha (cm²)]],ESF[[#This Row],[As,susp,tot (cm²)]],ESF[[#This Row],[Asp,face (cm²)]])</f>
        <v>N.S.</v>
      </c>
      <c r="AZ40" s="4" t="str">
        <f ca="1">concretoBloco(ESF[[#This Row],[nE]],ESF[[#This Row],[e (cm)]],ESF[[#This Row],[a (cm)]],ESF[[#This Row],[h (cm)]])</f>
        <v>N.S.</v>
      </c>
      <c r="BA40" s="5">
        <f ca="1">SUM(ESF[[#This Row],[Aço Est (kg)]],ESF[[#This Row],[Aço Bloco (kg)]])</f>
        <v>4.4390704195223778</v>
      </c>
      <c r="BB40" s="4">
        <f>INDEX(composicoes[],MATCH(95580,composicoes[CÓDIGO],0),MATCH("CUSTO TOTAL",composicoes[#Headers],0))</f>
        <v>10.46</v>
      </c>
      <c r="BC40" s="4">
        <f ca="1">SUM(ESF[[#This Row],[Conc Est (m³)]],ESF[[#This Row],[Conc Bloco (m³)]])</f>
        <v>17.318029502913735</v>
      </c>
      <c r="BD40" s="4">
        <f>INDEX(composicoes[],MATCH(94966,composicoes[CÓDIGO],0),MATCH("CUSTO TOTAL",composicoes[#Headers],0))</f>
        <v>439.52</v>
      </c>
      <c r="BE40" s="38">
        <f ca="1">ESF[[#This Row],[Aço (kg)]]*ESF[[#This Row],[Aço (R$/kg)]]+ESF[[#This Row],[Conc (m³)]]*ESF[[#This Row],[Conc (R$/m³)]]</f>
        <v>7658.0530037088483</v>
      </c>
      <c r="BF40" s="4" t="str">
        <f ca="1">IF(COUNTIF(ESF[#This Row],"N.S.")&gt;0,"lim.","OK")</f>
        <v>lim.</v>
      </c>
      <c r="BG40" s="4" t="str">
        <f>IF(ESF[[#This Row],[Prof. (m)]]&lt;3,"lim.","OK")</f>
        <v>OK</v>
      </c>
      <c r="BH40" s="4" t="str">
        <f>IF(ESF[[#This Row],[Prof. (m)]]&gt;=8*ESF[[#This Row],[Ø (cm)]]/100,"OK","lim.")</f>
        <v>OK</v>
      </c>
      <c r="BI40" s="4" t="str">
        <f>IF(AND(SPT!$F$3&lt;&gt;"",ESF[[#This Row],[Prof. (m)]]&gt;=SPT!$F$3),"lim.","OK")</f>
        <v>OK</v>
      </c>
      <c r="BJ40" s="4" t="str">
        <f>IF(COUNTIFS(ESF[Solo],"Areia",ESF[Prof. (m)],"&lt;="&amp;ESF[[#This Row],[Prof. (m)]])&gt;=1,"lim.","OK")</f>
        <v>OK</v>
      </c>
      <c r="BK40" s="4" t="str">
        <f ca="1">IF(ESF[[#This Row],[Verif. Biela]]="OK","OK","lim.")</f>
        <v>OK</v>
      </c>
      <c r="BL40" s="4" t="str">
        <f ca="1">IF(COUNTA(ESF[[#This Row],[Nº Est.]:[Biela comp.]])=COUNTIF(ESF[[#This Row],[Nº Est.]:[Biela comp.]],"OK"),"OK","lim.")</f>
        <v>lim.</v>
      </c>
      <c r="BM40" s="4" t="str">
        <f ca="1">IF(ESF[[#This Row],[Controle]]="OK",ESF[[#This Row],[nE]]&amp;" Ø"&amp;ESF[[#This Row],[Ø (cm)]]&amp;"cm Prof. "&amp;ESF[[#This Row],[Prof. (m)]]&amp;" m","")</f>
        <v/>
      </c>
      <c r="BN40" s="4" t="str">
        <f ca="1">IF(ESF[[#This Row],[idDimensionamento]]="","",ESF[[#This Row],[idPilar]]&amp;ESF[[#This Row],[idDimensionamento]])</f>
        <v/>
      </c>
    </row>
    <row r="41" spans="2:66" x14ac:dyDescent="0.25">
      <c r="B41" s="12">
        <f>ROUNDUP((ROW(ESF[[#This Row],[idDiâmetro]])-ROW(ESF[[#Headers],[idDiâmetro]]))/(COUNT(SPT[Prof. (m)])*COUNT(PILARES[Pilar])),0)</f>
        <v>2</v>
      </c>
      <c r="C41" s="12">
        <f>IF(ESF[[#This Row],[idDiâmetro]]&lt;&gt;B40,1,IF(ESF[[#This Row],[Prof. (m)]]=0,C40+1,C40))</f>
        <v>1</v>
      </c>
      <c r="D41" s="1">
        <f>IFERROR(IF(D40=MAX(SPT[Prof. (m)]),0,D40+1),0)</f>
        <v>8</v>
      </c>
      <c r="E41" s="1">
        <f>INDEX(SPT[],MATCH(ESF[[#This Row],[Prof. (m)]],SPT[Prof. (m)],0),2)</f>
        <v>10</v>
      </c>
      <c r="F41" s="1" t="str">
        <f>INDEX(SPT[],MATCH(ESF[[#This Row],[Prof. (m)]],SPT[Prof. (m)],0),3)</f>
        <v>Silte arenoso</v>
      </c>
      <c r="G41" s="1">
        <f>INDEX(estacas[],ESF[[#This Row],[idDiâmetro]],MATCH($B$2,estacas[#Headers],0))</f>
        <v>30</v>
      </c>
      <c r="H41" s="1">
        <f>INDEX(estacas[],MATCH(ESF[[#This Row],[Ø (cm)]],estacas[Ø ESF (cm)],0),MATCH(ESF[[#Headers],[Pe ESF (kN)]],estacas[#Headers],0))</f>
        <v>360</v>
      </c>
      <c r="I41" s="4">
        <f>INDEX(K_alpha_C[],MATCH(ESF[[#This Row],[Solo]],K_alpha_C[Solo],0),2)</f>
        <v>0.55000000000000004</v>
      </c>
      <c r="J41" s="5">
        <f>INDEX(K_alpha_C[],MATCH(ESF[[#This Row],[Solo]],K_alpha_C[Solo],0),3)</f>
        <v>2.2000000000000002</v>
      </c>
      <c r="K41" s="4">
        <f>INDEX(F1_F2[],MATCH($D$2,F1_F2[Tipo de estaca],0),2)</f>
        <v>3</v>
      </c>
      <c r="L41" s="4">
        <f>INDEX(F1_F2[],MATCH($D$2,F1_F2[Tipo de estaca],0),3)</f>
        <v>6</v>
      </c>
      <c r="M41" s="4">
        <f>PI()*(ESF[[#This Row],[Ø (cm)]]/100)^2/4</f>
        <v>7.0685834705770348E-2</v>
      </c>
      <c r="N41" s="4">
        <f>PI()*ESF[[#This Row],[Ø (cm)]]/100</f>
        <v>0.94247779607693782</v>
      </c>
      <c r="O41" s="4">
        <f>IF(ESF[[#This Row],[Prof. (m)]]=0,0,ESF[[#This Row],[α (%)]]/100*ESF[[#This Row],[K (MPa)]]*1000*ESF[[#This Row],[NSPT]])</f>
        <v>121.00000000000001</v>
      </c>
      <c r="P41" s="4">
        <f>IF(ESF[[#This Row],[Prof. (m)]]=0,0,(ESF[[#This Row],[K (MPa)]]*1000*ESF[[#This Row],[NSPT]]/ESF[[#This Row],[F1]]*ESF[[#This Row],[Ap (m²)]]+ESF[[#This Row],[U (m)]]/ESF[[#This Row],[F2]]*SUMIFS(ESF[(α∙K∙NL∙ΔL)],ESF[Prof. (m)],"&lt;="&amp;ESF[[#This Row],[Prof. (m)]],ESF[idDiâmetro],ESF[[#This Row],[idDiâmetro]],ESF[idPilar],ESF[[#This Row],[idPilar]]))/'DADOS CAP. CARGA'!$D$2)</f>
        <v>143.32731083840031</v>
      </c>
      <c r="Q41" s="12">
        <f>INDEX(C_alpha_beta[],MATCH(ESF[[#This Row],[Solo]],C_alpha_beta[Solo],0),MATCH(ESF[[#Headers],[C (kPa)]],C_alpha_beta[#Headers],0))</f>
        <v>250</v>
      </c>
      <c r="R41" s="4">
        <f>INDEX(C_alpha_beta[],MATCH(ESF[[#This Row],[Solo]],C_alpha_beta[Solo],0),MATCH(ESF[[#Headers],[α ESF]],C_alpha_beta[#Headers],0))</f>
        <v>0.6</v>
      </c>
      <c r="S41" s="4">
        <f>INDEX(C_alpha_beta[],MATCH(ESF[[#This Row],[Solo]],C_alpha_beta[Solo],0),MATCH(ESF[[#Headers],[β ESF]],C_alpha_beta[#Headers],0))</f>
        <v>0.65</v>
      </c>
      <c r="T41" s="4">
        <f>IF(ESF[[#This Row],[Prof. (m)]]=0,0,10*(ESF[[#This Row],[NSPT]]/3+1))</f>
        <v>43.333333333333343</v>
      </c>
      <c r="U41" s="4">
        <f>(ESF[[#This Row],[α ESF]]*ESF[[#This Row],[C (kPa)]]*ESF[[#This Row],[NSPT]]*ESF[[#This Row],[Ap (m²)]])/'DADOS CAP. CARGA'!$Q$2+(ESF[[#This Row],[β ESF]]*SUMIFS(ESF[10∙(NL/3+1)],ESF[Prof. (m)],"&lt;="&amp;ESF[[#This Row],[Prof. (m)]],ESF[idDiâmetro],ESF[[#This Row],[idDiâmetro]],ESF[idPilar],ESF[[#This Row],[idPilar]])*ESF[[#This Row],[U (m)]])/'DADOS CAP. CARGA'!$S$2</f>
        <v>124.52487880666541</v>
      </c>
      <c r="V41" s="4">
        <f>IF(SPT!$M$5=1,MIN(ESF[[#This Row],[Pe ESF (kN)]],ESF[[#This Row],[R_AV (kN)]]),IF(SPT!$M$5=2,MIN(ESF[[#This Row],[Pe ESF (kN)]],ESF[[#This Row],[R_DC (kN)]]),MIN(ESF[[#This Row],[Pe ESF (kN)]],ESF[[#This Row],[R_AV (kN)]],ESF[[#This Row],[R_DC (kN)]])))</f>
        <v>124.52487880666541</v>
      </c>
      <c r="W41" s="4">
        <f>INDEX(PILARES[],ESF[[#This Row],[idPilar]],MATCH("Carga (kN)",PILARES[#Headers],0))*1.4</f>
        <v>3500</v>
      </c>
      <c r="X41" s="12">
        <f>INDEX(PILARES[],ESF[[#This Row],[idPilar]],MATCH(ESF[[#Headers],[ap (cm)]],PILARES[#Headers],0))</f>
        <v>60</v>
      </c>
      <c r="Y41" s="12">
        <f>INDEX(PILARES[],ESF[[#This Row],[idPilar]],MATCH(ESF[[#Headers],[bp (cm)]],PILARES[#Headers],0))</f>
        <v>60</v>
      </c>
      <c r="Z41" s="4">
        <f>SQRT(ESF[[#This Row],[ap (cm)]]*ESF[[#This Row],[bp (cm)]])</f>
        <v>60</v>
      </c>
      <c r="AA41" s="12">
        <f>ESF[[#This Row],[ap (cm)]]*ESF[[#This Row],[bp (cm)]]</f>
        <v>3600</v>
      </c>
      <c r="AB41" s="12">
        <f ca="1">IF(ESF[[#This Row],[Padm∙ε (kN)]]&gt;=ESF[[#This Row],[Padm (kN)]],ROUNDUP(1.05*ESF[[#This Row],[Nsd (kN)]]/ESF[[#This Row],[Padm (kN)]],0),ROUNDUP(1.05*ESF[[#This Row],[Nsd (kN)]]/ESF[[#This Row],[Padm (kN)]],0)+1)</f>
        <v>30</v>
      </c>
      <c r="AC41" s="4" t="str">
        <f ca="1">IFERROR(IF(ESF[[#This Row],[nE]]=1,ESF[[#This Row],[Padm (kN)]],ESF[[#This Row],[Padm (kN)]]*ESF[[#This Row],[nE]]*INDEX(grupoEstacas[],ESF[[#This Row],[nE]],MATCH("ε",grupoEstacas[#Headers],0))),"N.S.")</f>
        <v>N.S.</v>
      </c>
      <c r="AD41" s="4">
        <f ca="1">1.05*ESF[[#This Row],[Nsd (kN)]]/(ESF[[#This Row],[nE]]*PI()*ESF[[#This Row],[Ø (cm)]]^2/4)*10</f>
        <v>1.7330204914450826</v>
      </c>
      <c r="AE41" s="4">
        <f ca="1">IF(ESF[[#This Row],[σ (MPa)]]&lt;INDEX(tipoEstaca[],MATCH($D$2,tipoEstaca[TIPO DE ESTACA],0),MATCH("σmáx (MPa)",tipoEstaca[#Headers],0)),0.4%*PI()*ESF[[#This Row],[Ø (cm)]]^2/4,"N.S.")</f>
        <v>2.8274333882308138</v>
      </c>
      <c r="AF41" s="1">
        <f>INDEX(tipoEstaca[],MATCH($D$2,tipoEstaca[TIPO DE ESTACA],0),MATCH(ESF[[#Headers],[Comprimento (m)]],tipoEstaca[#Headers],0))</f>
        <v>2</v>
      </c>
      <c r="AG41" s="5">
        <f ca="1">ESF[[#This Row],[As,mín (cm²)]]/100^2*ESF[[#This Row],[Comprimento (m)]]*7850</f>
        <v>4.4390704195223778</v>
      </c>
      <c r="AH41" s="4">
        <f ca="1">ESF[[#This Row],[nE]]*ESF[[#This Row],[Prof. (m)]]*ESF[[#This Row],[Ap (m²)]]</f>
        <v>16.964600329384883</v>
      </c>
      <c r="AI41" s="1">
        <f ca="1">IF(ESF[[#This Row],[nE]]=1,0,MAX(3*ESF[[#This Row],[Ø (cm)]],60))</f>
        <v>90</v>
      </c>
      <c r="AJ41" s="1">
        <f ca="1">IF(ESF[[#This Row],[nE]]=1,ESF[[#This Row],[Ø (cm)]]+2*10,MAX(1.5*ESF[[#This Row],[Ø (cm)]],ESF[[#This Row],[Ø (cm)]]+15))</f>
        <v>45</v>
      </c>
      <c r="AK41" s="1" t="str">
        <f ca="1">alturaUtil(ESF[[#This Row],[nE]],ESF[[#This Row],[Ø (cm)]],ESF[[#This Row],[e (cm)]],ESF[[#This Row],[ap,eq (cm)]])</f>
        <v>N.S.</v>
      </c>
      <c r="AL41" s="1" t="str">
        <f ca="1">IFERROR(ESF[[#This Row],[d (cm)]]+arredondarParaCimaMultiplo5cm(MAX(5,SQRT(PI())/2*ESF[[#This Row],[Ø (cm)]]/5)),"N.S.")</f>
        <v>N.S.</v>
      </c>
      <c r="AM41" s="5" t="str">
        <f ca="1">alpha(ESF[[#This Row],[nE]],ESF[[#This Row],[d (cm)]],ESF[[#This Row],[e (cm)]],ESF[[#This Row],[ap,eq (cm)]])</f>
        <v>N.S.</v>
      </c>
      <c r="AN41" s="35" t="str">
        <f ca="1">IFERROR(ESF[[#This Row],[Nsd (kN)]]/(ESF[[#This Row],[Ap (cm²)]]*SIN(ESF[[#This Row],[α]])^2),"N.S.")</f>
        <v>N.S.</v>
      </c>
      <c r="AO41" s="35" t="str">
        <f ca="1">IFERROR(ESF[[#This Row],[Nsd (kN)]]/(ESF[[#This Row],[nE]]*PI()*ESF[[#This Row],[Ø (cm)]]^2/4*SIN(ESF[[#This Row],[α]])^2),"N.S.")</f>
        <v>N.S.</v>
      </c>
      <c r="AP41" s="4" t="str">
        <f ca="1">IFERROR(INDEX(grupoEstacas[],ESF[[#This Row],[nE]],MATCH("coef. Blévot",grupoEstacas[#Headers],0)),"N.S.")</f>
        <v>N.S.</v>
      </c>
      <c r="AQ41" s="35" t="str">
        <f ca="1">IFERROR(ESF[[#This Row],[coef. Blévot]]*0.9*INDEX(tipoEstaca[],MATCH($D$2,tipoEstaca[TIPO DE ESTACA],0),MATCH("fcd (kN/cm²)",tipoEstaca[#Headers],0)),"N.S.")</f>
        <v>N.S.</v>
      </c>
      <c r="AR41" s="1" t="str">
        <f ca="1">IF(AND(ESF[[#This Row],[cd,b,pil (kN/cm²)]]&lt;=ESF[[#This Row],[cd,b,lim (kN/cm²)]],ESF[[#This Row],[cd,b,est (kN/cm²)]]&lt;=ESF[[#This Row],[cd,b,lim (kN/cm²)]]),"OK","ERRO")</f>
        <v>OK</v>
      </c>
      <c r="AS41" s="4" t="str">
        <f ca="1">As_lado(ESF[[#This Row],[nE]],ESF[[#This Row],[Nsd (kN)]],ESF[[#This Row],[d (cm)]],ESF[[#This Row],[e (cm)]],ESF[[#This Row],[ap,eq (cm)]])</f>
        <v>N.S.</v>
      </c>
      <c r="AT41" s="4" t="str">
        <f ca="1">IF(ESF[[#This Row],[nE]]=1,ESF[[#This Row],[As,lado (cm²)]],IF(ESF[[#This Row],[nE]]=2,0.075*2*ESF[a (cm)],"N.A."))</f>
        <v>N.A.</v>
      </c>
      <c r="AU41" s="4" t="str">
        <f ca="1">IFERROR(IF(ESF[[#This Row],[nE]]=1,"N.A.",0.2*ESF[[#This Row],[As,lado (cm²)]]),"N.S.")</f>
        <v>N.S.</v>
      </c>
      <c r="AV41" s="4" t="str">
        <f ca="1">As_malha(ESF[[#This Row],[nE]],ESF[[#This Row],[As,lado (cm²)]],ESF[[#This Row],[Nsd (kN)]])</f>
        <v>N.S.</v>
      </c>
      <c r="AW41" s="4" t="str">
        <f ca="1">As_susp_tot(ESF[[#This Row],[nE]],ESF[[#This Row],[Nsd (kN)]])</f>
        <v>N.S.</v>
      </c>
      <c r="AX41" s="4" t="str">
        <f ca="1">Asp_face(ESF[[#This Row],[nE]],ESF[[#This Row],[As,lado (cm²)]])</f>
        <v>N.S.</v>
      </c>
      <c r="AY41" s="5" t="str">
        <f ca="1">acoBloco(ESF[[#This Row],[nE]],ESF[[#This Row],[e (cm)]],ESF[[#This Row],[a (cm)]],ESF[[#This Row],[h (cm)]],ESF[[#This Row],[As,lado (cm²)]],ESF[[#This Row],[Asp e Asw (cm²/m)]],ESF[[#This Row],[As,sup (cm²)]],ESF[[#This Row],[As,malha (cm²)]],ESF[[#This Row],[As,susp,tot (cm²)]],ESF[[#This Row],[Asp,face (cm²)]])</f>
        <v>N.S.</v>
      </c>
      <c r="AZ41" s="4" t="str">
        <f ca="1">concretoBloco(ESF[[#This Row],[nE]],ESF[[#This Row],[e (cm)]],ESF[[#This Row],[a (cm)]],ESF[[#This Row],[h (cm)]])</f>
        <v>N.S.</v>
      </c>
      <c r="BA41" s="5">
        <f ca="1">SUM(ESF[[#This Row],[Aço Est (kg)]],ESF[[#This Row],[Aço Bloco (kg)]])</f>
        <v>4.4390704195223778</v>
      </c>
      <c r="BB41" s="4">
        <f>INDEX(composicoes[],MATCH(95580,composicoes[CÓDIGO],0),MATCH("CUSTO TOTAL",composicoes[#Headers],0))</f>
        <v>10.46</v>
      </c>
      <c r="BC41" s="4">
        <f ca="1">SUM(ESF[[#This Row],[Conc Est (m³)]],ESF[[#This Row],[Conc Bloco (m³)]])</f>
        <v>16.964600329384883</v>
      </c>
      <c r="BD41" s="4">
        <f>INDEX(composicoes[],MATCH(94966,composicoes[CÓDIGO],0),MATCH("CUSTO TOTAL",composicoes[#Headers],0))</f>
        <v>439.52</v>
      </c>
      <c r="BE41" s="38">
        <f ca="1">ESF[[#This Row],[Aço (kg)]]*ESF[[#This Row],[Aço (R$/kg)]]+ESF[[#This Row],[Conc (m³)]]*ESF[[#This Row],[Conc (R$/m³)]]</f>
        <v>7502.7138133594481</v>
      </c>
      <c r="BF41" s="4" t="str">
        <f ca="1">IF(COUNTIF(ESF[#This Row],"N.S.")&gt;0,"lim.","OK")</f>
        <v>lim.</v>
      </c>
      <c r="BG41" s="4" t="str">
        <f>IF(ESF[[#This Row],[Prof. (m)]]&lt;3,"lim.","OK")</f>
        <v>OK</v>
      </c>
      <c r="BH41" s="4" t="str">
        <f>IF(ESF[[#This Row],[Prof. (m)]]&gt;=8*ESF[[#This Row],[Ø (cm)]]/100,"OK","lim.")</f>
        <v>OK</v>
      </c>
      <c r="BI41" s="4" t="str">
        <f>IF(AND(SPT!$F$3&lt;&gt;"",ESF[[#This Row],[Prof. (m)]]&gt;=SPT!$F$3),"lim.","OK")</f>
        <v>OK</v>
      </c>
      <c r="BJ41" s="4" t="str">
        <f>IF(COUNTIFS(ESF[Solo],"Areia",ESF[Prof. (m)],"&lt;="&amp;ESF[[#This Row],[Prof. (m)]])&gt;=1,"lim.","OK")</f>
        <v>OK</v>
      </c>
      <c r="BK41" s="4" t="str">
        <f ca="1">IF(ESF[[#This Row],[Verif. Biela]]="OK","OK","lim.")</f>
        <v>OK</v>
      </c>
      <c r="BL41" s="4" t="str">
        <f ca="1">IF(COUNTA(ESF[[#This Row],[Nº Est.]:[Biela comp.]])=COUNTIF(ESF[[#This Row],[Nº Est.]:[Biela comp.]],"OK"),"OK","lim.")</f>
        <v>lim.</v>
      </c>
      <c r="BM41" s="4" t="str">
        <f ca="1">IF(ESF[[#This Row],[Controle]]="OK",ESF[[#This Row],[nE]]&amp;" Ø"&amp;ESF[[#This Row],[Ø (cm)]]&amp;"cm Prof. "&amp;ESF[[#This Row],[Prof. (m)]]&amp;" m","")</f>
        <v/>
      </c>
      <c r="BN41" s="4" t="str">
        <f ca="1">IF(ESF[[#This Row],[idDimensionamento]]="","",ESF[[#This Row],[idPilar]]&amp;ESF[[#This Row],[idDimensionamento]])</f>
        <v/>
      </c>
    </row>
    <row r="42" spans="2:66" x14ac:dyDescent="0.25">
      <c r="B42" s="12">
        <f>ROUNDUP((ROW(ESF[[#This Row],[idDiâmetro]])-ROW(ESF[[#Headers],[idDiâmetro]]))/(COUNT(SPT[Prof. (m)])*COUNT(PILARES[Pilar])),0)</f>
        <v>2</v>
      </c>
      <c r="C42" s="12">
        <f>IF(ESF[[#This Row],[idDiâmetro]]&lt;&gt;B41,1,IF(ESF[[#This Row],[Prof. (m)]]=0,C41+1,C41))</f>
        <v>1</v>
      </c>
      <c r="D42" s="1">
        <f>IFERROR(IF(D41=MAX(SPT[Prof. (m)]),0,D41+1),0)</f>
        <v>9</v>
      </c>
      <c r="E42" s="1">
        <f>INDEX(SPT[],MATCH(ESF[[#This Row],[Prof. (m)]],SPT[Prof. (m)],0),2)</f>
        <v>26</v>
      </c>
      <c r="F42" s="1" t="str">
        <f>INDEX(SPT[],MATCH(ESF[[#This Row],[Prof. (m)]],SPT[Prof. (m)],0),3)</f>
        <v>Areia siltosa</v>
      </c>
      <c r="G42" s="1">
        <f>INDEX(estacas[],ESF[[#This Row],[idDiâmetro]],MATCH($B$2,estacas[#Headers],0))</f>
        <v>30</v>
      </c>
      <c r="H42" s="1">
        <f>INDEX(estacas[],MATCH(ESF[[#This Row],[Ø (cm)]],estacas[Ø ESF (cm)],0),MATCH(ESF[[#Headers],[Pe ESF (kN)]],estacas[#Headers],0))</f>
        <v>360</v>
      </c>
      <c r="I42" s="4">
        <f>INDEX(K_alpha_C[],MATCH(ESF[[#This Row],[Solo]],K_alpha_C[Solo],0),2)</f>
        <v>0.8</v>
      </c>
      <c r="J42" s="5">
        <f>INDEX(K_alpha_C[],MATCH(ESF[[#This Row],[Solo]],K_alpha_C[Solo],0),3)</f>
        <v>2</v>
      </c>
      <c r="K42" s="4">
        <f>INDEX(F1_F2[],MATCH($D$2,F1_F2[Tipo de estaca],0),2)</f>
        <v>3</v>
      </c>
      <c r="L42" s="4">
        <f>INDEX(F1_F2[],MATCH($D$2,F1_F2[Tipo de estaca],0),3)</f>
        <v>6</v>
      </c>
      <c r="M42" s="4">
        <f>PI()*(ESF[[#This Row],[Ø (cm)]]/100)^2/4</f>
        <v>7.0685834705770348E-2</v>
      </c>
      <c r="N42" s="4">
        <f>PI()*ESF[[#This Row],[Ø (cm)]]/100</f>
        <v>0.94247779607693782</v>
      </c>
      <c r="O42" s="4">
        <f>IF(ESF[[#This Row],[Prof. (m)]]=0,0,ESF[[#This Row],[α (%)]]/100*ESF[[#This Row],[K (MPa)]]*1000*ESF[[#This Row],[NSPT]])</f>
        <v>416</v>
      </c>
      <c r="P42" s="4">
        <f>IF(ESF[[#This Row],[Prof. (m)]]=0,0,(ESF[[#This Row],[K (MPa)]]*1000*ESF[[#This Row],[NSPT]]/ESF[[#This Row],[F1]]*ESF[[#This Row],[Ap (m²)]]+ESF[[#This Row],[U (m)]]/ESF[[#This Row],[F2]]*SUMIFS(ESF[(α∙K∙NL∙ΔL)],ESF[Prof. (m)],"&lt;="&amp;ESF[[#This Row],[Prof. (m)]],ESF[idDiâmetro],ESF[[#This Row],[idDiâmetro]],ESF[idPilar],ESF[[#This Row],[idPilar]]))/'DADOS CAP. CARGA'!$D$2)</f>
        <v>356.24875293544858</v>
      </c>
      <c r="Q42" s="12">
        <f>INDEX(C_alpha_beta[],MATCH(ESF[[#This Row],[Solo]],C_alpha_beta[Solo],0),MATCH(ESF[[#Headers],[C (kPa)]],C_alpha_beta[#Headers],0))</f>
        <v>400</v>
      </c>
      <c r="R42" s="4">
        <f>INDEX(C_alpha_beta[],MATCH(ESF[[#This Row],[Solo]],C_alpha_beta[Solo],0),MATCH(ESF[[#Headers],[α ESF]],C_alpha_beta[#Headers],0))</f>
        <v>0.5</v>
      </c>
      <c r="S42" s="4">
        <f>INDEX(C_alpha_beta[],MATCH(ESF[[#This Row],[Solo]],C_alpha_beta[Solo],0),MATCH(ESF[[#Headers],[β ESF]],C_alpha_beta[#Headers],0))</f>
        <v>0.5</v>
      </c>
      <c r="T42" s="4">
        <f>IF(ESF[[#This Row],[Prof. (m)]]=0,0,10*(ESF[[#This Row],[NSPT]]/3+1))</f>
        <v>96.666666666666657</v>
      </c>
      <c r="U42" s="4">
        <f>(ESF[[#This Row],[α ESF]]*ESF[[#This Row],[C (kPa)]]*ESF[[#This Row],[NSPT]]*ESF[[#This Row],[Ap (m²)]])/'DADOS CAP. CARGA'!$Q$2+(ESF[[#This Row],[β ESF]]*SUMIFS(ESF[10∙(NL/3+1)],ESF[Prof. (m)],"&lt;="&amp;ESF[[#This Row],[Prof. (m)]],ESF[idDiâmetro],ESF[[#This Row],[idDiâmetro]],ESF[idPilar],ESF[[#This Row],[idPilar]])*ESF[[#This Row],[U (m)]])/'DADOS CAP. CARGA'!$S$2</f>
        <v>190.06635554218246</v>
      </c>
      <c r="V42" s="4">
        <f>IF(SPT!$M$5=1,MIN(ESF[[#This Row],[Pe ESF (kN)]],ESF[[#This Row],[R_AV (kN)]]),IF(SPT!$M$5=2,MIN(ESF[[#This Row],[Pe ESF (kN)]],ESF[[#This Row],[R_DC (kN)]]),MIN(ESF[[#This Row],[Pe ESF (kN)]],ESF[[#This Row],[R_AV (kN)]],ESF[[#This Row],[R_DC (kN)]])))</f>
        <v>190.06635554218246</v>
      </c>
      <c r="W42" s="4">
        <f>INDEX(PILARES[],ESF[[#This Row],[idPilar]],MATCH("Carga (kN)",PILARES[#Headers],0))*1.4</f>
        <v>3500</v>
      </c>
      <c r="X42" s="12">
        <f>INDEX(PILARES[],ESF[[#This Row],[idPilar]],MATCH(ESF[[#Headers],[ap (cm)]],PILARES[#Headers],0))</f>
        <v>60</v>
      </c>
      <c r="Y42" s="12">
        <f>INDEX(PILARES[],ESF[[#This Row],[idPilar]],MATCH(ESF[[#Headers],[bp (cm)]],PILARES[#Headers],0))</f>
        <v>60</v>
      </c>
      <c r="Z42" s="4">
        <f>SQRT(ESF[[#This Row],[ap (cm)]]*ESF[[#This Row],[bp (cm)]])</f>
        <v>60</v>
      </c>
      <c r="AA42" s="12">
        <f>ESF[[#This Row],[ap (cm)]]*ESF[[#This Row],[bp (cm)]]</f>
        <v>3600</v>
      </c>
      <c r="AB42" s="12">
        <f ca="1">IF(ESF[[#This Row],[Padm∙ε (kN)]]&gt;=ESF[[#This Row],[Padm (kN)]],ROUNDUP(1.05*ESF[[#This Row],[Nsd (kN)]]/ESF[[#This Row],[Padm (kN)]],0),ROUNDUP(1.05*ESF[[#This Row],[Nsd (kN)]]/ESF[[#This Row],[Padm (kN)]],0)+1)</f>
        <v>20</v>
      </c>
      <c r="AC42" s="4" t="str">
        <f ca="1">IFERROR(IF(ESF[[#This Row],[nE]]=1,ESF[[#This Row],[Padm (kN)]],ESF[[#This Row],[Padm (kN)]]*ESF[[#This Row],[nE]]*INDEX(grupoEstacas[],ESF[[#This Row],[nE]],MATCH("ε",grupoEstacas[#Headers],0))),"N.S.")</f>
        <v>N.S.</v>
      </c>
      <c r="AD42" s="4">
        <f ca="1">1.05*ESF[[#This Row],[Nsd (kN)]]/(ESF[[#This Row],[nE]]*PI()*ESF[[#This Row],[Ø (cm)]]^2/4)*10</f>
        <v>2.599530737167624</v>
      </c>
      <c r="AE42" s="4">
        <f ca="1">IF(ESF[[#This Row],[σ (MPa)]]&lt;INDEX(tipoEstaca[],MATCH($D$2,tipoEstaca[TIPO DE ESTACA],0),MATCH("σmáx (MPa)",tipoEstaca[#Headers],0)),0.4%*PI()*ESF[[#This Row],[Ø (cm)]]^2/4,"N.S.")</f>
        <v>2.8274333882308138</v>
      </c>
      <c r="AF42" s="1">
        <f>INDEX(tipoEstaca[],MATCH($D$2,tipoEstaca[TIPO DE ESTACA],0),MATCH(ESF[[#Headers],[Comprimento (m)]],tipoEstaca[#Headers],0))</f>
        <v>2</v>
      </c>
      <c r="AG42" s="5">
        <f ca="1">ESF[[#This Row],[As,mín (cm²)]]/100^2*ESF[[#This Row],[Comprimento (m)]]*7850</f>
        <v>4.4390704195223778</v>
      </c>
      <c r="AH42" s="4">
        <f ca="1">ESF[[#This Row],[nE]]*ESF[[#This Row],[Prof. (m)]]*ESF[[#This Row],[Ap (m²)]]</f>
        <v>12.723450247038663</v>
      </c>
      <c r="AI42" s="1">
        <f ca="1">IF(ESF[[#This Row],[nE]]=1,0,MAX(3*ESF[[#This Row],[Ø (cm)]],60))</f>
        <v>90</v>
      </c>
      <c r="AJ42" s="1">
        <f ca="1">IF(ESF[[#This Row],[nE]]=1,ESF[[#This Row],[Ø (cm)]]+2*10,MAX(1.5*ESF[[#This Row],[Ø (cm)]],ESF[[#This Row],[Ø (cm)]]+15))</f>
        <v>45</v>
      </c>
      <c r="AK42" s="1" t="str">
        <f ca="1">alturaUtil(ESF[[#This Row],[nE]],ESF[[#This Row],[Ø (cm)]],ESF[[#This Row],[e (cm)]],ESF[[#This Row],[ap,eq (cm)]])</f>
        <v>N.S.</v>
      </c>
      <c r="AL42" s="1" t="str">
        <f ca="1">IFERROR(ESF[[#This Row],[d (cm)]]+arredondarParaCimaMultiplo5cm(MAX(5,SQRT(PI())/2*ESF[[#This Row],[Ø (cm)]]/5)),"N.S.")</f>
        <v>N.S.</v>
      </c>
      <c r="AM42" s="5" t="str">
        <f ca="1">alpha(ESF[[#This Row],[nE]],ESF[[#This Row],[d (cm)]],ESF[[#This Row],[e (cm)]],ESF[[#This Row],[ap,eq (cm)]])</f>
        <v>N.S.</v>
      </c>
      <c r="AN42" s="35" t="str">
        <f ca="1">IFERROR(ESF[[#This Row],[Nsd (kN)]]/(ESF[[#This Row],[Ap (cm²)]]*SIN(ESF[[#This Row],[α]])^2),"N.S.")</f>
        <v>N.S.</v>
      </c>
      <c r="AO42" s="35" t="str">
        <f ca="1">IFERROR(ESF[[#This Row],[Nsd (kN)]]/(ESF[[#This Row],[nE]]*PI()*ESF[[#This Row],[Ø (cm)]]^2/4*SIN(ESF[[#This Row],[α]])^2),"N.S.")</f>
        <v>N.S.</v>
      </c>
      <c r="AP42" s="4" t="str">
        <f ca="1">IFERROR(INDEX(grupoEstacas[],ESF[[#This Row],[nE]],MATCH("coef. Blévot",grupoEstacas[#Headers],0)),"N.S.")</f>
        <v>N.S.</v>
      </c>
      <c r="AQ42" s="35" t="str">
        <f ca="1">IFERROR(ESF[[#This Row],[coef. Blévot]]*0.9*INDEX(tipoEstaca[],MATCH($D$2,tipoEstaca[TIPO DE ESTACA],0),MATCH("fcd (kN/cm²)",tipoEstaca[#Headers],0)),"N.S.")</f>
        <v>N.S.</v>
      </c>
      <c r="AR42" s="1" t="str">
        <f ca="1">IF(AND(ESF[[#This Row],[cd,b,pil (kN/cm²)]]&lt;=ESF[[#This Row],[cd,b,lim (kN/cm²)]],ESF[[#This Row],[cd,b,est (kN/cm²)]]&lt;=ESF[[#This Row],[cd,b,lim (kN/cm²)]]),"OK","ERRO")</f>
        <v>OK</v>
      </c>
      <c r="AS42" s="4" t="str">
        <f ca="1">As_lado(ESF[[#This Row],[nE]],ESF[[#This Row],[Nsd (kN)]],ESF[[#This Row],[d (cm)]],ESF[[#This Row],[e (cm)]],ESF[[#This Row],[ap,eq (cm)]])</f>
        <v>N.S.</v>
      </c>
      <c r="AT42" s="4" t="str">
        <f ca="1">IF(ESF[[#This Row],[nE]]=1,ESF[[#This Row],[As,lado (cm²)]],IF(ESF[[#This Row],[nE]]=2,0.075*2*ESF[a (cm)],"N.A."))</f>
        <v>N.A.</v>
      </c>
      <c r="AU42" s="4" t="str">
        <f ca="1">IFERROR(IF(ESF[[#This Row],[nE]]=1,"N.A.",0.2*ESF[[#This Row],[As,lado (cm²)]]),"N.S.")</f>
        <v>N.S.</v>
      </c>
      <c r="AV42" s="4" t="str">
        <f ca="1">As_malha(ESF[[#This Row],[nE]],ESF[[#This Row],[As,lado (cm²)]],ESF[[#This Row],[Nsd (kN)]])</f>
        <v>N.S.</v>
      </c>
      <c r="AW42" s="4" t="str">
        <f ca="1">As_susp_tot(ESF[[#This Row],[nE]],ESF[[#This Row],[Nsd (kN)]])</f>
        <v>N.S.</v>
      </c>
      <c r="AX42" s="4" t="str">
        <f ca="1">Asp_face(ESF[[#This Row],[nE]],ESF[[#This Row],[As,lado (cm²)]])</f>
        <v>N.S.</v>
      </c>
      <c r="AY42" s="5" t="str">
        <f ca="1">acoBloco(ESF[[#This Row],[nE]],ESF[[#This Row],[e (cm)]],ESF[[#This Row],[a (cm)]],ESF[[#This Row],[h (cm)]],ESF[[#This Row],[As,lado (cm²)]],ESF[[#This Row],[Asp e Asw (cm²/m)]],ESF[[#This Row],[As,sup (cm²)]],ESF[[#This Row],[As,malha (cm²)]],ESF[[#This Row],[As,susp,tot (cm²)]],ESF[[#This Row],[Asp,face (cm²)]])</f>
        <v>N.S.</v>
      </c>
      <c r="AZ42" s="4" t="str">
        <f ca="1">concretoBloco(ESF[[#This Row],[nE]],ESF[[#This Row],[e (cm)]],ESF[[#This Row],[a (cm)]],ESF[[#This Row],[h (cm)]])</f>
        <v>N.S.</v>
      </c>
      <c r="BA42" s="5">
        <f ca="1">SUM(ESF[[#This Row],[Aço Est (kg)]],ESF[[#This Row],[Aço Bloco (kg)]])</f>
        <v>4.4390704195223778</v>
      </c>
      <c r="BB42" s="4">
        <f>INDEX(composicoes[],MATCH(95580,composicoes[CÓDIGO],0),MATCH("CUSTO TOTAL",composicoes[#Headers],0))</f>
        <v>10.46</v>
      </c>
      <c r="BC42" s="4">
        <f ca="1">SUM(ESF[[#This Row],[Conc Est (m³)]],ESF[[#This Row],[Conc Bloco (m³)]])</f>
        <v>12.723450247038663</v>
      </c>
      <c r="BD42" s="4">
        <f>INDEX(composicoes[],MATCH(94966,composicoes[CÓDIGO],0),MATCH("CUSTO TOTAL",composicoes[#Headers],0))</f>
        <v>439.52</v>
      </c>
      <c r="BE42" s="38">
        <f ca="1">ESF[[#This Row],[Aço (kg)]]*ESF[[#This Row],[Aço (R$/kg)]]+ESF[[#This Row],[Conc (m³)]]*ESF[[#This Row],[Conc (R$/m³)]]</f>
        <v>5638.6435291666376</v>
      </c>
      <c r="BF42" s="4" t="str">
        <f ca="1">IF(COUNTIF(ESF[#This Row],"N.S.")&gt;0,"lim.","OK")</f>
        <v>lim.</v>
      </c>
      <c r="BG42" s="4" t="str">
        <f>IF(ESF[[#This Row],[Prof. (m)]]&lt;3,"lim.","OK")</f>
        <v>OK</v>
      </c>
      <c r="BH42" s="4" t="str">
        <f>IF(ESF[[#This Row],[Prof. (m)]]&gt;=8*ESF[[#This Row],[Ø (cm)]]/100,"OK","lim.")</f>
        <v>OK</v>
      </c>
      <c r="BI42" s="4" t="str">
        <f>IF(AND(SPT!$F$3&lt;&gt;"",ESF[[#This Row],[Prof. (m)]]&gt;=SPT!$F$3),"lim.","OK")</f>
        <v>OK</v>
      </c>
      <c r="BJ42" s="4" t="str">
        <f>IF(COUNTIFS(ESF[Solo],"Areia",ESF[Prof. (m)],"&lt;="&amp;ESF[[#This Row],[Prof. (m)]])&gt;=1,"lim.","OK")</f>
        <v>OK</v>
      </c>
      <c r="BK42" s="4" t="str">
        <f ca="1">IF(ESF[[#This Row],[Verif. Biela]]="OK","OK","lim.")</f>
        <v>OK</v>
      </c>
      <c r="BL42" s="4" t="str">
        <f ca="1">IF(COUNTA(ESF[[#This Row],[Nº Est.]:[Biela comp.]])=COUNTIF(ESF[[#This Row],[Nº Est.]:[Biela comp.]],"OK"),"OK","lim.")</f>
        <v>lim.</v>
      </c>
      <c r="BM42" s="4" t="str">
        <f ca="1">IF(ESF[[#This Row],[Controle]]="OK",ESF[[#This Row],[nE]]&amp;" Ø"&amp;ESF[[#This Row],[Ø (cm)]]&amp;"cm Prof. "&amp;ESF[[#This Row],[Prof. (m)]]&amp;" m","")</f>
        <v/>
      </c>
      <c r="BN42" s="4" t="str">
        <f ca="1">IF(ESF[[#This Row],[idDimensionamento]]="","",ESF[[#This Row],[idPilar]]&amp;ESF[[#This Row],[idDimensionamento]])</f>
        <v/>
      </c>
    </row>
    <row r="43" spans="2:66" x14ac:dyDescent="0.25">
      <c r="B43" s="12">
        <f>ROUNDUP((ROW(ESF[[#This Row],[idDiâmetro]])-ROW(ESF[[#Headers],[idDiâmetro]]))/(COUNT(SPT[Prof. (m)])*COUNT(PILARES[Pilar])),0)</f>
        <v>2</v>
      </c>
      <c r="C43" s="12">
        <f>IF(ESF[[#This Row],[idDiâmetro]]&lt;&gt;B42,1,IF(ESF[[#This Row],[Prof. (m)]]=0,C42+1,C42))</f>
        <v>1</v>
      </c>
      <c r="D43" s="1">
        <f>IFERROR(IF(D42=MAX(SPT[Prof. (m)]),0,D42+1),0)</f>
        <v>10</v>
      </c>
      <c r="E43" s="1">
        <f>INDEX(SPT[],MATCH(ESF[[#This Row],[Prof. (m)]],SPT[Prof. (m)],0),2)</f>
        <v>32</v>
      </c>
      <c r="F43" s="1" t="str">
        <f>INDEX(SPT[],MATCH(ESF[[#This Row],[Prof. (m)]],SPT[Prof. (m)],0),3)</f>
        <v>Areia siltosa</v>
      </c>
      <c r="G43" s="1">
        <f>INDEX(estacas[],ESF[[#This Row],[idDiâmetro]],MATCH($B$2,estacas[#Headers],0))</f>
        <v>30</v>
      </c>
      <c r="H43" s="1">
        <f>INDEX(estacas[],MATCH(ESF[[#This Row],[Ø (cm)]],estacas[Ø ESF (cm)],0),MATCH(ESF[[#Headers],[Pe ESF (kN)]],estacas[#Headers],0))</f>
        <v>360</v>
      </c>
      <c r="I43" s="4">
        <f>INDEX(K_alpha_C[],MATCH(ESF[[#This Row],[Solo]],K_alpha_C[Solo],0),2)</f>
        <v>0.8</v>
      </c>
      <c r="J43" s="5">
        <f>INDEX(K_alpha_C[],MATCH(ESF[[#This Row],[Solo]],K_alpha_C[Solo],0),3)</f>
        <v>2</v>
      </c>
      <c r="K43" s="4">
        <f>INDEX(F1_F2[],MATCH($D$2,F1_F2[Tipo de estaca],0),2)</f>
        <v>3</v>
      </c>
      <c r="L43" s="4">
        <f>INDEX(F1_F2[],MATCH($D$2,F1_F2[Tipo de estaca],0),3)</f>
        <v>6</v>
      </c>
      <c r="M43" s="4">
        <f>PI()*(ESF[[#This Row],[Ø (cm)]]/100)^2/4</f>
        <v>7.0685834705770348E-2</v>
      </c>
      <c r="N43" s="4">
        <f>PI()*ESF[[#This Row],[Ø (cm)]]/100</f>
        <v>0.94247779607693782</v>
      </c>
      <c r="O43" s="4">
        <f>IF(ESF[[#This Row],[Prof. (m)]]=0,0,ESF[[#This Row],[α (%)]]/100*ESF[[#This Row],[K (MPa)]]*1000*ESF[[#This Row],[NSPT]])</f>
        <v>512</v>
      </c>
      <c r="P43" s="4">
        <f>IF(ESF[[#This Row],[Prof. (m)]]=0,0,(ESF[[#This Row],[K (MPa)]]*1000*ESF[[#This Row],[NSPT]]/ESF[[#This Row],[F1]]*ESF[[#This Row],[Ap (m²)]]+ESF[[#This Row],[U (m)]]/ESF[[#This Row],[F2]]*SUMIFS(ESF[(α∙K∙NL∙ΔL)],ESF[Prof. (m)],"&lt;="&amp;ESF[[#This Row],[Prof. (m)]],ESF[idDiâmetro],ESF[[#This Row],[idDiâmetro]],ESF[idPilar],ESF[[#This Row],[idPilar]]))/'DADOS CAP. CARGA'!$D$2)</f>
        <v>453.00980666601424</v>
      </c>
      <c r="Q43" s="12">
        <f>INDEX(C_alpha_beta[],MATCH(ESF[[#This Row],[Solo]],C_alpha_beta[Solo],0),MATCH(ESF[[#Headers],[C (kPa)]],C_alpha_beta[#Headers],0))</f>
        <v>400</v>
      </c>
      <c r="R43" s="4">
        <f>INDEX(C_alpha_beta[],MATCH(ESF[[#This Row],[Solo]],C_alpha_beta[Solo],0),MATCH(ESF[[#Headers],[α ESF]],C_alpha_beta[#Headers],0))</f>
        <v>0.5</v>
      </c>
      <c r="S43" s="4">
        <f>INDEX(C_alpha_beta[],MATCH(ESF[[#This Row],[Solo]],C_alpha_beta[Solo],0),MATCH(ESF[[#Headers],[β ESF]],C_alpha_beta[#Headers],0))</f>
        <v>0.5</v>
      </c>
      <c r="T43" s="4">
        <f>IF(ESF[[#This Row],[Prof. (m)]]=0,0,10*(ESF[[#This Row],[NSPT]]/3+1))</f>
        <v>116.66666666666666</v>
      </c>
      <c r="U43" s="4">
        <f>(ESF[[#This Row],[α ESF]]*ESF[[#This Row],[C (kPa)]]*ESF[[#This Row],[NSPT]]*ESF[[#This Row],[Ap (m²)]])/'DADOS CAP. CARGA'!$Q$2+(ESF[[#This Row],[β ESF]]*SUMIFS(ESF[10∙(NL/3+1)],ESF[Prof. (m)],"&lt;="&amp;ESF[[#This Row],[Prof. (m)]],ESF[idDiâmetro],ESF[[#This Row],[idDiâmetro]],ESF[idPilar],ESF[[#This Row],[idPilar]])*ESF[[#This Row],[U (m)]])/'DADOS CAP. CARGA'!$S$2</f>
        <v>238.76104167282426</v>
      </c>
      <c r="V43" s="4">
        <f>IF(SPT!$M$5=1,MIN(ESF[[#This Row],[Pe ESF (kN)]],ESF[[#This Row],[R_AV (kN)]]),IF(SPT!$M$5=2,MIN(ESF[[#This Row],[Pe ESF (kN)]],ESF[[#This Row],[R_DC (kN)]]),MIN(ESF[[#This Row],[Pe ESF (kN)]],ESF[[#This Row],[R_AV (kN)]],ESF[[#This Row],[R_DC (kN)]])))</f>
        <v>238.76104167282426</v>
      </c>
      <c r="W43" s="4">
        <f>INDEX(PILARES[],ESF[[#This Row],[idPilar]],MATCH("Carga (kN)",PILARES[#Headers],0))*1.4</f>
        <v>3500</v>
      </c>
      <c r="X43" s="12">
        <f>INDEX(PILARES[],ESF[[#This Row],[idPilar]],MATCH(ESF[[#Headers],[ap (cm)]],PILARES[#Headers],0))</f>
        <v>60</v>
      </c>
      <c r="Y43" s="12">
        <f>INDEX(PILARES[],ESF[[#This Row],[idPilar]],MATCH(ESF[[#Headers],[bp (cm)]],PILARES[#Headers],0))</f>
        <v>60</v>
      </c>
      <c r="Z43" s="4">
        <f>SQRT(ESF[[#This Row],[ap (cm)]]*ESF[[#This Row],[bp (cm)]])</f>
        <v>60</v>
      </c>
      <c r="AA43" s="12">
        <f>ESF[[#This Row],[ap (cm)]]*ESF[[#This Row],[bp (cm)]]</f>
        <v>3600</v>
      </c>
      <c r="AB43" s="12">
        <f ca="1">IF(ESF[[#This Row],[Padm∙ε (kN)]]&gt;=ESF[[#This Row],[Padm (kN)]],ROUNDUP(1.05*ESF[[#This Row],[Nsd (kN)]]/ESF[[#This Row],[Padm (kN)]],0),ROUNDUP(1.05*ESF[[#This Row],[Nsd (kN)]]/ESF[[#This Row],[Padm (kN)]],0)+1)</f>
        <v>16</v>
      </c>
      <c r="AC43" s="4" t="str">
        <f ca="1">IFERROR(IF(ESF[[#This Row],[nE]]=1,ESF[[#This Row],[Padm (kN)]],ESF[[#This Row],[Padm (kN)]]*ESF[[#This Row],[nE]]*INDEX(grupoEstacas[],ESF[[#This Row],[nE]],MATCH("ε",grupoEstacas[#Headers],0))),"N.S.")</f>
        <v>N.S.</v>
      </c>
      <c r="AD43" s="4">
        <f ca="1">1.05*ESF[[#This Row],[Nsd (kN)]]/(ESF[[#This Row],[nE]]*PI()*ESF[[#This Row],[Ø (cm)]]^2/4)*10</f>
        <v>3.24941342145953</v>
      </c>
      <c r="AE43" s="4">
        <f ca="1">IF(ESF[[#This Row],[σ (MPa)]]&lt;INDEX(tipoEstaca[],MATCH($D$2,tipoEstaca[TIPO DE ESTACA],0),MATCH("σmáx (MPa)",tipoEstaca[#Headers],0)),0.4%*PI()*ESF[[#This Row],[Ø (cm)]]^2/4,"N.S.")</f>
        <v>2.8274333882308138</v>
      </c>
      <c r="AF43" s="1">
        <f>INDEX(tipoEstaca[],MATCH($D$2,tipoEstaca[TIPO DE ESTACA],0),MATCH(ESF[[#Headers],[Comprimento (m)]],tipoEstaca[#Headers],0))</f>
        <v>2</v>
      </c>
      <c r="AG43" s="5">
        <f ca="1">ESF[[#This Row],[As,mín (cm²)]]/100^2*ESF[[#This Row],[Comprimento (m)]]*7850</f>
        <v>4.4390704195223778</v>
      </c>
      <c r="AH43" s="4">
        <f ca="1">ESF[[#This Row],[nE]]*ESF[[#This Row],[Prof. (m)]]*ESF[[#This Row],[Ap (m²)]]</f>
        <v>11.309733552923255</v>
      </c>
      <c r="AI43" s="1">
        <f ca="1">IF(ESF[[#This Row],[nE]]=1,0,MAX(3*ESF[[#This Row],[Ø (cm)]],60))</f>
        <v>90</v>
      </c>
      <c r="AJ43" s="1">
        <f ca="1">IF(ESF[[#This Row],[nE]]=1,ESF[[#This Row],[Ø (cm)]]+2*10,MAX(1.5*ESF[[#This Row],[Ø (cm)]],ESF[[#This Row],[Ø (cm)]]+15))</f>
        <v>45</v>
      </c>
      <c r="AK43" s="1" t="str">
        <f ca="1">alturaUtil(ESF[[#This Row],[nE]],ESF[[#This Row],[Ø (cm)]],ESF[[#This Row],[e (cm)]],ESF[[#This Row],[ap,eq (cm)]])</f>
        <v>N.S.</v>
      </c>
      <c r="AL43" s="1" t="str">
        <f ca="1">IFERROR(ESF[[#This Row],[d (cm)]]+arredondarParaCimaMultiplo5cm(MAX(5,SQRT(PI())/2*ESF[[#This Row],[Ø (cm)]]/5)),"N.S.")</f>
        <v>N.S.</v>
      </c>
      <c r="AM43" s="5" t="str">
        <f ca="1">alpha(ESF[[#This Row],[nE]],ESF[[#This Row],[d (cm)]],ESF[[#This Row],[e (cm)]],ESF[[#This Row],[ap,eq (cm)]])</f>
        <v>N.S.</v>
      </c>
      <c r="AN43" s="35" t="str">
        <f ca="1">IFERROR(ESF[[#This Row],[Nsd (kN)]]/(ESF[[#This Row],[Ap (cm²)]]*SIN(ESF[[#This Row],[α]])^2),"N.S.")</f>
        <v>N.S.</v>
      </c>
      <c r="AO43" s="35" t="str">
        <f ca="1">IFERROR(ESF[[#This Row],[Nsd (kN)]]/(ESF[[#This Row],[nE]]*PI()*ESF[[#This Row],[Ø (cm)]]^2/4*SIN(ESF[[#This Row],[α]])^2),"N.S.")</f>
        <v>N.S.</v>
      </c>
      <c r="AP43" s="4" t="str">
        <f ca="1">IFERROR(INDEX(grupoEstacas[],ESF[[#This Row],[nE]],MATCH("coef. Blévot",grupoEstacas[#Headers],0)),"N.S.")</f>
        <v>N.S.</v>
      </c>
      <c r="AQ43" s="35" t="str">
        <f ca="1">IFERROR(ESF[[#This Row],[coef. Blévot]]*0.9*INDEX(tipoEstaca[],MATCH($D$2,tipoEstaca[TIPO DE ESTACA],0),MATCH("fcd (kN/cm²)",tipoEstaca[#Headers],0)),"N.S.")</f>
        <v>N.S.</v>
      </c>
      <c r="AR43" s="1" t="str">
        <f ca="1">IF(AND(ESF[[#This Row],[cd,b,pil (kN/cm²)]]&lt;=ESF[[#This Row],[cd,b,lim (kN/cm²)]],ESF[[#This Row],[cd,b,est (kN/cm²)]]&lt;=ESF[[#This Row],[cd,b,lim (kN/cm²)]]),"OK","ERRO")</f>
        <v>OK</v>
      </c>
      <c r="AS43" s="4" t="str">
        <f ca="1">As_lado(ESF[[#This Row],[nE]],ESF[[#This Row],[Nsd (kN)]],ESF[[#This Row],[d (cm)]],ESF[[#This Row],[e (cm)]],ESF[[#This Row],[ap,eq (cm)]])</f>
        <v>N.S.</v>
      </c>
      <c r="AT43" s="4" t="str">
        <f ca="1">IF(ESF[[#This Row],[nE]]=1,ESF[[#This Row],[As,lado (cm²)]],IF(ESF[[#This Row],[nE]]=2,0.075*2*ESF[a (cm)],"N.A."))</f>
        <v>N.A.</v>
      </c>
      <c r="AU43" s="4" t="str">
        <f ca="1">IFERROR(IF(ESF[[#This Row],[nE]]=1,"N.A.",0.2*ESF[[#This Row],[As,lado (cm²)]]),"N.S.")</f>
        <v>N.S.</v>
      </c>
      <c r="AV43" s="4" t="str">
        <f ca="1">As_malha(ESF[[#This Row],[nE]],ESF[[#This Row],[As,lado (cm²)]],ESF[[#This Row],[Nsd (kN)]])</f>
        <v>N.S.</v>
      </c>
      <c r="AW43" s="4" t="str">
        <f ca="1">As_susp_tot(ESF[[#This Row],[nE]],ESF[[#This Row],[Nsd (kN)]])</f>
        <v>N.S.</v>
      </c>
      <c r="AX43" s="4" t="str">
        <f ca="1">Asp_face(ESF[[#This Row],[nE]],ESF[[#This Row],[As,lado (cm²)]])</f>
        <v>N.S.</v>
      </c>
      <c r="AY43" s="5" t="str">
        <f ca="1">acoBloco(ESF[[#This Row],[nE]],ESF[[#This Row],[e (cm)]],ESF[[#This Row],[a (cm)]],ESF[[#This Row],[h (cm)]],ESF[[#This Row],[As,lado (cm²)]],ESF[[#This Row],[Asp e Asw (cm²/m)]],ESF[[#This Row],[As,sup (cm²)]],ESF[[#This Row],[As,malha (cm²)]],ESF[[#This Row],[As,susp,tot (cm²)]],ESF[[#This Row],[Asp,face (cm²)]])</f>
        <v>N.S.</v>
      </c>
      <c r="AZ43" s="4" t="str">
        <f ca="1">concretoBloco(ESF[[#This Row],[nE]],ESF[[#This Row],[e (cm)]],ESF[[#This Row],[a (cm)]],ESF[[#This Row],[h (cm)]])</f>
        <v>N.S.</v>
      </c>
      <c r="BA43" s="5">
        <f ca="1">SUM(ESF[[#This Row],[Aço Est (kg)]],ESF[[#This Row],[Aço Bloco (kg)]])</f>
        <v>4.4390704195223778</v>
      </c>
      <c r="BB43" s="4">
        <f>INDEX(composicoes[],MATCH(95580,composicoes[CÓDIGO],0),MATCH("CUSTO TOTAL",composicoes[#Headers],0))</f>
        <v>10.46</v>
      </c>
      <c r="BC43" s="4">
        <f ca="1">SUM(ESF[[#This Row],[Conc Est (m³)]],ESF[[#This Row],[Conc Bloco (m³)]])</f>
        <v>11.309733552923255</v>
      </c>
      <c r="BD43" s="4">
        <f>INDEX(composicoes[],MATCH(94966,composicoes[CÓDIGO],0),MATCH("CUSTO TOTAL",composicoes[#Headers],0))</f>
        <v>439.52</v>
      </c>
      <c r="BE43" s="38">
        <f ca="1">ESF[[#This Row],[Aço (kg)]]*ESF[[#This Row],[Aço (R$/kg)]]+ESF[[#This Row],[Conc (m³)]]*ESF[[#This Row],[Conc (R$/m³)]]</f>
        <v>5017.2867677690328</v>
      </c>
      <c r="BF43" s="4" t="str">
        <f ca="1">IF(COUNTIF(ESF[#This Row],"N.S.")&gt;0,"lim.","OK")</f>
        <v>lim.</v>
      </c>
      <c r="BG43" s="4" t="str">
        <f>IF(ESF[[#This Row],[Prof. (m)]]&lt;3,"lim.","OK")</f>
        <v>OK</v>
      </c>
      <c r="BH43" s="4" t="str">
        <f>IF(ESF[[#This Row],[Prof. (m)]]&gt;=8*ESF[[#This Row],[Ø (cm)]]/100,"OK","lim.")</f>
        <v>OK</v>
      </c>
      <c r="BI43" s="4" t="str">
        <f>IF(AND(SPT!$F$3&lt;&gt;"",ESF[[#This Row],[Prof. (m)]]&gt;=SPT!$F$3),"lim.","OK")</f>
        <v>OK</v>
      </c>
      <c r="BJ43" s="4" t="str">
        <f>IF(COUNTIFS(ESF[Solo],"Areia",ESF[Prof. (m)],"&lt;="&amp;ESF[[#This Row],[Prof. (m)]])&gt;=1,"lim.","OK")</f>
        <v>OK</v>
      </c>
      <c r="BK43" s="4" t="str">
        <f ca="1">IF(ESF[[#This Row],[Verif. Biela]]="OK","OK","lim.")</f>
        <v>OK</v>
      </c>
      <c r="BL43" s="4" t="str">
        <f ca="1">IF(COUNTA(ESF[[#This Row],[Nº Est.]:[Biela comp.]])=COUNTIF(ESF[[#This Row],[Nº Est.]:[Biela comp.]],"OK"),"OK","lim.")</f>
        <v>lim.</v>
      </c>
      <c r="BM43" s="4" t="str">
        <f ca="1">IF(ESF[[#This Row],[Controle]]="OK",ESF[[#This Row],[nE]]&amp;" Ø"&amp;ESF[[#This Row],[Ø (cm)]]&amp;"cm Prof. "&amp;ESF[[#This Row],[Prof. (m)]]&amp;" m","")</f>
        <v/>
      </c>
      <c r="BN43" s="4" t="str">
        <f ca="1">IF(ESF[[#This Row],[idDimensionamento]]="","",ESF[[#This Row],[idPilar]]&amp;ESF[[#This Row],[idDimensionamento]])</f>
        <v/>
      </c>
    </row>
    <row r="44" spans="2:66" x14ac:dyDescent="0.25">
      <c r="B44" s="12">
        <f>ROUNDUP((ROW(ESF[[#This Row],[idDiâmetro]])-ROW(ESF[[#Headers],[idDiâmetro]]))/(COUNT(SPT[Prof. (m)])*COUNT(PILARES[Pilar])),0)</f>
        <v>2</v>
      </c>
      <c r="C44" s="12">
        <f>IF(ESF[[#This Row],[idDiâmetro]]&lt;&gt;B43,1,IF(ESF[[#This Row],[Prof. (m)]]=0,C43+1,C43))</f>
        <v>1</v>
      </c>
      <c r="D44" s="1">
        <f>IFERROR(IF(D43=MAX(SPT[Prof. (m)]),0,D43+1),0)</f>
        <v>11</v>
      </c>
      <c r="E44" s="1">
        <f>INDEX(SPT[],MATCH(ESF[[#This Row],[Prof. (m)]],SPT[Prof. (m)],0),2)</f>
        <v>41</v>
      </c>
      <c r="F44" s="1" t="str">
        <f>INDEX(SPT[],MATCH(ESF[[#This Row],[Prof. (m)]],SPT[Prof. (m)],0),3)</f>
        <v>Areia siltosa</v>
      </c>
      <c r="G44" s="1">
        <f>INDEX(estacas[],ESF[[#This Row],[idDiâmetro]],MATCH($B$2,estacas[#Headers],0))</f>
        <v>30</v>
      </c>
      <c r="H44" s="1">
        <f>INDEX(estacas[],MATCH(ESF[[#This Row],[Ø (cm)]],estacas[Ø ESF (cm)],0),MATCH(ESF[[#Headers],[Pe ESF (kN)]],estacas[#Headers],0))</f>
        <v>360</v>
      </c>
      <c r="I44" s="4">
        <f>INDEX(K_alpha_C[],MATCH(ESF[[#This Row],[Solo]],K_alpha_C[Solo],0),2)</f>
        <v>0.8</v>
      </c>
      <c r="J44" s="5">
        <f>INDEX(K_alpha_C[],MATCH(ESF[[#This Row],[Solo]],K_alpha_C[Solo],0),3)</f>
        <v>2</v>
      </c>
      <c r="K44" s="4">
        <f>INDEX(F1_F2[],MATCH($D$2,F1_F2[Tipo de estaca],0),2)</f>
        <v>3</v>
      </c>
      <c r="L44" s="4">
        <f>INDEX(F1_F2[],MATCH($D$2,F1_F2[Tipo de estaca],0),3)</f>
        <v>6</v>
      </c>
      <c r="M44" s="4">
        <f>PI()*(ESF[[#This Row],[Ø (cm)]]/100)^2/4</f>
        <v>7.0685834705770348E-2</v>
      </c>
      <c r="N44" s="4">
        <f>PI()*ESF[[#This Row],[Ø (cm)]]/100</f>
        <v>0.94247779607693782</v>
      </c>
      <c r="O44" s="4">
        <f>IF(ESF[[#This Row],[Prof. (m)]]=0,0,ESF[[#This Row],[α (%)]]/100*ESF[[#This Row],[K (MPa)]]*1000*ESF[[#This Row],[NSPT]])</f>
        <v>656</v>
      </c>
      <c r="P44" s="4">
        <f>IF(ESF[[#This Row],[Prof. (m)]]=0,0,(ESF[[#This Row],[K (MPa)]]*1000*ESF[[#This Row],[NSPT]]/ESF[[#This Row],[F1]]*ESF[[#This Row],[Ap (m²)]]+ESF[[#This Row],[U (m)]]/ESF[[#This Row],[F2]]*SUMIFS(ESF[(α∙K∙NL∙ΔL)],ESF[Prof. (m)],"&lt;="&amp;ESF[[#This Row],[Prof. (m)]],ESF[idDiâmetro],ESF[[#This Row],[idDiâmetro]],ESF[idPilar],ESF[[#This Row],[idPilar]]))/'DADOS CAP. CARGA'!$D$2)</f>
        <v>589.35492783181121</v>
      </c>
      <c r="Q44" s="12">
        <f>INDEX(C_alpha_beta[],MATCH(ESF[[#This Row],[Solo]],C_alpha_beta[Solo],0),MATCH(ESF[[#Headers],[C (kPa)]],C_alpha_beta[#Headers],0))</f>
        <v>400</v>
      </c>
      <c r="R44" s="4">
        <f>INDEX(C_alpha_beta[],MATCH(ESF[[#This Row],[Solo]],C_alpha_beta[Solo],0),MATCH(ESF[[#Headers],[α ESF]],C_alpha_beta[#Headers],0))</f>
        <v>0.5</v>
      </c>
      <c r="S44" s="4">
        <f>INDEX(C_alpha_beta[],MATCH(ESF[[#This Row],[Solo]],C_alpha_beta[Solo],0),MATCH(ESF[[#Headers],[β ESF]],C_alpha_beta[#Headers],0))</f>
        <v>0.5</v>
      </c>
      <c r="T44" s="4">
        <f>IF(ESF[[#This Row],[Prof. (m)]]=0,0,10*(ESF[[#This Row],[NSPT]]/3+1))</f>
        <v>146.66666666666666</v>
      </c>
      <c r="U44" s="4">
        <f>(ESF[[#This Row],[α ESF]]*ESF[[#This Row],[C (kPa)]]*ESF[[#This Row],[NSPT]]*ESF[[#This Row],[Ap (m²)]])/'DADOS CAP. CARGA'!$Q$2+(ESF[[#This Row],[β ESF]]*SUMIFS(ESF[10∙(NL/3+1)],ESF[Prof. (m)],"&lt;="&amp;ESF[[#This Row],[Prof. (m)]],ESF[idDiâmetro],ESF[[#This Row],[idDiâmetro]],ESF[idPilar],ESF[[#This Row],[idPilar]])*ESF[[#This Row],[U (m)]])/'DADOS CAP. CARGA'!$S$2</f>
        <v>305.12718647990863</v>
      </c>
      <c r="V44" s="4">
        <f>IF(SPT!$M$5=1,MIN(ESF[[#This Row],[Pe ESF (kN)]],ESF[[#This Row],[R_AV (kN)]]),IF(SPT!$M$5=2,MIN(ESF[[#This Row],[Pe ESF (kN)]],ESF[[#This Row],[R_DC (kN)]]),MIN(ESF[[#This Row],[Pe ESF (kN)]],ESF[[#This Row],[R_AV (kN)]],ESF[[#This Row],[R_DC (kN)]])))</f>
        <v>305.12718647990863</v>
      </c>
      <c r="W44" s="4">
        <f>INDEX(PILARES[],ESF[[#This Row],[idPilar]],MATCH("Carga (kN)",PILARES[#Headers],0))*1.4</f>
        <v>3500</v>
      </c>
      <c r="X44" s="12">
        <f>INDEX(PILARES[],ESF[[#This Row],[idPilar]],MATCH(ESF[[#Headers],[ap (cm)]],PILARES[#Headers],0))</f>
        <v>60</v>
      </c>
      <c r="Y44" s="12">
        <f>INDEX(PILARES[],ESF[[#This Row],[idPilar]],MATCH(ESF[[#Headers],[bp (cm)]],PILARES[#Headers],0))</f>
        <v>60</v>
      </c>
      <c r="Z44" s="4">
        <f>SQRT(ESF[[#This Row],[ap (cm)]]*ESF[[#This Row],[bp (cm)]])</f>
        <v>60</v>
      </c>
      <c r="AA44" s="12">
        <f>ESF[[#This Row],[ap (cm)]]*ESF[[#This Row],[bp (cm)]]</f>
        <v>3600</v>
      </c>
      <c r="AB44" s="12">
        <f ca="1">IF(ESF[[#This Row],[Padm∙ε (kN)]]&gt;=ESF[[#This Row],[Padm (kN)]],ROUNDUP(1.05*ESF[[#This Row],[Nsd (kN)]]/ESF[[#This Row],[Padm (kN)]],0),ROUNDUP(1.05*ESF[[#This Row],[Nsd (kN)]]/ESF[[#This Row],[Padm (kN)]],0)+1)</f>
        <v>13</v>
      </c>
      <c r="AC44" s="4" t="str">
        <f ca="1">IFERROR(IF(ESF[[#This Row],[nE]]=1,ESF[[#This Row],[Padm (kN)]],ESF[[#This Row],[Padm (kN)]]*ESF[[#This Row],[nE]]*INDEX(grupoEstacas[],ESF[[#This Row],[nE]],MATCH("ε",grupoEstacas[#Headers],0))),"N.S.")</f>
        <v>N.S.</v>
      </c>
      <c r="AD44" s="4">
        <f ca="1">1.05*ESF[[#This Row],[Nsd (kN)]]/(ESF[[#This Row],[nE]]*PI()*ESF[[#This Row],[Ø (cm)]]^2/4)*10</f>
        <v>3.9992780571809594</v>
      </c>
      <c r="AE44" s="4">
        <f ca="1">IF(ESF[[#This Row],[σ (MPa)]]&lt;INDEX(tipoEstaca[],MATCH($D$2,tipoEstaca[TIPO DE ESTACA],0),MATCH("σmáx (MPa)",tipoEstaca[#Headers],0)),0.4%*PI()*ESF[[#This Row],[Ø (cm)]]^2/4,"N.S.")</f>
        <v>2.8274333882308138</v>
      </c>
      <c r="AF44" s="1">
        <f>INDEX(tipoEstaca[],MATCH($D$2,tipoEstaca[TIPO DE ESTACA],0),MATCH(ESF[[#Headers],[Comprimento (m)]],tipoEstaca[#Headers],0))</f>
        <v>2</v>
      </c>
      <c r="AG44" s="5">
        <f ca="1">ESF[[#This Row],[As,mín (cm²)]]/100^2*ESF[[#This Row],[Comprimento (m)]]*7850</f>
        <v>4.4390704195223778</v>
      </c>
      <c r="AH44" s="4">
        <f ca="1">ESF[[#This Row],[nE]]*ESF[[#This Row],[Prof. (m)]]*ESF[[#This Row],[Ap (m²)]]</f>
        <v>10.10807436292516</v>
      </c>
      <c r="AI44" s="1">
        <f ca="1">IF(ESF[[#This Row],[nE]]=1,0,MAX(3*ESF[[#This Row],[Ø (cm)]],60))</f>
        <v>90</v>
      </c>
      <c r="AJ44" s="1">
        <f ca="1">IF(ESF[[#This Row],[nE]]=1,ESF[[#This Row],[Ø (cm)]]+2*10,MAX(1.5*ESF[[#This Row],[Ø (cm)]],ESF[[#This Row],[Ø (cm)]]+15))</f>
        <v>45</v>
      </c>
      <c r="AK44" s="1" t="str">
        <f ca="1">alturaUtil(ESF[[#This Row],[nE]],ESF[[#This Row],[Ø (cm)]],ESF[[#This Row],[e (cm)]],ESF[[#This Row],[ap,eq (cm)]])</f>
        <v>N.S.</v>
      </c>
      <c r="AL44" s="1" t="str">
        <f ca="1">IFERROR(ESF[[#This Row],[d (cm)]]+arredondarParaCimaMultiplo5cm(MAX(5,SQRT(PI())/2*ESF[[#This Row],[Ø (cm)]]/5)),"N.S.")</f>
        <v>N.S.</v>
      </c>
      <c r="AM44" s="5" t="str">
        <f ca="1">alpha(ESF[[#This Row],[nE]],ESF[[#This Row],[d (cm)]],ESF[[#This Row],[e (cm)]],ESF[[#This Row],[ap,eq (cm)]])</f>
        <v>N.S.</v>
      </c>
      <c r="AN44" s="35" t="str">
        <f ca="1">IFERROR(ESF[[#This Row],[Nsd (kN)]]/(ESF[[#This Row],[Ap (cm²)]]*SIN(ESF[[#This Row],[α]])^2),"N.S.")</f>
        <v>N.S.</v>
      </c>
      <c r="AO44" s="35" t="str">
        <f ca="1">IFERROR(ESF[[#This Row],[Nsd (kN)]]/(ESF[[#This Row],[nE]]*PI()*ESF[[#This Row],[Ø (cm)]]^2/4*SIN(ESF[[#This Row],[α]])^2),"N.S.")</f>
        <v>N.S.</v>
      </c>
      <c r="AP44" s="4" t="str">
        <f ca="1">IFERROR(INDEX(grupoEstacas[],ESF[[#This Row],[nE]],MATCH("coef. Blévot",grupoEstacas[#Headers],0)),"N.S.")</f>
        <v>N.S.</v>
      </c>
      <c r="AQ44" s="35" t="str">
        <f ca="1">IFERROR(ESF[[#This Row],[coef. Blévot]]*0.9*INDEX(tipoEstaca[],MATCH($D$2,tipoEstaca[TIPO DE ESTACA],0),MATCH("fcd (kN/cm²)",tipoEstaca[#Headers],0)),"N.S.")</f>
        <v>N.S.</v>
      </c>
      <c r="AR44" s="1" t="str">
        <f ca="1">IF(AND(ESF[[#This Row],[cd,b,pil (kN/cm²)]]&lt;=ESF[[#This Row],[cd,b,lim (kN/cm²)]],ESF[[#This Row],[cd,b,est (kN/cm²)]]&lt;=ESF[[#This Row],[cd,b,lim (kN/cm²)]]),"OK","ERRO")</f>
        <v>OK</v>
      </c>
      <c r="AS44" s="4" t="str">
        <f ca="1">As_lado(ESF[[#This Row],[nE]],ESF[[#This Row],[Nsd (kN)]],ESF[[#This Row],[d (cm)]],ESF[[#This Row],[e (cm)]],ESF[[#This Row],[ap,eq (cm)]])</f>
        <v>N.S.</v>
      </c>
      <c r="AT44" s="4" t="str">
        <f ca="1">IF(ESF[[#This Row],[nE]]=1,ESF[[#This Row],[As,lado (cm²)]],IF(ESF[[#This Row],[nE]]=2,0.075*2*ESF[a (cm)],"N.A."))</f>
        <v>N.A.</v>
      </c>
      <c r="AU44" s="4" t="str">
        <f ca="1">IFERROR(IF(ESF[[#This Row],[nE]]=1,"N.A.",0.2*ESF[[#This Row],[As,lado (cm²)]]),"N.S.")</f>
        <v>N.S.</v>
      </c>
      <c r="AV44" s="4" t="str">
        <f ca="1">As_malha(ESF[[#This Row],[nE]],ESF[[#This Row],[As,lado (cm²)]],ESF[[#This Row],[Nsd (kN)]])</f>
        <v>N.S.</v>
      </c>
      <c r="AW44" s="4" t="str">
        <f ca="1">As_susp_tot(ESF[[#This Row],[nE]],ESF[[#This Row],[Nsd (kN)]])</f>
        <v>N.S.</v>
      </c>
      <c r="AX44" s="4" t="str">
        <f ca="1">Asp_face(ESF[[#This Row],[nE]],ESF[[#This Row],[As,lado (cm²)]])</f>
        <v>N.S.</v>
      </c>
      <c r="AY44" s="5" t="str">
        <f ca="1">acoBloco(ESF[[#This Row],[nE]],ESF[[#This Row],[e (cm)]],ESF[[#This Row],[a (cm)]],ESF[[#This Row],[h (cm)]],ESF[[#This Row],[As,lado (cm²)]],ESF[[#This Row],[Asp e Asw (cm²/m)]],ESF[[#This Row],[As,sup (cm²)]],ESF[[#This Row],[As,malha (cm²)]],ESF[[#This Row],[As,susp,tot (cm²)]],ESF[[#This Row],[Asp,face (cm²)]])</f>
        <v>N.S.</v>
      </c>
      <c r="AZ44" s="4" t="str">
        <f ca="1">concretoBloco(ESF[[#This Row],[nE]],ESF[[#This Row],[e (cm)]],ESF[[#This Row],[a (cm)]],ESF[[#This Row],[h (cm)]])</f>
        <v>N.S.</v>
      </c>
      <c r="BA44" s="5">
        <f ca="1">SUM(ESF[[#This Row],[Aço Est (kg)]],ESF[[#This Row],[Aço Bloco (kg)]])</f>
        <v>4.4390704195223778</v>
      </c>
      <c r="BB44" s="4">
        <f>INDEX(composicoes[],MATCH(95580,composicoes[CÓDIGO],0),MATCH("CUSTO TOTAL",composicoes[#Headers],0))</f>
        <v>10.46</v>
      </c>
      <c r="BC44" s="4">
        <f ca="1">SUM(ESF[[#This Row],[Conc Est (m³)]],ESF[[#This Row],[Conc Bloco (m³)]])</f>
        <v>10.10807436292516</v>
      </c>
      <c r="BD44" s="4">
        <f>INDEX(composicoes[],MATCH(94966,composicoes[CÓDIGO],0),MATCH("CUSTO TOTAL",composicoes[#Headers],0))</f>
        <v>439.52</v>
      </c>
      <c r="BE44" s="38">
        <f ca="1">ESF[[#This Row],[Aço (kg)]]*ESF[[#This Row],[Aço (R$/kg)]]+ESF[[#This Row],[Conc (m³)]]*ESF[[#This Row],[Conc (R$/m³)]]</f>
        <v>4489.1335205810701</v>
      </c>
      <c r="BF44" s="4" t="str">
        <f ca="1">IF(COUNTIF(ESF[#This Row],"N.S.")&gt;0,"lim.","OK")</f>
        <v>lim.</v>
      </c>
      <c r="BG44" s="4" t="str">
        <f>IF(ESF[[#This Row],[Prof. (m)]]&lt;3,"lim.","OK")</f>
        <v>OK</v>
      </c>
      <c r="BH44" s="4" t="str">
        <f>IF(ESF[[#This Row],[Prof. (m)]]&gt;=8*ESF[[#This Row],[Ø (cm)]]/100,"OK","lim.")</f>
        <v>OK</v>
      </c>
      <c r="BI44" s="4" t="str">
        <f>IF(AND(SPT!$F$3&lt;&gt;"",ESF[[#This Row],[Prof. (m)]]&gt;=SPT!$F$3),"lim.","OK")</f>
        <v>OK</v>
      </c>
      <c r="BJ44" s="4" t="str">
        <f>IF(COUNTIFS(ESF[Solo],"Areia",ESF[Prof. (m)],"&lt;="&amp;ESF[[#This Row],[Prof. (m)]])&gt;=1,"lim.","OK")</f>
        <v>OK</v>
      </c>
      <c r="BK44" s="4" t="str">
        <f ca="1">IF(ESF[[#This Row],[Verif. Biela]]="OK","OK","lim.")</f>
        <v>OK</v>
      </c>
      <c r="BL44" s="4" t="str">
        <f ca="1">IF(COUNTA(ESF[[#This Row],[Nº Est.]:[Biela comp.]])=COUNTIF(ESF[[#This Row],[Nº Est.]:[Biela comp.]],"OK"),"OK","lim.")</f>
        <v>lim.</v>
      </c>
      <c r="BM44" s="4" t="str">
        <f ca="1">IF(ESF[[#This Row],[Controle]]="OK",ESF[[#This Row],[nE]]&amp;" Ø"&amp;ESF[[#This Row],[Ø (cm)]]&amp;"cm Prof. "&amp;ESF[[#This Row],[Prof. (m)]]&amp;" m","")</f>
        <v/>
      </c>
      <c r="BN44" s="4" t="str">
        <f ca="1">IF(ESF[[#This Row],[idDimensionamento]]="","",ESF[[#This Row],[idPilar]]&amp;ESF[[#This Row],[idDimensionamento]])</f>
        <v/>
      </c>
    </row>
    <row r="45" spans="2:66" x14ac:dyDescent="0.25">
      <c r="B45" s="12">
        <f>ROUNDUP((ROW(ESF[[#This Row],[idDiâmetro]])-ROW(ESF[[#Headers],[idDiâmetro]]))/(COUNT(SPT[Prof. (m)])*COUNT(PILARES[Pilar])),0)</f>
        <v>2</v>
      </c>
      <c r="C45" s="12">
        <f>IF(ESF[[#This Row],[idDiâmetro]]&lt;&gt;B44,1,IF(ESF[[#This Row],[Prof. (m)]]=0,C44+1,C44))</f>
        <v>1</v>
      </c>
      <c r="D45" s="1">
        <f>IFERROR(IF(D44=MAX(SPT[Prof. (m)]),0,D44+1),0)</f>
        <v>12</v>
      </c>
      <c r="E45" s="1">
        <f>INDEX(SPT[],MATCH(ESF[[#This Row],[Prof. (m)]],SPT[Prof. (m)],0),2)</f>
        <v>52</v>
      </c>
      <c r="F45" s="1" t="str">
        <f>INDEX(SPT[],MATCH(ESF[[#This Row],[Prof. (m)]],SPT[Prof. (m)],0),3)</f>
        <v>Areia siltosa</v>
      </c>
      <c r="G45" s="1">
        <f>INDEX(estacas[],ESF[[#This Row],[idDiâmetro]],MATCH($B$2,estacas[#Headers],0))</f>
        <v>30</v>
      </c>
      <c r="H45" s="1">
        <f>INDEX(estacas[],MATCH(ESF[[#This Row],[Ø (cm)]],estacas[Ø ESF (cm)],0),MATCH(ESF[[#Headers],[Pe ESF (kN)]],estacas[#Headers],0))</f>
        <v>360</v>
      </c>
      <c r="I45" s="4">
        <f>INDEX(K_alpha_C[],MATCH(ESF[[#This Row],[Solo]],K_alpha_C[Solo],0),2)</f>
        <v>0.8</v>
      </c>
      <c r="J45" s="5">
        <f>INDEX(K_alpha_C[],MATCH(ESF[[#This Row],[Solo]],K_alpha_C[Solo],0),3)</f>
        <v>2</v>
      </c>
      <c r="K45" s="4">
        <f>INDEX(F1_F2[],MATCH($D$2,F1_F2[Tipo de estaca],0),2)</f>
        <v>3</v>
      </c>
      <c r="L45" s="4">
        <f>INDEX(F1_F2[],MATCH($D$2,F1_F2[Tipo de estaca],0),3)</f>
        <v>6</v>
      </c>
      <c r="M45" s="4">
        <f>PI()*(ESF[[#This Row],[Ø (cm)]]/100)^2/4</f>
        <v>7.0685834705770348E-2</v>
      </c>
      <c r="N45" s="4">
        <f>PI()*ESF[[#This Row],[Ø (cm)]]/100</f>
        <v>0.94247779607693782</v>
      </c>
      <c r="O45" s="4">
        <f>IF(ESF[[#This Row],[Prof. (m)]]=0,0,ESF[[#This Row],[α (%)]]/100*ESF[[#This Row],[K (MPa)]]*1000*ESF[[#This Row],[NSPT]])</f>
        <v>832</v>
      </c>
      <c r="P45" s="4">
        <f>IF(ESF[[#This Row],[Prof. (m)]]=0,0,(ESF[[#This Row],[K (MPa)]]*1000*ESF[[#This Row],[NSPT]]/ESF[[#This Row],[F1]]*ESF[[#This Row],[Ap (m²)]]+ESF[[#This Row],[U (m)]]/ESF[[#This Row],[F2]]*SUMIFS(ESF[(α∙K∙NL∙ΔL)],ESF[Prof. (m)],"&lt;="&amp;ESF[[#This Row],[Prof. (m)]],ESF[idDiâmetro],ESF[[#This Row],[idDiâmetro]],ESF[idPilar],ESF[[#This Row],[idPilar]]))/'DADOS CAP. CARGA'!$D$2)</f>
        <v>758.37261259494198</v>
      </c>
      <c r="Q45" s="12">
        <f>INDEX(C_alpha_beta[],MATCH(ESF[[#This Row],[Solo]],C_alpha_beta[Solo],0),MATCH(ESF[[#Headers],[C (kPa)]],C_alpha_beta[#Headers],0))</f>
        <v>400</v>
      </c>
      <c r="R45" s="4">
        <f>INDEX(C_alpha_beta[],MATCH(ESF[[#This Row],[Solo]],C_alpha_beta[Solo],0),MATCH(ESF[[#Headers],[α ESF]],C_alpha_beta[#Headers],0))</f>
        <v>0.5</v>
      </c>
      <c r="S45" s="4">
        <f>INDEX(C_alpha_beta[],MATCH(ESF[[#This Row],[Solo]],C_alpha_beta[Solo],0),MATCH(ESF[[#Headers],[β ESF]],C_alpha_beta[#Headers],0))</f>
        <v>0.5</v>
      </c>
      <c r="T45" s="4">
        <f>IF(ESF[[#This Row],[Prof. (m)]]=0,0,10*(ESF[[#This Row],[NSPT]]/3+1))</f>
        <v>183.33333333333331</v>
      </c>
      <c r="U45" s="4">
        <f>(ESF[[#This Row],[α ESF]]*ESF[[#This Row],[C (kPa)]]*ESF[[#This Row],[NSPT]]*ESF[[#This Row],[Ap (m²)]])/'DADOS CAP. CARGA'!$Q$2+(ESF[[#This Row],[β ESF]]*SUMIFS(ESF[10∙(NL/3+1)],ESF[Prof. (m)],"&lt;="&amp;ESF[[#This Row],[Prof. (m)]],ESF[idDiâmetro],ESF[[#This Row],[idDiâmetro]],ESF[idPilar],ESF[[#This Row],[idPilar]])*ESF[[#This Row],[U (m)]])/'DADOS CAP. CARGA'!$S$2</f>
        <v>387.20129455494197</v>
      </c>
      <c r="V45" s="4">
        <f>IF(SPT!$M$5=1,MIN(ESF[[#This Row],[Pe ESF (kN)]],ESF[[#This Row],[R_AV (kN)]]),IF(SPT!$M$5=2,MIN(ESF[[#This Row],[Pe ESF (kN)]],ESF[[#This Row],[R_DC (kN)]]),MIN(ESF[[#This Row],[Pe ESF (kN)]],ESF[[#This Row],[R_AV (kN)]],ESF[[#This Row],[R_DC (kN)]])))</f>
        <v>360</v>
      </c>
      <c r="W45" s="4">
        <f>INDEX(PILARES[],ESF[[#This Row],[idPilar]],MATCH("Carga (kN)",PILARES[#Headers],0))*1.4</f>
        <v>3500</v>
      </c>
      <c r="X45" s="12">
        <f>INDEX(PILARES[],ESF[[#This Row],[idPilar]],MATCH(ESF[[#Headers],[ap (cm)]],PILARES[#Headers],0))</f>
        <v>60</v>
      </c>
      <c r="Y45" s="12">
        <f>INDEX(PILARES[],ESF[[#This Row],[idPilar]],MATCH(ESF[[#Headers],[bp (cm)]],PILARES[#Headers],0))</f>
        <v>60</v>
      </c>
      <c r="Z45" s="4">
        <f>SQRT(ESF[[#This Row],[ap (cm)]]*ESF[[#This Row],[bp (cm)]])</f>
        <v>60</v>
      </c>
      <c r="AA45" s="12">
        <f>ESF[[#This Row],[ap (cm)]]*ESF[[#This Row],[bp (cm)]]</f>
        <v>3600</v>
      </c>
      <c r="AB45" s="12">
        <f ca="1">IF(ESF[[#This Row],[Padm∙ε (kN)]]&gt;=ESF[[#This Row],[Padm (kN)]],ROUNDUP(1.05*ESF[[#This Row],[Nsd (kN)]]/ESF[[#This Row],[Padm (kN)]],0),ROUNDUP(1.05*ESF[[#This Row],[Nsd (kN)]]/ESF[[#This Row],[Padm (kN)]],0)+1)</f>
        <v>11</v>
      </c>
      <c r="AC45" s="4" t="str">
        <f ca="1">IFERROR(IF(ESF[[#This Row],[nE]]=1,ESF[[#This Row],[Padm (kN)]],ESF[[#This Row],[Padm (kN)]]*ESF[[#This Row],[nE]]*INDEX(grupoEstacas[],ESF[[#This Row],[nE]],MATCH("ε",grupoEstacas[#Headers],0))),"N.S.")</f>
        <v>N.S.</v>
      </c>
      <c r="AD45" s="4">
        <f ca="1">1.05*ESF[[#This Row],[Nsd (kN)]]/(ESF[[#This Row],[nE]]*PI()*ESF[[#This Row],[Ø (cm)]]^2/4)*10</f>
        <v>4.7264195221229528</v>
      </c>
      <c r="AE45" s="4">
        <f ca="1">IF(ESF[[#This Row],[σ (MPa)]]&lt;INDEX(tipoEstaca[],MATCH($D$2,tipoEstaca[TIPO DE ESTACA],0),MATCH("σmáx (MPa)",tipoEstaca[#Headers],0)),0.4%*PI()*ESF[[#This Row],[Ø (cm)]]^2/4,"N.S.")</f>
        <v>2.8274333882308138</v>
      </c>
      <c r="AF45" s="1">
        <f>INDEX(tipoEstaca[],MATCH($D$2,tipoEstaca[TIPO DE ESTACA],0),MATCH(ESF[[#Headers],[Comprimento (m)]],tipoEstaca[#Headers],0))</f>
        <v>2</v>
      </c>
      <c r="AG45" s="5">
        <f ca="1">ESF[[#This Row],[As,mín (cm²)]]/100^2*ESF[[#This Row],[Comprimento (m)]]*7850</f>
        <v>4.4390704195223778</v>
      </c>
      <c r="AH45" s="4">
        <f ca="1">ESF[[#This Row],[nE]]*ESF[[#This Row],[Prof. (m)]]*ESF[[#This Row],[Ap (m²)]]</f>
        <v>9.3305301811616861</v>
      </c>
      <c r="AI45" s="1">
        <f ca="1">IF(ESF[[#This Row],[nE]]=1,0,MAX(3*ESF[[#This Row],[Ø (cm)]],60))</f>
        <v>90</v>
      </c>
      <c r="AJ45" s="1">
        <f ca="1">IF(ESF[[#This Row],[nE]]=1,ESF[[#This Row],[Ø (cm)]]+2*10,MAX(1.5*ESF[[#This Row],[Ø (cm)]],ESF[[#This Row],[Ø (cm)]]+15))</f>
        <v>45</v>
      </c>
      <c r="AK45" s="1" t="str">
        <f ca="1">alturaUtil(ESF[[#This Row],[nE]],ESF[[#This Row],[Ø (cm)]],ESF[[#This Row],[e (cm)]],ESF[[#This Row],[ap,eq (cm)]])</f>
        <v>N.S.</v>
      </c>
      <c r="AL45" s="1" t="str">
        <f ca="1">IFERROR(ESF[[#This Row],[d (cm)]]+arredondarParaCimaMultiplo5cm(MAX(5,SQRT(PI())/2*ESF[[#This Row],[Ø (cm)]]/5)),"N.S.")</f>
        <v>N.S.</v>
      </c>
      <c r="AM45" s="5" t="str">
        <f ca="1">alpha(ESF[[#This Row],[nE]],ESF[[#This Row],[d (cm)]],ESF[[#This Row],[e (cm)]],ESF[[#This Row],[ap,eq (cm)]])</f>
        <v>N.S.</v>
      </c>
      <c r="AN45" s="35" t="str">
        <f ca="1">IFERROR(ESF[[#This Row],[Nsd (kN)]]/(ESF[[#This Row],[Ap (cm²)]]*SIN(ESF[[#This Row],[α]])^2),"N.S.")</f>
        <v>N.S.</v>
      </c>
      <c r="AO45" s="35" t="str">
        <f ca="1">IFERROR(ESF[[#This Row],[Nsd (kN)]]/(ESF[[#This Row],[nE]]*PI()*ESF[[#This Row],[Ø (cm)]]^2/4*SIN(ESF[[#This Row],[α]])^2),"N.S.")</f>
        <v>N.S.</v>
      </c>
      <c r="AP45" s="4" t="str">
        <f ca="1">IFERROR(INDEX(grupoEstacas[],ESF[[#This Row],[nE]],MATCH("coef. Blévot",grupoEstacas[#Headers],0)),"N.S.")</f>
        <v>N.S.</v>
      </c>
      <c r="AQ45" s="35" t="str">
        <f ca="1">IFERROR(ESF[[#This Row],[coef. Blévot]]*0.9*INDEX(tipoEstaca[],MATCH($D$2,tipoEstaca[TIPO DE ESTACA],0),MATCH("fcd (kN/cm²)",tipoEstaca[#Headers],0)),"N.S.")</f>
        <v>N.S.</v>
      </c>
      <c r="AR45" s="1" t="str">
        <f ca="1">IF(AND(ESF[[#This Row],[cd,b,pil (kN/cm²)]]&lt;=ESF[[#This Row],[cd,b,lim (kN/cm²)]],ESF[[#This Row],[cd,b,est (kN/cm²)]]&lt;=ESF[[#This Row],[cd,b,lim (kN/cm²)]]),"OK","ERRO")</f>
        <v>OK</v>
      </c>
      <c r="AS45" s="4" t="str">
        <f ca="1">As_lado(ESF[[#This Row],[nE]],ESF[[#This Row],[Nsd (kN)]],ESF[[#This Row],[d (cm)]],ESF[[#This Row],[e (cm)]],ESF[[#This Row],[ap,eq (cm)]])</f>
        <v>N.S.</v>
      </c>
      <c r="AT45" s="4" t="str">
        <f ca="1">IF(ESF[[#This Row],[nE]]=1,ESF[[#This Row],[As,lado (cm²)]],IF(ESF[[#This Row],[nE]]=2,0.075*2*ESF[a (cm)],"N.A."))</f>
        <v>N.A.</v>
      </c>
      <c r="AU45" s="4" t="str">
        <f ca="1">IFERROR(IF(ESF[[#This Row],[nE]]=1,"N.A.",0.2*ESF[[#This Row],[As,lado (cm²)]]),"N.S.")</f>
        <v>N.S.</v>
      </c>
      <c r="AV45" s="4" t="str">
        <f ca="1">As_malha(ESF[[#This Row],[nE]],ESF[[#This Row],[As,lado (cm²)]],ESF[[#This Row],[Nsd (kN)]])</f>
        <v>N.S.</v>
      </c>
      <c r="AW45" s="4" t="str">
        <f ca="1">As_susp_tot(ESF[[#This Row],[nE]],ESF[[#This Row],[Nsd (kN)]])</f>
        <v>N.S.</v>
      </c>
      <c r="AX45" s="4" t="str">
        <f ca="1">Asp_face(ESF[[#This Row],[nE]],ESF[[#This Row],[As,lado (cm²)]])</f>
        <v>N.S.</v>
      </c>
      <c r="AY45" s="5" t="str">
        <f ca="1">acoBloco(ESF[[#This Row],[nE]],ESF[[#This Row],[e (cm)]],ESF[[#This Row],[a (cm)]],ESF[[#This Row],[h (cm)]],ESF[[#This Row],[As,lado (cm²)]],ESF[[#This Row],[Asp e Asw (cm²/m)]],ESF[[#This Row],[As,sup (cm²)]],ESF[[#This Row],[As,malha (cm²)]],ESF[[#This Row],[As,susp,tot (cm²)]],ESF[[#This Row],[Asp,face (cm²)]])</f>
        <v>N.S.</v>
      </c>
      <c r="AZ45" s="4" t="str">
        <f ca="1">concretoBloco(ESF[[#This Row],[nE]],ESF[[#This Row],[e (cm)]],ESF[[#This Row],[a (cm)]],ESF[[#This Row],[h (cm)]])</f>
        <v>N.S.</v>
      </c>
      <c r="BA45" s="5">
        <f ca="1">SUM(ESF[[#This Row],[Aço Est (kg)]],ESF[[#This Row],[Aço Bloco (kg)]])</f>
        <v>4.4390704195223778</v>
      </c>
      <c r="BB45" s="4">
        <f>INDEX(composicoes[],MATCH(95580,composicoes[CÓDIGO],0),MATCH("CUSTO TOTAL",composicoes[#Headers],0))</f>
        <v>10.46</v>
      </c>
      <c r="BC45" s="4">
        <f ca="1">SUM(ESF[[#This Row],[Conc Est (m³)]],ESF[[#This Row],[Conc Bloco (m³)]])</f>
        <v>9.3305301811616861</v>
      </c>
      <c r="BD45" s="4">
        <f>INDEX(composicoes[],MATCH(94966,composicoes[CÓDIGO],0),MATCH("CUSTO TOTAL",composicoes[#Headers],0))</f>
        <v>439.52</v>
      </c>
      <c r="BE45" s="38">
        <f ca="1">ESF[[#This Row],[Aço (kg)]]*ESF[[#This Row],[Aço (R$/kg)]]+ESF[[#This Row],[Conc (m³)]]*ESF[[#This Row],[Conc (R$/m³)]]</f>
        <v>4147.3873018123886</v>
      </c>
      <c r="BF45" s="4" t="str">
        <f ca="1">IF(COUNTIF(ESF[#This Row],"N.S.")&gt;0,"lim.","OK")</f>
        <v>lim.</v>
      </c>
      <c r="BG45" s="4" t="str">
        <f>IF(ESF[[#This Row],[Prof. (m)]]&lt;3,"lim.","OK")</f>
        <v>OK</v>
      </c>
      <c r="BH45" s="4" t="str">
        <f>IF(ESF[[#This Row],[Prof. (m)]]&gt;=8*ESF[[#This Row],[Ø (cm)]]/100,"OK","lim.")</f>
        <v>OK</v>
      </c>
      <c r="BI45" s="4" t="str">
        <f>IF(AND(SPT!$F$3&lt;&gt;"",ESF[[#This Row],[Prof. (m)]]&gt;=SPT!$F$3),"lim.","OK")</f>
        <v>OK</v>
      </c>
      <c r="BJ45" s="4" t="str">
        <f>IF(COUNTIFS(ESF[Solo],"Areia",ESF[Prof. (m)],"&lt;="&amp;ESF[[#This Row],[Prof. (m)]])&gt;=1,"lim.","OK")</f>
        <v>OK</v>
      </c>
      <c r="BK45" s="4" t="str">
        <f ca="1">IF(ESF[[#This Row],[Verif. Biela]]="OK","OK","lim.")</f>
        <v>OK</v>
      </c>
      <c r="BL45" s="4" t="str">
        <f ca="1">IF(COUNTA(ESF[[#This Row],[Nº Est.]:[Biela comp.]])=COUNTIF(ESF[[#This Row],[Nº Est.]:[Biela comp.]],"OK"),"OK","lim.")</f>
        <v>lim.</v>
      </c>
      <c r="BM45" s="4" t="str">
        <f ca="1">IF(ESF[[#This Row],[Controle]]="OK",ESF[[#This Row],[nE]]&amp;" Ø"&amp;ESF[[#This Row],[Ø (cm)]]&amp;"cm Prof. "&amp;ESF[[#This Row],[Prof. (m)]]&amp;" m","")</f>
        <v/>
      </c>
      <c r="BN45" s="4" t="str">
        <f ca="1">IF(ESF[[#This Row],[idDimensionamento]]="","",ESF[[#This Row],[idPilar]]&amp;ESF[[#This Row],[idDimensionamento]])</f>
        <v/>
      </c>
    </row>
    <row r="46" spans="2:66" x14ac:dyDescent="0.25">
      <c r="B46" s="12">
        <f>ROUNDUP((ROW(ESF[[#This Row],[idDiâmetro]])-ROW(ESF[[#Headers],[idDiâmetro]]))/(COUNT(SPT[Prof. (m)])*COUNT(PILARES[Pilar])),0)</f>
        <v>2</v>
      </c>
      <c r="C46" s="12">
        <f>IF(ESF[[#This Row],[idDiâmetro]]&lt;&gt;B45,1,IF(ESF[[#This Row],[Prof. (m)]]=0,C45+1,C45))</f>
        <v>1</v>
      </c>
      <c r="D46" s="1">
        <f>IFERROR(IF(D45=MAX(SPT[Prof. (m)]),0,D45+1),0)</f>
        <v>13</v>
      </c>
      <c r="E46" s="1">
        <f>INDEX(SPT[],MATCH(ESF[[#This Row],[Prof. (m)]],SPT[Prof. (m)],0),2)</f>
        <v>68</v>
      </c>
      <c r="F46" s="1" t="str">
        <f>INDEX(SPT[],MATCH(ESF[[#This Row],[Prof. (m)]],SPT[Prof. (m)],0),3)</f>
        <v>Areia siltosa</v>
      </c>
      <c r="G46" s="1">
        <f>INDEX(estacas[],ESF[[#This Row],[idDiâmetro]],MATCH($B$2,estacas[#Headers],0))</f>
        <v>30</v>
      </c>
      <c r="H46" s="1">
        <f>INDEX(estacas[],MATCH(ESF[[#This Row],[Ø (cm)]],estacas[Ø ESF (cm)],0),MATCH(ESF[[#Headers],[Pe ESF (kN)]],estacas[#Headers],0))</f>
        <v>360</v>
      </c>
      <c r="I46" s="4">
        <f>INDEX(K_alpha_C[],MATCH(ESF[[#This Row],[Solo]],K_alpha_C[Solo],0),2)</f>
        <v>0.8</v>
      </c>
      <c r="J46" s="5">
        <f>INDEX(K_alpha_C[],MATCH(ESF[[#This Row],[Solo]],K_alpha_C[Solo],0),3)</f>
        <v>2</v>
      </c>
      <c r="K46" s="4">
        <f>INDEX(F1_F2[],MATCH($D$2,F1_F2[Tipo de estaca],0),2)</f>
        <v>3</v>
      </c>
      <c r="L46" s="4">
        <f>INDEX(F1_F2[],MATCH($D$2,F1_F2[Tipo de estaca],0),3)</f>
        <v>6</v>
      </c>
      <c r="M46" s="4">
        <f>PI()*(ESF[[#This Row],[Ø (cm)]]/100)^2/4</f>
        <v>7.0685834705770348E-2</v>
      </c>
      <c r="N46" s="4">
        <f>PI()*ESF[[#This Row],[Ø (cm)]]/100</f>
        <v>0.94247779607693782</v>
      </c>
      <c r="O46" s="4">
        <f>IF(ESF[[#This Row],[Prof. (m)]]=0,0,ESF[[#This Row],[α (%)]]/100*ESF[[#This Row],[K (MPa)]]*1000*ESF[[#This Row],[NSPT]])</f>
        <v>1088</v>
      </c>
      <c r="P46" s="4">
        <f>IF(ESF[[#This Row],[Prof. (m)]]=0,0,(ESF[[#This Row],[K (MPa)]]*1000*ESF[[#This Row],[NSPT]]/ESF[[#This Row],[F1]]*ESF[[#This Row],[Ap (m²)]]+ESF[[#This Row],[U (m)]]/ESF[[#This Row],[F2]]*SUMIFS(ESF[(α∙K∙NL∙ΔL)],ESF[Prof. (m)],"&lt;="&amp;ESF[[#This Row],[Prof. (m)]],ESF[idDiâmetro],ESF[[#This Row],[idDiâmetro]],ESF[idPilar],ESF[[#This Row],[idPilar]]))/'DADOS CAP. CARGA'!$D$2)</f>
        <v>994.6203801448944</v>
      </c>
      <c r="Q46" s="12">
        <f>INDEX(C_alpha_beta[],MATCH(ESF[[#This Row],[Solo]],C_alpha_beta[Solo],0),MATCH(ESF[[#Headers],[C (kPa)]],C_alpha_beta[#Headers],0))</f>
        <v>400</v>
      </c>
      <c r="R46" s="4">
        <f>INDEX(C_alpha_beta[],MATCH(ESF[[#This Row],[Solo]],C_alpha_beta[Solo],0),MATCH(ESF[[#Headers],[α ESF]],C_alpha_beta[#Headers],0))</f>
        <v>0.5</v>
      </c>
      <c r="S46" s="4">
        <f>INDEX(C_alpha_beta[],MATCH(ESF[[#This Row],[Solo]],C_alpha_beta[Solo],0),MATCH(ESF[[#Headers],[β ESF]],C_alpha_beta[#Headers],0))</f>
        <v>0.5</v>
      </c>
      <c r="T46" s="4">
        <f>IF(ESF[[#This Row],[Prof. (m)]]=0,0,10*(ESF[[#This Row],[NSPT]]/3+1))</f>
        <v>236.66666666666669</v>
      </c>
      <c r="U46" s="4">
        <f>(ESF[[#This Row],[α ESF]]*ESF[[#This Row],[C (kPa)]]*ESF[[#This Row],[NSPT]]*ESF[[#This Row],[Ap (m²)]])/'DADOS CAP. CARGA'!$Q$2+(ESF[[#This Row],[β ESF]]*SUMIFS(ESF[10∙(NL/3+1)],ESF[Prof. (m)],"&lt;="&amp;ESF[[#This Row],[Prof. (m)]],ESF[idDiâmetro],ESF[[#This Row],[idDiâmetro]],ESF[idPilar],ESF[[#This Row],[idPilar]])*ESF[[#This Row],[U (m)]])/'DADOS CAP. CARGA'!$S$2</f>
        <v>499.51323192077712</v>
      </c>
      <c r="V46" s="4">
        <f>IF(SPT!$M$5=1,MIN(ESF[[#This Row],[Pe ESF (kN)]],ESF[[#This Row],[R_AV (kN)]]),IF(SPT!$M$5=2,MIN(ESF[[#This Row],[Pe ESF (kN)]],ESF[[#This Row],[R_DC (kN)]]),MIN(ESF[[#This Row],[Pe ESF (kN)]],ESF[[#This Row],[R_AV (kN)]],ESF[[#This Row],[R_DC (kN)]])))</f>
        <v>360</v>
      </c>
      <c r="W46" s="4">
        <f>INDEX(PILARES[],ESF[[#This Row],[idPilar]],MATCH("Carga (kN)",PILARES[#Headers],0))*1.4</f>
        <v>3500</v>
      </c>
      <c r="X46" s="12">
        <f>INDEX(PILARES[],ESF[[#This Row],[idPilar]],MATCH(ESF[[#Headers],[ap (cm)]],PILARES[#Headers],0))</f>
        <v>60</v>
      </c>
      <c r="Y46" s="12">
        <f>INDEX(PILARES[],ESF[[#This Row],[idPilar]],MATCH(ESF[[#Headers],[bp (cm)]],PILARES[#Headers],0))</f>
        <v>60</v>
      </c>
      <c r="Z46" s="4">
        <f>SQRT(ESF[[#This Row],[ap (cm)]]*ESF[[#This Row],[bp (cm)]])</f>
        <v>60</v>
      </c>
      <c r="AA46" s="12">
        <f>ESF[[#This Row],[ap (cm)]]*ESF[[#This Row],[bp (cm)]]</f>
        <v>3600</v>
      </c>
      <c r="AB46" s="12">
        <f ca="1">IF(ESF[[#This Row],[Padm∙ε (kN)]]&gt;=ESF[[#This Row],[Padm (kN)]],ROUNDUP(1.05*ESF[[#This Row],[Nsd (kN)]]/ESF[[#This Row],[Padm (kN)]],0),ROUNDUP(1.05*ESF[[#This Row],[Nsd (kN)]]/ESF[[#This Row],[Padm (kN)]],0)+1)</f>
        <v>11</v>
      </c>
      <c r="AC46" s="4" t="str">
        <f ca="1">IFERROR(IF(ESF[[#This Row],[nE]]=1,ESF[[#This Row],[Padm (kN)]],ESF[[#This Row],[Padm (kN)]]*ESF[[#This Row],[nE]]*INDEX(grupoEstacas[],ESF[[#This Row],[nE]],MATCH("ε",grupoEstacas[#Headers],0))),"N.S.")</f>
        <v>N.S.</v>
      </c>
      <c r="AD46" s="4">
        <f ca="1">1.05*ESF[[#This Row],[Nsd (kN)]]/(ESF[[#This Row],[nE]]*PI()*ESF[[#This Row],[Ø (cm)]]^2/4)*10</f>
        <v>4.7264195221229528</v>
      </c>
      <c r="AE46" s="4">
        <f ca="1">IF(ESF[[#This Row],[σ (MPa)]]&lt;INDEX(tipoEstaca[],MATCH($D$2,tipoEstaca[TIPO DE ESTACA],0),MATCH("σmáx (MPa)",tipoEstaca[#Headers],0)),0.4%*PI()*ESF[[#This Row],[Ø (cm)]]^2/4,"N.S.")</f>
        <v>2.8274333882308138</v>
      </c>
      <c r="AF46" s="1">
        <f>INDEX(tipoEstaca[],MATCH($D$2,tipoEstaca[TIPO DE ESTACA],0),MATCH(ESF[[#Headers],[Comprimento (m)]],tipoEstaca[#Headers],0))</f>
        <v>2</v>
      </c>
      <c r="AG46" s="5">
        <f ca="1">ESF[[#This Row],[As,mín (cm²)]]/100^2*ESF[[#This Row],[Comprimento (m)]]*7850</f>
        <v>4.4390704195223778</v>
      </c>
      <c r="AH46" s="4">
        <f ca="1">ESF[[#This Row],[nE]]*ESF[[#This Row],[Prof. (m)]]*ESF[[#This Row],[Ap (m²)]]</f>
        <v>10.10807436292516</v>
      </c>
      <c r="AI46" s="1">
        <f ca="1">IF(ESF[[#This Row],[nE]]=1,0,MAX(3*ESF[[#This Row],[Ø (cm)]],60))</f>
        <v>90</v>
      </c>
      <c r="AJ46" s="1">
        <f ca="1">IF(ESF[[#This Row],[nE]]=1,ESF[[#This Row],[Ø (cm)]]+2*10,MAX(1.5*ESF[[#This Row],[Ø (cm)]],ESF[[#This Row],[Ø (cm)]]+15))</f>
        <v>45</v>
      </c>
      <c r="AK46" s="1" t="str">
        <f ca="1">alturaUtil(ESF[[#This Row],[nE]],ESF[[#This Row],[Ø (cm)]],ESF[[#This Row],[e (cm)]],ESF[[#This Row],[ap,eq (cm)]])</f>
        <v>N.S.</v>
      </c>
      <c r="AL46" s="1" t="str">
        <f ca="1">IFERROR(ESF[[#This Row],[d (cm)]]+arredondarParaCimaMultiplo5cm(MAX(5,SQRT(PI())/2*ESF[[#This Row],[Ø (cm)]]/5)),"N.S.")</f>
        <v>N.S.</v>
      </c>
      <c r="AM46" s="5" t="str">
        <f ca="1">alpha(ESF[[#This Row],[nE]],ESF[[#This Row],[d (cm)]],ESF[[#This Row],[e (cm)]],ESF[[#This Row],[ap,eq (cm)]])</f>
        <v>N.S.</v>
      </c>
      <c r="AN46" s="35" t="str">
        <f ca="1">IFERROR(ESF[[#This Row],[Nsd (kN)]]/(ESF[[#This Row],[Ap (cm²)]]*SIN(ESF[[#This Row],[α]])^2),"N.S.")</f>
        <v>N.S.</v>
      </c>
      <c r="AO46" s="35" t="str">
        <f ca="1">IFERROR(ESF[[#This Row],[Nsd (kN)]]/(ESF[[#This Row],[nE]]*PI()*ESF[[#This Row],[Ø (cm)]]^2/4*SIN(ESF[[#This Row],[α]])^2),"N.S.")</f>
        <v>N.S.</v>
      </c>
      <c r="AP46" s="4" t="str">
        <f ca="1">IFERROR(INDEX(grupoEstacas[],ESF[[#This Row],[nE]],MATCH("coef. Blévot",grupoEstacas[#Headers],0)),"N.S.")</f>
        <v>N.S.</v>
      </c>
      <c r="AQ46" s="35" t="str">
        <f ca="1">IFERROR(ESF[[#This Row],[coef. Blévot]]*0.9*INDEX(tipoEstaca[],MATCH($D$2,tipoEstaca[TIPO DE ESTACA],0),MATCH("fcd (kN/cm²)",tipoEstaca[#Headers],0)),"N.S.")</f>
        <v>N.S.</v>
      </c>
      <c r="AR46" s="1" t="str">
        <f ca="1">IF(AND(ESF[[#This Row],[cd,b,pil (kN/cm²)]]&lt;=ESF[[#This Row],[cd,b,lim (kN/cm²)]],ESF[[#This Row],[cd,b,est (kN/cm²)]]&lt;=ESF[[#This Row],[cd,b,lim (kN/cm²)]]),"OK","ERRO")</f>
        <v>OK</v>
      </c>
      <c r="AS46" s="4" t="str">
        <f ca="1">As_lado(ESF[[#This Row],[nE]],ESF[[#This Row],[Nsd (kN)]],ESF[[#This Row],[d (cm)]],ESF[[#This Row],[e (cm)]],ESF[[#This Row],[ap,eq (cm)]])</f>
        <v>N.S.</v>
      </c>
      <c r="AT46" s="4" t="str">
        <f ca="1">IF(ESF[[#This Row],[nE]]=1,ESF[[#This Row],[As,lado (cm²)]],IF(ESF[[#This Row],[nE]]=2,0.075*2*ESF[a (cm)],"N.A."))</f>
        <v>N.A.</v>
      </c>
      <c r="AU46" s="4" t="str">
        <f ca="1">IFERROR(IF(ESF[[#This Row],[nE]]=1,"N.A.",0.2*ESF[[#This Row],[As,lado (cm²)]]),"N.S.")</f>
        <v>N.S.</v>
      </c>
      <c r="AV46" s="4" t="str">
        <f ca="1">As_malha(ESF[[#This Row],[nE]],ESF[[#This Row],[As,lado (cm²)]],ESF[[#This Row],[Nsd (kN)]])</f>
        <v>N.S.</v>
      </c>
      <c r="AW46" s="4" t="str">
        <f ca="1">As_susp_tot(ESF[[#This Row],[nE]],ESF[[#This Row],[Nsd (kN)]])</f>
        <v>N.S.</v>
      </c>
      <c r="AX46" s="4" t="str">
        <f ca="1">Asp_face(ESF[[#This Row],[nE]],ESF[[#This Row],[As,lado (cm²)]])</f>
        <v>N.S.</v>
      </c>
      <c r="AY46" s="5" t="str">
        <f ca="1">acoBloco(ESF[[#This Row],[nE]],ESF[[#This Row],[e (cm)]],ESF[[#This Row],[a (cm)]],ESF[[#This Row],[h (cm)]],ESF[[#This Row],[As,lado (cm²)]],ESF[[#This Row],[Asp e Asw (cm²/m)]],ESF[[#This Row],[As,sup (cm²)]],ESF[[#This Row],[As,malha (cm²)]],ESF[[#This Row],[As,susp,tot (cm²)]],ESF[[#This Row],[Asp,face (cm²)]])</f>
        <v>N.S.</v>
      </c>
      <c r="AZ46" s="4" t="str">
        <f ca="1">concretoBloco(ESF[[#This Row],[nE]],ESF[[#This Row],[e (cm)]],ESF[[#This Row],[a (cm)]],ESF[[#This Row],[h (cm)]])</f>
        <v>N.S.</v>
      </c>
      <c r="BA46" s="5">
        <f ca="1">SUM(ESF[[#This Row],[Aço Est (kg)]],ESF[[#This Row],[Aço Bloco (kg)]])</f>
        <v>4.4390704195223778</v>
      </c>
      <c r="BB46" s="4">
        <f>INDEX(composicoes[],MATCH(95580,composicoes[CÓDIGO],0),MATCH("CUSTO TOTAL",composicoes[#Headers],0))</f>
        <v>10.46</v>
      </c>
      <c r="BC46" s="4">
        <f ca="1">SUM(ESF[[#This Row],[Conc Est (m³)]],ESF[[#This Row],[Conc Bloco (m³)]])</f>
        <v>10.10807436292516</v>
      </c>
      <c r="BD46" s="4">
        <f>INDEX(composicoes[],MATCH(94966,composicoes[CÓDIGO],0),MATCH("CUSTO TOTAL",composicoes[#Headers],0))</f>
        <v>439.52</v>
      </c>
      <c r="BE46" s="38">
        <f ca="1">ESF[[#This Row],[Aço (kg)]]*ESF[[#This Row],[Aço (R$/kg)]]+ESF[[#This Row],[Conc (m³)]]*ESF[[#This Row],[Conc (R$/m³)]]</f>
        <v>4489.1335205810701</v>
      </c>
      <c r="BF46" s="4" t="str">
        <f ca="1">IF(COUNTIF(ESF[#This Row],"N.S.")&gt;0,"lim.","OK")</f>
        <v>lim.</v>
      </c>
      <c r="BG46" s="4" t="str">
        <f>IF(ESF[[#This Row],[Prof. (m)]]&lt;3,"lim.","OK")</f>
        <v>OK</v>
      </c>
      <c r="BH46" s="4" t="str">
        <f>IF(ESF[[#This Row],[Prof. (m)]]&gt;=8*ESF[[#This Row],[Ø (cm)]]/100,"OK","lim.")</f>
        <v>OK</v>
      </c>
      <c r="BI46" s="4" t="str">
        <f>IF(AND(SPT!$F$3&lt;&gt;"",ESF[[#This Row],[Prof. (m)]]&gt;=SPT!$F$3),"lim.","OK")</f>
        <v>OK</v>
      </c>
      <c r="BJ46" s="4" t="str">
        <f>IF(COUNTIFS(ESF[Solo],"Areia",ESF[Prof. (m)],"&lt;="&amp;ESF[[#This Row],[Prof. (m)]])&gt;=1,"lim.","OK")</f>
        <v>OK</v>
      </c>
      <c r="BK46" s="4" t="str">
        <f ca="1">IF(ESF[[#This Row],[Verif. Biela]]="OK","OK","lim.")</f>
        <v>OK</v>
      </c>
      <c r="BL46" s="4" t="str">
        <f ca="1">IF(COUNTA(ESF[[#This Row],[Nº Est.]:[Biela comp.]])=COUNTIF(ESF[[#This Row],[Nº Est.]:[Biela comp.]],"OK"),"OK","lim.")</f>
        <v>lim.</v>
      </c>
      <c r="BM46" s="4" t="str">
        <f ca="1">IF(ESF[[#This Row],[Controle]]="OK",ESF[[#This Row],[nE]]&amp;" Ø"&amp;ESF[[#This Row],[Ø (cm)]]&amp;"cm Prof. "&amp;ESF[[#This Row],[Prof. (m)]]&amp;" m","")</f>
        <v/>
      </c>
      <c r="BN46" s="4" t="str">
        <f ca="1">IF(ESF[[#This Row],[idDimensionamento]]="","",ESF[[#This Row],[idPilar]]&amp;ESF[[#This Row],[idDimensionamento]])</f>
        <v/>
      </c>
    </row>
    <row r="47" spans="2:66" x14ac:dyDescent="0.25">
      <c r="B47" s="12">
        <f>ROUNDUP((ROW(ESF[[#This Row],[idDiâmetro]])-ROW(ESF[[#Headers],[idDiâmetro]]))/(COUNT(SPT[Prof. (m)])*COUNT(PILARES[Pilar])),0)</f>
        <v>2</v>
      </c>
      <c r="C47" s="12">
        <f>IF(ESF[[#This Row],[idDiâmetro]]&lt;&gt;B46,1,IF(ESF[[#This Row],[Prof. (m)]]=0,C46+1,C46))</f>
        <v>2</v>
      </c>
      <c r="D47" s="1">
        <f>IFERROR(IF(D46=MAX(SPT[Prof. (m)]),0,D46+1),0)</f>
        <v>0</v>
      </c>
      <c r="E47" s="1">
        <f>INDEX(SPT[],MATCH(ESF[[#This Row],[Prof. (m)]],SPT[Prof. (m)],0),2)</f>
        <v>0</v>
      </c>
      <c r="F47" s="1" t="str">
        <f>INDEX(SPT[],MATCH(ESF[[#This Row],[Prof. (m)]],SPT[Prof. (m)],0),3)</f>
        <v>Areia siltosa</v>
      </c>
      <c r="G47" s="1">
        <f>INDEX(estacas[],ESF[[#This Row],[idDiâmetro]],MATCH($B$2,estacas[#Headers],0))</f>
        <v>30</v>
      </c>
      <c r="H47" s="1">
        <f>INDEX(estacas[],MATCH(ESF[[#This Row],[Ø (cm)]],estacas[Ø ESF (cm)],0),MATCH(ESF[[#Headers],[Pe ESF (kN)]],estacas[#Headers],0))</f>
        <v>360</v>
      </c>
      <c r="I47" s="4">
        <f>INDEX(K_alpha_C[],MATCH(ESF[[#This Row],[Solo]],K_alpha_C[Solo],0),2)</f>
        <v>0.8</v>
      </c>
      <c r="J47" s="5">
        <f>INDEX(K_alpha_C[],MATCH(ESF[[#This Row],[Solo]],K_alpha_C[Solo],0),3)</f>
        <v>2</v>
      </c>
      <c r="K47" s="4">
        <f>INDEX(F1_F2[],MATCH($D$2,F1_F2[Tipo de estaca],0),2)</f>
        <v>3</v>
      </c>
      <c r="L47" s="4">
        <f>INDEX(F1_F2[],MATCH($D$2,F1_F2[Tipo de estaca],0),3)</f>
        <v>6</v>
      </c>
      <c r="M47" s="4">
        <f>PI()*(ESF[[#This Row],[Ø (cm)]]/100)^2/4</f>
        <v>7.0685834705770348E-2</v>
      </c>
      <c r="N47" s="4">
        <f>PI()*ESF[[#This Row],[Ø (cm)]]/100</f>
        <v>0.94247779607693782</v>
      </c>
      <c r="O47" s="4">
        <f>IF(ESF[[#This Row],[Prof. (m)]]=0,0,ESF[[#This Row],[α (%)]]/100*ESF[[#This Row],[K (MPa)]]*1000*ESF[[#This Row],[NSPT]])</f>
        <v>0</v>
      </c>
      <c r="P47" s="4">
        <f>IF(ESF[[#This Row],[Prof. (m)]]=0,0,(ESF[[#This Row],[K (MPa)]]*1000*ESF[[#This Row],[NSPT]]/ESF[[#This Row],[F1]]*ESF[[#This Row],[Ap (m²)]]+ESF[[#This Row],[U (m)]]/ESF[[#This Row],[F2]]*SUMIFS(ESF[(α∙K∙NL∙ΔL)],ESF[Prof. (m)],"&lt;="&amp;ESF[[#This Row],[Prof. (m)]],ESF[idDiâmetro],ESF[[#This Row],[idDiâmetro]],ESF[idPilar],ESF[[#This Row],[idPilar]]))/'DADOS CAP. CARGA'!$D$2)</f>
        <v>0</v>
      </c>
      <c r="Q47" s="12">
        <f>INDEX(C_alpha_beta[],MATCH(ESF[[#This Row],[Solo]],C_alpha_beta[Solo],0),MATCH(ESF[[#Headers],[C (kPa)]],C_alpha_beta[#Headers],0))</f>
        <v>400</v>
      </c>
      <c r="R47" s="4">
        <f>INDEX(C_alpha_beta[],MATCH(ESF[[#This Row],[Solo]],C_alpha_beta[Solo],0),MATCH(ESF[[#Headers],[α ESF]],C_alpha_beta[#Headers],0))</f>
        <v>0.5</v>
      </c>
      <c r="S47" s="4">
        <f>INDEX(C_alpha_beta[],MATCH(ESF[[#This Row],[Solo]],C_alpha_beta[Solo],0),MATCH(ESF[[#Headers],[β ESF]],C_alpha_beta[#Headers],0))</f>
        <v>0.5</v>
      </c>
      <c r="T47" s="4">
        <f>IF(ESF[[#This Row],[Prof. (m)]]=0,0,10*(ESF[[#This Row],[NSPT]]/3+1))</f>
        <v>0</v>
      </c>
      <c r="U47" s="4">
        <f>(ESF[[#This Row],[α ESF]]*ESF[[#This Row],[C (kPa)]]*ESF[[#This Row],[NSPT]]*ESF[[#This Row],[Ap (m²)]])/'DADOS CAP. CARGA'!$Q$2+(ESF[[#This Row],[β ESF]]*SUMIFS(ESF[10∙(NL/3+1)],ESF[Prof. (m)],"&lt;="&amp;ESF[[#This Row],[Prof. (m)]],ESF[idDiâmetro],ESF[[#This Row],[idDiâmetro]],ESF[idPilar],ESF[[#This Row],[idPilar]])*ESF[[#This Row],[U (m)]])/'DADOS CAP. CARGA'!$S$2</f>
        <v>0</v>
      </c>
      <c r="V47" s="4">
        <f>IF(SPT!$M$5=1,MIN(ESF[[#This Row],[Pe ESF (kN)]],ESF[[#This Row],[R_AV (kN)]]),IF(SPT!$M$5=2,MIN(ESF[[#This Row],[Pe ESF (kN)]],ESF[[#This Row],[R_DC (kN)]]),MIN(ESF[[#This Row],[Pe ESF (kN)]],ESF[[#This Row],[R_AV (kN)]],ESF[[#This Row],[R_DC (kN)]])))</f>
        <v>0</v>
      </c>
      <c r="W47" s="4">
        <f>INDEX(PILARES[],ESF[[#This Row],[idPilar]],MATCH("Carga (kN)",PILARES[#Headers],0))*1.4</f>
        <v>1750</v>
      </c>
      <c r="X47" s="12">
        <f>INDEX(PILARES[],ESF[[#This Row],[idPilar]],MATCH(ESF[[#Headers],[ap (cm)]],PILARES[#Headers],0))</f>
        <v>50</v>
      </c>
      <c r="Y47" s="12">
        <f>INDEX(PILARES[],ESF[[#This Row],[idPilar]],MATCH(ESF[[#Headers],[bp (cm)]],PILARES[#Headers],0))</f>
        <v>40</v>
      </c>
      <c r="Z47" s="4">
        <f>SQRT(ESF[[#This Row],[ap (cm)]]*ESF[[#This Row],[bp (cm)]])</f>
        <v>44.721359549995796</v>
      </c>
      <c r="AA47" s="12">
        <f>ESF[[#This Row],[ap (cm)]]*ESF[[#This Row],[bp (cm)]]</f>
        <v>2000</v>
      </c>
      <c r="AB47" s="12" t="e">
        <f ca="1">IF(ESF[[#This Row],[Padm∙ε (kN)]]&gt;=ESF[[#This Row],[Padm (kN)]],ROUNDUP(1.05*ESF[[#This Row],[Nsd (kN)]]/ESF[[#This Row],[Padm (kN)]],0),ROUNDUP(1.05*ESF[[#This Row],[Nsd (kN)]]/ESF[[#This Row],[Padm (kN)]],0)+1)</f>
        <v>#DIV/0!</v>
      </c>
      <c r="AC47" s="4" t="str">
        <f ca="1">IFERROR(IF(ESF[[#This Row],[nE]]=1,ESF[[#This Row],[Padm (kN)]],ESF[[#This Row],[Padm (kN)]]*ESF[[#This Row],[nE]]*INDEX(grupoEstacas[],ESF[[#This Row],[nE]],MATCH("ε",grupoEstacas[#Headers],0))),"N.S.")</f>
        <v>N.S.</v>
      </c>
      <c r="AD47" s="4" t="e">
        <f ca="1">1.05*ESF[[#This Row],[Nsd (kN)]]/(ESF[[#This Row],[nE]]*PI()*ESF[[#This Row],[Ø (cm)]]^2/4)*10</f>
        <v>#DIV/0!</v>
      </c>
      <c r="AE47" s="4" t="e">
        <f ca="1">IF(ESF[[#This Row],[σ (MPa)]]&lt;INDEX(tipoEstaca[],MATCH($D$2,tipoEstaca[TIPO DE ESTACA],0),MATCH("σmáx (MPa)",tipoEstaca[#Headers],0)),0.4%*PI()*ESF[[#This Row],[Ø (cm)]]^2/4,"N.S.")</f>
        <v>#DIV/0!</v>
      </c>
      <c r="AF47" s="1">
        <f>INDEX(tipoEstaca[],MATCH($D$2,tipoEstaca[TIPO DE ESTACA],0),MATCH(ESF[[#Headers],[Comprimento (m)]],tipoEstaca[#Headers],0))</f>
        <v>2</v>
      </c>
      <c r="AG47" s="5" t="e">
        <f ca="1">ESF[[#This Row],[As,mín (cm²)]]/100^2*ESF[[#This Row],[Comprimento (m)]]*7850</f>
        <v>#DIV/0!</v>
      </c>
      <c r="AH47" s="4" t="e">
        <f ca="1">ESF[[#This Row],[nE]]*ESF[[#This Row],[Prof. (m)]]*ESF[[#This Row],[Ap (m²)]]</f>
        <v>#DIV/0!</v>
      </c>
      <c r="AI47" s="1" t="e">
        <f ca="1">IF(ESF[[#This Row],[nE]]=1,0,MAX(3*ESF[[#This Row],[Ø (cm)]],60))</f>
        <v>#DIV/0!</v>
      </c>
      <c r="AJ47" s="1" t="e">
        <f ca="1">IF(ESF[[#This Row],[nE]]=1,ESF[[#This Row],[Ø (cm)]]+2*10,MAX(1.5*ESF[[#This Row],[Ø (cm)]],ESF[[#This Row],[Ø (cm)]]+15))</f>
        <v>#DIV/0!</v>
      </c>
      <c r="AK47" s="1" t="e">
        <f ca="1">alturaUtil(ESF[[#This Row],[nE]],ESF[[#This Row],[Ø (cm)]],ESF[[#This Row],[e (cm)]],ESF[[#This Row],[ap,eq (cm)]])</f>
        <v>#VALUE!</v>
      </c>
      <c r="AL47" s="1" t="str">
        <f ca="1">IFERROR(ESF[[#This Row],[d (cm)]]+arredondarParaCimaMultiplo5cm(MAX(5,SQRT(PI())/2*ESF[[#This Row],[Ø (cm)]]/5)),"N.S.")</f>
        <v>N.S.</v>
      </c>
      <c r="AM47" s="5" t="e">
        <f ca="1">alpha(ESF[[#This Row],[nE]],ESF[[#This Row],[d (cm)]],ESF[[#This Row],[e (cm)]],ESF[[#This Row],[ap,eq (cm)]])</f>
        <v>#VALUE!</v>
      </c>
      <c r="AN47" s="35" t="str">
        <f ca="1">IFERROR(ESF[[#This Row],[Nsd (kN)]]/(ESF[[#This Row],[Ap (cm²)]]*SIN(ESF[[#This Row],[α]])^2),"N.S.")</f>
        <v>N.S.</v>
      </c>
      <c r="AO47" s="35" t="str">
        <f ca="1">IFERROR(ESF[[#This Row],[Nsd (kN)]]/(ESF[[#This Row],[nE]]*PI()*ESF[[#This Row],[Ø (cm)]]^2/4*SIN(ESF[[#This Row],[α]])^2),"N.S.")</f>
        <v>N.S.</v>
      </c>
      <c r="AP47" s="4" t="str">
        <f ca="1">IFERROR(INDEX(grupoEstacas[],ESF[[#This Row],[nE]],MATCH("coef. Blévot",grupoEstacas[#Headers],0)),"N.S.")</f>
        <v>N.S.</v>
      </c>
      <c r="AQ47" s="35" t="str">
        <f ca="1">IFERROR(ESF[[#This Row],[coef. Blévot]]*0.9*INDEX(tipoEstaca[],MATCH($D$2,tipoEstaca[TIPO DE ESTACA],0),MATCH("fcd (kN/cm²)",tipoEstaca[#Headers],0)),"N.S.")</f>
        <v>N.S.</v>
      </c>
      <c r="AR47" s="1" t="str">
        <f ca="1">IF(AND(ESF[[#This Row],[cd,b,pil (kN/cm²)]]&lt;=ESF[[#This Row],[cd,b,lim (kN/cm²)]],ESF[[#This Row],[cd,b,est (kN/cm²)]]&lt;=ESF[[#This Row],[cd,b,lim (kN/cm²)]]),"OK","ERRO")</f>
        <v>OK</v>
      </c>
      <c r="AS47" s="4" t="e">
        <f ca="1">As_lado(ESF[[#This Row],[nE]],ESF[[#This Row],[Nsd (kN)]],ESF[[#This Row],[d (cm)]],ESF[[#This Row],[e (cm)]],ESF[[#This Row],[ap,eq (cm)]])</f>
        <v>#VALUE!</v>
      </c>
      <c r="AT47" s="4" t="e">
        <f ca="1">IF(ESF[[#This Row],[nE]]=1,ESF[[#This Row],[As,lado (cm²)]],IF(ESF[[#This Row],[nE]]=2,0.075*2*ESF[a (cm)],"N.A."))</f>
        <v>#DIV/0!</v>
      </c>
      <c r="AU47" s="4" t="str">
        <f ca="1">IFERROR(IF(ESF[[#This Row],[nE]]=1,"N.A.",0.2*ESF[[#This Row],[As,lado (cm²)]]),"N.S.")</f>
        <v>N.S.</v>
      </c>
      <c r="AV47" s="4" t="e">
        <f ca="1">As_malha(ESF[[#This Row],[nE]],ESF[[#This Row],[As,lado (cm²)]],ESF[[#This Row],[Nsd (kN)]])</f>
        <v>#VALUE!</v>
      </c>
      <c r="AW47" s="4" t="e">
        <f ca="1">As_susp_tot(ESF[[#This Row],[nE]],ESF[[#This Row],[Nsd (kN)]])</f>
        <v>#VALUE!</v>
      </c>
      <c r="AX47" s="4" t="e">
        <f ca="1">Asp_face(ESF[[#This Row],[nE]],ESF[[#This Row],[As,lado (cm²)]])</f>
        <v>#VALUE!</v>
      </c>
      <c r="AY47" s="5" t="e">
        <f ca="1">acoBloco(ESF[[#This Row],[nE]],ESF[[#This Row],[e (cm)]],ESF[[#This Row],[a (cm)]],ESF[[#This Row],[h (cm)]],ESF[[#This Row],[As,lado (cm²)]],ESF[[#This Row],[Asp e Asw (cm²/m)]],ESF[[#This Row],[As,sup (cm²)]],ESF[[#This Row],[As,malha (cm²)]],ESF[[#This Row],[As,susp,tot (cm²)]],ESF[[#This Row],[Asp,face (cm²)]])</f>
        <v>#VALUE!</v>
      </c>
      <c r="AZ47" s="4" t="e">
        <f ca="1">concretoBloco(ESF[[#This Row],[nE]],ESF[[#This Row],[e (cm)]],ESF[[#This Row],[a (cm)]],ESF[[#This Row],[h (cm)]])</f>
        <v>#VALUE!</v>
      </c>
      <c r="BA47" s="5" t="e">
        <f ca="1">SUM(ESF[[#This Row],[Aço Est (kg)]],ESF[[#This Row],[Aço Bloco (kg)]])</f>
        <v>#DIV/0!</v>
      </c>
      <c r="BB47" s="4">
        <f>INDEX(composicoes[],MATCH(95580,composicoes[CÓDIGO],0),MATCH("CUSTO TOTAL",composicoes[#Headers],0))</f>
        <v>10.46</v>
      </c>
      <c r="BC47" s="4" t="e">
        <f ca="1">SUM(ESF[[#This Row],[Conc Est (m³)]],ESF[[#This Row],[Conc Bloco (m³)]])</f>
        <v>#DIV/0!</v>
      </c>
      <c r="BD47" s="4">
        <f>INDEX(composicoes[],MATCH(94966,composicoes[CÓDIGO],0),MATCH("CUSTO TOTAL",composicoes[#Headers],0))</f>
        <v>439.52</v>
      </c>
      <c r="BE47" s="38" t="e">
        <f ca="1">ESF[[#This Row],[Aço (kg)]]*ESF[[#This Row],[Aço (R$/kg)]]+ESF[[#This Row],[Conc (m³)]]*ESF[[#This Row],[Conc (R$/m³)]]</f>
        <v>#DIV/0!</v>
      </c>
      <c r="BF47" s="4" t="str">
        <f ca="1">IF(COUNTIF(ESF[#This Row],"N.S.")&gt;0,"lim.","OK")</f>
        <v>lim.</v>
      </c>
      <c r="BG47" s="4" t="str">
        <f>IF(ESF[[#This Row],[Prof. (m)]]&lt;3,"lim.","OK")</f>
        <v>lim.</v>
      </c>
      <c r="BH47" s="4" t="str">
        <f>IF(ESF[[#This Row],[Prof. (m)]]&gt;=8*ESF[[#This Row],[Ø (cm)]]/100,"OK","lim.")</f>
        <v>lim.</v>
      </c>
      <c r="BI47" s="4" t="str">
        <f>IF(AND(SPT!$F$3&lt;&gt;"",ESF[[#This Row],[Prof. (m)]]&gt;=SPT!$F$3),"lim.","OK")</f>
        <v>OK</v>
      </c>
      <c r="BJ47" s="4" t="str">
        <f>IF(COUNTIFS(ESF[Solo],"Areia",ESF[Prof. (m)],"&lt;="&amp;ESF[[#This Row],[Prof. (m)]])&gt;=1,"lim.","OK")</f>
        <v>OK</v>
      </c>
      <c r="BK47" s="4" t="str">
        <f ca="1">IF(ESF[[#This Row],[Verif. Biela]]="OK","OK","lim.")</f>
        <v>OK</v>
      </c>
      <c r="BL47" s="4" t="str">
        <f ca="1">IF(COUNTA(ESF[[#This Row],[Nº Est.]:[Biela comp.]])=COUNTIF(ESF[[#This Row],[Nº Est.]:[Biela comp.]],"OK"),"OK","lim.")</f>
        <v>lim.</v>
      </c>
      <c r="BM47" s="4" t="str">
        <f ca="1">IF(ESF[[#This Row],[Controle]]="OK",ESF[[#This Row],[nE]]&amp;" Ø"&amp;ESF[[#This Row],[Ø (cm)]]&amp;"cm Prof. "&amp;ESF[[#This Row],[Prof. (m)]]&amp;" m","")</f>
        <v/>
      </c>
      <c r="BN47" s="4" t="str">
        <f ca="1">IF(ESF[[#This Row],[idDimensionamento]]="","",ESF[[#This Row],[idPilar]]&amp;ESF[[#This Row],[idDimensionamento]])</f>
        <v/>
      </c>
    </row>
    <row r="48" spans="2:66" x14ac:dyDescent="0.25">
      <c r="B48" s="12">
        <f>ROUNDUP((ROW(ESF[[#This Row],[idDiâmetro]])-ROW(ESF[[#Headers],[idDiâmetro]]))/(COUNT(SPT[Prof. (m)])*COUNT(PILARES[Pilar])),0)</f>
        <v>2</v>
      </c>
      <c r="C48" s="12">
        <f>IF(ESF[[#This Row],[idDiâmetro]]&lt;&gt;B47,1,IF(ESF[[#This Row],[Prof. (m)]]=0,C47+1,C47))</f>
        <v>2</v>
      </c>
      <c r="D48" s="1">
        <f>IFERROR(IF(D47=MAX(SPT[Prof. (m)]),0,D47+1),0)</f>
        <v>1</v>
      </c>
      <c r="E48" s="1">
        <f>INDEX(SPT[],MATCH(ESF[[#This Row],[Prof. (m)]],SPT[Prof. (m)],0),2)</f>
        <v>2</v>
      </c>
      <c r="F48" s="1" t="str">
        <f>INDEX(SPT[],MATCH(ESF[[#This Row],[Prof. (m)]],SPT[Prof. (m)],0),3)</f>
        <v>Areia siltosa</v>
      </c>
      <c r="G48" s="1">
        <f>INDEX(estacas[],ESF[[#This Row],[idDiâmetro]],MATCH($B$2,estacas[#Headers],0))</f>
        <v>30</v>
      </c>
      <c r="H48" s="1">
        <f>INDEX(estacas[],MATCH(ESF[[#This Row],[Ø (cm)]],estacas[Ø ESF (cm)],0),MATCH(ESF[[#Headers],[Pe ESF (kN)]],estacas[#Headers],0))</f>
        <v>360</v>
      </c>
      <c r="I48" s="4">
        <f>INDEX(K_alpha_C[],MATCH(ESF[[#This Row],[Solo]],K_alpha_C[Solo],0),2)</f>
        <v>0.8</v>
      </c>
      <c r="J48" s="5">
        <f>INDEX(K_alpha_C[],MATCH(ESF[[#This Row],[Solo]],K_alpha_C[Solo],0),3)</f>
        <v>2</v>
      </c>
      <c r="K48" s="4">
        <f>INDEX(F1_F2[],MATCH($D$2,F1_F2[Tipo de estaca],0),2)</f>
        <v>3</v>
      </c>
      <c r="L48" s="4">
        <f>INDEX(F1_F2[],MATCH($D$2,F1_F2[Tipo de estaca],0),3)</f>
        <v>6</v>
      </c>
      <c r="M48" s="4">
        <f>PI()*(ESF[[#This Row],[Ø (cm)]]/100)^2/4</f>
        <v>7.0685834705770348E-2</v>
      </c>
      <c r="N48" s="4">
        <f>PI()*ESF[[#This Row],[Ø (cm)]]/100</f>
        <v>0.94247779607693782</v>
      </c>
      <c r="O48" s="4">
        <f>IF(ESF[[#This Row],[Prof. (m)]]=0,0,ESF[[#This Row],[α (%)]]/100*ESF[[#This Row],[K (MPa)]]*1000*ESF[[#This Row],[NSPT]])</f>
        <v>32</v>
      </c>
      <c r="P48" s="4">
        <f>IF(ESF[[#This Row],[Prof. (m)]]=0,0,(ESF[[#This Row],[K (MPa)]]*1000*ESF[[#This Row],[NSPT]]/ESF[[#This Row],[F1]]*ESF[[#This Row],[Ap (m²)]]+ESF[[#This Row],[U (m)]]/ESF[[#This Row],[F2]]*SUMIFS(ESF[(α∙K∙NL∙ΔL)],ESF[Prof. (m)],"&lt;="&amp;ESF[[#This Row],[Prof. (m)]],ESF[idDiâmetro],ESF[[#This Row],[idDiâmetro]],ESF[idPilar],ESF[[#This Row],[idPilar]]))/'DADOS CAP. CARGA'!$D$2)</f>
        <v>21.362830044410597</v>
      </c>
      <c r="Q48" s="12">
        <f>INDEX(C_alpha_beta[],MATCH(ESF[[#This Row],[Solo]],C_alpha_beta[Solo],0),MATCH(ESF[[#Headers],[C (kPa)]],C_alpha_beta[#Headers],0))</f>
        <v>400</v>
      </c>
      <c r="R48" s="4">
        <f>INDEX(C_alpha_beta[],MATCH(ESF[[#This Row],[Solo]],C_alpha_beta[Solo],0),MATCH(ESF[[#Headers],[α ESF]],C_alpha_beta[#Headers],0))</f>
        <v>0.5</v>
      </c>
      <c r="S48" s="4">
        <f>INDEX(C_alpha_beta[],MATCH(ESF[[#This Row],[Solo]],C_alpha_beta[Solo],0),MATCH(ESF[[#Headers],[β ESF]],C_alpha_beta[#Headers],0))</f>
        <v>0.5</v>
      </c>
      <c r="T48" s="4">
        <f>IF(ESF[[#This Row],[Prof. (m)]]=0,0,10*(ESF[[#This Row],[NSPT]]/3+1))</f>
        <v>16.666666666666664</v>
      </c>
      <c r="U48" s="4">
        <f>(ESF[[#This Row],[α ESF]]*ESF[[#This Row],[C (kPa)]]*ESF[[#This Row],[NSPT]]*ESF[[#This Row],[Ap (m²)]])/'DADOS CAP. CARGA'!$Q$2+(ESF[[#This Row],[β ESF]]*SUMIFS(ESF[10∙(NL/3+1)],ESF[Prof. (m)],"&lt;="&amp;ESF[[#This Row],[Prof. (m)]],ESF[idDiâmetro],ESF[[#This Row],[idDiâmetro]],ESF[idPilar],ESF[[#This Row],[idPilar]])*ESF[[#This Row],[U (m)]])/'DADOS CAP. CARGA'!$S$2</f>
        <v>10.995574287564274</v>
      </c>
      <c r="V48" s="4">
        <f>IF(SPT!$M$5=1,MIN(ESF[[#This Row],[Pe ESF (kN)]],ESF[[#This Row],[R_AV (kN)]]),IF(SPT!$M$5=2,MIN(ESF[[#This Row],[Pe ESF (kN)]],ESF[[#This Row],[R_DC (kN)]]),MIN(ESF[[#This Row],[Pe ESF (kN)]],ESF[[#This Row],[R_AV (kN)]],ESF[[#This Row],[R_DC (kN)]])))</f>
        <v>10.995574287564274</v>
      </c>
      <c r="W48" s="4">
        <f>INDEX(PILARES[],ESF[[#This Row],[idPilar]],MATCH("Carga (kN)",PILARES[#Headers],0))*1.4</f>
        <v>1750</v>
      </c>
      <c r="X48" s="12">
        <f>INDEX(PILARES[],ESF[[#This Row],[idPilar]],MATCH(ESF[[#Headers],[ap (cm)]],PILARES[#Headers],0))</f>
        <v>50</v>
      </c>
      <c r="Y48" s="12">
        <f>INDEX(PILARES[],ESF[[#This Row],[idPilar]],MATCH(ESF[[#Headers],[bp (cm)]],PILARES[#Headers],0))</f>
        <v>40</v>
      </c>
      <c r="Z48" s="4">
        <f>SQRT(ESF[[#This Row],[ap (cm)]]*ESF[[#This Row],[bp (cm)]])</f>
        <v>44.721359549995796</v>
      </c>
      <c r="AA48" s="12">
        <f>ESF[[#This Row],[ap (cm)]]*ESF[[#This Row],[bp (cm)]]</f>
        <v>2000</v>
      </c>
      <c r="AB48" s="12">
        <f ca="1">IF(ESF[[#This Row],[Padm∙ε (kN)]]&gt;=ESF[[#This Row],[Padm (kN)]],ROUNDUP(1.05*ESF[[#This Row],[Nsd (kN)]]/ESF[[#This Row],[Padm (kN)]],0),ROUNDUP(1.05*ESF[[#This Row],[Nsd (kN)]]/ESF[[#This Row],[Padm (kN)]],0)+1)</f>
        <v>168</v>
      </c>
      <c r="AC48" s="4" t="str">
        <f ca="1">IFERROR(IF(ESF[[#This Row],[nE]]=1,ESF[[#This Row],[Padm (kN)]],ESF[[#This Row],[Padm (kN)]]*ESF[[#This Row],[nE]]*INDEX(grupoEstacas[],ESF[[#This Row],[nE]],MATCH("ε",grupoEstacas[#Headers],0))),"N.S.")</f>
        <v>N.S.</v>
      </c>
      <c r="AD48" s="4">
        <f ca="1">1.05*ESF[[#This Row],[Nsd (kN)]]/(ESF[[#This Row],[nE]]*PI()*ESF[[#This Row],[Ø (cm)]]^2/4)*10</f>
        <v>0.15473397245045378</v>
      </c>
      <c r="AE48" s="4">
        <f ca="1">IF(ESF[[#This Row],[σ (MPa)]]&lt;INDEX(tipoEstaca[],MATCH($D$2,tipoEstaca[TIPO DE ESTACA],0),MATCH("σmáx (MPa)",tipoEstaca[#Headers],0)),0.4%*PI()*ESF[[#This Row],[Ø (cm)]]^2/4,"N.S.")</f>
        <v>2.8274333882308138</v>
      </c>
      <c r="AF48" s="1">
        <f>INDEX(tipoEstaca[],MATCH($D$2,tipoEstaca[TIPO DE ESTACA],0),MATCH(ESF[[#Headers],[Comprimento (m)]],tipoEstaca[#Headers],0))</f>
        <v>2</v>
      </c>
      <c r="AG48" s="5">
        <f ca="1">ESF[[#This Row],[As,mín (cm²)]]/100^2*ESF[[#This Row],[Comprimento (m)]]*7850</f>
        <v>4.4390704195223778</v>
      </c>
      <c r="AH48" s="4">
        <f ca="1">ESF[[#This Row],[nE]]*ESF[[#This Row],[Prof. (m)]]*ESF[[#This Row],[Ap (m²)]]</f>
        <v>11.875220230569418</v>
      </c>
      <c r="AI48" s="1">
        <f ca="1">IF(ESF[[#This Row],[nE]]=1,0,MAX(3*ESF[[#This Row],[Ø (cm)]],60))</f>
        <v>90</v>
      </c>
      <c r="AJ48" s="1">
        <f ca="1">IF(ESF[[#This Row],[nE]]=1,ESF[[#This Row],[Ø (cm)]]+2*10,MAX(1.5*ESF[[#This Row],[Ø (cm)]],ESF[[#This Row],[Ø (cm)]]+15))</f>
        <v>45</v>
      </c>
      <c r="AK48" s="1" t="str">
        <f ca="1">alturaUtil(ESF[[#This Row],[nE]],ESF[[#This Row],[Ø (cm)]],ESF[[#This Row],[e (cm)]],ESF[[#This Row],[ap,eq (cm)]])</f>
        <v>N.S.</v>
      </c>
      <c r="AL48" s="1" t="str">
        <f ca="1">IFERROR(ESF[[#This Row],[d (cm)]]+arredondarParaCimaMultiplo5cm(MAX(5,SQRT(PI())/2*ESF[[#This Row],[Ø (cm)]]/5)),"N.S.")</f>
        <v>N.S.</v>
      </c>
      <c r="AM48" s="5" t="str">
        <f ca="1">alpha(ESF[[#This Row],[nE]],ESF[[#This Row],[d (cm)]],ESF[[#This Row],[e (cm)]],ESF[[#This Row],[ap,eq (cm)]])</f>
        <v>N.S.</v>
      </c>
      <c r="AN48" s="35" t="str">
        <f ca="1">IFERROR(ESF[[#This Row],[Nsd (kN)]]/(ESF[[#This Row],[Ap (cm²)]]*SIN(ESF[[#This Row],[α]])^2),"N.S.")</f>
        <v>N.S.</v>
      </c>
      <c r="AO48" s="35" t="str">
        <f ca="1">IFERROR(ESF[[#This Row],[Nsd (kN)]]/(ESF[[#This Row],[nE]]*PI()*ESF[[#This Row],[Ø (cm)]]^2/4*SIN(ESF[[#This Row],[α]])^2),"N.S.")</f>
        <v>N.S.</v>
      </c>
      <c r="AP48" s="4" t="str">
        <f ca="1">IFERROR(INDEX(grupoEstacas[],ESF[[#This Row],[nE]],MATCH("coef. Blévot",grupoEstacas[#Headers],0)),"N.S.")</f>
        <v>N.S.</v>
      </c>
      <c r="AQ48" s="35" t="str">
        <f ca="1">IFERROR(ESF[[#This Row],[coef. Blévot]]*0.9*INDEX(tipoEstaca[],MATCH($D$2,tipoEstaca[TIPO DE ESTACA],0),MATCH("fcd (kN/cm²)",tipoEstaca[#Headers],0)),"N.S.")</f>
        <v>N.S.</v>
      </c>
      <c r="AR48" s="1" t="str">
        <f ca="1">IF(AND(ESF[[#This Row],[cd,b,pil (kN/cm²)]]&lt;=ESF[[#This Row],[cd,b,lim (kN/cm²)]],ESF[[#This Row],[cd,b,est (kN/cm²)]]&lt;=ESF[[#This Row],[cd,b,lim (kN/cm²)]]),"OK","ERRO")</f>
        <v>OK</v>
      </c>
      <c r="AS48" s="4" t="str">
        <f ca="1">As_lado(ESF[[#This Row],[nE]],ESF[[#This Row],[Nsd (kN)]],ESF[[#This Row],[d (cm)]],ESF[[#This Row],[e (cm)]],ESF[[#This Row],[ap,eq (cm)]])</f>
        <v>N.S.</v>
      </c>
      <c r="AT48" s="4" t="str">
        <f ca="1">IF(ESF[[#This Row],[nE]]=1,ESF[[#This Row],[As,lado (cm²)]],IF(ESF[[#This Row],[nE]]=2,0.075*2*ESF[a (cm)],"N.A."))</f>
        <v>N.A.</v>
      </c>
      <c r="AU48" s="4" t="str">
        <f ca="1">IFERROR(IF(ESF[[#This Row],[nE]]=1,"N.A.",0.2*ESF[[#This Row],[As,lado (cm²)]]),"N.S.")</f>
        <v>N.S.</v>
      </c>
      <c r="AV48" s="4" t="str">
        <f ca="1">As_malha(ESF[[#This Row],[nE]],ESF[[#This Row],[As,lado (cm²)]],ESF[[#This Row],[Nsd (kN)]])</f>
        <v>N.S.</v>
      </c>
      <c r="AW48" s="4" t="str">
        <f ca="1">As_susp_tot(ESF[[#This Row],[nE]],ESF[[#This Row],[Nsd (kN)]])</f>
        <v>N.S.</v>
      </c>
      <c r="AX48" s="4" t="str">
        <f ca="1">Asp_face(ESF[[#This Row],[nE]],ESF[[#This Row],[As,lado (cm²)]])</f>
        <v>N.S.</v>
      </c>
      <c r="AY48" s="5" t="str">
        <f ca="1">acoBloco(ESF[[#This Row],[nE]],ESF[[#This Row],[e (cm)]],ESF[[#This Row],[a (cm)]],ESF[[#This Row],[h (cm)]],ESF[[#This Row],[As,lado (cm²)]],ESF[[#This Row],[Asp e Asw (cm²/m)]],ESF[[#This Row],[As,sup (cm²)]],ESF[[#This Row],[As,malha (cm²)]],ESF[[#This Row],[As,susp,tot (cm²)]],ESF[[#This Row],[Asp,face (cm²)]])</f>
        <v>N.S.</v>
      </c>
      <c r="AZ48" s="4" t="str">
        <f ca="1">concretoBloco(ESF[[#This Row],[nE]],ESF[[#This Row],[e (cm)]],ESF[[#This Row],[a (cm)]],ESF[[#This Row],[h (cm)]])</f>
        <v>N.S.</v>
      </c>
      <c r="BA48" s="5">
        <f ca="1">SUM(ESF[[#This Row],[Aço Est (kg)]],ESF[[#This Row],[Aço Bloco (kg)]])</f>
        <v>4.4390704195223778</v>
      </c>
      <c r="BB48" s="4">
        <f>INDEX(composicoes[],MATCH(95580,composicoes[CÓDIGO],0),MATCH("CUSTO TOTAL",composicoes[#Headers],0))</f>
        <v>10.46</v>
      </c>
      <c r="BC48" s="4">
        <f ca="1">SUM(ESF[[#This Row],[Conc Est (m³)]],ESF[[#This Row],[Conc Bloco (m³)]])</f>
        <v>11.875220230569418</v>
      </c>
      <c r="BD48" s="4">
        <f>INDEX(composicoes[],MATCH(94966,composicoes[CÓDIGO],0),MATCH("CUSTO TOTAL",composicoes[#Headers],0))</f>
        <v>439.52</v>
      </c>
      <c r="BE48" s="38">
        <f ca="1">ESF[[#This Row],[Aço (kg)]]*ESF[[#This Row],[Aço (R$/kg)]]+ESF[[#This Row],[Conc (m³)]]*ESF[[#This Row],[Conc (R$/m³)]]</f>
        <v>5265.8294723280751</v>
      </c>
      <c r="BF48" s="4" t="str">
        <f ca="1">IF(COUNTIF(ESF[#This Row],"N.S.")&gt;0,"lim.","OK")</f>
        <v>lim.</v>
      </c>
      <c r="BG48" s="4" t="str">
        <f>IF(ESF[[#This Row],[Prof. (m)]]&lt;3,"lim.","OK")</f>
        <v>lim.</v>
      </c>
      <c r="BH48" s="4" t="str">
        <f>IF(ESF[[#This Row],[Prof. (m)]]&gt;=8*ESF[[#This Row],[Ø (cm)]]/100,"OK","lim.")</f>
        <v>lim.</v>
      </c>
      <c r="BI48" s="4" t="str">
        <f>IF(AND(SPT!$F$3&lt;&gt;"",ESF[[#This Row],[Prof. (m)]]&gt;=SPT!$F$3),"lim.","OK")</f>
        <v>OK</v>
      </c>
      <c r="BJ48" s="4" t="str">
        <f>IF(COUNTIFS(ESF[Solo],"Areia",ESF[Prof. (m)],"&lt;="&amp;ESF[[#This Row],[Prof. (m)]])&gt;=1,"lim.","OK")</f>
        <v>OK</v>
      </c>
      <c r="BK48" s="4" t="str">
        <f ca="1">IF(ESF[[#This Row],[Verif. Biela]]="OK","OK","lim.")</f>
        <v>OK</v>
      </c>
      <c r="BL48" s="4" t="str">
        <f ca="1">IF(COUNTA(ESF[[#This Row],[Nº Est.]:[Biela comp.]])=COUNTIF(ESF[[#This Row],[Nº Est.]:[Biela comp.]],"OK"),"OK","lim.")</f>
        <v>lim.</v>
      </c>
      <c r="BM48" s="4" t="str">
        <f ca="1">IF(ESF[[#This Row],[Controle]]="OK",ESF[[#This Row],[nE]]&amp;" Ø"&amp;ESF[[#This Row],[Ø (cm)]]&amp;"cm Prof. "&amp;ESF[[#This Row],[Prof. (m)]]&amp;" m","")</f>
        <v/>
      </c>
      <c r="BN48" s="4" t="str">
        <f ca="1">IF(ESF[[#This Row],[idDimensionamento]]="","",ESF[[#This Row],[idPilar]]&amp;ESF[[#This Row],[idDimensionamento]])</f>
        <v/>
      </c>
    </row>
    <row r="49" spans="2:66" x14ac:dyDescent="0.25">
      <c r="B49" s="12">
        <f>ROUNDUP((ROW(ESF[[#This Row],[idDiâmetro]])-ROW(ESF[[#Headers],[idDiâmetro]]))/(COUNT(SPT[Prof. (m)])*COUNT(PILARES[Pilar])),0)</f>
        <v>2</v>
      </c>
      <c r="C49" s="12">
        <f>IF(ESF[[#This Row],[idDiâmetro]]&lt;&gt;B48,1,IF(ESF[[#This Row],[Prof. (m)]]=0,C48+1,C48))</f>
        <v>2</v>
      </c>
      <c r="D49" s="1">
        <f>IFERROR(IF(D48=MAX(SPT[Prof. (m)]),0,D48+1),0)</f>
        <v>2</v>
      </c>
      <c r="E49" s="1">
        <f>INDEX(SPT[],MATCH(ESF[[#This Row],[Prof. (m)]],SPT[Prof. (m)],0),2)</f>
        <v>2</v>
      </c>
      <c r="F49" s="1" t="str">
        <f>INDEX(SPT[],MATCH(ESF[[#This Row],[Prof. (m)]],SPT[Prof. (m)],0),3)</f>
        <v>Areia siltosa</v>
      </c>
      <c r="G49" s="1">
        <f>INDEX(estacas[],ESF[[#This Row],[idDiâmetro]],MATCH($B$2,estacas[#Headers],0))</f>
        <v>30</v>
      </c>
      <c r="H49" s="1">
        <f>INDEX(estacas[],MATCH(ESF[[#This Row],[Ø (cm)]],estacas[Ø ESF (cm)],0),MATCH(ESF[[#Headers],[Pe ESF (kN)]],estacas[#Headers],0))</f>
        <v>360</v>
      </c>
      <c r="I49" s="4">
        <f>INDEX(K_alpha_C[],MATCH(ESF[[#This Row],[Solo]],K_alpha_C[Solo],0),2)</f>
        <v>0.8</v>
      </c>
      <c r="J49" s="5">
        <f>INDEX(K_alpha_C[],MATCH(ESF[[#This Row],[Solo]],K_alpha_C[Solo],0),3)</f>
        <v>2</v>
      </c>
      <c r="K49" s="4">
        <f>INDEX(F1_F2[],MATCH($D$2,F1_F2[Tipo de estaca],0),2)</f>
        <v>3</v>
      </c>
      <c r="L49" s="4">
        <f>INDEX(F1_F2[],MATCH($D$2,F1_F2[Tipo de estaca],0),3)</f>
        <v>6</v>
      </c>
      <c r="M49" s="4">
        <f>PI()*(ESF[[#This Row],[Ø (cm)]]/100)^2/4</f>
        <v>7.0685834705770348E-2</v>
      </c>
      <c r="N49" s="4">
        <f>PI()*ESF[[#This Row],[Ø (cm)]]/100</f>
        <v>0.94247779607693782</v>
      </c>
      <c r="O49" s="4">
        <f>IF(ESF[[#This Row],[Prof. (m)]]=0,0,ESF[[#This Row],[α (%)]]/100*ESF[[#This Row],[K (MPa)]]*1000*ESF[[#This Row],[NSPT]])</f>
        <v>32</v>
      </c>
      <c r="P49" s="4">
        <f>IF(ESF[[#This Row],[Prof. (m)]]=0,0,(ESF[[#This Row],[K (MPa)]]*1000*ESF[[#This Row],[NSPT]]/ESF[[#This Row],[F1]]*ESF[[#This Row],[Ap (m²)]]+ESF[[#This Row],[U (m)]]/ESF[[#This Row],[F2]]*SUMIFS(ESF[(α∙K∙NL∙ΔL)],ESF[Prof. (m)],"&lt;="&amp;ESF[[#This Row],[Prof. (m)]],ESF[idDiâmetro],ESF[[#This Row],[idDiâmetro]],ESF[idPilar],ESF[[#This Row],[idPilar]]))/'DADOS CAP. CARGA'!$D$2)</f>
        <v>23.876104167282431</v>
      </c>
      <c r="Q49" s="12">
        <f>INDEX(C_alpha_beta[],MATCH(ESF[[#This Row],[Solo]],C_alpha_beta[Solo],0),MATCH(ESF[[#Headers],[C (kPa)]],C_alpha_beta[#Headers],0))</f>
        <v>400</v>
      </c>
      <c r="R49" s="4">
        <f>INDEX(C_alpha_beta[],MATCH(ESF[[#This Row],[Solo]],C_alpha_beta[Solo],0),MATCH(ESF[[#Headers],[α ESF]],C_alpha_beta[#Headers],0))</f>
        <v>0.5</v>
      </c>
      <c r="S49" s="4">
        <f>INDEX(C_alpha_beta[],MATCH(ESF[[#This Row],[Solo]],C_alpha_beta[Solo],0),MATCH(ESF[[#Headers],[β ESF]],C_alpha_beta[#Headers],0))</f>
        <v>0.5</v>
      </c>
      <c r="T49" s="4">
        <f>IF(ESF[[#This Row],[Prof. (m)]]=0,0,10*(ESF[[#This Row],[NSPT]]/3+1))</f>
        <v>16.666666666666664</v>
      </c>
      <c r="U49" s="4">
        <f>(ESF[[#This Row],[α ESF]]*ESF[[#This Row],[C (kPa)]]*ESF[[#This Row],[NSPT]]*ESF[[#This Row],[Ap (m²)]])/'DADOS CAP. CARGA'!$Q$2+(ESF[[#This Row],[β ESF]]*SUMIFS(ESF[10∙(NL/3+1)],ESF[Prof. (m)],"&lt;="&amp;ESF[[#This Row],[Prof. (m)]],ESF[idDiâmetro],ESF[[#This Row],[idDiâmetro]],ESF[idPilar],ESF[[#This Row],[idPilar]])*ESF[[#This Row],[U (m)]])/'DADOS CAP. CARGA'!$S$2</f>
        <v>14.922565104551516</v>
      </c>
      <c r="V49" s="4">
        <f>IF(SPT!$M$5=1,MIN(ESF[[#This Row],[Pe ESF (kN)]],ESF[[#This Row],[R_AV (kN)]]),IF(SPT!$M$5=2,MIN(ESF[[#This Row],[Pe ESF (kN)]],ESF[[#This Row],[R_DC (kN)]]),MIN(ESF[[#This Row],[Pe ESF (kN)]],ESF[[#This Row],[R_AV (kN)]],ESF[[#This Row],[R_DC (kN)]])))</f>
        <v>14.922565104551516</v>
      </c>
      <c r="W49" s="4">
        <f>INDEX(PILARES[],ESF[[#This Row],[idPilar]],MATCH("Carga (kN)",PILARES[#Headers],0))*1.4</f>
        <v>1750</v>
      </c>
      <c r="X49" s="12">
        <f>INDEX(PILARES[],ESF[[#This Row],[idPilar]],MATCH(ESF[[#Headers],[ap (cm)]],PILARES[#Headers],0))</f>
        <v>50</v>
      </c>
      <c r="Y49" s="12">
        <f>INDEX(PILARES[],ESF[[#This Row],[idPilar]],MATCH(ESF[[#Headers],[bp (cm)]],PILARES[#Headers],0))</f>
        <v>40</v>
      </c>
      <c r="Z49" s="4">
        <f>SQRT(ESF[[#This Row],[ap (cm)]]*ESF[[#This Row],[bp (cm)]])</f>
        <v>44.721359549995796</v>
      </c>
      <c r="AA49" s="12">
        <f>ESF[[#This Row],[ap (cm)]]*ESF[[#This Row],[bp (cm)]]</f>
        <v>2000</v>
      </c>
      <c r="AB49" s="12">
        <f ca="1">IF(ESF[[#This Row],[Padm∙ε (kN)]]&gt;=ESF[[#This Row],[Padm (kN)]],ROUNDUP(1.05*ESF[[#This Row],[Nsd (kN)]]/ESF[[#This Row],[Padm (kN)]],0),ROUNDUP(1.05*ESF[[#This Row],[Nsd (kN)]]/ESF[[#This Row],[Padm (kN)]],0)+1)</f>
        <v>124</v>
      </c>
      <c r="AC49" s="4" t="str">
        <f ca="1">IFERROR(IF(ESF[[#This Row],[nE]]=1,ESF[[#This Row],[Padm (kN)]],ESF[[#This Row],[Padm (kN)]]*ESF[[#This Row],[nE]]*INDEX(grupoEstacas[],ESF[[#This Row],[nE]],MATCH("ε",grupoEstacas[#Headers],0))),"N.S.")</f>
        <v>N.S.</v>
      </c>
      <c r="AD49" s="4">
        <f ca="1">1.05*ESF[[#This Row],[Nsd (kN)]]/(ESF[[#This Row],[nE]]*PI()*ESF[[#This Row],[Ø (cm)]]^2/4)*10</f>
        <v>0.2096395755780342</v>
      </c>
      <c r="AE49" s="4">
        <f ca="1">IF(ESF[[#This Row],[σ (MPa)]]&lt;INDEX(tipoEstaca[],MATCH($D$2,tipoEstaca[TIPO DE ESTACA],0),MATCH("σmáx (MPa)",tipoEstaca[#Headers],0)),0.4%*PI()*ESF[[#This Row],[Ø (cm)]]^2/4,"N.S.")</f>
        <v>2.8274333882308138</v>
      </c>
      <c r="AF49" s="1">
        <f>INDEX(tipoEstaca[],MATCH($D$2,tipoEstaca[TIPO DE ESTACA],0),MATCH(ESF[[#Headers],[Comprimento (m)]],tipoEstaca[#Headers],0))</f>
        <v>2</v>
      </c>
      <c r="AG49" s="5">
        <f ca="1">ESF[[#This Row],[As,mín (cm²)]]/100^2*ESF[[#This Row],[Comprimento (m)]]*7850</f>
        <v>4.4390704195223778</v>
      </c>
      <c r="AH49" s="4">
        <f ca="1">ESF[[#This Row],[nE]]*ESF[[#This Row],[Prof. (m)]]*ESF[[#This Row],[Ap (m²)]]</f>
        <v>17.530087007031046</v>
      </c>
      <c r="AI49" s="1">
        <f ca="1">IF(ESF[[#This Row],[nE]]=1,0,MAX(3*ESF[[#This Row],[Ø (cm)]],60))</f>
        <v>90</v>
      </c>
      <c r="AJ49" s="1">
        <f ca="1">IF(ESF[[#This Row],[nE]]=1,ESF[[#This Row],[Ø (cm)]]+2*10,MAX(1.5*ESF[[#This Row],[Ø (cm)]],ESF[[#This Row],[Ø (cm)]]+15))</f>
        <v>45</v>
      </c>
      <c r="AK49" s="1" t="str">
        <f ca="1">alturaUtil(ESF[[#This Row],[nE]],ESF[[#This Row],[Ø (cm)]],ESF[[#This Row],[e (cm)]],ESF[[#This Row],[ap,eq (cm)]])</f>
        <v>N.S.</v>
      </c>
      <c r="AL49" s="1" t="str">
        <f ca="1">IFERROR(ESF[[#This Row],[d (cm)]]+arredondarParaCimaMultiplo5cm(MAX(5,SQRT(PI())/2*ESF[[#This Row],[Ø (cm)]]/5)),"N.S.")</f>
        <v>N.S.</v>
      </c>
      <c r="AM49" s="5" t="str">
        <f ca="1">alpha(ESF[[#This Row],[nE]],ESF[[#This Row],[d (cm)]],ESF[[#This Row],[e (cm)]],ESF[[#This Row],[ap,eq (cm)]])</f>
        <v>N.S.</v>
      </c>
      <c r="AN49" s="35" t="str">
        <f ca="1">IFERROR(ESF[[#This Row],[Nsd (kN)]]/(ESF[[#This Row],[Ap (cm²)]]*SIN(ESF[[#This Row],[α]])^2),"N.S.")</f>
        <v>N.S.</v>
      </c>
      <c r="AO49" s="35" t="str">
        <f ca="1">IFERROR(ESF[[#This Row],[Nsd (kN)]]/(ESF[[#This Row],[nE]]*PI()*ESF[[#This Row],[Ø (cm)]]^2/4*SIN(ESF[[#This Row],[α]])^2),"N.S.")</f>
        <v>N.S.</v>
      </c>
      <c r="AP49" s="4" t="str">
        <f ca="1">IFERROR(INDEX(grupoEstacas[],ESF[[#This Row],[nE]],MATCH("coef. Blévot",grupoEstacas[#Headers],0)),"N.S.")</f>
        <v>N.S.</v>
      </c>
      <c r="AQ49" s="35" t="str">
        <f ca="1">IFERROR(ESF[[#This Row],[coef. Blévot]]*0.9*INDEX(tipoEstaca[],MATCH($D$2,tipoEstaca[TIPO DE ESTACA],0),MATCH("fcd (kN/cm²)",tipoEstaca[#Headers],0)),"N.S.")</f>
        <v>N.S.</v>
      </c>
      <c r="AR49" s="1" t="str">
        <f ca="1">IF(AND(ESF[[#This Row],[cd,b,pil (kN/cm²)]]&lt;=ESF[[#This Row],[cd,b,lim (kN/cm²)]],ESF[[#This Row],[cd,b,est (kN/cm²)]]&lt;=ESF[[#This Row],[cd,b,lim (kN/cm²)]]),"OK","ERRO")</f>
        <v>OK</v>
      </c>
      <c r="AS49" s="4" t="str">
        <f ca="1">As_lado(ESF[[#This Row],[nE]],ESF[[#This Row],[Nsd (kN)]],ESF[[#This Row],[d (cm)]],ESF[[#This Row],[e (cm)]],ESF[[#This Row],[ap,eq (cm)]])</f>
        <v>N.S.</v>
      </c>
      <c r="AT49" s="4" t="str">
        <f ca="1">IF(ESF[[#This Row],[nE]]=1,ESF[[#This Row],[As,lado (cm²)]],IF(ESF[[#This Row],[nE]]=2,0.075*2*ESF[a (cm)],"N.A."))</f>
        <v>N.A.</v>
      </c>
      <c r="AU49" s="4" t="str">
        <f ca="1">IFERROR(IF(ESF[[#This Row],[nE]]=1,"N.A.",0.2*ESF[[#This Row],[As,lado (cm²)]]),"N.S.")</f>
        <v>N.S.</v>
      </c>
      <c r="AV49" s="4" t="str">
        <f ca="1">As_malha(ESF[[#This Row],[nE]],ESF[[#This Row],[As,lado (cm²)]],ESF[[#This Row],[Nsd (kN)]])</f>
        <v>N.S.</v>
      </c>
      <c r="AW49" s="4" t="str">
        <f ca="1">As_susp_tot(ESF[[#This Row],[nE]],ESF[[#This Row],[Nsd (kN)]])</f>
        <v>N.S.</v>
      </c>
      <c r="AX49" s="4" t="str">
        <f ca="1">Asp_face(ESF[[#This Row],[nE]],ESF[[#This Row],[As,lado (cm²)]])</f>
        <v>N.S.</v>
      </c>
      <c r="AY49" s="5" t="str">
        <f ca="1">acoBloco(ESF[[#This Row],[nE]],ESF[[#This Row],[e (cm)]],ESF[[#This Row],[a (cm)]],ESF[[#This Row],[h (cm)]],ESF[[#This Row],[As,lado (cm²)]],ESF[[#This Row],[Asp e Asw (cm²/m)]],ESF[[#This Row],[As,sup (cm²)]],ESF[[#This Row],[As,malha (cm²)]],ESF[[#This Row],[As,susp,tot (cm²)]],ESF[[#This Row],[Asp,face (cm²)]])</f>
        <v>N.S.</v>
      </c>
      <c r="AZ49" s="4" t="str">
        <f ca="1">concretoBloco(ESF[[#This Row],[nE]],ESF[[#This Row],[e (cm)]],ESF[[#This Row],[a (cm)]],ESF[[#This Row],[h (cm)]])</f>
        <v>N.S.</v>
      </c>
      <c r="BA49" s="5">
        <f ca="1">SUM(ESF[[#This Row],[Aço Est (kg)]],ESF[[#This Row],[Aço Bloco (kg)]])</f>
        <v>4.4390704195223778</v>
      </c>
      <c r="BB49" s="4">
        <f>INDEX(composicoes[],MATCH(95580,composicoes[CÓDIGO],0),MATCH("CUSTO TOTAL",composicoes[#Headers],0))</f>
        <v>10.46</v>
      </c>
      <c r="BC49" s="4">
        <f ca="1">SUM(ESF[[#This Row],[Conc Est (m³)]],ESF[[#This Row],[Conc Bloco (m³)]])</f>
        <v>17.530087007031046</v>
      </c>
      <c r="BD49" s="4">
        <f>INDEX(composicoes[],MATCH(94966,composicoes[CÓDIGO],0),MATCH("CUSTO TOTAL",composicoes[#Headers],0))</f>
        <v>439.52</v>
      </c>
      <c r="BE49" s="38">
        <f ca="1">ESF[[#This Row],[Aço (kg)]]*ESF[[#This Row],[Aço (R$/kg)]]+ESF[[#This Row],[Conc (m³)]]*ESF[[#This Row],[Conc (R$/m³)]]</f>
        <v>7751.2565179184894</v>
      </c>
      <c r="BF49" s="4" t="str">
        <f ca="1">IF(COUNTIF(ESF[#This Row],"N.S.")&gt;0,"lim.","OK")</f>
        <v>lim.</v>
      </c>
      <c r="BG49" s="4" t="str">
        <f>IF(ESF[[#This Row],[Prof. (m)]]&lt;3,"lim.","OK")</f>
        <v>lim.</v>
      </c>
      <c r="BH49" s="4" t="str">
        <f>IF(ESF[[#This Row],[Prof. (m)]]&gt;=8*ESF[[#This Row],[Ø (cm)]]/100,"OK","lim.")</f>
        <v>lim.</v>
      </c>
      <c r="BI49" s="4" t="str">
        <f>IF(AND(SPT!$F$3&lt;&gt;"",ESF[[#This Row],[Prof. (m)]]&gt;=SPT!$F$3),"lim.","OK")</f>
        <v>OK</v>
      </c>
      <c r="BJ49" s="4" t="str">
        <f>IF(COUNTIFS(ESF[Solo],"Areia",ESF[Prof. (m)],"&lt;="&amp;ESF[[#This Row],[Prof. (m)]])&gt;=1,"lim.","OK")</f>
        <v>OK</v>
      </c>
      <c r="BK49" s="4" t="str">
        <f ca="1">IF(ESF[[#This Row],[Verif. Biela]]="OK","OK","lim.")</f>
        <v>OK</v>
      </c>
      <c r="BL49" s="4" t="str">
        <f ca="1">IF(COUNTA(ESF[[#This Row],[Nº Est.]:[Biela comp.]])=COUNTIF(ESF[[#This Row],[Nº Est.]:[Biela comp.]],"OK"),"OK","lim.")</f>
        <v>lim.</v>
      </c>
      <c r="BM49" s="4" t="str">
        <f ca="1">IF(ESF[[#This Row],[Controle]]="OK",ESF[[#This Row],[nE]]&amp;" Ø"&amp;ESF[[#This Row],[Ø (cm)]]&amp;"cm Prof. "&amp;ESF[[#This Row],[Prof. (m)]]&amp;" m","")</f>
        <v/>
      </c>
      <c r="BN49" s="4" t="str">
        <f ca="1">IF(ESF[[#This Row],[idDimensionamento]]="","",ESF[[#This Row],[idPilar]]&amp;ESF[[#This Row],[idDimensionamento]])</f>
        <v/>
      </c>
    </row>
    <row r="50" spans="2:66" x14ac:dyDescent="0.25">
      <c r="B50" s="12">
        <f>ROUNDUP((ROW(ESF[[#This Row],[idDiâmetro]])-ROW(ESF[[#Headers],[idDiâmetro]]))/(COUNT(SPT[Prof. (m)])*COUNT(PILARES[Pilar])),0)</f>
        <v>2</v>
      </c>
      <c r="C50" s="12">
        <f>IF(ESF[[#This Row],[idDiâmetro]]&lt;&gt;B49,1,IF(ESF[[#This Row],[Prof. (m)]]=0,C49+1,C49))</f>
        <v>2</v>
      </c>
      <c r="D50" s="1">
        <f>IFERROR(IF(D49=MAX(SPT[Prof. (m)]),0,D49+1),0)</f>
        <v>3</v>
      </c>
      <c r="E50" s="1">
        <f>INDEX(SPT[],MATCH(ESF[[#This Row],[Prof. (m)]],SPT[Prof. (m)],0),2)</f>
        <v>4</v>
      </c>
      <c r="F50" s="1" t="str">
        <f>INDEX(SPT[],MATCH(ESF[[#This Row],[Prof. (m)]],SPT[Prof. (m)],0),3)</f>
        <v>Areia siltosa</v>
      </c>
      <c r="G50" s="1">
        <f>INDEX(estacas[],ESF[[#This Row],[idDiâmetro]],MATCH($B$2,estacas[#Headers],0))</f>
        <v>30</v>
      </c>
      <c r="H50" s="1">
        <f>INDEX(estacas[],MATCH(ESF[[#This Row],[Ø (cm)]],estacas[Ø ESF (cm)],0),MATCH(ESF[[#Headers],[Pe ESF (kN)]],estacas[#Headers],0))</f>
        <v>360</v>
      </c>
      <c r="I50" s="4">
        <f>INDEX(K_alpha_C[],MATCH(ESF[[#This Row],[Solo]],K_alpha_C[Solo],0),2)</f>
        <v>0.8</v>
      </c>
      <c r="J50" s="5">
        <f>INDEX(K_alpha_C[],MATCH(ESF[[#This Row],[Solo]],K_alpha_C[Solo],0),3)</f>
        <v>2</v>
      </c>
      <c r="K50" s="4">
        <f>INDEX(F1_F2[],MATCH($D$2,F1_F2[Tipo de estaca],0),2)</f>
        <v>3</v>
      </c>
      <c r="L50" s="4">
        <f>INDEX(F1_F2[],MATCH($D$2,F1_F2[Tipo de estaca],0),3)</f>
        <v>6</v>
      </c>
      <c r="M50" s="4">
        <f>PI()*(ESF[[#This Row],[Ø (cm)]]/100)^2/4</f>
        <v>7.0685834705770348E-2</v>
      </c>
      <c r="N50" s="4">
        <f>PI()*ESF[[#This Row],[Ø (cm)]]/100</f>
        <v>0.94247779607693782</v>
      </c>
      <c r="O50" s="4">
        <f>IF(ESF[[#This Row],[Prof. (m)]]=0,0,ESF[[#This Row],[α (%)]]/100*ESF[[#This Row],[K (MPa)]]*1000*ESF[[#This Row],[NSPT]])</f>
        <v>64</v>
      </c>
      <c r="P50" s="4">
        <f>IF(ESF[[#This Row],[Prof. (m)]]=0,0,(ESF[[#This Row],[K (MPa)]]*1000*ESF[[#This Row],[NSPT]]/ESF[[#This Row],[F1]]*ESF[[#This Row],[Ap (m²)]]+ESF[[#This Row],[U (m)]]/ESF[[#This Row],[F2]]*SUMIFS(ESF[(α∙K∙NL∙ΔL)],ESF[Prof. (m)],"&lt;="&amp;ESF[[#This Row],[Prof. (m)]],ESF[idDiâmetro],ESF[[#This Row],[idDiâmetro]],ESF[idPilar],ESF[[#This Row],[idPilar]]))/'DADOS CAP. CARGA'!$D$2)</f>
        <v>47.752208334564862</v>
      </c>
      <c r="Q50" s="12">
        <f>INDEX(C_alpha_beta[],MATCH(ESF[[#This Row],[Solo]],C_alpha_beta[Solo],0),MATCH(ESF[[#Headers],[C (kPa)]],C_alpha_beta[#Headers],0))</f>
        <v>400</v>
      </c>
      <c r="R50" s="4">
        <f>INDEX(C_alpha_beta[],MATCH(ESF[[#This Row],[Solo]],C_alpha_beta[Solo],0),MATCH(ESF[[#Headers],[α ESF]],C_alpha_beta[#Headers],0))</f>
        <v>0.5</v>
      </c>
      <c r="S50" s="4">
        <f>INDEX(C_alpha_beta[],MATCH(ESF[[#This Row],[Solo]],C_alpha_beta[Solo],0),MATCH(ESF[[#Headers],[β ESF]],C_alpha_beta[#Headers],0))</f>
        <v>0.5</v>
      </c>
      <c r="T50" s="4">
        <f>IF(ESF[[#This Row],[Prof. (m)]]=0,0,10*(ESF[[#This Row],[NSPT]]/3+1))</f>
        <v>23.333333333333329</v>
      </c>
      <c r="U50" s="4">
        <f>(ESF[[#This Row],[α ESF]]*ESF[[#This Row],[C (kPa)]]*ESF[[#This Row],[NSPT]]*ESF[[#This Row],[Ap (m²)]])/'DADOS CAP. CARGA'!$Q$2+(ESF[[#This Row],[β ESF]]*SUMIFS(ESF[10∙(NL/3+1)],ESF[Prof. (m)],"&lt;="&amp;ESF[[#This Row],[Prof. (m)]],ESF[idDiâmetro],ESF[[#This Row],[idDiâmetro]],ESF[idPilar],ESF[[#This Row],[idPilar]])*ESF[[#This Row],[U (m)]])/'DADOS CAP. CARGA'!$S$2</f>
        <v>27.488935718910685</v>
      </c>
      <c r="V50" s="4">
        <f>IF(SPT!$M$5=1,MIN(ESF[[#This Row],[Pe ESF (kN)]],ESF[[#This Row],[R_AV (kN)]]),IF(SPT!$M$5=2,MIN(ESF[[#This Row],[Pe ESF (kN)]],ESF[[#This Row],[R_DC (kN)]]),MIN(ESF[[#This Row],[Pe ESF (kN)]],ESF[[#This Row],[R_AV (kN)]],ESF[[#This Row],[R_DC (kN)]])))</f>
        <v>27.488935718910685</v>
      </c>
      <c r="W50" s="4">
        <f>INDEX(PILARES[],ESF[[#This Row],[idPilar]],MATCH("Carga (kN)",PILARES[#Headers],0))*1.4</f>
        <v>1750</v>
      </c>
      <c r="X50" s="12">
        <f>INDEX(PILARES[],ESF[[#This Row],[idPilar]],MATCH(ESF[[#Headers],[ap (cm)]],PILARES[#Headers],0))</f>
        <v>50</v>
      </c>
      <c r="Y50" s="12">
        <f>INDEX(PILARES[],ESF[[#This Row],[idPilar]],MATCH(ESF[[#Headers],[bp (cm)]],PILARES[#Headers],0))</f>
        <v>40</v>
      </c>
      <c r="Z50" s="4">
        <f>SQRT(ESF[[#This Row],[ap (cm)]]*ESF[[#This Row],[bp (cm)]])</f>
        <v>44.721359549995796</v>
      </c>
      <c r="AA50" s="12">
        <f>ESF[[#This Row],[ap (cm)]]*ESF[[#This Row],[bp (cm)]]</f>
        <v>2000</v>
      </c>
      <c r="AB50" s="12">
        <f ca="1">IF(ESF[[#This Row],[Padm∙ε (kN)]]&gt;=ESF[[#This Row],[Padm (kN)]],ROUNDUP(1.05*ESF[[#This Row],[Nsd (kN)]]/ESF[[#This Row],[Padm (kN)]],0),ROUNDUP(1.05*ESF[[#This Row],[Nsd (kN)]]/ESF[[#This Row],[Padm (kN)]],0)+1)</f>
        <v>67</v>
      </c>
      <c r="AC50" s="4" t="str">
        <f ca="1">IFERROR(IF(ESF[[#This Row],[nE]]=1,ESF[[#This Row],[Padm (kN)]],ESF[[#This Row],[Padm (kN)]]*ESF[[#This Row],[nE]]*INDEX(grupoEstacas[],ESF[[#This Row],[nE]],MATCH("ε",grupoEstacas[#Headers],0))),"N.S.")</f>
        <v>N.S.</v>
      </c>
      <c r="AD50" s="4">
        <f ca="1">1.05*ESF[[#This Row],[Nsd (kN)]]/(ESF[[#This Row],[nE]]*PI()*ESF[[#This Row],[Ø (cm)]]^2/4)*10</f>
        <v>0.38798966226382448</v>
      </c>
      <c r="AE50" s="4">
        <f ca="1">IF(ESF[[#This Row],[σ (MPa)]]&lt;INDEX(tipoEstaca[],MATCH($D$2,tipoEstaca[TIPO DE ESTACA],0),MATCH("σmáx (MPa)",tipoEstaca[#Headers],0)),0.4%*PI()*ESF[[#This Row],[Ø (cm)]]^2/4,"N.S.")</f>
        <v>2.8274333882308138</v>
      </c>
      <c r="AF50" s="1">
        <f>INDEX(tipoEstaca[],MATCH($D$2,tipoEstaca[TIPO DE ESTACA],0),MATCH(ESF[[#Headers],[Comprimento (m)]],tipoEstaca[#Headers],0))</f>
        <v>2</v>
      </c>
      <c r="AG50" s="5">
        <f ca="1">ESF[[#This Row],[As,mín (cm²)]]/100^2*ESF[[#This Row],[Comprimento (m)]]*7850</f>
        <v>4.4390704195223778</v>
      </c>
      <c r="AH50" s="4">
        <f ca="1">ESF[[#This Row],[nE]]*ESF[[#This Row],[Prof. (m)]]*ESF[[#This Row],[Ap (m²)]]</f>
        <v>14.207852775859839</v>
      </c>
      <c r="AI50" s="1">
        <f ca="1">IF(ESF[[#This Row],[nE]]=1,0,MAX(3*ESF[[#This Row],[Ø (cm)]],60))</f>
        <v>90</v>
      </c>
      <c r="AJ50" s="1">
        <f ca="1">IF(ESF[[#This Row],[nE]]=1,ESF[[#This Row],[Ø (cm)]]+2*10,MAX(1.5*ESF[[#This Row],[Ø (cm)]],ESF[[#This Row],[Ø (cm)]]+15))</f>
        <v>45</v>
      </c>
      <c r="AK50" s="1" t="str">
        <f ca="1">alturaUtil(ESF[[#This Row],[nE]],ESF[[#This Row],[Ø (cm)]],ESF[[#This Row],[e (cm)]],ESF[[#This Row],[ap,eq (cm)]])</f>
        <v>N.S.</v>
      </c>
      <c r="AL50" s="1" t="str">
        <f ca="1">IFERROR(ESF[[#This Row],[d (cm)]]+arredondarParaCimaMultiplo5cm(MAX(5,SQRT(PI())/2*ESF[[#This Row],[Ø (cm)]]/5)),"N.S.")</f>
        <v>N.S.</v>
      </c>
      <c r="AM50" s="5" t="str">
        <f ca="1">alpha(ESF[[#This Row],[nE]],ESF[[#This Row],[d (cm)]],ESF[[#This Row],[e (cm)]],ESF[[#This Row],[ap,eq (cm)]])</f>
        <v>N.S.</v>
      </c>
      <c r="AN50" s="35" t="str">
        <f ca="1">IFERROR(ESF[[#This Row],[Nsd (kN)]]/(ESF[[#This Row],[Ap (cm²)]]*SIN(ESF[[#This Row],[α]])^2),"N.S.")</f>
        <v>N.S.</v>
      </c>
      <c r="AO50" s="35" t="str">
        <f ca="1">IFERROR(ESF[[#This Row],[Nsd (kN)]]/(ESF[[#This Row],[nE]]*PI()*ESF[[#This Row],[Ø (cm)]]^2/4*SIN(ESF[[#This Row],[α]])^2),"N.S.")</f>
        <v>N.S.</v>
      </c>
      <c r="AP50" s="4" t="str">
        <f ca="1">IFERROR(INDEX(grupoEstacas[],ESF[[#This Row],[nE]],MATCH("coef. Blévot",grupoEstacas[#Headers],0)),"N.S.")</f>
        <v>N.S.</v>
      </c>
      <c r="AQ50" s="35" t="str">
        <f ca="1">IFERROR(ESF[[#This Row],[coef. Blévot]]*0.9*INDEX(tipoEstaca[],MATCH($D$2,tipoEstaca[TIPO DE ESTACA],0),MATCH("fcd (kN/cm²)",tipoEstaca[#Headers],0)),"N.S.")</f>
        <v>N.S.</v>
      </c>
      <c r="AR50" s="1" t="str">
        <f ca="1">IF(AND(ESF[[#This Row],[cd,b,pil (kN/cm²)]]&lt;=ESF[[#This Row],[cd,b,lim (kN/cm²)]],ESF[[#This Row],[cd,b,est (kN/cm²)]]&lt;=ESF[[#This Row],[cd,b,lim (kN/cm²)]]),"OK","ERRO")</f>
        <v>OK</v>
      </c>
      <c r="AS50" s="4" t="str">
        <f ca="1">As_lado(ESF[[#This Row],[nE]],ESF[[#This Row],[Nsd (kN)]],ESF[[#This Row],[d (cm)]],ESF[[#This Row],[e (cm)]],ESF[[#This Row],[ap,eq (cm)]])</f>
        <v>N.S.</v>
      </c>
      <c r="AT50" s="4" t="str">
        <f ca="1">IF(ESF[[#This Row],[nE]]=1,ESF[[#This Row],[As,lado (cm²)]],IF(ESF[[#This Row],[nE]]=2,0.075*2*ESF[a (cm)],"N.A."))</f>
        <v>N.A.</v>
      </c>
      <c r="AU50" s="4" t="str">
        <f ca="1">IFERROR(IF(ESF[[#This Row],[nE]]=1,"N.A.",0.2*ESF[[#This Row],[As,lado (cm²)]]),"N.S.")</f>
        <v>N.S.</v>
      </c>
      <c r="AV50" s="4" t="str">
        <f ca="1">As_malha(ESF[[#This Row],[nE]],ESF[[#This Row],[As,lado (cm²)]],ESF[[#This Row],[Nsd (kN)]])</f>
        <v>N.S.</v>
      </c>
      <c r="AW50" s="4" t="str">
        <f ca="1">As_susp_tot(ESF[[#This Row],[nE]],ESF[[#This Row],[Nsd (kN)]])</f>
        <v>N.S.</v>
      </c>
      <c r="AX50" s="4" t="str">
        <f ca="1">Asp_face(ESF[[#This Row],[nE]],ESF[[#This Row],[As,lado (cm²)]])</f>
        <v>N.S.</v>
      </c>
      <c r="AY50" s="5" t="str">
        <f ca="1">acoBloco(ESF[[#This Row],[nE]],ESF[[#This Row],[e (cm)]],ESF[[#This Row],[a (cm)]],ESF[[#This Row],[h (cm)]],ESF[[#This Row],[As,lado (cm²)]],ESF[[#This Row],[Asp e Asw (cm²/m)]],ESF[[#This Row],[As,sup (cm²)]],ESF[[#This Row],[As,malha (cm²)]],ESF[[#This Row],[As,susp,tot (cm²)]],ESF[[#This Row],[Asp,face (cm²)]])</f>
        <v>N.S.</v>
      </c>
      <c r="AZ50" s="4" t="str">
        <f ca="1">concretoBloco(ESF[[#This Row],[nE]],ESF[[#This Row],[e (cm)]],ESF[[#This Row],[a (cm)]],ESF[[#This Row],[h (cm)]])</f>
        <v>N.S.</v>
      </c>
      <c r="BA50" s="5">
        <f ca="1">SUM(ESF[[#This Row],[Aço Est (kg)]],ESF[[#This Row],[Aço Bloco (kg)]])</f>
        <v>4.4390704195223778</v>
      </c>
      <c r="BB50" s="4">
        <f>INDEX(composicoes[],MATCH(95580,composicoes[CÓDIGO],0),MATCH("CUSTO TOTAL",composicoes[#Headers],0))</f>
        <v>10.46</v>
      </c>
      <c r="BC50" s="4">
        <f ca="1">SUM(ESF[[#This Row],[Conc Est (m³)]],ESF[[#This Row],[Conc Bloco (m³)]])</f>
        <v>14.207852775859839</v>
      </c>
      <c r="BD50" s="4">
        <f>INDEX(composicoes[],MATCH(94966,composicoes[CÓDIGO],0),MATCH("CUSTO TOTAL",composicoes[#Headers],0))</f>
        <v>439.52</v>
      </c>
      <c r="BE50" s="38">
        <f ca="1">ESF[[#This Row],[Aço (kg)]]*ESF[[#This Row],[Aço (R$/kg)]]+ESF[[#This Row],[Conc (m³)]]*ESF[[#This Row],[Conc (R$/m³)]]</f>
        <v>6291.0681286341205</v>
      </c>
      <c r="BF50" s="4" t="str">
        <f ca="1">IF(COUNTIF(ESF[#This Row],"N.S.")&gt;0,"lim.","OK")</f>
        <v>lim.</v>
      </c>
      <c r="BG50" s="4" t="str">
        <f>IF(ESF[[#This Row],[Prof. (m)]]&lt;3,"lim.","OK")</f>
        <v>OK</v>
      </c>
      <c r="BH50" s="4" t="str">
        <f>IF(ESF[[#This Row],[Prof. (m)]]&gt;=8*ESF[[#This Row],[Ø (cm)]]/100,"OK","lim.")</f>
        <v>OK</v>
      </c>
      <c r="BI50" s="4" t="str">
        <f>IF(AND(SPT!$F$3&lt;&gt;"",ESF[[#This Row],[Prof. (m)]]&gt;=SPT!$F$3),"lim.","OK")</f>
        <v>OK</v>
      </c>
      <c r="BJ50" s="4" t="str">
        <f>IF(COUNTIFS(ESF[Solo],"Areia",ESF[Prof. (m)],"&lt;="&amp;ESF[[#This Row],[Prof. (m)]])&gt;=1,"lim.","OK")</f>
        <v>OK</v>
      </c>
      <c r="BK50" s="4" t="str">
        <f ca="1">IF(ESF[[#This Row],[Verif. Biela]]="OK","OK","lim.")</f>
        <v>OK</v>
      </c>
      <c r="BL50" s="4" t="str">
        <f ca="1">IF(COUNTA(ESF[[#This Row],[Nº Est.]:[Biela comp.]])=COUNTIF(ESF[[#This Row],[Nº Est.]:[Biela comp.]],"OK"),"OK","lim.")</f>
        <v>lim.</v>
      </c>
      <c r="BM50" s="4" t="str">
        <f ca="1">IF(ESF[[#This Row],[Controle]]="OK",ESF[[#This Row],[nE]]&amp;" Ø"&amp;ESF[[#This Row],[Ø (cm)]]&amp;"cm Prof. "&amp;ESF[[#This Row],[Prof. (m)]]&amp;" m","")</f>
        <v/>
      </c>
      <c r="BN50" s="4" t="str">
        <f ca="1">IF(ESF[[#This Row],[idDimensionamento]]="","",ESF[[#This Row],[idPilar]]&amp;ESF[[#This Row],[idDimensionamento]])</f>
        <v/>
      </c>
    </row>
    <row r="51" spans="2:66" x14ac:dyDescent="0.25">
      <c r="B51" s="12">
        <f>ROUNDUP((ROW(ESF[[#This Row],[idDiâmetro]])-ROW(ESF[[#Headers],[idDiâmetro]]))/(COUNT(SPT[Prof. (m)])*COUNT(PILARES[Pilar])),0)</f>
        <v>2</v>
      </c>
      <c r="C51" s="12">
        <f>IF(ESF[[#This Row],[idDiâmetro]]&lt;&gt;B50,1,IF(ESF[[#This Row],[Prof. (m)]]=0,C50+1,C50))</f>
        <v>2</v>
      </c>
      <c r="D51" s="1">
        <f>IFERROR(IF(D50=MAX(SPT[Prof. (m)]),0,D50+1),0)</f>
        <v>4</v>
      </c>
      <c r="E51" s="1">
        <f>INDEX(SPT[],MATCH(ESF[[#This Row],[Prof. (m)]],SPT[Prof. (m)],0),2)</f>
        <v>8</v>
      </c>
      <c r="F51" s="1" t="str">
        <f>INDEX(SPT[],MATCH(ESF[[#This Row],[Prof. (m)]],SPT[Prof. (m)],0),3)</f>
        <v>Areia siltosa</v>
      </c>
      <c r="G51" s="1">
        <f>INDEX(estacas[],ESF[[#This Row],[idDiâmetro]],MATCH($B$2,estacas[#Headers],0))</f>
        <v>30</v>
      </c>
      <c r="H51" s="1">
        <f>INDEX(estacas[],MATCH(ESF[[#This Row],[Ø (cm)]],estacas[Ø ESF (cm)],0),MATCH(ESF[[#Headers],[Pe ESF (kN)]],estacas[#Headers],0))</f>
        <v>360</v>
      </c>
      <c r="I51" s="4">
        <f>INDEX(K_alpha_C[],MATCH(ESF[[#This Row],[Solo]],K_alpha_C[Solo],0),2)</f>
        <v>0.8</v>
      </c>
      <c r="J51" s="5">
        <f>INDEX(K_alpha_C[],MATCH(ESF[[#This Row],[Solo]],K_alpha_C[Solo],0),3)</f>
        <v>2</v>
      </c>
      <c r="K51" s="4">
        <f>INDEX(F1_F2[],MATCH($D$2,F1_F2[Tipo de estaca],0),2)</f>
        <v>3</v>
      </c>
      <c r="L51" s="4">
        <f>INDEX(F1_F2[],MATCH($D$2,F1_F2[Tipo de estaca],0),3)</f>
        <v>6</v>
      </c>
      <c r="M51" s="4">
        <f>PI()*(ESF[[#This Row],[Ø (cm)]]/100)^2/4</f>
        <v>7.0685834705770348E-2</v>
      </c>
      <c r="N51" s="4">
        <f>PI()*ESF[[#This Row],[Ø (cm)]]/100</f>
        <v>0.94247779607693782</v>
      </c>
      <c r="O51" s="4">
        <f>IF(ESF[[#This Row],[Prof. (m)]]=0,0,ESF[[#This Row],[α (%)]]/100*ESF[[#This Row],[K (MPa)]]*1000*ESF[[#This Row],[NSPT]])</f>
        <v>128</v>
      </c>
      <c r="P51" s="4">
        <f>IF(ESF[[#This Row],[Prof. (m)]]=0,0,(ESF[[#This Row],[K (MPa)]]*1000*ESF[[#This Row],[NSPT]]/ESF[[#This Row],[F1]]*ESF[[#This Row],[Ap (m²)]]+ESF[[#This Row],[U (m)]]/ESF[[#This Row],[F2]]*SUMIFS(ESF[(α∙K∙NL∙ΔL)],ESF[Prof. (m)],"&lt;="&amp;ESF[[#This Row],[Prof. (m)]],ESF[idDiâmetro],ESF[[#This Row],[idDiâmetro]],ESF[idPilar],ESF[[#This Row],[idPilar]]))/'DADOS CAP. CARGA'!$D$2)</f>
        <v>95.504416669129725</v>
      </c>
      <c r="Q51" s="12">
        <f>INDEX(C_alpha_beta[],MATCH(ESF[[#This Row],[Solo]],C_alpha_beta[Solo],0),MATCH(ESF[[#Headers],[C (kPa)]],C_alpha_beta[#Headers],0))</f>
        <v>400</v>
      </c>
      <c r="R51" s="4">
        <f>INDEX(C_alpha_beta[],MATCH(ESF[[#This Row],[Solo]],C_alpha_beta[Solo],0),MATCH(ESF[[#Headers],[α ESF]],C_alpha_beta[#Headers],0))</f>
        <v>0.5</v>
      </c>
      <c r="S51" s="4">
        <f>INDEX(C_alpha_beta[],MATCH(ESF[[#This Row],[Solo]],C_alpha_beta[Solo],0),MATCH(ESF[[#Headers],[β ESF]],C_alpha_beta[#Headers],0))</f>
        <v>0.5</v>
      </c>
      <c r="T51" s="4">
        <f>IF(ESF[[#This Row],[Prof. (m)]]=0,0,10*(ESF[[#This Row],[NSPT]]/3+1))</f>
        <v>36.666666666666664</v>
      </c>
      <c r="U51" s="4">
        <f>(ESF[[#This Row],[α ESF]]*ESF[[#This Row],[C (kPa)]]*ESF[[#This Row],[NSPT]]*ESF[[#This Row],[Ap (m²)]])/'DADOS CAP. CARGA'!$Q$2+(ESF[[#This Row],[β ESF]]*SUMIFS(ESF[10∙(NL/3+1)],ESF[Prof. (m)],"&lt;="&amp;ESF[[#This Row],[Prof. (m)]],ESF[idDiâmetro],ESF[[#This Row],[idDiâmetro]],ESF[idPilar],ESF[[#This Row],[idPilar]])*ESF[[#This Row],[U (m)]])/'DADOS CAP. CARGA'!$S$2</f>
        <v>50.265482457436683</v>
      </c>
      <c r="V51" s="4">
        <f>IF(SPT!$M$5=1,MIN(ESF[[#This Row],[Pe ESF (kN)]],ESF[[#This Row],[R_AV (kN)]]),IF(SPT!$M$5=2,MIN(ESF[[#This Row],[Pe ESF (kN)]],ESF[[#This Row],[R_DC (kN)]]),MIN(ESF[[#This Row],[Pe ESF (kN)]],ESF[[#This Row],[R_AV (kN)]],ESF[[#This Row],[R_DC (kN)]])))</f>
        <v>50.265482457436683</v>
      </c>
      <c r="W51" s="4">
        <f>INDEX(PILARES[],ESF[[#This Row],[idPilar]],MATCH("Carga (kN)",PILARES[#Headers],0))*1.4</f>
        <v>1750</v>
      </c>
      <c r="X51" s="12">
        <f>INDEX(PILARES[],ESF[[#This Row],[idPilar]],MATCH(ESF[[#Headers],[ap (cm)]],PILARES[#Headers],0))</f>
        <v>50</v>
      </c>
      <c r="Y51" s="12">
        <f>INDEX(PILARES[],ESF[[#This Row],[idPilar]],MATCH(ESF[[#Headers],[bp (cm)]],PILARES[#Headers],0))</f>
        <v>40</v>
      </c>
      <c r="Z51" s="4">
        <f>SQRT(ESF[[#This Row],[ap (cm)]]*ESF[[#This Row],[bp (cm)]])</f>
        <v>44.721359549995796</v>
      </c>
      <c r="AA51" s="12">
        <f>ESF[[#This Row],[ap (cm)]]*ESF[[#This Row],[bp (cm)]]</f>
        <v>2000</v>
      </c>
      <c r="AB51" s="12">
        <f ca="1">IF(ESF[[#This Row],[Padm∙ε (kN)]]&gt;=ESF[[#This Row],[Padm (kN)]],ROUNDUP(1.05*ESF[[#This Row],[Nsd (kN)]]/ESF[[#This Row],[Padm (kN)]],0),ROUNDUP(1.05*ESF[[#This Row],[Nsd (kN)]]/ESF[[#This Row],[Padm (kN)]],0)+1)</f>
        <v>37</v>
      </c>
      <c r="AC51" s="4" t="str">
        <f ca="1">IFERROR(IF(ESF[[#This Row],[nE]]=1,ESF[[#This Row],[Padm (kN)]],ESF[[#This Row],[Padm (kN)]]*ESF[[#This Row],[nE]]*INDEX(grupoEstacas[],ESF[[#This Row],[nE]],MATCH("ε",grupoEstacas[#Headers],0))),"N.S.")</f>
        <v>N.S.</v>
      </c>
      <c r="AD51" s="4">
        <f ca="1">1.05*ESF[[#This Row],[Nsd (kN)]]/(ESF[[#This Row],[nE]]*PI()*ESF[[#This Row],[Ø (cm)]]^2/4)*10</f>
        <v>0.7025758749101686</v>
      </c>
      <c r="AE51" s="4">
        <f ca="1">IF(ESF[[#This Row],[σ (MPa)]]&lt;INDEX(tipoEstaca[],MATCH($D$2,tipoEstaca[TIPO DE ESTACA],0),MATCH("σmáx (MPa)",tipoEstaca[#Headers],0)),0.4%*PI()*ESF[[#This Row],[Ø (cm)]]^2/4,"N.S.")</f>
        <v>2.8274333882308138</v>
      </c>
      <c r="AF51" s="1">
        <f>INDEX(tipoEstaca[],MATCH($D$2,tipoEstaca[TIPO DE ESTACA],0),MATCH(ESF[[#Headers],[Comprimento (m)]],tipoEstaca[#Headers],0))</f>
        <v>2</v>
      </c>
      <c r="AG51" s="5">
        <f ca="1">ESF[[#This Row],[As,mín (cm²)]]/100^2*ESF[[#This Row],[Comprimento (m)]]*7850</f>
        <v>4.4390704195223778</v>
      </c>
      <c r="AH51" s="4">
        <f ca="1">ESF[[#This Row],[nE]]*ESF[[#This Row],[Prof. (m)]]*ESF[[#This Row],[Ap (m²)]]</f>
        <v>10.461503536454012</v>
      </c>
      <c r="AI51" s="1">
        <f ca="1">IF(ESF[[#This Row],[nE]]=1,0,MAX(3*ESF[[#This Row],[Ø (cm)]],60))</f>
        <v>90</v>
      </c>
      <c r="AJ51" s="1">
        <f ca="1">IF(ESF[[#This Row],[nE]]=1,ESF[[#This Row],[Ø (cm)]]+2*10,MAX(1.5*ESF[[#This Row],[Ø (cm)]],ESF[[#This Row],[Ø (cm)]]+15))</f>
        <v>45</v>
      </c>
      <c r="AK51" s="1" t="str">
        <f ca="1">alturaUtil(ESF[[#This Row],[nE]],ESF[[#This Row],[Ø (cm)]],ESF[[#This Row],[e (cm)]],ESF[[#This Row],[ap,eq (cm)]])</f>
        <v>N.S.</v>
      </c>
      <c r="AL51" s="1" t="str">
        <f ca="1">IFERROR(ESF[[#This Row],[d (cm)]]+arredondarParaCimaMultiplo5cm(MAX(5,SQRT(PI())/2*ESF[[#This Row],[Ø (cm)]]/5)),"N.S.")</f>
        <v>N.S.</v>
      </c>
      <c r="AM51" s="5" t="str">
        <f ca="1">alpha(ESF[[#This Row],[nE]],ESF[[#This Row],[d (cm)]],ESF[[#This Row],[e (cm)]],ESF[[#This Row],[ap,eq (cm)]])</f>
        <v>N.S.</v>
      </c>
      <c r="AN51" s="35" t="str">
        <f ca="1">IFERROR(ESF[[#This Row],[Nsd (kN)]]/(ESF[[#This Row],[Ap (cm²)]]*SIN(ESF[[#This Row],[α]])^2),"N.S.")</f>
        <v>N.S.</v>
      </c>
      <c r="AO51" s="35" t="str">
        <f ca="1">IFERROR(ESF[[#This Row],[Nsd (kN)]]/(ESF[[#This Row],[nE]]*PI()*ESF[[#This Row],[Ø (cm)]]^2/4*SIN(ESF[[#This Row],[α]])^2),"N.S.")</f>
        <v>N.S.</v>
      </c>
      <c r="AP51" s="4" t="str">
        <f ca="1">IFERROR(INDEX(grupoEstacas[],ESF[[#This Row],[nE]],MATCH("coef. Blévot",grupoEstacas[#Headers],0)),"N.S.")</f>
        <v>N.S.</v>
      </c>
      <c r="AQ51" s="35" t="str">
        <f ca="1">IFERROR(ESF[[#This Row],[coef. Blévot]]*0.9*INDEX(tipoEstaca[],MATCH($D$2,tipoEstaca[TIPO DE ESTACA],0),MATCH("fcd (kN/cm²)",tipoEstaca[#Headers],0)),"N.S.")</f>
        <v>N.S.</v>
      </c>
      <c r="AR51" s="1" t="str">
        <f ca="1">IF(AND(ESF[[#This Row],[cd,b,pil (kN/cm²)]]&lt;=ESF[[#This Row],[cd,b,lim (kN/cm²)]],ESF[[#This Row],[cd,b,est (kN/cm²)]]&lt;=ESF[[#This Row],[cd,b,lim (kN/cm²)]]),"OK","ERRO")</f>
        <v>OK</v>
      </c>
      <c r="AS51" s="4" t="str">
        <f ca="1">As_lado(ESF[[#This Row],[nE]],ESF[[#This Row],[Nsd (kN)]],ESF[[#This Row],[d (cm)]],ESF[[#This Row],[e (cm)]],ESF[[#This Row],[ap,eq (cm)]])</f>
        <v>N.S.</v>
      </c>
      <c r="AT51" s="4" t="str">
        <f ca="1">IF(ESF[[#This Row],[nE]]=1,ESF[[#This Row],[As,lado (cm²)]],IF(ESF[[#This Row],[nE]]=2,0.075*2*ESF[a (cm)],"N.A."))</f>
        <v>N.A.</v>
      </c>
      <c r="AU51" s="4" t="str">
        <f ca="1">IFERROR(IF(ESF[[#This Row],[nE]]=1,"N.A.",0.2*ESF[[#This Row],[As,lado (cm²)]]),"N.S.")</f>
        <v>N.S.</v>
      </c>
      <c r="AV51" s="4" t="str">
        <f ca="1">As_malha(ESF[[#This Row],[nE]],ESF[[#This Row],[As,lado (cm²)]],ESF[[#This Row],[Nsd (kN)]])</f>
        <v>N.S.</v>
      </c>
      <c r="AW51" s="4" t="str">
        <f ca="1">As_susp_tot(ESF[[#This Row],[nE]],ESF[[#This Row],[Nsd (kN)]])</f>
        <v>N.S.</v>
      </c>
      <c r="AX51" s="4" t="str">
        <f ca="1">Asp_face(ESF[[#This Row],[nE]],ESF[[#This Row],[As,lado (cm²)]])</f>
        <v>N.S.</v>
      </c>
      <c r="AY51" s="5" t="str">
        <f ca="1">acoBloco(ESF[[#This Row],[nE]],ESF[[#This Row],[e (cm)]],ESF[[#This Row],[a (cm)]],ESF[[#This Row],[h (cm)]],ESF[[#This Row],[As,lado (cm²)]],ESF[[#This Row],[Asp e Asw (cm²/m)]],ESF[[#This Row],[As,sup (cm²)]],ESF[[#This Row],[As,malha (cm²)]],ESF[[#This Row],[As,susp,tot (cm²)]],ESF[[#This Row],[Asp,face (cm²)]])</f>
        <v>N.S.</v>
      </c>
      <c r="AZ51" s="4" t="str">
        <f ca="1">concretoBloco(ESF[[#This Row],[nE]],ESF[[#This Row],[e (cm)]],ESF[[#This Row],[a (cm)]],ESF[[#This Row],[h (cm)]])</f>
        <v>N.S.</v>
      </c>
      <c r="BA51" s="5">
        <f ca="1">SUM(ESF[[#This Row],[Aço Est (kg)]],ESF[[#This Row],[Aço Bloco (kg)]])</f>
        <v>4.4390704195223778</v>
      </c>
      <c r="BB51" s="4">
        <f>INDEX(composicoes[],MATCH(95580,composicoes[CÓDIGO],0),MATCH("CUSTO TOTAL",composicoes[#Headers],0))</f>
        <v>10.46</v>
      </c>
      <c r="BC51" s="4">
        <f ca="1">SUM(ESF[[#This Row],[Conc Est (m³)]],ESF[[#This Row],[Conc Bloco (m³)]])</f>
        <v>10.461503536454012</v>
      </c>
      <c r="BD51" s="4">
        <f>INDEX(composicoes[],MATCH(94966,composicoes[CÓDIGO],0),MATCH("CUSTO TOTAL",composicoes[#Headers],0))</f>
        <v>439.52</v>
      </c>
      <c r="BE51" s="38">
        <f ca="1">ESF[[#This Row],[Aço (kg)]]*ESF[[#This Row],[Aço (R$/kg)]]+ESF[[#This Row],[Conc (m³)]]*ESF[[#This Row],[Conc (R$/m³)]]</f>
        <v>4644.4727109304713</v>
      </c>
      <c r="BF51" s="4" t="str">
        <f ca="1">IF(COUNTIF(ESF[#This Row],"N.S.")&gt;0,"lim.","OK")</f>
        <v>lim.</v>
      </c>
      <c r="BG51" s="4" t="str">
        <f>IF(ESF[[#This Row],[Prof. (m)]]&lt;3,"lim.","OK")</f>
        <v>OK</v>
      </c>
      <c r="BH51" s="4" t="str">
        <f>IF(ESF[[#This Row],[Prof. (m)]]&gt;=8*ESF[[#This Row],[Ø (cm)]]/100,"OK","lim.")</f>
        <v>OK</v>
      </c>
      <c r="BI51" s="4" t="str">
        <f>IF(AND(SPT!$F$3&lt;&gt;"",ESF[[#This Row],[Prof. (m)]]&gt;=SPT!$F$3),"lim.","OK")</f>
        <v>OK</v>
      </c>
      <c r="BJ51" s="4" t="str">
        <f>IF(COUNTIFS(ESF[Solo],"Areia",ESF[Prof. (m)],"&lt;="&amp;ESF[[#This Row],[Prof. (m)]])&gt;=1,"lim.","OK")</f>
        <v>OK</v>
      </c>
      <c r="BK51" s="4" t="str">
        <f ca="1">IF(ESF[[#This Row],[Verif. Biela]]="OK","OK","lim.")</f>
        <v>OK</v>
      </c>
      <c r="BL51" s="4" t="str">
        <f ca="1">IF(COUNTA(ESF[[#This Row],[Nº Est.]:[Biela comp.]])=COUNTIF(ESF[[#This Row],[Nº Est.]:[Biela comp.]],"OK"),"OK","lim.")</f>
        <v>lim.</v>
      </c>
      <c r="BM51" s="4" t="str">
        <f ca="1">IF(ESF[[#This Row],[Controle]]="OK",ESF[[#This Row],[nE]]&amp;" Ø"&amp;ESF[[#This Row],[Ø (cm)]]&amp;"cm Prof. "&amp;ESF[[#This Row],[Prof. (m)]]&amp;" m","")</f>
        <v/>
      </c>
      <c r="BN51" s="4" t="str">
        <f ca="1">IF(ESF[[#This Row],[idDimensionamento]]="","",ESF[[#This Row],[idPilar]]&amp;ESF[[#This Row],[idDimensionamento]])</f>
        <v/>
      </c>
    </row>
    <row r="52" spans="2:66" x14ac:dyDescent="0.25">
      <c r="B52" s="12">
        <f>ROUNDUP((ROW(ESF[[#This Row],[idDiâmetro]])-ROW(ESF[[#Headers],[idDiâmetro]]))/(COUNT(SPT[Prof. (m)])*COUNT(PILARES[Pilar])),0)</f>
        <v>2</v>
      </c>
      <c r="C52" s="12">
        <f>IF(ESF[[#This Row],[idDiâmetro]]&lt;&gt;B51,1,IF(ESF[[#This Row],[Prof. (m)]]=0,C51+1,C51))</f>
        <v>2</v>
      </c>
      <c r="D52" s="1">
        <f>IFERROR(IF(D51=MAX(SPT[Prof. (m)]),0,D51+1),0)</f>
        <v>5</v>
      </c>
      <c r="E52" s="1">
        <f>INDEX(SPT[],MATCH(ESF[[#This Row],[Prof. (m)]],SPT[Prof. (m)],0),2)</f>
        <v>17</v>
      </c>
      <c r="F52" s="1" t="str">
        <f>INDEX(SPT[],MATCH(ESF[[#This Row],[Prof. (m)]],SPT[Prof. (m)],0),3)</f>
        <v>Areia siltosa</v>
      </c>
      <c r="G52" s="1">
        <f>INDEX(estacas[],ESF[[#This Row],[idDiâmetro]],MATCH($B$2,estacas[#Headers],0))</f>
        <v>30</v>
      </c>
      <c r="H52" s="1">
        <f>INDEX(estacas[],MATCH(ESF[[#This Row],[Ø (cm)]],estacas[Ø ESF (cm)],0),MATCH(ESF[[#Headers],[Pe ESF (kN)]],estacas[#Headers],0))</f>
        <v>360</v>
      </c>
      <c r="I52" s="4">
        <f>INDEX(K_alpha_C[],MATCH(ESF[[#This Row],[Solo]],K_alpha_C[Solo],0),2)</f>
        <v>0.8</v>
      </c>
      <c r="J52" s="5">
        <f>INDEX(K_alpha_C[],MATCH(ESF[[#This Row],[Solo]],K_alpha_C[Solo],0),3)</f>
        <v>2</v>
      </c>
      <c r="K52" s="4">
        <f>INDEX(F1_F2[],MATCH($D$2,F1_F2[Tipo de estaca],0),2)</f>
        <v>3</v>
      </c>
      <c r="L52" s="4">
        <f>INDEX(F1_F2[],MATCH($D$2,F1_F2[Tipo de estaca],0),3)</f>
        <v>6</v>
      </c>
      <c r="M52" s="4">
        <f>PI()*(ESF[[#This Row],[Ø (cm)]]/100)^2/4</f>
        <v>7.0685834705770348E-2</v>
      </c>
      <c r="N52" s="4">
        <f>PI()*ESF[[#This Row],[Ø (cm)]]/100</f>
        <v>0.94247779607693782</v>
      </c>
      <c r="O52" s="4">
        <f>IF(ESF[[#This Row],[Prof. (m)]]=0,0,ESF[[#This Row],[α (%)]]/100*ESF[[#This Row],[K (MPa)]]*1000*ESF[[#This Row],[NSPT]])</f>
        <v>272</v>
      </c>
      <c r="P52" s="4">
        <f>IF(ESF[[#This Row],[Prof. (m)]]=0,0,(ESF[[#This Row],[K (MPa)]]*1000*ESF[[#This Row],[NSPT]]/ESF[[#This Row],[F1]]*ESF[[#This Row],[Ap (m²)]]+ESF[[#This Row],[U (m)]]/ESF[[#This Row],[F2]]*SUMIFS(ESF[(α∙K∙NL∙ΔL)],ESF[Prof. (m)],"&lt;="&amp;ESF[[#This Row],[Prof. (m)]],ESF[idDiâmetro],ESF[[#This Row],[idDiâmetro]],ESF[idPilar],ESF[[#This Row],[idPilar]]))/'DADOS CAP. CARGA'!$D$2)</f>
        <v>201.69024836046469</v>
      </c>
      <c r="Q52" s="12">
        <f>INDEX(C_alpha_beta[],MATCH(ESF[[#This Row],[Solo]],C_alpha_beta[Solo],0),MATCH(ESF[[#Headers],[C (kPa)]],C_alpha_beta[#Headers],0))</f>
        <v>400</v>
      </c>
      <c r="R52" s="4">
        <f>INDEX(C_alpha_beta[],MATCH(ESF[[#This Row],[Solo]],C_alpha_beta[Solo],0),MATCH(ESF[[#Headers],[α ESF]],C_alpha_beta[#Headers],0))</f>
        <v>0.5</v>
      </c>
      <c r="S52" s="4">
        <f>INDEX(C_alpha_beta[],MATCH(ESF[[#This Row],[Solo]],C_alpha_beta[Solo],0),MATCH(ESF[[#Headers],[β ESF]],C_alpha_beta[#Headers],0))</f>
        <v>0.5</v>
      </c>
      <c r="T52" s="4">
        <f>IF(ESF[[#This Row],[Prof. (m)]]=0,0,10*(ESF[[#This Row],[NSPT]]/3+1))</f>
        <v>66.666666666666671</v>
      </c>
      <c r="U52" s="4">
        <f>(ESF[[#This Row],[α ESF]]*ESF[[#This Row],[C (kPa)]]*ESF[[#This Row],[NSPT]]*ESF[[#This Row],[Ap (m²)]])/'DADOS CAP. CARGA'!$Q$2+(ESF[[#This Row],[β ESF]]*SUMIFS(ESF[10∙(NL/3+1)],ESF[Prof. (m)],"&lt;="&amp;ESF[[#This Row],[Prof. (m)]],ESF[idDiâmetro],ESF[[#This Row],[idDiâmetro]],ESF[idPilar],ESF[[#This Row],[idPilar]])*ESF[[#This Row],[U (m)]])/'DADOS CAP. CARGA'!$S$2</f>
        <v>97.782071342982306</v>
      </c>
      <c r="V52" s="4">
        <f>IF(SPT!$M$5=1,MIN(ESF[[#This Row],[Pe ESF (kN)]],ESF[[#This Row],[R_AV (kN)]]),IF(SPT!$M$5=2,MIN(ESF[[#This Row],[Pe ESF (kN)]],ESF[[#This Row],[R_DC (kN)]]),MIN(ESF[[#This Row],[Pe ESF (kN)]],ESF[[#This Row],[R_AV (kN)]],ESF[[#This Row],[R_DC (kN)]])))</f>
        <v>97.782071342982306</v>
      </c>
      <c r="W52" s="4">
        <f>INDEX(PILARES[],ESF[[#This Row],[idPilar]],MATCH("Carga (kN)",PILARES[#Headers],0))*1.4</f>
        <v>1750</v>
      </c>
      <c r="X52" s="12">
        <f>INDEX(PILARES[],ESF[[#This Row],[idPilar]],MATCH(ESF[[#Headers],[ap (cm)]],PILARES[#Headers],0))</f>
        <v>50</v>
      </c>
      <c r="Y52" s="12">
        <f>INDEX(PILARES[],ESF[[#This Row],[idPilar]],MATCH(ESF[[#Headers],[bp (cm)]],PILARES[#Headers],0))</f>
        <v>40</v>
      </c>
      <c r="Z52" s="4">
        <f>SQRT(ESF[[#This Row],[ap (cm)]]*ESF[[#This Row],[bp (cm)]])</f>
        <v>44.721359549995796</v>
      </c>
      <c r="AA52" s="12">
        <f>ESF[[#This Row],[ap (cm)]]*ESF[[#This Row],[bp (cm)]]</f>
        <v>2000</v>
      </c>
      <c r="AB52" s="12">
        <f ca="1">IF(ESF[[#This Row],[Padm∙ε (kN)]]&gt;=ESF[[#This Row],[Padm (kN)]],ROUNDUP(1.05*ESF[[#This Row],[Nsd (kN)]]/ESF[[#This Row],[Padm (kN)]],0),ROUNDUP(1.05*ESF[[#This Row],[Nsd (kN)]]/ESF[[#This Row],[Padm (kN)]],0)+1)</f>
        <v>19</v>
      </c>
      <c r="AC52" s="4" t="str">
        <f ca="1">IFERROR(IF(ESF[[#This Row],[nE]]=1,ESF[[#This Row],[Padm (kN)]],ESF[[#This Row],[Padm (kN)]]*ESF[[#This Row],[nE]]*INDEX(grupoEstacas[],ESF[[#This Row],[nE]],MATCH("ε",grupoEstacas[#Headers],0))),"N.S.")</f>
        <v>N.S.</v>
      </c>
      <c r="AD52" s="4">
        <f ca="1">1.05*ESF[[#This Row],[Nsd (kN)]]/(ESF[[#This Row],[nE]]*PI()*ESF[[#This Row],[Ø (cm)]]^2/4)*10</f>
        <v>1.3681740721934863</v>
      </c>
      <c r="AE52" s="4">
        <f ca="1">IF(ESF[[#This Row],[σ (MPa)]]&lt;INDEX(tipoEstaca[],MATCH($D$2,tipoEstaca[TIPO DE ESTACA],0),MATCH("σmáx (MPa)",tipoEstaca[#Headers],0)),0.4%*PI()*ESF[[#This Row],[Ø (cm)]]^2/4,"N.S.")</f>
        <v>2.8274333882308138</v>
      </c>
      <c r="AF52" s="1">
        <f>INDEX(tipoEstaca[],MATCH($D$2,tipoEstaca[TIPO DE ESTACA],0),MATCH(ESF[[#Headers],[Comprimento (m)]],tipoEstaca[#Headers],0))</f>
        <v>2</v>
      </c>
      <c r="AG52" s="5">
        <f ca="1">ESF[[#This Row],[As,mín (cm²)]]/100^2*ESF[[#This Row],[Comprimento (m)]]*7850</f>
        <v>4.4390704195223778</v>
      </c>
      <c r="AH52" s="4">
        <f ca="1">ESF[[#This Row],[nE]]*ESF[[#This Row],[Prof. (m)]]*ESF[[#This Row],[Ap (m²)]]</f>
        <v>6.7151542970481835</v>
      </c>
      <c r="AI52" s="1">
        <f ca="1">IF(ESF[[#This Row],[nE]]=1,0,MAX(3*ESF[[#This Row],[Ø (cm)]],60))</f>
        <v>90</v>
      </c>
      <c r="AJ52" s="1">
        <f ca="1">IF(ESF[[#This Row],[nE]]=1,ESF[[#This Row],[Ø (cm)]]+2*10,MAX(1.5*ESF[[#This Row],[Ø (cm)]],ESF[[#This Row],[Ø (cm)]]+15))</f>
        <v>45</v>
      </c>
      <c r="AK52" s="1" t="str">
        <f ca="1">alturaUtil(ESF[[#This Row],[nE]],ESF[[#This Row],[Ø (cm)]],ESF[[#This Row],[e (cm)]],ESF[[#This Row],[ap,eq (cm)]])</f>
        <v>N.S.</v>
      </c>
      <c r="AL52" s="1" t="str">
        <f ca="1">IFERROR(ESF[[#This Row],[d (cm)]]+arredondarParaCimaMultiplo5cm(MAX(5,SQRT(PI())/2*ESF[[#This Row],[Ø (cm)]]/5)),"N.S.")</f>
        <v>N.S.</v>
      </c>
      <c r="AM52" s="5" t="str">
        <f ca="1">alpha(ESF[[#This Row],[nE]],ESF[[#This Row],[d (cm)]],ESF[[#This Row],[e (cm)]],ESF[[#This Row],[ap,eq (cm)]])</f>
        <v>N.S.</v>
      </c>
      <c r="AN52" s="35" t="str">
        <f ca="1">IFERROR(ESF[[#This Row],[Nsd (kN)]]/(ESF[[#This Row],[Ap (cm²)]]*SIN(ESF[[#This Row],[α]])^2),"N.S.")</f>
        <v>N.S.</v>
      </c>
      <c r="AO52" s="35" t="str">
        <f ca="1">IFERROR(ESF[[#This Row],[Nsd (kN)]]/(ESF[[#This Row],[nE]]*PI()*ESF[[#This Row],[Ø (cm)]]^2/4*SIN(ESF[[#This Row],[α]])^2),"N.S.")</f>
        <v>N.S.</v>
      </c>
      <c r="AP52" s="4" t="str">
        <f ca="1">IFERROR(INDEX(grupoEstacas[],ESF[[#This Row],[nE]],MATCH("coef. Blévot",grupoEstacas[#Headers],0)),"N.S.")</f>
        <v>N.S.</v>
      </c>
      <c r="AQ52" s="35" t="str">
        <f ca="1">IFERROR(ESF[[#This Row],[coef. Blévot]]*0.9*INDEX(tipoEstaca[],MATCH($D$2,tipoEstaca[TIPO DE ESTACA],0),MATCH("fcd (kN/cm²)",tipoEstaca[#Headers],0)),"N.S.")</f>
        <v>N.S.</v>
      </c>
      <c r="AR52" s="1" t="str">
        <f ca="1">IF(AND(ESF[[#This Row],[cd,b,pil (kN/cm²)]]&lt;=ESF[[#This Row],[cd,b,lim (kN/cm²)]],ESF[[#This Row],[cd,b,est (kN/cm²)]]&lt;=ESF[[#This Row],[cd,b,lim (kN/cm²)]]),"OK","ERRO")</f>
        <v>OK</v>
      </c>
      <c r="AS52" s="4" t="str">
        <f ca="1">As_lado(ESF[[#This Row],[nE]],ESF[[#This Row],[Nsd (kN)]],ESF[[#This Row],[d (cm)]],ESF[[#This Row],[e (cm)]],ESF[[#This Row],[ap,eq (cm)]])</f>
        <v>N.S.</v>
      </c>
      <c r="AT52" s="4" t="str">
        <f ca="1">IF(ESF[[#This Row],[nE]]=1,ESF[[#This Row],[As,lado (cm²)]],IF(ESF[[#This Row],[nE]]=2,0.075*2*ESF[a (cm)],"N.A."))</f>
        <v>N.A.</v>
      </c>
      <c r="AU52" s="4" t="str">
        <f ca="1">IFERROR(IF(ESF[[#This Row],[nE]]=1,"N.A.",0.2*ESF[[#This Row],[As,lado (cm²)]]),"N.S.")</f>
        <v>N.S.</v>
      </c>
      <c r="AV52" s="4" t="str">
        <f ca="1">As_malha(ESF[[#This Row],[nE]],ESF[[#This Row],[As,lado (cm²)]],ESF[[#This Row],[Nsd (kN)]])</f>
        <v>N.S.</v>
      </c>
      <c r="AW52" s="4" t="str">
        <f ca="1">As_susp_tot(ESF[[#This Row],[nE]],ESF[[#This Row],[Nsd (kN)]])</f>
        <v>N.S.</v>
      </c>
      <c r="AX52" s="4" t="str">
        <f ca="1">Asp_face(ESF[[#This Row],[nE]],ESF[[#This Row],[As,lado (cm²)]])</f>
        <v>N.S.</v>
      </c>
      <c r="AY52" s="5" t="str">
        <f ca="1">acoBloco(ESF[[#This Row],[nE]],ESF[[#This Row],[e (cm)]],ESF[[#This Row],[a (cm)]],ESF[[#This Row],[h (cm)]],ESF[[#This Row],[As,lado (cm²)]],ESF[[#This Row],[Asp e Asw (cm²/m)]],ESF[[#This Row],[As,sup (cm²)]],ESF[[#This Row],[As,malha (cm²)]],ESF[[#This Row],[As,susp,tot (cm²)]],ESF[[#This Row],[Asp,face (cm²)]])</f>
        <v>N.S.</v>
      </c>
      <c r="AZ52" s="4" t="str">
        <f ca="1">concretoBloco(ESF[[#This Row],[nE]],ESF[[#This Row],[e (cm)]],ESF[[#This Row],[a (cm)]],ESF[[#This Row],[h (cm)]])</f>
        <v>N.S.</v>
      </c>
      <c r="BA52" s="5">
        <f ca="1">SUM(ESF[[#This Row],[Aço Est (kg)]],ESF[[#This Row],[Aço Bloco (kg)]])</f>
        <v>4.4390704195223778</v>
      </c>
      <c r="BB52" s="4">
        <f>INDEX(composicoes[],MATCH(95580,composicoes[CÓDIGO],0),MATCH("CUSTO TOTAL",composicoes[#Headers],0))</f>
        <v>10.46</v>
      </c>
      <c r="BC52" s="4">
        <f ca="1">SUM(ESF[[#This Row],[Conc Est (m³)]],ESF[[#This Row],[Conc Bloco (m³)]])</f>
        <v>6.7151542970481835</v>
      </c>
      <c r="BD52" s="4">
        <f>INDEX(composicoes[],MATCH(94966,composicoes[CÓDIGO],0),MATCH("CUSTO TOTAL",composicoes[#Headers],0))</f>
        <v>439.52</v>
      </c>
      <c r="BE52" s="38">
        <f ca="1">ESF[[#This Row],[Aço (kg)]]*ESF[[#This Row],[Aço (R$/kg)]]+ESF[[#This Row],[Conc (m³)]]*ESF[[#This Row],[Conc (R$/m³)]]</f>
        <v>2997.8772932268216</v>
      </c>
      <c r="BF52" s="4" t="str">
        <f ca="1">IF(COUNTIF(ESF[#This Row],"N.S.")&gt;0,"lim.","OK")</f>
        <v>lim.</v>
      </c>
      <c r="BG52" s="4" t="str">
        <f>IF(ESF[[#This Row],[Prof. (m)]]&lt;3,"lim.","OK")</f>
        <v>OK</v>
      </c>
      <c r="BH52" s="4" t="str">
        <f>IF(ESF[[#This Row],[Prof. (m)]]&gt;=8*ESF[[#This Row],[Ø (cm)]]/100,"OK","lim.")</f>
        <v>OK</v>
      </c>
      <c r="BI52" s="4" t="str">
        <f>IF(AND(SPT!$F$3&lt;&gt;"",ESF[[#This Row],[Prof. (m)]]&gt;=SPT!$F$3),"lim.","OK")</f>
        <v>OK</v>
      </c>
      <c r="BJ52" s="4" t="str">
        <f>IF(COUNTIFS(ESF[Solo],"Areia",ESF[Prof. (m)],"&lt;="&amp;ESF[[#This Row],[Prof. (m)]])&gt;=1,"lim.","OK")</f>
        <v>OK</v>
      </c>
      <c r="BK52" s="4" t="str">
        <f ca="1">IF(ESF[[#This Row],[Verif. Biela]]="OK","OK","lim.")</f>
        <v>OK</v>
      </c>
      <c r="BL52" s="4" t="str">
        <f ca="1">IF(COUNTA(ESF[[#This Row],[Nº Est.]:[Biela comp.]])=COUNTIF(ESF[[#This Row],[Nº Est.]:[Biela comp.]],"OK"),"OK","lim.")</f>
        <v>lim.</v>
      </c>
      <c r="BM52" s="4" t="str">
        <f ca="1">IF(ESF[[#This Row],[Controle]]="OK",ESF[[#This Row],[nE]]&amp;" Ø"&amp;ESF[[#This Row],[Ø (cm)]]&amp;"cm Prof. "&amp;ESF[[#This Row],[Prof. (m)]]&amp;" m","")</f>
        <v/>
      </c>
      <c r="BN52" s="4" t="str">
        <f ca="1">IF(ESF[[#This Row],[idDimensionamento]]="","",ESF[[#This Row],[idPilar]]&amp;ESF[[#This Row],[idDimensionamento]])</f>
        <v/>
      </c>
    </row>
    <row r="53" spans="2:66" x14ac:dyDescent="0.25">
      <c r="B53" s="12">
        <f>ROUNDUP((ROW(ESF[[#This Row],[idDiâmetro]])-ROW(ESF[[#Headers],[idDiâmetro]]))/(COUNT(SPT[Prof. (m)])*COUNT(PILARES[Pilar])),0)</f>
        <v>2</v>
      </c>
      <c r="C53" s="12">
        <f>IF(ESF[[#This Row],[idDiâmetro]]&lt;&gt;B52,1,IF(ESF[[#This Row],[Prof. (m)]]=0,C52+1,C52))</f>
        <v>2</v>
      </c>
      <c r="D53" s="1">
        <f>IFERROR(IF(D52=MAX(SPT[Prof. (m)]),0,D52+1),0)</f>
        <v>6</v>
      </c>
      <c r="E53" s="1">
        <f>INDEX(SPT[],MATCH(ESF[[#This Row],[Prof. (m)]],SPT[Prof. (m)],0),2)</f>
        <v>21</v>
      </c>
      <c r="F53" s="1" t="str">
        <f>INDEX(SPT[],MATCH(ESF[[#This Row],[Prof. (m)]],SPT[Prof. (m)],0),3)</f>
        <v>Silte arenoso</v>
      </c>
      <c r="G53" s="1">
        <f>INDEX(estacas[],ESF[[#This Row],[idDiâmetro]],MATCH($B$2,estacas[#Headers],0))</f>
        <v>30</v>
      </c>
      <c r="H53" s="1">
        <f>INDEX(estacas[],MATCH(ESF[[#This Row],[Ø (cm)]],estacas[Ø ESF (cm)],0),MATCH(ESF[[#Headers],[Pe ESF (kN)]],estacas[#Headers],0))</f>
        <v>360</v>
      </c>
      <c r="I53" s="4">
        <f>INDEX(K_alpha_C[],MATCH(ESF[[#This Row],[Solo]],K_alpha_C[Solo],0),2)</f>
        <v>0.55000000000000004</v>
      </c>
      <c r="J53" s="5">
        <f>INDEX(K_alpha_C[],MATCH(ESF[[#This Row],[Solo]],K_alpha_C[Solo],0),3)</f>
        <v>2.2000000000000002</v>
      </c>
      <c r="K53" s="4">
        <f>INDEX(F1_F2[],MATCH($D$2,F1_F2[Tipo de estaca],0),2)</f>
        <v>3</v>
      </c>
      <c r="L53" s="4">
        <f>INDEX(F1_F2[],MATCH($D$2,F1_F2[Tipo de estaca],0),3)</f>
        <v>6</v>
      </c>
      <c r="M53" s="4">
        <f>PI()*(ESF[[#This Row],[Ø (cm)]]/100)^2/4</f>
        <v>7.0685834705770348E-2</v>
      </c>
      <c r="N53" s="4">
        <f>PI()*ESF[[#This Row],[Ø (cm)]]/100</f>
        <v>0.94247779607693782</v>
      </c>
      <c r="O53" s="4">
        <f>IF(ESF[[#This Row],[Prof. (m)]]=0,0,ESF[[#This Row],[α (%)]]/100*ESF[[#This Row],[K (MPa)]]*1000*ESF[[#This Row],[NSPT]])</f>
        <v>254.10000000000002</v>
      </c>
      <c r="P53" s="4">
        <f>IF(ESF[[#This Row],[Prof. (m)]]=0,0,(ESF[[#This Row],[K (MPa)]]*1000*ESF[[#This Row],[NSPT]]/ESF[[#This Row],[F1]]*ESF[[#This Row],[Ap (m²)]]+ESF[[#This Row],[U (m)]]/ESF[[#This Row],[F2]]*SUMIFS(ESF[(α∙K∙NL∙ΔL)],ESF[Prof. (m)],"&lt;="&amp;ESF[[#This Row],[Prof. (m)]],ESF[idDiâmetro],ESF[[#This Row],[idDiâmetro]],ESF[idPilar],ESF[[#This Row],[idPilar]]))/'DADOS CAP. CARGA'!$D$2)</f>
        <v>197.49622216792235</v>
      </c>
      <c r="Q53" s="12">
        <f>INDEX(C_alpha_beta[],MATCH(ESF[[#This Row],[Solo]],C_alpha_beta[Solo],0),MATCH(ESF[[#Headers],[C (kPa)]],C_alpha_beta[#Headers],0))</f>
        <v>250</v>
      </c>
      <c r="R53" s="4">
        <f>INDEX(C_alpha_beta[],MATCH(ESF[[#This Row],[Solo]],C_alpha_beta[Solo],0),MATCH(ESF[[#Headers],[α ESF]],C_alpha_beta[#Headers],0))</f>
        <v>0.6</v>
      </c>
      <c r="S53" s="4">
        <f>INDEX(C_alpha_beta[],MATCH(ESF[[#This Row],[Solo]],C_alpha_beta[Solo],0),MATCH(ESF[[#Headers],[β ESF]],C_alpha_beta[#Headers],0))</f>
        <v>0.65</v>
      </c>
      <c r="T53" s="4">
        <f>IF(ESF[[#This Row],[Prof. (m)]]=0,0,10*(ESF[[#This Row],[NSPT]]/3+1))</f>
        <v>80</v>
      </c>
      <c r="U53" s="4">
        <f>(ESF[[#This Row],[α ESF]]*ESF[[#This Row],[C (kPa)]]*ESF[[#This Row],[NSPT]]*ESF[[#This Row],[Ap (m²)]])/'DADOS CAP. CARGA'!$Q$2+(ESF[[#This Row],[β ESF]]*SUMIFS(ESF[10∙(NL/3+1)],ESF[Prof. (m)],"&lt;="&amp;ESF[[#This Row],[Prof. (m)]],ESF[idDiâmetro],ESF[[#This Row],[idDiâmetro]],ESF[idPilar],ESF[[#This Row],[idPilar]])*ESF[[#This Row],[U (m)]])/'DADOS CAP. CARGA'!$S$2</f>
        <v>129.17836292479529</v>
      </c>
      <c r="V53" s="4">
        <f>IF(SPT!$M$5=1,MIN(ESF[[#This Row],[Pe ESF (kN)]],ESF[[#This Row],[R_AV (kN)]]),IF(SPT!$M$5=2,MIN(ESF[[#This Row],[Pe ESF (kN)]],ESF[[#This Row],[R_DC (kN)]]),MIN(ESF[[#This Row],[Pe ESF (kN)]],ESF[[#This Row],[R_AV (kN)]],ESF[[#This Row],[R_DC (kN)]])))</f>
        <v>129.17836292479529</v>
      </c>
      <c r="W53" s="4">
        <f>INDEX(PILARES[],ESF[[#This Row],[idPilar]],MATCH("Carga (kN)",PILARES[#Headers],0))*1.4</f>
        <v>1750</v>
      </c>
      <c r="X53" s="12">
        <f>INDEX(PILARES[],ESF[[#This Row],[idPilar]],MATCH(ESF[[#Headers],[ap (cm)]],PILARES[#Headers],0))</f>
        <v>50</v>
      </c>
      <c r="Y53" s="12">
        <f>INDEX(PILARES[],ESF[[#This Row],[idPilar]],MATCH(ESF[[#Headers],[bp (cm)]],PILARES[#Headers],0))</f>
        <v>40</v>
      </c>
      <c r="Z53" s="4">
        <f>SQRT(ESF[[#This Row],[ap (cm)]]*ESF[[#This Row],[bp (cm)]])</f>
        <v>44.721359549995796</v>
      </c>
      <c r="AA53" s="12">
        <f>ESF[[#This Row],[ap (cm)]]*ESF[[#This Row],[bp (cm)]]</f>
        <v>2000</v>
      </c>
      <c r="AB53" s="12">
        <f ca="1">IF(ESF[[#This Row],[Padm∙ε (kN)]]&gt;=ESF[[#This Row],[Padm (kN)]],ROUNDUP(1.05*ESF[[#This Row],[Nsd (kN)]]/ESF[[#This Row],[Padm (kN)]],0),ROUNDUP(1.05*ESF[[#This Row],[Nsd (kN)]]/ESF[[#This Row],[Padm (kN)]],0)+1)</f>
        <v>15</v>
      </c>
      <c r="AC53" s="4" t="str">
        <f ca="1">IFERROR(IF(ESF[[#This Row],[nE]]=1,ESF[[#This Row],[Padm (kN)]],ESF[[#This Row],[Padm (kN)]]*ESF[[#This Row],[nE]]*INDEX(grupoEstacas[],ESF[[#This Row],[nE]],MATCH("ε",grupoEstacas[#Headers],0))),"N.S.")</f>
        <v>N.S.</v>
      </c>
      <c r="AD53" s="4">
        <f ca="1">1.05*ESF[[#This Row],[Nsd (kN)]]/(ESF[[#This Row],[nE]]*PI()*ESF[[#This Row],[Ø (cm)]]^2/4)*10</f>
        <v>1.7330204914450826</v>
      </c>
      <c r="AE53" s="4">
        <f ca="1">IF(ESF[[#This Row],[σ (MPa)]]&lt;INDEX(tipoEstaca[],MATCH($D$2,tipoEstaca[TIPO DE ESTACA],0),MATCH("σmáx (MPa)",tipoEstaca[#Headers],0)),0.4%*PI()*ESF[[#This Row],[Ø (cm)]]^2/4,"N.S.")</f>
        <v>2.8274333882308138</v>
      </c>
      <c r="AF53" s="1">
        <f>INDEX(tipoEstaca[],MATCH($D$2,tipoEstaca[TIPO DE ESTACA],0),MATCH(ESF[[#Headers],[Comprimento (m)]],tipoEstaca[#Headers],0))</f>
        <v>2</v>
      </c>
      <c r="AG53" s="5">
        <f ca="1">ESF[[#This Row],[As,mín (cm²)]]/100^2*ESF[[#This Row],[Comprimento (m)]]*7850</f>
        <v>4.4390704195223778</v>
      </c>
      <c r="AH53" s="4">
        <f ca="1">ESF[[#This Row],[nE]]*ESF[[#This Row],[Prof. (m)]]*ESF[[#This Row],[Ap (m²)]]</f>
        <v>6.3617251235193315</v>
      </c>
      <c r="AI53" s="1">
        <f ca="1">IF(ESF[[#This Row],[nE]]=1,0,MAX(3*ESF[[#This Row],[Ø (cm)]],60))</f>
        <v>90</v>
      </c>
      <c r="AJ53" s="1">
        <f ca="1">IF(ESF[[#This Row],[nE]]=1,ESF[[#This Row],[Ø (cm)]]+2*10,MAX(1.5*ESF[[#This Row],[Ø (cm)]],ESF[[#This Row],[Ø (cm)]]+15))</f>
        <v>45</v>
      </c>
      <c r="AK53" s="1" t="str">
        <f ca="1">alturaUtil(ESF[[#This Row],[nE]],ESF[[#This Row],[Ø (cm)]],ESF[[#This Row],[e (cm)]],ESF[[#This Row],[ap,eq (cm)]])</f>
        <v>N.S.</v>
      </c>
      <c r="AL53" s="1" t="str">
        <f ca="1">IFERROR(ESF[[#This Row],[d (cm)]]+arredondarParaCimaMultiplo5cm(MAX(5,SQRT(PI())/2*ESF[[#This Row],[Ø (cm)]]/5)),"N.S.")</f>
        <v>N.S.</v>
      </c>
      <c r="AM53" s="5" t="str">
        <f ca="1">alpha(ESF[[#This Row],[nE]],ESF[[#This Row],[d (cm)]],ESF[[#This Row],[e (cm)]],ESF[[#This Row],[ap,eq (cm)]])</f>
        <v>N.S.</v>
      </c>
      <c r="AN53" s="35" t="str">
        <f ca="1">IFERROR(ESF[[#This Row],[Nsd (kN)]]/(ESF[[#This Row],[Ap (cm²)]]*SIN(ESF[[#This Row],[α]])^2),"N.S.")</f>
        <v>N.S.</v>
      </c>
      <c r="AO53" s="35" t="str">
        <f ca="1">IFERROR(ESF[[#This Row],[Nsd (kN)]]/(ESF[[#This Row],[nE]]*PI()*ESF[[#This Row],[Ø (cm)]]^2/4*SIN(ESF[[#This Row],[α]])^2),"N.S.")</f>
        <v>N.S.</v>
      </c>
      <c r="AP53" s="4" t="str">
        <f ca="1">IFERROR(INDEX(grupoEstacas[],ESF[[#This Row],[nE]],MATCH("coef. Blévot",grupoEstacas[#Headers],0)),"N.S.")</f>
        <v>N.S.</v>
      </c>
      <c r="AQ53" s="35" t="str">
        <f ca="1">IFERROR(ESF[[#This Row],[coef. Blévot]]*0.9*INDEX(tipoEstaca[],MATCH($D$2,tipoEstaca[TIPO DE ESTACA],0),MATCH("fcd (kN/cm²)",tipoEstaca[#Headers],0)),"N.S.")</f>
        <v>N.S.</v>
      </c>
      <c r="AR53" s="1" t="str">
        <f ca="1">IF(AND(ESF[[#This Row],[cd,b,pil (kN/cm²)]]&lt;=ESF[[#This Row],[cd,b,lim (kN/cm²)]],ESF[[#This Row],[cd,b,est (kN/cm²)]]&lt;=ESF[[#This Row],[cd,b,lim (kN/cm²)]]),"OK","ERRO")</f>
        <v>OK</v>
      </c>
      <c r="AS53" s="4" t="str">
        <f ca="1">As_lado(ESF[[#This Row],[nE]],ESF[[#This Row],[Nsd (kN)]],ESF[[#This Row],[d (cm)]],ESF[[#This Row],[e (cm)]],ESF[[#This Row],[ap,eq (cm)]])</f>
        <v>N.S.</v>
      </c>
      <c r="AT53" s="4" t="str">
        <f ca="1">IF(ESF[[#This Row],[nE]]=1,ESF[[#This Row],[As,lado (cm²)]],IF(ESF[[#This Row],[nE]]=2,0.075*2*ESF[a (cm)],"N.A."))</f>
        <v>N.A.</v>
      </c>
      <c r="AU53" s="4" t="str">
        <f ca="1">IFERROR(IF(ESF[[#This Row],[nE]]=1,"N.A.",0.2*ESF[[#This Row],[As,lado (cm²)]]),"N.S.")</f>
        <v>N.S.</v>
      </c>
      <c r="AV53" s="4" t="str">
        <f ca="1">As_malha(ESF[[#This Row],[nE]],ESF[[#This Row],[As,lado (cm²)]],ESF[[#This Row],[Nsd (kN)]])</f>
        <v>N.S.</v>
      </c>
      <c r="AW53" s="4" t="str">
        <f ca="1">As_susp_tot(ESF[[#This Row],[nE]],ESF[[#This Row],[Nsd (kN)]])</f>
        <v>N.S.</v>
      </c>
      <c r="AX53" s="4" t="str">
        <f ca="1">Asp_face(ESF[[#This Row],[nE]],ESF[[#This Row],[As,lado (cm²)]])</f>
        <v>N.S.</v>
      </c>
      <c r="AY53" s="5" t="str">
        <f ca="1">acoBloco(ESF[[#This Row],[nE]],ESF[[#This Row],[e (cm)]],ESF[[#This Row],[a (cm)]],ESF[[#This Row],[h (cm)]],ESF[[#This Row],[As,lado (cm²)]],ESF[[#This Row],[Asp e Asw (cm²/m)]],ESF[[#This Row],[As,sup (cm²)]],ESF[[#This Row],[As,malha (cm²)]],ESF[[#This Row],[As,susp,tot (cm²)]],ESF[[#This Row],[Asp,face (cm²)]])</f>
        <v>N.S.</v>
      </c>
      <c r="AZ53" s="4" t="str">
        <f ca="1">concretoBloco(ESF[[#This Row],[nE]],ESF[[#This Row],[e (cm)]],ESF[[#This Row],[a (cm)]],ESF[[#This Row],[h (cm)]])</f>
        <v>N.S.</v>
      </c>
      <c r="BA53" s="5">
        <f ca="1">SUM(ESF[[#This Row],[Aço Est (kg)]],ESF[[#This Row],[Aço Bloco (kg)]])</f>
        <v>4.4390704195223778</v>
      </c>
      <c r="BB53" s="4">
        <f>INDEX(composicoes[],MATCH(95580,composicoes[CÓDIGO],0),MATCH("CUSTO TOTAL",composicoes[#Headers],0))</f>
        <v>10.46</v>
      </c>
      <c r="BC53" s="4">
        <f ca="1">SUM(ESF[[#This Row],[Conc Est (m³)]],ESF[[#This Row],[Conc Bloco (m³)]])</f>
        <v>6.3617251235193315</v>
      </c>
      <c r="BD53" s="4">
        <f>INDEX(composicoes[],MATCH(94966,composicoes[CÓDIGO],0),MATCH("CUSTO TOTAL",composicoes[#Headers],0))</f>
        <v>439.52</v>
      </c>
      <c r="BE53" s="38">
        <f ca="1">ESF[[#This Row],[Aço (kg)]]*ESF[[#This Row],[Aço (R$/kg)]]+ESF[[#This Row],[Conc (m³)]]*ESF[[#This Row],[Conc (R$/m³)]]</f>
        <v>2842.5381028774209</v>
      </c>
      <c r="BF53" s="4" t="str">
        <f ca="1">IF(COUNTIF(ESF[#This Row],"N.S.")&gt;0,"lim.","OK")</f>
        <v>lim.</v>
      </c>
      <c r="BG53" s="4" t="str">
        <f>IF(ESF[[#This Row],[Prof. (m)]]&lt;3,"lim.","OK")</f>
        <v>OK</v>
      </c>
      <c r="BH53" s="4" t="str">
        <f>IF(ESF[[#This Row],[Prof. (m)]]&gt;=8*ESF[[#This Row],[Ø (cm)]]/100,"OK","lim.")</f>
        <v>OK</v>
      </c>
      <c r="BI53" s="4" t="str">
        <f>IF(AND(SPT!$F$3&lt;&gt;"",ESF[[#This Row],[Prof. (m)]]&gt;=SPT!$F$3),"lim.","OK")</f>
        <v>OK</v>
      </c>
      <c r="BJ53" s="4" t="str">
        <f>IF(COUNTIFS(ESF[Solo],"Areia",ESF[Prof. (m)],"&lt;="&amp;ESF[[#This Row],[Prof. (m)]])&gt;=1,"lim.","OK")</f>
        <v>OK</v>
      </c>
      <c r="BK53" s="4" t="str">
        <f ca="1">IF(ESF[[#This Row],[Verif. Biela]]="OK","OK","lim.")</f>
        <v>OK</v>
      </c>
      <c r="BL53" s="4" t="str">
        <f ca="1">IF(COUNTA(ESF[[#This Row],[Nº Est.]:[Biela comp.]])=COUNTIF(ESF[[#This Row],[Nº Est.]:[Biela comp.]],"OK"),"OK","lim.")</f>
        <v>lim.</v>
      </c>
      <c r="BM53" s="4" t="str">
        <f ca="1">IF(ESF[[#This Row],[Controle]]="OK",ESF[[#This Row],[nE]]&amp;" Ø"&amp;ESF[[#This Row],[Ø (cm)]]&amp;"cm Prof. "&amp;ESF[[#This Row],[Prof. (m)]]&amp;" m","")</f>
        <v/>
      </c>
      <c r="BN53" s="4" t="str">
        <f ca="1">IF(ESF[[#This Row],[idDimensionamento]]="","",ESF[[#This Row],[idPilar]]&amp;ESF[[#This Row],[idDimensionamento]])</f>
        <v/>
      </c>
    </row>
    <row r="54" spans="2:66" x14ac:dyDescent="0.25">
      <c r="B54" s="12">
        <f>ROUNDUP((ROW(ESF[[#This Row],[idDiâmetro]])-ROW(ESF[[#Headers],[idDiâmetro]]))/(COUNT(SPT[Prof. (m)])*COUNT(PILARES[Pilar])),0)</f>
        <v>2</v>
      </c>
      <c r="C54" s="12">
        <f>IF(ESF[[#This Row],[idDiâmetro]]&lt;&gt;B53,1,IF(ESF[[#This Row],[Prof. (m)]]=0,C53+1,C53))</f>
        <v>2</v>
      </c>
      <c r="D54" s="1">
        <f>IFERROR(IF(D53=MAX(SPT[Prof. (m)]),0,D53+1),0)</f>
        <v>7</v>
      </c>
      <c r="E54" s="1">
        <f>INDEX(SPT[],MATCH(ESF[[#This Row],[Prof. (m)]],SPT[Prof. (m)],0),2)</f>
        <v>8</v>
      </c>
      <c r="F54" s="1" t="str">
        <f>INDEX(SPT[],MATCH(ESF[[#This Row],[Prof. (m)]],SPT[Prof. (m)],0),3)</f>
        <v>Silte arenoso</v>
      </c>
      <c r="G54" s="1">
        <f>INDEX(estacas[],ESF[[#This Row],[idDiâmetro]],MATCH($B$2,estacas[#Headers],0))</f>
        <v>30</v>
      </c>
      <c r="H54" s="1">
        <f>INDEX(estacas[],MATCH(ESF[[#This Row],[Ø (cm)]],estacas[Ø ESF (cm)],0),MATCH(ESF[[#Headers],[Pe ESF (kN)]],estacas[#Headers],0))</f>
        <v>360</v>
      </c>
      <c r="I54" s="4">
        <f>INDEX(K_alpha_C[],MATCH(ESF[[#This Row],[Solo]],K_alpha_C[Solo],0),2)</f>
        <v>0.55000000000000004</v>
      </c>
      <c r="J54" s="5">
        <f>INDEX(K_alpha_C[],MATCH(ESF[[#This Row],[Solo]],K_alpha_C[Solo],0),3)</f>
        <v>2.2000000000000002</v>
      </c>
      <c r="K54" s="4">
        <f>INDEX(F1_F2[],MATCH($D$2,F1_F2[Tipo de estaca],0),2)</f>
        <v>3</v>
      </c>
      <c r="L54" s="4">
        <f>INDEX(F1_F2[],MATCH($D$2,F1_F2[Tipo de estaca],0),3)</f>
        <v>6</v>
      </c>
      <c r="M54" s="4">
        <f>PI()*(ESF[[#This Row],[Ø (cm)]]/100)^2/4</f>
        <v>7.0685834705770348E-2</v>
      </c>
      <c r="N54" s="4">
        <f>PI()*ESF[[#This Row],[Ø (cm)]]/100</f>
        <v>0.94247779607693782</v>
      </c>
      <c r="O54" s="4">
        <f>IF(ESF[[#This Row],[Prof. (m)]]=0,0,ESF[[#This Row],[α (%)]]/100*ESF[[#This Row],[K (MPa)]]*1000*ESF[[#This Row],[NSPT]])</f>
        <v>96.800000000000011</v>
      </c>
      <c r="P54" s="4">
        <f>IF(ESF[[#This Row],[Prof. (m)]]=0,0,(ESF[[#This Row],[K (MPa)]]*1000*ESF[[#This Row],[NSPT]]/ESF[[#This Row],[F1]]*ESF[[#This Row],[Ap (m²)]]+ESF[[#This Row],[U (m)]]/ESF[[#This Row],[F2]]*SUMIFS(ESF[(α∙K∙NL∙ΔL)],ESF[Prof. (m)],"&lt;="&amp;ESF[[#This Row],[Prof. (m)]],ESF[idDiâmetro],ESF[[#This Row],[idDiâmetro]],ESF[idPilar],ESF[[#This Row],[idPilar]]))/'DADOS CAP. CARGA'!$D$2)</f>
        <v>120.86492336523332</v>
      </c>
      <c r="Q54" s="12">
        <f>INDEX(C_alpha_beta[],MATCH(ESF[[#This Row],[Solo]],C_alpha_beta[Solo],0),MATCH(ESF[[#Headers],[C (kPa)]],C_alpha_beta[#Headers],0))</f>
        <v>250</v>
      </c>
      <c r="R54" s="4">
        <f>INDEX(C_alpha_beta[],MATCH(ESF[[#This Row],[Solo]],C_alpha_beta[Solo],0),MATCH(ESF[[#Headers],[α ESF]],C_alpha_beta[#Headers],0))</f>
        <v>0.6</v>
      </c>
      <c r="S54" s="4">
        <f>INDEX(C_alpha_beta[],MATCH(ESF[[#This Row],[Solo]],C_alpha_beta[Solo],0),MATCH(ESF[[#Headers],[β ESF]],C_alpha_beta[#Headers],0))</f>
        <v>0.65</v>
      </c>
      <c r="T54" s="4">
        <f>IF(ESF[[#This Row],[Prof. (m)]]=0,0,10*(ESF[[#This Row],[NSPT]]/3+1))</f>
        <v>36.666666666666664</v>
      </c>
      <c r="U54" s="4">
        <f>(ESF[[#This Row],[α ESF]]*ESF[[#This Row],[C (kPa)]]*ESF[[#This Row],[NSPT]]*ESF[[#This Row],[Ap (m²)]])/'DADOS CAP. CARGA'!$Q$2+(ESF[[#This Row],[β ESF]]*SUMIFS(ESF[10∙(NL/3+1)],ESF[Prof. (m)],"&lt;="&amp;ESF[[#This Row],[Prof. (m)]],ESF[idDiâmetro],ESF[[#This Row],[idDiâmetro]],ESF[idPilar],ESF[[#This Row],[idPilar]])*ESF[[#This Row],[U (m)]])/'DADOS CAP. CARGA'!$S$2</f>
        <v>105.95021224231577</v>
      </c>
      <c r="V54" s="4">
        <f>IF(SPT!$M$5=1,MIN(ESF[[#This Row],[Pe ESF (kN)]],ESF[[#This Row],[R_AV (kN)]]),IF(SPT!$M$5=2,MIN(ESF[[#This Row],[Pe ESF (kN)]],ESF[[#This Row],[R_DC (kN)]]),MIN(ESF[[#This Row],[Pe ESF (kN)]],ESF[[#This Row],[R_AV (kN)]],ESF[[#This Row],[R_DC (kN)]])))</f>
        <v>105.95021224231577</v>
      </c>
      <c r="W54" s="4">
        <f>INDEX(PILARES[],ESF[[#This Row],[idPilar]],MATCH("Carga (kN)",PILARES[#Headers],0))*1.4</f>
        <v>1750</v>
      </c>
      <c r="X54" s="12">
        <f>INDEX(PILARES[],ESF[[#This Row],[idPilar]],MATCH(ESF[[#Headers],[ap (cm)]],PILARES[#Headers],0))</f>
        <v>50</v>
      </c>
      <c r="Y54" s="12">
        <f>INDEX(PILARES[],ESF[[#This Row],[idPilar]],MATCH(ESF[[#Headers],[bp (cm)]],PILARES[#Headers],0))</f>
        <v>40</v>
      </c>
      <c r="Z54" s="4">
        <f>SQRT(ESF[[#This Row],[ap (cm)]]*ESF[[#This Row],[bp (cm)]])</f>
        <v>44.721359549995796</v>
      </c>
      <c r="AA54" s="12">
        <f>ESF[[#This Row],[ap (cm)]]*ESF[[#This Row],[bp (cm)]]</f>
        <v>2000</v>
      </c>
      <c r="AB54" s="12">
        <f ca="1">IF(ESF[[#This Row],[Padm∙ε (kN)]]&gt;=ESF[[#This Row],[Padm (kN)]],ROUNDUP(1.05*ESF[[#This Row],[Nsd (kN)]]/ESF[[#This Row],[Padm (kN)]],0),ROUNDUP(1.05*ESF[[#This Row],[Nsd (kN)]]/ESF[[#This Row],[Padm (kN)]],0)+1)</f>
        <v>18</v>
      </c>
      <c r="AC54" s="4" t="str">
        <f ca="1">IFERROR(IF(ESF[[#This Row],[nE]]=1,ESF[[#This Row],[Padm (kN)]],ESF[[#This Row],[Padm (kN)]]*ESF[[#This Row],[nE]]*INDEX(grupoEstacas[],ESF[[#This Row],[nE]],MATCH("ε",grupoEstacas[#Headers],0))),"N.S.")</f>
        <v>N.S.</v>
      </c>
      <c r="AD54" s="4">
        <f ca="1">1.05*ESF[[#This Row],[Nsd (kN)]]/(ESF[[#This Row],[nE]]*PI()*ESF[[#This Row],[Ø (cm)]]^2/4)*10</f>
        <v>1.4441837428709023</v>
      </c>
      <c r="AE54" s="4">
        <f ca="1">IF(ESF[[#This Row],[σ (MPa)]]&lt;INDEX(tipoEstaca[],MATCH($D$2,tipoEstaca[TIPO DE ESTACA],0),MATCH("σmáx (MPa)",tipoEstaca[#Headers],0)),0.4%*PI()*ESF[[#This Row],[Ø (cm)]]^2/4,"N.S.")</f>
        <v>2.8274333882308138</v>
      </c>
      <c r="AF54" s="1">
        <f>INDEX(tipoEstaca[],MATCH($D$2,tipoEstaca[TIPO DE ESTACA],0),MATCH(ESF[[#Headers],[Comprimento (m)]],tipoEstaca[#Headers],0))</f>
        <v>2</v>
      </c>
      <c r="AG54" s="5">
        <f ca="1">ESF[[#This Row],[As,mín (cm²)]]/100^2*ESF[[#This Row],[Comprimento (m)]]*7850</f>
        <v>4.4390704195223778</v>
      </c>
      <c r="AH54" s="4">
        <f ca="1">ESF[[#This Row],[nE]]*ESF[[#This Row],[Prof. (m)]]*ESF[[#This Row],[Ap (m²)]]</f>
        <v>8.9064151729270638</v>
      </c>
      <c r="AI54" s="1">
        <f ca="1">IF(ESF[[#This Row],[nE]]=1,0,MAX(3*ESF[[#This Row],[Ø (cm)]],60))</f>
        <v>90</v>
      </c>
      <c r="AJ54" s="1">
        <f ca="1">IF(ESF[[#This Row],[nE]]=1,ESF[[#This Row],[Ø (cm)]]+2*10,MAX(1.5*ESF[[#This Row],[Ø (cm)]],ESF[[#This Row],[Ø (cm)]]+15))</f>
        <v>45</v>
      </c>
      <c r="AK54" s="1" t="str">
        <f ca="1">alturaUtil(ESF[[#This Row],[nE]],ESF[[#This Row],[Ø (cm)]],ESF[[#This Row],[e (cm)]],ESF[[#This Row],[ap,eq (cm)]])</f>
        <v>N.S.</v>
      </c>
      <c r="AL54" s="1" t="str">
        <f ca="1">IFERROR(ESF[[#This Row],[d (cm)]]+arredondarParaCimaMultiplo5cm(MAX(5,SQRT(PI())/2*ESF[[#This Row],[Ø (cm)]]/5)),"N.S.")</f>
        <v>N.S.</v>
      </c>
      <c r="AM54" s="5" t="str">
        <f ca="1">alpha(ESF[[#This Row],[nE]],ESF[[#This Row],[d (cm)]],ESF[[#This Row],[e (cm)]],ESF[[#This Row],[ap,eq (cm)]])</f>
        <v>N.S.</v>
      </c>
      <c r="AN54" s="35" t="str">
        <f ca="1">IFERROR(ESF[[#This Row],[Nsd (kN)]]/(ESF[[#This Row],[Ap (cm²)]]*SIN(ESF[[#This Row],[α]])^2),"N.S.")</f>
        <v>N.S.</v>
      </c>
      <c r="AO54" s="35" t="str">
        <f ca="1">IFERROR(ESF[[#This Row],[Nsd (kN)]]/(ESF[[#This Row],[nE]]*PI()*ESF[[#This Row],[Ø (cm)]]^2/4*SIN(ESF[[#This Row],[α]])^2),"N.S.")</f>
        <v>N.S.</v>
      </c>
      <c r="AP54" s="4" t="str">
        <f ca="1">IFERROR(INDEX(grupoEstacas[],ESF[[#This Row],[nE]],MATCH("coef. Blévot",grupoEstacas[#Headers],0)),"N.S.")</f>
        <v>N.S.</v>
      </c>
      <c r="AQ54" s="35" t="str">
        <f ca="1">IFERROR(ESF[[#This Row],[coef. Blévot]]*0.9*INDEX(tipoEstaca[],MATCH($D$2,tipoEstaca[TIPO DE ESTACA],0),MATCH("fcd (kN/cm²)",tipoEstaca[#Headers],0)),"N.S.")</f>
        <v>N.S.</v>
      </c>
      <c r="AR54" s="1" t="str">
        <f ca="1">IF(AND(ESF[[#This Row],[cd,b,pil (kN/cm²)]]&lt;=ESF[[#This Row],[cd,b,lim (kN/cm²)]],ESF[[#This Row],[cd,b,est (kN/cm²)]]&lt;=ESF[[#This Row],[cd,b,lim (kN/cm²)]]),"OK","ERRO")</f>
        <v>OK</v>
      </c>
      <c r="AS54" s="4" t="str">
        <f ca="1">As_lado(ESF[[#This Row],[nE]],ESF[[#This Row],[Nsd (kN)]],ESF[[#This Row],[d (cm)]],ESF[[#This Row],[e (cm)]],ESF[[#This Row],[ap,eq (cm)]])</f>
        <v>N.S.</v>
      </c>
      <c r="AT54" s="4" t="str">
        <f ca="1">IF(ESF[[#This Row],[nE]]=1,ESF[[#This Row],[As,lado (cm²)]],IF(ESF[[#This Row],[nE]]=2,0.075*2*ESF[a (cm)],"N.A."))</f>
        <v>N.A.</v>
      </c>
      <c r="AU54" s="4" t="str">
        <f ca="1">IFERROR(IF(ESF[[#This Row],[nE]]=1,"N.A.",0.2*ESF[[#This Row],[As,lado (cm²)]]),"N.S.")</f>
        <v>N.S.</v>
      </c>
      <c r="AV54" s="4" t="str">
        <f ca="1">As_malha(ESF[[#This Row],[nE]],ESF[[#This Row],[As,lado (cm²)]],ESF[[#This Row],[Nsd (kN)]])</f>
        <v>N.S.</v>
      </c>
      <c r="AW54" s="4" t="str">
        <f ca="1">As_susp_tot(ESF[[#This Row],[nE]],ESF[[#This Row],[Nsd (kN)]])</f>
        <v>N.S.</v>
      </c>
      <c r="AX54" s="4" t="str">
        <f ca="1">Asp_face(ESF[[#This Row],[nE]],ESF[[#This Row],[As,lado (cm²)]])</f>
        <v>N.S.</v>
      </c>
      <c r="AY54" s="5" t="str">
        <f ca="1">acoBloco(ESF[[#This Row],[nE]],ESF[[#This Row],[e (cm)]],ESF[[#This Row],[a (cm)]],ESF[[#This Row],[h (cm)]],ESF[[#This Row],[As,lado (cm²)]],ESF[[#This Row],[Asp e Asw (cm²/m)]],ESF[[#This Row],[As,sup (cm²)]],ESF[[#This Row],[As,malha (cm²)]],ESF[[#This Row],[As,susp,tot (cm²)]],ESF[[#This Row],[Asp,face (cm²)]])</f>
        <v>N.S.</v>
      </c>
      <c r="AZ54" s="4" t="str">
        <f ca="1">concretoBloco(ESF[[#This Row],[nE]],ESF[[#This Row],[e (cm)]],ESF[[#This Row],[a (cm)]],ESF[[#This Row],[h (cm)]])</f>
        <v>N.S.</v>
      </c>
      <c r="BA54" s="5">
        <f ca="1">SUM(ESF[[#This Row],[Aço Est (kg)]],ESF[[#This Row],[Aço Bloco (kg)]])</f>
        <v>4.4390704195223778</v>
      </c>
      <c r="BB54" s="4">
        <f>INDEX(composicoes[],MATCH(95580,composicoes[CÓDIGO],0),MATCH("CUSTO TOTAL",composicoes[#Headers],0))</f>
        <v>10.46</v>
      </c>
      <c r="BC54" s="4">
        <f ca="1">SUM(ESF[[#This Row],[Conc Est (m³)]],ESF[[#This Row],[Conc Bloco (m³)]])</f>
        <v>8.9064151729270638</v>
      </c>
      <c r="BD54" s="4">
        <f>INDEX(composicoes[],MATCH(94966,composicoes[CÓDIGO],0),MATCH("CUSTO TOTAL",composicoes[#Headers],0))</f>
        <v>439.52</v>
      </c>
      <c r="BE54" s="38">
        <f ca="1">ESF[[#This Row],[Aço (kg)]]*ESF[[#This Row],[Aço (R$/kg)]]+ESF[[#This Row],[Conc (m³)]]*ESF[[#This Row],[Conc (R$/m³)]]</f>
        <v>3960.9802733931069</v>
      </c>
      <c r="BF54" s="4" t="str">
        <f ca="1">IF(COUNTIF(ESF[#This Row],"N.S.")&gt;0,"lim.","OK")</f>
        <v>lim.</v>
      </c>
      <c r="BG54" s="4" t="str">
        <f>IF(ESF[[#This Row],[Prof. (m)]]&lt;3,"lim.","OK")</f>
        <v>OK</v>
      </c>
      <c r="BH54" s="4" t="str">
        <f>IF(ESF[[#This Row],[Prof. (m)]]&gt;=8*ESF[[#This Row],[Ø (cm)]]/100,"OK","lim.")</f>
        <v>OK</v>
      </c>
      <c r="BI54" s="4" t="str">
        <f>IF(AND(SPT!$F$3&lt;&gt;"",ESF[[#This Row],[Prof. (m)]]&gt;=SPT!$F$3),"lim.","OK")</f>
        <v>OK</v>
      </c>
      <c r="BJ54" s="4" t="str">
        <f>IF(COUNTIFS(ESF[Solo],"Areia",ESF[Prof. (m)],"&lt;="&amp;ESF[[#This Row],[Prof. (m)]])&gt;=1,"lim.","OK")</f>
        <v>OK</v>
      </c>
      <c r="BK54" s="4" t="str">
        <f ca="1">IF(ESF[[#This Row],[Verif. Biela]]="OK","OK","lim.")</f>
        <v>OK</v>
      </c>
      <c r="BL54" s="4" t="str">
        <f ca="1">IF(COUNTA(ESF[[#This Row],[Nº Est.]:[Biela comp.]])=COUNTIF(ESF[[#This Row],[Nº Est.]:[Biela comp.]],"OK"),"OK","lim.")</f>
        <v>lim.</v>
      </c>
      <c r="BM54" s="4" t="str">
        <f ca="1">IF(ESF[[#This Row],[Controle]]="OK",ESF[[#This Row],[nE]]&amp;" Ø"&amp;ESF[[#This Row],[Ø (cm)]]&amp;"cm Prof. "&amp;ESF[[#This Row],[Prof. (m)]]&amp;" m","")</f>
        <v/>
      </c>
      <c r="BN54" s="4" t="str">
        <f ca="1">IF(ESF[[#This Row],[idDimensionamento]]="","",ESF[[#This Row],[idPilar]]&amp;ESF[[#This Row],[idDimensionamento]])</f>
        <v/>
      </c>
    </row>
    <row r="55" spans="2:66" x14ac:dyDescent="0.25">
      <c r="B55" s="12">
        <f>ROUNDUP((ROW(ESF[[#This Row],[idDiâmetro]])-ROW(ESF[[#Headers],[idDiâmetro]]))/(COUNT(SPT[Prof. (m)])*COUNT(PILARES[Pilar])),0)</f>
        <v>2</v>
      </c>
      <c r="C55" s="12">
        <f>IF(ESF[[#This Row],[idDiâmetro]]&lt;&gt;B54,1,IF(ESF[[#This Row],[Prof. (m)]]=0,C54+1,C54))</f>
        <v>2</v>
      </c>
      <c r="D55" s="1">
        <f>IFERROR(IF(D54=MAX(SPT[Prof. (m)]),0,D54+1),0)</f>
        <v>8</v>
      </c>
      <c r="E55" s="1">
        <f>INDEX(SPT[],MATCH(ESF[[#This Row],[Prof. (m)]],SPT[Prof. (m)],0),2)</f>
        <v>10</v>
      </c>
      <c r="F55" s="1" t="str">
        <f>INDEX(SPT[],MATCH(ESF[[#This Row],[Prof. (m)]],SPT[Prof. (m)],0),3)</f>
        <v>Silte arenoso</v>
      </c>
      <c r="G55" s="1">
        <f>INDEX(estacas[],ESF[[#This Row],[idDiâmetro]],MATCH($B$2,estacas[#Headers],0))</f>
        <v>30</v>
      </c>
      <c r="H55" s="1">
        <f>INDEX(estacas[],MATCH(ESF[[#This Row],[Ø (cm)]],estacas[Ø ESF (cm)],0),MATCH(ESF[[#Headers],[Pe ESF (kN)]],estacas[#Headers],0))</f>
        <v>360</v>
      </c>
      <c r="I55" s="4">
        <f>INDEX(K_alpha_C[],MATCH(ESF[[#This Row],[Solo]],K_alpha_C[Solo],0),2)</f>
        <v>0.55000000000000004</v>
      </c>
      <c r="J55" s="5">
        <f>INDEX(K_alpha_C[],MATCH(ESF[[#This Row],[Solo]],K_alpha_C[Solo],0),3)</f>
        <v>2.2000000000000002</v>
      </c>
      <c r="K55" s="4">
        <f>INDEX(F1_F2[],MATCH($D$2,F1_F2[Tipo de estaca],0),2)</f>
        <v>3</v>
      </c>
      <c r="L55" s="4">
        <f>INDEX(F1_F2[],MATCH($D$2,F1_F2[Tipo de estaca],0),3)</f>
        <v>6</v>
      </c>
      <c r="M55" s="4">
        <f>PI()*(ESF[[#This Row],[Ø (cm)]]/100)^2/4</f>
        <v>7.0685834705770348E-2</v>
      </c>
      <c r="N55" s="4">
        <f>PI()*ESF[[#This Row],[Ø (cm)]]/100</f>
        <v>0.94247779607693782</v>
      </c>
      <c r="O55" s="4">
        <f>IF(ESF[[#This Row],[Prof. (m)]]=0,0,ESF[[#This Row],[α (%)]]/100*ESF[[#This Row],[K (MPa)]]*1000*ESF[[#This Row],[NSPT]])</f>
        <v>121.00000000000001</v>
      </c>
      <c r="P55" s="4">
        <f>IF(ESF[[#This Row],[Prof. (m)]]=0,0,(ESF[[#This Row],[K (MPa)]]*1000*ESF[[#This Row],[NSPT]]/ESF[[#This Row],[F1]]*ESF[[#This Row],[Ap (m²)]]+ESF[[#This Row],[U (m)]]/ESF[[#This Row],[F2]]*SUMIFS(ESF[(α∙K∙NL∙ΔL)],ESF[Prof. (m)],"&lt;="&amp;ESF[[#This Row],[Prof. (m)]],ESF[idDiâmetro],ESF[[#This Row],[idDiâmetro]],ESF[idPilar],ESF[[#This Row],[idPilar]]))/'DADOS CAP. CARGA'!$D$2)</f>
        <v>143.32731083840031</v>
      </c>
      <c r="Q55" s="12">
        <f>INDEX(C_alpha_beta[],MATCH(ESF[[#This Row],[Solo]],C_alpha_beta[Solo],0),MATCH(ESF[[#Headers],[C (kPa)]],C_alpha_beta[#Headers],0))</f>
        <v>250</v>
      </c>
      <c r="R55" s="4">
        <f>INDEX(C_alpha_beta[],MATCH(ESF[[#This Row],[Solo]],C_alpha_beta[Solo],0),MATCH(ESF[[#Headers],[α ESF]],C_alpha_beta[#Headers],0))</f>
        <v>0.6</v>
      </c>
      <c r="S55" s="4">
        <f>INDEX(C_alpha_beta[],MATCH(ESF[[#This Row],[Solo]],C_alpha_beta[Solo],0),MATCH(ESF[[#Headers],[β ESF]],C_alpha_beta[#Headers],0))</f>
        <v>0.65</v>
      </c>
      <c r="T55" s="4">
        <f>IF(ESF[[#This Row],[Prof. (m)]]=0,0,10*(ESF[[#This Row],[NSPT]]/3+1))</f>
        <v>43.333333333333343</v>
      </c>
      <c r="U55" s="4">
        <f>(ESF[[#This Row],[α ESF]]*ESF[[#This Row],[C (kPa)]]*ESF[[#This Row],[NSPT]]*ESF[[#This Row],[Ap (m²)]])/'DADOS CAP. CARGA'!$Q$2+(ESF[[#This Row],[β ESF]]*SUMIFS(ESF[10∙(NL/3+1)],ESF[Prof. (m)],"&lt;="&amp;ESF[[#This Row],[Prof. (m)]],ESF[idDiâmetro],ESF[[#This Row],[idDiâmetro]],ESF[idPilar],ESF[[#This Row],[idPilar]])*ESF[[#This Row],[U (m)]])/'DADOS CAP. CARGA'!$S$2</f>
        <v>124.52487880666541</v>
      </c>
      <c r="V55" s="4">
        <f>IF(SPT!$M$5=1,MIN(ESF[[#This Row],[Pe ESF (kN)]],ESF[[#This Row],[R_AV (kN)]]),IF(SPT!$M$5=2,MIN(ESF[[#This Row],[Pe ESF (kN)]],ESF[[#This Row],[R_DC (kN)]]),MIN(ESF[[#This Row],[Pe ESF (kN)]],ESF[[#This Row],[R_AV (kN)]],ESF[[#This Row],[R_DC (kN)]])))</f>
        <v>124.52487880666541</v>
      </c>
      <c r="W55" s="4">
        <f>INDEX(PILARES[],ESF[[#This Row],[idPilar]],MATCH("Carga (kN)",PILARES[#Headers],0))*1.4</f>
        <v>1750</v>
      </c>
      <c r="X55" s="12">
        <f>INDEX(PILARES[],ESF[[#This Row],[idPilar]],MATCH(ESF[[#Headers],[ap (cm)]],PILARES[#Headers],0))</f>
        <v>50</v>
      </c>
      <c r="Y55" s="12">
        <f>INDEX(PILARES[],ESF[[#This Row],[idPilar]],MATCH(ESF[[#Headers],[bp (cm)]],PILARES[#Headers],0))</f>
        <v>40</v>
      </c>
      <c r="Z55" s="4">
        <f>SQRT(ESF[[#This Row],[ap (cm)]]*ESF[[#This Row],[bp (cm)]])</f>
        <v>44.721359549995796</v>
      </c>
      <c r="AA55" s="12">
        <f>ESF[[#This Row],[ap (cm)]]*ESF[[#This Row],[bp (cm)]]</f>
        <v>2000</v>
      </c>
      <c r="AB55" s="12">
        <f ca="1">IF(ESF[[#This Row],[Padm∙ε (kN)]]&gt;=ESF[[#This Row],[Padm (kN)]],ROUNDUP(1.05*ESF[[#This Row],[Nsd (kN)]]/ESF[[#This Row],[Padm (kN)]],0),ROUNDUP(1.05*ESF[[#This Row],[Nsd (kN)]]/ESF[[#This Row],[Padm (kN)]],0)+1)</f>
        <v>15</v>
      </c>
      <c r="AC55" s="4" t="str">
        <f ca="1">IFERROR(IF(ESF[[#This Row],[nE]]=1,ESF[[#This Row],[Padm (kN)]],ESF[[#This Row],[Padm (kN)]]*ESF[[#This Row],[nE]]*INDEX(grupoEstacas[],ESF[[#This Row],[nE]],MATCH("ε",grupoEstacas[#Headers],0))),"N.S.")</f>
        <v>N.S.</v>
      </c>
      <c r="AD55" s="4">
        <f ca="1">1.05*ESF[[#This Row],[Nsd (kN)]]/(ESF[[#This Row],[nE]]*PI()*ESF[[#This Row],[Ø (cm)]]^2/4)*10</f>
        <v>1.7330204914450826</v>
      </c>
      <c r="AE55" s="4">
        <f ca="1">IF(ESF[[#This Row],[σ (MPa)]]&lt;INDEX(tipoEstaca[],MATCH($D$2,tipoEstaca[TIPO DE ESTACA],0),MATCH("σmáx (MPa)",tipoEstaca[#Headers],0)),0.4%*PI()*ESF[[#This Row],[Ø (cm)]]^2/4,"N.S.")</f>
        <v>2.8274333882308138</v>
      </c>
      <c r="AF55" s="1">
        <f>INDEX(tipoEstaca[],MATCH($D$2,tipoEstaca[TIPO DE ESTACA],0),MATCH(ESF[[#Headers],[Comprimento (m)]],tipoEstaca[#Headers],0))</f>
        <v>2</v>
      </c>
      <c r="AG55" s="5">
        <f ca="1">ESF[[#This Row],[As,mín (cm²)]]/100^2*ESF[[#This Row],[Comprimento (m)]]*7850</f>
        <v>4.4390704195223778</v>
      </c>
      <c r="AH55" s="4">
        <f ca="1">ESF[[#This Row],[nE]]*ESF[[#This Row],[Prof. (m)]]*ESF[[#This Row],[Ap (m²)]]</f>
        <v>8.4823001646924414</v>
      </c>
      <c r="AI55" s="1">
        <f ca="1">IF(ESF[[#This Row],[nE]]=1,0,MAX(3*ESF[[#This Row],[Ø (cm)]],60))</f>
        <v>90</v>
      </c>
      <c r="AJ55" s="1">
        <f ca="1">IF(ESF[[#This Row],[nE]]=1,ESF[[#This Row],[Ø (cm)]]+2*10,MAX(1.5*ESF[[#This Row],[Ø (cm)]],ESF[[#This Row],[Ø (cm)]]+15))</f>
        <v>45</v>
      </c>
      <c r="AK55" s="1" t="str">
        <f ca="1">alturaUtil(ESF[[#This Row],[nE]],ESF[[#This Row],[Ø (cm)]],ESF[[#This Row],[e (cm)]],ESF[[#This Row],[ap,eq (cm)]])</f>
        <v>N.S.</v>
      </c>
      <c r="AL55" s="1" t="str">
        <f ca="1">IFERROR(ESF[[#This Row],[d (cm)]]+arredondarParaCimaMultiplo5cm(MAX(5,SQRT(PI())/2*ESF[[#This Row],[Ø (cm)]]/5)),"N.S.")</f>
        <v>N.S.</v>
      </c>
      <c r="AM55" s="5" t="str">
        <f ca="1">alpha(ESF[[#This Row],[nE]],ESF[[#This Row],[d (cm)]],ESF[[#This Row],[e (cm)]],ESF[[#This Row],[ap,eq (cm)]])</f>
        <v>N.S.</v>
      </c>
      <c r="AN55" s="35" t="str">
        <f ca="1">IFERROR(ESF[[#This Row],[Nsd (kN)]]/(ESF[[#This Row],[Ap (cm²)]]*SIN(ESF[[#This Row],[α]])^2),"N.S.")</f>
        <v>N.S.</v>
      </c>
      <c r="AO55" s="35" t="str">
        <f ca="1">IFERROR(ESF[[#This Row],[Nsd (kN)]]/(ESF[[#This Row],[nE]]*PI()*ESF[[#This Row],[Ø (cm)]]^2/4*SIN(ESF[[#This Row],[α]])^2),"N.S.")</f>
        <v>N.S.</v>
      </c>
      <c r="AP55" s="4" t="str">
        <f ca="1">IFERROR(INDEX(grupoEstacas[],ESF[[#This Row],[nE]],MATCH("coef. Blévot",grupoEstacas[#Headers],0)),"N.S.")</f>
        <v>N.S.</v>
      </c>
      <c r="AQ55" s="35" t="str">
        <f ca="1">IFERROR(ESF[[#This Row],[coef. Blévot]]*0.9*INDEX(tipoEstaca[],MATCH($D$2,tipoEstaca[TIPO DE ESTACA],0),MATCH("fcd (kN/cm²)",tipoEstaca[#Headers],0)),"N.S.")</f>
        <v>N.S.</v>
      </c>
      <c r="AR55" s="1" t="str">
        <f ca="1">IF(AND(ESF[[#This Row],[cd,b,pil (kN/cm²)]]&lt;=ESF[[#This Row],[cd,b,lim (kN/cm²)]],ESF[[#This Row],[cd,b,est (kN/cm²)]]&lt;=ESF[[#This Row],[cd,b,lim (kN/cm²)]]),"OK","ERRO")</f>
        <v>OK</v>
      </c>
      <c r="AS55" s="4" t="str">
        <f ca="1">As_lado(ESF[[#This Row],[nE]],ESF[[#This Row],[Nsd (kN)]],ESF[[#This Row],[d (cm)]],ESF[[#This Row],[e (cm)]],ESF[[#This Row],[ap,eq (cm)]])</f>
        <v>N.S.</v>
      </c>
      <c r="AT55" s="4" t="str">
        <f ca="1">IF(ESF[[#This Row],[nE]]=1,ESF[[#This Row],[As,lado (cm²)]],IF(ESF[[#This Row],[nE]]=2,0.075*2*ESF[a (cm)],"N.A."))</f>
        <v>N.A.</v>
      </c>
      <c r="AU55" s="4" t="str">
        <f ca="1">IFERROR(IF(ESF[[#This Row],[nE]]=1,"N.A.",0.2*ESF[[#This Row],[As,lado (cm²)]]),"N.S.")</f>
        <v>N.S.</v>
      </c>
      <c r="AV55" s="4" t="str">
        <f ca="1">As_malha(ESF[[#This Row],[nE]],ESF[[#This Row],[As,lado (cm²)]],ESF[[#This Row],[Nsd (kN)]])</f>
        <v>N.S.</v>
      </c>
      <c r="AW55" s="4" t="str">
        <f ca="1">As_susp_tot(ESF[[#This Row],[nE]],ESF[[#This Row],[Nsd (kN)]])</f>
        <v>N.S.</v>
      </c>
      <c r="AX55" s="4" t="str">
        <f ca="1">Asp_face(ESF[[#This Row],[nE]],ESF[[#This Row],[As,lado (cm²)]])</f>
        <v>N.S.</v>
      </c>
      <c r="AY55" s="5" t="str">
        <f ca="1">acoBloco(ESF[[#This Row],[nE]],ESF[[#This Row],[e (cm)]],ESF[[#This Row],[a (cm)]],ESF[[#This Row],[h (cm)]],ESF[[#This Row],[As,lado (cm²)]],ESF[[#This Row],[Asp e Asw (cm²/m)]],ESF[[#This Row],[As,sup (cm²)]],ESF[[#This Row],[As,malha (cm²)]],ESF[[#This Row],[As,susp,tot (cm²)]],ESF[[#This Row],[Asp,face (cm²)]])</f>
        <v>N.S.</v>
      </c>
      <c r="AZ55" s="4" t="str">
        <f ca="1">concretoBloco(ESF[[#This Row],[nE]],ESF[[#This Row],[e (cm)]],ESF[[#This Row],[a (cm)]],ESF[[#This Row],[h (cm)]])</f>
        <v>N.S.</v>
      </c>
      <c r="BA55" s="5">
        <f ca="1">SUM(ESF[[#This Row],[Aço Est (kg)]],ESF[[#This Row],[Aço Bloco (kg)]])</f>
        <v>4.4390704195223778</v>
      </c>
      <c r="BB55" s="4">
        <f>INDEX(composicoes[],MATCH(95580,composicoes[CÓDIGO],0),MATCH("CUSTO TOTAL",composicoes[#Headers],0))</f>
        <v>10.46</v>
      </c>
      <c r="BC55" s="4">
        <f ca="1">SUM(ESF[[#This Row],[Conc Est (m³)]],ESF[[#This Row],[Conc Bloco (m³)]])</f>
        <v>8.4823001646924414</v>
      </c>
      <c r="BD55" s="4">
        <f>INDEX(composicoes[],MATCH(94966,composicoes[CÓDIGO],0),MATCH("CUSTO TOTAL",composicoes[#Headers],0))</f>
        <v>439.52</v>
      </c>
      <c r="BE55" s="38">
        <f ca="1">ESF[[#This Row],[Aço (kg)]]*ESF[[#This Row],[Aço (R$/kg)]]+ESF[[#This Row],[Conc (m³)]]*ESF[[#This Row],[Conc (R$/m³)]]</f>
        <v>3774.5732449738261</v>
      </c>
      <c r="BF55" s="4" t="str">
        <f ca="1">IF(COUNTIF(ESF[#This Row],"N.S.")&gt;0,"lim.","OK")</f>
        <v>lim.</v>
      </c>
      <c r="BG55" s="4" t="str">
        <f>IF(ESF[[#This Row],[Prof. (m)]]&lt;3,"lim.","OK")</f>
        <v>OK</v>
      </c>
      <c r="BH55" s="4" t="str">
        <f>IF(ESF[[#This Row],[Prof. (m)]]&gt;=8*ESF[[#This Row],[Ø (cm)]]/100,"OK","lim.")</f>
        <v>OK</v>
      </c>
      <c r="BI55" s="4" t="str">
        <f>IF(AND(SPT!$F$3&lt;&gt;"",ESF[[#This Row],[Prof. (m)]]&gt;=SPT!$F$3),"lim.","OK")</f>
        <v>OK</v>
      </c>
      <c r="BJ55" s="4" t="str">
        <f>IF(COUNTIFS(ESF[Solo],"Areia",ESF[Prof. (m)],"&lt;="&amp;ESF[[#This Row],[Prof. (m)]])&gt;=1,"lim.","OK")</f>
        <v>OK</v>
      </c>
      <c r="BK55" s="4" t="str">
        <f ca="1">IF(ESF[[#This Row],[Verif. Biela]]="OK","OK","lim.")</f>
        <v>OK</v>
      </c>
      <c r="BL55" s="4" t="str">
        <f ca="1">IF(COUNTA(ESF[[#This Row],[Nº Est.]:[Biela comp.]])=COUNTIF(ESF[[#This Row],[Nº Est.]:[Biela comp.]],"OK"),"OK","lim.")</f>
        <v>lim.</v>
      </c>
      <c r="BM55" s="4" t="str">
        <f ca="1">IF(ESF[[#This Row],[Controle]]="OK",ESF[[#This Row],[nE]]&amp;" Ø"&amp;ESF[[#This Row],[Ø (cm)]]&amp;"cm Prof. "&amp;ESF[[#This Row],[Prof. (m)]]&amp;" m","")</f>
        <v/>
      </c>
      <c r="BN55" s="4" t="str">
        <f ca="1">IF(ESF[[#This Row],[idDimensionamento]]="","",ESF[[#This Row],[idPilar]]&amp;ESF[[#This Row],[idDimensionamento]])</f>
        <v/>
      </c>
    </row>
    <row r="56" spans="2:66" x14ac:dyDescent="0.25">
      <c r="B56" s="12">
        <f>ROUNDUP((ROW(ESF[[#This Row],[idDiâmetro]])-ROW(ESF[[#Headers],[idDiâmetro]]))/(COUNT(SPT[Prof. (m)])*COUNT(PILARES[Pilar])),0)</f>
        <v>2</v>
      </c>
      <c r="C56" s="12">
        <f>IF(ESF[[#This Row],[idDiâmetro]]&lt;&gt;B55,1,IF(ESF[[#This Row],[Prof. (m)]]=0,C55+1,C55))</f>
        <v>2</v>
      </c>
      <c r="D56" s="1">
        <f>IFERROR(IF(D55=MAX(SPT[Prof. (m)]),0,D55+1),0)</f>
        <v>9</v>
      </c>
      <c r="E56" s="1">
        <f>INDEX(SPT[],MATCH(ESF[[#This Row],[Prof. (m)]],SPT[Prof. (m)],0),2)</f>
        <v>26</v>
      </c>
      <c r="F56" s="1" t="str">
        <f>INDEX(SPT[],MATCH(ESF[[#This Row],[Prof. (m)]],SPT[Prof. (m)],0),3)</f>
        <v>Areia siltosa</v>
      </c>
      <c r="G56" s="1">
        <f>INDEX(estacas[],ESF[[#This Row],[idDiâmetro]],MATCH($B$2,estacas[#Headers],0))</f>
        <v>30</v>
      </c>
      <c r="H56" s="1">
        <f>INDEX(estacas[],MATCH(ESF[[#This Row],[Ø (cm)]],estacas[Ø ESF (cm)],0),MATCH(ESF[[#Headers],[Pe ESF (kN)]],estacas[#Headers],0))</f>
        <v>360</v>
      </c>
      <c r="I56" s="4">
        <f>INDEX(K_alpha_C[],MATCH(ESF[[#This Row],[Solo]],K_alpha_C[Solo],0),2)</f>
        <v>0.8</v>
      </c>
      <c r="J56" s="5">
        <f>INDEX(K_alpha_C[],MATCH(ESF[[#This Row],[Solo]],K_alpha_C[Solo],0),3)</f>
        <v>2</v>
      </c>
      <c r="K56" s="4">
        <f>INDEX(F1_F2[],MATCH($D$2,F1_F2[Tipo de estaca],0),2)</f>
        <v>3</v>
      </c>
      <c r="L56" s="4">
        <f>INDEX(F1_F2[],MATCH($D$2,F1_F2[Tipo de estaca],0),3)</f>
        <v>6</v>
      </c>
      <c r="M56" s="4">
        <f>PI()*(ESF[[#This Row],[Ø (cm)]]/100)^2/4</f>
        <v>7.0685834705770348E-2</v>
      </c>
      <c r="N56" s="4">
        <f>PI()*ESF[[#This Row],[Ø (cm)]]/100</f>
        <v>0.94247779607693782</v>
      </c>
      <c r="O56" s="4">
        <f>IF(ESF[[#This Row],[Prof. (m)]]=0,0,ESF[[#This Row],[α (%)]]/100*ESF[[#This Row],[K (MPa)]]*1000*ESF[[#This Row],[NSPT]])</f>
        <v>416</v>
      </c>
      <c r="P56" s="4">
        <f>IF(ESF[[#This Row],[Prof. (m)]]=0,0,(ESF[[#This Row],[K (MPa)]]*1000*ESF[[#This Row],[NSPT]]/ESF[[#This Row],[F1]]*ESF[[#This Row],[Ap (m²)]]+ESF[[#This Row],[U (m)]]/ESF[[#This Row],[F2]]*SUMIFS(ESF[(α∙K∙NL∙ΔL)],ESF[Prof. (m)],"&lt;="&amp;ESF[[#This Row],[Prof. (m)]],ESF[idDiâmetro],ESF[[#This Row],[idDiâmetro]],ESF[idPilar],ESF[[#This Row],[idPilar]]))/'DADOS CAP. CARGA'!$D$2)</f>
        <v>356.24875293544858</v>
      </c>
      <c r="Q56" s="12">
        <f>INDEX(C_alpha_beta[],MATCH(ESF[[#This Row],[Solo]],C_alpha_beta[Solo],0),MATCH(ESF[[#Headers],[C (kPa)]],C_alpha_beta[#Headers],0))</f>
        <v>400</v>
      </c>
      <c r="R56" s="4">
        <f>INDEX(C_alpha_beta[],MATCH(ESF[[#This Row],[Solo]],C_alpha_beta[Solo],0),MATCH(ESF[[#Headers],[α ESF]],C_alpha_beta[#Headers],0))</f>
        <v>0.5</v>
      </c>
      <c r="S56" s="4">
        <f>INDEX(C_alpha_beta[],MATCH(ESF[[#This Row],[Solo]],C_alpha_beta[Solo],0),MATCH(ESF[[#Headers],[β ESF]],C_alpha_beta[#Headers],0))</f>
        <v>0.5</v>
      </c>
      <c r="T56" s="4">
        <f>IF(ESF[[#This Row],[Prof. (m)]]=0,0,10*(ESF[[#This Row],[NSPT]]/3+1))</f>
        <v>96.666666666666657</v>
      </c>
      <c r="U56" s="4">
        <f>(ESF[[#This Row],[α ESF]]*ESF[[#This Row],[C (kPa)]]*ESF[[#This Row],[NSPT]]*ESF[[#This Row],[Ap (m²)]])/'DADOS CAP. CARGA'!$Q$2+(ESF[[#This Row],[β ESF]]*SUMIFS(ESF[10∙(NL/3+1)],ESF[Prof. (m)],"&lt;="&amp;ESF[[#This Row],[Prof. (m)]],ESF[idDiâmetro],ESF[[#This Row],[idDiâmetro]],ESF[idPilar],ESF[[#This Row],[idPilar]])*ESF[[#This Row],[U (m)]])/'DADOS CAP. CARGA'!$S$2</f>
        <v>190.06635554218246</v>
      </c>
      <c r="V56" s="4">
        <f>IF(SPT!$M$5=1,MIN(ESF[[#This Row],[Pe ESF (kN)]],ESF[[#This Row],[R_AV (kN)]]),IF(SPT!$M$5=2,MIN(ESF[[#This Row],[Pe ESF (kN)]],ESF[[#This Row],[R_DC (kN)]]),MIN(ESF[[#This Row],[Pe ESF (kN)]],ESF[[#This Row],[R_AV (kN)]],ESF[[#This Row],[R_DC (kN)]])))</f>
        <v>190.06635554218246</v>
      </c>
      <c r="W56" s="4">
        <f>INDEX(PILARES[],ESF[[#This Row],[idPilar]],MATCH("Carga (kN)",PILARES[#Headers],0))*1.4</f>
        <v>1750</v>
      </c>
      <c r="X56" s="12">
        <f>INDEX(PILARES[],ESF[[#This Row],[idPilar]],MATCH(ESF[[#Headers],[ap (cm)]],PILARES[#Headers],0))</f>
        <v>50</v>
      </c>
      <c r="Y56" s="12">
        <f>INDEX(PILARES[],ESF[[#This Row],[idPilar]],MATCH(ESF[[#Headers],[bp (cm)]],PILARES[#Headers],0))</f>
        <v>40</v>
      </c>
      <c r="Z56" s="4">
        <f>SQRT(ESF[[#This Row],[ap (cm)]]*ESF[[#This Row],[bp (cm)]])</f>
        <v>44.721359549995796</v>
      </c>
      <c r="AA56" s="12">
        <f>ESF[[#This Row],[ap (cm)]]*ESF[[#This Row],[bp (cm)]]</f>
        <v>2000</v>
      </c>
      <c r="AB56" s="12">
        <f ca="1">IF(ESF[[#This Row],[Padm∙ε (kN)]]&gt;=ESF[[#This Row],[Padm (kN)]],ROUNDUP(1.05*ESF[[#This Row],[Nsd (kN)]]/ESF[[#This Row],[Padm (kN)]],0),ROUNDUP(1.05*ESF[[#This Row],[Nsd (kN)]]/ESF[[#This Row],[Padm (kN)]],0)+1)</f>
        <v>10</v>
      </c>
      <c r="AC56" s="4" t="str">
        <f ca="1">IFERROR(IF(ESF[[#This Row],[nE]]=1,ESF[[#This Row],[Padm (kN)]],ESF[[#This Row],[Padm (kN)]]*ESF[[#This Row],[nE]]*INDEX(grupoEstacas[],ESF[[#This Row],[nE]],MATCH("ε",grupoEstacas[#Headers],0))),"N.S.")</f>
        <v>N.S.</v>
      </c>
      <c r="AD56" s="4">
        <f ca="1">1.05*ESF[[#This Row],[Nsd (kN)]]/(ESF[[#This Row],[nE]]*PI()*ESF[[#This Row],[Ø (cm)]]^2/4)*10</f>
        <v>2.599530737167624</v>
      </c>
      <c r="AE56" s="4">
        <f ca="1">IF(ESF[[#This Row],[σ (MPa)]]&lt;INDEX(tipoEstaca[],MATCH($D$2,tipoEstaca[TIPO DE ESTACA],0),MATCH("σmáx (MPa)",tipoEstaca[#Headers],0)),0.4%*PI()*ESF[[#This Row],[Ø (cm)]]^2/4,"N.S.")</f>
        <v>2.8274333882308138</v>
      </c>
      <c r="AF56" s="1">
        <f>INDEX(tipoEstaca[],MATCH($D$2,tipoEstaca[TIPO DE ESTACA],0),MATCH(ESF[[#Headers],[Comprimento (m)]],tipoEstaca[#Headers],0))</f>
        <v>2</v>
      </c>
      <c r="AG56" s="5">
        <f ca="1">ESF[[#This Row],[As,mín (cm²)]]/100^2*ESF[[#This Row],[Comprimento (m)]]*7850</f>
        <v>4.4390704195223778</v>
      </c>
      <c r="AH56" s="4">
        <f ca="1">ESF[[#This Row],[nE]]*ESF[[#This Row],[Prof. (m)]]*ESF[[#This Row],[Ap (m²)]]</f>
        <v>6.3617251235193315</v>
      </c>
      <c r="AI56" s="1">
        <f ca="1">IF(ESF[[#This Row],[nE]]=1,0,MAX(3*ESF[[#This Row],[Ø (cm)]],60))</f>
        <v>90</v>
      </c>
      <c r="AJ56" s="1">
        <f ca="1">IF(ESF[[#This Row],[nE]]=1,ESF[[#This Row],[Ø (cm)]]+2*10,MAX(1.5*ESF[[#This Row],[Ø (cm)]],ESF[[#This Row],[Ø (cm)]]+15))</f>
        <v>45</v>
      </c>
      <c r="AK56" s="1" t="str">
        <f ca="1">alturaUtil(ESF[[#This Row],[nE]],ESF[[#This Row],[Ø (cm)]],ESF[[#This Row],[e (cm)]],ESF[[#This Row],[ap,eq (cm)]])</f>
        <v>N.S.</v>
      </c>
      <c r="AL56" s="1" t="str">
        <f ca="1">IFERROR(ESF[[#This Row],[d (cm)]]+arredondarParaCimaMultiplo5cm(MAX(5,SQRT(PI())/2*ESF[[#This Row],[Ø (cm)]]/5)),"N.S.")</f>
        <v>N.S.</v>
      </c>
      <c r="AM56" s="5" t="str">
        <f ca="1">alpha(ESF[[#This Row],[nE]],ESF[[#This Row],[d (cm)]],ESF[[#This Row],[e (cm)]],ESF[[#This Row],[ap,eq (cm)]])</f>
        <v>N.S.</v>
      </c>
      <c r="AN56" s="35" t="str">
        <f ca="1">IFERROR(ESF[[#This Row],[Nsd (kN)]]/(ESF[[#This Row],[Ap (cm²)]]*SIN(ESF[[#This Row],[α]])^2),"N.S.")</f>
        <v>N.S.</v>
      </c>
      <c r="AO56" s="35" t="str">
        <f ca="1">IFERROR(ESF[[#This Row],[Nsd (kN)]]/(ESF[[#This Row],[nE]]*PI()*ESF[[#This Row],[Ø (cm)]]^2/4*SIN(ESF[[#This Row],[α]])^2),"N.S.")</f>
        <v>N.S.</v>
      </c>
      <c r="AP56" s="4" t="str">
        <f ca="1">IFERROR(INDEX(grupoEstacas[],ESF[[#This Row],[nE]],MATCH("coef. Blévot",grupoEstacas[#Headers],0)),"N.S.")</f>
        <v>N.S.</v>
      </c>
      <c r="AQ56" s="35" t="str">
        <f ca="1">IFERROR(ESF[[#This Row],[coef. Blévot]]*0.9*INDEX(tipoEstaca[],MATCH($D$2,tipoEstaca[TIPO DE ESTACA],0),MATCH("fcd (kN/cm²)",tipoEstaca[#Headers],0)),"N.S.")</f>
        <v>N.S.</v>
      </c>
      <c r="AR56" s="1" t="str">
        <f ca="1">IF(AND(ESF[[#This Row],[cd,b,pil (kN/cm²)]]&lt;=ESF[[#This Row],[cd,b,lim (kN/cm²)]],ESF[[#This Row],[cd,b,est (kN/cm²)]]&lt;=ESF[[#This Row],[cd,b,lim (kN/cm²)]]),"OK","ERRO")</f>
        <v>OK</v>
      </c>
      <c r="AS56" s="4" t="str">
        <f ca="1">As_lado(ESF[[#This Row],[nE]],ESF[[#This Row],[Nsd (kN)]],ESF[[#This Row],[d (cm)]],ESF[[#This Row],[e (cm)]],ESF[[#This Row],[ap,eq (cm)]])</f>
        <v>N.S.</v>
      </c>
      <c r="AT56" s="4" t="str">
        <f ca="1">IF(ESF[[#This Row],[nE]]=1,ESF[[#This Row],[As,lado (cm²)]],IF(ESF[[#This Row],[nE]]=2,0.075*2*ESF[a (cm)],"N.A."))</f>
        <v>N.A.</v>
      </c>
      <c r="AU56" s="4" t="str">
        <f ca="1">IFERROR(IF(ESF[[#This Row],[nE]]=1,"N.A.",0.2*ESF[[#This Row],[As,lado (cm²)]]),"N.S.")</f>
        <v>N.S.</v>
      </c>
      <c r="AV56" s="4" t="str">
        <f ca="1">As_malha(ESF[[#This Row],[nE]],ESF[[#This Row],[As,lado (cm²)]],ESF[[#This Row],[Nsd (kN)]])</f>
        <v>N.S.</v>
      </c>
      <c r="AW56" s="4" t="str">
        <f ca="1">As_susp_tot(ESF[[#This Row],[nE]],ESF[[#This Row],[Nsd (kN)]])</f>
        <v>N.S.</v>
      </c>
      <c r="AX56" s="4" t="str">
        <f ca="1">Asp_face(ESF[[#This Row],[nE]],ESF[[#This Row],[As,lado (cm²)]])</f>
        <v>N.S.</v>
      </c>
      <c r="AY56" s="5" t="str">
        <f ca="1">acoBloco(ESF[[#This Row],[nE]],ESF[[#This Row],[e (cm)]],ESF[[#This Row],[a (cm)]],ESF[[#This Row],[h (cm)]],ESF[[#This Row],[As,lado (cm²)]],ESF[[#This Row],[Asp e Asw (cm²/m)]],ESF[[#This Row],[As,sup (cm²)]],ESF[[#This Row],[As,malha (cm²)]],ESF[[#This Row],[As,susp,tot (cm²)]],ESF[[#This Row],[Asp,face (cm²)]])</f>
        <v>N.S.</v>
      </c>
      <c r="AZ56" s="4" t="str">
        <f ca="1">concretoBloco(ESF[[#This Row],[nE]],ESF[[#This Row],[e (cm)]],ESF[[#This Row],[a (cm)]],ESF[[#This Row],[h (cm)]])</f>
        <v>N.S.</v>
      </c>
      <c r="BA56" s="5">
        <f ca="1">SUM(ESF[[#This Row],[Aço Est (kg)]],ESF[[#This Row],[Aço Bloco (kg)]])</f>
        <v>4.4390704195223778</v>
      </c>
      <c r="BB56" s="4">
        <f>INDEX(composicoes[],MATCH(95580,composicoes[CÓDIGO],0),MATCH("CUSTO TOTAL",composicoes[#Headers],0))</f>
        <v>10.46</v>
      </c>
      <c r="BC56" s="4">
        <f ca="1">SUM(ESF[[#This Row],[Conc Est (m³)]],ESF[[#This Row],[Conc Bloco (m³)]])</f>
        <v>6.3617251235193315</v>
      </c>
      <c r="BD56" s="4">
        <f>INDEX(composicoes[],MATCH(94966,composicoes[CÓDIGO],0),MATCH("CUSTO TOTAL",composicoes[#Headers],0))</f>
        <v>439.52</v>
      </c>
      <c r="BE56" s="38">
        <f ca="1">ESF[[#This Row],[Aço (kg)]]*ESF[[#This Row],[Aço (R$/kg)]]+ESF[[#This Row],[Conc (m³)]]*ESF[[#This Row],[Conc (R$/m³)]]</f>
        <v>2842.5381028774209</v>
      </c>
      <c r="BF56" s="4" t="str">
        <f ca="1">IF(COUNTIF(ESF[#This Row],"N.S.")&gt;0,"lim.","OK")</f>
        <v>lim.</v>
      </c>
      <c r="BG56" s="4" t="str">
        <f>IF(ESF[[#This Row],[Prof. (m)]]&lt;3,"lim.","OK")</f>
        <v>OK</v>
      </c>
      <c r="BH56" s="4" t="str">
        <f>IF(ESF[[#This Row],[Prof. (m)]]&gt;=8*ESF[[#This Row],[Ø (cm)]]/100,"OK","lim.")</f>
        <v>OK</v>
      </c>
      <c r="BI56" s="4" t="str">
        <f>IF(AND(SPT!$F$3&lt;&gt;"",ESF[[#This Row],[Prof. (m)]]&gt;=SPT!$F$3),"lim.","OK")</f>
        <v>OK</v>
      </c>
      <c r="BJ56" s="4" t="str">
        <f>IF(COUNTIFS(ESF[Solo],"Areia",ESF[Prof. (m)],"&lt;="&amp;ESF[[#This Row],[Prof. (m)]])&gt;=1,"lim.","OK")</f>
        <v>OK</v>
      </c>
      <c r="BK56" s="4" t="str">
        <f ca="1">IF(ESF[[#This Row],[Verif. Biela]]="OK","OK","lim.")</f>
        <v>OK</v>
      </c>
      <c r="BL56" s="4" t="str">
        <f ca="1">IF(COUNTA(ESF[[#This Row],[Nº Est.]:[Biela comp.]])=COUNTIF(ESF[[#This Row],[Nº Est.]:[Biela comp.]],"OK"),"OK","lim.")</f>
        <v>lim.</v>
      </c>
      <c r="BM56" s="4" t="str">
        <f ca="1">IF(ESF[[#This Row],[Controle]]="OK",ESF[[#This Row],[nE]]&amp;" Ø"&amp;ESF[[#This Row],[Ø (cm)]]&amp;"cm Prof. "&amp;ESF[[#This Row],[Prof. (m)]]&amp;" m","")</f>
        <v/>
      </c>
      <c r="BN56" s="4" t="str">
        <f ca="1">IF(ESF[[#This Row],[idDimensionamento]]="","",ESF[[#This Row],[idPilar]]&amp;ESF[[#This Row],[idDimensionamento]])</f>
        <v/>
      </c>
    </row>
    <row r="57" spans="2:66" x14ac:dyDescent="0.25">
      <c r="B57" s="12">
        <f>ROUNDUP((ROW(ESF[[#This Row],[idDiâmetro]])-ROW(ESF[[#Headers],[idDiâmetro]]))/(COUNT(SPT[Prof. (m)])*COUNT(PILARES[Pilar])),0)</f>
        <v>2</v>
      </c>
      <c r="C57" s="12">
        <f>IF(ESF[[#This Row],[idDiâmetro]]&lt;&gt;B56,1,IF(ESF[[#This Row],[Prof. (m)]]=0,C56+1,C56))</f>
        <v>2</v>
      </c>
      <c r="D57" s="1">
        <f>IFERROR(IF(D56=MAX(SPT[Prof. (m)]),0,D56+1),0)</f>
        <v>10</v>
      </c>
      <c r="E57" s="1">
        <f>INDEX(SPT[],MATCH(ESF[[#This Row],[Prof. (m)]],SPT[Prof. (m)],0),2)</f>
        <v>32</v>
      </c>
      <c r="F57" s="1" t="str">
        <f>INDEX(SPT[],MATCH(ESF[[#This Row],[Prof. (m)]],SPT[Prof. (m)],0),3)</f>
        <v>Areia siltosa</v>
      </c>
      <c r="G57" s="1">
        <f>INDEX(estacas[],ESF[[#This Row],[idDiâmetro]],MATCH($B$2,estacas[#Headers],0))</f>
        <v>30</v>
      </c>
      <c r="H57" s="1">
        <f>INDEX(estacas[],MATCH(ESF[[#This Row],[Ø (cm)]],estacas[Ø ESF (cm)],0),MATCH(ESF[[#Headers],[Pe ESF (kN)]],estacas[#Headers],0))</f>
        <v>360</v>
      </c>
      <c r="I57" s="4">
        <f>INDEX(K_alpha_C[],MATCH(ESF[[#This Row],[Solo]],K_alpha_C[Solo],0),2)</f>
        <v>0.8</v>
      </c>
      <c r="J57" s="5">
        <f>INDEX(K_alpha_C[],MATCH(ESF[[#This Row],[Solo]],K_alpha_C[Solo],0),3)</f>
        <v>2</v>
      </c>
      <c r="K57" s="4">
        <f>INDEX(F1_F2[],MATCH($D$2,F1_F2[Tipo de estaca],0),2)</f>
        <v>3</v>
      </c>
      <c r="L57" s="4">
        <f>INDEX(F1_F2[],MATCH($D$2,F1_F2[Tipo de estaca],0),3)</f>
        <v>6</v>
      </c>
      <c r="M57" s="4">
        <f>PI()*(ESF[[#This Row],[Ø (cm)]]/100)^2/4</f>
        <v>7.0685834705770348E-2</v>
      </c>
      <c r="N57" s="4">
        <f>PI()*ESF[[#This Row],[Ø (cm)]]/100</f>
        <v>0.94247779607693782</v>
      </c>
      <c r="O57" s="4">
        <f>IF(ESF[[#This Row],[Prof. (m)]]=0,0,ESF[[#This Row],[α (%)]]/100*ESF[[#This Row],[K (MPa)]]*1000*ESF[[#This Row],[NSPT]])</f>
        <v>512</v>
      </c>
      <c r="P57" s="4">
        <f>IF(ESF[[#This Row],[Prof. (m)]]=0,0,(ESF[[#This Row],[K (MPa)]]*1000*ESF[[#This Row],[NSPT]]/ESF[[#This Row],[F1]]*ESF[[#This Row],[Ap (m²)]]+ESF[[#This Row],[U (m)]]/ESF[[#This Row],[F2]]*SUMIFS(ESF[(α∙K∙NL∙ΔL)],ESF[Prof. (m)],"&lt;="&amp;ESF[[#This Row],[Prof. (m)]],ESF[idDiâmetro],ESF[[#This Row],[idDiâmetro]],ESF[idPilar],ESF[[#This Row],[idPilar]]))/'DADOS CAP. CARGA'!$D$2)</f>
        <v>453.00980666601424</v>
      </c>
      <c r="Q57" s="12">
        <f>INDEX(C_alpha_beta[],MATCH(ESF[[#This Row],[Solo]],C_alpha_beta[Solo],0),MATCH(ESF[[#Headers],[C (kPa)]],C_alpha_beta[#Headers],0))</f>
        <v>400</v>
      </c>
      <c r="R57" s="4">
        <f>INDEX(C_alpha_beta[],MATCH(ESF[[#This Row],[Solo]],C_alpha_beta[Solo],0),MATCH(ESF[[#Headers],[α ESF]],C_alpha_beta[#Headers],0))</f>
        <v>0.5</v>
      </c>
      <c r="S57" s="4">
        <f>INDEX(C_alpha_beta[],MATCH(ESF[[#This Row],[Solo]],C_alpha_beta[Solo],0),MATCH(ESF[[#Headers],[β ESF]],C_alpha_beta[#Headers],0))</f>
        <v>0.5</v>
      </c>
      <c r="T57" s="4">
        <f>IF(ESF[[#This Row],[Prof. (m)]]=0,0,10*(ESF[[#This Row],[NSPT]]/3+1))</f>
        <v>116.66666666666666</v>
      </c>
      <c r="U57" s="4">
        <f>(ESF[[#This Row],[α ESF]]*ESF[[#This Row],[C (kPa)]]*ESF[[#This Row],[NSPT]]*ESF[[#This Row],[Ap (m²)]])/'DADOS CAP. CARGA'!$Q$2+(ESF[[#This Row],[β ESF]]*SUMIFS(ESF[10∙(NL/3+1)],ESF[Prof. (m)],"&lt;="&amp;ESF[[#This Row],[Prof. (m)]],ESF[idDiâmetro],ESF[[#This Row],[idDiâmetro]],ESF[idPilar],ESF[[#This Row],[idPilar]])*ESF[[#This Row],[U (m)]])/'DADOS CAP. CARGA'!$S$2</f>
        <v>238.76104167282426</v>
      </c>
      <c r="V57" s="4">
        <f>IF(SPT!$M$5=1,MIN(ESF[[#This Row],[Pe ESF (kN)]],ESF[[#This Row],[R_AV (kN)]]),IF(SPT!$M$5=2,MIN(ESF[[#This Row],[Pe ESF (kN)]],ESF[[#This Row],[R_DC (kN)]]),MIN(ESF[[#This Row],[Pe ESF (kN)]],ESF[[#This Row],[R_AV (kN)]],ESF[[#This Row],[R_DC (kN)]])))</f>
        <v>238.76104167282426</v>
      </c>
      <c r="W57" s="4">
        <f>INDEX(PILARES[],ESF[[#This Row],[idPilar]],MATCH("Carga (kN)",PILARES[#Headers],0))*1.4</f>
        <v>1750</v>
      </c>
      <c r="X57" s="12">
        <f>INDEX(PILARES[],ESF[[#This Row],[idPilar]],MATCH(ESF[[#Headers],[ap (cm)]],PILARES[#Headers],0))</f>
        <v>50</v>
      </c>
      <c r="Y57" s="12">
        <f>INDEX(PILARES[],ESF[[#This Row],[idPilar]],MATCH(ESF[[#Headers],[bp (cm)]],PILARES[#Headers],0))</f>
        <v>40</v>
      </c>
      <c r="Z57" s="4">
        <f>SQRT(ESF[[#This Row],[ap (cm)]]*ESF[[#This Row],[bp (cm)]])</f>
        <v>44.721359549995796</v>
      </c>
      <c r="AA57" s="12">
        <f>ESF[[#This Row],[ap (cm)]]*ESF[[#This Row],[bp (cm)]]</f>
        <v>2000</v>
      </c>
      <c r="AB57" s="12">
        <f ca="1">IF(ESF[[#This Row],[Padm∙ε (kN)]]&gt;=ESF[[#This Row],[Padm (kN)]],ROUNDUP(1.05*ESF[[#This Row],[Nsd (kN)]]/ESF[[#This Row],[Padm (kN)]],0),ROUNDUP(1.05*ESF[[#This Row],[Nsd (kN)]]/ESF[[#This Row],[Padm (kN)]],0)+1)</f>
        <v>8</v>
      </c>
      <c r="AC57" s="4" t="str">
        <f ca="1">IFERROR(IF(ESF[[#This Row],[nE]]=1,ESF[[#This Row],[Padm (kN)]],ESF[[#This Row],[Padm (kN)]]*ESF[[#This Row],[nE]]*INDEX(grupoEstacas[],ESF[[#This Row],[nE]],MATCH("ε",grupoEstacas[#Headers],0))),"N.S.")</f>
        <v>N.S.</v>
      </c>
      <c r="AD57" s="4">
        <f ca="1">1.05*ESF[[#This Row],[Nsd (kN)]]/(ESF[[#This Row],[nE]]*PI()*ESF[[#This Row],[Ø (cm)]]^2/4)*10</f>
        <v>3.24941342145953</v>
      </c>
      <c r="AE57" s="4">
        <f ca="1">IF(ESF[[#This Row],[σ (MPa)]]&lt;INDEX(tipoEstaca[],MATCH($D$2,tipoEstaca[TIPO DE ESTACA],0),MATCH("σmáx (MPa)",tipoEstaca[#Headers],0)),0.4%*PI()*ESF[[#This Row],[Ø (cm)]]^2/4,"N.S.")</f>
        <v>2.8274333882308138</v>
      </c>
      <c r="AF57" s="1">
        <f>INDEX(tipoEstaca[],MATCH($D$2,tipoEstaca[TIPO DE ESTACA],0),MATCH(ESF[[#Headers],[Comprimento (m)]],tipoEstaca[#Headers],0))</f>
        <v>2</v>
      </c>
      <c r="AG57" s="5">
        <f ca="1">ESF[[#This Row],[As,mín (cm²)]]/100^2*ESF[[#This Row],[Comprimento (m)]]*7850</f>
        <v>4.4390704195223778</v>
      </c>
      <c r="AH57" s="4">
        <f ca="1">ESF[[#This Row],[nE]]*ESF[[#This Row],[Prof. (m)]]*ESF[[#This Row],[Ap (m²)]]</f>
        <v>5.6548667764616276</v>
      </c>
      <c r="AI57" s="1">
        <f ca="1">IF(ESF[[#This Row],[nE]]=1,0,MAX(3*ESF[[#This Row],[Ø (cm)]],60))</f>
        <v>90</v>
      </c>
      <c r="AJ57" s="1">
        <f ca="1">IF(ESF[[#This Row],[nE]]=1,ESF[[#This Row],[Ø (cm)]]+2*10,MAX(1.5*ESF[[#This Row],[Ø (cm)]],ESF[[#This Row],[Ø (cm)]]+15))</f>
        <v>45</v>
      </c>
      <c r="AK57" s="1" t="str">
        <f ca="1">alturaUtil(ESF[[#This Row],[nE]],ESF[[#This Row],[Ø (cm)]],ESF[[#This Row],[e (cm)]],ESF[[#This Row],[ap,eq (cm)]])</f>
        <v>N.S.</v>
      </c>
      <c r="AL57" s="1" t="str">
        <f ca="1">IFERROR(ESF[[#This Row],[d (cm)]]+arredondarParaCimaMultiplo5cm(MAX(5,SQRT(PI())/2*ESF[[#This Row],[Ø (cm)]]/5)),"N.S.")</f>
        <v>N.S.</v>
      </c>
      <c r="AM57" s="5" t="str">
        <f ca="1">alpha(ESF[[#This Row],[nE]],ESF[[#This Row],[d (cm)]],ESF[[#This Row],[e (cm)]],ESF[[#This Row],[ap,eq (cm)]])</f>
        <v>N.S.</v>
      </c>
      <c r="AN57" s="35" t="str">
        <f ca="1">IFERROR(ESF[[#This Row],[Nsd (kN)]]/(ESF[[#This Row],[Ap (cm²)]]*SIN(ESF[[#This Row],[α]])^2),"N.S.")</f>
        <v>N.S.</v>
      </c>
      <c r="AO57" s="35" t="str">
        <f ca="1">IFERROR(ESF[[#This Row],[Nsd (kN)]]/(ESF[[#This Row],[nE]]*PI()*ESF[[#This Row],[Ø (cm)]]^2/4*SIN(ESF[[#This Row],[α]])^2),"N.S.")</f>
        <v>N.S.</v>
      </c>
      <c r="AP57" s="4" t="str">
        <f ca="1">IFERROR(INDEX(grupoEstacas[],ESF[[#This Row],[nE]],MATCH("coef. Blévot",grupoEstacas[#Headers],0)),"N.S.")</f>
        <v>N.S.</v>
      </c>
      <c r="AQ57" s="35" t="str">
        <f ca="1">IFERROR(ESF[[#This Row],[coef. Blévot]]*0.9*INDEX(tipoEstaca[],MATCH($D$2,tipoEstaca[TIPO DE ESTACA],0),MATCH("fcd (kN/cm²)",tipoEstaca[#Headers],0)),"N.S.")</f>
        <v>N.S.</v>
      </c>
      <c r="AR57" s="1" t="str">
        <f ca="1">IF(AND(ESF[[#This Row],[cd,b,pil (kN/cm²)]]&lt;=ESF[[#This Row],[cd,b,lim (kN/cm²)]],ESF[[#This Row],[cd,b,est (kN/cm²)]]&lt;=ESF[[#This Row],[cd,b,lim (kN/cm²)]]),"OK","ERRO")</f>
        <v>OK</v>
      </c>
      <c r="AS57" s="4" t="str">
        <f ca="1">As_lado(ESF[[#This Row],[nE]],ESF[[#This Row],[Nsd (kN)]],ESF[[#This Row],[d (cm)]],ESF[[#This Row],[e (cm)]],ESF[[#This Row],[ap,eq (cm)]])</f>
        <v>N.S.</v>
      </c>
      <c r="AT57" s="4" t="str">
        <f ca="1">IF(ESF[[#This Row],[nE]]=1,ESF[[#This Row],[As,lado (cm²)]],IF(ESF[[#This Row],[nE]]=2,0.075*2*ESF[a (cm)],"N.A."))</f>
        <v>N.A.</v>
      </c>
      <c r="AU57" s="4" t="str">
        <f ca="1">IFERROR(IF(ESF[[#This Row],[nE]]=1,"N.A.",0.2*ESF[[#This Row],[As,lado (cm²)]]),"N.S.")</f>
        <v>N.S.</v>
      </c>
      <c r="AV57" s="4" t="str">
        <f ca="1">As_malha(ESF[[#This Row],[nE]],ESF[[#This Row],[As,lado (cm²)]],ESF[[#This Row],[Nsd (kN)]])</f>
        <v>N.S.</v>
      </c>
      <c r="AW57" s="4" t="str">
        <f ca="1">As_susp_tot(ESF[[#This Row],[nE]],ESF[[#This Row],[Nsd (kN)]])</f>
        <v>N.S.</v>
      </c>
      <c r="AX57" s="4" t="str">
        <f ca="1">Asp_face(ESF[[#This Row],[nE]],ESF[[#This Row],[As,lado (cm²)]])</f>
        <v>N.S.</v>
      </c>
      <c r="AY57" s="5" t="str">
        <f ca="1">acoBloco(ESF[[#This Row],[nE]],ESF[[#This Row],[e (cm)]],ESF[[#This Row],[a (cm)]],ESF[[#This Row],[h (cm)]],ESF[[#This Row],[As,lado (cm²)]],ESF[[#This Row],[Asp e Asw (cm²/m)]],ESF[[#This Row],[As,sup (cm²)]],ESF[[#This Row],[As,malha (cm²)]],ESF[[#This Row],[As,susp,tot (cm²)]],ESF[[#This Row],[Asp,face (cm²)]])</f>
        <v>N.S.</v>
      </c>
      <c r="AZ57" s="4" t="str">
        <f ca="1">concretoBloco(ESF[[#This Row],[nE]],ESF[[#This Row],[e (cm)]],ESF[[#This Row],[a (cm)]],ESF[[#This Row],[h (cm)]])</f>
        <v>N.S.</v>
      </c>
      <c r="BA57" s="5">
        <f ca="1">SUM(ESF[[#This Row],[Aço Est (kg)]],ESF[[#This Row],[Aço Bloco (kg)]])</f>
        <v>4.4390704195223778</v>
      </c>
      <c r="BB57" s="4">
        <f>INDEX(composicoes[],MATCH(95580,composicoes[CÓDIGO],0),MATCH("CUSTO TOTAL",composicoes[#Headers],0))</f>
        <v>10.46</v>
      </c>
      <c r="BC57" s="4">
        <f ca="1">SUM(ESF[[#This Row],[Conc Est (m³)]],ESF[[#This Row],[Conc Bloco (m³)]])</f>
        <v>5.6548667764616276</v>
      </c>
      <c r="BD57" s="4">
        <f>INDEX(composicoes[],MATCH(94966,composicoes[CÓDIGO],0),MATCH("CUSTO TOTAL",composicoes[#Headers],0))</f>
        <v>439.52</v>
      </c>
      <c r="BE57" s="38">
        <f ca="1">ESF[[#This Row],[Aço (kg)]]*ESF[[#This Row],[Aço (R$/kg)]]+ESF[[#This Row],[Conc (m³)]]*ESF[[#This Row],[Conc (R$/m³)]]</f>
        <v>2531.8597221786185</v>
      </c>
      <c r="BF57" s="4" t="str">
        <f ca="1">IF(COUNTIF(ESF[#This Row],"N.S.")&gt;0,"lim.","OK")</f>
        <v>lim.</v>
      </c>
      <c r="BG57" s="4" t="str">
        <f>IF(ESF[[#This Row],[Prof. (m)]]&lt;3,"lim.","OK")</f>
        <v>OK</v>
      </c>
      <c r="BH57" s="4" t="str">
        <f>IF(ESF[[#This Row],[Prof. (m)]]&gt;=8*ESF[[#This Row],[Ø (cm)]]/100,"OK","lim.")</f>
        <v>OK</v>
      </c>
      <c r="BI57" s="4" t="str">
        <f>IF(AND(SPT!$F$3&lt;&gt;"",ESF[[#This Row],[Prof. (m)]]&gt;=SPT!$F$3),"lim.","OK")</f>
        <v>OK</v>
      </c>
      <c r="BJ57" s="4" t="str">
        <f>IF(COUNTIFS(ESF[Solo],"Areia",ESF[Prof. (m)],"&lt;="&amp;ESF[[#This Row],[Prof. (m)]])&gt;=1,"lim.","OK")</f>
        <v>OK</v>
      </c>
      <c r="BK57" s="4" t="str">
        <f ca="1">IF(ESF[[#This Row],[Verif. Biela]]="OK","OK","lim.")</f>
        <v>OK</v>
      </c>
      <c r="BL57" s="4" t="str">
        <f ca="1">IF(COUNTA(ESF[[#This Row],[Nº Est.]:[Biela comp.]])=COUNTIF(ESF[[#This Row],[Nº Est.]:[Biela comp.]],"OK"),"OK","lim.")</f>
        <v>lim.</v>
      </c>
      <c r="BM57" s="4" t="str">
        <f ca="1">IF(ESF[[#This Row],[Controle]]="OK",ESF[[#This Row],[nE]]&amp;" Ø"&amp;ESF[[#This Row],[Ø (cm)]]&amp;"cm Prof. "&amp;ESF[[#This Row],[Prof. (m)]]&amp;" m","")</f>
        <v/>
      </c>
      <c r="BN57" s="4" t="str">
        <f ca="1">IF(ESF[[#This Row],[idDimensionamento]]="","",ESF[[#This Row],[idPilar]]&amp;ESF[[#This Row],[idDimensionamento]])</f>
        <v/>
      </c>
    </row>
    <row r="58" spans="2:66" x14ac:dyDescent="0.25">
      <c r="B58" s="12">
        <f>ROUNDUP((ROW(ESF[[#This Row],[idDiâmetro]])-ROW(ESF[[#Headers],[idDiâmetro]]))/(COUNT(SPT[Prof. (m)])*COUNT(PILARES[Pilar])),0)</f>
        <v>2</v>
      </c>
      <c r="C58" s="12">
        <f>IF(ESF[[#This Row],[idDiâmetro]]&lt;&gt;B57,1,IF(ESF[[#This Row],[Prof. (m)]]=0,C57+1,C57))</f>
        <v>2</v>
      </c>
      <c r="D58" s="1">
        <f>IFERROR(IF(D57=MAX(SPT[Prof. (m)]),0,D57+1),0)</f>
        <v>11</v>
      </c>
      <c r="E58" s="1">
        <f>INDEX(SPT[],MATCH(ESF[[#This Row],[Prof. (m)]],SPT[Prof. (m)],0),2)</f>
        <v>41</v>
      </c>
      <c r="F58" s="1" t="str">
        <f>INDEX(SPT[],MATCH(ESF[[#This Row],[Prof. (m)]],SPT[Prof. (m)],0),3)</f>
        <v>Areia siltosa</v>
      </c>
      <c r="G58" s="1">
        <f>INDEX(estacas[],ESF[[#This Row],[idDiâmetro]],MATCH($B$2,estacas[#Headers],0))</f>
        <v>30</v>
      </c>
      <c r="H58" s="1">
        <f>INDEX(estacas[],MATCH(ESF[[#This Row],[Ø (cm)]],estacas[Ø ESF (cm)],0),MATCH(ESF[[#Headers],[Pe ESF (kN)]],estacas[#Headers],0))</f>
        <v>360</v>
      </c>
      <c r="I58" s="4">
        <f>INDEX(K_alpha_C[],MATCH(ESF[[#This Row],[Solo]],K_alpha_C[Solo],0),2)</f>
        <v>0.8</v>
      </c>
      <c r="J58" s="5">
        <f>INDEX(K_alpha_C[],MATCH(ESF[[#This Row],[Solo]],K_alpha_C[Solo],0),3)</f>
        <v>2</v>
      </c>
      <c r="K58" s="4">
        <f>INDEX(F1_F2[],MATCH($D$2,F1_F2[Tipo de estaca],0),2)</f>
        <v>3</v>
      </c>
      <c r="L58" s="4">
        <f>INDEX(F1_F2[],MATCH($D$2,F1_F2[Tipo de estaca],0),3)</f>
        <v>6</v>
      </c>
      <c r="M58" s="4">
        <f>PI()*(ESF[[#This Row],[Ø (cm)]]/100)^2/4</f>
        <v>7.0685834705770348E-2</v>
      </c>
      <c r="N58" s="4">
        <f>PI()*ESF[[#This Row],[Ø (cm)]]/100</f>
        <v>0.94247779607693782</v>
      </c>
      <c r="O58" s="4">
        <f>IF(ESF[[#This Row],[Prof. (m)]]=0,0,ESF[[#This Row],[α (%)]]/100*ESF[[#This Row],[K (MPa)]]*1000*ESF[[#This Row],[NSPT]])</f>
        <v>656</v>
      </c>
      <c r="P58" s="4">
        <f>IF(ESF[[#This Row],[Prof. (m)]]=0,0,(ESF[[#This Row],[K (MPa)]]*1000*ESF[[#This Row],[NSPT]]/ESF[[#This Row],[F1]]*ESF[[#This Row],[Ap (m²)]]+ESF[[#This Row],[U (m)]]/ESF[[#This Row],[F2]]*SUMIFS(ESF[(α∙K∙NL∙ΔL)],ESF[Prof. (m)],"&lt;="&amp;ESF[[#This Row],[Prof. (m)]],ESF[idDiâmetro],ESF[[#This Row],[idDiâmetro]],ESF[idPilar],ESF[[#This Row],[idPilar]]))/'DADOS CAP. CARGA'!$D$2)</f>
        <v>589.35492783181121</v>
      </c>
      <c r="Q58" s="12">
        <f>INDEX(C_alpha_beta[],MATCH(ESF[[#This Row],[Solo]],C_alpha_beta[Solo],0),MATCH(ESF[[#Headers],[C (kPa)]],C_alpha_beta[#Headers],0))</f>
        <v>400</v>
      </c>
      <c r="R58" s="4">
        <f>INDEX(C_alpha_beta[],MATCH(ESF[[#This Row],[Solo]],C_alpha_beta[Solo],0),MATCH(ESF[[#Headers],[α ESF]],C_alpha_beta[#Headers],0))</f>
        <v>0.5</v>
      </c>
      <c r="S58" s="4">
        <f>INDEX(C_alpha_beta[],MATCH(ESF[[#This Row],[Solo]],C_alpha_beta[Solo],0),MATCH(ESF[[#Headers],[β ESF]],C_alpha_beta[#Headers],0))</f>
        <v>0.5</v>
      </c>
      <c r="T58" s="4">
        <f>IF(ESF[[#This Row],[Prof. (m)]]=0,0,10*(ESF[[#This Row],[NSPT]]/3+1))</f>
        <v>146.66666666666666</v>
      </c>
      <c r="U58" s="4">
        <f>(ESF[[#This Row],[α ESF]]*ESF[[#This Row],[C (kPa)]]*ESF[[#This Row],[NSPT]]*ESF[[#This Row],[Ap (m²)]])/'DADOS CAP. CARGA'!$Q$2+(ESF[[#This Row],[β ESF]]*SUMIFS(ESF[10∙(NL/3+1)],ESF[Prof. (m)],"&lt;="&amp;ESF[[#This Row],[Prof. (m)]],ESF[idDiâmetro],ESF[[#This Row],[idDiâmetro]],ESF[idPilar],ESF[[#This Row],[idPilar]])*ESF[[#This Row],[U (m)]])/'DADOS CAP. CARGA'!$S$2</f>
        <v>305.12718647990863</v>
      </c>
      <c r="V58" s="4">
        <f>IF(SPT!$M$5=1,MIN(ESF[[#This Row],[Pe ESF (kN)]],ESF[[#This Row],[R_AV (kN)]]),IF(SPT!$M$5=2,MIN(ESF[[#This Row],[Pe ESF (kN)]],ESF[[#This Row],[R_DC (kN)]]),MIN(ESF[[#This Row],[Pe ESF (kN)]],ESF[[#This Row],[R_AV (kN)]],ESF[[#This Row],[R_DC (kN)]])))</f>
        <v>305.12718647990863</v>
      </c>
      <c r="W58" s="4">
        <f>INDEX(PILARES[],ESF[[#This Row],[idPilar]],MATCH("Carga (kN)",PILARES[#Headers],0))*1.4</f>
        <v>1750</v>
      </c>
      <c r="X58" s="12">
        <f>INDEX(PILARES[],ESF[[#This Row],[idPilar]],MATCH(ESF[[#Headers],[ap (cm)]],PILARES[#Headers],0))</f>
        <v>50</v>
      </c>
      <c r="Y58" s="12">
        <f>INDEX(PILARES[],ESF[[#This Row],[idPilar]],MATCH(ESF[[#Headers],[bp (cm)]],PILARES[#Headers],0))</f>
        <v>40</v>
      </c>
      <c r="Z58" s="4">
        <f>SQRT(ESF[[#This Row],[ap (cm)]]*ESF[[#This Row],[bp (cm)]])</f>
        <v>44.721359549995796</v>
      </c>
      <c r="AA58" s="12">
        <f>ESF[[#This Row],[ap (cm)]]*ESF[[#This Row],[bp (cm)]]</f>
        <v>2000</v>
      </c>
      <c r="AB58" s="12">
        <f ca="1">IF(ESF[[#This Row],[Padm∙ε (kN)]]&gt;=ESF[[#This Row],[Padm (kN)]],ROUNDUP(1.05*ESF[[#This Row],[Nsd (kN)]]/ESF[[#This Row],[Padm (kN)]],0),ROUNDUP(1.05*ESF[[#This Row],[Nsd (kN)]]/ESF[[#This Row],[Padm (kN)]],0)+1)</f>
        <v>7</v>
      </c>
      <c r="AC58" s="4" t="str">
        <f ca="1">IFERROR(IF(ESF[[#This Row],[nE]]=1,ESF[[#This Row],[Padm (kN)]],ESF[[#This Row],[Padm (kN)]]*ESF[[#This Row],[nE]]*INDEX(grupoEstacas[],ESF[[#This Row],[nE]],MATCH("ε",grupoEstacas[#Headers],0))),"N.S.")</f>
        <v>N.S.</v>
      </c>
      <c r="AD58" s="4">
        <f ca="1">1.05*ESF[[#This Row],[Nsd (kN)]]/(ESF[[#This Row],[nE]]*PI()*ESF[[#This Row],[Ø (cm)]]^2/4)*10</f>
        <v>3.7136153388108912</v>
      </c>
      <c r="AE58" s="4">
        <f ca="1">IF(ESF[[#This Row],[σ (MPa)]]&lt;INDEX(tipoEstaca[],MATCH($D$2,tipoEstaca[TIPO DE ESTACA],0),MATCH("σmáx (MPa)",tipoEstaca[#Headers],0)),0.4%*PI()*ESF[[#This Row],[Ø (cm)]]^2/4,"N.S.")</f>
        <v>2.8274333882308138</v>
      </c>
      <c r="AF58" s="1">
        <f>INDEX(tipoEstaca[],MATCH($D$2,tipoEstaca[TIPO DE ESTACA],0),MATCH(ESF[[#Headers],[Comprimento (m)]],tipoEstaca[#Headers],0))</f>
        <v>2</v>
      </c>
      <c r="AG58" s="5">
        <f ca="1">ESF[[#This Row],[As,mín (cm²)]]/100^2*ESF[[#This Row],[Comprimento (m)]]*7850</f>
        <v>4.4390704195223778</v>
      </c>
      <c r="AH58" s="4">
        <f ca="1">ESF[[#This Row],[nE]]*ESF[[#This Row],[Prof. (m)]]*ESF[[#This Row],[Ap (m²)]]</f>
        <v>5.4428092723443164</v>
      </c>
      <c r="AI58" s="1">
        <f ca="1">IF(ESF[[#This Row],[nE]]=1,0,MAX(3*ESF[[#This Row],[Ø (cm)]],60))</f>
        <v>90</v>
      </c>
      <c r="AJ58" s="1">
        <f ca="1">IF(ESF[[#This Row],[nE]]=1,ESF[[#This Row],[Ø (cm)]]+2*10,MAX(1.5*ESF[[#This Row],[Ø (cm)]],ESF[[#This Row],[Ø (cm)]]+15))</f>
        <v>45</v>
      </c>
      <c r="AK58" s="1" t="str">
        <f ca="1">alturaUtil(ESF[[#This Row],[nE]],ESF[[#This Row],[Ø (cm)]],ESF[[#This Row],[e (cm)]],ESF[[#This Row],[ap,eq (cm)]])</f>
        <v>N.S.</v>
      </c>
      <c r="AL58" s="1" t="str">
        <f ca="1">IFERROR(ESF[[#This Row],[d (cm)]]+arredondarParaCimaMultiplo5cm(MAX(5,SQRT(PI())/2*ESF[[#This Row],[Ø (cm)]]/5)),"N.S.")</f>
        <v>N.S.</v>
      </c>
      <c r="AM58" s="5" t="str">
        <f ca="1">alpha(ESF[[#This Row],[nE]],ESF[[#This Row],[d (cm)]],ESF[[#This Row],[e (cm)]],ESF[[#This Row],[ap,eq (cm)]])</f>
        <v>N.S.</v>
      </c>
      <c r="AN58" s="35" t="str">
        <f ca="1">IFERROR(ESF[[#This Row],[Nsd (kN)]]/(ESF[[#This Row],[Ap (cm²)]]*SIN(ESF[[#This Row],[α]])^2),"N.S.")</f>
        <v>N.S.</v>
      </c>
      <c r="AO58" s="35" t="str">
        <f ca="1">IFERROR(ESF[[#This Row],[Nsd (kN)]]/(ESF[[#This Row],[nE]]*PI()*ESF[[#This Row],[Ø (cm)]]^2/4*SIN(ESF[[#This Row],[α]])^2),"N.S.")</f>
        <v>N.S.</v>
      </c>
      <c r="AP58" s="4" t="str">
        <f ca="1">IFERROR(INDEX(grupoEstacas[],ESF[[#This Row],[nE]],MATCH("coef. Blévot",grupoEstacas[#Headers],0)),"N.S.")</f>
        <v>N.S.</v>
      </c>
      <c r="AQ58" s="35" t="str">
        <f ca="1">IFERROR(ESF[[#This Row],[coef. Blévot]]*0.9*INDEX(tipoEstaca[],MATCH($D$2,tipoEstaca[TIPO DE ESTACA],0),MATCH("fcd (kN/cm²)",tipoEstaca[#Headers],0)),"N.S.")</f>
        <v>N.S.</v>
      </c>
      <c r="AR58" s="1" t="str">
        <f ca="1">IF(AND(ESF[[#This Row],[cd,b,pil (kN/cm²)]]&lt;=ESF[[#This Row],[cd,b,lim (kN/cm²)]],ESF[[#This Row],[cd,b,est (kN/cm²)]]&lt;=ESF[[#This Row],[cd,b,lim (kN/cm²)]]),"OK","ERRO")</f>
        <v>OK</v>
      </c>
      <c r="AS58" s="4" t="str">
        <f ca="1">As_lado(ESF[[#This Row],[nE]],ESF[[#This Row],[Nsd (kN)]],ESF[[#This Row],[d (cm)]],ESF[[#This Row],[e (cm)]],ESF[[#This Row],[ap,eq (cm)]])</f>
        <v>N.S.</v>
      </c>
      <c r="AT58" s="4" t="str">
        <f ca="1">IF(ESF[[#This Row],[nE]]=1,ESF[[#This Row],[As,lado (cm²)]],IF(ESF[[#This Row],[nE]]=2,0.075*2*ESF[a (cm)],"N.A."))</f>
        <v>N.A.</v>
      </c>
      <c r="AU58" s="4" t="str">
        <f ca="1">IFERROR(IF(ESF[[#This Row],[nE]]=1,"N.A.",0.2*ESF[[#This Row],[As,lado (cm²)]]),"N.S.")</f>
        <v>N.S.</v>
      </c>
      <c r="AV58" s="4" t="str">
        <f ca="1">As_malha(ESF[[#This Row],[nE]],ESF[[#This Row],[As,lado (cm²)]],ESF[[#This Row],[Nsd (kN)]])</f>
        <v>N.S.</v>
      </c>
      <c r="AW58" s="4" t="str">
        <f ca="1">As_susp_tot(ESF[[#This Row],[nE]],ESF[[#This Row],[Nsd (kN)]])</f>
        <v>N.S.</v>
      </c>
      <c r="AX58" s="4" t="str">
        <f ca="1">Asp_face(ESF[[#This Row],[nE]],ESF[[#This Row],[As,lado (cm²)]])</f>
        <v>N.S.</v>
      </c>
      <c r="AY58" s="5" t="str">
        <f ca="1">acoBloco(ESF[[#This Row],[nE]],ESF[[#This Row],[e (cm)]],ESF[[#This Row],[a (cm)]],ESF[[#This Row],[h (cm)]],ESF[[#This Row],[As,lado (cm²)]],ESF[[#This Row],[Asp e Asw (cm²/m)]],ESF[[#This Row],[As,sup (cm²)]],ESF[[#This Row],[As,malha (cm²)]],ESF[[#This Row],[As,susp,tot (cm²)]],ESF[[#This Row],[Asp,face (cm²)]])</f>
        <v>N.S.</v>
      </c>
      <c r="AZ58" s="4" t="str">
        <f ca="1">concretoBloco(ESF[[#This Row],[nE]],ESF[[#This Row],[e (cm)]],ESF[[#This Row],[a (cm)]],ESF[[#This Row],[h (cm)]])</f>
        <v>N.S.</v>
      </c>
      <c r="BA58" s="5">
        <f ca="1">SUM(ESF[[#This Row],[Aço Est (kg)]],ESF[[#This Row],[Aço Bloco (kg)]])</f>
        <v>4.4390704195223778</v>
      </c>
      <c r="BB58" s="4">
        <f>INDEX(composicoes[],MATCH(95580,composicoes[CÓDIGO],0),MATCH("CUSTO TOTAL",composicoes[#Headers],0))</f>
        <v>10.46</v>
      </c>
      <c r="BC58" s="4">
        <f ca="1">SUM(ESF[[#This Row],[Conc Est (m³)]],ESF[[#This Row],[Conc Bloco (m³)]])</f>
        <v>5.4428092723443164</v>
      </c>
      <c r="BD58" s="4">
        <f>INDEX(composicoes[],MATCH(94966,composicoes[CÓDIGO],0),MATCH("CUSTO TOTAL",composicoes[#Headers],0))</f>
        <v>439.52</v>
      </c>
      <c r="BE58" s="38">
        <f ca="1">ESF[[#This Row],[Aço (kg)]]*ESF[[#This Row],[Aço (R$/kg)]]+ESF[[#This Row],[Conc (m³)]]*ESF[[#This Row],[Conc (R$/m³)]]</f>
        <v>2438.6562079689779</v>
      </c>
      <c r="BF58" s="4" t="str">
        <f ca="1">IF(COUNTIF(ESF[#This Row],"N.S.")&gt;0,"lim.","OK")</f>
        <v>lim.</v>
      </c>
      <c r="BG58" s="4" t="str">
        <f>IF(ESF[[#This Row],[Prof. (m)]]&lt;3,"lim.","OK")</f>
        <v>OK</v>
      </c>
      <c r="BH58" s="4" t="str">
        <f>IF(ESF[[#This Row],[Prof. (m)]]&gt;=8*ESF[[#This Row],[Ø (cm)]]/100,"OK","lim.")</f>
        <v>OK</v>
      </c>
      <c r="BI58" s="4" t="str">
        <f>IF(AND(SPT!$F$3&lt;&gt;"",ESF[[#This Row],[Prof. (m)]]&gt;=SPT!$F$3),"lim.","OK")</f>
        <v>OK</v>
      </c>
      <c r="BJ58" s="4" t="str">
        <f>IF(COUNTIFS(ESF[Solo],"Areia",ESF[Prof. (m)],"&lt;="&amp;ESF[[#This Row],[Prof. (m)]])&gt;=1,"lim.","OK")</f>
        <v>OK</v>
      </c>
      <c r="BK58" s="4" t="str">
        <f ca="1">IF(ESF[[#This Row],[Verif. Biela]]="OK","OK","lim.")</f>
        <v>OK</v>
      </c>
      <c r="BL58" s="4" t="str">
        <f ca="1">IF(COUNTA(ESF[[#This Row],[Nº Est.]:[Biela comp.]])=COUNTIF(ESF[[#This Row],[Nº Est.]:[Biela comp.]],"OK"),"OK","lim.")</f>
        <v>lim.</v>
      </c>
      <c r="BM58" s="4" t="str">
        <f ca="1">IF(ESF[[#This Row],[Controle]]="OK",ESF[[#This Row],[nE]]&amp;" Ø"&amp;ESF[[#This Row],[Ø (cm)]]&amp;"cm Prof. "&amp;ESF[[#This Row],[Prof. (m)]]&amp;" m","")</f>
        <v/>
      </c>
      <c r="BN58" s="4" t="str">
        <f ca="1">IF(ESF[[#This Row],[idDimensionamento]]="","",ESF[[#This Row],[idPilar]]&amp;ESF[[#This Row],[idDimensionamento]])</f>
        <v/>
      </c>
    </row>
    <row r="59" spans="2:66" x14ac:dyDescent="0.25">
      <c r="B59" s="12">
        <f>ROUNDUP((ROW(ESF[[#This Row],[idDiâmetro]])-ROW(ESF[[#Headers],[idDiâmetro]]))/(COUNT(SPT[Prof. (m)])*COUNT(PILARES[Pilar])),0)</f>
        <v>2</v>
      </c>
      <c r="C59" s="12">
        <f>IF(ESF[[#This Row],[idDiâmetro]]&lt;&gt;B58,1,IF(ESF[[#This Row],[Prof. (m)]]=0,C58+1,C58))</f>
        <v>2</v>
      </c>
      <c r="D59" s="1">
        <f>IFERROR(IF(D58=MAX(SPT[Prof. (m)]),0,D58+1),0)</f>
        <v>12</v>
      </c>
      <c r="E59" s="1">
        <f>INDEX(SPT[],MATCH(ESF[[#This Row],[Prof. (m)]],SPT[Prof. (m)],0),2)</f>
        <v>52</v>
      </c>
      <c r="F59" s="1" t="str">
        <f>INDEX(SPT[],MATCH(ESF[[#This Row],[Prof. (m)]],SPT[Prof. (m)],0),3)</f>
        <v>Areia siltosa</v>
      </c>
      <c r="G59" s="1">
        <f>INDEX(estacas[],ESF[[#This Row],[idDiâmetro]],MATCH($B$2,estacas[#Headers],0))</f>
        <v>30</v>
      </c>
      <c r="H59" s="1">
        <f>INDEX(estacas[],MATCH(ESF[[#This Row],[Ø (cm)]],estacas[Ø ESF (cm)],0),MATCH(ESF[[#Headers],[Pe ESF (kN)]],estacas[#Headers],0))</f>
        <v>360</v>
      </c>
      <c r="I59" s="4">
        <f>INDEX(K_alpha_C[],MATCH(ESF[[#This Row],[Solo]],K_alpha_C[Solo],0),2)</f>
        <v>0.8</v>
      </c>
      <c r="J59" s="5">
        <f>INDEX(K_alpha_C[],MATCH(ESF[[#This Row],[Solo]],K_alpha_C[Solo],0),3)</f>
        <v>2</v>
      </c>
      <c r="K59" s="4">
        <f>INDEX(F1_F2[],MATCH($D$2,F1_F2[Tipo de estaca],0),2)</f>
        <v>3</v>
      </c>
      <c r="L59" s="4">
        <f>INDEX(F1_F2[],MATCH($D$2,F1_F2[Tipo de estaca],0),3)</f>
        <v>6</v>
      </c>
      <c r="M59" s="4">
        <f>PI()*(ESF[[#This Row],[Ø (cm)]]/100)^2/4</f>
        <v>7.0685834705770348E-2</v>
      </c>
      <c r="N59" s="4">
        <f>PI()*ESF[[#This Row],[Ø (cm)]]/100</f>
        <v>0.94247779607693782</v>
      </c>
      <c r="O59" s="4">
        <f>IF(ESF[[#This Row],[Prof. (m)]]=0,0,ESF[[#This Row],[α (%)]]/100*ESF[[#This Row],[K (MPa)]]*1000*ESF[[#This Row],[NSPT]])</f>
        <v>832</v>
      </c>
      <c r="P59" s="4">
        <f>IF(ESF[[#This Row],[Prof. (m)]]=0,0,(ESF[[#This Row],[K (MPa)]]*1000*ESF[[#This Row],[NSPT]]/ESF[[#This Row],[F1]]*ESF[[#This Row],[Ap (m²)]]+ESF[[#This Row],[U (m)]]/ESF[[#This Row],[F2]]*SUMIFS(ESF[(α∙K∙NL∙ΔL)],ESF[Prof. (m)],"&lt;="&amp;ESF[[#This Row],[Prof. (m)]],ESF[idDiâmetro],ESF[[#This Row],[idDiâmetro]],ESF[idPilar],ESF[[#This Row],[idPilar]]))/'DADOS CAP. CARGA'!$D$2)</f>
        <v>758.37261259494198</v>
      </c>
      <c r="Q59" s="12">
        <f>INDEX(C_alpha_beta[],MATCH(ESF[[#This Row],[Solo]],C_alpha_beta[Solo],0),MATCH(ESF[[#Headers],[C (kPa)]],C_alpha_beta[#Headers],0))</f>
        <v>400</v>
      </c>
      <c r="R59" s="4">
        <f>INDEX(C_alpha_beta[],MATCH(ESF[[#This Row],[Solo]],C_alpha_beta[Solo],0),MATCH(ESF[[#Headers],[α ESF]],C_alpha_beta[#Headers],0))</f>
        <v>0.5</v>
      </c>
      <c r="S59" s="4">
        <f>INDEX(C_alpha_beta[],MATCH(ESF[[#This Row],[Solo]],C_alpha_beta[Solo],0),MATCH(ESF[[#Headers],[β ESF]],C_alpha_beta[#Headers],0))</f>
        <v>0.5</v>
      </c>
      <c r="T59" s="4">
        <f>IF(ESF[[#This Row],[Prof. (m)]]=0,0,10*(ESF[[#This Row],[NSPT]]/3+1))</f>
        <v>183.33333333333331</v>
      </c>
      <c r="U59" s="4">
        <f>(ESF[[#This Row],[α ESF]]*ESF[[#This Row],[C (kPa)]]*ESF[[#This Row],[NSPT]]*ESF[[#This Row],[Ap (m²)]])/'DADOS CAP. CARGA'!$Q$2+(ESF[[#This Row],[β ESF]]*SUMIFS(ESF[10∙(NL/3+1)],ESF[Prof. (m)],"&lt;="&amp;ESF[[#This Row],[Prof. (m)]],ESF[idDiâmetro],ESF[[#This Row],[idDiâmetro]],ESF[idPilar],ESF[[#This Row],[idPilar]])*ESF[[#This Row],[U (m)]])/'DADOS CAP. CARGA'!$S$2</f>
        <v>387.20129455494197</v>
      </c>
      <c r="V59" s="4">
        <f>IF(SPT!$M$5=1,MIN(ESF[[#This Row],[Pe ESF (kN)]],ESF[[#This Row],[R_AV (kN)]]),IF(SPT!$M$5=2,MIN(ESF[[#This Row],[Pe ESF (kN)]],ESF[[#This Row],[R_DC (kN)]]),MIN(ESF[[#This Row],[Pe ESF (kN)]],ESF[[#This Row],[R_AV (kN)]],ESF[[#This Row],[R_DC (kN)]])))</f>
        <v>360</v>
      </c>
      <c r="W59" s="4">
        <f>INDEX(PILARES[],ESF[[#This Row],[idPilar]],MATCH("Carga (kN)",PILARES[#Headers],0))*1.4</f>
        <v>1750</v>
      </c>
      <c r="X59" s="12">
        <f>INDEX(PILARES[],ESF[[#This Row],[idPilar]],MATCH(ESF[[#Headers],[ap (cm)]],PILARES[#Headers],0))</f>
        <v>50</v>
      </c>
      <c r="Y59" s="12">
        <f>INDEX(PILARES[],ESF[[#This Row],[idPilar]],MATCH(ESF[[#Headers],[bp (cm)]],PILARES[#Headers],0))</f>
        <v>40</v>
      </c>
      <c r="Z59" s="4">
        <f>SQRT(ESF[[#This Row],[ap (cm)]]*ESF[[#This Row],[bp (cm)]])</f>
        <v>44.721359549995796</v>
      </c>
      <c r="AA59" s="12">
        <f>ESF[[#This Row],[ap (cm)]]*ESF[[#This Row],[bp (cm)]]</f>
        <v>2000</v>
      </c>
      <c r="AB59" s="12">
        <f ca="1">IF(ESF[[#This Row],[Padm∙ε (kN)]]&gt;=ESF[[#This Row],[Padm (kN)]],ROUNDUP(1.05*ESF[[#This Row],[Nsd (kN)]]/ESF[[#This Row],[Padm (kN)]],0),ROUNDUP(1.05*ESF[[#This Row],[Nsd (kN)]]/ESF[[#This Row],[Padm (kN)]],0)+1)</f>
        <v>6</v>
      </c>
      <c r="AC59" s="4" t="str">
        <f ca="1">IFERROR(IF(ESF[[#This Row],[nE]]=1,ESF[[#This Row],[Padm (kN)]],ESF[[#This Row],[Padm (kN)]]*ESF[[#This Row],[nE]]*INDEX(grupoEstacas[],ESF[[#This Row],[nE]],MATCH("ε",grupoEstacas[#Headers],0))),"N.S.")</f>
        <v>N.S.</v>
      </c>
      <c r="AD59" s="4">
        <f ca="1">1.05*ESF[[#This Row],[Nsd (kN)]]/(ESF[[#This Row],[nE]]*PI()*ESF[[#This Row],[Ø (cm)]]^2/4)*10</f>
        <v>4.3325512286127061</v>
      </c>
      <c r="AE59" s="4">
        <f ca="1">IF(ESF[[#This Row],[σ (MPa)]]&lt;INDEX(tipoEstaca[],MATCH($D$2,tipoEstaca[TIPO DE ESTACA],0),MATCH("σmáx (MPa)",tipoEstaca[#Headers],0)),0.4%*PI()*ESF[[#This Row],[Ø (cm)]]^2/4,"N.S.")</f>
        <v>2.8274333882308138</v>
      </c>
      <c r="AF59" s="1">
        <f>INDEX(tipoEstaca[],MATCH($D$2,tipoEstaca[TIPO DE ESTACA],0),MATCH(ESF[[#Headers],[Comprimento (m)]],tipoEstaca[#Headers],0))</f>
        <v>2</v>
      </c>
      <c r="AG59" s="5">
        <f ca="1">ESF[[#This Row],[As,mín (cm²)]]/100^2*ESF[[#This Row],[Comprimento (m)]]*7850</f>
        <v>4.4390704195223778</v>
      </c>
      <c r="AH59" s="4">
        <f ca="1">ESF[[#This Row],[nE]]*ESF[[#This Row],[Prof. (m)]]*ESF[[#This Row],[Ap (m²)]]</f>
        <v>5.0893800988154654</v>
      </c>
      <c r="AI59" s="1">
        <f ca="1">IF(ESF[[#This Row],[nE]]=1,0,MAX(3*ESF[[#This Row],[Ø (cm)]],60))</f>
        <v>90</v>
      </c>
      <c r="AJ59" s="1">
        <f ca="1">IF(ESF[[#This Row],[nE]]=1,ESF[[#This Row],[Ø (cm)]]+2*10,MAX(1.5*ESF[[#This Row],[Ø (cm)]],ESF[[#This Row],[Ø (cm)]]+15))</f>
        <v>45</v>
      </c>
      <c r="AK59" s="1" t="str">
        <f ca="1">alturaUtil(ESF[[#This Row],[nE]],ESF[[#This Row],[Ø (cm)]],ESF[[#This Row],[e (cm)]],ESF[[#This Row],[ap,eq (cm)]])</f>
        <v>N.S.</v>
      </c>
      <c r="AL59" s="1" t="str">
        <f ca="1">IFERROR(ESF[[#This Row],[d (cm)]]+arredondarParaCimaMultiplo5cm(MAX(5,SQRT(PI())/2*ESF[[#This Row],[Ø (cm)]]/5)),"N.S.")</f>
        <v>N.S.</v>
      </c>
      <c r="AM59" s="5" t="str">
        <f ca="1">alpha(ESF[[#This Row],[nE]],ESF[[#This Row],[d (cm)]],ESF[[#This Row],[e (cm)]],ESF[[#This Row],[ap,eq (cm)]])</f>
        <v>N.S.</v>
      </c>
      <c r="AN59" s="35" t="str">
        <f ca="1">IFERROR(ESF[[#This Row],[Nsd (kN)]]/(ESF[[#This Row],[Ap (cm²)]]*SIN(ESF[[#This Row],[α]])^2),"N.S.")</f>
        <v>N.S.</v>
      </c>
      <c r="AO59" s="35" t="str">
        <f ca="1">IFERROR(ESF[[#This Row],[Nsd (kN)]]/(ESF[[#This Row],[nE]]*PI()*ESF[[#This Row],[Ø (cm)]]^2/4*SIN(ESF[[#This Row],[α]])^2),"N.S.")</f>
        <v>N.S.</v>
      </c>
      <c r="AP59" s="4" t="str">
        <f ca="1">IFERROR(INDEX(grupoEstacas[],ESF[[#This Row],[nE]],MATCH("coef. Blévot",grupoEstacas[#Headers],0)),"N.S.")</f>
        <v>N.S.</v>
      </c>
      <c r="AQ59" s="35" t="str">
        <f ca="1">IFERROR(ESF[[#This Row],[coef. Blévot]]*0.9*INDEX(tipoEstaca[],MATCH($D$2,tipoEstaca[TIPO DE ESTACA],0),MATCH("fcd (kN/cm²)",tipoEstaca[#Headers],0)),"N.S.")</f>
        <v>N.S.</v>
      </c>
      <c r="AR59" s="1" t="str">
        <f ca="1">IF(AND(ESF[[#This Row],[cd,b,pil (kN/cm²)]]&lt;=ESF[[#This Row],[cd,b,lim (kN/cm²)]],ESF[[#This Row],[cd,b,est (kN/cm²)]]&lt;=ESF[[#This Row],[cd,b,lim (kN/cm²)]]),"OK","ERRO")</f>
        <v>OK</v>
      </c>
      <c r="AS59" s="4" t="str">
        <f ca="1">As_lado(ESF[[#This Row],[nE]],ESF[[#This Row],[Nsd (kN)]],ESF[[#This Row],[d (cm)]],ESF[[#This Row],[e (cm)]],ESF[[#This Row],[ap,eq (cm)]])</f>
        <v>N.S.</v>
      </c>
      <c r="AT59" s="4" t="str">
        <f ca="1">IF(ESF[[#This Row],[nE]]=1,ESF[[#This Row],[As,lado (cm²)]],IF(ESF[[#This Row],[nE]]=2,0.075*2*ESF[a (cm)],"N.A."))</f>
        <v>N.A.</v>
      </c>
      <c r="AU59" s="4" t="str">
        <f ca="1">IFERROR(IF(ESF[[#This Row],[nE]]=1,"N.A.",0.2*ESF[[#This Row],[As,lado (cm²)]]),"N.S.")</f>
        <v>N.S.</v>
      </c>
      <c r="AV59" s="4" t="str">
        <f ca="1">As_malha(ESF[[#This Row],[nE]],ESF[[#This Row],[As,lado (cm²)]],ESF[[#This Row],[Nsd (kN)]])</f>
        <v>N.S.</v>
      </c>
      <c r="AW59" s="4" t="str">
        <f ca="1">As_susp_tot(ESF[[#This Row],[nE]],ESF[[#This Row],[Nsd (kN)]])</f>
        <v>N.S.</v>
      </c>
      <c r="AX59" s="4" t="str">
        <f ca="1">Asp_face(ESF[[#This Row],[nE]],ESF[[#This Row],[As,lado (cm²)]])</f>
        <v>N.S.</v>
      </c>
      <c r="AY59" s="5" t="str">
        <f ca="1">acoBloco(ESF[[#This Row],[nE]],ESF[[#This Row],[e (cm)]],ESF[[#This Row],[a (cm)]],ESF[[#This Row],[h (cm)]],ESF[[#This Row],[As,lado (cm²)]],ESF[[#This Row],[Asp e Asw (cm²/m)]],ESF[[#This Row],[As,sup (cm²)]],ESF[[#This Row],[As,malha (cm²)]],ESF[[#This Row],[As,susp,tot (cm²)]],ESF[[#This Row],[Asp,face (cm²)]])</f>
        <v>N.S.</v>
      </c>
      <c r="AZ59" s="4" t="str">
        <f ca="1">concretoBloco(ESF[[#This Row],[nE]],ESF[[#This Row],[e (cm)]],ESF[[#This Row],[a (cm)]],ESF[[#This Row],[h (cm)]])</f>
        <v>N.S.</v>
      </c>
      <c r="BA59" s="5">
        <f ca="1">SUM(ESF[[#This Row],[Aço Est (kg)]],ESF[[#This Row],[Aço Bloco (kg)]])</f>
        <v>4.4390704195223778</v>
      </c>
      <c r="BB59" s="4">
        <f>INDEX(composicoes[],MATCH(95580,composicoes[CÓDIGO],0),MATCH("CUSTO TOTAL",composicoes[#Headers],0))</f>
        <v>10.46</v>
      </c>
      <c r="BC59" s="4">
        <f ca="1">SUM(ESF[[#This Row],[Conc Est (m³)]],ESF[[#This Row],[Conc Bloco (m³)]])</f>
        <v>5.0893800988154654</v>
      </c>
      <c r="BD59" s="4">
        <f>INDEX(composicoes[],MATCH(94966,composicoes[CÓDIGO],0),MATCH("CUSTO TOTAL",composicoes[#Headers],0))</f>
        <v>439.52</v>
      </c>
      <c r="BE59" s="38">
        <f ca="1">ESF[[#This Row],[Aço (kg)]]*ESF[[#This Row],[Aço (R$/kg)]]+ESF[[#This Row],[Conc (m³)]]*ESF[[#This Row],[Conc (R$/m³)]]</f>
        <v>2283.3170176195777</v>
      </c>
      <c r="BF59" s="4" t="str">
        <f ca="1">IF(COUNTIF(ESF[#This Row],"N.S.")&gt;0,"lim.","OK")</f>
        <v>lim.</v>
      </c>
      <c r="BG59" s="4" t="str">
        <f>IF(ESF[[#This Row],[Prof. (m)]]&lt;3,"lim.","OK")</f>
        <v>OK</v>
      </c>
      <c r="BH59" s="4" t="str">
        <f>IF(ESF[[#This Row],[Prof. (m)]]&gt;=8*ESF[[#This Row],[Ø (cm)]]/100,"OK","lim.")</f>
        <v>OK</v>
      </c>
      <c r="BI59" s="4" t="str">
        <f>IF(AND(SPT!$F$3&lt;&gt;"",ESF[[#This Row],[Prof. (m)]]&gt;=SPT!$F$3),"lim.","OK")</f>
        <v>OK</v>
      </c>
      <c r="BJ59" s="4" t="str">
        <f>IF(COUNTIFS(ESF[Solo],"Areia",ESF[Prof. (m)],"&lt;="&amp;ESF[[#This Row],[Prof. (m)]])&gt;=1,"lim.","OK")</f>
        <v>OK</v>
      </c>
      <c r="BK59" s="4" t="str">
        <f ca="1">IF(ESF[[#This Row],[Verif. Biela]]="OK","OK","lim.")</f>
        <v>OK</v>
      </c>
      <c r="BL59" s="4" t="str">
        <f ca="1">IF(COUNTA(ESF[[#This Row],[Nº Est.]:[Biela comp.]])=COUNTIF(ESF[[#This Row],[Nº Est.]:[Biela comp.]],"OK"),"OK","lim.")</f>
        <v>lim.</v>
      </c>
      <c r="BM59" s="4" t="str">
        <f ca="1">IF(ESF[[#This Row],[Controle]]="OK",ESF[[#This Row],[nE]]&amp;" Ø"&amp;ESF[[#This Row],[Ø (cm)]]&amp;"cm Prof. "&amp;ESF[[#This Row],[Prof. (m)]]&amp;" m","")</f>
        <v/>
      </c>
      <c r="BN59" s="4" t="str">
        <f ca="1">IF(ESF[[#This Row],[idDimensionamento]]="","",ESF[[#This Row],[idPilar]]&amp;ESF[[#This Row],[idDimensionamento]])</f>
        <v/>
      </c>
    </row>
    <row r="60" spans="2:66" x14ac:dyDescent="0.25">
      <c r="B60" s="12">
        <f>ROUNDUP((ROW(ESF[[#This Row],[idDiâmetro]])-ROW(ESF[[#Headers],[idDiâmetro]]))/(COUNT(SPT[Prof. (m)])*COUNT(PILARES[Pilar])),0)</f>
        <v>2</v>
      </c>
      <c r="C60" s="12">
        <f>IF(ESF[[#This Row],[idDiâmetro]]&lt;&gt;B59,1,IF(ESF[[#This Row],[Prof. (m)]]=0,C59+1,C59))</f>
        <v>2</v>
      </c>
      <c r="D60" s="1">
        <f>IFERROR(IF(D59=MAX(SPT[Prof. (m)]),0,D59+1),0)</f>
        <v>13</v>
      </c>
      <c r="E60" s="1">
        <f>INDEX(SPT[],MATCH(ESF[[#This Row],[Prof. (m)]],SPT[Prof. (m)],0),2)</f>
        <v>68</v>
      </c>
      <c r="F60" s="1" t="str">
        <f>INDEX(SPT[],MATCH(ESF[[#This Row],[Prof. (m)]],SPT[Prof. (m)],0),3)</f>
        <v>Areia siltosa</v>
      </c>
      <c r="G60" s="1">
        <f>INDEX(estacas[],ESF[[#This Row],[idDiâmetro]],MATCH($B$2,estacas[#Headers],0))</f>
        <v>30</v>
      </c>
      <c r="H60" s="1">
        <f>INDEX(estacas[],MATCH(ESF[[#This Row],[Ø (cm)]],estacas[Ø ESF (cm)],0),MATCH(ESF[[#Headers],[Pe ESF (kN)]],estacas[#Headers],0))</f>
        <v>360</v>
      </c>
      <c r="I60" s="4">
        <f>INDEX(K_alpha_C[],MATCH(ESF[[#This Row],[Solo]],K_alpha_C[Solo],0),2)</f>
        <v>0.8</v>
      </c>
      <c r="J60" s="5">
        <f>INDEX(K_alpha_C[],MATCH(ESF[[#This Row],[Solo]],K_alpha_C[Solo],0),3)</f>
        <v>2</v>
      </c>
      <c r="K60" s="4">
        <f>INDEX(F1_F2[],MATCH($D$2,F1_F2[Tipo de estaca],0),2)</f>
        <v>3</v>
      </c>
      <c r="L60" s="4">
        <f>INDEX(F1_F2[],MATCH($D$2,F1_F2[Tipo de estaca],0),3)</f>
        <v>6</v>
      </c>
      <c r="M60" s="4">
        <f>PI()*(ESF[[#This Row],[Ø (cm)]]/100)^2/4</f>
        <v>7.0685834705770348E-2</v>
      </c>
      <c r="N60" s="4">
        <f>PI()*ESF[[#This Row],[Ø (cm)]]/100</f>
        <v>0.94247779607693782</v>
      </c>
      <c r="O60" s="4">
        <f>IF(ESF[[#This Row],[Prof. (m)]]=0,0,ESF[[#This Row],[α (%)]]/100*ESF[[#This Row],[K (MPa)]]*1000*ESF[[#This Row],[NSPT]])</f>
        <v>1088</v>
      </c>
      <c r="P60" s="4">
        <f>IF(ESF[[#This Row],[Prof. (m)]]=0,0,(ESF[[#This Row],[K (MPa)]]*1000*ESF[[#This Row],[NSPT]]/ESF[[#This Row],[F1]]*ESF[[#This Row],[Ap (m²)]]+ESF[[#This Row],[U (m)]]/ESF[[#This Row],[F2]]*SUMIFS(ESF[(α∙K∙NL∙ΔL)],ESF[Prof. (m)],"&lt;="&amp;ESF[[#This Row],[Prof. (m)]],ESF[idDiâmetro],ESF[[#This Row],[idDiâmetro]],ESF[idPilar],ESF[[#This Row],[idPilar]]))/'DADOS CAP. CARGA'!$D$2)</f>
        <v>994.6203801448944</v>
      </c>
      <c r="Q60" s="12">
        <f>INDEX(C_alpha_beta[],MATCH(ESF[[#This Row],[Solo]],C_alpha_beta[Solo],0),MATCH(ESF[[#Headers],[C (kPa)]],C_alpha_beta[#Headers],0))</f>
        <v>400</v>
      </c>
      <c r="R60" s="4">
        <f>INDEX(C_alpha_beta[],MATCH(ESF[[#This Row],[Solo]],C_alpha_beta[Solo],0),MATCH(ESF[[#Headers],[α ESF]],C_alpha_beta[#Headers],0))</f>
        <v>0.5</v>
      </c>
      <c r="S60" s="4">
        <f>INDEX(C_alpha_beta[],MATCH(ESF[[#This Row],[Solo]],C_alpha_beta[Solo],0),MATCH(ESF[[#Headers],[β ESF]],C_alpha_beta[#Headers],0))</f>
        <v>0.5</v>
      </c>
      <c r="T60" s="4">
        <f>IF(ESF[[#This Row],[Prof. (m)]]=0,0,10*(ESF[[#This Row],[NSPT]]/3+1))</f>
        <v>236.66666666666669</v>
      </c>
      <c r="U60" s="4">
        <f>(ESF[[#This Row],[α ESF]]*ESF[[#This Row],[C (kPa)]]*ESF[[#This Row],[NSPT]]*ESF[[#This Row],[Ap (m²)]])/'DADOS CAP. CARGA'!$Q$2+(ESF[[#This Row],[β ESF]]*SUMIFS(ESF[10∙(NL/3+1)],ESF[Prof. (m)],"&lt;="&amp;ESF[[#This Row],[Prof. (m)]],ESF[idDiâmetro],ESF[[#This Row],[idDiâmetro]],ESF[idPilar],ESF[[#This Row],[idPilar]])*ESF[[#This Row],[U (m)]])/'DADOS CAP. CARGA'!$S$2</f>
        <v>499.51323192077712</v>
      </c>
      <c r="V60" s="4">
        <f>IF(SPT!$M$5=1,MIN(ESF[[#This Row],[Pe ESF (kN)]],ESF[[#This Row],[R_AV (kN)]]),IF(SPT!$M$5=2,MIN(ESF[[#This Row],[Pe ESF (kN)]],ESF[[#This Row],[R_DC (kN)]]),MIN(ESF[[#This Row],[Pe ESF (kN)]],ESF[[#This Row],[R_AV (kN)]],ESF[[#This Row],[R_DC (kN)]])))</f>
        <v>360</v>
      </c>
      <c r="W60" s="4">
        <f>INDEX(PILARES[],ESF[[#This Row],[idPilar]],MATCH("Carga (kN)",PILARES[#Headers],0))*1.4</f>
        <v>1750</v>
      </c>
      <c r="X60" s="12">
        <f>INDEX(PILARES[],ESF[[#This Row],[idPilar]],MATCH(ESF[[#Headers],[ap (cm)]],PILARES[#Headers],0))</f>
        <v>50</v>
      </c>
      <c r="Y60" s="12">
        <f>INDEX(PILARES[],ESF[[#This Row],[idPilar]],MATCH(ESF[[#Headers],[bp (cm)]],PILARES[#Headers],0))</f>
        <v>40</v>
      </c>
      <c r="Z60" s="4">
        <f>SQRT(ESF[[#This Row],[ap (cm)]]*ESF[[#This Row],[bp (cm)]])</f>
        <v>44.721359549995796</v>
      </c>
      <c r="AA60" s="12">
        <f>ESF[[#This Row],[ap (cm)]]*ESF[[#This Row],[bp (cm)]]</f>
        <v>2000</v>
      </c>
      <c r="AB60" s="12">
        <f ca="1">IF(ESF[[#This Row],[Padm∙ε (kN)]]&gt;=ESF[[#This Row],[Padm (kN)]],ROUNDUP(1.05*ESF[[#This Row],[Nsd (kN)]]/ESF[[#This Row],[Padm (kN)]],0),ROUNDUP(1.05*ESF[[#This Row],[Nsd (kN)]]/ESF[[#This Row],[Padm (kN)]],0)+1)</f>
        <v>6</v>
      </c>
      <c r="AC60" s="4" t="str">
        <f ca="1">IFERROR(IF(ESF[[#This Row],[nE]]=1,ESF[[#This Row],[Padm (kN)]],ESF[[#This Row],[Padm (kN)]]*ESF[[#This Row],[nE]]*INDEX(grupoEstacas[],ESF[[#This Row],[nE]],MATCH("ε",grupoEstacas[#Headers],0))),"N.S.")</f>
        <v>N.S.</v>
      </c>
      <c r="AD60" s="4">
        <f ca="1">1.05*ESF[[#This Row],[Nsd (kN)]]/(ESF[[#This Row],[nE]]*PI()*ESF[[#This Row],[Ø (cm)]]^2/4)*10</f>
        <v>4.3325512286127061</v>
      </c>
      <c r="AE60" s="4">
        <f ca="1">IF(ESF[[#This Row],[σ (MPa)]]&lt;INDEX(tipoEstaca[],MATCH($D$2,tipoEstaca[TIPO DE ESTACA],0),MATCH("σmáx (MPa)",tipoEstaca[#Headers],0)),0.4%*PI()*ESF[[#This Row],[Ø (cm)]]^2/4,"N.S.")</f>
        <v>2.8274333882308138</v>
      </c>
      <c r="AF60" s="1">
        <f>INDEX(tipoEstaca[],MATCH($D$2,tipoEstaca[TIPO DE ESTACA],0),MATCH(ESF[[#Headers],[Comprimento (m)]],tipoEstaca[#Headers],0))</f>
        <v>2</v>
      </c>
      <c r="AG60" s="5">
        <f ca="1">ESF[[#This Row],[As,mín (cm²)]]/100^2*ESF[[#This Row],[Comprimento (m)]]*7850</f>
        <v>4.4390704195223778</v>
      </c>
      <c r="AH60" s="4">
        <f ca="1">ESF[[#This Row],[nE]]*ESF[[#This Row],[Prof. (m)]]*ESF[[#This Row],[Ap (m²)]]</f>
        <v>5.5134951070500868</v>
      </c>
      <c r="AI60" s="1">
        <f ca="1">IF(ESF[[#This Row],[nE]]=1,0,MAX(3*ESF[[#This Row],[Ø (cm)]],60))</f>
        <v>90</v>
      </c>
      <c r="AJ60" s="1">
        <f ca="1">IF(ESF[[#This Row],[nE]]=1,ESF[[#This Row],[Ø (cm)]]+2*10,MAX(1.5*ESF[[#This Row],[Ø (cm)]],ESF[[#This Row],[Ø (cm)]]+15))</f>
        <v>45</v>
      </c>
      <c r="AK60" s="1" t="str">
        <f ca="1">alturaUtil(ESF[[#This Row],[nE]],ESF[[#This Row],[Ø (cm)]],ESF[[#This Row],[e (cm)]],ESF[[#This Row],[ap,eq (cm)]])</f>
        <v>N.S.</v>
      </c>
      <c r="AL60" s="1" t="str">
        <f ca="1">IFERROR(ESF[[#This Row],[d (cm)]]+arredondarParaCimaMultiplo5cm(MAX(5,SQRT(PI())/2*ESF[[#This Row],[Ø (cm)]]/5)),"N.S.")</f>
        <v>N.S.</v>
      </c>
      <c r="AM60" s="5" t="str">
        <f ca="1">alpha(ESF[[#This Row],[nE]],ESF[[#This Row],[d (cm)]],ESF[[#This Row],[e (cm)]],ESF[[#This Row],[ap,eq (cm)]])</f>
        <v>N.S.</v>
      </c>
      <c r="AN60" s="35" t="str">
        <f ca="1">IFERROR(ESF[[#This Row],[Nsd (kN)]]/(ESF[[#This Row],[Ap (cm²)]]*SIN(ESF[[#This Row],[α]])^2),"N.S.")</f>
        <v>N.S.</v>
      </c>
      <c r="AO60" s="35" t="str">
        <f ca="1">IFERROR(ESF[[#This Row],[Nsd (kN)]]/(ESF[[#This Row],[nE]]*PI()*ESF[[#This Row],[Ø (cm)]]^2/4*SIN(ESF[[#This Row],[α]])^2),"N.S.")</f>
        <v>N.S.</v>
      </c>
      <c r="AP60" s="4" t="str">
        <f ca="1">IFERROR(INDEX(grupoEstacas[],ESF[[#This Row],[nE]],MATCH("coef. Blévot",grupoEstacas[#Headers],0)),"N.S.")</f>
        <v>N.S.</v>
      </c>
      <c r="AQ60" s="35" t="str">
        <f ca="1">IFERROR(ESF[[#This Row],[coef. Blévot]]*0.9*INDEX(tipoEstaca[],MATCH($D$2,tipoEstaca[TIPO DE ESTACA],0),MATCH("fcd (kN/cm²)",tipoEstaca[#Headers],0)),"N.S.")</f>
        <v>N.S.</v>
      </c>
      <c r="AR60" s="1" t="str">
        <f ca="1">IF(AND(ESF[[#This Row],[cd,b,pil (kN/cm²)]]&lt;=ESF[[#This Row],[cd,b,lim (kN/cm²)]],ESF[[#This Row],[cd,b,est (kN/cm²)]]&lt;=ESF[[#This Row],[cd,b,lim (kN/cm²)]]),"OK","ERRO")</f>
        <v>OK</v>
      </c>
      <c r="AS60" s="4" t="str">
        <f ca="1">As_lado(ESF[[#This Row],[nE]],ESF[[#This Row],[Nsd (kN)]],ESF[[#This Row],[d (cm)]],ESF[[#This Row],[e (cm)]],ESF[[#This Row],[ap,eq (cm)]])</f>
        <v>N.S.</v>
      </c>
      <c r="AT60" s="4" t="str">
        <f ca="1">IF(ESF[[#This Row],[nE]]=1,ESF[[#This Row],[As,lado (cm²)]],IF(ESF[[#This Row],[nE]]=2,0.075*2*ESF[a (cm)],"N.A."))</f>
        <v>N.A.</v>
      </c>
      <c r="AU60" s="4" t="str">
        <f ca="1">IFERROR(IF(ESF[[#This Row],[nE]]=1,"N.A.",0.2*ESF[[#This Row],[As,lado (cm²)]]),"N.S.")</f>
        <v>N.S.</v>
      </c>
      <c r="AV60" s="4" t="str">
        <f ca="1">As_malha(ESF[[#This Row],[nE]],ESF[[#This Row],[As,lado (cm²)]],ESF[[#This Row],[Nsd (kN)]])</f>
        <v>N.S.</v>
      </c>
      <c r="AW60" s="4" t="str">
        <f ca="1">As_susp_tot(ESF[[#This Row],[nE]],ESF[[#This Row],[Nsd (kN)]])</f>
        <v>N.S.</v>
      </c>
      <c r="AX60" s="4" t="str">
        <f ca="1">Asp_face(ESF[[#This Row],[nE]],ESF[[#This Row],[As,lado (cm²)]])</f>
        <v>N.S.</v>
      </c>
      <c r="AY60" s="5" t="str">
        <f ca="1">acoBloco(ESF[[#This Row],[nE]],ESF[[#This Row],[e (cm)]],ESF[[#This Row],[a (cm)]],ESF[[#This Row],[h (cm)]],ESF[[#This Row],[As,lado (cm²)]],ESF[[#This Row],[Asp e Asw (cm²/m)]],ESF[[#This Row],[As,sup (cm²)]],ESF[[#This Row],[As,malha (cm²)]],ESF[[#This Row],[As,susp,tot (cm²)]],ESF[[#This Row],[Asp,face (cm²)]])</f>
        <v>N.S.</v>
      </c>
      <c r="AZ60" s="4" t="str">
        <f ca="1">concretoBloco(ESF[[#This Row],[nE]],ESF[[#This Row],[e (cm)]],ESF[[#This Row],[a (cm)]],ESF[[#This Row],[h (cm)]])</f>
        <v>N.S.</v>
      </c>
      <c r="BA60" s="5">
        <f ca="1">SUM(ESF[[#This Row],[Aço Est (kg)]],ESF[[#This Row],[Aço Bloco (kg)]])</f>
        <v>4.4390704195223778</v>
      </c>
      <c r="BB60" s="4">
        <f>INDEX(composicoes[],MATCH(95580,composicoes[CÓDIGO],0),MATCH("CUSTO TOTAL",composicoes[#Headers],0))</f>
        <v>10.46</v>
      </c>
      <c r="BC60" s="4">
        <f ca="1">SUM(ESF[[#This Row],[Conc Est (m³)]],ESF[[#This Row],[Conc Bloco (m³)]])</f>
        <v>5.5134951070500868</v>
      </c>
      <c r="BD60" s="4">
        <f>INDEX(composicoes[],MATCH(94966,composicoes[CÓDIGO],0),MATCH("CUSTO TOTAL",composicoes[#Headers],0))</f>
        <v>439.52</v>
      </c>
      <c r="BE60" s="38">
        <f ca="1">ESF[[#This Row],[Aço (kg)]]*ESF[[#This Row],[Aço (R$/kg)]]+ESF[[#This Row],[Conc (m³)]]*ESF[[#This Row],[Conc (R$/m³)]]</f>
        <v>2469.7240460388584</v>
      </c>
      <c r="BF60" s="4" t="str">
        <f ca="1">IF(COUNTIF(ESF[#This Row],"N.S.")&gt;0,"lim.","OK")</f>
        <v>lim.</v>
      </c>
      <c r="BG60" s="4" t="str">
        <f>IF(ESF[[#This Row],[Prof. (m)]]&lt;3,"lim.","OK")</f>
        <v>OK</v>
      </c>
      <c r="BH60" s="4" t="str">
        <f>IF(ESF[[#This Row],[Prof. (m)]]&gt;=8*ESF[[#This Row],[Ø (cm)]]/100,"OK","lim.")</f>
        <v>OK</v>
      </c>
      <c r="BI60" s="4" t="str">
        <f>IF(AND(SPT!$F$3&lt;&gt;"",ESF[[#This Row],[Prof. (m)]]&gt;=SPT!$F$3),"lim.","OK")</f>
        <v>OK</v>
      </c>
      <c r="BJ60" s="4" t="str">
        <f>IF(COUNTIFS(ESF[Solo],"Areia",ESF[Prof. (m)],"&lt;="&amp;ESF[[#This Row],[Prof. (m)]])&gt;=1,"lim.","OK")</f>
        <v>OK</v>
      </c>
      <c r="BK60" s="4" t="str">
        <f ca="1">IF(ESF[[#This Row],[Verif. Biela]]="OK","OK","lim.")</f>
        <v>OK</v>
      </c>
      <c r="BL60" s="4" t="str">
        <f ca="1">IF(COUNTA(ESF[[#This Row],[Nº Est.]:[Biela comp.]])=COUNTIF(ESF[[#This Row],[Nº Est.]:[Biela comp.]],"OK"),"OK","lim.")</f>
        <v>lim.</v>
      </c>
      <c r="BM60" s="4" t="str">
        <f ca="1">IF(ESF[[#This Row],[Controle]]="OK",ESF[[#This Row],[nE]]&amp;" Ø"&amp;ESF[[#This Row],[Ø (cm)]]&amp;"cm Prof. "&amp;ESF[[#This Row],[Prof. (m)]]&amp;" m","")</f>
        <v/>
      </c>
      <c r="BN60" s="4" t="str">
        <f ca="1">IF(ESF[[#This Row],[idDimensionamento]]="","",ESF[[#This Row],[idPilar]]&amp;ESF[[#This Row],[idDimensionamento]])</f>
        <v/>
      </c>
    </row>
    <row r="61" spans="2:66" x14ac:dyDescent="0.25">
      <c r="B61" s="12">
        <f>ROUNDUP((ROW(ESF[[#This Row],[idDiâmetro]])-ROW(ESF[[#Headers],[idDiâmetro]]))/(COUNT(SPT[Prof. (m)])*COUNT(PILARES[Pilar])),0)</f>
        <v>3</v>
      </c>
      <c r="C61" s="12">
        <f>IF(ESF[[#This Row],[idDiâmetro]]&lt;&gt;B60,1,IF(ESF[[#This Row],[Prof. (m)]]=0,C60+1,C60))</f>
        <v>1</v>
      </c>
      <c r="D61" s="1">
        <f>IFERROR(IF(D60=MAX(SPT[Prof. (m)]),0,D60+1),0)</f>
        <v>0</v>
      </c>
      <c r="E61" s="1">
        <f>INDEX(SPT[],MATCH(ESF[[#This Row],[Prof. (m)]],SPT[Prof. (m)],0),2)</f>
        <v>0</v>
      </c>
      <c r="F61" s="1" t="str">
        <f>INDEX(SPT[],MATCH(ESF[[#This Row],[Prof. (m)]],SPT[Prof. (m)],0),3)</f>
        <v>Areia siltosa</v>
      </c>
      <c r="G61" s="1">
        <f>INDEX(estacas[],ESF[[#This Row],[idDiâmetro]],MATCH($B$2,estacas[#Headers],0))</f>
        <v>35</v>
      </c>
      <c r="H61" s="1">
        <f>INDEX(estacas[],MATCH(ESF[[#This Row],[Ø (cm)]],estacas[Ø ESF (cm)],0),MATCH(ESF[[#Headers],[Pe ESF (kN)]],estacas[#Headers],0))</f>
        <v>490</v>
      </c>
      <c r="I61" s="4">
        <f>INDEX(K_alpha_C[],MATCH(ESF[[#This Row],[Solo]],K_alpha_C[Solo],0),2)</f>
        <v>0.8</v>
      </c>
      <c r="J61" s="5">
        <f>INDEX(K_alpha_C[],MATCH(ESF[[#This Row],[Solo]],K_alpha_C[Solo],0),3)</f>
        <v>2</v>
      </c>
      <c r="K61" s="4">
        <f>INDEX(F1_F2[],MATCH($D$2,F1_F2[Tipo de estaca],0),2)</f>
        <v>3</v>
      </c>
      <c r="L61" s="4">
        <f>INDEX(F1_F2[],MATCH($D$2,F1_F2[Tipo de estaca],0),3)</f>
        <v>6</v>
      </c>
      <c r="M61" s="4">
        <f>PI()*(ESF[[#This Row],[Ø (cm)]]/100)^2/4</f>
        <v>9.6211275016187398E-2</v>
      </c>
      <c r="N61" s="4">
        <f>PI()*ESF[[#This Row],[Ø (cm)]]/100</f>
        <v>1.0995574287564276</v>
      </c>
      <c r="O61" s="4">
        <f>IF(ESF[[#This Row],[Prof. (m)]]=0,0,ESF[[#This Row],[α (%)]]/100*ESF[[#This Row],[K (MPa)]]*1000*ESF[[#This Row],[NSPT]])</f>
        <v>0</v>
      </c>
      <c r="P61" s="4">
        <f>IF(ESF[[#This Row],[Prof. (m)]]=0,0,(ESF[[#This Row],[K (MPa)]]*1000*ESF[[#This Row],[NSPT]]/ESF[[#This Row],[F1]]*ESF[[#This Row],[Ap (m²)]]+ESF[[#This Row],[U (m)]]/ESF[[#This Row],[F2]]*SUMIFS(ESF[(α∙K∙NL∙ΔL)],ESF[Prof. (m)],"&lt;="&amp;ESF[[#This Row],[Prof. (m)]],ESF[idDiâmetro],ESF[[#This Row],[idDiâmetro]],ESF[idPilar],ESF[[#This Row],[idPilar]]))/'DADOS CAP. CARGA'!$D$2)</f>
        <v>0</v>
      </c>
      <c r="Q61" s="12">
        <f>INDEX(C_alpha_beta[],MATCH(ESF[[#This Row],[Solo]],C_alpha_beta[Solo],0),MATCH(ESF[[#Headers],[C (kPa)]],C_alpha_beta[#Headers],0))</f>
        <v>400</v>
      </c>
      <c r="R61" s="4">
        <f>INDEX(C_alpha_beta[],MATCH(ESF[[#This Row],[Solo]],C_alpha_beta[Solo],0),MATCH(ESF[[#Headers],[α ESF]],C_alpha_beta[#Headers],0))</f>
        <v>0.5</v>
      </c>
      <c r="S61" s="4">
        <f>INDEX(C_alpha_beta[],MATCH(ESF[[#This Row],[Solo]],C_alpha_beta[Solo],0),MATCH(ESF[[#Headers],[β ESF]],C_alpha_beta[#Headers],0))</f>
        <v>0.5</v>
      </c>
      <c r="T61" s="4">
        <f>IF(ESF[[#This Row],[Prof. (m)]]=0,0,10*(ESF[[#This Row],[NSPT]]/3+1))</f>
        <v>0</v>
      </c>
      <c r="U61" s="4">
        <f>(ESF[[#This Row],[α ESF]]*ESF[[#This Row],[C (kPa)]]*ESF[[#This Row],[NSPT]]*ESF[[#This Row],[Ap (m²)]])/'DADOS CAP. CARGA'!$Q$2+(ESF[[#This Row],[β ESF]]*SUMIFS(ESF[10∙(NL/3+1)],ESF[Prof. (m)],"&lt;="&amp;ESF[[#This Row],[Prof. (m)]],ESF[idDiâmetro],ESF[[#This Row],[idDiâmetro]],ESF[idPilar],ESF[[#This Row],[idPilar]])*ESF[[#This Row],[U (m)]])/'DADOS CAP. CARGA'!$S$2</f>
        <v>0</v>
      </c>
      <c r="V61" s="4">
        <f>IF(SPT!$M$5=1,MIN(ESF[[#This Row],[Pe ESF (kN)]],ESF[[#This Row],[R_AV (kN)]]),IF(SPT!$M$5=2,MIN(ESF[[#This Row],[Pe ESF (kN)]],ESF[[#This Row],[R_DC (kN)]]),MIN(ESF[[#This Row],[Pe ESF (kN)]],ESF[[#This Row],[R_AV (kN)]],ESF[[#This Row],[R_DC (kN)]])))</f>
        <v>0</v>
      </c>
      <c r="W61" s="4">
        <f>INDEX(PILARES[],ESF[[#This Row],[idPilar]],MATCH("Carga (kN)",PILARES[#Headers],0))*1.4</f>
        <v>3500</v>
      </c>
      <c r="X61" s="12">
        <f>INDEX(PILARES[],ESF[[#This Row],[idPilar]],MATCH(ESF[[#Headers],[ap (cm)]],PILARES[#Headers],0))</f>
        <v>60</v>
      </c>
      <c r="Y61" s="12">
        <f>INDEX(PILARES[],ESF[[#This Row],[idPilar]],MATCH(ESF[[#Headers],[bp (cm)]],PILARES[#Headers],0))</f>
        <v>60</v>
      </c>
      <c r="Z61" s="4">
        <f>SQRT(ESF[[#This Row],[ap (cm)]]*ESF[[#This Row],[bp (cm)]])</f>
        <v>60</v>
      </c>
      <c r="AA61" s="12">
        <f>ESF[[#This Row],[ap (cm)]]*ESF[[#This Row],[bp (cm)]]</f>
        <v>3600</v>
      </c>
      <c r="AB61" s="12" t="e">
        <f ca="1">IF(ESF[[#This Row],[Padm∙ε (kN)]]&gt;=ESF[[#This Row],[Padm (kN)]],ROUNDUP(1.05*ESF[[#This Row],[Nsd (kN)]]/ESF[[#This Row],[Padm (kN)]],0),ROUNDUP(1.05*ESF[[#This Row],[Nsd (kN)]]/ESF[[#This Row],[Padm (kN)]],0)+1)</f>
        <v>#DIV/0!</v>
      </c>
      <c r="AC61" s="4" t="str">
        <f ca="1">IFERROR(IF(ESF[[#This Row],[nE]]=1,ESF[[#This Row],[Padm (kN)]],ESF[[#This Row],[Padm (kN)]]*ESF[[#This Row],[nE]]*INDEX(grupoEstacas[],ESF[[#This Row],[nE]],MATCH("ε",grupoEstacas[#Headers],0))),"N.S.")</f>
        <v>N.S.</v>
      </c>
      <c r="AD61" s="4" t="e">
        <f ca="1">1.05*ESF[[#This Row],[Nsd (kN)]]/(ESF[[#This Row],[nE]]*PI()*ESF[[#This Row],[Ø (cm)]]^2/4)*10</f>
        <v>#DIV/0!</v>
      </c>
      <c r="AE61" s="4" t="e">
        <f ca="1">IF(ESF[[#This Row],[σ (MPa)]]&lt;INDEX(tipoEstaca[],MATCH($D$2,tipoEstaca[TIPO DE ESTACA],0),MATCH("σmáx (MPa)",tipoEstaca[#Headers],0)),0.4%*PI()*ESF[[#This Row],[Ø (cm)]]^2/4,"N.S.")</f>
        <v>#DIV/0!</v>
      </c>
      <c r="AF61" s="1">
        <f>INDEX(tipoEstaca[],MATCH($D$2,tipoEstaca[TIPO DE ESTACA],0),MATCH(ESF[[#Headers],[Comprimento (m)]],tipoEstaca[#Headers],0))</f>
        <v>2</v>
      </c>
      <c r="AG61" s="5" t="e">
        <f ca="1">ESF[[#This Row],[As,mín (cm²)]]/100^2*ESF[[#This Row],[Comprimento (m)]]*7850</f>
        <v>#DIV/0!</v>
      </c>
      <c r="AH61" s="4" t="e">
        <f ca="1">ESF[[#This Row],[nE]]*ESF[[#This Row],[Prof. (m)]]*ESF[[#This Row],[Ap (m²)]]</f>
        <v>#DIV/0!</v>
      </c>
      <c r="AI61" s="1" t="e">
        <f ca="1">IF(ESF[[#This Row],[nE]]=1,0,MAX(3*ESF[[#This Row],[Ø (cm)]],60))</f>
        <v>#DIV/0!</v>
      </c>
      <c r="AJ61" s="1" t="e">
        <f ca="1">IF(ESF[[#This Row],[nE]]=1,ESF[[#This Row],[Ø (cm)]]+2*10,MAX(1.5*ESF[[#This Row],[Ø (cm)]],ESF[[#This Row],[Ø (cm)]]+15))</f>
        <v>#DIV/0!</v>
      </c>
      <c r="AK61" s="1" t="e">
        <f ca="1">alturaUtil(ESF[[#This Row],[nE]],ESF[[#This Row],[Ø (cm)]],ESF[[#This Row],[e (cm)]],ESF[[#This Row],[ap,eq (cm)]])</f>
        <v>#VALUE!</v>
      </c>
      <c r="AL61" s="1" t="str">
        <f ca="1">IFERROR(ESF[[#This Row],[d (cm)]]+arredondarParaCimaMultiplo5cm(MAX(5,SQRT(PI())/2*ESF[[#This Row],[Ø (cm)]]/5)),"N.S.")</f>
        <v>N.S.</v>
      </c>
      <c r="AM61" s="5" t="e">
        <f ca="1">alpha(ESF[[#This Row],[nE]],ESF[[#This Row],[d (cm)]],ESF[[#This Row],[e (cm)]],ESF[[#This Row],[ap,eq (cm)]])</f>
        <v>#VALUE!</v>
      </c>
      <c r="AN61" s="35" t="str">
        <f ca="1">IFERROR(ESF[[#This Row],[Nsd (kN)]]/(ESF[[#This Row],[Ap (cm²)]]*SIN(ESF[[#This Row],[α]])^2),"N.S.")</f>
        <v>N.S.</v>
      </c>
      <c r="AO61" s="35" t="str">
        <f ca="1">IFERROR(ESF[[#This Row],[Nsd (kN)]]/(ESF[[#This Row],[nE]]*PI()*ESF[[#This Row],[Ø (cm)]]^2/4*SIN(ESF[[#This Row],[α]])^2),"N.S.")</f>
        <v>N.S.</v>
      </c>
      <c r="AP61" s="4" t="str">
        <f ca="1">IFERROR(INDEX(grupoEstacas[],ESF[[#This Row],[nE]],MATCH("coef. Blévot",grupoEstacas[#Headers],0)),"N.S.")</f>
        <v>N.S.</v>
      </c>
      <c r="AQ61" s="35" t="str">
        <f ca="1">IFERROR(ESF[[#This Row],[coef. Blévot]]*0.9*INDEX(tipoEstaca[],MATCH($D$2,tipoEstaca[TIPO DE ESTACA],0),MATCH("fcd (kN/cm²)",tipoEstaca[#Headers],0)),"N.S.")</f>
        <v>N.S.</v>
      </c>
      <c r="AR61" s="1" t="str">
        <f ca="1">IF(AND(ESF[[#This Row],[cd,b,pil (kN/cm²)]]&lt;=ESF[[#This Row],[cd,b,lim (kN/cm²)]],ESF[[#This Row],[cd,b,est (kN/cm²)]]&lt;=ESF[[#This Row],[cd,b,lim (kN/cm²)]]),"OK","ERRO")</f>
        <v>OK</v>
      </c>
      <c r="AS61" s="4" t="e">
        <f ca="1">As_lado(ESF[[#This Row],[nE]],ESF[[#This Row],[Nsd (kN)]],ESF[[#This Row],[d (cm)]],ESF[[#This Row],[e (cm)]],ESF[[#This Row],[ap,eq (cm)]])</f>
        <v>#VALUE!</v>
      </c>
      <c r="AT61" s="4" t="e">
        <f ca="1">IF(ESF[[#This Row],[nE]]=1,ESF[[#This Row],[As,lado (cm²)]],IF(ESF[[#This Row],[nE]]=2,0.075*2*ESF[a (cm)],"N.A."))</f>
        <v>#DIV/0!</v>
      </c>
      <c r="AU61" s="4" t="str">
        <f ca="1">IFERROR(IF(ESF[[#This Row],[nE]]=1,"N.A.",0.2*ESF[[#This Row],[As,lado (cm²)]]),"N.S.")</f>
        <v>N.S.</v>
      </c>
      <c r="AV61" s="4" t="e">
        <f ca="1">As_malha(ESF[[#This Row],[nE]],ESF[[#This Row],[As,lado (cm²)]],ESF[[#This Row],[Nsd (kN)]])</f>
        <v>#VALUE!</v>
      </c>
      <c r="AW61" s="4" t="e">
        <f ca="1">As_susp_tot(ESF[[#This Row],[nE]],ESF[[#This Row],[Nsd (kN)]])</f>
        <v>#VALUE!</v>
      </c>
      <c r="AX61" s="4" t="e">
        <f ca="1">Asp_face(ESF[[#This Row],[nE]],ESF[[#This Row],[As,lado (cm²)]])</f>
        <v>#VALUE!</v>
      </c>
      <c r="AY61" s="5" t="e">
        <f ca="1">acoBloco(ESF[[#This Row],[nE]],ESF[[#This Row],[e (cm)]],ESF[[#This Row],[a (cm)]],ESF[[#This Row],[h (cm)]],ESF[[#This Row],[As,lado (cm²)]],ESF[[#This Row],[Asp e Asw (cm²/m)]],ESF[[#This Row],[As,sup (cm²)]],ESF[[#This Row],[As,malha (cm²)]],ESF[[#This Row],[As,susp,tot (cm²)]],ESF[[#This Row],[Asp,face (cm²)]])</f>
        <v>#VALUE!</v>
      </c>
      <c r="AZ61" s="4" t="e">
        <f ca="1">concretoBloco(ESF[[#This Row],[nE]],ESF[[#This Row],[e (cm)]],ESF[[#This Row],[a (cm)]],ESF[[#This Row],[h (cm)]])</f>
        <v>#VALUE!</v>
      </c>
      <c r="BA61" s="5" t="e">
        <f ca="1">SUM(ESF[[#This Row],[Aço Est (kg)]],ESF[[#This Row],[Aço Bloco (kg)]])</f>
        <v>#DIV/0!</v>
      </c>
      <c r="BB61" s="4">
        <f>INDEX(composicoes[],MATCH(95580,composicoes[CÓDIGO],0),MATCH("CUSTO TOTAL",composicoes[#Headers],0))</f>
        <v>10.46</v>
      </c>
      <c r="BC61" s="4" t="e">
        <f ca="1">SUM(ESF[[#This Row],[Conc Est (m³)]],ESF[[#This Row],[Conc Bloco (m³)]])</f>
        <v>#DIV/0!</v>
      </c>
      <c r="BD61" s="4">
        <f>INDEX(composicoes[],MATCH(94966,composicoes[CÓDIGO],0),MATCH("CUSTO TOTAL",composicoes[#Headers],0))</f>
        <v>439.52</v>
      </c>
      <c r="BE61" s="38" t="e">
        <f ca="1">ESF[[#This Row],[Aço (kg)]]*ESF[[#This Row],[Aço (R$/kg)]]+ESF[[#This Row],[Conc (m³)]]*ESF[[#This Row],[Conc (R$/m³)]]</f>
        <v>#DIV/0!</v>
      </c>
      <c r="BF61" s="4" t="str">
        <f ca="1">IF(COUNTIF(ESF[#This Row],"N.S.")&gt;0,"lim.","OK")</f>
        <v>lim.</v>
      </c>
      <c r="BG61" s="4" t="str">
        <f>IF(ESF[[#This Row],[Prof. (m)]]&lt;3,"lim.","OK")</f>
        <v>lim.</v>
      </c>
      <c r="BH61" s="4" t="str">
        <f>IF(ESF[[#This Row],[Prof. (m)]]&gt;=8*ESF[[#This Row],[Ø (cm)]]/100,"OK","lim.")</f>
        <v>lim.</v>
      </c>
      <c r="BI61" s="4" t="str">
        <f>IF(AND(SPT!$F$3&lt;&gt;"",ESF[[#This Row],[Prof. (m)]]&gt;=SPT!$F$3),"lim.","OK")</f>
        <v>OK</v>
      </c>
      <c r="BJ61" s="4" t="str">
        <f>IF(COUNTIFS(ESF[Solo],"Areia",ESF[Prof. (m)],"&lt;="&amp;ESF[[#This Row],[Prof. (m)]])&gt;=1,"lim.","OK")</f>
        <v>OK</v>
      </c>
      <c r="BK61" s="4" t="str">
        <f ca="1">IF(ESF[[#This Row],[Verif. Biela]]="OK","OK","lim.")</f>
        <v>OK</v>
      </c>
      <c r="BL61" s="4" t="str">
        <f ca="1">IF(COUNTA(ESF[[#This Row],[Nº Est.]:[Biela comp.]])=COUNTIF(ESF[[#This Row],[Nº Est.]:[Biela comp.]],"OK"),"OK","lim.")</f>
        <v>lim.</v>
      </c>
      <c r="BM61" s="4" t="str">
        <f ca="1">IF(ESF[[#This Row],[Controle]]="OK",ESF[[#This Row],[nE]]&amp;" Ø"&amp;ESF[[#This Row],[Ø (cm)]]&amp;"cm Prof. "&amp;ESF[[#This Row],[Prof. (m)]]&amp;" m","")</f>
        <v/>
      </c>
      <c r="BN61" s="4" t="str">
        <f ca="1">IF(ESF[[#This Row],[idDimensionamento]]="","",ESF[[#This Row],[idPilar]]&amp;ESF[[#This Row],[idDimensionamento]])</f>
        <v/>
      </c>
    </row>
    <row r="62" spans="2:66" x14ac:dyDescent="0.25">
      <c r="B62" s="12">
        <f>ROUNDUP((ROW(ESF[[#This Row],[idDiâmetro]])-ROW(ESF[[#Headers],[idDiâmetro]]))/(COUNT(SPT[Prof. (m)])*COUNT(PILARES[Pilar])),0)</f>
        <v>3</v>
      </c>
      <c r="C62" s="12">
        <f>IF(ESF[[#This Row],[idDiâmetro]]&lt;&gt;B61,1,IF(ESF[[#This Row],[Prof. (m)]]=0,C61+1,C61))</f>
        <v>1</v>
      </c>
      <c r="D62" s="1">
        <f>IFERROR(IF(D61=MAX(SPT[Prof. (m)]),0,D61+1),0)</f>
        <v>1</v>
      </c>
      <c r="E62" s="1">
        <f>INDEX(SPT[],MATCH(ESF[[#This Row],[Prof. (m)]],SPT[Prof. (m)],0),2)</f>
        <v>2</v>
      </c>
      <c r="F62" s="1" t="str">
        <f>INDEX(SPT[],MATCH(ESF[[#This Row],[Prof. (m)]],SPT[Prof. (m)],0),3)</f>
        <v>Areia siltosa</v>
      </c>
      <c r="G62" s="1">
        <f>INDEX(estacas[],ESF[[#This Row],[idDiâmetro]],MATCH($B$2,estacas[#Headers],0))</f>
        <v>35</v>
      </c>
      <c r="H62" s="1">
        <f>INDEX(estacas[],MATCH(ESF[[#This Row],[Ø (cm)]],estacas[Ø ESF (cm)],0),MATCH(ESF[[#Headers],[Pe ESF (kN)]],estacas[#Headers],0))</f>
        <v>490</v>
      </c>
      <c r="I62" s="4">
        <f>INDEX(K_alpha_C[],MATCH(ESF[[#This Row],[Solo]],K_alpha_C[Solo],0),2)</f>
        <v>0.8</v>
      </c>
      <c r="J62" s="5">
        <f>INDEX(K_alpha_C[],MATCH(ESF[[#This Row],[Solo]],K_alpha_C[Solo],0),3)</f>
        <v>2</v>
      </c>
      <c r="K62" s="4">
        <f>INDEX(F1_F2[],MATCH($D$2,F1_F2[Tipo de estaca],0),2)</f>
        <v>3</v>
      </c>
      <c r="L62" s="4">
        <f>INDEX(F1_F2[],MATCH($D$2,F1_F2[Tipo de estaca],0),3)</f>
        <v>6</v>
      </c>
      <c r="M62" s="4">
        <f>PI()*(ESF[[#This Row],[Ø (cm)]]/100)^2/4</f>
        <v>9.6211275016187398E-2</v>
      </c>
      <c r="N62" s="4">
        <f>PI()*ESF[[#This Row],[Ø (cm)]]/100</f>
        <v>1.0995574287564276</v>
      </c>
      <c r="O62" s="4">
        <f>IF(ESF[[#This Row],[Prof. (m)]]=0,0,ESF[[#This Row],[α (%)]]/100*ESF[[#This Row],[K (MPa)]]*1000*ESF[[#This Row],[NSPT]])</f>
        <v>32</v>
      </c>
      <c r="P62" s="4">
        <f>IF(ESF[[#This Row],[Prof. (m)]]=0,0,(ESF[[#This Row],[K (MPa)]]*1000*ESF[[#This Row],[NSPT]]/ESF[[#This Row],[F1]]*ESF[[#This Row],[Ap (m²)]]+ESF[[#This Row],[U (m)]]/ESF[[#This Row],[F2]]*SUMIFS(ESF[(α∙K∙NL∙ΔL)],ESF[Prof. (m)],"&lt;="&amp;ESF[[#This Row],[Prof. (m)]],ESF[idDiâmetro],ESF[[#This Row],[idDiâmetro]],ESF[idPilar],ESF[[#This Row],[idPilar]]))/'DADOS CAP. CARGA'!$D$2)</f>
        <v>28.588493147667112</v>
      </c>
      <c r="Q62" s="12">
        <f>INDEX(C_alpha_beta[],MATCH(ESF[[#This Row],[Solo]],C_alpha_beta[Solo],0),MATCH(ESF[[#Headers],[C (kPa)]],C_alpha_beta[#Headers],0))</f>
        <v>400</v>
      </c>
      <c r="R62" s="4">
        <f>INDEX(C_alpha_beta[],MATCH(ESF[[#This Row],[Solo]],C_alpha_beta[Solo],0),MATCH(ESF[[#Headers],[α ESF]],C_alpha_beta[#Headers],0))</f>
        <v>0.5</v>
      </c>
      <c r="S62" s="4">
        <f>INDEX(C_alpha_beta[],MATCH(ESF[[#This Row],[Solo]],C_alpha_beta[Solo],0),MATCH(ESF[[#Headers],[β ESF]],C_alpha_beta[#Headers],0))</f>
        <v>0.5</v>
      </c>
      <c r="T62" s="4">
        <f>IF(ESF[[#This Row],[Prof. (m)]]=0,0,10*(ESF[[#This Row],[NSPT]]/3+1))</f>
        <v>16.666666666666664</v>
      </c>
      <c r="U62" s="4">
        <f>(ESF[[#This Row],[α ESF]]*ESF[[#This Row],[C (kPa)]]*ESF[[#This Row],[NSPT]]*ESF[[#This Row],[Ap (m²)]])/'DADOS CAP. CARGA'!$Q$2+(ESF[[#This Row],[β ESF]]*SUMIFS(ESF[10∙(NL/3+1)],ESF[Prof. (m)],"&lt;="&amp;ESF[[#This Row],[Prof. (m)]],ESF[idDiâmetro],ESF[[#This Row],[idDiâmetro]],ESF[idPilar],ESF[[#This Row],[idPilar]])*ESF[[#This Row],[U (m)]])/'DADOS CAP. CARGA'!$S$2</f>
        <v>14.202616788103853</v>
      </c>
      <c r="V62" s="4">
        <f>IF(SPT!$M$5=1,MIN(ESF[[#This Row],[Pe ESF (kN)]],ESF[[#This Row],[R_AV (kN)]]),IF(SPT!$M$5=2,MIN(ESF[[#This Row],[Pe ESF (kN)]],ESF[[#This Row],[R_DC (kN)]]),MIN(ESF[[#This Row],[Pe ESF (kN)]],ESF[[#This Row],[R_AV (kN)]],ESF[[#This Row],[R_DC (kN)]])))</f>
        <v>14.202616788103853</v>
      </c>
      <c r="W62" s="4">
        <f>INDEX(PILARES[],ESF[[#This Row],[idPilar]],MATCH("Carga (kN)",PILARES[#Headers],0))*1.4</f>
        <v>3500</v>
      </c>
      <c r="X62" s="12">
        <f>INDEX(PILARES[],ESF[[#This Row],[idPilar]],MATCH(ESF[[#Headers],[ap (cm)]],PILARES[#Headers],0))</f>
        <v>60</v>
      </c>
      <c r="Y62" s="12">
        <f>INDEX(PILARES[],ESF[[#This Row],[idPilar]],MATCH(ESF[[#Headers],[bp (cm)]],PILARES[#Headers],0))</f>
        <v>60</v>
      </c>
      <c r="Z62" s="4">
        <f>SQRT(ESF[[#This Row],[ap (cm)]]*ESF[[#This Row],[bp (cm)]])</f>
        <v>60</v>
      </c>
      <c r="AA62" s="12">
        <f>ESF[[#This Row],[ap (cm)]]*ESF[[#This Row],[bp (cm)]]</f>
        <v>3600</v>
      </c>
      <c r="AB62" s="12">
        <f ca="1">IF(ESF[[#This Row],[Padm∙ε (kN)]]&gt;=ESF[[#This Row],[Padm (kN)]],ROUNDUP(1.05*ESF[[#This Row],[Nsd (kN)]]/ESF[[#This Row],[Padm (kN)]],0),ROUNDUP(1.05*ESF[[#This Row],[Nsd (kN)]]/ESF[[#This Row],[Padm (kN)]],0)+1)</f>
        <v>259</v>
      </c>
      <c r="AC62" s="4" t="str">
        <f ca="1">IFERROR(IF(ESF[[#This Row],[nE]]=1,ESF[[#This Row],[Padm (kN)]],ESF[[#This Row],[Padm (kN)]]*ESF[[#This Row],[nE]]*INDEX(grupoEstacas[],ESF[[#This Row],[nE]],MATCH("ε",grupoEstacas[#Headers],0))),"N.S.")</f>
        <v>N.S.</v>
      </c>
      <c r="AD62" s="4">
        <f ca="1">1.05*ESF[[#This Row],[Nsd (kN)]]/(ESF[[#This Row],[nE]]*PI()*ESF[[#This Row],[Ø (cm)]]^2/4)*10</f>
        <v>0.14747948394615787</v>
      </c>
      <c r="AE62" s="4">
        <f ca="1">IF(ESF[[#This Row],[σ (MPa)]]&lt;INDEX(tipoEstaca[],MATCH($D$2,tipoEstaca[TIPO DE ESTACA],0),MATCH("σmáx (MPa)",tipoEstaca[#Headers],0)),0.4%*PI()*ESF[[#This Row],[Ø (cm)]]^2/4,"N.S.")</f>
        <v>3.848451000647497</v>
      </c>
      <c r="AF62" s="1">
        <f>INDEX(tipoEstaca[],MATCH($D$2,tipoEstaca[TIPO DE ESTACA],0),MATCH(ESF[[#Headers],[Comprimento (m)]],tipoEstaca[#Headers],0))</f>
        <v>2</v>
      </c>
      <c r="AG62" s="5">
        <f ca="1">ESF[[#This Row],[As,mín (cm²)]]/100^2*ESF[[#This Row],[Comprimento (m)]]*7850</f>
        <v>6.04206807101657</v>
      </c>
      <c r="AH62" s="4">
        <f ca="1">ESF[[#This Row],[nE]]*ESF[[#This Row],[Prof. (m)]]*ESF[[#This Row],[Ap (m²)]]</f>
        <v>24.918720229192537</v>
      </c>
      <c r="AI62" s="1">
        <f ca="1">IF(ESF[[#This Row],[nE]]=1,0,MAX(3*ESF[[#This Row],[Ø (cm)]],60))</f>
        <v>105</v>
      </c>
      <c r="AJ62" s="1">
        <f ca="1">IF(ESF[[#This Row],[nE]]=1,ESF[[#This Row],[Ø (cm)]]+2*10,MAX(1.5*ESF[[#This Row],[Ø (cm)]],ESF[[#This Row],[Ø (cm)]]+15))</f>
        <v>52.5</v>
      </c>
      <c r="AK62" s="1" t="str">
        <f ca="1">alturaUtil(ESF[[#This Row],[nE]],ESF[[#This Row],[Ø (cm)]],ESF[[#This Row],[e (cm)]],ESF[[#This Row],[ap,eq (cm)]])</f>
        <v>N.S.</v>
      </c>
      <c r="AL62" s="1" t="str">
        <f ca="1">IFERROR(ESF[[#This Row],[d (cm)]]+arredondarParaCimaMultiplo5cm(MAX(5,SQRT(PI())/2*ESF[[#This Row],[Ø (cm)]]/5)),"N.S.")</f>
        <v>N.S.</v>
      </c>
      <c r="AM62" s="5" t="str">
        <f ca="1">alpha(ESF[[#This Row],[nE]],ESF[[#This Row],[d (cm)]],ESF[[#This Row],[e (cm)]],ESF[[#This Row],[ap,eq (cm)]])</f>
        <v>N.S.</v>
      </c>
      <c r="AN62" s="35" t="str">
        <f ca="1">IFERROR(ESF[[#This Row],[Nsd (kN)]]/(ESF[[#This Row],[Ap (cm²)]]*SIN(ESF[[#This Row],[α]])^2),"N.S.")</f>
        <v>N.S.</v>
      </c>
      <c r="AO62" s="35" t="str">
        <f ca="1">IFERROR(ESF[[#This Row],[Nsd (kN)]]/(ESF[[#This Row],[nE]]*PI()*ESF[[#This Row],[Ø (cm)]]^2/4*SIN(ESF[[#This Row],[α]])^2),"N.S.")</f>
        <v>N.S.</v>
      </c>
      <c r="AP62" s="4" t="str">
        <f ca="1">IFERROR(INDEX(grupoEstacas[],ESF[[#This Row],[nE]],MATCH("coef. Blévot",grupoEstacas[#Headers],0)),"N.S.")</f>
        <v>N.S.</v>
      </c>
      <c r="AQ62" s="35" t="str">
        <f ca="1">IFERROR(ESF[[#This Row],[coef. Blévot]]*0.9*INDEX(tipoEstaca[],MATCH($D$2,tipoEstaca[TIPO DE ESTACA],0),MATCH("fcd (kN/cm²)",tipoEstaca[#Headers],0)),"N.S.")</f>
        <v>N.S.</v>
      </c>
      <c r="AR62" s="1" t="str">
        <f ca="1">IF(AND(ESF[[#This Row],[cd,b,pil (kN/cm²)]]&lt;=ESF[[#This Row],[cd,b,lim (kN/cm²)]],ESF[[#This Row],[cd,b,est (kN/cm²)]]&lt;=ESF[[#This Row],[cd,b,lim (kN/cm²)]]),"OK","ERRO")</f>
        <v>OK</v>
      </c>
      <c r="AS62" s="4" t="str">
        <f ca="1">As_lado(ESF[[#This Row],[nE]],ESF[[#This Row],[Nsd (kN)]],ESF[[#This Row],[d (cm)]],ESF[[#This Row],[e (cm)]],ESF[[#This Row],[ap,eq (cm)]])</f>
        <v>N.S.</v>
      </c>
      <c r="AT62" s="4" t="str">
        <f ca="1">IF(ESF[[#This Row],[nE]]=1,ESF[[#This Row],[As,lado (cm²)]],IF(ESF[[#This Row],[nE]]=2,0.075*2*ESF[a (cm)],"N.A."))</f>
        <v>N.A.</v>
      </c>
      <c r="AU62" s="4" t="str">
        <f ca="1">IFERROR(IF(ESF[[#This Row],[nE]]=1,"N.A.",0.2*ESF[[#This Row],[As,lado (cm²)]]),"N.S.")</f>
        <v>N.S.</v>
      </c>
      <c r="AV62" s="4" t="str">
        <f ca="1">As_malha(ESF[[#This Row],[nE]],ESF[[#This Row],[As,lado (cm²)]],ESF[[#This Row],[Nsd (kN)]])</f>
        <v>N.S.</v>
      </c>
      <c r="AW62" s="4" t="str">
        <f ca="1">As_susp_tot(ESF[[#This Row],[nE]],ESF[[#This Row],[Nsd (kN)]])</f>
        <v>N.S.</v>
      </c>
      <c r="AX62" s="4" t="str">
        <f ca="1">Asp_face(ESF[[#This Row],[nE]],ESF[[#This Row],[As,lado (cm²)]])</f>
        <v>N.S.</v>
      </c>
      <c r="AY62" s="5" t="str">
        <f ca="1">acoBloco(ESF[[#This Row],[nE]],ESF[[#This Row],[e (cm)]],ESF[[#This Row],[a (cm)]],ESF[[#This Row],[h (cm)]],ESF[[#This Row],[As,lado (cm²)]],ESF[[#This Row],[Asp e Asw (cm²/m)]],ESF[[#This Row],[As,sup (cm²)]],ESF[[#This Row],[As,malha (cm²)]],ESF[[#This Row],[As,susp,tot (cm²)]],ESF[[#This Row],[Asp,face (cm²)]])</f>
        <v>N.S.</v>
      </c>
      <c r="AZ62" s="4" t="str">
        <f ca="1">concretoBloco(ESF[[#This Row],[nE]],ESF[[#This Row],[e (cm)]],ESF[[#This Row],[a (cm)]],ESF[[#This Row],[h (cm)]])</f>
        <v>N.S.</v>
      </c>
      <c r="BA62" s="5">
        <f ca="1">SUM(ESF[[#This Row],[Aço Est (kg)]],ESF[[#This Row],[Aço Bloco (kg)]])</f>
        <v>6.04206807101657</v>
      </c>
      <c r="BB62" s="4">
        <f>INDEX(composicoes[],MATCH(95580,composicoes[CÓDIGO],0),MATCH("CUSTO TOTAL",composicoes[#Headers],0))</f>
        <v>10.46</v>
      </c>
      <c r="BC62" s="4">
        <f ca="1">SUM(ESF[[#This Row],[Conc Est (m³)]],ESF[[#This Row],[Conc Bloco (m³)]])</f>
        <v>24.918720229192537</v>
      </c>
      <c r="BD62" s="4">
        <f>INDEX(composicoes[],MATCH(94966,composicoes[CÓDIGO],0),MATCH("CUSTO TOTAL",composicoes[#Headers],0))</f>
        <v>439.52</v>
      </c>
      <c r="BE62" s="38">
        <f ca="1">ESF[[#This Row],[Aço (kg)]]*ESF[[#This Row],[Aço (R$/kg)]]+ESF[[#This Row],[Conc (m³)]]*ESF[[#This Row],[Conc (R$/m³)]]</f>
        <v>11015.475947157536</v>
      </c>
      <c r="BF62" s="4" t="str">
        <f ca="1">IF(COUNTIF(ESF[#This Row],"N.S.")&gt;0,"lim.","OK")</f>
        <v>lim.</v>
      </c>
      <c r="BG62" s="4" t="str">
        <f>IF(ESF[[#This Row],[Prof. (m)]]&lt;3,"lim.","OK")</f>
        <v>lim.</v>
      </c>
      <c r="BH62" s="4" t="str">
        <f>IF(ESF[[#This Row],[Prof. (m)]]&gt;=8*ESF[[#This Row],[Ø (cm)]]/100,"OK","lim.")</f>
        <v>lim.</v>
      </c>
      <c r="BI62" s="4" t="str">
        <f>IF(AND(SPT!$F$3&lt;&gt;"",ESF[[#This Row],[Prof. (m)]]&gt;=SPT!$F$3),"lim.","OK")</f>
        <v>OK</v>
      </c>
      <c r="BJ62" s="4" t="str">
        <f>IF(COUNTIFS(ESF[Solo],"Areia",ESF[Prof. (m)],"&lt;="&amp;ESF[[#This Row],[Prof. (m)]])&gt;=1,"lim.","OK")</f>
        <v>OK</v>
      </c>
      <c r="BK62" s="4" t="str">
        <f ca="1">IF(ESF[[#This Row],[Verif. Biela]]="OK","OK","lim.")</f>
        <v>OK</v>
      </c>
      <c r="BL62" s="4" t="str">
        <f ca="1">IF(COUNTA(ESF[[#This Row],[Nº Est.]:[Biela comp.]])=COUNTIF(ESF[[#This Row],[Nº Est.]:[Biela comp.]],"OK"),"OK","lim.")</f>
        <v>lim.</v>
      </c>
      <c r="BM62" s="4" t="str">
        <f ca="1">IF(ESF[[#This Row],[Controle]]="OK",ESF[[#This Row],[nE]]&amp;" Ø"&amp;ESF[[#This Row],[Ø (cm)]]&amp;"cm Prof. "&amp;ESF[[#This Row],[Prof. (m)]]&amp;" m","")</f>
        <v/>
      </c>
      <c r="BN62" s="4" t="str">
        <f ca="1">IF(ESF[[#This Row],[idDimensionamento]]="","",ESF[[#This Row],[idPilar]]&amp;ESF[[#This Row],[idDimensionamento]])</f>
        <v/>
      </c>
    </row>
    <row r="63" spans="2:66" x14ac:dyDescent="0.25">
      <c r="B63" s="12">
        <f>ROUNDUP((ROW(ESF[[#This Row],[idDiâmetro]])-ROW(ESF[[#Headers],[idDiâmetro]]))/(COUNT(SPT[Prof. (m)])*COUNT(PILARES[Pilar])),0)</f>
        <v>3</v>
      </c>
      <c r="C63" s="12">
        <f>IF(ESF[[#This Row],[idDiâmetro]]&lt;&gt;B62,1,IF(ESF[[#This Row],[Prof. (m)]]=0,C62+1,C62))</f>
        <v>1</v>
      </c>
      <c r="D63" s="1">
        <f>IFERROR(IF(D62=MAX(SPT[Prof. (m)]),0,D62+1),0)</f>
        <v>2</v>
      </c>
      <c r="E63" s="1">
        <f>INDEX(SPT[],MATCH(ESF[[#This Row],[Prof. (m)]],SPT[Prof. (m)],0),2)</f>
        <v>2</v>
      </c>
      <c r="F63" s="1" t="str">
        <f>INDEX(SPT[],MATCH(ESF[[#This Row],[Prof. (m)]],SPT[Prof. (m)],0),3)</f>
        <v>Areia siltosa</v>
      </c>
      <c r="G63" s="1">
        <f>INDEX(estacas[],ESF[[#This Row],[idDiâmetro]],MATCH($B$2,estacas[#Headers],0))</f>
        <v>35</v>
      </c>
      <c r="H63" s="1">
        <f>INDEX(estacas[],MATCH(ESF[[#This Row],[Ø (cm)]],estacas[Ø ESF (cm)],0),MATCH(ESF[[#Headers],[Pe ESF (kN)]],estacas[#Headers],0))</f>
        <v>490</v>
      </c>
      <c r="I63" s="4">
        <f>INDEX(K_alpha_C[],MATCH(ESF[[#This Row],[Solo]],K_alpha_C[Solo],0),2)</f>
        <v>0.8</v>
      </c>
      <c r="J63" s="5">
        <f>INDEX(K_alpha_C[],MATCH(ESF[[#This Row],[Solo]],K_alpha_C[Solo],0),3)</f>
        <v>2</v>
      </c>
      <c r="K63" s="4">
        <f>INDEX(F1_F2[],MATCH($D$2,F1_F2[Tipo de estaca],0),2)</f>
        <v>3</v>
      </c>
      <c r="L63" s="4">
        <f>INDEX(F1_F2[],MATCH($D$2,F1_F2[Tipo de estaca],0),3)</f>
        <v>6</v>
      </c>
      <c r="M63" s="4">
        <f>PI()*(ESF[[#This Row],[Ø (cm)]]/100)^2/4</f>
        <v>9.6211275016187398E-2</v>
      </c>
      <c r="N63" s="4">
        <f>PI()*ESF[[#This Row],[Ø (cm)]]/100</f>
        <v>1.0995574287564276</v>
      </c>
      <c r="O63" s="4">
        <f>IF(ESF[[#This Row],[Prof. (m)]]=0,0,ESF[[#This Row],[α (%)]]/100*ESF[[#This Row],[K (MPa)]]*1000*ESF[[#This Row],[NSPT]])</f>
        <v>32</v>
      </c>
      <c r="P63" s="4">
        <f>IF(ESF[[#This Row],[Prof. (m)]]=0,0,(ESF[[#This Row],[K (MPa)]]*1000*ESF[[#This Row],[NSPT]]/ESF[[#This Row],[F1]]*ESF[[#This Row],[Ap (m²)]]+ESF[[#This Row],[U (m)]]/ESF[[#This Row],[F2]]*SUMIFS(ESF[(α∙K∙NL∙ΔL)],ESF[Prof. (m)],"&lt;="&amp;ESF[[#This Row],[Prof. (m)]],ESF[idDiâmetro],ESF[[#This Row],[idDiâmetro]],ESF[idPilar],ESF[[#This Row],[idPilar]]))/'DADOS CAP. CARGA'!$D$2)</f>
        <v>31.520646291017588</v>
      </c>
      <c r="Q63" s="12">
        <f>INDEX(C_alpha_beta[],MATCH(ESF[[#This Row],[Solo]],C_alpha_beta[Solo],0),MATCH(ESF[[#Headers],[C (kPa)]],C_alpha_beta[#Headers],0))</f>
        <v>400</v>
      </c>
      <c r="R63" s="4">
        <f>INDEX(C_alpha_beta[],MATCH(ESF[[#This Row],[Solo]],C_alpha_beta[Solo],0),MATCH(ESF[[#Headers],[α ESF]],C_alpha_beta[#Headers],0))</f>
        <v>0.5</v>
      </c>
      <c r="S63" s="4">
        <f>INDEX(C_alpha_beta[],MATCH(ESF[[#This Row],[Solo]],C_alpha_beta[Solo],0),MATCH(ESF[[#Headers],[β ESF]],C_alpha_beta[#Headers],0))</f>
        <v>0.5</v>
      </c>
      <c r="T63" s="4">
        <f>IF(ESF[[#This Row],[Prof. (m)]]=0,0,10*(ESF[[#This Row],[NSPT]]/3+1))</f>
        <v>16.666666666666664</v>
      </c>
      <c r="U63" s="4">
        <f>(ESF[[#This Row],[α ESF]]*ESF[[#This Row],[C (kPa)]]*ESF[[#This Row],[NSPT]]*ESF[[#This Row],[Ap (m²)]])/'DADOS CAP. CARGA'!$Q$2+(ESF[[#This Row],[β ESF]]*SUMIFS(ESF[10∙(NL/3+1)],ESF[Prof. (m)],"&lt;="&amp;ESF[[#This Row],[Prof. (m)]],ESF[idDiâmetro],ESF[[#This Row],[idDiâmetro]],ESF[idPilar],ESF[[#This Row],[idPilar]])*ESF[[#This Row],[U (m)]])/'DADOS CAP. CARGA'!$S$2</f>
        <v>18.784106074588969</v>
      </c>
      <c r="V63" s="4">
        <f>IF(SPT!$M$5=1,MIN(ESF[[#This Row],[Pe ESF (kN)]],ESF[[#This Row],[R_AV (kN)]]),IF(SPT!$M$5=2,MIN(ESF[[#This Row],[Pe ESF (kN)]],ESF[[#This Row],[R_DC (kN)]]),MIN(ESF[[#This Row],[Pe ESF (kN)]],ESF[[#This Row],[R_AV (kN)]],ESF[[#This Row],[R_DC (kN)]])))</f>
        <v>18.784106074588969</v>
      </c>
      <c r="W63" s="4">
        <f>INDEX(PILARES[],ESF[[#This Row],[idPilar]],MATCH("Carga (kN)",PILARES[#Headers],0))*1.4</f>
        <v>3500</v>
      </c>
      <c r="X63" s="12">
        <f>INDEX(PILARES[],ESF[[#This Row],[idPilar]],MATCH(ESF[[#Headers],[ap (cm)]],PILARES[#Headers],0))</f>
        <v>60</v>
      </c>
      <c r="Y63" s="12">
        <f>INDEX(PILARES[],ESF[[#This Row],[idPilar]],MATCH(ESF[[#Headers],[bp (cm)]],PILARES[#Headers],0))</f>
        <v>60</v>
      </c>
      <c r="Z63" s="4">
        <f>SQRT(ESF[[#This Row],[ap (cm)]]*ESF[[#This Row],[bp (cm)]])</f>
        <v>60</v>
      </c>
      <c r="AA63" s="12">
        <f>ESF[[#This Row],[ap (cm)]]*ESF[[#This Row],[bp (cm)]]</f>
        <v>3600</v>
      </c>
      <c r="AB63" s="12">
        <f ca="1">IF(ESF[[#This Row],[Padm∙ε (kN)]]&gt;=ESF[[#This Row],[Padm (kN)]],ROUNDUP(1.05*ESF[[#This Row],[Nsd (kN)]]/ESF[[#This Row],[Padm (kN)]],0),ROUNDUP(1.05*ESF[[#This Row],[Nsd (kN)]]/ESF[[#This Row],[Padm (kN)]],0)+1)</f>
        <v>196</v>
      </c>
      <c r="AC63" s="4" t="str">
        <f ca="1">IFERROR(IF(ESF[[#This Row],[nE]]=1,ESF[[#This Row],[Padm (kN)]],ESF[[#This Row],[Padm (kN)]]*ESF[[#This Row],[nE]]*INDEX(grupoEstacas[],ESF[[#This Row],[nE]],MATCH("ε",grupoEstacas[#Headers],0))),"N.S.")</f>
        <v>N.S.</v>
      </c>
      <c r="AD63" s="4">
        <f ca="1">1.05*ESF[[#This Row],[Nsd (kN)]]/(ESF[[#This Row],[nE]]*PI()*ESF[[#This Row],[Ø (cm)]]^2/4)*10</f>
        <v>0.19488360378599429</v>
      </c>
      <c r="AE63" s="4">
        <f ca="1">IF(ESF[[#This Row],[σ (MPa)]]&lt;INDEX(tipoEstaca[],MATCH($D$2,tipoEstaca[TIPO DE ESTACA],0),MATCH("σmáx (MPa)",tipoEstaca[#Headers],0)),0.4%*PI()*ESF[[#This Row],[Ø (cm)]]^2/4,"N.S.")</f>
        <v>3.848451000647497</v>
      </c>
      <c r="AF63" s="1">
        <f>INDEX(tipoEstaca[],MATCH($D$2,tipoEstaca[TIPO DE ESTACA],0),MATCH(ESF[[#Headers],[Comprimento (m)]],tipoEstaca[#Headers],0))</f>
        <v>2</v>
      </c>
      <c r="AG63" s="5">
        <f ca="1">ESF[[#This Row],[As,mín (cm²)]]/100^2*ESF[[#This Row],[Comprimento (m)]]*7850</f>
        <v>6.04206807101657</v>
      </c>
      <c r="AH63" s="4">
        <f ca="1">ESF[[#This Row],[nE]]*ESF[[#This Row],[Prof. (m)]]*ESF[[#This Row],[Ap (m²)]]</f>
        <v>37.71481980634546</v>
      </c>
      <c r="AI63" s="1">
        <f ca="1">IF(ESF[[#This Row],[nE]]=1,0,MAX(3*ESF[[#This Row],[Ø (cm)]],60))</f>
        <v>105</v>
      </c>
      <c r="AJ63" s="1">
        <f ca="1">IF(ESF[[#This Row],[nE]]=1,ESF[[#This Row],[Ø (cm)]]+2*10,MAX(1.5*ESF[[#This Row],[Ø (cm)]],ESF[[#This Row],[Ø (cm)]]+15))</f>
        <v>52.5</v>
      </c>
      <c r="AK63" s="1" t="str">
        <f ca="1">alturaUtil(ESF[[#This Row],[nE]],ESF[[#This Row],[Ø (cm)]],ESF[[#This Row],[e (cm)]],ESF[[#This Row],[ap,eq (cm)]])</f>
        <v>N.S.</v>
      </c>
      <c r="AL63" s="1" t="str">
        <f ca="1">IFERROR(ESF[[#This Row],[d (cm)]]+arredondarParaCimaMultiplo5cm(MAX(5,SQRT(PI())/2*ESF[[#This Row],[Ø (cm)]]/5)),"N.S.")</f>
        <v>N.S.</v>
      </c>
      <c r="AM63" s="5" t="str">
        <f ca="1">alpha(ESF[[#This Row],[nE]],ESF[[#This Row],[d (cm)]],ESF[[#This Row],[e (cm)]],ESF[[#This Row],[ap,eq (cm)]])</f>
        <v>N.S.</v>
      </c>
      <c r="AN63" s="35" t="str">
        <f ca="1">IFERROR(ESF[[#This Row],[Nsd (kN)]]/(ESF[[#This Row],[Ap (cm²)]]*SIN(ESF[[#This Row],[α]])^2),"N.S.")</f>
        <v>N.S.</v>
      </c>
      <c r="AO63" s="35" t="str">
        <f ca="1">IFERROR(ESF[[#This Row],[Nsd (kN)]]/(ESF[[#This Row],[nE]]*PI()*ESF[[#This Row],[Ø (cm)]]^2/4*SIN(ESF[[#This Row],[α]])^2),"N.S.")</f>
        <v>N.S.</v>
      </c>
      <c r="AP63" s="4" t="str">
        <f ca="1">IFERROR(INDEX(grupoEstacas[],ESF[[#This Row],[nE]],MATCH("coef. Blévot",grupoEstacas[#Headers],0)),"N.S.")</f>
        <v>N.S.</v>
      </c>
      <c r="AQ63" s="35" t="str">
        <f ca="1">IFERROR(ESF[[#This Row],[coef. Blévot]]*0.9*INDEX(tipoEstaca[],MATCH($D$2,tipoEstaca[TIPO DE ESTACA],0),MATCH("fcd (kN/cm²)",tipoEstaca[#Headers],0)),"N.S.")</f>
        <v>N.S.</v>
      </c>
      <c r="AR63" s="1" t="str">
        <f ca="1">IF(AND(ESF[[#This Row],[cd,b,pil (kN/cm²)]]&lt;=ESF[[#This Row],[cd,b,lim (kN/cm²)]],ESF[[#This Row],[cd,b,est (kN/cm²)]]&lt;=ESF[[#This Row],[cd,b,lim (kN/cm²)]]),"OK","ERRO")</f>
        <v>OK</v>
      </c>
      <c r="AS63" s="4" t="str">
        <f ca="1">As_lado(ESF[[#This Row],[nE]],ESF[[#This Row],[Nsd (kN)]],ESF[[#This Row],[d (cm)]],ESF[[#This Row],[e (cm)]],ESF[[#This Row],[ap,eq (cm)]])</f>
        <v>N.S.</v>
      </c>
      <c r="AT63" s="4" t="str">
        <f ca="1">IF(ESF[[#This Row],[nE]]=1,ESF[[#This Row],[As,lado (cm²)]],IF(ESF[[#This Row],[nE]]=2,0.075*2*ESF[a (cm)],"N.A."))</f>
        <v>N.A.</v>
      </c>
      <c r="AU63" s="4" t="str">
        <f ca="1">IFERROR(IF(ESF[[#This Row],[nE]]=1,"N.A.",0.2*ESF[[#This Row],[As,lado (cm²)]]),"N.S.")</f>
        <v>N.S.</v>
      </c>
      <c r="AV63" s="4" t="str">
        <f ca="1">As_malha(ESF[[#This Row],[nE]],ESF[[#This Row],[As,lado (cm²)]],ESF[[#This Row],[Nsd (kN)]])</f>
        <v>N.S.</v>
      </c>
      <c r="AW63" s="4" t="str">
        <f ca="1">As_susp_tot(ESF[[#This Row],[nE]],ESF[[#This Row],[Nsd (kN)]])</f>
        <v>N.S.</v>
      </c>
      <c r="AX63" s="4" t="str">
        <f ca="1">Asp_face(ESF[[#This Row],[nE]],ESF[[#This Row],[As,lado (cm²)]])</f>
        <v>N.S.</v>
      </c>
      <c r="AY63" s="5" t="str">
        <f ca="1">acoBloco(ESF[[#This Row],[nE]],ESF[[#This Row],[e (cm)]],ESF[[#This Row],[a (cm)]],ESF[[#This Row],[h (cm)]],ESF[[#This Row],[As,lado (cm²)]],ESF[[#This Row],[Asp e Asw (cm²/m)]],ESF[[#This Row],[As,sup (cm²)]],ESF[[#This Row],[As,malha (cm²)]],ESF[[#This Row],[As,susp,tot (cm²)]],ESF[[#This Row],[Asp,face (cm²)]])</f>
        <v>N.S.</v>
      </c>
      <c r="AZ63" s="4" t="str">
        <f ca="1">concretoBloco(ESF[[#This Row],[nE]],ESF[[#This Row],[e (cm)]],ESF[[#This Row],[a (cm)]],ESF[[#This Row],[h (cm)]])</f>
        <v>N.S.</v>
      </c>
      <c r="BA63" s="5">
        <f ca="1">SUM(ESF[[#This Row],[Aço Est (kg)]],ESF[[#This Row],[Aço Bloco (kg)]])</f>
        <v>6.04206807101657</v>
      </c>
      <c r="BB63" s="4">
        <f>INDEX(composicoes[],MATCH(95580,composicoes[CÓDIGO],0),MATCH("CUSTO TOTAL",composicoes[#Headers],0))</f>
        <v>10.46</v>
      </c>
      <c r="BC63" s="4">
        <f ca="1">SUM(ESF[[#This Row],[Conc Est (m³)]],ESF[[#This Row],[Conc Bloco (m³)]])</f>
        <v>37.71481980634546</v>
      </c>
      <c r="BD63" s="4">
        <f>INDEX(composicoes[],MATCH(94966,composicoes[CÓDIGO],0),MATCH("CUSTO TOTAL",composicoes[#Headers],0))</f>
        <v>439.52</v>
      </c>
      <c r="BE63" s="38">
        <f ca="1">ESF[[#This Row],[Aço (kg)]]*ESF[[#This Row],[Aço (R$/kg)]]+ESF[[#This Row],[Conc (m³)]]*ESF[[#This Row],[Conc (R$/m³)]]</f>
        <v>16639.617633307789</v>
      </c>
      <c r="BF63" s="4" t="str">
        <f ca="1">IF(COUNTIF(ESF[#This Row],"N.S.")&gt;0,"lim.","OK")</f>
        <v>lim.</v>
      </c>
      <c r="BG63" s="4" t="str">
        <f>IF(ESF[[#This Row],[Prof. (m)]]&lt;3,"lim.","OK")</f>
        <v>lim.</v>
      </c>
      <c r="BH63" s="4" t="str">
        <f>IF(ESF[[#This Row],[Prof. (m)]]&gt;=8*ESF[[#This Row],[Ø (cm)]]/100,"OK","lim.")</f>
        <v>lim.</v>
      </c>
      <c r="BI63" s="4" t="str">
        <f>IF(AND(SPT!$F$3&lt;&gt;"",ESF[[#This Row],[Prof. (m)]]&gt;=SPT!$F$3),"lim.","OK")</f>
        <v>OK</v>
      </c>
      <c r="BJ63" s="4" t="str">
        <f>IF(COUNTIFS(ESF[Solo],"Areia",ESF[Prof. (m)],"&lt;="&amp;ESF[[#This Row],[Prof. (m)]])&gt;=1,"lim.","OK")</f>
        <v>OK</v>
      </c>
      <c r="BK63" s="4" t="str">
        <f ca="1">IF(ESF[[#This Row],[Verif. Biela]]="OK","OK","lim.")</f>
        <v>OK</v>
      </c>
      <c r="BL63" s="4" t="str">
        <f ca="1">IF(COUNTA(ESF[[#This Row],[Nº Est.]:[Biela comp.]])=COUNTIF(ESF[[#This Row],[Nº Est.]:[Biela comp.]],"OK"),"OK","lim.")</f>
        <v>lim.</v>
      </c>
      <c r="BM63" s="4" t="str">
        <f ca="1">IF(ESF[[#This Row],[Controle]]="OK",ESF[[#This Row],[nE]]&amp;" Ø"&amp;ESF[[#This Row],[Ø (cm)]]&amp;"cm Prof. "&amp;ESF[[#This Row],[Prof. (m)]]&amp;" m","")</f>
        <v/>
      </c>
      <c r="BN63" s="4" t="str">
        <f ca="1">IF(ESF[[#This Row],[idDimensionamento]]="","",ESF[[#This Row],[idPilar]]&amp;ESF[[#This Row],[idDimensionamento]])</f>
        <v/>
      </c>
    </row>
    <row r="64" spans="2:66" x14ac:dyDescent="0.25">
      <c r="B64" s="12">
        <f>ROUNDUP((ROW(ESF[[#This Row],[idDiâmetro]])-ROW(ESF[[#Headers],[idDiâmetro]]))/(COUNT(SPT[Prof. (m)])*COUNT(PILARES[Pilar])),0)</f>
        <v>3</v>
      </c>
      <c r="C64" s="12">
        <f>IF(ESF[[#This Row],[idDiâmetro]]&lt;&gt;B63,1,IF(ESF[[#This Row],[Prof. (m)]]=0,C63+1,C63))</f>
        <v>1</v>
      </c>
      <c r="D64" s="1">
        <f>IFERROR(IF(D63=MAX(SPT[Prof. (m)]),0,D63+1),0)</f>
        <v>3</v>
      </c>
      <c r="E64" s="1">
        <f>INDEX(SPT[],MATCH(ESF[[#This Row],[Prof. (m)]],SPT[Prof. (m)],0),2)</f>
        <v>4</v>
      </c>
      <c r="F64" s="1" t="str">
        <f>INDEX(SPT[],MATCH(ESF[[#This Row],[Prof. (m)]],SPT[Prof. (m)],0),3)</f>
        <v>Areia siltosa</v>
      </c>
      <c r="G64" s="1">
        <f>INDEX(estacas[],ESF[[#This Row],[idDiâmetro]],MATCH($B$2,estacas[#Headers],0))</f>
        <v>35</v>
      </c>
      <c r="H64" s="1">
        <f>INDEX(estacas[],MATCH(ESF[[#This Row],[Ø (cm)]],estacas[Ø ESF (cm)],0),MATCH(ESF[[#Headers],[Pe ESF (kN)]],estacas[#Headers],0))</f>
        <v>490</v>
      </c>
      <c r="I64" s="4">
        <f>INDEX(K_alpha_C[],MATCH(ESF[[#This Row],[Solo]],K_alpha_C[Solo],0),2)</f>
        <v>0.8</v>
      </c>
      <c r="J64" s="5">
        <f>INDEX(K_alpha_C[],MATCH(ESF[[#This Row],[Solo]],K_alpha_C[Solo],0),3)</f>
        <v>2</v>
      </c>
      <c r="K64" s="4">
        <f>INDEX(F1_F2[],MATCH($D$2,F1_F2[Tipo de estaca],0),2)</f>
        <v>3</v>
      </c>
      <c r="L64" s="4">
        <f>INDEX(F1_F2[],MATCH($D$2,F1_F2[Tipo de estaca],0),3)</f>
        <v>6</v>
      </c>
      <c r="M64" s="4">
        <f>PI()*(ESF[[#This Row],[Ø (cm)]]/100)^2/4</f>
        <v>9.6211275016187398E-2</v>
      </c>
      <c r="N64" s="4">
        <f>PI()*ESF[[#This Row],[Ø (cm)]]/100</f>
        <v>1.0995574287564276</v>
      </c>
      <c r="O64" s="4">
        <f>IF(ESF[[#This Row],[Prof. (m)]]=0,0,ESF[[#This Row],[α (%)]]/100*ESF[[#This Row],[K (MPa)]]*1000*ESF[[#This Row],[NSPT]])</f>
        <v>64</v>
      </c>
      <c r="P64" s="4">
        <f>IF(ESF[[#This Row],[Prof. (m)]]=0,0,(ESF[[#This Row],[K (MPa)]]*1000*ESF[[#This Row],[NSPT]]/ESF[[#This Row],[F1]]*ESF[[#This Row],[Ap (m²)]]+ESF[[#This Row],[U (m)]]/ESF[[#This Row],[F2]]*SUMIFS(ESF[(α∙K∙NL∙ΔL)],ESF[Prof. (m)],"&lt;="&amp;ESF[[#This Row],[Prof. (m)]],ESF[idDiâmetro],ESF[[#This Row],[idDiâmetro]],ESF[idPilar],ESF[[#This Row],[idPilar]]))/'DADOS CAP. CARGA'!$D$2)</f>
        <v>63.041292582035176</v>
      </c>
      <c r="Q64" s="12">
        <f>INDEX(C_alpha_beta[],MATCH(ESF[[#This Row],[Solo]],C_alpha_beta[Solo],0),MATCH(ESF[[#Headers],[C (kPa)]],C_alpha_beta[#Headers],0))</f>
        <v>400</v>
      </c>
      <c r="R64" s="4">
        <f>INDEX(C_alpha_beta[],MATCH(ESF[[#This Row],[Solo]],C_alpha_beta[Solo],0),MATCH(ESF[[#Headers],[α ESF]],C_alpha_beta[#Headers],0))</f>
        <v>0.5</v>
      </c>
      <c r="S64" s="4">
        <f>INDEX(C_alpha_beta[],MATCH(ESF[[#This Row],[Solo]],C_alpha_beta[Solo],0),MATCH(ESF[[#Headers],[β ESF]],C_alpha_beta[#Headers],0))</f>
        <v>0.5</v>
      </c>
      <c r="T64" s="4">
        <f>IF(ESF[[#This Row],[Prof. (m)]]=0,0,10*(ESF[[#This Row],[NSPT]]/3+1))</f>
        <v>23.333333333333329</v>
      </c>
      <c r="U64" s="4">
        <f>(ESF[[#This Row],[α ESF]]*ESF[[#This Row],[C (kPa)]]*ESF[[#This Row],[NSPT]]*ESF[[#This Row],[Ap (m²)]])/'DADOS CAP. CARGA'!$Q$2+(ESF[[#This Row],[β ESF]]*SUMIFS(ESF[10∙(NL/3+1)],ESF[Prof. (m)],"&lt;="&amp;ESF[[#This Row],[Prof. (m)]],ESF[idDiâmetro],ESF[[#This Row],[idDiâmetro]],ESF[idPilar],ESF[[#This Row],[idPilar]])*ESF[[#This Row],[U (m)]])/'DADOS CAP. CARGA'!$S$2</f>
        <v>34.819318577286865</v>
      </c>
      <c r="V64" s="4">
        <f>IF(SPT!$M$5=1,MIN(ESF[[#This Row],[Pe ESF (kN)]],ESF[[#This Row],[R_AV (kN)]]),IF(SPT!$M$5=2,MIN(ESF[[#This Row],[Pe ESF (kN)]],ESF[[#This Row],[R_DC (kN)]]),MIN(ESF[[#This Row],[Pe ESF (kN)]],ESF[[#This Row],[R_AV (kN)]],ESF[[#This Row],[R_DC (kN)]])))</f>
        <v>34.819318577286865</v>
      </c>
      <c r="W64" s="4">
        <f>INDEX(PILARES[],ESF[[#This Row],[idPilar]],MATCH("Carga (kN)",PILARES[#Headers],0))*1.4</f>
        <v>3500</v>
      </c>
      <c r="X64" s="12">
        <f>INDEX(PILARES[],ESF[[#This Row],[idPilar]],MATCH(ESF[[#Headers],[ap (cm)]],PILARES[#Headers],0))</f>
        <v>60</v>
      </c>
      <c r="Y64" s="12">
        <f>INDEX(PILARES[],ESF[[#This Row],[idPilar]],MATCH(ESF[[#Headers],[bp (cm)]],PILARES[#Headers],0))</f>
        <v>60</v>
      </c>
      <c r="Z64" s="4">
        <f>SQRT(ESF[[#This Row],[ap (cm)]]*ESF[[#This Row],[bp (cm)]])</f>
        <v>60</v>
      </c>
      <c r="AA64" s="12">
        <f>ESF[[#This Row],[ap (cm)]]*ESF[[#This Row],[bp (cm)]]</f>
        <v>3600</v>
      </c>
      <c r="AB64" s="12">
        <f ca="1">IF(ESF[[#This Row],[Padm∙ε (kN)]]&gt;=ESF[[#This Row],[Padm (kN)]],ROUNDUP(1.05*ESF[[#This Row],[Nsd (kN)]]/ESF[[#This Row],[Padm (kN)]],0),ROUNDUP(1.05*ESF[[#This Row],[Nsd (kN)]]/ESF[[#This Row],[Padm (kN)]],0)+1)</f>
        <v>106</v>
      </c>
      <c r="AC64" s="4" t="str">
        <f ca="1">IFERROR(IF(ESF[[#This Row],[nE]]=1,ESF[[#This Row],[Padm (kN)]],ESF[[#This Row],[Padm (kN)]]*ESF[[#This Row],[nE]]*INDEX(grupoEstacas[],ESF[[#This Row],[nE]],MATCH("ε",grupoEstacas[#Headers],0))),"N.S.")</f>
        <v>N.S.</v>
      </c>
      <c r="AD64" s="4">
        <f ca="1">1.05*ESF[[#This Row],[Nsd (kN)]]/(ESF[[#This Row],[nE]]*PI()*ESF[[#This Row],[Ø (cm)]]^2/4)*10</f>
        <v>0.36035081454768753</v>
      </c>
      <c r="AE64" s="4">
        <f ca="1">IF(ESF[[#This Row],[σ (MPa)]]&lt;INDEX(tipoEstaca[],MATCH($D$2,tipoEstaca[TIPO DE ESTACA],0),MATCH("σmáx (MPa)",tipoEstaca[#Headers],0)),0.4%*PI()*ESF[[#This Row],[Ø (cm)]]^2/4,"N.S.")</f>
        <v>3.848451000647497</v>
      </c>
      <c r="AF64" s="1">
        <f>INDEX(tipoEstaca[],MATCH($D$2,tipoEstaca[TIPO DE ESTACA],0),MATCH(ESF[[#Headers],[Comprimento (m)]],tipoEstaca[#Headers],0))</f>
        <v>2</v>
      </c>
      <c r="AG64" s="5">
        <f ca="1">ESF[[#This Row],[As,mín (cm²)]]/100^2*ESF[[#This Row],[Comprimento (m)]]*7850</f>
        <v>6.04206807101657</v>
      </c>
      <c r="AH64" s="4">
        <f ca="1">ESF[[#This Row],[nE]]*ESF[[#This Row],[Prof. (m)]]*ESF[[#This Row],[Ap (m²)]]</f>
        <v>30.595185455147593</v>
      </c>
      <c r="AI64" s="1">
        <f ca="1">IF(ESF[[#This Row],[nE]]=1,0,MAX(3*ESF[[#This Row],[Ø (cm)]],60))</f>
        <v>105</v>
      </c>
      <c r="AJ64" s="1">
        <f ca="1">IF(ESF[[#This Row],[nE]]=1,ESF[[#This Row],[Ø (cm)]]+2*10,MAX(1.5*ESF[[#This Row],[Ø (cm)]],ESF[[#This Row],[Ø (cm)]]+15))</f>
        <v>52.5</v>
      </c>
      <c r="AK64" s="1" t="str">
        <f ca="1">alturaUtil(ESF[[#This Row],[nE]],ESF[[#This Row],[Ø (cm)]],ESF[[#This Row],[e (cm)]],ESF[[#This Row],[ap,eq (cm)]])</f>
        <v>N.S.</v>
      </c>
      <c r="AL64" s="1" t="str">
        <f ca="1">IFERROR(ESF[[#This Row],[d (cm)]]+arredondarParaCimaMultiplo5cm(MAX(5,SQRT(PI())/2*ESF[[#This Row],[Ø (cm)]]/5)),"N.S.")</f>
        <v>N.S.</v>
      </c>
      <c r="AM64" s="5" t="str">
        <f ca="1">alpha(ESF[[#This Row],[nE]],ESF[[#This Row],[d (cm)]],ESF[[#This Row],[e (cm)]],ESF[[#This Row],[ap,eq (cm)]])</f>
        <v>N.S.</v>
      </c>
      <c r="AN64" s="35" t="str">
        <f ca="1">IFERROR(ESF[[#This Row],[Nsd (kN)]]/(ESF[[#This Row],[Ap (cm²)]]*SIN(ESF[[#This Row],[α]])^2),"N.S.")</f>
        <v>N.S.</v>
      </c>
      <c r="AO64" s="35" t="str">
        <f ca="1">IFERROR(ESF[[#This Row],[Nsd (kN)]]/(ESF[[#This Row],[nE]]*PI()*ESF[[#This Row],[Ø (cm)]]^2/4*SIN(ESF[[#This Row],[α]])^2),"N.S.")</f>
        <v>N.S.</v>
      </c>
      <c r="AP64" s="4" t="str">
        <f ca="1">IFERROR(INDEX(grupoEstacas[],ESF[[#This Row],[nE]],MATCH("coef. Blévot",grupoEstacas[#Headers],0)),"N.S.")</f>
        <v>N.S.</v>
      </c>
      <c r="AQ64" s="35" t="str">
        <f ca="1">IFERROR(ESF[[#This Row],[coef. Blévot]]*0.9*INDEX(tipoEstaca[],MATCH($D$2,tipoEstaca[TIPO DE ESTACA],0),MATCH("fcd (kN/cm²)",tipoEstaca[#Headers],0)),"N.S.")</f>
        <v>N.S.</v>
      </c>
      <c r="AR64" s="1" t="str">
        <f ca="1">IF(AND(ESF[[#This Row],[cd,b,pil (kN/cm²)]]&lt;=ESF[[#This Row],[cd,b,lim (kN/cm²)]],ESF[[#This Row],[cd,b,est (kN/cm²)]]&lt;=ESF[[#This Row],[cd,b,lim (kN/cm²)]]),"OK","ERRO")</f>
        <v>OK</v>
      </c>
      <c r="AS64" s="4" t="str">
        <f ca="1">As_lado(ESF[[#This Row],[nE]],ESF[[#This Row],[Nsd (kN)]],ESF[[#This Row],[d (cm)]],ESF[[#This Row],[e (cm)]],ESF[[#This Row],[ap,eq (cm)]])</f>
        <v>N.S.</v>
      </c>
      <c r="AT64" s="4" t="str">
        <f ca="1">IF(ESF[[#This Row],[nE]]=1,ESF[[#This Row],[As,lado (cm²)]],IF(ESF[[#This Row],[nE]]=2,0.075*2*ESF[a (cm)],"N.A."))</f>
        <v>N.A.</v>
      </c>
      <c r="AU64" s="4" t="str">
        <f ca="1">IFERROR(IF(ESF[[#This Row],[nE]]=1,"N.A.",0.2*ESF[[#This Row],[As,lado (cm²)]]),"N.S.")</f>
        <v>N.S.</v>
      </c>
      <c r="AV64" s="4" t="str">
        <f ca="1">As_malha(ESF[[#This Row],[nE]],ESF[[#This Row],[As,lado (cm²)]],ESF[[#This Row],[Nsd (kN)]])</f>
        <v>N.S.</v>
      </c>
      <c r="AW64" s="4" t="str">
        <f ca="1">As_susp_tot(ESF[[#This Row],[nE]],ESF[[#This Row],[Nsd (kN)]])</f>
        <v>N.S.</v>
      </c>
      <c r="AX64" s="4" t="str">
        <f ca="1">Asp_face(ESF[[#This Row],[nE]],ESF[[#This Row],[As,lado (cm²)]])</f>
        <v>N.S.</v>
      </c>
      <c r="AY64" s="5" t="str">
        <f ca="1">acoBloco(ESF[[#This Row],[nE]],ESF[[#This Row],[e (cm)]],ESF[[#This Row],[a (cm)]],ESF[[#This Row],[h (cm)]],ESF[[#This Row],[As,lado (cm²)]],ESF[[#This Row],[Asp e Asw (cm²/m)]],ESF[[#This Row],[As,sup (cm²)]],ESF[[#This Row],[As,malha (cm²)]],ESF[[#This Row],[As,susp,tot (cm²)]],ESF[[#This Row],[Asp,face (cm²)]])</f>
        <v>N.S.</v>
      </c>
      <c r="AZ64" s="4" t="str">
        <f ca="1">concretoBloco(ESF[[#This Row],[nE]],ESF[[#This Row],[e (cm)]],ESF[[#This Row],[a (cm)]],ESF[[#This Row],[h (cm)]])</f>
        <v>N.S.</v>
      </c>
      <c r="BA64" s="5">
        <f ca="1">SUM(ESF[[#This Row],[Aço Est (kg)]],ESF[[#This Row],[Aço Bloco (kg)]])</f>
        <v>6.04206807101657</v>
      </c>
      <c r="BB64" s="4">
        <f>INDEX(composicoes[],MATCH(95580,composicoes[CÓDIGO],0),MATCH("CUSTO TOTAL",composicoes[#Headers],0))</f>
        <v>10.46</v>
      </c>
      <c r="BC64" s="4">
        <f ca="1">SUM(ESF[[#This Row],[Conc Est (m³)]],ESF[[#This Row],[Conc Bloco (m³)]])</f>
        <v>30.595185455147593</v>
      </c>
      <c r="BD64" s="4">
        <f>INDEX(composicoes[],MATCH(94966,composicoes[CÓDIGO],0),MATCH("CUSTO TOTAL",composicoes[#Headers],0))</f>
        <v>439.52</v>
      </c>
      <c r="BE64" s="38">
        <f ca="1">ESF[[#This Row],[Aço (kg)]]*ESF[[#This Row],[Aço (R$/kg)]]+ESF[[#This Row],[Conc (m³)]]*ESF[[#This Row],[Conc (R$/m³)]]</f>
        <v>13510.395943269303</v>
      </c>
      <c r="BF64" s="4" t="str">
        <f ca="1">IF(COUNTIF(ESF[#This Row],"N.S.")&gt;0,"lim.","OK")</f>
        <v>lim.</v>
      </c>
      <c r="BG64" s="4" t="str">
        <f>IF(ESF[[#This Row],[Prof. (m)]]&lt;3,"lim.","OK")</f>
        <v>OK</v>
      </c>
      <c r="BH64" s="4" t="str">
        <f>IF(ESF[[#This Row],[Prof. (m)]]&gt;=8*ESF[[#This Row],[Ø (cm)]]/100,"OK","lim.")</f>
        <v>OK</v>
      </c>
      <c r="BI64" s="4" t="str">
        <f>IF(AND(SPT!$F$3&lt;&gt;"",ESF[[#This Row],[Prof. (m)]]&gt;=SPT!$F$3),"lim.","OK")</f>
        <v>OK</v>
      </c>
      <c r="BJ64" s="4" t="str">
        <f>IF(COUNTIFS(ESF[Solo],"Areia",ESF[Prof. (m)],"&lt;="&amp;ESF[[#This Row],[Prof. (m)]])&gt;=1,"lim.","OK")</f>
        <v>OK</v>
      </c>
      <c r="BK64" s="4" t="str">
        <f ca="1">IF(ESF[[#This Row],[Verif. Biela]]="OK","OK","lim.")</f>
        <v>OK</v>
      </c>
      <c r="BL64" s="4" t="str">
        <f ca="1">IF(COUNTA(ESF[[#This Row],[Nº Est.]:[Biela comp.]])=COUNTIF(ESF[[#This Row],[Nº Est.]:[Biela comp.]],"OK"),"OK","lim.")</f>
        <v>lim.</v>
      </c>
      <c r="BM64" s="4" t="str">
        <f ca="1">IF(ESF[[#This Row],[Controle]]="OK",ESF[[#This Row],[nE]]&amp;" Ø"&amp;ESF[[#This Row],[Ø (cm)]]&amp;"cm Prof. "&amp;ESF[[#This Row],[Prof. (m)]]&amp;" m","")</f>
        <v/>
      </c>
      <c r="BN64" s="4" t="str">
        <f ca="1">IF(ESF[[#This Row],[idDimensionamento]]="","",ESF[[#This Row],[idPilar]]&amp;ESF[[#This Row],[idDimensionamento]])</f>
        <v/>
      </c>
    </row>
    <row r="65" spans="2:66" x14ac:dyDescent="0.25">
      <c r="B65" s="12">
        <f>ROUNDUP((ROW(ESF[[#This Row],[idDiâmetro]])-ROW(ESF[[#Headers],[idDiâmetro]]))/(COUNT(SPT[Prof. (m)])*COUNT(PILARES[Pilar])),0)</f>
        <v>3</v>
      </c>
      <c r="C65" s="12">
        <f>IF(ESF[[#This Row],[idDiâmetro]]&lt;&gt;B64,1,IF(ESF[[#This Row],[Prof. (m)]]=0,C64+1,C64))</f>
        <v>1</v>
      </c>
      <c r="D65" s="1">
        <f>IFERROR(IF(D64=MAX(SPT[Prof. (m)]),0,D64+1),0)</f>
        <v>4</v>
      </c>
      <c r="E65" s="1">
        <f>INDEX(SPT[],MATCH(ESF[[#This Row],[Prof. (m)]],SPT[Prof. (m)],0),2)</f>
        <v>8</v>
      </c>
      <c r="F65" s="1" t="str">
        <f>INDEX(SPT[],MATCH(ESF[[#This Row],[Prof. (m)]],SPT[Prof. (m)],0),3)</f>
        <v>Areia siltosa</v>
      </c>
      <c r="G65" s="1">
        <f>INDEX(estacas[],ESF[[#This Row],[idDiâmetro]],MATCH($B$2,estacas[#Headers],0))</f>
        <v>35</v>
      </c>
      <c r="H65" s="1">
        <f>INDEX(estacas[],MATCH(ESF[[#This Row],[Ø (cm)]],estacas[Ø ESF (cm)],0),MATCH(ESF[[#Headers],[Pe ESF (kN)]],estacas[#Headers],0))</f>
        <v>490</v>
      </c>
      <c r="I65" s="4">
        <f>INDEX(K_alpha_C[],MATCH(ESF[[#This Row],[Solo]],K_alpha_C[Solo],0),2)</f>
        <v>0.8</v>
      </c>
      <c r="J65" s="5">
        <f>INDEX(K_alpha_C[],MATCH(ESF[[#This Row],[Solo]],K_alpha_C[Solo],0),3)</f>
        <v>2</v>
      </c>
      <c r="K65" s="4">
        <f>INDEX(F1_F2[],MATCH($D$2,F1_F2[Tipo de estaca],0),2)</f>
        <v>3</v>
      </c>
      <c r="L65" s="4">
        <f>INDEX(F1_F2[],MATCH($D$2,F1_F2[Tipo de estaca],0),3)</f>
        <v>6</v>
      </c>
      <c r="M65" s="4">
        <f>PI()*(ESF[[#This Row],[Ø (cm)]]/100)^2/4</f>
        <v>9.6211275016187398E-2</v>
      </c>
      <c r="N65" s="4">
        <f>PI()*ESF[[#This Row],[Ø (cm)]]/100</f>
        <v>1.0995574287564276</v>
      </c>
      <c r="O65" s="4">
        <f>IF(ESF[[#This Row],[Prof. (m)]]=0,0,ESF[[#This Row],[α (%)]]/100*ESF[[#This Row],[K (MPa)]]*1000*ESF[[#This Row],[NSPT]])</f>
        <v>128</v>
      </c>
      <c r="P65" s="4">
        <f>IF(ESF[[#This Row],[Prof. (m)]]=0,0,(ESF[[#This Row],[K (MPa)]]*1000*ESF[[#This Row],[NSPT]]/ESF[[#This Row],[F1]]*ESF[[#This Row],[Ap (m²)]]+ESF[[#This Row],[U (m)]]/ESF[[#This Row],[F2]]*SUMIFS(ESF[(α∙K∙NL∙ΔL)],ESF[Prof. (m)],"&lt;="&amp;ESF[[#This Row],[Prof. (m)]],ESF[idDiâmetro],ESF[[#This Row],[idDiâmetro]],ESF[idPilar],ESF[[#This Row],[idPilar]]))/'DADOS CAP. CARGA'!$D$2)</f>
        <v>126.08258516407035</v>
      </c>
      <c r="Q65" s="12">
        <f>INDEX(C_alpha_beta[],MATCH(ESF[[#This Row],[Solo]],C_alpha_beta[Solo],0),MATCH(ESF[[#Headers],[C (kPa)]],C_alpha_beta[#Headers],0))</f>
        <v>400</v>
      </c>
      <c r="R65" s="4">
        <f>INDEX(C_alpha_beta[],MATCH(ESF[[#This Row],[Solo]],C_alpha_beta[Solo],0),MATCH(ESF[[#Headers],[α ESF]],C_alpha_beta[#Headers],0))</f>
        <v>0.5</v>
      </c>
      <c r="S65" s="4">
        <f>INDEX(C_alpha_beta[],MATCH(ESF[[#This Row],[Solo]],C_alpha_beta[Solo],0),MATCH(ESF[[#Headers],[β ESF]],C_alpha_beta[#Headers],0))</f>
        <v>0.5</v>
      </c>
      <c r="T65" s="4">
        <f>IF(ESF[[#This Row],[Prof. (m)]]=0,0,10*(ESF[[#This Row],[NSPT]]/3+1))</f>
        <v>36.666666666666664</v>
      </c>
      <c r="U65" s="4">
        <f>(ESF[[#This Row],[α ESF]]*ESF[[#This Row],[C (kPa)]]*ESF[[#This Row],[NSPT]]*ESF[[#This Row],[Ap (m²)]])/'DADOS CAP. CARGA'!$Q$2+(ESF[[#This Row],[β ESF]]*SUMIFS(ESF[10∙(NL/3+1)],ESF[Prof. (m)],"&lt;="&amp;ESF[[#This Row],[Prof. (m)]],ESF[idDiâmetro],ESF[[#This Row],[idDiâmetro]],ESF[idPilar],ESF[[#This Row],[idPilar]])*ESF[[#This Row],[U (m)]])/'DADOS CAP. CARGA'!$S$2</f>
        <v>64.140850010791596</v>
      </c>
      <c r="V65" s="4">
        <f>IF(SPT!$M$5=1,MIN(ESF[[#This Row],[Pe ESF (kN)]],ESF[[#This Row],[R_AV (kN)]]),IF(SPT!$M$5=2,MIN(ESF[[#This Row],[Pe ESF (kN)]],ESF[[#This Row],[R_DC (kN)]]),MIN(ESF[[#This Row],[Pe ESF (kN)]],ESF[[#This Row],[R_AV (kN)]],ESF[[#This Row],[R_DC (kN)]])))</f>
        <v>64.140850010791596</v>
      </c>
      <c r="W65" s="4">
        <f>INDEX(PILARES[],ESF[[#This Row],[idPilar]],MATCH("Carga (kN)",PILARES[#Headers],0))*1.4</f>
        <v>3500</v>
      </c>
      <c r="X65" s="12">
        <f>INDEX(PILARES[],ESF[[#This Row],[idPilar]],MATCH(ESF[[#Headers],[ap (cm)]],PILARES[#Headers],0))</f>
        <v>60</v>
      </c>
      <c r="Y65" s="12">
        <f>INDEX(PILARES[],ESF[[#This Row],[idPilar]],MATCH(ESF[[#Headers],[bp (cm)]],PILARES[#Headers],0))</f>
        <v>60</v>
      </c>
      <c r="Z65" s="4">
        <f>SQRT(ESF[[#This Row],[ap (cm)]]*ESF[[#This Row],[bp (cm)]])</f>
        <v>60</v>
      </c>
      <c r="AA65" s="12">
        <f>ESF[[#This Row],[ap (cm)]]*ESF[[#This Row],[bp (cm)]]</f>
        <v>3600</v>
      </c>
      <c r="AB65" s="12">
        <f ca="1">IF(ESF[[#This Row],[Padm∙ε (kN)]]&gt;=ESF[[#This Row],[Padm (kN)]],ROUNDUP(1.05*ESF[[#This Row],[Nsd (kN)]]/ESF[[#This Row],[Padm (kN)]],0),ROUNDUP(1.05*ESF[[#This Row],[Nsd (kN)]]/ESF[[#This Row],[Padm (kN)]],0)+1)</f>
        <v>58</v>
      </c>
      <c r="AC65" s="4" t="str">
        <f ca="1">IFERROR(IF(ESF[[#This Row],[nE]]=1,ESF[[#This Row],[Padm (kN)]],ESF[[#This Row],[Padm (kN)]]*ESF[[#This Row],[nE]]*INDEX(grupoEstacas[],ESF[[#This Row],[nE]],MATCH("ε",grupoEstacas[#Headers],0))),"N.S.")</f>
        <v>N.S.</v>
      </c>
      <c r="AD65" s="4">
        <f ca="1">1.05*ESF[[#This Row],[Nsd (kN)]]/(ESF[[#This Row],[nE]]*PI()*ESF[[#This Row],[Ø (cm)]]^2/4)*10</f>
        <v>0.658572178311291</v>
      </c>
      <c r="AE65" s="4">
        <f ca="1">IF(ESF[[#This Row],[σ (MPa)]]&lt;INDEX(tipoEstaca[],MATCH($D$2,tipoEstaca[TIPO DE ESTACA],0),MATCH("σmáx (MPa)",tipoEstaca[#Headers],0)),0.4%*PI()*ESF[[#This Row],[Ø (cm)]]^2/4,"N.S.")</f>
        <v>3.848451000647497</v>
      </c>
      <c r="AF65" s="1">
        <f>INDEX(tipoEstaca[],MATCH($D$2,tipoEstaca[TIPO DE ESTACA],0),MATCH(ESF[[#Headers],[Comprimento (m)]],tipoEstaca[#Headers],0))</f>
        <v>2</v>
      </c>
      <c r="AG65" s="5">
        <f ca="1">ESF[[#This Row],[As,mín (cm²)]]/100^2*ESF[[#This Row],[Comprimento (m)]]*7850</f>
        <v>6.04206807101657</v>
      </c>
      <c r="AH65" s="4">
        <f ca="1">ESF[[#This Row],[nE]]*ESF[[#This Row],[Prof. (m)]]*ESF[[#This Row],[Ap (m²)]]</f>
        <v>22.321015803755476</v>
      </c>
      <c r="AI65" s="1">
        <f ca="1">IF(ESF[[#This Row],[nE]]=1,0,MAX(3*ESF[[#This Row],[Ø (cm)]],60))</f>
        <v>105</v>
      </c>
      <c r="AJ65" s="1">
        <f ca="1">IF(ESF[[#This Row],[nE]]=1,ESF[[#This Row],[Ø (cm)]]+2*10,MAX(1.5*ESF[[#This Row],[Ø (cm)]],ESF[[#This Row],[Ø (cm)]]+15))</f>
        <v>52.5</v>
      </c>
      <c r="AK65" s="1" t="str">
        <f ca="1">alturaUtil(ESF[[#This Row],[nE]],ESF[[#This Row],[Ø (cm)]],ESF[[#This Row],[e (cm)]],ESF[[#This Row],[ap,eq (cm)]])</f>
        <v>N.S.</v>
      </c>
      <c r="AL65" s="1" t="str">
        <f ca="1">IFERROR(ESF[[#This Row],[d (cm)]]+arredondarParaCimaMultiplo5cm(MAX(5,SQRT(PI())/2*ESF[[#This Row],[Ø (cm)]]/5)),"N.S.")</f>
        <v>N.S.</v>
      </c>
      <c r="AM65" s="5" t="str">
        <f ca="1">alpha(ESF[[#This Row],[nE]],ESF[[#This Row],[d (cm)]],ESF[[#This Row],[e (cm)]],ESF[[#This Row],[ap,eq (cm)]])</f>
        <v>N.S.</v>
      </c>
      <c r="AN65" s="35" t="str">
        <f ca="1">IFERROR(ESF[[#This Row],[Nsd (kN)]]/(ESF[[#This Row],[Ap (cm²)]]*SIN(ESF[[#This Row],[α]])^2),"N.S.")</f>
        <v>N.S.</v>
      </c>
      <c r="AO65" s="35" t="str">
        <f ca="1">IFERROR(ESF[[#This Row],[Nsd (kN)]]/(ESF[[#This Row],[nE]]*PI()*ESF[[#This Row],[Ø (cm)]]^2/4*SIN(ESF[[#This Row],[α]])^2),"N.S.")</f>
        <v>N.S.</v>
      </c>
      <c r="AP65" s="4" t="str">
        <f ca="1">IFERROR(INDEX(grupoEstacas[],ESF[[#This Row],[nE]],MATCH("coef. Blévot",grupoEstacas[#Headers],0)),"N.S.")</f>
        <v>N.S.</v>
      </c>
      <c r="AQ65" s="35" t="str">
        <f ca="1">IFERROR(ESF[[#This Row],[coef. Blévot]]*0.9*INDEX(tipoEstaca[],MATCH($D$2,tipoEstaca[TIPO DE ESTACA],0),MATCH("fcd (kN/cm²)",tipoEstaca[#Headers],0)),"N.S.")</f>
        <v>N.S.</v>
      </c>
      <c r="AR65" s="1" t="str">
        <f ca="1">IF(AND(ESF[[#This Row],[cd,b,pil (kN/cm²)]]&lt;=ESF[[#This Row],[cd,b,lim (kN/cm²)]],ESF[[#This Row],[cd,b,est (kN/cm²)]]&lt;=ESF[[#This Row],[cd,b,lim (kN/cm²)]]),"OK","ERRO")</f>
        <v>OK</v>
      </c>
      <c r="AS65" s="4" t="str">
        <f ca="1">As_lado(ESF[[#This Row],[nE]],ESF[[#This Row],[Nsd (kN)]],ESF[[#This Row],[d (cm)]],ESF[[#This Row],[e (cm)]],ESF[[#This Row],[ap,eq (cm)]])</f>
        <v>N.S.</v>
      </c>
      <c r="AT65" s="4" t="str">
        <f ca="1">IF(ESF[[#This Row],[nE]]=1,ESF[[#This Row],[As,lado (cm²)]],IF(ESF[[#This Row],[nE]]=2,0.075*2*ESF[a (cm)],"N.A."))</f>
        <v>N.A.</v>
      </c>
      <c r="AU65" s="4" t="str">
        <f ca="1">IFERROR(IF(ESF[[#This Row],[nE]]=1,"N.A.",0.2*ESF[[#This Row],[As,lado (cm²)]]),"N.S.")</f>
        <v>N.S.</v>
      </c>
      <c r="AV65" s="4" t="str">
        <f ca="1">As_malha(ESF[[#This Row],[nE]],ESF[[#This Row],[As,lado (cm²)]],ESF[[#This Row],[Nsd (kN)]])</f>
        <v>N.S.</v>
      </c>
      <c r="AW65" s="4" t="str">
        <f ca="1">As_susp_tot(ESF[[#This Row],[nE]],ESF[[#This Row],[Nsd (kN)]])</f>
        <v>N.S.</v>
      </c>
      <c r="AX65" s="4" t="str">
        <f ca="1">Asp_face(ESF[[#This Row],[nE]],ESF[[#This Row],[As,lado (cm²)]])</f>
        <v>N.S.</v>
      </c>
      <c r="AY65" s="5" t="str">
        <f ca="1">acoBloco(ESF[[#This Row],[nE]],ESF[[#This Row],[e (cm)]],ESF[[#This Row],[a (cm)]],ESF[[#This Row],[h (cm)]],ESF[[#This Row],[As,lado (cm²)]],ESF[[#This Row],[Asp e Asw (cm²/m)]],ESF[[#This Row],[As,sup (cm²)]],ESF[[#This Row],[As,malha (cm²)]],ESF[[#This Row],[As,susp,tot (cm²)]],ESF[[#This Row],[Asp,face (cm²)]])</f>
        <v>N.S.</v>
      </c>
      <c r="AZ65" s="4" t="str">
        <f ca="1">concretoBloco(ESF[[#This Row],[nE]],ESF[[#This Row],[e (cm)]],ESF[[#This Row],[a (cm)]],ESF[[#This Row],[h (cm)]])</f>
        <v>N.S.</v>
      </c>
      <c r="BA65" s="5">
        <f ca="1">SUM(ESF[[#This Row],[Aço Est (kg)]],ESF[[#This Row],[Aço Bloco (kg)]])</f>
        <v>6.04206807101657</v>
      </c>
      <c r="BB65" s="4">
        <f>INDEX(composicoes[],MATCH(95580,composicoes[CÓDIGO],0),MATCH("CUSTO TOTAL",composicoes[#Headers],0))</f>
        <v>10.46</v>
      </c>
      <c r="BC65" s="4">
        <f ca="1">SUM(ESF[[#This Row],[Conc Est (m³)]],ESF[[#This Row],[Conc Bloco (m³)]])</f>
        <v>22.321015803755476</v>
      </c>
      <c r="BD65" s="4">
        <f>INDEX(composicoes[],MATCH(94966,composicoes[CÓDIGO],0),MATCH("CUSTO TOTAL",composicoes[#Headers],0))</f>
        <v>439.52</v>
      </c>
      <c r="BE65" s="38">
        <f ca="1">ESF[[#This Row],[Aço (kg)]]*ESF[[#This Row],[Aço (R$/kg)]]+ESF[[#This Row],[Conc (m³)]]*ESF[[#This Row],[Conc (R$/m³)]]</f>
        <v>9873.7328980894381</v>
      </c>
      <c r="BF65" s="4" t="str">
        <f ca="1">IF(COUNTIF(ESF[#This Row],"N.S.")&gt;0,"lim.","OK")</f>
        <v>lim.</v>
      </c>
      <c r="BG65" s="4" t="str">
        <f>IF(ESF[[#This Row],[Prof. (m)]]&lt;3,"lim.","OK")</f>
        <v>OK</v>
      </c>
      <c r="BH65" s="4" t="str">
        <f>IF(ESF[[#This Row],[Prof. (m)]]&gt;=8*ESF[[#This Row],[Ø (cm)]]/100,"OK","lim.")</f>
        <v>OK</v>
      </c>
      <c r="BI65" s="4" t="str">
        <f>IF(AND(SPT!$F$3&lt;&gt;"",ESF[[#This Row],[Prof. (m)]]&gt;=SPT!$F$3),"lim.","OK")</f>
        <v>OK</v>
      </c>
      <c r="BJ65" s="4" t="str">
        <f>IF(COUNTIFS(ESF[Solo],"Areia",ESF[Prof. (m)],"&lt;="&amp;ESF[[#This Row],[Prof. (m)]])&gt;=1,"lim.","OK")</f>
        <v>OK</v>
      </c>
      <c r="BK65" s="4" t="str">
        <f ca="1">IF(ESF[[#This Row],[Verif. Biela]]="OK","OK","lim.")</f>
        <v>OK</v>
      </c>
      <c r="BL65" s="4" t="str">
        <f ca="1">IF(COUNTA(ESF[[#This Row],[Nº Est.]:[Biela comp.]])=COUNTIF(ESF[[#This Row],[Nº Est.]:[Biela comp.]],"OK"),"OK","lim.")</f>
        <v>lim.</v>
      </c>
      <c r="BM65" s="4" t="str">
        <f ca="1">IF(ESF[[#This Row],[Controle]]="OK",ESF[[#This Row],[nE]]&amp;" Ø"&amp;ESF[[#This Row],[Ø (cm)]]&amp;"cm Prof. "&amp;ESF[[#This Row],[Prof. (m)]]&amp;" m","")</f>
        <v/>
      </c>
      <c r="BN65" s="4" t="str">
        <f ca="1">IF(ESF[[#This Row],[idDimensionamento]]="","",ESF[[#This Row],[idPilar]]&amp;ESF[[#This Row],[idDimensionamento]])</f>
        <v/>
      </c>
    </row>
    <row r="66" spans="2:66" x14ac:dyDescent="0.25">
      <c r="B66" s="12">
        <f>ROUNDUP((ROW(ESF[[#This Row],[idDiâmetro]])-ROW(ESF[[#Headers],[idDiâmetro]]))/(COUNT(SPT[Prof. (m)])*COUNT(PILARES[Pilar])),0)</f>
        <v>3</v>
      </c>
      <c r="C66" s="12">
        <f>IF(ESF[[#This Row],[idDiâmetro]]&lt;&gt;B65,1,IF(ESF[[#This Row],[Prof. (m)]]=0,C65+1,C65))</f>
        <v>1</v>
      </c>
      <c r="D66" s="1">
        <f>IFERROR(IF(D65=MAX(SPT[Prof. (m)]),0,D65+1),0)</f>
        <v>5</v>
      </c>
      <c r="E66" s="1">
        <f>INDEX(SPT[],MATCH(ESF[[#This Row],[Prof. (m)]],SPT[Prof. (m)],0),2)</f>
        <v>17</v>
      </c>
      <c r="F66" s="1" t="str">
        <f>INDEX(SPT[],MATCH(ESF[[#This Row],[Prof. (m)]],SPT[Prof. (m)],0),3)</f>
        <v>Areia siltosa</v>
      </c>
      <c r="G66" s="1">
        <f>INDEX(estacas[],ESF[[#This Row],[idDiâmetro]],MATCH($B$2,estacas[#Headers],0))</f>
        <v>35</v>
      </c>
      <c r="H66" s="1">
        <f>INDEX(estacas[],MATCH(ESF[[#This Row],[Ø (cm)]],estacas[Ø ESF (cm)],0),MATCH(ESF[[#Headers],[Pe ESF (kN)]],estacas[#Headers],0))</f>
        <v>490</v>
      </c>
      <c r="I66" s="4">
        <f>INDEX(K_alpha_C[],MATCH(ESF[[#This Row],[Solo]],K_alpha_C[Solo],0),2)</f>
        <v>0.8</v>
      </c>
      <c r="J66" s="5">
        <f>INDEX(K_alpha_C[],MATCH(ESF[[#This Row],[Solo]],K_alpha_C[Solo],0),3)</f>
        <v>2</v>
      </c>
      <c r="K66" s="4">
        <f>INDEX(F1_F2[],MATCH($D$2,F1_F2[Tipo de estaca],0),2)</f>
        <v>3</v>
      </c>
      <c r="L66" s="4">
        <f>INDEX(F1_F2[],MATCH($D$2,F1_F2[Tipo de estaca],0),3)</f>
        <v>6</v>
      </c>
      <c r="M66" s="4">
        <f>PI()*(ESF[[#This Row],[Ø (cm)]]/100)^2/4</f>
        <v>9.6211275016187398E-2</v>
      </c>
      <c r="N66" s="4">
        <f>PI()*ESF[[#This Row],[Ø (cm)]]/100</f>
        <v>1.0995574287564276</v>
      </c>
      <c r="O66" s="4">
        <f>IF(ESF[[#This Row],[Prof. (m)]]=0,0,ESF[[#This Row],[α (%)]]/100*ESF[[#This Row],[K (MPa)]]*1000*ESF[[#This Row],[NSPT]])</f>
        <v>272</v>
      </c>
      <c r="P66" s="4">
        <f>IF(ESF[[#This Row],[Prof. (m)]]=0,0,(ESF[[#This Row],[K (MPa)]]*1000*ESF[[#This Row],[NSPT]]/ESF[[#This Row],[F1]]*ESF[[#This Row],[Ap (m²)]]+ESF[[#This Row],[U (m)]]/ESF[[#This Row],[F2]]*SUMIFS(ESF[(α∙K∙NL∙ΔL)],ESF[Prof. (m)],"&lt;="&amp;ESF[[#This Row],[Prof. (m)]],ESF[idDiâmetro],ESF[[#This Row],[idDiâmetro]],ESF[idPilar],ESF[[#This Row],[idPilar]]))/'DADOS CAP. CARGA'!$D$2)</f>
        <v>266.45941690197424</v>
      </c>
      <c r="Q66" s="12">
        <f>INDEX(C_alpha_beta[],MATCH(ESF[[#This Row],[Solo]],C_alpha_beta[Solo],0),MATCH(ESF[[#Headers],[C (kPa)]],C_alpha_beta[#Headers],0))</f>
        <v>400</v>
      </c>
      <c r="R66" s="4">
        <f>INDEX(C_alpha_beta[],MATCH(ESF[[#This Row],[Solo]],C_alpha_beta[Solo],0),MATCH(ESF[[#Headers],[α ESF]],C_alpha_beta[#Headers],0))</f>
        <v>0.5</v>
      </c>
      <c r="S66" s="4">
        <f>INDEX(C_alpha_beta[],MATCH(ESF[[#This Row],[Solo]],C_alpha_beta[Solo],0),MATCH(ESF[[#Headers],[β ESF]],C_alpha_beta[#Headers],0))</f>
        <v>0.5</v>
      </c>
      <c r="T66" s="4">
        <f>IF(ESF[[#This Row],[Prof. (m)]]=0,0,10*(ESF[[#This Row],[NSPT]]/3+1))</f>
        <v>66.666666666666671</v>
      </c>
      <c r="U66" s="4">
        <f>(ESF[[#This Row],[α ESF]]*ESF[[#This Row],[C (kPa)]]*ESF[[#This Row],[NSPT]]*ESF[[#This Row],[Ap (m²)]])/'DADOS CAP. CARGA'!$Q$2+(ESF[[#This Row],[β ESF]]*SUMIFS(ESF[10∙(NL/3+1)],ESF[Prof. (m)],"&lt;="&amp;ESF[[#This Row],[Prof. (m)]],ESF[idDiâmetro],ESF[[#This Row],[idDiâmetro]],ESF[idPilar],ESF[[#This Row],[idPilar]])*ESF[[#This Row],[U (m)]])/'DADOS CAP. CARGA'!$S$2</f>
        <v>125.76188091401639</v>
      </c>
      <c r="V66" s="4">
        <f>IF(SPT!$M$5=1,MIN(ESF[[#This Row],[Pe ESF (kN)]],ESF[[#This Row],[R_AV (kN)]]),IF(SPT!$M$5=2,MIN(ESF[[#This Row],[Pe ESF (kN)]],ESF[[#This Row],[R_DC (kN)]]),MIN(ESF[[#This Row],[Pe ESF (kN)]],ESF[[#This Row],[R_AV (kN)]],ESF[[#This Row],[R_DC (kN)]])))</f>
        <v>125.76188091401639</v>
      </c>
      <c r="W66" s="4">
        <f>INDEX(PILARES[],ESF[[#This Row],[idPilar]],MATCH("Carga (kN)",PILARES[#Headers],0))*1.4</f>
        <v>3500</v>
      </c>
      <c r="X66" s="12">
        <f>INDEX(PILARES[],ESF[[#This Row],[idPilar]],MATCH(ESF[[#Headers],[ap (cm)]],PILARES[#Headers],0))</f>
        <v>60</v>
      </c>
      <c r="Y66" s="12">
        <f>INDEX(PILARES[],ESF[[#This Row],[idPilar]],MATCH(ESF[[#Headers],[bp (cm)]],PILARES[#Headers],0))</f>
        <v>60</v>
      </c>
      <c r="Z66" s="4">
        <f>SQRT(ESF[[#This Row],[ap (cm)]]*ESF[[#This Row],[bp (cm)]])</f>
        <v>60</v>
      </c>
      <c r="AA66" s="12">
        <f>ESF[[#This Row],[ap (cm)]]*ESF[[#This Row],[bp (cm)]]</f>
        <v>3600</v>
      </c>
      <c r="AB66" s="12">
        <f ca="1">IF(ESF[[#This Row],[Padm∙ε (kN)]]&gt;=ESF[[#This Row],[Padm (kN)]],ROUNDUP(1.05*ESF[[#This Row],[Nsd (kN)]]/ESF[[#This Row],[Padm (kN)]],0),ROUNDUP(1.05*ESF[[#This Row],[Nsd (kN)]]/ESF[[#This Row],[Padm (kN)]],0)+1)</f>
        <v>30</v>
      </c>
      <c r="AC66" s="4" t="str">
        <f ca="1">IFERROR(IF(ESF[[#This Row],[nE]]=1,ESF[[#This Row],[Padm (kN)]],ESF[[#This Row],[Padm (kN)]]*ESF[[#This Row],[nE]]*INDEX(grupoEstacas[],ESF[[#This Row],[nE]],MATCH("ε",grupoEstacas[#Headers],0))),"N.S.")</f>
        <v>N.S.</v>
      </c>
      <c r="AD66" s="4">
        <f ca="1">1.05*ESF[[#This Row],[Nsd (kN)]]/(ESF[[#This Row],[nE]]*PI()*ESF[[#This Row],[Ø (cm)]]^2/4)*10</f>
        <v>1.273239544735163</v>
      </c>
      <c r="AE66" s="4">
        <f ca="1">IF(ESF[[#This Row],[σ (MPa)]]&lt;INDEX(tipoEstaca[],MATCH($D$2,tipoEstaca[TIPO DE ESTACA],0),MATCH("σmáx (MPa)",tipoEstaca[#Headers],0)),0.4%*PI()*ESF[[#This Row],[Ø (cm)]]^2/4,"N.S.")</f>
        <v>3.848451000647497</v>
      </c>
      <c r="AF66" s="1">
        <f>INDEX(tipoEstaca[],MATCH($D$2,tipoEstaca[TIPO DE ESTACA],0),MATCH(ESF[[#Headers],[Comprimento (m)]],tipoEstaca[#Headers],0))</f>
        <v>2</v>
      </c>
      <c r="AG66" s="5">
        <f ca="1">ESF[[#This Row],[As,mín (cm²)]]/100^2*ESF[[#This Row],[Comprimento (m)]]*7850</f>
        <v>6.04206807101657</v>
      </c>
      <c r="AH66" s="4">
        <f ca="1">ESF[[#This Row],[nE]]*ESF[[#This Row],[Prof. (m)]]*ESF[[#This Row],[Ap (m²)]]</f>
        <v>14.431691252428109</v>
      </c>
      <c r="AI66" s="1">
        <f ca="1">IF(ESF[[#This Row],[nE]]=1,0,MAX(3*ESF[[#This Row],[Ø (cm)]],60))</f>
        <v>105</v>
      </c>
      <c r="AJ66" s="1">
        <f ca="1">IF(ESF[[#This Row],[nE]]=1,ESF[[#This Row],[Ø (cm)]]+2*10,MAX(1.5*ESF[[#This Row],[Ø (cm)]],ESF[[#This Row],[Ø (cm)]]+15))</f>
        <v>52.5</v>
      </c>
      <c r="AK66" s="1" t="str">
        <f ca="1">alturaUtil(ESF[[#This Row],[nE]],ESF[[#This Row],[Ø (cm)]],ESF[[#This Row],[e (cm)]],ESF[[#This Row],[ap,eq (cm)]])</f>
        <v>N.S.</v>
      </c>
      <c r="AL66" s="1" t="str">
        <f ca="1">IFERROR(ESF[[#This Row],[d (cm)]]+arredondarParaCimaMultiplo5cm(MAX(5,SQRT(PI())/2*ESF[[#This Row],[Ø (cm)]]/5)),"N.S.")</f>
        <v>N.S.</v>
      </c>
      <c r="AM66" s="5" t="str">
        <f ca="1">alpha(ESF[[#This Row],[nE]],ESF[[#This Row],[d (cm)]],ESF[[#This Row],[e (cm)]],ESF[[#This Row],[ap,eq (cm)]])</f>
        <v>N.S.</v>
      </c>
      <c r="AN66" s="35" t="str">
        <f ca="1">IFERROR(ESF[[#This Row],[Nsd (kN)]]/(ESF[[#This Row],[Ap (cm²)]]*SIN(ESF[[#This Row],[α]])^2),"N.S.")</f>
        <v>N.S.</v>
      </c>
      <c r="AO66" s="35" t="str">
        <f ca="1">IFERROR(ESF[[#This Row],[Nsd (kN)]]/(ESF[[#This Row],[nE]]*PI()*ESF[[#This Row],[Ø (cm)]]^2/4*SIN(ESF[[#This Row],[α]])^2),"N.S.")</f>
        <v>N.S.</v>
      </c>
      <c r="AP66" s="4" t="str">
        <f ca="1">IFERROR(INDEX(grupoEstacas[],ESF[[#This Row],[nE]],MATCH("coef. Blévot",grupoEstacas[#Headers],0)),"N.S.")</f>
        <v>N.S.</v>
      </c>
      <c r="AQ66" s="35" t="str">
        <f ca="1">IFERROR(ESF[[#This Row],[coef. Blévot]]*0.9*INDEX(tipoEstaca[],MATCH($D$2,tipoEstaca[TIPO DE ESTACA],0),MATCH("fcd (kN/cm²)",tipoEstaca[#Headers],0)),"N.S.")</f>
        <v>N.S.</v>
      </c>
      <c r="AR66" s="1" t="str">
        <f ca="1">IF(AND(ESF[[#This Row],[cd,b,pil (kN/cm²)]]&lt;=ESF[[#This Row],[cd,b,lim (kN/cm²)]],ESF[[#This Row],[cd,b,est (kN/cm²)]]&lt;=ESF[[#This Row],[cd,b,lim (kN/cm²)]]),"OK","ERRO")</f>
        <v>OK</v>
      </c>
      <c r="AS66" s="4" t="str">
        <f ca="1">As_lado(ESF[[#This Row],[nE]],ESF[[#This Row],[Nsd (kN)]],ESF[[#This Row],[d (cm)]],ESF[[#This Row],[e (cm)]],ESF[[#This Row],[ap,eq (cm)]])</f>
        <v>N.S.</v>
      </c>
      <c r="AT66" s="4" t="str">
        <f ca="1">IF(ESF[[#This Row],[nE]]=1,ESF[[#This Row],[As,lado (cm²)]],IF(ESF[[#This Row],[nE]]=2,0.075*2*ESF[a (cm)],"N.A."))</f>
        <v>N.A.</v>
      </c>
      <c r="AU66" s="4" t="str">
        <f ca="1">IFERROR(IF(ESF[[#This Row],[nE]]=1,"N.A.",0.2*ESF[[#This Row],[As,lado (cm²)]]),"N.S.")</f>
        <v>N.S.</v>
      </c>
      <c r="AV66" s="4" t="str">
        <f ca="1">As_malha(ESF[[#This Row],[nE]],ESF[[#This Row],[As,lado (cm²)]],ESF[[#This Row],[Nsd (kN)]])</f>
        <v>N.S.</v>
      </c>
      <c r="AW66" s="4" t="str">
        <f ca="1">As_susp_tot(ESF[[#This Row],[nE]],ESF[[#This Row],[Nsd (kN)]])</f>
        <v>N.S.</v>
      </c>
      <c r="AX66" s="4" t="str">
        <f ca="1">Asp_face(ESF[[#This Row],[nE]],ESF[[#This Row],[As,lado (cm²)]])</f>
        <v>N.S.</v>
      </c>
      <c r="AY66" s="5" t="str">
        <f ca="1">acoBloco(ESF[[#This Row],[nE]],ESF[[#This Row],[e (cm)]],ESF[[#This Row],[a (cm)]],ESF[[#This Row],[h (cm)]],ESF[[#This Row],[As,lado (cm²)]],ESF[[#This Row],[Asp e Asw (cm²/m)]],ESF[[#This Row],[As,sup (cm²)]],ESF[[#This Row],[As,malha (cm²)]],ESF[[#This Row],[As,susp,tot (cm²)]],ESF[[#This Row],[Asp,face (cm²)]])</f>
        <v>N.S.</v>
      </c>
      <c r="AZ66" s="4" t="str">
        <f ca="1">concretoBloco(ESF[[#This Row],[nE]],ESF[[#This Row],[e (cm)]],ESF[[#This Row],[a (cm)]],ESF[[#This Row],[h (cm)]])</f>
        <v>N.S.</v>
      </c>
      <c r="BA66" s="5">
        <f ca="1">SUM(ESF[[#This Row],[Aço Est (kg)]],ESF[[#This Row],[Aço Bloco (kg)]])</f>
        <v>6.04206807101657</v>
      </c>
      <c r="BB66" s="4">
        <f>INDEX(composicoes[],MATCH(95580,composicoes[CÓDIGO],0),MATCH("CUSTO TOTAL",composicoes[#Headers],0))</f>
        <v>10.46</v>
      </c>
      <c r="BC66" s="4">
        <f ca="1">SUM(ESF[[#This Row],[Conc Est (m³)]],ESF[[#This Row],[Conc Bloco (m³)]])</f>
        <v>14.431691252428109</v>
      </c>
      <c r="BD66" s="4">
        <f>INDEX(composicoes[],MATCH(94966,composicoes[CÓDIGO],0),MATCH("CUSTO TOTAL",composicoes[#Headers],0))</f>
        <v>439.52</v>
      </c>
      <c r="BE66" s="38">
        <f ca="1">ESF[[#This Row],[Aço (kg)]]*ESF[[#This Row],[Aço (R$/kg)]]+ESF[[#This Row],[Conc (m³)]]*ESF[[#This Row],[Conc (R$/m³)]]</f>
        <v>6406.2169712900359</v>
      </c>
      <c r="BF66" s="4" t="str">
        <f ca="1">IF(COUNTIF(ESF[#This Row],"N.S.")&gt;0,"lim.","OK")</f>
        <v>lim.</v>
      </c>
      <c r="BG66" s="4" t="str">
        <f>IF(ESF[[#This Row],[Prof. (m)]]&lt;3,"lim.","OK")</f>
        <v>OK</v>
      </c>
      <c r="BH66" s="4" t="str">
        <f>IF(ESF[[#This Row],[Prof. (m)]]&gt;=8*ESF[[#This Row],[Ø (cm)]]/100,"OK","lim.")</f>
        <v>OK</v>
      </c>
      <c r="BI66" s="4" t="str">
        <f>IF(AND(SPT!$F$3&lt;&gt;"",ESF[[#This Row],[Prof. (m)]]&gt;=SPT!$F$3),"lim.","OK")</f>
        <v>OK</v>
      </c>
      <c r="BJ66" s="4" t="str">
        <f>IF(COUNTIFS(ESF[Solo],"Areia",ESF[Prof. (m)],"&lt;="&amp;ESF[[#This Row],[Prof. (m)]])&gt;=1,"lim.","OK")</f>
        <v>OK</v>
      </c>
      <c r="BK66" s="4" t="str">
        <f ca="1">IF(ESF[[#This Row],[Verif. Biela]]="OK","OK","lim.")</f>
        <v>OK</v>
      </c>
      <c r="BL66" s="4" t="str">
        <f ca="1">IF(COUNTA(ESF[[#This Row],[Nº Est.]:[Biela comp.]])=COUNTIF(ESF[[#This Row],[Nº Est.]:[Biela comp.]],"OK"),"OK","lim.")</f>
        <v>lim.</v>
      </c>
      <c r="BM66" s="4" t="str">
        <f ca="1">IF(ESF[[#This Row],[Controle]]="OK",ESF[[#This Row],[nE]]&amp;" Ø"&amp;ESF[[#This Row],[Ø (cm)]]&amp;"cm Prof. "&amp;ESF[[#This Row],[Prof. (m)]]&amp;" m","")</f>
        <v/>
      </c>
      <c r="BN66" s="4" t="str">
        <f ca="1">IF(ESF[[#This Row],[idDimensionamento]]="","",ESF[[#This Row],[idPilar]]&amp;ESF[[#This Row],[idDimensionamento]])</f>
        <v/>
      </c>
    </row>
    <row r="67" spans="2:66" x14ac:dyDescent="0.25">
      <c r="B67" s="12">
        <f>ROUNDUP((ROW(ESF[[#This Row],[idDiâmetro]])-ROW(ESF[[#Headers],[idDiâmetro]]))/(COUNT(SPT[Prof. (m)])*COUNT(PILARES[Pilar])),0)</f>
        <v>3</v>
      </c>
      <c r="C67" s="12">
        <f>IF(ESF[[#This Row],[idDiâmetro]]&lt;&gt;B66,1,IF(ESF[[#This Row],[Prof. (m)]]=0,C66+1,C66))</f>
        <v>1</v>
      </c>
      <c r="D67" s="1">
        <f>IFERROR(IF(D66=MAX(SPT[Prof. (m)]),0,D66+1),0)</f>
        <v>6</v>
      </c>
      <c r="E67" s="1">
        <f>INDEX(SPT[],MATCH(ESF[[#This Row],[Prof. (m)]],SPT[Prof. (m)],0),2)</f>
        <v>21</v>
      </c>
      <c r="F67" s="1" t="str">
        <f>INDEX(SPT[],MATCH(ESF[[#This Row],[Prof. (m)]],SPT[Prof. (m)],0),3)</f>
        <v>Silte arenoso</v>
      </c>
      <c r="G67" s="1">
        <f>INDEX(estacas[],ESF[[#This Row],[idDiâmetro]],MATCH($B$2,estacas[#Headers],0))</f>
        <v>35</v>
      </c>
      <c r="H67" s="1">
        <f>INDEX(estacas[],MATCH(ESF[[#This Row],[Ø (cm)]],estacas[Ø ESF (cm)],0),MATCH(ESF[[#Headers],[Pe ESF (kN)]],estacas[#Headers],0))</f>
        <v>490</v>
      </c>
      <c r="I67" s="4">
        <f>INDEX(K_alpha_C[],MATCH(ESF[[#This Row],[Solo]],K_alpha_C[Solo],0),2)</f>
        <v>0.55000000000000004</v>
      </c>
      <c r="J67" s="5">
        <f>INDEX(K_alpha_C[],MATCH(ESF[[#This Row],[Solo]],K_alpha_C[Solo],0),3)</f>
        <v>2.2000000000000002</v>
      </c>
      <c r="K67" s="4">
        <f>INDEX(F1_F2[],MATCH($D$2,F1_F2[Tipo de estaca],0),2)</f>
        <v>3</v>
      </c>
      <c r="L67" s="4">
        <f>INDEX(F1_F2[],MATCH($D$2,F1_F2[Tipo de estaca],0),3)</f>
        <v>6</v>
      </c>
      <c r="M67" s="4">
        <f>PI()*(ESF[[#This Row],[Ø (cm)]]/100)^2/4</f>
        <v>9.6211275016187398E-2</v>
      </c>
      <c r="N67" s="4">
        <f>PI()*ESF[[#This Row],[Ø (cm)]]/100</f>
        <v>1.0995574287564276</v>
      </c>
      <c r="O67" s="4">
        <f>IF(ESF[[#This Row],[Prof. (m)]]=0,0,ESF[[#This Row],[α (%)]]/100*ESF[[#This Row],[K (MPa)]]*1000*ESF[[#This Row],[NSPT]])</f>
        <v>254.10000000000002</v>
      </c>
      <c r="P67" s="4">
        <f>IF(ESF[[#This Row],[Prof. (m)]]=0,0,(ESF[[#This Row],[K (MPa)]]*1000*ESF[[#This Row],[NSPT]]/ESF[[#This Row],[F1]]*ESF[[#This Row],[Ap (m²)]]+ESF[[#This Row],[U (m)]]/ESF[[#This Row],[F2]]*SUMIFS(ESF[(α∙K∙NL∙ΔL)],ESF[Prof. (m)],"&lt;="&amp;ESF[[#This Row],[Prof. (m)]],ESF[idDiâmetro],ESF[[#This Row],[idDiâmetro]],ESF[idPilar],ESF[[#This Row],[idPilar]]))/'DADOS CAP. CARGA'!$D$2)</f>
        <v>256.87035982536094</v>
      </c>
      <c r="Q67" s="12">
        <f>INDEX(C_alpha_beta[],MATCH(ESF[[#This Row],[Solo]],C_alpha_beta[Solo],0),MATCH(ESF[[#Headers],[C (kPa)]],C_alpha_beta[#Headers],0))</f>
        <v>250</v>
      </c>
      <c r="R67" s="4">
        <f>INDEX(C_alpha_beta[],MATCH(ESF[[#This Row],[Solo]],C_alpha_beta[Solo],0),MATCH(ESF[[#Headers],[α ESF]],C_alpha_beta[#Headers],0))</f>
        <v>0.6</v>
      </c>
      <c r="S67" s="4">
        <f>INDEX(C_alpha_beta[],MATCH(ESF[[#This Row],[Solo]],C_alpha_beta[Solo],0),MATCH(ESF[[#Headers],[β ESF]],C_alpha_beta[#Headers],0))</f>
        <v>0.65</v>
      </c>
      <c r="T67" s="4">
        <f>IF(ESF[[#This Row],[Prof. (m)]]=0,0,10*(ESF[[#This Row],[NSPT]]/3+1))</f>
        <v>80</v>
      </c>
      <c r="U67" s="4">
        <f>(ESF[[#This Row],[α ESF]]*ESF[[#This Row],[C (kPa)]]*ESF[[#This Row],[NSPT]]*ESF[[#This Row],[Ap (m²)]])/'DADOS CAP. CARGA'!$Q$2+(ESF[[#This Row],[β ESF]]*SUMIFS(ESF[10∙(NL/3+1)],ESF[Prof. (m)],"&lt;="&amp;ESF[[#This Row],[Prof. (m)]],ESF[idDiâmetro],ESF[[#This Row],[idDiâmetro]],ESF[idPilar],ESF[[#This Row],[idPilar]])*ESF[[#This Row],[U (m)]])/'DADOS CAP. CARGA'!$S$2</f>
        <v>161.53185851824892</v>
      </c>
      <c r="V67" s="4">
        <f>IF(SPT!$M$5=1,MIN(ESF[[#This Row],[Pe ESF (kN)]],ESF[[#This Row],[R_AV (kN)]]),IF(SPT!$M$5=2,MIN(ESF[[#This Row],[Pe ESF (kN)]],ESF[[#This Row],[R_DC (kN)]]),MIN(ESF[[#This Row],[Pe ESF (kN)]],ESF[[#This Row],[R_AV (kN)]],ESF[[#This Row],[R_DC (kN)]])))</f>
        <v>161.53185851824892</v>
      </c>
      <c r="W67" s="4">
        <f>INDEX(PILARES[],ESF[[#This Row],[idPilar]],MATCH("Carga (kN)",PILARES[#Headers],0))*1.4</f>
        <v>3500</v>
      </c>
      <c r="X67" s="12">
        <f>INDEX(PILARES[],ESF[[#This Row],[idPilar]],MATCH(ESF[[#Headers],[ap (cm)]],PILARES[#Headers],0))</f>
        <v>60</v>
      </c>
      <c r="Y67" s="12">
        <f>INDEX(PILARES[],ESF[[#This Row],[idPilar]],MATCH(ESF[[#Headers],[bp (cm)]],PILARES[#Headers],0))</f>
        <v>60</v>
      </c>
      <c r="Z67" s="4">
        <f>SQRT(ESF[[#This Row],[ap (cm)]]*ESF[[#This Row],[bp (cm)]])</f>
        <v>60</v>
      </c>
      <c r="AA67" s="12">
        <f>ESF[[#This Row],[ap (cm)]]*ESF[[#This Row],[bp (cm)]]</f>
        <v>3600</v>
      </c>
      <c r="AB67" s="12">
        <f ca="1">IF(ESF[[#This Row],[Padm∙ε (kN)]]&gt;=ESF[[#This Row],[Padm (kN)]],ROUNDUP(1.05*ESF[[#This Row],[Nsd (kN)]]/ESF[[#This Row],[Padm (kN)]],0),ROUNDUP(1.05*ESF[[#This Row],[Nsd (kN)]]/ESF[[#This Row],[Padm (kN)]],0)+1)</f>
        <v>23</v>
      </c>
      <c r="AC67" s="4" t="str">
        <f ca="1">IFERROR(IF(ESF[[#This Row],[nE]]=1,ESF[[#This Row],[Padm (kN)]],ESF[[#This Row],[Padm (kN)]]*ESF[[#This Row],[nE]]*INDEX(grupoEstacas[],ESF[[#This Row],[nE]],MATCH("ε",grupoEstacas[#Headers],0))),"N.S.")</f>
        <v>N.S.</v>
      </c>
      <c r="AD67" s="4">
        <f ca="1">1.05*ESF[[#This Row],[Nsd (kN)]]/(ESF[[#This Row],[nE]]*PI()*ESF[[#This Row],[Ø (cm)]]^2/4)*10</f>
        <v>1.6607472322632557</v>
      </c>
      <c r="AE67" s="4">
        <f ca="1">IF(ESF[[#This Row],[σ (MPa)]]&lt;INDEX(tipoEstaca[],MATCH($D$2,tipoEstaca[TIPO DE ESTACA],0),MATCH("σmáx (MPa)",tipoEstaca[#Headers],0)),0.4%*PI()*ESF[[#This Row],[Ø (cm)]]^2/4,"N.S.")</f>
        <v>3.848451000647497</v>
      </c>
      <c r="AF67" s="1">
        <f>INDEX(tipoEstaca[],MATCH($D$2,tipoEstaca[TIPO DE ESTACA],0),MATCH(ESF[[#Headers],[Comprimento (m)]],tipoEstaca[#Headers],0))</f>
        <v>2</v>
      </c>
      <c r="AG67" s="5">
        <f ca="1">ESF[[#This Row],[As,mín (cm²)]]/100^2*ESF[[#This Row],[Comprimento (m)]]*7850</f>
        <v>6.04206807101657</v>
      </c>
      <c r="AH67" s="4">
        <f ca="1">ESF[[#This Row],[nE]]*ESF[[#This Row],[Prof. (m)]]*ESF[[#This Row],[Ap (m²)]]</f>
        <v>13.27715595223386</v>
      </c>
      <c r="AI67" s="1">
        <f ca="1">IF(ESF[[#This Row],[nE]]=1,0,MAX(3*ESF[[#This Row],[Ø (cm)]],60))</f>
        <v>105</v>
      </c>
      <c r="AJ67" s="1">
        <f ca="1">IF(ESF[[#This Row],[nE]]=1,ESF[[#This Row],[Ø (cm)]]+2*10,MAX(1.5*ESF[[#This Row],[Ø (cm)]],ESF[[#This Row],[Ø (cm)]]+15))</f>
        <v>52.5</v>
      </c>
      <c r="AK67" s="1" t="str">
        <f ca="1">alturaUtil(ESF[[#This Row],[nE]],ESF[[#This Row],[Ø (cm)]],ESF[[#This Row],[e (cm)]],ESF[[#This Row],[ap,eq (cm)]])</f>
        <v>N.S.</v>
      </c>
      <c r="AL67" s="1" t="str">
        <f ca="1">IFERROR(ESF[[#This Row],[d (cm)]]+arredondarParaCimaMultiplo5cm(MAX(5,SQRT(PI())/2*ESF[[#This Row],[Ø (cm)]]/5)),"N.S.")</f>
        <v>N.S.</v>
      </c>
      <c r="AM67" s="5" t="str">
        <f ca="1">alpha(ESF[[#This Row],[nE]],ESF[[#This Row],[d (cm)]],ESF[[#This Row],[e (cm)]],ESF[[#This Row],[ap,eq (cm)]])</f>
        <v>N.S.</v>
      </c>
      <c r="AN67" s="35" t="str">
        <f ca="1">IFERROR(ESF[[#This Row],[Nsd (kN)]]/(ESF[[#This Row],[Ap (cm²)]]*SIN(ESF[[#This Row],[α]])^2),"N.S.")</f>
        <v>N.S.</v>
      </c>
      <c r="AO67" s="35" t="str">
        <f ca="1">IFERROR(ESF[[#This Row],[Nsd (kN)]]/(ESF[[#This Row],[nE]]*PI()*ESF[[#This Row],[Ø (cm)]]^2/4*SIN(ESF[[#This Row],[α]])^2),"N.S.")</f>
        <v>N.S.</v>
      </c>
      <c r="AP67" s="4" t="str">
        <f ca="1">IFERROR(INDEX(grupoEstacas[],ESF[[#This Row],[nE]],MATCH("coef. Blévot",grupoEstacas[#Headers],0)),"N.S.")</f>
        <v>N.S.</v>
      </c>
      <c r="AQ67" s="35" t="str">
        <f ca="1">IFERROR(ESF[[#This Row],[coef. Blévot]]*0.9*INDEX(tipoEstaca[],MATCH($D$2,tipoEstaca[TIPO DE ESTACA],0),MATCH("fcd (kN/cm²)",tipoEstaca[#Headers],0)),"N.S.")</f>
        <v>N.S.</v>
      </c>
      <c r="AR67" s="1" t="str">
        <f ca="1">IF(AND(ESF[[#This Row],[cd,b,pil (kN/cm²)]]&lt;=ESF[[#This Row],[cd,b,lim (kN/cm²)]],ESF[[#This Row],[cd,b,est (kN/cm²)]]&lt;=ESF[[#This Row],[cd,b,lim (kN/cm²)]]),"OK","ERRO")</f>
        <v>OK</v>
      </c>
      <c r="AS67" s="4" t="str">
        <f ca="1">As_lado(ESF[[#This Row],[nE]],ESF[[#This Row],[Nsd (kN)]],ESF[[#This Row],[d (cm)]],ESF[[#This Row],[e (cm)]],ESF[[#This Row],[ap,eq (cm)]])</f>
        <v>N.S.</v>
      </c>
      <c r="AT67" s="4" t="str">
        <f ca="1">IF(ESF[[#This Row],[nE]]=1,ESF[[#This Row],[As,lado (cm²)]],IF(ESF[[#This Row],[nE]]=2,0.075*2*ESF[a (cm)],"N.A."))</f>
        <v>N.A.</v>
      </c>
      <c r="AU67" s="4" t="str">
        <f ca="1">IFERROR(IF(ESF[[#This Row],[nE]]=1,"N.A.",0.2*ESF[[#This Row],[As,lado (cm²)]]),"N.S.")</f>
        <v>N.S.</v>
      </c>
      <c r="AV67" s="4" t="str">
        <f ca="1">As_malha(ESF[[#This Row],[nE]],ESF[[#This Row],[As,lado (cm²)]],ESF[[#This Row],[Nsd (kN)]])</f>
        <v>N.S.</v>
      </c>
      <c r="AW67" s="4" t="str">
        <f ca="1">As_susp_tot(ESF[[#This Row],[nE]],ESF[[#This Row],[Nsd (kN)]])</f>
        <v>N.S.</v>
      </c>
      <c r="AX67" s="4" t="str">
        <f ca="1">Asp_face(ESF[[#This Row],[nE]],ESF[[#This Row],[As,lado (cm²)]])</f>
        <v>N.S.</v>
      </c>
      <c r="AY67" s="5" t="str">
        <f ca="1">acoBloco(ESF[[#This Row],[nE]],ESF[[#This Row],[e (cm)]],ESF[[#This Row],[a (cm)]],ESF[[#This Row],[h (cm)]],ESF[[#This Row],[As,lado (cm²)]],ESF[[#This Row],[Asp e Asw (cm²/m)]],ESF[[#This Row],[As,sup (cm²)]],ESF[[#This Row],[As,malha (cm²)]],ESF[[#This Row],[As,susp,tot (cm²)]],ESF[[#This Row],[Asp,face (cm²)]])</f>
        <v>N.S.</v>
      </c>
      <c r="AZ67" s="4" t="str">
        <f ca="1">concretoBloco(ESF[[#This Row],[nE]],ESF[[#This Row],[e (cm)]],ESF[[#This Row],[a (cm)]],ESF[[#This Row],[h (cm)]])</f>
        <v>N.S.</v>
      </c>
      <c r="BA67" s="5">
        <f ca="1">SUM(ESF[[#This Row],[Aço Est (kg)]],ESF[[#This Row],[Aço Bloco (kg)]])</f>
        <v>6.04206807101657</v>
      </c>
      <c r="BB67" s="4">
        <f>INDEX(composicoes[],MATCH(95580,composicoes[CÓDIGO],0),MATCH("CUSTO TOTAL",composicoes[#Headers],0))</f>
        <v>10.46</v>
      </c>
      <c r="BC67" s="4">
        <f ca="1">SUM(ESF[[#This Row],[Conc Est (m³)]],ESF[[#This Row],[Conc Bloco (m³)]])</f>
        <v>13.27715595223386</v>
      </c>
      <c r="BD67" s="4">
        <f>INDEX(composicoes[],MATCH(94966,composicoes[CÓDIGO],0),MATCH("CUSTO TOTAL",composicoes[#Headers],0))</f>
        <v>439.52</v>
      </c>
      <c r="BE67" s="38">
        <f ca="1">ESF[[#This Row],[Aço (kg)]]*ESF[[#This Row],[Aço (R$/kg)]]+ESF[[#This Row],[Conc (m³)]]*ESF[[#This Row],[Conc (R$/m³)]]</f>
        <v>5898.7756161486595</v>
      </c>
      <c r="BF67" s="4" t="str">
        <f ca="1">IF(COUNTIF(ESF[#This Row],"N.S.")&gt;0,"lim.","OK")</f>
        <v>lim.</v>
      </c>
      <c r="BG67" s="4" t="str">
        <f>IF(ESF[[#This Row],[Prof. (m)]]&lt;3,"lim.","OK")</f>
        <v>OK</v>
      </c>
      <c r="BH67" s="4" t="str">
        <f>IF(ESF[[#This Row],[Prof. (m)]]&gt;=8*ESF[[#This Row],[Ø (cm)]]/100,"OK","lim.")</f>
        <v>OK</v>
      </c>
      <c r="BI67" s="4" t="str">
        <f>IF(AND(SPT!$F$3&lt;&gt;"",ESF[[#This Row],[Prof. (m)]]&gt;=SPT!$F$3),"lim.","OK")</f>
        <v>OK</v>
      </c>
      <c r="BJ67" s="4" t="str">
        <f>IF(COUNTIFS(ESF[Solo],"Areia",ESF[Prof. (m)],"&lt;="&amp;ESF[[#This Row],[Prof. (m)]])&gt;=1,"lim.","OK")</f>
        <v>OK</v>
      </c>
      <c r="BK67" s="4" t="str">
        <f ca="1">IF(ESF[[#This Row],[Verif. Biela]]="OK","OK","lim.")</f>
        <v>OK</v>
      </c>
      <c r="BL67" s="4" t="str">
        <f ca="1">IF(COUNTA(ESF[[#This Row],[Nº Est.]:[Biela comp.]])=COUNTIF(ESF[[#This Row],[Nº Est.]:[Biela comp.]],"OK"),"OK","lim.")</f>
        <v>lim.</v>
      </c>
      <c r="BM67" s="4" t="str">
        <f ca="1">IF(ESF[[#This Row],[Controle]]="OK",ESF[[#This Row],[nE]]&amp;" Ø"&amp;ESF[[#This Row],[Ø (cm)]]&amp;"cm Prof. "&amp;ESF[[#This Row],[Prof. (m)]]&amp;" m","")</f>
        <v/>
      </c>
      <c r="BN67" s="4" t="str">
        <f ca="1">IF(ESF[[#This Row],[idDimensionamento]]="","",ESF[[#This Row],[idPilar]]&amp;ESF[[#This Row],[idDimensionamento]])</f>
        <v/>
      </c>
    </row>
    <row r="68" spans="2:66" x14ac:dyDescent="0.25">
      <c r="B68" s="12">
        <f>ROUNDUP((ROW(ESF[[#This Row],[idDiâmetro]])-ROW(ESF[[#Headers],[idDiâmetro]]))/(COUNT(SPT[Prof. (m)])*COUNT(PILARES[Pilar])),0)</f>
        <v>3</v>
      </c>
      <c r="C68" s="12">
        <f>IF(ESF[[#This Row],[idDiâmetro]]&lt;&gt;B67,1,IF(ESF[[#This Row],[Prof. (m)]]=0,C67+1,C67))</f>
        <v>1</v>
      </c>
      <c r="D68" s="1">
        <f>IFERROR(IF(D67=MAX(SPT[Prof. (m)]),0,D67+1),0)</f>
        <v>7</v>
      </c>
      <c r="E68" s="1">
        <f>INDEX(SPT[],MATCH(ESF[[#This Row],[Prof. (m)]],SPT[Prof. (m)],0),2)</f>
        <v>8</v>
      </c>
      <c r="F68" s="1" t="str">
        <f>INDEX(SPT[],MATCH(ESF[[#This Row],[Prof. (m)]],SPT[Prof. (m)],0),3)</f>
        <v>Silte arenoso</v>
      </c>
      <c r="G68" s="1">
        <f>INDEX(estacas[],ESF[[#This Row],[idDiâmetro]],MATCH($B$2,estacas[#Headers],0))</f>
        <v>35</v>
      </c>
      <c r="H68" s="1">
        <f>INDEX(estacas[],MATCH(ESF[[#This Row],[Ø (cm)]],estacas[Ø ESF (cm)],0),MATCH(ESF[[#Headers],[Pe ESF (kN)]],estacas[#Headers],0))</f>
        <v>490</v>
      </c>
      <c r="I68" s="4">
        <f>INDEX(K_alpha_C[],MATCH(ESF[[#This Row],[Solo]],K_alpha_C[Solo],0),2)</f>
        <v>0.55000000000000004</v>
      </c>
      <c r="J68" s="5">
        <f>INDEX(K_alpha_C[],MATCH(ESF[[#This Row],[Solo]],K_alpha_C[Solo],0),3)</f>
        <v>2.2000000000000002</v>
      </c>
      <c r="K68" s="4">
        <f>INDEX(F1_F2[],MATCH($D$2,F1_F2[Tipo de estaca],0),2)</f>
        <v>3</v>
      </c>
      <c r="L68" s="4">
        <f>INDEX(F1_F2[],MATCH($D$2,F1_F2[Tipo de estaca],0),3)</f>
        <v>6</v>
      </c>
      <c r="M68" s="4">
        <f>PI()*(ESF[[#This Row],[Ø (cm)]]/100)^2/4</f>
        <v>9.6211275016187398E-2</v>
      </c>
      <c r="N68" s="4">
        <f>PI()*ESF[[#This Row],[Ø (cm)]]/100</f>
        <v>1.0995574287564276</v>
      </c>
      <c r="O68" s="4">
        <f>IF(ESF[[#This Row],[Prof. (m)]]=0,0,ESF[[#This Row],[α (%)]]/100*ESF[[#This Row],[K (MPa)]]*1000*ESF[[#This Row],[NSPT]])</f>
        <v>96.800000000000011</v>
      </c>
      <c r="P68" s="4">
        <f>IF(ESF[[#This Row],[Prof. (m)]]=0,0,(ESF[[#This Row],[K (MPa)]]*1000*ESF[[#This Row],[NSPT]]/ESF[[#This Row],[F1]]*ESF[[#This Row],[Ap (m²)]]+ESF[[#This Row],[U (m)]]/ESF[[#This Row],[F2]]*SUMIFS(ESF[(α∙K∙NL∙ΔL)],ESF[Prof. (m)],"&lt;="&amp;ESF[[#This Row],[Prof. (m)]],ESF[idDiâmetro],ESF[[#This Row],[idDiâmetro]],ESF[idPilar],ESF[[#This Row],[idPilar]]))/'DADOS CAP. CARGA'!$D$2)</f>
        <v>151.08835368970614</v>
      </c>
      <c r="Q68" s="12">
        <f>INDEX(C_alpha_beta[],MATCH(ESF[[#This Row],[Solo]],C_alpha_beta[Solo],0),MATCH(ESF[[#Headers],[C (kPa)]],C_alpha_beta[#Headers],0))</f>
        <v>250</v>
      </c>
      <c r="R68" s="4">
        <f>INDEX(C_alpha_beta[],MATCH(ESF[[#This Row],[Solo]],C_alpha_beta[Solo],0),MATCH(ESF[[#Headers],[α ESF]],C_alpha_beta[#Headers],0))</f>
        <v>0.6</v>
      </c>
      <c r="S68" s="4">
        <f>INDEX(C_alpha_beta[],MATCH(ESF[[#This Row],[Solo]],C_alpha_beta[Solo],0),MATCH(ESF[[#Headers],[β ESF]],C_alpha_beta[#Headers],0))</f>
        <v>0.65</v>
      </c>
      <c r="T68" s="4">
        <f>IF(ESF[[#This Row],[Prof. (m)]]=0,0,10*(ESF[[#This Row],[NSPT]]/3+1))</f>
        <v>36.666666666666664</v>
      </c>
      <c r="U68" s="4">
        <f>(ESF[[#This Row],[α ESF]]*ESF[[#This Row],[C (kPa)]]*ESF[[#This Row],[NSPT]]*ESF[[#This Row],[Ap (m²)]])/'DADOS CAP. CARGA'!$Q$2+(ESF[[#This Row],[β ESF]]*SUMIFS(ESF[10∙(NL/3+1)],ESF[Prof. (m)],"&lt;="&amp;ESF[[#This Row],[Prof. (m)]],ESF[idDiâmetro],ESF[[#This Row],[idDiâmetro]],ESF[idPilar],ESF[[#This Row],[idPilar]])*ESF[[#This Row],[U (m)]])/'DADOS CAP. CARGA'!$S$2</f>
        <v>127.731921307205</v>
      </c>
      <c r="V68" s="4">
        <f>IF(SPT!$M$5=1,MIN(ESF[[#This Row],[Pe ESF (kN)]],ESF[[#This Row],[R_AV (kN)]]),IF(SPT!$M$5=2,MIN(ESF[[#This Row],[Pe ESF (kN)]],ESF[[#This Row],[R_DC (kN)]]),MIN(ESF[[#This Row],[Pe ESF (kN)]],ESF[[#This Row],[R_AV (kN)]],ESF[[#This Row],[R_DC (kN)]])))</f>
        <v>127.731921307205</v>
      </c>
      <c r="W68" s="4">
        <f>INDEX(PILARES[],ESF[[#This Row],[idPilar]],MATCH("Carga (kN)",PILARES[#Headers],0))*1.4</f>
        <v>3500</v>
      </c>
      <c r="X68" s="12">
        <f>INDEX(PILARES[],ESF[[#This Row],[idPilar]],MATCH(ESF[[#Headers],[ap (cm)]],PILARES[#Headers],0))</f>
        <v>60</v>
      </c>
      <c r="Y68" s="12">
        <f>INDEX(PILARES[],ESF[[#This Row],[idPilar]],MATCH(ESF[[#Headers],[bp (cm)]],PILARES[#Headers],0))</f>
        <v>60</v>
      </c>
      <c r="Z68" s="4">
        <f>SQRT(ESF[[#This Row],[ap (cm)]]*ESF[[#This Row],[bp (cm)]])</f>
        <v>60</v>
      </c>
      <c r="AA68" s="12">
        <f>ESF[[#This Row],[ap (cm)]]*ESF[[#This Row],[bp (cm)]]</f>
        <v>3600</v>
      </c>
      <c r="AB68" s="12">
        <f ca="1">IF(ESF[[#This Row],[Padm∙ε (kN)]]&gt;=ESF[[#This Row],[Padm (kN)]],ROUNDUP(1.05*ESF[[#This Row],[Nsd (kN)]]/ESF[[#This Row],[Padm (kN)]],0),ROUNDUP(1.05*ESF[[#This Row],[Nsd (kN)]]/ESF[[#This Row],[Padm (kN)]],0)+1)</f>
        <v>29</v>
      </c>
      <c r="AC68" s="4" t="str">
        <f ca="1">IFERROR(IF(ESF[[#This Row],[nE]]=1,ESF[[#This Row],[Padm (kN)]],ESF[[#This Row],[Padm (kN)]]*ESF[[#This Row],[nE]]*INDEX(grupoEstacas[],ESF[[#This Row],[nE]],MATCH("ε",grupoEstacas[#Headers],0))),"N.S.")</f>
        <v>N.S.</v>
      </c>
      <c r="AD68" s="4">
        <f ca="1">1.05*ESF[[#This Row],[Nsd (kN)]]/(ESF[[#This Row],[nE]]*PI()*ESF[[#This Row],[Ø (cm)]]^2/4)*10</f>
        <v>1.317144356622582</v>
      </c>
      <c r="AE68" s="4">
        <f ca="1">IF(ESF[[#This Row],[σ (MPa)]]&lt;INDEX(tipoEstaca[],MATCH($D$2,tipoEstaca[TIPO DE ESTACA],0),MATCH("σmáx (MPa)",tipoEstaca[#Headers],0)),0.4%*PI()*ESF[[#This Row],[Ø (cm)]]^2/4,"N.S.")</f>
        <v>3.848451000647497</v>
      </c>
      <c r="AF68" s="1">
        <f>INDEX(tipoEstaca[],MATCH($D$2,tipoEstaca[TIPO DE ESTACA],0),MATCH(ESF[[#Headers],[Comprimento (m)]],tipoEstaca[#Headers],0))</f>
        <v>2</v>
      </c>
      <c r="AG68" s="5">
        <f ca="1">ESF[[#This Row],[As,mín (cm²)]]/100^2*ESF[[#This Row],[Comprimento (m)]]*7850</f>
        <v>6.04206807101657</v>
      </c>
      <c r="AH68" s="4">
        <f ca="1">ESF[[#This Row],[nE]]*ESF[[#This Row],[Prof. (m)]]*ESF[[#This Row],[Ap (m²)]]</f>
        <v>19.530888828286042</v>
      </c>
      <c r="AI68" s="1">
        <f ca="1">IF(ESF[[#This Row],[nE]]=1,0,MAX(3*ESF[[#This Row],[Ø (cm)]],60))</f>
        <v>105</v>
      </c>
      <c r="AJ68" s="1">
        <f ca="1">IF(ESF[[#This Row],[nE]]=1,ESF[[#This Row],[Ø (cm)]]+2*10,MAX(1.5*ESF[[#This Row],[Ø (cm)]],ESF[[#This Row],[Ø (cm)]]+15))</f>
        <v>52.5</v>
      </c>
      <c r="AK68" s="1" t="str">
        <f ca="1">alturaUtil(ESF[[#This Row],[nE]],ESF[[#This Row],[Ø (cm)]],ESF[[#This Row],[e (cm)]],ESF[[#This Row],[ap,eq (cm)]])</f>
        <v>N.S.</v>
      </c>
      <c r="AL68" s="1" t="str">
        <f ca="1">IFERROR(ESF[[#This Row],[d (cm)]]+arredondarParaCimaMultiplo5cm(MAX(5,SQRT(PI())/2*ESF[[#This Row],[Ø (cm)]]/5)),"N.S.")</f>
        <v>N.S.</v>
      </c>
      <c r="AM68" s="5" t="str">
        <f ca="1">alpha(ESF[[#This Row],[nE]],ESF[[#This Row],[d (cm)]],ESF[[#This Row],[e (cm)]],ESF[[#This Row],[ap,eq (cm)]])</f>
        <v>N.S.</v>
      </c>
      <c r="AN68" s="35" t="str">
        <f ca="1">IFERROR(ESF[[#This Row],[Nsd (kN)]]/(ESF[[#This Row],[Ap (cm²)]]*SIN(ESF[[#This Row],[α]])^2),"N.S.")</f>
        <v>N.S.</v>
      </c>
      <c r="AO68" s="35" t="str">
        <f ca="1">IFERROR(ESF[[#This Row],[Nsd (kN)]]/(ESF[[#This Row],[nE]]*PI()*ESF[[#This Row],[Ø (cm)]]^2/4*SIN(ESF[[#This Row],[α]])^2),"N.S.")</f>
        <v>N.S.</v>
      </c>
      <c r="AP68" s="4" t="str">
        <f ca="1">IFERROR(INDEX(grupoEstacas[],ESF[[#This Row],[nE]],MATCH("coef. Blévot",grupoEstacas[#Headers],0)),"N.S.")</f>
        <v>N.S.</v>
      </c>
      <c r="AQ68" s="35" t="str">
        <f ca="1">IFERROR(ESF[[#This Row],[coef. Blévot]]*0.9*INDEX(tipoEstaca[],MATCH($D$2,tipoEstaca[TIPO DE ESTACA],0),MATCH("fcd (kN/cm²)",tipoEstaca[#Headers],0)),"N.S.")</f>
        <v>N.S.</v>
      </c>
      <c r="AR68" s="1" t="str">
        <f ca="1">IF(AND(ESF[[#This Row],[cd,b,pil (kN/cm²)]]&lt;=ESF[[#This Row],[cd,b,lim (kN/cm²)]],ESF[[#This Row],[cd,b,est (kN/cm²)]]&lt;=ESF[[#This Row],[cd,b,lim (kN/cm²)]]),"OK","ERRO")</f>
        <v>OK</v>
      </c>
      <c r="AS68" s="4" t="str">
        <f ca="1">As_lado(ESF[[#This Row],[nE]],ESF[[#This Row],[Nsd (kN)]],ESF[[#This Row],[d (cm)]],ESF[[#This Row],[e (cm)]],ESF[[#This Row],[ap,eq (cm)]])</f>
        <v>N.S.</v>
      </c>
      <c r="AT68" s="4" t="str">
        <f ca="1">IF(ESF[[#This Row],[nE]]=1,ESF[[#This Row],[As,lado (cm²)]],IF(ESF[[#This Row],[nE]]=2,0.075*2*ESF[a (cm)],"N.A."))</f>
        <v>N.A.</v>
      </c>
      <c r="AU68" s="4" t="str">
        <f ca="1">IFERROR(IF(ESF[[#This Row],[nE]]=1,"N.A.",0.2*ESF[[#This Row],[As,lado (cm²)]]),"N.S.")</f>
        <v>N.S.</v>
      </c>
      <c r="AV68" s="4" t="str">
        <f ca="1">As_malha(ESF[[#This Row],[nE]],ESF[[#This Row],[As,lado (cm²)]],ESF[[#This Row],[Nsd (kN)]])</f>
        <v>N.S.</v>
      </c>
      <c r="AW68" s="4" t="str">
        <f ca="1">As_susp_tot(ESF[[#This Row],[nE]],ESF[[#This Row],[Nsd (kN)]])</f>
        <v>N.S.</v>
      </c>
      <c r="AX68" s="4" t="str">
        <f ca="1">Asp_face(ESF[[#This Row],[nE]],ESF[[#This Row],[As,lado (cm²)]])</f>
        <v>N.S.</v>
      </c>
      <c r="AY68" s="5" t="str">
        <f ca="1">acoBloco(ESF[[#This Row],[nE]],ESF[[#This Row],[e (cm)]],ESF[[#This Row],[a (cm)]],ESF[[#This Row],[h (cm)]],ESF[[#This Row],[As,lado (cm²)]],ESF[[#This Row],[Asp e Asw (cm²/m)]],ESF[[#This Row],[As,sup (cm²)]],ESF[[#This Row],[As,malha (cm²)]],ESF[[#This Row],[As,susp,tot (cm²)]],ESF[[#This Row],[Asp,face (cm²)]])</f>
        <v>N.S.</v>
      </c>
      <c r="AZ68" s="4" t="str">
        <f ca="1">concretoBloco(ESF[[#This Row],[nE]],ESF[[#This Row],[e (cm)]],ESF[[#This Row],[a (cm)]],ESF[[#This Row],[h (cm)]])</f>
        <v>N.S.</v>
      </c>
      <c r="BA68" s="5">
        <f ca="1">SUM(ESF[[#This Row],[Aço Est (kg)]],ESF[[#This Row],[Aço Bloco (kg)]])</f>
        <v>6.04206807101657</v>
      </c>
      <c r="BB68" s="4">
        <f>INDEX(composicoes[],MATCH(95580,composicoes[CÓDIGO],0),MATCH("CUSTO TOTAL",composicoes[#Headers],0))</f>
        <v>10.46</v>
      </c>
      <c r="BC68" s="4">
        <f ca="1">SUM(ESF[[#This Row],[Conc Est (m³)]],ESF[[#This Row],[Conc Bloco (m³)]])</f>
        <v>19.530888828286042</v>
      </c>
      <c r="BD68" s="4">
        <f>INDEX(composicoes[],MATCH(94966,composicoes[CÓDIGO],0),MATCH("CUSTO TOTAL",composicoes[#Headers],0))</f>
        <v>439.52</v>
      </c>
      <c r="BE68" s="38">
        <f ca="1">ESF[[#This Row],[Aço (kg)]]*ESF[[#This Row],[Aço (R$/kg)]]+ESF[[#This Row],[Conc (m³)]]*ESF[[#This Row],[Conc (R$/m³)]]</f>
        <v>8647.4162898311133</v>
      </c>
      <c r="BF68" s="4" t="str">
        <f ca="1">IF(COUNTIF(ESF[#This Row],"N.S.")&gt;0,"lim.","OK")</f>
        <v>lim.</v>
      </c>
      <c r="BG68" s="4" t="str">
        <f>IF(ESF[[#This Row],[Prof. (m)]]&lt;3,"lim.","OK")</f>
        <v>OK</v>
      </c>
      <c r="BH68" s="4" t="str">
        <f>IF(ESF[[#This Row],[Prof. (m)]]&gt;=8*ESF[[#This Row],[Ø (cm)]]/100,"OK","lim.")</f>
        <v>OK</v>
      </c>
      <c r="BI68" s="4" t="str">
        <f>IF(AND(SPT!$F$3&lt;&gt;"",ESF[[#This Row],[Prof. (m)]]&gt;=SPT!$F$3),"lim.","OK")</f>
        <v>OK</v>
      </c>
      <c r="BJ68" s="4" t="str">
        <f>IF(COUNTIFS(ESF[Solo],"Areia",ESF[Prof. (m)],"&lt;="&amp;ESF[[#This Row],[Prof. (m)]])&gt;=1,"lim.","OK")</f>
        <v>OK</v>
      </c>
      <c r="BK68" s="4" t="str">
        <f ca="1">IF(ESF[[#This Row],[Verif. Biela]]="OK","OK","lim.")</f>
        <v>OK</v>
      </c>
      <c r="BL68" s="4" t="str">
        <f ca="1">IF(COUNTA(ESF[[#This Row],[Nº Est.]:[Biela comp.]])=COUNTIF(ESF[[#This Row],[Nº Est.]:[Biela comp.]],"OK"),"OK","lim.")</f>
        <v>lim.</v>
      </c>
      <c r="BM68" s="4" t="str">
        <f ca="1">IF(ESF[[#This Row],[Controle]]="OK",ESF[[#This Row],[nE]]&amp;" Ø"&amp;ESF[[#This Row],[Ø (cm)]]&amp;"cm Prof. "&amp;ESF[[#This Row],[Prof. (m)]]&amp;" m","")</f>
        <v/>
      </c>
      <c r="BN68" s="4" t="str">
        <f ca="1">IF(ESF[[#This Row],[idDimensionamento]]="","",ESF[[#This Row],[idPilar]]&amp;ESF[[#This Row],[idDimensionamento]])</f>
        <v/>
      </c>
    </row>
    <row r="69" spans="2:66" x14ac:dyDescent="0.25">
      <c r="B69" s="12">
        <f>ROUNDUP((ROW(ESF[[#This Row],[idDiâmetro]])-ROW(ESF[[#Headers],[idDiâmetro]]))/(COUNT(SPT[Prof. (m)])*COUNT(PILARES[Pilar])),0)</f>
        <v>3</v>
      </c>
      <c r="C69" s="12">
        <f>IF(ESF[[#This Row],[idDiâmetro]]&lt;&gt;B68,1,IF(ESF[[#This Row],[Prof. (m)]]=0,C68+1,C68))</f>
        <v>1</v>
      </c>
      <c r="D69" s="1">
        <f>IFERROR(IF(D68=MAX(SPT[Prof. (m)]),0,D68+1),0)</f>
        <v>8</v>
      </c>
      <c r="E69" s="1">
        <f>INDEX(SPT[],MATCH(ESF[[#This Row],[Prof. (m)]],SPT[Prof. (m)],0),2)</f>
        <v>10</v>
      </c>
      <c r="F69" s="1" t="str">
        <f>INDEX(SPT[],MATCH(ESF[[#This Row],[Prof. (m)]],SPT[Prof. (m)],0),3)</f>
        <v>Silte arenoso</v>
      </c>
      <c r="G69" s="1">
        <f>INDEX(estacas[],ESF[[#This Row],[idDiâmetro]],MATCH($B$2,estacas[#Headers],0))</f>
        <v>35</v>
      </c>
      <c r="H69" s="1">
        <f>INDEX(estacas[],MATCH(ESF[[#This Row],[Ø (cm)]],estacas[Ø ESF (cm)],0),MATCH(ESF[[#Headers],[Pe ESF (kN)]],estacas[#Headers],0))</f>
        <v>490</v>
      </c>
      <c r="I69" s="4">
        <f>INDEX(K_alpha_C[],MATCH(ESF[[#This Row],[Solo]],K_alpha_C[Solo],0),2)</f>
        <v>0.55000000000000004</v>
      </c>
      <c r="J69" s="5">
        <f>INDEX(K_alpha_C[],MATCH(ESF[[#This Row],[Solo]],K_alpha_C[Solo],0),3)</f>
        <v>2.2000000000000002</v>
      </c>
      <c r="K69" s="4">
        <f>INDEX(F1_F2[],MATCH($D$2,F1_F2[Tipo de estaca],0),2)</f>
        <v>3</v>
      </c>
      <c r="L69" s="4">
        <f>INDEX(F1_F2[],MATCH($D$2,F1_F2[Tipo de estaca],0),3)</f>
        <v>6</v>
      </c>
      <c r="M69" s="4">
        <f>PI()*(ESF[[#This Row],[Ø (cm)]]/100)^2/4</f>
        <v>9.6211275016187398E-2</v>
      </c>
      <c r="N69" s="4">
        <f>PI()*ESF[[#This Row],[Ø (cm)]]/100</f>
        <v>1.0995574287564276</v>
      </c>
      <c r="O69" s="4">
        <f>IF(ESF[[#This Row],[Prof. (m)]]=0,0,ESF[[#This Row],[α (%)]]/100*ESF[[#This Row],[K (MPa)]]*1000*ESF[[#This Row],[NSPT]])</f>
        <v>121.00000000000001</v>
      </c>
      <c r="P69" s="4">
        <f>IF(ESF[[#This Row],[Prof. (m)]]=0,0,(ESF[[#This Row],[K (MPa)]]*1000*ESF[[#This Row],[NSPT]]/ESF[[#This Row],[F1]]*ESF[[#This Row],[Ap (m²)]]+ESF[[#This Row],[U (m)]]/ESF[[#This Row],[F2]]*SUMIFS(ESF[(α∙K∙NL∙ΔL)],ESF[Prof. (m)],"&lt;="&amp;ESF[[#This Row],[Prof. (m)]],ESF[idDiâmetro],ESF[[#This Row],[idDiâmetro]],ESF[idPilar],ESF[[#This Row],[idPilar]]))/'DADOS CAP. CARGA'!$D$2)</f>
        <v>179.8142915159678</v>
      </c>
      <c r="Q69" s="12">
        <f>INDEX(C_alpha_beta[],MATCH(ESF[[#This Row],[Solo]],C_alpha_beta[Solo],0),MATCH(ESF[[#Headers],[C (kPa)]],C_alpha_beta[#Headers],0))</f>
        <v>250</v>
      </c>
      <c r="R69" s="4">
        <f>INDEX(C_alpha_beta[],MATCH(ESF[[#This Row],[Solo]],C_alpha_beta[Solo],0),MATCH(ESF[[#Headers],[α ESF]],C_alpha_beta[#Headers],0))</f>
        <v>0.6</v>
      </c>
      <c r="S69" s="4">
        <f>INDEX(C_alpha_beta[],MATCH(ESF[[#This Row],[Solo]],C_alpha_beta[Solo],0),MATCH(ESF[[#Headers],[β ESF]],C_alpha_beta[#Headers],0))</f>
        <v>0.65</v>
      </c>
      <c r="T69" s="4">
        <f>IF(ESF[[#This Row],[Prof. (m)]]=0,0,10*(ESF[[#This Row],[NSPT]]/3+1))</f>
        <v>43.333333333333343</v>
      </c>
      <c r="U69" s="4">
        <f>(ESF[[#This Row],[α ESF]]*ESF[[#This Row],[C (kPa)]]*ESF[[#This Row],[NSPT]]*ESF[[#This Row],[Ap (m²)]])/'DADOS CAP. CARGA'!$Q$2+(ESF[[#This Row],[β ESF]]*SUMIFS(ESF[10∙(NL/3+1)],ESF[Prof. (m)],"&lt;="&amp;ESF[[#This Row],[Prof. (m)]],ESF[idDiâmetro],ESF[[#This Row],[idDiâmetro]],ESF[idPilar],ESF[[#This Row],[idPilar]])*ESF[[#This Row],[U (m)]])/'DADOS CAP. CARGA'!$S$2</f>
        <v>150.43320072173873</v>
      </c>
      <c r="V69" s="4">
        <f>IF(SPT!$M$5=1,MIN(ESF[[#This Row],[Pe ESF (kN)]],ESF[[#This Row],[R_AV (kN)]]),IF(SPT!$M$5=2,MIN(ESF[[#This Row],[Pe ESF (kN)]],ESF[[#This Row],[R_DC (kN)]]),MIN(ESF[[#This Row],[Pe ESF (kN)]],ESF[[#This Row],[R_AV (kN)]],ESF[[#This Row],[R_DC (kN)]])))</f>
        <v>150.43320072173873</v>
      </c>
      <c r="W69" s="4">
        <f>INDEX(PILARES[],ESF[[#This Row],[idPilar]],MATCH("Carga (kN)",PILARES[#Headers],0))*1.4</f>
        <v>3500</v>
      </c>
      <c r="X69" s="12">
        <f>INDEX(PILARES[],ESF[[#This Row],[idPilar]],MATCH(ESF[[#Headers],[ap (cm)]],PILARES[#Headers],0))</f>
        <v>60</v>
      </c>
      <c r="Y69" s="12">
        <f>INDEX(PILARES[],ESF[[#This Row],[idPilar]],MATCH(ESF[[#Headers],[bp (cm)]],PILARES[#Headers],0))</f>
        <v>60</v>
      </c>
      <c r="Z69" s="4">
        <f>SQRT(ESF[[#This Row],[ap (cm)]]*ESF[[#This Row],[bp (cm)]])</f>
        <v>60</v>
      </c>
      <c r="AA69" s="12">
        <f>ESF[[#This Row],[ap (cm)]]*ESF[[#This Row],[bp (cm)]]</f>
        <v>3600</v>
      </c>
      <c r="AB69" s="12">
        <f ca="1">IF(ESF[[#This Row],[Padm∙ε (kN)]]&gt;=ESF[[#This Row],[Padm (kN)]],ROUNDUP(1.05*ESF[[#This Row],[Nsd (kN)]]/ESF[[#This Row],[Padm (kN)]],0),ROUNDUP(1.05*ESF[[#This Row],[Nsd (kN)]]/ESF[[#This Row],[Padm (kN)]],0)+1)</f>
        <v>25</v>
      </c>
      <c r="AC69" s="4" t="str">
        <f ca="1">IFERROR(IF(ESF[[#This Row],[nE]]=1,ESF[[#This Row],[Padm (kN)]],ESF[[#This Row],[Padm (kN)]]*ESF[[#This Row],[nE]]*INDEX(grupoEstacas[],ESF[[#This Row],[nE]],MATCH("ε",grupoEstacas[#Headers],0))),"N.S.")</f>
        <v>N.S.</v>
      </c>
      <c r="AD69" s="4">
        <f ca="1">1.05*ESF[[#This Row],[Nsd (kN)]]/(ESF[[#This Row],[nE]]*PI()*ESF[[#This Row],[Ø (cm)]]^2/4)*10</f>
        <v>1.5278874536821954</v>
      </c>
      <c r="AE69" s="4">
        <f ca="1">IF(ESF[[#This Row],[σ (MPa)]]&lt;INDEX(tipoEstaca[],MATCH($D$2,tipoEstaca[TIPO DE ESTACA],0),MATCH("σmáx (MPa)",tipoEstaca[#Headers],0)),0.4%*PI()*ESF[[#This Row],[Ø (cm)]]^2/4,"N.S.")</f>
        <v>3.848451000647497</v>
      </c>
      <c r="AF69" s="1">
        <f>INDEX(tipoEstaca[],MATCH($D$2,tipoEstaca[TIPO DE ESTACA],0),MATCH(ESF[[#Headers],[Comprimento (m)]],tipoEstaca[#Headers],0))</f>
        <v>2</v>
      </c>
      <c r="AG69" s="5">
        <f ca="1">ESF[[#This Row],[As,mín (cm²)]]/100^2*ESF[[#This Row],[Comprimento (m)]]*7850</f>
        <v>6.04206807101657</v>
      </c>
      <c r="AH69" s="4">
        <f ca="1">ESF[[#This Row],[nE]]*ESF[[#This Row],[Prof. (m)]]*ESF[[#This Row],[Ap (m²)]]</f>
        <v>19.242255003237478</v>
      </c>
      <c r="AI69" s="1">
        <f ca="1">IF(ESF[[#This Row],[nE]]=1,0,MAX(3*ESF[[#This Row],[Ø (cm)]],60))</f>
        <v>105</v>
      </c>
      <c r="AJ69" s="1">
        <f ca="1">IF(ESF[[#This Row],[nE]]=1,ESF[[#This Row],[Ø (cm)]]+2*10,MAX(1.5*ESF[[#This Row],[Ø (cm)]],ESF[[#This Row],[Ø (cm)]]+15))</f>
        <v>52.5</v>
      </c>
      <c r="AK69" s="1" t="str">
        <f ca="1">alturaUtil(ESF[[#This Row],[nE]],ESF[[#This Row],[Ø (cm)]],ESF[[#This Row],[e (cm)]],ESF[[#This Row],[ap,eq (cm)]])</f>
        <v>N.S.</v>
      </c>
      <c r="AL69" s="1" t="str">
        <f ca="1">IFERROR(ESF[[#This Row],[d (cm)]]+arredondarParaCimaMultiplo5cm(MAX(5,SQRT(PI())/2*ESF[[#This Row],[Ø (cm)]]/5)),"N.S.")</f>
        <v>N.S.</v>
      </c>
      <c r="AM69" s="5" t="str">
        <f ca="1">alpha(ESF[[#This Row],[nE]],ESF[[#This Row],[d (cm)]],ESF[[#This Row],[e (cm)]],ESF[[#This Row],[ap,eq (cm)]])</f>
        <v>N.S.</v>
      </c>
      <c r="AN69" s="35" t="str">
        <f ca="1">IFERROR(ESF[[#This Row],[Nsd (kN)]]/(ESF[[#This Row],[Ap (cm²)]]*SIN(ESF[[#This Row],[α]])^2),"N.S.")</f>
        <v>N.S.</v>
      </c>
      <c r="AO69" s="35" t="str">
        <f ca="1">IFERROR(ESF[[#This Row],[Nsd (kN)]]/(ESF[[#This Row],[nE]]*PI()*ESF[[#This Row],[Ø (cm)]]^2/4*SIN(ESF[[#This Row],[α]])^2),"N.S.")</f>
        <v>N.S.</v>
      </c>
      <c r="AP69" s="4" t="str">
        <f ca="1">IFERROR(INDEX(grupoEstacas[],ESF[[#This Row],[nE]],MATCH("coef. Blévot",grupoEstacas[#Headers],0)),"N.S.")</f>
        <v>N.S.</v>
      </c>
      <c r="AQ69" s="35" t="str">
        <f ca="1">IFERROR(ESF[[#This Row],[coef. Blévot]]*0.9*INDEX(tipoEstaca[],MATCH($D$2,tipoEstaca[TIPO DE ESTACA],0),MATCH("fcd (kN/cm²)",tipoEstaca[#Headers],0)),"N.S.")</f>
        <v>N.S.</v>
      </c>
      <c r="AR69" s="1" t="str">
        <f ca="1">IF(AND(ESF[[#This Row],[cd,b,pil (kN/cm²)]]&lt;=ESF[[#This Row],[cd,b,lim (kN/cm²)]],ESF[[#This Row],[cd,b,est (kN/cm²)]]&lt;=ESF[[#This Row],[cd,b,lim (kN/cm²)]]),"OK","ERRO")</f>
        <v>OK</v>
      </c>
      <c r="AS69" s="4" t="str">
        <f ca="1">As_lado(ESF[[#This Row],[nE]],ESF[[#This Row],[Nsd (kN)]],ESF[[#This Row],[d (cm)]],ESF[[#This Row],[e (cm)]],ESF[[#This Row],[ap,eq (cm)]])</f>
        <v>N.S.</v>
      </c>
      <c r="AT69" s="4" t="str">
        <f ca="1">IF(ESF[[#This Row],[nE]]=1,ESF[[#This Row],[As,lado (cm²)]],IF(ESF[[#This Row],[nE]]=2,0.075*2*ESF[a (cm)],"N.A."))</f>
        <v>N.A.</v>
      </c>
      <c r="AU69" s="4" t="str">
        <f ca="1">IFERROR(IF(ESF[[#This Row],[nE]]=1,"N.A.",0.2*ESF[[#This Row],[As,lado (cm²)]]),"N.S.")</f>
        <v>N.S.</v>
      </c>
      <c r="AV69" s="4" t="str">
        <f ca="1">As_malha(ESF[[#This Row],[nE]],ESF[[#This Row],[As,lado (cm²)]],ESF[[#This Row],[Nsd (kN)]])</f>
        <v>N.S.</v>
      </c>
      <c r="AW69" s="4" t="str">
        <f ca="1">As_susp_tot(ESF[[#This Row],[nE]],ESF[[#This Row],[Nsd (kN)]])</f>
        <v>N.S.</v>
      </c>
      <c r="AX69" s="4" t="str">
        <f ca="1">Asp_face(ESF[[#This Row],[nE]],ESF[[#This Row],[As,lado (cm²)]])</f>
        <v>N.S.</v>
      </c>
      <c r="AY69" s="5" t="str">
        <f ca="1">acoBloco(ESF[[#This Row],[nE]],ESF[[#This Row],[e (cm)]],ESF[[#This Row],[a (cm)]],ESF[[#This Row],[h (cm)]],ESF[[#This Row],[As,lado (cm²)]],ESF[[#This Row],[Asp e Asw (cm²/m)]],ESF[[#This Row],[As,sup (cm²)]],ESF[[#This Row],[As,malha (cm²)]],ESF[[#This Row],[As,susp,tot (cm²)]],ESF[[#This Row],[Asp,face (cm²)]])</f>
        <v>N.S.</v>
      </c>
      <c r="AZ69" s="4" t="str">
        <f ca="1">concretoBloco(ESF[[#This Row],[nE]],ESF[[#This Row],[e (cm)]],ESF[[#This Row],[a (cm)]],ESF[[#This Row],[h (cm)]])</f>
        <v>N.S.</v>
      </c>
      <c r="BA69" s="5">
        <f ca="1">SUM(ESF[[#This Row],[Aço Est (kg)]],ESF[[#This Row],[Aço Bloco (kg)]])</f>
        <v>6.04206807101657</v>
      </c>
      <c r="BB69" s="4">
        <f>INDEX(composicoes[],MATCH(95580,composicoes[CÓDIGO],0),MATCH("CUSTO TOTAL",composicoes[#Headers],0))</f>
        <v>10.46</v>
      </c>
      <c r="BC69" s="4">
        <f ca="1">SUM(ESF[[#This Row],[Conc Est (m³)]],ESF[[#This Row],[Conc Bloco (m³)]])</f>
        <v>19.242255003237478</v>
      </c>
      <c r="BD69" s="4">
        <f>INDEX(composicoes[],MATCH(94966,composicoes[CÓDIGO],0),MATCH("CUSTO TOTAL",composicoes[#Headers],0))</f>
        <v>439.52</v>
      </c>
      <c r="BE69" s="38">
        <f ca="1">ESF[[#This Row],[Aço (kg)]]*ESF[[#This Row],[Aço (R$/kg)]]+ESF[[#This Row],[Conc (m³)]]*ESF[[#This Row],[Conc (R$/m³)]]</f>
        <v>8520.5559510457679</v>
      </c>
      <c r="BF69" s="4" t="str">
        <f ca="1">IF(COUNTIF(ESF[#This Row],"N.S.")&gt;0,"lim.","OK")</f>
        <v>lim.</v>
      </c>
      <c r="BG69" s="4" t="str">
        <f>IF(ESF[[#This Row],[Prof. (m)]]&lt;3,"lim.","OK")</f>
        <v>OK</v>
      </c>
      <c r="BH69" s="4" t="str">
        <f>IF(ESF[[#This Row],[Prof. (m)]]&gt;=8*ESF[[#This Row],[Ø (cm)]]/100,"OK","lim.")</f>
        <v>OK</v>
      </c>
      <c r="BI69" s="4" t="str">
        <f>IF(AND(SPT!$F$3&lt;&gt;"",ESF[[#This Row],[Prof. (m)]]&gt;=SPT!$F$3),"lim.","OK")</f>
        <v>OK</v>
      </c>
      <c r="BJ69" s="4" t="str">
        <f>IF(COUNTIFS(ESF[Solo],"Areia",ESF[Prof. (m)],"&lt;="&amp;ESF[[#This Row],[Prof. (m)]])&gt;=1,"lim.","OK")</f>
        <v>OK</v>
      </c>
      <c r="BK69" s="4" t="str">
        <f ca="1">IF(ESF[[#This Row],[Verif. Biela]]="OK","OK","lim.")</f>
        <v>OK</v>
      </c>
      <c r="BL69" s="4" t="str">
        <f ca="1">IF(COUNTA(ESF[[#This Row],[Nº Est.]:[Biela comp.]])=COUNTIF(ESF[[#This Row],[Nº Est.]:[Biela comp.]],"OK"),"OK","lim.")</f>
        <v>lim.</v>
      </c>
      <c r="BM69" s="4" t="str">
        <f ca="1">IF(ESF[[#This Row],[Controle]]="OK",ESF[[#This Row],[nE]]&amp;" Ø"&amp;ESF[[#This Row],[Ø (cm)]]&amp;"cm Prof. "&amp;ESF[[#This Row],[Prof. (m)]]&amp;" m","")</f>
        <v/>
      </c>
      <c r="BN69" s="4" t="str">
        <f ca="1">IF(ESF[[#This Row],[idDimensionamento]]="","",ESF[[#This Row],[idPilar]]&amp;ESF[[#This Row],[idDimensionamento]])</f>
        <v/>
      </c>
    </row>
    <row r="70" spans="2:66" x14ac:dyDescent="0.25">
      <c r="B70" s="12">
        <f>ROUNDUP((ROW(ESF[[#This Row],[idDiâmetro]])-ROW(ESF[[#Headers],[idDiâmetro]]))/(COUNT(SPT[Prof. (m)])*COUNT(PILARES[Pilar])),0)</f>
        <v>3</v>
      </c>
      <c r="C70" s="12">
        <f>IF(ESF[[#This Row],[idDiâmetro]]&lt;&gt;B69,1,IF(ESF[[#This Row],[Prof. (m)]]=0,C69+1,C69))</f>
        <v>1</v>
      </c>
      <c r="D70" s="1">
        <f>IFERROR(IF(D69=MAX(SPT[Prof. (m)]),0,D69+1),0)</f>
        <v>9</v>
      </c>
      <c r="E70" s="1">
        <f>INDEX(SPT[],MATCH(ESF[[#This Row],[Prof. (m)]],SPT[Prof. (m)],0),2)</f>
        <v>26</v>
      </c>
      <c r="F70" s="1" t="str">
        <f>INDEX(SPT[],MATCH(ESF[[#This Row],[Prof. (m)]],SPT[Prof. (m)],0),3)</f>
        <v>Areia siltosa</v>
      </c>
      <c r="G70" s="1">
        <f>INDEX(estacas[],ESF[[#This Row],[idDiâmetro]],MATCH($B$2,estacas[#Headers],0))</f>
        <v>35</v>
      </c>
      <c r="H70" s="1">
        <f>INDEX(estacas[],MATCH(ESF[[#This Row],[Ø (cm)]],estacas[Ø ESF (cm)],0),MATCH(ESF[[#Headers],[Pe ESF (kN)]],estacas[#Headers],0))</f>
        <v>490</v>
      </c>
      <c r="I70" s="4">
        <f>INDEX(K_alpha_C[],MATCH(ESF[[#This Row],[Solo]],K_alpha_C[Solo],0),2)</f>
        <v>0.8</v>
      </c>
      <c r="J70" s="5">
        <f>INDEX(K_alpha_C[],MATCH(ESF[[#This Row],[Solo]],K_alpha_C[Solo],0),3)</f>
        <v>2</v>
      </c>
      <c r="K70" s="4">
        <f>INDEX(F1_F2[],MATCH($D$2,F1_F2[Tipo de estaca],0),2)</f>
        <v>3</v>
      </c>
      <c r="L70" s="4">
        <f>INDEX(F1_F2[],MATCH($D$2,F1_F2[Tipo de estaca],0),3)</f>
        <v>6</v>
      </c>
      <c r="M70" s="4">
        <f>PI()*(ESF[[#This Row],[Ø (cm)]]/100)^2/4</f>
        <v>9.6211275016187398E-2</v>
      </c>
      <c r="N70" s="4">
        <f>PI()*ESF[[#This Row],[Ø (cm)]]/100</f>
        <v>1.0995574287564276</v>
      </c>
      <c r="O70" s="4">
        <f>IF(ESF[[#This Row],[Prof. (m)]]=0,0,ESF[[#This Row],[α (%)]]/100*ESF[[#This Row],[K (MPa)]]*1000*ESF[[#This Row],[NSPT]])</f>
        <v>416</v>
      </c>
      <c r="P70" s="4">
        <f>IF(ESF[[#This Row],[Prof. (m)]]=0,0,(ESF[[#This Row],[K (MPa)]]*1000*ESF[[#This Row],[NSPT]]/ESF[[#This Row],[F1]]*ESF[[#This Row],[Ap (m²)]]+ESF[[#This Row],[U (m)]]/ESF[[#This Row],[F2]]*SUMIFS(ESF[(α∙K∙NL∙ΔL)],ESF[Prof. (m)],"&lt;="&amp;ESF[[#This Row],[Prof. (m)]],ESF[idDiâmetro],ESF[[#This Row],[idDiâmetro]],ESF[idPilar],ESF[[#This Row],[idPilar]]))/'DADOS CAP. CARGA'!$D$2)</f>
        <v>463.27103367080178</v>
      </c>
      <c r="Q70" s="12">
        <f>INDEX(C_alpha_beta[],MATCH(ESF[[#This Row],[Solo]],C_alpha_beta[Solo],0),MATCH(ESF[[#Headers],[C (kPa)]],C_alpha_beta[#Headers],0))</f>
        <v>400</v>
      </c>
      <c r="R70" s="4">
        <f>INDEX(C_alpha_beta[],MATCH(ESF[[#This Row],[Solo]],C_alpha_beta[Solo],0),MATCH(ESF[[#Headers],[α ESF]],C_alpha_beta[#Headers],0))</f>
        <v>0.5</v>
      </c>
      <c r="S70" s="4">
        <f>INDEX(C_alpha_beta[],MATCH(ESF[[#This Row],[Solo]],C_alpha_beta[Solo],0),MATCH(ESF[[#Headers],[β ESF]],C_alpha_beta[#Headers],0))</f>
        <v>0.5</v>
      </c>
      <c r="T70" s="4">
        <f>IF(ESF[[#This Row],[Prof. (m)]]=0,0,10*(ESF[[#This Row],[NSPT]]/3+1))</f>
        <v>96.666666666666657</v>
      </c>
      <c r="U70" s="4">
        <f>(ESF[[#This Row],[α ESF]]*ESF[[#This Row],[C (kPa)]]*ESF[[#This Row],[NSPT]]*ESF[[#This Row],[Ap (m²)]])/'DADOS CAP. CARGA'!$Q$2+(ESF[[#This Row],[β ESF]]*SUMIFS(ESF[10∙(NL/3+1)],ESF[Prof. (m)],"&lt;="&amp;ESF[[#This Row],[Prof. (m)]],ESF[idDiâmetro],ESF[[#This Row],[idDiâmetro]],ESF[idPilar],ESF[[#This Row],[idPilar]])*ESF[[#This Row],[U (m)]])/'DADOS CAP. CARGA'!$S$2</f>
        <v>239.61188968317148</v>
      </c>
      <c r="V70" s="4">
        <f>IF(SPT!$M$5=1,MIN(ESF[[#This Row],[Pe ESF (kN)]],ESF[[#This Row],[R_AV (kN)]]),IF(SPT!$M$5=2,MIN(ESF[[#This Row],[Pe ESF (kN)]],ESF[[#This Row],[R_DC (kN)]]),MIN(ESF[[#This Row],[Pe ESF (kN)]],ESF[[#This Row],[R_AV (kN)]],ESF[[#This Row],[R_DC (kN)]])))</f>
        <v>239.61188968317148</v>
      </c>
      <c r="W70" s="4">
        <f>INDEX(PILARES[],ESF[[#This Row],[idPilar]],MATCH("Carga (kN)",PILARES[#Headers],0))*1.4</f>
        <v>3500</v>
      </c>
      <c r="X70" s="12">
        <f>INDEX(PILARES[],ESF[[#This Row],[idPilar]],MATCH(ESF[[#Headers],[ap (cm)]],PILARES[#Headers],0))</f>
        <v>60</v>
      </c>
      <c r="Y70" s="12">
        <f>INDEX(PILARES[],ESF[[#This Row],[idPilar]],MATCH(ESF[[#Headers],[bp (cm)]],PILARES[#Headers],0))</f>
        <v>60</v>
      </c>
      <c r="Z70" s="4">
        <f>SQRT(ESF[[#This Row],[ap (cm)]]*ESF[[#This Row],[bp (cm)]])</f>
        <v>60</v>
      </c>
      <c r="AA70" s="12">
        <f>ESF[[#This Row],[ap (cm)]]*ESF[[#This Row],[bp (cm)]]</f>
        <v>3600</v>
      </c>
      <c r="AB70" s="12">
        <f ca="1">IF(ESF[[#This Row],[Padm∙ε (kN)]]&gt;=ESF[[#This Row],[Padm (kN)]],ROUNDUP(1.05*ESF[[#This Row],[Nsd (kN)]]/ESF[[#This Row],[Padm (kN)]],0),ROUNDUP(1.05*ESF[[#This Row],[Nsd (kN)]]/ESF[[#This Row],[Padm (kN)]],0)+1)</f>
        <v>16</v>
      </c>
      <c r="AC70" s="4" t="str">
        <f ca="1">IFERROR(IF(ESF[[#This Row],[nE]]=1,ESF[[#This Row],[Padm (kN)]],ESF[[#This Row],[Padm (kN)]]*ESF[[#This Row],[nE]]*INDEX(grupoEstacas[],ESF[[#This Row],[nE]],MATCH("ε",grupoEstacas[#Headers],0))),"N.S.")</f>
        <v>N.S.</v>
      </c>
      <c r="AD70" s="4">
        <f ca="1">1.05*ESF[[#This Row],[Nsd (kN)]]/(ESF[[#This Row],[nE]]*PI()*ESF[[#This Row],[Ø (cm)]]^2/4)*10</f>
        <v>2.3873241463784298</v>
      </c>
      <c r="AE70" s="4">
        <f ca="1">IF(ESF[[#This Row],[σ (MPa)]]&lt;INDEX(tipoEstaca[],MATCH($D$2,tipoEstaca[TIPO DE ESTACA],0),MATCH("σmáx (MPa)",tipoEstaca[#Headers],0)),0.4%*PI()*ESF[[#This Row],[Ø (cm)]]^2/4,"N.S.")</f>
        <v>3.848451000647497</v>
      </c>
      <c r="AF70" s="1">
        <f>INDEX(tipoEstaca[],MATCH($D$2,tipoEstaca[TIPO DE ESTACA],0),MATCH(ESF[[#Headers],[Comprimento (m)]],tipoEstaca[#Headers],0))</f>
        <v>2</v>
      </c>
      <c r="AG70" s="5">
        <f ca="1">ESF[[#This Row],[As,mín (cm²)]]/100^2*ESF[[#This Row],[Comprimento (m)]]*7850</f>
        <v>6.04206807101657</v>
      </c>
      <c r="AH70" s="4">
        <f ca="1">ESF[[#This Row],[nE]]*ESF[[#This Row],[Prof. (m)]]*ESF[[#This Row],[Ap (m²)]]</f>
        <v>13.854423602330986</v>
      </c>
      <c r="AI70" s="1">
        <f ca="1">IF(ESF[[#This Row],[nE]]=1,0,MAX(3*ESF[[#This Row],[Ø (cm)]],60))</f>
        <v>105</v>
      </c>
      <c r="AJ70" s="1">
        <f ca="1">IF(ESF[[#This Row],[nE]]=1,ESF[[#This Row],[Ø (cm)]]+2*10,MAX(1.5*ESF[[#This Row],[Ø (cm)]],ESF[[#This Row],[Ø (cm)]]+15))</f>
        <v>52.5</v>
      </c>
      <c r="AK70" s="1" t="str">
        <f ca="1">alturaUtil(ESF[[#This Row],[nE]],ESF[[#This Row],[Ø (cm)]],ESF[[#This Row],[e (cm)]],ESF[[#This Row],[ap,eq (cm)]])</f>
        <v>N.S.</v>
      </c>
      <c r="AL70" s="1" t="str">
        <f ca="1">IFERROR(ESF[[#This Row],[d (cm)]]+arredondarParaCimaMultiplo5cm(MAX(5,SQRT(PI())/2*ESF[[#This Row],[Ø (cm)]]/5)),"N.S.")</f>
        <v>N.S.</v>
      </c>
      <c r="AM70" s="5" t="str">
        <f ca="1">alpha(ESF[[#This Row],[nE]],ESF[[#This Row],[d (cm)]],ESF[[#This Row],[e (cm)]],ESF[[#This Row],[ap,eq (cm)]])</f>
        <v>N.S.</v>
      </c>
      <c r="AN70" s="35" t="str">
        <f ca="1">IFERROR(ESF[[#This Row],[Nsd (kN)]]/(ESF[[#This Row],[Ap (cm²)]]*SIN(ESF[[#This Row],[α]])^2),"N.S.")</f>
        <v>N.S.</v>
      </c>
      <c r="AO70" s="35" t="str">
        <f ca="1">IFERROR(ESF[[#This Row],[Nsd (kN)]]/(ESF[[#This Row],[nE]]*PI()*ESF[[#This Row],[Ø (cm)]]^2/4*SIN(ESF[[#This Row],[α]])^2),"N.S.")</f>
        <v>N.S.</v>
      </c>
      <c r="AP70" s="4" t="str">
        <f ca="1">IFERROR(INDEX(grupoEstacas[],ESF[[#This Row],[nE]],MATCH("coef. Blévot",grupoEstacas[#Headers],0)),"N.S.")</f>
        <v>N.S.</v>
      </c>
      <c r="AQ70" s="35" t="str">
        <f ca="1">IFERROR(ESF[[#This Row],[coef. Blévot]]*0.9*INDEX(tipoEstaca[],MATCH($D$2,tipoEstaca[TIPO DE ESTACA],0),MATCH("fcd (kN/cm²)",tipoEstaca[#Headers],0)),"N.S.")</f>
        <v>N.S.</v>
      </c>
      <c r="AR70" s="1" t="str">
        <f ca="1">IF(AND(ESF[[#This Row],[cd,b,pil (kN/cm²)]]&lt;=ESF[[#This Row],[cd,b,lim (kN/cm²)]],ESF[[#This Row],[cd,b,est (kN/cm²)]]&lt;=ESF[[#This Row],[cd,b,lim (kN/cm²)]]),"OK","ERRO")</f>
        <v>OK</v>
      </c>
      <c r="AS70" s="4" t="str">
        <f ca="1">As_lado(ESF[[#This Row],[nE]],ESF[[#This Row],[Nsd (kN)]],ESF[[#This Row],[d (cm)]],ESF[[#This Row],[e (cm)]],ESF[[#This Row],[ap,eq (cm)]])</f>
        <v>N.S.</v>
      </c>
      <c r="AT70" s="4" t="str">
        <f ca="1">IF(ESF[[#This Row],[nE]]=1,ESF[[#This Row],[As,lado (cm²)]],IF(ESF[[#This Row],[nE]]=2,0.075*2*ESF[a (cm)],"N.A."))</f>
        <v>N.A.</v>
      </c>
      <c r="AU70" s="4" t="str">
        <f ca="1">IFERROR(IF(ESF[[#This Row],[nE]]=1,"N.A.",0.2*ESF[[#This Row],[As,lado (cm²)]]),"N.S.")</f>
        <v>N.S.</v>
      </c>
      <c r="AV70" s="4" t="str">
        <f ca="1">As_malha(ESF[[#This Row],[nE]],ESF[[#This Row],[As,lado (cm²)]],ESF[[#This Row],[Nsd (kN)]])</f>
        <v>N.S.</v>
      </c>
      <c r="AW70" s="4" t="str">
        <f ca="1">As_susp_tot(ESF[[#This Row],[nE]],ESF[[#This Row],[Nsd (kN)]])</f>
        <v>N.S.</v>
      </c>
      <c r="AX70" s="4" t="str">
        <f ca="1">Asp_face(ESF[[#This Row],[nE]],ESF[[#This Row],[As,lado (cm²)]])</f>
        <v>N.S.</v>
      </c>
      <c r="AY70" s="5" t="str">
        <f ca="1">acoBloco(ESF[[#This Row],[nE]],ESF[[#This Row],[e (cm)]],ESF[[#This Row],[a (cm)]],ESF[[#This Row],[h (cm)]],ESF[[#This Row],[As,lado (cm²)]],ESF[[#This Row],[Asp e Asw (cm²/m)]],ESF[[#This Row],[As,sup (cm²)]],ESF[[#This Row],[As,malha (cm²)]],ESF[[#This Row],[As,susp,tot (cm²)]],ESF[[#This Row],[Asp,face (cm²)]])</f>
        <v>N.S.</v>
      </c>
      <c r="AZ70" s="4" t="str">
        <f ca="1">concretoBloco(ESF[[#This Row],[nE]],ESF[[#This Row],[e (cm)]],ESF[[#This Row],[a (cm)]],ESF[[#This Row],[h (cm)]])</f>
        <v>N.S.</v>
      </c>
      <c r="BA70" s="5">
        <f ca="1">SUM(ESF[[#This Row],[Aço Est (kg)]],ESF[[#This Row],[Aço Bloco (kg)]])</f>
        <v>6.04206807101657</v>
      </c>
      <c r="BB70" s="4">
        <f>INDEX(composicoes[],MATCH(95580,composicoes[CÓDIGO],0),MATCH("CUSTO TOTAL",composicoes[#Headers],0))</f>
        <v>10.46</v>
      </c>
      <c r="BC70" s="4">
        <f ca="1">SUM(ESF[[#This Row],[Conc Est (m³)]],ESF[[#This Row],[Conc Bloco (m³)]])</f>
        <v>13.854423602330986</v>
      </c>
      <c r="BD70" s="4">
        <f>INDEX(composicoes[],MATCH(94966,composicoes[CÓDIGO],0),MATCH("CUSTO TOTAL",composicoes[#Headers],0))</f>
        <v>439.52</v>
      </c>
      <c r="BE70" s="38">
        <f ca="1">ESF[[#This Row],[Aço (kg)]]*ESF[[#This Row],[Aço (R$/kg)]]+ESF[[#This Row],[Conc (m³)]]*ESF[[#This Row],[Conc (R$/m³)]]</f>
        <v>6152.4962937193477</v>
      </c>
      <c r="BF70" s="4" t="str">
        <f ca="1">IF(COUNTIF(ESF[#This Row],"N.S.")&gt;0,"lim.","OK")</f>
        <v>lim.</v>
      </c>
      <c r="BG70" s="4" t="str">
        <f>IF(ESF[[#This Row],[Prof. (m)]]&lt;3,"lim.","OK")</f>
        <v>OK</v>
      </c>
      <c r="BH70" s="4" t="str">
        <f>IF(ESF[[#This Row],[Prof. (m)]]&gt;=8*ESF[[#This Row],[Ø (cm)]]/100,"OK","lim.")</f>
        <v>OK</v>
      </c>
      <c r="BI70" s="4" t="str">
        <f>IF(AND(SPT!$F$3&lt;&gt;"",ESF[[#This Row],[Prof. (m)]]&gt;=SPT!$F$3),"lim.","OK")</f>
        <v>OK</v>
      </c>
      <c r="BJ70" s="4" t="str">
        <f>IF(COUNTIFS(ESF[Solo],"Areia",ESF[Prof. (m)],"&lt;="&amp;ESF[[#This Row],[Prof. (m)]])&gt;=1,"lim.","OK")</f>
        <v>OK</v>
      </c>
      <c r="BK70" s="4" t="str">
        <f ca="1">IF(ESF[[#This Row],[Verif. Biela]]="OK","OK","lim.")</f>
        <v>OK</v>
      </c>
      <c r="BL70" s="4" t="str">
        <f ca="1">IF(COUNTA(ESF[[#This Row],[Nº Est.]:[Biela comp.]])=COUNTIF(ESF[[#This Row],[Nº Est.]:[Biela comp.]],"OK"),"OK","lim.")</f>
        <v>lim.</v>
      </c>
      <c r="BM70" s="4" t="str">
        <f ca="1">IF(ESF[[#This Row],[Controle]]="OK",ESF[[#This Row],[nE]]&amp;" Ø"&amp;ESF[[#This Row],[Ø (cm)]]&amp;"cm Prof. "&amp;ESF[[#This Row],[Prof. (m)]]&amp;" m","")</f>
        <v/>
      </c>
      <c r="BN70" s="4" t="str">
        <f ca="1">IF(ESF[[#This Row],[idDimensionamento]]="","",ESF[[#This Row],[idPilar]]&amp;ESF[[#This Row],[idDimensionamento]])</f>
        <v/>
      </c>
    </row>
    <row r="71" spans="2:66" x14ac:dyDescent="0.25">
      <c r="B71" s="12">
        <f>ROUNDUP((ROW(ESF[[#This Row],[idDiâmetro]])-ROW(ESF[[#Headers],[idDiâmetro]]))/(COUNT(SPT[Prof. (m)])*COUNT(PILARES[Pilar])),0)</f>
        <v>3</v>
      </c>
      <c r="C71" s="12">
        <f>IF(ESF[[#This Row],[idDiâmetro]]&lt;&gt;B70,1,IF(ESF[[#This Row],[Prof. (m)]]=0,C70+1,C70))</f>
        <v>1</v>
      </c>
      <c r="D71" s="1">
        <f>IFERROR(IF(D70=MAX(SPT[Prof. (m)]),0,D70+1),0)</f>
        <v>10</v>
      </c>
      <c r="E71" s="1">
        <f>INDEX(SPT[],MATCH(ESF[[#This Row],[Prof. (m)]],SPT[Prof. (m)],0),2)</f>
        <v>32</v>
      </c>
      <c r="F71" s="1" t="str">
        <f>INDEX(SPT[],MATCH(ESF[[#This Row],[Prof. (m)]],SPT[Prof. (m)],0),3)</f>
        <v>Areia siltosa</v>
      </c>
      <c r="G71" s="1">
        <f>INDEX(estacas[],ESF[[#This Row],[idDiâmetro]],MATCH($B$2,estacas[#Headers],0))</f>
        <v>35</v>
      </c>
      <c r="H71" s="1">
        <f>INDEX(estacas[],MATCH(ESF[[#This Row],[Ø (cm)]],estacas[Ø ESF (cm)],0),MATCH(ESF[[#Headers],[Pe ESF (kN)]],estacas[#Headers],0))</f>
        <v>490</v>
      </c>
      <c r="I71" s="4">
        <f>INDEX(K_alpha_C[],MATCH(ESF[[#This Row],[Solo]],K_alpha_C[Solo],0),2)</f>
        <v>0.8</v>
      </c>
      <c r="J71" s="5">
        <f>INDEX(K_alpha_C[],MATCH(ESF[[#This Row],[Solo]],K_alpha_C[Solo],0),3)</f>
        <v>2</v>
      </c>
      <c r="K71" s="4">
        <f>INDEX(F1_F2[],MATCH($D$2,F1_F2[Tipo de estaca],0),2)</f>
        <v>3</v>
      </c>
      <c r="L71" s="4">
        <f>INDEX(F1_F2[],MATCH($D$2,F1_F2[Tipo de estaca],0),3)</f>
        <v>6</v>
      </c>
      <c r="M71" s="4">
        <f>PI()*(ESF[[#This Row],[Ø (cm)]]/100)^2/4</f>
        <v>9.6211275016187398E-2</v>
      </c>
      <c r="N71" s="4">
        <f>PI()*ESF[[#This Row],[Ø (cm)]]/100</f>
        <v>1.0995574287564276</v>
      </c>
      <c r="O71" s="4">
        <f>IF(ESF[[#This Row],[Prof. (m)]]=0,0,ESF[[#This Row],[α (%)]]/100*ESF[[#This Row],[K (MPa)]]*1000*ESF[[#This Row],[NSPT]])</f>
        <v>512</v>
      </c>
      <c r="P71" s="4">
        <f>IF(ESF[[#This Row],[Prof. (m)]]=0,0,(ESF[[#This Row],[K (MPa)]]*1000*ESF[[#This Row],[NSPT]]/ESF[[#This Row],[F1]]*ESF[[#This Row],[Ap (m²)]]+ESF[[#This Row],[U (m)]]/ESF[[#This Row],[F2]]*SUMIFS(ESF[(α∙K∙NL∙ΔL)],ESF[Prof. (m)],"&lt;="&amp;ESF[[#This Row],[Prof. (m)]],ESF[idDiâmetro],ESF[[#This Row],[idDiâmetro]],ESF[idPilar],ESF[[#This Row],[idPilar]]))/'DADOS CAP. CARGA'!$D$2)</f>
        <v>587.15450397735935</v>
      </c>
      <c r="Q71" s="12">
        <f>INDEX(C_alpha_beta[],MATCH(ESF[[#This Row],[Solo]],C_alpha_beta[Solo],0),MATCH(ESF[[#Headers],[C (kPa)]],C_alpha_beta[#Headers],0))</f>
        <v>400</v>
      </c>
      <c r="R71" s="4">
        <f>INDEX(C_alpha_beta[],MATCH(ESF[[#This Row],[Solo]],C_alpha_beta[Solo],0),MATCH(ESF[[#Headers],[α ESF]],C_alpha_beta[#Headers],0))</f>
        <v>0.5</v>
      </c>
      <c r="S71" s="4">
        <f>INDEX(C_alpha_beta[],MATCH(ESF[[#This Row],[Solo]],C_alpha_beta[Solo],0),MATCH(ESF[[#Headers],[β ESF]],C_alpha_beta[#Headers],0))</f>
        <v>0.5</v>
      </c>
      <c r="T71" s="4">
        <f>IF(ESF[[#This Row],[Prof. (m)]]=0,0,10*(ESF[[#This Row],[NSPT]]/3+1))</f>
        <v>116.66666666666666</v>
      </c>
      <c r="U71" s="4">
        <f>(ESF[[#This Row],[α ESF]]*ESF[[#This Row],[C (kPa)]]*ESF[[#This Row],[NSPT]]*ESF[[#This Row],[Ap (m²)]])/'DADOS CAP. CARGA'!$Q$2+(ESF[[#This Row],[β ESF]]*SUMIFS(ESF[10∙(NL/3+1)],ESF[Prof. (m)],"&lt;="&amp;ESF[[#This Row],[Prof. (m)]],ESF[idDiâmetro],ESF[[#This Row],[idDiâmetro]],ESF[idPilar],ESF[[#This Row],[idPilar]])*ESF[[#This Row],[U (m)]])/'DADOS CAP. CARGA'!$S$2</f>
        <v>300.54569719342351</v>
      </c>
      <c r="V71" s="4">
        <f>IF(SPT!$M$5=1,MIN(ESF[[#This Row],[Pe ESF (kN)]],ESF[[#This Row],[R_AV (kN)]]),IF(SPT!$M$5=2,MIN(ESF[[#This Row],[Pe ESF (kN)]],ESF[[#This Row],[R_DC (kN)]]),MIN(ESF[[#This Row],[Pe ESF (kN)]],ESF[[#This Row],[R_AV (kN)]],ESF[[#This Row],[R_DC (kN)]])))</f>
        <v>300.54569719342351</v>
      </c>
      <c r="W71" s="4">
        <f>INDEX(PILARES[],ESF[[#This Row],[idPilar]],MATCH("Carga (kN)",PILARES[#Headers],0))*1.4</f>
        <v>3500</v>
      </c>
      <c r="X71" s="12">
        <f>INDEX(PILARES[],ESF[[#This Row],[idPilar]],MATCH(ESF[[#Headers],[ap (cm)]],PILARES[#Headers],0))</f>
        <v>60</v>
      </c>
      <c r="Y71" s="12">
        <f>INDEX(PILARES[],ESF[[#This Row],[idPilar]],MATCH(ESF[[#Headers],[bp (cm)]],PILARES[#Headers],0))</f>
        <v>60</v>
      </c>
      <c r="Z71" s="4">
        <f>SQRT(ESF[[#This Row],[ap (cm)]]*ESF[[#This Row],[bp (cm)]])</f>
        <v>60</v>
      </c>
      <c r="AA71" s="12">
        <f>ESF[[#This Row],[ap (cm)]]*ESF[[#This Row],[bp (cm)]]</f>
        <v>3600</v>
      </c>
      <c r="AB71" s="12">
        <f ca="1">IF(ESF[[#This Row],[Padm∙ε (kN)]]&gt;=ESF[[#This Row],[Padm (kN)]],ROUNDUP(1.05*ESF[[#This Row],[Nsd (kN)]]/ESF[[#This Row],[Padm (kN)]],0),ROUNDUP(1.05*ESF[[#This Row],[Nsd (kN)]]/ESF[[#This Row],[Padm (kN)]],0)+1)</f>
        <v>13</v>
      </c>
      <c r="AC71" s="4" t="str">
        <f ca="1">IFERROR(IF(ESF[[#This Row],[nE]]=1,ESF[[#This Row],[Padm (kN)]],ESF[[#This Row],[Padm (kN)]]*ESF[[#This Row],[nE]]*INDEX(grupoEstacas[],ESF[[#This Row],[nE]],MATCH("ε",grupoEstacas[#Headers],0))),"N.S.")</f>
        <v>N.S.</v>
      </c>
      <c r="AD71" s="4">
        <f ca="1">1.05*ESF[[#This Row],[Nsd (kN)]]/(ESF[[#This Row],[nE]]*PI()*ESF[[#This Row],[Ø (cm)]]^2/4)*10</f>
        <v>2.938245103234991</v>
      </c>
      <c r="AE71" s="4">
        <f ca="1">IF(ESF[[#This Row],[σ (MPa)]]&lt;INDEX(tipoEstaca[],MATCH($D$2,tipoEstaca[TIPO DE ESTACA],0),MATCH("σmáx (MPa)",tipoEstaca[#Headers],0)),0.4%*PI()*ESF[[#This Row],[Ø (cm)]]^2/4,"N.S.")</f>
        <v>3.848451000647497</v>
      </c>
      <c r="AF71" s="1">
        <f>INDEX(tipoEstaca[],MATCH($D$2,tipoEstaca[TIPO DE ESTACA],0),MATCH(ESF[[#Headers],[Comprimento (m)]],tipoEstaca[#Headers],0))</f>
        <v>2</v>
      </c>
      <c r="AG71" s="5">
        <f ca="1">ESF[[#This Row],[As,mín (cm²)]]/100^2*ESF[[#This Row],[Comprimento (m)]]*7850</f>
        <v>6.04206807101657</v>
      </c>
      <c r="AH71" s="4">
        <f ca="1">ESF[[#This Row],[nE]]*ESF[[#This Row],[Prof. (m)]]*ESF[[#This Row],[Ap (m²)]]</f>
        <v>12.507465752104361</v>
      </c>
      <c r="AI71" s="1">
        <f ca="1">IF(ESF[[#This Row],[nE]]=1,0,MAX(3*ESF[[#This Row],[Ø (cm)]],60))</f>
        <v>105</v>
      </c>
      <c r="AJ71" s="1">
        <f ca="1">IF(ESF[[#This Row],[nE]]=1,ESF[[#This Row],[Ø (cm)]]+2*10,MAX(1.5*ESF[[#This Row],[Ø (cm)]],ESF[[#This Row],[Ø (cm)]]+15))</f>
        <v>52.5</v>
      </c>
      <c r="AK71" s="1" t="str">
        <f ca="1">alturaUtil(ESF[[#This Row],[nE]],ESF[[#This Row],[Ø (cm)]],ESF[[#This Row],[e (cm)]],ESF[[#This Row],[ap,eq (cm)]])</f>
        <v>N.S.</v>
      </c>
      <c r="AL71" s="1" t="str">
        <f ca="1">IFERROR(ESF[[#This Row],[d (cm)]]+arredondarParaCimaMultiplo5cm(MAX(5,SQRT(PI())/2*ESF[[#This Row],[Ø (cm)]]/5)),"N.S.")</f>
        <v>N.S.</v>
      </c>
      <c r="AM71" s="5" t="str">
        <f ca="1">alpha(ESF[[#This Row],[nE]],ESF[[#This Row],[d (cm)]],ESF[[#This Row],[e (cm)]],ESF[[#This Row],[ap,eq (cm)]])</f>
        <v>N.S.</v>
      </c>
      <c r="AN71" s="35" t="str">
        <f ca="1">IFERROR(ESF[[#This Row],[Nsd (kN)]]/(ESF[[#This Row],[Ap (cm²)]]*SIN(ESF[[#This Row],[α]])^2),"N.S.")</f>
        <v>N.S.</v>
      </c>
      <c r="AO71" s="35" t="str">
        <f ca="1">IFERROR(ESF[[#This Row],[Nsd (kN)]]/(ESF[[#This Row],[nE]]*PI()*ESF[[#This Row],[Ø (cm)]]^2/4*SIN(ESF[[#This Row],[α]])^2),"N.S.")</f>
        <v>N.S.</v>
      </c>
      <c r="AP71" s="4" t="str">
        <f ca="1">IFERROR(INDEX(grupoEstacas[],ESF[[#This Row],[nE]],MATCH("coef. Blévot",grupoEstacas[#Headers],0)),"N.S.")</f>
        <v>N.S.</v>
      </c>
      <c r="AQ71" s="35" t="str">
        <f ca="1">IFERROR(ESF[[#This Row],[coef. Blévot]]*0.9*INDEX(tipoEstaca[],MATCH($D$2,tipoEstaca[TIPO DE ESTACA],0),MATCH("fcd (kN/cm²)",tipoEstaca[#Headers],0)),"N.S.")</f>
        <v>N.S.</v>
      </c>
      <c r="AR71" s="1" t="str">
        <f ca="1">IF(AND(ESF[[#This Row],[cd,b,pil (kN/cm²)]]&lt;=ESF[[#This Row],[cd,b,lim (kN/cm²)]],ESF[[#This Row],[cd,b,est (kN/cm²)]]&lt;=ESF[[#This Row],[cd,b,lim (kN/cm²)]]),"OK","ERRO")</f>
        <v>OK</v>
      </c>
      <c r="AS71" s="4" t="str">
        <f ca="1">As_lado(ESF[[#This Row],[nE]],ESF[[#This Row],[Nsd (kN)]],ESF[[#This Row],[d (cm)]],ESF[[#This Row],[e (cm)]],ESF[[#This Row],[ap,eq (cm)]])</f>
        <v>N.S.</v>
      </c>
      <c r="AT71" s="4" t="str">
        <f ca="1">IF(ESF[[#This Row],[nE]]=1,ESF[[#This Row],[As,lado (cm²)]],IF(ESF[[#This Row],[nE]]=2,0.075*2*ESF[a (cm)],"N.A."))</f>
        <v>N.A.</v>
      </c>
      <c r="AU71" s="4" t="str">
        <f ca="1">IFERROR(IF(ESF[[#This Row],[nE]]=1,"N.A.",0.2*ESF[[#This Row],[As,lado (cm²)]]),"N.S.")</f>
        <v>N.S.</v>
      </c>
      <c r="AV71" s="4" t="str">
        <f ca="1">As_malha(ESF[[#This Row],[nE]],ESF[[#This Row],[As,lado (cm²)]],ESF[[#This Row],[Nsd (kN)]])</f>
        <v>N.S.</v>
      </c>
      <c r="AW71" s="4" t="str">
        <f ca="1">As_susp_tot(ESF[[#This Row],[nE]],ESF[[#This Row],[Nsd (kN)]])</f>
        <v>N.S.</v>
      </c>
      <c r="AX71" s="4" t="str">
        <f ca="1">Asp_face(ESF[[#This Row],[nE]],ESF[[#This Row],[As,lado (cm²)]])</f>
        <v>N.S.</v>
      </c>
      <c r="AY71" s="5" t="str">
        <f ca="1">acoBloco(ESF[[#This Row],[nE]],ESF[[#This Row],[e (cm)]],ESF[[#This Row],[a (cm)]],ESF[[#This Row],[h (cm)]],ESF[[#This Row],[As,lado (cm²)]],ESF[[#This Row],[Asp e Asw (cm²/m)]],ESF[[#This Row],[As,sup (cm²)]],ESF[[#This Row],[As,malha (cm²)]],ESF[[#This Row],[As,susp,tot (cm²)]],ESF[[#This Row],[Asp,face (cm²)]])</f>
        <v>N.S.</v>
      </c>
      <c r="AZ71" s="4" t="str">
        <f ca="1">concretoBloco(ESF[[#This Row],[nE]],ESF[[#This Row],[e (cm)]],ESF[[#This Row],[a (cm)]],ESF[[#This Row],[h (cm)]])</f>
        <v>N.S.</v>
      </c>
      <c r="BA71" s="5">
        <f ca="1">SUM(ESF[[#This Row],[Aço Est (kg)]],ESF[[#This Row],[Aço Bloco (kg)]])</f>
        <v>6.04206807101657</v>
      </c>
      <c r="BB71" s="4">
        <f>INDEX(composicoes[],MATCH(95580,composicoes[CÓDIGO],0),MATCH("CUSTO TOTAL",composicoes[#Headers],0))</f>
        <v>10.46</v>
      </c>
      <c r="BC71" s="4">
        <f ca="1">SUM(ESF[[#This Row],[Conc Est (m³)]],ESF[[#This Row],[Conc Bloco (m³)]])</f>
        <v>12.507465752104361</v>
      </c>
      <c r="BD71" s="4">
        <f>INDEX(composicoes[],MATCH(94966,composicoes[CÓDIGO],0),MATCH("CUSTO TOTAL",composicoes[#Headers],0))</f>
        <v>439.52</v>
      </c>
      <c r="BE71" s="38">
        <f ca="1">ESF[[#This Row],[Aço (kg)]]*ESF[[#This Row],[Aço (R$/kg)]]+ESF[[#This Row],[Conc (m³)]]*ESF[[#This Row],[Conc (R$/m³)]]</f>
        <v>5560.481379387742</v>
      </c>
      <c r="BF71" s="4" t="str">
        <f ca="1">IF(COUNTIF(ESF[#This Row],"N.S.")&gt;0,"lim.","OK")</f>
        <v>lim.</v>
      </c>
      <c r="BG71" s="4" t="str">
        <f>IF(ESF[[#This Row],[Prof. (m)]]&lt;3,"lim.","OK")</f>
        <v>OK</v>
      </c>
      <c r="BH71" s="4" t="str">
        <f>IF(ESF[[#This Row],[Prof. (m)]]&gt;=8*ESF[[#This Row],[Ø (cm)]]/100,"OK","lim.")</f>
        <v>OK</v>
      </c>
      <c r="BI71" s="4" t="str">
        <f>IF(AND(SPT!$F$3&lt;&gt;"",ESF[[#This Row],[Prof. (m)]]&gt;=SPT!$F$3),"lim.","OK")</f>
        <v>OK</v>
      </c>
      <c r="BJ71" s="4" t="str">
        <f>IF(COUNTIFS(ESF[Solo],"Areia",ESF[Prof. (m)],"&lt;="&amp;ESF[[#This Row],[Prof. (m)]])&gt;=1,"lim.","OK")</f>
        <v>OK</v>
      </c>
      <c r="BK71" s="4" t="str">
        <f ca="1">IF(ESF[[#This Row],[Verif. Biela]]="OK","OK","lim.")</f>
        <v>OK</v>
      </c>
      <c r="BL71" s="4" t="str">
        <f ca="1">IF(COUNTA(ESF[[#This Row],[Nº Est.]:[Biela comp.]])=COUNTIF(ESF[[#This Row],[Nº Est.]:[Biela comp.]],"OK"),"OK","lim.")</f>
        <v>lim.</v>
      </c>
      <c r="BM71" s="4" t="str">
        <f ca="1">IF(ESF[[#This Row],[Controle]]="OK",ESF[[#This Row],[nE]]&amp;" Ø"&amp;ESF[[#This Row],[Ø (cm)]]&amp;"cm Prof. "&amp;ESF[[#This Row],[Prof. (m)]]&amp;" m","")</f>
        <v/>
      </c>
      <c r="BN71" s="4" t="str">
        <f ca="1">IF(ESF[[#This Row],[idDimensionamento]]="","",ESF[[#This Row],[idPilar]]&amp;ESF[[#This Row],[idDimensionamento]])</f>
        <v/>
      </c>
    </row>
    <row r="72" spans="2:66" x14ac:dyDescent="0.25">
      <c r="B72" s="12">
        <f>ROUNDUP((ROW(ESF[[#This Row],[idDiâmetro]])-ROW(ESF[[#Headers],[idDiâmetro]]))/(COUNT(SPT[Prof. (m)])*COUNT(PILARES[Pilar])),0)</f>
        <v>3</v>
      </c>
      <c r="C72" s="12">
        <f>IF(ESF[[#This Row],[idDiâmetro]]&lt;&gt;B71,1,IF(ESF[[#This Row],[Prof. (m)]]=0,C71+1,C71))</f>
        <v>1</v>
      </c>
      <c r="D72" s="1">
        <f>IFERROR(IF(D71=MAX(SPT[Prof. (m)]),0,D71+1),0)</f>
        <v>11</v>
      </c>
      <c r="E72" s="1">
        <f>INDEX(SPT[],MATCH(ESF[[#This Row],[Prof. (m)]],SPT[Prof. (m)],0),2)</f>
        <v>41</v>
      </c>
      <c r="F72" s="1" t="str">
        <f>INDEX(SPT[],MATCH(ESF[[#This Row],[Prof. (m)]],SPT[Prof. (m)],0),3)</f>
        <v>Areia siltosa</v>
      </c>
      <c r="G72" s="1">
        <f>INDEX(estacas[],ESF[[#This Row],[idDiâmetro]],MATCH($B$2,estacas[#Headers],0))</f>
        <v>35</v>
      </c>
      <c r="H72" s="1">
        <f>INDEX(estacas[],MATCH(ESF[[#This Row],[Ø (cm)]],estacas[Ø ESF (cm)],0),MATCH(ESF[[#Headers],[Pe ESF (kN)]],estacas[#Headers],0))</f>
        <v>490</v>
      </c>
      <c r="I72" s="4">
        <f>INDEX(K_alpha_C[],MATCH(ESF[[#This Row],[Solo]],K_alpha_C[Solo],0),2)</f>
        <v>0.8</v>
      </c>
      <c r="J72" s="5">
        <f>INDEX(K_alpha_C[],MATCH(ESF[[#This Row],[Solo]],K_alpha_C[Solo],0),3)</f>
        <v>2</v>
      </c>
      <c r="K72" s="4">
        <f>INDEX(F1_F2[],MATCH($D$2,F1_F2[Tipo de estaca],0),2)</f>
        <v>3</v>
      </c>
      <c r="L72" s="4">
        <f>INDEX(F1_F2[],MATCH($D$2,F1_F2[Tipo de estaca],0),3)</f>
        <v>6</v>
      </c>
      <c r="M72" s="4">
        <f>PI()*(ESF[[#This Row],[Ø (cm)]]/100)^2/4</f>
        <v>9.6211275016187398E-2</v>
      </c>
      <c r="N72" s="4">
        <f>PI()*ESF[[#This Row],[Ø (cm)]]/100</f>
        <v>1.0995574287564276</v>
      </c>
      <c r="O72" s="4">
        <f>IF(ESF[[#This Row],[Prof. (m)]]=0,0,ESF[[#This Row],[α (%)]]/100*ESF[[#This Row],[K (MPa)]]*1000*ESF[[#This Row],[NSPT]])</f>
        <v>656</v>
      </c>
      <c r="P72" s="4">
        <f>IF(ESF[[#This Row],[Prof. (m)]]=0,0,(ESF[[#This Row],[K (MPa)]]*1000*ESF[[#This Row],[NSPT]]/ESF[[#This Row],[F1]]*ESF[[#This Row],[Ap (m²)]]+ESF[[#This Row],[U (m)]]/ESF[[#This Row],[F2]]*SUMIFS(ESF[(α∙K∙NL∙ΔL)],ESF[Prof. (m)],"&lt;="&amp;ESF[[#This Row],[Prof. (m)]],ESF[idDiâmetro],ESF[[#This Row],[idDiâmetro]],ESF[idPilar],ESF[[#This Row],[idPilar]]))/'DADOS CAP. CARGA'!$D$2)</f>
        <v>762.71717343546891</v>
      </c>
      <c r="Q72" s="12">
        <f>INDEX(C_alpha_beta[],MATCH(ESF[[#This Row],[Solo]],C_alpha_beta[Solo],0),MATCH(ESF[[#Headers],[C (kPa)]],C_alpha_beta[#Headers],0))</f>
        <v>400</v>
      </c>
      <c r="R72" s="4">
        <f>INDEX(C_alpha_beta[],MATCH(ESF[[#This Row],[Solo]],C_alpha_beta[Solo],0),MATCH(ESF[[#Headers],[α ESF]],C_alpha_beta[#Headers],0))</f>
        <v>0.5</v>
      </c>
      <c r="S72" s="4">
        <f>INDEX(C_alpha_beta[],MATCH(ESF[[#This Row],[Solo]],C_alpha_beta[Solo],0),MATCH(ESF[[#Headers],[β ESF]],C_alpha_beta[#Headers],0))</f>
        <v>0.5</v>
      </c>
      <c r="T72" s="4">
        <f>IF(ESF[[#This Row],[Prof. (m)]]=0,0,10*(ESF[[#This Row],[NSPT]]/3+1))</f>
        <v>146.66666666666666</v>
      </c>
      <c r="U72" s="4">
        <f>(ESF[[#This Row],[α ESF]]*ESF[[#This Row],[C (kPa)]]*ESF[[#This Row],[NSPT]]*ESF[[#This Row],[Ap (m²)]])/'DADOS CAP. CARGA'!$Q$2+(ESF[[#This Row],[β ESF]]*SUMIFS(ESF[10∙(NL/3+1)],ESF[Prof. (m)],"&lt;="&amp;ESF[[#This Row],[Prof. (m)]],ESF[idDiâmetro],ESF[[#This Row],[idDiâmetro]],ESF[idPilar],ESF[[#This Row],[idPilar]])*ESF[[#This Row],[U (m)]])/'DADOS CAP. CARGA'!$S$2</f>
        <v>384.15787667177682</v>
      </c>
      <c r="V72" s="4">
        <f>IF(SPT!$M$5=1,MIN(ESF[[#This Row],[Pe ESF (kN)]],ESF[[#This Row],[R_AV (kN)]]),IF(SPT!$M$5=2,MIN(ESF[[#This Row],[Pe ESF (kN)]],ESF[[#This Row],[R_DC (kN)]]),MIN(ESF[[#This Row],[Pe ESF (kN)]],ESF[[#This Row],[R_AV (kN)]],ESF[[#This Row],[R_DC (kN)]])))</f>
        <v>384.15787667177682</v>
      </c>
      <c r="W72" s="4">
        <f>INDEX(PILARES[],ESF[[#This Row],[idPilar]],MATCH("Carga (kN)",PILARES[#Headers],0))*1.4</f>
        <v>3500</v>
      </c>
      <c r="X72" s="12">
        <f>INDEX(PILARES[],ESF[[#This Row],[idPilar]],MATCH(ESF[[#Headers],[ap (cm)]],PILARES[#Headers],0))</f>
        <v>60</v>
      </c>
      <c r="Y72" s="12">
        <f>INDEX(PILARES[],ESF[[#This Row],[idPilar]],MATCH(ESF[[#Headers],[bp (cm)]],PILARES[#Headers],0))</f>
        <v>60</v>
      </c>
      <c r="Z72" s="4">
        <f>SQRT(ESF[[#This Row],[ap (cm)]]*ESF[[#This Row],[bp (cm)]])</f>
        <v>60</v>
      </c>
      <c r="AA72" s="12">
        <f>ESF[[#This Row],[ap (cm)]]*ESF[[#This Row],[bp (cm)]]</f>
        <v>3600</v>
      </c>
      <c r="AB72" s="12">
        <f ca="1">IF(ESF[[#This Row],[Padm∙ε (kN)]]&gt;=ESF[[#This Row],[Padm (kN)]],ROUNDUP(1.05*ESF[[#This Row],[Nsd (kN)]]/ESF[[#This Row],[Padm (kN)]],0),ROUNDUP(1.05*ESF[[#This Row],[Nsd (kN)]]/ESF[[#This Row],[Padm (kN)]],0)+1)</f>
        <v>10</v>
      </c>
      <c r="AC72" s="4" t="str">
        <f ca="1">IFERROR(IF(ESF[[#This Row],[nE]]=1,ESF[[#This Row],[Padm (kN)]],ESF[[#This Row],[Padm (kN)]]*ESF[[#This Row],[nE]]*INDEX(grupoEstacas[],ESF[[#This Row],[nE]],MATCH("ε",grupoEstacas[#Headers],0))),"N.S.")</f>
        <v>N.S.</v>
      </c>
      <c r="AD72" s="4">
        <f ca="1">1.05*ESF[[#This Row],[Nsd (kN)]]/(ESF[[#This Row],[nE]]*PI()*ESF[[#This Row],[Ø (cm)]]^2/4)*10</f>
        <v>3.8197186342054885</v>
      </c>
      <c r="AE72" s="4">
        <f ca="1">IF(ESF[[#This Row],[σ (MPa)]]&lt;INDEX(tipoEstaca[],MATCH($D$2,tipoEstaca[TIPO DE ESTACA],0),MATCH("σmáx (MPa)",tipoEstaca[#Headers],0)),0.4%*PI()*ESF[[#This Row],[Ø (cm)]]^2/4,"N.S.")</f>
        <v>3.848451000647497</v>
      </c>
      <c r="AF72" s="1">
        <f>INDEX(tipoEstaca[],MATCH($D$2,tipoEstaca[TIPO DE ESTACA],0),MATCH(ESF[[#Headers],[Comprimento (m)]],tipoEstaca[#Headers],0))</f>
        <v>2</v>
      </c>
      <c r="AG72" s="5">
        <f ca="1">ESF[[#This Row],[As,mín (cm²)]]/100^2*ESF[[#This Row],[Comprimento (m)]]*7850</f>
        <v>6.04206807101657</v>
      </c>
      <c r="AH72" s="4">
        <f ca="1">ESF[[#This Row],[nE]]*ESF[[#This Row],[Prof. (m)]]*ESF[[#This Row],[Ap (m²)]]</f>
        <v>10.583240251780614</v>
      </c>
      <c r="AI72" s="1">
        <f ca="1">IF(ESF[[#This Row],[nE]]=1,0,MAX(3*ESF[[#This Row],[Ø (cm)]],60))</f>
        <v>105</v>
      </c>
      <c r="AJ72" s="1">
        <f ca="1">IF(ESF[[#This Row],[nE]]=1,ESF[[#This Row],[Ø (cm)]]+2*10,MAX(1.5*ESF[[#This Row],[Ø (cm)]],ESF[[#This Row],[Ø (cm)]]+15))</f>
        <v>52.5</v>
      </c>
      <c r="AK72" s="1" t="str">
        <f ca="1">alturaUtil(ESF[[#This Row],[nE]],ESF[[#This Row],[Ø (cm)]],ESF[[#This Row],[e (cm)]],ESF[[#This Row],[ap,eq (cm)]])</f>
        <v>N.S.</v>
      </c>
      <c r="AL72" s="1" t="str">
        <f ca="1">IFERROR(ESF[[#This Row],[d (cm)]]+arredondarParaCimaMultiplo5cm(MAX(5,SQRT(PI())/2*ESF[[#This Row],[Ø (cm)]]/5)),"N.S.")</f>
        <v>N.S.</v>
      </c>
      <c r="AM72" s="5" t="str">
        <f ca="1">alpha(ESF[[#This Row],[nE]],ESF[[#This Row],[d (cm)]],ESF[[#This Row],[e (cm)]],ESF[[#This Row],[ap,eq (cm)]])</f>
        <v>N.S.</v>
      </c>
      <c r="AN72" s="35" t="str">
        <f ca="1">IFERROR(ESF[[#This Row],[Nsd (kN)]]/(ESF[[#This Row],[Ap (cm²)]]*SIN(ESF[[#This Row],[α]])^2),"N.S.")</f>
        <v>N.S.</v>
      </c>
      <c r="AO72" s="35" t="str">
        <f ca="1">IFERROR(ESF[[#This Row],[Nsd (kN)]]/(ESF[[#This Row],[nE]]*PI()*ESF[[#This Row],[Ø (cm)]]^2/4*SIN(ESF[[#This Row],[α]])^2),"N.S.")</f>
        <v>N.S.</v>
      </c>
      <c r="AP72" s="4" t="str">
        <f ca="1">IFERROR(INDEX(grupoEstacas[],ESF[[#This Row],[nE]],MATCH("coef. Blévot",grupoEstacas[#Headers],0)),"N.S.")</f>
        <v>N.S.</v>
      </c>
      <c r="AQ72" s="35" t="str">
        <f ca="1">IFERROR(ESF[[#This Row],[coef. Blévot]]*0.9*INDEX(tipoEstaca[],MATCH($D$2,tipoEstaca[TIPO DE ESTACA],0),MATCH("fcd (kN/cm²)",tipoEstaca[#Headers],0)),"N.S.")</f>
        <v>N.S.</v>
      </c>
      <c r="AR72" s="1" t="str">
        <f ca="1">IF(AND(ESF[[#This Row],[cd,b,pil (kN/cm²)]]&lt;=ESF[[#This Row],[cd,b,lim (kN/cm²)]],ESF[[#This Row],[cd,b,est (kN/cm²)]]&lt;=ESF[[#This Row],[cd,b,lim (kN/cm²)]]),"OK","ERRO")</f>
        <v>OK</v>
      </c>
      <c r="AS72" s="4" t="str">
        <f ca="1">As_lado(ESF[[#This Row],[nE]],ESF[[#This Row],[Nsd (kN)]],ESF[[#This Row],[d (cm)]],ESF[[#This Row],[e (cm)]],ESF[[#This Row],[ap,eq (cm)]])</f>
        <v>N.S.</v>
      </c>
      <c r="AT72" s="4" t="str">
        <f ca="1">IF(ESF[[#This Row],[nE]]=1,ESF[[#This Row],[As,lado (cm²)]],IF(ESF[[#This Row],[nE]]=2,0.075*2*ESF[a (cm)],"N.A."))</f>
        <v>N.A.</v>
      </c>
      <c r="AU72" s="4" t="str">
        <f ca="1">IFERROR(IF(ESF[[#This Row],[nE]]=1,"N.A.",0.2*ESF[[#This Row],[As,lado (cm²)]]),"N.S.")</f>
        <v>N.S.</v>
      </c>
      <c r="AV72" s="4" t="str">
        <f ca="1">As_malha(ESF[[#This Row],[nE]],ESF[[#This Row],[As,lado (cm²)]],ESF[[#This Row],[Nsd (kN)]])</f>
        <v>N.S.</v>
      </c>
      <c r="AW72" s="4" t="str">
        <f ca="1">As_susp_tot(ESF[[#This Row],[nE]],ESF[[#This Row],[Nsd (kN)]])</f>
        <v>N.S.</v>
      </c>
      <c r="AX72" s="4" t="str">
        <f ca="1">Asp_face(ESF[[#This Row],[nE]],ESF[[#This Row],[As,lado (cm²)]])</f>
        <v>N.S.</v>
      </c>
      <c r="AY72" s="5" t="str">
        <f ca="1">acoBloco(ESF[[#This Row],[nE]],ESF[[#This Row],[e (cm)]],ESF[[#This Row],[a (cm)]],ESF[[#This Row],[h (cm)]],ESF[[#This Row],[As,lado (cm²)]],ESF[[#This Row],[Asp e Asw (cm²/m)]],ESF[[#This Row],[As,sup (cm²)]],ESF[[#This Row],[As,malha (cm²)]],ESF[[#This Row],[As,susp,tot (cm²)]],ESF[[#This Row],[Asp,face (cm²)]])</f>
        <v>N.S.</v>
      </c>
      <c r="AZ72" s="4" t="str">
        <f ca="1">concretoBloco(ESF[[#This Row],[nE]],ESF[[#This Row],[e (cm)]],ESF[[#This Row],[a (cm)]],ESF[[#This Row],[h (cm)]])</f>
        <v>N.S.</v>
      </c>
      <c r="BA72" s="5">
        <f ca="1">SUM(ESF[[#This Row],[Aço Est (kg)]],ESF[[#This Row],[Aço Bloco (kg)]])</f>
        <v>6.04206807101657</v>
      </c>
      <c r="BB72" s="4">
        <f>INDEX(composicoes[],MATCH(95580,composicoes[CÓDIGO],0),MATCH("CUSTO TOTAL",composicoes[#Headers],0))</f>
        <v>10.46</v>
      </c>
      <c r="BC72" s="4">
        <f ca="1">SUM(ESF[[#This Row],[Conc Est (m³)]],ESF[[#This Row],[Conc Bloco (m³)]])</f>
        <v>10.583240251780614</v>
      </c>
      <c r="BD72" s="4">
        <f>INDEX(composicoes[],MATCH(94966,composicoes[CÓDIGO],0),MATCH("CUSTO TOTAL",composicoes[#Headers],0))</f>
        <v>439.52</v>
      </c>
      <c r="BE72" s="38">
        <f ca="1">ESF[[#This Row],[Aço (kg)]]*ESF[[#This Row],[Aço (R$/kg)]]+ESF[[#This Row],[Conc (m³)]]*ESF[[#This Row],[Conc (R$/m³)]]</f>
        <v>4714.745787485449</v>
      </c>
      <c r="BF72" s="4" t="str">
        <f ca="1">IF(COUNTIF(ESF[#This Row],"N.S.")&gt;0,"lim.","OK")</f>
        <v>lim.</v>
      </c>
      <c r="BG72" s="4" t="str">
        <f>IF(ESF[[#This Row],[Prof. (m)]]&lt;3,"lim.","OK")</f>
        <v>OK</v>
      </c>
      <c r="BH72" s="4" t="str">
        <f>IF(ESF[[#This Row],[Prof. (m)]]&gt;=8*ESF[[#This Row],[Ø (cm)]]/100,"OK","lim.")</f>
        <v>OK</v>
      </c>
      <c r="BI72" s="4" t="str">
        <f>IF(AND(SPT!$F$3&lt;&gt;"",ESF[[#This Row],[Prof. (m)]]&gt;=SPT!$F$3),"lim.","OK")</f>
        <v>OK</v>
      </c>
      <c r="BJ72" s="4" t="str">
        <f>IF(COUNTIFS(ESF[Solo],"Areia",ESF[Prof. (m)],"&lt;="&amp;ESF[[#This Row],[Prof. (m)]])&gt;=1,"lim.","OK")</f>
        <v>OK</v>
      </c>
      <c r="BK72" s="4" t="str">
        <f ca="1">IF(ESF[[#This Row],[Verif. Biela]]="OK","OK","lim.")</f>
        <v>OK</v>
      </c>
      <c r="BL72" s="4" t="str">
        <f ca="1">IF(COUNTA(ESF[[#This Row],[Nº Est.]:[Biela comp.]])=COUNTIF(ESF[[#This Row],[Nº Est.]:[Biela comp.]],"OK"),"OK","lim.")</f>
        <v>lim.</v>
      </c>
      <c r="BM72" s="4" t="str">
        <f ca="1">IF(ESF[[#This Row],[Controle]]="OK",ESF[[#This Row],[nE]]&amp;" Ø"&amp;ESF[[#This Row],[Ø (cm)]]&amp;"cm Prof. "&amp;ESF[[#This Row],[Prof. (m)]]&amp;" m","")</f>
        <v/>
      </c>
      <c r="BN72" s="4" t="str">
        <f ca="1">IF(ESF[[#This Row],[idDimensionamento]]="","",ESF[[#This Row],[idPilar]]&amp;ESF[[#This Row],[idDimensionamento]])</f>
        <v/>
      </c>
    </row>
    <row r="73" spans="2:66" x14ac:dyDescent="0.25">
      <c r="B73" s="12">
        <f>ROUNDUP((ROW(ESF[[#This Row],[idDiâmetro]])-ROW(ESF[[#Headers],[idDiâmetro]]))/(COUNT(SPT[Prof. (m)])*COUNT(PILARES[Pilar])),0)</f>
        <v>3</v>
      </c>
      <c r="C73" s="12">
        <f>IF(ESF[[#This Row],[idDiâmetro]]&lt;&gt;B72,1,IF(ESF[[#This Row],[Prof. (m)]]=0,C72+1,C72))</f>
        <v>1</v>
      </c>
      <c r="D73" s="1">
        <f>IFERROR(IF(D72=MAX(SPT[Prof. (m)]),0,D72+1),0)</f>
        <v>12</v>
      </c>
      <c r="E73" s="1">
        <f>INDEX(SPT[],MATCH(ESF[[#This Row],[Prof. (m)]],SPT[Prof. (m)],0),2)</f>
        <v>52</v>
      </c>
      <c r="F73" s="1" t="str">
        <f>INDEX(SPT[],MATCH(ESF[[#This Row],[Prof. (m)]],SPT[Prof. (m)],0),3)</f>
        <v>Areia siltosa</v>
      </c>
      <c r="G73" s="1">
        <f>INDEX(estacas[],ESF[[#This Row],[idDiâmetro]],MATCH($B$2,estacas[#Headers],0))</f>
        <v>35</v>
      </c>
      <c r="H73" s="1">
        <f>INDEX(estacas[],MATCH(ESF[[#This Row],[Ø (cm)]],estacas[Ø ESF (cm)],0),MATCH(ESF[[#Headers],[Pe ESF (kN)]],estacas[#Headers],0))</f>
        <v>490</v>
      </c>
      <c r="I73" s="4">
        <f>INDEX(K_alpha_C[],MATCH(ESF[[#This Row],[Solo]],K_alpha_C[Solo],0),2)</f>
        <v>0.8</v>
      </c>
      <c r="J73" s="5">
        <f>INDEX(K_alpha_C[],MATCH(ESF[[#This Row],[Solo]],K_alpha_C[Solo],0),3)</f>
        <v>2</v>
      </c>
      <c r="K73" s="4">
        <f>INDEX(F1_F2[],MATCH($D$2,F1_F2[Tipo de estaca],0),2)</f>
        <v>3</v>
      </c>
      <c r="L73" s="4">
        <f>INDEX(F1_F2[],MATCH($D$2,F1_F2[Tipo de estaca],0),3)</f>
        <v>6</v>
      </c>
      <c r="M73" s="4">
        <f>PI()*(ESF[[#This Row],[Ø (cm)]]/100)^2/4</f>
        <v>9.6211275016187398E-2</v>
      </c>
      <c r="N73" s="4">
        <f>PI()*ESF[[#This Row],[Ø (cm)]]/100</f>
        <v>1.0995574287564276</v>
      </c>
      <c r="O73" s="4">
        <f>IF(ESF[[#This Row],[Prof. (m)]]=0,0,ESF[[#This Row],[α (%)]]/100*ESF[[#This Row],[K (MPa)]]*1000*ESF[[#This Row],[NSPT]])</f>
        <v>832</v>
      </c>
      <c r="P73" s="4">
        <f>IF(ESF[[#This Row],[Prof. (m)]]=0,0,(ESF[[#This Row],[K (MPa)]]*1000*ESF[[#This Row],[NSPT]]/ESF[[#This Row],[F1]]*ESF[[#This Row],[Ap (m²)]]+ESF[[#This Row],[U (m)]]/ESF[[#This Row],[F2]]*SUMIFS(ESF[(α∙K∙NL∙ΔL)],ESF[Prof. (m)],"&lt;="&amp;ESF[[#This Row],[Prof. (m)]],ESF[idDiâmetro],ESF[[#This Row],[idDiâmetro]],ESF[idPilar],ESF[[#This Row],[idPilar]]))/'DADOS CAP. CARGA'!$D$2)</f>
        <v>980.06302518632265</v>
      </c>
      <c r="Q73" s="12">
        <f>INDEX(C_alpha_beta[],MATCH(ESF[[#This Row],[Solo]],C_alpha_beta[Solo],0),MATCH(ESF[[#Headers],[C (kPa)]],C_alpha_beta[#Headers],0))</f>
        <v>400</v>
      </c>
      <c r="R73" s="4">
        <f>INDEX(C_alpha_beta[],MATCH(ESF[[#This Row],[Solo]],C_alpha_beta[Solo],0),MATCH(ESF[[#Headers],[α ESF]],C_alpha_beta[#Headers],0))</f>
        <v>0.5</v>
      </c>
      <c r="S73" s="4">
        <f>INDEX(C_alpha_beta[],MATCH(ESF[[#This Row],[Solo]],C_alpha_beta[Solo],0),MATCH(ESF[[#Headers],[β ESF]],C_alpha_beta[#Headers],0))</f>
        <v>0.5</v>
      </c>
      <c r="T73" s="4">
        <f>IF(ESF[[#This Row],[Prof. (m)]]=0,0,10*(ESF[[#This Row],[NSPT]]/3+1))</f>
        <v>183.33333333333331</v>
      </c>
      <c r="U73" s="4">
        <f>(ESF[[#This Row],[α ESF]]*ESF[[#This Row],[C (kPa)]]*ESF[[#This Row],[NSPT]]*ESF[[#This Row],[Ap (m²)]])/'DADOS CAP. CARGA'!$Q$2+(ESF[[#This Row],[β ESF]]*SUMIFS(ESF[10∙(NL/3+1)],ESF[Prof. (m)],"&lt;="&amp;ESF[[#This Row],[Prof. (m)]],ESF[idDiâmetro],ESF[[#This Row],[idDiâmetro]],ESF[idPilar],ESF[[#This Row],[idPilar]])*ESF[[#This Row],[U (m)]])/'DADOS CAP. CARGA'!$S$2</f>
        <v>487.47046008201619</v>
      </c>
      <c r="V73" s="4">
        <f>IF(SPT!$M$5=1,MIN(ESF[[#This Row],[Pe ESF (kN)]],ESF[[#This Row],[R_AV (kN)]]),IF(SPT!$M$5=2,MIN(ESF[[#This Row],[Pe ESF (kN)]],ESF[[#This Row],[R_DC (kN)]]),MIN(ESF[[#This Row],[Pe ESF (kN)]],ESF[[#This Row],[R_AV (kN)]],ESF[[#This Row],[R_DC (kN)]])))</f>
        <v>487.47046008201619</v>
      </c>
      <c r="W73" s="4">
        <f>INDEX(PILARES[],ESF[[#This Row],[idPilar]],MATCH("Carga (kN)",PILARES[#Headers],0))*1.4</f>
        <v>3500</v>
      </c>
      <c r="X73" s="12">
        <f>INDEX(PILARES[],ESF[[#This Row],[idPilar]],MATCH(ESF[[#Headers],[ap (cm)]],PILARES[#Headers],0))</f>
        <v>60</v>
      </c>
      <c r="Y73" s="12">
        <f>INDEX(PILARES[],ESF[[#This Row],[idPilar]],MATCH(ESF[[#Headers],[bp (cm)]],PILARES[#Headers],0))</f>
        <v>60</v>
      </c>
      <c r="Z73" s="4">
        <f>SQRT(ESF[[#This Row],[ap (cm)]]*ESF[[#This Row],[bp (cm)]])</f>
        <v>60</v>
      </c>
      <c r="AA73" s="12">
        <f>ESF[[#This Row],[ap (cm)]]*ESF[[#This Row],[bp (cm)]]</f>
        <v>3600</v>
      </c>
      <c r="AB73" s="12">
        <f ca="1">IF(ESF[[#This Row],[Padm∙ε (kN)]]&gt;=ESF[[#This Row],[Padm (kN)]],ROUNDUP(1.05*ESF[[#This Row],[Nsd (kN)]]/ESF[[#This Row],[Padm (kN)]],0),ROUNDUP(1.05*ESF[[#This Row],[Nsd (kN)]]/ESF[[#This Row],[Padm (kN)]],0)+1)</f>
        <v>8</v>
      </c>
      <c r="AC73" s="4" t="str">
        <f ca="1">IFERROR(IF(ESF[[#This Row],[nE]]=1,ESF[[#This Row],[Padm (kN)]],ESF[[#This Row],[Padm (kN)]]*ESF[[#This Row],[nE]]*INDEX(grupoEstacas[],ESF[[#This Row],[nE]],MATCH("ε",grupoEstacas[#Headers],0))),"N.S.")</f>
        <v>N.S.</v>
      </c>
      <c r="AD73" s="4">
        <f ca="1">1.05*ESF[[#This Row],[Nsd (kN)]]/(ESF[[#This Row],[nE]]*PI()*ESF[[#This Row],[Ø (cm)]]^2/4)*10</f>
        <v>4.7746482927568596</v>
      </c>
      <c r="AE73" s="4">
        <f ca="1">IF(ESF[[#This Row],[σ (MPa)]]&lt;INDEX(tipoEstaca[],MATCH($D$2,tipoEstaca[TIPO DE ESTACA],0),MATCH("σmáx (MPa)",tipoEstaca[#Headers],0)),0.4%*PI()*ESF[[#This Row],[Ø (cm)]]^2/4,"N.S.")</f>
        <v>3.848451000647497</v>
      </c>
      <c r="AF73" s="1">
        <f>INDEX(tipoEstaca[],MATCH($D$2,tipoEstaca[TIPO DE ESTACA],0),MATCH(ESF[[#Headers],[Comprimento (m)]],tipoEstaca[#Headers],0))</f>
        <v>2</v>
      </c>
      <c r="AG73" s="5">
        <f ca="1">ESF[[#This Row],[As,mín (cm²)]]/100^2*ESF[[#This Row],[Comprimento (m)]]*7850</f>
        <v>6.04206807101657</v>
      </c>
      <c r="AH73" s="4">
        <f ca="1">ESF[[#This Row],[nE]]*ESF[[#This Row],[Prof. (m)]]*ESF[[#This Row],[Ap (m²)]]</f>
        <v>9.2362824015539893</v>
      </c>
      <c r="AI73" s="1">
        <f ca="1">IF(ESF[[#This Row],[nE]]=1,0,MAX(3*ESF[[#This Row],[Ø (cm)]],60))</f>
        <v>105</v>
      </c>
      <c r="AJ73" s="1">
        <f ca="1">IF(ESF[[#This Row],[nE]]=1,ESF[[#This Row],[Ø (cm)]]+2*10,MAX(1.5*ESF[[#This Row],[Ø (cm)]],ESF[[#This Row],[Ø (cm)]]+15))</f>
        <v>52.5</v>
      </c>
      <c r="AK73" s="1" t="str">
        <f ca="1">alturaUtil(ESF[[#This Row],[nE]],ESF[[#This Row],[Ø (cm)]],ESF[[#This Row],[e (cm)]],ESF[[#This Row],[ap,eq (cm)]])</f>
        <v>N.S.</v>
      </c>
      <c r="AL73" s="1" t="str">
        <f ca="1">IFERROR(ESF[[#This Row],[d (cm)]]+arredondarParaCimaMultiplo5cm(MAX(5,SQRT(PI())/2*ESF[[#This Row],[Ø (cm)]]/5)),"N.S.")</f>
        <v>N.S.</v>
      </c>
      <c r="AM73" s="5" t="str">
        <f ca="1">alpha(ESF[[#This Row],[nE]],ESF[[#This Row],[d (cm)]],ESF[[#This Row],[e (cm)]],ESF[[#This Row],[ap,eq (cm)]])</f>
        <v>N.S.</v>
      </c>
      <c r="AN73" s="35" t="str">
        <f ca="1">IFERROR(ESF[[#This Row],[Nsd (kN)]]/(ESF[[#This Row],[Ap (cm²)]]*SIN(ESF[[#This Row],[α]])^2),"N.S.")</f>
        <v>N.S.</v>
      </c>
      <c r="AO73" s="35" t="str">
        <f ca="1">IFERROR(ESF[[#This Row],[Nsd (kN)]]/(ESF[[#This Row],[nE]]*PI()*ESF[[#This Row],[Ø (cm)]]^2/4*SIN(ESF[[#This Row],[α]])^2),"N.S.")</f>
        <v>N.S.</v>
      </c>
      <c r="AP73" s="4" t="str">
        <f ca="1">IFERROR(INDEX(grupoEstacas[],ESF[[#This Row],[nE]],MATCH("coef. Blévot",grupoEstacas[#Headers],0)),"N.S.")</f>
        <v>N.S.</v>
      </c>
      <c r="AQ73" s="35" t="str">
        <f ca="1">IFERROR(ESF[[#This Row],[coef. Blévot]]*0.9*INDEX(tipoEstaca[],MATCH($D$2,tipoEstaca[TIPO DE ESTACA],0),MATCH("fcd (kN/cm²)",tipoEstaca[#Headers],0)),"N.S.")</f>
        <v>N.S.</v>
      </c>
      <c r="AR73" s="1" t="str">
        <f ca="1">IF(AND(ESF[[#This Row],[cd,b,pil (kN/cm²)]]&lt;=ESF[[#This Row],[cd,b,lim (kN/cm²)]],ESF[[#This Row],[cd,b,est (kN/cm²)]]&lt;=ESF[[#This Row],[cd,b,lim (kN/cm²)]]),"OK","ERRO")</f>
        <v>OK</v>
      </c>
      <c r="AS73" s="4" t="str">
        <f ca="1">As_lado(ESF[[#This Row],[nE]],ESF[[#This Row],[Nsd (kN)]],ESF[[#This Row],[d (cm)]],ESF[[#This Row],[e (cm)]],ESF[[#This Row],[ap,eq (cm)]])</f>
        <v>N.S.</v>
      </c>
      <c r="AT73" s="4" t="str">
        <f ca="1">IF(ESF[[#This Row],[nE]]=1,ESF[[#This Row],[As,lado (cm²)]],IF(ESF[[#This Row],[nE]]=2,0.075*2*ESF[a (cm)],"N.A."))</f>
        <v>N.A.</v>
      </c>
      <c r="AU73" s="4" t="str">
        <f ca="1">IFERROR(IF(ESF[[#This Row],[nE]]=1,"N.A.",0.2*ESF[[#This Row],[As,lado (cm²)]]),"N.S.")</f>
        <v>N.S.</v>
      </c>
      <c r="AV73" s="4" t="str">
        <f ca="1">As_malha(ESF[[#This Row],[nE]],ESF[[#This Row],[As,lado (cm²)]],ESF[[#This Row],[Nsd (kN)]])</f>
        <v>N.S.</v>
      </c>
      <c r="AW73" s="4" t="str">
        <f ca="1">As_susp_tot(ESF[[#This Row],[nE]],ESF[[#This Row],[Nsd (kN)]])</f>
        <v>N.S.</v>
      </c>
      <c r="AX73" s="4" t="str">
        <f ca="1">Asp_face(ESF[[#This Row],[nE]],ESF[[#This Row],[As,lado (cm²)]])</f>
        <v>N.S.</v>
      </c>
      <c r="AY73" s="5" t="str">
        <f ca="1">acoBloco(ESF[[#This Row],[nE]],ESF[[#This Row],[e (cm)]],ESF[[#This Row],[a (cm)]],ESF[[#This Row],[h (cm)]],ESF[[#This Row],[As,lado (cm²)]],ESF[[#This Row],[Asp e Asw (cm²/m)]],ESF[[#This Row],[As,sup (cm²)]],ESF[[#This Row],[As,malha (cm²)]],ESF[[#This Row],[As,susp,tot (cm²)]],ESF[[#This Row],[Asp,face (cm²)]])</f>
        <v>N.S.</v>
      </c>
      <c r="AZ73" s="4" t="str">
        <f ca="1">concretoBloco(ESF[[#This Row],[nE]],ESF[[#This Row],[e (cm)]],ESF[[#This Row],[a (cm)]],ESF[[#This Row],[h (cm)]])</f>
        <v>N.S.</v>
      </c>
      <c r="BA73" s="5">
        <f ca="1">SUM(ESF[[#This Row],[Aço Est (kg)]],ESF[[#This Row],[Aço Bloco (kg)]])</f>
        <v>6.04206807101657</v>
      </c>
      <c r="BB73" s="4">
        <f>INDEX(composicoes[],MATCH(95580,composicoes[CÓDIGO],0),MATCH("CUSTO TOTAL",composicoes[#Headers],0))</f>
        <v>10.46</v>
      </c>
      <c r="BC73" s="4">
        <f ca="1">SUM(ESF[[#This Row],[Conc Est (m³)]],ESF[[#This Row],[Conc Bloco (m³)]])</f>
        <v>9.2362824015539893</v>
      </c>
      <c r="BD73" s="4">
        <f>INDEX(composicoes[],MATCH(94966,composicoes[CÓDIGO],0),MATCH("CUSTO TOTAL",composicoes[#Headers],0))</f>
        <v>439.52</v>
      </c>
      <c r="BE73" s="38">
        <f ca="1">ESF[[#This Row],[Aço (kg)]]*ESF[[#This Row],[Aço (R$/kg)]]+ESF[[#This Row],[Conc (m³)]]*ESF[[#This Row],[Conc (R$/m³)]]</f>
        <v>4122.7308731538424</v>
      </c>
      <c r="BF73" s="4" t="str">
        <f ca="1">IF(COUNTIF(ESF[#This Row],"N.S.")&gt;0,"lim.","OK")</f>
        <v>lim.</v>
      </c>
      <c r="BG73" s="4" t="str">
        <f>IF(ESF[[#This Row],[Prof. (m)]]&lt;3,"lim.","OK")</f>
        <v>OK</v>
      </c>
      <c r="BH73" s="4" t="str">
        <f>IF(ESF[[#This Row],[Prof. (m)]]&gt;=8*ESF[[#This Row],[Ø (cm)]]/100,"OK","lim.")</f>
        <v>OK</v>
      </c>
      <c r="BI73" s="4" t="str">
        <f>IF(AND(SPT!$F$3&lt;&gt;"",ESF[[#This Row],[Prof. (m)]]&gt;=SPT!$F$3),"lim.","OK")</f>
        <v>OK</v>
      </c>
      <c r="BJ73" s="4" t="str">
        <f>IF(COUNTIFS(ESF[Solo],"Areia",ESF[Prof. (m)],"&lt;="&amp;ESF[[#This Row],[Prof. (m)]])&gt;=1,"lim.","OK")</f>
        <v>OK</v>
      </c>
      <c r="BK73" s="4" t="str">
        <f ca="1">IF(ESF[[#This Row],[Verif. Biela]]="OK","OK","lim.")</f>
        <v>OK</v>
      </c>
      <c r="BL73" s="4" t="str">
        <f ca="1">IF(COUNTA(ESF[[#This Row],[Nº Est.]:[Biela comp.]])=COUNTIF(ESF[[#This Row],[Nº Est.]:[Biela comp.]],"OK"),"OK","lim.")</f>
        <v>lim.</v>
      </c>
      <c r="BM73" s="4" t="str">
        <f ca="1">IF(ESF[[#This Row],[Controle]]="OK",ESF[[#This Row],[nE]]&amp;" Ø"&amp;ESF[[#This Row],[Ø (cm)]]&amp;"cm Prof. "&amp;ESF[[#This Row],[Prof. (m)]]&amp;" m","")</f>
        <v/>
      </c>
      <c r="BN73" s="4" t="str">
        <f ca="1">IF(ESF[[#This Row],[idDimensionamento]]="","",ESF[[#This Row],[idPilar]]&amp;ESF[[#This Row],[idDimensionamento]])</f>
        <v/>
      </c>
    </row>
    <row r="74" spans="2:66" x14ac:dyDescent="0.25">
      <c r="B74" s="12">
        <f>ROUNDUP((ROW(ESF[[#This Row],[idDiâmetro]])-ROW(ESF[[#Headers],[idDiâmetro]]))/(COUNT(SPT[Prof. (m)])*COUNT(PILARES[Pilar])),0)</f>
        <v>3</v>
      </c>
      <c r="C74" s="12">
        <f>IF(ESF[[#This Row],[idDiâmetro]]&lt;&gt;B73,1,IF(ESF[[#This Row],[Prof. (m)]]=0,C73+1,C73))</f>
        <v>1</v>
      </c>
      <c r="D74" s="1">
        <f>IFERROR(IF(D73=MAX(SPT[Prof. (m)]),0,D73+1),0)</f>
        <v>13</v>
      </c>
      <c r="E74" s="1">
        <f>INDEX(SPT[],MATCH(ESF[[#This Row],[Prof. (m)]],SPT[Prof. (m)],0),2)</f>
        <v>68</v>
      </c>
      <c r="F74" s="1" t="str">
        <f>INDEX(SPT[],MATCH(ESF[[#This Row],[Prof. (m)]],SPT[Prof. (m)],0),3)</f>
        <v>Areia siltosa</v>
      </c>
      <c r="G74" s="1">
        <f>INDEX(estacas[],ESF[[#This Row],[idDiâmetro]],MATCH($B$2,estacas[#Headers],0))</f>
        <v>35</v>
      </c>
      <c r="H74" s="1">
        <f>INDEX(estacas[],MATCH(ESF[[#This Row],[Ø (cm)]],estacas[Ø ESF (cm)],0),MATCH(ESF[[#Headers],[Pe ESF (kN)]],estacas[#Headers],0))</f>
        <v>490</v>
      </c>
      <c r="I74" s="4">
        <f>INDEX(K_alpha_C[],MATCH(ESF[[#This Row],[Solo]],K_alpha_C[Solo],0),2)</f>
        <v>0.8</v>
      </c>
      <c r="J74" s="5">
        <f>INDEX(K_alpha_C[],MATCH(ESF[[#This Row],[Solo]],K_alpha_C[Solo],0),3)</f>
        <v>2</v>
      </c>
      <c r="K74" s="4">
        <f>INDEX(F1_F2[],MATCH($D$2,F1_F2[Tipo de estaca],0),2)</f>
        <v>3</v>
      </c>
      <c r="L74" s="4">
        <f>INDEX(F1_F2[],MATCH($D$2,F1_F2[Tipo de estaca],0),3)</f>
        <v>6</v>
      </c>
      <c r="M74" s="4">
        <f>PI()*(ESF[[#This Row],[Ø (cm)]]/100)^2/4</f>
        <v>9.6211275016187398E-2</v>
      </c>
      <c r="N74" s="4">
        <f>PI()*ESF[[#This Row],[Ø (cm)]]/100</f>
        <v>1.0995574287564276</v>
      </c>
      <c r="O74" s="4">
        <f>IF(ESF[[#This Row],[Prof. (m)]]=0,0,ESF[[#This Row],[α (%)]]/100*ESF[[#This Row],[K (MPa)]]*1000*ESF[[#This Row],[NSPT]])</f>
        <v>1088</v>
      </c>
      <c r="P74" s="4">
        <f>IF(ESF[[#This Row],[Prof. (m)]]=0,0,(ESF[[#This Row],[K (MPa)]]*1000*ESF[[#This Row],[NSPT]]/ESF[[#This Row],[F1]]*ESF[[#This Row],[Ap (m²)]]+ESF[[#This Row],[U (m)]]/ESF[[#This Row],[F2]]*SUMIFS(ESF[(α∙K∙NL∙ΔL)],ESF[Prof. (m)],"&lt;="&amp;ESF[[#This Row],[Prof. (m)]],ESF[idDiâmetro],ESF[[#This Row],[idDiâmetro]],ESF[idPilar],ESF[[#This Row],[idPilar]]))/'DADOS CAP. CARGA'!$D$2)</f>
        <v>1285.0069520947718</v>
      </c>
      <c r="Q74" s="12">
        <f>INDEX(C_alpha_beta[],MATCH(ESF[[#This Row],[Solo]],C_alpha_beta[Solo],0),MATCH(ESF[[#Headers],[C (kPa)]],C_alpha_beta[#Headers],0))</f>
        <v>400</v>
      </c>
      <c r="R74" s="4">
        <f>INDEX(C_alpha_beta[],MATCH(ESF[[#This Row],[Solo]],C_alpha_beta[Solo],0),MATCH(ESF[[#Headers],[α ESF]],C_alpha_beta[#Headers],0))</f>
        <v>0.5</v>
      </c>
      <c r="S74" s="4">
        <f>INDEX(C_alpha_beta[],MATCH(ESF[[#This Row],[Solo]],C_alpha_beta[Solo],0),MATCH(ESF[[#Headers],[β ESF]],C_alpha_beta[#Headers],0))</f>
        <v>0.5</v>
      </c>
      <c r="T74" s="4">
        <f>IF(ESF[[#This Row],[Prof. (m)]]=0,0,10*(ESF[[#This Row],[NSPT]]/3+1))</f>
        <v>236.66666666666669</v>
      </c>
      <c r="U74" s="4">
        <f>(ESF[[#This Row],[α ESF]]*ESF[[#This Row],[C (kPa)]]*ESF[[#This Row],[NSPT]]*ESF[[#This Row],[Ap (m²)]])/'DADOS CAP. CARGA'!$Q$2+(ESF[[#This Row],[β ESF]]*SUMIFS(ESF[10∙(NL/3+1)],ESF[Prof. (m)],"&lt;="&amp;ESF[[#This Row],[Prof. (m)]],ESF[idDiâmetro],ESF[[#This Row],[idDiâmetro]],ESF[idPilar],ESF[[#This Row],[idPilar]])*ESF[[#This Row],[U (m)]])/'DADOS CAP. CARGA'!$S$2</f>
        <v>629.49662796305483</v>
      </c>
      <c r="V74" s="4">
        <f>IF(SPT!$M$5=1,MIN(ESF[[#This Row],[Pe ESF (kN)]],ESF[[#This Row],[R_AV (kN)]]),IF(SPT!$M$5=2,MIN(ESF[[#This Row],[Pe ESF (kN)]],ESF[[#This Row],[R_DC (kN)]]),MIN(ESF[[#This Row],[Pe ESF (kN)]],ESF[[#This Row],[R_AV (kN)]],ESF[[#This Row],[R_DC (kN)]])))</f>
        <v>490</v>
      </c>
      <c r="W74" s="4">
        <f>INDEX(PILARES[],ESF[[#This Row],[idPilar]],MATCH("Carga (kN)",PILARES[#Headers],0))*1.4</f>
        <v>3500</v>
      </c>
      <c r="X74" s="12">
        <f>INDEX(PILARES[],ESF[[#This Row],[idPilar]],MATCH(ESF[[#Headers],[ap (cm)]],PILARES[#Headers],0))</f>
        <v>60</v>
      </c>
      <c r="Y74" s="12">
        <f>INDEX(PILARES[],ESF[[#This Row],[idPilar]],MATCH(ESF[[#Headers],[bp (cm)]],PILARES[#Headers],0))</f>
        <v>60</v>
      </c>
      <c r="Z74" s="4">
        <f>SQRT(ESF[[#This Row],[ap (cm)]]*ESF[[#This Row],[bp (cm)]])</f>
        <v>60</v>
      </c>
      <c r="AA74" s="12">
        <f>ESF[[#This Row],[ap (cm)]]*ESF[[#This Row],[bp (cm)]]</f>
        <v>3600</v>
      </c>
      <c r="AB74" s="12">
        <f ca="1">IF(ESF[[#This Row],[Padm∙ε (kN)]]&gt;=ESF[[#This Row],[Padm (kN)]],ROUNDUP(1.05*ESF[[#This Row],[Nsd (kN)]]/ESF[[#This Row],[Padm (kN)]],0),ROUNDUP(1.05*ESF[[#This Row],[Nsd (kN)]]/ESF[[#This Row],[Padm (kN)]],0)+1)</f>
        <v>8</v>
      </c>
      <c r="AC74" s="4" t="str">
        <f ca="1">IFERROR(IF(ESF[[#This Row],[nE]]=1,ESF[[#This Row],[Padm (kN)]],ESF[[#This Row],[Padm (kN)]]*ESF[[#This Row],[nE]]*INDEX(grupoEstacas[],ESF[[#This Row],[nE]],MATCH("ε",grupoEstacas[#Headers],0))),"N.S.")</f>
        <v>N.S.</v>
      </c>
      <c r="AD74" s="4">
        <f ca="1">1.05*ESF[[#This Row],[Nsd (kN)]]/(ESF[[#This Row],[nE]]*PI()*ESF[[#This Row],[Ø (cm)]]^2/4)*10</f>
        <v>4.7746482927568596</v>
      </c>
      <c r="AE74" s="4">
        <f ca="1">IF(ESF[[#This Row],[σ (MPa)]]&lt;INDEX(tipoEstaca[],MATCH($D$2,tipoEstaca[TIPO DE ESTACA],0),MATCH("σmáx (MPa)",tipoEstaca[#Headers],0)),0.4%*PI()*ESF[[#This Row],[Ø (cm)]]^2/4,"N.S.")</f>
        <v>3.848451000647497</v>
      </c>
      <c r="AF74" s="1">
        <f>INDEX(tipoEstaca[],MATCH($D$2,tipoEstaca[TIPO DE ESTACA],0),MATCH(ESF[[#Headers],[Comprimento (m)]],tipoEstaca[#Headers],0))</f>
        <v>2</v>
      </c>
      <c r="AG74" s="5">
        <f ca="1">ESF[[#This Row],[As,mín (cm²)]]/100^2*ESF[[#This Row],[Comprimento (m)]]*7850</f>
        <v>6.04206807101657</v>
      </c>
      <c r="AH74" s="4">
        <f ca="1">ESF[[#This Row],[nE]]*ESF[[#This Row],[Prof. (m)]]*ESF[[#This Row],[Ap (m²)]]</f>
        <v>10.005972601683489</v>
      </c>
      <c r="AI74" s="1">
        <f ca="1">IF(ESF[[#This Row],[nE]]=1,0,MAX(3*ESF[[#This Row],[Ø (cm)]],60))</f>
        <v>105</v>
      </c>
      <c r="AJ74" s="1">
        <f ca="1">IF(ESF[[#This Row],[nE]]=1,ESF[[#This Row],[Ø (cm)]]+2*10,MAX(1.5*ESF[[#This Row],[Ø (cm)]],ESF[[#This Row],[Ø (cm)]]+15))</f>
        <v>52.5</v>
      </c>
      <c r="AK74" s="1" t="str">
        <f ca="1">alturaUtil(ESF[[#This Row],[nE]],ESF[[#This Row],[Ø (cm)]],ESF[[#This Row],[e (cm)]],ESF[[#This Row],[ap,eq (cm)]])</f>
        <v>N.S.</v>
      </c>
      <c r="AL74" s="1" t="str">
        <f ca="1">IFERROR(ESF[[#This Row],[d (cm)]]+arredondarParaCimaMultiplo5cm(MAX(5,SQRT(PI())/2*ESF[[#This Row],[Ø (cm)]]/5)),"N.S.")</f>
        <v>N.S.</v>
      </c>
      <c r="AM74" s="5" t="str">
        <f ca="1">alpha(ESF[[#This Row],[nE]],ESF[[#This Row],[d (cm)]],ESF[[#This Row],[e (cm)]],ESF[[#This Row],[ap,eq (cm)]])</f>
        <v>N.S.</v>
      </c>
      <c r="AN74" s="35" t="str">
        <f ca="1">IFERROR(ESF[[#This Row],[Nsd (kN)]]/(ESF[[#This Row],[Ap (cm²)]]*SIN(ESF[[#This Row],[α]])^2),"N.S.")</f>
        <v>N.S.</v>
      </c>
      <c r="AO74" s="35" t="str">
        <f ca="1">IFERROR(ESF[[#This Row],[Nsd (kN)]]/(ESF[[#This Row],[nE]]*PI()*ESF[[#This Row],[Ø (cm)]]^2/4*SIN(ESF[[#This Row],[α]])^2),"N.S.")</f>
        <v>N.S.</v>
      </c>
      <c r="AP74" s="4" t="str">
        <f ca="1">IFERROR(INDEX(grupoEstacas[],ESF[[#This Row],[nE]],MATCH("coef. Blévot",grupoEstacas[#Headers],0)),"N.S.")</f>
        <v>N.S.</v>
      </c>
      <c r="AQ74" s="35" t="str">
        <f ca="1">IFERROR(ESF[[#This Row],[coef. Blévot]]*0.9*INDEX(tipoEstaca[],MATCH($D$2,tipoEstaca[TIPO DE ESTACA],0),MATCH("fcd (kN/cm²)",tipoEstaca[#Headers],0)),"N.S.")</f>
        <v>N.S.</v>
      </c>
      <c r="AR74" s="1" t="str">
        <f ca="1">IF(AND(ESF[[#This Row],[cd,b,pil (kN/cm²)]]&lt;=ESF[[#This Row],[cd,b,lim (kN/cm²)]],ESF[[#This Row],[cd,b,est (kN/cm²)]]&lt;=ESF[[#This Row],[cd,b,lim (kN/cm²)]]),"OK","ERRO")</f>
        <v>OK</v>
      </c>
      <c r="AS74" s="4" t="str">
        <f ca="1">As_lado(ESF[[#This Row],[nE]],ESF[[#This Row],[Nsd (kN)]],ESF[[#This Row],[d (cm)]],ESF[[#This Row],[e (cm)]],ESF[[#This Row],[ap,eq (cm)]])</f>
        <v>N.S.</v>
      </c>
      <c r="AT74" s="4" t="str">
        <f ca="1">IF(ESF[[#This Row],[nE]]=1,ESF[[#This Row],[As,lado (cm²)]],IF(ESF[[#This Row],[nE]]=2,0.075*2*ESF[a (cm)],"N.A."))</f>
        <v>N.A.</v>
      </c>
      <c r="AU74" s="4" t="str">
        <f ca="1">IFERROR(IF(ESF[[#This Row],[nE]]=1,"N.A.",0.2*ESF[[#This Row],[As,lado (cm²)]]),"N.S.")</f>
        <v>N.S.</v>
      </c>
      <c r="AV74" s="4" t="str">
        <f ca="1">As_malha(ESF[[#This Row],[nE]],ESF[[#This Row],[As,lado (cm²)]],ESF[[#This Row],[Nsd (kN)]])</f>
        <v>N.S.</v>
      </c>
      <c r="AW74" s="4" t="str">
        <f ca="1">As_susp_tot(ESF[[#This Row],[nE]],ESF[[#This Row],[Nsd (kN)]])</f>
        <v>N.S.</v>
      </c>
      <c r="AX74" s="4" t="str">
        <f ca="1">Asp_face(ESF[[#This Row],[nE]],ESF[[#This Row],[As,lado (cm²)]])</f>
        <v>N.S.</v>
      </c>
      <c r="AY74" s="5" t="str">
        <f ca="1">acoBloco(ESF[[#This Row],[nE]],ESF[[#This Row],[e (cm)]],ESF[[#This Row],[a (cm)]],ESF[[#This Row],[h (cm)]],ESF[[#This Row],[As,lado (cm²)]],ESF[[#This Row],[Asp e Asw (cm²/m)]],ESF[[#This Row],[As,sup (cm²)]],ESF[[#This Row],[As,malha (cm²)]],ESF[[#This Row],[As,susp,tot (cm²)]],ESF[[#This Row],[Asp,face (cm²)]])</f>
        <v>N.S.</v>
      </c>
      <c r="AZ74" s="4" t="str">
        <f ca="1">concretoBloco(ESF[[#This Row],[nE]],ESF[[#This Row],[e (cm)]],ESF[[#This Row],[a (cm)]],ESF[[#This Row],[h (cm)]])</f>
        <v>N.S.</v>
      </c>
      <c r="BA74" s="5">
        <f ca="1">SUM(ESF[[#This Row],[Aço Est (kg)]],ESF[[#This Row],[Aço Bloco (kg)]])</f>
        <v>6.04206807101657</v>
      </c>
      <c r="BB74" s="4">
        <f>INDEX(composicoes[],MATCH(95580,composicoes[CÓDIGO],0),MATCH("CUSTO TOTAL",composicoes[#Headers],0))</f>
        <v>10.46</v>
      </c>
      <c r="BC74" s="4">
        <f ca="1">SUM(ESF[[#This Row],[Conc Est (m³)]],ESF[[#This Row],[Conc Bloco (m³)]])</f>
        <v>10.005972601683489</v>
      </c>
      <c r="BD74" s="4">
        <f>INDEX(composicoes[],MATCH(94966,composicoes[CÓDIGO],0),MATCH("CUSTO TOTAL",composicoes[#Headers],0))</f>
        <v>439.52</v>
      </c>
      <c r="BE74" s="38">
        <f ca="1">ESF[[#This Row],[Aço (kg)]]*ESF[[#This Row],[Aço (R$/kg)]]+ESF[[#This Row],[Conc (m³)]]*ESF[[#This Row],[Conc (R$/m³)]]</f>
        <v>4461.0251099147599</v>
      </c>
      <c r="BF74" s="4" t="str">
        <f ca="1">IF(COUNTIF(ESF[#This Row],"N.S.")&gt;0,"lim.","OK")</f>
        <v>lim.</v>
      </c>
      <c r="BG74" s="4" t="str">
        <f>IF(ESF[[#This Row],[Prof. (m)]]&lt;3,"lim.","OK")</f>
        <v>OK</v>
      </c>
      <c r="BH74" s="4" t="str">
        <f>IF(ESF[[#This Row],[Prof. (m)]]&gt;=8*ESF[[#This Row],[Ø (cm)]]/100,"OK","lim.")</f>
        <v>OK</v>
      </c>
      <c r="BI74" s="4" t="str">
        <f>IF(AND(SPT!$F$3&lt;&gt;"",ESF[[#This Row],[Prof. (m)]]&gt;=SPT!$F$3),"lim.","OK")</f>
        <v>OK</v>
      </c>
      <c r="BJ74" s="4" t="str">
        <f>IF(COUNTIFS(ESF[Solo],"Areia",ESF[Prof. (m)],"&lt;="&amp;ESF[[#This Row],[Prof. (m)]])&gt;=1,"lim.","OK")</f>
        <v>OK</v>
      </c>
      <c r="BK74" s="4" t="str">
        <f ca="1">IF(ESF[[#This Row],[Verif. Biela]]="OK","OK","lim.")</f>
        <v>OK</v>
      </c>
      <c r="BL74" s="4" t="str">
        <f ca="1">IF(COUNTA(ESF[[#This Row],[Nº Est.]:[Biela comp.]])=COUNTIF(ESF[[#This Row],[Nº Est.]:[Biela comp.]],"OK"),"OK","lim.")</f>
        <v>lim.</v>
      </c>
      <c r="BM74" s="4" t="str">
        <f ca="1">IF(ESF[[#This Row],[Controle]]="OK",ESF[[#This Row],[nE]]&amp;" Ø"&amp;ESF[[#This Row],[Ø (cm)]]&amp;"cm Prof. "&amp;ESF[[#This Row],[Prof. (m)]]&amp;" m","")</f>
        <v/>
      </c>
      <c r="BN74" s="4" t="str">
        <f ca="1">IF(ESF[[#This Row],[idDimensionamento]]="","",ESF[[#This Row],[idPilar]]&amp;ESF[[#This Row],[idDimensionamento]])</f>
        <v/>
      </c>
    </row>
    <row r="75" spans="2:66" x14ac:dyDescent="0.25">
      <c r="B75" s="12">
        <f>ROUNDUP((ROW(ESF[[#This Row],[idDiâmetro]])-ROW(ESF[[#Headers],[idDiâmetro]]))/(COUNT(SPT[Prof. (m)])*COUNT(PILARES[Pilar])),0)</f>
        <v>3</v>
      </c>
      <c r="C75" s="12">
        <f>IF(ESF[[#This Row],[idDiâmetro]]&lt;&gt;B74,1,IF(ESF[[#This Row],[Prof. (m)]]=0,C74+1,C74))</f>
        <v>2</v>
      </c>
      <c r="D75" s="1">
        <f>IFERROR(IF(D74=MAX(SPT[Prof. (m)]),0,D74+1),0)</f>
        <v>0</v>
      </c>
      <c r="E75" s="1">
        <f>INDEX(SPT[],MATCH(ESF[[#This Row],[Prof. (m)]],SPT[Prof. (m)],0),2)</f>
        <v>0</v>
      </c>
      <c r="F75" s="1" t="str">
        <f>INDEX(SPT[],MATCH(ESF[[#This Row],[Prof. (m)]],SPT[Prof. (m)],0),3)</f>
        <v>Areia siltosa</v>
      </c>
      <c r="G75" s="1">
        <f>INDEX(estacas[],ESF[[#This Row],[idDiâmetro]],MATCH($B$2,estacas[#Headers],0))</f>
        <v>35</v>
      </c>
      <c r="H75" s="1">
        <f>INDEX(estacas[],MATCH(ESF[[#This Row],[Ø (cm)]],estacas[Ø ESF (cm)],0),MATCH(ESF[[#Headers],[Pe ESF (kN)]],estacas[#Headers],0))</f>
        <v>490</v>
      </c>
      <c r="I75" s="4">
        <f>INDEX(K_alpha_C[],MATCH(ESF[[#This Row],[Solo]],K_alpha_C[Solo],0),2)</f>
        <v>0.8</v>
      </c>
      <c r="J75" s="5">
        <f>INDEX(K_alpha_C[],MATCH(ESF[[#This Row],[Solo]],K_alpha_C[Solo],0),3)</f>
        <v>2</v>
      </c>
      <c r="K75" s="4">
        <f>INDEX(F1_F2[],MATCH($D$2,F1_F2[Tipo de estaca],0),2)</f>
        <v>3</v>
      </c>
      <c r="L75" s="4">
        <f>INDEX(F1_F2[],MATCH($D$2,F1_F2[Tipo de estaca],0),3)</f>
        <v>6</v>
      </c>
      <c r="M75" s="4">
        <f>PI()*(ESF[[#This Row],[Ø (cm)]]/100)^2/4</f>
        <v>9.6211275016187398E-2</v>
      </c>
      <c r="N75" s="4">
        <f>PI()*ESF[[#This Row],[Ø (cm)]]/100</f>
        <v>1.0995574287564276</v>
      </c>
      <c r="O75" s="4">
        <f>IF(ESF[[#This Row],[Prof. (m)]]=0,0,ESF[[#This Row],[α (%)]]/100*ESF[[#This Row],[K (MPa)]]*1000*ESF[[#This Row],[NSPT]])</f>
        <v>0</v>
      </c>
      <c r="P75" s="4">
        <f>IF(ESF[[#This Row],[Prof. (m)]]=0,0,(ESF[[#This Row],[K (MPa)]]*1000*ESF[[#This Row],[NSPT]]/ESF[[#This Row],[F1]]*ESF[[#This Row],[Ap (m²)]]+ESF[[#This Row],[U (m)]]/ESF[[#This Row],[F2]]*SUMIFS(ESF[(α∙K∙NL∙ΔL)],ESF[Prof. (m)],"&lt;="&amp;ESF[[#This Row],[Prof. (m)]],ESF[idDiâmetro],ESF[[#This Row],[idDiâmetro]],ESF[idPilar],ESF[[#This Row],[idPilar]]))/'DADOS CAP. CARGA'!$D$2)</f>
        <v>0</v>
      </c>
      <c r="Q75" s="12">
        <f>INDEX(C_alpha_beta[],MATCH(ESF[[#This Row],[Solo]],C_alpha_beta[Solo],0),MATCH(ESF[[#Headers],[C (kPa)]],C_alpha_beta[#Headers],0))</f>
        <v>400</v>
      </c>
      <c r="R75" s="4">
        <f>INDEX(C_alpha_beta[],MATCH(ESF[[#This Row],[Solo]],C_alpha_beta[Solo],0),MATCH(ESF[[#Headers],[α ESF]],C_alpha_beta[#Headers],0))</f>
        <v>0.5</v>
      </c>
      <c r="S75" s="4">
        <f>INDEX(C_alpha_beta[],MATCH(ESF[[#This Row],[Solo]],C_alpha_beta[Solo],0),MATCH(ESF[[#Headers],[β ESF]],C_alpha_beta[#Headers],0))</f>
        <v>0.5</v>
      </c>
      <c r="T75" s="4">
        <f>IF(ESF[[#This Row],[Prof. (m)]]=0,0,10*(ESF[[#This Row],[NSPT]]/3+1))</f>
        <v>0</v>
      </c>
      <c r="U75" s="4">
        <f>(ESF[[#This Row],[α ESF]]*ESF[[#This Row],[C (kPa)]]*ESF[[#This Row],[NSPT]]*ESF[[#This Row],[Ap (m²)]])/'DADOS CAP. CARGA'!$Q$2+(ESF[[#This Row],[β ESF]]*SUMIFS(ESF[10∙(NL/3+1)],ESF[Prof. (m)],"&lt;="&amp;ESF[[#This Row],[Prof. (m)]],ESF[idDiâmetro],ESF[[#This Row],[idDiâmetro]],ESF[idPilar],ESF[[#This Row],[idPilar]])*ESF[[#This Row],[U (m)]])/'DADOS CAP. CARGA'!$S$2</f>
        <v>0</v>
      </c>
      <c r="V75" s="4">
        <f>IF(SPT!$M$5=1,MIN(ESF[[#This Row],[Pe ESF (kN)]],ESF[[#This Row],[R_AV (kN)]]),IF(SPT!$M$5=2,MIN(ESF[[#This Row],[Pe ESF (kN)]],ESF[[#This Row],[R_DC (kN)]]),MIN(ESF[[#This Row],[Pe ESF (kN)]],ESF[[#This Row],[R_AV (kN)]],ESF[[#This Row],[R_DC (kN)]])))</f>
        <v>0</v>
      </c>
      <c r="W75" s="4">
        <f>INDEX(PILARES[],ESF[[#This Row],[idPilar]],MATCH("Carga (kN)",PILARES[#Headers],0))*1.4</f>
        <v>1750</v>
      </c>
      <c r="X75" s="12">
        <f>INDEX(PILARES[],ESF[[#This Row],[idPilar]],MATCH(ESF[[#Headers],[ap (cm)]],PILARES[#Headers],0))</f>
        <v>50</v>
      </c>
      <c r="Y75" s="12">
        <f>INDEX(PILARES[],ESF[[#This Row],[idPilar]],MATCH(ESF[[#Headers],[bp (cm)]],PILARES[#Headers],0))</f>
        <v>40</v>
      </c>
      <c r="Z75" s="4">
        <f>SQRT(ESF[[#This Row],[ap (cm)]]*ESF[[#This Row],[bp (cm)]])</f>
        <v>44.721359549995796</v>
      </c>
      <c r="AA75" s="12">
        <f>ESF[[#This Row],[ap (cm)]]*ESF[[#This Row],[bp (cm)]]</f>
        <v>2000</v>
      </c>
      <c r="AB75" s="12" t="e">
        <f ca="1">IF(ESF[[#This Row],[Padm∙ε (kN)]]&gt;=ESF[[#This Row],[Padm (kN)]],ROUNDUP(1.05*ESF[[#This Row],[Nsd (kN)]]/ESF[[#This Row],[Padm (kN)]],0),ROUNDUP(1.05*ESF[[#This Row],[Nsd (kN)]]/ESF[[#This Row],[Padm (kN)]],0)+1)</f>
        <v>#DIV/0!</v>
      </c>
      <c r="AC75" s="4" t="str">
        <f ca="1">IFERROR(IF(ESF[[#This Row],[nE]]=1,ESF[[#This Row],[Padm (kN)]],ESF[[#This Row],[Padm (kN)]]*ESF[[#This Row],[nE]]*INDEX(grupoEstacas[],ESF[[#This Row],[nE]],MATCH("ε",grupoEstacas[#Headers],0))),"N.S.")</f>
        <v>N.S.</v>
      </c>
      <c r="AD75" s="4" t="e">
        <f ca="1">1.05*ESF[[#This Row],[Nsd (kN)]]/(ESF[[#This Row],[nE]]*PI()*ESF[[#This Row],[Ø (cm)]]^2/4)*10</f>
        <v>#DIV/0!</v>
      </c>
      <c r="AE75" s="4" t="e">
        <f ca="1">IF(ESF[[#This Row],[σ (MPa)]]&lt;INDEX(tipoEstaca[],MATCH($D$2,tipoEstaca[TIPO DE ESTACA],0),MATCH("σmáx (MPa)",tipoEstaca[#Headers],0)),0.4%*PI()*ESF[[#This Row],[Ø (cm)]]^2/4,"N.S.")</f>
        <v>#DIV/0!</v>
      </c>
      <c r="AF75" s="1">
        <f>INDEX(tipoEstaca[],MATCH($D$2,tipoEstaca[TIPO DE ESTACA],0),MATCH(ESF[[#Headers],[Comprimento (m)]],tipoEstaca[#Headers],0))</f>
        <v>2</v>
      </c>
      <c r="AG75" s="5" t="e">
        <f ca="1">ESF[[#This Row],[As,mín (cm²)]]/100^2*ESF[[#This Row],[Comprimento (m)]]*7850</f>
        <v>#DIV/0!</v>
      </c>
      <c r="AH75" s="4" t="e">
        <f ca="1">ESF[[#This Row],[nE]]*ESF[[#This Row],[Prof. (m)]]*ESF[[#This Row],[Ap (m²)]]</f>
        <v>#DIV/0!</v>
      </c>
      <c r="AI75" s="1" t="e">
        <f ca="1">IF(ESF[[#This Row],[nE]]=1,0,MAX(3*ESF[[#This Row],[Ø (cm)]],60))</f>
        <v>#DIV/0!</v>
      </c>
      <c r="AJ75" s="1" t="e">
        <f ca="1">IF(ESF[[#This Row],[nE]]=1,ESF[[#This Row],[Ø (cm)]]+2*10,MAX(1.5*ESF[[#This Row],[Ø (cm)]],ESF[[#This Row],[Ø (cm)]]+15))</f>
        <v>#DIV/0!</v>
      </c>
      <c r="AK75" s="1" t="e">
        <f ca="1">alturaUtil(ESF[[#This Row],[nE]],ESF[[#This Row],[Ø (cm)]],ESF[[#This Row],[e (cm)]],ESF[[#This Row],[ap,eq (cm)]])</f>
        <v>#VALUE!</v>
      </c>
      <c r="AL75" s="1" t="str">
        <f ca="1">IFERROR(ESF[[#This Row],[d (cm)]]+arredondarParaCimaMultiplo5cm(MAX(5,SQRT(PI())/2*ESF[[#This Row],[Ø (cm)]]/5)),"N.S.")</f>
        <v>N.S.</v>
      </c>
      <c r="AM75" s="5" t="e">
        <f ca="1">alpha(ESF[[#This Row],[nE]],ESF[[#This Row],[d (cm)]],ESF[[#This Row],[e (cm)]],ESF[[#This Row],[ap,eq (cm)]])</f>
        <v>#VALUE!</v>
      </c>
      <c r="AN75" s="35" t="str">
        <f ca="1">IFERROR(ESF[[#This Row],[Nsd (kN)]]/(ESF[[#This Row],[Ap (cm²)]]*SIN(ESF[[#This Row],[α]])^2),"N.S.")</f>
        <v>N.S.</v>
      </c>
      <c r="AO75" s="35" t="str">
        <f ca="1">IFERROR(ESF[[#This Row],[Nsd (kN)]]/(ESF[[#This Row],[nE]]*PI()*ESF[[#This Row],[Ø (cm)]]^2/4*SIN(ESF[[#This Row],[α]])^2),"N.S.")</f>
        <v>N.S.</v>
      </c>
      <c r="AP75" s="4" t="str">
        <f ca="1">IFERROR(INDEX(grupoEstacas[],ESF[[#This Row],[nE]],MATCH("coef. Blévot",grupoEstacas[#Headers],0)),"N.S.")</f>
        <v>N.S.</v>
      </c>
      <c r="AQ75" s="35" t="str">
        <f ca="1">IFERROR(ESF[[#This Row],[coef. Blévot]]*0.9*INDEX(tipoEstaca[],MATCH($D$2,tipoEstaca[TIPO DE ESTACA],0),MATCH("fcd (kN/cm²)",tipoEstaca[#Headers],0)),"N.S.")</f>
        <v>N.S.</v>
      </c>
      <c r="AR75" s="1" t="str">
        <f ca="1">IF(AND(ESF[[#This Row],[cd,b,pil (kN/cm²)]]&lt;=ESF[[#This Row],[cd,b,lim (kN/cm²)]],ESF[[#This Row],[cd,b,est (kN/cm²)]]&lt;=ESF[[#This Row],[cd,b,lim (kN/cm²)]]),"OK","ERRO")</f>
        <v>OK</v>
      </c>
      <c r="AS75" s="4" t="e">
        <f ca="1">As_lado(ESF[[#This Row],[nE]],ESF[[#This Row],[Nsd (kN)]],ESF[[#This Row],[d (cm)]],ESF[[#This Row],[e (cm)]],ESF[[#This Row],[ap,eq (cm)]])</f>
        <v>#VALUE!</v>
      </c>
      <c r="AT75" s="4" t="e">
        <f ca="1">IF(ESF[[#This Row],[nE]]=1,ESF[[#This Row],[As,lado (cm²)]],IF(ESF[[#This Row],[nE]]=2,0.075*2*ESF[a (cm)],"N.A."))</f>
        <v>#DIV/0!</v>
      </c>
      <c r="AU75" s="4" t="str">
        <f ca="1">IFERROR(IF(ESF[[#This Row],[nE]]=1,"N.A.",0.2*ESF[[#This Row],[As,lado (cm²)]]),"N.S.")</f>
        <v>N.S.</v>
      </c>
      <c r="AV75" s="4" t="e">
        <f ca="1">As_malha(ESF[[#This Row],[nE]],ESF[[#This Row],[As,lado (cm²)]],ESF[[#This Row],[Nsd (kN)]])</f>
        <v>#VALUE!</v>
      </c>
      <c r="AW75" s="4" t="e">
        <f ca="1">As_susp_tot(ESF[[#This Row],[nE]],ESF[[#This Row],[Nsd (kN)]])</f>
        <v>#VALUE!</v>
      </c>
      <c r="AX75" s="4" t="e">
        <f ca="1">Asp_face(ESF[[#This Row],[nE]],ESF[[#This Row],[As,lado (cm²)]])</f>
        <v>#VALUE!</v>
      </c>
      <c r="AY75" s="5" t="e">
        <f ca="1">acoBloco(ESF[[#This Row],[nE]],ESF[[#This Row],[e (cm)]],ESF[[#This Row],[a (cm)]],ESF[[#This Row],[h (cm)]],ESF[[#This Row],[As,lado (cm²)]],ESF[[#This Row],[Asp e Asw (cm²/m)]],ESF[[#This Row],[As,sup (cm²)]],ESF[[#This Row],[As,malha (cm²)]],ESF[[#This Row],[As,susp,tot (cm²)]],ESF[[#This Row],[Asp,face (cm²)]])</f>
        <v>#VALUE!</v>
      </c>
      <c r="AZ75" s="4" t="e">
        <f ca="1">concretoBloco(ESF[[#This Row],[nE]],ESF[[#This Row],[e (cm)]],ESF[[#This Row],[a (cm)]],ESF[[#This Row],[h (cm)]])</f>
        <v>#VALUE!</v>
      </c>
      <c r="BA75" s="5" t="e">
        <f ca="1">SUM(ESF[[#This Row],[Aço Est (kg)]],ESF[[#This Row],[Aço Bloco (kg)]])</f>
        <v>#DIV/0!</v>
      </c>
      <c r="BB75" s="4">
        <f>INDEX(composicoes[],MATCH(95580,composicoes[CÓDIGO],0),MATCH("CUSTO TOTAL",composicoes[#Headers],0))</f>
        <v>10.46</v>
      </c>
      <c r="BC75" s="4" t="e">
        <f ca="1">SUM(ESF[[#This Row],[Conc Est (m³)]],ESF[[#This Row],[Conc Bloco (m³)]])</f>
        <v>#DIV/0!</v>
      </c>
      <c r="BD75" s="4">
        <f>INDEX(composicoes[],MATCH(94966,composicoes[CÓDIGO],0),MATCH("CUSTO TOTAL",composicoes[#Headers],0))</f>
        <v>439.52</v>
      </c>
      <c r="BE75" s="38" t="e">
        <f ca="1">ESF[[#This Row],[Aço (kg)]]*ESF[[#This Row],[Aço (R$/kg)]]+ESF[[#This Row],[Conc (m³)]]*ESF[[#This Row],[Conc (R$/m³)]]</f>
        <v>#DIV/0!</v>
      </c>
      <c r="BF75" s="4" t="str">
        <f ca="1">IF(COUNTIF(ESF[#This Row],"N.S.")&gt;0,"lim.","OK")</f>
        <v>lim.</v>
      </c>
      <c r="BG75" s="4" t="str">
        <f>IF(ESF[[#This Row],[Prof. (m)]]&lt;3,"lim.","OK")</f>
        <v>lim.</v>
      </c>
      <c r="BH75" s="4" t="str">
        <f>IF(ESF[[#This Row],[Prof. (m)]]&gt;=8*ESF[[#This Row],[Ø (cm)]]/100,"OK","lim.")</f>
        <v>lim.</v>
      </c>
      <c r="BI75" s="4" t="str">
        <f>IF(AND(SPT!$F$3&lt;&gt;"",ESF[[#This Row],[Prof. (m)]]&gt;=SPT!$F$3),"lim.","OK")</f>
        <v>OK</v>
      </c>
      <c r="BJ75" s="4" t="str">
        <f>IF(COUNTIFS(ESF[Solo],"Areia",ESF[Prof. (m)],"&lt;="&amp;ESF[[#This Row],[Prof. (m)]])&gt;=1,"lim.","OK")</f>
        <v>OK</v>
      </c>
      <c r="BK75" s="4" t="str">
        <f ca="1">IF(ESF[[#This Row],[Verif. Biela]]="OK","OK","lim.")</f>
        <v>OK</v>
      </c>
      <c r="BL75" s="4" t="str">
        <f ca="1">IF(COUNTA(ESF[[#This Row],[Nº Est.]:[Biela comp.]])=COUNTIF(ESF[[#This Row],[Nº Est.]:[Biela comp.]],"OK"),"OK","lim.")</f>
        <v>lim.</v>
      </c>
      <c r="BM75" s="4" t="str">
        <f ca="1">IF(ESF[[#This Row],[Controle]]="OK",ESF[[#This Row],[nE]]&amp;" Ø"&amp;ESF[[#This Row],[Ø (cm)]]&amp;"cm Prof. "&amp;ESF[[#This Row],[Prof. (m)]]&amp;" m","")</f>
        <v/>
      </c>
      <c r="BN75" s="4" t="str">
        <f ca="1">IF(ESF[[#This Row],[idDimensionamento]]="","",ESF[[#This Row],[idPilar]]&amp;ESF[[#This Row],[idDimensionamento]])</f>
        <v/>
      </c>
    </row>
    <row r="76" spans="2:66" x14ac:dyDescent="0.25">
      <c r="B76" s="12">
        <f>ROUNDUP((ROW(ESF[[#This Row],[idDiâmetro]])-ROW(ESF[[#Headers],[idDiâmetro]]))/(COUNT(SPT[Prof. (m)])*COUNT(PILARES[Pilar])),0)</f>
        <v>3</v>
      </c>
      <c r="C76" s="12">
        <f>IF(ESF[[#This Row],[idDiâmetro]]&lt;&gt;B75,1,IF(ESF[[#This Row],[Prof. (m)]]=0,C75+1,C75))</f>
        <v>2</v>
      </c>
      <c r="D76" s="1">
        <f>IFERROR(IF(D75=MAX(SPT[Prof. (m)]),0,D75+1),0)</f>
        <v>1</v>
      </c>
      <c r="E76" s="1">
        <f>INDEX(SPT[],MATCH(ESF[[#This Row],[Prof. (m)]],SPT[Prof. (m)],0),2)</f>
        <v>2</v>
      </c>
      <c r="F76" s="1" t="str">
        <f>INDEX(SPT[],MATCH(ESF[[#This Row],[Prof. (m)]],SPT[Prof. (m)],0),3)</f>
        <v>Areia siltosa</v>
      </c>
      <c r="G76" s="1">
        <f>INDEX(estacas[],ESF[[#This Row],[idDiâmetro]],MATCH($B$2,estacas[#Headers],0))</f>
        <v>35</v>
      </c>
      <c r="H76" s="1">
        <f>INDEX(estacas[],MATCH(ESF[[#This Row],[Ø (cm)]],estacas[Ø ESF (cm)],0),MATCH(ESF[[#Headers],[Pe ESF (kN)]],estacas[#Headers],0))</f>
        <v>490</v>
      </c>
      <c r="I76" s="4">
        <f>INDEX(K_alpha_C[],MATCH(ESF[[#This Row],[Solo]],K_alpha_C[Solo],0),2)</f>
        <v>0.8</v>
      </c>
      <c r="J76" s="5">
        <f>INDEX(K_alpha_C[],MATCH(ESF[[#This Row],[Solo]],K_alpha_C[Solo],0),3)</f>
        <v>2</v>
      </c>
      <c r="K76" s="4">
        <f>INDEX(F1_F2[],MATCH($D$2,F1_F2[Tipo de estaca],0),2)</f>
        <v>3</v>
      </c>
      <c r="L76" s="4">
        <f>INDEX(F1_F2[],MATCH($D$2,F1_F2[Tipo de estaca],0),3)</f>
        <v>6</v>
      </c>
      <c r="M76" s="4">
        <f>PI()*(ESF[[#This Row],[Ø (cm)]]/100)^2/4</f>
        <v>9.6211275016187398E-2</v>
      </c>
      <c r="N76" s="4">
        <f>PI()*ESF[[#This Row],[Ø (cm)]]/100</f>
        <v>1.0995574287564276</v>
      </c>
      <c r="O76" s="4">
        <f>IF(ESF[[#This Row],[Prof. (m)]]=0,0,ESF[[#This Row],[α (%)]]/100*ESF[[#This Row],[K (MPa)]]*1000*ESF[[#This Row],[NSPT]])</f>
        <v>32</v>
      </c>
      <c r="P76" s="4">
        <f>IF(ESF[[#This Row],[Prof. (m)]]=0,0,(ESF[[#This Row],[K (MPa)]]*1000*ESF[[#This Row],[NSPT]]/ESF[[#This Row],[F1]]*ESF[[#This Row],[Ap (m²)]]+ESF[[#This Row],[U (m)]]/ESF[[#This Row],[F2]]*SUMIFS(ESF[(α∙K∙NL∙ΔL)],ESF[Prof. (m)],"&lt;="&amp;ESF[[#This Row],[Prof. (m)]],ESF[idDiâmetro],ESF[[#This Row],[idDiâmetro]],ESF[idPilar],ESF[[#This Row],[idPilar]]))/'DADOS CAP. CARGA'!$D$2)</f>
        <v>28.588493147667112</v>
      </c>
      <c r="Q76" s="12">
        <f>INDEX(C_alpha_beta[],MATCH(ESF[[#This Row],[Solo]],C_alpha_beta[Solo],0),MATCH(ESF[[#Headers],[C (kPa)]],C_alpha_beta[#Headers],0))</f>
        <v>400</v>
      </c>
      <c r="R76" s="4">
        <f>INDEX(C_alpha_beta[],MATCH(ESF[[#This Row],[Solo]],C_alpha_beta[Solo],0),MATCH(ESF[[#Headers],[α ESF]],C_alpha_beta[#Headers],0))</f>
        <v>0.5</v>
      </c>
      <c r="S76" s="4">
        <f>INDEX(C_alpha_beta[],MATCH(ESF[[#This Row],[Solo]],C_alpha_beta[Solo],0),MATCH(ESF[[#Headers],[β ESF]],C_alpha_beta[#Headers],0))</f>
        <v>0.5</v>
      </c>
      <c r="T76" s="4">
        <f>IF(ESF[[#This Row],[Prof. (m)]]=0,0,10*(ESF[[#This Row],[NSPT]]/3+1))</f>
        <v>16.666666666666664</v>
      </c>
      <c r="U76" s="4">
        <f>(ESF[[#This Row],[α ESF]]*ESF[[#This Row],[C (kPa)]]*ESF[[#This Row],[NSPT]]*ESF[[#This Row],[Ap (m²)]])/'DADOS CAP. CARGA'!$Q$2+(ESF[[#This Row],[β ESF]]*SUMIFS(ESF[10∙(NL/3+1)],ESF[Prof. (m)],"&lt;="&amp;ESF[[#This Row],[Prof. (m)]],ESF[idDiâmetro],ESF[[#This Row],[idDiâmetro]],ESF[idPilar],ESF[[#This Row],[idPilar]])*ESF[[#This Row],[U (m)]])/'DADOS CAP. CARGA'!$S$2</f>
        <v>14.202616788103853</v>
      </c>
      <c r="V76" s="4">
        <f>IF(SPT!$M$5=1,MIN(ESF[[#This Row],[Pe ESF (kN)]],ESF[[#This Row],[R_AV (kN)]]),IF(SPT!$M$5=2,MIN(ESF[[#This Row],[Pe ESF (kN)]],ESF[[#This Row],[R_DC (kN)]]),MIN(ESF[[#This Row],[Pe ESF (kN)]],ESF[[#This Row],[R_AV (kN)]],ESF[[#This Row],[R_DC (kN)]])))</f>
        <v>14.202616788103853</v>
      </c>
      <c r="W76" s="4">
        <f>INDEX(PILARES[],ESF[[#This Row],[idPilar]],MATCH("Carga (kN)",PILARES[#Headers],0))*1.4</f>
        <v>1750</v>
      </c>
      <c r="X76" s="12">
        <f>INDEX(PILARES[],ESF[[#This Row],[idPilar]],MATCH(ESF[[#Headers],[ap (cm)]],PILARES[#Headers],0))</f>
        <v>50</v>
      </c>
      <c r="Y76" s="12">
        <f>INDEX(PILARES[],ESF[[#This Row],[idPilar]],MATCH(ESF[[#Headers],[bp (cm)]],PILARES[#Headers],0))</f>
        <v>40</v>
      </c>
      <c r="Z76" s="4">
        <f>SQRT(ESF[[#This Row],[ap (cm)]]*ESF[[#This Row],[bp (cm)]])</f>
        <v>44.721359549995796</v>
      </c>
      <c r="AA76" s="12">
        <f>ESF[[#This Row],[ap (cm)]]*ESF[[#This Row],[bp (cm)]]</f>
        <v>2000</v>
      </c>
      <c r="AB76" s="12">
        <f ca="1">IF(ESF[[#This Row],[Padm∙ε (kN)]]&gt;=ESF[[#This Row],[Padm (kN)]],ROUNDUP(1.05*ESF[[#This Row],[Nsd (kN)]]/ESF[[#This Row],[Padm (kN)]],0),ROUNDUP(1.05*ESF[[#This Row],[Nsd (kN)]]/ESF[[#This Row],[Padm (kN)]],0)+1)</f>
        <v>130</v>
      </c>
      <c r="AC76" s="4" t="str">
        <f ca="1">IFERROR(IF(ESF[[#This Row],[nE]]=1,ESF[[#This Row],[Padm (kN)]],ESF[[#This Row],[Padm (kN)]]*ESF[[#This Row],[nE]]*INDEX(grupoEstacas[],ESF[[#This Row],[nE]],MATCH("ε",grupoEstacas[#Headers],0))),"N.S.")</f>
        <v>N.S.</v>
      </c>
      <c r="AD76" s="4">
        <f ca="1">1.05*ESF[[#This Row],[Nsd (kN)]]/(ESF[[#This Row],[nE]]*PI()*ESF[[#This Row],[Ø (cm)]]^2/4)*10</f>
        <v>0.14691225516174955</v>
      </c>
      <c r="AE76" s="4">
        <f ca="1">IF(ESF[[#This Row],[σ (MPa)]]&lt;INDEX(tipoEstaca[],MATCH($D$2,tipoEstaca[TIPO DE ESTACA],0),MATCH("σmáx (MPa)",tipoEstaca[#Headers],0)),0.4%*PI()*ESF[[#This Row],[Ø (cm)]]^2/4,"N.S.")</f>
        <v>3.848451000647497</v>
      </c>
      <c r="AF76" s="1">
        <f>INDEX(tipoEstaca[],MATCH($D$2,tipoEstaca[TIPO DE ESTACA],0),MATCH(ESF[[#Headers],[Comprimento (m)]],tipoEstaca[#Headers],0))</f>
        <v>2</v>
      </c>
      <c r="AG76" s="5">
        <f ca="1">ESF[[#This Row],[As,mín (cm²)]]/100^2*ESF[[#This Row],[Comprimento (m)]]*7850</f>
        <v>6.04206807101657</v>
      </c>
      <c r="AH76" s="4">
        <f ca="1">ESF[[#This Row],[nE]]*ESF[[#This Row],[Prof. (m)]]*ESF[[#This Row],[Ap (m²)]]</f>
        <v>12.507465752104361</v>
      </c>
      <c r="AI76" s="1">
        <f ca="1">IF(ESF[[#This Row],[nE]]=1,0,MAX(3*ESF[[#This Row],[Ø (cm)]],60))</f>
        <v>105</v>
      </c>
      <c r="AJ76" s="1">
        <f ca="1">IF(ESF[[#This Row],[nE]]=1,ESF[[#This Row],[Ø (cm)]]+2*10,MAX(1.5*ESF[[#This Row],[Ø (cm)]],ESF[[#This Row],[Ø (cm)]]+15))</f>
        <v>52.5</v>
      </c>
      <c r="AK76" s="1" t="str">
        <f ca="1">alturaUtil(ESF[[#This Row],[nE]],ESF[[#This Row],[Ø (cm)]],ESF[[#This Row],[e (cm)]],ESF[[#This Row],[ap,eq (cm)]])</f>
        <v>N.S.</v>
      </c>
      <c r="AL76" s="1" t="str">
        <f ca="1">IFERROR(ESF[[#This Row],[d (cm)]]+arredondarParaCimaMultiplo5cm(MAX(5,SQRT(PI())/2*ESF[[#This Row],[Ø (cm)]]/5)),"N.S.")</f>
        <v>N.S.</v>
      </c>
      <c r="AM76" s="5" t="str">
        <f ca="1">alpha(ESF[[#This Row],[nE]],ESF[[#This Row],[d (cm)]],ESF[[#This Row],[e (cm)]],ESF[[#This Row],[ap,eq (cm)]])</f>
        <v>N.S.</v>
      </c>
      <c r="AN76" s="35" t="str">
        <f ca="1">IFERROR(ESF[[#This Row],[Nsd (kN)]]/(ESF[[#This Row],[Ap (cm²)]]*SIN(ESF[[#This Row],[α]])^2),"N.S.")</f>
        <v>N.S.</v>
      </c>
      <c r="AO76" s="35" t="str">
        <f ca="1">IFERROR(ESF[[#This Row],[Nsd (kN)]]/(ESF[[#This Row],[nE]]*PI()*ESF[[#This Row],[Ø (cm)]]^2/4*SIN(ESF[[#This Row],[α]])^2),"N.S.")</f>
        <v>N.S.</v>
      </c>
      <c r="AP76" s="4" t="str">
        <f ca="1">IFERROR(INDEX(grupoEstacas[],ESF[[#This Row],[nE]],MATCH("coef. Blévot",grupoEstacas[#Headers],0)),"N.S.")</f>
        <v>N.S.</v>
      </c>
      <c r="AQ76" s="35" t="str">
        <f ca="1">IFERROR(ESF[[#This Row],[coef. Blévot]]*0.9*INDEX(tipoEstaca[],MATCH($D$2,tipoEstaca[TIPO DE ESTACA],0),MATCH("fcd (kN/cm²)",tipoEstaca[#Headers],0)),"N.S.")</f>
        <v>N.S.</v>
      </c>
      <c r="AR76" s="1" t="str">
        <f ca="1">IF(AND(ESF[[#This Row],[cd,b,pil (kN/cm²)]]&lt;=ESF[[#This Row],[cd,b,lim (kN/cm²)]],ESF[[#This Row],[cd,b,est (kN/cm²)]]&lt;=ESF[[#This Row],[cd,b,lim (kN/cm²)]]),"OK","ERRO")</f>
        <v>OK</v>
      </c>
      <c r="AS76" s="4" t="str">
        <f ca="1">As_lado(ESF[[#This Row],[nE]],ESF[[#This Row],[Nsd (kN)]],ESF[[#This Row],[d (cm)]],ESF[[#This Row],[e (cm)]],ESF[[#This Row],[ap,eq (cm)]])</f>
        <v>N.S.</v>
      </c>
      <c r="AT76" s="4" t="str">
        <f ca="1">IF(ESF[[#This Row],[nE]]=1,ESF[[#This Row],[As,lado (cm²)]],IF(ESF[[#This Row],[nE]]=2,0.075*2*ESF[a (cm)],"N.A."))</f>
        <v>N.A.</v>
      </c>
      <c r="AU76" s="4" t="str">
        <f ca="1">IFERROR(IF(ESF[[#This Row],[nE]]=1,"N.A.",0.2*ESF[[#This Row],[As,lado (cm²)]]),"N.S.")</f>
        <v>N.S.</v>
      </c>
      <c r="AV76" s="4" t="str">
        <f ca="1">As_malha(ESF[[#This Row],[nE]],ESF[[#This Row],[As,lado (cm²)]],ESF[[#This Row],[Nsd (kN)]])</f>
        <v>N.S.</v>
      </c>
      <c r="AW76" s="4" t="str">
        <f ca="1">As_susp_tot(ESF[[#This Row],[nE]],ESF[[#This Row],[Nsd (kN)]])</f>
        <v>N.S.</v>
      </c>
      <c r="AX76" s="4" t="str">
        <f ca="1">Asp_face(ESF[[#This Row],[nE]],ESF[[#This Row],[As,lado (cm²)]])</f>
        <v>N.S.</v>
      </c>
      <c r="AY76" s="5" t="str">
        <f ca="1">acoBloco(ESF[[#This Row],[nE]],ESF[[#This Row],[e (cm)]],ESF[[#This Row],[a (cm)]],ESF[[#This Row],[h (cm)]],ESF[[#This Row],[As,lado (cm²)]],ESF[[#This Row],[Asp e Asw (cm²/m)]],ESF[[#This Row],[As,sup (cm²)]],ESF[[#This Row],[As,malha (cm²)]],ESF[[#This Row],[As,susp,tot (cm²)]],ESF[[#This Row],[Asp,face (cm²)]])</f>
        <v>N.S.</v>
      </c>
      <c r="AZ76" s="4" t="str">
        <f ca="1">concretoBloco(ESF[[#This Row],[nE]],ESF[[#This Row],[e (cm)]],ESF[[#This Row],[a (cm)]],ESF[[#This Row],[h (cm)]])</f>
        <v>N.S.</v>
      </c>
      <c r="BA76" s="5">
        <f ca="1">SUM(ESF[[#This Row],[Aço Est (kg)]],ESF[[#This Row],[Aço Bloco (kg)]])</f>
        <v>6.04206807101657</v>
      </c>
      <c r="BB76" s="4">
        <f>INDEX(composicoes[],MATCH(95580,composicoes[CÓDIGO],0),MATCH("CUSTO TOTAL",composicoes[#Headers],0))</f>
        <v>10.46</v>
      </c>
      <c r="BC76" s="4">
        <f ca="1">SUM(ESF[[#This Row],[Conc Est (m³)]],ESF[[#This Row],[Conc Bloco (m³)]])</f>
        <v>12.507465752104361</v>
      </c>
      <c r="BD76" s="4">
        <f>INDEX(composicoes[],MATCH(94966,composicoes[CÓDIGO],0),MATCH("CUSTO TOTAL",composicoes[#Headers],0))</f>
        <v>439.52</v>
      </c>
      <c r="BE76" s="38">
        <f ca="1">ESF[[#This Row],[Aço (kg)]]*ESF[[#This Row],[Aço (R$/kg)]]+ESF[[#This Row],[Conc (m³)]]*ESF[[#This Row],[Conc (R$/m³)]]</f>
        <v>5560.481379387742</v>
      </c>
      <c r="BF76" s="4" t="str">
        <f ca="1">IF(COUNTIF(ESF[#This Row],"N.S.")&gt;0,"lim.","OK")</f>
        <v>lim.</v>
      </c>
      <c r="BG76" s="4" t="str">
        <f>IF(ESF[[#This Row],[Prof. (m)]]&lt;3,"lim.","OK")</f>
        <v>lim.</v>
      </c>
      <c r="BH76" s="4" t="str">
        <f>IF(ESF[[#This Row],[Prof. (m)]]&gt;=8*ESF[[#This Row],[Ø (cm)]]/100,"OK","lim.")</f>
        <v>lim.</v>
      </c>
      <c r="BI76" s="4" t="str">
        <f>IF(AND(SPT!$F$3&lt;&gt;"",ESF[[#This Row],[Prof. (m)]]&gt;=SPT!$F$3),"lim.","OK")</f>
        <v>OK</v>
      </c>
      <c r="BJ76" s="4" t="str">
        <f>IF(COUNTIFS(ESF[Solo],"Areia",ESF[Prof. (m)],"&lt;="&amp;ESF[[#This Row],[Prof. (m)]])&gt;=1,"lim.","OK")</f>
        <v>OK</v>
      </c>
      <c r="BK76" s="4" t="str">
        <f ca="1">IF(ESF[[#This Row],[Verif. Biela]]="OK","OK","lim.")</f>
        <v>OK</v>
      </c>
      <c r="BL76" s="4" t="str">
        <f ca="1">IF(COUNTA(ESF[[#This Row],[Nº Est.]:[Biela comp.]])=COUNTIF(ESF[[#This Row],[Nº Est.]:[Biela comp.]],"OK"),"OK","lim.")</f>
        <v>lim.</v>
      </c>
      <c r="BM76" s="4" t="str">
        <f ca="1">IF(ESF[[#This Row],[Controle]]="OK",ESF[[#This Row],[nE]]&amp;" Ø"&amp;ESF[[#This Row],[Ø (cm)]]&amp;"cm Prof. "&amp;ESF[[#This Row],[Prof. (m)]]&amp;" m","")</f>
        <v/>
      </c>
      <c r="BN76" s="4" t="str">
        <f ca="1">IF(ESF[[#This Row],[idDimensionamento]]="","",ESF[[#This Row],[idPilar]]&amp;ESF[[#This Row],[idDimensionamento]])</f>
        <v/>
      </c>
    </row>
    <row r="77" spans="2:66" x14ac:dyDescent="0.25">
      <c r="B77" s="12">
        <f>ROUNDUP((ROW(ESF[[#This Row],[idDiâmetro]])-ROW(ESF[[#Headers],[idDiâmetro]]))/(COUNT(SPT[Prof. (m)])*COUNT(PILARES[Pilar])),0)</f>
        <v>3</v>
      </c>
      <c r="C77" s="12">
        <f>IF(ESF[[#This Row],[idDiâmetro]]&lt;&gt;B76,1,IF(ESF[[#This Row],[Prof. (m)]]=0,C76+1,C76))</f>
        <v>2</v>
      </c>
      <c r="D77" s="1">
        <f>IFERROR(IF(D76=MAX(SPT[Prof. (m)]),0,D76+1),0)</f>
        <v>2</v>
      </c>
      <c r="E77" s="1">
        <f>INDEX(SPT[],MATCH(ESF[[#This Row],[Prof. (m)]],SPT[Prof. (m)],0),2)</f>
        <v>2</v>
      </c>
      <c r="F77" s="1" t="str">
        <f>INDEX(SPT[],MATCH(ESF[[#This Row],[Prof. (m)]],SPT[Prof. (m)],0),3)</f>
        <v>Areia siltosa</v>
      </c>
      <c r="G77" s="1">
        <f>INDEX(estacas[],ESF[[#This Row],[idDiâmetro]],MATCH($B$2,estacas[#Headers],0))</f>
        <v>35</v>
      </c>
      <c r="H77" s="1">
        <f>INDEX(estacas[],MATCH(ESF[[#This Row],[Ø (cm)]],estacas[Ø ESF (cm)],0),MATCH(ESF[[#Headers],[Pe ESF (kN)]],estacas[#Headers],0))</f>
        <v>490</v>
      </c>
      <c r="I77" s="4">
        <f>INDEX(K_alpha_C[],MATCH(ESF[[#This Row],[Solo]],K_alpha_C[Solo],0),2)</f>
        <v>0.8</v>
      </c>
      <c r="J77" s="5">
        <f>INDEX(K_alpha_C[],MATCH(ESF[[#This Row],[Solo]],K_alpha_C[Solo],0),3)</f>
        <v>2</v>
      </c>
      <c r="K77" s="4">
        <f>INDEX(F1_F2[],MATCH($D$2,F1_F2[Tipo de estaca],0),2)</f>
        <v>3</v>
      </c>
      <c r="L77" s="4">
        <f>INDEX(F1_F2[],MATCH($D$2,F1_F2[Tipo de estaca],0),3)</f>
        <v>6</v>
      </c>
      <c r="M77" s="4">
        <f>PI()*(ESF[[#This Row],[Ø (cm)]]/100)^2/4</f>
        <v>9.6211275016187398E-2</v>
      </c>
      <c r="N77" s="4">
        <f>PI()*ESF[[#This Row],[Ø (cm)]]/100</f>
        <v>1.0995574287564276</v>
      </c>
      <c r="O77" s="4">
        <f>IF(ESF[[#This Row],[Prof. (m)]]=0,0,ESF[[#This Row],[α (%)]]/100*ESF[[#This Row],[K (MPa)]]*1000*ESF[[#This Row],[NSPT]])</f>
        <v>32</v>
      </c>
      <c r="P77" s="4">
        <f>IF(ESF[[#This Row],[Prof. (m)]]=0,0,(ESF[[#This Row],[K (MPa)]]*1000*ESF[[#This Row],[NSPT]]/ESF[[#This Row],[F1]]*ESF[[#This Row],[Ap (m²)]]+ESF[[#This Row],[U (m)]]/ESF[[#This Row],[F2]]*SUMIFS(ESF[(α∙K∙NL∙ΔL)],ESF[Prof. (m)],"&lt;="&amp;ESF[[#This Row],[Prof. (m)]],ESF[idDiâmetro],ESF[[#This Row],[idDiâmetro]],ESF[idPilar],ESF[[#This Row],[idPilar]]))/'DADOS CAP. CARGA'!$D$2)</f>
        <v>31.520646291017588</v>
      </c>
      <c r="Q77" s="12">
        <f>INDEX(C_alpha_beta[],MATCH(ESF[[#This Row],[Solo]],C_alpha_beta[Solo],0),MATCH(ESF[[#Headers],[C (kPa)]],C_alpha_beta[#Headers],0))</f>
        <v>400</v>
      </c>
      <c r="R77" s="4">
        <f>INDEX(C_alpha_beta[],MATCH(ESF[[#This Row],[Solo]],C_alpha_beta[Solo],0),MATCH(ESF[[#Headers],[α ESF]],C_alpha_beta[#Headers],0))</f>
        <v>0.5</v>
      </c>
      <c r="S77" s="4">
        <f>INDEX(C_alpha_beta[],MATCH(ESF[[#This Row],[Solo]],C_alpha_beta[Solo],0),MATCH(ESF[[#Headers],[β ESF]],C_alpha_beta[#Headers],0))</f>
        <v>0.5</v>
      </c>
      <c r="T77" s="4">
        <f>IF(ESF[[#This Row],[Prof. (m)]]=0,0,10*(ESF[[#This Row],[NSPT]]/3+1))</f>
        <v>16.666666666666664</v>
      </c>
      <c r="U77" s="4">
        <f>(ESF[[#This Row],[α ESF]]*ESF[[#This Row],[C (kPa)]]*ESF[[#This Row],[NSPT]]*ESF[[#This Row],[Ap (m²)]])/'DADOS CAP. CARGA'!$Q$2+(ESF[[#This Row],[β ESF]]*SUMIFS(ESF[10∙(NL/3+1)],ESF[Prof. (m)],"&lt;="&amp;ESF[[#This Row],[Prof. (m)]],ESF[idDiâmetro],ESF[[#This Row],[idDiâmetro]],ESF[idPilar],ESF[[#This Row],[idPilar]])*ESF[[#This Row],[U (m)]])/'DADOS CAP. CARGA'!$S$2</f>
        <v>18.784106074588969</v>
      </c>
      <c r="V77" s="4">
        <f>IF(SPT!$M$5=1,MIN(ESF[[#This Row],[Pe ESF (kN)]],ESF[[#This Row],[R_AV (kN)]]),IF(SPT!$M$5=2,MIN(ESF[[#This Row],[Pe ESF (kN)]],ESF[[#This Row],[R_DC (kN)]]),MIN(ESF[[#This Row],[Pe ESF (kN)]],ESF[[#This Row],[R_AV (kN)]],ESF[[#This Row],[R_DC (kN)]])))</f>
        <v>18.784106074588969</v>
      </c>
      <c r="W77" s="4">
        <f>INDEX(PILARES[],ESF[[#This Row],[idPilar]],MATCH("Carga (kN)",PILARES[#Headers],0))*1.4</f>
        <v>1750</v>
      </c>
      <c r="X77" s="12">
        <f>INDEX(PILARES[],ESF[[#This Row],[idPilar]],MATCH(ESF[[#Headers],[ap (cm)]],PILARES[#Headers],0))</f>
        <v>50</v>
      </c>
      <c r="Y77" s="12">
        <f>INDEX(PILARES[],ESF[[#This Row],[idPilar]],MATCH(ESF[[#Headers],[bp (cm)]],PILARES[#Headers],0))</f>
        <v>40</v>
      </c>
      <c r="Z77" s="4">
        <f>SQRT(ESF[[#This Row],[ap (cm)]]*ESF[[#This Row],[bp (cm)]])</f>
        <v>44.721359549995796</v>
      </c>
      <c r="AA77" s="12">
        <f>ESF[[#This Row],[ap (cm)]]*ESF[[#This Row],[bp (cm)]]</f>
        <v>2000</v>
      </c>
      <c r="AB77" s="12">
        <f ca="1">IF(ESF[[#This Row],[Padm∙ε (kN)]]&gt;=ESF[[#This Row],[Padm (kN)]],ROUNDUP(1.05*ESF[[#This Row],[Nsd (kN)]]/ESF[[#This Row],[Padm (kN)]],0),ROUNDUP(1.05*ESF[[#This Row],[Nsd (kN)]]/ESF[[#This Row],[Padm (kN)]],0)+1)</f>
        <v>98</v>
      </c>
      <c r="AC77" s="4" t="str">
        <f ca="1">IFERROR(IF(ESF[[#This Row],[nE]]=1,ESF[[#This Row],[Padm (kN)]],ESF[[#This Row],[Padm (kN)]]*ESF[[#This Row],[nE]]*INDEX(grupoEstacas[],ESF[[#This Row],[nE]],MATCH("ε",grupoEstacas[#Headers],0))),"N.S.")</f>
        <v>N.S.</v>
      </c>
      <c r="AD77" s="4">
        <f ca="1">1.05*ESF[[#This Row],[Nsd (kN)]]/(ESF[[#This Row],[nE]]*PI()*ESF[[#This Row],[Ø (cm)]]^2/4)*10</f>
        <v>0.19488360378599429</v>
      </c>
      <c r="AE77" s="4">
        <f ca="1">IF(ESF[[#This Row],[σ (MPa)]]&lt;INDEX(tipoEstaca[],MATCH($D$2,tipoEstaca[TIPO DE ESTACA],0),MATCH("σmáx (MPa)",tipoEstaca[#Headers],0)),0.4%*PI()*ESF[[#This Row],[Ø (cm)]]^2/4,"N.S.")</f>
        <v>3.848451000647497</v>
      </c>
      <c r="AF77" s="1">
        <f>INDEX(tipoEstaca[],MATCH($D$2,tipoEstaca[TIPO DE ESTACA],0),MATCH(ESF[[#Headers],[Comprimento (m)]],tipoEstaca[#Headers],0))</f>
        <v>2</v>
      </c>
      <c r="AG77" s="5">
        <f ca="1">ESF[[#This Row],[As,mín (cm²)]]/100^2*ESF[[#This Row],[Comprimento (m)]]*7850</f>
        <v>6.04206807101657</v>
      </c>
      <c r="AH77" s="4">
        <f ca="1">ESF[[#This Row],[nE]]*ESF[[#This Row],[Prof. (m)]]*ESF[[#This Row],[Ap (m²)]]</f>
        <v>18.85740990317273</v>
      </c>
      <c r="AI77" s="1">
        <f ca="1">IF(ESF[[#This Row],[nE]]=1,0,MAX(3*ESF[[#This Row],[Ø (cm)]],60))</f>
        <v>105</v>
      </c>
      <c r="AJ77" s="1">
        <f ca="1">IF(ESF[[#This Row],[nE]]=1,ESF[[#This Row],[Ø (cm)]]+2*10,MAX(1.5*ESF[[#This Row],[Ø (cm)]],ESF[[#This Row],[Ø (cm)]]+15))</f>
        <v>52.5</v>
      </c>
      <c r="AK77" s="1" t="str">
        <f ca="1">alturaUtil(ESF[[#This Row],[nE]],ESF[[#This Row],[Ø (cm)]],ESF[[#This Row],[e (cm)]],ESF[[#This Row],[ap,eq (cm)]])</f>
        <v>N.S.</v>
      </c>
      <c r="AL77" s="1" t="str">
        <f ca="1">IFERROR(ESF[[#This Row],[d (cm)]]+arredondarParaCimaMultiplo5cm(MAX(5,SQRT(PI())/2*ESF[[#This Row],[Ø (cm)]]/5)),"N.S.")</f>
        <v>N.S.</v>
      </c>
      <c r="AM77" s="5" t="str">
        <f ca="1">alpha(ESF[[#This Row],[nE]],ESF[[#This Row],[d (cm)]],ESF[[#This Row],[e (cm)]],ESF[[#This Row],[ap,eq (cm)]])</f>
        <v>N.S.</v>
      </c>
      <c r="AN77" s="35" t="str">
        <f ca="1">IFERROR(ESF[[#This Row],[Nsd (kN)]]/(ESF[[#This Row],[Ap (cm²)]]*SIN(ESF[[#This Row],[α]])^2),"N.S.")</f>
        <v>N.S.</v>
      </c>
      <c r="AO77" s="35" t="str">
        <f ca="1">IFERROR(ESF[[#This Row],[Nsd (kN)]]/(ESF[[#This Row],[nE]]*PI()*ESF[[#This Row],[Ø (cm)]]^2/4*SIN(ESF[[#This Row],[α]])^2),"N.S.")</f>
        <v>N.S.</v>
      </c>
      <c r="AP77" s="4" t="str">
        <f ca="1">IFERROR(INDEX(grupoEstacas[],ESF[[#This Row],[nE]],MATCH("coef. Blévot",grupoEstacas[#Headers],0)),"N.S.")</f>
        <v>N.S.</v>
      </c>
      <c r="AQ77" s="35" t="str">
        <f ca="1">IFERROR(ESF[[#This Row],[coef. Blévot]]*0.9*INDEX(tipoEstaca[],MATCH($D$2,tipoEstaca[TIPO DE ESTACA],0),MATCH("fcd (kN/cm²)",tipoEstaca[#Headers],0)),"N.S.")</f>
        <v>N.S.</v>
      </c>
      <c r="AR77" s="1" t="str">
        <f ca="1">IF(AND(ESF[[#This Row],[cd,b,pil (kN/cm²)]]&lt;=ESF[[#This Row],[cd,b,lim (kN/cm²)]],ESF[[#This Row],[cd,b,est (kN/cm²)]]&lt;=ESF[[#This Row],[cd,b,lim (kN/cm²)]]),"OK","ERRO")</f>
        <v>OK</v>
      </c>
      <c r="AS77" s="4" t="str">
        <f ca="1">As_lado(ESF[[#This Row],[nE]],ESF[[#This Row],[Nsd (kN)]],ESF[[#This Row],[d (cm)]],ESF[[#This Row],[e (cm)]],ESF[[#This Row],[ap,eq (cm)]])</f>
        <v>N.S.</v>
      </c>
      <c r="AT77" s="4" t="str">
        <f ca="1">IF(ESF[[#This Row],[nE]]=1,ESF[[#This Row],[As,lado (cm²)]],IF(ESF[[#This Row],[nE]]=2,0.075*2*ESF[a (cm)],"N.A."))</f>
        <v>N.A.</v>
      </c>
      <c r="AU77" s="4" t="str">
        <f ca="1">IFERROR(IF(ESF[[#This Row],[nE]]=1,"N.A.",0.2*ESF[[#This Row],[As,lado (cm²)]]),"N.S.")</f>
        <v>N.S.</v>
      </c>
      <c r="AV77" s="4" t="str">
        <f ca="1">As_malha(ESF[[#This Row],[nE]],ESF[[#This Row],[As,lado (cm²)]],ESF[[#This Row],[Nsd (kN)]])</f>
        <v>N.S.</v>
      </c>
      <c r="AW77" s="4" t="str">
        <f ca="1">As_susp_tot(ESF[[#This Row],[nE]],ESF[[#This Row],[Nsd (kN)]])</f>
        <v>N.S.</v>
      </c>
      <c r="AX77" s="4" t="str">
        <f ca="1">Asp_face(ESF[[#This Row],[nE]],ESF[[#This Row],[As,lado (cm²)]])</f>
        <v>N.S.</v>
      </c>
      <c r="AY77" s="5" t="str">
        <f ca="1">acoBloco(ESF[[#This Row],[nE]],ESF[[#This Row],[e (cm)]],ESF[[#This Row],[a (cm)]],ESF[[#This Row],[h (cm)]],ESF[[#This Row],[As,lado (cm²)]],ESF[[#This Row],[Asp e Asw (cm²/m)]],ESF[[#This Row],[As,sup (cm²)]],ESF[[#This Row],[As,malha (cm²)]],ESF[[#This Row],[As,susp,tot (cm²)]],ESF[[#This Row],[Asp,face (cm²)]])</f>
        <v>N.S.</v>
      </c>
      <c r="AZ77" s="4" t="str">
        <f ca="1">concretoBloco(ESF[[#This Row],[nE]],ESF[[#This Row],[e (cm)]],ESF[[#This Row],[a (cm)]],ESF[[#This Row],[h (cm)]])</f>
        <v>N.S.</v>
      </c>
      <c r="BA77" s="5">
        <f ca="1">SUM(ESF[[#This Row],[Aço Est (kg)]],ESF[[#This Row],[Aço Bloco (kg)]])</f>
        <v>6.04206807101657</v>
      </c>
      <c r="BB77" s="4">
        <f>INDEX(composicoes[],MATCH(95580,composicoes[CÓDIGO],0),MATCH("CUSTO TOTAL",composicoes[#Headers],0))</f>
        <v>10.46</v>
      </c>
      <c r="BC77" s="4">
        <f ca="1">SUM(ESF[[#This Row],[Conc Est (m³)]],ESF[[#This Row],[Conc Bloco (m³)]])</f>
        <v>18.85740990317273</v>
      </c>
      <c r="BD77" s="4">
        <f>INDEX(composicoes[],MATCH(94966,composicoes[CÓDIGO],0),MATCH("CUSTO TOTAL",composicoes[#Headers],0))</f>
        <v>439.52</v>
      </c>
      <c r="BE77" s="38">
        <f ca="1">ESF[[#This Row],[Aço (kg)]]*ESF[[#This Row],[Aço (R$/kg)]]+ESF[[#This Row],[Conc (m³)]]*ESF[[#This Row],[Conc (R$/m³)]]</f>
        <v>8351.4088326653109</v>
      </c>
      <c r="BF77" s="4" t="str">
        <f ca="1">IF(COUNTIF(ESF[#This Row],"N.S.")&gt;0,"lim.","OK")</f>
        <v>lim.</v>
      </c>
      <c r="BG77" s="4" t="str">
        <f>IF(ESF[[#This Row],[Prof. (m)]]&lt;3,"lim.","OK")</f>
        <v>lim.</v>
      </c>
      <c r="BH77" s="4" t="str">
        <f>IF(ESF[[#This Row],[Prof. (m)]]&gt;=8*ESF[[#This Row],[Ø (cm)]]/100,"OK","lim.")</f>
        <v>lim.</v>
      </c>
      <c r="BI77" s="4" t="str">
        <f>IF(AND(SPT!$F$3&lt;&gt;"",ESF[[#This Row],[Prof. (m)]]&gt;=SPT!$F$3),"lim.","OK")</f>
        <v>OK</v>
      </c>
      <c r="BJ77" s="4" t="str">
        <f>IF(COUNTIFS(ESF[Solo],"Areia",ESF[Prof. (m)],"&lt;="&amp;ESF[[#This Row],[Prof. (m)]])&gt;=1,"lim.","OK")</f>
        <v>OK</v>
      </c>
      <c r="BK77" s="4" t="str">
        <f ca="1">IF(ESF[[#This Row],[Verif. Biela]]="OK","OK","lim.")</f>
        <v>OK</v>
      </c>
      <c r="BL77" s="4" t="str">
        <f ca="1">IF(COUNTA(ESF[[#This Row],[Nº Est.]:[Biela comp.]])=COUNTIF(ESF[[#This Row],[Nº Est.]:[Biela comp.]],"OK"),"OK","lim.")</f>
        <v>lim.</v>
      </c>
      <c r="BM77" s="4" t="str">
        <f ca="1">IF(ESF[[#This Row],[Controle]]="OK",ESF[[#This Row],[nE]]&amp;" Ø"&amp;ESF[[#This Row],[Ø (cm)]]&amp;"cm Prof. "&amp;ESF[[#This Row],[Prof. (m)]]&amp;" m","")</f>
        <v/>
      </c>
      <c r="BN77" s="4" t="str">
        <f ca="1">IF(ESF[[#This Row],[idDimensionamento]]="","",ESF[[#This Row],[idPilar]]&amp;ESF[[#This Row],[idDimensionamento]])</f>
        <v/>
      </c>
    </row>
    <row r="78" spans="2:66" x14ac:dyDescent="0.25">
      <c r="B78" s="12">
        <f>ROUNDUP((ROW(ESF[[#This Row],[idDiâmetro]])-ROW(ESF[[#Headers],[idDiâmetro]]))/(COUNT(SPT[Prof. (m)])*COUNT(PILARES[Pilar])),0)</f>
        <v>3</v>
      </c>
      <c r="C78" s="12">
        <f>IF(ESF[[#This Row],[idDiâmetro]]&lt;&gt;B77,1,IF(ESF[[#This Row],[Prof. (m)]]=0,C77+1,C77))</f>
        <v>2</v>
      </c>
      <c r="D78" s="1">
        <f>IFERROR(IF(D77=MAX(SPT[Prof. (m)]),0,D77+1),0)</f>
        <v>3</v>
      </c>
      <c r="E78" s="1">
        <f>INDEX(SPT[],MATCH(ESF[[#This Row],[Prof. (m)]],SPT[Prof. (m)],0),2)</f>
        <v>4</v>
      </c>
      <c r="F78" s="1" t="str">
        <f>INDEX(SPT[],MATCH(ESF[[#This Row],[Prof. (m)]],SPT[Prof. (m)],0),3)</f>
        <v>Areia siltosa</v>
      </c>
      <c r="G78" s="1">
        <f>INDEX(estacas[],ESF[[#This Row],[idDiâmetro]],MATCH($B$2,estacas[#Headers],0))</f>
        <v>35</v>
      </c>
      <c r="H78" s="1">
        <f>INDEX(estacas[],MATCH(ESF[[#This Row],[Ø (cm)]],estacas[Ø ESF (cm)],0),MATCH(ESF[[#Headers],[Pe ESF (kN)]],estacas[#Headers],0))</f>
        <v>490</v>
      </c>
      <c r="I78" s="4">
        <f>INDEX(K_alpha_C[],MATCH(ESF[[#This Row],[Solo]],K_alpha_C[Solo],0),2)</f>
        <v>0.8</v>
      </c>
      <c r="J78" s="5">
        <f>INDEX(K_alpha_C[],MATCH(ESF[[#This Row],[Solo]],K_alpha_C[Solo],0),3)</f>
        <v>2</v>
      </c>
      <c r="K78" s="4">
        <f>INDEX(F1_F2[],MATCH($D$2,F1_F2[Tipo de estaca],0),2)</f>
        <v>3</v>
      </c>
      <c r="L78" s="4">
        <f>INDEX(F1_F2[],MATCH($D$2,F1_F2[Tipo de estaca],0),3)</f>
        <v>6</v>
      </c>
      <c r="M78" s="4">
        <f>PI()*(ESF[[#This Row],[Ø (cm)]]/100)^2/4</f>
        <v>9.6211275016187398E-2</v>
      </c>
      <c r="N78" s="4">
        <f>PI()*ESF[[#This Row],[Ø (cm)]]/100</f>
        <v>1.0995574287564276</v>
      </c>
      <c r="O78" s="4">
        <f>IF(ESF[[#This Row],[Prof. (m)]]=0,0,ESF[[#This Row],[α (%)]]/100*ESF[[#This Row],[K (MPa)]]*1000*ESF[[#This Row],[NSPT]])</f>
        <v>64</v>
      </c>
      <c r="P78" s="4">
        <f>IF(ESF[[#This Row],[Prof. (m)]]=0,0,(ESF[[#This Row],[K (MPa)]]*1000*ESF[[#This Row],[NSPT]]/ESF[[#This Row],[F1]]*ESF[[#This Row],[Ap (m²)]]+ESF[[#This Row],[U (m)]]/ESF[[#This Row],[F2]]*SUMIFS(ESF[(α∙K∙NL∙ΔL)],ESF[Prof. (m)],"&lt;="&amp;ESF[[#This Row],[Prof. (m)]],ESF[idDiâmetro],ESF[[#This Row],[idDiâmetro]],ESF[idPilar],ESF[[#This Row],[idPilar]]))/'DADOS CAP. CARGA'!$D$2)</f>
        <v>63.041292582035176</v>
      </c>
      <c r="Q78" s="12">
        <f>INDEX(C_alpha_beta[],MATCH(ESF[[#This Row],[Solo]],C_alpha_beta[Solo],0),MATCH(ESF[[#Headers],[C (kPa)]],C_alpha_beta[#Headers],0))</f>
        <v>400</v>
      </c>
      <c r="R78" s="4">
        <f>INDEX(C_alpha_beta[],MATCH(ESF[[#This Row],[Solo]],C_alpha_beta[Solo],0),MATCH(ESF[[#Headers],[α ESF]],C_alpha_beta[#Headers],0))</f>
        <v>0.5</v>
      </c>
      <c r="S78" s="4">
        <f>INDEX(C_alpha_beta[],MATCH(ESF[[#This Row],[Solo]],C_alpha_beta[Solo],0),MATCH(ESF[[#Headers],[β ESF]],C_alpha_beta[#Headers],0))</f>
        <v>0.5</v>
      </c>
      <c r="T78" s="4">
        <f>IF(ESF[[#This Row],[Prof. (m)]]=0,0,10*(ESF[[#This Row],[NSPT]]/3+1))</f>
        <v>23.333333333333329</v>
      </c>
      <c r="U78" s="4">
        <f>(ESF[[#This Row],[α ESF]]*ESF[[#This Row],[C (kPa)]]*ESF[[#This Row],[NSPT]]*ESF[[#This Row],[Ap (m²)]])/'DADOS CAP. CARGA'!$Q$2+(ESF[[#This Row],[β ESF]]*SUMIFS(ESF[10∙(NL/3+1)],ESF[Prof. (m)],"&lt;="&amp;ESF[[#This Row],[Prof. (m)]],ESF[idDiâmetro],ESF[[#This Row],[idDiâmetro]],ESF[idPilar],ESF[[#This Row],[idPilar]])*ESF[[#This Row],[U (m)]])/'DADOS CAP. CARGA'!$S$2</f>
        <v>34.819318577286865</v>
      </c>
      <c r="V78" s="4">
        <f>IF(SPT!$M$5=1,MIN(ESF[[#This Row],[Pe ESF (kN)]],ESF[[#This Row],[R_AV (kN)]]),IF(SPT!$M$5=2,MIN(ESF[[#This Row],[Pe ESF (kN)]],ESF[[#This Row],[R_DC (kN)]]),MIN(ESF[[#This Row],[Pe ESF (kN)]],ESF[[#This Row],[R_AV (kN)]],ESF[[#This Row],[R_DC (kN)]])))</f>
        <v>34.819318577286865</v>
      </c>
      <c r="W78" s="4">
        <f>INDEX(PILARES[],ESF[[#This Row],[idPilar]],MATCH("Carga (kN)",PILARES[#Headers],0))*1.4</f>
        <v>1750</v>
      </c>
      <c r="X78" s="12">
        <f>INDEX(PILARES[],ESF[[#This Row],[idPilar]],MATCH(ESF[[#Headers],[ap (cm)]],PILARES[#Headers],0))</f>
        <v>50</v>
      </c>
      <c r="Y78" s="12">
        <f>INDEX(PILARES[],ESF[[#This Row],[idPilar]],MATCH(ESF[[#Headers],[bp (cm)]],PILARES[#Headers],0))</f>
        <v>40</v>
      </c>
      <c r="Z78" s="4">
        <f>SQRT(ESF[[#This Row],[ap (cm)]]*ESF[[#This Row],[bp (cm)]])</f>
        <v>44.721359549995796</v>
      </c>
      <c r="AA78" s="12">
        <f>ESF[[#This Row],[ap (cm)]]*ESF[[#This Row],[bp (cm)]]</f>
        <v>2000</v>
      </c>
      <c r="AB78" s="12">
        <f ca="1">IF(ESF[[#This Row],[Padm∙ε (kN)]]&gt;=ESF[[#This Row],[Padm (kN)]],ROUNDUP(1.05*ESF[[#This Row],[Nsd (kN)]]/ESF[[#This Row],[Padm (kN)]],0),ROUNDUP(1.05*ESF[[#This Row],[Nsd (kN)]]/ESF[[#This Row],[Padm (kN)]],0)+1)</f>
        <v>53</v>
      </c>
      <c r="AC78" s="4" t="str">
        <f ca="1">IFERROR(IF(ESF[[#This Row],[nE]]=1,ESF[[#This Row],[Padm (kN)]],ESF[[#This Row],[Padm (kN)]]*ESF[[#This Row],[nE]]*INDEX(grupoEstacas[],ESF[[#This Row],[nE]],MATCH("ε",grupoEstacas[#Headers],0))),"N.S.")</f>
        <v>N.S.</v>
      </c>
      <c r="AD78" s="4">
        <f ca="1">1.05*ESF[[#This Row],[Nsd (kN)]]/(ESF[[#This Row],[nE]]*PI()*ESF[[#This Row],[Ø (cm)]]^2/4)*10</f>
        <v>0.36035081454768753</v>
      </c>
      <c r="AE78" s="4">
        <f ca="1">IF(ESF[[#This Row],[σ (MPa)]]&lt;INDEX(tipoEstaca[],MATCH($D$2,tipoEstaca[TIPO DE ESTACA],0),MATCH("σmáx (MPa)",tipoEstaca[#Headers],0)),0.4%*PI()*ESF[[#This Row],[Ø (cm)]]^2/4,"N.S.")</f>
        <v>3.848451000647497</v>
      </c>
      <c r="AF78" s="1">
        <f>INDEX(tipoEstaca[],MATCH($D$2,tipoEstaca[TIPO DE ESTACA],0),MATCH(ESF[[#Headers],[Comprimento (m)]],tipoEstaca[#Headers],0))</f>
        <v>2</v>
      </c>
      <c r="AG78" s="5">
        <f ca="1">ESF[[#This Row],[As,mín (cm²)]]/100^2*ESF[[#This Row],[Comprimento (m)]]*7850</f>
        <v>6.04206807101657</v>
      </c>
      <c r="AH78" s="4">
        <f ca="1">ESF[[#This Row],[nE]]*ESF[[#This Row],[Prof. (m)]]*ESF[[#This Row],[Ap (m²)]]</f>
        <v>15.297592727573797</v>
      </c>
      <c r="AI78" s="1">
        <f ca="1">IF(ESF[[#This Row],[nE]]=1,0,MAX(3*ESF[[#This Row],[Ø (cm)]],60))</f>
        <v>105</v>
      </c>
      <c r="AJ78" s="1">
        <f ca="1">IF(ESF[[#This Row],[nE]]=1,ESF[[#This Row],[Ø (cm)]]+2*10,MAX(1.5*ESF[[#This Row],[Ø (cm)]],ESF[[#This Row],[Ø (cm)]]+15))</f>
        <v>52.5</v>
      </c>
      <c r="AK78" s="1" t="str">
        <f ca="1">alturaUtil(ESF[[#This Row],[nE]],ESF[[#This Row],[Ø (cm)]],ESF[[#This Row],[e (cm)]],ESF[[#This Row],[ap,eq (cm)]])</f>
        <v>N.S.</v>
      </c>
      <c r="AL78" s="1" t="str">
        <f ca="1">IFERROR(ESF[[#This Row],[d (cm)]]+arredondarParaCimaMultiplo5cm(MAX(5,SQRT(PI())/2*ESF[[#This Row],[Ø (cm)]]/5)),"N.S.")</f>
        <v>N.S.</v>
      </c>
      <c r="AM78" s="5" t="str">
        <f ca="1">alpha(ESF[[#This Row],[nE]],ESF[[#This Row],[d (cm)]],ESF[[#This Row],[e (cm)]],ESF[[#This Row],[ap,eq (cm)]])</f>
        <v>N.S.</v>
      </c>
      <c r="AN78" s="35" t="str">
        <f ca="1">IFERROR(ESF[[#This Row],[Nsd (kN)]]/(ESF[[#This Row],[Ap (cm²)]]*SIN(ESF[[#This Row],[α]])^2),"N.S.")</f>
        <v>N.S.</v>
      </c>
      <c r="AO78" s="35" t="str">
        <f ca="1">IFERROR(ESF[[#This Row],[Nsd (kN)]]/(ESF[[#This Row],[nE]]*PI()*ESF[[#This Row],[Ø (cm)]]^2/4*SIN(ESF[[#This Row],[α]])^2),"N.S.")</f>
        <v>N.S.</v>
      </c>
      <c r="AP78" s="4" t="str">
        <f ca="1">IFERROR(INDEX(grupoEstacas[],ESF[[#This Row],[nE]],MATCH("coef. Blévot",grupoEstacas[#Headers],0)),"N.S.")</f>
        <v>N.S.</v>
      </c>
      <c r="AQ78" s="35" t="str">
        <f ca="1">IFERROR(ESF[[#This Row],[coef. Blévot]]*0.9*INDEX(tipoEstaca[],MATCH($D$2,tipoEstaca[TIPO DE ESTACA],0),MATCH("fcd (kN/cm²)",tipoEstaca[#Headers],0)),"N.S.")</f>
        <v>N.S.</v>
      </c>
      <c r="AR78" s="1" t="str">
        <f ca="1">IF(AND(ESF[[#This Row],[cd,b,pil (kN/cm²)]]&lt;=ESF[[#This Row],[cd,b,lim (kN/cm²)]],ESF[[#This Row],[cd,b,est (kN/cm²)]]&lt;=ESF[[#This Row],[cd,b,lim (kN/cm²)]]),"OK","ERRO")</f>
        <v>OK</v>
      </c>
      <c r="AS78" s="4" t="str">
        <f ca="1">As_lado(ESF[[#This Row],[nE]],ESF[[#This Row],[Nsd (kN)]],ESF[[#This Row],[d (cm)]],ESF[[#This Row],[e (cm)]],ESF[[#This Row],[ap,eq (cm)]])</f>
        <v>N.S.</v>
      </c>
      <c r="AT78" s="4" t="str">
        <f ca="1">IF(ESF[[#This Row],[nE]]=1,ESF[[#This Row],[As,lado (cm²)]],IF(ESF[[#This Row],[nE]]=2,0.075*2*ESF[a (cm)],"N.A."))</f>
        <v>N.A.</v>
      </c>
      <c r="AU78" s="4" t="str">
        <f ca="1">IFERROR(IF(ESF[[#This Row],[nE]]=1,"N.A.",0.2*ESF[[#This Row],[As,lado (cm²)]]),"N.S.")</f>
        <v>N.S.</v>
      </c>
      <c r="AV78" s="4" t="str">
        <f ca="1">As_malha(ESF[[#This Row],[nE]],ESF[[#This Row],[As,lado (cm²)]],ESF[[#This Row],[Nsd (kN)]])</f>
        <v>N.S.</v>
      </c>
      <c r="AW78" s="4" t="str">
        <f ca="1">As_susp_tot(ESF[[#This Row],[nE]],ESF[[#This Row],[Nsd (kN)]])</f>
        <v>N.S.</v>
      </c>
      <c r="AX78" s="4" t="str">
        <f ca="1">Asp_face(ESF[[#This Row],[nE]],ESF[[#This Row],[As,lado (cm²)]])</f>
        <v>N.S.</v>
      </c>
      <c r="AY78" s="5" t="str">
        <f ca="1">acoBloco(ESF[[#This Row],[nE]],ESF[[#This Row],[e (cm)]],ESF[[#This Row],[a (cm)]],ESF[[#This Row],[h (cm)]],ESF[[#This Row],[As,lado (cm²)]],ESF[[#This Row],[Asp e Asw (cm²/m)]],ESF[[#This Row],[As,sup (cm²)]],ESF[[#This Row],[As,malha (cm²)]],ESF[[#This Row],[As,susp,tot (cm²)]],ESF[[#This Row],[Asp,face (cm²)]])</f>
        <v>N.S.</v>
      </c>
      <c r="AZ78" s="4" t="str">
        <f ca="1">concretoBloco(ESF[[#This Row],[nE]],ESF[[#This Row],[e (cm)]],ESF[[#This Row],[a (cm)]],ESF[[#This Row],[h (cm)]])</f>
        <v>N.S.</v>
      </c>
      <c r="BA78" s="5">
        <f ca="1">SUM(ESF[[#This Row],[Aço Est (kg)]],ESF[[#This Row],[Aço Bloco (kg)]])</f>
        <v>6.04206807101657</v>
      </c>
      <c r="BB78" s="4">
        <f>INDEX(composicoes[],MATCH(95580,composicoes[CÓDIGO],0),MATCH("CUSTO TOTAL",composicoes[#Headers],0))</f>
        <v>10.46</v>
      </c>
      <c r="BC78" s="4">
        <f ca="1">SUM(ESF[[#This Row],[Conc Est (m³)]],ESF[[#This Row],[Conc Bloco (m³)]])</f>
        <v>15.297592727573797</v>
      </c>
      <c r="BD78" s="4">
        <f>INDEX(composicoes[],MATCH(94966,composicoes[CÓDIGO],0),MATCH("CUSTO TOTAL",composicoes[#Headers],0))</f>
        <v>439.52</v>
      </c>
      <c r="BE78" s="38">
        <f ca="1">ESF[[#This Row],[Aço (kg)]]*ESF[[#This Row],[Aço (R$/kg)]]+ESF[[#This Row],[Conc (m³)]]*ESF[[#This Row],[Conc (R$/m³)]]</f>
        <v>6786.7979876460686</v>
      </c>
      <c r="BF78" s="4" t="str">
        <f ca="1">IF(COUNTIF(ESF[#This Row],"N.S.")&gt;0,"lim.","OK")</f>
        <v>lim.</v>
      </c>
      <c r="BG78" s="4" t="str">
        <f>IF(ESF[[#This Row],[Prof. (m)]]&lt;3,"lim.","OK")</f>
        <v>OK</v>
      </c>
      <c r="BH78" s="4" t="str">
        <f>IF(ESF[[#This Row],[Prof. (m)]]&gt;=8*ESF[[#This Row],[Ø (cm)]]/100,"OK","lim.")</f>
        <v>OK</v>
      </c>
      <c r="BI78" s="4" t="str">
        <f>IF(AND(SPT!$F$3&lt;&gt;"",ESF[[#This Row],[Prof. (m)]]&gt;=SPT!$F$3),"lim.","OK")</f>
        <v>OK</v>
      </c>
      <c r="BJ78" s="4" t="str">
        <f>IF(COUNTIFS(ESF[Solo],"Areia",ESF[Prof. (m)],"&lt;="&amp;ESF[[#This Row],[Prof. (m)]])&gt;=1,"lim.","OK")</f>
        <v>OK</v>
      </c>
      <c r="BK78" s="4" t="str">
        <f ca="1">IF(ESF[[#This Row],[Verif. Biela]]="OK","OK","lim.")</f>
        <v>OK</v>
      </c>
      <c r="BL78" s="4" t="str">
        <f ca="1">IF(COUNTA(ESF[[#This Row],[Nº Est.]:[Biela comp.]])=COUNTIF(ESF[[#This Row],[Nº Est.]:[Biela comp.]],"OK"),"OK","lim.")</f>
        <v>lim.</v>
      </c>
      <c r="BM78" s="4" t="str">
        <f ca="1">IF(ESF[[#This Row],[Controle]]="OK",ESF[[#This Row],[nE]]&amp;" Ø"&amp;ESF[[#This Row],[Ø (cm)]]&amp;"cm Prof. "&amp;ESF[[#This Row],[Prof. (m)]]&amp;" m","")</f>
        <v/>
      </c>
      <c r="BN78" s="4" t="str">
        <f ca="1">IF(ESF[[#This Row],[idDimensionamento]]="","",ESF[[#This Row],[idPilar]]&amp;ESF[[#This Row],[idDimensionamento]])</f>
        <v/>
      </c>
    </row>
    <row r="79" spans="2:66" x14ac:dyDescent="0.25">
      <c r="B79" s="12">
        <f>ROUNDUP((ROW(ESF[[#This Row],[idDiâmetro]])-ROW(ESF[[#Headers],[idDiâmetro]]))/(COUNT(SPT[Prof. (m)])*COUNT(PILARES[Pilar])),0)</f>
        <v>3</v>
      </c>
      <c r="C79" s="12">
        <f>IF(ESF[[#This Row],[idDiâmetro]]&lt;&gt;B78,1,IF(ESF[[#This Row],[Prof. (m)]]=0,C78+1,C78))</f>
        <v>2</v>
      </c>
      <c r="D79" s="1">
        <f>IFERROR(IF(D78=MAX(SPT[Prof. (m)]),0,D78+1),0)</f>
        <v>4</v>
      </c>
      <c r="E79" s="1">
        <f>INDEX(SPT[],MATCH(ESF[[#This Row],[Prof. (m)]],SPT[Prof. (m)],0),2)</f>
        <v>8</v>
      </c>
      <c r="F79" s="1" t="str">
        <f>INDEX(SPT[],MATCH(ESF[[#This Row],[Prof. (m)]],SPT[Prof. (m)],0),3)</f>
        <v>Areia siltosa</v>
      </c>
      <c r="G79" s="1">
        <f>INDEX(estacas[],ESF[[#This Row],[idDiâmetro]],MATCH($B$2,estacas[#Headers],0))</f>
        <v>35</v>
      </c>
      <c r="H79" s="1">
        <f>INDEX(estacas[],MATCH(ESF[[#This Row],[Ø (cm)]],estacas[Ø ESF (cm)],0),MATCH(ESF[[#Headers],[Pe ESF (kN)]],estacas[#Headers],0))</f>
        <v>490</v>
      </c>
      <c r="I79" s="4">
        <f>INDEX(K_alpha_C[],MATCH(ESF[[#This Row],[Solo]],K_alpha_C[Solo],0),2)</f>
        <v>0.8</v>
      </c>
      <c r="J79" s="5">
        <f>INDEX(K_alpha_C[],MATCH(ESF[[#This Row],[Solo]],K_alpha_C[Solo],0),3)</f>
        <v>2</v>
      </c>
      <c r="K79" s="4">
        <f>INDEX(F1_F2[],MATCH($D$2,F1_F2[Tipo de estaca],0),2)</f>
        <v>3</v>
      </c>
      <c r="L79" s="4">
        <f>INDEX(F1_F2[],MATCH($D$2,F1_F2[Tipo de estaca],0),3)</f>
        <v>6</v>
      </c>
      <c r="M79" s="4">
        <f>PI()*(ESF[[#This Row],[Ø (cm)]]/100)^2/4</f>
        <v>9.6211275016187398E-2</v>
      </c>
      <c r="N79" s="4">
        <f>PI()*ESF[[#This Row],[Ø (cm)]]/100</f>
        <v>1.0995574287564276</v>
      </c>
      <c r="O79" s="4">
        <f>IF(ESF[[#This Row],[Prof. (m)]]=0,0,ESF[[#This Row],[α (%)]]/100*ESF[[#This Row],[K (MPa)]]*1000*ESF[[#This Row],[NSPT]])</f>
        <v>128</v>
      </c>
      <c r="P79" s="4">
        <f>IF(ESF[[#This Row],[Prof. (m)]]=0,0,(ESF[[#This Row],[K (MPa)]]*1000*ESF[[#This Row],[NSPT]]/ESF[[#This Row],[F1]]*ESF[[#This Row],[Ap (m²)]]+ESF[[#This Row],[U (m)]]/ESF[[#This Row],[F2]]*SUMIFS(ESF[(α∙K∙NL∙ΔL)],ESF[Prof. (m)],"&lt;="&amp;ESF[[#This Row],[Prof. (m)]],ESF[idDiâmetro],ESF[[#This Row],[idDiâmetro]],ESF[idPilar],ESF[[#This Row],[idPilar]]))/'DADOS CAP. CARGA'!$D$2)</f>
        <v>126.08258516407035</v>
      </c>
      <c r="Q79" s="12">
        <f>INDEX(C_alpha_beta[],MATCH(ESF[[#This Row],[Solo]],C_alpha_beta[Solo],0),MATCH(ESF[[#Headers],[C (kPa)]],C_alpha_beta[#Headers],0))</f>
        <v>400</v>
      </c>
      <c r="R79" s="4">
        <f>INDEX(C_alpha_beta[],MATCH(ESF[[#This Row],[Solo]],C_alpha_beta[Solo],0),MATCH(ESF[[#Headers],[α ESF]],C_alpha_beta[#Headers],0))</f>
        <v>0.5</v>
      </c>
      <c r="S79" s="4">
        <f>INDEX(C_alpha_beta[],MATCH(ESF[[#This Row],[Solo]],C_alpha_beta[Solo],0),MATCH(ESF[[#Headers],[β ESF]],C_alpha_beta[#Headers],0))</f>
        <v>0.5</v>
      </c>
      <c r="T79" s="4">
        <f>IF(ESF[[#This Row],[Prof. (m)]]=0,0,10*(ESF[[#This Row],[NSPT]]/3+1))</f>
        <v>36.666666666666664</v>
      </c>
      <c r="U79" s="4">
        <f>(ESF[[#This Row],[α ESF]]*ESF[[#This Row],[C (kPa)]]*ESF[[#This Row],[NSPT]]*ESF[[#This Row],[Ap (m²)]])/'DADOS CAP. CARGA'!$Q$2+(ESF[[#This Row],[β ESF]]*SUMIFS(ESF[10∙(NL/3+1)],ESF[Prof. (m)],"&lt;="&amp;ESF[[#This Row],[Prof. (m)]],ESF[idDiâmetro],ESF[[#This Row],[idDiâmetro]],ESF[idPilar],ESF[[#This Row],[idPilar]])*ESF[[#This Row],[U (m)]])/'DADOS CAP. CARGA'!$S$2</f>
        <v>64.140850010791596</v>
      </c>
      <c r="V79" s="4">
        <f>IF(SPT!$M$5=1,MIN(ESF[[#This Row],[Pe ESF (kN)]],ESF[[#This Row],[R_AV (kN)]]),IF(SPT!$M$5=2,MIN(ESF[[#This Row],[Pe ESF (kN)]],ESF[[#This Row],[R_DC (kN)]]),MIN(ESF[[#This Row],[Pe ESF (kN)]],ESF[[#This Row],[R_AV (kN)]],ESF[[#This Row],[R_DC (kN)]])))</f>
        <v>64.140850010791596</v>
      </c>
      <c r="W79" s="4">
        <f>INDEX(PILARES[],ESF[[#This Row],[idPilar]],MATCH("Carga (kN)",PILARES[#Headers],0))*1.4</f>
        <v>1750</v>
      </c>
      <c r="X79" s="12">
        <f>INDEX(PILARES[],ESF[[#This Row],[idPilar]],MATCH(ESF[[#Headers],[ap (cm)]],PILARES[#Headers],0))</f>
        <v>50</v>
      </c>
      <c r="Y79" s="12">
        <f>INDEX(PILARES[],ESF[[#This Row],[idPilar]],MATCH(ESF[[#Headers],[bp (cm)]],PILARES[#Headers],0))</f>
        <v>40</v>
      </c>
      <c r="Z79" s="4">
        <f>SQRT(ESF[[#This Row],[ap (cm)]]*ESF[[#This Row],[bp (cm)]])</f>
        <v>44.721359549995796</v>
      </c>
      <c r="AA79" s="12">
        <f>ESF[[#This Row],[ap (cm)]]*ESF[[#This Row],[bp (cm)]]</f>
        <v>2000</v>
      </c>
      <c r="AB79" s="12">
        <f ca="1">IF(ESF[[#This Row],[Padm∙ε (kN)]]&gt;=ESF[[#This Row],[Padm (kN)]],ROUNDUP(1.05*ESF[[#This Row],[Nsd (kN)]]/ESF[[#This Row],[Padm (kN)]],0),ROUNDUP(1.05*ESF[[#This Row],[Nsd (kN)]]/ESF[[#This Row],[Padm (kN)]],0)+1)</f>
        <v>29</v>
      </c>
      <c r="AC79" s="4" t="str">
        <f ca="1">IFERROR(IF(ESF[[#This Row],[nE]]=1,ESF[[#This Row],[Padm (kN)]],ESF[[#This Row],[Padm (kN)]]*ESF[[#This Row],[nE]]*INDEX(grupoEstacas[],ESF[[#This Row],[nE]],MATCH("ε",grupoEstacas[#Headers],0))),"N.S.")</f>
        <v>N.S.</v>
      </c>
      <c r="AD79" s="4">
        <f ca="1">1.05*ESF[[#This Row],[Nsd (kN)]]/(ESF[[#This Row],[nE]]*PI()*ESF[[#This Row],[Ø (cm)]]^2/4)*10</f>
        <v>0.658572178311291</v>
      </c>
      <c r="AE79" s="4">
        <f ca="1">IF(ESF[[#This Row],[σ (MPa)]]&lt;INDEX(tipoEstaca[],MATCH($D$2,tipoEstaca[TIPO DE ESTACA],0),MATCH("σmáx (MPa)",tipoEstaca[#Headers],0)),0.4%*PI()*ESF[[#This Row],[Ø (cm)]]^2/4,"N.S.")</f>
        <v>3.848451000647497</v>
      </c>
      <c r="AF79" s="1">
        <f>INDEX(tipoEstaca[],MATCH($D$2,tipoEstaca[TIPO DE ESTACA],0),MATCH(ESF[[#Headers],[Comprimento (m)]],tipoEstaca[#Headers],0))</f>
        <v>2</v>
      </c>
      <c r="AG79" s="5">
        <f ca="1">ESF[[#This Row],[As,mín (cm²)]]/100^2*ESF[[#This Row],[Comprimento (m)]]*7850</f>
        <v>6.04206807101657</v>
      </c>
      <c r="AH79" s="4">
        <f ca="1">ESF[[#This Row],[nE]]*ESF[[#This Row],[Prof. (m)]]*ESF[[#This Row],[Ap (m²)]]</f>
        <v>11.160507901877738</v>
      </c>
      <c r="AI79" s="1">
        <f ca="1">IF(ESF[[#This Row],[nE]]=1,0,MAX(3*ESF[[#This Row],[Ø (cm)]],60))</f>
        <v>105</v>
      </c>
      <c r="AJ79" s="1">
        <f ca="1">IF(ESF[[#This Row],[nE]]=1,ESF[[#This Row],[Ø (cm)]]+2*10,MAX(1.5*ESF[[#This Row],[Ø (cm)]],ESF[[#This Row],[Ø (cm)]]+15))</f>
        <v>52.5</v>
      </c>
      <c r="AK79" s="1" t="str">
        <f ca="1">alturaUtil(ESF[[#This Row],[nE]],ESF[[#This Row],[Ø (cm)]],ESF[[#This Row],[e (cm)]],ESF[[#This Row],[ap,eq (cm)]])</f>
        <v>N.S.</v>
      </c>
      <c r="AL79" s="1" t="str">
        <f ca="1">IFERROR(ESF[[#This Row],[d (cm)]]+arredondarParaCimaMultiplo5cm(MAX(5,SQRT(PI())/2*ESF[[#This Row],[Ø (cm)]]/5)),"N.S.")</f>
        <v>N.S.</v>
      </c>
      <c r="AM79" s="5" t="str">
        <f ca="1">alpha(ESF[[#This Row],[nE]],ESF[[#This Row],[d (cm)]],ESF[[#This Row],[e (cm)]],ESF[[#This Row],[ap,eq (cm)]])</f>
        <v>N.S.</v>
      </c>
      <c r="AN79" s="35" t="str">
        <f ca="1">IFERROR(ESF[[#This Row],[Nsd (kN)]]/(ESF[[#This Row],[Ap (cm²)]]*SIN(ESF[[#This Row],[α]])^2),"N.S.")</f>
        <v>N.S.</v>
      </c>
      <c r="AO79" s="35" t="str">
        <f ca="1">IFERROR(ESF[[#This Row],[Nsd (kN)]]/(ESF[[#This Row],[nE]]*PI()*ESF[[#This Row],[Ø (cm)]]^2/4*SIN(ESF[[#This Row],[α]])^2),"N.S.")</f>
        <v>N.S.</v>
      </c>
      <c r="AP79" s="4" t="str">
        <f ca="1">IFERROR(INDEX(grupoEstacas[],ESF[[#This Row],[nE]],MATCH("coef. Blévot",grupoEstacas[#Headers],0)),"N.S.")</f>
        <v>N.S.</v>
      </c>
      <c r="AQ79" s="35" t="str">
        <f ca="1">IFERROR(ESF[[#This Row],[coef. Blévot]]*0.9*INDEX(tipoEstaca[],MATCH($D$2,tipoEstaca[TIPO DE ESTACA],0),MATCH("fcd (kN/cm²)",tipoEstaca[#Headers],0)),"N.S.")</f>
        <v>N.S.</v>
      </c>
      <c r="AR79" s="1" t="str">
        <f ca="1">IF(AND(ESF[[#This Row],[cd,b,pil (kN/cm²)]]&lt;=ESF[[#This Row],[cd,b,lim (kN/cm²)]],ESF[[#This Row],[cd,b,est (kN/cm²)]]&lt;=ESF[[#This Row],[cd,b,lim (kN/cm²)]]),"OK","ERRO")</f>
        <v>OK</v>
      </c>
      <c r="AS79" s="4" t="str">
        <f ca="1">As_lado(ESF[[#This Row],[nE]],ESF[[#This Row],[Nsd (kN)]],ESF[[#This Row],[d (cm)]],ESF[[#This Row],[e (cm)]],ESF[[#This Row],[ap,eq (cm)]])</f>
        <v>N.S.</v>
      </c>
      <c r="AT79" s="4" t="str">
        <f ca="1">IF(ESF[[#This Row],[nE]]=1,ESF[[#This Row],[As,lado (cm²)]],IF(ESF[[#This Row],[nE]]=2,0.075*2*ESF[a (cm)],"N.A."))</f>
        <v>N.A.</v>
      </c>
      <c r="AU79" s="4" t="str">
        <f ca="1">IFERROR(IF(ESF[[#This Row],[nE]]=1,"N.A.",0.2*ESF[[#This Row],[As,lado (cm²)]]),"N.S.")</f>
        <v>N.S.</v>
      </c>
      <c r="AV79" s="4" t="str">
        <f ca="1">As_malha(ESF[[#This Row],[nE]],ESF[[#This Row],[As,lado (cm²)]],ESF[[#This Row],[Nsd (kN)]])</f>
        <v>N.S.</v>
      </c>
      <c r="AW79" s="4" t="str">
        <f ca="1">As_susp_tot(ESF[[#This Row],[nE]],ESF[[#This Row],[Nsd (kN)]])</f>
        <v>N.S.</v>
      </c>
      <c r="AX79" s="4" t="str">
        <f ca="1">Asp_face(ESF[[#This Row],[nE]],ESF[[#This Row],[As,lado (cm²)]])</f>
        <v>N.S.</v>
      </c>
      <c r="AY79" s="5" t="str">
        <f ca="1">acoBloco(ESF[[#This Row],[nE]],ESF[[#This Row],[e (cm)]],ESF[[#This Row],[a (cm)]],ESF[[#This Row],[h (cm)]],ESF[[#This Row],[As,lado (cm²)]],ESF[[#This Row],[Asp e Asw (cm²/m)]],ESF[[#This Row],[As,sup (cm²)]],ESF[[#This Row],[As,malha (cm²)]],ESF[[#This Row],[As,susp,tot (cm²)]],ESF[[#This Row],[Asp,face (cm²)]])</f>
        <v>N.S.</v>
      </c>
      <c r="AZ79" s="4" t="str">
        <f ca="1">concretoBloco(ESF[[#This Row],[nE]],ESF[[#This Row],[e (cm)]],ESF[[#This Row],[a (cm)]],ESF[[#This Row],[h (cm)]])</f>
        <v>N.S.</v>
      </c>
      <c r="BA79" s="5">
        <f ca="1">SUM(ESF[[#This Row],[Aço Est (kg)]],ESF[[#This Row],[Aço Bloco (kg)]])</f>
        <v>6.04206807101657</v>
      </c>
      <c r="BB79" s="4">
        <f>INDEX(composicoes[],MATCH(95580,composicoes[CÓDIGO],0),MATCH("CUSTO TOTAL",composicoes[#Headers],0))</f>
        <v>10.46</v>
      </c>
      <c r="BC79" s="4">
        <f ca="1">SUM(ESF[[#This Row],[Conc Est (m³)]],ESF[[#This Row],[Conc Bloco (m³)]])</f>
        <v>11.160507901877738</v>
      </c>
      <c r="BD79" s="4">
        <f>INDEX(composicoes[],MATCH(94966,composicoes[CÓDIGO],0),MATCH("CUSTO TOTAL",composicoes[#Headers],0))</f>
        <v>439.52</v>
      </c>
      <c r="BE79" s="38">
        <f ca="1">ESF[[#This Row],[Aço (kg)]]*ESF[[#This Row],[Aço (R$/kg)]]+ESF[[#This Row],[Conc (m³)]]*ESF[[#This Row],[Conc (R$/m³)]]</f>
        <v>4968.4664650561363</v>
      </c>
      <c r="BF79" s="4" t="str">
        <f ca="1">IF(COUNTIF(ESF[#This Row],"N.S.")&gt;0,"lim.","OK")</f>
        <v>lim.</v>
      </c>
      <c r="BG79" s="4" t="str">
        <f>IF(ESF[[#This Row],[Prof. (m)]]&lt;3,"lim.","OK")</f>
        <v>OK</v>
      </c>
      <c r="BH79" s="4" t="str">
        <f>IF(ESF[[#This Row],[Prof. (m)]]&gt;=8*ESF[[#This Row],[Ø (cm)]]/100,"OK","lim.")</f>
        <v>OK</v>
      </c>
      <c r="BI79" s="4" t="str">
        <f>IF(AND(SPT!$F$3&lt;&gt;"",ESF[[#This Row],[Prof. (m)]]&gt;=SPT!$F$3),"lim.","OK")</f>
        <v>OK</v>
      </c>
      <c r="BJ79" s="4" t="str">
        <f>IF(COUNTIFS(ESF[Solo],"Areia",ESF[Prof. (m)],"&lt;="&amp;ESF[[#This Row],[Prof. (m)]])&gt;=1,"lim.","OK")</f>
        <v>OK</v>
      </c>
      <c r="BK79" s="4" t="str">
        <f ca="1">IF(ESF[[#This Row],[Verif. Biela]]="OK","OK","lim.")</f>
        <v>OK</v>
      </c>
      <c r="BL79" s="4" t="str">
        <f ca="1">IF(COUNTA(ESF[[#This Row],[Nº Est.]:[Biela comp.]])=COUNTIF(ESF[[#This Row],[Nº Est.]:[Biela comp.]],"OK"),"OK","lim.")</f>
        <v>lim.</v>
      </c>
      <c r="BM79" s="4" t="str">
        <f ca="1">IF(ESF[[#This Row],[Controle]]="OK",ESF[[#This Row],[nE]]&amp;" Ø"&amp;ESF[[#This Row],[Ø (cm)]]&amp;"cm Prof. "&amp;ESF[[#This Row],[Prof. (m)]]&amp;" m","")</f>
        <v/>
      </c>
      <c r="BN79" s="4" t="str">
        <f ca="1">IF(ESF[[#This Row],[idDimensionamento]]="","",ESF[[#This Row],[idPilar]]&amp;ESF[[#This Row],[idDimensionamento]])</f>
        <v/>
      </c>
    </row>
    <row r="80" spans="2:66" x14ac:dyDescent="0.25">
      <c r="B80" s="12">
        <f>ROUNDUP((ROW(ESF[[#This Row],[idDiâmetro]])-ROW(ESF[[#Headers],[idDiâmetro]]))/(COUNT(SPT[Prof. (m)])*COUNT(PILARES[Pilar])),0)</f>
        <v>3</v>
      </c>
      <c r="C80" s="12">
        <f>IF(ESF[[#This Row],[idDiâmetro]]&lt;&gt;B79,1,IF(ESF[[#This Row],[Prof. (m)]]=0,C79+1,C79))</f>
        <v>2</v>
      </c>
      <c r="D80" s="1">
        <f>IFERROR(IF(D79=MAX(SPT[Prof. (m)]),0,D79+1),0)</f>
        <v>5</v>
      </c>
      <c r="E80" s="1">
        <f>INDEX(SPT[],MATCH(ESF[[#This Row],[Prof. (m)]],SPT[Prof. (m)],0),2)</f>
        <v>17</v>
      </c>
      <c r="F80" s="1" t="str">
        <f>INDEX(SPT[],MATCH(ESF[[#This Row],[Prof. (m)]],SPT[Prof. (m)],0),3)</f>
        <v>Areia siltosa</v>
      </c>
      <c r="G80" s="1">
        <f>INDEX(estacas[],ESF[[#This Row],[idDiâmetro]],MATCH($B$2,estacas[#Headers],0))</f>
        <v>35</v>
      </c>
      <c r="H80" s="1">
        <f>INDEX(estacas[],MATCH(ESF[[#This Row],[Ø (cm)]],estacas[Ø ESF (cm)],0),MATCH(ESF[[#Headers],[Pe ESF (kN)]],estacas[#Headers],0))</f>
        <v>490</v>
      </c>
      <c r="I80" s="4">
        <f>INDEX(K_alpha_C[],MATCH(ESF[[#This Row],[Solo]],K_alpha_C[Solo],0),2)</f>
        <v>0.8</v>
      </c>
      <c r="J80" s="5">
        <f>INDEX(K_alpha_C[],MATCH(ESF[[#This Row],[Solo]],K_alpha_C[Solo],0),3)</f>
        <v>2</v>
      </c>
      <c r="K80" s="4">
        <f>INDEX(F1_F2[],MATCH($D$2,F1_F2[Tipo de estaca],0),2)</f>
        <v>3</v>
      </c>
      <c r="L80" s="4">
        <f>INDEX(F1_F2[],MATCH($D$2,F1_F2[Tipo de estaca],0),3)</f>
        <v>6</v>
      </c>
      <c r="M80" s="4">
        <f>PI()*(ESF[[#This Row],[Ø (cm)]]/100)^2/4</f>
        <v>9.6211275016187398E-2</v>
      </c>
      <c r="N80" s="4">
        <f>PI()*ESF[[#This Row],[Ø (cm)]]/100</f>
        <v>1.0995574287564276</v>
      </c>
      <c r="O80" s="4">
        <f>IF(ESF[[#This Row],[Prof. (m)]]=0,0,ESF[[#This Row],[α (%)]]/100*ESF[[#This Row],[K (MPa)]]*1000*ESF[[#This Row],[NSPT]])</f>
        <v>272</v>
      </c>
      <c r="P80" s="4">
        <f>IF(ESF[[#This Row],[Prof. (m)]]=0,0,(ESF[[#This Row],[K (MPa)]]*1000*ESF[[#This Row],[NSPT]]/ESF[[#This Row],[F1]]*ESF[[#This Row],[Ap (m²)]]+ESF[[#This Row],[U (m)]]/ESF[[#This Row],[F2]]*SUMIFS(ESF[(α∙K∙NL∙ΔL)],ESF[Prof. (m)],"&lt;="&amp;ESF[[#This Row],[Prof. (m)]],ESF[idDiâmetro],ESF[[#This Row],[idDiâmetro]],ESF[idPilar],ESF[[#This Row],[idPilar]]))/'DADOS CAP. CARGA'!$D$2)</f>
        <v>266.45941690197424</v>
      </c>
      <c r="Q80" s="12">
        <f>INDEX(C_alpha_beta[],MATCH(ESF[[#This Row],[Solo]],C_alpha_beta[Solo],0),MATCH(ESF[[#Headers],[C (kPa)]],C_alpha_beta[#Headers],0))</f>
        <v>400</v>
      </c>
      <c r="R80" s="4">
        <f>INDEX(C_alpha_beta[],MATCH(ESF[[#This Row],[Solo]],C_alpha_beta[Solo],0),MATCH(ESF[[#Headers],[α ESF]],C_alpha_beta[#Headers],0))</f>
        <v>0.5</v>
      </c>
      <c r="S80" s="4">
        <f>INDEX(C_alpha_beta[],MATCH(ESF[[#This Row],[Solo]],C_alpha_beta[Solo],0),MATCH(ESF[[#Headers],[β ESF]],C_alpha_beta[#Headers],0))</f>
        <v>0.5</v>
      </c>
      <c r="T80" s="4">
        <f>IF(ESF[[#This Row],[Prof. (m)]]=0,0,10*(ESF[[#This Row],[NSPT]]/3+1))</f>
        <v>66.666666666666671</v>
      </c>
      <c r="U80" s="4">
        <f>(ESF[[#This Row],[α ESF]]*ESF[[#This Row],[C (kPa)]]*ESF[[#This Row],[NSPT]]*ESF[[#This Row],[Ap (m²)]])/'DADOS CAP. CARGA'!$Q$2+(ESF[[#This Row],[β ESF]]*SUMIFS(ESF[10∙(NL/3+1)],ESF[Prof. (m)],"&lt;="&amp;ESF[[#This Row],[Prof. (m)]],ESF[idDiâmetro],ESF[[#This Row],[idDiâmetro]],ESF[idPilar],ESF[[#This Row],[idPilar]])*ESF[[#This Row],[U (m)]])/'DADOS CAP. CARGA'!$S$2</f>
        <v>125.76188091401639</v>
      </c>
      <c r="V80" s="4">
        <f>IF(SPT!$M$5=1,MIN(ESF[[#This Row],[Pe ESF (kN)]],ESF[[#This Row],[R_AV (kN)]]),IF(SPT!$M$5=2,MIN(ESF[[#This Row],[Pe ESF (kN)]],ESF[[#This Row],[R_DC (kN)]]),MIN(ESF[[#This Row],[Pe ESF (kN)]],ESF[[#This Row],[R_AV (kN)]],ESF[[#This Row],[R_DC (kN)]])))</f>
        <v>125.76188091401639</v>
      </c>
      <c r="W80" s="4">
        <f>INDEX(PILARES[],ESF[[#This Row],[idPilar]],MATCH("Carga (kN)",PILARES[#Headers],0))*1.4</f>
        <v>1750</v>
      </c>
      <c r="X80" s="12">
        <f>INDEX(PILARES[],ESF[[#This Row],[idPilar]],MATCH(ESF[[#Headers],[ap (cm)]],PILARES[#Headers],0))</f>
        <v>50</v>
      </c>
      <c r="Y80" s="12">
        <f>INDEX(PILARES[],ESF[[#This Row],[idPilar]],MATCH(ESF[[#Headers],[bp (cm)]],PILARES[#Headers],0))</f>
        <v>40</v>
      </c>
      <c r="Z80" s="4">
        <f>SQRT(ESF[[#This Row],[ap (cm)]]*ESF[[#This Row],[bp (cm)]])</f>
        <v>44.721359549995796</v>
      </c>
      <c r="AA80" s="12">
        <f>ESF[[#This Row],[ap (cm)]]*ESF[[#This Row],[bp (cm)]]</f>
        <v>2000</v>
      </c>
      <c r="AB80" s="12">
        <f ca="1">IF(ESF[[#This Row],[Padm∙ε (kN)]]&gt;=ESF[[#This Row],[Padm (kN)]],ROUNDUP(1.05*ESF[[#This Row],[Nsd (kN)]]/ESF[[#This Row],[Padm (kN)]],0),ROUNDUP(1.05*ESF[[#This Row],[Nsd (kN)]]/ESF[[#This Row],[Padm (kN)]],0)+1)</f>
        <v>15</v>
      </c>
      <c r="AC80" s="4" t="str">
        <f ca="1">IFERROR(IF(ESF[[#This Row],[nE]]=1,ESF[[#This Row],[Padm (kN)]],ESF[[#This Row],[Padm (kN)]]*ESF[[#This Row],[nE]]*INDEX(grupoEstacas[],ESF[[#This Row],[nE]],MATCH("ε",grupoEstacas[#Headers],0))),"N.S.")</f>
        <v>N.S.</v>
      </c>
      <c r="AD80" s="4">
        <f ca="1">1.05*ESF[[#This Row],[Nsd (kN)]]/(ESF[[#This Row],[nE]]*PI()*ESF[[#This Row],[Ø (cm)]]^2/4)*10</f>
        <v>1.273239544735163</v>
      </c>
      <c r="AE80" s="4">
        <f ca="1">IF(ESF[[#This Row],[σ (MPa)]]&lt;INDEX(tipoEstaca[],MATCH($D$2,tipoEstaca[TIPO DE ESTACA],0),MATCH("σmáx (MPa)",tipoEstaca[#Headers],0)),0.4%*PI()*ESF[[#This Row],[Ø (cm)]]^2/4,"N.S.")</f>
        <v>3.848451000647497</v>
      </c>
      <c r="AF80" s="1">
        <f>INDEX(tipoEstaca[],MATCH($D$2,tipoEstaca[TIPO DE ESTACA],0),MATCH(ESF[[#Headers],[Comprimento (m)]],tipoEstaca[#Headers],0))</f>
        <v>2</v>
      </c>
      <c r="AG80" s="5">
        <f ca="1">ESF[[#This Row],[As,mín (cm²)]]/100^2*ESF[[#This Row],[Comprimento (m)]]*7850</f>
        <v>6.04206807101657</v>
      </c>
      <c r="AH80" s="4">
        <f ca="1">ESF[[#This Row],[nE]]*ESF[[#This Row],[Prof. (m)]]*ESF[[#This Row],[Ap (m²)]]</f>
        <v>7.2158456262140547</v>
      </c>
      <c r="AI80" s="1">
        <f ca="1">IF(ESF[[#This Row],[nE]]=1,0,MAX(3*ESF[[#This Row],[Ø (cm)]],60))</f>
        <v>105</v>
      </c>
      <c r="AJ80" s="1">
        <f ca="1">IF(ESF[[#This Row],[nE]]=1,ESF[[#This Row],[Ø (cm)]]+2*10,MAX(1.5*ESF[[#This Row],[Ø (cm)]],ESF[[#This Row],[Ø (cm)]]+15))</f>
        <v>52.5</v>
      </c>
      <c r="AK80" s="1" t="str">
        <f ca="1">alturaUtil(ESF[[#This Row],[nE]],ESF[[#This Row],[Ø (cm)]],ESF[[#This Row],[e (cm)]],ESF[[#This Row],[ap,eq (cm)]])</f>
        <v>N.S.</v>
      </c>
      <c r="AL80" s="1" t="str">
        <f ca="1">IFERROR(ESF[[#This Row],[d (cm)]]+arredondarParaCimaMultiplo5cm(MAX(5,SQRT(PI())/2*ESF[[#This Row],[Ø (cm)]]/5)),"N.S.")</f>
        <v>N.S.</v>
      </c>
      <c r="AM80" s="5" t="str">
        <f ca="1">alpha(ESF[[#This Row],[nE]],ESF[[#This Row],[d (cm)]],ESF[[#This Row],[e (cm)]],ESF[[#This Row],[ap,eq (cm)]])</f>
        <v>N.S.</v>
      </c>
      <c r="AN80" s="35" t="str">
        <f ca="1">IFERROR(ESF[[#This Row],[Nsd (kN)]]/(ESF[[#This Row],[Ap (cm²)]]*SIN(ESF[[#This Row],[α]])^2),"N.S.")</f>
        <v>N.S.</v>
      </c>
      <c r="AO80" s="35" t="str">
        <f ca="1">IFERROR(ESF[[#This Row],[Nsd (kN)]]/(ESF[[#This Row],[nE]]*PI()*ESF[[#This Row],[Ø (cm)]]^2/4*SIN(ESF[[#This Row],[α]])^2),"N.S.")</f>
        <v>N.S.</v>
      </c>
      <c r="AP80" s="4" t="str">
        <f ca="1">IFERROR(INDEX(grupoEstacas[],ESF[[#This Row],[nE]],MATCH("coef. Blévot",grupoEstacas[#Headers],0)),"N.S.")</f>
        <v>N.S.</v>
      </c>
      <c r="AQ80" s="35" t="str">
        <f ca="1">IFERROR(ESF[[#This Row],[coef. Blévot]]*0.9*INDEX(tipoEstaca[],MATCH($D$2,tipoEstaca[TIPO DE ESTACA],0),MATCH("fcd (kN/cm²)",tipoEstaca[#Headers],0)),"N.S.")</f>
        <v>N.S.</v>
      </c>
      <c r="AR80" s="1" t="str">
        <f ca="1">IF(AND(ESF[[#This Row],[cd,b,pil (kN/cm²)]]&lt;=ESF[[#This Row],[cd,b,lim (kN/cm²)]],ESF[[#This Row],[cd,b,est (kN/cm²)]]&lt;=ESF[[#This Row],[cd,b,lim (kN/cm²)]]),"OK","ERRO")</f>
        <v>OK</v>
      </c>
      <c r="AS80" s="4" t="str">
        <f ca="1">As_lado(ESF[[#This Row],[nE]],ESF[[#This Row],[Nsd (kN)]],ESF[[#This Row],[d (cm)]],ESF[[#This Row],[e (cm)]],ESF[[#This Row],[ap,eq (cm)]])</f>
        <v>N.S.</v>
      </c>
      <c r="AT80" s="4" t="str">
        <f ca="1">IF(ESF[[#This Row],[nE]]=1,ESF[[#This Row],[As,lado (cm²)]],IF(ESF[[#This Row],[nE]]=2,0.075*2*ESF[a (cm)],"N.A."))</f>
        <v>N.A.</v>
      </c>
      <c r="AU80" s="4" t="str">
        <f ca="1">IFERROR(IF(ESF[[#This Row],[nE]]=1,"N.A.",0.2*ESF[[#This Row],[As,lado (cm²)]]),"N.S.")</f>
        <v>N.S.</v>
      </c>
      <c r="AV80" s="4" t="str">
        <f ca="1">As_malha(ESF[[#This Row],[nE]],ESF[[#This Row],[As,lado (cm²)]],ESF[[#This Row],[Nsd (kN)]])</f>
        <v>N.S.</v>
      </c>
      <c r="AW80" s="4" t="str">
        <f ca="1">As_susp_tot(ESF[[#This Row],[nE]],ESF[[#This Row],[Nsd (kN)]])</f>
        <v>N.S.</v>
      </c>
      <c r="AX80" s="4" t="str">
        <f ca="1">Asp_face(ESF[[#This Row],[nE]],ESF[[#This Row],[As,lado (cm²)]])</f>
        <v>N.S.</v>
      </c>
      <c r="AY80" s="5" t="str">
        <f ca="1">acoBloco(ESF[[#This Row],[nE]],ESF[[#This Row],[e (cm)]],ESF[[#This Row],[a (cm)]],ESF[[#This Row],[h (cm)]],ESF[[#This Row],[As,lado (cm²)]],ESF[[#This Row],[Asp e Asw (cm²/m)]],ESF[[#This Row],[As,sup (cm²)]],ESF[[#This Row],[As,malha (cm²)]],ESF[[#This Row],[As,susp,tot (cm²)]],ESF[[#This Row],[Asp,face (cm²)]])</f>
        <v>N.S.</v>
      </c>
      <c r="AZ80" s="4" t="str">
        <f ca="1">concretoBloco(ESF[[#This Row],[nE]],ESF[[#This Row],[e (cm)]],ESF[[#This Row],[a (cm)]],ESF[[#This Row],[h (cm)]])</f>
        <v>N.S.</v>
      </c>
      <c r="BA80" s="5">
        <f ca="1">SUM(ESF[[#This Row],[Aço Est (kg)]],ESF[[#This Row],[Aço Bloco (kg)]])</f>
        <v>6.04206807101657</v>
      </c>
      <c r="BB80" s="4">
        <f>INDEX(composicoes[],MATCH(95580,composicoes[CÓDIGO],0),MATCH("CUSTO TOTAL",composicoes[#Headers],0))</f>
        <v>10.46</v>
      </c>
      <c r="BC80" s="4">
        <f ca="1">SUM(ESF[[#This Row],[Conc Est (m³)]],ESF[[#This Row],[Conc Bloco (m³)]])</f>
        <v>7.2158456262140547</v>
      </c>
      <c r="BD80" s="4">
        <f>INDEX(composicoes[],MATCH(94966,composicoes[CÓDIGO],0),MATCH("CUSTO TOTAL",composicoes[#Headers],0))</f>
        <v>439.52</v>
      </c>
      <c r="BE80" s="38">
        <f ca="1">ESF[[#This Row],[Aço (kg)]]*ESF[[#This Row],[Aço (R$/kg)]]+ESF[[#This Row],[Conc (m³)]]*ESF[[#This Row],[Conc (R$/m³)]]</f>
        <v>3234.7085016564347</v>
      </c>
      <c r="BF80" s="4" t="str">
        <f ca="1">IF(COUNTIF(ESF[#This Row],"N.S.")&gt;0,"lim.","OK")</f>
        <v>lim.</v>
      </c>
      <c r="BG80" s="4" t="str">
        <f>IF(ESF[[#This Row],[Prof. (m)]]&lt;3,"lim.","OK")</f>
        <v>OK</v>
      </c>
      <c r="BH80" s="4" t="str">
        <f>IF(ESF[[#This Row],[Prof. (m)]]&gt;=8*ESF[[#This Row],[Ø (cm)]]/100,"OK","lim.")</f>
        <v>OK</v>
      </c>
      <c r="BI80" s="4" t="str">
        <f>IF(AND(SPT!$F$3&lt;&gt;"",ESF[[#This Row],[Prof. (m)]]&gt;=SPT!$F$3),"lim.","OK")</f>
        <v>OK</v>
      </c>
      <c r="BJ80" s="4" t="str">
        <f>IF(COUNTIFS(ESF[Solo],"Areia",ESF[Prof. (m)],"&lt;="&amp;ESF[[#This Row],[Prof. (m)]])&gt;=1,"lim.","OK")</f>
        <v>OK</v>
      </c>
      <c r="BK80" s="4" t="str">
        <f ca="1">IF(ESF[[#This Row],[Verif. Biela]]="OK","OK","lim.")</f>
        <v>OK</v>
      </c>
      <c r="BL80" s="4" t="str">
        <f ca="1">IF(COUNTA(ESF[[#This Row],[Nº Est.]:[Biela comp.]])=COUNTIF(ESF[[#This Row],[Nº Est.]:[Biela comp.]],"OK"),"OK","lim.")</f>
        <v>lim.</v>
      </c>
      <c r="BM80" s="4" t="str">
        <f ca="1">IF(ESF[[#This Row],[Controle]]="OK",ESF[[#This Row],[nE]]&amp;" Ø"&amp;ESF[[#This Row],[Ø (cm)]]&amp;"cm Prof. "&amp;ESF[[#This Row],[Prof. (m)]]&amp;" m","")</f>
        <v/>
      </c>
      <c r="BN80" s="4" t="str">
        <f ca="1">IF(ESF[[#This Row],[idDimensionamento]]="","",ESF[[#This Row],[idPilar]]&amp;ESF[[#This Row],[idDimensionamento]])</f>
        <v/>
      </c>
    </row>
    <row r="81" spans="2:66" x14ac:dyDescent="0.25">
      <c r="B81" s="12">
        <f>ROUNDUP((ROW(ESF[[#This Row],[idDiâmetro]])-ROW(ESF[[#Headers],[idDiâmetro]]))/(COUNT(SPT[Prof. (m)])*COUNT(PILARES[Pilar])),0)</f>
        <v>3</v>
      </c>
      <c r="C81" s="12">
        <f>IF(ESF[[#This Row],[idDiâmetro]]&lt;&gt;B80,1,IF(ESF[[#This Row],[Prof. (m)]]=0,C80+1,C80))</f>
        <v>2</v>
      </c>
      <c r="D81" s="1">
        <f>IFERROR(IF(D80=MAX(SPT[Prof. (m)]),0,D80+1),0)</f>
        <v>6</v>
      </c>
      <c r="E81" s="1">
        <f>INDEX(SPT[],MATCH(ESF[[#This Row],[Prof. (m)]],SPT[Prof. (m)],0),2)</f>
        <v>21</v>
      </c>
      <c r="F81" s="1" t="str">
        <f>INDEX(SPT[],MATCH(ESF[[#This Row],[Prof. (m)]],SPT[Prof. (m)],0),3)</f>
        <v>Silte arenoso</v>
      </c>
      <c r="G81" s="1">
        <f>INDEX(estacas[],ESF[[#This Row],[idDiâmetro]],MATCH($B$2,estacas[#Headers],0))</f>
        <v>35</v>
      </c>
      <c r="H81" s="1">
        <f>INDEX(estacas[],MATCH(ESF[[#This Row],[Ø (cm)]],estacas[Ø ESF (cm)],0),MATCH(ESF[[#Headers],[Pe ESF (kN)]],estacas[#Headers],0))</f>
        <v>490</v>
      </c>
      <c r="I81" s="4">
        <f>INDEX(K_alpha_C[],MATCH(ESF[[#This Row],[Solo]],K_alpha_C[Solo],0),2)</f>
        <v>0.55000000000000004</v>
      </c>
      <c r="J81" s="5">
        <f>INDEX(K_alpha_C[],MATCH(ESF[[#This Row],[Solo]],K_alpha_C[Solo],0),3)</f>
        <v>2.2000000000000002</v>
      </c>
      <c r="K81" s="4">
        <f>INDEX(F1_F2[],MATCH($D$2,F1_F2[Tipo de estaca],0),2)</f>
        <v>3</v>
      </c>
      <c r="L81" s="4">
        <f>INDEX(F1_F2[],MATCH($D$2,F1_F2[Tipo de estaca],0),3)</f>
        <v>6</v>
      </c>
      <c r="M81" s="4">
        <f>PI()*(ESF[[#This Row],[Ø (cm)]]/100)^2/4</f>
        <v>9.6211275016187398E-2</v>
      </c>
      <c r="N81" s="4">
        <f>PI()*ESF[[#This Row],[Ø (cm)]]/100</f>
        <v>1.0995574287564276</v>
      </c>
      <c r="O81" s="4">
        <f>IF(ESF[[#This Row],[Prof. (m)]]=0,0,ESF[[#This Row],[α (%)]]/100*ESF[[#This Row],[K (MPa)]]*1000*ESF[[#This Row],[NSPT]])</f>
        <v>254.10000000000002</v>
      </c>
      <c r="P81" s="4">
        <f>IF(ESF[[#This Row],[Prof. (m)]]=0,0,(ESF[[#This Row],[K (MPa)]]*1000*ESF[[#This Row],[NSPT]]/ESF[[#This Row],[F1]]*ESF[[#This Row],[Ap (m²)]]+ESF[[#This Row],[U (m)]]/ESF[[#This Row],[F2]]*SUMIFS(ESF[(α∙K∙NL∙ΔL)],ESF[Prof. (m)],"&lt;="&amp;ESF[[#This Row],[Prof. (m)]],ESF[idDiâmetro],ESF[[#This Row],[idDiâmetro]],ESF[idPilar],ESF[[#This Row],[idPilar]]))/'DADOS CAP. CARGA'!$D$2)</f>
        <v>256.87035982536094</v>
      </c>
      <c r="Q81" s="12">
        <f>INDEX(C_alpha_beta[],MATCH(ESF[[#This Row],[Solo]],C_alpha_beta[Solo],0),MATCH(ESF[[#Headers],[C (kPa)]],C_alpha_beta[#Headers],0))</f>
        <v>250</v>
      </c>
      <c r="R81" s="4">
        <f>INDEX(C_alpha_beta[],MATCH(ESF[[#This Row],[Solo]],C_alpha_beta[Solo],0),MATCH(ESF[[#Headers],[α ESF]],C_alpha_beta[#Headers],0))</f>
        <v>0.6</v>
      </c>
      <c r="S81" s="4">
        <f>INDEX(C_alpha_beta[],MATCH(ESF[[#This Row],[Solo]],C_alpha_beta[Solo],0),MATCH(ESF[[#Headers],[β ESF]],C_alpha_beta[#Headers],0))</f>
        <v>0.65</v>
      </c>
      <c r="T81" s="4">
        <f>IF(ESF[[#This Row],[Prof. (m)]]=0,0,10*(ESF[[#This Row],[NSPT]]/3+1))</f>
        <v>80</v>
      </c>
      <c r="U81" s="4">
        <f>(ESF[[#This Row],[α ESF]]*ESF[[#This Row],[C (kPa)]]*ESF[[#This Row],[NSPT]]*ESF[[#This Row],[Ap (m²)]])/'DADOS CAP. CARGA'!$Q$2+(ESF[[#This Row],[β ESF]]*SUMIFS(ESF[10∙(NL/3+1)],ESF[Prof. (m)],"&lt;="&amp;ESF[[#This Row],[Prof. (m)]],ESF[idDiâmetro],ESF[[#This Row],[idDiâmetro]],ESF[idPilar],ESF[[#This Row],[idPilar]])*ESF[[#This Row],[U (m)]])/'DADOS CAP. CARGA'!$S$2</f>
        <v>161.53185851824892</v>
      </c>
      <c r="V81" s="4">
        <f>IF(SPT!$M$5=1,MIN(ESF[[#This Row],[Pe ESF (kN)]],ESF[[#This Row],[R_AV (kN)]]),IF(SPT!$M$5=2,MIN(ESF[[#This Row],[Pe ESF (kN)]],ESF[[#This Row],[R_DC (kN)]]),MIN(ESF[[#This Row],[Pe ESF (kN)]],ESF[[#This Row],[R_AV (kN)]],ESF[[#This Row],[R_DC (kN)]])))</f>
        <v>161.53185851824892</v>
      </c>
      <c r="W81" s="4">
        <f>INDEX(PILARES[],ESF[[#This Row],[idPilar]],MATCH("Carga (kN)",PILARES[#Headers],0))*1.4</f>
        <v>1750</v>
      </c>
      <c r="X81" s="12">
        <f>INDEX(PILARES[],ESF[[#This Row],[idPilar]],MATCH(ESF[[#Headers],[ap (cm)]],PILARES[#Headers],0))</f>
        <v>50</v>
      </c>
      <c r="Y81" s="12">
        <f>INDEX(PILARES[],ESF[[#This Row],[idPilar]],MATCH(ESF[[#Headers],[bp (cm)]],PILARES[#Headers],0))</f>
        <v>40</v>
      </c>
      <c r="Z81" s="4">
        <f>SQRT(ESF[[#This Row],[ap (cm)]]*ESF[[#This Row],[bp (cm)]])</f>
        <v>44.721359549995796</v>
      </c>
      <c r="AA81" s="12">
        <f>ESF[[#This Row],[ap (cm)]]*ESF[[#This Row],[bp (cm)]]</f>
        <v>2000</v>
      </c>
      <c r="AB81" s="12">
        <f ca="1">IF(ESF[[#This Row],[Padm∙ε (kN)]]&gt;=ESF[[#This Row],[Padm (kN)]],ROUNDUP(1.05*ESF[[#This Row],[Nsd (kN)]]/ESF[[#This Row],[Padm (kN)]],0),ROUNDUP(1.05*ESF[[#This Row],[Nsd (kN)]]/ESF[[#This Row],[Padm (kN)]],0)+1)</f>
        <v>12</v>
      </c>
      <c r="AC81" s="4" t="str">
        <f ca="1">IFERROR(IF(ESF[[#This Row],[nE]]=1,ESF[[#This Row],[Padm (kN)]],ESF[[#This Row],[Padm (kN)]]*ESF[[#This Row],[nE]]*INDEX(grupoEstacas[],ESF[[#This Row],[nE]],MATCH("ε",grupoEstacas[#Headers],0))),"N.S.")</f>
        <v>N.S.</v>
      </c>
      <c r="AD81" s="4">
        <f ca="1">1.05*ESF[[#This Row],[Nsd (kN)]]/(ESF[[#This Row],[nE]]*PI()*ESF[[#This Row],[Ø (cm)]]^2/4)*10</f>
        <v>1.5915494309189535</v>
      </c>
      <c r="AE81" s="4">
        <f ca="1">IF(ESF[[#This Row],[σ (MPa)]]&lt;INDEX(tipoEstaca[],MATCH($D$2,tipoEstaca[TIPO DE ESTACA],0),MATCH("σmáx (MPa)",tipoEstaca[#Headers],0)),0.4%*PI()*ESF[[#This Row],[Ø (cm)]]^2/4,"N.S.")</f>
        <v>3.848451000647497</v>
      </c>
      <c r="AF81" s="1">
        <f>INDEX(tipoEstaca[],MATCH($D$2,tipoEstaca[TIPO DE ESTACA],0),MATCH(ESF[[#Headers],[Comprimento (m)]],tipoEstaca[#Headers],0))</f>
        <v>2</v>
      </c>
      <c r="AG81" s="5">
        <f ca="1">ESF[[#This Row],[As,mín (cm²)]]/100^2*ESF[[#This Row],[Comprimento (m)]]*7850</f>
        <v>6.04206807101657</v>
      </c>
      <c r="AH81" s="4">
        <f ca="1">ESF[[#This Row],[nE]]*ESF[[#This Row],[Prof. (m)]]*ESF[[#This Row],[Ap (m²)]]</f>
        <v>6.9272118011654928</v>
      </c>
      <c r="AI81" s="1">
        <f ca="1">IF(ESF[[#This Row],[nE]]=1,0,MAX(3*ESF[[#This Row],[Ø (cm)]],60))</f>
        <v>105</v>
      </c>
      <c r="AJ81" s="1">
        <f ca="1">IF(ESF[[#This Row],[nE]]=1,ESF[[#This Row],[Ø (cm)]]+2*10,MAX(1.5*ESF[[#This Row],[Ø (cm)]],ESF[[#This Row],[Ø (cm)]]+15))</f>
        <v>52.5</v>
      </c>
      <c r="AK81" s="1" t="str">
        <f ca="1">alturaUtil(ESF[[#This Row],[nE]],ESF[[#This Row],[Ø (cm)]],ESF[[#This Row],[e (cm)]],ESF[[#This Row],[ap,eq (cm)]])</f>
        <v>N.S.</v>
      </c>
      <c r="AL81" s="1" t="str">
        <f ca="1">IFERROR(ESF[[#This Row],[d (cm)]]+arredondarParaCimaMultiplo5cm(MAX(5,SQRT(PI())/2*ESF[[#This Row],[Ø (cm)]]/5)),"N.S.")</f>
        <v>N.S.</v>
      </c>
      <c r="AM81" s="5" t="str">
        <f ca="1">alpha(ESF[[#This Row],[nE]],ESF[[#This Row],[d (cm)]],ESF[[#This Row],[e (cm)]],ESF[[#This Row],[ap,eq (cm)]])</f>
        <v>N.S.</v>
      </c>
      <c r="AN81" s="35" t="str">
        <f ca="1">IFERROR(ESF[[#This Row],[Nsd (kN)]]/(ESF[[#This Row],[Ap (cm²)]]*SIN(ESF[[#This Row],[α]])^2),"N.S.")</f>
        <v>N.S.</v>
      </c>
      <c r="AO81" s="35" t="str">
        <f ca="1">IFERROR(ESF[[#This Row],[Nsd (kN)]]/(ESF[[#This Row],[nE]]*PI()*ESF[[#This Row],[Ø (cm)]]^2/4*SIN(ESF[[#This Row],[α]])^2),"N.S.")</f>
        <v>N.S.</v>
      </c>
      <c r="AP81" s="4" t="str">
        <f ca="1">IFERROR(INDEX(grupoEstacas[],ESF[[#This Row],[nE]],MATCH("coef. Blévot",grupoEstacas[#Headers],0)),"N.S.")</f>
        <v>N.S.</v>
      </c>
      <c r="AQ81" s="35" t="str">
        <f ca="1">IFERROR(ESF[[#This Row],[coef. Blévot]]*0.9*INDEX(tipoEstaca[],MATCH($D$2,tipoEstaca[TIPO DE ESTACA],0),MATCH("fcd (kN/cm²)",tipoEstaca[#Headers],0)),"N.S.")</f>
        <v>N.S.</v>
      </c>
      <c r="AR81" s="1" t="str">
        <f ca="1">IF(AND(ESF[[#This Row],[cd,b,pil (kN/cm²)]]&lt;=ESF[[#This Row],[cd,b,lim (kN/cm²)]],ESF[[#This Row],[cd,b,est (kN/cm²)]]&lt;=ESF[[#This Row],[cd,b,lim (kN/cm²)]]),"OK","ERRO")</f>
        <v>OK</v>
      </c>
      <c r="AS81" s="4" t="str">
        <f ca="1">As_lado(ESF[[#This Row],[nE]],ESF[[#This Row],[Nsd (kN)]],ESF[[#This Row],[d (cm)]],ESF[[#This Row],[e (cm)]],ESF[[#This Row],[ap,eq (cm)]])</f>
        <v>N.S.</v>
      </c>
      <c r="AT81" s="4" t="str">
        <f ca="1">IF(ESF[[#This Row],[nE]]=1,ESF[[#This Row],[As,lado (cm²)]],IF(ESF[[#This Row],[nE]]=2,0.075*2*ESF[a (cm)],"N.A."))</f>
        <v>N.A.</v>
      </c>
      <c r="AU81" s="4" t="str">
        <f ca="1">IFERROR(IF(ESF[[#This Row],[nE]]=1,"N.A.",0.2*ESF[[#This Row],[As,lado (cm²)]]),"N.S.")</f>
        <v>N.S.</v>
      </c>
      <c r="AV81" s="4" t="str">
        <f ca="1">As_malha(ESF[[#This Row],[nE]],ESF[[#This Row],[As,lado (cm²)]],ESF[[#This Row],[Nsd (kN)]])</f>
        <v>N.S.</v>
      </c>
      <c r="AW81" s="4" t="str">
        <f ca="1">As_susp_tot(ESF[[#This Row],[nE]],ESF[[#This Row],[Nsd (kN)]])</f>
        <v>N.S.</v>
      </c>
      <c r="AX81" s="4" t="str">
        <f ca="1">Asp_face(ESF[[#This Row],[nE]],ESF[[#This Row],[As,lado (cm²)]])</f>
        <v>N.S.</v>
      </c>
      <c r="AY81" s="5" t="str">
        <f ca="1">acoBloco(ESF[[#This Row],[nE]],ESF[[#This Row],[e (cm)]],ESF[[#This Row],[a (cm)]],ESF[[#This Row],[h (cm)]],ESF[[#This Row],[As,lado (cm²)]],ESF[[#This Row],[Asp e Asw (cm²/m)]],ESF[[#This Row],[As,sup (cm²)]],ESF[[#This Row],[As,malha (cm²)]],ESF[[#This Row],[As,susp,tot (cm²)]],ESF[[#This Row],[Asp,face (cm²)]])</f>
        <v>N.S.</v>
      </c>
      <c r="AZ81" s="4" t="str">
        <f ca="1">concretoBloco(ESF[[#This Row],[nE]],ESF[[#This Row],[e (cm)]],ESF[[#This Row],[a (cm)]],ESF[[#This Row],[h (cm)]])</f>
        <v>N.S.</v>
      </c>
      <c r="BA81" s="5">
        <f ca="1">SUM(ESF[[#This Row],[Aço Est (kg)]],ESF[[#This Row],[Aço Bloco (kg)]])</f>
        <v>6.04206807101657</v>
      </c>
      <c r="BB81" s="4">
        <f>INDEX(composicoes[],MATCH(95580,composicoes[CÓDIGO],0),MATCH("CUSTO TOTAL",composicoes[#Headers],0))</f>
        <v>10.46</v>
      </c>
      <c r="BC81" s="4">
        <f ca="1">SUM(ESF[[#This Row],[Conc Est (m³)]],ESF[[#This Row],[Conc Bloco (m³)]])</f>
        <v>6.9272118011654928</v>
      </c>
      <c r="BD81" s="4">
        <f>INDEX(composicoes[],MATCH(94966,composicoes[CÓDIGO],0),MATCH("CUSTO TOTAL",composicoes[#Headers],0))</f>
        <v>439.52</v>
      </c>
      <c r="BE81" s="38">
        <f ca="1">ESF[[#This Row],[Aço (kg)]]*ESF[[#This Row],[Aço (R$/kg)]]+ESF[[#This Row],[Conc (m³)]]*ESF[[#This Row],[Conc (R$/m³)]]</f>
        <v>3107.8481628710906</v>
      </c>
      <c r="BF81" s="4" t="str">
        <f ca="1">IF(COUNTIF(ESF[#This Row],"N.S.")&gt;0,"lim.","OK")</f>
        <v>lim.</v>
      </c>
      <c r="BG81" s="4" t="str">
        <f>IF(ESF[[#This Row],[Prof. (m)]]&lt;3,"lim.","OK")</f>
        <v>OK</v>
      </c>
      <c r="BH81" s="4" t="str">
        <f>IF(ESF[[#This Row],[Prof. (m)]]&gt;=8*ESF[[#This Row],[Ø (cm)]]/100,"OK","lim.")</f>
        <v>OK</v>
      </c>
      <c r="BI81" s="4" t="str">
        <f>IF(AND(SPT!$F$3&lt;&gt;"",ESF[[#This Row],[Prof. (m)]]&gt;=SPT!$F$3),"lim.","OK")</f>
        <v>OK</v>
      </c>
      <c r="BJ81" s="4" t="str">
        <f>IF(COUNTIFS(ESF[Solo],"Areia",ESF[Prof. (m)],"&lt;="&amp;ESF[[#This Row],[Prof. (m)]])&gt;=1,"lim.","OK")</f>
        <v>OK</v>
      </c>
      <c r="BK81" s="4" t="str">
        <f ca="1">IF(ESF[[#This Row],[Verif. Biela]]="OK","OK","lim.")</f>
        <v>OK</v>
      </c>
      <c r="BL81" s="4" t="str">
        <f ca="1">IF(COUNTA(ESF[[#This Row],[Nº Est.]:[Biela comp.]])=COUNTIF(ESF[[#This Row],[Nº Est.]:[Biela comp.]],"OK"),"OK","lim.")</f>
        <v>lim.</v>
      </c>
      <c r="BM81" s="4" t="str">
        <f ca="1">IF(ESF[[#This Row],[Controle]]="OK",ESF[[#This Row],[nE]]&amp;" Ø"&amp;ESF[[#This Row],[Ø (cm)]]&amp;"cm Prof. "&amp;ESF[[#This Row],[Prof. (m)]]&amp;" m","")</f>
        <v/>
      </c>
      <c r="BN81" s="4" t="str">
        <f ca="1">IF(ESF[[#This Row],[idDimensionamento]]="","",ESF[[#This Row],[idPilar]]&amp;ESF[[#This Row],[idDimensionamento]])</f>
        <v/>
      </c>
    </row>
    <row r="82" spans="2:66" x14ac:dyDescent="0.25">
      <c r="B82" s="12">
        <f>ROUNDUP((ROW(ESF[[#This Row],[idDiâmetro]])-ROW(ESF[[#Headers],[idDiâmetro]]))/(COUNT(SPT[Prof. (m)])*COUNT(PILARES[Pilar])),0)</f>
        <v>3</v>
      </c>
      <c r="C82" s="12">
        <f>IF(ESF[[#This Row],[idDiâmetro]]&lt;&gt;B81,1,IF(ESF[[#This Row],[Prof. (m)]]=0,C81+1,C81))</f>
        <v>2</v>
      </c>
      <c r="D82" s="1">
        <f>IFERROR(IF(D81=MAX(SPT[Prof. (m)]),0,D81+1),0)</f>
        <v>7</v>
      </c>
      <c r="E82" s="1">
        <f>INDEX(SPT[],MATCH(ESF[[#This Row],[Prof. (m)]],SPT[Prof. (m)],0),2)</f>
        <v>8</v>
      </c>
      <c r="F82" s="1" t="str">
        <f>INDEX(SPT[],MATCH(ESF[[#This Row],[Prof. (m)]],SPT[Prof. (m)],0),3)</f>
        <v>Silte arenoso</v>
      </c>
      <c r="G82" s="1">
        <f>INDEX(estacas[],ESF[[#This Row],[idDiâmetro]],MATCH($B$2,estacas[#Headers],0))</f>
        <v>35</v>
      </c>
      <c r="H82" s="1">
        <f>INDEX(estacas[],MATCH(ESF[[#This Row],[Ø (cm)]],estacas[Ø ESF (cm)],0),MATCH(ESF[[#Headers],[Pe ESF (kN)]],estacas[#Headers],0))</f>
        <v>490</v>
      </c>
      <c r="I82" s="4">
        <f>INDEX(K_alpha_C[],MATCH(ESF[[#This Row],[Solo]],K_alpha_C[Solo],0),2)</f>
        <v>0.55000000000000004</v>
      </c>
      <c r="J82" s="5">
        <f>INDEX(K_alpha_C[],MATCH(ESF[[#This Row],[Solo]],K_alpha_C[Solo],0),3)</f>
        <v>2.2000000000000002</v>
      </c>
      <c r="K82" s="4">
        <f>INDEX(F1_F2[],MATCH($D$2,F1_F2[Tipo de estaca],0),2)</f>
        <v>3</v>
      </c>
      <c r="L82" s="4">
        <f>INDEX(F1_F2[],MATCH($D$2,F1_F2[Tipo de estaca],0),3)</f>
        <v>6</v>
      </c>
      <c r="M82" s="4">
        <f>PI()*(ESF[[#This Row],[Ø (cm)]]/100)^2/4</f>
        <v>9.6211275016187398E-2</v>
      </c>
      <c r="N82" s="4">
        <f>PI()*ESF[[#This Row],[Ø (cm)]]/100</f>
        <v>1.0995574287564276</v>
      </c>
      <c r="O82" s="4">
        <f>IF(ESF[[#This Row],[Prof. (m)]]=0,0,ESF[[#This Row],[α (%)]]/100*ESF[[#This Row],[K (MPa)]]*1000*ESF[[#This Row],[NSPT]])</f>
        <v>96.800000000000011</v>
      </c>
      <c r="P82" s="4">
        <f>IF(ESF[[#This Row],[Prof. (m)]]=0,0,(ESF[[#This Row],[K (MPa)]]*1000*ESF[[#This Row],[NSPT]]/ESF[[#This Row],[F1]]*ESF[[#This Row],[Ap (m²)]]+ESF[[#This Row],[U (m)]]/ESF[[#This Row],[F2]]*SUMIFS(ESF[(α∙K∙NL∙ΔL)],ESF[Prof. (m)],"&lt;="&amp;ESF[[#This Row],[Prof. (m)]],ESF[idDiâmetro],ESF[[#This Row],[idDiâmetro]],ESF[idPilar],ESF[[#This Row],[idPilar]]))/'DADOS CAP. CARGA'!$D$2)</f>
        <v>151.08835368970614</v>
      </c>
      <c r="Q82" s="12">
        <f>INDEX(C_alpha_beta[],MATCH(ESF[[#This Row],[Solo]],C_alpha_beta[Solo],0),MATCH(ESF[[#Headers],[C (kPa)]],C_alpha_beta[#Headers],0))</f>
        <v>250</v>
      </c>
      <c r="R82" s="4">
        <f>INDEX(C_alpha_beta[],MATCH(ESF[[#This Row],[Solo]],C_alpha_beta[Solo],0),MATCH(ESF[[#Headers],[α ESF]],C_alpha_beta[#Headers],0))</f>
        <v>0.6</v>
      </c>
      <c r="S82" s="4">
        <f>INDEX(C_alpha_beta[],MATCH(ESF[[#This Row],[Solo]],C_alpha_beta[Solo],0),MATCH(ESF[[#Headers],[β ESF]],C_alpha_beta[#Headers],0))</f>
        <v>0.65</v>
      </c>
      <c r="T82" s="4">
        <f>IF(ESF[[#This Row],[Prof. (m)]]=0,0,10*(ESF[[#This Row],[NSPT]]/3+1))</f>
        <v>36.666666666666664</v>
      </c>
      <c r="U82" s="4">
        <f>(ESF[[#This Row],[α ESF]]*ESF[[#This Row],[C (kPa)]]*ESF[[#This Row],[NSPT]]*ESF[[#This Row],[Ap (m²)]])/'DADOS CAP. CARGA'!$Q$2+(ESF[[#This Row],[β ESF]]*SUMIFS(ESF[10∙(NL/3+1)],ESF[Prof. (m)],"&lt;="&amp;ESF[[#This Row],[Prof. (m)]],ESF[idDiâmetro],ESF[[#This Row],[idDiâmetro]],ESF[idPilar],ESF[[#This Row],[idPilar]])*ESF[[#This Row],[U (m)]])/'DADOS CAP. CARGA'!$S$2</f>
        <v>127.731921307205</v>
      </c>
      <c r="V82" s="4">
        <f>IF(SPT!$M$5=1,MIN(ESF[[#This Row],[Pe ESF (kN)]],ESF[[#This Row],[R_AV (kN)]]),IF(SPT!$M$5=2,MIN(ESF[[#This Row],[Pe ESF (kN)]],ESF[[#This Row],[R_DC (kN)]]),MIN(ESF[[#This Row],[Pe ESF (kN)]],ESF[[#This Row],[R_AV (kN)]],ESF[[#This Row],[R_DC (kN)]])))</f>
        <v>127.731921307205</v>
      </c>
      <c r="W82" s="4">
        <f>INDEX(PILARES[],ESF[[#This Row],[idPilar]],MATCH("Carga (kN)",PILARES[#Headers],0))*1.4</f>
        <v>1750</v>
      </c>
      <c r="X82" s="12">
        <f>INDEX(PILARES[],ESF[[#This Row],[idPilar]],MATCH(ESF[[#Headers],[ap (cm)]],PILARES[#Headers],0))</f>
        <v>50</v>
      </c>
      <c r="Y82" s="12">
        <f>INDEX(PILARES[],ESF[[#This Row],[idPilar]],MATCH(ESF[[#Headers],[bp (cm)]],PILARES[#Headers],0))</f>
        <v>40</v>
      </c>
      <c r="Z82" s="4">
        <f>SQRT(ESF[[#This Row],[ap (cm)]]*ESF[[#This Row],[bp (cm)]])</f>
        <v>44.721359549995796</v>
      </c>
      <c r="AA82" s="12">
        <f>ESF[[#This Row],[ap (cm)]]*ESF[[#This Row],[bp (cm)]]</f>
        <v>2000</v>
      </c>
      <c r="AB82" s="12">
        <f ca="1">IF(ESF[[#This Row],[Padm∙ε (kN)]]&gt;=ESF[[#This Row],[Padm (kN)]],ROUNDUP(1.05*ESF[[#This Row],[Nsd (kN)]]/ESF[[#This Row],[Padm (kN)]],0),ROUNDUP(1.05*ESF[[#This Row],[Nsd (kN)]]/ESF[[#This Row],[Padm (kN)]],0)+1)</f>
        <v>15</v>
      </c>
      <c r="AC82" s="4" t="str">
        <f ca="1">IFERROR(IF(ESF[[#This Row],[nE]]=1,ESF[[#This Row],[Padm (kN)]],ESF[[#This Row],[Padm (kN)]]*ESF[[#This Row],[nE]]*INDEX(grupoEstacas[],ESF[[#This Row],[nE]],MATCH("ε",grupoEstacas[#Headers],0))),"N.S.")</f>
        <v>N.S.</v>
      </c>
      <c r="AD82" s="4">
        <f ca="1">1.05*ESF[[#This Row],[Nsd (kN)]]/(ESF[[#This Row],[nE]]*PI()*ESF[[#This Row],[Ø (cm)]]^2/4)*10</f>
        <v>1.273239544735163</v>
      </c>
      <c r="AE82" s="4">
        <f ca="1">IF(ESF[[#This Row],[σ (MPa)]]&lt;INDEX(tipoEstaca[],MATCH($D$2,tipoEstaca[TIPO DE ESTACA],0),MATCH("σmáx (MPa)",tipoEstaca[#Headers],0)),0.4%*PI()*ESF[[#This Row],[Ø (cm)]]^2/4,"N.S.")</f>
        <v>3.848451000647497</v>
      </c>
      <c r="AF82" s="1">
        <f>INDEX(tipoEstaca[],MATCH($D$2,tipoEstaca[TIPO DE ESTACA],0),MATCH(ESF[[#Headers],[Comprimento (m)]],tipoEstaca[#Headers],0))</f>
        <v>2</v>
      </c>
      <c r="AG82" s="5">
        <f ca="1">ESF[[#This Row],[As,mín (cm²)]]/100^2*ESF[[#This Row],[Comprimento (m)]]*7850</f>
        <v>6.04206807101657</v>
      </c>
      <c r="AH82" s="4">
        <f ca="1">ESF[[#This Row],[nE]]*ESF[[#This Row],[Prof. (m)]]*ESF[[#This Row],[Ap (m²)]]</f>
        <v>10.102183876699677</v>
      </c>
      <c r="AI82" s="1">
        <f ca="1">IF(ESF[[#This Row],[nE]]=1,0,MAX(3*ESF[[#This Row],[Ø (cm)]],60))</f>
        <v>105</v>
      </c>
      <c r="AJ82" s="1">
        <f ca="1">IF(ESF[[#This Row],[nE]]=1,ESF[[#This Row],[Ø (cm)]]+2*10,MAX(1.5*ESF[[#This Row],[Ø (cm)]],ESF[[#This Row],[Ø (cm)]]+15))</f>
        <v>52.5</v>
      </c>
      <c r="AK82" s="1" t="str">
        <f ca="1">alturaUtil(ESF[[#This Row],[nE]],ESF[[#This Row],[Ø (cm)]],ESF[[#This Row],[e (cm)]],ESF[[#This Row],[ap,eq (cm)]])</f>
        <v>N.S.</v>
      </c>
      <c r="AL82" s="1" t="str">
        <f ca="1">IFERROR(ESF[[#This Row],[d (cm)]]+arredondarParaCimaMultiplo5cm(MAX(5,SQRT(PI())/2*ESF[[#This Row],[Ø (cm)]]/5)),"N.S.")</f>
        <v>N.S.</v>
      </c>
      <c r="AM82" s="5" t="str">
        <f ca="1">alpha(ESF[[#This Row],[nE]],ESF[[#This Row],[d (cm)]],ESF[[#This Row],[e (cm)]],ESF[[#This Row],[ap,eq (cm)]])</f>
        <v>N.S.</v>
      </c>
      <c r="AN82" s="35" t="str">
        <f ca="1">IFERROR(ESF[[#This Row],[Nsd (kN)]]/(ESF[[#This Row],[Ap (cm²)]]*SIN(ESF[[#This Row],[α]])^2),"N.S.")</f>
        <v>N.S.</v>
      </c>
      <c r="AO82" s="35" t="str">
        <f ca="1">IFERROR(ESF[[#This Row],[Nsd (kN)]]/(ESF[[#This Row],[nE]]*PI()*ESF[[#This Row],[Ø (cm)]]^2/4*SIN(ESF[[#This Row],[α]])^2),"N.S.")</f>
        <v>N.S.</v>
      </c>
      <c r="AP82" s="4" t="str">
        <f ca="1">IFERROR(INDEX(grupoEstacas[],ESF[[#This Row],[nE]],MATCH("coef. Blévot",grupoEstacas[#Headers],0)),"N.S.")</f>
        <v>N.S.</v>
      </c>
      <c r="AQ82" s="35" t="str">
        <f ca="1">IFERROR(ESF[[#This Row],[coef. Blévot]]*0.9*INDEX(tipoEstaca[],MATCH($D$2,tipoEstaca[TIPO DE ESTACA],0),MATCH("fcd (kN/cm²)",tipoEstaca[#Headers],0)),"N.S.")</f>
        <v>N.S.</v>
      </c>
      <c r="AR82" s="1" t="str">
        <f ca="1">IF(AND(ESF[[#This Row],[cd,b,pil (kN/cm²)]]&lt;=ESF[[#This Row],[cd,b,lim (kN/cm²)]],ESF[[#This Row],[cd,b,est (kN/cm²)]]&lt;=ESF[[#This Row],[cd,b,lim (kN/cm²)]]),"OK","ERRO")</f>
        <v>OK</v>
      </c>
      <c r="AS82" s="4" t="str">
        <f ca="1">As_lado(ESF[[#This Row],[nE]],ESF[[#This Row],[Nsd (kN)]],ESF[[#This Row],[d (cm)]],ESF[[#This Row],[e (cm)]],ESF[[#This Row],[ap,eq (cm)]])</f>
        <v>N.S.</v>
      </c>
      <c r="AT82" s="4" t="str">
        <f ca="1">IF(ESF[[#This Row],[nE]]=1,ESF[[#This Row],[As,lado (cm²)]],IF(ESF[[#This Row],[nE]]=2,0.075*2*ESF[a (cm)],"N.A."))</f>
        <v>N.A.</v>
      </c>
      <c r="AU82" s="4" t="str">
        <f ca="1">IFERROR(IF(ESF[[#This Row],[nE]]=1,"N.A.",0.2*ESF[[#This Row],[As,lado (cm²)]]),"N.S.")</f>
        <v>N.S.</v>
      </c>
      <c r="AV82" s="4" t="str">
        <f ca="1">As_malha(ESF[[#This Row],[nE]],ESF[[#This Row],[As,lado (cm²)]],ESF[[#This Row],[Nsd (kN)]])</f>
        <v>N.S.</v>
      </c>
      <c r="AW82" s="4" t="str">
        <f ca="1">As_susp_tot(ESF[[#This Row],[nE]],ESF[[#This Row],[Nsd (kN)]])</f>
        <v>N.S.</v>
      </c>
      <c r="AX82" s="4" t="str">
        <f ca="1">Asp_face(ESF[[#This Row],[nE]],ESF[[#This Row],[As,lado (cm²)]])</f>
        <v>N.S.</v>
      </c>
      <c r="AY82" s="5" t="str">
        <f ca="1">acoBloco(ESF[[#This Row],[nE]],ESF[[#This Row],[e (cm)]],ESF[[#This Row],[a (cm)]],ESF[[#This Row],[h (cm)]],ESF[[#This Row],[As,lado (cm²)]],ESF[[#This Row],[Asp e Asw (cm²/m)]],ESF[[#This Row],[As,sup (cm²)]],ESF[[#This Row],[As,malha (cm²)]],ESF[[#This Row],[As,susp,tot (cm²)]],ESF[[#This Row],[Asp,face (cm²)]])</f>
        <v>N.S.</v>
      </c>
      <c r="AZ82" s="4" t="str">
        <f ca="1">concretoBloco(ESF[[#This Row],[nE]],ESF[[#This Row],[e (cm)]],ESF[[#This Row],[a (cm)]],ESF[[#This Row],[h (cm)]])</f>
        <v>N.S.</v>
      </c>
      <c r="BA82" s="5">
        <f ca="1">SUM(ESF[[#This Row],[Aço Est (kg)]],ESF[[#This Row],[Aço Bloco (kg)]])</f>
        <v>6.04206807101657</v>
      </c>
      <c r="BB82" s="4">
        <f>INDEX(composicoes[],MATCH(95580,composicoes[CÓDIGO],0),MATCH("CUSTO TOTAL",composicoes[#Headers],0))</f>
        <v>10.46</v>
      </c>
      <c r="BC82" s="4">
        <f ca="1">SUM(ESF[[#This Row],[Conc Est (m³)]],ESF[[#This Row],[Conc Bloco (m³)]])</f>
        <v>10.102183876699677</v>
      </c>
      <c r="BD82" s="4">
        <f>INDEX(composicoes[],MATCH(94966,composicoes[CÓDIGO],0),MATCH("CUSTO TOTAL",composicoes[#Headers],0))</f>
        <v>439.52</v>
      </c>
      <c r="BE82" s="38">
        <f ca="1">ESF[[#This Row],[Aço (kg)]]*ESF[[#This Row],[Aço (R$/kg)]]+ESF[[#This Row],[Conc (m³)]]*ESF[[#This Row],[Conc (R$/m³)]]</f>
        <v>4503.3118895098751</v>
      </c>
      <c r="BF82" s="4" t="str">
        <f ca="1">IF(COUNTIF(ESF[#This Row],"N.S.")&gt;0,"lim.","OK")</f>
        <v>lim.</v>
      </c>
      <c r="BG82" s="4" t="str">
        <f>IF(ESF[[#This Row],[Prof. (m)]]&lt;3,"lim.","OK")</f>
        <v>OK</v>
      </c>
      <c r="BH82" s="4" t="str">
        <f>IF(ESF[[#This Row],[Prof. (m)]]&gt;=8*ESF[[#This Row],[Ø (cm)]]/100,"OK","lim.")</f>
        <v>OK</v>
      </c>
      <c r="BI82" s="4" t="str">
        <f>IF(AND(SPT!$F$3&lt;&gt;"",ESF[[#This Row],[Prof. (m)]]&gt;=SPT!$F$3),"lim.","OK")</f>
        <v>OK</v>
      </c>
      <c r="BJ82" s="4" t="str">
        <f>IF(COUNTIFS(ESF[Solo],"Areia",ESF[Prof. (m)],"&lt;="&amp;ESF[[#This Row],[Prof. (m)]])&gt;=1,"lim.","OK")</f>
        <v>OK</v>
      </c>
      <c r="BK82" s="4" t="str">
        <f ca="1">IF(ESF[[#This Row],[Verif. Biela]]="OK","OK","lim.")</f>
        <v>OK</v>
      </c>
      <c r="BL82" s="4" t="str">
        <f ca="1">IF(COUNTA(ESF[[#This Row],[Nº Est.]:[Biela comp.]])=COUNTIF(ESF[[#This Row],[Nº Est.]:[Biela comp.]],"OK"),"OK","lim.")</f>
        <v>lim.</v>
      </c>
      <c r="BM82" s="4" t="str">
        <f ca="1">IF(ESF[[#This Row],[Controle]]="OK",ESF[[#This Row],[nE]]&amp;" Ø"&amp;ESF[[#This Row],[Ø (cm)]]&amp;"cm Prof. "&amp;ESF[[#This Row],[Prof. (m)]]&amp;" m","")</f>
        <v/>
      </c>
      <c r="BN82" s="4" t="str">
        <f ca="1">IF(ESF[[#This Row],[idDimensionamento]]="","",ESF[[#This Row],[idPilar]]&amp;ESF[[#This Row],[idDimensionamento]])</f>
        <v/>
      </c>
    </row>
    <row r="83" spans="2:66" x14ac:dyDescent="0.25">
      <c r="B83" s="12">
        <f>ROUNDUP((ROW(ESF[[#This Row],[idDiâmetro]])-ROW(ESF[[#Headers],[idDiâmetro]]))/(COUNT(SPT[Prof. (m)])*COUNT(PILARES[Pilar])),0)</f>
        <v>3</v>
      </c>
      <c r="C83" s="12">
        <f>IF(ESF[[#This Row],[idDiâmetro]]&lt;&gt;B82,1,IF(ESF[[#This Row],[Prof. (m)]]=0,C82+1,C82))</f>
        <v>2</v>
      </c>
      <c r="D83" s="1">
        <f>IFERROR(IF(D82=MAX(SPT[Prof. (m)]),0,D82+1),0)</f>
        <v>8</v>
      </c>
      <c r="E83" s="1">
        <f>INDEX(SPT[],MATCH(ESF[[#This Row],[Prof. (m)]],SPT[Prof. (m)],0),2)</f>
        <v>10</v>
      </c>
      <c r="F83" s="1" t="str">
        <f>INDEX(SPT[],MATCH(ESF[[#This Row],[Prof. (m)]],SPT[Prof. (m)],0),3)</f>
        <v>Silte arenoso</v>
      </c>
      <c r="G83" s="1">
        <f>INDEX(estacas[],ESF[[#This Row],[idDiâmetro]],MATCH($B$2,estacas[#Headers],0))</f>
        <v>35</v>
      </c>
      <c r="H83" s="1">
        <f>INDEX(estacas[],MATCH(ESF[[#This Row],[Ø (cm)]],estacas[Ø ESF (cm)],0),MATCH(ESF[[#Headers],[Pe ESF (kN)]],estacas[#Headers],0))</f>
        <v>490</v>
      </c>
      <c r="I83" s="4">
        <f>INDEX(K_alpha_C[],MATCH(ESF[[#This Row],[Solo]],K_alpha_C[Solo],0),2)</f>
        <v>0.55000000000000004</v>
      </c>
      <c r="J83" s="5">
        <f>INDEX(K_alpha_C[],MATCH(ESF[[#This Row],[Solo]],K_alpha_C[Solo],0),3)</f>
        <v>2.2000000000000002</v>
      </c>
      <c r="K83" s="4">
        <f>INDEX(F1_F2[],MATCH($D$2,F1_F2[Tipo de estaca],0),2)</f>
        <v>3</v>
      </c>
      <c r="L83" s="4">
        <f>INDEX(F1_F2[],MATCH($D$2,F1_F2[Tipo de estaca],0),3)</f>
        <v>6</v>
      </c>
      <c r="M83" s="4">
        <f>PI()*(ESF[[#This Row],[Ø (cm)]]/100)^2/4</f>
        <v>9.6211275016187398E-2</v>
      </c>
      <c r="N83" s="4">
        <f>PI()*ESF[[#This Row],[Ø (cm)]]/100</f>
        <v>1.0995574287564276</v>
      </c>
      <c r="O83" s="4">
        <f>IF(ESF[[#This Row],[Prof. (m)]]=0,0,ESF[[#This Row],[α (%)]]/100*ESF[[#This Row],[K (MPa)]]*1000*ESF[[#This Row],[NSPT]])</f>
        <v>121.00000000000001</v>
      </c>
      <c r="P83" s="4">
        <f>IF(ESF[[#This Row],[Prof. (m)]]=0,0,(ESF[[#This Row],[K (MPa)]]*1000*ESF[[#This Row],[NSPT]]/ESF[[#This Row],[F1]]*ESF[[#This Row],[Ap (m²)]]+ESF[[#This Row],[U (m)]]/ESF[[#This Row],[F2]]*SUMIFS(ESF[(α∙K∙NL∙ΔL)],ESF[Prof. (m)],"&lt;="&amp;ESF[[#This Row],[Prof. (m)]],ESF[idDiâmetro],ESF[[#This Row],[idDiâmetro]],ESF[idPilar],ESF[[#This Row],[idPilar]]))/'DADOS CAP. CARGA'!$D$2)</f>
        <v>179.8142915159678</v>
      </c>
      <c r="Q83" s="12">
        <f>INDEX(C_alpha_beta[],MATCH(ESF[[#This Row],[Solo]],C_alpha_beta[Solo],0),MATCH(ESF[[#Headers],[C (kPa)]],C_alpha_beta[#Headers],0))</f>
        <v>250</v>
      </c>
      <c r="R83" s="4">
        <f>INDEX(C_alpha_beta[],MATCH(ESF[[#This Row],[Solo]],C_alpha_beta[Solo],0),MATCH(ESF[[#Headers],[α ESF]],C_alpha_beta[#Headers],0))</f>
        <v>0.6</v>
      </c>
      <c r="S83" s="4">
        <f>INDEX(C_alpha_beta[],MATCH(ESF[[#This Row],[Solo]],C_alpha_beta[Solo],0),MATCH(ESF[[#Headers],[β ESF]],C_alpha_beta[#Headers],0))</f>
        <v>0.65</v>
      </c>
      <c r="T83" s="4">
        <f>IF(ESF[[#This Row],[Prof. (m)]]=0,0,10*(ESF[[#This Row],[NSPT]]/3+1))</f>
        <v>43.333333333333343</v>
      </c>
      <c r="U83" s="4">
        <f>(ESF[[#This Row],[α ESF]]*ESF[[#This Row],[C (kPa)]]*ESF[[#This Row],[NSPT]]*ESF[[#This Row],[Ap (m²)]])/'DADOS CAP. CARGA'!$Q$2+(ESF[[#This Row],[β ESF]]*SUMIFS(ESF[10∙(NL/3+1)],ESF[Prof. (m)],"&lt;="&amp;ESF[[#This Row],[Prof. (m)]],ESF[idDiâmetro],ESF[[#This Row],[idDiâmetro]],ESF[idPilar],ESF[[#This Row],[idPilar]])*ESF[[#This Row],[U (m)]])/'DADOS CAP. CARGA'!$S$2</f>
        <v>150.43320072173873</v>
      </c>
      <c r="V83" s="4">
        <f>IF(SPT!$M$5=1,MIN(ESF[[#This Row],[Pe ESF (kN)]],ESF[[#This Row],[R_AV (kN)]]),IF(SPT!$M$5=2,MIN(ESF[[#This Row],[Pe ESF (kN)]],ESF[[#This Row],[R_DC (kN)]]),MIN(ESF[[#This Row],[Pe ESF (kN)]],ESF[[#This Row],[R_AV (kN)]],ESF[[#This Row],[R_DC (kN)]])))</f>
        <v>150.43320072173873</v>
      </c>
      <c r="W83" s="4">
        <f>INDEX(PILARES[],ESF[[#This Row],[idPilar]],MATCH("Carga (kN)",PILARES[#Headers],0))*1.4</f>
        <v>1750</v>
      </c>
      <c r="X83" s="12">
        <f>INDEX(PILARES[],ESF[[#This Row],[idPilar]],MATCH(ESF[[#Headers],[ap (cm)]],PILARES[#Headers],0))</f>
        <v>50</v>
      </c>
      <c r="Y83" s="12">
        <f>INDEX(PILARES[],ESF[[#This Row],[idPilar]],MATCH(ESF[[#Headers],[bp (cm)]],PILARES[#Headers],0))</f>
        <v>40</v>
      </c>
      <c r="Z83" s="4">
        <f>SQRT(ESF[[#This Row],[ap (cm)]]*ESF[[#This Row],[bp (cm)]])</f>
        <v>44.721359549995796</v>
      </c>
      <c r="AA83" s="12">
        <f>ESF[[#This Row],[ap (cm)]]*ESF[[#This Row],[bp (cm)]]</f>
        <v>2000</v>
      </c>
      <c r="AB83" s="12">
        <f ca="1">IF(ESF[[#This Row],[Padm∙ε (kN)]]&gt;=ESF[[#This Row],[Padm (kN)]],ROUNDUP(1.05*ESF[[#This Row],[Nsd (kN)]]/ESF[[#This Row],[Padm (kN)]],0),ROUNDUP(1.05*ESF[[#This Row],[Nsd (kN)]]/ESF[[#This Row],[Padm (kN)]],0)+1)</f>
        <v>13</v>
      </c>
      <c r="AC83" s="4" t="str">
        <f ca="1">IFERROR(IF(ESF[[#This Row],[nE]]=1,ESF[[#This Row],[Padm (kN)]],ESF[[#This Row],[Padm (kN)]]*ESF[[#This Row],[nE]]*INDEX(grupoEstacas[],ESF[[#This Row],[nE]],MATCH("ε",grupoEstacas[#Headers],0))),"N.S.")</f>
        <v>N.S.</v>
      </c>
      <c r="AD83" s="4">
        <f ca="1">1.05*ESF[[#This Row],[Nsd (kN)]]/(ESF[[#This Row],[nE]]*PI()*ESF[[#This Row],[Ø (cm)]]^2/4)*10</f>
        <v>1.4691225516174955</v>
      </c>
      <c r="AE83" s="4">
        <f ca="1">IF(ESF[[#This Row],[σ (MPa)]]&lt;INDEX(tipoEstaca[],MATCH($D$2,tipoEstaca[TIPO DE ESTACA],0),MATCH("σmáx (MPa)",tipoEstaca[#Headers],0)),0.4%*PI()*ESF[[#This Row],[Ø (cm)]]^2/4,"N.S.")</f>
        <v>3.848451000647497</v>
      </c>
      <c r="AF83" s="1">
        <f>INDEX(tipoEstaca[],MATCH($D$2,tipoEstaca[TIPO DE ESTACA],0),MATCH(ESF[[#Headers],[Comprimento (m)]],tipoEstaca[#Headers],0))</f>
        <v>2</v>
      </c>
      <c r="AG83" s="5">
        <f ca="1">ESF[[#This Row],[As,mín (cm²)]]/100^2*ESF[[#This Row],[Comprimento (m)]]*7850</f>
        <v>6.04206807101657</v>
      </c>
      <c r="AH83" s="4">
        <f ca="1">ESF[[#This Row],[nE]]*ESF[[#This Row],[Prof. (m)]]*ESF[[#This Row],[Ap (m²)]]</f>
        <v>10.005972601683489</v>
      </c>
      <c r="AI83" s="1">
        <f ca="1">IF(ESF[[#This Row],[nE]]=1,0,MAX(3*ESF[[#This Row],[Ø (cm)]],60))</f>
        <v>105</v>
      </c>
      <c r="AJ83" s="1">
        <f ca="1">IF(ESF[[#This Row],[nE]]=1,ESF[[#This Row],[Ø (cm)]]+2*10,MAX(1.5*ESF[[#This Row],[Ø (cm)]],ESF[[#This Row],[Ø (cm)]]+15))</f>
        <v>52.5</v>
      </c>
      <c r="AK83" s="1" t="str">
        <f ca="1">alturaUtil(ESF[[#This Row],[nE]],ESF[[#This Row],[Ø (cm)]],ESF[[#This Row],[e (cm)]],ESF[[#This Row],[ap,eq (cm)]])</f>
        <v>N.S.</v>
      </c>
      <c r="AL83" s="1" t="str">
        <f ca="1">IFERROR(ESF[[#This Row],[d (cm)]]+arredondarParaCimaMultiplo5cm(MAX(5,SQRT(PI())/2*ESF[[#This Row],[Ø (cm)]]/5)),"N.S.")</f>
        <v>N.S.</v>
      </c>
      <c r="AM83" s="5" t="str">
        <f ca="1">alpha(ESF[[#This Row],[nE]],ESF[[#This Row],[d (cm)]],ESF[[#This Row],[e (cm)]],ESF[[#This Row],[ap,eq (cm)]])</f>
        <v>N.S.</v>
      </c>
      <c r="AN83" s="35" t="str">
        <f ca="1">IFERROR(ESF[[#This Row],[Nsd (kN)]]/(ESF[[#This Row],[Ap (cm²)]]*SIN(ESF[[#This Row],[α]])^2),"N.S.")</f>
        <v>N.S.</v>
      </c>
      <c r="AO83" s="35" t="str">
        <f ca="1">IFERROR(ESF[[#This Row],[Nsd (kN)]]/(ESF[[#This Row],[nE]]*PI()*ESF[[#This Row],[Ø (cm)]]^2/4*SIN(ESF[[#This Row],[α]])^2),"N.S.")</f>
        <v>N.S.</v>
      </c>
      <c r="AP83" s="4" t="str">
        <f ca="1">IFERROR(INDEX(grupoEstacas[],ESF[[#This Row],[nE]],MATCH("coef. Blévot",grupoEstacas[#Headers],0)),"N.S.")</f>
        <v>N.S.</v>
      </c>
      <c r="AQ83" s="35" t="str">
        <f ca="1">IFERROR(ESF[[#This Row],[coef. Blévot]]*0.9*INDEX(tipoEstaca[],MATCH($D$2,tipoEstaca[TIPO DE ESTACA],0),MATCH("fcd (kN/cm²)",tipoEstaca[#Headers],0)),"N.S.")</f>
        <v>N.S.</v>
      </c>
      <c r="AR83" s="1" t="str">
        <f ca="1">IF(AND(ESF[[#This Row],[cd,b,pil (kN/cm²)]]&lt;=ESF[[#This Row],[cd,b,lim (kN/cm²)]],ESF[[#This Row],[cd,b,est (kN/cm²)]]&lt;=ESF[[#This Row],[cd,b,lim (kN/cm²)]]),"OK","ERRO")</f>
        <v>OK</v>
      </c>
      <c r="AS83" s="4" t="str">
        <f ca="1">As_lado(ESF[[#This Row],[nE]],ESF[[#This Row],[Nsd (kN)]],ESF[[#This Row],[d (cm)]],ESF[[#This Row],[e (cm)]],ESF[[#This Row],[ap,eq (cm)]])</f>
        <v>N.S.</v>
      </c>
      <c r="AT83" s="4" t="str">
        <f ca="1">IF(ESF[[#This Row],[nE]]=1,ESF[[#This Row],[As,lado (cm²)]],IF(ESF[[#This Row],[nE]]=2,0.075*2*ESF[a (cm)],"N.A."))</f>
        <v>N.A.</v>
      </c>
      <c r="AU83" s="4" t="str">
        <f ca="1">IFERROR(IF(ESF[[#This Row],[nE]]=1,"N.A.",0.2*ESF[[#This Row],[As,lado (cm²)]]),"N.S.")</f>
        <v>N.S.</v>
      </c>
      <c r="AV83" s="4" t="str">
        <f ca="1">As_malha(ESF[[#This Row],[nE]],ESF[[#This Row],[As,lado (cm²)]],ESF[[#This Row],[Nsd (kN)]])</f>
        <v>N.S.</v>
      </c>
      <c r="AW83" s="4" t="str">
        <f ca="1">As_susp_tot(ESF[[#This Row],[nE]],ESF[[#This Row],[Nsd (kN)]])</f>
        <v>N.S.</v>
      </c>
      <c r="AX83" s="4" t="str">
        <f ca="1">Asp_face(ESF[[#This Row],[nE]],ESF[[#This Row],[As,lado (cm²)]])</f>
        <v>N.S.</v>
      </c>
      <c r="AY83" s="5" t="str">
        <f ca="1">acoBloco(ESF[[#This Row],[nE]],ESF[[#This Row],[e (cm)]],ESF[[#This Row],[a (cm)]],ESF[[#This Row],[h (cm)]],ESF[[#This Row],[As,lado (cm²)]],ESF[[#This Row],[Asp e Asw (cm²/m)]],ESF[[#This Row],[As,sup (cm²)]],ESF[[#This Row],[As,malha (cm²)]],ESF[[#This Row],[As,susp,tot (cm²)]],ESF[[#This Row],[Asp,face (cm²)]])</f>
        <v>N.S.</v>
      </c>
      <c r="AZ83" s="4" t="str">
        <f ca="1">concretoBloco(ESF[[#This Row],[nE]],ESF[[#This Row],[e (cm)]],ESF[[#This Row],[a (cm)]],ESF[[#This Row],[h (cm)]])</f>
        <v>N.S.</v>
      </c>
      <c r="BA83" s="5">
        <f ca="1">SUM(ESF[[#This Row],[Aço Est (kg)]],ESF[[#This Row],[Aço Bloco (kg)]])</f>
        <v>6.04206807101657</v>
      </c>
      <c r="BB83" s="4">
        <f>INDEX(composicoes[],MATCH(95580,composicoes[CÓDIGO],0),MATCH("CUSTO TOTAL",composicoes[#Headers],0))</f>
        <v>10.46</v>
      </c>
      <c r="BC83" s="4">
        <f ca="1">SUM(ESF[[#This Row],[Conc Est (m³)]],ESF[[#This Row],[Conc Bloco (m³)]])</f>
        <v>10.005972601683489</v>
      </c>
      <c r="BD83" s="4">
        <f>INDEX(composicoes[],MATCH(94966,composicoes[CÓDIGO],0),MATCH("CUSTO TOTAL",composicoes[#Headers],0))</f>
        <v>439.52</v>
      </c>
      <c r="BE83" s="38">
        <f ca="1">ESF[[#This Row],[Aço (kg)]]*ESF[[#This Row],[Aço (R$/kg)]]+ESF[[#This Row],[Conc (m³)]]*ESF[[#This Row],[Conc (R$/m³)]]</f>
        <v>4461.0251099147599</v>
      </c>
      <c r="BF83" s="4" t="str">
        <f ca="1">IF(COUNTIF(ESF[#This Row],"N.S.")&gt;0,"lim.","OK")</f>
        <v>lim.</v>
      </c>
      <c r="BG83" s="4" t="str">
        <f>IF(ESF[[#This Row],[Prof. (m)]]&lt;3,"lim.","OK")</f>
        <v>OK</v>
      </c>
      <c r="BH83" s="4" t="str">
        <f>IF(ESF[[#This Row],[Prof. (m)]]&gt;=8*ESF[[#This Row],[Ø (cm)]]/100,"OK","lim.")</f>
        <v>OK</v>
      </c>
      <c r="BI83" s="4" t="str">
        <f>IF(AND(SPT!$F$3&lt;&gt;"",ESF[[#This Row],[Prof. (m)]]&gt;=SPT!$F$3),"lim.","OK")</f>
        <v>OK</v>
      </c>
      <c r="BJ83" s="4" t="str">
        <f>IF(COUNTIFS(ESF[Solo],"Areia",ESF[Prof. (m)],"&lt;="&amp;ESF[[#This Row],[Prof. (m)]])&gt;=1,"lim.","OK")</f>
        <v>OK</v>
      </c>
      <c r="BK83" s="4" t="str">
        <f ca="1">IF(ESF[[#This Row],[Verif. Biela]]="OK","OK","lim.")</f>
        <v>OK</v>
      </c>
      <c r="BL83" s="4" t="str">
        <f ca="1">IF(COUNTA(ESF[[#This Row],[Nº Est.]:[Biela comp.]])=COUNTIF(ESF[[#This Row],[Nº Est.]:[Biela comp.]],"OK"),"OK","lim.")</f>
        <v>lim.</v>
      </c>
      <c r="BM83" s="4" t="str">
        <f ca="1">IF(ESF[[#This Row],[Controle]]="OK",ESF[[#This Row],[nE]]&amp;" Ø"&amp;ESF[[#This Row],[Ø (cm)]]&amp;"cm Prof. "&amp;ESF[[#This Row],[Prof. (m)]]&amp;" m","")</f>
        <v/>
      </c>
      <c r="BN83" s="4" t="str">
        <f ca="1">IF(ESF[[#This Row],[idDimensionamento]]="","",ESF[[#This Row],[idPilar]]&amp;ESF[[#This Row],[idDimensionamento]])</f>
        <v/>
      </c>
    </row>
    <row r="84" spans="2:66" x14ac:dyDescent="0.25">
      <c r="B84" s="12">
        <f>ROUNDUP((ROW(ESF[[#This Row],[idDiâmetro]])-ROW(ESF[[#Headers],[idDiâmetro]]))/(COUNT(SPT[Prof. (m)])*COUNT(PILARES[Pilar])),0)</f>
        <v>3</v>
      </c>
      <c r="C84" s="12">
        <f>IF(ESF[[#This Row],[idDiâmetro]]&lt;&gt;B83,1,IF(ESF[[#This Row],[Prof. (m)]]=0,C83+1,C83))</f>
        <v>2</v>
      </c>
      <c r="D84" s="1">
        <f>IFERROR(IF(D83=MAX(SPT[Prof. (m)]),0,D83+1),0)</f>
        <v>9</v>
      </c>
      <c r="E84" s="1">
        <f>INDEX(SPT[],MATCH(ESF[[#This Row],[Prof. (m)]],SPT[Prof. (m)],0),2)</f>
        <v>26</v>
      </c>
      <c r="F84" s="1" t="str">
        <f>INDEX(SPT[],MATCH(ESF[[#This Row],[Prof. (m)]],SPT[Prof. (m)],0),3)</f>
        <v>Areia siltosa</v>
      </c>
      <c r="G84" s="1">
        <f>INDEX(estacas[],ESF[[#This Row],[idDiâmetro]],MATCH($B$2,estacas[#Headers],0))</f>
        <v>35</v>
      </c>
      <c r="H84" s="1">
        <f>INDEX(estacas[],MATCH(ESF[[#This Row],[Ø (cm)]],estacas[Ø ESF (cm)],0),MATCH(ESF[[#Headers],[Pe ESF (kN)]],estacas[#Headers],0))</f>
        <v>490</v>
      </c>
      <c r="I84" s="4">
        <f>INDEX(K_alpha_C[],MATCH(ESF[[#This Row],[Solo]],K_alpha_C[Solo],0),2)</f>
        <v>0.8</v>
      </c>
      <c r="J84" s="5">
        <f>INDEX(K_alpha_C[],MATCH(ESF[[#This Row],[Solo]],K_alpha_C[Solo],0),3)</f>
        <v>2</v>
      </c>
      <c r="K84" s="4">
        <f>INDEX(F1_F2[],MATCH($D$2,F1_F2[Tipo de estaca],0),2)</f>
        <v>3</v>
      </c>
      <c r="L84" s="4">
        <f>INDEX(F1_F2[],MATCH($D$2,F1_F2[Tipo de estaca],0),3)</f>
        <v>6</v>
      </c>
      <c r="M84" s="4">
        <f>PI()*(ESF[[#This Row],[Ø (cm)]]/100)^2/4</f>
        <v>9.6211275016187398E-2</v>
      </c>
      <c r="N84" s="4">
        <f>PI()*ESF[[#This Row],[Ø (cm)]]/100</f>
        <v>1.0995574287564276</v>
      </c>
      <c r="O84" s="4">
        <f>IF(ESF[[#This Row],[Prof. (m)]]=0,0,ESF[[#This Row],[α (%)]]/100*ESF[[#This Row],[K (MPa)]]*1000*ESF[[#This Row],[NSPT]])</f>
        <v>416</v>
      </c>
      <c r="P84" s="4">
        <f>IF(ESF[[#This Row],[Prof. (m)]]=0,0,(ESF[[#This Row],[K (MPa)]]*1000*ESF[[#This Row],[NSPT]]/ESF[[#This Row],[F1]]*ESF[[#This Row],[Ap (m²)]]+ESF[[#This Row],[U (m)]]/ESF[[#This Row],[F2]]*SUMIFS(ESF[(α∙K∙NL∙ΔL)],ESF[Prof. (m)],"&lt;="&amp;ESF[[#This Row],[Prof. (m)]],ESF[idDiâmetro],ESF[[#This Row],[idDiâmetro]],ESF[idPilar],ESF[[#This Row],[idPilar]]))/'DADOS CAP. CARGA'!$D$2)</f>
        <v>463.27103367080178</v>
      </c>
      <c r="Q84" s="12">
        <f>INDEX(C_alpha_beta[],MATCH(ESF[[#This Row],[Solo]],C_alpha_beta[Solo],0),MATCH(ESF[[#Headers],[C (kPa)]],C_alpha_beta[#Headers],0))</f>
        <v>400</v>
      </c>
      <c r="R84" s="4">
        <f>INDEX(C_alpha_beta[],MATCH(ESF[[#This Row],[Solo]],C_alpha_beta[Solo],0),MATCH(ESF[[#Headers],[α ESF]],C_alpha_beta[#Headers],0))</f>
        <v>0.5</v>
      </c>
      <c r="S84" s="4">
        <f>INDEX(C_alpha_beta[],MATCH(ESF[[#This Row],[Solo]],C_alpha_beta[Solo],0),MATCH(ESF[[#Headers],[β ESF]],C_alpha_beta[#Headers],0))</f>
        <v>0.5</v>
      </c>
      <c r="T84" s="4">
        <f>IF(ESF[[#This Row],[Prof. (m)]]=0,0,10*(ESF[[#This Row],[NSPT]]/3+1))</f>
        <v>96.666666666666657</v>
      </c>
      <c r="U84" s="4">
        <f>(ESF[[#This Row],[α ESF]]*ESF[[#This Row],[C (kPa)]]*ESF[[#This Row],[NSPT]]*ESF[[#This Row],[Ap (m²)]])/'DADOS CAP. CARGA'!$Q$2+(ESF[[#This Row],[β ESF]]*SUMIFS(ESF[10∙(NL/3+1)],ESF[Prof. (m)],"&lt;="&amp;ESF[[#This Row],[Prof. (m)]],ESF[idDiâmetro],ESF[[#This Row],[idDiâmetro]],ESF[idPilar],ESF[[#This Row],[idPilar]])*ESF[[#This Row],[U (m)]])/'DADOS CAP. CARGA'!$S$2</f>
        <v>239.61188968317148</v>
      </c>
      <c r="V84" s="4">
        <f>IF(SPT!$M$5=1,MIN(ESF[[#This Row],[Pe ESF (kN)]],ESF[[#This Row],[R_AV (kN)]]),IF(SPT!$M$5=2,MIN(ESF[[#This Row],[Pe ESF (kN)]],ESF[[#This Row],[R_DC (kN)]]),MIN(ESF[[#This Row],[Pe ESF (kN)]],ESF[[#This Row],[R_AV (kN)]],ESF[[#This Row],[R_DC (kN)]])))</f>
        <v>239.61188968317148</v>
      </c>
      <c r="W84" s="4">
        <f>INDEX(PILARES[],ESF[[#This Row],[idPilar]],MATCH("Carga (kN)",PILARES[#Headers],0))*1.4</f>
        <v>1750</v>
      </c>
      <c r="X84" s="12">
        <f>INDEX(PILARES[],ESF[[#This Row],[idPilar]],MATCH(ESF[[#Headers],[ap (cm)]],PILARES[#Headers],0))</f>
        <v>50</v>
      </c>
      <c r="Y84" s="12">
        <f>INDEX(PILARES[],ESF[[#This Row],[idPilar]],MATCH(ESF[[#Headers],[bp (cm)]],PILARES[#Headers],0))</f>
        <v>40</v>
      </c>
      <c r="Z84" s="4">
        <f>SQRT(ESF[[#This Row],[ap (cm)]]*ESF[[#This Row],[bp (cm)]])</f>
        <v>44.721359549995796</v>
      </c>
      <c r="AA84" s="12">
        <f>ESF[[#This Row],[ap (cm)]]*ESF[[#This Row],[bp (cm)]]</f>
        <v>2000</v>
      </c>
      <c r="AB84" s="12">
        <f ca="1">IF(ESF[[#This Row],[Padm∙ε (kN)]]&gt;=ESF[[#This Row],[Padm (kN)]],ROUNDUP(1.05*ESF[[#This Row],[Nsd (kN)]]/ESF[[#This Row],[Padm (kN)]],0),ROUNDUP(1.05*ESF[[#This Row],[Nsd (kN)]]/ESF[[#This Row],[Padm (kN)]],0)+1)</f>
        <v>8</v>
      </c>
      <c r="AC84" s="4" t="str">
        <f ca="1">IFERROR(IF(ESF[[#This Row],[nE]]=1,ESF[[#This Row],[Padm (kN)]],ESF[[#This Row],[Padm (kN)]]*ESF[[#This Row],[nE]]*INDEX(grupoEstacas[],ESF[[#This Row],[nE]],MATCH("ε",grupoEstacas[#Headers],0))),"N.S.")</f>
        <v>N.S.</v>
      </c>
      <c r="AD84" s="4">
        <f ca="1">1.05*ESF[[#This Row],[Nsd (kN)]]/(ESF[[#This Row],[nE]]*PI()*ESF[[#This Row],[Ø (cm)]]^2/4)*10</f>
        <v>2.3873241463784298</v>
      </c>
      <c r="AE84" s="4">
        <f ca="1">IF(ESF[[#This Row],[σ (MPa)]]&lt;INDEX(tipoEstaca[],MATCH($D$2,tipoEstaca[TIPO DE ESTACA],0),MATCH("σmáx (MPa)",tipoEstaca[#Headers],0)),0.4%*PI()*ESF[[#This Row],[Ø (cm)]]^2/4,"N.S.")</f>
        <v>3.848451000647497</v>
      </c>
      <c r="AF84" s="1">
        <f>INDEX(tipoEstaca[],MATCH($D$2,tipoEstaca[TIPO DE ESTACA],0),MATCH(ESF[[#Headers],[Comprimento (m)]],tipoEstaca[#Headers],0))</f>
        <v>2</v>
      </c>
      <c r="AG84" s="5">
        <f ca="1">ESF[[#This Row],[As,mín (cm²)]]/100^2*ESF[[#This Row],[Comprimento (m)]]*7850</f>
        <v>6.04206807101657</v>
      </c>
      <c r="AH84" s="4">
        <f ca="1">ESF[[#This Row],[nE]]*ESF[[#This Row],[Prof. (m)]]*ESF[[#This Row],[Ap (m²)]]</f>
        <v>6.9272118011654928</v>
      </c>
      <c r="AI84" s="1">
        <f ca="1">IF(ESF[[#This Row],[nE]]=1,0,MAX(3*ESF[[#This Row],[Ø (cm)]],60))</f>
        <v>105</v>
      </c>
      <c r="AJ84" s="1">
        <f ca="1">IF(ESF[[#This Row],[nE]]=1,ESF[[#This Row],[Ø (cm)]]+2*10,MAX(1.5*ESF[[#This Row],[Ø (cm)]],ESF[[#This Row],[Ø (cm)]]+15))</f>
        <v>52.5</v>
      </c>
      <c r="AK84" s="1" t="str">
        <f ca="1">alturaUtil(ESF[[#This Row],[nE]],ESF[[#This Row],[Ø (cm)]],ESF[[#This Row],[e (cm)]],ESF[[#This Row],[ap,eq (cm)]])</f>
        <v>N.S.</v>
      </c>
      <c r="AL84" s="1" t="str">
        <f ca="1">IFERROR(ESF[[#This Row],[d (cm)]]+arredondarParaCimaMultiplo5cm(MAX(5,SQRT(PI())/2*ESF[[#This Row],[Ø (cm)]]/5)),"N.S.")</f>
        <v>N.S.</v>
      </c>
      <c r="AM84" s="5" t="str">
        <f ca="1">alpha(ESF[[#This Row],[nE]],ESF[[#This Row],[d (cm)]],ESF[[#This Row],[e (cm)]],ESF[[#This Row],[ap,eq (cm)]])</f>
        <v>N.S.</v>
      </c>
      <c r="AN84" s="35" t="str">
        <f ca="1">IFERROR(ESF[[#This Row],[Nsd (kN)]]/(ESF[[#This Row],[Ap (cm²)]]*SIN(ESF[[#This Row],[α]])^2),"N.S.")</f>
        <v>N.S.</v>
      </c>
      <c r="AO84" s="35" t="str">
        <f ca="1">IFERROR(ESF[[#This Row],[Nsd (kN)]]/(ESF[[#This Row],[nE]]*PI()*ESF[[#This Row],[Ø (cm)]]^2/4*SIN(ESF[[#This Row],[α]])^2),"N.S.")</f>
        <v>N.S.</v>
      </c>
      <c r="AP84" s="4" t="str">
        <f ca="1">IFERROR(INDEX(grupoEstacas[],ESF[[#This Row],[nE]],MATCH("coef. Blévot",grupoEstacas[#Headers],0)),"N.S.")</f>
        <v>N.S.</v>
      </c>
      <c r="AQ84" s="35" t="str">
        <f ca="1">IFERROR(ESF[[#This Row],[coef. Blévot]]*0.9*INDEX(tipoEstaca[],MATCH($D$2,tipoEstaca[TIPO DE ESTACA],0),MATCH("fcd (kN/cm²)",tipoEstaca[#Headers],0)),"N.S.")</f>
        <v>N.S.</v>
      </c>
      <c r="AR84" s="1" t="str">
        <f ca="1">IF(AND(ESF[[#This Row],[cd,b,pil (kN/cm²)]]&lt;=ESF[[#This Row],[cd,b,lim (kN/cm²)]],ESF[[#This Row],[cd,b,est (kN/cm²)]]&lt;=ESF[[#This Row],[cd,b,lim (kN/cm²)]]),"OK","ERRO")</f>
        <v>OK</v>
      </c>
      <c r="AS84" s="4" t="str">
        <f ca="1">As_lado(ESF[[#This Row],[nE]],ESF[[#This Row],[Nsd (kN)]],ESF[[#This Row],[d (cm)]],ESF[[#This Row],[e (cm)]],ESF[[#This Row],[ap,eq (cm)]])</f>
        <v>N.S.</v>
      </c>
      <c r="AT84" s="4" t="str">
        <f ca="1">IF(ESF[[#This Row],[nE]]=1,ESF[[#This Row],[As,lado (cm²)]],IF(ESF[[#This Row],[nE]]=2,0.075*2*ESF[a (cm)],"N.A."))</f>
        <v>N.A.</v>
      </c>
      <c r="AU84" s="4" t="str">
        <f ca="1">IFERROR(IF(ESF[[#This Row],[nE]]=1,"N.A.",0.2*ESF[[#This Row],[As,lado (cm²)]]),"N.S.")</f>
        <v>N.S.</v>
      </c>
      <c r="AV84" s="4" t="str">
        <f ca="1">As_malha(ESF[[#This Row],[nE]],ESF[[#This Row],[As,lado (cm²)]],ESF[[#This Row],[Nsd (kN)]])</f>
        <v>N.S.</v>
      </c>
      <c r="AW84" s="4" t="str">
        <f ca="1">As_susp_tot(ESF[[#This Row],[nE]],ESF[[#This Row],[Nsd (kN)]])</f>
        <v>N.S.</v>
      </c>
      <c r="AX84" s="4" t="str">
        <f ca="1">Asp_face(ESF[[#This Row],[nE]],ESF[[#This Row],[As,lado (cm²)]])</f>
        <v>N.S.</v>
      </c>
      <c r="AY84" s="5" t="str">
        <f ca="1">acoBloco(ESF[[#This Row],[nE]],ESF[[#This Row],[e (cm)]],ESF[[#This Row],[a (cm)]],ESF[[#This Row],[h (cm)]],ESF[[#This Row],[As,lado (cm²)]],ESF[[#This Row],[Asp e Asw (cm²/m)]],ESF[[#This Row],[As,sup (cm²)]],ESF[[#This Row],[As,malha (cm²)]],ESF[[#This Row],[As,susp,tot (cm²)]],ESF[[#This Row],[Asp,face (cm²)]])</f>
        <v>N.S.</v>
      </c>
      <c r="AZ84" s="4" t="str">
        <f ca="1">concretoBloco(ESF[[#This Row],[nE]],ESF[[#This Row],[e (cm)]],ESF[[#This Row],[a (cm)]],ESF[[#This Row],[h (cm)]])</f>
        <v>N.S.</v>
      </c>
      <c r="BA84" s="5">
        <f ca="1">SUM(ESF[[#This Row],[Aço Est (kg)]],ESF[[#This Row],[Aço Bloco (kg)]])</f>
        <v>6.04206807101657</v>
      </c>
      <c r="BB84" s="4">
        <f>INDEX(composicoes[],MATCH(95580,composicoes[CÓDIGO],0),MATCH("CUSTO TOTAL",composicoes[#Headers],0))</f>
        <v>10.46</v>
      </c>
      <c r="BC84" s="4">
        <f ca="1">SUM(ESF[[#This Row],[Conc Est (m³)]],ESF[[#This Row],[Conc Bloco (m³)]])</f>
        <v>6.9272118011654928</v>
      </c>
      <c r="BD84" s="4">
        <f>INDEX(composicoes[],MATCH(94966,composicoes[CÓDIGO],0),MATCH("CUSTO TOTAL",composicoes[#Headers],0))</f>
        <v>439.52</v>
      </c>
      <c r="BE84" s="38">
        <f ca="1">ESF[[#This Row],[Aço (kg)]]*ESF[[#This Row],[Aço (R$/kg)]]+ESF[[#This Row],[Conc (m³)]]*ESF[[#This Row],[Conc (R$/m³)]]</f>
        <v>3107.8481628710906</v>
      </c>
      <c r="BF84" s="4" t="str">
        <f ca="1">IF(COUNTIF(ESF[#This Row],"N.S.")&gt;0,"lim.","OK")</f>
        <v>lim.</v>
      </c>
      <c r="BG84" s="4" t="str">
        <f>IF(ESF[[#This Row],[Prof. (m)]]&lt;3,"lim.","OK")</f>
        <v>OK</v>
      </c>
      <c r="BH84" s="4" t="str">
        <f>IF(ESF[[#This Row],[Prof. (m)]]&gt;=8*ESF[[#This Row],[Ø (cm)]]/100,"OK","lim.")</f>
        <v>OK</v>
      </c>
      <c r="BI84" s="4" t="str">
        <f>IF(AND(SPT!$F$3&lt;&gt;"",ESF[[#This Row],[Prof. (m)]]&gt;=SPT!$F$3),"lim.","OK")</f>
        <v>OK</v>
      </c>
      <c r="BJ84" s="4" t="str">
        <f>IF(COUNTIFS(ESF[Solo],"Areia",ESF[Prof. (m)],"&lt;="&amp;ESF[[#This Row],[Prof. (m)]])&gt;=1,"lim.","OK")</f>
        <v>OK</v>
      </c>
      <c r="BK84" s="4" t="str">
        <f ca="1">IF(ESF[[#This Row],[Verif. Biela]]="OK","OK","lim.")</f>
        <v>OK</v>
      </c>
      <c r="BL84" s="4" t="str">
        <f ca="1">IF(COUNTA(ESF[[#This Row],[Nº Est.]:[Biela comp.]])=COUNTIF(ESF[[#This Row],[Nº Est.]:[Biela comp.]],"OK"),"OK","lim.")</f>
        <v>lim.</v>
      </c>
      <c r="BM84" s="4" t="str">
        <f ca="1">IF(ESF[[#This Row],[Controle]]="OK",ESF[[#This Row],[nE]]&amp;" Ø"&amp;ESF[[#This Row],[Ø (cm)]]&amp;"cm Prof. "&amp;ESF[[#This Row],[Prof. (m)]]&amp;" m","")</f>
        <v/>
      </c>
      <c r="BN84" s="4" t="str">
        <f ca="1">IF(ESF[[#This Row],[idDimensionamento]]="","",ESF[[#This Row],[idPilar]]&amp;ESF[[#This Row],[idDimensionamento]])</f>
        <v/>
      </c>
    </row>
    <row r="85" spans="2:66" x14ac:dyDescent="0.25">
      <c r="B85" s="12">
        <f>ROUNDUP((ROW(ESF[[#This Row],[idDiâmetro]])-ROW(ESF[[#Headers],[idDiâmetro]]))/(COUNT(SPT[Prof. (m)])*COUNT(PILARES[Pilar])),0)</f>
        <v>3</v>
      </c>
      <c r="C85" s="12">
        <f>IF(ESF[[#This Row],[idDiâmetro]]&lt;&gt;B84,1,IF(ESF[[#This Row],[Prof. (m)]]=0,C84+1,C84))</f>
        <v>2</v>
      </c>
      <c r="D85" s="1">
        <f>IFERROR(IF(D84=MAX(SPT[Prof. (m)]),0,D84+1),0)</f>
        <v>10</v>
      </c>
      <c r="E85" s="1">
        <f>INDEX(SPT[],MATCH(ESF[[#This Row],[Prof. (m)]],SPT[Prof. (m)],0),2)</f>
        <v>32</v>
      </c>
      <c r="F85" s="1" t="str">
        <f>INDEX(SPT[],MATCH(ESF[[#This Row],[Prof. (m)]],SPT[Prof. (m)],0),3)</f>
        <v>Areia siltosa</v>
      </c>
      <c r="G85" s="1">
        <f>INDEX(estacas[],ESF[[#This Row],[idDiâmetro]],MATCH($B$2,estacas[#Headers],0))</f>
        <v>35</v>
      </c>
      <c r="H85" s="1">
        <f>INDEX(estacas[],MATCH(ESF[[#This Row],[Ø (cm)]],estacas[Ø ESF (cm)],0),MATCH(ESF[[#Headers],[Pe ESF (kN)]],estacas[#Headers],0))</f>
        <v>490</v>
      </c>
      <c r="I85" s="4">
        <f>INDEX(K_alpha_C[],MATCH(ESF[[#This Row],[Solo]],K_alpha_C[Solo],0),2)</f>
        <v>0.8</v>
      </c>
      <c r="J85" s="5">
        <f>INDEX(K_alpha_C[],MATCH(ESF[[#This Row],[Solo]],K_alpha_C[Solo],0),3)</f>
        <v>2</v>
      </c>
      <c r="K85" s="4">
        <f>INDEX(F1_F2[],MATCH($D$2,F1_F2[Tipo de estaca],0),2)</f>
        <v>3</v>
      </c>
      <c r="L85" s="4">
        <f>INDEX(F1_F2[],MATCH($D$2,F1_F2[Tipo de estaca],0),3)</f>
        <v>6</v>
      </c>
      <c r="M85" s="4">
        <f>PI()*(ESF[[#This Row],[Ø (cm)]]/100)^2/4</f>
        <v>9.6211275016187398E-2</v>
      </c>
      <c r="N85" s="4">
        <f>PI()*ESF[[#This Row],[Ø (cm)]]/100</f>
        <v>1.0995574287564276</v>
      </c>
      <c r="O85" s="4">
        <f>IF(ESF[[#This Row],[Prof. (m)]]=0,0,ESF[[#This Row],[α (%)]]/100*ESF[[#This Row],[K (MPa)]]*1000*ESF[[#This Row],[NSPT]])</f>
        <v>512</v>
      </c>
      <c r="P85" s="4">
        <f>IF(ESF[[#This Row],[Prof. (m)]]=0,0,(ESF[[#This Row],[K (MPa)]]*1000*ESF[[#This Row],[NSPT]]/ESF[[#This Row],[F1]]*ESF[[#This Row],[Ap (m²)]]+ESF[[#This Row],[U (m)]]/ESF[[#This Row],[F2]]*SUMIFS(ESF[(α∙K∙NL∙ΔL)],ESF[Prof. (m)],"&lt;="&amp;ESF[[#This Row],[Prof. (m)]],ESF[idDiâmetro],ESF[[#This Row],[idDiâmetro]],ESF[idPilar],ESF[[#This Row],[idPilar]]))/'DADOS CAP. CARGA'!$D$2)</f>
        <v>587.15450397735935</v>
      </c>
      <c r="Q85" s="12">
        <f>INDEX(C_alpha_beta[],MATCH(ESF[[#This Row],[Solo]],C_alpha_beta[Solo],0),MATCH(ESF[[#Headers],[C (kPa)]],C_alpha_beta[#Headers],0))</f>
        <v>400</v>
      </c>
      <c r="R85" s="4">
        <f>INDEX(C_alpha_beta[],MATCH(ESF[[#This Row],[Solo]],C_alpha_beta[Solo],0),MATCH(ESF[[#Headers],[α ESF]],C_alpha_beta[#Headers],0))</f>
        <v>0.5</v>
      </c>
      <c r="S85" s="4">
        <f>INDEX(C_alpha_beta[],MATCH(ESF[[#This Row],[Solo]],C_alpha_beta[Solo],0),MATCH(ESF[[#Headers],[β ESF]],C_alpha_beta[#Headers],0))</f>
        <v>0.5</v>
      </c>
      <c r="T85" s="4">
        <f>IF(ESF[[#This Row],[Prof. (m)]]=0,0,10*(ESF[[#This Row],[NSPT]]/3+1))</f>
        <v>116.66666666666666</v>
      </c>
      <c r="U85" s="4">
        <f>(ESF[[#This Row],[α ESF]]*ESF[[#This Row],[C (kPa)]]*ESF[[#This Row],[NSPT]]*ESF[[#This Row],[Ap (m²)]])/'DADOS CAP. CARGA'!$Q$2+(ESF[[#This Row],[β ESF]]*SUMIFS(ESF[10∙(NL/3+1)],ESF[Prof. (m)],"&lt;="&amp;ESF[[#This Row],[Prof. (m)]],ESF[idDiâmetro],ESF[[#This Row],[idDiâmetro]],ESF[idPilar],ESF[[#This Row],[idPilar]])*ESF[[#This Row],[U (m)]])/'DADOS CAP. CARGA'!$S$2</f>
        <v>300.54569719342351</v>
      </c>
      <c r="V85" s="4">
        <f>IF(SPT!$M$5=1,MIN(ESF[[#This Row],[Pe ESF (kN)]],ESF[[#This Row],[R_AV (kN)]]),IF(SPT!$M$5=2,MIN(ESF[[#This Row],[Pe ESF (kN)]],ESF[[#This Row],[R_DC (kN)]]),MIN(ESF[[#This Row],[Pe ESF (kN)]],ESF[[#This Row],[R_AV (kN)]],ESF[[#This Row],[R_DC (kN)]])))</f>
        <v>300.54569719342351</v>
      </c>
      <c r="W85" s="4">
        <f>INDEX(PILARES[],ESF[[#This Row],[idPilar]],MATCH("Carga (kN)",PILARES[#Headers],0))*1.4</f>
        <v>1750</v>
      </c>
      <c r="X85" s="12">
        <f>INDEX(PILARES[],ESF[[#This Row],[idPilar]],MATCH(ESF[[#Headers],[ap (cm)]],PILARES[#Headers],0))</f>
        <v>50</v>
      </c>
      <c r="Y85" s="12">
        <f>INDEX(PILARES[],ESF[[#This Row],[idPilar]],MATCH(ESF[[#Headers],[bp (cm)]],PILARES[#Headers],0))</f>
        <v>40</v>
      </c>
      <c r="Z85" s="4">
        <f>SQRT(ESF[[#This Row],[ap (cm)]]*ESF[[#This Row],[bp (cm)]])</f>
        <v>44.721359549995796</v>
      </c>
      <c r="AA85" s="12">
        <f>ESF[[#This Row],[ap (cm)]]*ESF[[#This Row],[bp (cm)]]</f>
        <v>2000</v>
      </c>
      <c r="AB85" s="12">
        <f ca="1">IF(ESF[[#This Row],[Padm∙ε (kN)]]&gt;=ESF[[#This Row],[Padm (kN)]],ROUNDUP(1.05*ESF[[#This Row],[Nsd (kN)]]/ESF[[#This Row],[Padm (kN)]],0),ROUNDUP(1.05*ESF[[#This Row],[Nsd (kN)]]/ESF[[#This Row],[Padm (kN)]],0)+1)</f>
        <v>7</v>
      </c>
      <c r="AC85" s="4" t="str">
        <f ca="1">IFERROR(IF(ESF[[#This Row],[nE]]=1,ESF[[#This Row],[Padm (kN)]],ESF[[#This Row],[Padm (kN)]]*ESF[[#This Row],[nE]]*INDEX(grupoEstacas[],ESF[[#This Row],[nE]],MATCH("ε",grupoEstacas[#Headers],0))),"N.S.")</f>
        <v>N.S.</v>
      </c>
      <c r="AD85" s="4">
        <f ca="1">1.05*ESF[[#This Row],[Nsd (kN)]]/(ESF[[#This Row],[nE]]*PI()*ESF[[#This Row],[Ø (cm)]]^2/4)*10</f>
        <v>2.7283704530039197</v>
      </c>
      <c r="AE85" s="4">
        <f ca="1">IF(ESF[[#This Row],[σ (MPa)]]&lt;INDEX(tipoEstaca[],MATCH($D$2,tipoEstaca[TIPO DE ESTACA],0),MATCH("σmáx (MPa)",tipoEstaca[#Headers],0)),0.4%*PI()*ESF[[#This Row],[Ø (cm)]]^2/4,"N.S.")</f>
        <v>3.848451000647497</v>
      </c>
      <c r="AF85" s="1">
        <f>INDEX(tipoEstaca[],MATCH($D$2,tipoEstaca[TIPO DE ESTACA],0),MATCH(ESF[[#Headers],[Comprimento (m)]],tipoEstaca[#Headers],0))</f>
        <v>2</v>
      </c>
      <c r="AG85" s="5">
        <f ca="1">ESF[[#This Row],[As,mín (cm²)]]/100^2*ESF[[#This Row],[Comprimento (m)]]*7850</f>
        <v>6.04206807101657</v>
      </c>
      <c r="AH85" s="4">
        <f ca="1">ESF[[#This Row],[nE]]*ESF[[#This Row],[Prof. (m)]]*ESF[[#This Row],[Ap (m²)]]</f>
        <v>6.734789251133118</v>
      </c>
      <c r="AI85" s="1">
        <f ca="1">IF(ESF[[#This Row],[nE]]=1,0,MAX(3*ESF[[#This Row],[Ø (cm)]],60))</f>
        <v>105</v>
      </c>
      <c r="AJ85" s="1">
        <f ca="1">IF(ESF[[#This Row],[nE]]=1,ESF[[#This Row],[Ø (cm)]]+2*10,MAX(1.5*ESF[[#This Row],[Ø (cm)]],ESF[[#This Row],[Ø (cm)]]+15))</f>
        <v>52.5</v>
      </c>
      <c r="AK85" s="1" t="str">
        <f ca="1">alturaUtil(ESF[[#This Row],[nE]],ESF[[#This Row],[Ø (cm)]],ESF[[#This Row],[e (cm)]],ESF[[#This Row],[ap,eq (cm)]])</f>
        <v>N.S.</v>
      </c>
      <c r="AL85" s="1" t="str">
        <f ca="1">IFERROR(ESF[[#This Row],[d (cm)]]+arredondarParaCimaMultiplo5cm(MAX(5,SQRT(PI())/2*ESF[[#This Row],[Ø (cm)]]/5)),"N.S.")</f>
        <v>N.S.</v>
      </c>
      <c r="AM85" s="5" t="str">
        <f ca="1">alpha(ESF[[#This Row],[nE]],ESF[[#This Row],[d (cm)]],ESF[[#This Row],[e (cm)]],ESF[[#This Row],[ap,eq (cm)]])</f>
        <v>N.S.</v>
      </c>
      <c r="AN85" s="35" t="str">
        <f ca="1">IFERROR(ESF[[#This Row],[Nsd (kN)]]/(ESF[[#This Row],[Ap (cm²)]]*SIN(ESF[[#This Row],[α]])^2),"N.S.")</f>
        <v>N.S.</v>
      </c>
      <c r="AO85" s="35" t="str">
        <f ca="1">IFERROR(ESF[[#This Row],[Nsd (kN)]]/(ESF[[#This Row],[nE]]*PI()*ESF[[#This Row],[Ø (cm)]]^2/4*SIN(ESF[[#This Row],[α]])^2),"N.S.")</f>
        <v>N.S.</v>
      </c>
      <c r="AP85" s="4" t="str">
        <f ca="1">IFERROR(INDEX(grupoEstacas[],ESF[[#This Row],[nE]],MATCH("coef. Blévot",grupoEstacas[#Headers],0)),"N.S.")</f>
        <v>N.S.</v>
      </c>
      <c r="AQ85" s="35" t="str">
        <f ca="1">IFERROR(ESF[[#This Row],[coef. Blévot]]*0.9*INDEX(tipoEstaca[],MATCH($D$2,tipoEstaca[TIPO DE ESTACA],0),MATCH("fcd (kN/cm²)",tipoEstaca[#Headers],0)),"N.S.")</f>
        <v>N.S.</v>
      </c>
      <c r="AR85" s="1" t="str">
        <f ca="1">IF(AND(ESF[[#This Row],[cd,b,pil (kN/cm²)]]&lt;=ESF[[#This Row],[cd,b,lim (kN/cm²)]],ESF[[#This Row],[cd,b,est (kN/cm²)]]&lt;=ESF[[#This Row],[cd,b,lim (kN/cm²)]]),"OK","ERRO")</f>
        <v>OK</v>
      </c>
      <c r="AS85" s="4" t="str">
        <f ca="1">As_lado(ESF[[#This Row],[nE]],ESF[[#This Row],[Nsd (kN)]],ESF[[#This Row],[d (cm)]],ESF[[#This Row],[e (cm)]],ESF[[#This Row],[ap,eq (cm)]])</f>
        <v>N.S.</v>
      </c>
      <c r="AT85" s="4" t="str">
        <f ca="1">IF(ESF[[#This Row],[nE]]=1,ESF[[#This Row],[As,lado (cm²)]],IF(ESF[[#This Row],[nE]]=2,0.075*2*ESF[a (cm)],"N.A."))</f>
        <v>N.A.</v>
      </c>
      <c r="AU85" s="4" t="str">
        <f ca="1">IFERROR(IF(ESF[[#This Row],[nE]]=1,"N.A.",0.2*ESF[[#This Row],[As,lado (cm²)]]),"N.S.")</f>
        <v>N.S.</v>
      </c>
      <c r="AV85" s="4" t="str">
        <f ca="1">As_malha(ESF[[#This Row],[nE]],ESF[[#This Row],[As,lado (cm²)]],ESF[[#This Row],[Nsd (kN)]])</f>
        <v>N.S.</v>
      </c>
      <c r="AW85" s="4" t="str">
        <f ca="1">As_susp_tot(ESF[[#This Row],[nE]],ESF[[#This Row],[Nsd (kN)]])</f>
        <v>N.S.</v>
      </c>
      <c r="AX85" s="4" t="str">
        <f ca="1">Asp_face(ESF[[#This Row],[nE]],ESF[[#This Row],[As,lado (cm²)]])</f>
        <v>N.S.</v>
      </c>
      <c r="AY85" s="5" t="str">
        <f ca="1">acoBloco(ESF[[#This Row],[nE]],ESF[[#This Row],[e (cm)]],ESF[[#This Row],[a (cm)]],ESF[[#This Row],[h (cm)]],ESF[[#This Row],[As,lado (cm²)]],ESF[[#This Row],[Asp e Asw (cm²/m)]],ESF[[#This Row],[As,sup (cm²)]],ESF[[#This Row],[As,malha (cm²)]],ESF[[#This Row],[As,susp,tot (cm²)]],ESF[[#This Row],[Asp,face (cm²)]])</f>
        <v>N.S.</v>
      </c>
      <c r="AZ85" s="4" t="str">
        <f ca="1">concretoBloco(ESF[[#This Row],[nE]],ESF[[#This Row],[e (cm)]],ESF[[#This Row],[a (cm)]],ESF[[#This Row],[h (cm)]])</f>
        <v>N.S.</v>
      </c>
      <c r="BA85" s="5">
        <f ca="1">SUM(ESF[[#This Row],[Aço Est (kg)]],ESF[[#This Row],[Aço Bloco (kg)]])</f>
        <v>6.04206807101657</v>
      </c>
      <c r="BB85" s="4">
        <f>INDEX(composicoes[],MATCH(95580,composicoes[CÓDIGO],0),MATCH("CUSTO TOTAL",composicoes[#Headers],0))</f>
        <v>10.46</v>
      </c>
      <c r="BC85" s="4">
        <f ca="1">SUM(ESF[[#This Row],[Conc Est (m³)]],ESF[[#This Row],[Conc Bloco (m³)]])</f>
        <v>6.734789251133118</v>
      </c>
      <c r="BD85" s="4">
        <f>INDEX(composicoes[],MATCH(94966,composicoes[CÓDIGO],0),MATCH("CUSTO TOTAL",composicoes[#Headers],0))</f>
        <v>439.52</v>
      </c>
      <c r="BE85" s="38">
        <f ca="1">ESF[[#This Row],[Aço (kg)]]*ESF[[#This Row],[Aço (R$/kg)]]+ESF[[#This Row],[Conc (m³)]]*ESF[[#This Row],[Conc (R$/m³)]]</f>
        <v>3023.2746036808612</v>
      </c>
      <c r="BF85" s="4" t="str">
        <f ca="1">IF(COUNTIF(ESF[#This Row],"N.S.")&gt;0,"lim.","OK")</f>
        <v>lim.</v>
      </c>
      <c r="BG85" s="4" t="str">
        <f>IF(ESF[[#This Row],[Prof. (m)]]&lt;3,"lim.","OK")</f>
        <v>OK</v>
      </c>
      <c r="BH85" s="4" t="str">
        <f>IF(ESF[[#This Row],[Prof. (m)]]&gt;=8*ESF[[#This Row],[Ø (cm)]]/100,"OK","lim.")</f>
        <v>OK</v>
      </c>
      <c r="BI85" s="4" t="str">
        <f>IF(AND(SPT!$F$3&lt;&gt;"",ESF[[#This Row],[Prof. (m)]]&gt;=SPT!$F$3),"lim.","OK")</f>
        <v>OK</v>
      </c>
      <c r="BJ85" s="4" t="str">
        <f>IF(COUNTIFS(ESF[Solo],"Areia",ESF[Prof. (m)],"&lt;="&amp;ESF[[#This Row],[Prof. (m)]])&gt;=1,"lim.","OK")</f>
        <v>OK</v>
      </c>
      <c r="BK85" s="4" t="str">
        <f ca="1">IF(ESF[[#This Row],[Verif. Biela]]="OK","OK","lim.")</f>
        <v>OK</v>
      </c>
      <c r="BL85" s="4" t="str">
        <f ca="1">IF(COUNTA(ESF[[#This Row],[Nº Est.]:[Biela comp.]])=COUNTIF(ESF[[#This Row],[Nº Est.]:[Biela comp.]],"OK"),"OK","lim.")</f>
        <v>lim.</v>
      </c>
      <c r="BM85" s="4" t="str">
        <f ca="1">IF(ESF[[#This Row],[Controle]]="OK",ESF[[#This Row],[nE]]&amp;" Ø"&amp;ESF[[#This Row],[Ø (cm)]]&amp;"cm Prof. "&amp;ESF[[#This Row],[Prof. (m)]]&amp;" m","")</f>
        <v/>
      </c>
      <c r="BN85" s="4" t="str">
        <f ca="1">IF(ESF[[#This Row],[idDimensionamento]]="","",ESF[[#This Row],[idPilar]]&amp;ESF[[#This Row],[idDimensionamento]])</f>
        <v/>
      </c>
    </row>
    <row r="86" spans="2:66" x14ac:dyDescent="0.25">
      <c r="B86" s="12">
        <f>ROUNDUP((ROW(ESF[[#This Row],[idDiâmetro]])-ROW(ESF[[#Headers],[idDiâmetro]]))/(COUNT(SPT[Prof. (m)])*COUNT(PILARES[Pilar])),0)</f>
        <v>3</v>
      </c>
      <c r="C86" s="12">
        <f>IF(ESF[[#This Row],[idDiâmetro]]&lt;&gt;B85,1,IF(ESF[[#This Row],[Prof. (m)]]=0,C85+1,C85))</f>
        <v>2</v>
      </c>
      <c r="D86" s="1">
        <f>IFERROR(IF(D85=MAX(SPT[Prof. (m)]),0,D85+1),0)</f>
        <v>11</v>
      </c>
      <c r="E86" s="1">
        <f>INDEX(SPT[],MATCH(ESF[[#This Row],[Prof. (m)]],SPT[Prof. (m)],0),2)</f>
        <v>41</v>
      </c>
      <c r="F86" s="1" t="str">
        <f>INDEX(SPT[],MATCH(ESF[[#This Row],[Prof. (m)]],SPT[Prof. (m)],0),3)</f>
        <v>Areia siltosa</v>
      </c>
      <c r="G86" s="1">
        <f>INDEX(estacas[],ESF[[#This Row],[idDiâmetro]],MATCH($B$2,estacas[#Headers],0))</f>
        <v>35</v>
      </c>
      <c r="H86" s="1">
        <f>INDEX(estacas[],MATCH(ESF[[#This Row],[Ø (cm)]],estacas[Ø ESF (cm)],0),MATCH(ESF[[#Headers],[Pe ESF (kN)]],estacas[#Headers],0))</f>
        <v>490</v>
      </c>
      <c r="I86" s="4">
        <f>INDEX(K_alpha_C[],MATCH(ESF[[#This Row],[Solo]],K_alpha_C[Solo],0),2)</f>
        <v>0.8</v>
      </c>
      <c r="J86" s="5">
        <f>INDEX(K_alpha_C[],MATCH(ESF[[#This Row],[Solo]],K_alpha_C[Solo],0),3)</f>
        <v>2</v>
      </c>
      <c r="K86" s="4">
        <f>INDEX(F1_F2[],MATCH($D$2,F1_F2[Tipo de estaca],0),2)</f>
        <v>3</v>
      </c>
      <c r="L86" s="4">
        <f>INDEX(F1_F2[],MATCH($D$2,F1_F2[Tipo de estaca],0),3)</f>
        <v>6</v>
      </c>
      <c r="M86" s="4">
        <f>PI()*(ESF[[#This Row],[Ø (cm)]]/100)^2/4</f>
        <v>9.6211275016187398E-2</v>
      </c>
      <c r="N86" s="4">
        <f>PI()*ESF[[#This Row],[Ø (cm)]]/100</f>
        <v>1.0995574287564276</v>
      </c>
      <c r="O86" s="4">
        <f>IF(ESF[[#This Row],[Prof. (m)]]=0,0,ESF[[#This Row],[α (%)]]/100*ESF[[#This Row],[K (MPa)]]*1000*ESF[[#This Row],[NSPT]])</f>
        <v>656</v>
      </c>
      <c r="P86" s="4">
        <f>IF(ESF[[#This Row],[Prof. (m)]]=0,0,(ESF[[#This Row],[K (MPa)]]*1000*ESF[[#This Row],[NSPT]]/ESF[[#This Row],[F1]]*ESF[[#This Row],[Ap (m²)]]+ESF[[#This Row],[U (m)]]/ESF[[#This Row],[F2]]*SUMIFS(ESF[(α∙K∙NL∙ΔL)],ESF[Prof. (m)],"&lt;="&amp;ESF[[#This Row],[Prof. (m)]],ESF[idDiâmetro],ESF[[#This Row],[idDiâmetro]],ESF[idPilar],ESF[[#This Row],[idPilar]]))/'DADOS CAP. CARGA'!$D$2)</f>
        <v>762.71717343546891</v>
      </c>
      <c r="Q86" s="12">
        <f>INDEX(C_alpha_beta[],MATCH(ESF[[#This Row],[Solo]],C_alpha_beta[Solo],0),MATCH(ESF[[#Headers],[C (kPa)]],C_alpha_beta[#Headers],0))</f>
        <v>400</v>
      </c>
      <c r="R86" s="4">
        <f>INDEX(C_alpha_beta[],MATCH(ESF[[#This Row],[Solo]],C_alpha_beta[Solo],0),MATCH(ESF[[#Headers],[α ESF]],C_alpha_beta[#Headers],0))</f>
        <v>0.5</v>
      </c>
      <c r="S86" s="4">
        <f>INDEX(C_alpha_beta[],MATCH(ESF[[#This Row],[Solo]],C_alpha_beta[Solo],0),MATCH(ESF[[#Headers],[β ESF]],C_alpha_beta[#Headers],0))</f>
        <v>0.5</v>
      </c>
      <c r="T86" s="4">
        <f>IF(ESF[[#This Row],[Prof. (m)]]=0,0,10*(ESF[[#This Row],[NSPT]]/3+1))</f>
        <v>146.66666666666666</v>
      </c>
      <c r="U86" s="4">
        <f>(ESF[[#This Row],[α ESF]]*ESF[[#This Row],[C (kPa)]]*ESF[[#This Row],[NSPT]]*ESF[[#This Row],[Ap (m²)]])/'DADOS CAP. CARGA'!$Q$2+(ESF[[#This Row],[β ESF]]*SUMIFS(ESF[10∙(NL/3+1)],ESF[Prof. (m)],"&lt;="&amp;ESF[[#This Row],[Prof. (m)]],ESF[idDiâmetro],ESF[[#This Row],[idDiâmetro]],ESF[idPilar],ESF[[#This Row],[idPilar]])*ESF[[#This Row],[U (m)]])/'DADOS CAP. CARGA'!$S$2</f>
        <v>384.15787667177682</v>
      </c>
      <c r="V86" s="4">
        <f>IF(SPT!$M$5=1,MIN(ESF[[#This Row],[Pe ESF (kN)]],ESF[[#This Row],[R_AV (kN)]]),IF(SPT!$M$5=2,MIN(ESF[[#This Row],[Pe ESF (kN)]],ESF[[#This Row],[R_DC (kN)]]),MIN(ESF[[#This Row],[Pe ESF (kN)]],ESF[[#This Row],[R_AV (kN)]],ESF[[#This Row],[R_DC (kN)]])))</f>
        <v>384.15787667177682</v>
      </c>
      <c r="W86" s="4">
        <f>INDEX(PILARES[],ESF[[#This Row],[idPilar]],MATCH("Carga (kN)",PILARES[#Headers],0))*1.4</f>
        <v>1750</v>
      </c>
      <c r="X86" s="12">
        <f>INDEX(PILARES[],ESF[[#This Row],[idPilar]],MATCH(ESF[[#Headers],[ap (cm)]],PILARES[#Headers],0))</f>
        <v>50</v>
      </c>
      <c r="Y86" s="12">
        <f>INDEX(PILARES[],ESF[[#This Row],[idPilar]],MATCH(ESF[[#Headers],[bp (cm)]],PILARES[#Headers],0))</f>
        <v>40</v>
      </c>
      <c r="Z86" s="4">
        <f>SQRT(ESF[[#This Row],[ap (cm)]]*ESF[[#This Row],[bp (cm)]])</f>
        <v>44.721359549995796</v>
      </c>
      <c r="AA86" s="12">
        <f>ESF[[#This Row],[ap (cm)]]*ESF[[#This Row],[bp (cm)]]</f>
        <v>2000</v>
      </c>
      <c r="AB86" s="12">
        <f ca="1">IF(ESF[[#This Row],[Padm∙ε (kN)]]&gt;=ESF[[#This Row],[Padm (kN)]],ROUNDUP(1.05*ESF[[#This Row],[Nsd (kN)]]/ESF[[#This Row],[Padm (kN)]],0),ROUNDUP(1.05*ESF[[#This Row],[Nsd (kN)]]/ESF[[#This Row],[Padm (kN)]],0)+1)</f>
        <v>5</v>
      </c>
      <c r="AC86" s="4" t="str">
        <f ca="1">IFERROR(IF(ESF[[#This Row],[nE]]=1,ESF[[#This Row],[Padm (kN)]],ESF[[#This Row],[Padm (kN)]]*ESF[[#This Row],[nE]]*INDEX(grupoEstacas[],ESF[[#This Row],[nE]],MATCH("ε",grupoEstacas[#Headers],0))),"N.S.")</f>
        <v>N.S.</v>
      </c>
      <c r="AD86" s="4">
        <f ca="1">1.05*ESF[[#This Row],[Nsd (kN)]]/(ESF[[#This Row],[nE]]*PI()*ESF[[#This Row],[Ø (cm)]]^2/4)*10</f>
        <v>3.8197186342054885</v>
      </c>
      <c r="AE86" s="4">
        <f ca="1">IF(ESF[[#This Row],[σ (MPa)]]&lt;INDEX(tipoEstaca[],MATCH($D$2,tipoEstaca[TIPO DE ESTACA],0),MATCH("σmáx (MPa)",tipoEstaca[#Headers],0)),0.4%*PI()*ESF[[#This Row],[Ø (cm)]]^2/4,"N.S.")</f>
        <v>3.848451000647497</v>
      </c>
      <c r="AF86" s="1">
        <f>INDEX(tipoEstaca[],MATCH($D$2,tipoEstaca[TIPO DE ESTACA],0),MATCH(ESF[[#Headers],[Comprimento (m)]],tipoEstaca[#Headers],0))</f>
        <v>2</v>
      </c>
      <c r="AG86" s="5">
        <f ca="1">ESF[[#This Row],[As,mín (cm²)]]/100^2*ESF[[#This Row],[Comprimento (m)]]*7850</f>
        <v>6.04206807101657</v>
      </c>
      <c r="AH86" s="4">
        <f ca="1">ESF[[#This Row],[nE]]*ESF[[#This Row],[Prof. (m)]]*ESF[[#This Row],[Ap (m²)]]</f>
        <v>5.2916201258903071</v>
      </c>
      <c r="AI86" s="1">
        <f ca="1">IF(ESF[[#This Row],[nE]]=1,0,MAX(3*ESF[[#This Row],[Ø (cm)]],60))</f>
        <v>105</v>
      </c>
      <c r="AJ86" s="1">
        <f ca="1">IF(ESF[[#This Row],[nE]]=1,ESF[[#This Row],[Ø (cm)]]+2*10,MAX(1.5*ESF[[#This Row],[Ø (cm)]],ESF[[#This Row],[Ø (cm)]]+15))</f>
        <v>52.5</v>
      </c>
      <c r="AK86" s="1" t="str">
        <f ca="1">alturaUtil(ESF[[#This Row],[nE]],ESF[[#This Row],[Ø (cm)]],ESF[[#This Row],[e (cm)]],ESF[[#This Row],[ap,eq (cm)]])</f>
        <v>N.S.</v>
      </c>
      <c r="AL86" s="1" t="str">
        <f ca="1">IFERROR(ESF[[#This Row],[d (cm)]]+arredondarParaCimaMultiplo5cm(MAX(5,SQRT(PI())/2*ESF[[#This Row],[Ø (cm)]]/5)),"N.S.")</f>
        <v>N.S.</v>
      </c>
      <c r="AM86" s="5" t="str">
        <f ca="1">alpha(ESF[[#This Row],[nE]],ESF[[#This Row],[d (cm)]],ESF[[#This Row],[e (cm)]],ESF[[#This Row],[ap,eq (cm)]])</f>
        <v>N.S.</v>
      </c>
      <c r="AN86" s="35" t="str">
        <f ca="1">IFERROR(ESF[[#This Row],[Nsd (kN)]]/(ESF[[#This Row],[Ap (cm²)]]*SIN(ESF[[#This Row],[α]])^2),"N.S.")</f>
        <v>N.S.</v>
      </c>
      <c r="AO86" s="35" t="str">
        <f ca="1">IFERROR(ESF[[#This Row],[Nsd (kN)]]/(ESF[[#This Row],[nE]]*PI()*ESF[[#This Row],[Ø (cm)]]^2/4*SIN(ESF[[#This Row],[α]])^2),"N.S.")</f>
        <v>N.S.</v>
      </c>
      <c r="AP86" s="4" t="str">
        <f ca="1">IFERROR(INDEX(grupoEstacas[],ESF[[#This Row],[nE]],MATCH("coef. Blévot",grupoEstacas[#Headers],0)),"N.S.")</f>
        <v>N.S.</v>
      </c>
      <c r="AQ86" s="35" t="str">
        <f ca="1">IFERROR(ESF[[#This Row],[coef. Blévot]]*0.9*INDEX(tipoEstaca[],MATCH($D$2,tipoEstaca[TIPO DE ESTACA],0),MATCH("fcd (kN/cm²)",tipoEstaca[#Headers],0)),"N.S.")</f>
        <v>N.S.</v>
      </c>
      <c r="AR86" s="1" t="str">
        <f ca="1">IF(AND(ESF[[#This Row],[cd,b,pil (kN/cm²)]]&lt;=ESF[[#This Row],[cd,b,lim (kN/cm²)]],ESF[[#This Row],[cd,b,est (kN/cm²)]]&lt;=ESF[[#This Row],[cd,b,lim (kN/cm²)]]),"OK","ERRO")</f>
        <v>OK</v>
      </c>
      <c r="AS86" s="4" t="str">
        <f ca="1">As_lado(ESF[[#This Row],[nE]],ESF[[#This Row],[Nsd (kN)]],ESF[[#This Row],[d (cm)]],ESF[[#This Row],[e (cm)]],ESF[[#This Row],[ap,eq (cm)]])</f>
        <v>N.S.</v>
      </c>
      <c r="AT86" s="4" t="str">
        <f ca="1">IF(ESF[[#This Row],[nE]]=1,ESF[[#This Row],[As,lado (cm²)]],IF(ESF[[#This Row],[nE]]=2,0.075*2*ESF[a (cm)],"N.A."))</f>
        <v>N.A.</v>
      </c>
      <c r="AU86" s="4" t="str">
        <f ca="1">IFERROR(IF(ESF[[#This Row],[nE]]=1,"N.A.",0.2*ESF[[#This Row],[As,lado (cm²)]]),"N.S.")</f>
        <v>N.S.</v>
      </c>
      <c r="AV86" s="4" t="str">
        <f ca="1">As_malha(ESF[[#This Row],[nE]],ESF[[#This Row],[As,lado (cm²)]],ESF[[#This Row],[Nsd (kN)]])</f>
        <v>N.S.</v>
      </c>
      <c r="AW86" s="4" t="str">
        <f ca="1">As_susp_tot(ESF[[#This Row],[nE]],ESF[[#This Row],[Nsd (kN)]])</f>
        <v>N.S.</v>
      </c>
      <c r="AX86" s="4" t="str">
        <f ca="1">Asp_face(ESF[[#This Row],[nE]],ESF[[#This Row],[As,lado (cm²)]])</f>
        <v>N.S.</v>
      </c>
      <c r="AY86" s="5" t="str">
        <f ca="1">acoBloco(ESF[[#This Row],[nE]],ESF[[#This Row],[e (cm)]],ESF[[#This Row],[a (cm)]],ESF[[#This Row],[h (cm)]],ESF[[#This Row],[As,lado (cm²)]],ESF[[#This Row],[Asp e Asw (cm²/m)]],ESF[[#This Row],[As,sup (cm²)]],ESF[[#This Row],[As,malha (cm²)]],ESF[[#This Row],[As,susp,tot (cm²)]],ESF[[#This Row],[Asp,face (cm²)]])</f>
        <v>N.S.</v>
      </c>
      <c r="AZ86" s="4" t="str">
        <f ca="1">concretoBloco(ESF[[#This Row],[nE]],ESF[[#This Row],[e (cm)]],ESF[[#This Row],[a (cm)]],ESF[[#This Row],[h (cm)]])</f>
        <v>N.S.</v>
      </c>
      <c r="BA86" s="5">
        <f ca="1">SUM(ESF[[#This Row],[Aço Est (kg)]],ESF[[#This Row],[Aço Bloco (kg)]])</f>
        <v>6.04206807101657</v>
      </c>
      <c r="BB86" s="4">
        <f>INDEX(composicoes[],MATCH(95580,composicoes[CÓDIGO],0),MATCH("CUSTO TOTAL",composicoes[#Headers],0))</f>
        <v>10.46</v>
      </c>
      <c r="BC86" s="4">
        <f ca="1">SUM(ESF[[#This Row],[Conc Est (m³)]],ESF[[#This Row],[Conc Bloco (m³)]])</f>
        <v>5.2916201258903071</v>
      </c>
      <c r="BD86" s="4">
        <f>INDEX(composicoes[],MATCH(94966,composicoes[CÓDIGO],0),MATCH("CUSTO TOTAL",composicoes[#Headers],0))</f>
        <v>439.52</v>
      </c>
      <c r="BE86" s="38">
        <f ca="1">ESF[[#This Row],[Aço (kg)]]*ESF[[#This Row],[Aço (R$/kg)]]+ESF[[#This Row],[Conc (m³)]]*ESF[[#This Row],[Conc (R$/m³)]]</f>
        <v>2388.9729097541413</v>
      </c>
      <c r="BF86" s="4" t="str">
        <f ca="1">IF(COUNTIF(ESF[#This Row],"N.S.")&gt;0,"lim.","OK")</f>
        <v>lim.</v>
      </c>
      <c r="BG86" s="4" t="str">
        <f>IF(ESF[[#This Row],[Prof. (m)]]&lt;3,"lim.","OK")</f>
        <v>OK</v>
      </c>
      <c r="BH86" s="4" t="str">
        <f>IF(ESF[[#This Row],[Prof. (m)]]&gt;=8*ESF[[#This Row],[Ø (cm)]]/100,"OK","lim.")</f>
        <v>OK</v>
      </c>
      <c r="BI86" s="4" t="str">
        <f>IF(AND(SPT!$F$3&lt;&gt;"",ESF[[#This Row],[Prof. (m)]]&gt;=SPT!$F$3),"lim.","OK")</f>
        <v>OK</v>
      </c>
      <c r="BJ86" s="4" t="str">
        <f>IF(COUNTIFS(ESF[Solo],"Areia",ESF[Prof. (m)],"&lt;="&amp;ESF[[#This Row],[Prof. (m)]])&gt;=1,"lim.","OK")</f>
        <v>OK</v>
      </c>
      <c r="BK86" s="4" t="str">
        <f ca="1">IF(ESF[[#This Row],[Verif. Biela]]="OK","OK","lim.")</f>
        <v>OK</v>
      </c>
      <c r="BL86" s="4" t="str">
        <f ca="1">IF(COUNTA(ESF[[#This Row],[Nº Est.]:[Biela comp.]])=COUNTIF(ESF[[#This Row],[Nº Est.]:[Biela comp.]],"OK"),"OK","lim.")</f>
        <v>lim.</v>
      </c>
      <c r="BM86" s="4" t="str">
        <f ca="1">IF(ESF[[#This Row],[Controle]]="OK",ESF[[#This Row],[nE]]&amp;" Ø"&amp;ESF[[#This Row],[Ø (cm)]]&amp;"cm Prof. "&amp;ESF[[#This Row],[Prof. (m)]]&amp;" m","")</f>
        <v/>
      </c>
      <c r="BN86" s="4" t="str">
        <f ca="1">IF(ESF[[#This Row],[idDimensionamento]]="","",ESF[[#This Row],[idPilar]]&amp;ESF[[#This Row],[idDimensionamento]])</f>
        <v/>
      </c>
    </row>
    <row r="87" spans="2:66" x14ac:dyDescent="0.25">
      <c r="B87" s="12">
        <f>ROUNDUP((ROW(ESF[[#This Row],[idDiâmetro]])-ROW(ESF[[#Headers],[idDiâmetro]]))/(COUNT(SPT[Prof. (m)])*COUNT(PILARES[Pilar])),0)</f>
        <v>3</v>
      </c>
      <c r="C87" s="12">
        <f>IF(ESF[[#This Row],[idDiâmetro]]&lt;&gt;B86,1,IF(ESF[[#This Row],[Prof. (m)]]=0,C86+1,C86))</f>
        <v>2</v>
      </c>
      <c r="D87" s="1">
        <f>IFERROR(IF(D86=MAX(SPT[Prof. (m)]),0,D86+1),0)</f>
        <v>12</v>
      </c>
      <c r="E87" s="1">
        <f>INDEX(SPT[],MATCH(ESF[[#This Row],[Prof. (m)]],SPT[Prof. (m)],0),2)</f>
        <v>52</v>
      </c>
      <c r="F87" s="1" t="str">
        <f>INDEX(SPT[],MATCH(ESF[[#This Row],[Prof. (m)]],SPT[Prof. (m)],0),3)</f>
        <v>Areia siltosa</v>
      </c>
      <c r="G87" s="1">
        <f>INDEX(estacas[],ESF[[#This Row],[idDiâmetro]],MATCH($B$2,estacas[#Headers],0))</f>
        <v>35</v>
      </c>
      <c r="H87" s="1">
        <f>INDEX(estacas[],MATCH(ESF[[#This Row],[Ø (cm)]],estacas[Ø ESF (cm)],0),MATCH(ESF[[#Headers],[Pe ESF (kN)]],estacas[#Headers],0))</f>
        <v>490</v>
      </c>
      <c r="I87" s="4">
        <f>INDEX(K_alpha_C[],MATCH(ESF[[#This Row],[Solo]],K_alpha_C[Solo],0),2)</f>
        <v>0.8</v>
      </c>
      <c r="J87" s="5">
        <f>INDEX(K_alpha_C[],MATCH(ESF[[#This Row],[Solo]],K_alpha_C[Solo],0),3)</f>
        <v>2</v>
      </c>
      <c r="K87" s="4">
        <f>INDEX(F1_F2[],MATCH($D$2,F1_F2[Tipo de estaca],0),2)</f>
        <v>3</v>
      </c>
      <c r="L87" s="4">
        <f>INDEX(F1_F2[],MATCH($D$2,F1_F2[Tipo de estaca],0),3)</f>
        <v>6</v>
      </c>
      <c r="M87" s="4">
        <f>PI()*(ESF[[#This Row],[Ø (cm)]]/100)^2/4</f>
        <v>9.6211275016187398E-2</v>
      </c>
      <c r="N87" s="4">
        <f>PI()*ESF[[#This Row],[Ø (cm)]]/100</f>
        <v>1.0995574287564276</v>
      </c>
      <c r="O87" s="4">
        <f>IF(ESF[[#This Row],[Prof. (m)]]=0,0,ESF[[#This Row],[α (%)]]/100*ESF[[#This Row],[K (MPa)]]*1000*ESF[[#This Row],[NSPT]])</f>
        <v>832</v>
      </c>
      <c r="P87" s="4">
        <f>IF(ESF[[#This Row],[Prof. (m)]]=0,0,(ESF[[#This Row],[K (MPa)]]*1000*ESF[[#This Row],[NSPT]]/ESF[[#This Row],[F1]]*ESF[[#This Row],[Ap (m²)]]+ESF[[#This Row],[U (m)]]/ESF[[#This Row],[F2]]*SUMIFS(ESF[(α∙K∙NL∙ΔL)],ESF[Prof. (m)],"&lt;="&amp;ESF[[#This Row],[Prof. (m)]],ESF[idDiâmetro],ESF[[#This Row],[idDiâmetro]],ESF[idPilar],ESF[[#This Row],[idPilar]]))/'DADOS CAP. CARGA'!$D$2)</f>
        <v>980.06302518632265</v>
      </c>
      <c r="Q87" s="12">
        <f>INDEX(C_alpha_beta[],MATCH(ESF[[#This Row],[Solo]],C_alpha_beta[Solo],0),MATCH(ESF[[#Headers],[C (kPa)]],C_alpha_beta[#Headers],0))</f>
        <v>400</v>
      </c>
      <c r="R87" s="4">
        <f>INDEX(C_alpha_beta[],MATCH(ESF[[#This Row],[Solo]],C_alpha_beta[Solo],0),MATCH(ESF[[#Headers],[α ESF]],C_alpha_beta[#Headers],0))</f>
        <v>0.5</v>
      </c>
      <c r="S87" s="4">
        <f>INDEX(C_alpha_beta[],MATCH(ESF[[#This Row],[Solo]],C_alpha_beta[Solo],0),MATCH(ESF[[#Headers],[β ESF]],C_alpha_beta[#Headers],0))</f>
        <v>0.5</v>
      </c>
      <c r="T87" s="4">
        <f>IF(ESF[[#This Row],[Prof. (m)]]=0,0,10*(ESF[[#This Row],[NSPT]]/3+1))</f>
        <v>183.33333333333331</v>
      </c>
      <c r="U87" s="4">
        <f>(ESF[[#This Row],[α ESF]]*ESF[[#This Row],[C (kPa)]]*ESF[[#This Row],[NSPT]]*ESF[[#This Row],[Ap (m²)]])/'DADOS CAP. CARGA'!$Q$2+(ESF[[#This Row],[β ESF]]*SUMIFS(ESF[10∙(NL/3+1)],ESF[Prof. (m)],"&lt;="&amp;ESF[[#This Row],[Prof. (m)]],ESF[idDiâmetro],ESF[[#This Row],[idDiâmetro]],ESF[idPilar],ESF[[#This Row],[idPilar]])*ESF[[#This Row],[U (m)]])/'DADOS CAP. CARGA'!$S$2</f>
        <v>487.47046008201619</v>
      </c>
      <c r="V87" s="4">
        <f>IF(SPT!$M$5=1,MIN(ESF[[#This Row],[Pe ESF (kN)]],ESF[[#This Row],[R_AV (kN)]]),IF(SPT!$M$5=2,MIN(ESF[[#This Row],[Pe ESF (kN)]],ESF[[#This Row],[R_DC (kN)]]),MIN(ESF[[#This Row],[Pe ESF (kN)]],ESF[[#This Row],[R_AV (kN)]],ESF[[#This Row],[R_DC (kN)]])))</f>
        <v>487.47046008201619</v>
      </c>
      <c r="W87" s="4">
        <f>INDEX(PILARES[],ESF[[#This Row],[idPilar]],MATCH("Carga (kN)",PILARES[#Headers],0))*1.4</f>
        <v>1750</v>
      </c>
      <c r="X87" s="12">
        <f>INDEX(PILARES[],ESF[[#This Row],[idPilar]],MATCH(ESF[[#Headers],[ap (cm)]],PILARES[#Headers],0))</f>
        <v>50</v>
      </c>
      <c r="Y87" s="12">
        <f>INDEX(PILARES[],ESF[[#This Row],[idPilar]],MATCH(ESF[[#Headers],[bp (cm)]],PILARES[#Headers],0))</f>
        <v>40</v>
      </c>
      <c r="Z87" s="4">
        <f>SQRT(ESF[[#This Row],[ap (cm)]]*ESF[[#This Row],[bp (cm)]])</f>
        <v>44.721359549995796</v>
      </c>
      <c r="AA87" s="12">
        <f>ESF[[#This Row],[ap (cm)]]*ESF[[#This Row],[bp (cm)]]</f>
        <v>2000</v>
      </c>
      <c r="AB87" s="12">
        <f ca="1">IF(ESF[[#This Row],[Padm∙ε (kN)]]&gt;=ESF[[#This Row],[Padm (kN)]],ROUNDUP(1.05*ESF[[#This Row],[Nsd (kN)]]/ESF[[#This Row],[Padm (kN)]],0),ROUNDUP(1.05*ESF[[#This Row],[Nsd (kN)]]/ESF[[#This Row],[Padm (kN)]],0)+1)</f>
        <v>4</v>
      </c>
      <c r="AC87" s="4">
        <f ca="1">IFERROR(IF(ESF[[#This Row],[nE]]=1,ESF[[#This Row],[Padm (kN)]],ESF[[#This Row],[Padm (kN)]]*ESF[[#This Row],[nE]]*INDEX(grupoEstacas[],ESF[[#This Row],[nE]],MATCH("ε",grupoEstacas[#Headers],0))),"N.S.")</f>
        <v>1584.2789952665526</v>
      </c>
      <c r="AD87" s="4">
        <f ca="1">1.05*ESF[[#This Row],[Nsd (kN)]]/(ESF[[#This Row],[nE]]*PI()*ESF[[#This Row],[Ø (cm)]]^2/4)*10</f>
        <v>4.7746482927568596</v>
      </c>
      <c r="AE87" s="4">
        <f ca="1">IF(ESF[[#This Row],[σ (MPa)]]&lt;INDEX(tipoEstaca[],MATCH($D$2,tipoEstaca[TIPO DE ESTACA],0),MATCH("σmáx (MPa)",tipoEstaca[#Headers],0)),0.4%*PI()*ESF[[#This Row],[Ø (cm)]]^2/4,"N.S.")</f>
        <v>3.848451000647497</v>
      </c>
      <c r="AF87" s="1">
        <f>INDEX(tipoEstaca[],MATCH($D$2,tipoEstaca[TIPO DE ESTACA],0),MATCH(ESF[[#Headers],[Comprimento (m)]],tipoEstaca[#Headers],0))</f>
        <v>2</v>
      </c>
      <c r="AG87" s="5">
        <f ca="1">ESF[[#This Row],[As,mín (cm²)]]/100^2*ESF[[#This Row],[Comprimento (m)]]*7850</f>
        <v>6.04206807101657</v>
      </c>
      <c r="AH87" s="4">
        <f ca="1">ESF[[#This Row],[nE]]*ESF[[#This Row],[Prof. (m)]]*ESF[[#This Row],[Ap (m²)]]</f>
        <v>4.6181412007769946</v>
      </c>
      <c r="AI87" s="1">
        <f ca="1">IF(ESF[[#This Row],[nE]]=1,0,MAX(3*ESF[[#This Row],[Ø (cm)]],60))</f>
        <v>105</v>
      </c>
      <c r="AJ87" s="1">
        <f ca="1">IF(ESF[[#This Row],[nE]]=1,ESF[[#This Row],[Ø (cm)]]+2*10,MAX(1.5*ESF[[#This Row],[Ø (cm)]],ESF[[#This Row],[Ø (cm)]]+15))</f>
        <v>52.5</v>
      </c>
      <c r="AK87" s="1">
        <f ca="1">alturaUtil(ESF[[#This Row],[nE]],ESF[[#This Row],[Ø (cm)]],ESF[[#This Row],[e (cm)]],ESF[[#This Row],[ap,eq (cm)]])</f>
        <v>45</v>
      </c>
      <c r="AL87" s="1">
        <f ca="1">IFERROR(ESF[[#This Row],[d (cm)]]+arredondarParaCimaMultiplo5cm(MAX(5,SQRT(PI())/2*ESF[[#This Row],[Ø (cm)]]/5)),"N.S.")</f>
        <v>55</v>
      </c>
      <c r="AM87" s="5">
        <f ca="1">alpha(ESF[[#This Row],[nE]],ESF[[#This Row],[d (cm)]],ESF[[#This Row],[e (cm)]],ESF[[#This Row],[ap,eq (cm)]])</f>
        <v>47.441394077394719</v>
      </c>
      <c r="AN87" s="35">
        <f ca="1">IFERROR(ESF[[#This Row],[Nsd (kN)]]/(ESF[[#This Row],[Ap (cm²)]]*SIN(ESF[[#This Row],[α]])^2),"N.S.")</f>
        <v>8.9774263307047519</v>
      </c>
      <c r="AO87" s="35">
        <f ca="1">IFERROR(ESF[[#This Row],[Nsd (kN)]]/(ESF[[#This Row],[nE]]*PI()*ESF[[#This Row],[Ø (cm)]]^2/4*SIN(ESF[[#This Row],[α]])^2),"N.S.")</f>
        <v>4.6654751894693796</v>
      </c>
      <c r="AP87" s="4">
        <f ca="1">IFERROR(INDEX(grupoEstacas[],ESF[[#This Row],[nE]],MATCH("coef. Blévot",grupoEstacas[#Headers],0)),"N.S.")</f>
        <v>2.1</v>
      </c>
      <c r="AQ87" s="35">
        <f ca="1">IFERROR(ESF[[#This Row],[coef. Blévot]]*0.9*INDEX(tipoEstaca[],MATCH($D$2,tipoEstaca[TIPO DE ESTACA],0),MATCH("fcd (kN/cm²)",tipoEstaca[#Headers],0)),"N.S.")</f>
        <v>1.5120000000000002</v>
      </c>
      <c r="AR87" s="1" t="str">
        <f ca="1">IF(AND(ESF[[#This Row],[cd,b,pil (kN/cm²)]]&lt;=ESF[[#This Row],[cd,b,lim (kN/cm²)]],ESF[[#This Row],[cd,b,est (kN/cm²)]]&lt;=ESF[[#This Row],[cd,b,lim (kN/cm²)]]),"OK","ERRO")</f>
        <v>ERRO</v>
      </c>
      <c r="AS87" s="4">
        <f ca="1">As_lado(ESF[[#This Row],[nE]],ESF[[#This Row],[Nsd (kN)]],ESF[[#This Row],[d (cm)]],ESF[[#This Row],[e (cm)]],ESF[[#This Row],[ap,eq (cm)]])</f>
        <v>9.2395351084898198</v>
      </c>
      <c r="AT87" s="4" t="str">
        <f ca="1">IF(ESF[[#This Row],[nE]]=1,ESF[[#This Row],[As,lado (cm²)]],IF(ESF[[#This Row],[nE]]=2,0.075*2*ESF[a (cm)],"N.A."))</f>
        <v>N.A.</v>
      </c>
      <c r="AU87" s="4">
        <f ca="1">IFERROR(IF(ESF[[#This Row],[nE]]=1,"N.A.",0.2*ESF[[#This Row],[As,lado (cm²)]]),"N.S.")</f>
        <v>1.8479070216979641</v>
      </c>
      <c r="AV87" s="4">
        <f ca="1">As_malha(ESF[[#This Row],[nE]],ESF[[#This Row],[As,lado (cm²)]],ESF[[#This Row],[Nsd (kN)]])</f>
        <v>1.8479070216979641</v>
      </c>
      <c r="AW87" s="4">
        <f ca="1">As_susp_tot(ESF[[#This Row],[nE]],ESF[[#This Row],[Nsd (kN)]])</f>
        <v>6.708333333333333</v>
      </c>
      <c r="AX87" s="4">
        <f ca="1">Asp_face(ESF[[#This Row],[nE]],ESF[[#This Row],[As,lado (cm²)]])</f>
        <v>4.6197675542449099</v>
      </c>
      <c r="AY87" s="5">
        <f ca="1">acoBloco(ESF[[#This Row],[nE]],ESF[[#This Row],[e (cm)]],ESF[[#This Row],[a (cm)]],ESF[[#This Row],[h (cm)]],ESF[[#This Row],[As,lado (cm²)]],ESF[[#This Row],[Asp e Asw (cm²/m)]],ESF[[#This Row],[As,sup (cm²)]],ESF[[#This Row],[As,malha (cm²)]],ESF[[#This Row],[As,susp,tot (cm²)]],ESF[[#This Row],[Asp,face (cm²)]])</f>
        <v>112.56221302635404</v>
      </c>
      <c r="AZ87" s="4">
        <f ca="1">concretoBloco(ESF[[#This Row],[nE]],ESF[[#This Row],[e (cm)]],ESF[[#This Row],[a (cm)]],ESF[[#This Row],[h (cm)]])</f>
        <v>2.4255</v>
      </c>
      <c r="BA87" s="5">
        <f ca="1">SUM(ESF[[#This Row],[Aço Est (kg)]],ESF[[#This Row],[Aço Bloco (kg)]])</f>
        <v>118.60428109737062</v>
      </c>
      <c r="BB87" s="4">
        <f>INDEX(composicoes[],MATCH(95580,composicoes[CÓDIGO],0),MATCH("CUSTO TOTAL",composicoes[#Headers],0))</f>
        <v>10.46</v>
      </c>
      <c r="BC87" s="4">
        <f ca="1">SUM(ESF[[#This Row],[Conc Est (m³)]],ESF[[#This Row],[Conc Bloco (m³)]])</f>
        <v>7.0436412007769942</v>
      </c>
      <c r="BD87" s="4">
        <f>INDEX(composicoes[],MATCH(94966,composicoes[CÓDIGO],0),MATCH("CUSTO TOTAL",composicoes[#Headers],0))</f>
        <v>439.52</v>
      </c>
      <c r="BE87" s="38">
        <f ca="1">ESF[[#This Row],[Aço (kg)]]*ESF[[#This Row],[Aço (R$/kg)]]+ESF[[#This Row],[Conc (m³)]]*ESF[[#This Row],[Conc (R$/m³)]]</f>
        <v>4336.4219608440008</v>
      </c>
      <c r="BF87" s="4" t="str">
        <f ca="1">IF(COUNTIF(ESF[#This Row],"N.S.")&gt;0,"lim.","OK")</f>
        <v>OK</v>
      </c>
      <c r="BG87" s="4" t="str">
        <f>IF(ESF[[#This Row],[Prof. (m)]]&lt;3,"lim.","OK")</f>
        <v>OK</v>
      </c>
      <c r="BH87" s="4" t="str">
        <f>IF(ESF[[#This Row],[Prof. (m)]]&gt;=8*ESF[[#This Row],[Ø (cm)]]/100,"OK","lim.")</f>
        <v>OK</v>
      </c>
      <c r="BI87" s="4" t="str">
        <f>IF(AND(SPT!$F$3&lt;&gt;"",ESF[[#This Row],[Prof. (m)]]&gt;=SPT!$F$3),"lim.","OK")</f>
        <v>OK</v>
      </c>
      <c r="BJ87" s="4" t="str">
        <f>IF(COUNTIFS(ESF[Solo],"Areia",ESF[Prof. (m)],"&lt;="&amp;ESF[[#This Row],[Prof. (m)]])&gt;=1,"lim.","OK")</f>
        <v>OK</v>
      </c>
      <c r="BK87" s="4" t="str">
        <f ca="1">IF(ESF[[#This Row],[Verif. Biela]]="OK","OK","lim.")</f>
        <v>lim.</v>
      </c>
      <c r="BL87" s="4" t="str">
        <f ca="1">IF(COUNTA(ESF[[#This Row],[Nº Est.]:[Biela comp.]])=COUNTIF(ESF[[#This Row],[Nº Est.]:[Biela comp.]],"OK"),"OK","lim.")</f>
        <v>lim.</v>
      </c>
      <c r="BM87" s="4" t="str">
        <f ca="1">IF(ESF[[#This Row],[Controle]]="OK",ESF[[#This Row],[nE]]&amp;" Ø"&amp;ESF[[#This Row],[Ø (cm)]]&amp;"cm Prof. "&amp;ESF[[#This Row],[Prof. (m)]]&amp;" m","")</f>
        <v/>
      </c>
      <c r="BN87" s="4" t="str">
        <f ca="1">IF(ESF[[#This Row],[idDimensionamento]]="","",ESF[[#This Row],[idPilar]]&amp;ESF[[#This Row],[idDimensionamento]])</f>
        <v/>
      </c>
    </row>
    <row r="88" spans="2:66" x14ac:dyDescent="0.25">
      <c r="B88" s="12">
        <f>ROUNDUP((ROW(ESF[[#This Row],[idDiâmetro]])-ROW(ESF[[#Headers],[idDiâmetro]]))/(COUNT(SPT[Prof. (m)])*COUNT(PILARES[Pilar])),0)</f>
        <v>3</v>
      </c>
      <c r="C88" s="12">
        <f>IF(ESF[[#This Row],[idDiâmetro]]&lt;&gt;B87,1,IF(ESF[[#This Row],[Prof. (m)]]=0,C87+1,C87))</f>
        <v>2</v>
      </c>
      <c r="D88" s="1">
        <f>IFERROR(IF(D87=MAX(SPT[Prof. (m)]),0,D87+1),0)</f>
        <v>13</v>
      </c>
      <c r="E88" s="1">
        <f>INDEX(SPT[],MATCH(ESF[[#This Row],[Prof. (m)]],SPT[Prof. (m)],0),2)</f>
        <v>68</v>
      </c>
      <c r="F88" s="1" t="str">
        <f>INDEX(SPT[],MATCH(ESF[[#This Row],[Prof. (m)]],SPT[Prof. (m)],0),3)</f>
        <v>Areia siltosa</v>
      </c>
      <c r="G88" s="1">
        <f>INDEX(estacas[],ESF[[#This Row],[idDiâmetro]],MATCH($B$2,estacas[#Headers],0))</f>
        <v>35</v>
      </c>
      <c r="H88" s="1">
        <f>INDEX(estacas[],MATCH(ESF[[#This Row],[Ø (cm)]],estacas[Ø ESF (cm)],0),MATCH(ESF[[#Headers],[Pe ESF (kN)]],estacas[#Headers],0))</f>
        <v>490</v>
      </c>
      <c r="I88" s="4">
        <f>INDEX(K_alpha_C[],MATCH(ESF[[#This Row],[Solo]],K_alpha_C[Solo],0),2)</f>
        <v>0.8</v>
      </c>
      <c r="J88" s="5">
        <f>INDEX(K_alpha_C[],MATCH(ESF[[#This Row],[Solo]],K_alpha_C[Solo],0),3)</f>
        <v>2</v>
      </c>
      <c r="K88" s="4">
        <f>INDEX(F1_F2[],MATCH($D$2,F1_F2[Tipo de estaca],0),2)</f>
        <v>3</v>
      </c>
      <c r="L88" s="4">
        <f>INDEX(F1_F2[],MATCH($D$2,F1_F2[Tipo de estaca],0),3)</f>
        <v>6</v>
      </c>
      <c r="M88" s="4">
        <f>PI()*(ESF[[#This Row],[Ø (cm)]]/100)^2/4</f>
        <v>9.6211275016187398E-2</v>
      </c>
      <c r="N88" s="4">
        <f>PI()*ESF[[#This Row],[Ø (cm)]]/100</f>
        <v>1.0995574287564276</v>
      </c>
      <c r="O88" s="4">
        <f>IF(ESF[[#This Row],[Prof. (m)]]=0,0,ESF[[#This Row],[α (%)]]/100*ESF[[#This Row],[K (MPa)]]*1000*ESF[[#This Row],[NSPT]])</f>
        <v>1088</v>
      </c>
      <c r="P88" s="4">
        <f>IF(ESF[[#This Row],[Prof. (m)]]=0,0,(ESF[[#This Row],[K (MPa)]]*1000*ESF[[#This Row],[NSPT]]/ESF[[#This Row],[F1]]*ESF[[#This Row],[Ap (m²)]]+ESF[[#This Row],[U (m)]]/ESF[[#This Row],[F2]]*SUMIFS(ESF[(α∙K∙NL∙ΔL)],ESF[Prof. (m)],"&lt;="&amp;ESF[[#This Row],[Prof. (m)]],ESF[idDiâmetro],ESF[[#This Row],[idDiâmetro]],ESF[idPilar],ESF[[#This Row],[idPilar]]))/'DADOS CAP. CARGA'!$D$2)</f>
        <v>1285.0069520947718</v>
      </c>
      <c r="Q88" s="12">
        <f>INDEX(C_alpha_beta[],MATCH(ESF[[#This Row],[Solo]],C_alpha_beta[Solo],0),MATCH(ESF[[#Headers],[C (kPa)]],C_alpha_beta[#Headers],0))</f>
        <v>400</v>
      </c>
      <c r="R88" s="4">
        <f>INDEX(C_alpha_beta[],MATCH(ESF[[#This Row],[Solo]],C_alpha_beta[Solo],0),MATCH(ESF[[#Headers],[α ESF]],C_alpha_beta[#Headers],0))</f>
        <v>0.5</v>
      </c>
      <c r="S88" s="4">
        <f>INDEX(C_alpha_beta[],MATCH(ESF[[#This Row],[Solo]],C_alpha_beta[Solo],0),MATCH(ESF[[#Headers],[β ESF]],C_alpha_beta[#Headers],0))</f>
        <v>0.5</v>
      </c>
      <c r="T88" s="4">
        <f>IF(ESF[[#This Row],[Prof. (m)]]=0,0,10*(ESF[[#This Row],[NSPT]]/3+1))</f>
        <v>236.66666666666669</v>
      </c>
      <c r="U88" s="4">
        <f>(ESF[[#This Row],[α ESF]]*ESF[[#This Row],[C (kPa)]]*ESF[[#This Row],[NSPT]]*ESF[[#This Row],[Ap (m²)]])/'DADOS CAP. CARGA'!$Q$2+(ESF[[#This Row],[β ESF]]*SUMIFS(ESF[10∙(NL/3+1)],ESF[Prof. (m)],"&lt;="&amp;ESF[[#This Row],[Prof. (m)]],ESF[idDiâmetro],ESF[[#This Row],[idDiâmetro]],ESF[idPilar],ESF[[#This Row],[idPilar]])*ESF[[#This Row],[U (m)]])/'DADOS CAP. CARGA'!$S$2</f>
        <v>629.49662796305483</v>
      </c>
      <c r="V88" s="4">
        <f>IF(SPT!$M$5=1,MIN(ESF[[#This Row],[Pe ESF (kN)]],ESF[[#This Row],[R_AV (kN)]]),IF(SPT!$M$5=2,MIN(ESF[[#This Row],[Pe ESF (kN)]],ESF[[#This Row],[R_DC (kN)]]),MIN(ESF[[#This Row],[Pe ESF (kN)]],ESF[[#This Row],[R_AV (kN)]],ESF[[#This Row],[R_DC (kN)]])))</f>
        <v>490</v>
      </c>
      <c r="W88" s="4">
        <f>INDEX(PILARES[],ESF[[#This Row],[idPilar]],MATCH("Carga (kN)",PILARES[#Headers],0))*1.4</f>
        <v>1750</v>
      </c>
      <c r="X88" s="12">
        <f>INDEX(PILARES[],ESF[[#This Row],[idPilar]],MATCH(ESF[[#Headers],[ap (cm)]],PILARES[#Headers],0))</f>
        <v>50</v>
      </c>
      <c r="Y88" s="12">
        <f>INDEX(PILARES[],ESF[[#This Row],[idPilar]],MATCH(ESF[[#Headers],[bp (cm)]],PILARES[#Headers],0))</f>
        <v>40</v>
      </c>
      <c r="Z88" s="4">
        <f>SQRT(ESF[[#This Row],[ap (cm)]]*ESF[[#This Row],[bp (cm)]])</f>
        <v>44.721359549995796</v>
      </c>
      <c r="AA88" s="12">
        <f>ESF[[#This Row],[ap (cm)]]*ESF[[#This Row],[bp (cm)]]</f>
        <v>2000</v>
      </c>
      <c r="AB88" s="12">
        <f ca="1">IF(ESF[[#This Row],[Padm∙ε (kN)]]&gt;=ESF[[#This Row],[Padm (kN)]],ROUNDUP(1.05*ESF[[#This Row],[Nsd (kN)]]/ESF[[#This Row],[Padm (kN)]],0),ROUNDUP(1.05*ESF[[#This Row],[Nsd (kN)]]/ESF[[#This Row],[Padm (kN)]],0)+1)</f>
        <v>4</v>
      </c>
      <c r="AC88" s="4">
        <f ca="1">IFERROR(IF(ESF[[#This Row],[nE]]=1,ESF[[#This Row],[Padm (kN)]],ESF[[#This Row],[Padm (kN)]]*ESF[[#This Row],[nE]]*INDEX(grupoEstacas[],ESF[[#This Row],[nE]],MATCH("ε",grupoEstacas[#Headers],0))),"N.S.")</f>
        <v>1592.5</v>
      </c>
      <c r="AD88" s="4">
        <f ca="1">1.05*ESF[[#This Row],[Nsd (kN)]]/(ESF[[#This Row],[nE]]*PI()*ESF[[#This Row],[Ø (cm)]]^2/4)*10</f>
        <v>4.7746482927568596</v>
      </c>
      <c r="AE88" s="4">
        <f ca="1">IF(ESF[[#This Row],[σ (MPa)]]&lt;INDEX(tipoEstaca[],MATCH($D$2,tipoEstaca[TIPO DE ESTACA],0),MATCH("σmáx (MPa)",tipoEstaca[#Headers],0)),0.4%*PI()*ESF[[#This Row],[Ø (cm)]]^2/4,"N.S.")</f>
        <v>3.848451000647497</v>
      </c>
      <c r="AF88" s="1">
        <f>INDEX(tipoEstaca[],MATCH($D$2,tipoEstaca[TIPO DE ESTACA],0),MATCH(ESF[[#Headers],[Comprimento (m)]],tipoEstaca[#Headers],0))</f>
        <v>2</v>
      </c>
      <c r="AG88" s="5">
        <f ca="1">ESF[[#This Row],[As,mín (cm²)]]/100^2*ESF[[#This Row],[Comprimento (m)]]*7850</f>
        <v>6.04206807101657</v>
      </c>
      <c r="AH88" s="4">
        <f ca="1">ESF[[#This Row],[nE]]*ESF[[#This Row],[Prof. (m)]]*ESF[[#This Row],[Ap (m²)]]</f>
        <v>5.0029863008417443</v>
      </c>
      <c r="AI88" s="1">
        <f ca="1">IF(ESF[[#This Row],[nE]]=1,0,MAX(3*ESF[[#This Row],[Ø (cm)]],60))</f>
        <v>105</v>
      </c>
      <c r="AJ88" s="1">
        <f ca="1">IF(ESF[[#This Row],[nE]]=1,ESF[[#This Row],[Ø (cm)]]+2*10,MAX(1.5*ESF[[#This Row],[Ø (cm)]],ESF[[#This Row],[Ø (cm)]]+15))</f>
        <v>52.5</v>
      </c>
      <c r="AK88" s="1">
        <f ca="1">alturaUtil(ESF[[#This Row],[nE]],ESF[[#This Row],[Ø (cm)]],ESF[[#This Row],[e (cm)]],ESF[[#This Row],[ap,eq (cm)]])</f>
        <v>45</v>
      </c>
      <c r="AL88" s="1">
        <f ca="1">IFERROR(ESF[[#This Row],[d (cm)]]+arredondarParaCimaMultiplo5cm(MAX(5,SQRT(PI())/2*ESF[[#This Row],[Ø (cm)]]/5)),"N.S.")</f>
        <v>55</v>
      </c>
      <c r="AM88" s="5">
        <f ca="1">alpha(ESF[[#This Row],[nE]],ESF[[#This Row],[d (cm)]],ESF[[#This Row],[e (cm)]],ESF[[#This Row],[ap,eq (cm)]])</f>
        <v>47.441394077394719</v>
      </c>
      <c r="AN88" s="35">
        <f ca="1">IFERROR(ESF[[#This Row],[Nsd (kN)]]/(ESF[[#This Row],[Ap (cm²)]]*SIN(ESF[[#This Row],[α]])^2),"N.S.")</f>
        <v>8.9774263307047519</v>
      </c>
      <c r="AO88" s="35">
        <f ca="1">IFERROR(ESF[[#This Row],[Nsd (kN)]]/(ESF[[#This Row],[nE]]*PI()*ESF[[#This Row],[Ø (cm)]]^2/4*SIN(ESF[[#This Row],[α]])^2),"N.S.")</f>
        <v>4.6654751894693796</v>
      </c>
      <c r="AP88" s="4">
        <f ca="1">IFERROR(INDEX(grupoEstacas[],ESF[[#This Row],[nE]],MATCH("coef. Blévot",grupoEstacas[#Headers],0)),"N.S.")</f>
        <v>2.1</v>
      </c>
      <c r="AQ88" s="35">
        <f ca="1">IFERROR(ESF[[#This Row],[coef. Blévot]]*0.9*INDEX(tipoEstaca[],MATCH($D$2,tipoEstaca[TIPO DE ESTACA],0),MATCH("fcd (kN/cm²)",tipoEstaca[#Headers],0)),"N.S.")</f>
        <v>1.5120000000000002</v>
      </c>
      <c r="AR88" s="1" t="str">
        <f ca="1">IF(AND(ESF[[#This Row],[cd,b,pil (kN/cm²)]]&lt;=ESF[[#This Row],[cd,b,lim (kN/cm²)]],ESF[[#This Row],[cd,b,est (kN/cm²)]]&lt;=ESF[[#This Row],[cd,b,lim (kN/cm²)]]),"OK","ERRO")</f>
        <v>ERRO</v>
      </c>
      <c r="AS88" s="4">
        <f ca="1">As_lado(ESF[[#This Row],[nE]],ESF[[#This Row],[Nsd (kN)]],ESF[[#This Row],[d (cm)]],ESF[[#This Row],[e (cm)]],ESF[[#This Row],[ap,eq (cm)]])</f>
        <v>9.2395351084898198</v>
      </c>
      <c r="AT88" s="4" t="str">
        <f ca="1">IF(ESF[[#This Row],[nE]]=1,ESF[[#This Row],[As,lado (cm²)]],IF(ESF[[#This Row],[nE]]=2,0.075*2*ESF[a (cm)],"N.A."))</f>
        <v>N.A.</v>
      </c>
      <c r="AU88" s="4">
        <f ca="1">IFERROR(IF(ESF[[#This Row],[nE]]=1,"N.A.",0.2*ESF[[#This Row],[As,lado (cm²)]]),"N.S.")</f>
        <v>1.8479070216979641</v>
      </c>
      <c r="AV88" s="4">
        <f ca="1">As_malha(ESF[[#This Row],[nE]],ESF[[#This Row],[As,lado (cm²)]],ESF[[#This Row],[Nsd (kN)]])</f>
        <v>1.8479070216979641</v>
      </c>
      <c r="AW88" s="4">
        <f ca="1">As_susp_tot(ESF[[#This Row],[nE]],ESF[[#This Row],[Nsd (kN)]])</f>
        <v>6.708333333333333</v>
      </c>
      <c r="AX88" s="4">
        <f ca="1">Asp_face(ESF[[#This Row],[nE]],ESF[[#This Row],[As,lado (cm²)]])</f>
        <v>4.6197675542449099</v>
      </c>
      <c r="AY88" s="5">
        <f ca="1">acoBloco(ESF[[#This Row],[nE]],ESF[[#This Row],[e (cm)]],ESF[[#This Row],[a (cm)]],ESF[[#This Row],[h (cm)]],ESF[[#This Row],[As,lado (cm²)]],ESF[[#This Row],[Asp e Asw (cm²/m)]],ESF[[#This Row],[As,sup (cm²)]],ESF[[#This Row],[As,malha (cm²)]],ESF[[#This Row],[As,susp,tot (cm²)]],ESF[[#This Row],[Asp,face (cm²)]])</f>
        <v>112.56221302635404</v>
      </c>
      <c r="AZ88" s="4">
        <f ca="1">concretoBloco(ESF[[#This Row],[nE]],ESF[[#This Row],[e (cm)]],ESF[[#This Row],[a (cm)]],ESF[[#This Row],[h (cm)]])</f>
        <v>2.4255</v>
      </c>
      <c r="BA88" s="5">
        <f ca="1">SUM(ESF[[#This Row],[Aço Est (kg)]],ESF[[#This Row],[Aço Bloco (kg)]])</f>
        <v>118.60428109737062</v>
      </c>
      <c r="BB88" s="4">
        <f>INDEX(composicoes[],MATCH(95580,composicoes[CÓDIGO],0),MATCH("CUSTO TOTAL",composicoes[#Headers],0))</f>
        <v>10.46</v>
      </c>
      <c r="BC88" s="4">
        <f ca="1">SUM(ESF[[#This Row],[Conc Est (m³)]],ESF[[#This Row],[Conc Bloco (m³)]])</f>
        <v>7.4284863008417439</v>
      </c>
      <c r="BD88" s="4">
        <f>INDEX(composicoes[],MATCH(94966,composicoes[CÓDIGO],0),MATCH("CUSTO TOTAL",composicoes[#Headers],0))</f>
        <v>439.52</v>
      </c>
      <c r="BE88" s="38">
        <f ca="1">ESF[[#This Row],[Aço (kg)]]*ESF[[#This Row],[Aço (R$/kg)]]+ESF[[#This Row],[Conc (m³)]]*ESF[[#This Row],[Conc (R$/m³)]]</f>
        <v>4505.5690792244595</v>
      </c>
      <c r="BF88" s="4" t="str">
        <f ca="1">IF(COUNTIF(ESF[#This Row],"N.S.")&gt;0,"lim.","OK")</f>
        <v>OK</v>
      </c>
      <c r="BG88" s="4" t="str">
        <f>IF(ESF[[#This Row],[Prof. (m)]]&lt;3,"lim.","OK")</f>
        <v>OK</v>
      </c>
      <c r="BH88" s="4" t="str">
        <f>IF(ESF[[#This Row],[Prof. (m)]]&gt;=8*ESF[[#This Row],[Ø (cm)]]/100,"OK","lim.")</f>
        <v>OK</v>
      </c>
      <c r="BI88" s="4" t="str">
        <f>IF(AND(SPT!$F$3&lt;&gt;"",ESF[[#This Row],[Prof. (m)]]&gt;=SPT!$F$3),"lim.","OK")</f>
        <v>OK</v>
      </c>
      <c r="BJ88" s="4" t="str">
        <f>IF(COUNTIFS(ESF[Solo],"Areia",ESF[Prof. (m)],"&lt;="&amp;ESF[[#This Row],[Prof. (m)]])&gt;=1,"lim.","OK")</f>
        <v>OK</v>
      </c>
      <c r="BK88" s="4" t="str">
        <f ca="1">IF(ESF[[#This Row],[Verif. Biela]]="OK","OK","lim.")</f>
        <v>lim.</v>
      </c>
      <c r="BL88" s="4" t="str">
        <f ca="1">IF(COUNTA(ESF[[#This Row],[Nº Est.]:[Biela comp.]])=COUNTIF(ESF[[#This Row],[Nº Est.]:[Biela comp.]],"OK"),"OK","lim.")</f>
        <v>lim.</v>
      </c>
      <c r="BM88" s="4" t="str">
        <f ca="1">IF(ESF[[#This Row],[Controle]]="OK",ESF[[#This Row],[nE]]&amp;" Ø"&amp;ESF[[#This Row],[Ø (cm)]]&amp;"cm Prof. "&amp;ESF[[#This Row],[Prof. (m)]]&amp;" m","")</f>
        <v/>
      </c>
      <c r="BN88" s="4" t="str">
        <f ca="1">IF(ESF[[#This Row],[idDimensionamento]]="","",ESF[[#This Row],[idPilar]]&amp;ESF[[#This Row],[idDimensionamento]])</f>
        <v/>
      </c>
    </row>
    <row r="89" spans="2:66" x14ac:dyDescent="0.25">
      <c r="B89" s="12">
        <f>ROUNDUP((ROW(ESF[[#This Row],[idDiâmetro]])-ROW(ESF[[#Headers],[idDiâmetro]]))/(COUNT(SPT[Prof. (m)])*COUNT(PILARES[Pilar])),0)</f>
        <v>4</v>
      </c>
      <c r="C89" s="12">
        <f>IF(ESF[[#This Row],[idDiâmetro]]&lt;&gt;B88,1,IF(ESF[[#This Row],[Prof. (m)]]=0,C88+1,C88))</f>
        <v>1</v>
      </c>
      <c r="D89" s="1">
        <f>IFERROR(IF(D88=MAX(SPT[Prof. (m)]),0,D88+1),0)</f>
        <v>0</v>
      </c>
      <c r="E89" s="1">
        <f>INDEX(SPT[],MATCH(ESF[[#This Row],[Prof. (m)]],SPT[Prof. (m)],0),2)</f>
        <v>0</v>
      </c>
      <c r="F89" s="1" t="str">
        <f>INDEX(SPT[],MATCH(ESF[[#This Row],[Prof. (m)]],SPT[Prof. (m)],0),3)</f>
        <v>Areia siltosa</v>
      </c>
      <c r="G89" s="1">
        <f>INDEX(estacas[],ESF[[#This Row],[idDiâmetro]],MATCH($B$2,estacas[#Headers],0))</f>
        <v>40</v>
      </c>
      <c r="H89" s="1">
        <f>INDEX(estacas[],MATCH(ESF[[#This Row],[Ø (cm)]],estacas[Ø ESF (cm)],0),MATCH(ESF[[#Headers],[Pe ESF (kN)]],estacas[#Headers],0))</f>
        <v>640</v>
      </c>
      <c r="I89" s="4">
        <f>INDEX(K_alpha_C[],MATCH(ESF[[#This Row],[Solo]],K_alpha_C[Solo],0),2)</f>
        <v>0.8</v>
      </c>
      <c r="J89" s="5">
        <f>INDEX(K_alpha_C[],MATCH(ESF[[#This Row],[Solo]],K_alpha_C[Solo],0),3)</f>
        <v>2</v>
      </c>
      <c r="K89" s="4">
        <f>INDEX(F1_F2[],MATCH($D$2,F1_F2[Tipo de estaca],0),2)</f>
        <v>3</v>
      </c>
      <c r="L89" s="4">
        <f>INDEX(F1_F2[],MATCH($D$2,F1_F2[Tipo de estaca],0),3)</f>
        <v>6</v>
      </c>
      <c r="M89" s="4">
        <f>PI()*(ESF[[#This Row],[Ø (cm)]]/100)^2/4</f>
        <v>0.12566370614359174</v>
      </c>
      <c r="N89" s="4">
        <f>PI()*ESF[[#This Row],[Ø (cm)]]/100</f>
        <v>1.2566370614359172</v>
      </c>
      <c r="O89" s="4">
        <f>IF(ESF[[#This Row],[Prof. (m)]]=0,0,ESF[[#This Row],[α (%)]]/100*ESF[[#This Row],[K (MPa)]]*1000*ESF[[#This Row],[NSPT]])</f>
        <v>0</v>
      </c>
      <c r="P89" s="4">
        <f>IF(ESF[[#This Row],[Prof. (m)]]=0,0,(ESF[[#This Row],[K (MPa)]]*1000*ESF[[#This Row],[NSPT]]/ESF[[#This Row],[F1]]*ESF[[#This Row],[Ap (m²)]]+ESF[[#This Row],[U (m)]]/ESF[[#This Row],[F2]]*SUMIFS(ESF[(α∙K∙NL∙ΔL)],ESF[Prof. (m)],"&lt;="&amp;ESF[[#This Row],[Prof. (m)]],ESF[idDiâmetro],ESF[[#This Row],[idDiâmetro]],ESF[idPilar],ESF[[#This Row],[idPilar]]))/'DADOS CAP. CARGA'!$D$2)</f>
        <v>0</v>
      </c>
      <c r="Q89" s="12">
        <f>INDEX(C_alpha_beta[],MATCH(ESF[[#This Row],[Solo]],C_alpha_beta[Solo],0),MATCH(ESF[[#Headers],[C (kPa)]],C_alpha_beta[#Headers],0))</f>
        <v>400</v>
      </c>
      <c r="R89" s="4">
        <f>INDEX(C_alpha_beta[],MATCH(ESF[[#This Row],[Solo]],C_alpha_beta[Solo],0),MATCH(ESF[[#Headers],[α ESF]],C_alpha_beta[#Headers],0))</f>
        <v>0.5</v>
      </c>
      <c r="S89" s="4">
        <f>INDEX(C_alpha_beta[],MATCH(ESF[[#This Row],[Solo]],C_alpha_beta[Solo],0),MATCH(ESF[[#Headers],[β ESF]],C_alpha_beta[#Headers],0))</f>
        <v>0.5</v>
      </c>
      <c r="T89" s="4">
        <f>IF(ESF[[#This Row],[Prof. (m)]]=0,0,10*(ESF[[#This Row],[NSPT]]/3+1))</f>
        <v>0</v>
      </c>
      <c r="U89" s="4">
        <f>(ESF[[#This Row],[α ESF]]*ESF[[#This Row],[C (kPa)]]*ESF[[#This Row],[NSPT]]*ESF[[#This Row],[Ap (m²)]])/'DADOS CAP. CARGA'!$Q$2+(ESF[[#This Row],[β ESF]]*SUMIFS(ESF[10∙(NL/3+1)],ESF[Prof. (m)],"&lt;="&amp;ESF[[#This Row],[Prof. (m)]],ESF[idDiâmetro],ESF[[#This Row],[idDiâmetro]],ESF[idPilar],ESF[[#This Row],[idPilar]])*ESF[[#This Row],[U (m)]])/'DADOS CAP. CARGA'!$S$2</f>
        <v>0</v>
      </c>
      <c r="V89" s="4">
        <f>IF(SPT!$M$5=1,MIN(ESF[[#This Row],[Pe ESF (kN)]],ESF[[#This Row],[R_AV (kN)]]),IF(SPT!$M$5=2,MIN(ESF[[#This Row],[Pe ESF (kN)]],ESF[[#This Row],[R_DC (kN)]]),MIN(ESF[[#This Row],[Pe ESF (kN)]],ESF[[#This Row],[R_AV (kN)]],ESF[[#This Row],[R_DC (kN)]])))</f>
        <v>0</v>
      </c>
      <c r="W89" s="4">
        <f>INDEX(PILARES[],ESF[[#This Row],[idPilar]],MATCH("Carga (kN)",PILARES[#Headers],0))*1.4</f>
        <v>3500</v>
      </c>
      <c r="X89" s="12">
        <f>INDEX(PILARES[],ESF[[#This Row],[idPilar]],MATCH(ESF[[#Headers],[ap (cm)]],PILARES[#Headers],0))</f>
        <v>60</v>
      </c>
      <c r="Y89" s="12">
        <f>INDEX(PILARES[],ESF[[#This Row],[idPilar]],MATCH(ESF[[#Headers],[bp (cm)]],PILARES[#Headers],0))</f>
        <v>60</v>
      </c>
      <c r="Z89" s="4">
        <f>SQRT(ESF[[#This Row],[ap (cm)]]*ESF[[#This Row],[bp (cm)]])</f>
        <v>60</v>
      </c>
      <c r="AA89" s="12">
        <f>ESF[[#This Row],[ap (cm)]]*ESF[[#This Row],[bp (cm)]]</f>
        <v>3600</v>
      </c>
      <c r="AB89" s="12" t="e">
        <f ca="1">IF(ESF[[#This Row],[Padm∙ε (kN)]]&gt;=ESF[[#This Row],[Padm (kN)]],ROUNDUP(1.05*ESF[[#This Row],[Nsd (kN)]]/ESF[[#This Row],[Padm (kN)]],0),ROUNDUP(1.05*ESF[[#This Row],[Nsd (kN)]]/ESF[[#This Row],[Padm (kN)]],0)+1)</f>
        <v>#DIV/0!</v>
      </c>
      <c r="AC89" s="4" t="str">
        <f ca="1">IFERROR(IF(ESF[[#This Row],[nE]]=1,ESF[[#This Row],[Padm (kN)]],ESF[[#This Row],[Padm (kN)]]*ESF[[#This Row],[nE]]*INDEX(grupoEstacas[],ESF[[#This Row],[nE]],MATCH("ε",grupoEstacas[#Headers],0))),"N.S.")</f>
        <v>N.S.</v>
      </c>
      <c r="AD89" s="4" t="e">
        <f ca="1">1.05*ESF[[#This Row],[Nsd (kN)]]/(ESF[[#This Row],[nE]]*PI()*ESF[[#This Row],[Ø (cm)]]^2/4)*10</f>
        <v>#DIV/0!</v>
      </c>
      <c r="AE89" s="4" t="e">
        <f ca="1">IF(ESF[[#This Row],[σ (MPa)]]&lt;INDEX(tipoEstaca[],MATCH($D$2,tipoEstaca[TIPO DE ESTACA],0),MATCH("σmáx (MPa)",tipoEstaca[#Headers],0)),0.4%*PI()*ESF[[#This Row],[Ø (cm)]]^2/4,"N.S.")</f>
        <v>#DIV/0!</v>
      </c>
      <c r="AF89" s="1">
        <f>INDEX(tipoEstaca[],MATCH($D$2,tipoEstaca[TIPO DE ESTACA],0),MATCH(ESF[[#Headers],[Comprimento (m)]],tipoEstaca[#Headers],0))</f>
        <v>2</v>
      </c>
      <c r="AG89" s="5" t="e">
        <f ca="1">ESF[[#This Row],[As,mín (cm²)]]/100^2*ESF[[#This Row],[Comprimento (m)]]*7850</f>
        <v>#DIV/0!</v>
      </c>
      <c r="AH89" s="4" t="e">
        <f ca="1">ESF[[#This Row],[nE]]*ESF[[#This Row],[Prof. (m)]]*ESF[[#This Row],[Ap (m²)]]</f>
        <v>#DIV/0!</v>
      </c>
      <c r="AI89" s="1" t="e">
        <f ca="1">IF(ESF[[#This Row],[nE]]=1,0,MAX(3*ESF[[#This Row],[Ø (cm)]],60))</f>
        <v>#DIV/0!</v>
      </c>
      <c r="AJ89" s="1" t="e">
        <f ca="1">IF(ESF[[#This Row],[nE]]=1,ESF[[#This Row],[Ø (cm)]]+2*10,MAX(1.5*ESF[[#This Row],[Ø (cm)]],ESF[[#This Row],[Ø (cm)]]+15))</f>
        <v>#DIV/0!</v>
      </c>
      <c r="AK89" s="1" t="e">
        <f ca="1">alturaUtil(ESF[[#This Row],[nE]],ESF[[#This Row],[Ø (cm)]],ESF[[#This Row],[e (cm)]],ESF[[#This Row],[ap,eq (cm)]])</f>
        <v>#VALUE!</v>
      </c>
      <c r="AL89" s="1" t="str">
        <f ca="1">IFERROR(ESF[[#This Row],[d (cm)]]+arredondarParaCimaMultiplo5cm(MAX(5,SQRT(PI())/2*ESF[[#This Row],[Ø (cm)]]/5)),"N.S.")</f>
        <v>N.S.</v>
      </c>
      <c r="AM89" s="5" t="e">
        <f ca="1">alpha(ESF[[#This Row],[nE]],ESF[[#This Row],[d (cm)]],ESF[[#This Row],[e (cm)]],ESF[[#This Row],[ap,eq (cm)]])</f>
        <v>#VALUE!</v>
      </c>
      <c r="AN89" s="35" t="str">
        <f ca="1">IFERROR(ESF[[#This Row],[Nsd (kN)]]/(ESF[[#This Row],[Ap (cm²)]]*SIN(ESF[[#This Row],[α]])^2),"N.S.")</f>
        <v>N.S.</v>
      </c>
      <c r="AO89" s="35" t="str">
        <f ca="1">IFERROR(ESF[[#This Row],[Nsd (kN)]]/(ESF[[#This Row],[nE]]*PI()*ESF[[#This Row],[Ø (cm)]]^2/4*SIN(ESF[[#This Row],[α]])^2),"N.S.")</f>
        <v>N.S.</v>
      </c>
      <c r="AP89" s="4" t="str">
        <f ca="1">IFERROR(INDEX(grupoEstacas[],ESF[[#This Row],[nE]],MATCH("coef. Blévot",grupoEstacas[#Headers],0)),"N.S.")</f>
        <v>N.S.</v>
      </c>
      <c r="AQ89" s="35" t="str">
        <f ca="1">IFERROR(ESF[[#This Row],[coef. Blévot]]*0.9*INDEX(tipoEstaca[],MATCH($D$2,tipoEstaca[TIPO DE ESTACA],0),MATCH("fcd (kN/cm²)",tipoEstaca[#Headers],0)),"N.S.")</f>
        <v>N.S.</v>
      </c>
      <c r="AR89" s="1" t="str">
        <f ca="1">IF(AND(ESF[[#This Row],[cd,b,pil (kN/cm²)]]&lt;=ESF[[#This Row],[cd,b,lim (kN/cm²)]],ESF[[#This Row],[cd,b,est (kN/cm²)]]&lt;=ESF[[#This Row],[cd,b,lim (kN/cm²)]]),"OK","ERRO")</f>
        <v>OK</v>
      </c>
      <c r="AS89" s="4" t="e">
        <f ca="1">As_lado(ESF[[#This Row],[nE]],ESF[[#This Row],[Nsd (kN)]],ESF[[#This Row],[d (cm)]],ESF[[#This Row],[e (cm)]],ESF[[#This Row],[ap,eq (cm)]])</f>
        <v>#VALUE!</v>
      </c>
      <c r="AT89" s="4" t="e">
        <f ca="1">IF(ESF[[#This Row],[nE]]=1,ESF[[#This Row],[As,lado (cm²)]],IF(ESF[[#This Row],[nE]]=2,0.075*2*ESF[a (cm)],"N.A."))</f>
        <v>#DIV/0!</v>
      </c>
      <c r="AU89" s="4" t="str">
        <f ca="1">IFERROR(IF(ESF[[#This Row],[nE]]=1,"N.A.",0.2*ESF[[#This Row],[As,lado (cm²)]]),"N.S.")</f>
        <v>N.S.</v>
      </c>
      <c r="AV89" s="4" t="e">
        <f ca="1">As_malha(ESF[[#This Row],[nE]],ESF[[#This Row],[As,lado (cm²)]],ESF[[#This Row],[Nsd (kN)]])</f>
        <v>#VALUE!</v>
      </c>
      <c r="AW89" s="4" t="e">
        <f ca="1">As_susp_tot(ESF[[#This Row],[nE]],ESF[[#This Row],[Nsd (kN)]])</f>
        <v>#VALUE!</v>
      </c>
      <c r="AX89" s="4" t="e">
        <f ca="1">Asp_face(ESF[[#This Row],[nE]],ESF[[#This Row],[As,lado (cm²)]])</f>
        <v>#VALUE!</v>
      </c>
      <c r="AY89" s="5" t="e">
        <f ca="1">acoBloco(ESF[[#This Row],[nE]],ESF[[#This Row],[e (cm)]],ESF[[#This Row],[a (cm)]],ESF[[#This Row],[h (cm)]],ESF[[#This Row],[As,lado (cm²)]],ESF[[#This Row],[Asp e Asw (cm²/m)]],ESF[[#This Row],[As,sup (cm²)]],ESF[[#This Row],[As,malha (cm²)]],ESF[[#This Row],[As,susp,tot (cm²)]],ESF[[#This Row],[Asp,face (cm²)]])</f>
        <v>#VALUE!</v>
      </c>
      <c r="AZ89" s="4" t="e">
        <f ca="1">concretoBloco(ESF[[#This Row],[nE]],ESF[[#This Row],[e (cm)]],ESF[[#This Row],[a (cm)]],ESF[[#This Row],[h (cm)]])</f>
        <v>#VALUE!</v>
      </c>
      <c r="BA89" s="5" t="e">
        <f ca="1">SUM(ESF[[#This Row],[Aço Est (kg)]],ESF[[#This Row],[Aço Bloco (kg)]])</f>
        <v>#DIV/0!</v>
      </c>
      <c r="BB89" s="4">
        <f>INDEX(composicoes[],MATCH(95580,composicoes[CÓDIGO],0),MATCH("CUSTO TOTAL",composicoes[#Headers],0))</f>
        <v>10.46</v>
      </c>
      <c r="BC89" s="4" t="e">
        <f ca="1">SUM(ESF[[#This Row],[Conc Est (m³)]],ESF[[#This Row],[Conc Bloco (m³)]])</f>
        <v>#DIV/0!</v>
      </c>
      <c r="BD89" s="4">
        <f>INDEX(composicoes[],MATCH(94966,composicoes[CÓDIGO],0),MATCH("CUSTO TOTAL",composicoes[#Headers],0))</f>
        <v>439.52</v>
      </c>
      <c r="BE89" s="38" t="e">
        <f ca="1">ESF[[#This Row],[Aço (kg)]]*ESF[[#This Row],[Aço (R$/kg)]]+ESF[[#This Row],[Conc (m³)]]*ESF[[#This Row],[Conc (R$/m³)]]</f>
        <v>#DIV/0!</v>
      </c>
      <c r="BF89" s="4" t="str">
        <f ca="1">IF(COUNTIF(ESF[#This Row],"N.S.")&gt;0,"lim.","OK")</f>
        <v>lim.</v>
      </c>
      <c r="BG89" s="4" t="str">
        <f>IF(ESF[[#This Row],[Prof. (m)]]&lt;3,"lim.","OK")</f>
        <v>lim.</v>
      </c>
      <c r="BH89" s="4" t="str">
        <f>IF(ESF[[#This Row],[Prof. (m)]]&gt;=8*ESF[[#This Row],[Ø (cm)]]/100,"OK","lim.")</f>
        <v>lim.</v>
      </c>
      <c r="BI89" s="4" t="str">
        <f>IF(AND(SPT!$F$3&lt;&gt;"",ESF[[#This Row],[Prof. (m)]]&gt;=SPT!$F$3),"lim.","OK")</f>
        <v>OK</v>
      </c>
      <c r="BJ89" s="4" t="str">
        <f>IF(COUNTIFS(ESF[Solo],"Areia",ESF[Prof. (m)],"&lt;="&amp;ESF[[#This Row],[Prof. (m)]])&gt;=1,"lim.","OK")</f>
        <v>OK</v>
      </c>
      <c r="BK89" s="4" t="str">
        <f ca="1">IF(ESF[[#This Row],[Verif. Biela]]="OK","OK","lim.")</f>
        <v>OK</v>
      </c>
      <c r="BL89" s="4" t="str">
        <f ca="1">IF(COUNTA(ESF[[#This Row],[Nº Est.]:[Biela comp.]])=COUNTIF(ESF[[#This Row],[Nº Est.]:[Biela comp.]],"OK"),"OK","lim.")</f>
        <v>lim.</v>
      </c>
      <c r="BM89" s="4" t="str">
        <f ca="1">IF(ESF[[#This Row],[Controle]]="OK",ESF[[#This Row],[nE]]&amp;" Ø"&amp;ESF[[#This Row],[Ø (cm)]]&amp;"cm Prof. "&amp;ESF[[#This Row],[Prof. (m)]]&amp;" m","")</f>
        <v/>
      </c>
      <c r="BN89" s="4" t="str">
        <f ca="1">IF(ESF[[#This Row],[idDimensionamento]]="","",ESF[[#This Row],[idPilar]]&amp;ESF[[#This Row],[idDimensionamento]])</f>
        <v/>
      </c>
    </row>
    <row r="90" spans="2:66" x14ac:dyDescent="0.25">
      <c r="B90" s="12">
        <f>ROUNDUP((ROW(ESF[[#This Row],[idDiâmetro]])-ROW(ESF[[#Headers],[idDiâmetro]]))/(COUNT(SPT[Prof. (m)])*COUNT(PILARES[Pilar])),0)</f>
        <v>4</v>
      </c>
      <c r="C90" s="12">
        <f>IF(ESF[[#This Row],[idDiâmetro]]&lt;&gt;B89,1,IF(ESF[[#This Row],[Prof. (m)]]=0,C89+1,C89))</f>
        <v>1</v>
      </c>
      <c r="D90" s="1">
        <f>IFERROR(IF(D89=MAX(SPT[Prof. (m)]),0,D89+1),0)</f>
        <v>1</v>
      </c>
      <c r="E90" s="1">
        <f>INDEX(SPT[],MATCH(ESF[[#This Row],[Prof. (m)]],SPT[Prof. (m)],0),2)</f>
        <v>2</v>
      </c>
      <c r="F90" s="1" t="str">
        <f>INDEX(SPT[],MATCH(ESF[[#This Row],[Prof. (m)]],SPT[Prof. (m)],0),3)</f>
        <v>Areia siltosa</v>
      </c>
      <c r="G90" s="1">
        <f>INDEX(estacas[],ESF[[#This Row],[idDiâmetro]],MATCH($B$2,estacas[#Headers],0))</f>
        <v>40</v>
      </c>
      <c r="H90" s="1">
        <f>INDEX(estacas[],MATCH(ESF[[#This Row],[Ø (cm)]],estacas[Ø ESF (cm)],0),MATCH(ESF[[#Headers],[Pe ESF (kN)]],estacas[#Headers],0))</f>
        <v>640</v>
      </c>
      <c r="I90" s="4">
        <f>INDEX(K_alpha_C[],MATCH(ESF[[#This Row],[Solo]],K_alpha_C[Solo],0),2)</f>
        <v>0.8</v>
      </c>
      <c r="J90" s="5">
        <f>INDEX(K_alpha_C[],MATCH(ESF[[#This Row],[Solo]],K_alpha_C[Solo],0),3)</f>
        <v>2</v>
      </c>
      <c r="K90" s="4">
        <f>INDEX(F1_F2[],MATCH($D$2,F1_F2[Tipo de estaca],0),2)</f>
        <v>3</v>
      </c>
      <c r="L90" s="4">
        <f>INDEX(F1_F2[],MATCH($D$2,F1_F2[Tipo de estaca],0),3)</f>
        <v>6</v>
      </c>
      <c r="M90" s="4">
        <f>PI()*(ESF[[#This Row],[Ø (cm)]]/100)^2/4</f>
        <v>0.12566370614359174</v>
      </c>
      <c r="N90" s="4">
        <f>PI()*ESF[[#This Row],[Ø (cm)]]/100</f>
        <v>1.2566370614359172</v>
      </c>
      <c r="O90" s="4">
        <f>IF(ESF[[#This Row],[Prof. (m)]]=0,0,ESF[[#This Row],[α (%)]]/100*ESF[[#This Row],[K (MPa)]]*1000*ESF[[#This Row],[NSPT]])</f>
        <v>32</v>
      </c>
      <c r="P90" s="4">
        <f>IF(ESF[[#This Row],[Prof. (m)]]=0,0,(ESF[[#This Row],[K (MPa)]]*1000*ESF[[#This Row],[NSPT]]/ESF[[#This Row],[F1]]*ESF[[#This Row],[Ap (m²)]]+ESF[[#This Row],[U (m)]]/ESF[[#This Row],[F2]]*SUMIFS(ESF[(α∙K∙NL∙ΔL)],ESF[Prof. (m)],"&lt;="&amp;ESF[[#This Row],[Prof. (m)]],ESF[idDiâmetro],ESF[[#This Row],[idDiâmetro]],ESF[idPilar],ESF[[#This Row],[idPilar]]))/'DADOS CAP. CARGA'!$D$2)</f>
        <v>36.861353802120242</v>
      </c>
      <c r="Q90" s="12">
        <f>INDEX(C_alpha_beta[],MATCH(ESF[[#This Row],[Solo]],C_alpha_beta[Solo],0),MATCH(ESF[[#Headers],[C (kPa)]],C_alpha_beta[#Headers],0))</f>
        <v>400</v>
      </c>
      <c r="R90" s="4">
        <f>INDEX(C_alpha_beta[],MATCH(ESF[[#This Row],[Solo]],C_alpha_beta[Solo],0),MATCH(ESF[[#Headers],[α ESF]],C_alpha_beta[#Headers],0))</f>
        <v>0.5</v>
      </c>
      <c r="S90" s="4">
        <f>INDEX(C_alpha_beta[],MATCH(ESF[[#This Row],[Solo]],C_alpha_beta[Solo],0),MATCH(ESF[[#Headers],[β ESF]],C_alpha_beta[#Headers],0))</f>
        <v>0.5</v>
      </c>
      <c r="T90" s="4">
        <f>IF(ESF[[#This Row],[Prof. (m)]]=0,0,10*(ESF[[#This Row],[NSPT]]/3+1))</f>
        <v>16.666666666666664</v>
      </c>
      <c r="U90" s="4">
        <f>(ESF[[#This Row],[α ESF]]*ESF[[#This Row],[C (kPa)]]*ESF[[#This Row],[NSPT]]*ESF[[#This Row],[Ap (m²)]])/'DADOS CAP. CARGA'!$Q$2+(ESF[[#This Row],[β ESF]]*SUMIFS(ESF[10∙(NL/3+1)],ESF[Prof. (m)],"&lt;="&amp;ESF[[#This Row],[Prof. (m)]],ESF[idDiâmetro],ESF[[#This Row],[idDiâmetro]],ESF[idPilar],ESF[[#This Row],[idPilar]])*ESF[[#This Row],[U (m)]])/'DADOS CAP. CARGA'!$S$2</f>
        <v>17.802358370342162</v>
      </c>
      <c r="V90" s="4">
        <f>IF(SPT!$M$5=1,MIN(ESF[[#This Row],[Pe ESF (kN)]],ESF[[#This Row],[R_AV (kN)]]),IF(SPT!$M$5=2,MIN(ESF[[#This Row],[Pe ESF (kN)]],ESF[[#This Row],[R_DC (kN)]]),MIN(ESF[[#This Row],[Pe ESF (kN)]],ESF[[#This Row],[R_AV (kN)]],ESF[[#This Row],[R_DC (kN)]])))</f>
        <v>17.802358370342162</v>
      </c>
      <c r="W90" s="4">
        <f>INDEX(PILARES[],ESF[[#This Row],[idPilar]],MATCH("Carga (kN)",PILARES[#Headers],0))*1.4</f>
        <v>3500</v>
      </c>
      <c r="X90" s="12">
        <f>INDEX(PILARES[],ESF[[#This Row],[idPilar]],MATCH(ESF[[#Headers],[ap (cm)]],PILARES[#Headers],0))</f>
        <v>60</v>
      </c>
      <c r="Y90" s="12">
        <f>INDEX(PILARES[],ESF[[#This Row],[idPilar]],MATCH(ESF[[#Headers],[bp (cm)]],PILARES[#Headers],0))</f>
        <v>60</v>
      </c>
      <c r="Z90" s="4">
        <f>SQRT(ESF[[#This Row],[ap (cm)]]*ESF[[#This Row],[bp (cm)]])</f>
        <v>60</v>
      </c>
      <c r="AA90" s="12">
        <f>ESF[[#This Row],[ap (cm)]]*ESF[[#This Row],[bp (cm)]]</f>
        <v>3600</v>
      </c>
      <c r="AB90" s="12">
        <f ca="1">IF(ESF[[#This Row],[Padm∙ε (kN)]]&gt;=ESF[[#This Row],[Padm (kN)]],ROUNDUP(1.05*ESF[[#This Row],[Nsd (kN)]]/ESF[[#This Row],[Padm (kN)]],0),ROUNDUP(1.05*ESF[[#This Row],[Nsd (kN)]]/ESF[[#This Row],[Padm (kN)]],0)+1)</f>
        <v>207</v>
      </c>
      <c r="AC90" s="4" t="str">
        <f ca="1">IFERROR(IF(ESF[[#This Row],[nE]]=1,ESF[[#This Row],[Padm (kN)]],ESF[[#This Row],[Padm (kN)]]*ESF[[#This Row],[nE]]*INDEX(grupoEstacas[],ESF[[#This Row],[nE]],MATCH("ε",grupoEstacas[#Headers],0))),"N.S.")</f>
        <v>N.S.</v>
      </c>
      <c r="AD90" s="4">
        <f ca="1">1.05*ESF[[#This Row],[Nsd (kN)]]/(ESF[[#This Row],[nE]]*PI()*ESF[[#This Row],[Ø (cm)]]^2/4)*10</f>
        <v>0.14127884441128394</v>
      </c>
      <c r="AE90" s="4">
        <f ca="1">IF(ESF[[#This Row],[σ (MPa)]]&lt;INDEX(tipoEstaca[],MATCH($D$2,tipoEstaca[TIPO DE ESTACA],0),MATCH("σmáx (MPa)",tipoEstaca[#Headers],0)),0.4%*PI()*ESF[[#This Row],[Ø (cm)]]^2/4,"N.S.")</f>
        <v>5.026548245743669</v>
      </c>
      <c r="AF90" s="1">
        <f>INDEX(tipoEstaca[],MATCH($D$2,tipoEstaca[TIPO DE ESTACA],0),MATCH(ESF[[#Headers],[Comprimento (m)]],tipoEstaca[#Headers],0))</f>
        <v>2</v>
      </c>
      <c r="AG90" s="5">
        <f ca="1">ESF[[#This Row],[As,mín (cm²)]]/100^2*ESF[[#This Row],[Comprimento (m)]]*7850</f>
        <v>7.8916807458175597</v>
      </c>
      <c r="AH90" s="4">
        <f ca="1">ESF[[#This Row],[nE]]*ESF[[#This Row],[Prof. (m)]]*ESF[[#This Row],[Ap (m²)]]</f>
        <v>26.012387171723489</v>
      </c>
      <c r="AI90" s="1">
        <f ca="1">IF(ESF[[#This Row],[nE]]=1,0,MAX(3*ESF[[#This Row],[Ø (cm)]],60))</f>
        <v>120</v>
      </c>
      <c r="AJ90" s="1">
        <f ca="1">IF(ESF[[#This Row],[nE]]=1,ESF[[#This Row],[Ø (cm)]]+2*10,MAX(1.5*ESF[[#This Row],[Ø (cm)]],ESF[[#This Row],[Ø (cm)]]+15))</f>
        <v>60</v>
      </c>
      <c r="AK90" s="1" t="str">
        <f ca="1">alturaUtil(ESF[[#This Row],[nE]],ESF[[#This Row],[Ø (cm)]],ESF[[#This Row],[e (cm)]],ESF[[#This Row],[ap,eq (cm)]])</f>
        <v>N.S.</v>
      </c>
      <c r="AL90" s="1" t="str">
        <f ca="1">IFERROR(ESF[[#This Row],[d (cm)]]+arredondarParaCimaMultiplo5cm(MAX(5,SQRT(PI())/2*ESF[[#This Row],[Ø (cm)]]/5)),"N.S.")</f>
        <v>N.S.</v>
      </c>
      <c r="AM90" s="5" t="str">
        <f ca="1">alpha(ESF[[#This Row],[nE]],ESF[[#This Row],[d (cm)]],ESF[[#This Row],[e (cm)]],ESF[[#This Row],[ap,eq (cm)]])</f>
        <v>N.S.</v>
      </c>
      <c r="AN90" s="35" t="str">
        <f ca="1">IFERROR(ESF[[#This Row],[Nsd (kN)]]/(ESF[[#This Row],[Ap (cm²)]]*SIN(ESF[[#This Row],[α]])^2),"N.S.")</f>
        <v>N.S.</v>
      </c>
      <c r="AO90" s="35" t="str">
        <f ca="1">IFERROR(ESF[[#This Row],[Nsd (kN)]]/(ESF[[#This Row],[nE]]*PI()*ESF[[#This Row],[Ø (cm)]]^2/4*SIN(ESF[[#This Row],[α]])^2),"N.S.")</f>
        <v>N.S.</v>
      </c>
      <c r="AP90" s="4" t="str">
        <f ca="1">IFERROR(INDEX(grupoEstacas[],ESF[[#This Row],[nE]],MATCH("coef. Blévot",grupoEstacas[#Headers],0)),"N.S.")</f>
        <v>N.S.</v>
      </c>
      <c r="AQ90" s="35" t="str">
        <f ca="1">IFERROR(ESF[[#This Row],[coef. Blévot]]*0.9*INDEX(tipoEstaca[],MATCH($D$2,tipoEstaca[TIPO DE ESTACA],0),MATCH("fcd (kN/cm²)",tipoEstaca[#Headers],0)),"N.S.")</f>
        <v>N.S.</v>
      </c>
      <c r="AR90" s="1" t="str">
        <f ca="1">IF(AND(ESF[[#This Row],[cd,b,pil (kN/cm²)]]&lt;=ESF[[#This Row],[cd,b,lim (kN/cm²)]],ESF[[#This Row],[cd,b,est (kN/cm²)]]&lt;=ESF[[#This Row],[cd,b,lim (kN/cm²)]]),"OK","ERRO")</f>
        <v>OK</v>
      </c>
      <c r="AS90" s="4" t="str">
        <f ca="1">As_lado(ESF[[#This Row],[nE]],ESF[[#This Row],[Nsd (kN)]],ESF[[#This Row],[d (cm)]],ESF[[#This Row],[e (cm)]],ESF[[#This Row],[ap,eq (cm)]])</f>
        <v>N.S.</v>
      </c>
      <c r="AT90" s="4" t="str">
        <f ca="1">IF(ESF[[#This Row],[nE]]=1,ESF[[#This Row],[As,lado (cm²)]],IF(ESF[[#This Row],[nE]]=2,0.075*2*ESF[a (cm)],"N.A."))</f>
        <v>N.A.</v>
      </c>
      <c r="AU90" s="4" t="str">
        <f ca="1">IFERROR(IF(ESF[[#This Row],[nE]]=1,"N.A.",0.2*ESF[[#This Row],[As,lado (cm²)]]),"N.S.")</f>
        <v>N.S.</v>
      </c>
      <c r="AV90" s="4" t="str">
        <f ca="1">As_malha(ESF[[#This Row],[nE]],ESF[[#This Row],[As,lado (cm²)]],ESF[[#This Row],[Nsd (kN)]])</f>
        <v>N.S.</v>
      </c>
      <c r="AW90" s="4" t="str">
        <f ca="1">As_susp_tot(ESF[[#This Row],[nE]],ESF[[#This Row],[Nsd (kN)]])</f>
        <v>N.S.</v>
      </c>
      <c r="AX90" s="4" t="str">
        <f ca="1">Asp_face(ESF[[#This Row],[nE]],ESF[[#This Row],[As,lado (cm²)]])</f>
        <v>N.S.</v>
      </c>
      <c r="AY90" s="5" t="str">
        <f ca="1">acoBloco(ESF[[#This Row],[nE]],ESF[[#This Row],[e (cm)]],ESF[[#This Row],[a (cm)]],ESF[[#This Row],[h (cm)]],ESF[[#This Row],[As,lado (cm²)]],ESF[[#This Row],[Asp e Asw (cm²/m)]],ESF[[#This Row],[As,sup (cm²)]],ESF[[#This Row],[As,malha (cm²)]],ESF[[#This Row],[As,susp,tot (cm²)]],ESF[[#This Row],[Asp,face (cm²)]])</f>
        <v>N.S.</v>
      </c>
      <c r="AZ90" s="4" t="str">
        <f ca="1">concretoBloco(ESF[[#This Row],[nE]],ESF[[#This Row],[e (cm)]],ESF[[#This Row],[a (cm)]],ESF[[#This Row],[h (cm)]])</f>
        <v>N.S.</v>
      </c>
      <c r="BA90" s="5">
        <f ca="1">SUM(ESF[[#This Row],[Aço Est (kg)]],ESF[[#This Row],[Aço Bloco (kg)]])</f>
        <v>7.8916807458175597</v>
      </c>
      <c r="BB90" s="4">
        <f>INDEX(composicoes[],MATCH(95580,composicoes[CÓDIGO],0),MATCH("CUSTO TOTAL",composicoes[#Headers],0))</f>
        <v>10.46</v>
      </c>
      <c r="BC90" s="4">
        <f ca="1">SUM(ESF[[#This Row],[Conc Est (m³)]],ESF[[#This Row],[Conc Bloco (m³)]])</f>
        <v>26.012387171723489</v>
      </c>
      <c r="BD90" s="4">
        <f>INDEX(composicoes[],MATCH(94966,composicoes[CÓDIGO],0),MATCH("CUSTO TOTAL",composicoes[#Headers],0))</f>
        <v>439.52</v>
      </c>
      <c r="BE90" s="38">
        <f ca="1">ESF[[#This Row],[Aço (kg)]]*ESF[[#This Row],[Aço (R$/kg)]]+ESF[[#This Row],[Conc (m³)]]*ESF[[#This Row],[Conc (R$/m³)]]</f>
        <v>11515.511390317159</v>
      </c>
      <c r="BF90" s="4" t="str">
        <f ca="1">IF(COUNTIF(ESF[#This Row],"N.S.")&gt;0,"lim.","OK")</f>
        <v>lim.</v>
      </c>
      <c r="BG90" s="4" t="str">
        <f>IF(ESF[[#This Row],[Prof. (m)]]&lt;3,"lim.","OK")</f>
        <v>lim.</v>
      </c>
      <c r="BH90" s="4" t="str">
        <f>IF(ESF[[#This Row],[Prof. (m)]]&gt;=8*ESF[[#This Row],[Ø (cm)]]/100,"OK","lim.")</f>
        <v>lim.</v>
      </c>
      <c r="BI90" s="4" t="str">
        <f>IF(AND(SPT!$F$3&lt;&gt;"",ESF[[#This Row],[Prof. (m)]]&gt;=SPT!$F$3),"lim.","OK")</f>
        <v>OK</v>
      </c>
      <c r="BJ90" s="4" t="str">
        <f>IF(COUNTIFS(ESF[Solo],"Areia",ESF[Prof. (m)],"&lt;="&amp;ESF[[#This Row],[Prof. (m)]])&gt;=1,"lim.","OK")</f>
        <v>OK</v>
      </c>
      <c r="BK90" s="4" t="str">
        <f ca="1">IF(ESF[[#This Row],[Verif. Biela]]="OK","OK","lim.")</f>
        <v>OK</v>
      </c>
      <c r="BL90" s="4" t="str">
        <f ca="1">IF(COUNTA(ESF[[#This Row],[Nº Est.]:[Biela comp.]])=COUNTIF(ESF[[#This Row],[Nº Est.]:[Biela comp.]],"OK"),"OK","lim.")</f>
        <v>lim.</v>
      </c>
      <c r="BM90" s="4" t="str">
        <f ca="1">IF(ESF[[#This Row],[Controle]]="OK",ESF[[#This Row],[nE]]&amp;" Ø"&amp;ESF[[#This Row],[Ø (cm)]]&amp;"cm Prof. "&amp;ESF[[#This Row],[Prof. (m)]]&amp;" m","")</f>
        <v/>
      </c>
      <c r="BN90" s="4" t="str">
        <f ca="1">IF(ESF[[#This Row],[idDimensionamento]]="","",ESF[[#This Row],[idPilar]]&amp;ESF[[#This Row],[idDimensionamento]])</f>
        <v/>
      </c>
    </row>
    <row r="91" spans="2:66" x14ac:dyDescent="0.25">
      <c r="B91" s="12">
        <f>ROUNDUP((ROW(ESF[[#This Row],[idDiâmetro]])-ROW(ESF[[#Headers],[idDiâmetro]]))/(COUNT(SPT[Prof. (m)])*COUNT(PILARES[Pilar])),0)</f>
        <v>4</v>
      </c>
      <c r="C91" s="12">
        <f>IF(ESF[[#This Row],[idDiâmetro]]&lt;&gt;B90,1,IF(ESF[[#This Row],[Prof. (m)]]=0,C90+1,C90))</f>
        <v>1</v>
      </c>
      <c r="D91" s="1">
        <f>IFERROR(IF(D90=MAX(SPT[Prof. (m)]),0,D90+1),0)</f>
        <v>2</v>
      </c>
      <c r="E91" s="1">
        <f>INDEX(SPT[],MATCH(ESF[[#This Row],[Prof. (m)]],SPT[Prof. (m)],0),2)</f>
        <v>2</v>
      </c>
      <c r="F91" s="1" t="str">
        <f>INDEX(SPT[],MATCH(ESF[[#This Row],[Prof. (m)]],SPT[Prof. (m)],0),3)</f>
        <v>Areia siltosa</v>
      </c>
      <c r="G91" s="1">
        <f>INDEX(estacas[],ESF[[#This Row],[idDiâmetro]],MATCH($B$2,estacas[#Headers],0))</f>
        <v>40</v>
      </c>
      <c r="H91" s="1">
        <f>INDEX(estacas[],MATCH(ESF[[#This Row],[Ø (cm)]],estacas[Ø ESF (cm)],0),MATCH(ESF[[#Headers],[Pe ESF (kN)]],estacas[#Headers],0))</f>
        <v>640</v>
      </c>
      <c r="I91" s="4">
        <f>INDEX(K_alpha_C[],MATCH(ESF[[#This Row],[Solo]],K_alpha_C[Solo],0),2)</f>
        <v>0.8</v>
      </c>
      <c r="J91" s="5">
        <f>INDEX(K_alpha_C[],MATCH(ESF[[#This Row],[Solo]],K_alpha_C[Solo],0),3)</f>
        <v>2</v>
      </c>
      <c r="K91" s="4">
        <f>INDEX(F1_F2[],MATCH($D$2,F1_F2[Tipo de estaca],0),2)</f>
        <v>3</v>
      </c>
      <c r="L91" s="4">
        <f>INDEX(F1_F2[],MATCH($D$2,F1_F2[Tipo de estaca],0),3)</f>
        <v>6</v>
      </c>
      <c r="M91" s="4">
        <f>PI()*(ESF[[#This Row],[Ø (cm)]]/100)^2/4</f>
        <v>0.12566370614359174</v>
      </c>
      <c r="N91" s="4">
        <f>PI()*ESF[[#This Row],[Ø (cm)]]/100</f>
        <v>1.2566370614359172</v>
      </c>
      <c r="O91" s="4">
        <f>IF(ESF[[#This Row],[Prof. (m)]]=0,0,ESF[[#This Row],[α (%)]]/100*ESF[[#This Row],[K (MPa)]]*1000*ESF[[#This Row],[NSPT]])</f>
        <v>32</v>
      </c>
      <c r="P91" s="4">
        <f>IF(ESF[[#This Row],[Prof. (m)]]=0,0,(ESF[[#This Row],[K (MPa)]]*1000*ESF[[#This Row],[NSPT]]/ESF[[#This Row],[F1]]*ESF[[#This Row],[Ap (m²)]]+ESF[[#This Row],[U (m)]]/ESF[[#This Row],[F2]]*SUMIFS(ESF[(α∙K∙NL∙ΔL)],ESF[Prof. (m)],"&lt;="&amp;ESF[[#This Row],[Prof. (m)]],ESF[idDiâmetro],ESF[[#This Row],[idDiâmetro]],ESF[idPilar],ESF[[#This Row],[idPilar]]))/'DADOS CAP. CARGA'!$D$2)</f>
        <v>40.212385965949359</v>
      </c>
      <c r="Q91" s="12">
        <f>INDEX(C_alpha_beta[],MATCH(ESF[[#This Row],[Solo]],C_alpha_beta[Solo],0),MATCH(ESF[[#Headers],[C (kPa)]],C_alpha_beta[#Headers],0))</f>
        <v>400</v>
      </c>
      <c r="R91" s="4">
        <f>INDEX(C_alpha_beta[],MATCH(ESF[[#This Row],[Solo]],C_alpha_beta[Solo],0),MATCH(ESF[[#Headers],[α ESF]],C_alpha_beta[#Headers],0))</f>
        <v>0.5</v>
      </c>
      <c r="S91" s="4">
        <f>INDEX(C_alpha_beta[],MATCH(ESF[[#This Row],[Solo]],C_alpha_beta[Solo],0),MATCH(ESF[[#Headers],[β ESF]],C_alpha_beta[#Headers],0))</f>
        <v>0.5</v>
      </c>
      <c r="T91" s="4">
        <f>IF(ESF[[#This Row],[Prof. (m)]]=0,0,10*(ESF[[#This Row],[NSPT]]/3+1))</f>
        <v>16.666666666666664</v>
      </c>
      <c r="U91" s="4">
        <f>(ESF[[#This Row],[α ESF]]*ESF[[#This Row],[C (kPa)]]*ESF[[#This Row],[NSPT]]*ESF[[#This Row],[Ap (m²)]])/'DADOS CAP. CARGA'!$Q$2+(ESF[[#This Row],[β ESF]]*SUMIFS(ESF[10∙(NL/3+1)],ESF[Prof. (m)],"&lt;="&amp;ESF[[#This Row],[Prof. (m)]],ESF[idDiâmetro],ESF[[#This Row],[idDiâmetro]],ESF[idPilar],ESF[[#This Row],[idPilar]])*ESF[[#This Row],[U (m)]])/'DADOS CAP. CARGA'!$S$2</f>
        <v>23.038346126325152</v>
      </c>
      <c r="V91" s="4">
        <f>IF(SPT!$M$5=1,MIN(ESF[[#This Row],[Pe ESF (kN)]],ESF[[#This Row],[R_AV (kN)]]),IF(SPT!$M$5=2,MIN(ESF[[#This Row],[Pe ESF (kN)]],ESF[[#This Row],[R_DC (kN)]]),MIN(ESF[[#This Row],[Pe ESF (kN)]],ESF[[#This Row],[R_AV (kN)]],ESF[[#This Row],[R_DC (kN)]])))</f>
        <v>23.038346126325152</v>
      </c>
      <c r="W91" s="4">
        <f>INDEX(PILARES[],ESF[[#This Row],[idPilar]],MATCH("Carga (kN)",PILARES[#Headers],0))*1.4</f>
        <v>3500</v>
      </c>
      <c r="X91" s="12">
        <f>INDEX(PILARES[],ESF[[#This Row],[idPilar]],MATCH(ESF[[#Headers],[ap (cm)]],PILARES[#Headers],0))</f>
        <v>60</v>
      </c>
      <c r="Y91" s="12">
        <f>INDEX(PILARES[],ESF[[#This Row],[idPilar]],MATCH(ESF[[#Headers],[bp (cm)]],PILARES[#Headers],0))</f>
        <v>60</v>
      </c>
      <c r="Z91" s="4">
        <f>SQRT(ESF[[#This Row],[ap (cm)]]*ESF[[#This Row],[bp (cm)]])</f>
        <v>60</v>
      </c>
      <c r="AA91" s="12">
        <f>ESF[[#This Row],[ap (cm)]]*ESF[[#This Row],[bp (cm)]]</f>
        <v>3600</v>
      </c>
      <c r="AB91" s="12">
        <f ca="1">IF(ESF[[#This Row],[Padm∙ε (kN)]]&gt;=ESF[[#This Row],[Padm (kN)]],ROUNDUP(1.05*ESF[[#This Row],[Nsd (kN)]]/ESF[[#This Row],[Padm (kN)]],0),ROUNDUP(1.05*ESF[[#This Row],[Nsd (kN)]]/ESF[[#This Row],[Padm (kN)]],0)+1)</f>
        <v>160</v>
      </c>
      <c r="AC91" s="4" t="str">
        <f ca="1">IFERROR(IF(ESF[[#This Row],[nE]]=1,ESF[[#This Row],[Padm (kN)]],ESF[[#This Row],[Padm (kN)]]*ESF[[#This Row],[nE]]*INDEX(grupoEstacas[],ESF[[#This Row],[nE]],MATCH("ε",grupoEstacas[#Headers],0))),"N.S.")</f>
        <v>N.S.</v>
      </c>
      <c r="AD91" s="4">
        <f ca="1">1.05*ESF[[#This Row],[Nsd (kN)]]/(ESF[[#This Row],[nE]]*PI()*ESF[[#This Row],[Ø (cm)]]^2/4)*10</f>
        <v>0.18277950495709855</v>
      </c>
      <c r="AE91" s="4">
        <f ca="1">IF(ESF[[#This Row],[σ (MPa)]]&lt;INDEX(tipoEstaca[],MATCH($D$2,tipoEstaca[TIPO DE ESTACA],0),MATCH("σmáx (MPa)",tipoEstaca[#Headers],0)),0.4%*PI()*ESF[[#This Row],[Ø (cm)]]^2/4,"N.S.")</f>
        <v>5.026548245743669</v>
      </c>
      <c r="AF91" s="1">
        <f>INDEX(tipoEstaca[],MATCH($D$2,tipoEstaca[TIPO DE ESTACA],0),MATCH(ESF[[#Headers],[Comprimento (m)]],tipoEstaca[#Headers],0))</f>
        <v>2</v>
      </c>
      <c r="AG91" s="5">
        <f ca="1">ESF[[#This Row],[As,mín (cm²)]]/100^2*ESF[[#This Row],[Comprimento (m)]]*7850</f>
        <v>7.8916807458175597</v>
      </c>
      <c r="AH91" s="4">
        <f ca="1">ESF[[#This Row],[nE]]*ESF[[#This Row],[Prof. (m)]]*ESF[[#This Row],[Ap (m²)]]</f>
        <v>40.212385965949352</v>
      </c>
      <c r="AI91" s="1">
        <f ca="1">IF(ESF[[#This Row],[nE]]=1,0,MAX(3*ESF[[#This Row],[Ø (cm)]],60))</f>
        <v>120</v>
      </c>
      <c r="AJ91" s="1">
        <f ca="1">IF(ESF[[#This Row],[nE]]=1,ESF[[#This Row],[Ø (cm)]]+2*10,MAX(1.5*ESF[[#This Row],[Ø (cm)]],ESF[[#This Row],[Ø (cm)]]+15))</f>
        <v>60</v>
      </c>
      <c r="AK91" s="1" t="str">
        <f ca="1">alturaUtil(ESF[[#This Row],[nE]],ESF[[#This Row],[Ø (cm)]],ESF[[#This Row],[e (cm)]],ESF[[#This Row],[ap,eq (cm)]])</f>
        <v>N.S.</v>
      </c>
      <c r="AL91" s="1" t="str">
        <f ca="1">IFERROR(ESF[[#This Row],[d (cm)]]+arredondarParaCimaMultiplo5cm(MAX(5,SQRT(PI())/2*ESF[[#This Row],[Ø (cm)]]/5)),"N.S.")</f>
        <v>N.S.</v>
      </c>
      <c r="AM91" s="5" t="str">
        <f ca="1">alpha(ESF[[#This Row],[nE]],ESF[[#This Row],[d (cm)]],ESF[[#This Row],[e (cm)]],ESF[[#This Row],[ap,eq (cm)]])</f>
        <v>N.S.</v>
      </c>
      <c r="AN91" s="35" t="str">
        <f ca="1">IFERROR(ESF[[#This Row],[Nsd (kN)]]/(ESF[[#This Row],[Ap (cm²)]]*SIN(ESF[[#This Row],[α]])^2),"N.S.")</f>
        <v>N.S.</v>
      </c>
      <c r="AO91" s="35" t="str">
        <f ca="1">IFERROR(ESF[[#This Row],[Nsd (kN)]]/(ESF[[#This Row],[nE]]*PI()*ESF[[#This Row],[Ø (cm)]]^2/4*SIN(ESF[[#This Row],[α]])^2),"N.S.")</f>
        <v>N.S.</v>
      </c>
      <c r="AP91" s="4" t="str">
        <f ca="1">IFERROR(INDEX(grupoEstacas[],ESF[[#This Row],[nE]],MATCH("coef. Blévot",grupoEstacas[#Headers],0)),"N.S.")</f>
        <v>N.S.</v>
      </c>
      <c r="AQ91" s="35" t="str">
        <f ca="1">IFERROR(ESF[[#This Row],[coef. Blévot]]*0.9*INDEX(tipoEstaca[],MATCH($D$2,tipoEstaca[TIPO DE ESTACA],0),MATCH("fcd (kN/cm²)",tipoEstaca[#Headers],0)),"N.S.")</f>
        <v>N.S.</v>
      </c>
      <c r="AR91" s="1" t="str">
        <f ca="1">IF(AND(ESF[[#This Row],[cd,b,pil (kN/cm²)]]&lt;=ESF[[#This Row],[cd,b,lim (kN/cm²)]],ESF[[#This Row],[cd,b,est (kN/cm²)]]&lt;=ESF[[#This Row],[cd,b,lim (kN/cm²)]]),"OK","ERRO")</f>
        <v>OK</v>
      </c>
      <c r="AS91" s="4" t="str">
        <f ca="1">As_lado(ESF[[#This Row],[nE]],ESF[[#This Row],[Nsd (kN)]],ESF[[#This Row],[d (cm)]],ESF[[#This Row],[e (cm)]],ESF[[#This Row],[ap,eq (cm)]])</f>
        <v>N.S.</v>
      </c>
      <c r="AT91" s="4" t="str">
        <f ca="1">IF(ESF[[#This Row],[nE]]=1,ESF[[#This Row],[As,lado (cm²)]],IF(ESF[[#This Row],[nE]]=2,0.075*2*ESF[a (cm)],"N.A."))</f>
        <v>N.A.</v>
      </c>
      <c r="AU91" s="4" t="str">
        <f ca="1">IFERROR(IF(ESF[[#This Row],[nE]]=1,"N.A.",0.2*ESF[[#This Row],[As,lado (cm²)]]),"N.S.")</f>
        <v>N.S.</v>
      </c>
      <c r="AV91" s="4" t="str">
        <f ca="1">As_malha(ESF[[#This Row],[nE]],ESF[[#This Row],[As,lado (cm²)]],ESF[[#This Row],[Nsd (kN)]])</f>
        <v>N.S.</v>
      </c>
      <c r="AW91" s="4" t="str">
        <f ca="1">As_susp_tot(ESF[[#This Row],[nE]],ESF[[#This Row],[Nsd (kN)]])</f>
        <v>N.S.</v>
      </c>
      <c r="AX91" s="4" t="str">
        <f ca="1">Asp_face(ESF[[#This Row],[nE]],ESF[[#This Row],[As,lado (cm²)]])</f>
        <v>N.S.</v>
      </c>
      <c r="AY91" s="5" t="str">
        <f ca="1">acoBloco(ESF[[#This Row],[nE]],ESF[[#This Row],[e (cm)]],ESF[[#This Row],[a (cm)]],ESF[[#This Row],[h (cm)]],ESF[[#This Row],[As,lado (cm²)]],ESF[[#This Row],[Asp e Asw (cm²/m)]],ESF[[#This Row],[As,sup (cm²)]],ESF[[#This Row],[As,malha (cm²)]],ESF[[#This Row],[As,susp,tot (cm²)]],ESF[[#This Row],[Asp,face (cm²)]])</f>
        <v>N.S.</v>
      </c>
      <c r="AZ91" s="4" t="str">
        <f ca="1">concretoBloco(ESF[[#This Row],[nE]],ESF[[#This Row],[e (cm)]],ESF[[#This Row],[a (cm)]],ESF[[#This Row],[h (cm)]])</f>
        <v>N.S.</v>
      </c>
      <c r="BA91" s="5">
        <f ca="1">SUM(ESF[[#This Row],[Aço Est (kg)]],ESF[[#This Row],[Aço Bloco (kg)]])</f>
        <v>7.8916807458175597</v>
      </c>
      <c r="BB91" s="4">
        <f>INDEX(composicoes[],MATCH(95580,composicoes[CÓDIGO],0),MATCH("CUSTO TOTAL",composicoes[#Headers],0))</f>
        <v>10.46</v>
      </c>
      <c r="BC91" s="4">
        <f ca="1">SUM(ESF[[#This Row],[Conc Est (m³)]],ESF[[#This Row],[Conc Bloco (m³)]])</f>
        <v>40.212385965949352</v>
      </c>
      <c r="BD91" s="4">
        <f>INDEX(composicoes[],MATCH(94966,composicoes[CÓDIGO],0),MATCH("CUSTO TOTAL",composicoes[#Headers],0))</f>
        <v>439.52</v>
      </c>
      <c r="BE91" s="38">
        <f ca="1">ESF[[#This Row],[Aço (kg)]]*ESF[[#This Row],[Aço (R$/kg)]]+ESF[[#This Row],[Conc (m³)]]*ESF[[#This Row],[Conc (R$/m³)]]</f>
        <v>17756.69486035531</v>
      </c>
      <c r="BF91" s="4" t="str">
        <f ca="1">IF(COUNTIF(ESF[#This Row],"N.S.")&gt;0,"lim.","OK")</f>
        <v>lim.</v>
      </c>
      <c r="BG91" s="4" t="str">
        <f>IF(ESF[[#This Row],[Prof. (m)]]&lt;3,"lim.","OK")</f>
        <v>lim.</v>
      </c>
      <c r="BH91" s="4" t="str">
        <f>IF(ESF[[#This Row],[Prof. (m)]]&gt;=8*ESF[[#This Row],[Ø (cm)]]/100,"OK","lim.")</f>
        <v>lim.</v>
      </c>
      <c r="BI91" s="4" t="str">
        <f>IF(AND(SPT!$F$3&lt;&gt;"",ESF[[#This Row],[Prof. (m)]]&gt;=SPT!$F$3),"lim.","OK")</f>
        <v>OK</v>
      </c>
      <c r="BJ91" s="4" t="str">
        <f>IF(COUNTIFS(ESF[Solo],"Areia",ESF[Prof. (m)],"&lt;="&amp;ESF[[#This Row],[Prof. (m)]])&gt;=1,"lim.","OK")</f>
        <v>OK</v>
      </c>
      <c r="BK91" s="4" t="str">
        <f ca="1">IF(ESF[[#This Row],[Verif. Biela]]="OK","OK","lim.")</f>
        <v>OK</v>
      </c>
      <c r="BL91" s="4" t="str">
        <f ca="1">IF(COUNTA(ESF[[#This Row],[Nº Est.]:[Biela comp.]])=COUNTIF(ESF[[#This Row],[Nº Est.]:[Biela comp.]],"OK"),"OK","lim.")</f>
        <v>lim.</v>
      </c>
      <c r="BM91" s="4" t="str">
        <f ca="1">IF(ESF[[#This Row],[Controle]]="OK",ESF[[#This Row],[nE]]&amp;" Ø"&amp;ESF[[#This Row],[Ø (cm)]]&amp;"cm Prof. "&amp;ESF[[#This Row],[Prof. (m)]]&amp;" m","")</f>
        <v/>
      </c>
      <c r="BN91" s="4" t="str">
        <f ca="1">IF(ESF[[#This Row],[idDimensionamento]]="","",ESF[[#This Row],[idPilar]]&amp;ESF[[#This Row],[idDimensionamento]])</f>
        <v/>
      </c>
    </row>
    <row r="92" spans="2:66" x14ac:dyDescent="0.25">
      <c r="B92" s="12">
        <f>ROUNDUP((ROW(ESF[[#This Row],[idDiâmetro]])-ROW(ESF[[#Headers],[idDiâmetro]]))/(COUNT(SPT[Prof. (m)])*COUNT(PILARES[Pilar])),0)</f>
        <v>4</v>
      </c>
      <c r="C92" s="12">
        <f>IF(ESF[[#This Row],[idDiâmetro]]&lt;&gt;B91,1,IF(ESF[[#This Row],[Prof. (m)]]=0,C91+1,C91))</f>
        <v>1</v>
      </c>
      <c r="D92" s="1">
        <f>IFERROR(IF(D91=MAX(SPT[Prof. (m)]),0,D91+1),0)</f>
        <v>3</v>
      </c>
      <c r="E92" s="1">
        <f>INDEX(SPT[],MATCH(ESF[[#This Row],[Prof. (m)]],SPT[Prof. (m)],0),2)</f>
        <v>4</v>
      </c>
      <c r="F92" s="1" t="str">
        <f>INDEX(SPT[],MATCH(ESF[[#This Row],[Prof. (m)]],SPT[Prof. (m)],0),3)</f>
        <v>Areia siltosa</v>
      </c>
      <c r="G92" s="1">
        <f>INDEX(estacas[],ESF[[#This Row],[idDiâmetro]],MATCH($B$2,estacas[#Headers],0))</f>
        <v>40</v>
      </c>
      <c r="H92" s="1">
        <f>INDEX(estacas[],MATCH(ESF[[#This Row],[Ø (cm)]],estacas[Ø ESF (cm)],0),MATCH(ESF[[#Headers],[Pe ESF (kN)]],estacas[#Headers],0))</f>
        <v>640</v>
      </c>
      <c r="I92" s="4">
        <f>INDEX(K_alpha_C[],MATCH(ESF[[#This Row],[Solo]],K_alpha_C[Solo],0),2)</f>
        <v>0.8</v>
      </c>
      <c r="J92" s="5">
        <f>INDEX(K_alpha_C[],MATCH(ESF[[#This Row],[Solo]],K_alpha_C[Solo],0),3)</f>
        <v>2</v>
      </c>
      <c r="K92" s="4">
        <f>INDEX(F1_F2[],MATCH($D$2,F1_F2[Tipo de estaca],0),2)</f>
        <v>3</v>
      </c>
      <c r="L92" s="4">
        <f>INDEX(F1_F2[],MATCH($D$2,F1_F2[Tipo de estaca],0),3)</f>
        <v>6</v>
      </c>
      <c r="M92" s="4">
        <f>PI()*(ESF[[#This Row],[Ø (cm)]]/100)^2/4</f>
        <v>0.12566370614359174</v>
      </c>
      <c r="N92" s="4">
        <f>PI()*ESF[[#This Row],[Ø (cm)]]/100</f>
        <v>1.2566370614359172</v>
      </c>
      <c r="O92" s="4">
        <f>IF(ESF[[#This Row],[Prof. (m)]]=0,0,ESF[[#This Row],[α (%)]]/100*ESF[[#This Row],[K (MPa)]]*1000*ESF[[#This Row],[NSPT]])</f>
        <v>64</v>
      </c>
      <c r="P92" s="4">
        <f>IF(ESF[[#This Row],[Prof. (m)]]=0,0,(ESF[[#This Row],[K (MPa)]]*1000*ESF[[#This Row],[NSPT]]/ESF[[#This Row],[F1]]*ESF[[#This Row],[Ap (m²)]]+ESF[[#This Row],[U (m)]]/ESF[[#This Row],[F2]]*SUMIFS(ESF[(α∙K∙NL∙ΔL)],ESF[Prof. (m)],"&lt;="&amp;ESF[[#This Row],[Prof. (m)]],ESF[idDiâmetro],ESF[[#This Row],[idDiâmetro]],ESF[idPilar],ESF[[#This Row],[idPilar]]))/'DADOS CAP. CARGA'!$D$2)</f>
        <v>80.424771931898718</v>
      </c>
      <c r="Q92" s="12">
        <f>INDEX(C_alpha_beta[],MATCH(ESF[[#This Row],[Solo]],C_alpha_beta[Solo],0),MATCH(ESF[[#Headers],[C (kPa)]],C_alpha_beta[#Headers],0))</f>
        <v>400</v>
      </c>
      <c r="R92" s="4">
        <f>INDEX(C_alpha_beta[],MATCH(ESF[[#This Row],[Solo]],C_alpha_beta[Solo],0),MATCH(ESF[[#Headers],[α ESF]],C_alpha_beta[#Headers],0))</f>
        <v>0.5</v>
      </c>
      <c r="S92" s="4">
        <f>INDEX(C_alpha_beta[],MATCH(ESF[[#This Row],[Solo]],C_alpha_beta[Solo],0),MATCH(ESF[[#Headers],[β ESF]],C_alpha_beta[#Headers],0))</f>
        <v>0.5</v>
      </c>
      <c r="T92" s="4">
        <f>IF(ESF[[#This Row],[Prof. (m)]]=0,0,10*(ESF[[#This Row],[NSPT]]/3+1))</f>
        <v>23.333333333333329</v>
      </c>
      <c r="U92" s="4">
        <f>(ESF[[#This Row],[α ESF]]*ESF[[#This Row],[C (kPa)]]*ESF[[#This Row],[NSPT]]*ESF[[#This Row],[Ap (m²)]])/'DADOS CAP. CARGA'!$Q$2+(ESF[[#This Row],[β ESF]]*SUMIFS(ESF[10∙(NL/3+1)],ESF[Prof. (m)],"&lt;="&amp;ESF[[#This Row],[Prof. (m)]],ESF[idDiâmetro],ESF[[#This Row],[idDiâmetro]],ESF[idPilar],ESF[[#This Row],[idPilar]])*ESF[[#This Row],[U (m)]])/'DADOS CAP. CARGA'!$S$2</f>
        <v>42.935099599060507</v>
      </c>
      <c r="V92" s="4">
        <f>IF(SPT!$M$5=1,MIN(ESF[[#This Row],[Pe ESF (kN)]],ESF[[#This Row],[R_AV (kN)]]),IF(SPT!$M$5=2,MIN(ESF[[#This Row],[Pe ESF (kN)]],ESF[[#This Row],[R_DC (kN)]]),MIN(ESF[[#This Row],[Pe ESF (kN)]],ESF[[#This Row],[R_AV (kN)]],ESF[[#This Row],[R_DC (kN)]])))</f>
        <v>42.935099599060507</v>
      </c>
      <c r="W92" s="4">
        <f>INDEX(PILARES[],ESF[[#This Row],[idPilar]],MATCH("Carga (kN)",PILARES[#Headers],0))*1.4</f>
        <v>3500</v>
      </c>
      <c r="X92" s="12">
        <f>INDEX(PILARES[],ESF[[#This Row],[idPilar]],MATCH(ESF[[#Headers],[ap (cm)]],PILARES[#Headers],0))</f>
        <v>60</v>
      </c>
      <c r="Y92" s="12">
        <f>INDEX(PILARES[],ESF[[#This Row],[idPilar]],MATCH(ESF[[#Headers],[bp (cm)]],PILARES[#Headers],0))</f>
        <v>60</v>
      </c>
      <c r="Z92" s="4">
        <f>SQRT(ESF[[#This Row],[ap (cm)]]*ESF[[#This Row],[bp (cm)]])</f>
        <v>60</v>
      </c>
      <c r="AA92" s="12">
        <f>ESF[[#This Row],[ap (cm)]]*ESF[[#This Row],[bp (cm)]]</f>
        <v>3600</v>
      </c>
      <c r="AB92" s="12">
        <f ca="1">IF(ESF[[#This Row],[Padm∙ε (kN)]]&gt;=ESF[[#This Row],[Padm (kN)]],ROUNDUP(1.05*ESF[[#This Row],[Nsd (kN)]]/ESF[[#This Row],[Padm (kN)]],0),ROUNDUP(1.05*ESF[[#This Row],[Nsd (kN)]]/ESF[[#This Row],[Padm (kN)]],0)+1)</f>
        <v>86</v>
      </c>
      <c r="AC92" s="4" t="str">
        <f ca="1">IFERROR(IF(ESF[[#This Row],[nE]]=1,ESF[[#This Row],[Padm (kN)]],ESF[[#This Row],[Padm (kN)]]*ESF[[#This Row],[nE]]*INDEX(grupoEstacas[],ESF[[#This Row],[nE]],MATCH("ε",grupoEstacas[#Headers],0))),"N.S.")</f>
        <v>N.S.</v>
      </c>
      <c r="AD92" s="4">
        <f ca="1">1.05*ESF[[#This Row],[Nsd (kN)]]/(ESF[[#This Row],[nE]]*PI()*ESF[[#This Row],[Ø (cm)]]^2/4)*10</f>
        <v>0.34005489294343916</v>
      </c>
      <c r="AE92" s="4">
        <f ca="1">IF(ESF[[#This Row],[σ (MPa)]]&lt;INDEX(tipoEstaca[],MATCH($D$2,tipoEstaca[TIPO DE ESTACA],0),MATCH("σmáx (MPa)",tipoEstaca[#Headers],0)),0.4%*PI()*ESF[[#This Row],[Ø (cm)]]^2/4,"N.S.")</f>
        <v>5.026548245743669</v>
      </c>
      <c r="AF92" s="1">
        <f>INDEX(tipoEstaca[],MATCH($D$2,tipoEstaca[TIPO DE ESTACA],0),MATCH(ESF[[#Headers],[Comprimento (m)]],tipoEstaca[#Headers],0))</f>
        <v>2</v>
      </c>
      <c r="AG92" s="5">
        <f ca="1">ESF[[#This Row],[As,mín (cm²)]]/100^2*ESF[[#This Row],[Comprimento (m)]]*7850</f>
        <v>7.8916807458175597</v>
      </c>
      <c r="AH92" s="4">
        <f ca="1">ESF[[#This Row],[nE]]*ESF[[#This Row],[Prof. (m)]]*ESF[[#This Row],[Ap (m²)]]</f>
        <v>32.421236185046666</v>
      </c>
      <c r="AI92" s="1">
        <f ca="1">IF(ESF[[#This Row],[nE]]=1,0,MAX(3*ESF[[#This Row],[Ø (cm)]],60))</f>
        <v>120</v>
      </c>
      <c r="AJ92" s="1">
        <f ca="1">IF(ESF[[#This Row],[nE]]=1,ESF[[#This Row],[Ø (cm)]]+2*10,MAX(1.5*ESF[[#This Row],[Ø (cm)]],ESF[[#This Row],[Ø (cm)]]+15))</f>
        <v>60</v>
      </c>
      <c r="AK92" s="1" t="str">
        <f ca="1">alturaUtil(ESF[[#This Row],[nE]],ESF[[#This Row],[Ø (cm)]],ESF[[#This Row],[e (cm)]],ESF[[#This Row],[ap,eq (cm)]])</f>
        <v>N.S.</v>
      </c>
      <c r="AL92" s="1" t="str">
        <f ca="1">IFERROR(ESF[[#This Row],[d (cm)]]+arredondarParaCimaMultiplo5cm(MAX(5,SQRT(PI())/2*ESF[[#This Row],[Ø (cm)]]/5)),"N.S.")</f>
        <v>N.S.</v>
      </c>
      <c r="AM92" s="5" t="str">
        <f ca="1">alpha(ESF[[#This Row],[nE]],ESF[[#This Row],[d (cm)]],ESF[[#This Row],[e (cm)]],ESF[[#This Row],[ap,eq (cm)]])</f>
        <v>N.S.</v>
      </c>
      <c r="AN92" s="35" t="str">
        <f ca="1">IFERROR(ESF[[#This Row],[Nsd (kN)]]/(ESF[[#This Row],[Ap (cm²)]]*SIN(ESF[[#This Row],[α]])^2),"N.S.")</f>
        <v>N.S.</v>
      </c>
      <c r="AO92" s="35" t="str">
        <f ca="1">IFERROR(ESF[[#This Row],[Nsd (kN)]]/(ESF[[#This Row],[nE]]*PI()*ESF[[#This Row],[Ø (cm)]]^2/4*SIN(ESF[[#This Row],[α]])^2),"N.S.")</f>
        <v>N.S.</v>
      </c>
      <c r="AP92" s="4" t="str">
        <f ca="1">IFERROR(INDEX(grupoEstacas[],ESF[[#This Row],[nE]],MATCH("coef. Blévot",grupoEstacas[#Headers],0)),"N.S.")</f>
        <v>N.S.</v>
      </c>
      <c r="AQ92" s="35" t="str">
        <f ca="1">IFERROR(ESF[[#This Row],[coef. Blévot]]*0.9*INDEX(tipoEstaca[],MATCH($D$2,tipoEstaca[TIPO DE ESTACA],0),MATCH("fcd (kN/cm²)",tipoEstaca[#Headers],0)),"N.S.")</f>
        <v>N.S.</v>
      </c>
      <c r="AR92" s="1" t="str">
        <f ca="1">IF(AND(ESF[[#This Row],[cd,b,pil (kN/cm²)]]&lt;=ESF[[#This Row],[cd,b,lim (kN/cm²)]],ESF[[#This Row],[cd,b,est (kN/cm²)]]&lt;=ESF[[#This Row],[cd,b,lim (kN/cm²)]]),"OK","ERRO")</f>
        <v>OK</v>
      </c>
      <c r="AS92" s="4" t="str">
        <f ca="1">As_lado(ESF[[#This Row],[nE]],ESF[[#This Row],[Nsd (kN)]],ESF[[#This Row],[d (cm)]],ESF[[#This Row],[e (cm)]],ESF[[#This Row],[ap,eq (cm)]])</f>
        <v>N.S.</v>
      </c>
      <c r="AT92" s="4" t="str">
        <f ca="1">IF(ESF[[#This Row],[nE]]=1,ESF[[#This Row],[As,lado (cm²)]],IF(ESF[[#This Row],[nE]]=2,0.075*2*ESF[a (cm)],"N.A."))</f>
        <v>N.A.</v>
      </c>
      <c r="AU92" s="4" t="str">
        <f ca="1">IFERROR(IF(ESF[[#This Row],[nE]]=1,"N.A.",0.2*ESF[[#This Row],[As,lado (cm²)]]),"N.S.")</f>
        <v>N.S.</v>
      </c>
      <c r="AV92" s="4" t="str">
        <f ca="1">As_malha(ESF[[#This Row],[nE]],ESF[[#This Row],[As,lado (cm²)]],ESF[[#This Row],[Nsd (kN)]])</f>
        <v>N.S.</v>
      </c>
      <c r="AW92" s="4" t="str">
        <f ca="1">As_susp_tot(ESF[[#This Row],[nE]],ESF[[#This Row],[Nsd (kN)]])</f>
        <v>N.S.</v>
      </c>
      <c r="AX92" s="4" t="str">
        <f ca="1">Asp_face(ESF[[#This Row],[nE]],ESF[[#This Row],[As,lado (cm²)]])</f>
        <v>N.S.</v>
      </c>
      <c r="AY92" s="5" t="str">
        <f ca="1">acoBloco(ESF[[#This Row],[nE]],ESF[[#This Row],[e (cm)]],ESF[[#This Row],[a (cm)]],ESF[[#This Row],[h (cm)]],ESF[[#This Row],[As,lado (cm²)]],ESF[[#This Row],[Asp e Asw (cm²/m)]],ESF[[#This Row],[As,sup (cm²)]],ESF[[#This Row],[As,malha (cm²)]],ESF[[#This Row],[As,susp,tot (cm²)]],ESF[[#This Row],[Asp,face (cm²)]])</f>
        <v>N.S.</v>
      </c>
      <c r="AZ92" s="4" t="str">
        <f ca="1">concretoBloco(ESF[[#This Row],[nE]],ESF[[#This Row],[e (cm)]],ESF[[#This Row],[a (cm)]],ESF[[#This Row],[h (cm)]])</f>
        <v>N.S.</v>
      </c>
      <c r="BA92" s="5">
        <f ca="1">SUM(ESF[[#This Row],[Aço Est (kg)]],ESF[[#This Row],[Aço Bloco (kg)]])</f>
        <v>7.8916807458175597</v>
      </c>
      <c r="BB92" s="4">
        <f>INDEX(composicoes[],MATCH(95580,composicoes[CÓDIGO],0),MATCH("CUSTO TOTAL",composicoes[#Headers],0))</f>
        <v>10.46</v>
      </c>
      <c r="BC92" s="4">
        <f ca="1">SUM(ESF[[#This Row],[Conc Est (m³)]],ESF[[#This Row],[Conc Bloco (m³)]])</f>
        <v>32.421236185046666</v>
      </c>
      <c r="BD92" s="4">
        <f>INDEX(composicoes[],MATCH(94966,composicoes[CÓDIGO],0),MATCH("CUSTO TOTAL",composicoes[#Headers],0))</f>
        <v>439.52</v>
      </c>
      <c r="BE92" s="38">
        <f ca="1">ESF[[#This Row],[Aço (kg)]]*ESF[[#This Row],[Aço (R$/kg)]]+ESF[[#This Row],[Conc (m³)]]*ESF[[#This Row],[Conc (R$/m³)]]</f>
        <v>14332.328708652962</v>
      </c>
      <c r="BF92" s="4" t="str">
        <f ca="1">IF(COUNTIF(ESF[#This Row],"N.S.")&gt;0,"lim.","OK")</f>
        <v>lim.</v>
      </c>
      <c r="BG92" s="4" t="str">
        <f>IF(ESF[[#This Row],[Prof. (m)]]&lt;3,"lim.","OK")</f>
        <v>OK</v>
      </c>
      <c r="BH92" s="4" t="str">
        <f>IF(ESF[[#This Row],[Prof. (m)]]&gt;=8*ESF[[#This Row],[Ø (cm)]]/100,"OK","lim.")</f>
        <v>lim.</v>
      </c>
      <c r="BI92" s="4" t="str">
        <f>IF(AND(SPT!$F$3&lt;&gt;"",ESF[[#This Row],[Prof. (m)]]&gt;=SPT!$F$3),"lim.","OK")</f>
        <v>OK</v>
      </c>
      <c r="BJ92" s="4" t="str">
        <f>IF(COUNTIFS(ESF[Solo],"Areia",ESF[Prof. (m)],"&lt;="&amp;ESF[[#This Row],[Prof. (m)]])&gt;=1,"lim.","OK")</f>
        <v>OK</v>
      </c>
      <c r="BK92" s="4" t="str">
        <f ca="1">IF(ESF[[#This Row],[Verif. Biela]]="OK","OK","lim.")</f>
        <v>OK</v>
      </c>
      <c r="BL92" s="4" t="str">
        <f ca="1">IF(COUNTA(ESF[[#This Row],[Nº Est.]:[Biela comp.]])=COUNTIF(ESF[[#This Row],[Nº Est.]:[Biela comp.]],"OK"),"OK","lim.")</f>
        <v>lim.</v>
      </c>
      <c r="BM92" s="4" t="str">
        <f ca="1">IF(ESF[[#This Row],[Controle]]="OK",ESF[[#This Row],[nE]]&amp;" Ø"&amp;ESF[[#This Row],[Ø (cm)]]&amp;"cm Prof. "&amp;ESF[[#This Row],[Prof. (m)]]&amp;" m","")</f>
        <v/>
      </c>
      <c r="BN92" s="4" t="str">
        <f ca="1">IF(ESF[[#This Row],[idDimensionamento]]="","",ESF[[#This Row],[idPilar]]&amp;ESF[[#This Row],[idDimensionamento]])</f>
        <v/>
      </c>
    </row>
    <row r="93" spans="2:66" x14ac:dyDescent="0.25">
      <c r="B93" s="12">
        <f>ROUNDUP((ROW(ESF[[#This Row],[idDiâmetro]])-ROW(ESF[[#Headers],[idDiâmetro]]))/(COUNT(SPT[Prof. (m)])*COUNT(PILARES[Pilar])),0)</f>
        <v>4</v>
      </c>
      <c r="C93" s="12">
        <f>IF(ESF[[#This Row],[idDiâmetro]]&lt;&gt;B92,1,IF(ESF[[#This Row],[Prof. (m)]]=0,C92+1,C92))</f>
        <v>1</v>
      </c>
      <c r="D93" s="1">
        <f>IFERROR(IF(D92=MAX(SPT[Prof. (m)]),0,D92+1),0)</f>
        <v>4</v>
      </c>
      <c r="E93" s="1">
        <f>INDEX(SPT[],MATCH(ESF[[#This Row],[Prof. (m)]],SPT[Prof. (m)],0),2)</f>
        <v>8</v>
      </c>
      <c r="F93" s="1" t="str">
        <f>INDEX(SPT[],MATCH(ESF[[#This Row],[Prof. (m)]],SPT[Prof. (m)],0),3)</f>
        <v>Areia siltosa</v>
      </c>
      <c r="G93" s="1">
        <f>INDEX(estacas[],ESF[[#This Row],[idDiâmetro]],MATCH($B$2,estacas[#Headers],0))</f>
        <v>40</v>
      </c>
      <c r="H93" s="1">
        <f>INDEX(estacas[],MATCH(ESF[[#This Row],[Ø (cm)]],estacas[Ø ESF (cm)],0),MATCH(ESF[[#Headers],[Pe ESF (kN)]],estacas[#Headers],0))</f>
        <v>640</v>
      </c>
      <c r="I93" s="4">
        <f>INDEX(K_alpha_C[],MATCH(ESF[[#This Row],[Solo]],K_alpha_C[Solo],0),2)</f>
        <v>0.8</v>
      </c>
      <c r="J93" s="5">
        <f>INDEX(K_alpha_C[],MATCH(ESF[[#This Row],[Solo]],K_alpha_C[Solo],0),3)</f>
        <v>2</v>
      </c>
      <c r="K93" s="4">
        <f>INDEX(F1_F2[],MATCH($D$2,F1_F2[Tipo de estaca],0),2)</f>
        <v>3</v>
      </c>
      <c r="L93" s="4">
        <f>INDEX(F1_F2[],MATCH($D$2,F1_F2[Tipo de estaca],0),3)</f>
        <v>6</v>
      </c>
      <c r="M93" s="4">
        <f>PI()*(ESF[[#This Row],[Ø (cm)]]/100)^2/4</f>
        <v>0.12566370614359174</v>
      </c>
      <c r="N93" s="4">
        <f>PI()*ESF[[#This Row],[Ø (cm)]]/100</f>
        <v>1.2566370614359172</v>
      </c>
      <c r="O93" s="4">
        <f>IF(ESF[[#This Row],[Prof. (m)]]=0,0,ESF[[#This Row],[α (%)]]/100*ESF[[#This Row],[K (MPa)]]*1000*ESF[[#This Row],[NSPT]])</f>
        <v>128</v>
      </c>
      <c r="P93" s="4">
        <f>IF(ESF[[#This Row],[Prof. (m)]]=0,0,(ESF[[#This Row],[K (MPa)]]*1000*ESF[[#This Row],[NSPT]]/ESF[[#This Row],[F1]]*ESF[[#This Row],[Ap (m²)]]+ESF[[#This Row],[U (m)]]/ESF[[#This Row],[F2]]*SUMIFS(ESF[(α∙K∙NL∙ΔL)],ESF[Prof. (m)],"&lt;="&amp;ESF[[#This Row],[Prof. (m)]],ESF[idDiâmetro],ESF[[#This Row],[idDiâmetro]],ESF[idPilar],ESF[[#This Row],[idPilar]]))/'DADOS CAP. CARGA'!$D$2)</f>
        <v>160.84954386379744</v>
      </c>
      <c r="Q93" s="12">
        <f>INDEX(C_alpha_beta[],MATCH(ESF[[#This Row],[Solo]],C_alpha_beta[Solo],0),MATCH(ESF[[#Headers],[C (kPa)]],C_alpha_beta[#Headers],0))</f>
        <v>400</v>
      </c>
      <c r="R93" s="4">
        <f>INDEX(C_alpha_beta[],MATCH(ESF[[#This Row],[Solo]],C_alpha_beta[Solo],0),MATCH(ESF[[#Headers],[α ESF]],C_alpha_beta[#Headers],0))</f>
        <v>0.5</v>
      </c>
      <c r="S93" s="4">
        <f>INDEX(C_alpha_beta[],MATCH(ESF[[#This Row],[Solo]],C_alpha_beta[Solo],0),MATCH(ESF[[#Headers],[β ESF]],C_alpha_beta[#Headers],0))</f>
        <v>0.5</v>
      </c>
      <c r="T93" s="4">
        <f>IF(ESF[[#This Row],[Prof. (m)]]=0,0,10*(ESF[[#This Row],[NSPT]]/3+1))</f>
        <v>36.666666666666664</v>
      </c>
      <c r="U93" s="4">
        <f>(ESF[[#This Row],[α ESF]]*ESF[[#This Row],[C (kPa)]]*ESF[[#This Row],[NSPT]]*ESF[[#This Row],[Ap (m²)]])/'DADOS CAP. CARGA'!$Q$2+(ESF[[#This Row],[β ESF]]*SUMIFS(ESF[10∙(NL/3+1)],ESF[Prof. (m)],"&lt;="&amp;ESF[[#This Row],[Prof. (m)]],ESF[idDiâmetro],ESF[[#This Row],[idDiâmetro]],ESF[idPilar],ESF[[#This Row],[idPilar]])*ESF[[#This Row],[U (m)]])/'DADOS CAP. CARGA'!$S$2</f>
        <v>79.587013890941421</v>
      </c>
      <c r="V93" s="4">
        <f>IF(SPT!$M$5=1,MIN(ESF[[#This Row],[Pe ESF (kN)]],ESF[[#This Row],[R_AV (kN)]]),IF(SPT!$M$5=2,MIN(ESF[[#This Row],[Pe ESF (kN)]],ESF[[#This Row],[R_DC (kN)]]),MIN(ESF[[#This Row],[Pe ESF (kN)]],ESF[[#This Row],[R_AV (kN)]],ESF[[#This Row],[R_DC (kN)]])))</f>
        <v>79.587013890941421</v>
      </c>
      <c r="W93" s="4">
        <f>INDEX(PILARES[],ESF[[#This Row],[idPilar]],MATCH("Carga (kN)",PILARES[#Headers],0))*1.4</f>
        <v>3500</v>
      </c>
      <c r="X93" s="12">
        <f>INDEX(PILARES[],ESF[[#This Row],[idPilar]],MATCH(ESF[[#Headers],[ap (cm)]],PILARES[#Headers],0))</f>
        <v>60</v>
      </c>
      <c r="Y93" s="12">
        <f>INDEX(PILARES[],ESF[[#This Row],[idPilar]],MATCH(ESF[[#Headers],[bp (cm)]],PILARES[#Headers],0))</f>
        <v>60</v>
      </c>
      <c r="Z93" s="4">
        <f>SQRT(ESF[[#This Row],[ap (cm)]]*ESF[[#This Row],[bp (cm)]])</f>
        <v>60</v>
      </c>
      <c r="AA93" s="12">
        <f>ESF[[#This Row],[ap (cm)]]*ESF[[#This Row],[bp (cm)]]</f>
        <v>3600</v>
      </c>
      <c r="AB93" s="12">
        <f ca="1">IF(ESF[[#This Row],[Padm∙ε (kN)]]&gt;=ESF[[#This Row],[Padm (kN)]],ROUNDUP(1.05*ESF[[#This Row],[Nsd (kN)]]/ESF[[#This Row],[Padm (kN)]],0),ROUNDUP(1.05*ESF[[#This Row],[Nsd (kN)]]/ESF[[#This Row],[Padm (kN)]],0)+1)</f>
        <v>47</v>
      </c>
      <c r="AC93" s="4" t="str">
        <f ca="1">IFERROR(IF(ESF[[#This Row],[nE]]=1,ESF[[#This Row],[Padm (kN)]],ESF[[#This Row],[Padm (kN)]]*ESF[[#This Row],[nE]]*INDEX(grupoEstacas[],ESF[[#This Row],[nE]],MATCH("ε",grupoEstacas[#Headers],0))),"N.S.")</f>
        <v>N.S.</v>
      </c>
      <c r="AD93" s="4">
        <f ca="1">1.05*ESF[[#This Row],[Nsd (kN)]]/(ESF[[#This Row],[nE]]*PI()*ESF[[#This Row],[Ø (cm)]]^2/4)*10</f>
        <v>0.62222810198161205</v>
      </c>
      <c r="AE93" s="4">
        <f ca="1">IF(ESF[[#This Row],[σ (MPa)]]&lt;INDEX(tipoEstaca[],MATCH($D$2,tipoEstaca[TIPO DE ESTACA],0),MATCH("σmáx (MPa)",tipoEstaca[#Headers],0)),0.4%*PI()*ESF[[#This Row],[Ø (cm)]]^2/4,"N.S.")</f>
        <v>5.026548245743669</v>
      </c>
      <c r="AF93" s="1">
        <f>INDEX(tipoEstaca[],MATCH($D$2,tipoEstaca[TIPO DE ESTACA],0),MATCH(ESF[[#Headers],[Comprimento (m)]],tipoEstaca[#Headers],0))</f>
        <v>2</v>
      </c>
      <c r="AG93" s="5">
        <f ca="1">ESF[[#This Row],[As,mín (cm²)]]/100^2*ESF[[#This Row],[Comprimento (m)]]*7850</f>
        <v>7.8916807458175597</v>
      </c>
      <c r="AH93" s="4">
        <f ca="1">ESF[[#This Row],[nE]]*ESF[[#This Row],[Prof. (m)]]*ESF[[#This Row],[Ap (m²)]]</f>
        <v>23.624776754995246</v>
      </c>
      <c r="AI93" s="1">
        <f ca="1">IF(ESF[[#This Row],[nE]]=1,0,MAX(3*ESF[[#This Row],[Ø (cm)]],60))</f>
        <v>120</v>
      </c>
      <c r="AJ93" s="1">
        <f ca="1">IF(ESF[[#This Row],[nE]]=1,ESF[[#This Row],[Ø (cm)]]+2*10,MAX(1.5*ESF[[#This Row],[Ø (cm)]],ESF[[#This Row],[Ø (cm)]]+15))</f>
        <v>60</v>
      </c>
      <c r="AK93" s="1" t="str">
        <f ca="1">alturaUtil(ESF[[#This Row],[nE]],ESF[[#This Row],[Ø (cm)]],ESF[[#This Row],[e (cm)]],ESF[[#This Row],[ap,eq (cm)]])</f>
        <v>N.S.</v>
      </c>
      <c r="AL93" s="1" t="str">
        <f ca="1">IFERROR(ESF[[#This Row],[d (cm)]]+arredondarParaCimaMultiplo5cm(MAX(5,SQRT(PI())/2*ESF[[#This Row],[Ø (cm)]]/5)),"N.S.")</f>
        <v>N.S.</v>
      </c>
      <c r="AM93" s="5" t="str">
        <f ca="1">alpha(ESF[[#This Row],[nE]],ESF[[#This Row],[d (cm)]],ESF[[#This Row],[e (cm)]],ESF[[#This Row],[ap,eq (cm)]])</f>
        <v>N.S.</v>
      </c>
      <c r="AN93" s="35" t="str">
        <f ca="1">IFERROR(ESF[[#This Row],[Nsd (kN)]]/(ESF[[#This Row],[Ap (cm²)]]*SIN(ESF[[#This Row],[α]])^2),"N.S.")</f>
        <v>N.S.</v>
      </c>
      <c r="AO93" s="35" t="str">
        <f ca="1">IFERROR(ESF[[#This Row],[Nsd (kN)]]/(ESF[[#This Row],[nE]]*PI()*ESF[[#This Row],[Ø (cm)]]^2/4*SIN(ESF[[#This Row],[α]])^2),"N.S.")</f>
        <v>N.S.</v>
      </c>
      <c r="AP93" s="4" t="str">
        <f ca="1">IFERROR(INDEX(grupoEstacas[],ESF[[#This Row],[nE]],MATCH("coef. Blévot",grupoEstacas[#Headers],0)),"N.S.")</f>
        <v>N.S.</v>
      </c>
      <c r="AQ93" s="35" t="str">
        <f ca="1">IFERROR(ESF[[#This Row],[coef. Blévot]]*0.9*INDEX(tipoEstaca[],MATCH($D$2,tipoEstaca[TIPO DE ESTACA],0),MATCH("fcd (kN/cm²)",tipoEstaca[#Headers],0)),"N.S.")</f>
        <v>N.S.</v>
      </c>
      <c r="AR93" s="1" t="str">
        <f ca="1">IF(AND(ESF[[#This Row],[cd,b,pil (kN/cm²)]]&lt;=ESF[[#This Row],[cd,b,lim (kN/cm²)]],ESF[[#This Row],[cd,b,est (kN/cm²)]]&lt;=ESF[[#This Row],[cd,b,lim (kN/cm²)]]),"OK","ERRO")</f>
        <v>OK</v>
      </c>
      <c r="AS93" s="4" t="str">
        <f ca="1">As_lado(ESF[[#This Row],[nE]],ESF[[#This Row],[Nsd (kN)]],ESF[[#This Row],[d (cm)]],ESF[[#This Row],[e (cm)]],ESF[[#This Row],[ap,eq (cm)]])</f>
        <v>N.S.</v>
      </c>
      <c r="AT93" s="4" t="str">
        <f ca="1">IF(ESF[[#This Row],[nE]]=1,ESF[[#This Row],[As,lado (cm²)]],IF(ESF[[#This Row],[nE]]=2,0.075*2*ESF[a (cm)],"N.A."))</f>
        <v>N.A.</v>
      </c>
      <c r="AU93" s="4" t="str">
        <f ca="1">IFERROR(IF(ESF[[#This Row],[nE]]=1,"N.A.",0.2*ESF[[#This Row],[As,lado (cm²)]]),"N.S.")</f>
        <v>N.S.</v>
      </c>
      <c r="AV93" s="4" t="str">
        <f ca="1">As_malha(ESF[[#This Row],[nE]],ESF[[#This Row],[As,lado (cm²)]],ESF[[#This Row],[Nsd (kN)]])</f>
        <v>N.S.</v>
      </c>
      <c r="AW93" s="4" t="str">
        <f ca="1">As_susp_tot(ESF[[#This Row],[nE]],ESF[[#This Row],[Nsd (kN)]])</f>
        <v>N.S.</v>
      </c>
      <c r="AX93" s="4" t="str">
        <f ca="1">Asp_face(ESF[[#This Row],[nE]],ESF[[#This Row],[As,lado (cm²)]])</f>
        <v>N.S.</v>
      </c>
      <c r="AY93" s="5" t="str">
        <f ca="1">acoBloco(ESF[[#This Row],[nE]],ESF[[#This Row],[e (cm)]],ESF[[#This Row],[a (cm)]],ESF[[#This Row],[h (cm)]],ESF[[#This Row],[As,lado (cm²)]],ESF[[#This Row],[Asp e Asw (cm²/m)]],ESF[[#This Row],[As,sup (cm²)]],ESF[[#This Row],[As,malha (cm²)]],ESF[[#This Row],[As,susp,tot (cm²)]],ESF[[#This Row],[Asp,face (cm²)]])</f>
        <v>N.S.</v>
      </c>
      <c r="AZ93" s="4" t="str">
        <f ca="1">concretoBloco(ESF[[#This Row],[nE]],ESF[[#This Row],[e (cm)]],ESF[[#This Row],[a (cm)]],ESF[[#This Row],[h (cm)]])</f>
        <v>N.S.</v>
      </c>
      <c r="BA93" s="5">
        <f ca="1">SUM(ESF[[#This Row],[Aço Est (kg)]],ESF[[#This Row],[Aço Bloco (kg)]])</f>
        <v>7.8916807458175597</v>
      </c>
      <c r="BB93" s="4">
        <f>INDEX(composicoes[],MATCH(95580,composicoes[CÓDIGO],0),MATCH("CUSTO TOTAL",composicoes[#Headers],0))</f>
        <v>10.46</v>
      </c>
      <c r="BC93" s="4">
        <f ca="1">SUM(ESF[[#This Row],[Conc Est (m³)]],ESF[[#This Row],[Conc Bloco (m³)]])</f>
        <v>23.624776754995246</v>
      </c>
      <c r="BD93" s="4">
        <f>INDEX(composicoes[],MATCH(94966,composicoes[CÓDIGO],0),MATCH("CUSTO TOTAL",composicoes[#Headers],0))</f>
        <v>439.52</v>
      </c>
      <c r="BE93" s="38">
        <f ca="1">ESF[[#This Row],[Aço (kg)]]*ESF[[#This Row],[Aço (R$/kg)]]+ESF[[#This Row],[Conc (m³)]]*ESF[[#This Row],[Conc (R$/m³)]]</f>
        <v>10466.108859956761</v>
      </c>
      <c r="BF93" s="4" t="str">
        <f ca="1">IF(COUNTIF(ESF[#This Row],"N.S.")&gt;0,"lim.","OK")</f>
        <v>lim.</v>
      </c>
      <c r="BG93" s="4" t="str">
        <f>IF(ESF[[#This Row],[Prof. (m)]]&lt;3,"lim.","OK")</f>
        <v>OK</v>
      </c>
      <c r="BH93" s="4" t="str">
        <f>IF(ESF[[#This Row],[Prof. (m)]]&gt;=8*ESF[[#This Row],[Ø (cm)]]/100,"OK","lim.")</f>
        <v>OK</v>
      </c>
      <c r="BI93" s="4" t="str">
        <f>IF(AND(SPT!$F$3&lt;&gt;"",ESF[[#This Row],[Prof. (m)]]&gt;=SPT!$F$3),"lim.","OK")</f>
        <v>OK</v>
      </c>
      <c r="BJ93" s="4" t="str">
        <f>IF(COUNTIFS(ESF[Solo],"Areia",ESF[Prof. (m)],"&lt;="&amp;ESF[[#This Row],[Prof. (m)]])&gt;=1,"lim.","OK")</f>
        <v>OK</v>
      </c>
      <c r="BK93" s="4" t="str">
        <f ca="1">IF(ESF[[#This Row],[Verif. Biela]]="OK","OK","lim.")</f>
        <v>OK</v>
      </c>
      <c r="BL93" s="4" t="str">
        <f ca="1">IF(COUNTA(ESF[[#This Row],[Nº Est.]:[Biela comp.]])=COUNTIF(ESF[[#This Row],[Nº Est.]:[Biela comp.]],"OK"),"OK","lim.")</f>
        <v>lim.</v>
      </c>
      <c r="BM93" s="4" t="str">
        <f ca="1">IF(ESF[[#This Row],[Controle]]="OK",ESF[[#This Row],[nE]]&amp;" Ø"&amp;ESF[[#This Row],[Ø (cm)]]&amp;"cm Prof. "&amp;ESF[[#This Row],[Prof. (m)]]&amp;" m","")</f>
        <v/>
      </c>
      <c r="BN93" s="4" t="str">
        <f ca="1">IF(ESF[[#This Row],[idDimensionamento]]="","",ESF[[#This Row],[idPilar]]&amp;ESF[[#This Row],[idDimensionamento]])</f>
        <v/>
      </c>
    </row>
    <row r="94" spans="2:66" x14ac:dyDescent="0.25">
      <c r="B94" s="12">
        <f>ROUNDUP((ROW(ESF[[#This Row],[idDiâmetro]])-ROW(ESF[[#Headers],[idDiâmetro]]))/(COUNT(SPT[Prof. (m)])*COUNT(PILARES[Pilar])),0)</f>
        <v>4</v>
      </c>
      <c r="C94" s="12">
        <f>IF(ESF[[#This Row],[idDiâmetro]]&lt;&gt;B93,1,IF(ESF[[#This Row],[Prof. (m)]]=0,C93+1,C93))</f>
        <v>1</v>
      </c>
      <c r="D94" s="1">
        <f>IFERROR(IF(D93=MAX(SPT[Prof. (m)]),0,D93+1),0)</f>
        <v>5</v>
      </c>
      <c r="E94" s="1">
        <f>INDEX(SPT[],MATCH(ESF[[#This Row],[Prof. (m)]],SPT[Prof. (m)],0),2)</f>
        <v>17</v>
      </c>
      <c r="F94" s="1" t="str">
        <f>INDEX(SPT[],MATCH(ESF[[#This Row],[Prof. (m)]],SPT[Prof. (m)],0),3)</f>
        <v>Areia siltosa</v>
      </c>
      <c r="G94" s="1">
        <f>INDEX(estacas[],ESF[[#This Row],[idDiâmetro]],MATCH($B$2,estacas[#Headers],0))</f>
        <v>40</v>
      </c>
      <c r="H94" s="1">
        <f>INDEX(estacas[],MATCH(ESF[[#This Row],[Ø (cm)]],estacas[Ø ESF (cm)],0),MATCH(ESF[[#Headers],[Pe ESF (kN)]],estacas[#Headers],0))</f>
        <v>640</v>
      </c>
      <c r="I94" s="4">
        <f>INDEX(K_alpha_C[],MATCH(ESF[[#This Row],[Solo]],K_alpha_C[Solo],0),2)</f>
        <v>0.8</v>
      </c>
      <c r="J94" s="5">
        <f>INDEX(K_alpha_C[],MATCH(ESF[[#This Row],[Solo]],K_alpha_C[Solo],0),3)</f>
        <v>2</v>
      </c>
      <c r="K94" s="4">
        <f>INDEX(F1_F2[],MATCH($D$2,F1_F2[Tipo de estaca],0),2)</f>
        <v>3</v>
      </c>
      <c r="L94" s="4">
        <f>INDEX(F1_F2[],MATCH($D$2,F1_F2[Tipo de estaca],0),3)</f>
        <v>6</v>
      </c>
      <c r="M94" s="4">
        <f>PI()*(ESF[[#This Row],[Ø (cm)]]/100)^2/4</f>
        <v>0.12566370614359174</v>
      </c>
      <c r="N94" s="4">
        <f>PI()*ESF[[#This Row],[Ø (cm)]]/100</f>
        <v>1.2566370614359172</v>
      </c>
      <c r="O94" s="4">
        <f>IF(ESF[[#This Row],[Prof. (m)]]=0,0,ESF[[#This Row],[α (%)]]/100*ESF[[#This Row],[K (MPa)]]*1000*ESF[[#This Row],[NSPT]])</f>
        <v>272</v>
      </c>
      <c r="P94" s="4">
        <f>IF(ESF[[#This Row],[Prof. (m)]]=0,0,(ESF[[#This Row],[K (MPa)]]*1000*ESF[[#This Row],[NSPT]]/ESF[[#This Row],[F1]]*ESF[[#This Row],[Ap (m²)]]+ESF[[#This Row],[U (m)]]/ESF[[#This Row],[F2]]*SUMIFS(ESF[(α∙K∙NL∙ΔL)],ESF[Prof. (m)],"&lt;="&amp;ESF[[#This Row],[Prof. (m)]],ESF[idDiâmetro],ESF[[#This Row],[idDiâmetro]],ESF[idPilar],ESF[[#This Row],[idPilar]]))/'DADOS CAP. CARGA'!$D$2)</f>
        <v>340.12976462865493</v>
      </c>
      <c r="Q94" s="12">
        <f>INDEX(C_alpha_beta[],MATCH(ESF[[#This Row],[Solo]],C_alpha_beta[Solo],0),MATCH(ESF[[#Headers],[C (kPa)]],C_alpha_beta[#Headers],0))</f>
        <v>400</v>
      </c>
      <c r="R94" s="4">
        <f>INDEX(C_alpha_beta[],MATCH(ESF[[#This Row],[Solo]],C_alpha_beta[Solo],0),MATCH(ESF[[#Headers],[α ESF]],C_alpha_beta[#Headers],0))</f>
        <v>0.5</v>
      </c>
      <c r="S94" s="4">
        <f>INDEX(C_alpha_beta[],MATCH(ESF[[#This Row],[Solo]],C_alpha_beta[Solo],0),MATCH(ESF[[#Headers],[β ESF]],C_alpha_beta[#Headers],0))</f>
        <v>0.5</v>
      </c>
      <c r="T94" s="4">
        <f>IF(ESF[[#This Row],[Prof. (m)]]=0,0,10*(ESF[[#This Row],[NSPT]]/3+1))</f>
        <v>66.666666666666671</v>
      </c>
      <c r="U94" s="4">
        <f>(ESF[[#This Row],[α ESF]]*ESF[[#This Row],[C (kPa)]]*ESF[[#This Row],[NSPT]]*ESF[[#This Row],[Ap (m²)]])/'DADOS CAP. CARGA'!$Q$2+(ESF[[#This Row],[β ESF]]*SUMIFS(ESF[10∙(NL/3+1)],ESF[Prof. (m)],"&lt;="&amp;ESF[[#This Row],[Prof. (m)]],ESF[idDiâmetro],ESF[[#This Row],[idDiâmetro]],ESF[idPilar],ESF[[#This Row],[idPilar]])*ESF[[#This Row],[U (m)]])/'DADOS CAP. CARGA'!$S$2</f>
        <v>157.07963267948966</v>
      </c>
      <c r="V94" s="4">
        <f>IF(SPT!$M$5=1,MIN(ESF[[#This Row],[Pe ESF (kN)]],ESF[[#This Row],[R_AV (kN)]]),IF(SPT!$M$5=2,MIN(ESF[[#This Row],[Pe ESF (kN)]],ESF[[#This Row],[R_DC (kN)]]),MIN(ESF[[#This Row],[Pe ESF (kN)]],ESF[[#This Row],[R_AV (kN)]],ESF[[#This Row],[R_DC (kN)]])))</f>
        <v>157.07963267948966</v>
      </c>
      <c r="W94" s="4">
        <f>INDEX(PILARES[],ESF[[#This Row],[idPilar]],MATCH("Carga (kN)",PILARES[#Headers],0))*1.4</f>
        <v>3500</v>
      </c>
      <c r="X94" s="12">
        <f>INDEX(PILARES[],ESF[[#This Row],[idPilar]],MATCH(ESF[[#Headers],[ap (cm)]],PILARES[#Headers],0))</f>
        <v>60</v>
      </c>
      <c r="Y94" s="12">
        <f>INDEX(PILARES[],ESF[[#This Row],[idPilar]],MATCH(ESF[[#Headers],[bp (cm)]],PILARES[#Headers],0))</f>
        <v>60</v>
      </c>
      <c r="Z94" s="4">
        <f>SQRT(ESF[[#This Row],[ap (cm)]]*ESF[[#This Row],[bp (cm)]])</f>
        <v>60</v>
      </c>
      <c r="AA94" s="12">
        <f>ESF[[#This Row],[ap (cm)]]*ESF[[#This Row],[bp (cm)]]</f>
        <v>3600</v>
      </c>
      <c r="AB94" s="12">
        <f ca="1">IF(ESF[[#This Row],[Padm∙ε (kN)]]&gt;=ESF[[#This Row],[Padm (kN)]],ROUNDUP(1.05*ESF[[#This Row],[Nsd (kN)]]/ESF[[#This Row],[Padm (kN)]],0),ROUNDUP(1.05*ESF[[#This Row],[Nsd (kN)]]/ESF[[#This Row],[Padm (kN)]],0)+1)</f>
        <v>24</v>
      </c>
      <c r="AC94" s="4" t="str">
        <f ca="1">IFERROR(IF(ESF[[#This Row],[nE]]=1,ESF[[#This Row],[Padm (kN)]],ESF[[#This Row],[Padm (kN)]]*ESF[[#This Row],[nE]]*INDEX(grupoEstacas[],ESF[[#This Row],[nE]],MATCH("ε",grupoEstacas[#Headers],0))),"N.S.")</f>
        <v>N.S.</v>
      </c>
      <c r="AD94" s="4">
        <f ca="1">1.05*ESF[[#This Row],[Nsd (kN)]]/(ESF[[#This Row],[nE]]*PI()*ESF[[#This Row],[Ø (cm)]]^2/4)*10</f>
        <v>1.2185300330473239</v>
      </c>
      <c r="AE94" s="4">
        <f ca="1">IF(ESF[[#This Row],[σ (MPa)]]&lt;INDEX(tipoEstaca[],MATCH($D$2,tipoEstaca[TIPO DE ESTACA],0),MATCH("σmáx (MPa)",tipoEstaca[#Headers],0)),0.4%*PI()*ESF[[#This Row],[Ø (cm)]]^2/4,"N.S.")</f>
        <v>5.026548245743669</v>
      </c>
      <c r="AF94" s="1">
        <f>INDEX(tipoEstaca[],MATCH($D$2,tipoEstaca[TIPO DE ESTACA],0),MATCH(ESF[[#Headers],[Comprimento (m)]],tipoEstaca[#Headers],0))</f>
        <v>2</v>
      </c>
      <c r="AG94" s="5">
        <f ca="1">ESF[[#This Row],[As,mín (cm²)]]/100^2*ESF[[#This Row],[Comprimento (m)]]*7850</f>
        <v>7.8916807458175597</v>
      </c>
      <c r="AH94" s="4">
        <f ca="1">ESF[[#This Row],[nE]]*ESF[[#This Row],[Prof. (m)]]*ESF[[#This Row],[Ap (m²)]]</f>
        <v>15.079644737231009</v>
      </c>
      <c r="AI94" s="1">
        <f ca="1">IF(ESF[[#This Row],[nE]]=1,0,MAX(3*ESF[[#This Row],[Ø (cm)]],60))</f>
        <v>120</v>
      </c>
      <c r="AJ94" s="1">
        <f ca="1">IF(ESF[[#This Row],[nE]]=1,ESF[[#This Row],[Ø (cm)]]+2*10,MAX(1.5*ESF[[#This Row],[Ø (cm)]],ESF[[#This Row],[Ø (cm)]]+15))</f>
        <v>60</v>
      </c>
      <c r="AK94" s="1" t="str">
        <f ca="1">alturaUtil(ESF[[#This Row],[nE]],ESF[[#This Row],[Ø (cm)]],ESF[[#This Row],[e (cm)]],ESF[[#This Row],[ap,eq (cm)]])</f>
        <v>N.S.</v>
      </c>
      <c r="AL94" s="1" t="str">
        <f ca="1">IFERROR(ESF[[#This Row],[d (cm)]]+arredondarParaCimaMultiplo5cm(MAX(5,SQRT(PI())/2*ESF[[#This Row],[Ø (cm)]]/5)),"N.S.")</f>
        <v>N.S.</v>
      </c>
      <c r="AM94" s="5" t="str">
        <f ca="1">alpha(ESF[[#This Row],[nE]],ESF[[#This Row],[d (cm)]],ESF[[#This Row],[e (cm)]],ESF[[#This Row],[ap,eq (cm)]])</f>
        <v>N.S.</v>
      </c>
      <c r="AN94" s="35" t="str">
        <f ca="1">IFERROR(ESF[[#This Row],[Nsd (kN)]]/(ESF[[#This Row],[Ap (cm²)]]*SIN(ESF[[#This Row],[α]])^2),"N.S.")</f>
        <v>N.S.</v>
      </c>
      <c r="AO94" s="35" t="str">
        <f ca="1">IFERROR(ESF[[#This Row],[Nsd (kN)]]/(ESF[[#This Row],[nE]]*PI()*ESF[[#This Row],[Ø (cm)]]^2/4*SIN(ESF[[#This Row],[α]])^2),"N.S.")</f>
        <v>N.S.</v>
      </c>
      <c r="AP94" s="4" t="str">
        <f ca="1">IFERROR(INDEX(grupoEstacas[],ESF[[#This Row],[nE]],MATCH("coef. Blévot",grupoEstacas[#Headers],0)),"N.S.")</f>
        <v>N.S.</v>
      </c>
      <c r="AQ94" s="35" t="str">
        <f ca="1">IFERROR(ESF[[#This Row],[coef. Blévot]]*0.9*INDEX(tipoEstaca[],MATCH($D$2,tipoEstaca[TIPO DE ESTACA],0),MATCH("fcd (kN/cm²)",tipoEstaca[#Headers],0)),"N.S.")</f>
        <v>N.S.</v>
      </c>
      <c r="AR94" s="1" t="str">
        <f ca="1">IF(AND(ESF[[#This Row],[cd,b,pil (kN/cm²)]]&lt;=ESF[[#This Row],[cd,b,lim (kN/cm²)]],ESF[[#This Row],[cd,b,est (kN/cm²)]]&lt;=ESF[[#This Row],[cd,b,lim (kN/cm²)]]),"OK","ERRO")</f>
        <v>OK</v>
      </c>
      <c r="AS94" s="4" t="str">
        <f ca="1">As_lado(ESF[[#This Row],[nE]],ESF[[#This Row],[Nsd (kN)]],ESF[[#This Row],[d (cm)]],ESF[[#This Row],[e (cm)]],ESF[[#This Row],[ap,eq (cm)]])</f>
        <v>N.S.</v>
      </c>
      <c r="AT94" s="4" t="str">
        <f ca="1">IF(ESF[[#This Row],[nE]]=1,ESF[[#This Row],[As,lado (cm²)]],IF(ESF[[#This Row],[nE]]=2,0.075*2*ESF[a (cm)],"N.A."))</f>
        <v>N.A.</v>
      </c>
      <c r="AU94" s="4" t="str">
        <f ca="1">IFERROR(IF(ESF[[#This Row],[nE]]=1,"N.A.",0.2*ESF[[#This Row],[As,lado (cm²)]]),"N.S.")</f>
        <v>N.S.</v>
      </c>
      <c r="AV94" s="4" t="str">
        <f ca="1">As_malha(ESF[[#This Row],[nE]],ESF[[#This Row],[As,lado (cm²)]],ESF[[#This Row],[Nsd (kN)]])</f>
        <v>N.S.</v>
      </c>
      <c r="AW94" s="4" t="str">
        <f ca="1">As_susp_tot(ESF[[#This Row],[nE]],ESF[[#This Row],[Nsd (kN)]])</f>
        <v>N.S.</v>
      </c>
      <c r="AX94" s="4" t="str">
        <f ca="1">Asp_face(ESF[[#This Row],[nE]],ESF[[#This Row],[As,lado (cm²)]])</f>
        <v>N.S.</v>
      </c>
      <c r="AY94" s="5" t="str">
        <f ca="1">acoBloco(ESF[[#This Row],[nE]],ESF[[#This Row],[e (cm)]],ESF[[#This Row],[a (cm)]],ESF[[#This Row],[h (cm)]],ESF[[#This Row],[As,lado (cm²)]],ESF[[#This Row],[Asp e Asw (cm²/m)]],ESF[[#This Row],[As,sup (cm²)]],ESF[[#This Row],[As,malha (cm²)]],ESF[[#This Row],[As,susp,tot (cm²)]],ESF[[#This Row],[Asp,face (cm²)]])</f>
        <v>N.S.</v>
      </c>
      <c r="AZ94" s="4" t="str">
        <f ca="1">concretoBloco(ESF[[#This Row],[nE]],ESF[[#This Row],[e (cm)]],ESF[[#This Row],[a (cm)]],ESF[[#This Row],[h (cm)]])</f>
        <v>N.S.</v>
      </c>
      <c r="BA94" s="5">
        <f ca="1">SUM(ESF[[#This Row],[Aço Est (kg)]],ESF[[#This Row],[Aço Bloco (kg)]])</f>
        <v>7.8916807458175597</v>
      </c>
      <c r="BB94" s="4">
        <f>INDEX(composicoes[],MATCH(95580,composicoes[CÓDIGO],0),MATCH("CUSTO TOTAL",composicoes[#Headers],0))</f>
        <v>10.46</v>
      </c>
      <c r="BC94" s="4">
        <f ca="1">SUM(ESF[[#This Row],[Conc Est (m³)]],ESF[[#This Row],[Conc Bloco (m³)]])</f>
        <v>15.079644737231009</v>
      </c>
      <c r="BD94" s="4">
        <f>INDEX(composicoes[],MATCH(94966,composicoes[CÓDIGO],0),MATCH("CUSTO TOTAL",composicoes[#Headers],0))</f>
        <v>439.52</v>
      </c>
      <c r="BE94" s="38">
        <f ca="1">ESF[[#This Row],[Aço (kg)]]*ESF[[#This Row],[Aço (R$/kg)]]+ESF[[#This Row],[Conc (m³)]]*ESF[[#This Row],[Conc (R$/m³)]]</f>
        <v>6710.352435509024</v>
      </c>
      <c r="BF94" s="4" t="str">
        <f ca="1">IF(COUNTIF(ESF[#This Row],"N.S.")&gt;0,"lim.","OK")</f>
        <v>lim.</v>
      </c>
      <c r="BG94" s="4" t="str">
        <f>IF(ESF[[#This Row],[Prof. (m)]]&lt;3,"lim.","OK")</f>
        <v>OK</v>
      </c>
      <c r="BH94" s="4" t="str">
        <f>IF(ESF[[#This Row],[Prof. (m)]]&gt;=8*ESF[[#This Row],[Ø (cm)]]/100,"OK","lim.")</f>
        <v>OK</v>
      </c>
      <c r="BI94" s="4" t="str">
        <f>IF(AND(SPT!$F$3&lt;&gt;"",ESF[[#This Row],[Prof. (m)]]&gt;=SPT!$F$3),"lim.","OK")</f>
        <v>OK</v>
      </c>
      <c r="BJ94" s="4" t="str">
        <f>IF(COUNTIFS(ESF[Solo],"Areia",ESF[Prof. (m)],"&lt;="&amp;ESF[[#This Row],[Prof. (m)]])&gt;=1,"lim.","OK")</f>
        <v>OK</v>
      </c>
      <c r="BK94" s="4" t="str">
        <f ca="1">IF(ESF[[#This Row],[Verif. Biela]]="OK","OK","lim.")</f>
        <v>OK</v>
      </c>
      <c r="BL94" s="4" t="str">
        <f ca="1">IF(COUNTA(ESF[[#This Row],[Nº Est.]:[Biela comp.]])=COUNTIF(ESF[[#This Row],[Nº Est.]:[Biela comp.]],"OK"),"OK","lim.")</f>
        <v>lim.</v>
      </c>
      <c r="BM94" s="4" t="str">
        <f ca="1">IF(ESF[[#This Row],[Controle]]="OK",ESF[[#This Row],[nE]]&amp;" Ø"&amp;ESF[[#This Row],[Ø (cm)]]&amp;"cm Prof. "&amp;ESF[[#This Row],[Prof. (m)]]&amp;" m","")</f>
        <v/>
      </c>
      <c r="BN94" s="4" t="str">
        <f ca="1">IF(ESF[[#This Row],[idDimensionamento]]="","",ESF[[#This Row],[idPilar]]&amp;ESF[[#This Row],[idDimensionamento]])</f>
        <v/>
      </c>
    </row>
    <row r="95" spans="2:66" x14ac:dyDescent="0.25">
      <c r="B95" s="12">
        <f>ROUNDUP((ROW(ESF[[#This Row],[idDiâmetro]])-ROW(ESF[[#Headers],[idDiâmetro]]))/(COUNT(SPT[Prof. (m)])*COUNT(PILARES[Pilar])),0)</f>
        <v>4</v>
      </c>
      <c r="C95" s="12">
        <f>IF(ESF[[#This Row],[idDiâmetro]]&lt;&gt;B94,1,IF(ESF[[#This Row],[Prof. (m)]]=0,C94+1,C94))</f>
        <v>1</v>
      </c>
      <c r="D95" s="1">
        <f>IFERROR(IF(D94=MAX(SPT[Prof. (m)]),0,D94+1),0)</f>
        <v>6</v>
      </c>
      <c r="E95" s="1">
        <f>INDEX(SPT[],MATCH(ESF[[#This Row],[Prof. (m)]],SPT[Prof. (m)],0),2)</f>
        <v>21</v>
      </c>
      <c r="F95" s="1" t="str">
        <f>INDEX(SPT[],MATCH(ESF[[#This Row],[Prof. (m)]],SPT[Prof. (m)],0),3)</f>
        <v>Silte arenoso</v>
      </c>
      <c r="G95" s="1">
        <f>INDEX(estacas[],ESF[[#This Row],[idDiâmetro]],MATCH($B$2,estacas[#Headers],0))</f>
        <v>40</v>
      </c>
      <c r="H95" s="1">
        <f>INDEX(estacas[],MATCH(ESF[[#This Row],[Ø (cm)]],estacas[Ø ESF (cm)],0),MATCH(ESF[[#Headers],[Pe ESF (kN)]],estacas[#Headers],0))</f>
        <v>640</v>
      </c>
      <c r="I95" s="4">
        <f>INDEX(K_alpha_C[],MATCH(ESF[[#This Row],[Solo]],K_alpha_C[Solo],0),2)</f>
        <v>0.55000000000000004</v>
      </c>
      <c r="J95" s="5">
        <f>INDEX(K_alpha_C[],MATCH(ESF[[#This Row],[Solo]],K_alpha_C[Solo],0),3)</f>
        <v>2.2000000000000002</v>
      </c>
      <c r="K95" s="4">
        <f>INDEX(F1_F2[],MATCH($D$2,F1_F2[Tipo de estaca],0),2)</f>
        <v>3</v>
      </c>
      <c r="L95" s="4">
        <f>INDEX(F1_F2[],MATCH($D$2,F1_F2[Tipo de estaca],0),3)</f>
        <v>6</v>
      </c>
      <c r="M95" s="4">
        <f>PI()*(ESF[[#This Row],[Ø (cm)]]/100)^2/4</f>
        <v>0.12566370614359174</v>
      </c>
      <c r="N95" s="4">
        <f>PI()*ESF[[#This Row],[Ø (cm)]]/100</f>
        <v>1.2566370614359172</v>
      </c>
      <c r="O95" s="4">
        <f>IF(ESF[[#This Row],[Prof. (m)]]=0,0,ESF[[#This Row],[α (%)]]/100*ESF[[#This Row],[K (MPa)]]*1000*ESF[[#This Row],[NSPT]])</f>
        <v>254.10000000000002</v>
      </c>
      <c r="P95" s="4">
        <f>IF(ESF[[#This Row],[Prof. (m)]]=0,0,(ESF[[#This Row],[K (MPa)]]*1000*ESF[[#This Row],[NSPT]]/ESF[[#This Row],[F1]]*ESF[[#This Row],[Ap (m²)]]+ESF[[#This Row],[U (m)]]/ESF[[#This Row],[F2]]*SUMIFS(ESF[(α∙K∙NL∙ΔL)],ESF[Prof. (m)],"&lt;="&amp;ESF[[#This Row],[Prof. (m)]],ESF[idDiâmetro],ESF[[#This Row],[idDiâmetro]],ESF[idPilar],ESF[[#This Row],[idPilar]]))/'DADOS CAP. CARGA'!$D$2)</f>
        <v>323.80395480549998</v>
      </c>
      <c r="Q95" s="12">
        <f>INDEX(C_alpha_beta[],MATCH(ESF[[#This Row],[Solo]],C_alpha_beta[Solo],0),MATCH(ESF[[#Headers],[C (kPa)]],C_alpha_beta[#Headers],0))</f>
        <v>250</v>
      </c>
      <c r="R95" s="4">
        <f>INDEX(C_alpha_beta[],MATCH(ESF[[#This Row],[Solo]],C_alpha_beta[Solo],0),MATCH(ESF[[#Headers],[α ESF]],C_alpha_beta[#Headers],0))</f>
        <v>0.6</v>
      </c>
      <c r="S95" s="4">
        <f>INDEX(C_alpha_beta[],MATCH(ESF[[#This Row],[Solo]],C_alpha_beta[Solo],0),MATCH(ESF[[#Headers],[β ESF]],C_alpha_beta[#Headers],0))</f>
        <v>0.65</v>
      </c>
      <c r="T95" s="4">
        <f>IF(ESF[[#This Row],[Prof. (m)]]=0,0,10*(ESF[[#This Row],[NSPT]]/3+1))</f>
        <v>80</v>
      </c>
      <c r="U95" s="4">
        <f>(ESF[[#This Row],[α ESF]]*ESF[[#This Row],[C (kPa)]]*ESF[[#This Row],[NSPT]]*ESF[[#This Row],[Ap (m²)]])/'DADOS CAP. CARGA'!$Q$2+(ESF[[#This Row],[β ESF]]*SUMIFS(ESF[10∙(NL/3+1)],ESF[Prof. (m)],"&lt;="&amp;ESF[[#This Row],[Prof. (m)]],ESF[idDiâmetro],ESF[[#This Row],[idDiâmetro]],ESF[idPilar],ESF[[#This Row],[idPilar]])*ESF[[#This Row],[U (m)]])/'DADOS CAP. CARGA'!$S$2</f>
        <v>196.97785938008002</v>
      </c>
      <c r="V95" s="4">
        <f>IF(SPT!$M$5=1,MIN(ESF[[#This Row],[Pe ESF (kN)]],ESF[[#This Row],[R_AV (kN)]]),IF(SPT!$M$5=2,MIN(ESF[[#This Row],[Pe ESF (kN)]],ESF[[#This Row],[R_DC (kN)]]),MIN(ESF[[#This Row],[Pe ESF (kN)]],ESF[[#This Row],[R_AV (kN)]],ESF[[#This Row],[R_DC (kN)]])))</f>
        <v>196.97785938008002</v>
      </c>
      <c r="W95" s="4">
        <f>INDEX(PILARES[],ESF[[#This Row],[idPilar]],MATCH("Carga (kN)",PILARES[#Headers],0))*1.4</f>
        <v>3500</v>
      </c>
      <c r="X95" s="12">
        <f>INDEX(PILARES[],ESF[[#This Row],[idPilar]],MATCH(ESF[[#Headers],[ap (cm)]],PILARES[#Headers],0))</f>
        <v>60</v>
      </c>
      <c r="Y95" s="12">
        <f>INDEX(PILARES[],ESF[[#This Row],[idPilar]],MATCH(ESF[[#Headers],[bp (cm)]],PILARES[#Headers],0))</f>
        <v>60</v>
      </c>
      <c r="Z95" s="4">
        <f>SQRT(ESF[[#This Row],[ap (cm)]]*ESF[[#This Row],[bp (cm)]])</f>
        <v>60</v>
      </c>
      <c r="AA95" s="12">
        <f>ESF[[#This Row],[ap (cm)]]*ESF[[#This Row],[bp (cm)]]</f>
        <v>3600</v>
      </c>
      <c r="AB95" s="12">
        <f ca="1">IF(ESF[[#This Row],[Padm∙ε (kN)]]&gt;=ESF[[#This Row],[Padm (kN)]],ROUNDUP(1.05*ESF[[#This Row],[Nsd (kN)]]/ESF[[#This Row],[Padm (kN)]],0),ROUNDUP(1.05*ESF[[#This Row],[Nsd (kN)]]/ESF[[#This Row],[Padm (kN)]],0)+1)</f>
        <v>19</v>
      </c>
      <c r="AC95" s="4" t="str">
        <f ca="1">IFERROR(IF(ESF[[#This Row],[nE]]=1,ESF[[#This Row],[Padm (kN)]],ESF[[#This Row],[Padm (kN)]]*ESF[[#This Row],[nE]]*INDEX(grupoEstacas[],ESF[[#This Row],[nE]],MATCH("ε",grupoEstacas[#Headers],0))),"N.S.")</f>
        <v>N.S.</v>
      </c>
      <c r="AD95" s="4">
        <f ca="1">1.05*ESF[[#This Row],[Nsd (kN)]]/(ESF[[#This Row],[nE]]*PI()*ESF[[#This Row],[Ø (cm)]]^2/4)*10</f>
        <v>1.5391958312176723</v>
      </c>
      <c r="AE95" s="4">
        <f ca="1">IF(ESF[[#This Row],[σ (MPa)]]&lt;INDEX(tipoEstaca[],MATCH($D$2,tipoEstaca[TIPO DE ESTACA],0),MATCH("σmáx (MPa)",tipoEstaca[#Headers],0)),0.4%*PI()*ESF[[#This Row],[Ø (cm)]]^2/4,"N.S.")</f>
        <v>5.026548245743669</v>
      </c>
      <c r="AF95" s="1">
        <f>INDEX(tipoEstaca[],MATCH($D$2,tipoEstaca[TIPO DE ESTACA],0),MATCH(ESF[[#Headers],[Comprimento (m)]],tipoEstaca[#Headers],0))</f>
        <v>2</v>
      </c>
      <c r="AG95" s="5">
        <f ca="1">ESF[[#This Row],[As,mín (cm²)]]/100^2*ESF[[#This Row],[Comprimento (m)]]*7850</f>
        <v>7.8916807458175597</v>
      </c>
      <c r="AH95" s="4">
        <f ca="1">ESF[[#This Row],[nE]]*ESF[[#This Row],[Prof. (m)]]*ESF[[#This Row],[Ap (m²)]]</f>
        <v>14.325662500369457</v>
      </c>
      <c r="AI95" s="1">
        <f ca="1">IF(ESF[[#This Row],[nE]]=1,0,MAX(3*ESF[[#This Row],[Ø (cm)]],60))</f>
        <v>120</v>
      </c>
      <c r="AJ95" s="1">
        <f ca="1">IF(ESF[[#This Row],[nE]]=1,ESF[[#This Row],[Ø (cm)]]+2*10,MAX(1.5*ESF[[#This Row],[Ø (cm)]],ESF[[#This Row],[Ø (cm)]]+15))</f>
        <v>60</v>
      </c>
      <c r="AK95" s="1" t="str">
        <f ca="1">alturaUtil(ESF[[#This Row],[nE]],ESF[[#This Row],[Ø (cm)]],ESF[[#This Row],[e (cm)]],ESF[[#This Row],[ap,eq (cm)]])</f>
        <v>N.S.</v>
      </c>
      <c r="AL95" s="1" t="str">
        <f ca="1">IFERROR(ESF[[#This Row],[d (cm)]]+arredondarParaCimaMultiplo5cm(MAX(5,SQRT(PI())/2*ESF[[#This Row],[Ø (cm)]]/5)),"N.S.")</f>
        <v>N.S.</v>
      </c>
      <c r="AM95" s="5" t="str">
        <f ca="1">alpha(ESF[[#This Row],[nE]],ESF[[#This Row],[d (cm)]],ESF[[#This Row],[e (cm)]],ESF[[#This Row],[ap,eq (cm)]])</f>
        <v>N.S.</v>
      </c>
      <c r="AN95" s="35" t="str">
        <f ca="1">IFERROR(ESF[[#This Row],[Nsd (kN)]]/(ESF[[#This Row],[Ap (cm²)]]*SIN(ESF[[#This Row],[α]])^2),"N.S.")</f>
        <v>N.S.</v>
      </c>
      <c r="AO95" s="35" t="str">
        <f ca="1">IFERROR(ESF[[#This Row],[Nsd (kN)]]/(ESF[[#This Row],[nE]]*PI()*ESF[[#This Row],[Ø (cm)]]^2/4*SIN(ESF[[#This Row],[α]])^2),"N.S.")</f>
        <v>N.S.</v>
      </c>
      <c r="AP95" s="4" t="str">
        <f ca="1">IFERROR(INDEX(grupoEstacas[],ESF[[#This Row],[nE]],MATCH("coef. Blévot",grupoEstacas[#Headers],0)),"N.S.")</f>
        <v>N.S.</v>
      </c>
      <c r="AQ95" s="35" t="str">
        <f ca="1">IFERROR(ESF[[#This Row],[coef. Blévot]]*0.9*INDEX(tipoEstaca[],MATCH($D$2,tipoEstaca[TIPO DE ESTACA],0),MATCH("fcd (kN/cm²)",tipoEstaca[#Headers],0)),"N.S.")</f>
        <v>N.S.</v>
      </c>
      <c r="AR95" s="1" t="str">
        <f ca="1">IF(AND(ESF[[#This Row],[cd,b,pil (kN/cm²)]]&lt;=ESF[[#This Row],[cd,b,lim (kN/cm²)]],ESF[[#This Row],[cd,b,est (kN/cm²)]]&lt;=ESF[[#This Row],[cd,b,lim (kN/cm²)]]),"OK","ERRO")</f>
        <v>OK</v>
      </c>
      <c r="AS95" s="4" t="str">
        <f ca="1">As_lado(ESF[[#This Row],[nE]],ESF[[#This Row],[Nsd (kN)]],ESF[[#This Row],[d (cm)]],ESF[[#This Row],[e (cm)]],ESF[[#This Row],[ap,eq (cm)]])</f>
        <v>N.S.</v>
      </c>
      <c r="AT95" s="4" t="str">
        <f ca="1">IF(ESF[[#This Row],[nE]]=1,ESF[[#This Row],[As,lado (cm²)]],IF(ESF[[#This Row],[nE]]=2,0.075*2*ESF[a (cm)],"N.A."))</f>
        <v>N.A.</v>
      </c>
      <c r="AU95" s="4" t="str">
        <f ca="1">IFERROR(IF(ESF[[#This Row],[nE]]=1,"N.A.",0.2*ESF[[#This Row],[As,lado (cm²)]]),"N.S.")</f>
        <v>N.S.</v>
      </c>
      <c r="AV95" s="4" t="str">
        <f ca="1">As_malha(ESF[[#This Row],[nE]],ESF[[#This Row],[As,lado (cm²)]],ESF[[#This Row],[Nsd (kN)]])</f>
        <v>N.S.</v>
      </c>
      <c r="AW95" s="4" t="str">
        <f ca="1">As_susp_tot(ESF[[#This Row],[nE]],ESF[[#This Row],[Nsd (kN)]])</f>
        <v>N.S.</v>
      </c>
      <c r="AX95" s="4" t="str">
        <f ca="1">Asp_face(ESF[[#This Row],[nE]],ESF[[#This Row],[As,lado (cm²)]])</f>
        <v>N.S.</v>
      </c>
      <c r="AY95" s="5" t="str">
        <f ca="1">acoBloco(ESF[[#This Row],[nE]],ESF[[#This Row],[e (cm)]],ESF[[#This Row],[a (cm)]],ESF[[#This Row],[h (cm)]],ESF[[#This Row],[As,lado (cm²)]],ESF[[#This Row],[Asp e Asw (cm²/m)]],ESF[[#This Row],[As,sup (cm²)]],ESF[[#This Row],[As,malha (cm²)]],ESF[[#This Row],[As,susp,tot (cm²)]],ESF[[#This Row],[Asp,face (cm²)]])</f>
        <v>N.S.</v>
      </c>
      <c r="AZ95" s="4" t="str">
        <f ca="1">concretoBloco(ESF[[#This Row],[nE]],ESF[[#This Row],[e (cm)]],ESF[[#This Row],[a (cm)]],ESF[[#This Row],[h (cm)]])</f>
        <v>N.S.</v>
      </c>
      <c r="BA95" s="5">
        <f ca="1">SUM(ESF[[#This Row],[Aço Est (kg)]],ESF[[#This Row],[Aço Bloco (kg)]])</f>
        <v>7.8916807458175597</v>
      </c>
      <c r="BB95" s="4">
        <f>INDEX(composicoes[],MATCH(95580,composicoes[CÓDIGO],0),MATCH("CUSTO TOTAL",composicoes[#Headers],0))</f>
        <v>10.46</v>
      </c>
      <c r="BC95" s="4">
        <f ca="1">SUM(ESF[[#This Row],[Conc Est (m³)]],ESF[[#This Row],[Conc Bloco (m³)]])</f>
        <v>14.325662500369457</v>
      </c>
      <c r="BD95" s="4">
        <f>INDEX(composicoes[],MATCH(94966,composicoes[CÓDIGO],0),MATCH("CUSTO TOTAL",composicoes[#Headers],0))</f>
        <v>439.52</v>
      </c>
      <c r="BE95" s="38">
        <f ca="1">ESF[[#This Row],[Aço (kg)]]*ESF[[#This Row],[Aço (R$/kg)]]+ESF[[#This Row],[Conc (m³)]]*ESF[[#This Row],[Conc (R$/m³)]]</f>
        <v>6378.9621627636352</v>
      </c>
      <c r="BF95" s="4" t="str">
        <f ca="1">IF(COUNTIF(ESF[#This Row],"N.S.")&gt;0,"lim.","OK")</f>
        <v>lim.</v>
      </c>
      <c r="BG95" s="4" t="str">
        <f>IF(ESF[[#This Row],[Prof. (m)]]&lt;3,"lim.","OK")</f>
        <v>OK</v>
      </c>
      <c r="BH95" s="4" t="str">
        <f>IF(ESF[[#This Row],[Prof. (m)]]&gt;=8*ESF[[#This Row],[Ø (cm)]]/100,"OK","lim.")</f>
        <v>OK</v>
      </c>
      <c r="BI95" s="4" t="str">
        <f>IF(AND(SPT!$F$3&lt;&gt;"",ESF[[#This Row],[Prof. (m)]]&gt;=SPT!$F$3),"lim.","OK")</f>
        <v>OK</v>
      </c>
      <c r="BJ95" s="4" t="str">
        <f>IF(COUNTIFS(ESF[Solo],"Areia",ESF[Prof. (m)],"&lt;="&amp;ESF[[#This Row],[Prof. (m)]])&gt;=1,"lim.","OK")</f>
        <v>OK</v>
      </c>
      <c r="BK95" s="4" t="str">
        <f ca="1">IF(ESF[[#This Row],[Verif. Biela]]="OK","OK","lim.")</f>
        <v>OK</v>
      </c>
      <c r="BL95" s="4" t="str">
        <f ca="1">IF(COUNTA(ESF[[#This Row],[Nº Est.]:[Biela comp.]])=COUNTIF(ESF[[#This Row],[Nº Est.]:[Biela comp.]],"OK"),"OK","lim.")</f>
        <v>lim.</v>
      </c>
      <c r="BM95" s="4" t="str">
        <f ca="1">IF(ESF[[#This Row],[Controle]]="OK",ESF[[#This Row],[nE]]&amp;" Ø"&amp;ESF[[#This Row],[Ø (cm)]]&amp;"cm Prof. "&amp;ESF[[#This Row],[Prof. (m)]]&amp;" m","")</f>
        <v/>
      </c>
      <c r="BN95" s="4" t="str">
        <f ca="1">IF(ESF[[#This Row],[idDimensionamento]]="","",ESF[[#This Row],[idPilar]]&amp;ESF[[#This Row],[idDimensionamento]])</f>
        <v/>
      </c>
    </row>
    <row r="96" spans="2:66" x14ac:dyDescent="0.25">
      <c r="B96" s="12">
        <f>ROUNDUP((ROW(ESF[[#This Row],[idDiâmetro]])-ROW(ESF[[#Headers],[idDiâmetro]]))/(COUNT(SPT[Prof. (m)])*COUNT(PILARES[Pilar])),0)</f>
        <v>4</v>
      </c>
      <c r="C96" s="12">
        <f>IF(ESF[[#This Row],[idDiâmetro]]&lt;&gt;B95,1,IF(ESF[[#This Row],[Prof. (m)]]=0,C95+1,C95))</f>
        <v>1</v>
      </c>
      <c r="D96" s="1">
        <f>IFERROR(IF(D95=MAX(SPT[Prof. (m)]),0,D95+1),0)</f>
        <v>7</v>
      </c>
      <c r="E96" s="1">
        <f>INDEX(SPT[],MATCH(ESF[[#This Row],[Prof. (m)]],SPT[Prof. (m)],0),2)</f>
        <v>8</v>
      </c>
      <c r="F96" s="1" t="str">
        <f>INDEX(SPT[],MATCH(ESF[[#This Row],[Prof. (m)]],SPT[Prof. (m)],0),3)</f>
        <v>Silte arenoso</v>
      </c>
      <c r="G96" s="1">
        <f>INDEX(estacas[],ESF[[#This Row],[idDiâmetro]],MATCH($B$2,estacas[#Headers],0))</f>
        <v>40</v>
      </c>
      <c r="H96" s="1">
        <f>INDEX(estacas[],MATCH(ESF[[#This Row],[Ø (cm)]],estacas[Ø ESF (cm)],0),MATCH(ESF[[#Headers],[Pe ESF (kN)]],estacas[#Headers],0))</f>
        <v>640</v>
      </c>
      <c r="I96" s="4">
        <f>INDEX(K_alpha_C[],MATCH(ESF[[#This Row],[Solo]],K_alpha_C[Solo],0),2)</f>
        <v>0.55000000000000004</v>
      </c>
      <c r="J96" s="5">
        <f>INDEX(K_alpha_C[],MATCH(ESF[[#This Row],[Solo]],K_alpha_C[Solo],0),3)</f>
        <v>2.2000000000000002</v>
      </c>
      <c r="K96" s="4">
        <f>INDEX(F1_F2[],MATCH($D$2,F1_F2[Tipo de estaca],0),2)</f>
        <v>3</v>
      </c>
      <c r="L96" s="4">
        <f>INDEX(F1_F2[],MATCH($D$2,F1_F2[Tipo de estaca],0),3)</f>
        <v>6</v>
      </c>
      <c r="M96" s="4">
        <f>PI()*(ESF[[#This Row],[Ø (cm)]]/100)^2/4</f>
        <v>0.12566370614359174</v>
      </c>
      <c r="N96" s="4">
        <f>PI()*ESF[[#This Row],[Ø (cm)]]/100</f>
        <v>1.2566370614359172</v>
      </c>
      <c r="O96" s="4">
        <f>IF(ESF[[#This Row],[Prof. (m)]]=0,0,ESF[[#This Row],[α (%)]]/100*ESF[[#This Row],[K (MPa)]]*1000*ESF[[#This Row],[NSPT]])</f>
        <v>96.800000000000011</v>
      </c>
      <c r="P96" s="4">
        <f>IF(ESF[[#This Row],[Prof. (m)]]=0,0,(ESF[[#This Row],[K (MPa)]]*1000*ESF[[#This Row],[NSPT]]/ESF[[#This Row],[F1]]*ESF[[#This Row],[Ap (m²)]]+ESF[[#This Row],[U (m)]]/ESF[[#This Row],[F2]]*SUMIFS(ESF[(α∙K∙NL∙ΔL)],ESF[Prof. (m)],"&lt;="&amp;ESF[[#This Row],[Prof. (m)]],ESF[idDiâmetro],ESF[[#This Row],[idDiâmetro]],ESF[idPilar],ESF[[#This Row],[idPilar]]))/'DADOS CAP. CARGA'!$D$2)</f>
        <v>184.19157727996958</v>
      </c>
      <c r="Q96" s="12">
        <f>INDEX(C_alpha_beta[],MATCH(ESF[[#This Row],[Solo]],C_alpha_beta[Solo],0),MATCH(ESF[[#Headers],[C (kPa)]],C_alpha_beta[#Headers],0))</f>
        <v>250</v>
      </c>
      <c r="R96" s="4">
        <f>INDEX(C_alpha_beta[],MATCH(ESF[[#This Row],[Solo]],C_alpha_beta[Solo],0),MATCH(ESF[[#Headers],[α ESF]],C_alpha_beta[#Headers],0))</f>
        <v>0.6</v>
      </c>
      <c r="S96" s="4">
        <f>INDEX(C_alpha_beta[],MATCH(ESF[[#This Row],[Solo]],C_alpha_beta[Solo],0),MATCH(ESF[[#Headers],[β ESF]],C_alpha_beta[#Headers],0))</f>
        <v>0.65</v>
      </c>
      <c r="T96" s="4">
        <f>IF(ESF[[#This Row],[Prof. (m)]]=0,0,10*(ESF[[#This Row],[NSPT]]/3+1))</f>
        <v>36.666666666666664</v>
      </c>
      <c r="U96" s="4">
        <f>(ESF[[#This Row],[α ESF]]*ESF[[#This Row],[C (kPa)]]*ESF[[#This Row],[NSPT]]*ESF[[#This Row],[Ap (m²)]])/'DADOS CAP. CARGA'!$Q$2+(ESF[[#This Row],[β ESF]]*SUMIFS(ESF[10∙(NL/3+1)],ESF[Prof. (m)],"&lt;="&amp;ESF[[#This Row],[Prof. (m)]],ESF[idDiâmetro],ESF[[#This Row],[idDiâmetro]],ESF[idPilar],ESF[[#This Row],[idPilar]])*ESF[[#This Row],[U (m)]])/'DADOS CAP. CARGA'!$S$2</f>
        <v>150.69172761719039</v>
      </c>
      <c r="V96" s="4">
        <f>IF(SPT!$M$5=1,MIN(ESF[[#This Row],[Pe ESF (kN)]],ESF[[#This Row],[R_AV (kN)]]),IF(SPT!$M$5=2,MIN(ESF[[#This Row],[Pe ESF (kN)]],ESF[[#This Row],[R_DC (kN)]]),MIN(ESF[[#This Row],[Pe ESF (kN)]],ESF[[#This Row],[R_AV (kN)]],ESF[[#This Row],[R_DC (kN)]])))</f>
        <v>150.69172761719039</v>
      </c>
      <c r="W96" s="4">
        <f>INDEX(PILARES[],ESF[[#This Row],[idPilar]],MATCH("Carga (kN)",PILARES[#Headers],0))*1.4</f>
        <v>3500</v>
      </c>
      <c r="X96" s="12">
        <f>INDEX(PILARES[],ESF[[#This Row],[idPilar]],MATCH(ESF[[#Headers],[ap (cm)]],PILARES[#Headers],0))</f>
        <v>60</v>
      </c>
      <c r="Y96" s="12">
        <f>INDEX(PILARES[],ESF[[#This Row],[idPilar]],MATCH(ESF[[#Headers],[bp (cm)]],PILARES[#Headers],0))</f>
        <v>60</v>
      </c>
      <c r="Z96" s="4">
        <f>SQRT(ESF[[#This Row],[ap (cm)]]*ESF[[#This Row],[bp (cm)]])</f>
        <v>60</v>
      </c>
      <c r="AA96" s="12">
        <f>ESF[[#This Row],[ap (cm)]]*ESF[[#This Row],[bp (cm)]]</f>
        <v>3600</v>
      </c>
      <c r="AB96" s="12">
        <f ca="1">IF(ESF[[#This Row],[Padm∙ε (kN)]]&gt;=ESF[[#This Row],[Padm (kN)]],ROUNDUP(1.05*ESF[[#This Row],[Nsd (kN)]]/ESF[[#This Row],[Padm (kN)]],0),ROUNDUP(1.05*ESF[[#This Row],[Nsd (kN)]]/ESF[[#This Row],[Padm (kN)]],0)+1)</f>
        <v>25</v>
      </c>
      <c r="AC96" s="4" t="str">
        <f ca="1">IFERROR(IF(ESF[[#This Row],[nE]]=1,ESF[[#This Row],[Padm (kN)]],ESF[[#This Row],[Padm (kN)]]*ESF[[#This Row],[nE]]*INDEX(grupoEstacas[],ESF[[#This Row],[nE]],MATCH("ε",grupoEstacas[#Headers],0))),"N.S.")</f>
        <v>N.S.</v>
      </c>
      <c r="AD96" s="4">
        <f ca="1">1.05*ESF[[#This Row],[Nsd (kN)]]/(ESF[[#This Row],[nE]]*PI()*ESF[[#This Row],[Ø (cm)]]^2/4)*10</f>
        <v>1.1697888317254308</v>
      </c>
      <c r="AE96" s="4">
        <f ca="1">IF(ESF[[#This Row],[σ (MPa)]]&lt;INDEX(tipoEstaca[],MATCH($D$2,tipoEstaca[TIPO DE ESTACA],0),MATCH("σmáx (MPa)",tipoEstaca[#Headers],0)),0.4%*PI()*ESF[[#This Row],[Ø (cm)]]^2/4,"N.S.")</f>
        <v>5.026548245743669</v>
      </c>
      <c r="AF96" s="1">
        <f>INDEX(tipoEstaca[],MATCH($D$2,tipoEstaca[TIPO DE ESTACA],0),MATCH(ESF[[#Headers],[Comprimento (m)]],tipoEstaca[#Headers],0))</f>
        <v>2</v>
      </c>
      <c r="AG96" s="5">
        <f ca="1">ESF[[#This Row],[As,mín (cm²)]]/100^2*ESF[[#This Row],[Comprimento (m)]]*7850</f>
        <v>7.8916807458175597</v>
      </c>
      <c r="AH96" s="4">
        <f ca="1">ESF[[#This Row],[nE]]*ESF[[#This Row],[Prof. (m)]]*ESF[[#This Row],[Ap (m²)]]</f>
        <v>21.991148575128555</v>
      </c>
      <c r="AI96" s="1">
        <f ca="1">IF(ESF[[#This Row],[nE]]=1,0,MAX(3*ESF[[#This Row],[Ø (cm)]],60))</f>
        <v>120</v>
      </c>
      <c r="AJ96" s="1">
        <f ca="1">IF(ESF[[#This Row],[nE]]=1,ESF[[#This Row],[Ø (cm)]]+2*10,MAX(1.5*ESF[[#This Row],[Ø (cm)]],ESF[[#This Row],[Ø (cm)]]+15))</f>
        <v>60</v>
      </c>
      <c r="AK96" s="1" t="str">
        <f ca="1">alturaUtil(ESF[[#This Row],[nE]],ESF[[#This Row],[Ø (cm)]],ESF[[#This Row],[e (cm)]],ESF[[#This Row],[ap,eq (cm)]])</f>
        <v>N.S.</v>
      </c>
      <c r="AL96" s="1" t="str">
        <f ca="1">IFERROR(ESF[[#This Row],[d (cm)]]+arredondarParaCimaMultiplo5cm(MAX(5,SQRT(PI())/2*ESF[[#This Row],[Ø (cm)]]/5)),"N.S.")</f>
        <v>N.S.</v>
      </c>
      <c r="AM96" s="5" t="str">
        <f ca="1">alpha(ESF[[#This Row],[nE]],ESF[[#This Row],[d (cm)]],ESF[[#This Row],[e (cm)]],ESF[[#This Row],[ap,eq (cm)]])</f>
        <v>N.S.</v>
      </c>
      <c r="AN96" s="35" t="str">
        <f ca="1">IFERROR(ESF[[#This Row],[Nsd (kN)]]/(ESF[[#This Row],[Ap (cm²)]]*SIN(ESF[[#This Row],[α]])^2),"N.S.")</f>
        <v>N.S.</v>
      </c>
      <c r="AO96" s="35" t="str">
        <f ca="1">IFERROR(ESF[[#This Row],[Nsd (kN)]]/(ESF[[#This Row],[nE]]*PI()*ESF[[#This Row],[Ø (cm)]]^2/4*SIN(ESF[[#This Row],[α]])^2),"N.S.")</f>
        <v>N.S.</v>
      </c>
      <c r="AP96" s="4" t="str">
        <f ca="1">IFERROR(INDEX(grupoEstacas[],ESF[[#This Row],[nE]],MATCH("coef. Blévot",grupoEstacas[#Headers],0)),"N.S.")</f>
        <v>N.S.</v>
      </c>
      <c r="AQ96" s="35" t="str">
        <f ca="1">IFERROR(ESF[[#This Row],[coef. Blévot]]*0.9*INDEX(tipoEstaca[],MATCH($D$2,tipoEstaca[TIPO DE ESTACA],0),MATCH("fcd (kN/cm²)",tipoEstaca[#Headers],0)),"N.S.")</f>
        <v>N.S.</v>
      </c>
      <c r="AR96" s="1" t="str">
        <f ca="1">IF(AND(ESF[[#This Row],[cd,b,pil (kN/cm²)]]&lt;=ESF[[#This Row],[cd,b,lim (kN/cm²)]],ESF[[#This Row],[cd,b,est (kN/cm²)]]&lt;=ESF[[#This Row],[cd,b,lim (kN/cm²)]]),"OK","ERRO")</f>
        <v>OK</v>
      </c>
      <c r="AS96" s="4" t="str">
        <f ca="1">As_lado(ESF[[#This Row],[nE]],ESF[[#This Row],[Nsd (kN)]],ESF[[#This Row],[d (cm)]],ESF[[#This Row],[e (cm)]],ESF[[#This Row],[ap,eq (cm)]])</f>
        <v>N.S.</v>
      </c>
      <c r="AT96" s="4" t="str">
        <f ca="1">IF(ESF[[#This Row],[nE]]=1,ESF[[#This Row],[As,lado (cm²)]],IF(ESF[[#This Row],[nE]]=2,0.075*2*ESF[a (cm)],"N.A."))</f>
        <v>N.A.</v>
      </c>
      <c r="AU96" s="4" t="str">
        <f ca="1">IFERROR(IF(ESF[[#This Row],[nE]]=1,"N.A.",0.2*ESF[[#This Row],[As,lado (cm²)]]),"N.S.")</f>
        <v>N.S.</v>
      </c>
      <c r="AV96" s="4" t="str">
        <f ca="1">As_malha(ESF[[#This Row],[nE]],ESF[[#This Row],[As,lado (cm²)]],ESF[[#This Row],[Nsd (kN)]])</f>
        <v>N.S.</v>
      </c>
      <c r="AW96" s="4" t="str">
        <f ca="1">As_susp_tot(ESF[[#This Row],[nE]],ESF[[#This Row],[Nsd (kN)]])</f>
        <v>N.S.</v>
      </c>
      <c r="AX96" s="4" t="str">
        <f ca="1">Asp_face(ESF[[#This Row],[nE]],ESF[[#This Row],[As,lado (cm²)]])</f>
        <v>N.S.</v>
      </c>
      <c r="AY96" s="5" t="str">
        <f ca="1">acoBloco(ESF[[#This Row],[nE]],ESF[[#This Row],[e (cm)]],ESF[[#This Row],[a (cm)]],ESF[[#This Row],[h (cm)]],ESF[[#This Row],[As,lado (cm²)]],ESF[[#This Row],[Asp e Asw (cm²/m)]],ESF[[#This Row],[As,sup (cm²)]],ESF[[#This Row],[As,malha (cm²)]],ESF[[#This Row],[As,susp,tot (cm²)]],ESF[[#This Row],[Asp,face (cm²)]])</f>
        <v>N.S.</v>
      </c>
      <c r="AZ96" s="4" t="str">
        <f ca="1">concretoBloco(ESF[[#This Row],[nE]],ESF[[#This Row],[e (cm)]],ESF[[#This Row],[a (cm)]],ESF[[#This Row],[h (cm)]])</f>
        <v>N.S.</v>
      </c>
      <c r="BA96" s="5">
        <f ca="1">SUM(ESF[[#This Row],[Aço Est (kg)]],ESF[[#This Row],[Aço Bloco (kg)]])</f>
        <v>7.8916807458175597</v>
      </c>
      <c r="BB96" s="4">
        <f>INDEX(composicoes[],MATCH(95580,composicoes[CÓDIGO],0),MATCH("CUSTO TOTAL",composicoes[#Headers],0))</f>
        <v>10.46</v>
      </c>
      <c r="BC96" s="4">
        <f ca="1">SUM(ESF[[#This Row],[Conc Est (m³)]],ESF[[#This Row],[Conc Bloco (m³)]])</f>
        <v>21.991148575128555</v>
      </c>
      <c r="BD96" s="4">
        <f>INDEX(composicoes[],MATCH(94966,composicoes[CÓDIGO],0),MATCH("CUSTO TOTAL",composicoes[#Headers],0))</f>
        <v>439.52</v>
      </c>
      <c r="BE96" s="38">
        <f ca="1">ESF[[#This Row],[Aço (kg)]]*ESF[[#This Row],[Aço (R$/kg)]]+ESF[[#This Row],[Conc (m³)]]*ESF[[#This Row],[Conc (R$/m³)]]</f>
        <v>9748.0966023417532</v>
      </c>
      <c r="BF96" s="4" t="str">
        <f ca="1">IF(COUNTIF(ESF[#This Row],"N.S.")&gt;0,"lim.","OK")</f>
        <v>lim.</v>
      </c>
      <c r="BG96" s="4" t="str">
        <f>IF(ESF[[#This Row],[Prof. (m)]]&lt;3,"lim.","OK")</f>
        <v>OK</v>
      </c>
      <c r="BH96" s="4" t="str">
        <f>IF(ESF[[#This Row],[Prof. (m)]]&gt;=8*ESF[[#This Row],[Ø (cm)]]/100,"OK","lim.")</f>
        <v>OK</v>
      </c>
      <c r="BI96" s="4" t="str">
        <f>IF(AND(SPT!$F$3&lt;&gt;"",ESF[[#This Row],[Prof. (m)]]&gt;=SPT!$F$3),"lim.","OK")</f>
        <v>OK</v>
      </c>
      <c r="BJ96" s="4" t="str">
        <f>IF(COUNTIFS(ESF[Solo],"Areia",ESF[Prof. (m)],"&lt;="&amp;ESF[[#This Row],[Prof. (m)]])&gt;=1,"lim.","OK")</f>
        <v>OK</v>
      </c>
      <c r="BK96" s="4" t="str">
        <f ca="1">IF(ESF[[#This Row],[Verif. Biela]]="OK","OK","lim.")</f>
        <v>OK</v>
      </c>
      <c r="BL96" s="4" t="str">
        <f ca="1">IF(COUNTA(ESF[[#This Row],[Nº Est.]:[Biela comp.]])=COUNTIF(ESF[[#This Row],[Nº Est.]:[Biela comp.]],"OK"),"OK","lim.")</f>
        <v>lim.</v>
      </c>
      <c r="BM96" s="4" t="str">
        <f ca="1">IF(ESF[[#This Row],[Controle]]="OK",ESF[[#This Row],[nE]]&amp;" Ø"&amp;ESF[[#This Row],[Ø (cm)]]&amp;"cm Prof. "&amp;ESF[[#This Row],[Prof. (m)]]&amp;" m","")</f>
        <v/>
      </c>
      <c r="BN96" s="4" t="str">
        <f ca="1">IF(ESF[[#This Row],[idDimensionamento]]="","",ESF[[#This Row],[idPilar]]&amp;ESF[[#This Row],[idDimensionamento]])</f>
        <v/>
      </c>
    </row>
    <row r="97" spans="2:66" x14ac:dyDescent="0.25">
      <c r="B97" s="12">
        <f>ROUNDUP((ROW(ESF[[#This Row],[idDiâmetro]])-ROW(ESF[[#Headers],[idDiâmetro]]))/(COUNT(SPT[Prof. (m)])*COUNT(PILARES[Pilar])),0)</f>
        <v>4</v>
      </c>
      <c r="C97" s="12">
        <f>IF(ESF[[#This Row],[idDiâmetro]]&lt;&gt;B96,1,IF(ESF[[#This Row],[Prof. (m)]]=0,C96+1,C96))</f>
        <v>1</v>
      </c>
      <c r="D97" s="1">
        <f>IFERROR(IF(D96=MAX(SPT[Prof. (m)]),0,D96+1),0)</f>
        <v>8</v>
      </c>
      <c r="E97" s="1">
        <f>INDEX(SPT[],MATCH(ESF[[#This Row],[Prof. (m)]],SPT[Prof. (m)],0),2)</f>
        <v>10</v>
      </c>
      <c r="F97" s="1" t="str">
        <f>INDEX(SPT[],MATCH(ESF[[#This Row],[Prof. (m)]],SPT[Prof. (m)],0),3)</f>
        <v>Silte arenoso</v>
      </c>
      <c r="G97" s="1">
        <f>INDEX(estacas[],ESF[[#This Row],[idDiâmetro]],MATCH($B$2,estacas[#Headers],0))</f>
        <v>40</v>
      </c>
      <c r="H97" s="1">
        <f>INDEX(estacas[],MATCH(ESF[[#This Row],[Ø (cm)]],estacas[Ø ESF (cm)],0),MATCH(ESF[[#Headers],[Pe ESF (kN)]],estacas[#Headers],0))</f>
        <v>640</v>
      </c>
      <c r="I97" s="4">
        <f>INDEX(K_alpha_C[],MATCH(ESF[[#This Row],[Solo]],K_alpha_C[Solo],0),2)</f>
        <v>0.55000000000000004</v>
      </c>
      <c r="J97" s="5">
        <f>INDEX(K_alpha_C[],MATCH(ESF[[#This Row],[Solo]],K_alpha_C[Solo],0),3)</f>
        <v>2.2000000000000002</v>
      </c>
      <c r="K97" s="4">
        <f>INDEX(F1_F2[],MATCH($D$2,F1_F2[Tipo de estaca],0),2)</f>
        <v>3</v>
      </c>
      <c r="L97" s="4">
        <f>INDEX(F1_F2[],MATCH($D$2,F1_F2[Tipo de estaca],0),3)</f>
        <v>6</v>
      </c>
      <c r="M97" s="4">
        <f>PI()*(ESF[[#This Row],[Ø (cm)]]/100)^2/4</f>
        <v>0.12566370614359174</v>
      </c>
      <c r="N97" s="4">
        <f>PI()*ESF[[#This Row],[Ø (cm)]]/100</f>
        <v>1.2566370614359172</v>
      </c>
      <c r="O97" s="4">
        <f>IF(ESF[[#This Row],[Prof. (m)]]=0,0,ESF[[#This Row],[α (%)]]/100*ESF[[#This Row],[K (MPa)]]*1000*ESF[[#This Row],[NSPT]])</f>
        <v>121.00000000000001</v>
      </c>
      <c r="P97" s="4">
        <f>IF(ESF[[#This Row],[Prof. (m)]]=0,0,(ESF[[#This Row],[K (MPa)]]*1000*ESF[[#This Row],[NSPT]]/ESF[[#This Row],[F1]]*ESF[[#This Row],[Ap (m²)]]+ESF[[#This Row],[U (m)]]/ESF[[#This Row],[F2]]*SUMIFS(ESF[(α∙K∙NL∙ΔL)],ESF[Prof. (m)],"&lt;="&amp;ESF[[#This Row],[Prof. (m)]],ESF[idDiâmetro],ESF[[#This Row],[idDiâmetro]],ESF[idPilar],ESF[[#This Row],[idPilar]]))/'DADOS CAP. CARGA'!$D$2)</f>
        <v>219.90101377577355</v>
      </c>
      <c r="Q97" s="12">
        <f>INDEX(C_alpha_beta[],MATCH(ESF[[#This Row],[Solo]],C_alpha_beta[Solo],0),MATCH(ESF[[#Headers],[C (kPa)]],C_alpha_beta[#Headers],0))</f>
        <v>250</v>
      </c>
      <c r="R97" s="4">
        <f>INDEX(C_alpha_beta[],MATCH(ESF[[#This Row],[Solo]],C_alpha_beta[Solo],0),MATCH(ESF[[#Headers],[α ESF]],C_alpha_beta[#Headers],0))</f>
        <v>0.6</v>
      </c>
      <c r="S97" s="4">
        <f>INDEX(C_alpha_beta[],MATCH(ESF[[#This Row],[Solo]],C_alpha_beta[Solo],0),MATCH(ESF[[#Headers],[β ESF]],C_alpha_beta[#Headers],0))</f>
        <v>0.65</v>
      </c>
      <c r="T97" s="4">
        <f>IF(ESF[[#This Row],[Prof. (m)]]=0,0,10*(ESF[[#This Row],[NSPT]]/3+1))</f>
        <v>43.333333333333343</v>
      </c>
      <c r="U97" s="4">
        <f>(ESF[[#This Row],[α ESF]]*ESF[[#This Row],[C (kPa)]]*ESF[[#This Row],[NSPT]]*ESF[[#This Row],[Ap (m²)]])/'DADOS CAP. CARGA'!$Q$2+(ESF[[#This Row],[β ESF]]*SUMIFS(ESF[10∙(NL/3+1)],ESF[Prof. (m)],"&lt;="&amp;ESF[[#This Row],[Prof. (m)]],ESF[idDiâmetro],ESF[[#This Row],[idDiâmetro]],ESF[idPilar],ESF[[#This Row],[idPilar]])*ESF[[#This Row],[U (m)]])/'DADOS CAP. CARGA'!$S$2</f>
        <v>177.8141441931823</v>
      </c>
      <c r="V97" s="4">
        <f>IF(SPT!$M$5=1,MIN(ESF[[#This Row],[Pe ESF (kN)]],ESF[[#This Row],[R_AV (kN)]]),IF(SPT!$M$5=2,MIN(ESF[[#This Row],[Pe ESF (kN)]],ESF[[#This Row],[R_DC (kN)]]),MIN(ESF[[#This Row],[Pe ESF (kN)]],ESF[[#This Row],[R_AV (kN)]],ESF[[#This Row],[R_DC (kN)]])))</f>
        <v>177.8141441931823</v>
      </c>
      <c r="W97" s="4">
        <f>INDEX(PILARES[],ESF[[#This Row],[idPilar]],MATCH("Carga (kN)",PILARES[#Headers],0))*1.4</f>
        <v>3500</v>
      </c>
      <c r="X97" s="12">
        <f>INDEX(PILARES[],ESF[[#This Row],[idPilar]],MATCH(ESF[[#Headers],[ap (cm)]],PILARES[#Headers],0))</f>
        <v>60</v>
      </c>
      <c r="Y97" s="12">
        <f>INDEX(PILARES[],ESF[[#This Row],[idPilar]],MATCH(ESF[[#Headers],[bp (cm)]],PILARES[#Headers],0))</f>
        <v>60</v>
      </c>
      <c r="Z97" s="4">
        <f>SQRT(ESF[[#This Row],[ap (cm)]]*ESF[[#This Row],[bp (cm)]])</f>
        <v>60</v>
      </c>
      <c r="AA97" s="12">
        <f>ESF[[#This Row],[ap (cm)]]*ESF[[#This Row],[bp (cm)]]</f>
        <v>3600</v>
      </c>
      <c r="AB97" s="12">
        <f ca="1">IF(ESF[[#This Row],[Padm∙ε (kN)]]&gt;=ESF[[#This Row],[Padm (kN)]],ROUNDUP(1.05*ESF[[#This Row],[Nsd (kN)]]/ESF[[#This Row],[Padm (kN)]],0),ROUNDUP(1.05*ESF[[#This Row],[Nsd (kN)]]/ESF[[#This Row],[Padm (kN)]],0)+1)</f>
        <v>21</v>
      </c>
      <c r="AC97" s="4" t="str">
        <f ca="1">IFERROR(IF(ESF[[#This Row],[nE]]=1,ESF[[#This Row],[Padm (kN)]],ESF[[#This Row],[Padm (kN)]]*ESF[[#This Row],[nE]]*INDEX(grupoEstacas[],ESF[[#This Row],[nE]],MATCH("ε",grupoEstacas[#Headers],0))),"N.S.")</f>
        <v>N.S.</v>
      </c>
      <c r="AD97" s="4">
        <f ca="1">1.05*ESF[[#This Row],[Nsd (kN)]]/(ESF[[#This Row],[nE]]*PI()*ESF[[#This Row],[Ø (cm)]]^2/4)*10</f>
        <v>1.392605752054084</v>
      </c>
      <c r="AE97" s="4">
        <f ca="1">IF(ESF[[#This Row],[σ (MPa)]]&lt;INDEX(tipoEstaca[],MATCH($D$2,tipoEstaca[TIPO DE ESTACA],0),MATCH("σmáx (MPa)",tipoEstaca[#Headers],0)),0.4%*PI()*ESF[[#This Row],[Ø (cm)]]^2/4,"N.S.")</f>
        <v>5.026548245743669</v>
      </c>
      <c r="AF97" s="1">
        <f>INDEX(tipoEstaca[],MATCH($D$2,tipoEstaca[TIPO DE ESTACA],0),MATCH(ESF[[#Headers],[Comprimento (m)]],tipoEstaca[#Headers],0))</f>
        <v>2</v>
      </c>
      <c r="AG97" s="5">
        <f ca="1">ESF[[#This Row],[As,mín (cm²)]]/100^2*ESF[[#This Row],[Comprimento (m)]]*7850</f>
        <v>7.8916807458175597</v>
      </c>
      <c r="AH97" s="4">
        <f ca="1">ESF[[#This Row],[nE]]*ESF[[#This Row],[Prof. (m)]]*ESF[[#This Row],[Ap (m²)]]</f>
        <v>21.111502632123411</v>
      </c>
      <c r="AI97" s="1">
        <f ca="1">IF(ESF[[#This Row],[nE]]=1,0,MAX(3*ESF[[#This Row],[Ø (cm)]],60))</f>
        <v>120</v>
      </c>
      <c r="AJ97" s="1">
        <f ca="1">IF(ESF[[#This Row],[nE]]=1,ESF[[#This Row],[Ø (cm)]]+2*10,MAX(1.5*ESF[[#This Row],[Ø (cm)]],ESF[[#This Row],[Ø (cm)]]+15))</f>
        <v>60</v>
      </c>
      <c r="AK97" s="1" t="str">
        <f ca="1">alturaUtil(ESF[[#This Row],[nE]],ESF[[#This Row],[Ø (cm)]],ESF[[#This Row],[e (cm)]],ESF[[#This Row],[ap,eq (cm)]])</f>
        <v>N.S.</v>
      </c>
      <c r="AL97" s="1" t="str">
        <f ca="1">IFERROR(ESF[[#This Row],[d (cm)]]+arredondarParaCimaMultiplo5cm(MAX(5,SQRT(PI())/2*ESF[[#This Row],[Ø (cm)]]/5)),"N.S.")</f>
        <v>N.S.</v>
      </c>
      <c r="AM97" s="5" t="str">
        <f ca="1">alpha(ESF[[#This Row],[nE]],ESF[[#This Row],[d (cm)]],ESF[[#This Row],[e (cm)]],ESF[[#This Row],[ap,eq (cm)]])</f>
        <v>N.S.</v>
      </c>
      <c r="AN97" s="35" t="str">
        <f ca="1">IFERROR(ESF[[#This Row],[Nsd (kN)]]/(ESF[[#This Row],[Ap (cm²)]]*SIN(ESF[[#This Row],[α]])^2),"N.S.")</f>
        <v>N.S.</v>
      </c>
      <c r="AO97" s="35" t="str">
        <f ca="1">IFERROR(ESF[[#This Row],[Nsd (kN)]]/(ESF[[#This Row],[nE]]*PI()*ESF[[#This Row],[Ø (cm)]]^2/4*SIN(ESF[[#This Row],[α]])^2),"N.S.")</f>
        <v>N.S.</v>
      </c>
      <c r="AP97" s="4" t="str">
        <f ca="1">IFERROR(INDEX(grupoEstacas[],ESF[[#This Row],[nE]],MATCH("coef. Blévot",grupoEstacas[#Headers],0)),"N.S.")</f>
        <v>N.S.</v>
      </c>
      <c r="AQ97" s="35" t="str">
        <f ca="1">IFERROR(ESF[[#This Row],[coef. Blévot]]*0.9*INDEX(tipoEstaca[],MATCH($D$2,tipoEstaca[TIPO DE ESTACA],0),MATCH("fcd (kN/cm²)",tipoEstaca[#Headers],0)),"N.S.")</f>
        <v>N.S.</v>
      </c>
      <c r="AR97" s="1" t="str">
        <f ca="1">IF(AND(ESF[[#This Row],[cd,b,pil (kN/cm²)]]&lt;=ESF[[#This Row],[cd,b,lim (kN/cm²)]],ESF[[#This Row],[cd,b,est (kN/cm²)]]&lt;=ESF[[#This Row],[cd,b,lim (kN/cm²)]]),"OK","ERRO")</f>
        <v>OK</v>
      </c>
      <c r="AS97" s="4" t="str">
        <f ca="1">As_lado(ESF[[#This Row],[nE]],ESF[[#This Row],[Nsd (kN)]],ESF[[#This Row],[d (cm)]],ESF[[#This Row],[e (cm)]],ESF[[#This Row],[ap,eq (cm)]])</f>
        <v>N.S.</v>
      </c>
      <c r="AT97" s="4" t="str">
        <f ca="1">IF(ESF[[#This Row],[nE]]=1,ESF[[#This Row],[As,lado (cm²)]],IF(ESF[[#This Row],[nE]]=2,0.075*2*ESF[a (cm)],"N.A."))</f>
        <v>N.A.</v>
      </c>
      <c r="AU97" s="4" t="str">
        <f ca="1">IFERROR(IF(ESF[[#This Row],[nE]]=1,"N.A.",0.2*ESF[[#This Row],[As,lado (cm²)]]),"N.S.")</f>
        <v>N.S.</v>
      </c>
      <c r="AV97" s="4" t="str">
        <f ca="1">As_malha(ESF[[#This Row],[nE]],ESF[[#This Row],[As,lado (cm²)]],ESF[[#This Row],[Nsd (kN)]])</f>
        <v>N.S.</v>
      </c>
      <c r="AW97" s="4" t="str">
        <f ca="1">As_susp_tot(ESF[[#This Row],[nE]],ESF[[#This Row],[Nsd (kN)]])</f>
        <v>N.S.</v>
      </c>
      <c r="AX97" s="4" t="str">
        <f ca="1">Asp_face(ESF[[#This Row],[nE]],ESF[[#This Row],[As,lado (cm²)]])</f>
        <v>N.S.</v>
      </c>
      <c r="AY97" s="5" t="str">
        <f ca="1">acoBloco(ESF[[#This Row],[nE]],ESF[[#This Row],[e (cm)]],ESF[[#This Row],[a (cm)]],ESF[[#This Row],[h (cm)]],ESF[[#This Row],[As,lado (cm²)]],ESF[[#This Row],[Asp e Asw (cm²/m)]],ESF[[#This Row],[As,sup (cm²)]],ESF[[#This Row],[As,malha (cm²)]],ESF[[#This Row],[As,susp,tot (cm²)]],ESF[[#This Row],[Asp,face (cm²)]])</f>
        <v>N.S.</v>
      </c>
      <c r="AZ97" s="4" t="str">
        <f ca="1">concretoBloco(ESF[[#This Row],[nE]],ESF[[#This Row],[e (cm)]],ESF[[#This Row],[a (cm)]],ESF[[#This Row],[h (cm)]])</f>
        <v>N.S.</v>
      </c>
      <c r="BA97" s="5">
        <f ca="1">SUM(ESF[[#This Row],[Aço Est (kg)]],ESF[[#This Row],[Aço Bloco (kg)]])</f>
        <v>7.8916807458175597</v>
      </c>
      <c r="BB97" s="4">
        <f>INDEX(composicoes[],MATCH(95580,composicoes[CÓDIGO],0),MATCH("CUSTO TOTAL",composicoes[#Headers],0))</f>
        <v>10.46</v>
      </c>
      <c r="BC97" s="4">
        <f ca="1">SUM(ESF[[#This Row],[Conc Est (m³)]],ESF[[#This Row],[Conc Bloco (m³)]])</f>
        <v>21.111502632123411</v>
      </c>
      <c r="BD97" s="4">
        <f>INDEX(composicoes[],MATCH(94966,composicoes[CÓDIGO],0),MATCH("CUSTO TOTAL",composicoes[#Headers],0))</f>
        <v>439.52</v>
      </c>
      <c r="BE97" s="38">
        <f ca="1">ESF[[#This Row],[Aço (kg)]]*ESF[[#This Row],[Aço (R$/kg)]]+ESF[[#This Row],[Conc (m³)]]*ESF[[#This Row],[Conc (R$/m³)]]</f>
        <v>9361.4746174721331</v>
      </c>
      <c r="BF97" s="4" t="str">
        <f ca="1">IF(COUNTIF(ESF[#This Row],"N.S.")&gt;0,"lim.","OK")</f>
        <v>lim.</v>
      </c>
      <c r="BG97" s="4" t="str">
        <f>IF(ESF[[#This Row],[Prof. (m)]]&lt;3,"lim.","OK")</f>
        <v>OK</v>
      </c>
      <c r="BH97" s="4" t="str">
        <f>IF(ESF[[#This Row],[Prof. (m)]]&gt;=8*ESF[[#This Row],[Ø (cm)]]/100,"OK","lim.")</f>
        <v>OK</v>
      </c>
      <c r="BI97" s="4" t="str">
        <f>IF(AND(SPT!$F$3&lt;&gt;"",ESF[[#This Row],[Prof. (m)]]&gt;=SPT!$F$3),"lim.","OK")</f>
        <v>OK</v>
      </c>
      <c r="BJ97" s="4" t="str">
        <f>IF(COUNTIFS(ESF[Solo],"Areia",ESF[Prof. (m)],"&lt;="&amp;ESF[[#This Row],[Prof. (m)]])&gt;=1,"lim.","OK")</f>
        <v>OK</v>
      </c>
      <c r="BK97" s="4" t="str">
        <f ca="1">IF(ESF[[#This Row],[Verif. Biela]]="OK","OK","lim.")</f>
        <v>OK</v>
      </c>
      <c r="BL97" s="4" t="str">
        <f ca="1">IF(COUNTA(ESF[[#This Row],[Nº Est.]:[Biela comp.]])=COUNTIF(ESF[[#This Row],[Nº Est.]:[Biela comp.]],"OK"),"OK","lim.")</f>
        <v>lim.</v>
      </c>
      <c r="BM97" s="4" t="str">
        <f ca="1">IF(ESF[[#This Row],[Controle]]="OK",ESF[[#This Row],[nE]]&amp;" Ø"&amp;ESF[[#This Row],[Ø (cm)]]&amp;"cm Prof. "&amp;ESF[[#This Row],[Prof. (m)]]&amp;" m","")</f>
        <v/>
      </c>
      <c r="BN97" s="4" t="str">
        <f ca="1">IF(ESF[[#This Row],[idDimensionamento]]="","",ESF[[#This Row],[idPilar]]&amp;ESF[[#This Row],[idDimensionamento]])</f>
        <v/>
      </c>
    </row>
    <row r="98" spans="2:66" x14ac:dyDescent="0.25">
      <c r="B98" s="12">
        <f>ROUNDUP((ROW(ESF[[#This Row],[idDiâmetro]])-ROW(ESF[[#Headers],[idDiâmetro]]))/(COUNT(SPT[Prof. (m)])*COUNT(PILARES[Pilar])),0)</f>
        <v>4</v>
      </c>
      <c r="C98" s="12">
        <f>IF(ESF[[#This Row],[idDiâmetro]]&lt;&gt;B97,1,IF(ESF[[#This Row],[Prof. (m)]]=0,C97+1,C97))</f>
        <v>1</v>
      </c>
      <c r="D98" s="1">
        <f>IFERROR(IF(D97=MAX(SPT[Prof. (m)]),0,D97+1),0)</f>
        <v>9</v>
      </c>
      <c r="E98" s="1">
        <f>INDEX(SPT[],MATCH(ESF[[#This Row],[Prof. (m)]],SPT[Prof. (m)],0),2)</f>
        <v>26</v>
      </c>
      <c r="F98" s="1" t="str">
        <f>INDEX(SPT[],MATCH(ESF[[#This Row],[Prof. (m)]],SPT[Prof. (m)],0),3)</f>
        <v>Areia siltosa</v>
      </c>
      <c r="G98" s="1">
        <f>INDEX(estacas[],ESF[[#This Row],[idDiâmetro]],MATCH($B$2,estacas[#Headers],0))</f>
        <v>40</v>
      </c>
      <c r="H98" s="1">
        <f>INDEX(estacas[],MATCH(ESF[[#This Row],[Ø (cm)]],estacas[Ø ESF (cm)],0),MATCH(ESF[[#Headers],[Pe ESF (kN)]],estacas[#Headers],0))</f>
        <v>640</v>
      </c>
      <c r="I98" s="4">
        <f>INDEX(K_alpha_C[],MATCH(ESF[[#This Row],[Solo]],K_alpha_C[Solo],0),2)</f>
        <v>0.8</v>
      </c>
      <c r="J98" s="5">
        <f>INDEX(K_alpha_C[],MATCH(ESF[[#This Row],[Solo]],K_alpha_C[Solo],0),3)</f>
        <v>2</v>
      </c>
      <c r="K98" s="4">
        <f>INDEX(F1_F2[],MATCH($D$2,F1_F2[Tipo de estaca],0),2)</f>
        <v>3</v>
      </c>
      <c r="L98" s="4">
        <f>INDEX(F1_F2[],MATCH($D$2,F1_F2[Tipo de estaca],0),3)</f>
        <v>6</v>
      </c>
      <c r="M98" s="4">
        <f>PI()*(ESF[[#This Row],[Ø (cm)]]/100)^2/4</f>
        <v>0.12566370614359174</v>
      </c>
      <c r="N98" s="4">
        <f>PI()*ESF[[#This Row],[Ø (cm)]]/100</f>
        <v>1.2566370614359172</v>
      </c>
      <c r="O98" s="4">
        <f>IF(ESF[[#This Row],[Prof. (m)]]=0,0,ESF[[#This Row],[α (%)]]/100*ESF[[#This Row],[K (MPa)]]*1000*ESF[[#This Row],[NSPT]])</f>
        <v>416</v>
      </c>
      <c r="P98" s="4">
        <f>IF(ESF[[#This Row],[Prof. (m)]]=0,0,(ESF[[#This Row],[K (MPa)]]*1000*ESF[[#This Row],[NSPT]]/ESF[[#This Row],[F1]]*ESF[[#This Row],[Ap (m²)]]+ESF[[#This Row],[U (m)]]/ESF[[#This Row],[F2]]*SUMIFS(ESF[(α∙K∙NL∙ΔL)],ESF[Prof. (m)],"&lt;="&amp;ESF[[#This Row],[Prof. (m)]],ESF[idDiâmetro],ESF[[#This Row],[idDiâmetro]],ESF[idPilar],ESF[[#This Row],[idPilar]]))/'DADOS CAP. CARGA'!$D$2)</f>
        <v>583.90688257171087</v>
      </c>
      <c r="Q98" s="12">
        <f>INDEX(C_alpha_beta[],MATCH(ESF[[#This Row],[Solo]],C_alpha_beta[Solo],0),MATCH(ESF[[#Headers],[C (kPa)]],C_alpha_beta[#Headers],0))</f>
        <v>400</v>
      </c>
      <c r="R98" s="4">
        <f>INDEX(C_alpha_beta[],MATCH(ESF[[#This Row],[Solo]],C_alpha_beta[Solo],0),MATCH(ESF[[#Headers],[α ESF]],C_alpha_beta[#Headers],0))</f>
        <v>0.5</v>
      </c>
      <c r="S98" s="4">
        <f>INDEX(C_alpha_beta[],MATCH(ESF[[#This Row],[Solo]],C_alpha_beta[Solo],0),MATCH(ESF[[#Headers],[β ESF]],C_alpha_beta[#Headers],0))</f>
        <v>0.5</v>
      </c>
      <c r="T98" s="4">
        <f>IF(ESF[[#This Row],[Prof. (m)]]=0,0,10*(ESF[[#This Row],[NSPT]]/3+1))</f>
        <v>96.666666666666657</v>
      </c>
      <c r="U98" s="4">
        <f>(ESF[[#This Row],[α ESF]]*ESF[[#This Row],[C (kPa)]]*ESF[[#This Row],[NSPT]]*ESF[[#This Row],[Ap (m²)]])/'DADOS CAP. CARGA'!$Q$2+(ESF[[#This Row],[β ESF]]*SUMIFS(ESF[10∙(NL/3+1)],ESF[Prof. (m)],"&lt;="&amp;ESF[[#This Row],[Prof. (m)]],ESF[idDiâmetro],ESF[[#This Row],[idDiâmetro]],ESF[idPilar],ESF[[#This Row],[idPilar]])*ESF[[#This Row],[U (m)]])/'DADOS CAP. CARGA'!$S$2</f>
        <v>294.26251188624394</v>
      </c>
      <c r="V98" s="4">
        <f>IF(SPT!$M$5=1,MIN(ESF[[#This Row],[Pe ESF (kN)]],ESF[[#This Row],[R_AV (kN)]]),IF(SPT!$M$5=2,MIN(ESF[[#This Row],[Pe ESF (kN)]],ESF[[#This Row],[R_DC (kN)]]),MIN(ESF[[#This Row],[Pe ESF (kN)]],ESF[[#This Row],[R_AV (kN)]],ESF[[#This Row],[R_DC (kN)]])))</f>
        <v>294.26251188624394</v>
      </c>
      <c r="W98" s="4">
        <f>INDEX(PILARES[],ESF[[#This Row],[idPilar]],MATCH("Carga (kN)",PILARES[#Headers],0))*1.4</f>
        <v>3500</v>
      </c>
      <c r="X98" s="12">
        <f>INDEX(PILARES[],ESF[[#This Row],[idPilar]],MATCH(ESF[[#Headers],[ap (cm)]],PILARES[#Headers],0))</f>
        <v>60</v>
      </c>
      <c r="Y98" s="12">
        <f>INDEX(PILARES[],ESF[[#This Row],[idPilar]],MATCH(ESF[[#Headers],[bp (cm)]],PILARES[#Headers],0))</f>
        <v>60</v>
      </c>
      <c r="Z98" s="4">
        <f>SQRT(ESF[[#This Row],[ap (cm)]]*ESF[[#This Row],[bp (cm)]])</f>
        <v>60</v>
      </c>
      <c r="AA98" s="12">
        <f>ESF[[#This Row],[ap (cm)]]*ESF[[#This Row],[bp (cm)]]</f>
        <v>3600</v>
      </c>
      <c r="AB98" s="12">
        <f ca="1">IF(ESF[[#This Row],[Padm∙ε (kN)]]&gt;=ESF[[#This Row],[Padm (kN)]],ROUNDUP(1.05*ESF[[#This Row],[Nsd (kN)]]/ESF[[#This Row],[Padm (kN)]],0),ROUNDUP(1.05*ESF[[#This Row],[Nsd (kN)]]/ESF[[#This Row],[Padm (kN)]],0)+1)</f>
        <v>13</v>
      </c>
      <c r="AC98" s="4" t="str">
        <f ca="1">IFERROR(IF(ESF[[#This Row],[nE]]=1,ESF[[#This Row],[Padm (kN)]],ESF[[#This Row],[Padm (kN)]]*ESF[[#This Row],[nE]]*INDEX(grupoEstacas[],ESF[[#This Row],[nE]],MATCH("ε",grupoEstacas[#Headers],0))),"N.S.")</f>
        <v>N.S.</v>
      </c>
      <c r="AD98" s="4">
        <f ca="1">1.05*ESF[[#This Row],[Nsd (kN)]]/(ESF[[#This Row],[nE]]*PI()*ESF[[#This Row],[Ø (cm)]]^2/4)*10</f>
        <v>2.2495939071642899</v>
      </c>
      <c r="AE98" s="4">
        <f ca="1">IF(ESF[[#This Row],[σ (MPa)]]&lt;INDEX(tipoEstaca[],MATCH($D$2,tipoEstaca[TIPO DE ESTACA],0),MATCH("σmáx (MPa)",tipoEstaca[#Headers],0)),0.4%*PI()*ESF[[#This Row],[Ø (cm)]]^2/4,"N.S.")</f>
        <v>5.026548245743669</v>
      </c>
      <c r="AF98" s="1">
        <f>INDEX(tipoEstaca[],MATCH($D$2,tipoEstaca[TIPO DE ESTACA],0),MATCH(ESF[[#Headers],[Comprimento (m)]],tipoEstaca[#Headers],0))</f>
        <v>2</v>
      </c>
      <c r="AG98" s="5">
        <f ca="1">ESF[[#This Row],[As,mín (cm²)]]/100^2*ESF[[#This Row],[Comprimento (m)]]*7850</f>
        <v>7.8916807458175597</v>
      </c>
      <c r="AH98" s="4">
        <f ca="1">ESF[[#This Row],[nE]]*ESF[[#This Row],[Prof. (m)]]*ESF[[#This Row],[Ap (m²)]]</f>
        <v>14.702653618800234</v>
      </c>
      <c r="AI98" s="1">
        <f ca="1">IF(ESF[[#This Row],[nE]]=1,0,MAX(3*ESF[[#This Row],[Ø (cm)]],60))</f>
        <v>120</v>
      </c>
      <c r="AJ98" s="1">
        <f ca="1">IF(ESF[[#This Row],[nE]]=1,ESF[[#This Row],[Ø (cm)]]+2*10,MAX(1.5*ESF[[#This Row],[Ø (cm)]],ESF[[#This Row],[Ø (cm)]]+15))</f>
        <v>60</v>
      </c>
      <c r="AK98" s="1" t="str">
        <f ca="1">alturaUtil(ESF[[#This Row],[nE]],ESF[[#This Row],[Ø (cm)]],ESF[[#This Row],[e (cm)]],ESF[[#This Row],[ap,eq (cm)]])</f>
        <v>N.S.</v>
      </c>
      <c r="AL98" s="1" t="str">
        <f ca="1">IFERROR(ESF[[#This Row],[d (cm)]]+arredondarParaCimaMultiplo5cm(MAX(5,SQRT(PI())/2*ESF[[#This Row],[Ø (cm)]]/5)),"N.S.")</f>
        <v>N.S.</v>
      </c>
      <c r="AM98" s="5" t="str">
        <f ca="1">alpha(ESF[[#This Row],[nE]],ESF[[#This Row],[d (cm)]],ESF[[#This Row],[e (cm)]],ESF[[#This Row],[ap,eq (cm)]])</f>
        <v>N.S.</v>
      </c>
      <c r="AN98" s="35" t="str">
        <f ca="1">IFERROR(ESF[[#This Row],[Nsd (kN)]]/(ESF[[#This Row],[Ap (cm²)]]*SIN(ESF[[#This Row],[α]])^2),"N.S.")</f>
        <v>N.S.</v>
      </c>
      <c r="AO98" s="35" t="str">
        <f ca="1">IFERROR(ESF[[#This Row],[Nsd (kN)]]/(ESF[[#This Row],[nE]]*PI()*ESF[[#This Row],[Ø (cm)]]^2/4*SIN(ESF[[#This Row],[α]])^2),"N.S.")</f>
        <v>N.S.</v>
      </c>
      <c r="AP98" s="4" t="str">
        <f ca="1">IFERROR(INDEX(grupoEstacas[],ESF[[#This Row],[nE]],MATCH("coef. Blévot",grupoEstacas[#Headers],0)),"N.S.")</f>
        <v>N.S.</v>
      </c>
      <c r="AQ98" s="35" t="str">
        <f ca="1">IFERROR(ESF[[#This Row],[coef. Blévot]]*0.9*INDEX(tipoEstaca[],MATCH($D$2,tipoEstaca[TIPO DE ESTACA],0),MATCH("fcd (kN/cm²)",tipoEstaca[#Headers],0)),"N.S.")</f>
        <v>N.S.</v>
      </c>
      <c r="AR98" s="1" t="str">
        <f ca="1">IF(AND(ESF[[#This Row],[cd,b,pil (kN/cm²)]]&lt;=ESF[[#This Row],[cd,b,lim (kN/cm²)]],ESF[[#This Row],[cd,b,est (kN/cm²)]]&lt;=ESF[[#This Row],[cd,b,lim (kN/cm²)]]),"OK","ERRO")</f>
        <v>OK</v>
      </c>
      <c r="AS98" s="4" t="str">
        <f ca="1">As_lado(ESF[[#This Row],[nE]],ESF[[#This Row],[Nsd (kN)]],ESF[[#This Row],[d (cm)]],ESF[[#This Row],[e (cm)]],ESF[[#This Row],[ap,eq (cm)]])</f>
        <v>N.S.</v>
      </c>
      <c r="AT98" s="4" t="str">
        <f ca="1">IF(ESF[[#This Row],[nE]]=1,ESF[[#This Row],[As,lado (cm²)]],IF(ESF[[#This Row],[nE]]=2,0.075*2*ESF[a (cm)],"N.A."))</f>
        <v>N.A.</v>
      </c>
      <c r="AU98" s="4" t="str">
        <f ca="1">IFERROR(IF(ESF[[#This Row],[nE]]=1,"N.A.",0.2*ESF[[#This Row],[As,lado (cm²)]]),"N.S.")</f>
        <v>N.S.</v>
      </c>
      <c r="AV98" s="4" t="str">
        <f ca="1">As_malha(ESF[[#This Row],[nE]],ESF[[#This Row],[As,lado (cm²)]],ESF[[#This Row],[Nsd (kN)]])</f>
        <v>N.S.</v>
      </c>
      <c r="AW98" s="4" t="str">
        <f ca="1">As_susp_tot(ESF[[#This Row],[nE]],ESF[[#This Row],[Nsd (kN)]])</f>
        <v>N.S.</v>
      </c>
      <c r="AX98" s="4" t="str">
        <f ca="1">Asp_face(ESF[[#This Row],[nE]],ESF[[#This Row],[As,lado (cm²)]])</f>
        <v>N.S.</v>
      </c>
      <c r="AY98" s="5" t="str">
        <f ca="1">acoBloco(ESF[[#This Row],[nE]],ESF[[#This Row],[e (cm)]],ESF[[#This Row],[a (cm)]],ESF[[#This Row],[h (cm)]],ESF[[#This Row],[As,lado (cm²)]],ESF[[#This Row],[Asp e Asw (cm²/m)]],ESF[[#This Row],[As,sup (cm²)]],ESF[[#This Row],[As,malha (cm²)]],ESF[[#This Row],[As,susp,tot (cm²)]],ESF[[#This Row],[Asp,face (cm²)]])</f>
        <v>N.S.</v>
      </c>
      <c r="AZ98" s="4" t="str">
        <f ca="1">concretoBloco(ESF[[#This Row],[nE]],ESF[[#This Row],[e (cm)]],ESF[[#This Row],[a (cm)]],ESF[[#This Row],[h (cm)]])</f>
        <v>N.S.</v>
      </c>
      <c r="BA98" s="5">
        <f ca="1">SUM(ESF[[#This Row],[Aço Est (kg)]],ESF[[#This Row],[Aço Bloco (kg)]])</f>
        <v>7.8916807458175597</v>
      </c>
      <c r="BB98" s="4">
        <f>INDEX(composicoes[],MATCH(95580,composicoes[CÓDIGO],0),MATCH("CUSTO TOTAL",composicoes[#Headers],0))</f>
        <v>10.46</v>
      </c>
      <c r="BC98" s="4">
        <f ca="1">SUM(ESF[[#This Row],[Conc Est (m³)]],ESF[[#This Row],[Conc Bloco (m³)]])</f>
        <v>14.702653618800234</v>
      </c>
      <c r="BD98" s="4">
        <f>INDEX(composicoes[],MATCH(94966,composicoes[CÓDIGO],0),MATCH("CUSTO TOTAL",composicoes[#Headers],0))</f>
        <v>439.52</v>
      </c>
      <c r="BE98" s="38">
        <f ca="1">ESF[[#This Row],[Aço (kg)]]*ESF[[#This Row],[Aço (R$/kg)]]+ESF[[#This Row],[Conc (m³)]]*ESF[[#This Row],[Conc (R$/m³)]]</f>
        <v>6544.65729913633</v>
      </c>
      <c r="BF98" s="4" t="str">
        <f ca="1">IF(COUNTIF(ESF[#This Row],"N.S.")&gt;0,"lim.","OK")</f>
        <v>lim.</v>
      </c>
      <c r="BG98" s="4" t="str">
        <f>IF(ESF[[#This Row],[Prof. (m)]]&lt;3,"lim.","OK")</f>
        <v>OK</v>
      </c>
      <c r="BH98" s="4" t="str">
        <f>IF(ESF[[#This Row],[Prof. (m)]]&gt;=8*ESF[[#This Row],[Ø (cm)]]/100,"OK","lim.")</f>
        <v>OK</v>
      </c>
      <c r="BI98" s="4" t="str">
        <f>IF(AND(SPT!$F$3&lt;&gt;"",ESF[[#This Row],[Prof. (m)]]&gt;=SPT!$F$3),"lim.","OK")</f>
        <v>OK</v>
      </c>
      <c r="BJ98" s="4" t="str">
        <f>IF(COUNTIFS(ESF[Solo],"Areia",ESF[Prof. (m)],"&lt;="&amp;ESF[[#This Row],[Prof. (m)]])&gt;=1,"lim.","OK")</f>
        <v>OK</v>
      </c>
      <c r="BK98" s="4" t="str">
        <f ca="1">IF(ESF[[#This Row],[Verif. Biela]]="OK","OK","lim.")</f>
        <v>OK</v>
      </c>
      <c r="BL98" s="4" t="str">
        <f ca="1">IF(COUNTA(ESF[[#This Row],[Nº Est.]:[Biela comp.]])=COUNTIF(ESF[[#This Row],[Nº Est.]:[Biela comp.]],"OK"),"OK","lim.")</f>
        <v>lim.</v>
      </c>
      <c r="BM98" s="4" t="str">
        <f ca="1">IF(ESF[[#This Row],[Controle]]="OK",ESF[[#This Row],[nE]]&amp;" Ø"&amp;ESF[[#This Row],[Ø (cm)]]&amp;"cm Prof. "&amp;ESF[[#This Row],[Prof. (m)]]&amp;" m","")</f>
        <v/>
      </c>
      <c r="BN98" s="4" t="str">
        <f ca="1">IF(ESF[[#This Row],[idDimensionamento]]="","",ESF[[#This Row],[idPilar]]&amp;ESF[[#This Row],[idDimensionamento]])</f>
        <v/>
      </c>
    </row>
    <row r="99" spans="2:66" x14ac:dyDescent="0.25">
      <c r="B99" s="12">
        <f>ROUNDUP((ROW(ESF[[#This Row],[idDiâmetro]])-ROW(ESF[[#Headers],[idDiâmetro]]))/(COUNT(SPT[Prof. (m)])*COUNT(PILARES[Pilar])),0)</f>
        <v>4</v>
      </c>
      <c r="C99" s="12">
        <f>IF(ESF[[#This Row],[idDiâmetro]]&lt;&gt;B98,1,IF(ESF[[#This Row],[Prof. (m)]]=0,C98+1,C98))</f>
        <v>1</v>
      </c>
      <c r="D99" s="1">
        <f>IFERROR(IF(D98=MAX(SPT[Prof. (m)]),0,D98+1),0)</f>
        <v>10</v>
      </c>
      <c r="E99" s="1">
        <f>INDEX(SPT[],MATCH(ESF[[#This Row],[Prof. (m)]],SPT[Prof. (m)],0),2)</f>
        <v>32</v>
      </c>
      <c r="F99" s="1" t="str">
        <f>INDEX(SPT[],MATCH(ESF[[#This Row],[Prof. (m)]],SPT[Prof. (m)],0),3)</f>
        <v>Areia siltosa</v>
      </c>
      <c r="G99" s="1">
        <f>INDEX(estacas[],ESF[[#This Row],[idDiâmetro]],MATCH($B$2,estacas[#Headers],0))</f>
        <v>40</v>
      </c>
      <c r="H99" s="1">
        <f>INDEX(estacas[],MATCH(ESF[[#This Row],[Ø (cm)]],estacas[Ø ESF (cm)],0),MATCH(ESF[[#Headers],[Pe ESF (kN)]],estacas[#Headers],0))</f>
        <v>640</v>
      </c>
      <c r="I99" s="4">
        <f>INDEX(K_alpha_C[],MATCH(ESF[[#This Row],[Solo]],K_alpha_C[Solo],0),2)</f>
        <v>0.8</v>
      </c>
      <c r="J99" s="5">
        <f>INDEX(K_alpha_C[],MATCH(ESF[[#This Row],[Solo]],K_alpha_C[Solo],0),3)</f>
        <v>2</v>
      </c>
      <c r="K99" s="4">
        <f>INDEX(F1_F2[],MATCH($D$2,F1_F2[Tipo de estaca],0),2)</f>
        <v>3</v>
      </c>
      <c r="L99" s="4">
        <f>INDEX(F1_F2[],MATCH($D$2,F1_F2[Tipo de estaca],0),3)</f>
        <v>6</v>
      </c>
      <c r="M99" s="4">
        <f>PI()*(ESF[[#This Row],[Ø (cm)]]/100)^2/4</f>
        <v>0.12566370614359174</v>
      </c>
      <c r="N99" s="4">
        <f>PI()*ESF[[#This Row],[Ø (cm)]]/100</f>
        <v>1.2566370614359172</v>
      </c>
      <c r="O99" s="4">
        <f>IF(ESF[[#This Row],[Prof. (m)]]=0,0,ESF[[#This Row],[α (%)]]/100*ESF[[#This Row],[K (MPa)]]*1000*ESF[[#This Row],[NSPT]])</f>
        <v>512</v>
      </c>
      <c r="P99" s="4">
        <f>IF(ESF[[#This Row],[Prof. (m)]]=0,0,(ESF[[#This Row],[K (MPa)]]*1000*ESF[[#This Row],[NSPT]]/ESF[[#This Row],[F1]]*ESF[[#This Row],[Ap (m²)]]+ESF[[#This Row],[U (m)]]/ESF[[#This Row],[F2]]*SUMIFS(ESF[(α∙K∙NL∙ΔL)],ESF[Prof. (m)],"&lt;="&amp;ESF[[#This Row],[Prof. (m)]],ESF[idDiâmetro],ESF[[#This Row],[idDiâmetro]],ESF[idPilar],ESF[[#This Row],[idPilar]]))/'DADOS CAP. CARGA'!$D$2)</f>
        <v>738.05436210785024</v>
      </c>
      <c r="Q99" s="12">
        <f>INDEX(C_alpha_beta[],MATCH(ESF[[#This Row],[Solo]],C_alpha_beta[Solo],0),MATCH(ESF[[#Headers],[C (kPa)]],C_alpha_beta[#Headers],0))</f>
        <v>400</v>
      </c>
      <c r="R99" s="4">
        <f>INDEX(C_alpha_beta[],MATCH(ESF[[#This Row],[Solo]],C_alpha_beta[Solo],0),MATCH(ESF[[#Headers],[α ESF]],C_alpha_beta[#Headers],0))</f>
        <v>0.5</v>
      </c>
      <c r="S99" s="4">
        <f>INDEX(C_alpha_beta[],MATCH(ESF[[#This Row],[Solo]],C_alpha_beta[Solo],0),MATCH(ESF[[#Headers],[β ESF]],C_alpha_beta[#Headers],0))</f>
        <v>0.5</v>
      </c>
      <c r="T99" s="4">
        <f>IF(ESF[[#This Row],[Prof. (m)]]=0,0,10*(ESF[[#This Row],[NSPT]]/3+1))</f>
        <v>116.66666666666666</v>
      </c>
      <c r="U99" s="4">
        <f>(ESF[[#This Row],[α ESF]]*ESF[[#This Row],[C (kPa)]]*ESF[[#This Row],[NSPT]]*ESF[[#This Row],[Ap (m²)]])/'DADOS CAP. CARGA'!$Q$2+(ESF[[#This Row],[β ESF]]*SUMIFS(ESF[10∙(NL/3+1)],ESF[Prof. (m)],"&lt;="&amp;ESF[[#This Row],[Prof. (m)]],ESF[idDiâmetro],ESF[[#This Row],[idDiâmetro]],ESF[idPilar],ESF[[#This Row],[idPilar]])*ESF[[#This Row],[U (m)]])/'DADOS CAP. CARGA'!$S$2</f>
        <v>368.61353802120243</v>
      </c>
      <c r="V99" s="4">
        <f>IF(SPT!$M$5=1,MIN(ESF[[#This Row],[Pe ESF (kN)]],ESF[[#This Row],[R_AV (kN)]]),IF(SPT!$M$5=2,MIN(ESF[[#This Row],[Pe ESF (kN)]],ESF[[#This Row],[R_DC (kN)]]),MIN(ESF[[#This Row],[Pe ESF (kN)]],ESF[[#This Row],[R_AV (kN)]],ESF[[#This Row],[R_DC (kN)]])))</f>
        <v>368.61353802120243</v>
      </c>
      <c r="W99" s="4">
        <f>INDEX(PILARES[],ESF[[#This Row],[idPilar]],MATCH("Carga (kN)",PILARES[#Headers],0))*1.4</f>
        <v>3500</v>
      </c>
      <c r="X99" s="12">
        <f>INDEX(PILARES[],ESF[[#This Row],[idPilar]],MATCH(ESF[[#Headers],[ap (cm)]],PILARES[#Headers],0))</f>
        <v>60</v>
      </c>
      <c r="Y99" s="12">
        <f>INDEX(PILARES[],ESF[[#This Row],[idPilar]],MATCH(ESF[[#Headers],[bp (cm)]],PILARES[#Headers],0))</f>
        <v>60</v>
      </c>
      <c r="Z99" s="4">
        <f>SQRT(ESF[[#This Row],[ap (cm)]]*ESF[[#This Row],[bp (cm)]])</f>
        <v>60</v>
      </c>
      <c r="AA99" s="12">
        <f>ESF[[#This Row],[ap (cm)]]*ESF[[#This Row],[bp (cm)]]</f>
        <v>3600</v>
      </c>
      <c r="AB99" s="12">
        <f ca="1">IF(ESF[[#This Row],[Padm∙ε (kN)]]&gt;=ESF[[#This Row],[Padm (kN)]],ROUNDUP(1.05*ESF[[#This Row],[Nsd (kN)]]/ESF[[#This Row],[Padm (kN)]],0),ROUNDUP(1.05*ESF[[#This Row],[Nsd (kN)]]/ESF[[#This Row],[Padm (kN)]],0)+1)</f>
        <v>10</v>
      </c>
      <c r="AC99" s="4" t="str">
        <f ca="1">IFERROR(IF(ESF[[#This Row],[nE]]=1,ESF[[#This Row],[Padm (kN)]],ESF[[#This Row],[Padm (kN)]]*ESF[[#This Row],[nE]]*INDEX(grupoEstacas[],ESF[[#This Row],[nE]],MATCH("ε",grupoEstacas[#Headers],0))),"N.S.")</f>
        <v>N.S.</v>
      </c>
      <c r="AD99" s="4">
        <f ca="1">1.05*ESF[[#This Row],[Nsd (kN)]]/(ESF[[#This Row],[nE]]*PI()*ESF[[#This Row],[Ø (cm)]]^2/4)*10</f>
        <v>2.9244720793135768</v>
      </c>
      <c r="AE99" s="4">
        <f ca="1">IF(ESF[[#This Row],[σ (MPa)]]&lt;INDEX(tipoEstaca[],MATCH($D$2,tipoEstaca[TIPO DE ESTACA],0),MATCH("σmáx (MPa)",tipoEstaca[#Headers],0)),0.4%*PI()*ESF[[#This Row],[Ø (cm)]]^2/4,"N.S.")</f>
        <v>5.026548245743669</v>
      </c>
      <c r="AF99" s="1">
        <f>INDEX(tipoEstaca[],MATCH($D$2,tipoEstaca[TIPO DE ESTACA],0),MATCH(ESF[[#Headers],[Comprimento (m)]],tipoEstaca[#Headers],0))</f>
        <v>2</v>
      </c>
      <c r="AG99" s="5">
        <f ca="1">ESF[[#This Row],[As,mín (cm²)]]/100^2*ESF[[#This Row],[Comprimento (m)]]*7850</f>
        <v>7.8916807458175597</v>
      </c>
      <c r="AH99" s="4">
        <f ca="1">ESF[[#This Row],[nE]]*ESF[[#This Row],[Prof. (m)]]*ESF[[#This Row],[Ap (m²)]]</f>
        <v>12.566370614359174</v>
      </c>
      <c r="AI99" s="1">
        <f ca="1">IF(ESF[[#This Row],[nE]]=1,0,MAX(3*ESF[[#This Row],[Ø (cm)]],60))</f>
        <v>120</v>
      </c>
      <c r="AJ99" s="1">
        <f ca="1">IF(ESF[[#This Row],[nE]]=1,ESF[[#This Row],[Ø (cm)]]+2*10,MAX(1.5*ESF[[#This Row],[Ø (cm)]],ESF[[#This Row],[Ø (cm)]]+15))</f>
        <v>60</v>
      </c>
      <c r="AK99" s="1" t="str">
        <f ca="1">alturaUtil(ESF[[#This Row],[nE]],ESF[[#This Row],[Ø (cm)]],ESF[[#This Row],[e (cm)]],ESF[[#This Row],[ap,eq (cm)]])</f>
        <v>N.S.</v>
      </c>
      <c r="AL99" s="1" t="str">
        <f ca="1">IFERROR(ESF[[#This Row],[d (cm)]]+arredondarParaCimaMultiplo5cm(MAX(5,SQRT(PI())/2*ESF[[#This Row],[Ø (cm)]]/5)),"N.S.")</f>
        <v>N.S.</v>
      </c>
      <c r="AM99" s="5" t="str">
        <f ca="1">alpha(ESF[[#This Row],[nE]],ESF[[#This Row],[d (cm)]],ESF[[#This Row],[e (cm)]],ESF[[#This Row],[ap,eq (cm)]])</f>
        <v>N.S.</v>
      </c>
      <c r="AN99" s="35" t="str">
        <f ca="1">IFERROR(ESF[[#This Row],[Nsd (kN)]]/(ESF[[#This Row],[Ap (cm²)]]*SIN(ESF[[#This Row],[α]])^2),"N.S.")</f>
        <v>N.S.</v>
      </c>
      <c r="AO99" s="35" t="str">
        <f ca="1">IFERROR(ESF[[#This Row],[Nsd (kN)]]/(ESF[[#This Row],[nE]]*PI()*ESF[[#This Row],[Ø (cm)]]^2/4*SIN(ESF[[#This Row],[α]])^2),"N.S.")</f>
        <v>N.S.</v>
      </c>
      <c r="AP99" s="4" t="str">
        <f ca="1">IFERROR(INDEX(grupoEstacas[],ESF[[#This Row],[nE]],MATCH("coef. Blévot",grupoEstacas[#Headers],0)),"N.S.")</f>
        <v>N.S.</v>
      </c>
      <c r="AQ99" s="35" t="str">
        <f ca="1">IFERROR(ESF[[#This Row],[coef. Blévot]]*0.9*INDEX(tipoEstaca[],MATCH($D$2,tipoEstaca[TIPO DE ESTACA],0),MATCH("fcd (kN/cm²)",tipoEstaca[#Headers],0)),"N.S.")</f>
        <v>N.S.</v>
      </c>
      <c r="AR99" s="1" t="str">
        <f ca="1">IF(AND(ESF[[#This Row],[cd,b,pil (kN/cm²)]]&lt;=ESF[[#This Row],[cd,b,lim (kN/cm²)]],ESF[[#This Row],[cd,b,est (kN/cm²)]]&lt;=ESF[[#This Row],[cd,b,lim (kN/cm²)]]),"OK","ERRO")</f>
        <v>OK</v>
      </c>
      <c r="AS99" s="4" t="str">
        <f ca="1">As_lado(ESF[[#This Row],[nE]],ESF[[#This Row],[Nsd (kN)]],ESF[[#This Row],[d (cm)]],ESF[[#This Row],[e (cm)]],ESF[[#This Row],[ap,eq (cm)]])</f>
        <v>N.S.</v>
      </c>
      <c r="AT99" s="4" t="str">
        <f ca="1">IF(ESF[[#This Row],[nE]]=1,ESF[[#This Row],[As,lado (cm²)]],IF(ESF[[#This Row],[nE]]=2,0.075*2*ESF[a (cm)],"N.A."))</f>
        <v>N.A.</v>
      </c>
      <c r="AU99" s="4" t="str">
        <f ca="1">IFERROR(IF(ESF[[#This Row],[nE]]=1,"N.A.",0.2*ESF[[#This Row],[As,lado (cm²)]]),"N.S.")</f>
        <v>N.S.</v>
      </c>
      <c r="AV99" s="4" t="str">
        <f ca="1">As_malha(ESF[[#This Row],[nE]],ESF[[#This Row],[As,lado (cm²)]],ESF[[#This Row],[Nsd (kN)]])</f>
        <v>N.S.</v>
      </c>
      <c r="AW99" s="4" t="str">
        <f ca="1">As_susp_tot(ESF[[#This Row],[nE]],ESF[[#This Row],[Nsd (kN)]])</f>
        <v>N.S.</v>
      </c>
      <c r="AX99" s="4" t="str">
        <f ca="1">Asp_face(ESF[[#This Row],[nE]],ESF[[#This Row],[As,lado (cm²)]])</f>
        <v>N.S.</v>
      </c>
      <c r="AY99" s="5" t="str">
        <f ca="1">acoBloco(ESF[[#This Row],[nE]],ESF[[#This Row],[e (cm)]],ESF[[#This Row],[a (cm)]],ESF[[#This Row],[h (cm)]],ESF[[#This Row],[As,lado (cm²)]],ESF[[#This Row],[Asp e Asw (cm²/m)]],ESF[[#This Row],[As,sup (cm²)]],ESF[[#This Row],[As,malha (cm²)]],ESF[[#This Row],[As,susp,tot (cm²)]],ESF[[#This Row],[Asp,face (cm²)]])</f>
        <v>N.S.</v>
      </c>
      <c r="AZ99" s="4" t="str">
        <f ca="1">concretoBloco(ESF[[#This Row],[nE]],ESF[[#This Row],[e (cm)]],ESF[[#This Row],[a (cm)]],ESF[[#This Row],[h (cm)]])</f>
        <v>N.S.</v>
      </c>
      <c r="BA99" s="5">
        <f ca="1">SUM(ESF[[#This Row],[Aço Est (kg)]],ESF[[#This Row],[Aço Bloco (kg)]])</f>
        <v>7.8916807458175597</v>
      </c>
      <c r="BB99" s="4">
        <f>INDEX(composicoes[],MATCH(95580,composicoes[CÓDIGO],0),MATCH("CUSTO TOTAL",composicoes[#Headers],0))</f>
        <v>10.46</v>
      </c>
      <c r="BC99" s="4">
        <f ca="1">SUM(ESF[[#This Row],[Conc Est (m³)]],ESF[[#This Row],[Conc Bloco (m³)]])</f>
        <v>12.566370614359174</v>
      </c>
      <c r="BD99" s="4">
        <f>INDEX(composicoes[],MATCH(94966,composicoes[CÓDIGO],0),MATCH("CUSTO TOTAL",composicoes[#Headers],0))</f>
        <v>439.52</v>
      </c>
      <c r="BE99" s="38">
        <f ca="1">ESF[[#This Row],[Aço (kg)]]*ESF[[#This Row],[Aço (R$/kg)]]+ESF[[#This Row],[Conc (m³)]]*ESF[[#This Row],[Conc (R$/m³)]]</f>
        <v>5605.718193024396</v>
      </c>
      <c r="BF99" s="4" t="str">
        <f ca="1">IF(COUNTIF(ESF[#This Row],"N.S.")&gt;0,"lim.","OK")</f>
        <v>lim.</v>
      </c>
      <c r="BG99" s="4" t="str">
        <f>IF(ESF[[#This Row],[Prof. (m)]]&lt;3,"lim.","OK")</f>
        <v>OK</v>
      </c>
      <c r="BH99" s="4" t="str">
        <f>IF(ESF[[#This Row],[Prof. (m)]]&gt;=8*ESF[[#This Row],[Ø (cm)]]/100,"OK","lim.")</f>
        <v>OK</v>
      </c>
      <c r="BI99" s="4" t="str">
        <f>IF(AND(SPT!$F$3&lt;&gt;"",ESF[[#This Row],[Prof. (m)]]&gt;=SPT!$F$3),"lim.","OK")</f>
        <v>OK</v>
      </c>
      <c r="BJ99" s="4" t="str">
        <f>IF(COUNTIFS(ESF[Solo],"Areia",ESF[Prof. (m)],"&lt;="&amp;ESF[[#This Row],[Prof. (m)]])&gt;=1,"lim.","OK")</f>
        <v>OK</v>
      </c>
      <c r="BK99" s="4" t="str">
        <f ca="1">IF(ESF[[#This Row],[Verif. Biela]]="OK","OK","lim.")</f>
        <v>OK</v>
      </c>
      <c r="BL99" s="4" t="str">
        <f ca="1">IF(COUNTA(ESF[[#This Row],[Nº Est.]:[Biela comp.]])=COUNTIF(ESF[[#This Row],[Nº Est.]:[Biela comp.]],"OK"),"OK","lim.")</f>
        <v>lim.</v>
      </c>
      <c r="BM99" s="4" t="str">
        <f ca="1">IF(ESF[[#This Row],[Controle]]="OK",ESF[[#This Row],[nE]]&amp;" Ø"&amp;ESF[[#This Row],[Ø (cm)]]&amp;"cm Prof. "&amp;ESF[[#This Row],[Prof. (m)]]&amp;" m","")</f>
        <v/>
      </c>
      <c r="BN99" s="4" t="str">
        <f ca="1">IF(ESF[[#This Row],[idDimensionamento]]="","",ESF[[#This Row],[idPilar]]&amp;ESF[[#This Row],[idDimensionamento]])</f>
        <v/>
      </c>
    </row>
    <row r="100" spans="2:66" x14ac:dyDescent="0.25">
      <c r="B100" s="12">
        <f>ROUNDUP((ROW(ESF[[#This Row],[idDiâmetro]])-ROW(ESF[[#Headers],[idDiâmetro]]))/(COUNT(SPT[Prof. (m)])*COUNT(PILARES[Pilar])),0)</f>
        <v>4</v>
      </c>
      <c r="C100" s="12">
        <f>IF(ESF[[#This Row],[idDiâmetro]]&lt;&gt;B99,1,IF(ESF[[#This Row],[Prof. (m)]]=0,C99+1,C99))</f>
        <v>1</v>
      </c>
      <c r="D100" s="1">
        <f>IFERROR(IF(D99=MAX(SPT[Prof. (m)]),0,D99+1),0)</f>
        <v>11</v>
      </c>
      <c r="E100" s="1">
        <f>INDEX(SPT[],MATCH(ESF[[#This Row],[Prof. (m)]],SPT[Prof. (m)],0),2)</f>
        <v>41</v>
      </c>
      <c r="F100" s="1" t="str">
        <f>INDEX(SPT[],MATCH(ESF[[#This Row],[Prof. (m)]],SPT[Prof. (m)],0),3)</f>
        <v>Areia siltosa</v>
      </c>
      <c r="G100" s="1">
        <f>INDEX(estacas[],ESF[[#This Row],[idDiâmetro]],MATCH($B$2,estacas[#Headers],0))</f>
        <v>40</v>
      </c>
      <c r="H100" s="1">
        <f>INDEX(estacas[],MATCH(ESF[[#This Row],[Ø (cm)]],estacas[Ø ESF (cm)],0),MATCH(ESF[[#Headers],[Pe ESF (kN)]],estacas[#Headers],0))</f>
        <v>640</v>
      </c>
      <c r="I100" s="4">
        <f>INDEX(K_alpha_C[],MATCH(ESF[[#This Row],[Solo]],K_alpha_C[Solo],0),2)</f>
        <v>0.8</v>
      </c>
      <c r="J100" s="5">
        <f>INDEX(K_alpha_C[],MATCH(ESF[[#This Row],[Solo]],K_alpha_C[Solo],0),3)</f>
        <v>2</v>
      </c>
      <c r="K100" s="4">
        <f>INDEX(F1_F2[],MATCH($D$2,F1_F2[Tipo de estaca],0),2)</f>
        <v>3</v>
      </c>
      <c r="L100" s="4">
        <f>INDEX(F1_F2[],MATCH($D$2,F1_F2[Tipo de estaca],0),3)</f>
        <v>6</v>
      </c>
      <c r="M100" s="4">
        <f>PI()*(ESF[[#This Row],[Ø (cm)]]/100)^2/4</f>
        <v>0.12566370614359174</v>
      </c>
      <c r="N100" s="4">
        <f>PI()*ESF[[#This Row],[Ø (cm)]]/100</f>
        <v>1.2566370614359172</v>
      </c>
      <c r="O100" s="4">
        <f>IF(ESF[[#This Row],[Prof. (m)]]=0,0,ESF[[#This Row],[α (%)]]/100*ESF[[#This Row],[K (MPa)]]*1000*ESF[[#This Row],[NSPT]])</f>
        <v>656</v>
      </c>
      <c r="P100" s="4">
        <f>IF(ESF[[#This Row],[Prof. (m)]]=0,0,(ESF[[#This Row],[K (MPa)]]*1000*ESF[[#This Row],[NSPT]]/ESF[[#This Row],[F1]]*ESF[[#This Row],[Ap (m²)]]+ESF[[#This Row],[U (m)]]/ESF[[#This Row],[F2]]*SUMIFS(ESF[(α∙K∙NL∙ΔL)],ESF[Prof. (m)],"&lt;="&amp;ESF[[#This Row],[Prof. (m)]],ESF[idDiâmetro],ESF[[#This Row],[idDiâmetro]],ESF[idPilar],ESF[[#This Row],[idPilar]]))/'DADOS CAP. CARGA'!$D$2)</f>
        <v>957.54696883865711</v>
      </c>
      <c r="Q100" s="12">
        <f>INDEX(C_alpha_beta[],MATCH(ESF[[#This Row],[Solo]],C_alpha_beta[Solo],0),MATCH(ESF[[#Headers],[C (kPa)]],C_alpha_beta[#Headers],0))</f>
        <v>400</v>
      </c>
      <c r="R100" s="4">
        <f>INDEX(C_alpha_beta[],MATCH(ESF[[#This Row],[Solo]],C_alpha_beta[Solo],0),MATCH(ESF[[#Headers],[α ESF]],C_alpha_beta[#Headers],0))</f>
        <v>0.5</v>
      </c>
      <c r="S100" s="4">
        <f>INDEX(C_alpha_beta[],MATCH(ESF[[#This Row],[Solo]],C_alpha_beta[Solo],0),MATCH(ESF[[#Headers],[β ESF]],C_alpha_beta[#Headers],0))</f>
        <v>0.5</v>
      </c>
      <c r="T100" s="4">
        <f>IF(ESF[[#This Row],[Prof. (m)]]=0,0,10*(ESF[[#This Row],[NSPT]]/3+1))</f>
        <v>146.66666666666666</v>
      </c>
      <c r="U100" s="4">
        <f>(ESF[[#This Row],[α ESF]]*ESF[[#This Row],[C (kPa)]]*ESF[[#This Row],[NSPT]]*ESF[[#This Row],[Ap (m²)]])/'DADOS CAP. CARGA'!$Q$2+(ESF[[#This Row],[β ESF]]*SUMIFS(ESF[10∙(NL/3+1)],ESF[Prof. (m)],"&lt;="&amp;ESF[[#This Row],[Prof. (m)]],ESF[idDiâmetro],ESF[[#This Row],[idDiâmetro]],ESF[idPilar],ESF[[#This Row],[idPilar]])*ESF[[#This Row],[U (m)]])/'DADOS CAP. CARGA'!$S$2</f>
        <v>471.23889803846896</v>
      </c>
      <c r="V100" s="4">
        <f>IF(SPT!$M$5=1,MIN(ESF[[#This Row],[Pe ESF (kN)]],ESF[[#This Row],[R_AV (kN)]]),IF(SPT!$M$5=2,MIN(ESF[[#This Row],[Pe ESF (kN)]],ESF[[#This Row],[R_DC (kN)]]),MIN(ESF[[#This Row],[Pe ESF (kN)]],ESF[[#This Row],[R_AV (kN)]],ESF[[#This Row],[R_DC (kN)]])))</f>
        <v>471.23889803846896</v>
      </c>
      <c r="W100" s="4">
        <f>INDEX(PILARES[],ESF[[#This Row],[idPilar]],MATCH("Carga (kN)",PILARES[#Headers],0))*1.4</f>
        <v>3500</v>
      </c>
      <c r="X100" s="12">
        <f>INDEX(PILARES[],ESF[[#This Row],[idPilar]],MATCH(ESF[[#Headers],[ap (cm)]],PILARES[#Headers],0))</f>
        <v>60</v>
      </c>
      <c r="Y100" s="12">
        <f>INDEX(PILARES[],ESF[[#This Row],[idPilar]],MATCH(ESF[[#Headers],[bp (cm)]],PILARES[#Headers],0))</f>
        <v>60</v>
      </c>
      <c r="Z100" s="4">
        <f>SQRT(ESF[[#This Row],[ap (cm)]]*ESF[[#This Row],[bp (cm)]])</f>
        <v>60</v>
      </c>
      <c r="AA100" s="12">
        <f>ESF[[#This Row],[ap (cm)]]*ESF[[#This Row],[bp (cm)]]</f>
        <v>3600</v>
      </c>
      <c r="AB100" s="12">
        <f ca="1">IF(ESF[[#This Row],[Padm∙ε (kN)]]&gt;=ESF[[#This Row],[Padm (kN)]],ROUNDUP(1.05*ESF[[#This Row],[Nsd (kN)]]/ESF[[#This Row],[Padm (kN)]],0),ROUNDUP(1.05*ESF[[#This Row],[Nsd (kN)]]/ESF[[#This Row],[Padm (kN)]],0)+1)</f>
        <v>8</v>
      </c>
      <c r="AC100" s="4" t="str">
        <f ca="1">IFERROR(IF(ESF[[#This Row],[nE]]=1,ESF[[#This Row],[Padm (kN)]],ESF[[#This Row],[Padm (kN)]]*ESF[[#This Row],[nE]]*INDEX(grupoEstacas[],ESF[[#This Row],[nE]],MATCH("ε",grupoEstacas[#Headers],0))),"N.S.")</f>
        <v>N.S.</v>
      </c>
      <c r="AD100" s="4">
        <f ca="1">1.05*ESF[[#This Row],[Nsd (kN)]]/(ESF[[#This Row],[nE]]*PI()*ESF[[#This Row],[Ø (cm)]]^2/4)*10</f>
        <v>3.6555900991419712</v>
      </c>
      <c r="AE100" s="4">
        <f ca="1">IF(ESF[[#This Row],[σ (MPa)]]&lt;INDEX(tipoEstaca[],MATCH($D$2,tipoEstaca[TIPO DE ESTACA],0),MATCH("σmáx (MPa)",tipoEstaca[#Headers],0)),0.4%*PI()*ESF[[#This Row],[Ø (cm)]]^2/4,"N.S.")</f>
        <v>5.026548245743669</v>
      </c>
      <c r="AF100" s="1">
        <f>INDEX(tipoEstaca[],MATCH($D$2,tipoEstaca[TIPO DE ESTACA],0),MATCH(ESF[[#Headers],[Comprimento (m)]],tipoEstaca[#Headers],0))</f>
        <v>2</v>
      </c>
      <c r="AG100" s="5">
        <f ca="1">ESF[[#This Row],[As,mín (cm²)]]/100^2*ESF[[#This Row],[Comprimento (m)]]*7850</f>
        <v>7.8916807458175597</v>
      </c>
      <c r="AH100" s="4">
        <f ca="1">ESF[[#This Row],[nE]]*ESF[[#This Row],[Prof. (m)]]*ESF[[#This Row],[Ap (m²)]]</f>
        <v>11.058406140636073</v>
      </c>
      <c r="AI100" s="1">
        <f ca="1">IF(ESF[[#This Row],[nE]]=1,0,MAX(3*ESF[[#This Row],[Ø (cm)]],60))</f>
        <v>120</v>
      </c>
      <c r="AJ100" s="1">
        <f ca="1">IF(ESF[[#This Row],[nE]]=1,ESF[[#This Row],[Ø (cm)]]+2*10,MAX(1.5*ESF[[#This Row],[Ø (cm)]],ESF[[#This Row],[Ø (cm)]]+15))</f>
        <v>60</v>
      </c>
      <c r="AK100" s="1" t="str">
        <f ca="1">alturaUtil(ESF[[#This Row],[nE]],ESF[[#This Row],[Ø (cm)]],ESF[[#This Row],[e (cm)]],ESF[[#This Row],[ap,eq (cm)]])</f>
        <v>N.S.</v>
      </c>
      <c r="AL100" s="1" t="str">
        <f ca="1">IFERROR(ESF[[#This Row],[d (cm)]]+arredondarParaCimaMultiplo5cm(MAX(5,SQRT(PI())/2*ESF[[#This Row],[Ø (cm)]]/5)),"N.S.")</f>
        <v>N.S.</v>
      </c>
      <c r="AM100" s="5" t="str">
        <f ca="1">alpha(ESF[[#This Row],[nE]],ESF[[#This Row],[d (cm)]],ESF[[#This Row],[e (cm)]],ESF[[#This Row],[ap,eq (cm)]])</f>
        <v>N.S.</v>
      </c>
      <c r="AN100" s="35" t="str">
        <f ca="1">IFERROR(ESF[[#This Row],[Nsd (kN)]]/(ESF[[#This Row],[Ap (cm²)]]*SIN(ESF[[#This Row],[α]])^2),"N.S.")</f>
        <v>N.S.</v>
      </c>
      <c r="AO100" s="35" t="str">
        <f ca="1">IFERROR(ESF[[#This Row],[Nsd (kN)]]/(ESF[[#This Row],[nE]]*PI()*ESF[[#This Row],[Ø (cm)]]^2/4*SIN(ESF[[#This Row],[α]])^2),"N.S.")</f>
        <v>N.S.</v>
      </c>
      <c r="AP100" s="4" t="str">
        <f ca="1">IFERROR(INDEX(grupoEstacas[],ESF[[#This Row],[nE]],MATCH("coef. Blévot",grupoEstacas[#Headers],0)),"N.S.")</f>
        <v>N.S.</v>
      </c>
      <c r="AQ100" s="35" t="str">
        <f ca="1">IFERROR(ESF[[#This Row],[coef. Blévot]]*0.9*INDEX(tipoEstaca[],MATCH($D$2,tipoEstaca[TIPO DE ESTACA],0),MATCH("fcd (kN/cm²)",tipoEstaca[#Headers],0)),"N.S.")</f>
        <v>N.S.</v>
      </c>
      <c r="AR100" s="1" t="str">
        <f ca="1">IF(AND(ESF[[#This Row],[cd,b,pil (kN/cm²)]]&lt;=ESF[[#This Row],[cd,b,lim (kN/cm²)]],ESF[[#This Row],[cd,b,est (kN/cm²)]]&lt;=ESF[[#This Row],[cd,b,lim (kN/cm²)]]),"OK","ERRO")</f>
        <v>OK</v>
      </c>
      <c r="AS100" s="4" t="str">
        <f ca="1">As_lado(ESF[[#This Row],[nE]],ESF[[#This Row],[Nsd (kN)]],ESF[[#This Row],[d (cm)]],ESF[[#This Row],[e (cm)]],ESF[[#This Row],[ap,eq (cm)]])</f>
        <v>N.S.</v>
      </c>
      <c r="AT100" s="4" t="str">
        <f ca="1">IF(ESF[[#This Row],[nE]]=1,ESF[[#This Row],[As,lado (cm²)]],IF(ESF[[#This Row],[nE]]=2,0.075*2*ESF[a (cm)],"N.A."))</f>
        <v>N.A.</v>
      </c>
      <c r="AU100" s="4" t="str">
        <f ca="1">IFERROR(IF(ESF[[#This Row],[nE]]=1,"N.A.",0.2*ESF[[#This Row],[As,lado (cm²)]]),"N.S.")</f>
        <v>N.S.</v>
      </c>
      <c r="AV100" s="4" t="str">
        <f ca="1">As_malha(ESF[[#This Row],[nE]],ESF[[#This Row],[As,lado (cm²)]],ESF[[#This Row],[Nsd (kN)]])</f>
        <v>N.S.</v>
      </c>
      <c r="AW100" s="4" t="str">
        <f ca="1">As_susp_tot(ESF[[#This Row],[nE]],ESF[[#This Row],[Nsd (kN)]])</f>
        <v>N.S.</v>
      </c>
      <c r="AX100" s="4" t="str">
        <f ca="1">Asp_face(ESF[[#This Row],[nE]],ESF[[#This Row],[As,lado (cm²)]])</f>
        <v>N.S.</v>
      </c>
      <c r="AY100" s="5" t="str">
        <f ca="1">acoBloco(ESF[[#This Row],[nE]],ESF[[#This Row],[e (cm)]],ESF[[#This Row],[a (cm)]],ESF[[#This Row],[h (cm)]],ESF[[#This Row],[As,lado (cm²)]],ESF[[#This Row],[Asp e Asw (cm²/m)]],ESF[[#This Row],[As,sup (cm²)]],ESF[[#This Row],[As,malha (cm²)]],ESF[[#This Row],[As,susp,tot (cm²)]],ESF[[#This Row],[Asp,face (cm²)]])</f>
        <v>N.S.</v>
      </c>
      <c r="AZ100" s="4" t="str">
        <f ca="1">concretoBloco(ESF[[#This Row],[nE]],ESF[[#This Row],[e (cm)]],ESF[[#This Row],[a (cm)]],ESF[[#This Row],[h (cm)]])</f>
        <v>N.S.</v>
      </c>
      <c r="BA100" s="5">
        <f ca="1">SUM(ESF[[#This Row],[Aço Est (kg)]],ESF[[#This Row],[Aço Bloco (kg)]])</f>
        <v>7.8916807458175597</v>
      </c>
      <c r="BB100" s="4">
        <f>INDEX(composicoes[],MATCH(95580,composicoes[CÓDIGO],0),MATCH("CUSTO TOTAL",composicoes[#Headers],0))</f>
        <v>10.46</v>
      </c>
      <c r="BC100" s="4">
        <f ca="1">SUM(ESF[[#This Row],[Conc Est (m³)]],ESF[[#This Row],[Conc Bloco (m³)]])</f>
        <v>11.058406140636073</v>
      </c>
      <c r="BD100" s="4">
        <f>INDEX(composicoes[],MATCH(94966,composicoes[CÓDIGO],0),MATCH("CUSTO TOTAL",composicoes[#Headers],0))</f>
        <v>439.52</v>
      </c>
      <c r="BE100" s="38">
        <f ca="1">ESF[[#This Row],[Aço (kg)]]*ESF[[#This Row],[Aço (R$/kg)]]+ESF[[#This Row],[Conc (m³)]]*ESF[[#This Row],[Conc (R$/m³)]]</f>
        <v>4942.9376475336185</v>
      </c>
      <c r="BF100" s="4" t="str">
        <f ca="1">IF(COUNTIF(ESF[#This Row],"N.S.")&gt;0,"lim.","OK")</f>
        <v>lim.</v>
      </c>
      <c r="BG100" s="4" t="str">
        <f>IF(ESF[[#This Row],[Prof. (m)]]&lt;3,"lim.","OK")</f>
        <v>OK</v>
      </c>
      <c r="BH100" s="4" t="str">
        <f>IF(ESF[[#This Row],[Prof. (m)]]&gt;=8*ESF[[#This Row],[Ø (cm)]]/100,"OK","lim.")</f>
        <v>OK</v>
      </c>
      <c r="BI100" s="4" t="str">
        <f>IF(AND(SPT!$F$3&lt;&gt;"",ESF[[#This Row],[Prof. (m)]]&gt;=SPT!$F$3),"lim.","OK")</f>
        <v>OK</v>
      </c>
      <c r="BJ100" s="4" t="str">
        <f>IF(COUNTIFS(ESF[Solo],"Areia",ESF[Prof. (m)],"&lt;="&amp;ESF[[#This Row],[Prof. (m)]])&gt;=1,"lim.","OK")</f>
        <v>OK</v>
      </c>
      <c r="BK100" s="4" t="str">
        <f ca="1">IF(ESF[[#This Row],[Verif. Biela]]="OK","OK","lim.")</f>
        <v>OK</v>
      </c>
      <c r="BL100" s="4" t="str">
        <f ca="1">IF(COUNTA(ESF[[#This Row],[Nº Est.]:[Biela comp.]])=COUNTIF(ESF[[#This Row],[Nº Est.]:[Biela comp.]],"OK"),"OK","lim.")</f>
        <v>lim.</v>
      </c>
      <c r="BM100" s="4" t="str">
        <f ca="1">IF(ESF[[#This Row],[Controle]]="OK",ESF[[#This Row],[nE]]&amp;" Ø"&amp;ESF[[#This Row],[Ø (cm)]]&amp;"cm Prof. "&amp;ESF[[#This Row],[Prof. (m)]]&amp;" m","")</f>
        <v/>
      </c>
      <c r="BN100" s="4" t="str">
        <f ca="1">IF(ESF[[#This Row],[idDimensionamento]]="","",ESF[[#This Row],[idPilar]]&amp;ESF[[#This Row],[idDimensionamento]])</f>
        <v/>
      </c>
    </row>
    <row r="101" spans="2:66" x14ac:dyDescent="0.25">
      <c r="B101" s="12">
        <f>ROUNDUP((ROW(ESF[[#This Row],[idDiâmetro]])-ROW(ESF[[#Headers],[idDiâmetro]]))/(COUNT(SPT[Prof. (m)])*COUNT(PILARES[Pilar])),0)</f>
        <v>4</v>
      </c>
      <c r="C101" s="12">
        <f>IF(ESF[[#This Row],[idDiâmetro]]&lt;&gt;B100,1,IF(ESF[[#This Row],[Prof. (m)]]=0,C100+1,C100))</f>
        <v>1</v>
      </c>
      <c r="D101" s="1">
        <f>IFERROR(IF(D100=MAX(SPT[Prof. (m)]),0,D100+1),0)</f>
        <v>12</v>
      </c>
      <c r="E101" s="1">
        <f>INDEX(SPT[],MATCH(ESF[[#This Row],[Prof. (m)]],SPT[Prof. (m)],0),2)</f>
        <v>52</v>
      </c>
      <c r="F101" s="1" t="str">
        <f>INDEX(SPT[],MATCH(ESF[[#This Row],[Prof. (m)]],SPT[Prof. (m)],0),3)</f>
        <v>Areia siltosa</v>
      </c>
      <c r="G101" s="1">
        <f>INDEX(estacas[],ESF[[#This Row],[idDiâmetro]],MATCH($B$2,estacas[#Headers],0))</f>
        <v>40</v>
      </c>
      <c r="H101" s="1">
        <f>INDEX(estacas[],MATCH(ESF[[#This Row],[Ø (cm)]],estacas[Ø ESF (cm)],0),MATCH(ESF[[#Headers],[Pe ESF (kN)]],estacas[#Headers],0))</f>
        <v>640</v>
      </c>
      <c r="I101" s="4">
        <f>INDEX(K_alpha_C[],MATCH(ESF[[#This Row],[Solo]],K_alpha_C[Solo],0),2)</f>
        <v>0.8</v>
      </c>
      <c r="J101" s="5">
        <f>INDEX(K_alpha_C[],MATCH(ESF[[#This Row],[Solo]],K_alpha_C[Solo],0),3)</f>
        <v>2</v>
      </c>
      <c r="K101" s="4">
        <f>INDEX(F1_F2[],MATCH($D$2,F1_F2[Tipo de estaca],0),2)</f>
        <v>3</v>
      </c>
      <c r="L101" s="4">
        <f>INDEX(F1_F2[],MATCH($D$2,F1_F2[Tipo de estaca],0),3)</f>
        <v>6</v>
      </c>
      <c r="M101" s="4">
        <f>PI()*(ESF[[#This Row],[Ø (cm)]]/100)^2/4</f>
        <v>0.12566370614359174</v>
      </c>
      <c r="N101" s="4">
        <f>PI()*ESF[[#This Row],[Ø (cm)]]/100</f>
        <v>1.2566370614359172</v>
      </c>
      <c r="O101" s="4">
        <f>IF(ESF[[#This Row],[Prof. (m)]]=0,0,ESF[[#This Row],[α (%)]]/100*ESF[[#This Row],[K (MPa)]]*1000*ESF[[#This Row],[NSPT]])</f>
        <v>832</v>
      </c>
      <c r="P101" s="4">
        <f>IF(ESF[[#This Row],[Prof. (m)]]=0,0,(ESF[[#This Row],[K (MPa)]]*1000*ESF[[#This Row],[NSPT]]/ESF[[#This Row],[F1]]*ESF[[#This Row],[Ap (m²)]]+ESF[[#This Row],[U (m)]]/ESF[[#This Row],[F2]]*SUMIFS(ESF[(α∙K∙NL∙ΔL)],ESF[Prof. (m)],"&lt;="&amp;ESF[[#This Row],[Prof. (m)]],ESF[idDiâmetro],ESF[[#This Row],[idDiâmetro]],ESF[idPilar],ESF[[#This Row],[idPilar]]))/'DADOS CAP. CARGA'!$D$2)</f>
        <v>1228.9805741088151</v>
      </c>
      <c r="Q101" s="12">
        <f>INDEX(C_alpha_beta[],MATCH(ESF[[#This Row],[Solo]],C_alpha_beta[Solo],0),MATCH(ESF[[#Headers],[C (kPa)]],C_alpha_beta[#Headers],0))</f>
        <v>400</v>
      </c>
      <c r="R101" s="4">
        <f>INDEX(C_alpha_beta[],MATCH(ESF[[#This Row],[Solo]],C_alpha_beta[Solo],0),MATCH(ESF[[#Headers],[α ESF]],C_alpha_beta[#Headers],0))</f>
        <v>0.5</v>
      </c>
      <c r="S101" s="4">
        <f>INDEX(C_alpha_beta[],MATCH(ESF[[#This Row],[Solo]],C_alpha_beta[Solo],0),MATCH(ESF[[#Headers],[β ESF]],C_alpha_beta[#Headers],0))</f>
        <v>0.5</v>
      </c>
      <c r="T101" s="4">
        <f>IF(ESF[[#This Row],[Prof. (m)]]=0,0,10*(ESF[[#This Row],[NSPT]]/3+1))</f>
        <v>183.33333333333331</v>
      </c>
      <c r="U101" s="4">
        <f>(ESF[[#This Row],[α ESF]]*ESF[[#This Row],[C (kPa)]]*ESF[[#This Row],[NSPT]]*ESF[[#This Row],[Ap (m²)]])/'DADOS CAP. CARGA'!$Q$2+(ESF[[#This Row],[β ESF]]*SUMIFS(ESF[10∙(NL/3+1)],ESF[Prof. (m)],"&lt;="&amp;ESF[[#This Row],[Prof. (m)]],ESF[idDiâmetro],ESF[[#This Row],[idDiâmetro]],ESF[idPilar],ESF[[#This Row],[idPilar]])*ESF[[#This Row],[U (m)]])/'DADOS CAP. CARGA'!$S$2</f>
        <v>597.94980173325735</v>
      </c>
      <c r="V101" s="4">
        <f>IF(SPT!$M$5=1,MIN(ESF[[#This Row],[Pe ESF (kN)]],ESF[[#This Row],[R_AV (kN)]]),IF(SPT!$M$5=2,MIN(ESF[[#This Row],[Pe ESF (kN)]],ESF[[#This Row],[R_DC (kN)]]),MIN(ESF[[#This Row],[Pe ESF (kN)]],ESF[[#This Row],[R_AV (kN)]],ESF[[#This Row],[R_DC (kN)]])))</f>
        <v>597.94980173325735</v>
      </c>
      <c r="W101" s="4">
        <f>INDEX(PILARES[],ESF[[#This Row],[idPilar]],MATCH("Carga (kN)",PILARES[#Headers],0))*1.4</f>
        <v>3500</v>
      </c>
      <c r="X101" s="12">
        <f>INDEX(PILARES[],ESF[[#This Row],[idPilar]],MATCH(ESF[[#Headers],[ap (cm)]],PILARES[#Headers],0))</f>
        <v>60</v>
      </c>
      <c r="Y101" s="12">
        <f>INDEX(PILARES[],ESF[[#This Row],[idPilar]],MATCH(ESF[[#Headers],[bp (cm)]],PILARES[#Headers],0))</f>
        <v>60</v>
      </c>
      <c r="Z101" s="4">
        <f>SQRT(ESF[[#This Row],[ap (cm)]]*ESF[[#This Row],[bp (cm)]])</f>
        <v>60</v>
      </c>
      <c r="AA101" s="12">
        <f>ESF[[#This Row],[ap (cm)]]*ESF[[#This Row],[bp (cm)]]</f>
        <v>3600</v>
      </c>
      <c r="AB101" s="12">
        <f ca="1">IF(ESF[[#This Row],[Padm∙ε (kN)]]&gt;=ESF[[#This Row],[Padm (kN)]],ROUNDUP(1.05*ESF[[#This Row],[Nsd (kN)]]/ESF[[#This Row],[Padm (kN)]],0),ROUNDUP(1.05*ESF[[#This Row],[Nsd (kN)]]/ESF[[#This Row],[Padm (kN)]],0)+1)</f>
        <v>7</v>
      </c>
      <c r="AC101" s="4" t="str">
        <f ca="1">IFERROR(IF(ESF[[#This Row],[nE]]=1,ESF[[#This Row],[Padm (kN)]],ESF[[#This Row],[Padm (kN)]]*ESF[[#This Row],[nE]]*INDEX(grupoEstacas[],ESF[[#This Row],[nE]],MATCH("ε",grupoEstacas[#Headers],0))),"N.S.")</f>
        <v>N.S.</v>
      </c>
      <c r="AD101" s="4">
        <f ca="1">1.05*ESF[[#This Row],[Nsd (kN)]]/(ESF[[#This Row],[nE]]*PI()*ESF[[#This Row],[Ø (cm)]]^2/4)*10</f>
        <v>4.1778172561622533</v>
      </c>
      <c r="AE101" s="4">
        <f ca="1">IF(ESF[[#This Row],[σ (MPa)]]&lt;INDEX(tipoEstaca[],MATCH($D$2,tipoEstaca[TIPO DE ESTACA],0),MATCH("σmáx (MPa)",tipoEstaca[#Headers],0)),0.4%*PI()*ESF[[#This Row],[Ø (cm)]]^2/4,"N.S.")</f>
        <v>5.026548245743669</v>
      </c>
      <c r="AF101" s="1">
        <f>INDEX(tipoEstaca[],MATCH($D$2,tipoEstaca[TIPO DE ESTACA],0),MATCH(ESF[[#Headers],[Comprimento (m)]],tipoEstaca[#Headers],0))</f>
        <v>2</v>
      </c>
      <c r="AG101" s="5">
        <f ca="1">ESF[[#This Row],[As,mín (cm²)]]/100^2*ESF[[#This Row],[Comprimento (m)]]*7850</f>
        <v>7.8916807458175597</v>
      </c>
      <c r="AH101" s="4">
        <f ca="1">ESF[[#This Row],[nE]]*ESF[[#This Row],[Prof. (m)]]*ESF[[#This Row],[Ap (m²)]]</f>
        <v>10.555751316061706</v>
      </c>
      <c r="AI101" s="1">
        <f ca="1">IF(ESF[[#This Row],[nE]]=1,0,MAX(3*ESF[[#This Row],[Ø (cm)]],60))</f>
        <v>120</v>
      </c>
      <c r="AJ101" s="1">
        <f ca="1">IF(ESF[[#This Row],[nE]]=1,ESF[[#This Row],[Ø (cm)]]+2*10,MAX(1.5*ESF[[#This Row],[Ø (cm)]],ESF[[#This Row],[Ø (cm)]]+15))</f>
        <v>60</v>
      </c>
      <c r="AK101" s="1" t="str">
        <f ca="1">alturaUtil(ESF[[#This Row],[nE]],ESF[[#This Row],[Ø (cm)]],ESF[[#This Row],[e (cm)]],ESF[[#This Row],[ap,eq (cm)]])</f>
        <v>N.S.</v>
      </c>
      <c r="AL101" s="1" t="str">
        <f ca="1">IFERROR(ESF[[#This Row],[d (cm)]]+arredondarParaCimaMultiplo5cm(MAX(5,SQRT(PI())/2*ESF[[#This Row],[Ø (cm)]]/5)),"N.S.")</f>
        <v>N.S.</v>
      </c>
      <c r="AM101" s="5" t="str">
        <f ca="1">alpha(ESF[[#This Row],[nE]],ESF[[#This Row],[d (cm)]],ESF[[#This Row],[e (cm)]],ESF[[#This Row],[ap,eq (cm)]])</f>
        <v>N.S.</v>
      </c>
      <c r="AN101" s="35" t="str">
        <f ca="1">IFERROR(ESF[[#This Row],[Nsd (kN)]]/(ESF[[#This Row],[Ap (cm²)]]*SIN(ESF[[#This Row],[α]])^2),"N.S.")</f>
        <v>N.S.</v>
      </c>
      <c r="AO101" s="35" t="str">
        <f ca="1">IFERROR(ESF[[#This Row],[Nsd (kN)]]/(ESF[[#This Row],[nE]]*PI()*ESF[[#This Row],[Ø (cm)]]^2/4*SIN(ESF[[#This Row],[α]])^2),"N.S.")</f>
        <v>N.S.</v>
      </c>
      <c r="AP101" s="4" t="str">
        <f ca="1">IFERROR(INDEX(grupoEstacas[],ESF[[#This Row],[nE]],MATCH("coef. Blévot",grupoEstacas[#Headers],0)),"N.S.")</f>
        <v>N.S.</v>
      </c>
      <c r="AQ101" s="35" t="str">
        <f ca="1">IFERROR(ESF[[#This Row],[coef. Blévot]]*0.9*INDEX(tipoEstaca[],MATCH($D$2,tipoEstaca[TIPO DE ESTACA],0),MATCH("fcd (kN/cm²)",tipoEstaca[#Headers],0)),"N.S.")</f>
        <v>N.S.</v>
      </c>
      <c r="AR101" s="1" t="str">
        <f ca="1">IF(AND(ESF[[#This Row],[cd,b,pil (kN/cm²)]]&lt;=ESF[[#This Row],[cd,b,lim (kN/cm²)]],ESF[[#This Row],[cd,b,est (kN/cm²)]]&lt;=ESF[[#This Row],[cd,b,lim (kN/cm²)]]),"OK","ERRO")</f>
        <v>OK</v>
      </c>
      <c r="AS101" s="4" t="str">
        <f ca="1">As_lado(ESF[[#This Row],[nE]],ESF[[#This Row],[Nsd (kN)]],ESF[[#This Row],[d (cm)]],ESF[[#This Row],[e (cm)]],ESF[[#This Row],[ap,eq (cm)]])</f>
        <v>N.S.</v>
      </c>
      <c r="AT101" s="4" t="str">
        <f ca="1">IF(ESF[[#This Row],[nE]]=1,ESF[[#This Row],[As,lado (cm²)]],IF(ESF[[#This Row],[nE]]=2,0.075*2*ESF[a (cm)],"N.A."))</f>
        <v>N.A.</v>
      </c>
      <c r="AU101" s="4" t="str">
        <f ca="1">IFERROR(IF(ESF[[#This Row],[nE]]=1,"N.A.",0.2*ESF[[#This Row],[As,lado (cm²)]]),"N.S.")</f>
        <v>N.S.</v>
      </c>
      <c r="AV101" s="4" t="str">
        <f ca="1">As_malha(ESF[[#This Row],[nE]],ESF[[#This Row],[As,lado (cm²)]],ESF[[#This Row],[Nsd (kN)]])</f>
        <v>N.S.</v>
      </c>
      <c r="AW101" s="4" t="str">
        <f ca="1">As_susp_tot(ESF[[#This Row],[nE]],ESF[[#This Row],[Nsd (kN)]])</f>
        <v>N.S.</v>
      </c>
      <c r="AX101" s="4" t="str">
        <f ca="1">Asp_face(ESF[[#This Row],[nE]],ESF[[#This Row],[As,lado (cm²)]])</f>
        <v>N.S.</v>
      </c>
      <c r="AY101" s="5" t="str">
        <f ca="1">acoBloco(ESF[[#This Row],[nE]],ESF[[#This Row],[e (cm)]],ESF[[#This Row],[a (cm)]],ESF[[#This Row],[h (cm)]],ESF[[#This Row],[As,lado (cm²)]],ESF[[#This Row],[Asp e Asw (cm²/m)]],ESF[[#This Row],[As,sup (cm²)]],ESF[[#This Row],[As,malha (cm²)]],ESF[[#This Row],[As,susp,tot (cm²)]],ESF[[#This Row],[Asp,face (cm²)]])</f>
        <v>N.S.</v>
      </c>
      <c r="AZ101" s="4" t="str">
        <f ca="1">concretoBloco(ESF[[#This Row],[nE]],ESF[[#This Row],[e (cm)]],ESF[[#This Row],[a (cm)]],ESF[[#This Row],[h (cm)]])</f>
        <v>N.S.</v>
      </c>
      <c r="BA101" s="5">
        <f ca="1">SUM(ESF[[#This Row],[Aço Est (kg)]],ESF[[#This Row],[Aço Bloco (kg)]])</f>
        <v>7.8916807458175597</v>
      </c>
      <c r="BB101" s="4">
        <f>INDEX(composicoes[],MATCH(95580,composicoes[CÓDIGO],0),MATCH("CUSTO TOTAL",composicoes[#Headers],0))</f>
        <v>10.46</v>
      </c>
      <c r="BC101" s="4">
        <f ca="1">SUM(ESF[[#This Row],[Conc Est (m³)]],ESF[[#This Row],[Conc Bloco (m³)]])</f>
        <v>10.555751316061706</v>
      </c>
      <c r="BD101" s="4">
        <f>INDEX(composicoes[],MATCH(94966,composicoes[CÓDIGO],0),MATCH("CUSTO TOTAL",composicoes[#Headers],0))</f>
        <v>439.52</v>
      </c>
      <c r="BE101" s="38">
        <f ca="1">ESF[[#This Row],[Aço (kg)]]*ESF[[#This Row],[Aço (R$/kg)]]+ESF[[#This Row],[Conc (m³)]]*ESF[[#This Row],[Conc (R$/m³)]]</f>
        <v>4722.0107990366923</v>
      </c>
      <c r="BF101" s="4" t="str">
        <f ca="1">IF(COUNTIF(ESF[#This Row],"N.S.")&gt;0,"lim.","OK")</f>
        <v>lim.</v>
      </c>
      <c r="BG101" s="4" t="str">
        <f>IF(ESF[[#This Row],[Prof. (m)]]&lt;3,"lim.","OK")</f>
        <v>OK</v>
      </c>
      <c r="BH101" s="4" t="str">
        <f>IF(ESF[[#This Row],[Prof. (m)]]&gt;=8*ESF[[#This Row],[Ø (cm)]]/100,"OK","lim.")</f>
        <v>OK</v>
      </c>
      <c r="BI101" s="4" t="str">
        <f>IF(AND(SPT!$F$3&lt;&gt;"",ESF[[#This Row],[Prof. (m)]]&gt;=SPT!$F$3),"lim.","OK")</f>
        <v>OK</v>
      </c>
      <c r="BJ101" s="4" t="str">
        <f>IF(COUNTIFS(ESF[Solo],"Areia",ESF[Prof. (m)],"&lt;="&amp;ESF[[#This Row],[Prof. (m)]])&gt;=1,"lim.","OK")</f>
        <v>OK</v>
      </c>
      <c r="BK101" s="4" t="str">
        <f ca="1">IF(ESF[[#This Row],[Verif. Biela]]="OK","OK","lim.")</f>
        <v>OK</v>
      </c>
      <c r="BL101" s="4" t="str">
        <f ca="1">IF(COUNTA(ESF[[#This Row],[Nº Est.]:[Biela comp.]])=COUNTIF(ESF[[#This Row],[Nº Est.]:[Biela comp.]],"OK"),"OK","lim.")</f>
        <v>lim.</v>
      </c>
      <c r="BM101" s="4" t="str">
        <f ca="1">IF(ESF[[#This Row],[Controle]]="OK",ESF[[#This Row],[nE]]&amp;" Ø"&amp;ESF[[#This Row],[Ø (cm)]]&amp;"cm Prof. "&amp;ESF[[#This Row],[Prof. (m)]]&amp;" m","")</f>
        <v/>
      </c>
      <c r="BN101" s="4" t="str">
        <f ca="1">IF(ESF[[#This Row],[idDimensionamento]]="","",ESF[[#This Row],[idPilar]]&amp;ESF[[#This Row],[idDimensionamento]])</f>
        <v/>
      </c>
    </row>
    <row r="102" spans="2:66" x14ac:dyDescent="0.25">
      <c r="B102" s="12">
        <f>ROUNDUP((ROW(ESF[[#This Row],[idDiâmetro]])-ROW(ESF[[#Headers],[idDiâmetro]]))/(COUNT(SPT[Prof. (m)])*COUNT(PILARES[Pilar])),0)</f>
        <v>4</v>
      </c>
      <c r="C102" s="12">
        <f>IF(ESF[[#This Row],[idDiâmetro]]&lt;&gt;B101,1,IF(ESF[[#This Row],[Prof. (m)]]=0,C101+1,C101))</f>
        <v>1</v>
      </c>
      <c r="D102" s="1">
        <f>IFERROR(IF(D101=MAX(SPT[Prof. (m)]),0,D101+1),0)</f>
        <v>13</v>
      </c>
      <c r="E102" s="1">
        <f>INDEX(SPT[],MATCH(ESF[[#This Row],[Prof. (m)]],SPT[Prof. (m)],0),2)</f>
        <v>68</v>
      </c>
      <c r="F102" s="1" t="str">
        <f>INDEX(SPT[],MATCH(ESF[[#This Row],[Prof. (m)]],SPT[Prof. (m)],0),3)</f>
        <v>Areia siltosa</v>
      </c>
      <c r="G102" s="1">
        <f>INDEX(estacas[],ESF[[#This Row],[idDiâmetro]],MATCH($B$2,estacas[#Headers],0))</f>
        <v>40</v>
      </c>
      <c r="H102" s="1">
        <f>INDEX(estacas[],MATCH(ESF[[#This Row],[Ø (cm)]],estacas[Ø ESF (cm)],0),MATCH(ESF[[#Headers],[Pe ESF (kN)]],estacas[#Headers],0))</f>
        <v>640</v>
      </c>
      <c r="I102" s="4">
        <f>INDEX(K_alpha_C[],MATCH(ESF[[#This Row],[Solo]],K_alpha_C[Solo],0),2)</f>
        <v>0.8</v>
      </c>
      <c r="J102" s="5">
        <f>INDEX(K_alpha_C[],MATCH(ESF[[#This Row],[Solo]],K_alpha_C[Solo],0),3)</f>
        <v>2</v>
      </c>
      <c r="K102" s="4">
        <f>INDEX(F1_F2[],MATCH($D$2,F1_F2[Tipo de estaca],0),2)</f>
        <v>3</v>
      </c>
      <c r="L102" s="4">
        <f>INDEX(F1_F2[],MATCH($D$2,F1_F2[Tipo de estaca],0),3)</f>
        <v>6</v>
      </c>
      <c r="M102" s="4">
        <f>PI()*(ESF[[#This Row],[Ø (cm)]]/100)^2/4</f>
        <v>0.12566370614359174</v>
      </c>
      <c r="N102" s="4">
        <f>PI()*ESF[[#This Row],[Ø (cm)]]/100</f>
        <v>1.2566370614359172</v>
      </c>
      <c r="O102" s="4">
        <f>IF(ESF[[#This Row],[Prof. (m)]]=0,0,ESF[[#This Row],[α (%)]]/100*ESF[[#This Row],[K (MPa)]]*1000*ESF[[#This Row],[NSPT]])</f>
        <v>1088</v>
      </c>
      <c r="P102" s="4">
        <f>IF(ESF[[#This Row],[Prof. (m)]]=0,0,(ESF[[#This Row],[K (MPa)]]*1000*ESF[[#This Row],[NSPT]]/ESF[[#This Row],[F1]]*ESF[[#This Row],[Ap (m²)]]+ESF[[#This Row],[U (m)]]/ESF[[#This Row],[F2]]*SUMIFS(ESF[(α∙K∙NL∙ΔL)],ESF[Prof. (m)],"&lt;="&amp;ESF[[#This Row],[Prof. (m)]],ESF[idDiâmetro],ESF[[#This Row],[idDiâmetro]],ESF[idPilar],ESF[[#This Row],[idPilar]]))/'DADOS CAP. CARGA'!$D$2)</f>
        <v>1610.998240785334</v>
      </c>
      <c r="Q102" s="12">
        <f>INDEX(C_alpha_beta[],MATCH(ESF[[#This Row],[Solo]],C_alpha_beta[Solo],0),MATCH(ESF[[#Headers],[C (kPa)]],C_alpha_beta[#Headers],0))</f>
        <v>400</v>
      </c>
      <c r="R102" s="4">
        <f>INDEX(C_alpha_beta[],MATCH(ESF[[#This Row],[Solo]],C_alpha_beta[Solo],0),MATCH(ESF[[#Headers],[α ESF]],C_alpha_beta[#Headers],0))</f>
        <v>0.5</v>
      </c>
      <c r="S102" s="4">
        <f>INDEX(C_alpha_beta[],MATCH(ESF[[#This Row],[Solo]],C_alpha_beta[Solo],0),MATCH(ESF[[#Headers],[β ESF]],C_alpha_beta[#Headers],0))</f>
        <v>0.5</v>
      </c>
      <c r="T102" s="4">
        <f>IF(ESF[[#This Row],[Prof. (m)]]=0,0,10*(ESF[[#This Row],[NSPT]]/3+1))</f>
        <v>236.66666666666669</v>
      </c>
      <c r="U102" s="4">
        <f>(ESF[[#This Row],[α ESF]]*ESF[[#This Row],[C (kPa)]]*ESF[[#This Row],[NSPT]]*ESF[[#This Row],[Ap (m²)]])/'DADOS CAP. CARGA'!$Q$2+(ESF[[#This Row],[β ESF]]*SUMIFS(ESF[10∙(NL/3+1)],ESF[Prof. (m)],"&lt;="&amp;ESF[[#This Row],[Prof. (m)]],ESF[idDiâmetro],ESF[[#This Row],[idDiâmetro]],ESF[idPilar],ESF[[#This Row],[idPilar]])*ESF[[#This Row],[U (m)]])/'DADOS CAP. CARGA'!$S$2</f>
        <v>772.83179278308921</v>
      </c>
      <c r="V102" s="4">
        <f>IF(SPT!$M$5=1,MIN(ESF[[#This Row],[Pe ESF (kN)]],ESF[[#This Row],[R_AV (kN)]]),IF(SPT!$M$5=2,MIN(ESF[[#This Row],[Pe ESF (kN)]],ESF[[#This Row],[R_DC (kN)]]),MIN(ESF[[#This Row],[Pe ESF (kN)]],ESF[[#This Row],[R_AV (kN)]],ESF[[#This Row],[R_DC (kN)]])))</f>
        <v>640</v>
      </c>
      <c r="W102" s="4">
        <f>INDEX(PILARES[],ESF[[#This Row],[idPilar]],MATCH("Carga (kN)",PILARES[#Headers],0))*1.4</f>
        <v>3500</v>
      </c>
      <c r="X102" s="12">
        <f>INDEX(PILARES[],ESF[[#This Row],[idPilar]],MATCH(ESF[[#Headers],[ap (cm)]],PILARES[#Headers],0))</f>
        <v>60</v>
      </c>
      <c r="Y102" s="12">
        <f>INDEX(PILARES[],ESF[[#This Row],[idPilar]],MATCH(ESF[[#Headers],[bp (cm)]],PILARES[#Headers],0))</f>
        <v>60</v>
      </c>
      <c r="Z102" s="4">
        <f>SQRT(ESF[[#This Row],[ap (cm)]]*ESF[[#This Row],[bp (cm)]])</f>
        <v>60</v>
      </c>
      <c r="AA102" s="12">
        <f>ESF[[#This Row],[ap (cm)]]*ESF[[#This Row],[bp (cm)]]</f>
        <v>3600</v>
      </c>
      <c r="AB102" s="12">
        <f ca="1">IF(ESF[[#This Row],[Padm∙ε (kN)]]&gt;=ESF[[#This Row],[Padm (kN)]],ROUNDUP(1.05*ESF[[#This Row],[Nsd (kN)]]/ESF[[#This Row],[Padm (kN)]],0),ROUNDUP(1.05*ESF[[#This Row],[Nsd (kN)]]/ESF[[#This Row],[Padm (kN)]],0)+1)</f>
        <v>6</v>
      </c>
      <c r="AC102" s="4" t="str">
        <f ca="1">IFERROR(IF(ESF[[#This Row],[nE]]=1,ESF[[#This Row],[Padm (kN)]],ESF[[#This Row],[Padm (kN)]]*ESF[[#This Row],[nE]]*INDEX(grupoEstacas[],ESF[[#This Row],[nE]],MATCH("ε",grupoEstacas[#Headers],0))),"N.S.")</f>
        <v>N.S.</v>
      </c>
      <c r="AD102" s="4">
        <f ca="1">1.05*ESF[[#This Row],[Nsd (kN)]]/(ESF[[#This Row],[nE]]*PI()*ESF[[#This Row],[Ø (cm)]]^2/4)*10</f>
        <v>4.8741201321892955</v>
      </c>
      <c r="AE102" s="4">
        <f ca="1">IF(ESF[[#This Row],[σ (MPa)]]&lt;INDEX(tipoEstaca[],MATCH($D$2,tipoEstaca[TIPO DE ESTACA],0),MATCH("σmáx (MPa)",tipoEstaca[#Headers],0)),0.4%*PI()*ESF[[#This Row],[Ø (cm)]]^2/4,"N.S.")</f>
        <v>5.026548245743669</v>
      </c>
      <c r="AF102" s="1">
        <f>INDEX(tipoEstaca[],MATCH($D$2,tipoEstaca[TIPO DE ESTACA],0),MATCH(ESF[[#Headers],[Comprimento (m)]],tipoEstaca[#Headers],0))</f>
        <v>2</v>
      </c>
      <c r="AG102" s="5">
        <f ca="1">ESF[[#This Row],[As,mín (cm²)]]/100^2*ESF[[#This Row],[Comprimento (m)]]*7850</f>
        <v>7.8916807458175597</v>
      </c>
      <c r="AH102" s="4">
        <f ca="1">ESF[[#This Row],[nE]]*ESF[[#This Row],[Prof. (m)]]*ESF[[#This Row],[Ap (m²)]]</f>
        <v>9.8017690792001559</v>
      </c>
      <c r="AI102" s="1">
        <f ca="1">IF(ESF[[#This Row],[nE]]=1,0,MAX(3*ESF[[#This Row],[Ø (cm)]],60))</f>
        <v>120</v>
      </c>
      <c r="AJ102" s="1">
        <f ca="1">IF(ESF[[#This Row],[nE]]=1,ESF[[#This Row],[Ø (cm)]]+2*10,MAX(1.5*ESF[[#This Row],[Ø (cm)]],ESF[[#This Row],[Ø (cm)]]+15))</f>
        <v>60</v>
      </c>
      <c r="AK102" s="1" t="str">
        <f ca="1">alturaUtil(ESF[[#This Row],[nE]],ESF[[#This Row],[Ø (cm)]],ESF[[#This Row],[e (cm)]],ESF[[#This Row],[ap,eq (cm)]])</f>
        <v>N.S.</v>
      </c>
      <c r="AL102" s="1" t="str">
        <f ca="1">IFERROR(ESF[[#This Row],[d (cm)]]+arredondarParaCimaMultiplo5cm(MAX(5,SQRT(PI())/2*ESF[[#This Row],[Ø (cm)]]/5)),"N.S.")</f>
        <v>N.S.</v>
      </c>
      <c r="AM102" s="5" t="str">
        <f ca="1">alpha(ESF[[#This Row],[nE]],ESF[[#This Row],[d (cm)]],ESF[[#This Row],[e (cm)]],ESF[[#This Row],[ap,eq (cm)]])</f>
        <v>N.S.</v>
      </c>
      <c r="AN102" s="35" t="str">
        <f ca="1">IFERROR(ESF[[#This Row],[Nsd (kN)]]/(ESF[[#This Row],[Ap (cm²)]]*SIN(ESF[[#This Row],[α]])^2),"N.S.")</f>
        <v>N.S.</v>
      </c>
      <c r="AO102" s="35" t="str">
        <f ca="1">IFERROR(ESF[[#This Row],[Nsd (kN)]]/(ESF[[#This Row],[nE]]*PI()*ESF[[#This Row],[Ø (cm)]]^2/4*SIN(ESF[[#This Row],[α]])^2),"N.S.")</f>
        <v>N.S.</v>
      </c>
      <c r="AP102" s="4" t="str">
        <f ca="1">IFERROR(INDEX(grupoEstacas[],ESF[[#This Row],[nE]],MATCH("coef. Blévot",grupoEstacas[#Headers],0)),"N.S.")</f>
        <v>N.S.</v>
      </c>
      <c r="AQ102" s="35" t="str">
        <f ca="1">IFERROR(ESF[[#This Row],[coef. Blévot]]*0.9*INDEX(tipoEstaca[],MATCH($D$2,tipoEstaca[TIPO DE ESTACA],0),MATCH("fcd (kN/cm²)",tipoEstaca[#Headers],0)),"N.S.")</f>
        <v>N.S.</v>
      </c>
      <c r="AR102" s="1" t="str">
        <f ca="1">IF(AND(ESF[[#This Row],[cd,b,pil (kN/cm²)]]&lt;=ESF[[#This Row],[cd,b,lim (kN/cm²)]],ESF[[#This Row],[cd,b,est (kN/cm²)]]&lt;=ESF[[#This Row],[cd,b,lim (kN/cm²)]]),"OK","ERRO")</f>
        <v>OK</v>
      </c>
      <c r="AS102" s="4" t="str">
        <f ca="1">As_lado(ESF[[#This Row],[nE]],ESF[[#This Row],[Nsd (kN)]],ESF[[#This Row],[d (cm)]],ESF[[#This Row],[e (cm)]],ESF[[#This Row],[ap,eq (cm)]])</f>
        <v>N.S.</v>
      </c>
      <c r="AT102" s="4" t="str">
        <f ca="1">IF(ESF[[#This Row],[nE]]=1,ESF[[#This Row],[As,lado (cm²)]],IF(ESF[[#This Row],[nE]]=2,0.075*2*ESF[a (cm)],"N.A."))</f>
        <v>N.A.</v>
      </c>
      <c r="AU102" s="4" t="str">
        <f ca="1">IFERROR(IF(ESF[[#This Row],[nE]]=1,"N.A.",0.2*ESF[[#This Row],[As,lado (cm²)]]),"N.S.")</f>
        <v>N.S.</v>
      </c>
      <c r="AV102" s="4" t="str">
        <f ca="1">As_malha(ESF[[#This Row],[nE]],ESF[[#This Row],[As,lado (cm²)]],ESF[[#This Row],[Nsd (kN)]])</f>
        <v>N.S.</v>
      </c>
      <c r="AW102" s="4" t="str">
        <f ca="1">As_susp_tot(ESF[[#This Row],[nE]],ESF[[#This Row],[Nsd (kN)]])</f>
        <v>N.S.</v>
      </c>
      <c r="AX102" s="4" t="str">
        <f ca="1">Asp_face(ESF[[#This Row],[nE]],ESF[[#This Row],[As,lado (cm²)]])</f>
        <v>N.S.</v>
      </c>
      <c r="AY102" s="5" t="str">
        <f ca="1">acoBloco(ESF[[#This Row],[nE]],ESF[[#This Row],[e (cm)]],ESF[[#This Row],[a (cm)]],ESF[[#This Row],[h (cm)]],ESF[[#This Row],[As,lado (cm²)]],ESF[[#This Row],[Asp e Asw (cm²/m)]],ESF[[#This Row],[As,sup (cm²)]],ESF[[#This Row],[As,malha (cm²)]],ESF[[#This Row],[As,susp,tot (cm²)]],ESF[[#This Row],[Asp,face (cm²)]])</f>
        <v>N.S.</v>
      </c>
      <c r="AZ102" s="4" t="str">
        <f ca="1">concretoBloco(ESF[[#This Row],[nE]],ESF[[#This Row],[e (cm)]],ESF[[#This Row],[a (cm)]],ESF[[#This Row],[h (cm)]])</f>
        <v>N.S.</v>
      </c>
      <c r="BA102" s="5">
        <f ca="1">SUM(ESF[[#This Row],[Aço Est (kg)]],ESF[[#This Row],[Aço Bloco (kg)]])</f>
        <v>7.8916807458175597</v>
      </c>
      <c r="BB102" s="4">
        <f>INDEX(composicoes[],MATCH(95580,composicoes[CÓDIGO],0),MATCH("CUSTO TOTAL",composicoes[#Headers],0))</f>
        <v>10.46</v>
      </c>
      <c r="BC102" s="4">
        <f ca="1">SUM(ESF[[#This Row],[Conc Est (m³)]],ESF[[#This Row],[Conc Bloco (m³)]])</f>
        <v>9.8017690792001559</v>
      </c>
      <c r="BD102" s="4">
        <f>INDEX(composicoes[],MATCH(94966,composicoes[CÓDIGO],0),MATCH("CUSTO TOTAL",composicoes[#Headers],0))</f>
        <v>439.52</v>
      </c>
      <c r="BE102" s="38">
        <f ca="1">ESF[[#This Row],[Aço (kg)]]*ESF[[#This Row],[Aço (R$/kg)]]+ESF[[#This Row],[Conc (m³)]]*ESF[[#This Row],[Conc (R$/m³)]]</f>
        <v>4390.6205262913036</v>
      </c>
      <c r="BF102" s="4" t="str">
        <f ca="1">IF(COUNTIF(ESF[#This Row],"N.S.")&gt;0,"lim.","OK")</f>
        <v>lim.</v>
      </c>
      <c r="BG102" s="4" t="str">
        <f>IF(ESF[[#This Row],[Prof. (m)]]&lt;3,"lim.","OK")</f>
        <v>OK</v>
      </c>
      <c r="BH102" s="4" t="str">
        <f>IF(ESF[[#This Row],[Prof. (m)]]&gt;=8*ESF[[#This Row],[Ø (cm)]]/100,"OK","lim.")</f>
        <v>OK</v>
      </c>
      <c r="BI102" s="4" t="str">
        <f>IF(AND(SPT!$F$3&lt;&gt;"",ESF[[#This Row],[Prof. (m)]]&gt;=SPT!$F$3),"lim.","OK")</f>
        <v>OK</v>
      </c>
      <c r="BJ102" s="4" t="str">
        <f>IF(COUNTIFS(ESF[Solo],"Areia",ESF[Prof. (m)],"&lt;="&amp;ESF[[#This Row],[Prof. (m)]])&gt;=1,"lim.","OK")</f>
        <v>OK</v>
      </c>
      <c r="BK102" s="4" t="str">
        <f ca="1">IF(ESF[[#This Row],[Verif. Biela]]="OK","OK","lim.")</f>
        <v>OK</v>
      </c>
      <c r="BL102" s="4" t="str">
        <f ca="1">IF(COUNTA(ESF[[#This Row],[Nº Est.]:[Biela comp.]])=COUNTIF(ESF[[#This Row],[Nº Est.]:[Biela comp.]],"OK"),"OK","lim.")</f>
        <v>lim.</v>
      </c>
      <c r="BM102" s="4" t="str">
        <f ca="1">IF(ESF[[#This Row],[Controle]]="OK",ESF[[#This Row],[nE]]&amp;" Ø"&amp;ESF[[#This Row],[Ø (cm)]]&amp;"cm Prof. "&amp;ESF[[#This Row],[Prof. (m)]]&amp;" m","")</f>
        <v/>
      </c>
      <c r="BN102" s="4" t="str">
        <f ca="1">IF(ESF[[#This Row],[idDimensionamento]]="","",ESF[[#This Row],[idPilar]]&amp;ESF[[#This Row],[idDimensionamento]])</f>
        <v/>
      </c>
    </row>
    <row r="103" spans="2:66" x14ac:dyDescent="0.25">
      <c r="B103" s="12">
        <f>ROUNDUP((ROW(ESF[[#This Row],[idDiâmetro]])-ROW(ESF[[#Headers],[idDiâmetro]]))/(COUNT(SPT[Prof. (m)])*COUNT(PILARES[Pilar])),0)</f>
        <v>4</v>
      </c>
      <c r="C103" s="12">
        <f>IF(ESF[[#This Row],[idDiâmetro]]&lt;&gt;B102,1,IF(ESF[[#This Row],[Prof. (m)]]=0,C102+1,C102))</f>
        <v>2</v>
      </c>
      <c r="D103" s="1">
        <f>IFERROR(IF(D102=MAX(SPT[Prof. (m)]),0,D102+1),0)</f>
        <v>0</v>
      </c>
      <c r="E103" s="1">
        <f>INDEX(SPT[],MATCH(ESF[[#This Row],[Prof. (m)]],SPT[Prof. (m)],0),2)</f>
        <v>0</v>
      </c>
      <c r="F103" s="1" t="str">
        <f>INDEX(SPT[],MATCH(ESF[[#This Row],[Prof. (m)]],SPT[Prof. (m)],0),3)</f>
        <v>Areia siltosa</v>
      </c>
      <c r="G103" s="1">
        <f>INDEX(estacas[],ESF[[#This Row],[idDiâmetro]],MATCH($B$2,estacas[#Headers],0))</f>
        <v>40</v>
      </c>
      <c r="H103" s="1">
        <f>INDEX(estacas[],MATCH(ESF[[#This Row],[Ø (cm)]],estacas[Ø ESF (cm)],0),MATCH(ESF[[#Headers],[Pe ESF (kN)]],estacas[#Headers],0))</f>
        <v>640</v>
      </c>
      <c r="I103" s="4">
        <f>INDEX(K_alpha_C[],MATCH(ESF[[#This Row],[Solo]],K_alpha_C[Solo],0),2)</f>
        <v>0.8</v>
      </c>
      <c r="J103" s="5">
        <f>INDEX(K_alpha_C[],MATCH(ESF[[#This Row],[Solo]],K_alpha_C[Solo],0),3)</f>
        <v>2</v>
      </c>
      <c r="K103" s="4">
        <f>INDEX(F1_F2[],MATCH($D$2,F1_F2[Tipo de estaca],0),2)</f>
        <v>3</v>
      </c>
      <c r="L103" s="4">
        <f>INDEX(F1_F2[],MATCH($D$2,F1_F2[Tipo de estaca],0),3)</f>
        <v>6</v>
      </c>
      <c r="M103" s="4">
        <f>PI()*(ESF[[#This Row],[Ø (cm)]]/100)^2/4</f>
        <v>0.12566370614359174</v>
      </c>
      <c r="N103" s="4">
        <f>PI()*ESF[[#This Row],[Ø (cm)]]/100</f>
        <v>1.2566370614359172</v>
      </c>
      <c r="O103" s="4">
        <f>IF(ESF[[#This Row],[Prof. (m)]]=0,0,ESF[[#This Row],[α (%)]]/100*ESF[[#This Row],[K (MPa)]]*1000*ESF[[#This Row],[NSPT]])</f>
        <v>0</v>
      </c>
      <c r="P103" s="4">
        <f>IF(ESF[[#This Row],[Prof. (m)]]=0,0,(ESF[[#This Row],[K (MPa)]]*1000*ESF[[#This Row],[NSPT]]/ESF[[#This Row],[F1]]*ESF[[#This Row],[Ap (m²)]]+ESF[[#This Row],[U (m)]]/ESF[[#This Row],[F2]]*SUMIFS(ESF[(α∙K∙NL∙ΔL)],ESF[Prof. (m)],"&lt;="&amp;ESF[[#This Row],[Prof. (m)]],ESF[idDiâmetro],ESF[[#This Row],[idDiâmetro]],ESF[idPilar],ESF[[#This Row],[idPilar]]))/'DADOS CAP. CARGA'!$D$2)</f>
        <v>0</v>
      </c>
      <c r="Q103" s="12">
        <f>INDEX(C_alpha_beta[],MATCH(ESF[[#This Row],[Solo]],C_alpha_beta[Solo],0),MATCH(ESF[[#Headers],[C (kPa)]],C_alpha_beta[#Headers],0))</f>
        <v>400</v>
      </c>
      <c r="R103" s="4">
        <f>INDEX(C_alpha_beta[],MATCH(ESF[[#This Row],[Solo]],C_alpha_beta[Solo],0),MATCH(ESF[[#Headers],[α ESF]],C_alpha_beta[#Headers],0))</f>
        <v>0.5</v>
      </c>
      <c r="S103" s="4">
        <f>INDEX(C_alpha_beta[],MATCH(ESF[[#This Row],[Solo]],C_alpha_beta[Solo],0),MATCH(ESF[[#Headers],[β ESF]],C_alpha_beta[#Headers],0))</f>
        <v>0.5</v>
      </c>
      <c r="T103" s="4">
        <f>IF(ESF[[#This Row],[Prof. (m)]]=0,0,10*(ESF[[#This Row],[NSPT]]/3+1))</f>
        <v>0</v>
      </c>
      <c r="U103" s="4">
        <f>(ESF[[#This Row],[α ESF]]*ESF[[#This Row],[C (kPa)]]*ESF[[#This Row],[NSPT]]*ESF[[#This Row],[Ap (m²)]])/'DADOS CAP. CARGA'!$Q$2+(ESF[[#This Row],[β ESF]]*SUMIFS(ESF[10∙(NL/3+1)],ESF[Prof. (m)],"&lt;="&amp;ESF[[#This Row],[Prof. (m)]],ESF[idDiâmetro],ESF[[#This Row],[idDiâmetro]],ESF[idPilar],ESF[[#This Row],[idPilar]])*ESF[[#This Row],[U (m)]])/'DADOS CAP. CARGA'!$S$2</f>
        <v>0</v>
      </c>
      <c r="V103" s="4">
        <f>IF(SPT!$M$5=1,MIN(ESF[[#This Row],[Pe ESF (kN)]],ESF[[#This Row],[R_AV (kN)]]),IF(SPT!$M$5=2,MIN(ESF[[#This Row],[Pe ESF (kN)]],ESF[[#This Row],[R_DC (kN)]]),MIN(ESF[[#This Row],[Pe ESF (kN)]],ESF[[#This Row],[R_AV (kN)]],ESF[[#This Row],[R_DC (kN)]])))</f>
        <v>0</v>
      </c>
      <c r="W103" s="4">
        <f>INDEX(PILARES[],ESF[[#This Row],[idPilar]],MATCH("Carga (kN)",PILARES[#Headers],0))*1.4</f>
        <v>1750</v>
      </c>
      <c r="X103" s="12">
        <f>INDEX(PILARES[],ESF[[#This Row],[idPilar]],MATCH(ESF[[#Headers],[ap (cm)]],PILARES[#Headers],0))</f>
        <v>50</v>
      </c>
      <c r="Y103" s="12">
        <f>INDEX(PILARES[],ESF[[#This Row],[idPilar]],MATCH(ESF[[#Headers],[bp (cm)]],PILARES[#Headers],0))</f>
        <v>40</v>
      </c>
      <c r="Z103" s="4">
        <f>SQRT(ESF[[#This Row],[ap (cm)]]*ESF[[#This Row],[bp (cm)]])</f>
        <v>44.721359549995796</v>
      </c>
      <c r="AA103" s="12">
        <f>ESF[[#This Row],[ap (cm)]]*ESF[[#This Row],[bp (cm)]]</f>
        <v>2000</v>
      </c>
      <c r="AB103" s="12" t="e">
        <f ca="1">IF(ESF[[#This Row],[Padm∙ε (kN)]]&gt;=ESF[[#This Row],[Padm (kN)]],ROUNDUP(1.05*ESF[[#This Row],[Nsd (kN)]]/ESF[[#This Row],[Padm (kN)]],0),ROUNDUP(1.05*ESF[[#This Row],[Nsd (kN)]]/ESF[[#This Row],[Padm (kN)]],0)+1)</f>
        <v>#DIV/0!</v>
      </c>
      <c r="AC103" s="4" t="str">
        <f ca="1">IFERROR(IF(ESF[[#This Row],[nE]]=1,ESF[[#This Row],[Padm (kN)]],ESF[[#This Row],[Padm (kN)]]*ESF[[#This Row],[nE]]*INDEX(grupoEstacas[],ESF[[#This Row],[nE]],MATCH("ε",grupoEstacas[#Headers],0))),"N.S.")</f>
        <v>N.S.</v>
      </c>
      <c r="AD103" s="4" t="e">
        <f ca="1">1.05*ESF[[#This Row],[Nsd (kN)]]/(ESF[[#This Row],[nE]]*PI()*ESF[[#This Row],[Ø (cm)]]^2/4)*10</f>
        <v>#DIV/0!</v>
      </c>
      <c r="AE103" s="4" t="e">
        <f ca="1">IF(ESF[[#This Row],[σ (MPa)]]&lt;INDEX(tipoEstaca[],MATCH($D$2,tipoEstaca[TIPO DE ESTACA],0),MATCH("σmáx (MPa)",tipoEstaca[#Headers],0)),0.4%*PI()*ESF[[#This Row],[Ø (cm)]]^2/4,"N.S.")</f>
        <v>#DIV/0!</v>
      </c>
      <c r="AF103" s="1">
        <f>INDEX(tipoEstaca[],MATCH($D$2,tipoEstaca[TIPO DE ESTACA],0),MATCH(ESF[[#Headers],[Comprimento (m)]],tipoEstaca[#Headers],0))</f>
        <v>2</v>
      </c>
      <c r="AG103" s="5" t="e">
        <f ca="1">ESF[[#This Row],[As,mín (cm²)]]/100^2*ESF[[#This Row],[Comprimento (m)]]*7850</f>
        <v>#DIV/0!</v>
      </c>
      <c r="AH103" s="4" t="e">
        <f ca="1">ESF[[#This Row],[nE]]*ESF[[#This Row],[Prof. (m)]]*ESF[[#This Row],[Ap (m²)]]</f>
        <v>#DIV/0!</v>
      </c>
      <c r="AI103" s="1" t="e">
        <f ca="1">IF(ESF[[#This Row],[nE]]=1,0,MAX(3*ESF[[#This Row],[Ø (cm)]],60))</f>
        <v>#DIV/0!</v>
      </c>
      <c r="AJ103" s="1" t="e">
        <f ca="1">IF(ESF[[#This Row],[nE]]=1,ESF[[#This Row],[Ø (cm)]]+2*10,MAX(1.5*ESF[[#This Row],[Ø (cm)]],ESF[[#This Row],[Ø (cm)]]+15))</f>
        <v>#DIV/0!</v>
      </c>
      <c r="AK103" s="1" t="e">
        <f ca="1">alturaUtil(ESF[[#This Row],[nE]],ESF[[#This Row],[Ø (cm)]],ESF[[#This Row],[e (cm)]],ESF[[#This Row],[ap,eq (cm)]])</f>
        <v>#VALUE!</v>
      </c>
      <c r="AL103" s="1" t="str">
        <f ca="1">IFERROR(ESF[[#This Row],[d (cm)]]+arredondarParaCimaMultiplo5cm(MAX(5,SQRT(PI())/2*ESF[[#This Row],[Ø (cm)]]/5)),"N.S.")</f>
        <v>N.S.</v>
      </c>
      <c r="AM103" s="5" t="e">
        <f ca="1">alpha(ESF[[#This Row],[nE]],ESF[[#This Row],[d (cm)]],ESF[[#This Row],[e (cm)]],ESF[[#This Row],[ap,eq (cm)]])</f>
        <v>#VALUE!</v>
      </c>
      <c r="AN103" s="35" t="str">
        <f ca="1">IFERROR(ESF[[#This Row],[Nsd (kN)]]/(ESF[[#This Row],[Ap (cm²)]]*SIN(ESF[[#This Row],[α]])^2),"N.S.")</f>
        <v>N.S.</v>
      </c>
      <c r="AO103" s="35" t="str">
        <f ca="1">IFERROR(ESF[[#This Row],[Nsd (kN)]]/(ESF[[#This Row],[nE]]*PI()*ESF[[#This Row],[Ø (cm)]]^2/4*SIN(ESF[[#This Row],[α]])^2),"N.S.")</f>
        <v>N.S.</v>
      </c>
      <c r="AP103" s="4" t="str">
        <f ca="1">IFERROR(INDEX(grupoEstacas[],ESF[[#This Row],[nE]],MATCH("coef. Blévot",grupoEstacas[#Headers],0)),"N.S.")</f>
        <v>N.S.</v>
      </c>
      <c r="AQ103" s="35" t="str">
        <f ca="1">IFERROR(ESF[[#This Row],[coef. Blévot]]*0.9*INDEX(tipoEstaca[],MATCH($D$2,tipoEstaca[TIPO DE ESTACA],0),MATCH("fcd (kN/cm²)",tipoEstaca[#Headers],0)),"N.S.")</f>
        <v>N.S.</v>
      </c>
      <c r="AR103" s="1" t="str">
        <f ca="1">IF(AND(ESF[[#This Row],[cd,b,pil (kN/cm²)]]&lt;=ESF[[#This Row],[cd,b,lim (kN/cm²)]],ESF[[#This Row],[cd,b,est (kN/cm²)]]&lt;=ESF[[#This Row],[cd,b,lim (kN/cm²)]]),"OK","ERRO")</f>
        <v>OK</v>
      </c>
      <c r="AS103" s="4" t="e">
        <f ca="1">As_lado(ESF[[#This Row],[nE]],ESF[[#This Row],[Nsd (kN)]],ESF[[#This Row],[d (cm)]],ESF[[#This Row],[e (cm)]],ESF[[#This Row],[ap,eq (cm)]])</f>
        <v>#VALUE!</v>
      </c>
      <c r="AT103" s="4" t="e">
        <f ca="1">IF(ESF[[#This Row],[nE]]=1,ESF[[#This Row],[As,lado (cm²)]],IF(ESF[[#This Row],[nE]]=2,0.075*2*ESF[a (cm)],"N.A."))</f>
        <v>#DIV/0!</v>
      </c>
      <c r="AU103" s="4" t="str">
        <f ca="1">IFERROR(IF(ESF[[#This Row],[nE]]=1,"N.A.",0.2*ESF[[#This Row],[As,lado (cm²)]]),"N.S.")</f>
        <v>N.S.</v>
      </c>
      <c r="AV103" s="4" t="e">
        <f ca="1">As_malha(ESF[[#This Row],[nE]],ESF[[#This Row],[As,lado (cm²)]],ESF[[#This Row],[Nsd (kN)]])</f>
        <v>#VALUE!</v>
      </c>
      <c r="AW103" s="4" t="e">
        <f ca="1">As_susp_tot(ESF[[#This Row],[nE]],ESF[[#This Row],[Nsd (kN)]])</f>
        <v>#VALUE!</v>
      </c>
      <c r="AX103" s="4" t="e">
        <f ca="1">Asp_face(ESF[[#This Row],[nE]],ESF[[#This Row],[As,lado (cm²)]])</f>
        <v>#VALUE!</v>
      </c>
      <c r="AY103" s="5" t="e">
        <f ca="1">acoBloco(ESF[[#This Row],[nE]],ESF[[#This Row],[e (cm)]],ESF[[#This Row],[a (cm)]],ESF[[#This Row],[h (cm)]],ESF[[#This Row],[As,lado (cm²)]],ESF[[#This Row],[Asp e Asw (cm²/m)]],ESF[[#This Row],[As,sup (cm²)]],ESF[[#This Row],[As,malha (cm²)]],ESF[[#This Row],[As,susp,tot (cm²)]],ESF[[#This Row],[Asp,face (cm²)]])</f>
        <v>#VALUE!</v>
      </c>
      <c r="AZ103" s="4" t="e">
        <f ca="1">concretoBloco(ESF[[#This Row],[nE]],ESF[[#This Row],[e (cm)]],ESF[[#This Row],[a (cm)]],ESF[[#This Row],[h (cm)]])</f>
        <v>#VALUE!</v>
      </c>
      <c r="BA103" s="5" t="e">
        <f ca="1">SUM(ESF[[#This Row],[Aço Est (kg)]],ESF[[#This Row],[Aço Bloco (kg)]])</f>
        <v>#DIV/0!</v>
      </c>
      <c r="BB103" s="4">
        <f>INDEX(composicoes[],MATCH(95580,composicoes[CÓDIGO],0),MATCH("CUSTO TOTAL",composicoes[#Headers],0))</f>
        <v>10.46</v>
      </c>
      <c r="BC103" s="4" t="e">
        <f ca="1">SUM(ESF[[#This Row],[Conc Est (m³)]],ESF[[#This Row],[Conc Bloco (m³)]])</f>
        <v>#DIV/0!</v>
      </c>
      <c r="BD103" s="4">
        <f>INDEX(composicoes[],MATCH(94966,composicoes[CÓDIGO],0),MATCH("CUSTO TOTAL",composicoes[#Headers],0))</f>
        <v>439.52</v>
      </c>
      <c r="BE103" s="38" t="e">
        <f ca="1">ESF[[#This Row],[Aço (kg)]]*ESF[[#This Row],[Aço (R$/kg)]]+ESF[[#This Row],[Conc (m³)]]*ESF[[#This Row],[Conc (R$/m³)]]</f>
        <v>#DIV/0!</v>
      </c>
      <c r="BF103" s="4" t="str">
        <f ca="1">IF(COUNTIF(ESF[#This Row],"N.S.")&gt;0,"lim.","OK")</f>
        <v>lim.</v>
      </c>
      <c r="BG103" s="4" t="str">
        <f>IF(ESF[[#This Row],[Prof. (m)]]&lt;3,"lim.","OK")</f>
        <v>lim.</v>
      </c>
      <c r="BH103" s="4" t="str">
        <f>IF(ESF[[#This Row],[Prof. (m)]]&gt;=8*ESF[[#This Row],[Ø (cm)]]/100,"OK","lim.")</f>
        <v>lim.</v>
      </c>
      <c r="BI103" s="4" t="str">
        <f>IF(AND(SPT!$F$3&lt;&gt;"",ESF[[#This Row],[Prof. (m)]]&gt;=SPT!$F$3),"lim.","OK")</f>
        <v>OK</v>
      </c>
      <c r="BJ103" s="4" t="str">
        <f>IF(COUNTIFS(ESF[Solo],"Areia",ESF[Prof. (m)],"&lt;="&amp;ESF[[#This Row],[Prof. (m)]])&gt;=1,"lim.","OK")</f>
        <v>OK</v>
      </c>
      <c r="BK103" s="4" t="str">
        <f ca="1">IF(ESF[[#This Row],[Verif. Biela]]="OK","OK","lim.")</f>
        <v>OK</v>
      </c>
      <c r="BL103" s="4" t="str">
        <f ca="1">IF(COUNTA(ESF[[#This Row],[Nº Est.]:[Biela comp.]])=COUNTIF(ESF[[#This Row],[Nº Est.]:[Biela comp.]],"OK"),"OK","lim.")</f>
        <v>lim.</v>
      </c>
      <c r="BM103" s="4" t="str">
        <f ca="1">IF(ESF[[#This Row],[Controle]]="OK",ESF[[#This Row],[nE]]&amp;" Ø"&amp;ESF[[#This Row],[Ø (cm)]]&amp;"cm Prof. "&amp;ESF[[#This Row],[Prof. (m)]]&amp;" m","")</f>
        <v/>
      </c>
      <c r="BN103" s="4" t="str">
        <f ca="1">IF(ESF[[#This Row],[idDimensionamento]]="","",ESF[[#This Row],[idPilar]]&amp;ESF[[#This Row],[idDimensionamento]])</f>
        <v/>
      </c>
    </row>
    <row r="104" spans="2:66" x14ac:dyDescent="0.25">
      <c r="B104" s="12">
        <f>ROUNDUP((ROW(ESF[[#This Row],[idDiâmetro]])-ROW(ESF[[#Headers],[idDiâmetro]]))/(COUNT(SPT[Prof. (m)])*COUNT(PILARES[Pilar])),0)</f>
        <v>4</v>
      </c>
      <c r="C104" s="12">
        <f>IF(ESF[[#This Row],[idDiâmetro]]&lt;&gt;B103,1,IF(ESF[[#This Row],[Prof. (m)]]=0,C103+1,C103))</f>
        <v>2</v>
      </c>
      <c r="D104" s="1">
        <f>IFERROR(IF(D103=MAX(SPT[Prof. (m)]),0,D103+1),0)</f>
        <v>1</v>
      </c>
      <c r="E104" s="1">
        <f>INDEX(SPT[],MATCH(ESF[[#This Row],[Prof. (m)]],SPT[Prof. (m)],0),2)</f>
        <v>2</v>
      </c>
      <c r="F104" s="1" t="str">
        <f>INDEX(SPT[],MATCH(ESF[[#This Row],[Prof. (m)]],SPT[Prof. (m)],0),3)</f>
        <v>Areia siltosa</v>
      </c>
      <c r="G104" s="1">
        <f>INDEX(estacas[],ESF[[#This Row],[idDiâmetro]],MATCH($B$2,estacas[#Headers],0))</f>
        <v>40</v>
      </c>
      <c r="H104" s="1">
        <f>INDEX(estacas[],MATCH(ESF[[#This Row],[Ø (cm)]],estacas[Ø ESF (cm)],0),MATCH(ESF[[#Headers],[Pe ESF (kN)]],estacas[#Headers],0))</f>
        <v>640</v>
      </c>
      <c r="I104" s="4">
        <f>INDEX(K_alpha_C[],MATCH(ESF[[#This Row],[Solo]],K_alpha_C[Solo],0),2)</f>
        <v>0.8</v>
      </c>
      <c r="J104" s="5">
        <f>INDEX(K_alpha_C[],MATCH(ESF[[#This Row],[Solo]],K_alpha_C[Solo],0),3)</f>
        <v>2</v>
      </c>
      <c r="K104" s="4">
        <f>INDEX(F1_F2[],MATCH($D$2,F1_F2[Tipo de estaca],0),2)</f>
        <v>3</v>
      </c>
      <c r="L104" s="4">
        <f>INDEX(F1_F2[],MATCH($D$2,F1_F2[Tipo de estaca],0),3)</f>
        <v>6</v>
      </c>
      <c r="M104" s="4">
        <f>PI()*(ESF[[#This Row],[Ø (cm)]]/100)^2/4</f>
        <v>0.12566370614359174</v>
      </c>
      <c r="N104" s="4">
        <f>PI()*ESF[[#This Row],[Ø (cm)]]/100</f>
        <v>1.2566370614359172</v>
      </c>
      <c r="O104" s="4">
        <f>IF(ESF[[#This Row],[Prof. (m)]]=0,0,ESF[[#This Row],[α (%)]]/100*ESF[[#This Row],[K (MPa)]]*1000*ESF[[#This Row],[NSPT]])</f>
        <v>32</v>
      </c>
      <c r="P104" s="4">
        <f>IF(ESF[[#This Row],[Prof. (m)]]=0,0,(ESF[[#This Row],[K (MPa)]]*1000*ESF[[#This Row],[NSPT]]/ESF[[#This Row],[F1]]*ESF[[#This Row],[Ap (m²)]]+ESF[[#This Row],[U (m)]]/ESF[[#This Row],[F2]]*SUMIFS(ESF[(α∙K∙NL∙ΔL)],ESF[Prof. (m)],"&lt;="&amp;ESF[[#This Row],[Prof. (m)]],ESF[idDiâmetro],ESF[[#This Row],[idDiâmetro]],ESF[idPilar],ESF[[#This Row],[idPilar]]))/'DADOS CAP. CARGA'!$D$2)</f>
        <v>36.861353802120242</v>
      </c>
      <c r="Q104" s="12">
        <f>INDEX(C_alpha_beta[],MATCH(ESF[[#This Row],[Solo]],C_alpha_beta[Solo],0),MATCH(ESF[[#Headers],[C (kPa)]],C_alpha_beta[#Headers],0))</f>
        <v>400</v>
      </c>
      <c r="R104" s="4">
        <f>INDEX(C_alpha_beta[],MATCH(ESF[[#This Row],[Solo]],C_alpha_beta[Solo],0),MATCH(ESF[[#Headers],[α ESF]],C_alpha_beta[#Headers],0))</f>
        <v>0.5</v>
      </c>
      <c r="S104" s="4">
        <f>INDEX(C_alpha_beta[],MATCH(ESF[[#This Row],[Solo]],C_alpha_beta[Solo],0),MATCH(ESF[[#Headers],[β ESF]],C_alpha_beta[#Headers],0))</f>
        <v>0.5</v>
      </c>
      <c r="T104" s="4">
        <f>IF(ESF[[#This Row],[Prof. (m)]]=0,0,10*(ESF[[#This Row],[NSPT]]/3+1))</f>
        <v>16.666666666666664</v>
      </c>
      <c r="U104" s="4">
        <f>(ESF[[#This Row],[α ESF]]*ESF[[#This Row],[C (kPa)]]*ESF[[#This Row],[NSPT]]*ESF[[#This Row],[Ap (m²)]])/'DADOS CAP. CARGA'!$Q$2+(ESF[[#This Row],[β ESF]]*SUMIFS(ESF[10∙(NL/3+1)],ESF[Prof. (m)],"&lt;="&amp;ESF[[#This Row],[Prof. (m)]],ESF[idDiâmetro],ESF[[#This Row],[idDiâmetro]],ESF[idPilar],ESF[[#This Row],[idPilar]])*ESF[[#This Row],[U (m)]])/'DADOS CAP. CARGA'!$S$2</f>
        <v>17.802358370342162</v>
      </c>
      <c r="V104" s="4">
        <f>IF(SPT!$M$5=1,MIN(ESF[[#This Row],[Pe ESF (kN)]],ESF[[#This Row],[R_AV (kN)]]),IF(SPT!$M$5=2,MIN(ESF[[#This Row],[Pe ESF (kN)]],ESF[[#This Row],[R_DC (kN)]]),MIN(ESF[[#This Row],[Pe ESF (kN)]],ESF[[#This Row],[R_AV (kN)]],ESF[[#This Row],[R_DC (kN)]])))</f>
        <v>17.802358370342162</v>
      </c>
      <c r="W104" s="4">
        <f>INDEX(PILARES[],ESF[[#This Row],[idPilar]],MATCH("Carga (kN)",PILARES[#Headers],0))*1.4</f>
        <v>1750</v>
      </c>
      <c r="X104" s="12">
        <f>INDEX(PILARES[],ESF[[#This Row],[idPilar]],MATCH(ESF[[#Headers],[ap (cm)]],PILARES[#Headers],0))</f>
        <v>50</v>
      </c>
      <c r="Y104" s="12">
        <f>INDEX(PILARES[],ESF[[#This Row],[idPilar]],MATCH(ESF[[#Headers],[bp (cm)]],PILARES[#Headers],0))</f>
        <v>40</v>
      </c>
      <c r="Z104" s="4">
        <f>SQRT(ESF[[#This Row],[ap (cm)]]*ESF[[#This Row],[bp (cm)]])</f>
        <v>44.721359549995796</v>
      </c>
      <c r="AA104" s="12">
        <f>ESF[[#This Row],[ap (cm)]]*ESF[[#This Row],[bp (cm)]]</f>
        <v>2000</v>
      </c>
      <c r="AB104" s="12">
        <f ca="1">IF(ESF[[#This Row],[Padm∙ε (kN)]]&gt;=ESF[[#This Row],[Padm (kN)]],ROUNDUP(1.05*ESF[[#This Row],[Nsd (kN)]]/ESF[[#This Row],[Padm (kN)]],0),ROUNDUP(1.05*ESF[[#This Row],[Nsd (kN)]]/ESF[[#This Row],[Padm (kN)]],0)+1)</f>
        <v>104</v>
      </c>
      <c r="AC104" s="4" t="str">
        <f ca="1">IFERROR(IF(ESF[[#This Row],[nE]]=1,ESF[[#This Row],[Padm (kN)]],ESF[[#This Row],[Padm (kN)]]*ESF[[#This Row],[nE]]*INDEX(grupoEstacas[],ESF[[#This Row],[nE]],MATCH("ε",grupoEstacas[#Headers],0))),"N.S.")</f>
        <v>N.S.</v>
      </c>
      <c r="AD104" s="4">
        <f ca="1">1.05*ESF[[#This Row],[Nsd (kN)]]/(ESF[[#This Row],[nE]]*PI()*ESF[[#This Row],[Ø (cm)]]^2/4)*10</f>
        <v>0.14059961919776812</v>
      </c>
      <c r="AE104" s="4">
        <f ca="1">IF(ESF[[#This Row],[σ (MPa)]]&lt;INDEX(tipoEstaca[],MATCH($D$2,tipoEstaca[TIPO DE ESTACA],0),MATCH("σmáx (MPa)",tipoEstaca[#Headers],0)),0.4%*PI()*ESF[[#This Row],[Ø (cm)]]^2/4,"N.S.")</f>
        <v>5.026548245743669</v>
      </c>
      <c r="AF104" s="1">
        <f>INDEX(tipoEstaca[],MATCH($D$2,tipoEstaca[TIPO DE ESTACA],0),MATCH(ESF[[#Headers],[Comprimento (m)]],tipoEstaca[#Headers],0))</f>
        <v>2</v>
      </c>
      <c r="AG104" s="5">
        <f ca="1">ESF[[#This Row],[As,mín (cm²)]]/100^2*ESF[[#This Row],[Comprimento (m)]]*7850</f>
        <v>7.8916807458175597</v>
      </c>
      <c r="AH104" s="4">
        <f ca="1">ESF[[#This Row],[nE]]*ESF[[#This Row],[Prof. (m)]]*ESF[[#This Row],[Ap (m²)]]</f>
        <v>13.06902543893354</v>
      </c>
      <c r="AI104" s="1">
        <f ca="1">IF(ESF[[#This Row],[nE]]=1,0,MAX(3*ESF[[#This Row],[Ø (cm)]],60))</f>
        <v>120</v>
      </c>
      <c r="AJ104" s="1">
        <f ca="1">IF(ESF[[#This Row],[nE]]=1,ESF[[#This Row],[Ø (cm)]]+2*10,MAX(1.5*ESF[[#This Row],[Ø (cm)]],ESF[[#This Row],[Ø (cm)]]+15))</f>
        <v>60</v>
      </c>
      <c r="AK104" s="1" t="str">
        <f ca="1">alturaUtil(ESF[[#This Row],[nE]],ESF[[#This Row],[Ø (cm)]],ESF[[#This Row],[e (cm)]],ESF[[#This Row],[ap,eq (cm)]])</f>
        <v>N.S.</v>
      </c>
      <c r="AL104" s="1" t="str">
        <f ca="1">IFERROR(ESF[[#This Row],[d (cm)]]+arredondarParaCimaMultiplo5cm(MAX(5,SQRT(PI())/2*ESF[[#This Row],[Ø (cm)]]/5)),"N.S.")</f>
        <v>N.S.</v>
      </c>
      <c r="AM104" s="5" t="str">
        <f ca="1">alpha(ESF[[#This Row],[nE]],ESF[[#This Row],[d (cm)]],ESF[[#This Row],[e (cm)]],ESF[[#This Row],[ap,eq (cm)]])</f>
        <v>N.S.</v>
      </c>
      <c r="AN104" s="35" t="str">
        <f ca="1">IFERROR(ESF[[#This Row],[Nsd (kN)]]/(ESF[[#This Row],[Ap (cm²)]]*SIN(ESF[[#This Row],[α]])^2),"N.S.")</f>
        <v>N.S.</v>
      </c>
      <c r="AO104" s="35" t="str">
        <f ca="1">IFERROR(ESF[[#This Row],[Nsd (kN)]]/(ESF[[#This Row],[nE]]*PI()*ESF[[#This Row],[Ø (cm)]]^2/4*SIN(ESF[[#This Row],[α]])^2),"N.S.")</f>
        <v>N.S.</v>
      </c>
      <c r="AP104" s="4" t="str">
        <f ca="1">IFERROR(INDEX(grupoEstacas[],ESF[[#This Row],[nE]],MATCH("coef. Blévot",grupoEstacas[#Headers],0)),"N.S.")</f>
        <v>N.S.</v>
      </c>
      <c r="AQ104" s="35" t="str">
        <f ca="1">IFERROR(ESF[[#This Row],[coef. Blévot]]*0.9*INDEX(tipoEstaca[],MATCH($D$2,tipoEstaca[TIPO DE ESTACA],0),MATCH("fcd (kN/cm²)",tipoEstaca[#Headers],0)),"N.S.")</f>
        <v>N.S.</v>
      </c>
      <c r="AR104" s="1" t="str">
        <f ca="1">IF(AND(ESF[[#This Row],[cd,b,pil (kN/cm²)]]&lt;=ESF[[#This Row],[cd,b,lim (kN/cm²)]],ESF[[#This Row],[cd,b,est (kN/cm²)]]&lt;=ESF[[#This Row],[cd,b,lim (kN/cm²)]]),"OK","ERRO")</f>
        <v>OK</v>
      </c>
      <c r="AS104" s="4" t="str">
        <f ca="1">As_lado(ESF[[#This Row],[nE]],ESF[[#This Row],[Nsd (kN)]],ESF[[#This Row],[d (cm)]],ESF[[#This Row],[e (cm)]],ESF[[#This Row],[ap,eq (cm)]])</f>
        <v>N.S.</v>
      </c>
      <c r="AT104" s="4" t="str">
        <f ca="1">IF(ESF[[#This Row],[nE]]=1,ESF[[#This Row],[As,lado (cm²)]],IF(ESF[[#This Row],[nE]]=2,0.075*2*ESF[a (cm)],"N.A."))</f>
        <v>N.A.</v>
      </c>
      <c r="AU104" s="4" t="str">
        <f ca="1">IFERROR(IF(ESF[[#This Row],[nE]]=1,"N.A.",0.2*ESF[[#This Row],[As,lado (cm²)]]),"N.S.")</f>
        <v>N.S.</v>
      </c>
      <c r="AV104" s="4" t="str">
        <f ca="1">As_malha(ESF[[#This Row],[nE]],ESF[[#This Row],[As,lado (cm²)]],ESF[[#This Row],[Nsd (kN)]])</f>
        <v>N.S.</v>
      </c>
      <c r="AW104" s="4" t="str">
        <f ca="1">As_susp_tot(ESF[[#This Row],[nE]],ESF[[#This Row],[Nsd (kN)]])</f>
        <v>N.S.</v>
      </c>
      <c r="AX104" s="4" t="str">
        <f ca="1">Asp_face(ESF[[#This Row],[nE]],ESF[[#This Row],[As,lado (cm²)]])</f>
        <v>N.S.</v>
      </c>
      <c r="AY104" s="5" t="str">
        <f ca="1">acoBloco(ESF[[#This Row],[nE]],ESF[[#This Row],[e (cm)]],ESF[[#This Row],[a (cm)]],ESF[[#This Row],[h (cm)]],ESF[[#This Row],[As,lado (cm²)]],ESF[[#This Row],[Asp e Asw (cm²/m)]],ESF[[#This Row],[As,sup (cm²)]],ESF[[#This Row],[As,malha (cm²)]],ESF[[#This Row],[As,susp,tot (cm²)]],ESF[[#This Row],[Asp,face (cm²)]])</f>
        <v>N.S.</v>
      </c>
      <c r="AZ104" s="4" t="str">
        <f ca="1">concretoBloco(ESF[[#This Row],[nE]],ESF[[#This Row],[e (cm)]],ESF[[#This Row],[a (cm)]],ESF[[#This Row],[h (cm)]])</f>
        <v>N.S.</v>
      </c>
      <c r="BA104" s="5">
        <f ca="1">SUM(ESF[[#This Row],[Aço Est (kg)]],ESF[[#This Row],[Aço Bloco (kg)]])</f>
        <v>7.8916807458175597</v>
      </c>
      <c r="BB104" s="4">
        <f>INDEX(composicoes[],MATCH(95580,composicoes[CÓDIGO],0),MATCH("CUSTO TOTAL",composicoes[#Headers],0))</f>
        <v>10.46</v>
      </c>
      <c r="BC104" s="4">
        <f ca="1">SUM(ESF[[#This Row],[Conc Est (m³)]],ESF[[#This Row],[Conc Bloco (m³)]])</f>
        <v>13.06902543893354</v>
      </c>
      <c r="BD104" s="4">
        <f>INDEX(composicoes[],MATCH(94966,composicoes[CÓDIGO],0),MATCH("CUSTO TOTAL",composicoes[#Headers],0))</f>
        <v>439.52</v>
      </c>
      <c r="BE104" s="38">
        <f ca="1">ESF[[#This Row],[Aço (kg)]]*ESF[[#This Row],[Aço (R$/kg)]]+ESF[[#This Row],[Conc (m³)]]*ESF[[#This Row],[Conc (R$/m³)]]</f>
        <v>5826.6450415213212</v>
      </c>
      <c r="BF104" s="4" t="str">
        <f ca="1">IF(COUNTIF(ESF[#This Row],"N.S.")&gt;0,"lim.","OK")</f>
        <v>lim.</v>
      </c>
      <c r="BG104" s="4" t="str">
        <f>IF(ESF[[#This Row],[Prof. (m)]]&lt;3,"lim.","OK")</f>
        <v>lim.</v>
      </c>
      <c r="BH104" s="4" t="str">
        <f>IF(ESF[[#This Row],[Prof. (m)]]&gt;=8*ESF[[#This Row],[Ø (cm)]]/100,"OK","lim.")</f>
        <v>lim.</v>
      </c>
      <c r="BI104" s="4" t="str">
        <f>IF(AND(SPT!$F$3&lt;&gt;"",ESF[[#This Row],[Prof. (m)]]&gt;=SPT!$F$3),"lim.","OK")</f>
        <v>OK</v>
      </c>
      <c r="BJ104" s="4" t="str">
        <f>IF(COUNTIFS(ESF[Solo],"Areia",ESF[Prof. (m)],"&lt;="&amp;ESF[[#This Row],[Prof. (m)]])&gt;=1,"lim.","OK")</f>
        <v>OK</v>
      </c>
      <c r="BK104" s="4" t="str">
        <f ca="1">IF(ESF[[#This Row],[Verif. Biela]]="OK","OK","lim.")</f>
        <v>OK</v>
      </c>
      <c r="BL104" s="4" t="str">
        <f ca="1">IF(COUNTA(ESF[[#This Row],[Nº Est.]:[Biela comp.]])=COUNTIF(ESF[[#This Row],[Nº Est.]:[Biela comp.]],"OK"),"OK","lim.")</f>
        <v>lim.</v>
      </c>
      <c r="BM104" s="4" t="str">
        <f ca="1">IF(ESF[[#This Row],[Controle]]="OK",ESF[[#This Row],[nE]]&amp;" Ø"&amp;ESF[[#This Row],[Ø (cm)]]&amp;"cm Prof. "&amp;ESF[[#This Row],[Prof. (m)]]&amp;" m","")</f>
        <v/>
      </c>
      <c r="BN104" s="4" t="str">
        <f ca="1">IF(ESF[[#This Row],[idDimensionamento]]="","",ESF[[#This Row],[idPilar]]&amp;ESF[[#This Row],[idDimensionamento]])</f>
        <v/>
      </c>
    </row>
    <row r="105" spans="2:66" x14ac:dyDescent="0.25">
      <c r="B105" s="12">
        <f>ROUNDUP((ROW(ESF[[#This Row],[idDiâmetro]])-ROW(ESF[[#Headers],[idDiâmetro]]))/(COUNT(SPT[Prof. (m)])*COUNT(PILARES[Pilar])),0)</f>
        <v>4</v>
      </c>
      <c r="C105" s="12">
        <f>IF(ESF[[#This Row],[idDiâmetro]]&lt;&gt;B104,1,IF(ESF[[#This Row],[Prof. (m)]]=0,C104+1,C104))</f>
        <v>2</v>
      </c>
      <c r="D105" s="1">
        <f>IFERROR(IF(D104=MAX(SPT[Prof. (m)]),0,D104+1),0)</f>
        <v>2</v>
      </c>
      <c r="E105" s="1">
        <f>INDEX(SPT[],MATCH(ESF[[#This Row],[Prof. (m)]],SPT[Prof. (m)],0),2)</f>
        <v>2</v>
      </c>
      <c r="F105" s="1" t="str">
        <f>INDEX(SPT[],MATCH(ESF[[#This Row],[Prof. (m)]],SPT[Prof. (m)],0),3)</f>
        <v>Areia siltosa</v>
      </c>
      <c r="G105" s="1">
        <f>INDEX(estacas[],ESF[[#This Row],[idDiâmetro]],MATCH($B$2,estacas[#Headers],0))</f>
        <v>40</v>
      </c>
      <c r="H105" s="1">
        <f>INDEX(estacas[],MATCH(ESF[[#This Row],[Ø (cm)]],estacas[Ø ESF (cm)],0),MATCH(ESF[[#Headers],[Pe ESF (kN)]],estacas[#Headers],0))</f>
        <v>640</v>
      </c>
      <c r="I105" s="4">
        <f>INDEX(K_alpha_C[],MATCH(ESF[[#This Row],[Solo]],K_alpha_C[Solo],0),2)</f>
        <v>0.8</v>
      </c>
      <c r="J105" s="5">
        <f>INDEX(K_alpha_C[],MATCH(ESF[[#This Row],[Solo]],K_alpha_C[Solo],0),3)</f>
        <v>2</v>
      </c>
      <c r="K105" s="4">
        <f>INDEX(F1_F2[],MATCH($D$2,F1_F2[Tipo de estaca],0),2)</f>
        <v>3</v>
      </c>
      <c r="L105" s="4">
        <f>INDEX(F1_F2[],MATCH($D$2,F1_F2[Tipo de estaca],0),3)</f>
        <v>6</v>
      </c>
      <c r="M105" s="4">
        <f>PI()*(ESF[[#This Row],[Ø (cm)]]/100)^2/4</f>
        <v>0.12566370614359174</v>
      </c>
      <c r="N105" s="4">
        <f>PI()*ESF[[#This Row],[Ø (cm)]]/100</f>
        <v>1.2566370614359172</v>
      </c>
      <c r="O105" s="4">
        <f>IF(ESF[[#This Row],[Prof. (m)]]=0,0,ESF[[#This Row],[α (%)]]/100*ESF[[#This Row],[K (MPa)]]*1000*ESF[[#This Row],[NSPT]])</f>
        <v>32</v>
      </c>
      <c r="P105" s="4">
        <f>IF(ESF[[#This Row],[Prof. (m)]]=0,0,(ESF[[#This Row],[K (MPa)]]*1000*ESF[[#This Row],[NSPT]]/ESF[[#This Row],[F1]]*ESF[[#This Row],[Ap (m²)]]+ESF[[#This Row],[U (m)]]/ESF[[#This Row],[F2]]*SUMIFS(ESF[(α∙K∙NL∙ΔL)],ESF[Prof. (m)],"&lt;="&amp;ESF[[#This Row],[Prof. (m)]],ESF[idDiâmetro],ESF[[#This Row],[idDiâmetro]],ESF[idPilar],ESF[[#This Row],[idPilar]]))/'DADOS CAP. CARGA'!$D$2)</f>
        <v>40.212385965949359</v>
      </c>
      <c r="Q105" s="12">
        <f>INDEX(C_alpha_beta[],MATCH(ESF[[#This Row],[Solo]],C_alpha_beta[Solo],0),MATCH(ESF[[#Headers],[C (kPa)]],C_alpha_beta[#Headers],0))</f>
        <v>400</v>
      </c>
      <c r="R105" s="4">
        <f>INDEX(C_alpha_beta[],MATCH(ESF[[#This Row],[Solo]],C_alpha_beta[Solo],0),MATCH(ESF[[#Headers],[α ESF]],C_alpha_beta[#Headers],0))</f>
        <v>0.5</v>
      </c>
      <c r="S105" s="4">
        <f>INDEX(C_alpha_beta[],MATCH(ESF[[#This Row],[Solo]],C_alpha_beta[Solo],0),MATCH(ESF[[#Headers],[β ESF]],C_alpha_beta[#Headers],0))</f>
        <v>0.5</v>
      </c>
      <c r="T105" s="4">
        <f>IF(ESF[[#This Row],[Prof. (m)]]=0,0,10*(ESF[[#This Row],[NSPT]]/3+1))</f>
        <v>16.666666666666664</v>
      </c>
      <c r="U105" s="4">
        <f>(ESF[[#This Row],[α ESF]]*ESF[[#This Row],[C (kPa)]]*ESF[[#This Row],[NSPT]]*ESF[[#This Row],[Ap (m²)]])/'DADOS CAP. CARGA'!$Q$2+(ESF[[#This Row],[β ESF]]*SUMIFS(ESF[10∙(NL/3+1)],ESF[Prof. (m)],"&lt;="&amp;ESF[[#This Row],[Prof. (m)]],ESF[idDiâmetro],ESF[[#This Row],[idDiâmetro]],ESF[idPilar],ESF[[#This Row],[idPilar]])*ESF[[#This Row],[U (m)]])/'DADOS CAP. CARGA'!$S$2</f>
        <v>23.038346126325152</v>
      </c>
      <c r="V105" s="4">
        <f>IF(SPT!$M$5=1,MIN(ESF[[#This Row],[Pe ESF (kN)]],ESF[[#This Row],[R_AV (kN)]]),IF(SPT!$M$5=2,MIN(ESF[[#This Row],[Pe ESF (kN)]],ESF[[#This Row],[R_DC (kN)]]),MIN(ESF[[#This Row],[Pe ESF (kN)]],ESF[[#This Row],[R_AV (kN)]],ESF[[#This Row],[R_DC (kN)]])))</f>
        <v>23.038346126325152</v>
      </c>
      <c r="W105" s="4">
        <f>INDEX(PILARES[],ESF[[#This Row],[idPilar]],MATCH("Carga (kN)",PILARES[#Headers],0))*1.4</f>
        <v>1750</v>
      </c>
      <c r="X105" s="12">
        <f>INDEX(PILARES[],ESF[[#This Row],[idPilar]],MATCH(ESF[[#Headers],[ap (cm)]],PILARES[#Headers],0))</f>
        <v>50</v>
      </c>
      <c r="Y105" s="12">
        <f>INDEX(PILARES[],ESF[[#This Row],[idPilar]],MATCH(ESF[[#Headers],[bp (cm)]],PILARES[#Headers],0))</f>
        <v>40</v>
      </c>
      <c r="Z105" s="4">
        <f>SQRT(ESF[[#This Row],[ap (cm)]]*ESF[[#This Row],[bp (cm)]])</f>
        <v>44.721359549995796</v>
      </c>
      <c r="AA105" s="12">
        <f>ESF[[#This Row],[ap (cm)]]*ESF[[#This Row],[bp (cm)]]</f>
        <v>2000</v>
      </c>
      <c r="AB105" s="12">
        <f ca="1">IF(ESF[[#This Row],[Padm∙ε (kN)]]&gt;=ESF[[#This Row],[Padm (kN)]],ROUNDUP(1.05*ESF[[#This Row],[Nsd (kN)]]/ESF[[#This Row],[Padm (kN)]],0),ROUNDUP(1.05*ESF[[#This Row],[Nsd (kN)]]/ESF[[#This Row],[Padm (kN)]],0)+1)</f>
        <v>80</v>
      </c>
      <c r="AC105" s="4" t="str">
        <f ca="1">IFERROR(IF(ESF[[#This Row],[nE]]=1,ESF[[#This Row],[Padm (kN)]],ESF[[#This Row],[Padm (kN)]]*ESF[[#This Row],[nE]]*INDEX(grupoEstacas[],ESF[[#This Row],[nE]],MATCH("ε",grupoEstacas[#Headers],0))),"N.S.")</f>
        <v>N.S.</v>
      </c>
      <c r="AD105" s="4">
        <f ca="1">1.05*ESF[[#This Row],[Nsd (kN)]]/(ESF[[#This Row],[nE]]*PI()*ESF[[#This Row],[Ø (cm)]]^2/4)*10</f>
        <v>0.18277950495709855</v>
      </c>
      <c r="AE105" s="4">
        <f ca="1">IF(ESF[[#This Row],[σ (MPa)]]&lt;INDEX(tipoEstaca[],MATCH($D$2,tipoEstaca[TIPO DE ESTACA],0),MATCH("σmáx (MPa)",tipoEstaca[#Headers],0)),0.4%*PI()*ESF[[#This Row],[Ø (cm)]]^2/4,"N.S.")</f>
        <v>5.026548245743669</v>
      </c>
      <c r="AF105" s="1">
        <f>INDEX(tipoEstaca[],MATCH($D$2,tipoEstaca[TIPO DE ESTACA],0),MATCH(ESF[[#Headers],[Comprimento (m)]],tipoEstaca[#Headers],0))</f>
        <v>2</v>
      </c>
      <c r="AG105" s="5">
        <f ca="1">ESF[[#This Row],[As,mín (cm²)]]/100^2*ESF[[#This Row],[Comprimento (m)]]*7850</f>
        <v>7.8916807458175597</v>
      </c>
      <c r="AH105" s="4">
        <f ca="1">ESF[[#This Row],[nE]]*ESF[[#This Row],[Prof. (m)]]*ESF[[#This Row],[Ap (m²)]]</f>
        <v>20.106192982974676</v>
      </c>
      <c r="AI105" s="1">
        <f ca="1">IF(ESF[[#This Row],[nE]]=1,0,MAX(3*ESF[[#This Row],[Ø (cm)]],60))</f>
        <v>120</v>
      </c>
      <c r="AJ105" s="1">
        <f ca="1">IF(ESF[[#This Row],[nE]]=1,ESF[[#This Row],[Ø (cm)]]+2*10,MAX(1.5*ESF[[#This Row],[Ø (cm)]],ESF[[#This Row],[Ø (cm)]]+15))</f>
        <v>60</v>
      </c>
      <c r="AK105" s="1" t="str">
        <f ca="1">alturaUtil(ESF[[#This Row],[nE]],ESF[[#This Row],[Ø (cm)]],ESF[[#This Row],[e (cm)]],ESF[[#This Row],[ap,eq (cm)]])</f>
        <v>N.S.</v>
      </c>
      <c r="AL105" s="1" t="str">
        <f ca="1">IFERROR(ESF[[#This Row],[d (cm)]]+arredondarParaCimaMultiplo5cm(MAX(5,SQRT(PI())/2*ESF[[#This Row],[Ø (cm)]]/5)),"N.S.")</f>
        <v>N.S.</v>
      </c>
      <c r="AM105" s="5" t="str">
        <f ca="1">alpha(ESF[[#This Row],[nE]],ESF[[#This Row],[d (cm)]],ESF[[#This Row],[e (cm)]],ESF[[#This Row],[ap,eq (cm)]])</f>
        <v>N.S.</v>
      </c>
      <c r="AN105" s="35" t="str">
        <f ca="1">IFERROR(ESF[[#This Row],[Nsd (kN)]]/(ESF[[#This Row],[Ap (cm²)]]*SIN(ESF[[#This Row],[α]])^2),"N.S.")</f>
        <v>N.S.</v>
      </c>
      <c r="AO105" s="35" t="str">
        <f ca="1">IFERROR(ESF[[#This Row],[Nsd (kN)]]/(ESF[[#This Row],[nE]]*PI()*ESF[[#This Row],[Ø (cm)]]^2/4*SIN(ESF[[#This Row],[α]])^2),"N.S.")</f>
        <v>N.S.</v>
      </c>
      <c r="AP105" s="4" t="str">
        <f ca="1">IFERROR(INDEX(grupoEstacas[],ESF[[#This Row],[nE]],MATCH("coef. Blévot",grupoEstacas[#Headers],0)),"N.S.")</f>
        <v>N.S.</v>
      </c>
      <c r="AQ105" s="35" t="str">
        <f ca="1">IFERROR(ESF[[#This Row],[coef. Blévot]]*0.9*INDEX(tipoEstaca[],MATCH($D$2,tipoEstaca[TIPO DE ESTACA],0),MATCH("fcd (kN/cm²)",tipoEstaca[#Headers],0)),"N.S.")</f>
        <v>N.S.</v>
      </c>
      <c r="AR105" s="1" t="str">
        <f ca="1">IF(AND(ESF[[#This Row],[cd,b,pil (kN/cm²)]]&lt;=ESF[[#This Row],[cd,b,lim (kN/cm²)]],ESF[[#This Row],[cd,b,est (kN/cm²)]]&lt;=ESF[[#This Row],[cd,b,lim (kN/cm²)]]),"OK","ERRO")</f>
        <v>OK</v>
      </c>
      <c r="AS105" s="4" t="str">
        <f ca="1">As_lado(ESF[[#This Row],[nE]],ESF[[#This Row],[Nsd (kN)]],ESF[[#This Row],[d (cm)]],ESF[[#This Row],[e (cm)]],ESF[[#This Row],[ap,eq (cm)]])</f>
        <v>N.S.</v>
      </c>
      <c r="AT105" s="4" t="str">
        <f ca="1">IF(ESF[[#This Row],[nE]]=1,ESF[[#This Row],[As,lado (cm²)]],IF(ESF[[#This Row],[nE]]=2,0.075*2*ESF[a (cm)],"N.A."))</f>
        <v>N.A.</v>
      </c>
      <c r="AU105" s="4" t="str">
        <f ca="1">IFERROR(IF(ESF[[#This Row],[nE]]=1,"N.A.",0.2*ESF[[#This Row],[As,lado (cm²)]]),"N.S.")</f>
        <v>N.S.</v>
      </c>
      <c r="AV105" s="4" t="str">
        <f ca="1">As_malha(ESF[[#This Row],[nE]],ESF[[#This Row],[As,lado (cm²)]],ESF[[#This Row],[Nsd (kN)]])</f>
        <v>N.S.</v>
      </c>
      <c r="AW105" s="4" t="str">
        <f ca="1">As_susp_tot(ESF[[#This Row],[nE]],ESF[[#This Row],[Nsd (kN)]])</f>
        <v>N.S.</v>
      </c>
      <c r="AX105" s="4" t="str">
        <f ca="1">Asp_face(ESF[[#This Row],[nE]],ESF[[#This Row],[As,lado (cm²)]])</f>
        <v>N.S.</v>
      </c>
      <c r="AY105" s="5" t="str">
        <f ca="1">acoBloco(ESF[[#This Row],[nE]],ESF[[#This Row],[e (cm)]],ESF[[#This Row],[a (cm)]],ESF[[#This Row],[h (cm)]],ESF[[#This Row],[As,lado (cm²)]],ESF[[#This Row],[Asp e Asw (cm²/m)]],ESF[[#This Row],[As,sup (cm²)]],ESF[[#This Row],[As,malha (cm²)]],ESF[[#This Row],[As,susp,tot (cm²)]],ESF[[#This Row],[Asp,face (cm²)]])</f>
        <v>N.S.</v>
      </c>
      <c r="AZ105" s="4" t="str">
        <f ca="1">concretoBloco(ESF[[#This Row],[nE]],ESF[[#This Row],[e (cm)]],ESF[[#This Row],[a (cm)]],ESF[[#This Row],[h (cm)]])</f>
        <v>N.S.</v>
      </c>
      <c r="BA105" s="5">
        <f ca="1">SUM(ESF[[#This Row],[Aço Est (kg)]],ESF[[#This Row],[Aço Bloco (kg)]])</f>
        <v>7.8916807458175597</v>
      </c>
      <c r="BB105" s="4">
        <f>INDEX(composicoes[],MATCH(95580,composicoes[CÓDIGO],0),MATCH("CUSTO TOTAL",composicoes[#Headers],0))</f>
        <v>10.46</v>
      </c>
      <c r="BC105" s="4">
        <f ca="1">SUM(ESF[[#This Row],[Conc Est (m³)]],ESF[[#This Row],[Conc Bloco (m³)]])</f>
        <v>20.106192982974676</v>
      </c>
      <c r="BD105" s="4">
        <f>INDEX(composicoes[],MATCH(94966,composicoes[CÓDIGO],0),MATCH("CUSTO TOTAL",composicoes[#Headers],0))</f>
        <v>439.52</v>
      </c>
      <c r="BE105" s="38">
        <f ca="1">ESF[[#This Row],[Aço (kg)]]*ESF[[#This Row],[Aço (R$/kg)]]+ESF[[#This Row],[Conc (m³)]]*ESF[[#This Row],[Conc (R$/m³)]]</f>
        <v>8919.6209204782808</v>
      </c>
      <c r="BF105" s="4" t="str">
        <f ca="1">IF(COUNTIF(ESF[#This Row],"N.S.")&gt;0,"lim.","OK")</f>
        <v>lim.</v>
      </c>
      <c r="BG105" s="4" t="str">
        <f>IF(ESF[[#This Row],[Prof. (m)]]&lt;3,"lim.","OK")</f>
        <v>lim.</v>
      </c>
      <c r="BH105" s="4" t="str">
        <f>IF(ESF[[#This Row],[Prof. (m)]]&gt;=8*ESF[[#This Row],[Ø (cm)]]/100,"OK","lim.")</f>
        <v>lim.</v>
      </c>
      <c r="BI105" s="4" t="str">
        <f>IF(AND(SPT!$F$3&lt;&gt;"",ESF[[#This Row],[Prof. (m)]]&gt;=SPT!$F$3),"lim.","OK")</f>
        <v>OK</v>
      </c>
      <c r="BJ105" s="4" t="str">
        <f>IF(COUNTIFS(ESF[Solo],"Areia",ESF[Prof. (m)],"&lt;="&amp;ESF[[#This Row],[Prof. (m)]])&gt;=1,"lim.","OK")</f>
        <v>OK</v>
      </c>
      <c r="BK105" s="4" t="str">
        <f ca="1">IF(ESF[[#This Row],[Verif. Biela]]="OK","OK","lim.")</f>
        <v>OK</v>
      </c>
      <c r="BL105" s="4" t="str">
        <f ca="1">IF(COUNTA(ESF[[#This Row],[Nº Est.]:[Biela comp.]])=COUNTIF(ESF[[#This Row],[Nº Est.]:[Biela comp.]],"OK"),"OK","lim.")</f>
        <v>lim.</v>
      </c>
      <c r="BM105" s="4" t="str">
        <f ca="1">IF(ESF[[#This Row],[Controle]]="OK",ESF[[#This Row],[nE]]&amp;" Ø"&amp;ESF[[#This Row],[Ø (cm)]]&amp;"cm Prof. "&amp;ESF[[#This Row],[Prof. (m)]]&amp;" m","")</f>
        <v/>
      </c>
      <c r="BN105" s="4" t="str">
        <f ca="1">IF(ESF[[#This Row],[idDimensionamento]]="","",ESF[[#This Row],[idPilar]]&amp;ESF[[#This Row],[idDimensionamento]])</f>
        <v/>
      </c>
    </row>
    <row r="106" spans="2:66" x14ac:dyDescent="0.25">
      <c r="B106" s="12">
        <f>ROUNDUP((ROW(ESF[[#This Row],[idDiâmetro]])-ROW(ESF[[#Headers],[idDiâmetro]]))/(COUNT(SPT[Prof. (m)])*COUNT(PILARES[Pilar])),0)</f>
        <v>4</v>
      </c>
      <c r="C106" s="12">
        <f>IF(ESF[[#This Row],[idDiâmetro]]&lt;&gt;B105,1,IF(ESF[[#This Row],[Prof. (m)]]=0,C105+1,C105))</f>
        <v>2</v>
      </c>
      <c r="D106" s="1">
        <f>IFERROR(IF(D105=MAX(SPT[Prof. (m)]),0,D105+1),0)</f>
        <v>3</v>
      </c>
      <c r="E106" s="1">
        <f>INDEX(SPT[],MATCH(ESF[[#This Row],[Prof. (m)]],SPT[Prof. (m)],0),2)</f>
        <v>4</v>
      </c>
      <c r="F106" s="1" t="str">
        <f>INDEX(SPT[],MATCH(ESF[[#This Row],[Prof. (m)]],SPT[Prof. (m)],0),3)</f>
        <v>Areia siltosa</v>
      </c>
      <c r="G106" s="1">
        <f>INDEX(estacas[],ESF[[#This Row],[idDiâmetro]],MATCH($B$2,estacas[#Headers],0))</f>
        <v>40</v>
      </c>
      <c r="H106" s="1">
        <f>INDEX(estacas[],MATCH(ESF[[#This Row],[Ø (cm)]],estacas[Ø ESF (cm)],0),MATCH(ESF[[#Headers],[Pe ESF (kN)]],estacas[#Headers],0))</f>
        <v>640</v>
      </c>
      <c r="I106" s="4">
        <f>INDEX(K_alpha_C[],MATCH(ESF[[#This Row],[Solo]],K_alpha_C[Solo],0),2)</f>
        <v>0.8</v>
      </c>
      <c r="J106" s="5">
        <f>INDEX(K_alpha_C[],MATCH(ESF[[#This Row],[Solo]],K_alpha_C[Solo],0),3)</f>
        <v>2</v>
      </c>
      <c r="K106" s="4">
        <f>INDEX(F1_F2[],MATCH($D$2,F1_F2[Tipo de estaca],0),2)</f>
        <v>3</v>
      </c>
      <c r="L106" s="4">
        <f>INDEX(F1_F2[],MATCH($D$2,F1_F2[Tipo de estaca],0),3)</f>
        <v>6</v>
      </c>
      <c r="M106" s="4">
        <f>PI()*(ESF[[#This Row],[Ø (cm)]]/100)^2/4</f>
        <v>0.12566370614359174</v>
      </c>
      <c r="N106" s="4">
        <f>PI()*ESF[[#This Row],[Ø (cm)]]/100</f>
        <v>1.2566370614359172</v>
      </c>
      <c r="O106" s="4">
        <f>IF(ESF[[#This Row],[Prof. (m)]]=0,0,ESF[[#This Row],[α (%)]]/100*ESF[[#This Row],[K (MPa)]]*1000*ESF[[#This Row],[NSPT]])</f>
        <v>64</v>
      </c>
      <c r="P106" s="4">
        <f>IF(ESF[[#This Row],[Prof. (m)]]=0,0,(ESF[[#This Row],[K (MPa)]]*1000*ESF[[#This Row],[NSPT]]/ESF[[#This Row],[F1]]*ESF[[#This Row],[Ap (m²)]]+ESF[[#This Row],[U (m)]]/ESF[[#This Row],[F2]]*SUMIFS(ESF[(α∙K∙NL∙ΔL)],ESF[Prof. (m)],"&lt;="&amp;ESF[[#This Row],[Prof. (m)]],ESF[idDiâmetro],ESF[[#This Row],[idDiâmetro]],ESF[idPilar],ESF[[#This Row],[idPilar]]))/'DADOS CAP. CARGA'!$D$2)</f>
        <v>80.424771931898718</v>
      </c>
      <c r="Q106" s="12">
        <f>INDEX(C_alpha_beta[],MATCH(ESF[[#This Row],[Solo]],C_alpha_beta[Solo],0),MATCH(ESF[[#Headers],[C (kPa)]],C_alpha_beta[#Headers],0))</f>
        <v>400</v>
      </c>
      <c r="R106" s="4">
        <f>INDEX(C_alpha_beta[],MATCH(ESF[[#This Row],[Solo]],C_alpha_beta[Solo],0),MATCH(ESF[[#Headers],[α ESF]],C_alpha_beta[#Headers],0))</f>
        <v>0.5</v>
      </c>
      <c r="S106" s="4">
        <f>INDEX(C_alpha_beta[],MATCH(ESF[[#This Row],[Solo]],C_alpha_beta[Solo],0),MATCH(ESF[[#Headers],[β ESF]],C_alpha_beta[#Headers],0))</f>
        <v>0.5</v>
      </c>
      <c r="T106" s="4">
        <f>IF(ESF[[#This Row],[Prof. (m)]]=0,0,10*(ESF[[#This Row],[NSPT]]/3+1))</f>
        <v>23.333333333333329</v>
      </c>
      <c r="U106" s="4">
        <f>(ESF[[#This Row],[α ESF]]*ESF[[#This Row],[C (kPa)]]*ESF[[#This Row],[NSPT]]*ESF[[#This Row],[Ap (m²)]])/'DADOS CAP. CARGA'!$Q$2+(ESF[[#This Row],[β ESF]]*SUMIFS(ESF[10∙(NL/3+1)],ESF[Prof. (m)],"&lt;="&amp;ESF[[#This Row],[Prof. (m)]],ESF[idDiâmetro],ESF[[#This Row],[idDiâmetro]],ESF[idPilar],ESF[[#This Row],[idPilar]])*ESF[[#This Row],[U (m)]])/'DADOS CAP. CARGA'!$S$2</f>
        <v>42.935099599060507</v>
      </c>
      <c r="V106" s="4">
        <f>IF(SPT!$M$5=1,MIN(ESF[[#This Row],[Pe ESF (kN)]],ESF[[#This Row],[R_AV (kN)]]),IF(SPT!$M$5=2,MIN(ESF[[#This Row],[Pe ESF (kN)]],ESF[[#This Row],[R_DC (kN)]]),MIN(ESF[[#This Row],[Pe ESF (kN)]],ESF[[#This Row],[R_AV (kN)]],ESF[[#This Row],[R_DC (kN)]])))</f>
        <v>42.935099599060507</v>
      </c>
      <c r="W106" s="4">
        <f>INDEX(PILARES[],ESF[[#This Row],[idPilar]],MATCH("Carga (kN)",PILARES[#Headers],0))*1.4</f>
        <v>1750</v>
      </c>
      <c r="X106" s="12">
        <f>INDEX(PILARES[],ESF[[#This Row],[idPilar]],MATCH(ESF[[#Headers],[ap (cm)]],PILARES[#Headers],0))</f>
        <v>50</v>
      </c>
      <c r="Y106" s="12">
        <f>INDEX(PILARES[],ESF[[#This Row],[idPilar]],MATCH(ESF[[#Headers],[bp (cm)]],PILARES[#Headers],0))</f>
        <v>40</v>
      </c>
      <c r="Z106" s="4">
        <f>SQRT(ESF[[#This Row],[ap (cm)]]*ESF[[#This Row],[bp (cm)]])</f>
        <v>44.721359549995796</v>
      </c>
      <c r="AA106" s="12">
        <f>ESF[[#This Row],[ap (cm)]]*ESF[[#This Row],[bp (cm)]]</f>
        <v>2000</v>
      </c>
      <c r="AB106" s="12">
        <f ca="1">IF(ESF[[#This Row],[Padm∙ε (kN)]]&gt;=ESF[[#This Row],[Padm (kN)]],ROUNDUP(1.05*ESF[[#This Row],[Nsd (kN)]]/ESF[[#This Row],[Padm (kN)]],0),ROUNDUP(1.05*ESF[[#This Row],[Nsd (kN)]]/ESF[[#This Row],[Padm (kN)]],0)+1)</f>
        <v>43</v>
      </c>
      <c r="AC106" s="4" t="str">
        <f ca="1">IFERROR(IF(ESF[[#This Row],[nE]]=1,ESF[[#This Row],[Padm (kN)]],ESF[[#This Row],[Padm (kN)]]*ESF[[#This Row],[nE]]*INDEX(grupoEstacas[],ESF[[#This Row],[nE]],MATCH("ε",grupoEstacas[#Headers],0))),"N.S.")</f>
        <v>N.S.</v>
      </c>
      <c r="AD106" s="4">
        <f ca="1">1.05*ESF[[#This Row],[Nsd (kN)]]/(ESF[[#This Row],[nE]]*PI()*ESF[[#This Row],[Ø (cm)]]^2/4)*10</f>
        <v>0.34005489294343916</v>
      </c>
      <c r="AE106" s="4">
        <f ca="1">IF(ESF[[#This Row],[σ (MPa)]]&lt;INDEX(tipoEstaca[],MATCH($D$2,tipoEstaca[TIPO DE ESTACA],0),MATCH("σmáx (MPa)",tipoEstaca[#Headers],0)),0.4%*PI()*ESF[[#This Row],[Ø (cm)]]^2/4,"N.S.")</f>
        <v>5.026548245743669</v>
      </c>
      <c r="AF106" s="1">
        <f>INDEX(tipoEstaca[],MATCH($D$2,tipoEstaca[TIPO DE ESTACA],0),MATCH(ESF[[#Headers],[Comprimento (m)]],tipoEstaca[#Headers],0))</f>
        <v>2</v>
      </c>
      <c r="AG106" s="5">
        <f ca="1">ESF[[#This Row],[As,mín (cm²)]]/100^2*ESF[[#This Row],[Comprimento (m)]]*7850</f>
        <v>7.8916807458175597</v>
      </c>
      <c r="AH106" s="4">
        <f ca="1">ESF[[#This Row],[nE]]*ESF[[#This Row],[Prof. (m)]]*ESF[[#This Row],[Ap (m²)]]</f>
        <v>16.210618092523333</v>
      </c>
      <c r="AI106" s="1">
        <f ca="1">IF(ESF[[#This Row],[nE]]=1,0,MAX(3*ESF[[#This Row],[Ø (cm)]],60))</f>
        <v>120</v>
      </c>
      <c r="AJ106" s="1">
        <f ca="1">IF(ESF[[#This Row],[nE]]=1,ESF[[#This Row],[Ø (cm)]]+2*10,MAX(1.5*ESF[[#This Row],[Ø (cm)]],ESF[[#This Row],[Ø (cm)]]+15))</f>
        <v>60</v>
      </c>
      <c r="AK106" s="1" t="str">
        <f ca="1">alturaUtil(ESF[[#This Row],[nE]],ESF[[#This Row],[Ø (cm)]],ESF[[#This Row],[e (cm)]],ESF[[#This Row],[ap,eq (cm)]])</f>
        <v>N.S.</v>
      </c>
      <c r="AL106" s="1" t="str">
        <f ca="1">IFERROR(ESF[[#This Row],[d (cm)]]+arredondarParaCimaMultiplo5cm(MAX(5,SQRT(PI())/2*ESF[[#This Row],[Ø (cm)]]/5)),"N.S.")</f>
        <v>N.S.</v>
      </c>
      <c r="AM106" s="5" t="str">
        <f ca="1">alpha(ESF[[#This Row],[nE]],ESF[[#This Row],[d (cm)]],ESF[[#This Row],[e (cm)]],ESF[[#This Row],[ap,eq (cm)]])</f>
        <v>N.S.</v>
      </c>
      <c r="AN106" s="35" t="str">
        <f ca="1">IFERROR(ESF[[#This Row],[Nsd (kN)]]/(ESF[[#This Row],[Ap (cm²)]]*SIN(ESF[[#This Row],[α]])^2),"N.S.")</f>
        <v>N.S.</v>
      </c>
      <c r="AO106" s="35" t="str">
        <f ca="1">IFERROR(ESF[[#This Row],[Nsd (kN)]]/(ESF[[#This Row],[nE]]*PI()*ESF[[#This Row],[Ø (cm)]]^2/4*SIN(ESF[[#This Row],[α]])^2),"N.S.")</f>
        <v>N.S.</v>
      </c>
      <c r="AP106" s="4" t="str">
        <f ca="1">IFERROR(INDEX(grupoEstacas[],ESF[[#This Row],[nE]],MATCH("coef. Blévot",grupoEstacas[#Headers],0)),"N.S.")</f>
        <v>N.S.</v>
      </c>
      <c r="AQ106" s="35" t="str">
        <f ca="1">IFERROR(ESF[[#This Row],[coef. Blévot]]*0.9*INDEX(tipoEstaca[],MATCH($D$2,tipoEstaca[TIPO DE ESTACA],0),MATCH("fcd (kN/cm²)",tipoEstaca[#Headers],0)),"N.S.")</f>
        <v>N.S.</v>
      </c>
      <c r="AR106" s="1" t="str">
        <f ca="1">IF(AND(ESF[[#This Row],[cd,b,pil (kN/cm²)]]&lt;=ESF[[#This Row],[cd,b,lim (kN/cm²)]],ESF[[#This Row],[cd,b,est (kN/cm²)]]&lt;=ESF[[#This Row],[cd,b,lim (kN/cm²)]]),"OK","ERRO")</f>
        <v>OK</v>
      </c>
      <c r="AS106" s="4" t="str">
        <f ca="1">As_lado(ESF[[#This Row],[nE]],ESF[[#This Row],[Nsd (kN)]],ESF[[#This Row],[d (cm)]],ESF[[#This Row],[e (cm)]],ESF[[#This Row],[ap,eq (cm)]])</f>
        <v>N.S.</v>
      </c>
      <c r="AT106" s="4" t="str">
        <f ca="1">IF(ESF[[#This Row],[nE]]=1,ESF[[#This Row],[As,lado (cm²)]],IF(ESF[[#This Row],[nE]]=2,0.075*2*ESF[a (cm)],"N.A."))</f>
        <v>N.A.</v>
      </c>
      <c r="AU106" s="4" t="str">
        <f ca="1">IFERROR(IF(ESF[[#This Row],[nE]]=1,"N.A.",0.2*ESF[[#This Row],[As,lado (cm²)]]),"N.S.")</f>
        <v>N.S.</v>
      </c>
      <c r="AV106" s="4" t="str">
        <f ca="1">As_malha(ESF[[#This Row],[nE]],ESF[[#This Row],[As,lado (cm²)]],ESF[[#This Row],[Nsd (kN)]])</f>
        <v>N.S.</v>
      </c>
      <c r="AW106" s="4" t="str">
        <f ca="1">As_susp_tot(ESF[[#This Row],[nE]],ESF[[#This Row],[Nsd (kN)]])</f>
        <v>N.S.</v>
      </c>
      <c r="AX106" s="4" t="str">
        <f ca="1">Asp_face(ESF[[#This Row],[nE]],ESF[[#This Row],[As,lado (cm²)]])</f>
        <v>N.S.</v>
      </c>
      <c r="AY106" s="5" t="str">
        <f ca="1">acoBloco(ESF[[#This Row],[nE]],ESF[[#This Row],[e (cm)]],ESF[[#This Row],[a (cm)]],ESF[[#This Row],[h (cm)]],ESF[[#This Row],[As,lado (cm²)]],ESF[[#This Row],[Asp e Asw (cm²/m)]],ESF[[#This Row],[As,sup (cm²)]],ESF[[#This Row],[As,malha (cm²)]],ESF[[#This Row],[As,susp,tot (cm²)]],ESF[[#This Row],[Asp,face (cm²)]])</f>
        <v>N.S.</v>
      </c>
      <c r="AZ106" s="4" t="str">
        <f ca="1">concretoBloco(ESF[[#This Row],[nE]],ESF[[#This Row],[e (cm)]],ESF[[#This Row],[a (cm)]],ESF[[#This Row],[h (cm)]])</f>
        <v>N.S.</v>
      </c>
      <c r="BA106" s="5">
        <f ca="1">SUM(ESF[[#This Row],[Aço Est (kg)]],ESF[[#This Row],[Aço Bloco (kg)]])</f>
        <v>7.8916807458175597</v>
      </c>
      <c r="BB106" s="4">
        <f>INDEX(composicoes[],MATCH(95580,composicoes[CÓDIGO],0),MATCH("CUSTO TOTAL",composicoes[#Headers],0))</f>
        <v>10.46</v>
      </c>
      <c r="BC106" s="4">
        <f ca="1">SUM(ESF[[#This Row],[Conc Est (m³)]],ESF[[#This Row],[Conc Bloco (m³)]])</f>
        <v>16.210618092523333</v>
      </c>
      <c r="BD106" s="4">
        <f>INDEX(composicoes[],MATCH(94966,composicoes[CÓDIGO],0),MATCH("CUSTO TOTAL",composicoes[#Headers],0))</f>
        <v>439.52</v>
      </c>
      <c r="BE106" s="38">
        <f ca="1">ESF[[#This Row],[Aço (kg)]]*ESF[[#This Row],[Aço (R$/kg)]]+ESF[[#This Row],[Conc (m³)]]*ESF[[#This Row],[Conc (R$/m³)]]</f>
        <v>7207.4378446271066</v>
      </c>
      <c r="BF106" s="4" t="str">
        <f ca="1">IF(COUNTIF(ESF[#This Row],"N.S.")&gt;0,"lim.","OK")</f>
        <v>lim.</v>
      </c>
      <c r="BG106" s="4" t="str">
        <f>IF(ESF[[#This Row],[Prof. (m)]]&lt;3,"lim.","OK")</f>
        <v>OK</v>
      </c>
      <c r="BH106" s="4" t="str">
        <f>IF(ESF[[#This Row],[Prof. (m)]]&gt;=8*ESF[[#This Row],[Ø (cm)]]/100,"OK","lim.")</f>
        <v>lim.</v>
      </c>
      <c r="BI106" s="4" t="str">
        <f>IF(AND(SPT!$F$3&lt;&gt;"",ESF[[#This Row],[Prof. (m)]]&gt;=SPT!$F$3),"lim.","OK")</f>
        <v>OK</v>
      </c>
      <c r="BJ106" s="4" t="str">
        <f>IF(COUNTIFS(ESF[Solo],"Areia",ESF[Prof. (m)],"&lt;="&amp;ESF[[#This Row],[Prof. (m)]])&gt;=1,"lim.","OK")</f>
        <v>OK</v>
      </c>
      <c r="BK106" s="4" t="str">
        <f ca="1">IF(ESF[[#This Row],[Verif. Biela]]="OK","OK","lim.")</f>
        <v>OK</v>
      </c>
      <c r="BL106" s="4" t="str">
        <f ca="1">IF(COUNTA(ESF[[#This Row],[Nº Est.]:[Biela comp.]])=COUNTIF(ESF[[#This Row],[Nº Est.]:[Biela comp.]],"OK"),"OK","lim.")</f>
        <v>lim.</v>
      </c>
      <c r="BM106" s="4" t="str">
        <f ca="1">IF(ESF[[#This Row],[Controle]]="OK",ESF[[#This Row],[nE]]&amp;" Ø"&amp;ESF[[#This Row],[Ø (cm)]]&amp;"cm Prof. "&amp;ESF[[#This Row],[Prof. (m)]]&amp;" m","")</f>
        <v/>
      </c>
      <c r="BN106" s="4" t="str">
        <f ca="1">IF(ESF[[#This Row],[idDimensionamento]]="","",ESF[[#This Row],[idPilar]]&amp;ESF[[#This Row],[idDimensionamento]])</f>
        <v/>
      </c>
    </row>
    <row r="107" spans="2:66" x14ac:dyDescent="0.25">
      <c r="B107" s="12">
        <f>ROUNDUP((ROW(ESF[[#This Row],[idDiâmetro]])-ROW(ESF[[#Headers],[idDiâmetro]]))/(COUNT(SPT[Prof. (m)])*COUNT(PILARES[Pilar])),0)</f>
        <v>4</v>
      </c>
      <c r="C107" s="12">
        <f>IF(ESF[[#This Row],[idDiâmetro]]&lt;&gt;B106,1,IF(ESF[[#This Row],[Prof. (m)]]=0,C106+1,C106))</f>
        <v>2</v>
      </c>
      <c r="D107" s="1">
        <f>IFERROR(IF(D106=MAX(SPT[Prof. (m)]),0,D106+1),0)</f>
        <v>4</v>
      </c>
      <c r="E107" s="1">
        <f>INDEX(SPT[],MATCH(ESF[[#This Row],[Prof. (m)]],SPT[Prof. (m)],0),2)</f>
        <v>8</v>
      </c>
      <c r="F107" s="1" t="str">
        <f>INDEX(SPT[],MATCH(ESF[[#This Row],[Prof. (m)]],SPT[Prof. (m)],0),3)</f>
        <v>Areia siltosa</v>
      </c>
      <c r="G107" s="1">
        <f>INDEX(estacas[],ESF[[#This Row],[idDiâmetro]],MATCH($B$2,estacas[#Headers],0))</f>
        <v>40</v>
      </c>
      <c r="H107" s="1">
        <f>INDEX(estacas[],MATCH(ESF[[#This Row],[Ø (cm)]],estacas[Ø ESF (cm)],0),MATCH(ESF[[#Headers],[Pe ESF (kN)]],estacas[#Headers],0))</f>
        <v>640</v>
      </c>
      <c r="I107" s="4">
        <f>INDEX(K_alpha_C[],MATCH(ESF[[#This Row],[Solo]],K_alpha_C[Solo],0),2)</f>
        <v>0.8</v>
      </c>
      <c r="J107" s="5">
        <f>INDEX(K_alpha_C[],MATCH(ESF[[#This Row],[Solo]],K_alpha_C[Solo],0),3)</f>
        <v>2</v>
      </c>
      <c r="K107" s="4">
        <f>INDEX(F1_F2[],MATCH($D$2,F1_F2[Tipo de estaca],0),2)</f>
        <v>3</v>
      </c>
      <c r="L107" s="4">
        <f>INDEX(F1_F2[],MATCH($D$2,F1_F2[Tipo de estaca],0),3)</f>
        <v>6</v>
      </c>
      <c r="M107" s="4">
        <f>PI()*(ESF[[#This Row],[Ø (cm)]]/100)^2/4</f>
        <v>0.12566370614359174</v>
      </c>
      <c r="N107" s="4">
        <f>PI()*ESF[[#This Row],[Ø (cm)]]/100</f>
        <v>1.2566370614359172</v>
      </c>
      <c r="O107" s="4">
        <f>IF(ESF[[#This Row],[Prof. (m)]]=0,0,ESF[[#This Row],[α (%)]]/100*ESF[[#This Row],[K (MPa)]]*1000*ESF[[#This Row],[NSPT]])</f>
        <v>128</v>
      </c>
      <c r="P107" s="4">
        <f>IF(ESF[[#This Row],[Prof. (m)]]=0,0,(ESF[[#This Row],[K (MPa)]]*1000*ESF[[#This Row],[NSPT]]/ESF[[#This Row],[F1]]*ESF[[#This Row],[Ap (m²)]]+ESF[[#This Row],[U (m)]]/ESF[[#This Row],[F2]]*SUMIFS(ESF[(α∙K∙NL∙ΔL)],ESF[Prof. (m)],"&lt;="&amp;ESF[[#This Row],[Prof. (m)]],ESF[idDiâmetro],ESF[[#This Row],[idDiâmetro]],ESF[idPilar],ESF[[#This Row],[idPilar]]))/'DADOS CAP. CARGA'!$D$2)</f>
        <v>160.84954386379744</v>
      </c>
      <c r="Q107" s="12">
        <f>INDEX(C_alpha_beta[],MATCH(ESF[[#This Row],[Solo]],C_alpha_beta[Solo],0),MATCH(ESF[[#Headers],[C (kPa)]],C_alpha_beta[#Headers],0))</f>
        <v>400</v>
      </c>
      <c r="R107" s="4">
        <f>INDEX(C_alpha_beta[],MATCH(ESF[[#This Row],[Solo]],C_alpha_beta[Solo],0),MATCH(ESF[[#Headers],[α ESF]],C_alpha_beta[#Headers],0))</f>
        <v>0.5</v>
      </c>
      <c r="S107" s="4">
        <f>INDEX(C_alpha_beta[],MATCH(ESF[[#This Row],[Solo]],C_alpha_beta[Solo],0),MATCH(ESF[[#Headers],[β ESF]],C_alpha_beta[#Headers],0))</f>
        <v>0.5</v>
      </c>
      <c r="T107" s="4">
        <f>IF(ESF[[#This Row],[Prof. (m)]]=0,0,10*(ESF[[#This Row],[NSPT]]/3+1))</f>
        <v>36.666666666666664</v>
      </c>
      <c r="U107" s="4">
        <f>(ESF[[#This Row],[α ESF]]*ESF[[#This Row],[C (kPa)]]*ESF[[#This Row],[NSPT]]*ESF[[#This Row],[Ap (m²)]])/'DADOS CAP. CARGA'!$Q$2+(ESF[[#This Row],[β ESF]]*SUMIFS(ESF[10∙(NL/3+1)],ESF[Prof. (m)],"&lt;="&amp;ESF[[#This Row],[Prof. (m)]],ESF[idDiâmetro],ESF[[#This Row],[idDiâmetro]],ESF[idPilar],ESF[[#This Row],[idPilar]])*ESF[[#This Row],[U (m)]])/'DADOS CAP. CARGA'!$S$2</f>
        <v>79.587013890941421</v>
      </c>
      <c r="V107" s="4">
        <f>IF(SPT!$M$5=1,MIN(ESF[[#This Row],[Pe ESF (kN)]],ESF[[#This Row],[R_AV (kN)]]),IF(SPT!$M$5=2,MIN(ESF[[#This Row],[Pe ESF (kN)]],ESF[[#This Row],[R_DC (kN)]]),MIN(ESF[[#This Row],[Pe ESF (kN)]],ESF[[#This Row],[R_AV (kN)]],ESF[[#This Row],[R_DC (kN)]])))</f>
        <v>79.587013890941421</v>
      </c>
      <c r="W107" s="4">
        <f>INDEX(PILARES[],ESF[[#This Row],[idPilar]],MATCH("Carga (kN)",PILARES[#Headers],0))*1.4</f>
        <v>1750</v>
      </c>
      <c r="X107" s="12">
        <f>INDEX(PILARES[],ESF[[#This Row],[idPilar]],MATCH(ESF[[#Headers],[ap (cm)]],PILARES[#Headers],0))</f>
        <v>50</v>
      </c>
      <c r="Y107" s="12">
        <f>INDEX(PILARES[],ESF[[#This Row],[idPilar]],MATCH(ESF[[#Headers],[bp (cm)]],PILARES[#Headers],0))</f>
        <v>40</v>
      </c>
      <c r="Z107" s="4">
        <f>SQRT(ESF[[#This Row],[ap (cm)]]*ESF[[#This Row],[bp (cm)]])</f>
        <v>44.721359549995796</v>
      </c>
      <c r="AA107" s="12">
        <f>ESF[[#This Row],[ap (cm)]]*ESF[[#This Row],[bp (cm)]]</f>
        <v>2000</v>
      </c>
      <c r="AB107" s="12">
        <f ca="1">IF(ESF[[#This Row],[Padm∙ε (kN)]]&gt;=ESF[[#This Row],[Padm (kN)]],ROUNDUP(1.05*ESF[[#This Row],[Nsd (kN)]]/ESF[[#This Row],[Padm (kN)]],0),ROUNDUP(1.05*ESF[[#This Row],[Nsd (kN)]]/ESF[[#This Row],[Padm (kN)]],0)+1)</f>
        <v>24</v>
      </c>
      <c r="AC107" s="4" t="str">
        <f ca="1">IFERROR(IF(ESF[[#This Row],[nE]]=1,ESF[[#This Row],[Padm (kN)]],ESF[[#This Row],[Padm (kN)]]*ESF[[#This Row],[nE]]*INDEX(grupoEstacas[],ESF[[#This Row],[nE]],MATCH("ε",grupoEstacas[#Headers],0))),"N.S.")</f>
        <v>N.S.</v>
      </c>
      <c r="AD107" s="4">
        <f ca="1">1.05*ESF[[#This Row],[Nsd (kN)]]/(ESF[[#This Row],[nE]]*PI()*ESF[[#This Row],[Ø (cm)]]^2/4)*10</f>
        <v>0.60926501652366194</v>
      </c>
      <c r="AE107" s="4">
        <f ca="1">IF(ESF[[#This Row],[σ (MPa)]]&lt;INDEX(tipoEstaca[],MATCH($D$2,tipoEstaca[TIPO DE ESTACA],0),MATCH("σmáx (MPa)",tipoEstaca[#Headers],0)),0.4%*PI()*ESF[[#This Row],[Ø (cm)]]^2/4,"N.S.")</f>
        <v>5.026548245743669</v>
      </c>
      <c r="AF107" s="1">
        <f>INDEX(tipoEstaca[],MATCH($D$2,tipoEstaca[TIPO DE ESTACA],0),MATCH(ESF[[#Headers],[Comprimento (m)]],tipoEstaca[#Headers],0))</f>
        <v>2</v>
      </c>
      <c r="AG107" s="5">
        <f ca="1">ESF[[#This Row],[As,mín (cm²)]]/100^2*ESF[[#This Row],[Comprimento (m)]]*7850</f>
        <v>7.8916807458175597</v>
      </c>
      <c r="AH107" s="4">
        <f ca="1">ESF[[#This Row],[nE]]*ESF[[#This Row],[Prof. (m)]]*ESF[[#This Row],[Ap (m²)]]</f>
        <v>12.063715789784807</v>
      </c>
      <c r="AI107" s="1">
        <f ca="1">IF(ESF[[#This Row],[nE]]=1,0,MAX(3*ESF[[#This Row],[Ø (cm)]],60))</f>
        <v>120</v>
      </c>
      <c r="AJ107" s="1">
        <f ca="1">IF(ESF[[#This Row],[nE]]=1,ESF[[#This Row],[Ø (cm)]]+2*10,MAX(1.5*ESF[[#This Row],[Ø (cm)]],ESF[[#This Row],[Ø (cm)]]+15))</f>
        <v>60</v>
      </c>
      <c r="AK107" s="1" t="str">
        <f ca="1">alturaUtil(ESF[[#This Row],[nE]],ESF[[#This Row],[Ø (cm)]],ESF[[#This Row],[e (cm)]],ESF[[#This Row],[ap,eq (cm)]])</f>
        <v>N.S.</v>
      </c>
      <c r="AL107" s="1" t="str">
        <f ca="1">IFERROR(ESF[[#This Row],[d (cm)]]+arredondarParaCimaMultiplo5cm(MAX(5,SQRT(PI())/2*ESF[[#This Row],[Ø (cm)]]/5)),"N.S.")</f>
        <v>N.S.</v>
      </c>
      <c r="AM107" s="5" t="str">
        <f ca="1">alpha(ESF[[#This Row],[nE]],ESF[[#This Row],[d (cm)]],ESF[[#This Row],[e (cm)]],ESF[[#This Row],[ap,eq (cm)]])</f>
        <v>N.S.</v>
      </c>
      <c r="AN107" s="35" t="str">
        <f ca="1">IFERROR(ESF[[#This Row],[Nsd (kN)]]/(ESF[[#This Row],[Ap (cm²)]]*SIN(ESF[[#This Row],[α]])^2),"N.S.")</f>
        <v>N.S.</v>
      </c>
      <c r="AO107" s="35" t="str">
        <f ca="1">IFERROR(ESF[[#This Row],[Nsd (kN)]]/(ESF[[#This Row],[nE]]*PI()*ESF[[#This Row],[Ø (cm)]]^2/4*SIN(ESF[[#This Row],[α]])^2),"N.S.")</f>
        <v>N.S.</v>
      </c>
      <c r="AP107" s="4" t="str">
        <f ca="1">IFERROR(INDEX(grupoEstacas[],ESF[[#This Row],[nE]],MATCH("coef. Blévot",grupoEstacas[#Headers],0)),"N.S.")</f>
        <v>N.S.</v>
      </c>
      <c r="AQ107" s="35" t="str">
        <f ca="1">IFERROR(ESF[[#This Row],[coef. Blévot]]*0.9*INDEX(tipoEstaca[],MATCH($D$2,tipoEstaca[TIPO DE ESTACA],0),MATCH("fcd (kN/cm²)",tipoEstaca[#Headers],0)),"N.S.")</f>
        <v>N.S.</v>
      </c>
      <c r="AR107" s="1" t="str">
        <f ca="1">IF(AND(ESF[[#This Row],[cd,b,pil (kN/cm²)]]&lt;=ESF[[#This Row],[cd,b,lim (kN/cm²)]],ESF[[#This Row],[cd,b,est (kN/cm²)]]&lt;=ESF[[#This Row],[cd,b,lim (kN/cm²)]]),"OK","ERRO")</f>
        <v>OK</v>
      </c>
      <c r="AS107" s="4" t="str">
        <f ca="1">As_lado(ESF[[#This Row],[nE]],ESF[[#This Row],[Nsd (kN)]],ESF[[#This Row],[d (cm)]],ESF[[#This Row],[e (cm)]],ESF[[#This Row],[ap,eq (cm)]])</f>
        <v>N.S.</v>
      </c>
      <c r="AT107" s="4" t="str">
        <f ca="1">IF(ESF[[#This Row],[nE]]=1,ESF[[#This Row],[As,lado (cm²)]],IF(ESF[[#This Row],[nE]]=2,0.075*2*ESF[a (cm)],"N.A."))</f>
        <v>N.A.</v>
      </c>
      <c r="AU107" s="4" t="str">
        <f ca="1">IFERROR(IF(ESF[[#This Row],[nE]]=1,"N.A.",0.2*ESF[[#This Row],[As,lado (cm²)]]),"N.S.")</f>
        <v>N.S.</v>
      </c>
      <c r="AV107" s="4" t="str">
        <f ca="1">As_malha(ESF[[#This Row],[nE]],ESF[[#This Row],[As,lado (cm²)]],ESF[[#This Row],[Nsd (kN)]])</f>
        <v>N.S.</v>
      </c>
      <c r="AW107" s="4" t="str">
        <f ca="1">As_susp_tot(ESF[[#This Row],[nE]],ESF[[#This Row],[Nsd (kN)]])</f>
        <v>N.S.</v>
      </c>
      <c r="AX107" s="4" t="str">
        <f ca="1">Asp_face(ESF[[#This Row],[nE]],ESF[[#This Row],[As,lado (cm²)]])</f>
        <v>N.S.</v>
      </c>
      <c r="AY107" s="5" t="str">
        <f ca="1">acoBloco(ESF[[#This Row],[nE]],ESF[[#This Row],[e (cm)]],ESF[[#This Row],[a (cm)]],ESF[[#This Row],[h (cm)]],ESF[[#This Row],[As,lado (cm²)]],ESF[[#This Row],[Asp e Asw (cm²/m)]],ESF[[#This Row],[As,sup (cm²)]],ESF[[#This Row],[As,malha (cm²)]],ESF[[#This Row],[As,susp,tot (cm²)]],ESF[[#This Row],[Asp,face (cm²)]])</f>
        <v>N.S.</v>
      </c>
      <c r="AZ107" s="4" t="str">
        <f ca="1">concretoBloco(ESF[[#This Row],[nE]],ESF[[#This Row],[e (cm)]],ESF[[#This Row],[a (cm)]],ESF[[#This Row],[h (cm)]])</f>
        <v>N.S.</v>
      </c>
      <c r="BA107" s="5">
        <f ca="1">SUM(ESF[[#This Row],[Aço Est (kg)]],ESF[[#This Row],[Aço Bloco (kg)]])</f>
        <v>7.8916807458175597</v>
      </c>
      <c r="BB107" s="4">
        <f>INDEX(composicoes[],MATCH(95580,composicoes[CÓDIGO],0),MATCH("CUSTO TOTAL",composicoes[#Headers],0))</f>
        <v>10.46</v>
      </c>
      <c r="BC107" s="4">
        <f ca="1">SUM(ESF[[#This Row],[Conc Est (m³)]],ESF[[#This Row],[Conc Bloco (m³)]])</f>
        <v>12.063715789784807</v>
      </c>
      <c r="BD107" s="4">
        <f>INDEX(composicoes[],MATCH(94966,composicoes[CÓDIGO],0),MATCH("CUSTO TOTAL",composicoes[#Headers],0))</f>
        <v>439.52</v>
      </c>
      <c r="BE107" s="38">
        <f ca="1">ESF[[#This Row],[Aço (kg)]]*ESF[[#This Row],[Aço (R$/kg)]]+ESF[[#This Row],[Conc (m³)]]*ESF[[#This Row],[Conc (R$/m³)]]</f>
        <v>5384.7913445274698</v>
      </c>
      <c r="BF107" s="4" t="str">
        <f ca="1">IF(COUNTIF(ESF[#This Row],"N.S.")&gt;0,"lim.","OK")</f>
        <v>lim.</v>
      </c>
      <c r="BG107" s="4" t="str">
        <f>IF(ESF[[#This Row],[Prof. (m)]]&lt;3,"lim.","OK")</f>
        <v>OK</v>
      </c>
      <c r="BH107" s="4" t="str">
        <f>IF(ESF[[#This Row],[Prof. (m)]]&gt;=8*ESF[[#This Row],[Ø (cm)]]/100,"OK","lim.")</f>
        <v>OK</v>
      </c>
      <c r="BI107" s="4" t="str">
        <f>IF(AND(SPT!$F$3&lt;&gt;"",ESF[[#This Row],[Prof. (m)]]&gt;=SPT!$F$3),"lim.","OK")</f>
        <v>OK</v>
      </c>
      <c r="BJ107" s="4" t="str">
        <f>IF(COUNTIFS(ESF[Solo],"Areia",ESF[Prof. (m)],"&lt;="&amp;ESF[[#This Row],[Prof. (m)]])&gt;=1,"lim.","OK")</f>
        <v>OK</v>
      </c>
      <c r="BK107" s="4" t="str">
        <f ca="1">IF(ESF[[#This Row],[Verif. Biela]]="OK","OK","lim.")</f>
        <v>OK</v>
      </c>
      <c r="BL107" s="4" t="str">
        <f ca="1">IF(COUNTA(ESF[[#This Row],[Nº Est.]:[Biela comp.]])=COUNTIF(ESF[[#This Row],[Nº Est.]:[Biela comp.]],"OK"),"OK","lim.")</f>
        <v>lim.</v>
      </c>
      <c r="BM107" s="4" t="str">
        <f ca="1">IF(ESF[[#This Row],[Controle]]="OK",ESF[[#This Row],[nE]]&amp;" Ø"&amp;ESF[[#This Row],[Ø (cm)]]&amp;"cm Prof. "&amp;ESF[[#This Row],[Prof. (m)]]&amp;" m","")</f>
        <v/>
      </c>
      <c r="BN107" s="4" t="str">
        <f ca="1">IF(ESF[[#This Row],[idDimensionamento]]="","",ESF[[#This Row],[idPilar]]&amp;ESF[[#This Row],[idDimensionamento]])</f>
        <v/>
      </c>
    </row>
    <row r="108" spans="2:66" x14ac:dyDescent="0.25">
      <c r="B108" s="12">
        <f>ROUNDUP((ROW(ESF[[#This Row],[idDiâmetro]])-ROW(ESF[[#Headers],[idDiâmetro]]))/(COUNT(SPT[Prof. (m)])*COUNT(PILARES[Pilar])),0)</f>
        <v>4</v>
      </c>
      <c r="C108" s="12">
        <f>IF(ESF[[#This Row],[idDiâmetro]]&lt;&gt;B107,1,IF(ESF[[#This Row],[Prof. (m)]]=0,C107+1,C107))</f>
        <v>2</v>
      </c>
      <c r="D108" s="1">
        <f>IFERROR(IF(D107=MAX(SPT[Prof. (m)]),0,D107+1),0)</f>
        <v>5</v>
      </c>
      <c r="E108" s="1">
        <f>INDEX(SPT[],MATCH(ESF[[#This Row],[Prof. (m)]],SPT[Prof. (m)],0),2)</f>
        <v>17</v>
      </c>
      <c r="F108" s="1" t="str">
        <f>INDEX(SPT[],MATCH(ESF[[#This Row],[Prof. (m)]],SPT[Prof. (m)],0),3)</f>
        <v>Areia siltosa</v>
      </c>
      <c r="G108" s="1">
        <f>INDEX(estacas[],ESF[[#This Row],[idDiâmetro]],MATCH($B$2,estacas[#Headers],0))</f>
        <v>40</v>
      </c>
      <c r="H108" s="1">
        <f>INDEX(estacas[],MATCH(ESF[[#This Row],[Ø (cm)]],estacas[Ø ESF (cm)],0),MATCH(ESF[[#Headers],[Pe ESF (kN)]],estacas[#Headers],0))</f>
        <v>640</v>
      </c>
      <c r="I108" s="4">
        <f>INDEX(K_alpha_C[],MATCH(ESF[[#This Row],[Solo]],K_alpha_C[Solo],0),2)</f>
        <v>0.8</v>
      </c>
      <c r="J108" s="5">
        <f>INDEX(K_alpha_C[],MATCH(ESF[[#This Row],[Solo]],K_alpha_C[Solo],0),3)</f>
        <v>2</v>
      </c>
      <c r="K108" s="4">
        <f>INDEX(F1_F2[],MATCH($D$2,F1_F2[Tipo de estaca],0),2)</f>
        <v>3</v>
      </c>
      <c r="L108" s="4">
        <f>INDEX(F1_F2[],MATCH($D$2,F1_F2[Tipo de estaca],0),3)</f>
        <v>6</v>
      </c>
      <c r="M108" s="4">
        <f>PI()*(ESF[[#This Row],[Ø (cm)]]/100)^2/4</f>
        <v>0.12566370614359174</v>
      </c>
      <c r="N108" s="4">
        <f>PI()*ESF[[#This Row],[Ø (cm)]]/100</f>
        <v>1.2566370614359172</v>
      </c>
      <c r="O108" s="4">
        <f>IF(ESF[[#This Row],[Prof. (m)]]=0,0,ESF[[#This Row],[α (%)]]/100*ESF[[#This Row],[K (MPa)]]*1000*ESF[[#This Row],[NSPT]])</f>
        <v>272</v>
      </c>
      <c r="P108" s="4">
        <f>IF(ESF[[#This Row],[Prof. (m)]]=0,0,(ESF[[#This Row],[K (MPa)]]*1000*ESF[[#This Row],[NSPT]]/ESF[[#This Row],[F1]]*ESF[[#This Row],[Ap (m²)]]+ESF[[#This Row],[U (m)]]/ESF[[#This Row],[F2]]*SUMIFS(ESF[(α∙K∙NL∙ΔL)],ESF[Prof. (m)],"&lt;="&amp;ESF[[#This Row],[Prof. (m)]],ESF[idDiâmetro],ESF[[#This Row],[idDiâmetro]],ESF[idPilar],ESF[[#This Row],[idPilar]]))/'DADOS CAP. CARGA'!$D$2)</f>
        <v>340.12976462865493</v>
      </c>
      <c r="Q108" s="12">
        <f>INDEX(C_alpha_beta[],MATCH(ESF[[#This Row],[Solo]],C_alpha_beta[Solo],0),MATCH(ESF[[#Headers],[C (kPa)]],C_alpha_beta[#Headers],0))</f>
        <v>400</v>
      </c>
      <c r="R108" s="4">
        <f>INDEX(C_alpha_beta[],MATCH(ESF[[#This Row],[Solo]],C_alpha_beta[Solo],0),MATCH(ESF[[#Headers],[α ESF]],C_alpha_beta[#Headers],0))</f>
        <v>0.5</v>
      </c>
      <c r="S108" s="4">
        <f>INDEX(C_alpha_beta[],MATCH(ESF[[#This Row],[Solo]],C_alpha_beta[Solo],0),MATCH(ESF[[#Headers],[β ESF]],C_alpha_beta[#Headers],0))</f>
        <v>0.5</v>
      </c>
      <c r="T108" s="4">
        <f>IF(ESF[[#This Row],[Prof. (m)]]=0,0,10*(ESF[[#This Row],[NSPT]]/3+1))</f>
        <v>66.666666666666671</v>
      </c>
      <c r="U108" s="4">
        <f>(ESF[[#This Row],[α ESF]]*ESF[[#This Row],[C (kPa)]]*ESF[[#This Row],[NSPT]]*ESF[[#This Row],[Ap (m²)]])/'DADOS CAP. CARGA'!$Q$2+(ESF[[#This Row],[β ESF]]*SUMIFS(ESF[10∙(NL/3+1)],ESF[Prof. (m)],"&lt;="&amp;ESF[[#This Row],[Prof. (m)]],ESF[idDiâmetro],ESF[[#This Row],[idDiâmetro]],ESF[idPilar],ESF[[#This Row],[idPilar]])*ESF[[#This Row],[U (m)]])/'DADOS CAP. CARGA'!$S$2</f>
        <v>157.07963267948966</v>
      </c>
      <c r="V108" s="4">
        <f>IF(SPT!$M$5=1,MIN(ESF[[#This Row],[Pe ESF (kN)]],ESF[[#This Row],[R_AV (kN)]]),IF(SPT!$M$5=2,MIN(ESF[[#This Row],[Pe ESF (kN)]],ESF[[#This Row],[R_DC (kN)]]),MIN(ESF[[#This Row],[Pe ESF (kN)]],ESF[[#This Row],[R_AV (kN)]],ESF[[#This Row],[R_DC (kN)]])))</f>
        <v>157.07963267948966</v>
      </c>
      <c r="W108" s="4">
        <f>INDEX(PILARES[],ESF[[#This Row],[idPilar]],MATCH("Carga (kN)",PILARES[#Headers],0))*1.4</f>
        <v>1750</v>
      </c>
      <c r="X108" s="12">
        <f>INDEX(PILARES[],ESF[[#This Row],[idPilar]],MATCH(ESF[[#Headers],[ap (cm)]],PILARES[#Headers],0))</f>
        <v>50</v>
      </c>
      <c r="Y108" s="12">
        <f>INDEX(PILARES[],ESF[[#This Row],[idPilar]],MATCH(ESF[[#Headers],[bp (cm)]],PILARES[#Headers],0))</f>
        <v>40</v>
      </c>
      <c r="Z108" s="4">
        <f>SQRT(ESF[[#This Row],[ap (cm)]]*ESF[[#This Row],[bp (cm)]])</f>
        <v>44.721359549995796</v>
      </c>
      <c r="AA108" s="12">
        <f>ESF[[#This Row],[ap (cm)]]*ESF[[#This Row],[bp (cm)]]</f>
        <v>2000</v>
      </c>
      <c r="AB108" s="12">
        <f ca="1">IF(ESF[[#This Row],[Padm∙ε (kN)]]&gt;=ESF[[#This Row],[Padm (kN)]],ROUNDUP(1.05*ESF[[#This Row],[Nsd (kN)]]/ESF[[#This Row],[Padm (kN)]],0),ROUNDUP(1.05*ESF[[#This Row],[Nsd (kN)]]/ESF[[#This Row],[Padm (kN)]],0)+1)</f>
        <v>12</v>
      </c>
      <c r="AC108" s="4" t="str">
        <f ca="1">IFERROR(IF(ESF[[#This Row],[nE]]=1,ESF[[#This Row],[Padm (kN)]],ESF[[#This Row],[Padm (kN)]]*ESF[[#This Row],[nE]]*INDEX(grupoEstacas[],ESF[[#This Row],[nE]],MATCH("ε",grupoEstacas[#Headers],0))),"N.S.")</f>
        <v>N.S.</v>
      </c>
      <c r="AD108" s="4">
        <f ca="1">1.05*ESF[[#This Row],[Nsd (kN)]]/(ESF[[#This Row],[nE]]*PI()*ESF[[#This Row],[Ø (cm)]]^2/4)*10</f>
        <v>1.2185300330473239</v>
      </c>
      <c r="AE108" s="4">
        <f ca="1">IF(ESF[[#This Row],[σ (MPa)]]&lt;INDEX(tipoEstaca[],MATCH($D$2,tipoEstaca[TIPO DE ESTACA],0),MATCH("σmáx (MPa)",tipoEstaca[#Headers],0)),0.4%*PI()*ESF[[#This Row],[Ø (cm)]]^2/4,"N.S.")</f>
        <v>5.026548245743669</v>
      </c>
      <c r="AF108" s="1">
        <f>INDEX(tipoEstaca[],MATCH($D$2,tipoEstaca[TIPO DE ESTACA],0),MATCH(ESF[[#Headers],[Comprimento (m)]],tipoEstaca[#Headers],0))</f>
        <v>2</v>
      </c>
      <c r="AG108" s="5">
        <f ca="1">ESF[[#This Row],[As,mín (cm²)]]/100^2*ESF[[#This Row],[Comprimento (m)]]*7850</f>
        <v>7.8916807458175597</v>
      </c>
      <c r="AH108" s="4">
        <f ca="1">ESF[[#This Row],[nE]]*ESF[[#This Row],[Prof. (m)]]*ESF[[#This Row],[Ap (m²)]]</f>
        <v>7.5398223686155044</v>
      </c>
      <c r="AI108" s="1">
        <f ca="1">IF(ESF[[#This Row],[nE]]=1,0,MAX(3*ESF[[#This Row],[Ø (cm)]],60))</f>
        <v>120</v>
      </c>
      <c r="AJ108" s="1">
        <f ca="1">IF(ESF[[#This Row],[nE]]=1,ESF[[#This Row],[Ø (cm)]]+2*10,MAX(1.5*ESF[[#This Row],[Ø (cm)]],ESF[[#This Row],[Ø (cm)]]+15))</f>
        <v>60</v>
      </c>
      <c r="AK108" s="1" t="str">
        <f ca="1">alturaUtil(ESF[[#This Row],[nE]],ESF[[#This Row],[Ø (cm)]],ESF[[#This Row],[e (cm)]],ESF[[#This Row],[ap,eq (cm)]])</f>
        <v>N.S.</v>
      </c>
      <c r="AL108" s="1" t="str">
        <f ca="1">IFERROR(ESF[[#This Row],[d (cm)]]+arredondarParaCimaMultiplo5cm(MAX(5,SQRT(PI())/2*ESF[[#This Row],[Ø (cm)]]/5)),"N.S.")</f>
        <v>N.S.</v>
      </c>
      <c r="AM108" s="5" t="str">
        <f ca="1">alpha(ESF[[#This Row],[nE]],ESF[[#This Row],[d (cm)]],ESF[[#This Row],[e (cm)]],ESF[[#This Row],[ap,eq (cm)]])</f>
        <v>N.S.</v>
      </c>
      <c r="AN108" s="35" t="str">
        <f ca="1">IFERROR(ESF[[#This Row],[Nsd (kN)]]/(ESF[[#This Row],[Ap (cm²)]]*SIN(ESF[[#This Row],[α]])^2),"N.S.")</f>
        <v>N.S.</v>
      </c>
      <c r="AO108" s="35" t="str">
        <f ca="1">IFERROR(ESF[[#This Row],[Nsd (kN)]]/(ESF[[#This Row],[nE]]*PI()*ESF[[#This Row],[Ø (cm)]]^2/4*SIN(ESF[[#This Row],[α]])^2),"N.S.")</f>
        <v>N.S.</v>
      </c>
      <c r="AP108" s="4" t="str">
        <f ca="1">IFERROR(INDEX(grupoEstacas[],ESF[[#This Row],[nE]],MATCH("coef. Blévot",grupoEstacas[#Headers],0)),"N.S.")</f>
        <v>N.S.</v>
      </c>
      <c r="AQ108" s="35" t="str">
        <f ca="1">IFERROR(ESF[[#This Row],[coef. Blévot]]*0.9*INDEX(tipoEstaca[],MATCH($D$2,tipoEstaca[TIPO DE ESTACA],0),MATCH("fcd (kN/cm²)",tipoEstaca[#Headers],0)),"N.S.")</f>
        <v>N.S.</v>
      </c>
      <c r="AR108" s="1" t="str">
        <f ca="1">IF(AND(ESF[[#This Row],[cd,b,pil (kN/cm²)]]&lt;=ESF[[#This Row],[cd,b,lim (kN/cm²)]],ESF[[#This Row],[cd,b,est (kN/cm²)]]&lt;=ESF[[#This Row],[cd,b,lim (kN/cm²)]]),"OK","ERRO")</f>
        <v>OK</v>
      </c>
      <c r="AS108" s="4" t="str">
        <f ca="1">As_lado(ESF[[#This Row],[nE]],ESF[[#This Row],[Nsd (kN)]],ESF[[#This Row],[d (cm)]],ESF[[#This Row],[e (cm)]],ESF[[#This Row],[ap,eq (cm)]])</f>
        <v>N.S.</v>
      </c>
      <c r="AT108" s="4" t="str">
        <f ca="1">IF(ESF[[#This Row],[nE]]=1,ESF[[#This Row],[As,lado (cm²)]],IF(ESF[[#This Row],[nE]]=2,0.075*2*ESF[a (cm)],"N.A."))</f>
        <v>N.A.</v>
      </c>
      <c r="AU108" s="4" t="str">
        <f ca="1">IFERROR(IF(ESF[[#This Row],[nE]]=1,"N.A.",0.2*ESF[[#This Row],[As,lado (cm²)]]),"N.S.")</f>
        <v>N.S.</v>
      </c>
      <c r="AV108" s="4" t="str">
        <f ca="1">As_malha(ESF[[#This Row],[nE]],ESF[[#This Row],[As,lado (cm²)]],ESF[[#This Row],[Nsd (kN)]])</f>
        <v>N.S.</v>
      </c>
      <c r="AW108" s="4" t="str">
        <f ca="1">As_susp_tot(ESF[[#This Row],[nE]],ESF[[#This Row],[Nsd (kN)]])</f>
        <v>N.S.</v>
      </c>
      <c r="AX108" s="4" t="str">
        <f ca="1">Asp_face(ESF[[#This Row],[nE]],ESF[[#This Row],[As,lado (cm²)]])</f>
        <v>N.S.</v>
      </c>
      <c r="AY108" s="5" t="str">
        <f ca="1">acoBloco(ESF[[#This Row],[nE]],ESF[[#This Row],[e (cm)]],ESF[[#This Row],[a (cm)]],ESF[[#This Row],[h (cm)]],ESF[[#This Row],[As,lado (cm²)]],ESF[[#This Row],[Asp e Asw (cm²/m)]],ESF[[#This Row],[As,sup (cm²)]],ESF[[#This Row],[As,malha (cm²)]],ESF[[#This Row],[As,susp,tot (cm²)]],ESF[[#This Row],[Asp,face (cm²)]])</f>
        <v>N.S.</v>
      </c>
      <c r="AZ108" s="4" t="str">
        <f ca="1">concretoBloco(ESF[[#This Row],[nE]],ESF[[#This Row],[e (cm)]],ESF[[#This Row],[a (cm)]],ESF[[#This Row],[h (cm)]])</f>
        <v>N.S.</v>
      </c>
      <c r="BA108" s="5">
        <f ca="1">SUM(ESF[[#This Row],[Aço Est (kg)]],ESF[[#This Row],[Aço Bloco (kg)]])</f>
        <v>7.8916807458175597</v>
      </c>
      <c r="BB108" s="4">
        <f>INDEX(composicoes[],MATCH(95580,composicoes[CÓDIGO],0),MATCH("CUSTO TOTAL",composicoes[#Headers],0))</f>
        <v>10.46</v>
      </c>
      <c r="BC108" s="4">
        <f ca="1">SUM(ESF[[#This Row],[Conc Est (m³)]],ESF[[#This Row],[Conc Bloco (m³)]])</f>
        <v>7.5398223686155044</v>
      </c>
      <c r="BD108" s="4">
        <f>INDEX(composicoes[],MATCH(94966,composicoes[CÓDIGO],0),MATCH("CUSTO TOTAL",composicoes[#Headers],0))</f>
        <v>439.52</v>
      </c>
      <c r="BE108" s="38">
        <f ca="1">ESF[[#This Row],[Aço (kg)]]*ESF[[#This Row],[Aço (R$/kg)]]+ESF[[#This Row],[Conc (m³)]]*ESF[[#This Row],[Conc (R$/m³)]]</f>
        <v>3396.4497080551378</v>
      </c>
      <c r="BF108" s="4" t="str">
        <f ca="1">IF(COUNTIF(ESF[#This Row],"N.S.")&gt;0,"lim.","OK")</f>
        <v>lim.</v>
      </c>
      <c r="BG108" s="4" t="str">
        <f>IF(ESF[[#This Row],[Prof. (m)]]&lt;3,"lim.","OK")</f>
        <v>OK</v>
      </c>
      <c r="BH108" s="4" t="str">
        <f>IF(ESF[[#This Row],[Prof. (m)]]&gt;=8*ESF[[#This Row],[Ø (cm)]]/100,"OK","lim.")</f>
        <v>OK</v>
      </c>
      <c r="BI108" s="4" t="str">
        <f>IF(AND(SPT!$F$3&lt;&gt;"",ESF[[#This Row],[Prof. (m)]]&gt;=SPT!$F$3),"lim.","OK")</f>
        <v>OK</v>
      </c>
      <c r="BJ108" s="4" t="str">
        <f>IF(COUNTIFS(ESF[Solo],"Areia",ESF[Prof. (m)],"&lt;="&amp;ESF[[#This Row],[Prof. (m)]])&gt;=1,"lim.","OK")</f>
        <v>OK</v>
      </c>
      <c r="BK108" s="4" t="str">
        <f ca="1">IF(ESF[[#This Row],[Verif. Biela]]="OK","OK","lim.")</f>
        <v>OK</v>
      </c>
      <c r="BL108" s="4" t="str">
        <f ca="1">IF(COUNTA(ESF[[#This Row],[Nº Est.]:[Biela comp.]])=COUNTIF(ESF[[#This Row],[Nº Est.]:[Biela comp.]],"OK"),"OK","lim.")</f>
        <v>lim.</v>
      </c>
      <c r="BM108" s="4" t="str">
        <f ca="1">IF(ESF[[#This Row],[Controle]]="OK",ESF[[#This Row],[nE]]&amp;" Ø"&amp;ESF[[#This Row],[Ø (cm)]]&amp;"cm Prof. "&amp;ESF[[#This Row],[Prof. (m)]]&amp;" m","")</f>
        <v/>
      </c>
      <c r="BN108" s="4" t="str">
        <f ca="1">IF(ESF[[#This Row],[idDimensionamento]]="","",ESF[[#This Row],[idPilar]]&amp;ESF[[#This Row],[idDimensionamento]])</f>
        <v/>
      </c>
    </row>
    <row r="109" spans="2:66" x14ac:dyDescent="0.25">
      <c r="B109" s="12">
        <f>ROUNDUP((ROW(ESF[[#This Row],[idDiâmetro]])-ROW(ESF[[#Headers],[idDiâmetro]]))/(COUNT(SPT[Prof. (m)])*COUNT(PILARES[Pilar])),0)</f>
        <v>4</v>
      </c>
      <c r="C109" s="12">
        <f>IF(ESF[[#This Row],[idDiâmetro]]&lt;&gt;B108,1,IF(ESF[[#This Row],[Prof. (m)]]=0,C108+1,C108))</f>
        <v>2</v>
      </c>
      <c r="D109" s="1">
        <f>IFERROR(IF(D108=MAX(SPT[Prof. (m)]),0,D108+1),0)</f>
        <v>6</v>
      </c>
      <c r="E109" s="1">
        <f>INDEX(SPT[],MATCH(ESF[[#This Row],[Prof. (m)]],SPT[Prof. (m)],0),2)</f>
        <v>21</v>
      </c>
      <c r="F109" s="1" t="str">
        <f>INDEX(SPT[],MATCH(ESF[[#This Row],[Prof. (m)]],SPT[Prof. (m)],0),3)</f>
        <v>Silte arenoso</v>
      </c>
      <c r="G109" s="1">
        <f>INDEX(estacas[],ESF[[#This Row],[idDiâmetro]],MATCH($B$2,estacas[#Headers],0))</f>
        <v>40</v>
      </c>
      <c r="H109" s="1">
        <f>INDEX(estacas[],MATCH(ESF[[#This Row],[Ø (cm)]],estacas[Ø ESF (cm)],0),MATCH(ESF[[#Headers],[Pe ESF (kN)]],estacas[#Headers],0))</f>
        <v>640</v>
      </c>
      <c r="I109" s="4">
        <f>INDEX(K_alpha_C[],MATCH(ESF[[#This Row],[Solo]],K_alpha_C[Solo],0),2)</f>
        <v>0.55000000000000004</v>
      </c>
      <c r="J109" s="5">
        <f>INDEX(K_alpha_C[],MATCH(ESF[[#This Row],[Solo]],K_alpha_C[Solo],0),3)</f>
        <v>2.2000000000000002</v>
      </c>
      <c r="K109" s="4">
        <f>INDEX(F1_F2[],MATCH($D$2,F1_F2[Tipo de estaca],0),2)</f>
        <v>3</v>
      </c>
      <c r="L109" s="4">
        <f>INDEX(F1_F2[],MATCH($D$2,F1_F2[Tipo de estaca],0),3)</f>
        <v>6</v>
      </c>
      <c r="M109" s="4">
        <f>PI()*(ESF[[#This Row],[Ø (cm)]]/100)^2/4</f>
        <v>0.12566370614359174</v>
      </c>
      <c r="N109" s="4">
        <f>PI()*ESF[[#This Row],[Ø (cm)]]/100</f>
        <v>1.2566370614359172</v>
      </c>
      <c r="O109" s="4">
        <f>IF(ESF[[#This Row],[Prof. (m)]]=0,0,ESF[[#This Row],[α (%)]]/100*ESF[[#This Row],[K (MPa)]]*1000*ESF[[#This Row],[NSPT]])</f>
        <v>254.10000000000002</v>
      </c>
      <c r="P109" s="4">
        <f>IF(ESF[[#This Row],[Prof. (m)]]=0,0,(ESF[[#This Row],[K (MPa)]]*1000*ESF[[#This Row],[NSPT]]/ESF[[#This Row],[F1]]*ESF[[#This Row],[Ap (m²)]]+ESF[[#This Row],[U (m)]]/ESF[[#This Row],[F2]]*SUMIFS(ESF[(α∙K∙NL∙ΔL)],ESF[Prof. (m)],"&lt;="&amp;ESF[[#This Row],[Prof. (m)]],ESF[idDiâmetro],ESF[[#This Row],[idDiâmetro]],ESF[idPilar],ESF[[#This Row],[idPilar]]))/'DADOS CAP. CARGA'!$D$2)</f>
        <v>323.80395480549998</v>
      </c>
      <c r="Q109" s="12">
        <f>INDEX(C_alpha_beta[],MATCH(ESF[[#This Row],[Solo]],C_alpha_beta[Solo],0),MATCH(ESF[[#Headers],[C (kPa)]],C_alpha_beta[#Headers],0))</f>
        <v>250</v>
      </c>
      <c r="R109" s="4">
        <f>INDEX(C_alpha_beta[],MATCH(ESF[[#This Row],[Solo]],C_alpha_beta[Solo],0),MATCH(ESF[[#Headers],[α ESF]],C_alpha_beta[#Headers],0))</f>
        <v>0.6</v>
      </c>
      <c r="S109" s="4">
        <f>INDEX(C_alpha_beta[],MATCH(ESF[[#This Row],[Solo]],C_alpha_beta[Solo],0),MATCH(ESF[[#Headers],[β ESF]],C_alpha_beta[#Headers],0))</f>
        <v>0.65</v>
      </c>
      <c r="T109" s="4">
        <f>IF(ESF[[#This Row],[Prof. (m)]]=0,0,10*(ESF[[#This Row],[NSPT]]/3+1))</f>
        <v>80</v>
      </c>
      <c r="U109" s="4">
        <f>(ESF[[#This Row],[α ESF]]*ESF[[#This Row],[C (kPa)]]*ESF[[#This Row],[NSPT]]*ESF[[#This Row],[Ap (m²)]])/'DADOS CAP. CARGA'!$Q$2+(ESF[[#This Row],[β ESF]]*SUMIFS(ESF[10∙(NL/3+1)],ESF[Prof. (m)],"&lt;="&amp;ESF[[#This Row],[Prof. (m)]],ESF[idDiâmetro],ESF[[#This Row],[idDiâmetro]],ESF[idPilar],ESF[[#This Row],[idPilar]])*ESF[[#This Row],[U (m)]])/'DADOS CAP. CARGA'!$S$2</f>
        <v>196.97785938008002</v>
      </c>
      <c r="V109" s="4">
        <f>IF(SPT!$M$5=1,MIN(ESF[[#This Row],[Pe ESF (kN)]],ESF[[#This Row],[R_AV (kN)]]),IF(SPT!$M$5=2,MIN(ESF[[#This Row],[Pe ESF (kN)]],ESF[[#This Row],[R_DC (kN)]]),MIN(ESF[[#This Row],[Pe ESF (kN)]],ESF[[#This Row],[R_AV (kN)]],ESF[[#This Row],[R_DC (kN)]])))</f>
        <v>196.97785938008002</v>
      </c>
      <c r="W109" s="4">
        <f>INDEX(PILARES[],ESF[[#This Row],[idPilar]],MATCH("Carga (kN)",PILARES[#Headers],0))*1.4</f>
        <v>1750</v>
      </c>
      <c r="X109" s="12">
        <f>INDEX(PILARES[],ESF[[#This Row],[idPilar]],MATCH(ESF[[#Headers],[ap (cm)]],PILARES[#Headers],0))</f>
        <v>50</v>
      </c>
      <c r="Y109" s="12">
        <f>INDEX(PILARES[],ESF[[#This Row],[idPilar]],MATCH(ESF[[#Headers],[bp (cm)]],PILARES[#Headers],0))</f>
        <v>40</v>
      </c>
      <c r="Z109" s="4">
        <f>SQRT(ESF[[#This Row],[ap (cm)]]*ESF[[#This Row],[bp (cm)]])</f>
        <v>44.721359549995796</v>
      </c>
      <c r="AA109" s="12">
        <f>ESF[[#This Row],[ap (cm)]]*ESF[[#This Row],[bp (cm)]]</f>
        <v>2000</v>
      </c>
      <c r="AB109" s="12">
        <f ca="1">IF(ESF[[#This Row],[Padm∙ε (kN)]]&gt;=ESF[[#This Row],[Padm (kN)]],ROUNDUP(1.05*ESF[[#This Row],[Nsd (kN)]]/ESF[[#This Row],[Padm (kN)]],0),ROUNDUP(1.05*ESF[[#This Row],[Nsd (kN)]]/ESF[[#This Row],[Padm (kN)]],0)+1)</f>
        <v>10</v>
      </c>
      <c r="AC109" s="4" t="str">
        <f ca="1">IFERROR(IF(ESF[[#This Row],[nE]]=1,ESF[[#This Row],[Padm (kN)]],ESF[[#This Row],[Padm (kN)]]*ESF[[#This Row],[nE]]*INDEX(grupoEstacas[],ESF[[#This Row],[nE]],MATCH("ε",grupoEstacas[#Headers],0))),"N.S.")</f>
        <v>N.S.</v>
      </c>
      <c r="AD109" s="4">
        <f ca="1">1.05*ESF[[#This Row],[Nsd (kN)]]/(ESF[[#This Row],[nE]]*PI()*ESF[[#This Row],[Ø (cm)]]^2/4)*10</f>
        <v>1.4622360396567884</v>
      </c>
      <c r="AE109" s="4">
        <f ca="1">IF(ESF[[#This Row],[σ (MPa)]]&lt;INDEX(tipoEstaca[],MATCH($D$2,tipoEstaca[TIPO DE ESTACA],0),MATCH("σmáx (MPa)",tipoEstaca[#Headers],0)),0.4%*PI()*ESF[[#This Row],[Ø (cm)]]^2/4,"N.S.")</f>
        <v>5.026548245743669</v>
      </c>
      <c r="AF109" s="1">
        <f>INDEX(tipoEstaca[],MATCH($D$2,tipoEstaca[TIPO DE ESTACA],0),MATCH(ESF[[#Headers],[Comprimento (m)]],tipoEstaca[#Headers],0))</f>
        <v>2</v>
      </c>
      <c r="AG109" s="5">
        <f ca="1">ESF[[#This Row],[As,mín (cm²)]]/100^2*ESF[[#This Row],[Comprimento (m)]]*7850</f>
        <v>7.8916807458175597</v>
      </c>
      <c r="AH109" s="4">
        <f ca="1">ESF[[#This Row],[nE]]*ESF[[#This Row],[Prof. (m)]]*ESF[[#This Row],[Ap (m²)]]</f>
        <v>7.5398223686155044</v>
      </c>
      <c r="AI109" s="1">
        <f ca="1">IF(ESF[[#This Row],[nE]]=1,0,MAX(3*ESF[[#This Row],[Ø (cm)]],60))</f>
        <v>120</v>
      </c>
      <c r="AJ109" s="1">
        <f ca="1">IF(ESF[[#This Row],[nE]]=1,ESF[[#This Row],[Ø (cm)]]+2*10,MAX(1.5*ESF[[#This Row],[Ø (cm)]],ESF[[#This Row],[Ø (cm)]]+15))</f>
        <v>60</v>
      </c>
      <c r="AK109" s="1" t="str">
        <f ca="1">alturaUtil(ESF[[#This Row],[nE]],ESF[[#This Row],[Ø (cm)]],ESF[[#This Row],[e (cm)]],ESF[[#This Row],[ap,eq (cm)]])</f>
        <v>N.S.</v>
      </c>
      <c r="AL109" s="1" t="str">
        <f ca="1">IFERROR(ESF[[#This Row],[d (cm)]]+arredondarParaCimaMultiplo5cm(MAX(5,SQRT(PI())/2*ESF[[#This Row],[Ø (cm)]]/5)),"N.S.")</f>
        <v>N.S.</v>
      </c>
      <c r="AM109" s="5" t="str">
        <f ca="1">alpha(ESF[[#This Row],[nE]],ESF[[#This Row],[d (cm)]],ESF[[#This Row],[e (cm)]],ESF[[#This Row],[ap,eq (cm)]])</f>
        <v>N.S.</v>
      </c>
      <c r="AN109" s="35" t="str">
        <f ca="1">IFERROR(ESF[[#This Row],[Nsd (kN)]]/(ESF[[#This Row],[Ap (cm²)]]*SIN(ESF[[#This Row],[α]])^2),"N.S.")</f>
        <v>N.S.</v>
      </c>
      <c r="AO109" s="35" t="str">
        <f ca="1">IFERROR(ESF[[#This Row],[Nsd (kN)]]/(ESF[[#This Row],[nE]]*PI()*ESF[[#This Row],[Ø (cm)]]^2/4*SIN(ESF[[#This Row],[α]])^2),"N.S.")</f>
        <v>N.S.</v>
      </c>
      <c r="AP109" s="4" t="str">
        <f ca="1">IFERROR(INDEX(grupoEstacas[],ESF[[#This Row],[nE]],MATCH("coef. Blévot",grupoEstacas[#Headers],0)),"N.S.")</f>
        <v>N.S.</v>
      </c>
      <c r="AQ109" s="35" t="str">
        <f ca="1">IFERROR(ESF[[#This Row],[coef. Blévot]]*0.9*INDEX(tipoEstaca[],MATCH($D$2,tipoEstaca[TIPO DE ESTACA],0),MATCH("fcd (kN/cm²)",tipoEstaca[#Headers],0)),"N.S.")</f>
        <v>N.S.</v>
      </c>
      <c r="AR109" s="1" t="str">
        <f ca="1">IF(AND(ESF[[#This Row],[cd,b,pil (kN/cm²)]]&lt;=ESF[[#This Row],[cd,b,lim (kN/cm²)]],ESF[[#This Row],[cd,b,est (kN/cm²)]]&lt;=ESF[[#This Row],[cd,b,lim (kN/cm²)]]),"OK","ERRO")</f>
        <v>OK</v>
      </c>
      <c r="AS109" s="4" t="str">
        <f ca="1">As_lado(ESF[[#This Row],[nE]],ESF[[#This Row],[Nsd (kN)]],ESF[[#This Row],[d (cm)]],ESF[[#This Row],[e (cm)]],ESF[[#This Row],[ap,eq (cm)]])</f>
        <v>N.S.</v>
      </c>
      <c r="AT109" s="4" t="str">
        <f ca="1">IF(ESF[[#This Row],[nE]]=1,ESF[[#This Row],[As,lado (cm²)]],IF(ESF[[#This Row],[nE]]=2,0.075*2*ESF[a (cm)],"N.A."))</f>
        <v>N.A.</v>
      </c>
      <c r="AU109" s="4" t="str">
        <f ca="1">IFERROR(IF(ESF[[#This Row],[nE]]=1,"N.A.",0.2*ESF[[#This Row],[As,lado (cm²)]]),"N.S.")</f>
        <v>N.S.</v>
      </c>
      <c r="AV109" s="4" t="str">
        <f ca="1">As_malha(ESF[[#This Row],[nE]],ESF[[#This Row],[As,lado (cm²)]],ESF[[#This Row],[Nsd (kN)]])</f>
        <v>N.S.</v>
      </c>
      <c r="AW109" s="4" t="str">
        <f ca="1">As_susp_tot(ESF[[#This Row],[nE]],ESF[[#This Row],[Nsd (kN)]])</f>
        <v>N.S.</v>
      </c>
      <c r="AX109" s="4" t="str">
        <f ca="1">Asp_face(ESF[[#This Row],[nE]],ESF[[#This Row],[As,lado (cm²)]])</f>
        <v>N.S.</v>
      </c>
      <c r="AY109" s="5" t="str">
        <f ca="1">acoBloco(ESF[[#This Row],[nE]],ESF[[#This Row],[e (cm)]],ESF[[#This Row],[a (cm)]],ESF[[#This Row],[h (cm)]],ESF[[#This Row],[As,lado (cm²)]],ESF[[#This Row],[Asp e Asw (cm²/m)]],ESF[[#This Row],[As,sup (cm²)]],ESF[[#This Row],[As,malha (cm²)]],ESF[[#This Row],[As,susp,tot (cm²)]],ESF[[#This Row],[Asp,face (cm²)]])</f>
        <v>N.S.</v>
      </c>
      <c r="AZ109" s="4" t="str">
        <f ca="1">concretoBloco(ESF[[#This Row],[nE]],ESF[[#This Row],[e (cm)]],ESF[[#This Row],[a (cm)]],ESF[[#This Row],[h (cm)]])</f>
        <v>N.S.</v>
      </c>
      <c r="BA109" s="5">
        <f ca="1">SUM(ESF[[#This Row],[Aço Est (kg)]],ESF[[#This Row],[Aço Bloco (kg)]])</f>
        <v>7.8916807458175597</v>
      </c>
      <c r="BB109" s="4">
        <f>INDEX(composicoes[],MATCH(95580,composicoes[CÓDIGO],0),MATCH("CUSTO TOTAL",composicoes[#Headers],0))</f>
        <v>10.46</v>
      </c>
      <c r="BC109" s="4">
        <f ca="1">SUM(ESF[[#This Row],[Conc Est (m³)]],ESF[[#This Row],[Conc Bloco (m³)]])</f>
        <v>7.5398223686155044</v>
      </c>
      <c r="BD109" s="4">
        <f>INDEX(composicoes[],MATCH(94966,composicoes[CÓDIGO],0),MATCH("CUSTO TOTAL",composicoes[#Headers],0))</f>
        <v>439.52</v>
      </c>
      <c r="BE109" s="38">
        <f ca="1">ESF[[#This Row],[Aço (kg)]]*ESF[[#This Row],[Aço (R$/kg)]]+ESF[[#This Row],[Conc (m³)]]*ESF[[#This Row],[Conc (R$/m³)]]</f>
        <v>3396.4497080551378</v>
      </c>
      <c r="BF109" s="4" t="str">
        <f ca="1">IF(COUNTIF(ESF[#This Row],"N.S.")&gt;0,"lim.","OK")</f>
        <v>lim.</v>
      </c>
      <c r="BG109" s="4" t="str">
        <f>IF(ESF[[#This Row],[Prof. (m)]]&lt;3,"lim.","OK")</f>
        <v>OK</v>
      </c>
      <c r="BH109" s="4" t="str">
        <f>IF(ESF[[#This Row],[Prof. (m)]]&gt;=8*ESF[[#This Row],[Ø (cm)]]/100,"OK","lim.")</f>
        <v>OK</v>
      </c>
      <c r="BI109" s="4" t="str">
        <f>IF(AND(SPT!$F$3&lt;&gt;"",ESF[[#This Row],[Prof. (m)]]&gt;=SPT!$F$3),"lim.","OK")</f>
        <v>OK</v>
      </c>
      <c r="BJ109" s="4" t="str">
        <f>IF(COUNTIFS(ESF[Solo],"Areia",ESF[Prof. (m)],"&lt;="&amp;ESF[[#This Row],[Prof. (m)]])&gt;=1,"lim.","OK")</f>
        <v>OK</v>
      </c>
      <c r="BK109" s="4" t="str">
        <f ca="1">IF(ESF[[#This Row],[Verif. Biela]]="OK","OK","lim.")</f>
        <v>OK</v>
      </c>
      <c r="BL109" s="4" t="str">
        <f ca="1">IF(COUNTA(ESF[[#This Row],[Nº Est.]:[Biela comp.]])=COUNTIF(ESF[[#This Row],[Nº Est.]:[Biela comp.]],"OK"),"OK","lim.")</f>
        <v>lim.</v>
      </c>
      <c r="BM109" s="4" t="str">
        <f ca="1">IF(ESF[[#This Row],[Controle]]="OK",ESF[[#This Row],[nE]]&amp;" Ø"&amp;ESF[[#This Row],[Ø (cm)]]&amp;"cm Prof. "&amp;ESF[[#This Row],[Prof. (m)]]&amp;" m","")</f>
        <v/>
      </c>
      <c r="BN109" s="4" t="str">
        <f ca="1">IF(ESF[[#This Row],[idDimensionamento]]="","",ESF[[#This Row],[idPilar]]&amp;ESF[[#This Row],[idDimensionamento]])</f>
        <v/>
      </c>
    </row>
    <row r="110" spans="2:66" x14ac:dyDescent="0.25">
      <c r="B110" s="12">
        <f>ROUNDUP((ROW(ESF[[#This Row],[idDiâmetro]])-ROW(ESF[[#Headers],[idDiâmetro]]))/(COUNT(SPT[Prof. (m)])*COUNT(PILARES[Pilar])),0)</f>
        <v>4</v>
      </c>
      <c r="C110" s="12">
        <f>IF(ESF[[#This Row],[idDiâmetro]]&lt;&gt;B109,1,IF(ESF[[#This Row],[Prof. (m)]]=0,C109+1,C109))</f>
        <v>2</v>
      </c>
      <c r="D110" s="1">
        <f>IFERROR(IF(D109=MAX(SPT[Prof. (m)]),0,D109+1),0)</f>
        <v>7</v>
      </c>
      <c r="E110" s="1">
        <f>INDEX(SPT[],MATCH(ESF[[#This Row],[Prof. (m)]],SPT[Prof. (m)],0),2)</f>
        <v>8</v>
      </c>
      <c r="F110" s="1" t="str">
        <f>INDEX(SPT[],MATCH(ESF[[#This Row],[Prof. (m)]],SPT[Prof. (m)],0),3)</f>
        <v>Silte arenoso</v>
      </c>
      <c r="G110" s="1">
        <f>INDEX(estacas[],ESF[[#This Row],[idDiâmetro]],MATCH($B$2,estacas[#Headers],0))</f>
        <v>40</v>
      </c>
      <c r="H110" s="1">
        <f>INDEX(estacas[],MATCH(ESF[[#This Row],[Ø (cm)]],estacas[Ø ESF (cm)],0),MATCH(ESF[[#Headers],[Pe ESF (kN)]],estacas[#Headers],0))</f>
        <v>640</v>
      </c>
      <c r="I110" s="4">
        <f>INDEX(K_alpha_C[],MATCH(ESF[[#This Row],[Solo]],K_alpha_C[Solo],0),2)</f>
        <v>0.55000000000000004</v>
      </c>
      <c r="J110" s="5">
        <f>INDEX(K_alpha_C[],MATCH(ESF[[#This Row],[Solo]],K_alpha_C[Solo],0),3)</f>
        <v>2.2000000000000002</v>
      </c>
      <c r="K110" s="4">
        <f>INDEX(F1_F2[],MATCH($D$2,F1_F2[Tipo de estaca],0),2)</f>
        <v>3</v>
      </c>
      <c r="L110" s="4">
        <f>INDEX(F1_F2[],MATCH($D$2,F1_F2[Tipo de estaca],0),3)</f>
        <v>6</v>
      </c>
      <c r="M110" s="4">
        <f>PI()*(ESF[[#This Row],[Ø (cm)]]/100)^2/4</f>
        <v>0.12566370614359174</v>
      </c>
      <c r="N110" s="4">
        <f>PI()*ESF[[#This Row],[Ø (cm)]]/100</f>
        <v>1.2566370614359172</v>
      </c>
      <c r="O110" s="4">
        <f>IF(ESF[[#This Row],[Prof. (m)]]=0,0,ESF[[#This Row],[α (%)]]/100*ESF[[#This Row],[K (MPa)]]*1000*ESF[[#This Row],[NSPT]])</f>
        <v>96.800000000000011</v>
      </c>
      <c r="P110" s="4">
        <f>IF(ESF[[#This Row],[Prof. (m)]]=0,0,(ESF[[#This Row],[K (MPa)]]*1000*ESF[[#This Row],[NSPT]]/ESF[[#This Row],[F1]]*ESF[[#This Row],[Ap (m²)]]+ESF[[#This Row],[U (m)]]/ESF[[#This Row],[F2]]*SUMIFS(ESF[(α∙K∙NL∙ΔL)],ESF[Prof. (m)],"&lt;="&amp;ESF[[#This Row],[Prof. (m)]],ESF[idDiâmetro],ESF[[#This Row],[idDiâmetro]],ESF[idPilar],ESF[[#This Row],[idPilar]]))/'DADOS CAP. CARGA'!$D$2)</f>
        <v>184.19157727996958</v>
      </c>
      <c r="Q110" s="12">
        <f>INDEX(C_alpha_beta[],MATCH(ESF[[#This Row],[Solo]],C_alpha_beta[Solo],0),MATCH(ESF[[#Headers],[C (kPa)]],C_alpha_beta[#Headers],0))</f>
        <v>250</v>
      </c>
      <c r="R110" s="4">
        <f>INDEX(C_alpha_beta[],MATCH(ESF[[#This Row],[Solo]],C_alpha_beta[Solo],0),MATCH(ESF[[#Headers],[α ESF]],C_alpha_beta[#Headers],0))</f>
        <v>0.6</v>
      </c>
      <c r="S110" s="4">
        <f>INDEX(C_alpha_beta[],MATCH(ESF[[#This Row],[Solo]],C_alpha_beta[Solo],0),MATCH(ESF[[#Headers],[β ESF]],C_alpha_beta[#Headers],0))</f>
        <v>0.65</v>
      </c>
      <c r="T110" s="4">
        <f>IF(ESF[[#This Row],[Prof. (m)]]=0,0,10*(ESF[[#This Row],[NSPT]]/3+1))</f>
        <v>36.666666666666664</v>
      </c>
      <c r="U110" s="4">
        <f>(ESF[[#This Row],[α ESF]]*ESF[[#This Row],[C (kPa)]]*ESF[[#This Row],[NSPT]]*ESF[[#This Row],[Ap (m²)]])/'DADOS CAP. CARGA'!$Q$2+(ESF[[#This Row],[β ESF]]*SUMIFS(ESF[10∙(NL/3+1)],ESF[Prof. (m)],"&lt;="&amp;ESF[[#This Row],[Prof. (m)]],ESF[idDiâmetro],ESF[[#This Row],[idDiâmetro]],ESF[idPilar],ESF[[#This Row],[idPilar]])*ESF[[#This Row],[U (m)]])/'DADOS CAP. CARGA'!$S$2</f>
        <v>150.69172761719039</v>
      </c>
      <c r="V110" s="4">
        <f>IF(SPT!$M$5=1,MIN(ESF[[#This Row],[Pe ESF (kN)]],ESF[[#This Row],[R_AV (kN)]]),IF(SPT!$M$5=2,MIN(ESF[[#This Row],[Pe ESF (kN)]],ESF[[#This Row],[R_DC (kN)]]),MIN(ESF[[#This Row],[Pe ESF (kN)]],ESF[[#This Row],[R_AV (kN)]],ESF[[#This Row],[R_DC (kN)]])))</f>
        <v>150.69172761719039</v>
      </c>
      <c r="W110" s="4">
        <f>INDEX(PILARES[],ESF[[#This Row],[idPilar]],MATCH("Carga (kN)",PILARES[#Headers],0))*1.4</f>
        <v>1750</v>
      </c>
      <c r="X110" s="12">
        <f>INDEX(PILARES[],ESF[[#This Row],[idPilar]],MATCH(ESF[[#Headers],[ap (cm)]],PILARES[#Headers],0))</f>
        <v>50</v>
      </c>
      <c r="Y110" s="12">
        <f>INDEX(PILARES[],ESF[[#This Row],[idPilar]],MATCH(ESF[[#Headers],[bp (cm)]],PILARES[#Headers],0))</f>
        <v>40</v>
      </c>
      <c r="Z110" s="4">
        <f>SQRT(ESF[[#This Row],[ap (cm)]]*ESF[[#This Row],[bp (cm)]])</f>
        <v>44.721359549995796</v>
      </c>
      <c r="AA110" s="12">
        <f>ESF[[#This Row],[ap (cm)]]*ESF[[#This Row],[bp (cm)]]</f>
        <v>2000</v>
      </c>
      <c r="AB110" s="12">
        <f ca="1">IF(ESF[[#This Row],[Padm∙ε (kN)]]&gt;=ESF[[#This Row],[Padm (kN)]],ROUNDUP(1.05*ESF[[#This Row],[Nsd (kN)]]/ESF[[#This Row],[Padm (kN)]],0),ROUNDUP(1.05*ESF[[#This Row],[Nsd (kN)]]/ESF[[#This Row],[Padm (kN)]],0)+1)</f>
        <v>13</v>
      </c>
      <c r="AC110" s="4" t="str">
        <f ca="1">IFERROR(IF(ESF[[#This Row],[nE]]=1,ESF[[#This Row],[Padm (kN)]],ESF[[#This Row],[Padm (kN)]]*ESF[[#This Row],[nE]]*INDEX(grupoEstacas[],ESF[[#This Row],[nE]],MATCH("ε",grupoEstacas[#Headers],0))),"N.S.")</f>
        <v>N.S.</v>
      </c>
      <c r="AD110" s="4">
        <f ca="1">1.05*ESF[[#This Row],[Nsd (kN)]]/(ESF[[#This Row],[nE]]*PI()*ESF[[#This Row],[Ø (cm)]]^2/4)*10</f>
        <v>1.1247969535821449</v>
      </c>
      <c r="AE110" s="4">
        <f ca="1">IF(ESF[[#This Row],[σ (MPa)]]&lt;INDEX(tipoEstaca[],MATCH($D$2,tipoEstaca[TIPO DE ESTACA],0),MATCH("σmáx (MPa)",tipoEstaca[#Headers],0)),0.4%*PI()*ESF[[#This Row],[Ø (cm)]]^2/4,"N.S.")</f>
        <v>5.026548245743669</v>
      </c>
      <c r="AF110" s="1">
        <f>INDEX(tipoEstaca[],MATCH($D$2,tipoEstaca[TIPO DE ESTACA],0),MATCH(ESF[[#Headers],[Comprimento (m)]],tipoEstaca[#Headers],0))</f>
        <v>2</v>
      </c>
      <c r="AG110" s="5">
        <f ca="1">ESF[[#This Row],[As,mín (cm²)]]/100^2*ESF[[#This Row],[Comprimento (m)]]*7850</f>
        <v>7.8916807458175597</v>
      </c>
      <c r="AH110" s="4">
        <f ca="1">ESF[[#This Row],[nE]]*ESF[[#This Row],[Prof. (m)]]*ESF[[#This Row],[Ap (m²)]]</f>
        <v>11.435397259066848</v>
      </c>
      <c r="AI110" s="1">
        <f ca="1">IF(ESF[[#This Row],[nE]]=1,0,MAX(3*ESF[[#This Row],[Ø (cm)]],60))</f>
        <v>120</v>
      </c>
      <c r="AJ110" s="1">
        <f ca="1">IF(ESF[[#This Row],[nE]]=1,ESF[[#This Row],[Ø (cm)]]+2*10,MAX(1.5*ESF[[#This Row],[Ø (cm)]],ESF[[#This Row],[Ø (cm)]]+15))</f>
        <v>60</v>
      </c>
      <c r="AK110" s="1" t="str">
        <f ca="1">alturaUtil(ESF[[#This Row],[nE]],ESF[[#This Row],[Ø (cm)]],ESF[[#This Row],[e (cm)]],ESF[[#This Row],[ap,eq (cm)]])</f>
        <v>N.S.</v>
      </c>
      <c r="AL110" s="1" t="str">
        <f ca="1">IFERROR(ESF[[#This Row],[d (cm)]]+arredondarParaCimaMultiplo5cm(MAX(5,SQRT(PI())/2*ESF[[#This Row],[Ø (cm)]]/5)),"N.S.")</f>
        <v>N.S.</v>
      </c>
      <c r="AM110" s="5" t="str">
        <f ca="1">alpha(ESF[[#This Row],[nE]],ESF[[#This Row],[d (cm)]],ESF[[#This Row],[e (cm)]],ESF[[#This Row],[ap,eq (cm)]])</f>
        <v>N.S.</v>
      </c>
      <c r="AN110" s="35" t="str">
        <f ca="1">IFERROR(ESF[[#This Row],[Nsd (kN)]]/(ESF[[#This Row],[Ap (cm²)]]*SIN(ESF[[#This Row],[α]])^2),"N.S.")</f>
        <v>N.S.</v>
      </c>
      <c r="AO110" s="35" t="str">
        <f ca="1">IFERROR(ESF[[#This Row],[Nsd (kN)]]/(ESF[[#This Row],[nE]]*PI()*ESF[[#This Row],[Ø (cm)]]^2/4*SIN(ESF[[#This Row],[α]])^2),"N.S.")</f>
        <v>N.S.</v>
      </c>
      <c r="AP110" s="4" t="str">
        <f ca="1">IFERROR(INDEX(grupoEstacas[],ESF[[#This Row],[nE]],MATCH("coef. Blévot",grupoEstacas[#Headers],0)),"N.S.")</f>
        <v>N.S.</v>
      </c>
      <c r="AQ110" s="35" t="str">
        <f ca="1">IFERROR(ESF[[#This Row],[coef. Blévot]]*0.9*INDEX(tipoEstaca[],MATCH($D$2,tipoEstaca[TIPO DE ESTACA],0),MATCH("fcd (kN/cm²)",tipoEstaca[#Headers],0)),"N.S.")</f>
        <v>N.S.</v>
      </c>
      <c r="AR110" s="1" t="str">
        <f ca="1">IF(AND(ESF[[#This Row],[cd,b,pil (kN/cm²)]]&lt;=ESF[[#This Row],[cd,b,lim (kN/cm²)]],ESF[[#This Row],[cd,b,est (kN/cm²)]]&lt;=ESF[[#This Row],[cd,b,lim (kN/cm²)]]),"OK","ERRO")</f>
        <v>OK</v>
      </c>
      <c r="AS110" s="4" t="str">
        <f ca="1">As_lado(ESF[[#This Row],[nE]],ESF[[#This Row],[Nsd (kN)]],ESF[[#This Row],[d (cm)]],ESF[[#This Row],[e (cm)]],ESF[[#This Row],[ap,eq (cm)]])</f>
        <v>N.S.</v>
      </c>
      <c r="AT110" s="4" t="str">
        <f ca="1">IF(ESF[[#This Row],[nE]]=1,ESF[[#This Row],[As,lado (cm²)]],IF(ESF[[#This Row],[nE]]=2,0.075*2*ESF[a (cm)],"N.A."))</f>
        <v>N.A.</v>
      </c>
      <c r="AU110" s="4" t="str">
        <f ca="1">IFERROR(IF(ESF[[#This Row],[nE]]=1,"N.A.",0.2*ESF[[#This Row],[As,lado (cm²)]]),"N.S.")</f>
        <v>N.S.</v>
      </c>
      <c r="AV110" s="4" t="str">
        <f ca="1">As_malha(ESF[[#This Row],[nE]],ESF[[#This Row],[As,lado (cm²)]],ESF[[#This Row],[Nsd (kN)]])</f>
        <v>N.S.</v>
      </c>
      <c r="AW110" s="4" t="str">
        <f ca="1">As_susp_tot(ESF[[#This Row],[nE]],ESF[[#This Row],[Nsd (kN)]])</f>
        <v>N.S.</v>
      </c>
      <c r="AX110" s="4" t="str">
        <f ca="1">Asp_face(ESF[[#This Row],[nE]],ESF[[#This Row],[As,lado (cm²)]])</f>
        <v>N.S.</v>
      </c>
      <c r="AY110" s="5" t="str">
        <f ca="1">acoBloco(ESF[[#This Row],[nE]],ESF[[#This Row],[e (cm)]],ESF[[#This Row],[a (cm)]],ESF[[#This Row],[h (cm)]],ESF[[#This Row],[As,lado (cm²)]],ESF[[#This Row],[Asp e Asw (cm²/m)]],ESF[[#This Row],[As,sup (cm²)]],ESF[[#This Row],[As,malha (cm²)]],ESF[[#This Row],[As,susp,tot (cm²)]],ESF[[#This Row],[Asp,face (cm²)]])</f>
        <v>N.S.</v>
      </c>
      <c r="AZ110" s="4" t="str">
        <f ca="1">concretoBloco(ESF[[#This Row],[nE]],ESF[[#This Row],[e (cm)]],ESF[[#This Row],[a (cm)]],ESF[[#This Row],[h (cm)]])</f>
        <v>N.S.</v>
      </c>
      <c r="BA110" s="5">
        <f ca="1">SUM(ESF[[#This Row],[Aço Est (kg)]],ESF[[#This Row],[Aço Bloco (kg)]])</f>
        <v>7.8916807458175597</v>
      </c>
      <c r="BB110" s="4">
        <f>INDEX(composicoes[],MATCH(95580,composicoes[CÓDIGO],0),MATCH("CUSTO TOTAL",composicoes[#Headers],0))</f>
        <v>10.46</v>
      </c>
      <c r="BC110" s="4">
        <f ca="1">SUM(ESF[[#This Row],[Conc Est (m³)]],ESF[[#This Row],[Conc Bloco (m³)]])</f>
        <v>11.435397259066848</v>
      </c>
      <c r="BD110" s="4">
        <f>INDEX(composicoes[],MATCH(94966,composicoes[CÓDIGO],0),MATCH("CUSTO TOTAL",composicoes[#Headers],0))</f>
        <v>439.52</v>
      </c>
      <c r="BE110" s="38">
        <f ca="1">ESF[[#This Row],[Aço (kg)]]*ESF[[#This Row],[Aço (R$/kg)]]+ESF[[#This Row],[Conc (m³)]]*ESF[[#This Row],[Conc (R$/m³)]]</f>
        <v>5108.6327839063124</v>
      </c>
      <c r="BF110" s="4" t="str">
        <f ca="1">IF(COUNTIF(ESF[#This Row],"N.S.")&gt;0,"lim.","OK")</f>
        <v>lim.</v>
      </c>
      <c r="BG110" s="4" t="str">
        <f>IF(ESF[[#This Row],[Prof. (m)]]&lt;3,"lim.","OK")</f>
        <v>OK</v>
      </c>
      <c r="BH110" s="4" t="str">
        <f>IF(ESF[[#This Row],[Prof. (m)]]&gt;=8*ESF[[#This Row],[Ø (cm)]]/100,"OK","lim.")</f>
        <v>OK</v>
      </c>
      <c r="BI110" s="4" t="str">
        <f>IF(AND(SPT!$F$3&lt;&gt;"",ESF[[#This Row],[Prof. (m)]]&gt;=SPT!$F$3),"lim.","OK")</f>
        <v>OK</v>
      </c>
      <c r="BJ110" s="4" t="str">
        <f>IF(COUNTIFS(ESF[Solo],"Areia",ESF[Prof. (m)],"&lt;="&amp;ESF[[#This Row],[Prof. (m)]])&gt;=1,"lim.","OK")</f>
        <v>OK</v>
      </c>
      <c r="BK110" s="4" t="str">
        <f ca="1">IF(ESF[[#This Row],[Verif. Biela]]="OK","OK","lim.")</f>
        <v>OK</v>
      </c>
      <c r="BL110" s="4" t="str">
        <f ca="1">IF(COUNTA(ESF[[#This Row],[Nº Est.]:[Biela comp.]])=COUNTIF(ESF[[#This Row],[Nº Est.]:[Biela comp.]],"OK"),"OK","lim.")</f>
        <v>lim.</v>
      </c>
      <c r="BM110" s="4" t="str">
        <f ca="1">IF(ESF[[#This Row],[Controle]]="OK",ESF[[#This Row],[nE]]&amp;" Ø"&amp;ESF[[#This Row],[Ø (cm)]]&amp;"cm Prof. "&amp;ESF[[#This Row],[Prof. (m)]]&amp;" m","")</f>
        <v/>
      </c>
      <c r="BN110" s="4" t="str">
        <f ca="1">IF(ESF[[#This Row],[idDimensionamento]]="","",ESF[[#This Row],[idPilar]]&amp;ESF[[#This Row],[idDimensionamento]])</f>
        <v/>
      </c>
    </row>
    <row r="111" spans="2:66" x14ac:dyDescent="0.25">
      <c r="B111" s="12">
        <f>ROUNDUP((ROW(ESF[[#This Row],[idDiâmetro]])-ROW(ESF[[#Headers],[idDiâmetro]]))/(COUNT(SPT[Prof. (m)])*COUNT(PILARES[Pilar])),0)</f>
        <v>4</v>
      </c>
      <c r="C111" s="12">
        <f>IF(ESF[[#This Row],[idDiâmetro]]&lt;&gt;B110,1,IF(ESF[[#This Row],[Prof. (m)]]=0,C110+1,C110))</f>
        <v>2</v>
      </c>
      <c r="D111" s="1">
        <f>IFERROR(IF(D110=MAX(SPT[Prof. (m)]),0,D110+1),0)</f>
        <v>8</v>
      </c>
      <c r="E111" s="1">
        <f>INDEX(SPT[],MATCH(ESF[[#This Row],[Prof. (m)]],SPT[Prof. (m)],0),2)</f>
        <v>10</v>
      </c>
      <c r="F111" s="1" t="str">
        <f>INDEX(SPT[],MATCH(ESF[[#This Row],[Prof. (m)]],SPT[Prof. (m)],0),3)</f>
        <v>Silte arenoso</v>
      </c>
      <c r="G111" s="1">
        <f>INDEX(estacas[],ESF[[#This Row],[idDiâmetro]],MATCH($B$2,estacas[#Headers],0))</f>
        <v>40</v>
      </c>
      <c r="H111" s="1">
        <f>INDEX(estacas[],MATCH(ESF[[#This Row],[Ø (cm)]],estacas[Ø ESF (cm)],0),MATCH(ESF[[#Headers],[Pe ESF (kN)]],estacas[#Headers],0))</f>
        <v>640</v>
      </c>
      <c r="I111" s="4">
        <f>INDEX(K_alpha_C[],MATCH(ESF[[#This Row],[Solo]],K_alpha_C[Solo],0),2)</f>
        <v>0.55000000000000004</v>
      </c>
      <c r="J111" s="5">
        <f>INDEX(K_alpha_C[],MATCH(ESF[[#This Row],[Solo]],K_alpha_C[Solo],0),3)</f>
        <v>2.2000000000000002</v>
      </c>
      <c r="K111" s="4">
        <f>INDEX(F1_F2[],MATCH($D$2,F1_F2[Tipo de estaca],0),2)</f>
        <v>3</v>
      </c>
      <c r="L111" s="4">
        <f>INDEX(F1_F2[],MATCH($D$2,F1_F2[Tipo de estaca],0),3)</f>
        <v>6</v>
      </c>
      <c r="M111" s="4">
        <f>PI()*(ESF[[#This Row],[Ø (cm)]]/100)^2/4</f>
        <v>0.12566370614359174</v>
      </c>
      <c r="N111" s="4">
        <f>PI()*ESF[[#This Row],[Ø (cm)]]/100</f>
        <v>1.2566370614359172</v>
      </c>
      <c r="O111" s="4">
        <f>IF(ESF[[#This Row],[Prof. (m)]]=0,0,ESF[[#This Row],[α (%)]]/100*ESF[[#This Row],[K (MPa)]]*1000*ESF[[#This Row],[NSPT]])</f>
        <v>121.00000000000001</v>
      </c>
      <c r="P111" s="4">
        <f>IF(ESF[[#This Row],[Prof. (m)]]=0,0,(ESF[[#This Row],[K (MPa)]]*1000*ESF[[#This Row],[NSPT]]/ESF[[#This Row],[F1]]*ESF[[#This Row],[Ap (m²)]]+ESF[[#This Row],[U (m)]]/ESF[[#This Row],[F2]]*SUMIFS(ESF[(α∙K∙NL∙ΔL)],ESF[Prof. (m)],"&lt;="&amp;ESF[[#This Row],[Prof. (m)]],ESF[idDiâmetro],ESF[[#This Row],[idDiâmetro]],ESF[idPilar],ESF[[#This Row],[idPilar]]))/'DADOS CAP. CARGA'!$D$2)</f>
        <v>219.90101377577355</v>
      </c>
      <c r="Q111" s="12">
        <f>INDEX(C_alpha_beta[],MATCH(ESF[[#This Row],[Solo]],C_alpha_beta[Solo],0),MATCH(ESF[[#Headers],[C (kPa)]],C_alpha_beta[#Headers],0))</f>
        <v>250</v>
      </c>
      <c r="R111" s="4">
        <f>INDEX(C_alpha_beta[],MATCH(ESF[[#This Row],[Solo]],C_alpha_beta[Solo],0),MATCH(ESF[[#Headers],[α ESF]],C_alpha_beta[#Headers],0))</f>
        <v>0.6</v>
      </c>
      <c r="S111" s="4">
        <f>INDEX(C_alpha_beta[],MATCH(ESF[[#This Row],[Solo]],C_alpha_beta[Solo],0),MATCH(ESF[[#Headers],[β ESF]],C_alpha_beta[#Headers],0))</f>
        <v>0.65</v>
      </c>
      <c r="T111" s="4">
        <f>IF(ESF[[#This Row],[Prof. (m)]]=0,0,10*(ESF[[#This Row],[NSPT]]/3+1))</f>
        <v>43.333333333333343</v>
      </c>
      <c r="U111" s="4">
        <f>(ESF[[#This Row],[α ESF]]*ESF[[#This Row],[C (kPa)]]*ESF[[#This Row],[NSPT]]*ESF[[#This Row],[Ap (m²)]])/'DADOS CAP. CARGA'!$Q$2+(ESF[[#This Row],[β ESF]]*SUMIFS(ESF[10∙(NL/3+1)],ESF[Prof. (m)],"&lt;="&amp;ESF[[#This Row],[Prof. (m)]],ESF[idDiâmetro],ESF[[#This Row],[idDiâmetro]],ESF[idPilar],ESF[[#This Row],[idPilar]])*ESF[[#This Row],[U (m)]])/'DADOS CAP. CARGA'!$S$2</f>
        <v>177.8141441931823</v>
      </c>
      <c r="V111" s="4">
        <f>IF(SPT!$M$5=1,MIN(ESF[[#This Row],[Pe ESF (kN)]],ESF[[#This Row],[R_AV (kN)]]),IF(SPT!$M$5=2,MIN(ESF[[#This Row],[Pe ESF (kN)]],ESF[[#This Row],[R_DC (kN)]]),MIN(ESF[[#This Row],[Pe ESF (kN)]],ESF[[#This Row],[R_AV (kN)]],ESF[[#This Row],[R_DC (kN)]])))</f>
        <v>177.8141441931823</v>
      </c>
      <c r="W111" s="4">
        <f>INDEX(PILARES[],ESF[[#This Row],[idPilar]],MATCH("Carga (kN)",PILARES[#Headers],0))*1.4</f>
        <v>1750</v>
      </c>
      <c r="X111" s="12">
        <f>INDEX(PILARES[],ESF[[#This Row],[idPilar]],MATCH(ESF[[#Headers],[ap (cm)]],PILARES[#Headers],0))</f>
        <v>50</v>
      </c>
      <c r="Y111" s="12">
        <f>INDEX(PILARES[],ESF[[#This Row],[idPilar]],MATCH(ESF[[#Headers],[bp (cm)]],PILARES[#Headers],0))</f>
        <v>40</v>
      </c>
      <c r="Z111" s="4">
        <f>SQRT(ESF[[#This Row],[ap (cm)]]*ESF[[#This Row],[bp (cm)]])</f>
        <v>44.721359549995796</v>
      </c>
      <c r="AA111" s="12">
        <f>ESF[[#This Row],[ap (cm)]]*ESF[[#This Row],[bp (cm)]]</f>
        <v>2000</v>
      </c>
      <c r="AB111" s="12">
        <f ca="1">IF(ESF[[#This Row],[Padm∙ε (kN)]]&gt;=ESF[[#This Row],[Padm (kN)]],ROUNDUP(1.05*ESF[[#This Row],[Nsd (kN)]]/ESF[[#This Row],[Padm (kN)]],0),ROUNDUP(1.05*ESF[[#This Row],[Nsd (kN)]]/ESF[[#This Row],[Padm (kN)]],0)+1)</f>
        <v>11</v>
      </c>
      <c r="AC111" s="4" t="str">
        <f ca="1">IFERROR(IF(ESF[[#This Row],[nE]]=1,ESF[[#This Row],[Padm (kN)]],ESF[[#This Row],[Padm (kN)]]*ESF[[#This Row],[nE]]*INDEX(grupoEstacas[],ESF[[#This Row],[nE]],MATCH("ε",grupoEstacas[#Headers],0))),"N.S.")</f>
        <v>N.S.</v>
      </c>
      <c r="AD111" s="4">
        <f ca="1">1.05*ESF[[#This Row],[Nsd (kN)]]/(ESF[[#This Row],[nE]]*PI()*ESF[[#This Row],[Ø (cm)]]^2/4)*10</f>
        <v>1.3293054905970805</v>
      </c>
      <c r="AE111" s="4">
        <f ca="1">IF(ESF[[#This Row],[σ (MPa)]]&lt;INDEX(tipoEstaca[],MATCH($D$2,tipoEstaca[TIPO DE ESTACA],0),MATCH("σmáx (MPa)",tipoEstaca[#Headers],0)),0.4%*PI()*ESF[[#This Row],[Ø (cm)]]^2/4,"N.S.")</f>
        <v>5.026548245743669</v>
      </c>
      <c r="AF111" s="1">
        <f>INDEX(tipoEstaca[],MATCH($D$2,tipoEstaca[TIPO DE ESTACA],0),MATCH(ESF[[#Headers],[Comprimento (m)]],tipoEstaca[#Headers],0))</f>
        <v>2</v>
      </c>
      <c r="AG111" s="5">
        <f ca="1">ESF[[#This Row],[As,mín (cm²)]]/100^2*ESF[[#This Row],[Comprimento (m)]]*7850</f>
        <v>7.8916807458175597</v>
      </c>
      <c r="AH111" s="4">
        <f ca="1">ESF[[#This Row],[nE]]*ESF[[#This Row],[Prof. (m)]]*ESF[[#This Row],[Ap (m²)]]</f>
        <v>11.058406140636073</v>
      </c>
      <c r="AI111" s="1">
        <f ca="1">IF(ESF[[#This Row],[nE]]=1,0,MAX(3*ESF[[#This Row],[Ø (cm)]],60))</f>
        <v>120</v>
      </c>
      <c r="AJ111" s="1">
        <f ca="1">IF(ESF[[#This Row],[nE]]=1,ESF[[#This Row],[Ø (cm)]]+2*10,MAX(1.5*ESF[[#This Row],[Ø (cm)]],ESF[[#This Row],[Ø (cm)]]+15))</f>
        <v>60</v>
      </c>
      <c r="AK111" s="1" t="str">
        <f ca="1">alturaUtil(ESF[[#This Row],[nE]],ESF[[#This Row],[Ø (cm)]],ESF[[#This Row],[e (cm)]],ESF[[#This Row],[ap,eq (cm)]])</f>
        <v>N.S.</v>
      </c>
      <c r="AL111" s="1" t="str">
        <f ca="1">IFERROR(ESF[[#This Row],[d (cm)]]+arredondarParaCimaMultiplo5cm(MAX(5,SQRT(PI())/2*ESF[[#This Row],[Ø (cm)]]/5)),"N.S.")</f>
        <v>N.S.</v>
      </c>
      <c r="AM111" s="5" t="str">
        <f ca="1">alpha(ESF[[#This Row],[nE]],ESF[[#This Row],[d (cm)]],ESF[[#This Row],[e (cm)]],ESF[[#This Row],[ap,eq (cm)]])</f>
        <v>N.S.</v>
      </c>
      <c r="AN111" s="35" t="str">
        <f ca="1">IFERROR(ESF[[#This Row],[Nsd (kN)]]/(ESF[[#This Row],[Ap (cm²)]]*SIN(ESF[[#This Row],[α]])^2),"N.S.")</f>
        <v>N.S.</v>
      </c>
      <c r="AO111" s="35" t="str">
        <f ca="1">IFERROR(ESF[[#This Row],[Nsd (kN)]]/(ESF[[#This Row],[nE]]*PI()*ESF[[#This Row],[Ø (cm)]]^2/4*SIN(ESF[[#This Row],[α]])^2),"N.S.")</f>
        <v>N.S.</v>
      </c>
      <c r="AP111" s="4" t="str">
        <f ca="1">IFERROR(INDEX(grupoEstacas[],ESF[[#This Row],[nE]],MATCH("coef. Blévot",grupoEstacas[#Headers],0)),"N.S.")</f>
        <v>N.S.</v>
      </c>
      <c r="AQ111" s="35" t="str">
        <f ca="1">IFERROR(ESF[[#This Row],[coef. Blévot]]*0.9*INDEX(tipoEstaca[],MATCH($D$2,tipoEstaca[TIPO DE ESTACA],0),MATCH("fcd (kN/cm²)",tipoEstaca[#Headers],0)),"N.S.")</f>
        <v>N.S.</v>
      </c>
      <c r="AR111" s="1" t="str">
        <f ca="1">IF(AND(ESF[[#This Row],[cd,b,pil (kN/cm²)]]&lt;=ESF[[#This Row],[cd,b,lim (kN/cm²)]],ESF[[#This Row],[cd,b,est (kN/cm²)]]&lt;=ESF[[#This Row],[cd,b,lim (kN/cm²)]]),"OK","ERRO")</f>
        <v>OK</v>
      </c>
      <c r="AS111" s="4" t="str">
        <f ca="1">As_lado(ESF[[#This Row],[nE]],ESF[[#This Row],[Nsd (kN)]],ESF[[#This Row],[d (cm)]],ESF[[#This Row],[e (cm)]],ESF[[#This Row],[ap,eq (cm)]])</f>
        <v>N.S.</v>
      </c>
      <c r="AT111" s="4" t="str">
        <f ca="1">IF(ESF[[#This Row],[nE]]=1,ESF[[#This Row],[As,lado (cm²)]],IF(ESF[[#This Row],[nE]]=2,0.075*2*ESF[a (cm)],"N.A."))</f>
        <v>N.A.</v>
      </c>
      <c r="AU111" s="4" t="str">
        <f ca="1">IFERROR(IF(ESF[[#This Row],[nE]]=1,"N.A.",0.2*ESF[[#This Row],[As,lado (cm²)]]),"N.S.")</f>
        <v>N.S.</v>
      </c>
      <c r="AV111" s="4" t="str">
        <f ca="1">As_malha(ESF[[#This Row],[nE]],ESF[[#This Row],[As,lado (cm²)]],ESF[[#This Row],[Nsd (kN)]])</f>
        <v>N.S.</v>
      </c>
      <c r="AW111" s="4" t="str">
        <f ca="1">As_susp_tot(ESF[[#This Row],[nE]],ESF[[#This Row],[Nsd (kN)]])</f>
        <v>N.S.</v>
      </c>
      <c r="AX111" s="4" t="str">
        <f ca="1">Asp_face(ESF[[#This Row],[nE]],ESF[[#This Row],[As,lado (cm²)]])</f>
        <v>N.S.</v>
      </c>
      <c r="AY111" s="5" t="str">
        <f ca="1">acoBloco(ESF[[#This Row],[nE]],ESF[[#This Row],[e (cm)]],ESF[[#This Row],[a (cm)]],ESF[[#This Row],[h (cm)]],ESF[[#This Row],[As,lado (cm²)]],ESF[[#This Row],[Asp e Asw (cm²/m)]],ESF[[#This Row],[As,sup (cm²)]],ESF[[#This Row],[As,malha (cm²)]],ESF[[#This Row],[As,susp,tot (cm²)]],ESF[[#This Row],[Asp,face (cm²)]])</f>
        <v>N.S.</v>
      </c>
      <c r="AZ111" s="4" t="str">
        <f ca="1">concretoBloco(ESF[[#This Row],[nE]],ESF[[#This Row],[e (cm)]],ESF[[#This Row],[a (cm)]],ESF[[#This Row],[h (cm)]])</f>
        <v>N.S.</v>
      </c>
      <c r="BA111" s="5">
        <f ca="1">SUM(ESF[[#This Row],[Aço Est (kg)]],ESF[[#This Row],[Aço Bloco (kg)]])</f>
        <v>7.8916807458175597</v>
      </c>
      <c r="BB111" s="4">
        <f>INDEX(composicoes[],MATCH(95580,composicoes[CÓDIGO],0),MATCH("CUSTO TOTAL",composicoes[#Headers],0))</f>
        <v>10.46</v>
      </c>
      <c r="BC111" s="4">
        <f ca="1">SUM(ESF[[#This Row],[Conc Est (m³)]],ESF[[#This Row],[Conc Bloco (m³)]])</f>
        <v>11.058406140636073</v>
      </c>
      <c r="BD111" s="4">
        <f>INDEX(composicoes[],MATCH(94966,composicoes[CÓDIGO],0),MATCH("CUSTO TOTAL",composicoes[#Headers],0))</f>
        <v>439.52</v>
      </c>
      <c r="BE111" s="38">
        <f ca="1">ESF[[#This Row],[Aço (kg)]]*ESF[[#This Row],[Aço (R$/kg)]]+ESF[[#This Row],[Conc (m³)]]*ESF[[#This Row],[Conc (R$/m³)]]</f>
        <v>4942.9376475336185</v>
      </c>
      <c r="BF111" s="4" t="str">
        <f ca="1">IF(COUNTIF(ESF[#This Row],"N.S.")&gt;0,"lim.","OK")</f>
        <v>lim.</v>
      </c>
      <c r="BG111" s="4" t="str">
        <f>IF(ESF[[#This Row],[Prof. (m)]]&lt;3,"lim.","OK")</f>
        <v>OK</v>
      </c>
      <c r="BH111" s="4" t="str">
        <f>IF(ESF[[#This Row],[Prof. (m)]]&gt;=8*ESF[[#This Row],[Ø (cm)]]/100,"OK","lim.")</f>
        <v>OK</v>
      </c>
      <c r="BI111" s="4" t="str">
        <f>IF(AND(SPT!$F$3&lt;&gt;"",ESF[[#This Row],[Prof. (m)]]&gt;=SPT!$F$3),"lim.","OK")</f>
        <v>OK</v>
      </c>
      <c r="BJ111" s="4" t="str">
        <f>IF(COUNTIFS(ESF[Solo],"Areia",ESF[Prof. (m)],"&lt;="&amp;ESF[[#This Row],[Prof. (m)]])&gt;=1,"lim.","OK")</f>
        <v>OK</v>
      </c>
      <c r="BK111" s="4" t="str">
        <f ca="1">IF(ESF[[#This Row],[Verif. Biela]]="OK","OK","lim.")</f>
        <v>OK</v>
      </c>
      <c r="BL111" s="4" t="str">
        <f ca="1">IF(COUNTA(ESF[[#This Row],[Nº Est.]:[Biela comp.]])=COUNTIF(ESF[[#This Row],[Nº Est.]:[Biela comp.]],"OK"),"OK","lim.")</f>
        <v>lim.</v>
      </c>
      <c r="BM111" s="4" t="str">
        <f ca="1">IF(ESF[[#This Row],[Controle]]="OK",ESF[[#This Row],[nE]]&amp;" Ø"&amp;ESF[[#This Row],[Ø (cm)]]&amp;"cm Prof. "&amp;ESF[[#This Row],[Prof. (m)]]&amp;" m","")</f>
        <v/>
      </c>
      <c r="BN111" s="4" t="str">
        <f ca="1">IF(ESF[[#This Row],[idDimensionamento]]="","",ESF[[#This Row],[idPilar]]&amp;ESF[[#This Row],[idDimensionamento]])</f>
        <v/>
      </c>
    </row>
    <row r="112" spans="2:66" x14ac:dyDescent="0.25">
      <c r="B112" s="12">
        <f>ROUNDUP((ROW(ESF[[#This Row],[idDiâmetro]])-ROW(ESF[[#Headers],[idDiâmetro]]))/(COUNT(SPT[Prof. (m)])*COUNT(PILARES[Pilar])),0)</f>
        <v>4</v>
      </c>
      <c r="C112" s="12">
        <f>IF(ESF[[#This Row],[idDiâmetro]]&lt;&gt;B111,1,IF(ESF[[#This Row],[Prof. (m)]]=0,C111+1,C111))</f>
        <v>2</v>
      </c>
      <c r="D112" s="1">
        <f>IFERROR(IF(D111=MAX(SPT[Prof. (m)]),0,D111+1),0)</f>
        <v>9</v>
      </c>
      <c r="E112" s="1">
        <f>INDEX(SPT[],MATCH(ESF[[#This Row],[Prof. (m)]],SPT[Prof. (m)],0),2)</f>
        <v>26</v>
      </c>
      <c r="F112" s="1" t="str">
        <f>INDEX(SPT[],MATCH(ESF[[#This Row],[Prof. (m)]],SPT[Prof. (m)],0),3)</f>
        <v>Areia siltosa</v>
      </c>
      <c r="G112" s="1">
        <f>INDEX(estacas[],ESF[[#This Row],[idDiâmetro]],MATCH($B$2,estacas[#Headers],0))</f>
        <v>40</v>
      </c>
      <c r="H112" s="1">
        <f>INDEX(estacas[],MATCH(ESF[[#This Row],[Ø (cm)]],estacas[Ø ESF (cm)],0),MATCH(ESF[[#Headers],[Pe ESF (kN)]],estacas[#Headers],0))</f>
        <v>640</v>
      </c>
      <c r="I112" s="4">
        <f>INDEX(K_alpha_C[],MATCH(ESF[[#This Row],[Solo]],K_alpha_C[Solo],0),2)</f>
        <v>0.8</v>
      </c>
      <c r="J112" s="5">
        <f>INDEX(K_alpha_C[],MATCH(ESF[[#This Row],[Solo]],K_alpha_C[Solo],0),3)</f>
        <v>2</v>
      </c>
      <c r="K112" s="4">
        <f>INDEX(F1_F2[],MATCH($D$2,F1_F2[Tipo de estaca],0),2)</f>
        <v>3</v>
      </c>
      <c r="L112" s="4">
        <f>INDEX(F1_F2[],MATCH($D$2,F1_F2[Tipo de estaca],0),3)</f>
        <v>6</v>
      </c>
      <c r="M112" s="4">
        <f>PI()*(ESF[[#This Row],[Ø (cm)]]/100)^2/4</f>
        <v>0.12566370614359174</v>
      </c>
      <c r="N112" s="4">
        <f>PI()*ESF[[#This Row],[Ø (cm)]]/100</f>
        <v>1.2566370614359172</v>
      </c>
      <c r="O112" s="4">
        <f>IF(ESF[[#This Row],[Prof. (m)]]=0,0,ESF[[#This Row],[α (%)]]/100*ESF[[#This Row],[K (MPa)]]*1000*ESF[[#This Row],[NSPT]])</f>
        <v>416</v>
      </c>
      <c r="P112" s="4">
        <f>IF(ESF[[#This Row],[Prof. (m)]]=0,0,(ESF[[#This Row],[K (MPa)]]*1000*ESF[[#This Row],[NSPT]]/ESF[[#This Row],[F1]]*ESF[[#This Row],[Ap (m²)]]+ESF[[#This Row],[U (m)]]/ESF[[#This Row],[F2]]*SUMIFS(ESF[(α∙K∙NL∙ΔL)],ESF[Prof. (m)],"&lt;="&amp;ESF[[#This Row],[Prof. (m)]],ESF[idDiâmetro],ESF[[#This Row],[idDiâmetro]],ESF[idPilar],ESF[[#This Row],[idPilar]]))/'DADOS CAP. CARGA'!$D$2)</f>
        <v>583.90688257171087</v>
      </c>
      <c r="Q112" s="12">
        <f>INDEX(C_alpha_beta[],MATCH(ESF[[#This Row],[Solo]],C_alpha_beta[Solo],0),MATCH(ESF[[#Headers],[C (kPa)]],C_alpha_beta[#Headers],0))</f>
        <v>400</v>
      </c>
      <c r="R112" s="4">
        <f>INDEX(C_alpha_beta[],MATCH(ESF[[#This Row],[Solo]],C_alpha_beta[Solo],0),MATCH(ESF[[#Headers],[α ESF]],C_alpha_beta[#Headers],0))</f>
        <v>0.5</v>
      </c>
      <c r="S112" s="4">
        <f>INDEX(C_alpha_beta[],MATCH(ESF[[#This Row],[Solo]],C_alpha_beta[Solo],0),MATCH(ESF[[#Headers],[β ESF]],C_alpha_beta[#Headers],0))</f>
        <v>0.5</v>
      </c>
      <c r="T112" s="4">
        <f>IF(ESF[[#This Row],[Prof. (m)]]=0,0,10*(ESF[[#This Row],[NSPT]]/3+1))</f>
        <v>96.666666666666657</v>
      </c>
      <c r="U112" s="4">
        <f>(ESF[[#This Row],[α ESF]]*ESF[[#This Row],[C (kPa)]]*ESF[[#This Row],[NSPT]]*ESF[[#This Row],[Ap (m²)]])/'DADOS CAP. CARGA'!$Q$2+(ESF[[#This Row],[β ESF]]*SUMIFS(ESF[10∙(NL/3+1)],ESF[Prof. (m)],"&lt;="&amp;ESF[[#This Row],[Prof. (m)]],ESF[idDiâmetro],ESF[[#This Row],[idDiâmetro]],ESF[idPilar],ESF[[#This Row],[idPilar]])*ESF[[#This Row],[U (m)]])/'DADOS CAP. CARGA'!$S$2</f>
        <v>294.26251188624394</v>
      </c>
      <c r="V112" s="4">
        <f>IF(SPT!$M$5=1,MIN(ESF[[#This Row],[Pe ESF (kN)]],ESF[[#This Row],[R_AV (kN)]]),IF(SPT!$M$5=2,MIN(ESF[[#This Row],[Pe ESF (kN)]],ESF[[#This Row],[R_DC (kN)]]),MIN(ESF[[#This Row],[Pe ESF (kN)]],ESF[[#This Row],[R_AV (kN)]],ESF[[#This Row],[R_DC (kN)]])))</f>
        <v>294.26251188624394</v>
      </c>
      <c r="W112" s="4">
        <f>INDEX(PILARES[],ESF[[#This Row],[idPilar]],MATCH("Carga (kN)",PILARES[#Headers],0))*1.4</f>
        <v>1750</v>
      </c>
      <c r="X112" s="12">
        <f>INDEX(PILARES[],ESF[[#This Row],[idPilar]],MATCH(ESF[[#Headers],[ap (cm)]],PILARES[#Headers],0))</f>
        <v>50</v>
      </c>
      <c r="Y112" s="12">
        <f>INDEX(PILARES[],ESF[[#This Row],[idPilar]],MATCH(ESF[[#Headers],[bp (cm)]],PILARES[#Headers],0))</f>
        <v>40</v>
      </c>
      <c r="Z112" s="4">
        <f>SQRT(ESF[[#This Row],[ap (cm)]]*ESF[[#This Row],[bp (cm)]])</f>
        <v>44.721359549995796</v>
      </c>
      <c r="AA112" s="12">
        <f>ESF[[#This Row],[ap (cm)]]*ESF[[#This Row],[bp (cm)]]</f>
        <v>2000</v>
      </c>
      <c r="AB112" s="12">
        <f ca="1">IF(ESF[[#This Row],[Padm∙ε (kN)]]&gt;=ESF[[#This Row],[Padm (kN)]],ROUNDUP(1.05*ESF[[#This Row],[Nsd (kN)]]/ESF[[#This Row],[Padm (kN)]],0),ROUNDUP(1.05*ESF[[#This Row],[Nsd (kN)]]/ESF[[#This Row],[Padm (kN)]],0)+1)</f>
        <v>7</v>
      </c>
      <c r="AC112" s="4" t="str">
        <f ca="1">IFERROR(IF(ESF[[#This Row],[nE]]=1,ESF[[#This Row],[Padm (kN)]],ESF[[#This Row],[Padm (kN)]]*ESF[[#This Row],[nE]]*INDEX(grupoEstacas[],ESF[[#This Row],[nE]],MATCH("ε",grupoEstacas[#Headers],0))),"N.S.")</f>
        <v>N.S.</v>
      </c>
      <c r="AD112" s="4">
        <f ca="1">1.05*ESF[[#This Row],[Nsd (kN)]]/(ESF[[#This Row],[nE]]*PI()*ESF[[#This Row],[Ø (cm)]]^2/4)*10</f>
        <v>2.0889086280811267</v>
      </c>
      <c r="AE112" s="4">
        <f ca="1">IF(ESF[[#This Row],[σ (MPa)]]&lt;INDEX(tipoEstaca[],MATCH($D$2,tipoEstaca[TIPO DE ESTACA],0),MATCH("σmáx (MPa)",tipoEstaca[#Headers],0)),0.4%*PI()*ESF[[#This Row],[Ø (cm)]]^2/4,"N.S.")</f>
        <v>5.026548245743669</v>
      </c>
      <c r="AF112" s="1">
        <f>INDEX(tipoEstaca[],MATCH($D$2,tipoEstaca[TIPO DE ESTACA],0),MATCH(ESF[[#Headers],[Comprimento (m)]],tipoEstaca[#Headers],0))</f>
        <v>2</v>
      </c>
      <c r="AG112" s="5">
        <f ca="1">ESF[[#This Row],[As,mín (cm²)]]/100^2*ESF[[#This Row],[Comprimento (m)]]*7850</f>
        <v>7.8916807458175597</v>
      </c>
      <c r="AH112" s="4">
        <f ca="1">ESF[[#This Row],[nE]]*ESF[[#This Row],[Prof. (m)]]*ESF[[#This Row],[Ap (m²)]]</f>
        <v>7.9168134870462792</v>
      </c>
      <c r="AI112" s="1">
        <f ca="1">IF(ESF[[#This Row],[nE]]=1,0,MAX(3*ESF[[#This Row],[Ø (cm)]],60))</f>
        <v>120</v>
      </c>
      <c r="AJ112" s="1">
        <f ca="1">IF(ESF[[#This Row],[nE]]=1,ESF[[#This Row],[Ø (cm)]]+2*10,MAX(1.5*ESF[[#This Row],[Ø (cm)]],ESF[[#This Row],[Ø (cm)]]+15))</f>
        <v>60</v>
      </c>
      <c r="AK112" s="1" t="str">
        <f ca="1">alturaUtil(ESF[[#This Row],[nE]],ESF[[#This Row],[Ø (cm)]],ESF[[#This Row],[e (cm)]],ESF[[#This Row],[ap,eq (cm)]])</f>
        <v>N.S.</v>
      </c>
      <c r="AL112" s="1" t="str">
        <f ca="1">IFERROR(ESF[[#This Row],[d (cm)]]+arredondarParaCimaMultiplo5cm(MAX(5,SQRT(PI())/2*ESF[[#This Row],[Ø (cm)]]/5)),"N.S.")</f>
        <v>N.S.</v>
      </c>
      <c r="AM112" s="5" t="str">
        <f ca="1">alpha(ESF[[#This Row],[nE]],ESF[[#This Row],[d (cm)]],ESF[[#This Row],[e (cm)]],ESF[[#This Row],[ap,eq (cm)]])</f>
        <v>N.S.</v>
      </c>
      <c r="AN112" s="35" t="str">
        <f ca="1">IFERROR(ESF[[#This Row],[Nsd (kN)]]/(ESF[[#This Row],[Ap (cm²)]]*SIN(ESF[[#This Row],[α]])^2),"N.S.")</f>
        <v>N.S.</v>
      </c>
      <c r="AO112" s="35" t="str">
        <f ca="1">IFERROR(ESF[[#This Row],[Nsd (kN)]]/(ESF[[#This Row],[nE]]*PI()*ESF[[#This Row],[Ø (cm)]]^2/4*SIN(ESF[[#This Row],[α]])^2),"N.S.")</f>
        <v>N.S.</v>
      </c>
      <c r="AP112" s="4" t="str">
        <f ca="1">IFERROR(INDEX(grupoEstacas[],ESF[[#This Row],[nE]],MATCH("coef. Blévot",grupoEstacas[#Headers],0)),"N.S.")</f>
        <v>N.S.</v>
      </c>
      <c r="AQ112" s="35" t="str">
        <f ca="1">IFERROR(ESF[[#This Row],[coef. Blévot]]*0.9*INDEX(tipoEstaca[],MATCH($D$2,tipoEstaca[TIPO DE ESTACA],0),MATCH("fcd (kN/cm²)",tipoEstaca[#Headers],0)),"N.S.")</f>
        <v>N.S.</v>
      </c>
      <c r="AR112" s="1" t="str">
        <f ca="1">IF(AND(ESF[[#This Row],[cd,b,pil (kN/cm²)]]&lt;=ESF[[#This Row],[cd,b,lim (kN/cm²)]],ESF[[#This Row],[cd,b,est (kN/cm²)]]&lt;=ESF[[#This Row],[cd,b,lim (kN/cm²)]]),"OK","ERRO")</f>
        <v>OK</v>
      </c>
      <c r="AS112" s="4" t="str">
        <f ca="1">As_lado(ESF[[#This Row],[nE]],ESF[[#This Row],[Nsd (kN)]],ESF[[#This Row],[d (cm)]],ESF[[#This Row],[e (cm)]],ESF[[#This Row],[ap,eq (cm)]])</f>
        <v>N.S.</v>
      </c>
      <c r="AT112" s="4" t="str">
        <f ca="1">IF(ESF[[#This Row],[nE]]=1,ESF[[#This Row],[As,lado (cm²)]],IF(ESF[[#This Row],[nE]]=2,0.075*2*ESF[a (cm)],"N.A."))</f>
        <v>N.A.</v>
      </c>
      <c r="AU112" s="4" t="str">
        <f ca="1">IFERROR(IF(ESF[[#This Row],[nE]]=1,"N.A.",0.2*ESF[[#This Row],[As,lado (cm²)]]),"N.S.")</f>
        <v>N.S.</v>
      </c>
      <c r="AV112" s="4" t="str">
        <f ca="1">As_malha(ESF[[#This Row],[nE]],ESF[[#This Row],[As,lado (cm²)]],ESF[[#This Row],[Nsd (kN)]])</f>
        <v>N.S.</v>
      </c>
      <c r="AW112" s="4" t="str">
        <f ca="1">As_susp_tot(ESF[[#This Row],[nE]],ESF[[#This Row],[Nsd (kN)]])</f>
        <v>N.S.</v>
      </c>
      <c r="AX112" s="4" t="str">
        <f ca="1">Asp_face(ESF[[#This Row],[nE]],ESF[[#This Row],[As,lado (cm²)]])</f>
        <v>N.S.</v>
      </c>
      <c r="AY112" s="5" t="str">
        <f ca="1">acoBloco(ESF[[#This Row],[nE]],ESF[[#This Row],[e (cm)]],ESF[[#This Row],[a (cm)]],ESF[[#This Row],[h (cm)]],ESF[[#This Row],[As,lado (cm²)]],ESF[[#This Row],[Asp e Asw (cm²/m)]],ESF[[#This Row],[As,sup (cm²)]],ESF[[#This Row],[As,malha (cm²)]],ESF[[#This Row],[As,susp,tot (cm²)]],ESF[[#This Row],[Asp,face (cm²)]])</f>
        <v>N.S.</v>
      </c>
      <c r="AZ112" s="4" t="str">
        <f ca="1">concretoBloco(ESF[[#This Row],[nE]],ESF[[#This Row],[e (cm)]],ESF[[#This Row],[a (cm)]],ESF[[#This Row],[h (cm)]])</f>
        <v>N.S.</v>
      </c>
      <c r="BA112" s="5">
        <f ca="1">SUM(ESF[[#This Row],[Aço Est (kg)]],ESF[[#This Row],[Aço Bloco (kg)]])</f>
        <v>7.8916807458175597</v>
      </c>
      <c r="BB112" s="4">
        <f>INDEX(composicoes[],MATCH(95580,composicoes[CÓDIGO],0),MATCH("CUSTO TOTAL",composicoes[#Headers],0))</f>
        <v>10.46</v>
      </c>
      <c r="BC112" s="4">
        <f ca="1">SUM(ESF[[#This Row],[Conc Est (m³)]],ESF[[#This Row],[Conc Bloco (m³)]])</f>
        <v>7.9168134870462792</v>
      </c>
      <c r="BD112" s="4">
        <f>INDEX(composicoes[],MATCH(94966,composicoes[CÓDIGO],0),MATCH("CUSTO TOTAL",composicoes[#Headers],0))</f>
        <v>439.52</v>
      </c>
      <c r="BE112" s="38">
        <f ca="1">ESF[[#This Row],[Aço (kg)]]*ESF[[#This Row],[Aço (R$/kg)]]+ESF[[#This Row],[Conc (m³)]]*ESF[[#This Row],[Conc (R$/m³)]]</f>
        <v>3562.1448444278321</v>
      </c>
      <c r="BF112" s="4" t="str">
        <f ca="1">IF(COUNTIF(ESF[#This Row],"N.S.")&gt;0,"lim.","OK")</f>
        <v>lim.</v>
      </c>
      <c r="BG112" s="4" t="str">
        <f>IF(ESF[[#This Row],[Prof. (m)]]&lt;3,"lim.","OK")</f>
        <v>OK</v>
      </c>
      <c r="BH112" s="4" t="str">
        <f>IF(ESF[[#This Row],[Prof. (m)]]&gt;=8*ESF[[#This Row],[Ø (cm)]]/100,"OK","lim.")</f>
        <v>OK</v>
      </c>
      <c r="BI112" s="4" t="str">
        <f>IF(AND(SPT!$F$3&lt;&gt;"",ESF[[#This Row],[Prof. (m)]]&gt;=SPT!$F$3),"lim.","OK")</f>
        <v>OK</v>
      </c>
      <c r="BJ112" s="4" t="str">
        <f>IF(COUNTIFS(ESF[Solo],"Areia",ESF[Prof. (m)],"&lt;="&amp;ESF[[#This Row],[Prof. (m)]])&gt;=1,"lim.","OK")</f>
        <v>OK</v>
      </c>
      <c r="BK112" s="4" t="str">
        <f ca="1">IF(ESF[[#This Row],[Verif. Biela]]="OK","OK","lim.")</f>
        <v>OK</v>
      </c>
      <c r="BL112" s="4" t="str">
        <f ca="1">IF(COUNTA(ESF[[#This Row],[Nº Est.]:[Biela comp.]])=COUNTIF(ESF[[#This Row],[Nº Est.]:[Biela comp.]],"OK"),"OK","lim.")</f>
        <v>lim.</v>
      </c>
      <c r="BM112" s="4" t="str">
        <f ca="1">IF(ESF[[#This Row],[Controle]]="OK",ESF[[#This Row],[nE]]&amp;" Ø"&amp;ESF[[#This Row],[Ø (cm)]]&amp;"cm Prof. "&amp;ESF[[#This Row],[Prof. (m)]]&amp;" m","")</f>
        <v/>
      </c>
      <c r="BN112" s="4" t="str">
        <f ca="1">IF(ESF[[#This Row],[idDimensionamento]]="","",ESF[[#This Row],[idPilar]]&amp;ESF[[#This Row],[idDimensionamento]])</f>
        <v/>
      </c>
    </row>
    <row r="113" spans="2:66" x14ac:dyDescent="0.25">
      <c r="B113" s="12">
        <f>ROUNDUP((ROW(ESF[[#This Row],[idDiâmetro]])-ROW(ESF[[#Headers],[idDiâmetro]]))/(COUNT(SPT[Prof. (m)])*COUNT(PILARES[Pilar])),0)</f>
        <v>4</v>
      </c>
      <c r="C113" s="12">
        <f>IF(ESF[[#This Row],[idDiâmetro]]&lt;&gt;B112,1,IF(ESF[[#This Row],[Prof. (m)]]=0,C112+1,C112))</f>
        <v>2</v>
      </c>
      <c r="D113" s="1">
        <f>IFERROR(IF(D112=MAX(SPT[Prof. (m)]),0,D112+1),0)</f>
        <v>10</v>
      </c>
      <c r="E113" s="1">
        <f>INDEX(SPT[],MATCH(ESF[[#This Row],[Prof. (m)]],SPT[Prof. (m)],0),2)</f>
        <v>32</v>
      </c>
      <c r="F113" s="1" t="str">
        <f>INDEX(SPT[],MATCH(ESF[[#This Row],[Prof. (m)]],SPT[Prof. (m)],0),3)</f>
        <v>Areia siltosa</v>
      </c>
      <c r="G113" s="1">
        <f>INDEX(estacas[],ESF[[#This Row],[idDiâmetro]],MATCH($B$2,estacas[#Headers],0))</f>
        <v>40</v>
      </c>
      <c r="H113" s="1">
        <f>INDEX(estacas[],MATCH(ESF[[#This Row],[Ø (cm)]],estacas[Ø ESF (cm)],0),MATCH(ESF[[#Headers],[Pe ESF (kN)]],estacas[#Headers],0))</f>
        <v>640</v>
      </c>
      <c r="I113" s="4">
        <f>INDEX(K_alpha_C[],MATCH(ESF[[#This Row],[Solo]],K_alpha_C[Solo],0),2)</f>
        <v>0.8</v>
      </c>
      <c r="J113" s="5">
        <f>INDEX(K_alpha_C[],MATCH(ESF[[#This Row],[Solo]],K_alpha_C[Solo],0),3)</f>
        <v>2</v>
      </c>
      <c r="K113" s="4">
        <f>INDEX(F1_F2[],MATCH($D$2,F1_F2[Tipo de estaca],0),2)</f>
        <v>3</v>
      </c>
      <c r="L113" s="4">
        <f>INDEX(F1_F2[],MATCH($D$2,F1_F2[Tipo de estaca],0),3)</f>
        <v>6</v>
      </c>
      <c r="M113" s="4">
        <f>PI()*(ESF[[#This Row],[Ø (cm)]]/100)^2/4</f>
        <v>0.12566370614359174</v>
      </c>
      <c r="N113" s="4">
        <f>PI()*ESF[[#This Row],[Ø (cm)]]/100</f>
        <v>1.2566370614359172</v>
      </c>
      <c r="O113" s="4">
        <f>IF(ESF[[#This Row],[Prof. (m)]]=0,0,ESF[[#This Row],[α (%)]]/100*ESF[[#This Row],[K (MPa)]]*1000*ESF[[#This Row],[NSPT]])</f>
        <v>512</v>
      </c>
      <c r="P113" s="4">
        <f>IF(ESF[[#This Row],[Prof. (m)]]=0,0,(ESF[[#This Row],[K (MPa)]]*1000*ESF[[#This Row],[NSPT]]/ESF[[#This Row],[F1]]*ESF[[#This Row],[Ap (m²)]]+ESF[[#This Row],[U (m)]]/ESF[[#This Row],[F2]]*SUMIFS(ESF[(α∙K∙NL∙ΔL)],ESF[Prof. (m)],"&lt;="&amp;ESF[[#This Row],[Prof. (m)]],ESF[idDiâmetro],ESF[[#This Row],[idDiâmetro]],ESF[idPilar],ESF[[#This Row],[idPilar]]))/'DADOS CAP. CARGA'!$D$2)</f>
        <v>738.05436210785024</v>
      </c>
      <c r="Q113" s="12">
        <f>INDEX(C_alpha_beta[],MATCH(ESF[[#This Row],[Solo]],C_alpha_beta[Solo],0),MATCH(ESF[[#Headers],[C (kPa)]],C_alpha_beta[#Headers],0))</f>
        <v>400</v>
      </c>
      <c r="R113" s="4">
        <f>INDEX(C_alpha_beta[],MATCH(ESF[[#This Row],[Solo]],C_alpha_beta[Solo],0),MATCH(ESF[[#Headers],[α ESF]],C_alpha_beta[#Headers],0))</f>
        <v>0.5</v>
      </c>
      <c r="S113" s="4">
        <f>INDEX(C_alpha_beta[],MATCH(ESF[[#This Row],[Solo]],C_alpha_beta[Solo],0),MATCH(ESF[[#Headers],[β ESF]],C_alpha_beta[#Headers],0))</f>
        <v>0.5</v>
      </c>
      <c r="T113" s="4">
        <f>IF(ESF[[#This Row],[Prof. (m)]]=0,0,10*(ESF[[#This Row],[NSPT]]/3+1))</f>
        <v>116.66666666666666</v>
      </c>
      <c r="U113" s="4">
        <f>(ESF[[#This Row],[α ESF]]*ESF[[#This Row],[C (kPa)]]*ESF[[#This Row],[NSPT]]*ESF[[#This Row],[Ap (m²)]])/'DADOS CAP. CARGA'!$Q$2+(ESF[[#This Row],[β ESF]]*SUMIFS(ESF[10∙(NL/3+1)],ESF[Prof. (m)],"&lt;="&amp;ESF[[#This Row],[Prof. (m)]],ESF[idDiâmetro],ESF[[#This Row],[idDiâmetro]],ESF[idPilar],ESF[[#This Row],[idPilar]])*ESF[[#This Row],[U (m)]])/'DADOS CAP. CARGA'!$S$2</f>
        <v>368.61353802120243</v>
      </c>
      <c r="V113" s="4">
        <f>IF(SPT!$M$5=1,MIN(ESF[[#This Row],[Pe ESF (kN)]],ESF[[#This Row],[R_AV (kN)]]),IF(SPT!$M$5=2,MIN(ESF[[#This Row],[Pe ESF (kN)]],ESF[[#This Row],[R_DC (kN)]]),MIN(ESF[[#This Row],[Pe ESF (kN)]],ESF[[#This Row],[R_AV (kN)]],ESF[[#This Row],[R_DC (kN)]])))</f>
        <v>368.61353802120243</v>
      </c>
      <c r="W113" s="4">
        <f>INDEX(PILARES[],ESF[[#This Row],[idPilar]],MATCH("Carga (kN)",PILARES[#Headers],0))*1.4</f>
        <v>1750</v>
      </c>
      <c r="X113" s="12">
        <f>INDEX(PILARES[],ESF[[#This Row],[idPilar]],MATCH(ESF[[#Headers],[ap (cm)]],PILARES[#Headers],0))</f>
        <v>50</v>
      </c>
      <c r="Y113" s="12">
        <f>INDEX(PILARES[],ESF[[#This Row],[idPilar]],MATCH(ESF[[#Headers],[bp (cm)]],PILARES[#Headers],0))</f>
        <v>40</v>
      </c>
      <c r="Z113" s="4">
        <f>SQRT(ESF[[#This Row],[ap (cm)]]*ESF[[#This Row],[bp (cm)]])</f>
        <v>44.721359549995796</v>
      </c>
      <c r="AA113" s="12">
        <f>ESF[[#This Row],[ap (cm)]]*ESF[[#This Row],[bp (cm)]]</f>
        <v>2000</v>
      </c>
      <c r="AB113" s="12">
        <f ca="1">IF(ESF[[#This Row],[Padm∙ε (kN)]]&gt;=ESF[[#This Row],[Padm (kN)]],ROUNDUP(1.05*ESF[[#This Row],[Nsd (kN)]]/ESF[[#This Row],[Padm (kN)]],0),ROUNDUP(1.05*ESF[[#This Row],[Nsd (kN)]]/ESF[[#This Row],[Padm (kN)]],0)+1)</f>
        <v>5</v>
      </c>
      <c r="AC113" s="4" t="str">
        <f ca="1">IFERROR(IF(ESF[[#This Row],[nE]]=1,ESF[[#This Row],[Padm (kN)]],ESF[[#This Row],[Padm (kN)]]*ESF[[#This Row],[nE]]*INDEX(grupoEstacas[],ESF[[#This Row],[nE]],MATCH("ε",grupoEstacas[#Headers],0))),"N.S.")</f>
        <v>N.S.</v>
      </c>
      <c r="AD113" s="4">
        <f ca="1">1.05*ESF[[#This Row],[Nsd (kN)]]/(ESF[[#This Row],[nE]]*PI()*ESF[[#This Row],[Ø (cm)]]^2/4)*10</f>
        <v>2.9244720793135768</v>
      </c>
      <c r="AE113" s="4">
        <f ca="1">IF(ESF[[#This Row],[σ (MPa)]]&lt;INDEX(tipoEstaca[],MATCH($D$2,tipoEstaca[TIPO DE ESTACA],0),MATCH("σmáx (MPa)",tipoEstaca[#Headers],0)),0.4%*PI()*ESF[[#This Row],[Ø (cm)]]^2/4,"N.S.")</f>
        <v>5.026548245743669</v>
      </c>
      <c r="AF113" s="1">
        <f>INDEX(tipoEstaca[],MATCH($D$2,tipoEstaca[TIPO DE ESTACA],0),MATCH(ESF[[#Headers],[Comprimento (m)]],tipoEstaca[#Headers],0))</f>
        <v>2</v>
      </c>
      <c r="AG113" s="5">
        <f ca="1">ESF[[#This Row],[As,mín (cm²)]]/100^2*ESF[[#This Row],[Comprimento (m)]]*7850</f>
        <v>7.8916807458175597</v>
      </c>
      <c r="AH113" s="4">
        <f ca="1">ESF[[#This Row],[nE]]*ESF[[#This Row],[Prof. (m)]]*ESF[[#This Row],[Ap (m²)]]</f>
        <v>6.2831853071795871</v>
      </c>
      <c r="AI113" s="1">
        <f ca="1">IF(ESF[[#This Row],[nE]]=1,0,MAX(3*ESF[[#This Row],[Ø (cm)]],60))</f>
        <v>120</v>
      </c>
      <c r="AJ113" s="1">
        <f ca="1">IF(ESF[[#This Row],[nE]]=1,ESF[[#This Row],[Ø (cm)]]+2*10,MAX(1.5*ESF[[#This Row],[Ø (cm)]],ESF[[#This Row],[Ø (cm)]]+15))</f>
        <v>60</v>
      </c>
      <c r="AK113" s="1" t="str">
        <f ca="1">alturaUtil(ESF[[#This Row],[nE]],ESF[[#This Row],[Ø (cm)]],ESF[[#This Row],[e (cm)]],ESF[[#This Row],[ap,eq (cm)]])</f>
        <v>N.S.</v>
      </c>
      <c r="AL113" s="1" t="str">
        <f ca="1">IFERROR(ESF[[#This Row],[d (cm)]]+arredondarParaCimaMultiplo5cm(MAX(5,SQRT(PI())/2*ESF[[#This Row],[Ø (cm)]]/5)),"N.S.")</f>
        <v>N.S.</v>
      </c>
      <c r="AM113" s="5" t="str">
        <f ca="1">alpha(ESF[[#This Row],[nE]],ESF[[#This Row],[d (cm)]],ESF[[#This Row],[e (cm)]],ESF[[#This Row],[ap,eq (cm)]])</f>
        <v>N.S.</v>
      </c>
      <c r="AN113" s="35" t="str">
        <f ca="1">IFERROR(ESF[[#This Row],[Nsd (kN)]]/(ESF[[#This Row],[Ap (cm²)]]*SIN(ESF[[#This Row],[α]])^2),"N.S.")</f>
        <v>N.S.</v>
      </c>
      <c r="AO113" s="35" t="str">
        <f ca="1">IFERROR(ESF[[#This Row],[Nsd (kN)]]/(ESF[[#This Row],[nE]]*PI()*ESF[[#This Row],[Ø (cm)]]^2/4*SIN(ESF[[#This Row],[α]])^2),"N.S.")</f>
        <v>N.S.</v>
      </c>
      <c r="AP113" s="4" t="str">
        <f ca="1">IFERROR(INDEX(grupoEstacas[],ESF[[#This Row],[nE]],MATCH("coef. Blévot",grupoEstacas[#Headers],0)),"N.S.")</f>
        <v>N.S.</v>
      </c>
      <c r="AQ113" s="35" t="str">
        <f ca="1">IFERROR(ESF[[#This Row],[coef. Blévot]]*0.9*INDEX(tipoEstaca[],MATCH($D$2,tipoEstaca[TIPO DE ESTACA],0),MATCH("fcd (kN/cm²)",tipoEstaca[#Headers],0)),"N.S.")</f>
        <v>N.S.</v>
      </c>
      <c r="AR113" s="1" t="str">
        <f ca="1">IF(AND(ESF[[#This Row],[cd,b,pil (kN/cm²)]]&lt;=ESF[[#This Row],[cd,b,lim (kN/cm²)]],ESF[[#This Row],[cd,b,est (kN/cm²)]]&lt;=ESF[[#This Row],[cd,b,lim (kN/cm²)]]),"OK","ERRO")</f>
        <v>OK</v>
      </c>
      <c r="AS113" s="4" t="str">
        <f ca="1">As_lado(ESF[[#This Row],[nE]],ESF[[#This Row],[Nsd (kN)]],ESF[[#This Row],[d (cm)]],ESF[[#This Row],[e (cm)]],ESF[[#This Row],[ap,eq (cm)]])</f>
        <v>N.S.</v>
      </c>
      <c r="AT113" s="4" t="str">
        <f ca="1">IF(ESF[[#This Row],[nE]]=1,ESF[[#This Row],[As,lado (cm²)]],IF(ESF[[#This Row],[nE]]=2,0.075*2*ESF[a (cm)],"N.A."))</f>
        <v>N.A.</v>
      </c>
      <c r="AU113" s="4" t="str">
        <f ca="1">IFERROR(IF(ESF[[#This Row],[nE]]=1,"N.A.",0.2*ESF[[#This Row],[As,lado (cm²)]]),"N.S.")</f>
        <v>N.S.</v>
      </c>
      <c r="AV113" s="4" t="str">
        <f ca="1">As_malha(ESF[[#This Row],[nE]],ESF[[#This Row],[As,lado (cm²)]],ESF[[#This Row],[Nsd (kN)]])</f>
        <v>N.S.</v>
      </c>
      <c r="AW113" s="4" t="str">
        <f ca="1">As_susp_tot(ESF[[#This Row],[nE]],ESF[[#This Row],[Nsd (kN)]])</f>
        <v>N.S.</v>
      </c>
      <c r="AX113" s="4" t="str">
        <f ca="1">Asp_face(ESF[[#This Row],[nE]],ESF[[#This Row],[As,lado (cm²)]])</f>
        <v>N.S.</v>
      </c>
      <c r="AY113" s="5" t="str">
        <f ca="1">acoBloco(ESF[[#This Row],[nE]],ESF[[#This Row],[e (cm)]],ESF[[#This Row],[a (cm)]],ESF[[#This Row],[h (cm)]],ESF[[#This Row],[As,lado (cm²)]],ESF[[#This Row],[Asp e Asw (cm²/m)]],ESF[[#This Row],[As,sup (cm²)]],ESF[[#This Row],[As,malha (cm²)]],ESF[[#This Row],[As,susp,tot (cm²)]],ESF[[#This Row],[Asp,face (cm²)]])</f>
        <v>N.S.</v>
      </c>
      <c r="AZ113" s="4" t="str">
        <f ca="1">concretoBloco(ESF[[#This Row],[nE]],ESF[[#This Row],[e (cm)]],ESF[[#This Row],[a (cm)]],ESF[[#This Row],[h (cm)]])</f>
        <v>N.S.</v>
      </c>
      <c r="BA113" s="5">
        <f ca="1">SUM(ESF[[#This Row],[Aço Est (kg)]],ESF[[#This Row],[Aço Bloco (kg)]])</f>
        <v>7.8916807458175597</v>
      </c>
      <c r="BB113" s="4">
        <f>INDEX(composicoes[],MATCH(95580,composicoes[CÓDIGO],0),MATCH("CUSTO TOTAL",composicoes[#Headers],0))</f>
        <v>10.46</v>
      </c>
      <c r="BC113" s="4">
        <f ca="1">SUM(ESF[[#This Row],[Conc Est (m³)]],ESF[[#This Row],[Conc Bloco (m³)]])</f>
        <v>6.2831853071795871</v>
      </c>
      <c r="BD113" s="4">
        <f>INDEX(composicoes[],MATCH(94966,composicoes[CÓDIGO],0),MATCH("CUSTO TOTAL",composicoes[#Headers],0))</f>
        <v>439.52</v>
      </c>
      <c r="BE113" s="38">
        <f ca="1">ESF[[#This Row],[Aço (kg)]]*ESF[[#This Row],[Aço (R$/kg)]]+ESF[[#This Row],[Conc (m³)]]*ESF[[#This Row],[Conc (R$/m³)]]</f>
        <v>2844.1325868128238</v>
      </c>
      <c r="BF113" s="4" t="str">
        <f ca="1">IF(COUNTIF(ESF[#This Row],"N.S.")&gt;0,"lim.","OK")</f>
        <v>lim.</v>
      </c>
      <c r="BG113" s="4" t="str">
        <f>IF(ESF[[#This Row],[Prof. (m)]]&lt;3,"lim.","OK")</f>
        <v>OK</v>
      </c>
      <c r="BH113" s="4" t="str">
        <f>IF(ESF[[#This Row],[Prof. (m)]]&gt;=8*ESF[[#This Row],[Ø (cm)]]/100,"OK","lim.")</f>
        <v>OK</v>
      </c>
      <c r="BI113" s="4" t="str">
        <f>IF(AND(SPT!$F$3&lt;&gt;"",ESF[[#This Row],[Prof. (m)]]&gt;=SPT!$F$3),"lim.","OK")</f>
        <v>OK</v>
      </c>
      <c r="BJ113" s="4" t="str">
        <f>IF(COUNTIFS(ESF[Solo],"Areia",ESF[Prof. (m)],"&lt;="&amp;ESF[[#This Row],[Prof. (m)]])&gt;=1,"lim.","OK")</f>
        <v>OK</v>
      </c>
      <c r="BK113" s="4" t="str">
        <f ca="1">IF(ESF[[#This Row],[Verif. Biela]]="OK","OK","lim.")</f>
        <v>OK</v>
      </c>
      <c r="BL113" s="4" t="str">
        <f ca="1">IF(COUNTA(ESF[[#This Row],[Nº Est.]:[Biela comp.]])=COUNTIF(ESF[[#This Row],[Nº Est.]:[Biela comp.]],"OK"),"OK","lim.")</f>
        <v>lim.</v>
      </c>
      <c r="BM113" s="4" t="str">
        <f ca="1">IF(ESF[[#This Row],[Controle]]="OK",ESF[[#This Row],[nE]]&amp;" Ø"&amp;ESF[[#This Row],[Ø (cm)]]&amp;"cm Prof. "&amp;ESF[[#This Row],[Prof. (m)]]&amp;" m","")</f>
        <v/>
      </c>
      <c r="BN113" s="4" t="str">
        <f ca="1">IF(ESF[[#This Row],[idDimensionamento]]="","",ESF[[#This Row],[idPilar]]&amp;ESF[[#This Row],[idDimensionamento]])</f>
        <v/>
      </c>
    </row>
    <row r="114" spans="2:66" x14ac:dyDescent="0.25">
      <c r="B114" s="12">
        <f>ROUNDUP((ROW(ESF[[#This Row],[idDiâmetro]])-ROW(ESF[[#Headers],[idDiâmetro]]))/(COUNT(SPT[Prof. (m)])*COUNT(PILARES[Pilar])),0)</f>
        <v>4</v>
      </c>
      <c r="C114" s="12">
        <f>IF(ESF[[#This Row],[idDiâmetro]]&lt;&gt;B113,1,IF(ESF[[#This Row],[Prof. (m)]]=0,C113+1,C113))</f>
        <v>2</v>
      </c>
      <c r="D114" s="1">
        <f>IFERROR(IF(D113=MAX(SPT[Prof. (m)]),0,D113+1),0)</f>
        <v>11</v>
      </c>
      <c r="E114" s="1">
        <f>INDEX(SPT[],MATCH(ESF[[#This Row],[Prof. (m)]],SPT[Prof. (m)],0),2)</f>
        <v>41</v>
      </c>
      <c r="F114" s="1" t="str">
        <f>INDEX(SPT[],MATCH(ESF[[#This Row],[Prof. (m)]],SPT[Prof. (m)],0),3)</f>
        <v>Areia siltosa</v>
      </c>
      <c r="G114" s="1">
        <f>INDEX(estacas[],ESF[[#This Row],[idDiâmetro]],MATCH($B$2,estacas[#Headers],0))</f>
        <v>40</v>
      </c>
      <c r="H114" s="1">
        <f>INDEX(estacas[],MATCH(ESF[[#This Row],[Ø (cm)]],estacas[Ø ESF (cm)],0),MATCH(ESF[[#Headers],[Pe ESF (kN)]],estacas[#Headers],0))</f>
        <v>640</v>
      </c>
      <c r="I114" s="4">
        <f>INDEX(K_alpha_C[],MATCH(ESF[[#This Row],[Solo]],K_alpha_C[Solo],0),2)</f>
        <v>0.8</v>
      </c>
      <c r="J114" s="5">
        <f>INDEX(K_alpha_C[],MATCH(ESF[[#This Row],[Solo]],K_alpha_C[Solo],0),3)</f>
        <v>2</v>
      </c>
      <c r="K114" s="4">
        <f>INDEX(F1_F2[],MATCH($D$2,F1_F2[Tipo de estaca],0),2)</f>
        <v>3</v>
      </c>
      <c r="L114" s="4">
        <f>INDEX(F1_F2[],MATCH($D$2,F1_F2[Tipo de estaca],0),3)</f>
        <v>6</v>
      </c>
      <c r="M114" s="4">
        <f>PI()*(ESF[[#This Row],[Ø (cm)]]/100)^2/4</f>
        <v>0.12566370614359174</v>
      </c>
      <c r="N114" s="4">
        <f>PI()*ESF[[#This Row],[Ø (cm)]]/100</f>
        <v>1.2566370614359172</v>
      </c>
      <c r="O114" s="4">
        <f>IF(ESF[[#This Row],[Prof. (m)]]=0,0,ESF[[#This Row],[α (%)]]/100*ESF[[#This Row],[K (MPa)]]*1000*ESF[[#This Row],[NSPT]])</f>
        <v>656</v>
      </c>
      <c r="P114" s="4">
        <f>IF(ESF[[#This Row],[Prof. (m)]]=0,0,(ESF[[#This Row],[K (MPa)]]*1000*ESF[[#This Row],[NSPT]]/ESF[[#This Row],[F1]]*ESF[[#This Row],[Ap (m²)]]+ESF[[#This Row],[U (m)]]/ESF[[#This Row],[F2]]*SUMIFS(ESF[(α∙K∙NL∙ΔL)],ESF[Prof. (m)],"&lt;="&amp;ESF[[#This Row],[Prof. (m)]],ESF[idDiâmetro],ESF[[#This Row],[idDiâmetro]],ESF[idPilar],ESF[[#This Row],[idPilar]]))/'DADOS CAP. CARGA'!$D$2)</f>
        <v>957.54696883865711</v>
      </c>
      <c r="Q114" s="12">
        <f>INDEX(C_alpha_beta[],MATCH(ESF[[#This Row],[Solo]],C_alpha_beta[Solo],0),MATCH(ESF[[#Headers],[C (kPa)]],C_alpha_beta[#Headers],0))</f>
        <v>400</v>
      </c>
      <c r="R114" s="4">
        <f>INDEX(C_alpha_beta[],MATCH(ESF[[#This Row],[Solo]],C_alpha_beta[Solo],0),MATCH(ESF[[#Headers],[α ESF]],C_alpha_beta[#Headers],0))</f>
        <v>0.5</v>
      </c>
      <c r="S114" s="4">
        <f>INDEX(C_alpha_beta[],MATCH(ESF[[#This Row],[Solo]],C_alpha_beta[Solo],0),MATCH(ESF[[#Headers],[β ESF]],C_alpha_beta[#Headers],0))</f>
        <v>0.5</v>
      </c>
      <c r="T114" s="4">
        <f>IF(ESF[[#This Row],[Prof. (m)]]=0,0,10*(ESF[[#This Row],[NSPT]]/3+1))</f>
        <v>146.66666666666666</v>
      </c>
      <c r="U114" s="4">
        <f>(ESF[[#This Row],[α ESF]]*ESF[[#This Row],[C (kPa)]]*ESF[[#This Row],[NSPT]]*ESF[[#This Row],[Ap (m²)]])/'DADOS CAP. CARGA'!$Q$2+(ESF[[#This Row],[β ESF]]*SUMIFS(ESF[10∙(NL/3+1)],ESF[Prof. (m)],"&lt;="&amp;ESF[[#This Row],[Prof. (m)]],ESF[idDiâmetro],ESF[[#This Row],[idDiâmetro]],ESF[idPilar],ESF[[#This Row],[idPilar]])*ESF[[#This Row],[U (m)]])/'DADOS CAP. CARGA'!$S$2</f>
        <v>471.23889803846896</v>
      </c>
      <c r="V114" s="4">
        <f>IF(SPT!$M$5=1,MIN(ESF[[#This Row],[Pe ESF (kN)]],ESF[[#This Row],[R_AV (kN)]]),IF(SPT!$M$5=2,MIN(ESF[[#This Row],[Pe ESF (kN)]],ESF[[#This Row],[R_DC (kN)]]),MIN(ESF[[#This Row],[Pe ESF (kN)]],ESF[[#This Row],[R_AV (kN)]],ESF[[#This Row],[R_DC (kN)]])))</f>
        <v>471.23889803846896</v>
      </c>
      <c r="W114" s="4">
        <f>INDEX(PILARES[],ESF[[#This Row],[idPilar]],MATCH("Carga (kN)",PILARES[#Headers],0))*1.4</f>
        <v>1750</v>
      </c>
      <c r="X114" s="12">
        <f>INDEX(PILARES[],ESF[[#This Row],[idPilar]],MATCH(ESF[[#Headers],[ap (cm)]],PILARES[#Headers],0))</f>
        <v>50</v>
      </c>
      <c r="Y114" s="12">
        <f>INDEX(PILARES[],ESF[[#This Row],[idPilar]],MATCH(ESF[[#Headers],[bp (cm)]],PILARES[#Headers],0))</f>
        <v>40</v>
      </c>
      <c r="Z114" s="4">
        <f>SQRT(ESF[[#This Row],[ap (cm)]]*ESF[[#This Row],[bp (cm)]])</f>
        <v>44.721359549995796</v>
      </c>
      <c r="AA114" s="12">
        <f>ESF[[#This Row],[ap (cm)]]*ESF[[#This Row],[bp (cm)]]</f>
        <v>2000</v>
      </c>
      <c r="AB114" s="12">
        <f ca="1">IF(ESF[[#This Row],[Padm∙ε (kN)]]&gt;=ESF[[#This Row],[Padm (kN)]],ROUNDUP(1.05*ESF[[#This Row],[Nsd (kN)]]/ESF[[#This Row],[Padm (kN)]],0),ROUNDUP(1.05*ESF[[#This Row],[Nsd (kN)]]/ESF[[#This Row],[Padm (kN)]],0)+1)</f>
        <v>4</v>
      </c>
      <c r="AC114" s="4">
        <f ca="1">IFERROR(IF(ESF[[#This Row],[nE]]=1,ESF[[#This Row],[Padm (kN)]],ESF[[#This Row],[Padm (kN)]]*ESF[[#This Row],[nE]]*INDEX(grupoEstacas[],ESF[[#This Row],[nE]],MATCH("ε",grupoEstacas[#Headers],0))),"N.S.")</f>
        <v>1531.5264186250242</v>
      </c>
      <c r="AD114" s="4">
        <f ca="1">1.05*ESF[[#This Row],[Nsd (kN)]]/(ESF[[#This Row],[nE]]*PI()*ESF[[#This Row],[Ø (cm)]]^2/4)*10</f>
        <v>3.6555900991419712</v>
      </c>
      <c r="AE114" s="4">
        <f ca="1">IF(ESF[[#This Row],[σ (MPa)]]&lt;INDEX(tipoEstaca[],MATCH($D$2,tipoEstaca[TIPO DE ESTACA],0),MATCH("σmáx (MPa)",tipoEstaca[#Headers],0)),0.4%*PI()*ESF[[#This Row],[Ø (cm)]]^2/4,"N.S.")</f>
        <v>5.026548245743669</v>
      </c>
      <c r="AF114" s="1">
        <f>INDEX(tipoEstaca[],MATCH($D$2,tipoEstaca[TIPO DE ESTACA],0),MATCH(ESF[[#Headers],[Comprimento (m)]],tipoEstaca[#Headers],0))</f>
        <v>2</v>
      </c>
      <c r="AG114" s="5">
        <f ca="1">ESF[[#This Row],[As,mín (cm²)]]/100^2*ESF[[#This Row],[Comprimento (m)]]*7850</f>
        <v>7.8916807458175597</v>
      </c>
      <c r="AH114" s="4">
        <f ca="1">ESF[[#This Row],[nE]]*ESF[[#This Row],[Prof. (m)]]*ESF[[#This Row],[Ap (m²)]]</f>
        <v>5.5292030703180366</v>
      </c>
      <c r="AI114" s="1">
        <f ca="1">IF(ESF[[#This Row],[nE]]=1,0,MAX(3*ESF[[#This Row],[Ø (cm)]],60))</f>
        <v>120</v>
      </c>
      <c r="AJ114" s="1">
        <f ca="1">IF(ESF[[#This Row],[nE]]=1,ESF[[#This Row],[Ø (cm)]]+2*10,MAX(1.5*ESF[[#This Row],[Ø (cm)]],ESF[[#This Row],[Ø (cm)]]+15))</f>
        <v>60</v>
      </c>
      <c r="AK114" s="1">
        <f ca="1">alturaUtil(ESF[[#This Row],[nE]],ESF[[#This Row],[Ø (cm)]],ESF[[#This Row],[e (cm)]],ESF[[#This Row],[ap,eq (cm)]])</f>
        <v>50</v>
      </c>
      <c r="AL114" s="1">
        <f ca="1">IFERROR(ESF[[#This Row],[d (cm)]]+arredondarParaCimaMultiplo5cm(MAX(5,SQRT(PI())/2*ESF[[#This Row],[Ø (cm)]]/5)),"N.S.")</f>
        <v>60</v>
      </c>
      <c r="AM114" s="5">
        <f ca="1">alpha(ESF[[#This Row],[nE]],ESF[[#This Row],[d (cm)]],ESF[[#This Row],[e (cm)]],ESF[[#This Row],[ap,eq (cm)]])</f>
        <v>45.684330203076314</v>
      </c>
      <c r="AN114" s="35">
        <f ca="1">IFERROR(ESF[[#This Row],[Nsd (kN)]]/(ESF[[#This Row],[Ap (cm²)]]*SIN(ESF[[#This Row],[α]])^2),"N.S.")</f>
        <v>0.89024493430205986</v>
      </c>
      <c r="AO114" s="35">
        <f ca="1">IFERROR(ESF[[#This Row],[Nsd (kN)]]/(ESF[[#This Row],[nE]]*PI()*ESF[[#This Row],[Ø (cm)]]^2/4*SIN(ESF[[#This Row],[α]])^2),"N.S.")</f>
        <v>0.35421720464173106</v>
      </c>
      <c r="AP114" s="4">
        <f ca="1">IFERROR(INDEX(grupoEstacas[],ESF[[#This Row],[nE]],MATCH("coef. Blévot",grupoEstacas[#Headers],0)),"N.S.")</f>
        <v>2.1</v>
      </c>
      <c r="AQ114" s="35">
        <f ca="1">IFERROR(ESF[[#This Row],[coef. Blévot]]*0.9*INDEX(tipoEstaca[],MATCH($D$2,tipoEstaca[TIPO DE ESTACA],0),MATCH("fcd (kN/cm²)",tipoEstaca[#Headers],0)),"N.S.")</f>
        <v>1.5120000000000002</v>
      </c>
      <c r="AR114" s="1" t="str">
        <f ca="1">IF(AND(ESF[[#This Row],[cd,b,pil (kN/cm²)]]&lt;=ESF[[#This Row],[cd,b,lim (kN/cm²)]],ESF[[#This Row],[cd,b,est (kN/cm²)]]&lt;=ESF[[#This Row],[cd,b,lim (kN/cm²)]]),"OK","ERRO")</f>
        <v>OK</v>
      </c>
      <c r="AS114" s="4">
        <f ca="1">As_lado(ESF[[#This Row],[nE]],ESF[[#This Row],[Nsd (kN)]],ESF[[#This Row],[d (cm)]],ESF[[#This Row],[e (cm)]],ESF[[#This Row],[ap,eq (cm)]])</f>
        <v>9.8249565976408366</v>
      </c>
      <c r="AT114" s="4" t="str">
        <f ca="1">IF(ESF[[#This Row],[nE]]=1,ESF[[#This Row],[As,lado (cm²)]],IF(ESF[[#This Row],[nE]]=2,0.075*2*ESF[a (cm)],"N.A."))</f>
        <v>N.A.</v>
      </c>
      <c r="AU114" s="4">
        <f ca="1">IFERROR(IF(ESF[[#This Row],[nE]]=1,"N.A.",0.2*ESF[[#This Row],[As,lado (cm²)]]),"N.S.")</f>
        <v>1.9649913195281674</v>
      </c>
      <c r="AV114" s="4">
        <f ca="1">As_malha(ESF[[#This Row],[nE]],ESF[[#This Row],[As,lado (cm²)]],ESF[[#This Row],[Nsd (kN)]])</f>
        <v>1.9649913195281674</v>
      </c>
      <c r="AW114" s="4">
        <f ca="1">As_susp_tot(ESF[[#This Row],[nE]],ESF[[#This Row],[Nsd (kN)]])</f>
        <v>6.708333333333333</v>
      </c>
      <c r="AX114" s="4">
        <f ca="1">Asp_face(ESF[[#This Row],[nE]],ESF[[#This Row],[As,lado (cm²)]])</f>
        <v>4.9124782988204183</v>
      </c>
      <c r="AY114" s="5">
        <f ca="1">acoBloco(ESF[[#This Row],[nE]],ESF[[#This Row],[e (cm)]],ESF[[#This Row],[a (cm)]],ESF[[#This Row],[h (cm)]],ESF[[#This Row],[As,lado (cm²)]],ESF[[#This Row],[Asp e Asw (cm²/m)]],ESF[[#This Row],[As,sup (cm²)]],ESF[[#This Row],[As,malha (cm²)]],ESF[[#This Row],[As,susp,tot (cm²)]],ESF[[#This Row],[Asp,face (cm²)]])</f>
        <v>136.43319625567841</v>
      </c>
      <c r="AZ114" s="4">
        <f ca="1">concretoBloco(ESF[[#This Row],[nE]],ESF[[#This Row],[e (cm)]],ESF[[#This Row],[a (cm)]],ESF[[#This Row],[h (cm)]])</f>
        <v>3.456</v>
      </c>
      <c r="BA114" s="5">
        <f ca="1">SUM(ESF[[#This Row],[Aço Est (kg)]],ESF[[#This Row],[Aço Bloco (kg)]])</f>
        <v>144.32487700149596</v>
      </c>
      <c r="BB114" s="4">
        <f>INDEX(composicoes[],MATCH(95580,composicoes[CÓDIGO],0),MATCH("CUSTO TOTAL",composicoes[#Headers],0))</f>
        <v>10.46</v>
      </c>
      <c r="BC114" s="4">
        <f ca="1">SUM(ESF[[#This Row],[Conc Est (m³)]],ESF[[#This Row],[Conc Bloco (m³)]])</f>
        <v>8.9852030703180361</v>
      </c>
      <c r="BD114" s="4">
        <f>INDEX(composicoes[],MATCH(94966,composicoes[CÓDIGO],0),MATCH("CUSTO TOTAL",composicoes[#Headers],0))</f>
        <v>439.52</v>
      </c>
      <c r="BE114" s="38">
        <f ca="1">ESF[[#This Row],[Aço (kg)]]*ESF[[#This Row],[Aço (R$/kg)]]+ESF[[#This Row],[Conc (m³)]]*ESF[[#This Row],[Conc (R$/m³)]]</f>
        <v>5458.8146669018306</v>
      </c>
      <c r="BF114" s="4" t="str">
        <f ca="1">IF(COUNTIF(ESF[#This Row],"N.S.")&gt;0,"lim.","OK")</f>
        <v>OK</v>
      </c>
      <c r="BG114" s="4" t="str">
        <f>IF(ESF[[#This Row],[Prof. (m)]]&lt;3,"lim.","OK")</f>
        <v>OK</v>
      </c>
      <c r="BH114" s="4" t="str">
        <f>IF(ESF[[#This Row],[Prof. (m)]]&gt;=8*ESF[[#This Row],[Ø (cm)]]/100,"OK","lim.")</f>
        <v>OK</v>
      </c>
      <c r="BI114" s="4" t="str">
        <f>IF(AND(SPT!$F$3&lt;&gt;"",ESF[[#This Row],[Prof. (m)]]&gt;=SPT!$F$3),"lim.","OK")</f>
        <v>OK</v>
      </c>
      <c r="BJ114" s="4" t="str">
        <f>IF(COUNTIFS(ESF[Solo],"Areia",ESF[Prof. (m)],"&lt;="&amp;ESF[[#This Row],[Prof. (m)]])&gt;=1,"lim.","OK")</f>
        <v>OK</v>
      </c>
      <c r="BK114" s="4" t="str">
        <f ca="1">IF(ESF[[#This Row],[Verif. Biela]]="OK","OK","lim.")</f>
        <v>OK</v>
      </c>
      <c r="BL114" s="4" t="str">
        <f ca="1">IF(COUNTA(ESF[[#This Row],[Nº Est.]:[Biela comp.]])=COUNTIF(ESF[[#This Row],[Nº Est.]:[Biela comp.]],"OK"),"OK","lim.")</f>
        <v>OK</v>
      </c>
      <c r="BM114" s="4" t="str">
        <f ca="1">IF(ESF[[#This Row],[Controle]]="OK",ESF[[#This Row],[nE]]&amp;" Ø"&amp;ESF[[#This Row],[Ø (cm)]]&amp;"cm Prof. "&amp;ESF[[#This Row],[Prof. (m)]]&amp;" m","")</f>
        <v>4 Ø40cm Prof. 11 m</v>
      </c>
      <c r="BN114" s="4" t="str">
        <f ca="1">IF(ESF[[#This Row],[idDimensionamento]]="","",ESF[[#This Row],[idPilar]]&amp;ESF[[#This Row],[idDimensionamento]])</f>
        <v>24 Ø40cm Prof. 11 m</v>
      </c>
    </row>
    <row r="115" spans="2:66" x14ac:dyDescent="0.25">
      <c r="B115" s="12">
        <f>ROUNDUP((ROW(ESF[[#This Row],[idDiâmetro]])-ROW(ESF[[#Headers],[idDiâmetro]]))/(COUNT(SPT[Prof. (m)])*COUNT(PILARES[Pilar])),0)</f>
        <v>4</v>
      </c>
      <c r="C115" s="12">
        <f>IF(ESF[[#This Row],[idDiâmetro]]&lt;&gt;B114,1,IF(ESF[[#This Row],[Prof. (m)]]=0,C114+1,C114))</f>
        <v>2</v>
      </c>
      <c r="D115" s="1">
        <f>IFERROR(IF(D114=MAX(SPT[Prof. (m)]),0,D114+1),0)</f>
        <v>12</v>
      </c>
      <c r="E115" s="1">
        <f>INDEX(SPT[],MATCH(ESF[[#This Row],[Prof. (m)]],SPT[Prof. (m)],0),2)</f>
        <v>52</v>
      </c>
      <c r="F115" s="1" t="str">
        <f>INDEX(SPT[],MATCH(ESF[[#This Row],[Prof. (m)]],SPT[Prof. (m)],0),3)</f>
        <v>Areia siltosa</v>
      </c>
      <c r="G115" s="1">
        <f>INDEX(estacas[],ESF[[#This Row],[idDiâmetro]],MATCH($B$2,estacas[#Headers],0))</f>
        <v>40</v>
      </c>
      <c r="H115" s="1">
        <f>INDEX(estacas[],MATCH(ESF[[#This Row],[Ø (cm)]],estacas[Ø ESF (cm)],0),MATCH(ESF[[#Headers],[Pe ESF (kN)]],estacas[#Headers],0))</f>
        <v>640</v>
      </c>
      <c r="I115" s="4">
        <f>INDEX(K_alpha_C[],MATCH(ESF[[#This Row],[Solo]],K_alpha_C[Solo],0),2)</f>
        <v>0.8</v>
      </c>
      <c r="J115" s="5">
        <f>INDEX(K_alpha_C[],MATCH(ESF[[#This Row],[Solo]],K_alpha_C[Solo],0),3)</f>
        <v>2</v>
      </c>
      <c r="K115" s="4">
        <f>INDEX(F1_F2[],MATCH($D$2,F1_F2[Tipo de estaca],0),2)</f>
        <v>3</v>
      </c>
      <c r="L115" s="4">
        <f>INDEX(F1_F2[],MATCH($D$2,F1_F2[Tipo de estaca],0),3)</f>
        <v>6</v>
      </c>
      <c r="M115" s="4">
        <f>PI()*(ESF[[#This Row],[Ø (cm)]]/100)^2/4</f>
        <v>0.12566370614359174</v>
      </c>
      <c r="N115" s="4">
        <f>PI()*ESF[[#This Row],[Ø (cm)]]/100</f>
        <v>1.2566370614359172</v>
      </c>
      <c r="O115" s="4">
        <f>IF(ESF[[#This Row],[Prof. (m)]]=0,0,ESF[[#This Row],[α (%)]]/100*ESF[[#This Row],[K (MPa)]]*1000*ESF[[#This Row],[NSPT]])</f>
        <v>832</v>
      </c>
      <c r="P115" s="4">
        <f>IF(ESF[[#This Row],[Prof. (m)]]=0,0,(ESF[[#This Row],[K (MPa)]]*1000*ESF[[#This Row],[NSPT]]/ESF[[#This Row],[F1]]*ESF[[#This Row],[Ap (m²)]]+ESF[[#This Row],[U (m)]]/ESF[[#This Row],[F2]]*SUMIFS(ESF[(α∙K∙NL∙ΔL)],ESF[Prof. (m)],"&lt;="&amp;ESF[[#This Row],[Prof. (m)]],ESF[idDiâmetro],ESF[[#This Row],[idDiâmetro]],ESF[idPilar],ESF[[#This Row],[idPilar]]))/'DADOS CAP. CARGA'!$D$2)</f>
        <v>1228.9805741088151</v>
      </c>
      <c r="Q115" s="12">
        <f>INDEX(C_alpha_beta[],MATCH(ESF[[#This Row],[Solo]],C_alpha_beta[Solo],0),MATCH(ESF[[#Headers],[C (kPa)]],C_alpha_beta[#Headers],0))</f>
        <v>400</v>
      </c>
      <c r="R115" s="4">
        <f>INDEX(C_alpha_beta[],MATCH(ESF[[#This Row],[Solo]],C_alpha_beta[Solo],0),MATCH(ESF[[#Headers],[α ESF]],C_alpha_beta[#Headers],0))</f>
        <v>0.5</v>
      </c>
      <c r="S115" s="4">
        <f>INDEX(C_alpha_beta[],MATCH(ESF[[#This Row],[Solo]],C_alpha_beta[Solo],0),MATCH(ESF[[#Headers],[β ESF]],C_alpha_beta[#Headers],0))</f>
        <v>0.5</v>
      </c>
      <c r="T115" s="4">
        <f>IF(ESF[[#This Row],[Prof. (m)]]=0,0,10*(ESF[[#This Row],[NSPT]]/3+1))</f>
        <v>183.33333333333331</v>
      </c>
      <c r="U115" s="4">
        <f>(ESF[[#This Row],[α ESF]]*ESF[[#This Row],[C (kPa)]]*ESF[[#This Row],[NSPT]]*ESF[[#This Row],[Ap (m²)]])/'DADOS CAP. CARGA'!$Q$2+(ESF[[#This Row],[β ESF]]*SUMIFS(ESF[10∙(NL/3+1)],ESF[Prof. (m)],"&lt;="&amp;ESF[[#This Row],[Prof. (m)]],ESF[idDiâmetro],ESF[[#This Row],[idDiâmetro]],ESF[idPilar],ESF[[#This Row],[idPilar]])*ESF[[#This Row],[U (m)]])/'DADOS CAP. CARGA'!$S$2</f>
        <v>597.94980173325735</v>
      </c>
      <c r="V115" s="4">
        <f>IF(SPT!$M$5=1,MIN(ESF[[#This Row],[Pe ESF (kN)]],ESF[[#This Row],[R_AV (kN)]]),IF(SPT!$M$5=2,MIN(ESF[[#This Row],[Pe ESF (kN)]],ESF[[#This Row],[R_DC (kN)]]),MIN(ESF[[#This Row],[Pe ESF (kN)]],ESF[[#This Row],[R_AV (kN)]],ESF[[#This Row],[R_DC (kN)]])))</f>
        <v>597.94980173325735</v>
      </c>
      <c r="W115" s="4">
        <f>INDEX(PILARES[],ESF[[#This Row],[idPilar]],MATCH("Carga (kN)",PILARES[#Headers],0))*1.4</f>
        <v>1750</v>
      </c>
      <c r="X115" s="12">
        <f>INDEX(PILARES[],ESF[[#This Row],[idPilar]],MATCH(ESF[[#Headers],[ap (cm)]],PILARES[#Headers],0))</f>
        <v>50</v>
      </c>
      <c r="Y115" s="12">
        <f>INDEX(PILARES[],ESF[[#This Row],[idPilar]],MATCH(ESF[[#Headers],[bp (cm)]],PILARES[#Headers],0))</f>
        <v>40</v>
      </c>
      <c r="Z115" s="4">
        <f>SQRT(ESF[[#This Row],[ap (cm)]]*ESF[[#This Row],[bp (cm)]])</f>
        <v>44.721359549995796</v>
      </c>
      <c r="AA115" s="12">
        <f>ESF[[#This Row],[ap (cm)]]*ESF[[#This Row],[bp (cm)]]</f>
        <v>2000</v>
      </c>
      <c r="AB115" s="12">
        <f ca="1">IF(ESF[[#This Row],[Padm∙ε (kN)]]&gt;=ESF[[#This Row],[Padm (kN)]],ROUNDUP(1.05*ESF[[#This Row],[Nsd (kN)]]/ESF[[#This Row],[Padm (kN)]],0),ROUNDUP(1.05*ESF[[#This Row],[Nsd (kN)]]/ESF[[#This Row],[Padm (kN)]],0)+1)</f>
        <v>4</v>
      </c>
      <c r="AC115" s="4">
        <f ca="1">IFERROR(IF(ESF[[#This Row],[nE]]=1,ESF[[#This Row],[Padm (kN)]],ESF[[#This Row],[Padm (kN)]]*ESF[[#This Row],[nE]]*INDEX(grupoEstacas[],ESF[[#This Row],[nE]],MATCH("ε",grupoEstacas[#Headers],0))),"N.S.")</f>
        <v>1943.3368556330863</v>
      </c>
      <c r="AD115" s="4">
        <f ca="1">1.05*ESF[[#This Row],[Nsd (kN)]]/(ESF[[#This Row],[nE]]*PI()*ESF[[#This Row],[Ø (cm)]]^2/4)*10</f>
        <v>3.6555900991419712</v>
      </c>
      <c r="AE115" s="4">
        <f ca="1">IF(ESF[[#This Row],[σ (MPa)]]&lt;INDEX(tipoEstaca[],MATCH($D$2,tipoEstaca[TIPO DE ESTACA],0),MATCH("σmáx (MPa)",tipoEstaca[#Headers],0)),0.4%*PI()*ESF[[#This Row],[Ø (cm)]]^2/4,"N.S.")</f>
        <v>5.026548245743669</v>
      </c>
      <c r="AF115" s="1">
        <f>INDEX(tipoEstaca[],MATCH($D$2,tipoEstaca[TIPO DE ESTACA],0),MATCH(ESF[[#Headers],[Comprimento (m)]],tipoEstaca[#Headers],0))</f>
        <v>2</v>
      </c>
      <c r="AG115" s="5">
        <f ca="1">ESF[[#This Row],[As,mín (cm²)]]/100^2*ESF[[#This Row],[Comprimento (m)]]*7850</f>
        <v>7.8916807458175597</v>
      </c>
      <c r="AH115" s="4">
        <f ca="1">ESF[[#This Row],[nE]]*ESF[[#This Row],[Prof. (m)]]*ESF[[#This Row],[Ap (m²)]]</f>
        <v>6.0318578948924033</v>
      </c>
      <c r="AI115" s="1">
        <f ca="1">IF(ESF[[#This Row],[nE]]=1,0,MAX(3*ESF[[#This Row],[Ø (cm)]],60))</f>
        <v>120</v>
      </c>
      <c r="AJ115" s="1">
        <f ca="1">IF(ESF[[#This Row],[nE]]=1,ESF[[#This Row],[Ø (cm)]]+2*10,MAX(1.5*ESF[[#This Row],[Ø (cm)]],ESF[[#This Row],[Ø (cm)]]+15))</f>
        <v>60</v>
      </c>
      <c r="AK115" s="1">
        <f ca="1">alturaUtil(ESF[[#This Row],[nE]],ESF[[#This Row],[Ø (cm)]],ESF[[#This Row],[e (cm)]],ESF[[#This Row],[ap,eq (cm)]])</f>
        <v>50</v>
      </c>
      <c r="AL115" s="1">
        <f ca="1">IFERROR(ESF[[#This Row],[d (cm)]]+arredondarParaCimaMultiplo5cm(MAX(5,SQRT(PI())/2*ESF[[#This Row],[Ø (cm)]]/5)),"N.S.")</f>
        <v>60</v>
      </c>
      <c r="AM115" s="5">
        <f ca="1">alpha(ESF[[#This Row],[nE]],ESF[[#This Row],[d (cm)]],ESF[[#This Row],[e (cm)]],ESF[[#This Row],[ap,eq (cm)]])</f>
        <v>45.684330203076314</v>
      </c>
      <c r="AN115" s="35">
        <f ca="1">IFERROR(ESF[[#This Row],[Nsd (kN)]]/(ESF[[#This Row],[Ap (cm²)]]*SIN(ESF[[#This Row],[α]])^2),"N.S.")</f>
        <v>0.89024493430205986</v>
      </c>
      <c r="AO115" s="35">
        <f ca="1">IFERROR(ESF[[#This Row],[Nsd (kN)]]/(ESF[[#This Row],[nE]]*PI()*ESF[[#This Row],[Ø (cm)]]^2/4*SIN(ESF[[#This Row],[α]])^2),"N.S.")</f>
        <v>0.35421720464173106</v>
      </c>
      <c r="AP115" s="4">
        <f ca="1">IFERROR(INDEX(grupoEstacas[],ESF[[#This Row],[nE]],MATCH("coef. Blévot",grupoEstacas[#Headers],0)),"N.S.")</f>
        <v>2.1</v>
      </c>
      <c r="AQ115" s="35">
        <f ca="1">IFERROR(ESF[[#This Row],[coef. Blévot]]*0.9*INDEX(tipoEstaca[],MATCH($D$2,tipoEstaca[TIPO DE ESTACA],0),MATCH("fcd (kN/cm²)",tipoEstaca[#Headers],0)),"N.S.")</f>
        <v>1.5120000000000002</v>
      </c>
      <c r="AR115" s="1" t="str">
        <f ca="1">IF(AND(ESF[[#This Row],[cd,b,pil (kN/cm²)]]&lt;=ESF[[#This Row],[cd,b,lim (kN/cm²)]],ESF[[#This Row],[cd,b,est (kN/cm²)]]&lt;=ESF[[#This Row],[cd,b,lim (kN/cm²)]]),"OK","ERRO")</f>
        <v>OK</v>
      </c>
      <c r="AS115" s="4">
        <f ca="1">As_lado(ESF[[#This Row],[nE]],ESF[[#This Row],[Nsd (kN)]],ESF[[#This Row],[d (cm)]],ESF[[#This Row],[e (cm)]],ESF[[#This Row],[ap,eq (cm)]])</f>
        <v>9.8249565976408366</v>
      </c>
      <c r="AT115" s="4" t="str">
        <f ca="1">IF(ESF[[#This Row],[nE]]=1,ESF[[#This Row],[As,lado (cm²)]],IF(ESF[[#This Row],[nE]]=2,0.075*2*ESF[a (cm)],"N.A."))</f>
        <v>N.A.</v>
      </c>
      <c r="AU115" s="4">
        <f ca="1">IFERROR(IF(ESF[[#This Row],[nE]]=1,"N.A.",0.2*ESF[[#This Row],[As,lado (cm²)]]),"N.S.")</f>
        <v>1.9649913195281674</v>
      </c>
      <c r="AV115" s="4">
        <f ca="1">As_malha(ESF[[#This Row],[nE]],ESF[[#This Row],[As,lado (cm²)]],ESF[[#This Row],[Nsd (kN)]])</f>
        <v>1.9649913195281674</v>
      </c>
      <c r="AW115" s="4">
        <f ca="1">As_susp_tot(ESF[[#This Row],[nE]],ESF[[#This Row],[Nsd (kN)]])</f>
        <v>6.708333333333333</v>
      </c>
      <c r="AX115" s="4">
        <f ca="1">Asp_face(ESF[[#This Row],[nE]],ESF[[#This Row],[As,lado (cm²)]])</f>
        <v>4.9124782988204183</v>
      </c>
      <c r="AY115" s="5">
        <f ca="1">acoBloco(ESF[[#This Row],[nE]],ESF[[#This Row],[e (cm)]],ESF[[#This Row],[a (cm)]],ESF[[#This Row],[h (cm)]],ESF[[#This Row],[As,lado (cm²)]],ESF[[#This Row],[Asp e Asw (cm²/m)]],ESF[[#This Row],[As,sup (cm²)]],ESF[[#This Row],[As,malha (cm²)]],ESF[[#This Row],[As,susp,tot (cm²)]],ESF[[#This Row],[Asp,face (cm²)]])</f>
        <v>136.43319625567841</v>
      </c>
      <c r="AZ115" s="4">
        <f ca="1">concretoBloco(ESF[[#This Row],[nE]],ESF[[#This Row],[e (cm)]],ESF[[#This Row],[a (cm)]],ESF[[#This Row],[h (cm)]])</f>
        <v>3.456</v>
      </c>
      <c r="BA115" s="5">
        <f ca="1">SUM(ESF[[#This Row],[Aço Est (kg)]],ESF[[#This Row],[Aço Bloco (kg)]])</f>
        <v>144.32487700149596</v>
      </c>
      <c r="BB115" s="4">
        <f>INDEX(composicoes[],MATCH(95580,composicoes[CÓDIGO],0),MATCH("CUSTO TOTAL",composicoes[#Headers],0))</f>
        <v>10.46</v>
      </c>
      <c r="BC115" s="4">
        <f ca="1">SUM(ESF[[#This Row],[Conc Est (m³)]],ESF[[#This Row],[Conc Bloco (m³)]])</f>
        <v>9.4878578948924037</v>
      </c>
      <c r="BD115" s="4">
        <f>INDEX(composicoes[],MATCH(94966,composicoes[CÓDIGO],0),MATCH("CUSTO TOTAL",composicoes[#Headers],0))</f>
        <v>439.52</v>
      </c>
      <c r="BE115" s="38">
        <f ca="1">ESF[[#This Row],[Aço (kg)]]*ESF[[#This Row],[Aço (R$/kg)]]+ESF[[#This Row],[Conc (m³)]]*ESF[[#This Row],[Conc (R$/m³)]]</f>
        <v>5679.7415153987577</v>
      </c>
      <c r="BF115" s="4" t="str">
        <f ca="1">IF(COUNTIF(ESF[#This Row],"N.S.")&gt;0,"lim.","OK")</f>
        <v>OK</v>
      </c>
      <c r="BG115" s="4" t="str">
        <f>IF(ESF[[#This Row],[Prof. (m)]]&lt;3,"lim.","OK")</f>
        <v>OK</v>
      </c>
      <c r="BH115" s="4" t="str">
        <f>IF(ESF[[#This Row],[Prof. (m)]]&gt;=8*ESF[[#This Row],[Ø (cm)]]/100,"OK","lim.")</f>
        <v>OK</v>
      </c>
      <c r="BI115" s="4" t="str">
        <f>IF(AND(SPT!$F$3&lt;&gt;"",ESF[[#This Row],[Prof. (m)]]&gt;=SPT!$F$3),"lim.","OK")</f>
        <v>OK</v>
      </c>
      <c r="BJ115" s="4" t="str">
        <f>IF(COUNTIFS(ESF[Solo],"Areia",ESF[Prof. (m)],"&lt;="&amp;ESF[[#This Row],[Prof. (m)]])&gt;=1,"lim.","OK")</f>
        <v>OK</v>
      </c>
      <c r="BK115" s="4" t="str">
        <f ca="1">IF(ESF[[#This Row],[Verif. Biela]]="OK","OK","lim.")</f>
        <v>OK</v>
      </c>
      <c r="BL115" s="4" t="str">
        <f ca="1">IF(COUNTA(ESF[[#This Row],[Nº Est.]:[Biela comp.]])=COUNTIF(ESF[[#This Row],[Nº Est.]:[Biela comp.]],"OK"),"OK","lim.")</f>
        <v>OK</v>
      </c>
      <c r="BM115" s="4" t="str">
        <f ca="1">IF(ESF[[#This Row],[Controle]]="OK",ESF[[#This Row],[nE]]&amp;" Ø"&amp;ESF[[#This Row],[Ø (cm)]]&amp;"cm Prof. "&amp;ESF[[#This Row],[Prof. (m)]]&amp;" m","")</f>
        <v>4 Ø40cm Prof. 12 m</v>
      </c>
      <c r="BN115" s="4" t="str">
        <f ca="1">IF(ESF[[#This Row],[idDimensionamento]]="","",ESF[[#This Row],[idPilar]]&amp;ESF[[#This Row],[idDimensionamento]])</f>
        <v>24 Ø40cm Prof. 12 m</v>
      </c>
    </row>
    <row r="116" spans="2:66" x14ac:dyDescent="0.25">
      <c r="B116" s="12">
        <f>ROUNDUP((ROW(ESF[[#This Row],[idDiâmetro]])-ROW(ESF[[#Headers],[idDiâmetro]]))/(COUNT(SPT[Prof. (m)])*COUNT(PILARES[Pilar])),0)</f>
        <v>4</v>
      </c>
      <c r="C116" s="12">
        <f>IF(ESF[[#This Row],[idDiâmetro]]&lt;&gt;B115,1,IF(ESF[[#This Row],[Prof. (m)]]=0,C115+1,C115))</f>
        <v>2</v>
      </c>
      <c r="D116" s="1">
        <f>IFERROR(IF(D115=MAX(SPT[Prof. (m)]),0,D115+1),0)</f>
        <v>13</v>
      </c>
      <c r="E116" s="1">
        <f>INDEX(SPT[],MATCH(ESF[[#This Row],[Prof. (m)]],SPT[Prof. (m)],0),2)</f>
        <v>68</v>
      </c>
      <c r="F116" s="1" t="str">
        <f>INDEX(SPT[],MATCH(ESF[[#This Row],[Prof. (m)]],SPT[Prof. (m)],0),3)</f>
        <v>Areia siltosa</v>
      </c>
      <c r="G116" s="1">
        <f>INDEX(estacas[],ESF[[#This Row],[idDiâmetro]],MATCH($B$2,estacas[#Headers],0))</f>
        <v>40</v>
      </c>
      <c r="H116" s="1">
        <f>INDEX(estacas[],MATCH(ESF[[#This Row],[Ø (cm)]],estacas[Ø ESF (cm)],0),MATCH(ESF[[#Headers],[Pe ESF (kN)]],estacas[#Headers],0))</f>
        <v>640</v>
      </c>
      <c r="I116" s="4">
        <f>INDEX(K_alpha_C[],MATCH(ESF[[#This Row],[Solo]],K_alpha_C[Solo],0),2)</f>
        <v>0.8</v>
      </c>
      <c r="J116" s="5">
        <f>INDEX(K_alpha_C[],MATCH(ESF[[#This Row],[Solo]],K_alpha_C[Solo],0),3)</f>
        <v>2</v>
      </c>
      <c r="K116" s="4">
        <f>INDEX(F1_F2[],MATCH($D$2,F1_F2[Tipo de estaca],0),2)</f>
        <v>3</v>
      </c>
      <c r="L116" s="4">
        <f>INDEX(F1_F2[],MATCH($D$2,F1_F2[Tipo de estaca],0),3)</f>
        <v>6</v>
      </c>
      <c r="M116" s="4">
        <f>PI()*(ESF[[#This Row],[Ø (cm)]]/100)^2/4</f>
        <v>0.12566370614359174</v>
      </c>
      <c r="N116" s="4">
        <f>PI()*ESF[[#This Row],[Ø (cm)]]/100</f>
        <v>1.2566370614359172</v>
      </c>
      <c r="O116" s="4">
        <f>IF(ESF[[#This Row],[Prof. (m)]]=0,0,ESF[[#This Row],[α (%)]]/100*ESF[[#This Row],[K (MPa)]]*1000*ESF[[#This Row],[NSPT]])</f>
        <v>1088</v>
      </c>
      <c r="P116" s="4">
        <f>IF(ESF[[#This Row],[Prof. (m)]]=0,0,(ESF[[#This Row],[K (MPa)]]*1000*ESF[[#This Row],[NSPT]]/ESF[[#This Row],[F1]]*ESF[[#This Row],[Ap (m²)]]+ESF[[#This Row],[U (m)]]/ESF[[#This Row],[F2]]*SUMIFS(ESF[(α∙K∙NL∙ΔL)],ESF[Prof. (m)],"&lt;="&amp;ESF[[#This Row],[Prof. (m)]],ESF[idDiâmetro],ESF[[#This Row],[idDiâmetro]],ESF[idPilar],ESF[[#This Row],[idPilar]]))/'DADOS CAP. CARGA'!$D$2)</f>
        <v>1610.998240785334</v>
      </c>
      <c r="Q116" s="12">
        <f>INDEX(C_alpha_beta[],MATCH(ESF[[#This Row],[Solo]],C_alpha_beta[Solo],0),MATCH(ESF[[#Headers],[C (kPa)]],C_alpha_beta[#Headers],0))</f>
        <v>400</v>
      </c>
      <c r="R116" s="4">
        <f>INDEX(C_alpha_beta[],MATCH(ESF[[#This Row],[Solo]],C_alpha_beta[Solo],0),MATCH(ESF[[#Headers],[α ESF]],C_alpha_beta[#Headers],0))</f>
        <v>0.5</v>
      </c>
      <c r="S116" s="4">
        <f>INDEX(C_alpha_beta[],MATCH(ESF[[#This Row],[Solo]],C_alpha_beta[Solo],0),MATCH(ESF[[#Headers],[β ESF]],C_alpha_beta[#Headers],0))</f>
        <v>0.5</v>
      </c>
      <c r="T116" s="4">
        <f>IF(ESF[[#This Row],[Prof. (m)]]=0,0,10*(ESF[[#This Row],[NSPT]]/3+1))</f>
        <v>236.66666666666669</v>
      </c>
      <c r="U116" s="4">
        <f>(ESF[[#This Row],[α ESF]]*ESF[[#This Row],[C (kPa)]]*ESF[[#This Row],[NSPT]]*ESF[[#This Row],[Ap (m²)]])/'DADOS CAP. CARGA'!$Q$2+(ESF[[#This Row],[β ESF]]*SUMIFS(ESF[10∙(NL/3+1)],ESF[Prof. (m)],"&lt;="&amp;ESF[[#This Row],[Prof. (m)]],ESF[idDiâmetro],ESF[[#This Row],[idDiâmetro]],ESF[idPilar],ESF[[#This Row],[idPilar]])*ESF[[#This Row],[U (m)]])/'DADOS CAP. CARGA'!$S$2</f>
        <v>772.83179278308921</v>
      </c>
      <c r="V116" s="4">
        <f>IF(SPT!$M$5=1,MIN(ESF[[#This Row],[Pe ESF (kN)]],ESF[[#This Row],[R_AV (kN)]]),IF(SPT!$M$5=2,MIN(ESF[[#This Row],[Pe ESF (kN)]],ESF[[#This Row],[R_DC (kN)]]),MIN(ESF[[#This Row],[Pe ESF (kN)]],ESF[[#This Row],[R_AV (kN)]],ESF[[#This Row],[R_DC (kN)]])))</f>
        <v>640</v>
      </c>
      <c r="W116" s="4">
        <f>INDEX(PILARES[],ESF[[#This Row],[idPilar]],MATCH("Carga (kN)",PILARES[#Headers],0))*1.4</f>
        <v>1750</v>
      </c>
      <c r="X116" s="12">
        <f>INDEX(PILARES[],ESF[[#This Row],[idPilar]],MATCH(ESF[[#Headers],[ap (cm)]],PILARES[#Headers],0))</f>
        <v>50</v>
      </c>
      <c r="Y116" s="12">
        <f>INDEX(PILARES[],ESF[[#This Row],[idPilar]],MATCH(ESF[[#Headers],[bp (cm)]],PILARES[#Headers],0))</f>
        <v>40</v>
      </c>
      <c r="Z116" s="4">
        <f>SQRT(ESF[[#This Row],[ap (cm)]]*ESF[[#This Row],[bp (cm)]])</f>
        <v>44.721359549995796</v>
      </c>
      <c r="AA116" s="12">
        <f>ESF[[#This Row],[ap (cm)]]*ESF[[#This Row],[bp (cm)]]</f>
        <v>2000</v>
      </c>
      <c r="AB116" s="12">
        <f ca="1">IF(ESF[[#This Row],[Padm∙ε (kN)]]&gt;=ESF[[#This Row],[Padm (kN)]],ROUNDUP(1.05*ESF[[#This Row],[Nsd (kN)]]/ESF[[#This Row],[Padm (kN)]],0),ROUNDUP(1.05*ESF[[#This Row],[Nsd (kN)]]/ESF[[#This Row],[Padm (kN)]],0)+1)</f>
        <v>3</v>
      </c>
      <c r="AC116" s="4">
        <f ca="1">IFERROR(IF(ESF[[#This Row],[nE]]=1,ESF[[#This Row],[Padm (kN)]],ESF[[#This Row],[Padm (kN)]]*ESF[[#This Row],[nE]]*INDEX(grupoEstacas[],ESF[[#This Row],[nE]],MATCH("ε",grupoEstacas[#Headers],0))),"N.S.")</f>
        <v>1680</v>
      </c>
      <c r="AD116" s="4">
        <f ca="1">1.05*ESF[[#This Row],[Nsd (kN)]]/(ESF[[#This Row],[nE]]*PI()*ESF[[#This Row],[Ø (cm)]]^2/4)*10</f>
        <v>4.8741201321892955</v>
      </c>
      <c r="AE116" s="4">
        <f ca="1">IF(ESF[[#This Row],[σ (MPa)]]&lt;INDEX(tipoEstaca[],MATCH($D$2,tipoEstaca[TIPO DE ESTACA],0),MATCH("σmáx (MPa)",tipoEstaca[#Headers],0)),0.4%*PI()*ESF[[#This Row],[Ø (cm)]]^2/4,"N.S.")</f>
        <v>5.026548245743669</v>
      </c>
      <c r="AF116" s="1">
        <f>INDEX(tipoEstaca[],MATCH($D$2,tipoEstaca[TIPO DE ESTACA],0),MATCH(ESF[[#Headers],[Comprimento (m)]],tipoEstaca[#Headers],0))</f>
        <v>2</v>
      </c>
      <c r="AG116" s="5">
        <f ca="1">ESF[[#This Row],[As,mín (cm²)]]/100^2*ESF[[#This Row],[Comprimento (m)]]*7850</f>
        <v>7.8916807458175597</v>
      </c>
      <c r="AH116" s="4">
        <f ca="1">ESF[[#This Row],[nE]]*ESF[[#This Row],[Prof. (m)]]*ESF[[#This Row],[Ap (m²)]]</f>
        <v>4.900884539600078</v>
      </c>
      <c r="AI116" s="1">
        <f ca="1">IF(ESF[[#This Row],[nE]]=1,0,MAX(3*ESF[[#This Row],[Ø (cm)]],60))</f>
        <v>120</v>
      </c>
      <c r="AJ116" s="1">
        <f ca="1">IF(ESF[[#This Row],[nE]]=1,ESF[[#This Row],[Ø (cm)]]+2*10,MAX(1.5*ESF[[#This Row],[Ø (cm)]],ESF[[#This Row],[Ø (cm)]]+15))</f>
        <v>60</v>
      </c>
      <c r="AK116" s="1">
        <f ca="1">alturaUtil(ESF[[#This Row],[nE]],ESF[[#This Row],[Ø (cm)]],ESF[[#This Row],[e (cm)]],ESF[[#This Row],[ap,eq (cm)]])</f>
        <v>50</v>
      </c>
      <c r="AL116" s="1">
        <f ca="1">IFERROR(ESF[[#This Row],[d (cm)]]+arredondarParaCimaMultiplo5cm(MAX(5,SQRT(PI())/2*ESF[[#This Row],[Ø (cm)]]/5)),"N.S.")</f>
        <v>60</v>
      </c>
      <c r="AM116" s="5">
        <f ca="1">alpha(ESF[[#This Row],[nE]],ESF[[#This Row],[d (cm)]],ESF[[#This Row],[e (cm)]],ESF[[#This Row],[ap,eq (cm)]])</f>
        <v>47.025853134229614</v>
      </c>
      <c r="AN116" s="35">
        <f ca="1">IFERROR(ESF[[#This Row],[Nsd (kN)]]/(ESF[[#This Row],[Ap (cm²)]]*SIN(ESF[[#This Row],[α]])^2),"N.S.")</f>
        <v>91.331956700374235</v>
      </c>
      <c r="AO116" s="35">
        <f ca="1">IFERROR(ESF[[#This Row],[Nsd (kN)]]/(ESF[[#This Row],[nE]]*PI()*ESF[[#This Row],[Ø (cm)]]^2/4*SIN(ESF[[#This Row],[α]])^2),"N.S.")</f>
        <v>48.453107903731706</v>
      </c>
      <c r="AP116" s="4">
        <f ca="1">IFERROR(INDEX(grupoEstacas[],ESF[[#This Row],[nE]],MATCH("coef. Blévot",grupoEstacas[#Headers],0)),"N.S.")</f>
        <v>1.75</v>
      </c>
      <c r="AQ116" s="35">
        <f ca="1">IFERROR(ESF[[#This Row],[coef. Blévot]]*0.9*INDEX(tipoEstaca[],MATCH($D$2,tipoEstaca[TIPO DE ESTACA],0),MATCH("fcd (kN/cm²)",tipoEstaca[#Headers],0)),"N.S.")</f>
        <v>1.26</v>
      </c>
      <c r="AR116" s="1" t="str">
        <f ca="1">IF(AND(ESF[[#This Row],[cd,b,pil (kN/cm²)]]&lt;=ESF[[#This Row],[cd,b,lim (kN/cm²)]],ESF[[#This Row],[cd,b,est (kN/cm²)]]&lt;=ESF[[#This Row],[cd,b,lim (kN/cm²)]]),"OK","ERRO")</f>
        <v>ERRO</v>
      </c>
      <c r="AS116" s="4">
        <f ca="1">As_lado(ESF[[#This Row],[nE]],ESF[[#This Row],[Nsd (kN)]],ESF[[#This Row],[d (cm)]],ESF[[#This Row],[e (cm)]],ESF[[#This Row],[ap,eq (cm)]])</f>
        <v>8.6548322708686847</v>
      </c>
      <c r="AT116" s="4" t="str">
        <f ca="1">IF(ESF[[#This Row],[nE]]=1,ESF[[#This Row],[As,lado (cm²)]],IF(ESF[[#This Row],[nE]]=2,0.075*2*ESF[a (cm)],"N.A."))</f>
        <v>N.A.</v>
      </c>
      <c r="AU116" s="4">
        <f ca="1">IFERROR(IF(ESF[[#This Row],[nE]]=1,"N.A.",0.2*ESF[[#This Row],[As,lado (cm²)]]),"N.S.")</f>
        <v>1.7309664541737371</v>
      </c>
      <c r="AV116" s="4">
        <f ca="1">As_malha(ESF[[#This Row],[nE]],ESF[[#This Row],[As,lado (cm²)]],ESF[[#This Row],[Nsd (kN)]])</f>
        <v>2.981481481481481</v>
      </c>
      <c r="AW116" s="4">
        <f ca="1">As_susp_tot(ESF[[#This Row],[nE]],ESF[[#This Row],[Nsd (kN)]])</f>
        <v>8.9444444444444429</v>
      </c>
      <c r="AX116" s="4">
        <f ca="1">Asp_face(ESF[[#This Row],[nE]],ESF[[#This Row],[As,lado (cm²)]])</f>
        <v>3.2455621015757568</v>
      </c>
      <c r="AY116" s="5">
        <f ca="1">acoBloco(ESF[[#This Row],[nE]],ESF[[#This Row],[e (cm)]],ESF[[#This Row],[a (cm)]],ESF[[#This Row],[h (cm)]],ESF[[#This Row],[As,lado (cm²)]],ESF[[#This Row],[Asp e Asw (cm²/m)]],ESF[[#This Row],[As,sup (cm²)]],ESF[[#This Row],[As,malha (cm²)]],ESF[[#This Row],[As,susp,tot (cm²)]],ESF[[#This Row],[Asp,face (cm²)]])</f>
        <v>102.90704246251101</v>
      </c>
      <c r="AZ116" s="4">
        <f ca="1">concretoBloco(ESF[[#This Row],[nE]],ESF[[#This Row],[e (cm)]],ESF[[#This Row],[a (cm)]],ESF[[#This Row],[h (cm)]])</f>
        <v>2.4183689233046324</v>
      </c>
      <c r="BA116" s="5">
        <f ca="1">SUM(ESF[[#This Row],[Aço Est (kg)]],ESF[[#This Row],[Aço Bloco (kg)]])</f>
        <v>110.79872320832857</v>
      </c>
      <c r="BB116" s="4">
        <f>INDEX(composicoes[],MATCH(95580,composicoes[CÓDIGO],0),MATCH("CUSTO TOTAL",composicoes[#Headers],0))</f>
        <v>10.46</v>
      </c>
      <c r="BC116" s="4">
        <f ca="1">SUM(ESF[[#This Row],[Conc Est (m³)]],ESF[[#This Row],[Conc Bloco (m³)]])</f>
        <v>7.3192534629047099</v>
      </c>
      <c r="BD116" s="4">
        <f>INDEX(composicoes[],MATCH(94966,composicoes[CÓDIGO],0),MATCH("CUSTO TOTAL",composicoes[#Headers],0))</f>
        <v>439.52</v>
      </c>
      <c r="BE116" s="38">
        <f ca="1">ESF[[#This Row],[Aço (kg)]]*ESF[[#This Row],[Aço (R$/kg)]]+ESF[[#This Row],[Conc (m³)]]*ESF[[#This Row],[Conc (R$/m³)]]</f>
        <v>4375.912926774995</v>
      </c>
      <c r="BF116" s="4" t="str">
        <f ca="1">IF(COUNTIF(ESF[#This Row],"N.S.")&gt;0,"lim.","OK")</f>
        <v>OK</v>
      </c>
      <c r="BG116" s="4" t="str">
        <f>IF(ESF[[#This Row],[Prof. (m)]]&lt;3,"lim.","OK")</f>
        <v>OK</v>
      </c>
      <c r="BH116" s="4" t="str">
        <f>IF(ESF[[#This Row],[Prof. (m)]]&gt;=8*ESF[[#This Row],[Ø (cm)]]/100,"OK","lim.")</f>
        <v>OK</v>
      </c>
      <c r="BI116" s="4" t="str">
        <f>IF(AND(SPT!$F$3&lt;&gt;"",ESF[[#This Row],[Prof. (m)]]&gt;=SPT!$F$3),"lim.","OK")</f>
        <v>OK</v>
      </c>
      <c r="BJ116" s="4" t="str">
        <f>IF(COUNTIFS(ESF[Solo],"Areia",ESF[Prof. (m)],"&lt;="&amp;ESF[[#This Row],[Prof. (m)]])&gt;=1,"lim.","OK")</f>
        <v>OK</v>
      </c>
      <c r="BK116" s="4" t="str">
        <f ca="1">IF(ESF[[#This Row],[Verif. Biela]]="OK","OK","lim.")</f>
        <v>lim.</v>
      </c>
      <c r="BL116" s="4" t="str">
        <f ca="1">IF(COUNTA(ESF[[#This Row],[Nº Est.]:[Biela comp.]])=COUNTIF(ESF[[#This Row],[Nº Est.]:[Biela comp.]],"OK"),"OK","lim.")</f>
        <v>lim.</v>
      </c>
      <c r="BM116" s="4" t="str">
        <f ca="1">IF(ESF[[#This Row],[Controle]]="OK",ESF[[#This Row],[nE]]&amp;" Ø"&amp;ESF[[#This Row],[Ø (cm)]]&amp;"cm Prof. "&amp;ESF[[#This Row],[Prof. (m)]]&amp;" m","")</f>
        <v/>
      </c>
      <c r="BN116" s="4" t="str">
        <f ca="1">IF(ESF[[#This Row],[idDimensionamento]]="","",ESF[[#This Row],[idPilar]]&amp;ESF[[#This Row],[idDimensionamento]])</f>
        <v/>
      </c>
    </row>
    <row r="117" spans="2:66" x14ac:dyDescent="0.25">
      <c r="B117" s="12">
        <f>ROUNDUP((ROW(ESF[[#This Row],[idDiâmetro]])-ROW(ESF[[#Headers],[idDiâmetro]]))/(COUNT(SPT[Prof. (m)])*COUNT(PILARES[Pilar])),0)</f>
        <v>5</v>
      </c>
      <c r="C117" s="12">
        <f>IF(ESF[[#This Row],[idDiâmetro]]&lt;&gt;B116,1,IF(ESF[[#This Row],[Prof. (m)]]=0,C116+1,C116))</f>
        <v>1</v>
      </c>
      <c r="D117" s="1">
        <f>IFERROR(IF(D116=MAX(SPT[Prof. (m)]),0,D116+1),0)</f>
        <v>0</v>
      </c>
      <c r="E117" s="1">
        <f>INDEX(SPT[],MATCH(ESF[[#This Row],[Prof. (m)]],SPT[Prof. (m)],0),2)</f>
        <v>0</v>
      </c>
      <c r="F117" s="1" t="str">
        <f>INDEX(SPT[],MATCH(ESF[[#This Row],[Prof. (m)]],SPT[Prof. (m)],0),3)</f>
        <v>Areia siltosa</v>
      </c>
      <c r="G117" s="1">
        <f>INDEX(estacas[],ESF[[#This Row],[idDiâmetro]],MATCH($B$2,estacas[#Headers],0))</f>
        <v>45</v>
      </c>
      <c r="H117" s="1">
        <f>INDEX(estacas[],MATCH(ESF[[#This Row],[Ø (cm)]],estacas[Ø ESF (cm)],0),MATCH(ESF[[#Headers],[Pe ESF (kN)]],estacas[#Headers],0))</f>
        <v>810</v>
      </c>
      <c r="I117" s="4">
        <f>INDEX(K_alpha_C[],MATCH(ESF[[#This Row],[Solo]],K_alpha_C[Solo],0),2)</f>
        <v>0.8</v>
      </c>
      <c r="J117" s="5">
        <f>INDEX(K_alpha_C[],MATCH(ESF[[#This Row],[Solo]],K_alpha_C[Solo],0),3)</f>
        <v>2</v>
      </c>
      <c r="K117" s="4">
        <f>INDEX(F1_F2[],MATCH($D$2,F1_F2[Tipo de estaca],0),2)</f>
        <v>3</v>
      </c>
      <c r="L117" s="4">
        <f>INDEX(F1_F2[],MATCH($D$2,F1_F2[Tipo de estaca],0),3)</f>
        <v>6</v>
      </c>
      <c r="M117" s="4">
        <f>PI()*(ESF[[#This Row],[Ø (cm)]]/100)^2/4</f>
        <v>0.15904312808798329</v>
      </c>
      <c r="N117" s="4">
        <f>PI()*ESF[[#This Row],[Ø (cm)]]/100</f>
        <v>1.4137166941154069</v>
      </c>
      <c r="O117" s="4">
        <f>IF(ESF[[#This Row],[Prof. (m)]]=0,0,ESF[[#This Row],[α (%)]]/100*ESF[[#This Row],[K (MPa)]]*1000*ESF[[#This Row],[NSPT]])</f>
        <v>0</v>
      </c>
      <c r="P117" s="4">
        <f>IF(ESF[[#This Row],[Prof. (m)]]=0,0,(ESF[[#This Row],[K (MPa)]]*1000*ESF[[#This Row],[NSPT]]/ESF[[#This Row],[F1]]*ESF[[#This Row],[Ap (m²)]]+ESF[[#This Row],[U (m)]]/ESF[[#This Row],[F2]]*SUMIFS(ESF[(α∙K∙NL∙ΔL)],ESF[Prof. (m)],"&lt;="&amp;ESF[[#This Row],[Prof. (m)]],ESF[idDiâmetro],ESF[[#This Row],[idDiâmetro]],ESF[idPilar],ESF[[#This Row],[idPilar]]))/'DADOS CAP. CARGA'!$D$2)</f>
        <v>0</v>
      </c>
      <c r="Q117" s="12">
        <f>INDEX(C_alpha_beta[],MATCH(ESF[[#This Row],[Solo]],C_alpha_beta[Solo],0),MATCH(ESF[[#Headers],[C (kPa)]],C_alpha_beta[#Headers],0))</f>
        <v>400</v>
      </c>
      <c r="R117" s="4">
        <f>INDEX(C_alpha_beta[],MATCH(ESF[[#This Row],[Solo]],C_alpha_beta[Solo],0),MATCH(ESF[[#Headers],[α ESF]],C_alpha_beta[#Headers],0))</f>
        <v>0.5</v>
      </c>
      <c r="S117" s="4">
        <f>INDEX(C_alpha_beta[],MATCH(ESF[[#This Row],[Solo]],C_alpha_beta[Solo],0),MATCH(ESF[[#Headers],[β ESF]],C_alpha_beta[#Headers],0))</f>
        <v>0.5</v>
      </c>
      <c r="T117" s="4">
        <f>IF(ESF[[#This Row],[Prof. (m)]]=0,0,10*(ESF[[#This Row],[NSPT]]/3+1))</f>
        <v>0</v>
      </c>
      <c r="U117" s="4">
        <f>(ESF[[#This Row],[α ESF]]*ESF[[#This Row],[C (kPa)]]*ESF[[#This Row],[NSPT]]*ESF[[#This Row],[Ap (m²)]])/'DADOS CAP. CARGA'!$Q$2+(ESF[[#This Row],[β ESF]]*SUMIFS(ESF[10∙(NL/3+1)],ESF[Prof. (m)],"&lt;="&amp;ESF[[#This Row],[Prof. (m)]],ESF[idDiâmetro],ESF[[#This Row],[idDiâmetro]],ESF[idPilar],ESF[[#This Row],[idPilar]])*ESF[[#This Row],[U (m)]])/'DADOS CAP. CARGA'!$S$2</f>
        <v>0</v>
      </c>
      <c r="V117" s="4">
        <f>IF(SPT!$M$5=1,MIN(ESF[[#This Row],[Pe ESF (kN)]],ESF[[#This Row],[R_AV (kN)]]),IF(SPT!$M$5=2,MIN(ESF[[#This Row],[Pe ESF (kN)]],ESF[[#This Row],[R_DC (kN)]]),MIN(ESF[[#This Row],[Pe ESF (kN)]],ESF[[#This Row],[R_AV (kN)]],ESF[[#This Row],[R_DC (kN)]])))</f>
        <v>0</v>
      </c>
      <c r="W117" s="4">
        <f>INDEX(PILARES[],ESF[[#This Row],[idPilar]],MATCH("Carga (kN)",PILARES[#Headers],0))*1.4</f>
        <v>3500</v>
      </c>
      <c r="X117" s="12">
        <f>INDEX(PILARES[],ESF[[#This Row],[idPilar]],MATCH(ESF[[#Headers],[ap (cm)]],PILARES[#Headers],0))</f>
        <v>60</v>
      </c>
      <c r="Y117" s="12">
        <f>INDEX(PILARES[],ESF[[#This Row],[idPilar]],MATCH(ESF[[#Headers],[bp (cm)]],PILARES[#Headers],0))</f>
        <v>60</v>
      </c>
      <c r="Z117" s="4">
        <f>SQRT(ESF[[#This Row],[ap (cm)]]*ESF[[#This Row],[bp (cm)]])</f>
        <v>60</v>
      </c>
      <c r="AA117" s="12">
        <f>ESF[[#This Row],[ap (cm)]]*ESF[[#This Row],[bp (cm)]]</f>
        <v>3600</v>
      </c>
      <c r="AB117" s="12" t="e">
        <f ca="1">IF(ESF[[#This Row],[Padm∙ε (kN)]]&gt;=ESF[[#This Row],[Padm (kN)]],ROUNDUP(1.05*ESF[[#This Row],[Nsd (kN)]]/ESF[[#This Row],[Padm (kN)]],0),ROUNDUP(1.05*ESF[[#This Row],[Nsd (kN)]]/ESF[[#This Row],[Padm (kN)]],0)+1)</f>
        <v>#DIV/0!</v>
      </c>
      <c r="AC117" s="4" t="str">
        <f ca="1">IFERROR(IF(ESF[[#This Row],[nE]]=1,ESF[[#This Row],[Padm (kN)]],ESF[[#This Row],[Padm (kN)]]*ESF[[#This Row],[nE]]*INDEX(grupoEstacas[],ESF[[#This Row],[nE]],MATCH("ε",grupoEstacas[#Headers],0))),"N.S.")</f>
        <v>N.S.</v>
      </c>
      <c r="AD117" s="4" t="e">
        <f ca="1">1.05*ESF[[#This Row],[Nsd (kN)]]/(ESF[[#This Row],[nE]]*PI()*ESF[[#This Row],[Ø (cm)]]^2/4)*10</f>
        <v>#DIV/0!</v>
      </c>
      <c r="AE117" s="4" t="e">
        <f ca="1">IF(ESF[[#This Row],[σ (MPa)]]&lt;INDEX(tipoEstaca[],MATCH($D$2,tipoEstaca[TIPO DE ESTACA],0),MATCH("σmáx (MPa)",tipoEstaca[#Headers],0)),0.4%*PI()*ESF[[#This Row],[Ø (cm)]]^2/4,"N.S.")</f>
        <v>#DIV/0!</v>
      </c>
      <c r="AF117" s="1">
        <f>INDEX(tipoEstaca[],MATCH($D$2,tipoEstaca[TIPO DE ESTACA],0),MATCH(ESF[[#Headers],[Comprimento (m)]],tipoEstaca[#Headers],0))</f>
        <v>2</v>
      </c>
      <c r="AG117" s="5" t="e">
        <f ca="1">ESF[[#This Row],[As,mín (cm²)]]/100^2*ESF[[#This Row],[Comprimento (m)]]*7850</f>
        <v>#DIV/0!</v>
      </c>
      <c r="AH117" s="4" t="e">
        <f ca="1">ESF[[#This Row],[nE]]*ESF[[#This Row],[Prof. (m)]]*ESF[[#This Row],[Ap (m²)]]</f>
        <v>#DIV/0!</v>
      </c>
      <c r="AI117" s="1" t="e">
        <f ca="1">IF(ESF[[#This Row],[nE]]=1,0,MAX(3*ESF[[#This Row],[Ø (cm)]],60))</f>
        <v>#DIV/0!</v>
      </c>
      <c r="AJ117" s="1" t="e">
        <f ca="1">IF(ESF[[#This Row],[nE]]=1,ESF[[#This Row],[Ø (cm)]]+2*10,MAX(1.5*ESF[[#This Row],[Ø (cm)]],ESF[[#This Row],[Ø (cm)]]+15))</f>
        <v>#DIV/0!</v>
      </c>
      <c r="AK117" s="1" t="e">
        <f ca="1">alturaUtil(ESF[[#This Row],[nE]],ESF[[#This Row],[Ø (cm)]],ESF[[#This Row],[e (cm)]],ESF[[#This Row],[ap,eq (cm)]])</f>
        <v>#VALUE!</v>
      </c>
      <c r="AL117" s="1" t="str">
        <f ca="1">IFERROR(ESF[[#This Row],[d (cm)]]+arredondarParaCimaMultiplo5cm(MAX(5,SQRT(PI())/2*ESF[[#This Row],[Ø (cm)]]/5)),"N.S.")</f>
        <v>N.S.</v>
      </c>
      <c r="AM117" s="5" t="e">
        <f ca="1">alpha(ESF[[#This Row],[nE]],ESF[[#This Row],[d (cm)]],ESF[[#This Row],[e (cm)]],ESF[[#This Row],[ap,eq (cm)]])</f>
        <v>#VALUE!</v>
      </c>
      <c r="AN117" s="35" t="str">
        <f ca="1">IFERROR(ESF[[#This Row],[Nsd (kN)]]/(ESF[[#This Row],[Ap (cm²)]]*SIN(ESF[[#This Row],[α]])^2),"N.S.")</f>
        <v>N.S.</v>
      </c>
      <c r="AO117" s="35" t="str">
        <f ca="1">IFERROR(ESF[[#This Row],[Nsd (kN)]]/(ESF[[#This Row],[nE]]*PI()*ESF[[#This Row],[Ø (cm)]]^2/4*SIN(ESF[[#This Row],[α]])^2),"N.S.")</f>
        <v>N.S.</v>
      </c>
      <c r="AP117" s="4" t="str">
        <f ca="1">IFERROR(INDEX(grupoEstacas[],ESF[[#This Row],[nE]],MATCH("coef. Blévot",grupoEstacas[#Headers],0)),"N.S.")</f>
        <v>N.S.</v>
      </c>
      <c r="AQ117" s="35" t="str">
        <f ca="1">IFERROR(ESF[[#This Row],[coef. Blévot]]*0.9*INDEX(tipoEstaca[],MATCH($D$2,tipoEstaca[TIPO DE ESTACA],0),MATCH("fcd (kN/cm²)",tipoEstaca[#Headers],0)),"N.S.")</f>
        <v>N.S.</v>
      </c>
      <c r="AR117" s="1" t="str">
        <f ca="1">IF(AND(ESF[[#This Row],[cd,b,pil (kN/cm²)]]&lt;=ESF[[#This Row],[cd,b,lim (kN/cm²)]],ESF[[#This Row],[cd,b,est (kN/cm²)]]&lt;=ESF[[#This Row],[cd,b,lim (kN/cm²)]]),"OK","ERRO")</f>
        <v>OK</v>
      </c>
      <c r="AS117" s="4" t="e">
        <f ca="1">As_lado(ESF[[#This Row],[nE]],ESF[[#This Row],[Nsd (kN)]],ESF[[#This Row],[d (cm)]],ESF[[#This Row],[e (cm)]],ESF[[#This Row],[ap,eq (cm)]])</f>
        <v>#VALUE!</v>
      </c>
      <c r="AT117" s="4" t="e">
        <f ca="1">IF(ESF[[#This Row],[nE]]=1,ESF[[#This Row],[As,lado (cm²)]],IF(ESF[[#This Row],[nE]]=2,0.075*2*ESF[a (cm)],"N.A."))</f>
        <v>#DIV/0!</v>
      </c>
      <c r="AU117" s="4" t="str">
        <f ca="1">IFERROR(IF(ESF[[#This Row],[nE]]=1,"N.A.",0.2*ESF[[#This Row],[As,lado (cm²)]]),"N.S.")</f>
        <v>N.S.</v>
      </c>
      <c r="AV117" s="4" t="e">
        <f ca="1">As_malha(ESF[[#This Row],[nE]],ESF[[#This Row],[As,lado (cm²)]],ESF[[#This Row],[Nsd (kN)]])</f>
        <v>#VALUE!</v>
      </c>
      <c r="AW117" s="4" t="e">
        <f ca="1">As_susp_tot(ESF[[#This Row],[nE]],ESF[[#This Row],[Nsd (kN)]])</f>
        <v>#VALUE!</v>
      </c>
      <c r="AX117" s="4" t="e">
        <f ca="1">Asp_face(ESF[[#This Row],[nE]],ESF[[#This Row],[As,lado (cm²)]])</f>
        <v>#VALUE!</v>
      </c>
      <c r="AY117" s="5" t="e">
        <f ca="1">acoBloco(ESF[[#This Row],[nE]],ESF[[#This Row],[e (cm)]],ESF[[#This Row],[a (cm)]],ESF[[#This Row],[h (cm)]],ESF[[#This Row],[As,lado (cm²)]],ESF[[#This Row],[Asp e Asw (cm²/m)]],ESF[[#This Row],[As,sup (cm²)]],ESF[[#This Row],[As,malha (cm²)]],ESF[[#This Row],[As,susp,tot (cm²)]],ESF[[#This Row],[Asp,face (cm²)]])</f>
        <v>#VALUE!</v>
      </c>
      <c r="AZ117" s="4" t="e">
        <f ca="1">concretoBloco(ESF[[#This Row],[nE]],ESF[[#This Row],[e (cm)]],ESF[[#This Row],[a (cm)]],ESF[[#This Row],[h (cm)]])</f>
        <v>#VALUE!</v>
      </c>
      <c r="BA117" s="5" t="e">
        <f ca="1">SUM(ESF[[#This Row],[Aço Est (kg)]],ESF[[#This Row],[Aço Bloco (kg)]])</f>
        <v>#DIV/0!</v>
      </c>
      <c r="BB117" s="4">
        <f>INDEX(composicoes[],MATCH(95580,composicoes[CÓDIGO],0),MATCH("CUSTO TOTAL",composicoes[#Headers],0))</f>
        <v>10.46</v>
      </c>
      <c r="BC117" s="4" t="e">
        <f ca="1">SUM(ESF[[#This Row],[Conc Est (m³)]],ESF[[#This Row],[Conc Bloco (m³)]])</f>
        <v>#DIV/0!</v>
      </c>
      <c r="BD117" s="4">
        <f>INDEX(composicoes[],MATCH(94966,composicoes[CÓDIGO],0),MATCH("CUSTO TOTAL",composicoes[#Headers],0))</f>
        <v>439.52</v>
      </c>
      <c r="BE117" s="38" t="e">
        <f ca="1">ESF[[#This Row],[Aço (kg)]]*ESF[[#This Row],[Aço (R$/kg)]]+ESF[[#This Row],[Conc (m³)]]*ESF[[#This Row],[Conc (R$/m³)]]</f>
        <v>#DIV/0!</v>
      </c>
      <c r="BF117" s="4" t="str">
        <f ca="1">IF(COUNTIF(ESF[#This Row],"N.S.")&gt;0,"lim.","OK")</f>
        <v>lim.</v>
      </c>
      <c r="BG117" s="4" t="str">
        <f>IF(ESF[[#This Row],[Prof. (m)]]&lt;3,"lim.","OK")</f>
        <v>lim.</v>
      </c>
      <c r="BH117" s="4" t="str">
        <f>IF(ESF[[#This Row],[Prof. (m)]]&gt;=8*ESF[[#This Row],[Ø (cm)]]/100,"OK","lim.")</f>
        <v>lim.</v>
      </c>
      <c r="BI117" s="4" t="str">
        <f>IF(AND(SPT!$F$3&lt;&gt;"",ESF[[#This Row],[Prof. (m)]]&gt;=SPT!$F$3),"lim.","OK")</f>
        <v>OK</v>
      </c>
      <c r="BJ117" s="4" t="str">
        <f>IF(COUNTIFS(ESF[Solo],"Areia",ESF[Prof. (m)],"&lt;="&amp;ESF[[#This Row],[Prof. (m)]])&gt;=1,"lim.","OK")</f>
        <v>OK</v>
      </c>
      <c r="BK117" s="4" t="str">
        <f ca="1">IF(ESF[[#This Row],[Verif. Biela]]="OK","OK","lim.")</f>
        <v>OK</v>
      </c>
      <c r="BL117" s="4" t="str">
        <f ca="1">IF(COUNTA(ESF[[#This Row],[Nº Est.]:[Biela comp.]])=COUNTIF(ESF[[#This Row],[Nº Est.]:[Biela comp.]],"OK"),"OK","lim.")</f>
        <v>lim.</v>
      </c>
      <c r="BM117" s="4" t="str">
        <f ca="1">IF(ESF[[#This Row],[Controle]]="OK",ESF[[#This Row],[nE]]&amp;" Ø"&amp;ESF[[#This Row],[Ø (cm)]]&amp;"cm Prof. "&amp;ESF[[#This Row],[Prof. (m)]]&amp;" m","")</f>
        <v/>
      </c>
      <c r="BN117" s="4" t="str">
        <f ca="1">IF(ESF[[#This Row],[idDimensionamento]]="","",ESF[[#This Row],[idPilar]]&amp;ESF[[#This Row],[idDimensionamento]])</f>
        <v/>
      </c>
    </row>
    <row r="118" spans="2:66" x14ac:dyDescent="0.25">
      <c r="B118" s="12">
        <f>ROUNDUP((ROW(ESF[[#This Row],[idDiâmetro]])-ROW(ESF[[#Headers],[idDiâmetro]]))/(COUNT(SPT[Prof. (m)])*COUNT(PILARES[Pilar])),0)</f>
        <v>5</v>
      </c>
      <c r="C118" s="12">
        <f>IF(ESF[[#This Row],[idDiâmetro]]&lt;&gt;B117,1,IF(ESF[[#This Row],[Prof. (m)]]=0,C117+1,C117))</f>
        <v>1</v>
      </c>
      <c r="D118" s="1">
        <f>IFERROR(IF(D117=MAX(SPT[Prof. (m)]),0,D117+1),0)</f>
        <v>1</v>
      </c>
      <c r="E118" s="1">
        <f>INDEX(SPT[],MATCH(ESF[[#This Row],[Prof. (m)]],SPT[Prof. (m)],0),2)</f>
        <v>2</v>
      </c>
      <c r="F118" s="1" t="str">
        <f>INDEX(SPT[],MATCH(ESF[[#This Row],[Prof. (m)]],SPT[Prof. (m)],0),3)</f>
        <v>Areia siltosa</v>
      </c>
      <c r="G118" s="1">
        <f>INDEX(estacas[],ESF[[#This Row],[idDiâmetro]],MATCH($B$2,estacas[#Headers],0))</f>
        <v>45</v>
      </c>
      <c r="H118" s="1">
        <f>INDEX(estacas[],MATCH(ESF[[#This Row],[Ø (cm)]],estacas[Ø ESF (cm)],0),MATCH(ESF[[#Headers],[Pe ESF (kN)]],estacas[#Headers],0))</f>
        <v>810</v>
      </c>
      <c r="I118" s="4">
        <f>INDEX(K_alpha_C[],MATCH(ESF[[#This Row],[Solo]],K_alpha_C[Solo],0),2)</f>
        <v>0.8</v>
      </c>
      <c r="J118" s="5">
        <f>INDEX(K_alpha_C[],MATCH(ESF[[#This Row],[Solo]],K_alpha_C[Solo],0),3)</f>
        <v>2</v>
      </c>
      <c r="K118" s="4">
        <f>INDEX(F1_F2[],MATCH($D$2,F1_F2[Tipo de estaca],0),2)</f>
        <v>3</v>
      </c>
      <c r="L118" s="4">
        <f>INDEX(F1_F2[],MATCH($D$2,F1_F2[Tipo de estaca],0),3)</f>
        <v>6</v>
      </c>
      <c r="M118" s="4">
        <f>PI()*(ESF[[#This Row],[Ø (cm)]]/100)^2/4</f>
        <v>0.15904312808798329</v>
      </c>
      <c r="N118" s="4">
        <f>PI()*ESF[[#This Row],[Ø (cm)]]/100</f>
        <v>1.4137166941154069</v>
      </c>
      <c r="O118" s="4">
        <f>IF(ESF[[#This Row],[Prof. (m)]]=0,0,ESF[[#This Row],[α (%)]]/100*ESF[[#This Row],[K (MPa)]]*1000*ESF[[#This Row],[NSPT]])</f>
        <v>32</v>
      </c>
      <c r="P118" s="4">
        <f>IF(ESF[[#This Row],[Prof. (m)]]=0,0,(ESF[[#This Row],[K (MPa)]]*1000*ESF[[#This Row],[NSPT]]/ESF[[#This Row],[F1]]*ESF[[#This Row],[Ap (m²)]]+ESF[[#This Row],[U (m)]]/ESF[[#This Row],[F2]]*SUMIFS(ESF[(α∙K∙NL∙ΔL)],ESF[Prof. (m)],"&lt;="&amp;ESF[[#This Row],[Prof. (m)]],ESF[idDiâmetro],ESF[[#This Row],[idDiâmetro]],ESF[idPilar],ESF[[#This Row],[idPilar]]))/'DADOS CAP. CARGA'!$D$2)</f>
        <v>46.181412007769964</v>
      </c>
      <c r="Q118" s="12">
        <f>INDEX(C_alpha_beta[],MATCH(ESF[[#This Row],[Solo]],C_alpha_beta[Solo],0),MATCH(ESF[[#Headers],[C (kPa)]],C_alpha_beta[#Headers],0))</f>
        <v>400</v>
      </c>
      <c r="R118" s="4">
        <f>INDEX(C_alpha_beta[],MATCH(ESF[[#This Row],[Solo]],C_alpha_beta[Solo],0),MATCH(ESF[[#Headers],[α ESF]],C_alpha_beta[#Headers],0))</f>
        <v>0.5</v>
      </c>
      <c r="S118" s="4">
        <f>INDEX(C_alpha_beta[],MATCH(ESF[[#This Row],[Solo]],C_alpha_beta[Solo],0),MATCH(ESF[[#Headers],[β ESF]],C_alpha_beta[#Headers],0))</f>
        <v>0.5</v>
      </c>
      <c r="T118" s="4">
        <f>IF(ESF[[#This Row],[Prof. (m)]]=0,0,10*(ESF[[#This Row],[NSPT]]/3+1))</f>
        <v>16.666666666666664</v>
      </c>
      <c r="U118" s="4">
        <f>(ESF[[#This Row],[α ESF]]*ESF[[#This Row],[C (kPa)]]*ESF[[#This Row],[NSPT]]*ESF[[#This Row],[Ap (m²)]])/'DADOS CAP. CARGA'!$Q$2+(ESF[[#This Row],[β ESF]]*SUMIFS(ESF[10∙(NL/3+1)],ESF[Prof. (m)],"&lt;="&amp;ESF[[#This Row],[Prof. (m)]],ESF[idDiâmetro],ESF[[#This Row],[idDiâmetro]],ESF[idPilar],ESF[[#This Row],[idPilar]])*ESF[[#This Row],[U (m)]])/'DADOS CAP. CARGA'!$S$2</f>
        <v>21.79479903427919</v>
      </c>
      <c r="V118" s="4">
        <f>IF(SPT!$M$5=1,MIN(ESF[[#This Row],[Pe ESF (kN)]],ESF[[#This Row],[R_AV (kN)]]),IF(SPT!$M$5=2,MIN(ESF[[#This Row],[Pe ESF (kN)]],ESF[[#This Row],[R_DC (kN)]]),MIN(ESF[[#This Row],[Pe ESF (kN)]],ESF[[#This Row],[R_AV (kN)]],ESF[[#This Row],[R_DC (kN)]])))</f>
        <v>21.79479903427919</v>
      </c>
      <c r="W118" s="4">
        <f>INDEX(PILARES[],ESF[[#This Row],[idPilar]],MATCH("Carga (kN)",PILARES[#Headers],0))*1.4</f>
        <v>3500</v>
      </c>
      <c r="X118" s="12">
        <f>INDEX(PILARES[],ESF[[#This Row],[idPilar]],MATCH(ESF[[#Headers],[ap (cm)]],PILARES[#Headers],0))</f>
        <v>60</v>
      </c>
      <c r="Y118" s="12">
        <f>INDEX(PILARES[],ESF[[#This Row],[idPilar]],MATCH(ESF[[#Headers],[bp (cm)]],PILARES[#Headers],0))</f>
        <v>60</v>
      </c>
      <c r="Z118" s="4">
        <f>SQRT(ESF[[#This Row],[ap (cm)]]*ESF[[#This Row],[bp (cm)]])</f>
        <v>60</v>
      </c>
      <c r="AA118" s="12">
        <f>ESF[[#This Row],[ap (cm)]]*ESF[[#This Row],[bp (cm)]]</f>
        <v>3600</v>
      </c>
      <c r="AB118" s="12">
        <f ca="1">IF(ESF[[#This Row],[Padm∙ε (kN)]]&gt;=ESF[[#This Row],[Padm (kN)]],ROUNDUP(1.05*ESF[[#This Row],[Nsd (kN)]]/ESF[[#This Row],[Padm (kN)]],0),ROUNDUP(1.05*ESF[[#This Row],[Nsd (kN)]]/ESF[[#This Row],[Padm (kN)]],0)+1)</f>
        <v>169</v>
      </c>
      <c r="AC118" s="4" t="str">
        <f ca="1">IFERROR(IF(ESF[[#This Row],[nE]]=1,ESF[[#This Row],[Padm (kN)]],ESF[[#This Row],[Padm (kN)]]*ESF[[#This Row],[nE]]*INDEX(grupoEstacas[],ESF[[#This Row],[nE]],MATCH("ε",grupoEstacas[#Headers],0))),"N.S.")</f>
        <v>N.S.</v>
      </c>
      <c r="AD118" s="4">
        <f ca="1">1.05*ESF[[#This Row],[Nsd (kN)]]/(ESF[[#This Row],[nE]]*PI()*ESF[[#This Row],[Ø (cm)]]^2/4)*10</f>
        <v>0.1367274549463576</v>
      </c>
      <c r="AE118" s="4">
        <f ca="1">IF(ESF[[#This Row],[σ (MPa)]]&lt;INDEX(tipoEstaca[],MATCH($D$2,tipoEstaca[TIPO DE ESTACA],0),MATCH("σmáx (MPa)",tipoEstaca[#Headers],0)),0.4%*PI()*ESF[[#This Row],[Ø (cm)]]^2/4,"N.S.")</f>
        <v>6.3617251235193315</v>
      </c>
      <c r="AF118" s="1">
        <f>INDEX(tipoEstaca[],MATCH($D$2,tipoEstaca[TIPO DE ESTACA],0),MATCH(ESF[[#Headers],[Comprimento (m)]],tipoEstaca[#Headers],0))</f>
        <v>2</v>
      </c>
      <c r="AG118" s="5">
        <f ca="1">ESF[[#This Row],[As,mín (cm²)]]/100^2*ESF[[#This Row],[Comprimento (m)]]*7850</f>
        <v>9.9879084439253507</v>
      </c>
      <c r="AH118" s="4">
        <f ca="1">ESF[[#This Row],[nE]]*ESF[[#This Row],[Prof. (m)]]*ESF[[#This Row],[Ap (m²)]]</f>
        <v>26.878288646869176</v>
      </c>
      <c r="AI118" s="1">
        <f ca="1">IF(ESF[[#This Row],[nE]]=1,0,MAX(3*ESF[[#This Row],[Ø (cm)]],60))</f>
        <v>135</v>
      </c>
      <c r="AJ118" s="1">
        <f ca="1">IF(ESF[[#This Row],[nE]]=1,ESF[[#This Row],[Ø (cm)]]+2*10,MAX(1.5*ESF[[#This Row],[Ø (cm)]],ESF[[#This Row],[Ø (cm)]]+15))</f>
        <v>67.5</v>
      </c>
      <c r="AK118" s="1" t="str">
        <f ca="1">alturaUtil(ESF[[#This Row],[nE]],ESF[[#This Row],[Ø (cm)]],ESF[[#This Row],[e (cm)]],ESF[[#This Row],[ap,eq (cm)]])</f>
        <v>N.S.</v>
      </c>
      <c r="AL118" s="1" t="str">
        <f ca="1">IFERROR(ESF[[#This Row],[d (cm)]]+arredondarParaCimaMultiplo5cm(MAX(5,SQRT(PI())/2*ESF[[#This Row],[Ø (cm)]]/5)),"N.S.")</f>
        <v>N.S.</v>
      </c>
      <c r="AM118" s="5" t="str">
        <f ca="1">alpha(ESF[[#This Row],[nE]],ESF[[#This Row],[d (cm)]],ESF[[#This Row],[e (cm)]],ESF[[#This Row],[ap,eq (cm)]])</f>
        <v>N.S.</v>
      </c>
      <c r="AN118" s="35" t="str">
        <f ca="1">IFERROR(ESF[[#This Row],[Nsd (kN)]]/(ESF[[#This Row],[Ap (cm²)]]*SIN(ESF[[#This Row],[α]])^2),"N.S.")</f>
        <v>N.S.</v>
      </c>
      <c r="AO118" s="35" t="str">
        <f ca="1">IFERROR(ESF[[#This Row],[Nsd (kN)]]/(ESF[[#This Row],[nE]]*PI()*ESF[[#This Row],[Ø (cm)]]^2/4*SIN(ESF[[#This Row],[α]])^2),"N.S.")</f>
        <v>N.S.</v>
      </c>
      <c r="AP118" s="4" t="str">
        <f ca="1">IFERROR(INDEX(grupoEstacas[],ESF[[#This Row],[nE]],MATCH("coef. Blévot",grupoEstacas[#Headers],0)),"N.S.")</f>
        <v>N.S.</v>
      </c>
      <c r="AQ118" s="35" t="str">
        <f ca="1">IFERROR(ESF[[#This Row],[coef. Blévot]]*0.9*INDEX(tipoEstaca[],MATCH($D$2,tipoEstaca[TIPO DE ESTACA],0),MATCH("fcd (kN/cm²)",tipoEstaca[#Headers],0)),"N.S.")</f>
        <v>N.S.</v>
      </c>
      <c r="AR118" s="1" t="str">
        <f ca="1">IF(AND(ESF[[#This Row],[cd,b,pil (kN/cm²)]]&lt;=ESF[[#This Row],[cd,b,lim (kN/cm²)]],ESF[[#This Row],[cd,b,est (kN/cm²)]]&lt;=ESF[[#This Row],[cd,b,lim (kN/cm²)]]),"OK","ERRO")</f>
        <v>OK</v>
      </c>
      <c r="AS118" s="4" t="str">
        <f ca="1">As_lado(ESF[[#This Row],[nE]],ESF[[#This Row],[Nsd (kN)]],ESF[[#This Row],[d (cm)]],ESF[[#This Row],[e (cm)]],ESF[[#This Row],[ap,eq (cm)]])</f>
        <v>N.S.</v>
      </c>
      <c r="AT118" s="4" t="str">
        <f ca="1">IF(ESF[[#This Row],[nE]]=1,ESF[[#This Row],[As,lado (cm²)]],IF(ESF[[#This Row],[nE]]=2,0.075*2*ESF[a (cm)],"N.A."))</f>
        <v>N.A.</v>
      </c>
      <c r="AU118" s="4" t="str">
        <f ca="1">IFERROR(IF(ESF[[#This Row],[nE]]=1,"N.A.",0.2*ESF[[#This Row],[As,lado (cm²)]]),"N.S.")</f>
        <v>N.S.</v>
      </c>
      <c r="AV118" s="4" t="str">
        <f ca="1">As_malha(ESF[[#This Row],[nE]],ESF[[#This Row],[As,lado (cm²)]],ESF[[#This Row],[Nsd (kN)]])</f>
        <v>N.S.</v>
      </c>
      <c r="AW118" s="4" t="str">
        <f ca="1">As_susp_tot(ESF[[#This Row],[nE]],ESF[[#This Row],[Nsd (kN)]])</f>
        <v>N.S.</v>
      </c>
      <c r="AX118" s="4" t="str">
        <f ca="1">Asp_face(ESF[[#This Row],[nE]],ESF[[#This Row],[As,lado (cm²)]])</f>
        <v>N.S.</v>
      </c>
      <c r="AY118" s="5" t="str">
        <f ca="1">acoBloco(ESF[[#This Row],[nE]],ESF[[#This Row],[e (cm)]],ESF[[#This Row],[a (cm)]],ESF[[#This Row],[h (cm)]],ESF[[#This Row],[As,lado (cm²)]],ESF[[#This Row],[Asp e Asw (cm²/m)]],ESF[[#This Row],[As,sup (cm²)]],ESF[[#This Row],[As,malha (cm²)]],ESF[[#This Row],[As,susp,tot (cm²)]],ESF[[#This Row],[Asp,face (cm²)]])</f>
        <v>N.S.</v>
      </c>
      <c r="AZ118" s="4" t="str">
        <f ca="1">concretoBloco(ESF[[#This Row],[nE]],ESF[[#This Row],[e (cm)]],ESF[[#This Row],[a (cm)]],ESF[[#This Row],[h (cm)]])</f>
        <v>N.S.</v>
      </c>
      <c r="BA118" s="5">
        <f ca="1">SUM(ESF[[#This Row],[Aço Est (kg)]],ESF[[#This Row],[Aço Bloco (kg)]])</f>
        <v>9.9879084439253507</v>
      </c>
      <c r="BB118" s="4">
        <f>INDEX(composicoes[],MATCH(95580,composicoes[CÓDIGO],0),MATCH("CUSTO TOTAL",composicoes[#Headers],0))</f>
        <v>10.46</v>
      </c>
      <c r="BC118" s="4">
        <f ca="1">SUM(ESF[[#This Row],[Conc Est (m³)]],ESF[[#This Row],[Conc Bloco (m³)]])</f>
        <v>26.878288646869176</v>
      </c>
      <c r="BD118" s="4">
        <f>INDEX(composicoes[],MATCH(94966,composicoes[CÓDIGO],0),MATCH("CUSTO TOTAL",composicoes[#Headers],0))</f>
        <v>439.52</v>
      </c>
      <c r="BE118" s="38">
        <f ca="1">ESF[[#This Row],[Aço (kg)]]*ESF[[#This Row],[Aço (R$/kg)]]+ESF[[#This Row],[Conc (m³)]]*ESF[[#This Row],[Conc (R$/m³)]]</f>
        <v>11918.018948395398</v>
      </c>
      <c r="BF118" s="4" t="str">
        <f ca="1">IF(COUNTIF(ESF[#This Row],"N.S.")&gt;0,"lim.","OK")</f>
        <v>lim.</v>
      </c>
      <c r="BG118" s="4" t="str">
        <f>IF(ESF[[#This Row],[Prof. (m)]]&lt;3,"lim.","OK")</f>
        <v>lim.</v>
      </c>
      <c r="BH118" s="4" t="str">
        <f>IF(ESF[[#This Row],[Prof. (m)]]&gt;=8*ESF[[#This Row],[Ø (cm)]]/100,"OK","lim.")</f>
        <v>lim.</v>
      </c>
      <c r="BI118" s="4" t="str">
        <f>IF(AND(SPT!$F$3&lt;&gt;"",ESF[[#This Row],[Prof. (m)]]&gt;=SPT!$F$3),"lim.","OK")</f>
        <v>OK</v>
      </c>
      <c r="BJ118" s="4" t="str">
        <f>IF(COUNTIFS(ESF[Solo],"Areia",ESF[Prof. (m)],"&lt;="&amp;ESF[[#This Row],[Prof. (m)]])&gt;=1,"lim.","OK")</f>
        <v>OK</v>
      </c>
      <c r="BK118" s="4" t="str">
        <f ca="1">IF(ESF[[#This Row],[Verif. Biela]]="OK","OK","lim.")</f>
        <v>OK</v>
      </c>
      <c r="BL118" s="4" t="str">
        <f ca="1">IF(COUNTA(ESF[[#This Row],[Nº Est.]:[Biela comp.]])=COUNTIF(ESF[[#This Row],[Nº Est.]:[Biela comp.]],"OK"),"OK","lim.")</f>
        <v>lim.</v>
      </c>
      <c r="BM118" s="4" t="str">
        <f ca="1">IF(ESF[[#This Row],[Controle]]="OK",ESF[[#This Row],[nE]]&amp;" Ø"&amp;ESF[[#This Row],[Ø (cm)]]&amp;"cm Prof. "&amp;ESF[[#This Row],[Prof. (m)]]&amp;" m","")</f>
        <v/>
      </c>
      <c r="BN118" s="4" t="str">
        <f ca="1">IF(ESF[[#This Row],[idDimensionamento]]="","",ESF[[#This Row],[idPilar]]&amp;ESF[[#This Row],[idDimensionamento]])</f>
        <v/>
      </c>
    </row>
    <row r="119" spans="2:66" x14ac:dyDescent="0.25">
      <c r="B119" s="12">
        <f>ROUNDUP((ROW(ESF[[#This Row],[idDiâmetro]])-ROW(ESF[[#Headers],[idDiâmetro]]))/(COUNT(SPT[Prof. (m)])*COUNT(PILARES[Pilar])),0)</f>
        <v>5</v>
      </c>
      <c r="C119" s="12">
        <f>IF(ESF[[#This Row],[idDiâmetro]]&lt;&gt;B118,1,IF(ESF[[#This Row],[Prof. (m)]]=0,C118+1,C118))</f>
        <v>1</v>
      </c>
      <c r="D119" s="1">
        <f>IFERROR(IF(D118=MAX(SPT[Prof. (m)]),0,D118+1),0)</f>
        <v>2</v>
      </c>
      <c r="E119" s="1">
        <f>INDEX(SPT[],MATCH(ESF[[#This Row],[Prof. (m)]],SPT[Prof. (m)],0),2)</f>
        <v>2</v>
      </c>
      <c r="F119" s="1" t="str">
        <f>INDEX(SPT[],MATCH(ESF[[#This Row],[Prof. (m)]],SPT[Prof. (m)],0),3)</f>
        <v>Areia siltosa</v>
      </c>
      <c r="G119" s="1">
        <f>INDEX(estacas[],ESF[[#This Row],[idDiâmetro]],MATCH($B$2,estacas[#Headers],0))</f>
        <v>45</v>
      </c>
      <c r="H119" s="1">
        <f>INDEX(estacas[],MATCH(ESF[[#This Row],[Ø (cm)]],estacas[Ø ESF (cm)],0),MATCH(ESF[[#Headers],[Pe ESF (kN)]],estacas[#Headers],0))</f>
        <v>810</v>
      </c>
      <c r="I119" s="4">
        <f>INDEX(K_alpha_C[],MATCH(ESF[[#This Row],[Solo]],K_alpha_C[Solo],0),2)</f>
        <v>0.8</v>
      </c>
      <c r="J119" s="5">
        <f>INDEX(K_alpha_C[],MATCH(ESF[[#This Row],[Solo]],K_alpha_C[Solo],0),3)</f>
        <v>2</v>
      </c>
      <c r="K119" s="4">
        <f>INDEX(F1_F2[],MATCH($D$2,F1_F2[Tipo de estaca],0),2)</f>
        <v>3</v>
      </c>
      <c r="L119" s="4">
        <f>INDEX(F1_F2[],MATCH($D$2,F1_F2[Tipo de estaca],0),3)</f>
        <v>6</v>
      </c>
      <c r="M119" s="4">
        <f>PI()*(ESF[[#This Row],[Ø (cm)]]/100)^2/4</f>
        <v>0.15904312808798329</v>
      </c>
      <c r="N119" s="4">
        <f>PI()*ESF[[#This Row],[Ø (cm)]]/100</f>
        <v>1.4137166941154069</v>
      </c>
      <c r="O119" s="4">
        <f>IF(ESF[[#This Row],[Prof. (m)]]=0,0,ESF[[#This Row],[α (%)]]/100*ESF[[#This Row],[K (MPa)]]*1000*ESF[[#This Row],[NSPT]])</f>
        <v>32</v>
      </c>
      <c r="P119" s="4">
        <f>IF(ESF[[#This Row],[Prof. (m)]]=0,0,(ESF[[#This Row],[K (MPa)]]*1000*ESF[[#This Row],[NSPT]]/ESF[[#This Row],[F1]]*ESF[[#This Row],[Ap (m²)]]+ESF[[#This Row],[U (m)]]/ESF[[#This Row],[F2]]*SUMIFS(ESF[(α∙K∙NL∙ΔL)],ESF[Prof. (m)],"&lt;="&amp;ESF[[#This Row],[Prof. (m)]],ESF[idDiâmetro],ESF[[#This Row],[idDiâmetro]],ESF[idPilar],ESF[[#This Row],[idPilar]]))/'DADOS CAP. CARGA'!$D$2)</f>
        <v>49.951323192077716</v>
      </c>
      <c r="Q119" s="12">
        <f>INDEX(C_alpha_beta[],MATCH(ESF[[#This Row],[Solo]],C_alpha_beta[Solo],0),MATCH(ESF[[#Headers],[C (kPa)]],C_alpha_beta[#Headers],0))</f>
        <v>400</v>
      </c>
      <c r="R119" s="4">
        <f>INDEX(C_alpha_beta[],MATCH(ESF[[#This Row],[Solo]],C_alpha_beta[Solo],0),MATCH(ESF[[#Headers],[α ESF]],C_alpha_beta[#Headers],0))</f>
        <v>0.5</v>
      </c>
      <c r="S119" s="4">
        <f>INDEX(C_alpha_beta[],MATCH(ESF[[#This Row],[Solo]],C_alpha_beta[Solo],0),MATCH(ESF[[#Headers],[β ESF]],C_alpha_beta[#Headers],0))</f>
        <v>0.5</v>
      </c>
      <c r="T119" s="4">
        <f>IF(ESF[[#This Row],[Prof. (m)]]=0,0,10*(ESF[[#This Row],[NSPT]]/3+1))</f>
        <v>16.666666666666664</v>
      </c>
      <c r="U119" s="4">
        <f>(ESF[[#This Row],[α ESF]]*ESF[[#This Row],[C (kPa)]]*ESF[[#This Row],[NSPT]]*ESF[[#This Row],[Ap (m²)]])/'DADOS CAP. CARGA'!$Q$2+(ESF[[#This Row],[β ESF]]*SUMIFS(ESF[10∙(NL/3+1)],ESF[Prof. (m)],"&lt;="&amp;ESF[[#This Row],[Prof. (m)]],ESF[idDiâmetro],ESF[[#This Row],[idDiâmetro]],ESF[idPilar],ESF[[#This Row],[idPilar]])*ESF[[#This Row],[U (m)]])/'DADOS CAP. CARGA'!$S$2</f>
        <v>27.68528525976005</v>
      </c>
      <c r="V119" s="4">
        <f>IF(SPT!$M$5=1,MIN(ESF[[#This Row],[Pe ESF (kN)]],ESF[[#This Row],[R_AV (kN)]]),IF(SPT!$M$5=2,MIN(ESF[[#This Row],[Pe ESF (kN)]],ESF[[#This Row],[R_DC (kN)]]),MIN(ESF[[#This Row],[Pe ESF (kN)]],ESF[[#This Row],[R_AV (kN)]],ESF[[#This Row],[R_DC (kN)]])))</f>
        <v>27.68528525976005</v>
      </c>
      <c r="W119" s="4">
        <f>INDEX(PILARES[],ESF[[#This Row],[idPilar]],MATCH("Carga (kN)",PILARES[#Headers],0))*1.4</f>
        <v>3500</v>
      </c>
      <c r="X119" s="12">
        <f>INDEX(PILARES[],ESF[[#This Row],[idPilar]],MATCH(ESF[[#Headers],[ap (cm)]],PILARES[#Headers],0))</f>
        <v>60</v>
      </c>
      <c r="Y119" s="12">
        <f>INDEX(PILARES[],ESF[[#This Row],[idPilar]],MATCH(ESF[[#Headers],[bp (cm)]],PILARES[#Headers],0))</f>
        <v>60</v>
      </c>
      <c r="Z119" s="4">
        <f>SQRT(ESF[[#This Row],[ap (cm)]]*ESF[[#This Row],[bp (cm)]])</f>
        <v>60</v>
      </c>
      <c r="AA119" s="12">
        <f>ESF[[#This Row],[ap (cm)]]*ESF[[#This Row],[bp (cm)]]</f>
        <v>3600</v>
      </c>
      <c r="AB119" s="12">
        <f ca="1">IF(ESF[[#This Row],[Padm∙ε (kN)]]&gt;=ESF[[#This Row],[Padm (kN)]],ROUNDUP(1.05*ESF[[#This Row],[Nsd (kN)]]/ESF[[#This Row],[Padm (kN)]],0),ROUNDUP(1.05*ESF[[#This Row],[Nsd (kN)]]/ESF[[#This Row],[Padm (kN)]],0)+1)</f>
        <v>133</v>
      </c>
      <c r="AC119" s="4" t="str">
        <f ca="1">IFERROR(IF(ESF[[#This Row],[nE]]=1,ESF[[#This Row],[Padm (kN)]],ESF[[#This Row],[Padm (kN)]]*ESF[[#This Row],[nE]]*INDEX(grupoEstacas[],ESF[[#This Row],[nE]],MATCH("ε",grupoEstacas[#Headers],0))),"N.S.")</f>
        <v>N.S.</v>
      </c>
      <c r="AD119" s="4">
        <f ca="1">1.05*ESF[[#This Row],[Nsd (kN)]]/(ESF[[#This Row],[nE]]*PI()*ESF[[#This Row],[Ø (cm)]]^2/4)*10</f>
        <v>0.17373639011980777</v>
      </c>
      <c r="AE119" s="4">
        <f ca="1">IF(ESF[[#This Row],[σ (MPa)]]&lt;INDEX(tipoEstaca[],MATCH($D$2,tipoEstaca[TIPO DE ESTACA],0),MATCH("σmáx (MPa)",tipoEstaca[#Headers],0)),0.4%*PI()*ESF[[#This Row],[Ø (cm)]]^2/4,"N.S.")</f>
        <v>6.3617251235193315</v>
      </c>
      <c r="AF119" s="1">
        <f>INDEX(tipoEstaca[],MATCH($D$2,tipoEstaca[TIPO DE ESTACA],0),MATCH(ESF[[#Headers],[Comprimento (m)]],tipoEstaca[#Headers],0))</f>
        <v>2</v>
      </c>
      <c r="AG119" s="5">
        <f ca="1">ESF[[#This Row],[As,mín (cm²)]]/100^2*ESF[[#This Row],[Comprimento (m)]]*7850</f>
        <v>9.9879084439253507</v>
      </c>
      <c r="AH119" s="4">
        <f ca="1">ESF[[#This Row],[nE]]*ESF[[#This Row],[Prof. (m)]]*ESF[[#This Row],[Ap (m²)]]</f>
        <v>42.305472071403557</v>
      </c>
      <c r="AI119" s="1">
        <f ca="1">IF(ESF[[#This Row],[nE]]=1,0,MAX(3*ESF[[#This Row],[Ø (cm)]],60))</f>
        <v>135</v>
      </c>
      <c r="AJ119" s="1">
        <f ca="1">IF(ESF[[#This Row],[nE]]=1,ESF[[#This Row],[Ø (cm)]]+2*10,MAX(1.5*ESF[[#This Row],[Ø (cm)]],ESF[[#This Row],[Ø (cm)]]+15))</f>
        <v>67.5</v>
      </c>
      <c r="AK119" s="1" t="str">
        <f ca="1">alturaUtil(ESF[[#This Row],[nE]],ESF[[#This Row],[Ø (cm)]],ESF[[#This Row],[e (cm)]],ESF[[#This Row],[ap,eq (cm)]])</f>
        <v>N.S.</v>
      </c>
      <c r="AL119" s="1" t="str">
        <f ca="1">IFERROR(ESF[[#This Row],[d (cm)]]+arredondarParaCimaMultiplo5cm(MAX(5,SQRT(PI())/2*ESF[[#This Row],[Ø (cm)]]/5)),"N.S.")</f>
        <v>N.S.</v>
      </c>
      <c r="AM119" s="5" t="str">
        <f ca="1">alpha(ESF[[#This Row],[nE]],ESF[[#This Row],[d (cm)]],ESF[[#This Row],[e (cm)]],ESF[[#This Row],[ap,eq (cm)]])</f>
        <v>N.S.</v>
      </c>
      <c r="AN119" s="35" t="str">
        <f ca="1">IFERROR(ESF[[#This Row],[Nsd (kN)]]/(ESF[[#This Row],[Ap (cm²)]]*SIN(ESF[[#This Row],[α]])^2),"N.S.")</f>
        <v>N.S.</v>
      </c>
      <c r="AO119" s="35" t="str">
        <f ca="1">IFERROR(ESF[[#This Row],[Nsd (kN)]]/(ESF[[#This Row],[nE]]*PI()*ESF[[#This Row],[Ø (cm)]]^2/4*SIN(ESF[[#This Row],[α]])^2),"N.S.")</f>
        <v>N.S.</v>
      </c>
      <c r="AP119" s="4" t="str">
        <f ca="1">IFERROR(INDEX(grupoEstacas[],ESF[[#This Row],[nE]],MATCH("coef. Blévot",grupoEstacas[#Headers],0)),"N.S.")</f>
        <v>N.S.</v>
      </c>
      <c r="AQ119" s="35" t="str">
        <f ca="1">IFERROR(ESF[[#This Row],[coef. Blévot]]*0.9*INDEX(tipoEstaca[],MATCH($D$2,tipoEstaca[TIPO DE ESTACA],0),MATCH("fcd (kN/cm²)",tipoEstaca[#Headers],0)),"N.S.")</f>
        <v>N.S.</v>
      </c>
      <c r="AR119" s="1" t="str">
        <f ca="1">IF(AND(ESF[[#This Row],[cd,b,pil (kN/cm²)]]&lt;=ESF[[#This Row],[cd,b,lim (kN/cm²)]],ESF[[#This Row],[cd,b,est (kN/cm²)]]&lt;=ESF[[#This Row],[cd,b,lim (kN/cm²)]]),"OK","ERRO")</f>
        <v>OK</v>
      </c>
      <c r="AS119" s="4" t="str">
        <f ca="1">As_lado(ESF[[#This Row],[nE]],ESF[[#This Row],[Nsd (kN)]],ESF[[#This Row],[d (cm)]],ESF[[#This Row],[e (cm)]],ESF[[#This Row],[ap,eq (cm)]])</f>
        <v>N.S.</v>
      </c>
      <c r="AT119" s="4" t="str">
        <f ca="1">IF(ESF[[#This Row],[nE]]=1,ESF[[#This Row],[As,lado (cm²)]],IF(ESF[[#This Row],[nE]]=2,0.075*2*ESF[a (cm)],"N.A."))</f>
        <v>N.A.</v>
      </c>
      <c r="AU119" s="4" t="str">
        <f ca="1">IFERROR(IF(ESF[[#This Row],[nE]]=1,"N.A.",0.2*ESF[[#This Row],[As,lado (cm²)]]),"N.S.")</f>
        <v>N.S.</v>
      </c>
      <c r="AV119" s="4" t="str">
        <f ca="1">As_malha(ESF[[#This Row],[nE]],ESF[[#This Row],[As,lado (cm²)]],ESF[[#This Row],[Nsd (kN)]])</f>
        <v>N.S.</v>
      </c>
      <c r="AW119" s="4" t="str">
        <f ca="1">As_susp_tot(ESF[[#This Row],[nE]],ESF[[#This Row],[Nsd (kN)]])</f>
        <v>N.S.</v>
      </c>
      <c r="AX119" s="4" t="str">
        <f ca="1">Asp_face(ESF[[#This Row],[nE]],ESF[[#This Row],[As,lado (cm²)]])</f>
        <v>N.S.</v>
      </c>
      <c r="AY119" s="5" t="str">
        <f ca="1">acoBloco(ESF[[#This Row],[nE]],ESF[[#This Row],[e (cm)]],ESF[[#This Row],[a (cm)]],ESF[[#This Row],[h (cm)]],ESF[[#This Row],[As,lado (cm²)]],ESF[[#This Row],[Asp e Asw (cm²/m)]],ESF[[#This Row],[As,sup (cm²)]],ESF[[#This Row],[As,malha (cm²)]],ESF[[#This Row],[As,susp,tot (cm²)]],ESF[[#This Row],[Asp,face (cm²)]])</f>
        <v>N.S.</v>
      </c>
      <c r="AZ119" s="4" t="str">
        <f ca="1">concretoBloco(ESF[[#This Row],[nE]],ESF[[#This Row],[e (cm)]],ESF[[#This Row],[a (cm)]],ESF[[#This Row],[h (cm)]])</f>
        <v>N.S.</v>
      </c>
      <c r="BA119" s="5">
        <f ca="1">SUM(ESF[[#This Row],[Aço Est (kg)]],ESF[[#This Row],[Aço Bloco (kg)]])</f>
        <v>9.9879084439253507</v>
      </c>
      <c r="BB119" s="4">
        <f>INDEX(composicoes[],MATCH(95580,composicoes[CÓDIGO],0),MATCH("CUSTO TOTAL",composicoes[#Headers],0))</f>
        <v>10.46</v>
      </c>
      <c r="BC119" s="4">
        <f ca="1">SUM(ESF[[#This Row],[Conc Est (m³)]],ESF[[#This Row],[Conc Bloco (m³)]])</f>
        <v>42.305472071403557</v>
      </c>
      <c r="BD119" s="4">
        <f>INDEX(composicoes[],MATCH(94966,composicoes[CÓDIGO],0),MATCH("CUSTO TOTAL",composicoes[#Headers],0))</f>
        <v>439.52</v>
      </c>
      <c r="BE119" s="38">
        <f ca="1">ESF[[#This Row],[Aço (kg)]]*ESF[[#This Row],[Aço (R$/kg)]]+ESF[[#This Row],[Conc (m³)]]*ESF[[#This Row],[Conc (R$/m³)]]</f>
        <v>18698.574607146751</v>
      </c>
      <c r="BF119" s="4" t="str">
        <f ca="1">IF(COUNTIF(ESF[#This Row],"N.S.")&gt;0,"lim.","OK")</f>
        <v>lim.</v>
      </c>
      <c r="BG119" s="4" t="str">
        <f>IF(ESF[[#This Row],[Prof. (m)]]&lt;3,"lim.","OK")</f>
        <v>lim.</v>
      </c>
      <c r="BH119" s="4" t="str">
        <f>IF(ESF[[#This Row],[Prof. (m)]]&gt;=8*ESF[[#This Row],[Ø (cm)]]/100,"OK","lim.")</f>
        <v>lim.</v>
      </c>
      <c r="BI119" s="4" t="str">
        <f>IF(AND(SPT!$F$3&lt;&gt;"",ESF[[#This Row],[Prof. (m)]]&gt;=SPT!$F$3),"lim.","OK")</f>
        <v>OK</v>
      </c>
      <c r="BJ119" s="4" t="str">
        <f>IF(COUNTIFS(ESF[Solo],"Areia",ESF[Prof. (m)],"&lt;="&amp;ESF[[#This Row],[Prof. (m)]])&gt;=1,"lim.","OK")</f>
        <v>OK</v>
      </c>
      <c r="BK119" s="4" t="str">
        <f ca="1">IF(ESF[[#This Row],[Verif. Biela]]="OK","OK","lim.")</f>
        <v>OK</v>
      </c>
      <c r="BL119" s="4" t="str">
        <f ca="1">IF(COUNTA(ESF[[#This Row],[Nº Est.]:[Biela comp.]])=COUNTIF(ESF[[#This Row],[Nº Est.]:[Biela comp.]],"OK"),"OK","lim.")</f>
        <v>lim.</v>
      </c>
      <c r="BM119" s="4" t="str">
        <f ca="1">IF(ESF[[#This Row],[Controle]]="OK",ESF[[#This Row],[nE]]&amp;" Ø"&amp;ESF[[#This Row],[Ø (cm)]]&amp;"cm Prof. "&amp;ESF[[#This Row],[Prof. (m)]]&amp;" m","")</f>
        <v/>
      </c>
      <c r="BN119" s="4" t="str">
        <f ca="1">IF(ESF[[#This Row],[idDimensionamento]]="","",ESF[[#This Row],[idPilar]]&amp;ESF[[#This Row],[idDimensionamento]])</f>
        <v/>
      </c>
    </row>
    <row r="120" spans="2:66" x14ac:dyDescent="0.25">
      <c r="B120" s="12">
        <f>ROUNDUP((ROW(ESF[[#This Row],[idDiâmetro]])-ROW(ESF[[#Headers],[idDiâmetro]]))/(COUNT(SPT[Prof. (m)])*COUNT(PILARES[Pilar])),0)</f>
        <v>5</v>
      </c>
      <c r="C120" s="12">
        <f>IF(ESF[[#This Row],[idDiâmetro]]&lt;&gt;B119,1,IF(ESF[[#This Row],[Prof. (m)]]=0,C119+1,C119))</f>
        <v>1</v>
      </c>
      <c r="D120" s="1">
        <f>IFERROR(IF(D119=MAX(SPT[Prof. (m)]),0,D119+1),0)</f>
        <v>3</v>
      </c>
      <c r="E120" s="1">
        <f>INDEX(SPT[],MATCH(ESF[[#This Row],[Prof. (m)]],SPT[Prof. (m)],0),2)</f>
        <v>4</v>
      </c>
      <c r="F120" s="1" t="str">
        <f>INDEX(SPT[],MATCH(ESF[[#This Row],[Prof. (m)]],SPT[Prof. (m)],0),3)</f>
        <v>Areia siltosa</v>
      </c>
      <c r="G120" s="1">
        <f>INDEX(estacas[],ESF[[#This Row],[idDiâmetro]],MATCH($B$2,estacas[#Headers],0))</f>
        <v>45</v>
      </c>
      <c r="H120" s="1">
        <f>INDEX(estacas[],MATCH(ESF[[#This Row],[Ø (cm)]],estacas[Ø ESF (cm)],0),MATCH(ESF[[#Headers],[Pe ESF (kN)]],estacas[#Headers],0))</f>
        <v>810</v>
      </c>
      <c r="I120" s="4">
        <f>INDEX(K_alpha_C[],MATCH(ESF[[#This Row],[Solo]],K_alpha_C[Solo],0),2)</f>
        <v>0.8</v>
      </c>
      <c r="J120" s="5">
        <f>INDEX(K_alpha_C[],MATCH(ESF[[#This Row],[Solo]],K_alpha_C[Solo],0),3)</f>
        <v>2</v>
      </c>
      <c r="K120" s="4">
        <f>INDEX(F1_F2[],MATCH($D$2,F1_F2[Tipo de estaca],0),2)</f>
        <v>3</v>
      </c>
      <c r="L120" s="4">
        <f>INDEX(F1_F2[],MATCH($D$2,F1_F2[Tipo de estaca],0),3)</f>
        <v>6</v>
      </c>
      <c r="M120" s="4">
        <f>PI()*(ESF[[#This Row],[Ø (cm)]]/100)^2/4</f>
        <v>0.15904312808798329</v>
      </c>
      <c r="N120" s="4">
        <f>PI()*ESF[[#This Row],[Ø (cm)]]/100</f>
        <v>1.4137166941154069</v>
      </c>
      <c r="O120" s="4">
        <f>IF(ESF[[#This Row],[Prof. (m)]]=0,0,ESF[[#This Row],[α (%)]]/100*ESF[[#This Row],[K (MPa)]]*1000*ESF[[#This Row],[NSPT]])</f>
        <v>64</v>
      </c>
      <c r="P120" s="4">
        <f>IF(ESF[[#This Row],[Prof. (m)]]=0,0,(ESF[[#This Row],[K (MPa)]]*1000*ESF[[#This Row],[NSPT]]/ESF[[#This Row],[F1]]*ESF[[#This Row],[Ap (m²)]]+ESF[[#This Row],[U (m)]]/ESF[[#This Row],[F2]]*SUMIFS(ESF[(α∙K∙NL∙ΔL)],ESF[Prof. (m)],"&lt;="&amp;ESF[[#This Row],[Prof. (m)]],ESF[idDiâmetro],ESF[[#This Row],[idDiâmetro]],ESF[idPilar],ESF[[#This Row],[idPilar]]))/'DADOS CAP. CARGA'!$D$2)</f>
        <v>99.902646384155432</v>
      </c>
      <c r="Q120" s="12">
        <f>INDEX(C_alpha_beta[],MATCH(ESF[[#This Row],[Solo]],C_alpha_beta[Solo],0),MATCH(ESF[[#Headers],[C (kPa)]],C_alpha_beta[#Headers],0))</f>
        <v>400</v>
      </c>
      <c r="R120" s="4">
        <f>INDEX(C_alpha_beta[],MATCH(ESF[[#This Row],[Solo]],C_alpha_beta[Solo],0),MATCH(ESF[[#Headers],[α ESF]],C_alpha_beta[#Headers],0))</f>
        <v>0.5</v>
      </c>
      <c r="S120" s="4">
        <f>INDEX(C_alpha_beta[],MATCH(ESF[[#This Row],[Solo]],C_alpha_beta[Solo],0),MATCH(ESF[[#Headers],[β ESF]],C_alpha_beta[#Headers],0))</f>
        <v>0.5</v>
      </c>
      <c r="T120" s="4">
        <f>IF(ESF[[#This Row],[Prof. (m)]]=0,0,10*(ESF[[#This Row],[NSPT]]/3+1))</f>
        <v>23.333333333333329</v>
      </c>
      <c r="U120" s="4">
        <f>(ESF[[#This Row],[α ESF]]*ESF[[#This Row],[C (kPa)]]*ESF[[#This Row],[NSPT]]*ESF[[#This Row],[Ap (m²)]])/'DADOS CAP. CARGA'!$Q$2+(ESF[[#This Row],[β ESF]]*SUMIFS(ESF[10∙(NL/3+1)],ESF[Prof. (m)],"&lt;="&amp;ESF[[#This Row],[Prof. (m)]],ESF[idDiâmetro],ESF[[#This Row],[idDiâmetro]],ESF[idPilar],ESF[[#This Row],[idPilar]])*ESF[[#This Row],[U (m)]])/'DADOS CAP. CARGA'!$S$2</f>
        <v>51.836278784231581</v>
      </c>
      <c r="V120" s="4">
        <f>IF(SPT!$M$5=1,MIN(ESF[[#This Row],[Pe ESF (kN)]],ESF[[#This Row],[R_AV (kN)]]),IF(SPT!$M$5=2,MIN(ESF[[#This Row],[Pe ESF (kN)]],ESF[[#This Row],[R_DC (kN)]]),MIN(ESF[[#This Row],[Pe ESF (kN)]],ESF[[#This Row],[R_AV (kN)]],ESF[[#This Row],[R_DC (kN)]])))</f>
        <v>51.836278784231581</v>
      </c>
      <c r="W120" s="4">
        <f>INDEX(PILARES[],ESF[[#This Row],[idPilar]],MATCH("Carga (kN)",PILARES[#Headers],0))*1.4</f>
        <v>3500</v>
      </c>
      <c r="X120" s="12">
        <f>INDEX(PILARES[],ESF[[#This Row],[idPilar]],MATCH(ESF[[#Headers],[ap (cm)]],PILARES[#Headers],0))</f>
        <v>60</v>
      </c>
      <c r="Y120" s="12">
        <f>INDEX(PILARES[],ESF[[#This Row],[idPilar]],MATCH(ESF[[#Headers],[bp (cm)]],PILARES[#Headers],0))</f>
        <v>60</v>
      </c>
      <c r="Z120" s="4">
        <f>SQRT(ESF[[#This Row],[ap (cm)]]*ESF[[#This Row],[bp (cm)]])</f>
        <v>60</v>
      </c>
      <c r="AA120" s="12">
        <f>ESF[[#This Row],[ap (cm)]]*ESF[[#This Row],[bp (cm)]]</f>
        <v>3600</v>
      </c>
      <c r="AB120" s="12">
        <f ca="1">IF(ESF[[#This Row],[Padm∙ε (kN)]]&gt;=ESF[[#This Row],[Padm (kN)]],ROUNDUP(1.05*ESF[[#This Row],[Nsd (kN)]]/ESF[[#This Row],[Padm (kN)]],0),ROUNDUP(1.05*ESF[[#This Row],[Nsd (kN)]]/ESF[[#This Row],[Padm (kN)]],0)+1)</f>
        <v>71</v>
      </c>
      <c r="AC120" s="4" t="str">
        <f ca="1">IFERROR(IF(ESF[[#This Row],[nE]]=1,ESF[[#This Row],[Padm (kN)]],ESF[[#This Row],[Padm (kN)]]*ESF[[#This Row],[nE]]*INDEX(grupoEstacas[],ESF[[#This Row],[nE]],MATCH("ε",grupoEstacas[#Headers],0))),"N.S.")</f>
        <v>N.S.</v>
      </c>
      <c r="AD120" s="4">
        <f ca="1">1.05*ESF[[#This Row],[Nsd (kN)]]/(ESF[[#This Row],[nE]]*PI()*ESF[[#This Row],[Ø (cm)]]^2/4)*10</f>
        <v>0.3254498575483723</v>
      </c>
      <c r="AE120" s="4">
        <f ca="1">IF(ESF[[#This Row],[σ (MPa)]]&lt;INDEX(tipoEstaca[],MATCH($D$2,tipoEstaca[TIPO DE ESTACA],0),MATCH("σmáx (MPa)",tipoEstaca[#Headers],0)),0.4%*PI()*ESF[[#This Row],[Ø (cm)]]^2/4,"N.S.")</f>
        <v>6.3617251235193315</v>
      </c>
      <c r="AF120" s="1">
        <f>INDEX(tipoEstaca[],MATCH($D$2,tipoEstaca[TIPO DE ESTACA],0),MATCH(ESF[[#Headers],[Comprimento (m)]],tipoEstaca[#Headers],0))</f>
        <v>2</v>
      </c>
      <c r="AG120" s="5">
        <f ca="1">ESF[[#This Row],[As,mín (cm²)]]/100^2*ESF[[#This Row],[Comprimento (m)]]*7850</f>
        <v>9.9879084439253507</v>
      </c>
      <c r="AH120" s="4">
        <f ca="1">ESF[[#This Row],[nE]]*ESF[[#This Row],[Prof. (m)]]*ESF[[#This Row],[Ap (m²)]]</f>
        <v>33.876186282740441</v>
      </c>
      <c r="AI120" s="1">
        <f ca="1">IF(ESF[[#This Row],[nE]]=1,0,MAX(3*ESF[[#This Row],[Ø (cm)]],60))</f>
        <v>135</v>
      </c>
      <c r="AJ120" s="1">
        <f ca="1">IF(ESF[[#This Row],[nE]]=1,ESF[[#This Row],[Ø (cm)]]+2*10,MAX(1.5*ESF[[#This Row],[Ø (cm)]],ESF[[#This Row],[Ø (cm)]]+15))</f>
        <v>67.5</v>
      </c>
      <c r="AK120" s="1" t="str">
        <f ca="1">alturaUtil(ESF[[#This Row],[nE]],ESF[[#This Row],[Ø (cm)]],ESF[[#This Row],[e (cm)]],ESF[[#This Row],[ap,eq (cm)]])</f>
        <v>N.S.</v>
      </c>
      <c r="AL120" s="1" t="str">
        <f ca="1">IFERROR(ESF[[#This Row],[d (cm)]]+arredondarParaCimaMultiplo5cm(MAX(5,SQRT(PI())/2*ESF[[#This Row],[Ø (cm)]]/5)),"N.S.")</f>
        <v>N.S.</v>
      </c>
      <c r="AM120" s="5" t="str">
        <f ca="1">alpha(ESF[[#This Row],[nE]],ESF[[#This Row],[d (cm)]],ESF[[#This Row],[e (cm)]],ESF[[#This Row],[ap,eq (cm)]])</f>
        <v>N.S.</v>
      </c>
      <c r="AN120" s="35" t="str">
        <f ca="1">IFERROR(ESF[[#This Row],[Nsd (kN)]]/(ESF[[#This Row],[Ap (cm²)]]*SIN(ESF[[#This Row],[α]])^2),"N.S.")</f>
        <v>N.S.</v>
      </c>
      <c r="AO120" s="35" t="str">
        <f ca="1">IFERROR(ESF[[#This Row],[Nsd (kN)]]/(ESF[[#This Row],[nE]]*PI()*ESF[[#This Row],[Ø (cm)]]^2/4*SIN(ESF[[#This Row],[α]])^2),"N.S.")</f>
        <v>N.S.</v>
      </c>
      <c r="AP120" s="4" t="str">
        <f ca="1">IFERROR(INDEX(grupoEstacas[],ESF[[#This Row],[nE]],MATCH("coef. Blévot",grupoEstacas[#Headers],0)),"N.S.")</f>
        <v>N.S.</v>
      </c>
      <c r="AQ120" s="35" t="str">
        <f ca="1">IFERROR(ESF[[#This Row],[coef. Blévot]]*0.9*INDEX(tipoEstaca[],MATCH($D$2,tipoEstaca[TIPO DE ESTACA],0),MATCH("fcd (kN/cm²)",tipoEstaca[#Headers],0)),"N.S.")</f>
        <v>N.S.</v>
      </c>
      <c r="AR120" s="1" t="str">
        <f ca="1">IF(AND(ESF[[#This Row],[cd,b,pil (kN/cm²)]]&lt;=ESF[[#This Row],[cd,b,lim (kN/cm²)]],ESF[[#This Row],[cd,b,est (kN/cm²)]]&lt;=ESF[[#This Row],[cd,b,lim (kN/cm²)]]),"OK","ERRO")</f>
        <v>OK</v>
      </c>
      <c r="AS120" s="4" t="str">
        <f ca="1">As_lado(ESF[[#This Row],[nE]],ESF[[#This Row],[Nsd (kN)]],ESF[[#This Row],[d (cm)]],ESF[[#This Row],[e (cm)]],ESF[[#This Row],[ap,eq (cm)]])</f>
        <v>N.S.</v>
      </c>
      <c r="AT120" s="4" t="str">
        <f ca="1">IF(ESF[[#This Row],[nE]]=1,ESF[[#This Row],[As,lado (cm²)]],IF(ESF[[#This Row],[nE]]=2,0.075*2*ESF[a (cm)],"N.A."))</f>
        <v>N.A.</v>
      </c>
      <c r="AU120" s="4" t="str">
        <f ca="1">IFERROR(IF(ESF[[#This Row],[nE]]=1,"N.A.",0.2*ESF[[#This Row],[As,lado (cm²)]]),"N.S.")</f>
        <v>N.S.</v>
      </c>
      <c r="AV120" s="4" t="str">
        <f ca="1">As_malha(ESF[[#This Row],[nE]],ESF[[#This Row],[As,lado (cm²)]],ESF[[#This Row],[Nsd (kN)]])</f>
        <v>N.S.</v>
      </c>
      <c r="AW120" s="4" t="str">
        <f ca="1">As_susp_tot(ESF[[#This Row],[nE]],ESF[[#This Row],[Nsd (kN)]])</f>
        <v>N.S.</v>
      </c>
      <c r="AX120" s="4" t="str">
        <f ca="1">Asp_face(ESF[[#This Row],[nE]],ESF[[#This Row],[As,lado (cm²)]])</f>
        <v>N.S.</v>
      </c>
      <c r="AY120" s="5" t="str">
        <f ca="1">acoBloco(ESF[[#This Row],[nE]],ESF[[#This Row],[e (cm)]],ESF[[#This Row],[a (cm)]],ESF[[#This Row],[h (cm)]],ESF[[#This Row],[As,lado (cm²)]],ESF[[#This Row],[Asp e Asw (cm²/m)]],ESF[[#This Row],[As,sup (cm²)]],ESF[[#This Row],[As,malha (cm²)]],ESF[[#This Row],[As,susp,tot (cm²)]],ESF[[#This Row],[Asp,face (cm²)]])</f>
        <v>N.S.</v>
      </c>
      <c r="AZ120" s="4" t="str">
        <f ca="1">concretoBloco(ESF[[#This Row],[nE]],ESF[[#This Row],[e (cm)]],ESF[[#This Row],[a (cm)]],ESF[[#This Row],[h (cm)]])</f>
        <v>N.S.</v>
      </c>
      <c r="BA120" s="5">
        <f ca="1">SUM(ESF[[#This Row],[Aço Est (kg)]],ESF[[#This Row],[Aço Bloco (kg)]])</f>
        <v>9.9879084439253507</v>
      </c>
      <c r="BB120" s="4">
        <f>INDEX(composicoes[],MATCH(95580,composicoes[CÓDIGO],0),MATCH("CUSTO TOTAL",composicoes[#Headers],0))</f>
        <v>10.46</v>
      </c>
      <c r="BC120" s="4">
        <f ca="1">SUM(ESF[[#This Row],[Conc Est (m³)]],ESF[[#This Row],[Conc Bloco (m³)]])</f>
        <v>33.876186282740441</v>
      </c>
      <c r="BD120" s="4">
        <f>INDEX(composicoes[],MATCH(94966,composicoes[CÓDIGO],0),MATCH("CUSTO TOTAL",composicoes[#Headers],0))</f>
        <v>439.52</v>
      </c>
      <c r="BE120" s="38">
        <f ca="1">ESF[[#This Row],[Aço (kg)]]*ESF[[#This Row],[Aço (R$/kg)]]+ESF[[#This Row],[Conc (m³)]]*ESF[[#This Row],[Conc (R$/m³)]]</f>
        <v>14993.734917313537</v>
      </c>
      <c r="BF120" s="4" t="str">
        <f ca="1">IF(COUNTIF(ESF[#This Row],"N.S.")&gt;0,"lim.","OK")</f>
        <v>lim.</v>
      </c>
      <c r="BG120" s="4" t="str">
        <f>IF(ESF[[#This Row],[Prof. (m)]]&lt;3,"lim.","OK")</f>
        <v>OK</v>
      </c>
      <c r="BH120" s="4" t="str">
        <f>IF(ESF[[#This Row],[Prof. (m)]]&gt;=8*ESF[[#This Row],[Ø (cm)]]/100,"OK","lim.")</f>
        <v>lim.</v>
      </c>
      <c r="BI120" s="4" t="str">
        <f>IF(AND(SPT!$F$3&lt;&gt;"",ESF[[#This Row],[Prof. (m)]]&gt;=SPT!$F$3),"lim.","OK")</f>
        <v>OK</v>
      </c>
      <c r="BJ120" s="4" t="str">
        <f>IF(COUNTIFS(ESF[Solo],"Areia",ESF[Prof. (m)],"&lt;="&amp;ESF[[#This Row],[Prof. (m)]])&gt;=1,"lim.","OK")</f>
        <v>OK</v>
      </c>
      <c r="BK120" s="4" t="str">
        <f ca="1">IF(ESF[[#This Row],[Verif. Biela]]="OK","OK","lim.")</f>
        <v>OK</v>
      </c>
      <c r="BL120" s="4" t="str">
        <f ca="1">IF(COUNTA(ESF[[#This Row],[Nº Est.]:[Biela comp.]])=COUNTIF(ESF[[#This Row],[Nº Est.]:[Biela comp.]],"OK"),"OK","lim.")</f>
        <v>lim.</v>
      </c>
      <c r="BM120" s="4" t="str">
        <f ca="1">IF(ESF[[#This Row],[Controle]]="OK",ESF[[#This Row],[nE]]&amp;" Ø"&amp;ESF[[#This Row],[Ø (cm)]]&amp;"cm Prof. "&amp;ESF[[#This Row],[Prof. (m)]]&amp;" m","")</f>
        <v/>
      </c>
      <c r="BN120" s="4" t="str">
        <f ca="1">IF(ESF[[#This Row],[idDimensionamento]]="","",ESF[[#This Row],[idPilar]]&amp;ESF[[#This Row],[idDimensionamento]])</f>
        <v/>
      </c>
    </row>
    <row r="121" spans="2:66" x14ac:dyDescent="0.25">
      <c r="B121" s="12">
        <f>ROUNDUP((ROW(ESF[[#This Row],[idDiâmetro]])-ROW(ESF[[#Headers],[idDiâmetro]]))/(COUNT(SPT[Prof. (m)])*COUNT(PILARES[Pilar])),0)</f>
        <v>5</v>
      </c>
      <c r="C121" s="12">
        <f>IF(ESF[[#This Row],[idDiâmetro]]&lt;&gt;B120,1,IF(ESF[[#This Row],[Prof. (m)]]=0,C120+1,C120))</f>
        <v>1</v>
      </c>
      <c r="D121" s="1">
        <f>IFERROR(IF(D120=MAX(SPT[Prof. (m)]),0,D120+1),0)</f>
        <v>4</v>
      </c>
      <c r="E121" s="1">
        <f>INDEX(SPT[],MATCH(ESF[[#This Row],[Prof. (m)]],SPT[Prof. (m)],0),2)</f>
        <v>8</v>
      </c>
      <c r="F121" s="1" t="str">
        <f>INDEX(SPT[],MATCH(ESF[[#This Row],[Prof. (m)]],SPT[Prof. (m)],0),3)</f>
        <v>Areia siltosa</v>
      </c>
      <c r="G121" s="1">
        <f>INDEX(estacas[],ESF[[#This Row],[idDiâmetro]],MATCH($B$2,estacas[#Headers],0))</f>
        <v>45</v>
      </c>
      <c r="H121" s="1">
        <f>INDEX(estacas[],MATCH(ESF[[#This Row],[Ø (cm)]],estacas[Ø ESF (cm)],0),MATCH(ESF[[#Headers],[Pe ESF (kN)]],estacas[#Headers],0))</f>
        <v>810</v>
      </c>
      <c r="I121" s="4">
        <f>INDEX(K_alpha_C[],MATCH(ESF[[#This Row],[Solo]],K_alpha_C[Solo],0),2)</f>
        <v>0.8</v>
      </c>
      <c r="J121" s="5">
        <f>INDEX(K_alpha_C[],MATCH(ESF[[#This Row],[Solo]],K_alpha_C[Solo],0),3)</f>
        <v>2</v>
      </c>
      <c r="K121" s="4">
        <f>INDEX(F1_F2[],MATCH($D$2,F1_F2[Tipo de estaca],0),2)</f>
        <v>3</v>
      </c>
      <c r="L121" s="4">
        <f>INDEX(F1_F2[],MATCH($D$2,F1_F2[Tipo de estaca],0),3)</f>
        <v>6</v>
      </c>
      <c r="M121" s="4">
        <f>PI()*(ESF[[#This Row],[Ø (cm)]]/100)^2/4</f>
        <v>0.15904312808798329</v>
      </c>
      <c r="N121" s="4">
        <f>PI()*ESF[[#This Row],[Ø (cm)]]/100</f>
        <v>1.4137166941154069</v>
      </c>
      <c r="O121" s="4">
        <f>IF(ESF[[#This Row],[Prof. (m)]]=0,0,ESF[[#This Row],[α (%)]]/100*ESF[[#This Row],[K (MPa)]]*1000*ESF[[#This Row],[NSPT]])</f>
        <v>128</v>
      </c>
      <c r="P121" s="4">
        <f>IF(ESF[[#This Row],[Prof. (m)]]=0,0,(ESF[[#This Row],[K (MPa)]]*1000*ESF[[#This Row],[NSPT]]/ESF[[#This Row],[F1]]*ESF[[#This Row],[Ap (m²)]]+ESF[[#This Row],[U (m)]]/ESF[[#This Row],[F2]]*SUMIFS(ESF[(α∙K∙NL∙ΔL)],ESF[Prof. (m)],"&lt;="&amp;ESF[[#This Row],[Prof. (m)]],ESF[idDiâmetro],ESF[[#This Row],[idDiâmetro]],ESF[idPilar],ESF[[#This Row],[idPilar]]))/'DADOS CAP. CARGA'!$D$2)</f>
        <v>199.80529276831086</v>
      </c>
      <c r="Q121" s="12">
        <f>INDEX(C_alpha_beta[],MATCH(ESF[[#This Row],[Solo]],C_alpha_beta[Solo],0),MATCH(ESF[[#Headers],[C (kPa)]],C_alpha_beta[#Headers],0))</f>
        <v>400</v>
      </c>
      <c r="R121" s="4">
        <f>INDEX(C_alpha_beta[],MATCH(ESF[[#This Row],[Solo]],C_alpha_beta[Solo],0),MATCH(ESF[[#Headers],[α ESF]],C_alpha_beta[#Headers],0))</f>
        <v>0.5</v>
      </c>
      <c r="S121" s="4">
        <f>INDEX(C_alpha_beta[],MATCH(ESF[[#This Row],[Solo]],C_alpha_beta[Solo],0),MATCH(ESF[[#Headers],[β ESF]],C_alpha_beta[#Headers],0))</f>
        <v>0.5</v>
      </c>
      <c r="T121" s="4">
        <f>IF(ESF[[#This Row],[Prof. (m)]]=0,0,10*(ESF[[#This Row],[NSPT]]/3+1))</f>
        <v>36.666666666666664</v>
      </c>
      <c r="U121" s="4">
        <f>(ESF[[#This Row],[α ESF]]*ESF[[#This Row],[C (kPa)]]*ESF[[#This Row],[NSPT]]*ESF[[#This Row],[Ap (m²)]])/'DADOS CAP. CARGA'!$Q$2+(ESF[[#This Row],[β ESF]]*SUMIFS(ESF[10∙(NL/3+1)],ESF[Prof. (m)],"&lt;="&amp;ESF[[#This Row],[Prof. (m)]],ESF[idDiâmetro],ESF[[#This Row],[idDiâmetro]],ESF[idPilar],ESF[[#This Row],[idPilar]])*ESF[[#This Row],[U (m)]])/'DADOS CAP. CARGA'!$S$2</f>
        <v>96.603974097886137</v>
      </c>
      <c r="V121" s="4">
        <f>IF(SPT!$M$5=1,MIN(ESF[[#This Row],[Pe ESF (kN)]],ESF[[#This Row],[R_AV (kN)]]),IF(SPT!$M$5=2,MIN(ESF[[#This Row],[Pe ESF (kN)]],ESF[[#This Row],[R_DC (kN)]]),MIN(ESF[[#This Row],[Pe ESF (kN)]],ESF[[#This Row],[R_AV (kN)]],ESF[[#This Row],[R_DC (kN)]])))</f>
        <v>96.603974097886137</v>
      </c>
      <c r="W121" s="4">
        <f>INDEX(PILARES[],ESF[[#This Row],[idPilar]],MATCH("Carga (kN)",PILARES[#Headers],0))*1.4</f>
        <v>3500</v>
      </c>
      <c r="X121" s="12">
        <f>INDEX(PILARES[],ESF[[#This Row],[idPilar]],MATCH(ESF[[#Headers],[ap (cm)]],PILARES[#Headers],0))</f>
        <v>60</v>
      </c>
      <c r="Y121" s="12">
        <f>INDEX(PILARES[],ESF[[#This Row],[idPilar]],MATCH(ESF[[#Headers],[bp (cm)]],PILARES[#Headers],0))</f>
        <v>60</v>
      </c>
      <c r="Z121" s="4">
        <f>SQRT(ESF[[#This Row],[ap (cm)]]*ESF[[#This Row],[bp (cm)]])</f>
        <v>60</v>
      </c>
      <c r="AA121" s="12">
        <f>ESF[[#This Row],[ap (cm)]]*ESF[[#This Row],[bp (cm)]]</f>
        <v>3600</v>
      </c>
      <c r="AB121" s="12">
        <f ca="1">IF(ESF[[#This Row],[Padm∙ε (kN)]]&gt;=ESF[[#This Row],[Padm (kN)]],ROUNDUP(1.05*ESF[[#This Row],[Nsd (kN)]]/ESF[[#This Row],[Padm (kN)]],0),ROUNDUP(1.05*ESF[[#This Row],[Nsd (kN)]]/ESF[[#This Row],[Padm (kN)]],0)+1)</f>
        <v>39</v>
      </c>
      <c r="AC121" s="4" t="str">
        <f ca="1">IFERROR(IF(ESF[[#This Row],[nE]]=1,ESF[[#This Row],[Padm (kN)]],ESF[[#This Row],[Padm (kN)]]*ESF[[#This Row],[nE]]*INDEX(grupoEstacas[],ESF[[#This Row],[nE]],MATCH("ε",grupoEstacas[#Headers],0))),"N.S.")</f>
        <v>N.S.</v>
      </c>
      <c r="AD121" s="4">
        <f ca="1">1.05*ESF[[#This Row],[Nsd (kN)]]/(ESF[[#This Row],[nE]]*PI()*ESF[[#This Row],[Ø (cm)]]^2/4)*10</f>
        <v>0.59248563810088295</v>
      </c>
      <c r="AE121" s="4">
        <f ca="1">IF(ESF[[#This Row],[σ (MPa)]]&lt;INDEX(tipoEstaca[],MATCH($D$2,tipoEstaca[TIPO DE ESTACA],0),MATCH("σmáx (MPa)",tipoEstaca[#Headers],0)),0.4%*PI()*ESF[[#This Row],[Ø (cm)]]^2/4,"N.S.")</f>
        <v>6.3617251235193315</v>
      </c>
      <c r="AF121" s="1">
        <f>INDEX(tipoEstaca[],MATCH($D$2,tipoEstaca[TIPO DE ESTACA],0),MATCH(ESF[[#Headers],[Comprimento (m)]],tipoEstaca[#Headers],0))</f>
        <v>2</v>
      </c>
      <c r="AG121" s="5">
        <f ca="1">ESF[[#This Row],[As,mín (cm²)]]/100^2*ESF[[#This Row],[Comprimento (m)]]*7850</f>
        <v>9.9879084439253507</v>
      </c>
      <c r="AH121" s="4">
        <f ca="1">ESF[[#This Row],[nE]]*ESF[[#This Row],[Prof. (m)]]*ESF[[#This Row],[Ap (m²)]]</f>
        <v>24.810727981725393</v>
      </c>
      <c r="AI121" s="1">
        <f ca="1">IF(ESF[[#This Row],[nE]]=1,0,MAX(3*ESF[[#This Row],[Ø (cm)]],60))</f>
        <v>135</v>
      </c>
      <c r="AJ121" s="1">
        <f ca="1">IF(ESF[[#This Row],[nE]]=1,ESF[[#This Row],[Ø (cm)]]+2*10,MAX(1.5*ESF[[#This Row],[Ø (cm)]],ESF[[#This Row],[Ø (cm)]]+15))</f>
        <v>67.5</v>
      </c>
      <c r="AK121" s="1" t="str">
        <f ca="1">alturaUtil(ESF[[#This Row],[nE]],ESF[[#This Row],[Ø (cm)]],ESF[[#This Row],[e (cm)]],ESF[[#This Row],[ap,eq (cm)]])</f>
        <v>N.S.</v>
      </c>
      <c r="AL121" s="1" t="str">
        <f ca="1">IFERROR(ESF[[#This Row],[d (cm)]]+arredondarParaCimaMultiplo5cm(MAX(5,SQRT(PI())/2*ESF[[#This Row],[Ø (cm)]]/5)),"N.S.")</f>
        <v>N.S.</v>
      </c>
      <c r="AM121" s="5" t="str">
        <f ca="1">alpha(ESF[[#This Row],[nE]],ESF[[#This Row],[d (cm)]],ESF[[#This Row],[e (cm)]],ESF[[#This Row],[ap,eq (cm)]])</f>
        <v>N.S.</v>
      </c>
      <c r="AN121" s="35" t="str">
        <f ca="1">IFERROR(ESF[[#This Row],[Nsd (kN)]]/(ESF[[#This Row],[Ap (cm²)]]*SIN(ESF[[#This Row],[α]])^2),"N.S.")</f>
        <v>N.S.</v>
      </c>
      <c r="AO121" s="35" t="str">
        <f ca="1">IFERROR(ESF[[#This Row],[Nsd (kN)]]/(ESF[[#This Row],[nE]]*PI()*ESF[[#This Row],[Ø (cm)]]^2/4*SIN(ESF[[#This Row],[α]])^2),"N.S.")</f>
        <v>N.S.</v>
      </c>
      <c r="AP121" s="4" t="str">
        <f ca="1">IFERROR(INDEX(grupoEstacas[],ESF[[#This Row],[nE]],MATCH("coef. Blévot",grupoEstacas[#Headers],0)),"N.S.")</f>
        <v>N.S.</v>
      </c>
      <c r="AQ121" s="35" t="str">
        <f ca="1">IFERROR(ESF[[#This Row],[coef. Blévot]]*0.9*INDEX(tipoEstaca[],MATCH($D$2,tipoEstaca[TIPO DE ESTACA],0),MATCH("fcd (kN/cm²)",tipoEstaca[#Headers],0)),"N.S.")</f>
        <v>N.S.</v>
      </c>
      <c r="AR121" s="1" t="str">
        <f ca="1">IF(AND(ESF[[#This Row],[cd,b,pil (kN/cm²)]]&lt;=ESF[[#This Row],[cd,b,lim (kN/cm²)]],ESF[[#This Row],[cd,b,est (kN/cm²)]]&lt;=ESF[[#This Row],[cd,b,lim (kN/cm²)]]),"OK","ERRO")</f>
        <v>OK</v>
      </c>
      <c r="AS121" s="4" t="str">
        <f ca="1">As_lado(ESF[[#This Row],[nE]],ESF[[#This Row],[Nsd (kN)]],ESF[[#This Row],[d (cm)]],ESF[[#This Row],[e (cm)]],ESF[[#This Row],[ap,eq (cm)]])</f>
        <v>N.S.</v>
      </c>
      <c r="AT121" s="4" t="str">
        <f ca="1">IF(ESF[[#This Row],[nE]]=1,ESF[[#This Row],[As,lado (cm²)]],IF(ESF[[#This Row],[nE]]=2,0.075*2*ESF[a (cm)],"N.A."))</f>
        <v>N.A.</v>
      </c>
      <c r="AU121" s="4" t="str">
        <f ca="1">IFERROR(IF(ESF[[#This Row],[nE]]=1,"N.A.",0.2*ESF[[#This Row],[As,lado (cm²)]]),"N.S.")</f>
        <v>N.S.</v>
      </c>
      <c r="AV121" s="4" t="str">
        <f ca="1">As_malha(ESF[[#This Row],[nE]],ESF[[#This Row],[As,lado (cm²)]],ESF[[#This Row],[Nsd (kN)]])</f>
        <v>N.S.</v>
      </c>
      <c r="AW121" s="4" t="str">
        <f ca="1">As_susp_tot(ESF[[#This Row],[nE]],ESF[[#This Row],[Nsd (kN)]])</f>
        <v>N.S.</v>
      </c>
      <c r="AX121" s="4" t="str">
        <f ca="1">Asp_face(ESF[[#This Row],[nE]],ESF[[#This Row],[As,lado (cm²)]])</f>
        <v>N.S.</v>
      </c>
      <c r="AY121" s="5" t="str">
        <f ca="1">acoBloco(ESF[[#This Row],[nE]],ESF[[#This Row],[e (cm)]],ESF[[#This Row],[a (cm)]],ESF[[#This Row],[h (cm)]],ESF[[#This Row],[As,lado (cm²)]],ESF[[#This Row],[Asp e Asw (cm²/m)]],ESF[[#This Row],[As,sup (cm²)]],ESF[[#This Row],[As,malha (cm²)]],ESF[[#This Row],[As,susp,tot (cm²)]],ESF[[#This Row],[Asp,face (cm²)]])</f>
        <v>N.S.</v>
      </c>
      <c r="AZ121" s="4" t="str">
        <f ca="1">concretoBloco(ESF[[#This Row],[nE]],ESF[[#This Row],[e (cm)]],ESF[[#This Row],[a (cm)]],ESF[[#This Row],[h (cm)]])</f>
        <v>N.S.</v>
      </c>
      <c r="BA121" s="5">
        <f ca="1">SUM(ESF[[#This Row],[Aço Est (kg)]],ESF[[#This Row],[Aço Bloco (kg)]])</f>
        <v>9.9879084439253507</v>
      </c>
      <c r="BB121" s="4">
        <f>INDEX(composicoes[],MATCH(95580,composicoes[CÓDIGO],0),MATCH("CUSTO TOTAL",composicoes[#Headers],0))</f>
        <v>10.46</v>
      </c>
      <c r="BC121" s="4">
        <f ca="1">SUM(ESF[[#This Row],[Conc Est (m³)]],ESF[[#This Row],[Conc Bloco (m³)]])</f>
        <v>24.810727981725393</v>
      </c>
      <c r="BD121" s="4">
        <f>INDEX(composicoes[],MATCH(94966,composicoes[CÓDIGO],0),MATCH("CUSTO TOTAL",composicoes[#Headers],0))</f>
        <v>439.52</v>
      </c>
      <c r="BE121" s="38">
        <f ca="1">ESF[[#This Row],[Aço (kg)]]*ESF[[#This Row],[Aço (R$/kg)]]+ESF[[#This Row],[Conc (m³)]]*ESF[[#This Row],[Conc (R$/m³)]]</f>
        <v>11009.284684851402</v>
      </c>
      <c r="BF121" s="4" t="str">
        <f ca="1">IF(COUNTIF(ESF[#This Row],"N.S.")&gt;0,"lim.","OK")</f>
        <v>lim.</v>
      </c>
      <c r="BG121" s="4" t="str">
        <f>IF(ESF[[#This Row],[Prof. (m)]]&lt;3,"lim.","OK")</f>
        <v>OK</v>
      </c>
      <c r="BH121" s="4" t="str">
        <f>IF(ESF[[#This Row],[Prof. (m)]]&gt;=8*ESF[[#This Row],[Ø (cm)]]/100,"OK","lim.")</f>
        <v>OK</v>
      </c>
      <c r="BI121" s="4" t="str">
        <f>IF(AND(SPT!$F$3&lt;&gt;"",ESF[[#This Row],[Prof. (m)]]&gt;=SPT!$F$3),"lim.","OK")</f>
        <v>OK</v>
      </c>
      <c r="BJ121" s="4" t="str">
        <f>IF(COUNTIFS(ESF[Solo],"Areia",ESF[Prof. (m)],"&lt;="&amp;ESF[[#This Row],[Prof. (m)]])&gt;=1,"lim.","OK")</f>
        <v>OK</v>
      </c>
      <c r="BK121" s="4" t="str">
        <f ca="1">IF(ESF[[#This Row],[Verif. Biela]]="OK","OK","lim.")</f>
        <v>OK</v>
      </c>
      <c r="BL121" s="4" t="str">
        <f ca="1">IF(COUNTA(ESF[[#This Row],[Nº Est.]:[Biela comp.]])=COUNTIF(ESF[[#This Row],[Nº Est.]:[Biela comp.]],"OK"),"OK","lim.")</f>
        <v>lim.</v>
      </c>
      <c r="BM121" s="4" t="str">
        <f ca="1">IF(ESF[[#This Row],[Controle]]="OK",ESF[[#This Row],[nE]]&amp;" Ø"&amp;ESF[[#This Row],[Ø (cm)]]&amp;"cm Prof. "&amp;ESF[[#This Row],[Prof. (m)]]&amp;" m","")</f>
        <v/>
      </c>
      <c r="BN121" s="4" t="str">
        <f ca="1">IF(ESF[[#This Row],[idDimensionamento]]="","",ESF[[#This Row],[idPilar]]&amp;ESF[[#This Row],[idDimensionamento]])</f>
        <v/>
      </c>
    </row>
    <row r="122" spans="2:66" x14ac:dyDescent="0.25">
      <c r="B122" s="12">
        <f>ROUNDUP((ROW(ESF[[#This Row],[idDiâmetro]])-ROW(ESF[[#Headers],[idDiâmetro]]))/(COUNT(SPT[Prof. (m)])*COUNT(PILARES[Pilar])),0)</f>
        <v>5</v>
      </c>
      <c r="C122" s="12">
        <f>IF(ESF[[#This Row],[idDiâmetro]]&lt;&gt;B121,1,IF(ESF[[#This Row],[Prof. (m)]]=0,C121+1,C121))</f>
        <v>1</v>
      </c>
      <c r="D122" s="1">
        <f>IFERROR(IF(D121=MAX(SPT[Prof. (m)]),0,D121+1),0)</f>
        <v>5</v>
      </c>
      <c r="E122" s="1">
        <f>INDEX(SPT[],MATCH(ESF[[#This Row],[Prof. (m)]],SPT[Prof. (m)],0),2)</f>
        <v>17</v>
      </c>
      <c r="F122" s="1" t="str">
        <f>INDEX(SPT[],MATCH(ESF[[#This Row],[Prof. (m)]],SPT[Prof. (m)],0),3)</f>
        <v>Areia siltosa</v>
      </c>
      <c r="G122" s="1">
        <f>INDEX(estacas[],ESF[[#This Row],[idDiâmetro]],MATCH($B$2,estacas[#Headers],0))</f>
        <v>45</v>
      </c>
      <c r="H122" s="1">
        <f>INDEX(estacas[],MATCH(ESF[[#This Row],[Ø (cm)]],estacas[Ø ESF (cm)],0),MATCH(ESF[[#Headers],[Pe ESF (kN)]],estacas[#Headers],0))</f>
        <v>810</v>
      </c>
      <c r="I122" s="4">
        <f>INDEX(K_alpha_C[],MATCH(ESF[[#This Row],[Solo]],K_alpha_C[Solo],0),2)</f>
        <v>0.8</v>
      </c>
      <c r="J122" s="5">
        <f>INDEX(K_alpha_C[],MATCH(ESF[[#This Row],[Solo]],K_alpha_C[Solo],0),3)</f>
        <v>2</v>
      </c>
      <c r="K122" s="4">
        <f>INDEX(F1_F2[],MATCH($D$2,F1_F2[Tipo de estaca],0),2)</f>
        <v>3</v>
      </c>
      <c r="L122" s="4">
        <f>INDEX(F1_F2[],MATCH($D$2,F1_F2[Tipo de estaca],0),3)</f>
        <v>6</v>
      </c>
      <c r="M122" s="4">
        <f>PI()*(ESF[[#This Row],[Ø (cm)]]/100)^2/4</f>
        <v>0.15904312808798329</v>
      </c>
      <c r="N122" s="4">
        <f>PI()*ESF[[#This Row],[Ø (cm)]]/100</f>
        <v>1.4137166941154069</v>
      </c>
      <c r="O122" s="4">
        <f>IF(ESF[[#This Row],[Prof. (m)]]=0,0,ESF[[#This Row],[α (%)]]/100*ESF[[#This Row],[K (MPa)]]*1000*ESF[[#This Row],[NSPT]])</f>
        <v>272</v>
      </c>
      <c r="P122" s="4">
        <f>IF(ESF[[#This Row],[Prof. (m)]]=0,0,(ESF[[#This Row],[K (MPa)]]*1000*ESF[[#This Row],[NSPT]]/ESF[[#This Row],[F1]]*ESF[[#This Row],[Ap (m²)]]+ESF[[#This Row],[U (m)]]/ESF[[#This Row],[F2]]*SUMIFS(ESF[(α∙K∙NL∙ΔL)],ESF[Prof. (m)],"&lt;="&amp;ESF[[#This Row],[Prof. (m)]],ESF[idDiâmetro],ESF[[#This Row],[idDiâmetro]],ESF[idPilar],ESF[[#This Row],[idPilar]]))/'DADOS CAP. CARGA'!$D$2)</f>
        <v>422.70129154050665</v>
      </c>
      <c r="Q122" s="12">
        <f>INDEX(C_alpha_beta[],MATCH(ESF[[#This Row],[Solo]],C_alpha_beta[Solo],0),MATCH(ESF[[#Headers],[C (kPa)]],C_alpha_beta[#Headers],0))</f>
        <v>400</v>
      </c>
      <c r="R122" s="4">
        <f>INDEX(C_alpha_beta[],MATCH(ESF[[#This Row],[Solo]],C_alpha_beta[Solo],0),MATCH(ESF[[#Headers],[α ESF]],C_alpha_beta[#Headers],0))</f>
        <v>0.5</v>
      </c>
      <c r="S122" s="4">
        <f>INDEX(C_alpha_beta[],MATCH(ESF[[#This Row],[Solo]],C_alpha_beta[Solo],0),MATCH(ESF[[#Headers],[β ESF]],C_alpha_beta[#Headers],0))</f>
        <v>0.5</v>
      </c>
      <c r="T122" s="4">
        <f>IF(ESF[[#This Row],[Prof. (m)]]=0,0,10*(ESF[[#This Row],[NSPT]]/3+1))</f>
        <v>66.666666666666671</v>
      </c>
      <c r="U122" s="4">
        <f>(ESF[[#This Row],[α ESF]]*ESF[[#This Row],[C (kPa)]]*ESF[[#This Row],[NSPT]]*ESF[[#This Row],[Ap (m²)]])/'DADOS CAP. CARGA'!$Q$2+(ESF[[#This Row],[β ESF]]*SUMIFS(ESF[10∙(NL/3+1)],ESF[Prof. (m)],"&lt;="&amp;ESF[[#This Row],[Prof. (m)]],ESF[idDiâmetro],ESF[[#This Row],[idDiâmetro]],ESF[idPilar],ESF[[#This Row],[idPilar]])*ESF[[#This Row],[U (m)]])/'DADOS CAP. CARGA'!$S$2</f>
        <v>191.73532663940207</v>
      </c>
      <c r="V122" s="4">
        <f>IF(SPT!$M$5=1,MIN(ESF[[#This Row],[Pe ESF (kN)]],ESF[[#This Row],[R_AV (kN)]]),IF(SPT!$M$5=2,MIN(ESF[[#This Row],[Pe ESF (kN)]],ESF[[#This Row],[R_DC (kN)]]),MIN(ESF[[#This Row],[Pe ESF (kN)]],ESF[[#This Row],[R_AV (kN)]],ESF[[#This Row],[R_DC (kN)]])))</f>
        <v>191.73532663940207</v>
      </c>
      <c r="W122" s="4">
        <f>INDEX(PILARES[],ESF[[#This Row],[idPilar]],MATCH("Carga (kN)",PILARES[#Headers],0))*1.4</f>
        <v>3500</v>
      </c>
      <c r="X122" s="12">
        <f>INDEX(PILARES[],ESF[[#This Row],[idPilar]],MATCH(ESF[[#Headers],[ap (cm)]],PILARES[#Headers],0))</f>
        <v>60</v>
      </c>
      <c r="Y122" s="12">
        <f>INDEX(PILARES[],ESF[[#This Row],[idPilar]],MATCH(ESF[[#Headers],[bp (cm)]],PILARES[#Headers],0))</f>
        <v>60</v>
      </c>
      <c r="Z122" s="4">
        <f>SQRT(ESF[[#This Row],[ap (cm)]]*ESF[[#This Row],[bp (cm)]])</f>
        <v>60</v>
      </c>
      <c r="AA122" s="12">
        <f>ESF[[#This Row],[ap (cm)]]*ESF[[#This Row],[bp (cm)]]</f>
        <v>3600</v>
      </c>
      <c r="AB122" s="12">
        <f ca="1">IF(ESF[[#This Row],[Padm∙ε (kN)]]&gt;=ESF[[#This Row],[Padm (kN)]],ROUNDUP(1.05*ESF[[#This Row],[Nsd (kN)]]/ESF[[#This Row],[Padm (kN)]],0),ROUNDUP(1.05*ESF[[#This Row],[Nsd (kN)]]/ESF[[#This Row],[Padm (kN)]],0)+1)</f>
        <v>20</v>
      </c>
      <c r="AC122" s="4" t="str">
        <f ca="1">IFERROR(IF(ESF[[#This Row],[nE]]=1,ESF[[#This Row],[Padm (kN)]],ESF[[#This Row],[Padm (kN)]]*ESF[[#This Row],[nE]]*INDEX(grupoEstacas[],ESF[[#This Row],[nE]],MATCH("ε",grupoEstacas[#Headers],0))),"N.S.")</f>
        <v>N.S.</v>
      </c>
      <c r="AD122" s="4">
        <f ca="1">1.05*ESF[[#This Row],[Nsd (kN)]]/(ESF[[#This Row],[nE]]*PI()*ESF[[#This Row],[Ø (cm)]]^2/4)*10</f>
        <v>1.1553469942967218</v>
      </c>
      <c r="AE122" s="4">
        <f ca="1">IF(ESF[[#This Row],[σ (MPa)]]&lt;INDEX(tipoEstaca[],MATCH($D$2,tipoEstaca[TIPO DE ESTACA],0),MATCH("σmáx (MPa)",tipoEstaca[#Headers],0)),0.4%*PI()*ESF[[#This Row],[Ø (cm)]]^2/4,"N.S.")</f>
        <v>6.3617251235193315</v>
      </c>
      <c r="AF122" s="1">
        <f>INDEX(tipoEstaca[],MATCH($D$2,tipoEstaca[TIPO DE ESTACA],0),MATCH(ESF[[#Headers],[Comprimento (m)]],tipoEstaca[#Headers],0))</f>
        <v>2</v>
      </c>
      <c r="AG122" s="5">
        <f ca="1">ESF[[#This Row],[As,mín (cm²)]]/100^2*ESF[[#This Row],[Comprimento (m)]]*7850</f>
        <v>9.9879084439253507</v>
      </c>
      <c r="AH122" s="4">
        <f ca="1">ESF[[#This Row],[nE]]*ESF[[#This Row],[Prof. (m)]]*ESF[[#This Row],[Ap (m²)]]</f>
        <v>15.904312808798329</v>
      </c>
      <c r="AI122" s="1">
        <f ca="1">IF(ESF[[#This Row],[nE]]=1,0,MAX(3*ESF[[#This Row],[Ø (cm)]],60))</f>
        <v>135</v>
      </c>
      <c r="AJ122" s="1">
        <f ca="1">IF(ESF[[#This Row],[nE]]=1,ESF[[#This Row],[Ø (cm)]]+2*10,MAX(1.5*ESF[[#This Row],[Ø (cm)]],ESF[[#This Row],[Ø (cm)]]+15))</f>
        <v>67.5</v>
      </c>
      <c r="AK122" s="1" t="str">
        <f ca="1">alturaUtil(ESF[[#This Row],[nE]],ESF[[#This Row],[Ø (cm)]],ESF[[#This Row],[e (cm)]],ESF[[#This Row],[ap,eq (cm)]])</f>
        <v>N.S.</v>
      </c>
      <c r="AL122" s="1" t="str">
        <f ca="1">IFERROR(ESF[[#This Row],[d (cm)]]+arredondarParaCimaMultiplo5cm(MAX(5,SQRT(PI())/2*ESF[[#This Row],[Ø (cm)]]/5)),"N.S.")</f>
        <v>N.S.</v>
      </c>
      <c r="AM122" s="5" t="str">
        <f ca="1">alpha(ESF[[#This Row],[nE]],ESF[[#This Row],[d (cm)]],ESF[[#This Row],[e (cm)]],ESF[[#This Row],[ap,eq (cm)]])</f>
        <v>N.S.</v>
      </c>
      <c r="AN122" s="35" t="str">
        <f ca="1">IFERROR(ESF[[#This Row],[Nsd (kN)]]/(ESF[[#This Row],[Ap (cm²)]]*SIN(ESF[[#This Row],[α]])^2),"N.S.")</f>
        <v>N.S.</v>
      </c>
      <c r="AO122" s="35" t="str">
        <f ca="1">IFERROR(ESF[[#This Row],[Nsd (kN)]]/(ESF[[#This Row],[nE]]*PI()*ESF[[#This Row],[Ø (cm)]]^2/4*SIN(ESF[[#This Row],[α]])^2),"N.S.")</f>
        <v>N.S.</v>
      </c>
      <c r="AP122" s="4" t="str">
        <f ca="1">IFERROR(INDEX(grupoEstacas[],ESF[[#This Row],[nE]],MATCH("coef. Blévot",grupoEstacas[#Headers],0)),"N.S.")</f>
        <v>N.S.</v>
      </c>
      <c r="AQ122" s="35" t="str">
        <f ca="1">IFERROR(ESF[[#This Row],[coef. Blévot]]*0.9*INDEX(tipoEstaca[],MATCH($D$2,tipoEstaca[TIPO DE ESTACA],0),MATCH("fcd (kN/cm²)",tipoEstaca[#Headers],0)),"N.S.")</f>
        <v>N.S.</v>
      </c>
      <c r="AR122" s="1" t="str">
        <f ca="1">IF(AND(ESF[[#This Row],[cd,b,pil (kN/cm²)]]&lt;=ESF[[#This Row],[cd,b,lim (kN/cm²)]],ESF[[#This Row],[cd,b,est (kN/cm²)]]&lt;=ESF[[#This Row],[cd,b,lim (kN/cm²)]]),"OK","ERRO")</f>
        <v>OK</v>
      </c>
      <c r="AS122" s="4" t="str">
        <f ca="1">As_lado(ESF[[#This Row],[nE]],ESF[[#This Row],[Nsd (kN)]],ESF[[#This Row],[d (cm)]],ESF[[#This Row],[e (cm)]],ESF[[#This Row],[ap,eq (cm)]])</f>
        <v>N.S.</v>
      </c>
      <c r="AT122" s="4" t="str">
        <f ca="1">IF(ESF[[#This Row],[nE]]=1,ESF[[#This Row],[As,lado (cm²)]],IF(ESF[[#This Row],[nE]]=2,0.075*2*ESF[a (cm)],"N.A."))</f>
        <v>N.A.</v>
      </c>
      <c r="AU122" s="4" t="str">
        <f ca="1">IFERROR(IF(ESF[[#This Row],[nE]]=1,"N.A.",0.2*ESF[[#This Row],[As,lado (cm²)]]),"N.S.")</f>
        <v>N.S.</v>
      </c>
      <c r="AV122" s="4" t="str">
        <f ca="1">As_malha(ESF[[#This Row],[nE]],ESF[[#This Row],[As,lado (cm²)]],ESF[[#This Row],[Nsd (kN)]])</f>
        <v>N.S.</v>
      </c>
      <c r="AW122" s="4" t="str">
        <f ca="1">As_susp_tot(ESF[[#This Row],[nE]],ESF[[#This Row],[Nsd (kN)]])</f>
        <v>N.S.</v>
      </c>
      <c r="AX122" s="4" t="str">
        <f ca="1">Asp_face(ESF[[#This Row],[nE]],ESF[[#This Row],[As,lado (cm²)]])</f>
        <v>N.S.</v>
      </c>
      <c r="AY122" s="5" t="str">
        <f ca="1">acoBloco(ESF[[#This Row],[nE]],ESF[[#This Row],[e (cm)]],ESF[[#This Row],[a (cm)]],ESF[[#This Row],[h (cm)]],ESF[[#This Row],[As,lado (cm²)]],ESF[[#This Row],[Asp e Asw (cm²/m)]],ESF[[#This Row],[As,sup (cm²)]],ESF[[#This Row],[As,malha (cm²)]],ESF[[#This Row],[As,susp,tot (cm²)]],ESF[[#This Row],[Asp,face (cm²)]])</f>
        <v>N.S.</v>
      </c>
      <c r="AZ122" s="4" t="str">
        <f ca="1">concretoBloco(ESF[[#This Row],[nE]],ESF[[#This Row],[e (cm)]],ESF[[#This Row],[a (cm)]],ESF[[#This Row],[h (cm)]])</f>
        <v>N.S.</v>
      </c>
      <c r="BA122" s="5">
        <f ca="1">SUM(ESF[[#This Row],[Aço Est (kg)]],ESF[[#This Row],[Aço Bloco (kg)]])</f>
        <v>9.9879084439253507</v>
      </c>
      <c r="BB122" s="4">
        <f>INDEX(composicoes[],MATCH(95580,composicoes[CÓDIGO],0),MATCH("CUSTO TOTAL",composicoes[#Headers],0))</f>
        <v>10.46</v>
      </c>
      <c r="BC122" s="4">
        <f ca="1">SUM(ESF[[#This Row],[Conc Est (m³)]],ESF[[#This Row],[Conc Bloco (m³)]])</f>
        <v>15.904312808798329</v>
      </c>
      <c r="BD122" s="4">
        <f>INDEX(composicoes[],MATCH(94966,composicoes[CÓDIGO],0),MATCH("CUSTO TOTAL",composicoes[#Headers],0))</f>
        <v>439.52</v>
      </c>
      <c r="BE122" s="38">
        <f ca="1">ESF[[#This Row],[Aço (kg)]]*ESF[[#This Row],[Aço (R$/kg)]]+ESF[[#This Row],[Conc (m³)]]*ESF[[#This Row],[Conc (R$/m³)]]</f>
        <v>7094.7370880465005</v>
      </c>
      <c r="BF122" s="4" t="str">
        <f ca="1">IF(COUNTIF(ESF[#This Row],"N.S.")&gt;0,"lim.","OK")</f>
        <v>lim.</v>
      </c>
      <c r="BG122" s="4" t="str">
        <f>IF(ESF[[#This Row],[Prof. (m)]]&lt;3,"lim.","OK")</f>
        <v>OK</v>
      </c>
      <c r="BH122" s="4" t="str">
        <f>IF(ESF[[#This Row],[Prof. (m)]]&gt;=8*ESF[[#This Row],[Ø (cm)]]/100,"OK","lim.")</f>
        <v>OK</v>
      </c>
      <c r="BI122" s="4" t="str">
        <f>IF(AND(SPT!$F$3&lt;&gt;"",ESF[[#This Row],[Prof. (m)]]&gt;=SPT!$F$3),"lim.","OK")</f>
        <v>OK</v>
      </c>
      <c r="BJ122" s="4" t="str">
        <f>IF(COUNTIFS(ESF[Solo],"Areia",ESF[Prof. (m)],"&lt;="&amp;ESF[[#This Row],[Prof. (m)]])&gt;=1,"lim.","OK")</f>
        <v>OK</v>
      </c>
      <c r="BK122" s="4" t="str">
        <f ca="1">IF(ESF[[#This Row],[Verif. Biela]]="OK","OK","lim.")</f>
        <v>OK</v>
      </c>
      <c r="BL122" s="4" t="str">
        <f ca="1">IF(COUNTA(ESF[[#This Row],[Nº Est.]:[Biela comp.]])=COUNTIF(ESF[[#This Row],[Nº Est.]:[Biela comp.]],"OK"),"OK","lim.")</f>
        <v>lim.</v>
      </c>
      <c r="BM122" s="4" t="str">
        <f ca="1">IF(ESF[[#This Row],[Controle]]="OK",ESF[[#This Row],[nE]]&amp;" Ø"&amp;ESF[[#This Row],[Ø (cm)]]&amp;"cm Prof. "&amp;ESF[[#This Row],[Prof. (m)]]&amp;" m","")</f>
        <v/>
      </c>
      <c r="BN122" s="4" t="str">
        <f ca="1">IF(ESF[[#This Row],[idDimensionamento]]="","",ESF[[#This Row],[idPilar]]&amp;ESF[[#This Row],[idDimensionamento]])</f>
        <v/>
      </c>
    </row>
    <row r="123" spans="2:66" x14ac:dyDescent="0.25">
      <c r="B123" s="12">
        <f>ROUNDUP((ROW(ESF[[#This Row],[idDiâmetro]])-ROW(ESF[[#Headers],[idDiâmetro]]))/(COUNT(SPT[Prof. (m)])*COUNT(PILARES[Pilar])),0)</f>
        <v>5</v>
      </c>
      <c r="C123" s="12">
        <f>IF(ESF[[#This Row],[idDiâmetro]]&lt;&gt;B122,1,IF(ESF[[#This Row],[Prof. (m)]]=0,C122+1,C122))</f>
        <v>1</v>
      </c>
      <c r="D123" s="1">
        <f>IFERROR(IF(D122=MAX(SPT[Prof. (m)]),0,D122+1),0)</f>
        <v>6</v>
      </c>
      <c r="E123" s="1">
        <f>INDEX(SPT[],MATCH(ESF[[#This Row],[Prof. (m)]],SPT[Prof. (m)],0),2)</f>
        <v>21</v>
      </c>
      <c r="F123" s="1" t="str">
        <f>INDEX(SPT[],MATCH(ESF[[#This Row],[Prof. (m)]],SPT[Prof. (m)],0),3)</f>
        <v>Silte arenoso</v>
      </c>
      <c r="G123" s="1">
        <f>INDEX(estacas[],ESF[[#This Row],[idDiâmetro]],MATCH($B$2,estacas[#Headers],0))</f>
        <v>45</v>
      </c>
      <c r="H123" s="1">
        <f>INDEX(estacas[],MATCH(ESF[[#This Row],[Ø (cm)]],estacas[Ø ESF (cm)],0),MATCH(ESF[[#Headers],[Pe ESF (kN)]],estacas[#Headers],0))</f>
        <v>810</v>
      </c>
      <c r="I123" s="4">
        <f>INDEX(K_alpha_C[],MATCH(ESF[[#This Row],[Solo]],K_alpha_C[Solo],0),2)</f>
        <v>0.55000000000000004</v>
      </c>
      <c r="J123" s="5">
        <f>INDEX(K_alpha_C[],MATCH(ESF[[#This Row],[Solo]],K_alpha_C[Solo],0),3)</f>
        <v>2.2000000000000002</v>
      </c>
      <c r="K123" s="4">
        <f>INDEX(F1_F2[],MATCH($D$2,F1_F2[Tipo de estaca],0),2)</f>
        <v>3</v>
      </c>
      <c r="L123" s="4">
        <f>INDEX(F1_F2[],MATCH($D$2,F1_F2[Tipo de estaca],0),3)</f>
        <v>6</v>
      </c>
      <c r="M123" s="4">
        <f>PI()*(ESF[[#This Row],[Ø (cm)]]/100)^2/4</f>
        <v>0.15904312808798329</v>
      </c>
      <c r="N123" s="4">
        <f>PI()*ESF[[#This Row],[Ø (cm)]]/100</f>
        <v>1.4137166941154069</v>
      </c>
      <c r="O123" s="4">
        <f>IF(ESF[[#This Row],[Prof. (m)]]=0,0,ESF[[#This Row],[α (%)]]/100*ESF[[#This Row],[K (MPa)]]*1000*ESF[[#This Row],[NSPT]])</f>
        <v>254.10000000000002</v>
      </c>
      <c r="P123" s="4">
        <f>IF(ESF[[#This Row],[Prof. (m)]]=0,0,(ESF[[#This Row],[K (MPa)]]*1000*ESF[[#This Row],[NSPT]]/ESF[[#This Row],[F1]]*ESF[[#This Row],[Ap (m²)]]+ESF[[#This Row],[U (m)]]/ESF[[#This Row],[F2]]*SUMIFS(ESF[(α∙K∙NL∙ΔL)],ESF[Prof. (m)],"&lt;="&amp;ESF[[#This Row],[Prof. (m)]],ESF[idDiâmetro],ESF[[#This Row],[idDiâmetro]],ESF[idPilar],ESF[[#This Row],[idPilar]]))/'DADOS CAP. CARGA'!$D$2)</f>
        <v>398.29700710833953</v>
      </c>
      <c r="Q123" s="12">
        <f>INDEX(C_alpha_beta[],MATCH(ESF[[#This Row],[Solo]],C_alpha_beta[Solo],0),MATCH(ESF[[#Headers],[C (kPa)]],C_alpha_beta[#Headers],0))</f>
        <v>250</v>
      </c>
      <c r="R123" s="4">
        <f>INDEX(C_alpha_beta[],MATCH(ESF[[#This Row],[Solo]],C_alpha_beta[Solo],0),MATCH(ESF[[#Headers],[α ESF]],C_alpha_beta[#Headers],0))</f>
        <v>0.6</v>
      </c>
      <c r="S123" s="4">
        <f>INDEX(C_alpha_beta[],MATCH(ESF[[#This Row],[Solo]],C_alpha_beta[Solo],0),MATCH(ESF[[#Headers],[β ESF]],C_alpha_beta[#Headers],0))</f>
        <v>0.65</v>
      </c>
      <c r="T123" s="4">
        <f>IF(ESF[[#This Row],[Prof. (m)]]=0,0,10*(ESF[[#This Row],[NSPT]]/3+1))</f>
        <v>80</v>
      </c>
      <c r="U123" s="4">
        <f>(ESF[[#This Row],[α ESF]]*ESF[[#This Row],[C (kPa)]]*ESF[[#This Row],[NSPT]]*ESF[[#This Row],[Ap (m²)]])/'DADOS CAP. CARGA'!$Q$2+(ESF[[#This Row],[β ESF]]*SUMIFS(ESF[10∙(NL/3+1)],ESF[Prof. (m)],"&lt;="&amp;ESF[[#This Row],[Prof. (m)]],ESF[idDiâmetro],ESF[[#This Row],[idDiâmetro]],ESF[idPilar],ESF[[#This Row],[idPilar]])*ESF[[#This Row],[U (m)]])/'DADOS CAP. CARGA'!$S$2</f>
        <v>235.51636551028858</v>
      </c>
      <c r="V123" s="4">
        <f>IF(SPT!$M$5=1,MIN(ESF[[#This Row],[Pe ESF (kN)]],ESF[[#This Row],[R_AV (kN)]]),IF(SPT!$M$5=2,MIN(ESF[[#This Row],[Pe ESF (kN)]],ESF[[#This Row],[R_DC (kN)]]),MIN(ESF[[#This Row],[Pe ESF (kN)]],ESF[[#This Row],[R_AV (kN)]],ESF[[#This Row],[R_DC (kN)]])))</f>
        <v>235.51636551028858</v>
      </c>
      <c r="W123" s="4">
        <f>INDEX(PILARES[],ESF[[#This Row],[idPilar]],MATCH("Carga (kN)",PILARES[#Headers],0))*1.4</f>
        <v>3500</v>
      </c>
      <c r="X123" s="12">
        <f>INDEX(PILARES[],ESF[[#This Row],[idPilar]],MATCH(ESF[[#Headers],[ap (cm)]],PILARES[#Headers],0))</f>
        <v>60</v>
      </c>
      <c r="Y123" s="12">
        <f>INDEX(PILARES[],ESF[[#This Row],[idPilar]],MATCH(ESF[[#Headers],[bp (cm)]],PILARES[#Headers],0))</f>
        <v>60</v>
      </c>
      <c r="Z123" s="4">
        <f>SQRT(ESF[[#This Row],[ap (cm)]]*ESF[[#This Row],[bp (cm)]])</f>
        <v>60</v>
      </c>
      <c r="AA123" s="12">
        <f>ESF[[#This Row],[ap (cm)]]*ESF[[#This Row],[bp (cm)]]</f>
        <v>3600</v>
      </c>
      <c r="AB123" s="12">
        <f ca="1">IF(ESF[[#This Row],[Padm∙ε (kN)]]&gt;=ESF[[#This Row],[Padm (kN)]],ROUNDUP(1.05*ESF[[#This Row],[Nsd (kN)]]/ESF[[#This Row],[Padm (kN)]],0),ROUNDUP(1.05*ESF[[#This Row],[Nsd (kN)]]/ESF[[#This Row],[Padm (kN)]],0)+1)</f>
        <v>16</v>
      </c>
      <c r="AC123" s="4" t="str">
        <f ca="1">IFERROR(IF(ESF[[#This Row],[nE]]=1,ESF[[#This Row],[Padm (kN)]],ESF[[#This Row],[Padm (kN)]]*ESF[[#This Row],[nE]]*INDEX(grupoEstacas[],ESF[[#This Row],[nE]],MATCH("ε",grupoEstacas[#Headers],0))),"N.S.")</f>
        <v>N.S.</v>
      </c>
      <c r="AD123" s="4">
        <f ca="1">1.05*ESF[[#This Row],[Nsd (kN)]]/(ESF[[#This Row],[nE]]*PI()*ESF[[#This Row],[Ø (cm)]]^2/4)*10</f>
        <v>1.4441837428709023</v>
      </c>
      <c r="AE123" s="4">
        <f ca="1">IF(ESF[[#This Row],[σ (MPa)]]&lt;INDEX(tipoEstaca[],MATCH($D$2,tipoEstaca[TIPO DE ESTACA],0),MATCH("σmáx (MPa)",tipoEstaca[#Headers],0)),0.4%*PI()*ESF[[#This Row],[Ø (cm)]]^2/4,"N.S.")</f>
        <v>6.3617251235193315</v>
      </c>
      <c r="AF123" s="1">
        <f>INDEX(tipoEstaca[],MATCH($D$2,tipoEstaca[TIPO DE ESTACA],0),MATCH(ESF[[#Headers],[Comprimento (m)]],tipoEstaca[#Headers],0))</f>
        <v>2</v>
      </c>
      <c r="AG123" s="5">
        <f ca="1">ESF[[#This Row],[As,mín (cm²)]]/100^2*ESF[[#This Row],[Comprimento (m)]]*7850</f>
        <v>9.9879084439253507</v>
      </c>
      <c r="AH123" s="4">
        <f ca="1">ESF[[#This Row],[nE]]*ESF[[#This Row],[Prof. (m)]]*ESF[[#This Row],[Ap (m²)]]</f>
        <v>15.268140296446397</v>
      </c>
      <c r="AI123" s="1">
        <f ca="1">IF(ESF[[#This Row],[nE]]=1,0,MAX(3*ESF[[#This Row],[Ø (cm)]],60))</f>
        <v>135</v>
      </c>
      <c r="AJ123" s="1">
        <f ca="1">IF(ESF[[#This Row],[nE]]=1,ESF[[#This Row],[Ø (cm)]]+2*10,MAX(1.5*ESF[[#This Row],[Ø (cm)]],ESF[[#This Row],[Ø (cm)]]+15))</f>
        <v>67.5</v>
      </c>
      <c r="AK123" s="1" t="str">
        <f ca="1">alturaUtil(ESF[[#This Row],[nE]],ESF[[#This Row],[Ø (cm)]],ESF[[#This Row],[e (cm)]],ESF[[#This Row],[ap,eq (cm)]])</f>
        <v>N.S.</v>
      </c>
      <c r="AL123" s="1" t="str">
        <f ca="1">IFERROR(ESF[[#This Row],[d (cm)]]+arredondarParaCimaMultiplo5cm(MAX(5,SQRT(PI())/2*ESF[[#This Row],[Ø (cm)]]/5)),"N.S.")</f>
        <v>N.S.</v>
      </c>
      <c r="AM123" s="5" t="str">
        <f ca="1">alpha(ESF[[#This Row],[nE]],ESF[[#This Row],[d (cm)]],ESF[[#This Row],[e (cm)]],ESF[[#This Row],[ap,eq (cm)]])</f>
        <v>N.S.</v>
      </c>
      <c r="AN123" s="35" t="str">
        <f ca="1">IFERROR(ESF[[#This Row],[Nsd (kN)]]/(ESF[[#This Row],[Ap (cm²)]]*SIN(ESF[[#This Row],[α]])^2),"N.S.")</f>
        <v>N.S.</v>
      </c>
      <c r="AO123" s="35" t="str">
        <f ca="1">IFERROR(ESF[[#This Row],[Nsd (kN)]]/(ESF[[#This Row],[nE]]*PI()*ESF[[#This Row],[Ø (cm)]]^2/4*SIN(ESF[[#This Row],[α]])^2),"N.S.")</f>
        <v>N.S.</v>
      </c>
      <c r="AP123" s="4" t="str">
        <f ca="1">IFERROR(INDEX(grupoEstacas[],ESF[[#This Row],[nE]],MATCH("coef. Blévot",grupoEstacas[#Headers],0)),"N.S.")</f>
        <v>N.S.</v>
      </c>
      <c r="AQ123" s="35" t="str">
        <f ca="1">IFERROR(ESF[[#This Row],[coef. Blévot]]*0.9*INDEX(tipoEstaca[],MATCH($D$2,tipoEstaca[TIPO DE ESTACA],0),MATCH("fcd (kN/cm²)",tipoEstaca[#Headers],0)),"N.S.")</f>
        <v>N.S.</v>
      </c>
      <c r="AR123" s="1" t="str">
        <f ca="1">IF(AND(ESF[[#This Row],[cd,b,pil (kN/cm²)]]&lt;=ESF[[#This Row],[cd,b,lim (kN/cm²)]],ESF[[#This Row],[cd,b,est (kN/cm²)]]&lt;=ESF[[#This Row],[cd,b,lim (kN/cm²)]]),"OK","ERRO")</f>
        <v>OK</v>
      </c>
      <c r="AS123" s="4" t="str">
        <f ca="1">As_lado(ESF[[#This Row],[nE]],ESF[[#This Row],[Nsd (kN)]],ESF[[#This Row],[d (cm)]],ESF[[#This Row],[e (cm)]],ESF[[#This Row],[ap,eq (cm)]])</f>
        <v>N.S.</v>
      </c>
      <c r="AT123" s="4" t="str">
        <f ca="1">IF(ESF[[#This Row],[nE]]=1,ESF[[#This Row],[As,lado (cm²)]],IF(ESF[[#This Row],[nE]]=2,0.075*2*ESF[a (cm)],"N.A."))</f>
        <v>N.A.</v>
      </c>
      <c r="AU123" s="4" t="str">
        <f ca="1">IFERROR(IF(ESF[[#This Row],[nE]]=1,"N.A.",0.2*ESF[[#This Row],[As,lado (cm²)]]),"N.S.")</f>
        <v>N.S.</v>
      </c>
      <c r="AV123" s="4" t="str">
        <f ca="1">As_malha(ESF[[#This Row],[nE]],ESF[[#This Row],[As,lado (cm²)]],ESF[[#This Row],[Nsd (kN)]])</f>
        <v>N.S.</v>
      </c>
      <c r="AW123" s="4" t="str">
        <f ca="1">As_susp_tot(ESF[[#This Row],[nE]],ESF[[#This Row],[Nsd (kN)]])</f>
        <v>N.S.</v>
      </c>
      <c r="AX123" s="4" t="str">
        <f ca="1">Asp_face(ESF[[#This Row],[nE]],ESF[[#This Row],[As,lado (cm²)]])</f>
        <v>N.S.</v>
      </c>
      <c r="AY123" s="5" t="str">
        <f ca="1">acoBloco(ESF[[#This Row],[nE]],ESF[[#This Row],[e (cm)]],ESF[[#This Row],[a (cm)]],ESF[[#This Row],[h (cm)]],ESF[[#This Row],[As,lado (cm²)]],ESF[[#This Row],[Asp e Asw (cm²/m)]],ESF[[#This Row],[As,sup (cm²)]],ESF[[#This Row],[As,malha (cm²)]],ESF[[#This Row],[As,susp,tot (cm²)]],ESF[[#This Row],[Asp,face (cm²)]])</f>
        <v>N.S.</v>
      </c>
      <c r="AZ123" s="4" t="str">
        <f ca="1">concretoBloco(ESF[[#This Row],[nE]],ESF[[#This Row],[e (cm)]],ESF[[#This Row],[a (cm)]],ESF[[#This Row],[h (cm)]])</f>
        <v>N.S.</v>
      </c>
      <c r="BA123" s="5">
        <f ca="1">SUM(ESF[[#This Row],[Aço Est (kg)]],ESF[[#This Row],[Aço Bloco (kg)]])</f>
        <v>9.9879084439253507</v>
      </c>
      <c r="BB123" s="4">
        <f>INDEX(composicoes[],MATCH(95580,composicoes[CÓDIGO],0),MATCH("CUSTO TOTAL",composicoes[#Headers],0))</f>
        <v>10.46</v>
      </c>
      <c r="BC123" s="4">
        <f ca="1">SUM(ESF[[#This Row],[Conc Est (m³)]],ESF[[#This Row],[Conc Bloco (m³)]])</f>
        <v>15.268140296446397</v>
      </c>
      <c r="BD123" s="4">
        <f>INDEX(composicoes[],MATCH(94966,composicoes[CÓDIGO],0),MATCH("CUSTO TOTAL",composicoes[#Headers],0))</f>
        <v>439.52</v>
      </c>
      <c r="BE123" s="38">
        <f ca="1">ESF[[#This Row],[Aço (kg)]]*ESF[[#This Row],[Aço (R$/kg)]]+ESF[[#This Row],[Conc (m³)]]*ESF[[#This Row],[Conc (R$/m³)]]</f>
        <v>6815.1265454175791</v>
      </c>
      <c r="BF123" s="4" t="str">
        <f ca="1">IF(COUNTIF(ESF[#This Row],"N.S.")&gt;0,"lim.","OK")</f>
        <v>lim.</v>
      </c>
      <c r="BG123" s="4" t="str">
        <f>IF(ESF[[#This Row],[Prof. (m)]]&lt;3,"lim.","OK")</f>
        <v>OK</v>
      </c>
      <c r="BH123" s="4" t="str">
        <f>IF(ESF[[#This Row],[Prof. (m)]]&gt;=8*ESF[[#This Row],[Ø (cm)]]/100,"OK","lim.")</f>
        <v>OK</v>
      </c>
      <c r="BI123" s="4" t="str">
        <f>IF(AND(SPT!$F$3&lt;&gt;"",ESF[[#This Row],[Prof. (m)]]&gt;=SPT!$F$3),"lim.","OK")</f>
        <v>OK</v>
      </c>
      <c r="BJ123" s="4" t="str">
        <f>IF(COUNTIFS(ESF[Solo],"Areia",ESF[Prof. (m)],"&lt;="&amp;ESF[[#This Row],[Prof. (m)]])&gt;=1,"lim.","OK")</f>
        <v>OK</v>
      </c>
      <c r="BK123" s="4" t="str">
        <f ca="1">IF(ESF[[#This Row],[Verif. Biela]]="OK","OK","lim.")</f>
        <v>OK</v>
      </c>
      <c r="BL123" s="4" t="str">
        <f ca="1">IF(COUNTA(ESF[[#This Row],[Nº Est.]:[Biela comp.]])=COUNTIF(ESF[[#This Row],[Nº Est.]:[Biela comp.]],"OK"),"OK","lim.")</f>
        <v>lim.</v>
      </c>
      <c r="BM123" s="4" t="str">
        <f ca="1">IF(ESF[[#This Row],[Controle]]="OK",ESF[[#This Row],[nE]]&amp;" Ø"&amp;ESF[[#This Row],[Ø (cm)]]&amp;"cm Prof. "&amp;ESF[[#This Row],[Prof. (m)]]&amp;" m","")</f>
        <v/>
      </c>
      <c r="BN123" s="4" t="str">
        <f ca="1">IF(ESF[[#This Row],[idDimensionamento]]="","",ESF[[#This Row],[idPilar]]&amp;ESF[[#This Row],[idDimensionamento]])</f>
        <v/>
      </c>
    </row>
    <row r="124" spans="2:66" x14ac:dyDescent="0.25">
      <c r="B124" s="12">
        <f>ROUNDUP((ROW(ESF[[#This Row],[idDiâmetro]])-ROW(ESF[[#Headers],[idDiâmetro]]))/(COUNT(SPT[Prof. (m)])*COUNT(PILARES[Pilar])),0)</f>
        <v>5</v>
      </c>
      <c r="C124" s="12">
        <f>IF(ESF[[#This Row],[idDiâmetro]]&lt;&gt;B123,1,IF(ESF[[#This Row],[Prof. (m)]]=0,C123+1,C123))</f>
        <v>1</v>
      </c>
      <c r="D124" s="1">
        <f>IFERROR(IF(D123=MAX(SPT[Prof. (m)]),0,D123+1),0)</f>
        <v>7</v>
      </c>
      <c r="E124" s="1">
        <f>INDEX(SPT[],MATCH(ESF[[#This Row],[Prof. (m)]],SPT[Prof. (m)],0),2)</f>
        <v>8</v>
      </c>
      <c r="F124" s="1" t="str">
        <f>INDEX(SPT[],MATCH(ESF[[#This Row],[Prof. (m)]],SPT[Prof. (m)],0),3)</f>
        <v>Silte arenoso</v>
      </c>
      <c r="G124" s="1">
        <f>INDEX(estacas[],ESF[[#This Row],[idDiâmetro]],MATCH($B$2,estacas[#Headers],0))</f>
        <v>45</v>
      </c>
      <c r="H124" s="1">
        <f>INDEX(estacas[],MATCH(ESF[[#This Row],[Ø (cm)]],estacas[Ø ESF (cm)],0),MATCH(ESF[[#Headers],[Pe ESF (kN)]],estacas[#Headers],0))</f>
        <v>810</v>
      </c>
      <c r="I124" s="4">
        <f>INDEX(K_alpha_C[],MATCH(ESF[[#This Row],[Solo]],K_alpha_C[Solo],0),2)</f>
        <v>0.55000000000000004</v>
      </c>
      <c r="J124" s="5">
        <f>INDEX(K_alpha_C[],MATCH(ESF[[#This Row],[Solo]],K_alpha_C[Solo],0),3)</f>
        <v>2.2000000000000002</v>
      </c>
      <c r="K124" s="4">
        <f>INDEX(F1_F2[],MATCH($D$2,F1_F2[Tipo de estaca],0),2)</f>
        <v>3</v>
      </c>
      <c r="L124" s="4">
        <f>INDEX(F1_F2[],MATCH($D$2,F1_F2[Tipo de estaca],0),3)</f>
        <v>6</v>
      </c>
      <c r="M124" s="4">
        <f>PI()*(ESF[[#This Row],[Ø (cm)]]/100)^2/4</f>
        <v>0.15904312808798329</v>
      </c>
      <c r="N124" s="4">
        <f>PI()*ESF[[#This Row],[Ø (cm)]]/100</f>
        <v>1.4137166941154069</v>
      </c>
      <c r="O124" s="4">
        <f>IF(ESF[[#This Row],[Prof. (m)]]=0,0,ESF[[#This Row],[α (%)]]/100*ESF[[#This Row],[K (MPa)]]*1000*ESF[[#This Row],[NSPT]])</f>
        <v>96.800000000000011</v>
      </c>
      <c r="P124" s="4">
        <f>IF(ESF[[#This Row],[Prof. (m)]]=0,0,(ESF[[#This Row],[K (MPa)]]*1000*ESF[[#This Row],[NSPT]]/ESF[[#This Row],[F1]]*ESF[[#This Row],[Ap (m²)]]+ESF[[#This Row],[U (m)]]/ESF[[#This Row],[F2]]*SUMIFS(ESF[(α∙K∙NL∙ΔL)],ESF[Prof. (m)],"&lt;="&amp;ESF[[#This Row],[Prof. (m)]],ESF[idDiâmetro],ESF[[#This Row],[idDiâmetro]],ESF[idPilar],ESF[[#This Row],[idPilar]]))/'DADOS CAP. CARGA'!$D$2)</f>
        <v>220.1745941360237</v>
      </c>
      <c r="Q124" s="12">
        <f>INDEX(C_alpha_beta[],MATCH(ESF[[#This Row],[Solo]],C_alpha_beta[Solo],0),MATCH(ESF[[#Headers],[C (kPa)]],C_alpha_beta[#Headers],0))</f>
        <v>250</v>
      </c>
      <c r="R124" s="4">
        <f>INDEX(C_alpha_beta[],MATCH(ESF[[#This Row],[Solo]],C_alpha_beta[Solo],0),MATCH(ESF[[#Headers],[α ESF]],C_alpha_beta[#Headers],0))</f>
        <v>0.6</v>
      </c>
      <c r="S124" s="4">
        <f>INDEX(C_alpha_beta[],MATCH(ESF[[#This Row],[Solo]],C_alpha_beta[Solo],0),MATCH(ESF[[#Headers],[β ESF]],C_alpha_beta[#Headers],0))</f>
        <v>0.65</v>
      </c>
      <c r="T124" s="4">
        <f>IF(ESF[[#This Row],[Prof. (m)]]=0,0,10*(ESF[[#This Row],[NSPT]]/3+1))</f>
        <v>36.666666666666664</v>
      </c>
      <c r="U124" s="4">
        <f>(ESF[[#This Row],[α ESF]]*ESF[[#This Row],[C (kPa)]]*ESF[[#This Row],[NSPT]]*ESF[[#This Row],[Ap (m²)]])/'DADOS CAP. CARGA'!$Q$2+(ESF[[#This Row],[β ESF]]*SUMIFS(ESF[10∙(NL/3+1)],ESF[Prof. (m)],"&lt;="&amp;ESF[[#This Row],[Prof. (m)]],ESF[idDiâmetro],ESF[[#This Row],[idDiâmetro]],ESF[idPilar],ESF[[#This Row],[idPilar]])*ESF[[#This Row],[U (m)]])/'DADOS CAP. CARGA'!$S$2</f>
        <v>174.829631172272</v>
      </c>
      <c r="V124" s="4">
        <f>IF(SPT!$M$5=1,MIN(ESF[[#This Row],[Pe ESF (kN)]],ESF[[#This Row],[R_AV (kN)]]),IF(SPT!$M$5=2,MIN(ESF[[#This Row],[Pe ESF (kN)]],ESF[[#This Row],[R_DC (kN)]]),MIN(ESF[[#This Row],[Pe ESF (kN)]],ESF[[#This Row],[R_AV (kN)]],ESF[[#This Row],[R_DC (kN)]])))</f>
        <v>174.829631172272</v>
      </c>
      <c r="W124" s="4">
        <f>INDEX(PILARES[],ESF[[#This Row],[idPilar]],MATCH("Carga (kN)",PILARES[#Headers],0))*1.4</f>
        <v>3500</v>
      </c>
      <c r="X124" s="12">
        <f>INDEX(PILARES[],ESF[[#This Row],[idPilar]],MATCH(ESF[[#Headers],[ap (cm)]],PILARES[#Headers],0))</f>
        <v>60</v>
      </c>
      <c r="Y124" s="12">
        <f>INDEX(PILARES[],ESF[[#This Row],[idPilar]],MATCH(ESF[[#Headers],[bp (cm)]],PILARES[#Headers],0))</f>
        <v>60</v>
      </c>
      <c r="Z124" s="4">
        <f>SQRT(ESF[[#This Row],[ap (cm)]]*ESF[[#This Row],[bp (cm)]])</f>
        <v>60</v>
      </c>
      <c r="AA124" s="12">
        <f>ESF[[#This Row],[ap (cm)]]*ESF[[#This Row],[bp (cm)]]</f>
        <v>3600</v>
      </c>
      <c r="AB124" s="12">
        <f ca="1">IF(ESF[[#This Row],[Padm∙ε (kN)]]&gt;=ESF[[#This Row],[Padm (kN)]],ROUNDUP(1.05*ESF[[#This Row],[Nsd (kN)]]/ESF[[#This Row],[Padm (kN)]],0),ROUNDUP(1.05*ESF[[#This Row],[Nsd (kN)]]/ESF[[#This Row],[Padm (kN)]],0)+1)</f>
        <v>22</v>
      </c>
      <c r="AC124" s="4" t="str">
        <f ca="1">IFERROR(IF(ESF[[#This Row],[nE]]=1,ESF[[#This Row],[Padm (kN)]],ESF[[#This Row],[Padm (kN)]]*ESF[[#This Row],[nE]]*INDEX(grupoEstacas[],ESF[[#This Row],[nE]],MATCH("ε",grupoEstacas[#Headers],0))),"N.S.")</f>
        <v>N.S.</v>
      </c>
      <c r="AD124" s="4">
        <f ca="1">1.05*ESF[[#This Row],[Nsd (kN)]]/(ESF[[#This Row],[nE]]*PI()*ESF[[#This Row],[Ø (cm)]]^2/4)*10</f>
        <v>1.0503154493606561</v>
      </c>
      <c r="AE124" s="4">
        <f ca="1">IF(ESF[[#This Row],[σ (MPa)]]&lt;INDEX(tipoEstaca[],MATCH($D$2,tipoEstaca[TIPO DE ESTACA],0),MATCH("σmáx (MPa)",tipoEstaca[#Headers],0)),0.4%*PI()*ESF[[#This Row],[Ø (cm)]]^2/4,"N.S.")</f>
        <v>6.3617251235193315</v>
      </c>
      <c r="AF124" s="1">
        <f>INDEX(tipoEstaca[],MATCH($D$2,tipoEstaca[TIPO DE ESTACA],0),MATCH(ESF[[#Headers],[Comprimento (m)]],tipoEstaca[#Headers],0))</f>
        <v>2</v>
      </c>
      <c r="AG124" s="5">
        <f ca="1">ESF[[#This Row],[As,mín (cm²)]]/100^2*ESF[[#This Row],[Comprimento (m)]]*7850</f>
        <v>9.9879084439253507</v>
      </c>
      <c r="AH124" s="4">
        <f ca="1">ESF[[#This Row],[nE]]*ESF[[#This Row],[Prof. (m)]]*ESF[[#This Row],[Ap (m²)]]</f>
        <v>24.492641725549426</v>
      </c>
      <c r="AI124" s="1">
        <f ca="1">IF(ESF[[#This Row],[nE]]=1,0,MAX(3*ESF[[#This Row],[Ø (cm)]],60))</f>
        <v>135</v>
      </c>
      <c r="AJ124" s="1">
        <f ca="1">IF(ESF[[#This Row],[nE]]=1,ESF[[#This Row],[Ø (cm)]]+2*10,MAX(1.5*ESF[[#This Row],[Ø (cm)]],ESF[[#This Row],[Ø (cm)]]+15))</f>
        <v>67.5</v>
      </c>
      <c r="AK124" s="1" t="str">
        <f ca="1">alturaUtil(ESF[[#This Row],[nE]],ESF[[#This Row],[Ø (cm)]],ESF[[#This Row],[e (cm)]],ESF[[#This Row],[ap,eq (cm)]])</f>
        <v>N.S.</v>
      </c>
      <c r="AL124" s="1" t="str">
        <f ca="1">IFERROR(ESF[[#This Row],[d (cm)]]+arredondarParaCimaMultiplo5cm(MAX(5,SQRT(PI())/2*ESF[[#This Row],[Ø (cm)]]/5)),"N.S.")</f>
        <v>N.S.</v>
      </c>
      <c r="AM124" s="5" t="str">
        <f ca="1">alpha(ESF[[#This Row],[nE]],ESF[[#This Row],[d (cm)]],ESF[[#This Row],[e (cm)]],ESF[[#This Row],[ap,eq (cm)]])</f>
        <v>N.S.</v>
      </c>
      <c r="AN124" s="35" t="str">
        <f ca="1">IFERROR(ESF[[#This Row],[Nsd (kN)]]/(ESF[[#This Row],[Ap (cm²)]]*SIN(ESF[[#This Row],[α]])^2),"N.S.")</f>
        <v>N.S.</v>
      </c>
      <c r="AO124" s="35" t="str">
        <f ca="1">IFERROR(ESF[[#This Row],[Nsd (kN)]]/(ESF[[#This Row],[nE]]*PI()*ESF[[#This Row],[Ø (cm)]]^2/4*SIN(ESF[[#This Row],[α]])^2),"N.S.")</f>
        <v>N.S.</v>
      </c>
      <c r="AP124" s="4" t="str">
        <f ca="1">IFERROR(INDEX(grupoEstacas[],ESF[[#This Row],[nE]],MATCH("coef. Blévot",grupoEstacas[#Headers],0)),"N.S.")</f>
        <v>N.S.</v>
      </c>
      <c r="AQ124" s="35" t="str">
        <f ca="1">IFERROR(ESF[[#This Row],[coef. Blévot]]*0.9*INDEX(tipoEstaca[],MATCH($D$2,tipoEstaca[TIPO DE ESTACA],0),MATCH("fcd (kN/cm²)",tipoEstaca[#Headers],0)),"N.S.")</f>
        <v>N.S.</v>
      </c>
      <c r="AR124" s="1" t="str">
        <f ca="1">IF(AND(ESF[[#This Row],[cd,b,pil (kN/cm²)]]&lt;=ESF[[#This Row],[cd,b,lim (kN/cm²)]],ESF[[#This Row],[cd,b,est (kN/cm²)]]&lt;=ESF[[#This Row],[cd,b,lim (kN/cm²)]]),"OK","ERRO")</f>
        <v>OK</v>
      </c>
      <c r="AS124" s="4" t="str">
        <f ca="1">As_lado(ESF[[#This Row],[nE]],ESF[[#This Row],[Nsd (kN)]],ESF[[#This Row],[d (cm)]],ESF[[#This Row],[e (cm)]],ESF[[#This Row],[ap,eq (cm)]])</f>
        <v>N.S.</v>
      </c>
      <c r="AT124" s="4" t="str">
        <f ca="1">IF(ESF[[#This Row],[nE]]=1,ESF[[#This Row],[As,lado (cm²)]],IF(ESF[[#This Row],[nE]]=2,0.075*2*ESF[a (cm)],"N.A."))</f>
        <v>N.A.</v>
      </c>
      <c r="AU124" s="4" t="str">
        <f ca="1">IFERROR(IF(ESF[[#This Row],[nE]]=1,"N.A.",0.2*ESF[[#This Row],[As,lado (cm²)]]),"N.S.")</f>
        <v>N.S.</v>
      </c>
      <c r="AV124" s="4" t="str">
        <f ca="1">As_malha(ESF[[#This Row],[nE]],ESF[[#This Row],[As,lado (cm²)]],ESF[[#This Row],[Nsd (kN)]])</f>
        <v>N.S.</v>
      </c>
      <c r="AW124" s="4" t="str">
        <f ca="1">As_susp_tot(ESF[[#This Row],[nE]],ESF[[#This Row],[Nsd (kN)]])</f>
        <v>N.S.</v>
      </c>
      <c r="AX124" s="4" t="str">
        <f ca="1">Asp_face(ESF[[#This Row],[nE]],ESF[[#This Row],[As,lado (cm²)]])</f>
        <v>N.S.</v>
      </c>
      <c r="AY124" s="5" t="str">
        <f ca="1">acoBloco(ESF[[#This Row],[nE]],ESF[[#This Row],[e (cm)]],ESF[[#This Row],[a (cm)]],ESF[[#This Row],[h (cm)]],ESF[[#This Row],[As,lado (cm²)]],ESF[[#This Row],[Asp e Asw (cm²/m)]],ESF[[#This Row],[As,sup (cm²)]],ESF[[#This Row],[As,malha (cm²)]],ESF[[#This Row],[As,susp,tot (cm²)]],ESF[[#This Row],[Asp,face (cm²)]])</f>
        <v>N.S.</v>
      </c>
      <c r="AZ124" s="4" t="str">
        <f ca="1">concretoBloco(ESF[[#This Row],[nE]],ESF[[#This Row],[e (cm)]],ESF[[#This Row],[a (cm)]],ESF[[#This Row],[h (cm)]])</f>
        <v>N.S.</v>
      </c>
      <c r="BA124" s="5">
        <f ca="1">SUM(ESF[[#This Row],[Aço Est (kg)]],ESF[[#This Row],[Aço Bloco (kg)]])</f>
        <v>9.9879084439253507</v>
      </c>
      <c r="BB124" s="4">
        <f>INDEX(composicoes[],MATCH(95580,composicoes[CÓDIGO],0),MATCH("CUSTO TOTAL",composicoes[#Headers],0))</f>
        <v>10.46</v>
      </c>
      <c r="BC124" s="4">
        <f ca="1">SUM(ESF[[#This Row],[Conc Est (m³)]],ESF[[#This Row],[Conc Bloco (m³)]])</f>
        <v>24.492641725549426</v>
      </c>
      <c r="BD124" s="4">
        <f>INDEX(composicoes[],MATCH(94966,composicoes[CÓDIGO],0),MATCH("CUSTO TOTAL",composicoes[#Headers],0))</f>
        <v>439.52</v>
      </c>
      <c r="BE124" s="38">
        <f ca="1">ESF[[#This Row],[Aço (kg)]]*ESF[[#This Row],[Aço (R$/kg)]]+ESF[[#This Row],[Conc (m³)]]*ESF[[#This Row],[Conc (R$/m³)]]</f>
        <v>10869.479413536941</v>
      </c>
      <c r="BF124" s="4" t="str">
        <f ca="1">IF(COUNTIF(ESF[#This Row],"N.S.")&gt;0,"lim.","OK")</f>
        <v>lim.</v>
      </c>
      <c r="BG124" s="4" t="str">
        <f>IF(ESF[[#This Row],[Prof. (m)]]&lt;3,"lim.","OK")</f>
        <v>OK</v>
      </c>
      <c r="BH124" s="4" t="str">
        <f>IF(ESF[[#This Row],[Prof. (m)]]&gt;=8*ESF[[#This Row],[Ø (cm)]]/100,"OK","lim.")</f>
        <v>OK</v>
      </c>
      <c r="BI124" s="4" t="str">
        <f>IF(AND(SPT!$F$3&lt;&gt;"",ESF[[#This Row],[Prof. (m)]]&gt;=SPT!$F$3),"lim.","OK")</f>
        <v>OK</v>
      </c>
      <c r="BJ124" s="4" t="str">
        <f>IF(COUNTIFS(ESF[Solo],"Areia",ESF[Prof. (m)],"&lt;="&amp;ESF[[#This Row],[Prof. (m)]])&gt;=1,"lim.","OK")</f>
        <v>OK</v>
      </c>
      <c r="BK124" s="4" t="str">
        <f ca="1">IF(ESF[[#This Row],[Verif. Biela]]="OK","OK","lim.")</f>
        <v>OK</v>
      </c>
      <c r="BL124" s="4" t="str">
        <f ca="1">IF(COUNTA(ESF[[#This Row],[Nº Est.]:[Biela comp.]])=COUNTIF(ESF[[#This Row],[Nº Est.]:[Biela comp.]],"OK"),"OK","lim.")</f>
        <v>lim.</v>
      </c>
      <c r="BM124" s="4" t="str">
        <f ca="1">IF(ESF[[#This Row],[Controle]]="OK",ESF[[#This Row],[nE]]&amp;" Ø"&amp;ESF[[#This Row],[Ø (cm)]]&amp;"cm Prof. "&amp;ESF[[#This Row],[Prof. (m)]]&amp;" m","")</f>
        <v/>
      </c>
      <c r="BN124" s="4" t="str">
        <f ca="1">IF(ESF[[#This Row],[idDimensionamento]]="","",ESF[[#This Row],[idPilar]]&amp;ESF[[#This Row],[idDimensionamento]])</f>
        <v/>
      </c>
    </row>
    <row r="125" spans="2:66" x14ac:dyDescent="0.25">
      <c r="B125" s="12">
        <f>ROUNDUP((ROW(ESF[[#This Row],[idDiâmetro]])-ROW(ESF[[#Headers],[idDiâmetro]]))/(COUNT(SPT[Prof. (m)])*COUNT(PILARES[Pilar])),0)</f>
        <v>5</v>
      </c>
      <c r="C125" s="12">
        <f>IF(ESF[[#This Row],[idDiâmetro]]&lt;&gt;B124,1,IF(ESF[[#This Row],[Prof. (m)]]=0,C124+1,C124))</f>
        <v>1</v>
      </c>
      <c r="D125" s="1">
        <f>IFERROR(IF(D124=MAX(SPT[Prof. (m)]),0,D124+1),0)</f>
        <v>8</v>
      </c>
      <c r="E125" s="1">
        <f>INDEX(SPT[],MATCH(ESF[[#This Row],[Prof. (m)]],SPT[Prof. (m)],0),2)</f>
        <v>10</v>
      </c>
      <c r="F125" s="1" t="str">
        <f>INDEX(SPT[],MATCH(ESF[[#This Row],[Prof. (m)]],SPT[Prof. (m)],0),3)</f>
        <v>Silte arenoso</v>
      </c>
      <c r="G125" s="1">
        <f>INDEX(estacas[],ESF[[#This Row],[idDiâmetro]],MATCH($B$2,estacas[#Headers],0))</f>
        <v>45</v>
      </c>
      <c r="H125" s="1">
        <f>INDEX(estacas[],MATCH(ESF[[#This Row],[Ø (cm)]],estacas[Ø ESF (cm)],0),MATCH(ESF[[#Headers],[Pe ESF (kN)]],estacas[#Headers],0))</f>
        <v>810</v>
      </c>
      <c r="I125" s="4">
        <f>INDEX(K_alpha_C[],MATCH(ESF[[#This Row],[Solo]],K_alpha_C[Solo],0),2)</f>
        <v>0.55000000000000004</v>
      </c>
      <c r="J125" s="5">
        <f>INDEX(K_alpha_C[],MATCH(ESF[[#This Row],[Solo]],K_alpha_C[Solo],0),3)</f>
        <v>2.2000000000000002</v>
      </c>
      <c r="K125" s="4">
        <f>INDEX(F1_F2[],MATCH($D$2,F1_F2[Tipo de estaca],0),2)</f>
        <v>3</v>
      </c>
      <c r="L125" s="4">
        <f>INDEX(F1_F2[],MATCH($D$2,F1_F2[Tipo de estaca],0),3)</f>
        <v>6</v>
      </c>
      <c r="M125" s="4">
        <f>PI()*(ESF[[#This Row],[Ø (cm)]]/100)^2/4</f>
        <v>0.15904312808798329</v>
      </c>
      <c r="N125" s="4">
        <f>PI()*ESF[[#This Row],[Ø (cm)]]/100</f>
        <v>1.4137166941154069</v>
      </c>
      <c r="O125" s="4">
        <f>IF(ESF[[#This Row],[Prof. (m)]]=0,0,ESF[[#This Row],[α (%)]]/100*ESF[[#This Row],[K (MPa)]]*1000*ESF[[#This Row],[NSPT]])</f>
        <v>121.00000000000001</v>
      </c>
      <c r="P125" s="4">
        <f>IF(ESF[[#This Row],[Prof. (m)]]=0,0,(ESF[[#This Row],[K (MPa)]]*1000*ESF[[#This Row],[NSPT]]/ESF[[#This Row],[F1]]*ESF[[#This Row],[Ap (m²)]]+ESF[[#This Row],[U (m)]]/ESF[[#This Row],[F2]]*SUMIFS(ESF[(α∙K∙NL∙ΔL)],ESF[Prof. (m)],"&lt;="&amp;ESF[[#This Row],[Prof. (m)]],ESF[idDiâmetro],ESF[[#This Row],[idDiâmetro]],ESF[idPilar],ESF[[#This Row],[idPilar]]))/'DADOS CAP. CARGA'!$D$2)</f>
        <v>263.58747761781763</v>
      </c>
      <c r="Q125" s="12">
        <f>INDEX(C_alpha_beta[],MATCH(ESF[[#This Row],[Solo]],C_alpha_beta[Solo],0),MATCH(ESF[[#Headers],[C (kPa)]],C_alpha_beta[#Headers],0))</f>
        <v>250</v>
      </c>
      <c r="R125" s="4">
        <f>INDEX(C_alpha_beta[],MATCH(ESF[[#This Row],[Solo]],C_alpha_beta[Solo],0),MATCH(ESF[[#Headers],[α ESF]],C_alpha_beta[#Headers],0))</f>
        <v>0.6</v>
      </c>
      <c r="S125" s="4">
        <f>INDEX(C_alpha_beta[],MATCH(ESF[[#This Row],[Solo]],C_alpha_beta[Solo],0),MATCH(ESF[[#Headers],[β ESF]],C_alpha_beta[#Headers],0))</f>
        <v>0.65</v>
      </c>
      <c r="T125" s="4">
        <f>IF(ESF[[#This Row],[Prof. (m)]]=0,0,10*(ESF[[#This Row],[NSPT]]/3+1))</f>
        <v>43.333333333333343</v>
      </c>
      <c r="U125" s="4">
        <f>(ESF[[#This Row],[α ESF]]*ESF[[#This Row],[C (kPa)]]*ESF[[#This Row],[NSPT]]*ESF[[#This Row],[Ap (m²)]])/'DADOS CAP. CARGA'!$Q$2+(ESF[[#This Row],[β ESF]]*SUMIFS(ESF[10∙(NL/3+1)],ESF[Prof. (m)],"&lt;="&amp;ESF[[#This Row],[Prof. (m)]],ESF[idDiâmetro],ESF[[#This Row],[idDiâmetro]],ESF[idPilar],ESF[[#This Row],[idPilar]])*ESF[[#This Row],[U (m)]])/'DADOS CAP. CARGA'!$S$2</f>
        <v>206.66770922099607</v>
      </c>
      <c r="V125" s="4">
        <f>IF(SPT!$M$5=1,MIN(ESF[[#This Row],[Pe ESF (kN)]],ESF[[#This Row],[R_AV (kN)]]),IF(SPT!$M$5=2,MIN(ESF[[#This Row],[Pe ESF (kN)]],ESF[[#This Row],[R_DC (kN)]]),MIN(ESF[[#This Row],[Pe ESF (kN)]],ESF[[#This Row],[R_AV (kN)]],ESF[[#This Row],[R_DC (kN)]])))</f>
        <v>206.66770922099607</v>
      </c>
      <c r="W125" s="4">
        <f>INDEX(PILARES[],ESF[[#This Row],[idPilar]],MATCH("Carga (kN)",PILARES[#Headers],0))*1.4</f>
        <v>3500</v>
      </c>
      <c r="X125" s="12">
        <f>INDEX(PILARES[],ESF[[#This Row],[idPilar]],MATCH(ESF[[#Headers],[ap (cm)]],PILARES[#Headers],0))</f>
        <v>60</v>
      </c>
      <c r="Y125" s="12">
        <f>INDEX(PILARES[],ESF[[#This Row],[idPilar]],MATCH(ESF[[#Headers],[bp (cm)]],PILARES[#Headers],0))</f>
        <v>60</v>
      </c>
      <c r="Z125" s="4">
        <f>SQRT(ESF[[#This Row],[ap (cm)]]*ESF[[#This Row],[bp (cm)]])</f>
        <v>60</v>
      </c>
      <c r="AA125" s="12">
        <f>ESF[[#This Row],[ap (cm)]]*ESF[[#This Row],[bp (cm)]]</f>
        <v>3600</v>
      </c>
      <c r="AB125" s="12">
        <f ca="1">IF(ESF[[#This Row],[Padm∙ε (kN)]]&gt;=ESF[[#This Row],[Padm (kN)]],ROUNDUP(1.05*ESF[[#This Row],[Nsd (kN)]]/ESF[[#This Row],[Padm (kN)]],0),ROUNDUP(1.05*ESF[[#This Row],[Nsd (kN)]]/ESF[[#This Row],[Padm (kN)]],0)+1)</f>
        <v>18</v>
      </c>
      <c r="AC125" s="4" t="str">
        <f ca="1">IFERROR(IF(ESF[[#This Row],[nE]]=1,ESF[[#This Row],[Padm (kN)]],ESF[[#This Row],[Padm (kN)]]*ESF[[#This Row],[nE]]*INDEX(grupoEstacas[],ESF[[#This Row],[nE]],MATCH("ε",grupoEstacas[#Headers],0))),"N.S.")</f>
        <v>N.S.</v>
      </c>
      <c r="AD125" s="4">
        <f ca="1">1.05*ESF[[#This Row],[Nsd (kN)]]/(ESF[[#This Row],[nE]]*PI()*ESF[[#This Row],[Ø (cm)]]^2/4)*10</f>
        <v>1.283718882551913</v>
      </c>
      <c r="AE125" s="4">
        <f ca="1">IF(ESF[[#This Row],[σ (MPa)]]&lt;INDEX(tipoEstaca[],MATCH($D$2,tipoEstaca[TIPO DE ESTACA],0),MATCH("σmáx (MPa)",tipoEstaca[#Headers],0)),0.4%*PI()*ESF[[#This Row],[Ø (cm)]]^2/4,"N.S.")</f>
        <v>6.3617251235193315</v>
      </c>
      <c r="AF125" s="1">
        <f>INDEX(tipoEstaca[],MATCH($D$2,tipoEstaca[TIPO DE ESTACA],0),MATCH(ESF[[#Headers],[Comprimento (m)]],tipoEstaca[#Headers],0))</f>
        <v>2</v>
      </c>
      <c r="AG125" s="5">
        <f ca="1">ESF[[#This Row],[As,mín (cm²)]]/100^2*ESF[[#This Row],[Comprimento (m)]]*7850</f>
        <v>9.9879084439253507</v>
      </c>
      <c r="AH125" s="4">
        <f ca="1">ESF[[#This Row],[nE]]*ESF[[#This Row],[Prof. (m)]]*ESF[[#This Row],[Ap (m²)]]</f>
        <v>22.902210444669596</v>
      </c>
      <c r="AI125" s="1">
        <f ca="1">IF(ESF[[#This Row],[nE]]=1,0,MAX(3*ESF[[#This Row],[Ø (cm)]],60))</f>
        <v>135</v>
      </c>
      <c r="AJ125" s="1">
        <f ca="1">IF(ESF[[#This Row],[nE]]=1,ESF[[#This Row],[Ø (cm)]]+2*10,MAX(1.5*ESF[[#This Row],[Ø (cm)]],ESF[[#This Row],[Ø (cm)]]+15))</f>
        <v>67.5</v>
      </c>
      <c r="AK125" s="1" t="str">
        <f ca="1">alturaUtil(ESF[[#This Row],[nE]],ESF[[#This Row],[Ø (cm)]],ESF[[#This Row],[e (cm)]],ESF[[#This Row],[ap,eq (cm)]])</f>
        <v>N.S.</v>
      </c>
      <c r="AL125" s="1" t="str">
        <f ca="1">IFERROR(ESF[[#This Row],[d (cm)]]+arredondarParaCimaMultiplo5cm(MAX(5,SQRT(PI())/2*ESF[[#This Row],[Ø (cm)]]/5)),"N.S.")</f>
        <v>N.S.</v>
      </c>
      <c r="AM125" s="5" t="str">
        <f ca="1">alpha(ESF[[#This Row],[nE]],ESF[[#This Row],[d (cm)]],ESF[[#This Row],[e (cm)]],ESF[[#This Row],[ap,eq (cm)]])</f>
        <v>N.S.</v>
      </c>
      <c r="AN125" s="35" t="str">
        <f ca="1">IFERROR(ESF[[#This Row],[Nsd (kN)]]/(ESF[[#This Row],[Ap (cm²)]]*SIN(ESF[[#This Row],[α]])^2),"N.S.")</f>
        <v>N.S.</v>
      </c>
      <c r="AO125" s="35" t="str">
        <f ca="1">IFERROR(ESF[[#This Row],[Nsd (kN)]]/(ESF[[#This Row],[nE]]*PI()*ESF[[#This Row],[Ø (cm)]]^2/4*SIN(ESF[[#This Row],[α]])^2),"N.S.")</f>
        <v>N.S.</v>
      </c>
      <c r="AP125" s="4" t="str">
        <f ca="1">IFERROR(INDEX(grupoEstacas[],ESF[[#This Row],[nE]],MATCH("coef. Blévot",grupoEstacas[#Headers],0)),"N.S.")</f>
        <v>N.S.</v>
      </c>
      <c r="AQ125" s="35" t="str">
        <f ca="1">IFERROR(ESF[[#This Row],[coef. Blévot]]*0.9*INDEX(tipoEstaca[],MATCH($D$2,tipoEstaca[TIPO DE ESTACA],0),MATCH("fcd (kN/cm²)",tipoEstaca[#Headers],0)),"N.S.")</f>
        <v>N.S.</v>
      </c>
      <c r="AR125" s="1" t="str">
        <f ca="1">IF(AND(ESF[[#This Row],[cd,b,pil (kN/cm²)]]&lt;=ESF[[#This Row],[cd,b,lim (kN/cm²)]],ESF[[#This Row],[cd,b,est (kN/cm²)]]&lt;=ESF[[#This Row],[cd,b,lim (kN/cm²)]]),"OK","ERRO")</f>
        <v>OK</v>
      </c>
      <c r="AS125" s="4" t="str">
        <f ca="1">As_lado(ESF[[#This Row],[nE]],ESF[[#This Row],[Nsd (kN)]],ESF[[#This Row],[d (cm)]],ESF[[#This Row],[e (cm)]],ESF[[#This Row],[ap,eq (cm)]])</f>
        <v>N.S.</v>
      </c>
      <c r="AT125" s="4" t="str">
        <f ca="1">IF(ESF[[#This Row],[nE]]=1,ESF[[#This Row],[As,lado (cm²)]],IF(ESF[[#This Row],[nE]]=2,0.075*2*ESF[a (cm)],"N.A."))</f>
        <v>N.A.</v>
      </c>
      <c r="AU125" s="4" t="str">
        <f ca="1">IFERROR(IF(ESF[[#This Row],[nE]]=1,"N.A.",0.2*ESF[[#This Row],[As,lado (cm²)]]),"N.S.")</f>
        <v>N.S.</v>
      </c>
      <c r="AV125" s="4" t="str">
        <f ca="1">As_malha(ESF[[#This Row],[nE]],ESF[[#This Row],[As,lado (cm²)]],ESF[[#This Row],[Nsd (kN)]])</f>
        <v>N.S.</v>
      </c>
      <c r="AW125" s="4" t="str">
        <f ca="1">As_susp_tot(ESF[[#This Row],[nE]],ESF[[#This Row],[Nsd (kN)]])</f>
        <v>N.S.</v>
      </c>
      <c r="AX125" s="4" t="str">
        <f ca="1">Asp_face(ESF[[#This Row],[nE]],ESF[[#This Row],[As,lado (cm²)]])</f>
        <v>N.S.</v>
      </c>
      <c r="AY125" s="5" t="str">
        <f ca="1">acoBloco(ESF[[#This Row],[nE]],ESF[[#This Row],[e (cm)]],ESF[[#This Row],[a (cm)]],ESF[[#This Row],[h (cm)]],ESF[[#This Row],[As,lado (cm²)]],ESF[[#This Row],[Asp e Asw (cm²/m)]],ESF[[#This Row],[As,sup (cm²)]],ESF[[#This Row],[As,malha (cm²)]],ESF[[#This Row],[As,susp,tot (cm²)]],ESF[[#This Row],[Asp,face (cm²)]])</f>
        <v>N.S.</v>
      </c>
      <c r="AZ125" s="4" t="str">
        <f ca="1">concretoBloco(ESF[[#This Row],[nE]],ESF[[#This Row],[e (cm)]],ESF[[#This Row],[a (cm)]],ESF[[#This Row],[h (cm)]])</f>
        <v>N.S.</v>
      </c>
      <c r="BA125" s="5">
        <f ca="1">SUM(ESF[[#This Row],[Aço Est (kg)]],ESF[[#This Row],[Aço Bloco (kg)]])</f>
        <v>9.9879084439253507</v>
      </c>
      <c r="BB125" s="4">
        <f>INDEX(composicoes[],MATCH(95580,composicoes[CÓDIGO],0),MATCH("CUSTO TOTAL",composicoes[#Headers],0))</f>
        <v>10.46</v>
      </c>
      <c r="BC125" s="4">
        <f ca="1">SUM(ESF[[#This Row],[Conc Est (m³)]],ESF[[#This Row],[Conc Bloco (m³)]])</f>
        <v>22.902210444669596</v>
      </c>
      <c r="BD125" s="4">
        <f>INDEX(composicoes[],MATCH(94966,composicoes[CÓDIGO],0),MATCH("CUSTO TOTAL",composicoes[#Headers],0))</f>
        <v>439.52</v>
      </c>
      <c r="BE125" s="38">
        <f ca="1">ESF[[#This Row],[Aço (kg)]]*ESF[[#This Row],[Aço (R$/kg)]]+ESF[[#This Row],[Conc (m³)]]*ESF[[#This Row],[Conc (R$/m³)]]</f>
        <v>10170.453056964639</v>
      </c>
      <c r="BF125" s="4" t="str">
        <f ca="1">IF(COUNTIF(ESF[#This Row],"N.S.")&gt;0,"lim.","OK")</f>
        <v>lim.</v>
      </c>
      <c r="BG125" s="4" t="str">
        <f>IF(ESF[[#This Row],[Prof. (m)]]&lt;3,"lim.","OK")</f>
        <v>OK</v>
      </c>
      <c r="BH125" s="4" t="str">
        <f>IF(ESF[[#This Row],[Prof. (m)]]&gt;=8*ESF[[#This Row],[Ø (cm)]]/100,"OK","lim.")</f>
        <v>OK</v>
      </c>
      <c r="BI125" s="4" t="str">
        <f>IF(AND(SPT!$F$3&lt;&gt;"",ESF[[#This Row],[Prof. (m)]]&gt;=SPT!$F$3),"lim.","OK")</f>
        <v>OK</v>
      </c>
      <c r="BJ125" s="4" t="str">
        <f>IF(COUNTIFS(ESF[Solo],"Areia",ESF[Prof. (m)],"&lt;="&amp;ESF[[#This Row],[Prof. (m)]])&gt;=1,"lim.","OK")</f>
        <v>OK</v>
      </c>
      <c r="BK125" s="4" t="str">
        <f ca="1">IF(ESF[[#This Row],[Verif. Biela]]="OK","OK","lim.")</f>
        <v>OK</v>
      </c>
      <c r="BL125" s="4" t="str">
        <f ca="1">IF(COUNTA(ESF[[#This Row],[Nº Est.]:[Biela comp.]])=COUNTIF(ESF[[#This Row],[Nº Est.]:[Biela comp.]],"OK"),"OK","lim.")</f>
        <v>lim.</v>
      </c>
      <c r="BM125" s="4" t="str">
        <f ca="1">IF(ESF[[#This Row],[Controle]]="OK",ESF[[#This Row],[nE]]&amp;" Ø"&amp;ESF[[#This Row],[Ø (cm)]]&amp;"cm Prof. "&amp;ESF[[#This Row],[Prof. (m)]]&amp;" m","")</f>
        <v/>
      </c>
      <c r="BN125" s="4" t="str">
        <f ca="1">IF(ESF[[#This Row],[idDimensionamento]]="","",ESF[[#This Row],[idPilar]]&amp;ESF[[#This Row],[idDimensionamento]])</f>
        <v/>
      </c>
    </row>
    <row r="126" spans="2:66" x14ac:dyDescent="0.25">
      <c r="B126" s="12">
        <f>ROUNDUP((ROW(ESF[[#This Row],[idDiâmetro]])-ROW(ESF[[#Headers],[idDiâmetro]]))/(COUNT(SPT[Prof. (m)])*COUNT(PILARES[Pilar])),0)</f>
        <v>5</v>
      </c>
      <c r="C126" s="12">
        <f>IF(ESF[[#This Row],[idDiâmetro]]&lt;&gt;B125,1,IF(ESF[[#This Row],[Prof. (m)]]=0,C125+1,C125))</f>
        <v>1</v>
      </c>
      <c r="D126" s="1">
        <f>IFERROR(IF(D125=MAX(SPT[Prof. (m)]),0,D125+1),0)</f>
        <v>9</v>
      </c>
      <c r="E126" s="1">
        <f>INDEX(SPT[],MATCH(ESF[[#This Row],[Prof. (m)]],SPT[Prof. (m)],0),2)</f>
        <v>26</v>
      </c>
      <c r="F126" s="1" t="str">
        <f>INDEX(SPT[],MATCH(ESF[[#This Row],[Prof. (m)]],SPT[Prof. (m)],0),3)</f>
        <v>Areia siltosa</v>
      </c>
      <c r="G126" s="1">
        <f>INDEX(estacas[],ESF[[#This Row],[idDiâmetro]],MATCH($B$2,estacas[#Headers],0))</f>
        <v>45</v>
      </c>
      <c r="H126" s="1">
        <f>INDEX(estacas[],MATCH(ESF[[#This Row],[Ø (cm)]],estacas[Ø ESF (cm)],0),MATCH(ESF[[#Headers],[Pe ESF (kN)]],estacas[#Headers],0))</f>
        <v>810</v>
      </c>
      <c r="I126" s="4">
        <f>INDEX(K_alpha_C[],MATCH(ESF[[#This Row],[Solo]],K_alpha_C[Solo],0),2)</f>
        <v>0.8</v>
      </c>
      <c r="J126" s="5">
        <f>INDEX(K_alpha_C[],MATCH(ESF[[#This Row],[Solo]],K_alpha_C[Solo],0),3)</f>
        <v>2</v>
      </c>
      <c r="K126" s="4">
        <f>INDEX(F1_F2[],MATCH($D$2,F1_F2[Tipo de estaca],0),2)</f>
        <v>3</v>
      </c>
      <c r="L126" s="4">
        <f>INDEX(F1_F2[],MATCH($D$2,F1_F2[Tipo de estaca],0),3)</f>
        <v>6</v>
      </c>
      <c r="M126" s="4">
        <f>PI()*(ESF[[#This Row],[Ø (cm)]]/100)^2/4</f>
        <v>0.15904312808798329</v>
      </c>
      <c r="N126" s="4">
        <f>PI()*ESF[[#This Row],[Ø (cm)]]/100</f>
        <v>1.4137166941154069</v>
      </c>
      <c r="O126" s="4">
        <f>IF(ESF[[#This Row],[Prof. (m)]]=0,0,ESF[[#This Row],[α (%)]]/100*ESF[[#This Row],[K (MPa)]]*1000*ESF[[#This Row],[NSPT]])</f>
        <v>416</v>
      </c>
      <c r="P126" s="4">
        <f>IF(ESF[[#This Row],[Prof. (m)]]=0,0,(ESF[[#This Row],[K (MPa)]]*1000*ESF[[#This Row],[NSPT]]/ESF[[#This Row],[F1]]*ESF[[#This Row],[Ap (m²)]]+ESF[[#This Row],[U (m)]]/ESF[[#This Row],[F2]]*SUMIFS(ESF[(α∙K∙NL∙ΔL)],ESF[Prof. (m)],"&lt;="&amp;ESF[[#This Row],[Prof. (m)]],ESF[idDiâmetro],ESF[[#This Row],[idDiâmetro]],ESF[idPilar],ESF[[#This Row],[idPilar]]))/'DADOS CAP. CARGA'!$D$2)</f>
        <v>718.15629963817582</v>
      </c>
      <c r="Q126" s="12">
        <f>INDEX(C_alpha_beta[],MATCH(ESF[[#This Row],[Solo]],C_alpha_beta[Solo],0),MATCH(ESF[[#Headers],[C (kPa)]],C_alpha_beta[#Headers],0))</f>
        <v>400</v>
      </c>
      <c r="R126" s="4">
        <f>INDEX(C_alpha_beta[],MATCH(ESF[[#This Row],[Solo]],C_alpha_beta[Solo],0),MATCH(ESF[[#Headers],[α ESF]],C_alpha_beta[#Headers],0))</f>
        <v>0.5</v>
      </c>
      <c r="S126" s="4">
        <f>INDEX(C_alpha_beta[],MATCH(ESF[[#This Row],[Solo]],C_alpha_beta[Solo],0),MATCH(ESF[[#Headers],[β ESF]],C_alpha_beta[#Headers],0))</f>
        <v>0.5</v>
      </c>
      <c r="T126" s="4">
        <f>IF(ESF[[#This Row],[Prof. (m)]]=0,0,10*(ESF[[#This Row],[NSPT]]/3+1))</f>
        <v>96.666666666666657</v>
      </c>
      <c r="U126" s="4">
        <f>(ESF[[#This Row],[α ESF]]*ESF[[#This Row],[C (kPa)]]*ESF[[#This Row],[NSPT]]*ESF[[#This Row],[Ap (m²)]])/'DADOS CAP. CARGA'!$Q$2+(ESF[[#This Row],[β ESF]]*SUMIFS(ESF[10∙(NL/3+1)],ESF[Prof. (m)],"&lt;="&amp;ESF[[#This Row],[Prof. (m)]],ESF[idDiâmetro],ESF[[#This Row],[idDiâmetro]],ESF[idPilar],ESF[[#This Row],[idPilar]])*ESF[[#This Row],[U (m)]])/'DADOS CAP. CARGA'!$S$2</f>
        <v>354.01822215139987</v>
      </c>
      <c r="V126" s="4">
        <f>IF(SPT!$M$5=1,MIN(ESF[[#This Row],[Pe ESF (kN)]],ESF[[#This Row],[R_AV (kN)]]),IF(SPT!$M$5=2,MIN(ESF[[#This Row],[Pe ESF (kN)]],ESF[[#This Row],[R_DC (kN)]]),MIN(ESF[[#This Row],[Pe ESF (kN)]],ESF[[#This Row],[R_AV (kN)]],ESF[[#This Row],[R_DC (kN)]])))</f>
        <v>354.01822215139987</v>
      </c>
      <c r="W126" s="4">
        <f>INDEX(PILARES[],ESF[[#This Row],[idPilar]],MATCH("Carga (kN)",PILARES[#Headers],0))*1.4</f>
        <v>3500</v>
      </c>
      <c r="X126" s="12">
        <f>INDEX(PILARES[],ESF[[#This Row],[idPilar]],MATCH(ESF[[#Headers],[ap (cm)]],PILARES[#Headers],0))</f>
        <v>60</v>
      </c>
      <c r="Y126" s="12">
        <f>INDEX(PILARES[],ESF[[#This Row],[idPilar]],MATCH(ESF[[#Headers],[bp (cm)]],PILARES[#Headers],0))</f>
        <v>60</v>
      </c>
      <c r="Z126" s="4">
        <f>SQRT(ESF[[#This Row],[ap (cm)]]*ESF[[#This Row],[bp (cm)]])</f>
        <v>60</v>
      </c>
      <c r="AA126" s="12">
        <f>ESF[[#This Row],[ap (cm)]]*ESF[[#This Row],[bp (cm)]]</f>
        <v>3600</v>
      </c>
      <c r="AB126" s="12">
        <f ca="1">IF(ESF[[#This Row],[Padm∙ε (kN)]]&gt;=ESF[[#This Row],[Padm (kN)]],ROUNDUP(1.05*ESF[[#This Row],[Nsd (kN)]]/ESF[[#This Row],[Padm (kN)]],0),ROUNDUP(1.05*ESF[[#This Row],[Nsd (kN)]]/ESF[[#This Row],[Padm (kN)]],0)+1)</f>
        <v>11</v>
      </c>
      <c r="AC126" s="4" t="str">
        <f ca="1">IFERROR(IF(ESF[[#This Row],[nE]]=1,ESF[[#This Row],[Padm (kN)]],ESF[[#This Row],[Padm (kN)]]*ESF[[#This Row],[nE]]*INDEX(grupoEstacas[],ESF[[#This Row],[nE]],MATCH("ε",grupoEstacas[#Headers],0))),"N.S.")</f>
        <v>N.S.</v>
      </c>
      <c r="AD126" s="4">
        <f ca="1">1.05*ESF[[#This Row],[Nsd (kN)]]/(ESF[[#This Row],[nE]]*PI()*ESF[[#This Row],[Ø (cm)]]^2/4)*10</f>
        <v>2.1006308987213123</v>
      </c>
      <c r="AE126" s="4">
        <f ca="1">IF(ESF[[#This Row],[σ (MPa)]]&lt;INDEX(tipoEstaca[],MATCH($D$2,tipoEstaca[TIPO DE ESTACA],0),MATCH("σmáx (MPa)",tipoEstaca[#Headers],0)),0.4%*PI()*ESF[[#This Row],[Ø (cm)]]^2/4,"N.S.")</f>
        <v>6.3617251235193315</v>
      </c>
      <c r="AF126" s="1">
        <f>INDEX(tipoEstaca[],MATCH($D$2,tipoEstaca[TIPO DE ESTACA],0),MATCH(ESF[[#Headers],[Comprimento (m)]],tipoEstaca[#Headers],0))</f>
        <v>2</v>
      </c>
      <c r="AG126" s="5">
        <f ca="1">ESF[[#This Row],[As,mín (cm²)]]/100^2*ESF[[#This Row],[Comprimento (m)]]*7850</f>
        <v>9.9879084439253507</v>
      </c>
      <c r="AH126" s="4">
        <f ca="1">ESF[[#This Row],[nE]]*ESF[[#This Row],[Prof. (m)]]*ESF[[#This Row],[Ap (m²)]]</f>
        <v>15.745269680710345</v>
      </c>
      <c r="AI126" s="1">
        <f ca="1">IF(ESF[[#This Row],[nE]]=1,0,MAX(3*ESF[[#This Row],[Ø (cm)]],60))</f>
        <v>135</v>
      </c>
      <c r="AJ126" s="1">
        <f ca="1">IF(ESF[[#This Row],[nE]]=1,ESF[[#This Row],[Ø (cm)]]+2*10,MAX(1.5*ESF[[#This Row],[Ø (cm)]],ESF[[#This Row],[Ø (cm)]]+15))</f>
        <v>67.5</v>
      </c>
      <c r="AK126" s="1" t="str">
        <f ca="1">alturaUtil(ESF[[#This Row],[nE]],ESF[[#This Row],[Ø (cm)]],ESF[[#This Row],[e (cm)]],ESF[[#This Row],[ap,eq (cm)]])</f>
        <v>N.S.</v>
      </c>
      <c r="AL126" s="1" t="str">
        <f ca="1">IFERROR(ESF[[#This Row],[d (cm)]]+arredondarParaCimaMultiplo5cm(MAX(5,SQRT(PI())/2*ESF[[#This Row],[Ø (cm)]]/5)),"N.S.")</f>
        <v>N.S.</v>
      </c>
      <c r="AM126" s="5" t="str">
        <f ca="1">alpha(ESF[[#This Row],[nE]],ESF[[#This Row],[d (cm)]],ESF[[#This Row],[e (cm)]],ESF[[#This Row],[ap,eq (cm)]])</f>
        <v>N.S.</v>
      </c>
      <c r="AN126" s="35" t="str">
        <f ca="1">IFERROR(ESF[[#This Row],[Nsd (kN)]]/(ESF[[#This Row],[Ap (cm²)]]*SIN(ESF[[#This Row],[α]])^2),"N.S.")</f>
        <v>N.S.</v>
      </c>
      <c r="AO126" s="35" t="str">
        <f ca="1">IFERROR(ESF[[#This Row],[Nsd (kN)]]/(ESF[[#This Row],[nE]]*PI()*ESF[[#This Row],[Ø (cm)]]^2/4*SIN(ESF[[#This Row],[α]])^2),"N.S.")</f>
        <v>N.S.</v>
      </c>
      <c r="AP126" s="4" t="str">
        <f ca="1">IFERROR(INDEX(grupoEstacas[],ESF[[#This Row],[nE]],MATCH("coef. Blévot",grupoEstacas[#Headers],0)),"N.S.")</f>
        <v>N.S.</v>
      </c>
      <c r="AQ126" s="35" t="str">
        <f ca="1">IFERROR(ESF[[#This Row],[coef. Blévot]]*0.9*INDEX(tipoEstaca[],MATCH($D$2,tipoEstaca[TIPO DE ESTACA],0),MATCH("fcd (kN/cm²)",tipoEstaca[#Headers],0)),"N.S.")</f>
        <v>N.S.</v>
      </c>
      <c r="AR126" s="1" t="str">
        <f ca="1">IF(AND(ESF[[#This Row],[cd,b,pil (kN/cm²)]]&lt;=ESF[[#This Row],[cd,b,lim (kN/cm²)]],ESF[[#This Row],[cd,b,est (kN/cm²)]]&lt;=ESF[[#This Row],[cd,b,lim (kN/cm²)]]),"OK","ERRO")</f>
        <v>OK</v>
      </c>
      <c r="AS126" s="4" t="str">
        <f ca="1">As_lado(ESF[[#This Row],[nE]],ESF[[#This Row],[Nsd (kN)]],ESF[[#This Row],[d (cm)]],ESF[[#This Row],[e (cm)]],ESF[[#This Row],[ap,eq (cm)]])</f>
        <v>N.S.</v>
      </c>
      <c r="AT126" s="4" t="str">
        <f ca="1">IF(ESF[[#This Row],[nE]]=1,ESF[[#This Row],[As,lado (cm²)]],IF(ESF[[#This Row],[nE]]=2,0.075*2*ESF[a (cm)],"N.A."))</f>
        <v>N.A.</v>
      </c>
      <c r="AU126" s="4" t="str">
        <f ca="1">IFERROR(IF(ESF[[#This Row],[nE]]=1,"N.A.",0.2*ESF[[#This Row],[As,lado (cm²)]]),"N.S.")</f>
        <v>N.S.</v>
      </c>
      <c r="AV126" s="4" t="str">
        <f ca="1">As_malha(ESF[[#This Row],[nE]],ESF[[#This Row],[As,lado (cm²)]],ESF[[#This Row],[Nsd (kN)]])</f>
        <v>N.S.</v>
      </c>
      <c r="AW126" s="4" t="str">
        <f ca="1">As_susp_tot(ESF[[#This Row],[nE]],ESF[[#This Row],[Nsd (kN)]])</f>
        <v>N.S.</v>
      </c>
      <c r="AX126" s="4" t="str">
        <f ca="1">Asp_face(ESF[[#This Row],[nE]],ESF[[#This Row],[As,lado (cm²)]])</f>
        <v>N.S.</v>
      </c>
      <c r="AY126" s="5" t="str">
        <f ca="1">acoBloco(ESF[[#This Row],[nE]],ESF[[#This Row],[e (cm)]],ESF[[#This Row],[a (cm)]],ESF[[#This Row],[h (cm)]],ESF[[#This Row],[As,lado (cm²)]],ESF[[#This Row],[Asp e Asw (cm²/m)]],ESF[[#This Row],[As,sup (cm²)]],ESF[[#This Row],[As,malha (cm²)]],ESF[[#This Row],[As,susp,tot (cm²)]],ESF[[#This Row],[Asp,face (cm²)]])</f>
        <v>N.S.</v>
      </c>
      <c r="AZ126" s="4" t="str">
        <f ca="1">concretoBloco(ESF[[#This Row],[nE]],ESF[[#This Row],[e (cm)]],ESF[[#This Row],[a (cm)]],ESF[[#This Row],[h (cm)]])</f>
        <v>N.S.</v>
      </c>
      <c r="BA126" s="5">
        <f ca="1">SUM(ESF[[#This Row],[Aço Est (kg)]],ESF[[#This Row],[Aço Bloco (kg)]])</f>
        <v>9.9879084439253507</v>
      </c>
      <c r="BB126" s="4">
        <f>INDEX(composicoes[],MATCH(95580,composicoes[CÓDIGO],0),MATCH("CUSTO TOTAL",composicoes[#Headers],0))</f>
        <v>10.46</v>
      </c>
      <c r="BC126" s="4">
        <f ca="1">SUM(ESF[[#This Row],[Conc Est (m³)]],ESF[[#This Row],[Conc Bloco (m³)]])</f>
        <v>15.745269680710345</v>
      </c>
      <c r="BD126" s="4">
        <f>INDEX(composicoes[],MATCH(94966,composicoes[CÓDIGO],0),MATCH("CUSTO TOTAL",composicoes[#Headers],0))</f>
        <v>439.52</v>
      </c>
      <c r="BE126" s="38">
        <f ca="1">ESF[[#This Row],[Aço (kg)]]*ESF[[#This Row],[Aço (R$/kg)]]+ESF[[#This Row],[Conc (m³)]]*ESF[[#This Row],[Conc (R$/m³)]]</f>
        <v>7024.8344523892702</v>
      </c>
      <c r="BF126" s="4" t="str">
        <f ca="1">IF(COUNTIF(ESF[#This Row],"N.S.")&gt;0,"lim.","OK")</f>
        <v>lim.</v>
      </c>
      <c r="BG126" s="4" t="str">
        <f>IF(ESF[[#This Row],[Prof. (m)]]&lt;3,"lim.","OK")</f>
        <v>OK</v>
      </c>
      <c r="BH126" s="4" t="str">
        <f>IF(ESF[[#This Row],[Prof. (m)]]&gt;=8*ESF[[#This Row],[Ø (cm)]]/100,"OK","lim.")</f>
        <v>OK</v>
      </c>
      <c r="BI126" s="4" t="str">
        <f>IF(AND(SPT!$F$3&lt;&gt;"",ESF[[#This Row],[Prof. (m)]]&gt;=SPT!$F$3),"lim.","OK")</f>
        <v>OK</v>
      </c>
      <c r="BJ126" s="4" t="str">
        <f>IF(COUNTIFS(ESF[Solo],"Areia",ESF[Prof. (m)],"&lt;="&amp;ESF[[#This Row],[Prof. (m)]])&gt;=1,"lim.","OK")</f>
        <v>OK</v>
      </c>
      <c r="BK126" s="4" t="str">
        <f ca="1">IF(ESF[[#This Row],[Verif. Biela]]="OK","OK","lim.")</f>
        <v>OK</v>
      </c>
      <c r="BL126" s="4" t="str">
        <f ca="1">IF(COUNTA(ESF[[#This Row],[Nº Est.]:[Biela comp.]])=COUNTIF(ESF[[#This Row],[Nº Est.]:[Biela comp.]],"OK"),"OK","lim.")</f>
        <v>lim.</v>
      </c>
      <c r="BM126" s="4" t="str">
        <f ca="1">IF(ESF[[#This Row],[Controle]]="OK",ESF[[#This Row],[nE]]&amp;" Ø"&amp;ESF[[#This Row],[Ø (cm)]]&amp;"cm Prof. "&amp;ESF[[#This Row],[Prof. (m)]]&amp;" m","")</f>
        <v/>
      </c>
      <c r="BN126" s="4" t="str">
        <f ca="1">IF(ESF[[#This Row],[idDimensionamento]]="","",ESF[[#This Row],[idPilar]]&amp;ESF[[#This Row],[idDimensionamento]])</f>
        <v/>
      </c>
    </row>
    <row r="127" spans="2:66" x14ac:dyDescent="0.25">
      <c r="B127" s="12">
        <f>ROUNDUP((ROW(ESF[[#This Row],[idDiâmetro]])-ROW(ESF[[#Headers],[idDiâmetro]]))/(COUNT(SPT[Prof. (m)])*COUNT(PILARES[Pilar])),0)</f>
        <v>5</v>
      </c>
      <c r="C127" s="12">
        <f>IF(ESF[[#This Row],[idDiâmetro]]&lt;&gt;B126,1,IF(ESF[[#This Row],[Prof. (m)]]=0,C126+1,C126))</f>
        <v>1</v>
      </c>
      <c r="D127" s="1">
        <f>IFERROR(IF(D126=MAX(SPT[Prof. (m)]),0,D126+1),0)</f>
        <v>10</v>
      </c>
      <c r="E127" s="1">
        <f>INDEX(SPT[],MATCH(ESF[[#This Row],[Prof. (m)]],SPT[Prof. (m)],0),2)</f>
        <v>32</v>
      </c>
      <c r="F127" s="1" t="str">
        <f>INDEX(SPT[],MATCH(ESF[[#This Row],[Prof. (m)]],SPT[Prof. (m)],0),3)</f>
        <v>Areia siltosa</v>
      </c>
      <c r="G127" s="1">
        <f>INDEX(estacas[],ESF[[#This Row],[idDiâmetro]],MATCH($B$2,estacas[#Headers],0))</f>
        <v>45</v>
      </c>
      <c r="H127" s="1">
        <f>INDEX(estacas[],MATCH(ESF[[#This Row],[Ø (cm)]],estacas[Ø ESF (cm)],0),MATCH(ESF[[#Headers],[Pe ESF (kN)]],estacas[#Headers],0))</f>
        <v>810</v>
      </c>
      <c r="I127" s="4">
        <f>INDEX(K_alpha_C[],MATCH(ESF[[#This Row],[Solo]],K_alpha_C[Solo],0),2)</f>
        <v>0.8</v>
      </c>
      <c r="J127" s="5">
        <f>INDEX(K_alpha_C[],MATCH(ESF[[#This Row],[Solo]],K_alpha_C[Solo],0),3)</f>
        <v>2</v>
      </c>
      <c r="K127" s="4">
        <f>INDEX(F1_F2[],MATCH($D$2,F1_F2[Tipo de estaca],0),2)</f>
        <v>3</v>
      </c>
      <c r="L127" s="4">
        <f>INDEX(F1_F2[],MATCH($D$2,F1_F2[Tipo de estaca],0),3)</f>
        <v>6</v>
      </c>
      <c r="M127" s="4">
        <f>PI()*(ESF[[#This Row],[Ø (cm)]]/100)^2/4</f>
        <v>0.15904312808798329</v>
      </c>
      <c r="N127" s="4">
        <f>PI()*ESF[[#This Row],[Ø (cm)]]/100</f>
        <v>1.4137166941154069</v>
      </c>
      <c r="O127" s="4">
        <f>IF(ESF[[#This Row],[Prof. (m)]]=0,0,ESF[[#This Row],[α (%)]]/100*ESF[[#This Row],[K (MPa)]]*1000*ESF[[#This Row],[NSPT]])</f>
        <v>512</v>
      </c>
      <c r="P127" s="4">
        <f>IF(ESF[[#This Row],[Prof. (m)]]=0,0,(ESF[[#This Row],[K (MPa)]]*1000*ESF[[#This Row],[NSPT]]/ESF[[#This Row],[F1]]*ESF[[#This Row],[Ap (m²)]]+ESF[[#This Row],[U (m)]]/ESF[[#This Row],[F2]]*SUMIFS(ESF[(α∙K∙NL∙ΔL)],ESF[Prof. (m)],"&lt;="&amp;ESF[[#This Row],[Prof. (m)]],ESF[idDiâmetro],ESF[[#This Row],[idDiâmetro]],ESF[idPilar],ESF[[#This Row],[idPilar]]))/'DADOS CAP. CARGA'!$D$2)</f>
        <v>905.70938105748655</v>
      </c>
      <c r="Q127" s="12">
        <f>INDEX(C_alpha_beta[],MATCH(ESF[[#This Row],[Solo]],C_alpha_beta[Solo],0),MATCH(ESF[[#Headers],[C (kPa)]],C_alpha_beta[#Headers],0))</f>
        <v>400</v>
      </c>
      <c r="R127" s="4">
        <f>INDEX(C_alpha_beta[],MATCH(ESF[[#This Row],[Solo]],C_alpha_beta[Solo],0),MATCH(ESF[[#Headers],[α ESF]],C_alpha_beta[#Headers],0))</f>
        <v>0.5</v>
      </c>
      <c r="S127" s="4">
        <f>INDEX(C_alpha_beta[],MATCH(ESF[[#This Row],[Solo]],C_alpha_beta[Solo],0),MATCH(ESF[[#Headers],[β ESF]],C_alpha_beta[#Headers],0))</f>
        <v>0.5</v>
      </c>
      <c r="T127" s="4">
        <f>IF(ESF[[#This Row],[Prof. (m)]]=0,0,10*(ESF[[#This Row],[NSPT]]/3+1))</f>
        <v>116.66666666666666</v>
      </c>
      <c r="U127" s="4">
        <f>(ESF[[#This Row],[α ESF]]*ESF[[#This Row],[C (kPa)]]*ESF[[#This Row],[NSPT]]*ESF[[#This Row],[Ap (m²)]])/'DADOS CAP. CARGA'!$Q$2+(ESF[[#This Row],[β ESF]]*SUMIFS(ESF[10∙(NL/3+1)],ESF[Prof. (m)],"&lt;="&amp;ESF[[#This Row],[Prof. (m)]],ESF[idDiâmetro],ESF[[#This Row],[idDiâmetro]],ESF[idPilar],ESF[[#This Row],[idPilar]])*ESF[[#This Row],[U (m)]])/'DADOS CAP. CARGA'!$S$2</f>
        <v>442.9645641561608</v>
      </c>
      <c r="V127" s="4">
        <f>IF(SPT!$M$5=1,MIN(ESF[[#This Row],[Pe ESF (kN)]],ESF[[#This Row],[R_AV (kN)]]),IF(SPT!$M$5=2,MIN(ESF[[#This Row],[Pe ESF (kN)]],ESF[[#This Row],[R_DC (kN)]]),MIN(ESF[[#This Row],[Pe ESF (kN)]],ESF[[#This Row],[R_AV (kN)]],ESF[[#This Row],[R_DC (kN)]])))</f>
        <v>442.9645641561608</v>
      </c>
      <c r="W127" s="4">
        <f>INDEX(PILARES[],ESF[[#This Row],[idPilar]],MATCH("Carga (kN)",PILARES[#Headers],0))*1.4</f>
        <v>3500</v>
      </c>
      <c r="X127" s="12">
        <f>INDEX(PILARES[],ESF[[#This Row],[idPilar]],MATCH(ESF[[#Headers],[ap (cm)]],PILARES[#Headers],0))</f>
        <v>60</v>
      </c>
      <c r="Y127" s="12">
        <f>INDEX(PILARES[],ESF[[#This Row],[idPilar]],MATCH(ESF[[#Headers],[bp (cm)]],PILARES[#Headers],0))</f>
        <v>60</v>
      </c>
      <c r="Z127" s="4">
        <f>SQRT(ESF[[#This Row],[ap (cm)]]*ESF[[#This Row],[bp (cm)]])</f>
        <v>60</v>
      </c>
      <c r="AA127" s="12">
        <f>ESF[[#This Row],[ap (cm)]]*ESF[[#This Row],[bp (cm)]]</f>
        <v>3600</v>
      </c>
      <c r="AB127" s="12">
        <f ca="1">IF(ESF[[#This Row],[Padm∙ε (kN)]]&gt;=ESF[[#This Row],[Padm (kN)]],ROUNDUP(1.05*ESF[[#This Row],[Nsd (kN)]]/ESF[[#This Row],[Padm (kN)]],0),ROUNDUP(1.05*ESF[[#This Row],[Nsd (kN)]]/ESF[[#This Row],[Padm (kN)]],0)+1)</f>
        <v>9</v>
      </c>
      <c r="AC127" s="4" t="str">
        <f ca="1">IFERROR(IF(ESF[[#This Row],[nE]]=1,ESF[[#This Row],[Padm (kN)]],ESF[[#This Row],[Padm (kN)]]*ESF[[#This Row],[nE]]*INDEX(grupoEstacas[],ESF[[#This Row],[nE]],MATCH("ε",grupoEstacas[#Headers],0))),"N.S.")</f>
        <v>N.S.</v>
      </c>
      <c r="AD127" s="4">
        <f ca="1">1.05*ESF[[#This Row],[Nsd (kN)]]/(ESF[[#This Row],[nE]]*PI()*ESF[[#This Row],[Ø (cm)]]^2/4)*10</f>
        <v>2.567437765103826</v>
      </c>
      <c r="AE127" s="4">
        <f ca="1">IF(ESF[[#This Row],[σ (MPa)]]&lt;INDEX(tipoEstaca[],MATCH($D$2,tipoEstaca[TIPO DE ESTACA],0),MATCH("σmáx (MPa)",tipoEstaca[#Headers],0)),0.4%*PI()*ESF[[#This Row],[Ø (cm)]]^2/4,"N.S.")</f>
        <v>6.3617251235193315</v>
      </c>
      <c r="AF127" s="1">
        <f>INDEX(tipoEstaca[],MATCH($D$2,tipoEstaca[TIPO DE ESTACA],0),MATCH(ESF[[#Headers],[Comprimento (m)]],tipoEstaca[#Headers],0))</f>
        <v>2</v>
      </c>
      <c r="AG127" s="5">
        <f ca="1">ESF[[#This Row],[As,mín (cm²)]]/100^2*ESF[[#This Row],[Comprimento (m)]]*7850</f>
        <v>9.9879084439253507</v>
      </c>
      <c r="AH127" s="4">
        <f ca="1">ESF[[#This Row],[nE]]*ESF[[#This Row],[Prof. (m)]]*ESF[[#This Row],[Ap (m²)]]</f>
        <v>14.313881527918497</v>
      </c>
      <c r="AI127" s="1">
        <f ca="1">IF(ESF[[#This Row],[nE]]=1,0,MAX(3*ESF[[#This Row],[Ø (cm)]],60))</f>
        <v>135</v>
      </c>
      <c r="AJ127" s="1">
        <f ca="1">IF(ESF[[#This Row],[nE]]=1,ESF[[#This Row],[Ø (cm)]]+2*10,MAX(1.5*ESF[[#This Row],[Ø (cm)]],ESF[[#This Row],[Ø (cm)]]+15))</f>
        <v>67.5</v>
      </c>
      <c r="AK127" s="1" t="str">
        <f ca="1">alturaUtil(ESF[[#This Row],[nE]],ESF[[#This Row],[Ø (cm)]],ESF[[#This Row],[e (cm)]],ESF[[#This Row],[ap,eq (cm)]])</f>
        <v>N.S.</v>
      </c>
      <c r="AL127" s="1" t="str">
        <f ca="1">IFERROR(ESF[[#This Row],[d (cm)]]+arredondarParaCimaMultiplo5cm(MAX(5,SQRT(PI())/2*ESF[[#This Row],[Ø (cm)]]/5)),"N.S.")</f>
        <v>N.S.</v>
      </c>
      <c r="AM127" s="5" t="str">
        <f ca="1">alpha(ESF[[#This Row],[nE]],ESF[[#This Row],[d (cm)]],ESF[[#This Row],[e (cm)]],ESF[[#This Row],[ap,eq (cm)]])</f>
        <v>N.S.</v>
      </c>
      <c r="AN127" s="35" t="str">
        <f ca="1">IFERROR(ESF[[#This Row],[Nsd (kN)]]/(ESF[[#This Row],[Ap (cm²)]]*SIN(ESF[[#This Row],[α]])^2),"N.S.")</f>
        <v>N.S.</v>
      </c>
      <c r="AO127" s="35" t="str">
        <f ca="1">IFERROR(ESF[[#This Row],[Nsd (kN)]]/(ESF[[#This Row],[nE]]*PI()*ESF[[#This Row],[Ø (cm)]]^2/4*SIN(ESF[[#This Row],[α]])^2),"N.S.")</f>
        <v>N.S.</v>
      </c>
      <c r="AP127" s="4" t="str">
        <f ca="1">IFERROR(INDEX(grupoEstacas[],ESF[[#This Row],[nE]],MATCH("coef. Blévot",grupoEstacas[#Headers],0)),"N.S.")</f>
        <v>N.S.</v>
      </c>
      <c r="AQ127" s="35" t="str">
        <f ca="1">IFERROR(ESF[[#This Row],[coef. Blévot]]*0.9*INDEX(tipoEstaca[],MATCH($D$2,tipoEstaca[TIPO DE ESTACA],0),MATCH("fcd (kN/cm²)",tipoEstaca[#Headers],0)),"N.S.")</f>
        <v>N.S.</v>
      </c>
      <c r="AR127" s="1" t="str">
        <f ca="1">IF(AND(ESF[[#This Row],[cd,b,pil (kN/cm²)]]&lt;=ESF[[#This Row],[cd,b,lim (kN/cm²)]],ESF[[#This Row],[cd,b,est (kN/cm²)]]&lt;=ESF[[#This Row],[cd,b,lim (kN/cm²)]]),"OK","ERRO")</f>
        <v>OK</v>
      </c>
      <c r="AS127" s="4" t="str">
        <f ca="1">As_lado(ESF[[#This Row],[nE]],ESF[[#This Row],[Nsd (kN)]],ESF[[#This Row],[d (cm)]],ESF[[#This Row],[e (cm)]],ESF[[#This Row],[ap,eq (cm)]])</f>
        <v>N.S.</v>
      </c>
      <c r="AT127" s="4" t="str">
        <f ca="1">IF(ESF[[#This Row],[nE]]=1,ESF[[#This Row],[As,lado (cm²)]],IF(ESF[[#This Row],[nE]]=2,0.075*2*ESF[a (cm)],"N.A."))</f>
        <v>N.A.</v>
      </c>
      <c r="AU127" s="4" t="str">
        <f ca="1">IFERROR(IF(ESF[[#This Row],[nE]]=1,"N.A.",0.2*ESF[[#This Row],[As,lado (cm²)]]),"N.S.")</f>
        <v>N.S.</v>
      </c>
      <c r="AV127" s="4" t="str">
        <f ca="1">As_malha(ESF[[#This Row],[nE]],ESF[[#This Row],[As,lado (cm²)]],ESF[[#This Row],[Nsd (kN)]])</f>
        <v>N.S.</v>
      </c>
      <c r="AW127" s="4" t="str">
        <f ca="1">As_susp_tot(ESF[[#This Row],[nE]],ESF[[#This Row],[Nsd (kN)]])</f>
        <v>N.S.</v>
      </c>
      <c r="AX127" s="4" t="str">
        <f ca="1">Asp_face(ESF[[#This Row],[nE]],ESF[[#This Row],[As,lado (cm²)]])</f>
        <v>N.S.</v>
      </c>
      <c r="AY127" s="5" t="str">
        <f ca="1">acoBloco(ESF[[#This Row],[nE]],ESF[[#This Row],[e (cm)]],ESF[[#This Row],[a (cm)]],ESF[[#This Row],[h (cm)]],ESF[[#This Row],[As,lado (cm²)]],ESF[[#This Row],[Asp e Asw (cm²/m)]],ESF[[#This Row],[As,sup (cm²)]],ESF[[#This Row],[As,malha (cm²)]],ESF[[#This Row],[As,susp,tot (cm²)]],ESF[[#This Row],[Asp,face (cm²)]])</f>
        <v>N.S.</v>
      </c>
      <c r="AZ127" s="4" t="str">
        <f ca="1">concretoBloco(ESF[[#This Row],[nE]],ESF[[#This Row],[e (cm)]],ESF[[#This Row],[a (cm)]],ESF[[#This Row],[h (cm)]])</f>
        <v>N.S.</v>
      </c>
      <c r="BA127" s="5">
        <f ca="1">SUM(ESF[[#This Row],[Aço Est (kg)]],ESF[[#This Row],[Aço Bloco (kg)]])</f>
        <v>9.9879084439253507</v>
      </c>
      <c r="BB127" s="4">
        <f>INDEX(composicoes[],MATCH(95580,composicoes[CÓDIGO],0),MATCH("CUSTO TOTAL",composicoes[#Headers],0))</f>
        <v>10.46</v>
      </c>
      <c r="BC127" s="4">
        <f ca="1">SUM(ESF[[#This Row],[Conc Est (m³)]],ESF[[#This Row],[Conc Bloco (m³)]])</f>
        <v>14.313881527918497</v>
      </c>
      <c r="BD127" s="4">
        <f>INDEX(composicoes[],MATCH(94966,composicoes[CÓDIGO],0),MATCH("CUSTO TOTAL",composicoes[#Headers],0))</f>
        <v>439.52</v>
      </c>
      <c r="BE127" s="38">
        <f ca="1">ESF[[#This Row],[Aço (kg)]]*ESF[[#This Row],[Aço (R$/kg)]]+ESF[[#This Row],[Conc (m³)]]*ESF[[#This Row],[Conc (R$/m³)]]</f>
        <v>6395.710731474197</v>
      </c>
      <c r="BF127" s="4" t="str">
        <f ca="1">IF(COUNTIF(ESF[#This Row],"N.S.")&gt;0,"lim.","OK")</f>
        <v>lim.</v>
      </c>
      <c r="BG127" s="4" t="str">
        <f>IF(ESF[[#This Row],[Prof. (m)]]&lt;3,"lim.","OK")</f>
        <v>OK</v>
      </c>
      <c r="BH127" s="4" t="str">
        <f>IF(ESF[[#This Row],[Prof. (m)]]&gt;=8*ESF[[#This Row],[Ø (cm)]]/100,"OK","lim.")</f>
        <v>OK</v>
      </c>
      <c r="BI127" s="4" t="str">
        <f>IF(AND(SPT!$F$3&lt;&gt;"",ESF[[#This Row],[Prof. (m)]]&gt;=SPT!$F$3),"lim.","OK")</f>
        <v>OK</v>
      </c>
      <c r="BJ127" s="4" t="str">
        <f>IF(COUNTIFS(ESF[Solo],"Areia",ESF[Prof. (m)],"&lt;="&amp;ESF[[#This Row],[Prof. (m)]])&gt;=1,"lim.","OK")</f>
        <v>OK</v>
      </c>
      <c r="BK127" s="4" t="str">
        <f ca="1">IF(ESF[[#This Row],[Verif. Biela]]="OK","OK","lim.")</f>
        <v>OK</v>
      </c>
      <c r="BL127" s="4" t="str">
        <f ca="1">IF(COUNTA(ESF[[#This Row],[Nº Est.]:[Biela comp.]])=COUNTIF(ESF[[#This Row],[Nº Est.]:[Biela comp.]],"OK"),"OK","lim.")</f>
        <v>lim.</v>
      </c>
      <c r="BM127" s="4" t="str">
        <f ca="1">IF(ESF[[#This Row],[Controle]]="OK",ESF[[#This Row],[nE]]&amp;" Ø"&amp;ESF[[#This Row],[Ø (cm)]]&amp;"cm Prof. "&amp;ESF[[#This Row],[Prof. (m)]]&amp;" m","")</f>
        <v/>
      </c>
      <c r="BN127" s="4" t="str">
        <f ca="1">IF(ESF[[#This Row],[idDimensionamento]]="","",ESF[[#This Row],[idPilar]]&amp;ESF[[#This Row],[idDimensionamento]])</f>
        <v/>
      </c>
    </row>
    <row r="128" spans="2:66" x14ac:dyDescent="0.25">
      <c r="B128" s="12">
        <f>ROUNDUP((ROW(ESF[[#This Row],[idDiâmetro]])-ROW(ESF[[#Headers],[idDiâmetro]]))/(COUNT(SPT[Prof. (m)])*COUNT(PILARES[Pilar])),0)</f>
        <v>5</v>
      </c>
      <c r="C128" s="12">
        <f>IF(ESF[[#This Row],[idDiâmetro]]&lt;&gt;B127,1,IF(ESF[[#This Row],[Prof. (m)]]=0,C127+1,C127))</f>
        <v>1</v>
      </c>
      <c r="D128" s="1">
        <f>IFERROR(IF(D127=MAX(SPT[Prof. (m)]),0,D127+1),0)</f>
        <v>11</v>
      </c>
      <c r="E128" s="1">
        <f>INDEX(SPT[],MATCH(ESF[[#This Row],[Prof. (m)]],SPT[Prof. (m)],0),2)</f>
        <v>41</v>
      </c>
      <c r="F128" s="1" t="str">
        <f>INDEX(SPT[],MATCH(ESF[[#This Row],[Prof. (m)]],SPT[Prof. (m)],0),3)</f>
        <v>Areia siltosa</v>
      </c>
      <c r="G128" s="1">
        <f>INDEX(estacas[],ESF[[#This Row],[idDiâmetro]],MATCH($B$2,estacas[#Headers],0))</f>
        <v>45</v>
      </c>
      <c r="H128" s="1">
        <f>INDEX(estacas[],MATCH(ESF[[#This Row],[Ø (cm)]],estacas[Ø ESF (cm)],0),MATCH(ESF[[#Headers],[Pe ESF (kN)]],estacas[#Headers],0))</f>
        <v>810</v>
      </c>
      <c r="I128" s="4">
        <f>INDEX(K_alpha_C[],MATCH(ESF[[#This Row],[Solo]],K_alpha_C[Solo],0),2)</f>
        <v>0.8</v>
      </c>
      <c r="J128" s="5">
        <f>INDEX(K_alpha_C[],MATCH(ESF[[#This Row],[Solo]],K_alpha_C[Solo],0),3)</f>
        <v>2</v>
      </c>
      <c r="K128" s="4">
        <f>INDEX(F1_F2[],MATCH($D$2,F1_F2[Tipo de estaca],0),2)</f>
        <v>3</v>
      </c>
      <c r="L128" s="4">
        <f>INDEX(F1_F2[],MATCH($D$2,F1_F2[Tipo de estaca],0),3)</f>
        <v>6</v>
      </c>
      <c r="M128" s="4">
        <f>PI()*(ESF[[#This Row],[Ø (cm)]]/100)^2/4</f>
        <v>0.15904312808798329</v>
      </c>
      <c r="N128" s="4">
        <f>PI()*ESF[[#This Row],[Ø (cm)]]/100</f>
        <v>1.4137166941154069</v>
      </c>
      <c r="O128" s="4">
        <f>IF(ESF[[#This Row],[Prof. (m)]]=0,0,ESF[[#This Row],[α (%)]]/100*ESF[[#This Row],[K (MPa)]]*1000*ESF[[#This Row],[NSPT]])</f>
        <v>656</v>
      </c>
      <c r="P128" s="4">
        <f>IF(ESF[[#This Row],[Prof. (m)]]=0,0,(ESF[[#This Row],[K (MPa)]]*1000*ESF[[#This Row],[NSPT]]/ESF[[#This Row],[F1]]*ESF[[#This Row],[Ap (m²)]]+ESF[[#This Row],[U (m)]]/ESF[[#This Row],[F2]]*SUMIFS(ESF[(α∙K∙NL∙ΔL)],ESF[Prof. (m)],"&lt;="&amp;ESF[[#This Row],[Prof. (m)]],ESF[idDiâmetro],ESF[[#This Row],[idDiâmetro]],ESF[idPilar],ESF[[#This Row],[idPilar]]))/'DADOS CAP. CARGA'!$D$2)</f>
        <v>1173.8443140413754</v>
      </c>
      <c r="Q128" s="12">
        <f>INDEX(C_alpha_beta[],MATCH(ESF[[#This Row],[Solo]],C_alpha_beta[Solo],0),MATCH(ESF[[#Headers],[C (kPa)]],C_alpha_beta[#Headers],0))</f>
        <v>400</v>
      </c>
      <c r="R128" s="4">
        <f>INDEX(C_alpha_beta[],MATCH(ESF[[#This Row],[Solo]],C_alpha_beta[Solo],0),MATCH(ESF[[#Headers],[α ESF]],C_alpha_beta[#Headers],0))</f>
        <v>0.5</v>
      </c>
      <c r="S128" s="4">
        <f>INDEX(C_alpha_beta[],MATCH(ESF[[#This Row],[Solo]],C_alpha_beta[Solo],0),MATCH(ESF[[#Headers],[β ESF]],C_alpha_beta[#Headers],0))</f>
        <v>0.5</v>
      </c>
      <c r="T128" s="4">
        <f>IF(ESF[[#This Row],[Prof. (m)]]=0,0,10*(ESF[[#This Row],[NSPT]]/3+1))</f>
        <v>146.66666666666666</v>
      </c>
      <c r="U128" s="4">
        <f>(ESF[[#This Row],[α ESF]]*ESF[[#This Row],[C (kPa)]]*ESF[[#This Row],[NSPT]]*ESF[[#This Row],[Ap (m²)]])/'DADOS CAP. CARGA'!$Q$2+(ESF[[#This Row],[β ESF]]*SUMIFS(ESF[10∙(NL/3+1)],ESF[Prof. (m)],"&lt;="&amp;ESF[[#This Row],[Prof. (m)]],ESF[idDiâmetro],ESF[[#This Row],[idDiâmetro]],ESF[idPilar],ESF[[#This Row],[idPilar]])*ESF[[#This Row],[U (m)]])/'DADOS CAP. CARGA'!$S$2</f>
        <v>566.37025057998483</v>
      </c>
      <c r="V128" s="4">
        <f>IF(SPT!$M$5=1,MIN(ESF[[#This Row],[Pe ESF (kN)]],ESF[[#This Row],[R_AV (kN)]]),IF(SPT!$M$5=2,MIN(ESF[[#This Row],[Pe ESF (kN)]],ESF[[#This Row],[R_DC (kN)]]),MIN(ESF[[#This Row],[Pe ESF (kN)]],ESF[[#This Row],[R_AV (kN)]],ESF[[#This Row],[R_DC (kN)]])))</f>
        <v>566.37025057998483</v>
      </c>
      <c r="W128" s="4">
        <f>INDEX(PILARES[],ESF[[#This Row],[idPilar]],MATCH("Carga (kN)",PILARES[#Headers],0))*1.4</f>
        <v>3500</v>
      </c>
      <c r="X128" s="12">
        <f>INDEX(PILARES[],ESF[[#This Row],[idPilar]],MATCH(ESF[[#Headers],[ap (cm)]],PILARES[#Headers],0))</f>
        <v>60</v>
      </c>
      <c r="Y128" s="12">
        <f>INDEX(PILARES[],ESF[[#This Row],[idPilar]],MATCH(ESF[[#Headers],[bp (cm)]],PILARES[#Headers],0))</f>
        <v>60</v>
      </c>
      <c r="Z128" s="4">
        <f>SQRT(ESF[[#This Row],[ap (cm)]]*ESF[[#This Row],[bp (cm)]])</f>
        <v>60</v>
      </c>
      <c r="AA128" s="12">
        <f>ESF[[#This Row],[ap (cm)]]*ESF[[#This Row],[bp (cm)]]</f>
        <v>3600</v>
      </c>
      <c r="AB128" s="12">
        <f ca="1">IF(ESF[[#This Row],[Padm∙ε (kN)]]&gt;=ESF[[#This Row],[Padm (kN)]],ROUNDUP(1.05*ESF[[#This Row],[Nsd (kN)]]/ESF[[#This Row],[Padm (kN)]],0),ROUNDUP(1.05*ESF[[#This Row],[Nsd (kN)]]/ESF[[#This Row],[Padm (kN)]],0)+1)</f>
        <v>7</v>
      </c>
      <c r="AC128" s="4" t="str">
        <f ca="1">IFERROR(IF(ESF[[#This Row],[nE]]=1,ESF[[#This Row],[Padm (kN)]],ESF[[#This Row],[Padm (kN)]]*ESF[[#This Row],[nE]]*INDEX(grupoEstacas[],ESF[[#This Row],[nE]],MATCH("ε",grupoEstacas[#Headers],0))),"N.S.")</f>
        <v>N.S.</v>
      </c>
      <c r="AD128" s="4">
        <f ca="1">1.05*ESF[[#This Row],[Nsd (kN)]]/(ESF[[#This Row],[nE]]*PI()*ESF[[#This Row],[Ø (cm)]]^2/4)*10</f>
        <v>3.300991412276348</v>
      </c>
      <c r="AE128" s="4">
        <f ca="1">IF(ESF[[#This Row],[σ (MPa)]]&lt;INDEX(tipoEstaca[],MATCH($D$2,tipoEstaca[TIPO DE ESTACA],0),MATCH("σmáx (MPa)",tipoEstaca[#Headers],0)),0.4%*PI()*ESF[[#This Row],[Ø (cm)]]^2/4,"N.S.")</f>
        <v>6.3617251235193315</v>
      </c>
      <c r="AF128" s="1">
        <f>INDEX(tipoEstaca[],MATCH($D$2,tipoEstaca[TIPO DE ESTACA],0),MATCH(ESF[[#Headers],[Comprimento (m)]],tipoEstaca[#Headers],0))</f>
        <v>2</v>
      </c>
      <c r="AG128" s="5">
        <f ca="1">ESF[[#This Row],[As,mín (cm²)]]/100^2*ESF[[#This Row],[Comprimento (m)]]*7850</f>
        <v>9.9879084439253507</v>
      </c>
      <c r="AH128" s="4">
        <f ca="1">ESF[[#This Row],[nE]]*ESF[[#This Row],[Prof. (m)]]*ESF[[#This Row],[Ap (m²)]]</f>
        <v>12.246320862774713</v>
      </c>
      <c r="AI128" s="1">
        <f ca="1">IF(ESF[[#This Row],[nE]]=1,0,MAX(3*ESF[[#This Row],[Ø (cm)]],60))</f>
        <v>135</v>
      </c>
      <c r="AJ128" s="1">
        <f ca="1">IF(ESF[[#This Row],[nE]]=1,ESF[[#This Row],[Ø (cm)]]+2*10,MAX(1.5*ESF[[#This Row],[Ø (cm)]],ESF[[#This Row],[Ø (cm)]]+15))</f>
        <v>67.5</v>
      </c>
      <c r="AK128" s="1" t="str">
        <f ca="1">alturaUtil(ESF[[#This Row],[nE]],ESF[[#This Row],[Ø (cm)]],ESF[[#This Row],[e (cm)]],ESF[[#This Row],[ap,eq (cm)]])</f>
        <v>N.S.</v>
      </c>
      <c r="AL128" s="1" t="str">
        <f ca="1">IFERROR(ESF[[#This Row],[d (cm)]]+arredondarParaCimaMultiplo5cm(MAX(5,SQRT(PI())/2*ESF[[#This Row],[Ø (cm)]]/5)),"N.S.")</f>
        <v>N.S.</v>
      </c>
      <c r="AM128" s="5" t="str">
        <f ca="1">alpha(ESF[[#This Row],[nE]],ESF[[#This Row],[d (cm)]],ESF[[#This Row],[e (cm)]],ESF[[#This Row],[ap,eq (cm)]])</f>
        <v>N.S.</v>
      </c>
      <c r="AN128" s="35" t="str">
        <f ca="1">IFERROR(ESF[[#This Row],[Nsd (kN)]]/(ESF[[#This Row],[Ap (cm²)]]*SIN(ESF[[#This Row],[α]])^2),"N.S.")</f>
        <v>N.S.</v>
      </c>
      <c r="AO128" s="35" t="str">
        <f ca="1">IFERROR(ESF[[#This Row],[Nsd (kN)]]/(ESF[[#This Row],[nE]]*PI()*ESF[[#This Row],[Ø (cm)]]^2/4*SIN(ESF[[#This Row],[α]])^2),"N.S.")</f>
        <v>N.S.</v>
      </c>
      <c r="AP128" s="4" t="str">
        <f ca="1">IFERROR(INDEX(grupoEstacas[],ESF[[#This Row],[nE]],MATCH("coef. Blévot",grupoEstacas[#Headers],0)),"N.S.")</f>
        <v>N.S.</v>
      </c>
      <c r="AQ128" s="35" t="str">
        <f ca="1">IFERROR(ESF[[#This Row],[coef. Blévot]]*0.9*INDEX(tipoEstaca[],MATCH($D$2,tipoEstaca[TIPO DE ESTACA],0),MATCH("fcd (kN/cm²)",tipoEstaca[#Headers],0)),"N.S.")</f>
        <v>N.S.</v>
      </c>
      <c r="AR128" s="1" t="str">
        <f ca="1">IF(AND(ESF[[#This Row],[cd,b,pil (kN/cm²)]]&lt;=ESF[[#This Row],[cd,b,lim (kN/cm²)]],ESF[[#This Row],[cd,b,est (kN/cm²)]]&lt;=ESF[[#This Row],[cd,b,lim (kN/cm²)]]),"OK","ERRO")</f>
        <v>OK</v>
      </c>
      <c r="AS128" s="4" t="str">
        <f ca="1">As_lado(ESF[[#This Row],[nE]],ESF[[#This Row],[Nsd (kN)]],ESF[[#This Row],[d (cm)]],ESF[[#This Row],[e (cm)]],ESF[[#This Row],[ap,eq (cm)]])</f>
        <v>N.S.</v>
      </c>
      <c r="AT128" s="4" t="str">
        <f ca="1">IF(ESF[[#This Row],[nE]]=1,ESF[[#This Row],[As,lado (cm²)]],IF(ESF[[#This Row],[nE]]=2,0.075*2*ESF[a (cm)],"N.A."))</f>
        <v>N.A.</v>
      </c>
      <c r="AU128" s="4" t="str">
        <f ca="1">IFERROR(IF(ESF[[#This Row],[nE]]=1,"N.A.",0.2*ESF[[#This Row],[As,lado (cm²)]]),"N.S.")</f>
        <v>N.S.</v>
      </c>
      <c r="AV128" s="4" t="str">
        <f ca="1">As_malha(ESF[[#This Row],[nE]],ESF[[#This Row],[As,lado (cm²)]],ESF[[#This Row],[Nsd (kN)]])</f>
        <v>N.S.</v>
      </c>
      <c r="AW128" s="4" t="str">
        <f ca="1">As_susp_tot(ESF[[#This Row],[nE]],ESF[[#This Row],[Nsd (kN)]])</f>
        <v>N.S.</v>
      </c>
      <c r="AX128" s="4" t="str">
        <f ca="1">Asp_face(ESF[[#This Row],[nE]],ESF[[#This Row],[As,lado (cm²)]])</f>
        <v>N.S.</v>
      </c>
      <c r="AY128" s="5" t="str">
        <f ca="1">acoBloco(ESF[[#This Row],[nE]],ESF[[#This Row],[e (cm)]],ESF[[#This Row],[a (cm)]],ESF[[#This Row],[h (cm)]],ESF[[#This Row],[As,lado (cm²)]],ESF[[#This Row],[Asp e Asw (cm²/m)]],ESF[[#This Row],[As,sup (cm²)]],ESF[[#This Row],[As,malha (cm²)]],ESF[[#This Row],[As,susp,tot (cm²)]],ESF[[#This Row],[Asp,face (cm²)]])</f>
        <v>N.S.</v>
      </c>
      <c r="AZ128" s="4" t="str">
        <f ca="1">concretoBloco(ESF[[#This Row],[nE]],ESF[[#This Row],[e (cm)]],ESF[[#This Row],[a (cm)]],ESF[[#This Row],[h (cm)]])</f>
        <v>N.S.</v>
      </c>
      <c r="BA128" s="5">
        <f ca="1">SUM(ESF[[#This Row],[Aço Est (kg)]],ESF[[#This Row],[Aço Bloco (kg)]])</f>
        <v>9.9879084439253507</v>
      </c>
      <c r="BB128" s="4">
        <f>INDEX(composicoes[],MATCH(95580,composicoes[CÓDIGO],0),MATCH("CUSTO TOTAL",composicoes[#Headers],0))</f>
        <v>10.46</v>
      </c>
      <c r="BC128" s="4">
        <f ca="1">SUM(ESF[[#This Row],[Conc Est (m³)]],ESF[[#This Row],[Conc Bloco (m³)]])</f>
        <v>12.246320862774713</v>
      </c>
      <c r="BD128" s="4">
        <f>INDEX(composicoes[],MATCH(94966,composicoes[CÓDIGO],0),MATCH("CUSTO TOTAL",composicoes[#Headers],0))</f>
        <v>439.52</v>
      </c>
      <c r="BE128" s="38">
        <f ca="1">ESF[[#This Row],[Aço (kg)]]*ESF[[#This Row],[Aço (R$/kg)]]+ESF[[#This Row],[Conc (m³)]]*ESF[[#This Row],[Conc (R$/m³)]]</f>
        <v>5486.9764679302007</v>
      </c>
      <c r="BF128" s="4" t="str">
        <f ca="1">IF(COUNTIF(ESF[#This Row],"N.S.")&gt;0,"lim.","OK")</f>
        <v>lim.</v>
      </c>
      <c r="BG128" s="4" t="str">
        <f>IF(ESF[[#This Row],[Prof. (m)]]&lt;3,"lim.","OK")</f>
        <v>OK</v>
      </c>
      <c r="BH128" s="4" t="str">
        <f>IF(ESF[[#This Row],[Prof. (m)]]&gt;=8*ESF[[#This Row],[Ø (cm)]]/100,"OK","lim.")</f>
        <v>OK</v>
      </c>
      <c r="BI128" s="4" t="str">
        <f>IF(AND(SPT!$F$3&lt;&gt;"",ESF[[#This Row],[Prof. (m)]]&gt;=SPT!$F$3),"lim.","OK")</f>
        <v>OK</v>
      </c>
      <c r="BJ128" s="4" t="str">
        <f>IF(COUNTIFS(ESF[Solo],"Areia",ESF[Prof. (m)],"&lt;="&amp;ESF[[#This Row],[Prof. (m)]])&gt;=1,"lim.","OK")</f>
        <v>OK</v>
      </c>
      <c r="BK128" s="4" t="str">
        <f ca="1">IF(ESF[[#This Row],[Verif. Biela]]="OK","OK","lim.")</f>
        <v>OK</v>
      </c>
      <c r="BL128" s="4" t="str">
        <f ca="1">IF(COUNTA(ESF[[#This Row],[Nº Est.]:[Biela comp.]])=COUNTIF(ESF[[#This Row],[Nº Est.]:[Biela comp.]],"OK"),"OK","lim.")</f>
        <v>lim.</v>
      </c>
      <c r="BM128" s="4" t="str">
        <f ca="1">IF(ESF[[#This Row],[Controle]]="OK",ESF[[#This Row],[nE]]&amp;" Ø"&amp;ESF[[#This Row],[Ø (cm)]]&amp;"cm Prof. "&amp;ESF[[#This Row],[Prof. (m)]]&amp;" m","")</f>
        <v/>
      </c>
      <c r="BN128" s="4" t="str">
        <f ca="1">IF(ESF[[#This Row],[idDimensionamento]]="","",ESF[[#This Row],[idPilar]]&amp;ESF[[#This Row],[idDimensionamento]])</f>
        <v/>
      </c>
    </row>
    <row r="129" spans="2:66" x14ac:dyDescent="0.25">
      <c r="B129" s="12">
        <f>ROUNDUP((ROW(ESF[[#This Row],[idDiâmetro]])-ROW(ESF[[#Headers],[idDiâmetro]]))/(COUNT(SPT[Prof. (m)])*COUNT(PILARES[Pilar])),0)</f>
        <v>5</v>
      </c>
      <c r="C129" s="12">
        <f>IF(ESF[[#This Row],[idDiâmetro]]&lt;&gt;B128,1,IF(ESF[[#This Row],[Prof. (m)]]=0,C128+1,C128))</f>
        <v>1</v>
      </c>
      <c r="D129" s="1">
        <f>IFERROR(IF(D128=MAX(SPT[Prof. (m)]),0,D128+1),0)</f>
        <v>12</v>
      </c>
      <c r="E129" s="1">
        <f>INDEX(SPT[],MATCH(ESF[[#This Row],[Prof. (m)]],SPT[Prof. (m)],0),2)</f>
        <v>52</v>
      </c>
      <c r="F129" s="1" t="str">
        <f>INDEX(SPT[],MATCH(ESF[[#This Row],[Prof. (m)]],SPT[Prof. (m)],0),3)</f>
        <v>Areia siltosa</v>
      </c>
      <c r="G129" s="1">
        <f>INDEX(estacas[],ESF[[#This Row],[idDiâmetro]],MATCH($B$2,estacas[#Headers],0))</f>
        <v>45</v>
      </c>
      <c r="H129" s="1">
        <f>INDEX(estacas[],MATCH(ESF[[#This Row],[Ø (cm)]],estacas[Ø ESF (cm)],0),MATCH(ESF[[#Headers],[Pe ESF (kN)]],estacas[#Headers],0))</f>
        <v>810</v>
      </c>
      <c r="I129" s="4">
        <f>INDEX(K_alpha_C[],MATCH(ESF[[#This Row],[Solo]],K_alpha_C[Solo],0),2)</f>
        <v>0.8</v>
      </c>
      <c r="J129" s="5">
        <f>INDEX(K_alpha_C[],MATCH(ESF[[#This Row],[Solo]],K_alpha_C[Solo],0),3)</f>
        <v>2</v>
      </c>
      <c r="K129" s="4">
        <f>INDEX(F1_F2[],MATCH($D$2,F1_F2[Tipo de estaca],0),2)</f>
        <v>3</v>
      </c>
      <c r="L129" s="4">
        <f>INDEX(F1_F2[],MATCH($D$2,F1_F2[Tipo de estaca],0),3)</f>
        <v>6</v>
      </c>
      <c r="M129" s="4">
        <f>PI()*(ESF[[#This Row],[Ø (cm)]]/100)^2/4</f>
        <v>0.15904312808798329</v>
      </c>
      <c r="N129" s="4">
        <f>PI()*ESF[[#This Row],[Ø (cm)]]/100</f>
        <v>1.4137166941154069</v>
      </c>
      <c r="O129" s="4">
        <f>IF(ESF[[#This Row],[Prof. (m)]]=0,0,ESF[[#This Row],[α (%)]]/100*ESF[[#This Row],[K (MPa)]]*1000*ESF[[#This Row],[NSPT]])</f>
        <v>832</v>
      </c>
      <c r="P129" s="4">
        <f>IF(ESF[[#This Row],[Prof. (m)]]=0,0,(ESF[[#This Row],[K (MPa)]]*1000*ESF[[#This Row],[NSPT]]/ESF[[#This Row],[F1]]*ESF[[#This Row],[Ap (m²)]]+ESF[[#This Row],[U (m)]]/ESF[[#This Row],[F2]]*SUMIFS(ESF[(α∙K∙NL∙ΔL)],ESF[Prof. (m)],"&lt;="&amp;ESF[[#This Row],[Prof. (m)]],ESF[idDiâmetro],ESF[[#This Row],[idDiâmetro]],ESF[idPilar],ESF[[#This Row],[idPilar]]))/'DADOS CAP. CARGA'!$D$2)</f>
        <v>1505.125259362419</v>
      </c>
      <c r="Q129" s="12">
        <f>INDEX(C_alpha_beta[],MATCH(ESF[[#This Row],[Solo]],C_alpha_beta[Solo],0),MATCH(ESF[[#Headers],[C (kPa)]],C_alpha_beta[#Headers],0))</f>
        <v>400</v>
      </c>
      <c r="R129" s="4">
        <f>INDEX(C_alpha_beta[],MATCH(ESF[[#This Row],[Solo]],C_alpha_beta[Solo],0),MATCH(ESF[[#Headers],[α ESF]],C_alpha_beta[#Headers],0))</f>
        <v>0.5</v>
      </c>
      <c r="S129" s="4">
        <f>INDEX(C_alpha_beta[],MATCH(ESF[[#This Row],[Solo]],C_alpha_beta[Solo],0),MATCH(ESF[[#Headers],[β ESF]],C_alpha_beta[#Headers],0))</f>
        <v>0.5</v>
      </c>
      <c r="T129" s="4">
        <f>IF(ESF[[#This Row],[Prof. (m)]]=0,0,10*(ESF[[#This Row],[NSPT]]/3+1))</f>
        <v>183.33333333333331</v>
      </c>
      <c r="U129" s="4">
        <f>(ESF[[#This Row],[α ESF]]*ESF[[#This Row],[C (kPa)]]*ESF[[#This Row],[NSPT]]*ESF[[#This Row],[Ap (m²)]])/'DADOS CAP. CARGA'!$Q$2+(ESF[[#This Row],[β ESF]]*SUMIFS(ESF[10∙(NL/3+1)],ESF[Prof. (m)],"&lt;="&amp;ESF[[#This Row],[Prof. (m)]],ESF[idDiâmetro],ESF[[#This Row],[idDiâmetro]],ESF[idPilar],ESF[[#This Row],[idPilar]])*ESF[[#This Row],[U (m)]])/'DADOS CAP. CARGA'!$S$2</f>
        <v>718.63931950866527</v>
      </c>
      <c r="V129" s="4">
        <f>IF(SPT!$M$5=1,MIN(ESF[[#This Row],[Pe ESF (kN)]],ESF[[#This Row],[R_AV (kN)]]),IF(SPT!$M$5=2,MIN(ESF[[#This Row],[Pe ESF (kN)]],ESF[[#This Row],[R_DC (kN)]]),MIN(ESF[[#This Row],[Pe ESF (kN)]],ESF[[#This Row],[R_AV (kN)]],ESF[[#This Row],[R_DC (kN)]])))</f>
        <v>718.63931950866527</v>
      </c>
      <c r="W129" s="4">
        <f>INDEX(PILARES[],ESF[[#This Row],[idPilar]],MATCH("Carga (kN)",PILARES[#Headers],0))*1.4</f>
        <v>3500</v>
      </c>
      <c r="X129" s="12">
        <f>INDEX(PILARES[],ESF[[#This Row],[idPilar]],MATCH(ESF[[#Headers],[ap (cm)]],PILARES[#Headers],0))</f>
        <v>60</v>
      </c>
      <c r="Y129" s="12">
        <f>INDEX(PILARES[],ESF[[#This Row],[idPilar]],MATCH(ESF[[#Headers],[bp (cm)]],PILARES[#Headers],0))</f>
        <v>60</v>
      </c>
      <c r="Z129" s="4">
        <f>SQRT(ESF[[#This Row],[ap (cm)]]*ESF[[#This Row],[bp (cm)]])</f>
        <v>60</v>
      </c>
      <c r="AA129" s="12">
        <f>ESF[[#This Row],[ap (cm)]]*ESF[[#This Row],[bp (cm)]]</f>
        <v>3600</v>
      </c>
      <c r="AB129" s="12">
        <f ca="1">IF(ESF[[#This Row],[Padm∙ε (kN)]]&gt;=ESF[[#This Row],[Padm (kN)]],ROUNDUP(1.05*ESF[[#This Row],[Nsd (kN)]]/ESF[[#This Row],[Padm (kN)]],0),ROUNDUP(1.05*ESF[[#This Row],[Nsd (kN)]]/ESF[[#This Row],[Padm (kN)]],0)+1)</f>
        <v>6</v>
      </c>
      <c r="AC129" s="4" t="str">
        <f ca="1">IFERROR(IF(ESF[[#This Row],[nE]]=1,ESF[[#This Row],[Padm (kN)]],ESF[[#This Row],[Padm (kN)]]*ESF[[#This Row],[nE]]*INDEX(grupoEstacas[],ESF[[#This Row],[nE]],MATCH("ε",grupoEstacas[#Headers],0))),"N.S.")</f>
        <v>N.S.</v>
      </c>
      <c r="AD129" s="4">
        <f ca="1">1.05*ESF[[#This Row],[Nsd (kN)]]/(ESF[[#This Row],[nE]]*PI()*ESF[[#This Row],[Ø (cm)]]^2/4)*10</f>
        <v>3.8511566476557393</v>
      </c>
      <c r="AE129" s="4">
        <f ca="1">IF(ESF[[#This Row],[σ (MPa)]]&lt;INDEX(tipoEstaca[],MATCH($D$2,tipoEstaca[TIPO DE ESTACA],0),MATCH("σmáx (MPa)",tipoEstaca[#Headers],0)),0.4%*PI()*ESF[[#This Row],[Ø (cm)]]^2/4,"N.S.")</f>
        <v>6.3617251235193315</v>
      </c>
      <c r="AF129" s="1">
        <f>INDEX(tipoEstaca[],MATCH($D$2,tipoEstaca[TIPO DE ESTACA],0),MATCH(ESF[[#Headers],[Comprimento (m)]],tipoEstaca[#Headers],0))</f>
        <v>2</v>
      </c>
      <c r="AG129" s="5">
        <f ca="1">ESF[[#This Row],[As,mín (cm²)]]/100^2*ESF[[#This Row],[Comprimento (m)]]*7850</f>
        <v>9.9879084439253507</v>
      </c>
      <c r="AH129" s="4">
        <f ca="1">ESF[[#This Row],[nE]]*ESF[[#This Row],[Prof. (m)]]*ESF[[#This Row],[Ap (m²)]]</f>
        <v>11.451105222334798</v>
      </c>
      <c r="AI129" s="1">
        <f ca="1">IF(ESF[[#This Row],[nE]]=1,0,MAX(3*ESF[[#This Row],[Ø (cm)]],60))</f>
        <v>135</v>
      </c>
      <c r="AJ129" s="1">
        <f ca="1">IF(ESF[[#This Row],[nE]]=1,ESF[[#This Row],[Ø (cm)]]+2*10,MAX(1.5*ESF[[#This Row],[Ø (cm)]],ESF[[#This Row],[Ø (cm)]]+15))</f>
        <v>67.5</v>
      </c>
      <c r="AK129" s="1" t="str">
        <f ca="1">alturaUtil(ESF[[#This Row],[nE]],ESF[[#This Row],[Ø (cm)]],ESF[[#This Row],[e (cm)]],ESF[[#This Row],[ap,eq (cm)]])</f>
        <v>N.S.</v>
      </c>
      <c r="AL129" s="1" t="str">
        <f ca="1">IFERROR(ESF[[#This Row],[d (cm)]]+arredondarParaCimaMultiplo5cm(MAX(5,SQRT(PI())/2*ESF[[#This Row],[Ø (cm)]]/5)),"N.S.")</f>
        <v>N.S.</v>
      </c>
      <c r="AM129" s="5" t="str">
        <f ca="1">alpha(ESF[[#This Row],[nE]],ESF[[#This Row],[d (cm)]],ESF[[#This Row],[e (cm)]],ESF[[#This Row],[ap,eq (cm)]])</f>
        <v>N.S.</v>
      </c>
      <c r="AN129" s="35" t="str">
        <f ca="1">IFERROR(ESF[[#This Row],[Nsd (kN)]]/(ESF[[#This Row],[Ap (cm²)]]*SIN(ESF[[#This Row],[α]])^2),"N.S.")</f>
        <v>N.S.</v>
      </c>
      <c r="AO129" s="35" t="str">
        <f ca="1">IFERROR(ESF[[#This Row],[Nsd (kN)]]/(ESF[[#This Row],[nE]]*PI()*ESF[[#This Row],[Ø (cm)]]^2/4*SIN(ESF[[#This Row],[α]])^2),"N.S.")</f>
        <v>N.S.</v>
      </c>
      <c r="AP129" s="4" t="str">
        <f ca="1">IFERROR(INDEX(grupoEstacas[],ESF[[#This Row],[nE]],MATCH("coef. Blévot",grupoEstacas[#Headers],0)),"N.S.")</f>
        <v>N.S.</v>
      </c>
      <c r="AQ129" s="35" t="str">
        <f ca="1">IFERROR(ESF[[#This Row],[coef. Blévot]]*0.9*INDEX(tipoEstaca[],MATCH($D$2,tipoEstaca[TIPO DE ESTACA],0),MATCH("fcd (kN/cm²)",tipoEstaca[#Headers],0)),"N.S.")</f>
        <v>N.S.</v>
      </c>
      <c r="AR129" s="1" t="str">
        <f ca="1">IF(AND(ESF[[#This Row],[cd,b,pil (kN/cm²)]]&lt;=ESF[[#This Row],[cd,b,lim (kN/cm²)]],ESF[[#This Row],[cd,b,est (kN/cm²)]]&lt;=ESF[[#This Row],[cd,b,lim (kN/cm²)]]),"OK","ERRO")</f>
        <v>OK</v>
      </c>
      <c r="AS129" s="4" t="str">
        <f ca="1">As_lado(ESF[[#This Row],[nE]],ESF[[#This Row],[Nsd (kN)]],ESF[[#This Row],[d (cm)]],ESF[[#This Row],[e (cm)]],ESF[[#This Row],[ap,eq (cm)]])</f>
        <v>N.S.</v>
      </c>
      <c r="AT129" s="4" t="str">
        <f ca="1">IF(ESF[[#This Row],[nE]]=1,ESF[[#This Row],[As,lado (cm²)]],IF(ESF[[#This Row],[nE]]=2,0.075*2*ESF[a (cm)],"N.A."))</f>
        <v>N.A.</v>
      </c>
      <c r="AU129" s="4" t="str">
        <f ca="1">IFERROR(IF(ESF[[#This Row],[nE]]=1,"N.A.",0.2*ESF[[#This Row],[As,lado (cm²)]]),"N.S.")</f>
        <v>N.S.</v>
      </c>
      <c r="AV129" s="4" t="str">
        <f ca="1">As_malha(ESF[[#This Row],[nE]],ESF[[#This Row],[As,lado (cm²)]],ESF[[#This Row],[Nsd (kN)]])</f>
        <v>N.S.</v>
      </c>
      <c r="AW129" s="4" t="str">
        <f ca="1">As_susp_tot(ESF[[#This Row],[nE]],ESF[[#This Row],[Nsd (kN)]])</f>
        <v>N.S.</v>
      </c>
      <c r="AX129" s="4" t="str">
        <f ca="1">Asp_face(ESF[[#This Row],[nE]],ESF[[#This Row],[As,lado (cm²)]])</f>
        <v>N.S.</v>
      </c>
      <c r="AY129" s="5" t="str">
        <f ca="1">acoBloco(ESF[[#This Row],[nE]],ESF[[#This Row],[e (cm)]],ESF[[#This Row],[a (cm)]],ESF[[#This Row],[h (cm)]],ESF[[#This Row],[As,lado (cm²)]],ESF[[#This Row],[Asp e Asw (cm²/m)]],ESF[[#This Row],[As,sup (cm²)]],ESF[[#This Row],[As,malha (cm²)]],ESF[[#This Row],[As,susp,tot (cm²)]],ESF[[#This Row],[Asp,face (cm²)]])</f>
        <v>N.S.</v>
      </c>
      <c r="AZ129" s="4" t="str">
        <f ca="1">concretoBloco(ESF[[#This Row],[nE]],ESF[[#This Row],[e (cm)]],ESF[[#This Row],[a (cm)]],ESF[[#This Row],[h (cm)]])</f>
        <v>N.S.</v>
      </c>
      <c r="BA129" s="5">
        <f ca="1">SUM(ESF[[#This Row],[Aço Est (kg)]],ESF[[#This Row],[Aço Bloco (kg)]])</f>
        <v>9.9879084439253507</v>
      </c>
      <c r="BB129" s="4">
        <f>INDEX(composicoes[],MATCH(95580,composicoes[CÓDIGO],0),MATCH("CUSTO TOTAL",composicoes[#Headers],0))</f>
        <v>10.46</v>
      </c>
      <c r="BC129" s="4">
        <f ca="1">SUM(ESF[[#This Row],[Conc Est (m³)]],ESF[[#This Row],[Conc Bloco (m³)]])</f>
        <v>11.451105222334798</v>
      </c>
      <c r="BD129" s="4">
        <f>INDEX(composicoes[],MATCH(94966,composicoes[CÓDIGO],0),MATCH("CUSTO TOTAL",composicoes[#Headers],0))</f>
        <v>439.52</v>
      </c>
      <c r="BE129" s="38">
        <f ca="1">ESF[[#This Row],[Aço (kg)]]*ESF[[#This Row],[Aço (R$/kg)]]+ESF[[#This Row],[Conc (m³)]]*ESF[[#This Row],[Conc (R$/m³)]]</f>
        <v>5137.4632896440498</v>
      </c>
      <c r="BF129" s="4" t="str">
        <f ca="1">IF(COUNTIF(ESF[#This Row],"N.S.")&gt;0,"lim.","OK")</f>
        <v>lim.</v>
      </c>
      <c r="BG129" s="4" t="str">
        <f>IF(ESF[[#This Row],[Prof. (m)]]&lt;3,"lim.","OK")</f>
        <v>OK</v>
      </c>
      <c r="BH129" s="4" t="str">
        <f>IF(ESF[[#This Row],[Prof. (m)]]&gt;=8*ESF[[#This Row],[Ø (cm)]]/100,"OK","lim.")</f>
        <v>OK</v>
      </c>
      <c r="BI129" s="4" t="str">
        <f>IF(AND(SPT!$F$3&lt;&gt;"",ESF[[#This Row],[Prof. (m)]]&gt;=SPT!$F$3),"lim.","OK")</f>
        <v>OK</v>
      </c>
      <c r="BJ129" s="4" t="str">
        <f>IF(COUNTIFS(ESF[Solo],"Areia",ESF[Prof. (m)],"&lt;="&amp;ESF[[#This Row],[Prof. (m)]])&gt;=1,"lim.","OK")</f>
        <v>OK</v>
      </c>
      <c r="BK129" s="4" t="str">
        <f ca="1">IF(ESF[[#This Row],[Verif. Biela]]="OK","OK","lim.")</f>
        <v>OK</v>
      </c>
      <c r="BL129" s="4" t="str">
        <f ca="1">IF(COUNTA(ESF[[#This Row],[Nº Est.]:[Biela comp.]])=COUNTIF(ESF[[#This Row],[Nº Est.]:[Biela comp.]],"OK"),"OK","lim.")</f>
        <v>lim.</v>
      </c>
      <c r="BM129" s="4" t="str">
        <f ca="1">IF(ESF[[#This Row],[Controle]]="OK",ESF[[#This Row],[nE]]&amp;" Ø"&amp;ESF[[#This Row],[Ø (cm)]]&amp;"cm Prof. "&amp;ESF[[#This Row],[Prof. (m)]]&amp;" m","")</f>
        <v/>
      </c>
      <c r="BN129" s="4" t="str">
        <f ca="1">IF(ESF[[#This Row],[idDimensionamento]]="","",ESF[[#This Row],[idPilar]]&amp;ESF[[#This Row],[idDimensionamento]])</f>
        <v/>
      </c>
    </row>
    <row r="130" spans="2:66" x14ac:dyDescent="0.25">
      <c r="B130" s="12">
        <f>ROUNDUP((ROW(ESF[[#This Row],[idDiâmetro]])-ROW(ESF[[#Headers],[idDiâmetro]]))/(COUNT(SPT[Prof. (m)])*COUNT(PILARES[Pilar])),0)</f>
        <v>5</v>
      </c>
      <c r="C130" s="12">
        <f>IF(ESF[[#This Row],[idDiâmetro]]&lt;&gt;B129,1,IF(ESF[[#This Row],[Prof. (m)]]=0,C129+1,C129))</f>
        <v>1</v>
      </c>
      <c r="D130" s="1">
        <f>IFERROR(IF(D129=MAX(SPT[Prof. (m)]),0,D129+1),0)</f>
        <v>13</v>
      </c>
      <c r="E130" s="1">
        <f>INDEX(SPT[],MATCH(ESF[[#This Row],[Prof. (m)]],SPT[Prof. (m)],0),2)</f>
        <v>68</v>
      </c>
      <c r="F130" s="1" t="str">
        <f>INDEX(SPT[],MATCH(ESF[[#This Row],[Prof. (m)]],SPT[Prof. (m)],0),3)</f>
        <v>Areia siltosa</v>
      </c>
      <c r="G130" s="1">
        <f>INDEX(estacas[],ESF[[#This Row],[idDiâmetro]],MATCH($B$2,estacas[#Headers],0))</f>
        <v>45</v>
      </c>
      <c r="H130" s="1">
        <f>INDEX(estacas[],MATCH(ESF[[#This Row],[Ø (cm)]],estacas[Ø ESF (cm)],0),MATCH(ESF[[#Headers],[Pe ESF (kN)]],estacas[#Headers],0))</f>
        <v>810</v>
      </c>
      <c r="I130" s="4">
        <f>INDEX(K_alpha_C[],MATCH(ESF[[#This Row],[Solo]],K_alpha_C[Solo],0),2)</f>
        <v>0.8</v>
      </c>
      <c r="J130" s="5">
        <f>INDEX(K_alpha_C[],MATCH(ESF[[#This Row],[Solo]],K_alpha_C[Solo],0),3)</f>
        <v>2</v>
      </c>
      <c r="K130" s="4">
        <f>INDEX(F1_F2[],MATCH($D$2,F1_F2[Tipo de estaca],0),2)</f>
        <v>3</v>
      </c>
      <c r="L130" s="4">
        <f>INDEX(F1_F2[],MATCH($D$2,F1_F2[Tipo de estaca],0),3)</f>
        <v>6</v>
      </c>
      <c r="M130" s="4">
        <f>PI()*(ESF[[#This Row],[Ø (cm)]]/100)^2/4</f>
        <v>0.15904312808798329</v>
      </c>
      <c r="N130" s="4">
        <f>PI()*ESF[[#This Row],[Ø (cm)]]/100</f>
        <v>1.4137166941154069</v>
      </c>
      <c r="O130" s="4">
        <f>IF(ESF[[#This Row],[Prof. (m)]]=0,0,ESF[[#This Row],[α (%)]]/100*ESF[[#This Row],[K (MPa)]]*1000*ESF[[#This Row],[NSPT]])</f>
        <v>1088</v>
      </c>
      <c r="P130" s="4">
        <f>IF(ESF[[#This Row],[Prof. (m)]]=0,0,(ESF[[#This Row],[K (MPa)]]*1000*ESF[[#This Row],[NSPT]]/ESF[[#This Row],[F1]]*ESF[[#This Row],[Ap (m²)]]+ESF[[#This Row],[U (m)]]/ESF[[#This Row],[F2]]*SUMIFS(ESF[(α∙K∙NL∙ΔL)],ESF[Prof. (m)],"&lt;="&amp;ESF[[#This Row],[Prof. (m)]],ESF[idDiâmetro],ESF[[#This Row],[idDiâmetro]],ESF[idPilar],ESF[[#This Row],[idPilar]]))/'DADOS CAP. CARGA'!$D$2)</f>
        <v>1972.5942462165801</v>
      </c>
      <c r="Q130" s="12">
        <f>INDEX(C_alpha_beta[],MATCH(ESF[[#This Row],[Solo]],C_alpha_beta[Solo],0),MATCH(ESF[[#Headers],[C (kPa)]],C_alpha_beta[#Headers],0))</f>
        <v>400</v>
      </c>
      <c r="R130" s="4">
        <f>INDEX(C_alpha_beta[],MATCH(ESF[[#This Row],[Solo]],C_alpha_beta[Solo],0),MATCH(ESF[[#Headers],[α ESF]],C_alpha_beta[#Headers],0))</f>
        <v>0.5</v>
      </c>
      <c r="S130" s="4">
        <f>INDEX(C_alpha_beta[],MATCH(ESF[[#This Row],[Solo]],C_alpha_beta[Solo],0),MATCH(ESF[[#Headers],[β ESF]],C_alpha_beta[#Headers],0))</f>
        <v>0.5</v>
      </c>
      <c r="T130" s="4">
        <f>IF(ESF[[#This Row],[Prof. (m)]]=0,0,10*(ESF[[#This Row],[NSPT]]/3+1))</f>
        <v>236.66666666666669</v>
      </c>
      <c r="U130" s="4">
        <f>(ESF[[#This Row],[α ESF]]*ESF[[#This Row],[C (kPa)]]*ESF[[#This Row],[NSPT]]*ESF[[#This Row],[Ap (m²)]])/'DADOS CAP. CARGA'!$Q$2+(ESF[[#This Row],[β ESF]]*SUMIFS(ESF[10∙(NL/3+1)],ESF[Prof. (m)],"&lt;="&amp;ESF[[#This Row],[Prof. (m)]],ESF[idDiâmetro],ESF[[#This Row],[idDiâmetro]],ESF[idPilar],ESF[[#This Row],[idPilar]])*ESF[[#This Row],[U (m)]])/'DADOS CAP. CARGA'!$S$2</f>
        <v>929.51872638088003</v>
      </c>
      <c r="V130" s="4">
        <f>IF(SPT!$M$5=1,MIN(ESF[[#This Row],[Pe ESF (kN)]],ESF[[#This Row],[R_AV (kN)]]),IF(SPT!$M$5=2,MIN(ESF[[#This Row],[Pe ESF (kN)]],ESF[[#This Row],[R_DC (kN)]]),MIN(ESF[[#This Row],[Pe ESF (kN)]],ESF[[#This Row],[R_AV (kN)]],ESF[[#This Row],[R_DC (kN)]])))</f>
        <v>810</v>
      </c>
      <c r="W130" s="4">
        <f>INDEX(PILARES[],ESF[[#This Row],[idPilar]],MATCH("Carga (kN)",PILARES[#Headers],0))*1.4</f>
        <v>3500</v>
      </c>
      <c r="X130" s="12">
        <f>INDEX(PILARES[],ESF[[#This Row],[idPilar]],MATCH(ESF[[#Headers],[ap (cm)]],PILARES[#Headers],0))</f>
        <v>60</v>
      </c>
      <c r="Y130" s="12">
        <f>INDEX(PILARES[],ESF[[#This Row],[idPilar]],MATCH(ESF[[#Headers],[bp (cm)]],PILARES[#Headers],0))</f>
        <v>60</v>
      </c>
      <c r="Z130" s="4">
        <f>SQRT(ESF[[#This Row],[ap (cm)]]*ESF[[#This Row],[bp (cm)]])</f>
        <v>60</v>
      </c>
      <c r="AA130" s="12">
        <f>ESF[[#This Row],[ap (cm)]]*ESF[[#This Row],[bp (cm)]]</f>
        <v>3600</v>
      </c>
      <c r="AB130" s="12">
        <f ca="1">IF(ESF[[#This Row],[Padm∙ε (kN)]]&gt;=ESF[[#This Row],[Padm (kN)]],ROUNDUP(1.05*ESF[[#This Row],[Nsd (kN)]]/ESF[[#This Row],[Padm (kN)]],0),ROUNDUP(1.05*ESF[[#This Row],[Nsd (kN)]]/ESF[[#This Row],[Padm (kN)]],0)+1)</f>
        <v>5</v>
      </c>
      <c r="AC130" s="4" t="str">
        <f ca="1">IFERROR(IF(ESF[[#This Row],[nE]]=1,ESF[[#This Row],[Padm (kN)]],ESF[[#This Row],[Padm (kN)]]*ESF[[#This Row],[nE]]*INDEX(grupoEstacas[],ESF[[#This Row],[nE]],MATCH("ε",grupoEstacas[#Headers],0))),"N.S.")</f>
        <v>N.S.</v>
      </c>
      <c r="AD130" s="4">
        <f ca="1">1.05*ESF[[#This Row],[Nsd (kN)]]/(ESF[[#This Row],[nE]]*PI()*ESF[[#This Row],[Ø (cm)]]^2/4)*10</f>
        <v>4.6213879771868873</v>
      </c>
      <c r="AE130" s="4">
        <f ca="1">IF(ESF[[#This Row],[σ (MPa)]]&lt;INDEX(tipoEstaca[],MATCH($D$2,tipoEstaca[TIPO DE ESTACA],0),MATCH("σmáx (MPa)",tipoEstaca[#Headers],0)),0.4%*PI()*ESF[[#This Row],[Ø (cm)]]^2/4,"N.S.")</f>
        <v>6.3617251235193315</v>
      </c>
      <c r="AF130" s="1">
        <f>INDEX(tipoEstaca[],MATCH($D$2,tipoEstaca[TIPO DE ESTACA],0),MATCH(ESF[[#Headers],[Comprimento (m)]],tipoEstaca[#Headers],0))</f>
        <v>2</v>
      </c>
      <c r="AG130" s="5">
        <f ca="1">ESF[[#This Row],[As,mín (cm²)]]/100^2*ESF[[#This Row],[Comprimento (m)]]*7850</f>
        <v>9.9879084439253507</v>
      </c>
      <c r="AH130" s="4">
        <f ca="1">ESF[[#This Row],[nE]]*ESF[[#This Row],[Prof. (m)]]*ESF[[#This Row],[Ap (m²)]]</f>
        <v>10.337803325718914</v>
      </c>
      <c r="AI130" s="1">
        <f ca="1">IF(ESF[[#This Row],[nE]]=1,0,MAX(3*ESF[[#This Row],[Ø (cm)]],60))</f>
        <v>135</v>
      </c>
      <c r="AJ130" s="1">
        <f ca="1">IF(ESF[[#This Row],[nE]]=1,ESF[[#This Row],[Ø (cm)]]+2*10,MAX(1.5*ESF[[#This Row],[Ø (cm)]],ESF[[#This Row],[Ø (cm)]]+15))</f>
        <v>67.5</v>
      </c>
      <c r="AK130" s="1" t="str">
        <f ca="1">alturaUtil(ESF[[#This Row],[nE]],ESF[[#This Row],[Ø (cm)]],ESF[[#This Row],[e (cm)]],ESF[[#This Row],[ap,eq (cm)]])</f>
        <v>N.S.</v>
      </c>
      <c r="AL130" s="1" t="str">
        <f ca="1">IFERROR(ESF[[#This Row],[d (cm)]]+arredondarParaCimaMultiplo5cm(MAX(5,SQRT(PI())/2*ESF[[#This Row],[Ø (cm)]]/5)),"N.S.")</f>
        <v>N.S.</v>
      </c>
      <c r="AM130" s="5" t="str">
        <f ca="1">alpha(ESF[[#This Row],[nE]],ESF[[#This Row],[d (cm)]],ESF[[#This Row],[e (cm)]],ESF[[#This Row],[ap,eq (cm)]])</f>
        <v>N.S.</v>
      </c>
      <c r="AN130" s="35" t="str">
        <f ca="1">IFERROR(ESF[[#This Row],[Nsd (kN)]]/(ESF[[#This Row],[Ap (cm²)]]*SIN(ESF[[#This Row],[α]])^2),"N.S.")</f>
        <v>N.S.</v>
      </c>
      <c r="AO130" s="35" t="str">
        <f ca="1">IFERROR(ESF[[#This Row],[Nsd (kN)]]/(ESF[[#This Row],[nE]]*PI()*ESF[[#This Row],[Ø (cm)]]^2/4*SIN(ESF[[#This Row],[α]])^2),"N.S.")</f>
        <v>N.S.</v>
      </c>
      <c r="AP130" s="4" t="str">
        <f ca="1">IFERROR(INDEX(grupoEstacas[],ESF[[#This Row],[nE]],MATCH("coef. Blévot",grupoEstacas[#Headers],0)),"N.S.")</f>
        <v>N.S.</v>
      </c>
      <c r="AQ130" s="35" t="str">
        <f ca="1">IFERROR(ESF[[#This Row],[coef. Blévot]]*0.9*INDEX(tipoEstaca[],MATCH($D$2,tipoEstaca[TIPO DE ESTACA],0),MATCH("fcd (kN/cm²)",tipoEstaca[#Headers],0)),"N.S.")</f>
        <v>N.S.</v>
      </c>
      <c r="AR130" s="1" t="str">
        <f ca="1">IF(AND(ESF[[#This Row],[cd,b,pil (kN/cm²)]]&lt;=ESF[[#This Row],[cd,b,lim (kN/cm²)]],ESF[[#This Row],[cd,b,est (kN/cm²)]]&lt;=ESF[[#This Row],[cd,b,lim (kN/cm²)]]),"OK","ERRO")</f>
        <v>OK</v>
      </c>
      <c r="AS130" s="4" t="str">
        <f ca="1">As_lado(ESF[[#This Row],[nE]],ESF[[#This Row],[Nsd (kN)]],ESF[[#This Row],[d (cm)]],ESF[[#This Row],[e (cm)]],ESF[[#This Row],[ap,eq (cm)]])</f>
        <v>N.S.</v>
      </c>
      <c r="AT130" s="4" t="str">
        <f ca="1">IF(ESF[[#This Row],[nE]]=1,ESF[[#This Row],[As,lado (cm²)]],IF(ESF[[#This Row],[nE]]=2,0.075*2*ESF[a (cm)],"N.A."))</f>
        <v>N.A.</v>
      </c>
      <c r="AU130" s="4" t="str">
        <f ca="1">IFERROR(IF(ESF[[#This Row],[nE]]=1,"N.A.",0.2*ESF[[#This Row],[As,lado (cm²)]]),"N.S.")</f>
        <v>N.S.</v>
      </c>
      <c r="AV130" s="4" t="str">
        <f ca="1">As_malha(ESF[[#This Row],[nE]],ESF[[#This Row],[As,lado (cm²)]],ESF[[#This Row],[Nsd (kN)]])</f>
        <v>N.S.</v>
      </c>
      <c r="AW130" s="4" t="str">
        <f ca="1">As_susp_tot(ESF[[#This Row],[nE]],ESF[[#This Row],[Nsd (kN)]])</f>
        <v>N.S.</v>
      </c>
      <c r="AX130" s="4" t="str">
        <f ca="1">Asp_face(ESF[[#This Row],[nE]],ESF[[#This Row],[As,lado (cm²)]])</f>
        <v>N.S.</v>
      </c>
      <c r="AY130" s="5" t="str">
        <f ca="1">acoBloco(ESF[[#This Row],[nE]],ESF[[#This Row],[e (cm)]],ESF[[#This Row],[a (cm)]],ESF[[#This Row],[h (cm)]],ESF[[#This Row],[As,lado (cm²)]],ESF[[#This Row],[Asp e Asw (cm²/m)]],ESF[[#This Row],[As,sup (cm²)]],ESF[[#This Row],[As,malha (cm²)]],ESF[[#This Row],[As,susp,tot (cm²)]],ESF[[#This Row],[Asp,face (cm²)]])</f>
        <v>N.S.</v>
      </c>
      <c r="AZ130" s="4" t="str">
        <f ca="1">concretoBloco(ESF[[#This Row],[nE]],ESF[[#This Row],[e (cm)]],ESF[[#This Row],[a (cm)]],ESF[[#This Row],[h (cm)]])</f>
        <v>N.S.</v>
      </c>
      <c r="BA130" s="5">
        <f ca="1">SUM(ESF[[#This Row],[Aço Est (kg)]],ESF[[#This Row],[Aço Bloco (kg)]])</f>
        <v>9.9879084439253507</v>
      </c>
      <c r="BB130" s="4">
        <f>INDEX(composicoes[],MATCH(95580,composicoes[CÓDIGO],0),MATCH("CUSTO TOTAL",composicoes[#Headers],0))</f>
        <v>10.46</v>
      </c>
      <c r="BC130" s="4">
        <f ca="1">SUM(ESF[[#This Row],[Conc Est (m³)]],ESF[[#This Row],[Conc Bloco (m³)]])</f>
        <v>10.337803325718914</v>
      </c>
      <c r="BD130" s="4">
        <f>INDEX(composicoes[],MATCH(94966,composicoes[CÓDIGO],0),MATCH("CUSTO TOTAL",composicoes[#Headers],0))</f>
        <v>439.52</v>
      </c>
      <c r="BE130" s="38">
        <f ca="1">ESF[[#This Row],[Aço (kg)]]*ESF[[#This Row],[Aço (R$/kg)]]+ESF[[#This Row],[Conc (m³)]]*ESF[[#This Row],[Conc (R$/m³)]]</f>
        <v>4648.1448400434365</v>
      </c>
      <c r="BF130" s="4" t="str">
        <f ca="1">IF(COUNTIF(ESF[#This Row],"N.S.")&gt;0,"lim.","OK")</f>
        <v>lim.</v>
      </c>
      <c r="BG130" s="4" t="str">
        <f>IF(ESF[[#This Row],[Prof. (m)]]&lt;3,"lim.","OK")</f>
        <v>OK</v>
      </c>
      <c r="BH130" s="4" t="str">
        <f>IF(ESF[[#This Row],[Prof. (m)]]&gt;=8*ESF[[#This Row],[Ø (cm)]]/100,"OK","lim.")</f>
        <v>OK</v>
      </c>
      <c r="BI130" s="4" t="str">
        <f>IF(AND(SPT!$F$3&lt;&gt;"",ESF[[#This Row],[Prof. (m)]]&gt;=SPT!$F$3),"lim.","OK")</f>
        <v>OK</v>
      </c>
      <c r="BJ130" s="4" t="str">
        <f>IF(COUNTIFS(ESF[Solo],"Areia",ESF[Prof. (m)],"&lt;="&amp;ESF[[#This Row],[Prof. (m)]])&gt;=1,"lim.","OK")</f>
        <v>OK</v>
      </c>
      <c r="BK130" s="4" t="str">
        <f ca="1">IF(ESF[[#This Row],[Verif. Biela]]="OK","OK","lim.")</f>
        <v>OK</v>
      </c>
      <c r="BL130" s="4" t="str">
        <f ca="1">IF(COUNTA(ESF[[#This Row],[Nº Est.]:[Biela comp.]])=COUNTIF(ESF[[#This Row],[Nº Est.]:[Biela comp.]],"OK"),"OK","lim.")</f>
        <v>lim.</v>
      </c>
      <c r="BM130" s="4" t="str">
        <f ca="1">IF(ESF[[#This Row],[Controle]]="OK",ESF[[#This Row],[nE]]&amp;" Ø"&amp;ESF[[#This Row],[Ø (cm)]]&amp;"cm Prof. "&amp;ESF[[#This Row],[Prof. (m)]]&amp;" m","")</f>
        <v/>
      </c>
      <c r="BN130" s="4" t="str">
        <f ca="1">IF(ESF[[#This Row],[idDimensionamento]]="","",ESF[[#This Row],[idPilar]]&amp;ESF[[#This Row],[idDimensionamento]])</f>
        <v/>
      </c>
    </row>
    <row r="131" spans="2:66" x14ac:dyDescent="0.25">
      <c r="B131" s="12">
        <f>ROUNDUP((ROW(ESF[[#This Row],[idDiâmetro]])-ROW(ESF[[#Headers],[idDiâmetro]]))/(COUNT(SPT[Prof. (m)])*COUNT(PILARES[Pilar])),0)</f>
        <v>5</v>
      </c>
      <c r="C131" s="12">
        <f>IF(ESF[[#This Row],[idDiâmetro]]&lt;&gt;B130,1,IF(ESF[[#This Row],[Prof. (m)]]=0,C130+1,C130))</f>
        <v>2</v>
      </c>
      <c r="D131" s="1">
        <f>IFERROR(IF(D130=MAX(SPT[Prof. (m)]),0,D130+1),0)</f>
        <v>0</v>
      </c>
      <c r="E131" s="1">
        <f>INDEX(SPT[],MATCH(ESF[[#This Row],[Prof. (m)]],SPT[Prof. (m)],0),2)</f>
        <v>0</v>
      </c>
      <c r="F131" s="1" t="str">
        <f>INDEX(SPT[],MATCH(ESF[[#This Row],[Prof. (m)]],SPT[Prof. (m)],0),3)</f>
        <v>Areia siltosa</v>
      </c>
      <c r="G131" s="1">
        <f>INDEX(estacas[],ESF[[#This Row],[idDiâmetro]],MATCH($B$2,estacas[#Headers],0))</f>
        <v>45</v>
      </c>
      <c r="H131" s="1">
        <f>INDEX(estacas[],MATCH(ESF[[#This Row],[Ø (cm)]],estacas[Ø ESF (cm)],0),MATCH(ESF[[#Headers],[Pe ESF (kN)]],estacas[#Headers],0))</f>
        <v>810</v>
      </c>
      <c r="I131" s="4">
        <f>INDEX(K_alpha_C[],MATCH(ESF[[#This Row],[Solo]],K_alpha_C[Solo],0),2)</f>
        <v>0.8</v>
      </c>
      <c r="J131" s="5">
        <f>INDEX(K_alpha_C[],MATCH(ESF[[#This Row],[Solo]],K_alpha_C[Solo],0),3)</f>
        <v>2</v>
      </c>
      <c r="K131" s="4">
        <f>INDEX(F1_F2[],MATCH($D$2,F1_F2[Tipo de estaca],0),2)</f>
        <v>3</v>
      </c>
      <c r="L131" s="4">
        <f>INDEX(F1_F2[],MATCH($D$2,F1_F2[Tipo de estaca],0),3)</f>
        <v>6</v>
      </c>
      <c r="M131" s="4">
        <f>PI()*(ESF[[#This Row],[Ø (cm)]]/100)^2/4</f>
        <v>0.15904312808798329</v>
      </c>
      <c r="N131" s="4">
        <f>PI()*ESF[[#This Row],[Ø (cm)]]/100</f>
        <v>1.4137166941154069</v>
      </c>
      <c r="O131" s="4">
        <f>IF(ESF[[#This Row],[Prof. (m)]]=0,0,ESF[[#This Row],[α (%)]]/100*ESF[[#This Row],[K (MPa)]]*1000*ESF[[#This Row],[NSPT]])</f>
        <v>0</v>
      </c>
      <c r="P131" s="4">
        <f>IF(ESF[[#This Row],[Prof. (m)]]=0,0,(ESF[[#This Row],[K (MPa)]]*1000*ESF[[#This Row],[NSPT]]/ESF[[#This Row],[F1]]*ESF[[#This Row],[Ap (m²)]]+ESF[[#This Row],[U (m)]]/ESF[[#This Row],[F2]]*SUMIFS(ESF[(α∙K∙NL∙ΔL)],ESF[Prof. (m)],"&lt;="&amp;ESF[[#This Row],[Prof. (m)]],ESF[idDiâmetro],ESF[[#This Row],[idDiâmetro]],ESF[idPilar],ESF[[#This Row],[idPilar]]))/'DADOS CAP. CARGA'!$D$2)</f>
        <v>0</v>
      </c>
      <c r="Q131" s="12">
        <f>INDEX(C_alpha_beta[],MATCH(ESF[[#This Row],[Solo]],C_alpha_beta[Solo],0),MATCH(ESF[[#Headers],[C (kPa)]],C_alpha_beta[#Headers],0))</f>
        <v>400</v>
      </c>
      <c r="R131" s="4">
        <f>INDEX(C_alpha_beta[],MATCH(ESF[[#This Row],[Solo]],C_alpha_beta[Solo],0),MATCH(ESF[[#Headers],[α ESF]],C_alpha_beta[#Headers],0))</f>
        <v>0.5</v>
      </c>
      <c r="S131" s="4">
        <f>INDEX(C_alpha_beta[],MATCH(ESF[[#This Row],[Solo]],C_alpha_beta[Solo],0),MATCH(ESF[[#Headers],[β ESF]],C_alpha_beta[#Headers],0))</f>
        <v>0.5</v>
      </c>
      <c r="T131" s="4">
        <f>IF(ESF[[#This Row],[Prof. (m)]]=0,0,10*(ESF[[#This Row],[NSPT]]/3+1))</f>
        <v>0</v>
      </c>
      <c r="U131" s="4">
        <f>(ESF[[#This Row],[α ESF]]*ESF[[#This Row],[C (kPa)]]*ESF[[#This Row],[NSPT]]*ESF[[#This Row],[Ap (m²)]])/'DADOS CAP. CARGA'!$Q$2+(ESF[[#This Row],[β ESF]]*SUMIFS(ESF[10∙(NL/3+1)],ESF[Prof. (m)],"&lt;="&amp;ESF[[#This Row],[Prof. (m)]],ESF[idDiâmetro],ESF[[#This Row],[idDiâmetro]],ESF[idPilar],ESF[[#This Row],[idPilar]])*ESF[[#This Row],[U (m)]])/'DADOS CAP. CARGA'!$S$2</f>
        <v>0</v>
      </c>
      <c r="V131" s="4">
        <f>IF(SPT!$M$5=1,MIN(ESF[[#This Row],[Pe ESF (kN)]],ESF[[#This Row],[R_AV (kN)]]),IF(SPT!$M$5=2,MIN(ESF[[#This Row],[Pe ESF (kN)]],ESF[[#This Row],[R_DC (kN)]]),MIN(ESF[[#This Row],[Pe ESF (kN)]],ESF[[#This Row],[R_AV (kN)]],ESF[[#This Row],[R_DC (kN)]])))</f>
        <v>0</v>
      </c>
      <c r="W131" s="4">
        <f>INDEX(PILARES[],ESF[[#This Row],[idPilar]],MATCH("Carga (kN)",PILARES[#Headers],0))*1.4</f>
        <v>1750</v>
      </c>
      <c r="X131" s="12">
        <f>INDEX(PILARES[],ESF[[#This Row],[idPilar]],MATCH(ESF[[#Headers],[ap (cm)]],PILARES[#Headers],0))</f>
        <v>50</v>
      </c>
      <c r="Y131" s="12">
        <f>INDEX(PILARES[],ESF[[#This Row],[idPilar]],MATCH(ESF[[#Headers],[bp (cm)]],PILARES[#Headers],0))</f>
        <v>40</v>
      </c>
      <c r="Z131" s="4">
        <f>SQRT(ESF[[#This Row],[ap (cm)]]*ESF[[#This Row],[bp (cm)]])</f>
        <v>44.721359549995796</v>
      </c>
      <c r="AA131" s="12">
        <f>ESF[[#This Row],[ap (cm)]]*ESF[[#This Row],[bp (cm)]]</f>
        <v>2000</v>
      </c>
      <c r="AB131" s="12" t="e">
        <f ca="1">IF(ESF[[#This Row],[Padm∙ε (kN)]]&gt;=ESF[[#This Row],[Padm (kN)]],ROUNDUP(1.05*ESF[[#This Row],[Nsd (kN)]]/ESF[[#This Row],[Padm (kN)]],0),ROUNDUP(1.05*ESF[[#This Row],[Nsd (kN)]]/ESF[[#This Row],[Padm (kN)]],0)+1)</f>
        <v>#DIV/0!</v>
      </c>
      <c r="AC131" s="4" t="str">
        <f ca="1">IFERROR(IF(ESF[[#This Row],[nE]]=1,ESF[[#This Row],[Padm (kN)]],ESF[[#This Row],[Padm (kN)]]*ESF[[#This Row],[nE]]*INDEX(grupoEstacas[],ESF[[#This Row],[nE]],MATCH("ε",grupoEstacas[#Headers],0))),"N.S.")</f>
        <v>N.S.</v>
      </c>
      <c r="AD131" s="4" t="e">
        <f ca="1">1.05*ESF[[#This Row],[Nsd (kN)]]/(ESF[[#This Row],[nE]]*PI()*ESF[[#This Row],[Ø (cm)]]^2/4)*10</f>
        <v>#DIV/0!</v>
      </c>
      <c r="AE131" s="4" t="e">
        <f ca="1">IF(ESF[[#This Row],[σ (MPa)]]&lt;INDEX(tipoEstaca[],MATCH($D$2,tipoEstaca[TIPO DE ESTACA],0),MATCH("σmáx (MPa)",tipoEstaca[#Headers],0)),0.4%*PI()*ESF[[#This Row],[Ø (cm)]]^2/4,"N.S.")</f>
        <v>#DIV/0!</v>
      </c>
      <c r="AF131" s="1">
        <f>INDEX(tipoEstaca[],MATCH($D$2,tipoEstaca[TIPO DE ESTACA],0),MATCH(ESF[[#Headers],[Comprimento (m)]],tipoEstaca[#Headers],0))</f>
        <v>2</v>
      </c>
      <c r="AG131" s="5" t="e">
        <f ca="1">ESF[[#This Row],[As,mín (cm²)]]/100^2*ESF[[#This Row],[Comprimento (m)]]*7850</f>
        <v>#DIV/0!</v>
      </c>
      <c r="AH131" s="4" t="e">
        <f ca="1">ESF[[#This Row],[nE]]*ESF[[#This Row],[Prof. (m)]]*ESF[[#This Row],[Ap (m²)]]</f>
        <v>#DIV/0!</v>
      </c>
      <c r="AI131" s="1" t="e">
        <f ca="1">IF(ESF[[#This Row],[nE]]=1,0,MAX(3*ESF[[#This Row],[Ø (cm)]],60))</f>
        <v>#DIV/0!</v>
      </c>
      <c r="AJ131" s="1" t="e">
        <f ca="1">IF(ESF[[#This Row],[nE]]=1,ESF[[#This Row],[Ø (cm)]]+2*10,MAX(1.5*ESF[[#This Row],[Ø (cm)]],ESF[[#This Row],[Ø (cm)]]+15))</f>
        <v>#DIV/0!</v>
      </c>
      <c r="AK131" s="1" t="e">
        <f ca="1">alturaUtil(ESF[[#This Row],[nE]],ESF[[#This Row],[Ø (cm)]],ESF[[#This Row],[e (cm)]],ESF[[#This Row],[ap,eq (cm)]])</f>
        <v>#VALUE!</v>
      </c>
      <c r="AL131" s="1" t="str">
        <f ca="1">IFERROR(ESF[[#This Row],[d (cm)]]+arredondarParaCimaMultiplo5cm(MAX(5,SQRT(PI())/2*ESF[[#This Row],[Ø (cm)]]/5)),"N.S.")</f>
        <v>N.S.</v>
      </c>
      <c r="AM131" s="5" t="e">
        <f ca="1">alpha(ESF[[#This Row],[nE]],ESF[[#This Row],[d (cm)]],ESF[[#This Row],[e (cm)]],ESF[[#This Row],[ap,eq (cm)]])</f>
        <v>#VALUE!</v>
      </c>
      <c r="AN131" s="35" t="str">
        <f ca="1">IFERROR(ESF[[#This Row],[Nsd (kN)]]/(ESF[[#This Row],[Ap (cm²)]]*SIN(ESF[[#This Row],[α]])^2),"N.S.")</f>
        <v>N.S.</v>
      </c>
      <c r="AO131" s="35" t="str">
        <f ca="1">IFERROR(ESF[[#This Row],[Nsd (kN)]]/(ESF[[#This Row],[nE]]*PI()*ESF[[#This Row],[Ø (cm)]]^2/4*SIN(ESF[[#This Row],[α]])^2),"N.S.")</f>
        <v>N.S.</v>
      </c>
      <c r="AP131" s="4" t="str">
        <f ca="1">IFERROR(INDEX(grupoEstacas[],ESF[[#This Row],[nE]],MATCH("coef. Blévot",grupoEstacas[#Headers],0)),"N.S.")</f>
        <v>N.S.</v>
      </c>
      <c r="AQ131" s="35" t="str">
        <f ca="1">IFERROR(ESF[[#This Row],[coef. Blévot]]*0.9*INDEX(tipoEstaca[],MATCH($D$2,tipoEstaca[TIPO DE ESTACA],0),MATCH("fcd (kN/cm²)",tipoEstaca[#Headers],0)),"N.S.")</f>
        <v>N.S.</v>
      </c>
      <c r="AR131" s="1" t="str">
        <f ca="1">IF(AND(ESF[[#This Row],[cd,b,pil (kN/cm²)]]&lt;=ESF[[#This Row],[cd,b,lim (kN/cm²)]],ESF[[#This Row],[cd,b,est (kN/cm²)]]&lt;=ESF[[#This Row],[cd,b,lim (kN/cm²)]]),"OK","ERRO")</f>
        <v>OK</v>
      </c>
      <c r="AS131" s="4" t="e">
        <f ca="1">As_lado(ESF[[#This Row],[nE]],ESF[[#This Row],[Nsd (kN)]],ESF[[#This Row],[d (cm)]],ESF[[#This Row],[e (cm)]],ESF[[#This Row],[ap,eq (cm)]])</f>
        <v>#VALUE!</v>
      </c>
      <c r="AT131" s="4" t="e">
        <f ca="1">IF(ESF[[#This Row],[nE]]=1,ESF[[#This Row],[As,lado (cm²)]],IF(ESF[[#This Row],[nE]]=2,0.075*2*ESF[a (cm)],"N.A."))</f>
        <v>#DIV/0!</v>
      </c>
      <c r="AU131" s="4" t="str">
        <f ca="1">IFERROR(IF(ESF[[#This Row],[nE]]=1,"N.A.",0.2*ESF[[#This Row],[As,lado (cm²)]]),"N.S.")</f>
        <v>N.S.</v>
      </c>
      <c r="AV131" s="4" t="e">
        <f ca="1">As_malha(ESF[[#This Row],[nE]],ESF[[#This Row],[As,lado (cm²)]],ESF[[#This Row],[Nsd (kN)]])</f>
        <v>#VALUE!</v>
      </c>
      <c r="AW131" s="4" t="e">
        <f ca="1">As_susp_tot(ESF[[#This Row],[nE]],ESF[[#This Row],[Nsd (kN)]])</f>
        <v>#VALUE!</v>
      </c>
      <c r="AX131" s="4" t="e">
        <f ca="1">Asp_face(ESF[[#This Row],[nE]],ESF[[#This Row],[As,lado (cm²)]])</f>
        <v>#VALUE!</v>
      </c>
      <c r="AY131" s="5" t="e">
        <f ca="1">acoBloco(ESF[[#This Row],[nE]],ESF[[#This Row],[e (cm)]],ESF[[#This Row],[a (cm)]],ESF[[#This Row],[h (cm)]],ESF[[#This Row],[As,lado (cm²)]],ESF[[#This Row],[Asp e Asw (cm²/m)]],ESF[[#This Row],[As,sup (cm²)]],ESF[[#This Row],[As,malha (cm²)]],ESF[[#This Row],[As,susp,tot (cm²)]],ESF[[#This Row],[Asp,face (cm²)]])</f>
        <v>#VALUE!</v>
      </c>
      <c r="AZ131" s="4" t="e">
        <f ca="1">concretoBloco(ESF[[#This Row],[nE]],ESF[[#This Row],[e (cm)]],ESF[[#This Row],[a (cm)]],ESF[[#This Row],[h (cm)]])</f>
        <v>#VALUE!</v>
      </c>
      <c r="BA131" s="5" t="e">
        <f ca="1">SUM(ESF[[#This Row],[Aço Est (kg)]],ESF[[#This Row],[Aço Bloco (kg)]])</f>
        <v>#DIV/0!</v>
      </c>
      <c r="BB131" s="4">
        <f>INDEX(composicoes[],MATCH(95580,composicoes[CÓDIGO],0),MATCH("CUSTO TOTAL",composicoes[#Headers],0))</f>
        <v>10.46</v>
      </c>
      <c r="BC131" s="4" t="e">
        <f ca="1">SUM(ESF[[#This Row],[Conc Est (m³)]],ESF[[#This Row],[Conc Bloco (m³)]])</f>
        <v>#DIV/0!</v>
      </c>
      <c r="BD131" s="4">
        <f>INDEX(composicoes[],MATCH(94966,composicoes[CÓDIGO],0),MATCH("CUSTO TOTAL",composicoes[#Headers],0))</f>
        <v>439.52</v>
      </c>
      <c r="BE131" s="38" t="e">
        <f ca="1">ESF[[#This Row],[Aço (kg)]]*ESF[[#This Row],[Aço (R$/kg)]]+ESF[[#This Row],[Conc (m³)]]*ESF[[#This Row],[Conc (R$/m³)]]</f>
        <v>#DIV/0!</v>
      </c>
      <c r="BF131" s="4" t="str">
        <f ca="1">IF(COUNTIF(ESF[#This Row],"N.S.")&gt;0,"lim.","OK")</f>
        <v>lim.</v>
      </c>
      <c r="BG131" s="4" t="str">
        <f>IF(ESF[[#This Row],[Prof. (m)]]&lt;3,"lim.","OK")</f>
        <v>lim.</v>
      </c>
      <c r="BH131" s="4" t="str">
        <f>IF(ESF[[#This Row],[Prof. (m)]]&gt;=8*ESF[[#This Row],[Ø (cm)]]/100,"OK","lim.")</f>
        <v>lim.</v>
      </c>
      <c r="BI131" s="4" t="str">
        <f>IF(AND(SPT!$F$3&lt;&gt;"",ESF[[#This Row],[Prof. (m)]]&gt;=SPT!$F$3),"lim.","OK")</f>
        <v>OK</v>
      </c>
      <c r="BJ131" s="4" t="str">
        <f>IF(COUNTIFS(ESF[Solo],"Areia",ESF[Prof. (m)],"&lt;="&amp;ESF[[#This Row],[Prof. (m)]])&gt;=1,"lim.","OK")</f>
        <v>OK</v>
      </c>
      <c r="BK131" s="4" t="str">
        <f ca="1">IF(ESF[[#This Row],[Verif. Biela]]="OK","OK","lim.")</f>
        <v>OK</v>
      </c>
      <c r="BL131" s="4" t="str">
        <f ca="1">IF(COUNTA(ESF[[#This Row],[Nº Est.]:[Biela comp.]])=COUNTIF(ESF[[#This Row],[Nº Est.]:[Biela comp.]],"OK"),"OK","lim.")</f>
        <v>lim.</v>
      </c>
      <c r="BM131" s="4" t="str">
        <f ca="1">IF(ESF[[#This Row],[Controle]]="OK",ESF[[#This Row],[nE]]&amp;" Ø"&amp;ESF[[#This Row],[Ø (cm)]]&amp;"cm Prof. "&amp;ESF[[#This Row],[Prof. (m)]]&amp;" m","")</f>
        <v/>
      </c>
      <c r="BN131" s="4" t="str">
        <f ca="1">IF(ESF[[#This Row],[idDimensionamento]]="","",ESF[[#This Row],[idPilar]]&amp;ESF[[#This Row],[idDimensionamento]])</f>
        <v/>
      </c>
    </row>
    <row r="132" spans="2:66" x14ac:dyDescent="0.25">
      <c r="B132" s="12">
        <f>ROUNDUP((ROW(ESF[[#This Row],[idDiâmetro]])-ROW(ESF[[#Headers],[idDiâmetro]]))/(COUNT(SPT[Prof. (m)])*COUNT(PILARES[Pilar])),0)</f>
        <v>5</v>
      </c>
      <c r="C132" s="12">
        <f>IF(ESF[[#This Row],[idDiâmetro]]&lt;&gt;B131,1,IF(ESF[[#This Row],[Prof. (m)]]=0,C131+1,C131))</f>
        <v>2</v>
      </c>
      <c r="D132" s="1">
        <f>IFERROR(IF(D131=MAX(SPT[Prof. (m)]),0,D131+1),0)</f>
        <v>1</v>
      </c>
      <c r="E132" s="1">
        <f>INDEX(SPT[],MATCH(ESF[[#This Row],[Prof. (m)]],SPT[Prof. (m)],0),2)</f>
        <v>2</v>
      </c>
      <c r="F132" s="1" t="str">
        <f>INDEX(SPT[],MATCH(ESF[[#This Row],[Prof. (m)]],SPT[Prof. (m)],0),3)</f>
        <v>Areia siltosa</v>
      </c>
      <c r="G132" s="1">
        <f>INDEX(estacas[],ESF[[#This Row],[idDiâmetro]],MATCH($B$2,estacas[#Headers],0))</f>
        <v>45</v>
      </c>
      <c r="H132" s="1">
        <f>INDEX(estacas[],MATCH(ESF[[#This Row],[Ø (cm)]],estacas[Ø ESF (cm)],0),MATCH(ESF[[#Headers],[Pe ESF (kN)]],estacas[#Headers],0))</f>
        <v>810</v>
      </c>
      <c r="I132" s="4">
        <f>INDEX(K_alpha_C[],MATCH(ESF[[#This Row],[Solo]],K_alpha_C[Solo],0),2)</f>
        <v>0.8</v>
      </c>
      <c r="J132" s="5">
        <f>INDEX(K_alpha_C[],MATCH(ESF[[#This Row],[Solo]],K_alpha_C[Solo],0),3)</f>
        <v>2</v>
      </c>
      <c r="K132" s="4">
        <f>INDEX(F1_F2[],MATCH($D$2,F1_F2[Tipo de estaca],0),2)</f>
        <v>3</v>
      </c>
      <c r="L132" s="4">
        <f>INDEX(F1_F2[],MATCH($D$2,F1_F2[Tipo de estaca],0),3)</f>
        <v>6</v>
      </c>
      <c r="M132" s="4">
        <f>PI()*(ESF[[#This Row],[Ø (cm)]]/100)^2/4</f>
        <v>0.15904312808798329</v>
      </c>
      <c r="N132" s="4">
        <f>PI()*ESF[[#This Row],[Ø (cm)]]/100</f>
        <v>1.4137166941154069</v>
      </c>
      <c r="O132" s="4">
        <f>IF(ESF[[#This Row],[Prof. (m)]]=0,0,ESF[[#This Row],[α (%)]]/100*ESF[[#This Row],[K (MPa)]]*1000*ESF[[#This Row],[NSPT]])</f>
        <v>32</v>
      </c>
      <c r="P132" s="4">
        <f>IF(ESF[[#This Row],[Prof. (m)]]=0,0,(ESF[[#This Row],[K (MPa)]]*1000*ESF[[#This Row],[NSPT]]/ESF[[#This Row],[F1]]*ESF[[#This Row],[Ap (m²)]]+ESF[[#This Row],[U (m)]]/ESF[[#This Row],[F2]]*SUMIFS(ESF[(α∙K∙NL∙ΔL)],ESF[Prof. (m)],"&lt;="&amp;ESF[[#This Row],[Prof. (m)]],ESF[idDiâmetro],ESF[[#This Row],[idDiâmetro]],ESF[idPilar],ESF[[#This Row],[idPilar]]))/'DADOS CAP. CARGA'!$D$2)</f>
        <v>46.181412007769964</v>
      </c>
      <c r="Q132" s="12">
        <f>INDEX(C_alpha_beta[],MATCH(ESF[[#This Row],[Solo]],C_alpha_beta[Solo],0),MATCH(ESF[[#Headers],[C (kPa)]],C_alpha_beta[#Headers],0))</f>
        <v>400</v>
      </c>
      <c r="R132" s="4">
        <f>INDEX(C_alpha_beta[],MATCH(ESF[[#This Row],[Solo]],C_alpha_beta[Solo],0),MATCH(ESF[[#Headers],[α ESF]],C_alpha_beta[#Headers],0))</f>
        <v>0.5</v>
      </c>
      <c r="S132" s="4">
        <f>INDEX(C_alpha_beta[],MATCH(ESF[[#This Row],[Solo]],C_alpha_beta[Solo],0),MATCH(ESF[[#Headers],[β ESF]],C_alpha_beta[#Headers],0))</f>
        <v>0.5</v>
      </c>
      <c r="T132" s="4">
        <f>IF(ESF[[#This Row],[Prof. (m)]]=0,0,10*(ESF[[#This Row],[NSPT]]/3+1))</f>
        <v>16.666666666666664</v>
      </c>
      <c r="U132" s="4">
        <f>(ESF[[#This Row],[α ESF]]*ESF[[#This Row],[C (kPa)]]*ESF[[#This Row],[NSPT]]*ESF[[#This Row],[Ap (m²)]])/'DADOS CAP. CARGA'!$Q$2+(ESF[[#This Row],[β ESF]]*SUMIFS(ESF[10∙(NL/3+1)],ESF[Prof. (m)],"&lt;="&amp;ESF[[#This Row],[Prof. (m)]],ESF[idDiâmetro],ESF[[#This Row],[idDiâmetro]],ESF[idPilar],ESF[[#This Row],[idPilar]])*ESF[[#This Row],[U (m)]])/'DADOS CAP. CARGA'!$S$2</f>
        <v>21.79479903427919</v>
      </c>
      <c r="V132" s="4">
        <f>IF(SPT!$M$5=1,MIN(ESF[[#This Row],[Pe ESF (kN)]],ESF[[#This Row],[R_AV (kN)]]),IF(SPT!$M$5=2,MIN(ESF[[#This Row],[Pe ESF (kN)]],ESF[[#This Row],[R_DC (kN)]]),MIN(ESF[[#This Row],[Pe ESF (kN)]],ESF[[#This Row],[R_AV (kN)]],ESF[[#This Row],[R_DC (kN)]])))</f>
        <v>21.79479903427919</v>
      </c>
      <c r="W132" s="4">
        <f>INDEX(PILARES[],ESF[[#This Row],[idPilar]],MATCH("Carga (kN)",PILARES[#Headers],0))*1.4</f>
        <v>1750</v>
      </c>
      <c r="X132" s="12">
        <f>INDEX(PILARES[],ESF[[#This Row],[idPilar]],MATCH(ESF[[#Headers],[ap (cm)]],PILARES[#Headers],0))</f>
        <v>50</v>
      </c>
      <c r="Y132" s="12">
        <f>INDEX(PILARES[],ESF[[#This Row],[idPilar]],MATCH(ESF[[#Headers],[bp (cm)]],PILARES[#Headers],0))</f>
        <v>40</v>
      </c>
      <c r="Z132" s="4">
        <f>SQRT(ESF[[#This Row],[ap (cm)]]*ESF[[#This Row],[bp (cm)]])</f>
        <v>44.721359549995796</v>
      </c>
      <c r="AA132" s="12">
        <f>ESF[[#This Row],[ap (cm)]]*ESF[[#This Row],[bp (cm)]]</f>
        <v>2000</v>
      </c>
      <c r="AB132" s="12">
        <f ca="1">IF(ESF[[#This Row],[Padm∙ε (kN)]]&gt;=ESF[[#This Row],[Padm (kN)]],ROUNDUP(1.05*ESF[[#This Row],[Nsd (kN)]]/ESF[[#This Row],[Padm (kN)]],0),ROUNDUP(1.05*ESF[[#This Row],[Nsd (kN)]]/ESF[[#This Row],[Padm (kN)]],0)+1)</f>
        <v>85</v>
      </c>
      <c r="AC132" s="4" t="str">
        <f ca="1">IFERROR(IF(ESF[[#This Row],[nE]]=1,ESF[[#This Row],[Padm (kN)]],ESF[[#This Row],[Padm (kN)]]*ESF[[#This Row],[nE]]*INDEX(grupoEstacas[],ESF[[#This Row],[nE]],MATCH("ε",grupoEstacas[#Headers],0))),"N.S.")</f>
        <v>N.S.</v>
      </c>
      <c r="AD132" s="4">
        <f ca="1">1.05*ESF[[#This Row],[Nsd (kN)]]/(ESF[[#This Row],[nE]]*PI()*ESF[[#This Row],[Ø (cm)]]^2/4)*10</f>
        <v>0.13592317579961433</v>
      </c>
      <c r="AE132" s="4">
        <f ca="1">IF(ESF[[#This Row],[σ (MPa)]]&lt;INDEX(tipoEstaca[],MATCH($D$2,tipoEstaca[TIPO DE ESTACA],0),MATCH("σmáx (MPa)",tipoEstaca[#Headers],0)),0.4%*PI()*ESF[[#This Row],[Ø (cm)]]^2/4,"N.S.")</f>
        <v>6.3617251235193315</v>
      </c>
      <c r="AF132" s="1">
        <f>INDEX(tipoEstaca[],MATCH($D$2,tipoEstaca[TIPO DE ESTACA],0),MATCH(ESF[[#Headers],[Comprimento (m)]],tipoEstaca[#Headers],0))</f>
        <v>2</v>
      </c>
      <c r="AG132" s="5">
        <f ca="1">ESF[[#This Row],[As,mín (cm²)]]/100^2*ESF[[#This Row],[Comprimento (m)]]*7850</f>
        <v>9.9879084439253507</v>
      </c>
      <c r="AH132" s="4">
        <f ca="1">ESF[[#This Row],[nE]]*ESF[[#This Row],[Prof. (m)]]*ESF[[#This Row],[Ap (m²)]]</f>
        <v>13.51866588747858</v>
      </c>
      <c r="AI132" s="1">
        <f ca="1">IF(ESF[[#This Row],[nE]]=1,0,MAX(3*ESF[[#This Row],[Ø (cm)]],60))</f>
        <v>135</v>
      </c>
      <c r="AJ132" s="1">
        <f ca="1">IF(ESF[[#This Row],[nE]]=1,ESF[[#This Row],[Ø (cm)]]+2*10,MAX(1.5*ESF[[#This Row],[Ø (cm)]],ESF[[#This Row],[Ø (cm)]]+15))</f>
        <v>67.5</v>
      </c>
      <c r="AK132" s="1" t="str">
        <f ca="1">alturaUtil(ESF[[#This Row],[nE]],ESF[[#This Row],[Ø (cm)]],ESF[[#This Row],[e (cm)]],ESF[[#This Row],[ap,eq (cm)]])</f>
        <v>N.S.</v>
      </c>
      <c r="AL132" s="1" t="str">
        <f ca="1">IFERROR(ESF[[#This Row],[d (cm)]]+arredondarParaCimaMultiplo5cm(MAX(5,SQRT(PI())/2*ESF[[#This Row],[Ø (cm)]]/5)),"N.S.")</f>
        <v>N.S.</v>
      </c>
      <c r="AM132" s="5" t="str">
        <f ca="1">alpha(ESF[[#This Row],[nE]],ESF[[#This Row],[d (cm)]],ESF[[#This Row],[e (cm)]],ESF[[#This Row],[ap,eq (cm)]])</f>
        <v>N.S.</v>
      </c>
      <c r="AN132" s="35" t="str">
        <f ca="1">IFERROR(ESF[[#This Row],[Nsd (kN)]]/(ESF[[#This Row],[Ap (cm²)]]*SIN(ESF[[#This Row],[α]])^2),"N.S.")</f>
        <v>N.S.</v>
      </c>
      <c r="AO132" s="35" t="str">
        <f ca="1">IFERROR(ESF[[#This Row],[Nsd (kN)]]/(ESF[[#This Row],[nE]]*PI()*ESF[[#This Row],[Ø (cm)]]^2/4*SIN(ESF[[#This Row],[α]])^2),"N.S.")</f>
        <v>N.S.</v>
      </c>
      <c r="AP132" s="4" t="str">
        <f ca="1">IFERROR(INDEX(grupoEstacas[],ESF[[#This Row],[nE]],MATCH("coef. Blévot",grupoEstacas[#Headers],0)),"N.S.")</f>
        <v>N.S.</v>
      </c>
      <c r="AQ132" s="35" t="str">
        <f ca="1">IFERROR(ESF[[#This Row],[coef. Blévot]]*0.9*INDEX(tipoEstaca[],MATCH($D$2,tipoEstaca[TIPO DE ESTACA],0),MATCH("fcd (kN/cm²)",tipoEstaca[#Headers],0)),"N.S.")</f>
        <v>N.S.</v>
      </c>
      <c r="AR132" s="1" t="str">
        <f ca="1">IF(AND(ESF[[#This Row],[cd,b,pil (kN/cm²)]]&lt;=ESF[[#This Row],[cd,b,lim (kN/cm²)]],ESF[[#This Row],[cd,b,est (kN/cm²)]]&lt;=ESF[[#This Row],[cd,b,lim (kN/cm²)]]),"OK","ERRO")</f>
        <v>OK</v>
      </c>
      <c r="AS132" s="4" t="str">
        <f ca="1">As_lado(ESF[[#This Row],[nE]],ESF[[#This Row],[Nsd (kN)]],ESF[[#This Row],[d (cm)]],ESF[[#This Row],[e (cm)]],ESF[[#This Row],[ap,eq (cm)]])</f>
        <v>N.S.</v>
      </c>
      <c r="AT132" s="4" t="str">
        <f ca="1">IF(ESF[[#This Row],[nE]]=1,ESF[[#This Row],[As,lado (cm²)]],IF(ESF[[#This Row],[nE]]=2,0.075*2*ESF[a (cm)],"N.A."))</f>
        <v>N.A.</v>
      </c>
      <c r="AU132" s="4" t="str">
        <f ca="1">IFERROR(IF(ESF[[#This Row],[nE]]=1,"N.A.",0.2*ESF[[#This Row],[As,lado (cm²)]]),"N.S.")</f>
        <v>N.S.</v>
      </c>
      <c r="AV132" s="4" t="str">
        <f ca="1">As_malha(ESF[[#This Row],[nE]],ESF[[#This Row],[As,lado (cm²)]],ESF[[#This Row],[Nsd (kN)]])</f>
        <v>N.S.</v>
      </c>
      <c r="AW132" s="4" t="str">
        <f ca="1">As_susp_tot(ESF[[#This Row],[nE]],ESF[[#This Row],[Nsd (kN)]])</f>
        <v>N.S.</v>
      </c>
      <c r="AX132" s="4" t="str">
        <f ca="1">Asp_face(ESF[[#This Row],[nE]],ESF[[#This Row],[As,lado (cm²)]])</f>
        <v>N.S.</v>
      </c>
      <c r="AY132" s="5" t="str">
        <f ca="1">acoBloco(ESF[[#This Row],[nE]],ESF[[#This Row],[e (cm)]],ESF[[#This Row],[a (cm)]],ESF[[#This Row],[h (cm)]],ESF[[#This Row],[As,lado (cm²)]],ESF[[#This Row],[Asp e Asw (cm²/m)]],ESF[[#This Row],[As,sup (cm²)]],ESF[[#This Row],[As,malha (cm²)]],ESF[[#This Row],[As,susp,tot (cm²)]],ESF[[#This Row],[Asp,face (cm²)]])</f>
        <v>N.S.</v>
      </c>
      <c r="AZ132" s="4" t="str">
        <f ca="1">concretoBloco(ESF[[#This Row],[nE]],ESF[[#This Row],[e (cm)]],ESF[[#This Row],[a (cm)]],ESF[[#This Row],[h (cm)]])</f>
        <v>N.S.</v>
      </c>
      <c r="BA132" s="5">
        <f ca="1">SUM(ESF[[#This Row],[Aço Est (kg)]],ESF[[#This Row],[Aço Bloco (kg)]])</f>
        <v>9.9879084439253507</v>
      </c>
      <c r="BB132" s="4">
        <f>INDEX(composicoes[],MATCH(95580,composicoes[CÓDIGO],0),MATCH("CUSTO TOTAL",composicoes[#Headers],0))</f>
        <v>10.46</v>
      </c>
      <c r="BC132" s="4">
        <f ca="1">SUM(ESF[[#This Row],[Conc Est (m³)]],ESF[[#This Row],[Conc Bloco (m³)]])</f>
        <v>13.51866588747858</v>
      </c>
      <c r="BD132" s="4">
        <f>INDEX(composicoes[],MATCH(94966,composicoes[CÓDIGO],0),MATCH("CUSTO TOTAL",composicoes[#Headers],0))</f>
        <v>439.52</v>
      </c>
      <c r="BE132" s="38">
        <f ca="1">ESF[[#This Row],[Aço (kg)]]*ESF[[#This Row],[Aço (R$/kg)]]+ESF[[#This Row],[Conc (m³)]]*ESF[[#This Row],[Conc (R$/m³)]]</f>
        <v>6046.1975531880444</v>
      </c>
      <c r="BF132" s="4" t="str">
        <f ca="1">IF(COUNTIF(ESF[#This Row],"N.S.")&gt;0,"lim.","OK")</f>
        <v>lim.</v>
      </c>
      <c r="BG132" s="4" t="str">
        <f>IF(ESF[[#This Row],[Prof. (m)]]&lt;3,"lim.","OK")</f>
        <v>lim.</v>
      </c>
      <c r="BH132" s="4" t="str">
        <f>IF(ESF[[#This Row],[Prof. (m)]]&gt;=8*ESF[[#This Row],[Ø (cm)]]/100,"OK","lim.")</f>
        <v>lim.</v>
      </c>
      <c r="BI132" s="4" t="str">
        <f>IF(AND(SPT!$F$3&lt;&gt;"",ESF[[#This Row],[Prof. (m)]]&gt;=SPT!$F$3),"lim.","OK")</f>
        <v>OK</v>
      </c>
      <c r="BJ132" s="4" t="str">
        <f>IF(COUNTIFS(ESF[Solo],"Areia",ESF[Prof. (m)],"&lt;="&amp;ESF[[#This Row],[Prof. (m)]])&gt;=1,"lim.","OK")</f>
        <v>OK</v>
      </c>
      <c r="BK132" s="4" t="str">
        <f ca="1">IF(ESF[[#This Row],[Verif. Biela]]="OK","OK","lim.")</f>
        <v>OK</v>
      </c>
      <c r="BL132" s="4" t="str">
        <f ca="1">IF(COUNTA(ESF[[#This Row],[Nº Est.]:[Biela comp.]])=COUNTIF(ESF[[#This Row],[Nº Est.]:[Biela comp.]],"OK"),"OK","lim.")</f>
        <v>lim.</v>
      </c>
      <c r="BM132" s="4" t="str">
        <f ca="1">IF(ESF[[#This Row],[Controle]]="OK",ESF[[#This Row],[nE]]&amp;" Ø"&amp;ESF[[#This Row],[Ø (cm)]]&amp;"cm Prof. "&amp;ESF[[#This Row],[Prof. (m)]]&amp;" m","")</f>
        <v/>
      </c>
      <c r="BN132" s="4" t="str">
        <f ca="1">IF(ESF[[#This Row],[idDimensionamento]]="","",ESF[[#This Row],[idPilar]]&amp;ESF[[#This Row],[idDimensionamento]])</f>
        <v/>
      </c>
    </row>
    <row r="133" spans="2:66" x14ac:dyDescent="0.25">
      <c r="B133" s="12">
        <f>ROUNDUP((ROW(ESF[[#This Row],[idDiâmetro]])-ROW(ESF[[#Headers],[idDiâmetro]]))/(COUNT(SPT[Prof. (m)])*COUNT(PILARES[Pilar])),0)</f>
        <v>5</v>
      </c>
      <c r="C133" s="12">
        <f>IF(ESF[[#This Row],[idDiâmetro]]&lt;&gt;B132,1,IF(ESF[[#This Row],[Prof. (m)]]=0,C132+1,C132))</f>
        <v>2</v>
      </c>
      <c r="D133" s="1">
        <f>IFERROR(IF(D132=MAX(SPT[Prof. (m)]),0,D132+1),0)</f>
        <v>2</v>
      </c>
      <c r="E133" s="1">
        <f>INDEX(SPT[],MATCH(ESF[[#This Row],[Prof. (m)]],SPT[Prof. (m)],0),2)</f>
        <v>2</v>
      </c>
      <c r="F133" s="1" t="str">
        <f>INDEX(SPT[],MATCH(ESF[[#This Row],[Prof. (m)]],SPT[Prof. (m)],0),3)</f>
        <v>Areia siltosa</v>
      </c>
      <c r="G133" s="1">
        <f>INDEX(estacas[],ESF[[#This Row],[idDiâmetro]],MATCH($B$2,estacas[#Headers],0))</f>
        <v>45</v>
      </c>
      <c r="H133" s="1">
        <f>INDEX(estacas[],MATCH(ESF[[#This Row],[Ø (cm)]],estacas[Ø ESF (cm)],0),MATCH(ESF[[#Headers],[Pe ESF (kN)]],estacas[#Headers],0))</f>
        <v>810</v>
      </c>
      <c r="I133" s="4">
        <f>INDEX(K_alpha_C[],MATCH(ESF[[#This Row],[Solo]],K_alpha_C[Solo],0),2)</f>
        <v>0.8</v>
      </c>
      <c r="J133" s="5">
        <f>INDEX(K_alpha_C[],MATCH(ESF[[#This Row],[Solo]],K_alpha_C[Solo],0),3)</f>
        <v>2</v>
      </c>
      <c r="K133" s="4">
        <f>INDEX(F1_F2[],MATCH($D$2,F1_F2[Tipo de estaca],0),2)</f>
        <v>3</v>
      </c>
      <c r="L133" s="4">
        <f>INDEX(F1_F2[],MATCH($D$2,F1_F2[Tipo de estaca],0),3)</f>
        <v>6</v>
      </c>
      <c r="M133" s="4">
        <f>PI()*(ESF[[#This Row],[Ø (cm)]]/100)^2/4</f>
        <v>0.15904312808798329</v>
      </c>
      <c r="N133" s="4">
        <f>PI()*ESF[[#This Row],[Ø (cm)]]/100</f>
        <v>1.4137166941154069</v>
      </c>
      <c r="O133" s="4">
        <f>IF(ESF[[#This Row],[Prof. (m)]]=0,0,ESF[[#This Row],[α (%)]]/100*ESF[[#This Row],[K (MPa)]]*1000*ESF[[#This Row],[NSPT]])</f>
        <v>32</v>
      </c>
      <c r="P133" s="4">
        <f>IF(ESF[[#This Row],[Prof. (m)]]=0,0,(ESF[[#This Row],[K (MPa)]]*1000*ESF[[#This Row],[NSPT]]/ESF[[#This Row],[F1]]*ESF[[#This Row],[Ap (m²)]]+ESF[[#This Row],[U (m)]]/ESF[[#This Row],[F2]]*SUMIFS(ESF[(α∙K∙NL∙ΔL)],ESF[Prof. (m)],"&lt;="&amp;ESF[[#This Row],[Prof. (m)]],ESF[idDiâmetro],ESF[[#This Row],[idDiâmetro]],ESF[idPilar],ESF[[#This Row],[idPilar]]))/'DADOS CAP. CARGA'!$D$2)</f>
        <v>49.951323192077716</v>
      </c>
      <c r="Q133" s="12">
        <f>INDEX(C_alpha_beta[],MATCH(ESF[[#This Row],[Solo]],C_alpha_beta[Solo],0),MATCH(ESF[[#Headers],[C (kPa)]],C_alpha_beta[#Headers],0))</f>
        <v>400</v>
      </c>
      <c r="R133" s="4">
        <f>INDEX(C_alpha_beta[],MATCH(ESF[[#This Row],[Solo]],C_alpha_beta[Solo],0),MATCH(ESF[[#Headers],[α ESF]],C_alpha_beta[#Headers],0))</f>
        <v>0.5</v>
      </c>
      <c r="S133" s="4">
        <f>INDEX(C_alpha_beta[],MATCH(ESF[[#This Row],[Solo]],C_alpha_beta[Solo],0),MATCH(ESF[[#Headers],[β ESF]],C_alpha_beta[#Headers],0))</f>
        <v>0.5</v>
      </c>
      <c r="T133" s="4">
        <f>IF(ESF[[#This Row],[Prof. (m)]]=0,0,10*(ESF[[#This Row],[NSPT]]/3+1))</f>
        <v>16.666666666666664</v>
      </c>
      <c r="U133" s="4">
        <f>(ESF[[#This Row],[α ESF]]*ESF[[#This Row],[C (kPa)]]*ESF[[#This Row],[NSPT]]*ESF[[#This Row],[Ap (m²)]])/'DADOS CAP. CARGA'!$Q$2+(ESF[[#This Row],[β ESF]]*SUMIFS(ESF[10∙(NL/3+1)],ESF[Prof. (m)],"&lt;="&amp;ESF[[#This Row],[Prof. (m)]],ESF[idDiâmetro],ESF[[#This Row],[idDiâmetro]],ESF[idPilar],ESF[[#This Row],[idPilar]])*ESF[[#This Row],[U (m)]])/'DADOS CAP. CARGA'!$S$2</f>
        <v>27.68528525976005</v>
      </c>
      <c r="V133" s="4">
        <f>IF(SPT!$M$5=1,MIN(ESF[[#This Row],[Pe ESF (kN)]],ESF[[#This Row],[R_AV (kN)]]),IF(SPT!$M$5=2,MIN(ESF[[#This Row],[Pe ESF (kN)]],ESF[[#This Row],[R_DC (kN)]]),MIN(ESF[[#This Row],[Pe ESF (kN)]],ESF[[#This Row],[R_AV (kN)]],ESF[[#This Row],[R_DC (kN)]])))</f>
        <v>27.68528525976005</v>
      </c>
      <c r="W133" s="4">
        <f>INDEX(PILARES[],ESF[[#This Row],[idPilar]],MATCH("Carga (kN)",PILARES[#Headers],0))*1.4</f>
        <v>1750</v>
      </c>
      <c r="X133" s="12">
        <f>INDEX(PILARES[],ESF[[#This Row],[idPilar]],MATCH(ESF[[#Headers],[ap (cm)]],PILARES[#Headers],0))</f>
        <v>50</v>
      </c>
      <c r="Y133" s="12">
        <f>INDEX(PILARES[],ESF[[#This Row],[idPilar]],MATCH(ESF[[#Headers],[bp (cm)]],PILARES[#Headers],0))</f>
        <v>40</v>
      </c>
      <c r="Z133" s="4">
        <f>SQRT(ESF[[#This Row],[ap (cm)]]*ESF[[#This Row],[bp (cm)]])</f>
        <v>44.721359549995796</v>
      </c>
      <c r="AA133" s="12">
        <f>ESF[[#This Row],[ap (cm)]]*ESF[[#This Row],[bp (cm)]]</f>
        <v>2000</v>
      </c>
      <c r="AB133" s="12">
        <f ca="1">IF(ESF[[#This Row],[Padm∙ε (kN)]]&gt;=ESF[[#This Row],[Padm (kN)]],ROUNDUP(1.05*ESF[[#This Row],[Nsd (kN)]]/ESF[[#This Row],[Padm (kN)]],0),ROUNDUP(1.05*ESF[[#This Row],[Nsd (kN)]]/ESF[[#This Row],[Padm (kN)]],0)+1)</f>
        <v>67</v>
      </c>
      <c r="AC133" s="4" t="str">
        <f ca="1">IFERROR(IF(ESF[[#This Row],[nE]]=1,ESF[[#This Row],[Padm (kN)]],ESF[[#This Row],[Padm (kN)]]*ESF[[#This Row],[nE]]*INDEX(grupoEstacas[],ESF[[#This Row],[nE]],MATCH("ε",grupoEstacas[#Headers],0))),"N.S.")</f>
        <v>N.S.</v>
      </c>
      <c r="AD133" s="4">
        <f ca="1">1.05*ESF[[#This Row],[Nsd (kN)]]/(ESF[[#This Row],[nE]]*PI()*ESF[[#This Row],[Ø (cm)]]^2/4)*10</f>
        <v>0.17243984989503308</v>
      </c>
      <c r="AE133" s="4">
        <f ca="1">IF(ESF[[#This Row],[σ (MPa)]]&lt;INDEX(tipoEstaca[],MATCH($D$2,tipoEstaca[TIPO DE ESTACA],0),MATCH("σmáx (MPa)",tipoEstaca[#Headers],0)),0.4%*PI()*ESF[[#This Row],[Ø (cm)]]^2/4,"N.S.")</f>
        <v>6.3617251235193315</v>
      </c>
      <c r="AF133" s="1">
        <f>INDEX(tipoEstaca[],MATCH($D$2,tipoEstaca[TIPO DE ESTACA],0),MATCH(ESF[[#Headers],[Comprimento (m)]],tipoEstaca[#Headers],0))</f>
        <v>2</v>
      </c>
      <c r="AG133" s="5">
        <f ca="1">ESF[[#This Row],[As,mín (cm²)]]/100^2*ESF[[#This Row],[Comprimento (m)]]*7850</f>
        <v>9.9879084439253507</v>
      </c>
      <c r="AH133" s="4">
        <f ca="1">ESF[[#This Row],[nE]]*ESF[[#This Row],[Prof. (m)]]*ESF[[#This Row],[Ap (m²)]]</f>
        <v>21.311779163789762</v>
      </c>
      <c r="AI133" s="1">
        <f ca="1">IF(ESF[[#This Row],[nE]]=1,0,MAX(3*ESF[[#This Row],[Ø (cm)]],60))</f>
        <v>135</v>
      </c>
      <c r="AJ133" s="1">
        <f ca="1">IF(ESF[[#This Row],[nE]]=1,ESF[[#This Row],[Ø (cm)]]+2*10,MAX(1.5*ESF[[#This Row],[Ø (cm)]],ESF[[#This Row],[Ø (cm)]]+15))</f>
        <v>67.5</v>
      </c>
      <c r="AK133" s="1" t="str">
        <f ca="1">alturaUtil(ESF[[#This Row],[nE]],ESF[[#This Row],[Ø (cm)]],ESF[[#This Row],[e (cm)]],ESF[[#This Row],[ap,eq (cm)]])</f>
        <v>N.S.</v>
      </c>
      <c r="AL133" s="1" t="str">
        <f ca="1">IFERROR(ESF[[#This Row],[d (cm)]]+arredondarParaCimaMultiplo5cm(MAX(5,SQRT(PI())/2*ESF[[#This Row],[Ø (cm)]]/5)),"N.S.")</f>
        <v>N.S.</v>
      </c>
      <c r="AM133" s="5" t="str">
        <f ca="1">alpha(ESF[[#This Row],[nE]],ESF[[#This Row],[d (cm)]],ESF[[#This Row],[e (cm)]],ESF[[#This Row],[ap,eq (cm)]])</f>
        <v>N.S.</v>
      </c>
      <c r="AN133" s="35" t="str">
        <f ca="1">IFERROR(ESF[[#This Row],[Nsd (kN)]]/(ESF[[#This Row],[Ap (cm²)]]*SIN(ESF[[#This Row],[α]])^2),"N.S.")</f>
        <v>N.S.</v>
      </c>
      <c r="AO133" s="35" t="str">
        <f ca="1">IFERROR(ESF[[#This Row],[Nsd (kN)]]/(ESF[[#This Row],[nE]]*PI()*ESF[[#This Row],[Ø (cm)]]^2/4*SIN(ESF[[#This Row],[α]])^2),"N.S.")</f>
        <v>N.S.</v>
      </c>
      <c r="AP133" s="4" t="str">
        <f ca="1">IFERROR(INDEX(grupoEstacas[],ESF[[#This Row],[nE]],MATCH("coef. Blévot",grupoEstacas[#Headers],0)),"N.S.")</f>
        <v>N.S.</v>
      </c>
      <c r="AQ133" s="35" t="str">
        <f ca="1">IFERROR(ESF[[#This Row],[coef. Blévot]]*0.9*INDEX(tipoEstaca[],MATCH($D$2,tipoEstaca[TIPO DE ESTACA],0),MATCH("fcd (kN/cm²)",tipoEstaca[#Headers],0)),"N.S.")</f>
        <v>N.S.</v>
      </c>
      <c r="AR133" s="1" t="str">
        <f ca="1">IF(AND(ESF[[#This Row],[cd,b,pil (kN/cm²)]]&lt;=ESF[[#This Row],[cd,b,lim (kN/cm²)]],ESF[[#This Row],[cd,b,est (kN/cm²)]]&lt;=ESF[[#This Row],[cd,b,lim (kN/cm²)]]),"OK","ERRO")</f>
        <v>OK</v>
      </c>
      <c r="AS133" s="4" t="str">
        <f ca="1">As_lado(ESF[[#This Row],[nE]],ESF[[#This Row],[Nsd (kN)]],ESF[[#This Row],[d (cm)]],ESF[[#This Row],[e (cm)]],ESF[[#This Row],[ap,eq (cm)]])</f>
        <v>N.S.</v>
      </c>
      <c r="AT133" s="4" t="str">
        <f ca="1">IF(ESF[[#This Row],[nE]]=1,ESF[[#This Row],[As,lado (cm²)]],IF(ESF[[#This Row],[nE]]=2,0.075*2*ESF[a (cm)],"N.A."))</f>
        <v>N.A.</v>
      </c>
      <c r="AU133" s="4" t="str">
        <f ca="1">IFERROR(IF(ESF[[#This Row],[nE]]=1,"N.A.",0.2*ESF[[#This Row],[As,lado (cm²)]]),"N.S.")</f>
        <v>N.S.</v>
      </c>
      <c r="AV133" s="4" t="str">
        <f ca="1">As_malha(ESF[[#This Row],[nE]],ESF[[#This Row],[As,lado (cm²)]],ESF[[#This Row],[Nsd (kN)]])</f>
        <v>N.S.</v>
      </c>
      <c r="AW133" s="4" t="str">
        <f ca="1">As_susp_tot(ESF[[#This Row],[nE]],ESF[[#This Row],[Nsd (kN)]])</f>
        <v>N.S.</v>
      </c>
      <c r="AX133" s="4" t="str">
        <f ca="1">Asp_face(ESF[[#This Row],[nE]],ESF[[#This Row],[As,lado (cm²)]])</f>
        <v>N.S.</v>
      </c>
      <c r="AY133" s="5" t="str">
        <f ca="1">acoBloco(ESF[[#This Row],[nE]],ESF[[#This Row],[e (cm)]],ESF[[#This Row],[a (cm)]],ESF[[#This Row],[h (cm)]],ESF[[#This Row],[As,lado (cm²)]],ESF[[#This Row],[Asp e Asw (cm²/m)]],ESF[[#This Row],[As,sup (cm²)]],ESF[[#This Row],[As,malha (cm²)]],ESF[[#This Row],[As,susp,tot (cm²)]],ESF[[#This Row],[Asp,face (cm²)]])</f>
        <v>N.S.</v>
      </c>
      <c r="AZ133" s="4" t="str">
        <f ca="1">concretoBloco(ESF[[#This Row],[nE]],ESF[[#This Row],[e (cm)]],ESF[[#This Row],[a (cm)]],ESF[[#This Row],[h (cm)]])</f>
        <v>N.S.</v>
      </c>
      <c r="BA133" s="5">
        <f ca="1">SUM(ESF[[#This Row],[Aço Est (kg)]],ESF[[#This Row],[Aço Bloco (kg)]])</f>
        <v>9.9879084439253507</v>
      </c>
      <c r="BB133" s="4">
        <f>INDEX(composicoes[],MATCH(95580,composicoes[CÓDIGO],0),MATCH("CUSTO TOTAL",composicoes[#Headers],0))</f>
        <v>10.46</v>
      </c>
      <c r="BC133" s="4">
        <f ca="1">SUM(ESF[[#This Row],[Conc Est (m³)]],ESF[[#This Row],[Conc Bloco (m³)]])</f>
        <v>21.311779163789762</v>
      </c>
      <c r="BD133" s="4">
        <f>INDEX(composicoes[],MATCH(94966,composicoes[CÓDIGO],0),MATCH("CUSTO TOTAL",composicoes[#Headers],0))</f>
        <v>439.52</v>
      </c>
      <c r="BE133" s="38">
        <f ca="1">ESF[[#This Row],[Aço (kg)]]*ESF[[#This Row],[Aço (R$/kg)]]+ESF[[#This Row],[Conc (m³)]]*ESF[[#This Row],[Conc (R$/m³)]]</f>
        <v>9471.4267003923342</v>
      </c>
      <c r="BF133" s="4" t="str">
        <f ca="1">IF(COUNTIF(ESF[#This Row],"N.S.")&gt;0,"lim.","OK")</f>
        <v>lim.</v>
      </c>
      <c r="BG133" s="4" t="str">
        <f>IF(ESF[[#This Row],[Prof. (m)]]&lt;3,"lim.","OK")</f>
        <v>lim.</v>
      </c>
      <c r="BH133" s="4" t="str">
        <f>IF(ESF[[#This Row],[Prof. (m)]]&gt;=8*ESF[[#This Row],[Ø (cm)]]/100,"OK","lim.")</f>
        <v>lim.</v>
      </c>
      <c r="BI133" s="4" t="str">
        <f>IF(AND(SPT!$F$3&lt;&gt;"",ESF[[#This Row],[Prof. (m)]]&gt;=SPT!$F$3),"lim.","OK")</f>
        <v>OK</v>
      </c>
      <c r="BJ133" s="4" t="str">
        <f>IF(COUNTIFS(ESF[Solo],"Areia",ESF[Prof. (m)],"&lt;="&amp;ESF[[#This Row],[Prof. (m)]])&gt;=1,"lim.","OK")</f>
        <v>OK</v>
      </c>
      <c r="BK133" s="4" t="str">
        <f ca="1">IF(ESF[[#This Row],[Verif. Biela]]="OK","OK","lim.")</f>
        <v>OK</v>
      </c>
      <c r="BL133" s="4" t="str">
        <f ca="1">IF(COUNTA(ESF[[#This Row],[Nº Est.]:[Biela comp.]])=COUNTIF(ESF[[#This Row],[Nº Est.]:[Biela comp.]],"OK"),"OK","lim.")</f>
        <v>lim.</v>
      </c>
      <c r="BM133" s="4" t="str">
        <f ca="1">IF(ESF[[#This Row],[Controle]]="OK",ESF[[#This Row],[nE]]&amp;" Ø"&amp;ESF[[#This Row],[Ø (cm)]]&amp;"cm Prof. "&amp;ESF[[#This Row],[Prof. (m)]]&amp;" m","")</f>
        <v/>
      </c>
      <c r="BN133" s="4" t="str">
        <f ca="1">IF(ESF[[#This Row],[idDimensionamento]]="","",ESF[[#This Row],[idPilar]]&amp;ESF[[#This Row],[idDimensionamento]])</f>
        <v/>
      </c>
    </row>
    <row r="134" spans="2:66" x14ac:dyDescent="0.25">
      <c r="B134" s="12">
        <f>ROUNDUP((ROW(ESF[[#This Row],[idDiâmetro]])-ROW(ESF[[#Headers],[idDiâmetro]]))/(COUNT(SPT[Prof. (m)])*COUNT(PILARES[Pilar])),0)</f>
        <v>5</v>
      </c>
      <c r="C134" s="12">
        <f>IF(ESF[[#This Row],[idDiâmetro]]&lt;&gt;B133,1,IF(ESF[[#This Row],[Prof. (m)]]=0,C133+1,C133))</f>
        <v>2</v>
      </c>
      <c r="D134" s="1">
        <f>IFERROR(IF(D133=MAX(SPT[Prof. (m)]),0,D133+1),0)</f>
        <v>3</v>
      </c>
      <c r="E134" s="1">
        <f>INDEX(SPT[],MATCH(ESF[[#This Row],[Prof. (m)]],SPT[Prof. (m)],0),2)</f>
        <v>4</v>
      </c>
      <c r="F134" s="1" t="str">
        <f>INDEX(SPT[],MATCH(ESF[[#This Row],[Prof. (m)]],SPT[Prof. (m)],0),3)</f>
        <v>Areia siltosa</v>
      </c>
      <c r="G134" s="1">
        <f>INDEX(estacas[],ESF[[#This Row],[idDiâmetro]],MATCH($B$2,estacas[#Headers],0))</f>
        <v>45</v>
      </c>
      <c r="H134" s="1">
        <f>INDEX(estacas[],MATCH(ESF[[#This Row],[Ø (cm)]],estacas[Ø ESF (cm)],0),MATCH(ESF[[#Headers],[Pe ESF (kN)]],estacas[#Headers],0))</f>
        <v>810</v>
      </c>
      <c r="I134" s="4">
        <f>INDEX(K_alpha_C[],MATCH(ESF[[#This Row],[Solo]],K_alpha_C[Solo],0),2)</f>
        <v>0.8</v>
      </c>
      <c r="J134" s="5">
        <f>INDEX(K_alpha_C[],MATCH(ESF[[#This Row],[Solo]],K_alpha_C[Solo],0),3)</f>
        <v>2</v>
      </c>
      <c r="K134" s="4">
        <f>INDEX(F1_F2[],MATCH($D$2,F1_F2[Tipo de estaca],0),2)</f>
        <v>3</v>
      </c>
      <c r="L134" s="4">
        <f>INDEX(F1_F2[],MATCH($D$2,F1_F2[Tipo de estaca],0),3)</f>
        <v>6</v>
      </c>
      <c r="M134" s="4">
        <f>PI()*(ESF[[#This Row],[Ø (cm)]]/100)^2/4</f>
        <v>0.15904312808798329</v>
      </c>
      <c r="N134" s="4">
        <f>PI()*ESF[[#This Row],[Ø (cm)]]/100</f>
        <v>1.4137166941154069</v>
      </c>
      <c r="O134" s="4">
        <f>IF(ESF[[#This Row],[Prof. (m)]]=0,0,ESF[[#This Row],[α (%)]]/100*ESF[[#This Row],[K (MPa)]]*1000*ESF[[#This Row],[NSPT]])</f>
        <v>64</v>
      </c>
      <c r="P134" s="4">
        <f>IF(ESF[[#This Row],[Prof. (m)]]=0,0,(ESF[[#This Row],[K (MPa)]]*1000*ESF[[#This Row],[NSPT]]/ESF[[#This Row],[F1]]*ESF[[#This Row],[Ap (m²)]]+ESF[[#This Row],[U (m)]]/ESF[[#This Row],[F2]]*SUMIFS(ESF[(α∙K∙NL∙ΔL)],ESF[Prof. (m)],"&lt;="&amp;ESF[[#This Row],[Prof. (m)]],ESF[idDiâmetro],ESF[[#This Row],[idDiâmetro]],ESF[idPilar],ESF[[#This Row],[idPilar]]))/'DADOS CAP. CARGA'!$D$2)</f>
        <v>99.902646384155432</v>
      </c>
      <c r="Q134" s="12">
        <f>INDEX(C_alpha_beta[],MATCH(ESF[[#This Row],[Solo]],C_alpha_beta[Solo],0),MATCH(ESF[[#Headers],[C (kPa)]],C_alpha_beta[#Headers],0))</f>
        <v>400</v>
      </c>
      <c r="R134" s="4">
        <f>INDEX(C_alpha_beta[],MATCH(ESF[[#This Row],[Solo]],C_alpha_beta[Solo],0),MATCH(ESF[[#Headers],[α ESF]],C_alpha_beta[#Headers],0))</f>
        <v>0.5</v>
      </c>
      <c r="S134" s="4">
        <f>INDEX(C_alpha_beta[],MATCH(ESF[[#This Row],[Solo]],C_alpha_beta[Solo],0),MATCH(ESF[[#Headers],[β ESF]],C_alpha_beta[#Headers],0))</f>
        <v>0.5</v>
      </c>
      <c r="T134" s="4">
        <f>IF(ESF[[#This Row],[Prof. (m)]]=0,0,10*(ESF[[#This Row],[NSPT]]/3+1))</f>
        <v>23.333333333333329</v>
      </c>
      <c r="U134" s="4">
        <f>(ESF[[#This Row],[α ESF]]*ESF[[#This Row],[C (kPa)]]*ESF[[#This Row],[NSPT]]*ESF[[#This Row],[Ap (m²)]])/'DADOS CAP. CARGA'!$Q$2+(ESF[[#This Row],[β ESF]]*SUMIFS(ESF[10∙(NL/3+1)],ESF[Prof. (m)],"&lt;="&amp;ESF[[#This Row],[Prof. (m)]],ESF[idDiâmetro],ESF[[#This Row],[idDiâmetro]],ESF[idPilar],ESF[[#This Row],[idPilar]])*ESF[[#This Row],[U (m)]])/'DADOS CAP. CARGA'!$S$2</f>
        <v>51.836278784231581</v>
      </c>
      <c r="V134" s="4">
        <f>IF(SPT!$M$5=1,MIN(ESF[[#This Row],[Pe ESF (kN)]],ESF[[#This Row],[R_AV (kN)]]),IF(SPT!$M$5=2,MIN(ESF[[#This Row],[Pe ESF (kN)]],ESF[[#This Row],[R_DC (kN)]]),MIN(ESF[[#This Row],[Pe ESF (kN)]],ESF[[#This Row],[R_AV (kN)]],ESF[[#This Row],[R_DC (kN)]])))</f>
        <v>51.836278784231581</v>
      </c>
      <c r="W134" s="4">
        <f>INDEX(PILARES[],ESF[[#This Row],[idPilar]],MATCH("Carga (kN)",PILARES[#Headers],0))*1.4</f>
        <v>1750</v>
      </c>
      <c r="X134" s="12">
        <f>INDEX(PILARES[],ESF[[#This Row],[idPilar]],MATCH(ESF[[#Headers],[ap (cm)]],PILARES[#Headers],0))</f>
        <v>50</v>
      </c>
      <c r="Y134" s="12">
        <f>INDEX(PILARES[],ESF[[#This Row],[idPilar]],MATCH(ESF[[#Headers],[bp (cm)]],PILARES[#Headers],0))</f>
        <v>40</v>
      </c>
      <c r="Z134" s="4">
        <f>SQRT(ESF[[#This Row],[ap (cm)]]*ESF[[#This Row],[bp (cm)]])</f>
        <v>44.721359549995796</v>
      </c>
      <c r="AA134" s="12">
        <f>ESF[[#This Row],[ap (cm)]]*ESF[[#This Row],[bp (cm)]]</f>
        <v>2000</v>
      </c>
      <c r="AB134" s="12">
        <f ca="1">IF(ESF[[#This Row],[Padm∙ε (kN)]]&gt;=ESF[[#This Row],[Padm (kN)]],ROUNDUP(1.05*ESF[[#This Row],[Nsd (kN)]]/ESF[[#This Row],[Padm (kN)]],0),ROUNDUP(1.05*ESF[[#This Row],[Nsd (kN)]]/ESF[[#This Row],[Padm (kN)]],0)+1)</f>
        <v>36</v>
      </c>
      <c r="AC134" s="4" t="str">
        <f ca="1">IFERROR(IF(ESF[[#This Row],[nE]]=1,ESF[[#This Row],[Padm (kN)]],ESF[[#This Row],[Padm (kN)]]*ESF[[#This Row],[nE]]*INDEX(grupoEstacas[],ESF[[#This Row],[nE]],MATCH("ε",grupoEstacas[#Headers],0))),"N.S.")</f>
        <v>N.S.</v>
      </c>
      <c r="AD134" s="4">
        <f ca="1">1.05*ESF[[#This Row],[Nsd (kN)]]/(ESF[[#This Row],[nE]]*PI()*ESF[[#This Row],[Ø (cm)]]^2/4)*10</f>
        <v>0.32092972063797826</v>
      </c>
      <c r="AE134" s="4">
        <f ca="1">IF(ESF[[#This Row],[σ (MPa)]]&lt;INDEX(tipoEstaca[],MATCH($D$2,tipoEstaca[TIPO DE ESTACA],0),MATCH("σmáx (MPa)",tipoEstaca[#Headers],0)),0.4%*PI()*ESF[[#This Row],[Ø (cm)]]^2/4,"N.S.")</f>
        <v>6.3617251235193315</v>
      </c>
      <c r="AF134" s="1">
        <f>INDEX(tipoEstaca[],MATCH($D$2,tipoEstaca[TIPO DE ESTACA],0),MATCH(ESF[[#Headers],[Comprimento (m)]],tipoEstaca[#Headers],0))</f>
        <v>2</v>
      </c>
      <c r="AG134" s="5">
        <f ca="1">ESF[[#This Row],[As,mín (cm²)]]/100^2*ESF[[#This Row],[Comprimento (m)]]*7850</f>
        <v>9.9879084439253507</v>
      </c>
      <c r="AH134" s="4">
        <f ca="1">ESF[[#This Row],[nE]]*ESF[[#This Row],[Prof. (m)]]*ESF[[#This Row],[Ap (m²)]]</f>
        <v>17.176657833502194</v>
      </c>
      <c r="AI134" s="1">
        <f ca="1">IF(ESF[[#This Row],[nE]]=1,0,MAX(3*ESF[[#This Row],[Ø (cm)]],60))</f>
        <v>135</v>
      </c>
      <c r="AJ134" s="1">
        <f ca="1">IF(ESF[[#This Row],[nE]]=1,ESF[[#This Row],[Ø (cm)]]+2*10,MAX(1.5*ESF[[#This Row],[Ø (cm)]],ESF[[#This Row],[Ø (cm)]]+15))</f>
        <v>67.5</v>
      </c>
      <c r="AK134" s="1" t="str">
        <f ca="1">alturaUtil(ESF[[#This Row],[nE]],ESF[[#This Row],[Ø (cm)]],ESF[[#This Row],[e (cm)]],ESF[[#This Row],[ap,eq (cm)]])</f>
        <v>N.S.</v>
      </c>
      <c r="AL134" s="1" t="str">
        <f ca="1">IFERROR(ESF[[#This Row],[d (cm)]]+arredondarParaCimaMultiplo5cm(MAX(5,SQRT(PI())/2*ESF[[#This Row],[Ø (cm)]]/5)),"N.S.")</f>
        <v>N.S.</v>
      </c>
      <c r="AM134" s="5" t="str">
        <f ca="1">alpha(ESF[[#This Row],[nE]],ESF[[#This Row],[d (cm)]],ESF[[#This Row],[e (cm)]],ESF[[#This Row],[ap,eq (cm)]])</f>
        <v>N.S.</v>
      </c>
      <c r="AN134" s="35" t="str">
        <f ca="1">IFERROR(ESF[[#This Row],[Nsd (kN)]]/(ESF[[#This Row],[Ap (cm²)]]*SIN(ESF[[#This Row],[α]])^2),"N.S.")</f>
        <v>N.S.</v>
      </c>
      <c r="AO134" s="35" t="str">
        <f ca="1">IFERROR(ESF[[#This Row],[Nsd (kN)]]/(ESF[[#This Row],[nE]]*PI()*ESF[[#This Row],[Ø (cm)]]^2/4*SIN(ESF[[#This Row],[α]])^2),"N.S.")</f>
        <v>N.S.</v>
      </c>
      <c r="AP134" s="4" t="str">
        <f ca="1">IFERROR(INDEX(grupoEstacas[],ESF[[#This Row],[nE]],MATCH("coef. Blévot",grupoEstacas[#Headers],0)),"N.S.")</f>
        <v>N.S.</v>
      </c>
      <c r="AQ134" s="35" t="str">
        <f ca="1">IFERROR(ESF[[#This Row],[coef. Blévot]]*0.9*INDEX(tipoEstaca[],MATCH($D$2,tipoEstaca[TIPO DE ESTACA],0),MATCH("fcd (kN/cm²)",tipoEstaca[#Headers],0)),"N.S.")</f>
        <v>N.S.</v>
      </c>
      <c r="AR134" s="1" t="str">
        <f ca="1">IF(AND(ESF[[#This Row],[cd,b,pil (kN/cm²)]]&lt;=ESF[[#This Row],[cd,b,lim (kN/cm²)]],ESF[[#This Row],[cd,b,est (kN/cm²)]]&lt;=ESF[[#This Row],[cd,b,lim (kN/cm²)]]),"OK","ERRO")</f>
        <v>OK</v>
      </c>
      <c r="AS134" s="4" t="str">
        <f ca="1">As_lado(ESF[[#This Row],[nE]],ESF[[#This Row],[Nsd (kN)]],ESF[[#This Row],[d (cm)]],ESF[[#This Row],[e (cm)]],ESF[[#This Row],[ap,eq (cm)]])</f>
        <v>N.S.</v>
      </c>
      <c r="AT134" s="4" t="str">
        <f ca="1">IF(ESF[[#This Row],[nE]]=1,ESF[[#This Row],[As,lado (cm²)]],IF(ESF[[#This Row],[nE]]=2,0.075*2*ESF[a (cm)],"N.A."))</f>
        <v>N.A.</v>
      </c>
      <c r="AU134" s="4" t="str">
        <f ca="1">IFERROR(IF(ESF[[#This Row],[nE]]=1,"N.A.",0.2*ESF[[#This Row],[As,lado (cm²)]]),"N.S.")</f>
        <v>N.S.</v>
      </c>
      <c r="AV134" s="4" t="str">
        <f ca="1">As_malha(ESF[[#This Row],[nE]],ESF[[#This Row],[As,lado (cm²)]],ESF[[#This Row],[Nsd (kN)]])</f>
        <v>N.S.</v>
      </c>
      <c r="AW134" s="4" t="str">
        <f ca="1">As_susp_tot(ESF[[#This Row],[nE]],ESF[[#This Row],[Nsd (kN)]])</f>
        <v>N.S.</v>
      </c>
      <c r="AX134" s="4" t="str">
        <f ca="1">Asp_face(ESF[[#This Row],[nE]],ESF[[#This Row],[As,lado (cm²)]])</f>
        <v>N.S.</v>
      </c>
      <c r="AY134" s="5" t="str">
        <f ca="1">acoBloco(ESF[[#This Row],[nE]],ESF[[#This Row],[e (cm)]],ESF[[#This Row],[a (cm)]],ESF[[#This Row],[h (cm)]],ESF[[#This Row],[As,lado (cm²)]],ESF[[#This Row],[Asp e Asw (cm²/m)]],ESF[[#This Row],[As,sup (cm²)]],ESF[[#This Row],[As,malha (cm²)]],ESF[[#This Row],[As,susp,tot (cm²)]],ESF[[#This Row],[Asp,face (cm²)]])</f>
        <v>N.S.</v>
      </c>
      <c r="AZ134" s="4" t="str">
        <f ca="1">concretoBloco(ESF[[#This Row],[nE]],ESF[[#This Row],[e (cm)]],ESF[[#This Row],[a (cm)]],ESF[[#This Row],[h (cm)]])</f>
        <v>N.S.</v>
      </c>
      <c r="BA134" s="5">
        <f ca="1">SUM(ESF[[#This Row],[Aço Est (kg)]],ESF[[#This Row],[Aço Bloco (kg)]])</f>
        <v>9.9879084439253507</v>
      </c>
      <c r="BB134" s="4">
        <f>INDEX(composicoes[],MATCH(95580,composicoes[CÓDIGO],0),MATCH("CUSTO TOTAL",composicoes[#Headers],0))</f>
        <v>10.46</v>
      </c>
      <c r="BC134" s="4">
        <f ca="1">SUM(ESF[[#This Row],[Conc Est (m³)]],ESF[[#This Row],[Conc Bloco (m³)]])</f>
        <v>17.176657833502194</v>
      </c>
      <c r="BD134" s="4">
        <f>INDEX(composicoes[],MATCH(94966,composicoes[CÓDIGO],0),MATCH("CUSTO TOTAL",composicoes[#Headers],0))</f>
        <v>439.52</v>
      </c>
      <c r="BE134" s="38">
        <f ca="1">ESF[[#This Row],[Aço (kg)]]*ESF[[#This Row],[Aço (R$/kg)]]+ESF[[#This Row],[Conc (m³)]]*ESF[[#This Row],[Conc (R$/m³)]]</f>
        <v>7653.9581733043433</v>
      </c>
      <c r="BF134" s="4" t="str">
        <f ca="1">IF(COUNTIF(ESF[#This Row],"N.S.")&gt;0,"lim.","OK")</f>
        <v>lim.</v>
      </c>
      <c r="BG134" s="4" t="str">
        <f>IF(ESF[[#This Row],[Prof. (m)]]&lt;3,"lim.","OK")</f>
        <v>OK</v>
      </c>
      <c r="BH134" s="4" t="str">
        <f>IF(ESF[[#This Row],[Prof. (m)]]&gt;=8*ESF[[#This Row],[Ø (cm)]]/100,"OK","lim.")</f>
        <v>lim.</v>
      </c>
      <c r="BI134" s="4" t="str">
        <f>IF(AND(SPT!$F$3&lt;&gt;"",ESF[[#This Row],[Prof. (m)]]&gt;=SPT!$F$3),"lim.","OK")</f>
        <v>OK</v>
      </c>
      <c r="BJ134" s="4" t="str">
        <f>IF(COUNTIFS(ESF[Solo],"Areia",ESF[Prof. (m)],"&lt;="&amp;ESF[[#This Row],[Prof. (m)]])&gt;=1,"lim.","OK")</f>
        <v>OK</v>
      </c>
      <c r="BK134" s="4" t="str">
        <f ca="1">IF(ESF[[#This Row],[Verif. Biela]]="OK","OK","lim.")</f>
        <v>OK</v>
      </c>
      <c r="BL134" s="4" t="str">
        <f ca="1">IF(COUNTA(ESF[[#This Row],[Nº Est.]:[Biela comp.]])=COUNTIF(ESF[[#This Row],[Nº Est.]:[Biela comp.]],"OK"),"OK","lim.")</f>
        <v>lim.</v>
      </c>
      <c r="BM134" s="4" t="str">
        <f ca="1">IF(ESF[[#This Row],[Controle]]="OK",ESF[[#This Row],[nE]]&amp;" Ø"&amp;ESF[[#This Row],[Ø (cm)]]&amp;"cm Prof. "&amp;ESF[[#This Row],[Prof. (m)]]&amp;" m","")</f>
        <v/>
      </c>
      <c r="BN134" s="4" t="str">
        <f ca="1">IF(ESF[[#This Row],[idDimensionamento]]="","",ESF[[#This Row],[idPilar]]&amp;ESF[[#This Row],[idDimensionamento]])</f>
        <v/>
      </c>
    </row>
    <row r="135" spans="2:66" x14ac:dyDescent="0.25">
      <c r="B135" s="12">
        <f>ROUNDUP((ROW(ESF[[#This Row],[idDiâmetro]])-ROW(ESF[[#Headers],[idDiâmetro]]))/(COUNT(SPT[Prof. (m)])*COUNT(PILARES[Pilar])),0)</f>
        <v>5</v>
      </c>
      <c r="C135" s="12">
        <f>IF(ESF[[#This Row],[idDiâmetro]]&lt;&gt;B134,1,IF(ESF[[#This Row],[Prof. (m)]]=0,C134+1,C134))</f>
        <v>2</v>
      </c>
      <c r="D135" s="1">
        <f>IFERROR(IF(D134=MAX(SPT[Prof. (m)]),0,D134+1),0)</f>
        <v>4</v>
      </c>
      <c r="E135" s="1">
        <f>INDEX(SPT[],MATCH(ESF[[#This Row],[Prof. (m)]],SPT[Prof. (m)],0),2)</f>
        <v>8</v>
      </c>
      <c r="F135" s="1" t="str">
        <f>INDEX(SPT[],MATCH(ESF[[#This Row],[Prof. (m)]],SPT[Prof. (m)],0),3)</f>
        <v>Areia siltosa</v>
      </c>
      <c r="G135" s="1">
        <f>INDEX(estacas[],ESF[[#This Row],[idDiâmetro]],MATCH($B$2,estacas[#Headers],0))</f>
        <v>45</v>
      </c>
      <c r="H135" s="1">
        <f>INDEX(estacas[],MATCH(ESF[[#This Row],[Ø (cm)]],estacas[Ø ESF (cm)],0),MATCH(ESF[[#Headers],[Pe ESF (kN)]],estacas[#Headers],0))</f>
        <v>810</v>
      </c>
      <c r="I135" s="4">
        <f>INDEX(K_alpha_C[],MATCH(ESF[[#This Row],[Solo]],K_alpha_C[Solo],0),2)</f>
        <v>0.8</v>
      </c>
      <c r="J135" s="5">
        <f>INDEX(K_alpha_C[],MATCH(ESF[[#This Row],[Solo]],K_alpha_C[Solo],0),3)</f>
        <v>2</v>
      </c>
      <c r="K135" s="4">
        <f>INDEX(F1_F2[],MATCH($D$2,F1_F2[Tipo de estaca],0),2)</f>
        <v>3</v>
      </c>
      <c r="L135" s="4">
        <f>INDEX(F1_F2[],MATCH($D$2,F1_F2[Tipo de estaca],0),3)</f>
        <v>6</v>
      </c>
      <c r="M135" s="4">
        <f>PI()*(ESF[[#This Row],[Ø (cm)]]/100)^2/4</f>
        <v>0.15904312808798329</v>
      </c>
      <c r="N135" s="4">
        <f>PI()*ESF[[#This Row],[Ø (cm)]]/100</f>
        <v>1.4137166941154069</v>
      </c>
      <c r="O135" s="4">
        <f>IF(ESF[[#This Row],[Prof. (m)]]=0,0,ESF[[#This Row],[α (%)]]/100*ESF[[#This Row],[K (MPa)]]*1000*ESF[[#This Row],[NSPT]])</f>
        <v>128</v>
      </c>
      <c r="P135" s="4">
        <f>IF(ESF[[#This Row],[Prof. (m)]]=0,0,(ESF[[#This Row],[K (MPa)]]*1000*ESF[[#This Row],[NSPT]]/ESF[[#This Row],[F1]]*ESF[[#This Row],[Ap (m²)]]+ESF[[#This Row],[U (m)]]/ESF[[#This Row],[F2]]*SUMIFS(ESF[(α∙K∙NL∙ΔL)],ESF[Prof. (m)],"&lt;="&amp;ESF[[#This Row],[Prof. (m)]],ESF[idDiâmetro],ESF[[#This Row],[idDiâmetro]],ESF[idPilar],ESF[[#This Row],[idPilar]]))/'DADOS CAP. CARGA'!$D$2)</f>
        <v>199.80529276831086</v>
      </c>
      <c r="Q135" s="12">
        <f>INDEX(C_alpha_beta[],MATCH(ESF[[#This Row],[Solo]],C_alpha_beta[Solo],0),MATCH(ESF[[#Headers],[C (kPa)]],C_alpha_beta[#Headers],0))</f>
        <v>400</v>
      </c>
      <c r="R135" s="4">
        <f>INDEX(C_alpha_beta[],MATCH(ESF[[#This Row],[Solo]],C_alpha_beta[Solo],0),MATCH(ESF[[#Headers],[α ESF]],C_alpha_beta[#Headers],0))</f>
        <v>0.5</v>
      </c>
      <c r="S135" s="4">
        <f>INDEX(C_alpha_beta[],MATCH(ESF[[#This Row],[Solo]],C_alpha_beta[Solo],0),MATCH(ESF[[#Headers],[β ESF]],C_alpha_beta[#Headers],0))</f>
        <v>0.5</v>
      </c>
      <c r="T135" s="4">
        <f>IF(ESF[[#This Row],[Prof. (m)]]=0,0,10*(ESF[[#This Row],[NSPT]]/3+1))</f>
        <v>36.666666666666664</v>
      </c>
      <c r="U135" s="4">
        <f>(ESF[[#This Row],[α ESF]]*ESF[[#This Row],[C (kPa)]]*ESF[[#This Row],[NSPT]]*ESF[[#This Row],[Ap (m²)]])/'DADOS CAP. CARGA'!$Q$2+(ESF[[#This Row],[β ESF]]*SUMIFS(ESF[10∙(NL/3+1)],ESF[Prof. (m)],"&lt;="&amp;ESF[[#This Row],[Prof. (m)]],ESF[idDiâmetro],ESF[[#This Row],[idDiâmetro]],ESF[idPilar],ESF[[#This Row],[idPilar]])*ESF[[#This Row],[U (m)]])/'DADOS CAP. CARGA'!$S$2</f>
        <v>96.603974097886137</v>
      </c>
      <c r="V135" s="4">
        <f>IF(SPT!$M$5=1,MIN(ESF[[#This Row],[Pe ESF (kN)]],ESF[[#This Row],[R_AV (kN)]]),IF(SPT!$M$5=2,MIN(ESF[[#This Row],[Pe ESF (kN)]],ESF[[#This Row],[R_DC (kN)]]),MIN(ESF[[#This Row],[Pe ESF (kN)]],ESF[[#This Row],[R_AV (kN)]],ESF[[#This Row],[R_DC (kN)]])))</f>
        <v>96.603974097886137</v>
      </c>
      <c r="W135" s="4">
        <f>INDEX(PILARES[],ESF[[#This Row],[idPilar]],MATCH("Carga (kN)",PILARES[#Headers],0))*1.4</f>
        <v>1750</v>
      </c>
      <c r="X135" s="12">
        <f>INDEX(PILARES[],ESF[[#This Row],[idPilar]],MATCH(ESF[[#Headers],[ap (cm)]],PILARES[#Headers],0))</f>
        <v>50</v>
      </c>
      <c r="Y135" s="12">
        <f>INDEX(PILARES[],ESF[[#This Row],[idPilar]],MATCH(ESF[[#Headers],[bp (cm)]],PILARES[#Headers],0))</f>
        <v>40</v>
      </c>
      <c r="Z135" s="4">
        <f>SQRT(ESF[[#This Row],[ap (cm)]]*ESF[[#This Row],[bp (cm)]])</f>
        <v>44.721359549995796</v>
      </c>
      <c r="AA135" s="12">
        <f>ESF[[#This Row],[ap (cm)]]*ESF[[#This Row],[bp (cm)]]</f>
        <v>2000</v>
      </c>
      <c r="AB135" s="12">
        <f ca="1">IF(ESF[[#This Row],[Padm∙ε (kN)]]&gt;=ESF[[#This Row],[Padm (kN)]],ROUNDUP(1.05*ESF[[#This Row],[Nsd (kN)]]/ESF[[#This Row],[Padm (kN)]],0),ROUNDUP(1.05*ESF[[#This Row],[Nsd (kN)]]/ESF[[#This Row],[Padm (kN)]],0)+1)</f>
        <v>20</v>
      </c>
      <c r="AC135" s="4" t="str">
        <f ca="1">IFERROR(IF(ESF[[#This Row],[nE]]=1,ESF[[#This Row],[Padm (kN)]],ESF[[#This Row],[Padm (kN)]]*ESF[[#This Row],[nE]]*INDEX(grupoEstacas[],ESF[[#This Row],[nE]],MATCH("ε",grupoEstacas[#Headers],0))),"N.S.")</f>
        <v>N.S.</v>
      </c>
      <c r="AD135" s="4">
        <f ca="1">1.05*ESF[[#This Row],[Nsd (kN)]]/(ESF[[#This Row],[nE]]*PI()*ESF[[#This Row],[Ø (cm)]]^2/4)*10</f>
        <v>0.57767349714836091</v>
      </c>
      <c r="AE135" s="4">
        <f ca="1">IF(ESF[[#This Row],[σ (MPa)]]&lt;INDEX(tipoEstaca[],MATCH($D$2,tipoEstaca[TIPO DE ESTACA],0),MATCH("σmáx (MPa)",tipoEstaca[#Headers],0)),0.4%*PI()*ESF[[#This Row],[Ø (cm)]]^2/4,"N.S.")</f>
        <v>6.3617251235193315</v>
      </c>
      <c r="AF135" s="1">
        <f>INDEX(tipoEstaca[],MATCH($D$2,tipoEstaca[TIPO DE ESTACA],0),MATCH(ESF[[#Headers],[Comprimento (m)]],tipoEstaca[#Headers],0))</f>
        <v>2</v>
      </c>
      <c r="AG135" s="5">
        <f ca="1">ESF[[#This Row],[As,mín (cm²)]]/100^2*ESF[[#This Row],[Comprimento (m)]]*7850</f>
        <v>9.9879084439253507</v>
      </c>
      <c r="AH135" s="4">
        <f ca="1">ESF[[#This Row],[nE]]*ESF[[#This Row],[Prof. (m)]]*ESF[[#This Row],[Ap (m²)]]</f>
        <v>12.723450247038663</v>
      </c>
      <c r="AI135" s="1">
        <f ca="1">IF(ESF[[#This Row],[nE]]=1,0,MAX(3*ESF[[#This Row],[Ø (cm)]],60))</f>
        <v>135</v>
      </c>
      <c r="AJ135" s="1">
        <f ca="1">IF(ESF[[#This Row],[nE]]=1,ESF[[#This Row],[Ø (cm)]]+2*10,MAX(1.5*ESF[[#This Row],[Ø (cm)]],ESF[[#This Row],[Ø (cm)]]+15))</f>
        <v>67.5</v>
      </c>
      <c r="AK135" s="1" t="str">
        <f ca="1">alturaUtil(ESF[[#This Row],[nE]],ESF[[#This Row],[Ø (cm)]],ESF[[#This Row],[e (cm)]],ESF[[#This Row],[ap,eq (cm)]])</f>
        <v>N.S.</v>
      </c>
      <c r="AL135" s="1" t="str">
        <f ca="1">IFERROR(ESF[[#This Row],[d (cm)]]+arredondarParaCimaMultiplo5cm(MAX(5,SQRT(PI())/2*ESF[[#This Row],[Ø (cm)]]/5)),"N.S.")</f>
        <v>N.S.</v>
      </c>
      <c r="AM135" s="5" t="str">
        <f ca="1">alpha(ESF[[#This Row],[nE]],ESF[[#This Row],[d (cm)]],ESF[[#This Row],[e (cm)]],ESF[[#This Row],[ap,eq (cm)]])</f>
        <v>N.S.</v>
      </c>
      <c r="AN135" s="35" t="str">
        <f ca="1">IFERROR(ESF[[#This Row],[Nsd (kN)]]/(ESF[[#This Row],[Ap (cm²)]]*SIN(ESF[[#This Row],[α]])^2),"N.S.")</f>
        <v>N.S.</v>
      </c>
      <c r="AO135" s="35" t="str">
        <f ca="1">IFERROR(ESF[[#This Row],[Nsd (kN)]]/(ESF[[#This Row],[nE]]*PI()*ESF[[#This Row],[Ø (cm)]]^2/4*SIN(ESF[[#This Row],[α]])^2),"N.S.")</f>
        <v>N.S.</v>
      </c>
      <c r="AP135" s="4" t="str">
        <f ca="1">IFERROR(INDEX(grupoEstacas[],ESF[[#This Row],[nE]],MATCH("coef. Blévot",grupoEstacas[#Headers],0)),"N.S.")</f>
        <v>N.S.</v>
      </c>
      <c r="AQ135" s="35" t="str">
        <f ca="1">IFERROR(ESF[[#This Row],[coef. Blévot]]*0.9*INDEX(tipoEstaca[],MATCH($D$2,tipoEstaca[TIPO DE ESTACA],0),MATCH("fcd (kN/cm²)",tipoEstaca[#Headers],0)),"N.S.")</f>
        <v>N.S.</v>
      </c>
      <c r="AR135" s="1" t="str">
        <f ca="1">IF(AND(ESF[[#This Row],[cd,b,pil (kN/cm²)]]&lt;=ESF[[#This Row],[cd,b,lim (kN/cm²)]],ESF[[#This Row],[cd,b,est (kN/cm²)]]&lt;=ESF[[#This Row],[cd,b,lim (kN/cm²)]]),"OK","ERRO")</f>
        <v>OK</v>
      </c>
      <c r="AS135" s="4" t="str">
        <f ca="1">As_lado(ESF[[#This Row],[nE]],ESF[[#This Row],[Nsd (kN)]],ESF[[#This Row],[d (cm)]],ESF[[#This Row],[e (cm)]],ESF[[#This Row],[ap,eq (cm)]])</f>
        <v>N.S.</v>
      </c>
      <c r="AT135" s="4" t="str">
        <f ca="1">IF(ESF[[#This Row],[nE]]=1,ESF[[#This Row],[As,lado (cm²)]],IF(ESF[[#This Row],[nE]]=2,0.075*2*ESF[a (cm)],"N.A."))</f>
        <v>N.A.</v>
      </c>
      <c r="AU135" s="4" t="str">
        <f ca="1">IFERROR(IF(ESF[[#This Row],[nE]]=1,"N.A.",0.2*ESF[[#This Row],[As,lado (cm²)]]),"N.S.")</f>
        <v>N.S.</v>
      </c>
      <c r="AV135" s="4" t="str">
        <f ca="1">As_malha(ESF[[#This Row],[nE]],ESF[[#This Row],[As,lado (cm²)]],ESF[[#This Row],[Nsd (kN)]])</f>
        <v>N.S.</v>
      </c>
      <c r="AW135" s="4" t="str">
        <f ca="1">As_susp_tot(ESF[[#This Row],[nE]],ESF[[#This Row],[Nsd (kN)]])</f>
        <v>N.S.</v>
      </c>
      <c r="AX135" s="4" t="str">
        <f ca="1">Asp_face(ESF[[#This Row],[nE]],ESF[[#This Row],[As,lado (cm²)]])</f>
        <v>N.S.</v>
      </c>
      <c r="AY135" s="5" t="str">
        <f ca="1">acoBloco(ESF[[#This Row],[nE]],ESF[[#This Row],[e (cm)]],ESF[[#This Row],[a (cm)]],ESF[[#This Row],[h (cm)]],ESF[[#This Row],[As,lado (cm²)]],ESF[[#This Row],[Asp e Asw (cm²/m)]],ESF[[#This Row],[As,sup (cm²)]],ESF[[#This Row],[As,malha (cm²)]],ESF[[#This Row],[As,susp,tot (cm²)]],ESF[[#This Row],[Asp,face (cm²)]])</f>
        <v>N.S.</v>
      </c>
      <c r="AZ135" s="4" t="str">
        <f ca="1">concretoBloco(ESF[[#This Row],[nE]],ESF[[#This Row],[e (cm)]],ESF[[#This Row],[a (cm)]],ESF[[#This Row],[h (cm)]])</f>
        <v>N.S.</v>
      </c>
      <c r="BA135" s="5">
        <f ca="1">SUM(ESF[[#This Row],[Aço Est (kg)]],ESF[[#This Row],[Aço Bloco (kg)]])</f>
        <v>9.9879084439253507</v>
      </c>
      <c r="BB135" s="4">
        <f>INDEX(composicoes[],MATCH(95580,composicoes[CÓDIGO],0),MATCH("CUSTO TOTAL",composicoes[#Headers],0))</f>
        <v>10.46</v>
      </c>
      <c r="BC135" s="4">
        <f ca="1">SUM(ESF[[#This Row],[Conc Est (m³)]],ESF[[#This Row],[Conc Bloco (m³)]])</f>
        <v>12.723450247038663</v>
      </c>
      <c r="BD135" s="4">
        <f>INDEX(composicoes[],MATCH(94966,composicoes[CÓDIGO],0),MATCH("CUSTO TOTAL",composicoes[#Headers],0))</f>
        <v>439.52</v>
      </c>
      <c r="BE135" s="38">
        <f ca="1">ESF[[#This Row],[Aço (kg)]]*ESF[[#This Row],[Aço (R$/kg)]]+ESF[[#This Row],[Conc (m³)]]*ESF[[#This Row],[Conc (R$/m³)]]</f>
        <v>5696.6843749018926</v>
      </c>
      <c r="BF135" s="4" t="str">
        <f ca="1">IF(COUNTIF(ESF[#This Row],"N.S.")&gt;0,"lim.","OK")</f>
        <v>lim.</v>
      </c>
      <c r="BG135" s="4" t="str">
        <f>IF(ESF[[#This Row],[Prof. (m)]]&lt;3,"lim.","OK")</f>
        <v>OK</v>
      </c>
      <c r="BH135" s="4" t="str">
        <f>IF(ESF[[#This Row],[Prof. (m)]]&gt;=8*ESF[[#This Row],[Ø (cm)]]/100,"OK","lim.")</f>
        <v>OK</v>
      </c>
      <c r="BI135" s="4" t="str">
        <f>IF(AND(SPT!$F$3&lt;&gt;"",ESF[[#This Row],[Prof. (m)]]&gt;=SPT!$F$3),"lim.","OK")</f>
        <v>OK</v>
      </c>
      <c r="BJ135" s="4" t="str">
        <f>IF(COUNTIFS(ESF[Solo],"Areia",ESF[Prof. (m)],"&lt;="&amp;ESF[[#This Row],[Prof. (m)]])&gt;=1,"lim.","OK")</f>
        <v>OK</v>
      </c>
      <c r="BK135" s="4" t="str">
        <f ca="1">IF(ESF[[#This Row],[Verif. Biela]]="OK","OK","lim.")</f>
        <v>OK</v>
      </c>
      <c r="BL135" s="4" t="str">
        <f ca="1">IF(COUNTA(ESF[[#This Row],[Nº Est.]:[Biela comp.]])=COUNTIF(ESF[[#This Row],[Nº Est.]:[Biela comp.]],"OK"),"OK","lim.")</f>
        <v>lim.</v>
      </c>
      <c r="BM135" s="4" t="str">
        <f ca="1">IF(ESF[[#This Row],[Controle]]="OK",ESF[[#This Row],[nE]]&amp;" Ø"&amp;ESF[[#This Row],[Ø (cm)]]&amp;"cm Prof. "&amp;ESF[[#This Row],[Prof. (m)]]&amp;" m","")</f>
        <v/>
      </c>
      <c r="BN135" s="4" t="str">
        <f ca="1">IF(ESF[[#This Row],[idDimensionamento]]="","",ESF[[#This Row],[idPilar]]&amp;ESF[[#This Row],[idDimensionamento]])</f>
        <v/>
      </c>
    </row>
    <row r="136" spans="2:66" x14ac:dyDescent="0.25">
      <c r="B136" s="12">
        <f>ROUNDUP((ROW(ESF[[#This Row],[idDiâmetro]])-ROW(ESF[[#Headers],[idDiâmetro]]))/(COUNT(SPT[Prof. (m)])*COUNT(PILARES[Pilar])),0)</f>
        <v>5</v>
      </c>
      <c r="C136" s="12">
        <f>IF(ESF[[#This Row],[idDiâmetro]]&lt;&gt;B135,1,IF(ESF[[#This Row],[Prof. (m)]]=0,C135+1,C135))</f>
        <v>2</v>
      </c>
      <c r="D136" s="1">
        <f>IFERROR(IF(D135=MAX(SPT[Prof. (m)]),0,D135+1),0)</f>
        <v>5</v>
      </c>
      <c r="E136" s="1">
        <f>INDEX(SPT[],MATCH(ESF[[#This Row],[Prof. (m)]],SPT[Prof. (m)],0),2)</f>
        <v>17</v>
      </c>
      <c r="F136" s="1" t="str">
        <f>INDEX(SPT[],MATCH(ESF[[#This Row],[Prof. (m)]],SPT[Prof. (m)],0),3)</f>
        <v>Areia siltosa</v>
      </c>
      <c r="G136" s="1">
        <f>INDEX(estacas[],ESF[[#This Row],[idDiâmetro]],MATCH($B$2,estacas[#Headers],0))</f>
        <v>45</v>
      </c>
      <c r="H136" s="1">
        <f>INDEX(estacas[],MATCH(ESF[[#This Row],[Ø (cm)]],estacas[Ø ESF (cm)],0),MATCH(ESF[[#Headers],[Pe ESF (kN)]],estacas[#Headers],0))</f>
        <v>810</v>
      </c>
      <c r="I136" s="4">
        <f>INDEX(K_alpha_C[],MATCH(ESF[[#This Row],[Solo]],K_alpha_C[Solo],0),2)</f>
        <v>0.8</v>
      </c>
      <c r="J136" s="5">
        <f>INDEX(K_alpha_C[],MATCH(ESF[[#This Row],[Solo]],K_alpha_C[Solo],0),3)</f>
        <v>2</v>
      </c>
      <c r="K136" s="4">
        <f>INDEX(F1_F2[],MATCH($D$2,F1_F2[Tipo de estaca],0),2)</f>
        <v>3</v>
      </c>
      <c r="L136" s="4">
        <f>INDEX(F1_F2[],MATCH($D$2,F1_F2[Tipo de estaca],0),3)</f>
        <v>6</v>
      </c>
      <c r="M136" s="4">
        <f>PI()*(ESF[[#This Row],[Ø (cm)]]/100)^2/4</f>
        <v>0.15904312808798329</v>
      </c>
      <c r="N136" s="4">
        <f>PI()*ESF[[#This Row],[Ø (cm)]]/100</f>
        <v>1.4137166941154069</v>
      </c>
      <c r="O136" s="4">
        <f>IF(ESF[[#This Row],[Prof. (m)]]=0,0,ESF[[#This Row],[α (%)]]/100*ESF[[#This Row],[K (MPa)]]*1000*ESF[[#This Row],[NSPT]])</f>
        <v>272</v>
      </c>
      <c r="P136" s="4">
        <f>IF(ESF[[#This Row],[Prof. (m)]]=0,0,(ESF[[#This Row],[K (MPa)]]*1000*ESF[[#This Row],[NSPT]]/ESF[[#This Row],[F1]]*ESF[[#This Row],[Ap (m²)]]+ESF[[#This Row],[U (m)]]/ESF[[#This Row],[F2]]*SUMIFS(ESF[(α∙K∙NL∙ΔL)],ESF[Prof. (m)],"&lt;="&amp;ESF[[#This Row],[Prof. (m)]],ESF[idDiâmetro],ESF[[#This Row],[idDiâmetro]],ESF[idPilar],ESF[[#This Row],[idPilar]]))/'DADOS CAP. CARGA'!$D$2)</f>
        <v>422.70129154050665</v>
      </c>
      <c r="Q136" s="12">
        <f>INDEX(C_alpha_beta[],MATCH(ESF[[#This Row],[Solo]],C_alpha_beta[Solo],0),MATCH(ESF[[#Headers],[C (kPa)]],C_alpha_beta[#Headers],0))</f>
        <v>400</v>
      </c>
      <c r="R136" s="4">
        <f>INDEX(C_alpha_beta[],MATCH(ESF[[#This Row],[Solo]],C_alpha_beta[Solo],0),MATCH(ESF[[#Headers],[α ESF]],C_alpha_beta[#Headers],0))</f>
        <v>0.5</v>
      </c>
      <c r="S136" s="4">
        <f>INDEX(C_alpha_beta[],MATCH(ESF[[#This Row],[Solo]],C_alpha_beta[Solo],0),MATCH(ESF[[#Headers],[β ESF]],C_alpha_beta[#Headers],0))</f>
        <v>0.5</v>
      </c>
      <c r="T136" s="4">
        <f>IF(ESF[[#This Row],[Prof. (m)]]=0,0,10*(ESF[[#This Row],[NSPT]]/3+1))</f>
        <v>66.666666666666671</v>
      </c>
      <c r="U136" s="4">
        <f>(ESF[[#This Row],[α ESF]]*ESF[[#This Row],[C (kPa)]]*ESF[[#This Row],[NSPT]]*ESF[[#This Row],[Ap (m²)]])/'DADOS CAP. CARGA'!$Q$2+(ESF[[#This Row],[β ESF]]*SUMIFS(ESF[10∙(NL/3+1)],ESF[Prof. (m)],"&lt;="&amp;ESF[[#This Row],[Prof. (m)]],ESF[idDiâmetro],ESF[[#This Row],[idDiâmetro]],ESF[idPilar],ESF[[#This Row],[idPilar]])*ESF[[#This Row],[U (m)]])/'DADOS CAP. CARGA'!$S$2</f>
        <v>191.73532663940207</v>
      </c>
      <c r="V136" s="4">
        <f>IF(SPT!$M$5=1,MIN(ESF[[#This Row],[Pe ESF (kN)]],ESF[[#This Row],[R_AV (kN)]]),IF(SPT!$M$5=2,MIN(ESF[[#This Row],[Pe ESF (kN)]],ESF[[#This Row],[R_DC (kN)]]),MIN(ESF[[#This Row],[Pe ESF (kN)]],ESF[[#This Row],[R_AV (kN)]],ESF[[#This Row],[R_DC (kN)]])))</f>
        <v>191.73532663940207</v>
      </c>
      <c r="W136" s="4">
        <f>INDEX(PILARES[],ESF[[#This Row],[idPilar]],MATCH("Carga (kN)",PILARES[#Headers],0))*1.4</f>
        <v>1750</v>
      </c>
      <c r="X136" s="12">
        <f>INDEX(PILARES[],ESF[[#This Row],[idPilar]],MATCH(ESF[[#Headers],[ap (cm)]],PILARES[#Headers],0))</f>
        <v>50</v>
      </c>
      <c r="Y136" s="12">
        <f>INDEX(PILARES[],ESF[[#This Row],[idPilar]],MATCH(ESF[[#Headers],[bp (cm)]],PILARES[#Headers],0))</f>
        <v>40</v>
      </c>
      <c r="Z136" s="4">
        <f>SQRT(ESF[[#This Row],[ap (cm)]]*ESF[[#This Row],[bp (cm)]])</f>
        <v>44.721359549995796</v>
      </c>
      <c r="AA136" s="12">
        <f>ESF[[#This Row],[ap (cm)]]*ESF[[#This Row],[bp (cm)]]</f>
        <v>2000</v>
      </c>
      <c r="AB136" s="12">
        <f ca="1">IF(ESF[[#This Row],[Padm∙ε (kN)]]&gt;=ESF[[#This Row],[Padm (kN)]],ROUNDUP(1.05*ESF[[#This Row],[Nsd (kN)]]/ESF[[#This Row],[Padm (kN)]],0),ROUNDUP(1.05*ESF[[#This Row],[Nsd (kN)]]/ESF[[#This Row],[Padm (kN)]],0)+1)</f>
        <v>10</v>
      </c>
      <c r="AC136" s="4" t="str">
        <f ca="1">IFERROR(IF(ESF[[#This Row],[nE]]=1,ESF[[#This Row],[Padm (kN)]],ESF[[#This Row],[Padm (kN)]]*ESF[[#This Row],[nE]]*INDEX(grupoEstacas[],ESF[[#This Row],[nE]],MATCH("ε",grupoEstacas[#Headers],0))),"N.S.")</f>
        <v>N.S.</v>
      </c>
      <c r="AD136" s="4">
        <f ca="1">1.05*ESF[[#This Row],[Nsd (kN)]]/(ESF[[#This Row],[nE]]*PI()*ESF[[#This Row],[Ø (cm)]]^2/4)*10</f>
        <v>1.1553469942967218</v>
      </c>
      <c r="AE136" s="4">
        <f ca="1">IF(ESF[[#This Row],[σ (MPa)]]&lt;INDEX(tipoEstaca[],MATCH($D$2,tipoEstaca[TIPO DE ESTACA],0),MATCH("σmáx (MPa)",tipoEstaca[#Headers],0)),0.4%*PI()*ESF[[#This Row],[Ø (cm)]]^2/4,"N.S.")</f>
        <v>6.3617251235193315</v>
      </c>
      <c r="AF136" s="1">
        <f>INDEX(tipoEstaca[],MATCH($D$2,tipoEstaca[TIPO DE ESTACA],0),MATCH(ESF[[#Headers],[Comprimento (m)]],tipoEstaca[#Headers],0))</f>
        <v>2</v>
      </c>
      <c r="AG136" s="5">
        <f ca="1">ESF[[#This Row],[As,mín (cm²)]]/100^2*ESF[[#This Row],[Comprimento (m)]]*7850</f>
        <v>9.9879084439253507</v>
      </c>
      <c r="AH136" s="4">
        <f ca="1">ESF[[#This Row],[nE]]*ESF[[#This Row],[Prof. (m)]]*ESF[[#This Row],[Ap (m²)]]</f>
        <v>7.9521564043991644</v>
      </c>
      <c r="AI136" s="1">
        <f ca="1">IF(ESF[[#This Row],[nE]]=1,0,MAX(3*ESF[[#This Row],[Ø (cm)]],60))</f>
        <v>135</v>
      </c>
      <c r="AJ136" s="1">
        <f ca="1">IF(ESF[[#This Row],[nE]]=1,ESF[[#This Row],[Ø (cm)]]+2*10,MAX(1.5*ESF[[#This Row],[Ø (cm)]],ESF[[#This Row],[Ø (cm)]]+15))</f>
        <v>67.5</v>
      </c>
      <c r="AK136" s="1" t="str">
        <f ca="1">alturaUtil(ESF[[#This Row],[nE]],ESF[[#This Row],[Ø (cm)]],ESF[[#This Row],[e (cm)]],ESF[[#This Row],[ap,eq (cm)]])</f>
        <v>N.S.</v>
      </c>
      <c r="AL136" s="1" t="str">
        <f ca="1">IFERROR(ESF[[#This Row],[d (cm)]]+arredondarParaCimaMultiplo5cm(MAX(5,SQRT(PI())/2*ESF[[#This Row],[Ø (cm)]]/5)),"N.S.")</f>
        <v>N.S.</v>
      </c>
      <c r="AM136" s="5" t="str">
        <f ca="1">alpha(ESF[[#This Row],[nE]],ESF[[#This Row],[d (cm)]],ESF[[#This Row],[e (cm)]],ESF[[#This Row],[ap,eq (cm)]])</f>
        <v>N.S.</v>
      </c>
      <c r="AN136" s="35" t="str">
        <f ca="1">IFERROR(ESF[[#This Row],[Nsd (kN)]]/(ESF[[#This Row],[Ap (cm²)]]*SIN(ESF[[#This Row],[α]])^2),"N.S.")</f>
        <v>N.S.</v>
      </c>
      <c r="AO136" s="35" t="str">
        <f ca="1">IFERROR(ESF[[#This Row],[Nsd (kN)]]/(ESF[[#This Row],[nE]]*PI()*ESF[[#This Row],[Ø (cm)]]^2/4*SIN(ESF[[#This Row],[α]])^2),"N.S.")</f>
        <v>N.S.</v>
      </c>
      <c r="AP136" s="4" t="str">
        <f ca="1">IFERROR(INDEX(grupoEstacas[],ESF[[#This Row],[nE]],MATCH("coef. Blévot",grupoEstacas[#Headers],0)),"N.S.")</f>
        <v>N.S.</v>
      </c>
      <c r="AQ136" s="35" t="str">
        <f ca="1">IFERROR(ESF[[#This Row],[coef. Blévot]]*0.9*INDEX(tipoEstaca[],MATCH($D$2,tipoEstaca[TIPO DE ESTACA],0),MATCH("fcd (kN/cm²)",tipoEstaca[#Headers],0)),"N.S.")</f>
        <v>N.S.</v>
      </c>
      <c r="AR136" s="1" t="str">
        <f ca="1">IF(AND(ESF[[#This Row],[cd,b,pil (kN/cm²)]]&lt;=ESF[[#This Row],[cd,b,lim (kN/cm²)]],ESF[[#This Row],[cd,b,est (kN/cm²)]]&lt;=ESF[[#This Row],[cd,b,lim (kN/cm²)]]),"OK","ERRO")</f>
        <v>OK</v>
      </c>
      <c r="AS136" s="4" t="str">
        <f ca="1">As_lado(ESF[[#This Row],[nE]],ESF[[#This Row],[Nsd (kN)]],ESF[[#This Row],[d (cm)]],ESF[[#This Row],[e (cm)]],ESF[[#This Row],[ap,eq (cm)]])</f>
        <v>N.S.</v>
      </c>
      <c r="AT136" s="4" t="str">
        <f ca="1">IF(ESF[[#This Row],[nE]]=1,ESF[[#This Row],[As,lado (cm²)]],IF(ESF[[#This Row],[nE]]=2,0.075*2*ESF[a (cm)],"N.A."))</f>
        <v>N.A.</v>
      </c>
      <c r="AU136" s="4" t="str">
        <f ca="1">IFERROR(IF(ESF[[#This Row],[nE]]=1,"N.A.",0.2*ESF[[#This Row],[As,lado (cm²)]]),"N.S.")</f>
        <v>N.S.</v>
      </c>
      <c r="AV136" s="4" t="str">
        <f ca="1">As_malha(ESF[[#This Row],[nE]],ESF[[#This Row],[As,lado (cm²)]],ESF[[#This Row],[Nsd (kN)]])</f>
        <v>N.S.</v>
      </c>
      <c r="AW136" s="4" t="str">
        <f ca="1">As_susp_tot(ESF[[#This Row],[nE]],ESF[[#This Row],[Nsd (kN)]])</f>
        <v>N.S.</v>
      </c>
      <c r="AX136" s="4" t="str">
        <f ca="1">Asp_face(ESF[[#This Row],[nE]],ESF[[#This Row],[As,lado (cm²)]])</f>
        <v>N.S.</v>
      </c>
      <c r="AY136" s="5" t="str">
        <f ca="1">acoBloco(ESF[[#This Row],[nE]],ESF[[#This Row],[e (cm)]],ESF[[#This Row],[a (cm)]],ESF[[#This Row],[h (cm)]],ESF[[#This Row],[As,lado (cm²)]],ESF[[#This Row],[Asp e Asw (cm²/m)]],ESF[[#This Row],[As,sup (cm²)]],ESF[[#This Row],[As,malha (cm²)]],ESF[[#This Row],[As,susp,tot (cm²)]],ESF[[#This Row],[Asp,face (cm²)]])</f>
        <v>N.S.</v>
      </c>
      <c r="AZ136" s="4" t="str">
        <f ca="1">concretoBloco(ESF[[#This Row],[nE]],ESF[[#This Row],[e (cm)]],ESF[[#This Row],[a (cm)]],ESF[[#This Row],[h (cm)]])</f>
        <v>N.S.</v>
      </c>
      <c r="BA136" s="5">
        <f ca="1">SUM(ESF[[#This Row],[Aço Est (kg)]],ESF[[#This Row],[Aço Bloco (kg)]])</f>
        <v>9.9879084439253507</v>
      </c>
      <c r="BB136" s="4">
        <f>INDEX(composicoes[],MATCH(95580,composicoes[CÓDIGO],0),MATCH("CUSTO TOTAL",composicoes[#Headers],0))</f>
        <v>10.46</v>
      </c>
      <c r="BC136" s="4">
        <f ca="1">SUM(ESF[[#This Row],[Conc Est (m³)]],ESF[[#This Row],[Conc Bloco (m³)]])</f>
        <v>7.9521564043991644</v>
      </c>
      <c r="BD136" s="4">
        <f>INDEX(composicoes[],MATCH(94966,composicoes[CÓDIGO],0),MATCH("CUSTO TOTAL",composicoes[#Headers],0))</f>
        <v>439.52</v>
      </c>
      <c r="BE136" s="38">
        <f ca="1">ESF[[#This Row],[Aço (kg)]]*ESF[[#This Row],[Aço (R$/kg)]]+ESF[[#This Row],[Conc (m³)]]*ESF[[#This Row],[Conc (R$/m³)]]</f>
        <v>3599.6053051849799</v>
      </c>
      <c r="BF136" s="4" t="str">
        <f ca="1">IF(COUNTIF(ESF[#This Row],"N.S.")&gt;0,"lim.","OK")</f>
        <v>lim.</v>
      </c>
      <c r="BG136" s="4" t="str">
        <f>IF(ESF[[#This Row],[Prof. (m)]]&lt;3,"lim.","OK")</f>
        <v>OK</v>
      </c>
      <c r="BH136" s="4" t="str">
        <f>IF(ESF[[#This Row],[Prof. (m)]]&gt;=8*ESF[[#This Row],[Ø (cm)]]/100,"OK","lim.")</f>
        <v>OK</v>
      </c>
      <c r="BI136" s="4" t="str">
        <f>IF(AND(SPT!$F$3&lt;&gt;"",ESF[[#This Row],[Prof. (m)]]&gt;=SPT!$F$3),"lim.","OK")</f>
        <v>OK</v>
      </c>
      <c r="BJ136" s="4" t="str">
        <f>IF(COUNTIFS(ESF[Solo],"Areia",ESF[Prof. (m)],"&lt;="&amp;ESF[[#This Row],[Prof. (m)]])&gt;=1,"lim.","OK")</f>
        <v>OK</v>
      </c>
      <c r="BK136" s="4" t="str">
        <f ca="1">IF(ESF[[#This Row],[Verif. Biela]]="OK","OK","lim.")</f>
        <v>OK</v>
      </c>
      <c r="BL136" s="4" t="str">
        <f ca="1">IF(COUNTA(ESF[[#This Row],[Nº Est.]:[Biela comp.]])=COUNTIF(ESF[[#This Row],[Nº Est.]:[Biela comp.]],"OK"),"OK","lim.")</f>
        <v>lim.</v>
      </c>
      <c r="BM136" s="4" t="str">
        <f ca="1">IF(ESF[[#This Row],[Controle]]="OK",ESF[[#This Row],[nE]]&amp;" Ø"&amp;ESF[[#This Row],[Ø (cm)]]&amp;"cm Prof. "&amp;ESF[[#This Row],[Prof. (m)]]&amp;" m","")</f>
        <v/>
      </c>
      <c r="BN136" s="4" t="str">
        <f ca="1">IF(ESF[[#This Row],[idDimensionamento]]="","",ESF[[#This Row],[idPilar]]&amp;ESF[[#This Row],[idDimensionamento]])</f>
        <v/>
      </c>
    </row>
    <row r="137" spans="2:66" x14ac:dyDescent="0.25">
      <c r="B137" s="12">
        <f>ROUNDUP((ROW(ESF[[#This Row],[idDiâmetro]])-ROW(ESF[[#Headers],[idDiâmetro]]))/(COUNT(SPT[Prof. (m)])*COUNT(PILARES[Pilar])),0)</f>
        <v>5</v>
      </c>
      <c r="C137" s="12">
        <f>IF(ESF[[#This Row],[idDiâmetro]]&lt;&gt;B136,1,IF(ESF[[#This Row],[Prof. (m)]]=0,C136+1,C136))</f>
        <v>2</v>
      </c>
      <c r="D137" s="82">
        <f>IFERROR(IF(D136=MAX(SPT[Prof. (m)]),0,D136+1),0)</f>
        <v>6</v>
      </c>
      <c r="E137" s="82">
        <f>INDEX(SPT[],MATCH(ESF[[#This Row],[Prof. (m)]],SPT[Prof. (m)],0),2)</f>
        <v>21</v>
      </c>
      <c r="F137" s="82" t="str">
        <f>INDEX(SPT[],MATCH(ESF[[#This Row],[Prof. (m)]],SPT[Prof. (m)],0),3)</f>
        <v>Silte arenoso</v>
      </c>
      <c r="G137" s="82">
        <f>INDEX(estacas[],ESF[[#This Row],[idDiâmetro]],MATCH($B$2,estacas[#Headers],0))</f>
        <v>45</v>
      </c>
      <c r="H137" s="82">
        <f>INDEX(estacas[],MATCH(ESF[[#This Row],[Ø (cm)]],estacas[Ø ESF (cm)],0),MATCH(ESF[[#Headers],[Pe ESF (kN)]],estacas[#Headers],0))</f>
        <v>810</v>
      </c>
      <c r="I137" s="4">
        <f>INDEX(K_alpha_C[],MATCH(ESF[[#This Row],[Solo]],K_alpha_C[Solo],0),2)</f>
        <v>0.55000000000000004</v>
      </c>
      <c r="J137" s="5">
        <f>INDEX(K_alpha_C[],MATCH(ESF[[#This Row],[Solo]],K_alpha_C[Solo],0),3)</f>
        <v>2.2000000000000002</v>
      </c>
      <c r="K137" s="4">
        <f>INDEX(F1_F2[],MATCH($D$2,F1_F2[Tipo de estaca],0),2)</f>
        <v>3</v>
      </c>
      <c r="L137" s="4">
        <f>INDEX(F1_F2[],MATCH($D$2,F1_F2[Tipo de estaca],0),3)</f>
        <v>6</v>
      </c>
      <c r="M137" s="4">
        <f>PI()*(ESF[[#This Row],[Ø (cm)]]/100)^2/4</f>
        <v>0.15904312808798329</v>
      </c>
      <c r="N137" s="4">
        <f>PI()*ESF[[#This Row],[Ø (cm)]]/100</f>
        <v>1.4137166941154069</v>
      </c>
      <c r="O137" s="4">
        <f>IF(ESF[[#This Row],[Prof. (m)]]=0,0,ESF[[#This Row],[α (%)]]/100*ESF[[#This Row],[K (MPa)]]*1000*ESF[[#This Row],[NSPT]])</f>
        <v>254.10000000000002</v>
      </c>
      <c r="P137" s="4">
        <f>IF(ESF[[#This Row],[Prof. (m)]]=0,0,(ESF[[#This Row],[K (MPa)]]*1000*ESF[[#This Row],[NSPT]]/ESF[[#This Row],[F1]]*ESF[[#This Row],[Ap (m²)]]+ESF[[#This Row],[U (m)]]/ESF[[#This Row],[F2]]*SUMIFS(ESF[(α∙K∙NL∙ΔL)],ESF[Prof. (m)],"&lt;="&amp;ESF[[#This Row],[Prof. (m)]],ESF[idDiâmetro],ESF[[#This Row],[idDiâmetro]],ESF[idPilar],ESF[[#This Row],[idPilar]]))/'DADOS CAP. CARGA'!$D$2)</f>
        <v>398.29700710833953</v>
      </c>
      <c r="Q137" s="12">
        <f>INDEX(C_alpha_beta[],MATCH(ESF[[#This Row],[Solo]],C_alpha_beta[Solo],0),MATCH(ESF[[#Headers],[C (kPa)]],C_alpha_beta[#Headers],0))</f>
        <v>250</v>
      </c>
      <c r="R137" s="4">
        <f>INDEX(C_alpha_beta[],MATCH(ESF[[#This Row],[Solo]],C_alpha_beta[Solo],0),MATCH(ESF[[#Headers],[α ESF]],C_alpha_beta[#Headers],0))</f>
        <v>0.6</v>
      </c>
      <c r="S137" s="4">
        <f>INDEX(C_alpha_beta[],MATCH(ESF[[#This Row],[Solo]],C_alpha_beta[Solo],0),MATCH(ESF[[#Headers],[β ESF]],C_alpha_beta[#Headers],0))</f>
        <v>0.65</v>
      </c>
      <c r="T137" s="4">
        <f>IF(ESF[[#This Row],[Prof. (m)]]=0,0,10*(ESF[[#This Row],[NSPT]]/3+1))</f>
        <v>80</v>
      </c>
      <c r="U137" s="4">
        <f>(ESF[[#This Row],[α ESF]]*ESF[[#This Row],[C (kPa)]]*ESF[[#This Row],[NSPT]]*ESF[[#This Row],[Ap (m²)]])/'DADOS CAP. CARGA'!$Q$2+(ESF[[#This Row],[β ESF]]*SUMIFS(ESF[10∙(NL/3+1)],ESF[Prof. (m)],"&lt;="&amp;ESF[[#This Row],[Prof. (m)]],ESF[idDiâmetro],ESF[[#This Row],[idDiâmetro]],ESF[idPilar],ESF[[#This Row],[idPilar]])*ESF[[#This Row],[U (m)]])/'DADOS CAP. CARGA'!$S$2</f>
        <v>235.51636551028858</v>
      </c>
      <c r="V137" s="4">
        <f>IF(SPT!$M$5=1,MIN(ESF[[#This Row],[Pe ESF (kN)]],ESF[[#This Row],[R_AV (kN)]]),IF(SPT!$M$5=2,MIN(ESF[[#This Row],[Pe ESF (kN)]],ESF[[#This Row],[R_DC (kN)]]),MIN(ESF[[#This Row],[Pe ESF (kN)]],ESF[[#This Row],[R_AV (kN)]],ESF[[#This Row],[R_DC (kN)]])))</f>
        <v>235.51636551028858</v>
      </c>
      <c r="W137" s="4">
        <f>INDEX(PILARES[],ESF[[#This Row],[idPilar]],MATCH("Carga (kN)",PILARES[#Headers],0))*1.4</f>
        <v>1750</v>
      </c>
      <c r="X137" s="12">
        <f>INDEX(PILARES[],ESF[[#This Row],[idPilar]],MATCH(ESF[[#Headers],[ap (cm)]],PILARES[#Headers],0))</f>
        <v>50</v>
      </c>
      <c r="Y137" s="12">
        <f>INDEX(PILARES[],ESF[[#This Row],[idPilar]],MATCH(ESF[[#Headers],[bp (cm)]],PILARES[#Headers],0))</f>
        <v>40</v>
      </c>
      <c r="Z137" s="4">
        <f>SQRT(ESF[[#This Row],[ap (cm)]]*ESF[[#This Row],[bp (cm)]])</f>
        <v>44.721359549995796</v>
      </c>
      <c r="AA137" s="12">
        <f>ESF[[#This Row],[ap (cm)]]*ESF[[#This Row],[bp (cm)]]</f>
        <v>2000</v>
      </c>
      <c r="AB137" s="12">
        <f ca="1">IF(ESF[[#This Row],[Padm∙ε (kN)]]&gt;=ESF[[#This Row],[Padm (kN)]],ROUNDUP(1.05*ESF[[#This Row],[Nsd (kN)]]/ESF[[#This Row],[Padm (kN)]],0),ROUNDUP(1.05*ESF[[#This Row],[Nsd (kN)]]/ESF[[#This Row],[Padm (kN)]],0)+1)</f>
        <v>8</v>
      </c>
      <c r="AC137" s="4" t="str">
        <f ca="1">IFERROR(IF(ESF[[#This Row],[nE]]=1,ESF[[#This Row],[Padm (kN)]],ESF[[#This Row],[Padm (kN)]]*ESF[[#This Row],[nE]]*INDEX(grupoEstacas[],ESF[[#This Row],[nE]],MATCH("ε",grupoEstacas[#Headers],0))),"N.S.")</f>
        <v>N.S.</v>
      </c>
      <c r="AD137" s="4">
        <f ca="1">1.05*ESF[[#This Row],[Nsd (kN)]]/(ESF[[#This Row],[nE]]*PI()*ESF[[#This Row],[Ø (cm)]]^2/4)*10</f>
        <v>1.4441837428709023</v>
      </c>
      <c r="AE137" s="4">
        <f ca="1">IF(ESF[[#This Row],[σ (MPa)]]&lt;INDEX(tipoEstaca[],MATCH($D$2,tipoEstaca[TIPO DE ESTACA],0),MATCH("σmáx (MPa)",tipoEstaca[#Headers],0)),0.4%*PI()*ESF[[#This Row],[Ø (cm)]]^2/4,"N.S.")</f>
        <v>6.3617251235193315</v>
      </c>
      <c r="AF137" s="82">
        <f>INDEX(tipoEstaca[],MATCH($D$2,tipoEstaca[TIPO DE ESTACA],0),MATCH(ESF[[#Headers],[Comprimento (m)]],tipoEstaca[#Headers],0))</f>
        <v>2</v>
      </c>
      <c r="AG137" s="5">
        <f ca="1">ESF[[#This Row],[As,mín (cm²)]]/100^2*ESF[[#This Row],[Comprimento (m)]]*7850</f>
        <v>9.9879084439253507</v>
      </c>
      <c r="AH137" s="4">
        <f ca="1">ESF[[#This Row],[nE]]*ESF[[#This Row],[Prof. (m)]]*ESF[[#This Row],[Ap (m²)]]</f>
        <v>7.6340701482231985</v>
      </c>
      <c r="AI137" s="82">
        <f ca="1">IF(ESF[[#This Row],[nE]]=1,0,MAX(3*ESF[[#This Row],[Ø (cm)]],60))</f>
        <v>135</v>
      </c>
      <c r="AJ137" s="82">
        <f ca="1">IF(ESF[[#This Row],[nE]]=1,ESF[[#This Row],[Ø (cm)]]+2*10,MAX(1.5*ESF[[#This Row],[Ø (cm)]],ESF[[#This Row],[Ø (cm)]]+15))</f>
        <v>67.5</v>
      </c>
      <c r="AK137" s="82" t="str">
        <f ca="1">alturaUtil(ESF[[#This Row],[nE]],ESF[[#This Row],[Ø (cm)]],ESF[[#This Row],[e (cm)]],ESF[[#This Row],[ap,eq (cm)]])</f>
        <v>N.S.</v>
      </c>
      <c r="AL137" s="82" t="str">
        <f ca="1">IFERROR(ESF[[#This Row],[d (cm)]]+arredondarParaCimaMultiplo5cm(MAX(5,SQRT(PI())/2*ESF[[#This Row],[Ø (cm)]]/5)),"N.S.")</f>
        <v>N.S.</v>
      </c>
      <c r="AM137" s="5" t="str">
        <f ca="1">alpha(ESF[[#This Row],[nE]],ESF[[#This Row],[d (cm)]],ESF[[#This Row],[e (cm)]],ESF[[#This Row],[ap,eq (cm)]])</f>
        <v>N.S.</v>
      </c>
      <c r="AN137" s="35" t="str">
        <f ca="1">IFERROR(ESF[[#This Row],[Nsd (kN)]]/(ESF[[#This Row],[Ap (cm²)]]*SIN(ESF[[#This Row],[α]])^2),"N.S.")</f>
        <v>N.S.</v>
      </c>
      <c r="AO137" s="35" t="str">
        <f ca="1">IFERROR(ESF[[#This Row],[Nsd (kN)]]/(ESF[[#This Row],[nE]]*PI()*ESF[[#This Row],[Ø (cm)]]^2/4*SIN(ESF[[#This Row],[α]])^2),"N.S.")</f>
        <v>N.S.</v>
      </c>
      <c r="AP137" s="4" t="str">
        <f ca="1">IFERROR(INDEX(grupoEstacas[],ESF[[#This Row],[nE]],MATCH("coef. Blévot",grupoEstacas[#Headers],0)),"N.S.")</f>
        <v>N.S.</v>
      </c>
      <c r="AQ137" s="35" t="str">
        <f ca="1">IFERROR(ESF[[#This Row],[coef. Blévot]]*0.9*INDEX(tipoEstaca[],MATCH($D$2,tipoEstaca[TIPO DE ESTACA],0),MATCH("fcd (kN/cm²)",tipoEstaca[#Headers],0)),"N.S.")</f>
        <v>N.S.</v>
      </c>
      <c r="AR137" s="82" t="str">
        <f ca="1">IF(AND(ESF[[#This Row],[cd,b,pil (kN/cm²)]]&lt;=ESF[[#This Row],[cd,b,lim (kN/cm²)]],ESF[[#This Row],[cd,b,est (kN/cm²)]]&lt;=ESF[[#This Row],[cd,b,lim (kN/cm²)]]),"OK","ERRO")</f>
        <v>OK</v>
      </c>
      <c r="AS137" s="4" t="str">
        <f ca="1">As_lado(ESF[[#This Row],[nE]],ESF[[#This Row],[Nsd (kN)]],ESF[[#This Row],[d (cm)]],ESF[[#This Row],[e (cm)]],ESF[[#This Row],[ap,eq (cm)]])</f>
        <v>N.S.</v>
      </c>
      <c r="AT137" s="4" t="str">
        <f ca="1">IF(ESF[[#This Row],[nE]]=1,ESF[[#This Row],[As,lado (cm²)]],IF(ESF[[#This Row],[nE]]=2,0.075*2*ESF[a (cm)],"N.A."))</f>
        <v>N.A.</v>
      </c>
      <c r="AU137" s="4" t="str">
        <f ca="1">IFERROR(IF(ESF[[#This Row],[nE]]=1,"N.A.",0.2*ESF[[#This Row],[As,lado (cm²)]]),"N.S.")</f>
        <v>N.S.</v>
      </c>
      <c r="AV137" s="4" t="str">
        <f ca="1">As_malha(ESF[[#This Row],[nE]],ESF[[#This Row],[As,lado (cm²)]],ESF[[#This Row],[Nsd (kN)]])</f>
        <v>N.S.</v>
      </c>
      <c r="AW137" s="4" t="str">
        <f ca="1">As_susp_tot(ESF[[#This Row],[nE]],ESF[[#This Row],[Nsd (kN)]])</f>
        <v>N.S.</v>
      </c>
      <c r="AX137" s="4" t="str">
        <f ca="1">Asp_face(ESF[[#This Row],[nE]],ESF[[#This Row],[As,lado (cm²)]])</f>
        <v>N.S.</v>
      </c>
      <c r="AY137" s="5" t="str">
        <f ca="1">acoBloco(ESF[[#This Row],[nE]],ESF[[#This Row],[e (cm)]],ESF[[#This Row],[a (cm)]],ESF[[#This Row],[h (cm)]],ESF[[#This Row],[As,lado (cm²)]],ESF[[#This Row],[Asp e Asw (cm²/m)]],ESF[[#This Row],[As,sup (cm²)]],ESF[[#This Row],[As,malha (cm²)]],ESF[[#This Row],[As,susp,tot (cm²)]],ESF[[#This Row],[Asp,face (cm²)]])</f>
        <v>N.S.</v>
      </c>
      <c r="AZ137" s="4" t="str">
        <f ca="1">concretoBloco(ESF[[#This Row],[nE]],ESF[[#This Row],[e (cm)]],ESF[[#This Row],[a (cm)]],ESF[[#This Row],[h (cm)]])</f>
        <v>N.S.</v>
      </c>
      <c r="BA137" s="5">
        <f ca="1">SUM(ESF[[#This Row],[Aço Est (kg)]],ESF[[#This Row],[Aço Bloco (kg)]])</f>
        <v>9.9879084439253507</v>
      </c>
      <c r="BB137" s="4">
        <f>INDEX(composicoes[],MATCH(95580,composicoes[CÓDIGO],0),MATCH("CUSTO TOTAL",composicoes[#Headers],0))</f>
        <v>10.46</v>
      </c>
      <c r="BC137" s="4">
        <f ca="1">SUM(ESF[[#This Row],[Conc Est (m³)]],ESF[[#This Row],[Conc Bloco (m³)]])</f>
        <v>7.6340701482231985</v>
      </c>
      <c r="BD137" s="4">
        <f>INDEX(composicoes[],MATCH(94966,composicoes[CÓDIGO],0),MATCH("CUSTO TOTAL",composicoes[#Headers],0))</f>
        <v>439.52</v>
      </c>
      <c r="BE137" s="38">
        <f ca="1">ESF[[#This Row],[Aço (kg)]]*ESF[[#This Row],[Aço (R$/kg)]]+ESF[[#This Row],[Conc (m³)]]*ESF[[#This Row],[Conc (R$/m³)]]</f>
        <v>3459.8000338705192</v>
      </c>
      <c r="BF137" s="4" t="str">
        <f ca="1">IF(COUNTIF(ESF[#This Row],"N.S.")&gt;0,"lim.","OK")</f>
        <v>lim.</v>
      </c>
      <c r="BG137" s="4" t="str">
        <f>IF(ESF[[#This Row],[Prof. (m)]]&lt;3,"lim.","OK")</f>
        <v>OK</v>
      </c>
      <c r="BH137" s="4" t="str">
        <f>IF(ESF[[#This Row],[Prof. (m)]]&gt;=8*ESF[[#This Row],[Ø (cm)]]/100,"OK","lim.")</f>
        <v>OK</v>
      </c>
      <c r="BI137" s="4" t="str">
        <f>IF(AND(SPT!$F$3&lt;&gt;"",ESF[[#This Row],[Prof. (m)]]&gt;=SPT!$F$3),"lim.","OK")</f>
        <v>OK</v>
      </c>
      <c r="BJ137" s="4" t="str">
        <f>IF(COUNTIFS(ESF[Solo],"Areia",ESF[Prof. (m)],"&lt;="&amp;ESF[[#This Row],[Prof. (m)]])&gt;=1,"lim.","OK")</f>
        <v>OK</v>
      </c>
      <c r="BK137" s="4" t="str">
        <f ca="1">IF(ESF[[#This Row],[Verif. Biela]]="OK","OK","lim.")</f>
        <v>OK</v>
      </c>
      <c r="BL137" s="4" t="str">
        <f ca="1">IF(COUNTA(ESF[[#This Row],[Nº Est.]:[Biela comp.]])=COUNTIF(ESF[[#This Row],[Nº Est.]:[Biela comp.]],"OK"),"OK","lim.")</f>
        <v>lim.</v>
      </c>
      <c r="BM137" s="4" t="str">
        <f ca="1">IF(ESF[[#This Row],[Controle]]="OK",ESF[[#This Row],[nE]]&amp;" Ø"&amp;ESF[[#This Row],[Ø (cm)]]&amp;"cm Prof. "&amp;ESF[[#This Row],[Prof. (m)]]&amp;" m","")</f>
        <v/>
      </c>
      <c r="BN137" s="4" t="str">
        <f ca="1">IF(ESF[[#This Row],[idDimensionamento]]="","",ESF[[#This Row],[idPilar]]&amp;ESF[[#This Row],[idDimensionamento]])</f>
        <v/>
      </c>
    </row>
    <row r="138" spans="2:66" x14ac:dyDescent="0.25">
      <c r="B138" s="12">
        <f>ROUNDUP((ROW(ESF[[#This Row],[idDiâmetro]])-ROW(ESF[[#Headers],[idDiâmetro]]))/(COUNT(SPT[Prof. (m)])*COUNT(PILARES[Pilar])),0)</f>
        <v>5</v>
      </c>
      <c r="C138" s="12">
        <f>IF(ESF[[#This Row],[idDiâmetro]]&lt;&gt;B137,1,IF(ESF[[#This Row],[Prof. (m)]]=0,C137+1,C137))</f>
        <v>2</v>
      </c>
      <c r="D138" s="82">
        <f>IFERROR(IF(D137=MAX(SPT[Prof. (m)]),0,D137+1),0)</f>
        <v>7</v>
      </c>
      <c r="E138" s="82">
        <f>INDEX(SPT[],MATCH(ESF[[#This Row],[Prof. (m)]],SPT[Prof. (m)],0),2)</f>
        <v>8</v>
      </c>
      <c r="F138" s="82" t="str">
        <f>INDEX(SPT[],MATCH(ESF[[#This Row],[Prof. (m)]],SPT[Prof. (m)],0),3)</f>
        <v>Silte arenoso</v>
      </c>
      <c r="G138" s="82">
        <f>INDEX(estacas[],ESF[[#This Row],[idDiâmetro]],MATCH($B$2,estacas[#Headers],0))</f>
        <v>45</v>
      </c>
      <c r="H138" s="82">
        <f>INDEX(estacas[],MATCH(ESF[[#This Row],[Ø (cm)]],estacas[Ø ESF (cm)],0),MATCH(ESF[[#Headers],[Pe ESF (kN)]],estacas[#Headers],0))</f>
        <v>810</v>
      </c>
      <c r="I138" s="4">
        <f>INDEX(K_alpha_C[],MATCH(ESF[[#This Row],[Solo]],K_alpha_C[Solo],0),2)</f>
        <v>0.55000000000000004</v>
      </c>
      <c r="J138" s="5">
        <f>INDEX(K_alpha_C[],MATCH(ESF[[#This Row],[Solo]],K_alpha_C[Solo],0),3)</f>
        <v>2.2000000000000002</v>
      </c>
      <c r="K138" s="4">
        <f>INDEX(F1_F2[],MATCH($D$2,F1_F2[Tipo de estaca],0),2)</f>
        <v>3</v>
      </c>
      <c r="L138" s="4">
        <f>INDEX(F1_F2[],MATCH($D$2,F1_F2[Tipo de estaca],0),3)</f>
        <v>6</v>
      </c>
      <c r="M138" s="4">
        <f>PI()*(ESF[[#This Row],[Ø (cm)]]/100)^2/4</f>
        <v>0.15904312808798329</v>
      </c>
      <c r="N138" s="4">
        <f>PI()*ESF[[#This Row],[Ø (cm)]]/100</f>
        <v>1.4137166941154069</v>
      </c>
      <c r="O138" s="4">
        <f>IF(ESF[[#This Row],[Prof. (m)]]=0,0,ESF[[#This Row],[α (%)]]/100*ESF[[#This Row],[K (MPa)]]*1000*ESF[[#This Row],[NSPT]])</f>
        <v>96.800000000000011</v>
      </c>
      <c r="P138" s="4">
        <f>IF(ESF[[#This Row],[Prof. (m)]]=0,0,(ESF[[#This Row],[K (MPa)]]*1000*ESF[[#This Row],[NSPT]]/ESF[[#This Row],[F1]]*ESF[[#This Row],[Ap (m²)]]+ESF[[#This Row],[U (m)]]/ESF[[#This Row],[F2]]*SUMIFS(ESF[(α∙K∙NL∙ΔL)],ESF[Prof. (m)],"&lt;="&amp;ESF[[#This Row],[Prof. (m)]],ESF[idDiâmetro],ESF[[#This Row],[idDiâmetro]],ESF[idPilar],ESF[[#This Row],[idPilar]]))/'DADOS CAP. CARGA'!$D$2)</f>
        <v>220.1745941360237</v>
      </c>
      <c r="Q138" s="12">
        <f>INDEX(C_alpha_beta[],MATCH(ESF[[#This Row],[Solo]],C_alpha_beta[Solo],0),MATCH(ESF[[#Headers],[C (kPa)]],C_alpha_beta[#Headers],0))</f>
        <v>250</v>
      </c>
      <c r="R138" s="4">
        <f>INDEX(C_alpha_beta[],MATCH(ESF[[#This Row],[Solo]],C_alpha_beta[Solo],0),MATCH(ESF[[#Headers],[α ESF]],C_alpha_beta[#Headers],0))</f>
        <v>0.6</v>
      </c>
      <c r="S138" s="4">
        <f>INDEX(C_alpha_beta[],MATCH(ESF[[#This Row],[Solo]],C_alpha_beta[Solo],0),MATCH(ESF[[#Headers],[β ESF]],C_alpha_beta[#Headers],0))</f>
        <v>0.65</v>
      </c>
      <c r="T138" s="4">
        <f>IF(ESF[[#This Row],[Prof. (m)]]=0,0,10*(ESF[[#This Row],[NSPT]]/3+1))</f>
        <v>36.666666666666664</v>
      </c>
      <c r="U138" s="4">
        <f>(ESF[[#This Row],[α ESF]]*ESF[[#This Row],[C (kPa)]]*ESF[[#This Row],[NSPT]]*ESF[[#This Row],[Ap (m²)]])/'DADOS CAP. CARGA'!$Q$2+(ESF[[#This Row],[β ESF]]*SUMIFS(ESF[10∙(NL/3+1)],ESF[Prof. (m)],"&lt;="&amp;ESF[[#This Row],[Prof. (m)]],ESF[idDiâmetro],ESF[[#This Row],[idDiâmetro]],ESF[idPilar],ESF[[#This Row],[idPilar]])*ESF[[#This Row],[U (m)]])/'DADOS CAP. CARGA'!$S$2</f>
        <v>174.829631172272</v>
      </c>
      <c r="V138" s="4">
        <f>IF(SPT!$M$5=1,MIN(ESF[[#This Row],[Pe ESF (kN)]],ESF[[#This Row],[R_AV (kN)]]),IF(SPT!$M$5=2,MIN(ESF[[#This Row],[Pe ESF (kN)]],ESF[[#This Row],[R_DC (kN)]]),MIN(ESF[[#This Row],[Pe ESF (kN)]],ESF[[#This Row],[R_AV (kN)]],ESF[[#This Row],[R_DC (kN)]])))</f>
        <v>174.829631172272</v>
      </c>
      <c r="W138" s="4">
        <f>INDEX(PILARES[],ESF[[#This Row],[idPilar]],MATCH("Carga (kN)",PILARES[#Headers],0))*1.4</f>
        <v>1750</v>
      </c>
      <c r="X138" s="12">
        <f>INDEX(PILARES[],ESF[[#This Row],[idPilar]],MATCH(ESF[[#Headers],[ap (cm)]],PILARES[#Headers],0))</f>
        <v>50</v>
      </c>
      <c r="Y138" s="12">
        <f>INDEX(PILARES[],ESF[[#This Row],[idPilar]],MATCH(ESF[[#Headers],[bp (cm)]],PILARES[#Headers],0))</f>
        <v>40</v>
      </c>
      <c r="Z138" s="4">
        <f>SQRT(ESF[[#This Row],[ap (cm)]]*ESF[[#This Row],[bp (cm)]])</f>
        <v>44.721359549995796</v>
      </c>
      <c r="AA138" s="12">
        <f>ESF[[#This Row],[ap (cm)]]*ESF[[#This Row],[bp (cm)]]</f>
        <v>2000</v>
      </c>
      <c r="AB138" s="12">
        <f ca="1">IF(ESF[[#This Row],[Padm∙ε (kN)]]&gt;=ESF[[#This Row],[Padm (kN)]],ROUNDUP(1.05*ESF[[#This Row],[Nsd (kN)]]/ESF[[#This Row],[Padm (kN)]],0),ROUNDUP(1.05*ESF[[#This Row],[Nsd (kN)]]/ESF[[#This Row],[Padm (kN)]],0)+1)</f>
        <v>11</v>
      </c>
      <c r="AC138" s="4" t="str">
        <f ca="1">IFERROR(IF(ESF[[#This Row],[nE]]=1,ESF[[#This Row],[Padm (kN)]],ESF[[#This Row],[Padm (kN)]]*ESF[[#This Row],[nE]]*INDEX(grupoEstacas[],ESF[[#This Row],[nE]],MATCH("ε",grupoEstacas[#Headers],0))),"N.S.")</f>
        <v>N.S.</v>
      </c>
      <c r="AD138" s="4">
        <f ca="1">1.05*ESF[[#This Row],[Nsd (kN)]]/(ESF[[#This Row],[nE]]*PI()*ESF[[#This Row],[Ø (cm)]]^2/4)*10</f>
        <v>1.0503154493606561</v>
      </c>
      <c r="AE138" s="4">
        <f ca="1">IF(ESF[[#This Row],[σ (MPa)]]&lt;INDEX(tipoEstaca[],MATCH($D$2,tipoEstaca[TIPO DE ESTACA],0),MATCH("σmáx (MPa)",tipoEstaca[#Headers],0)),0.4%*PI()*ESF[[#This Row],[Ø (cm)]]^2/4,"N.S.")</f>
        <v>6.3617251235193315</v>
      </c>
      <c r="AF138" s="82">
        <f>INDEX(tipoEstaca[],MATCH($D$2,tipoEstaca[TIPO DE ESTACA],0),MATCH(ESF[[#Headers],[Comprimento (m)]],tipoEstaca[#Headers],0))</f>
        <v>2</v>
      </c>
      <c r="AG138" s="5">
        <f ca="1">ESF[[#This Row],[As,mín (cm²)]]/100^2*ESF[[#This Row],[Comprimento (m)]]*7850</f>
        <v>9.9879084439253507</v>
      </c>
      <c r="AH138" s="4">
        <f ca="1">ESF[[#This Row],[nE]]*ESF[[#This Row],[Prof. (m)]]*ESF[[#This Row],[Ap (m²)]]</f>
        <v>12.246320862774713</v>
      </c>
      <c r="AI138" s="82">
        <f ca="1">IF(ESF[[#This Row],[nE]]=1,0,MAX(3*ESF[[#This Row],[Ø (cm)]],60))</f>
        <v>135</v>
      </c>
      <c r="AJ138" s="82">
        <f ca="1">IF(ESF[[#This Row],[nE]]=1,ESF[[#This Row],[Ø (cm)]]+2*10,MAX(1.5*ESF[[#This Row],[Ø (cm)]],ESF[[#This Row],[Ø (cm)]]+15))</f>
        <v>67.5</v>
      </c>
      <c r="AK138" s="82" t="str">
        <f ca="1">alturaUtil(ESF[[#This Row],[nE]],ESF[[#This Row],[Ø (cm)]],ESF[[#This Row],[e (cm)]],ESF[[#This Row],[ap,eq (cm)]])</f>
        <v>N.S.</v>
      </c>
      <c r="AL138" s="82" t="str">
        <f ca="1">IFERROR(ESF[[#This Row],[d (cm)]]+arredondarParaCimaMultiplo5cm(MAX(5,SQRT(PI())/2*ESF[[#This Row],[Ø (cm)]]/5)),"N.S.")</f>
        <v>N.S.</v>
      </c>
      <c r="AM138" s="5" t="str">
        <f ca="1">alpha(ESF[[#This Row],[nE]],ESF[[#This Row],[d (cm)]],ESF[[#This Row],[e (cm)]],ESF[[#This Row],[ap,eq (cm)]])</f>
        <v>N.S.</v>
      </c>
      <c r="AN138" s="35" t="str">
        <f ca="1">IFERROR(ESF[[#This Row],[Nsd (kN)]]/(ESF[[#This Row],[Ap (cm²)]]*SIN(ESF[[#This Row],[α]])^2),"N.S.")</f>
        <v>N.S.</v>
      </c>
      <c r="AO138" s="35" t="str">
        <f ca="1">IFERROR(ESF[[#This Row],[Nsd (kN)]]/(ESF[[#This Row],[nE]]*PI()*ESF[[#This Row],[Ø (cm)]]^2/4*SIN(ESF[[#This Row],[α]])^2),"N.S.")</f>
        <v>N.S.</v>
      </c>
      <c r="AP138" s="4" t="str">
        <f ca="1">IFERROR(INDEX(grupoEstacas[],ESF[[#This Row],[nE]],MATCH("coef. Blévot",grupoEstacas[#Headers],0)),"N.S.")</f>
        <v>N.S.</v>
      </c>
      <c r="AQ138" s="35" t="str">
        <f ca="1">IFERROR(ESF[[#This Row],[coef. Blévot]]*0.9*INDEX(tipoEstaca[],MATCH($D$2,tipoEstaca[TIPO DE ESTACA],0),MATCH("fcd (kN/cm²)",tipoEstaca[#Headers],0)),"N.S.")</f>
        <v>N.S.</v>
      </c>
      <c r="AR138" s="82" t="str">
        <f ca="1">IF(AND(ESF[[#This Row],[cd,b,pil (kN/cm²)]]&lt;=ESF[[#This Row],[cd,b,lim (kN/cm²)]],ESF[[#This Row],[cd,b,est (kN/cm²)]]&lt;=ESF[[#This Row],[cd,b,lim (kN/cm²)]]),"OK","ERRO")</f>
        <v>OK</v>
      </c>
      <c r="AS138" s="4" t="str">
        <f ca="1">As_lado(ESF[[#This Row],[nE]],ESF[[#This Row],[Nsd (kN)]],ESF[[#This Row],[d (cm)]],ESF[[#This Row],[e (cm)]],ESF[[#This Row],[ap,eq (cm)]])</f>
        <v>N.S.</v>
      </c>
      <c r="AT138" s="4" t="str">
        <f ca="1">IF(ESF[[#This Row],[nE]]=1,ESF[[#This Row],[As,lado (cm²)]],IF(ESF[[#This Row],[nE]]=2,0.075*2*ESF[a (cm)],"N.A."))</f>
        <v>N.A.</v>
      </c>
      <c r="AU138" s="4" t="str">
        <f ca="1">IFERROR(IF(ESF[[#This Row],[nE]]=1,"N.A.",0.2*ESF[[#This Row],[As,lado (cm²)]]),"N.S.")</f>
        <v>N.S.</v>
      </c>
      <c r="AV138" s="4" t="str">
        <f ca="1">As_malha(ESF[[#This Row],[nE]],ESF[[#This Row],[As,lado (cm²)]],ESF[[#This Row],[Nsd (kN)]])</f>
        <v>N.S.</v>
      </c>
      <c r="AW138" s="4" t="str">
        <f ca="1">As_susp_tot(ESF[[#This Row],[nE]],ESF[[#This Row],[Nsd (kN)]])</f>
        <v>N.S.</v>
      </c>
      <c r="AX138" s="4" t="str">
        <f ca="1">Asp_face(ESF[[#This Row],[nE]],ESF[[#This Row],[As,lado (cm²)]])</f>
        <v>N.S.</v>
      </c>
      <c r="AY138" s="5" t="str">
        <f ca="1">acoBloco(ESF[[#This Row],[nE]],ESF[[#This Row],[e (cm)]],ESF[[#This Row],[a (cm)]],ESF[[#This Row],[h (cm)]],ESF[[#This Row],[As,lado (cm²)]],ESF[[#This Row],[Asp e Asw (cm²/m)]],ESF[[#This Row],[As,sup (cm²)]],ESF[[#This Row],[As,malha (cm²)]],ESF[[#This Row],[As,susp,tot (cm²)]],ESF[[#This Row],[Asp,face (cm²)]])</f>
        <v>N.S.</v>
      </c>
      <c r="AZ138" s="4" t="str">
        <f ca="1">concretoBloco(ESF[[#This Row],[nE]],ESF[[#This Row],[e (cm)]],ESF[[#This Row],[a (cm)]],ESF[[#This Row],[h (cm)]])</f>
        <v>N.S.</v>
      </c>
      <c r="BA138" s="5">
        <f ca="1">SUM(ESF[[#This Row],[Aço Est (kg)]],ESF[[#This Row],[Aço Bloco (kg)]])</f>
        <v>9.9879084439253507</v>
      </c>
      <c r="BB138" s="4">
        <f>INDEX(composicoes[],MATCH(95580,composicoes[CÓDIGO],0),MATCH("CUSTO TOTAL",composicoes[#Headers],0))</f>
        <v>10.46</v>
      </c>
      <c r="BC138" s="4">
        <f ca="1">SUM(ESF[[#This Row],[Conc Est (m³)]],ESF[[#This Row],[Conc Bloco (m³)]])</f>
        <v>12.246320862774713</v>
      </c>
      <c r="BD138" s="4">
        <f>INDEX(composicoes[],MATCH(94966,composicoes[CÓDIGO],0),MATCH("CUSTO TOTAL",composicoes[#Headers],0))</f>
        <v>439.52</v>
      </c>
      <c r="BE138" s="38">
        <f ca="1">ESF[[#This Row],[Aço (kg)]]*ESF[[#This Row],[Aço (R$/kg)]]+ESF[[#This Row],[Conc (m³)]]*ESF[[#This Row],[Conc (R$/m³)]]</f>
        <v>5486.9764679302007</v>
      </c>
      <c r="BF138" s="4" t="str">
        <f ca="1">IF(COUNTIF(ESF[#This Row],"N.S.")&gt;0,"lim.","OK")</f>
        <v>lim.</v>
      </c>
      <c r="BG138" s="4" t="str">
        <f>IF(ESF[[#This Row],[Prof. (m)]]&lt;3,"lim.","OK")</f>
        <v>OK</v>
      </c>
      <c r="BH138" s="4" t="str">
        <f>IF(ESF[[#This Row],[Prof. (m)]]&gt;=8*ESF[[#This Row],[Ø (cm)]]/100,"OK","lim.")</f>
        <v>OK</v>
      </c>
      <c r="BI138" s="4" t="str">
        <f>IF(AND(SPT!$F$3&lt;&gt;"",ESF[[#This Row],[Prof. (m)]]&gt;=SPT!$F$3),"lim.","OK")</f>
        <v>OK</v>
      </c>
      <c r="BJ138" s="4" t="str">
        <f>IF(COUNTIFS(ESF[Solo],"Areia",ESF[Prof. (m)],"&lt;="&amp;ESF[[#This Row],[Prof. (m)]])&gt;=1,"lim.","OK")</f>
        <v>OK</v>
      </c>
      <c r="BK138" s="4" t="str">
        <f ca="1">IF(ESF[[#This Row],[Verif. Biela]]="OK","OK","lim.")</f>
        <v>OK</v>
      </c>
      <c r="BL138" s="4" t="str">
        <f ca="1">IF(COUNTA(ESF[[#This Row],[Nº Est.]:[Biela comp.]])=COUNTIF(ESF[[#This Row],[Nº Est.]:[Biela comp.]],"OK"),"OK","lim.")</f>
        <v>lim.</v>
      </c>
      <c r="BM138" s="4" t="str">
        <f ca="1">IF(ESF[[#This Row],[Controle]]="OK",ESF[[#This Row],[nE]]&amp;" Ø"&amp;ESF[[#This Row],[Ø (cm)]]&amp;"cm Prof. "&amp;ESF[[#This Row],[Prof. (m)]]&amp;" m","")</f>
        <v/>
      </c>
      <c r="BN138" s="4" t="str">
        <f ca="1">IF(ESF[[#This Row],[idDimensionamento]]="","",ESF[[#This Row],[idPilar]]&amp;ESF[[#This Row],[idDimensionamento]])</f>
        <v/>
      </c>
    </row>
    <row r="139" spans="2:66" x14ac:dyDescent="0.25">
      <c r="B139" s="12">
        <f>ROUNDUP((ROW(ESF[[#This Row],[idDiâmetro]])-ROW(ESF[[#Headers],[idDiâmetro]]))/(COUNT(SPT[Prof. (m)])*COUNT(PILARES[Pilar])),0)</f>
        <v>5</v>
      </c>
      <c r="C139" s="12">
        <f>IF(ESF[[#This Row],[idDiâmetro]]&lt;&gt;B138,1,IF(ESF[[#This Row],[Prof. (m)]]=0,C138+1,C138))</f>
        <v>2</v>
      </c>
      <c r="D139" s="82">
        <f>IFERROR(IF(D138=MAX(SPT[Prof. (m)]),0,D138+1),0)</f>
        <v>8</v>
      </c>
      <c r="E139" s="82">
        <f>INDEX(SPT[],MATCH(ESF[[#This Row],[Prof. (m)]],SPT[Prof. (m)],0),2)</f>
        <v>10</v>
      </c>
      <c r="F139" s="82" t="str">
        <f>INDEX(SPT[],MATCH(ESF[[#This Row],[Prof. (m)]],SPT[Prof. (m)],0),3)</f>
        <v>Silte arenoso</v>
      </c>
      <c r="G139" s="82">
        <f>INDEX(estacas[],ESF[[#This Row],[idDiâmetro]],MATCH($B$2,estacas[#Headers],0))</f>
        <v>45</v>
      </c>
      <c r="H139" s="82">
        <f>INDEX(estacas[],MATCH(ESF[[#This Row],[Ø (cm)]],estacas[Ø ESF (cm)],0),MATCH(ESF[[#Headers],[Pe ESF (kN)]],estacas[#Headers],0))</f>
        <v>810</v>
      </c>
      <c r="I139" s="4">
        <f>INDEX(K_alpha_C[],MATCH(ESF[[#This Row],[Solo]],K_alpha_C[Solo],0),2)</f>
        <v>0.55000000000000004</v>
      </c>
      <c r="J139" s="5">
        <f>INDEX(K_alpha_C[],MATCH(ESF[[#This Row],[Solo]],K_alpha_C[Solo],0),3)</f>
        <v>2.2000000000000002</v>
      </c>
      <c r="K139" s="4">
        <f>INDEX(F1_F2[],MATCH($D$2,F1_F2[Tipo de estaca],0),2)</f>
        <v>3</v>
      </c>
      <c r="L139" s="4">
        <f>INDEX(F1_F2[],MATCH($D$2,F1_F2[Tipo de estaca],0),3)</f>
        <v>6</v>
      </c>
      <c r="M139" s="4">
        <f>PI()*(ESF[[#This Row],[Ø (cm)]]/100)^2/4</f>
        <v>0.15904312808798329</v>
      </c>
      <c r="N139" s="4">
        <f>PI()*ESF[[#This Row],[Ø (cm)]]/100</f>
        <v>1.4137166941154069</v>
      </c>
      <c r="O139" s="4">
        <f>IF(ESF[[#This Row],[Prof. (m)]]=0,0,ESF[[#This Row],[α (%)]]/100*ESF[[#This Row],[K (MPa)]]*1000*ESF[[#This Row],[NSPT]])</f>
        <v>121.00000000000001</v>
      </c>
      <c r="P139" s="4">
        <f>IF(ESF[[#This Row],[Prof. (m)]]=0,0,(ESF[[#This Row],[K (MPa)]]*1000*ESF[[#This Row],[NSPT]]/ESF[[#This Row],[F1]]*ESF[[#This Row],[Ap (m²)]]+ESF[[#This Row],[U (m)]]/ESF[[#This Row],[F2]]*SUMIFS(ESF[(α∙K∙NL∙ΔL)],ESF[Prof. (m)],"&lt;="&amp;ESF[[#This Row],[Prof. (m)]],ESF[idDiâmetro],ESF[[#This Row],[idDiâmetro]],ESF[idPilar],ESF[[#This Row],[idPilar]]))/'DADOS CAP. CARGA'!$D$2)</f>
        <v>263.58747761781763</v>
      </c>
      <c r="Q139" s="12">
        <f>INDEX(C_alpha_beta[],MATCH(ESF[[#This Row],[Solo]],C_alpha_beta[Solo],0),MATCH(ESF[[#Headers],[C (kPa)]],C_alpha_beta[#Headers],0))</f>
        <v>250</v>
      </c>
      <c r="R139" s="4">
        <f>INDEX(C_alpha_beta[],MATCH(ESF[[#This Row],[Solo]],C_alpha_beta[Solo],0),MATCH(ESF[[#Headers],[α ESF]],C_alpha_beta[#Headers],0))</f>
        <v>0.6</v>
      </c>
      <c r="S139" s="4">
        <f>INDEX(C_alpha_beta[],MATCH(ESF[[#This Row],[Solo]],C_alpha_beta[Solo],0),MATCH(ESF[[#Headers],[β ESF]],C_alpha_beta[#Headers],0))</f>
        <v>0.65</v>
      </c>
      <c r="T139" s="4">
        <f>IF(ESF[[#This Row],[Prof. (m)]]=0,0,10*(ESF[[#This Row],[NSPT]]/3+1))</f>
        <v>43.333333333333343</v>
      </c>
      <c r="U139" s="4">
        <f>(ESF[[#This Row],[α ESF]]*ESF[[#This Row],[C (kPa)]]*ESF[[#This Row],[NSPT]]*ESF[[#This Row],[Ap (m²)]])/'DADOS CAP. CARGA'!$Q$2+(ESF[[#This Row],[β ESF]]*SUMIFS(ESF[10∙(NL/3+1)],ESF[Prof. (m)],"&lt;="&amp;ESF[[#This Row],[Prof. (m)]],ESF[idDiâmetro],ESF[[#This Row],[idDiâmetro]],ESF[idPilar],ESF[[#This Row],[idPilar]])*ESF[[#This Row],[U (m)]])/'DADOS CAP. CARGA'!$S$2</f>
        <v>206.66770922099607</v>
      </c>
      <c r="V139" s="4">
        <f>IF(SPT!$M$5=1,MIN(ESF[[#This Row],[Pe ESF (kN)]],ESF[[#This Row],[R_AV (kN)]]),IF(SPT!$M$5=2,MIN(ESF[[#This Row],[Pe ESF (kN)]],ESF[[#This Row],[R_DC (kN)]]),MIN(ESF[[#This Row],[Pe ESF (kN)]],ESF[[#This Row],[R_AV (kN)]],ESF[[#This Row],[R_DC (kN)]])))</f>
        <v>206.66770922099607</v>
      </c>
      <c r="W139" s="4">
        <f>INDEX(PILARES[],ESF[[#This Row],[idPilar]],MATCH("Carga (kN)",PILARES[#Headers],0))*1.4</f>
        <v>1750</v>
      </c>
      <c r="X139" s="12">
        <f>INDEX(PILARES[],ESF[[#This Row],[idPilar]],MATCH(ESF[[#Headers],[ap (cm)]],PILARES[#Headers],0))</f>
        <v>50</v>
      </c>
      <c r="Y139" s="12">
        <f>INDEX(PILARES[],ESF[[#This Row],[idPilar]],MATCH(ESF[[#Headers],[bp (cm)]],PILARES[#Headers],0))</f>
        <v>40</v>
      </c>
      <c r="Z139" s="4">
        <f>SQRT(ESF[[#This Row],[ap (cm)]]*ESF[[#This Row],[bp (cm)]])</f>
        <v>44.721359549995796</v>
      </c>
      <c r="AA139" s="12">
        <f>ESF[[#This Row],[ap (cm)]]*ESF[[#This Row],[bp (cm)]]</f>
        <v>2000</v>
      </c>
      <c r="AB139" s="12">
        <f ca="1">IF(ESF[[#This Row],[Padm∙ε (kN)]]&gt;=ESF[[#This Row],[Padm (kN)]],ROUNDUP(1.05*ESF[[#This Row],[Nsd (kN)]]/ESF[[#This Row],[Padm (kN)]],0),ROUNDUP(1.05*ESF[[#This Row],[Nsd (kN)]]/ESF[[#This Row],[Padm (kN)]],0)+1)</f>
        <v>9</v>
      </c>
      <c r="AC139" s="4" t="str">
        <f ca="1">IFERROR(IF(ESF[[#This Row],[nE]]=1,ESF[[#This Row],[Padm (kN)]],ESF[[#This Row],[Padm (kN)]]*ESF[[#This Row],[nE]]*INDEX(grupoEstacas[],ESF[[#This Row],[nE]],MATCH("ε",grupoEstacas[#Headers],0))),"N.S.")</f>
        <v>N.S.</v>
      </c>
      <c r="AD139" s="4">
        <f ca="1">1.05*ESF[[#This Row],[Nsd (kN)]]/(ESF[[#This Row],[nE]]*PI()*ESF[[#This Row],[Ø (cm)]]^2/4)*10</f>
        <v>1.283718882551913</v>
      </c>
      <c r="AE139" s="4">
        <f ca="1">IF(ESF[[#This Row],[σ (MPa)]]&lt;INDEX(tipoEstaca[],MATCH($D$2,tipoEstaca[TIPO DE ESTACA],0),MATCH("σmáx (MPa)",tipoEstaca[#Headers],0)),0.4%*PI()*ESF[[#This Row],[Ø (cm)]]^2/4,"N.S.")</f>
        <v>6.3617251235193315</v>
      </c>
      <c r="AF139" s="82">
        <f>INDEX(tipoEstaca[],MATCH($D$2,tipoEstaca[TIPO DE ESTACA],0),MATCH(ESF[[#Headers],[Comprimento (m)]],tipoEstaca[#Headers],0))</f>
        <v>2</v>
      </c>
      <c r="AG139" s="5">
        <f ca="1">ESF[[#This Row],[As,mín (cm²)]]/100^2*ESF[[#This Row],[Comprimento (m)]]*7850</f>
        <v>9.9879084439253507</v>
      </c>
      <c r="AH139" s="4">
        <f ca="1">ESF[[#This Row],[nE]]*ESF[[#This Row],[Prof. (m)]]*ESF[[#This Row],[Ap (m²)]]</f>
        <v>11.451105222334798</v>
      </c>
      <c r="AI139" s="82">
        <f ca="1">IF(ESF[[#This Row],[nE]]=1,0,MAX(3*ESF[[#This Row],[Ø (cm)]],60))</f>
        <v>135</v>
      </c>
      <c r="AJ139" s="82">
        <f ca="1">IF(ESF[[#This Row],[nE]]=1,ESF[[#This Row],[Ø (cm)]]+2*10,MAX(1.5*ESF[[#This Row],[Ø (cm)]],ESF[[#This Row],[Ø (cm)]]+15))</f>
        <v>67.5</v>
      </c>
      <c r="AK139" s="82" t="str">
        <f ca="1">alturaUtil(ESF[[#This Row],[nE]],ESF[[#This Row],[Ø (cm)]],ESF[[#This Row],[e (cm)]],ESF[[#This Row],[ap,eq (cm)]])</f>
        <v>N.S.</v>
      </c>
      <c r="AL139" s="82" t="str">
        <f ca="1">IFERROR(ESF[[#This Row],[d (cm)]]+arredondarParaCimaMultiplo5cm(MAX(5,SQRT(PI())/2*ESF[[#This Row],[Ø (cm)]]/5)),"N.S.")</f>
        <v>N.S.</v>
      </c>
      <c r="AM139" s="5" t="str">
        <f ca="1">alpha(ESF[[#This Row],[nE]],ESF[[#This Row],[d (cm)]],ESF[[#This Row],[e (cm)]],ESF[[#This Row],[ap,eq (cm)]])</f>
        <v>N.S.</v>
      </c>
      <c r="AN139" s="35" t="str">
        <f ca="1">IFERROR(ESF[[#This Row],[Nsd (kN)]]/(ESF[[#This Row],[Ap (cm²)]]*SIN(ESF[[#This Row],[α]])^2),"N.S.")</f>
        <v>N.S.</v>
      </c>
      <c r="AO139" s="35" t="str">
        <f ca="1">IFERROR(ESF[[#This Row],[Nsd (kN)]]/(ESF[[#This Row],[nE]]*PI()*ESF[[#This Row],[Ø (cm)]]^2/4*SIN(ESF[[#This Row],[α]])^2),"N.S.")</f>
        <v>N.S.</v>
      </c>
      <c r="AP139" s="4" t="str">
        <f ca="1">IFERROR(INDEX(grupoEstacas[],ESF[[#This Row],[nE]],MATCH("coef. Blévot",grupoEstacas[#Headers],0)),"N.S.")</f>
        <v>N.S.</v>
      </c>
      <c r="AQ139" s="35" t="str">
        <f ca="1">IFERROR(ESF[[#This Row],[coef. Blévot]]*0.9*INDEX(tipoEstaca[],MATCH($D$2,tipoEstaca[TIPO DE ESTACA],0),MATCH("fcd (kN/cm²)",tipoEstaca[#Headers],0)),"N.S.")</f>
        <v>N.S.</v>
      </c>
      <c r="AR139" s="82" t="str">
        <f ca="1">IF(AND(ESF[[#This Row],[cd,b,pil (kN/cm²)]]&lt;=ESF[[#This Row],[cd,b,lim (kN/cm²)]],ESF[[#This Row],[cd,b,est (kN/cm²)]]&lt;=ESF[[#This Row],[cd,b,lim (kN/cm²)]]),"OK","ERRO")</f>
        <v>OK</v>
      </c>
      <c r="AS139" s="4" t="str">
        <f ca="1">As_lado(ESF[[#This Row],[nE]],ESF[[#This Row],[Nsd (kN)]],ESF[[#This Row],[d (cm)]],ESF[[#This Row],[e (cm)]],ESF[[#This Row],[ap,eq (cm)]])</f>
        <v>N.S.</v>
      </c>
      <c r="AT139" s="4" t="str">
        <f ca="1">IF(ESF[[#This Row],[nE]]=1,ESF[[#This Row],[As,lado (cm²)]],IF(ESF[[#This Row],[nE]]=2,0.075*2*ESF[a (cm)],"N.A."))</f>
        <v>N.A.</v>
      </c>
      <c r="AU139" s="4" t="str">
        <f ca="1">IFERROR(IF(ESF[[#This Row],[nE]]=1,"N.A.",0.2*ESF[[#This Row],[As,lado (cm²)]]),"N.S.")</f>
        <v>N.S.</v>
      </c>
      <c r="AV139" s="4" t="str">
        <f ca="1">As_malha(ESF[[#This Row],[nE]],ESF[[#This Row],[As,lado (cm²)]],ESF[[#This Row],[Nsd (kN)]])</f>
        <v>N.S.</v>
      </c>
      <c r="AW139" s="4" t="str">
        <f ca="1">As_susp_tot(ESF[[#This Row],[nE]],ESF[[#This Row],[Nsd (kN)]])</f>
        <v>N.S.</v>
      </c>
      <c r="AX139" s="4" t="str">
        <f ca="1">Asp_face(ESF[[#This Row],[nE]],ESF[[#This Row],[As,lado (cm²)]])</f>
        <v>N.S.</v>
      </c>
      <c r="AY139" s="5" t="str">
        <f ca="1">acoBloco(ESF[[#This Row],[nE]],ESF[[#This Row],[e (cm)]],ESF[[#This Row],[a (cm)]],ESF[[#This Row],[h (cm)]],ESF[[#This Row],[As,lado (cm²)]],ESF[[#This Row],[Asp e Asw (cm²/m)]],ESF[[#This Row],[As,sup (cm²)]],ESF[[#This Row],[As,malha (cm²)]],ESF[[#This Row],[As,susp,tot (cm²)]],ESF[[#This Row],[Asp,face (cm²)]])</f>
        <v>N.S.</v>
      </c>
      <c r="AZ139" s="4" t="str">
        <f ca="1">concretoBloco(ESF[[#This Row],[nE]],ESF[[#This Row],[e (cm)]],ESF[[#This Row],[a (cm)]],ESF[[#This Row],[h (cm)]])</f>
        <v>N.S.</v>
      </c>
      <c r="BA139" s="5">
        <f ca="1">SUM(ESF[[#This Row],[Aço Est (kg)]],ESF[[#This Row],[Aço Bloco (kg)]])</f>
        <v>9.9879084439253507</v>
      </c>
      <c r="BB139" s="4">
        <f>INDEX(composicoes[],MATCH(95580,composicoes[CÓDIGO],0),MATCH("CUSTO TOTAL",composicoes[#Headers],0))</f>
        <v>10.46</v>
      </c>
      <c r="BC139" s="4">
        <f ca="1">SUM(ESF[[#This Row],[Conc Est (m³)]],ESF[[#This Row],[Conc Bloco (m³)]])</f>
        <v>11.451105222334798</v>
      </c>
      <c r="BD139" s="4">
        <f>INDEX(composicoes[],MATCH(94966,composicoes[CÓDIGO],0),MATCH("CUSTO TOTAL",composicoes[#Headers],0))</f>
        <v>439.52</v>
      </c>
      <c r="BE139" s="38">
        <f ca="1">ESF[[#This Row],[Aço (kg)]]*ESF[[#This Row],[Aço (R$/kg)]]+ESF[[#This Row],[Conc (m³)]]*ESF[[#This Row],[Conc (R$/m³)]]</f>
        <v>5137.4632896440498</v>
      </c>
      <c r="BF139" s="4" t="str">
        <f ca="1">IF(COUNTIF(ESF[#This Row],"N.S.")&gt;0,"lim.","OK")</f>
        <v>lim.</v>
      </c>
      <c r="BG139" s="4" t="str">
        <f>IF(ESF[[#This Row],[Prof. (m)]]&lt;3,"lim.","OK")</f>
        <v>OK</v>
      </c>
      <c r="BH139" s="4" t="str">
        <f>IF(ESF[[#This Row],[Prof. (m)]]&gt;=8*ESF[[#This Row],[Ø (cm)]]/100,"OK","lim.")</f>
        <v>OK</v>
      </c>
      <c r="BI139" s="4" t="str">
        <f>IF(AND(SPT!$F$3&lt;&gt;"",ESF[[#This Row],[Prof. (m)]]&gt;=SPT!$F$3),"lim.","OK")</f>
        <v>OK</v>
      </c>
      <c r="BJ139" s="4" t="str">
        <f>IF(COUNTIFS(ESF[Solo],"Areia",ESF[Prof. (m)],"&lt;="&amp;ESF[[#This Row],[Prof. (m)]])&gt;=1,"lim.","OK")</f>
        <v>OK</v>
      </c>
      <c r="BK139" s="4" t="str">
        <f ca="1">IF(ESF[[#This Row],[Verif. Biela]]="OK","OK","lim.")</f>
        <v>OK</v>
      </c>
      <c r="BL139" s="4" t="str">
        <f ca="1">IF(COUNTA(ESF[[#This Row],[Nº Est.]:[Biela comp.]])=COUNTIF(ESF[[#This Row],[Nº Est.]:[Biela comp.]],"OK"),"OK","lim.")</f>
        <v>lim.</v>
      </c>
      <c r="BM139" s="4" t="str">
        <f ca="1">IF(ESF[[#This Row],[Controle]]="OK",ESF[[#This Row],[nE]]&amp;" Ø"&amp;ESF[[#This Row],[Ø (cm)]]&amp;"cm Prof. "&amp;ESF[[#This Row],[Prof. (m)]]&amp;" m","")</f>
        <v/>
      </c>
      <c r="BN139" s="4" t="str">
        <f ca="1">IF(ESF[[#This Row],[idDimensionamento]]="","",ESF[[#This Row],[idPilar]]&amp;ESF[[#This Row],[idDimensionamento]])</f>
        <v/>
      </c>
    </row>
    <row r="140" spans="2:66" x14ac:dyDescent="0.25">
      <c r="B140" s="12">
        <f>ROUNDUP((ROW(ESF[[#This Row],[idDiâmetro]])-ROW(ESF[[#Headers],[idDiâmetro]]))/(COUNT(SPT[Prof. (m)])*COUNT(PILARES[Pilar])),0)</f>
        <v>5</v>
      </c>
      <c r="C140" s="12">
        <f>IF(ESF[[#This Row],[idDiâmetro]]&lt;&gt;B139,1,IF(ESF[[#This Row],[Prof. (m)]]=0,C139+1,C139))</f>
        <v>2</v>
      </c>
      <c r="D140" s="82">
        <f>IFERROR(IF(D139=MAX(SPT[Prof. (m)]),0,D139+1),0)</f>
        <v>9</v>
      </c>
      <c r="E140" s="82">
        <f>INDEX(SPT[],MATCH(ESF[[#This Row],[Prof. (m)]],SPT[Prof. (m)],0),2)</f>
        <v>26</v>
      </c>
      <c r="F140" s="82" t="str">
        <f>INDEX(SPT[],MATCH(ESF[[#This Row],[Prof. (m)]],SPT[Prof. (m)],0),3)</f>
        <v>Areia siltosa</v>
      </c>
      <c r="G140" s="82">
        <f>INDEX(estacas[],ESF[[#This Row],[idDiâmetro]],MATCH($B$2,estacas[#Headers],0))</f>
        <v>45</v>
      </c>
      <c r="H140" s="82">
        <f>INDEX(estacas[],MATCH(ESF[[#This Row],[Ø (cm)]],estacas[Ø ESF (cm)],0),MATCH(ESF[[#Headers],[Pe ESF (kN)]],estacas[#Headers],0))</f>
        <v>810</v>
      </c>
      <c r="I140" s="4">
        <f>INDEX(K_alpha_C[],MATCH(ESF[[#This Row],[Solo]],K_alpha_C[Solo],0),2)</f>
        <v>0.8</v>
      </c>
      <c r="J140" s="5">
        <f>INDEX(K_alpha_C[],MATCH(ESF[[#This Row],[Solo]],K_alpha_C[Solo],0),3)</f>
        <v>2</v>
      </c>
      <c r="K140" s="4">
        <f>INDEX(F1_F2[],MATCH($D$2,F1_F2[Tipo de estaca],0),2)</f>
        <v>3</v>
      </c>
      <c r="L140" s="4">
        <f>INDEX(F1_F2[],MATCH($D$2,F1_F2[Tipo de estaca],0),3)</f>
        <v>6</v>
      </c>
      <c r="M140" s="4">
        <f>PI()*(ESF[[#This Row],[Ø (cm)]]/100)^2/4</f>
        <v>0.15904312808798329</v>
      </c>
      <c r="N140" s="4">
        <f>PI()*ESF[[#This Row],[Ø (cm)]]/100</f>
        <v>1.4137166941154069</v>
      </c>
      <c r="O140" s="4">
        <f>IF(ESF[[#This Row],[Prof. (m)]]=0,0,ESF[[#This Row],[α (%)]]/100*ESF[[#This Row],[K (MPa)]]*1000*ESF[[#This Row],[NSPT]])</f>
        <v>416</v>
      </c>
      <c r="P140" s="4">
        <f>IF(ESF[[#This Row],[Prof. (m)]]=0,0,(ESF[[#This Row],[K (MPa)]]*1000*ESF[[#This Row],[NSPT]]/ESF[[#This Row],[F1]]*ESF[[#This Row],[Ap (m²)]]+ESF[[#This Row],[U (m)]]/ESF[[#This Row],[F2]]*SUMIFS(ESF[(α∙K∙NL∙ΔL)],ESF[Prof. (m)],"&lt;="&amp;ESF[[#This Row],[Prof. (m)]],ESF[idDiâmetro],ESF[[#This Row],[idDiâmetro]],ESF[idPilar],ESF[[#This Row],[idPilar]]))/'DADOS CAP. CARGA'!$D$2)</f>
        <v>718.15629963817582</v>
      </c>
      <c r="Q140" s="12">
        <f>INDEX(C_alpha_beta[],MATCH(ESF[[#This Row],[Solo]],C_alpha_beta[Solo],0),MATCH(ESF[[#Headers],[C (kPa)]],C_alpha_beta[#Headers],0))</f>
        <v>400</v>
      </c>
      <c r="R140" s="4">
        <f>INDEX(C_alpha_beta[],MATCH(ESF[[#This Row],[Solo]],C_alpha_beta[Solo],0),MATCH(ESF[[#Headers],[α ESF]],C_alpha_beta[#Headers],0))</f>
        <v>0.5</v>
      </c>
      <c r="S140" s="4">
        <f>INDEX(C_alpha_beta[],MATCH(ESF[[#This Row],[Solo]],C_alpha_beta[Solo],0),MATCH(ESF[[#Headers],[β ESF]],C_alpha_beta[#Headers],0))</f>
        <v>0.5</v>
      </c>
      <c r="T140" s="4">
        <f>IF(ESF[[#This Row],[Prof. (m)]]=0,0,10*(ESF[[#This Row],[NSPT]]/3+1))</f>
        <v>96.666666666666657</v>
      </c>
      <c r="U140" s="4">
        <f>(ESF[[#This Row],[α ESF]]*ESF[[#This Row],[C (kPa)]]*ESF[[#This Row],[NSPT]]*ESF[[#This Row],[Ap (m²)]])/'DADOS CAP. CARGA'!$Q$2+(ESF[[#This Row],[β ESF]]*SUMIFS(ESF[10∙(NL/3+1)],ESF[Prof. (m)],"&lt;="&amp;ESF[[#This Row],[Prof. (m)]],ESF[idDiâmetro],ESF[[#This Row],[idDiâmetro]],ESF[idPilar],ESF[[#This Row],[idPilar]])*ESF[[#This Row],[U (m)]])/'DADOS CAP. CARGA'!$S$2</f>
        <v>354.01822215139987</v>
      </c>
      <c r="V140" s="4">
        <f>IF(SPT!$M$5=1,MIN(ESF[[#This Row],[Pe ESF (kN)]],ESF[[#This Row],[R_AV (kN)]]),IF(SPT!$M$5=2,MIN(ESF[[#This Row],[Pe ESF (kN)]],ESF[[#This Row],[R_DC (kN)]]),MIN(ESF[[#This Row],[Pe ESF (kN)]],ESF[[#This Row],[R_AV (kN)]],ESF[[#This Row],[R_DC (kN)]])))</f>
        <v>354.01822215139987</v>
      </c>
      <c r="W140" s="4">
        <f>INDEX(PILARES[],ESF[[#This Row],[idPilar]],MATCH("Carga (kN)",PILARES[#Headers],0))*1.4</f>
        <v>1750</v>
      </c>
      <c r="X140" s="12">
        <f>INDEX(PILARES[],ESF[[#This Row],[idPilar]],MATCH(ESF[[#Headers],[ap (cm)]],PILARES[#Headers],0))</f>
        <v>50</v>
      </c>
      <c r="Y140" s="12">
        <f>INDEX(PILARES[],ESF[[#This Row],[idPilar]],MATCH(ESF[[#Headers],[bp (cm)]],PILARES[#Headers],0))</f>
        <v>40</v>
      </c>
      <c r="Z140" s="4">
        <f>SQRT(ESF[[#This Row],[ap (cm)]]*ESF[[#This Row],[bp (cm)]])</f>
        <v>44.721359549995796</v>
      </c>
      <c r="AA140" s="12">
        <f>ESF[[#This Row],[ap (cm)]]*ESF[[#This Row],[bp (cm)]]</f>
        <v>2000</v>
      </c>
      <c r="AB140" s="12">
        <f ca="1">IF(ESF[[#This Row],[Padm∙ε (kN)]]&gt;=ESF[[#This Row],[Padm (kN)]],ROUNDUP(1.05*ESF[[#This Row],[Nsd (kN)]]/ESF[[#This Row],[Padm (kN)]],0),ROUNDUP(1.05*ESF[[#This Row],[Nsd (kN)]]/ESF[[#This Row],[Padm (kN)]],0)+1)</f>
        <v>6</v>
      </c>
      <c r="AC140" s="4" t="str">
        <f ca="1">IFERROR(IF(ESF[[#This Row],[nE]]=1,ESF[[#This Row],[Padm (kN)]],ESF[[#This Row],[Padm (kN)]]*ESF[[#This Row],[nE]]*INDEX(grupoEstacas[],ESF[[#This Row],[nE]],MATCH("ε",grupoEstacas[#Headers],0))),"N.S.")</f>
        <v>N.S.</v>
      </c>
      <c r="AD140" s="4">
        <f ca="1">1.05*ESF[[#This Row],[Nsd (kN)]]/(ESF[[#This Row],[nE]]*PI()*ESF[[#This Row],[Ø (cm)]]^2/4)*10</f>
        <v>1.9255783238278696</v>
      </c>
      <c r="AE140" s="4">
        <f ca="1">IF(ESF[[#This Row],[σ (MPa)]]&lt;INDEX(tipoEstaca[],MATCH($D$2,tipoEstaca[TIPO DE ESTACA],0),MATCH("σmáx (MPa)",tipoEstaca[#Headers],0)),0.4%*PI()*ESF[[#This Row],[Ø (cm)]]^2/4,"N.S.")</f>
        <v>6.3617251235193315</v>
      </c>
      <c r="AF140" s="82">
        <f>INDEX(tipoEstaca[],MATCH($D$2,tipoEstaca[TIPO DE ESTACA],0),MATCH(ESF[[#Headers],[Comprimento (m)]],tipoEstaca[#Headers],0))</f>
        <v>2</v>
      </c>
      <c r="AG140" s="5">
        <f ca="1">ESF[[#This Row],[As,mín (cm²)]]/100^2*ESF[[#This Row],[Comprimento (m)]]*7850</f>
        <v>9.9879084439253507</v>
      </c>
      <c r="AH140" s="4">
        <f ca="1">ESF[[#This Row],[nE]]*ESF[[#This Row],[Prof. (m)]]*ESF[[#This Row],[Ap (m²)]]</f>
        <v>8.588328916751097</v>
      </c>
      <c r="AI140" s="82">
        <f ca="1">IF(ESF[[#This Row],[nE]]=1,0,MAX(3*ESF[[#This Row],[Ø (cm)]],60))</f>
        <v>135</v>
      </c>
      <c r="AJ140" s="82">
        <f ca="1">IF(ESF[[#This Row],[nE]]=1,ESF[[#This Row],[Ø (cm)]]+2*10,MAX(1.5*ESF[[#This Row],[Ø (cm)]],ESF[[#This Row],[Ø (cm)]]+15))</f>
        <v>67.5</v>
      </c>
      <c r="AK140" s="82" t="str">
        <f ca="1">alturaUtil(ESF[[#This Row],[nE]],ESF[[#This Row],[Ø (cm)]],ESF[[#This Row],[e (cm)]],ESF[[#This Row],[ap,eq (cm)]])</f>
        <v>N.S.</v>
      </c>
      <c r="AL140" s="82" t="str">
        <f ca="1">IFERROR(ESF[[#This Row],[d (cm)]]+arredondarParaCimaMultiplo5cm(MAX(5,SQRT(PI())/2*ESF[[#This Row],[Ø (cm)]]/5)),"N.S.")</f>
        <v>N.S.</v>
      </c>
      <c r="AM140" s="5" t="str">
        <f ca="1">alpha(ESF[[#This Row],[nE]],ESF[[#This Row],[d (cm)]],ESF[[#This Row],[e (cm)]],ESF[[#This Row],[ap,eq (cm)]])</f>
        <v>N.S.</v>
      </c>
      <c r="AN140" s="35" t="str">
        <f ca="1">IFERROR(ESF[[#This Row],[Nsd (kN)]]/(ESF[[#This Row],[Ap (cm²)]]*SIN(ESF[[#This Row],[α]])^2),"N.S.")</f>
        <v>N.S.</v>
      </c>
      <c r="AO140" s="35" t="str">
        <f ca="1">IFERROR(ESF[[#This Row],[Nsd (kN)]]/(ESF[[#This Row],[nE]]*PI()*ESF[[#This Row],[Ø (cm)]]^2/4*SIN(ESF[[#This Row],[α]])^2),"N.S.")</f>
        <v>N.S.</v>
      </c>
      <c r="AP140" s="4" t="str">
        <f ca="1">IFERROR(INDEX(grupoEstacas[],ESF[[#This Row],[nE]],MATCH("coef. Blévot",grupoEstacas[#Headers],0)),"N.S.")</f>
        <v>N.S.</v>
      </c>
      <c r="AQ140" s="35" t="str">
        <f ca="1">IFERROR(ESF[[#This Row],[coef. Blévot]]*0.9*INDEX(tipoEstaca[],MATCH($D$2,tipoEstaca[TIPO DE ESTACA],0),MATCH("fcd (kN/cm²)",tipoEstaca[#Headers],0)),"N.S.")</f>
        <v>N.S.</v>
      </c>
      <c r="AR140" s="82" t="str">
        <f ca="1">IF(AND(ESF[[#This Row],[cd,b,pil (kN/cm²)]]&lt;=ESF[[#This Row],[cd,b,lim (kN/cm²)]],ESF[[#This Row],[cd,b,est (kN/cm²)]]&lt;=ESF[[#This Row],[cd,b,lim (kN/cm²)]]),"OK","ERRO")</f>
        <v>OK</v>
      </c>
      <c r="AS140" s="4" t="str">
        <f ca="1">As_lado(ESF[[#This Row],[nE]],ESF[[#This Row],[Nsd (kN)]],ESF[[#This Row],[d (cm)]],ESF[[#This Row],[e (cm)]],ESF[[#This Row],[ap,eq (cm)]])</f>
        <v>N.S.</v>
      </c>
      <c r="AT140" s="4" t="str">
        <f ca="1">IF(ESF[[#This Row],[nE]]=1,ESF[[#This Row],[As,lado (cm²)]],IF(ESF[[#This Row],[nE]]=2,0.075*2*ESF[a (cm)],"N.A."))</f>
        <v>N.A.</v>
      </c>
      <c r="AU140" s="4" t="str">
        <f ca="1">IFERROR(IF(ESF[[#This Row],[nE]]=1,"N.A.",0.2*ESF[[#This Row],[As,lado (cm²)]]),"N.S.")</f>
        <v>N.S.</v>
      </c>
      <c r="AV140" s="4" t="str">
        <f ca="1">As_malha(ESF[[#This Row],[nE]],ESF[[#This Row],[As,lado (cm²)]],ESF[[#This Row],[Nsd (kN)]])</f>
        <v>N.S.</v>
      </c>
      <c r="AW140" s="4" t="str">
        <f ca="1">As_susp_tot(ESF[[#This Row],[nE]],ESF[[#This Row],[Nsd (kN)]])</f>
        <v>N.S.</v>
      </c>
      <c r="AX140" s="4" t="str">
        <f ca="1">Asp_face(ESF[[#This Row],[nE]],ESF[[#This Row],[As,lado (cm²)]])</f>
        <v>N.S.</v>
      </c>
      <c r="AY140" s="5" t="str">
        <f ca="1">acoBloco(ESF[[#This Row],[nE]],ESF[[#This Row],[e (cm)]],ESF[[#This Row],[a (cm)]],ESF[[#This Row],[h (cm)]],ESF[[#This Row],[As,lado (cm²)]],ESF[[#This Row],[Asp e Asw (cm²/m)]],ESF[[#This Row],[As,sup (cm²)]],ESF[[#This Row],[As,malha (cm²)]],ESF[[#This Row],[As,susp,tot (cm²)]],ESF[[#This Row],[Asp,face (cm²)]])</f>
        <v>N.S.</v>
      </c>
      <c r="AZ140" s="4" t="str">
        <f ca="1">concretoBloco(ESF[[#This Row],[nE]],ESF[[#This Row],[e (cm)]],ESF[[#This Row],[a (cm)]],ESF[[#This Row],[h (cm)]])</f>
        <v>N.S.</v>
      </c>
      <c r="BA140" s="5">
        <f ca="1">SUM(ESF[[#This Row],[Aço Est (kg)]],ESF[[#This Row],[Aço Bloco (kg)]])</f>
        <v>9.9879084439253507</v>
      </c>
      <c r="BB140" s="4">
        <f>INDEX(composicoes[],MATCH(95580,composicoes[CÓDIGO],0),MATCH("CUSTO TOTAL",composicoes[#Headers],0))</f>
        <v>10.46</v>
      </c>
      <c r="BC140" s="4">
        <f ca="1">SUM(ESF[[#This Row],[Conc Est (m³)]],ESF[[#This Row],[Conc Bloco (m³)]])</f>
        <v>8.588328916751097</v>
      </c>
      <c r="BD140" s="4">
        <f>INDEX(composicoes[],MATCH(94966,composicoes[CÓDIGO],0),MATCH("CUSTO TOTAL",composicoes[#Headers],0))</f>
        <v>439.52</v>
      </c>
      <c r="BE140" s="38">
        <f ca="1">ESF[[#This Row],[Aço (kg)]]*ESF[[#This Row],[Aço (R$/kg)]]+ESF[[#This Row],[Conc (m³)]]*ESF[[#This Row],[Conc (R$/m³)]]</f>
        <v>3879.2158478139013</v>
      </c>
      <c r="BF140" s="4" t="str">
        <f ca="1">IF(COUNTIF(ESF[#This Row],"N.S.")&gt;0,"lim.","OK")</f>
        <v>lim.</v>
      </c>
      <c r="BG140" s="4" t="str">
        <f>IF(ESF[[#This Row],[Prof. (m)]]&lt;3,"lim.","OK")</f>
        <v>OK</v>
      </c>
      <c r="BH140" s="4" t="str">
        <f>IF(ESF[[#This Row],[Prof. (m)]]&gt;=8*ESF[[#This Row],[Ø (cm)]]/100,"OK","lim.")</f>
        <v>OK</v>
      </c>
      <c r="BI140" s="4" t="str">
        <f>IF(AND(SPT!$F$3&lt;&gt;"",ESF[[#This Row],[Prof. (m)]]&gt;=SPT!$F$3),"lim.","OK")</f>
        <v>OK</v>
      </c>
      <c r="BJ140" s="4" t="str">
        <f>IF(COUNTIFS(ESF[Solo],"Areia",ESF[Prof. (m)],"&lt;="&amp;ESF[[#This Row],[Prof. (m)]])&gt;=1,"lim.","OK")</f>
        <v>OK</v>
      </c>
      <c r="BK140" s="4" t="str">
        <f ca="1">IF(ESF[[#This Row],[Verif. Biela]]="OK","OK","lim.")</f>
        <v>OK</v>
      </c>
      <c r="BL140" s="4" t="str">
        <f ca="1">IF(COUNTA(ESF[[#This Row],[Nº Est.]:[Biela comp.]])=COUNTIF(ESF[[#This Row],[Nº Est.]:[Biela comp.]],"OK"),"OK","lim.")</f>
        <v>lim.</v>
      </c>
      <c r="BM140" s="4" t="str">
        <f ca="1">IF(ESF[[#This Row],[Controle]]="OK",ESF[[#This Row],[nE]]&amp;" Ø"&amp;ESF[[#This Row],[Ø (cm)]]&amp;"cm Prof. "&amp;ESF[[#This Row],[Prof. (m)]]&amp;" m","")</f>
        <v/>
      </c>
      <c r="BN140" s="4" t="str">
        <f ca="1">IF(ESF[[#This Row],[idDimensionamento]]="","",ESF[[#This Row],[idPilar]]&amp;ESF[[#This Row],[idDimensionamento]])</f>
        <v/>
      </c>
    </row>
    <row r="141" spans="2:66" x14ac:dyDescent="0.25">
      <c r="B141" s="12">
        <f>ROUNDUP((ROW(ESF[[#This Row],[idDiâmetro]])-ROW(ESF[[#Headers],[idDiâmetro]]))/(COUNT(SPT[Prof. (m)])*COUNT(PILARES[Pilar])),0)</f>
        <v>5</v>
      </c>
      <c r="C141" s="12">
        <f>IF(ESF[[#This Row],[idDiâmetro]]&lt;&gt;B140,1,IF(ESF[[#This Row],[Prof. (m)]]=0,C140+1,C140))</f>
        <v>2</v>
      </c>
      <c r="D141" s="82">
        <f>IFERROR(IF(D140=MAX(SPT[Prof. (m)]),0,D140+1),0)</f>
        <v>10</v>
      </c>
      <c r="E141" s="82">
        <f>INDEX(SPT[],MATCH(ESF[[#This Row],[Prof. (m)]],SPT[Prof. (m)],0),2)</f>
        <v>32</v>
      </c>
      <c r="F141" s="82" t="str">
        <f>INDEX(SPT[],MATCH(ESF[[#This Row],[Prof. (m)]],SPT[Prof. (m)],0),3)</f>
        <v>Areia siltosa</v>
      </c>
      <c r="G141" s="82">
        <f>INDEX(estacas[],ESF[[#This Row],[idDiâmetro]],MATCH($B$2,estacas[#Headers],0))</f>
        <v>45</v>
      </c>
      <c r="H141" s="82">
        <f>INDEX(estacas[],MATCH(ESF[[#This Row],[Ø (cm)]],estacas[Ø ESF (cm)],0),MATCH(ESF[[#Headers],[Pe ESF (kN)]],estacas[#Headers],0))</f>
        <v>810</v>
      </c>
      <c r="I141" s="4">
        <f>INDEX(K_alpha_C[],MATCH(ESF[[#This Row],[Solo]],K_alpha_C[Solo],0),2)</f>
        <v>0.8</v>
      </c>
      <c r="J141" s="5">
        <f>INDEX(K_alpha_C[],MATCH(ESF[[#This Row],[Solo]],K_alpha_C[Solo],0),3)</f>
        <v>2</v>
      </c>
      <c r="K141" s="4">
        <f>INDEX(F1_F2[],MATCH($D$2,F1_F2[Tipo de estaca],0),2)</f>
        <v>3</v>
      </c>
      <c r="L141" s="4">
        <f>INDEX(F1_F2[],MATCH($D$2,F1_F2[Tipo de estaca],0),3)</f>
        <v>6</v>
      </c>
      <c r="M141" s="4">
        <f>PI()*(ESF[[#This Row],[Ø (cm)]]/100)^2/4</f>
        <v>0.15904312808798329</v>
      </c>
      <c r="N141" s="4">
        <f>PI()*ESF[[#This Row],[Ø (cm)]]/100</f>
        <v>1.4137166941154069</v>
      </c>
      <c r="O141" s="4">
        <f>IF(ESF[[#This Row],[Prof. (m)]]=0,0,ESF[[#This Row],[α (%)]]/100*ESF[[#This Row],[K (MPa)]]*1000*ESF[[#This Row],[NSPT]])</f>
        <v>512</v>
      </c>
      <c r="P141" s="4">
        <f>IF(ESF[[#This Row],[Prof. (m)]]=0,0,(ESF[[#This Row],[K (MPa)]]*1000*ESF[[#This Row],[NSPT]]/ESF[[#This Row],[F1]]*ESF[[#This Row],[Ap (m²)]]+ESF[[#This Row],[U (m)]]/ESF[[#This Row],[F2]]*SUMIFS(ESF[(α∙K∙NL∙ΔL)],ESF[Prof. (m)],"&lt;="&amp;ESF[[#This Row],[Prof. (m)]],ESF[idDiâmetro],ESF[[#This Row],[idDiâmetro]],ESF[idPilar],ESF[[#This Row],[idPilar]]))/'DADOS CAP. CARGA'!$D$2)</f>
        <v>905.70938105748655</v>
      </c>
      <c r="Q141" s="12">
        <f>INDEX(C_alpha_beta[],MATCH(ESF[[#This Row],[Solo]],C_alpha_beta[Solo],0),MATCH(ESF[[#Headers],[C (kPa)]],C_alpha_beta[#Headers],0))</f>
        <v>400</v>
      </c>
      <c r="R141" s="4">
        <f>INDEX(C_alpha_beta[],MATCH(ESF[[#This Row],[Solo]],C_alpha_beta[Solo],0),MATCH(ESF[[#Headers],[α ESF]],C_alpha_beta[#Headers],0))</f>
        <v>0.5</v>
      </c>
      <c r="S141" s="4">
        <f>INDEX(C_alpha_beta[],MATCH(ESF[[#This Row],[Solo]],C_alpha_beta[Solo],0),MATCH(ESF[[#Headers],[β ESF]],C_alpha_beta[#Headers],0))</f>
        <v>0.5</v>
      </c>
      <c r="T141" s="4">
        <f>IF(ESF[[#This Row],[Prof. (m)]]=0,0,10*(ESF[[#This Row],[NSPT]]/3+1))</f>
        <v>116.66666666666666</v>
      </c>
      <c r="U141" s="4">
        <f>(ESF[[#This Row],[α ESF]]*ESF[[#This Row],[C (kPa)]]*ESF[[#This Row],[NSPT]]*ESF[[#This Row],[Ap (m²)]])/'DADOS CAP. CARGA'!$Q$2+(ESF[[#This Row],[β ESF]]*SUMIFS(ESF[10∙(NL/3+1)],ESF[Prof. (m)],"&lt;="&amp;ESF[[#This Row],[Prof. (m)]],ESF[idDiâmetro],ESF[[#This Row],[idDiâmetro]],ESF[idPilar],ESF[[#This Row],[idPilar]])*ESF[[#This Row],[U (m)]])/'DADOS CAP. CARGA'!$S$2</f>
        <v>442.9645641561608</v>
      </c>
      <c r="V141" s="4">
        <f>IF(SPT!$M$5=1,MIN(ESF[[#This Row],[Pe ESF (kN)]],ESF[[#This Row],[R_AV (kN)]]),IF(SPT!$M$5=2,MIN(ESF[[#This Row],[Pe ESF (kN)]],ESF[[#This Row],[R_DC (kN)]]),MIN(ESF[[#This Row],[Pe ESF (kN)]],ESF[[#This Row],[R_AV (kN)]],ESF[[#This Row],[R_DC (kN)]])))</f>
        <v>442.9645641561608</v>
      </c>
      <c r="W141" s="4">
        <f>INDEX(PILARES[],ESF[[#This Row],[idPilar]],MATCH("Carga (kN)",PILARES[#Headers],0))*1.4</f>
        <v>1750</v>
      </c>
      <c r="X141" s="12">
        <f>INDEX(PILARES[],ESF[[#This Row],[idPilar]],MATCH(ESF[[#Headers],[ap (cm)]],PILARES[#Headers],0))</f>
        <v>50</v>
      </c>
      <c r="Y141" s="12">
        <f>INDEX(PILARES[],ESF[[#This Row],[idPilar]],MATCH(ESF[[#Headers],[bp (cm)]],PILARES[#Headers],0))</f>
        <v>40</v>
      </c>
      <c r="Z141" s="4">
        <f>SQRT(ESF[[#This Row],[ap (cm)]]*ESF[[#This Row],[bp (cm)]])</f>
        <v>44.721359549995796</v>
      </c>
      <c r="AA141" s="12">
        <f>ESF[[#This Row],[ap (cm)]]*ESF[[#This Row],[bp (cm)]]</f>
        <v>2000</v>
      </c>
      <c r="AB141" s="12">
        <f ca="1">IF(ESF[[#This Row],[Padm∙ε (kN)]]&gt;=ESF[[#This Row],[Padm (kN)]],ROUNDUP(1.05*ESF[[#This Row],[Nsd (kN)]]/ESF[[#This Row],[Padm (kN)]],0),ROUNDUP(1.05*ESF[[#This Row],[Nsd (kN)]]/ESF[[#This Row],[Padm (kN)]],0)+1)</f>
        <v>5</v>
      </c>
      <c r="AC141" s="4" t="str">
        <f ca="1">IFERROR(IF(ESF[[#This Row],[nE]]=1,ESF[[#This Row],[Padm (kN)]],ESF[[#This Row],[Padm (kN)]]*ESF[[#This Row],[nE]]*INDEX(grupoEstacas[],ESF[[#This Row],[nE]],MATCH("ε",grupoEstacas[#Headers],0))),"N.S.")</f>
        <v>N.S.</v>
      </c>
      <c r="AD141" s="4">
        <f ca="1">1.05*ESF[[#This Row],[Nsd (kN)]]/(ESF[[#This Row],[nE]]*PI()*ESF[[#This Row],[Ø (cm)]]^2/4)*10</f>
        <v>2.3106939885934437</v>
      </c>
      <c r="AE141" s="4">
        <f ca="1">IF(ESF[[#This Row],[σ (MPa)]]&lt;INDEX(tipoEstaca[],MATCH($D$2,tipoEstaca[TIPO DE ESTACA],0),MATCH("σmáx (MPa)",tipoEstaca[#Headers],0)),0.4%*PI()*ESF[[#This Row],[Ø (cm)]]^2/4,"N.S.")</f>
        <v>6.3617251235193315</v>
      </c>
      <c r="AF141" s="82">
        <f>INDEX(tipoEstaca[],MATCH($D$2,tipoEstaca[TIPO DE ESTACA],0),MATCH(ESF[[#Headers],[Comprimento (m)]],tipoEstaca[#Headers],0))</f>
        <v>2</v>
      </c>
      <c r="AG141" s="5">
        <f ca="1">ESF[[#This Row],[As,mín (cm²)]]/100^2*ESF[[#This Row],[Comprimento (m)]]*7850</f>
        <v>9.9879084439253507</v>
      </c>
      <c r="AH141" s="4">
        <f ca="1">ESF[[#This Row],[nE]]*ESF[[#This Row],[Prof. (m)]]*ESF[[#This Row],[Ap (m²)]]</f>
        <v>7.9521564043991644</v>
      </c>
      <c r="AI141" s="82">
        <f ca="1">IF(ESF[[#This Row],[nE]]=1,0,MAX(3*ESF[[#This Row],[Ø (cm)]],60))</f>
        <v>135</v>
      </c>
      <c r="AJ141" s="82">
        <f ca="1">IF(ESF[[#This Row],[nE]]=1,ESF[[#This Row],[Ø (cm)]]+2*10,MAX(1.5*ESF[[#This Row],[Ø (cm)]],ESF[[#This Row],[Ø (cm)]]+15))</f>
        <v>67.5</v>
      </c>
      <c r="AK141" s="82" t="str">
        <f ca="1">alturaUtil(ESF[[#This Row],[nE]],ESF[[#This Row],[Ø (cm)]],ESF[[#This Row],[e (cm)]],ESF[[#This Row],[ap,eq (cm)]])</f>
        <v>N.S.</v>
      </c>
      <c r="AL141" s="82" t="str">
        <f ca="1">IFERROR(ESF[[#This Row],[d (cm)]]+arredondarParaCimaMultiplo5cm(MAX(5,SQRT(PI())/2*ESF[[#This Row],[Ø (cm)]]/5)),"N.S.")</f>
        <v>N.S.</v>
      </c>
      <c r="AM141" s="5" t="str">
        <f ca="1">alpha(ESF[[#This Row],[nE]],ESF[[#This Row],[d (cm)]],ESF[[#This Row],[e (cm)]],ESF[[#This Row],[ap,eq (cm)]])</f>
        <v>N.S.</v>
      </c>
      <c r="AN141" s="35" t="str">
        <f ca="1">IFERROR(ESF[[#This Row],[Nsd (kN)]]/(ESF[[#This Row],[Ap (cm²)]]*SIN(ESF[[#This Row],[α]])^2),"N.S.")</f>
        <v>N.S.</v>
      </c>
      <c r="AO141" s="35" t="str">
        <f ca="1">IFERROR(ESF[[#This Row],[Nsd (kN)]]/(ESF[[#This Row],[nE]]*PI()*ESF[[#This Row],[Ø (cm)]]^2/4*SIN(ESF[[#This Row],[α]])^2),"N.S.")</f>
        <v>N.S.</v>
      </c>
      <c r="AP141" s="4" t="str">
        <f ca="1">IFERROR(INDEX(grupoEstacas[],ESF[[#This Row],[nE]],MATCH("coef. Blévot",grupoEstacas[#Headers],0)),"N.S.")</f>
        <v>N.S.</v>
      </c>
      <c r="AQ141" s="35" t="str">
        <f ca="1">IFERROR(ESF[[#This Row],[coef. Blévot]]*0.9*INDEX(tipoEstaca[],MATCH($D$2,tipoEstaca[TIPO DE ESTACA],0),MATCH("fcd (kN/cm²)",tipoEstaca[#Headers],0)),"N.S.")</f>
        <v>N.S.</v>
      </c>
      <c r="AR141" s="82" t="str">
        <f ca="1">IF(AND(ESF[[#This Row],[cd,b,pil (kN/cm²)]]&lt;=ESF[[#This Row],[cd,b,lim (kN/cm²)]],ESF[[#This Row],[cd,b,est (kN/cm²)]]&lt;=ESF[[#This Row],[cd,b,lim (kN/cm²)]]),"OK","ERRO")</f>
        <v>OK</v>
      </c>
      <c r="AS141" s="4" t="str">
        <f ca="1">As_lado(ESF[[#This Row],[nE]],ESF[[#This Row],[Nsd (kN)]],ESF[[#This Row],[d (cm)]],ESF[[#This Row],[e (cm)]],ESF[[#This Row],[ap,eq (cm)]])</f>
        <v>N.S.</v>
      </c>
      <c r="AT141" s="4" t="str">
        <f ca="1">IF(ESF[[#This Row],[nE]]=1,ESF[[#This Row],[As,lado (cm²)]],IF(ESF[[#This Row],[nE]]=2,0.075*2*ESF[a (cm)],"N.A."))</f>
        <v>N.A.</v>
      </c>
      <c r="AU141" s="4" t="str">
        <f ca="1">IFERROR(IF(ESF[[#This Row],[nE]]=1,"N.A.",0.2*ESF[[#This Row],[As,lado (cm²)]]),"N.S.")</f>
        <v>N.S.</v>
      </c>
      <c r="AV141" s="4" t="str">
        <f ca="1">As_malha(ESF[[#This Row],[nE]],ESF[[#This Row],[As,lado (cm²)]],ESF[[#This Row],[Nsd (kN)]])</f>
        <v>N.S.</v>
      </c>
      <c r="AW141" s="4" t="str">
        <f ca="1">As_susp_tot(ESF[[#This Row],[nE]],ESF[[#This Row],[Nsd (kN)]])</f>
        <v>N.S.</v>
      </c>
      <c r="AX141" s="4" t="str">
        <f ca="1">Asp_face(ESF[[#This Row],[nE]],ESF[[#This Row],[As,lado (cm²)]])</f>
        <v>N.S.</v>
      </c>
      <c r="AY141" s="5" t="str">
        <f ca="1">acoBloco(ESF[[#This Row],[nE]],ESF[[#This Row],[e (cm)]],ESF[[#This Row],[a (cm)]],ESF[[#This Row],[h (cm)]],ESF[[#This Row],[As,lado (cm²)]],ESF[[#This Row],[Asp e Asw (cm²/m)]],ESF[[#This Row],[As,sup (cm²)]],ESF[[#This Row],[As,malha (cm²)]],ESF[[#This Row],[As,susp,tot (cm²)]],ESF[[#This Row],[Asp,face (cm²)]])</f>
        <v>N.S.</v>
      </c>
      <c r="AZ141" s="4" t="str">
        <f ca="1">concretoBloco(ESF[[#This Row],[nE]],ESF[[#This Row],[e (cm)]],ESF[[#This Row],[a (cm)]],ESF[[#This Row],[h (cm)]])</f>
        <v>N.S.</v>
      </c>
      <c r="BA141" s="5">
        <f ca="1">SUM(ESF[[#This Row],[Aço Est (kg)]],ESF[[#This Row],[Aço Bloco (kg)]])</f>
        <v>9.9879084439253507</v>
      </c>
      <c r="BB141" s="4">
        <f>INDEX(composicoes[],MATCH(95580,composicoes[CÓDIGO],0),MATCH("CUSTO TOTAL",composicoes[#Headers],0))</f>
        <v>10.46</v>
      </c>
      <c r="BC141" s="4">
        <f ca="1">SUM(ESF[[#This Row],[Conc Est (m³)]],ESF[[#This Row],[Conc Bloco (m³)]])</f>
        <v>7.9521564043991644</v>
      </c>
      <c r="BD141" s="4">
        <f>INDEX(composicoes[],MATCH(94966,composicoes[CÓDIGO],0),MATCH("CUSTO TOTAL",composicoes[#Headers],0))</f>
        <v>439.52</v>
      </c>
      <c r="BE141" s="38">
        <f ca="1">ESF[[#This Row],[Aço (kg)]]*ESF[[#This Row],[Aço (R$/kg)]]+ESF[[#This Row],[Conc (m³)]]*ESF[[#This Row],[Conc (R$/m³)]]</f>
        <v>3599.6053051849799</v>
      </c>
      <c r="BF141" s="4" t="str">
        <f ca="1">IF(COUNTIF(ESF[#This Row],"N.S.")&gt;0,"lim.","OK")</f>
        <v>lim.</v>
      </c>
      <c r="BG141" s="4" t="str">
        <f>IF(ESF[[#This Row],[Prof. (m)]]&lt;3,"lim.","OK")</f>
        <v>OK</v>
      </c>
      <c r="BH141" s="4" t="str">
        <f>IF(ESF[[#This Row],[Prof. (m)]]&gt;=8*ESF[[#This Row],[Ø (cm)]]/100,"OK","lim.")</f>
        <v>OK</v>
      </c>
      <c r="BI141" s="4" t="str">
        <f>IF(AND(SPT!$F$3&lt;&gt;"",ESF[[#This Row],[Prof. (m)]]&gt;=SPT!$F$3),"lim.","OK")</f>
        <v>OK</v>
      </c>
      <c r="BJ141" s="4" t="str">
        <f>IF(COUNTIFS(ESF[Solo],"Areia",ESF[Prof. (m)],"&lt;="&amp;ESF[[#This Row],[Prof. (m)]])&gt;=1,"lim.","OK")</f>
        <v>OK</v>
      </c>
      <c r="BK141" s="4" t="str">
        <f ca="1">IF(ESF[[#This Row],[Verif. Biela]]="OK","OK","lim.")</f>
        <v>OK</v>
      </c>
      <c r="BL141" s="4" t="str">
        <f ca="1">IF(COUNTA(ESF[[#This Row],[Nº Est.]:[Biela comp.]])=COUNTIF(ESF[[#This Row],[Nº Est.]:[Biela comp.]],"OK"),"OK","lim.")</f>
        <v>lim.</v>
      </c>
      <c r="BM141" s="4" t="str">
        <f ca="1">IF(ESF[[#This Row],[Controle]]="OK",ESF[[#This Row],[nE]]&amp;" Ø"&amp;ESF[[#This Row],[Ø (cm)]]&amp;"cm Prof. "&amp;ESF[[#This Row],[Prof. (m)]]&amp;" m","")</f>
        <v/>
      </c>
      <c r="BN141" s="4" t="str">
        <f ca="1">IF(ESF[[#This Row],[idDimensionamento]]="","",ESF[[#This Row],[idPilar]]&amp;ESF[[#This Row],[idDimensionamento]])</f>
        <v/>
      </c>
    </row>
    <row r="142" spans="2:66" x14ac:dyDescent="0.25">
      <c r="B142" s="12">
        <f>ROUNDUP((ROW(ESF[[#This Row],[idDiâmetro]])-ROW(ESF[[#Headers],[idDiâmetro]]))/(COUNT(SPT[Prof. (m)])*COUNT(PILARES[Pilar])),0)</f>
        <v>5</v>
      </c>
      <c r="C142" s="12">
        <f>IF(ESF[[#This Row],[idDiâmetro]]&lt;&gt;B141,1,IF(ESF[[#This Row],[Prof. (m)]]=0,C141+1,C141))</f>
        <v>2</v>
      </c>
      <c r="D142" s="82">
        <f>IFERROR(IF(D141=MAX(SPT[Prof. (m)]),0,D141+1),0)</f>
        <v>11</v>
      </c>
      <c r="E142" s="82">
        <f>INDEX(SPT[],MATCH(ESF[[#This Row],[Prof. (m)]],SPT[Prof. (m)],0),2)</f>
        <v>41</v>
      </c>
      <c r="F142" s="82" t="str">
        <f>INDEX(SPT[],MATCH(ESF[[#This Row],[Prof. (m)]],SPT[Prof. (m)],0),3)</f>
        <v>Areia siltosa</v>
      </c>
      <c r="G142" s="82">
        <f>INDEX(estacas[],ESF[[#This Row],[idDiâmetro]],MATCH($B$2,estacas[#Headers],0))</f>
        <v>45</v>
      </c>
      <c r="H142" s="82">
        <f>INDEX(estacas[],MATCH(ESF[[#This Row],[Ø (cm)]],estacas[Ø ESF (cm)],0),MATCH(ESF[[#Headers],[Pe ESF (kN)]],estacas[#Headers],0))</f>
        <v>810</v>
      </c>
      <c r="I142" s="4">
        <f>INDEX(K_alpha_C[],MATCH(ESF[[#This Row],[Solo]],K_alpha_C[Solo],0),2)</f>
        <v>0.8</v>
      </c>
      <c r="J142" s="5">
        <f>INDEX(K_alpha_C[],MATCH(ESF[[#This Row],[Solo]],K_alpha_C[Solo],0),3)</f>
        <v>2</v>
      </c>
      <c r="K142" s="4">
        <f>INDEX(F1_F2[],MATCH($D$2,F1_F2[Tipo de estaca],0),2)</f>
        <v>3</v>
      </c>
      <c r="L142" s="4">
        <f>INDEX(F1_F2[],MATCH($D$2,F1_F2[Tipo de estaca],0),3)</f>
        <v>6</v>
      </c>
      <c r="M142" s="4">
        <f>PI()*(ESF[[#This Row],[Ø (cm)]]/100)^2/4</f>
        <v>0.15904312808798329</v>
      </c>
      <c r="N142" s="4">
        <f>PI()*ESF[[#This Row],[Ø (cm)]]/100</f>
        <v>1.4137166941154069</v>
      </c>
      <c r="O142" s="4">
        <f>IF(ESF[[#This Row],[Prof. (m)]]=0,0,ESF[[#This Row],[α (%)]]/100*ESF[[#This Row],[K (MPa)]]*1000*ESF[[#This Row],[NSPT]])</f>
        <v>656</v>
      </c>
      <c r="P142" s="4">
        <f>IF(ESF[[#This Row],[Prof. (m)]]=0,0,(ESF[[#This Row],[K (MPa)]]*1000*ESF[[#This Row],[NSPT]]/ESF[[#This Row],[F1]]*ESF[[#This Row],[Ap (m²)]]+ESF[[#This Row],[U (m)]]/ESF[[#This Row],[F2]]*SUMIFS(ESF[(α∙K∙NL∙ΔL)],ESF[Prof. (m)],"&lt;="&amp;ESF[[#This Row],[Prof. (m)]],ESF[idDiâmetro],ESF[[#This Row],[idDiâmetro]],ESF[idPilar],ESF[[#This Row],[idPilar]]))/'DADOS CAP. CARGA'!$D$2)</f>
        <v>1173.8443140413754</v>
      </c>
      <c r="Q142" s="12">
        <f>INDEX(C_alpha_beta[],MATCH(ESF[[#This Row],[Solo]],C_alpha_beta[Solo],0),MATCH(ESF[[#Headers],[C (kPa)]],C_alpha_beta[#Headers],0))</f>
        <v>400</v>
      </c>
      <c r="R142" s="4">
        <f>INDEX(C_alpha_beta[],MATCH(ESF[[#This Row],[Solo]],C_alpha_beta[Solo],0),MATCH(ESF[[#Headers],[α ESF]],C_alpha_beta[#Headers],0))</f>
        <v>0.5</v>
      </c>
      <c r="S142" s="4">
        <f>INDEX(C_alpha_beta[],MATCH(ESF[[#This Row],[Solo]],C_alpha_beta[Solo],0),MATCH(ESF[[#Headers],[β ESF]],C_alpha_beta[#Headers],0))</f>
        <v>0.5</v>
      </c>
      <c r="T142" s="4">
        <f>IF(ESF[[#This Row],[Prof. (m)]]=0,0,10*(ESF[[#This Row],[NSPT]]/3+1))</f>
        <v>146.66666666666666</v>
      </c>
      <c r="U142" s="4">
        <f>(ESF[[#This Row],[α ESF]]*ESF[[#This Row],[C (kPa)]]*ESF[[#This Row],[NSPT]]*ESF[[#This Row],[Ap (m²)]])/'DADOS CAP. CARGA'!$Q$2+(ESF[[#This Row],[β ESF]]*SUMIFS(ESF[10∙(NL/3+1)],ESF[Prof. (m)],"&lt;="&amp;ESF[[#This Row],[Prof. (m)]],ESF[idDiâmetro],ESF[[#This Row],[idDiâmetro]],ESF[idPilar],ESF[[#This Row],[idPilar]])*ESF[[#This Row],[U (m)]])/'DADOS CAP. CARGA'!$S$2</f>
        <v>566.37025057998483</v>
      </c>
      <c r="V142" s="4">
        <f>IF(SPT!$M$5=1,MIN(ESF[[#This Row],[Pe ESF (kN)]],ESF[[#This Row],[R_AV (kN)]]),IF(SPT!$M$5=2,MIN(ESF[[#This Row],[Pe ESF (kN)]],ESF[[#This Row],[R_DC (kN)]]),MIN(ESF[[#This Row],[Pe ESF (kN)]],ESF[[#This Row],[R_AV (kN)]],ESF[[#This Row],[R_DC (kN)]])))</f>
        <v>566.37025057998483</v>
      </c>
      <c r="W142" s="4">
        <f>INDEX(PILARES[],ESF[[#This Row],[idPilar]],MATCH("Carga (kN)",PILARES[#Headers],0))*1.4</f>
        <v>1750</v>
      </c>
      <c r="X142" s="12">
        <f>INDEX(PILARES[],ESF[[#This Row],[idPilar]],MATCH(ESF[[#Headers],[ap (cm)]],PILARES[#Headers],0))</f>
        <v>50</v>
      </c>
      <c r="Y142" s="12">
        <f>INDEX(PILARES[],ESF[[#This Row],[idPilar]],MATCH(ESF[[#Headers],[bp (cm)]],PILARES[#Headers],0))</f>
        <v>40</v>
      </c>
      <c r="Z142" s="4">
        <f>SQRT(ESF[[#This Row],[ap (cm)]]*ESF[[#This Row],[bp (cm)]])</f>
        <v>44.721359549995796</v>
      </c>
      <c r="AA142" s="12">
        <f>ESF[[#This Row],[ap (cm)]]*ESF[[#This Row],[bp (cm)]]</f>
        <v>2000</v>
      </c>
      <c r="AB142" s="12">
        <f ca="1">IF(ESF[[#This Row],[Padm∙ε (kN)]]&gt;=ESF[[#This Row],[Padm (kN)]],ROUNDUP(1.05*ESF[[#This Row],[Nsd (kN)]]/ESF[[#This Row],[Padm (kN)]],0),ROUNDUP(1.05*ESF[[#This Row],[Nsd (kN)]]/ESF[[#This Row],[Padm (kN)]],0)+1)</f>
        <v>4</v>
      </c>
      <c r="AC142" s="4">
        <f ca="1">IFERROR(IF(ESF[[#This Row],[nE]]=1,ESF[[#This Row],[Padm (kN)]],ESF[[#This Row],[Padm (kN)]]*ESF[[#This Row],[nE]]*INDEX(grupoEstacas[],ESF[[#This Row],[nE]],MATCH("ε",grupoEstacas[#Headers],0))),"N.S.")</f>
        <v>1840.7033143849508</v>
      </c>
      <c r="AD142" s="4">
        <f ca="1">1.05*ESF[[#This Row],[Nsd (kN)]]/(ESF[[#This Row],[nE]]*PI()*ESF[[#This Row],[Ø (cm)]]^2/4)*10</f>
        <v>2.8883674857418047</v>
      </c>
      <c r="AE142" s="4">
        <f ca="1">IF(ESF[[#This Row],[σ (MPa)]]&lt;INDEX(tipoEstaca[],MATCH($D$2,tipoEstaca[TIPO DE ESTACA],0),MATCH("σmáx (MPa)",tipoEstaca[#Headers],0)),0.4%*PI()*ESF[[#This Row],[Ø (cm)]]^2/4,"N.S.")</f>
        <v>6.3617251235193315</v>
      </c>
      <c r="AF142" s="82">
        <f>INDEX(tipoEstaca[],MATCH($D$2,tipoEstaca[TIPO DE ESTACA],0),MATCH(ESF[[#Headers],[Comprimento (m)]],tipoEstaca[#Headers],0))</f>
        <v>2</v>
      </c>
      <c r="AG142" s="5">
        <f ca="1">ESF[[#This Row],[As,mín (cm²)]]/100^2*ESF[[#This Row],[Comprimento (m)]]*7850</f>
        <v>9.9879084439253507</v>
      </c>
      <c r="AH142" s="4">
        <f ca="1">ESF[[#This Row],[nE]]*ESF[[#This Row],[Prof. (m)]]*ESF[[#This Row],[Ap (m²)]]</f>
        <v>6.997897635871265</v>
      </c>
      <c r="AI142" s="82">
        <f ca="1">IF(ESF[[#This Row],[nE]]=1,0,MAX(3*ESF[[#This Row],[Ø (cm)]],60))</f>
        <v>135</v>
      </c>
      <c r="AJ142" s="82">
        <f ca="1">IF(ESF[[#This Row],[nE]]=1,ESF[[#This Row],[Ø (cm)]]+2*10,MAX(1.5*ESF[[#This Row],[Ø (cm)]],ESF[[#This Row],[Ø (cm)]]+15))</f>
        <v>67.5</v>
      </c>
      <c r="AK142" s="82">
        <f ca="1">alturaUtil(ESF[[#This Row],[nE]],ESF[[#This Row],[Ø (cm)]],ESF[[#This Row],[e (cm)]],ESF[[#This Row],[ap,eq (cm)]])</f>
        <v>60</v>
      </c>
      <c r="AL142" s="82">
        <f ca="1">IFERROR(ESF[[#This Row],[d (cm)]]+arredondarParaCimaMultiplo5cm(MAX(5,SQRT(PI())/2*ESF[[#This Row],[Ø (cm)]]/5)),"N.S.")</f>
        <v>70</v>
      </c>
      <c r="AM142" s="5">
        <f ca="1">alpha(ESF[[#This Row],[nE]],ESF[[#This Row],[d (cm)]],ESF[[#This Row],[e (cm)]],ESF[[#This Row],[ap,eq (cm)]])</f>
        <v>46.812226921898493</v>
      </c>
      <c r="AN142" s="35">
        <f ca="1">IFERROR(ESF[[#This Row],[Nsd (kN)]]/(ESF[[#This Row],[Ap (cm²)]]*SIN(ESF[[#This Row],[α]])^2),"N.S.")</f>
        <v>9.3056186418133606</v>
      </c>
      <c r="AO142" s="35">
        <f ca="1">IFERROR(ESF[[#This Row],[Nsd (kN)]]/(ESF[[#This Row],[nE]]*PI()*ESF[[#This Row],[Ø (cm)]]^2/4*SIN(ESF[[#This Row],[α]])^2),"N.S.")</f>
        <v>2.9255016402423424</v>
      </c>
      <c r="AP142" s="4">
        <f ca="1">IFERROR(INDEX(grupoEstacas[],ESF[[#This Row],[nE]],MATCH("coef. Blévot",grupoEstacas[#Headers],0)),"N.S.")</f>
        <v>2.1</v>
      </c>
      <c r="AQ142" s="35">
        <f ca="1">IFERROR(ESF[[#This Row],[coef. Blévot]]*0.9*INDEX(tipoEstaca[],MATCH($D$2,tipoEstaca[TIPO DE ESTACA],0),MATCH("fcd (kN/cm²)",tipoEstaca[#Headers],0)),"N.S.")</f>
        <v>1.5120000000000002</v>
      </c>
      <c r="AR142" s="82" t="str">
        <f ca="1">IF(AND(ESF[[#This Row],[cd,b,pil (kN/cm²)]]&lt;=ESF[[#This Row],[cd,b,lim (kN/cm²)]],ESF[[#This Row],[cd,b,est (kN/cm²)]]&lt;=ESF[[#This Row],[cd,b,lim (kN/cm²)]]),"OK","ERRO")</f>
        <v>ERRO</v>
      </c>
      <c r="AS142" s="4">
        <f ca="1">As_lado(ESF[[#This Row],[nE]],ESF[[#This Row],[Nsd (kN)]],ESF[[#This Row],[d (cm)]],ESF[[#This Row],[e (cm)]],ESF[[#This Row],[ap,eq (cm)]])</f>
        <v>9.4452763313673653</v>
      </c>
      <c r="AT142" s="4" t="str">
        <f ca="1">IF(ESF[[#This Row],[nE]]=1,ESF[[#This Row],[As,lado (cm²)]],IF(ESF[[#This Row],[nE]]=2,0.075*2*ESF[a (cm)],"N.A."))</f>
        <v>N.A.</v>
      </c>
      <c r="AU142" s="4">
        <f ca="1">IFERROR(IF(ESF[[#This Row],[nE]]=1,"N.A.",0.2*ESF[[#This Row],[As,lado (cm²)]]),"N.S.")</f>
        <v>1.8890552662734732</v>
      </c>
      <c r="AV142" s="4">
        <f ca="1">As_malha(ESF[[#This Row],[nE]],ESF[[#This Row],[As,lado (cm²)]],ESF[[#This Row],[Nsd (kN)]])</f>
        <v>1.8890552662734732</v>
      </c>
      <c r="AW142" s="4">
        <f ca="1">As_susp_tot(ESF[[#This Row],[nE]],ESF[[#This Row],[Nsd (kN)]])</f>
        <v>6.708333333333333</v>
      </c>
      <c r="AX142" s="4">
        <f ca="1">Asp_face(ESF[[#This Row],[nE]],ESF[[#This Row],[As,lado (cm²)]])</f>
        <v>4.7226381656836827</v>
      </c>
      <c r="AY142" s="5">
        <f ca="1">acoBloco(ESF[[#This Row],[nE]],ESF[[#This Row],[e (cm)]],ESF[[#This Row],[a (cm)]],ESF[[#This Row],[h (cm)]],ESF[[#This Row],[As,lado (cm²)]],ESF[[#This Row],[Asp e Asw (cm²/m)]],ESF[[#This Row],[As,sup (cm²)]],ESF[[#This Row],[As,malha (cm²)]],ESF[[#This Row],[As,susp,tot (cm²)]],ESF[[#This Row],[Asp,face (cm²)]])</f>
        <v>147.82492409386521</v>
      </c>
      <c r="AZ142" s="4">
        <f ca="1">concretoBloco(ESF[[#This Row],[nE]],ESF[[#This Row],[e (cm)]],ESF[[#This Row],[a (cm)]],ESF[[#This Row],[h (cm)]])</f>
        <v>5.1029999999999998</v>
      </c>
      <c r="BA142" s="5">
        <f ca="1">SUM(ESF[[#This Row],[Aço Est (kg)]],ESF[[#This Row],[Aço Bloco (kg)]])</f>
        <v>157.81283253779057</v>
      </c>
      <c r="BB142" s="4">
        <f>INDEX(composicoes[],MATCH(95580,composicoes[CÓDIGO],0),MATCH("CUSTO TOTAL",composicoes[#Headers],0))</f>
        <v>10.46</v>
      </c>
      <c r="BC142" s="4">
        <f ca="1">SUM(ESF[[#This Row],[Conc Est (m³)]],ESF[[#This Row],[Conc Bloco (m³)]])</f>
        <v>12.100897635871265</v>
      </c>
      <c r="BD142" s="4">
        <f>INDEX(composicoes[],MATCH(94966,composicoes[CÓDIGO],0),MATCH("CUSTO TOTAL",composicoes[#Headers],0))</f>
        <v>439.52</v>
      </c>
      <c r="BE142" s="38">
        <f ca="1">ESF[[#This Row],[Aço (kg)]]*ESF[[#This Row],[Aço (R$/kg)]]+ESF[[#This Row],[Conc (m³)]]*ESF[[#This Row],[Conc (R$/m³)]]</f>
        <v>6969.3087572634277</v>
      </c>
      <c r="BF142" s="4" t="str">
        <f ca="1">IF(COUNTIF(ESF[#This Row],"N.S.")&gt;0,"lim.","OK")</f>
        <v>OK</v>
      </c>
      <c r="BG142" s="4" t="str">
        <f>IF(ESF[[#This Row],[Prof. (m)]]&lt;3,"lim.","OK")</f>
        <v>OK</v>
      </c>
      <c r="BH142" s="4" t="str">
        <f>IF(ESF[[#This Row],[Prof. (m)]]&gt;=8*ESF[[#This Row],[Ø (cm)]]/100,"OK","lim.")</f>
        <v>OK</v>
      </c>
      <c r="BI142" s="4" t="str">
        <f>IF(AND(SPT!$F$3&lt;&gt;"",ESF[[#This Row],[Prof. (m)]]&gt;=SPT!$F$3),"lim.","OK")</f>
        <v>OK</v>
      </c>
      <c r="BJ142" s="4" t="str">
        <f>IF(COUNTIFS(ESF[Solo],"Areia",ESF[Prof. (m)],"&lt;="&amp;ESF[[#This Row],[Prof. (m)]])&gt;=1,"lim.","OK")</f>
        <v>OK</v>
      </c>
      <c r="BK142" s="4" t="str">
        <f ca="1">IF(ESF[[#This Row],[Verif. Biela]]="OK","OK","lim.")</f>
        <v>lim.</v>
      </c>
      <c r="BL142" s="4" t="str">
        <f ca="1">IF(COUNTA(ESF[[#This Row],[Nº Est.]:[Biela comp.]])=COUNTIF(ESF[[#This Row],[Nº Est.]:[Biela comp.]],"OK"),"OK","lim.")</f>
        <v>lim.</v>
      </c>
      <c r="BM142" s="4" t="str">
        <f ca="1">IF(ESF[[#This Row],[Controle]]="OK",ESF[[#This Row],[nE]]&amp;" Ø"&amp;ESF[[#This Row],[Ø (cm)]]&amp;"cm Prof. "&amp;ESF[[#This Row],[Prof. (m)]]&amp;" m","")</f>
        <v/>
      </c>
      <c r="BN142" s="4" t="str">
        <f ca="1">IF(ESF[[#This Row],[idDimensionamento]]="","",ESF[[#This Row],[idPilar]]&amp;ESF[[#This Row],[idDimensionamento]])</f>
        <v/>
      </c>
    </row>
    <row r="143" spans="2:66" x14ac:dyDescent="0.25">
      <c r="B143" s="12">
        <f>ROUNDUP((ROW(ESF[[#This Row],[idDiâmetro]])-ROW(ESF[[#Headers],[idDiâmetro]]))/(COUNT(SPT[Prof. (m)])*COUNT(PILARES[Pilar])),0)</f>
        <v>5</v>
      </c>
      <c r="C143" s="12">
        <f>IF(ESF[[#This Row],[idDiâmetro]]&lt;&gt;B142,1,IF(ESF[[#This Row],[Prof. (m)]]=0,C142+1,C142))</f>
        <v>2</v>
      </c>
      <c r="D143" s="82">
        <f>IFERROR(IF(D142=MAX(SPT[Prof. (m)]),0,D142+1),0)</f>
        <v>12</v>
      </c>
      <c r="E143" s="82">
        <f>INDEX(SPT[],MATCH(ESF[[#This Row],[Prof. (m)]],SPT[Prof. (m)],0),2)</f>
        <v>52</v>
      </c>
      <c r="F143" s="82" t="str">
        <f>INDEX(SPT[],MATCH(ESF[[#This Row],[Prof. (m)]],SPT[Prof. (m)],0),3)</f>
        <v>Areia siltosa</v>
      </c>
      <c r="G143" s="82">
        <f>INDEX(estacas[],ESF[[#This Row],[idDiâmetro]],MATCH($B$2,estacas[#Headers],0))</f>
        <v>45</v>
      </c>
      <c r="H143" s="82">
        <f>INDEX(estacas[],MATCH(ESF[[#This Row],[Ø (cm)]],estacas[Ø ESF (cm)],0),MATCH(ESF[[#Headers],[Pe ESF (kN)]],estacas[#Headers],0))</f>
        <v>810</v>
      </c>
      <c r="I143" s="4">
        <f>INDEX(K_alpha_C[],MATCH(ESF[[#This Row],[Solo]],K_alpha_C[Solo],0),2)</f>
        <v>0.8</v>
      </c>
      <c r="J143" s="5">
        <f>INDEX(K_alpha_C[],MATCH(ESF[[#This Row],[Solo]],K_alpha_C[Solo],0),3)</f>
        <v>2</v>
      </c>
      <c r="K143" s="4">
        <f>INDEX(F1_F2[],MATCH($D$2,F1_F2[Tipo de estaca],0),2)</f>
        <v>3</v>
      </c>
      <c r="L143" s="4">
        <f>INDEX(F1_F2[],MATCH($D$2,F1_F2[Tipo de estaca],0),3)</f>
        <v>6</v>
      </c>
      <c r="M143" s="4">
        <f>PI()*(ESF[[#This Row],[Ø (cm)]]/100)^2/4</f>
        <v>0.15904312808798329</v>
      </c>
      <c r="N143" s="4">
        <f>PI()*ESF[[#This Row],[Ø (cm)]]/100</f>
        <v>1.4137166941154069</v>
      </c>
      <c r="O143" s="4">
        <f>IF(ESF[[#This Row],[Prof. (m)]]=0,0,ESF[[#This Row],[α (%)]]/100*ESF[[#This Row],[K (MPa)]]*1000*ESF[[#This Row],[NSPT]])</f>
        <v>832</v>
      </c>
      <c r="P143" s="4">
        <f>IF(ESF[[#This Row],[Prof. (m)]]=0,0,(ESF[[#This Row],[K (MPa)]]*1000*ESF[[#This Row],[NSPT]]/ESF[[#This Row],[F1]]*ESF[[#This Row],[Ap (m²)]]+ESF[[#This Row],[U (m)]]/ESF[[#This Row],[F2]]*SUMIFS(ESF[(α∙K∙NL∙ΔL)],ESF[Prof. (m)],"&lt;="&amp;ESF[[#This Row],[Prof. (m)]],ESF[idDiâmetro],ESF[[#This Row],[idDiâmetro]],ESF[idPilar],ESF[[#This Row],[idPilar]]))/'DADOS CAP. CARGA'!$D$2)</f>
        <v>1505.125259362419</v>
      </c>
      <c r="Q143" s="12">
        <f>INDEX(C_alpha_beta[],MATCH(ESF[[#This Row],[Solo]],C_alpha_beta[Solo],0),MATCH(ESF[[#Headers],[C (kPa)]],C_alpha_beta[#Headers],0))</f>
        <v>400</v>
      </c>
      <c r="R143" s="4">
        <f>INDEX(C_alpha_beta[],MATCH(ESF[[#This Row],[Solo]],C_alpha_beta[Solo],0),MATCH(ESF[[#Headers],[α ESF]],C_alpha_beta[#Headers],0))</f>
        <v>0.5</v>
      </c>
      <c r="S143" s="4">
        <f>INDEX(C_alpha_beta[],MATCH(ESF[[#This Row],[Solo]],C_alpha_beta[Solo],0),MATCH(ESF[[#Headers],[β ESF]],C_alpha_beta[#Headers],0))</f>
        <v>0.5</v>
      </c>
      <c r="T143" s="4">
        <f>IF(ESF[[#This Row],[Prof. (m)]]=0,0,10*(ESF[[#This Row],[NSPT]]/3+1))</f>
        <v>183.33333333333331</v>
      </c>
      <c r="U143" s="4">
        <f>(ESF[[#This Row],[α ESF]]*ESF[[#This Row],[C (kPa)]]*ESF[[#This Row],[NSPT]]*ESF[[#This Row],[Ap (m²)]])/'DADOS CAP. CARGA'!$Q$2+(ESF[[#This Row],[β ESF]]*SUMIFS(ESF[10∙(NL/3+1)],ESF[Prof. (m)],"&lt;="&amp;ESF[[#This Row],[Prof. (m)]],ESF[idDiâmetro],ESF[[#This Row],[idDiâmetro]],ESF[idPilar],ESF[[#This Row],[idPilar]])*ESF[[#This Row],[U (m)]])/'DADOS CAP. CARGA'!$S$2</f>
        <v>718.63931950866527</v>
      </c>
      <c r="V143" s="4">
        <f>IF(SPT!$M$5=1,MIN(ESF[[#This Row],[Pe ESF (kN)]],ESF[[#This Row],[R_AV (kN)]]),IF(SPT!$M$5=2,MIN(ESF[[#This Row],[Pe ESF (kN)]],ESF[[#This Row],[R_DC (kN)]]),MIN(ESF[[#This Row],[Pe ESF (kN)]],ESF[[#This Row],[R_AV (kN)]],ESF[[#This Row],[R_DC (kN)]])))</f>
        <v>718.63931950866527</v>
      </c>
      <c r="W143" s="4">
        <f>INDEX(PILARES[],ESF[[#This Row],[idPilar]],MATCH("Carga (kN)",PILARES[#Headers],0))*1.4</f>
        <v>1750</v>
      </c>
      <c r="X143" s="12">
        <f>INDEX(PILARES[],ESF[[#This Row],[idPilar]],MATCH(ESF[[#Headers],[ap (cm)]],PILARES[#Headers],0))</f>
        <v>50</v>
      </c>
      <c r="Y143" s="12">
        <f>INDEX(PILARES[],ESF[[#This Row],[idPilar]],MATCH(ESF[[#Headers],[bp (cm)]],PILARES[#Headers],0))</f>
        <v>40</v>
      </c>
      <c r="Z143" s="4">
        <f>SQRT(ESF[[#This Row],[ap (cm)]]*ESF[[#This Row],[bp (cm)]])</f>
        <v>44.721359549995796</v>
      </c>
      <c r="AA143" s="12">
        <f>ESF[[#This Row],[ap (cm)]]*ESF[[#This Row],[bp (cm)]]</f>
        <v>2000</v>
      </c>
      <c r="AB143" s="12">
        <f ca="1">IF(ESF[[#This Row],[Padm∙ε (kN)]]&gt;=ESF[[#This Row],[Padm (kN)]],ROUNDUP(1.05*ESF[[#This Row],[Nsd (kN)]]/ESF[[#This Row],[Padm (kN)]],0),ROUNDUP(1.05*ESF[[#This Row],[Nsd (kN)]]/ESF[[#This Row],[Padm (kN)]],0)+1)</f>
        <v>3</v>
      </c>
      <c r="AC143" s="4">
        <f ca="1">IFERROR(IF(ESF[[#This Row],[nE]]=1,ESF[[#This Row],[Padm (kN)]],ESF[[#This Row],[Padm (kN)]]*ESF[[#This Row],[nE]]*INDEX(grupoEstacas[],ESF[[#This Row],[nE]],MATCH("ε",grupoEstacas[#Headers],0))),"N.S.")</f>
        <v>1886.4282137102464</v>
      </c>
      <c r="AD143" s="4">
        <f ca="1">1.05*ESF[[#This Row],[Nsd (kN)]]/(ESF[[#This Row],[nE]]*PI()*ESF[[#This Row],[Ø (cm)]]^2/4)*10</f>
        <v>3.8511566476557393</v>
      </c>
      <c r="AE143" s="4">
        <f ca="1">IF(ESF[[#This Row],[σ (MPa)]]&lt;INDEX(tipoEstaca[],MATCH($D$2,tipoEstaca[TIPO DE ESTACA],0),MATCH("σmáx (MPa)",tipoEstaca[#Headers],0)),0.4%*PI()*ESF[[#This Row],[Ø (cm)]]^2/4,"N.S.")</f>
        <v>6.3617251235193315</v>
      </c>
      <c r="AF143" s="82">
        <f>INDEX(tipoEstaca[],MATCH($D$2,tipoEstaca[TIPO DE ESTACA],0),MATCH(ESF[[#Headers],[Comprimento (m)]],tipoEstaca[#Headers],0))</f>
        <v>2</v>
      </c>
      <c r="AG143" s="5">
        <f ca="1">ESF[[#This Row],[As,mín (cm²)]]/100^2*ESF[[#This Row],[Comprimento (m)]]*7850</f>
        <v>9.9879084439253507</v>
      </c>
      <c r="AH143" s="4">
        <f ca="1">ESF[[#This Row],[nE]]*ESF[[#This Row],[Prof. (m)]]*ESF[[#This Row],[Ap (m²)]]</f>
        <v>5.7255526111673989</v>
      </c>
      <c r="AI143" s="82">
        <f ca="1">IF(ESF[[#This Row],[nE]]=1,0,MAX(3*ESF[[#This Row],[Ø (cm)]],60))</f>
        <v>135</v>
      </c>
      <c r="AJ143" s="82">
        <f ca="1">IF(ESF[[#This Row],[nE]]=1,ESF[[#This Row],[Ø (cm)]]+2*10,MAX(1.5*ESF[[#This Row],[Ø (cm)]],ESF[[#This Row],[Ø (cm)]]+15))</f>
        <v>67.5</v>
      </c>
      <c r="AK143" s="82">
        <f ca="1">alturaUtil(ESF[[#This Row],[nE]],ESF[[#This Row],[Ø (cm)]],ESF[[#This Row],[e (cm)]],ESF[[#This Row],[ap,eq (cm)]])</f>
        <v>55</v>
      </c>
      <c r="AL143" s="82">
        <f ca="1">IFERROR(ESF[[#This Row],[d (cm)]]+arredondarParaCimaMultiplo5cm(MAX(5,SQRT(PI())/2*ESF[[#This Row],[Ø (cm)]]/5)),"N.S.")</f>
        <v>65</v>
      </c>
      <c r="AM143" s="5">
        <f ca="1">alpha(ESF[[#This Row],[nE]],ESF[[#This Row],[d (cm)]],ESF[[#This Row],[e (cm)]],ESF[[#This Row],[ap,eq (cm)]])</f>
        <v>45.481328738525526</v>
      </c>
      <c r="AN143" s="35">
        <f ca="1">IFERROR(ESF[[#This Row],[Nsd (kN)]]/(ESF[[#This Row],[Ap (cm²)]]*SIN(ESF[[#This Row],[α]])^2),"N.S.")</f>
        <v>0.87952192328683043</v>
      </c>
      <c r="AO143" s="35">
        <f ca="1">IFERROR(ESF[[#This Row],[Nsd (kN)]]/(ESF[[#This Row],[nE]]*PI()*ESF[[#This Row],[Ø (cm)]]^2/4*SIN(ESF[[#This Row],[α]])^2),"N.S.")</f>
        <v>0.36867229405442586</v>
      </c>
      <c r="AP143" s="4">
        <f ca="1">IFERROR(INDEX(grupoEstacas[],ESF[[#This Row],[nE]],MATCH("coef. Blévot",grupoEstacas[#Headers],0)),"N.S.")</f>
        <v>1.75</v>
      </c>
      <c r="AQ143" s="35">
        <f ca="1">IFERROR(ESF[[#This Row],[coef. Blévot]]*0.9*INDEX(tipoEstaca[],MATCH($D$2,tipoEstaca[TIPO DE ESTACA],0),MATCH("fcd (kN/cm²)",tipoEstaca[#Headers],0)),"N.S.")</f>
        <v>1.26</v>
      </c>
      <c r="AR143" s="82" t="str">
        <f ca="1">IF(AND(ESF[[#This Row],[cd,b,pil (kN/cm²)]]&lt;=ESF[[#This Row],[cd,b,lim (kN/cm²)]],ESF[[#This Row],[cd,b,est (kN/cm²)]]&lt;=ESF[[#This Row],[cd,b,lim (kN/cm²)]]),"OK","ERRO")</f>
        <v>OK</v>
      </c>
      <c r="AS143" s="4">
        <f ca="1">As_lado(ESF[[#This Row],[nE]],ESF[[#This Row],[Nsd (kN)]],ESF[[#This Row],[d (cm)]],ESF[[#This Row],[e (cm)]],ESF[[#This Row],[ap,eq (cm)]])</f>
        <v>9.0877263068503176</v>
      </c>
      <c r="AT143" s="4" t="str">
        <f ca="1">IF(ESF[[#This Row],[nE]]=1,ESF[[#This Row],[As,lado (cm²)]],IF(ESF[[#This Row],[nE]]=2,0.075*2*ESF[a (cm)],"N.A."))</f>
        <v>N.A.</v>
      </c>
      <c r="AU143" s="4">
        <f ca="1">IFERROR(IF(ESF[[#This Row],[nE]]=1,"N.A.",0.2*ESF[[#This Row],[As,lado (cm²)]]),"N.S.")</f>
        <v>1.8175452613700636</v>
      </c>
      <c r="AV143" s="4">
        <f ca="1">As_malha(ESF[[#This Row],[nE]],ESF[[#This Row],[As,lado (cm²)]],ESF[[#This Row],[Nsd (kN)]])</f>
        <v>2.981481481481481</v>
      </c>
      <c r="AW143" s="4">
        <f ca="1">As_susp_tot(ESF[[#This Row],[nE]],ESF[[#This Row],[Nsd (kN)]])</f>
        <v>8.9444444444444429</v>
      </c>
      <c r="AX143" s="4">
        <f ca="1">Asp_face(ESF[[#This Row],[nE]],ESF[[#This Row],[As,lado (cm²)]])</f>
        <v>3.4078973650688691</v>
      </c>
      <c r="AY143" s="5">
        <f ca="1">acoBloco(ESF[[#This Row],[nE]],ESF[[#This Row],[e (cm)]],ESF[[#This Row],[a (cm)]],ESF[[#This Row],[h (cm)]],ESF[[#This Row],[As,lado (cm²)]],ESF[[#This Row],[Asp e Asw (cm²/m)]],ESF[[#This Row],[As,sup (cm²)]],ESF[[#This Row],[As,malha (cm²)]],ESF[[#This Row],[As,susp,tot (cm²)]],ESF[[#This Row],[Asp,face (cm²)]])</f>
        <v>120.50887216555407</v>
      </c>
      <c r="AZ143" s="4">
        <f ca="1">concretoBloco(ESF[[#This Row],[nE]],ESF[[#This Row],[e (cm)]],ESF[[#This Row],[a (cm)]],ESF[[#This Row],[h (cm)]])</f>
        <v>3.3158105159372107</v>
      </c>
      <c r="BA143" s="5">
        <f ca="1">SUM(ESF[[#This Row],[Aço Est (kg)]],ESF[[#This Row],[Aço Bloco (kg)]])</f>
        <v>130.49678060947943</v>
      </c>
      <c r="BB143" s="4">
        <f>INDEX(composicoes[],MATCH(95580,composicoes[CÓDIGO],0),MATCH("CUSTO TOTAL",composicoes[#Headers],0))</f>
        <v>10.46</v>
      </c>
      <c r="BC143" s="4">
        <f ca="1">SUM(ESF[[#This Row],[Conc Est (m³)]],ESF[[#This Row],[Conc Bloco (m³)]])</f>
        <v>9.04136312710461</v>
      </c>
      <c r="BD143" s="4">
        <f>INDEX(composicoes[],MATCH(94966,composicoes[CÓDIGO],0),MATCH("CUSTO TOTAL",composicoes[#Headers],0))</f>
        <v>439.52</v>
      </c>
      <c r="BE143" s="38">
        <f ca="1">ESF[[#This Row],[Aço (kg)]]*ESF[[#This Row],[Aço (R$/kg)]]+ESF[[#This Row],[Conc (m³)]]*ESF[[#This Row],[Conc (R$/m³)]]</f>
        <v>5338.8562468001728</v>
      </c>
      <c r="BF143" s="4" t="str">
        <f ca="1">IF(COUNTIF(ESF[#This Row],"N.S.")&gt;0,"lim.","OK")</f>
        <v>OK</v>
      </c>
      <c r="BG143" s="4" t="str">
        <f>IF(ESF[[#This Row],[Prof. (m)]]&lt;3,"lim.","OK")</f>
        <v>OK</v>
      </c>
      <c r="BH143" s="4" t="str">
        <f>IF(ESF[[#This Row],[Prof. (m)]]&gt;=8*ESF[[#This Row],[Ø (cm)]]/100,"OK","lim.")</f>
        <v>OK</v>
      </c>
      <c r="BI143" s="4" t="str">
        <f>IF(AND(SPT!$F$3&lt;&gt;"",ESF[[#This Row],[Prof. (m)]]&gt;=SPT!$F$3),"lim.","OK")</f>
        <v>OK</v>
      </c>
      <c r="BJ143" s="4" t="str">
        <f>IF(COUNTIFS(ESF[Solo],"Areia",ESF[Prof. (m)],"&lt;="&amp;ESF[[#This Row],[Prof. (m)]])&gt;=1,"lim.","OK")</f>
        <v>OK</v>
      </c>
      <c r="BK143" s="4" t="str">
        <f ca="1">IF(ESF[[#This Row],[Verif. Biela]]="OK","OK","lim.")</f>
        <v>OK</v>
      </c>
      <c r="BL143" s="4" t="str">
        <f ca="1">IF(COUNTA(ESF[[#This Row],[Nº Est.]:[Biela comp.]])=COUNTIF(ESF[[#This Row],[Nº Est.]:[Biela comp.]],"OK"),"OK","lim.")</f>
        <v>OK</v>
      </c>
      <c r="BM143" s="4" t="str">
        <f ca="1">IF(ESF[[#This Row],[Controle]]="OK",ESF[[#This Row],[nE]]&amp;" Ø"&amp;ESF[[#This Row],[Ø (cm)]]&amp;"cm Prof. "&amp;ESF[[#This Row],[Prof. (m)]]&amp;" m","")</f>
        <v>3 Ø45cm Prof. 12 m</v>
      </c>
      <c r="BN143" s="4" t="str">
        <f ca="1">IF(ESF[[#This Row],[idDimensionamento]]="","",ESF[[#This Row],[idPilar]]&amp;ESF[[#This Row],[idDimensionamento]])</f>
        <v>23 Ø45cm Prof. 12 m</v>
      </c>
    </row>
    <row r="144" spans="2:66" x14ac:dyDescent="0.25">
      <c r="B144" s="12">
        <f>ROUNDUP((ROW(ESF[[#This Row],[idDiâmetro]])-ROW(ESF[[#Headers],[idDiâmetro]]))/(COUNT(SPT[Prof. (m)])*COUNT(PILARES[Pilar])),0)</f>
        <v>5</v>
      </c>
      <c r="C144" s="12">
        <f>IF(ESF[[#This Row],[idDiâmetro]]&lt;&gt;B143,1,IF(ESF[[#This Row],[Prof. (m)]]=0,C143+1,C143))</f>
        <v>2</v>
      </c>
      <c r="D144" s="82">
        <f>IFERROR(IF(D143=MAX(SPT[Prof. (m)]),0,D143+1),0)</f>
        <v>13</v>
      </c>
      <c r="E144" s="82">
        <f>INDEX(SPT[],MATCH(ESF[[#This Row],[Prof. (m)]],SPT[Prof. (m)],0),2)</f>
        <v>68</v>
      </c>
      <c r="F144" s="82" t="str">
        <f>INDEX(SPT[],MATCH(ESF[[#This Row],[Prof. (m)]],SPT[Prof. (m)],0),3)</f>
        <v>Areia siltosa</v>
      </c>
      <c r="G144" s="82">
        <f>INDEX(estacas[],ESF[[#This Row],[idDiâmetro]],MATCH($B$2,estacas[#Headers],0))</f>
        <v>45</v>
      </c>
      <c r="H144" s="82">
        <f>INDEX(estacas[],MATCH(ESF[[#This Row],[Ø (cm)]],estacas[Ø ESF (cm)],0),MATCH(ESF[[#Headers],[Pe ESF (kN)]],estacas[#Headers],0))</f>
        <v>810</v>
      </c>
      <c r="I144" s="4">
        <f>INDEX(K_alpha_C[],MATCH(ESF[[#This Row],[Solo]],K_alpha_C[Solo],0),2)</f>
        <v>0.8</v>
      </c>
      <c r="J144" s="5">
        <f>INDEX(K_alpha_C[],MATCH(ESF[[#This Row],[Solo]],K_alpha_C[Solo],0),3)</f>
        <v>2</v>
      </c>
      <c r="K144" s="4">
        <f>INDEX(F1_F2[],MATCH($D$2,F1_F2[Tipo de estaca],0),2)</f>
        <v>3</v>
      </c>
      <c r="L144" s="4">
        <f>INDEX(F1_F2[],MATCH($D$2,F1_F2[Tipo de estaca],0),3)</f>
        <v>6</v>
      </c>
      <c r="M144" s="4">
        <f>PI()*(ESF[[#This Row],[Ø (cm)]]/100)^2/4</f>
        <v>0.15904312808798329</v>
      </c>
      <c r="N144" s="4">
        <f>PI()*ESF[[#This Row],[Ø (cm)]]/100</f>
        <v>1.4137166941154069</v>
      </c>
      <c r="O144" s="4">
        <f>IF(ESF[[#This Row],[Prof. (m)]]=0,0,ESF[[#This Row],[α (%)]]/100*ESF[[#This Row],[K (MPa)]]*1000*ESF[[#This Row],[NSPT]])</f>
        <v>1088</v>
      </c>
      <c r="P144" s="4">
        <f>IF(ESF[[#This Row],[Prof. (m)]]=0,0,(ESF[[#This Row],[K (MPa)]]*1000*ESF[[#This Row],[NSPT]]/ESF[[#This Row],[F1]]*ESF[[#This Row],[Ap (m²)]]+ESF[[#This Row],[U (m)]]/ESF[[#This Row],[F2]]*SUMIFS(ESF[(α∙K∙NL∙ΔL)],ESF[Prof. (m)],"&lt;="&amp;ESF[[#This Row],[Prof. (m)]],ESF[idDiâmetro],ESF[[#This Row],[idDiâmetro]],ESF[idPilar],ESF[[#This Row],[idPilar]]))/'DADOS CAP. CARGA'!$D$2)</f>
        <v>1972.5942462165801</v>
      </c>
      <c r="Q144" s="12">
        <f>INDEX(C_alpha_beta[],MATCH(ESF[[#This Row],[Solo]],C_alpha_beta[Solo],0),MATCH(ESF[[#Headers],[C (kPa)]],C_alpha_beta[#Headers],0))</f>
        <v>400</v>
      </c>
      <c r="R144" s="4">
        <f>INDEX(C_alpha_beta[],MATCH(ESF[[#This Row],[Solo]],C_alpha_beta[Solo],0),MATCH(ESF[[#Headers],[α ESF]],C_alpha_beta[#Headers],0))</f>
        <v>0.5</v>
      </c>
      <c r="S144" s="4">
        <f>INDEX(C_alpha_beta[],MATCH(ESF[[#This Row],[Solo]],C_alpha_beta[Solo],0),MATCH(ESF[[#Headers],[β ESF]],C_alpha_beta[#Headers],0))</f>
        <v>0.5</v>
      </c>
      <c r="T144" s="4">
        <f>IF(ESF[[#This Row],[Prof. (m)]]=0,0,10*(ESF[[#This Row],[NSPT]]/3+1))</f>
        <v>236.66666666666669</v>
      </c>
      <c r="U144" s="4">
        <f>(ESF[[#This Row],[α ESF]]*ESF[[#This Row],[C (kPa)]]*ESF[[#This Row],[NSPT]]*ESF[[#This Row],[Ap (m²)]])/'DADOS CAP. CARGA'!$Q$2+(ESF[[#This Row],[β ESF]]*SUMIFS(ESF[10∙(NL/3+1)],ESF[Prof. (m)],"&lt;="&amp;ESF[[#This Row],[Prof. (m)]],ESF[idDiâmetro],ESF[[#This Row],[idDiâmetro]],ESF[idPilar],ESF[[#This Row],[idPilar]])*ESF[[#This Row],[U (m)]])/'DADOS CAP. CARGA'!$S$2</f>
        <v>929.51872638088003</v>
      </c>
      <c r="V144" s="4">
        <f>IF(SPT!$M$5=1,MIN(ESF[[#This Row],[Pe ESF (kN)]],ESF[[#This Row],[R_AV (kN)]]),IF(SPT!$M$5=2,MIN(ESF[[#This Row],[Pe ESF (kN)]],ESF[[#This Row],[R_DC (kN)]]),MIN(ESF[[#This Row],[Pe ESF (kN)]],ESF[[#This Row],[R_AV (kN)]],ESF[[#This Row],[R_DC (kN)]])))</f>
        <v>810</v>
      </c>
      <c r="W144" s="4">
        <f>INDEX(PILARES[],ESF[[#This Row],[idPilar]],MATCH("Carga (kN)",PILARES[#Headers],0))*1.4</f>
        <v>1750</v>
      </c>
      <c r="X144" s="12">
        <f>INDEX(PILARES[],ESF[[#This Row],[idPilar]],MATCH(ESF[[#Headers],[ap (cm)]],PILARES[#Headers],0))</f>
        <v>50</v>
      </c>
      <c r="Y144" s="12">
        <f>INDEX(PILARES[],ESF[[#This Row],[idPilar]],MATCH(ESF[[#Headers],[bp (cm)]],PILARES[#Headers],0))</f>
        <v>40</v>
      </c>
      <c r="Z144" s="4">
        <f>SQRT(ESF[[#This Row],[ap (cm)]]*ESF[[#This Row],[bp (cm)]])</f>
        <v>44.721359549995796</v>
      </c>
      <c r="AA144" s="12">
        <f>ESF[[#This Row],[ap (cm)]]*ESF[[#This Row],[bp (cm)]]</f>
        <v>2000</v>
      </c>
      <c r="AB144" s="12">
        <f ca="1">IF(ESF[[#This Row],[Padm∙ε (kN)]]&gt;=ESF[[#This Row],[Padm (kN)]],ROUNDUP(1.05*ESF[[#This Row],[Nsd (kN)]]/ESF[[#This Row],[Padm (kN)]],0),ROUNDUP(1.05*ESF[[#This Row],[Nsd (kN)]]/ESF[[#This Row],[Padm (kN)]],0)+1)</f>
        <v>3</v>
      </c>
      <c r="AC144" s="4">
        <f ca="1">IFERROR(IF(ESF[[#This Row],[nE]]=1,ESF[[#This Row],[Padm (kN)]],ESF[[#This Row],[Padm (kN)]]*ESF[[#This Row],[nE]]*INDEX(grupoEstacas[],ESF[[#This Row],[nE]],MATCH("ε",grupoEstacas[#Headers],0))),"N.S.")</f>
        <v>2126.25</v>
      </c>
      <c r="AD144" s="4">
        <f ca="1">1.05*ESF[[#This Row],[Nsd (kN)]]/(ESF[[#This Row],[nE]]*PI()*ESF[[#This Row],[Ø (cm)]]^2/4)*10</f>
        <v>3.8511566476557393</v>
      </c>
      <c r="AE144" s="4">
        <f ca="1">IF(ESF[[#This Row],[σ (MPa)]]&lt;INDEX(tipoEstaca[],MATCH($D$2,tipoEstaca[TIPO DE ESTACA],0),MATCH("σmáx (MPa)",tipoEstaca[#Headers],0)),0.4%*PI()*ESF[[#This Row],[Ø (cm)]]^2/4,"N.S.")</f>
        <v>6.3617251235193315</v>
      </c>
      <c r="AF144" s="82">
        <f>INDEX(tipoEstaca[],MATCH($D$2,tipoEstaca[TIPO DE ESTACA],0),MATCH(ESF[[#Headers],[Comprimento (m)]],tipoEstaca[#Headers],0))</f>
        <v>2</v>
      </c>
      <c r="AG144" s="5">
        <f ca="1">ESF[[#This Row],[As,mín (cm²)]]/100^2*ESF[[#This Row],[Comprimento (m)]]*7850</f>
        <v>9.9879084439253507</v>
      </c>
      <c r="AH144" s="4">
        <f ca="1">ESF[[#This Row],[nE]]*ESF[[#This Row],[Prof. (m)]]*ESF[[#This Row],[Ap (m²)]]</f>
        <v>6.2026819954313481</v>
      </c>
      <c r="AI144" s="82">
        <f ca="1">IF(ESF[[#This Row],[nE]]=1,0,MAX(3*ESF[[#This Row],[Ø (cm)]],60))</f>
        <v>135</v>
      </c>
      <c r="AJ144" s="82">
        <f ca="1">IF(ESF[[#This Row],[nE]]=1,ESF[[#This Row],[Ø (cm)]]+2*10,MAX(1.5*ESF[[#This Row],[Ø (cm)]],ESF[[#This Row],[Ø (cm)]]+15))</f>
        <v>67.5</v>
      </c>
      <c r="AK144" s="82">
        <f ca="1">alturaUtil(ESF[[#This Row],[nE]],ESF[[#This Row],[Ø (cm)]],ESF[[#This Row],[e (cm)]],ESF[[#This Row],[ap,eq (cm)]])</f>
        <v>55</v>
      </c>
      <c r="AL144" s="82">
        <f ca="1">IFERROR(ESF[[#This Row],[d (cm)]]+arredondarParaCimaMultiplo5cm(MAX(5,SQRT(PI())/2*ESF[[#This Row],[Ø (cm)]]/5)),"N.S.")</f>
        <v>65</v>
      </c>
      <c r="AM144" s="5">
        <f ca="1">alpha(ESF[[#This Row],[nE]],ESF[[#This Row],[d (cm)]],ESF[[#This Row],[e (cm)]],ESF[[#This Row],[ap,eq (cm)]])</f>
        <v>45.481328738525526</v>
      </c>
      <c r="AN144" s="35">
        <f ca="1">IFERROR(ESF[[#This Row],[Nsd (kN)]]/(ESF[[#This Row],[Ap (cm²)]]*SIN(ESF[[#This Row],[α]])^2),"N.S.")</f>
        <v>0.87952192328683043</v>
      </c>
      <c r="AO144" s="35">
        <f ca="1">IFERROR(ESF[[#This Row],[Nsd (kN)]]/(ESF[[#This Row],[nE]]*PI()*ESF[[#This Row],[Ø (cm)]]^2/4*SIN(ESF[[#This Row],[α]])^2),"N.S.")</f>
        <v>0.36867229405442586</v>
      </c>
      <c r="AP144" s="4">
        <f ca="1">IFERROR(INDEX(grupoEstacas[],ESF[[#This Row],[nE]],MATCH("coef. Blévot",grupoEstacas[#Headers],0)),"N.S.")</f>
        <v>1.75</v>
      </c>
      <c r="AQ144" s="35">
        <f ca="1">IFERROR(ESF[[#This Row],[coef. Blévot]]*0.9*INDEX(tipoEstaca[],MATCH($D$2,tipoEstaca[TIPO DE ESTACA],0),MATCH("fcd (kN/cm²)",tipoEstaca[#Headers],0)),"N.S.")</f>
        <v>1.26</v>
      </c>
      <c r="AR144" s="82" t="str">
        <f ca="1">IF(AND(ESF[[#This Row],[cd,b,pil (kN/cm²)]]&lt;=ESF[[#This Row],[cd,b,lim (kN/cm²)]],ESF[[#This Row],[cd,b,est (kN/cm²)]]&lt;=ESF[[#This Row],[cd,b,lim (kN/cm²)]]),"OK","ERRO")</f>
        <v>OK</v>
      </c>
      <c r="AS144" s="4">
        <f ca="1">As_lado(ESF[[#This Row],[nE]],ESF[[#This Row],[Nsd (kN)]],ESF[[#This Row],[d (cm)]],ESF[[#This Row],[e (cm)]],ESF[[#This Row],[ap,eq (cm)]])</f>
        <v>9.0877263068503176</v>
      </c>
      <c r="AT144" s="4" t="str">
        <f ca="1">IF(ESF[[#This Row],[nE]]=1,ESF[[#This Row],[As,lado (cm²)]],IF(ESF[[#This Row],[nE]]=2,0.075*2*ESF[a (cm)],"N.A."))</f>
        <v>N.A.</v>
      </c>
      <c r="AU144" s="4">
        <f ca="1">IFERROR(IF(ESF[[#This Row],[nE]]=1,"N.A.",0.2*ESF[[#This Row],[As,lado (cm²)]]),"N.S.")</f>
        <v>1.8175452613700636</v>
      </c>
      <c r="AV144" s="4">
        <f ca="1">As_malha(ESF[[#This Row],[nE]],ESF[[#This Row],[As,lado (cm²)]],ESF[[#This Row],[Nsd (kN)]])</f>
        <v>2.981481481481481</v>
      </c>
      <c r="AW144" s="4">
        <f ca="1">As_susp_tot(ESF[[#This Row],[nE]],ESF[[#This Row],[Nsd (kN)]])</f>
        <v>8.9444444444444429</v>
      </c>
      <c r="AX144" s="4">
        <f ca="1">Asp_face(ESF[[#This Row],[nE]],ESF[[#This Row],[As,lado (cm²)]])</f>
        <v>3.4078973650688691</v>
      </c>
      <c r="AY144" s="5">
        <f ca="1">acoBloco(ESF[[#This Row],[nE]],ESF[[#This Row],[e (cm)]],ESF[[#This Row],[a (cm)]],ESF[[#This Row],[h (cm)]],ESF[[#This Row],[As,lado (cm²)]],ESF[[#This Row],[Asp e Asw (cm²/m)]],ESF[[#This Row],[As,sup (cm²)]],ESF[[#This Row],[As,malha (cm²)]],ESF[[#This Row],[As,susp,tot (cm²)]],ESF[[#This Row],[Asp,face (cm²)]])</f>
        <v>120.50887216555407</v>
      </c>
      <c r="AZ144" s="4">
        <f ca="1">concretoBloco(ESF[[#This Row],[nE]],ESF[[#This Row],[e (cm)]],ESF[[#This Row],[a (cm)]],ESF[[#This Row],[h (cm)]])</f>
        <v>3.3158105159372107</v>
      </c>
      <c r="BA144" s="5">
        <f ca="1">SUM(ESF[[#This Row],[Aço Est (kg)]],ESF[[#This Row],[Aço Bloco (kg)]])</f>
        <v>130.49678060947943</v>
      </c>
      <c r="BB144" s="4">
        <f>INDEX(composicoes[],MATCH(95580,composicoes[CÓDIGO],0),MATCH("CUSTO TOTAL",composicoes[#Headers],0))</f>
        <v>10.46</v>
      </c>
      <c r="BC144" s="4">
        <f ca="1">SUM(ESF[[#This Row],[Conc Est (m³)]],ESF[[#This Row],[Conc Bloco (m³)]])</f>
        <v>9.5184925113685583</v>
      </c>
      <c r="BD144" s="4">
        <f>INDEX(composicoes[],MATCH(94966,composicoes[CÓDIGO],0),MATCH("CUSTO TOTAL",composicoes[#Headers],0))</f>
        <v>439.52</v>
      </c>
      <c r="BE144" s="38">
        <f ca="1">ESF[[#This Row],[Aço (kg)]]*ESF[[#This Row],[Aço (R$/kg)]]+ESF[[#This Row],[Conc (m³)]]*ESF[[#This Row],[Conc (R$/m³)]]</f>
        <v>5548.5641537718639</v>
      </c>
      <c r="BF144" s="4" t="str">
        <f ca="1">IF(COUNTIF(ESF[#This Row],"N.S.")&gt;0,"lim.","OK")</f>
        <v>OK</v>
      </c>
      <c r="BG144" s="4" t="str">
        <f>IF(ESF[[#This Row],[Prof. (m)]]&lt;3,"lim.","OK")</f>
        <v>OK</v>
      </c>
      <c r="BH144" s="4" t="str">
        <f>IF(ESF[[#This Row],[Prof. (m)]]&gt;=8*ESF[[#This Row],[Ø (cm)]]/100,"OK","lim.")</f>
        <v>OK</v>
      </c>
      <c r="BI144" s="4" t="str">
        <f>IF(AND(SPT!$F$3&lt;&gt;"",ESF[[#This Row],[Prof. (m)]]&gt;=SPT!$F$3),"lim.","OK")</f>
        <v>OK</v>
      </c>
      <c r="BJ144" s="4" t="str">
        <f>IF(COUNTIFS(ESF[Solo],"Areia",ESF[Prof. (m)],"&lt;="&amp;ESF[[#This Row],[Prof. (m)]])&gt;=1,"lim.","OK")</f>
        <v>OK</v>
      </c>
      <c r="BK144" s="4" t="str">
        <f ca="1">IF(ESF[[#This Row],[Verif. Biela]]="OK","OK","lim.")</f>
        <v>OK</v>
      </c>
      <c r="BL144" s="4" t="str">
        <f ca="1">IF(COUNTA(ESF[[#This Row],[Nº Est.]:[Biela comp.]])=COUNTIF(ESF[[#This Row],[Nº Est.]:[Biela comp.]],"OK"),"OK","lim.")</f>
        <v>OK</v>
      </c>
      <c r="BM144" s="4" t="str">
        <f ca="1">IF(ESF[[#This Row],[Controle]]="OK",ESF[[#This Row],[nE]]&amp;" Ø"&amp;ESF[[#This Row],[Ø (cm)]]&amp;"cm Prof. "&amp;ESF[[#This Row],[Prof. (m)]]&amp;" m","")</f>
        <v>3 Ø45cm Prof. 13 m</v>
      </c>
      <c r="BN144" s="4" t="str">
        <f ca="1">IF(ESF[[#This Row],[idDimensionamento]]="","",ESF[[#This Row],[idPilar]]&amp;ESF[[#This Row],[idDimensionamento]])</f>
        <v>23 Ø45cm Prof. 13 m</v>
      </c>
    </row>
    <row r="145" spans="2:66" x14ac:dyDescent="0.25">
      <c r="B145" s="12">
        <f>ROUNDUP((ROW(ESF[[#This Row],[idDiâmetro]])-ROW(ESF[[#Headers],[idDiâmetro]]))/(COUNT(SPT[Prof. (m)])*COUNT(PILARES[Pilar])),0)</f>
        <v>6</v>
      </c>
      <c r="C145" s="12">
        <f>IF(ESF[[#This Row],[idDiâmetro]]&lt;&gt;B144,1,IF(ESF[[#This Row],[Prof. (m)]]=0,C144+1,C144))</f>
        <v>1</v>
      </c>
      <c r="D145" s="82">
        <f>IFERROR(IF(D144=MAX(SPT[Prof. (m)]),0,D144+1),0)</f>
        <v>0</v>
      </c>
      <c r="E145" s="82">
        <f>INDEX(SPT[],MATCH(ESF[[#This Row],[Prof. (m)]],SPT[Prof. (m)],0),2)</f>
        <v>0</v>
      </c>
      <c r="F145" s="82" t="str">
        <f>INDEX(SPT[],MATCH(ESF[[#This Row],[Prof. (m)]],SPT[Prof. (m)],0),3)</f>
        <v>Areia siltosa</v>
      </c>
      <c r="G145" s="82">
        <f>INDEX(estacas[],ESF[[#This Row],[idDiâmetro]],MATCH($B$2,estacas[#Headers],0))</f>
        <v>50</v>
      </c>
      <c r="H145" s="82">
        <f>INDEX(estacas[],MATCH(ESF[[#This Row],[Ø (cm)]],estacas[Ø ESF (cm)],0),MATCH(ESF[[#Headers],[Pe ESF (kN)]],estacas[#Headers],0))</f>
        <v>1000</v>
      </c>
      <c r="I145" s="4">
        <f>INDEX(K_alpha_C[],MATCH(ESF[[#This Row],[Solo]],K_alpha_C[Solo],0),2)</f>
        <v>0.8</v>
      </c>
      <c r="J145" s="5">
        <f>INDEX(K_alpha_C[],MATCH(ESF[[#This Row],[Solo]],K_alpha_C[Solo],0),3)</f>
        <v>2</v>
      </c>
      <c r="K145" s="4">
        <f>INDEX(F1_F2[],MATCH($D$2,F1_F2[Tipo de estaca],0),2)</f>
        <v>3</v>
      </c>
      <c r="L145" s="4">
        <f>INDEX(F1_F2[],MATCH($D$2,F1_F2[Tipo de estaca],0),3)</f>
        <v>6</v>
      </c>
      <c r="M145" s="4">
        <f>PI()*(ESF[[#This Row],[Ø (cm)]]/100)^2/4</f>
        <v>0.19634954084936207</v>
      </c>
      <c r="N145" s="4">
        <f>PI()*ESF[[#This Row],[Ø (cm)]]/100</f>
        <v>1.5707963267948966</v>
      </c>
      <c r="O145" s="4">
        <f>IF(ESF[[#This Row],[Prof. (m)]]=0,0,ESF[[#This Row],[α (%)]]/100*ESF[[#This Row],[K (MPa)]]*1000*ESF[[#This Row],[NSPT]])</f>
        <v>0</v>
      </c>
      <c r="P145" s="4">
        <f>IF(ESF[[#This Row],[Prof. (m)]]=0,0,(ESF[[#This Row],[K (MPa)]]*1000*ESF[[#This Row],[NSPT]]/ESF[[#This Row],[F1]]*ESF[[#This Row],[Ap (m²)]]+ESF[[#This Row],[U (m)]]/ESF[[#This Row],[F2]]*SUMIFS(ESF[(α∙K∙NL∙ΔL)],ESF[Prof. (m)],"&lt;="&amp;ESF[[#This Row],[Prof. (m)]],ESF[idDiâmetro],ESF[[#This Row],[idDiâmetro]],ESF[idPilar],ESF[[#This Row],[idPilar]]))/'DADOS CAP. CARGA'!$D$2)</f>
        <v>0</v>
      </c>
      <c r="Q145" s="12">
        <f>INDEX(C_alpha_beta[],MATCH(ESF[[#This Row],[Solo]],C_alpha_beta[Solo],0),MATCH(ESF[[#Headers],[C (kPa)]],C_alpha_beta[#Headers],0))</f>
        <v>400</v>
      </c>
      <c r="R145" s="4">
        <f>INDEX(C_alpha_beta[],MATCH(ESF[[#This Row],[Solo]],C_alpha_beta[Solo],0),MATCH(ESF[[#Headers],[α ESF]],C_alpha_beta[#Headers],0))</f>
        <v>0.5</v>
      </c>
      <c r="S145" s="4">
        <f>INDEX(C_alpha_beta[],MATCH(ESF[[#This Row],[Solo]],C_alpha_beta[Solo],0),MATCH(ESF[[#Headers],[β ESF]],C_alpha_beta[#Headers],0))</f>
        <v>0.5</v>
      </c>
      <c r="T145" s="4">
        <f>IF(ESF[[#This Row],[Prof. (m)]]=0,0,10*(ESF[[#This Row],[NSPT]]/3+1))</f>
        <v>0</v>
      </c>
      <c r="U145" s="4">
        <f>(ESF[[#This Row],[α ESF]]*ESF[[#This Row],[C (kPa)]]*ESF[[#This Row],[NSPT]]*ESF[[#This Row],[Ap (m²)]])/'DADOS CAP. CARGA'!$Q$2+(ESF[[#This Row],[β ESF]]*SUMIFS(ESF[10∙(NL/3+1)],ESF[Prof. (m)],"&lt;="&amp;ESF[[#This Row],[Prof. (m)]],ESF[idDiâmetro],ESF[[#This Row],[idDiâmetro]],ESF[idPilar],ESF[[#This Row],[idPilar]])*ESF[[#This Row],[U (m)]])/'DADOS CAP. CARGA'!$S$2</f>
        <v>0</v>
      </c>
      <c r="V145" s="4">
        <f>IF(SPT!$M$5=1,MIN(ESF[[#This Row],[Pe ESF (kN)]],ESF[[#This Row],[R_AV (kN)]]),IF(SPT!$M$5=2,MIN(ESF[[#This Row],[Pe ESF (kN)]],ESF[[#This Row],[R_DC (kN)]]),MIN(ESF[[#This Row],[Pe ESF (kN)]],ESF[[#This Row],[R_AV (kN)]],ESF[[#This Row],[R_DC (kN)]])))</f>
        <v>0</v>
      </c>
      <c r="W145" s="4">
        <f>INDEX(PILARES[],ESF[[#This Row],[idPilar]],MATCH("Carga (kN)",PILARES[#Headers],0))*1.4</f>
        <v>3500</v>
      </c>
      <c r="X145" s="12">
        <f>INDEX(PILARES[],ESF[[#This Row],[idPilar]],MATCH(ESF[[#Headers],[ap (cm)]],PILARES[#Headers],0))</f>
        <v>60</v>
      </c>
      <c r="Y145" s="12">
        <f>INDEX(PILARES[],ESF[[#This Row],[idPilar]],MATCH(ESF[[#Headers],[bp (cm)]],PILARES[#Headers],0))</f>
        <v>60</v>
      </c>
      <c r="Z145" s="4">
        <f>SQRT(ESF[[#This Row],[ap (cm)]]*ESF[[#This Row],[bp (cm)]])</f>
        <v>60</v>
      </c>
      <c r="AA145" s="12">
        <f>ESF[[#This Row],[ap (cm)]]*ESF[[#This Row],[bp (cm)]]</f>
        <v>3600</v>
      </c>
      <c r="AB145" s="12" t="e">
        <f ca="1">IF(ESF[[#This Row],[Padm∙ε (kN)]]&gt;=ESF[[#This Row],[Padm (kN)]],ROUNDUP(1.05*ESF[[#This Row],[Nsd (kN)]]/ESF[[#This Row],[Padm (kN)]],0),ROUNDUP(1.05*ESF[[#This Row],[Nsd (kN)]]/ESF[[#This Row],[Padm (kN)]],0)+1)</f>
        <v>#DIV/0!</v>
      </c>
      <c r="AC145" s="4" t="str">
        <f ca="1">IFERROR(IF(ESF[[#This Row],[nE]]=1,ESF[[#This Row],[Padm (kN)]],ESF[[#This Row],[Padm (kN)]]*ESF[[#This Row],[nE]]*INDEX(grupoEstacas[],ESF[[#This Row],[nE]],MATCH("ε",grupoEstacas[#Headers],0))),"N.S.")</f>
        <v>N.S.</v>
      </c>
      <c r="AD145" s="4" t="e">
        <f ca="1">1.05*ESF[[#This Row],[Nsd (kN)]]/(ESF[[#This Row],[nE]]*PI()*ESF[[#This Row],[Ø (cm)]]^2/4)*10</f>
        <v>#DIV/0!</v>
      </c>
      <c r="AE145" s="4" t="e">
        <f ca="1">IF(ESF[[#This Row],[σ (MPa)]]&lt;INDEX(tipoEstaca[],MATCH($D$2,tipoEstaca[TIPO DE ESTACA],0),MATCH("σmáx (MPa)",tipoEstaca[#Headers],0)),0.4%*PI()*ESF[[#This Row],[Ø (cm)]]^2/4,"N.S.")</f>
        <v>#DIV/0!</v>
      </c>
      <c r="AF145" s="82">
        <f>INDEX(tipoEstaca[],MATCH($D$2,tipoEstaca[TIPO DE ESTACA],0),MATCH(ESF[[#Headers],[Comprimento (m)]],tipoEstaca[#Headers],0))</f>
        <v>2</v>
      </c>
      <c r="AG145" s="5" t="e">
        <f ca="1">ESF[[#This Row],[As,mín (cm²)]]/100^2*ESF[[#This Row],[Comprimento (m)]]*7850</f>
        <v>#DIV/0!</v>
      </c>
      <c r="AH145" s="4" t="e">
        <f ca="1">ESF[[#This Row],[nE]]*ESF[[#This Row],[Prof. (m)]]*ESF[[#This Row],[Ap (m²)]]</f>
        <v>#DIV/0!</v>
      </c>
      <c r="AI145" s="82" t="e">
        <f ca="1">IF(ESF[[#This Row],[nE]]=1,0,MAX(3*ESF[[#This Row],[Ø (cm)]],60))</f>
        <v>#DIV/0!</v>
      </c>
      <c r="AJ145" s="82" t="e">
        <f ca="1">IF(ESF[[#This Row],[nE]]=1,ESF[[#This Row],[Ø (cm)]]+2*10,MAX(1.5*ESF[[#This Row],[Ø (cm)]],ESF[[#This Row],[Ø (cm)]]+15))</f>
        <v>#DIV/0!</v>
      </c>
      <c r="AK145" s="82" t="e">
        <f ca="1">alturaUtil(ESF[[#This Row],[nE]],ESF[[#This Row],[Ø (cm)]],ESF[[#This Row],[e (cm)]],ESF[[#This Row],[ap,eq (cm)]])</f>
        <v>#VALUE!</v>
      </c>
      <c r="AL145" s="82" t="str">
        <f ca="1">IFERROR(ESF[[#This Row],[d (cm)]]+arredondarParaCimaMultiplo5cm(MAX(5,SQRT(PI())/2*ESF[[#This Row],[Ø (cm)]]/5)),"N.S.")</f>
        <v>N.S.</v>
      </c>
      <c r="AM145" s="5" t="e">
        <f ca="1">alpha(ESF[[#This Row],[nE]],ESF[[#This Row],[d (cm)]],ESF[[#This Row],[e (cm)]],ESF[[#This Row],[ap,eq (cm)]])</f>
        <v>#VALUE!</v>
      </c>
      <c r="AN145" s="35" t="str">
        <f ca="1">IFERROR(ESF[[#This Row],[Nsd (kN)]]/(ESF[[#This Row],[Ap (cm²)]]*SIN(ESF[[#This Row],[α]])^2),"N.S.")</f>
        <v>N.S.</v>
      </c>
      <c r="AO145" s="35" t="str">
        <f ca="1">IFERROR(ESF[[#This Row],[Nsd (kN)]]/(ESF[[#This Row],[nE]]*PI()*ESF[[#This Row],[Ø (cm)]]^2/4*SIN(ESF[[#This Row],[α]])^2),"N.S.")</f>
        <v>N.S.</v>
      </c>
      <c r="AP145" s="4" t="str">
        <f ca="1">IFERROR(INDEX(grupoEstacas[],ESF[[#This Row],[nE]],MATCH("coef. Blévot",grupoEstacas[#Headers],0)),"N.S.")</f>
        <v>N.S.</v>
      </c>
      <c r="AQ145" s="35" t="str">
        <f ca="1">IFERROR(ESF[[#This Row],[coef. Blévot]]*0.9*INDEX(tipoEstaca[],MATCH($D$2,tipoEstaca[TIPO DE ESTACA],0),MATCH("fcd (kN/cm²)",tipoEstaca[#Headers],0)),"N.S.")</f>
        <v>N.S.</v>
      </c>
      <c r="AR145" s="82" t="str">
        <f ca="1">IF(AND(ESF[[#This Row],[cd,b,pil (kN/cm²)]]&lt;=ESF[[#This Row],[cd,b,lim (kN/cm²)]],ESF[[#This Row],[cd,b,est (kN/cm²)]]&lt;=ESF[[#This Row],[cd,b,lim (kN/cm²)]]),"OK","ERRO")</f>
        <v>OK</v>
      </c>
      <c r="AS145" s="4" t="e">
        <f ca="1">As_lado(ESF[[#This Row],[nE]],ESF[[#This Row],[Nsd (kN)]],ESF[[#This Row],[d (cm)]],ESF[[#This Row],[e (cm)]],ESF[[#This Row],[ap,eq (cm)]])</f>
        <v>#VALUE!</v>
      </c>
      <c r="AT145" s="4" t="e">
        <f ca="1">IF(ESF[[#This Row],[nE]]=1,ESF[[#This Row],[As,lado (cm²)]],IF(ESF[[#This Row],[nE]]=2,0.075*2*ESF[a (cm)],"N.A."))</f>
        <v>#DIV/0!</v>
      </c>
      <c r="AU145" s="4" t="str">
        <f ca="1">IFERROR(IF(ESF[[#This Row],[nE]]=1,"N.A.",0.2*ESF[[#This Row],[As,lado (cm²)]]),"N.S.")</f>
        <v>N.S.</v>
      </c>
      <c r="AV145" s="4" t="e">
        <f ca="1">As_malha(ESF[[#This Row],[nE]],ESF[[#This Row],[As,lado (cm²)]],ESF[[#This Row],[Nsd (kN)]])</f>
        <v>#VALUE!</v>
      </c>
      <c r="AW145" s="4" t="e">
        <f ca="1">As_susp_tot(ESF[[#This Row],[nE]],ESF[[#This Row],[Nsd (kN)]])</f>
        <v>#VALUE!</v>
      </c>
      <c r="AX145" s="4" t="e">
        <f ca="1">Asp_face(ESF[[#This Row],[nE]],ESF[[#This Row],[As,lado (cm²)]])</f>
        <v>#VALUE!</v>
      </c>
      <c r="AY145" s="5" t="e">
        <f ca="1">acoBloco(ESF[[#This Row],[nE]],ESF[[#This Row],[e (cm)]],ESF[[#This Row],[a (cm)]],ESF[[#This Row],[h (cm)]],ESF[[#This Row],[As,lado (cm²)]],ESF[[#This Row],[Asp e Asw (cm²/m)]],ESF[[#This Row],[As,sup (cm²)]],ESF[[#This Row],[As,malha (cm²)]],ESF[[#This Row],[As,susp,tot (cm²)]],ESF[[#This Row],[Asp,face (cm²)]])</f>
        <v>#VALUE!</v>
      </c>
      <c r="AZ145" s="4" t="e">
        <f ca="1">concretoBloco(ESF[[#This Row],[nE]],ESF[[#This Row],[e (cm)]],ESF[[#This Row],[a (cm)]],ESF[[#This Row],[h (cm)]])</f>
        <v>#VALUE!</v>
      </c>
      <c r="BA145" s="5" t="e">
        <f ca="1">SUM(ESF[[#This Row],[Aço Est (kg)]],ESF[[#This Row],[Aço Bloco (kg)]])</f>
        <v>#DIV/0!</v>
      </c>
      <c r="BB145" s="4">
        <f>INDEX(composicoes[],MATCH(95580,composicoes[CÓDIGO],0),MATCH("CUSTO TOTAL",composicoes[#Headers],0))</f>
        <v>10.46</v>
      </c>
      <c r="BC145" s="4" t="e">
        <f ca="1">SUM(ESF[[#This Row],[Conc Est (m³)]],ESF[[#This Row],[Conc Bloco (m³)]])</f>
        <v>#DIV/0!</v>
      </c>
      <c r="BD145" s="4">
        <f>INDEX(composicoes[],MATCH(94966,composicoes[CÓDIGO],0),MATCH("CUSTO TOTAL",composicoes[#Headers],0))</f>
        <v>439.52</v>
      </c>
      <c r="BE145" s="38" t="e">
        <f ca="1">ESF[[#This Row],[Aço (kg)]]*ESF[[#This Row],[Aço (R$/kg)]]+ESF[[#This Row],[Conc (m³)]]*ESF[[#This Row],[Conc (R$/m³)]]</f>
        <v>#DIV/0!</v>
      </c>
      <c r="BF145" s="4" t="str">
        <f ca="1">IF(COUNTIF(ESF[#This Row],"N.S.")&gt;0,"lim.","OK")</f>
        <v>lim.</v>
      </c>
      <c r="BG145" s="4" t="str">
        <f>IF(ESF[[#This Row],[Prof. (m)]]&lt;3,"lim.","OK")</f>
        <v>lim.</v>
      </c>
      <c r="BH145" s="4" t="str">
        <f>IF(ESF[[#This Row],[Prof. (m)]]&gt;=8*ESF[[#This Row],[Ø (cm)]]/100,"OK","lim.")</f>
        <v>lim.</v>
      </c>
      <c r="BI145" s="4" t="str">
        <f>IF(AND(SPT!$F$3&lt;&gt;"",ESF[[#This Row],[Prof. (m)]]&gt;=SPT!$F$3),"lim.","OK")</f>
        <v>OK</v>
      </c>
      <c r="BJ145" s="4" t="str">
        <f>IF(COUNTIFS(ESF[Solo],"Areia",ESF[Prof. (m)],"&lt;="&amp;ESF[[#This Row],[Prof. (m)]])&gt;=1,"lim.","OK")</f>
        <v>OK</v>
      </c>
      <c r="BK145" s="4" t="str">
        <f ca="1">IF(ESF[[#This Row],[Verif. Biela]]="OK","OK","lim.")</f>
        <v>OK</v>
      </c>
      <c r="BL145" s="4" t="str">
        <f ca="1">IF(COUNTA(ESF[[#This Row],[Nº Est.]:[Biela comp.]])=COUNTIF(ESF[[#This Row],[Nº Est.]:[Biela comp.]],"OK"),"OK","lim.")</f>
        <v>lim.</v>
      </c>
      <c r="BM145" s="4" t="str">
        <f ca="1">IF(ESF[[#This Row],[Controle]]="OK",ESF[[#This Row],[nE]]&amp;" Ø"&amp;ESF[[#This Row],[Ø (cm)]]&amp;"cm Prof. "&amp;ESF[[#This Row],[Prof. (m)]]&amp;" m","")</f>
        <v/>
      </c>
      <c r="BN145" s="4" t="str">
        <f ca="1">IF(ESF[[#This Row],[idDimensionamento]]="","",ESF[[#This Row],[idPilar]]&amp;ESF[[#This Row],[idDimensionamento]])</f>
        <v/>
      </c>
    </row>
    <row r="146" spans="2:66" x14ac:dyDescent="0.25">
      <c r="B146" s="12">
        <f>ROUNDUP((ROW(ESF[[#This Row],[idDiâmetro]])-ROW(ESF[[#Headers],[idDiâmetro]]))/(COUNT(SPT[Prof. (m)])*COUNT(PILARES[Pilar])),0)</f>
        <v>6</v>
      </c>
      <c r="C146" s="12">
        <f>IF(ESF[[#This Row],[idDiâmetro]]&lt;&gt;B145,1,IF(ESF[[#This Row],[Prof. (m)]]=0,C145+1,C145))</f>
        <v>1</v>
      </c>
      <c r="D146" s="82">
        <f>IFERROR(IF(D145=MAX(SPT[Prof. (m)]),0,D145+1),0)</f>
        <v>1</v>
      </c>
      <c r="E146" s="82">
        <f>INDEX(SPT[],MATCH(ESF[[#This Row],[Prof. (m)]],SPT[Prof. (m)],0),2)</f>
        <v>2</v>
      </c>
      <c r="F146" s="82" t="str">
        <f>INDEX(SPT[],MATCH(ESF[[#This Row],[Prof. (m)]],SPT[Prof. (m)],0),3)</f>
        <v>Areia siltosa</v>
      </c>
      <c r="G146" s="82">
        <f>INDEX(estacas[],ESF[[#This Row],[idDiâmetro]],MATCH($B$2,estacas[#Headers],0))</f>
        <v>50</v>
      </c>
      <c r="H146" s="82">
        <f>INDEX(estacas[],MATCH(ESF[[#This Row],[Ø (cm)]],estacas[Ø ESF (cm)],0),MATCH(ESF[[#Headers],[Pe ESF (kN)]],estacas[#Headers],0))</f>
        <v>1000</v>
      </c>
      <c r="I146" s="4">
        <f>INDEX(K_alpha_C[],MATCH(ESF[[#This Row],[Solo]],K_alpha_C[Solo],0),2)</f>
        <v>0.8</v>
      </c>
      <c r="J146" s="5">
        <f>INDEX(K_alpha_C[],MATCH(ESF[[#This Row],[Solo]],K_alpha_C[Solo],0),3)</f>
        <v>2</v>
      </c>
      <c r="K146" s="4">
        <f>INDEX(F1_F2[],MATCH($D$2,F1_F2[Tipo de estaca],0),2)</f>
        <v>3</v>
      </c>
      <c r="L146" s="4">
        <f>INDEX(F1_F2[],MATCH($D$2,F1_F2[Tipo de estaca],0),3)</f>
        <v>6</v>
      </c>
      <c r="M146" s="4">
        <f>PI()*(ESF[[#This Row],[Ø (cm)]]/100)^2/4</f>
        <v>0.19634954084936207</v>
      </c>
      <c r="N146" s="4">
        <f>PI()*ESF[[#This Row],[Ø (cm)]]/100</f>
        <v>1.5707963267948966</v>
      </c>
      <c r="O146" s="4">
        <f>IF(ESF[[#This Row],[Prof. (m)]]=0,0,ESF[[#This Row],[α (%)]]/100*ESF[[#This Row],[K (MPa)]]*1000*ESF[[#This Row],[NSPT]])</f>
        <v>32</v>
      </c>
      <c r="P146" s="4">
        <f>IF(ESF[[#This Row],[Prof. (m)]]=0,0,(ESF[[#This Row],[K (MPa)]]*1000*ESF[[#This Row],[NSPT]]/ESF[[#This Row],[F1]]*ESF[[#This Row],[Ap (m²)]]+ESF[[#This Row],[U (m)]]/ESF[[#This Row],[F2]]*SUMIFS(ESF[(α∙K∙NL∙ΔL)],ESF[Prof. (m)],"&lt;="&amp;ESF[[#This Row],[Prof. (m)]],ESF[idDiâmetro],ESF[[#This Row],[idDiâmetro]],ESF[idPilar],ESF[[#This Row],[idPilar]]))/'DADOS CAP. CARGA'!$D$2)</f>
        <v>56.548667764616283</v>
      </c>
      <c r="Q146" s="12">
        <f>INDEX(C_alpha_beta[],MATCH(ESF[[#This Row],[Solo]],C_alpha_beta[Solo],0),MATCH(ESF[[#Headers],[C (kPa)]],C_alpha_beta[#Headers],0))</f>
        <v>400</v>
      </c>
      <c r="R146" s="4">
        <f>INDEX(C_alpha_beta[],MATCH(ESF[[#This Row],[Solo]],C_alpha_beta[Solo],0),MATCH(ESF[[#Headers],[α ESF]],C_alpha_beta[#Headers],0))</f>
        <v>0.5</v>
      </c>
      <c r="S146" s="4">
        <f>INDEX(C_alpha_beta[],MATCH(ESF[[#This Row],[Solo]],C_alpha_beta[Solo],0),MATCH(ESF[[#Headers],[β ESF]],C_alpha_beta[#Headers],0))</f>
        <v>0.5</v>
      </c>
      <c r="T146" s="4">
        <f>IF(ESF[[#This Row],[Prof. (m)]]=0,0,10*(ESF[[#This Row],[NSPT]]/3+1))</f>
        <v>16.666666666666664</v>
      </c>
      <c r="U146" s="4">
        <f>(ESF[[#This Row],[α ESF]]*ESF[[#This Row],[C (kPa)]]*ESF[[#This Row],[NSPT]]*ESF[[#This Row],[Ap (m²)]])/'DADOS CAP. CARGA'!$Q$2+(ESF[[#This Row],[β ESF]]*SUMIFS(ESF[10∙(NL/3+1)],ESF[Prof. (m)],"&lt;="&amp;ESF[[#This Row],[Prof. (m)]],ESF[idDiâmetro],ESF[[#This Row],[idDiâmetro]],ESF[idPilar],ESF[[#This Row],[idPilar]])*ESF[[#This Row],[U (m)]])/'DADOS CAP. CARGA'!$S$2</f>
        <v>26.179938779914941</v>
      </c>
      <c r="V146" s="4">
        <f>IF(SPT!$M$5=1,MIN(ESF[[#This Row],[Pe ESF (kN)]],ESF[[#This Row],[R_AV (kN)]]),IF(SPT!$M$5=2,MIN(ESF[[#This Row],[Pe ESF (kN)]],ESF[[#This Row],[R_DC (kN)]]),MIN(ESF[[#This Row],[Pe ESF (kN)]],ESF[[#This Row],[R_AV (kN)]],ESF[[#This Row],[R_DC (kN)]])))</f>
        <v>26.179938779914941</v>
      </c>
      <c r="W146" s="4">
        <f>INDEX(PILARES[],ESF[[#This Row],[idPilar]],MATCH("Carga (kN)",PILARES[#Headers],0))*1.4</f>
        <v>3500</v>
      </c>
      <c r="X146" s="12">
        <f>INDEX(PILARES[],ESF[[#This Row],[idPilar]],MATCH(ESF[[#Headers],[ap (cm)]],PILARES[#Headers],0))</f>
        <v>60</v>
      </c>
      <c r="Y146" s="12">
        <f>INDEX(PILARES[],ESF[[#This Row],[idPilar]],MATCH(ESF[[#Headers],[bp (cm)]],PILARES[#Headers],0))</f>
        <v>60</v>
      </c>
      <c r="Z146" s="4">
        <f>SQRT(ESF[[#This Row],[ap (cm)]]*ESF[[#This Row],[bp (cm)]])</f>
        <v>60</v>
      </c>
      <c r="AA146" s="12">
        <f>ESF[[#This Row],[ap (cm)]]*ESF[[#This Row],[bp (cm)]]</f>
        <v>3600</v>
      </c>
      <c r="AB146" s="12">
        <f ca="1">IF(ESF[[#This Row],[Padm∙ε (kN)]]&gt;=ESF[[#This Row],[Padm (kN)]],ROUNDUP(1.05*ESF[[#This Row],[Nsd (kN)]]/ESF[[#This Row],[Padm (kN)]],0),ROUNDUP(1.05*ESF[[#This Row],[Nsd (kN)]]/ESF[[#This Row],[Padm (kN)]],0)+1)</f>
        <v>141</v>
      </c>
      <c r="AC146" s="4" t="str">
        <f ca="1">IFERROR(IF(ESF[[#This Row],[nE]]=1,ESF[[#This Row],[Padm (kN)]],ESF[[#This Row],[Padm (kN)]]*ESF[[#This Row],[nE]]*INDEX(grupoEstacas[],ESF[[#This Row],[nE]],MATCH("ε",grupoEstacas[#Headers],0))),"N.S.")</f>
        <v>N.S.</v>
      </c>
      <c r="AD146" s="4">
        <f ca="1">1.05*ESF[[#This Row],[Nsd (kN)]]/(ESF[[#This Row],[nE]]*PI()*ESF[[#This Row],[Ø (cm)]]^2/4)*10</f>
        <v>0.13274199508941059</v>
      </c>
      <c r="AE146" s="4">
        <f ca="1">IF(ESF[[#This Row],[σ (MPa)]]&lt;INDEX(tipoEstaca[],MATCH($D$2,tipoEstaca[TIPO DE ESTACA],0),MATCH("σmáx (MPa)",tipoEstaca[#Headers],0)),0.4%*PI()*ESF[[#This Row],[Ø (cm)]]^2/4,"N.S.")</f>
        <v>7.8539816339744837</v>
      </c>
      <c r="AF146" s="82">
        <f>INDEX(tipoEstaca[],MATCH($D$2,tipoEstaca[TIPO DE ESTACA],0),MATCH(ESF[[#Headers],[Comprimento (m)]],tipoEstaca[#Headers],0))</f>
        <v>2</v>
      </c>
      <c r="AG146" s="5">
        <f ca="1">ESF[[#This Row],[As,mín (cm²)]]/100^2*ESF[[#This Row],[Comprimento (m)]]*7850</f>
        <v>12.330751165339938</v>
      </c>
      <c r="AH146" s="4">
        <f ca="1">ESF[[#This Row],[nE]]*ESF[[#This Row],[Prof. (m)]]*ESF[[#This Row],[Ap (m²)]]</f>
        <v>27.68528525976005</v>
      </c>
      <c r="AI146" s="82">
        <f ca="1">IF(ESF[[#This Row],[nE]]=1,0,MAX(3*ESF[[#This Row],[Ø (cm)]],60))</f>
        <v>150</v>
      </c>
      <c r="AJ146" s="82">
        <f ca="1">IF(ESF[[#This Row],[nE]]=1,ESF[[#This Row],[Ø (cm)]]+2*10,MAX(1.5*ESF[[#This Row],[Ø (cm)]],ESF[[#This Row],[Ø (cm)]]+15))</f>
        <v>75</v>
      </c>
      <c r="AK146" s="82" t="str">
        <f ca="1">alturaUtil(ESF[[#This Row],[nE]],ESF[[#This Row],[Ø (cm)]],ESF[[#This Row],[e (cm)]],ESF[[#This Row],[ap,eq (cm)]])</f>
        <v>N.S.</v>
      </c>
      <c r="AL146" s="82" t="str">
        <f ca="1">IFERROR(ESF[[#This Row],[d (cm)]]+arredondarParaCimaMultiplo5cm(MAX(5,SQRT(PI())/2*ESF[[#This Row],[Ø (cm)]]/5)),"N.S.")</f>
        <v>N.S.</v>
      </c>
      <c r="AM146" s="5" t="str">
        <f ca="1">alpha(ESF[[#This Row],[nE]],ESF[[#This Row],[d (cm)]],ESF[[#This Row],[e (cm)]],ESF[[#This Row],[ap,eq (cm)]])</f>
        <v>N.S.</v>
      </c>
      <c r="AN146" s="35" t="str">
        <f ca="1">IFERROR(ESF[[#This Row],[Nsd (kN)]]/(ESF[[#This Row],[Ap (cm²)]]*SIN(ESF[[#This Row],[α]])^2),"N.S.")</f>
        <v>N.S.</v>
      </c>
      <c r="AO146" s="35" t="str">
        <f ca="1">IFERROR(ESF[[#This Row],[Nsd (kN)]]/(ESF[[#This Row],[nE]]*PI()*ESF[[#This Row],[Ø (cm)]]^2/4*SIN(ESF[[#This Row],[α]])^2),"N.S.")</f>
        <v>N.S.</v>
      </c>
      <c r="AP146" s="4" t="str">
        <f ca="1">IFERROR(INDEX(grupoEstacas[],ESF[[#This Row],[nE]],MATCH("coef. Blévot",grupoEstacas[#Headers],0)),"N.S.")</f>
        <v>N.S.</v>
      </c>
      <c r="AQ146" s="35" t="str">
        <f ca="1">IFERROR(ESF[[#This Row],[coef. Blévot]]*0.9*INDEX(tipoEstaca[],MATCH($D$2,tipoEstaca[TIPO DE ESTACA],0),MATCH("fcd (kN/cm²)",tipoEstaca[#Headers],0)),"N.S.")</f>
        <v>N.S.</v>
      </c>
      <c r="AR146" s="82" t="str">
        <f ca="1">IF(AND(ESF[[#This Row],[cd,b,pil (kN/cm²)]]&lt;=ESF[[#This Row],[cd,b,lim (kN/cm²)]],ESF[[#This Row],[cd,b,est (kN/cm²)]]&lt;=ESF[[#This Row],[cd,b,lim (kN/cm²)]]),"OK","ERRO")</f>
        <v>OK</v>
      </c>
      <c r="AS146" s="4" t="str">
        <f ca="1">As_lado(ESF[[#This Row],[nE]],ESF[[#This Row],[Nsd (kN)]],ESF[[#This Row],[d (cm)]],ESF[[#This Row],[e (cm)]],ESF[[#This Row],[ap,eq (cm)]])</f>
        <v>N.S.</v>
      </c>
      <c r="AT146" s="4" t="str">
        <f ca="1">IF(ESF[[#This Row],[nE]]=1,ESF[[#This Row],[As,lado (cm²)]],IF(ESF[[#This Row],[nE]]=2,0.075*2*ESF[a (cm)],"N.A."))</f>
        <v>N.A.</v>
      </c>
      <c r="AU146" s="4" t="str">
        <f ca="1">IFERROR(IF(ESF[[#This Row],[nE]]=1,"N.A.",0.2*ESF[[#This Row],[As,lado (cm²)]]),"N.S.")</f>
        <v>N.S.</v>
      </c>
      <c r="AV146" s="4" t="str">
        <f ca="1">As_malha(ESF[[#This Row],[nE]],ESF[[#This Row],[As,lado (cm²)]],ESF[[#This Row],[Nsd (kN)]])</f>
        <v>N.S.</v>
      </c>
      <c r="AW146" s="4" t="str">
        <f ca="1">As_susp_tot(ESF[[#This Row],[nE]],ESF[[#This Row],[Nsd (kN)]])</f>
        <v>N.S.</v>
      </c>
      <c r="AX146" s="4" t="str">
        <f ca="1">Asp_face(ESF[[#This Row],[nE]],ESF[[#This Row],[As,lado (cm²)]])</f>
        <v>N.S.</v>
      </c>
      <c r="AY146" s="5" t="str">
        <f ca="1">acoBloco(ESF[[#This Row],[nE]],ESF[[#This Row],[e (cm)]],ESF[[#This Row],[a (cm)]],ESF[[#This Row],[h (cm)]],ESF[[#This Row],[As,lado (cm²)]],ESF[[#This Row],[Asp e Asw (cm²/m)]],ESF[[#This Row],[As,sup (cm²)]],ESF[[#This Row],[As,malha (cm²)]],ESF[[#This Row],[As,susp,tot (cm²)]],ESF[[#This Row],[Asp,face (cm²)]])</f>
        <v>N.S.</v>
      </c>
      <c r="AZ146" s="4" t="str">
        <f ca="1">concretoBloco(ESF[[#This Row],[nE]],ESF[[#This Row],[e (cm)]],ESF[[#This Row],[a (cm)]],ESF[[#This Row],[h (cm)]])</f>
        <v>N.S.</v>
      </c>
      <c r="BA146" s="5">
        <f ca="1">SUM(ESF[[#This Row],[Aço Est (kg)]],ESF[[#This Row],[Aço Bloco (kg)]])</f>
        <v>12.330751165339938</v>
      </c>
      <c r="BB146" s="4">
        <f>INDEX(composicoes[],MATCH(95580,composicoes[CÓDIGO],0),MATCH("CUSTO TOTAL",composicoes[#Headers],0))</f>
        <v>10.46</v>
      </c>
      <c r="BC146" s="4">
        <f ca="1">SUM(ESF[[#This Row],[Conc Est (m³)]],ESF[[#This Row],[Conc Bloco (m³)]])</f>
        <v>27.68528525976005</v>
      </c>
      <c r="BD146" s="4">
        <f>INDEX(composicoes[],MATCH(94966,composicoes[CÓDIGO],0),MATCH("CUSTO TOTAL",composicoes[#Headers],0))</f>
        <v>439.52</v>
      </c>
      <c r="BE146" s="38">
        <f ca="1">ESF[[#This Row],[Aço (kg)]]*ESF[[#This Row],[Aço (R$/kg)]]+ESF[[#This Row],[Conc (m³)]]*ESF[[#This Row],[Conc (R$/m³)]]</f>
        <v>12297.216234559191</v>
      </c>
      <c r="BF146" s="4" t="str">
        <f ca="1">IF(COUNTIF(ESF[#This Row],"N.S.")&gt;0,"lim.","OK")</f>
        <v>lim.</v>
      </c>
      <c r="BG146" s="4" t="str">
        <f>IF(ESF[[#This Row],[Prof. (m)]]&lt;3,"lim.","OK")</f>
        <v>lim.</v>
      </c>
      <c r="BH146" s="4" t="str">
        <f>IF(ESF[[#This Row],[Prof. (m)]]&gt;=8*ESF[[#This Row],[Ø (cm)]]/100,"OK","lim.")</f>
        <v>lim.</v>
      </c>
      <c r="BI146" s="4" t="str">
        <f>IF(AND(SPT!$F$3&lt;&gt;"",ESF[[#This Row],[Prof. (m)]]&gt;=SPT!$F$3),"lim.","OK")</f>
        <v>OK</v>
      </c>
      <c r="BJ146" s="4" t="str">
        <f>IF(COUNTIFS(ESF[Solo],"Areia",ESF[Prof. (m)],"&lt;="&amp;ESF[[#This Row],[Prof. (m)]])&gt;=1,"lim.","OK")</f>
        <v>OK</v>
      </c>
      <c r="BK146" s="4" t="str">
        <f ca="1">IF(ESF[[#This Row],[Verif. Biela]]="OK","OK","lim.")</f>
        <v>OK</v>
      </c>
      <c r="BL146" s="4" t="str">
        <f ca="1">IF(COUNTA(ESF[[#This Row],[Nº Est.]:[Biela comp.]])=COUNTIF(ESF[[#This Row],[Nº Est.]:[Biela comp.]],"OK"),"OK","lim.")</f>
        <v>lim.</v>
      </c>
      <c r="BM146" s="4" t="str">
        <f ca="1">IF(ESF[[#This Row],[Controle]]="OK",ESF[[#This Row],[nE]]&amp;" Ø"&amp;ESF[[#This Row],[Ø (cm)]]&amp;"cm Prof. "&amp;ESF[[#This Row],[Prof. (m)]]&amp;" m","")</f>
        <v/>
      </c>
      <c r="BN146" s="4" t="str">
        <f ca="1">IF(ESF[[#This Row],[idDimensionamento]]="","",ESF[[#This Row],[idPilar]]&amp;ESF[[#This Row],[idDimensionamento]])</f>
        <v/>
      </c>
    </row>
    <row r="147" spans="2:66" x14ac:dyDescent="0.25">
      <c r="B147" s="12">
        <f>ROUNDUP((ROW(ESF[[#This Row],[idDiâmetro]])-ROW(ESF[[#Headers],[idDiâmetro]]))/(COUNT(SPT[Prof. (m)])*COUNT(PILARES[Pilar])),0)</f>
        <v>6</v>
      </c>
      <c r="C147" s="12">
        <f>IF(ESF[[#This Row],[idDiâmetro]]&lt;&gt;B146,1,IF(ESF[[#This Row],[Prof. (m)]]=0,C146+1,C146))</f>
        <v>1</v>
      </c>
      <c r="D147" s="82">
        <f>IFERROR(IF(D146=MAX(SPT[Prof. (m)]),0,D146+1),0)</f>
        <v>2</v>
      </c>
      <c r="E147" s="82">
        <f>INDEX(SPT[],MATCH(ESF[[#This Row],[Prof. (m)]],SPT[Prof. (m)],0),2)</f>
        <v>2</v>
      </c>
      <c r="F147" s="82" t="str">
        <f>INDEX(SPT[],MATCH(ESF[[#This Row],[Prof. (m)]],SPT[Prof. (m)],0),3)</f>
        <v>Areia siltosa</v>
      </c>
      <c r="G147" s="82">
        <f>INDEX(estacas[],ESF[[#This Row],[idDiâmetro]],MATCH($B$2,estacas[#Headers],0))</f>
        <v>50</v>
      </c>
      <c r="H147" s="82">
        <f>INDEX(estacas[],MATCH(ESF[[#This Row],[Ø (cm)]],estacas[Ø ESF (cm)],0),MATCH(ESF[[#Headers],[Pe ESF (kN)]],estacas[#Headers],0))</f>
        <v>1000</v>
      </c>
      <c r="I147" s="4">
        <f>INDEX(K_alpha_C[],MATCH(ESF[[#This Row],[Solo]],K_alpha_C[Solo],0),2)</f>
        <v>0.8</v>
      </c>
      <c r="J147" s="5">
        <f>INDEX(K_alpha_C[],MATCH(ESF[[#This Row],[Solo]],K_alpha_C[Solo],0),3)</f>
        <v>2</v>
      </c>
      <c r="K147" s="4">
        <f>INDEX(F1_F2[],MATCH($D$2,F1_F2[Tipo de estaca],0),2)</f>
        <v>3</v>
      </c>
      <c r="L147" s="4">
        <f>INDEX(F1_F2[],MATCH($D$2,F1_F2[Tipo de estaca],0),3)</f>
        <v>6</v>
      </c>
      <c r="M147" s="4">
        <f>PI()*(ESF[[#This Row],[Ø (cm)]]/100)^2/4</f>
        <v>0.19634954084936207</v>
      </c>
      <c r="N147" s="4">
        <f>PI()*ESF[[#This Row],[Ø (cm)]]/100</f>
        <v>1.5707963267948966</v>
      </c>
      <c r="O147" s="4">
        <f>IF(ESF[[#This Row],[Prof. (m)]]=0,0,ESF[[#This Row],[α (%)]]/100*ESF[[#This Row],[K (MPa)]]*1000*ESF[[#This Row],[NSPT]])</f>
        <v>32</v>
      </c>
      <c r="P147" s="4">
        <f>IF(ESF[[#This Row],[Prof. (m)]]=0,0,(ESF[[#This Row],[K (MPa)]]*1000*ESF[[#This Row],[NSPT]]/ESF[[#This Row],[F1]]*ESF[[#This Row],[Ap (m²)]]+ESF[[#This Row],[U (m)]]/ESF[[#This Row],[F2]]*SUMIFS(ESF[(α∙K∙NL∙ΔL)],ESF[Prof. (m)],"&lt;="&amp;ESF[[#This Row],[Prof. (m)]],ESF[idDiâmetro],ESF[[#This Row],[idDiâmetro]],ESF[idPilar],ESF[[#This Row],[idPilar]]))/'DADOS CAP. CARGA'!$D$2)</f>
        <v>60.737457969402669</v>
      </c>
      <c r="Q147" s="12">
        <f>INDEX(C_alpha_beta[],MATCH(ESF[[#This Row],[Solo]],C_alpha_beta[Solo],0),MATCH(ESF[[#Headers],[C (kPa)]],C_alpha_beta[#Headers],0))</f>
        <v>400</v>
      </c>
      <c r="R147" s="4">
        <f>INDEX(C_alpha_beta[],MATCH(ESF[[#This Row],[Solo]],C_alpha_beta[Solo],0),MATCH(ESF[[#Headers],[α ESF]],C_alpha_beta[#Headers],0))</f>
        <v>0.5</v>
      </c>
      <c r="S147" s="4">
        <f>INDEX(C_alpha_beta[],MATCH(ESF[[#This Row],[Solo]],C_alpha_beta[Solo],0),MATCH(ESF[[#Headers],[β ESF]],C_alpha_beta[#Headers],0))</f>
        <v>0.5</v>
      </c>
      <c r="T147" s="4">
        <f>IF(ESF[[#This Row],[Prof. (m)]]=0,0,10*(ESF[[#This Row],[NSPT]]/3+1))</f>
        <v>16.666666666666664</v>
      </c>
      <c r="U147" s="4">
        <f>(ESF[[#This Row],[α ESF]]*ESF[[#This Row],[C (kPa)]]*ESF[[#This Row],[NSPT]]*ESF[[#This Row],[Ap (m²)]])/'DADOS CAP. CARGA'!$Q$2+(ESF[[#This Row],[β ESF]]*SUMIFS(ESF[10∙(NL/3+1)],ESF[Prof. (m)],"&lt;="&amp;ESF[[#This Row],[Prof. (m)]],ESF[idDiâmetro],ESF[[#This Row],[idDiâmetro]],ESF[idPilar],ESF[[#This Row],[idPilar]])*ESF[[#This Row],[U (m)]])/'DADOS CAP. CARGA'!$S$2</f>
        <v>32.724923474893679</v>
      </c>
      <c r="V147" s="4">
        <f>IF(SPT!$M$5=1,MIN(ESF[[#This Row],[Pe ESF (kN)]],ESF[[#This Row],[R_AV (kN)]]),IF(SPT!$M$5=2,MIN(ESF[[#This Row],[Pe ESF (kN)]],ESF[[#This Row],[R_DC (kN)]]),MIN(ESF[[#This Row],[Pe ESF (kN)]],ESF[[#This Row],[R_AV (kN)]],ESF[[#This Row],[R_DC (kN)]])))</f>
        <v>32.724923474893679</v>
      </c>
      <c r="W147" s="4">
        <f>INDEX(PILARES[],ESF[[#This Row],[idPilar]],MATCH("Carga (kN)",PILARES[#Headers],0))*1.4</f>
        <v>3500</v>
      </c>
      <c r="X147" s="12">
        <f>INDEX(PILARES[],ESF[[#This Row],[idPilar]],MATCH(ESF[[#Headers],[ap (cm)]],PILARES[#Headers],0))</f>
        <v>60</v>
      </c>
      <c r="Y147" s="12">
        <f>INDEX(PILARES[],ESF[[#This Row],[idPilar]],MATCH(ESF[[#Headers],[bp (cm)]],PILARES[#Headers],0))</f>
        <v>60</v>
      </c>
      <c r="Z147" s="4">
        <f>SQRT(ESF[[#This Row],[ap (cm)]]*ESF[[#This Row],[bp (cm)]])</f>
        <v>60</v>
      </c>
      <c r="AA147" s="12">
        <f>ESF[[#This Row],[ap (cm)]]*ESF[[#This Row],[bp (cm)]]</f>
        <v>3600</v>
      </c>
      <c r="AB147" s="12">
        <f ca="1">IF(ESF[[#This Row],[Padm∙ε (kN)]]&gt;=ESF[[#This Row],[Padm (kN)]],ROUNDUP(1.05*ESF[[#This Row],[Nsd (kN)]]/ESF[[#This Row],[Padm (kN)]],0),ROUNDUP(1.05*ESF[[#This Row],[Nsd (kN)]]/ESF[[#This Row],[Padm (kN)]],0)+1)</f>
        <v>113</v>
      </c>
      <c r="AC147" s="4" t="str">
        <f ca="1">IFERROR(IF(ESF[[#This Row],[nE]]=1,ESF[[#This Row],[Padm (kN)]],ESF[[#This Row],[Padm (kN)]]*ESF[[#This Row],[nE]]*INDEX(grupoEstacas[],ESF[[#This Row],[nE]],MATCH("ε",grupoEstacas[#Headers],0))),"N.S.")</f>
        <v>N.S.</v>
      </c>
      <c r="AD147" s="4">
        <f ca="1">1.05*ESF[[#This Row],[Nsd (kN)]]/(ESF[[#This Row],[nE]]*PI()*ESF[[#This Row],[Ø (cm)]]^2/4)*10</f>
        <v>0.16563381688147694</v>
      </c>
      <c r="AE147" s="4">
        <f ca="1">IF(ESF[[#This Row],[σ (MPa)]]&lt;INDEX(tipoEstaca[],MATCH($D$2,tipoEstaca[TIPO DE ESTACA],0),MATCH("σmáx (MPa)",tipoEstaca[#Headers],0)),0.4%*PI()*ESF[[#This Row],[Ø (cm)]]^2/4,"N.S.")</f>
        <v>7.8539816339744837</v>
      </c>
      <c r="AF147" s="82">
        <f>INDEX(tipoEstaca[],MATCH($D$2,tipoEstaca[TIPO DE ESTACA],0),MATCH(ESF[[#Headers],[Comprimento (m)]],tipoEstaca[#Headers],0))</f>
        <v>2</v>
      </c>
      <c r="AG147" s="5">
        <f ca="1">ESF[[#This Row],[As,mín (cm²)]]/100^2*ESF[[#This Row],[Comprimento (m)]]*7850</f>
        <v>12.330751165339938</v>
      </c>
      <c r="AH147" s="4">
        <f ca="1">ESF[[#This Row],[nE]]*ESF[[#This Row],[Prof. (m)]]*ESF[[#This Row],[Ap (m²)]]</f>
        <v>44.374996231955826</v>
      </c>
      <c r="AI147" s="82">
        <f ca="1">IF(ESF[[#This Row],[nE]]=1,0,MAX(3*ESF[[#This Row],[Ø (cm)]],60))</f>
        <v>150</v>
      </c>
      <c r="AJ147" s="82">
        <f ca="1">IF(ESF[[#This Row],[nE]]=1,ESF[[#This Row],[Ø (cm)]]+2*10,MAX(1.5*ESF[[#This Row],[Ø (cm)]],ESF[[#This Row],[Ø (cm)]]+15))</f>
        <v>75</v>
      </c>
      <c r="AK147" s="82" t="str">
        <f ca="1">alturaUtil(ESF[[#This Row],[nE]],ESF[[#This Row],[Ø (cm)]],ESF[[#This Row],[e (cm)]],ESF[[#This Row],[ap,eq (cm)]])</f>
        <v>N.S.</v>
      </c>
      <c r="AL147" s="82" t="str">
        <f ca="1">IFERROR(ESF[[#This Row],[d (cm)]]+arredondarParaCimaMultiplo5cm(MAX(5,SQRT(PI())/2*ESF[[#This Row],[Ø (cm)]]/5)),"N.S.")</f>
        <v>N.S.</v>
      </c>
      <c r="AM147" s="5" t="str">
        <f ca="1">alpha(ESF[[#This Row],[nE]],ESF[[#This Row],[d (cm)]],ESF[[#This Row],[e (cm)]],ESF[[#This Row],[ap,eq (cm)]])</f>
        <v>N.S.</v>
      </c>
      <c r="AN147" s="35" t="str">
        <f ca="1">IFERROR(ESF[[#This Row],[Nsd (kN)]]/(ESF[[#This Row],[Ap (cm²)]]*SIN(ESF[[#This Row],[α]])^2),"N.S.")</f>
        <v>N.S.</v>
      </c>
      <c r="AO147" s="35" t="str">
        <f ca="1">IFERROR(ESF[[#This Row],[Nsd (kN)]]/(ESF[[#This Row],[nE]]*PI()*ESF[[#This Row],[Ø (cm)]]^2/4*SIN(ESF[[#This Row],[α]])^2),"N.S.")</f>
        <v>N.S.</v>
      </c>
      <c r="AP147" s="4" t="str">
        <f ca="1">IFERROR(INDEX(grupoEstacas[],ESF[[#This Row],[nE]],MATCH("coef. Blévot",grupoEstacas[#Headers],0)),"N.S.")</f>
        <v>N.S.</v>
      </c>
      <c r="AQ147" s="35" t="str">
        <f ca="1">IFERROR(ESF[[#This Row],[coef. Blévot]]*0.9*INDEX(tipoEstaca[],MATCH($D$2,tipoEstaca[TIPO DE ESTACA],0),MATCH("fcd (kN/cm²)",tipoEstaca[#Headers],0)),"N.S.")</f>
        <v>N.S.</v>
      </c>
      <c r="AR147" s="82" t="str">
        <f ca="1">IF(AND(ESF[[#This Row],[cd,b,pil (kN/cm²)]]&lt;=ESF[[#This Row],[cd,b,lim (kN/cm²)]],ESF[[#This Row],[cd,b,est (kN/cm²)]]&lt;=ESF[[#This Row],[cd,b,lim (kN/cm²)]]),"OK","ERRO")</f>
        <v>OK</v>
      </c>
      <c r="AS147" s="4" t="str">
        <f ca="1">As_lado(ESF[[#This Row],[nE]],ESF[[#This Row],[Nsd (kN)]],ESF[[#This Row],[d (cm)]],ESF[[#This Row],[e (cm)]],ESF[[#This Row],[ap,eq (cm)]])</f>
        <v>N.S.</v>
      </c>
      <c r="AT147" s="4" t="str">
        <f ca="1">IF(ESF[[#This Row],[nE]]=1,ESF[[#This Row],[As,lado (cm²)]],IF(ESF[[#This Row],[nE]]=2,0.075*2*ESF[a (cm)],"N.A."))</f>
        <v>N.A.</v>
      </c>
      <c r="AU147" s="4" t="str">
        <f ca="1">IFERROR(IF(ESF[[#This Row],[nE]]=1,"N.A.",0.2*ESF[[#This Row],[As,lado (cm²)]]),"N.S.")</f>
        <v>N.S.</v>
      </c>
      <c r="AV147" s="4" t="str">
        <f ca="1">As_malha(ESF[[#This Row],[nE]],ESF[[#This Row],[As,lado (cm²)]],ESF[[#This Row],[Nsd (kN)]])</f>
        <v>N.S.</v>
      </c>
      <c r="AW147" s="4" t="str">
        <f ca="1">As_susp_tot(ESF[[#This Row],[nE]],ESF[[#This Row],[Nsd (kN)]])</f>
        <v>N.S.</v>
      </c>
      <c r="AX147" s="4" t="str">
        <f ca="1">Asp_face(ESF[[#This Row],[nE]],ESF[[#This Row],[As,lado (cm²)]])</f>
        <v>N.S.</v>
      </c>
      <c r="AY147" s="5" t="str">
        <f ca="1">acoBloco(ESF[[#This Row],[nE]],ESF[[#This Row],[e (cm)]],ESF[[#This Row],[a (cm)]],ESF[[#This Row],[h (cm)]],ESF[[#This Row],[As,lado (cm²)]],ESF[[#This Row],[Asp e Asw (cm²/m)]],ESF[[#This Row],[As,sup (cm²)]],ESF[[#This Row],[As,malha (cm²)]],ESF[[#This Row],[As,susp,tot (cm²)]],ESF[[#This Row],[Asp,face (cm²)]])</f>
        <v>N.S.</v>
      </c>
      <c r="AZ147" s="4" t="str">
        <f ca="1">concretoBloco(ESF[[#This Row],[nE]],ESF[[#This Row],[e (cm)]],ESF[[#This Row],[a (cm)]],ESF[[#This Row],[h (cm)]])</f>
        <v>N.S.</v>
      </c>
      <c r="BA147" s="5">
        <f ca="1">SUM(ESF[[#This Row],[Aço Est (kg)]],ESF[[#This Row],[Aço Bloco (kg)]])</f>
        <v>12.330751165339938</v>
      </c>
      <c r="BB147" s="4">
        <f>INDEX(composicoes[],MATCH(95580,composicoes[CÓDIGO],0),MATCH("CUSTO TOTAL",composicoes[#Headers],0))</f>
        <v>10.46</v>
      </c>
      <c r="BC147" s="4">
        <f ca="1">SUM(ESF[[#This Row],[Conc Est (m³)]],ESF[[#This Row],[Conc Bloco (m³)]])</f>
        <v>44.374996231955826</v>
      </c>
      <c r="BD147" s="4">
        <f>INDEX(composicoes[],MATCH(94966,composicoes[CÓDIGO],0),MATCH("CUSTO TOTAL",composicoes[#Headers],0))</f>
        <v>439.52</v>
      </c>
      <c r="BE147" s="38">
        <f ca="1">ESF[[#This Row],[Aço (kg)]]*ESF[[#This Row],[Aço (R$/kg)]]+ESF[[#This Row],[Conc (m³)]]*ESF[[#This Row],[Conc (R$/m³)]]</f>
        <v>19632.678001058677</v>
      </c>
      <c r="BF147" s="4" t="str">
        <f ca="1">IF(COUNTIF(ESF[#This Row],"N.S.")&gt;0,"lim.","OK")</f>
        <v>lim.</v>
      </c>
      <c r="BG147" s="4" t="str">
        <f>IF(ESF[[#This Row],[Prof. (m)]]&lt;3,"lim.","OK")</f>
        <v>lim.</v>
      </c>
      <c r="BH147" s="4" t="str">
        <f>IF(ESF[[#This Row],[Prof. (m)]]&gt;=8*ESF[[#This Row],[Ø (cm)]]/100,"OK","lim.")</f>
        <v>lim.</v>
      </c>
      <c r="BI147" s="4" t="str">
        <f>IF(AND(SPT!$F$3&lt;&gt;"",ESF[[#This Row],[Prof. (m)]]&gt;=SPT!$F$3),"lim.","OK")</f>
        <v>OK</v>
      </c>
      <c r="BJ147" s="4" t="str">
        <f>IF(COUNTIFS(ESF[Solo],"Areia",ESF[Prof. (m)],"&lt;="&amp;ESF[[#This Row],[Prof. (m)]])&gt;=1,"lim.","OK")</f>
        <v>OK</v>
      </c>
      <c r="BK147" s="4" t="str">
        <f ca="1">IF(ESF[[#This Row],[Verif. Biela]]="OK","OK","lim.")</f>
        <v>OK</v>
      </c>
      <c r="BL147" s="4" t="str">
        <f ca="1">IF(COUNTA(ESF[[#This Row],[Nº Est.]:[Biela comp.]])=COUNTIF(ESF[[#This Row],[Nº Est.]:[Biela comp.]],"OK"),"OK","lim.")</f>
        <v>lim.</v>
      </c>
      <c r="BM147" s="4" t="str">
        <f ca="1">IF(ESF[[#This Row],[Controle]]="OK",ESF[[#This Row],[nE]]&amp;" Ø"&amp;ESF[[#This Row],[Ø (cm)]]&amp;"cm Prof. "&amp;ESF[[#This Row],[Prof. (m)]]&amp;" m","")</f>
        <v/>
      </c>
      <c r="BN147" s="4" t="str">
        <f ca="1">IF(ESF[[#This Row],[idDimensionamento]]="","",ESF[[#This Row],[idPilar]]&amp;ESF[[#This Row],[idDimensionamento]])</f>
        <v/>
      </c>
    </row>
    <row r="148" spans="2:66" x14ac:dyDescent="0.25">
      <c r="B148" s="12">
        <f>ROUNDUP((ROW(ESF[[#This Row],[idDiâmetro]])-ROW(ESF[[#Headers],[idDiâmetro]]))/(COUNT(SPT[Prof. (m)])*COUNT(PILARES[Pilar])),0)</f>
        <v>6</v>
      </c>
      <c r="C148" s="12">
        <f>IF(ESF[[#This Row],[idDiâmetro]]&lt;&gt;B147,1,IF(ESF[[#This Row],[Prof. (m)]]=0,C147+1,C147))</f>
        <v>1</v>
      </c>
      <c r="D148" s="82">
        <f>IFERROR(IF(D147=MAX(SPT[Prof. (m)]),0,D147+1),0)</f>
        <v>3</v>
      </c>
      <c r="E148" s="82">
        <f>INDEX(SPT[],MATCH(ESF[[#This Row],[Prof. (m)]],SPT[Prof. (m)],0),2)</f>
        <v>4</v>
      </c>
      <c r="F148" s="82" t="str">
        <f>INDEX(SPT[],MATCH(ESF[[#This Row],[Prof. (m)]],SPT[Prof. (m)],0),3)</f>
        <v>Areia siltosa</v>
      </c>
      <c r="G148" s="82">
        <f>INDEX(estacas[],ESF[[#This Row],[idDiâmetro]],MATCH($B$2,estacas[#Headers],0))</f>
        <v>50</v>
      </c>
      <c r="H148" s="82">
        <f>INDEX(estacas[],MATCH(ESF[[#This Row],[Ø (cm)]],estacas[Ø ESF (cm)],0),MATCH(ESF[[#Headers],[Pe ESF (kN)]],estacas[#Headers],0))</f>
        <v>1000</v>
      </c>
      <c r="I148" s="4">
        <f>INDEX(K_alpha_C[],MATCH(ESF[[#This Row],[Solo]],K_alpha_C[Solo],0),2)</f>
        <v>0.8</v>
      </c>
      <c r="J148" s="5">
        <f>INDEX(K_alpha_C[],MATCH(ESF[[#This Row],[Solo]],K_alpha_C[Solo],0),3)</f>
        <v>2</v>
      </c>
      <c r="K148" s="4">
        <f>INDEX(F1_F2[],MATCH($D$2,F1_F2[Tipo de estaca],0),2)</f>
        <v>3</v>
      </c>
      <c r="L148" s="4">
        <f>INDEX(F1_F2[],MATCH($D$2,F1_F2[Tipo de estaca],0),3)</f>
        <v>6</v>
      </c>
      <c r="M148" s="4">
        <f>PI()*(ESF[[#This Row],[Ø (cm)]]/100)^2/4</f>
        <v>0.19634954084936207</v>
      </c>
      <c r="N148" s="4">
        <f>PI()*ESF[[#This Row],[Ø (cm)]]/100</f>
        <v>1.5707963267948966</v>
      </c>
      <c r="O148" s="4">
        <f>IF(ESF[[#This Row],[Prof. (m)]]=0,0,ESF[[#This Row],[α (%)]]/100*ESF[[#This Row],[K (MPa)]]*1000*ESF[[#This Row],[NSPT]])</f>
        <v>64</v>
      </c>
      <c r="P148" s="4">
        <f>IF(ESF[[#This Row],[Prof. (m)]]=0,0,(ESF[[#This Row],[K (MPa)]]*1000*ESF[[#This Row],[NSPT]]/ESF[[#This Row],[F1]]*ESF[[#This Row],[Ap (m²)]]+ESF[[#This Row],[U (m)]]/ESF[[#This Row],[F2]]*SUMIFS(ESF[(α∙K∙NL∙ΔL)],ESF[Prof. (m)],"&lt;="&amp;ESF[[#This Row],[Prof. (m)]],ESF[idDiâmetro],ESF[[#This Row],[idDiâmetro]],ESF[idPilar],ESF[[#This Row],[idPilar]]))/'DADOS CAP. CARGA'!$D$2)</f>
        <v>121.47491593880534</v>
      </c>
      <c r="Q148" s="12">
        <f>INDEX(C_alpha_beta[],MATCH(ESF[[#This Row],[Solo]],C_alpha_beta[Solo],0),MATCH(ESF[[#Headers],[C (kPa)]],C_alpha_beta[#Headers],0))</f>
        <v>400</v>
      </c>
      <c r="R148" s="4">
        <f>INDEX(C_alpha_beta[],MATCH(ESF[[#This Row],[Solo]],C_alpha_beta[Solo],0),MATCH(ESF[[#Headers],[α ESF]],C_alpha_beta[#Headers],0))</f>
        <v>0.5</v>
      </c>
      <c r="S148" s="4">
        <f>INDEX(C_alpha_beta[],MATCH(ESF[[#This Row],[Solo]],C_alpha_beta[Solo],0),MATCH(ESF[[#Headers],[β ESF]],C_alpha_beta[#Headers],0))</f>
        <v>0.5</v>
      </c>
      <c r="T148" s="4">
        <f>IF(ESF[[#This Row],[Prof. (m)]]=0,0,10*(ESF[[#This Row],[NSPT]]/3+1))</f>
        <v>23.333333333333329</v>
      </c>
      <c r="U148" s="4">
        <f>(ESF[[#This Row],[α ESF]]*ESF[[#This Row],[C (kPa)]]*ESF[[#This Row],[NSPT]]*ESF[[#This Row],[Ap (m²)]])/'DADOS CAP. CARGA'!$Q$2+(ESF[[#This Row],[β ESF]]*SUMIFS(ESF[10∙(NL/3+1)],ESF[Prof. (m)],"&lt;="&amp;ESF[[#This Row],[Prof. (m)]],ESF[idDiâmetro],ESF[[#This Row],[idDiâmetro]],ESF[idPilar],ESF[[#This Row],[idPilar]])*ESF[[#This Row],[U (m)]])/'DADOS CAP. CARGA'!$S$2</f>
        <v>61.522856132800115</v>
      </c>
      <c r="V148" s="4">
        <f>IF(SPT!$M$5=1,MIN(ESF[[#This Row],[Pe ESF (kN)]],ESF[[#This Row],[R_AV (kN)]]),IF(SPT!$M$5=2,MIN(ESF[[#This Row],[Pe ESF (kN)]],ESF[[#This Row],[R_DC (kN)]]),MIN(ESF[[#This Row],[Pe ESF (kN)]],ESF[[#This Row],[R_AV (kN)]],ESF[[#This Row],[R_DC (kN)]])))</f>
        <v>61.522856132800115</v>
      </c>
      <c r="W148" s="4">
        <f>INDEX(PILARES[],ESF[[#This Row],[idPilar]],MATCH("Carga (kN)",PILARES[#Headers],0))*1.4</f>
        <v>3500</v>
      </c>
      <c r="X148" s="12">
        <f>INDEX(PILARES[],ESF[[#This Row],[idPilar]],MATCH(ESF[[#Headers],[ap (cm)]],PILARES[#Headers],0))</f>
        <v>60</v>
      </c>
      <c r="Y148" s="12">
        <f>INDEX(PILARES[],ESF[[#This Row],[idPilar]],MATCH(ESF[[#Headers],[bp (cm)]],PILARES[#Headers],0))</f>
        <v>60</v>
      </c>
      <c r="Z148" s="4">
        <f>SQRT(ESF[[#This Row],[ap (cm)]]*ESF[[#This Row],[bp (cm)]])</f>
        <v>60</v>
      </c>
      <c r="AA148" s="12">
        <f>ESF[[#This Row],[ap (cm)]]*ESF[[#This Row],[bp (cm)]]</f>
        <v>3600</v>
      </c>
      <c r="AB148" s="12">
        <f ca="1">IF(ESF[[#This Row],[Padm∙ε (kN)]]&gt;=ESF[[#This Row],[Padm (kN)]],ROUNDUP(1.05*ESF[[#This Row],[Nsd (kN)]]/ESF[[#This Row],[Padm (kN)]],0),ROUNDUP(1.05*ESF[[#This Row],[Nsd (kN)]]/ESF[[#This Row],[Padm (kN)]],0)+1)</f>
        <v>60</v>
      </c>
      <c r="AC148" s="4" t="str">
        <f ca="1">IFERROR(IF(ESF[[#This Row],[nE]]=1,ESF[[#This Row],[Padm (kN)]],ESF[[#This Row],[Padm (kN)]]*ESF[[#This Row],[nE]]*INDEX(grupoEstacas[],ESF[[#This Row],[nE]],MATCH("ε",grupoEstacas[#Headers],0))),"N.S.")</f>
        <v>N.S.</v>
      </c>
      <c r="AD148" s="4">
        <f ca="1">1.05*ESF[[#This Row],[Nsd (kN)]]/(ESF[[#This Row],[nE]]*PI()*ESF[[#This Row],[Ø (cm)]]^2/4)*10</f>
        <v>0.31194368846011489</v>
      </c>
      <c r="AE148" s="4">
        <f ca="1">IF(ESF[[#This Row],[σ (MPa)]]&lt;INDEX(tipoEstaca[],MATCH($D$2,tipoEstaca[TIPO DE ESTACA],0),MATCH("σmáx (MPa)",tipoEstaca[#Headers],0)),0.4%*PI()*ESF[[#This Row],[Ø (cm)]]^2/4,"N.S.")</f>
        <v>7.8539816339744837</v>
      </c>
      <c r="AF148" s="82">
        <f>INDEX(tipoEstaca[],MATCH($D$2,tipoEstaca[TIPO DE ESTACA],0),MATCH(ESF[[#Headers],[Comprimento (m)]],tipoEstaca[#Headers],0))</f>
        <v>2</v>
      </c>
      <c r="AG148" s="5">
        <f ca="1">ESF[[#This Row],[As,mín (cm²)]]/100^2*ESF[[#This Row],[Comprimento (m)]]*7850</f>
        <v>12.330751165339938</v>
      </c>
      <c r="AH148" s="4">
        <f ca="1">ESF[[#This Row],[nE]]*ESF[[#This Row],[Prof. (m)]]*ESF[[#This Row],[Ap (m²)]]</f>
        <v>35.342917352885173</v>
      </c>
      <c r="AI148" s="82">
        <f ca="1">IF(ESF[[#This Row],[nE]]=1,0,MAX(3*ESF[[#This Row],[Ø (cm)]],60))</f>
        <v>150</v>
      </c>
      <c r="AJ148" s="82">
        <f ca="1">IF(ESF[[#This Row],[nE]]=1,ESF[[#This Row],[Ø (cm)]]+2*10,MAX(1.5*ESF[[#This Row],[Ø (cm)]],ESF[[#This Row],[Ø (cm)]]+15))</f>
        <v>75</v>
      </c>
      <c r="AK148" s="82" t="str">
        <f ca="1">alturaUtil(ESF[[#This Row],[nE]],ESF[[#This Row],[Ø (cm)]],ESF[[#This Row],[e (cm)]],ESF[[#This Row],[ap,eq (cm)]])</f>
        <v>N.S.</v>
      </c>
      <c r="AL148" s="82" t="str">
        <f ca="1">IFERROR(ESF[[#This Row],[d (cm)]]+arredondarParaCimaMultiplo5cm(MAX(5,SQRT(PI())/2*ESF[[#This Row],[Ø (cm)]]/5)),"N.S.")</f>
        <v>N.S.</v>
      </c>
      <c r="AM148" s="5" t="str">
        <f ca="1">alpha(ESF[[#This Row],[nE]],ESF[[#This Row],[d (cm)]],ESF[[#This Row],[e (cm)]],ESF[[#This Row],[ap,eq (cm)]])</f>
        <v>N.S.</v>
      </c>
      <c r="AN148" s="35" t="str">
        <f ca="1">IFERROR(ESF[[#This Row],[Nsd (kN)]]/(ESF[[#This Row],[Ap (cm²)]]*SIN(ESF[[#This Row],[α]])^2),"N.S.")</f>
        <v>N.S.</v>
      </c>
      <c r="AO148" s="35" t="str">
        <f ca="1">IFERROR(ESF[[#This Row],[Nsd (kN)]]/(ESF[[#This Row],[nE]]*PI()*ESF[[#This Row],[Ø (cm)]]^2/4*SIN(ESF[[#This Row],[α]])^2),"N.S.")</f>
        <v>N.S.</v>
      </c>
      <c r="AP148" s="4" t="str">
        <f ca="1">IFERROR(INDEX(grupoEstacas[],ESF[[#This Row],[nE]],MATCH("coef. Blévot",grupoEstacas[#Headers],0)),"N.S.")</f>
        <v>N.S.</v>
      </c>
      <c r="AQ148" s="35" t="str">
        <f ca="1">IFERROR(ESF[[#This Row],[coef. Blévot]]*0.9*INDEX(tipoEstaca[],MATCH($D$2,tipoEstaca[TIPO DE ESTACA],0),MATCH("fcd (kN/cm²)",tipoEstaca[#Headers],0)),"N.S.")</f>
        <v>N.S.</v>
      </c>
      <c r="AR148" s="82" t="str">
        <f ca="1">IF(AND(ESF[[#This Row],[cd,b,pil (kN/cm²)]]&lt;=ESF[[#This Row],[cd,b,lim (kN/cm²)]],ESF[[#This Row],[cd,b,est (kN/cm²)]]&lt;=ESF[[#This Row],[cd,b,lim (kN/cm²)]]),"OK","ERRO")</f>
        <v>OK</v>
      </c>
      <c r="AS148" s="4" t="str">
        <f ca="1">As_lado(ESF[[#This Row],[nE]],ESF[[#This Row],[Nsd (kN)]],ESF[[#This Row],[d (cm)]],ESF[[#This Row],[e (cm)]],ESF[[#This Row],[ap,eq (cm)]])</f>
        <v>N.S.</v>
      </c>
      <c r="AT148" s="4" t="str">
        <f ca="1">IF(ESF[[#This Row],[nE]]=1,ESF[[#This Row],[As,lado (cm²)]],IF(ESF[[#This Row],[nE]]=2,0.075*2*ESF[a (cm)],"N.A."))</f>
        <v>N.A.</v>
      </c>
      <c r="AU148" s="4" t="str">
        <f ca="1">IFERROR(IF(ESF[[#This Row],[nE]]=1,"N.A.",0.2*ESF[[#This Row],[As,lado (cm²)]]),"N.S.")</f>
        <v>N.S.</v>
      </c>
      <c r="AV148" s="4" t="str">
        <f ca="1">As_malha(ESF[[#This Row],[nE]],ESF[[#This Row],[As,lado (cm²)]],ESF[[#This Row],[Nsd (kN)]])</f>
        <v>N.S.</v>
      </c>
      <c r="AW148" s="4" t="str">
        <f ca="1">As_susp_tot(ESF[[#This Row],[nE]],ESF[[#This Row],[Nsd (kN)]])</f>
        <v>N.S.</v>
      </c>
      <c r="AX148" s="4" t="str">
        <f ca="1">Asp_face(ESF[[#This Row],[nE]],ESF[[#This Row],[As,lado (cm²)]])</f>
        <v>N.S.</v>
      </c>
      <c r="AY148" s="5" t="str">
        <f ca="1">acoBloco(ESF[[#This Row],[nE]],ESF[[#This Row],[e (cm)]],ESF[[#This Row],[a (cm)]],ESF[[#This Row],[h (cm)]],ESF[[#This Row],[As,lado (cm²)]],ESF[[#This Row],[Asp e Asw (cm²/m)]],ESF[[#This Row],[As,sup (cm²)]],ESF[[#This Row],[As,malha (cm²)]],ESF[[#This Row],[As,susp,tot (cm²)]],ESF[[#This Row],[Asp,face (cm²)]])</f>
        <v>N.S.</v>
      </c>
      <c r="AZ148" s="4" t="str">
        <f ca="1">concretoBloco(ESF[[#This Row],[nE]],ESF[[#This Row],[e (cm)]],ESF[[#This Row],[a (cm)]],ESF[[#This Row],[h (cm)]])</f>
        <v>N.S.</v>
      </c>
      <c r="BA148" s="5">
        <f ca="1">SUM(ESF[[#This Row],[Aço Est (kg)]],ESF[[#This Row],[Aço Bloco (kg)]])</f>
        <v>12.330751165339938</v>
      </c>
      <c r="BB148" s="4">
        <f>INDEX(composicoes[],MATCH(95580,composicoes[CÓDIGO],0),MATCH("CUSTO TOTAL",composicoes[#Headers],0))</f>
        <v>10.46</v>
      </c>
      <c r="BC148" s="4">
        <f ca="1">SUM(ESF[[#This Row],[Conc Est (m³)]],ESF[[#This Row],[Conc Bloco (m³)]])</f>
        <v>35.342917352885173</v>
      </c>
      <c r="BD148" s="4">
        <f>INDEX(composicoes[],MATCH(94966,composicoes[CÓDIGO],0),MATCH("CUSTO TOTAL",composicoes[#Headers],0))</f>
        <v>439.52</v>
      </c>
      <c r="BE148" s="38">
        <f ca="1">ESF[[#This Row],[Aço (kg)]]*ESF[[#This Row],[Aço (R$/kg)]]+ESF[[#This Row],[Conc (m³)]]*ESF[[#This Row],[Conc (R$/m³)]]</f>
        <v>15662.898692129545</v>
      </c>
      <c r="BF148" s="4" t="str">
        <f ca="1">IF(COUNTIF(ESF[#This Row],"N.S.")&gt;0,"lim.","OK")</f>
        <v>lim.</v>
      </c>
      <c r="BG148" s="4" t="str">
        <f>IF(ESF[[#This Row],[Prof. (m)]]&lt;3,"lim.","OK")</f>
        <v>OK</v>
      </c>
      <c r="BH148" s="4" t="str">
        <f>IF(ESF[[#This Row],[Prof. (m)]]&gt;=8*ESF[[#This Row],[Ø (cm)]]/100,"OK","lim.")</f>
        <v>lim.</v>
      </c>
      <c r="BI148" s="4" t="str">
        <f>IF(AND(SPT!$F$3&lt;&gt;"",ESF[[#This Row],[Prof. (m)]]&gt;=SPT!$F$3),"lim.","OK")</f>
        <v>OK</v>
      </c>
      <c r="BJ148" s="4" t="str">
        <f>IF(COUNTIFS(ESF[Solo],"Areia",ESF[Prof. (m)],"&lt;="&amp;ESF[[#This Row],[Prof. (m)]])&gt;=1,"lim.","OK")</f>
        <v>OK</v>
      </c>
      <c r="BK148" s="4" t="str">
        <f ca="1">IF(ESF[[#This Row],[Verif. Biela]]="OK","OK","lim.")</f>
        <v>OK</v>
      </c>
      <c r="BL148" s="4" t="str">
        <f ca="1">IF(COUNTA(ESF[[#This Row],[Nº Est.]:[Biela comp.]])=COUNTIF(ESF[[#This Row],[Nº Est.]:[Biela comp.]],"OK"),"OK","lim.")</f>
        <v>lim.</v>
      </c>
      <c r="BM148" s="4" t="str">
        <f ca="1">IF(ESF[[#This Row],[Controle]]="OK",ESF[[#This Row],[nE]]&amp;" Ø"&amp;ESF[[#This Row],[Ø (cm)]]&amp;"cm Prof. "&amp;ESF[[#This Row],[Prof. (m)]]&amp;" m","")</f>
        <v/>
      </c>
      <c r="BN148" s="4" t="str">
        <f ca="1">IF(ESF[[#This Row],[idDimensionamento]]="","",ESF[[#This Row],[idPilar]]&amp;ESF[[#This Row],[idDimensionamento]])</f>
        <v/>
      </c>
    </row>
    <row r="149" spans="2:66" x14ac:dyDescent="0.25">
      <c r="B149" s="12">
        <f>ROUNDUP((ROW(ESF[[#This Row],[idDiâmetro]])-ROW(ESF[[#Headers],[idDiâmetro]]))/(COUNT(SPT[Prof. (m)])*COUNT(PILARES[Pilar])),0)</f>
        <v>6</v>
      </c>
      <c r="C149" s="12">
        <f>IF(ESF[[#This Row],[idDiâmetro]]&lt;&gt;B148,1,IF(ESF[[#This Row],[Prof. (m)]]=0,C148+1,C148))</f>
        <v>1</v>
      </c>
      <c r="D149" s="82">
        <f>IFERROR(IF(D148=MAX(SPT[Prof. (m)]),0,D148+1),0)</f>
        <v>4</v>
      </c>
      <c r="E149" s="82">
        <f>INDEX(SPT[],MATCH(ESF[[#This Row],[Prof. (m)]],SPT[Prof. (m)],0),2)</f>
        <v>8</v>
      </c>
      <c r="F149" s="82" t="str">
        <f>INDEX(SPT[],MATCH(ESF[[#This Row],[Prof. (m)]],SPT[Prof. (m)],0),3)</f>
        <v>Areia siltosa</v>
      </c>
      <c r="G149" s="82">
        <f>INDEX(estacas[],ESF[[#This Row],[idDiâmetro]],MATCH($B$2,estacas[#Headers],0))</f>
        <v>50</v>
      </c>
      <c r="H149" s="82">
        <f>INDEX(estacas[],MATCH(ESF[[#This Row],[Ø (cm)]],estacas[Ø ESF (cm)],0),MATCH(ESF[[#Headers],[Pe ESF (kN)]],estacas[#Headers],0))</f>
        <v>1000</v>
      </c>
      <c r="I149" s="4">
        <f>INDEX(K_alpha_C[],MATCH(ESF[[#This Row],[Solo]],K_alpha_C[Solo],0),2)</f>
        <v>0.8</v>
      </c>
      <c r="J149" s="5">
        <f>INDEX(K_alpha_C[],MATCH(ESF[[#This Row],[Solo]],K_alpha_C[Solo],0),3)</f>
        <v>2</v>
      </c>
      <c r="K149" s="4">
        <f>INDEX(F1_F2[],MATCH($D$2,F1_F2[Tipo de estaca],0),2)</f>
        <v>3</v>
      </c>
      <c r="L149" s="4">
        <f>INDEX(F1_F2[],MATCH($D$2,F1_F2[Tipo de estaca],0),3)</f>
        <v>6</v>
      </c>
      <c r="M149" s="4">
        <f>PI()*(ESF[[#This Row],[Ø (cm)]]/100)^2/4</f>
        <v>0.19634954084936207</v>
      </c>
      <c r="N149" s="4">
        <f>PI()*ESF[[#This Row],[Ø (cm)]]/100</f>
        <v>1.5707963267948966</v>
      </c>
      <c r="O149" s="4">
        <f>IF(ESF[[#This Row],[Prof. (m)]]=0,0,ESF[[#This Row],[α (%)]]/100*ESF[[#This Row],[K (MPa)]]*1000*ESF[[#This Row],[NSPT]])</f>
        <v>128</v>
      </c>
      <c r="P149" s="4">
        <f>IF(ESF[[#This Row],[Prof. (m)]]=0,0,(ESF[[#This Row],[K (MPa)]]*1000*ESF[[#This Row],[NSPT]]/ESF[[#This Row],[F1]]*ESF[[#This Row],[Ap (m²)]]+ESF[[#This Row],[U (m)]]/ESF[[#This Row],[F2]]*SUMIFS(ESF[(α∙K∙NL∙ΔL)],ESF[Prof. (m)],"&lt;="&amp;ESF[[#This Row],[Prof. (m)]],ESF[idDiâmetro],ESF[[#This Row],[idDiâmetro]],ESF[idPilar],ESF[[#This Row],[idPilar]]))/'DADOS CAP. CARGA'!$D$2)</f>
        <v>242.94983187761068</v>
      </c>
      <c r="Q149" s="12">
        <f>INDEX(C_alpha_beta[],MATCH(ESF[[#This Row],[Solo]],C_alpha_beta[Solo],0),MATCH(ESF[[#Headers],[C (kPa)]],C_alpha_beta[#Headers],0))</f>
        <v>400</v>
      </c>
      <c r="R149" s="4">
        <f>INDEX(C_alpha_beta[],MATCH(ESF[[#This Row],[Solo]],C_alpha_beta[Solo],0),MATCH(ESF[[#Headers],[α ESF]],C_alpha_beta[#Headers],0))</f>
        <v>0.5</v>
      </c>
      <c r="S149" s="4">
        <f>INDEX(C_alpha_beta[],MATCH(ESF[[#This Row],[Solo]],C_alpha_beta[Solo],0),MATCH(ESF[[#Headers],[β ESF]],C_alpha_beta[#Headers],0))</f>
        <v>0.5</v>
      </c>
      <c r="T149" s="4">
        <f>IF(ESF[[#This Row],[Prof. (m)]]=0,0,10*(ESF[[#This Row],[NSPT]]/3+1))</f>
        <v>36.666666666666664</v>
      </c>
      <c r="U149" s="4">
        <f>(ESF[[#This Row],[α ESF]]*ESF[[#This Row],[C (kPa)]]*ESF[[#This Row],[NSPT]]*ESF[[#This Row],[Ap (m²)]])/'DADOS CAP. CARGA'!$Q$2+(ESF[[#This Row],[β ESF]]*SUMIFS(ESF[10∙(NL/3+1)],ESF[Prof. (m)],"&lt;="&amp;ESF[[#This Row],[Prof. (m)]],ESF[idDiâmetro],ESF[[#This Row],[idDiâmetro]],ESF[idPilar],ESF[[#This Row],[idPilar]])*ESF[[#This Row],[U (m)]])/'DADOS CAP. CARGA'!$S$2</f>
        <v>115.19173063162575</v>
      </c>
      <c r="V149" s="4">
        <f>IF(SPT!$M$5=1,MIN(ESF[[#This Row],[Pe ESF (kN)]],ESF[[#This Row],[R_AV (kN)]]),IF(SPT!$M$5=2,MIN(ESF[[#This Row],[Pe ESF (kN)]],ESF[[#This Row],[R_DC (kN)]]),MIN(ESF[[#This Row],[Pe ESF (kN)]],ESF[[#This Row],[R_AV (kN)]],ESF[[#This Row],[R_DC (kN)]])))</f>
        <v>115.19173063162575</v>
      </c>
      <c r="W149" s="4">
        <f>INDEX(PILARES[],ESF[[#This Row],[idPilar]],MATCH("Carga (kN)",PILARES[#Headers],0))*1.4</f>
        <v>3500</v>
      </c>
      <c r="X149" s="12">
        <f>INDEX(PILARES[],ESF[[#This Row],[idPilar]],MATCH(ESF[[#Headers],[ap (cm)]],PILARES[#Headers],0))</f>
        <v>60</v>
      </c>
      <c r="Y149" s="12">
        <f>INDEX(PILARES[],ESF[[#This Row],[idPilar]],MATCH(ESF[[#Headers],[bp (cm)]],PILARES[#Headers],0))</f>
        <v>60</v>
      </c>
      <c r="Z149" s="4">
        <f>SQRT(ESF[[#This Row],[ap (cm)]]*ESF[[#This Row],[bp (cm)]])</f>
        <v>60</v>
      </c>
      <c r="AA149" s="12">
        <f>ESF[[#This Row],[ap (cm)]]*ESF[[#This Row],[bp (cm)]]</f>
        <v>3600</v>
      </c>
      <c r="AB149" s="12">
        <f ca="1">IF(ESF[[#This Row],[Padm∙ε (kN)]]&gt;=ESF[[#This Row],[Padm (kN)]],ROUNDUP(1.05*ESF[[#This Row],[Nsd (kN)]]/ESF[[#This Row],[Padm (kN)]],0),ROUNDUP(1.05*ESF[[#This Row],[Nsd (kN)]]/ESF[[#This Row],[Padm (kN)]],0)+1)</f>
        <v>32</v>
      </c>
      <c r="AC149" s="4" t="str">
        <f ca="1">IFERROR(IF(ESF[[#This Row],[nE]]=1,ESF[[#This Row],[Padm (kN)]],ESF[[#This Row],[Padm (kN)]]*ESF[[#This Row],[nE]]*INDEX(grupoEstacas[],ESF[[#This Row],[nE]],MATCH("ε",grupoEstacas[#Headers],0))),"N.S.")</f>
        <v>N.S.</v>
      </c>
      <c r="AD149" s="4">
        <f ca="1">1.05*ESF[[#This Row],[Nsd (kN)]]/(ESF[[#This Row],[nE]]*PI()*ESF[[#This Row],[Ø (cm)]]^2/4)*10</f>
        <v>0.5848944158627154</v>
      </c>
      <c r="AE149" s="4">
        <f ca="1">IF(ESF[[#This Row],[σ (MPa)]]&lt;INDEX(tipoEstaca[],MATCH($D$2,tipoEstaca[TIPO DE ESTACA],0),MATCH("σmáx (MPa)",tipoEstaca[#Headers],0)),0.4%*PI()*ESF[[#This Row],[Ø (cm)]]^2/4,"N.S.")</f>
        <v>7.8539816339744837</v>
      </c>
      <c r="AF149" s="82">
        <f>INDEX(tipoEstaca[],MATCH($D$2,tipoEstaca[TIPO DE ESTACA],0),MATCH(ESF[[#Headers],[Comprimento (m)]],tipoEstaca[#Headers],0))</f>
        <v>2</v>
      </c>
      <c r="AG149" s="5">
        <f ca="1">ESF[[#This Row],[As,mín (cm²)]]/100^2*ESF[[#This Row],[Comprimento (m)]]*7850</f>
        <v>12.330751165339938</v>
      </c>
      <c r="AH149" s="4">
        <f ca="1">ESF[[#This Row],[nE]]*ESF[[#This Row],[Prof. (m)]]*ESF[[#This Row],[Ap (m²)]]</f>
        <v>25.132741228718345</v>
      </c>
      <c r="AI149" s="82">
        <f ca="1">IF(ESF[[#This Row],[nE]]=1,0,MAX(3*ESF[[#This Row],[Ø (cm)]],60))</f>
        <v>150</v>
      </c>
      <c r="AJ149" s="82">
        <f ca="1">IF(ESF[[#This Row],[nE]]=1,ESF[[#This Row],[Ø (cm)]]+2*10,MAX(1.5*ESF[[#This Row],[Ø (cm)]],ESF[[#This Row],[Ø (cm)]]+15))</f>
        <v>75</v>
      </c>
      <c r="AK149" s="82" t="str">
        <f ca="1">alturaUtil(ESF[[#This Row],[nE]],ESF[[#This Row],[Ø (cm)]],ESF[[#This Row],[e (cm)]],ESF[[#This Row],[ap,eq (cm)]])</f>
        <v>N.S.</v>
      </c>
      <c r="AL149" s="82" t="str">
        <f ca="1">IFERROR(ESF[[#This Row],[d (cm)]]+arredondarParaCimaMultiplo5cm(MAX(5,SQRT(PI())/2*ESF[[#This Row],[Ø (cm)]]/5)),"N.S.")</f>
        <v>N.S.</v>
      </c>
      <c r="AM149" s="5" t="str">
        <f ca="1">alpha(ESF[[#This Row],[nE]],ESF[[#This Row],[d (cm)]],ESF[[#This Row],[e (cm)]],ESF[[#This Row],[ap,eq (cm)]])</f>
        <v>N.S.</v>
      </c>
      <c r="AN149" s="35" t="str">
        <f ca="1">IFERROR(ESF[[#This Row],[Nsd (kN)]]/(ESF[[#This Row],[Ap (cm²)]]*SIN(ESF[[#This Row],[α]])^2),"N.S.")</f>
        <v>N.S.</v>
      </c>
      <c r="AO149" s="35" t="str">
        <f ca="1">IFERROR(ESF[[#This Row],[Nsd (kN)]]/(ESF[[#This Row],[nE]]*PI()*ESF[[#This Row],[Ø (cm)]]^2/4*SIN(ESF[[#This Row],[α]])^2),"N.S.")</f>
        <v>N.S.</v>
      </c>
      <c r="AP149" s="4" t="str">
        <f ca="1">IFERROR(INDEX(grupoEstacas[],ESF[[#This Row],[nE]],MATCH("coef. Blévot",grupoEstacas[#Headers],0)),"N.S.")</f>
        <v>N.S.</v>
      </c>
      <c r="AQ149" s="35" t="str">
        <f ca="1">IFERROR(ESF[[#This Row],[coef. Blévot]]*0.9*INDEX(tipoEstaca[],MATCH($D$2,tipoEstaca[TIPO DE ESTACA],0),MATCH("fcd (kN/cm²)",tipoEstaca[#Headers],0)),"N.S.")</f>
        <v>N.S.</v>
      </c>
      <c r="AR149" s="82" t="str">
        <f ca="1">IF(AND(ESF[[#This Row],[cd,b,pil (kN/cm²)]]&lt;=ESF[[#This Row],[cd,b,lim (kN/cm²)]],ESF[[#This Row],[cd,b,est (kN/cm²)]]&lt;=ESF[[#This Row],[cd,b,lim (kN/cm²)]]),"OK","ERRO")</f>
        <v>OK</v>
      </c>
      <c r="AS149" s="4" t="str">
        <f ca="1">As_lado(ESF[[#This Row],[nE]],ESF[[#This Row],[Nsd (kN)]],ESF[[#This Row],[d (cm)]],ESF[[#This Row],[e (cm)]],ESF[[#This Row],[ap,eq (cm)]])</f>
        <v>N.S.</v>
      </c>
      <c r="AT149" s="4" t="str">
        <f ca="1">IF(ESF[[#This Row],[nE]]=1,ESF[[#This Row],[As,lado (cm²)]],IF(ESF[[#This Row],[nE]]=2,0.075*2*ESF[a (cm)],"N.A."))</f>
        <v>N.A.</v>
      </c>
      <c r="AU149" s="4" t="str">
        <f ca="1">IFERROR(IF(ESF[[#This Row],[nE]]=1,"N.A.",0.2*ESF[[#This Row],[As,lado (cm²)]]),"N.S.")</f>
        <v>N.S.</v>
      </c>
      <c r="AV149" s="4" t="str">
        <f ca="1">As_malha(ESF[[#This Row],[nE]],ESF[[#This Row],[As,lado (cm²)]],ESF[[#This Row],[Nsd (kN)]])</f>
        <v>N.S.</v>
      </c>
      <c r="AW149" s="4" t="str">
        <f ca="1">As_susp_tot(ESF[[#This Row],[nE]],ESF[[#This Row],[Nsd (kN)]])</f>
        <v>N.S.</v>
      </c>
      <c r="AX149" s="4" t="str">
        <f ca="1">Asp_face(ESF[[#This Row],[nE]],ESF[[#This Row],[As,lado (cm²)]])</f>
        <v>N.S.</v>
      </c>
      <c r="AY149" s="5" t="str">
        <f ca="1">acoBloco(ESF[[#This Row],[nE]],ESF[[#This Row],[e (cm)]],ESF[[#This Row],[a (cm)]],ESF[[#This Row],[h (cm)]],ESF[[#This Row],[As,lado (cm²)]],ESF[[#This Row],[Asp e Asw (cm²/m)]],ESF[[#This Row],[As,sup (cm²)]],ESF[[#This Row],[As,malha (cm²)]],ESF[[#This Row],[As,susp,tot (cm²)]],ESF[[#This Row],[Asp,face (cm²)]])</f>
        <v>N.S.</v>
      </c>
      <c r="AZ149" s="4" t="str">
        <f ca="1">concretoBloco(ESF[[#This Row],[nE]],ESF[[#This Row],[e (cm)]],ESF[[#This Row],[a (cm)]],ESF[[#This Row],[h (cm)]])</f>
        <v>N.S.</v>
      </c>
      <c r="BA149" s="5">
        <f ca="1">SUM(ESF[[#This Row],[Aço Est (kg)]],ESF[[#This Row],[Aço Bloco (kg)]])</f>
        <v>12.330751165339938</v>
      </c>
      <c r="BB149" s="4">
        <f>INDEX(composicoes[],MATCH(95580,composicoes[CÓDIGO],0),MATCH("CUSTO TOTAL",composicoes[#Headers],0))</f>
        <v>10.46</v>
      </c>
      <c r="BC149" s="4">
        <f ca="1">SUM(ESF[[#This Row],[Conc Est (m³)]],ESF[[#This Row],[Conc Bloco (m³)]])</f>
        <v>25.132741228718345</v>
      </c>
      <c r="BD149" s="4">
        <f>INDEX(composicoes[],MATCH(94966,composicoes[CÓDIGO],0),MATCH("CUSTO TOTAL",composicoes[#Headers],0))</f>
        <v>439.52</v>
      </c>
      <c r="BE149" s="38">
        <f ca="1">ESF[[#This Row],[Aço (kg)]]*ESF[[#This Row],[Aço (R$/kg)]]+ESF[[#This Row],[Conc (m³)]]*ESF[[#This Row],[Conc (R$/m³)]]</f>
        <v>11175.322082035742</v>
      </c>
      <c r="BF149" s="4" t="str">
        <f ca="1">IF(COUNTIF(ESF[#This Row],"N.S.")&gt;0,"lim.","OK")</f>
        <v>lim.</v>
      </c>
      <c r="BG149" s="4" t="str">
        <f>IF(ESF[[#This Row],[Prof. (m)]]&lt;3,"lim.","OK")</f>
        <v>OK</v>
      </c>
      <c r="BH149" s="4" t="str">
        <f>IF(ESF[[#This Row],[Prof. (m)]]&gt;=8*ESF[[#This Row],[Ø (cm)]]/100,"OK","lim.")</f>
        <v>OK</v>
      </c>
      <c r="BI149" s="4" t="str">
        <f>IF(AND(SPT!$F$3&lt;&gt;"",ESF[[#This Row],[Prof. (m)]]&gt;=SPT!$F$3),"lim.","OK")</f>
        <v>OK</v>
      </c>
      <c r="BJ149" s="4" t="str">
        <f>IF(COUNTIFS(ESF[Solo],"Areia",ESF[Prof. (m)],"&lt;="&amp;ESF[[#This Row],[Prof. (m)]])&gt;=1,"lim.","OK")</f>
        <v>OK</v>
      </c>
      <c r="BK149" s="4" t="str">
        <f ca="1">IF(ESF[[#This Row],[Verif. Biela]]="OK","OK","lim.")</f>
        <v>OK</v>
      </c>
      <c r="BL149" s="4" t="str">
        <f ca="1">IF(COUNTA(ESF[[#This Row],[Nº Est.]:[Biela comp.]])=COUNTIF(ESF[[#This Row],[Nº Est.]:[Biela comp.]],"OK"),"OK","lim.")</f>
        <v>lim.</v>
      </c>
      <c r="BM149" s="4" t="str">
        <f ca="1">IF(ESF[[#This Row],[Controle]]="OK",ESF[[#This Row],[nE]]&amp;" Ø"&amp;ESF[[#This Row],[Ø (cm)]]&amp;"cm Prof. "&amp;ESF[[#This Row],[Prof. (m)]]&amp;" m","")</f>
        <v/>
      </c>
      <c r="BN149" s="4" t="str">
        <f ca="1">IF(ESF[[#This Row],[idDimensionamento]]="","",ESF[[#This Row],[idPilar]]&amp;ESF[[#This Row],[idDimensionamento]])</f>
        <v/>
      </c>
    </row>
    <row r="150" spans="2:66" x14ac:dyDescent="0.25">
      <c r="B150" s="12">
        <f>ROUNDUP((ROW(ESF[[#This Row],[idDiâmetro]])-ROW(ESF[[#Headers],[idDiâmetro]]))/(COUNT(SPT[Prof. (m)])*COUNT(PILARES[Pilar])),0)</f>
        <v>6</v>
      </c>
      <c r="C150" s="12">
        <f>IF(ESF[[#This Row],[idDiâmetro]]&lt;&gt;B149,1,IF(ESF[[#This Row],[Prof. (m)]]=0,C149+1,C149))</f>
        <v>1</v>
      </c>
      <c r="D150" s="82">
        <f>IFERROR(IF(D149=MAX(SPT[Prof. (m)]),0,D149+1),0)</f>
        <v>5</v>
      </c>
      <c r="E150" s="82">
        <f>INDEX(SPT[],MATCH(ESF[[#This Row],[Prof. (m)]],SPT[Prof. (m)],0),2)</f>
        <v>17</v>
      </c>
      <c r="F150" s="82" t="str">
        <f>INDEX(SPT[],MATCH(ESF[[#This Row],[Prof. (m)]],SPT[Prof. (m)],0),3)</f>
        <v>Areia siltosa</v>
      </c>
      <c r="G150" s="82">
        <f>INDEX(estacas[],ESF[[#This Row],[idDiâmetro]],MATCH($B$2,estacas[#Headers],0))</f>
        <v>50</v>
      </c>
      <c r="H150" s="82">
        <f>INDEX(estacas[],MATCH(ESF[[#This Row],[Ø (cm)]],estacas[Ø ESF (cm)],0),MATCH(ESF[[#Headers],[Pe ESF (kN)]],estacas[#Headers],0))</f>
        <v>1000</v>
      </c>
      <c r="I150" s="4">
        <f>INDEX(K_alpha_C[],MATCH(ESF[[#This Row],[Solo]],K_alpha_C[Solo],0),2)</f>
        <v>0.8</v>
      </c>
      <c r="J150" s="5">
        <f>INDEX(K_alpha_C[],MATCH(ESF[[#This Row],[Solo]],K_alpha_C[Solo],0),3)</f>
        <v>2</v>
      </c>
      <c r="K150" s="4">
        <f>INDEX(F1_F2[],MATCH($D$2,F1_F2[Tipo de estaca],0),2)</f>
        <v>3</v>
      </c>
      <c r="L150" s="4">
        <f>INDEX(F1_F2[],MATCH($D$2,F1_F2[Tipo de estaca],0),3)</f>
        <v>6</v>
      </c>
      <c r="M150" s="4">
        <f>PI()*(ESF[[#This Row],[Ø (cm)]]/100)^2/4</f>
        <v>0.19634954084936207</v>
      </c>
      <c r="N150" s="4">
        <f>PI()*ESF[[#This Row],[Ø (cm)]]/100</f>
        <v>1.5707963267948966</v>
      </c>
      <c r="O150" s="4">
        <f>IF(ESF[[#This Row],[Prof. (m)]]=0,0,ESF[[#This Row],[α (%)]]/100*ESF[[#This Row],[K (MPa)]]*1000*ESF[[#This Row],[NSPT]])</f>
        <v>272</v>
      </c>
      <c r="P150" s="4">
        <f>IF(ESF[[#This Row],[Prof. (m)]]=0,0,(ESF[[#This Row],[K (MPa)]]*1000*ESF[[#This Row],[NSPT]]/ESF[[#This Row],[F1]]*ESF[[#This Row],[Ap (m²)]]+ESF[[#This Row],[U (m)]]/ESF[[#This Row],[F2]]*SUMIFS(ESF[(α∙K∙NL∙ΔL)],ESF[Prof. (m)],"&lt;="&amp;ESF[[#This Row],[Prof. (m)]],ESF[idDiâmetro],ESF[[#This Row],[idDiâmetro]],ESF[idPilar],ESF[[#This Row],[idPilar]]))/'DADOS CAP. CARGA'!$D$2)</f>
        <v>514.17399763752951</v>
      </c>
      <c r="Q150" s="12">
        <f>INDEX(C_alpha_beta[],MATCH(ESF[[#This Row],[Solo]],C_alpha_beta[Solo],0),MATCH(ESF[[#Headers],[C (kPa)]],C_alpha_beta[#Headers],0))</f>
        <v>400</v>
      </c>
      <c r="R150" s="4">
        <f>INDEX(C_alpha_beta[],MATCH(ESF[[#This Row],[Solo]],C_alpha_beta[Solo],0),MATCH(ESF[[#Headers],[α ESF]],C_alpha_beta[#Headers],0))</f>
        <v>0.5</v>
      </c>
      <c r="S150" s="4">
        <f>INDEX(C_alpha_beta[],MATCH(ESF[[#This Row],[Solo]],C_alpha_beta[Solo],0),MATCH(ESF[[#Headers],[β ESF]],C_alpha_beta[#Headers],0))</f>
        <v>0.5</v>
      </c>
      <c r="T150" s="4">
        <f>IF(ESF[[#This Row],[Prof. (m)]]=0,0,10*(ESF[[#This Row],[NSPT]]/3+1))</f>
        <v>66.666666666666671</v>
      </c>
      <c r="U150" s="4">
        <f>(ESF[[#This Row],[α ESF]]*ESF[[#This Row],[C (kPa)]]*ESF[[#This Row],[NSPT]]*ESF[[#This Row],[Ap (m²)]])/'DADOS CAP. CARGA'!$Q$2+(ESF[[#This Row],[β ESF]]*SUMIFS(ESF[10∙(NL/3+1)],ESF[Prof. (m)],"&lt;="&amp;ESF[[#This Row],[Prof. (m)]],ESF[idDiâmetro],ESF[[#This Row],[idDiâmetro]],ESF[idPilar],ESF[[#This Row],[idPilar]])*ESF[[#This Row],[U (m)]])/'DADOS CAP. CARGA'!$S$2</f>
        <v>229.72896279375362</v>
      </c>
      <c r="V150" s="4">
        <f>IF(SPT!$M$5=1,MIN(ESF[[#This Row],[Pe ESF (kN)]],ESF[[#This Row],[R_AV (kN)]]),IF(SPT!$M$5=2,MIN(ESF[[#This Row],[Pe ESF (kN)]],ESF[[#This Row],[R_DC (kN)]]),MIN(ESF[[#This Row],[Pe ESF (kN)]],ESF[[#This Row],[R_AV (kN)]],ESF[[#This Row],[R_DC (kN)]])))</f>
        <v>229.72896279375362</v>
      </c>
      <c r="W150" s="4">
        <f>INDEX(PILARES[],ESF[[#This Row],[idPilar]],MATCH("Carga (kN)",PILARES[#Headers],0))*1.4</f>
        <v>3500</v>
      </c>
      <c r="X150" s="12">
        <f>INDEX(PILARES[],ESF[[#This Row],[idPilar]],MATCH(ESF[[#Headers],[ap (cm)]],PILARES[#Headers],0))</f>
        <v>60</v>
      </c>
      <c r="Y150" s="12">
        <f>INDEX(PILARES[],ESF[[#This Row],[idPilar]],MATCH(ESF[[#Headers],[bp (cm)]],PILARES[#Headers],0))</f>
        <v>60</v>
      </c>
      <c r="Z150" s="4">
        <f>SQRT(ESF[[#This Row],[ap (cm)]]*ESF[[#This Row],[bp (cm)]])</f>
        <v>60</v>
      </c>
      <c r="AA150" s="12">
        <f>ESF[[#This Row],[ap (cm)]]*ESF[[#This Row],[bp (cm)]]</f>
        <v>3600</v>
      </c>
      <c r="AB150" s="12">
        <f ca="1">IF(ESF[[#This Row],[Padm∙ε (kN)]]&gt;=ESF[[#This Row],[Padm (kN)]],ROUNDUP(1.05*ESF[[#This Row],[Nsd (kN)]]/ESF[[#This Row],[Padm (kN)]],0),ROUNDUP(1.05*ESF[[#This Row],[Nsd (kN)]]/ESF[[#This Row],[Padm (kN)]],0)+1)</f>
        <v>16</v>
      </c>
      <c r="AC150" s="4" t="str">
        <f ca="1">IFERROR(IF(ESF[[#This Row],[nE]]=1,ESF[[#This Row],[Padm (kN)]],ESF[[#This Row],[Padm (kN)]]*ESF[[#This Row],[nE]]*INDEX(grupoEstacas[],ESF[[#This Row],[nE]],MATCH("ε",grupoEstacas[#Headers],0))),"N.S.")</f>
        <v>N.S.</v>
      </c>
      <c r="AD150" s="4">
        <f ca="1">1.05*ESF[[#This Row],[Nsd (kN)]]/(ESF[[#This Row],[nE]]*PI()*ESF[[#This Row],[Ø (cm)]]^2/4)*10</f>
        <v>1.1697888317254308</v>
      </c>
      <c r="AE150" s="4">
        <f ca="1">IF(ESF[[#This Row],[σ (MPa)]]&lt;INDEX(tipoEstaca[],MATCH($D$2,tipoEstaca[TIPO DE ESTACA],0),MATCH("σmáx (MPa)",tipoEstaca[#Headers],0)),0.4%*PI()*ESF[[#This Row],[Ø (cm)]]^2/4,"N.S.")</f>
        <v>7.8539816339744837</v>
      </c>
      <c r="AF150" s="82">
        <f>INDEX(tipoEstaca[],MATCH($D$2,tipoEstaca[TIPO DE ESTACA],0),MATCH(ESF[[#Headers],[Comprimento (m)]],tipoEstaca[#Headers],0))</f>
        <v>2</v>
      </c>
      <c r="AG150" s="5">
        <f ca="1">ESF[[#This Row],[As,mín (cm²)]]/100^2*ESF[[#This Row],[Comprimento (m)]]*7850</f>
        <v>12.330751165339938</v>
      </c>
      <c r="AH150" s="4">
        <f ca="1">ESF[[#This Row],[nE]]*ESF[[#This Row],[Prof. (m)]]*ESF[[#This Row],[Ap (m²)]]</f>
        <v>15.707963267948966</v>
      </c>
      <c r="AI150" s="82">
        <f ca="1">IF(ESF[[#This Row],[nE]]=1,0,MAX(3*ESF[[#This Row],[Ø (cm)]],60))</f>
        <v>150</v>
      </c>
      <c r="AJ150" s="82">
        <f ca="1">IF(ESF[[#This Row],[nE]]=1,ESF[[#This Row],[Ø (cm)]]+2*10,MAX(1.5*ESF[[#This Row],[Ø (cm)]],ESF[[#This Row],[Ø (cm)]]+15))</f>
        <v>75</v>
      </c>
      <c r="AK150" s="82" t="str">
        <f ca="1">alturaUtil(ESF[[#This Row],[nE]],ESF[[#This Row],[Ø (cm)]],ESF[[#This Row],[e (cm)]],ESF[[#This Row],[ap,eq (cm)]])</f>
        <v>N.S.</v>
      </c>
      <c r="AL150" s="82" t="str">
        <f ca="1">IFERROR(ESF[[#This Row],[d (cm)]]+arredondarParaCimaMultiplo5cm(MAX(5,SQRT(PI())/2*ESF[[#This Row],[Ø (cm)]]/5)),"N.S.")</f>
        <v>N.S.</v>
      </c>
      <c r="AM150" s="5" t="str">
        <f ca="1">alpha(ESF[[#This Row],[nE]],ESF[[#This Row],[d (cm)]],ESF[[#This Row],[e (cm)]],ESF[[#This Row],[ap,eq (cm)]])</f>
        <v>N.S.</v>
      </c>
      <c r="AN150" s="35" t="str">
        <f ca="1">IFERROR(ESF[[#This Row],[Nsd (kN)]]/(ESF[[#This Row],[Ap (cm²)]]*SIN(ESF[[#This Row],[α]])^2),"N.S.")</f>
        <v>N.S.</v>
      </c>
      <c r="AO150" s="35" t="str">
        <f ca="1">IFERROR(ESF[[#This Row],[Nsd (kN)]]/(ESF[[#This Row],[nE]]*PI()*ESF[[#This Row],[Ø (cm)]]^2/4*SIN(ESF[[#This Row],[α]])^2),"N.S.")</f>
        <v>N.S.</v>
      </c>
      <c r="AP150" s="4" t="str">
        <f ca="1">IFERROR(INDEX(grupoEstacas[],ESF[[#This Row],[nE]],MATCH("coef. Blévot",grupoEstacas[#Headers],0)),"N.S.")</f>
        <v>N.S.</v>
      </c>
      <c r="AQ150" s="35" t="str">
        <f ca="1">IFERROR(ESF[[#This Row],[coef. Blévot]]*0.9*INDEX(tipoEstaca[],MATCH($D$2,tipoEstaca[TIPO DE ESTACA],0),MATCH("fcd (kN/cm²)",tipoEstaca[#Headers],0)),"N.S.")</f>
        <v>N.S.</v>
      </c>
      <c r="AR150" s="82" t="str">
        <f ca="1">IF(AND(ESF[[#This Row],[cd,b,pil (kN/cm²)]]&lt;=ESF[[#This Row],[cd,b,lim (kN/cm²)]],ESF[[#This Row],[cd,b,est (kN/cm²)]]&lt;=ESF[[#This Row],[cd,b,lim (kN/cm²)]]),"OK","ERRO")</f>
        <v>OK</v>
      </c>
      <c r="AS150" s="4" t="str">
        <f ca="1">As_lado(ESF[[#This Row],[nE]],ESF[[#This Row],[Nsd (kN)]],ESF[[#This Row],[d (cm)]],ESF[[#This Row],[e (cm)]],ESF[[#This Row],[ap,eq (cm)]])</f>
        <v>N.S.</v>
      </c>
      <c r="AT150" s="4" t="str">
        <f ca="1">IF(ESF[[#This Row],[nE]]=1,ESF[[#This Row],[As,lado (cm²)]],IF(ESF[[#This Row],[nE]]=2,0.075*2*ESF[a (cm)],"N.A."))</f>
        <v>N.A.</v>
      </c>
      <c r="AU150" s="4" t="str">
        <f ca="1">IFERROR(IF(ESF[[#This Row],[nE]]=1,"N.A.",0.2*ESF[[#This Row],[As,lado (cm²)]]),"N.S.")</f>
        <v>N.S.</v>
      </c>
      <c r="AV150" s="4" t="str">
        <f ca="1">As_malha(ESF[[#This Row],[nE]],ESF[[#This Row],[As,lado (cm²)]],ESF[[#This Row],[Nsd (kN)]])</f>
        <v>N.S.</v>
      </c>
      <c r="AW150" s="4" t="str">
        <f ca="1">As_susp_tot(ESF[[#This Row],[nE]],ESF[[#This Row],[Nsd (kN)]])</f>
        <v>N.S.</v>
      </c>
      <c r="AX150" s="4" t="str">
        <f ca="1">Asp_face(ESF[[#This Row],[nE]],ESF[[#This Row],[As,lado (cm²)]])</f>
        <v>N.S.</v>
      </c>
      <c r="AY150" s="5" t="str">
        <f ca="1">acoBloco(ESF[[#This Row],[nE]],ESF[[#This Row],[e (cm)]],ESF[[#This Row],[a (cm)]],ESF[[#This Row],[h (cm)]],ESF[[#This Row],[As,lado (cm²)]],ESF[[#This Row],[Asp e Asw (cm²/m)]],ESF[[#This Row],[As,sup (cm²)]],ESF[[#This Row],[As,malha (cm²)]],ESF[[#This Row],[As,susp,tot (cm²)]],ESF[[#This Row],[Asp,face (cm²)]])</f>
        <v>N.S.</v>
      </c>
      <c r="AZ150" s="4" t="str">
        <f ca="1">concretoBloco(ESF[[#This Row],[nE]],ESF[[#This Row],[e (cm)]],ESF[[#This Row],[a (cm)]],ESF[[#This Row],[h (cm)]])</f>
        <v>N.S.</v>
      </c>
      <c r="BA150" s="5">
        <f ca="1">SUM(ESF[[#This Row],[Aço Est (kg)]],ESF[[#This Row],[Aço Bloco (kg)]])</f>
        <v>12.330751165339938</v>
      </c>
      <c r="BB150" s="4">
        <f>INDEX(composicoes[],MATCH(95580,composicoes[CÓDIGO],0),MATCH("CUSTO TOTAL",composicoes[#Headers],0))</f>
        <v>10.46</v>
      </c>
      <c r="BC150" s="4">
        <f ca="1">SUM(ESF[[#This Row],[Conc Est (m³)]],ESF[[#This Row],[Conc Bloco (m³)]])</f>
        <v>15.707963267948966</v>
      </c>
      <c r="BD150" s="4">
        <f>INDEX(composicoes[],MATCH(94966,composicoes[CÓDIGO],0),MATCH("CUSTO TOTAL",composicoes[#Headers],0))</f>
        <v>439.52</v>
      </c>
      <c r="BE150" s="38">
        <f ca="1">ESF[[#This Row],[Aço (kg)]]*ESF[[#This Row],[Aço (R$/kg)]]+ESF[[#This Row],[Conc (m³)]]*ESF[[#This Row],[Conc (R$/m³)]]</f>
        <v>7032.9436727183847</v>
      </c>
      <c r="BF150" s="4" t="str">
        <f ca="1">IF(COUNTIF(ESF[#This Row],"N.S.")&gt;0,"lim.","OK")</f>
        <v>lim.</v>
      </c>
      <c r="BG150" s="4" t="str">
        <f>IF(ESF[[#This Row],[Prof. (m)]]&lt;3,"lim.","OK")</f>
        <v>OK</v>
      </c>
      <c r="BH150" s="4" t="str">
        <f>IF(ESF[[#This Row],[Prof. (m)]]&gt;=8*ESF[[#This Row],[Ø (cm)]]/100,"OK","lim.")</f>
        <v>OK</v>
      </c>
      <c r="BI150" s="4" t="str">
        <f>IF(AND(SPT!$F$3&lt;&gt;"",ESF[[#This Row],[Prof. (m)]]&gt;=SPT!$F$3),"lim.","OK")</f>
        <v>OK</v>
      </c>
      <c r="BJ150" s="4" t="str">
        <f>IF(COUNTIFS(ESF[Solo],"Areia",ESF[Prof. (m)],"&lt;="&amp;ESF[[#This Row],[Prof. (m)]])&gt;=1,"lim.","OK")</f>
        <v>OK</v>
      </c>
      <c r="BK150" s="4" t="str">
        <f ca="1">IF(ESF[[#This Row],[Verif. Biela]]="OK","OK","lim.")</f>
        <v>OK</v>
      </c>
      <c r="BL150" s="4" t="str">
        <f ca="1">IF(COUNTA(ESF[[#This Row],[Nº Est.]:[Biela comp.]])=COUNTIF(ESF[[#This Row],[Nº Est.]:[Biela comp.]],"OK"),"OK","lim.")</f>
        <v>lim.</v>
      </c>
      <c r="BM150" s="4" t="str">
        <f ca="1">IF(ESF[[#This Row],[Controle]]="OK",ESF[[#This Row],[nE]]&amp;" Ø"&amp;ESF[[#This Row],[Ø (cm)]]&amp;"cm Prof. "&amp;ESF[[#This Row],[Prof. (m)]]&amp;" m","")</f>
        <v/>
      </c>
      <c r="BN150" s="4" t="str">
        <f ca="1">IF(ESF[[#This Row],[idDimensionamento]]="","",ESF[[#This Row],[idPilar]]&amp;ESF[[#This Row],[idDimensionamento]])</f>
        <v/>
      </c>
    </row>
    <row r="151" spans="2:66" x14ac:dyDescent="0.25">
      <c r="B151" s="12">
        <f>ROUNDUP((ROW(ESF[[#This Row],[idDiâmetro]])-ROW(ESF[[#Headers],[idDiâmetro]]))/(COUNT(SPT[Prof. (m)])*COUNT(PILARES[Pilar])),0)</f>
        <v>6</v>
      </c>
      <c r="C151" s="12">
        <f>IF(ESF[[#This Row],[idDiâmetro]]&lt;&gt;B150,1,IF(ESF[[#This Row],[Prof. (m)]]=0,C150+1,C150))</f>
        <v>1</v>
      </c>
      <c r="D151" s="82">
        <f>IFERROR(IF(D150=MAX(SPT[Prof. (m)]),0,D150+1),0)</f>
        <v>6</v>
      </c>
      <c r="E151" s="82">
        <f>INDEX(SPT[],MATCH(ESF[[#This Row],[Prof. (m)]],SPT[Prof. (m)],0),2)</f>
        <v>21</v>
      </c>
      <c r="F151" s="82" t="str">
        <f>INDEX(SPT[],MATCH(ESF[[#This Row],[Prof. (m)]],SPT[Prof. (m)],0),3)</f>
        <v>Silte arenoso</v>
      </c>
      <c r="G151" s="82">
        <f>INDEX(estacas[],ESF[[#This Row],[idDiâmetro]],MATCH($B$2,estacas[#Headers],0))</f>
        <v>50</v>
      </c>
      <c r="H151" s="82">
        <f>INDEX(estacas[],MATCH(ESF[[#This Row],[Ø (cm)]],estacas[Ø ESF (cm)],0),MATCH(ESF[[#Headers],[Pe ESF (kN)]],estacas[#Headers],0))</f>
        <v>1000</v>
      </c>
      <c r="I151" s="4">
        <f>INDEX(K_alpha_C[],MATCH(ESF[[#This Row],[Solo]],K_alpha_C[Solo],0),2)</f>
        <v>0.55000000000000004</v>
      </c>
      <c r="J151" s="5">
        <f>INDEX(K_alpha_C[],MATCH(ESF[[#This Row],[Solo]],K_alpha_C[Solo],0),3)</f>
        <v>2.2000000000000002</v>
      </c>
      <c r="K151" s="4">
        <f>INDEX(F1_F2[],MATCH($D$2,F1_F2[Tipo de estaca],0),2)</f>
        <v>3</v>
      </c>
      <c r="L151" s="4">
        <f>INDEX(F1_F2[],MATCH($D$2,F1_F2[Tipo de estaca],0),3)</f>
        <v>6</v>
      </c>
      <c r="M151" s="4">
        <f>PI()*(ESF[[#This Row],[Ø (cm)]]/100)^2/4</f>
        <v>0.19634954084936207</v>
      </c>
      <c r="N151" s="4">
        <f>PI()*ESF[[#This Row],[Ø (cm)]]/100</f>
        <v>1.5707963267948966</v>
      </c>
      <c r="O151" s="4">
        <f>IF(ESF[[#This Row],[Prof. (m)]]=0,0,ESF[[#This Row],[α (%)]]/100*ESF[[#This Row],[K (MPa)]]*1000*ESF[[#This Row],[NSPT]])</f>
        <v>254.10000000000002</v>
      </c>
      <c r="P151" s="4">
        <f>IF(ESF[[#This Row],[Prof. (m)]]=0,0,(ESF[[#This Row],[K (MPa)]]*1000*ESF[[#This Row],[NSPT]]/ESF[[#This Row],[F1]]*ESF[[#This Row],[Ap (m²)]]+ESF[[#This Row],[U (m)]]/ESF[[#This Row],[F2]]*SUMIFS(ESF[(α∙K∙NL∙ΔL)],ESF[Prof. (m)],"&lt;="&amp;ESF[[#This Row],[Prof. (m)]],ESF[idDiâmetro],ESF[[#This Row],[idDiâmetro]],ESF[idPilar],ESF[[#This Row],[idPilar]]))/'DADOS CAP. CARGA'!$D$2)</f>
        <v>480.3495167338794</v>
      </c>
      <c r="Q151" s="12">
        <f>INDEX(C_alpha_beta[],MATCH(ESF[[#This Row],[Solo]],C_alpha_beta[Solo],0),MATCH(ESF[[#Headers],[C (kPa)]],C_alpha_beta[#Headers],0))</f>
        <v>250</v>
      </c>
      <c r="R151" s="4">
        <f>INDEX(C_alpha_beta[],MATCH(ESF[[#This Row],[Solo]],C_alpha_beta[Solo],0),MATCH(ESF[[#Headers],[α ESF]],C_alpha_beta[#Headers],0))</f>
        <v>0.6</v>
      </c>
      <c r="S151" s="4">
        <f>INDEX(C_alpha_beta[],MATCH(ESF[[#This Row],[Solo]],C_alpha_beta[Solo],0),MATCH(ESF[[#Headers],[β ESF]],C_alpha_beta[#Headers],0))</f>
        <v>0.65</v>
      </c>
      <c r="T151" s="4">
        <f>IF(ESF[[#This Row],[Prof. (m)]]=0,0,10*(ESF[[#This Row],[NSPT]]/3+1))</f>
        <v>80</v>
      </c>
      <c r="U151" s="4">
        <f>(ESF[[#This Row],[α ESF]]*ESF[[#This Row],[C (kPa)]]*ESF[[#This Row],[NSPT]]*ESF[[#This Row],[Ap (m²)]])/'DADOS CAP. CARGA'!$Q$2+(ESF[[#This Row],[β ESF]]*SUMIFS(ESF[10∙(NL/3+1)],ESF[Prof. (m)],"&lt;="&amp;ESF[[#This Row],[Prof. (m)]],ESF[idDiâmetro],ESF[[#This Row],[idDiâmetro]],ESF[idPilar],ESF[[#This Row],[idPilar]])*ESF[[#This Row],[U (m)]])/'DADOS CAP. CARGA'!$S$2</f>
        <v>277.14737690887455</v>
      </c>
      <c r="V151" s="4">
        <f>IF(SPT!$M$5=1,MIN(ESF[[#This Row],[Pe ESF (kN)]],ESF[[#This Row],[R_AV (kN)]]),IF(SPT!$M$5=2,MIN(ESF[[#This Row],[Pe ESF (kN)]],ESF[[#This Row],[R_DC (kN)]]),MIN(ESF[[#This Row],[Pe ESF (kN)]],ESF[[#This Row],[R_AV (kN)]],ESF[[#This Row],[R_DC (kN)]])))</f>
        <v>277.14737690887455</v>
      </c>
      <c r="W151" s="4">
        <f>INDEX(PILARES[],ESF[[#This Row],[idPilar]],MATCH("Carga (kN)",PILARES[#Headers],0))*1.4</f>
        <v>3500</v>
      </c>
      <c r="X151" s="12">
        <f>INDEX(PILARES[],ESF[[#This Row],[idPilar]],MATCH(ESF[[#Headers],[ap (cm)]],PILARES[#Headers],0))</f>
        <v>60</v>
      </c>
      <c r="Y151" s="12">
        <f>INDEX(PILARES[],ESF[[#This Row],[idPilar]],MATCH(ESF[[#Headers],[bp (cm)]],PILARES[#Headers],0))</f>
        <v>60</v>
      </c>
      <c r="Z151" s="4">
        <f>SQRT(ESF[[#This Row],[ap (cm)]]*ESF[[#This Row],[bp (cm)]])</f>
        <v>60</v>
      </c>
      <c r="AA151" s="12">
        <f>ESF[[#This Row],[ap (cm)]]*ESF[[#This Row],[bp (cm)]]</f>
        <v>3600</v>
      </c>
      <c r="AB151" s="12">
        <f ca="1">IF(ESF[[#This Row],[Padm∙ε (kN)]]&gt;=ESF[[#This Row],[Padm (kN)]],ROUNDUP(1.05*ESF[[#This Row],[Nsd (kN)]]/ESF[[#This Row],[Padm (kN)]],0),ROUNDUP(1.05*ESF[[#This Row],[Nsd (kN)]]/ESF[[#This Row],[Padm (kN)]],0)+1)</f>
        <v>14</v>
      </c>
      <c r="AC151" s="4" t="str">
        <f ca="1">IFERROR(IF(ESF[[#This Row],[nE]]=1,ESF[[#This Row],[Padm (kN)]],ESF[[#This Row],[Padm (kN)]]*ESF[[#This Row],[nE]]*INDEX(grupoEstacas[],ESF[[#This Row],[nE]],MATCH("ε",grupoEstacas[#Headers],0))),"N.S.")</f>
        <v>N.S.</v>
      </c>
      <c r="AD151" s="4">
        <f ca="1">1.05*ESF[[#This Row],[Nsd (kN)]]/(ESF[[#This Row],[nE]]*PI()*ESF[[#This Row],[Ø (cm)]]^2/4)*10</f>
        <v>1.3369015219719209</v>
      </c>
      <c r="AE151" s="4">
        <f ca="1">IF(ESF[[#This Row],[σ (MPa)]]&lt;INDEX(tipoEstaca[],MATCH($D$2,tipoEstaca[TIPO DE ESTACA],0),MATCH("σmáx (MPa)",tipoEstaca[#Headers],0)),0.4%*PI()*ESF[[#This Row],[Ø (cm)]]^2/4,"N.S.")</f>
        <v>7.8539816339744837</v>
      </c>
      <c r="AF151" s="82">
        <f>INDEX(tipoEstaca[],MATCH($D$2,tipoEstaca[TIPO DE ESTACA],0),MATCH(ESF[[#Headers],[Comprimento (m)]],tipoEstaca[#Headers],0))</f>
        <v>2</v>
      </c>
      <c r="AG151" s="5">
        <f ca="1">ESF[[#This Row],[As,mín (cm²)]]/100^2*ESF[[#This Row],[Comprimento (m)]]*7850</f>
        <v>12.330751165339938</v>
      </c>
      <c r="AH151" s="4">
        <f ca="1">ESF[[#This Row],[nE]]*ESF[[#This Row],[Prof. (m)]]*ESF[[#This Row],[Ap (m²)]]</f>
        <v>16.493361431346415</v>
      </c>
      <c r="AI151" s="82">
        <f ca="1">IF(ESF[[#This Row],[nE]]=1,0,MAX(3*ESF[[#This Row],[Ø (cm)]],60))</f>
        <v>150</v>
      </c>
      <c r="AJ151" s="82">
        <f ca="1">IF(ESF[[#This Row],[nE]]=1,ESF[[#This Row],[Ø (cm)]]+2*10,MAX(1.5*ESF[[#This Row],[Ø (cm)]],ESF[[#This Row],[Ø (cm)]]+15))</f>
        <v>75</v>
      </c>
      <c r="AK151" s="82" t="str">
        <f ca="1">alturaUtil(ESF[[#This Row],[nE]],ESF[[#This Row],[Ø (cm)]],ESF[[#This Row],[e (cm)]],ESF[[#This Row],[ap,eq (cm)]])</f>
        <v>N.S.</v>
      </c>
      <c r="AL151" s="82" t="str">
        <f ca="1">IFERROR(ESF[[#This Row],[d (cm)]]+arredondarParaCimaMultiplo5cm(MAX(5,SQRT(PI())/2*ESF[[#This Row],[Ø (cm)]]/5)),"N.S.")</f>
        <v>N.S.</v>
      </c>
      <c r="AM151" s="5" t="str">
        <f ca="1">alpha(ESF[[#This Row],[nE]],ESF[[#This Row],[d (cm)]],ESF[[#This Row],[e (cm)]],ESF[[#This Row],[ap,eq (cm)]])</f>
        <v>N.S.</v>
      </c>
      <c r="AN151" s="35" t="str">
        <f ca="1">IFERROR(ESF[[#This Row],[Nsd (kN)]]/(ESF[[#This Row],[Ap (cm²)]]*SIN(ESF[[#This Row],[α]])^2),"N.S.")</f>
        <v>N.S.</v>
      </c>
      <c r="AO151" s="35" t="str">
        <f ca="1">IFERROR(ESF[[#This Row],[Nsd (kN)]]/(ESF[[#This Row],[nE]]*PI()*ESF[[#This Row],[Ø (cm)]]^2/4*SIN(ESF[[#This Row],[α]])^2),"N.S.")</f>
        <v>N.S.</v>
      </c>
      <c r="AP151" s="4" t="str">
        <f ca="1">IFERROR(INDEX(grupoEstacas[],ESF[[#This Row],[nE]],MATCH("coef. Blévot",grupoEstacas[#Headers],0)),"N.S.")</f>
        <v>N.S.</v>
      </c>
      <c r="AQ151" s="35" t="str">
        <f ca="1">IFERROR(ESF[[#This Row],[coef. Blévot]]*0.9*INDEX(tipoEstaca[],MATCH($D$2,tipoEstaca[TIPO DE ESTACA],0),MATCH("fcd (kN/cm²)",tipoEstaca[#Headers],0)),"N.S.")</f>
        <v>N.S.</v>
      </c>
      <c r="AR151" s="82" t="str">
        <f ca="1">IF(AND(ESF[[#This Row],[cd,b,pil (kN/cm²)]]&lt;=ESF[[#This Row],[cd,b,lim (kN/cm²)]],ESF[[#This Row],[cd,b,est (kN/cm²)]]&lt;=ESF[[#This Row],[cd,b,lim (kN/cm²)]]),"OK","ERRO")</f>
        <v>OK</v>
      </c>
      <c r="AS151" s="4" t="str">
        <f ca="1">As_lado(ESF[[#This Row],[nE]],ESF[[#This Row],[Nsd (kN)]],ESF[[#This Row],[d (cm)]],ESF[[#This Row],[e (cm)]],ESF[[#This Row],[ap,eq (cm)]])</f>
        <v>N.S.</v>
      </c>
      <c r="AT151" s="4" t="str">
        <f ca="1">IF(ESF[[#This Row],[nE]]=1,ESF[[#This Row],[As,lado (cm²)]],IF(ESF[[#This Row],[nE]]=2,0.075*2*ESF[a (cm)],"N.A."))</f>
        <v>N.A.</v>
      </c>
      <c r="AU151" s="4" t="str">
        <f ca="1">IFERROR(IF(ESF[[#This Row],[nE]]=1,"N.A.",0.2*ESF[[#This Row],[As,lado (cm²)]]),"N.S.")</f>
        <v>N.S.</v>
      </c>
      <c r="AV151" s="4" t="str">
        <f ca="1">As_malha(ESF[[#This Row],[nE]],ESF[[#This Row],[As,lado (cm²)]],ESF[[#This Row],[Nsd (kN)]])</f>
        <v>N.S.</v>
      </c>
      <c r="AW151" s="4" t="str">
        <f ca="1">As_susp_tot(ESF[[#This Row],[nE]],ESF[[#This Row],[Nsd (kN)]])</f>
        <v>N.S.</v>
      </c>
      <c r="AX151" s="4" t="str">
        <f ca="1">Asp_face(ESF[[#This Row],[nE]],ESF[[#This Row],[As,lado (cm²)]])</f>
        <v>N.S.</v>
      </c>
      <c r="AY151" s="5" t="str">
        <f ca="1">acoBloco(ESF[[#This Row],[nE]],ESF[[#This Row],[e (cm)]],ESF[[#This Row],[a (cm)]],ESF[[#This Row],[h (cm)]],ESF[[#This Row],[As,lado (cm²)]],ESF[[#This Row],[Asp e Asw (cm²/m)]],ESF[[#This Row],[As,sup (cm²)]],ESF[[#This Row],[As,malha (cm²)]],ESF[[#This Row],[As,susp,tot (cm²)]],ESF[[#This Row],[Asp,face (cm²)]])</f>
        <v>N.S.</v>
      </c>
      <c r="AZ151" s="4" t="str">
        <f ca="1">concretoBloco(ESF[[#This Row],[nE]],ESF[[#This Row],[e (cm)]],ESF[[#This Row],[a (cm)]],ESF[[#This Row],[h (cm)]])</f>
        <v>N.S.</v>
      </c>
      <c r="BA151" s="5">
        <f ca="1">SUM(ESF[[#This Row],[Aço Est (kg)]],ESF[[#This Row],[Aço Bloco (kg)]])</f>
        <v>12.330751165339938</v>
      </c>
      <c r="BB151" s="4">
        <f>INDEX(composicoes[],MATCH(95580,composicoes[CÓDIGO],0),MATCH("CUSTO TOTAL",composicoes[#Headers],0))</f>
        <v>10.46</v>
      </c>
      <c r="BC151" s="4">
        <f ca="1">SUM(ESF[[#This Row],[Conc Est (m³)]],ESF[[#This Row],[Conc Bloco (m³)]])</f>
        <v>16.493361431346415</v>
      </c>
      <c r="BD151" s="4">
        <f>INDEX(composicoes[],MATCH(94966,composicoes[CÓDIGO],0),MATCH("CUSTO TOTAL",composicoes[#Headers],0))</f>
        <v>439.52</v>
      </c>
      <c r="BE151" s="38">
        <f ca="1">ESF[[#This Row],[Aço (kg)]]*ESF[[#This Row],[Aço (R$/kg)]]+ESF[[#This Row],[Conc (m³)]]*ESF[[#This Row],[Conc (R$/m³)]]</f>
        <v>7378.141873494832</v>
      </c>
      <c r="BF151" s="4" t="str">
        <f ca="1">IF(COUNTIF(ESF[#This Row],"N.S.")&gt;0,"lim.","OK")</f>
        <v>lim.</v>
      </c>
      <c r="BG151" s="4" t="str">
        <f>IF(ESF[[#This Row],[Prof. (m)]]&lt;3,"lim.","OK")</f>
        <v>OK</v>
      </c>
      <c r="BH151" s="4" t="str">
        <f>IF(ESF[[#This Row],[Prof. (m)]]&gt;=8*ESF[[#This Row],[Ø (cm)]]/100,"OK","lim.")</f>
        <v>OK</v>
      </c>
      <c r="BI151" s="4" t="str">
        <f>IF(AND(SPT!$F$3&lt;&gt;"",ESF[[#This Row],[Prof. (m)]]&gt;=SPT!$F$3),"lim.","OK")</f>
        <v>OK</v>
      </c>
      <c r="BJ151" s="4" t="str">
        <f>IF(COUNTIFS(ESF[Solo],"Areia",ESF[Prof. (m)],"&lt;="&amp;ESF[[#This Row],[Prof. (m)]])&gt;=1,"lim.","OK")</f>
        <v>OK</v>
      </c>
      <c r="BK151" s="4" t="str">
        <f ca="1">IF(ESF[[#This Row],[Verif. Biela]]="OK","OK","lim.")</f>
        <v>OK</v>
      </c>
      <c r="BL151" s="4" t="str">
        <f ca="1">IF(COUNTA(ESF[[#This Row],[Nº Est.]:[Biela comp.]])=COUNTIF(ESF[[#This Row],[Nº Est.]:[Biela comp.]],"OK"),"OK","lim.")</f>
        <v>lim.</v>
      </c>
      <c r="BM151" s="4" t="str">
        <f ca="1">IF(ESF[[#This Row],[Controle]]="OK",ESF[[#This Row],[nE]]&amp;" Ø"&amp;ESF[[#This Row],[Ø (cm)]]&amp;"cm Prof. "&amp;ESF[[#This Row],[Prof. (m)]]&amp;" m","")</f>
        <v/>
      </c>
      <c r="BN151" s="4" t="str">
        <f ca="1">IF(ESF[[#This Row],[idDimensionamento]]="","",ESF[[#This Row],[idPilar]]&amp;ESF[[#This Row],[idDimensionamento]])</f>
        <v/>
      </c>
    </row>
    <row r="152" spans="2:66" x14ac:dyDescent="0.25">
      <c r="B152" s="12">
        <f>ROUNDUP((ROW(ESF[[#This Row],[idDiâmetro]])-ROW(ESF[[#Headers],[idDiâmetro]]))/(COUNT(SPT[Prof. (m)])*COUNT(PILARES[Pilar])),0)</f>
        <v>6</v>
      </c>
      <c r="C152" s="12">
        <f>IF(ESF[[#This Row],[idDiâmetro]]&lt;&gt;B151,1,IF(ESF[[#This Row],[Prof. (m)]]=0,C151+1,C151))</f>
        <v>1</v>
      </c>
      <c r="D152" s="82">
        <f>IFERROR(IF(D151=MAX(SPT[Prof. (m)]),0,D151+1),0)</f>
        <v>7</v>
      </c>
      <c r="E152" s="82">
        <f>INDEX(SPT[],MATCH(ESF[[#This Row],[Prof. (m)]],SPT[Prof. (m)],0),2)</f>
        <v>8</v>
      </c>
      <c r="F152" s="82" t="str">
        <f>INDEX(SPT[],MATCH(ESF[[#This Row],[Prof. (m)]],SPT[Prof. (m)],0),3)</f>
        <v>Silte arenoso</v>
      </c>
      <c r="G152" s="82">
        <f>INDEX(estacas[],ESF[[#This Row],[idDiâmetro]],MATCH($B$2,estacas[#Headers],0))</f>
        <v>50</v>
      </c>
      <c r="H152" s="82">
        <f>INDEX(estacas[],MATCH(ESF[[#This Row],[Ø (cm)]],estacas[Ø ESF (cm)],0),MATCH(ESF[[#Headers],[Pe ESF (kN)]],estacas[#Headers],0))</f>
        <v>1000</v>
      </c>
      <c r="I152" s="4">
        <f>INDEX(K_alpha_C[],MATCH(ESF[[#This Row],[Solo]],K_alpha_C[Solo],0),2)</f>
        <v>0.55000000000000004</v>
      </c>
      <c r="J152" s="5">
        <f>INDEX(K_alpha_C[],MATCH(ESF[[#This Row],[Solo]],K_alpha_C[Solo],0),3)</f>
        <v>2.2000000000000002</v>
      </c>
      <c r="K152" s="4">
        <f>INDEX(F1_F2[],MATCH($D$2,F1_F2[Tipo de estaca],0),2)</f>
        <v>3</v>
      </c>
      <c r="L152" s="4">
        <f>INDEX(F1_F2[],MATCH($D$2,F1_F2[Tipo de estaca],0),3)</f>
        <v>6</v>
      </c>
      <c r="M152" s="4">
        <f>PI()*(ESF[[#This Row],[Ø (cm)]]/100)^2/4</f>
        <v>0.19634954084936207</v>
      </c>
      <c r="N152" s="4">
        <f>PI()*ESF[[#This Row],[Ø (cm)]]/100</f>
        <v>1.5707963267948966</v>
      </c>
      <c r="O152" s="4">
        <f>IF(ESF[[#This Row],[Prof. (m)]]=0,0,ESF[[#This Row],[α (%)]]/100*ESF[[#This Row],[K (MPa)]]*1000*ESF[[#This Row],[NSPT]])</f>
        <v>96.800000000000011</v>
      </c>
      <c r="P152" s="4">
        <f>IF(ESF[[#This Row],[Prof. (m)]]=0,0,(ESF[[#This Row],[K (MPa)]]*1000*ESF[[#This Row],[NSPT]]/ESF[[#This Row],[F1]]*ESF[[#This Row],[Ap (m²)]]+ESF[[#This Row],[U (m)]]/ESF[[#This Row],[F2]]*SUMIFS(ESF[(α∙K∙NL∙ΔL)],ESF[Prof. (m)],"&lt;="&amp;ESF[[#This Row],[Prof. (m)]],ESF[idDiâmetro],ESF[[#This Row],[idDiâmetro]],ESF[idPilar],ESF[[#This Row],[idPilar]]))/'DADOS CAP. CARGA'!$D$2)</f>
        <v>259.03740425786839</v>
      </c>
      <c r="Q152" s="12">
        <f>INDEX(C_alpha_beta[],MATCH(ESF[[#This Row],[Solo]],C_alpha_beta[Solo],0),MATCH(ESF[[#Headers],[C (kPa)]],C_alpha_beta[#Headers],0))</f>
        <v>250</v>
      </c>
      <c r="R152" s="4">
        <f>INDEX(C_alpha_beta[],MATCH(ESF[[#This Row],[Solo]],C_alpha_beta[Solo],0),MATCH(ESF[[#Headers],[α ESF]],C_alpha_beta[#Headers],0))</f>
        <v>0.6</v>
      </c>
      <c r="S152" s="4">
        <f>INDEX(C_alpha_beta[],MATCH(ESF[[#This Row],[Solo]],C_alpha_beta[Solo],0),MATCH(ESF[[#Headers],[β ESF]],C_alpha_beta[#Headers],0))</f>
        <v>0.65</v>
      </c>
      <c r="T152" s="4">
        <f>IF(ESF[[#This Row],[Prof. (m)]]=0,0,10*(ESF[[#This Row],[NSPT]]/3+1))</f>
        <v>36.666666666666664</v>
      </c>
      <c r="U152" s="4">
        <f>(ESF[[#This Row],[α ESF]]*ESF[[#This Row],[C (kPa)]]*ESF[[#This Row],[NSPT]]*ESF[[#This Row],[Ap (m²)]])/'DADOS CAP. CARGA'!$Q$2+(ESF[[#This Row],[β ESF]]*SUMIFS(ESF[10∙(NL/3+1)],ESF[Prof. (m)],"&lt;="&amp;ESF[[#This Row],[Prof. (m)]],ESF[idDiâmetro],ESF[[#This Row],[idDiâmetro]],ESF[idPilar],ESF[[#This Row],[idPilar]])*ESF[[#This Row],[U (m)]])/'DADOS CAP. CARGA'!$S$2</f>
        <v>200.14563197244973</v>
      </c>
      <c r="V152" s="4">
        <f>IF(SPT!$M$5=1,MIN(ESF[[#This Row],[Pe ESF (kN)]],ESF[[#This Row],[R_AV (kN)]]),IF(SPT!$M$5=2,MIN(ESF[[#This Row],[Pe ESF (kN)]],ESF[[#This Row],[R_DC (kN)]]),MIN(ESF[[#This Row],[Pe ESF (kN)]],ESF[[#This Row],[R_AV (kN)]],ESF[[#This Row],[R_DC (kN)]])))</f>
        <v>200.14563197244973</v>
      </c>
      <c r="W152" s="4">
        <f>INDEX(PILARES[],ESF[[#This Row],[idPilar]],MATCH("Carga (kN)",PILARES[#Headers],0))*1.4</f>
        <v>3500</v>
      </c>
      <c r="X152" s="12">
        <f>INDEX(PILARES[],ESF[[#This Row],[idPilar]],MATCH(ESF[[#Headers],[ap (cm)]],PILARES[#Headers],0))</f>
        <v>60</v>
      </c>
      <c r="Y152" s="12">
        <f>INDEX(PILARES[],ESF[[#This Row],[idPilar]],MATCH(ESF[[#Headers],[bp (cm)]],PILARES[#Headers],0))</f>
        <v>60</v>
      </c>
      <c r="Z152" s="4">
        <f>SQRT(ESF[[#This Row],[ap (cm)]]*ESF[[#This Row],[bp (cm)]])</f>
        <v>60</v>
      </c>
      <c r="AA152" s="12">
        <f>ESF[[#This Row],[ap (cm)]]*ESF[[#This Row],[bp (cm)]]</f>
        <v>3600</v>
      </c>
      <c r="AB152" s="12">
        <f ca="1">IF(ESF[[#This Row],[Padm∙ε (kN)]]&gt;=ESF[[#This Row],[Padm (kN)]],ROUNDUP(1.05*ESF[[#This Row],[Nsd (kN)]]/ESF[[#This Row],[Padm (kN)]],0),ROUNDUP(1.05*ESF[[#This Row],[Nsd (kN)]]/ESF[[#This Row],[Padm (kN)]],0)+1)</f>
        <v>19</v>
      </c>
      <c r="AC152" s="4" t="str">
        <f ca="1">IFERROR(IF(ESF[[#This Row],[nE]]=1,ESF[[#This Row],[Padm (kN)]],ESF[[#This Row],[Padm (kN)]]*ESF[[#This Row],[nE]]*INDEX(grupoEstacas[],ESF[[#This Row],[nE]],MATCH("ε",grupoEstacas[#Headers],0))),"N.S.")</f>
        <v>N.S.</v>
      </c>
      <c r="AD152" s="4">
        <f ca="1">1.05*ESF[[#This Row],[Nsd (kN)]]/(ESF[[#This Row],[nE]]*PI()*ESF[[#This Row],[Ø (cm)]]^2/4)*10</f>
        <v>0.98508533197931014</v>
      </c>
      <c r="AE152" s="4">
        <f ca="1">IF(ESF[[#This Row],[σ (MPa)]]&lt;INDEX(tipoEstaca[],MATCH($D$2,tipoEstaca[TIPO DE ESTACA],0),MATCH("σmáx (MPa)",tipoEstaca[#Headers],0)),0.4%*PI()*ESF[[#This Row],[Ø (cm)]]^2/4,"N.S.")</f>
        <v>7.8539816339744837</v>
      </c>
      <c r="AF152" s="82">
        <f>INDEX(tipoEstaca[],MATCH($D$2,tipoEstaca[TIPO DE ESTACA],0),MATCH(ESF[[#Headers],[Comprimento (m)]],tipoEstaca[#Headers],0))</f>
        <v>2</v>
      </c>
      <c r="AG152" s="5">
        <f ca="1">ESF[[#This Row],[As,mín (cm²)]]/100^2*ESF[[#This Row],[Comprimento (m)]]*7850</f>
        <v>12.330751165339938</v>
      </c>
      <c r="AH152" s="4">
        <f ca="1">ESF[[#This Row],[nE]]*ESF[[#This Row],[Prof. (m)]]*ESF[[#This Row],[Ap (m²)]]</f>
        <v>26.114488932965155</v>
      </c>
      <c r="AI152" s="82">
        <f ca="1">IF(ESF[[#This Row],[nE]]=1,0,MAX(3*ESF[[#This Row],[Ø (cm)]],60))</f>
        <v>150</v>
      </c>
      <c r="AJ152" s="82">
        <f ca="1">IF(ESF[[#This Row],[nE]]=1,ESF[[#This Row],[Ø (cm)]]+2*10,MAX(1.5*ESF[[#This Row],[Ø (cm)]],ESF[[#This Row],[Ø (cm)]]+15))</f>
        <v>75</v>
      </c>
      <c r="AK152" s="82" t="str">
        <f ca="1">alturaUtil(ESF[[#This Row],[nE]],ESF[[#This Row],[Ø (cm)]],ESF[[#This Row],[e (cm)]],ESF[[#This Row],[ap,eq (cm)]])</f>
        <v>N.S.</v>
      </c>
      <c r="AL152" s="82" t="str">
        <f ca="1">IFERROR(ESF[[#This Row],[d (cm)]]+arredondarParaCimaMultiplo5cm(MAX(5,SQRT(PI())/2*ESF[[#This Row],[Ø (cm)]]/5)),"N.S.")</f>
        <v>N.S.</v>
      </c>
      <c r="AM152" s="5" t="str">
        <f ca="1">alpha(ESF[[#This Row],[nE]],ESF[[#This Row],[d (cm)]],ESF[[#This Row],[e (cm)]],ESF[[#This Row],[ap,eq (cm)]])</f>
        <v>N.S.</v>
      </c>
      <c r="AN152" s="35" t="str">
        <f ca="1">IFERROR(ESF[[#This Row],[Nsd (kN)]]/(ESF[[#This Row],[Ap (cm²)]]*SIN(ESF[[#This Row],[α]])^2),"N.S.")</f>
        <v>N.S.</v>
      </c>
      <c r="AO152" s="35" t="str">
        <f ca="1">IFERROR(ESF[[#This Row],[Nsd (kN)]]/(ESF[[#This Row],[nE]]*PI()*ESF[[#This Row],[Ø (cm)]]^2/4*SIN(ESF[[#This Row],[α]])^2),"N.S.")</f>
        <v>N.S.</v>
      </c>
      <c r="AP152" s="4" t="str">
        <f ca="1">IFERROR(INDEX(grupoEstacas[],ESF[[#This Row],[nE]],MATCH("coef. Blévot",grupoEstacas[#Headers],0)),"N.S.")</f>
        <v>N.S.</v>
      </c>
      <c r="AQ152" s="35" t="str">
        <f ca="1">IFERROR(ESF[[#This Row],[coef. Blévot]]*0.9*INDEX(tipoEstaca[],MATCH($D$2,tipoEstaca[TIPO DE ESTACA],0),MATCH("fcd (kN/cm²)",tipoEstaca[#Headers],0)),"N.S.")</f>
        <v>N.S.</v>
      </c>
      <c r="AR152" s="82" t="str">
        <f ca="1">IF(AND(ESF[[#This Row],[cd,b,pil (kN/cm²)]]&lt;=ESF[[#This Row],[cd,b,lim (kN/cm²)]],ESF[[#This Row],[cd,b,est (kN/cm²)]]&lt;=ESF[[#This Row],[cd,b,lim (kN/cm²)]]),"OK","ERRO")</f>
        <v>OK</v>
      </c>
      <c r="AS152" s="4" t="str">
        <f ca="1">As_lado(ESF[[#This Row],[nE]],ESF[[#This Row],[Nsd (kN)]],ESF[[#This Row],[d (cm)]],ESF[[#This Row],[e (cm)]],ESF[[#This Row],[ap,eq (cm)]])</f>
        <v>N.S.</v>
      </c>
      <c r="AT152" s="4" t="str">
        <f ca="1">IF(ESF[[#This Row],[nE]]=1,ESF[[#This Row],[As,lado (cm²)]],IF(ESF[[#This Row],[nE]]=2,0.075*2*ESF[a (cm)],"N.A."))</f>
        <v>N.A.</v>
      </c>
      <c r="AU152" s="4" t="str">
        <f ca="1">IFERROR(IF(ESF[[#This Row],[nE]]=1,"N.A.",0.2*ESF[[#This Row],[As,lado (cm²)]]),"N.S.")</f>
        <v>N.S.</v>
      </c>
      <c r="AV152" s="4" t="str">
        <f ca="1">As_malha(ESF[[#This Row],[nE]],ESF[[#This Row],[As,lado (cm²)]],ESF[[#This Row],[Nsd (kN)]])</f>
        <v>N.S.</v>
      </c>
      <c r="AW152" s="4" t="str">
        <f ca="1">As_susp_tot(ESF[[#This Row],[nE]],ESF[[#This Row],[Nsd (kN)]])</f>
        <v>N.S.</v>
      </c>
      <c r="AX152" s="4" t="str">
        <f ca="1">Asp_face(ESF[[#This Row],[nE]],ESF[[#This Row],[As,lado (cm²)]])</f>
        <v>N.S.</v>
      </c>
      <c r="AY152" s="5" t="str">
        <f ca="1">acoBloco(ESF[[#This Row],[nE]],ESF[[#This Row],[e (cm)]],ESF[[#This Row],[a (cm)]],ESF[[#This Row],[h (cm)]],ESF[[#This Row],[As,lado (cm²)]],ESF[[#This Row],[Asp e Asw (cm²/m)]],ESF[[#This Row],[As,sup (cm²)]],ESF[[#This Row],[As,malha (cm²)]],ESF[[#This Row],[As,susp,tot (cm²)]],ESF[[#This Row],[Asp,face (cm²)]])</f>
        <v>N.S.</v>
      </c>
      <c r="AZ152" s="4" t="str">
        <f ca="1">concretoBloco(ESF[[#This Row],[nE]],ESF[[#This Row],[e (cm)]],ESF[[#This Row],[a (cm)]],ESF[[#This Row],[h (cm)]])</f>
        <v>N.S.</v>
      </c>
      <c r="BA152" s="5">
        <f ca="1">SUM(ESF[[#This Row],[Aço Est (kg)]],ESF[[#This Row],[Aço Bloco (kg)]])</f>
        <v>12.330751165339938</v>
      </c>
      <c r="BB152" s="4">
        <f>INDEX(composicoes[],MATCH(95580,composicoes[CÓDIGO],0),MATCH("CUSTO TOTAL",composicoes[#Headers],0))</f>
        <v>10.46</v>
      </c>
      <c r="BC152" s="4">
        <f ca="1">SUM(ESF[[#This Row],[Conc Est (m³)]],ESF[[#This Row],[Conc Bloco (m³)]])</f>
        <v>26.114488932965155</v>
      </c>
      <c r="BD152" s="4">
        <f>INDEX(composicoes[],MATCH(94966,composicoes[CÓDIGO],0),MATCH("CUSTO TOTAL",composicoes[#Headers],0))</f>
        <v>439.52</v>
      </c>
      <c r="BE152" s="38">
        <f ca="1">ESF[[#This Row],[Aço (kg)]]*ESF[[#This Row],[Aço (R$/kg)]]+ESF[[#This Row],[Conc (m³)]]*ESF[[#This Row],[Conc (R$/m³)]]</f>
        <v>11606.819833006299</v>
      </c>
      <c r="BF152" s="4" t="str">
        <f ca="1">IF(COUNTIF(ESF[#This Row],"N.S.")&gt;0,"lim.","OK")</f>
        <v>lim.</v>
      </c>
      <c r="BG152" s="4" t="str">
        <f>IF(ESF[[#This Row],[Prof. (m)]]&lt;3,"lim.","OK")</f>
        <v>OK</v>
      </c>
      <c r="BH152" s="4" t="str">
        <f>IF(ESF[[#This Row],[Prof. (m)]]&gt;=8*ESF[[#This Row],[Ø (cm)]]/100,"OK","lim.")</f>
        <v>OK</v>
      </c>
      <c r="BI152" s="4" t="str">
        <f>IF(AND(SPT!$F$3&lt;&gt;"",ESF[[#This Row],[Prof. (m)]]&gt;=SPT!$F$3),"lim.","OK")</f>
        <v>OK</v>
      </c>
      <c r="BJ152" s="4" t="str">
        <f>IF(COUNTIFS(ESF[Solo],"Areia",ESF[Prof. (m)],"&lt;="&amp;ESF[[#This Row],[Prof. (m)]])&gt;=1,"lim.","OK")</f>
        <v>OK</v>
      </c>
      <c r="BK152" s="4" t="str">
        <f ca="1">IF(ESF[[#This Row],[Verif. Biela]]="OK","OK","lim.")</f>
        <v>OK</v>
      </c>
      <c r="BL152" s="4" t="str">
        <f ca="1">IF(COUNTA(ESF[[#This Row],[Nº Est.]:[Biela comp.]])=COUNTIF(ESF[[#This Row],[Nº Est.]:[Biela comp.]],"OK"),"OK","lim.")</f>
        <v>lim.</v>
      </c>
      <c r="BM152" s="4" t="str">
        <f ca="1">IF(ESF[[#This Row],[Controle]]="OK",ESF[[#This Row],[nE]]&amp;" Ø"&amp;ESF[[#This Row],[Ø (cm)]]&amp;"cm Prof. "&amp;ESF[[#This Row],[Prof. (m)]]&amp;" m","")</f>
        <v/>
      </c>
      <c r="BN152" s="4" t="str">
        <f ca="1">IF(ESF[[#This Row],[idDimensionamento]]="","",ESF[[#This Row],[idPilar]]&amp;ESF[[#This Row],[idDimensionamento]])</f>
        <v/>
      </c>
    </row>
    <row r="153" spans="2:66" x14ac:dyDescent="0.25">
      <c r="B153" s="12">
        <f>ROUNDUP((ROW(ESF[[#This Row],[idDiâmetro]])-ROW(ESF[[#Headers],[idDiâmetro]]))/(COUNT(SPT[Prof. (m)])*COUNT(PILARES[Pilar])),0)</f>
        <v>6</v>
      </c>
      <c r="C153" s="12">
        <f>IF(ESF[[#This Row],[idDiâmetro]]&lt;&gt;B152,1,IF(ESF[[#This Row],[Prof. (m)]]=0,C152+1,C152))</f>
        <v>1</v>
      </c>
      <c r="D153" s="82">
        <f>IFERROR(IF(D152=MAX(SPT[Prof. (m)]),0,D152+1),0)</f>
        <v>8</v>
      </c>
      <c r="E153" s="82">
        <f>INDEX(SPT[],MATCH(ESF[[#This Row],[Prof. (m)]],SPT[Prof. (m)],0),2)</f>
        <v>10</v>
      </c>
      <c r="F153" s="82" t="str">
        <f>INDEX(SPT[],MATCH(ESF[[#This Row],[Prof. (m)]],SPT[Prof. (m)],0),3)</f>
        <v>Silte arenoso</v>
      </c>
      <c r="G153" s="82">
        <f>INDEX(estacas[],ESF[[#This Row],[idDiâmetro]],MATCH($B$2,estacas[#Headers],0))</f>
        <v>50</v>
      </c>
      <c r="H153" s="82">
        <f>INDEX(estacas[],MATCH(ESF[[#This Row],[Ø (cm)]],estacas[Ø ESF (cm)],0),MATCH(ESF[[#Headers],[Pe ESF (kN)]],estacas[#Headers],0))</f>
        <v>1000</v>
      </c>
      <c r="I153" s="4">
        <f>INDEX(K_alpha_C[],MATCH(ESF[[#This Row],[Solo]],K_alpha_C[Solo],0),2)</f>
        <v>0.55000000000000004</v>
      </c>
      <c r="J153" s="5">
        <f>INDEX(K_alpha_C[],MATCH(ESF[[#This Row],[Solo]],K_alpha_C[Solo],0),3)</f>
        <v>2.2000000000000002</v>
      </c>
      <c r="K153" s="4">
        <f>INDEX(F1_F2[],MATCH($D$2,F1_F2[Tipo de estaca],0),2)</f>
        <v>3</v>
      </c>
      <c r="L153" s="4">
        <f>INDEX(F1_F2[],MATCH($D$2,F1_F2[Tipo de estaca],0),3)</f>
        <v>6</v>
      </c>
      <c r="M153" s="4">
        <f>PI()*(ESF[[#This Row],[Ø (cm)]]/100)^2/4</f>
        <v>0.19634954084936207</v>
      </c>
      <c r="N153" s="4">
        <f>PI()*ESF[[#This Row],[Ø (cm)]]/100</f>
        <v>1.5707963267948966</v>
      </c>
      <c r="O153" s="4">
        <f>IF(ESF[[#This Row],[Prof. (m)]]=0,0,ESF[[#This Row],[α (%)]]/100*ESF[[#This Row],[K (MPa)]]*1000*ESF[[#This Row],[NSPT]])</f>
        <v>121.00000000000001</v>
      </c>
      <c r="P153" s="4">
        <f>IF(ESF[[#This Row],[Prof. (m)]]=0,0,(ESF[[#This Row],[K (MPa)]]*1000*ESF[[#This Row],[NSPT]]/ESF[[#This Row],[F1]]*ESF[[#This Row],[Ap (m²)]]+ESF[[#This Row],[U (m)]]/ESF[[#This Row],[F2]]*SUMIFS(ESF[(α∙K∙NL∙ΔL)],ESF[Prof. (m)],"&lt;="&amp;ESF[[#This Row],[Prof. (m)]],ESF[idDiâmetro],ESF[[#This Row],[idDiâmetro]],ESF[idPilar],ESF[[#This Row],[idPilar]]))/'DADOS CAP. CARGA'!$D$2)</f>
        <v>310.87368304209997</v>
      </c>
      <c r="Q153" s="12">
        <f>INDEX(C_alpha_beta[],MATCH(ESF[[#This Row],[Solo]],C_alpha_beta[Solo],0),MATCH(ESF[[#Headers],[C (kPa)]],C_alpha_beta[#Headers],0))</f>
        <v>250</v>
      </c>
      <c r="R153" s="4">
        <f>INDEX(C_alpha_beta[],MATCH(ESF[[#This Row],[Solo]],C_alpha_beta[Solo],0),MATCH(ESF[[#Headers],[α ESF]],C_alpha_beta[#Headers],0))</f>
        <v>0.6</v>
      </c>
      <c r="S153" s="4">
        <f>INDEX(C_alpha_beta[],MATCH(ESF[[#This Row],[Solo]],C_alpha_beta[Solo],0),MATCH(ESF[[#Headers],[β ESF]],C_alpha_beta[#Headers],0))</f>
        <v>0.65</v>
      </c>
      <c r="T153" s="4">
        <f>IF(ESF[[#This Row],[Prof. (m)]]=0,0,10*(ESF[[#This Row],[NSPT]]/3+1))</f>
        <v>43.333333333333343</v>
      </c>
      <c r="U153" s="4">
        <f>(ESF[[#This Row],[α ESF]]*ESF[[#This Row],[C (kPa)]]*ESF[[#This Row],[NSPT]]*ESF[[#This Row],[Ap (m²)]])/'DADOS CAP. CARGA'!$Q$2+(ESF[[#This Row],[β ESF]]*SUMIFS(ESF[10∙(NL/3+1)],ESF[Prof. (m)],"&lt;="&amp;ESF[[#This Row],[Prof. (m)]],ESF[idDiâmetro],ESF[[#This Row],[idDiâmetro]],ESF[idPilar],ESF[[#This Row],[idPilar]])*ESF[[#This Row],[U (m)]])/'DADOS CAP. CARGA'!$S$2</f>
        <v>236.99389580518005</v>
      </c>
      <c r="V153" s="4">
        <f>IF(SPT!$M$5=1,MIN(ESF[[#This Row],[Pe ESF (kN)]],ESF[[#This Row],[R_AV (kN)]]),IF(SPT!$M$5=2,MIN(ESF[[#This Row],[Pe ESF (kN)]],ESF[[#This Row],[R_DC (kN)]]),MIN(ESF[[#This Row],[Pe ESF (kN)]],ESF[[#This Row],[R_AV (kN)]],ESF[[#This Row],[R_DC (kN)]])))</f>
        <v>236.99389580518005</v>
      </c>
      <c r="W153" s="4">
        <f>INDEX(PILARES[],ESF[[#This Row],[idPilar]],MATCH("Carga (kN)",PILARES[#Headers],0))*1.4</f>
        <v>3500</v>
      </c>
      <c r="X153" s="12">
        <f>INDEX(PILARES[],ESF[[#This Row],[idPilar]],MATCH(ESF[[#Headers],[ap (cm)]],PILARES[#Headers],0))</f>
        <v>60</v>
      </c>
      <c r="Y153" s="12">
        <f>INDEX(PILARES[],ESF[[#This Row],[idPilar]],MATCH(ESF[[#Headers],[bp (cm)]],PILARES[#Headers],0))</f>
        <v>60</v>
      </c>
      <c r="Z153" s="4">
        <f>SQRT(ESF[[#This Row],[ap (cm)]]*ESF[[#This Row],[bp (cm)]])</f>
        <v>60</v>
      </c>
      <c r="AA153" s="12">
        <f>ESF[[#This Row],[ap (cm)]]*ESF[[#This Row],[bp (cm)]]</f>
        <v>3600</v>
      </c>
      <c r="AB153" s="12">
        <f ca="1">IF(ESF[[#This Row],[Padm∙ε (kN)]]&gt;=ESF[[#This Row],[Padm (kN)]],ROUNDUP(1.05*ESF[[#This Row],[Nsd (kN)]]/ESF[[#This Row],[Padm (kN)]],0),ROUNDUP(1.05*ESF[[#This Row],[Nsd (kN)]]/ESF[[#This Row],[Padm (kN)]],0)+1)</f>
        <v>16</v>
      </c>
      <c r="AC153" s="4" t="str">
        <f ca="1">IFERROR(IF(ESF[[#This Row],[nE]]=1,ESF[[#This Row],[Padm (kN)]],ESF[[#This Row],[Padm (kN)]]*ESF[[#This Row],[nE]]*INDEX(grupoEstacas[],ESF[[#This Row],[nE]],MATCH("ε",grupoEstacas[#Headers],0))),"N.S.")</f>
        <v>N.S.</v>
      </c>
      <c r="AD153" s="4">
        <f ca="1">1.05*ESF[[#This Row],[Nsd (kN)]]/(ESF[[#This Row],[nE]]*PI()*ESF[[#This Row],[Ø (cm)]]^2/4)*10</f>
        <v>1.1697888317254308</v>
      </c>
      <c r="AE153" s="4">
        <f ca="1">IF(ESF[[#This Row],[σ (MPa)]]&lt;INDEX(tipoEstaca[],MATCH($D$2,tipoEstaca[TIPO DE ESTACA],0),MATCH("σmáx (MPa)",tipoEstaca[#Headers],0)),0.4%*PI()*ESF[[#This Row],[Ø (cm)]]^2/4,"N.S.")</f>
        <v>7.8539816339744837</v>
      </c>
      <c r="AF153" s="82">
        <f>INDEX(tipoEstaca[],MATCH($D$2,tipoEstaca[TIPO DE ESTACA],0),MATCH(ESF[[#Headers],[Comprimento (m)]],tipoEstaca[#Headers],0))</f>
        <v>2</v>
      </c>
      <c r="AG153" s="5">
        <f ca="1">ESF[[#This Row],[As,mín (cm²)]]/100^2*ESF[[#This Row],[Comprimento (m)]]*7850</f>
        <v>12.330751165339938</v>
      </c>
      <c r="AH153" s="4">
        <f ca="1">ESF[[#This Row],[nE]]*ESF[[#This Row],[Prof. (m)]]*ESF[[#This Row],[Ap (m²)]]</f>
        <v>25.132741228718345</v>
      </c>
      <c r="AI153" s="82">
        <f ca="1">IF(ESF[[#This Row],[nE]]=1,0,MAX(3*ESF[[#This Row],[Ø (cm)]],60))</f>
        <v>150</v>
      </c>
      <c r="AJ153" s="82">
        <f ca="1">IF(ESF[[#This Row],[nE]]=1,ESF[[#This Row],[Ø (cm)]]+2*10,MAX(1.5*ESF[[#This Row],[Ø (cm)]],ESF[[#This Row],[Ø (cm)]]+15))</f>
        <v>75</v>
      </c>
      <c r="AK153" s="82" t="str">
        <f ca="1">alturaUtil(ESF[[#This Row],[nE]],ESF[[#This Row],[Ø (cm)]],ESF[[#This Row],[e (cm)]],ESF[[#This Row],[ap,eq (cm)]])</f>
        <v>N.S.</v>
      </c>
      <c r="AL153" s="82" t="str">
        <f ca="1">IFERROR(ESF[[#This Row],[d (cm)]]+arredondarParaCimaMultiplo5cm(MAX(5,SQRT(PI())/2*ESF[[#This Row],[Ø (cm)]]/5)),"N.S.")</f>
        <v>N.S.</v>
      </c>
      <c r="AM153" s="5" t="str">
        <f ca="1">alpha(ESF[[#This Row],[nE]],ESF[[#This Row],[d (cm)]],ESF[[#This Row],[e (cm)]],ESF[[#This Row],[ap,eq (cm)]])</f>
        <v>N.S.</v>
      </c>
      <c r="AN153" s="35" t="str">
        <f ca="1">IFERROR(ESF[[#This Row],[Nsd (kN)]]/(ESF[[#This Row],[Ap (cm²)]]*SIN(ESF[[#This Row],[α]])^2),"N.S.")</f>
        <v>N.S.</v>
      </c>
      <c r="AO153" s="35" t="str">
        <f ca="1">IFERROR(ESF[[#This Row],[Nsd (kN)]]/(ESF[[#This Row],[nE]]*PI()*ESF[[#This Row],[Ø (cm)]]^2/4*SIN(ESF[[#This Row],[α]])^2),"N.S.")</f>
        <v>N.S.</v>
      </c>
      <c r="AP153" s="4" t="str">
        <f ca="1">IFERROR(INDEX(grupoEstacas[],ESF[[#This Row],[nE]],MATCH("coef. Blévot",grupoEstacas[#Headers],0)),"N.S.")</f>
        <v>N.S.</v>
      </c>
      <c r="AQ153" s="35" t="str">
        <f ca="1">IFERROR(ESF[[#This Row],[coef. Blévot]]*0.9*INDEX(tipoEstaca[],MATCH($D$2,tipoEstaca[TIPO DE ESTACA],0),MATCH("fcd (kN/cm²)",tipoEstaca[#Headers],0)),"N.S.")</f>
        <v>N.S.</v>
      </c>
      <c r="AR153" s="82" t="str">
        <f ca="1">IF(AND(ESF[[#This Row],[cd,b,pil (kN/cm²)]]&lt;=ESF[[#This Row],[cd,b,lim (kN/cm²)]],ESF[[#This Row],[cd,b,est (kN/cm²)]]&lt;=ESF[[#This Row],[cd,b,lim (kN/cm²)]]),"OK","ERRO")</f>
        <v>OK</v>
      </c>
      <c r="AS153" s="4" t="str">
        <f ca="1">As_lado(ESF[[#This Row],[nE]],ESF[[#This Row],[Nsd (kN)]],ESF[[#This Row],[d (cm)]],ESF[[#This Row],[e (cm)]],ESF[[#This Row],[ap,eq (cm)]])</f>
        <v>N.S.</v>
      </c>
      <c r="AT153" s="4" t="str">
        <f ca="1">IF(ESF[[#This Row],[nE]]=1,ESF[[#This Row],[As,lado (cm²)]],IF(ESF[[#This Row],[nE]]=2,0.075*2*ESF[a (cm)],"N.A."))</f>
        <v>N.A.</v>
      </c>
      <c r="AU153" s="4" t="str">
        <f ca="1">IFERROR(IF(ESF[[#This Row],[nE]]=1,"N.A.",0.2*ESF[[#This Row],[As,lado (cm²)]]),"N.S.")</f>
        <v>N.S.</v>
      </c>
      <c r="AV153" s="4" t="str">
        <f ca="1">As_malha(ESF[[#This Row],[nE]],ESF[[#This Row],[As,lado (cm²)]],ESF[[#This Row],[Nsd (kN)]])</f>
        <v>N.S.</v>
      </c>
      <c r="AW153" s="4" t="str">
        <f ca="1">As_susp_tot(ESF[[#This Row],[nE]],ESF[[#This Row],[Nsd (kN)]])</f>
        <v>N.S.</v>
      </c>
      <c r="AX153" s="4" t="str">
        <f ca="1">Asp_face(ESF[[#This Row],[nE]],ESF[[#This Row],[As,lado (cm²)]])</f>
        <v>N.S.</v>
      </c>
      <c r="AY153" s="5" t="str">
        <f ca="1">acoBloco(ESF[[#This Row],[nE]],ESF[[#This Row],[e (cm)]],ESF[[#This Row],[a (cm)]],ESF[[#This Row],[h (cm)]],ESF[[#This Row],[As,lado (cm²)]],ESF[[#This Row],[Asp e Asw (cm²/m)]],ESF[[#This Row],[As,sup (cm²)]],ESF[[#This Row],[As,malha (cm²)]],ESF[[#This Row],[As,susp,tot (cm²)]],ESF[[#This Row],[Asp,face (cm²)]])</f>
        <v>N.S.</v>
      </c>
      <c r="AZ153" s="4" t="str">
        <f ca="1">concretoBloco(ESF[[#This Row],[nE]],ESF[[#This Row],[e (cm)]],ESF[[#This Row],[a (cm)]],ESF[[#This Row],[h (cm)]])</f>
        <v>N.S.</v>
      </c>
      <c r="BA153" s="5">
        <f ca="1">SUM(ESF[[#This Row],[Aço Est (kg)]],ESF[[#This Row],[Aço Bloco (kg)]])</f>
        <v>12.330751165339938</v>
      </c>
      <c r="BB153" s="4">
        <f>INDEX(composicoes[],MATCH(95580,composicoes[CÓDIGO],0),MATCH("CUSTO TOTAL",composicoes[#Headers],0))</f>
        <v>10.46</v>
      </c>
      <c r="BC153" s="4">
        <f ca="1">SUM(ESF[[#This Row],[Conc Est (m³)]],ESF[[#This Row],[Conc Bloco (m³)]])</f>
        <v>25.132741228718345</v>
      </c>
      <c r="BD153" s="4">
        <f>INDEX(composicoes[],MATCH(94966,composicoes[CÓDIGO],0),MATCH("CUSTO TOTAL",composicoes[#Headers],0))</f>
        <v>439.52</v>
      </c>
      <c r="BE153" s="38">
        <f ca="1">ESF[[#This Row],[Aço (kg)]]*ESF[[#This Row],[Aço (R$/kg)]]+ESF[[#This Row],[Conc (m³)]]*ESF[[#This Row],[Conc (R$/m³)]]</f>
        <v>11175.322082035742</v>
      </c>
      <c r="BF153" s="4" t="str">
        <f ca="1">IF(COUNTIF(ESF[#This Row],"N.S.")&gt;0,"lim.","OK")</f>
        <v>lim.</v>
      </c>
      <c r="BG153" s="4" t="str">
        <f>IF(ESF[[#This Row],[Prof. (m)]]&lt;3,"lim.","OK")</f>
        <v>OK</v>
      </c>
      <c r="BH153" s="4" t="str">
        <f>IF(ESF[[#This Row],[Prof. (m)]]&gt;=8*ESF[[#This Row],[Ø (cm)]]/100,"OK","lim.")</f>
        <v>OK</v>
      </c>
      <c r="BI153" s="4" t="str">
        <f>IF(AND(SPT!$F$3&lt;&gt;"",ESF[[#This Row],[Prof. (m)]]&gt;=SPT!$F$3),"lim.","OK")</f>
        <v>OK</v>
      </c>
      <c r="BJ153" s="4" t="str">
        <f>IF(COUNTIFS(ESF[Solo],"Areia",ESF[Prof. (m)],"&lt;="&amp;ESF[[#This Row],[Prof. (m)]])&gt;=1,"lim.","OK")</f>
        <v>OK</v>
      </c>
      <c r="BK153" s="4" t="str">
        <f ca="1">IF(ESF[[#This Row],[Verif. Biela]]="OK","OK","lim.")</f>
        <v>OK</v>
      </c>
      <c r="BL153" s="4" t="str">
        <f ca="1">IF(COUNTA(ESF[[#This Row],[Nº Est.]:[Biela comp.]])=COUNTIF(ESF[[#This Row],[Nº Est.]:[Biela comp.]],"OK"),"OK","lim.")</f>
        <v>lim.</v>
      </c>
      <c r="BM153" s="4" t="str">
        <f ca="1">IF(ESF[[#This Row],[Controle]]="OK",ESF[[#This Row],[nE]]&amp;" Ø"&amp;ESF[[#This Row],[Ø (cm)]]&amp;"cm Prof. "&amp;ESF[[#This Row],[Prof. (m)]]&amp;" m","")</f>
        <v/>
      </c>
      <c r="BN153" s="4" t="str">
        <f ca="1">IF(ESF[[#This Row],[idDimensionamento]]="","",ESF[[#This Row],[idPilar]]&amp;ESF[[#This Row],[idDimensionamento]])</f>
        <v/>
      </c>
    </row>
    <row r="154" spans="2:66" x14ac:dyDescent="0.25">
      <c r="B154" s="12">
        <f>ROUNDUP((ROW(ESF[[#This Row],[idDiâmetro]])-ROW(ESF[[#Headers],[idDiâmetro]]))/(COUNT(SPT[Prof. (m)])*COUNT(PILARES[Pilar])),0)</f>
        <v>6</v>
      </c>
      <c r="C154" s="12">
        <f>IF(ESF[[#This Row],[idDiâmetro]]&lt;&gt;B153,1,IF(ESF[[#This Row],[Prof. (m)]]=0,C153+1,C153))</f>
        <v>1</v>
      </c>
      <c r="D154" s="82">
        <f>IFERROR(IF(D153=MAX(SPT[Prof. (m)]),0,D153+1),0)</f>
        <v>9</v>
      </c>
      <c r="E154" s="82">
        <f>INDEX(SPT[],MATCH(ESF[[#This Row],[Prof. (m)]],SPT[Prof. (m)],0),2)</f>
        <v>26</v>
      </c>
      <c r="F154" s="82" t="str">
        <f>INDEX(SPT[],MATCH(ESF[[#This Row],[Prof. (m)]],SPT[Prof. (m)],0),3)</f>
        <v>Areia siltosa</v>
      </c>
      <c r="G154" s="82">
        <f>INDEX(estacas[],ESF[[#This Row],[idDiâmetro]],MATCH($B$2,estacas[#Headers],0))</f>
        <v>50</v>
      </c>
      <c r="H154" s="82">
        <f>INDEX(estacas[],MATCH(ESF[[#This Row],[Ø (cm)]],estacas[Ø ESF (cm)],0),MATCH(ESF[[#Headers],[Pe ESF (kN)]],estacas[#Headers],0))</f>
        <v>1000</v>
      </c>
      <c r="I154" s="4">
        <f>INDEX(K_alpha_C[],MATCH(ESF[[#This Row],[Solo]],K_alpha_C[Solo],0),2)</f>
        <v>0.8</v>
      </c>
      <c r="J154" s="5">
        <f>INDEX(K_alpha_C[],MATCH(ESF[[#This Row],[Solo]],K_alpha_C[Solo],0),3)</f>
        <v>2</v>
      </c>
      <c r="K154" s="4">
        <f>INDEX(F1_F2[],MATCH($D$2,F1_F2[Tipo de estaca],0),2)</f>
        <v>3</v>
      </c>
      <c r="L154" s="4">
        <f>INDEX(F1_F2[],MATCH($D$2,F1_F2[Tipo de estaca],0),3)</f>
        <v>6</v>
      </c>
      <c r="M154" s="4">
        <f>PI()*(ESF[[#This Row],[Ø (cm)]]/100)^2/4</f>
        <v>0.19634954084936207</v>
      </c>
      <c r="N154" s="4">
        <f>PI()*ESF[[#This Row],[Ø (cm)]]/100</f>
        <v>1.5707963267948966</v>
      </c>
      <c r="O154" s="4">
        <f>IF(ESF[[#This Row],[Prof. (m)]]=0,0,ESF[[#This Row],[α (%)]]/100*ESF[[#This Row],[K (MPa)]]*1000*ESF[[#This Row],[NSPT]])</f>
        <v>416</v>
      </c>
      <c r="P154" s="4">
        <f>IF(ESF[[#This Row],[Prof. (m)]]=0,0,(ESF[[#This Row],[K (MPa)]]*1000*ESF[[#This Row],[NSPT]]/ESF[[#This Row],[F1]]*ESF[[#This Row],[Ap (m²)]]+ESF[[#This Row],[U (m)]]/ESF[[#This Row],[F2]]*SUMIFS(ESF[(α∙K∙NL∙ΔL)],ESF[Prof. (m)],"&lt;="&amp;ESF[[#This Row],[Prof. (m)]],ESF[idDiâmetro],ESF[[#This Row],[idDiâmetro]],ESF[idPilar],ESF[[#This Row],[idPilar]]))/'DADOS CAP. CARGA'!$D$2)</f>
        <v>866.01928487019632</v>
      </c>
      <c r="Q154" s="12">
        <f>INDEX(C_alpha_beta[],MATCH(ESF[[#This Row],[Solo]],C_alpha_beta[Solo],0),MATCH(ESF[[#Headers],[C (kPa)]],C_alpha_beta[#Headers],0))</f>
        <v>400</v>
      </c>
      <c r="R154" s="4">
        <f>INDEX(C_alpha_beta[],MATCH(ESF[[#This Row],[Solo]],C_alpha_beta[Solo],0),MATCH(ESF[[#Headers],[α ESF]],C_alpha_beta[#Headers],0))</f>
        <v>0.5</v>
      </c>
      <c r="S154" s="4">
        <f>INDEX(C_alpha_beta[],MATCH(ESF[[#This Row],[Solo]],C_alpha_beta[Solo],0),MATCH(ESF[[#Headers],[β ESF]],C_alpha_beta[#Headers],0))</f>
        <v>0.5</v>
      </c>
      <c r="T154" s="4">
        <f>IF(ESF[[#This Row],[Prof. (m)]]=0,0,10*(ESF[[#This Row],[NSPT]]/3+1))</f>
        <v>96.666666666666657</v>
      </c>
      <c r="U154" s="4">
        <f>(ESF[[#This Row],[α ESF]]*ESF[[#This Row],[C (kPa)]]*ESF[[#This Row],[NSPT]]*ESF[[#This Row],[Ap (m²)]])/'DADOS CAP. CARGA'!$Q$2+(ESF[[#This Row],[β ESF]]*SUMIFS(ESF[10∙(NL/3+1)],ESF[Prof. (m)],"&lt;="&amp;ESF[[#This Row],[Prof. (m)]],ESF[idDiâmetro],ESF[[#This Row],[idDiâmetro]],ESF[idPilar],ESF[[#This Row],[idPilar]])*ESF[[#This Row],[U (m)]])/'DADOS CAP. CARGA'!$S$2</f>
        <v>418.87902047863906</v>
      </c>
      <c r="V154" s="4">
        <f>IF(SPT!$M$5=1,MIN(ESF[[#This Row],[Pe ESF (kN)]],ESF[[#This Row],[R_AV (kN)]]),IF(SPT!$M$5=2,MIN(ESF[[#This Row],[Pe ESF (kN)]],ESF[[#This Row],[R_DC (kN)]]),MIN(ESF[[#This Row],[Pe ESF (kN)]],ESF[[#This Row],[R_AV (kN)]],ESF[[#This Row],[R_DC (kN)]])))</f>
        <v>418.87902047863906</v>
      </c>
      <c r="W154" s="4">
        <f>INDEX(PILARES[],ESF[[#This Row],[idPilar]],MATCH("Carga (kN)",PILARES[#Headers],0))*1.4</f>
        <v>3500</v>
      </c>
      <c r="X154" s="12">
        <f>INDEX(PILARES[],ESF[[#This Row],[idPilar]],MATCH(ESF[[#Headers],[ap (cm)]],PILARES[#Headers],0))</f>
        <v>60</v>
      </c>
      <c r="Y154" s="12">
        <f>INDEX(PILARES[],ESF[[#This Row],[idPilar]],MATCH(ESF[[#Headers],[bp (cm)]],PILARES[#Headers],0))</f>
        <v>60</v>
      </c>
      <c r="Z154" s="4">
        <f>SQRT(ESF[[#This Row],[ap (cm)]]*ESF[[#This Row],[bp (cm)]])</f>
        <v>60</v>
      </c>
      <c r="AA154" s="12">
        <f>ESF[[#This Row],[ap (cm)]]*ESF[[#This Row],[bp (cm)]]</f>
        <v>3600</v>
      </c>
      <c r="AB154" s="12">
        <f ca="1">IF(ESF[[#This Row],[Padm∙ε (kN)]]&gt;=ESF[[#This Row],[Padm (kN)]],ROUNDUP(1.05*ESF[[#This Row],[Nsd (kN)]]/ESF[[#This Row],[Padm (kN)]],0),ROUNDUP(1.05*ESF[[#This Row],[Nsd (kN)]]/ESF[[#This Row],[Padm (kN)]],0)+1)</f>
        <v>9</v>
      </c>
      <c r="AC154" s="4" t="str">
        <f ca="1">IFERROR(IF(ESF[[#This Row],[nE]]=1,ESF[[#This Row],[Padm (kN)]],ESF[[#This Row],[Padm (kN)]]*ESF[[#This Row],[nE]]*INDEX(grupoEstacas[],ESF[[#This Row],[nE]],MATCH("ε",grupoEstacas[#Headers],0))),"N.S.")</f>
        <v>N.S.</v>
      </c>
      <c r="AD154" s="4">
        <f ca="1">1.05*ESF[[#This Row],[Nsd (kN)]]/(ESF[[#This Row],[nE]]*PI()*ESF[[#This Row],[Ø (cm)]]^2/4)*10</f>
        <v>2.0796245897340988</v>
      </c>
      <c r="AE154" s="4">
        <f ca="1">IF(ESF[[#This Row],[σ (MPa)]]&lt;INDEX(tipoEstaca[],MATCH($D$2,tipoEstaca[TIPO DE ESTACA],0),MATCH("σmáx (MPa)",tipoEstaca[#Headers],0)),0.4%*PI()*ESF[[#This Row],[Ø (cm)]]^2/4,"N.S.")</f>
        <v>7.8539816339744837</v>
      </c>
      <c r="AF154" s="82">
        <f>INDEX(tipoEstaca[],MATCH($D$2,tipoEstaca[TIPO DE ESTACA],0),MATCH(ESF[[#Headers],[Comprimento (m)]],tipoEstaca[#Headers],0))</f>
        <v>2</v>
      </c>
      <c r="AG154" s="5">
        <f ca="1">ESF[[#This Row],[As,mín (cm²)]]/100^2*ESF[[#This Row],[Comprimento (m)]]*7850</f>
        <v>12.330751165339938</v>
      </c>
      <c r="AH154" s="4">
        <f ca="1">ESF[[#This Row],[nE]]*ESF[[#This Row],[Prof. (m)]]*ESF[[#This Row],[Ap (m²)]]</f>
        <v>15.904312808798327</v>
      </c>
      <c r="AI154" s="82">
        <f ca="1">IF(ESF[[#This Row],[nE]]=1,0,MAX(3*ESF[[#This Row],[Ø (cm)]],60))</f>
        <v>150</v>
      </c>
      <c r="AJ154" s="82">
        <f ca="1">IF(ESF[[#This Row],[nE]]=1,ESF[[#This Row],[Ø (cm)]]+2*10,MAX(1.5*ESF[[#This Row],[Ø (cm)]],ESF[[#This Row],[Ø (cm)]]+15))</f>
        <v>75</v>
      </c>
      <c r="AK154" s="82" t="str">
        <f ca="1">alturaUtil(ESF[[#This Row],[nE]],ESF[[#This Row],[Ø (cm)]],ESF[[#This Row],[e (cm)]],ESF[[#This Row],[ap,eq (cm)]])</f>
        <v>N.S.</v>
      </c>
      <c r="AL154" s="82" t="str">
        <f ca="1">IFERROR(ESF[[#This Row],[d (cm)]]+arredondarParaCimaMultiplo5cm(MAX(5,SQRT(PI())/2*ESF[[#This Row],[Ø (cm)]]/5)),"N.S.")</f>
        <v>N.S.</v>
      </c>
      <c r="AM154" s="5" t="str">
        <f ca="1">alpha(ESF[[#This Row],[nE]],ESF[[#This Row],[d (cm)]],ESF[[#This Row],[e (cm)]],ESF[[#This Row],[ap,eq (cm)]])</f>
        <v>N.S.</v>
      </c>
      <c r="AN154" s="35" t="str">
        <f ca="1">IFERROR(ESF[[#This Row],[Nsd (kN)]]/(ESF[[#This Row],[Ap (cm²)]]*SIN(ESF[[#This Row],[α]])^2),"N.S.")</f>
        <v>N.S.</v>
      </c>
      <c r="AO154" s="35" t="str">
        <f ca="1">IFERROR(ESF[[#This Row],[Nsd (kN)]]/(ESF[[#This Row],[nE]]*PI()*ESF[[#This Row],[Ø (cm)]]^2/4*SIN(ESF[[#This Row],[α]])^2),"N.S.")</f>
        <v>N.S.</v>
      </c>
      <c r="AP154" s="4" t="str">
        <f ca="1">IFERROR(INDEX(grupoEstacas[],ESF[[#This Row],[nE]],MATCH("coef. Blévot",grupoEstacas[#Headers],0)),"N.S.")</f>
        <v>N.S.</v>
      </c>
      <c r="AQ154" s="35" t="str">
        <f ca="1">IFERROR(ESF[[#This Row],[coef. Blévot]]*0.9*INDEX(tipoEstaca[],MATCH($D$2,tipoEstaca[TIPO DE ESTACA],0),MATCH("fcd (kN/cm²)",tipoEstaca[#Headers],0)),"N.S.")</f>
        <v>N.S.</v>
      </c>
      <c r="AR154" s="82" t="str">
        <f ca="1">IF(AND(ESF[[#This Row],[cd,b,pil (kN/cm²)]]&lt;=ESF[[#This Row],[cd,b,lim (kN/cm²)]],ESF[[#This Row],[cd,b,est (kN/cm²)]]&lt;=ESF[[#This Row],[cd,b,lim (kN/cm²)]]),"OK","ERRO")</f>
        <v>OK</v>
      </c>
      <c r="AS154" s="4" t="str">
        <f ca="1">As_lado(ESF[[#This Row],[nE]],ESF[[#This Row],[Nsd (kN)]],ESF[[#This Row],[d (cm)]],ESF[[#This Row],[e (cm)]],ESF[[#This Row],[ap,eq (cm)]])</f>
        <v>N.S.</v>
      </c>
      <c r="AT154" s="4" t="str">
        <f ca="1">IF(ESF[[#This Row],[nE]]=1,ESF[[#This Row],[As,lado (cm²)]],IF(ESF[[#This Row],[nE]]=2,0.075*2*ESF[a (cm)],"N.A."))</f>
        <v>N.A.</v>
      </c>
      <c r="AU154" s="4" t="str">
        <f ca="1">IFERROR(IF(ESF[[#This Row],[nE]]=1,"N.A.",0.2*ESF[[#This Row],[As,lado (cm²)]]),"N.S.")</f>
        <v>N.S.</v>
      </c>
      <c r="AV154" s="4" t="str">
        <f ca="1">As_malha(ESF[[#This Row],[nE]],ESF[[#This Row],[As,lado (cm²)]],ESF[[#This Row],[Nsd (kN)]])</f>
        <v>N.S.</v>
      </c>
      <c r="AW154" s="4" t="str">
        <f ca="1">As_susp_tot(ESF[[#This Row],[nE]],ESF[[#This Row],[Nsd (kN)]])</f>
        <v>N.S.</v>
      </c>
      <c r="AX154" s="4" t="str">
        <f ca="1">Asp_face(ESF[[#This Row],[nE]],ESF[[#This Row],[As,lado (cm²)]])</f>
        <v>N.S.</v>
      </c>
      <c r="AY154" s="5" t="str">
        <f ca="1">acoBloco(ESF[[#This Row],[nE]],ESF[[#This Row],[e (cm)]],ESF[[#This Row],[a (cm)]],ESF[[#This Row],[h (cm)]],ESF[[#This Row],[As,lado (cm²)]],ESF[[#This Row],[Asp e Asw (cm²/m)]],ESF[[#This Row],[As,sup (cm²)]],ESF[[#This Row],[As,malha (cm²)]],ESF[[#This Row],[As,susp,tot (cm²)]],ESF[[#This Row],[Asp,face (cm²)]])</f>
        <v>N.S.</v>
      </c>
      <c r="AZ154" s="4" t="str">
        <f ca="1">concretoBloco(ESF[[#This Row],[nE]],ESF[[#This Row],[e (cm)]],ESF[[#This Row],[a (cm)]],ESF[[#This Row],[h (cm)]])</f>
        <v>N.S.</v>
      </c>
      <c r="BA154" s="5">
        <f ca="1">SUM(ESF[[#This Row],[Aço Est (kg)]],ESF[[#This Row],[Aço Bloco (kg)]])</f>
        <v>12.330751165339938</v>
      </c>
      <c r="BB154" s="4">
        <f>INDEX(composicoes[],MATCH(95580,composicoes[CÓDIGO],0),MATCH("CUSTO TOTAL",composicoes[#Headers],0))</f>
        <v>10.46</v>
      </c>
      <c r="BC154" s="4">
        <f ca="1">SUM(ESF[[#This Row],[Conc Est (m³)]],ESF[[#This Row],[Conc Bloco (m³)]])</f>
        <v>15.904312808798327</v>
      </c>
      <c r="BD154" s="4">
        <f>INDEX(composicoes[],MATCH(94966,composicoes[CÓDIGO],0),MATCH("CUSTO TOTAL",composicoes[#Headers],0))</f>
        <v>439.52</v>
      </c>
      <c r="BE154" s="38">
        <f ca="1">ESF[[#This Row],[Aço (kg)]]*ESF[[#This Row],[Aço (R$/kg)]]+ESF[[#This Row],[Conc (m³)]]*ESF[[#This Row],[Conc (R$/m³)]]</f>
        <v>7119.2432229124961</v>
      </c>
      <c r="BF154" s="4" t="str">
        <f ca="1">IF(COUNTIF(ESF[#This Row],"N.S.")&gt;0,"lim.","OK")</f>
        <v>lim.</v>
      </c>
      <c r="BG154" s="4" t="str">
        <f>IF(ESF[[#This Row],[Prof. (m)]]&lt;3,"lim.","OK")</f>
        <v>OK</v>
      </c>
      <c r="BH154" s="4" t="str">
        <f>IF(ESF[[#This Row],[Prof. (m)]]&gt;=8*ESF[[#This Row],[Ø (cm)]]/100,"OK","lim.")</f>
        <v>OK</v>
      </c>
      <c r="BI154" s="4" t="str">
        <f>IF(AND(SPT!$F$3&lt;&gt;"",ESF[[#This Row],[Prof. (m)]]&gt;=SPT!$F$3),"lim.","OK")</f>
        <v>OK</v>
      </c>
      <c r="BJ154" s="4" t="str">
        <f>IF(COUNTIFS(ESF[Solo],"Areia",ESF[Prof. (m)],"&lt;="&amp;ESF[[#This Row],[Prof. (m)]])&gt;=1,"lim.","OK")</f>
        <v>OK</v>
      </c>
      <c r="BK154" s="4" t="str">
        <f ca="1">IF(ESF[[#This Row],[Verif. Biela]]="OK","OK","lim.")</f>
        <v>OK</v>
      </c>
      <c r="BL154" s="4" t="str">
        <f ca="1">IF(COUNTA(ESF[[#This Row],[Nº Est.]:[Biela comp.]])=COUNTIF(ESF[[#This Row],[Nº Est.]:[Biela comp.]],"OK"),"OK","lim.")</f>
        <v>lim.</v>
      </c>
      <c r="BM154" s="4" t="str">
        <f ca="1">IF(ESF[[#This Row],[Controle]]="OK",ESF[[#This Row],[nE]]&amp;" Ø"&amp;ESF[[#This Row],[Ø (cm)]]&amp;"cm Prof. "&amp;ESF[[#This Row],[Prof. (m)]]&amp;" m","")</f>
        <v/>
      </c>
      <c r="BN154" s="4" t="str">
        <f ca="1">IF(ESF[[#This Row],[idDimensionamento]]="","",ESF[[#This Row],[idPilar]]&amp;ESF[[#This Row],[idDimensionamento]])</f>
        <v/>
      </c>
    </row>
    <row r="155" spans="2:66" x14ac:dyDescent="0.25">
      <c r="B155" s="12">
        <f>ROUNDUP((ROW(ESF[[#This Row],[idDiâmetro]])-ROW(ESF[[#Headers],[idDiâmetro]]))/(COUNT(SPT[Prof. (m)])*COUNT(PILARES[Pilar])),0)</f>
        <v>6</v>
      </c>
      <c r="C155" s="12">
        <f>IF(ESF[[#This Row],[idDiâmetro]]&lt;&gt;B154,1,IF(ESF[[#This Row],[Prof. (m)]]=0,C154+1,C154))</f>
        <v>1</v>
      </c>
      <c r="D155" s="82">
        <f>IFERROR(IF(D154=MAX(SPT[Prof. (m)]),0,D154+1),0)</f>
        <v>10</v>
      </c>
      <c r="E155" s="82">
        <f>INDEX(SPT[],MATCH(ESF[[#This Row],[Prof. (m)]],SPT[Prof. (m)],0),2)</f>
        <v>32</v>
      </c>
      <c r="F155" s="82" t="str">
        <f>INDEX(SPT[],MATCH(ESF[[#This Row],[Prof. (m)]],SPT[Prof. (m)],0),3)</f>
        <v>Areia siltosa</v>
      </c>
      <c r="G155" s="82">
        <f>INDEX(estacas[],ESF[[#This Row],[idDiâmetro]],MATCH($B$2,estacas[#Headers],0))</f>
        <v>50</v>
      </c>
      <c r="H155" s="82">
        <f>INDEX(estacas[],MATCH(ESF[[#This Row],[Ø (cm)]],estacas[Ø ESF (cm)],0),MATCH(ESF[[#Headers],[Pe ESF (kN)]],estacas[#Headers],0))</f>
        <v>1000</v>
      </c>
      <c r="I155" s="4">
        <f>INDEX(K_alpha_C[],MATCH(ESF[[#This Row],[Solo]],K_alpha_C[Solo],0),2)</f>
        <v>0.8</v>
      </c>
      <c r="J155" s="5">
        <f>INDEX(K_alpha_C[],MATCH(ESF[[#This Row],[Solo]],K_alpha_C[Solo],0),3)</f>
        <v>2</v>
      </c>
      <c r="K155" s="4">
        <f>INDEX(F1_F2[],MATCH($D$2,F1_F2[Tipo de estaca],0),2)</f>
        <v>3</v>
      </c>
      <c r="L155" s="4">
        <f>INDEX(F1_F2[],MATCH($D$2,F1_F2[Tipo de estaca],0),3)</f>
        <v>6</v>
      </c>
      <c r="M155" s="4">
        <f>PI()*(ESF[[#This Row],[Ø (cm)]]/100)^2/4</f>
        <v>0.19634954084936207</v>
      </c>
      <c r="N155" s="4">
        <f>PI()*ESF[[#This Row],[Ø (cm)]]/100</f>
        <v>1.5707963267948966</v>
      </c>
      <c r="O155" s="4">
        <f>IF(ESF[[#This Row],[Prof. (m)]]=0,0,ESF[[#This Row],[α (%)]]/100*ESF[[#This Row],[K (MPa)]]*1000*ESF[[#This Row],[NSPT]])</f>
        <v>512</v>
      </c>
      <c r="P155" s="4">
        <f>IF(ESF[[#This Row],[Prof. (m)]]=0,0,(ESF[[#This Row],[K (MPa)]]*1000*ESF[[#This Row],[NSPT]]/ESF[[#This Row],[F1]]*ESF[[#This Row],[Ap (m²)]]+ESF[[#This Row],[U (m)]]/ESF[[#This Row],[F2]]*SUMIFS(ESF[(α∙K∙NL∙ΔL)],ESF[Prof. (m)],"&lt;="&amp;ESF[[#This Row],[Prof. (m)]],ESF[idDiâmetro],ESF[[#This Row],[idDiâmetro]],ESF[idPilar],ESF[[#This Row],[idPilar]]))/'DADOS CAP. CARGA'!$D$2)</f>
        <v>1090.1195608262683</v>
      </c>
      <c r="Q155" s="12">
        <f>INDEX(C_alpha_beta[],MATCH(ESF[[#This Row],[Solo]],C_alpha_beta[Solo],0),MATCH(ESF[[#Headers],[C (kPa)]],C_alpha_beta[#Headers],0))</f>
        <v>400</v>
      </c>
      <c r="R155" s="4">
        <f>INDEX(C_alpha_beta[],MATCH(ESF[[#This Row],[Solo]],C_alpha_beta[Solo],0),MATCH(ESF[[#Headers],[α ESF]],C_alpha_beta[#Headers],0))</f>
        <v>0.5</v>
      </c>
      <c r="S155" s="4">
        <f>INDEX(C_alpha_beta[],MATCH(ESF[[#This Row],[Solo]],C_alpha_beta[Solo],0),MATCH(ESF[[#Headers],[β ESF]],C_alpha_beta[#Headers],0))</f>
        <v>0.5</v>
      </c>
      <c r="T155" s="4">
        <f>IF(ESF[[#This Row],[Prof. (m)]]=0,0,10*(ESF[[#This Row],[NSPT]]/3+1))</f>
        <v>116.66666666666666</v>
      </c>
      <c r="U155" s="4">
        <f>(ESF[[#This Row],[α ESF]]*ESF[[#This Row],[C (kPa)]]*ESF[[#This Row],[NSPT]]*ESF[[#This Row],[Ap (m²)]])/'DADOS CAP. CARGA'!$Q$2+(ESF[[#This Row],[β ESF]]*SUMIFS(ESF[10∙(NL/3+1)],ESF[Prof. (m)],"&lt;="&amp;ESF[[#This Row],[Prof. (m)]],ESF[idDiâmetro],ESF[[#This Row],[idDiâmetro]],ESF[idPilar],ESF[[#This Row],[idPilar]])*ESF[[#This Row],[U (m)]])/'DADOS CAP. CARGA'!$S$2</f>
        <v>523.59877559829886</v>
      </c>
      <c r="V155" s="4">
        <f>IF(SPT!$M$5=1,MIN(ESF[[#This Row],[Pe ESF (kN)]],ESF[[#This Row],[R_AV (kN)]]),IF(SPT!$M$5=2,MIN(ESF[[#This Row],[Pe ESF (kN)]],ESF[[#This Row],[R_DC (kN)]]),MIN(ESF[[#This Row],[Pe ESF (kN)]],ESF[[#This Row],[R_AV (kN)]],ESF[[#This Row],[R_DC (kN)]])))</f>
        <v>523.59877559829886</v>
      </c>
      <c r="W155" s="4">
        <f>INDEX(PILARES[],ESF[[#This Row],[idPilar]],MATCH("Carga (kN)",PILARES[#Headers],0))*1.4</f>
        <v>3500</v>
      </c>
      <c r="X155" s="12">
        <f>INDEX(PILARES[],ESF[[#This Row],[idPilar]],MATCH(ESF[[#Headers],[ap (cm)]],PILARES[#Headers],0))</f>
        <v>60</v>
      </c>
      <c r="Y155" s="12">
        <f>INDEX(PILARES[],ESF[[#This Row],[idPilar]],MATCH(ESF[[#Headers],[bp (cm)]],PILARES[#Headers],0))</f>
        <v>60</v>
      </c>
      <c r="Z155" s="4">
        <f>SQRT(ESF[[#This Row],[ap (cm)]]*ESF[[#This Row],[bp (cm)]])</f>
        <v>60</v>
      </c>
      <c r="AA155" s="12">
        <f>ESF[[#This Row],[ap (cm)]]*ESF[[#This Row],[bp (cm)]]</f>
        <v>3600</v>
      </c>
      <c r="AB155" s="12">
        <f ca="1">IF(ESF[[#This Row],[Padm∙ε (kN)]]&gt;=ESF[[#This Row],[Padm (kN)]],ROUNDUP(1.05*ESF[[#This Row],[Nsd (kN)]]/ESF[[#This Row],[Padm (kN)]],0),ROUNDUP(1.05*ESF[[#This Row],[Nsd (kN)]]/ESF[[#This Row],[Padm (kN)]],0)+1)</f>
        <v>8</v>
      </c>
      <c r="AC155" s="4" t="str">
        <f ca="1">IFERROR(IF(ESF[[#This Row],[nE]]=1,ESF[[#This Row],[Padm (kN)]],ESF[[#This Row],[Padm (kN)]]*ESF[[#This Row],[nE]]*INDEX(grupoEstacas[],ESF[[#This Row],[nE]],MATCH("ε",grupoEstacas[#Headers],0))),"N.S.")</f>
        <v>N.S.</v>
      </c>
      <c r="AD155" s="4">
        <f ca="1">1.05*ESF[[#This Row],[Nsd (kN)]]/(ESF[[#This Row],[nE]]*PI()*ESF[[#This Row],[Ø (cm)]]^2/4)*10</f>
        <v>2.3395776634508616</v>
      </c>
      <c r="AE155" s="4">
        <f ca="1">IF(ESF[[#This Row],[σ (MPa)]]&lt;INDEX(tipoEstaca[],MATCH($D$2,tipoEstaca[TIPO DE ESTACA],0),MATCH("σmáx (MPa)",tipoEstaca[#Headers],0)),0.4%*PI()*ESF[[#This Row],[Ø (cm)]]^2/4,"N.S.")</f>
        <v>7.8539816339744837</v>
      </c>
      <c r="AF155" s="82">
        <f>INDEX(tipoEstaca[],MATCH($D$2,tipoEstaca[TIPO DE ESTACA],0),MATCH(ESF[[#Headers],[Comprimento (m)]],tipoEstaca[#Headers],0))</f>
        <v>2</v>
      </c>
      <c r="AG155" s="5">
        <f ca="1">ESF[[#This Row],[As,mín (cm²)]]/100^2*ESF[[#This Row],[Comprimento (m)]]*7850</f>
        <v>12.330751165339938</v>
      </c>
      <c r="AH155" s="4">
        <f ca="1">ESF[[#This Row],[nE]]*ESF[[#This Row],[Prof. (m)]]*ESF[[#This Row],[Ap (m²)]]</f>
        <v>15.707963267948966</v>
      </c>
      <c r="AI155" s="82">
        <f ca="1">IF(ESF[[#This Row],[nE]]=1,0,MAX(3*ESF[[#This Row],[Ø (cm)]],60))</f>
        <v>150</v>
      </c>
      <c r="AJ155" s="82">
        <f ca="1">IF(ESF[[#This Row],[nE]]=1,ESF[[#This Row],[Ø (cm)]]+2*10,MAX(1.5*ESF[[#This Row],[Ø (cm)]],ESF[[#This Row],[Ø (cm)]]+15))</f>
        <v>75</v>
      </c>
      <c r="AK155" s="82" t="str">
        <f ca="1">alturaUtil(ESF[[#This Row],[nE]],ESF[[#This Row],[Ø (cm)]],ESF[[#This Row],[e (cm)]],ESF[[#This Row],[ap,eq (cm)]])</f>
        <v>N.S.</v>
      </c>
      <c r="AL155" s="82" t="str">
        <f ca="1">IFERROR(ESF[[#This Row],[d (cm)]]+arredondarParaCimaMultiplo5cm(MAX(5,SQRT(PI())/2*ESF[[#This Row],[Ø (cm)]]/5)),"N.S.")</f>
        <v>N.S.</v>
      </c>
      <c r="AM155" s="5" t="str">
        <f ca="1">alpha(ESF[[#This Row],[nE]],ESF[[#This Row],[d (cm)]],ESF[[#This Row],[e (cm)]],ESF[[#This Row],[ap,eq (cm)]])</f>
        <v>N.S.</v>
      </c>
      <c r="AN155" s="35" t="str">
        <f ca="1">IFERROR(ESF[[#This Row],[Nsd (kN)]]/(ESF[[#This Row],[Ap (cm²)]]*SIN(ESF[[#This Row],[α]])^2),"N.S.")</f>
        <v>N.S.</v>
      </c>
      <c r="AO155" s="35" t="str">
        <f ca="1">IFERROR(ESF[[#This Row],[Nsd (kN)]]/(ESF[[#This Row],[nE]]*PI()*ESF[[#This Row],[Ø (cm)]]^2/4*SIN(ESF[[#This Row],[α]])^2),"N.S.")</f>
        <v>N.S.</v>
      </c>
      <c r="AP155" s="4" t="str">
        <f ca="1">IFERROR(INDEX(grupoEstacas[],ESF[[#This Row],[nE]],MATCH("coef. Blévot",grupoEstacas[#Headers],0)),"N.S.")</f>
        <v>N.S.</v>
      </c>
      <c r="AQ155" s="35" t="str">
        <f ca="1">IFERROR(ESF[[#This Row],[coef. Blévot]]*0.9*INDEX(tipoEstaca[],MATCH($D$2,tipoEstaca[TIPO DE ESTACA],0),MATCH("fcd (kN/cm²)",tipoEstaca[#Headers],0)),"N.S.")</f>
        <v>N.S.</v>
      </c>
      <c r="AR155" s="82" t="str">
        <f ca="1">IF(AND(ESF[[#This Row],[cd,b,pil (kN/cm²)]]&lt;=ESF[[#This Row],[cd,b,lim (kN/cm²)]],ESF[[#This Row],[cd,b,est (kN/cm²)]]&lt;=ESF[[#This Row],[cd,b,lim (kN/cm²)]]),"OK","ERRO")</f>
        <v>OK</v>
      </c>
      <c r="AS155" s="4" t="str">
        <f ca="1">As_lado(ESF[[#This Row],[nE]],ESF[[#This Row],[Nsd (kN)]],ESF[[#This Row],[d (cm)]],ESF[[#This Row],[e (cm)]],ESF[[#This Row],[ap,eq (cm)]])</f>
        <v>N.S.</v>
      </c>
      <c r="AT155" s="4" t="str">
        <f ca="1">IF(ESF[[#This Row],[nE]]=1,ESF[[#This Row],[As,lado (cm²)]],IF(ESF[[#This Row],[nE]]=2,0.075*2*ESF[a (cm)],"N.A."))</f>
        <v>N.A.</v>
      </c>
      <c r="AU155" s="4" t="str">
        <f ca="1">IFERROR(IF(ESF[[#This Row],[nE]]=1,"N.A.",0.2*ESF[[#This Row],[As,lado (cm²)]]),"N.S.")</f>
        <v>N.S.</v>
      </c>
      <c r="AV155" s="4" t="str">
        <f ca="1">As_malha(ESF[[#This Row],[nE]],ESF[[#This Row],[As,lado (cm²)]],ESF[[#This Row],[Nsd (kN)]])</f>
        <v>N.S.</v>
      </c>
      <c r="AW155" s="4" t="str">
        <f ca="1">As_susp_tot(ESF[[#This Row],[nE]],ESF[[#This Row],[Nsd (kN)]])</f>
        <v>N.S.</v>
      </c>
      <c r="AX155" s="4" t="str">
        <f ca="1">Asp_face(ESF[[#This Row],[nE]],ESF[[#This Row],[As,lado (cm²)]])</f>
        <v>N.S.</v>
      </c>
      <c r="AY155" s="5" t="str">
        <f ca="1">acoBloco(ESF[[#This Row],[nE]],ESF[[#This Row],[e (cm)]],ESF[[#This Row],[a (cm)]],ESF[[#This Row],[h (cm)]],ESF[[#This Row],[As,lado (cm²)]],ESF[[#This Row],[Asp e Asw (cm²/m)]],ESF[[#This Row],[As,sup (cm²)]],ESF[[#This Row],[As,malha (cm²)]],ESF[[#This Row],[As,susp,tot (cm²)]],ESF[[#This Row],[Asp,face (cm²)]])</f>
        <v>N.S.</v>
      </c>
      <c r="AZ155" s="4" t="str">
        <f ca="1">concretoBloco(ESF[[#This Row],[nE]],ESF[[#This Row],[e (cm)]],ESF[[#This Row],[a (cm)]],ESF[[#This Row],[h (cm)]])</f>
        <v>N.S.</v>
      </c>
      <c r="BA155" s="5">
        <f ca="1">SUM(ESF[[#This Row],[Aço Est (kg)]],ESF[[#This Row],[Aço Bloco (kg)]])</f>
        <v>12.330751165339938</v>
      </c>
      <c r="BB155" s="4">
        <f>INDEX(composicoes[],MATCH(95580,composicoes[CÓDIGO],0),MATCH("CUSTO TOTAL",composicoes[#Headers],0))</f>
        <v>10.46</v>
      </c>
      <c r="BC155" s="4">
        <f ca="1">SUM(ESF[[#This Row],[Conc Est (m³)]],ESF[[#This Row],[Conc Bloco (m³)]])</f>
        <v>15.707963267948966</v>
      </c>
      <c r="BD155" s="4">
        <f>INDEX(composicoes[],MATCH(94966,composicoes[CÓDIGO],0),MATCH("CUSTO TOTAL",composicoes[#Headers],0))</f>
        <v>439.52</v>
      </c>
      <c r="BE155" s="38">
        <f ca="1">ESF[[#This Row],[Aço (kg)]]*ESF[[#This Row],[Aço (R$/kg)]]+ESF[[#This Row],[Conc (m³)]]*ESF[[#This Row],[Conc (R$/m³)]]</f>
        <v>7032.9436727183847</v>
      </c>
      <c r="BF155" s="4" t="str">
        <f ca="1">IF(COUNTIF(ESF[#This Row],"N.S.")&gt;0,"lim.","OK")</f>
        <v>lim.</v>
      </c>
      <c r="BG155" s="4" t="str">
        <f>IF(ESF[[#This Row],[Prof. (m)]]&lt;3,"lim.","OK")</f>
        <v>OK</v>
      </c>
      <c r="BH155" s="4" t="str">
        <f>IF(ESF[[#This Row],[Prof. (m)]]&gt;=8*ESF[[#This Row],[Ø (cm)]]/100,"OK","lim.")</f>
        <v>OK</v>
      </c>
      <c r="BI155" s="4" t="str">
        <f>IF(AND(SPT!$F$3&lt;&gt;"",ESF[[#This Row],[Prof. (m)]]&gt;=SPT!$F$3),"lim.","OK")</f>
        <v>OK</v>
      </c>
      <c r="BJ155" s="4" t="str">
        <f>IF(COUNTIFS(ESF[Solo],"Areia",ESF[Prof. (m)],"&lt;="&amp;ESF[[#This Row],[Prof. (m)]])&gt;=1,"lim.","OK")</f>
        <v>OK</v>
      </c>
      <c r="BK155" s="4" t="str">
        <f ca="1">IF(ESF[[#This Row],[Verif. Biela]]="OK","OK","lim.")</f>
        <v>OK</v>
      </c>
      <c r="BL155" s="4" t="str">
        <f ca="1">IF(COUNTA(ESF[[#This Row],[Nº Est.]:[Biela comp.]])=COUNTIF(ESF[[#This Row],[Nº Est.]:[Biela comp.]],"OK"),"OK","lim.")</f>
        <v>lim.</v>
      </c>
      <c r="BM155" s="4" t="str">
        <f ca="1">IF(ESF[[#This Row],[Controle]]="OK",ESF[[#This Row],[nE]]&amp;" Ø"&amp;ESF[[#This Row],[Ø (cm)]]&amp;"cm Prof. "&amp;ESF[[#This Row],[Prof. (m)]]&amp;" m","")</f>
        <v/>
      </c>
      <c r="BN155" s="4" t="str">
        <f ca="1">IF(ESF[[#This Row],[idDimensionamento]]="","",ESF[[#This Row],[idPilar]]&amp;ESF[[#This Row],[idDimensionamento]])</f>
        <v/>
      </c>
    </row>
    <row r="156" spans="2:66" x14ac:dyDescent="0.25">
      <c r="B156" s="12">
        <f>ROUNDUP((ROW(ESF[[#This Row],[idDiâmetro]])-ROW(ESF[[#Headers],[idDiâmetro]]))/(COUNT(SPT[Prof. (m)])*COUNT(PILARES[Pilar])),0)</f>
        <v>6</v>
      </c>
      <c r="C156" s="12">
        <f>IF(ESF[[#This Row],[idDiâmetro]]&lt;&gt;B155,1,IF(ESF[[#This Row],[Prof. (m)]]=0,C155+1,C155))</f>
        <v>1</v>
      </c>
      <c r="D156" s="82">
        <f>IFERROR(IF(D155=MAX(SPT[Prof. (m)]),0,D155+1),0)</f>
        <v>11</v>
      </c>
      <c r="E156" s="82">
        <f>INDEX(SPT[],MATCH(ESF[[#This Row],[Prof. (m)]],SPT[Prof. (m)],0),2)</f>
        <v>41</v>
      </c>
      <c r="F156" s="82" t="str">
        <f>INDEX(SPT[],MATCH(ESF[[#This Row],[Prof. (m)]],SPT[Prof. (m)],0),3)</f>
        <v>Areia siltosa</v>
      </c>
      <c r="G156" s="82">
        <f>INDEX(estacas[],ESF[[#This Row],[idDiâmetro]],MATCH($B$2,estacas[#Headers],0))</f>
        <v>50</v>
      </c>
      <c r="H156" s="82">
        <f>INDEX(estacas[],MATCH(ESF[[#This Row],[Ø (cm)]],estacas[Ø ESF (cm)],0),MATCH(ESF[[#Headers],[Pe ESF (kN)]],estacas[#Headers],0))</f>
        <v>1000</v>
      </c>
      <c r="I156" s="4">
        <f>INDEX(K_alpha_C[],MATCH(ESF[[#This Row],[Solo]],K_alpha_C[Solo],0),2)</f>
        <v>0.8</v>
      </c>
      <c r="J156" s="5">
        <f>INDEX(K_alpha_C[],MATCH(ESF[[#This Row],[Solo]],K_alpha_C[Solo],0),3)</f>
        <v>2</v>
      </c>
      <c r="K156" s="4">
        <f>INDEX(F1_F2[],MATCH($D$2,F1_F2[Tipo de estaca],0),2)</f>
        <v>3</v>
      </c>
      <c r="L156" s="4">
        <f>INDEX(F1_F2[],MATCH($D$2,F1_F2[Tipo de estaca],0),3)</f>
        <v>6</v>
      </c>
      <c r="M156" s="4">
        <f>PI()*(ESF[[#This Row],[Ø (cm)]]/100)^2/4</f>
        <v>0.19634954084936207</v>
      </c>
      <c r="N156" s="4">
        <f>PI()*ESF[[#This Row],[Ø (cm)]]/100</f>
        <v>1.5707963267948966</v>
      </c>
      <c r="O156" s="4">
        <f>IF(ESF[[#This Row],[Prof. (m)]]=0,0,ESF[[#This Row],[α (%)]]/100*ESF[[#This Row],[K (MPa)]]*1000*ESF[[#This Row],[NSPT]])</f>
        <v>656</v>
      </c>
      <c r="P156" s="4">
        <f>IF(ESF[[#This Row],[Prof. (m)]]=0,0,(ESF[[#This Row],[K (MPa)]]*1000*ESF[[#This Row],[NSPT]]/ESF[[#This Row],[F1]]*ESF[[#This Row],[Ap (m²)]]+ESF[[#This Row],[U (m)]]/ESF[[#This Row],[F2]]*SUMIFS(ESF[(α∙K∙NL∙ΔL)],ESF[Prof. (m)],"&lt;="&amp;ESF[[#This Row],[Prof. (m)]],ESF[idDiâmetro],ESF[[#This Row],[idDiâmetro]],ESF[idPilar],ESF[[#This Row],[idPilar]]))/'DADOS CAP. CARGA'!$D$2)</f>
        <v>1411.6092090436237</v>
      </c>
      <c r="Q156" s="12">
        <f>INDEX(C_alpha_beta[],MATCH(ESF[[#This Row],[Solo]],C_alpha_beta[Solo],0),MATCH(ESF[[#Headers],[C (kPa)]],C_alpha_beta[#Headers],0))</f>
        <v>400</v>
      </c>
      <c r="R156" s="4">
        <f>INDEX(C_alpha_beta[],MATCH(ESF[[#This Row],[Solo]],C_alpha_beta[Solo],0),MATCH(ESF[[#Headers],[α ESF]],C_alpha_beta[#Headers],0))</f>
        <v>0.5</v>
      </c>
      <c r="S156" s="4">
        <f>INDEX(C_alpha_beta[],MATCH(ESF[[#This Row],[Solo]],C_alpha_beta[Solo],0),MATCH(ESF[[#Headers],[β ESF]],C_alpha_beta[#Headers],0))</f>
        <v>0.5</v>
      </c>
      <c r="T156" s="4">
        <f>IF(ESF[[#This Row],[Prof. (m)]]=0,0,10*(ESF[[#This Row],[NSPT]]/3+1))</f>
        <v>146.66666666666666</v>
      </c>
      <c r="U156" s="4">
        <f>(ESF[[#This Row],[α ESF]]*ESF[[#This Row],[C (kPa)]]*ESF[[#This Row],[NSPT]]*ESF[[#This Row],[Ap (m²)]])/'DADOS CAP. CARGA'!$Q$2+(ESF[[#This Row],[β ESF]]*SUMIFS(ESF[10∙(NL/3+1)],ESF[Prof. (m)],"&lt;="&amp;ESF[[#This Row],[Prof. (m)]],ESF[idDiâmetro],ESF[[#This Row],[idDiâmetro]],ESF[idPilar],ESF[[#This Row],[idPilar]])*ESF[[#This Row],[U (m)]])/'DADOS CAP. CARGA'!$S$2</f>
        <v>669.55193429632459</v>
      </c>
      <c r="V156" s="4">
        <f>IF(SPT!$M$5=1,MIN(ESF[[#This Row],[Pe ESF (kN)]],ESF[[#This Row],[R_AV (kN)]]),IF(SPT!$M$5=2,MIN(ESF[[#This Row],[Pe ESF (kN)]],ESF[[#This Row],[R_DC (kN)]]),MIN(ESF[[#This Row],[Pe ESF (kN)]],ESF[[#This Row],[R_AV (kN)]],ESF[[#This Row],[R_DC (kN)]])))</f>
        <v>669.55193429632459</v>
      </c>
      <c r="W156" s="4">
        <f>INDEX(PILARES[],ESF[[#This Row],[idPilar]],MATCH("Carga (kN)",PILARES[#Headers],0))*1.4</f>
        <v>3500</v>
      </c>
      <c r="X156" s="12">
        <f>INDEX(PILARES[],ESF[[#This Row],[idPilar]],MATCH(ESF[[#Headers],[ap (cm)]],PILARES[#Headers],0))</f>
        <v>60</v>
      </c>
      <c r="Y156" s="12">
        <f>INDEX(PILARES[],ESF[[#This Row],[idPilar]],MATCH(ESF[[#Headers],[bp (cm)]],PILARES[#Headers],0))</f>
        <v>60</v>
      </c>
      <c r="Z156" s="4">
        <f>SQRT(ESF[[#This Row],[ap (cm)]]*ESF[[#This Row],[bp (cm)]])</f>
        <v>60</v>
      </c>
      <c r="AA156" s="12">
        <f>ESF[[#This Row],[ap (cm)]]*ESF[[#This Row],[bp (cm)]]</f>
        <v>3600</v>
      </c>
      <c r="AB156" s="12">
        <f ca="1">IF(ESF[[#This Row],[Padm∙ε (kN)]]&gt;=ESF[[#This Row],[Padm (kN)]],ROUNDUP(1.05*ESF[[#This Row],[Nsd (kN)]]/ESF[[#This Row],[Padm (kN)]],0),ROUNDUP(1.05*ESF[[#This Row],[Nsd (kN)]]/ESF[[#This Row],[Padm (kN)]],0)+1)</f>
        <v>6</v>
      </c>
      <c r="AC156" s="4" t="str">
        <f ca="1">IFERROR(IF(ESF[[#This Row],[nE]]=1,ESF[[#This Row],[Padm (kN)]],ESF[[#This Row],[Padm (kN)]]*ESF[[#This Row],[nE]]*INDEX(grupoEstacas[],ESF[[#This Row],[nE]],MATCH("ε",grupoEstacas[#Headers],0))),"N.S.")</f>
        <v>N.S.</v>
      </c>
      <c r="AD156" s="4">
        <f ca="1">1.05*ESF[[#This Row],[Nsd (kN)]]/(ESF[[#This Row],[nE]]*PI()*ESF[[#This Row],[Ø (cm)]]^2/4)*10</f>
        <v>3.1194368846011491</v>
      </c>
      <c r="AE156" s="4">
        <f ca="1">IF(ESF[[#This Row],[σ (MPa)]]&lt;INDEX(tipoEstaca[],MATCH($D$2,tipoEstaca[TIPO DE ESTACA],0),MATCH("σmáx (MPa)",tipoEstaca[#Headers],0)),0.4%*PI()*ESF[[#This Row],[Ø (cm)]]^2/4,"N.S.")</f>
        <v>7.8539816339744837</v>
      </c>
      <c r="AF156" s="82">
        <f>INDEX(tipoEstaca[],MATCH($D$2,tipoEstaca[TIPO DE ESTACA],0),MATCH(ESF[[#Headers],[Comprimento (m)]],tipoEstaca[#Headers],0))</f>
        <v>2</v>
      </c>
      <c r="AG156" s="5">
        <f ca="1">ESF[[#This Row],[As,mín (cm²)]]/100^2*ESF[[#This Row],[Comprimento (m)]]*7850</f>
        <v>12.330751165339938</v>
      </c>
      <c r="AH156" s="4">
        <f ca="1">ESF[[#This Row],[nE]]*ESF[[#This Row],[Prof. (m)]]*ESF[[#This Row],[Ap (m²)]]</f>
        <v>12.959069696057897</v>
      </c>
      <c r="AI156" s="82">
        <f ca="1">IF(ESF[[#This Row],[nE]]=1,0,MAX(3*ESF[[#This Row],[Ø (cm)]],60))</f>
        <v>150</v>
      </c>
      <c r="AJ156" s="82">
        <f ca="1">IF(ESF[[#This Row],[nE]]=1,ESF[[#This Row],[Ø (cm)]]+2*10,MAX(1.5*ESF[[#This Row],[Ø (cm)]],ESF[[#This Row],[Ø (cm)]]+15))</f>
        <v>75</v>
      </c>
      <c r="AK156" s="82" t="str">
        <f ca="1">alturaUtil(ESF[[#This Row],[nE]],ESF[[#This Row],[Ø (cm)]],ESF[[#This Row],[e (cm)]],ESF[[#This Row],[ap,eq (cm)]])</f>
        <v>N.S.</v>
      </c>
      <c r="AL156" s="82" t="str">
        <f ca="1">IFERROR(ESF[[#This Row],[d (cm)]]+arredondarParaCimaMultiplo5cm(MAX(5,SQRT(PI())/2*ESF[[#This Row],[Ø (cm)]]/5)),"N.S.")</f>
        <v>N.S.</v>
      </c>
      <c r="AM156" s="5" t="str">
        <f ca="1">alpha(ESF[[#This Row],[nE]],ESF[[#This Row],[d (cm)]],ESF[[#This Row],[e (cm)]],ESF[[#This Row],[ap,eq (cm)]])</f>
        <v>N.S.</v>
      </c>
      <c r="AN156" s="35" t="str">
        <f ca="1">IFERROR(ESF[[#This Row],[Nsd (kN)]]/(ESF[[#This Row],[Ap (cm²)]]*SIN(ESF[[#This Row],[α]])^2),"N.S.")</f>
        <v>N.S.</v>
      </c>
      <c r="AO156" s="35" t="str">
        <f ca="1">IFERROR(ESF[[#This Row],[Nsd (kN)]]/(ESF[[#This Row],[nE]]*PI()*ESF[[#This Row],[Ø (cm)]]^2/4*SIN(ESF[[#This Row],[α]])^2),"N.S.")</f>
        <v>N.S.</v>
      </c>
      <c r="AP156" s="4" t="str">
        <f ca="1">IFERROR(INDEX(grupoEstacas[],ESF[[#This Row],[nE]],MATCH("coef. Blévot",grupoEstacas[#Headers],0)),"N.S.")</f>
        <v>N.S.</v>
      </c>
      <c r="AQ156" s="35" t="str">
        <f ca="1">IFERROR(ESF[[#This Row],[coef. Blévot]]*0.9*INDEX(tipoEstaca[],MATCH($D$2,tipoEstaca[TIPO DE ESTACA],0),MATCH("fcd (kN/cm²)",tipoEstaca[#Headers],0)),"N.S.")</f>
        <v>N.S.</v>
      </c>
      <c r="AR156" s="82" t="str">
        <f ca="1">IF(AND(ESF[[#This Row],[cd,b,pil (kN/cm²)]]&lt;=ESF[[#This Row],[cd,b,lim (kN/cm²)]],ESF[[#This Row],[cd,b,est (kN/cm²)]]&lt;=ESF[[#This Row],[cd,b,lim (kN/cm²)]]),"OK","ERRO")</f>
        <v>OK</v>
      </c>
      <c r="AS156" s="4" t="str">
        <f ca="1">As_lado(ESF[[#This Row],[nE]],ESF[[#This Row],[Nsd (kN)]],ESF[[#This Row],[d (cm)]],ESF[[#This Row],[e (cm)]],ESF[[#This Row],[ap,eq (cm)]])</f>
        <v>N.S.</v>
      </c>
      <c r="AT156" s="4" t="str">
        <f ca="1">IF(ESF[[#This Row],[nE]]=1,ESF[[#This Row],[As,lado (cm²)]],IF(ESF[[#This Row],[nE]]=2,0.075*2*ESF[a (cm)],"N.A."))</f>
        <v>N.A.</v>
      </c>
      <c r="AU156" s="4" t="str">
        <f ca="1">IFERROR(IF(ESF[[#This Row],[nE]]=1,"N.A.",0.2*ESF[[#This Row],[As,lado (cm²)]]),"N.S.")</f>
        <v>N.S.</v>
      </c>
      <c r="AV156" s="4" t="str">
        <f ca="1">As_malha(ESF[[#This Row],[nE]],ESF[[#This Row],[As,lado (cm²)]],ESF[[#This Row],[Nsd (kN)]])</f>
        <v>N.S.</v>
      </c>
      <c r="AW156" s="4" t="str">
        <f ca="1">As_susp_tot(ESF[[#This Row],[nE]],ESF[[#This Row],[Nsd (kN)]])</f>
        <v>N.S.</v>
      </c>
      <c r="AX156" s="4" t="str">
        <f ca="1">Asp_face(ESF[[#This Row],[nE]],ESF[[#This Row],[As,lado (cm²)]])</f>
        <v>N.S.</v>
      </c>
      <c r="AY156" s="5" t="str">
        <f ca="1">acoBloco(ESF[[#This Row],[nE]],ESF[[#This Row],[e (cm)]],ESF[[#This Row],[a (cm)]],ESF[[#This Row],[h (cm)]],ESF[[#This Row],[As,lado (cm²)]],ESF[[#This Row],[Asp e Asw (cm²/m)]],ESF[[#This Row],[As,sup (cm²)]],ESF[[#This Row],[As,malha (cm²)]],ESF[[#This Row],[As,susp,tot (cm²)]],ESF[[#This Row],[Asp,face (cm²)]])</f>
        <v>N.S.</v>
      </c>
      <c r="AZ156" s="4" t="str">
        <f ca="1">concretoBloco(ESF[[#This Row],[nE]],ESF[[#This Row],[e (cm)]],ESF[[#This Row],[a (cm)]],ESF[[#This Row],[h (cm)]])</f>
        <v>N.S.</v>
      </c>
      <c r="BA156" s="5">
        <f ca="1">SUM(ESF[[#This Row],[Aço Est (kg)]],ESF[[#This Row],[Aço Bloco (kg)]])</f>
        <v>12.330751165339938</v>
      </c>
      <c r="BB156" s="4">
        <f>INDEX(composicoes[],MATCH(95580,composicoes[CÓDIGO],0),MATCH("CUSTO TOTAL",composicoes[#Headers],0))</f>
        <v>10.46</v>
      </c>
      <c r="BC156" s="4">
        <f ca="1">SUM(ESF[[#This Row],[Conc Est (m³)]],ESF[[#This Row],[Conc Bloco (m³)]])</f>
        <v>12.959069696057897</v>
      </c>
      <c r="BD156" s="4">
        <f>INDEX(composicoes[],MATCH(94966,composicoes[CÓDIGO],0),MATCH("CUSTO TOTAL",composicoes[#Headers],0))</f>
        <v>439.52</v>
      </c>
      <c r="BE156" s="38">
        <f ca="1">ESF[[#This Row],[Aço (kg)]]*ESF[[#This Row],[Aço (R$/kg)]]+ESF[[#This Row],[Conc (m³)]]*ESF[[#This Row],[Conc (R$/m³)]]</f>
        <v>5824.749970000822</v>
      </c>
      <c r="BF156" s="4" t="str">
        <f ca="1">IF(COUNTIF(ESF[#This Row],"N.S.")&gt;0,"lim.","OK")</f>
        <v>lim.</v>
      </c>
      <c r="BG156" s="4" t="str">
        <f>IF(ESF[[#This Row],[Prof. (m)]]&lt;3,"lim.","OK")</f>
        <v>OK</v>
      </c>
      <c r="BH156" s="4" t="str">
        <f>IF(ESF[[#This Row],[Prof. (m)]]&gt;=8*ESF[[#This Row],[Ø (cm)]]/100,"OK","lim.")</f>
        <v>OK</v>
      </c>
      <c r="BI156" s="4" t="str">
        <f>IF(AND(SPT!$F$3&lt;&gt;"",ESF[[#This Row],[Prof. (m)]]&gt;=SPT!$F$3),"lim.","OK")</f>
        <v>OK</v>
      </c>
      <c r="BJ156" s="4" t="str">
        <f>IF(COUNTIFS(ESF[Solo],"Areia",ESF[Prof. (m)],"&lt;="&amp;ESF[[#This Row],[Prof. (m)]])&gt;=1,"lim.","OK")</f>
        <v>OK</v>
      </c>
      <c r="BK156" s="4" t="str">
        <f ca="1">IF(ESF[[#This Row],[Verif. Biela]]="OK","OK","lim.")</f>
        <v>OK</v>
      </c>
      <c r="BL156" s="4" t="str">
        <f ca="1">IF(COUNTA(ESF[[#This Row],[Nº Est.]:[Biela comp.]])=COUNTIF(ESF[[#This Row],[Nº Est.]:[Biela comp.]],"OK"),"OK","lim.")</f>
        <v>lim.</v>
      </c>
      <c r="BM156" s="4" t="str">
        <f ca="1">IF(ESF[[#This Row],[Controle]]="OK",ESF[[#This Row],[nE]]&amp;" Ø"&amp;ESF[[#This Row],[Ø (cm)]]&amp;"cm Prof. "&amp;ESF[[#This Row],[Prof. (m)]]&amp;" m","")</f>
        <v/>
      </c>
      <c r="BN156" s="4" t="str">
        <f ca="1">IF(ESF[[#This Row],[idDimensionamento]]="","",ESF[[#This Row],[idPilar]]&amp;ESF[[#This Row],[idDimensionamento]])</f>
        <v/>
      </c>
    </row>
    <row r="157" spans="2:66" x14ac:dyDescent="0.25">
      <c r="B157" s="12">
        <f>ROUNDUP((ROW(ESF[[#This Row],[idDiâmetro]])-ROW(ESF[[#Headers],[idDiâmetro]]))/(COUNT(SPT[Prof. (m)])*COUNT(PILARES[Pilar])),0)</f>
        <v>6</v>
      </c>
      <c r="C157" s="12">
        <f>IF(ESF[[#This Row],[idDiâmetro]]&lt;&gt;B156,1,IF(ESF[[#This Row],[Prof. (m)]]=0,C156+1,C156))</f>
        <v>1</v>
      </c>
      <c r="D157" s="82">
        <f>IFERROR(IF(D156=MAX(SPT[Prof. (m)]),0,D156+1),0)</f>
        <v>12</v>
      </c>
      <c r="E157" s="82">
        <f>INDEX(SPT[],MATCH(ESF[[#This Row],[Prof. (m)]],SPT[Prof. (m)],0),2)</f>
        <v>52</v>
      </c>
      <c r="F157" s="82" t="str">
        <f>INDEX(SPT[],MATCH(ESF[[#This Row],[Prof. (m)]],SPT[Prof. (m)],0),3)</f>
        <v>Areia siltosa</v>
      </c>
      <c r="G157" s="82">
        <f>INDEX(estacas[],ESF[[#This Row],[idDiâmetro]],MATCH($B$2,estacas[#Headers],0))</f>
        <v>50</v>
      </c>
      <c r="H157" s="82">
        <f>INDEX(estacas[],MATCH(ESF[[#This Row],[Ø (cm)]],estacas[Ø ESF (cm)],0),MATCH(ESF[[#Headers],[Pe ESF (kN)]],estacas[#Headers],0))</f>
        <v>1000</v>
      </c>
      <c r="I157" s="4">
        <f>INDEX(K_alpha_C[],MATCH(ESF[[#This Row],[Solo]],K_alpha_C[Solo],0),2)</f>
        <v>0.8</v>
      </c>
      <c r="J157" s="5">
        <f>INDEX(K_alpha_C[],MATCH(ESF[[#This Row],[Solo]],K_alpha_C[Solo],0),3)</f>
        <v>2</v>
      </c>
      <c r="K157" s="4">
        <f>INDEX(F1_F2[],MATCH($D$2,F1_F2[Tipo de estaca],0),2)</f>
        <v>3</v>
      </c>
      <c r="L157" s="4">
        <f>INDEX(F1_F2[],MATCH($D$2,F1_F2[Tipo de estaca],0),3)</f>
        <v>6</v>
      </c>
      <c r="M157" s="4">
        <f>PI()*(ESF[[#This Row],[Ø (cm)]]/100)^2/4</f>
        <v>0.19634954084936207</v>
      </c>
      <c r="N157" s="4">
        <f>PI()*ESF[[#This Row],[Ø (cm)]]/100</f>
        <v>1.5707963267948966</v>
      </c>
      <c r="O157" s="4">
        <f>IF(ESF[[#This Row],[Prof. (m)]]=0,0,ESF[[#This Row],[α (%)]]/100*ESF[[#This Row],[K (MPa)]]*1000*ESF[[#This Row],[NSPT]])</f>
        <v>832</v>
      </c>
      <c r="P157" s="4">
        <f>IF(ESF[[#This Row],[Prof. (m)]]=0,0,(ESF[[#This Row],[K (MPa)]]*1000*ESF[[#This Row],[NSPT]]/ESF[[#This Row],[F1]]*ESF[[#This Row],[Ap (m²)]]+ESF[[#This Row],[U (m)]]/ESF[[#This Row],[F2]]*SUMIFS(ESF[(α∙K∙NL∙ΔL)],ESF[Prof. (m)],"&lt;="&amp;ESF[[#This Row],[Prof. (m)]],ESF[idDiâmetro],ESF[[#This Row],[idDiâmetro]],ESF[idPilar],ESF[[#This Row],[idPilar]]))/'DADOS CAP. CARGA'!$D$2)</f>
        <v>1808.4970809471342</v>
      </c>
      <c r="Q157" s="12">
        <f>INDEX(C_alpha_beta[],MATCH(ESF[[#This Row],[Solo]],C_alpha_beta[Solo],0),MATCH(ESF[[#Headers],[C (kPa)]],C_alpha_beta[#Headers],0))</f>
        <v>400</v>
      </c>
      <c r="R157" s="4">
        <f>INDEX(C_alpha_beta[],MATCH(ESF[[#This Row],[Solo]],C_alpha_beta[Solo],0),MATCH(ESF[[#Headers],[α ESF]],C_alpha_beta[#Headers],0))</f>
        <v>0.5</v>
      </c>
      <c r="S157" s="4">
        <f>INDEX(C_alpha_beta[],MATCH(ESF[[#This Row],[Solo]],C_alpha_beta[Solo],0),MATCH(ESF[[#Headers],[β ESF]],C_alpha_beta[#Headers],0))</f>
        <v>0.5</v>
      </c>
      <c r="T157" s="4">
        <f>IF(ESF[[#This Row],[Prof. (m)]]=0,0,10*(ESF[[#This Row],[NSPT]]/3+1))</f>
        <v>183.33333333333331</v>
      </c>
      <c r="U157" s="4">
        <f>(ESF[[#This Row],[α ESF]]*ESF[[#This Row],[C (kPa)]]*ESF[[#This Row],[NSPT]]*ESF[[#This Row],[Ap (m²)]])/'DADOS CAP. CARGA'!$Q$2+(ESF[[#This Row],[β ESF]]*SUMIFS(ESF[10∙(NL/3+1)],ESF[Prof. (m)],"&lt;="&amp;ESF[[#This Row],[Prof. (m)]],ESF[idDiâmetro],ESF[[#This Row],[idDiâmetro]],ESF[idPilar],ESF[[#This Row],[idPilar]])*ESF[[#This Row],[U (m)]])/'DADOS CAP. CARGA'!$S$2</f>
        <v>849.53901340823984</v>
      </c>
      <c r="V157" s="4">
        <f>IF(SPT!$M$5=1,MIN(ESF[[#This Row],[Pe ESF (kN)]],ESF[[#This Row],[R_AV (kN)]]),IF(SPT!$M$5=2,MIN(ESF[[#This Row],[Pe ESF (kN)]],ESF[[#This Row],[R_DC (kN)]]),MIN(ESF[[#This Row],[Pe ESF (kN)]],ESF[[#This Row],[R_AV (kN)]],ESF[[#This Row],[R_DC (kN)]])))</f>
        <v>849.53901340823984</v>
      </c>
      <c r="W157" s="4">
        <f>INDEX(PILARES[],ESF[[#This Row],[idPilar]],MATCH("Carga (kN)",PILARES[#Headers],0))*1.4</f>
        <v>3500</v>
      </c>
      <c r="X157" s="12">
        <f>INDEX(PILARES[],ESF[[#This Row],[idPilar]],MATCH(ESF[[#Headers],[ap (cm)]],PILARES[#Headers],0))</f>
        <v>60</v>
      </c>
      <c r="Y157" s="12">
        <f>INDEX(PILARES[],ESF[[#This Row],[idPilar]],MATCH(ESF[[#Headers],[bp (cm)]],PILARES[#Headers],0))</f>
        <v>60</v>
      </c>
      <c r="Z157" s="4">
        <f>SQRT(ESF[[#This Row],[ap (cm)]]*ESF[[#This Row],[bp (cm)]])</f>
        <v>60</v>
      </c>
      <c r="AA157" s="12">
        <f>ESF[[#This Row],[ap (cm)]]*ESF[[#This Row],[bp (cm)]]</f>
        <v>3600</v>
      </c>
      <c r="AB157" s="12">
        <f ca="1">IF(ESF[[#This Row],[Padm∙ε (kN)]]&gt;=ESF[[#This Row],[Padm (kN)]],ROUNDUP(1.05*ESF[[#This Row],[Nsd (kN)]]/ESF[[#This Row],[Padm (kN)]],0),ROUNDUP(1.05*ESF[[#This Row],[Nsd (kN)]]/ESF[[#This Row],[Padm (kN)]],0)+1)</f>
        <v>5</v>
      </c>
      <c r="AC157" s="4" t="str">
        <f ca="1">IFERROR(IF(ESF[[#This Row],[nE]]=1,ESF[[#This Row],[Padm (kN)]],ESF[[#This Row],[Padm (kN)]]*ESF[[#This Row],[nE]]*INDEX(grupoEstacas[],ESF[[#This Row],[nE]],MATCH("ε",grupoEstacas[#Headers],0))),"N.S.")</f>
        <v>N.S.</v>
      </c>
      <c r="AD157" s="4">
        <f ca="1">1.05*ESF[[#This Row],[Nsd (kN)]]/(ESF[[#This Row],[nE]]*PI()*ESF[[#This Row],[Ø (cm)]]^2/4)*10</f>
        <v>3.7433242615213786</v>
      </c>
      <c r="AE157" s="4">
        <f ca="1">IF(ESF[[#This Row],[σ (MPa)]]&lt;INDEX(tipoEstaca[],MATCH($D$2,tipoEstaca[TIPO DE ESTACA],0),MATCH("σmáx (MPa)",tipoEstaca[#Headers],0)),0.4%*PI()*ESF[[#This Row],[Ø (cm)]]^2/4,"N.S.")</f>
        <v>7.8539816339744837</v>
      </c>
      <c r="AF157" s="82">
        <f>INDEX(tipoEstaca[],MATCH($D$2,tipoEstaca[TIPO DE ESTACA],0),MATCH(ESF[[#Headers],[Comprimento (m)]],tipoEstaca[#Headers],0))</f>
        <v>2</v>
      </c>
      <c r="AG157" s="5">
        <f ca="1">ESF[[#This Row],[As,mín (cm²)]]/100^2*ESF[[#This Row],[Comprimento (m)]]*7850</f>
        <v>12.330751165339938</v>
      </c>
      <c r="AH157" s="4">
        <f ca="1">ESF[[#This Row],[nE]]*ESF[[#This Row],[Prof. (m)]]*ESF[[#This Row],[Ap (m²)]]</f>
        <v>11.780972450961723</v>
      </c>
      <c r="AI157" s="82">
        <f ca="1">IF(ESF[[#This Row],[nE]]=1,0,MAX(3*ESF[[#This Row],[Ø (cm)]],60))</f>
        <v>150</v>
      </c>
      <c r="AJ157" s="82">
        <f ca="1">IF(ESF[[#This Row],[nE]]=1,ESF[[#This Row],[Ø (cm)]]+2*10,MAX(1.5*ESF[[#This Row],[Ø (cm)]],ESF[[#This Row],[Ø (cm)]]+15))</f>
        <v>75</v>
      </c>
      <c r="AK157" s="82" t="str">
        <f ca="1">alturaUtil(ESF[[#This Row],[nE]],ESF[[#This Row],[Ø (cm)]],ESF[[#This Row],[e (cm)]],ESF[[#This Row],[ap,eq (cm)]])</f>
        <v>N.S.</v>
      </c>
      <c r="AL157" s="82" t="str">
        <f ca="1">IFERROR(ESF[[#This Row],[d (cm)]]+arredondarParaCimaMultiplo5cm(MAX(5,SQRT(PI())/2*ESF[[#This Row],[Ø (cm)]]/5)),"N.S.")</f>
        <v>N.S.</v>
      </c>
      <c r="AM157" s="5" t="str">
        <f ca="1">alpha(ESF[[#This Row],[nE]],ESF[[#This Row],[d (cm)]],ESF[[#This Row],[e (cm)]],ESF[[#This Row],[ap,eq (cm)]])</f>
        <v>N.S.</v>
      </c>
      <c r="AN157" s="35" t="str">
        <f ca="1">IFERROR(ESF[[#This Row],[Nsd (kN)]]/(ESF[[#This Row],[Ap (cm²)]]*SIN(ESF[[#This Row],[α]])^2),"N.S.")</f>
        <v>N.S.</v>
      </c>
      <c r="AO157" s="35" t="str">
        <f ca="1">IFERROR(ESF[[#This Row],[Nsd (kN)]]/(ESF[[#This Row],[nE]]*PI()*ESF[[#This Row],[Ø (cm)]]^2/4*SIN(ESF[[#This Row],[α]])^2),"N.S.")</f>
        <v>N.S.</v>
      </c>
      <c r="AP157" s="4" t="str">
        <f ca="1">IFERROR(INDEX(grupoEstacas[],ESF[[#This Row],[nE]],MATCH("coef. Blévot",grupoEstacas[#Headers],0)),"N.S.")</f>
        <v>N.S.</v>
      </c>
      <c r="AQ157" s="35" t="str">
        <f ca="1">IFERROR(ESF[[#This Row],[coef. Blévot]]*0.9*INDEX(tipoEstaca[],MATCH($D$2,tipoEstaca[TIPO DE ESTACA],0),MATCH("fcd (kN/cm²)",tipoEstaca[#Headers],0)),"N.S.")</f>
        <v>N.S.</v>
      </c>
      <c r="AR157" s="82" t="str">
        <f ca="1">IF(AND(ESF[[#This Row],[cd,b,pil (kN/cm²)]]&lt;=ESF[[#This Row],[cd,b,lim (kN/cm²)]],ESF[[#This Row],[cd,b,est (kN/cm²)]]&lt;=ESF[[#This Row],[cd,b,lim (kN/cm²)]]),"OK","ERRO")</f>
        <v>OK</v>
      </c>
      <c r="AS157" s="4" t="str">
        <f ca="1">As_lado(ESF[[#This Row],[nE]],ESF[[#This Row],[Nsd (kN)]],ESF[[#This Row],[d (cm)]],ESF[[#This Row],[e (cm)]],ESF[[#This Row],[ap,eq (cm)]])</f>
        <v>N.S.</v>
      </c>
      <c r="AT157" s="4" t="str">
        <f ca="1">IF(ESF[[#This Row],[nE]]=1,ESF[[#This Row],[As,lado (cm²)]],IF(ESF[[#This Row],[nE]]=2,0.075*2*ESF[a (cm)],"N.A."))</f>
        <v>N.A.</v>
      </c>
      <c r="AU157" s="4" t="str">
        <f ca="1">IFERROR(IF(ESF[[#This Row],[nE]]=1,"N.A.",0.2*ESF[[#This Row],[As,lado (cm²)]]),"N.S.")</f>
        <v>N.S.</v>
      </c>
      <c r="AV157" s="4" t="str">
        <f ca="1">As_malha(ESF[[#This Row],[nE]],ESF[[#This Row],[As,lado (cm²)]],ESF[[#This Row],[Nsd (kN)]])</f>
        <v>N.S.</v>
      </c>
      <c r="AW157" s="4" t="str">
        <f ca="1">As_susp_tot(ESF[[#This Row],[nE]],ESF[[#This Row],[Nsd (kN)]])</f>
        <v>N.S.</v>
      </c>
      <c r="AX157" s="4" t="str">
        <f ca="1">Asp_face(ESF[[#This Row],[nE]],ESF[[#This Row],[As,lado (cm²)]])</f>
        <v>N.S.</v>
      </c>
      <c r="AY157" s="5" t="str">
        <f ca="1">acoBloco(ESF[[#This Row],[nE]],ESF[[#This Row],[e (cm)]],ESF[[#This Row],[a (cm)]],ESF[[#This Row],[h (cm)]],ESF[[#This Row],[As,lado (cm²)]],ESF[[#This Row],[Asp e Asw (cm²/m)]],ESF[[#This Row],[As,sup (cm²)]],ESF[[#This Row],[As,malha (cm²)]],ESF[[#This Row],[As,susp,tot (cm²)]],ESF[[#This Row],[Asp,face (cm²)]])</f>
        <v>N.S.</v>
      </c>
      <c r="AZ157" s="4" t="str">
        <f ca="1">concretoBloco(ESF[[#This Row],[nE]],ESF[[#This Row],[e (cm)]],ESF[[#This Row],[a (cm)]],ESF[[#This Row],[h (cm)]])</f>
        <v>N.S.</v>
      </c>
      <c r="BA157" s="5">
        <f ca="1">SUM(ESF[[#This Row],[Aço Est (kg)]],ESF[[#This Row],[Aço Bloco (kg)]])</f>
        <v>12.330751165339938</v>
      </c>
      <c r="BB157" s="4">
        <f>INDEX(composicoes[],MATCH(95580,composicoes[CÓDIGO],0),MATCH("CUSTO TOTAL",composicoes[#Headers],0))</f>
        <v>10.46</v>
      </c>
      <c r="BC157" s="4">
        <f ca="1">SUM(ESF[[#This Row],[Conc Est (m³)]],ESF[[#This Row],[Conc Bloco (m³)]])</f>
        <v>11.780972450961723</v>
      </c>
      <c r="BD157" s="4">
        <f>INDEX(composicoes[],MATCH(94966,composicoes[CÓDIGO],0),MATCH("CUSTO TOTAL",composicoes[#Headers],0))</f>
        <v>439.52</v>
      </c>
      <c r="BE157" s="38">
        <f ca="1">ESF[[#This Row],[Aço (kg)]]*ESF[[#This Row],[Aço (R$/kg)]]+ESF[[#This Row],[Conc (m³)]]*ESF[[#This Row],[Conc (R$/m³)]]</f>
        <v>5306.952668836152</v>
      </c>
      <c r="BF157" s="4" t="str">
        <f ca="1">IF(COUNTIF(ESF[#This Row],"N.S.")&gt;0,"lim.","OK")</f>
        <v>lim.</v>
      </c>
      <c r="BG157" s="4" t="str">
        <f>IF(ESF[[#This Row],[Prof. (m)]]&lt;3,"lim.","OK")</f>
        <v>OK</v>
      </c>
      <c r="BH157" s="4" t="str">
        <f>IF(ESF[[#This Row],[Prof. (m)]]&gt;=8*ESF[[#This Row],[Ø (cm)]]/100,"OK","lim.")</f>
        <v>OK</v>
      </c>
      <c r="BI157" s="4" t="str">
        <f>IF(AND(SPT!$F$3&lt;&gt;"",ESF[[#This Row],[Prof. (m)]]&gt;=SPT!$F$3),"lim.","OK")</f>
        <v>OK</v>
      </c>
      <c r="BJ157" s="4" t="str">
        <f>IF(COUNTIFS(ESF[Solo],"Areia",ESF[Prof. (m)],"&lt;="&amp;ESF[[#This Row],[Prof. (m)]])&gt;=1,"lim.","OK")</f>
        <v>OK</v>
      </c>
      <c r="BK157" s="4" t="str">
        <f ca="1">IF(ESF[[#This Row],[Verif. Biela]]="OK","OK","lim.")</f>
        <v>OK</v>
      </c>
      <c r="BL157" s="4" t="str">
        <f ca="1">IF(COUNTA(ESF[[#This Row],[Nº Est.]:[Biela comp.]])=COUNTIF(ESF[[#This Row],[Nº Est.]:[Biela comp.]],"OK"),"OK","lim.")</f>
        <v>lim.</v>
      </c>
      <c r="BM157" s="4" t="str">
        <f ca="1">IF(ESF[[#This Row],[Controle]]="OK",ESF[[#This Row],[nE]]&amp;" Ø"&amp;ESF[[#This Row],[Ø (cm)]]&amp;"cm Prof. "&amp;ESF[[#This Row],[Prof. (m)]]&amp;" m","")</f>
        <v/>
      </c>
      <c r="BN157" s="4" t="str">
        <f ca="1">IF(ESF[[#This Row],[idDimensionamento]]="","",ESF[[#This Row],[idPilar]]&amp;ESF[[#This Row],[idDimensionamento]])</f>
        <v/>
      </c>
    </row>
    <row r="158" spans="2:66" x14ac:dyDescent="0.25">
      <c r="B158" s="12">
        <f>ROUNDUP((ROW(ESF[[#This Row],[idDiâmetro]])-ROW(ESF[[#Headers],[idDiâmetro]]))/(COUNT(SPT[Prof. (m)])*COUNT(PILARES[Pilar])),0)</f>
        <v>6</v>
      </c>
      <c r="C158" s="12">
        <f>IF(ESF[[#This Row],[idDiâmetro]]&lt;&gt;B157,1,IF(ESF[[#This Row],[Prof. (m)]]=0,C157+1,C157))</f>
        <v>1</v>
      </c>
      <c r="D158" s="82">
        <f>IFERROR(IF(D157=MAX(SPT[Prof. (m)]),0,D157+1),0)</f>
        <v>13</v>
      </c>
      <c r="E158" s="82">
        <f>INDEX(SPT[],MATCH(ESF[[#This Row],[Prof. (m)]],SPT[Prof. (m)],0),2)</f>
        <v>68</v>
      </c>
      <c r="F158" s="82" t="str">
        <f>INDEX(SPT[],MATCH(ESF[[#This Row],[Prof. (m)]],SPT[Prof. (m)],0),3)</f>
        <v>Areia siltosa</v>
      </c>
      <c r="G158" s="82">
        <f>INDEX(estacas[],ESF[[#This Row],[idDiâmetro]],MATCH($B$2,estacas[#Headers],0))</f>
        <v>50</v>
      </c>
      <c r="H158" s="82">
        <f>INDEX(estacas[],MATCH(ESF[[#This Row],[Ø (cm)]],estacas[Ø ESF (cm)],0),MATCH(ESF[[#Headers],[Pe ESF (kN)]],estacas[#Headers],0))</f>
        <v>1000</v>
      </c>
      <c r="I158" s="4">
        <f>INDEX(K_alpha_C[],MATCH(ESF[[#This Row],[Solo]],K_alpha_C[Solo],0),2)</f>
        <v>0.8</v>
      </c>
      <c r="J158" s="5">
        <f>INDEX(K_alpha_C[],MATCH(ESF[[#This Row],[Solo]],K_alpha_C[Solo],0),3)</f>
        <v>2</v>
      </c>
      <c r="K158" s="4">
        <f>INDEX(F1_F2[],MATCH($D$2,F1_F2[Tipo de estaca],0),2)</f>
        <v>3</v>
      </c>
      <c r="L158" s="4">
        <f>INDEX(F1_F2[],MATCH($D$2,F1_F2[Tipo de estaca],0),3)</f>
        <v>6</v>
      </c>
      <c r="M158" s="4">
        <f>PI()*(ESF[[#This Row],[Ø (cm)]]/100)^2/4</f>
        <v>0.19634954084936207</v>
      </c>
      <c r="N158" s="4">
        <f>PI()*ESF[[#This Row],[Ø (cm)]]/100</f>
        <v>1.5707963267948966</v>
      </c>
      <c r="O158" s="4">
        <f>IF(ESF[[#This Row],[Prof. (m)]]=0,0,ESF[[#This Row],[α (%)]]/100*ESF[[#This Row],[K (MPa)]]*1000*ESF[[#This Row],[NSPT]])</f>
        <v>1088</v>
      </c>
      <c r="P158" s="4">
        <f>IF(ESF[[#This Row],[Prof. (m)]]=0,0,(ESF[[#This Row],[K (MPa)]]*1000*ESF[[#This Row],[NSPT]]/ESF[[#This Row],[F1]]*ESF[[#This Row],[Ap (m²)]]+ESF[[#This Row],[U (m)]]/ESF[[#This Row],[F2]]*SUMIFS(ESF[(α∙K∙NL∙ΔL)],ESF[Prof. (m)],"&lt;="&amp;ESF[[#This Row],[Prof. (m)]],ESF[idDiâmetro],ESF[[#This Row],[idDiâmetro]],ESF[idPilar],ESF[[#This Row],[idPilar]]))/'DADOS CAP. CARGA'!$D$2)</f>
        <v>2369.7949683885104</v>
      </c>
      <c r="Q158" s="12">
        <f>INDEX(C_alpha_beta[],MATCH(ESF[[#This Row],[Solo]],C_alpha_beta[Solo],0),MATCH(ESF[[#Headers],[C (kPa)]],C_alpha_beta[#Headers],0))</f>
        <v>400</v>
      </c>
      <c r="R158" s="4">
        <f>INDEX(C_alpha_beta[],MATCH(ESF[[#This Row],[Solo]],C_alpha_beta[Solo],0),MATCH(ESF[[#Headers],[α ESF]],C_alpha_beta[#Headers],0))</f>
        <v>0.5</v>
      </c>
      <c r="S158" s="4">
        <f>INDEX(C_alpha_beta[],MATCH(ESF[[#This Row],[Solo]],C_alpha_beta[Solo],0),MATCH(ESF[[#Headers],[β ESF]],C_alpha_beta[#Headers],0))</f>
        <v>0.5</v>
      </c>
      <c r="T158" s="4">
        <f>IF(ESF[[#This Row],[Prof. (m)]]=0,0,10*(ESF[[#This Row],[NSPT]]/3+1))</f>
        <v>236.66666666666669</v>
      </c>
      <c r="U158" s="4">
        <f>(ESF[[#This Row],[α ESF]]*ESF[[#This Row],[C (kPa)]]*ESF[[#This Row],[NSPT]]*ESF[[#This Row],[Ap (m²)]])/'DADOS CAP. CARGA'!$Q$2+(ESF[[#This Row],[β ESF]]*SUMIFS(ESF[10∙(NL/3+1)],ESF[Prof. (m)],"&lt;="&amp;ESF[[#This Row],[Prof. (m)]],ESF[idDiâmetro],ESF[[#This Row],[idDiâmetro]],ESF[idPilar],ESF[[#This Row],[idPilar]])*ESF[[#This Row],[U (m)]])/'DADOS CAP. CARGA'!$S$2</f>
        <v>1099.5574287564275</v>
      </c>
      <c r="V158" s="4">
        <f>IF(SPT!$M$5=1,MIN(ESF[[#This Row],[Pe ESF (kN)]],ESF[[#This Row],[R_AV (kN)]]),IF(SPT!$M$5=2,MIN(ESF[[#This Row],[Pe ESF (kN)]],ESF[[#This Row],[R_DC (kN)]]),MIN(ESF[[#This Row],[Pe ESF (kN)]],ESF[[#This Row],[R_AV (kN)]],ESF[[#This Row],[R_DC (kN)]])))</f>
        <v>1000</v>
      </c>
      <c r="W158" s="4">
        <f>INDEX(PILARES[],ESF[[#This Row],[idPilar]],MATCH("Carga (kN)",PILARES[#Headers],0))*1.4</f>
        <v>3500</v>
      </c>
      <c r="X158" s="12">
        <f>INDEX(PILARES[],ESF[[#This Row],[idPilar]],MATCH(ESF[[#Headers],[ap (cm)]],PILARES[#Headers],0))</f>
        <v>60</v>
      </c>
      <c r="Y158" s="12">
        <f>INDEX(PILARES[],ESF[[#This Row],[idPilar]],MATCH(ESF[[#Headers],[bp (cm)]],PILARES[#Headers],0))</f>
        <v>60</v>
      </c>
      <c r="Z158" s="4">
        <f>SQRT(ESF[[#This Row],[ap (cm)]]*ESF[[#This Row],[bp (cm)]])</f>
        <v>60</v>
      </c>
      <c r="AA158" s="12">
        <f>ESF[[#This Row],[ap (cm)]]*ESF[[#This Row],[bp (cm)]]</f>
        <v>3600</v>
      </c>
      <c r="AB158" s="12">
        <f ca="1">IF(ESF[[#This Row],[Padm∙ε (kN)]]&gt;=ESF[[#This Row],[Padm (kN)]],ROUNDUP(1.05*ESF[[#This Row],[Nsd (kN)]]/ESF[[#This Row],[Padm (kN)]],0),ROUNDUP(1.05*ESF[[#This Row],[Nsd (kN)]]/ESF[[#This Row],[Padm (kN)]],0)+1)</f>
        <v>4</v>
      </c>
      <c r="AC158" s="4">
        <f ca="1">IFERROR(IF(ESF[[#This Row],[nE]]=1,ESF[[#This Row],[Padm (kN)]],ESF[[#This Row],[Padm (kN)]]*ESF[[#This Row],[nE]]*INDEX(grupoEstacas[],ESF[[#This Row],[nE]],MATCH("ε",grupoEstacas[#Headers],0))),"N.S.")</f>
        <v>3250</v>
      </c>
      <c r="AD158" s="4">
        <f ca="1">1.05*ESF[[#This Row],[Nsd (kN)]]/(ESF[[#This Row],[nE]]*PI()*ESF[[#This Row],[Ø (cm)]]^2/4)*10</f>
        <v>4.6791553269017232</v>
      </c>
      <c r="AE158" s="4">
        <f ca="1">IF(ESF[[#This Row],[σ (MPa)]]&lt;INDEX(tipoEstaca[],MATCH($D$2,tipoEstaca[TIPO DE ESTACA],0),MATCH("σmáx (MPa)",tipoEstaca[#Headers],0)),0.4%*PI()*ESF[[#This Row],[Ø (cm)]]^2/4,"N.S.")</f>
        <v>7.8539816339744837</v>
      </c>
      <c r="AF158" s="82">
        <f>INDEX(tipoEstaca[],MATCH($D$2,tipoEstaca[TIPO DE ESTACA],0),MATCH(ESF[[#Headers],[Comprimento (m)]],tipoEstaca[#Headers],0))</f>
        <v>2</v>
      </c>
      <c r="AG158" s="5">
        <f ca="1">ESF[[#This Row],[As,mín (cm²)]]/100^2*ESF[[#This Row],[Comprimento (m)]]*7850</f>
        <v>12.330751165339938</v>
      </c>
      <c r="AH158" s="4">
        <f ca="1">ESF[[#This Row],[nE]]*ESF[[#This Row],[Prof. (m)]]*ESF[[#This Row],[Ap (m²)]]</f>
        <v>10.210176124166829</v>
      </c>
      <c r="AI158" s="82">
        <f ca="1">IF(ESF[[#This Row],[nE]]=1,0,MAX(3*ESF[[#This Row],[Ø (cm)]],60))</f>
        <v>150</v>
      </c>
      <c r="AJ158" s="82">
        <f ca="1">IF(ESF[[#This Row],[nE]]=1,ESF[[#This Row],[Ø (cm)]]+2*10,MAX(1.5*ESF[[#This Row],[Ø (cm)]],ESF[[#This Row],[Ø (cm)]]+15))</f>
        <v>75</v>
      </c>
      <c r="AK158" s="82">
        <f ca="1">alturaUtil(ESF[[#This Row],[nE]],ESF[[#This Row],[Ø (cm)]],ESF[[#This Row],[e (cm)]],ESF[[#This Row],[ap,eq (cm)]])</f>
        <v>60</v>
      </c>
      <c r="AL158" s="82">
        <f ca="1">IFERROR(ESF[[#This Row],[d (cm)]]+arredondarParaCimaMultiplo5cm(MAX(5,SQRT(PI())/2*ESF[[#This Row],[Ø (cm)]]/5)),"N.S.")</f>
        <v>70</v>
      </c>
      <c r="AM158" s="5">
        <f ca="1">alpha(ESF[[#This Row],[nE]],ESF[[#This Row],[d (cm)]],ESF[[#This Row],[e (cm)]],ESF[[#This Row],[ap,eq (cm)]])</f>
        <v>45</v>
      </c>
      <c r="AN158" s="35">
        <f ca="1">IFERROR(ESF[[#This Row],[Nsd (kN)]]/(ESF[[#This Row],[Ap (cm²)]]*SIN(ESF[[#This Row],[α]])^2),"N.S.")</f>
        <v>1.3427801064714635</v>
      </c>
      <c r="AO158" s="35">
        <f ca="1">IFERROR(ESF[[#This Row],[Nsd (kN)]]/(ESF[[#This Row],[nE]]*PI()*ESF[[#This Row],[Ø (cm)]]^2/4*SIN(ESF[[#This Row],[α]])^2),"N.S.")</f>
        <v>0.61548506331953745</v>
      </c>
      <c r="AP158" s="4">
        <f ca="1">IFERROR(INDEX(grupoEstacas[],ESF[[#This Row],[nE]],MATCH("coef. Blévot",grupoEstacas[#Headers],0)),"N.S.")</f>
        <v>2.1</v>
      </c>
      <c r="AQ158" s="35">
        <f ca="1">IFERROR(ESF[[#This Row],[coef. Blévot]]*0.9*INDEX(tipoEstaca[],MATCH($D$2,tipoEstaca[TIPO DE ESTACA],0),MATCH("fcd (kN/cm²)",tipoEstaca[#Headers],0)),"N.S.")</f>
        <v>1.5120000000000002</v>
      </c>
      <c r="AR158" s="82" t="str">
        <f ca="1">IF(AND(ESF[[#This Row],[cd,b,pil (kN/cm²)]]&lt;=ESF[[#This Row],[cd,b,lim (kN/cm²)]],ESF[[#This Row],[cd,b,est (kN/cm²)]]&lt;=ESF[[#This Row],[cd,b,lim (kN/cm²)]]),"OK","ERRO")</f>
        <v>OK</v>
      </c>
      <c r="AS158" s="4">
        <f ca="1">As_lado(ESF[[#This Row],[nE]],ESF[[#This Row],[Nsd (kN)]],ESF[[#This Row],[d (cm)]],ESF[[#This Row],[e (cm)]],ESF[[#This Row],[ap,eq (cm)]])</f>
        <v>20.125</v>
      </c>
      <c r="AT158" s="4" t="str">
        <f ca="1">IF(ESF[[#This Row],[nE]]=1,ESF[[#This Row],[As,lado (cm²)]],IF(ESF[[#This Row],[nE]]=2,0.075*2*ESF[a (cm)],"N.A."))</f>
        <v>N.A.</v>
      </c>
      <c r="AU158" s="4">
        <f ca="1">IFERROR(IF(ESF[[#This Row],[nE]]=1,"N.A.",0.2*ESF[[#This Row],[As,lado (cm²)]]),"N.S.")</f>
        <v>4.0250000000000004</v>
      </c>
      <c r="AV158" s="4">
        <f ca="1">As_malha(ESF[[#This Row],[nE]],ESF[[#This Row],[As,lado (cm²)]],ESF[[#This Row],[Nsd (kN)]])</f>
        <v>4.0250000000000004</v>
      </c>
      <c r="AW158" s="4">
        <f ca="1">As_susp_tot(ESF[[#This Row],[nE]],ESF[[#This Row],[Nsd (kN)]])</f>
        <v>13.416666666666666</v>
      </c>
      <c r="AX158" s="4">
        <f ca="1">Asp_face(ESF[[#This Row],[nE]],ESF[[#This Row],[As,lado (cm²)]])</f>
        <v>10.0625</v>
      </c>
      <c r="AY158" s="5">
        <f ca="1">acoBloco(ESF[[#This Row],[nE]],ESF[[#This Row],[e (cm)]],ESF[[#This Row],[a (cm)]],ESF[[#This Row],[h (cm)]],ESF[[#This Row],[As,lado (cm²)]],ESF[[#This Row],[Asp e Asw (cm²/m)]],ESF[[#This Row],[As,sup (cm²)]],ESF[[#This Row],[As,malha (cm²)]],ESF[[#This Row],[As,susp,tot (cm²)]],ESF[[#This Row],[Asp,face (cm²)]])</f>
        <v>348.61195833333335</v>
      </c>
      <c r="AZ158" s="4">
        <f ca="1">concretoBloco(ESF[[#This Row],[nE]],ESF[[#This Row],[e (cm)]],ESF[[#This Row],[a (cm)]],ESF[[#This Row],[h (cm)]])</f>
        <v>6.3</v>
      </c>
      <c r="BA158" s="5">
        <f ca="1">SUM(ESF[[#This Row],[Aço Est (kg)]],ESF[[#This Row],[Aço Bloco (kg)]])</f>
        <v>360.94270949867331</v>
      </c>
      <c r="BB158" s="4">
        <f>INDEX(composicoes[],MATCH(95580,composicoes[CÓDIGO],0),MATCH("CUSTO TOTAL",composicoes[#Headers],0))</f>
        <v>10.46</v>
      </c>
      <c r="BC158" s="4">
        <f ca="1">SUM(ESF[[#This Row],[Conc Est (m³)]],ESF[[#This Row],[Conc Bloco (m³)]])</f>
        <v>16.510176124166829</v>
      </c>
      <c r="BD158" s="4">
        <f>INDEX(composicoes[],MATCH(94966,composicoes[CÓDIGO],0),MATCH("CUSTO TOTAL",composicoes[#Headers],0))</f>
        <v>439.52</v>
      </c>
      <c r="BE158" s="38">
        <f ca="1">ESF[[#This Row],[Aço (kg)]]*ESF[[#This Row],[Aço (R$/kg)]]+ESF[[#This Row],[Conc (m³)]]*ESF[[#This Row],[Conc (R$/m³)]]</f>
        <v>11032.013351449927</v>
      </c>
      <c r="BF158" s="4" t="str">
        <f ca="1">IF(COUNTIF(ESF[#This Row],"N.S.")&gt;0,"lim.","OK")</f>
        <v>OK</v>
      </c>
      <c r="BG158" s="4" t="str">
        <f>IF(ESF[[#This Row],[Prof. (m)]]&lt;3,"lim.","OK")</f>
        <v>OK</v>
      </c>
      <c r="BH158" s="4" t="str">
        <f>IF(ESF[[#This Row],[Prof. (m)]]&gt;=8*ESF[[#This Row],[Ø (cm)]]/100,"OK","lim.")</f>
        <v>OK</v>
      </c>
      <c r="BI158" s="4" t="str">
        <f>IF(AND(SPT!$F$3&lt;&gt;"",ESF[[#This Row],[Prof. (m)]]&gt;=SPT!$F$3),"lim.","OK")</f>
        <v>OK</v>
      </c>
      <c r="BJ158" s="4" t="str">
        <f>IF(COUNTIFS(ESF[Solo],"Areia",ESF[Prof. (m)],"&lt;="&amp;ESF[[#This Row],[Prof. (m)]])&gt;=1,"lim.","OK")</f>
        <v>OK</v>
      </c>
      <c r="BK158" s="4" t="str">
        <f ca="1">IF(ESF[[#This Row],[Verif. Biela]]="OK","OK","lim.")</f>
        <v>OK</v>
      </c>
      <c r="BL158" s="4" t="str">
        <f ca="1">IF(COUNTA(ESF[[#This Row],[Nº Est.]:[Biela comp.]])=COUNTIF(ESF[[#This Row],[Nº Est.]:[Biela comp.]],"OK"),"OK","lim.")</f>
        <v>OK</v>
      </c>
      <c r="BM158" s="4" t="str">
        <f ca="1">IF(ESF[[#This Row],[Controle]]="OK",ESF[[#This Row],[nE]]&amp;" Ø"&amp;ESF[[#This Row],[Ø (cm)]]&amp;"cm Prof. "&amp;ESF[[#This Row],[Prof. (m)]]&amp;" m","")</f>
        <v>4 Ø50cm Prof. 13 m</v>
      </c>
      <c r="BN158" s="4" t="str">
        <f ca="1">IF(ESF[[#This Row],[idDimensionamento]]="","",ESF[[#This Row],[idPilar]]&amp;ESF[[#This Row],[idDimensionamento]])</f>
        <v>14 Ø50cm Prof. 13 m</v>
      </c>
    </row>
    <row r="159" spans="2:66" x14ac:dyDescent="0.25">
      <c r="B159" s="12">
        <f>ROUNDUP((ROW(ESF[[#This Row],[idDiâmetro]])-ROW(ESF[[#Headers],[idDiâmetro]]))/(COUNT(SPT[Prof. (m)])*COUNT(PILARES[Pilar])),0)</f>
        <v>6</v>
      </c>
      <c r="C159" s="12">
        <f>IF(ESF[[#This Row],[idDiâmetro]]&lt;&gt;B158,1,IF(ESF[[#This Row],[Prof. (m)]]=0,C158+1,C158))</f>
        <v>2</v>
      </c>
      <c r="D159" s="82">
        <f>IFERROR(IF(D158=MAX(SPT[Prof. (m)]),0,D158+1),0)</f>
        <v>0</v>
      </c>
      <c r="E159" s="82">
        <f>INDEX(SPT[],MATCH(ESF[[#This Row],[Prof. (m)]],SPT[Prof. (m)],0),2)</f>
        <v>0</v>
      </c>
      <c r="F159" s="82" t="str">
        <f>INDEX(SPT[],MATCH(ESF[[#This Row],[Prof. (m)]],SPT[Prof. (m)],0),3)</f>
        <v>Areia siltosa</v>
      </c>
      <c r="G159" s="82">
        <f>INDEX(estacas[],ESF[[#This Row],[idDiâmetro]],MATCH($B$2,estacas[#Headers],0))</f>
        <v>50</v>
      </c>
      <c r="H159" s="82">
        <f>INDEX(estacas[],MATCH(ESF[[#This Row],[Ø (cm)]],estacas[Ø ESF (cm)],0),MATCH(ESF[[#Headers],[Pe ESF (kN)]],estacas[#Headers],0))</f>
        <v>1000</v>
      </c>
      <c r="I159" s="4">
        <f>INDEX(K_alpha_C[],MATCH(ESF[[#This Row],[Solo]],K_alpha_C[Solo],0),2)</f>
        <v>0.8</v>
      </c>
      <c r="J159" s="5">
        <f>INDEX(K_alpha_C[],MATCH(ESF[[#This Row],[Solo]],K_alpha_C[Solo],0),3)</f>
        <v>2</v>
      </c>
      <c r="K159" s="4">
        <f>INDEX(F1_F2[],MATCH($D$2,F1_F2[Tipo de estaca],0),2)</f>
        <v>3</v>
      </c>
      <c r="L159" s="4">
        <f>INDEX(F1_F2[],MATCH($D$2,F1_F2[Tipo de estaca],0),3)</f>
        <v>6</v>
      </c>
      <c r="M159" s="4">
        <f>PI()*(ESF[[#This Row],[Ø (cm)]]/100)^2/4</f>
        <v>0.19634954084936207</v>
      </c>
      <c r="N159" s="4">
        <f>PI()*ESF[[#This Row],[Ø (cm)]]/100</f>
        <v>1.5707963267948966</v>
      </c>
      <c r="O159" s="4">
        <f>IF(ESF[[#This Row],[Prof. (m)]]=0,0,ESF[[#This Row],[α (%)]]/100*ESF[[#This Row],[K (MPa)]]*1000*ESF[[#This Row],[NSPT]])</f>
        <v>0</v>
      </c>
      <c r="P159" s="4">
        <f>IF(ESF[[#This Row],[Prof. (m)]]=0,0,(ESF[[#This Row],[K (MPa)]]*1000*ESF[[#This Row],[NSPT]]/ESF[[#This Row],[F1]]*ESF[[#This Row],[Ap (m²)]]+ESF[[#This Row],[U (m)]]/ESF[[#This Row],[F2]]*SUMIFS(ESF[(α∙K∙NL∙ΔL)],ESF[Prof. (m)],"&lt;="&amp;ESF[[#This Row],[Prof. (m)]],ESF[idDiâmetro],ESF[[#This Row],[idDiâmetro]],ESF[idPilar],ESF[[#This Row],[idPilar]]))/'DADOS CAP. CARGA'!$D$2)</f>
        <v>0</v>
      </c>
      <c r="Q159" s="12">
        <f>INDEX(C_alpha_beta[],MATCH(ESF[[#This Row],[Solo]],C_alpha_beta[Solo],0),MATCH(ESF[[#Headers],[C (kPa)]],C_alpha_beta[#Headers],0))</f>
        <v>400</v>
      </c>
      <c r="R159" s="4">
        <f>INDEX(C_alpha_beta[],MATCH(ESF[[#This Row],[Solo]],C_alpha_beta[Solo],0),MATCH(ESF[[#Headers],[α ESF]],C_alpha_beta[#Headers],0))</f>
        <v>0.5</v>
      </c>
      <c r="S159" s="4">
        <f>INDEX(C_alpha_beta[],MATCH(ESF[[#This Row],[Solo]],C_alpha_beta[Solo],0),MATCH(ESF[[#Headers],[β ESF]],C_alpha_beta[#Headers],0))</f>
        <v>0.5</v>
      </c>
      <c r="T159" s="4">
        <f>IF(ESF[[#This Row],[Prof. (m)]]=0,0,10*(ESF[[#This Row],[NSPT]]/3+1))</f>
        <v>0</v>
      </c>
      <c r="U159" s="4">
        <f>(ESF[[#This Row],[α ESF]]*ESF[[#This Row],[C (kPa)]]*ESF[[#This Row],[NSPT]]*ESF[[#This Row],[Ap (m²)]])/'DADOS CAP. CARGA'!$Q$2+(ESF[[#This Row],[β ESF]]*SUMIFS(ESF[10∙(NL/3+1)],ESF[Prof. (m)],"&lt;="&amp;ESF[[#This Row],[Prof. (m)]],ESF[idDiâmetro],ESF[[#This Row],[idDiâmetro]],ESF[idPilar],ESF[[#This Row],[idPilar]])*ESF[[#This Row],[U (m)]])/'DADOS CAP. CARGA'!$S$2</f>
        <v>0</v>
      </c>
      <c r="V159" s="4">
        <f>IF(SPT!$M$5=1,MIN(ESF[[#This Row],[Pe ESF (kN)]],ESF[[#This Row],[R_AV (kN)]]),IF(SPT!$M$5=2,MIN(ESF[[#This Row],[Pe ESF (kN)]],ESF[[#This Row],[R_DC (kN)]]),MIN(ESF[[#This Row],[Pe ESF (kN)]],ESF[[#This Row],[R_AV (kN)]],ESF[[#This Row],[R_DC (kN)]])))</f>
        <v>0</v>
      </c>
      <c r="W159" s="4">
        <f>INDEX(PILARES[],ESF[[#This Row],[idPilar]],MATCH("Carga (kN)",PILARES[#Headers],0))*1.4</f>
        <v>1750</v>
      </c>
      <c r="X159" s="12">
        <f>INDEX(PILARES[],ESF[[#This Row],[idPilar]],MATCH(ESF[[#Headers],[ap (cm)]],PILARES[#Headers],0))</f>
        <v>50</v>
      </c>
      <c r="Y159" s="12">
        <f>INDEX(PILARES[],ESF[[#This Row],[idPilar]],MATCH(ESF[[#Headers],[bp (cm)]],PILARES[#Headers],0))</f>
        <v>40</v>
      </c>
      <c r="Z159" s="4">
        <f>SQRT(ESF[[#This Row],[ap (cm)]]*ESF[[#This Row],[bp (cm)]])</f>
        <v>44.721359549995796</v>
      </c>
      <c r="AA159" s="12">
        <f>ESF[[#This Row],[ap (cm)]]*ESF[[#This Row],[bp (cm)]]</f>
        <v>2000</v>
      </c>
      <c r="AB159" s="12" t="e">
        <f ca="1">IF(ESF[[#This Row],[Padm∙ε (kN)]]&gt;=ESF[[#This Row],[Padm (kN)]],ROUNDUP(1.05*ESF[[#This Row],[Nsd (kN)]]/ESF[[#This Row],[Padm (kN)]],0),ROUNDUP(1.05*ESF[[#This Row],[Nsd (kN)]]/ESF[[#This Row],[Padm (kN)]],0)+1)</f>
        <v>#DIV/0!</v>
      </c>
      <c r="AC159" s="4" t="str">
        <f ca="1">IFERROR(IF(ESF[[#This Row],[nE]]=1,ESF[[#This Row],[Padm (kN)]],ESF[[#This Row],[Padm (kN)]]*ESF[[#This Row],[nE]]*INDEX(grupoEstacas[],ESF[[#This Row],[nE]],MATCH("ε",grupoEstacas[#Headers],0))),"N.S.")</f>
        <v>N.S.</v>
      </c>
      <c r="AD159" s="4" t="e">
        <f ca="1">1.05*ESF[[#This Row],[Nsd (kN)]]/(ESF[[#This Row],[nE]]*PI()*ESF[[#This Row],[Ø (cm)]]^2/4)*10</f>
        <v>#DIV/0!</v>
      </c>
      <c r="AE159" s="4" t="e">
        <f ca="1">IF(ESF[[#This Row],[σ (MPa)]]&lt;INDEX(tipoEstaca[],MATCH($D$2,tipoEstaca[TIPO DE ESTACA],0),MATCH("σmáx (MPa)",tipoEstaca[#Headers],0)),0.4%*PI()*ESF[[#This Row],[Ø (cm)]]^2/4,"N.S.")</f>
        <v>#DIV/0!</v>
      </c>
      <c r="AF159" s="82">
        <f>INDEX(tipoEstaca[],MATCH($D$2,tipoEstaca[TIPO DE ESTACA],0),MATCH(ESF[[#Headers],[Comprimento (m)]],tipoEstaca[#Headers],0))</f>
        <v>2</v>
      </c>
      <c r="AG159" s="5" t="e">
        <f ca="1">ESF[[#This Row],[As,mín (cm²)]]/100^2*ESF[[#This Row],[Comprimento (m)]]*7850</f>
        <v>#DIV/0!</v>
      </c>
      <c r="AH159" s="4" t="e">
        <f ca="1">ESF[[#This Row],[nE]]*ESF[[#This Row],[Prof. (m)]]*ESF[[#This Row],[Ap (m²)]]</f>
        <v>#DIV/0!</v>
      </c>
      <c r="AI159" s="82" t="e">
        <f ca="1">IF(ESF[[#This Row],[nE]]=1,0,MAX(3*ESF[[#This Row],[Ø (cm)]],60))</f>
        <v>#DIV/0!</v>
      </c>
      <c r="AJ159" s="82" t="e">
        <f ca="1">IF(ESF[[#This Row],[nE]]=1,ESF[[#This Row],[Ø (cm)]]+2*10,MAX(1.5*ESF[[#This Row],[Ø (cm)]],ESF[[#This Row],[Ø (cm)]]+15))</f>
        <v>#DIV/0!</v>
      </c>
      <c r="AK159" s="82" t="e">
        <f ca="1">alturaUtil(ESF[[#This Row],[nE]],ESF[[#This Row],[Ø (cm)]],ESF[[#This Row],[e (cm)]],ESF[[#This Row],[ap,eq (cm)]])</f>
        <v>#VALUE!</v>
      </c>
      <c r="AL159" s="82" t="str">
        <f ca="1">IFERROR(ESF[[#This Row],[d (cm)]]+arredondarParaCimaMultiplo5cm(MAX(5,SQRT(PI())/2*ESF[[#This Row],[Ø (cm)]]/5)),"N.S.")</f>
        <v>N.S.</v>
      </c>
      <c r="AM159" s="5" t="e">
        <f ca="1">alpha(ESF[[#This Row],[nE]],ESF[[#This Row],[d (cm)]],ESF[[#This Row],[e (cm)]],ESF[[#This Row],[ap,eq (cm)]])</f>
        <v>#VALUE!</v>
      </c>
      <c r="AN159" s="35" t="str">
        <f ca="1">IFERROR(ESF[[#This Row],[Nsd (kN)]]/(ESF[[#This Row],[Ap (cm²)]]*SIN(ESF[[#This Row],[α]])^2),"N.S.")</f>
        <v>N.S.</v>
      </c>
      <c r="AO159" s="35" t="str">
        <f ca="1">IFERROR(ESF[[#This Row],[Nsd (kN)]]/(ESF[[#This Row],[nE]]*PI()*ESF[[#This Row],[Ø (cm)]]^2/4*SIN(ESF[[#This Row],[α]])^2),"N.S.")</f>
        <v>N.S.</v>
      </c>
      <c r="AP159" s="4" t="str">
        <f ca="1">IFERROR(INDEX(grupoEstacas[],ESF[[#This Row],[nE]],MATCH("coef. Blévot",grupoEstacas[#Headers],0)),"N.S.")</f>
        <v>N.S.</v>
      </c>
      <c r="AQ159" s="35" t="str">
        <f ca="1">IFERROR(ESF[[#This Row],[coef. Blévot]]*0.9*INDEX(tipoEstaca[],MATCH($D$2,tipoEstaca[TIPO DE ESTACA],0),MATCH("fcd (kN/cm²)",tipoEstaca[#Headers],0)),"N.S.")</f>
        <v>N.S.</v>
      </c>
      <c r="AR159" s="82" t="str">
        <f ca="1">IF(AND(ESF[[#This Row],[cd,b,pil (kN/cm²)]]&lt;=ESF[[#This Row],[cd,b,lim (kN/cm²)]],ESF[[#This Row],[cd,b,est (kN/cm²)]]&lt;=ESF[[#This Row],[cd,b,lim (kN/cm²)]]),"OK","ERRO")</f>
        <v>OK</v>
      </c>
      <c r="AS159" s="4" t="e">
        <f ca="1">As_lado(ESF[[#This Row],[nE]],ESF[[#This Row],[Nsd (kN)]],ESF[[#This Row],[d (cm)]],ESF[[#This Row],[e (cm)]],ESF[[#This Row],[ap,eq (cm)]])</f>
        <v>#VALUE!</v>
      </c>
      <c r="AT159" s="4" t="e">
        <f ca="1">IF(ESF[[#This Row],[nE]]=1,ESF[[#This Row],[As,lado (cm²)]],IF(ESF[[#This Row],[nE]]=2,0.075*2*ESF[a (cm)],"N.A."))</f>
        <v>#DIV/0!</v>
      </c>
      <c r="AU159" s="4" t="str">
        <f ca="1">IFERROR(IF(ESF[[#This Row],[nE]]=1,"N.A.",0.2*ESF[[#This Row],[As,lado (cm²)]]),"N.S.")</f>
        <v>N.S.</v>
      </c>
      <c r="AV159" s="4" t="e">
        <f ca="1">As_malha(ESF[[#This Row],[nE]],ESF[[#This Row],[As,lado (cm²)]],ESF[[#This Row],[Nsd (kN)]])</f>
        <v>#VALUE!</v>
      </c>
      <c r="AW159" s="4" t="e">
        <f ca="1">As_susp_tot(ESF[[#This Row],[nE]],ESF[[#This Row],[Nsd (kN)]])</f>
        <v>#VALUE!</v>
      </c>
      <c r="AX159" s="4" t="e">
        <f ca="1">Asp_face(ESF[[#This Row],[nE]],ESF[[#This Row],[As,lado (cm²)]])</f>
        <v>#VALUE!</v>
      </c>
      <c r="AY159" s="5" t="e">
        <f ca="1">acoBloco(ESF[[#This Row],[nE]],ESF[[#This Row],[e (cm)]],ESF[[#This Row],[a (cm)]],ESF[[#This Row],[h (cm)]],ESF[[#This Row],[As,lado (cm²)]],ESF[[#This Row],[Asp e Asw (cm²/m)]],ESF[[#This Row],[As,sup (cm²)]],ESF[[#This Row],[As,malha (cm²)]],ESF[[#This Row],[As,susp,tot (cm²)]],ESF[[#This Row],[Asp,face (cm²)]])</f>
        <v>#VALUE!</v>
      </c>
      <c r="AZ159" s="4" t="e">
        <f ca="1">concretoBloco(ESF[[#This Row],[nE]],ESF[[#This Row],[e (cm)]],ESF[[#This Row],[a (cm)]],ESF[[#This Row],[h (cm)]])</f>
        <v>#VALUE!</v>
      </c>
      <c r="BA159" s="5" t="e">
        <f ca="1">SUM(ESF[[#This Row],[Aço Est (kg)]],ESF[[#This Row],[Aço Bloco (kg)]])</f>
        <v>#DIV/0!</v>
      </c>
      <c r="BB159" s="4">
        <f>INDEX(composicoes[],MATCH(95580,composicoes[CÓDIGO],0),MATCH("CUSTO TOTAL",composicoes[#Headers],0))</f>
        <v>10.46</v>
      </c>
      <c r="BC159" s="4" t="e">
        <f ca="1">SUM(ESF[[#This Row],[Conc Est (m³)]],ESF[[#This Row],[Conc Bloco (m³)]])</f>
        <v>#DIV/0!</v>
      </c>
      <c r="BD159" s="4">
        <f>INDEX(composicoes[],MATCH(94966,composicoes[CÓDIGO],0),MATCH("CUSTO TOTAL",composicoes[#Headers],0))</f>
        <v>439.52</v>
      </c>
      <c r="BE159" s="38" t="e">
        <f ca="1">ESF[[#This Row],[Aço (kg)]]*ESF[[#This Row],[Aço (R$/kg)]]+ESF[[#This Row],[Conc (m³)]]*ESF[[#This Row],[Conc (R$/m³)]]</f>
        <v>#DIV/0!</v>
      </c>
      <c r="BF159" s="4" t="str">
        <f ca="1">IF(COUNTIF(ESF[#This Row],"N.S.")&gt;0,"lim.","OK")</f>
        <v>lim.</v>
      </c>
      <c r="BG159" s="4" t="str">
        <f>IF(ESF[[#This Row],[Prof. (m)]]&lt;3,"lim.","OK")</f>
        <v>lim.</v>
      </c>
      <c r="BH159" s="4" t="str">
        <f>IF(ESF[[#This Row],[Prof. (m)]]&gt;=8*ESF[[#This Row],[Ø (cm)]]/100,"OK","lim.")</f>
        <v>lim.</v>
      </c>
      <c r="BI159" s="4" t="str">
        <f>IF(AND(SPT!$F$3&lt;&gt;"",ESF[[#This Row],[Prof. (m)]]&gt;=SPT!$F$3),"lim.","OK")</f>
        <v>OK</v>
      </c>
      <c r="BJ159" s="4" t="str">
        <f>IF(COUNTIFS(ESF[Solo],"Areia",ESF[Prof. (m)],"&lt;="&amp;ESF[[#This Row],[Prof. (m)]])&gt;=1,"lim.","OK")</f>
        <v>OK</v>
      </c>
      <c r="BK159" s="4" t="str">
        <f ca="1">IF(ESF[[#This Row],[Verif. Biela]]="OK","OK","lim.")</f>
        <v>OK</v>
      </c>
      <c r="BL159" s="4" t="str">
        <f ca="1">IF(COUNTA(ESF[[#This Row],[Nº Est.]:[Biela comp.]])=COUNTIF(ESF[[#This Row],[Nº Est.]:[Biela comp.]],"OK"),"OK","lim.")</f>
        <v>lim.</v>
      </c>
      <c r="BM159" s="4" t="str">
        <f ca="1">IF(ESF[[#This Row],[Controle]]="OK",ESF[[#This Row],[nE]]&amp;" Ø"&amp;ESF[[#This Row],[Ø (cm)]]&amp;"cm Prof. "&amp;ESF[[#This Row],[Prof. (m)]]&amp;" m","")</f>
        <v/>
      </c>
      <c r="BN159" s="4" t="str">
        <f ca="1">IF(ESF[[#This Row],[idDimensionamento]]="","",ESF[[#This Row],[idPilar]]&amp;ESF[[#This Row],[idDimensionamento]])</f>
        <v/>
      </c>
    </row>
    <row r="160" spans="2:66" x14ac:dyDescent="0.25">
      <c r="B160" s="12">
        <f>ROUNDUP((ROW(ESF[[#This Row],[idDiâmetro]])-ROW(ESF[[#Headers],[idDiâmetro]]))/(COUNT(SPT[Prof. (m)])*COUNT(PILARES[Pilar])),0)</f>
        <v>6</v>
      </c>
      <c r="C160" s="12">
        <f>IF(ESF[[#This Row],[idDiâmetro]]&lt;&gt;B159,1,IF(ESF[[#This Row],[Prof. (m)]]=0,C159+1,C159))</f>
        <v>2</v>
      </c>
      <c r="D160" s="82">
        <f>IFERROR(IF(D159=MAX(SPT[Prof. (m)]),0,D159+1),0)</f>
        <v>1</v>
      </c>
      <c r="E160" s="82">
        <f>INDEX(SPT[],MATCH(ESF[[#This Row],[Prof. (m)]],SPT[Prof. (m)],0),2)</f>
        <v>2</v>
      </c>
      <c r="F160" s="82" t="str">
        <f>INDEX(SPT[],MATCH(ESF[[#This Row],[Prof. (m)]],SPT[Prof. (m)],0),3)</f>
        <v>Areia siltosa</v>
      </c>
      <c r="G160" s="82">
        <f>INDEX(estacas[],ESF[[#This Row],[idDiâmetro]],MATCH($B$2,estacas[#Headers],0))</f>
        <v>50</v>
      </c>
      <c r="H160" s="82">
        <f>INDEX(estacas[],MATCH(ESF[[#This Row],[Ø (cm)]],estacas[Ø ESF (cm)],0),MATCH(ESF[[#Headers],[Pe ESF (kN)]],estacas[#Headers],0))</f>
        <v>1000</v>
      </c>
      <c r="I160" s="4">
        <f>INDEX(K_alpha_C[],MATCH(ESF[[#This Row],[Solo]],K_alpha_C[Solo],0),2)</f>
        <v>0.8</v>
      </c>
      <c r="J160" s="5">
        <f>INDEX(K_alpha_C[],MATCH(ESF[[#This Row],[Solo]],K_alpha_C[Solo],0),3)</f>
        <v>2</v>
      </c>
      <c r="K160" s="4">
        <f>INDEX(F1_F2[],MATCH($D$2,F1_F2[Tipo de estaca],0),2)</f>
        <v>3</v>
      </c>
      <c r="L160" s="4">
        <f>INDEX(F1_F2[],MATCH($D$2,F1_F2[Tipo de estaca],0),3)</f>
        <v>6</v>
      </c>
      <c r="M160" s="4">
        <f>PI()*(ESF[[#This Row],[Ø (cm)]]/100)^2/4</f>
        <v>0.19634954084936207</v>
      </c>
      <c r="N160" s="4">
        <f>PI()*ESF[[#This Row],[Ø (cm)]]/100</f>
        <v>1.5707963267948966</v>
      </c>
      <c r="O160" s="4">
        <f>IF(ESF[[#This Row],[Prof. (m)]]=0,0,ESF[[#This Row],[α (%)]]/100*ESF[[#This Row],[K (MPa)]]*1000*ESF[[#This Row],[NSPT]])</f>
        <v>32</v>
      </c>
      <c r="P160" s="4">
        <f>IF(ESF[[#This Row],[Prof. (m)]]=0,0,(ESF[[#This Row],[K (MPa)]]*1000*ESF[[#This Row],[NSPT]]/ESF[[#This Row],[F1]]*ESF[[#This Row],[Ap (m²)]]+ESF[[#This Row],[U (m)]]/ESF[[#This Row],[F2]]*SUMIFS(ESF[(α∙K∙NL∙ΔL)],ESF[Prof. (m)],"&lt;="&amp;ESF[[#This Row],[Prof. (m)]],ESF[idDiâmetro],ESF[[#This Row],[idDiâmetro]],ESF[idPilar],ESF[[#This Row],[idPilar]]))/'DADOS CAP. CARGA'!$D$2)</f>
        <v>56.548667764616283</v>
      </c>
      <c r="Q160" s="12">
        <f>INDEX(C_alpha_beta[],MATCH(ESF[[#This Row],[Solo]],C_alpha_beta[Solo],0),MATCH(ESF[[#Headers],[C (kPa)]],C_alpha_beta[#Headers],0))</f>
        <v>400</v>
      </c>
      <c r="R160" s="4">
        <f>INDEX(C_alpha_beta[],MATCH(ESF[[#This Row],[Solo]],C_alpha_beta[Solo],0),MATCH(ESF[[#Headers],[α ESF]],C_alpha_beta[#Headers],0))</f>
        <v>0.5</v>
      </c>
      <c r="S160" s="4">
        <f>INDEX(C_alpha_beta[],MATCH(ESF[[#This Row],[Solo]],C_alpha_beta[Solo],0),MATCH(ESF[[#Headers],[β ESF]],C_alpha_beta[#Headers],0))</f>
        <v>0.5</v>
      </c>
      <c r="T160" s="4">
        <f>IF(ESF[[#This Row],[Prof. (m)]]=0,0,10*(ESF[[#This Row],[NSPT]]/3+1))</f>
        <v>16.666666666666664</v>
      </c>
      <c r="U160" s="4">
        <f>(ESF[[#This Row],[α ESF]]*ESF[[#This Row],[C (kPa)]]*ESF[[#This Row],[NSPT]]*ESF[[#This Row],[Ap (m²)]])/'DADOS CAP. CARGA'!$Q$2+(ESF[[#This Row],[β ESF]]*SUMIFS(ESF[10∙(NL/3+1)],ESF[Prof. (m)],"&lt;="&amp;ESF[[#This Row],[Prof. (m)]],ESF[idDiâmetro],ESF[[#This Row],[idDiâmetro]],ESF[idPilar],ESF[[#This Row],[idPilar]])*ESF[[#This Row],[U (m)]])/'DADOS CAP. CARGA'!$S$2</f>
        <v>26.179938779914941</v>
      </c>
      <c r="V160" s="4">
        <f>IF(SPT!$M$5=1,MIN(ESF[[#This Row],[Pe ESF (kN)]],ESF[[#This Row],[R_AV (kN)]]),IF(SPT!$M$5=2,MIN(ESF[[#This Row],[Pe ESF (kN)]],ESF[[#This Row],[R_DC (kN)]]),MIN(ESF[[#This Row],[Pe ESF (kN)]],ESF[[#This Row],[R_AV (kN)]],ESF[[#This Row],[R_DC (kN)]])))</f>
        <v>26.179938779914941</v>
      </c>
      <c r="W160" s="4">
        <f>INDEX(PILARES[],ESF[[#This Row],[idPilar]],MATCH("Carga (kN)",PILARES[#Headers],0))*1.4</f>
        <v>1750</v>
      </c>
      <c r="X160" s="12">
        <f>INDEX(PILARES[],ESF[[#This Row],[idPilar]],MATCH(ESF[[#Headers],[ap (cm)]],PILARES[#Headers],0))</f>
        <v>50</v>
      </c>
      <c r="Y160" s="12">
        <f>INDEX(PILARES[],ESF[[#This Row],[idPilar]],MATCH(ESF[[#Headers],[bp (cm)]],PILARES[#Headers],0))</f>
        <v>40</v>
      </c>
      <c r="Z160" s="4">
        <f>SQRT(ESF[[#This Row],[ap (cm)]]*ESF[[#This Row],[bp (cm)]])</f>
        <v>44.721359549995796</v>
      </c>
      <c r="AA160" s="12">
        <f>ESF[[#This Row],[ap (cm)]]*ESF[[#This Row],[bp (cm)]]</f>
        <v>2000</v>
      </c>
      <c r="AB160" s="12">
        <f ca="1">IF(ESF[[#This Row],[Padm∙ε (kN)]]&gt;=ESF[[#This Row],[Padm (kN)]],ROUNDUP(1.05*ESF[[#This Row],[Nsd (kN)]]/ESF[[#This Row],[Padm (kN)]],0),ROUNDUP(1.05*ESF[[#This Row],[Nsd (kN)]]/ESF[[#This Row],[Padm (kN)]],0)+1)</f>
        <v>71</v>
      </c>
      <c r="AC160" s="4" t="str">
        <f ca="1">IFERROR(IF(ESF[[#This Row],[nE]]=1,ESF[[#This Row],[Padm (kN)]],ESF[[#This Row],[Padm (kN)]]*ESF[[#This Row],[nE]]*INDEX(grupoEstacas[],ESF[[#This Row],[nE]],MATCH("ε",grupoEstacas[#Headers],0))),"N.S.")</f>
        <v>N.S.</v>
      </c>
      <c r="AD160" s="4">
        <f ca="1">1.05*ESF[[#This Row],[Nsd (kN)]]/(ESF[[#This Row],[nE]]*PI()*ESF[[#This Row],[Ø (cm)]]^2/4)*10</f>
        <v>0.13180719230709076</v>
      </c>
      <c r="AE160" s="4">
        <f ca="1">IF(ESF[[#This Row],[σ (MPa)]]&lt;INDEX(tipoEstaca[],MATCH($D$2,tipoEstaca[TIPO DE ESTACA],0),MATCH("σmáx (MPa)",tipoEstaca[#Headers],0)),0.4%*PI()*ESF[[#This Row],[Ø (cm)]]^2/4,"N.S.")</f>
        <v>7.8539816339744837</v>
      </c>
      <c r="AF160" s="82">
        <f>INDEX(tipoEstaca[],MATCH($D$2,tipoEstaca[TIPO DE ESTACA],0),MATCH(ESF[[#Headers],[Comprimento (m)]],tipoEstaca[#Headers],0))</f>
        <v>2</v>
      </c>
      <c r="AG160" s="5">
        <f ca="1">ESF[[#This Row],[As,mín (cm²)]]/100^2*ESF[[#This Row],[Comprimento (m)]]*7850</f>
        <v>12.330751165339938</v>
      </c>
      <c r="AH160" s="4">
        <f ca="1">ESF[[#This Row],[nE]]*ESF[[#This Row],[Prof. (m)]]*ESF[[#This Row],[Ap (m²)]]</f>
        <v>13.940817400304708</v>
      </c>
      <c r="AI160" s="82">
        <f ca="1">IF(ESF[[#This Row],[nE]]=1,0,MAX(3*ESF[[#This Row],[Ø (cm)]],60))</f>
        <v>150</v>
      </c>
      <c r="AJ160" s="82">
        <f ca="1">IF(ESF[[#This Row],[nE]]=1,ESF[[#This Row],[Ø (cm)]]+2*10,MAX(1.5*ESF[[#This Row],[Ø (cm)]],ESF[[#This Row],[Ø (cm)]]+15))</f>
        <v>75</v>
      </c>
      <c r="AK160" s="82" t="str">
        <f ca="1">alturaUtil(ESF[[#This Row],[nE]],ESF[[#This Row],[Ø (cm)]],ESF[[#This Row],[e (cm)]],ESF[[#This Row],[ap,eq (cm)]])</f>
        <v>N.S.</v>
      </c>
      <c r="AL160" s="82" t="str">
        <f ca="1">IFERROR(ESF[[#This Row],[d (cm)]]+arredondarParaCimaMultiplo5cm(MAX(5,SQRT(PI())/2*ESF[[#This Row],[Ø (cm)]]/5)),"N.S.")</f>
        <v>N.S.</v>
      </c>
      <c r="AM160" s="5" t="str">
        <f ca="1">alpha(ESF[[#This Row],[nE]],ESF[[#This Row],[d (cm)]],ESF[[#This Row],[e (cm)]],ESF[[#This Row],[ap,eq (cm)]])</f>
        <v>N.S.</v>
      </c>
      <c r="AN160" s="35" t="str">
        <f ca="1">IFERROR(ESF[[#This Row],[Nsd (kN)]]/(ESF[[#This Row],[Ap (cm²)]]*SIN(ESF[[#This Row],[α]])^2),"N.S.")</f>
        <v>N.S.</v>
      </c>
      <c r="AO160" s="35" t="str">
        <f ca="1">IFERROR(ESF[[#This Row],[Nsd (kN)]]/(ESF[[#This Row],[nE]]*PI()*ESF[[#This Row],[Ø (cm)]]^2/4*SIN(ESF[[#This Row],[α]])^2),"N.S.")</f>
        <v>N.S.</v>
      </c>
      <c r="AP160" s="4" t="str">
        <f ca="1">IFERROR(INDEX(grupoEstacas[],ESF[[#This Row],[nE]],MATCH("coef. Blévot",grupoEstacas[#Headers],0)),"N.S.")</f>
        <v>N.S.</v>
      </c>
      <c r="AQ160" s="35" t="str">
        <f ca="1">IFERROR(ESF[[#This Row],[coef. Blévot]]*0.9*INDEX(tipoEstaca[],MATCH($D$2,tipoEstaca[TIPO DE ESTACA],0),MATCH("fcd (kN/cm²)",tipoEstaca[#Headers],0)),"N.S.")</f>
        <v>N.S.</v>
      </c>
      <c r="AR160" s="82" t="str">
        <f ca="1">IF(AND(ESF[[#This Row],[cd,b,pil (kN/cm²)]]&lt;=ESF[[#This Row],[cd,b,lim (kN/cm²)]],ESF[[#This Row],[cd,b,est (kN/cm²)]]&lt;=ESF[[#This Row],[cd,b,lim (kN/cm²)]]),"OK","ERRO")</f>
        <v>OK</v>
      </c>
      <c r="AS160" s="4" t="str">
        <f ca="1">As_lado(ESF[[#This Row],[nE]],ESF[[#This Row],[Nsd (kN)]],ESF[[#This Row],[d (cm)]],ESF[[#This Row],[e (cm)]],ESF[[#This Row],[ap,eq (cm)]])</f>
        <v>N.S.</v>
      </c>
      <c r="AT160" s="4" t="str">
        <f ca="1">IF(ESF[[#This Row],[nE]]=1,ESF[[#This Row],[As,lado (cm²)]],IF(ESF[[#This Row],[nE]]=2,0.075*2*ESF[a (cm)],"N.A."))</f>
        <v>N.A.</v>
      </c>
      <c r="AU160" s="4" t="str">
        <f ca="1">IFERROR(IF(ESF[[#This Row],[nE]]=1,"N.A.",0.2*ESF[[#This Row],[As,lado (cm²)]]),"N.S.")</f>
        <v>N.S.</v>
      </c>
      <c r="AV160" s="4" t="str">
        <f ca="1">As_malha(ESF[[#This Row],[nE]],ESF[[#This Row],[As,lado (cm²)]],ESF[[#This Row],[Nsd (kN)]])</f>
        <v>N.S.</v>
      </c>
      <c r="AW160" s="4" t="str">
        <f ca="1">As_susp_tot(ESF[[#This Row],[nE]],ESF[[#This Row],[Nsd (kN)]])</f>
        <v>N.S.</v>
      </c>
      <c r="AX160" s="4" t="str">
        <f ca="1">Asp_face(ESF[[#This Row],[nE]],ESF[[#This Row],[As,lado (cm²)]])</f>
        <v>N.S.</v>
      </c>
      <c r="AY160" s="5" t="str">
        <f ca="1">acoBloco(ESF[[#This Row],[nE]],ESF[[#This Row],[e (cm)]],ESF[[#This Row],[a (cm)]],ESF[[#This Row],[h (cm)]],ESF[[#This Row],[As,lado (cm²)]],ESF[[#This Row],[Asp e Asw (cm²/m)]],ESF[[#This Row],[As,sup (cm²)]],ESF[[#This Row],[As,malha (cm²)]],ESF[[#This Row],[As,susp,tot (cm²)]],ESF[[#This Row],[Asp,face (cm²)]])</f>
        <v>N.S.</v>
      </c>
      <c r="AZ160" s="4" t="str">
        <f ca="1">concretoBloco(ESF[[#This Row],[nE]],ESF[[#This Row],[e (cm)]],ESF[[#This Row],[a (cm)]],ESF[[#This Row],[h (cm)]])</f>
        <v>N.S.</v>
      </c>
      <c r="BA160" s="5">
        <f ca="1">SUM(ESF[[#This Row],[Aço Est (kg)]],ESF[[#This Row],[Aço Bloco (kg)]])</f>
        <v>12.330751165339938</v>
      </c>
      <c r="BB160" s="4">
        <f>INDEX(composicoes[],MATCH(95580,composicoes[CÓDIGO],0),MATCH("CUSTO TOTAL",composicoes[#Headers],0))</f>
        <v>10.46</v>
      </c>
      <c r="BC160" s="4">
        <f ca="1">SUM(ESF[[#This Row],[Conc Est (m³)]],ESF[[#This Row],[Conc Bloco (m³)]])</f>
        <v>13.940817400304708</v>
      </c>
      <c r="BD160" s="4">
        <f>INDEX(composicoes[],MATCH(94966,composicoes[CÓDIGO],0),MATCH("CUSTO TOTAL",composicoes[#Headers],0))</f>
        <v>439.52</v>
      </c>
      <c r="BE160" s="38">
        <f ca="1">ESF[[#This Row],[Aço (kg)]]*ESF[[#This Row],[Aço (R$/kg)]]+ESF[[#This Row],[Conc (m³)]]*ESF[[#This Row],[Conc (R$/m³)]]</f>
        <v>6256.2477209713807</v>
      </c>
      <c r="BF160" s="4" t="str">
        <f ca="1">IF(COUNTIF(ESF[#This Row],"N.S.")&gt;0,"lim.","OK")</f>
        <v>lim.</v>
      </c>
      <c r="BG160" s="4" t="str">
        <f>IF(ESF[[#This Row],[Prof. (m)]]&lt;3,"lim.","OK")</f>
        <v>lim.</v>
      </c>
      <c r="BH160" s="4" t="str">
        <f>IF(ESF[[#This Row],[Prof. (m)]]&gt;=8*ESF[[#This Row],[Ø (cm)]]/100,"OK","lim.")</f>
        <v>lim.</v>
      </c>
      <c r="BI160" s="4" t="str">
        <f>IF(AND(SPT!$F$3&lt;&gt;"",ESF[[#This Row],[Prof. (m)]]&gt;=SPT!$F$3),"lim.","OK")</f>
        <v>OK</v>
      </c>
      <c r="BJ160" s="4" t="str">
        <f>IF(COUNTIFS(ESF[Solo],"Areia",ESF[Prof. (m)],"&lt;="&amp;ESF[[#This Row],[Prof. (m)]])&gt;=1,"lim.","OK")</f>
        <v>OK</v>
      </c>
      <c r="BK160" s="4" t="str">
        <f ca="1">IF(ESF[[#This Row],[Verif. Biela]]="OK","OK","lim.")</f>
        <v>OK</v>
      </c>
      <c r="BL160" s="4" t="str">
        <f ca="1">IF(COUNTA(ESF[[#This Row],[Nº Est.]:[Biela comp.]])=COUNTIF(ESF[[#This Row],[Nº Est.]:[Biela comp.]],"OK"),"OK","lim.")</f>
        <v>lim.</v>
      </c>
      <c r="BM160" s="4" t="str">
        <f ca="1">IF(ESF[[#This Row],[Controle]]="OK",ESF[[#This Row],[nE]]&amp;" Ø"&amp;ESF[[#This Row],[Ø (cm)]]&amp;"cm Prof. "&amp;ESF[[#This Row],[Prof. (m)]]&amp;" m","")</f>
        <v/>
      </c>
      <c r="BN160" s="4" t="str">
        <f ca="1">IF(ESF[[#This Row],[idDimensionamento]]="","",ESF[[#This Row],[idPilar]]&amp;ESF[[#This Row],[idDimensionamento]])</f>
        <v/>
      </c>
    </row>
    <row r="161" spans="2:66" x14ac:dyDescent="0.25">
      <c r="B161" s="12">
        <f>ROUNDUP((ROW(ESF[[#This Row],[idDiâmetro]])-ROW(ESF[[#Headers],[idDiâmetro]]))/(COUNT(SPT[Prof. (m)])*COUNT(PILARES[Pilar])),0)</f>
        <v>6</v>
      </c>
      <c r="C161" s="12">
        <f>IF(ESF[[#This Row],[idDiâmetro]]&lt;&gt;B160,1,IF(ESF[[#This Row],[Prof. (m)]]=0,C160+1,C160))</f>
        <v>2</v>
      </c>
      <c r="D161" s="82">
        <f>IFERROR(IF(D160=MAX(SPT[Prof. (m)]),0,D160+1),0)</f>
        <v>2</v>
      </c>
      <c r="E161" s="82">
        <f>INDEX(SPT[],MATCH(ESF[[#This Row],[Prof. (m)]],SPT[Prof. (m)],0),2)</f>
        <v>2</v>
      </c>
      <c r="F161" s="82" t="str">
        <f>INDEX(SPT[],MATCH(ESF[[#This Row],[Prof. (m)]],SPT[Prof. (m)],0),3)</f>
        <v>Areia siltosa</v>
      </c>
      <c r="G161" s="82">
        <f>INDEX(estacas[],ESF[[#This Row],[idDiâmetro]],MATCH($B$2,estacas[#Headers],0))</f>
        <v>50</v>
      </c>
      <c r="H161" s="82">
        <f>INDEX(estacas[],MATCH(ESF[[#This Row],[Ø (cm)]],estacas[Ø ESF (cm)],0),MATCH(ESF[[#Headers],[Pe ESF (kN)]],estacas[#Headers],0))</f>
        <v>1000</v>
      </c>
      <c r="I161" s="4">
        <f>INDEX(K_alpha_C[],MATCH(ESF[[#This Row],[Solo]],K_alpha_C[Solo],0),2)</f>
        <v>0.8</v>
      </c>
      <c r="J161" s="5">
        <f>INDEX(K_alpha_C[],MATCH(ESF[[#This Row],[Solo]],K_alpha_C[Solo],0),3)</f>
        <v>2</v>
      </c>
      <c r="K161" s="4">
        <f>INDEX(F1_F2[],MATCH($D$2,F1_F2[Tipo de estaca],0),2)</f>
        <v>3</v>
      </c>
      <c r="L161" s="4">
        <f>INDEX(F1_F2[],MATCH($D$2,F1_F2[Tipo de estaca],0),3)</f>
        <v>6</v>
      </c>
      <c r="M161" s="4">
        <f>PI()*(ESF[[#This Row],[Ø (cm)]]/100)^2/4</f>
        <v>0.19634954084936207</v>
      </c>
      <c r="N161" s="4">
        <f>PI()*ESF[[#This Row],[Ø (cm)]]/100</f>
        <v>1.5707963267948966</v>
      </c>
      <c r="O161" s="4">
        <f>IF(ESF[[#This Row],[Prof. (m)]]=0,0,ESF[[#This Row],[α (%)]]/100*ESF[[#This Row],[K (MPa)]]*1000*ESF[[#This Row],[NSPT]])</f>
        <v>32</v>
      </c>
      <c r="P161" s="4">
        <f>IF(ESF[[#This Row],[Prof. (m)]]=0,0,(ESF[[#This Row],[K (MPa)]]*1000*ESF[[#This Row],[NSPT]]/ESF[[#This Row],[F1]]*ESF[[#This Row],[Ap (m²)]]+ESF[[#This Row],[U (m)]]/ESF[[#This Row],[F2]]*SUMIFS(ESF[(α∙K∙NL∙ΔL)],ESF[Prof. (m)],"&lt;="&amp;ESF[[#This Row],[Prof. (m)]],ESF[idDiâmetro],ESF[[#This Row],[idDiâmetro]],ESF[idPilar],ESF[[#This Row],[idPilar]]))/'DADOS CAP. CARGA'!$D$2)</f>
        <v>60.737457969402669</v>
      </c>
      <c r="Q161" s="12">
        <f>INDEX(C_alpha_beta[],MATCH(ESF[[#This Row],[Solo]],C_alpha_beta[Solo],0),MATCH(ESF[[#Headers],[C (kPa)]],C_alpha_beta[#Headers],0))</f>
        <v>400</v>
      </c>
      <c r="R161" s="4">
        <f>INDEX(C_alpha_beta[],MATCH(ESF[[#This Row],[Solo]],C_alpha_beta[Solo],0),MATCH(ESF[[#Headers],[α ESF]],C_alpha_beta[#Headers],0))</f>
        <v>0.5</v>
      </c>
      <c r="S161" s="4">
        <f>INDEX(C_alpha_beta[],MATCH(ESF[[#This Row],[Solo]],C_alpha_beta[Solo],0),MATCH(ESF[[#Headers],[β ESF]],C_alpha_beta[#Headers],0))</f>
        <v>0.5</v>
      </c>
      <c r="T161" s="4">
        <f>IF(ESF[[#This Row],[Prof. (m)]]=0,0,10*(ESF[[#This Row],[NSPT]]/3+1))</f>
        <v>16.666666666666664</v>
      </c>
      <c r="U161" s="4">
        <f>(ESF[[#This Row],[α ESF]]*ESF[[#This Row],[C (kPa)]]*ESF[[#This Row],[NSPT]]*ESF[[#This Row],[Ap (m²)]])/'DADOS CAP. CARGA'!$Q$2+(ESF[[#This Row],[β ESF]]*SUMIFS(ESF[10∙(NL/3+1)],ESF[Prof. (m)],"&lt;="&amp;ESF[[#This Row],[Prof. (m)]],ESF[idDiâmetro],ESF[[#This Row],[idDiâmetro]],ESF[idPilar],ESF[[#This Row],[idPilar]])*ESF[[#This Row],[U (m)]])/'DADOS CAP. CARGA'!$S$2</f>
        <v>32.724923474893679</v>
      </c>
      <c r="V161" s="4">
        <f>IF(SPT!$M$5=1,MIN(ESF[[#This Row],[Pe ESF (kN)]],ESF[[#This Row],[R_AV (kN)]]),IF(SPT!$M$5=2,MIN(ESF[[#This Row],[Pe ESF (kN)]],ESF[[#This Row],[R_DC (kN)]]),MIN(ESF[[#This Row],[Pe ESF (kN)]],ESF[[#This Row],[R_AV (kN)]],ESF[[#This Row],[R_DC (kN)]])))</f>
        <v>32.724923474893679</v>
      </c>
      <c r="W161" s="4">
        <f>INDEX(PILARES[],ESF[[#This Row],[idPilar]],MATCH("Carga (kN)",PILARES[#Headers],0))*1.4</f>
        <v>1750</v>
      </c>
      <c r="X161" s="12">
        <f>INDEX(PILARES[],ESF[[#This Row],[idPilar]],MATCH(ESF[[#Headers],[ap (cm)]],PILARES[#Headers],0))</f>
        <v>50</v>
      </c>
      <c r="Y161" s="12">
        <f>INDEX(PILARES[],ESF[[#This Row],[idPilar]],MATCH(ESF[[#Headers],[bp (cm)]],PILARES[#Headers],0))</f>
        <v>40</v>
      </c>
      <c r="Z161" s="4">
        <f>SQRT(ESF[[#This Row],[ap (cm)]]*ESF[[#This Row],[bp (cm)]])</f>
        <v>44.721359549995796</v>
      </c>
      <c r="AA161" s="12">
        <f>ESF[[#This Row],[ap (cm)]]*ESF[[#This Row],[bp (cm)]]</f>
        <v>2000</v>
      </c>
      <c r="AB161" s="12">
        <f ca="1">IF(ESF[[#This Row],[Padm∙ε (kN)]]&gt;=ESF[[#This Row],[Padm (kN)]],ROUNDUP(1.05*ESF[[#This Row],[Nsd (kN)]]/ESF[[#This Row],[Padm (kN)]],0),ROUNDUP(1.05*ESF[[#This Row],[Nsd (kN)]]/ESF[[#This Row],[Padm (kN)]],0)+1)</f>
        <v>57</v>
      </c>
      <c r="AC161" s="4" t="str">
        <f ca="1">IFERROR(IF(ESF[[#This Row],[nE]]=1,ESF[[#This Row],[Padm (kN)]],ESF[[#This Row],[Padm (kN)]]*ESF[[#This Row],[nE]]*INDEX(grupoEstacas[],ESF[[#This Row],[nE]],MATCH("ε",grupoEstacas[#Headers],0))),"N.S.")</f>
        <v>N.S.</v>
      </c>
      <c r="AD161" s="4">
        <f ca="1">1.05*ESF[[#This Row],[Nsd (kN)]]/(ESF[[#This Row],[nE]]*PI()*ESF[[#This Row],[Ø (cm)]]^2/4)*10</f>
        <v>0.16418088866321839</v>
      </c>
      <c r="AE161" s="4">
        <f ca="1">IF(ESF[[#This Row],[σ (MPa)]]&lt;INDEX(tipoEstaca[],MATCH($D$2,tipoEstaca[TIPO DE ESTACA],0),MATCH("σmáx (MPa)",tipoEstaca[#Headers],0)),0.4%*PI()*ESF[[#This Row],[Ø (cm)]]^2/4,"N.S.")</f>
        <v>7.8539816339744837</v>
      </c>
      <c r="AF161" s="82">
        <f>INDEX(tipoEstaca[],MATCH($D$2,tipoEstaca[TIPO DE ESTACA],0),MATCH(ESF[[#Headers],[Comprimento (m)]],tipoEstaca[#Headers],0))</f>
        <v>2</v>
      </c>
      <c r="AG161" s="5">
        <f ca="1">ESF[[#This Row],[As,mín (cm²)]]/100^2*ESF[[#This Row],[Comprimento (m)]]*7850</f>
        <v>12.330751165339938</v>
      </c>
      <c r="AH161" s="4">
        <f ca="1">ESF[[#This Row],[nE]]*ESF[[#This Row],[Prof. (m)]]*ESF[[#This Row],[Ap (m²)]]</f>
        <v>22.383847656827275</v>
      </c>
      <c r="AI161" s="82">
        <f ca="1">IF(ESF[[#This Row],[nE]]=1,0,MAX(3*ESF[[#This Row],[Ø (cm)]],60))</f>
        <v>150</v>
      </c>
      <c r="AJ161" s="82">
        <f ca="1">IF(ESF[[#This Row],[nE]]=1,ESF[[#This Row],[Ø (cm)]]+2*10,MAX(1.5*ESF[[#This Row],[Ø (cm)]],ESF[[#This Row],[Ø (cm)]]+15))</f>
        <v>75</v>
      </c>
      <c r="AK161" s="82" t="str">
        <f ca="1">alturaUtil(ESF[[#This Row],[nE]],ESF[[#This Row],[Ø (cm)]],ESF[[#This Row],[e (cm)]],ESF[[#This Row],[ap,eq (cm)]])</f>
        <v>N.S.</v>
      </c>
      <c r="AL161" s="82" t="str">
        <f ca="1">IFERROR(ESF[[#This Row],[d (cm)]]+arredondarParaCimaMultiplo5cm(MAX(5,SQRT(PI())/2*ESF[[#This Row],[Ø (cm)]]/5)),"N.S.")</f>
        <v>N.S.</v>
      </c>
      <c r="AM161" s="5" t="str">
        <f ca="1">alpha(ESF[[#This Row],[nE]],ESF[[#This Row],[d (cm)]],ESF[[#This Row],[e (cm)]],ESF[[#This Row],[ap,eq (cm)]])</f>
        <v>N.S.</v>
      </c>
      <c r="AN161" s="35" t="str">
        <f ca="1">IFERROR(ESF[[#This Row],[Nsd (kN)]]/(ESF[[#This Row],[Ap (cm²)]]*SIN(ESF[[#This Row],[α]])^2),"N.S.")</f>
        <v>N.S.</v>
      </c>
      <c r="AO161" s="35" t="str">
        <f ca="1">IFERROR(ESF[[#This Row],[Nsd (kN)]]/(ESF[[#This Row],[nE]]*PI()*ESF[[#This Row],[Ø (cm)]]^2/4*SIN(ESF[[#This Row],[α]])^2),"N.S.")</f>
        <v>N.S.</v>
      </c>
      <c r="AP161" s="4" t="str">
        <f ca="1">IFERROR(INDEX(grupoEstacas[],ESF[[#This Row],[nE]],MATCH("coef. Blévot",grupoEstacas[#Headers],0)),"N.S.")</f>
        <v>N.S.</v>
      </c>
      <c r="AQ161" s="35" t="str">
        <f ca="1">IFERROR(ESF[[#This Row],[coef. Blévot]]*0.9*INDEX(tipoEstaca[],MATCH($D$2,tipoEstaca[TIPO DE ESTACA],0),MATCH("fcd (kN/cm²)",tipoEstaca[#Headers],0)),"N.S.")</f>
        <v>N.S.</v>
      </c>
      <c r="AR161" s="82" t="str">
        <f ca="1">IF(AND(ESF[[#This Row],[cd,b,pil (kN/cm²)]]&lt;=ESF[[#This Row],[cd,b,lim (kN/cm²)]],ESF[[#This Row],[cd,b,est (kN/cm²)]]&lt;=ESF[[#This Row],[cd,b,lim (kN/cm²)]]),"OK","ERRO")</f>
        <v>OK</v>
      </c>
      <c r="AS161" s="4" t="str">
        <f ca="1">As_lado(ESF[[#This Row],[nE]],ESF[[#This Row],[Nsd (kN)]],ESF[[#This Row],[d (cm)]],ESF[[#This Row],[e (cm)]],ESF[[#This Row],[ap,eq (cm)]])</f>
        <v>N.S.</v>
      </c>
      <c r="AT161" s="4" t="str">
        <f ca="1">IF(ESF[[#This Row],[nE]]=1,ESF[[#This Row],[As,lado (cm²)]],IF(ESF[[#This Row],[nE]]=2,0.075*2*ESF[a (cm)],"N.A."))</f>
        <v>N.A.</v>
      </c>
      <c r="AU161" s="4" t="str">
        <f ca="1">IFERROR(IF(ESF[[#This Row],[nE]]=1,"N.A.",0.2*ESF[[#This Row],[As,lado (cm²)]]),"N.S.")</f>
        <v>N.S.</v>
      </c>
      <c r="AV161" s="4" t="str">
        <f ca="1">As_malha(ESF[[#This Row],[nE]],ESF[[#This Row],[As,lado (cm²)]],ESF[[#This Row],[Nsd (kN)]])</f>
        <v>N.S.</v>
      </c>
      <c r="AW161" s="4" t="str">
        <f ca="1">As_susp_tot(ESF[[#This Row],[nE]],ESF[[#This Row],[Nsd (kN)]])</f>
        <v>N.S.</v>
      </c>
      <c r="AX161" s="4" t="str">
        <f ca="1">Asp_face(ESF[[#This Row],[nE]],ESF[[#This Row],[As,lado (cm²)]])</f>
        <v>N.S.</v>
      </c>
      <c r="AY161" s="5" t="str">
        <f ca="1">acoBloco(ESF[[#This Row],[nE]],ESF[[#This Row],[e (cm)]],ESF[[#This Row],[a (cm)]],ESF[[#This Row],[h (cm)]],ESF[[#This Row],[As,lado (cm²)]],ESF[[#This Row],[Asp e Asw (cm²/m)]],ESF[[#This Row],[As,sup (cm²)]],ESF[[#This Row],[As,malha (cm²)]],ESF[[#This Row],[As,susp,tot (cm²)]],ESF[[#This Row],[Asp,face (cm²)]])</f>
        <v>N.S.</v>
      </c>
      <c r="AZ161" s="4" t="str">
        <f ca="1">concretoBloco(ESF[[#This Row],[nE]],ESF[[#This Row],[e (cm)]],ESF[[#This Row],[a (cm)]],ESF[[#This Row],[h (cm)]])</f>
        <v>N.S.</v>
      </c>
      <c r="BA161" s="5">
        <f ca="1">SUM(ESF[[#This Row],[Aço Est (kg)]],ESF[[#This Row],[Aço Bloco (kg)]])</f>
        <v>12.330751165339938</v>
      </c>
      <c r="BB161" s="4">
        <f>INDEX(composicoes[],MATCH(95580,composicoes[CÓDIGO],0),MATCH("CUSTO TOTAL",composicoes[#Headers],0))</f>
        <v>10.46</v>
      </c>
      <c r="BC161" s="4">
        <f ca="1">SUM(ESF[[#This Row],[Conc Est (m³)]],ESF[[#This Row],[Conc Bloco (m³)]])</f>
        <v>22.383847656827275</v>
      </c>
      <c r="BD161" s="4">
        <f>INDEX(composicoes[],MATCH(94966,composicoes[CÓDIGO],0),MATCH("CUSTO TOTAL",composicoes[#Headers],0))</f>
        <v>439.52</v>
      </c>
      <c r="BE161" s="38">
        <f ca="1">ESF[[#This Row],[Aço (kg)]]*ESF[[#This Row],[Aço (R$/kg)]]+ESF[[#This Row],[Conc (m³)]]*ESF[[#This Row],[Conc (R$/m³)]]</f>
        <v>9967.1283793181774</v>
      </c>
      <c r="BF161" s="4" t="str">
        <f ca="1">IF(COUNTIF(ESF[#This Row],"N.S.")&gt;0,"lim.","OK")</f>
        <v>lim.</v>
      </c>
      <c r="BG161" s="4" t="str">
        <f>IF(ESF[[#This Row],[Prof. (m)]]&lt;3,"lim.","OK")</f>
        <v>lim.</v>
      </c>
      <c r="BH161" s="4" t="str">
        <f>IF(ESF[[#This Row],[Prof. (m)]]&gt;=8*ESF[[#This Row],[Ø (cm)]]/100,"OK","lim.")</f>
        <v>lim.</v>
      </c>
      <c r="BI161" s="4" t="str">
        <f>IF(AND(SPT!$F$3&lt;&gt;"",ESF[[#This Row],[Prof. (m)]]&gt;=SPT!$F$3),"lim.","OK")</f>
        <v>OK</v>
      </c>
      <c r="BJ161" s="4" t="str">
        <f>IF(COUNTIFS(ESF[Solo],"Areia",ESF[Prof. (m)],"&lt;="&amp;ESF[[#This Row],[Prof. (m)]])&gt;=1,"lim.","OK")</f>
        <v>OK</v>
      </c>
      <c r="BK161" s="4" t="str">
        <f ca="1">IF(ESF[[#This Row],[Verif. Biela]]="OK","OK","lim.")</f>
        <v>OK</v>
      </c>
      <c r="BL161" s="4" t="str">
        <f ca="1">IF(COUNTA(ESF[[#This Row],[Nº Est.]:[Biela comp.]])=COUNTIF(ESF[[#This Row],[Nº Est.]:[Biela comp.]],"OK"),"OK","lim.")</f>
        <v>lim.</v>
      </c>
      <c r="BM161" s="4" t="str">
        <f ca="1">IF(ESF[[#This Row],[Controle]]="OK",ESF[[#This Row],[nE]]&amp;" Ø"&amp;ESF[[#This Row],[Ø (cm)]]&amp;"cm Prof. "&amp;ESF[[#This Row],[Prof. (m)]]&amp;" m","")</f>
        <v/>
      </c>
      <c r="BN161" s="4" t="str">
        <f ca="1">IF(ESF[[#This Row],[idDimensionamento]]="","",ESF[[#This Row],[idPilar]]&amp;ESF[[#This Row],[idDimensionamento]])</f>
        <v/>
      </c>
    </row>
    <row r="162" spans="2:66" x14ac:dyDescent="0.25">
      <c r="B162" s="12">
        <f>ROUNDUP((ROW(ESF[[#This Row],[idDiâmetro]])-ROW(ESF[[#Headers],[idDiâmetro]]))/(COUNT(SPT[Prof. (m)])*COUNT(PILARES[Pilar])),0)</f>
        <v>6</v>
      </c>
      <c r="C162" s="12">
        <f>IF(ESF[[#This Row],[idDiâmetro]]&lt;&gt;B161,1,IF(ESF[[#This Row],[Prof. (m)]]=0,C161+1,C161))</f>
        <v>2</v>
      </c>
      <c r="D162" s="82">
        <f>IFERROR(IF(D161=MAX(SPT[Prof. (m)]),0,D161+1),0)</f>
        <v>3</v>
      </c>
      <c r="E162" s="82">
        <f>INDEX(SPT[],MATCH(ESF[[#This Row],[Prof. (m)]],SPT[Prof. (m)],0),2)</f>
        <v>4</v>
      </c>
      <c r="F162" s="82" t="str">
        <f>INDEX(SPT[],MATCH(ESF[[#This Row],[Prof. (m)]],SPT[Prof. (m)],0),3)</f>
        <v>Areia siltosa</v>
      </c>
      <c r="G162" s="82">
        <f>INDEX(estacas[],ESF[[#This Row],[idDiâmetro]],MATCH($B$2,estacas[#Headers],0))</f>
        <v>50</v>
      </c>
      <c r="H162" s="82">
        <f>INDEX(estacas[],MATCH(ESF[[#This Row],[Ø (cm)]],estacas[Ø ESF (cm)],0),MATCH(ESF[[#Headers],[Pe ESF (kN)]],estacas[#Headers],0))</f>
        <v>1000</v>
      </c>
      <c r="I162" s="4">
        <f>INDEX(K_alpha_C[],MATCH(ESF[[#This Row],[Solo]],K_alpha_C[Solo],0),2)</f>
        <v>0.8</v>
      </c>
      <c r="J162" s="5">
        <f>INDEX(K_alpha_C[],MATCH(ESF[[#This Row],[Solo]],K_alpha_C[Solo],0),3)</f>
        <v>2</v>
      </c>
      <c r="K162" s="4">
        <f>INDEX(F1_F2[],MATCH($D$2,F1_F2[Tipo de estaca],0),2)</f>
        <v>3</v>
      </c>
      <c r="L162" s="4">
        <f>INDEX(F1_F2[],MATCH($D$2,F1_F2[Tipo de estaca],0),3)</f>
        <v>6</v>
      </c>
      <c r="M162" s="4">
        <f>PI()*(ESF[[#This Row],[Ø (cm)]]/100)^2/4</f>
        <v>0.19634954084936207</v>
      </c>
      <c r="N162" s="4">
        <f>PI()*ESF[[#This Row],[Ø (cm)]]/100</f>
        <v>1.5707963267948966</v>
      </c>
      <c r="O162" s="4">
        <f>IF(ESF[[#This Row],[Prof. (m)]]=0,0,ESF[[#This Row],[α (%)]]/100*ESF[[#This Row],[K (MPa)]]*1000*ESF[[#This Row],[NSPT]])</f>
        <v>64</v>
      </c>
      <c r="P162" s="4">
        <f>IF(ESF[[#This Row],[Prof. (m)]]=0,0,(ESF[[#This Row],[K (MPa)]]*1000*ESF[[#This Row],[NSPT]]/ESF[[#This Row],[F1]]*ESF[[#This Row],[Ap (m²)]]+ESF[[#This Row],[U (m)]]/ESF[[#This Row],[F2]]*SUMIFS(ESF[(α∙K∙NL∙ΔL)],ESF[Prof. (m)],"&lt;="&amp;ESF[[#This Row],[Prof. (m)]],ESF[idDiâmetro],ESF[[#This Row],[idDiâmetro]],ESF[idPilar],ESF[[#This Row],[idPilar]]))/'DADOS CAP. CARGA'!$D$2)</f>
        <v>121.47491593880534</v>
      </c>
      <c r="Q162" s="12">
        <f>INDEX(C_alpha_beta[],MATCH(ESF[[#This Row],[Solo]],C_alpha_beta[Solo],0),MATCH(ESF[[#Headers],[C (kPa)]],C_alpha_beta[#Headers],0))</f>
        <v>400</v>
      </c>
      <c r="R162" s="4">
        <f>INDEX(C_alpha_beta[],MATCH(ESF[[#This Row],[Solo]],C_alpha_beta[Solo],0),MATCH(ESF[[#Headers],[α ESF]],C_alpha_beta[#Headers],0))</f>
        <v>0.5</v>
      </c>
      <c r="S162" s="4">
        <f>INDEX(C_alpha_beta[],MATCH(ESF[[#This Row],[Solo]],C_alpha_beta[Solo],0),MATCH(ESF[[#Headers],[β ESF]],C_alpha_beta[#Headers],0))</f>
        <v>0.5</v>
      </c>
      <c r="T162" s="4">
        <f>IF(ESF[[#This Row],[Prof. (m)]]=0,0,10*(ESF[[#This Row],[NSPT]]/3+1))</f>
        <v>23.333333333333329</v>
      </c>
      <c r="U162" s="4">
        <f>(ESF[[#This Row],[α ESF]]*ESF[[#This Row],[C (kPa)]]*ESF[[#This Row],[NSPT]]*ESF[[#This Row],[Ap (m²)]])/'DADOS CAP. CARGA'!$Q$2+(ESF[[#This Row],[β ESF]]*SUMIFS(ESF[10∙(NL/3+1)],ESF[Prof. (m)],"&lt;="&amp;ESF[[#This Row],[Prof. (m)]],ESF[idDiâmetro],ESF[[#This Row],[idDiâmetro]],ESF[idPilar],ESF[[#This Row],[idPilar]])*ESF[[#This Row],[U (m)]])/'DADOS CAP. CARGA'!$S$2</f>
        <v>61.522856132800115</v>
      </c>
      <c r="V162" s="4">
        <f>IF(SPT!$M$5=1,MIN(ESF[[#This Row],[Pe ESF (kN)]],ESF[[#This Row],[R_AV (kN)]]),IF(SPT!$M$5=2,MIN(ESF[[#This Row],[Pe ESF (kN)]],ESF[[#This Row],[R_DC (kN)]]),MIN(ESF[[#This Row],[Pe ESF (kN)]],ESF[[#This Row],[R_AV (kN)]],ESF[[#This Row],[R_DC (kN)]])))</f>
        <v>61.522856132800115</v>
      </c>
      <c r="W162" s="4">
        <f>INDEX(PILARES[],ESF[[#This Row],[idPilar]],MATCH("Carga (kN)",PILARES[#Headers],0))*1.4</f>
        <v>1750</v>
      </c>
      <c r="X162" s="12">
        <f>INDEX(PILARES[],ESF[[#This Row],[idPilar]],MATCH(ESF[[#Headers],[ap (cm)]],PILARES[#Headers],0))</f>
        <v>50</v>
      </c>
      <c r="Y162" s="12">
        <f>INDEX(PILARES[],ESF[[#This Row],[idPilar]],MATCH(ESF[[#Headers],[bp (cm)]],PILARES[#Headers],0))</f>
        <v>40</v>
      </c>
      <c r="Z162" s="4">
        <f>SQRT(ESF[[#This Row],[ap (cm)]]*ESF[[#This Row],[bp (cm)]])</f>
        <v>44.721359549995796</v>
      </c>
      <c r="AA162" s="12">
        <f>ESF[[#This Row],[ap (cm)]]*ESF[[#This Row],[bp (cm)]]</f>
        <v>2000</v>
      </c>
      <c r="AB162" s="12">
        <f ca="1">IF(ESF[[#This Row],[Padm∙ε (kN)]]&gt;=ESF[[#This Row],[Padm (kN)]],ROUNDUP(1.05*ESF[[#This Row],[Nsd (kN)]]/ESF[[#This Row],[Padm (kN)]],0),ROUNDUP(1.05*ESF[[#This Row],[Nsd (kN)]]/ESF[[#This Row],[Padm (kN)]],0)+1)</f>
        <v>30</v>
      </c>
      <c r="AC162" s="4" t="str">
        <f ca="1">IFERROR(IF(ESF[[#This Row],[nE]]=1,ESF[[#This Row],[Padm (kN)]],ESF[[#This Row],[Padm (kN)]]*ESF[[#This Row],[nE]]*INDEX(grupoEstacas[],ESF[[#This Row],[nE]],MATCH("ε",grupoEstacas[#Headers],0))),"N.S.")</f>
        <v>N.S.</v>
      </c>
      <c r="AD162" s="4">
        <f ca="1">1.05*ESF[[#This Row],[Nsd (kN)]]/(ESF[[#This Row],[nE]]*PI()*ESF[[#This Row],[Ø (cm)]]^2/4)*10</f>
        <v>0.31194368846011489</v>
      </c>
      <c r="AE162" s="4">
        <f ca="1">IF(ESF[[#This Row],[σ (MPa)]]&lt;INDEX(tipoEstaca[],MATCH($D$2,tipoEstaca[TIPO DE ESTACA],0),MATCH("σmáx (MPa)",tipoEstaca[#Headers],0)),0.4%*PI()*ESF[[#This Row],[Ø (cm)]]^2/4,"N.S.")</f>
        <v>7.8539816339744837</v>
      </c>
      <c r="AF162" s="82">
        <f>INDEX(tipoEstaca[],MATCH($D$2,tipoEstaca[TIPO DE ESTACA],0),MATCH(ESF[[#Headers],[Comprimento (m)]],tipoEstaca[#Headers],0))</f>
        <v>2</v>
      </c>
      <c r="AG162" s="5">
        <f ca="1">ESF[[#This Row],[As,mín (cm²)]]/100^2*ESF[[#This Row],[Comprimento (m)]]*7850</f>
        <v>12.330751165339938</v>
      </c>
      <c r="AH162" s="4">
        <f ca="1">ESF[[#This Row],[nE]]*ESF[[#This Row],[Prof. (m)]]*ESF[[#This Row],[Ap (m²)]]</f>
        <v>17.671458676442587</v>
      </c>
      <c r="AI162" s="82">
        <f ca="1">IF(ESF[[#This Row],[nE]]=1,0,MAX(3*ESF[[#This Row],[Ø (cm)]],60))</f>
        <v>150</v>
      </c>
      <c r="AJ162" s="82">
        <f ca="1">IF(ESF[[#This Row],[nE]]=1,ESF[[#This Row],[Ø (cm)]]+2*10,MAX(1.5*ESF[[#This Row],[Ø (cm)]],ESF[[#This Row],[Ø (cm)]]+15))</f>
        <v>75</v>
      </c>
      <c r="AK162" s="82" t="str">
        <f ca="1">alturaUtil(ESF[[#This Row],[nE]],ESF[[#This Row],[Ø (cm)]],ESF[[#This Row],[e (cm)]],ESF[[#This Row],[ap,eq (cm)]])</f>
        <v>N.S.</v>
      </c>
      <c r="AL162" s="82" t="str">
        <f ca="1">IFERROR(ESF[[#This Row],[d (cm)]]+arredondarParaCimaMultiplo5cm(MAX(5,SQRT(PI())/2*ESF[[#This Row],[Ø (cm)]]/5)),"N.S.")</f>
        <v>N.S.</v>
      </c>
      <c r="AM162" s="5" t="str">
        <f ca="1">alpha(ESF[[#This Row],[nE]],ESF[[#This Row],[d (cm)]],ESF[[#This Row],[e (cm)]],ESF[[#This Row],[ap,eq (cm)]])</f>
        <v>N.S.</v>
      </c>
      <c r="AN162" s="35" t="str">
        <f ca="1">IFERROR(ESF[[#This Row],[Nsd (kN)]]/(ESF[[#This Row],[Ap (cm²)]]*SIN(ESF[[#This Row],[α]])^2),"N.S.")</f>
        <v>N.S.</v>
      </c>
      <c r="AO162" s="35" t="str">
        <f ca="1">IFERROR(ESF[[#This Row],[Nsd (kN)]]/(ESF[[#This Row],[nE]]*PI()*ESF[[#This Row],[Ø (cm)]]^2/4*SIN(ESF[[#This Row],[α]])^2),"N.S.")</f>
        <v>N.S.</v>
      </c>
      <c r="AP162" s="4" t="str">
        <f ca="1">IFERROR(INDEX(grupoEstacas[],ESF[[#This Row],[nE]],MATCH("coef. Blévot",grupoEstacas[#Headers],0)),"N.S.")</f>
        <v>N.S.</v>
      </c>
      <c r="AQ162" s="35" t="str">
        <f ca="1">IFERROR(ESF[[#This Row],[coef. Blévot]]*0.9*INDEX(tipoEstaca[],MATCH($D$2,tipoEstaca[TIPO DE ESTACA],0),MATCH("fcd (kN/cm²)",tipoEstaca[#Headers],0)),"N.S.")</f>
        <v>N.S.</v>
      </c>
      <c r="AR162" s="82" t="str">
        <f ca="1">IF(AND(ESF[[#This Row],[cd,b,pil (kN/cm²)]]&lt;=ESF[[#This Row],[cd,b,lim (kN/cm²)]],ESF[[#This Row],[cd,b,est (kN/cm²)]]&lt;=ESF[[#This Row],[cd,b,lim (kN/cm²)]]),"OK","ERRO")</f>
        <v>OK</v>
      </c>
      <c r="AS162" s="4" t="str">
        <f ca="1">As_lado(ESF[[#This Row],[nE]],ESF[[#This Row],[Nsd (kN)]],ESF[[#This Row],[d (cm)]],ESF[[#This Row],[e (cm)]],ESF[[#This Row],[ap,eq (cm)]])</f>
        <v>N.S.</v>
      </c>
      <c r="AT162" s="4" t="str">
        <f ca="1">IF(ESF[[#This Row],[nE]]=1,ESF[[#This Row],[As,lado (cm²)]],IF(ESF[[#This Row],[nE]]=2,0.075*2*ESF[a (cm)],"N.A."))</f>
        <v>N.A.</v>
      </c>
      <c r="AU162" s="4" t="str">
        <f ca="1">IFERROR(IF(ESF[[#This Row],[nE]]=1,"N.A.",0.2*ESF[[#This Row],[As,lado (cm²)]]),"N.S.")</f>
        <v>N.S.</v>
      </c>
      <c r="AV162" s="4" t="str">
        <f ca="1">As_malha(ESF[[#This Row],[nE]],ESF[[#This Row],[As,lado (cm²)]],ESF[[#This Row],[Nsd (kN)]])</f>
        <v>N.S.</v>
      </c>
      <c r="AW162" s="4" t="str">
        <f ca="1">As_susp_tot(ESF[[#This Row],[nE]],ESF[[#This Row],[Nsd (kN)]])</f>
        <v>N.S.</v>
      </c>
      <c r="AX162" s="4" t="str">
        <f ca="1">Asp_face(ESF[[#This Row],[nE]],ESF[[#This Row],[As,lado (cm²)]])</f>
        <v>N.S.</v>
      </c>
      <c r="AY162" s="5" t="str">
        <f ca="1">acoBloco(ESF[[#This Row],[nE]],ESF[[#This Row],[e (cm)]],ESF[[#This Row],[a (cm)]],ESF[[#This Row],[h (cm)]],ESF[[#This Row],[As,lado (cm²)]],ESF[[#This Row],[Asp e Asw (cm²/m)]],ESF[[#This Row],[As,sup (cm²)]],ESF[[#This Row],[As,malha (cm²)]],ESF[[#This Row],[As,susp,tot (cm²)]],ESF[[#This Row],[Asp,face (cm²)]])</f>
        <v>N.S.</v>
      </c>
      <c r="AZ162" s="4" t="str">
        <f ca="1">concretoBloco(ESF[[#This Row],[nE]],ESF[[#This Row],[e (cm)]],ESF[[#This Row],[a (cm)]],ESF[[#This Row],[h (cm)]])</f>
        <v>N.S.</v>
      </c>
      <c r="BA162" s="5">
        <f ca="1">SUM(ESF[[#This Row],[Aço Est (kg)]],ESF[[#This Row],[Aço Bloco (kg)]])</f>
        <v>12.330751165339938</v>
      </c>
      <c r="BB162" s="4">
        <f>INDEX(composicoes[],MATCH(95580,composicoes[CÓDIGO],0),MATCH("CUSTO TOTAL",composicoes[#Headers],0))</f>
        <v>10.46</v>
      </c>
      <c r="BC162" s="4">
        <f ca="1">SUM(ESF[[#This Row],[Conc Est (m³)]],ESF[[#This Row],[Conc Bloco (m³)]])</f>
        <v>17.671458676442587</v>
      </c>
      <c r="BD162" s="4">
        <f>INDEX(composicoes[],MATCH(94966,composicoes[CÓDIGO],0),MATCH("CUSTO TOTAL",composicoes[#Headers],0))</f>
        <v>439.52</v>
      </c>
      <c r="BE162" s="38">
        <f ca="1">ESF[[#This Row],[Aço (kg)]]*ESF[[#This Row],[Aço (R$/kg)]]+ESF[[#This Row],[Conc (m³)]]*ESF[[#This Row],[Conc (R$/m³)]]</f>
        <v>7895.9391746595011</v>
      </c>
      <c r="BF162" s="4" t="str">
        <f ca="1">IF(COUNTIF(ESF[#This Row],"N.S.")&gt;0,"lim.","OK")</f>
        <v>lim.</v>
      </c>
      <c r="BG162" s="4" t="str">
        <f>IF(ESF[[#This Row],[Prof. (m)]]&lt;3,"lim.","OK")</f>
        <v>OK</v>
      </c>
      <c r="BH162" s="4" t="str">
        <f>IF(ESF[[#This Row],[Prof. (m)]]&gt;=8*ESF[[#This Row],[Ø (cm)]]/100,"OK","lim.")</f>
        <v>lim.</v>
      </c>
      <c r="BI162" s="4" t="str">
        <f>IF(AND(SPT!$F$3&lt;&gt;"",ESF[[#This Row],[Prof. (m)]]&gt;=SPT!$F$3),"lim.","OK")</f>
        <v>OK</v>
      </c>
      <c r="BJ162" s="4" t="str">
        <f>IF(COUNTIFS(ESF[Solo],"Areia",ESF[Prof. (m)],"&lt;="&amp;ESF[[#This Row],[Prof. (m)]])&gt;=1,"lim.","OK")</f>
        <v>OK</v>
      </c>
      <c r="BK162" s="4" t="str">
        <f ca="1">IF(ESF[[#This Row],[Verif. Biela]]="OK","OK","lim.")</f>
        <v>OK</v>
      </c>
      <c r="BL162" s="4" t="str">
        <f ca="1">IF(COUNTA(ESF[[#This Row],[Nº Est.]:[Biela comp.]])=COUNTIF(ESF[[#This Row],[Nº Est.]:[Biela comp.]],"OK"),"OK","lim.")</f>
        <v>lim.</v>
      </c>
      <c r="BM162" s="4" t="str">
        <f ca="1">IF(ESF[[#This Row],[Controle]]="OK",ESF[[#This Row],[nE]]&amp;" Ø"&amp;ESF[[#This Row],[Ø (cm)]]&amp;"cm Prof. "&amp;ESF[[#This Row],[Prof. (m)]]&amp;" m","")</f>
        <v/>
      </c>
      <c r="BN162" s="4" t="str">
        <f ca="1">IF(ESF[[#This Row],[idDimensionamento]]="","",ESF[[#This Row],[idPilar]]&amp;ESF[[#This Row],[idDimensionamento]])</f>
        <v/>
      </c>
    </row>
    <row r="163" spans="2:66" x14ac:dyDescent="0.25">
      <c r="B163" s="12">
        <f>ROUNDUP((ROW(ESF[[#This Row],[idDiâmetro]])-ROW(ESF[[#Headers],[idDiâmetro]]))/(COUNT(SPT[Prof. (m)])*COUNT(PILARES[Pilar])),0)</f>
        <v>6</v>
      </c>
      <c r="C163" s="12">
        <f>IF(ESF[[#This Row],[idDiâmetro]]&lt;&gt;B162,1,IF(ESF[[#This Row],[Prof. (m)]]=0,C162+1,C162))</f>
        <v>2</v>
      </c>
      <c r="D163" s="82">
        <f>IFERROR(IF(D162=MAX(SPT[Prof. (m)]),0,D162+1),0)</f>
        <v>4</v>
      </c>
      <c r="E163" s="82">
        <f>INDEX(SPT[],MATCH(ESF[[#This Row],[Prof. (m)]],SPT[Prof. (m)],0),2)</f>
        <v>8</v>
      </c>
      <c r="F163" s="82" t="str">
        <f>INDEX(SPT[],MATCH(ESF[[#This Row],[Prof. (m)]],SPT[Prof. (m)],0),3)</f>
        <v>Areia siltosa</v>
      </c>
      <c r="G163" s="82">
        <f>INDEX(estacas[],ESF[[#This Row],[idDiâmetro]],MATCH($B$2,estacas[#Headers],0))</f>
        <v>50</v>
      </c>
      <c r="H163" s="82">
        <f>INDEX(estacas[],MATCH(ESF[[#This Row],[Ø (cm)]],estacas[Ø ESF (cm)],0),MATCH(ESF[[#Headers],[Pe ESF (kN)]],estacas[#Headers],0))</f>
        <v>1000</v>
      </c>
      <c r="I163" s="4">
        <f>INDEX(K_alpha_C[],MATCH(ESF[[#This Row],[Solo]],K_alpha_C[Solo],0),2)</f>
        <v>0.8</v>
      </c>
      <c r="J163" s="5">
        <f>INDEX(K_alpha_C[],MATCH(ESF[[#This Row],[Solo]],K_alpha_C[Solo],0),3)</f>
        <v>2</v>
      </c>
      <c r="K163" s="4">
        <f>INDEX(F1_F2[],MATCH($D$2,F1_F2[Tipo de estaca],0),2)</f>
        <v>3</v>
      </c>
      <c r="L163" s="4">
        <f>INDEX(F1_F2[],MATCH($D$2,F1_F2[Tipo de estaca],0),3)</f>
        <v>6</v>
      </c>
      <c r="M163" s="4">
        <f>PI()*(ESF[[#This Row],[Ø (cm)]]/100)^2/4</f>
        <v>0.19634954084936207</v>
      </c>
      <c r="N163" s="4">
        <f>PI()*ESF[[#This Row],[Ø (cm)]]/100</f>
        <v>1.5707963267948966</v>
      </c>
      <c r="O163" s="4">
        <f>IF(ESF[[#This Row],[Prof. (m)]]=0,0,ESF[[#This Row],[α (%)]]/100*ESF[[#This Row],[K (MPa)]]*1000*ESF[[#This Row],[NSPT]])</f>
        <v>128</v>
      </c>
      <c r="P163" s="4">
        <f>IF(ESF[[#This Row],[Prof. (m)]]=0,0,(ESF[[#This Row],[K (MPa)]]*1000*ESF[[#This Row],[NSPT]]/ESF[[#This Row],[F1]]*ESF[[#This Row],[Ap (m²)]]+ESF[[#This Row],[U (m)]]/ESF[[#This Row],[F2]]*SUMIFS(ESF[(α∙K∙NL∙ΔL)],ESF[Prof. (m)],"&lt;="&amp;ESF[[#This Row],[Prof. (m)]],ESF[idDiâmetro],ESF[[#This Row],[idDiâmetro]],ESF[idPilar],ESF[[#This Row],[idPilar]]))/'DADOS CAP. CARGA'!$D$2)</f>
        <v>242.94983187761068</v>
      </c>
      <c r="Q163" s="12">
        <f>INDEX(C_alpha_beta[],MATCH(ESF[[#This Row],[Solo]],C_alpha_beta[Solo],0),MATCH(ESF[[#Headers],[C (kPa)]],C_alpha_beta[#Headers],0))</f>
        <v>400</v>
      </c>
      <c r="R163" s="4">
        <f>INDEX(C_alpha_beta[],MATCH(ESF[[#This Row],[Solo]],C_alpha_beta[Solo],0),MATCH(ESF[[#Headers],[α ESF]],C_alpha_beta[#Headers],0))</f>
        <v>0.5</v>
      </c>
      <c r="S163" s="4">
        <f>INDEX(C_alpha_beta[],MATCH(ESF[[#This Row],[Solo]],C_alpha_beta[Solo],0),MATCH(ESF[[#Headers],[β ESF]],C_alpha_beta[#Headers],0))</f>
        <v>0.5</v>
      </c>
      <c r="T163" s="4">
        <f>IF(ESF[[#This Row],[Prof. (m)]]=0,0,10*(ESF[[#This Row],[NSPT]]/3+1))</f>
        <v>36.666666666666664</v>
      </c>
      <c r="U163" s="4">
        <f>(ESF[[#This Row],[α ESF]]*ESF[[#This Row],[C (kPa)]]*ESF[[#This Row],[NSPT]]*ESF[[#This Row],[Ap (m²)]])/'DADOS CAP. CARGA'!$Q$2+(ESF[[#This Row],[β ESF]]*SUMIFS(ESF[10∙(NL/3+1)],ESF[Prof. (m)],"&lt;="&amp;ESF[[#This Row],[Prof. (m)]],ESF[idDiâmetro],ESF[[#This Row],[idDiâmetro]],ESF[idPilar],ESF[[#This Row],[idPilar]])*ESF[[#This Row],[U (m)]])/'DADOS CAP. CARGA'!$S$2</f>
        <v>115.19173063162575</v>
      </c>
      <c r="V163" s="4">
        <f>IF(SPT!$M$5=1,MIN(ESF[[#This Row],[Pe ESF (kN)]],ESF[[#This Row],[R_AV (kN)]]),IF(SPT!$M$5=2,MIN(ESF[[#This Row],[Pe ESF (kN)]],ESF[[#This Row],[R_DC (kN)]]),MIN(ESF[[#This Row],[Pe ESF (kN)]],ESF[[#This Row],[R_AV (kN)]],ESF[[#This Row],[R_DC (kN)]])))</f>
        <v>115.19173063162575</v>
      </c>
      <c r="W163" s="4">
        <f>INDEX(PILARES[],ESF[[#This Row],[idPilar]],MATCH("Carga (kN)",PILARES[#Headers],0))*1.4</f>
        <v>1750</v>
      </c>
      <c r="X163" s="12">
        <f>INDEX(PILARES[],ESF[[#This Row],[idPilar]],MATCH(ESF[[#Headers],[ap (cm)]],PILARES[#Headers],0))</f>
        <v>50</v>
      </c>
      <c r="Y163" s="12">
        <f>INDEX(PILARES[],ESF[[#This Row],[idPilar]],MATCH(ESF[[#Headers],[bp (cm)]],PILARES[#Headers],0))</f>
        <v>40</v>
      </c>
      <c r="Z163" s="4">
        <f>SQRT(ESF[[#This Row],[ap (cm)]]*ESF[[#This Row],[bp (cm)]])</f>
        <v>44.721359549995796</v>
      </c>
      <c r="AA163" s="12">
        <f>ESF[[#This Row],[ap (cm)]]*ESF[[#This Row],[bp (cm)]]</f>
        <v>2000</v>
      </c>
      <c r="AB163" s="12">
        <f ca="1">IF(ESF[[#This Row],[Padm∙ε (kN)]]&gt;=ESF[[#This Row],[Padm (kN)]],ROUNDUP(1.05*ESF[[#This Row],[Nsd (kN)]]/ESF[[#This Row],[Padm (kN)]],0),ROUNDUP(1.05*ESF[[#This Row],[Nsd (kN)]]/ESF[[#This Row],[Padm (kN)]],0)+1)</f>
        <v>16</v>
      </c>
      <c r="AC163" s="4" t="str">
        <f ca="1">IFERROR(IF(ESF[[#This Row],[nE]]=1,ESF[[#This Row],[Padm (kN)]],ESF[[#This Row],[Padm (kN)]]*ESF[[#This Row],[nE]]*INDEX(grupoEstacas[],ESF[[#This Row],[nE]],MATCH("ε",grupoEstacas[#Headers],0))),"N.S.")</f>
        <v>N.S.</v>
      </c>
      <c r="AD163" s="4">
        <f ca="1">1.05*ESF[[#This Row],[Nsd (kN)]]/(ESF[[#This Row],[nE]]*PI()*ESF[[#This Row],[Ø (cm)]]^2/4)*10</f>
        <v>0.5848944158627154</v>
      </c>
      <c r="AE163" s="4">
        <f ca="1">IF(ESF[[#This Row],[σ (MPa)]]&lt;INDEX(tipoEstaca[],MATCH($D$2,tipoEstaca[TIPO DE ESTACA],0),MATCH("σmáx (MPa)",tipoEstaca[#Headers],0)),0.4%*PI()*ESF[[#This Row],[Ø (cm)]]^2/4,"N.S.")</f>
        <v>7.8539816339744837</v>
      </c>
      <c r="AF163" s="82">
        <f>INDEX(tipoEstaca[],MATCH($D$2,tipoEstaca[TIPO DE ESTACA],0),MATCH(ESF[[#Headers],[Comprimento (m)]],tipoEstaca[#Headers],0))</f>
        <v>2</v>
      </c>
      <c r="AG163" s="5">
        <f ca="1">ESF[[#This Row],[As,mín (cm²)]]/100^2*ESF[[#This Row],[Comprimento (m)]]*7850</f>
        <v>12.330751165339938</v>
      </c>
      <c r="AH163" s="4">
        <f ca="1">ESF[[#This Row],[nE]]*ESF[[#This Row],[Prof. (m)]]*ESF[[#This Row],[Ap (m²)]]</f>
        <v>12.566370614359172</v>
      </c>
      <c r="AI163" s="82">
        <f ca="1">IF(ESF[[#This Row],[nE]]=1,0,MAX(3*ESF[[#This Row],[Ø (cm)]],60))</f>
        <v>150</v>
      </c>
      <c r="AJ163" s="82">
        <f ca="1">IF(ESF[[#This Row],[nE]]=1,ESF[[#This Row],[Ø (cm)]]+2*10,MAX(1.5*ESF[[#This Row],[Ø (cm)]],ESF[[#This Row],[Ø (cm)]]+15))</f>
        <v>75</v>
      </c>
      <c r="AK163" s="82" t="str">
        <f ca="1">alturaUtil(ESF[[#This Row],[nE]],ESF[[#This Row],[Ø (cm)]],ESF[[#This Row],[e (cm)]],ESF[[#This Row],[ap,eq (cm)]])</f>
        <v>N.S.</v>
      </c>
      <c r="AL163" s="82" t="str">
        <f ca="1">IFERROR(ESF[[#This Row],[d (cm)]]+arredondarParaCimaMultiplo5cm(MAX(5,SQRT(PI())/2*ESF[[#This Row],[Ø (cm)]]/5)),"N.S.")</f>
        <v>N.S.</v>
      </c>
      <c r="AM163" s="5" t="str">
        <f ca="1">alpha(ESF[[#This Row],[nE]],ESF[[#This Row],[d (cm)]],ESF[[#This Row],[e (cm)]],ESF[[#This Row],[ap,eq (cm)]])</f>
        <v>N.S.</v>
      </c>
      <c r="AN163" s="35" t="str">
        <f ca="1">IFERROR(ESF[[#This Row],[Nsd (kN)]]/(ESF[[#This Row],[Ap (cm²)]]*SIN(ESF[[#This Row],[α]])^2),"N.S.")</f>
        <v>N.S.</v>
      </c>
      <c r="AO163" s="35" t="str">
        <f ca="1">IFERROR(ESF[[#This Row],[Nsd (kN)]]/(ESF[[#This Row],[nE]]*PI()*ESF[[#This Row],[Ø (cm)]]^2/4*SIN(ESF[[#This Row],[α]])^2),"N.S.")</f>
        <v>N.S.</v>
      </c>
      <c r="AP163" s="4" t="str">
        <f ca="1">IFERROR(INDEX(grupoEstacas[],ESF[[#This Row],[nE]],MATCH("coef. Blévot",grupoEstacas[#Headers],0)),"N.S.")</f>
        <v>N.S.</v>
      </c>
      <c r="AQ163" s="35" t="str">
        <f ca="1">IFERROR(ESF[[#This Row],[coef. Blévot]]*0.9*INDEX(tipoEstaca[],MATCH($D$2,tipoEstaca[TIPO DE ESTACA],0),MATCH("fcd (kN/cm²)",tipoEstaca[#Headers],0)),"N.S.")</f>
        <v>N.S.</v>
      </c>
      <c r="AR163" s="82" t="str">
        <f ca="1">IF(AND(ESF[[#This Row],[cd,b,pil (kN/cm²)]]&lt;=ESF[[#This Row],[cd,b,lim (kN/cm²)]],ESF[[#This Row],[cd,b,est (kN/cm²)]]&lt;=ESF[[#This Row],[cd,b,lim (kN/cm²)]]),"OK","ERRO")</f>
        <v>OK</v>
      </c>
      <c r="AS163" s="4" t="str">
        <f ca="1">As_lado(ESF[[#This Row],[nE]],ESF[[#This Row],[Nsd (kN)]],ESF[[#This Row],[d (cm)]],ESF[[#This Row],[e (cm)]],ESF[[#This Row],[ap,eq (cm)]])</f>
        <v>N.S.</v>
      </c>
      <c r="AT163" s="4" t="str">
        <f ca="1">IF(ESF[[#This Row],[nE]]=1,ESF[[#This Row],[As,lado (cm²)]],IF(ESF[[#This Row],[nE]]=2,0.075*2*ESF[a (cm)],"N.A."))</f>
        <v>N.A.</v>
      </c>
      <c r="AU163" s="4" t="str">
        <f ca="1">IFERROR(IF(ESF[[#This Row],[nE]]=1,"N.A.",0.2*ESF[[#This Row],[As,lado (cm²)]]),"N.S.")</f>
        <v>N.S.</v>
      </c>
      <c r="AV163" s="4" t="str">
        <f ca="1">As_malha(ESF[[#This Row],[nE]],ESF[[#This Row],[As,lado (cm²)]],ESF[[#This Row],[Nsd (kN)]])</f>
        <v>N.S.</v>
      </c>
      <c r="AW163" s="4" t="str">
        <f ca="1">As_susp_tot(ESF[[#This Row],[nE]],ESF[[#This Row],[Nsd (kN)]])</f>
        <v>N.S.</v>
      </c>
      <c r="AX163" s="4" t="str">
        <f ca="1">Asp_face(ESF[[#This Row],[nE]],ESF[[#This Row],[As,lado (cm²)]])</f>
        <v>N.S.</v>
      </c>
      <c r="AY163" s="5" t="str">
        <f ca="1">acoBloco(ESF[[#This Row],[nE]],ESF[[#This Row],[e (cm)]],ESF[[#This Row],[a (cm)]],ESF[[#This Row],[h (cm)]],ESF[[#This Row],[As,lado (cm²)]],ESF[[#This Row],[Asp e Asw (cm²/m)]],ESF[[#This Row],[As,sup (cm²)]],ESF[[#This Row],[As,malha (cm²)]],ESF[[#This Row],[As,susp,tot (cm²)]],ESF[[#This Row],[Asp,face (cm²)]])</f>
        <v>N.S.</v>
      </c>
      <c r="AZ163" s="4" t="str">
        <f ca="1">concretoBloco(ESF[[#This Row],[nE]],ESF[[#This Row],[e (cm)]],ESF[[#This Row],[a (cm)]],ESF[[#This Row],[h (cm)]])</f>
        <v>N.S.</v>
      </c>
      <c r="BA163" s="5">
        <f ca="1">SUM(ESF[[#This Row],[Aço Est (kg)]],ESF[[#This Row],[Aço Bloco (kg)]])</f>
        <v>12.330751165339938</v>
      </c>
      <c r="BB163" s="4">
        <f>INDEX(composicoes[],MATCH(95580,composicoes[CÓDIGO],0),MATCH("CUSTO TOTAL",composicoes[#Headers],0))</f>
        <v>10.46</v>
      </c>
      <c r="BC163" s="4">
        <f ca="1">SUM(ESF[[#This Row],[Conc Est (m³)]],ESF[[#This Row],[Conc Bloco (m³)]])</f>
        <v>12.566370614359172</v>
      </c>
      <c r="BD163" s="4">
        <f>INDEX(composicoes[],MATCH(94966,composicoes[CÓDIGO],0),MATCH("CUSTO TOTAL",composicoes[#Headers],0))</f>
        <v>439.52</v>
      </c>
      <c r="BE163" s="38">
        <f ca="1">ESF[[#This Row],[Aço (kg)]]*ESF[[#This Row],[Aço (R$/kg)]]+ESF[[#This Row],[Conc (m³)]]*ESF[[#This Row],[Conc (R$/m³)]]</f>
        <v>5652.1508696125993</v>
      </c>
      <c r="BF163" s="4" t="str">
        <f ca="1">IF(COUNTIF(ESF[#This Row],"N.S.")&gt;0,"lim.","OK")</f>
        <v>lim.</v>
      </c>
      <c r="BG163" s="4" t="str">
        <f>IF(ESF[[#This Row],[Prof. (m)]]&lt;3,"lim.","OK")</f>
        <v>OK</v>
      </c>
      <c r="BH163" s="4" t="str">
        <f>IF(ESF[[#This Row],[Prof. (m)]]&gt;=8*ESF[[#This Row],[Ø (cm)]]/100,"OK","lim.")</f>
        <v>OK</v>
      </c>
      <c r="BI163" s="4" t="str">
        <f>IF(AND(SPT!$F$3&lt;&gt;"",ESF[[#This Row],[Prof. (m)]]&gt;=SPT!$F$3),"lim.","OK")</f>
        <v>OK</v>
      </c>
      <c r="BJ163" s="4" t="str">
        <f>IF(COUNTIFS(ESF[Solo],"Areia",ESF[Prof. (m)],"&lt;="&amp;ESF[[#This Row],[Prof. (m)]])&gt;=1,"lim.","OK")</f>
        <v>OK</v>
      </c>
      <c r="BK163" s="4" t="str">
        <f ca="1">IF(ESF[[#This Row],[Verif. Biela]]="OK","OK","lim.")</f>
        <v>OK</v>
      </c>
      <c r="BL163" s="4" t="str">
        <f ca="1">IF(COUNTA(ESF[[#This Row],[Nº Est.]:[Biela comp.]])=COUNTIF(ESF[[#This Row],[Nº Est.]:[Biela comp.]],"OK"),"OK","lim.")</f>
        <v>lim.</v>
      </c>
      <c r="BM163" s="4" t="str">
        <f ca="1">IF(ESF[[#This Row],[Controle]]="OK",ESF[[#This Row],[nE]]&amp;" Ø"&amp;ESF[[#This Row],[Ø (cm)]]&amp;"cm Prof. "&amp;ESF[[#This Row],[Prof. (m)]]&amp;" m","")</f>
        <v/>
      </c>
      <c r="BN163" s="4" t="str">
        <f ca="1">IF(ESF[[#This Row],[idDimensionamento]]="","",ESF[[#This Row],[idPilar]]&amp;ESF[[#This Row],[idDimensionamento]])</f>
        <v/>
      </c>
    </row>
    <row r="164" spans="2:66" x14ac:dyDescent="0.25">
      <c r="B164" s="12">
        <f>ROUNDUP((ROW(ESF[[#This Row],[idDiâmetro]])-ROW(ESF[[#Headers],[idDiâmetro]]))/(COUNT(SPT[Prof. (m)])*COUNT(PILARES[Pilar])),0)</f>
        <v>6</v>
      </c>
      <c r="C164" s="12">
        <f>IF(ESF[[#This Row],[idDiâmetro]]&lt;&gt;B163,1,IF(ESF[[#This Row],[Prof. (m)]]=0,C163+1,C163))</f>
        <v>2</v>
      </c>
      <c r="D164" s="82">
        <f>IFERROR(IF(D163=MAX(SPT[Prof. (m)]),0,D163+1),0)</f>
        <v>5</v>
      </c>
      <c r="E164" s="82">
        <f>INDEX(SPT[],MATCH(ESF[[#This Row],[Prof. (m)]],SPT[Prof. (m)],0),2)</f>
        <v>17</v>
      </c>
      <c r="F164" s="82" t="str">
        <f>INDEX(SPT[],MATCH(ESF[[#This Row],[Prof. (m)]],SPT[Prof. (m)],0),3)</f>
        <v>Areia siltosa</v>
      </c>
      <c r="G164" s="82">
        <f>INDEX(estacas[],ESF[[#This Row],[idDiâmetro]],MATCH($B$2,estacas[#Headers],0))</f>
        <v>50</v>
      </c>
      <c r="H164" s="82">
        <f>INDEX(estacas[],MATCH(ESF[[#This Row],[Ø (cm)]],estacas[Ø ESF (cm)],0),MATCH(ESF[[#Headers],[Pe ESF (kN)]],estacas[#Headers],0))</f>
        <v>1000</v>
      </c>
      <c r="I164" s="4">
        <f>INDEX(K_alpha_C[],MATCH(ESF[[#This Row],[Solo]],K_alpha_C[Solo],0),2)</f>
        <v>0.8</v>
      </c>
      <c r="J164" s="5">
        <f>INDEX(K_alpha_C[],MATCH(ESF[[#This Row],[Solo]],K_alpha_C[Solo],0),3)</f>
        <v>2</v>
      </c>
      <c r="K164" s="4">
        <f>INDEX(F1_F2[],MATCH($D$2,F1_F2[Tipo de estaca],0),2)</f>
        <v>3</v>
      </c>
      <c r="L164" s="4">
        <f>INDEX(F1_F2[],MATCH($D$2,F1_F2[Tipo de estaca],0),3)</f>
        <v>6</v>
      </c>
      <c r="M164" s="4">
        <f>PI()*(ESF[[#This Row],[Ø (cm)]]/100)^2/4</f>
        <v>0.19634954084936207</v>
      </c>
      <c r="N164" s="4">
        <f>PI()*ESF[[#This Row],[Ø (cm)]]/100</f>
        <v>1.5707963267948966</v>
      </c>
      <c r="O164" s="4">
        <f>IF(ESF[[#This Row],[Prof. (m)]]=0,0,ESF[[#This Row],[α (%)]]/100*ESF[[#This Row],[K (MPa)]]*1000*ESF[[#This Row],[NSPT]])</f>
        <v>272</v>
      </c>
      <c r="P164" s="4">
        <f>IF(ESF[[#This Row],[Prof. (m)]]=0,0,(ESF[[#This Row],[K (MPa)]]*1000*ESF[[#This Row],[NSPT]]/ESF[[#This Row],[F1]]*ESF[[#This Row],[Ap (m²)]]+ESF[[#This Row],[U (m)]]/ESF[[#This Row],[F2]]*SUMIFS(ESF[(α∙K∙NL∙ΔL)],ESF[Prof. (m)],"&lt;="&amp;ESF[[#This Row],[Prof. (m)]],ESF[idDiâmetro],ESF[[#This Row],[idDiâmetro]],ESF[idPilar],ESF[[#This Row],[idPilar]]))/'DADOS CAP. CARGA'!$D$2)</f>
        <v>514.17399763752951</v>
      </c>
      <c r="Q164" s="12">
        <f>INDEX(C_alpha_beta[],MATCH(ESF[[#This Row],[Solo]],C_alpha_beta[Solo],0),MATCH(ESF[[#Headers],[C (kPa)]],C_alpha_beta[#Headers],0))</f>
        <v>400</v>
      </c>
      <c r="R164" s="4">
        <f>INDEX(C_alpha_beta[],MATCH(ESF[[#This Row],[Solo]],C_alpha_beta[Solo],0),MATCH(ESF[[#Headers],[α ESF]],C_alpha_beta[#Headers],0))</f>
        <v>0.5</v>
      </c>
      <c r="S164" s="4">
        <f>INDEX(C_alpha_beta[],MATCH(ESF[[#This Row],[Solo]],C_alpha_beta[Solo],0),MATCH(ESF[[#Headers],[β ESF]],C_alpha_beta[#Headers],0))</f>
        <v>0.5</v>
      </c>
      <c r="T164" s="4">
        <f>IF(ESF[[#This Row],[Prof. (m)]]=0,0,10*(ESF[[#This Row],[NSPT]]/3+1))</f>
        <v>66.666666666666671</v>
      </c>
      <c r="U164" s="4">
        <f>(ESF[[#This Row],[α ESF]]*ESF[[#This Row],[C (kPa)]]*ESF[[#This Row],[NSPT]]*ESF[[#This Row],[Ap (m²)]])/'DADOS CAP. CARGA'!$Q$2+(ESF[[#This Row],[β ESF]]*SUMIFS(ESF[10∙(NL/3+1)],ESF[Prof. (m)],"&lt;="&amp;ESF[[#This Row],[Prof. (m)]],ESF[idDiâmetro],ESF[[#This Row],[idDiâmetro]],ESF[idPilar],ESF[[#This Row],[idPilar]])*ESF[[#This Row],[U (m)]])/'DADOS CAP. CARGA'!$S$2</f>
        <v>229.72896279375362</v>
      </c>
      <c r="V164" s="4">
        <f>IF(SPT!$M$5=1,MIN(ESF[[#This Row],[Pe ESF (kN)]],ESF[[#This Row],[R_AV (kN)]]),IF(SPT!$M$5=2,MIN(ESF[[#This Row],[Pe ESF (kN)]],ESF[[#This Row],[R_DC (kN)]]),MIN(ESF[[#This Row],[Pe ESF (kN)]],ESF[[#This Row],[R_AV (kN)]],ESF[[#This Row],[R_DC (kN)]])))</f>
        <v>229.72896279375362</v>
      </c>
      <c r="W164" s="4">
        <f>INDEX(PILARES[],ESF[[#This Row],[idPilar]],MATCH("Carga (kN)",PILARES[#Headers],0))*1.4</f>
        <v>1750</v>
      </c>
      <c r="X164" s="12">
        <f>INDEX(PILARES[],ESF[[#This Row],[idPilar]],MATCH(ESF[[#Headers],[ap (cm)]],PILARES[#Headers],0))</f>
        <v>50</v>
      </c>
      <c r="Y164" s="12">
        <f>INDEX(PILARES[],ESF[[#This Row],[idPilar]],MATCH(ESF[[#Headers],[bp (cm)]],PILARES[#Headers],0))</f>
        <v>40</v>
      </c>
      <c r="Z164" s="4">
        <f>SQRT(ESF[[#This Row],[ap (cm)]]*ESF[[#This Row],[bp (cm)]])</f>
        <v>44.721359549995796</v>
      </c>
      <c r="AA164" s="12">
        <f>ESF[[#This Row],[ap (cm)]]*ESF[[#This Row],[bp (cm)]]</f>
        <v>2000</v>
      </c>
      <c r="AB164" s="12">
        <f ca="1">IF(ESF[[#This Row],[Padm∙ε (kN)]]&gt;=ESF[[#This Row],[Padm (kN)]],ROUNDUP(1.05*ESF[[#This Row],[Nsd (kN)]]/ESF[[#This Row],[Padm (kN)]],0),ROUNDUP(1.05*ESF[[#This Row],[Nsd (kN)]]/ESF[[#This Row],[Padm (kN)]],0)+1)</f>
        <v>8</v>
      </c>
      <c r="AC164" s="4" t="str">
        <f ca="1">IFERROR(IF(ESF[[#This Row],[nE]]=1,ESF[[#This Row],[Padm (kN)]],ESF[[#This Row],[Padm (kN)]]*ESF[[#This Row],[nE]]*INDEX(grupoEstacas[],ESF[[#This Row],[nE]],MATCH("ε",grupoEstacas[#Headers],0))),"N.S.")</f>
        <v>N.S.</v>
      </c>
      <c r="AD164" s="4">
        <f ca="1">1.05*ESF[[#This Row],[Nsd (kN)]]/(ESF[[#This Row],[nE]]*PI()*ESF[[#This Row],[Ø (cm)]]^2/4)*10</f>
        <v>1.1697888317254308</v>
      </c>
      <c r="AE164" s="4">
        <f ca="1">IF(ESF[[#This Row],[σ (MPa)]]&lt;INDEX(tipoEstaca[],MATCH($D$2,tipoEstaca[TIPO DE ESTACA],0),MATCH("σmáx (MPa)",tipoEstaca[#Headers],0)),0.4%*PI()*ESF[[#This Row],[Ø (cm)]]^2/4,"N.S.")</f>
        <v>7.8539816339744837</v>
      </c>
      <c r="AF164" s="82">
        <f>INDEX(tipoEstaca[],MATCH($D$2,tipoEstaca[TIPO DE ESTACA],0),MATCH(ESF[[#Headers],[Comprimento (m)]],tipoEstaca[#Headers],0))</f>
        <v>2</v>
      </c>
      <c r="AG164" s="5">
        <f ca="1">ESF[[#This Row],[As,mín (cm²)]]/100^2*ESF[[#This Row],[Comprimento (m)]]*7850</f>
        <v>12.330751165339938</v>
      </c>
      <c r="AH164" s="4">
        <f ca="1">ESF[[#This Row],[nE]]*ESF[[#This Row],[Prof. (m)]]*ESF[[#This Row],[Ap (m²)]]</f>
        <v>7.8539816339744828</v>
      </c>
      <c r="AI164" s="82">
        <f ca="1">IF(ESF[[#This Row],[nE]]=1,0,MAX(3*ESF[[#This Row],[Ø (cm)]],60))</f>
        <v>150</v>
      </c>
      <c r="AJ164" s="82">
        <f ca="1">IF(ESF[[#This Row],[nE]]=1,ESF[[#This Row],[Ø (cm)]]+2*10,MAX(1.5*ESF[[#This Row],[Ø (cm)]],ESF[[#This Row],[Ø (cm)]]+15))</f>
        <v>75</v>
      </c>
      <c r="AK164" s="82" t="str">
        <f ca="1">alturaUtil(ESF[[#This Row],[nE]],ESF[[#This Row],[Ø (cm)]],ESF[[#This Row],[e (cm)]],ESF[[#This Row],[ap,eq (cm)]])</f>
        <v>N.S.</v>
      </c>
      <c r="AL164" s="82" t="str">
        <f ca="1">IFERROR(ESF[[#This Row],[d (cm)]]+arredondarParaCimaMultiplo5cm(MAX(5,SQRT(PI())/2*ESF[[#This Row],[Ø (cm)]]/5)),"N.S.")</f>
        <v>N.S.</v>
      </c>
      <c r="AM164" s="5" t="str">
        <f ca="1">alpha(ESF[[#This Row],[nE]],ESF[[#This Row],[d (cm)]],ESF[[#This Row],[e (cm)]],ESF[[#This Row],[ap,eq (cm)]])</f>
        <v>N.S.</v>
      </c>
      <c r="AN164" s="35" t="str">
        <f ca="1">IFERROR(ESF[[#This Row],[Nsd (kN)]]/(ESF[[#This Row],[Ap (cm²)]]*SIN(ESF[[#This Row],[α]])^2),"N.S.")</f>
        <v>N.S.</v>
      </c>
      <c r="AO164" s="35" t="str">
        <f ca="1">IFERROR(ESF[[#This Row],[Nsd (kN)]]/(ESF[[#This Row],[nE]]*PI()*ESF[[#This Row],[Ø (cm)]]^2/4*SIN(ESF[[#This Row],[α]])^2),"N.S.")</f>
        <v>N.S.</v>
      </c>
      <c r="AP164" s="4" t="str">
        <f ca="1">IFERROR(INDEX(grupoEstacas[],ESF[[#This Row],[nE]],MATCH("coef. Blévot",grupoEstacas[#Headers],0)),"N.S.")</f>
        <v>N.S.</v>
      </c>
      <c r="AQ164" s="35" t="str">
        <f ca="1">IFERROR(ESF[[#This Row],[coef. Blévot]]*0.9*INDEX(tipoEstaca[],MATCH($D$2,tipoEstaca[TIPO DE ESTACA],0),MATCH("fcd (kN/cm²)",tipoEstaca[#Headers],0)),"N.S.")</f>
        <v>N.S.</v>
      </c>
      <c r="AR164" s="82" t="str">
        <f ca="1">IF(AND(ESF[[#This Row],[cd,b,pil (kN/cm²)]]&lt;=ESF[[#This Row],[cd,b,lim (kN/cm²)]],ESF[[#This Row],[cd,b,est (kN/cm²)]]&lt;=ESF[[#This Row],[cd,b,lim (kN/cm²)]]),"OK","ERRO")</f>
        <v>OK</v>
      </c>
      <c r="AS164" s="4" t="str">
        <f ca="1">As_lado(ESF[[#This Row],[nE]],ESF[[#This Row],[Nsd (kN)]],ESF[[#This Row],[d (cm)]],ESF[[#This Row],[e (cm)]],ESF[[#This Row],[ap,eq (cm)]])</f>
        <v>N.S.</v>
      </c>
      <c r="AT164" s="4" t="str">
        <f ca="1">IF(ESF[[#This Row],[nE]]=1,ESF[[#This Row],[As,lado (cm²)]],IF(ESF[[#This Row],[nE]]=2,0.075*2*ESF[a (cm)],"N.A."))</f>
        <v>N.A.</v>
      </c>
      <c r="AU164" s="4" t="str">
        <f ca="1">IFERROR(IF(ESF[[#This Row],[nE]]=1,"N.A.",0.2*ESF[[#This Row],[As,lado (cm²)]]),"N.S.")</f>
        <v>N.S.</v>
      </c>
      <c r="AV164" s="4" t="str">
        <f ca="1">As_malha(ESF[[#This Row],[nE]],ESF[[#This Row],[As,lado (cm²)]],ESF[[#This Row],[Nsd (kN)]])</f>
        <v>N.S.</v>
      </c>
      <c r="AW164" s="4" t="str">
        <f ca="1">As_susp_tot(ESF[[#This Row],[nE]],ESF[[#This Row],[Nsd (kN)]])</f>
        <v>N.S.</v>
      </c>
      <c r="AX164" s="4" t="str">
        <f ca="1">Asp_face(ESF[[#This Row],[nE]],ESF[[#This Row],[As,lado (cm²)]])</f>
        <v>N.S.</v>
      </c>
      <c r="AY164" s="5" t="str">
        <f ca="1">acoBloco(ESF[[#This Row],[nE]],ESF[[#This Row],[e (cm)]],ESF[[#This Row],[a (cm)]],ESF[[#This Row],[h (cm)]],ESF[[#This Row],[As,lado (cm²)]],ESF[[#This Row],[Asp e Asw (cm²/m)]],ESF[[#This Row],[As,sup (cm²)]],ESF[[#This Row],[As,malha (cm²)]],ESF[[#This Row],[As,susp,tot (cm²)]],ESF[[#This Row],[Asp,face (cm²)]])</f>
        <v>N.S.</v>
      </c>
      <c r="AZ164" s="4" t="str">
        <f ca="1">concretoBloco(ESF[[#This Row],[nE]],ESF[[#This Row],[e (cm)]],ESF[[#This Row],[a (cm)]],ESF[[#This Row],[h (cm)]])</f>
        <v>N.S.</v>
      </c>
      <c r="BA164" s="5">
        <f ca="1">SUM(ESF[[#This Row],[Aço Est (kg)]],ESF[[#This Row],[Aço Bloco (kg)]])</f>
        <v>12.330751165339938</v>
      </c>
      <c r="BB164" s="4">
        <f>INDEX(composicoes[],MATCH(95580,composicoes[CÓDIGO],0),MATCH("CUSTO TOTAL",composicoes[#Headers],0))</f>
        <v>10.46</v>
      </c>
      <c r="BC164" s="4">
        <f ca="1">SUM(ESF[[#This Row],[Conc Est (m³)]],ESF[[#This Row],[Conc Bloco (m³)]])</f>
        <v>7.8539816339744828</v>
      </c>
      <c r="BD164" s="4">
        <f>INDEX(composicoes[],MATCH(94966,composicoes[CÓDIGO],0),MATCH("CUSTO TOTAL",composicoes[#Headers],0))</f>
        <v>439.52</v>
      </c>
      <c r="BE164" s="38">
        <f ca="1">ESF[[#This Row],[Aço (kg)]]*ESF[[#This Row],[Aço (R$/kg)]]+ESF[[#This Row],[Conc (m³)]]*ESF[[#This Row],[Conc (R$/m³)]]</f>
        <v>3580.9616649539203</v>
      </c>
      <c r="BF164" s="4" t="str">
        <f ca="1">IF(COUNTIF(ESF[#This Row],"N.S.")&gt;0,"lim.","OK")</f>
        <v>lim.</v>
      </c>
      <c r="BG164" s="4" t="str">
        <f>IF(ESF[[#This Row],[Prof. (m)]]&lt;3,"lim.","OK")</f>
        <v>OK</v>
      </c>
      <c r="BH164" s="4" t="str">
        <f>IF(ESF[[#This Row],[Prof. (m)]]&gt;=8*ESF[[#This Row],[Ø (cm)]]/100,"OK","lim.")</f>
        <v>OK</v>
      </c>
      <c r="BI164" s="4" t="str">
        <f>IF(AND(SPT!$F$3&lt;&gt;"",ESF[[#This Row],[Prof. (m)]]&gt;=SPT!$F$3),"lim.","OK")</f>
        <v>OK</v>
      </c>
      <c r="BJ164" s="4" t="str">
        <f>IF(COUNTIFS(ESF[Solo],"Areia",ESF[Prof. (m)],"&lt;="&amp;ESF[[#This Row],[Prof. (m)]])&gt;=1,"lim.","OK")</f>
        <v>OK</v>
      </c>
      <c r="BK164" s="4" t="str">
        <f ca="1">IF(ESF[[#This Row],[Verif. Biela]]="OK","OK","lim.")</f>
        <v>OK</v>
      </c>
      <c r="BL164" s="4" t="str">
        <f ca="1">IF(COUNTA(ESF[[#This Row],[Nº Est.]:[Biela comp.]])=COUNTIF(ESF[[#This Row],[Nº Est.]:[Biela comp.]],"OK"),"OK","lim.")</f>
        <v>lim.</v>
      </c>
      <c r="BM164" s="4" t="str">
        <f ca="1">IF(ESF[[#This Row],[Controle]]="OK",ESF[[#This Row],[nE]]&amp;" Ø"&amp;ESF[[#This Row],[Ø (cm)]]&amp;"cm Prof. "&amp;ESF[[#This Row],[Prof. (m)]]&amp;" m","")</f>
        <v/>
      </c>
      <c r="BN164" s="4" t="str">
        <f ca="1">IF(ESF[[#This Row],[idDimensionamento]]="","",ESF[[#This Row],[idPilar]]&amp;ESF[[#This Row],[idDimensionamento]])</f>
        <v/>
      </c>
    </row>
    <row r="165" spans="2:66" x14ac:dyDescent="0.25">
      <c r="B165" s="12">
        <f>ROUNDUP((ROW(ESF[[#This Row],[idDiâmetro]])-ROW(ESF[[#Headers],[idDiâmetro]]))/(COUNT(SPT[Prof. (m)])*COUNT(PILARES[Pilar])),0)</f>
        <v>6</v>
      </c>
      <c r="C165" s="12">
        <f>IF(ESF[[#This Row],[idDiâmetro]]&lt;&gt;B164,1,IF(ESF[[#This Row],[Prof. (m)]]=0,C164+1,C164))</f>
        <v>2</v>
      </c>
      <c r="D165" s="82">
        <f>IFERROR(IF(D164=MAX(SPT[Prof. (m)]),0,D164+1),0)</f>
        <v>6</v>
      </c>
      <c r="E165" s="82">
        <f>INDEX(SPT[],MATCH(ESF[[#This Row],[Prof. (m)]],SPT[Prof. (m)],0),2)</f>
        <v>21</v>
      </c>
      <c r="F165" s="82" t="str">
        <f>INDEX(SPT[],MATCH(ESF[[#This Row],[Prof. (m)]],SPT[Prof. (m)],0),3)</f>
        <v>Silte arenoso</v>
      </c>
      <c r="G165" s="82">
        <f>INDEX(estacas[],ESF[[#This Row],[idDiâmetro]],MATCH($B$2,estacas[#Headers],0))</f>
        <v>50</v>
      </c>
      <c r="H165" s="82">
        <f>INDEX(estacas[],MATCH(ESF[[#This Row],[Ø (cm)]],estacas[Ø ESF (cm)],0),MATCH(ESF[[#Headers],[Pe ESF (kN)]],estacas[#Headers],0))</f>
        <v>1000</v>
      </c>
      <c r="I165" s="4">
        <f>INDEX(K_alpha_C[],MATCH(ESF[[#This Row],[Solo]],K_alpha_C[Solo],0),2)</f>
        <v>0.55000000000000004</v>
      </c>
      <c r="J165" s="5">
        <f>INDEX(K_alpha_C[],MATCH(ESF[[#This Row],[Solo]],K_alpha_C[Solo],0),3)</f>
        <v>2.2000000000000002</v>
      </c>
      <c r="K165" s="4">
        <f>INDEX(F1_F2[],MATCH($D$2,F1_F2[Tipo de estaca],0),2)</f>
        <v>3</v>
      </c>
      <c r="L165" s="4">
        <f>INDEX(F1_F2[],MATCH($D$2,F1_F2[Tipo de estaca],0),3)</f>
        <v>6</v>
      </c>
      <c r="M165" s="4">
        <f>PI()*(ESF[[#This Row],[Ø (cm)]]/100)^2/4</f>
        <v>0.19634954084936207</v>
      </c>
      <c r="N165" s="4">
        <f>PI()*ESF[[#This Row],[Ø (cm)]]/100</f>
        <v>1.5707963267948966</v>
      </c>
      <c r="O165" s="4">
        <f>IF(ESF[[#This Row],[Prof. (m)]]=0,0,ESF[[#This Row],[α (%)]]/100*ESF[[#This Row],[K (MPa)]]*1000*ESF[[#This Row],[NSPT]])</f>
        <v>254.10000000000002</v>
      </c>
      <c r="P165" s="4">
        <f>IF(ESF[[#This Row],[Prof. (m)]]=0,0,(ESF[[#This Row],[K (MPa)]]*1000*ESF[[#This Row],[NSPT]]/ESF[[#This Row],[F1]]*ESF[[#This Row],[Ap (m²)]]+ESF[[#This Row],[U (m)]]/ESF[[#This Row],[F2]]*SUMIFS(ESF[(α∙K∙NL∙ΔL)],ESF[Prof. (m)],"&lt;="&amp;ESF[[#This Row],[Prof. (m)]],ESF[idDiâmetro],ESF[[#This Row],[idDiâmetro]],ESF[idPilar],ESF[[#This Row],[idPilar]]))/'DADOS CAP. CARGA'!$D$2)</f>
        <v>480.3495167338794</v>
      </c>
      <c r="Q165" s="12">
        <f>INDEX(C_alpha_beta[],MATCH(ESF[[#This Row],[Solo]],C_alpha_beta[Solo],0),MATCH(ESF[[#Headers],[C (kPa)]],C_alpha_beta[#Headers],0))</f>
        <v>250</v>
      </c>
      <c r="R165" s="4">
        <f>INDEX(C_alpha_beta[],MATCH(ESF[[#This Row],[Solo]],C_alpha_beta[Solo],0),MATCH(ESF[[#Headers],[α ESF]],C_alpha_beta[#Headers],0))</f>
        <v>0.6</v>
      </c>
      <c r="S165" s="4">
        <f>INDEX(C_alpha_beta[],MATCH(ESF[[#This Row],[Solo]],C_alpha_beta[Solo],0),MATCH(ESF[[#Headers],[β ESF]],C_alpha_beta[#Headers],0))</f>
        <v>0.65</v>
      </c>
      <c r="T165" s="4">
        <f>IF(ESF[[#This Row],[Prof. (m)]]=0,0,10*(ESF[[#This Row],[NSPT]]/3+1))</f>
        <v>80</v>
      </c>
      <c r="U165" s="4">
        <f>(ESF[[#This Row],[α ESF]]*ESF[[#This Row],[C (kPa)]]*ESF[[#This Row],[NSPT]]*ESF[[#This Row],[Ap (m²)]])/'DADOS CAP. CARGA'!$Q$2+(ESF[[#This Row],[β ESF]]*SUMIFS(ESF[10∙(NL/3+1)],ESF[Prof. (m)],"&lt;="&amp;ESF[[#This Row],[Prof. (m)]],ESF[idDiâmetro],ESF[[#This Row],[idDiâmetro]],ESF[idPilar],ESF[[#This Row],[idPilar]])*ESF[[#This Row],[U (m)]])/'DADOS CAP. CARGA'!$S$2</f>
        <v>277.14737690887455</v>
      </c>
      <c r="V165" s="4">
        <f>IF(SPT!$M$5=1,MIN(ESF[[#This Row],[Pe ESF (kN)]],ESF[[#This Row],[R_AV (kN)]]),IF(SPT!$M$5=2,MIN(ESF[[#This Row],[Pe ESF (kN)]],ESF[[#This Row],[R_DC (kN)]]),MIN(ESF[[#This Row],[Pe ESF (kN)]],ESF[[#This Row],[R_AV (kN)]],ESF[[#This Row],[R_DC (kN)]])))</f>
        <v>277.14737690887455</v>
      </c>
      <c r="W165" s="4">
        <f>INDEX(PILARES[],ESF[[#This Row],[idPilar]],MATCH("Carga (kN)",PILARES[#Headers],0))*1.4</f>
        <v>1750</v>
      </c>
      <c r="X165" s="12">
        <f>INDEX(PILARES[],ESF[[#This Row],[idPilar]],MATCH(ESF[[#Headers],[ap (cm)]],PILARES[#Headers],0))</f>
        <v>50</v>
      </c>
      <c r="Y165" s="12">
        <f>INDEX(PILARES[],ESF[[#This Row],[idPilar]],MATCH(ESF[[#Headers],[bp (cm)]],PILARES[#Headers],0))</f>
        <v>40</v>
      </c>
      <c r="Z165" s="4">
        <f>SQRT(ESF[[#This Row],[ap (cm)]]*ESF[[#This Row],[bp (cm)]])</f>
        <v>44.721359549995796</v>
      </c>
      <c r="AA165" s="12">
        <f>ESF[[#This Row],[ap (cm)]]*ESF[[#This Row],[bp (cm)]]</f>
        <v>2000</v>
      </c>
      <c r="AB165" s="12">
        <f ca="1">IF(ESF[[#This Row],[Padm∙ε (kN)]]&gt;=ESF[[#This Row],[Padm (kN)]],ROUNDUP(1.05*ESF[[#This Row],[Nsd (kN)]]/ESF[[#This Row],[Padm (kN)]],0),ROUNDUP(1.05*ESF[[#This Row],[Nsd (kN)]]/ESF[[#This Row],[Padm (kN)]],0)+1)</f>
        <v>7</v>
      </c>
      <c r="AC165" s="4" t="str">
        <f ca="1">IFERROR(IF(ESF[[#This Row],[nE]]=1,ESF[[#This Row],[Padm (kN)]],ESF[[#This Row],[Padm (kN)]]*ESF[[#This Row],[nE]]*INDEX(grupoEstacas[],ESF[[#This Row],[nE]],MATCH("ε",grupoEstacas[#Headers],0))),"N.S.")</f>
        <v>N.S.</v>
      </c>
      <c r="AD165" s="4">
        <f ca="1">1.05*ESF[[#This Row],[Nsd (kN)]]/(ESF[[#This Row],[nE]]*PI()*ESF[[#This Row],[Ø (cm)]]^2/4)*10</f>
        <v>1.3369015219719209</v>
      </c>
      <c r="AE165" s="4">
        <f ca="1">IF(ESF[[#This Row],[σ (MPa)]]&lt;INDEX(tipoEstaca[],MATCH($D$2,tipoEstaca[TIPO DE ESTACA],0),MATCH("σmáx (MPa)",tipoEstaca[#Headers],0)),0.4%*PI()*ESF[[#This Row],[Ø (cm)]]^2/4,"N.S.")</f>
        <v>7.8539816339744837</v>
      </c>
      <c r="AF165" s="82">
        <f>INDEX(tipoEstaca[],MATCH($D$2,tipoEstaca[TIPO DE ESTACA],0),MATCH(ESF[[#Headers],[Comprimento (m)]],tipoEstaca[#Headers],0))</f>
        <v>2</v>
      </c>
      <c r="AG165" s="5">
        <f ca="1">ESF[[#This Row],[As,mín (cm²)]]/100^2*ESF[[#This Row],[Comprimento (m)]]*7850</f>
        <v>12.330751165339938</v>
      </c>
      <c r="AH165" s="4">
        <f ca="1">ESF[[#This Row],[nE]]*ESF[[#This Row],[Prof. (m)]]*ESF[[#This Row],[Ap (m²)]]</f>
        <v>8.2466807156732074</v>
      </c>
      <c r="AI165" s="82">
        <f ca="1">IF(ESF[[#This Row],[nE]]=1,0,MAX(3*ESF[[#This Row],[Ø (cm)]],60))</f>
        <v>150</v>
      </c>
      <c r="AJ165" s="82">
        <f ca="1">IF(ESF[[#This Row],[nE]]=1,ESF[[#This Row],[Ø (cm)]]+2*10,MAX(1.5*ESF[[#This Row],[Ø (cm)]],ESF[[#This Row],[Ø (cm)]]+15))</f>
        <v>75</v>
      </c>
      <c r="AK165" s="82" t="str">
        <f ca="1">alturaUtil(ESF[[#This Row],[nE]],ESF[[#This Row],[Ø (cm)]],ESF[[#This Row],[e (cm)]],ESF[[#This Row],[ap,eq (cm)]])</f>
        <v>N.S.</v>
      </c>
      <c r="AL165" s="82" t="str">
        <f ca="1">IFERROR(ESF[[#This Row],[d (cm)]]+arredondarParaCimaMultiplo5cm(MAX(5,SQRT(PI())/2*ESF[[#This Row],[Ø (cm)]]/5)),"N.S.")</f>
        <v>N.S.</v>
      </c>
      <c r="AM165" s="5" t="str">
        <f ca="1">alpha(ESF[[#This Row],[nE]],ESF[[#This Row],[d (cm)]],ESF[[#This Row],[e (cm)]],ESF[[#This Row],[ap,eq (cm)]])</f>
        <v>N.S.</v>
      </c>
      <c r="AN165" s="35" t="str">
        <f ca="1">IFERROR(ESF[[#This Row],[Nsd (kN)]]/(ESF[[#This Row],[Ap (cm²)]]*SIN(ESF[[#This Row],[α]])^2),"N.S.")</f>
        <v>N.S.</v>
      </c>
      <c r="AO165" s="35" t="str">
        <f ca="1">IFERROR(ESF[[#This Row],[Nsd (kN)]]/(ESF[[#This Row],[nE]]*PI()*ESF[[#This Row],[Ø (cm)]]^2/4*SIN(ESF[[#This Row],[α]])^2),"N.S.")</f>
        <v>N.S.</v>
      </c>
      <c r="AP165" s="4" t="str">
        <f ca="1">IFERROR(INDEX(grupoEstacas[],ESF[[#This Row],[nE]],MATCH("coef. Blévot",grupoEstacas[#Headers],0)),"N.S.")</f>
        <v>N.S.</v>
      </c>
      <c r="AQ165" s="35" t="str">
        <f ca="1">IFERROR(ESF[[#This Row],[coef. Blévot]]*0.9*INDEX(tipoEstaca[],MATCH($D$2,tipoEstaca[TIPO DE ESTACA],0),MATCH("fcd (kN/cm²)",tipoEstaca[#Headers],0)),"N.S.")</f>
        <v>N.S.</v>
      </c>
      <c r="AR165" s="82" t="str">
        <f ca="1">IF(AND(ESF[[#This Row],[cd,b,pil (kN/cm²)]]&lt;=ESF[[#This Row],[cd,b,lim (kN/cm²)]],ESF[[#This Row],[cd,b,est (kN/cm²)]]&lt;=ESF[[#This Row],[cd,b,lim (kN/cm²)]]),"OK","ERRO")</f>
        <v>OK</v>
      </c>
      <c r="AS165" s="4" t="str">
        <f ca="1">As_lado(ESF[[#This Row],[nE]],ESF[[#This Row],[Nsd (kN)]],ESF[[#This Row],[d (cm)]],ESF[[#This Row],[e (cm)]],ESF[[#This Row],[ap,eq (cm)]])</f>
        <v>N.S.</v>
      </c>
      <c r="AT165" s="4" t="str">
        <f ca="1">IF(ESF[[#This Row],[nE]]=1,ESF[[#This Row],[As,lado (cm²)]],IF(ESF[[#This Row],[nE]]=2,0.075*2*ESF[a (cm)],"N.A."))</f>
        <v>N.A.</v>
      </c>
      <c r="AU165" s="4" t="str">
        <f ca="1">IFERROR(IF(ESF[[#This Row],[nE]]=1,"N.A.",0.2*ESF[[#This Row],[As,lado (cm²)]]),"N.S.")</f>
        <v>N.S.</v>
      </c>
      <c r="AV165" s="4" t="str">
        <f ca="1">As_malha(ESF[[#This Row],[nE]],ESF[[#This Row],[As,lado (cm²)]],ESF[[#This Row],[Nsd (kN)]])</f>
        <v>N.S.</v>
      </c>
      <c r="AW165" s="4" t="str">
        <f ca="1">As_susp_tot(ESF[[#This Row],[nE]],ESF[[#This Row],[Nsd (kN)]])</f>
        <v>N.S.</v>
      </c>
      <c r="AX165" s="4" t="str">
        <f ca="1">Asp_face(ESF[[#This Row],[nE]],ESF[[#This Row],[As,lado (cm²)]])</f>
        <v>N.S.</v>
      </c>
      <c r="AY165" s="5" t="str">
        <f ca="1">acoBloco(ESF[[#This Row],[nE]],ESF[[#This Row],[e (cm)]],ESF[[#This Row],[a (cm)]],ESF[[#This Row],[h (cm)]],ESF[[#This Row],[As,lado (cm²)]],ESF[[#This Row],[Asp e Asw (cm²/m)]],ESF[[#This Row],[As,sup (cm²)]],ESF[[#This Row],[As,malha (cm²)]],ESF[[#This Row],[As,susp,tot (cm²)]],ESF[[#This Row],[Asp,face (cm²)]])</f>
        <v>N.S.</v>
      </c>
      <c r="AZ165" s="4" t="str">
        <f ca="1">concretoBloco(ESF[[#This Row],[nE]],ESF[[#This Row],[e (cm)]],ESF[[#This Row],[a (cm)]],ESF[[#This Row],[h (cm)]])</f>
        <v>N.S.</v>
      </c>
      <c r="BA165" s="5">
        <f ca="1">SUM(ESF[[#This Row],[Aço Est (kg)]],ESF[[#This Row],[Aço Bloco (kg)]])</f>
        <v>12.330751165339938</v>
      </c>
      <c r="BB165" s="4">
        <f>INDEX(composicoes[],MATCH(95580,composicoes[CÓDIGO],0),MATCH("CUSTO TOTAL",composicoes[#Headers],0))</f>
        <v>10.46</v>
      </c>
      <c r="BC165" s="4">
        <f ca="1">SUM(ESF[[#This Row],[Conc Est (m³)]],ESF[[#This Row],[Conc Bloco (m³)]])</f>
        <v>8.2466807156732074</v>
      </c>
      <c r="BD165" s="4">
        <f>INDEX(composicoes[],MATCH(94966,composicoes[CÓDIGO],0),MATCH("CUSTO TOTAL",composicoes[#Headers],0))</f>
        <v>439.52</v>
      </c>
      <c r="BE165" s="38">
        <f ca="1">ESF[[#This Row],[Aço (kg)]]*ESF[[#This Row],[Aço (R$/kg)]]+ESF[[#This Row],[Conc (m³)]]*ESF[[#This Row],[Conc (R$/m³)]]</f>
        <v>3753.5607653421439</v>
      </c>
      <c r="BF165" s="4" t="str">
        <f ca="1">IF(COUNTIF(ESF[#This Row],"N.S.")&gt;0,"lim.","OK")</f>
        <v>lim.</v>
      </c>
      <c r="BG165" s="4" t="str">
        <f>IF(ESF[[#This Row],[Prof. (m)]]&lt;3,"lim.","OK")</f>
        <v>OK</v>
      </c>
      <c r="BH165" s="4" t="str">
        <f>IF(ESF[[#This Row],[Prof. (m)]]&gt;=8*ESF[[#This Row],[Ø (cm)]]/100,"OK","lim.")</f>
        <v>OK</v>
      </c>
      <c r="BI165" s="4" t="str">
        <f>IF(AND(SPT!$F$3&lt;&gt;"",ESF[[#This Row],[Prof. (m)]]&gt;=SPT!$F$3),"lim.","OK")</f>
        <v>OK</v>
      </c>
      <c r="BJ165" s="4" t="str">
        <f>IF(COUNTIFS(ESF[Solo],"Areia",ESF[Prof. (m)],"&lt;="&amp;ESF[[#This Row],[Prof. (m)]])&gt;=1,"lim.","OK")</f>
        <v>OK</v>
      </c>
      <c r="BK165" s="4" t="str">
        <f ca="1">IF(ESF[[#This Row],[Verif. Biela]]="OK","OK","lim.")</f>
        <v>OK</v>
      </c>
      <c r="BL165" s="4" t="str">
        <f ca="1">IF(COUNTA(ESF[[#This Row],[Nº Est.]:[Biela comp.]])=COUNTIF(ESF[[#This Row],[Nº Est.]:[Biela comp.]],"OK"),"OK","lim.")</f>
        <v>lim.</v>
      </c>
      <c r="BM165" s="4" t="str">
        <f ca="1">IF(ESF[[#This Row],[Controle]]="OK",ESF[[#This Row],[nE]]&amp;" Ø"&amp;ESF[[#This Row],[Ø (cm)]]&amp;"cm Prof. "&amp;ESF[[#This Row],[Prof. (m)]]&amp;" m","")</f>
        <v/>
      </c>
      <c r="BN165" s="4" t="str">
        <f ca="1">IF(ESF[[#This Row],[idDimensionamento]]="","",ESF[[#This Row],[idPilar]]&amp;ESF[[#This Row],[idDimensionamento]])</f>
        <v/>
      </c>
    </row>
    <row r="166" spans="2:66" x14ac:dyDescent="0.25">
      <c r="B166" s="12">
        <f>ROUNDUP((ROW(ESF[[#This Row],[idDiâmetro]])-ROW(ESF[[#Headers],[idDiâmetro]]))/(COUNT(SPT[Prof. (m)])*COUNT(PILARES[Pilar])),0)</f>
        <v>6</v>
      </c>
      <c r="C166" s="12">
        <f>IF(ESF[[#This Row],[idDiâmetro]]&lt;&gt;B165,1,IF(ESF[[#This Row],[Prof. (m)]]=0,C165+1,C165))</f>
        <v>2</v>
      </c>
      <c r="D166" s="82">
        <f>IFERROR(IF(D165=MAX(SPT[Prof. (m)]),0,D165+1),0)</f>
        <v>7</v>
      </c>
      <c r="E166" s="82">
        <f>INDEX(SPT[],MATCH(ESF[[#This Row],[Prof. (m)]],SPT[Prof. (m)],0),2)</f>
        <v>8</v>
      </c>
      <c r="F166" s="82" t="str">
        <f>INDEX(SPT[],MATCH(ESF[[#This Row],[Prof. (m)]],SPT[Prof. (m)],0),3)</f>
        <v>Silte arenoso</v>
      </c>
      <c r="G166" s="82">
        <f>INDEX(estacas[],ESF[[#This Row],[idDiâmetro]],MATCH($B$2,estacas[#Headers],0))</f>
        <v>50</v>
      </c>
      <c r="H166" s="82">
        <f>INDEX(estacas[],MATCH(ESF[[#This Row],[Ø (cm)]],estacas[Ø ESF (cm)],0),MATCH(ESF[[#Headers],[Pe ESF (kN)]],estacas[#Headers],0))</f>
        <v>1000</v>
      </c>
      <c r="I166" s="4">
        <f>INDEX(K_alpha_C[],MATCH(ESF[[#This Row],[Solo]],K_alpha_C[Solo],0),2)</f>
        <v>0.55000000000000004</v>
      </c>
      <c r="J166" s="5">
        <f>INDEX(K_alpha_C[],MATCH(ESF[[#This Row],[Solo]],K_alpha_C[Solo],0),3)</f>
        <v>2.2000000000000002</v>
      </c>
      <c r="K166" s="4">
        <f>INDEX(F1_F2[],MATCH($D$2,F1_F2[Tipo de estaca],0),2)</f>
        <v>3</v>
      </c>
      <c r="L166" s="4">
        <f>INDEX(F1_F2[],MATCH($D$2,F1_F2[Tipo de estaca],0),3)</f>
        <v>6</v>
      </c>
      <c r="M166" s="4">
        <f>PI()*(ESF[[#This Row],[Ø (cm)]]/100)^2/4</f>
        <v>0.19634954084936207</v>
      </c>
      <c r="N166" s="4">
        <f>PI()*ESF[[#This Row],[Ø (cm)]]/100</f>
        <v>1.5707963267948966</v>
      </c>
      <c r="O166" s="4">
        <f>IF(ESF[[#This Row],[Prof. (m)]]=0,0,ESF[[#This Row],[α (%)]]/100*ESF[[#This Row],[K (MPa)]]*1000*ESF[[#This Row],[NSPT]])</f>
        <v>96.800000000000011</v>
      </c>
      <c r="P166" s="4">
        <f>IF(ESF[[#This Row],[Prof. (m)]]=0,0,(ESF[[#This Row],[K (MPa)]]*1000*ESF[[#This Row],[NSPT]]/ESF[[#This Row],[F1]]*ESF[[#This Row],[Ap (m²)]]+ESF[[#This Row],[U (m)]]/ESF[[#This Row],[F2]]*SUMIFS(ESF[(α∙K∙NL∙ΔL)],ESF[Prof. (m)],"&lt;="&amp;ESF[[#This Row],[Prof. (m)]],ESF[idDiâmetro],ESF[[#This Row],[idDiâmetro]],ESF[idPilar],ESF[[#This Row],[idPilar]]))/'DADOS CAP. CARGA'!$D$2)</f>
        <v>259.03740425786839</v>
      </c>
      <c r="Q166" s="12">
        <f>INDEX(C_alpha_beta[],MATCH(ESF[[#This Row],[Solo]],C_alpha_beta[Solo],0),MATCH(ESF[[#Headers],[C (kPa)]],C_alpha_beta[#Headers],0))</f>
        <v>250</v>
      </c>
      <c r="R166" s="4">
        <f>INDEX(C_alpha_beta[],MATCH(ESF[[#This Row],[Solo]],C_alpha_beta[Solo],0),MATCH(ESF[[#Headers],[α ESF]],C_alpha_beta[#Headers],0))</f>
        <v>0.6</v>
      </c>
      <c r="S166" s="4">
        <f>INDEX(C_alpha_beta[],MATCH(ESF[[#This Row],[Solo]],C_alpha_beta[Solo],0),MATCH(ESF[[#Headers],[β ESF]],C_alpha_beta[#Headers],0))</f>
        <v>0.65</v>
      </c>
      <c r="T166" s="4">
        <f>IF(ESF[[#This Row],[Prof. (m)]]=0,0,10*(ESF[[#This Row],[NSPT]]/3+1))</f>
        <v>36.666666666666664</v>
      </c>
      <c r="U166" s="4">
        <f>(ESF[[#This Row],[α ESF]]*ESF[[#This Row],[C (kPa)]]*ESF[[#This Row],[NSPT]]*ESF[[#This Row],[Ap (m²)]])/'DADOS CAP. CARGA'!$Q$2+(ESF[[#This Row],[β ESF]]*SUMIFS(ESF[10∙(NL/3+1)],ESF[Prof. (m)],"&lt;="&amp;ESF[[#This Row],[Prof. (m)]],ESF[idDiâmetro],ESF[[#This Row],[idDiâmetro]],ESF[idPilar],ESF[[#This Row],[idPilar]])*ESF[[#This Row],[U (m)]])/'DADOS CAP. CARGA'!$S$2</f>
        <v>200.14563197244973</v>
      </c>
      <c r="V166" s="4">
        <f>IF(SPT!$M$5=1,MIN(ESF[[#This Row],[Pe ESF (kN)]],ESF[[#This Row],[R_AV (kN)]]),IF(SPT!$M$5=2,MIN(ESF[[#This Row],[Pe ESF (kN)]],ESF[[#This Row],[R_DC (kN)]]),MIN(ESF[[#This Row],[Pe ESF (kN)]],ESF[[#This Row],[R_AV (kN)]],ESF[[#This Row],[R_DC (kN)]])))</f>
        <v>200.14563197244973</v>
      </c>
      <c r="W166" s="4">
        <f>INDEX(PILARES[],ESF[[#This Row],[idPilar]],MATCH("Carga (kN)",PILARES[#Headers],0))*1.4</f>
        <v>1750</v>
      </c>
      <c r="X166" s="12">
        <f>INDEX(PILARES[],ESF[[#This Row],[idPilar]],MATCH(ESF[[#Headers],[ap (cm)]],PILARES[#Headers],0))</f>
        <v>50</v>
      </c>
      <c r="Y166" s="12">
        <f>INDEX(PILARES[],ESF[[#This Row],[idPilar]],MATCH(ESF[[#Headers],[bp (cm)]],PILARES[#Headers],0))</f>
        <v>40</v>
      </c>
      <c r="Z166" s="4">
        <f>SQRT(ESF[[#This Row],[ap (cm)]]*ESF[[#This Row],[bp (cm)]])</f>
        <v>44.721359549995796</v>
      </c>
      <c r="AA166" s="12">
        <f>ESF[[#This Row],[ap (cm)]]*ESF[[#This Row],[bp (cm)]]</f>
        <v>2000</v>
      </c>
      <c r="AB166" s="12">
        <f ca="1">IF(ESF[[#This Row],[Padm∙ε (kN)]]&gt;=ESF[[#This Row],[Padm (kN)]],ROUNDUP(1.05*ESF[[#This Row],[Nsd (kN)]]/ESF[[#This Row],[Padm (kN)]],0),ROUNDUP(1.05*ESF[[#This Row],[Nsd (kN)]]/ESF[[#This Row],[Padm (kN)]],0)+1)</f>
        <v>10</v>
      </c>
      <c r="AC166" s="4" t="str">
        <f ca="1">IFERROR(IF(ESF[[#This Row],[nE]]=1,ESF[[#This Row],[Padm (kN)]],ESF[[#This Row],[Padm (kN)]]*ESF[[#This Row],[nE]]*INDEX(grupoEstacas[],ESF[[#This Row],[nE]],MATCH("ε",grupoEstacas[#Headers],0))),"N.S.")</f>
        <v>N.S.</v>
      </c>
      <c r="AD166" s="4">
        <f ca="1">1.05*ESF[[#This Row],[Nsd (kN)]]/(ESF[[#This Row],[nE]]*PI()*ESF[[#This Row],[Ø (cm)]]^2/4)*10</f>
        <v>0.93583106538034466</v>
      </c>
      <c r="AE166" s="4">
        <f ca="1">IF(ESF[[#This Row],[σ (MPa)]]&lt;INDEX(tipoEstaca[],MATCH($D$2,tipoEstaca[TIPO DE ESTACA],0),MATCH("σmáx (MPa)",tipoEstaca[#Headers],0)),0.4%*PI()*ESF[[#This Row],[Ø (cm)]]^2/4,"N.S.")</f>
        <v>7.8539816339744837</v>
      </c>
      <c r="AF166" s="82">
        <f>INDEX(tipoEstaca[],MATCH($D$2,tipoEstaca[TIPO DE ESTACA],0),MATCH(ESF[[#Headers],[Comprimento (m)]],tipoEstaca[#Headers],0))</f>
        <v>2</v>
      </c>
      <c r="AG166" s="5">
        <f ca="1">ESF[[#This Row],[As,mín (cm²)]]/100^2*ESF[[#This Row],[Comprimento (m)]]*7850</f>
        <v>12.330751165339938</v>
      </c>
      <c r="AH166" s="4">
        <f ca="1">ESF[[#This Row],[nE]]*ESF[[#This Row],[Prof. (m)]]*ESF[[#This Row],[Ap (m²)]]</f>
        <v>13.744467859455344</v>
      </c>
      <c r="AI166" s="82">
        <f ca="1">IF(ESF[[#This Row],[nE]]=1,0,MAX(3*ESF[[#This Row],[Ø (cm)]],60))</f>
        <v>150</v>
      </c>
      <c r="AJ166" s="82">
        <f ca="1">IF(ESF[[#This Row],[nE]]=1,ESF[[#This Row],[Ø (cm)]]+2*10,MAX(1.5*ESF[[#This Row],[Ø (cm)]],ESF[[#This Row],[Ø (cm)]]+15))</f>
        <v>75</v>
      </c>
      <c r="AK166" s="82" t="str">
        <f ca="1">alturaUtil(ESF[[#This Row],[nE]],ESF[[#This Row],[Ø (cm)]],ESF[[#This Row],[e (cm)]],ESF[[#This Row],[ap,eq (cm)]])</f>
        <v>N.S.</v>
      </c>
      <c r="AL166" s="82" t="str">
        <f ca="1">IFERROR(ESF[[#This Row],[d (cm)]]+arredondarParaCimaMultiplo5cm(MAX(5,SQRT(PI())/2*ESF[[#This Row],[Ø (cm)]]/5)),"N.S.")</f>
        <v>N.S.</v>
      </c>
      <c r="AM166" s="5" t="str">
        <f ca="1">alpha(ESF[[#This Row],[nE]],ESF[[#This Row],[d (cm)]],ESF[[#This Row],[e (cm)]],ESF[[#This Row],[ap,eq (cm)]])</f>
        <v>N.S.</v>
      </c>
      <c r="AN166" s="35" t="str">
        <f ca="1">IFERROR(ESF[[#This Row],[Nsd (kN)]]/(ESF[[#This Row],[Ap (cm²)]]*SIN(ESF[[#This Row],[α]])^2),"N.S.")</f>
        <v>N.S.</v>
      </c>
      <c r="AO166" s="35" t="str">
        <f ca="1">IFERROR(ESF[[#This Row],[Nsd (kN)]]/(ESF[[#This Row],[nE]]*PI()*ESF[[#This Row],[Ø (cm)]]^2/4*SIN(ESF[[#This Row],[α]])^2),"N.S.")</f>
        <v>N.S.</v>
      </c>
      <c r="AP166" s="4" t="str">
        <f ca="1">IFERROR(INDEX(grupoEstacas[],ESF[[#This Row],[nE]],MATCH("coef. Blévot",grupoEstacas[#Headers],0)),"N.S.")</f>
        <v>N.S.</v>
      </c>
      <c r="AQ166" s="35" t="str">
        <f ca="1">IFERROR(ESF[[#This Row],[coef. Blévot]]*0.9*INDEX(tipoEstaca[],MATCH($D$2,tipoEstaca[TIPO DE ESTACA],0),MATCH("fcd (kN/cm²)",tipoEstaca[#Headers],0)),"N.S.")</f>
        <v>N.S.</v>
      </c>
      <c r="AR166" s="82" t="str">
        <f ca="1">IF(AND(ESF[[#This Row],[cd,b,pil (kN/cm²)]]&lt;=ESF[[#This Row],[cd,b,lim (kN/cm²)]],ESF[[#This Row],[cd,b,est (kN/cm²)]]&lt;=ESF[[#This Row],[cd,b,lim (kN/cm²)]]),"OK","ERRO")</f>
        <v>OK</v>
      </c>
      <c r="AS166" s="4" t="str">
        <f ca="1">As_lado(ESF[[#This Row],[nE]],ESF[[#This Row],[Nsd (kN)]],ESF[[#This Row],[d (cm)]],ESF[[#This Row],[e (cm)]],ESF[[#This Row],[ap,eq (cm)]])</f>
        <v>N.S.</v>
      </c>
      <c r="AT166" s="4" t="str">
        <f ca="1">IF(ESF[[#This Row],[nE]]=1,ESF[[#This Row],[As,lado (cm²)]],IF(ESF[[#This Row],[nE]]=2,0.075*2*ESF[a (cm)],"N.A."))</f>
        <v>N.A.</v>
      </c>
      <c r="AU166" s="4" t="str">
        <f ca="1">IFERROR(IF(ESF[[#This Row],[nE]]=1,"N.A.",0.2*ESF[[#This Row],[As,lado (cm²)]]),"N.S.")</f>
        <v>N.S.</v>
      </c>
      <c r="AV166" s="4" t="str">
        <f ca="1">As_malha(ESF[[#This Row],[nE]],ESF[[#This Row],[As,lado (cm²)]],ESF[[#This Row],[Nsd (kN)]])</f>
        <v>N.S.</v>
      </c>
      <c r="AW166" s="4" t="str">
        <f ca="1">As_susp_tot(ESF[[#This Row],[nE]],ESF[[#This Row],[Nsd (kN)]])</f>
        <v>N.S.</v>
      </c>
      <c r="AX166" s="4" t="str">
        <f ca="1">Asp_face(ESF[[#This Row],[nE]],ESF[[#This Row],[As,lado (cm²)]])</f>
        <v>N.S.</v>
      </c>
      <c r="AY166" s="5" t="str">
        <f ca="1">acoBloco(ESF[[#This Row],[nE]],ESF[[#This Row],[e (cm)]],ESF[[#This Row],[a (cm)]],ESF[[#This Row],[h (cm)]],ESF[[#This Row],[As,lado (cm²)]],ESF[[#This Row],[Asp e Asw (cm²/m)]],ESF[[#This Row],[As,sup (cm²)]],ESF[[#This Row],[As,malha (cm²)]],ESF[[#This Row],[As,susp,tot (cm²)]],ESF[[#This Row],[Asp,face (cm²)]])</f>
        <v>N.S.</v>
      </c>
      <c r="AZ166" s="4" t="str">
        <f ca="1">concretoBloco(ESF[[#This Row],[nE]],ESF[[#This Row],[e (cm)]],ESF[[#This Row],[a (cm)]],ESF[[#This Row],[h (cm)]])</f>
        <v>N.S.</v>
      </c>
      <c r="BA166" s="5">
        <f ca="1">SUM(ESF[[#This Row],[Aço Est (kg)]],ESF[[#This Row],[Aço Bloco (kg)]])</f>
        <v>12.330751165339938</v>
      </c>
      <c r="BB166" s="4">
        <f>INDEX(composicoes[],MATCH(95580,composicoes[CÓDIGO],0),MATCH("CUSTO TOTAL",composicoes[#Headers],0))</f>
        <v>10.46</v>
      </c>
      <c r="BC166" s="4">
        <f ca="1">SUM(ESF[[#This Row],[Conc Est (m³)]],ESF[[#This Row],[Conc Bloco (m³)]])</f>
        <v>13.744467859455344</v>
      </c>
      <c r="BD166" s="4">
        <f>INDEX(composicoes[],MATCH(94966,composicoes[CÓDIGO],0),MATCH("CUSTO TOTAL",composicoes[#Headers],0))</f>
        <v>439.52</v>
      </c>
      <c r="BE166" s="38">
        <f ca="1">ESF[[#This Row],[Aço (kg)]]*ESF[[#This Row],[Aço (R$/kg)]]+ESF[[#This Row],[Conc (m³)]]*ESF[[#This Row],[Conc (R$/m³)]]</f>
        <v>6169.9481707772684</v>
      </c>
      <c r="BF166" s="4" t="str">
        <f ca="1">IF(COUNTIF(ESF[#This Row],"N.S.")&gt;0,"lim.","OK")</f>
        <v>lim.</v>
      </c>
      <c r="BG166" s="4" t="str">
        <f>IF(ESF[[#This Row],[Prof. (m)]]&lt;3,"lim.","OK")</f>
        <v>OK</v>
      </c>
      <c r="BH166" s="4" t="str">
        <f>IF(ESF[[#This Row],[Prof. (m)]]&gt;=8*ESF[[#This Row],[Ø (cm)]]/100,"OK","lim.")</f>
        <v>OK</v>
      </c>
      <c r="BI166" s="4" t="str">
        <f>IF(AND(SPT!$F$3&lt;&gt;"",ESF[[#This Row],[Prof. (m)]]&gt;=SPT!$F$3),"lim.","OK")</f>
        <v>OK</v>
      </c>
      <c r="BJ166" s="4" t="str">
        <f>IF(COUNTIFS(ESF[Solo],"Areia",ESF[Prof. (m)],"&lt;="&amp;ESF[[#This Row],[Prof. (m)]])&gt;=1,"lim.","OK")</f>
        <v>OK</v>
      </c>
      <c r="BK166" s="4" t="str">
        <f ca="1">IF(ESF[[#This Row],[Verif. Biela]]="OK","OK","lim.")</f>
        <v>OK</v>
      </c>
      <c r="BL166" s="4" t="str">
        <f ca="1">IF(COUNTA(ESF[[#This Row],[Nº Est.]:[Biela comp.]])=COUNTIF(ESF[[#This Row],[Nº Est.]:[Biela comp.]],"OK"),"OK","lim.")</f>
        <v>lim.</v>
      </c>
      <c r="BM166" s="4" t="str">
        <f ca="1">IF(ESF[[#This Row],[Controle]]="OK",ESF[[#This Row],[nE]]&amp;" Ø"&amp;ESF[[#This Row],[Ø (cm)]]&amp;"cm Prof. "&amp;ESF[[#This Row],[Prof. (m)]]&amp;" m","")</f>
        <v/>
      </c>
      <c r="BN166" s="4" t="str">
        <f ca="1">IF(ESF[[#This Row],[idDimensionamento]]="","",ESF[[#This Row],[idPilar]]&amp;ESF[[#This Row],[idDimensionamento]])</f>
        <v/>
      </c>
    </row>
    <row r="167" spans="2:66" x14ac:dyDescent="0.25">
      <c r="B167" s="12">
        <f>ROUNDUP((ROW(ESF[[#This Row],[idDiâmetro]])-ROW(ESF[[#Headers],[idDiâmetro]]))/(COUNT(SPT[Prof. (m)])*COUNT(PILARES[Pilar])),0)</f>
        <v>6</v>
      </c>
      <c r="C167" s="12">
        <f>IF(ESF[[#This Row],[idDiâmetro]]&lt;&gt;B166,1,IF(ESF[[#This Row],[Prof. (m)]]=0,C166+1,C166))</f>
        <v>2</v>
      </c>
      <c r="D167" s="82">
        <f>IFERROR(IF(D166=MAX(SPT[Prof. (m)]),0,D166+1),0)</f>
        <v>8</v>
      </c>
      <c r="E167" s="82">
        <f>INDEX(SPT[],MATCH(ESF[[#This Row],[Prof. (m)]],SPT[Prof. (m)],0),2)</f>
        <v>10</v>
      </c>
      <c r="F167" s="82" t="str">
        <f>INDEX(SPT[],MATCH(ESF[[#This Row],[Prof. (m)]],SPT[Prof. (m)],0),3)</f>
        <v>Silte arenoso</v>
      </c>
      <c r="G167" s="82">
        <f>INDEX(estacas[],ESF[[#This Row],[idDiâmetro]],MATCH($B$2,estacas[#Headers],0))</f>
        <v>50</v>
      </c>
      <c r="H167" s="82">
        <f>INDEX(estacas[],MATCH(ESF[[#This Row],[Ø (cm)]],estacas[Ø ESF (cm)],0),MATCH(ESF[[#Headers],[Pe ESF (kN)]],estacas[#Headers],0))</f>
        <v>1000</v>
      </c>
      <c r="I167" s="4">
        <f>INDEX(K_alpha_C[],MATCH(ESF[[#This Row],[Solo]],K_alpha_C[Solo],0),2)</f>
        <v>0.55000000000000004</v>
      </c>
      <c r="J167" s="5">
        <f>INDEX(K_alpha_C[],MATCH(ESF[[#This Row],[Solo]],K_alpha_C[Solo],0),3)</f>
        <v>2.2000000000000002</v>
      </c>
      <c r="K167" s="4">
        <f>INDEX(F1_F2[],MATCH($D$2,F1_F2[Tipo de estaca],0),2)</f>
        <v>3</v>
      </c>
      <c r="L167" s="4">
        <f>INDEX(F1_F2[],MATCH($D$2,F1_F2[Tipo de estaca],0),3)</f>
        <v>6</v>
      </c>
      <c r="M167" s="4">
        <f>PI()*(ESF[[#This Row],[Ø (cm)]]/100)^2/4</f>
        <v>0.19634954084936207</v>
      </c>
      <c r="N167" s="4">
        <f>PI()*ESF[[#This Row],[Ø (cm)]]/100</f>
        <v>1.5707963267948966</v>
      </c>
      <c r="O167" s="4">
        <f>IF(ESF[[#This Row],[Prof. (m)]]=0,0,ESF[[#This Row],[α (%)]]/100*ESF[[#This Row],[K (MPa)]]*1000*ESF[[#This Row],[NSPT]])</f>
        <v>121.00000000000001</v>
      </c>
      <c r="P167" s="4">
        <f>IF(ESF[[#This Row],[Prof. (m)]]=0,0,(ESF[[#This Row],[K (MPa)]]*1000*ESF[[#This Row],[NSPT]]/ESF[[#This Row],[F1]]*ESF[[#This Row],[Ap (m²)]]+ESF[[#This Row],[U (m)]]/ESF[[#This Row],[F2]]*SUMIFS(ESF[(α∙K∙NL∙ΔL)],ESF[Prof. (m)],"&lt;="&amp;ESF[[#This Row],[Prof. (m)]],ESF[idDiâmetro],ESF[[#This Row],[idDiâmetro]],ESF[idPilar],ESF[[#This Row],[idPilar]]))/'DADOS CAP. CARGA'!$D$2)</f>
        <v>310.87368304209997</v>
      </c>
      <c r="Q167" s="12">
        <f>INDEX(C_alpha_beta[],MATCH(ESF[[#This Row],[Solo]],C_alpha_beta[Solo],0),MATCH(ESF[[#Headers],[C (kPa)]],C_alpha_beta[#Headers],0))</f>
        <v>250</v>
      </c>
      <c r="R167" s="4">
        <f>INDEX(C_alpha_beta[],MATCH(ESF[[#This Row],[Solo]],C_alpha_beta[Solo],0),MATCH(ESF[[#Headers],[α ESF]],C_alpha_beta[#Headers],0))</f>
        <v>0.6</v>
      </c>
      <c r="S167" s="4">
        <f>INDEX(C_alpha_beta[],MATCH(ESF[[#This Row],[Solo]],C_alpha_beta[Solo],0),MATCH(ESF[[#Headers],[β ESF]],C_alpha_beta[#Headers],0))</f>
        <v>0.65</v>
      </c>
      <c r="T167" s="4">
        <f>IF(ESF[[#This Row],[Prof. (m)]]=0,0,10*(ESF[[#This Row],[NSPT]]/3+1))</f>
        <v>43.333333333333343</v>
      </c>
      <c r="U167" s="4">
        <f>(ESF[[#This Row],[α ESF]]*ESF[[#This Row],[C (kPa)]]*ESF[[#This Row],[NSPT]]*ESF[[#This Row],[Ap (m²)]])/'DADOS CAP. CARGA'!$Q$2+(ESF[[#This Row],[β ESF]]*SUMIFS(ESF[10∙(NL/3+1)],ESF[Prof. (m)],"&lt;="&amp;ESF[[#This Row],[Prof. (m)]],ESF[idDiâmetro],ESF[[#This Row],[idDiâmetro]],ESF[idPilar],ESF[[#This Row],[idPilar]])*ESF[[#This Row],[U (m)]])/'DADOS CAP. CARGA'!$S$2</f>
        <v>236.99389580518005</v>
      </c>
      <c r="V167" s="4">
        <f>IF(SPT!$M$5=1,MIN(ESF[[#This Row],[Pe ESF (kN)]],ESF[[#This Row],[R_AV (kN)]]),IF(SPT!$M$5=2,MIN(ESF[[#This Row],[Pe ESF (kN)]],ESF[[#This Row],[R_DC (kN)]]),MIN(ESF[[#This Row],[Pe ESF (kN)]],ESF[[#This Row],[R_AV (kN)]],ESF[[#This Row],[R_DC (kN)]])))</f>
        <v>236.99389580518005</v>
      </c>
      <c r="W167" s="4">
        <f>INDEX(PILARES[],ESF[[#This Row],[idPilar]],MATCH("Carga (kN)",PILARES[#Headers],0))*1.4</f>
        <v>1750</v>
      </c>
      <c r="X167" s="12">
        <f>INDEX(PILARES[],ESF[[#This Row],[idPilar]],MATCH(ESF[[#Headers],[ap (cm)]],PILARES[#Headers],0))</f>
        <v>50</v>
      </c>
      <c r="Y167" s="12">
        <f>INDEX(PILARES[],ESF[[#This Row],[idPilar]],MATCH(ESF[[#Headers],[bp (cm)]],PILARES[#Headers],0))</f>
        <v>40</v>
      </c>
      <c r="Z167" s="4">
        <f>SQRT(ESF[[#This Row],[ap (cm)]]*ESF[[#This Row],[bp (cm)]])</f>
        <v>44.721359549995796</v>
      </c>
      <c r="AA167" s="12">
        <f>ESF[[#This Row],[ap (cm)]]*ESF[[#This Row],[bp (cm)]]</f>
        <v>2000</v>
      </c>
      <c r="AB167" s="12">
        <f ca="1">IF(ESF[[#This Row],[Padm∙ε (kN)]]&gt;=ESF[[#This Row],[Padm (kN)]],ROUNDUP(1.05*ESF[[#This Row],[Nsd (kN)]]/ESF[[#This Row],[Padm (kN)]],0),ROUNDUP(1.05*ESF[[#This Row],[Nsd (kN)]]/ESF[[#This Row],[Padm (kN)]],0)+1)</f>
        <v>8</v>
      </c>
      <c r="AC167" s="4" t="str">
        <f ca="1">IFERROR(IF(ESF[[#This Row],[nE]]=1,ESF[[#This Row],[Padm (kN)]],ESF[[#This Row],[Padm (kN)]]*ESF[[#This Row],[nE]]*INDEX(grupoEstacas[],ESF[[#This Row],[nE]],MATCH("ε",grupoEstacas[#Headers],0))),"N.S.")</f>
        <v>N.S.</v>
      </c>
      <c r="AD167" s="4">
        <f ca="1">1.05*ESF[[#This Row],[Nsd (kN)]]/(ESF[[#This Row],[nE]]*PI()*ESF[[#This Row],[Ø (cm)]]^2/4)*10</f>
        <v>1.1697888317254308</v>
      </c>
      <c r="AE167" s="4">
        <f ca="1">IF(ESF[[#This Row],[σ (MPa)]]&lt;INDEX(tipoEstaca[],MATCH($D$2,tipoEstaca[TIPO DE ESTACA],0),MATCH("σmáx (MPa)",tipoEstaca[#Headers],0)),0.4%*PI()*ESF[[#This Row],[Ø (cm)]]^2/4,"N.S.")</f>
        <v>7.8539816339744837</v>
      </c>
      <c r="AF167" s="82">
        <f>INDEX(tipoEstaca[],MATCH($D$2,tipoEstaca[TIPO DE ESTACA],0),MATCH(ESF[[#Headers],[Comprimento (m)]],tipoEstaca[#Headers],0))</f>
        <v>2</v>
      </c>
      <c r="AG167" s="5">
        <f ca="1">ESF[[#This Row],[As,mín (cm²)]]/100^2*ESF[[#This Row],[Comprimento (m)]]*7850</f>
        <v>12.330751165339938</v>
      </c>
      <c r="AH167" s="4">
        <f ca="1">ESF[[#This Row],[nE]]*ESF[[#This Row],[Prof. (m)]]*ESF[[#This Row],[Ap (m²)]]</f>
        <v>12.566370614359172</v>
      </c>
      <c r="AI167" s="82">
        <f ca="1">IF(ESF[[#This Row],[nE]]=1,0,MAX(3*ESF[[#This Row],[Ø (cm)]],60))</f>
        <v>150</v>
      </c>
      <c r="AJ167" s="82">
        <f ca="1">IF(ESF[[#This Row],[nE]]=1,ESF[[#This Row],[Ø (cm)]]+2*10,MAX(1.5*ESF[[#This Row],[Ø (cm)]],ESF[[#This Row],[Ø (cm)]]+15))</f>
        <v>75</v>
      </c>
      <c r="AK167" s="82" t="str">
        <f ca="1">alturaUtil(ESF[[#This Row],[nE]],ESF[[#This Row],[Ø (cm)]],ESF[[#This Row],[e (cm)]],ESF[[#This Row],[ap,eq (cm)]])</f>
        <v>N.S.</v>
      </c>
      <c r="AL167" s="82" t="str">
        <f ca="1">IFERROR(ESF[[#This Row],[d (cm)]]+arredondarParaCimaMultiplo5cm(MAX(5,SQRT(PI())/2*ESF[[#This Row],[Ø (cm)]]/5)),"N.S.")</f>
        <v>N.S.</v>
      </c>
      <c r="AM167" s="5" t="str">
        <f ca="1">alpha(ESF[[#This Row],[nE]],ESF[[#This Row],[d (cm)]],ESF[[#This Row],[e (cm)]],ESF[[#This Row],[ap,eq (cm)]])</f>
        <v>N.S.</v>
      </c>
      <c r="AN167" s="35" t="str">
        <f ca="1">IFERROR(ESF[[#This Row],[Nsd (kN)]]/(ESF[[#This Row],[Ap (cm²)]]*SIN(ESF[[#This Row],[α]])^2),"N.S.")</f>
        <v>N.S.</v>
      </c>
      <c r="AO167" s="35" t="str">
        <f ca="1">IFERROR(ESF[[#This Row],[Nsd (kN)]]/(ESF[[#This Row],[nE]]*PI()*ESF[[#This Row],[Ø (cm)]]^2/4*SIN(ESF[[#This Row],[α]])^2),"N.S.")</f>
        <v>N.S.</v>
      </c>
      <c r="AP167" s="4" t="str">
        <f ca="1">IFERROR(INDEX(grupoEstacas[],ESF[[#This Row],[nE]],MATCH("coef. Blévot",grupoEstacas[#Headers],0)),"N.S.")</f>
        <v>N.S.</v>
      </c>
      <c r="AQ167" s="35" t="str">
        <f ca="1">IFERROR(ESF[[#This Row],[coef. Blévot]]*0.9*INDEX(tipoEstaca[],MATCH($D$2,tipoEstaca[TIPO DE ESTACA],0),MATCH("fcd (kN/cm²)",tipoEstaca[#Headers],0)),"N.S.")</f>
        <v>N.S.</v>
      </c>
      <c r="AR167" s="82" t="str">
        <f ca="1">IF(AND(ESF[[#This Row],[cd,b,pil (kN/cm²)]]&lt;=ESF[[#This Row],[cd,b,lim (kN/cm²)]],ESF[[#This Row],[cd,b,est (kN/cm²)]]&lt;=ESF[[#This Row],[cd,b,lim (kN/cm²)]]),"OK","ERRO")</f>
        <v>OK</v>
      </c>
      <c r="AS167" s="4" t="str">
        <f ca="1">As_lado(ESF[[#This Row],[nE]],ESF[[#This Row],[Nsd (kN)]],ESF[[#This Row],[d (cm)]],ESF[[#This Row],[e (cm)]],ESF[[#This Row],[ap,eq (cm)]])</f>
        <v>N.S.</v>
      </c>
      <c r="AT167" s="4" t="str">
        <f ca="1">IF(ESF[[#This Row],[nE]]=1,ESF[[#This Row],[As,lado (cm²)]],IF(ESF[[#This Row],[nE]]=2,0.075*2*ESF[a (cm)],"N.A."))</f>
        <v>N.A.</v>
      </c>
      <c r="AU167" s="4" t="str">
        <f ca="1">IFERROR(IF(ESF[[#This Row],[nE]]=1,"N.A.",0.2*ESF[[#This Row],[As,lado (cm²)]]),"N.S.")</f>
        <v>N.S.</v>
      </c>
      <c r="AV167" s="4" t="str">
        <f ca="1">As_malha(ESF[[#This Row],[nE]],ESF[[#This Row],[As,lado (cm²)]],ESF[[#This Row],[Nsd (kN)]])</f>
        <v>N.S.</v>
      </c>
      <c r="AW167" s="4" t="str">
        <f ca="1">As_susp_tot(ESF[[#This Row],[nE]],ESF[[#This Row],[Nsd (kN)]])</f>
        <v>N.S.</v>
      </c>
      <c r="AX167" s="4" t="str">
        <f ca="1">Asp_face(ESF[[#This Row],[nE]],ESF[[#This Row],[As,lado (cm²)]])</f>
        <v>N.S.</v>
      </c>
      <c r="AY167" s="5" t="str">
        <f ca="1">acoBloco(ESF[[#This Row],[nE]],ESF[[#This Row],[e (cm)]],ESF[[#This Row],[a (cm)]],ESF[[#This Row],[h (cm)]],ESF[[#This Row],[As,lado (cm²)]],ESF[[#This Row],[Asp e Asw (cm²/m)]],ESF[[#This Row],[As,sup (cm²)]],ESF[[#This Row],[As,malha (cm²)]],ESF[[#This Row],[As,susp,tot (cm²)]],ESF[[#This Row],[Asp,face (cm²)]])</f>
        <v>N.S.</v>
      </c>
      <c r="AZ167" s="4" t="str">
        <f ca="1">concretoBloco(ESF[[#This Row],[nE]],ESF[[#This Row],[e (cm)]],ESF[[#This Row],[a (cm)]],ESF[[#This Row],[h (cm)]])</f>
        <v>N.S.</v>
      </c>
      <c r="BA167" s="5">
        <f ca="1">SUM(ESF[[#This Row],[Aço Est (kg)]],ESF[[#This Row],[Aço Bloco (kg)]])</f>
        <v>12.330751165339938</v>
      </c>
      <c r="BB167" s="4">
        <f>INDEX(composicoes[],MATCH(95580,composicoes[CÓDIGO],0),MATCH("CUSTO TOTAL",composicoes[#Headers],0))</f>
        <v>10.46</v>
      </c>
      <c r="BC167" s="4">
        <f ca="1">SUM(ESF[[#This Row],[Conc Est (m³)]],ESF[[#This Row],[Conc Bloco (m³)]])</f>
        <v>12.566370614359172</v>
      </c>
      <c r="BD167" s="4">
        <f>INDEX(composicoes[],MATCH(94966,composicoes[CÓDIGO],0),MATCH("CUSTO TOTAL",composicoes[#Headers],0))</f>
        <v>439.52</v>
      </c>
      <c r="BE167" s="38">
        <f ca="1">ESF[[#This Row],[Aço (kg)]]*ESF[[#This Row],[Aço (R$/kg)]]+ESF[[#This Row],[Conc (m³)]]*ESF[[#This Row],[Conc (R$/m³)]]</f>
        <v>5652.1508696125993</v>
      </c>
      <c r="BF167" s="4" t="str">
        <f ca="1">IF(COUNTIF(ESF[#This Row],"N.S.")&gt;0,"lim.","OK")</f>
        <v>lim.</v>
      </c>
      <c r="BG167" s="4" t="str">
        <f>IF(ESF[[#This Row],[Prof. (m)]]&lt;3,"lim.","OK")</f>
        <v>OK</v>
      </c>
      <c r="BH167" s="4" t="str">
        <f>IF(ESF[[#This Row],[Prof. (m)]]&gt;=8*ESF[[#This Row],[Ø (cm)]]/100,"OK","lim.")</f>
        <v>OK</v>
      </c>
      <c r="BI167" s="4" t="str">
        <f>IF(AND(SPT!$F$3&lt;&gt;"",ESF[[#This Row],[Prof. (m)]]&gt;=SPT!$F$3),"lim.","OK")</f>
        <v>OK</v>
      </c>
      <c r="BJ167" s="4" t="str">
        <f>IF(COUNTIFS(ESF[Solo],"Areia",ESF[Prof. (m)],"&lt;="&amp;ESF[[#This Row],[Prof. (m)]])&gt;=1,"lim.","OK")</f>
        <v>OK</v>
      </c>
      <c r="BK167" s="4" t="str">
        <f ca="1">IF(ESF[[#This Row],[Verif. Biela]]="OK","OK","lim.")</f>
        <v>OK</v>
      </c>
      <c r="BL167" s="4" t="str">
        <f ca="1">IF(COUNTA(ESF[[#This Row],[Nº Est.]:[Biela comp.]])=COUNTIF(ESF[[#This Row],[Nº Est.]:[Biela comp.]],"OK"),"OK","lim.")</f>
        <v>lim.</v>
      </c>
      <c r="BM167" s="4" t="str">
        <f ca="1">IF(ESF[[#This Row],[Controle]]="OK",ESF[[#This Row],[nE]]&amp;" Ø"&amp;ESF[[#This Row],[Ø (cm)]]&amp;"cm Prof. "&amp;ESF[[#This Row],[Prof. (m)]]&amp;" m","")</f>
        <v/>
      </c>
      <c r="BN167" s="4" t="str">
        <f ca="1">IF(ESF[[#This Row],[idDimensionamento]]="","",ESF[[#This Row],[idPilar]]&amp;ESF[[#This Row],[idDimensionamento]])</f>
        <v/>
      </c>
    </row>
    <row r="168" spans="2:66" x14ac:dyDescent="0.25">
      <c r="B168" s="12">
        <f>ROUNDUP((ROW(ESF[[#This Row],[idDiâmetro]])-ROW(ESF[[#Headers],[idDiâmetro]]))/(COUNT(SPT[Prof. (m)])*COUNT(PILARES[Pilar])),0)</f>
        <v>6</v>
      </c>
      <c r="C168" s="12">
        <f>IF(ESF[[#This Row],[idDiâmetro]]&lt;&gt;B167,1,IF(ESF[[#This Row],[Prof. (m)]]=0,C167+1,C167))</f>
        <v>2</v>
      </c>
      <c r="D168" s="82">
        <f>IFERROR(IF(D167=MAX(SPT[Prof. (m)]),0,D167+1),0)</f>
        <v>9</v>
      </c>
      <c r="E168" s="82">
        <f>INDEX(SPT[],MATCH(ESF[[#This Row],[Prof. (m)]],SPT[Prof. (m)],0),2)</f>
        <v>26</v>
      </c>
      <c r="F168" s="82" t="str">
        <f>INDEX(SPT[],MATCH(ESF[[#This Row],[Prof. (m)]],SPT[Prof. (m)],0),3)</f>
        <v>Areia siltosa</v>
      </c>
      <c r="G168" s="82">
        <f>INDEX(estacas[],ESF[[#This Row],[idDiâmetro]],MATCH($B$2,estacas[#Headers],0))</f>
        <v>50</v>
      </c>
      <c r="H168" s="82">
        <f>INDEX(estacas[],MATCH(ESF[[#This Row],[Ø (cm)]],estacas[Ø ESF (cm)],0),MATCH(ESF[[#Headers],[Pe ESF (kN)]],estacas[#Headers],0))</f>
        <v>1000</v>
      </c>
      <c r="I168" s="4">
        <f>INDEX(K_alpha_C[],MATCH(ESF[[#This Row],[Solo]],K_alpha_C[Solo],0),2)</f>
        <v>0.8</v>
      </c>
      <c r="J168" s="5">
        <f>INDEX(K_alpha_C[],MATCH(ESF[[#This Row],[Solo]],K_alpha_C[Solo],0),3)</f>
        <v>2</v>
      </c>
      <c r="K168" s="4">
        <f>INDEX(F1_F2[],MATCH($D$2,F1_F2[Tipo de estaca],0),2)</f>
        <v>3</v>
      </c>
      <c r="L168" s="4">
        <f>INDEX(F1_F2[],MATCH($D$2,F1_F2[Tipo de estaca],0),3)</f>
        <v>6</v>
      </c>
      <c r="M168" s="4">
        <f>PI()*(ESF[[#This Row],[Ø (cm)]]/100)^2/4</f>
        <v>0.19634954084936207</v>
      </c>
      <c r="N168" s="4">
        <f>PI()*ESF[[#This Row],[Ø (cm)]]/100</f>
        <v>1.5707963267948966</v>
      </c>
      <c r="O168" s="4">
        <f>IF(ESF[[#This Row],[Prof. (m)]]=0,0,ESF[[#This Row],[α (%)]]/100*ESF[[#This Row],[K (MPa)]]*1000*ESF[[#This Row],[NSPT]])</f>
        <v>416</v>
      </c>
      <c r="P168" s="4">
        <f>IF(ESF[[#This Row],[Prof. (m)]]=0,0,(ESF[[#This Row],[K (MPa)]]*1000*ESF[[#This Row],[NSPT]]/ESF[[#This Row],[F1]]*ESF[[#This Row],[Ap (m²)]]+ESF[[#This Row],[U (m)]]/ESF[[#This Row],[F2]]*SUMIFS(ESF[(α∙K∙NL∙ΔL)],ESF[Prof. (m)],"&lt;="&amp;ESF[[#This Row],[Prof. (m)]],ESF[idDiâmetro],ESF[[#This Row],[idDiâmetro]],ESF[idPilar],ESF[[#This Row],[idPilar]]))/'DADOS CAP. CARGA'!$D$2)</f>
        <v>866.01928487019632</v>
      </c>
      <c r="Q168" s="12">
        <f>INDEX(C_alpha_beta[],MATCH(ESF[[#This Row],[Solo]],C_alpha_beta[Solo],0),MATCH(ESF[[#Headers],[C (kPa)]],C_alpha_beta[#Headers],0))</f>
        <v>400</v>
      </c>
      <c r="R168" s="4">
        <f>INDEX(C_alpha_beta[],MATCH(ESF[[#This Row],[Solo]],C_alpha_beta[Solo],0),MATCH(ESF[[#Headers],[α ESF]],C_alpha_beta[#Headers],0))</f>
        <v>0.5</v>
      </c>
      <c r="S168" s="4">
        <f>INDEX(C_alpha_beta[],MATCH(ESF[[#This Row],[Solo]],C_alpha_beta[Solo],0),MATCH(ESF[[#Headers],[β ESF]],C_alpha_beta[#Headers],0))</f>
        <v>0.5</v>
      </c>
      <c r="T168" s="4">
        <f>IF(ESF[[#This Row],[Prof. (m)]]=0,0,10*(ESF[[#This Row],[NSPT]]/3+1))</f>
        <v>96.666666666666657</v>
      </c>
      <c r="U168" s="4">
        <f>(ESF[[#This Row],[α ESF]]*ESF[[#This Row],[C (kPa)]]*ESF[[#This Row],[NSPT]]*ESF[[#This Row],[Ap (m²)]])/'DADOS CAP. CARGA'!$Q$2+(ESF[[#This Row],[β ESF]]*SUMIFS(ESF[10∙(NL/3+1)],ESF[Prof. (m)],"&lt;="&amp;ESF[[#This Row],[Prof. (m)]],ESF[idDiâmetro],ESF[[#This Row],[idDiâmetro]],ESF[idPilar],ESF[[#This Row],[idPilar]])*ESF[[#This Row],[U (m)]])/'DADOS CAP. CARGA'!$S$2</f>
        <v>418.87902047863906</v>
      </c>
      <c r="V168" s="4">
        <f>IF(SPT!$M$5=1,MIN(ESF[[#This Row],[Pe ESF (kN)]],ESF[[#This Row],[R_AV (kN)]]),IF(SPT!$M$5=2,MIN(ESF[[#This Row],[Pe ESF (kN)]],ESF[[#This Row],[R_DC (kN)]]),MIN(ESF[[#This Row],[Pe ESF (kN)]],ESF[[#This Row],[R_AV (kN)]],ESF[[#This Row],[R_DC (kN)]])))</f>
        <v>418.87902047863906</v>
      </c>
      <c r="W168" s="4">
        <f>INDEX(PILARES[],ESF[[#This Row],[idPilar]],MATCH("Carga (kN)",PILARES[#Headers],0))*1.4</f>
        <v>1750</v>
      </c>
      <c r="X168" s="12">
        <f>INDEX(PILARES[],ESF[[#This Row],[idPilar]],MATCH(ESF[[#Headers],[ap (cm)]],PILARES[#Headers],0))</f>
        <v>50</v>
      </c>
      <c r="Y168" s="12">
        <f>INDEX(PILARES[],ESF[[#This Row],[idPilar]],MATCH(ESF[[#Headers],[bp (cm)]],PILARES[#Headers],0))</f>
        <v>40</v>
      </c>
      <c r="Z168" s="4">
        <f>SQRT(ESF[[#This Row],[ap (cm)]]*ESF[[#This Row],[bp (cm)]])</f>
        <v>44.721359549995796</v>
      </c>
      <c r="AA168" s="12">
        <f>ESF[[#This Row],[ap (cm)]]*ESF[[#This Row],[bp (cm)]]</f>
        <v>2000</v>
      </c>
      <c r="AB168" s="12">
        <f ca="1">IF(ESF[[#This Row],[Padm∙ε (kN)]]&gt;=ESF[[#This Row],[Padm (kN)]],ROUNDUP(1.05*ESF[[#This Row],[Nsd (kN)]]/ESF[[#This Row],[Padm (kN)]],0),ROUNDUP(1.05*ESF[[#This Row],[Nsd (kN)]]/ESF[[#This Row],[Padm (kN)]],0)+1)</f>
        <v>5</v>
      </c>
      <c r="AC168" s="4" t="str">
        <f ca="1">IFERROR(IF(ESF[[#This Row],[nE]]=1,ESF[[#This Row],[Padm (kN)]],ESF[[#This Row],[Padm (kN)]]*ESF[[#This Row],[nE]]*INDEX(grupoEstacas[],ESF[[#This Row],[nE]],MATCH("ε",grupoEstacas[#Headers],0))),"N.S.")</f>
        <v>N.S.</v>
      </c>
      <c r="AD168" s="4">
        <f ca="1">1.05*ESF[[#This Row],[Nsd (kN)]]/(ESF[[#This Row],[nE]]*PI()*ESF[[#This Row],[Ø (cm)]]^2/4)*10</f>
        <v>1.8716621307606893</v>
      </c>
      <c r="AE168" s="4">
        <f ca="1">IF(ESF[[#This Row],[σ (MPa)]]&lt;INDEX(tipoEstaca[],MATCH($D$2,tipoEstaca[TIPO DE ESTACA],0),MATCH("σmáx (MPa)",tipoEstaca[#Headers],0)),0.4%*PI()*ESF[[#This Row],[Ø (cm)]]^2/4,"N.S.")</f>
        <v>7.8539816339744837</v>
      </c>
      <c r="AF168" s="82">
        <f>INDEX(tipoEstaca[],MATCH($D$2,tipoEstaca[TIPO DE ESTACA],0),MATCH(ESF[[#Headers],[Comprimento (m)]],tipoEstaca[#Headers],0))</f>
        <v>2</v>
      </c>
      <c r="AG168" s="5">
        <f ca="1">ESF[[#This Row],[As,mín (cm²)]]/100^2*ESF[[#This Row],[Comprimento (m)]]*7850</f>
        <v>12.330751165339938</v>
      </c>
      <c r="AH168" s="4">
        <f ca="1">ESF[[#This Row],[nE]]*ESF[[#This Row],[Prof. (m)]]*ESF[[#This Row],[Ap (m²)]]</f>
        <v>8.8357293382212934</v>
      </c>
      <c r="AI168" s="82">
        <f ca="1">IF(ESF[[#This Row],[nE]]=1,0,MAX(3*ESF[[#This Row],[Ø (cm)]],60))</f>
        <v>150</v>
      </c>
      <c r="AJ168" s="82">
        <f ca="1">IF(ESF[[#This Row],[nE]]=1,ESF[[#This Row],[Ø (cm)]]+2*10,MAX(1.5*ESF[[#This Row],[Ø (cm)]],ESF[[#This Row],[Ø (cm)]]+15))</f>
        <v>75</v>
      </c>
      <c r="AK168" s="82" t="str">
        <f ca="1">alturaUtil(ESF[[#This Row],[nE]],ESF[[#This Row],[Ø (cm)]],ESF[[#This Row],[e (cm)]],ESF[[#This Row],[ap,eq (cm)]])</f>
        <v>N.S.</v>
      </c>
      <c r="AL168" s="82" t="str">
        <f ca="1">IFERROR(ESF[[#This Row],[d (cm)]]+arredondarParaCimaMultiplo5cm(MAX(5,SQRT(PI())/2*ESF[[#This Row],[Ø (cm)]]/5)),"N.S.")</f>
        <v>N.S.</v>
      </c>
      <c r="AM168" s="5" t="str">
        <f ca="1">alpha(ESF[[#This Row],[nE]],ESF[[#This Row],[d (cm)]],ESF[[#This Row],[e (cm)]],ESF[[#This Row],[ap,eq (cm)]])</f>
        <v>N.S.</v>
      </c>
      <c r="AN168" s="35" t="str">
        <f ca="1">IFERROR(ESF[[#This Row],[Nsd (kN)]]/(ESF[[#This Row],[Ap (cm²)]]*SIN(ESF[[#This Row],[α]])^2),"N.S.")</f>
        <v>N.S.</v>
      </c>
      <c r="AO168" s="35" t="str">
        <f ca="1">IFERROR(ESF[[#This Row],[Nsd (kN)]]/(ESF[[#This Row],[nE]]*PI()*ESF[[#This Row],[Ø (cm)]]^2/4*SIN(ESF[[#This Row],[α]])^2),"N.S.")</f>
        <v>N.S.</v>
      </c>
      <c r="AP168" s="4" t="str">
        <f ca="1">IFERROR(INDEX(grupoEstacas[],ESF[[#This Row],[nE]],MATCH("coef. Blévot",grupoEstacas[#Headers],0)),"N.S.")</f>
        <v>N.S.</v>
      </c>
      <c r="AQ168" s="35" t="str">
        <f ca="1">IFERROR(ESF[[#This Row],[coef. Blévot]]*0.9*INDEX(tipoEstaca[],MATCH($D$2,tipoEstaca[TIPO DE ESTACA],0),MATCH("fcd (kN/cm²)",tipoEstaca[#Headers],0)),"N.S.")</f>
        <v>N.S.</v>
      </c>
      <c r="AR168" s="82" t="str">
        <f ca="1">IF(AND(ESF[[#This Row],[cd,b,pil (kN/cm²)]]&lt;=ESF[[#This Row],[cd,b,lim (kN/cm²)]],ESF[[#This Row],[cd,b,est (kN/cm²)]]&lt;=ESF[[#This Row],[cd,b,lim (kN/cm²)]]),"OK","ERRO")</f>
        <v>OK</v>
      </c>
      <c r="AS168" s="4" t="str">
        <f ca="1">As_lado(ESF[[#This Row],[nE]],ESF[[#This Row],[Nsd (kN)]],ESF[[#This Row],[d (cm)]],ESF[[#This Row],[e (cm)]],ESF[[#This Row],[ap,eq (cm)]])</f>
        <v>N.S.</v>
      </c>
      <c r="AT168" s="4" t="str">
        <f ca="1">IF(ESF[[#This Row],[nE]]=1,ESF[[#This Row],[As,lado (cm²)]],IF(ESF[[#This Row],[nE]]=2,0.075*2*ESF[a (cm)],"N.A."))</f>
        <v>N.A.</v>
      </c>
      <c r="AU168" s="4" t="str">
        <f ca="1">IFERROR(IF(ESF[[#This Row],[nE]]=1,"N.A.",0.2*ESF[[#This Row],[As,lado (cm²)]]),"N.S.")</f>
        <v>N.S.</v>
      </c>
      <c r="AV168" s="4" t="str">
        <f ca="1">As_malha(ESF[[#This Row],[nE]],ESF[[#This Row],[As,lado (cm²)]],ESF[[#This Row],[Nsd (kN)]])</f>
        <v>N.S.</v>
      </c>
      <c r="AW168" s="4" t="str">
        <f ca="1">As_susp_tot(ESF[[#This Row],[nE]],ESF[[#This Row],[Nsd (kN)]])</f>
        <v>N.S.</v>
      </c>
      <c r="AX168" s="4" t="str">
        <f ca="1">Asp_face(ESF[[#This Row],[nE]],ESF[[#This Row],[As,lado (cm²)]])</f>
        <v>N.S.</v>
      </c>
      <c r="AY168" s="5" t="str">
        <f ca="1">acoBloco(ESF[[#This Row],[nE]],ESF[[#This Row],[e (cm)]],ESF[[#This Row],[a (cm)]],ESF[[#This Row],[h (cm)]],ESF[[#This Row],[As,lado (cm²)]],ESF[[#This Row],[Asp e Asw (cm²/m)]],ESF[[#This Row],[As,sup (cm²)]],ESF[[#This Row],[As,malha (cm²)]],ESF[[#This Row],[As,susp,tot (cm²)]],ESF[[#This Row],[Asp,face (cm²)]])</f>
        <v>N.S.</v>
      </c>
      <c r="AZ168" s="4" t="str">
        <f ca="1">concretoBloco(ESF[[#This Row],[nE]],ESF[[#This Row],[e (cm)]],ESF[[#This Row],[a (cm)]],ESF[[#This Row],[h (cm)]])</f>
        <v>N.S.</v>
      </c>
      <c r="BA168" s="5">
        <f ca="1">SUM(ESF[[#This Row],[Aço Est (kg)]],ESF[[#This Row],[Aço Bloco (kg)]])</f>
        <v>12.330751165339938</v>
      </c>
      <c r="BB168" s="4">
        <f>INDEX(composicoes[],MATCH(95580,composicoes[CÓDIGO],0),MATCH("CUSTO TOTAL",composicoes[#Headers],0))</f>
        <v>10.46</v>
      </c>
      <c r="BC168" s="4">
        <f ca="1">SUM(ESF[[#This Row],[Conc Est (m³)]],ESF[[#This Row],[Conc Bloco (m³)]])</f>
        <v>8.8357293382212934</v>
      </c>
      <c r="BD168" s="4">
        <f>INDEX(composicoes[],MATCH(94966,composicoes[CÓDIGO],0),MATCH("CUSTO TOTAL",composicoes[#Headers],0))</f>
        <v>439.52</v>
      </c>
      <c r="BE168" s="38">
        <f ca="1">ESF[[#This Row],[Aço (kg)]]*ESF[[#This Row],[Aço (R$/kg)]]+ESF[[#This Row],[Conc (m³)]]*ESF[[#This Row],[Conc (R$/m³)]]</f>
        <v>4012.4594159244784</v>
      </c>
      <c r="BF168" s="4" t="str">
        <f ca="1">IF(COUNTIF(ESF[#This Row],"N.S.")&gt;0,"lim.","OK")</f>
        <v>lim.</v>
      </c>
      <c r="BG168" s="4" t="str">
        <f>IF(ESF[[#This Row],[Prof. (m)]]&lt;3,"lim.","OK")</f>
        <v>OK</v>
      </c>
      <c r="BH168" s="4" t="str">
        <f>IF(ESF[[#This Row],[Prof. (m)]]&gt;=8*ESF[[#This Row],[Ø (cm)]]/100,"OK","lim.")</f>
        <v>OK</v>
      </c>
      <c r="BI168" s="4" t="str">
        <f>IF(AND(SPT!$F$3&lt;&gt;"",ESF[[#This Row],[Prof. (m)]]&gt;=SPT!$F$3),"lim.","OK")</f>
        <v>OK</v>
      </c>
      <c r="BJ168" s="4" t="str">
        <f>IF(COUNTIFS(ESF[Solo],"Areia",ESF[Prof. (m)],"&lt;="&amp;ESF[[#This Row],[Prof. (m)]])&gt;=1,"lim.","OK")</f>
        <v>OK</v>
      </c>
      <c r="BK168" s="4" t="str">
        <f ca="1">IF(ESF[[#This Row],[Verif. Biela]]="OK","OK","lim.")</f>
        <v>OK</v>
      </c>
      <c r="BL168" s="4" t="str">
        <f ca="1">IF(COUNTA(ESF[[#This Row],[Nº Est.]:[Biela comp.]])=COUNTIF(ESF[[#This Row],[Nº Est.]:[Biela comp.]],"OK"),"OK","lim.")</f>
        <v>lim.</v>
      </c>
      <c r="BM168" s="4" t="str">
        <f ca="1">IF(ESF[[#This Row],[Controle]]="OK",ESF[[#This Row],[nE]]&amp;" Ø"&amp;ESF[[#This Row],[Ø (cm)]]&amp;"cm Prof. "&amp;ESF[[#This Row],[Prof. (m)]]&amp;" m","")</f>
        <v/>
      </c>
      <c r="BN168" s="4" t="str">
        <f ca="1">IF(ESF[[#This Row],[idDimensionamento]]="","",ESF[[#This Row],[idPilar]]&amp;ESF[[#This Row],[idDimensionamento]])</f>
        <v/>
      </c>
    </row>
    <row r="169" spans="2:66" x14ac:dyDescent="0.25">
      <c r="B169" s="12">
        <f>ROUNDUP((ROW(ESF[[#This Row],[idDiâmetro]])-ROW(ESF[[#Headers],[idDiâmetro]]))/(COUNT(SPT[Prof. (m)])*COUNT(PILARES[Pilar])),0)</f>
        <v>6</v>
      </c>
      <c r="C169" s="12">
        <f>IF(ESF[[#This Row],[idDiâmetro]]&lt;&gt;B168,1,IF(ESF[[#This Row],[Prof. (m)]]=0,C168+1,C168))</f>
        <v>2</v>
      </c>
      <c r="D169" s="82">
        <f>IFERROR(IF(D168=MAX(SPT[Prof. (m)]),0,D168+1),0)</f>
        <v>10</v>
      </c>
      <c r="E169" s="82">
        <f>INDEX(SPT[],MATCH(ESF[[#This Row],[Prof. (m)]],SPT[Prof. (m)],0),2)</f>
        <v>32</v>
      </c>
      <c r="F169" s="82" t="str">
        <f>INDEX(SPT[],MATCH(ESF[[#This Row],[Prof. (m)]],SPT[Prof. (m)],0),3)</f>
        <v>Areia siltosa</v>
      </c>
      <c r="G169" s="82">
        <f>INDEX(estacas[],ESF[[#This Row],[idDiâmetro]],MATCH($B$2,estacas[#Headers],0))</f>
        <v>50</v>
      </c>
      <c r="H169" s="82">
        <f>INDEX(estacas[],MATCH(ESF[[#This Row],[Ø (cm)]],estacas[Ø ESF (cm)],0),MATCH(ESF[[#Headers],[Pe ESF (kN)]],estacas[#Headers],0))</f>
        <v>1000</v>
      </c>
      <c r="I169" s="4">
        <f>INDEX(K_alpha_C[],MATCH(ESF[[#This Row],[Solo]],K_alpha_C[Solo],0),2)</f>
        <v>0.8</v>
      </c>
      <c r="J169" s="5">
        <f>INDEX(K_alpha_C[],MATCH(ESF[[#This Row],[Solo]],K_alpha_C[Solo],0),3)</f>
        <v>2</v>
      </c>
      <c r="K169" s="4">
        <f>INDEX(F1_F2[],MATCH($D$2,F1_F2[Tipo de estaca],0),2)</f>
        <v>3</v>
      </c>
      <c r="L169" s="4">
        <f>INDEX(F1_F2[],MATCH($D$2,F1_F2[Tipo de estaca],0),3)</f>
        <v>6</v>
      </c>
      <c r="M169" s="4">
        <f>PI()*(ESF[[#This Row],[Ø (cm)]]/100)^2/4</f>
        <v>0.19634954084936207</v>
      </c>
      <c r="N169" s="4">
        <f>PI()*ESF[[#This Row],[Ø (cm)]]/100</f>
        <v>1.5707963267948966</v>
      </c>
      <c r="O169" s="4">
        <f>IF(ESF[[#This Row],[Prof. (m)]]=0,0,ESF[[#This Row],[α (%)]]/100*ESF[[#This Row],[K (MPa)]]*1000*ESF[[#This Row],[NSPT]])</f>
        <v>512</v>
      </c>
      <c r="P169" s="4">
        <f>IF(ESF[[#This Row],[Prof. (m)]]=0,0,(ESF[[#This Row],[K (MPa)]]*1000*ESF[[#This Row],[NSPT]]/ESF[[#This Row],[F1]]*ESF[[#This Row],[Ap (m²)]]+ESF[[#This Row],[U (m)]]/ESF[[#This Row],[F2]]*SUMIFS(ESF[(α∙K∙NL∙ΔL)],ESF[Prof. (m)],"&lt;="&amp;ESF[[#This Row],[Prof. (m)]],ESF[idDiâmetro],ESF[[#This Row],[idDiâmetro]],ESF[idPilar],ESF[[#This Row],[idPilar]]))/'DADOS CAP. CARGA'!$D$2)</f>
        <v>1090.1195608262683</v>
      </c>
      <c r="Q169" s="12">
        <f>INDEX(C_alpha_beta[],MATCH(ESF[[#This Row],[Solo]],C_alpha_beta[Solo],0),MATCH(ESF[[#Headers],[C (kPa)]],C_alpha_beta[#Headers],0))</f>
        <v>400</v>
      </c>
      <c r="R169" s="4">
        <f>INDEX(C_alpha_beta[],MATCH(ESF[[#This Row],[Solo]],C_alpha_beta[Solo],0),MATCH(ESF[[#Headers],[α ESF]],C_alpha_beta[#Headers],0))</f>
        <v>0.5</v>
      </c>
      <c r="S169" s="4">
        <f>INDEX(C_alpha_beta[],MATCH(ESF[[#This Row],[Solo]],C_alpha_beta[Solo],0),MATCH(ESF[[#Headers],[β ESF]],C_alpha_beta[#Headers],0))</f>
        <v>0.5</v>
      </c>
      <c r="T169" s="4">
        <f>IF(ESF[[#This Row],[Prof. (m)]]=0,0,10*(ESF[[#This Row],[NSPT]]/3+1))</f>
        <v>116.66666666666666</v>
      </c>
      <c r="U169" s="4">
        <f>(ESF[[#This Row],[α ESF]]*ESF[[#This Row],[C (kPa)]]*ESF[[#This Row],[NSPT]]*ESF[[#This Row],[Ap (m²)]])/'DADOS CAP. CARGA'!$Q$2+(ESF[[#This Row],[β ESF]]*SUMIFS(ESF[10∙(NL/3+1)],ESF[Prof. (m)],"&lt;="&amp;ESF[[#This Row],[Prof. (m)]],ESF[idDiâmetro],ESF[[#This Row],[idDiâmetro]],ESF[idPilar],ESF[[#This Row],[idPilar]])*ESF[[#This Row],[U (m)]])/'DADOS CAP. CARGA'!$S$2</f>
        <v>523.59877559829886</v>
      </c>
      <c r="V169" s="4">
        <f>IF(SPT!$M$5=1,MIN(ESF[[#This Row],[Pe ESF (kN)]],ESF[[#This Row],[R_AV (kN)]]),IF(SPT!$M$5=2,MIN(ESF[[#This Row],[Pe ESF (kN)]],ESF[[#This Row],[R_DC (kN)]]),MIN(ESF[[#This Row],[Pe ESF (kN)]],ESF[[#This Row],[R_AV (kN)]],ESF[[#This Row],[R_DC (kN)]])))</f>
        <v>523.59877559829886</v>
      </c>
      <c r="W169" s="4">
        <f>INDEX(PILARES[],ESF[[#This Row],[idPilar]],MATCH("Carga (kN)",PILARES[#Headers],0))*1.4</f>
        <v>1750</v>
      </c>
      <c r="X169" s="12">
        <f>INDEX(PILARES[],ESF[[#This Row],[idPilar]],MATCH(ESF[[#Headers],[ap (cm)]],PILARES[#Headers],0))</f>
        <v>50</v>
      </c>
      <c r="Y169" s="12">
        <f>INDEX(PILARES[],ESF[[#This Row],[idPilar]],MATCH(ESF[[#Headers],[bp (cm)]],PILARES[#Headers],0))</f>
        <v>40</v>
      </c>
      <c r="Z169" s="4">
        <f>SQRT(ESF[[#This Row],[ap (cm)]]*ESF[[#This Row],[bp (cm)]])</f>
        <v>44.721359549995796</v>
      </c>
      <c r="AA169" s="12">
        <f>ESF[[#This Row],[ap (cm)]]*ESF[[#This Row],[bp (cm)]]</f>
        <v>2000</v>
      </c>
      <c r="AB169" s="12">
        <f ca="1">IF(ESF[[#This Row],[Padm∙ε (kN)]]&gt;=ESF[[#This Row],[Padm (kN)]],ROUNDUP(1.05*ESF[[#This Row],[Nsd (kN)]]/ESF[[#This Row],[Padm (kN)]],0),ROUNDUP(1.05*ESF[[#This Row],[Nsd (kN)]]/ESF[[#This Row],[Padm (kN)]],0)+1)</f>
        <v>4</v>
      </c>
      <c r="AC169" s="4">
        <f ca="1">IFERROR(IF(ESF[[#This Row],[nE]]=1,ESF[[#This Row],[Padm (kN)]],ESF[[#This Row],[Padm (kN)]]*ESF[[#This Row],[nE]]*INDEX(grupoEstacas[],ESF[[#This Row],[nE]],MATCH("ε",grupoEstacas[#Headers],0))),"N.S.")</f>
        <v>1701.6960206944714</v>
      </c>
      <c r="AD169" s="4">
        <f ca="1">1.05*ESF[[#This Row],[Nsd (kN)]]/(ESF[[#This Row],[nE]]*PI()*ESF[[#This Row],[Ø (cm)]]^2/4)*10</f>
        <v>2.3395776634508616</v>
      </c>
      <c r="AE169" s="4">
        <f ca="1">IF(ESF[[#This Row],[σ (MPa)]]&lt;INDEX(tipoEstaca[],MATCH($D$2,tipoEstaca[TIPO DE ESTACA],0),MATCH("σmáx (MPa)",tipoEstaca[#Headers],0)),0.4%*PI()*ESF[[#This Row],[Ø (cm)]]^2/4,"N.S.")</f>
        <v>7.8539816339744837</v>
      </c>
      <c r="AF169" s="82">
        <f>INDEX(tipoEstaca[],MATCH($D$2,tipoEstaca[TIPO DE ESTACA],0),MATCH(ESF[[#Headers],[Comprimento (m)]],tipoEstaca[#Headers],0))</f>
        <v>2</v>
      </c>
      <c r="AG169" s="5">
        <f ca="1">ESF[[#This Row],[As,mín (cm²)]]/100^2*ESF[[#This Row],[Comprimento (m)]]*7850</f>
        <v>12.330751165339938</v>
      </c>
      <c r="AH169" s="4">
        <f ca="1">ESF[[#This Row],[nE]]*ESF[[#This Row],[Prof. (m)]]*ESF[[#This Row],[Ap (m²)]]</f>
        <v>7.8539816339744828</v>
      </c>
      <c r="AI169" s="82">
        <f ca="1">IF(ESF[[#This Row],[nE]]=1,0,MAX(3*ESF[[#This Row],[Ø (cm)]],60))</f>
        <v>150</v>
      </c>
      <c r="AJ169" s="82">
        <f ca="1">IF(ESF[[#This Row],[nE]]=1,ESF[[#This Row],[Ø (cm)]]+2*10,MAX(1.5*ESF[[#This Row],[Ø (cm)]],ESF[[#This Row],[Ø (cm)]]+15))</f>
        <v>75</v>
      </c>
      <c r="AK169" s="82">
        <f ca="1">alturaUtil(ESF[[#This Row],[nE]],ESF[[#This Row],[Ø (cm)]],ESF[[#This Row],[e (cm)]],ESF[[#This Row],[ap,eq (cm)]])</f>
        <v>65</v>
      </c>
      <c r="AL169" s="82">
        <f ca="1">IFERROR(ESF[[#This Row],[d (cm)]]+arredondarParaCimaMultiplo5cm(MAX(5,SQRT(PI())/2*ESF[[#This Row],[Ø (cm)]]/5)),"N.S.")</f>
        <v>75</v>
      </c>
      <c r="AM169" s="5">
        <f ca="1">alpha(ESF[[#This Row],[nE]],ESF[[#This Row],[d (cm)]],ESF[[#This Row],[e (cm)]],ESF[[#This Row],[ap,eq (cm)]])</f>
        <v>45.524971121512884</v>
      </c>
      <c r="AN169" s="35">
        <f ca="1">IFERROR(ESF[[#This Row],[Nsd (kN)]]/(ESF[[#This Row],[Ap (cm²)]]*SIN(ESF[[#This Row],[α]])^2),"N.S.")</f>
        <v>0.87569237354226348</v>
      </c>
      <c r="AO169" s="35">
        <f ca="1">IFERROR(ESF[[#This Row],[Nsd (kN)]]/(ESF[[#This Row],[nE]]*PI()*ESF[[#This Row],[Ø (cm)]]^2/4*SIN(ESF[[#This Row],[α]])^2),"N.S.")</f>
        <v>0.22299323180340111</v>
      </c>
      <c r="AP169" s="4">
        <f ca="1">IFERROR(INDEX(grupoEstacas[],ESF[[#This Row],[nE]],MATCH("coef. Blévot",grupoEstacas[#Headers],0)),"N.S.")</f>
        <v>2.1</v>
      </c>
      <c r="AQ169" s="35">
        <f ca="1">IFERROR(ESF[[#This Row],[coef. Blévot]]*0.9*INDEX(tipoEstaca[],MATCH($D$2,tipoEstaca[TIPO DE ESTACA],0),MATCH("fcd (kN/cm²)",tipoEstaca[#Headers],0)),"N.S.")</f>
        <v>1.5120000000000002</v>
      </c>
      <c r="AR169" s="82" t="str">
        <f ca="1">IF(AND(ESF[[#This Row],[cd,b,pil (kN/cm²)]]&lt;=ESF[[#This Row],[cd,b,lim (kN/cm²)]],ESF[[#This Row],[cd,b,est (kN/cm²)]]&lt;=ESF[[#This Row],[cd,b,lim (kN/cm²)]]),"OK","ERRO")</f>
        <v>OK</v>
      </c>
      <c r="AS169" s="4">
        <f ca="1">As_lado(ESF[[#This Row],[nE]],ESF[[#This Row],[Nsd (kN)]],ESF[[#This Row],[d (cm)]],ESF[[#This Row],[e (cm)]],ESF[[#This Row],[ap,eq (cm)]])</f>
        <v>9.879774305877568</v>
      </c>
      <c r="AT169" s="4" t="str">
        <f ca="1">IF(ESF[[#This Row],[nE]]=1,ESF[[#This Row],[As,lado (cm²)]],IF(ESF[[#This Row],[nE]]=2,0.075*2*ESF[a (cm)],"N.A."))</f>
        <v>N.A.</v>
      </c>
      <c r="AU169" s="4">
        <f ca="1">IFERROR(IF(ESF[[#This Row],[nE]]=1,"N.A.",0.2*ESF[[#This Row],[As,lado (cm²)]]),"N.S.")</f>
        <v>1.9759548611755138</v>
      </c>
      <c r="AV169" s="4">
        <f ca="1">As_malha(ESF[[#This Row],[nE]],ESF[[#This Row],[As,lado (cm²)]],ESF[[#This Row],[Nsd (kN)]])</f>
        <v>1.9759548611755138</v>
      </c>
      <c r="AW169" s="4">
        <f ca="1">As_susp_tot(ESF[[#This Row],[nE]],ESF[[#This Row],[Nsd (kN)]])</f>
        <v>6.708333333333333</v>
      </c>
      <c r="AX169" s="4">
        <f ca="1">Asp_face(ESF[[#This Row],[nE]],ESF[[#This Row],[As,lado (cm²)]])</f>
        <v>4.939887152938784</v>
      </c>
      <c r="AY169" s="5">
        <f ca="1">acoBloco(ESF[[#This Row],[nE]],ESF[[#This Row],[e (cm)]],ESF[[#This Row],[a (cm)]],ESF[[#This Row],[h (cm)]],ESF[[#This Row],[As,lado (cm²)]],ESF[[#This Row],[Asp e Asw (cm²/m)]],ESF[[#This Row],[As,sup (cm²)]],ESF[[#This Row],[As,malha (cm²)]],ESF[[#This Row],[As,susp,tot (cm²)]],ESF[[#This Row],[Asp,face (cm²)]])</f>
        <v>171.47098438046001</v>
      </c>
      <c r="AZ169" s="4">
        <f ca="1">concretoBloco(ESF[[#This Row],[nE]],ESF[[#This Row],[e (cm)]],ESF[[#This Row],[a (cm)]],ESF[[#This Row],[h (cm)]])</f>
        <v>6.75</v>
      </c>
      <c r="BA169" s="5">
        <f ca="1">SUM(ESF[[#This Row],[Aço Est (kg)]],ESF[[#This Row],[Aço Bloco (kg)]])</f>
        <v>183.80173554579994</v>
      </c>
      <c r="BB169" s="4">
        <f>INDEX(composicoes[],MATCH(95580,composicoes[CÓDIGO],0),MATCH("CUSTO TOTAL",composicoes[#Headers],0))</f>
        <v>10.46</v>
      </c>
      <c r="BC169" s="4">
        <f ca="1">SUM(ESF[[#This Row],[Conc Est (m³)]],ESF[[#This Row],[Conc Bloco (m³)]])</f>
        <v>14.603981633974483</v>
      </c>
      <c r="BD169" s="4">
        <f>INDEX(composicoes[],MATCH(94966,composicoes[CÓDIGO],0),MATCH("CUSTO TOTAL",composicoes[#Headers],0))</f>
        <v>439.52</v>
      </c>
      <c r="BE169" s="38">
        <f ca="1">ESF[[#This Row],[Aço (kg)]]*ESF[[#This Row],[Aço (R$/kg)]]+ESF[[#This Row],[Conc (m³)]]*ESF[[#This Row],[Conc (R$/m³)]]</f>
        <v>8341.3081615735318</v>
      </c>
      <c r="BF169" s="4" t="str">
        <f ca="1">IF(COUNTIF(ESF[#This Row],"N.S.")&gt;0,"lim.","OK")</f>
        <v>OK</v>
      </c>
      <c r="BG169" s="4" t="str">
        <f>IF(ESF[[#This Row],[Prof. (m)]]&lt;3,"lim.","OK")</f>
        <v>OK</v>
      </c>
      <c r="BH169" s="4" t="str">
        <f>IF(ESF[[#This Row],[Prof. (m)]]&gt;=8*ESF[[#This Row],[Ø (cm)]]/100,"OK","lim.")</f>
        <v>OK</v>
      </c>
      <c r="BI169" s="4" t="str">
        <f>IF(AND(SPT!$F$3&lt;&gt;"",ESF[[#This Row],[Prof. (m)]]&gt;=SPT!$F$3),"lim.","OK")</f>
        <v>OK</v>
      </c>
      <c r="BJ169" s="4" t="str">
        <f>IF(COUNTIFS(ESF[Solo],"Areia",ESF[Prof. (m)],"&lt;="&amp;ESF[[#This Row],[Prof. (m)]])&gt;=1,"lim.","OK")</f>
        <v>OK</v>
      </c>
      <c r="BK169" s="4" t="str">
        <f ca="1">IF(ESF[[#This Row],[Verif. Biela]]="OK","OK","lim.")</f>
        <v>OK</v>
      </c>
      <c r="BL169" s="4" t="str">
        <f ca="1">IF(COUNTA(ESF[[#This Row],[Nº Est.]:[Biela comp.]])=COUNTIF(ESF[[#This Row],[Nº Est.]:[Biela comp.]],"OK"),"OK","lim.")</f>
        <v>OK</v>
      </c>
      <c r="BM169" s="4" t="str">
        <f ca="1">IF(ESF[[#This Row],[Controle]]="OK",ESF[[#This Row],[nE]]&amp;" Ø"&amp;ESF[[#This Row],[Ø (cm)]]&amp;"cm Prof. "&amp;ESF[[#This Row],[Prof. (m)]]&amp;" m","")</f>
        <v>4 Ø50cm Prof. 10 m</v>
      </c>
      <c r="BN169" s="4" t="str">
        <f ca="1">IF(ESF[[#This Row],[idDimensionamento]]="","",ESF[[#This Row],[idPilar]]&amp;ESF[[#This Row],[idDimensionamento]])</f>
        <v>24 Ø50cm Prof. 10 m</v>
      </c>
    </row>
    <row r="170" spans="2:66" x14ac:dyDescent="0.25">
      <c r="B170" s="12">
        <f>ROUNDUP((ROW(ESF[[#This Row],[idDiâmetro]])-ROW(ESF[[#Headers],[idDiâmetro]]))/(COUNT(SPT[Prof. (m)])*COUNT(PILARES[Pilar])),0)</f>
        <v>6</v>
      </c>
      <c r="C170" s="12">
        <f>IF(ESF[[#This Row],[idDiâmetro]]&lt;&gt;B169,1,IF(ESF[[#This Row],[Prof. (m)]]=0,C169+1,C169))</f>
        <v>2</v>
      </c>
      <c r="D170" s="82">
        <f>IFERROR(IF(D169=MAX(SPT[Prof. (m)]),0,D169+1),0)</f>
        <v>11</v>
      </c>
      <c r="E170" s="82">
        <f>INDEX(SPT[],MATCH(ESF[[#This Row],[Prof. (m)]],SPT[Prof. (m)],0),2)</f>
        <v>41</v>
      </c>
      <c r="F170" s="82" t="str">
        <f>INDEX(SPT[],MATCH(ESF[[#This Row],[Prof. (m)]],SPT[Prof. (m)],0),3)</f>
        <v>Areia siltosa</v>
      </c>
      <c r="G170" s="82">
        <f>INDEX(estacas[],ESF[[#This Row],[idDiâmetro]],MATCH($B$2,estacas[#Headers],0))</f>
        <v>50</v>
      </c>
      <c r="H170" s="82">
        <f>INDEX(estacas[],MATCH(ESF[[#This Row],[Ø (cm)]],estacas[Ø ESF (cm)],0),MATCH(ESF[[#Headers],[Pe ESF (kN)]],estacas[#Headers],0))</f>
        <v>1000</v>
      </c>
      <c r="I170" s="4">
        <f>INDEX(K_alpha_C[],MATCH(ESF[[#This Row],[Solo]],K_alpha_C[Solo],0),2)</f>
        <v>0.8</v>
      </c>
      <c r="J170" s="5">
        <f>INDEX(K_alpha_C[],MATCH(ESF[[#This Row],[Solo]],K_alpha_C[Solo],0),3)</f>
        <v>2</v>
      </c>
      <c r="K170" s="4">
        <f>INDEX(F1_F2[],MATCH($D$2,F1_F2[Tipo de estaca],0),2)</f>
        <v>3</v>
      </c>
      <c r="L170" s="4">
        <f>INDEX(F1_F2[],MATCH($D$2,F1_F2[Tipo de estaca],0),3)</f>
        <v>6</v>
      </c>
      <c r="M170" s="4">
        <f>PI()*(ESF[[#This Row],[Ø (cm)]]/100)^2/4</f>
        <v>0.19634954084936207</v>
      </c>
      <c r="N170" s="4">
        <f>PI()*ESF[[#This Row],[Ø (cm)]]/100</f>
        <v>1.5707963267948966</v>
      </c>
      <c r="O170" s="4">
        <f>IF(ESF[[#This Row],[Prof. (m)]]=0,0,ESF[[#This Row],[α (%)]]/100*ESF[[#This Row],[K (MPa)]]*1000*ESF[[#This Row],[NSPT]])</f>
        <v>656</v>
      </c>
      <c r="P170" s="4">
        <f>IF(ESF[[#This Row],[Prof. (m)]]=0,0,(ESF[[#This Row],[K (MPa)]]*1000*ESF[[#This Row],[NSPT]]/ESF[[#This Row],[F1]]*ESF[[#This Row],[Ap (m²)]]+ESF[[#This Row],[U (m)]]/ESF[[#This Row],[F2]]*SUMIFS(ESF[(α∙K∙NL∙ΔL)],ESF[Prof. (m)],"&lt;="&amp;ESF[[#This Row],[Prof. (m)]],ESF[idDiâmetro],ESF[[#This Row],[idDiâmetro]],ESF[idPilar],ESF[[#This Row],[idPilar]]))/'DADOS CAP. CARGA'!$D$2)</f>
        <v>1411.6092090436237</v>
      </c>
      <c r="Q170" s="12">
        <f>INDEX(C_alpha_beta[],MATCH(ESF[[#This Row],[Solo]],C_alpha_beta[Solo],0),MATCH(ESF[[#Headers],[C (kPa)]],C_alpha_beta[#Headers],0))</f>
        <v>400</v>
      </c>
      <c r="R170" s="4">
        <f>INDEX(C_alpha_beta[],MATCH(ESF[[#This Row],[Solo]],C_alpha_beta[Solo],0),MATCH(ESF[[#Headers],[α ESF]],C_alpha_beta[#Headers],0))</f>
        <v>0.5</v>
      </c>
      <c r="S170" s="4">
        <f>INDEX(C_alpha_beta[],MATCH(ESF[[#This Row],[Solo]],C_alpha_beta[Solo],0),MATCH(ESF[[#Headers],[β ESF]],C_alpha_beta[#Headers],0))</f>
        <v>0.5</v>
      </c>
      <c r="T170" s="4">
        <f>IF(ESF[[#This Row],[Prof. (m)]]=0,0,10*(ESF[[#This Row],[NSPT]]/3+1))</f>
        <v>146.66666666666666</v>
      </c>
      <c r="U170" s="4">
        <f>(ESF[[#This Row],[α ESF]]*ESF[[#This Row],[C (kPa)]]*ESF[[#This Row],[NSPT]]*ESF[[#This Row],[Ap (m²)]])/'DADOS CAP. CARGA'!$Q$2+(ESF[[#This Row],[β ESF]]*SUMIFS(ESF[10∙(NL/3+1)],ESF[Prof. (m)],"&lt;="&amp;ESF[[#This Row],[Prof. (m)]],ESF[idDiâmetro],ESF[[#This Row],[idDiâmetro]],ESF[idPilar],ESF[[#This Row],[idPilar]])*ESF[[#This Row],[U (m)]])/'DADOS CAP. CARGA'!$S$2</f>
        <v>669.55193429632459</v>
      </c>
      <c r="V170" s="4">
        <f>IF(SPT!$M$5=1,MIN(ESF[[#This Row],[Pe ESF (kN)]],ESF[[#This Row],[R_AV (kN)]]),IF(SPT!$M$5=2,MIN(ESF[[#This Row],[Pe ESF (kN)]],ESF[[#This Row],[R_DC (kN)]]),MIN(ESF[[#This Row],[Pe ESF (kN)]],ESF[[#This Row],[R_AV (kN)]],ESF[[#This Row],[R_DC (kN)]])))</f>
        <v>669.55193429632459</v>
      </c>
      <c r="W170" s="4">
        <f>INDEX(PILARES[],ESF[[#This Row],[idPilar]],MATCH("Carga (kN)",PILARES[#Headers],0))*1.4</f>
        <v>1750</v>
      </c>
      <c r="X170" s="12">
        <f>INDEX(PILARES[],ESF[[#This Row],[idPilar]],MATCH(ESF[[#Headers],[ap (cm)]],PILARES[#Headers],0))</f>
        <v>50</v>
      </c>
      <c r="Y170" s="12">
        <f>INDEX(PILARES[],ESF[[#This Row],[idPilar]],MATCH(ESF[[#Headers],[bp (cm)]],PILARES[#Headers],0))</f>
        <v>40</v>
      </c>
      <c r="Z170" s="4">
        <f>SQRT(ESF[[#This Row],[ap (cm)]]*ESF[[#This Row],[bp (cm)]])</f>
        <v>44.721359549995796</v>
      </c>
      <c r="AA170" s="12">
        <f>ESF[[#This Row],[ap (cm)]]*ESF[[#This Row],[bp (cm)]]</f>
        <v>2000</v>
      </c>
      <c r="AB170" s="12">
        <f ca="1">IF(ESF[[#This Row],[Padm∙ε (kN)]]&gt;=ESF[[#This Row],[Padm (kN)]],ROUNDUP(1.05*ESF[[#This Row],[Nsd (kN)]]/ESF[[#This Row],[Padm (kN)]],0),ROUNDUP(1.05*ESF[[#This Row],[Nsd (kN)]]/ESF[[#This Row],[Padm (kN)]],0)+1)</f>
        <v>3</v>
      </c>
      <c r="AC170" s="4">
        <f ca="1">IFERROR(IF(ESF[[#This Row],[nE]]=1,ESF[[#This Row],[Padm (kN)]],ESF[[#This Row],[Padm (kN)]]*ESF[[#This Row],[nE]]*INDEX(grupoEstacas[],ESF[[#This Row],[nE]],MATCH("ε",grupoEstacas[#Headers],0))),"N.S.")</f>
        <v>1757.573827527852</v>
      </c>
      <c r="AD170" s="4">
        <f ca="1">1.05*ESF[[#This Row],[Nsd (kN)]]/(ESF[[#This Row],[nE]]*PI()*ESF[[#This Row],[Ø (cm)]]^2/4)*10</f>
        <v>3.1194368846011491</v>
      </c>
      <c r="AE170" s="4">
        <f ca="1">IF(ESF[[#This Row],[σ (MPa)]]&lt;INDEX(tipoEstaca[],MATCH($D$2,tipoEstaca[TIPO DE ESTACA],0),MATCH("σmáx (MPa)",tipoEstaca[#Headers],0)),0.4%*PI()*ESF[[#This Row],[Ø (cm)]]^2/4,"N.S.")</f>
        <v>7.8539816339744837</v>
      </c>
      <c r="AF170" s="82">
        <f>INDEX(tipoEstaca[],MATCH($D$2,tipoEstaca[TIPO DE ESTACA],0),MATCH(ESF[[#Headers],[Comprimento (m)]],tipoEstaca[#Headers],0))</f>
        <v>2</v>
      </c>
      <c r="AG170" s="5">
        <f ca="1">ESF[[#This Row],[As,mín (cm²)]]/100^2*ESF[[#This Row],[Comprimento (m)]]*7850</f>
        <v>12.330751165339938</v>
      </c>
      <c r="AH170" s="4">
        <f ca="1">ESF[[#This Row],[nE]]*ESF[[#This Row],[Prof. (m)]]*ESF[[#This Row],[Ap (m²)]]</f>
        <v>6.4795348480289485</v>
      </c>
      <c r="AI170" s="82">
        <f ca="1">IF(ESF[[#This Row],[nE]]=1,0,MAX(3*ESF[[#This Row],[Ø (cm)]],60))</f>
        <v>150</v>
      </c>
      <c r="AJ170" s="82">
        <f ca="1">IF(ESF[[#This Row],[nE]]=1,ESF[[#This Row],[Ø (cm)]]+2*10,MAX(1.5*ESF[[#This Row],[Ø (cm)]],ESF[[#This Row],[Ø (cm)]]+15))</f>
        <v>75</v>
      </c>
      <c r="AK170" s="82">
        <f ca="1">alturaUtil(ESF[[#This Row],[nE]],ESF[[#This Row],[Ø (cm)]],ESF[[#This Row],[e (cm)]],ESF[[#This Row],[ap,eq (cm)]])</f>
        <v>65</v>
      </c>
      <c r="AL170" s="82">
        <f ca="1">IFERROR(ESF[[#This Row],[d (cm)]]+arredondarParaCimaMultiplo5cm(MAX(5,SQRT(PI())/2*ESF[[#This Row],[Ø (cm)]]/5)),"N.S.")</f>
        <v>75</v>
      </c>
      <c r="AM170" s="5">
        <f ca="1">alpha(ESF[[#This Row],[nE]],ESF[[#This Row],[d (cm)]],ESF[[#This Row],[e (cm)]],ESF[[#This Row],[ap,eq (cm)]])</f>
        <v>46.546000082224388</v>
      </c>
      <c r="AN170" s="35">
        <f ca="1">IFERROR(ESF[[#This Row],[Nsd (kN)]]/(ESF[[#This Row],[Ap (cm²)]]*SIN(ESF[[#This Row],[α]])^2),"N.S.")</f>
        <v>2.9323320678904792</v>
      </c>
      <c r="AO170" s="35">
        <f ca="1">IFERROR(ESF[[#This Row],[Nsd (kN)]]/(ESF[[#This Row],[nE]]*PI()*ESF[[#This Row],[Ø (cm)]]^2/4*SIN(ESF[[#This Row],[α]])^2),"N.S.")</f>
        <v>0.99561630590218453</v>
      </c>
      <c r="AP170" s="4">
        <f ca="1">IFERROR(INDEX(grupoEstacas[],ESF[[#This Row],[nE]],MATCH("coef. Blévot",grupoEstacas[#Headers],0)),"N.S.")</f>
        <v>1.75</v>
      </c>
      <c r="AQ170" s="35">
        <f ca="1">IFERROR(ESF[[#This Row],[coef. Blévot]]*0.9*INDEX(tipoEstaca[],MATCH($D$2,tipoEstaca[TIPO DE ESTACA],0),MATCH("fcd (kN/cm²)",tipoEstaca[#Headers],0)),"N.S.")</f>
        <v>1.26</v>
      </c>
      <c r="AR170" s="82" t="str">
        <f ca="1">IF(AND(ESF[[#This Row],[cd,b,pil (kN/cm²)]]&lt;=ESF[[#This Row],[cd,b,lim (kN/cm²)]],ESF[[#This Row],[cd,b,est (kN/cm²)]]&lt;=ESF[[#This Row],[cd,b,lim (kN/cm²)]]),"OK","ERRO")</f>
        <v>ERRO</v>
      </c>
      <c r="AS170" s="4">
        <f ca="1">As_lado(ESF[[#This Row],[nE]],ESF[[#This Row],[Nsd (kN)]],ESF[[#This Row],[d (cm)]],ESF[[#This Row],[e (cm)]],ESF[[#This Row],[ap,eq (cm)]])</f>
        <v>8.7216658493861683</v>
      </c>
      <c r="AT170" s="4" t="str">
        <f ca="1">IF(ESF[[#This Row],[nE]]=1,ESF[[#This Row],[As,lado (cm²)]],IF(ESF[[#This Row],[nE]]=2,0.075*2*ESF[a (cm)],"N.A."))</f>
        <v>N.A.</v>
      </c>
      <c r="AU170" s="4">
        <f ca="1">IFERROR(IF(ESF[[#This Row],[nE]]=1,"N.A.",0.2*ESF[[#This Row],[As,lado (cm²)]]),"N.S.")</f>
        <v>1.7443331698772337</v>
      </c>
      <c r="AV170" s="4">
        <f ca="1">As_malha(ESF[[#This Row],[nE]],ESF[[#This Row],[As,lado (cm²)]],ESF[[#This Row],[Nsd (kN)]])</f>
        <v>2.981481481481481</v>
      </c>
      <c r="AW170" s="4">
        <f ca="1">As_susp_tot(ESF[[#This Row],[nE]],ESF[[#This Row],[Nsd (kN)]])</f>
        <v>8.9444444444444429</v>
      </c>
      <c r="AX170" s="4">
        <f ca="1">Asp_face(ESF[[#This Row],[nE]],ESF[[#This Row],[As,lado (cm²)]])</f>
        <v>3.2706246935198129</v>
      </c>
      <c r="AY170" s="5">
        <f ca="1">acoBloco(ESF[[#This Row],[nE]],ESF[[#This Row],[e (cm)]],ESF[[#This Row],[a (cm)]],ESF[[#This Row],[h (cm)]],ESF[[#This Row],[As,lado (cm²)]],ESF[[#This Row],[Asp e Asw (cm²/m)]],ESF[[#This Row],[As,sup (cm²)]],ESF[[#This Row],[As,malha (cm²)]],ESF[[#This Row],[As,susp,tot (cm²)]],ESF[[#This Row],[Asp,face (cm²)]])</f>
        <v>129.47675800230948</v>
      </c>
      <c r="AZ170" s="4">
        <f ca="1">concretoBloco(ESF[[#This Row],[nE]],ESF[[#This Row],[e (cm)]],ESF[[#This Row],[a (cm)]],ESF[[#This Row],[h (cm)]])</f>
        <v>4.7233768033293595</v>
      </c>
      <c r="BA170" s="5">
        <f ca="1">SUM(ESF[[#This Row],[Aço Est (kg)]],ESF[[#This Row],[Aço Bloco (kg)]])</f>
        <v>141.80750916764941</v>
      </c>
      <c r="BB170" s="4">
        <f>INDEX(composicoes[],MATCH(95580,composicoes[CÓDIGO],0),MATCH("CUSTO TOTAL",composicoes[#Headers],0))</f>
        <v>10.46</v>
      </c>
      <c r="BC170" s="4">
        <f ca="1">SUM(ESF[[#This Row],[Conc Est (m³)]],ESF[[#This Row],[Conc Bloco (m³)]])</f>
        <v>11.202911651358308</v>
      </c>
      <c r="BD170" s="4">
        <f>INDEX(composicoes[],MATCH(94966,composicoes[CÓDIGO],0),MATCH("CUSTO TOTAL",composicoes[#Headers],0))</f>
        <v>439.52</v>
      </c>
      <c r="BE170" s="38">
        <f ca="1">ESF[[#This Row],[Aço (kg)]]*ESF[[#This Row],[Aço (R$/kg)]]+ESF[[#This Row],[Conc (m³)]]*ESF[[#This Row],[Conc (R$/m³)]]</f>
        <v>6407.2102748986163</v>
      </c>
      <c r="BF170" s="4" t="str">
        <f ca="1">IF(COUNTIF(ESF[#This Row],"N.S.")&gt;0,"lim.","OK")</f>
        <v>OK</v>
      </c>
      <c r="BG170" s="4" t="str">
        <f>IF(ESF[[#This Row],[Prof. (m)]]&lt;3,"lim.","OK")</f>
        <v>OK</v>
      </c>
      <c r="BH170" s="4" t="str">
        <f>IF(ESF[[#This Row],[Prof. (m)]]&gt;=8*ESF[[#This Row],[Ø (cm)]]/100,"OK","lim.")</f>
        <v>OK</v>
      </c>
      <c r="BI170" s="4" t="str">
        <f>IF(AND(SPT!$F$3&lt;&gt;"",ESF[[#This Row],[Prof. (m)]]&gt;=SPT!$F$3),"lim.","OK")</f>
        <v>OK</v>
      </c>
      <c r="BJ170" s="4" t="str">
        <f>IF(COUNTIFS(ESF[Solo],"Areia",ESF[Prof. (m)],"&lt;="&amp;ESF[[#This Row],[Prof. (m)]])&gt;=1,"lim.","OK")</f>
        <v>OK</v>
      </c>
      <c r="BK170" s="4" t="str">
        <f ca="1">IF(ESF[[#This Row],[Verif. Biela]]="OK","OK","lim.")</f>
        <v>lim.</v>
      </c>
      <c r="BL170" s="4" t="str">
        <f ca="1">IF(COUNTA(ESF[[#This Row],[Nº Est.]:[Biela comp.]])=COUNTIF(ESF[[#This Row],[Nº Est.]:[Biela comp.]],"OK"),"OK","lim.")</f>
        <v>lim.</v>
      </c>
      <c r="BM170" s="4" t="str">
        <f ca="1">IF(ESF[[#This Row],[Controle]]="OK",ESF[[#This Row],[nE]]&amp;" Ø"&amp;ESF[[#This Row],[Ø (cm)]]&amp;"cm Prof. "&amp;ESF[[#This Row],[Prof. (m)]]&amp;" m","")</f>
        <v/>
      </c>
      <c r="BN170" s="4" t="str">
        <f ca="1">IF(ESF[[#This Row],[idDimensionamento]]="","",ESF[[#This Row],[idPilar]]&amp;ESF[[#This Row],[idDimensionamento]])</f>
        <v/>
      </c>
    </row>
    <row r="171" spans="2:66" x14ac:dyDescent="0.25">
      <c r="B171" s="12">
        <f>ROUNDUP((ROW(ESF[[#This Row],[idDiâmetro]])-ROW(ESF[[#Headers],[idDiâmetro]]))/(COUNT(SPT[Prof. (m)])*COUNT(PILARES[Pilar])),0)</f>
        <v>6</v>
      </c>
      <c r="C171" s="12">
        <f>IF(ESF[[#This Row],[idDiâmetro]]&lt;&gt;B170,1,IF(ESF[[#This Row],[Prof. (m)]]=0,C170+1,C170))</f>
        <v>2</v>
      </c>
      <c r="D171" s="82">
        <f>IFERROR(IF(D170=MAX(SPT[Prof. (m)]),0,D170+1),0)</f>
        <v>12</v>
      </c>
      <c r="E171" s="82">
        <f>INDEX(SPT[],MATCH(ESF[[#This Row],[Prof. (m)]],SPT[Prof. (m)],0),2)</f>
        <v>52</v>
      </c>
      <c r="F171" s="82" t="str">
        <f>INDEX(SPT[],MATCH(ESF[[#This Row],[Prof. (m)]],SPT[Prof. (m)],0),3)</f>
        <v>Areia siltosa</v>
      </c>
      <c r="G171" s="82">
        <f>INDEX(estacas[],ESF[[#This Row],[idDiâmetro]],MATCH($B$2,estacas[#Headers],0))</f>
        <v>50</v>
      </c>
      <c r="H171" s="82">
        <f>INDEX(estacas[],MATCH(ESF[[#This Row],[Ø (cm)]],estacas[Ø ESF (cm)],0),MATCH(ESF[[#Headers],[Pe ESF (kN)]],estacas[#Headers],0))</f>
        <v>1000</v>
      </c>
      <c r="I171" s="4">
        <f>INDEX(K_alpha_C[],MATCH(ESF[[#This Row],[Solo]],K_alpha_C[Solo],0),2)</f>
        <v>0.8</v>
      </c>
      <c r="J171" s="5">
        <f>INDEX(K_alpha_C[],MATCH(ESF[[#This Row],[Solo]],K_alpha_C[Solo],0),3)</f>
        <v>2</v>
      </c>
      <c r="K171" s="4">
        <f>INDEX(F1_F2[],MATCH($D$2,F1_F2[Tipo de estaca],0),2)</f>
        <v>3</v>
      </c>
      <c r="L171" s="4">
        <f>INDEX(F1_F2[],MATCH($D$2,F1_F2[Tipo de estaca],0),3)</f>
        <v>6</v>
      </c>
      <c r="M171" s="4">
        <f>PI()*(ESF[[#This Row],[Ø (cm)]]/100)^2/4</f>
        <v>0.19634954084936207</v>
      </c>
      <c r="N171" s="4">
        <f>PI()*ESF[[#This Row],[Ø (cm)]]/100</f>
        <v>1.5707963267948966</v>
      </c>
      <c r="O171" s="4">
        <f>IF(ESF[[#This Row],[Prof. (m)]]=0,0,ESF[[#This Row],[α (%)]]/100*ESF[[#This Row],[K (MPa)]]*1000*ESF[[#This Row],[NSPT]])</f>
        <v>832</v>
      </c>
      <c r="P171" s="4">
        <f>IF(ESF[[#This Row],[Prof. (m)]]=0,0,(ESF[[#This Row],[K (MPa)]]*1000*ESF[[#This Row],[NSPT]]/ESF[[#This Row],[F1]]*ESF[[#This Row],[Ap (m²)]]+ESF[[#This Row],[U (m)]]/ESF[[#This Row],[F2]]*SUMIFS(ESF[(α∙K∙NL∙ΔL)],ESF[Prof. (m)],"&lt;="&amp;ESF[[#This Row],[Prof. (m)]],ESF[idDiâmetro],ESF[[#This Row],[idDiâmetro]],ESF[idPilar],ESF[[#This Row],[idPilar]]))/'DADOS CAP. CARGA'!$D$2)</f>
        <v>1808.4970809471342</v>
      </c>
      <c r="Q171" s="12">
        <f>INDEX(C_alpha_beta[],MATCH(ESF[[#This Row],[Solo]],C_alpha_beta[Solo],0),MATCH(ESF[[#Headers],[C (kPa)]],C_alpha_beta[#Headers],0))</f>
        <v>400</v>
      </c>
      <c r="R171" s="4">
        <f>INDEX(C_alpha_beta[],MATCH(ESF[[#This Row],[Solo]],C_alpha_beta[Solo],0),MATCH(ESF[[#Headers],[α ESF]],C_alpha_beta[#Headers],0))</f>
        <v>0.5</v>
      </c>
      <c r="S171" s="4">
        <f>INDEX(C_alpha_beta[],MATCH(ESF[[#This Row],[Solo]],C_alpha_beta[Solo],0),MATCH(ESF[[#Headers],[β ESF]],C_alpha_beta[#Headers],0))</f>
        <v>0.5</v>
      </c>
      <c r="T171" s="4">
        <f>IF(ESF[[#This Row],[Prof. (m)]]=0,0,10*(ESF[[#This Row],[NSPT]]/3+1))</f>
        <v>183.33333333333331</v>
      </c>
      <c r="U171" s="4">
        <f>(ESF[[#This Row],[α ESF]]*ESF[[#This Row],[C (kPa)]]*ESF[[#This Row],[NSPT]]*ESF[[#This Row],[Ap (m²)]])/'DADOS CAP. CARGA'!$Q$2+(ESF[[#This Row],[β ESF]]*SUMIFS(ESF[10∙(NL/3+1)],ESF[Prof. (m)],"&lt;="&amp;ESF[[#This Row],[Prof. (m)]],ESF[idDiâmetro],ESF[[#This Row],[idDiâmetro]],ESF[idPilar],ESF[[#This Row],[idPilar]])*ESF[[#This Row],[U (m)]])/'DADOS CAP. CARGA'!$S$2</f>
        <v>849.53901340823984</v>
      </c>
      <c r="V171" s="4">
        <f>IF(SPT!$M$5=1,MIN(ESF[[#This Row],[Pe ESF (kN)]],ESF[[#This Row],[R_AV (kN)]]),IF(SPT!$M$5=2,MIN(ESF[[#This Row],[Pe ESF (kN)]],ESF[[#This Row],[R_DC (kN)]]),MIN(ESF[[#This Row],[Pe ESF (kN)]],ESF[[#This Row],[R_AV (kN)]],ESF[[#This Row],[R_DC (kN)]])))</f>
        <v>849.53901340823984</v>
      </c>
      <c r="W171" s="4">
        <f>INDEX(PILARES[],ESF[[#This Row],[idPilar]],MATCH("Carga (kN)",PILARES[#Headers],0))*1.4</f>
        <v>1750</v>
      </c>
      <c r="X171" s="12">
        <f>INDEX(PILARES[],ESF[[#This Row],[idPilar]],MATCH(ESF[[#Headers],[ap (cm)]],PILARES[#Headers],0))</f>
        <v>50</v>
      </c>
      <c r="Y171" s="12">
        <f>INDEX(PILARES[],ESF[[#This Row],[idPilar]],MATCH(ESF[[#Headers],[bp (cm)]],PILARES[#Headers],0))</f>
        <v>40</v>
      </c>
      <c r="Z171" s="4">
        <f>SQRT(ESF[[#This Row],[ap (cm)]]*ESF[[#This Row],[bp (cm)]])</f>
        <v>44.721359549995796</v>
      </c>
      <c r="AA171" s="12">
        <f>ESF[[#This Row],[ap (cm)]]*ESF[[#This Row],[bp (cm)]]</f>
        <v>2000</v>
      </c>
      <c r="AB171" s="12">
        <f ca="1">IF(ESF[[#This Row],[Padm∙ε (kN)]]&gt;=ESF[[#This Row],[Padm (kN)]],ROUNDUP(1.05*ESF[[#This Row],[Nsd (kN)]]/ESF[[#This Row],[Padm (kN)]],0),ROUNDUP(1.05*ESF[[#This Row],[Nsd (kN)]]/ESF[[#This Row],[Padm (kN)]],0)+1)</f>
        <v>3</v>
      </c>
      <c r="AC171" s="4">
        <f ca="1">IFERROR(IF(ESF[[#This Row],[nE]]=1,ESF[[#This Row],[Padm (kN)]],ESF[[#This Row],[Padm (kN)]]*ESF[[#This Row],[nE]]*INDEX(grupoEstacas[],ESF[[#This Row],[nE]],MATCH("ε",grupoEstacas[#Headers],0))),"N.S.")</f>
        <v>2230.0399101966295</v>
      </c>
      <c r="AD171" s="4">
        <f ca="1">1.05*ESF[[#This Row],[Nsd (kN)]]/(ESF[[#This Row],[nE]]*PI()*ESF[[#This Row],[Ø (cm)]]^2/4)*10</f>
        <v>3.1194368846011491</v>
      </c>
      <c r="AE171" s="4">
        <f ca="1">IF(ESF[[#This Row],[σ (MPa)]]&lt;INDEX(tipoEstaca[],MATCH($D$2,tipoEstaca[TIPO DE ESTACA],0),MATCH("σmáx (MPa)",tipoEstaca[#Headers],0)),0.4%*PI()*ESF[[#This Row],[Ø (cm)]]^2/4,"N.S.")</f>
        <v>7.8539816339744837</v>
      </c>
      <c r="AF171" s="82">
        <f>INDEX(tipoEstaca[],MATCH($D$2,tipoEstaca[TIPO DE ESTACA],0),MATCH(ESF[[#Headers],[Comprimento (m)]],tipoEstaca[#Headers],0))</f>
        <v>2</v>
      </c>
      <c r="AG171" s="5">
        <f ca="1">ESF[[#This Row],[As,mín (cm²)]]/100^2*ESF[[#This Row],[Comprimento (m)]]*7850</f>
        <v>12.330751165339938</v>
      </c>
      <c r="AH171" s="4">
        <f ca="1">ESF[[#This Row],[nE]]*ESF[[#This Row],[Prof. (m)]]*ESF[[#This Row],[Ap (m²)]]</f>
        <v>7.0685834705770345</v>
      </c>
      <c r="AI171" s="82">
        <f ca="1">IF(ESF[[#This Row],[nE]]=1,0,MAX(3*ESF[[#This Row],[Ø (cm)]],60))</f>
        <v>150</v>
      </c>
      <c r="AJ171" s="82">
        <f ca="1">IF(ESF[[#This Row],[nE]]=1,ESF[[#This Row],[Ø (cm)]]+2*10,MAX(1.5*ESF[[#This Row],[Ø (cm)]],ESF[[#This Row],[Ø (cm)]]+15))</f>
        <v>75</v>
      </c>
      <c r="AK171" s="82">
        <f ca="1">alturaUtil(ESF[[#This Row],[nE]],ESF[[#This Row],[Ø (cm)]],ESF[[#This Row],[e (cm)]],ESF[[#This Row],[ap,eq (cm)]])</f>
        <v>65</v>
      </c>
      <c r="AL171" s="82">
        <f ca="1">IFERROR(ESF[[#This Row],[d (cm)]]+arredondarParaCimaMultiplo5cm(MAX(5,SQRT(PI())/2*ESF[[#This Row],[Ø (cm)]]/5)),"N.S.")</f>
        <v>75</v>
      </c>
      <c r="AM171" s="5">
        <f ca="1">alpha(ESF[[#This Row],[nE]],ESF[[#This Row],[d (cm)]],ESF[[#This Row],[e (cm)]],ESF[[#This Row],[ap,eq (cm)]])</f>
        <v>46.546000082224388</v>
      </c>
      <c r="AN171" s="35">
        <f ca="1">IFERROR(ESF[[#This Row],[Nsd (kN)]]/(ESF[[#This Row],[Ap (cm²)]]*SIN(ESF[[#This Row],[α]])^2),"N.S.")</f>
        <v>2.9323320678904792</v>
      </c>
      <c r="AO171" s="35">
        <f ca="1">IFERROR(ESF[[#This Row],[Nsd (kN)]]/(ESF[[#This Row],[nE]]*PI()*ESF[[#This Row],[Ø (cm)]]^2/4*SIN(ESF[[#This Row],[α]])^2),"N.S.")</f>
        <v>0.99561630590218453</v>
      </c>
      <c r="AP171" s="4">
        <f ca="1">IFERROR(INDEX(grupoEstacas[],ESF[[#This Row],[nE]],MATCH("coef. Blévot",grupoEstacas[#Headers],0)),"N.S.")</f>
        <v>1.75</v>
      </c>
      <c r="AQ171" s="35">
        <f ca="1">IFERROR(ESF[[#This Row],[coef. Blévot]]*0.9*INDEX(tipoEstaca[],MATCH($D$2,tipoEstaca[TIPO DE ESTACA],0),MATCH("fcd (kN/cm²)",tipoEstaca[#Headers],0)),"N.S.")</f>
        <v>1.26</v>
      </c>
      <c r="AR171" s="82" t="str">
        <f ca="1">IF(AND(ESF[[#This Row],[cd,b,pil (kN/cm²)]]&lt;=ESF[[#This Row],[cd,b,lim (kN/cm²)]],ESF[[#This Row],[cd,b,est (kN/cm²)]]&lt;=ESF[[#This Row],[cd,b,lim (kN/cm²)]]),"OK","ERRO")</f>
        <v>ERRO</v>
      </c>
      <c r="AS171" s="4">
        <f ca="1">As_lado(ESF[[#This Row],[nE]],ESF[[#This Row],[Nsd (kN)]],ESF[[#This Row],[d (cm)]],ESF[[#This Row],[e (cm)]],ESF[[#This Row],[ap,eq (cm)]])</f>
        <v>8.7216658493861683</v>
      </c>
      <c r="AT171" s="4" t="str">
        <f ca="1">IF(ESF[[#This Row],[nE]]=1,ESF[[#This Row],[As,lado (cm²)]],IF(ESF[[#This Row],[nE]]=2,0.075*2*ESF[a (cm)],"N.A."))</f>
        <v>N.A.</v>
      </c>
      <c r="AU171" s="4">
        <f ca="1">IFERROR(IF(ESF[[#This Row],[nE]]=1,"N.A.",0.2*ESF[[#This Row],[As,lado (cm²)]]),"N.S.")</f>
        <v>1.7443331698772337</v>
      </c>
      <c r="AV171" s="4">
        <f ca="1">As_malha(ESF[[#This Row],[nE]],ESF[[#This Row],[As,lado (cm²)]],ESF[[#This Row],[Nsd (kN)]])</f>
        <v>2.981481481481481</v>
      </c>
      <c r="AW171" s="4">
        <f ca="1">As_susp_tot(ESF[[#This Row],[nE]],ESF[[#This Row],[Nsd (kN)]])</f>
        <v>8.9444444444444429</v>
      </c>
      <c r="AX171" s="4">
        <f ca="1">Asp_face(ESF[[#This Row],[nE]],ESF[[#This Row],[As,lado (cm²)]])</f>
        <v>3.2706246935198129</v>
      </c>
      <c r="AY171" s="5">
        <f ca="1">acoBloco(ESF[[#This Row],[nE]],ESF[[#This Row],[e (cm)]],ESF[[#This Row],[a (cm)]],ESF[[#This Row],[h (cm)]],ESF[[#This Row],[As,lado (cm²)]],ESF[[#This Row],[Asp e Asw (cm²/m)]],ESF[[#This Row],[As,sup (cm²)]],ESF[[#This Row],[As,malha (cm²)]],ESF[[#This Row],[As,susp,tot (cm²)]],ESF[[#This Row],[Asp,face (cm²)]])</f>
        <v>129.47675800230948</v>
      </c>
      <c r="AZ171" s="4">
        <f ca="1">concretoBloco(ESF[[#This Row],[nE]],ESF[[#This Row],[e (cm)]],ESF[[#This Row],[a (cm)]],ESF[[#This Row],[h (cm)]])</f>
        <v>4.7233768033293595</v>
      </c>
      <c r="BA171" s="5">
        <f ca="1">SUM(ESF[[#This Row],[Aço Est (kg)]],ESF[[#This Row],[Aço Bloco (kg)]])</f>
        <v>141.80750916764941</v>
      </c>
      <c r="BB171" s="4">
        <f>INDEX(composicoes[],MATCH(95580,composicoes[CÓDIGO],0),MATCH("CUSTO TOTAL",composicoes[#Headers],0))</f>
        <v>10.46</v>
      </c>
      <c r="BC171" s="4">
        <f ca="1">SUM(ESF[[#This Row],[Conc Est (m³)]],ESF[[#This Row],[Conc Bloco (m³)]])</f>
        <v>11.791960273906394</v>
      </c>
      <c r="BD171" s="4">
        <f>INDEX(composicoes[],MATCH(94966,composicoes[CÓDIGO],0),MATCH("CUSTO TOTAL",composicoes[#Headers],0))</f>
        <v>439.52</v>
      </c>
      <c r="BE171" s="38">
        <f ca="1">ESF[[#This Row],[Aço (kg)]]*ESF[[#This Row],[Aço (R$/kg)]]+ESF[[#This Row],[Conc (m³)]]*ESF[[#This Row],[Conc (R$/m³)]]</f>
        <v>6666.1089254809503</v>
      </c>
      <c r="BF171" s="4" t="str">
        <f ca="1">IF(COUNTIF(ESF[#This Row],"N.S.")&gt;0,"lim.","OK")</f>
        <v>OK</v>
      </c>
      <c r="BG171" s="4" t="str">
        <f>IF(ESF[[#This Row],[Prof. (m)]]&lt;3,"lim.","OK")</f>
        <v>OK</v>
      </c>
      <c r="BH171" s="4" t="str">
        <f>IF(ESF[[#This Row],[Prof. (m)]]&gt;=8*ESF[[#This Row],[Ø (cm)]]/100,"OK","lim.")</f>
        <v>OK</v>
      </c>
      <c r="BI171" s="4" t="str">
        <f>IF(AND(SPT!$F$3&lt;&gt;"",ESF[[#This Row],[Prof. (m)]]&gt;=SPT!$F$3),"lim.","OK")</f>
        <v>OK</v>
      </c>
      <c r="BJ171" s="4" t="str">
        <f>IF(COUNTIFS(ESF[Solo],"Areia",ESF[Prof. (m)],"&lt;="&amp;ESF[[#This Row],[Prof. (m)]])&gt;=1,"lim.","OK")</f>
        <v>OK</v>
      </c>
      <c r="BK171" s="4" t="str">
        <f ca="1">IF(ESF[[#This Row],[Verif. Biela]]="OK","OK","lim.")</f>
        <v>lim.</v>
      </c>
      <c r="BL171" s="4" t="str">
        <f ca="1">IF(COUNTA(ESF[[#This Row],[Nº Est.]:[Biela comp.]])=COUNTIF(ESF[[#This Row],[Nº Est.]:[Biela comp.]],"OK"),"OK","lim.")</f>
        <v>lim.</v>
      </c>
      <c r="BM171" s="4" t="str">
        <f ca="1">IF(ESF[[#This Row],[Controle]]="OK",ESF[[#This Row],[nE]]&amp;" Ø"&amp;ESF[[#This Row],[Ø (cm)]]&amp;"cm Prof. "&amp;ESF[[#This Row],[Prof. (m)]]&amp;" m","")</f>
        <v/>
      </c>
      <c r="BN171" s="4" t="str">
        <f ca="1">IF(ESF[[#This Row],[idDimensionamento]]="","",ESF[[#This Row],[idPilar]]&amp;ESF[[#This Row],[idDimensionamento]])</f>
        <v/>
      </c>
    </row>
    <row r="172" spans="2:66" x14ac:dyDescent="0.25">
      <c r="B172" s="12">
        <f>ROUNDUP((ROW(ESF[[#This Row],[idDiâmetro]])-ROW(ESF[[#Headers],[idDiâmetro]]))/(COUNT(SPT[Prof. (m)])*COUNT(PILARES[Pilar])),0)</f>
        <v>6</v>
      </c>
      <c r="C172" s="12">
        <f>IF(ESF[[#This Row],[idDiâmetro]]&lt;&gt;B171,1,IF(ESF[[#This Row],[Prof. (m)]]=0,C171+1,C171))</f>
        <v>2</v>
      </c>
      <c r="D172" s="82">
        <f>IFERROR(IF(D171=MAX(SPT[Prof. (m)]),0,D171+1),0)</f>
        <v>13</v>
      </c>
      <c r="E172" s="82">
        <f>INDEX(SPT[],MATCH(ESF[[#This Row],[Prof. (m)]],SPT[Prof. (m)],0),2)</f>
        <v>68</v>
      </c>
      <c r="F172" s="82" t="str">
        <f>INDEX(SPT[],MATCH(ESF[[#This Row],[Prof. (m)]],SPT[Prof. (m)],0),3)</f>
        <v>Areia siltosa</v>
      </c>
      <c r="G172" s="82">
        <f>INDEX(estacas[],ESF[[#This Row],[idDiâmetro]],MATCH($B$2,estacas[#Headers],0))</f>
        <v>50</v>
      </c>
      <c r="H172" s="82">
        <f>INDEX(estacas[],MATCH(ESF[[#This Row],[Ø (cm)]],estacas[Ø ESF (cm)],0),MATCH(ESF[[#Headers],[Pe ESF (kN)]],estacas[#Headers],0))</f>
        <v>1000</v>
      </c>
      <c r="I172" s="4">
        <f>INDEX(K_alpha_C[],MATCH(ESF[[#This Row],[Solo]],K_alpha_C[Solo],0),2)</f>
        <v>0.8</v>
      </c>
      <c r="J172" s="5">
        <f>INDEX(K_alpha_C[],MATCH(ESF[[#This Row],[Solo]],K_alpha_C[Solo],0),3)</f>
        <v>2</v>
      </c>
      <c r="K172" s="4">
        <f>INDEX(F1_F2[],MATCH($D$2,F1_F2[Tipo de estaca],0),2)</f>
        <v>3</v>
      </c>
      <c r="L172" s="4">
        <f>INDEX(F1_F2[],MATCH($D$2,F1_F2[Tipo de estaca],0),3)</f>
        <v>6</v>
      </c>
      <c r="M172" s="4">
        <f>PI()*(ESF[[#This Row],[Ø (cm)]]/100)^2/4</f>
        <v>0.19634954084936207</v>
      </c>
      <c r="N172" s="4">
        <f>PI()*ESF[[#This Row],[Ø (cm)]]/100</f>
        <v>1.5707963267948966</v>
      </c>
      <c r="O172" s="4">
        <f>IF(ESF[[#This Row],[Prof. (m)]]=0,0,ESF[[#This Row],[α (%)]]/100*ESF[[#This Row],[K (MPa)]]*1000*ESF[[#This Row],[NSPT]])</f>
        <v>1088</v>
      </c>
      <c r="P172" s="4">
        <f>IF(ESF[[#This Row],[Prof. (m)]]=0,0,(ESF[[#This Row],[K (MPa)]]*1000*ESF[[#This Row],[NSPT]]/ESF[[#This Row],[F1]]*ESF[[#This Row],[Ap (m²)]]+ESF[[#This Row],[U (m)]]/ESF[[#This Row],[F2]]*SUMIFS(ESF[(α∙K∙NL∙ΔL)],ESF[Prof. (m)],"&lt;="&amp;ESF[[#This Row],[Prof. (m)]],ESF[idDiâmetro],ESF[[#This Row],[idDiâmetro]],ESF[idPilar],ESF[[#This Row],[idPilar]]))/'DADOS CAP. CARGA'!$D$2)</f>
        <v>2369.7949683885104</v>
      </c>
      <c r="Q172" s="12">
        <f>INDEX(C_alpha_beta[],MATCH(ESF[[#This Row],[Solo]],C_alpha_beta[Solo],0),MATCH(ESF[[#Headers],[C (kPa)]],C_alpha_beta[#Headers],0))</f>
        <v>400</v>
      </c>
      <c r="R172" s="4">
        <f>INDEX(C_alpha_beta[],MATCH(ESF[[#This Row],[Solo]],C_alpha_beta[Solo],0),MATCH(ESF[[#Headers],[α ESF]],C_alpha_beta[#Headers],0))</f>
        <v>0.5</v>
      </c>
      <c r="S172" s="4">
        <f>INDEX(C_alpha_beta[],MATCH(ESF[[#This Row],[Solo]],C_alpha_beta[Solo],0),MATCH(ESF[[#Headers],[β ESF]],C_alpha_beta[#Headers],0))</f>
        <v>0.5</v>
      </c>
      <c r="T172" s="4">
        <f>IF(ESF[[#This Row],[Prof. (m)]]=0,0,10*(ESF[[#This Row],[NSPT]]/3+1))</f>
        <v>236.66666666666669</v>
      </c>
      <c r="U172" s="4">
        <f>(ESF[[#This Row],[α ESF]]*ESF[[#This Row],[C (kPa)]]*ESF[[#This Row],[NSPT]]*ESF[[#This Row],[Ap (m²)]])/'DADOS CAP. CARGA'!$Q$2+(ESF[[#This Row],[β ESF]]*SUMIFS(ESF[10∙(NL/3+1)],ESF[Prof. (m)],"&lt;="&amp;ESF[[#This Row],[Prof. (m)]],ESF[idDiâmetro],ESF[[#This Row],[idDiâmetro]],ESF[idPilar],ESF[[#This Row],[idPilar]])*ESF[[#This Row],[U (m)]])/'DADOS CAP. CARGA'!$S$2</f>
        <v>1099.5574287564275</v>
      </c>
      <c r="V172" s="4">
        <f>IF(SPT!$M$5=1,MIN(ESF[[#This Row],[Pe ESF (kN)]],ESF[[#This Row],[R_AV (kN)]]),IF(SPT!$M$5=2,MIN(ESF[[#This Row],[Pe ESF (kN)]],ESF[[#This Row],[R_DC (kN)]]),MIN(ESF[[#This Row],[Pe ESF (kN)]],ESF[[#This Row],[R_AV (kN)]],ESF[[#This Row],[R_DC (kN)]])))</f>
        <v>1000</v>
      </c>
      <c r="W172" s="4">
        <f>INDEX(PILARES[],ESF[[#This Row],[idPilar]],MATCH("Carga (kN)",PILARES[#Headers],0))*1.4</f>
        <v>1750</v>
      </c>
      <c r="X172" s="12">
        <f>INDEX(PILARES[],ESF[[#This Row],[idPilar]],MATCH(ESF[[#Headers],[ap (cm)]],PILARES[#Headers],0))</f>
        <v>50</v>
      </c>
      <c r="Y172" s="12">
        <f>INDEX(PILARES[],ESF[[#This Row],[idPilar]],MATCH(ESF[[#Headers],[bp (cm)]],PILARES[#Headers],0))</f>
        <v>40</v>
      </c>
      <c r="Z172" s="4">
        <f>SQRT(ESF[[#This Row],[ap (cm)]]*ESF[[#This Row],[bp (cm)]])</f>
        <v>44.721359549995796</v>
      </c>
      <c r="AA172" s="12">
        <f>ESF[[#This Row],[ap (cm)]]*ESF[[#This Row],[bp (cm)]]</f>
        <v>2000</v>
      </c>
      <c r="AB172" s="12">
        <f ca="1">IF(ESF[[#This Row],[Padm∙ε (kN)]]&gt;=ESF[[#This Row],[Padm (kN)]],ROUNDUP(1.05*ESF[[#This Row],[Nsd (kN)]]/ESF[[#This Row],[Padm (kN)]],0),ROUNDUP(1.05*ESF[[#This Row],[Nsd (kN)]]/ESF[[#This Row],[Padm (kN)]],0)+1)</f>
        <v>2</v>
      </c>
      <c r="AC172" s="4">
        <f ca="1">IFERROR(IF(ESF[[#This Row],[nE]]=1,ESF[[#This Row],[Padm (kN)]],ESF[[#This Row],[Padm (kN)]]*ESF[[#This Row],[nE]]*INDEX(grupoEstacas[],ESF[[#This Row],[nE]],MATCH("ε",grupoEstacas[#Headers],0))),"N.S.")</f>
        <v>1875</v>
      </c>
      <c r="AD172" s="4">
        <f ca="1">1.05*ESF[[#This Row],[Nsd (kN)]]/(ESF[[#This Row],[nE]]*PI()*ESF[[#This Row],[Ø (cm)]]^2/4)*10</f>
        <v>4.6791553269017232</v>
      </c>
      <c r="AE172" s="4">
        <f ca="1">IF(ESF[[#This Row],[σ (MPa)]]&lt;INDEX(tipoEstaca[],MATCH($D$2,tipoEstaca[TIPO DE ESTACA],0),MATCH("σmáx (MPa)",tipoEstaca[#Headers],0)),0.4%*PI()*ESF[[#This Row],[Ø (cm)]]^2/4,"N.S.")</f>
        <v>7.8539816339744837</v>
      </c>
      <c r="AF172" s="82">
        <f>INDEX(tipoEstaca[],MATCH($D$2,tipoEstaca[TIPO DE ESTACA],0),MATCH(ESF[[#Headers],[Comprimento (m)]],tipoEstaca[#Headers],0))</f>
        <v>2</v>
      </c>
      <c r="AG172" s="5">
        <f ca="1">ESF[[#This Row],[As,mín (cm²)]]/100^2*ESF[[#This Row],[Comprimento (m)]]*7850</f>
        <v>12.330751165339938</v>
      </c>
      <c r="AH172" s="4">
        <f ca="1">ESF[[#This Row],[nE]]*ESF[[#This Row],[Prof. (m)]]*ESF[[#This Row],[Ap (m²)]]</f>
        <v>5.1050880620834143</v>
      </c>
      <c r="AI172" s="82">
        <f ca="1">IF(ESF[[#This Row],[nE]]=1,0,MAX(3*ESF[[#This Row],[Ø (cm)]],60))</f>
        <v>150</v>
      </c>
      <c r="AJ172" s="82">
        <f ca="1">IF(ESF[[#This Row],[nE]]=1,ESF[[#This Row],[Ø (cm)]]+2*10,MAX(1.5*ESF[[#This Row],[Ø (cm)]],ESF[[#This Row],[Ø (cm)]]+15))</f>
        <v>75</v>
      </c>
      <c r="AK172" s="82">
        <f ca="1">alturaUtil(ESF[[#This Row],[nE]],ESF[[#This Row],[Ø (cm)]],ESF[[#This Row],[e (cm)]],ESF[[#This Row],[ap,eq (cm)]])</f>
        <v>65</v>
      </c>
      <c r="AL172" s="82">
        <f ca="1">IFERROR(ESF[[#This Row],[d (cm)]]+arredondarParaCimaMultiplo5cm(MAX(5,SQRT(PI())/2*ESF[[#This Row],[Ø (cm)]]/5)),"N.S.")</f>
        <v>75</v>
      </c>
      <c r="AM172" s="5">
        <f ca="1">alpha(ESF[[#This Row],[nE]],ESF[[#This Row],[d (cm)]],ESF[[#This Row],[e (cm)]],ESF[[#This Row],[ap,eq (cm)]])</f>
        <v>45.524971121512884</v>
      </c>
      <c r="AN172" s="35">
        <f ca="1">IFERROR(ESF[[#This Row],[Nsd (kN)]]/(ESF[[#This Row],[Ap (cm²)]]*SIN(ESF[[#This Row],[α]])^2),"N.S.")</f>
        <v>0.87569237354226348</v>
      </c>
      <c r="AO172" s="35">
        <f ca="1">IFERROR(ESF[[#This Row],[Nsd (kN)]]/(ESF[[#This Row],[nE]]*PI()*ESF[[#This Row],[Ø (cm)]]^2/4*SIN(ESF[[#This Row],[α]])^2),"N.S.")</f>
        <v>0.44598646360680222</v>
      </c>
      <c r="AP172" s="4">
        <f ca="1">IFERROR(INDEX(grupoEstacas[],ESF[[#This Row],[nE]],MATCH("coef. Blévot",grupoEstacas[#Headers],0)),"N.S.")</f>
        <v>1.4</v>
      </c>
      <c r="AQ172" s="35">
        <f ca="1">IFERROR(ESF[[#This Row],[coef. Blévot]]*0.9*INDEX(tipoEstaca[],MATCH($D$2,tipoEstaca[TIPO DE ESTACA],0),MATCH("fcd (kN/cm²)",tipoEstaca[#Headers],0)),"N.S.")</f>
        <v>1.008</v>
      </c>
      <c r="AR172" s="82" t="str">
        <f ca="1">IF(AND(ESF[[#This Row],[cd,b,pil (kN/cm²)]]&lt;=ESF[[#This Row],[cd,b,lim (kN/cm²)]],ESF[[#This Row],[cd,b,est (kN/cm²)]]&lt;=ESF[[#This Row],[cd,b,lim (kN/cm²)]]),"OK","ERRO")</f>
        <v>OK</v>
      </c>
      <c r="AS172" s="4">
        <f ca="1">As_lado(ESF[[#This Row],[nE]],ESF[[#This Row],[Nsd (kN)]],ESF[[#This Row],[d (cm)]],ESF[[#This Row],[e (cm)]],ESF[[#This Row],[ap,eq (cm)]])</f>
        <v>22.723480903518404</v>
      </c>
      <c r="AT172" s="4">
        <f ca="1">IF(ESF[[#This Row],[nE]]=1,ESF[[#This Row],[As,lado (cm²)]],IF(ESF[[#This Row],[nE]]=2,0.075*2*ESF[a (cm)],"N.A."))</f>
        <v>11.25</v>
      </c>
      <c r="AU172" s="4">
        <f ca="1">IFERROR(IF(ESF[[#This Row],[nE]]=1,"N.A.",0.2*ESF[[#This Row],[As,lado (cm²)]]),"N.S.")</f>
        <v>4.5446961807036805</v>
      </c>
      <c r="AV172" s="4" t="str">
        <f ca="1">As_malha(ESF[[#This Row],[nE]],ESF[[#This Row],[As,lado (cm²)]],ESF[[#This Row],[Nsd (kN)]])</f>
        <v>N.A.</v>
      </c>
      <c r="AW172" s="4" t="str">
        <f ca="1">As_susp_tot(ESF[[#This Row],[nE]],ESF[[#This Row],[Nsd (kN)]])</f>
        <v>N.A.</v>
      </c>
      <c r="AX172" s="4" t="str">
        <f ca="1">Asp_face(ESF[[#This Row],[nE]],ESF[[#This Row],[As,lado (cm²)]])</f>
        <v>N.A.</v>
      </c>
      <c r="AY172" s="5">
        <f ca="1">acoBloco(ESF[[#This Row],[nE]],ESF[[#This Row],[e (cm)]],ESF[[#This Row],[a (cm)]],ESF[[#This Row],[h (cm)]],ESF[[#This Row],[As,lado (cm²)]],ESF[[#This Row],[Asp e Asw (cm²/m)]],ESF[[#This Row],[As,sup (cm²)]],ESF[[#This Row],[As,malha (cm²)]],ESF[[#This Row],[As,susp,tot (cm²)]],ESF[[#This Row],[Asp,face (cm²)]])</f>
        <v>243.049369533343</v>
      </c>
      <c r="AZ172" s="4">
        <f ca="1">concretoBloco(ESF[[#This Row],[nE]],ESF[[#This Row],[e (cm)]],ESF[[#This Row],[a (cm)]],ESF[[#This Row],[h (cm)]])</f>
        <v>3.375</v>
      </c>
      <c r="BA172" s="5">
        <f ca="1">SUM(ESF[[#This Row],[Aço Est (kg)]],ESF[[#This Row],[Aço Bloco (kg)]])</f>
        <v>255.38012069868293</v>
      </c>
      <c r="BB172" s="4">
        <f>INDEX(composicoes[],MATCH(95580,composicoes[CÓDIGO],0),MATCH("CUSTO TOTAL",composicoes[#Headers],0))</f>
        <v>10.46</v>
      </c>
      <c r="BC172" s="4">
        <f ca="1">SUM(ESF[[#This Row],[Conc Est (m³)]],ESF[[#This Row],[Conc Bloco (m³)]])</f>
        <v>8.4800880620834143</v>
      </c>
      <c r="BD172" s="4">
        <f>INDEX(composicoes[],MATCH(94966,composicoes[CÓDIGO],0),MATCH("CUSTO TOTAL",composicoes[#Headers],0))</f>
        <v>439.52</v>
      </c>
      <c r="BE172" s="38">
        <f ca="1">ESF[[#This Row],[Aço (kg)]]*ESF[[#This Row],[Aço (R$/kg)]]+ESF[[#This Row],[Conc (m³)]]*ESF[[#This Row],[Conc (R$/m³)]]</f>
        <v>6398.4443675551256</v>
      </c>
      <c r="BF172" s="4" t="str">
        <f ca="1">IF(COUNTIF(ESF[#This Row],"N.S.")&gt;0,"lim.","OK")</f>
        <v>OK</v>
      </c>
      <c r="BG172" s="4" t="str">
        <f>IF(ESF[[#This Row],[Prof. (m)]]&lt;3,"lim.","OK")</f>
        <v>OK</v>
      </c>
      <c r="BH172" s="4" t="str">
        <f>IF(ESF[[#This Row],[Prof. (m)]]&gt;=8*ESF[[#This Row],[Ø (cm)]]/100,"OK","lim.")</f>
        <v>OK</v>
      </c>
      <c r="BI172" s="4" t="str">
        <f>IF(AND(SPT!$F$3&lt;&gt;"",ESF[[#This Row],[Prof. (m)]]&gt;=SPT!$F$3),"lim.","OK")</f>
        <v>OK</v>
      </c>
      <c r="BJ172" s="4" t="str">
        <f>IF(COUNTIFS(ESF[Solo],"Areia",ESF[Prof. (m)],"&lt;="&amp;ESF[[#This Row],[Prof. (m)]])&gt;=1,"lim.","OK")</f>
        <v>OK</v>
      </c>
      <c r="BK172" s="4" t="str">
        <f ca="1">IF(ESF[[#This Row],[Verif. Biela]]="OK","OK","lim.")</f>
        <v>OK</v>
      </c>
      <c r="BL172" s="4" t="str">
        <f ca="1">IF(COUNTA(ESF[[#This Row],[Nº Est.]:[Biela comp.]])=COUNTIF(ESF[[#This Row],[Nº Est.]:[Biela comp.]],"OK"),"OK","lim.")</f>
        <v>OK</v>
      </c>
      <c r="BM172" s="4" t="str">
        <f ca="1">IF(ESF[[#This Row],[Controle]]="OK",ESF[[#This Row],[nE]]&amp;" Ø"&amp;ESF[[#This Row],[Ø (cm)]]&amp;"cm Prof. "&amp;ESF[[#This Row],[Prof. (m)]]&amp;" m","")</f>
        <v>2 Ø50cm Prof. 13 m</v>
      </c>
      <c r="BN172" s="4" t="str">
        <f ca="1">IF(ESF[[#This Row],[idDimensionamento]]="","",ESF[[#This Row],[idPilar]]&amp;ESF[[#This Row],[idDimensionamento]])</f>
        <v>22 Ø50cm Prof. 13 m</v>
      </c>
    </row>
    <row r="173" spans="2:66" x14ac:dyDescent="0.25">
      <c r="B173" s="12"/>
      <c r="C173" s="12"/>
      <c r="D173" s="1"/>
      <c r="E173" s="1"/>
      <c r="F173" s="1"/>
      <c r="G173" s="1"/>
      <c r="H173" s="1"/>
      <c r="I173" s="4"/>
      <c r="J173" s="5"/>
      <c r="K173" s="4"/>
      <c r="L173" s="4"/>
      <c r="M173" s="4"/>
      <c r="N173" s="4"/>
      <c r="O173" s="4"/>
      <c r="P173" s="4"/>
      <c r="Q173" s="12"/>
      <c r="R173" s="4"/>
      <c r="S173" s="4"/>
      <c r="T173" s="4"/>
      <c r="U173" s="4"/>
      <c r="V173" s="4"/>
      <c r="W173" s="4"/>
      <c r="X173" s="12"/>
      <c r="Y173" s="12"/>
      <c r="Z173" s="12"/>
      <c r="AA173" s="12"/>
    </row>
    <row r="174" spans="2:66" x14ac:dyDescent="0.25">
      <c r="B174" s="12"/>
      <c r="C174" s="12"/>
      <c r="D174" s="1"/>
      <c r="E174" s="1"/>
      <c r="F174" s="1"/>
      <c r="G174" s="1"/>
      <c r="H174" s="1"/>
      <c r="I174" s="4"/>
      <c r="J174" s="5"/>
      <c r="K174" s="4"/>
      <c r="L174" s="4"/>
      <c r="M174" s="4"/>
      <c r="N174" s="4"/>
      <c r="O174" s="4"/>
      <c r="P174" s="4"/>
      <c r="Q174" s="12"/>
      <c r="R174" s="4"/>
      <c r="S174" s="4"/>
      <c r="T174" s="4"/>
      <c r="U174" s="4"/>
      <c r="V174" s="4"/>
      <c r="W174" s="4"/>
      <c r="X174" s="12"/>
      <c r="Y174" s="12"/>
      <c r="Z174" s="12"/>
      <c r="AA174" s="12"/>
    </row>
    <row r="175" spans="2:66" x14ac:dyDescent="0.25">
      <c r="B175" s="12"/>
      <c r="C175" s="12"/>
      <c r="D175" s="1"/>
      <c r="E175" s="1"/>
      <c r="F175" s="1"/>
      <c r="G175" s="1"/>
      <c r="H175" s="1"/>
      <c r="I175" s="4"/>
      <c r="J175" s="5"/>
      <c r="K175" s="4"/>
      <c r="L175" s="4"/>
      <c r="M175" s="4"/>
      <c r="N175" s="4"/>
      <c r="O175" s="4"/>
      <c r="P175" s="4"/>
      <c r="Q175" s="12"/>
      <c r="R175" s="4"/>
      <c r="S175" s="4"/>
      <c r="T175" s="4"/>
      <c r="U175" s="4"/>
      <c r="V175" s="4"/>
      <c r="W175" s="4"/>
      <c r="X175" s="12"/>
      <c r="Y175" s="12"/>
      <c r="Z175" s="12"/>
      <c r="AA175" s="12"/>
    </row>
    <row r="176" spans="2:66" x14ac:dyDescent="0.25">
      <c r="B176" s="12"/>
      <c r="C176" s="12"/>
      <c r="D176" s="1"/>
      <c r="E176" s="1"/>
      <c r="F176" s="1"/>
      <c r="G176" s="1"/>
      <c r="H176" s="1"/>
      <c r="I176" s="4"/>
      <c r="J176" s="5"/>
      <c r="K176" s="4"/>
      <c r="L176" s="4"/>
      <c r="M176" s="4"/>
      <c r="N176" s="4"/>
      <c r="O176" s="4"/>
      <c r="P176" s="4"/>
      <c r="Q176" s="12"/>
      <c r="R176" s="4"/>
      <c r="S176" s="4"/>
      <c r="T176" s="4"/>
      <c r="U176" s="4"/>
      <c r="V176" s="4"/>
      <c r="W176" s="4"/>
      <c r="X176" s="12"/>
      <c r="Y176" s="12"/>
      <c r="Z176" s="12"/>
      <c r="AA176" s="12"/>
    </row>
    <row r="177" spans="2:27" x14ac:dyDescent="0.25">
      <c r="B177" s="12"/>
      <c r="C177" s="12"/>
      <c r="D177" s="1"/>
      <c r="E177" s="1"/>
      <c r="F177" s="1"/>
      <c r="G177" s="1"/>
      <c r="H177" s="1"/>
      <c r="I177" s="4"/>
      <c r="J177" s="5"/>
      <c r="K177" s="4"/>
      <c r="L177" s="4"/>
      <c r="M177" s="4"/>
      <c r="N177" s="4"/>
      <c r="O177" s="4"/>
      <c r="P177" s="4"/>
      <c r="Q177" s="12"/>
      <c r="R177" s="4"/>
      <c r="S177" s="4"/>
      <c r="T177" s="4"/>
      <c r="U177" s="4"/>
      <c r="V177" s="4"/>
      <c r="W177" s="4"/>
      <c r="X177" s="12"/>
      <c r="Y177" s="12"/>
      <c r="Z177" s="12"/>
      <c r="AA177" s="12"/>
    </row>
    <row r="178" spans="2:27" x14ac:dyDescent="0.25">
      <c r="B178" s="12"/>
      <c r="C178" s="12"/>
      <c r="D178" s="1"/>
      <c r="E178" s="1"/>
      <c r="F178" s="1"/>
      <c r="G178" s="1"/>
      <c r="H178" s="1"/>
      <c r="I178" s="4"/>
      <c r="J178" s="5"/>
      <c r="K178" s="4"/>
      <c r="L178" s="4"/>
      <c r="M178" s="4"/>
      <c r="N178" s="4"/>
      <c r="O178" s="4"/>
      <c r="P178" s="4"/>
      <c r="Q178" s="12"/>
      <c r="R178" s="4"/>
      <c r="S178" s="4"/>
      <c r="T178" s="4"/>
      <c r="U178" s="15"/>
      <c r="V178" s="4"/>
      <c r="W178" s="4"/>
      <c r="X178" s="12"/>
      <c r="Y178" s="12"/>
      <c r="Z178" s="12"/>
      <c r="AA178" s="12"/>
    </row>
    <row r="179" spans="2:27" x14ac:dyDescent="0.25">
      <c r="B179" s="12"/>
      <c r="C179" s="12"/>
      <c r="D179" s="1"/>
      <c r="E179" s="1"/>
      <c r="F179" s="1"/>
      <c r="G179" s="1"/>
      <c r="H179" s="1"/>
      <c r="I179" s="4"/>
      <c r="J179" s="5"/>
      <c r="K179" s="4"/>
      <c r="L179" s="4"/>
      <c r="M179" s="4"/>
      <c r="N179" s="4"/>
      <c r="O179" s="4"/>
      <c r="P179" s="4"/>
      <c r="Q179" s="12"/>
      <c r="R179" s="4"/>
      <c r="S179" s="4"/>
      <c r="T179" s="4"/>
      <c r="U179" s="15"/>
      <c r="V179" s="4"/>
      <c r="W179" s="4"/>
      <c r="X179" s="12"/>
      <c r="Y179" s="12"/>
      <c r="Z179" s="12"/>
      <c r="AA179" s="12"/>
    </row>
    <row r="180" spans="2:27" x14ac:dyDescent="0.25">
      <c r="B180" s="12"/>
      <c r="C180" s="12"/>
      <c r="D180" s="1"/>
      <c r="E180" s="1"/>
      <c r="F180" s="1"/>
      <c r="G180" s="1"/>
      <c r="H180" s="1"/>
      <c r="I180" s="4"/>
      <c r="J180" s="5"/>
      <c r="K180" s="4"/>
      <c r="L180" s="4"/>
      <c r="M180" s="4"/>
      <c r="N180" s="4"/>
      <c r="O180" s="4"/>
      <c r="P180" s="4"/>
      <c r="Q180" s="12"/>
      <c r="R180" s="4"/>
      <c r="S180" s="4"/>
      <c r="T180" s="4"/>
      <c r="U180" s="15"/>
      <c r="V180" s="4"/>
      <c r="W180" s="4"/>
      <c r="X180" s="12"/>
      <c r="Y180" s="12"/>
      <c r="Z180" s="12"/>
      <c r="AA180" s="12"/>
    </row>
    <row r="181" spans="2:27" x14ac:dyDescent="0.25">
      <c r="B181" s="12"/>
      <c r="C181" s="12"/>
      <c r="D181" s="1"/>
      <c r="E181" s="1"/>
      <c r="F181" s="1"/>
      <c r="G181" s="1"/>
      <c r="H181" s="1"/>
      <c r="I181" s="4"/>
      <c r="J181" s="5"/>
      <c r="K181" s="4"/>
      <c r="L181" s="4"/>
      <c r="M181" s="4"/>
      <c r="N181" s="4"/>
      <c r="O181" s="4"/>
      <c r="P181" s="4"/>
      <c r="Q181" s="12"/>
      <c r="R181" s="4"/>
      <c r="S181" s="4"/>
      <c r="T181" s="4"/>
      <c r="U181" s="15"/>
      <c r="V181" s="4"/>
      <c r="W181" s="4"/>
      <c r="X181" s="12"/>
      <c r="Y181" s="12"/>
      <c r="Z181" s="12"/>
      <c r="AA181" s="12"/>
    </row>
    <row r="182" spans="2:27" x14ac:dyDescent="0.25">
      <c r="B182" s="12"/>
      <c r="C182" s="12"/>
      <c r="D182" s="1"/>
      <c r="E182" s="1"/>
      <c r="F182" s="1"/>
      <c r="G182" s="1"/>
      <c r="H182" s="1"/>
      <c r="I182" s="4"/>
      <c r="J182" s="5"/>
      <c r="K182" s="4"/>
      <c r="L182" s="4"/>
      <c r="M182" s="4"/>
      <c r="N182" s="4"/>
      <c r="O182" s="4"/>
      <c r="P182" s="4"/>
      <c r="Q182" s="12"/>
      <c r="R182" s="4"/>
      <c r="S182" s="4"/>
      <c r="T182" s="4"/>
      <c r="U182" s="15"/>
      <c r="V182" s="4"/>
      <c r="W182" s="4"/>
      <c r="X182" s="12"/>
      <c r="Y182" s="12"/>
      <c r="Z182" s="12"/>
      <c r="AA182" s="12"/>
    </row>
    <row r="183" spans="2:27" x14ac:dyDescent="0.25">
      <c r="B183" s="12"/>
      <c r="C183" s="12"/>
      <c r="D183" s="1"/>
      <c r="E183" s="1"/>
      <c r="F183" s="1"/>
      <c r="G183" s="1"/>
      <c r="H183" s="1"/>
      <c r="I183" s="4"/>
      <c r="J183" s="5"/>
      <c r="K183" s="4"/>
      <c r="L183" s="4"/>
      <c r="M183" s="4"/>
      <c r="N183" s="4"/>
      <c r="O183" s="4"/>
      <c r="P183" s="4"/>
      <c r="Q183" s="12"/>
      <c r="R183" s="4"/>
      <c r="S183" s="4"/>
      <c r="T183" s="4"/>
      <c r="U183" s="15"/>
      <c r="V183" s="4"/>
      <c r="W183" s="4"/>
      <c r="X183" s="12"/>
      <c r="Y183" s="12"/>
      <c r="Z183" s="12"/>
      <c r="AA183" s="12"/>
    </row>
    <row r="184" spans="2:27" x14ac:dyDescent="0.25">
      <c r="B184" s="12"/>
      <c r="C184" s="12"/>
      <c r="D184" s="1"/>
      <c r="E184" s="1"/>
      <c r="F184" s="1"/>
      <c r="G184" s="1"/>
      <c r="H184" s="1"/>
      <c r="I184" s="4"/>
      <c r="J184" s="5"/>
      <c r="K184" s="4"/>
      <c r="L184" s="4"/>
      <c r="M184" s="4"/>
      <c r="N184" s="4"/>
      <c r="O184" s="4"/>
      <c r="P184" s="4"/>
      <c r="Q184" s="12"/>
      <c r="R184" s="4"/>
      <c r="S184" s="4"/>
      <c r="T184" s="4"/>
      <c r="U184" s="15"/>
      <c r="V184" s="4"/>
      <c r="W184" s="4"/>
      <c r="X184" s="12"/>
      <c r="Y184" s="12"/>
      <c r="Z184" s="12"/>
      <c r="AA184" s="12"/>
    </row>
    <row r="185" spans="2:27" x14ac:dyDescent="0.25">
      <c r="B185" s="12"/>
      <c r="C185" s="12"/>
      <c r="D185" s="1"/>
      <c r="E185" s="1"/>
      <c r="F185" s="1"/>
      <c r="G185" s="1"/>
      <c r="H185" s="1"/>
      <c r="I185" s="4"/>
      <c r="J185" s="5"/>
      <c r="K185" s="4"/>
      <c r="L185" s="4"/>
      <c r="M185" s="4"/>
      <c r="N185" s="4"/>
      <c r="O185" s="4"/>
      <c r="P185" s="4"/>
      <c r="Q185" s="12"/>
      <c r="R185" s="4"/>
      <c r="S185" s="4"/>
      <c r="T185" s="4"/>
      <c r="U185" s="15"/>
      <c r="V185" s="4"/>
    </row>
    <row r="186" spans="2:27" x14ac:dyDescent="0.25">
      <c r="B186" s="12"/>
      <c r="C186" s="12"/>
      <c r="D186" s="1"/>
      <c r="E186" s="1"/>
      <c r="F186" s="1"/>
      <c r="G186" s="1"/>
      <c r="H186" s="1"/>
      <c r="I186" s="4"/>
      <c r="J186" s="5"/>
      <c r="K186" s="4"/>
      <c r="L186" s="4"/>
      <c r="M186" s="4"/>
      <c r="N186" s="4"/>
      <c r="O186" s="4"/>
      <c r="P186" s="4"/>
      <c r="Q186" s="12"/>
      <c r="R186" s="4"/>
      <c r="S186" s="4"/>
      <c r="T186" s="4"/>
      <c r="U186" s="4"/>
      <c r="V186" s="4"/>
    </row>
    <row r="187" spans="2:27" x14ac:dyDescent="0.25">
      <c r="B187" s="12"/>
      <c r="C187" s="12"/>
      <c r="D187" s="1"/>
      <c r="E187" s="1"/>
      <c r="F187" s="1"/>
      <c r="G187" s="1"/>
      <c r="H187" s="1"/>
      <c r="I187" s="4"/>
      <c r="J187" s="5"/>
      <c r="K187" s="4"/>
      <c r="L187" s="4"/>
      <c r="M187" s="4"/>
      <c r="N187" s="4"/>
      <c r="O187" s="4"/>
      <c r="P187" s="4"/>
      <c r="Q187" s="12"/>
      <c r="R187" s="4"/>
      <c r="S187" s="4"/>
      <c r="T187" s="4"/>
      <c r="U187" s="15"/>
      <c r="V187" s="4"/>
    </row>
  </sheetData>
  <dataConsolidate link="1"/>
  <mergeCells count="10">
    <mergeCell ref="BF3:BL3"/>
    <mergeCell ref="BA3:BE3"/>
    <mergeCell ref="W3:AA3"/>
    <mergeCell ref="B3:C3"/>
    <mergeCell ref="AB3:AH3"/>
    <mergeCell ref="I3:P3"/>
    <mergeCell ref="Q3:U3"/>
    <mergeCell ref="G3:H3"/>
    <mergeCell ref="D3:F3"/>
    <mergeCell ref="AI3:AZ3"/>
  </mergeCells>
  <phoneticPr fontId="6" type="noConversion"/>
  <pageMargins left="0.511811024" right="0.511811024" top="0.78740157499999996" bottom="0.78740157499999996" header="0.31496062000000002" footer="0.31496062000000002"/>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D79C1-D249-421A-ACB0-CCD437B22C8D}">
  <sheetPr codeName="ECF"/>
  <dimension ref="B1:BM284"/>
  <sheetViews>
    <sheetView showGridLines="0" zoomScaleNormal="100" workbookViewId="0">
      <pane xSplit="7" ySplit="4" topLeftCell="BF110" activePane="bottomRight" state="frozen"/>
      <selection activeCell="U159" sqref="U159"/>
      <selection pane="topRight" activeCell="U159" sqref="U159"/>
      <selection pane="bottomLeft" activeCell="U159" sqref="U159"/>
      <selection pane="bottomRight" activeCell="U159" sqref="U159"/>
    </sheetView>
  </sheetViews>
  <sheetFormatPr defaultRowHeight="15" x14ac:dyDescent="0.25"/>
  <cols>
    <col min="1" max="1" width="2.7109375" style="18" customWidth="1"/>
    <col min="2" max="2" width="13.5703125" style="18" bestFit="1" customWidth="1"/>
    <col min="3" max="3" width="8.140625" style="18" bestFit="1" customWidth="1"/>
    <col min="4" max="4" width="10.42578125" style="18" bestFit="1" customWidth="1"/>
    <col min="5" max="5" width="7.5703125" style="18" bestFit="1" customWidth="1"/>
    <col min="6" max="6" width="15.42578125" style="18" bestFit="1" customWidth="1"/>
    <col min="7" max="7" width="8.28515625" style="18" bestFit="1" customWidth="1"/>
    <col min="8" max="8" width="14.42578125" style="18" bestFit="1" customWidth="1"/>
    <col min="9" max="9" width="9.7109375" style="18" customWidth="1"/>
    <col min="10" max="10" width="7" style="18" bestFit="1" customWidth="1"/>
    <col min="11" max="12" width="5.7109375" style="18" bestFit="1" customWidth="1"/>
    <col min="13" max="13" width="9" style="18" bestFit="1" customWidth="1"/>
    <col min="14" max="14" width="7" style="18" bestFit="1" customWidth="1"/>
    <col min="15" max="15" width="18" style="18" bestFit="1" customWidth="1"/>
    <col min="16" max="16" width="12.42578125" style="18" bestFit="1" customWidth="1"/>
    <col min="17" max="17" width="9.140625" style="18" bestFit="1" customWidth="1"/>
    <col min="18" max="19" width="7.85546875" style="18" bestFit="1" customWidth="1"/>
    <col min="20" max="20" width="13.5703125" style="18" bestFit="1" customWidth="1"/>
    <col min="21" max="21" width="12.7109375" style="18" customWidth="1"/>
    <col min="22" max="22" width="12.5703125" style="18" bestFit="1" customWidth="1"/>
    <col min="23" max="23" width="10.7109375" style="18" bestFit="1" customWidth="1"/>
    <col min="24" max="24" width="8.140625" style="18" bestFit="1" customWidth="1"/>
    <col min="25" max="25" width="9.42578125" style="18" bestFit="1" customWidth="1"/>
    <col min="26" max="26" width="12.5703125" style="18" bestFit="1" customWidth="1"/>
    <col min="27" max="27" width="10.28515625" style="18" bestFit="1" customWidth="1"/>
    <col min="28" max="28" width="4.28515625" style="18" bestFit="1" customWidth="1"/>
    <col min="29" max="29" width="13.7109375" style="18" bestFit="1" customWidth="1"/>
    <col min="30" max="30" width="8.85546875" style="18" bestFit="1" customWidth="1"/>
    <col min="31" max="31" width="14.85546875" style="18" bestFit="1" customWidth="1"/>
    <col min="32" max="32" width="20.42578125" style="18" bestFit="1" customWidth="1"/>
    <col min="33" max="33" width="14.5703125" style="18" bestFit="1" customWidth="1"/>
    <col min="34" max="34" width="16.140625" style="18" bestFit="1" customWidth="1"/>
    <col min="35" max="36" width="7.85546875" style="18" bestFit="1" customWidth="1"/>
    <col min="37" max="38" width="11" style="18" bestFit="1" customWidth="1"/>
    <col min="39" max="39" width="15.5703125" style="18" bestFit="1" customWidth="1"/>
    <col min="40" max="40" width="19" style="1" bestFit="1" customWidth="1"/>
    <col min="41" max="41" width="19.7109375" style="1" bestFit="1" customWidth="1"/>
    <col min="42" max="42" width="14.28515625" style="1" bestFit="1" customWidth="1"/>
    <col min="43" max="43" width="19.5703125" style="1" bestFit="1" customWidth="1"/>
    <col min="44" max="44" width="12.85546875" style="18" bestFit="1" customWidth="1"/>
    <col min="45" max="45" width="15.5703125" style="18" bestFit="1" customWidth="1"/>
    <col min="46" max="46" width="21.7109375" style="18" bestFit="1" customWidth="1"/>
    <col min="47" max="47" width="15" style="18" bestFit="1" customWidth="1"/>
    <col min="48" max="48" width="17.5703125" style="18" bestFit="1" customWidth="1"/>
    <col min="49" max="49" width="19.85546875" style="18" bestFit="1" customWidth="1"/>
    <col min="50" max="50" width="16.85546875" style="18" bestFit="1" customWidth="1"/>
    <col min="51" max="51" width="17.5703125" style="18" bestFit="1" customWidth="1"/>
    <col min="52" max="52" width="19.140625" style="18" bestFit="1" customWidth="1"/>
    <col min="53" max="53" width="10.28515625" style="18" bestFit="1" customWidth="1"/>
    <col min="54" max="54" width="14" style="18" bestFit="1" customWidth="1"/>
    <col min="55" max="55" width="11.85546875" style="18" bestFit="1" customWidth="1"/>
    <col min="56" max="56" width="15.5703125" style="18" bestFit="1" customWidth="1"/>
    <col min="57" max="57" width="15.140625" style="18" bestFit="1" customWidth="1"/>
    <col min="58" max="58" width="8.5703125" style="18" bestFit="1" customWidth="1"/>
    <col min="59" max="59" width="13.5703125" style="18" bestFit="1" customWidth="1"/>
    <col min="60" max="60" width="13.85546875" style="18" bestFit="1" customWidth="1"/>
    <col min="61" max="61" width="5.7109375" style="18" bestFit="1" customWidth="1"/>
    <col min="62" max="62" width="14.140625" style="18" bestFit="1" customWidth="1"/>
    <col min="63" max="63" width="10.7109375" style="18" bestFit="1" customWidth="1"/>
    <col min="64" max="64" width="23.5703125" style="18" bestFit="1" customWidth="1"/>
    <col min="65" max="65" width="31.28515625" style="18" bestFit="1" customWidth="1"/>
    <col min="66" max="16384" width="9.140625" style="18"/>
  </cols>
  <sheetData>
    <row r="1" spans="2:65" ht="5.0999999999999996" customHeight="1" x14ac:dyDescent="0.25"/>
    <row r="2" spans="2:65" s="21" customFormat="1" ht="20.25" x14ac:dyDescent="0.25">
      <c r="B2" s="7" t="s">
        <v>34</v>
      </c>
      <c r="D2" s="21" t="s">
        <v>42</v>
      </c>
      <c r="O2" s="22"/>
      <c r="P2" s="22"/>
      <c r="AN2" s="33"/>
      <c r="AO2" s="33"/>
      <c r="AP2" s="33"/>
      <c r="AQ2" s="33"/>
    </row>
    <row r="3" spans="2:65" s="19" customFormat="1" ht="18.75" x14ac:dyDescent="0.25">
      <c r="B3" s="66" t="s">
        <v>72</v>
      </c>
      <c r="C3" s="68"/>
      <c r="D3" s="69" t="s">
        <v>73</v>
      </c>
      <c r="E3" s="70"/>
      <c r="F3" s="71"/>
      <c r="G3" s="66" t="s">
        <v>46</v>
      </c>
      <c r="H3" s="68"/>
      <c r="I3" s="66" t="s">
        <v>74</v>
      </c>
      <c r="J3" s="67"/>
      <c r="K3" s="67"/>
      <c r="L3" s="67"/>
      <c r="M3" s="67"/>
      <c r="N3" s="67"/>
      <c r="O3" s="67"/>
      <c r="P3" s="67"/>
      <c r="Q3" s="66" t="s">
        <v>75</v>
      </c>
      <c r="R3" s="67"/>
      <c r="S3" s="67"/>
      <c r="T3" s="67"/>
      <c r="U3" s="68"/>
      <c r="V3" s="6" t="s">
        <v>76</v>
      </c>
      <c r="W3" s="66" t="s">
        <v>71</v>
      </c>
      <c r="X3" s="67"/>
      <c r="Y3" s="67"/>
      <c r="Z3" s="67"/>
      <c r="AA3" s="68"/>
      <c r="AB3" s="66" t="s">
        <v>77</v>
      </c>
      <c r="AC3" s="67"/>
      <c r="AD3" s="67"/>
      <c r="AE3" s="67"/>
      <c r="AF3" s="67"/>
      <c r="AG3" s="67"/>
      <c r="AH3" s="68"/>
      <c r="AI3" s="66" t="s">
        <v>92</v>
      </c>
      <c r="AJ3" s="67"/>
      <c r="AK3" s="67"/>
      <c r="AL3" s="67"/>
      <c r="AM3" s="67"/>
      <c r="AN3" s="67"/>
      <c r="AO3" s="67"/>
      <c r="AP3" s="67"/>
      <c r="AQ3" s="67"/>
      <c r="AR3" s="67"/>
      <c r="AS3" s="67"/>
      <c r="AT3" s="67"/>
      <c r="AU3" s="67"/>
      <c r="AV3" s="67"/>
      <c r="AW3" s="67"/>
      <c r="AX3" s="67"/>
      <c r="AY3" s="67"/>
      <c r="AZ3" s="68"/>
      <c r="BA3" s="66" t="s">
        <v>136</v>
      </c>
      <c r="BB3" s="67"/>
      <c r="BC3" s="67"/>
      <c r="BD3" s="67"/>
      <c r="BE3" s="68"/>
      <c r="BF3" s="66" t="s">
        <v>129</v>
      </c>
      <c r="BG3" s="67"/>
      <c r="BH3" s="67"/>
      <c r="BI3" s="67"/>
      <c r="BJ3" s="67"/>
      <c r="BK3" s="68"/>
    </row>
    <row r="4" spans="2:65" ht="20.25" x14ac:dyDescent="0.25">
      <c r="B4" s="1" t="s">
        <v>65</v>
      </c>
      <c r="C4" s="1" t="s">
        <v>66</v>
      </c>
      <c r="D4" s="1" t="s">
        <v>30</v>
      </c>
      <c r="E4" s="1" t="s">
        <v>100</v>
      </c>
      <c r="F4" s="1" t="s">
        <v>0</v>
      </c>
      <c r="G4" s="1" t="s">
        <v>29</v>
      </c>
      <c r="H4" s="1" t="s">
        <v>35</v>
      </c>
      <c r="I4" s="1" t="s">
        <v>16</v>
      </c>
      <c r="J4" s="1" t="s">
        <v>18</v>
      </c>
      <c r="K4" s="1" t="s">
        <v>101</v>
      </c>
      <c r="L4" s="1" t="s">
        <v>102</v>
      </c>
      <c r="M4" s="1" t="s">
        <v>103</v>
      </c>
      <c r="N4" s="1" t="s">
        <v>43</v>
      </c>
      <c r="O4" s="21" t="s">
        <v>104</v>
      </c>
      <c r="P4" s="1" t="s">
        <v>45</v>
      </c>
      <c r="Q4" s="1" t="s">
        <v>50</v>
      </c>
      <c r="R4" s="1" t="s">
        <v>54</v>
      </c>
      <c r="S4" s="1" t="s">
        <v>55</v>
      </c>
      <c r="T4" s="1" t="s">
        <v>60</v>
      </c>
      <c r="U4" s="1" t="s">
        <v>48</v>
      </c>
      <c r="V4" s="1" t="s">
        <v>105</v>
      </c>
      <c r="W4" s="1" t="s">
        <v>116</v>
      </c>
      <c r="X4" s="1" t="s">
        <v>121</v>
      </c>
      <c r="Y4" s="1" t="s">
        <v>99</v>
      </c>
      <c r="Z4" s="1" t="s">
        <v>123</v>
      </c>
      <c r="AA4" s="1" t="s">
        <v>122</v>
      </c>
      <c r="AB4" s="1" t="s">
        <v>82</v>
      </c>
      <c r="AC4" s="1" t="s">
        <v>106</v>
      </c>
      <c r="AD4" s="24" t="s">
        <v>89</v>
      </c>
      <c r="AE4" s="1" t="s">
        <v>98</v>
      </c>
      <c r="AF4" s="1" t="s">
        <v>93</v>
      </c>
      <c r="AG4" s="1" t="s">
        <v>112</v>
      </c>
      <c r="AH4" s="1" t="s">
        <v>113</v>
      </c>
      <c r="AI4" s="1" t="s">
        <v>127</v>
      </c>
      <c r="AJ4" s="1" t="s">
        <v>94</v>
      </c>
      <c r="AK4" s="1" t="s">
        <v>95</v>
      </c>
      <c r="AL4" s="1" t="s">
        <v>96</v>
      </c>
      <c r="AM4" s="34" t="s">
        <v>120</v>
      </c>
      <c r="AN4" s="2" t="s">
        <v>117</v>
      </c>
      <c r="AO4" s="2" t="s">
        <v>118</v>
      </c>
      <c r="AP4" s="2" t="s">
        <v>126</v>
      </c>
      <c r="AQ4" s="2" t="s">
        <v>119</v>
      </c>
      <c r="AR4" s="1" t="s">
        <v>97</v>
      </c>
      <c r="AS4" s="1" t="s">
        <v>107</v>
      </c>
      <c r="AT4" s="1" t="s">
        <v>128</v>
      </c>
      <c r="AU4" s="1" t="s">
        <v>108</v>
      </c>
      <c r="AV4" s="1" t="s">
        <v>109</v>
      </c>
      <c r="AW4" s="1" t="s">
        <v>110</v>
      </c>
      <c r="AX4" s="1" t="s">
        <v>111</v>
      </c>
      <c r="AY4" s="1" t="s">
        <v>114</v>
      </c>
      <c r="AZ4" s="1" t="s">
        <v>115</v>
      </c>
      <c r="BA4" s="1" t="s">
        <v>137</v>
      </c>
      <c r="BB4" s="1" t="s">
        <v>139</v>
      </c>
      <c r="BC4" s="1" t="s">
        <v>138</v>
      </c>
      <c r="BD4" s="1" t="s">
        <v>140</v>
      </c>
      <c r="BE4" s="1" t="s">
        <v>141</v>
      </c>
      <c r="BF4" s="1" t="s">
        <v>133</v>
      </c>
      <c r="BG4" s="1" t="s">
        <v>265</v>
      </c>
      <c r="BH4" s="1" t="s">
        <v>278</v>
      </c>
      <c r="BI4" s="1" t="s">
        <v>130</v>
      </c>
      <c r="BJ4" s="1" t="s">
        <v>132</v>
      </c>
      <c r="BK4" s="1" t="s">
        <v>135</v>
      </c>
      <c r="BL4" s="1" t="s">
        <v>179</v>
      </c>
      <c r="BM4" s="1" t="s">
        <v>181</v>
      </c>
    </row>
    <row r="5" spans="2:65" x14ac:dyDescent="0.25">
      <c r="B5" s="12">
        <f>ROUNDUP((ROW(ECF[[#This Row],[idDiâmetro]])-ROW(ECF[[#Headers],[idDiâmetro]]))/(COUNT(SPT[Prof. (m)])*COUNT(PILARES[Pilar])),0)</f>
        <v>1</v>
      </c>
      <c r="C5" s="12">
        <f>IF(ECF[[#This Row],[idDiâmetro]]&lt;&gt;B4,1,IF(ECF[[#This Row],[Prof. (m)]]=0,C4+1,C4))</f>
        <v>1</v>
      </c>
      <c r="D5" s="1">
        <f>IFERROR(IF(D4=MAX(SPT[Prof. (m)]),0,D4+1),0)</f>
        <v>0</v>
      </c>
      <c r="E5" s="1">
        <f>INDEX(SPT[],MATCH(ECF[[#This Row],[Prof. (m)]],SPT[Prof. (m)],0),2)</f>
        <v>0</v>
      </c>
      <c r="F5" s="1" t="str">
        <f>INDEX(SPT[],MATCH(ECF[[#This Row],[Prof. (m)]],SPT[Prof. (m)],0),3)</f>
        <v>Areia siltosa</v>
      </c>
      <c r="G5" s="1">
        <f>INDEX(estacas[],ECF[[#This Row],[idDiâmetro]],MATCH($B$2,estacas[#Headers],0))</f>
        <v>60</v>
      </c>
      <c r="H5" s="1">
        <f>INDEX(estacas[],MATCH(ECF[[#This Row],[Ø (cm)]],estacas[Ø ECF (cm)],0),MATCH(ECF[[#Headers],[Pe ECF (kN)]],estacas[#Headers],0))</f>
        <v>1100</v>
      </c>
      <c r="I5" s="4">
        <f>INDEX(K_alpha_C[],MATCH(ECF[[#This Row],[Solo]],K_alpha_C[Solo],0),2)</f>
        <v>0.8</v>
      </c>
      <c r="J5" s="5">
        <f>INDEX(K_alpha_C[],MATCH(ECF[[#This Row],[Solo]],K_alpha_C[Solo],0),3)</f>
        <v>2</v>
      </c>
      <c r="K5" s="4">
        <f>INDEX(F1_F2[],MATCH($D$2,F1_F2[Tipo de estaca],0),2)</f>
        <v>3</v>
      </c>
      <c r="L5" s="4">
        <f>INDEX(F1_F2[],MATCH($D$2,F1_F2[Tipo de estaca],0),3)</f>
        <v>6</v>
      </c>
      <c r="M5" s="4">
        <f>PI()*(ECF[[#This Row],[Ø (cm)]]/100)^2/4</f>
        <v>0.28274333882308139</v>
      </c>
      <c r="N5" s="4">
        <f>PI()*ECF[[#This Row],[Ø (cm)]]/100</f>
        <v>1.8849555921538756</v>
      </c>
      <c r="O5" s="4">
        <f>IF(ECF[[#This Row],[Prof. (m)]]=0,0,ECF[[#This Row],[α (%)]]/100*ECF[[#This Row],[K (MPa)]]*1000*ECF[[#This Row],[NSPT]])</f>
        <v>0</v>
      </c>
      <c r="P5" s="4">
        <f>IF(ECF[[#This Row],[Prof. (m)]]=0,0,(ECF[[#This Row],[K (MPa)]]*1000*ECF[[#This Row],[NSPT]]/ECF[[#This Row],[F1]]*ECF[[#This Row],[Ap (m²)]]+ECF[[#This Row],[U (m)]]/ECF[[#This Row],[F2]]*SUMIFS(ECF[(α∙K∙NL∙ΔL)],ECF[Prof. (m)],"&lt;="&amp;ECF[[#This Row],[Prof. (m)]],ECF[idDiâmetro],ECF[[#This Row],[idDiâmetro]],ECF[idPilar],ECF[[#This Row],[idPilar]]))/'DADOS CAP. CARGA'!$D$2)</f>
        <v>0</v>
      </c>
      <c r="Q5" s="12">
        <f>INDEX(C_alpha_beta[],MATCH(ECF[[#This Row],[Solo]],C_alpha_beta[Solo],0),MATCH(ECF[[#Headers],[C (kPa)]],C_alpha_beta[#Headers],0))</f>
        <v>400</v>
      </c>
      <c r="R5" s="4">
        <f>INDEX(C_alpha_beta[],MATCH(ECF[[#This Row],[Solo]],C_alpha_beta[Solo],0),MATCH(ECF[[#Headers],[α ESF]],C_alpha_beta[#Headers],0))</f>
        <v>0.5</v>
      </c>
      <c r="S5" s="4">
        <f>INDEX(C_alpha_beta[],MATCH(ECF[[#This Row],[Solo]],C_alpha_beta[Solo],0),MATCH(ECF[[#Headers],[β ESF]],C_alpha_beta[#Headers],0))</f>
        <v>0.5</v>
      </c>
      <c r="T5" s="4">
        <f>IF(ECF[[#This Row],[Prof. (m)]]=0,0,10*(ECF[[#This Row],[NSPT]]/3+1))</f>
        <v>0</v>
      </c>
      <c r="U5" s="4">
        <f>(ECF[[#This Row],[α ESF]]*ECF[[#This Row],[C (kPa)]]*ECF[[#This Row],[NSPT]]*ECF[[#This Row],[Ap (m²)]])/'DADOS CAP. CARGA'!$Q$2+(ECF[[#This Row],[β ESF]]*SUMIFS(ECF[10∙(NL/3+1)],ECF[Prof. (m)],"&lt;="&amp;ECF[[#This Row],[Prof. (m)]],ECF[idDiâmetro],ECF[[#This Row],[idDiâmetro]],ECF[idPilar],ECF[[#This Row],[idPilar]])*ECF[[#This Row],[U (m)]])/'DADOS CAP. CARGA'!$S$2</f>
        <v>0</v>
      </c>
      <c r="V5" s="4">
        <f>IF(SPT!$M$5=1,MIN(ECF[[#This Row],[Pe ECF (kN)]],ECF[[#This Row],[R_AV (kN)]]),IF(SPT!$M$5=2,MIN(ECF[[#This Row],[Pe ECF (kN)]],ECF[[#This Row],[R_DC (kN)]]),MIN(ECF[[#This Row],[Pe ECF (kN)]],ECF[[#This Row],[R_AV (kN)]],ECF[[#This Row],[R_DC (kN)]])))</f>
        <v>0</v>
      </c>
      <c r="W5" s="4">
        <f>INDEX(PILARES[],ECF[[#This Row],[idPilar]],MATCH("Carga (kN)",PILARES[#Headers],0))*1.4</f>
        <v>3500</v>
      </c>
      <c r="X5" s="12">
        <f>INDEX(PILARES[],ECF[[#This Row],[idPilar]],MATCH(ECF[[#Headers],[ap (cm)]],PILARES[#Headers],0))</f>
        <v>60</v>
      </c>
      <c r="Y5" s="12">
        <f>INDEX(PILARES[],ECF[[#This Row],[idPilar]],MATCH(ECF[[#Headers],[bp (cm)]],PILARES[#Headers],0))</f>
        <v>60</v>
      </c>
      <c r="Z5" s="4">
        <f>SQRT(ECF[[#This Row],[ap (cm)]]*ECF[[#This Row],[bp (cm)]])</f>
        <v>60</v>
      </c>
      <c r="AA5" s="12">
        <f>ECF[[#This Row],[ap (cm)]]*ECF[[#This Row],[bp (cm)]]</f>
        <v>3600</v>
      </c>
      <c r="AB5" s="12" t="e">
        <f ca="1">IF(ECF[[#This Row],[Padm∙ε (kN)]]&gt;=ECF[[#This Row],[Padm (kN)]],ROUNDUP(1.05*ECF[[#This Row],[Nsd (kN)]]/ECF[[#This Row],[Padm (kN)]],0),ROUNDUP(1.05*ECF[[#This Row],[Nsd (kN)]]/ECF[[#This Row],[Padm (kN)]],0)+1)</f>
        <v>#DIV/0!</v>
      </c>
      <c r="AC5" s="4" t="str">
        <f ca="1">IFERROR(IF(ECF[[#This Row],[nE]]=1,ECF[[#This Row],[Padm (kN)]],ECF[[#This Row],[Padm (kN)]]*ECF[[#This Row],[nE]]*INDEX(grupoEstacas[],ECF[[#This Row],[nE]],MATCH("ε",grupoEstacas[#Headers],0))),"N.S.")</f>
        <v>N.S.</v>
      </c>
      <c r="AD5" s="4" t="e">
        <f ca="1">1.05*ECF[[#This Row],[Nsd (kN)]]/(ECF[[#This Row],[nE]]*PI()*ECF[[#This Row],[Ø (cm)]]^2/4)*10</f>
        <v>#DIV/0!</v>
      </c>
      <c r="AE5" s="4" t="e">
        <f ca="1">IF(ECF[[#This Row],[σ (MPa)]]&lt;INDEX(tipoEstaca[],MATCH($D$2,tipoEstaca[TIPO DE ESTACA],0),MATCH("σmáx (MPa)",tipoEstaca[#Headers],0)),0.4%*PI()*ECF[[#This Row],[Ø (cm)]]^2/4,"N.S.")</f>
        <v>#DIV/0!</v>
      </c>
      <c r="AF5" s="1">
        <f>INDEX(tipoEstaca[],MATCH($D$2,tipoEstaca[TIPO DE ESTACA],0),MATCH(ECF[[#Headers],[Comprimento (m)]],tipoEstaca[#Headers],0))</f>
        <v>4</v>
      </c>
      <c r="AG5" s="5" t="e">
        <f ca="1">ECF[[#This Row],[As,mín (cm²)]]/100^2*ECF[[#This Row],[Comprimento (m)]]*7850</f>
        <v>#DIV/0!</v>
      </c>
      <c r="AH5" s="4" t="e">
        <f ca="1">ECF[[#This Row],[nE]]*ECF[[#This Row],[Prof. (m)]]*ECF[[#This Row],[Ap (m²)]]</f>
        <v>#DIV/0!</v>
      </c>
      <c r="AI5" s="1" t="e">
        <f ca="1">IF(ECF[[#This Row],[nE]]=1,0,MAX(3*ECF[[#This Row],[Ø (cm)]],60))</f>
        <v>#DIV/0!</v>
      </c>
      <c r="AJ5" s="1" t="e">
        <f ca="1">IF(ECF[[#This Row],[nE]]=1,ECF[[#This Row],[Ø (cm)]]+2*10,MAX(1.5*ECF[[#This Row],[Ø (cm)]],ECF[[#This Row],[Ø (cm)]]+15))</f>
        <v>#DIV/0!</v>
      </c>
      <c r="AK5" s="1" t="e">
        <f ca="1">alturaUtil(ECF[[#This Row],[nE]],ECF[[#This Row],[Ø (cm)]],ECF[[#This Row],[e (cm)]],ECF[[#This Row],[ap,eq (cm)]])</f>
        <v>#VALUE!</v>
      </c>
      <c r="AL5" s="1" t="str">
        <f ca="1">IFERROR(ECF[[#This Row],[d (cm)]]+arredondarParaCimaMultiplo5cm(MAX(5,SQRT(PI())/2*ECF[[#This Row],[Ø (cm)]]/5)),"N.S.")</f>
        <v>N.S.</v>
      </c>
      <c r="AM5" s="5" t="e">
        <f ca="1">alpha(ECF[[#This Row],[nE]],ECF[[#This Row],[d (cm)]],ECF[[#This Row],[e (cm)]],ECF[[#This Row],[ap,eq (cm)]])</f>
        <v>#VALUE!</v>
      </c>
      <c r="AN5" s="35" t="str">
        <f ca="1">IFERROR(ECF[[#This Row],[Nsd (kN)]]/(ECF[[#This Row],[Ap (cm²)]]*SIN(ECF[[#This Row],[α]])^2),"N.S.")</f>
        <v>N.S.</v>
      </c>
      <c r="AO5" s="35" t="str">
        <f ca="1">IFERROR(ECF[[#This Row],[Nsd (kN)]]/(ECF[[#This Row],[nE]]*PI()*ECF[[#This Row],[Ø (cm)]]^2/4*SIN(ECF[[#This Row],[α]])^2),"N.S.")</f>
        <v>N.S.</v>
      </c>
      <c r="AP5" s="4" t="str">
        <f ca="1">IFERROR(INDEX(grupoEstacas[],ECF[[#This Row],[nE]],MATCH("coef. Blévot",grupoEstacas[#Headers],0)),"N.S.")</f>
        <v>N.S.</v>
      </c>
      <c r="AQ5" s="35" t="str">
        <f ca="1">IFERROR(ECF[[#This Row],[coef. Blévot]]*0.9*INDEX(tipoEstaca[],MATCH($D$2,tipoEstaca[TIPO DE ESTACA],0),MATCH("fcd (kN/cm²)",tipoEstaca[#Headers],0)),"N.S.")</f>
        <v>N.S.</v>
      </c>
      <c r="AR5" s="1" t="str">
        <f ca="1">IF(AND(ECF[[#This Row],[cd,b,pil (kN/cm²)]]&lt;=ECF[[#This Row],[cd,b,lim (kN/cm²)]],ECF[[#This Row],[cd,b,est (kN/cm²)]]&lt;=ECF[[#This Row],[cd,b,lim (kN/cm²)]]),"OK","ERRO")</f>
        <v>OK</v>
      </c>
      <c r="AS5" s="4" t="e">
        <f ca="1">As_lado(ECF[[#This Row],[nE]],ECF[[#This Row],[Nsd (kN)]],ECF[[#This Row],[d (cm)]],ECF[[#This Row],[e (cm)]],ECF[[#This Row],[ap,eq (cm)]])</f>
        <v>#VALUE!</v>
      </c>
      <c r="AT5" s="4" t="e">
        <f ca="1">IF(ECF[[#This Row],[nE]]=1,ECF[[#This Row],[As,lado (cm²)]],IF(ECF[[#This Row],[nE]]=2,0.075*2*ECF[a (cm)],"N.A."))</f>
        <v>#DIV/0!</v>
      </c>
      <c r="AU5" s="4" t="str">
        <f ca="1">IFERROR(IF(ECF[[#This Row],[nE]]=1,"N.A.",0.2*ECF[[#This Row],[As,lado (cm²)]]),"N.S.")</f>
        <v>N.S.</v>
      </c>
      <c r="AV5" s="4" t="e">
        <f ca="1">As_malha(ECF[[#This Row],[nE]],ECF[[#This Row],[As,lado (cm²)]],ECF[[#This Row],[Nsd (kN)]])</f>
        <v>#VALUE!</v>
      </c>
      <c r="AW5" s="4" t="e">
        <f ca="1">As_susp_tot(ECF[[#This Row],[nE]],ECF[[#This Row],[Nsd (kN)]])</f>
        <v>#VALUE!</v>
      </c>
      <c r="AX5" s="4" t="e">
        <f ca="1">Asp_face(ECF[[#This Row],[nE]],ECF[[#This Row],[As,lado (cm²)]])</f>
        <v>#VALUE!</v>
      </c>
      <c r="AY5" s="5" t="e">
        <f ca="1">acoBloco(ECF[[#This Row],[nE]],ECF[[#This Row],[e (cm)]],ECF[[#This Row],[a (cm)]],ECF[[#This Row],[h (cm)]],ECF[[#This Row],[As,lado (cm²)]],ECF[[#This Row],[Asp e Asw (cm²/m)]],ECF[[#This Row],[As,sup (cm²)]],ECF[[#This Row],[As,malha (cm²)]],ECF[[#This Row],[As,susp,tot (cm²)]],ECF[[#This Row],[Asp,face (cm²)]])</f>
        <v>#VALUE!</v>
      </c>
      <c r="AZ5" s="4" t="e">
        <f ca="1">concretoBloco(ECF[[#This Row],[nE]],ECF[[#This Row],[e (cm)]],ECF[[#This Row],[a (cm)]],ECF[[#This Row],[h (cm)]])</f>
        <v>#VALUE!</v>
      </c>
      <c r="BA5" s="5" t="e">
        <f ca="1">SUM(ECF[[#This Row],[Aço Est (kg)]],ECF[[#This Row],[Aço Bloco (kg)]])</f>
        <v>#DIV/0!</v>
      </c>
      <c r="BB5" s="4">
        <f>INDEX(composicoes[],MATCH(95580,composicoes[CÓDIGO],0),MATCH("CUSTO TOTAL",composicoes[#Headers],0))</f>
        <v>10.46</v>
      </c>
      <c r="BC5" s="4" t="e">
        <f ca="1">SUM(ECF[[#This Row],[Conc Est (m³)]],ECF[[#This Row],[Conc Bloco (m³)]])</f>
        <v>#DIV/0!</v>
      </c>
      <c r="BD5" s="4">
        <f>INDEX(composicoes[],MATCH(94966,composicoes[CÓDIGO],0),MATCH("CUSTO TOTAL",composicoes[#Headers],0))</f>
        <v>439.52</v>
      </c>
      <c r="BE5" s="38" t="e">
        <f ca="1">ECF[[#This Row],[Aço (kg)]]*ECF[[#This Row],[Aço (R$/kg)]]+ECF[[#This Row],[Conc (m³)]]*ECF[[#This Row],[Conc (R$/m³)]]</f>
        <v>#DIV/0!</v>
      </c>
      <c r="BF5" s="4" t="str">
        <f ca="1">IF(COUNTIF(ECF[#This Row],"N.S.")&gt;0,"lim.","OK")</f>
        <v>lim.</v>
      </c>
      <c r="BG5" s="4" t="str">
        <f>IF(ECF[[#This Row],[Prof. (m)]]&lt;4,"lim.","OK")</f>
        <v>lim.</v>
      </c>
      <c r="BH5" s="4" t="str">
        <f>IF(ECF[[#This Row],[Prof. (m)]]&gt;=8*ECF[[#This Row],[Ø (cm)]]/100,"OK","lim.")</f>
        <v>lim.</v>
      </c>
      <c r="BI5" s="4" t="str">
        <f>IF(AND(SPT!$F$3&lt;&gt;"",ECF[[#This Row],[Prof. (m)]]&gt;=SPT!$F$3-2),"lim.","OK")</f>
        <v>OK</v>
      </c>
      <c r="BJ5" s="4" t="str">
        <f ca="1">IF(ECF[[#This Row],[Verif. Biela]]="OK","OK","lim.")</f>
        <v>OK</v>
      </c>
      <c r="BK5" s="4" t="str">
        <f ca="1">IF(COUNTA(ECF[[#This Row],[Nº Est.]:[Biela comp.]])=COUNTIF(ECF[[#This Row],[Nº Est.]:[Biela comp.]],"OK"),"OK","lim.")</f>
        <v>lim.</v>
      </c>
      <c r="BL5" s="4" t="str">
        <f ca="1">IF(ECF[[#This Row],[Controle]]="OK",ECF[[#This Row],[nE]]&amp;" Ø"&amp;ECF[[#This Row],[Ø (cm)]]&amp;"cm Prof. "&amp;ECF[[#This Row],[Prof. (m)]]&amp;" m","")</f>
        <v/>
      </c>
      <c r="BM5" s="4" t="str">
        <f ca="1">IF(ECF[[#This Row],[idDimensionamento]]="","",ECF[[#This Row],[idPilar]]&amp;ECF[[#This Row],[idDimensionamento]])</f>
        <v/>
      </c>
    </row>
    <row r="6" spans="2:65" x14ac:dyDescent="0.25">
      <c r="B6" s="12">
        <f>ROUNDUP((ROW(ECF[[#This Row],[idDiâmetro]])-ROW(ECF[[#Headers],[idDiâmetro]]))/(COUNT(SPT[Prof. (m)])*COUNT(PILARES[Pilar])),0)</f>
        <v>1</v>
      </c>
      <c r="C6" s="12">
        <f>IF(ECF[[#This Row],[idDiâmetro]]&lt;&gt;B5,1,IF(ECF[[#This Row],[Prof. (m)]]=0,C5+1,C5))</f>
        <v>1</v>
      </c>
      <c r="D6" s="1">
        <f>IFERROR(IF(D5=MAX(SPT[Prof. (m)]),0,D5+1),0)</f>
        <v>1</v>
      </c>
      <c r="E6" s="1">
        <f>INDEX(SPT[],MATCH(ECF[[#This Row],[Prof. (m)]],SPT[Prof. (m)],0),2)</f>
        <v>2</v>
      </c>
      <c r="F6" s="1" t="str">
        <f>INDEX(SPT[],MATCH(ECF[[#This Row],[Prof. (m)]],SPT[Prof. (m)],0),3)</f>
        <v>Areia siltosa</v>
      </c>
      <c r="G6" s="1">
        <f>INDEX(estacas[],ECF[[#This Row],[idDiâmetro]],MATCH($B$2,estacas[#Headers],0))</f>
        <v>60</v>
      </c>
      <c r="H6" s="1">
        <f>INDEX(estacas[],MATCH(ECF[[#This Row],[Ø (cm)]],estacas[Ø ECF (cm)],0),MATCH(ECF[[#Headers],[Pe ECF (kN)]],estacas[#Headers],0))</f>
        <v>1100</v>
      </c>
      <c r="I6" s="4">
        <f>INDEX(K_alpha_C[],MATCH(ECF[[#This Row],[Solo]],K_alpha_C[Solo],0),2)</f>
        <v>0.8</v>
      </c>
      <c r="J6" s="5">
        <f>INDEX(K_alpha_C[],MATCH(ECF[[#This Row],[Solo]],K_alpha_C[Solo],0),3)</f>
        <v>2</v>
      </c>
      <c r="K6" s="4">
        <f>INDEX(F1_F2[],MATCH($D$2,F1_F2[Tipo de estaca],0),2)</f>
        <v>3</v>
      </c>
      <c r="L6" s="4">
        <f>INDEX(F1_F2[],MATCH($D$2,F1_F2[Tipo de estaca],0),3)</f>
        <v>6</v>
      </c>
      <c r="M6" s="4">
        <f>PI()*(ECF[[#This Row],[Ø (cm)]]/100)^2/4</f>
        <v>0.28274333882308139</v>
      </c>
      <c r="N6" s="4">
        <f>PI()*ECF[[#This Row],[Ø (cm)]]/100</f>
        <v>1.8849555921538756</v>
      </c>
      <c r="O6" s="4">
        <f>IF(ECF[[#This Row],[Prof. (m)]]=0,0,ECF[[#This Row],[α (%)]]/100*ECF[[#This Row],[K (MPa)]]*1000*ECF[[#This Row],[NSPT]])</f>
        <v>32</v>
      </c>
      <c r="P6" s="4">
        <f>IF(ECF[[#This Row],[Prof. (m)]]=0,0,(ECF[[#This Row],[K (MPa)]]*1000*ECF[[#This Row],[NSPT]]/ECF[[#This Row],[F1]]*ECF[[#This Row],[Ap (m²)]]+ECF[[#This Row],[U (m)]]/ECF[[#This Row],[F2]]*SUMIFS(ECF[(α∙K∙NL∙ΔL)],ECF[Prof. (m)],"&lt;="&amp;ECF[[#This Row],[Prof. (m)]],ECF[idDiâmetro],ECF[[#This Row],[idDiâmetro]],ECF[idPilar],ECF[[#This Row],[idPilar]]))/'DADOS CAP. CARGA'!$D$2)</f>
        <v>80.424771931898718</v>
      </c>
      <c r="Q6" s="12">
        <f>INDEX(C_alpha_beta[],MATCH(ECF[[#This Row],[Solo]],C_alpha_beta[Solo],0),MATCH(ECF[[#Headers],[C (kPa)]],C_alpha_beta[#Headers],0))</f>
        <v>400</v>
      </c>
      <c r="R6" s="4">
        <f>INDEX(C_alpha_beta[],MATCH(ECF[[#This Row],[Solo]],C_alpha_beta[Solo],0),MATCH(ECF[[#Headers],[α ESF]],C_alpha_beta[#Headers],0))</f>
        <v>0.5</v>
      </c>
      <c r="S6" s="4">
        <f>INDEX(C_alpha_beta[],MATCH(ECF[[#This Row],[Solo]],C_alpha_beta[Solo],0),MATCH(ECF[[#Headers],[β ESF]],C_alpha_beta[#Headers],0))</f>
        <v>0.5</v>
      </c>
      <c r="T6" s="4">
        <f>IF(ECF[[#This Row],[Prof. (m)]]=0,0,10*(ECF[[#This Row],[NSPT]]/3+1))</f>
        <v>16.666666666666664</v>
      </c>
      <c r="U6" s="4">
        <f>(ECF[[#This Row],[α ESF]]*ECF[[#This Row],[C (kPa)]]*ECF[[#This Row],[NSPT]]*ECF[[#This Row],[Ap (m²)]])/'DADOS CAP. CARGA'!$Q$2+(ECF[[#This Row],[β ESF]]*SUMIFS(ECF[10∙(NL/3+1)],ECF[Prof. (m)],"&lt;="&amp;ECF[[#This Row],[Prof. (m)]],ECF[idDiâmetro],ECF[[#This Row],[idDiâmetro]],ECF[idPilar],ECF[[#This Row],[idPilar]])*ECF[[#This Row],[U (m)]])/'DADOS CAP. CARGA'!$S$2</f>
        <v>36.128315516282619</v>
      </c>
      <c r="V6" s="4">
        <f>IF(SPT!$M$5=1,MIN(ECF[[#This Row],[Pe ECF (kN)]],ECF[[#This Row],[R_AV (kN)]]),IF(SPT!$M$5=2,MIN(ECF[[#This Row],[Pe ECF (kN)]],ECF[[#This Row],[R_DC (kN)]]),MIN(ECF[[#This Row],[Pe ECF (kN)]],ECF[[#This Row],[R_AV (kN)]],ECF[[#This Row],[R_DC (kN)]])))</f>
        <v>36.128315516282619</v>
      </c>
      <c r="W6" s="4">
        <f>INDEX(PILARES[],ECF[[#This Row],[idPilar]],MATCH("Carga (kN)",PILARES[#Headers],0))*1.4</f>
        <v>3500</v>
      </c>
      <c r="X6" s="12">
        <f>INDEX(PILARES[],ECF[[#This Row],[idPilar]],MATCH(ECF[[#Headers],[ap (cm)]],PILARES[#Headers],0))</f>
        <v>60</v>
      </c>
      <c r="Y6" s="12">
        <f>INDEX(PILARES[],ECF[[#This Row],[idPilar]],MATCH(ECF[[#Headers],[bp (cm)]],PILARES[#Headers],0))</f>
        <v>60</v>
      </c>
      <c r="Z6" s="4">
        <f>SQRT(ECF[[#This Row],[ap (cm)]]*ECF[[#This Row],[bp (cm)]])</f>
        <v>60</v>
      </c>
      <c r="AA6" s="12">
        <f>ECF[[#This Row],[ap (cm)]]*ECF[[#This Row],[bp (cm)]]</f>
        <v>3600</v>
      </c>
      <c r="AB6" s="12">
        <f ca="1">IF(ECF[[#This Row],[Padm∙ε (kN)]]&gt;=ECF[[#This Row],[Padm (kN)]],ROUNDUP(1.05*ECF[[#This Row],[Nsd (kN)]]/ECF[[#This Row],[Padm (kN)]],0),ROUNDUP(1.05*ECF[[#This Row],[Nsd (kN)]]/ECF[[#This Row],[Padm (kN)]],0)+1)</f>
        <v>102</v>
      </c>
      <c r="AC6" s="4" t="str">
        <f ca="1">IFERROR(IF(ECF[[#This Row],[nE]]=1,ECF[[#This Row],[Padm (kN)]],ECF[[#This Row],[Padm (kN)]]*ECF[[#This Row],[nE]]*INDEX(grupoEstacas[],ECF[[#This Row],[nE]],MATCH("ε",grupoEstacas[#Headers],0))),"N.S.")</f>
        <v>N.S.</v>
      </c>
      <c r="AD6" s="4">
        <f ca="1">1.05*ECF[[#This Row],[Nsd (kN)]]/(ECF[[#This Row],[nE]]*PI()*ECF[[#This Row],[Ø (cm)]]^2/4)*10</f>
        <v>0.12742797731213842</v>
      </c>
      <c r="AE6" s="4">
        <f ca="1">IF(ECF[[#This Row],[σ (MPa)]]&lt;INDEX(tipoEstaca[],MATCH($D$2,tipoEstaca[TIPO DE ESTACA],0),MATCH("σmáx (MPa)",tipoEstaca[#Headers],0)),0.4%*PI()*ECF[[#This Row],[Ø (cm)]]^2/4,"N.S.")</f>
        <v>11.309733552923255</v>
      </c>
      <c r="AF6" s="1">
        <f>INDEX(tipoEstaca[],MATCH($D$2,tipoEstaca[TIPO DE ESTACA],0),MATCH(ECF[[#Headers],[Comprimento (m)]],tipoEstaca[#Headers],0))</f>
        <v>4</v>
      </c>
      <c r="AG6" s="5">
        <f ca="1">ECF[[#This Row],[As,mín (cm²)]]/100^2*ECF[[#This Row],[Comprimento (m)]]*7850</f>
        <v>35.512563356179022</v>
      </c>
      <c r="AH6" s="4">
        <f ca="1">ECF[[#This Row],[nE]]*ECF[[#This Row],[Prof. (m)]]*ECF[[#This Row],[Ap (m²)]]</f>
        <v>28.839820559954301</v>
      </c>
      <c r="AI6" s="1">
        <f ca="1">IF(ECF[[#This Row],[nE]]=1,0,MAX(3*ECF[[#This Row],[Ø (cm)]],60))</f>
        <v>180</v>
      </c>
      <c r="AJ6" s="1">
        <f ca="1">IF(ECF[[#This Row],[nE]]=1,ECF[[#This Row],[Ø (cm)]]+2*10,MAX(1.5*ECF[[#This Row],[Ø (cm)]],ECF[[#This Row],[Ø (cm)]]+15))</f>
        <v>90</v>
      </c>
      <c r="AK6" s="1" t="str">
        <f ca="1">alturaUtil(ECF[[#This Row],[nE]],ECF[[#This Row],[Ø (cm)]],ECF[[#This Row],[e (cm)]],ECF[[#This Row],[ap,eq (cm)]])</f>
        <v>N.S.</v>
      </c>
      <c r="AL6" s="1" t="str">
        <f ca="1">IFERROR(ECF[[#This Row],[d (cm)]]+arredondarParaCimaMultiplo5cm(MAX(5,SQRT(PI())/2*ECF[[#This Row],[Ø (cm)]]/5)),"N.S.")</f>
        <v>N.S.</v>
      </c>
      <c r="AM6" s="5" t="str">
        <f ca="1">alpha(ECF[[#This Row],[nE]],ECF[[#This Row],[d (cm)]],ECF[[#This Row],[e (cm)]],ECF[[#This Row],[ap,eq (cm)]])</f>
        <v>N.S.</v>
      </c>
      <c r="AN6" s="35" t="str">
        <f ca="1">IFERROR(ECF[[#This Row],[Nsd (kN)]]/(ECF[[#This Row],[Ap (cm²)]]*SIN(ECF[[#This Row],[α]])^2),"N.S.")</f>
        <v>N.S.</v>
      </c>
      <c r="AO6" s="35" t="str">
        <f ca="1">IFERROR(ECF[[#This Row],[Nsd (kN)]]/(ECF[[#This Row],[nE]]*PI()*ECF[[#This Row],[Ø (cm)]]^2/4*SIN(ECF[[#This Row],[α]])^2),"N.S.")</f>
        <v>N.S.</v>
      </c>
      <c r="AP6" s="4" t="str">
        <f ca="1">IFERROR(INDEX(grupoEstacas[],ECF[[#This Row],[nE]],MATCH("coef. Blévot",grupoEstacas[#Headers],0)),"N.S.")</f>
        <v>N.S.</v>
      </c>
      <c r="AQ6" s="35" t="str">
        <f ca="1">IFERROR(ECF[[#This Row],[coef. Blévot]]*0.9*INDEX(tipoEstaca[],MATCH($D$2,tipoEstaca[TIPO DE ESTACA],0),MATCH("fcd (kN/cm²)",tipoEstaca[#Headers],0)),"N.S.")</f>
        <v>N.S.</v>
      </c>
      <c r="AR6" s="1" t="str">
        <f ca="1">IF(AND(ECF[[#This Row],[cd,b,pil (kN/cm²)]]&lt;=ECF[[#This Row],[cd,b,lim (kN/cm²)]],ECF[[#This Row],[cd,b,est (kN/cm²)]]&lt;=ECF[[#This Row],[cd,b,lim (kN/cm²)]]),"OK","ERRO")</f>
        <v>OK</v>
      </c>
      <c r="AS6" s="4" t="str">
        <f ca="1">As_lado(ECF[[#This Row],[nE]],ECF[[#This Row],[Nsd (kN)]],ECF[[#This Row],[d (cm)]],ECF[[#This Row],[e (cm)]],ECF[[#This Row],[ap,eq (cm)]])</f>
        <v>N.S.</v>
      </c>
      <c r="AT6" s="4" t="str">
        <f ca="1">IF(ECF[[#This Row],[nE]]=1,ECF[[#This Row],[As,lado (cm²)]],IF(ECF[[#This Row],[nE]]=2,0.075*2*ECF[a (cm)],"N.A."))</f>
        <v>N.A.</v>
      </c>
      <c r="AU6" s="4" t="str">
        <f ca="1">IFERROR(IF(ECF[[#This Row],[nE]]=1,"N.A.",0.2*ECF[[#This Row],[As,lado (cm²)]]),"N.S.")</f>
        <v>N.S.</v>
      </c>
      <c r="AV6" s="4" t="str">
        <f ca="1">As_malha(ECF[[#This Row],[nE]],ECF[[#This Row],[As,lado (cm²)]],ECF[[#This Row],[Nsd (kN)]])</f>
        <v>N.S.</v>
      </c>
      <c r="AW6" s="4" t="str">
        <f ca="1">As_susp_tot(ECF[[#This Row],[nE]],ECF[[#This Row],[Nsd (kN)]])</f>
        <v>N.S.</v>
      </c>
      <c r="AX6" s="4" t="str">
        <f ca="1">Asp_face(ECF[[#This Row],[nE]],ECF[[#This Row],[As,lado (cm²)]])</f>
        <v>N.S.</v>
      </c>
      <c r="AY6" s="5" t="str">
        <f ca="1">acoBloco(ECF[[#This Row],[nE]],ECF[[#This Row],[e (cm)]],ECF[[#This Row],[a (cm)]],ECF[[#This Row],[h (cm)]],ECF[[#This Row],[As,lado (cm²)]],ECF[[#This Row],[Asp e Asw (cm²/m)]],ECF[[#This Row],[As,sup (cm²)]],ECF[[#This Row],[As,malha (cm²)]],ECF[[#This Row],[As,susp,tot (cm²)]],ECF[[#This Row],[Asp,face (cm²)]])</f>
        <v>N.S.</v>
      </c>
      <c r="AZ6" s="4" t="str">
        <f ca="1">concretoBloco(ECF[[#This Row],[nE]],ECF[[#This Row],[e (cm)]],ECF[[#This Row],[a (cm)]],ECF[[#This Row],[h (cm)]])</f>
        <v>N.S.</v>
      </c>
      <c r="BA6" s="5">
        <f ca="1">SUM(ECF[[#This Row],[Aço Est (kg)]],ECF[[#This Row],[Aço Bloco (kg)]])</f>
        <v>35.512563356179022</v>
      </c>
      <c r="BB6" s="4">
        <f>INDEX(composicoes[],MATCH(95580,composicoes[CÓDIGO],0),MATCH("CUSTO TOTAL",composicoes[#Headers],0))</f>
        <v>10.46</v>
      </c>
      <c r="BC6" s="4">
        <f ca="1">SUM(ECF[[#This Row],[Conc Est (m³)]],ECF[[#This Row],[Conc Bloco (m³)]])</f>
        <v>28.839820559954301</v>
      </c>
      <c r="BD6" s="4">
        <f>INDEX(composicoes[],MATCH(94966,composicoes[CÓDIGO],0),MATCH("CUSTO TOTAL",composicoes[#Headers],0))</f>
        <v>439.52</v>
      </c>
      <c r="BE6" s="38">
        <f ca="1">ECF[[#This Row],[Aço (kg)]]*ECF[[#This Row],[Aço (R$/kg)]]+ECF[[#This Row],[Conc (m³)]]*ECF[[#This Row],[Conc (R$/m³)]]</f>
        <v>13047.139345216747</v>
      </c>
      <c r="BF6" s="4" t="str">
        <f ca="1">IF(COUNTIF(ECF[#This Row],"N.S.")&gt;0,"lim.","OK")</f>
        <v>lim.</v>
      </c>
      <c r="BG6" s="4" t="str">
        <f>IF(ECF[[#This Row],[Prof. (m)]]&lt;4,"lim.","OK")</f>
        <v>lim.</v>
      </c>
      <c r="BH6" s="4" t="str">
        <f>IF(ECF[[#This Row],[Prof. (m)]]&gt;=8*ECF[[#This Row],[Ø (cm)]]/100,"OK","lim.")</f>
        <v>lim.</v>
      </c>
      <c r="BI6" s="4" t="str">
        <f>IF(AND(SPT!$F$3&lt;&gt;"",ECF[[#This Row],[Prof. (m)]]&gt;=SPT!$F$3-2),"lim.","OK")</f>
        <v>OK</v>
      </c>
      <c r="BJ6" s="4" t="str">
        <f ca="1">IF(ECF[[#This Row],[Verif. Biela]]="OK","OK","lim.")</f>
        <v>OK</v>
      </c>
      <c r="BK6" s="4" t="str">
        <f ca="1">IF(COUNTA(ECF[[#This Row],[Nº Est.]:[Biela comp.]])=COUNTIF(ECF[[#This Row],[Nº Est.]:[Biela comp.]],"OK"),"OK","lim.")</f>
        <v>lim.</v>
      </c>
      <c r="BL6" s="4" t="str">
        <f ca="1">IF(ECF[[#This Row],[Controle]]="OK",ECF[[#This Row],[nE]]&amp;" Ø"&amp;ECF[[#This Row],[Ø (cm)]]&amp;"cm Prof. "&amp;ECF[[#This Row],[Prof. (m)]]&amp;" m","")</f>
        <v/>
      </c>
      <c r="BM6" s="4" t="str">
        <f ca="1">IF(ECF[[#This Row],[idDimensionamento]]="","",ECF[[#This Row],[idPilar]]&amp;ECF[[#This Row],[idDimensionamento]])</f>
        <v/>
      </c>
    </row>
    <row r="7" spans="2:65" x14ac:dyDescent="0.25">
      <c r="B7" s="12">
        <f>ROUNDUP((ROW(ECF[[#This Row],[idDiâmetro]])-ROW(ECF[[#Headers],[idDiâmetro]]))/(COUNT(SPT[Prof. (m)])*COUNT(PILARES[Pilar])),0)</f>
        <v>1</v>
      </c>
      <c r="C7" s="12">
        <f>IF(ECF[[#This Row],[idDiâmetro]]&lt;&gt;B6,1,IF(ECF[[#This Row],[Prof. (m)]]=0,C6+1,C6))</f>
        <v>1</v>
      </c>
      <c r="D7" s="1">
        <f>IFERROR(IF(D6=MAX(SPT[Prof. (m)]),0,D6+1),0)</f>
        <v>2</v>
      </c>
      <c r="E7" s="1">
        <f>INDEX(SPT[],MATCH(ECF[[#This Row],[Prof. (m)]],SPT[Prof. (m)],0),2)</f>
        <v>2</v>
      </c>
      <c r="F7" s="1" t="str">
        <f>INDEX(SPT[],MATCH(ECF[[#This Row],[Prof. (m)]],SPT[Prof. (m)],0),3)</f>
        <v>Areia siltosa</v>
      </c>
      <c r="G7" s="1">
        <f>INDEX(estacas[],ECF[[#This Row],[idDiâmetro]],MATCH($B$2,estacas[#Headers],0))</f>
        <v>60</v>
      </c>
      <c r="H7" s="1">
        <f>INDEX(estacas[],MATCH(ECF[[#This Row],[Ø (cm)]],estacas[Ø ECF (cm)],0),MATCH(ECF[[#Headers],[Pe ECF (kN)]],estacas[#Headers],0))</f>
        <v>1100</v>
      </c>
      <c r="I7" s="4">
        <f>INDEX(K_alpha_C[],MATCH(ECF[[#This Row],[Solo]],K_alpha_C[Solo],0),2)</f>
        <v>0.8</v>
      </c>
      <c r="J7" s="5">
        <f>INDEX(K_alpha_C[],MATCH(ECF[[#This Row],[Solo]],K_alpha_C[Solo],0),3)</f>
        <v>2</v>
      </c>
      <c r="K7" s="4">
        <f>INDEX(F1_F2[],MATCH($D$2,F1_F2[Tipo de estaca],0),2)</f>
        <v>3</v>
      </c>
      <c r="L7" s="4">
        <f>INDEX(F1_F2[],MATCH($D$2,F1_F2[Tipo de estaca],0),3)</f>
        <v>6</v>
      </c>
      <c r="M7" s="4">
        <f>PI()*(ECF[[#This Row],[Ø (cm)]]/100)^2/4</f>
        <v>0.28274333882308139</v>
      </c>
      <c r="N7" s="4">
        <f>PI()*ECF[[#This Row],[Ø (cm)]]/100</f>
        <v>1.8849555921538756</v>
      </c>
      <c r="O7" s="4">
        <f>IF(ECF[[#This Row],[Prof. (m)]]=0,0,ECF[[#This Row],[α (%)]]/100*ECF[[#This Row],[K (MPa)]]*1000*ECF[[#This Row],[NSPT]])</f>
        <v>32</v>
      </c>
      <c r="P7" s="4">
        <f>IF(ECF[[#This Row],[Prof. (m)]]=0,0,(ECF[[#This Row],[K (MPa)]]*1000*ECF[[#This Row],[NSPT]]/ECF[[#This Row],[F1]]*ECF[[#This Row],[Ap (m²)]]+ECF[[#This Row],[U (m)]]/ECF[[#This Row],[F2]]*SUMIFS(ECF[(α∙K∙NL∙ΔL)],ECF[Prof. (m)],"&lt;="&amp;ECF[[#This Row],[Prof. (m)]],ECF[idDiâmetro],ECF[[#This Row],[idDiâmetro]],ECF[idPilar],ECF[[#This Row],[idPilar]]))/'DADOS CAP. CARGA'!$D$2)</f>
        <v>85.451320177642387</v>
      </c>
      <c r="Q7" s="12">
        <f>INDEX(C_alpha_beta[],MATCH(ECF[[#This Row],[Solo]],C_alpha_beta[Solo],0),MATCH(ECF[[#Headers],[C (kPa)]],C_alpha_beta[#Headers],0))</f>
        <v>400</v>
      </c>
      <c r="R7" s="4">
        <f>INDEX(C_alpha_beta[],MATCH(ECF[[#This Row],[Solo]],C_alpha_beta[Solo],0),MATCH(ECF[[#Headers],[α ESF]],C_alpha_beta[#Headers],0))</f>
        <v>0.5</v>
      </c>
      <c r="S7" s="4">
        <f>INDEX(C_alpha_beta[],MATCH(ECF[[#This Row],[Solo]],C_alpha_beta[Solo],0),MATCH(ECF[[#Headers],[β ESF]],C_alpha_beta[#Headers],0))</f>
        <v>0.5</v>
      </c>
      <c r="T7" s="4">
        <f>IF(ECF[[#This Row],[Prof. (m)]]=0,0,10*(ECF[[#This Row],[NSPT]]/3+1))</f>
        <v>16.666666666666664</v>
      </c>
      <c r="U7" s="4">
        <f>(ECF[[#This Row],[α ESF]]*ECF[[#This Row],[C (kPa)]]*ECF[[#This Row],[NSPT]]*ECF[[#This Row],[Ap (m²)]])/'DADOS CAP. CARGA'!$Q$2+(ECF[[#This Row],[β ESF]]*SUMIFS(ECF[10∙(NL/3+1)],ECF[Prof. (m)],"&lt;="&amp;ECF[[#This Row],[Prof. (m)]],ECF[idDiâmetro],ECF[[#This Row],[idDiâmetro]],ECF[idPilar],ECF[[#This Row],[idPilar]])*ECF[[#This Row],[U (m)]])/'DADOS CAP. CARGA'!$S$2</f>
        <v>43.982297150257097</v>
      </c>
      <c r="V7" s="4">
        <f>IF(SPT!$M$5=1,MIN(ECF[[#This Row],[Pe ECF (kN)]],ECF[[#This Row],[R_AV (kN)]]),IF(SPT!$M$5=2,MIN(ECF[[#This Row],[Pe ECF (kN)]],ECF[[#This Row],[R_DC (kN)]]),MIN(ECF[[#This Row],[Pe ECF (kN)]],ECF[[#This Row],[R_AV (kN)]],ECF[[#This Row],[R_DC (kN)]])))</f>
        <v>43.982297150257097</v>
      </c>
      <c r="W7" s="4">
        <f>INDEX(PILARES[],ECF[[#This Row],[idPilar]],MATCH("Carga (kN)",PILARES[#Headers],0))*1.4</f>
        <v>3500</v>
      </c>
      <c r="X7" s="12">
        <f>INDEX(PILARES[],ECF[[#This Row],[idPilar]],MATCH(ECF[[#Headers],[ap (cm)]],PILARES[#Headers],0))</f>
        <v>60</v>
      </c>
      <c r="Y7" s="12">
        <f>INDEX(PILARES[],ECF[[#This Row],[idPilar]],MATCH(ECF[[#Headers],[bp (cm)]],PILARES[#Headers],0))</f>
        <v>60</v>
      </c>
      <c r="Z7" s="4">
        <f>SQRT(ECF[[#This Row],[ap (cm)]]*ECF[[#This Row],[bp (cm)]])</f>
        <v>60</v>
      </c>
      <c r="AA7" s="12">
        <f>ECF[[#This Row],[ap (cm)]]*ECF[[#This Row],[bp (cm)]]</f>
        <v>3600</v>
      </c>
      <c r="AB7" s="12">
        <f ca="1">IF(ECF[[#This Row],[Padm∙ε (kN)]]&gt;=ECF[[#This Row],[Padm (kN)]],ROUNDUP(1.05*ECF[[#This Row],[Nsd (kN)]]/ECF[[#This Row],[Padm (kN)]],0),ROUNDUP(1.05*ECF[[#This Row],[Nsd (kN)]]/ECF[[#This Row],[Padm (kN)]],0)+1)</f>
        <v>84</v>
      </c>
      <c r="AC7" s="4" t="str">
        <f ca="1">IFERROR(IF(ECF[[#This Row],[nE]]=1,ECF[[#This Row],[Padm (kN)]],ECF[[#This Row],[Padm (kN)]]*ECF[[#This Row],[nE]]*INDEX(grupoEstacas[],ECF[[#This Row],[nE]],MATCH("ε",grupoEstacas[#Headers],0))),"N.S.")</f>
        <v>N.S.</v>
      </c>
      <c r="AD7" s="4">
        <f ca="1">1.05*ECF[[#This Row],[Nsd (kN)]]/(ECF[[#This Row],[nE]]*PI()*ECF[[#This Row],[Ø (cm)]]^2/4)*10</f>
        <v>0.15473397245045378</v>
      </c>
      <c r="AE7" s="4">
        <f ca="1">IF(ECF[[#This Row],[σ (MPa)]]&lt;INDEX(tipoEstaca[],MATCH($D$2,tipoEstaca[TIPO DE ESTACA],0),MATCH("σmáx (MPa)",tipoEstaca[#Headers],0)),0.4%*PI()*ECF[[#This Row],[Ø (cm)]]^2/4,"N.S.")</f>
        <v>11.309733552923255</v>
      </c>
      <c r="AF7" s="1">
        <f>INDEX(tipoEstaca[],MATCH($D$2,tipoEstaca[TIPO DE ESTACA],0),MATCH(ECF[[#Headers],[Comprimento (m)]],tipoEstaca[#Headers],0))</f>
        <v>4</v>
      </c>
      <c r="AG7" s="5">
        <f ca="1">ECF[[#This Row],[As,mín (cm²)]]/100^2*ECF[[#This Row],[Comprimento (m)]]*7850</f>
        <v>35.512563356179022</v>
      </c>
      <c r="AH7" s="4">
        <f ca="1">ECF[[#This Row],[nE]]*ECF[[#This Row],[Prof. (m)]]*ECF[[#This Row],[Ap (m²)]]</f>
        <v>47.500880922277673</v>
      </c>
      <c r="AI7" s="1">
        <f ca="1">IF(ECF[[#This Row],[nE]]=1,0,MAX(3*ECF[[#This Row],[Ø (cm)]],60))</f>
        <v>180</v>
      </c>
      <c r="AJ7" s="1">
        <f ca="1">IF(ECF[[#This Row],[nE]]=1,ECF[[#This Row],[Ø (cm)]]+2*10,MAX(1.5*ECF[[#This Row],[Ø (cm)]],ECF[[#This Row],[Ø (cm)]]+15))</f>
        <v>90</v>
      </c>
      <c r="AK7" s="1" t="str">
        <f ca="1">alturaUtil(ECF[[#This Row],[nE]],ECF[[#This Row],[Ø (cm)]],ECF[[#This Row],[e (cm)]],ECF[[#This Row],[ap,eq (cm)]])</f>
        <v>N.S.</v>
      </c>
      <c r="AL7" s="1" t="str">
        <f ca="1">IFERROR(ECF[[#This Row],[d (cm)]]+arredondarParaCimaMultiplo5cm(MAX(5,SQRT(PI())/2*ECF[[#This Row],[Ø (cm)]]/5)),"N.S.")</f>
        <v>N.S.</v>
      </c>
      <c r="AM7" s="5" t="str">
        <f ca="1">alpha(ECF[[#This Row],[nE]],ECF[[#This Row],[d (cm)]],ECF[[#This Row],[e (cm)]],ECF[[#This Row],[ap,eq (cm)]])</f>
        <v>N.S.</v>
      </c>
      <c r="AN7" s="35" t="str">
        <f ca="1">IFERROR(ECF[[#This Row],[Nsd (kN)]]/(ECF[[#This Row],[Ap (cm²)]]*SIN(ECF[[#This Row],[α]])^2),"N.S.")</f>
        <v>N.S.</v>
      </c>
      <c r="AO7" s="35" t="str">
        <f ca="1">IFERROR(ECF[[#This Row],[Nsd (kN)]]/(ECF[[#This Row],[nE]]*PI()*ECF[[#This Row],[Ø (cm)]]^2/4*SIN(ECF[[#This Row],[α]])^2),"N.S.")</f>
        <v>N.S.</v>
      </c>
      <c r="AP7" s="4" t="str">
        <f ca="1">IFERROR(INDEX(grupoEstacas[],ECF[[#This Row],[nE]],MATCH("coef. Blévot",grupoEstacas[#Headers],0)),"N.S.")</f>
        <v>N.S.</v>
      </c>
      <c r="AQ7" s="35" t="str">
        <f ca="1">IFERROR(ECF[[#This Row],[coef. Blévot]]*0.9*INDEX(tipoEstaca[],MATCH($D$2,tipoEstaca[TIPO DE ESTACA],0),MATCH("fcd (kN/cm²)",tipoEstaca[#Headers],0)),"N.S.")</f>
        <v>N.S.</v>
      </c>
      <c r="AR7" s="1" t="str">
        <f ca="1">IF(AND(ECF[[#This Row],[cd,b,pil (kN/cm²)]]&lt;=ECF[[#This Row],[cd,b,lim (kN/cm²)]],ECF[[#This Row],[cd,b,est (kN/cm²)]]&lt;=ECF[[#This Row],[cd,b,lim (kN/cm²)]]),"OK","ERRO")</f>
        <v>OK</v>
      </c>
      <c r="AS7" s="4" t="str">
        <f ca="1">As_lado(ECF[[#This Row],[nE]],ECF[[#This Row],[Nsd (kN)]],ECF[[#This Row],[d (cm)]],ECF[[#This Row],[e (cm)]],ECF[[#This Row],[ap,eq (cm)]])</f>
        <v>N.S.</v>
      </c>
      <c r="AT7" s="4" t="str">
        <f ca="1">IF(ECF[[#This Row],[nE]]=1,ECF[[#This Row],[As,lado (cm²)]],IF(ECF[[#This Row],[nE]]=2,0.075*2*ECF[a (cm)],"N.A."))</f>
        <v>N.A.</v>
      </c>
      <c r="AU7" s="4" t="str">
        <f ca="1">IFERROR(IF(ECF[[#This Row],[nE]]=1,"N.A.",0.2*ECF[[#This Row],[As,lado (cm²)]]),"N.S.")</f>
        <v>N.S.</v>
      </c>
      <c r="AV7" s="4" t="str">
        <f ca="1">As_malha(ECF[[#This Row],[nE]],ECF[[#This Row],[As,lado (cm²)]],ECF[[#This Row],[Nsd (kN)]])</f>
        <v>N.S.</v>
      </c>
      <c r="AW7" s="4" t="str">
        <f ca="1">As_susp_tot(ECF[[#This Row],[nE]],ECF[[#This Row],[Nsd (kN)]])</f>
        <v>N.S.</v>
      </c>
      <c r="AX7" s="4" t="str">
        <f ca="1">Asp_face(ECF[[#This Row],[nE]],ECF[[#This Row],[As,lado (cm²)]])</f>
        <v>N.S.</v>
      </c>
      <c r="AY7" s="5" t="str">
        <f ca="1">acoBloco(ECF[[#This Row],[nE]],ECF[[#This Row],[e (cm)]],ECF[[#This Row],[a (cm)]],ECF[[#This Row],[h (cm)]],ECF[[#This Row],[As,lado (cm²)]],ECF[[#This Row],[Asp e Asw (cm²/m)]],ECF[[#This Row],[As,sup (cm²)]],ECF[[#This Row],[As,malha (cm²)]],ECF[[#This Row],[As,susp,tot (cm²)]],ECF[[#This Row],[Asp,face (cm²)]])</f>
        <v>N.S.</v>
      </c>
      <c r="AZ7" s="4" t="str">
        <f ca="1">concretoBloco(ECF[[#This Row],[nE]],ECF[[#This Row],[e (cm)]],ECF[[#This Row],[a (cm)]],ECF[[#This Row],[h (cm)]])</f>
        <v>N.S.</v>
      </c>
      <c r="BA7" s="5">
        <f ca="1">SUM(ECF[[#This Row],[Aço Est (kg)]],ECF[[#This Row],[Aço Bloco (kg)]])</f>
        <v>35.512563356179022</v>
      </c>
      <c r="BB7" s="4">
        <f>INDEX(composicoes[],MATCH(95580,composicoes[CÓDIGO],0),MATCH("CUSTO TOTAL",composicoes[#Headers],0))</f>
        <v>10.46</v>
      </c>
      <c r="BC7" s="4">
        <f ca="1">SUM(ECF[[#This Row],[Conc Est (m³)]],ECF[[#This Row],[Conc Bloco (m³)]])</f>
        <v>47.500880922277673</v>
      </c>
      <c r="BD7" s="4">
        <f>INDEX(composicoes[],MATCH(94966,composicoes[CÓDIGO],0),MATCH("CUSTO TOTAL",composicoes[#Headers],0))</f>
        <v>439.52</v>
      </c>
      <c r="BE7" s="38">
        <f ca="1">ECF[[#This Row],[Aço (kg)]]*ECF[[#This Row],[Aço (R$/kg)]]+ECF[[#This Row],[Conc (m³)]]*ECF[[#This Row],[Conc (R$/m³)]]</f>
        <v>21249.048595665117</v>
      </c>
      <c r="BF7" s="4" t="str">
        <f ca="1">IF(COUNTIF(ECF[#This Row],"N.S.")&gt;0,"lim.","OK")</f>
        <v>lim.</v>
      </c>
      <c r="BG7" s="4" t="str">
        <f>IF(ECF[[#This Row],[Prof. (m)]]&lt;4,"lim.","OK")</f>
        <v>lim.</v>
      </c>
      <c r="BH7" s="4" t="str">
        <f>IF(ECF[[#This Row],[Prof. (m)]]&gt;=8*ECF[[#This Row],[Ø (cm)]]/100,"OK","lim.")</f>
        <v>lim.</v>
      </c>
      <c r="BI7" s="4" t="str">
        <f>IF(AND(SPT!$F$3&lt;&gt;"",ECF[[#This Row],[Prof. (m)]]&gt;=SPT!$F$3-2),"lim.","OK")</f>
        <v>OK</v>
      </c>
      <c r="BJ7" s="4" t="str">
        <f ca="1">IF(ECF[[#This Row],[Verif. Biela]]="OK","OK","lim.")</f>
        <v>OK</v>
      </c>
      <c r="BK7" s="4" t="str">
        <f ca="1">IF(COUNTA(ECF[[#This Row],[Nº Est.]:[Biela comp.]])=COUNTIF(ECF[[#This Row],[Nº Est.]:[Biela comp.]],"OK"),"OK","lim.")</f>
        <v>lim.</v>
      </c>
      <c r="BL7" s="4" t="str">
        <f ca="1">IF(ECF[[#This Row],[Controle]]="OK",ECF[[#This Row],[nE]]&amp;" Ø"&amp;ECF[[#This Row],[Ø (cm)]]&amp;"cm Prof. "&amp;ECF[[#This Row],[Prof. (m)]]&amp;" m","")</f>
        <v/>
      </c>
      <c r="BM7" s="4" t="str">
        <f ca="1">IF(ECF[[#This Row],[idDimensionamento]]="","",ECF[[#This Row],[idPilar]]&amp;ECF[[#This Row],[idDimensionamento]])</f>
        <v/>
      </c>
    </row>
    <row r="8" spans="2:65" x14ac:dyDescent="0.25">
      <c r="B8" s="12">
        <f>ROUNDUP((ROW(ECF[[#This Row],[idDiâmetro]])-ROW(ECF[[#Headers],[idDiâmetro]]))/(COUNT(SPT[Prof. (m)])*COUNT(PILARES[Pilar])),0)</f>
        <v>1</v>
      </c>
      <c r="C8" s="12">
        <f>IF(ECF[[#This Row],[idDiâmetro]]&lt;&gt;B7,1,IF(ECF[[#This Row],[Prof. (m)]]=0,C7+1,C7))</f>
        <v>1</v>
      </c>
      <c r="D8" s="1">
        <f>IFERROR(IF(D7=MAX(SPT[Prof. (m)]),0,D7+1),0)</f>
        <v>3</v>
      </c>
      <c r="E8" s="1">
        <f>INDEX(SPT[],MATCH(ECF[[#This Row],[Prof. (m)]],SPT[Prof. (m)],0),2)</f>
        <v>4</v>
      </c>
      <c r="F8" s="1" t="str">
        <f>INDEX(SPT[],MATCH(ECF[[#This Row],[Prof. (m)]],SPT[Prof. (m)],0),3)</f>
        <v>Areia siltosa</v>
      </c>
      <c r="G8" s="1">
        <f>INDEX(estacas[],ECF[[#This Row],[idDiâmetro]],MATCH($B$2,estacas[#Headers],0))</f>
        <v>60</v>
      </c>
      <c r="H8" s="1">
        <f>INDEX(estacas[],MATCH(ECF[[#This Row],[Ø (cm)]],estacas[Ø ECF (cm)],0),MATCH(ECF[[#Headers],[Pe ECF (kN)]],estacas[#Headers],0))</f>
        <v>1100</v>
      </c>
      <c r="I8" s="4">
        <f>INDEX(K_alpha_C[],MATCH(ECF[[#This Row],[Solo]],K_alpha_C[Solo],0),2)</f>
        <v>0.8</v>
      </c>
      <c r="J8" s="5">
        <f>INDEX(K_alpha_C[],MATCH(ECF[[#This Row],[Solo]],K_alpha_C[Solo],0),3)</f>
        <v>2</v>
      </c>
      <c r="K8" s="4">
        <f>INDEX(F1_F2[],MATCH($D$2,F1_F2[Tipo de estaca],0),2)</f>
        <v>3</v>
      </c>
      <c r="L8" s="4">
        <f>INDEX(F1_F2[],MATCH($D$2,F1_F2[Tipo de estaca],0),3)</f>
        <v>6</v>
      </c>
      <c r="M8" s="4">
        <f>PI()*(ECF[[#This Row],[Ø (cm)]]/100)^2/4</f>
        <v>0.28274333882308139</v>
      </c>
      <c r="N8" s="4">
        <f>PI()*ECF[[#This Row],[Ø (cm)]]/100</f>
        <v>1.8849555921538756</v>
      </c>
      <c r="O8" s="4">
        <f>IF(ECF[[#This Row],[Prof. (m)]]=0,0,ECF[[#This Row],[α (%)]]/100*ECF[[#This Row],[K (MPa)]]*1000*ECF[[#This Row],[NSPT]])</f>
        <v>64</v>
      </c>
      <c r="P8" s="4">
        <f>IF(ECF[[#This Row],[Prof. (m)]]=0,0,(ECF[[#This Row],[K (MPa)]]*1000*ECF[[#This Row],[NSPT]]/ECF[[#This Row],[F1]]*ECF[[#This Row],[Ap (m²)]]+ECF[[#This Row],[U (m)]]/ECF[[#This Row],[F2]]*SUMIFS(ECF[(α∙K∙NL∙ΔL)],ECF[Prof. (m)],"&lt;="&amp;ECF[[#This Row],[Prof. (m)]],ECF[idDiâmetro],ECF[[#This Row],[idDiâmetro]],ECF[idPilar],ECF[[#This Row],[idPilar]]))/'DADOS CAP. CARGA'!$D$2)</f>
        <v>170.90264035528477</v>
      </c>
      <c r="Q8" s="12">
        <f>INDEX(C_alpha_beta[],MATCH(ECF[[#This Row],[Solo]],C_alpha_beta[Solo],0),MATCH(ECF[[#Headers],[C (kPa)]],C_alpha_beta[#Headers],0))</f>
        <v>400</v>
      </c>
      <c r="R8" s="4">
        <f>INDEX(C_alpha_beta[],MATCH(ECF[[#This Row],[Solo]],C_alpha_beta[Solo],0),MATCH(ECF[[#Headers],[α ESF]],C_alpha_beta[#Headers],0))</f>
        <v>0.5</v>
      </c>
      <c r="S8" s="4">
        <f>INDEX(C_alpha_beta[],MATCH(ECF[[#This Row],[Solo]],C_alpha_beta[Solo],0),MATCH(ECF[[#Headers],[β ESF]],C_alpha_beta[#Headers],0))</f>
        <v>0.5</v>
      </c>
      <c r="T8" s="4">
        <f>IF(ECF[[#This Row],[Prof. (m)]]=0,0,10*(ECF[[#This Row],[NSPT]]/3+1))</f>
        <v>23.333333333333329</v>
      </c>
      <c r="U8" s="4">
        <f>(ECF[[#This Row],[α ESF]]*ECF[[#This Row],[C (kPa)]]*ECF[[#This Row],[NSPT]]*ECF[[#This Row],[Ap (m²)]])/'DADOS CAP. CARGA'!$Q$2+(ECF[[#This Row],[β ESF]]*SUMIFS(ECF[10∙(NL/3+1)],ECF[Prof. (m)],"&lt;="&amp;ECF[[#This Row],[Prof. (m)]],ECF[idDiâmetro],ECF[[#This Row],[idDiâmetro]],ECF[idPilar],ECF[[#This Row],[idPilar]])*ECF[[#This Row],[U (m)]])/'DADOS CAP. CARGA'!$S$2</f>
        <v>83.252205320129505</v>
      </c>
      <c r="V8" s="4">
        <f>IF(SPT!$M$5=1,MIN(ECF[[#This Row],[Pe ECF (kN)]],ECF[[#This Row],[R_AV (kN)]]),IF(SPT!$M$5=2,MIN(ECF[[#This Row],[Pe ECF (kN)]],ECF[[#This Row],[R_DC (kN)]]),MIN(ECF[[#This Row],[Pe ECF (kN)]],ECF[[#This Row],[R_AV (kN)]],ECF[[#This Row],[R_DC (kN)]])))</f>
        <v>83.252205320129505</v>
      </c>
      <c r="W8" s="4">
        <f>INDEX(PILARES[],ECF[[#This Row],[idPilar]],MATCH("Carga (kN)",PILARES[#Headers],0))*1.4</f>
        <v>3500</v>
      </c>
      <c r="X8" s="12">
        <f>INDEX(PILARES[],ECF[[#This Row],[idPilar]],MATCH(ECF[[#Headers],[ap (cm)]],PILARES[#Headers],0))</f>
        <v>60</v>
      </c>
      <c r="Y8" s="12">
        <f>INDEX(PILARES[],ECF[[#This Row],[idPilar]],MATCH(ECF[[#Headers],[bp (cm)]],PILARES[#Headers],0))</f>
        <v>60</v>
      </c>
      <c r="Z8" s="4">
        <f>SQRT(ECF[[#This Row],[ap (cm)]]*ECF[[#This Row],[bp (cm)]])</f>
        <v>60</v>
      </c>
      <c r="AA8" s="12">
        <f>ECF[[#This Row],[ap (cm)]]*ECF[[#This Row],[bp (cm)]]</f>
        <v>3600</v>
      </c>
      <c r="AB8" s="12">
        <f ca="1">IF(ECF[[#This Row],[Padm∙ε (kN)]]&gt;=ECF[[#This Row],[Padm (kN)]],ROUNDUP(1.05*ECF[[#This Row],[Nsd (kN)]]/ECF[[#This Row],[Padm (kN)]],0),ROUNDUP(1.05*ECF[[#This Row],[Nsd (kN)]]/ECF[[#This Row],[Padm (kN)]],0)+1)</f>
        <v>45</v>
      </c>
      <c r="AC8" s="4" t="str">
        <f ca="1">IFERROR(IF(ECF[[#This Row],[nE]]=1,ECF[[#This Row],[Padm (kN)]],ECF[[#This Row],[Padm (kN)]]*ECF[[#This Row],[nE]]*INDEX(grupoEstacas[],ECF[[#This Row],[nE]],MATCH("ε",grupoEstacas[#Headers],0))),"N.S.")</f>
        <v>N.S.</v>
      </c>
      <c r="AD8" s="4">
        <f ca="1">1.05*ECF[[#This Row],[Nsd (kN)]]/(ECF[[#This Row],[nE]]*PI()*ECF[[#This Row],[Ø (cm)]]^2/4)*10</f>
        <v>0.28883674857418046</v>
      </c>
      <c r="AE8" s="4">
        <f ca="1">IF(ECF[[#This Row],[σ (MPa)]]&lt;INDEX(tipoEstaca[],MATCH($D$2,tipoEstaca[TIPO DE ESTACA],0),MATCH("σmáx (MPa)",tipoEstaca[#Headers],0)),0.4%*PI()*ECF[[#This Row],[Ø (cm)]]^2/4,"N.S.")</f>
        <v>11.309733552923255</v>
      </c>
      <c r="AF8" s="1">
        <f>INDEX(tipoEstaca[],MATCH($D$2,tipoEstaca[TIPO DE ESTACA],0),MATCH(ECF[[#Headers],[Comprimento (m)]],tipoEstaca[#Headers],0))</f>
        <v>4</v>
      </c>
      <c r="AG8" s="5">
        <f ca="1">ECF[[#This Row],[As,mín (cm²)]]/100^2*ECF[[#This Row],[Comprimento (m)]]*7850</f>
        <v>35.512563356179022</v>
      </c>
      <c r="AH8" s="4">
        <f ca="1">ECF[[#This Row],[nE]]*ECF[[#This Row],[Prof. (m)]]*ECF[[#This Row],[Ap (m²)]]</f>
        <v>38.170350741115989</v>
      </c>
      <c r="AI8" s="1">
        <f ca="1">IF(ECF[[#This Row],[nE]]=1,0,MAX(3*ECF[[#This Row],[Ø (cm)]],60))</f>
        <v>180</v>
      </c>
      <c r="AJ8" s="1">
        <f ca="1">IF(ECF[[#This Row],[nE]]=1,ECF[[#This Row],[Ø (cm)]]+2*10,MAX(1.5*ECF[[#This Row],[Ø (cm)]],ECF[[#This Row],[Ø (cm)]]+15))</f>
        <v>90</v>
      </c>
      <c r="AK8" s="1" t="str">
        <f ca="1">alturaUtil(ECF[[#This Row],[nE]],ECF[[#This Row],[Ø (cm)]],ECF[[#This Row],[e (cm)]],ECF[[#This Row],[ap,eq (cm)]])</f>
        <v>N.S.</v>
      </c>
      <c r="AL8" s="1" t="str">
        <f ca="1">IFERROR(ECF[[#This Row],[d (cm)]]+arredondarParaCimaMultiplo5cm(MAX(5,SQRT(PI())/2*ECF[[#This Row],[Ø (cm)]]/5)),"N.S.")</f>
        <v>N.S.</v>
      </c>
      <c r="AM8" s="5" t="str">
        <f ca="1">alpha(ECF[[#This Row],[nE]],ECF[[#This Row],[d (cm)]],ECF[[#This Row],[e (cm)]],ECF[[#This Row],[ap,eq (cm)]])</f>
        <v>N.S.</v>
      </c>
      <c r="AN8" s="35" t="str">
        <f ca="1">IFERROR(ECF[[#This Row],[Nsd (kN)]]/(ECF[[#This Row],[Ap (cm²)]]*SIN(ECF[[#This Row],[α]])^2),"N.S.")</f>
        <v>N.S.</v>
      </c>
      <c r="AO8" s="35" t="str">
        <f ca="1">IFERROR(ECF[[#This Row],[Nsd (kN)]]/(ECF[[#This Row],[nE]]*PI()*ECF[[#This Row],[Ø (cm)]]^2/4*SIN(ECF[[#This Row],[α]])^2),"N.S.")</f>
        <v>N.S.</v>
      </c>
      <c r="AP8" s="4" t="str">
        <f ca="1">IFERROR(INDEX(grupoEstacas[],ECF[[#This Row],[nE]],MATCH("coef. Blévot",grupoEstacas[#Headers],0)),"N.S.")</f>
        <v>N.S.</v>
      </c>
      <c r="AQ8" s="35" t="str">
        <f ca="1">IFERROR(ECF[[#This Row],[coef. Blévot]]*0.9*INDEX(tipoEstaca[],MATCH($D$2,tipoEstaca[TIPO DE ESTACA],0),MATCH("fcd (kN/cm²)",tipoEstaca[#Headers],0)),"N.S.")</f>
        <v>N.S.</v>
      </c>
      <c r="AR8" s="1" t="str">
        <f ca="1">IF(AND(ECF[[#This Row],[cd,b,pil (kN/cm²)]]&lt;=ECF[[#This Row],[cd,b,lim (kN/cm²)]],ECF[[#This Row],[cd,b,est (kN/cm²)]]&lt;=ECF[[#This Row],[cd,b,lim (kN/cm²)]]),"OK","ERRO")</f>
        <v>OK</v>
      </c>
      <c r="AS8" s="4" t="str">
        <f ca="1">As_lado(ECF[[#This Row],[nE]],ECF[[#This Row],[Nsd (kN)]],ECF[[#This Row],[d (cm)]],ECF[[#This Row],[e (cm)]],ECF[[#This Row],[ap,eq (cm)]])</f>
        <v>N.S.</v>
      </c>
      <c r="AT8" s="4" t="str">
        <f ca="1">IF(ECF[[#This Row],[nE]]=1,ECF[[#This Row],[As,lado (cm²)]],IF(ECF[[#This Row],[nE]]=2,0.075*2*ECF[a (cm)],"N.A."))</f>
        <v>N.A.</v>
      </c>
      <c r="AU8" s="4" t="str">
        <f ca="1">IFERROR(IF(ECF[[#This Row],[nE]]=1,"N.A.",0.2*ECF[[#This Row],[As,lado (cm²)]]),"N.S.")</f>
        <v>N.S.</v>
      </c>
      <c r="AV8" s="4" t="str">
        <f ca="1">As_malha(ECF[[#This Row],[nE]],ECF[[#This Row],[As,lado (cm²)]],ECF[[#This Row],[Nsd (kN)]])</f>
        <v>N.S.</v>
      </c>
      <c r="AW8" s="4" t="str">
        <f ca="1">As_susp_tot(ECF[[#This Row],[nE]],ECF[[#This Row],[Nsd (kN)]])</f>
        <v>N.S.</v>
      </c>
      <c r="AX8" s="4" t="str">
        <f ca="1">Asp_face(ECF[[#This Row],[nE]],ECF[[#This Row],[As,lado (cm²)]])</f>
        <v>N.S.</v>
      </c>
      <c r="AY8" s="5" t="str">
        <f ca="1">acoBloco(ECF[[#This Row],[nE]],ECF[[#This Row],[e (cm)]],ECF[[#This Row],[a (cm)]],ECF[[#This Row],[h (cm)]],ECF[[#This Row],[As,lado (cm²)]],ECF[[#This Row],[Asp e Asw (cm²/m)]],ECF[[#This Row],[As,sup (cm²)]],ECF[[#This Row],[As,malha (cm²)]],ECF[[#This Row],[As,susp,tot (cm²)]],ECF[[#This Row],[Asp,face (cm²)]])</f>
        <v>N.S.</v>
      </c>
      <c r="AZ8" s="4" t="str">
        <f ca="1">concretoBloco(ECF[[#This Row],[nE]],ECF[[#This Row],[e (cm)]],ECF[[#This Row],[a (cm)]],ECF[[#This Row],[h (cm)]])</f>
        <v>N.S.</v>
      </c>
      <c r="BA8" s="5">
        <f ca="1">SUM(ECF[[#This Row],[Aço Est (kg)]],ECF[[#This Row],[Aço Bloco (kg)]])</f>
        <v>35.512563356179022</v>
      </c>
      <c r="BB8" s="4">
        <f>INDEX(composicoes[],MATCH(95580,composicoes[CÓDIGO],0),MATCH("CUSTO TOTAL",composicoes[#Headers],0))</f>
        <v>10.46</v>
      </c>
      <c r="BC8" s="4">
        <f ca="1">SUM(ECF[[#This Row],[Conc Est (m³)]],ECF[[#This Row],[Conc Bloco (m³)]])</f>
        <v>38.170350741115989</v>
      </c>
      <c r="BD8" s="4">
        <f>INDEX(composicoes[],MATCH(94966,composicoes[CÓDIGO],0),MATCH("CUSTO TOTAL",composicoes[#Headers],0))</f>
        <v>439.52</v>
      </c>
      <c r="BE8" s="38">
        <f ca="1">ECF[[#This Row],[Aço (kg)]]*ECF[[#This Row],[Aço (R$/kg)]]+ECF[[#This Row],[Conc (m³)]]*ECF[[#This Row],[Conc (R$/m³)]]</f>
        <v>17148.093970440932</v>
      </c>
      <c r="BF8" s="4" t="str">
        <f ca="1">IF(COUNTIF(ECF[#This Row],"N.S.")&gt;0,"lim.","OK")</f>
        <v>lim.</v>
      </c>
      <c r="BG8" s="4" t="str">
        <f>IF(ECF[[#This Row],[Prof. (m)]]&lt;4,"lim.","OK")</f>
        <v>lim.</v>
      </c>
      <c r="BH8" s="4" t="str">
        <f>IF(ECF[[#This Row],[Prof. (m)]]&gt;=8*ECF[[#This Row],[Ø (cm)]]/100,"OK","lim.")</f>
        <v>lim.</v>
      </c>
      <c r="BI8" s="4" t="str">
        <f>IF(AND(SPT!$F$3&lt;&gt;"",ECF[[#This Row],[Prof. (m)]]&gt;=SPT!$F$3-2),"lim.","OK")</f>
        <v>OK</v>
      </c>
      <c r="BJ8" s="4" t="str">
        <f ca="1">IF(ECF[[#This Row],[Verif. Biela]]="OK","OK","lim.")</f>
        <v>OK</v>
      </c>
      <c r="BK8" s="4" t="str">
        <f ca="1">IF(COUNTA(ECF[[#This Row],[Nº Est.]:[Biela comp.]])=COUNTIF(ECF[[#This Row],[Nº Est.]:[Biela comp.]],"OK"),"OK","lim.")</f>
        <v>lim.</v>
      </c>
      <c r="BL8" s="4" t="str">
        <f ca="1">IF(ECF[[#This Row],[Controle]]="OK",ECF[[#This Row],[nE]]&amp;" Ø"&amp;ECF[[#This Row],[Ø (cm)]]&amp;"cm Prof. "&amp;ECF[[#This Row],[Prof. (m)]]&amp;" m","")</f>
        <v/>
      </c>
      <c r="BM8" s="4" t="str">
        <f ca="1">IF(ECF[[#This Row],[idDimensionamento]]="","",ECF[[#This Row],[idPilar]]&amp;ECF[[#This Row],[idDimensionamento]])</f>
        <v/>
      </c>
    </row>
    <row r="9" spans="2:65" x14ac:dyDescent="0.25">
      <c r="B9" s="12">
        <f>ROUNDUP((ROW(ECF[[#This Row],[idDiâmetro]])-ROW(ECF[[#Headers],[idDiâmetro]]))/(COUNT(SPT[Prof. (m)])*COUNT(PILARES[Pilar])),0)</f>
        <v>1</v>
      </c>
      <c r="C9" s="12">
        <f>IF(ECF[[#This Row],[idDiâmetro]]&lt;&gt;B8,1,IF(ECF[[#This Row],[Prof. (m)]]=0,C8+1,C8))</f>
        <v>1</v>
      </c>
      <c r="D9" s="1">
        <f>IFERROR(IF(D8=MAX(SPT[Prof. (m)]),0,D8+1),0)</f>
        <v>4</v>
      </c>
      <c r="E9" s="1">
        <f>INDEX(SPT[],MATCH(ECF[[#This Row],[Prof. (m)]],SPT[Prof. (m)],0),2)</f>
        <v>8</v>
      </c>
      <c r="F9" s="1" t="str">
        <f>INDEX(SPT[],MATCH(ECF[[#This Row],[Prof. (m)]],SPT[Prof. (m)],0),3)</f>
        <v>Areia siltosa</v>
      </c>
      <c r="G9" s="1">
        <f>INDEX(estacas[],ECF[[#This Row],[idDiâmetro]],MATCH($B$2,estacas[#Headers],0))</f>
        <v>60</v>
      </c>
      <c r="H9" s="1">
        <f>INDEX(estacas[],MATCH(ECF[[#This Row],[Ø (cm)]],estacas[Ø ECF (cm)],0),MATCH(ECF[[#Headers],[Pe ECF (kN)]],estacas[#Headers],0))</f>
        <v>1100</v>
      </c>
      <c r="I9" s="4">
        <f>INDEX(K_alpha_C[],MATCH(ECF[[#This Row],[Solo]],K_alpha_C[Solo],0),2)</f>
        <v>0.8</v>
      </c>
      <c r="J9" s="5">
        <f>INDEX(K_alpha_C[],MATCH(ECF[[#This Row],[Solo]],K_alpha_C[Solo],0),3)</f>
        <v>2</v>
      </c>
      <c r="K9" s="4">
        <f>INDEX(F1_F2[],MATCH($D$2,F1_F2[Tipo de estaca],0),2)</f>
        <v>3</v>
      </c>
      <c r="L9" s="4">
        <f>INDEX(F1_F2[],MATCH($D$2,F1_F2[Tipo de estaca],0),3)</f>
        <v>6</v>
      </c>
      <c r="M9" s="4">
        <f>PI()*(ECF[[#This Row],[Ø (cm)]]/100)^2/4</f>
        <v>0.28274333882308139</v>
      </c>
      <c r="N9" s="4">
        <f>PI()*ECF[[#This Row],[Ø (cm)]]/100</f>
        <v>1.8849555921538756</v>
      </c>
      <c r="O9" s="4">
        <f>IF(ECF[[#This Row],[Prof. (m)]]=0,0,ECF[[#This Row],[α (%)]]/100*ECF[[#This Row],[K (MPa)]]*1000*ECF[[#This Row],[NSPT]])</f>
        <v>128</v>
      </c>
      <c r="P9" s="4">
        <f>IF(ECF[[#This Row],[Prof. (m)]]=0,0,(ECF[[#This Row],[K (MPa)]]*1000*ECF[[#This Row],[NSPT]]/ECF[[#This Row],[F1]]*ECF[[#This Row],[Ap (m²)]]+ECF[[#This Row],[U (m)]]/ECF[[#This Row],[F2]]*SUMIFS(ECF[(α∙K∙NL∙ΔL)],ECF[Prof. (m)],"&lt;="&amp;ECF[[#This Row],[Prof. (m)]],ECF[idDiâmetro],ECF[[#This Row],[idDiâmetro]],ECF[idPilar],ECF[[#This Row],[idPilar]]))/'DADOS CAP. CARGA'!$D$2)</f>
        <v>341.80528071056955</v>
      </c>
      <c r="Q9" s="12">
        <f>INDEX(C_alpha_beta[],MATCH(ECF[[#This Row],[Solo]],C_alpha_beta[Solo],0),MATCH(ECF[[#Headers],[C (kPa)]],C_alpha_beta[#Headers],0))</f>
        <v>400</v>
      </c>
      <c r="R9" s="4">
        <f>INDEX(C_alpha_beta[],MATCH(ECF[[#This Row],[Solo]],C_alpha_beta[Solo],0),MATCH(ECF[[#Headers],[α ESF]],C_alpha_beta[#Headers],0))</f>
        <v>0.5</v>
      </c>
      <c r="S9" s="4">
        <f>INDEX(C_alpha_beta[],MATCH(ECF[[#This Row],[Solo]],C_alpha_beta[Solo],0),MATCH(ECF[[#Headers],[β ESF]],C_alpha_beta[#Headers],0))</f>
        <v>0.5</v>
      </c>
      <c r="T9" s="4">
        <f>IF(ECF[[#This Row],[Prof. (m)]]=0,0,10*(ECF[[#This Row],[NSPT]]/3+1))</f>
        <v>36.666666666666664</v>
      </c>
      <c r="U9" s="4">
        <f>(ECF[[#This Row],[α ESF]]*ECF[[#This Row],[C (kPa)]]*ECF[[#This Row],[NSPT]]*ECF[[#This Row],[Ap (m²)]])/'DADOS CAP. CARGA'!$Q$2+(ECF[[#This Row],[β ESF]]*SUMIFS(ECF[10∙(NL/3+1)],ECF[Prof. (m)],"&lt;="&amp;ECF[[#This Row],[Prof. (m)]],ECF[idDiâmetro],ECF[[#This Row],[idDiâmetro]],ECF[idPilar],ECF[[#This Row],[idPilar]])*ECF[[#This Row],[U (m)]])/'DADOS CAP. CARGA'!$S$2</f>
        <v>157.07963267948963</v>
      </c>
      <c r="V9" s="4">
        <f>IF(SPT!$M$5=1,MIN(ECF[[#This Row],[Pe ECF (kN)]],ECF[[#This Row],[R_AV (kN)]]),IF(SPT!$M$5=2,MIN(ECF[[#This Row],[Pe ECF (kN)]],ECF[[#This Row],[R_DC (kN)]]),MIN(ECF[[#This Row],[Pe ECF (kN)]],ECF[[#This Row],[R_AV (kN)]],ECF[[#This Row],[R_DC (kN)]])))</f>
        <v>157.07963267948963</v>
      </c>
      <c r="W9" s="4">
        <f>INDEX(PILARES[],ECF[[#This Row],[idPilar]],MATCH("Carga (kN)",PILARES[#Headers],0))*1.4</f>
        <v>3500</v>
      </c>
      <c r="X9" s="12">
        <f>INDEX(PILARES[],ECF[[#This Row],[idPilar]],MATCH(ECF[[#Headers],[ap (cm)]],PILARES[#Headers],0))</f>
        <v>60</v>
      </c>
      <c r="Y9" s="12">
        <f>INDEX(PILARES[],ECF[[#This Row],[idPilar]],MATCH(ECF[[#Headers],[bp (cm)]],PILARES[#Headers],0))</f>
        <v>60</v>
      </c>
      <c r="Z9" s="4">
        <f>SQRT(ECF[[#This Row],[ap (cm)]]*ECF[[#This Row],[bp (cm)]])</f>
        <v>60</v>
      </c>
      <c r="AA9" s="12">
        <f>ECF[[#This Row],[ap (cm)]]*ECF[[#This Row],[bp (cm)]]</f>
        <v>3600</v>
      </c>
      <c r="AB9" s="12">
        <f ca="1">IF(ECF[[#This Row],[Padm∙ε (kN)]]&gt;=ECF[[#This Row],[Padm (kN)]],ROUNDUP(1.05*ECF[[#This Row],[Nsd (kN)]]/ECF[[#This Row],[Padm (kN)]],0),ROUNDUP(1.05*ECF[[#This Row],[Nsd (kN)]]/ECF[[#This Row],[Padm (kN)]],0)+1)</f>
        <v>24</v>
      </c>
      <c r="AC9" s="4" t="str">
        <f ca="1">IFERROR(IF(ECF[[#This Row],[nE]]=1,ECF[[#This Row],[Padm (kN)]],ECF[[#This Row],[Padm (kN)]]*ECF[[#This Row],[nE]]*INDEX(grupoEstacas[],ECF[[#This Row],[nE]],MATCH("ε",grupoEstacas[#Headers],0))),"N.S.")</f>
        <v>N.S.</v>
      </c>
      <c r="AD9" s="4">
        <f ca="1">1.05*ECF[[#This Row],[Nsd (kN)]]/(ECF[[#This Row],[nE]]*PI()*ECF[[#This Row],[Ø (cm)]]^2/4)*10</f>
        <v>0.54156890357658827</v>
      </c>
      <c r="AE9" s="4">
        <f ca="1">IF(ECF[[#This Row],[σ (MPa)]]&lt;INDEX(tipoEstaca[],MATCH($D$2,tipoEstaca[TIPO DE ESTACA],0),MATCH("σmáx (MPa)",tipoEstaca[#Headers],0)),0.4%*PI()*ECF[[#This Row],[Ø (cm)]]^2/4,"N.S.")</f>
        <v>11.309733552923255</v>
      </c>
      <c r="AF9" s="1">
        <f>INDEX(tipoEstaca[],MATCH($D$2,tipoEstaca[TIPO DE ESTACA],0),MATCH(ECF[[#Headers],[Comprimento (m)]],tipoEstaca[#Headers],0))</f>
        <v>4</v>
      </c>
      <c r="AG9" s="5">
        <f ca="1">ECF[[#This Row],[As,mín (cm²)]]/100^2*ECF[[#This Row],[Comprimento (m)]]*7850</f>
        <v>35.512563356179022</v>
      </c>
      <c r="AH9" s="4">
        <f ca="1">ECF[[#This Row],[nE]]*ECF[[#This Row],[Prof. (m)]]*ECF[[#This Row],[Ap (m²)]]</f>
        <v>27.143360527015815</v>
      </c>
      <c r="AI9" s="1">
        <f ca="1">IF(ECF[[#This Row],[nE]]=1,0,MAX(3*ECF[[#This Row],[Ø (cm)]],60))</f>
        <v>180</v>
      </c>
      <c r="AJ9" s="1">
        <f ca="1">IF(ECF[[#This Row],[nE]]=1,ECF[[#This Row],[Ø (cm)]]+2*10,MAX(1.5*ECF[[#This Row],[Ø (cm)]],ECF[[#This Row],[Ø (cm)]]+15))</f>
        <v>90</v>
      </c>
      <c r="AK9" s="1" t="str">
        <f ca="1">alturaUtil(ECF[[#This Row],[nE]],ECF[[#This Row],[Ø (cm)]],ECF[[#This Row],[e (cm)]],ECF[[#This Row],[ap,eq (cm)]])</f>
        <v>N.S.</v>
      </c>
      <c r="AL9" s="1" t="str">
        <f ca="1">IFERROR(ECF[[#This Row],[d (cm)]]+arredondarParaCimaMultiplo5cm(MAX(5,SQRT(PI())/2*ECF[[#This Row],[Ø (cm)]]/5)),"N.S.")</f>
        <v>N.S.</v>
      </c>
      <c r="AM9" s="5" t="str">
        <f ca="1">alpha(ECF[[#This Row],[nE]],ECF[[#This Row],[d (cm)]],ECF[[#This Row],[e (cm)]],ECF[[#This Row],[ap,eq (cm)]])</f>
        <v>N.S.</v>
      </c>
      <c r="AN9" s="35" t="str">
        <f ca="1">IFERROR(ECF[[#This Row],[Nsd (kN)]]/(ECF[[#This Row],[Ap (cm²)]]*SIN(ECF[[#This Row],[α]])^2),"N.S.")</f>
        <v>N.S.</v>
      </c>
      <c r="AO9" s="35" t="str">
        <f ca="1">IFERROR(ECF[[#This Row],[Nsd (kN)]]/(ECF[[#This Row],[nE]]*PI()*ECF[[#This Row],[Ø (cm)]]^2/4*SIN(ECF[[#This Row],[α]])^2),"N.S.")</f>
        <v>N.S.</v>
      </c>
      <c r="AP9" s="4" t="str">
        <f ca="1">IFERROR(INDEX(grupoEstacas[],ECF[[#This Row],[nE]],MATCH("coef. Blévot",grupoEstacas[#Headers],0)),"N.S.")</f>
        <v>N.S.</v>
      </c>
      <c r="AQ9" s="35" t="str">
        <f ca="1">IFERROR(ECF[[#This Row],[coef. Blévot]]*0.9*INDEX(tipoEstaca[],MATCH($D$2,tipoEstaca[TIPO DE ESTACA],0),MATCH("fcd (kN/cm²)",tipoEstaca[#Headers],0)),"N.S.")</f>
        <v>N.S.</v>
      </c>
      <c r="AR9" s="1" t="str">
        <f ca="1">IF(AND(ECF[[#This Row],[cd,b,pil (kN/cm²)]]&lt;=ECF[[#This Row],[cd,b,lim (kN/cm²)]],ECF[[#This Row],[cd,b,est (kN/cm²)]]&lt;=ECF[[#This Row],[cd,b,lim (kN/cm²)]]),"OK","ERRO")</f>
        <v>OK</v>
      </c>
      <c r="AS9" s="4" t="str">
        <f ca="1">As_lado(ECF[[#This Row],[nE]],ECF[[#This Row],[Nsd (kN)]],ECF[[#This Row],[d (cm)]],ECF[[#This Row],[e (cm)]],ECF[[#This Row],[ap,eq (cm)]])</f>
        <v>N.S.</v>
      </c>
      <c r="AT9" s="4" t="str">
        <f ca="1">IF(ECF[[#This Row],[nE]]=1,ECF[[#This Row],[As,lado (cm²)]],IF(ECF[[#This Row],[nE]]=2,0.075*2*ECF[a (cm)],"N.A."))</f>
        <v>N.A.</v>
      </c>
      <c r="AU9" s="4" t="str">
        <f ca="1">IFERROR(IF(ECF[[#This Row],[nE]]=1,"N.A.",0.2*ECF[[#This Row],[As,lado (cm²)]]),"N.S.")</f>
        <v>N.S.</v>
      </c>
      <c r="AV9" s="4" t="str">
        <f ca="1">As_malha(ECF[[#This Row],[nE]],ECF[[#This Row],[As,lado (cm²)]],ECF[[#This Row],[Nsd (kN)]])</f>
        <v>N.S.</v>
      </c>
      <c r="AW9" s="4" t="str">
        <f ca="1">As_susp_tot(ECF[[#This Row],[nE]],ECF[[#This Row],[Nsd (kN)]])</f>
        <v>N.S.</v>
      </c>
      <c r="AX9" s="4" t="str">
        <f ca="1">Asp_face(ECF[[#This Row],[nE]],ECF[[#This Row],[As,lado (cm²)]])</f>
        <v>N.S.</v>
      </c>
      <c r="AY9" s="5" t="str">
        <f ca="1">acoBloco(ECF[[#This Row],[nE]],ECF[[#This Row],[e (cm)]],ECF[[#This Row],[a (cm)]],ECF[[#This Row],[h (cm)]],ECF[[#This Row],[As,lado (cm²)]],ECF[[#This Row],[Asp e Asw (cm²/m)]],ECF[[#This Row],[As,sup (cm²)]],ECF[[#This Row],[As,malha (cm²)]],ECF[[#This Row],[As,susp,tot (cm²)]],ECF[[#This Row],[Asp,face (cm²)]])</f>
        <v>N.S.</v>
      </c>
      <c r="AZ9" s="4" t="str">
        <f ca="1">concretoBloco(ECF[[#This Row],[nE]],ECF[[#This Row],[e (cm)]],ECF[[#This Row],[a (cm)]],ECF[[#This Row],[h (cm)]])</f>
        <v>N.S.</v>
      </c>
      <c r="BA9" s="5">
        <f ca="1">SUM(ECF[[#This Row],[Aço Est (kg)]],ECF[[#This Row],[Aço Bloco (kg)]])</f>
        <v>35.512563356179022</v>
      </c>
      <c r="BB9" s="4">
        <f>INDEX(composicoes[],MATCH(95580,composicoes[CÓDIGO],0),MATCH("CUSTO TOTAL",composicoes[#Headers],0))</f>
        <v>10.46</v>
      </c>
      <c r="BC9" s="4">
        <f ca="1">SUM(ECF[[#This Row],[Conc Est (m³)]],ECF[[#This Row],[Conc Bloco (m³)]])</f>
        <v>27.143360527015815</v>
      </c>
      <c r="BD9" s="4">
        <f>INDEX(composicoes[],MATCH(94966,composicoes[CÓDIGO],0),MATCH("CUSTO TOTAL",composicoes[#Headers],0))</f>
        <v>439.52</v>
      </c>
      <c r="BE9" s="38">
        <f ca="1">ECF[[#This Row],[Aço (kg)]]*ECF[[#This Row],[Aço (R$/kg)]]+ECF[[#This Row],[Conc (m³)]]*ECF[[#This Row],[Conc (R$/m³)]]</f>
        <v>12301.511231539622</v>
      </c>
      <c r="BF9" s="4" t="str">
        <f ca="1">IF(COUNTIF(ECF[#This Row],"N.S.")&gt;0,"lim.","OK")</f>
        <v>lim.</v>
      </c>
      <c r="BG9" s="4" t="str">
        <f>IF(ECF[[#This Row],[Prof. (m)]]&lt;4,"lim.","OK")</f>
        <v>OK</v>
      </c>
      <c r="BH9" s="4" t="str">
        <f>IF(ECF[[#This Row],[Prof. (m)]]&gt;=8*ECF[[#This Row],[Ø (cm)]]/100,"OK","lim.")</f>
        <v>lim.</v>
      </c>
      <c r="BI9" s="4" t="str">
        <f>IF(AND(SPT!$F$3&lt;&gt;"",ECF[[#This Row],[Prof. (m)]]&gt;=SPT!$F$3-2),"lim.","OK")</f>
        <v>OK</v>
      </c>
      <c r="BJ9" s="4" t="str">
        <f ca="1">IF(ECF[[#This Row],[Verif. Biela]]="OK","OK","lim.")</f>
        <v>OK</v>
      </c>
      <c r="BK9" s="4" t="str">
        <f ca="1">IF(COUNTA(ECF[[#This Row],[Nº Est.]:[Biela comp.]])=COUNTIF(ECF[[#This Row],[Nº Est.]:[Biela comp.]],"OK"),"OK","lim.")</f>
        <v>lim.</v>
      </c>
      <c r="BL9" s="4" t="str">
        <f ca="1">IF(ECF[[#This Row],[Controle]]="OK",ECF[[#This Row],[nE]]&amp;" Ø"&amp;ECF[[#This Row],[Ø (cm)]]&amp;"cm Prof. "&amp;ECF[[#This Row],[Prof. (m)]]&amp;" m","")</f>
        <v/>
      </c>
      <c r="BM9" s="4" t="str">
        <f ca="1">IF(ECF[[#This Row],[idDimensionamento]]="","",ECF[[#This Row],[idPilar]]&amp;ECF[[#This Row],[idDimensionamento]])</f>
        <v/>
      </c>
    </row>
    <row r="10" spans="2:65" x14ac:dyDescent="0.25">
      <c r="B10" s="12">
        <f>ROUNDUP((ROW(ECF[[#This Row],[idDiâmetro]])-ROW(ECF[[#Headers],[idDiâmetro]]))/(COUNT(SPT[Prof. (m)])*COUNT(PILARES[Pilar])),0)</f>
        <v>1</v>
      </c>
      <c r="C10" s="12">
        <f>IF(ECF[[#This Row],[idDiâmetro]]&lt;&gt;B9,1,IF(ECF[[#This Row],[Prof. (m)]]=0,C9+1,C9))</f>
        <v>1</v>
      </c>
      <c r="D10" s="1">
        <f>IFERROR(IF(D9=MAX(SPT[Prof. (m)]),0,D9+1),0)</f>
        <v>5</v>
      </c>
      <c r="E10" s="1">
        <f>INDEX(SPT[],MATCH(ECF[[#This Row],[Prof. (m)]],SPT[Prof. (m)],0),2)</f>
        <v>17</v>
      </c>
      <c r="F10" s="1" t="str">
        <f>INDEX(SPT[],MATCH(ECF[[#This Row],[Prof. (m)]],SPT[Prof. (m)],0),3)</f>
        <v>Areia siltosa</v>
      </c>
      <c r="G10" s="1">
        <f>INDEX(estacas[],ECF[[#This Row],[idDiâmetro]],MATCH($B$2,estacas[#Headers],0))</f>
        <v>60</v>
      </c>
      <c r="H10" s="1">
        <f>INDEX(estacas[],MATCH(ECF[[#This Row],[Ø (cm)]],estacas[Ø ECF (cm)],0),MATCH(ECF[[#Headers],[Pe ECF (kN)]],estacas[#Headers],0))</f>
        <v>1100</v>
      </c>
      <c r="I10" s="4">
        <f>INDEX(K_alpha_C[],MATCH(ECF[[#This Row],[Solo]],K_alpha_C[Solo],0),2)</f>
        <v>0.8</v>
      </c>
      <c r="J10" s="5">
        <f>INDEX(K_alpha_C[],MATCH(ECF[[#This Row],[Solo]],K_alpha_C[Solo],0),3)</f>
        <v>2</v>
      </c>
      <c r="K10" s="4">
        <f>INDEX(F1_F2[],MATCH($D$2,F1_F2[Tipo de estaca],0),2)</f>
        <v>3</v>
      </c>
      <c r="L10" s="4">
        <f>INDEX(F1_F2[],MATCH($D$2,F1_F2[Tipo de estaca],0),3)</f>
        <v>6</v>
      </c>
      <c r="M10" s="4">
        <f>PI()*(ECF[[#This Row],[Ø (cm)]]/100)^2/4</f>
        <v>0.28274333882308139</v>
      </c>
      <c r="N10" s="4">
        <f>PI()*ECF[[#This Row],[Ø (cm)]]/100</f>
        <v>1.8849555921538756</v>
      </c>
      <c r="O10" s="4">
        <f>IF(ECF[[#This Row],[Prof. (m)]]=0,0,ECF[[#This Row],[α (%)]]/100*ECF[[#This Row],[K (MPa)]]*1000*ECF[[#This Row],[NSPT]])</f>
        <v>272</v>
      </c>
      <c r="P10" s="4">
        <f>IF(ECF[[#This Row],[Prof. (m)]]=0,0,(ECF[[#This Row],[K (MPa)]]*1000*ECF[[#This Row],[NSPT]]/ECF[[#This Row],[F1]]*ECF[[#This Row],[Ap (m²)]]+ECF[[#This Row],[U (m)]]/ECF[[#This Row],[F2]]*SUMIFS(ECF[(α∙K∙NL∙ΔL)],ECF[Prof. (m)],"&lt;="&amp;ECF[[#This Row],[Prof. (m)]],ECF[idDiâmetro],ECF[[#This Row],[idDiâmetro]],ECF[idPilar],ECF[[#This Row],[idPilar]]))/'DADOS CAP. CARGA'!$D$2)</f>
        <v>723.82294738708833</v>
      </c>
      <c r="Q10" s="12">
        <f>INDEX(C_alpha_beta[],MATCH(ECF[[#This Row],[Solo]],C_alpha_beta[Solo],0),MATCH(ECF[[#Headers],[C (kPa)]],C_alpha_beta[#Headers],0))</f>
        <v>400</v>
      </c>
      <c r="R10" s="4">
        <f>INDEX(C_alpha_beta[],MATCH(ECF[[#This Row],[Solo]],C_alpha_beta[Solo],0),MATCH(ECF[[#Headers],[α ESF]],C_alpha_beta[#Headers],0))</f>
        <v>0.5</v>
      </c>
      <c r="S10" s="4">
        <f>INDEX(C_alpha_beta[],MATCH(ECF[[#This Row],[Solo]],C_alpha_beta[Solo],0),MATCH(ECF[[#Headers],[β ESF]],C_alpha_beta[#Headers],0))</f>
        <v>0.5</v>
      </c>
      <c r="T10" s="4">
        <f>IF(ECF[[#This Row],[Prof. (m)]]=0,0,10*(ECF[[#This Row],[NSPT]]/3+1))</f>
        <v>66.666666666666671</v>
      </c>
      <c r="U10" s="4">
        <f>(ECF[[#This Row],[α ESF]]*ECF[[#This Row],[C (kPa)]]*ECF[[#This Row],[NSPT]]*ECF[[#This Row],[Ap (m²)]])/'DADOS CAP. CARGA'!$Q$2+(ECF[[#This Row],[β ESF]]*SUMIFS(ECF[10∙(NL/3+1)],ECF[Prof. (m)],"&lt;="&amp;ECF[[#This Row],[Prof. (m)]],ECF[idDiâmetro],ECF[[#This Row],[idDiâmetro]],ECF[idPilar],ECF[[#This Row],[idPilar]])*ECF[[#This Row],[U (m)]])/'DADOS CAP. CARGA'!$S$2</f>
        <v>315.73006168577422</v>
      </c>
      <c r="V10" s="4">
        <f>IF(SPT!$M$5=1,MIN(ECF[[#This Row],[Pe ECF (kN)]],ECF[[#This Row],[R_AV (kN)]]),IF(SPT!$M$5=2,MIN(ECF[[#This Row],[Pe ECF (kN)]],ECF[[#This Row],[R_DC (kN)]]),MIN(ECF[[#This Row],[Pe ECF (kN)]],ECF[[#This Row],[R_AV (kN)]],ECF[[#This Row],[R_DC (kN)]])))</f>
        <v>315.73006168577422</v>
      </c>
      <c r="W10" s="4">
        <f>INDEX(PILARES[],ECF[[#This Row],[idPilar]],MATCH("Carga (kN)",PILARES[#Headers],0))*1.4</f>
        <v>3500</v>
      </c>
      <c r="X10" s="12">
        <f>INDEX(PILARES[],ECF[[#This Row],[idPilar]],MATCH(ECF[[#Headers],[ap (cm)]],PILARES[#Headers],0))</f>
        <v>60</v>
      </c>
      <c r="Y10" s="12">
        <f>INDEX(PILARES[],ECF[[#This Row],[idPilar]],MATCH(ECF[[#Headers],[bp (cm)]],PILARES[#Headers],0))</f>
        <v>60</v>
      </c>
      <c r="Z10" s="4">
        <f>SQRT(ECF[[#This Row],[ap (cm)]]*ECF[[#This Row],[bp (cm)]])</f>
        <v>60</v>
      </c>
      <c r="AA10" s="12">
        <f>ECF[[#This Row],[ap (cm)]]*ECF[[#This Row],[bp (cm)]]</f>
        <v>3600</v>
      </c>
      <c r="AB10" s="12">
        <f ca="1">IF(ECF[[#This Row],[Padm∙ε (kN)]]&gt;=ECF[[#This Row],[Padm (kN)]],ROUNDUP(1.05*ECF[[#This Row],[Nsd (kN)]]/ECF[[#This Row],[Padm (kN)]],0),ROUNDUP(1.05*ECF[[#This Row],[Nsd (kN)]]/ECF[[#This Row],[Padm (kN)]],0)+1)</f>
        <v>12</v>
      </c>
      <c r="AC10" s="4" t="str">
        <f ca="1">IFERROR(IF(ECF[[#This Row],[nE]]=1,ECF[[#This Row],[Padm (kN)]],ECF[[#This Row],[Padm (kN)]]*ECF[[#This Row],[nE]]*INDEX(grupoEstacas[],ECF[[#This Row],[nE]],MATCH("ε",grupoEstacas[#Headers],0))),"N.S.")</f>
        <v>N.S.</v>
      </c>
      <c r="AD10" s="4">
        <f ca="1">1.05*ECF[[#This Row],[Nsd (kN)]]/(ECF[[#This Row],[nE]]*PI()*ECF[[#This Row],[Ø (cm)]]^2/4)*10</f>
        <v>1.0831378071531765</v>
      </c>
      <c r="AE10" s="4">
        <f ca="1">IF(ECF[[#This Row],[σ (MPa)]]&lt;INDEX(tipoEstaca[],MATCH($D$2,tipoEstaca[TIPO DE ESTACA],0),MATCH("σmáx (MPa)",tipoEstaca[#Headers],0)),0.4%*PI()*ECF[[#This Row],[Ø (cm)]]^2/4,"N.S.")</f>
        <v>11.309733552923255</v>
      </c>
      <c r="AF10" s="1">
        <f>INDEX(tipoEstaca[],MATCH($D$2,tipoEstaca[TIPO DE ESTACA],0),MATCH(ECF[[#Headers],[Comprimento (m)]],tipoEstaca[#Headers],0))</f>
        <v>4</v>
      </c>
      <c r="AG10" s="5">
        <f ca="1">ECF[[#This Row],[As,mín (cm²)]]/100^2*ECF[[#This Row],[Comprimento (m)]]*7850</f>
        <v>35.512563356179022</v>
      </c>
      <c r="AH10" s="4">
        <f ca="1">ECF[[#This Row],[nE]]*ECF[[#This Row],[Prof. (m)]]*ECF[[#This Row],[Ap (m²)]]</f>
        <v>16.964600329384883</v>
      </c>
      <c r="AI10" s="1">
        <f ca="1">IF(ECF[[#This Row],[nE]]=1,0,MAX(3*ECF[[#This Row],[Ø (cm)]],60))</f>
        <v>180</v>
      </c>
      <c r="AJ10" s="1">
        <f ca="1">IF(ECF[[#This Row],[nE]]=1,ECF[[#This Row],[Ø (cm)]]+2*10,MAX(1.5*ECF[[#This Row],[Ø (cm)]],ECF[[#This Row],[Ø (cm)]]+15))</f>
        <v>90</v>
      </c>
      <c r="AK10" s="1" t="str">
        <f ca="1">alturaUtil(ECF[[#This Row],[nE]],ECF[[#This Row],[Ø (cm)]],ECF[[#This Row],[e (cm)]],ECF[[#This Row],[ap,eq (cm)]])</f>
        <v>N.S.</v>
      </c>
      <c r="AL10" s="1" t="str">
        <f ca="1">IFERROR(ECF[[#This Row],[d (cm)]]+arredondarParaCimaMultiplo5cm(MAX(5,SQRT(PI())/2*ECF[[#This Row],[Ø (cm)]]/5)),"N.S.")</f>
        <v>N.S.</v>
      </c>
      <c r="AM10" s="5" t="str">
        <f ca="1">alpha(ECF[[#This Row],[nE]],ECF[[#This Row],[d (cm)]],ECF[[#This Row],[e (cm)]],ECF[[#This Row],[ap,eq (cm)]])</f>
        <v>N.S.</v>
      </c>
      <c r="AN10" s="35" t="str">
        <f ca="1">IFERROR(ECF[[#This Row],[Nsd (kN)]]/(ECF[[#This Row],[Ap (cm²)]]*SIN(ECF[[#This Row],[α]])^2),"N.S.")</f>
        <v>N.S.</v>
      </c>
      <c r="AO10" s="35" t="str">
        <f ca="1">IFERROR(ECF[[#This Row],[Nsd (kN)]]/(ECF[[#This Row],[nE]]*PI()*ECF[[#This Row],[Ø (cm)]]^2/4*SIN(ECF[[#This Row],[α]])^2),"N.S.")</f>
        <v>N.S.</v>
      </c>
      <c r="AP10" s="4" t="str">
        <f ca="1">IFERROR(INDEX(grupoEstacas[],ECF[[#This Row],[nE]],MATCH("coef. Blévot",grupoEstacas[#Headers],0)),"N.S.")</f>
        <v>N.S.</v>
      </c>
      <c r="AQ10" s="35" t="str">
        <f ca="1">IFERROR(ECF[[#This Row],[coef. Blévot]]*0.9*INDEX(tipoEstaca[],MATCH($D$2,tipoEstaca[TIPO DE ESTACA],0),MATCH("fcd (kN/cm²)",tipoEstaca[#Headers],0)),"N.S.")</f>
        <v>N.S.</v>
      </c>
      <c r="AR10" s="1" t="str">
        <f ca="1">IF(AND(ECF[[#This Row],[cd,b,pil (kN/cm²)]]&lt;=ECF[[#This Row],[cd,b,lim (kN/cm²)]],ECF[[#This Row],[cd,b,est (kN/cm²)]]&lt;=ECF[[#This Row],[cd,b,lim (kN/cm²)]]),"OK","ERRO")</f>
        <v>OK</v>
      </c>
      <c r="AS10" s="4" t="str">
        <f ca="1">As_lado(ECF[[#This Row],[nE]],ECF[[#This Row],[Nsd (kN)]],ECF[[#This Row],[d (cm)]],ECF[[#This Row],[e (cm)]],ECF[[#This Row],[ap,eq (cm)]])</f>
        <v>N.S.</v>
      </c>
      <c r="AT10" s="4" t="str">
        <f ca="1">IF(ECF[[#This Row],[nE]]=1,ECF[[#This Row],[As,lado (cm²)]],IF(ECF[[#This Row],[nE]]=2,0.075*2*ECF[a (cm)],"N.A."))</f>
        <v>N.A.</v>
      </c>
      <c r="AU10" s="4" t="str">
        <f ca="1">IFERROR(IF(ECF[[#This Row],[nE]]=1,"N.A.",0.2*ECF[[#This Row],[As,lado (cm²)]]),"N.S.")</f>
        <v>N.S.</v>
      </c>
      <c r="AV10" s="4" t="str">
        <f ca="1">As_malha(ECF[[#This Row],[nE]],ECF[[#This Row],[As,lado (cm²)]],ECF[[#This Row],[Nsd (kN)]])</f>
        <v>N.S.</v>
      </c>
      <c r="AW10" s="4" t="str">
        <f ca="1">As_susp_tot(ECF[[#This Row],[nE]],ECF[[#This Row],[Nsd (kN)]])</f>
        <v>N.S.</v>
      </c>
      <c r="AX10" s="4" t="str">
        <f ca="1">Asp_face(ECF[[#This Row],[nE]],ECF[[#This Row],[As,lado (cm²)]])</f>
        <v>N.S.</v>
      </c>
      <c r="AY10" s="5" t="str">
        <f ca="1">acoBloco(ECF[[#This Row],[nE]],ECF[[#This Row],[e (cm)]],ECF[[#This Row],[a (cm)]],ECF[[#This Row],[h (cm)]],ECF[[#This Row],[As,lado (cm²)]],ECF[[#This Row],[Asp e Asw (cm²/m)]],ECF[[#This Row],[As,sup (cm²)]],ECF[[#This Row],[As,malha (cm²)]],ECF[[#This Row],[As,susp,tot (cm²)]],ECF[[#This Row],[Asp,face (cm²)]])</f>
        <v>N.S.</v>
      </c>
      <c r="AZ10" s="4" t="str">
        <f ca="1">concretoBloco(ECF[[#This Row],[nE]],ECF[[#This Row],[e (cm)]],ECF[[#This Row],[a (cm)]],ECF[[#This Row],[h (cm)]])</f>
        <v>N.S.</v>
      </c>
      <c r="BA10" s="5">
        <f ca="1">SUM(ECF[[#This Row],[Aço Est (kg)]],ECF[[#This Row],[Aço Bloco (kg)]])</f>
        <v>35.512563356179022</v>
      </c>
      <c r="BB10" s="4">
        <f>INDEX(composicoes[],MATCH(95580,composicoes[CÓDIGO],0),MATCH("CUSTO TOTAL",composicoes[#Headers],0))</f>
        <v>10.46</v>
      </c>
      <c r="BC10" s="4">
        <f ca="1">SUM(ECF[[#This Row],[Conc Est (m³)]],ECF[[#This Row],[Conc Bloco (m³)]])</f>
        <v>16.964600329384883</v>
      </c>
      <c r="BD10" s="4">
        <f>INDEX(composicoes[],MATCH(94966,composicoes[CÓDIGO],0),MATCH("CUSTO TOTAL",composicoes[#Headers],0))</f>
        <v>439.52</v>
      </c>
      <c r="BE10" s="38">
        <f ca="1">ECF[[#This Row],[Aço (kg)]]*ECF[[#This Row],[Aço (R$/kg)]]+ECF[[#This Row],[Conc (m³)]]*ECF[[#This Row],[Conc (R$/m³)]]</f>
        <v>7827.7425494768768</v>
      </c>
      <c r="BF10" s="4" t="str">
        <f ca="1">IF(COUNTIF(ECF[#This Row],"N.S.")&gt;0,"lim.","OK")</f>
        <v>lim.</v>
      </c>
      <c r="BG10" s="4" t="str">
        <f>IF(ECF[[#This Row],[Prof. (m)]]&lt;4,"lim.","OK")</f>
        <v>OK</v>
      </c>
      <c r="BH10" s="4" t="str">
        <f>IF(ECF[[#This Row],[Prof. (m)]]&gt;=8*ECF[[#This Row],[Ø (cm)]]/100,"OK","lim.")</f>
        <v>OK</v>
      </c>
      <c r="BI10" s="4" t="str">
        <f>IF(AND(SPT!$F$3&lt;&gt;"",ECF[[#This Row],[Prof. (m)]]&gt;=SPT!$F$3-2),"lim.","OK")</f>
        <v>OK</v>
      </c>
      <c r="BJ10" s="4" t="str">
        <f ca="1">IF(ECF[[#This Row],[Verif. Biela]]="OK","OK","lim.")</f>
        <v>OK</v>
      </c>
      <c r="BK10" s="4" t="str">
        <f ca="1">IF(COUNTA(ECF[[#This Row],[Nº Est.]:[Biela comp.]])=COUNTIF(ECF[[#This Row],[Nº Est.]:[Biela comp.]],"OK"),"OK","lim.")</f>
        <v>lim.</v>
      </c>
      <c r="BL10" s="4" t="str">
        <f ca="1">IF(ECF[[#This Row],[Controle]]="OK",ECF[[#This Row],[nE]]&amp;" Ø"&amp;ECF[[#This Row],[Ø (cm)]]&amp;"cm Prof. "&amp;ECF[[#This Row],[Prof. (m)]]&amp;" m","")</f>
        <v/>
      </c>
      <c r="BM10" s="4" t="str">
        <f ca="1">IF(ECF[[#This Row],[idDimensionamento]]="","",ECF[[#This Row],[idPilar]]&amp;ECF[[#This Row],[idDimensionamento]])</f>
        <v/>
      </c>
    </row>
    <row r="11" spans="2:65" x14ac:dyDescent="0.25">
      <c r="B11" s="12">
        <f>ROUNDUP((ROW(ECF[[#This Row],[idDiâmetro]])-ROW(ECF[[#Headers],[idDiâmetro]]))/(COUNT(SPT[Prof. (m)])*COUNT(PILARES[Pilar])),0)</f>
        <v>1</v>
      </c>
      <c r="C11" s="12">
        <f>IF(ECF[[#This Row],[idDiâmetro]]&lt;&gt;B10,1,IF(ECF[[#This Row],[Prof. (m)]]=0,C10+1,C10))</f>
        <v>1</v>
      </c>
      <c r="D11" s="1">
        <f>IFERROR(IF(D10=MAX(SPT[Prof. (m)]),0,D10+1),0)</f>
        <v>6</v>
      </c>
      <c r="E11" s="1">
        <f>INDEX(SPT[],MATCH(ECF[[#This Row],[Prof. (m)]],SPT[Prof. (m)],0),2)</f>
        <v>21</v>
      </c>
      <c r="F11" s="1" t="str">
        <f>INDEX(SPT[],MATCH(ECF[[#This Row],[Prof. (m)]],SPT[Prof. (m)],0),3)</f>
        <v>Silte arenoso</v>
      </c>
      <c r="G11" s="1">
        <f>INDEX(estacas[],ECF[[#This Row],[idDiâmetro]],MATCH($B$2,estacas[#Headers],0))</f>
        <v>60</v>
      </c>
      <c r="H11" s="1">
        <f>INDEX(estacas[],MATCH(ECF[[#This Row],[Ø (cm)]],estacas[Ø ECF (cm)],0),MATCH(ECF[[#Headers],[Pe ECF (kN)]],estacas[#Headers],0))</f>
        <v>1100</v>
      </c>
      <c r="I11" s="4">
        <f>INDEX(K_alpha_C[],MATCH(ECF[[#This Row],[Solo]],K_alpha_C[Solo],0),2)</f>
        <v>0.55000000000000004</v>
      </c>
      <c r="J11" s="5">
        <f>INDEX(K_alpha_C[],MATCH(ECF[[#This Row],[Solo]],K_alpha_C[Solo],0),3)</f>
        <v>2.2000000000000002</v>
      </c>
      <c r="K11" s="4">
        <f>INDEX(F1_F2[],MATCH($D$2,F1_F2[Tipo de estaca],0),2)</f>
        <v>3</v>
      </c>
      <c r="L11" s="4">
        <f>INDEX(F1_F2[],MATCH($D$2,F1_F2[Tipo de estaca],0),3)</f>
        <v>6</v>
      </c>
      <c r="M11" s="4">
        <f>PI()*(ECF[[#This Row],[Ø (cm)]]/100)^2/4</f>
        <v>0.28274333882308139</v>
      </c>
      <c r="N11" s="4">
        <f>PI()*ECF[[#This Row],[Ø (cm)]]/100</f>
        <v>1.8849555921538756</v>
      </c>
      <c r="O11" s="4">
        <f>IF(ECF[[#This Row],[Prof. (m)]]=0,0,ECF[[#This Row],[α (%)]]/100*ECF[[#This Row],[K (MPa)]]*1000*ECF[[#This Row],[NSPT]])</f>
        <v>254.10000000000002</v>
      </c>
      <c r="P11" s="4">
        <f>IF(ECF[[#This Row],[Prof. (m)]]=0,0,(ECF[[#This Row],[K (MPa)]]*1000*ECF[[#This Row],[NSPT]]/ECF[[#This Row],[F1]]*ECF[[#This Row],[Ap (m²)]]+ECF[[#This Row],[U (m)]]/ECF[[#This Row],[F2]]*SUMIFS(ECF[(α∙K∙NL∙ΔL)],ECF[Prof. (m)],"&lt;="&amp;ECF[[#This Row],[Prof. (m)]],ECF[idDiâmetro],ECF[[#This Row],[idDiâmetro]],ECF[idPilar],ECF[[#This Row],[idPilar]]))/'DADOS CAP. CARGA'!$D$2)</f>
        <v>667.13290795306057</v>
      </c>
      <c r="Q11" s="12">
        <f>INDEX(C_alpha_beta[],MATCH(ECF[[#This Row],[Solo]],C_alpha_beta[Solo],0),MATCH(ECF[[#Headers],[C (kPa)]],C_alpha_beta[#Headers],0))</f>
        <v>250</v>
      </c>
      <c r="R11" s="4">
        <f>INDEX(C_alpha_beta[],MATCH(ECF[[#This Row],[Solo]],C_alpha_beta[Solo],0),MATCH(ECF[[#Headers],[α ESF]],C_alpha_beta[#Headers],0))</f>
        <v>0.6</v>
      </c>
      <c r="S11" s="4">
        <f>INDEX(C_alpha_beta[],MATCH(ECF[[#This Row],[Solo]],C_alpha_beta[Solo],0),MATCH(ECF[[#Headers],[β ESF]],C_alpha_beta[#Headers],0))</f>
        <v>0.65</v>
      </c>
      <c r="T11" s="4">
        <f>IF(ECF[[#This Row],[Prof. (m)]]=0,0,10*(ECF[[#This Row],[NSPT]]/3+1))</f>
        <v>80</v>
      </c>
      <c r="U11" s="4">
        <f>(ECF[[#This Row],[α ESF]]*ECF[[#This Row],[C (kPa)]]*ECF[[#This Row],[NSPT]]*ECF[[#This Row],[Ap (m²)]])/'DADOS CAP. CARGA'!$Q$2+(ECF[[#This Row],[β ESF]]*SUMIFS(ECF[10∙(NL/3+1)],ECF[Prof. (m)],"&lt;="&amp;ECF[[#This Row],[Prof. (m)]],ECF[idDiâmetro],ECF[[#This Row],[idDiâmetro]],ECF[idPilar],ECF[[#This Row],[idPilar]])*ECF[[#This Row],[U (m)]])/'DADOS CAP. CARGA'!$S$2</f>
        <v>369.68691551117888</v>
      </c>
      <c r="V11" s="4">
        <f>IF(SPT!$M$5=1,MIN(ECF[[#This Row],[Pe ECF (kN)]],ECF[[#This Row],[R_AV (kN)]]),IF(SPT!$M$5=2,MIN(ECF[[#This Row],[Pe ECF (kN)]],ECF[[#This Row],[R_DC (kN)]]),MIN(ECF[[#This Row],[Pe ECF (kN)]],ECF[[#This Row],[R_AV (kN)]],ECF[[#This Row],[R_DC (kN)]])))</f>
        <v>369.68691551117888</v>
      </c>
      <c r="W11" s="4">
        <f>INDEX(PILARES[],ECF[[#This Row],[idPilar]],MATCH("Carga (kN)",PILARES[#Headers],0))*1.4</f>
        <v>3500</v>
      </c>
      <c r="X11" s="12">
        <f>INDEX(PILARES[],ECF[[#This Row],[idPilar]],MATCH(ECF[[#Headers],[ap (cm)]],PILARES[#Headers],0))</f>
        <v>60</v>
      </c>
      <c r="Y11" s="12">
        <f>INDEX(PILARES[],ECF[[#This Row],[idPilar]],MATCH(ECF[[#Headers],[bp (cm)]],PILARES[#Headers],0))</f>
        <v>60</v>
      </c>
      <c r="Z11" s="4">
        <f>SQRT(ECF[[#This Row],[ap (cm)]]*ECF[[#This Row],[bp (cm)]])</f>
        <v>60</v>
      </c>
      <c r="AA11" s="12">
        <f>ECF[[#This Row],[ap (cm)]]*ECF[[#This Row],[bp (cm)]]</f>
        <v>3600</v>
      </c>
      <c r="AB11" s="12">
        <f ca="1">IF(ECF[[#This Row],[Padm∙ε (kN)]]&gt;=ECF[[#This Row],[Padm (kN)]],ROUNDUP(1.05*ECF[[#This Row],[Nsd (kN)]]/ECF[[#This Row],[Padm (kN)]],0),ROUNDUP(1.05*ECF[[#This Row],[Nsd (kN)]]/ECF[[#This Row],[Padm (kN)]],0)+1)</f>
        <v>10</v>
      </c>
      <c r="AC11" s="4" t="str">
        <f ca="1">IFERROR(IF(ECF[[#This Row],[nE]]=1,ECF[[#This Row],[Padm (kN)]],ECF[[#This Row],[Padm (kN)]]*ECF[[#This Row],[nE]]*INDEX(grupoEstacas[],ECF[[#This Row],[nE]],MATCH("ε",grupoEstacas[#Headers],0))),"N.S.")</f>
        <v>N.S.</v>
      </c>
      <c r="AD11" s="4">
        <f ca="1">1.05*ECF[[#This Row],[Nsd (kN)]]/(ECF[[#This Row],[nE]]*PI()*ECF[[#This Row],[Ø (cm)]]^2/4)*10</f>
        <v>1.299765368583812</v>
      </c>
      <c r="AE11" s="4">
        <f ca="1">IF(ECF[[#This Row],[σ (MPa)]]&lt;INDEX(tipoEstaca[],MATCH($D$2,tipoEstaca[TIPO DE ESTACA],0),MATCH("σmáx (MPa)",tipoEstaca[#Headers],0)),0.4%*PI()*ECF[[#This Row],[Ø (cm)]]^2/4,"N.S.")</f>
        <v>11.309733552923255</v>
      </c>
      <c r="AF11" s="1">
        <f>INDEX(tipoEstaca[],MATCH($D$2,tipoEstaca[TIPO DE ESTACA],0),MATCH(ECF[[#Headers],[Comprimento (m)]],tipoEstaca[#Headers],0))</f>
        <v>4</v>
      </c>
      <c r="AG11" s="5">
        <f ca="1">ECF[[#This Row],[As,mín (cm²)]]/100^2*ECF[[#This Row],[Comprimento (m)]]*7850</f>
        <v>35.512563356179022</v>
      </c>
      <c r="AH11" s="4">
        <f ca="1">ECF[[#This Row],[nE]]*ECF[[#This Row],[Prof. (m)]]*ECF[[#This Row],[Ap (m²)]]</f>
        <v>16.964600329384883</v>
      </c>
      <c r="AI11" s="1">
        <f ca="1">IF(ECF[[#This Row],[nE]]=1,0,MAX(3*ECF[[#This Row],[Ø (cm)]],60))</f>
        <v>180</v>
      </c>
      <c r="AJ11" s="1">
        <f ca="1">IF(ECF[[#This Row],[nE]]=1,ECF[[#This Row],[Ø (cm)]]+2*10,MAX(1.5*ECF[[#This Row],[Ø (cm)]],ECF[[#This Row],[Ø (cm)]]+15))</f>
        <v>90</v>
      </c>
      <c r="AK11" s="1" t="str">
        <f ca="1">alturaUtil(ECF[[#This Row],[nE]],ECF[[#This Row],[Ø (cm)]],ECF[[#This Row],[e (cm)]],ECF[[#This Row],[ap,eq (cm)]])</f>
        <v>N.S.</v>
      </c>
      <c r="AL11" s="1" t="str">
        <f ca="1">IFERROR(ECF[[#This Row],[d (cm)]]+arredondarParaCimaMultiplo5cm(MAX(5,SQRT(PI())/2*ECF[[#This Row],[Ø (cm)]]/5)),"N.S.")</f>
        <v>N.S.</v>
      </c>
      <c r="AM11" s="5" t="str">
        <f ca="1">alpha(ECF[[#This Row],[nE]],ECF[[#This Row],[d (cm)]],ECF[[#This Row],[e (cm)]],ECF[[#This Row],[ap,eq (cm)]])</f>
        <v>N.S.</v>
      </c>
      <c r="AN11" s="35" t="str">
        <f ca="1">IFERROR(ECF[[#This Row],[Nsd (kN)]]/(ECF[[#This Row],[Ap (cm²)]]*SIN(ECF[[#This Row],[α]])^2),"N.S.")</f>
        <v>N.S.</v>
      </c>
      <c r="AO11" s="35" t="str">
        <f ca="1">IFERROR(ECF[[#This Row],[Nsd (kN)]]/(ECF[[#This Row],[nE]]*PI()*ECF[[#This Row],[Ø (cm)]]^2/4*SIN(ECF[[#This Row],[α]])^2),"N.S.")</f>
        <v>N.S.</v>
      </c>
      <c r="AP11" s="4" t="str">
        <f ca="1">IFERROR(INDEX(grupoEstacas[],ECF[[#This Row],[nE]],MATCH("coef. Blévot",grupoEstacas[#Headers],0)),"N.S.")</f>
        <v>N.S.</v>
      </c>
      <c r="AQ11" s="35" t="str">
        <f ca="1">IFERROR(ECF[[#This Row],[coef. Blévot]]*0.9*INDEX(tipoEstaca[],MATCH($D$2,tipoEstaca[TIPO DE ESTACA],0),MATCH("fcd (kN/cm²)",tipoEstaca[#Headers],0)),"N.S.")</f>
        <v>N.S.</v>
      </c>
      <c r="AR11" s="1" t="str">
        <f ca="1">IF(AND(ECF[[#This Row],[cd,b,pil (kN/cm²)]]&lt;=ECF[[#This Row],[cd,b,lim (kN/cm²)]],ECF[[#This Row],[cd,b,est (kN/cm²)]]&lt;=ECF[[#This Row],[cd,b,lim (kN/cm²)]]),"OK","ERRO")</f>
        <v>OK</v>
      </c>
      <c r="AS11" s="4" t="str">
        <f ca="1">As_lado(ECF[[#This Row],[nE]],ECF[[#This Row],[Nsd (kN)]],ECF[[#This Row],[d (cm)]],ECF[[#This Row],[e (cm)]],ECF[[#This Row],[ap,eq (cm)]])</f>
        <v>N.S.</v>
      </c>
      <c r="AT11" s="4" t="str">
        <f ca="1">IF(ECF[[#This Row],[nE]]=1,ECF[[#This Row],[As,lado (cm²)]],IF(ECF[[#This Row],[nE]]=2,0.075*2*ECF[a (cm)],"N.A."))</f>
        <v>N.A.</v>
      </c>
      <c r="AU11" s="4" t="str">
        <f ca="1">IFERROR(IF(ECF[[#This Row],[nE]]=1,"N.A.",0.2*ECF[[#This Row],[As,lado (cm²)]]),"N.S.")</f>
        <v>N.S.</v>
      </c>
      <c r="AV11" s="4" t="str">
        <f ca="1">As_malha(ECF[[#This Row],[nE]],ECF[[#This Row],[As,lado (cm²)]],ECF[[#This Row],[Nsd (kN)]])</f>
        <v>N.S.</v>
      </c>
      <c r="AW11" s="4" t="str">
        <f ca="1">As_susp_tot(ECF[[#This Row],[nE]],ECF[[#This Row],[Nsd (kN)]])</f>
        <v>N.S.</v>
      </c>
      <c r="AX11" s="4" t="str">
        <f ca="1">Asp_face(ECF[[#This Row],[nE]],ECF[[#This Row],[As,lado (cm²)]])</f>
        <v>N.S.</v>
      </c>
      <c r="AY11" s="5" t="str">
        <f ca="1">acoBloco(ECF[[#This Row],[nE]],ECF[[#This Row],[e (cm)]],ECF[[#This Row],[a (cm)]],ECF[[#This Row],[h (cm)]],ECF[[#This Row],[As,lado (cm²)]],ECF[[#This Row],[Asp e Asw (cm²/m)]],ECF[[#This Row],[As,sup (cm²)]],ECF[[#This Row],[As,malha (cm²)]],ECF[[#This Row],[As,susp,tot (cm²)]],ECF[[#This Row],[Asp,face (cm²)]])</f>
        <v>N.S.</v>
      </c>
      <c r="AZ11" s="4" t="str">
        <f ca="1">concretoBloco(ECF[[#This Row],[nE]],ECF[[#This Row],[e (cm)]],ECF[[#This Row],[a (cm)]],ECF[[#This Row],[h (cm)]])</f>
        <v>N.S.</v>
      </c>
      <c r="BA11" s="5">
        <f ca="1">SUM(ECF[[#This Row],[Aço Est (kg)]],ECF[[#This Row],[Aço Bloco (kg)]])</f>
        <v>35.512563356179022</v>
      </c>
      <c r="BB11" s="4">
        <f>INDEX(composicoes[],MATCH(95580,composicoes[CÓDIGO],0),MATCH("CUSTO TOTAL",composicoes[#Headers],0))</f>
        <v>10.46</v>
      </c>
      <c r="BC11" s="4">
        <f ca="1">SUM(ECF[[#This Row],[Conc Est (m³)]],ECF[[#This Row],[Conc Bloco (m³)]])</f>
        <v>16.964600329384883</v>
      </c>
      <c r="BD11" s="4">
        <f>INDEX(composicoes[],MATCH(94966,composicoes[CÓDIGO],0),MATCH("CUSTO TOTAL",composicoes[#Headers],0))</f>
        <v>439.52</v>
      </c>
      <c r="BE11" s="38">
        <f ca="1">ECF[[#This Row],[Aço (kg)]]*ECF[[#This Row],[Aço (R$/kg)]]+ECF[[#This Row],[Conc (m³)]]*ECF[[#This Row],[Conc (R$/m³)]]</f>
        <v>7827.7425494768768</v>
      </c>
      <c r="BF11" s="4" t="str">
        <f ca="1">IF(COUNTIF(ECF[#This Row],"N.S.")&gt;0,"lim.","OK")</f>
        <v>lim.</v>
      </c>
      <c r="BG11" s="4" t="str">
        <f>IF(ECF[[#This Row],[Prof. (m)]]&lt;4,"lim.","OK")</f>
        <v>OK</v>
      </c>
      <c r="BH11" s="4" t="str">
        <f>IF(ECF[[#This Row],[Prof. (m)]]&gt;=8*ECF[[#This Row],[Ø (cm)]]/100,"OK","lim.")</f>
        <v>OK</v>
      </c>
      <c r="BI11" s="4" t="str">
        <f>IF(AND(SPT!$F$3&lt;&gt;"",ECF[[#This Row],[Prof. (m)]]&gt;=SPT!$F$3-2),"lim.","OK")</f>
        <v>OK</v>
      </c>
      <c r="BJ11" s="4" t="str">
        <f ca="1">IF(ECF[[#This Row],[Verif. Biela]]="OK","OK","lim.")</f>
        <v>OK</v>
      </c>
      <c r="BK11" s="4" t="str">
        <f ca="1">IF(COUNTA(ECF[[#This Row],[Nº Est.]:[Biela comp.]])=COUNTIF(ECF[[#This Row],[Nº Est.]:[Biela comp.]],"OK"),"OK","lim.")</f>
        <v>lim.</v>
      </c>
      <c r="BL11" s="4" t="str">
        <f ca="1">IF(ECF[[#This Row],[Controle]]="OK",ECF[[#This Row],[nE]]&amp;" Ø"&amp;ECF[[#This Row],[Ø (cm)]]&amp;"cm Prof. "&amp;ECF[[#This Row],[Prof. (m)]]&amp;" m","")</f>
        <v/>
      </c>
      <c r="BM11" s="4" t="str">
        <f ca="1">IF(ECF[[#This Row],[idDimensionamento]]="","",ECF[[#This Row],[idPilar]]&amp;ECF[[#This Row],[idDimensionamento]])</f>
        <v/>
      </c>
    </row>
    <row r="12" spans="2:65" x14ac:dyDescent="0.25">
      <c r="B12" s="12">
        <f>ROUNDUP((ROW(ECF[[#This Row],[idDiâmetro]])-ROW(ECF[[#Headers],[idDiâmetro]]))/(COUNT(SPT[Prof. (m)])*COUNT(PILARES[Pilar])),0)</f>
        <v>1</v>
      </c>
      <c r="C12" s="12">
        <f>IF(ECF[[#This Row],[idDiâmetro]]&lt;&gt;B11,1,IF(ECF[[#This Row],[Prof. (m)]]=0,C11+1,C11))</f>
        <v>1</v>
      </c>
      <c r="D12" s="1">
        <f>IFERROR(IF(D11=MAX(SPT[Prof. (m)]),0,D11+1),0)</f>
        <v>7</v>
      </c>
      <c r="E12" s="1">
        <f>INDEX(SPT[],MATCH(ECF[[#This Row],[Prof. (m)]],SPT[Prof. (m)],0),2)</f>
        <v>8</v>
      </c>
      <c r="F12" s="1" t="str">
        <f>INDEX(SPT[],MATCH(ECF[[#This Row],[Prof. (m)]],SPT[Prof. (m)],0),3)</f>
        <v>Silte arenoso</v>
      </c>
      <c r="G12" s="1">
        <f>INDEX(estacas[],ECF[[#This Row],[idDiâmetro]],MATCH($B$2,estacas[#Headers],0))</f>
        <v>60</v>
      </c>
      <c r="H12" s="1">
        <f>INDEX(estacas[],MATCH(ECF[[#This Row],[Ø (cm)]],estacas[Ø ECF (cm)],0),MATCH(ECF[[#Headers],[Pe ECF (kN)]],estacas[#Headers],0))</f>
        <v>1100</v>
      </c>
      <c r="I12" s="4">
        <f>INDEX(K_alpha_C[],MATCH(ECF[[#This Row],[Solo]],K_alpha_C[Solo],0),2)</f>
        <v>0.55000000000000004</v>
      </c>
      <c r="J12" s="5">
        <f>INDEX(K_alpha_C[],MATCH(ECF[[#This Row],[Solo]],K_alpha_C[Solo],0),3)</f>
        <v>2.2000000000000002</v>
      </c>
      <c r="K12" s="4">
        <f>INDEX(F1_F2[],MATCH($D$2,F1_F2[Tipo de estaca],0),2)</f>
        <v>3</v>
      </c>
      <c r="L12" s="4">
        <f>INDEX(F1_F2[],MATCH($D$2,F1_F2[Tipo de estaca],0),3)</f>
        <v>6</v>
      </c>
      <c r="M12" s="4">
        <f>PI()*(ECF[[#This Row],[Ø (cm)]]/100)^2/4</f>
        <v>0.28274333882308139</v>
      </c>
      <c r="N12" s="4">
        <f>PI()*ECF[[#This Row],[Ø (cm)]]/100</f>
        <v>1.8849555921538756</v>
      </c>
      <c r="O12" s="4">
        <f>IF(ECF[[#This Row],[Prof. (m)]]=0,0,ECF[[#This Row],[α (%)]]/100*ECF[[#This Row],[K (MPa)]]*1000*ECF[[#This Row],[NSPT]])</f>
        <v>96.800000000000011</v>
      </c>
      <c r="P12" s="4">
        <f>IF(ECF[[#This Row],[Prof. (m)]]=0,0,(ECF[[#This Row],[K (MPa)]]*1000*ECF[[#This Row],[NSPT]]/ECF[[#This Row],[F1]]*ECF[[#This Row],[Ap (m²)]]+ECF[[#This Row],[U (m)]]/ECF[[#This Row],[F2]]*SUMIFS(ECF[(α∙K∙NL∙ΔL)],ECF[Prof. (m)],"&lt;="&amp;ECF[[#This Row],[Prof. (m)]],ECF[idDiâmetro],ECF[[#This Row],[idDiâmetro]],ECF[idPilar],ECF[[#This Row],[idPilar]]))/'DADOS CAP. CARGA'!$D$2)</f>
        <v>345.40240429892981</v>
      </c>
      <c r="Q12" s="12">
        <f>INDEX(C_alpha_beta[],MATCH(ECF[[#This Row],[Solo]],C_alpha_beta[Solo],0),MATCH(ECF[[#Headers],[C (kPa)]],C_alpha_beta[#Headers],0))</f>
        <v>250</v>
      </c>
      <c r="R12" s="4">
        <f>INDEX(C_alpha_beta[],MATCH(ECF[[#This Row],[Solo]],C_alpha_beta[Solo],0),MATCH(ECF[[#Headers],[α ESF]],C_alpha_beta[#Headers],0))</f>
        <v>0.6</v>
      </c>
      <c r="S12" s="4">
        <f>INDEX(C_alpha_beta[],MATCH(ECF[[#This Row],[Solo]],C_alpha_beta[Solo],0),MATCH(ECF[[#Headers],[β ESF]],C_alpha_beta[#Headers],0))</f>
        <v>0.65</v>
      </c>
      <c r="T12" s="4">
        <f>IF(ECF[[#This Row],[Prof. (m)]]=0,0,10*(ECF[[#This Row],[NSPT]]/3+1))</f>
        <v>36.666666666666664</v>
      </c>
      <c r="U12" s="4">
        <f>(ECF[[#This Row],[α ESF]]*ECF[[#This Row],[C (kPa)]]*ECF[[#This Row],[NSPT]]*ECF[[#This Row],[Ap (m²)]])/'DADOS CAP. CARGA'!$Q$2+(ECF[[#This Row],[β ESF]]*SUMIFS(ECF[10∙(NL/3+1)],ECF[Prof. (m)],"&lt;="&amp;ECF[[#This Row],[Prof. (m)]],ECF[idDiâmetro],ECF[[#This Row],[idDiâmetro]],ECF[idPilar],ECF[[#This Row],[idPilar]])*ECF[[#This Row],[U (m)]])/'DADOS CAP. CARGA'!$S$2</f>
        <v>254.31192530809375</v>
      </c>
      <c r="V12" s="4">
        <f>IF(SPT!$M$5=1,MIN(ECF[[#This Row],[Pe ECF (kN)]],ECF[[#This Row],[R_AV (kN)]]),IF(SPT!$M$5=2,MIN(ECF[[#This Row],[Pe ECF (kN)]],ECF[[#This Row],[R_DC (kN)]]),MIN(ECF[[#This Row],[Pe ECF (kN)]],ECF[[#This Row],[R_AV (kN)]],ECF[[#This Row],[R_DC (kN)]])))</f>
        <v>254.31192530809375</v>
      </c>
      <c r="W12" s="4">
        <f>INDEX(PILARES[],ECF[[#This Row],[idPilar]],MATCH("Carga (kN)",PILARES[#Headers],0))*1.4</f>
        <v>3500</v>
      </c>
      <c r="X12" s="12">
        <f>INDEX(PILARES[],ECF[[#This Row],[idPilar]],MATCH(ECF[[#Headers],[ap (cm)]],PILARES[#Headers],0))</f>
        <v>60</v>
      </c>
      <c r="Y12" s="12">
        <f>INDEX(PILARES[],ECF[[#This Row],[idPilar]],MATCH(ECF[[#Headers],[bp (cm)]],PILARES[#Headers],0))</f>
        <v>60</v>
      </c>
      <c r="Z12" s="4">
        <f>SQRT(ECF[[#This Row],[ap (cm)]]*ECF[[#This Row],[bp (cm)]])</f>
        <v>60</v>
      </c>
      <c r="AA12" s="12">
        <f>ECF[[#This Row],[ap (cm)]]*ECF[[#This Row],[bp (cm)]]</f>
        <v>3600</v>
      </c>
      <c r="AB12" s="12">
        <f ca="1">IF(ECF[[#This Row],[Padm∙ε (kN)]]&gt;=ECF[[#This Row],[Padm (kN)]],ROUNDUP(1.05*ECF[[#This Row],[Nsd (kN)]]/ECF[[#This Row],[Padm (kN)]],0),ROUNDUP(1.05*ECF[[#This Row],[Nsd (kN)]]/ECF[[#This Row],[Padm (kN)]],0)+1)</f>
        <v>15</v>
      </c>
      <c r="AC12" s="4" t="str">
        <f ca="1">IFERROR(IF(ECF[[#This Row],[nE]]=1,ECF[[#This Row],[Padm (kN)]],ECF[[#This Row],[Padm (kN)]]*ECF[[#This Row],[nE]]*INDEX(grupoEstacas[],ECF[[#This Row],[nE]],MATCH("ε",grupoEstacas[#Headers],0))),"N.S.")</f>
        <v>N.S.</v>
      </c>
      <c r="AD12" s="4">
        <f ca="1">1.05*ECF[[#This Row],[Nsd (kN)]]/(ECF[[#This Row],[nE]]*PI()*ECF[[#This Row],[Ø (cm)]]^2/4)*10</f>
        <v>0.86651024572254132</v>
      </c>
      <c r="AE12" s="4">
        <f ca="1">IF(ECF[[#This Row],[σ (MPa)]]&lt;INDEX(tipoEstaca[],MATCH($D$2,tipoEstaca[TIPO DE ESTACA],0),MATCH("σmáx (MPa)",tipoEstaca[#Headers],0)),0.4%*PI()*ECF[[#This Row],[Ø (cm)]]^2/4,"N.S.")</f>
        <v>11.309733552923255</v>
      </c>
      <c r="AF12" s="1">
        <f>INDEX(tipoEstaca[],MATCH($D$2,tipoEstaca[TIPO DE ESTACA],0),MATCH(ECF[[#Headers],[Comprimento (m)]],tipoEstaca[#Headers],0))</f>
        <v>4</v>
      </c>
      <c r="AG12" s="5">
        <f ca="1">ECF[[#This Row],[As,mín (cm²)]]/100^2*ECF[[#This Row],[Comprimento (m)]]*7850</f>
        <v>35.512563356179022</v>
      </c>
      <c r="AH12" s="4">
        <f ca="1">ECF[[#This Row],[nE]]*ECF[[#This Row],[Prof. (m)]]*ECF[[#This Row],[Ap (m²)]]</f>
        <v>29.688050576423546</v>
      </c>
      <c r="AI12" s="1">
        <f ca="1">IF(ECF[[#This Row],[nE]]=1,0,MAX(3*ECF[[#This Row],[Ø (cm)]],60))</f>
        <v>180</v>
      </c>
      <c r="AJ12" s="1">
        <f ca="1">IF(ECF[[#This Row],[nE]]=1,ECF[[#This Row],[Ø (cm)]]+2*10,MAX(1.5*ECF[[#This Row],[Ø (cm)]],ECF[[#This Row],[Ø (cm)]]+15))</f>
        <v>90</v>
      </c>
      <c r="AK12" s="1" t="str">
        <f ca="1">alturaUtil(ECF[[#This Row],[nE]],ECF[[#This Row],[Ø (cm)]],ECF[[#This Row],[e (cm)]],ECF[[#This Row],[ap,eq (cm)]])</f>
        <v>N.S.</v>
      </c>
      <c r="AL12" s="1" t="str">
        <f ca="1">IFERROR(ECF[[#This Row],[d (cm)]]+arredondarParaCimaMultiplo5cm(MAX(5,SQRT(PI())/2*ECF[[#This Row],[Ø (cm)]]/5)),"N.S.")</f>
        <v>N.S.</v>
      </c>
      <c r="AM12" s="5" t="str">
        <f ca="1">alpha(ECF[[#This Row],[nE]],ECF[[#This Row],[d (cm)]],ECF[[#This Row],[e (cm)]],ECF[[#This Row],[ap,eq (cm)]])</f>
        <v>N.S.</v>
      </c>
      <c r="AN12" s="35" t="str">
        <f ca="1">IFERROR(ECF[[#This Row],[Nsd (kN)]]/(ECF[[#This Row],[Ap (cm²)]]*SIN(ECF[[#This Row],[α]])^2),"N.S.")</f>
        <v>N.S.</v>
      </c>
      <c r="AO12" s="35" t="str">
        <f ca="1">IFERROR(ECF[[#This Row],[Nsd (kN)]]/(ECF[[#This Row],[nE]]*PI()*ECF[[#This Row],[Ø (cm)]]^2/4*SIN(ECF[[#This Row],[α]])^2),"N.S.")</f>
        <v>N.S.</v>
      </c>
      <c r="AP12" s="4" t="str">
        <f ca="1">IFERROR(INDEX(grupoEstacas[],ECF[[#This Row],[nE]],MATCH("coef. Blévot",grupoEstacas[#Headers],0)),"N.S.")</f>
        <v>N.S.</v>
      </c>
      <c r="AQ12" s="35" t="str">
        <f ca="1">IFERROR(ECF[[#This Row],[coef. Blévot]]*0.9*INDEX(tipoEstaca[],MATCH($D$2,tipoEstaca[TIPO DE ESTACA],0),MATCH("fcd (kN/cm²)",tipoEstaca[#Headers],0)),"N.S.")</f>
        <v>N.S.</v>
      </c>
      <c r="AR12" s="1" t="str">
        <f ca="1">IF(AND(ECF[[#This Row],[cd,b,pil (kN/cm²)]]&lt;=ECF[[#This Row],[cd,b,lim (kN/cm²)]],ECF[[#This Row],[cd,b,est (kN/cm²)]]&lt;=ECF[[#This Row],[cd,b,lim (kN/cm²)]]),"OK","ERRO")</f>
        <v>OK</v>
      </c>
      <c r="AS12" s="4" t="str">
        <f ca="1">As_lado(ECF[[#This Row],[nE]],ECF[[#This Row],[Nsd (kN)]],ECF[[#This Row],[d (cm)]],ECF[[#This Row],[e (cm)]],ECF[[#This Row],[ap,eq (cm)]])</f>
        <v>N.S.</v>
      </c>
      <c r="AT12" s="4" t="str">
        <f ca="1">IF(ECF[[#This Row],[nE]]=1,ECF[[#This Row],[As,lado (cm²)]],IF(ECF[[#This Row],[nE]]=2,0.075*2*ECF[a (cm)],"N.A."))</f>
        <v>N.A.</v>
      </c>
      <c r="AU12" s="4" t="str">
        <f ca="1">IFERROR(IF(ECF[[#This Row],[nE]]=1,"N.A.",0.2*ECF[[#This Row],[As,lado (cm²)]]),"N.S.")</f>
        <v>N.S.</v>
      </c>
      <c r="AV12" s="4" t="str">
        <f ca="1">As_malha(ECF[[#This Row],[nE]],ECF[[#This Row],[As,lado (cm²)]],ECF[[#This Row],[Nsd (kN)]])</f>
        <v>N.S.</v>
      </c>
      <c r="AW12" s="4" t="str">
        <f ca="1">As_susp_tot(ECF[[#This Row],[nE]],ECF[[#This Row],[Nsd (kN)]])</f>
        <v>N.S.</v>
      </c>
      <c r="AX12" s="4" t="str">
        <f ca="1">Asp_face(ECF[[#This Row],[nE]],ECF[[#This Row],[As,lado (cm²)]])</f>
        <v>N.S.</v>
      </c>
      <c r="AY12" s="5" t="str">
        <f ca="1">acoBloco(ECF[[#This Row],[nE]],ECF[[#This Row],[e (cm)]],ECF[[#This Row],[a (cm)]],ECF[[#This Row],[h (cm)]],ECF[[#This Row],[As,lado (cm²)]],ECF[[#This Row],[Asp e Asw (cm²/m)]],ECF[[#This Row],[As,sup (cm²)]],ECF[[#This Row],[As,malha (cm²)]],ECF[[#This Row],[As,susp,tot (cm²)]],ECF[[#This Row],[Asp,face (cm²)]])</f>
        <v>N.S.</v>
      </c>
      <c r="AZ12" s="4" t="str">
        <f ca="1">concretoBloco(ECF[[#This Row],[nE]],ECF[[#This Row],[e (cm)]],ECF[[#This Row],[a (cm)]],ECF[[#This Row],[h (cm)]])</f>
        <v>N.S.</v>
      </c>
      <c r="BA12" s="5">
        <f ca="1">SUM(ECF[[#This Row],[Aço Est (kg)]],ECF[[#This Row],[Aço Bloco (kg)]])</f>
        <v>35.512563356179022</v>
      </c>
      <c r="BB12" s="4">
        <f>INDEX(composicoes[],MATCH(95580,composicoes[CÓDIGO],0),MATCH("CUSTO TOTAL",composicoes[#Headers],0))</f>
        <v>10.46</v>
      </c>
      <c r="BC12" s="4">
        <f ca="1">SUM(ECF[[#This Row],[Conc Est (m³)]],ECF[[#This Row],[Conc Bloco (m³)]])</f>
        <v>29.688050576423546</v>
      </c>
      <c r="BD12" s="4">
        <f>INDEX(composicoes[],MATCH(94966,composicoes[CÓDIGO],0),MATCH("CUSTO TOTAL",composicoes[#Headers],0))</f>
        <v>439.52</v>
      </c>
      <c r="BE12" s="38">
        <f ca="1">ECF[[#This Row],[Aço (kg)]]*ECF[[#This Row],[Aço (R$/kg)]]+ECF[[#This Row],[Conc (m³)]]*ECF[[#This Row],[Conc (R$/m³)]]</f>
        <v>13419.953402055309</v>
      </c>
      <c r="BF12" s="4" t="str">
        <f ca="1">IF(COUNTIF(ECF[#This Row],"N.S.")&gt;0,"lim.","OK")</f>
        <v>lim.</v>
      </c>
      <c r="BG12" s="4" t="str">
        <f>IF(ECF[[#This Row],[Prof. (m)]]&lt;4,"lim.","OK")</f>
        <v>OK</v>
      </c>
      <c r="BH12" s="4" t="str">
        <f>IF(ECF[[#This Row],[Prof. (m)]]&gt;=8*ECF[[#This Row],[Ø (cm)]]/100,"OK","lim.")</f>
        <v>OK</v>
      </c>
      <c r="BI12" s="4" t="str">
        <f>IF(AND(SPT!$F$3&lt;&gt;"",ECF[[#This Row],[Prof. (m)]]&gt;=SPT!$F$3-2),"lim.","OK")</f>
        <v>OK</v>
      </c>
      <c r="BJ12" s="4" t="str">
        <f ca="1">IF(ECF[[#This Row],[Verif. Biela]]="OK","OK","lim.")</f>
        <v>OK</v>
      </c>
      <c r="BK12" s="4" t="str">
        <f ca="1">IF(COUNTA(ECF[[#This Row],[Nº Est.]:[Biela comp.]])=COUNTIF(ECF[[#This Row],[Nº Est.]:[Biela comp.]],"OK"),"OK","lim.")</f>
        <v>lim.</v>
      </c>
      <c r="BL12" s="4" t="str">
        <f ca="1">IF(ECF[[#This Row],[Controle]]="OK",ECF[[#This Row],[nE]]&amp;" Ø"&amp;ECF[[#This Row],[Ø (cm)]]&amp;"cm Prof. "&amp;ECF[[#This Row],[Prof. (m)]]&amp;" m","")</f>
        <v/>
      </c>
      <c r="BM12" s="4" t="str">
        <f ca="1">IF(ECF[[#This Row],[idDimensionamento]]="","",ECF[[#This Row],[idPilar]]&amp;ECF[[#This Row],[idDimensionamento]])</f>
        <v/>
      </c>
    </row>
    <row r="13" spans="2:65" x14ac:dyDescent="0.25">
      <c r="B13" s="12">
        <f>ROUNDUP((ROW(ECF[[#This Row],[idDiâmetro]])-ROW(ECF[[#Headers],[idDiâmetro]]))/(COUNT(SPT[Prof. (m)])*COUNT(PILARES[Pilar])),0)</f>
        <v>1</v>
      </c>
      <c r="C13" s="12">
        <f>IF(ECF[[#This Row],[idDiâmetro]]&lt;&gt;B12,1,IF(ECF[[#This Row],[Prof. (m)]]=0,C12+1,C12))</f>
        <v>1</v>
      </c>
      <c r="D13" s="1">
        <f>IFERROR(IF(D12=MAX(SPT[Prof. (m)]),0,D12+1),0)</f>
        <v>8</v>
      </c>
      <c r="E13" s="1">
        <f>INDEX(SPT[],MATCH(ECF[[#This Row],[Prof. (m)]],SPT[Prof. (m)],0),2)</f>
        <v>10</v>
      </c>
      <c r="F13" s="1" t="str">
        <f>INDEX(SPT[],MATCH(ECF[[#This Row],[Prof. (m)]],SPT[Prof. (m)],0),3)</f>
        <v>Silte arenoso</v>
      </c>
      <c r="G13" s="1">
        <f>INDEX(estacas[],ECF[[#This Row],[idDiâmetro]],MATCH($B$2,estacas[#Headers],0))</f>
        <v>60</v>
      </c>
      <c r="H13" s="1">
        <f>INDEX(estacas[],MATCH(ECF[[#This Row],[Ø (cm)]],estacas[Ø ECF (cm)],0),MATCH(ECF[[#Headers],[Pe ECF (kN)]],estacas[#Headers],0))</f>
        <v>1100</v>
      </c>
      <c r="I13" s="4">
        <f>INDEX(K_alpha_C[],MATCH(ECF[[#This Row],[Solo]],K_alpha_C[Solo],0),2)</f>
        <v>0.55000000000000004</v>
      </c>
      <c r="J13" s="5">
        <f>INDEX(K_alpha_C[],MATCH(ECF[[#This Row],[Solo]],K_alpha_C[Solo],0),3)</f>
        <v>2.2000000000000002</v>
      </c>
      <c r="K13" s="4">
        <f>INDEX(F1_F2[],MATCH($D$2,F1_F2[Tipo de estaca],0),2)</f>
        <v>3</v>
      </c>
      <c r="L13" s="4">
        <f>INDEX(F1_F2[],MATCH($D$2,F1_F2[Tipo de estaca],0),3)</f>
        <v>6</v>
      </c>
      <c r="M13" s="4">
        <f>PI()*(ECF[[#This Row],[Ø (cm)]]/100)^2/4</f>
        <v>0.28274333882308139</v>
      </c>
      <c r="N13" s="4">
        <f>PI()*ECF[[#This Row],[Ø (cm)]]/100</f>
        <v>1.8849555921538756</v>
      </c>
      <c r="O13" s="4">
        <f>IF(ECF[[#This Row],[Prof. (m)]]=0,0,ECF[[#This Row],[α (%)]]/100*ECF[[#This Row],[K (MPa)]]*1000*ECF[[#This Row],[NSPT]])</f>
        <v>121.00000000000001</v>
      </c>
      <c r="P13" s="4">
        <f>IF(ECF[[#This Row],[Prof. (m)]]=0,0,(ECF[[#This Row],[K (MPa)]]*1000*ECF[[#This Row],[NSPT]]/ECF[[#This Row],[F1]]*ECF[[#This Row],[Ap (m²)]]+ECF[[#This Row],[U (m)]]/ECF[[#This Row],[F2]]*SUMIFS(ECF[(α∙K∙NL∙ΔL)],ECF[Prof. (m)],"&lt;="&amp;ECF[[#This Row],[Prof. (m)]],ECF[idDiâmetro],ECF[[#This Row],[idDiâmetro]],ECF[idPilar],ECF[[#This Row],[idPilar]]))/'DADOS CAP. CARGA'!$D$2)</f>
        <v>416.24531863737957</v>
      </c>
      <c r="Q13" s="12">
        <f>INDEX(C_alpha_beta[],MATCH(ECF[[#This Row],[Solo]],C_alpha_beta[Solo],0),MATCH(ECF[[#Headers],[C (kPa)]],C_alpha_beta[#Headers],0))</f>
        <v>250</v>
      </c>
      <c r="R13" s="4">
        <f>INDEX(C_alpha_beta[],MATCH(ECF[[#This Row],[Solo]],C_alpha_beta[Solo],0),MATCH(ECF[[#Headers],[α ESF]],C_alpha_beta[#Headers],0))</f>
        <v>0.6</v>
      </c>
      <c r="S13" s="4">
        <f>INDEX(C_alpha_beta[],MATCH(ECF[[#This Row],[Solo]],C_alpha_beta[Solo],0),MATCH(ECF[[#Headers],[β ESF]],C_alpha_beta[#Headers],0))</f>
        <v>0.65</v>
      </c>
      <c r="T13" s="4">
        <f>IF(ECF[[#This Row],[Prof. (m)]]=0,0,10*(ECF[[#This Row],[NSPT]]/3+1))</f>
        <v>43.333333333333343</v>
      </c>
      <c r="U13" s="4">
        <f>(ECF[[#This Row],[α ESF]]*ECF[[#This Row],[C (kPa)]]*ECF[[#This Row],[NSPT]]*ECF[[#This Row],[Ap (m²)]])/'DADOS CAP. CARGA'!$Q$2+(ECF[[#This Row],[β ESF]]*SUMIFS(ECF[10∙(NL/3+1)],ECF[Prof. (m)],"&lt;="&amp;ECF[[#This Row],[Prof. (m)]],ECF[idDiâmetro],ECF[[#This Row],[idDiâmetro]],ECF[idPilar],ECF[[#This Row],[idPilar]])*ECF[[#This Row],[U (m)]])/'DADOS CAP. CARGA'!$S$2</f>
        <v>302.06413364265859</v>
      </c>
      <c r="V13" s="4">
        <f>IF(SPT!$M$5=1,MIN(ECF[[#This Row],[Pe ECF (kN)]],ECF[[#This Row],[R_AV (kN)]]),IF(SPT!$M$5=2,MIN(ECF[[#This Row],[Pe ECF (kN)]],ECF[[#This Row],[R_DC (kN)]]),MIN(ECF[[#This Row],[Pe ECF (kN)]],ECF[[#This Row],[R_AV (kN)]],ECF[[#This Row],[R_DC (kN)]])))</f>
        <v>302.06413364265859</v>
      </c>
      <c r="W13" s="4">
        <f>INDEX(PILARES[],ECF[[#This Row],[idPilar]],MATCH("Carga (kN)",PILARES[#Headers],0))*1.4</f>
        <v>3500</v>
      </c>
      <c r="X13" s="12">
        <f>INDEX(PILARES[],ECF[[#This Row],[idPilar]],MATCH(ECF[[#Headers],[ap (cm)]],PILARES[#Headers],0))</f>
        <v>60</v>
      </c>
      <c r="Y13" s="12">
        <f>INDEX(PILARES[],ECF[[#This Row],[idPilar]],MATCH(ECF[[#Headers],[bp (cm)]],PILARES[#Headers],0))</f>
        <v>60</v>
      </c>
      <c r="Z13" s="4">
        <f>SQRT(ECF[[#This Row],[ap (cm)]]*ECF[[#This Row],[bp (cm)]])</f>
        <v>60</v>
      </c>
      <c r="AA13" s="12">
        <f>ECF[[#This Row],[ap (cm)]]*ECF[[#This Row],[bp (cm)]]</f>
        <v>3600</v>
      </c>
      <c r="AB13" s="12">
        <f ca="1">IF(ECF[[#This Row],[Padm∙ε (kN)]]&gt;=ECF[[#This Row],[Padm (kN)]],ROUNDUP(1.05*ECF[[#This Row],[Nsd (kN)]]/ECF[[#This Row],[Padm (kN)]],0),ROUNDUP(1.05*ECF[[#This Row],[Nsd (kN)]]/ECF[[#This Row],[Padm (kN)]],0)+1)</f>
        <v>13</v>
      </c>
      <c r="AC13" s="4" t="str">
        <f ca="1">IFERROR(IF(ECF[[#This Row],[nE]]=1,ECF[[#This Row],[Padm (kN)]],ECF[[#This Row],[Padm (kN)]]*ECF[[#This Row],[nE]]*INDEX(grupoEstacas[],ECF[[#This Row],[nE]],MATCH("ε",grupoEstacas[#Headers],0))),"N.S.")</f>
        <v>N.S.</v>
      </c>
      <c r="AD13" s="4">
        <f ca="1">1.05*ECF[[#This Row],[Nsd (kN)]]/(ECF[[#This Row],[nE]]*PI()*ECF[[#This Row],[Ø (cm)]]^2/4)*10</f>
        <v>0.99981951429523985</v>
      </c>
      <c r="AE13" s="4">
        <f ca="1">IF(ECF[[#This Row],[σ (MPa)]]&lt;INDEX(tipoEstaca[],MATCH($D$2,tipoEstaca[TIPO DE ESTACA],0),MATCH("σmáx (MPa)",tipoEstaca[#Headers],0)),0.4%*PI()*ECF[[#This Row],[Ø (cm)]]^2/4,"N.S.")</f>
        <v>11.309733552923255</v>
      </c>
      <c r="AF13" s="1">
        <f>INDEX(tipoEstaca[],MATCH($D$2,tipoEstaca[TIPO DE ESTACA],0),MATCH(ECF[[#Headers],[Comprimento (m)]],tipoEstaca[#Headers],0))</f>
        <v>4</v>
      </c>
      <c r="AG13" s="5">
        <f ca="1">ECF[[#This Row],[As,mín (cm²)]]/100^2*ECF[[#This Row],[Comprimento (m)]]*7850</f>
        <v>35.512563356179022</v>
      </c>
      <c r="AH13" s="4">
        <f ca="1">ECF[[#This Row],[nE]]*ECF[[#This Row],[Prof. (m)]]*ECF[[#This Row],[Ap (m²)]]</f>
        <v>29.405307237600464</v>
      </c>
      <c r="AI13" s="1">
        <f ca="1">IF(ECF[[#This Row],[nE]]=1,0,MAX(3*ECF[[#This Row],[Ø (cm)]],60))</f>
        <v>180</v>
      </c>
      <c r="AJ13" s="1">
        <f ca="1">IF(ECF[[#This Row],[nE]]=1,ECF[[#This Row],[Ø (cm)]]+2*10,MAX(1.5*ECF[[#This Row],[Ø (cm)]],ECF[[#This Row],[Ø (cm)]]+15))</f>
        <v>90</v>
      </c>
      <c r="AK13" s="1" t="str">
        <f ca="1">alturaUtil(ECF[[#This Row],[nE]],ECF[[#This Row],[Ø (cm)]],ECF[[#This Row],[e (cm)]],ECF[[#This Row],[ap,eq (cm)]])</f>
        <v>N.S.</v>
      </c>
      <c r="AL13" s="1" t="str">
        <f ca="1">IFERROR(ECF[[#This Row],[d (cm)]]+arredondarParaCimaMultiplo5cm(MAX(5,SQRT(PI())/2*ECF[[#This Row],[Ø (cm)]]/5)),"N.S.")</f>
        <v>N.S.</v>
      </c>
      <c r="AM13" s="5" t="str">
        <f ca="1">alpha(ECF[[#This Row],[nE]],ECF[[#This Row],[d (cm)]],ECF[[#This Row],[e (cm)]],ECF[[#This Row],[ap,eq (cm)]])</f>
        <v>N.S.</v>
      </c>
      <c r="AN13" s="35" t="str">
        <f ca="1">IFERROR(ECF[[#This Row],[Nsd (kN)]]/(ECF[[#This Row],[Ap (cm²)]]*SIN(ECF[[#This Row],[α]])^2),"N.S.")</f>
        <v>N.S.</v>
      </c>
      <c r="AO13" s="35" t="str">
        <f ca="1">IFERROR(ECF[[#This Row],[Nsd (kN)]]/(ECF[[#This Row],[nE]]*PI()*ECF[[#This Row],[Ø (cm)]]^2/4*SIN(ECF[[#This Row],[α]])^2),"N.S.")</f>
        <v>N.S.</v>
      </c>
      <c r="AP13" s="4" t="str">
        <f ca="1">IFERROR(INDEX(grupoEstacas[],ECF[[#This Row],[nE]],MATCH("coef. Blévot",grupoEstacas[#Headers],0)),"N.S.")</f>
        <v>N.S.</v>
      </c>
      <c r="AQ13" s="35" t="str">
        <f ca="1">IFERROR(ECF[[#This Row],[coef. Blévot]]*0.9*INDEX(tipoEstaca[],MATCH($D$2,tipoEstaca[TIPO DE ESTACA],0),MATCH("fcd (kN/cm²)",tipoEstaca[#Headers],0)),"N.S.")</f>
        <v>N.S.</v>
      </c>
      <c r="AR13" s="1" t="str">
        <f ca="1">IF(AND(ECF[[#This Row],[cd,b,pil (kN/cm²)]]&lt;=ECF[[#This Row],[cd,b,lim (kN/cm²)]],ECF[[#This Row],[cd,b,est (kN/cm²)]]&lt;=ECF[[#This Row],[cd,b,lim (kN/cm²)]]),"OK","ERRO")</f>
        <v>OK</v>
      </c>
      <c r="AS13" s="4" t="str">
        <f ca="1">As_lado(ECF[[#This Row],[nE]],ECF[[#This Row],[Nsd (kN)]],ECF[[#This Row],[d (cm)]],ECF[[#This Row],[e (cm)]],ECF[[#This Row],[ap,eq (cm)]])</f>
        <v>N.S.</v>
      </c>
      <c r="AT13" s="4" t="str">
        <f ca="1">IF(ECF[[#This Row],[nE]]=1,ECF[[#This Row],[As,lado (cm²)]],IF(ECF[[#This Row],[nE]]=2,0.075*2*ECF[a (cm)],"N.A."))</f>
        <v>N.A.</v>
      </c>
      <c r="AU13" s="4" t="str">
        <f ca="1">IFERROR(IF(ECF[[#This Row],[nE]]=1,"N.A.",0.2*ECF[[#This Row],[As,lado (cm²)]]),"N.S.")</f>
        <v>N.S.</v>
      </c>
      <c r="AV13" s="4" t="str">
        <f ca="1">As_malha(ECF[[#This Row],[nE]],ECF[[#This Row],[As,lado (cm²)]],ECF[[#This Row],[Nsd (kN)]])</f>
        <v>N.S.</v>
      </c>
      <c r="AW13" s="4" t="str">
        <f ca="1">As_susp_tot(ECF[[#This Row],[nE]],ECF[[#This Row],[Nsd (kN)]])</f>
        <v>N.S.</v>
      </c>
      <c r="AX13" s="4" t="str">
        <f ca="1">Asp_face(ECF[[#This Row],[nE]],ECF[[#This Row],[As,lado (cm²)]])</f>
        <v>N.S.</v>
      </c>
      <c r="AY13" s="5" t="str">
        <f ca="1">acoBloco(ECF[[#This Row],[nE]],ECF[[#This Row],[e (cm)]],ECF[[#This Row],[a (cm)]],ECF[[#This Row],[h (cm)]],ECF[[#This Row],[As,lado (cm²)]],ECF[[#This Row],[Asp e Asw (cm²/m)]],ECF[[#This Row],[As,sup (cm²)]],ECF[[#This Row],[As,malha (cm²)]],ECF[[#This Row],[As,susp,tot (cm²)]],ECF[[#This Row],[Asp,face (cm²)]])</f>
        <v>N.S.</v>
      </c>
      <c r="AZ13" s="4" t="str">
        <f ca="1">concretoBloco(ECF[[#This Row],[nE]],ECF[[#This Row],[e (cm)]],ECF[[#This Row],[a (cm)]],ECF[[#This Row],[h (cm)]])</f>
        <v>N.S.</v>
      </c>
      <c r="BA13" s="5">
        <f ca="1">SUM(ECF[[#This Row],[Aço Est (kg)]],ECF[[#This Row],[Aço Bloco (kg)]])</f>
        <v>35.512563356179022</v>
      </c>
      <c r="BB13" s="4">
        <f>INDEX(composicoes[],MATCH(95580,composicoes[CÓDIGO],0),MATCH("CUSTO TOTAL",composicoes[#Headers],0))</f>
        <v>10.46</v>
      </c>
      <c r="BC13" s="4">
        <f ca="1">SUM(ECF[[#This Row],[Conc Est (m³)]],ECF[[#This Row],[Conc Bloco (m³)]])</f>
        <v>29.405307237600464</v>
      </c>
      <c r="BD13" s="4">
        <f>INDEX(composicoes[],MATCH(94966,composicoes[CÓDIGO],0),MATCH("CUSTO TOTAL",composicoes[#Headers],0))</f>
        <v>439.52</v>
      </c>
      <c r="BE13" s="38">
        <f ca="1">ECF[[#This Row],[Aço (kg)]]*ECF[[#This Row],[Aço (R$/kg)]]+ECF[[#This Row],[Conc (m³)]]*ECF[[#This Row],[Conc (R$/m³)]]</f>
        <v>13295.682049775787</v>
      </c>
      <c r="BF13" s="4" t="str">
        <f ca="1">IF(COUNTIF(ECF[#This Row],"N.S.")&gt;0,"lim.","OK")</f>
        <v>lim.</v>
      </c>
      <c r="BG13" s="4" t="str">
        <f>IF(ECF[[#This Row],[Prof. (m)]]&lt;4,"lim.","OK")</f>
        <v>OK</v>
      </c>
      <c r="BH13" s="4" t="str">
        <f>IF(ECF[[#This Row],[Prof. (m)]]&gt;=8*ECF[[#This Row],[Ø (cm)]]/100,"OK","lim.")</f>
        <v>OK</v>
      </c>
      <c r="BI13" s="4" t="str">
        <f>IF(AND(SPT!$F$3&lt;&gt;"",ECF[[#This Row],[Prof. (m)]]&gt;=SPT!$F$3-2),"lim.","OK")</f>
        <v>OK</v>
      </c>
      <c r="BJ13" s="4" t="str">
        <f ca="1">IF(ECF[[#This Row],[Verif. Biela]]="OK","OK","lim.")</f>
        <v>OK</v>
      </c>
      <c r="BK13" s="4" t="str">
        <f ca="1">IF(COUNTA(ECF[[#This Row],[Nº Est.]:[Biela comp.]])=COUNTIF(ECF[[#This Row],[Nº Est.]:[Biela comp.]],"OK"),"OK","lim.")</f>
        <v>lim.</v>
      </c>
      <c r="BL13" s="4" t="str">
        <f ca="1">IF(ECF[[#This Row],[Controle]]="OK",ECF[[#This Row],[nE]]&amp;" Ø"&amp;ECF[[#This Row],[Ø (cm)]]&amp;"cm Prof. "&amp;ECF[[#This Row],[Prof. (m)]]&amp;" m","")</f>
        <v/>
      </c>
      <c r="BM13" s="4" t="str">
        <f ca="1">IF(ECF[[#This Row],[idDimensionamento]]="","",ECF[[#This Row],[idPilar]]&amp;ECF[[#This Row],[idDimensionamento]])</f>
        <v/>
      </c>
    </row>
    <row r="14" spans="2:65" x14ac:dyDescent="0.25">
      <c r="B14" s="12">
        <f>ROUNDUP((ROW(ECF[[#This Row],[idDiâmetro]])-ROW(ECF[[#Headers],[idDiâmetro]]))/(COUNT(SPT[Prof. (m)])*COUNT(PILARES[Pilar])),0)</f>
        <v>1</v>
      </c>
      <c r="C14" s="12">
        <f>IF(ECF[[#This Row],[idDiâmetro]]&lt;&gt;B13,1,IF(ECF[[#This Row],[Prof. (m)]]=0,C13+1,C13))</f>
        <v>1</v>
      </c>
      <c r="D14" s="1">
        <f>IFERROR(IF(D13=MAX(SPT[Prof. (m)]),0,D13+1),0)</f>
        <v>9</v>
      </c>
      <c r="E14" s="1">
        <f>INDEX(SPT[],MATCH(ECF[[#This Row],[Prof. (m)]],SPT[Prof. (m)],0),2)</f>
        <v>26</v>
      </c>
      <c r="F14" s="1" t="str">
        <f>INDEX(SPT[],MATCH(ECF[[#This Row],[Prof. (m)]],SPT[Prof. (m)],0),3)</f>
        <v>Areia siltosa</v>
      </c>
      <c r="G14" s="1">
        <f>INDEX(estacas[],ECF[[#This Row],[idDiâmetro]],MATCH($B$2,estacas[#Headers],0))</f>
        <v>60</v>
      </c>
      <c r="H14" s="1">
        <f>INDEX(estacas[],MATCH(ECF[[#This Row],[Ø (cm)]],estacas[Ø ECF (cm)],0),MATCH(ECF[[#Headers],[Pe ECF (kN)]],estacas[#Headers],0))</f>
        <v>1100</v>
      </c>
      <c r="I14" s="4">
        <f>INDEX(K_alpha_C[],MATCH(ECF[[#This Row],[Solo]],K_alpha_C[Solo],0),2)</f>
        <v>0.8</v>
      </c>
      <c r="J14" s="5">
        <f>INDEX(K_alpha_C[],MATCH(ECF[[#This Row],[Solo]],K_alpha_C[Solo],0),3)</f>
        <v>2</v>
      </c>
      <c r="K14" s="4">
        <f>INDEX(F1_F2[],MATCH($D$2,F1_F2[Tipo de estaca],0),2)</f>
        <v>3</v>
      </c>
      <c r="L14" s="4">
        <f>INDEX(F1_F2[],MATCH($D$2,F1_F2[Tipo de estaca],0),3)</f>
        <v>6</v>
      </c>
      <c r="M14" s="4">
        <f>PI()*(ECF[[#This Row],[Ø (cm)]]/100)^2/4</f>
        <v>0.28274333882308139</v>
      </c>
      <c r="N14" s="4">
        <f>PI()*ECF[[#This Row],[Ø (cm)]]/100</f>
        <v>1.8849555921538756</v>
      </c>
      <c r="O14" s="4">
        <f>IF(ECF[[#This Row],[Prof. (m)]]=0,0,ECF[[#This Row],[α (%)]]/100*ECF[[#This Row],[K (MPa)]]*1000*ECF[[#This Row],[NSPT]])</f>
        <v>416</v>
      </c>
      <c r="P14" s="4">
        <f>IF(ECF[[#This Row],[Prof. (m)]]=0,0,(ECF[[#This Row],[K (MPa)]]*1000*ECF[[#This Row],[NSPT]]/ECF[[#This Row],[F1]]*ECF[[#This Row],[Ap (m²)]]+ECF[[#This Row],[U (m)]]/ECF[[#This Row],[F2]]*SUMIFS(ECF[(α∙K∙NL∙ΔL)],ECF[Prof. (m)],"&lt;="&amp;ECF[[#This Row],[Prof. (m)]],ECF[idDiâmetro],ECF[[#This Row],[idDiâmetro]],ECF[idPilar],ECF[[#This Row],[idPilar]]))/'DADOS CAP. CARGA'!$D$2)</f>
        <v>1202.5859598309048</v>
      </c>
      <c r="Q14" s="12">
        <f>INDEX(C_alpha_beta[],MATCH(ECF[[#This Row],[Solo]],C_alpha_beta[Solo],0),MATCH(ECF[[#Headers],[C (kPa)]],C_alpha_beta[#Headers],0))</f>
        <v>400</v>
      </c>
      <c r="R14" s="4">
        <f>INDEX(C_alpha_beta[],MATCH(ECF[[#This Row],[Solo]],C_alpha_beta[Solo],0),MATCH(ECF[[#Headers],[α ESF]],C_alpha_beta[#Headers],0))</f>
        <v>0.5</v>
      </c>
      <c r="S14" s="4">
        <f>INDEX(C_alpha_beta[],MATCH(ECF[[#This Row],[Solo]],C_alpha_beta[Solo],0),MATCH(ECF[[#Headers],[β ESF]],C_alpha_beta[#Headers],0))</f>
        <v>0.5</v>
      </c>
      <c r="T14" s="4">
        <f>IF(ECF[[#This Row],[Prof. (m)]]=0,0,10*(ECF[[#This Row],[NSPT]]/3+1))</f>
        <v>96.666666666666657</v>
      </c>
      <c r="U14" s="4">
        <f>(ECF[[#This Row],[α ESF]]*ECF[[#This Row],[C (kPa)]]*ECF[[#This Row],[NSPT]]*ECF[[#This Row],[Ap (m²)]])/'DADOS CAP. CARGA'!$Q$2+(ECF[[#This Row],[β ESF]]*SUMIFS(ECF[10∙(NL/3+1)],ECF[Prof. (m)],"&lt;="&amp;ECF[[#This Row],[Prof. (m)]],ECF[idDiâmetro],ECF[[#This Row],[idDiâmetro]],ECF[idPilar],ECF[[#This Row],[idPilar]])*ECF[[#This Row],[U (m)]])/'DADOS CAP. CARGA'!$S$2</f>
        <v>563.91588131936783</v>
      </c>
      <c r="V14" s="4">
        <f>IF(SPT!$M$5=1,MIN(ECF[[#This Row],[Pe ECF (kN)]],ECF[[#This Row],[R_AV (kN)]]),IF(SPT!$M$5=2,MIN(ECF[[#This Row],[Pe ECF (kN)]],ECF[[#This Row],[R_DC (kN)]]),MIN(ECF[[#This Row],[Pe ECF (kN)]],ECF[[#This Row],[R_AV (kN)]],ECF[[#This Row],[R_DC (kN)]])))</f>
        <v>563.91588131936783</v>
      </c>
      <c r="W14" s="4">
        <f>INDEX(PILARES[],ECF[[#This Row],[idPilar]],MATCH("Carga (kN)",PILARES[#Headers],0))*1.4</f>
        <v>3500</v>
      </c>
      <c r="X14" s="12">
        <f>INDEX(PILARES[],ECF[[#This Row],[idPilar]],MATCH(ECF[[#Headers],[ap (cm)]],PILARES[#Headers],0))</f>
        <v>60</v>
      </c>
      <c r="Y14" s="12">
        <f>INDEX(PILARES[],ECF[[#This Row],[idPilar]],MATCH(ECF[[#Headers],[bp (cm)]],PILARES[#Headers],0))</f>
        <v>60</v>
      </c>
      <c r="Z14" s="4">
        <f>SQRT(ECF[[#This Row],[ap (cm)]]*ECF[[#This Row],[bp (cm)]])</f>
        <v>60</v>
      </c>
      <c r="AA14" s="12">
        <f>ECF[[#This Row],[ap (cm)]]*ECF[[#This Row],[bp (cm)]]</f>
        <v>3600</v>
      </c>
      <c r="AB14" s="12">
        <f ca="1">IF(ECF[[#This Row],[Padm∙ε (kN)]]&gt;=ECF[[#This Row],[Padm (kN)]],ROUNDUP(1.05*ECF[[#This Row],[Nsd (kN)]]/ECF[[#This Row],[Padm (kN)]],0),ROUNDUP(1.05*ECF[[#This Row],[Nsd (kN)]]/ECF[[#This Row],[Padm (kN)]],0)+1)</f>
        <v>7</v>
      </c>
      <c r="AC14" s="4" t="str">
        <f ca="1">IFERROR(IF(ECF[[#This Row],[nE]]=1,ECF[[#This Row],[Padm (kN)]],ECF[[#This Row],[Padm (kN)]]*ECF[[#This Row],[nE]]*INDEX(grupoEstacas[],ECF[[#This Row],[nE]],MATCH("ε",grupoEstacas[#Headers],0))),"N.S.")</f>
        <v>N.S.</v>
      </c>
      <c r="AD14" s="4">
        <f ca="1">1.05*ECF[[#This Row],[Nsd (kN)]]/(ECF[[#This Row],[nE]]*PI()*ECF[[#This Row],[Ø (cm)]]^2/4)*10</f>
        <v>1.8568076694054456</v>
      </c>
      <c r="AE14" s="4">
        <f ca="1">IF(ECF[[#This Row],[σ (MPa)]]&lt;INDEX(tipoEstaca[],MATCH($D$2,tipoEstaca[TIPO DE ESTACA],0),MATCH("σmáx (MPa)",tipoEstaca[#Headers],0)),0.4%*PI()*ECF[[#This Row],[Ø (cm)]]^2/4,"N.S.")</f>
        <v>11.309733552923255</v>
      </c>
      <c r="AF14" s="1">
        <f>INDEX(tipoEstaca[],MATCH($D$2,tipoEstaca[TIPO DE ESTACA],0),MATCH(ECF[[#Headers],[Comprimento (m)]],tipoEstaca[#Headers],0))</f>
        <v>4</v>
      </c>
      <c r="AG14" s="5">
        <f ca="1">ECF[[#This Row],[As,mín (cm²)]]/100^2*ECF[[#This Row],[Comprimento (m)]]*7850</f>
        <v>35.512563356179022</v>
      </c>
      <c r="AH14" s="4">
        <f ca="1">ECF[[#This Row],[nE]]*ECF[[#This Row],[Prof. (m)]]*ECF[[#This Row],[Ap (m²)]]</f>
        <v>17.812830345854128</v>
      </c>
      <c r="AI14" s="1">
        <f ca="1">IF(ECF[[#This Row],[nE]]=1,0,MAX(3*ECF[[#This Row],[Ø (cm)]],60))</f>
        <v>180</v>
      </c>
      <c r="AJ14" s="1">
        <f ca="1">IF(ECF[[#This Row],[nE]]=1,ECF[[#This Row],[Ø (cm)]]+2*10,MAX(1.5*ECF[[#This Row],[Ø (cm)]],ECF[[#This Row],[Ø (cm)]]+15))</f>
        <v>90</v>
      </c>
      <c r="AK14" s="1" t="str">
        <f ca="1">alturaUtil(ECF[[#This Row],[nE]],ECF[[#This Row],[Ø (cm)]],ECF[[#This Row],[e (cm)]],ECF[[#This Row],[ap,eq (cm)]])</f>
        <v>N.S.</v>
      </c>
      <c r="AL14" s="1" t="str">
        <f ca="1">IFERROR(ECF[[#This Row],[d (cm)]]+arredondarParaCimaMultiplo5cm(MAX(5,SQRT(PI())/2*ECF[[#This Row],[Ø (cm)]]/5)),"N.S.")</f>
        <v>N.S.</v>
      </c>
      <c r="AM14" s="5" t="str">
        <f ca="1">alpha(ECF[[#This Row],[nE]],ECF[[#This Row],[d (cm)]],ECF[[#This Row],[e (cm)]],ECF[[#This Row],[ap,eq (cm)]])</f>
        <v>N.S.</v>
      </c>
      <c r="AN14" s="35" t="str">
        <f ca="1">IFERROR(ECF[[#This Row],[Nsd (kN)]]/(ECF[[#This Row],[Ap (cm²)]]*SIN(ECF[[#This Row],[α]])^2),"N.S.")</f>
        <v>N.S.</v>
      </c>
      <c r="AO14" s="35" t="str">
        <f ca="1">IFERROR(ECF[[#This Row],[Nsd (kN)]]/(ECF[[#This Row],[nE]]*PI()*ECF[[#This Row],[Ø (cm)]]^2/4*SIN(ECF[[#This Row],[α]])^2),"N.S.")</f>
        <v>N.S.</v>
      </c>
      <c r="AP14" s="4" t="str">
        <f ca="1">IFERROR(INDEX(grupoEstacas[],ECF[[#This Row],[nE]],MATCH("coef. Blévot",grupoEstacas[#Headers],0)),"N.S.")</f>
        <v>N.S.</v>
      </c>
      <c r="AQ14" s="35" t="str">
        <f ca="1">IFERROR(ECF[[#This Row],[coef. Blévot]]*0.9*INDEX(tipoEstaca[],MATCH($D$2,tipoEstaca[TIPO DE ESTACA],0),MATCH("fcd (kN/cm²)",tipoEstaca[#Headers],0)),"N.S.")</f>
        <v>N.S.</v>
      </c>
      <c r="AR14" s="1" t="str">
        <f ca="1">IF(AND(ECF[[#This Row],[cd,b,pil (kN/cm²)]]&lt;=ECF[[#This Row],[cd,b,lim (kN/cm²)]],ECF[[#This Row],[cd,b,est (kN/cm²)]]&lt;=ECF[[#This Row],[cd,b,lim (kN/cm²)]]),"OK","ERRO")</f>
        <v>OK</v>
      </c>
      <c r="AS14" s="4" t="str">
        <f ca="1">As_lado(ECF[[#This Row],[nE]],ECF[[#This Row],[Nsd (kN)]],ECF[[#This Row],[d (cm)]],ECF[[#This Row],[e (cm)]],ECF[[#This Row],[ap,eq (cm)]])</f>
        <v>N.S.</v>
      </c>
      <c r="AT14" s="4" t="str">
        <f ca="1">IF(ECF[[#This Row],[nE]]=1,ECF[[#This Row],[As,lado (cm²)]],IF(ECF[[#This Row],[nE]]=2,0.075*2*ECF[a (cm)],"N.A."))</f>
        <v>N.A.</v>
      </c>
      <c r="AU14" s="4" t="str">
        <f ca="1">IFERROR(IF(ECF[[#This Row],[nE]]=1,"N.A.",0.2*ECF[[#This Row],[As,lado (cm²)]]),"N.S.")</f>
        <v>N.S.</v>
      </c>
      <c r="AV14" s="4" t="str">
        <f ca="1">As_malha(ECF[[#This Row],[nE]],ECF[[#This Row],[As,lado (cm²)]],ECF[[#This Row],[Nsd (kN)]])</f>
        <v>N.S.</v>
      </c>
      <c r="AW14" s="4" t="str">
        <f ca="1">As_susp_tot(ECF[[#This Row],[nE]],ECF[[#This Row],[Nsd (kN)]])</f>
        <v>N.S.</v>
      </c>
      <c r="AX14" s="4" t="str">
        <f ca="1">Asp_face(ECF[[#This Row],[nE]],ECF[[#This Row],[As,lado (cm²)]])</f>
        <v>N.S.</v>
      </c>
      <c r="AY14" s="5" t="str">
        <f ca="1">acoBloco(ECF[[#This Row],[nE]],ECF[[#This Row],[e (cm)]],ECF[[#This Row],[a (cm)]],ECF[[#This Row],[h (cm)]],ECF[[#This Row],[As,lado (cm²)]],ECF[[#This Row],[Asp e Asw (cm²/m)]],ECF[[#This Row],[As,sup (cm²)]],ECF[[#This Row],[As,malha (cm²)]],ECF[[#This Row],[As,susp,tot (cm²)]],ECF[[#This Row],[Asp,face (cm²)]])</f>
        <v>N.S.</v>
      </c>
      <c r="AZ14" s="4" t="str">
        <f ca="1">concretoBloco(ECF[[#This Row],[nE]],ECF[[#This Row],[e (cm)]],ECF[[#This Row],[a (cm)]],ECF[[#This Row],[h (cm)]])</f>
        <v>N.S.</v>
      </c>
      <c r="BA14" s="5">
        <f ca="1">SUM(ECF[[#This Row],[Aço Est (kg)]],ECF[[#This Row],[Aço Bloco (kg)]])</f>
        <v>35.512563356179022</v>
      </c>
      <c r="BB14" s="4">
        <f>INDEX(composicoes[],MATCH(95580,composicoes[CÓDIGO],0),MATCH("CUSTO TOTAL",composicoes[#Headers],0))</f>
        <v>10.46</v>
      </c>
      <c r="BC14" s="4">
        <f ca="1">SUM(ECF[[#This Row],[Conc Est (m³)]],ECF[[#This Row],[Conc Bloco (m³)]])</f>
        <v>17.812830345854128</v>
      </c>
      <c r="BD14" s="4">
        <f>INDEX(composicoes[],MATCH(94966,composicoes[CÓDIGO],0),MATCH("CUSTO TOTAL",composicoes[#Headers],0))</f>
        <v>439.52</v>
      </c>
      <c r="BE14" s="38">
        <f ca="1">ECF[[#This Row],[Aço (kg)]]*ECF[[#This Row],[Aço (R$/kg)]]+ECF[[#This Row],[Conc (m³)]]*ECF[[#This Row],[Conc (R$/m³)]]</f>
        <v>8200.5566063154383</v>
      </c>
      <c r="BF14" s="4" t="str">
        <f ca="1">IF(COUNTIF(ECF[#This Row],"N.S.")&gt;0,"lim.","OK")</f>
        <v>lim.</v>
      </c>
      <c r="BG14" s="4" t="str">
        <f>IF(ECF[[#This Row],[Prof. (m)]]&lt;4,"lim.","OK")</f>
        <v>OK</v>
      </c>
      <c r="BH14" s="4" t="str">
        <f>IF(ECF[[#This Row],[Prof. (m)]]&gt;=8*ECF[[#This Row],[Ø (cm)]]/100,"OK","lim.")</f>
        <v>OK</v>
      </c>
      <c r="BI14" s="4" t="str">
        <f>IF(AND(SPT!$F$3&lt;&gt;"",ECF[[#This Row],[Prof. (m)]]&gt;=SPT!$F$3-2),"lim.","OK")</f>
        <v>OK</v>
      </c>
      <c r="BJ14" s="4" t="str">
        <f ca="1">IF(ECF[[#This Row],[Verif. Biela]]="OK","OK","lim.")</f>
        <v>OK</v>
      </c>
      <c r="BK14" s="4" t="str">
        <f ca="1">IF(COUNTA(ECF[[#This Row],[Nº Est.]:[Biela comp.]])=COUNTIF(ECF[[#This Row],[Nº Est.]:[Biela comp.]],"OK"),"OK","lim.")</f>
        <v>lim.</v>
      </c>
      <c r="BL14" s="4" t="str">
        <f ca="1">IF(ECF[[#This Row],[Controle]]="OK",ECF[[#This Row],[nE]]&amp;" Ø"&amp;ECF[[#This Row],[Ø (cm)]]&amp;"cm Prof. "&amp;ECF[[#This Row],[Prof. (m)]]&amp;" m","")</f>
        <v/>
      </c>
      <c r="BM14" s="4" t="str">
        <f ca="1">IF(ECF[[#This Row],[idDimensionamento]]="","",ECF[[#This Row],[idPilar]]&amp;ECF[[#This Row],[idDimensionamento]])</f>
        <v/>
      </c>
    </row>
    <row r="15" spans="2:65" x14ac:dyDescent="0.25">
      <c r="B15" s="12">
        <f>ROUNDUP((ROW(ECF[[#This Row],[idDiâmetro]])-ROW(ECF[[#Headers],[idDiâmetro]]))/(COUNT(SPT[Prof. (m)])*COUNT(PILARES[Pilar])),0)</f>
        <v>1</v>
      </c>
      <c r="C15" s="12">
        <f>IF(ECF[[#This Row],[idDiâmetro]]&lt;&gt;B14,1,IF(ECF[[#This Row],[Prof. (m)]]=0,C14+1,C14))</f>
        <v>1</v>
      </c>
      <c r="D15" s="1">
        <f>IFERROR(IF(D14=MAX(SPT[Prof. (m)]),0,D14+1),0)</f>
        <v>10</v>
      </c>
      <c r="E15" s="1">
        <f>INDEX(SPT[],MATCH(ECF[[#This Row],[Prof. (m)]],SPT[Prof. (m)],0),2)</f>
        <v>32</v>
      </c>
      <c r="F15" s="1" t="str">
        <f>INDEX(SPT[],MATCH(ECF[[#This Row],[Prof. (m)]],SPT[Prof. (m)],0),3)</f>
        <v>Areia siltosa</v>
      </c>
      <c r="G15" s="1">
        <f>INDEX(estacas[],ECF[[#This Row],[idDiâmetro]],MATCH($B$2,estacas[#Headers],0))</f>
        <v>60</v>
      </c>
      <c r="H15" s="1">
        <f>INDEX(estacas[],MATCH(ECF[[#This Row],[Ø (cm)]],estacas[Ø ECF (cm)],0),MATCH(ECF[[#Headers],[Pe ECF (kN)]],estacas[#Headers],0))</f>
        <v>1100</v>
      </c>
      <c r="I15" s="4">
        <f>INDEX(K_alpha_C[],MATCH(ECF[[#This Row],[Solo]],K_alpha_C[Solo],0),2)</f>
        <v>0.8</v>
      </c>
      <c r="J15" s="5">
        <f>INDEX(K_alpha_C[],MATCH(ECF[[#This Row],[Solo]],K_alpha_C[Solo],0),3)</f>
        <v>2</v>
      </c>
      <c r="K15" s="4">
        <f>INDEX(F1_F2[],MATCH($D$2,F1_F2[Tipo de estaca],0),2)</f>
        <v>3</v>
      </c>
      <c r="L15" s="4">
        <f>INDEX(F1_F2[],MATCH($D$2,F1_F2[Tipo de estaca],0),3)</f>
        <v>6</v>
      </c>
      <c r="M15" s="4">
        <f>PI()*(ECF[[#This Row],[Ø (cm)]]/100)^2/4</f>
        <v>0.28274333882308139</v>
      </c>
      <c r="N15" s="4">
        <f>PI()*ECF[[#This Row],[Ø (cm)]]/100</f>
        <v>1.8849555921538756</v>
      </c>
      <c r="O15" s="4">
        <f>IF(ECF[[#This Row],[Prof. (m)]]=0,0,ECF[[#This Row],[α (%)]]/100*ECF[[#This Row],[K (MPa)]]*1000*ECF[[#This Row],[NSPT]])</f>
        <v>512</v>
      </c>
      <c r="P15" s="4">
        <f>IF(ECF[[#This Row],[Prof. (m)]]=0,0,(ECF[[#This Row],[K (MPa)]]*1000*ECF[[#This Row],[NSPT]]/ECF[[#This Row],[F1]]*ECF[[#This Row],[Ap (m²)]]+ECF[[#This Row],[U (m)]]/ECF[[#This Row],[F2]]*SUMIFS(ECF[(α∙K∙NL∙ΔL)],ECF[Prof. (m)],"&lt;="&amp;ECF[[#This Row],[Prof. (m)]],ECF[idDiâmetro],ECF[[#This Row],[idDiâmetro]],ECF[idPilar],ECF[[#This Row],[idPilar]]))/'DADOS CAP. CARGA'!$D$2)</f>
        <v>1509.2054028212688</v>
      </c>
      <c r="Q15" s="12">
        <f>INDEX(C_alpha_beta[],MATCH(ECF[[#This Row],[Solo]],C_alpha_beta[Solo],0),MATCH(ECF[[#Headers],[C (kPa)]],C_alpha_beta[#Headers],0))</f>
        <v>400</v>
      </c>
      <c r="R15" s="4">
        <f>INDEX(C_alpha_beta[],MATCH(ECF[[#This Row],[Solo]],C_alpha_beta[Solo],0),MATCH(ECF[[#Headers],[α ESF]],C_alpha_beta[#Headers],0))</f>
        <v>0.5</v>
      </c>
      <c r="S15" s="4">
        <f>INDEX(C_alpha_beta[],MATCH(ECF[[#This Row],[Solo]],C_alpha_beta[Solo],0),MATCH(ECF[[#Headers],[β ESF]],C_alpha_beta[#Headers],0))</f>
        <v>0.5</v>
      </c>
      <c r="T15" s="4">
        <f>IF(ECF[[#This Row],[Prof. (m)]]=0,0,10*(ECF[[#This Row],[NSPT]]/3+1))</f>
        <v>116.66666666666666</v>
      </c>
      <c r="U15" s="4">
        <f>(ECF[[#This Row],[α ESF]]*ECF[[#This Row],[C (kPa)]]*ECF[[#This Row],[NSPT]]*ECF[[#This Row],[Ap (m²)]])/'DADOS CAP. CARGA'!$Q$2+(ECF[[#This Row],[β ESF]]*SUMIFS(ECF[10∙(NL/3+1)],ECF[Prof. (m)],"&lt;="&amp;ECF[[#This Row],[Prof. (m)]],ECF[idDiâmetro],ECF[[#This Row],[idDiâmetro]],ECF[idPilar],ECF[[#This Row],[idPilar]])*ECF[[#This Row],[U (m)]])/'DADOS CAP. CARGA'!$S$2</f>
        <v>703.71675440411354</v>
      </c>
      <c r="V15" s="4">
        <f>IF(SPT!$M$5=1,MIN(ECF[[#This Row],[Pe ECF (kN)]],ECF[[#This Row],[R_AV (kN)]]),IF(SPT!$M$5=2,MIN(ECF[[#This Row],[Pe ECF (kN)]],ECF[[#This Row],[R_DC (kN)]]),MIN(ECF[[#This Row],[Pe ECF (kN)]],ECF[[#This Row],[R_AV (kN)]],ECF[[#This Row],[R_DC (kN)]])))</f>
        <v>703.71675440411354</v>
      </c>
      <c r="W15" s="4">
        <f>INDEX(PILARES[],ECF[[#This Row],[idPilar]],MATCH("Carga (kN)",PILARES[#Headers],0))*1.4</f>
        <v>3500</v>
      </c>
      <c r="X15" s="12">
        <f>INDEX(PILARES[],ECF[[#This Row],[idPilar]],MATCH(ECF[[#Headers],[ap (cm)]],PILARES[#Headers],0))</f>
        <v>60</v>
      </c>
      <c r="Y15" s="12">
        <f>INDEX(PILARES[],ECF[[#This Row],[idPilar]],MATCH(ECF[[#Headers],[bp (cm)]],PILARES[#Headers],0))</f>
        <v>60</v>
      </c>
      <c r="Z15" s="4">
        <f>SQRT(ECF[[#This Row],[ap (cm)]]*ECF[[#This Row],[bp (cm)]])</f>
        <v>60</v>
      </c>
      <c r="AA15" s="12">
        <f>ECF[[#This Row],[ap (cm)]]*ECF[[#This Row],[bp (cm)]]</f>
        <v>3600</v>
      </c>
      <c r="AB15" s="12">
        <f ca="1">IF(ECF[[#This Row],[Padm∙ε (kN)]]&gt;=ECF[[#This Row],[Padm (kN)]],ROUNDUP(1.05*ECF[[#This Row],[Nsd (kN)]]/ECF[[#This Row],[Padm (kN)]],0),ROUNDUP(1.05*ECF[[#This Row],[Nsd (kN)]]/ECF[[#This Row],[Padm (kN)]],0)+1)</f>
        <v>6</v>
      </c>
      <c r="AC15" s="4" t="str">
        <f ca="1">IFERROR(IF(ECF[[#This Row],[nE]]=1,ECF[[#This Row],[Padm (kN)]],ECF[[#This Row],[Padm (kN)]]*ECF[[#This Row],[nE]]*INDEX(grupoEstacas[],ECF[[#This Row],[nE]],MATCH("ε",grupoEstacas[#Headers],0))),"N.S.")</f>
        <v>N.S.</v>
      </c>
      <c r="AD15" s="4">
        <f ca="1">1.05*ECF[[#This Row],[Nsd (kN)]]/(ECF[[#This Row],[nE]]*PI()*ECF[[#This Row],[Ø (cm)]]^2/4)*10</f>
        <v>2.1662756143063531</v>
      </c>
      <c r="AE15" s="4">
        <f ca="1">IF(ECF[[#This Row],[σ (MPa)]]&lt;INDEX(tipoEstaca[],MATCH($D$2,tipoEstaca[TIPO DE ESTACA],0),MATCH("σmáx (MPa)",tipoEstaca[#Headers],0)),0.4%*PI()*ECF[[#This Row],[Ø (cm)]]^2/4,"N.S.")</f>
        <v>11.309733552923255</v>
      </c>
      <c r="AF15" s="1">
        <f>INDEX(tipoEstaca[],MATCH($D$2,tipoEstaca[TIPO DE ESTACA],0),MATCH(ECF[[#Headers],[Comprimento (m)]],tipoEstaca[#Headers],0))</f>
        <v>4</v>
      </c>
      <c r="AG15" s="5">
        <f ca="1">ECF[[#This Row],[As,mín (cm²)]]/100^2*ECF[[#This Row],[Comprimento (m)]]*7850</f>
        <v>35.512563356179022</v>
      </c>
      <c r="AH15" s="4">
        <f ca="1">ECF[[#This Row],[nE]]*ECF[[#This Row],[Prof. (m)]]*ECF[[#This Row],[Ap (m²)]]</f>
        <v>16.964600329384883</v>
      </c>
      <c r="AI15" s="1">
        <f ca="1">IF(ECF[[#This Row],[nE]]=1,0,MAX(3*ECF[[#This Row],[Ø (cm)]],60))</f>
        <v>180</v>
      </c>
      <c r="AJ15" s="1">
        <f ca="1">IF(ECF[[#This Row],[nE]]=1,ECF[[#This Row],[Ø (cm)]]+2*10,MAX(1.5*ECF[[#This Row],[Ø (cm)]],ECF[[#This Row],[Ø (cm)]]+15))</f>
        <v>90</v>
      </c>
      <c r="AK15" s="1" t="str">
        <f ca="1">alturaUtil(ECF[[#This Row],[nE]],ECF[[#This Row],[Ø (cm)]],ECF[[#This Row],[e (cm)]],ECF[[#This Row],[ap,eq (cm)]])</f>
        <v>N.S.</v>
      </c>
      <c r="AL15" s="1" t="str">
        <f ca="1">IFERROR(ECF[[#This Row],[d (cm)]]+arredondarParaCimaMultiplo5cm(MAX(5,SQRT(PI())/2*ECF[[#This Row],[Ø (cm)]]/5)),"N.S.")</f>
        <v>N.S.</v>
      </c>
      <c r="AM15" s="5" t="str">
        <f ca="1">alpha(ECF[[#This Row],[nE]],ECF[[#This Row],[d (cm)]],ECF[[#This Row],[e (cm)]],ECF[[#This Row],[ap,eq (cm)]])</f>
        <v>N.S.</v>
      </c>
      <c r="AN15" s="35" t="str">
        <f ca="1">IFERROR(ECF[[#This Row],[Nsd (kN)]]/(ECF[[#This Row],[Ap (cm²)]]*SIN(ECF[[#This Row],[α]])^2),"N.S.")</f>
        <v>N.S.</v>
      </c>
      <c r="AO15" s="35" t="str">
        <f ca="1">IFERROR(ECF[[#This Row],[Nsd (kN)]]/(ECF[[#This Row],[nE]]*PI()*ECF[[#This Row],[Ø (cm)]]^2/4*SIN(ECF[[#This Row],[α]])^2),"N.S.")</f>
        <v>N.S.</v>
      </c>
      <c r="AP15" s="4" t="str">
        <f ca="1">IFERROR(INDEX(grupoEstacas[],ECF[[#This Row],[nE]],MATCH("coef. Blévot",grupoEstacas[#Headers],0)),"N.S.")</f>
        <v>N.S.</v>
      </c>
      <c r="AQ15" s="35" t="str">
        <f ca="1">IFERROR(ECF[[#This Row],[coef. Blévot]]*0.9*INDEX(tipoEstaca[],MATCH($D$2,tipoEstaca[TIPO DE ESTACA],0),MATCH("fcd (kN/cm²)",tipoEstaca[#Headers],0)),"N.S.")</f>
        <v>N.S.</v>
      </c>
      <c r="AR15" s="1" t="str">
        <f ca="1">IF(AND(ECF[[#This Row],[cd,b,pil (kN/cm²)]]&lt;=ECF[[#This Row],[cd,b,lim (kN/cm²)]],ECF[[#This Row],[cd,b,est (kN/cm²)]]&lt;=ECF[[#This Row],[cd,b,lim (kN/cm²)]]),"OK","ERRO")</f>
        <v>OK</v>
      </c>
      <c r="AS15" s="4" t="str">
        <f ca="1">As_lado(ECF[[#This Row],[nE]],ECF[[#This Row],[Nsd (kN)]],ECF[[#This Row],[d (cm)]],ECF[[#This Row],[e (cm)]],ECF[[#This Row],[ap,eq (cm)]])</f>
        <v>N.S.</v>
      </c>
      <c r="AT15" s="4" t="str">
        <f ca="1">IF(ECF[[#This Row],[nE]]=1,ECF[[#This Row],[As,lado (cm²)]],IF(ECF[[#This Row],[nE]]=2,0.075*2*ECF[a (cm)],"N.A."))</f>
        <v>N.A.</v>
      </c>
      <c r="AU15" s="4" t="str">
        <f ca="1">IFERROR(IF(ECF[[#This Row],[nE]]=1,"N.A.",0.2*ECF[[#This Row],[As,lado (cm²)]]),"N.S.")</f>
        <v>N.S.</v>
      </c>
      <c r="AV15" s="4" t="str">
        <f ca="1">As_malha(ECF[[#This Row],[nE]],ECF[[#This Row],[As,lado (cm²)]],ECF[[#This Row],[Nsd (kN)]])</f>
        <v>N.S.</v>
      </c>
      <c r="AW15" s="4" t="str">
        <f ca="1">As_susp_tot(ECF[[#This Row],[nE]],ECF[[#This Row],[Nsd (kN)]])</f>
        <v>N.S.</v>
      </c>
      <c r="AX15" s="4" t="str">
        <f ca="1">Asp_face(ECF[[#This Row],[nE]],ECF[[#This Row],[As,lado (cm²)]])</f>
        <v>N.S.</v>
      </c>
      <c r="AY15" s="5" t="str">
        <f ca="1">acoBloco(ECF[[#This Row],[nE]],ECF[[#This Row],[e (cm)]],ECF[[#This Row],[a (cm)]],ECF[[#This Row],[h (cm)]],ECF[[#This Row],[As,lado (cm²)]],ECF[[#This Row],[Asp e Asw (cm²/m)]],ECF[[#This Row],[As,sup (cm²)]],ECF[[#This Row],[As,malha (cm²)]],ECF[[#This Row],[As,susp,tot (cm²)]],ECF[[#This Row],[Asp,face (cm²)]])</f>
        <v>N.S.</v>
      </c>
      <c r="AZ15" s="4" t="str">
        <f ca="1">concretoBloco(ECF[[#This Row],[nE]],ECF[[#This Row],[e (cm)]],ECF[[#This Row],[a (cm)]],ECF[[#This Row],[h (cm)]])</f>
        <v>N.S.</v>
      </c>
      <c r="BA15" s="5">
        <f ca="1">SUM(ECF[[#This Row],[Aço Est (kg)]],ECF[[#This Row],[Aço Bloco (kg)]])</f>
        <v>35.512563356179022</v>
      </c>
      <c r="BB15" s="4">
        <f>INDEX(composicoes[],MATCH(95580,composicoes[CÓDIGO],0),MATCH("CUSTO TOTAL",composicoes[#Headers],0))</f>
        <v>10.46</v>
      </c>
      <c r="BC15" s="4">
        <f ca="1">SUM(ECF[[#This Row],[Conc Est (m³)]],ECF[[#This Row],[Conc Bloco (m³)]])</f>
        <v>16.964600329384883</v>
      </c>
      <c r="BD15" s="4">
        <f>INDEX(composicoes[],MATCH(94966,composicoes[CÓDIGO],0),MATCH("CUSTO TOTAL",composicoes[#Headers],0))</f>
        <v>439.52</v>
      </c>
      <c r="BE15" s="38">
        <f ca="1">ECF[[#This Row],[Aço (kg)]]*ECF[[#This Row],[Aço (R$/kg)]]+ECF[[#This Row],[Conc (m³)]]*ECF[[#This Row],[Conc (R$/m³)]]</f>
        <v>7827.7425494768768</v>
      </c>
      <c r="BF15" s="4" t="str">
        <f ca="1">IF(COUNTIF(ECF[#This Row],"N.S.")&gt;0,"lim.","OK")</f>
        <v>lim.</v>
      </c>
      <c r="BG15" s="4" t="str">
        <f>IF(ECF[[#This Row],[Prof. (m)]]&lt;4,"lim.","OK")</f>
        <v>OK</v>
      </c>
      <c r="BH15" s="4" t="str">
        <f>IF(ECF[[#This Row],[Prof. (m)]]&gt;=8*ECF[[#This Row],[Ø (cm)]]/100,"OK","lim.")</f>
        <v>OK</v>
      </c>
      <c r="BI15" s="4" t="str">
        <f>IF(AND(SPT!$F$3&lt;&gt;"",ECF[[#This Row],[Prof. (m)]]&gt;=SPT!$F$3-2),"lim.","OK")</f>
        <v>OK</v>
      </c>
      <c r="BJ15" s="4" t="str">
        <f ca="1">IF(ECF[[#This Row],[Verif. Biela]]="OK","OK","lim.")</f>
        <v>OK</v>
      </c>
      <c r="BK15" s="4" t="str">
        <f ca="1">IF(COUNTA(ECF[[#This Row],[Nº Est.]:[Biela comp.]])=COUNTIF(ECF[[#This Row],[Nº Est.]:[Biela comp.]],"OK"),"OK","lim.")</f>
        <v>lim.</v>
      </c>
      <c r="BL15" s="4" t="str">
        <f ca="1">IF(ECF[[#This Row],[Controle]]="OK",ECF[[#This Row],[nE]]&amp;" Ø"&amp;ECF[[#This Row],[Ø (cm)]]&amp;"cm Prof. "&amp;ECF[[#This Row],[Prof. (m)]]&amp;" m","")</f>
        <v/>
      </c>
      <c r="BM15" s="4" t="str">
        <f ca="1">IF(ECF[[#This Row],[idDimensionamento]]="","",ECF[[#This Row],[idPilar]]&amp;ECF[[#This Row],[idDimensionamento]])</f>
        <v/>
      </c>
    </row>
    <row r="16" spans="2:65" x14ac:dyDescent="0.25">
      <c r="B16" s="12">
        <f>ROUNDUP((ROW(ECF[[#This Row],[idDiâmetro]])-ROW(ECF[[#Headers],[idDiâmetro]]))/(COUNT(SPT[Prof. (m)])*COUNT(PILARES[Pilar])),0)</f>
        <v>1</v>
      </c>
      <c r="C16" s="12">
        <f>IF(ECF[[#This Row],[idDiâmetro]]&lt;&gt;B15,1,IF(ECF[[#This Row],[Prof. (m)]]=0,C15+1,C15))</f>
        <v>1</v>
      </c>
      <c r="D16" s="1">
        <f>IFERROR(IF(D15=MAX(SPT[Prof. (m)]),0,D15+1),0)</f>
        <v>11</v>
      </c>
      <c r="E16" s="1">
        <f>INDEX(SPT[],MATCH(ECF[[#This Row],[Prof. (m)]],SPT[Prof. (m)],0),2)</f>
        <v>41</v>
      </c>
      <c r="F16" s="1" t="str">
        <f>INDEX(SPT[],MATCH(ECF[[#This Row],[Prof. (m)]],SPT[Prof. (m)],0),3)</f>
        <v>Areia siltosa</v>
      </c>
      <c r="G16" s="1">
        <f>INDEX(estacas[],ECF[[#This Row],[idDiâmetro]],MATCH($B$2,estacas[#Headers],0))</f>
        <v>60</v>
      </c>
      <c r="H16" s="1">
        <f>INDEX(estacas[],MATCH(ECF[[#This Row],[Ø (cm)]],estacas[Ø ECF (cm)],0),MATCH(ECF[[#Headers],[Pe ECF (kN)]],estacas[#Headers],0))</f>
        <v>1100</v>
      </c>
      <c r="I16" s="4">
        <f>INDEX(K_alpha_C[],MATCH(ECF[[#This Row],[Solo]],K_alpha_C[Solo],0),2)</f>
        <v>0.8</v>
      </c>
      <c r="J16" s="5">
        <f>INDEX(K_alpha_C[],MATCH(ECF[[#This Row],[Solo]],K_alpha_C[Solo],0),3)</f>
        <v>2</v>
      </c>
      <c r="K16" s="4">
        <f>INDEX(F1_F2[],MATCH($D$2,F1_F2[Tipo de estaca],0),2)</f>
        <v>3</v>
      </c>
      <c r="L16" s="4">
        <f>INDEX(F1_F2[],MATCH($D$2,F1_F2[Tipo de estaca],0),3)</f>
        <v>6</v>
      </c>
      <c r="M16" s="4">
        <f>PI()*(ECF[[#This Row],[Ø (cm)]]/100)^2/4</f>
        <v>0.28274333882308139</v>
      </c>
      <c r="N16" s="4">
        <f>PI()*ECF[[#This Row],[Ø (cm)]]/100</f>
        <v>1.8849555921538756</v>
      </c>
      <c r="O16" s="4">
        <f>IF(ECF[[#This Row],[Prof. (m)]]=0,0,ECF[[#This Row],[α (%)]]/100*ECF[[#This Row],[K (MPa)]]*1000*ECF[[#This Row],[NSPT]])</f>
        <v>656</v>
      </c>
      <c r="P16" s="4">
        <f>IF(ECF[[#This Row],[Prof. (m)]]=0,0,(ECF[[#This Row],[K (MPa)]]*1000*ECF[[#This Row],[NSPT]]/ECF[[#This Row],[F1]]*ECF[[#This Row],[Ap (m²)]]+ECF[[#This Row],[U (m)]]/ECF[[#This Row],[F2]]*SUMIFS(ECF[(α∙K∙NL∙ΔL)],ECF[Prof. (m)],"&lt;="&amp;ECF[[#This Row],[Prof. (m)]],ECF[idDiâmetro],ECF[[#This Row],[idDiâmetro]],ECF[idPilar],ECF[[#This Row],[idPilar]]))/'DADOS CAP. CARGA'!$D$2)</f>
        <v>1951.5416484467116</v>
      </c>
      <c r="Q16" s="12">
        <f>INDEX(C_alpha_beta[],MATCH(ECF[[#This Row],[Solo]],C_alpha_beta[Solo],0),MATCH(ECF[[#Headers],[C (kPa)]],C_alpha_beta[#Headers],0))</f>
        <v>400</v>
      </c>
      <c r="R16" s="4">
        <f>INDEX(C_alpha_beta[],MATCH(ECF[[#This Row],[Solo]],C_alpha_beta[Solo],0),MATCH(ECF[[#Headers],[α ESF]],C_alpha_beta[#Headers],0))</f>
        <v>0.5</v>
      </c>
      <c r="S16" s="4">
        <f>INDEX(C_alpha_beta[],MATCH(ECF[[#This Row],[Solo]],C_alpha_beta[Solo],0),MATCH(ECF[[#Headers],[β ESF]],C_alpha_beta[#Headers],0))</f>
        <v>0.5</v>
      </c>
      <c r="T16" s="4">
        <f>IF(ECF[[#This Row],[Prof. (m)]]=0,0,10*(ECF[[#This Row],[NSPT]]/3+1))</f>
        <v>146.66666666666666</v>
      </c>
      <c r="U16" s="4">
        <f>(ECF[[#This Row],[α ESF]]*ECF[[#This Row],[C (kPa)]]*ECF[[#This Row],[NSPT]]*ECF[[#This Row],[Ap (m²)]])/'DADOS CAP. CARGA'!$Q$2+(ECF[[#This Row],[β ESF]]*SUMIFS(ECF[10∙(NL/3+1)],ECF[Prof. (m)],"&lt;="&amp;ECF[[#This Row],[Prof. (m)]],ECF[idDiâmetro],ECF[[#This Row],[idDiâmetro]],ECF[idPilar],ECF[[#This Row],[idPilar]])*ECF[[#This Row],[U (m)]])/'DADOS CAP. CARGA'!$S$2</f>
        <v>900.06629525347569</v>
      </c>
      <c r="V16" s="4">
        <f>IF(SPT!$M$5=1,MIN(ECF[[#This Row],[Pe ECF (kN)]],ECF[[#This Row],[R_AV (kN)]]),IF(SPT!$M$5=2,MIN(ECF[[#This Row],[Pe ECF (kN)]],ECF[[#This Row],[R_DC (kN)]]),MIN(ECF[[#This Row],[Pe ECF (kN)]],ECF[[#This Row],[R_AV (kN)]],ECF[[#This Row],[R_DC (kN)]])))</f>
        <v>900.06629525347569</v>
      </c>
      <c r="W16" s="4">
        <f>INDEX(PILARES[],ECF[[#This Row],[idPilar]],MATCH("Carga (kN)",PILARES[#Headers],0))*1.4</f>
        <v>3500</v>
      </c>
      <c r="X16" s="12">
        <f>INDEX(PILARES[],ECF[[#This Row],[idPilar]],MATCH(ECF[[#Headers],[ap (cm)]],PILARES[#Headers],0))</f>
        <v>60</v>
      </c>
      <c r="Y16" s="12">
        <f>INDEX(PILARES[],ECF[[#This Row],[idPilar]],MATCH(ECF[[#Headers],[bp (cm)]],PILARES[#Headers],0))</f>
        <v>60</v>
      </c>
      <c r="Z16" s="4">
        <f>SQRT(ECF[[#This Row],[ap (cm)]]*ECF[[#This Row],[bp (cm)]])</f>
        <v>60</v>
      </c>
      <c r="AA16" s="12">
        <f>ECF[[#This Row],[ap (cm)]]*ECF[[#This Row],[bp (cm)]]</f>
        <v>3600</v>
      </c>
      <c r="AB16" s="12">
        <f ca="1">IF(ECF[[#This Row],[Padm∙ε (kN)]]&gt;=ECF[[#This Row],[Padm (kN)]],ROUNDUP(1.05*ECF[[#This Row],[Nsd (kN)]]/ECF[[#This Row],[Padm (kN)]],0),ROUNDUP(1.05*ECF[[#This Row],[Nsd (kN)]]/ECF[[#This Row],[Padm (kN)]],0)+1)</f>
        <v>5</v>
      </c>
      <c r="AC16" s="4" t="str">
        <f ca="1">IFERROR(IF(ECF[[#This Row],[nE]]=1,ECF[[#This Row],[Padm (kN)]],ECF[[#This Row],[Padm (kN)]]*ECF[[#This Row],[nE]]*INDEX(grupoEstacas[],ECF[[#This Row],[nE]],MATCH("ε",grupoEstacas[#Headers],0))),"N.S.")</f>
        <v>N.S.</v>
      </c>
      <c r="AD16" s="4">
        <f ca="1">1.05*ECF[[#This Row],[Nsd (kN)]]/(ECF[[#This Row],[nE]]*PI()*ECF[[#This Row],[Ø (cm)]]^2/4)*10</f>
        <v>2.599530737167624</v>
      </c>
      <c r="AE16" s="4">
        <f ca="1">IF(ECF[[#This Row],[σ (MPa)]]&lt;INDEX(tipoEstaca[],MATCH($D$2,tipoEstaca[TIPO DE ESTACA],0),MATCH("σmáx (MPa)",tipoEstaca[#Headers],0)),0.4%*PI()*ECF[[#This Row],[Ø (cm)]]^2/4,"N.S.")</f>
        <v>11.309733552923255</v>
      </c>
      <c r="AF16" s="1">
        <f>INDEX(tipoEstaca[],MATCH($D$2,tipoEstaca[TIPO DE ESTACA],0),MATCH(ECF[[#Headers],[Comprimento (m)]],tipoEstaca[#Headers],0))</f>
        <v>4</v>
      </c>
      <c r="AG16" s="5">
        <f ca="1">ECF[[#This Row],[As,mín (cm²)]]/100^2*ECF[[#This Row],[Comprimento (m)]]*7850</f>
        <v>35.512563356179022</v>
      </c>
      <c r="AH16" s="4">
        <f ca="1">ECF[[#This Row],[nE]]*ECF[[#This Row],[Prof. (m)]]*ECF[[#This Row],[Ap (m²)]]</f>
        <v>15.550883635269477</v>
      </c>
      <c r="AI16" s="1">
        <f ca="1">IF(ECF[[#This Row],[nE]]=1,0,MAX(3*ECF[[#This Row],[Ø (cm)]],60))</f>
        <v>180</v>
      </c>
      <c r="AJ16" s="1">
        <f ca="1">IF(ECF[[#This Row],[nE]]=1,ECF[[#This Row],[Ø (cm)]]+2*10,MAX(1.5*ECF[[#This Row],[Ø (cm)]],ECF[[#This Row],[Ø (cm)]]+15))</f>
        <v>90</v>
      </c>
      <c r="AK16" s="1" t="str">
        <f ca="1">alturaUtil(ECF[[#This Row],[nE]],ECF[[#This Row],[Ø (cm)]],ECF[[#This Row],[e (cm)]],ECF[[#This Row],[ap,eq (cm)]])</f>
        <v>N.S.</v>
      </c>
      <c r="AL16" s="1" t="str">
        <f ca="1">IFERROR(ECF[[#This Row],[d (cm)]]+arredondarParaCimaMultiplo5cm(MAX(5,SQRT(PI())/2*ECF[[#This Row],[Ø (cm)]]/5)),"N.S.")</f>
        <v>N.S.</v>
      </c>
      <c r="AM16" s="5" t="str">
        <f ca="1">alpha(ECF[[#This Row],[nE]],ECF[[#This Row],[d (cm)]],ECF[[#This Row],[e (cm)]],ECF[[#This Row],[ap,eq (cm)]])</f>
        <v>N.S.</v>
      </c>
      <c r="AN16" s="35" t="str">
        <f ca="1">IFERROR(ECF[[#This Row],[Nsd (kN)]]/(ECF[[#This Row],[Ap (cm²)]]*SIN(ECF[[#This Row],[α]])^2),"N.S.")</f>
        <v>N.S.</v>
      </c>
      <c r="AO16" s="35" t="str">
        <f ca="1">IFERROR(ECF[[#This Row],[Nsd (kN)]]/(ECF[[#This Row],[nE]]*PI()*ECF[[#This Row],[Ø (cm)]]^2/4*SIN(ECF[[#This Row],[α]])^2),"N.S.")</f>
        <v>N.S.</v>
      </c>
      <c r="AP16" s="4" t="str">
        <f ca="1">IFERROR(INDEX(grupoEstacas[],ECF[[#This Row],[nE]],MATCH("coef. Blévot",grupoEstacas[#Headers],0)),"N.S.")</f>
        <v>N.S.</v>
      </c>
      <c r="AQ16" s="35" t="str">
        <f ca="1">IFERROR(ECF[[#This Row],[coef. Blévot]]*0.9*INDEX(tipoEstaca[],MATCH($D$2,tipoEstaca[TIPO DE ESTACA],0),MATCH("fcd (kN/cm²)",tipoEstaca[#Headers],0)),"N.S.")</f>
        <v>N.S.</v>
      </c>
      <c r="AR16" s="1" t="str">
        <f ca="1">IF(AND(ECF[[#This Row],[cd,b,pil (kN/cm²)]]&lt;=ECF[[#This Row],[cd,b,lim (kN/cm²)]],ECF[[#This Row],[cd,b,est (kN/cm²)]]&lt;=ECF[[#This Row],[cd,b,lim (kN/cm²)]]),"OK","ERRO")</f>
        <v>OK</v>
      </c>
      <c r="AS16" s="4" t="str">
        <f ca="1">As_lado(ECF[[#This Row],[nE]],ECF[[#This Row],[Nsd (kN)]],ECF[[#This Row],[d (cm)]],ECF[[#This Row],[e (cm)]],ECF[[#This Row],[ap,eq (cm)]])</f>
        <v>N.S.</v>
      </c>
      <c r="AT16" s="4" t="str">
        <f ca="1">IF(ECF[[#This Row],[nE]]=1,ECF[[#This Row],[As,lado (cm²)]],IF(ECF[[#This Row],[nE]]=2,0.075*2*ECF[a (cm)],"N.A."))</f>
        <v>N.A.</v>
      </c>
      <c r="AU16" s="4" t="str">
        <f ca="1">IFERROR(IF(ECF[[#This Row],[nE]]=1,"N.A.",0.2*ECF[[#This Row],[As,lado (cm²)]]),"N.S.")</f>
        <v>N.S.</v>
      </c>
      <c r="AV16" s="4" t="str">
        <f ca="1">As_malha(ECF[[#This Row],[nE]],ECF[[#This Row],[As,lado (cm²)]],ECF[[#This Row],[Nsd (kN)]])</f>
        <v>N.S.</v>
      </c>
      <c r="AW16" s="4" t="str">
        <f ca="1">As_susp_tot(ECF[[#This Row],[nE]],ECF[[#This Row],[Nsd (kN)]])</f>
        <v>N.S.</v>
      </c>
      <c r="AX16" s="4" t="str">
        <f ca="1">Asp_face(ECF[[#This Row],[nE]],ECF[[#This Row],[As,lado (cm²)]])</f>
        <v>N.S.</v>
      </c>
      <c r="AY16" s="5" t="str">
        <f ca="1">acoBloco(ECF[[#This Row],[nE]],ECF[[#This Row],[e (cm)]],ECF[[#This Row],[a (cm)]],ECF[[#This Row],[h (cm)]],ECF[[#This Row],[As,lado (cm²)]],ECF[[#This Row],[Asp e Asw (cm²/m)]],ECF[[#This Row],[As,sup (cm²)]],ECF[[#This Row],[As,malha (cm²)]],ECF[[#This Row],[As,susp,tot (cm²)]],ECF[[#This Row],[Asp,face (cm²)]])</f>
        <v>N.S.</v>
      </c>
      <c r="AZ16" s="4" t="str">
        <f ca="1">concretoBloco(ECF[[#This Row],[nE]],ECF[[#This Row],[e (cm)]],ECF[[#This Row],[a (cm)]],ECF[[#This Row],[h (cm)]])</f>
        <v>N.S.</v>
      </c>
      <c r="BA16" s="5">
        <f ca="1">SUM(ECF[[#This Row],[Aço Est (kg)]],ECF[[#This Row],[Aço Bloco (kg)]])</f>
        <v>35.512563356179022</v>
      </c>
      <c r="BB16" s="4">
        <f>INDEX(composicoes[],MATCH(95580,composicoes[CÓDIGO],0),MATCH("CUSTO TOTAL",composicoes[#Headers],0))</f>
        <v>10.46</v>
      </c>
      <c r="BC16" s="4">
        <f ca="1">SUM(ECF[[#This Row],[Conc Est (m³)]],ECF[[#This Row],[Conc Bloco (m³)]])</f>
        <v>15.550883635269477</v>
      </c>
      <c r="BD16" s="4">
        <f>INDEX(composicoes[],MATCH(94966,composicoes[CÓDIGO],0),MATCH("CUSTO TOTAL",composicoes[#Headers],0))</f>
        <v>439.52</v>
      </c>
      <c r="BE16" s="38">
        <f ca="1">ECF[[#This Row],[Aço (kg)]]*ECF[[#This Row],[Aço (R$/kg)]]+ECF[[#This Row],[Conc (m³)]]*ECF[[#This Row],[Conc (R$/m³)]]</f>
        <v>7206.385788079273</v>
      </c>
      <c r="BF16" s="4" t="str">
        <f ca="1">IF(COUNTIF(ECF[#This Row],"N.S.")&gt;0,"lim.","OK")</f>
        <v>lim.</v>
      </c>
      <c r="BG16" s="4" t="str">
        <f>IF(ECF[[#This Row],[Prof. (m)]]&lt;4,"lim.","OK")</f>
        <v>OK</v>
      </c>
      <c r="BH16" s="4" t="str">
        <f>IF(ECF[[#This Row],[Prof. (m)]]&gt;=8*ECF[[#This Row],[Ø (cm)]]/100,"OK","lim.")</f>
        <v>OK</v>
      </c>
      <c r="BI16" s="4" t="str">
        <f>IF(AND(SPT!$F$3&lt;&gt;"",ECF[[#This Row],[Prof. (m)]]&gt;=SPT!$F$3-2),"lim.","OK")</f>
        <v>OK</v>
      </c>
      <c r="BJ16" s="4" t="str">
        <f ca="1">IF(ECF[[#This Row],[Verif. Biela]]="OK","OK","lim.")</f>
        <v>OK</v>
      </c>
      <c r="BK16" s="4" t="str">
        <f ca="1">IF(COUNTA(ECF[[#This Row],[Nº Est.]:[Biela comp.]])=COUNTIF(ECF[[#This Row],[Nº Est.]:[Biela comp.]],"OK"),"OK","lim.")</f>
        <v>lim.</v>
      </c>
      <c r="BL16" s="4" t="str">
        <f ca="1">IF(ECF[[#This Row],[Controle]]="OK",ECF[[#This Row],[nE]]&amp;" Ø"&amp;ECF[[#This Row],[Ø (cm)]]&amp;"cm Prof. "&amp;ECF[[#This Row],[Prof. (m)]]&amp;" m","")</f>
        <v/>
      </c>
      <c r="BM16" s="4" t="str">
        <f ca="1">IF(ECF[[#This Row],[idDimensionamento]]="","",ECF[[#This Row],[idPilar]]&amp;ECF[[#This Row],[idDimensionamento]])</f>
        <v/>
      </c>
    </row>
    <row r="17" spans="2:65" x14ac:dyDescent="0.25">
      <c r="B17" s="12">
        <f>ROUNDUP((ROW(ECF[[#This Row],[idDiâmetro]])-ROW(ECF[[#Headers],[idDiâmetro]]))/(COUNT(SPT[Prof. (m)])*COUNT(PILARES[Pilar])),0)</f>
        <v>1</v>
      </c>
      <c r="C17" s="12">
        <f>IF(ECF[[#This Row],[idDiâmetro]]&lt;&gt;B16,1,IF(ECF[[#This Row],[Prof. (m)]]=0,C16+1,C16))</f>
        <v>1</v>
      </c>
      <c r="D17" s="1">
        <f>IFERROR(IF(D16=MAX(SPT[Prof. (m)]),0,D16+1),0)</f>
        <v>12</v>
      </c>
      <c r="E17" s="1">
        <f>INDEX(SPT[],MATCH(ECF[[#This Row],[Prof. (m)]],SPT[Prof. (m)],0),2)</f>
        <v>52</v>
      </c>
      <c r="F17" s="1" t="str">
        <f>INDEX(SPT[],MATCH(ECF[[#This Row],[Prof. (m)]],SPT[Prof. (m)],0),3)</f>
        <v>Areia siltosa</v>
      </c>
      <c r="G17" s="1">
        <f>INDEX(estacas[],ECF[[#This Row],[idDiâmetro]],MATCH($B$2,estacas[#Headers],0))</f>
        <v>60</v>
      </c>
      <c r="H17" s="1">
        <f>INDEX(estacas[],MATCH(ECF[[#This Row],[Ø (cm)]],estacas[Ø ECF (cm)],0),MATCH(ECF[[#Headers],[Pe ECF (kN)]],estacas[#Headers],0))</f>
        <v>1100</v>
      </c>
      <c r="I17" s="4">
        <f>INDEX(K_alpha_C[],MATCH(ECF[[#This Row],[Solo]],K_alpha_C[Solo],0),2)</f>
        <v>0.8</v>
      </c>
      <c r="J17" s="5">
        <f>INDEX(K_alpha_C[],MATCH(ECF[[#This Row],[Solo]],K_alpha_C[Solo],0),3)</f>
        <v>2</v>
      </c>
      <c r="K17" s="4">
        <f>INDEX(F1_F2[],MATCH($D$2,F1_F2[Tipo de estaca],0),2)</f>
        <v>3</v>
      </c>
      <c r="L17" s="4">
        <f>INDEX(F1_F2[],MATCH($D$2,F1_F2[Tipo de estaca],0),3)</f>
        <v>6</v>
      </c>
      <c r="M17" s="4">
        <f>PI()*(ECF[[#This Row],[Ø (cm)]]/100)^2/4</f>
        <v>0.28274333882308139</v>
      </c>
      <c r="N17" s="4">
        <f>PI()*ECF[[#This Row],[Ø (cm)]]/100</f>
        <v>1.8849555921538756</v>
      </c>
      <c r="O17" s="4">
        <f>IF(ECF[[#This Row],[Prof. (m)]]=0,0,ECF[[#This Row],[α (%)]]/100*ECF[[#This Row],[K (MPa)]]*1000*ECF[[#This Row],[NSPT]])</f>
        <v>832</v>
      </c>
      <c r="P17" s="4">
        <f>IF(ECF[[#This Row],[Prof. (m)]]=0,0,(ECF[[#This Row],[K (MPa)]]*1000*ECF[[#This Row],[NSPT]]/ECF[[#This Row],[F1]]*ECF[[#This Row],[Ap (m²)]]+ECF[[#This Row],[U (m)]]/ECF[[#This Row],[F2]]*SUMIFS(ECF[(α∙K∙NL∙ΔL)],ECF[Prof. (m)],"&lt;="&amp;ECF[[#This Row],[Prof. (m)]],ECF[idDiâmetro],ECF[[#This Row],[idDiâmetro]],ECF[idPilar],ECF[[#This Row],[idPilar]]))/'DADOS CAP. CARGA'!$D$2)</f>
        <v>2496.9221331098997</v>
      </c>
      <c r="Q17" s="12">
        <f>INDEX(C_alpha_beta[],MATCH(ECF[[#This Row],[Solo]],C_alpha_beta[Solo],0),MATCH(ECF[[#Headers],[C (kPa)]],C_alpha_beta[#Headers],0))</f>
        <v>400</v>
      </c>
      <c r="R17" s="4">
        <f>INDEX(C_alpha_beta[],MATCH(ECF[[#This Row],[Solo]],C_alpha_beta[Solo],0),MATCH(ECF[[#Headers],[α ESF]],C_alpha_beta[#Headers],0))</f>
        <v>0.5</v>
      </c>
      <c r="S17" s="4">
        <f>INDEX(C_alpha_beta[],MATCH(ECF[[#This Row],[Solo]],C_alpha_beta[Solo],0),MATCH(ECF[[#Headers],[β ESF]],C_alpha_beta[#Headers],0))</f>
        <v>0.5</v>
      </c>
      <c r="T17" s="4">
        <f>IF(ECF[[#This Row],[Prof. (m)]]=0,0,10*(ECF[[#This Row],[NSPT]]/3+1))</f>
        <v>183.33333333333331</v>
      </c>
      <c r="U17" s="4">
        <f>(ECF[[#This Row],[α ESF]]*ECF[[#This Row],[C (kPa)]]*ECF[[#This Row],[NSPT]]*ECF[[#This Row],[Ap (m²)]])/'DADOS CAP. CARGA'!$Q$2+(ECF[[#This Row],[β ESF]]*SUMIFS(ECF[10∙(NL/3+1)],ECF[Prof. (m)],"&lt;="&amp;ECF[[#This Row],[Prof. (m)]],ECF[idDiâmetro],ECF[[#This Row],[idDiâmetro]],ECF[idPilar],ECF[[#This Row],[idPilar]])*ECF[[#This Row],[U (m)]])/'DADOS CAP. CARGA'!$S$2</f>
        <v>1141.9689295798898</v>
      </c>
      <c r="V17" s="4">
        <f>IF(SPT!$M$5=1,MIN(ECF[[#This Row],[Pe ECF (kN)]],ECF[[#This Row],[R_AV (kN)]]),IF(SPT!$M$5=2,MIN(ECF[[#This Row],[Pe ECF (kN)]],ECF[[#This Row],[R_DC (kN)]]),MIN(ECF[[#This Row],[Pe ECF (kN)]],ECF[[#This Row],[R_AV (kN)]],ECF[[#This Row],[R_DC (kN)]])))</f>
        <v>1100</v>
      </c>
      <c r="W17" s="4">
        <f>INDEX(PILARES[],ECF[[#This Row],[idPilar]],MATCH("Carga (kN)",PILARES[#Headers],0))*1.4</f>
        <v>3500</v>
      </c>
      <c r="X17" s="12">
        <f>INDEX(PILARES[],ECF[[#This Row],[idPilar]],MATCH(ECF[[#Headers],[ap (cm)]],PILARES[#Headers],0))</f>
        <v>60</v>
      </c>
      <c r="Y17" s="12">
        <f>INDEX(PILARES[],ECF[[#This Row],[idPilar]],MATCH(ECF[[#Headers],[bp (cm)]],PILARES[#Headers],0))</f>
        <v>60</v>
      </c>
      <c r="Z17" s="4">
        <f>SQRT(ECF[[#This Row],[ap (cm)]]*ECF[[#This Row],[bp (cm)]])</f>
        <v>60</v>
      </c>
      <c r="AA17" s="12">
        <f>ECF[[#This Row],[ap (cm)]]*ECF[[#This Row],[bp (cm)]]</f>
        <v>3600</v>
      </c>
      <c r="AB17" s="12">
        <f ca="1">IF(ECF[[#This Row],[Padm∙ε (kN)]]&gt;=ECF[[#This Row],[Padm (kN)]],ROUNDUP(1.05*ECF[[#This Row],[Nsd (kN)]]/ECF[[#This Row],[Padm (kN)]],0),ROUNDUP(1.05*ECF[[#This Row],[Nsd (kN)]]/ECF[[#This Row],[Padm (kN)]],0)+1)</f>
        <v>4</v>
      </c>
      <c r="AC17" s="4">
        <f ca="1">IFERROR(IF(ECF[[#This Row],[nE]]=1,ECF[[#This Row],[Padm (kN)]],ECF[[#This Row],[Padm (kN)]]*ECF[[#This Row],[nE]]*INDEX(grupoEstacas[],ECF[[#This Row],[nE]],MATCH("ε",grupoEstacas[#Headers],0))),"N.S.")</f>
        <v>3575</v>
      </c>
      <c r="AD17" s="4">
        <f ca="1">1.05*ECF[[#This Row],[Nsd (kN)]]/(ECF[[#This Row],[nE]]*PI()*ECF[[#This Row],[Ø (cm)]]^2/4)*10</f>
        <v>3.24941342145953</v>
      </c>
      <c r="AE17" s="4">
        <f ca="1">IF(ECF[[#This Row],[σ (MPa)]]&lt;INDEX(tipoEstaca[],MATCH($D$2,tipoEstaca[TIPO DE ESTACA],0),MATCH("σmáx (MPa)",tipoEstaca[#Headers],0)),0.4%*PI()*ECF[[#This Row],[Ø (cm)]]^2/4,"N.S.")</f>
        <v>11.309733552923255</v>
      </c>
      <c r="AF17" s="1">
        <f>INDEX(tipoEstaca[],MATCH($D$2,tipoEstaca[TIPO DE ESTACA],0),MATCH(ECF[[#Headers],[Comprimento (m)]],tipoEstaca[#Headers],0))</f>
        <v>4</v>
      </c>
      <c r="AG17" s="5">
        <f ca="1">ECF[[#This Row],[As,mín (cm²)]]/100^2*ECF[[#This Row],[Comprimento (m)]]*7850</f>
        <v>35.512563356179022</v>
      </c>
      <c r="AH17" s="4">
        <f ca="1">ECF[[#This Row],[nE]]*ECF[[#This Row],[Prof. (m)]]*ECF[[#This Row],[Ap (m²)]]</f>
        <v>13.571680263507908</v>
      </c>
      <c r="AI17" s="1">
        <f ca="1">IF(ECF[[#This Row],[nE]]=1,0,MAX(3*ECF[[#This Row],[Ø (cm)]],60))</f>
        <v>180</v>
      </c>
      <c r="AJ17" s="1">
        <f ca="1">IF(ECF[[#This Row],[nE]]=1,ECF[[#This Row],[Ø (cm)]]+2*10,MAX(1.5*ECF[[#This Row],[Ø (cm)]],ECF[[#This Row],[Ø (cm)]]+15))</f>
        <v>90</v>
      </c>
      <c r="AK17" s="1">
        <f ca="1">alturaUtil(ECF[[#This Row],[nE]],ECF[[#This Row],[Ø (cm)]],ECF[[#This Row],[e (cm)]],ECF[[#This Row],[ap,eq (cm)]])</f>
        <v>75</v>
      </c>
      <c r="AL17" s="1">
        <f ca="1">IFERROR(ECF[[#This Row],[d (cm)]]+arredondarParaCimaMultiplo5cm(MAX(5,SQRT(PI())/2*ECF[[#This Row],[Ø (cm)]]/5)),"N.S.")</f>
        <v>90</v>
      </c>
      <c r="AM17" s="5">
        <f ca="1">alpha(ECF[[#This Row],[nE]],ECF[[#This Row],[d (cm)]],ECF[[#This Row],[e (cm)]],ECF[[#This Row],[ap,eq (cm)]])</f>
        <v>45</v>
      </c>
      <c r="AN17" s="35">
        <f ca="1">IFERROR(ECF[[#This Row],[Nsd (kN)]]/(ECF[[#This Row],[Ap (cm²)]]*SIN(ECF[[#This Row],[α]])^2),"N.S.")</f>
        <v>1.3427801064714635</v>
      </c>
      <c r="AO17" s="35">
        <f ca="1">IFERROR(ECF[[#This Row],[Nsd (kN)]]/(ECF[[#This Row],[nE]]*PI()*ECF[[#This Row],[Ø (cm)]]^2/4*SIN(ECF[[#This Row],[α]])^2),"N.S.")</f>
        <v>0.42742018286078987</v>
      </c>
      <c r="AP17" s="4">
        <f ca="1">IFERROR(INDEX(grupoEstacas[],ECF[[#This Row],[nE]],MATCH("coef. Blévot",grupoEstacas[#Headers],0)),"N.S.")</f>
        <v>2.1</v>
      </c>
      <c r="AQ17" s="35">
        <f ca="1">IFERROR(ECF[[#This Row],[coef. Blévot]]*0.9*INDEX(tipoEstaca[],MATCH($D$2,tipoEstaca[TIPO DE ESTACA],0),MATCH("fcd (kN/cm²)",tipoEstaca[#Headers],0)),"N.S.")</f>
        <v>2.1</v>
      </c>
      <c r="AR17" s="1" t="str">
        <f ca="1">IF(AND(ECF[[#This Row],[cd,b,pil (kN/cm²)]]&lt;=ECF[[#This Row],[cd,b,lim (kN/cm²)]],ECF[[#This Row],[cd,b,est (kN/cm²)]]&lt;=ECF[[#This Row],[cd,b,lim (kN/cm²)]]),"OK","ERRO")</f>
        <v>OK</v>
      </c>
      <c r="AS17" s="4">
        <f ca="1">As_lado(ECF[[#This Row],[nE]],ECF[[#This Row],[Nsd (kN)]],ECF[[#This Row],[d (cm)]],ECF[[#This Row],[e (cm)]],ECF[[#This Row],[ap,eq (cm)]])</f>
        <v>20.125</v>
      </c>
      <c r="AT17" s="4" t="str">
        <f ca="1">IF(ECF[[#This Row],[nE]]=1,ECF[[#This Row],[As,lado (cm²)]],IF(ECF[[#This Row],[nE]]=2,0.075*2*ECF[a (cm)],"N.A."))</f>
        <v>N.A.</v>
      </c>
      <c r="AU17" s="4">
        <f ca="1">IFERROR(IF(ECF[[#This Row],[nE]]=1,"N.A.",0.2*ECF[[#This Row],[As,lado (cm²)]]),"N.S.")</f>
        <v>4.0250000000000004</v>
      </c>
      <c r="AV17" s="4">
        <f ca="1">As_malha(ECF[[#This Row],[nE]],ECF[[#This Row],[As,lado (cm²)]],ECF[[#This Row],[Nsd (kN)]])</f>
        <v>4.0250000000000004</v>
      </c>
      <c r="AW17" s="4">
        <f ca="1">As_susp_tot(ECF[[#This Row],[nE]],ECF[[#This Row],[Nsd (kN)]])</f>
        <v>13.416666666666666</v>
      </c>
      <c r="AX17" s="4">
        <f ca="1">Asp_face(ECF[[#This Row],[nE]],ECF[[#This Row],[As,lado (cm²)]])</f>
        <v>10.0625</v>
      </c>
      <c r="AY17" s="5">
        <f ca="1">acoBloco(ECF[[#This Row],[nE]],ECF[[#This Row],[e (cm)]],ECF[[#This Row],[a (cm)]],ECF[[#This Row],[h (cm)]],ECF[[#This Row],[As,lado (cm²)]],ECF[[#This Row],[Asp e Asw (cm²/m)]],ECF[[#This Row],[As,sup (cm²)]],ECF[[#This Row],[As,malha (cm²)]],ECF[[#This Row],[As,susp,tot (cm²)]],ECF[[#This Row],[Asp,face (cm²)]])</f>
        <v>418.966275</v>
      </c>
      <c r="AZ17" s="4">
        <f ca="1">concretoBloco(ECF[[#This Row],[nE]],ECF[[#This Row],[e (cm)]],ECF[[#This Row],[a (cm)]],ECF[[#This Row],[h (cm)]])</f>
        <v>11.664</v>
      </c>
      <c r="BA17" s="5">
        <f ca="1">SUM(ECF[[#This Row],[Aço Est (kg)]],ECF[[#This Row],[Aço Bloco (kg)]])</f>
        <v>454.47883835617904</v>
      </c>
      <c r="BB17" s="4">
        <f>INDEX(composicoes[],MATCH(95580,composicoes[CÓDIGO],0),MATCH("CUSTO TOTAL",composicoes[#Headers],0))</f>
        <v>10.46</v>
      </c>
      <c r="BC17" s="4">
        <f ca="1">SUM(ECF[[#This Row],[Conc Est (m³)]],ECF[[#This Row],[Conc Bloco (m³)]])</f>
        <v>25.235680263507909</v>
      </c>
      <c r="BD17" s="4">
        <f>INDEX(composicoes[],MATCH(94966,composicoes[CÓDIGO],0),MATCH("CUSTO TOTAL",composicoes[#Headers],0))</f>
        <v>439.52</v>
      </c>
      <c r="BE17" s="38">
        <f ca="1">ECF[[#This Row],[Aço (kg)]]*ECF[[#This Row],[Aço (R$/kg)]]+ECF[[#This Row],[Conc (m³)]]*ECF[[#This Row],[Conc (R$/m³)]]</f>
        <v>15845.43483862263</v>
      </c>
      <c r="BF17" s="4" t="str">
        <f ca="1">IF(COUNTIF(ECF[#This Row],"N.S.")&gt;0,"lim.","OK")</f>
        <v>OK</v>
      </c>
      <c r="BG17" s="4" t="str">
        <f>IF(ECF[[#This Row],[Prof. (m)]]&lt;4,"lim.","OK")</f>
        <v>OK</v>
      </c>
      <c r="BH17" s="4" t="str">
        <f>IF(ECF[[#This Row],[Prof. (m)]]&gt;=8*ECF[[#This Row],[Ø (cm)]]/100,"OK","lim.")</f>
        <v>OK</v>
      </c>
      <c r="BI17" s="4" t="str">
        <f>IF(AND(SPT!$F$3&lt;&gt;"",ECF[[#This Row],[Prof. (m)]]&gt;=SPT!$F$3-2),"lim.","OK")</f>
        <v>OK</v>
      </c>
      <c r="BJ17" s="4" t="str">
        <f ca="1">IF(ECF[[#This Row],[Verif. Biela]]="OK","OK","lim.")</f>
        <v>OK</v>
      </c>
      <c r="BK17" s="4" t="str">
        <f ca="1">IF(COUNTA(ECF[[#This Row],[Nº Est.]:[Biela comp.]])=COUNTIF(ECF[[#This Row],[Nº Est.]:[Biela comp.]],"OK"),"OK","lim.")</f>
        <v>OK</v>
      </c>
      <c r="BL17" s="4" t="str">
        <f ca="1">IF(ECF[[#This Row],[Controle]]="OK",ECF[[#This Row],[nE]]&amp;" Ø"&amp;ECF[[#This Row],[Ø (cm)]]&amp;"cm Prof. "&amp;ECF[[#This Row],[Prof. (m)]]&amp;" m","")</f>
        <v>4 Ø60cm Prof. 12 m</v>
      </c>
      <c r="BM17" s="4" t="str">
        <f ca="1">IF(ECF[[#This Row],[idDimensionamento]]="","",ECF[[#This Row],[idPilar]]&amp;ECF[[#This Row],[idDimensionamento]])</f>
        <v>14 Ø60cm Prof. 12 m</v>
      </c>
    </row>
    <row r="18" spans="2:65" x14ac:dyDescent="0.25">
      <c r="B18" s="12">
        <f>ROUNDUP((ROW(ECF[[#This Row],[idDiâmetro]])-ROW(ECF[[#Headers],[idDiâmetro]]))/(COUNT(SPT[Prof. (m)])*COUNT(PILARES[Pilar])),0)</f>
        <v>1</v>
      </c>
      <c r="C18" s="12">
        <f>IF(ECF[[#This Row],[idDiâmetro]]&lt;&gt;B17,1,IF(ECF[[#This Row],[Prof. (m)]]=0,C17+1,C17))</f>
        <v>1</v>
      </c>
      <c r="D18" s="1">
        <f>IFERROR(IF(D17=MAX(SPT[Prof. (m)]),0,D17+1),0)</f>
        <v>13</v>
      </c>
      <c r="E18" s="1">
        <f>INDEX(SPT[],MATCH(ECF[[#This Row],[Prof. (m)]],SPT[Prof. (m)],0),2)</f>
        <v>68</v>
      </c>
      <c r="F18" s="1" t="str">
        <f>INDEX(SPT[],MATCH(ECF[[#This Row],[Prof. (m)]],SPT[Prof. (m)],0),3)</f>
        <v>Areia siltosa</v>
      </c>
      <c r="G18" s="1">
        <f>INDEX(estacas[],ECF[[#This Row],[idDiâmetro]],MATCH($B$2,estacas[#Headers],0))</f>
        <v>60</v>
      </c>
      <c r="H18" s="1">
        <f>INDEX(estacas[],MATCH(ECF[[#This Row],[Ø (cm)]],estacas[Ø ECF (cm)],0),MATCH(ECF[[#Headers],[Pe ECF (kN)]],estacas[#Headers],0))</f>
        <v>1100</v>
      </c>
      <c r="I18" s="4">
        <f>INDEX(K_alpha_C[],MATCH(ECF[[#This Row],[Solo]],K_alpha_C[Solo],0),2)</f>
        <v>0.8</v>
      </c>
      <c r="J18" s="5">
        <f>INDEX(K_alpha_C[],MATCH(ECF[[#This Row],[Solo]],K_alpha_C[Solo],0),3)</f>
        <v>2</v>
      </c>
      <c r="K18" s="4">
        <f>INDEX(F1_F2[],MATCH($D$2,F1_F2[Tipo de estaca],0),2)</f>
        <v>3</v>
      </c>
      <c r="L18" s="4">
        <f>INDEX(F1_F2[],MATCH($D$2,F1_F2[Tipo de estaca],0),3)</f>
        <v>6</v>
      </c>
      <c r="M18" s="4">
        <f>PI()*(ECF[[#This Row],[Ø (cm)]]/100)^2/4</f>
        <v>0.28274333882308139</v>
      </c>
      <c r="N18" s="4">
        <f>PI()*ECF[[#This Row],[Ø (cm)]]/100</f>
        <v>1.8849555921538756</v>
      </c>
      <c r="O18" s="4">
        <f>IF(ECF[[#This Row],[Prof. (m)]]=0,0,ECF[[#This Row],[α (%)]]/100*ECF[[#This Row],[K (MPa)]]*1000*ECF[[#This Row],[NSPT]])</f>
        <v>1088</v>
      </c>
      <c r="P18" s="4">
        <f>IF(ECF[[#This Row],[Prof. (m)]]=0,0,(ECF[[#This Row],[K (MPa)]]*1000*ECF[[#This Row],[NSPT]]/ECF[[#This Row],[F1]]*ECF[[#This Row],[Ap (m²)]]+ECF[[#This Row],[U (m)]]/ECF[[#This Row],[F2]]*SUMIFS(ECF[(α∙K∙NL∙ΔL)],ECF[Prof. (m)],"&lt;="&amp;ECF[[#This Row],[Prof. (m)]],ECF[idDiâmetro],ECF[[#This Row],[idDiâmetro]],ECF[idPilar],ECF[[#This Row],[idPilar]]))/'DADOS CAP. CARGA'!$D$2)</f>
        <v>3271.0105629544241</v>
      </c>
      <c r="Q18" s="12">
        <f>INDEX(C_alpha_beta[],MATCH(ECF[[#This Row],[Solo]],C_alpha_beta[Solo],0),MATCH(ECF[[#Headers],[C (kPa)]],C_alpha_beta[#Headers],0))</f>
        <v>400</v>
      </c>
      <c r="R18" s="4">
        <f>INDEX(C_alpha_beta[],MATCH(ECF[[#This Row],[Solo]],C_alpha_beta[Solo],0),MATCH(ECF[[#Headers],[α ESF]],C_alpha_beta[#Headers],0))</f>
        <v>0.5</v>
      </c>
      <c r="S18" s="4">
        <f>INDEX(C_alpha_beta[],MATCH(ECF[[#This Row],[Solo]],C_alpha_beta[Solo],0),MATCH(ECF[[#Headers],[β ESF]],C_alpha_beta[#Headers],0))</f>
        <v>0.5</v>
      </c>
      <c r="T18" s="4">
        <f>IF(ECF[[#This Row],[Prof. (m)]]=0,0,10*(ECF[[#This Row],[NSPT]]/3+1))</f>
        <v>236.66666666666669</v>
      </c>
      <c r="U18" s="4">
        <f>(ECF[[#This Row],[α ESF]]*ECF[[#This Row],[C (kPa)]]*ECF[[#This Row],[NSPT]]*ECF[[#This Row],[Ap (m²)]])/'DADOS CAP. CARGA'!$Q$2+(ECF[[#This Row],[β ESF]]*SUMIFS(ECF[10∙(NL/3+1)],ECF[Prof. (m)],"&lt;="&amp;ECF[[#This Row],[Prof. (m)]],ECF[idDiâmetro],ECF[[#This Row],[idDiâmetro]],ECF[idPilar],ECF[[#This Row],[idPilar]])*ECF[[#This Row],[U (m)]])/'DADOS CAP. CARGA'!$S$2</f>
        <v>1479.6901398407927</v>
      </c>
      <c r="V18" s="4">
        <f>IF(SPT!$M$5=1,MIN(ECF[[#This Row],[Pe ECF (kN)]],ECF[[#This Row],[R_AV (kN)]]),IF(SPT!$M$5=2,MIN(ECF[[#This Row],[Pe ECF (kN)]],ECF[[#This Row],[R_DC (kN)]]),MIN(ECF[[#This Row],[Pe ECF (kN)]],ECF[[#This Row],[R_AV (kN)]],ECF[[#This Row],[R_DC (kN)]])))</f>
        <v>1100</v>
      </c>
      <c r="W18" s="4">
        <f>INDEX(PILARES[],ECF[[#This Row],[idPilar]],MATCH("Carga (kN)",PILARES[#Headers],0))*1.4</f>
        <v>3500</v>
      </c>
      <c r="X18" s="12">
        <f>INDEX(PILARES[],ECF[[#This Row],[idPilar]],MATCH(ECF[[#Headers],[ap (cm)]],PILARES[#Headers],0))</f>
        <v>60</v>
      </c>
      <c r="Y18" s="12">
        <f>INDEX(PILARES[],ECF[[#This Row],[idPilar]],MATCH(ECF[[#Headers],[bp (cm)]],PILARES[#Headers],0))</f>
        <v>60</v>
      </c>
      <c r="Z18" s="4">
        <f>SQRT(ECF[[#This Row],[ap (cm)]]*ECF[[#This Row],[bp (cm)]])</f>
        <v>60</v>
      </c>
      <c r="AA18" s="12">
        <f>ECF[[#This Row],[ap (cm)]]*ECF[[#This Row],[bp (cm)]]</f>
        <v>3600</v>
      </c>
      <c r="AB18" s="12">
        <f ca="1">IF(ECF[[#This Row],[Padm∙ε (kN)]]&gt;=ECF[[#This Row],[Padm (kN)]],ROUNDUP(1.05*ECF[[#This Row],[Nsd (kN)]]/ECF[[#This Row],[Padm (kN)]],0),ROUNDUP(1.05*ECF[[#This Row],[Nsd (kN)]]/ECF[[#This Row],[Padm (kN)]],0)+1)</f>
        <v>4</v>
      </c>
      <c r="AC18" s="4">
        <f ca="1">IFERROR(IF(ECF[[#This Row],[nE]]=1,ECF[[#This Row],[Padm (kN)]],ECF[[#This Row],[Padm (kN)]]*ECF[[#This Row],[nE]]*INDEX(grupoEstacas[],ECF[[#This Row],[nE]],MATCH("ε",grupoEstacas[#Headers],0))),"N.S.")</f>
        <v>3575</v>
      </c>
      <c r="AD18" s="4">
        <f ca="1">1.05*ECF[[#This Row],[Nsd (kN)]]/(ECF[[#This Row],[nE]]*PI()*ECF[[#This Row],[Ø (cm)]]^2/4)*10</f>
        <v>3.24941342145953</v>
      </c>
      <c r="AE18" s="4">
        <f ca="1">IF(ECF[[#This Row],[σ (MPa)]]&lt;INDEX(tipoEstaca[],MATCH($D$2,tipoEstaca[TIPO DE ESTACA],0),MATCH("σmáx (MPa)",tipoEstaca[#Headers],0)),0.4%*PI()*ECF[[#This Row],[Ø (cm)]]^2/4,"N.S.")</f>
        <v>11.309733552923255</v>
      </c>
      <c r="AF18" s="1">
        <f>INDEX(tipoEstaca[],MATCH($D$2,tipoEstaca[TIPO DE ESTACA],0),MATCH(ECF[[#Headers],[Comprimento (m)]],tipoEstaca[#Headers],0))</f>
        <v>4</v>
      </c>
      <c r="AG18" s="5">
        <f ca="1">ECF[[#This Row],[As,mín (cm²)]]/100^2*ECF[[#This Row],[Comprimento (m)]]*7850</f>
        <v>35.512563356179022</v>
      </c>
      <c r="AH18" s="4">
        <f ca="1">ECF[[#This Row],[nE]]*ECF[[#This Row],[Prof. (m)]]*ECF[[#This Row],[Ap (m²)]]</f>
        <v>14.702653618800232</v>
      </c>
      <c r="AI18" s="1">
        <f ca="1">IF(ECF[[#This Row],[nE]]=1,0,MAX(3*ECF[[#This Row],[Ø (cm)]],60))</f>
        <v>180</v>
      </c>
      <c r="AJ18" s="1">
        <f ca="1">IF(ECF[[#This Row],[nE]]=1,ECF[[#This Row],[Ø (cm)]]+2*10,MAX(1.5*ECF[[#This Row],[Ø (cm)]],ECF[[#This Row],[Ø (cm)]]+15))</f>
        <v>90</v>
      </c>
      <c r="AK18" s="1">
        <f ca="1">alturaUtil(ECF[[#This Row],[nE]],ECF[[#This Row],[Ø (cm)]],ECF[[#This Row],[e (cm)]],ECF[[#This Row],[ap,eq (cm)]])</f>
        <v>75</v>
      </c>
      <c r="AL18" s="1">
        <f ca="1">IFERROR(ECF[[#This Row],[d (cm)]]+arredondarParaCimaMultiplo5cm(MAX(5,SQRT(PI())/2*ECF[[#This Row],[Ø (cm)]]/5)),"N.S.")</f>
        <v>90</v>
      </c>
      <c r="AM18" s="5">
        <f ca="1">alpha(ECF[[#This Row],[nE]],ECF[[#This Row],[d (cm)]],ECF[[#This Row],[e (cm)]],ECF[[#This Row],[ap,eq (cm)]])</f>
        <v>45</v>
      </c>
      <c r="AN18" s="35">
        <f ca="1">IFERROR(ECF[[#This Row],[Nsd (kN)]]/(ECF[[#This Row],[Ap (cm²)]]*SIN(ECF[[#This Row],[α]])^2),"N.S.")</f>
        <v>1.3427801064714635</v>
      </c>
      <c r="AO18" s="35">
        <f ca="1">IFERROR(ECF[[#This Row],[Nsd (kN)]]/(ECF[[#This Row],[nE]]*PI()*ECF[[#This Row],[Ø (cm)]]^2/4*SIN(ECF[[#This Row],[α]])^2),"N.S.")</f>
        <v>0.42742018286078987</v>
      </c>
      <c r="AP18" s="4">
        <f ca="1">IFERROR(INDEX(grupoEstacas[],ECF[[#This Row],[nE]],MATCH("coef. Blévot",grupoEstacas[#Headers],0)),"N.S.")</f>
        <v>2.1</v>
      </c>
      <c r="AQ18" s="35">
        <f ca="1">IFERROR(ECF[[#This Row],[coef. Blévot]]*0.9*INDEX(tipoEstaca[],MATCH($D$2,tipoEstaca[TIPO DE ESTACA],0),MATCH("fcd (kN/cm²)",tipoEstaca[#Headers],0)),"N.S.")</f>
        <v>2.1</v>
      </c>
      <c r="AR18" s="1" t="str">
        <f ca="1">IF(AND(ECF[[#This Row],[cd,b,pil (kN/cm²)]]&lt;=ECF[[#This Row],[cd,b,lim (kN/cm²)]],ECF[[#This Row],[cd,b,est (kN/cm²)]]&lt;=ECF[[#This Row],[cd,b,lim (kN/cm²)]]),"OK","ERRO")</f>
        <v>OK</v>
      </c>
      <c r="AS18" s="4">
        <f ca="1">As_lado(ECF[[#This Row],[nE]],ECF[[#This Row],[Nsd (kN)]],ECF[[#This Row],[d (cm)]],ECF[[#This Row],[e (cm)]],ECF[[#This Row],[ap,eq (cm)]])</f>
        <v>20.125</v>
      </c>
      <c r="AT18" s="4" t="str">
        <f ca="1">IF(ECF[[#This Row],[nE]]=1,ECF[[#This Row],[As,lado (cm²)]],IF(ECF[[#This Row],[nE]]=2,0.075*2*ECF[a (cm)],"N.A."))</f>
        <v>N.A.</v>
      </c>
      <c r="AU18" s="4">
        <f ca="1">IFERROR(IF(ECF[[#This Row],[nE]]=1,"N.A.",0.2*ECF[[#This Row],[As,lado (cm²)]]),"N.S.")</f>
        <v>4.0250000000000004</v>
      </c>
      <c r="AV18" s="4">
        <f ca="1">As_malha(ECF[[#This Row],[nE]],ECF[[#This Row],[As,lado (cm²)]],ECF[[#This Row],[Nsd (kN)]])</f>
        <v>4.0250000000000004</v>
      </c>
      <c r="AW18" s="4">
        <f ca="1">As_susp_tot(ECF[[#This Row],[nE]],ECF[[#This Row],[Nsd (kN)]])</f>
        <v>13.416666666666666</v>
      </c>
      <c r="AX18" s="4">
        <f ca="1">Asp_face(ECF[[#This Row],[nE]],ECF[[#This Row],[As,lado (cm²)]])</f>
        <v>10.0625</v>
      </c>
      <c r="AY18" s="5">
        <f ca="1">acoBloco(ECF[[#This Row],[nE]],ECF[[#This Row],[e (cm)]],ECF[[#This Row],[a (cm)]],ECF[[#This Row],[h (cm)]],ECF[[#This Row],[As,lado (cm²)]],ECF[[#This Row],[Asp e Asw (cm²/m)]],ECF[[#This Row],[As,sup (cm²)]],ECF[[#This Row],[As,malha (cm²)]],ECF[[#This Row],[As,susp,tot (cm²)]],ECF[[#This Row],[Asp,face (cm²)]])</f>
        <v>418.966275</v>
      </c>
      <c r="AZ18" s="4">
        <f ca="1">concretoBloco(ECF[[#This Row],[nE]],ECF[[#This Row],[e (cm)]],ECF[[#This Row],[a (cm)]],ECF[[#This Row],[h (cm)]])</f>
        <v>11.664</v>
      </c>
      <c r="BA18" s="5">
        <f ca="1">SUM(ECF[[#This Row],[Aço Est (kg)]],ECF[[#This Row],[Aço Bloco (kg)]])</f>
        <v>454.47883835617904</v>
      </c>
      <c r="BB18" s="4">
        <f>INDEX(composicoes[],MATCH(95580,composicoes[CÓDIGO],0),MATCH("CUSTO TOTAL",composicoes[#Headers],0))</f>
        <v>10.46</v>
      </c>
      <c r="BC18" s="4">
        <f ca="1">SUM(ECF[[#This Row],[Conc Est (m³)]],ECF[[#This Row],[Conc Bloco (m³)]])</f>
        <v>26.366653618800232</v>
      </c>
      <c r="BD18" s="4">
        <f>INDEX(composicoes[],MATCH(94966,composicoes[CÓDIGO],0),MATCH("CUSTO TOTAL",composicoes[#Headers],0))</f>
        <v>439.52</v>
      </c>
      <c r="BE18" s="38">
        <f ca="1">ECF[[#This Row],[Aço (kg)]]*ECF[[#This Row],[Aço (R$/kg)]]+ECF[[#This Row],[Conc (m³)]]*ECF[[#This Row],[Conc (R$/m³)]]</f>
        <v>16342.520247740711</v>
      </c>
      <c r="BF18" s="4" t="str">
        <f ca="1">IF(COUNTIF(ECF[#This Row],"N.S.")&gt;0,"lim.","OK")</f>
        <v>OK</v>
      </c>
      <c r="BG18" s="4" t="str">
        <f>IF(ECF[[#This Row],[Prof. (m)]]&lt;4,"lim.","OK")</f>
        <v>OK</v>
      </c>
      <c r="BH18" s="4" t="str">
        <f>IF(ECF[[#This Row],[Prof. (m)]]&gt;=8*ECF[[#This Row],[Ø (cm)]]/100,"OK","lim.")</f>
        <v>OK</v>
      </c>
      <c r="BI18" s="4" t="str">
        <f>IF(AND(SPT!$F$3&lt;&gt;"",ECF[[#This Row],[Prof. (m)]]&gt;=SPT!$F$3-2),"lim.","OK")</f>
        <v>OK</v>
      </c>
      <c r="BJ18" s="4" t="str">
        <f ca="1">IF(ECF[[#This Row],[Verif. Biela]]="OK","OK","lim.")</f>
        <v>OK</v>
      </c>
      <c r="BK18" s="4" t="str">
        <f ca="1">IF(COUNTA(ECF[[#This Row],[Nº Est.]:[Biela comp.]])=COUNTIF(ECF[[#This Row],[Nº Est.]:[Biela comp.]],"OK"),"OK","lim.")</f>
        <v>OK</v>
      </c>
      <c r="BL18" s="4" t="str">
        <f ca="1">IF(ECF[[#This Row],[Controle]]="OK",ECF[[#This Row],[nE]]&amp;" Ø"&amp;ECF[[#This Row],[Ø (cm)]]&amp;"cm Prof. "&amp;ECF[[#This Row],[Prof. (m)]]&amp;" m","")</f>
        <v>4 Ø60cm Prof. 13 m</v>
      </c>
      <c r="BM18" s="4" t="str">
        <f ca="1">IF(ECF[[#This Row],[idDimensionamento]]="","",ECF[[#This Row],[idPilar]]&amp;ECF[[#This Row],[idDimensionamento]])</f>
        <v>14 Ø60cm Prof. 13 m</v>
      </c>
    </row>
    <row r="19" spans="2:65" x14ac:dyDescent="0.25">
      <c r="B19" s="12">
        <f>ROUNDUP((ROW(ECF[[#This Row],[idDiâmetro]])-ROW(ECF[[#Headers],[idDiâmetro]]))/(COUNT(SPT[Prof. (m)])*COUNT(PILARES[Pilar])),0)</f>
        <v>1</v>
      </c>
      <c r="C19" s="12">
        <f>IF(ECF[[#This Row],[idDiâmetro]]&lt;&gt;B18,1,IF(ECF[[#This Row],[Prof. (m)]]=0,C18+1,C18))</f>
        <v>2</v>
      </c>
      <c r="D19" s="1">
        <f>IFERROR(IF(D18=MAX(SPT[Prof. (m)]),0,D18+1),0)</f>
        <v>0</v>
      </c>
      <c r="E19" s="1">
        <f>INDEX(SPT[],MATCH(ECF[[#This Row],[Prof. (m)]],SPT[Prof. (m)],0),2)</f>
        <v>0</v>
      </c>
      <c r="F19" s="1" t="str">
        <f>INDEX(SPT[],MATCH(ECF[[#This Row],[Prof. (m)]],SPT[Prof. (m)],0),3)</f>
        <v>Areia siltosa</v>
      </c>
      <c r="G19" s="1">
        <f>INDEX(estacas[],ECF[[#This Row],[idDiâmetro]],MATCH($B$2,estacas[#Headers],0))</f>
        <v>60</v>
      </c>
      <c r="H19" s="1">
        <f>INDEX(estacas[],MATCH(ECF[[#This Row],[Ø (cm)]],estacas[Ø ECF (cm)],0),MATCH(ECF[[#Headers],[Pe ECF (kN)]],estacas[#Headers],0))</f>
        <v>1100</v>
      </c>
      <c r="I19" s="4">
        <f>INDEX(K_alpha_C[],MATCH(ECF[[#This Row],[Solo]],K_alpha_C[Solo],0),2)</f>
        <v>0.8</v>
      </c>
      <c r="J19" s="5">
        <f>INDEX(K_alpha_C[],MATCH(ECF[[#This Row],[Solo]],K_alpha_C[Solo],0),3)</f>
        <v>2</v>
      </c>
      <c r="K19" s="4">
        <f>INDEX(F1_F2[],MATCH($D$2,F1_F2[Tipo de estaca],0),2)</f>
        <v>3</v>
      </c>
      <c r="L19" s="4">
        <f>INDEX(F1_F2[],MATCH($D$2,F1_F2[Tipo de estaca],0),3)</f>
        <v>6</v>
      </c>
      <c r="M19" s="4">
        <f>PI()*(ECF[[#This Row],[Ø (cm)]]/100)^2/4</f>
        <v>0.28274333882308139</v>
      </c>
      <c r="N19" s="4">
        <f>PI()*ECF[[#This Row],[Ø (cm)]]/100</f>
        <v>1.8849555921538756</v>
      </c>
      <c r="O19" s="4">
        <f>IF(ECF[[#This Row],[Prof. (m)]]=0,0,ECF[[#This Row],[α (%)]]/100*ECF[[#This Row],[K (MPa)]]*1000*ECF[[#This Row],[NSPT]])</f>
        <v>0</v>
      </c>
      <c r="P19" s="4">
        <f>IF(ECF[[#This Row],[Prof. (m)]]=0,0,(ECF[[#This Row],[K (MPa)]]*1000*ECF[[#This Row],[NSPT]]/ECF[[#This Row],[F1]]*ECF[[#This Row],[Ap (m²)]]+ECF[[#This Row],[U (m)]]/ECF[[#This Row],[F2]]*SUMIFS(ECF[(α∙K∙NL∙ΔL)],ECF[Prof. (m)],"&lt;="&amp;ECF[[#This Row],[Prof. (m)]],ECF[idDiâmetro],ECF[[#This Row],[idDiâmetro]],ECF[idPilar],ECF[[#This Row],[idPilar]]))/'DADOS CAP. CARGA'!$D$2)</f>
        <v>0</v>
      </c>
      <c r="Q19" s="12">
        <f>INDEX(C_alpha_beta[],MATCH(ECF[[#This Row],[Solo]],C_alpha_beta[Solo],0),MATCH(ECF[[#Headers],[C (kPa)]],C_alpha_beta[#Headers],0))</f>
        <v>400</v>
      </c>
      <c r="R19" s="4">
        <f>INDEX(C_alpha_beta[],MATCH(ECF[[#This Row],[Solo]],C_alpha_beta[Solo],0),MATCH(ECF[[#Headers],[α ESF]],C_alpha_beta[#Headers],0))</f>
        <v>0.5</v>
      </c>
      <c r="S19" s="4">
        <f>INDEX(C_alpha_beta[],MATCH(ECF[[#This Row],[Solo]],C_alpha_beta[Solo],0),MATCH(ECF[[#Headers],[β ESF]],C_alpha_beta[#Headers],0))</f>
        <v>0.5</v>
      </c>
      <c r="T19" s="4">
        <f>IF(ECF[[#This Row],[Prof. (m)]]=0,0,10*(ECF[[#This Row],[NSPT]]/3+1))</f>
        <v>0</v>
      </c>
      <c r="U19" s="4">
        <f>(ECF[[#This Row],[α ESF]]*ECF[[#This Row],[C (kPa)]]*ECF[[#This Row],[NSPT]]*ECF[[#This Row],[Ap (m²)]])/'DADOS CAP. CARGA'!$Q$2+(ECF[[#This Row],[β ESF]]*SUMIFS(ECF[10∙(NL/3+1)],ECF[Prof. (m)],"&lt;="&amp;ECF[[#This Row],[Prof. (m)]],ECF[idDiâmetro],ECF[[#This Row],[idDiâmetro]],ECF[idPilar],ECF[[#This Row],[idPilar]])*ECF[[#This Row],[U (m)]])/'DADOS CAP. CARGA'!$S$2</f>
        <v>0</v>
      </c>
      <c r="V19" s="4">
        <f>IF(SPT!$M$5=1,MIN(ECF[[#This Row],[Pe ECF (kN)]],ECF[[#This Row],[R_AV (kN)]]),IF(SPT!$M$5=2,MIN(ECF[[#This Row],[Pe ECF (kN)]],ECF[[#This Row],[R_DC (kN)]]),MIN(ECF[[#This Row],[Pe ECF (kN)]],ECF[[#This Row],[R_AV (kN)]],ECF[[#This Row],[R_DC (kN)]])))</f>
        <v>0</v>
      </c>
      <c r="W19" s="4">
        <f>INDEX(PILARES[],ECF[[#This Row],[idPilar]],MATCH("Carga (kN)",PILARES[#Headers],0))*1.4</f>
        <v>1750</v>
      </c>
      <c r="X19" s="12">
        <f>INDEX(PILARES[],ECF[[#This Row],[idPilar]],MATCH(ECF[[#Headers],[ap (cm)]],PILARES[#Headers],0))</f>
        <v>50</v>
      </c>
      <c r="Y19" s="12">
        <f>INDEX(PILARES[],ECF[[#This Row],[idPilar]],MATCH(ECF[[#Headers],[bp (cm)]],PILARES[#Headers],0))</f>
        <v>40</v>
      </c>
      <c r="Z19" s="4">
        <f>SQRT(ECF[[#This Row],[ap (cm)]]*ECF[[#This Row],[bp (cm)]])</f>
        <v>44.721359549995796</v>
      </c>
      <c r="AA19" s="12">
        <f>ECF[[#This Row],[ap (cm)]]*ECF[[#This Row],[bp (cm)]]</f>
        <v>2000</v>
      </c>
      <c r="AB19" s="12" t="e">
        <f ca="1">IF(ECF[[#This Row],[Padm∙ε (kN)]]&gt;=ECF[[#This Row],[Padm (kN)]],ROUNDUP(1.05*ECF[[#This Row],[Nsd (kN)]]/ECF[[#This Row],[Padm (kN)]],0),ROUNDUP(1.05*ECF[[#This Row],[Nsd (kN)]]/ECF[[#This Row],[Padm (kN)]],0)+1)</f>
        <v>#DIV/0!</v>
      </c>
      <c r="AC19" s="4" t="str">
        <f ca="1">IFERROR(IF(ECF[[#This Row],[nE]]=1,ECF[[#This Row],[Padm (kN)]],ECF[[#This Row],[Padm (kN)]]*ECF[[#This Row],[nE]]*INDEX(grupoEstacas[],ECF[[#This Row],[nE]],MATCH("ε",grupoEstacas[#Headers],0))),"N.S.")</f>
        <v>N.S.</v>
      </c>
      <c r="AD19" s="4" t="e">
        <f ca="1">1.05*ECF[[#This Row],[Nsd (kN)]]/(ECF[[#This Row],[nE]]*PI()*ECF[[#This Row],[Ø (cm)]]^2/4)*10</f>
        <v>#DIV/0!</v>
      </c>
      <c r="AE19" s="4" t="e">
        <f ca="1">IF(ECF[[#This Row],[σ (MPa)]]&lt;INDEX(tipoEstaca[],MATCH($D$2,tipoEstaca[TIPO DE ESTACA],0),MATCH("σmáx (MPa)",tipoEstaca[#Headers],0)),0.4%*PI()*ECF[[#This Row],[Ø (cm)]]^2/4,"N.S.")</f>
        <v>#DIV/0!</v>
      </c>
      <c r="AF19" s="1">
        <f>INDEX(tipoEstaca[],MATCH($D$2,tipoEstaca[TIPO DE ESTACA],0),MATCH(ECF[[#Headers],[Comprimento (m)]],tipoEstaca[#Headers],0))</f>
        <v>4</v>
      </c>
      <c r="AG19" s="5" t="e">
        <f ca="1">ECF[[#This Row],[As,mín (cm²)]]/100^2*ECF[[#This Row],[Comprimento (m)]]*7850</f>
        <v>#DIV/0!</v>
      </c>
      <c r="AH19" s="4" t="e">
        <f ca="1">ECF[[#This Row],[nE]]*ECF[[#This Row],[Prof. (m)]]*ECF[[#This Row],[Ap (m²)]]</f>
        <v>#DIV/0!</v>
      </c>
      <c r="AI19" s="1" t="e">
        <f ca="1">IF(ECF[[#This Row],[nE]]=1,0,MAX(3*ECF[[#This Row],[Ø (cm)]],60))</f>
        <v>#DIV/0!</v>
      </c>
      <c r="AJ19" s="1" t="e">
        <f ca="1">IF(ECF[[#This Row],[nE]]=1,ECF[[#This Row],[Ø (cm)]]+2*10,MAX(1.5*ECF[[#This Row],[Ø (cm)]],ECF[[#This Row],[Ø (cm)]]+15))</f>
        <v>#DIV/0!</v>
      </c>
      <c r="AK19" s="1" t="e">
        <f ca="1">alturaUtil(ECF[[#This Row],[nE]],ECF[[#This Row],[Ø (cm)]],ECF[[#This Row],[e (cm)]],ECF[[#This Row],[ap,eq (cm)]])</f>
        <v>#VALUE!</v>
      </c>
      <c r="AL19" s="1" t="str">
        <f ca="1">IFERROR(ECF[[#This Row],[d (cm)]]+arredondarParaCimaMultiplo5cm(MAX(5,SQRT(PI())/2*ECF[[#This Row],[Ø (cm)]]/5)),"N.S.")</f>
        <v>N.S.</v>
      </c>
      <c r="AM19" s="5" t="e">
        <f ca="1">alpha(ECF[[#This Row],[nE]],ECF[[#This Row],[d (cm)]],ECF[[#This Row],[e (cm)]],ECF[[#This Row],[ap,eq (cm)]])</f>
        <v>#VALUE!</v>
      </c>
      <c r="AN19" s="35" t="str">
        <f ca="1">IFERROR(ECF[[#This Row],[Nsd (kN)]]/(ECF[[#This Row],[Ap (cm²)]]*SIN(ECF[[#This Row],[α]])^2),"N.S.")</f>
        <v>N.S.</v>
      </c>
      <c r="AO19" s="35" t="str">
        <f ca="1">IFERROR(ECF[[#This Row],[Nsd (kN)]]/(ECF[[#This Row],[nE]]*PI()*ECF[[#This Row],[Ø (cm)]]^2/4*SIN(ECF[[#This Row],[α]])^2),"N.S.")</f>
        <v>N.S.</v>
      </c>
      <c r="AP19" s="4" t="str">
        <f ca="1">IFERROR(INDEX(grupoEstacas[],ECF[[#This Row],[nE]],MATCH("coef. Blévot",grupoEstacas[#Headers],0)),"N.S.")</f>
        <v>N.S.</v>
      </c>
      <c r="AQ19" s="35" t="str">
        <f ca="1">IFERROR(ECF[[#This Row],[coef. Blévot]]*0.9*INDEX(tipoEstaca[],MATCH($D$2,tipoEstaca[TIPO DE ESTACA],0),MATCH("fcd (kN/cm²)",tipoEstaca[#Headers],0)),"N.S.")</f>
        <v>N.S.</v>
      </c>
      <c r="AR19" s="1" t="str">
        <f ca="1">IF(AND(ECF[[#This Row],[cd,b,pil (kN/cm²)]]&lt;=ECF[[#This Row],[cd,b,lim (kN/cm²)]],ECF[[#This Row],[cd,b,est (kN/cm²)]]&lt;=ECF[[#This Row],[cd,b,lim (kN/cm²)]]),"OK","ERRO")</f>
        <v>OK</v>
      </c>
      <c r="AS19" s="4" t="e">
        <f ca="1">As_lado(ECF[[#This Row],[nE]],ECF[[#This Row],[Nsd (kN)]],ECF[[#This Row],[d (cm)]],ECF[[#This Row],[e (cm)]],ECF[[#This Row],[ap,eq (cm)]])</f>
        <v>#VALUE!</v>
      </c>
      <c r="AT19" s="4" t="e">
        <f ca="1">IF(ECF[[#This Row],[nE]]=1,ECF[[#This Row],[As,lado (cm²)]],IF(ECF[[#This Row],[nE]]=2,0.075*2*ECF[a (cm)],"N.A."))</f>
        <v>#DIV/0!</v>
      </c>
      <c r="AU19" s="4" t="str">
        <f ca="1">IFERROR(IF(ECF[[#This Row],[nE]]=1,"N.A.",0.2*ECF[[#This Row],[As,lado (cm²)]]),"N.S.")</f>
        <v>N.S.</v>
      </c>
      <c r="AV19" s="4" t="e">
        <f ca="1">As_malha(ECF[[#This Row],[nE]],ECF[[#This Row],[As,lado (cm²)]],ECF[[#This Row],[Nsd (kN)]])</f>
        <v>#VALUE!</v>
      </c>
      <c r="AW19" s="4" t="e">
        <f ca="1">As_susp_tot(ECF[[#This Row],[nE]],ECF[[#This Row],[Nsd (kN)]])</f>
        <v>#VALUE!</v>
      </c>
      <c r="AX19" s="4" t="e">
        <f ca="1">Asp_face(ECF[[#This Row],[nE]],ECF[[#This Row],[As,lado (cm²)]])</f>
        <v>#VALUE!</v>
      </c>
      <c r="AY19" s="5" t="e">
        <f ca="1">acoBloco(ECF[[#This Row],[nE]],ECF[[#This Row],[e (cm)]],ECF[[#This Row],[a (cm)]],ECF[[#This Row],[h (cm)]],ECF[[#This Row],[As,lado (cm²)]],ECF[[#This Row],[Asp e Asw (cm²/m)]],ECF[[#This Row],[As,sup (cm²)]],ECF[[#This Row],[As,malha (cm²)]],ECF[[#This Row],[As,susp,tot (cm²)]],ECF[[#This Row],[Asp,face (cm²)]])</f>
        <v>#VALUE!</v>
      </c>
      <c r="AZ19" s="4" t="e">
        <f ca="1">concretoBloco(ECF[[#This Row],[nE]],ECF[[#This Row],[e (cm)]],ECF[[#This Row],[a (cm)]],ECF[[#This Row],[h (cm)]])</f>
        <v>#VALUE!</v>
      </c>
      <c r="BA19" s="5" t="e">
        <f ca="1">SUM(ECF[[#This Row],[Aço Est (kg)]],ECF[[#This Row],[Aço Bloco (kg)]])</f>
        <v>#DIV/0!</v>
      </c>
      <c r="BB19" s="4">
        <f>INDEX(composicoes[],MATCH(95580,composicoes[CÓDIGO],0),MATCH("CUSTO TOTAL",composicoes[#Headers],0))</f>
        <v>10.46</v>
      </c>
      <c r="BC19" s="4" t="e">
        <f ca="1">SUM(ECF[[#This Row],[Conc Est (m³)]],ECF[[#This Row],[Conc Bloco (m³)]])</f>
        <v>#DIV/0!</v>
      </c>
      <c r="BD19" s="4">
        <f>INDEX(composicoes[],MATCH(94966,composicoes[CÓDIGO],0),MATCH("CUSTO TOTAL",composicoes[#Headers],0))</f>
        <v>439.52</v>
      </c>
      <c r="BE19" s="38" t="e">
        <f ca="1">ECF[[#This Row],[Aço (kg)]]*ECF[[#This Row],[Aço (R$/kg)]]+ECF[[#This Row],[Conc (m³)]]*ECF[[#This Row],[Conc (R$/m³)]]</f>
        <v>#DIV/0!</v>
      </c>
      <c r="BF19" s="4" t="str">
        <f ca="1">IF(COUNTIF(ECF[#This Row],"N.S.")&gt;0,"lim.","OK")</f>
        <v>lim.</v>
      </c>
      <c r="BG19" s="4" t="str">
        <f>IF(ECF[[#This Row],[Prof. (m)]]&lt;4,"lim.","OK")</f>
        <v>lim.</v>
      </c>
      <c r="BH19" s="4" t="str">
        <f>IF(ECF[[#This Row],[Prof. (m)]]&gt;=8*ECF[[#This Row],[Ø (cm)]]/100,"OK","lim.")</f>
        <v>lim.</v>
      </c>
      <c r="BI19" s="4" t="str">
        <f>IF(AND(SPT!$F$3&lt;&gt;"",ECF[[#This Row],[Prof. (m)]]&gt;=SPT!$F$3-2),"lim.","OK")</f>
        <v>OK</v>
      </c>
      <c r="BJ19" s="4" t="str">
        <f ca="1">IF(ECF[[#This Row],[Verif. Biela]]="OK","OK","lim.")</f>
        <v>OK</v>
      </c>
      <c r="BK19" s="4" t="str">
        <f ca="1">IF(COUNTA(ECF[[#This Row],[Nº Est.]:[Biela comp.]])=COUNTIF(ECF[[#This Row],[Nº Est.]:[Biela comp.]],"OK"),"OK","lim.")</f>
        <v>lim.</v>
      </c>
      <c r="BL19" s="4" t="str">
        <f ca="1">IF(ECF[[#This Row],[Controle]]="OK",ECF[[#This Row],[nE]]&amp;" Ø"&amp;ECF[[#This Row],[Ø (cm)]]&amp;"cm Prof. "&amp;ECF[[#This Row],[Prof. (m)]]&amp;" m","")</f>
        <v/>
      </c>
      <c r="BM19" s="4" t="str">
        <f ca="1">IF(ECF[[#This Row],[idDimensionamento]]="","",ECF[[#This Row],[idPilar]]&amp;ECF[[#This Row],[idDimensionamento]])</f>
        <v/>
      </c>
    </row>
    <row r="20" spans="2:65" x14ac:dyDescent="0.25">
      <c r="B20" s="12">
        <f>ROUNDUP((ROW(ECF[[#This Row],[idDiâmetro]])-ROW(ECF[[#Headers],[idDiâmetro]]))/(COUNT(SPT[Prof. (m)])*COUNT(PILARES[Pilar])),0)</f>
        <v>1</v>
      </c>
      <c r="C20" s="12">
        <f>IF(ECF[[#This Row],[idDiâmetro]]&lt;&gt;B19,1,IF(ECF[[#This Row],[Prof. (m)]]=0,C19+1,C19))</f>
        <v>2</v>
      </c>
      <c r="D20" s="1">
        <f>IFERROR(IF(D19=MAX(SPT[Prof. (m)]),0,D19+1),0)</f>
        <v>1</v>
      </c>
      <c r="E20" s="1">
        <f>INDEX(SPT[],MATCH(ECF[[#This Row],[Prof. (m)]],SPT[Prof. (m)],0),2)</f>
        <v>2</v>
      </c>
      <c r="F20" s="1" t="str">
        <f>INDEX(SPT[],MATCH(ECF[[#This Row],[Prof. (m)]],SPT[Prof. (m)],0),3)</f>
        <v>Areia siltosa</v>
      </c>
      <c r="G20" s="1">
        <f>INDEX(estacas[],ECF[[#This Row],[idDiâmetro]],MATCH($B$2,estacas[#Headers],0))</f>
        <v>60</v>
      </c>
      <c r="H20" s="1">
        <f>INDEX(estacas[],MATCH(ECF[[#This Row],[Ø (cm)]],estacas[Ø ECF (cm)],0),MATCH(ECF[[#Headers],[Pe ECF (kN)]],estacas[#Headers],0))</f>
        <v>1100</v>
      </c>
      <c r="I20" s="4">
        <f>INDEX(K_alpha_C[],MATCH(ECF[[#This Row],[Solo]],K_alpha_C[Solo],0),2)</f>
        <v>0.8</v>
      </c>
      <c r="J20" s="5">
        <f>INDEX(K_alpha_C[],MATCH(ECF[[#This Row],[Solo]],K_alpha_C[Solo],0),3)</f>
        <v>2</v>
      </c>
      <c r="K20" s="4">
        <f>INDEX(F1_F2[],MATCH($D$2,F1_F2[Tipo de estaca],0),2)</f>
        <v>3</v>
      </c>
      <c r="L20" s="4">
        <f>INDEX(F1_F2[],MATCH($D$2,F1_F2[Tipo de estaca],0),3)</f>
        <v>6</v>
      </c>
      <c r="M20" s="4">
        <f>PI()*(ECF[[#This Row],[Ø (cm)]]/100)^2/4</f>
        <v>0.28274333882308139</v>
      </c>
      <c r="N20" s="4">
        <f>PI()*ECF[[#This Row],[Ø (cm)]]/100</f>
        <v>1.8849555921538756</v>
      </c>
      <c r="O20" s="4">
        <f>IF(ECF[[#This Row],[Prof. (m)]]=0,0,ECF[[#This Row],[α (%)]]/100*ECF[[#This Row],[K (MPa)]]*1000*ECF[[#This Row],[NSPT]])</f>
        <v>32</v>
      </c>
      <c r="P20" s="4">
        <f>IF(ECF[[#This Row],[Prof. (m)]]=0,0,(ECF[[#This Row],[K (MPa)]]*1000*ECF[[#This Row],[NSPT]]/ECF[[#This Row],[F1]]*ECF[[#This Row],[Ap (m²)]]+ECF[[#This Row],[U (m)]]/ECF[[#This Row],[F2]]*SUMIFS(ECF[(α∙K∙NL∙ΔL)],ECF[Prof. (m)],"&lt;="&amp;ECF[[#This Row],[Prof. (m)]],ECF[idDiâmetro],ECF[[#This Row],[idDiâmetro]],ECF[idPilar],ECF[[#This Row],[idPilar]]))/'DADOS CAP. CARGA'!$D$2)</f>
        <v>80.424771931898718</v>
      </c>
      <c r="Q20" s="12">
        <f>INDEX(C_alpha_beta[],MATCH(ECF[[#This Row],[Solo]],C_alpha_beta[Solo],0),MATCH(ECF[[#Headers],[C (kPa)]],C_alpha_beta[#Headers],0))</f>
        <v>400</v>
      </c>
      <c r="R20" s="4">
        <f>INDEX(C_alpha_beta[],MATCH(ECF[[#This Row],[Solo]],C_alpha_beta[Solo],0),MATCH(ECF[[#Headers],[α ESF]],C_alpha_beta[#Headers],0))</f>
        <v>0.5</v>
      </c>
      <c r="S20" s="4">
        <f>INDEX(C_alpha_beta[],MATCH(ECF[[#This Row],[Solo]],C_alpha_beta[Solo],0),MATCH(ECF[[#Headers],[β ESF]],C_alpha_beta[#Headers],0))</f>
        <v>0.5</v>
      </c>
      <c r="T20" s="4">
        <f>IF(ECF[[#This Row],[Prof. (m)]]=0,0,10*(ECF[[#This Row],[NSPT]]/3+1))</f>
        <v>16.666666666666664</v>
      </c>
      <c r="U20" s="4">
        <f>(ECF[[#This Row],[α ESF]]*ECF[[#This Row],[C (kPa)]]*ECF[[#This Row],[NSPT]]*ECF[[#This Row],[Ap (m²)]])/'DADOS CAP. CARGA'!$Q$2+(ECF[[#This Row],[β ESF]]*SUMIFS(ECF[10∙(NL/3+1)],ECF[Prof. (m)],"&lt;="&amp;ECF[[#This Row],[Prof. (m)]],ECF[idDiâmetro],ECF[[#This Row],[idDiâmetro]],ECF[idPilar],ECF[[#This Row],[idPilar]])*ECF[[#This Row],[U (m)]])/'DADOS CAP. CARGA'!$S$2</f>
        <v>36.128315516282619</v>
      </c>
      <c r="V20" s="4">
        <f>IF(SPT!$M$5=1,MIN(ECF[[#This Row],[Pe ECF (kN)]],ECF[[#This Row],[R_AV (kN)]]),IF(SPT!$M$5=2,MIN(ECF[[#This Row],[Pe ECF (kN)]],ECF[[#This Row],[R_DC (kN)]]),MIN(ECF[[#This Row],[Pe ECF (kN)]],ECF[[#This Row],[R_AV (kN)]],ECF[[#This Row],[R_DC (kN)]])))</f>
        <v>36.128315516282619</v>
      </c>
      <c r="W20" s="4">
        <f>INDEX(PILARES[],ECF[[#This Row],[idPilar]],MATCH("Carga (kN)",PILARES[#Headers],0))*1.4</f>
        <v>1750</v>
      </c>
      <c r="X20" s="12">
        <f>INDEX(PILARES[],ECF[[#This Row],[idPilar]],MATCH(ECF[[#Headers],[ap (cm)]],PILARES[#Headers],0))</f>
        <v>50</v>
      </c>
      <c r="Y20" s="12">
        <f>INDEX(PILARES[],ECF[[#This Row],[idPilar]],MATCH(ECF[[#Headers],[bp (cm)]],PILARES[#Headers],0))</f>
        <v>40</v>
      </c>
      <c r="Z20" s="4">
        <f>SQRT(ECF[[#This Row],[ap (cm)]]*ECF[[#This Row],[bp (cm)]])</f>
        <v>44.721359549995796</v>
      </c>
      <c r="AA20" s="12">
        <f>ECF[[#This Row],[ap (cm)]]*ECF[[#This Row],[bp (cm)]]</f>
        <v>2000</v>
      </c>
      <c r="AB20" s="12">
        <f ca="1">IF(ECF[[#This Row],[Padm∙ε (kN)]]&gt;=ECF[[#This Row],[Padm (kN)]],ROUNDUP(1.05*ECF[[#This Row],[Nsd (kN)]]/ECF[[#This Row],[Padm (kN)]],0),ROUNDUP(1.05*ECF[[#This Row],[Nsd (kN)]]/ECF[[#This Row],[Padm (kN)]],0)+1)</f>
        <v>51</v>
      </c>
      <c r="AC20" s="4" t="str">
        <f ca="1">IFERROR(IF(ECF[[#This Row],[nE]]=1,ECF[[#This Row],[Padm (kN)]],ECF[[#This Row],[Padm (kN)]]*ECF[[#This Row],[nE]]*INDEX(grupoEstacas[],ECF[[#This Row],[nE]],MATCH("ε",grupoEstacas[#Headers],0))),"N.S.")</f>
        <v>N.S.</v>
      </c>
      <c r="AD20" s="4">
        <f ca="1">1.05*ECF[[#This Row],[Nsd (kN)]]/(ECF[[#This Row],[nE]]*PI()*ECF[[#This Row],[Ø (cm)]]^2/4)*10</f>
        <v>0.12742797731213842</v>
      </c>
      <c r="AE20" s="4">
        <f ca="1">IF(ECF[[#This Row],[σ (MPa)]]&lt;INDEX(tipoEstaca[],MATCH($D$2,tipoEstaca[TIPO DE ESTACA],0),MATCH("σmáx (MPa)",tipoEstaca[#Headers],0)),0.4%*PI()*ECF[[#This Row],[Ø (cm)]]^2/4,"N.S.")</f>
        <v>11.309733552923255</v>
      </c>
      <c r="AF20" s="1">
        <f>INDEX(tipoEstaca[],MATCH($D$2,tipoEstaca[TIPO DE ESTACA],0),MATCH(ECF[[#Headers],[Comprimento (m)]],tipoEstaca[#Headers],0))</f>
        <v>4</v>
      </c>
      <c r="AG20" s="5">
        <f ca="1">ECF[[#This Row],[As,mín (cm²)]]/100^2*ECF[[#This Row],[Comprimento (m)]]*7850</f>
        <v>35.512563356179022</v>
      </c>
      <c r="AH20" s="4">
        <f ca="1">ECF[[#This Row],[nE]]*ECF[[#This Row],[Prof. (m)]]*ECF[[#This Row],[Ap (m²)]]</f>
        <v>14.419910279977151</v>
      </c>
      <c r="AI20" s="1">
        <f ca="1">IF(ECF[[#This Row],[nE]]=1,0,MAX(3*ECF[[#This Row],[Ø (cm)]],60))</f>
        <v>180</v>
      </c>
      <c r="AJ20" s="1">
        <f ca="1">IF(ECF[[#This Row],[nE]]=1,ECF[[#This Row],[Ø (cm)]]+2*10,MAX(1.5*ECF[[#This Row],[Ø (cm)]],ECF[[#This Row],[Ø (cm)]]+15))</f>
        <v>90</v>
      </c>
      <c r="AK20" s="1" t="str">
        <f ca="1">alturaUtil(ECF[[#This Row],[nE]],ECF[[#This Row],[Ø (cm)]],ECF[[#This Row],[e (cm)]],ECF[[#This Row],[ap,eq (cm)]])</f>
        <v>N.S.</v>
      </c>
      <c r="AL20" s="1" t="str">
        <f ca="1">IFERROR(ECF[[#This Row],[d (cm)]]+arredondarParaCimaMultiplo5cm(MAX(5,SQRT(PI())/2*ECF[[#This Row],[Ø (cm)]]/5)),"N.S.")</f>
        <v>N.S.</v>
      </c>
      <c r="AM20" s="5" t="str">
        <f ca="1">alpha(ECF[[#This Row],[nE]],ECF[[#This Row],[d (cm)]],ECF[[#This Row],[e (cm)]],ECF[[#This Row],[ap,eq (cm)]])</f>
        <v>N.S.</v>
      </c>
      <c r="AN20" s="35" t="str">
        <f ca="1">IFERROR(ECF[[#This Row],[Nsd (kN)]]/(ECF[[#This Row],[Ap (cm²)]]*SIN(ECF[[#This Row],[α]])^2),"N.S.")</f>
        <v>N.S.</v>
      </c>
      <c r="AO20" s="35" t="str">
        <f ca="1">IFERROR(ECF[[#This Row],[Nsd (kN)]]/(ECF[[#This Row],[nE]]*PI()*ECF[[#This Row],[Ø (cm)]]^2/4*SIN(ECF[[#This Row],[α]])^2),"N.S.")</f>
        <v>N.S.</v>
      </c>
      <c r="AP20" s="4" t="str">
        <f ca="1">IFERROR(INDEX(grupoEstacas[],ECF[[#This Row],[nE]],MATCH("coef. Blévot",grupoEstacas[#Headers],0)),"N.S.")</f>
        <v>N.S.</v>
      </c>
      <c r="AQ20" s="35" t="str">
        <f ca="1">IFERROR(ECF[[#This Row],[coef. Blévot]]*0.9*INDEX(tipoEstaca[],MATCH($D$2,tipoEstaca[TIPO DE ESTACA],0),MATCH("fcd (kN/cm²)",tipoEstaca[#Headers],0)),"N.S.")</f>
        <v>N.S.</v>
      </c>
      <c r="AR20" s="1" t="str">
        <f ca="1">IF(AND(ECF[[#This Row],[cd,b,pil (kN/cm²)]]&lt;=ECF[[#This Row],[cd,b,lim (kN/cm²)]],ECF[[#This Row],[cd,b,est (kN/cm²)]]&lt;=ECF[[#This Row],[cd,b,lim (kN/cm²)]]),"OK","ERRO")</f>
        <v>OK</v>
      </c>
      <c r="AS20" s="4" t="str">
        <f ca="1">As_lado(ECF[[#This Row],[nE]],ECF[[#This Row],[Nsd (kN)]],ECF[[#This Row],[d (cm)]],ECF[[#This Row],[e (cm)]],ECF[[#This Row],[ap,eq (cm)]])</f>
        <v>N.S.</v>
      </c>
      <c r="AT20" s="4" t="str">
        <f ca="1">IF(ECF[[#This Row],[nE]]=1,ECF[[#This Row],[As,lado (cm²)]],IF(ECF[[#This Row],[nE]]=2,0.075*2*ECF[a (cm)],"N.A."))</f>
        <v>N.A.</v>
      </c>
      <c r="AU20" s="4" t="str">
        <f ca="1">IFERROR(IF(ECF[[#This Row],[nE]]=1,"N.A.",0.2*ECF[[#This Row],[As,lado (cm²)]]),"N.S.")</f>
        <v>N.S.</v>
      </c>
      <c r="AV20" s="4" t="str">
        <f ca="1">As_malha(ECF[[#This Row],[nE]],ECF[[#This Row],[As,lado (cm²)]],ECF[[#This Row],[Nsd (kN)]])</f>
        <v>N.S.</v>
      </c>
      <c r="AW20" s="4" t="str">
        <f ca="1">As_susp_tot(ECF[[#This Row],[nE]],ECF[[#This Row],[Nsd (kN)]])</f>
        <v>N.S.</v>
      </c>
      <c r="AX20" s="4" t="str">
        <f ca="1">Asp_face(ECF[[#This Row],[nE]],ECF[[#This Row],[As,lado (cm²)]])</f>
        <v>N.S.</v>
      </c>
      <c r="AY20" s="5" t="str">
        <f ca="1">acoBloco(ECF[[#This Row],[nE]],ECF[[#This Row],[e (cm)]],ECF[[#This Row],[a (cm)]],ECF[[#This Row],[h (cm)]],ECF[[#This Row],[As,lado (cm²)]],ECF[[#This Row],[Asp e Asw (cm²/m)]],ECF[[#This Row],[As,sup (cm²)]],ECF[[#This Row],[As,malha (cm²)]],ECF[[#This Row],[As,susp,tot (cm²)]],ECF[[#This Row],[Asp,face (cm²)]])</f>
        <v>N.S.</v>
      </c>
      <c r="AZ20" s="4" t="str">
        <f ca="1">concretoBloco(ECF[[#This Row],[nE]],ECF[[#This Row],[e (cm)]],ECF[[#This Row],[a (cm)]],ECF[[#This Row],[h (cm)]])</f>
        <v>N.S.</v>
      </c>
      <c r="BA20" s="5">
        <f ca="1">SUM(ECF[[#This Row],[Aço Est (kg)]],ECF[[#This Row],[Aço Bloco (kg)]])</f>
        <v>35.512563356179022</v>
      </c>
      <c r="BB20" s="4">
        <f>INDEX(composicoes[],MATCH(95580,composicoes[CÓDIGO],0),MATCH("CUSTO TOTAL",composicoes[#Headers],0))</f>
        <v>10.46</v>
      </c>
      <c r="BC20" s="4">
        <f ca="1">SUM(ECF[[#This Row],[Conc Est (m³)]],ECF[[#This Row],[Conc Bloco (m³)]])</f>
        <v>14.419910279977151</v>
      </c>
      <c r="BD20" s="4">
        <f>INDEX(composicoes[],MATCH(94966,composicoes[CÓDIGO],0),MATCH("CUSTO TOTAL",composicoes[#Headers],0))</f>
        <v>439.52</v>
      </c>
      <c r="BE20" s="38">
        <f ca="1">ECF[[#This Row],[Aço (kg)]]*ECF[[#This Row],[Aço (R$/kg)]]+ECF[[#This Row],[Conc (m³)]]*ECF[[#This Row],[Conc (R$/m³)]]</f>
        <v>6709.3003789611903</v>
      </c>
      <c r="BF20" s="4" t="str">
        <f ca="1">IF(COUNTIF(ECF[#This Row],"N.S.")&gt;0,"lim.","OK")</f>
        <v>lim.</v>
      </c>
      <c r="BG20" s="4" t="str">
        <f>IF(ECF[[#This Row],[Prof. (m)]]&lt;4,"lim.","OK")</f>
        <v>lim.</v>
      </c>
      <c r="BH20" s="4" t="str">
        <f>IF(ECF[[#This Row],[Prof. (m)]]&gt;=8*ECF[[#This Row],[Ø (cm)]]/100,"OK","lim.")</f>
        <v>lim.</v>
      </c>
      <c r="BI20" s="4" t="str">
        <f>IF(AND(SPT!$F$3&lt;&gt;"",ECF[[#This Row],[Prof. (m)]]&gt;=SPT!$F$3-2),"lim.","OK")</f>
        <v>OK</v>
      </c>
      <c r="BJ20" s="4" t="str">
        <f ca="1">IF(ECF[[#This Row],[Verif. Biela]]="OK","OK","lim.")</f>
        <v>OK</v>
      </c>
      <c r="BK20" s="4" t="str">
        <f ca="1">IF(COUNTA(ECF[[#This Row],[Nº Est.]:[Biela comp.]])=COUNTIF(ECF[[#This Row],[Nº Est.]:[Biela comp.]],"OK"),"OK","lim.")</f>
        <v>lim.</v>
      </c>
      <c r="BL20" s="4" t="str">
        <f ca="1">IF(ECF[[#This Row],[Controle]]="OK",ECF[[#This Row],[nE]]&amp;" Ø"&amp;ECF[[#This Row],[Ø (cm)]]&amp;"cm Prof. "&amp;ECF[[#This Row],[Prof. (m)]]&amp;" m","")</f>
        <v/>
      </c>
      <c r="BM20" s="4" t="str">
        <f ca="1">IF(ECF[[#This Row],[idDimensionamento]]="","",ECF[[#This Row],[idPilar]]&amp;ECF[[#This Row],[idDimensionamento]])</f>
        <v/>
      </c>
    </row>
    <row r="21" spans="2:65" x14ac:dyDescent="0.25">
      <c r="B21" s="12">
        <f>ROUNDUP((ROW(ECF[[#This Row],[idDiâmetro]])-ROW(ECF[[#Headers],[idDiâmetro]]))/(COUNT(SPT[Prof. (m)])*COUNT(PILARES[Pilar])),0)</f>
        <v>1</v>
      </c>
      <c r="C21" s="12">
        <f>IF(ECF[[#This Row],[idDiâmetro]]&lt;&gt;B20,1,IF(ECF[[#This Row],[Prof. (m)]]=0,C20+1,C20))</f>
        <v>2</v>
      </c>
      <c r="D21" s="1">
        <f>IFERROR(IF(D20=MAX(SPT[Prof. (m)]),0,D20+1),0)</f>
        <v>2</v>
      </c>
      <c r="E21" s="1">
        <f>INDEX(SPT[],MATCH(ECF[[#This Row],[Prof. (m)]],SPT[Prof. (m)],0),2)</f>
        <v>2</v>
      </c>
      <c r="F21" s="1" t="str">
        <f>INDEX(SPT[],MATCH(ECF[[#This Row],[Prof. (m)]],SPT[Prof. (m)],0),3)</f>
        <v>Areia siltosa</v>
      </c>
      <c r="G21" s="1">
        <f>INDEX(estacas[],ECF[[#This Row],[idDiâmetro]],MATCH($B$2,estacas[#Headers],0))</f>
        <v>60</v>
      </c>
      <c r="H21" s="1">
        <f>INDEX(estacas[],MATCH(ECF[[#This Row],[Ø (cm)]],estacas[Ø ECF (cm)],0),MATCH(ECF[[#Headers],[Pe ECF (kN)]],estacas[#Headers],0))</f>
        <v>1100</v>
      </c>
      <c r="I21" s="4">
        <f>INDEX(K_alpha_C[],MATCH(ECF[[#This Row],[Solo]],K_alpha_C[Solo],0),2)</f>
        <v>0.8</v>
      </c>
      <c r="J21" s="5">
        <f>INDEX(K_alpha_C[],MATCH(ECF[[#This Row],[Solo]],K_alpha_C[Solo],0),3)</f>
        <v>2</v>
      </c>
      <c r="K21" s="4">
        <f>INDEX(F1_F2[],MATCH($D$2,F1_F2[Tipo de estaca],0),2)</f>
        <v>3</v>
      </c>
      <c r="L21" s="4">
        <f>INDEX(F1_F2[],MATCH($D$2,F1_F2[Tipo de estaca],0),3)</f>
        <v>6</v>
      </c>
      <c r="M21" s="4">
        <f>PI()*(ECF[[#This Row],[Ø (cm)]]/100)^2/4</f>
        <v>0.28274333882308139</v>
      </c>
      <c r="N21" s="4">
        <f>PI()*ECF[[#This Row],[Ø (cm)]]/100</f>
        <v>1.8849555921538756</v>
      </c>
      <c r="O21" s="4">
        <f>IF(ECF[[#This Row],[Prof. (m)]]=0,0,ECF[[#This Row],[α (%)]]/100*ECF[[#This Row],[K (MPa)]]*1000*ECF[[#This Row],[NSPT]])</f>
        <v>32</v>
      </c>
      <c r="P21" s="4">
        <f>IF(ECF[[#This Row],[Prof. (m)]]=0,0,(ECF[[#This Row],[K (MPa)]]*1000*ECF[[#This Row],[NSPT]]/ECF[[#This Row],[F1]]*ECF[[#This Row],[Ap (m²)]]+ECF[[#This Row],[U (m)]]/ECF[[#This Row],[F2]]*SUMIFS(ECF[(α∙K∙NL∙ΔL)],ECF[Prof. (m)],"&lt;="&amp;ECF[[#This Row],[Prof. (m)]],ECF[idDiâmetro],ECF[[#This Row],[idDiâmetro]],ECF[idPilar],ECF[[#This Row],[idPilar]]))/'DADOS CAP. CARGA'!$D$2)</f>
        <v>85.451320177642387</v>
      </c>
      <c r="Q21" s="12">
        <f>INDEX(C_alpha_beta[],MATCH(ECF[[#This Row],[Solo]],C_alpha_beta[Solo],0),MATCH(ECF[[#Headers],[C (kPa)]],C_alpha_beta[#Headers],0))</f>
        <v>400</v>
      </c>
      <c r="R21" s="4">
        <f>INDEX(C_alpha_beta[],MATCH(ECF[[#This Row],[Solo]],C_alpha_beta[Solo],0),MATCH(ECF[[#Headers],[α ESF]],C_alpha_beta[#Headers],0))</f>
        <v>0.5</v>
      </c>
      <c r="S21" s="4">
        <f>INDEX(C_alpha_beta[],MATCH(ECF[[#This Row],[Solo]],C_alpha_beta[Solo],0),MATCH(ECF[[#Headers],[β ESF]],C_alpha_beta[#Headers],0))</f>
        <v>0.5</v>
      </c>
      <c r="T21" s="4">
        <f>IF(ECF[[#This Row],[Prof. (m)]]=0,0,10*(ECF[[#This Row],[NSPT]]/3+1))</f>
        <v>16.666666666666664</v>
      </c>
      <c r="U21" s="4">
        <f>(ECF[[#This Row],[α ESF]]*ECF[[#This Row],[C (kPa)]]*ECF[[#This Row],[NSPT]]*ECF[[#This Row],[Ap (m²)]])/'DADOS CAP. CARGA'!$Q$2+(ECF[[#This Row],[β ESF]]*SUMIFS(ECF[10∙(NL/3+1)],ECF[Prof. (m)],"&lt;="&amp;ECF[[#This Row],[Prof. (m)]],ECF[idDiâmetro],ECF[[#This Row],[idDiâmetro]],ECF[idPilar],ECF[[#This Row],[idPilar]])*ECF[[#This Row],[U (m)]])/'DADOS CAP. CARGA'!$S$2</f>
        <v>43.982297150257097</v>
      </c>
      <c r="V21" s="4">
        <f>IF(SPT!$M$5=1,MIN(ECF[[#This Row],[Pe ECF (kN)]],ECF[[#This Row],[R_AV (kN)]]),IF(SPT!$M$5=2,MIN(ECF[[#This Row],[Pe ECF (kN)]],ECF[[#This Row],[R_DC (kN)]]),MIN(ECF[[#This Row],[Pe ECF (kN)]],ECF[[#This Row],[R_AV (kN)]],ECF[[#This Row],[R_DC (kN)]])))</f>
        <v>43.982297150257097</v>
      </c>
      <c r="W21" s="4">
        <f>INDEX(PILARES[],ECF[[#This Row],[idPilar]],MATCH("Carga (kN)",PILARES[#Headers],0))*1.4</f>
        <v>1750</v>
      </c>
      <c r="X21" s="12">
        <f>INDEX(PILARES[],ECF[[#This Row],[idPilar]],MATCH(ECF[[#Headers],[ap (cm)]],PILARES[#Headers],0))</f>
        <v>50</v>
      </c>
      <c r="Y21" s="12">
        <f>INDEX(PILARES[],ECF[[#This Row],[idPilar]],MATCH(ECF[[#Headers],[bp (cm)]],PILARES[#Headers],0))</f>
        <v>40</v>
      </c>
      <c r="Z21" s="4">
        <f>SQRT(ECF[[#This Row],[ap (cm)]]*ECF[[#This Row],[bp (cm)]])</f>
        <v>44.721359549995796</v>
      </c>
      <c r="AA21" s="12">
        <f>ECF[[#This Row],[ap (cm)]]*ECF[[#This Row],[bp (cm)]]</f>
        <v>2000</v>
      </c>
      <c r="AB21" s="12">
        <f ca="1">IF(ECF[[#This Row],[Padm∙ε (kN)]]&gt;=ECF[[#This Row],[Padm (kN)]],ROUNDUP(1.05*ECF[[#This Row],[Nsd (kN)]]/ECF[[#This Row],[Padm (kN)]],0),ROUNDUP(1.05*ECF[[#This Row],[Nsd (kN)]]/ECF[[#This Row],[Padm (kN)]],0)+1)</f>
        <v>42</v>
      </c>
      <c r="AC21" s="4" t="str">
        <f ca="1">IFERROR(IF(ECF[[#This Row],[nE]]=1,ECF[[#This Row],[Padm (kN)]],ECF[[#This Row],[Padm (kN)]]*ECF[[#This Row],[nE]]*INDEX(grupoEstacas[],ECF[[#This Row],[nE]],MATCH("ε",grupoEstacas[#Headers],0))),"N.S.")</f>
        <v>N.S.</v>
      </c>
      <c r="AD21" s="4">
        <f ca="1">1.05*ECF[[#This Row],[Nsd (kN)]]/(ECF[[#This Row],[nE]]*PI()*ECF[[#This Row],[Ø (cm)]]^2/4)*10</f>
        <v>0.15473397245045378</v>
      </c>
      <c r="AE21" s="4">
        <f ca="1">IF(ECF[[#This Row],[σ (MPa)]]&lt;INDEX(tipoEstaca[],MATCH($D$2,tipoEstaca[TIPO DE ESTACA],0),MATCH("σmáx (MPa)",tipoEstaca[#Headers],0)),0.4%*PI()*ECF[[#This Row],[Ø (cm)]]^2/4,"N.S.")</f>
        <v>11.309733552923255</v>
      </c>
      <c r="AF21" s="1">
        <f>INDEX(tipoEstaca[],MATCH($D$2,tipoEstaca[TIPO DE ESTACA],0),MATCH(ECF[[#Headers],[Comprimento (m)]],tipoEstaca[#Headers],0))</f>
        <v>4</v>
      </c>
      <c r="AG21" s="5">
        <f ca="1">ECF[[#This Row],[As,mín (cm²)]]/100^2*ECF[[#This Row],[Comprimento (m)]]*7850</f>
        <v>35.512563356179022</v>
      </c>
      <c r="AH21" s="4">
        <f ca="1">ECF[[#This Row],[nE]]*ECF[[#This Row],[Prof. (m)]]*ECF[[#This Row],[Ap (m²)]]</f>
        <v>23.750440461138837</v>
      </c>
      <c r="AI21" s="1">
        <f ca="1">IF(ECF[[#This Row],[nE]]=1,0,MAX(3*ECF[[#This Row],[Ø (cm)]],60))</f>
        <v>180</v>
      </c>
      <c r="AJ21" s="1">
        <f ca="1">IF(ECF[[#This Row],[nE]]=1,ECF[[#This Row],[Ø (cm)]]+2*10,MAX(1.5*ECF[[#This Row],[Ø (cm)]],ECF[[#This Row],[Ø (cm)]]+15))</f>
        <v>90</v>
      </c>
      <c r="AK21" s="1" t="str">
        <f ca="1">alturaUtil(ECF[[#This Row],[nE]],ECF[[#This Row],[Ø (cm)]],ECF[[#This Row],[e (cm)]],ECF[[#This Row],[ap,eq (cm)]])</f>
        <v>N.S.</v>
      </c>
      <c r="AL21" s="1" t="str">
        <f ca="1">IFERROR(ECF[[#This Row],[d (cm)]]+arredondarParaCimaMultiplo5cm(MAX(5,SQRT(PI())/2*ECF[[#This Row],[Ø (cm)]]/5)),"N.S.")</f>
        <v>N.S.</v>
      </c>
      <c r="AM21" s="5" t="str">
        <f ca="1">alpha(ECF[[#This Row],[nE]],ECF[[#This Row],[d (cm)]],ECF[[#This Row],[e (cm)]],ECF[[#This Row],[ap,eq (cm)]])</f>
        <v>N.S.</v>
      </c>
      <c r="AN21" s="35" t="str">
        <f ca="1">IFERROR(ECF[[#This Row],[Nsd (kN)]]/(ECF[[#This Row],[Ap (cm²)]]*SIN(ECF[[#This Row],[α]])^2),"N.S.")</f>
        <v>N.S.</v>
      </c>
      <c r="AO21" s="35" t="str">
        <f ca="1">IFERROR(ECF[[#This Row],[Nsd (kN)]]/(ECF[[#This Row],[nE]]*PI()*ECF[[#This Row],[Ø (cm)]]^2/4*SIN(ECF[[#This Row],[α]])^2),"N.S.")</f>
        <v>N.S.</v>
      </c>
      <c r="AP21" s="4" t="str">
        <f ca="1">IFERROR(INDEX(grupoEstacas[],ECF[[#This Row],[nE]],MATCH("coef. Blévot",grupoEstacas[#Headers],0)),"N.S.")</f>
        <v>N.S.</v>
      </c>
      <c r="AQ21" s="35" t="str">
        <f ca="1">IFERROR(ECF[[#This Row],[coef. Blévot]]*0.9*INDEX(tipoEstaca[],MATCH($D$2,tipoEstaca[TIPO DE ESTACA],0),MATCH("fcd (kN/cm²)",tipoEstaca[#Headers],0)),"N.S.")</f>
        <v>N.S.</v>
      </c>
      <c r="AR21" s="1" t="str">
        <f ca="1">IF(AND(ECF[[#This Row],[cd,b,pil (kN/cm²)]]&lt;=ECF[[#This Row],[cd,b,lim (kN/cm²)]],ECF[[#This Row],[cd,b,est (kN/cm²)]]&lt;=ECF[[#This Row],[cd,b,lim (kN/cm²)]]),"OK","ERRO")</f>
        <v>OK</v>
      </c>
      <c r="AS21" s="4" t="str">
        <f ca="1">As_lado(ECF[[#This Row],[nE]],ECF[[#This Row],[Nsd (kN)]],ECF[[#This Row],[d (cm)]],ECF[[#This Row],[e (cm)]],ECF[[#This Row],[ap,eq (cm)]])</f>
        <v>N.S.</v>
      </c>
      <c r="AT21" s="4" t="str">
        <f ca="1">IF(ECF[[#This Row],[nE]]=1,ECF[[#This Row],[As,lado (cm²)]],IF(ECF[[#This Row],[nE]]=2,0.075*2*ECF[a (cm)],"N.A."))</f>
        <v>N.A.</v>
      </c>
      <c r="AU21" s="4" t="str">
        <f ca="1">IFERROR(IF(ECF[[#This Row],[nE]]=1,"N.A.",0.2*ECF[[#This Row],[As,lado (cm²)]]),"N.S.")</f>
        <v>N.S.</v>
      </c>
      <c r="AV21" s="4" t="str">
        <f ca="1">As_malha(ECF[[#This Row],[nE]],ECF[[#This Row],[As,lado (cm²)]],ECF[[#This Row],[Nsd (kN)]])</f>
        <v>N.S.</v>
      </c>
      <c r="AW21" s="4" t="str">
        <f ca="1">As_susp_tot(ECF[[#This Row],[nE]],ECF[[#This Row],[Nsd (kN)]])</f>
        <v>N.S.</v>
      </c>
      <c r="AX21" s="4" t="str">
        <f ca="1">Asp_face(ECF[[#This Row],[nE]],ECF[[#This Row],[As,lado (cm²)]])</f>
        <v>N.S.</v>
      </c>
      <c r="AY21" s="5" t="str">
        <f ca="1">acoBloco(ECF[[#This Row],[nE]],ECF[[#This Row],[e (cm)]],ECF[[#This Row],[a (cm)]],ECF[[#This Row],[h (cm)]],ECF[[#This Row],[As,lado (cm²)]],ECF[[#This Row],[Asp e Asw (cm²/m)]],ECF[[#This Row],[As,sup (cm²)]],ECF[[#This Row],[As,malha (cm²)]],ECF[[#This Row],[As,susp,tot (cm²)]],ECF[[#This Row],[Asp,face (cm²)]])</f>
        <v>N.S.</v>
      </c>
      <c r="AZ21" s="4" t="str">
        <f ca="1">concretoBloco(ECF[[#This Row],[nE]],ECF[[#This Row],[e (cm)]],ECF[[#This Row],[a (cm)]],ECF[[#This Row],[h (cm)]])</f>
        <v>N.S.</v>
      </c>
      <c r="BA21" s="5">
        <f ca="1">SUM(ECF[[#This Row],[Aço Est (kg)]],ECF[[#This Row],[Aço Bloco (kg)]])</f>
        <v>35.512563356179022</v>
      </c>
      <c r="BB21" s="4">
        <f>INDEX(composicoes[],MATCH(95580,composicoes[CÓDIGO],0),MATCH("CUSTO TOTAL",composicoes[#Headers],0))</f>
        <v>10.46</v>
      </c>
      <c r="BC21" s="4">
        <f ca="1">SUM(ECF[[#This Row],[Conc Est (m³)]],ECF[[#This Row],[Conc Bloco (m³)]])</f>
        <v>23.750440461138837</v>
      </c>
      <c r="BD21" s="4">
        <f>INDEX(composicoes[],MATCH(94966,composicoes[CÓDIGO],0),MATCH("CUSTO TOTAL",composicoes[#Headers],0))</f>
        <v>439.52</v>
      </c>
      <c r="BE21" s="38">
        <f ca="1">ECF[[#This Row],[Aço (kg)]]*ECF[[#This Row],[Aço (R$/kg)]]+ECF[[#This Row],[Conc (m³)]]*ECF[[#This Row],[Conc (R$/m³)]]</f>
        <v>10810.255004185374</v>
      </c>
      <c r="BF21" s="4" t="str">
        <f ca="1">IF(COUNTIF(ECF[#This Row],"N.S.")&gt;0,"lim.","OK")</f>
        <v>lim.</v>
      </c>
      <c r="BG21" s="4" t="str">
        <f>IF(ECF[[#This Row],[Prof. (m)]]&lt;4,"lim.","OK")</f>
        <v>lim.</v>
      </c>
      <c r="BH21" s="4" t="str">
        <f>IF(ECF[[#This Row],[Prof. (m)]]&gt;=8*ECF[[#This Row],[Ø (cm)]]/100,"OK","lim.")</f>
        <v>lim.</v>
      </c>
      <c r="BI21" s="4" t="str">
        <f>IF(AND(SPT!$F$3&lt;&gt;"",ECF[[#This Row],[Prof. (m)]]&gt;=SPT!$F$3-2),"lim.","OK")</f>
        <v>OK</v>
      </c>
      <c r="BJ21" s="4" t="str">
        <f ca="1">IF(ECF[[#This Row],[Verif. Biela]]="OK","OK","lim.")</f>
        <v>OK</v>
      </c>
      <c r="BK21" s="4" t="str">
        <f ca="1">IF(COUNTA(ECF[[#This Row],[Nº Est.]:[Biela comp.]])=COUNTIF(ECF[[#This Row],[Nº Est.]:[Biela comp.]],"OK"),"OK","lim.")</f>
        <v>lim.</v>
      </c>
      <c r="BL21" s="4" t="str">
        <f ca="1">IF(ECF[[#This Row],[Controle]]="OK",ECF[[#This Row],[nE]]&amp;" Ø"&amp;ECF[[#This Row],[Ø (cm)]]&amp;"cm Prof. "&amp;ECF[[#This Row],[Prof. (m)]]&amp;" m","")</f>
        <v/>
      </c>
      <c r="BM21" s="4" t="str">
        <f ca="1">IF(ECF[[#This Row],[idDimensionamento]]="","",ECF[[#This Row],[idPilar]]&amp;ECF[[#This Row],[idDimensionamento]])</f>
        <v/>
      </c>
    </row>
    <row r="22" spans="2:65" x14ac:dyDescent="0.25">
      <c r="B22" s="12">
        <f>ROUNDUP((ROW(ECF[[#This Row],[idDiâmetro]])-ROW(ECF[[#Headers],[idDiâmetro]]))/(COUNT(SPT[Prof. (m)])*COUNT(PILARES[Pilar])),0)</f>
        <v>1</v>
      </c>
      <c r="C22" s="12">
        <f>IF(ECF[[#This Row],[idDiâmetro]]&lt;&gt;B21,1,IF(ECF[[#This Row],[Prof. (m)]]=0,C21+1,C21))</f>
        <v>2</v>
      </c>
      <c r="D22" s="1">
        <f>IFERROR(IF(D21=MAX(SPT[Prof. (m)]),0,D21+1),0)</f>
        <v>3</v>
      </c>
      <c r="E22" s="1">
        <f>INDEX(SPT[],MATCH(ECF[[#This Row],[Prof. (m)]],SPT[Prof. (m)],0),2)</f>
        <v>4</v>
      </c>
      <c r="F22" s="1" t="str">
        <f>INDEX(SPT[],MATCH(ECF[[#This Row],[Prof. (m)]],SPT[Prof. (m)],0),3)</f>
        <v>Areia siltosa</v>
      </c>
      <c r="G22" s="1">
        <f>INDEX(estacas[],ECF[[#This Row],[idDiâmetro]],MATCH($B$2,estacas[#Headers],0))</f>
        <v>60</v>
      </c>
      <c r="H22" s="1">
        <f>INDEX(estacas[],MATCH(ECF[[#This Row],[Ø (cm)]],estacas[Ø ECF (cm)],0),MATCH(ECF[[#Headers],[Pe ECF (kN)]],estacas[#Headers],0))</f>
        <v>1100</v>
      </c>
      <c r="I22" s="4">
        <f>INDEX(K_alpha_C[],MATCH(ECF[[#This Row],[Solo]],K_alpha_C[Solo],0),2)</f>
        <v>0.8</v>
      </c>
      <c r="J22" s="5">
        <f>INDEX(K_alpha_C[],MATCH(ECF[[#This Row],[Solo]],K_alpha_C[Solo],0),3)</f>
        <v>2</v>
      </c>
      <c r="K22" s="4">
        <f>INDEX(F1_F2[],MATCH($D$2,F1_F2[Tipo de estaca],0),2)</f>
        <v>3</v>
      </c>
      <c r="L22" s="4">
        <f>INDEX(F1_F2[],MATCH($D$2,F1_F2[Tipo de estaca],0),3)</f>
        <v>6</v>
      </c>
      <c r="M22" s="4">
        <f>PI()*(ECF[[#This Row],[Ø (cm)]]/100)^2/4</f>
        <v>0.28274333882308139</v>
      </c>
      <c r="N22" s="4">
        <f>PI()*ECF[[#This Row],[Ø (cm)]]/100</f>
        <v>1.8849555921538756</v>
      </c>
      <c r="O22" s="4">
        <f>IF(ECF[[#This Row],[Prof. (m)]]=0,0,ECF[[#This Row],[α (%)]]/100*ECF[[#This Row],[K (MPa)]]*1000*ECF[[#This Row],[NSPT]])</f>
        <v>64</v>
      </c>
      <c r="P22" s="4">
        <f>IF(ECF[[#This Row],[Prof. (m)]]=0,0,(ECF[[#This Row],[K (MPa)]]*1000*ECF[[#This Row],[NSPT]]/ECF[[#This Row],[F1]]*ECF[[#This Row],[Ap (m²)]]+ECF[[#This Row],[U (m)]]/ECF[[#This Row],[F2]]*SUMIFS(ECF[(α∙K∙NL∙ΔL)],ECF[Prof. (m)],"&lt;="&amp;ECF[[#This Row],[Prof. (m)]],ECF[idDiâmetro],ECF[[#This Row],[idDiâmetro]],ECF[idPilar],ECF[[#This Row],[idPilar]]))/'DADOS CAP. CARGA'!$D$2)</f>
        <v>170.90264035528477</v>
      </c>
      <c r="Q22" s="12">
        <f>INDEX(C_alpha_beta[],MATCH(ECF[[#This Row],[Solo]],C_alpha_beta[Solo],0),MATCH(ECF[[#Headers],[C (kPa)]],C_alpha_beta[#Headers],0))</f>
        <v>400</v>
      </c>
      <c r="R22" s="4">
        <f>INDEX(C_alpha_beta[],MATCH(ECF[[#This Row],[Solo]],C_alpha_beta[Solo],0),MATCH(ECF[[#Headers],[α ESF]],C_alpha_beta[#Headers],0))</f>
        <v>0.5</v>
      </c>
      <c r="S22" s="4">
        <f>INDEX(C_alpha_beta[],MATCH(ECF[[#This Row],[Solo]],C_alpha_beta[Solo],0),MATCH(ECF[[#Headers],[β ESF]],C_alpha_beta[#Headers],0))</f>
        <v>0.5</v>
      </c>
      <c r="T22" s="4">
        <f>IF(ECF[[#This Row],[Prof. (m)]]=0,0,10*(ECF[[#This Row],[NSPT]]/3+1))</f>
        <v>23.333333333333329</v>
      </c>
      <c r="U22" s="4">
        <f>(ECF[[#This Row],[α ESF]]*ECF[[#This Row],[C (kPa)]]*ECF[[#This Row],[NSPT]]*ECF[[#This Row],[Ap (m²)]])/'DADOS CAP. CARGA'!$Q$2+(ECF[[#This Row],[β ESF]]*SUMIFS(ECF[10∙(NL/3+1)],ECF[Prof. (m)],"&lt;="&amp;ECF[[#This Row],[Prof. (m)]],ECF[idDiâmetro],ECF[[#This Row],[idDiâmetro]],ECF[idPilar],ECF[[#This Row],[idPilar]])*ECF[[#This Row],[U (m)]])/'DADOS CAP. CARGA'!$S$2</f>
        <v>83.252205320129505</v>
      </c>
      <c r="V22" s="4">
        <f>IF(SPT!$M$5=1,MIN(ECF[[#This Row],[Pe ECF (kN)]],ECF[[#This Row],[R_AV (kN)]]),IF(SPT!$M$5=2,MIN(ECF[[#This Row],[Pe ECF (kN)]],ECF[[#This Row],[R_DC (kN)]]),MIN(ECF[[#This Row],[Pe ECF (kN)]],ECF[[#This Row],[R_AV (kN)]],ECF[[#This Row],[R_DC (kN)]])))</f>
        <v>83.252205320129505</v>
      </c>
      <c r="W22" s="4">
        <f>INDEX(PILARES[],ECF[[#This Row],[idPilar]],MATCH("Carga (kN)",PILARES[#Headers],0))*1.4</f>
        <v>1750</v>
      </c>
      <c r="X22" s="12">
        <f>INDEX(PILARES[],ECF[[#This Row],[idPilar]],MATCH(ECF[[#Headers],[ap (cm)]],PILARES[#Headers],0))</f>
        <v>50</v>
      </c>
      <c r="Y22" s="12">
        <f>INDEX(PILARES[],ECF[[#This Row],[idPilar]],MATCH(ECF[[#Headers],[bp (cm)]],PILARES[#Headers],0))</f>
        <v>40</v>
      </c>
      <c r="Z22" s="4">
        <f>SQRT(ECF[[#This Row],[ap (cm)]]*ECF[[#This Row],[bp (cm)]])</f>
        <v>44.721359549995796</v>
      </c>
      <c r="AA22" s="12">
        <f>ECF[[#This Row],[ap (cm)]]*ECF[[#This Row],[bp (cm)]]</f>
        <v>2000</v>
      </c>
      <c r="AB22" s="12">
        <f ca="1">IF(ECF[[#This Row],[Padm∙ε (kN)]]&gt;=ECF[[#This Row],[Padm (kN)]],ROUNDUP(1.05*ECF[[#This Row],[Nsd (kN)]]/ECF[[#This Row],[Padm (kN)]],0),ROUNDUP(1.05*ECF[[#This Row],[Nsd (kN)]]/ECF[[#This Row],[Padm (kN)]],0)+1)</f>
        <v>23</v>
      </c>
      <c r="AC22" s="4" t="str">
        <f ca="1">IFERROR(IF(ECF[[#This Row],[nE]]=1,ECF[[#This Row],[Padm (kN)]],ECF[[#This Row],[Padm (kN)]]*ECF[[#This Row],[nE]]*INDEX(grupoEstacas[],ECF[[#This Row],[nE]],MATCH("ε",grupoEstacas[#Headers],0))),"N.S.")</f>
        <v>N.S.</v>
      </c>
      <c r="AD22" s="4">
        <f ca="1">1.05*ECF[[#This Row],[Nsd (kN)]]/(ECF[[#This Row],[nE]]*PI()*ECF[[#This Row],[Ø (cm)]]^2/4)*10</f>
        <v>0.28255768882256782</v>
      </c>
      <c r="AE22" s="4">
        <f ca="1">IF(ECF[[#This Row],[σ (MPa)]]&lt;INDEX(tipoEstaca[],MATCH($D$2,tipoEstaca[TIPO DE ESTACA],0),MATCH("σmáx (MPa)",tipoEstaca[#Headers],0)),0.4%*PI()*ECF[[#This Row],[Ø (cm)]]^2/4,"N.S.")</f>
        <v>11.309733552923255</v>
      </c>
      <c r="AF22" s="1">
        <f>INDEX(tipoEstaca[],MATCH($D$2,tipoEstaca[TIPO DE ESTACA],0),MATCH(ECF[[#Headers],[Comprimento (m)]],tipoEstaca[#Headers],0))</f>
        <v>4</v>
      </c>
      <c r="AG22" s="5">
        <f ca="1">ECF[[#This Row],[As,mín (cm²)]]/100^2*ECF[[#This Row],[Comprimento (m)]]*7850</f>
        <v>35.512563356179022</v>
      </c>
      <c r="AH22" s="4">
        <f ca="1">ECF[[#This Row],[nE]]*ECF[[#This Row],[Prof. (m)]]*ECF[[#This Row],[Ap (m²)]]</f>
        <v>19.509290378792617</v>
      </c>
      <c r="AI22" s="1">
        <f ca="1">IF(ECF[[#This Row],[nE]]=1,0,MAX(3*ECF[[#This Row],[Ø (cm)]],60))</f>
        <v>180</v>
      </c>
      <c r="AJ22" s="1">
        <f ca="1">IF(ECF[[#This Row],[nE]]=1,ECF[[#This Row],[Ø (cm)]]+2*10,MAX(1.5*ECF[[#This Row],[Ø (cm)]],ECF[[#This Row],[Ø (cm)]]+15))</f>
        <v>90</v>
      </c>
      <c r="AK22" s="1" t="str">
        <f ca="1">alturaUtil(ECF[[#This Row],[nE]],ECF[[#This Row],[Ø (cm)]],ECF[[#This Row],[e (cm)]],ECF[[#This Row],[ap,eq (cm)]])</f>
        <v>N.S.</v>
      </c>
      <c r="AL22" s="1" t="str">
        <f ca="1">IFERROR(ECF[[#This Row],[d (cm)]]+arredondarParaCimaMultiplo5cm(MAX(5,SQRT(PI())/2*ECF[[#This Row],[Ø (cm)]]/5)),"N.S.")</f>
        <v>N.S.</v>
      </c>
      <c r="AM22" s="5" t="str">
        <f ca="1">alpha(ECF[[#This Row],[nE]],ECF[[#This Row],[d (cm)]],ECF[[#This Row],[e (cm)]],ECF[[#This Row],[ap,eq (cm)]])</f>
        <v>N.S.</v>
      </c>
      <c r="AN22" s="35" t="str">
        <f ca="1">IFERROR(ECF[[#This Row],[Nsd (kN)]]/(ECF[[#This Row],[Ap (cm²)]]*SIN(ECF[[#This Row],[α]])^2),"N.S.")</f>
        <v>N.S.</v>
      </c>
      <c r="AO22" s="35" t="str">
        <f ca="1">IFERROR(ECF[[#This Row],[Nsd (kN)]]/(ECF[[#This Row],[nE]]*PI()*ECF[[#This Row],[Ø (cm)]]^2/4*SIN(ECF[[#This Row],[α]])^2),"N.S.")</f>
        <v>N.S.</v>
      </c>
      <c r="AP22" s="4" t="str">
        <f ca="1">IFERROR(INDEX(grupoEstacas[],ECF[[#This Row],[nE]],MATCH("coef. Blévot",grupoEstacas[#Headers],0)),"N.S.")</f>
        <v>N.S.</v>
      </c>
      <c r="AQ22" s="35" t="str">
        <f ca="1">IFERROR(ECF[[#This Row],[coef. Blévot]]*0.9*INDEX(tipoEstaca[],MATCH($D$2,tipoEstaca[TIPO DE ESTACA],0),MATCH("fcd (kN/cm²)",tipoEstaca[#Headers],0)),"N.S.")</f>
        <v>N.S.</v>
      </c>
      <c r="AR22" s="1" t="str">
        <f ca="1">IF(AND(ECF[[#This Row],[cd,b,pil (kN/cm²)]]&lt;=ECF[[#This Row],[cd,b,lim (kN/cm²)]],ECF[[#This Row],[cd,b,est (kN/cm²)]]&lt;=ECF[[#This Row],[cd,b,lim (kN/cm²)]]),"OK","ERRO")</f>
        <v>OK</v>
      </c>
      <c r="AS22" s="4" t="str">
        <f ca="1">As_lado(ECF[[#This Row],[nE]],ECF[[#This Row],[Nsd (kN)]],ECF[[#This Row],[d (cm)]],ECF[[#This Row],[e (cm)]],ECF[[#This Row],[ap,eq (cm)]])</f>
        <v>N.S.</v>
      </c>
      <c r="AT22" s="4" t="str">
        <f ca="1">IF(ECF[[#This Row],[nE]]=1,ECF[[#This Row],[As,lado (cm²)]],IF(ECF[[#This Row],[nE]]=2,0.075*2*ECF[a (cm)],"N.A."))</f>
        <v>N.A.</v>
      </c>
      <c r="AU22" s="4" t="str">
        <f ca="1">IFERROR(IF(ECF[[#This Row],[nE]]=1,"N.A.",0.2*ECF[[#This Row],[As,lado (cm²)]]),"N.S.")</f>
        <v>N.S.</v>
      </c>
      <c r="AV22" s="4" t="str">
        <f ca="1">As_malha(ECF[[#This Row],[nE]],ECF[[#This Row],[As,lado (cm²)]],ECF[[#This Row],[Nsd (kN)]])</f>
        <v>N.S.</v>
      </c>
      <c r="AW22" s="4" t="str">
        <f ca="1">As_susp_tot(ECF[[#This Row],[nE]],ECF[[#This Row],[Nsd (kN)]])</f>
        <v>N.S.</v>
      </c>
      <c r="AX22" s="4" t="str">
        <f ca="1">Asp_face(ECF[[#This Row],[nE]],ECF[[#This Row],[As,lado (cm²)]])</f>
        <v>N.S.</v>
      </c>
      <c r="AY22" s="5" t="str">
        <f ca="1">acoBloco(ECF[[#This Row],[nE]],ECF[[#This Row],[e (cm)]],ECF[[#This Row],[a (cm)]],ECF[[#This Row],[h (cm)]],ECF[[#This Row],[As,lado (cm²)]],ECF[[#This Row],[Asp e Asw (cm²/m)]],ECF[[#This Row],[As,sup (cm²)]],ECF[[#This Row],[As,malha (cm²)]],ECF[[#This Row],[As,susp,tot (cm²)]],ECF[[#This Row],[Asp,face (cm²)]])</f>
        <v>N.S.</v>
      </c>
      <c r="AZ22" s="4" t="str">
        <f ca="1">concretoBloco(ECF[[#This Row],[nE]],ECF[[#This Row],[e (cm)]],ECF[[#This Row],[a (cm)]],ECF[[#This Row],[h (cm)]])</f>
        <v>N.S.</v>
      </c>
      <c r="BA22" s="5">
        <f ca="1">SUM(ECF[[#This Row],[Aço Est (kg)]],ECF[[#This Row],[Aço Bloco (kg)]])</f>
        <v>35.512563356179022</v>
      </c>
      <c r="BB22" s="4">
        <f>INDEX(composicoes[],MATCH(95580,composicoes[CÓDIGO],0),MATCH("CUSTO TOTAL",composicoes[#Headers],0))</f>
        <v>10.46</v>
      </c>
      <c r="BC22" s="4">
        <f ca="1">SUM(ECF[[#This Row],[Conc Est (m³)]],ECF[[#This Row],[Conc Bloco (m³)]])</f>
        <v>19.509290378792617</v>
      </c>
      <c r="BD22" s="4">
        <f>INDEX(composicoes[],MATCH(94966,composicoes[CÓDIGO],0),MATCH("CUSTO TOTAL",composicoes[#Headers],0))</f>
        <v>439.52</v>
      </c>
      <c r="BE22" s="38">
        <f ca="1">ECF[[#This Row],[Aço (kg)]]*ECF[[#This Row],[Aço (R$/kg)]]+ECF[[#This Row],[Conc (m³)]]*ECF[[#This Row],[Conc (R$/m³)]]</f>
        <v>8946.1847199925633</v>
      </c>
      <c r="BF22" s="4" t="str">
        <f ca="1">IF(COUNTIF(ECF[#This Row],"N.S.")&gt;0,"lim.","OK")</f>
        <v>lim.</v>
      </c>
      <c r="BG22" s="4" t="str">
        <f>IF(ECF[[#This Row],[Prof. (m)]]&lt;4,"lim.","OK")</f>
        <v>lim.</v>
      </c>
      <c r="BH22" s="4" t="str">
        <f>IF(ECF[[#This Row],[Prof. (m)]]&gt;=8*ECF[[#This Row],[Ø (cm)]]/100,"OK","lim.")</f>
        <v>lim.</v>
      </c>
      <c r="BI22" s="4" t="str">
        <f>IF(AND(SPT!$F$3&lt;&gt;"",ECF[[#This Row],[Prof. (m)]]&gt;=SPT!$F$3-2),"lim.","OK")</f>
        <v>OK</v>
      </c>
      <c r="BJ22" s="4" t="str">
        <f ca="1">IF(ECF[[#This Row],[Verif. Biela]]="OK","OK","lim.")</f>
        <v>OK</v>
      </c>
      <c r="BK22" s="4" t="str">
        <f ca="1">IF(COUNTA(ECF[[#This Row],[Nº Est.]:[Biela comp.]])=COUNTIF(ECF[[#This Row],[Nº Est.]:[Biela comp.]],"OK"),"OK","lim.")</f>
        <v>lim.</v>
      </c>
      <c r="BL22" s="4" t="str">
        <f ca="1">IF(ECF[[#This Row],[Controle]]="OK",ECF[[#This Row],[nE]]&amp;" Ø"&amp;ECF[[#This Row],[Ø (cm)]]&amp;"cm Prof. "&amp;ECF[[#This Row],[Prof. (m)]]&amp;" m","")</f>
        <v/>
      </c>
      <c r="BM22" s="4" t="str">
        <f ca="1">IF(ECF[[#This Row],[idDimensionamento]]="","",ECF[[#This Row],[idPilar]]&amp;ECF[[#This Row],[idDimensionamento]])</f>
        <v/>
      </c>
    </row>
    <row r="23" spans="2:65" x14ac:dyDescent="0.25">
      <c r="B23" s="12">
        <f>ROUNDUP((ROW(ECF[[#This Row],[idDiâmetro]])-ROW(ECF[[#Headers],[idDiâmetro]]))/(COUNT(SPT[Prof. (m)])*COUNT(PILARES[Pilar])),0)</f>
        <v>1</v>
      </c>
      <c r="C23" s="12">
        <f>IF(ECF[[#This Row],[idDiâmetro]]&lt;&gt;B22,1,IF(ECF[[#This Row],[Prof. (m)]]=0,C22+1,C22))</f>
        <v>2</v>
      </c>
      <c r="D23" s="1">
        <f>IFERROR(IF(D22=MAX(SPT[Prof. (m)]),0,D22+1),0)</f>
        <v>4</v>
      </c>
      <c r="E23" s="1">
        <f>INDEX(SPT[],MATCH(ECF[[#This Row],[Prof. (m)]],SPT[Prof. (m)],0),2)</f>
        <v>8</v>
      </c>
      <c r="F23" s="1" t="str">
        <f>INDEX(SPT[],MATCH(ECF[[#This Row],[Prof. (m)]],SPT[Prof. (m)],0),3)</f>
        <v>Areia siltosa</v>
      </c>
      <c r="G23" s="1">
        <f>INDEX(estacas[],ECF[[#This Row],[idDiâmetro]],MATCH($B$2,estacas[#Headers],0))</f>
        <v>60</v>
      </c>
      <c r="H23" s="1">
        <f>INDEX(estacas[],MATCH(ECF[[#This Row],[Ø (cm)]],estacas[Ø ECF (cm)],0),MATCH(ECF[[#Headers],[Pe ECF (kN)]],estacas[#Headers],0))</f>
        <v>1100</v>
      </c>
      <c r="I23" s="4">
        <f>INDEX(K_alpha_C[],MATCH(ECF[[#This Row],[Solo]],K_alpha_C[Solo],0),2)</f>
        <v>0.8</v>
      </c>
      <c r="J23" s="5">
        <f>INDEX(K_alpha_C[],MATCH(ECF[[#This Row],[Solo]],K_alpha_C[Solo],0),3)</f>
        <v>2</v>
      </c>
      <c r="K23" s="4">
        <f>INDEX(F1_F2[],MATCH($D$2,F1_F2[Tipo de estaca],0),2)</f>
        <v>3</v>
      </c>
      <c r="L23" s="4">
        <f>INDEX(F1_F2[],MATCH($D$2,F1_F2[Tipo de estaca],0),3)</f>
        <v>6</v>
      </c>
      <c r="M23" s="4">
        <f>PI()*(ECF[[#This Row],[Ø (cm)]]/100)^2/4</f>
        <v>0.28274333882308139</v>
      </c>
      <c r="N23" s="4">
        <f>PI()*ECF[[#This Row],[Ø (cm)]]/100</f>
        <v>1.8849555921538756</v>
      </c>
      <c r="O23" s="4">
        <f>IF(ECF[[#This Row],[Prof. (m)]]=0,0,ECF[[#This Row],[α (%)]]/100*ECF[[#This Row],[K (MPa)]]*1000*ECF[[#This Row],[NSPT]])</f>
        <v>128</v>
      </c>
      <c r="P23" s="4">
        <f>IF(ECF[[#This Row],[Prof. (m)]]=0,0,(ECF[[#This Row],[K (MPa)]]*1000*ECF[[#This Row],[NSPT]]/ECF[[#This Row],[F1]]*ECF[[#This Row],[Ap (m²)]]+ECF[[#This Row],[U (m)]]/ECF[[#This Row],[F2]]*SUMIFS(ECF[(α∙K∙NL∙ΔL)],ECF[Prof. (m)],"&lt;="&amp;ECF[[#This Row],[Prof. (m)]],ECF[idDiâmetro],ECF[[#This Row],[idDiâmetro]],ECF[idPilar],ECF[[#This Row],[idPilar]]))/'DADOS CAP. CARGA'!$D$2)</f>
        <v>341.80528071056955</v>
      </c>
      <c r="Q23" s="12">
        <f>INDEX(C_alpha_beta[],MATCH(ECF[[#This Row],[Solo]],C_alpha_beta[Solo],0),MATCH(ECF[[#Headers],[C (kPa)]],C_alpha_beta[#Headers],0))</f>
        <v>400</v>
      </c>
      <c r="R23" s="4">
        <f>INDEX(C_alpha_beta[],MATCH(ECF[[#This Row],[Solo]],C_alpha_beta[Solo],0),MATCH(ECF[[#Headers],[α ESF]],C_alpha_beta[#Headers],0))</f>
        <v>0.5</v>
      </c>
      <c r="S23" s="4">
        <f>INDEX(C_alpha_beta[],MATCH(ECF[[#This Row],[Solo]],C_alpha_beta[Solo],0),MATCH(ECF[[#Headers],[β ESF]],C_alpha_beta[#Headers],0))</f>
        <v>0.5</v>
      </c>
      <c r="T23" s="4">
        <f>IF(ECF[[#This Row],[Prof. (m)]]=0,0,10*(ECF[[#This Row],[NSPT]]/3+1))</f>
        <v>36.666666666666664</v>
      </c>
      <c r="U23" s="4">
        <f>(ECF[[#This Row],[α ESF]]*ECF[[#This Row],[C (kPa)]]*ECF[[#This Row],[NSPT]]*ECF[[#This Row],[Ap (m²)]])/'DADOS CAP. CARGA'!$Q$2+(ECF[[#This Row],[β ESF]]*SUMIFS(ECF[10∙(NL/3+1)],ECF[Prof. (m)],"&lt;="&amp;ECF[[#This Row],[Prof. (m)]],ECF[idDiâmetro],ECF[[#This Row],[idDiâmetro]],ECF[idPilar],ECF[[#This Row],[idPilar]])*ECF[[#This Row],[U (m)]])/'DADOS CAP. CARGA'!$S$2</f>
        <v>157.07963267948963</v>
      </c>
      <c r="V23" s="4">
        <f>IF(SPT!$M$5=1,MIN(ECF[[#This Row],[Pe ECF (kN)]],ECF[[#This Row],[R_AV (kN)]]),IF(SPT!$M$5=2,MIN(ECF[[#This Row],[Pe ECF (kN)]],ECF[[#This Row],[R_DC (kN)]]),MIN(ECF[[#This Row],[Pe ECF (kN)]],ECF[[#This Row],[R_AV (kN)]],ECF[[#This Row],[R_DC (kN)]])))</f>
        <v>157.07963267948963</v>
      </c>
      <c r="W23" s="4">
        <f>INDEX(PILARES[],ECF[[#This Row],[idPilar]],MATCH("Carga (kN)",PILARES[#Headers],0))*1.4</f>
        <v>1750</v>
      </c>
      <c r="X23" s="12">
        <f>INDEX(PILARES[],ECF[[#This Row],[idPilar]],MATCH(ECF[[#Headers],[ap (cm)]],PILARES[#Headers],0))</f>
        <v>50</v>
      </c>
      <c r="Y23" s="12">
        <f>INDEX(PILARES[],ECF[[#This Row],[idPilar]],MATCH(ECF[[#Headers],[bp (cm)]],PILARES[#Headers],0))</f>
        <v>40</v>
      </c>
      <c r="Z23" s="4">
        <f>SQRT(ECF[[#This Row],[ap (cm)]]*ECF[[#This Row],[bp (cm)]])</f>
        <v>44.721359549995796</v>
      </c>
      <c r="AA23" s="12">
        <f>ECF[[#This Row],[ap (cm)]]*ECF[[#This Row],[bp (cm)]]</f>
        <v>2000</v>
      </c>
      <c r="AB23" s="12">
        <f ca="1">IF(ECF[[#This Row],[Padm∙ε (kN)]]&gt;=ECF[[#This Row],[Padm (kN)]],ROUNDUP(1.05*ECF[[#This Row],[Nsd (kN)]]/ECF[[#This Row],[Padm (kN)]],0),ROUNDUP(1.05*ECF[[#This Row],[Nsd (kN)]]/ECF[[#This Row],[Padm (kN)]],0)+1)</f>
        <v>12</v>
      </c>
      <c r="AC23" s="4" t="str">
        <f ca="1">IFERROR(IF(ECF[[#This Row],[nE]]=1,ECF[[#This Row],[Padm (kN)]],ECF[[#This Row],[Padm (kN)]]*ECF[[#This Row],[nE]]*INDEX(grupoEstacas[],ECF[[#This Row],[nE]],MATCH("ε",grupoEstacas[#Headers],0))),"N.S.")</f>
        <v>N.S.</v>
      </c>
      <c r="AD23" s="4">
        <f ca="1">1.05*ECF[[#This Row],[Nsd (kN)]]/(ECF[[#This Row],[nE]]*PI()*ECF[[#This Row],[Ø (cm)]]^2/4)*10</f>
        <v>0.54156890357658827</v>
      </c>
      <c r="AE23" s="4">
        <f ca="1">IF(ECF[[#This Row],[σ (MPa)]]&lt;INDEX(tipoEstaca[],MATCH($D$2,tipoEstaca[TIPO DE ESTACA],0),MATCH("σmáx (MPa)",tipoEstaca[#Headers],0)),0.4%*PI()*ECF[[#This Row],[Ø (cm)]]^2/4,"N.S.")</f>
        <v>11.309733552923255</v>
      </c>
      <c r="AF23" s="1">
        <f>INDEX(tipoEstaca[],MATCH($D$2,tipoEstaca[TIPO DE ESTACA],0),MATCH(ECF[[#Headers],[Comprimento (m)]],tipoEstaca[#Headers],0))</f>
        <v>4</v>
      </c>
      <c r="AG23" s="5">
        <f ca="1">ECF[[#This Row],[As,mín (cm²)]]/100^2*ECF[[#This Row],[Comprimento (m)]]*7850</f>
        <v>35.512563356179022</v>
      </c>
      <c r="AH23" s="4">
        <f ca="1">ECF[[#This Row],[nE]]*ECF[[#This Row],[Prof. (m)]]*ECF[[#This Row],[Ap (m²)]]</f>
        <v>13.571680263507908</v>
      </c>
      <c r="AI23" s="1">
        <f ca="1">IF(ECF[[#This Row],[nE]]=1,0,MAX(3*ECF[[#This Row],[Ø (cm)]],60))</f>
        <v>180</v>
      </c>
      <c r="AJ23" s="1">
        <f ca="1">IF(ECF[[#This Row],[nE]]=1,ECF[[#This Row],[Ø (cm)]]+2*10,MAX(1.5*ECF[[#This Row],[Ø (cm)]],ECF[[#This Row],[Ø (cm)]]+15))</f>
        <v>90</v>
      </c>
      <c r="AK23" s="1" t="str">
        <f ca="1">alturaUtil(ECF[[#This Row],[nE]],ECF[[#This Row],[Ø (cm)]],ECF[[#This Row],[e (cm)]],ECF[[#This Row],[ap,eq (cm)]])</f>
        <v>N.S.</v>
      </c>
      <c r="AL23" s="1" t="str">
        <f ca="1">IFERROR(ECF[[#This Row],[d (cm)]]+arredondarParaCimaMultiplo5cm(MAX(5,SQRT(PI())/2*ECF[[#This Row],[Ø (cm)]]/5)),"N.S.")</f>
        <v>N.S.</v>
      </c>
      <c r="AM23" s="5" t="str">
        <f ca="1">alpha(ECF[[#This Row],[nE]],ECF[[#This Row],[d (cm)]],ECF[[#This Row],[e (cm)]],ECF[[#This Row],[ap,eq (cm)]])</f>
        <v>N.S.</v>
      </c>
      <c r="AN23" s="35" t="str">
        <f ca="1">IFERROR(ECF[[#This Row],[Nsd (kN)]]/(ECF[[#This Row],[Ap (cm²)]]*SIN(ECF[[#This Row],[α]])^2),"N.S.")</f>
        <v>N.S.</v>
      </c>
      <c r="AO23" s="35" t="str">
        <f ca="1">IFERROR(ECF[[#This Row],[Nsd (kN)]]/(ECF[[#This Row],[nE]]*PI()*ECF[[#This Row],[Ø (cm)]]^2/4*SIN(ECF[[#This Row],[α]])^2),"N.S.")</f>
        <v>N.S.</v>
      </c>
      <c r="AP23" s="4" t="str">
        <f ca="1">IFERROR(INDEX(grupoEstacas[],ECF[[#This Row],[nE]],MATCH("coef. Blévot",grupoEstacas[#Headers],0)),"N.S.")</f>
        <v>N.S.</v>
      </c>
      <c r="AQ23" s="35" t="str">
        <f ca="1">IFERROR(ECF[[#This Row],[coef. Blévot]]*0.9*INDEX(tipoEstaca[],MATCH($D$2,tipoEstaca[TIPO DE ESTACA],0),MATCH("fcd (kN/cm²)",tipoEstaca[#Headers],0)),"N.S.")</f>
        <v>N.S.</v>
      </c>
      <c r="AR23" s="1" t="str">
        <f ca="1">IF(AND(ECF[[#This Row],[cd,b,pil (kN/cm²)]]&lt;=ECF[[#This Row],[cd,b,lim (kN/cm²)]],ECF[[#This Row],[cd,b,est (kN/cm²)]]&lt;=ECF[[#This Row],[cd,b,lim (kN/cm²)]]),"OK","ERRO")</f>
        <v>OK</v>
      </c>
      <c r="AS23" s="4" t="str">
        <f ca="1">As_lado(ECF[[#This Row],[nE]],ECF[[#This Row],[Nsd (kN)]],ECF[[#This Row],[d (cm)]],ECF[[#This Row],[e (cm)]],ECF[[#This Row],[ap,eq (cm)]])</f>
        <v>N.S.</v>
      </c>
      <c r="AT23" s="4" t="str">
        <f ca="1">IF(ECF[[#This Row],[nE]]=1,ECF[[#This Row],[As,lado (cm²)]],IF(ECF[[#This Row],[nE]]=2,0.075*2*ECF[a (cm)],"N.A."))</f>
        <v>N.A.</v>
      </c>
      <c r="AU23" s="4" t="str">
        <f ca="1">IFERROR(IF(ECF[[#This Row],[nE]]=1,"N.A.",0.2*ECF[[#This Row],[As,lado (cm²)]]),"N.S.")</f>
        <v>N.S.</v>
      </c>
      <c r="AV23" s="4" t="str">
        <f ca="1">As_malha(ECF[[#This Row],[nE]],ECF[[#This Row],[As,lado (cm²)]],ECF[[#This Row],[Nsd (kN)]])</f>
        <v>N.S.</v>
      </c>
      <c r="AW23" s="4" t="str">
        <f ca="1">As_susp_tot(ECF[[#This Row],[nE]],ECF[[#This Row],[Nsd (kN)]])</f>
        <v>N.S.</v>
      </c>
      <c r="AX23" s="4" t="str">
        <f ca="1">Asp_face(ECF[[#This Row],[nE]],ECF[[#This Row],[As,lado (cm²)]])</f>
        <v>N.S.</v>
      </c>
      <c r="AY23" s="5" t="str">
        <f ca="1">acoBloco(ECF[[#This Row],[nE]],ECF[[#This Row],[e (cm)]],ECF[[#This Row],[a (cm)]],ECF[[#This Row],[h (cm)]],ECF[[#This Row],[As,lado (cm²)]],ECF[[#This Row],[Asp e Asw (cm²/m)]],ECF[[#This Row],[As,sup (cm²)]],ECF[[#This Row],[As,malha (cm²)]],ECF[[#This Row],[As,susp,tot (cm²)]],ECF[[#This Row],[Asp,face (cm²)]])</f>
        <v>N.S.</v>
      </c>
      <c r="AZ23" s="4" t="str">
        <f ca="1">concretoBloco(ECF[[#This Row],[nE]],ECF[[#This Row],[e (cm)]],ECF[[#This Row],[a (cm)]],ECF[[#This Row],[h (cm)]])</f>
        <v>N.S.</v>
      </c>
      <c r="BA23" s="5">
        <f ca="1">SUM(ECF[[#This Row],[Aço Est (kg)]],ECF[[#This Row],[Aço Bloco (kg)]])</f>
        <v>35.512563356179022</v>
      </c>
      <c r="BB23" s="4">
        <f>INDEX(composicoes[],MATCH(95580,composicoes[CÓDIGO],0),MATCH("CUSTO TOTAL",composicoes[#Headers],0))</f>
        <v>10.46</v>
      </c>
      <c r="BC23" s="4">
        <f ca="1">SUM(ECF[[#This Row],[Conc Est (m³)]],ECF[[#This Row],[Conc Bloco (m³)]])</f>
        <v>13.571680263507908</v>
      </c>
      <c r="BD23" s="4">
        <f>INDEX(composicoes[],MATCH(94966,composicoes[CÓDIGO],0),MATCH("CUSTO TOTAL",composicoes[#Headers],0))</f>
        <v>439.52</v>
      </c>
      <c r="BE23" s="38">
        <f ca="1">ECF[[#This Row],[Aço (kg)]]*ECF[[#This Row],[Aço (R$/kg)]]+ECF[[#This Row],[Conc (m³)]]*ECF[[#This Row],[Conc (R$/m³)]]</f>
        <v>6336.4863221226278</v>
      </c>
      <c r="BF23" s="4" t="str">
        <f ca="1">IF(COUNTIF(ECF[#This Row],"N.S.")&gt;0,"lim.","OK")</f>
        <v>lim.</v>
      </c>
      <c r="BG23" s="4" t="str">
        <f>IF(ECF[[#This Row],[Prof. (m)]]&lt;4,"lim.","OK")</f>
        <v>OK</v>
      </c>
      <c r="BH23" s="4" t="str">
        <f>IF(ECF[[#This Row],[Prof. (m)]]&gt;=8*ECF[[#This Row],[Ø (cm)]]/100,"OK","lim.")</f>
        <v>lim.</v>
      </c>
      <c r="BI23" s="4" t="str">
        <f>IF(AND(SPT!$F$3&lt;&gt;"",ECF[[#This Row],[Prof. (m)]]&gt;=SPT!$F$3-2),"lim.","OK")</f>
        <v>OK</v>
      </c>
      <c r="BJ23" s="4" t="str">
        <f ca="1">IF(ECF[[#This Row],[Verif. Biela]]="OK","OK","lim.")</f>
        <v>OK</v>
      </c>
      <c r="BK23" s="4" t="str">
        <f ca="1">IF(COUNTA(ECF[[#This Row],[Nº Est.]:[Biela comp.]])=COUNTIF(ECF[[#This Row],[Nº Est.]:[Biela comp.]],"OK"),"OK","lim.")</f>
        <v>lim.</v>
      </c>
      <c r="BL23" s="4" t="str">
        <f ca="1">IF(ECF[[#This Row],[Controle]]="OK",ECF[[#This Row],[nE]]&amp;" Ø"&amp;ECF[[#This Row],[Ø (cm)]]&amp;"cm Prof. "&amp;ECF[[#This Row],[Prof. (m)]]&amp;" m","")</f>
        <v/>
      </c>
      <c r="BM23" s="4" t="str">
        <f ca="1">IF(ECF[[#This Row],[idDimensionamento]]="","",ECF[[#This Row],[idPilar]]&amp;ECF[[#This Row],[idDimensionamento]])</f>
        <v/>
      </c>
    </row>
    <row r="24" spans="2:65" x14ac:dyDescent="0.25">
      <c r="B24" s="12">
        <f>ROUNDUP((ROW(ECF[[#This Row],[idDiâmetro]])-ROW(ECF[[#Headers],[idDiâmetro]]))/(COUNT(SPT[Prof. (m)])*COUNT(PILARES[Pilar])),0)</f>
        <v>1</v>
      </c>
      <c r="C24" s="12">
        <f>IF(ECF[[#This Row],[idDiâmetro]]&lt;&gt;B23,1,IF(ECF[[#This Row],[Prof. (m)]]=0,C23+1,C23))</f>
        <v>2</v>
      </c>
      <c r="D24" s="1">
        <f>IFERROR(IF(D23=MAX(SPT[Prof. (m)]),0,D23+1),0)</f>
        <v>5</v>
      </c>
      <c r="E24" s="1">
        <f>INDEX(SPT[],MATCH(ECF[[#This Row],[Prof. (m)]],SPT[Prof. (m)],0),2)</f>
        <v>17</v>
      </c>
      <c r="F24" s="1" t="str">
        <f>INDEX(SPT[],MATCH(ECF[[#This Row],[Prof. (m)]],SPT[Prof. (m)],0),3)</f>
        <v>Areia siltosa</v>
      </c>
      <c r="G24" s="1">
        <f>INDEX(estacas[],ECF[[#This Row],[idDiâmetro]],MATCH($B$2,estacas[#Headers],0))</f>
        <v>60</v>
      </c>
      <c r="H24" s="1">
        <f>INDEX(estacas[],MATCH(ECF[[#This Row],[Ø (cm)]],estacas[Ø ECF (cm)],0),MATCH(ECF[[#Headers],[Pe ECF (kN)]],estacas[#Headers],0))</f>
        <v>1100</v>
      </c>
      <c r="I24" s="4">
        <f>INDEX(K_alpha_C[],MATCH(ECF[[#This Row],[Solo]],K_alpha_C[Solo],0),2)</f>
        <v>0.8</v>
      </c>
      <c r="J24" s="5">
        <f>INDEX(K_alpha_C[],MATCH(ECF[[#This Row],[Solo]],K_alpha_C[Solo],0),3)</f>
        <v>2</v>
      </c>
      <c r="K24" s="4">
        <f>INDEX(F1_F2[],MATCH($D$2,F1_F2[Tipo de estaca],0),2)</f>
        <v>3</v>
      </c>
      <c r="L24" s="4">
        <f>INDEX(F1_F2[],MATCH($D$2,F1_F2[Tipo de estaca],0),3)</f>
        <v>6</v>
      </c>
      <c r="M24" s="4">
        <f>PI()*(ECF[[#This Row],[Ø (cm)]]/100)^2/4</f>
        <v>0.28274333882308139</v>
      </c>
      <c r="N24" s="4">
        <f>PI()*ECF[[#This Row],[Ø (cm)]]/100</f>
        <v>1.8849555921538756</v>
      </c>
      <c r="O24" s="4">
        <f>IF(ECF[[#This Row],[Prof. (m)]]=0,0,ECF[[#This Row],[α (%)]]/100*ECF[[#This Row],[K (MPa)]]*1000*ECF[[#This Row],[NSPT]])</f>
        <v>272</v>
      </c>
      <c r="P24" s="4">
        <f>IF(ECF[[#This Row],[Prof. (m)]]=0,0,(ECF[[#This Row],[K (MPa)]]*1000*ECF[[#This Row],[NSPT]]/ECF[[#This Row],[F1]]*ECF[[#This Row],[Ap (m²)]]+ECF[[#This Row],[U (m)]]/ECF[[#This Row],[F2]]*SUMIFS(ECF[(α∙K∙NL∙ΔL)],ECF[Prof. (m)],"&lt;="&amp;ECF[[#This Row],[Prof. (m)]],ECF[idDiâmetro],ECF[[#This Row],[idDiâmetro]],ECF[idPilar],ECF[[#This Row],[idPilar]]))/'DADOS CAP. CARGA'!$D$2)</f>
        <v>723.82294738708833</v>
      </c>
      <c r="Q24" s="12">
        <f>INDEX(C_alpha_beta[],MATCH(ECF[[#This Row],[Solo]],C_alpha_beta[Solo],0),MATCH(ECF[[#Headers],[C (kPa)]],C_alpha_beta[#Headers],0))</f>
        <v>400</v>
      </c>
      <c r="R24" s="4">
        <f>INDEX(C_alpha_beta[],MATCH(ECF[[#This Row],[Solo]],C_alpha_beta[Solo],0),MATCH(ECF[[#Headers],[α ESF]],C_alpha_beta[#Headers],0))</f>
        <v>0.5</v>
      </c>
      <c r="S24" s="4">
        <f>INDEX(C_alpha_beta[],MATCH(ECF[[#This Row],[Solo]],C_alpha_beta[Solo],0),MATCH(ECF[[#Headers],[β ESF]],C_alpha_beta[#Headers],0))</f>
        <v>0.5</v>
      </c>
      <c r="T24" s="4">
        <f>IF(ECF[[#This Row],[Prof. (m)]]=0,0,10*(ECF[[#This Row],[NSPT]]/3+1))</f>
        <v>66.666666666666671</v>
      </c>
      <c r="U24" s="4">
        <f>(ECF[[#This Row],[α ESF]]*ECF[[#This Row],[C (kPa)]]*ECF[[#This Row],[NSPT]]*ECF[[#This Row],[Ap (m²)]])/'DADOS CAP. CARGA'!$Q$2+(ECF[[#This Row],[β ESF]]*SUMIFS(ECF[10∙(NL/3+1)],ECF[Prof. (m)],"&lt;="&amp;ECF[[#This Row],[Prof. (m)]],ECF[idDiâmetro],ECF[[#This Row],[idDiâmetro]],ECF[idPilar],ECF[[#This Row],[idPilar]])*ECF[[#This Row],[U (m)]])/'DADOS CAP. CARGA'!$S$2</f>
        <v>315.73006168577422</v>
      </c>
      <c r="V24" s="4">
        <f>IF(SPT!$M$5=1,MIN(ECF[[#This Row],[Pe ECF (kN)]],ECF[[#This Row],[R_AV (kN)]]),IF(SPT!$M$5=2,MIN(ECF[[#This Row],[Pe ECF (kN)]],ECF[[#This Row],[R_DC (kN)]]),MIN(ECF[[#This Row],[Pe ECF (kN)]],ECF[[#This Row],[R_AV (kN)]],ECF[[#This Row],[R_DC (kN)]])))</f>
        <v>315.73006168577422</v>
      </c>
      <c r="W24" s="4">
        <f>INDEX(PILARES[],ECF[[#This Row],[idPilar]],MATCH("Carga (kN)",PILARES[#Headers],0))*1.4</f>
        <v>1750</v>
      </c>
      <c r="X24" s="12">
        <f>INDEX(PILARES[],ECF[[#This Row],[idPilar]],MATCH(ECF[[#Headers],[ap (cm)]],PILARES[#Headers],0))</f>
        <v>50</v>
      </c>
      <c r="Y24" s="12">
        <f>INDEX(PILARES[],ECF[[#This Row],[idPilar]],MATCH(ECF[[#Headers],[bp (cm)]],PILARES[#Headers],0))</f>
        <v>40</v>
      </c>
      <c r="Z24" s="4">
        <f>SQRT(ECF[[#This Row],[ap (cm)]]*ECF[[#This Row],[bp (cm)]])</f>
        <v>44.721359549995796</v>
      </c>
      <c r="AA24" s="12">
        <f>ECF[[#This Row],[ap (cm)]]*ECF[[#This Row],[bp (cm)]]</f>
        <v>2000</v>
      </c>
      <c r="AB24" s="12">
        <f ca="1">IF(ECF[[#This Row],[Padm∙ε (kN)]]&gt;=ECF[[#This Row],[Padm (kN)]],ROUNDUP(1.05*ECF[[#This Row],[Nsd (kN)]]/ECF[[#This Row],[Padm (kN)]],0),ROUNDUP(1.05*ECF[[#This Row],[Nsd (kN)]]/ECF[[#This Row],[Padm (kN)]],0)+1)</f>
        <v>6</v>
      </c>
      <c r="AC24" s="4" t="str">
        <f ca="1">IFERROR(IF(ECF[[#This Row],[nE]]=1,ECF[[#This Row],[Padm (kN)]],ECF[[#This Row],[Padm (kN)]]*ECF[[#This Row],[nE]]*INDEX(grupoEstacas[],ECF[[#This Row],[nE]],MATCH("ε",grupoEstacas[#Headers],0))),"N.S.")</f>
        <v>N.S.</v>
      </c>
      <c r="AD24" s="4">
        <f ca="1">1.05*ECF[[#This Row],[Nsd (kN)]]/(ECF[[#This Row],[nE]]*PI()*ECF[[#This Row],[Ø (cm)]]^2/4)*10</f>
        <v>1.0831378071531765</v>
      </c>
      <c r="AE24" s="4">
        <f ca="1">IF(ECF[[#This Row],[σ (MPa)]]&lt;INDEX(tipoEstaca[],MATCH($D$2,tipoEstaca[TIPO DE ESTACA],0),MATCH("σmáx (MPa)",tipoEstaca[#Headers],0)),0.4%*PI()*ECF[[#This Row],[Ø (cm)]]^2/4,"N.S.")</f>
        <v>11.309733552923255</v>
      </c>
      <c r="AF24" s="1">
        <f>INDEX(tipoEstaca[],MATCH($D$2,tipoEstaca[TIPO DE ESTACA],0),MATCH(ECF[[#Headers],[Comprimento (m)]],tipoEstaca[#Headers],0))</f>
        <v>4</v>
      </c>
      <c r="AG24" s="5">
        <f ca="1">ECF[[#This Row],[As,mín (cm²)]]/100^2*ECF[[#This Row],[Comprimento (m)]]*7850</f>
        <v>35.512563356179022</v>
      </c>
      <c r="AH24" s="4">
        <f ca="1">ECF[[#This Row],[nE]]*ECF[[#This Row],[Prof. (m)]]*ECF[[#This Row],[Ap (m²)]]</f>
        <v>8.4823001646924414</v>
      </c>
      <c r="AI24" s="1">
        <f ca="1">IF(ECF[[#This Row],[nE]]=1,0,MAX(3*ECF[[#This Row],[Ø (cm)]],60))</f>
        <v>180</v>
      </c>
      <c r="AJ24" s="1">
        <f ca="1">IF(ECF[[#This Row],[nE]]=1,ECF[[#This Row],[Ø (cm)]]+2*10,MAX(1.5*ECF[[#This Row],[Ø (cm)]],ECF[[#This Row],[Ø (cm)]]+15))</f>
        <v>90</v>
      </c>
      <c r="AK24" s="1" t="str">
        <f ca="1">alturaUtil(ECF[[#This Row],[nE]],ECF[[#This Row],[Ø (cm)]],ECF[[#This Row],[e (cm)]],ECF[[#This Row],[ap,eq (cm)]])</f>
        <v>N.S.</v>
      </c>
      <c r="AL24" s="1" t="str">
        <f ca="1">IFERROR(ECF[[#This Row],[d (cm)]]+arredondarParaCimaMultiplo5cm(MAX(5,SQRT(PI())/2*ECF[[#This Row],[Ø (cm)]]/5)),"N.S.")</f>
        <v>N.S.</v>
      </c>
      <c r="AM24" s="5" t="str">
        <f ca="1">alpha(ECF[[#This Row],[nE]],ECF[[#This Row],[d (cm)]],ECF[[#This Row],[e (cm)]],ECF[[#This Row],[ap,eq (cm)]])</f>
        <v>N.S.</v>
      </c>
      <c r="AN24" s="35" t="str">
        <f ca="1">IFERROR(ECF[[#This Row],[Nsd (kN)]]/(ECF[[#This Row],[Ap (cm²)]]*SIN(ECF[[#This Row],[α]])^2),"N.S.")</f>
        <v>N.S.</v>
      </c>
      <c r="AO24" s="35" t="str">
        <f ca="1">IFERROR(ECF[[#This Row],[Nsd (kN)]]/(ECF[[#This Row],[nE]]*PI()*ECF[[#This Row],[Ø (cm)]]^2/4*SIN(ECF[[#This Row],[α]])^2),"N.S.")</f>
        <v>N.S.</v>
      </c>
      <c r="AP24" s="4" t="str">
        <f ca="1">IFERROR(INDEX(grupoEstacas[],ECF[[#This Row],[nE]],MATCH("coef. Blévot",grupoEstacas[#Headers],0)),"N.S.")</f>
        <v>N.S.</v>
      </c>
      <c r="AQ24" s="35" t="str">
        <f ca="1">IFERROR(ECF[[#This Row],[coef. Blévot]]*0.9*INDEX(tipoEstaca[],MATCH($D$2,tipoEstaca[TIPO DE ESTACA],0),MATCH("fcd (kN/cm²)",tipoEstaca[#Headers],0)),"N.S.")</f>
        <v>N.S.</v>
      </c>
      <c r="AR24" s="1" t="str">
        <f ca="1">IF(AND(ECF[[#This Row],[cd,b,pil (kN/cm²)]]&lt;=ECF[[#This Row],[cd,b,lim (kN/cm²)]],ECF[[#This Row],[cd,b,est (kN/cm²)]]&lt;=ECF[[#This Row],[cd,b,lim (kN/cm²)]]),"OK","ERRO")</f>
        <v>OK</v>
      </c>
      <c r="AS24" s="4" t="str">
        <f ca="1">As_lado(ECF[[#This Row],[nE]],ECF[[#This Row],[Nsd (kN)]],ECF[[#This Row],[d (cm)]],ECF[[#This Row],[e (cm)]],ECF[[#This Row],[ap,eq (cm)]])</f>
        <v>N.S.</v>
      </c>
      <c r="AT24" s="4" t="str">
        <f ca="1">IF(ECF[[#This Row],[nE]]=1,ECF[[#This Row],[As,lado (cm²)]],IF(ECF[[#This Row],[nE]]=2,0.075*2*ECF[a (cm)],"N.A."))</f>
        <v>N.A.</v>
      </c>
      <c r="AU24" s="4" t="str">
        <f ca="1">IFERROR(IF(ECF[[#This Row],[nE]]=1,"N.A.",0.2*ECF[[#This Row],[As,lado (cm²)]]),"N.S.")</f>
        <v>N.S.</v>
      </c>
      <c r="AV24" s="4" t="str">
        <f ca="1">As_malha(ECF[[#This Row],[nE]],ECF[[#This Row],[As,lado (cm²)]],ECF[[#This Row],[Nsd (kN)]])</f>
        <v>N.S.</v>
      </c>
      <c r="AW24" s="4" t="str">
        <f ca="1">As_susp_tot(ECF[[#This Row],[nE]],ECF[[#This Row],[Nsd (kN)]])</f>
        <v>N.S.</v>
      </c>
      <c r="AX24" s="4" t="str">
        <f ca="1">Asp_face(ECF[[#This Row],[nE]],ECF[[#This Row],[As,lado (cm²)]])</f>
        <v>N.S.</v>
      </c>
      <c r="AY24" s="5" t="str">
        <f ca="1">acoBloco(ECF[[#This Row],[nE]],ECF[[#This Row],[e (cm)]],ECF[[#This Row],[a (cm)]],ECF[[#This Row],[h (cm)]],ECF[[#This Row],[As,lado (cm²)]],ECF[[#This Row],[Asp e Asw (cm²/m)]],ECF[[#This Row],[As,sup (cm²)]],ECF[[#This Row],[As,malha (cm²)]],ECF[[#This Row],[As,susp,tot (cm²)]],ECF[[#This Row],[Asp,face (cm²)]])</f>
        <v>N.S.</v>
      </c>
      <c r="AZ24" s="4" t="str">
        <f ca="1">concretoBloco(ECF[[#This Row],[nE]],ECF[[#This Row],[e (cm)]],ECF[[#This Row],[a (cm)]],ECF[[#This Row],[h (cm)]])</f>
        <v>N.S.</v>
      </c>
      <c r="BA24" s="5">
        <f ca="1">SUM(ECF[[#This Row],[Aço Est (kg)]],ECF[[#This Row],[Aço Bloco (kg)]])</f>
        <v>35.512563356179022</v>
      </c>
      <c r="BB24" s="4">
        <f>INDEX(composicoes[],MATCH(95580,composicoes[CÓDIGO],0),MATCH("CUSTO TOTAL",composicoes[#Headers],0))</f>
        <v>10.46</v>
      </c>
      <c r="BC24" s="4">
        <f ca="1">SUM(ECF[[#This Row],[Conc Est (m³)]],ECF[[#This Row],[Conc Bloco (m³)]])</f>
        <v>8.4823001646924414</v>
      </c>
      <c r="BD24" s="4">
        <f>INDEX(composicoes[],MATCH(94966,composicoes[CÓDIGO],0),MATCH("CUSTO TOTAL",composicoes[#Headers],0))</f>
        <v>439.52</v>
      </c>
      <c r="BE24" s="38">
        <f ca="1">ECF[[#This Row],[Aço (kg)]]*ECF[[#This Row],[Aço (R$/kg)]]+ECF[[#This Row],[Conc (m³)]]*ECF[[#This Row],[Conc (R$/m³)]]</f>
        <v>4099.6019810912549</v>
      </c>
      <c r="BF24" s="4" t="str">
        <f ca="1">IF(COUNTIF(ECF[#This Row],"N.S.")&gt;0,"lim.","OK")</f>
        <v>lim.</v>
      </c>
      <c r="BG24" s="4" t="str">
        <f>IF(ECF[[#This Row],[Prof. (m)]]&lt;4,"lim.","OK")</f>
        <v>OK</v>
      </c>
      <c r="BH24" s="4" t="str">
        <f>IF(ECF[[#This Row],[Prof. (m)]]&gt;=8*ECF[[#This Row],[Ø (cm)]]/100,"OK","lim.")</f>
        <v>OK</v>
      </c>
      <c r="BI24" s="4" t="str">
        <f>IF(AND(SPT!$F$3&lt;&gt;"",ECF[[#This Row],[Prof. (m)]]&gt;=SPT!$F$3-2),"lim.","OK")</f>
        <v>OK</v>
      </c>
      <c r="BJ24" s="4" t="str">
        <f ca="1">IF(ECF[[#This Row],[Verif. Biela]]="OK","OK","lim.")</f>
        <v>OK</v>
      </c>
      <c r="BK24" s="4" t="str">
        <f ca="1">IF(COUNTA(ECF[[#This Row],[Nº Est.]:[Biela comp.]])=COUNTIF(ECF[[#This Row],[Nº Est.]:[Biela comp.]],"OK"),"OK","lim.")</f>
        <v>lim.</v>
      </c>
      <c r="BL24" s="4" t="str">
        <f ca="1">IF(ECF[[#This Row],[Controle]]="OK",ECF[[#This Row],[nE]]&amp;" Ø"&amp;ECF[[#This Row],[Ø (cm)]]&amp;"cm Prof. "&amp;ECF[[#This Row],[Prof. (m)]]&amp;" m","")</f>
        <v/>
      </c>
      <c r="BM24" s="4" t="str">
        <f ca="1">IF(ECF[[#This Row],[idDimensionamento]]="","",ECF[[#This Row],[idPilar]]&amp;ECF[[#This Row],[idDimensionamento]])</f>
        <v/>
      </c>
    </row>
    <row r="25" spans="2:65" x14ac:dyDescent="0.25">
      <c r="B25" s="12">
        <f>ROUNDUP((ROW(ECF[[#This Row],[idDiâmetro]])-ROW(ECF[[#Headers],[idDiâmetro]]))/(COUNT(SPT[Prof. (m)])*COUNT(PILARES[Pilar])),0)</f>
        <v>1</v>
      </c>
      <c r="C25" s="12">
        <f>IF(ECF[[#This Row],[idDiâmetro]]&lt;&gt;B24,1,IF(ECF[[#This Row],[Prof. (m)]]=0,C24+1,C24))</f>
        <v>2</v>
      </c>
      <c r="D25" s="1">
        <f>IFERROR(IF(D24=MAX(SPT[Prof. (m)]),0,D24+1),0)</f>
        <v>6</v>
      </c>
      <c r="E25" s="1">
        <f>INDEX(SPT[],MATCH(ECF[[#This Row],[Prof. (m)]],SPT[Prof. (m)],0),2)</f>
        <v>21</v>
      </c>
      <c r="F25" s="1" t="str">
        <f>INDEX(SPT[],MATCH(ECF[[#This Row],[Prof. (m)]],SPT[Prof. (m)],0),3)</f>
        <v>Silte arenoso</v>
      </c>
      <c r="G25" s="1">
        <f>INDEX(estacas[],ECF[[#This Row],[idDiâmetro]],MATCH($B$2,estacas[#Headers],0))</f>
        <v>60</v>
      </c>
      <c r="H25" s="1">
        <f>INDEX(estacas[],MATCH(ECF[[#This Row],[Ø (cm)]],estacas[Ø ECF (cm)],0),MATCH(ECF[[#Headers],[Pe ECF (kN)]],estacas[#Headers],0))</f>
        <v>1100</v>
      </c>
      <c r="I25" s="4">
        <f>INDEX(K_alpha_C[],MATCH(ECF[[#This Row],[Solo]],K_alpha_C[Solo],0),2)</f>
        <v>0.55000000000000004</v>
      </c>
      <c r="J25" s="5">
        <f>INDEX(K_alpha_C[],MATCH(ECF[[#This Row],[Solo]],K_alpha_C[Solo],0),3)</f>
        <v>2.2000000000000002</v>
      </c>
      <c r="K25" s="4">
        <f>INDEX(F1_F2[],MATCH($D$2,F1_F2[Tipo de estaca],0),2)</f>
        <v>3</v>
      </c>
      <c r="L25" s="4">
        <f>INDEX(F1_F2[],MATCH($D$2,F1_F2[Tipo de estaca],0),3)</f>
        <v>6</v>
      </c>
      <c r="M25" s="4">
        <f>PI()*(ECF[[#This Row],[Ø (cm)]]/100)^2/4</f>
        <v>0.28274333882308139</v>
      </c>
      <c r="N25" s="4">
        <f>PI()*ECF[[#This Row],[Ø (cm)]]/100</f>
        <v>1.8849555921538756</v>
      </c>
      <c r="O25" s="4">
        <f>IF(ECF[[#This Row],[Prof. (m)]]=0,0,ECF[[#This Row],[α (%)]]/100*ECF[[#This Row],[K (MPa)]]*1000*ECF[[#This Row],[NSPT]])</f>
        <v>254.10000000000002</v>
      </c>
      <c r="P25" s="4">
        <f>IF(ECF[[#This Row],[Prof. (m)]]=0,0,(ECF[[#This Row],[K (MPa)]]*1000*ECF[[#This Row],[NSPT]]/ECF[[#This Row],[F1]]*ECF[[#This Row],[Ap (m²)]]+ECF[[#This Row],[U (m)]]/ECF[[#This Row],[F2]]*SUMIFS(ECF[(α∙K∙NL∙ΔL)],ECF[Prof. (m)],"&lt;="&amp;ECF[[#This Row],[Prof. (m)]],ECF[idDiâmetro],ECF[[#This Row],[idDiâmetro]],ECF[idPilar],ECF[[#This Row],[idPilar]]))/'DADOS CAP. CARGA'!$D$2)</f>
        <v>667.13290795306057</v>
      </c>
      <c r="Q25" s="12">
        <f>INDEX(C_alpha_beta[],MATCH(ECF[[#This Row],[Solo]],C_alpha_beta[Solo],0),MATCH(ECF[[#Headers],[C (kPa)]],C_alpha_beta[#Headers],0))</f>
        <v>250</v>
      </c>
      <c r="R25" s="4">
        <f>INDEX(C_alpha_beta[],MATCH(ECF[[#This Row],[Solo]],C_alpha_beta[Solo],0),MATCH(ECF[[#Headers],[α ESF]],C_alpha_beta[#Headers],0))</f>
        <v>0.6</v>
      </c>
      <c r="S25" s="4">
        <f>INDEX(C_alpha_beta[],MATCH(ECF[[#This Row],[Solo]],C_alpha_beta[Solo],0),MATCH(ECF[[#Headers],[β ESF]],C_alpha_beta[#Headers],0))</f>
        <v>0.65</v>
      </c>
      <c r="T25" s="4">
        <f>IF(ECF[[#This Row],[Prof. (m)]]=0,0,10*(ECF[[#This Row],[NSPT]]/3+1))</f>
        <v>80</v>
      </c>
      <c r="U25" s="4">
        <f>(ECF[[#This Row],[α ESF]]*ECF[[#This Row],[C (kPa)]]*ECF[[#This Row],[NSPT]]*ECF[[#This Row],[Ap (m²)]])/'DADOS CAP. CARGA'!$Q$2+(ECF[[#This Row],[β ESF]]*SUMIFS(ECF[10∙(NL/3+1)],ECF[Prof. (m)],"&lt;="&amp;ECF[[#This Row],[Prof. (m)]],ECF[idDiâmetro],ECF[[#This Row],[idDiâmetro]],ECF[idPilar],ECF[[#This Row],[idPilar]])*ECF[[#This Row],[U (m)]])/'DADOS CAP. CARGA'!$S$2</f>
        <v>369.68691551117888</v>
      </c>
      <c r="V25" s="4">
        <f>IF(SPT!$M$5=1,MIN(ECF[[#This Row],[Pe ECF (kN)]],ECF[[#This Row],[R_AV (kN)]]),IF(SPT!$M$5=2,MIN(ECF[[#This Row],[Pe ECF (kN)]],ECF[[#This Row],[R_DC (kN)]]),MIN(ECF[[#This Row],[Pe ECF (kN)]],ECF[[#This Row],[R_AV (kN)]],ECF[[#This Row],[R_DC (kN)]])))</f>
        <v>369.68691551117888</v>
      </c>
      <c r="W25" s="4">
        <f>INDEX(PILARES[],ECF[[#This Row],[idPilar]],MATCH("Carga (kN)",PILARES[#Headers],0))*1.4</f>
        <v>1750</v>
      </c>
      <c r="X25" s="12">
        <f>INDEX(PILARES[],ECF[[#This Row],[idPilar]],MATCH(ECF[[#Headers],[ap (cm)]],PILARES[#Headers],0))</f>
        <v>50</v>
      </c>
      <c r="Y25" s="12">
        <f>INDEX(PILARES[],ECF[[#This Row],[idPilar]],MATCH(ECF[[#Headers],[bp (cm)]],PILARES[#Headers],0))</f>
        <v>40</v>
      </c>
      <c r="Z25" s="4">
        <f>SQRT(ECF[[#This Row],[ap (cm)]]*ECF[[#This Row],[bp (cm)]])</f>
        <v>44.721359549995796</v>
      </c>
      <c r="AA25" s="12">
        <f>ECF[[#This Row],[ap (cm)]]*ECF[[#This Row],[bp (cm)]]</f>
        <v>2000</v>
      </c>
      <c r="AB25" s="12">
        <f ca="1">IF(ECF[[#This Row],[Padm∙ε (kN)]]&gt;=ECF[[#This Row],[Padm (kN)]],ROUNDUP(1.05*ECF[[#This Row],[Nsd (kN)]]/ECF[[#This Row],[Padm (kN)]],0),ROUNDUP(1.05*ECF[[#This Row],[Nsd (kN)]]/ECF[[#This Row],[Padm (kN)]],0)+1)</f>
        <v>5</v>
      </c>
      <c r="AC25" s="4" t="str">
        <f ca="1">IFERROR(IF(ECF[[#This Row],[nE]]=1,ECF[[#This Row],[Padm (kN)]],ECF[[#This Row],[Padm (kN)]]*ECF[[#This Row],[nE]]*INDEX(grupoEstacas[],ECF[[#This Row],[nE]],MATCH("ε",grupoEstacas[#Headers],0))),"N.S.")</f>
        <v>N.S.</v>
      </c>
      <c r="AD25" s="4">
        <f ca="1">1.05*ECF[[#This Row],[Nsd (kN)]]/(ECF[[#This Row],[nE]]*PI()*ECF[[#This Row],[Ø (cm)]]^2/4)*10</f>
        <v>1.299765368583812</v>
      </c>
      <c r="AE25" s="4">
        <f ca="1">IF(ECF[[#This Row],[σ (MPa)]]&lt;INDEX(tipoEstaca[],MATCH($D$2,tipoEstaca[TIPO DE ESTACA],0),MATCH("σmáx (MPa)",tipoEstaca[#Headers],0)),0.4%*PI()*ECF[[#This Row],[Ø (cm)]]^2/4,"N.S.")</f>
        <v>11.309733552923255</v>
      </c>
      <c r="AF25" s="1">
        <f>INDEX(tipoEstaca[],MATCH($D$2,tipoEstaca[TIPO DE ESTACA],0),MATCH(ECF[[#Headers],[Comprimento (m)]],tipoEstaca[#Headers],0))</f>
        <v>4</v>
      </c>
      <c r="AG25" s="5">
        <f ca="1">ECF[[#This Row],[As,mín (cm²)]]/100^2*ECF[[#This Row],[Comprimento (m)]]*7850</f>
        <v>35.512563356179022</v>
      </c>
      <c r="AH25" s="4">
        <f ca="1">ECF[[#This Row],[nE]]*ECF[[#This Row],[Prof. (m)]]*ECF[[#This Row],[Ap (m²)]]</f>
        <v>8.4823001646924414</v>
      </c>
      <c r="AI25" s="1">
        <f ca="1">IF(ECF[[#This Row],[nE]]=1,0,MAX(3*ECF[[#This Row],[Ø (cm)]],60))</f>
        <v>180</v>
      </c>
      <c r="AJ25" s="1">
        <f ca="1">IF(ECF[[#This Row],[nE]]=1,ECF[[#This Row],[Ø (cm)]]+2*10,MAX(1.5*ECF[[#This Row],[Ø (cm)]],ECF[[#This Row],[Ø (cm)]]+15))</f>
        <v>90</v>
      </c>
      <c r="AK25" s="1" t="str">
        <f ca="1">alturaUtil(ECF[[#This Row],[nE]],ECF[[#This Row],[Ø (cm)]],ECF[[#This Row],[e (cm)]],ECF[[#This Row],[ap,eq (cm)]])</f>
        <v>N.S.</v>
      </c>
      <c r="AL25" s="1" t="str">
        <f ca="1">IFERROR(ECF[[#This Row],[d (cm)]]+arredondarParaCimaMultiplo5cm(MAX(5,SQRT(PI())/2*ECF[[#This Row],[Ø (cm)]]/5)),"N.S.")</f>
        <v>N.S.</v>
      </c>
      <c r="AM25" s="5" t="str">
        <f ca="1">alpha(ECF[[#This Row],[nE]],ECF[[#This Row],[d (cm)]],ECF[[#This Row],[e (cm)]],ECF[[#This Row],[ap,eq (cm)]])</f>
        <v>N.S.</v>
      </c>
      <c r="AN25" s="35" t="str">
        <f ca="1">IFERROR(ECF[[#This Row],[Nsd (kN)]]/(ECF[[#This Row],[Ap (cm²)]]*SIN(ECF[[#This Row],[α]])^2),"N.S.")</f>
        <v>N.S.</v>
      </c>
      <c r="AO25" s="35" t="str">
        <f ca="1">IFERROR(ECF[[#This Row],[Nsd (kN)]]/(ECF[[#This Row],[nE]]*PI()*ECF[[#This Row],[Ø (cm)]]^2/4*SIN(ECF[[#This Row],[α]])^2),"N.S.")</f>
        <v>N.S.</v>
      </c>
      <c r="AP25" s="4" t="str">
        <f ca="1">IFERROR(INDEX(grupoEstacas[],ECF[[#This Row],[nE]],MATCH("coef. Blévot",grupoEstacas[#Headers],0)),"N.S.")</f>
        <v>N.S.</v>
      </c>
      <c r="AQ25" s="35" t="str">
        <f ca="1">IFERROR(ECF[[#This Row],[coef. Blévot]]*0.9*INDEX(tipoEstaca[],MATCH($D$2,tipoEstaca[TIPO DE ESTACA],0),MATCH("fcd (kN/cm²)",tipoEstaca[#Headers],0)),"N.S.")</f>
        <v>N.S.</v>
      </c>
      <c r="AR25" s="1" t="str">
        <f ca="1">IF(AND(ECF[[#This Row],[cd,b,pil (kN/cm²)]]&lt;=ECF[[#This Row],[cd,b,lim (kN/cm²)]],ECF[[#This Row],[cd,b,est (kN/cm²)]]&lt;=ECF[[#This Row],[cd,b,lim (kN/cm²)]]),"OK","ERRO")</f>
        <v>OK</v>
      </c>
      <c r="AS25" s="4" t="str">
        <f ca="1">As_lado(ECF[[#This Row],[nE]],ECF[[#This Row],[Nsd (kN)]],ECF[[#This Row],[d (cm)]],ECF[[#This Row],[e (cm)]],ECF[[#This Row],[ap,eq (cm)]])</f>
        <v>N.S.</v>
      </c>
      <c r="AT25" s="4" t="str">
        <f ca="1">IF(ECF[[#This Row],[nE]]=1,ECF[[#This Row],[As,lado (cm²)]],IF(ECF[[#This Row],[nE]]=2,0.075*2*ECF[a (cm)],"N.A."))</f>
        <v>N.A.</v>
      </c>
      <c r="AU25" s="4" t="str">
        <f ca="1">IFERROR(IF(ECF[[#This Row],[nE]]=1,"N.A.",0.2*ECF[[#This Row],[As,lado (cm²)]]),"N.S.")</f>
        <v>N.S.</v>
      </c>
      <c r="AV25" s="4" t="str">
        <f ca="1">As_malha(ECF[[#This Row],[nE]],ECF[[#This Row],[As,lado (cm²)]],ECF[[#This Row],[Nsd (kN)]])</f>
        <v>N.S.</v>
      </c>
      <c r="AW25" s="4" t="str">
        <f ca="1">As_susp_tot(ECF[[#This Row],[nE]],ECF[[#This Row],[Nsd (kN)]])</f>
        <v>N.S.</v>
      </c>
      <c r="AX25" s="4" t="str">
        <f ca="1">Asp_face(ECF[[#This Row],[nE]],ECF[[#This Row],[As,lado (cm²)]])</f>
        <v>N.S.</v>
      </c>
      <c r="AY25" s="5" t="str">
        <f ca="1">acoBloco(ECF[[#This Row],[nE]],ECF[[#This Row],[e (cm)]],ECF[[#This Row],[a (cm)]],ECF[[#This Row],[h (cm)]],ECF[[#This Row],[As,lado (cm²)]],ECF[[#This Row],[Asp e Asw (cm²/m)]],ECF[[#This Row],[As,sup (cm²)]],ECF[[#This Row],[As,malha (cm²)]],ECF[[#This Row],[As,susp,tot (cm²)]],ECF[[#This Row],[Asp,face (cm²)]])</f>
        <v>N.S.</v>
      </c>
      <c r="AZ25" s="4" t="str">
        <f ca="1">concretoBloco(ECF[[#This Row],[nE]],ECF[[#This Row],[e (cm)]],ECF[[#This Row],[a (cm)]],ECF[[#This Row],[h (cm)]])</f>
        <v>N.S.</v>
      </c>
      <c r="BA25" s="5">
        <f ca="1">SUM(ECF[[#This Row],[Aço Est (kg)]],ECF[[#This Row],[Aço Bloco (kg)]])</f>
        <v>35.512563356179022</v>
      </c>
      <c r="BB25" s="4">
        <f>INDEX(composicoes[],MATCH(95580,composicoes[CÓDIGO],0),MATCH("CUSTO TOTAL",composicoes[#Headers],0))</f>
        <v>10.46</v>
      </c>
      <c r="BC25" s="4">
        <f ca="1">SUM(ECF[[#This Row],[Conc Est (m³)]],ECF[[#This Row],[Conc Bloco (m³)]])</f>
        <v>8.4823001646924414</v>
      </c>
      <c r="BD25" s="4">
        <f>INDEX(composicoes[],MATCH(94966,composicoes[CÓDIGO],0),MATCH("CUSTO TOTAL",composicoes[#Headers],0))</f>
        <v>439.52</v>
      </c>
      <c r="BE25" s="38">
        <f ca="1">ECF[[#This Row],[Aço (kg)]]*ECF[[#This Row],[Aço (R$/kg)]]+ECF[[#This Row],[Conc (m³)]]*ECF[[#This Row],[Conc (R$/m³)]]</f>
        <v>4099.6019810912549</v>
      </c>
      <c r="BF25" s="4" t="str">
        <f ca="1">IF(COUNTIF(ECF[#This Row],"N.S.")&gt;0,"lim.","OK")</f>
        <v>lim.</v>
      </c>
      <c r="BG25" s="4" t="str">
        <f>IF(ECF[[#This Row],[Prof. (m)]]&lt;4,"lim.","OK")</f>
        <v>OK</v>
      </c>
      <c r="BH25" s="4" t="str">
        <f>IF(ECF[[#This Row],[Prof. (m)]]&gt;=8*ECF[[#This Row],[Ø (cm)]]/100,"OK","lim.")</f>
        <v>OK</v>
      </c>
      <c r="BI25" s="4" t="str">
        <f>IF(AND(SPT!$F$3&lt;&gt;"",ECF[[#This Row],[Prof. (m)]]&gt;=SPT!$F$3-2),"lim.","OK")</f>
        <v>OK</v>
      </c>
      <c r="BJ25" s="4" t="str">
        <f ca="1">IF(ECF[[#This Row],[Verif. Biela]]="OK","OK","lim.")</f>
        <v>OK</v>
      </c>
      <c r="BK25" s="4" t="str">
        <f ca="1">IF(COUNTA(ECF[[#This Row],[Nº Est.]:[Biela comp.]])=COUNTIF(ECF[[#This Row],[Nº Est.]:[Biela comp.]],"OK"),"OK","lim.")</f>
        <v>lim.</v>
      </c>
      <c r="BL25" s="4" t="str">
        <f ca="1">IF(ECF[[#This Row],[Controle]]="OK",ECF[[#This Row],[nE]]&amp;" Ø"&amp;ECF[[#This Row],[Ø (cm)]]&amp;"cm Prof. "&amp;ECF[[#This Row],[Prof. (m)]]&amp;" m","")</f>
        <v/>
      </c>
      <c r="BM25" s="4" t="str">
        <f ca="1">IF(ECF[[#This Row],[idDimensionamento]]="","",ECF[[#This Row],[idPilar]]&amp;ECF[[#This Row],[idDimensionamento]])</f>
        <v/>
      </c>
    </row>
    <row r="26" spans="2:65" x14ac:dyDescent="0.25">
      <c r="B26" s="12">
        <f>ROUNDUP((ROW(ECF[[#This Row],[idDiâmetro]])-ROW(ECF[[#Headers],[idDiâmetro]]))/(COUNT(SPT[Prof. (m)])*COUNT(PILARES[Pilar])),0)</f>
        <v>1</v>
      </c>
      <c r="C26" s="12">
        <f>IF(ECF[[#This Row],[idDiâmetro]]&lt;&gt;B25,1,IF(ECF[[#This Row],[Prof. (m)]]=0,C25+1,C25))</f>
        <v>2</v>
      </c>
      <c r="D26" s="1">
        <f>IFERROR(IF(D25=MAX(SPT[Prof. (m)]),0,D25+1),0)</f>
        <v>7</v>
      </c>
      <c r="E26" s="1">
        <f>INDEX(SPT[],MATCH(ECF[[#This Row],[Prof. (m)]],SPT[Prof. (m)],0),2)</f>
        <v>8</v>
      </c>
      <c r="F26" s="1" t="str">
        <f>INDEX(SPT[],MATCH(ECF[[#This Row],[Prof. (m)]],SPT[Prof. (m)],0),3)</f>
        <v>Silte arenoso</v>
      </c>
      <c r="G26" s="1">
        <f>INDEX(estacas[],ECF[[#This Row],[idDiâmetro]],MATCH($B$2,estacas[#Headers],0))</f>
        <v>60</v>
      </c>
      <c r="H26" s="1">
        <f>INDEX(estacas[],MATCH(ECF[[#This Row],[Ø (cm)]],estacas[Ø ECF (cm)],0),MATCH(ECF[[#Headers],[Pe ECF (kN)]],estacas[#Headers],0))</f>
        <v>1100</v>
      </c>
      <c r="I26" s="4">
        <f>INDEX(K_alpha_C[],MATCH(ECF[[#This Row],[Solo]],K_alpha_C[Solo],0),2)</f>
        <v>0.55000000000000004</v>
      </c>
      <c r="J26" s="5">
        <f>INDEX(K_alpha_C[],MATCH(ECF[[#This Row],[Solo]],K_alpha_C[Solo],0),3)</f>
        <v>2.2000000000000002</v>
      </c>
      <c r="K26" s="4">
        <f>INDEX(F1_F2[],MATCH($D$2,F1_F2[Tipo de estaca],0),2)</f>
        <v>3</v>
      </c>
      <c r="L26" s="4">
        <f>INDEX(F1_F2[],MATCH($D$2,F1_F2[Tipo de estaca],0),3)</f>
        <v>6</v>
      </c>
      <c r="M26" s="4">
        <f>PI()*(ECF[[#This Row],[Ø (cm)]]/100)^2/4</f>
        <v>0.28274333882308139</v>
      </c>
      <c r="N26" s="4">
        <f>PI()*ECF[[#This Row],[Ø (cm)]]/100</f>
        <v>1.8849555921538756</v>
      </c>
      <c r="O26" s="4">
        <f>IF(ECF[[#This Row],[Prof. (m)]]=0,0,ECF[[#This Row],[α (%)]]/100*ECF[[#This Row],[K (MPa)]]*1000*ECF[[#This Row],[NSPT]])</f>
        <v>96.800000000000011</v>
      </c>
      <c r="P26" s="4">
        <f>IF(ECF[[#This Row],[Prof. (m)]]=0,0,(ECF[[#This Row],[K (MPa)]]*1000*ECF[[#This Row],[NSPT]]/ECF[[#This Row],[F1]]*ECF[[#This Row],[Ap (m²)]]+ECF[[#This Row],[U (m)]]/ECF[[#This Row],[F2]]*SUMIFS(ECF[(α∙K∙NL∙ΔL)],ECF[Prof. (m)],"&lt;="&amp;ECF[[#This Row],[Prof. (m)]],ECF[idDiâmetro],ECF[[#This Row],[idDiâmetro]],ECF[idPilar],ECF[[#This Row],[idPilar]]))/'DADOS CAP. CARGA'!$D$2)</f>
        <v>345.40240429892981</v>
      </c>
      <c r="Q26" s="12">
        <f>INDEX(C_alpha_beta[],MATCH(ECF[[#This Row],[Solo]],C_alpha_beta[Solo],0),MATCH(ECF[[#Headers],[C (kPa)]],C_alpha_beta[#Headers],0))</f>
        <v>250</v>
      </c>
      <c r="R26" s="4">
        <f>INDEX(C_alpha_beta[],MATCH(ECF[[#This Row],[Solo]],C_alpha_beta[Solo],0),MATCH(ECF[[#Headers],[α ESF]],C_alpha_beta[#Headers],0))</f>
        <v>0.6</v>
      </c>
      <c r="S26" s="4">
        <f>INDEX(C_alpha_beta[],MATCH(ECF[[#This Row],[Solo]],C_alpha_beta[Solo],0),MATCH(ECF[[#Headers],[β ESF]],C_alpha_beta[#Headers],0))</f>
        <v>0.65</v>
      </c>
      <c r="T26" s="4">
        <f>IF(ECF[[#This Row],[Prof. (m)]]=0,0,10*(ECF[[#This Row],[NSPT]]/3+1))</f>
        <v>36.666666666666664</v>
      </c>
      <c r="U26" s="4">
        <f>(ECF[[#This Row],[α ESF]]*ECF[[#This Row],[C (kPa)]]*ECF[[#This Row],[NSPT]]*ECF[[#This Row],[Ap (m²)]])/'DADOS CAP. CARGA'!$Q$2+(ECF[[#This Row],[β ESF]]*SUMIFS(ECF[10∙(NL/3+1)],ECF[Prof. (m)],"&lt;="&amp;ECF[[#This Row],[Prof. (m)]],ECF[idDiâmetro],ECF[[#This Row],[idDiâmetro]],ECF[idPilar],ECF[[#This Row],[idPilar]])*ECF[[#This Row],[U (m)]])/'DADOS CAP. CARGA'!$S$2</f>
        <v>254.31192530809375</v>
      </c>
      <c r="V26" s="4">
        <f>IF(SPT!$M$5=1,MIN(ECF[[#This Row],[Pe ECF (kN)]],ECF[[#This Row],[R_AV (kN)]]),IF(SPT!$M$5=2,MIN(ECF[[#This Row],[Pe ECF (kN)]],ECF[[#This Row],[R_DC (kN)]]),MIN(ECF[[#This Row],[Pe ECF (kN)]],ECF[[#This Row],[R_AV (kN)]],ECF[[#This Row],[R_DC (kN)]])))</f>
        <v>254.31192530809375</v>
      </c>
      <c r="W26" s="4">
        <f>INDEX(PILARES[],ECF[[#This Row],[idPilar]],MATCH("Carga (kN)",PILARES[#Headers],0))*1.4</f>
        <v>1750</v>
      </c>
      <c r="X26" s="12">
        <f>INDEX(PILARES[],ECF[[#This Row],[idPilar]],MATCH(ECF[[#Headers],[ap (cm)]],PILARES[#Headers],0))</f>
        <v>50</v>
      </c>
      <c r="Y26" s="12">
        <f>INDEX(PILARES[],ECF[[#This Row],[idPilar]],MATCH(ECF[[#Headers],[bp (cm)]],PILARES[#Headers],0))</f>
        <v>40</v>
      </c>
      <c r="Z26" s="4">
        <f>SQRT(ECF[[#This Row],[ap (cm)]]*ECF[[#This Row],[bp (cm)]])</f>
        <v>44.721359549995796</v>
      </c>
      <c r="AA26" s="12">
        <f>ECF[[#This Row],[ap (cm)]]*ECF[[#This Row],[bp (cm)]]</f>
        <v>2000</v>
      </c>
      <c r="AB26" s="12">
        <f ca="1">IF(ECF[[#This Row],[Padm∙ε (kN)]]&gt;=ECF[[#This Row],[Padm (kN)]],ROUNDUP(1.05*ECF[[#This Row],[Nsd (kN)]]/ECF[[#This Row],[Padm (kN)]],0),ROUNDUP(1.05*ECF[[#This Row],[Nsd (kN)]]/ECF[[#This Row],[Padm (kN)]],0)+1)</f>
        <v>8</v>
      </c>
      <c r="AC26" s="4" t="str">
        <f ca="1">IFERROR(IF(ECF[[#This Row],[nE]]=1,ECF[[#This Row],[Padm (kN)]],ECF[[#This Row],[Padm (kN)]]*ECF[[#This Row],[nE]]*INDEX(grupoEstacas[],ECF[[#This Row],[nE]],MATCH("ε",grupoEstacas[#Headers],0))),"N.S.")</f>
        <v>N.S.</v>
      </c>
      <c r="AD26" s="4">
        <f ca="1">1.05*ECF[[#This Row],[Nsd (kN)]]/(ECF[[#This Row],[nE]]*PI()*ECF[[#This Row],[Ø (cm)]]^2/4)*10</f>
        <v>0.81235335536488251</v>
      </c>
      <c r="AE26" s="4">
        <f ca="1">IF(ECF[[#This Row],[σ (MPa)]]&lt;INDEX(tipoEstaca[],MATCH($D$2,tipoEstaca[TIPO DE ESTACA],0),MATCH("σmáx (MPa)",tipoEstaca[#Headers],0)),0.4%*PI()*ECF[[#This Row],[Ø (cm)]]^2/4,"N.S.")</f>
        <v>11.309733552923255</v>
      </c>
      <c r="AF26" s="1">
        <f>INDEX(tipoEstaca[],MATCH($D$2,tipoEstaca[TIPO DE ESTACA],0),MATCH(ECF[[#Headers],[Comprimento (m)]],tipoEstaca[#Headers],0))</f>
        <v>4</v>
      </c>
      <c r="AG26" s="5">
        <f ca="1">ECF[[#This Row],[As,mín (cm²)]]/100^2*ECF[[#This Row],[Comprimento (m)]]*7850</f>
        <v>35.512563356179022</v>
      </c>
      <c r="AH26" s="4">
        <f ca="1">ECF[[#This Row],[nE]]*ECF[[#This Row],[Prof. (m)]]*ECF[[#This Row],[Ap (m²)]]</f>
        <v>15.833626974092558</v>
      </c>
      <c r="AI26" s="1">
        <f ca="1">IF(ECF[[#This Row],[nE]]=1,0,MAX(3*ECF[[#This Row],[Ø (cm)]],60))</f>
        <v>180</v>
      </c>
      <c r="AJ26" s="1">
        <f ca="1">IF(ECF[[#This Row],[nE]]=1,ECF[[#This Row],[Ø (cm)]]+2*10,MAX(1.5*ECF[[#This Row],[Ø (cm)]],ECF[[#This Row],[Ø (cm)]]+15))</f>
        <v>90</v>
      </c>
      <c r="AK26" s="1" t="str">
        <f ca="1">alturaUtil(ECF[[#This Row],[nE]],ECF[[#This Row],[Ø (cm)]],ECF[[#This Row],[e (cm)]],ECF[[#This Row],[ap,eq (cm)]])</f>
        <v>N.S.</v>
      </c>
      <c r="AL26" s="1" t="str">
        <f ca="1">IFERROR(ECF[[#This Row],[d (cm)]]+arredondarParaCimaMultiplo5cm(MAX(5,SQRT(PI())/2*ECF[[#This Row],[Ø (cm)]]/5)),"N.S.")</f>
        <v>N.S.</v>
      </c>
      <c r="AM26" s="5" t="str">
        <f ca="1">alpha(ECF[[#This Row],[nE]],ECF[[#This Row],[d (cm)]],ECF[[#This Row],[e (cm)]],ECF[[#This Row],[ap,eq (cm)]])</f>
        <v>N.S.</v>
      </c>
      <c r="AN26" s="35" t="str">
        <f ca="1">IFERROR(ECF[[#This Row],[Nsd (kN)]]/(ECF[[#This Row],[Ap (cm²)]]*SIN(ECF[[#This Row],[α]])^2),"N.S.")</f>
        <v>N.S.</v>
      </c>
      <c r="AO26" s="35" t="str">
        <f ca="1">IFERROR(ECF[[#This Row],[Nsd (kN)]]/(ECF[[#This Row],[nE]]*PI()*ECF[[#This Row],[Ø (cm)]]^2/4*SIN(ECF[[#This Row],[α]])^2),"N.S.")</f>
        <v>N.S.</v>
      </c>
      <c r="AP26" s="4" t="str">
        <f ca="1">IFERROR(INDEX(grupoEstacas[],ECF[[#This Row],[nE]],MATCH("coef. Blévot",grupoEstacas[#Headers],0)),"N.S.")</f>
        <v>N.S.</v>
      </c>
      <c r="AQ26" s="35" t="str">
        <f ca="1">IFERROR(ECF[[#This Row],[coef. Blévot]]*0.9*INDEX(tipoEstaca[],MATCH($D$2,tipoEstaca[TIPO DE ESTACA],0),MATCH("fcd (kN/cm²)",tipoEstaca[#Headers],0)),"N.S.")</f>
        <v>N.S.</v>
      </c>
      <c r="AR26" s="1" t="str">
        <f ca="1">IF(AND(ECF[[#This Row],[cd,b,pil (kN/cm²)]]&lt;=ECF[[#This Row],[cd,b,lim (kN/cm²)]],ECF[[#This Row],[cd,b,est (kN/cm²)]]&lt;=ECF[[#This Row],[cd,b,lim (kN/cm²)]]),"OK","ERRO")</f>
        <v>OK</v>
      </c>
      <c r="AS26" s="4" t="str">
        <f ca="1">As_lado(ECF[[#This Row],[nE]],ECF[[#This Row],[Nsd (kN)]],ECF[[#This Row],[d (cm)]],ECF[[#This Row],[e (cm)]],ECF[[#This Row],[ap,eq (cm)]])</f>
        <v>N.S.</v>
      </c>
      <c r="AT26" s="4" t="str">
        <f ca="1">IF(ECF[[#This Row],[nE]]=1,ECF[[#This Row],[As,lado (cm²)]],IF(ECF[[#This Row],[nE]]=2,0.075*2*ECF[a (cm)],"N.A."))</f>
        <v>N.A.</v>
      </c>
      <c r="AU26" s="4" t="str">
        <f ca="1">IFERROR(IF(ECF[[#This Row],[nE]]=1,"N.A.",0.2*ECF[[#This Row],[As,lado (cm²)]]),"N.S.")</f>
        <v>N.S.</v>
      </c>
      <c r="AV26" s="4" t="str">
        <f ca="1">As_malha(ECF[[#This Row],[nE]],ECF[[#This Row],[As,lado (cm²)]],ECF[[#This Row],[Nsd (kN)]])</f>
        <v>N.S.</v>
      </c>
      <c r="AW26" s="4" t="str">
        <f ca="1">As_susp_tot(ECF[[#This Row],[nE]],ECF[[#This Row],[Nsd (kN)]])</f>
        <v>N.S.</v>
      </c>
      <c r="AX26" s="4" t="str">
        <f ca="1">Asp_face(ECF[[#This Row],[nE]],ECF[[#This Row],[As,lado (cm²)]])</f>
        <v>N.S.</v>
      </c>
      <c r="AY26" s="5" t="str">
        <f ca="1">acoBloco(ECF[[#This Row],[nE]],ECF[[#This Row],[e (cm)]],ECF[[#This Row],[a (cm)]],ECF[[#This Row],[h (cm)]],ECF[[#This Row],[As,lado (cm²)]],ECF[[#This Row],[Asp e Asw (cm²/m)]],ECF[[#This Row],[As,sup (cm²)]],ECF[[#This Row],[As,malha (cm²)]],ECF[[#This Row],[As,susp,tot (cm²)]],ECF[[#This Row],[Asp,face (cm²)]])</f>
        <v>N.S.</v>
      </c>
      <c r="AZ26" s="4" t="str">
        <f ca="1">concretoBloco(ECF[[#This Row],[nE]],ECF[[#This Row],[e (cm)]],ECF[[#This Row],[a (cm)]],ECF[[#This Row],[h (cm)]])</f>
        <v>N.S.</v>
      </c>
      <c r="BA26" s="5">
        <f ca="1">SUM(ECF[[#This Row],[Aço Est (kg)]],ECF[[#This Row],[Aço Bloco (kg)]])</f>
        <v>35.512563356179022</v>
      </c>
      <c r="BB26" s="4">
        <f>INDEX(composicoes[],MATCH(95580,composicoes[CÓDIGO],0),MATCH("CUSTO TOTAL",composicoes[#Headers],0))</f>
        <v>10.46</v>
      </c>
      <c r="BC26" s="4">
        <f ca="1">SUM(ECF[[#This Row],[Conc Est (m³)]],ECF[[#This Row],[Conc Bloco (m³)]])</f>
        <v>15.833626974092558</v>
      </c>
      <c r="BD26" s="4">
        <f>INDEX(composicoes[],MATCH(94966,composicoes[CÓDIGO],0),MATCH("CUSTO TOTAL",composicoes[#Headers],0))</f>
        <v>439.52</v>
      </c>
      <c r="BE26" s="38">
        <f ca="1">ECF[[#This Row],[Aço (kg)]]*ECF[[#This Row],[Aço (R$/kg)]]+ECF[[#This Row],[Conc (m³)]]*ECF[[#This Row],[Conc (R$/m³)]]</f>
        <v>7330.6571403587941</v>
      </c>
      <c r="BF26" s="4" t="str">
        <f ca="1">IF(COUNTIF(ECF[#This Row],"N.S.")&gt;0,"lim.","OK")</f>
        <v>lim.</v>
      </c>
      <c r="BG26" s="4" t="str">
        <f>IF(ECF[[#This Row],[Prof. (m)]]&lt;4,"lim.","OK")</f>
        <v>OK</v>
      </c>
      <c r="BH26" s="4" t="str">
        <f>IF(ECF[[#This Row],[Prof. (m)]]&gt;=8*ECF[[#This Row],[Ø (cm)]]/100,"OK","lim.")</f>
        <v>OK</v>
      </c>
      <c r="BI26" s="4" t="str">
        <f>IF(AND(SPT!$F$3&lt;&gt;"",ECF[[#This Row],[Prof. (m)]]&gt;=SPT!$F$3-2),"lim.","OK")</f>
        <v>OK</v>
      </c>
      <c r="BJ26" s="4" t="str">
        <f ca="1">IF(ECF[[#This Row],[Verif. Biela]]="OK","OK","lim.")</f>
        <v>OK</v>
      </c>
      <c r="BK26" s="4" t="str">
        <f ca="1">IF(COUNTA(ECF[[#This Row],[Nº Est.]:[Biela comp.]])=COUNTIF(ECF[[#This Row],[Nº Est.]:[Biela comp.]],"OK"),"OK","lim.")</f>
        <v>lim.</v>
      </c>
      <c r="BL26" s="4" t="str">
        <f ca="1">IF(ECF[[#This Row],[Controle]]="OK",ECF[[#This Row],[nE]]&amp;" Ø"&amp;ECF[[#This Row],[Ø (cm)]]&amp;"cm Prof. "&amp;ECF[[#This Row],[Prof. (m)]]&amp;" m","")</f>
        <v/>
      </c>
      <c r="BM26" s="4" t="str">
        <f ca="1">IF(ECF[[#This Row],[idDimensionamento]]="","",ECF[[#This Row],[idPilar]]&amp;ECF[[#This Row],[idDimensionamento]])</f>
        <v/>
      </c>
    </row>
    <row r="27" spans="2:65" x14ac:dyDescent="0.25">
      <c r="B27" s="12">
        <f>ROUNDUP((ROW(ECF[[#This Row],[idDiâmetro]])-ROW(ECF[[#Headers],[idDiâmetro]]))/(COUNT(SPT[Prof. (m)])*COUNT(PILARES[Pilar])),0)</f>
        <v>1</v>
      </c>
      <c r="C27" s="12">
        <f>IF(ECF[[#This Row],[idDiâmetro]]&lt;&gt;B26,1,IF(ECF[[#This Row],[Prof. (m)]]=0,C26+1,C26))</f>
        <v>2</v>
      </c>
      <c r="D27" s="1">
        <f>IFERROR(IF(D26=MAX(SPT[Prof. (m)]),0,D26+1),0)</f>
        <v>8</v>
      </c>
      <c r="E27" s="1">
        <f>INDEX(SPT[],MATCH(ECF[[#This Row],[Prof. (m)]],SPT[Prof. (m)],0),2)</f>
        <v>10</v>
      </c>
      <c r="F27" s="1" t="str">
        <f>INDEX(SPT[],MATCH(ECF[[#This Row],[Prof. (m)]],SPT[Prof. (m)],0),3)</f>
        <v>Silte arenoso</v>
      </c>
      <c r="G27" s="1">
        <f>INDEX(estacas[],ECF[[#This Row],[idDiâmetro]],MATCH($B$2,estacas[#Headers],0))</f>
        <v>60</v>
      </c>
      <c r="H27" s="1">
        <f>INDEX(estacas[],MATCH(ECF[[#This Row],[Ø (cm)]],estacas[Ø ECF (cm)],0),MATCH(ECF[[#Headers],[Pe ECF (kN)]],estacas[#Headers],0))</f>
        <v>1100</v>
      </c>
      <c r="I27" s="4">
        <f>INDEX(K_alpha_C[],MATCH(ECF[[#This Row],[Solo]],K_alpha_C[Solo],0),2)</f>
        <v>0.55000000000000004</v>
      </c>
      <c r="J27" s="5">
        <f>INDEX(K_alpha_C[],MATCH(ECF[[#This Row],[Solo]],K_alpha_C[Solo],0),3)</f>
        <v>2.2000000000000002</v>
      </c>
      <c r="K27" s="4">
        <f>INDEX(F1_F2[],MATCH($D$2,F1_F2[Tipo de estaca],0),2)</f>
        <v>3</v>
      </c>
      <c r="L27" s="4">
        <f>INDEX(F1_F2[],MATCH($D$2,F1_F2[Tipo de estaca],0),3)</f>
        <v>6</v>
      </c>
      <c r="M27" s="4">
        <f>PI()*(ECF[[#This Row],[Ø (cm)]]/100)^2/4</f>
        <v>0.28274333882308139</v>
      </c>
      <c r="N27" s="4">
        <f>PI()*ECF[[#This Row],[Ø (cm)]]/100</f>
        <v>1.8849555921538756</v>
      </c>
      <c r="O27" s="4">
        <f>IF(ECF[[#This Row],[Prof. (m)]]=0,0,ECF[[#This Row],[α (%)]]/100*ECF[[#This Row],[K (MPa)]]*1000*ECF[[#This Row],[NSPT]])</f>
        <v>121.00000000000001</v>
      </c>
      <c r="P27" s="4">
        <f>IF(ECF[[#This Row],[Prof. (m)]]=0,0,(ECF[[#This Row],[K (MPa)]]*1000*ECF[[#This Row],[NSPT]]/ECF[[#This Row],[F1]]*ECF[[#This Row],[Ap (m²)]]+ECF[[#This Row],[U (m)]]/ECF[[#This Row],[F2]]*SUMIFS(ECF[(α∙K∙NL∙ΔL)],ECF[Prof. (m)],"&lt;="&amp;ECF[[#This Row],[Prof. (m)]],ECF[idDiâmetro],ECF[[#This Row],[idDiâmetro]],ECF[idPilar],ECF[[#This Row],[idPilar]]))/'DADOS CAP. CARGA'!$D$2)</f>
        <v>416.24531863737957</v>
      </c>
      <c r="Q27" s="12">
        <f>INDEX(C_alpha_beta[],MATCH(ECF[[#This Row],[Solo]],C_alpha_beta[Solo],0),MATCH(ECF[[#Headers],[C (kPa)]],C_alpha_beta[#Headers],0))</f>
        <v>250</v>
      </c>
      <c r="R27" s="4">
        <f>INDEX(C_alpha_beta[],MATCH(ECF[[#This Row],[Solo]],C_alpha_beta[Solo],0),MATCH(ECF[[#Headers],[α ESF]],C_alpha_beta[#Headers],0))</f>
        <v>0.6</v>
      </c>
      <c r="S27" s="4">
        <f>INDEX(C_alpha_beta[],MATCH(ECF[[#This Row],[Solo]],C_alpha_beta[Solo],0),MATCH(ECF[[#Headers],[β ESF]],C_alpha_beta[#Headers],0))</f>
        <v>0.65</v>
      </c>
      <c r="T27" s="4">
        <f>IF(ECF[[#This Row],[Prof. (m)]]=0,0,10*(ECF[[#This Row],[NSPT]]/3+1))</f>
        <v>43.333333333333343</v>
      </c>
      <c r="U27" s="4">
        <f>(ECF[[#This Row],[α ESF]]*ECF[[#This Row],[C (kPa)]]*ECF[[#This Row],[NSPT]]*ECF[[#This Row],[Ap (m²)]])/'DADOS CAP. CARGA'!$Q$2+(ECF[[#This Row],[β ESF]]*SUMIFS(ECF[10∙(NL/3+1)],ECF[Prof. (m)],"&lt;="&amp;ECF[[#This Row],[Prof. (m)]],ECF[idDiâmetro],ECF[[#This Row],[idDiâmetro]],ECF[idPilar],ECF[[#This Row],[idPilar]])*ECF[[#This Row],[U (m)]])/'DADOS CAP. CARGA'!$S$2</f>
        <v>302.06413364265859</v>
      </c>
      <c r="V27" s="4">
        <f>IF(SPT!$M$5=1,MIN(ECF[[#This Row],[Pe ECF (kN)]],ECF[[#This Row],[R_AV (kN)]]),IF(SPT!$M$5=2,MIN(ECF[[#This Row],[Pe ECF (kN)]],ECF[[#This Row],[R_DC (kN)]]),MIN(ECF[[#This Row],[Pe ECF (kN)]],ECF[[#This Row],[R_AV (kN)]],ECF[[#This Row],[R_DC (kN)]])))</f>
        <v>302.06413364265859</v>
      </c>
      <c r="W27" s="4">
        <f>INDEX(PILARES[],ECF[[#This Row],[idPilar]],MATCH("Carga (kN)",PILARES[#Headers],0))*1.4</f>
        <v>1750</v>
      </c>
      <c r="X27" s="12">
        <f>INDEX(PILARES[],ECF[[#This Row],[idPilar]],MATCH(ECF[[#Headers],[ap (cm)]],PILARES[#Headers],0))</f>
        <v>50</v>
      </c>
      <c r="Y27" s="12">
        <f>INDEX(PILARES[],ECF[[#This Row],[idPilar]],MATCH(ECF[[#Headers],[bp (cm)]],PILARES[#Headers],0))</f>
        <v>40</v>
      </c>
      <c r="Z27" s="4">
        <f>SQRT(ECF[[#This Row],[ap (cm)]]*ECF[[#This Row],[bp (cm)]])</f>
        <v>44.721359549995796</v>
      </c>
      <c r="AA27" s="12">
        <f>ECF[[#This Row],[ap (cm)]]*ECF[[#This Row],[bp (cm)]]</f>
        <v>2000</v>
      </c>
      <c r="AB27" s="12">
        <f ca="1">IF(ECF[[#This Row],[Padm∙ε (kN)]]&gt;=ECF[[#This Row],[Padm (kN)]],ROUNDUP(1.05*ECF[[#This Row],[Nsd (kN)]]/ECF[[#This Row],[Padm (kN)]],0),ROUNDUP(1.05*ECF[[#This Row],[Nsd (kN)]]/ECF[[#This Row],[Padm (kN)]],0)+1)</f>
        <v>7</v>
      </c>
      <c r="AC27" s="4" t="str">
        <f ca="1">IFERROR(IF(ECF[[#This Row],[nE]]=1,ECF[[#This Row],[Padm (kN)]],ECF[[#This Row],[Padm (kN)]]*ECF[[#This Row],[nE]]*INDEX(grupoEstacas[],ECF[[#This Row],[nE]],MATCH("ε",grupoEstacas[#Headers],0))),"N.S.")</f>
        <v>N.S.</v>
      </c>
      <c r="AD27" s="4">
        <f ca="1">1.05*ECF[[#This Row],[Nsd (kN)]]/(ECF[[#This Row],[nE]]*PI()*ECF[[#This Row],[Ø (cm)]]^2/4)*10</f>
        <v>0.92840383470272281</v>
      </c>
      <c r="AE27" s="4">
        <f ca="1">IF(ECF[[#This Row],[σ (MPa)]]&lt;INDEX(tipoEstaca[],MATCH($D$2,tipoEstaca[TIPO DE ESTACA],0),MATCH("σmáx (MPa)",tipoEstaca[#Headers],0)),0.4%*PI()*ECF[[#This Row],[Ø (cm)]]^2/4,"N.S.")</f>
        <v>11.309733552923255</v>
      </c>
      <c r="AF27" s="1">
        <f>INDEX(tipoEstaca[],MATCH($D$2,tipoEstaca[TIPO DE ESTACA],0),MATCH(ECF[[#Headers],[Comprimento (m)]],tipoEstaca[#Headers],0))</f>
        <v>4</v>
      </c>
      <c r="AG27" s="5">
        <f ca="1">ECF[[#This Row],[As,mín (cm²)]]/100^2*ECF[[#This Row],[Comprimento (m)]]*7850</f>
        <v>35.512563356179022</v>
      </c>
      <c r="AH27" s="4">
        <f ca="1">ECF[[#This Row],[nE]]*ECF[[#This Row],[Prof. (m)]]*ECF[[#This Row],[Ap (m²)]]</f>
        <v>15.833626974092558</v>
      </c>
      <c r="AI27" s="1">
        <f ca="1">IF(ECF[[#This Row],[nE]]=1,0,MAX(3*ECF[[#This Row],[Ø (cm)]],60))</f>
        <v>180</v>
      </c>
      <c r="AJ27" s="1">
        <f ca="1">IF(ECF[[#This Row],[nE]]=1,ECF[[#This Row],[Ø (cm)]]+2*10,MAX(1.5*ECF[[#This Row],[Ø (cm)]],ECF[[#This Row],[Ø (cm)]]+15))</f>
        <v>90</v>
      </c>
      <c r="AK27" s="1" t="str">
        <f ca="1">alturaUtil(ECF[[#This Row],[nE]],ECF[[#This Row],[Ø (cm)]],ECF[[#This Row],[e (cm)]],ECF[[#This Row],[ap,eq (cm)]])</f>
        <v>N.S.</v>
      </c>
      <c r="AL27" s="1" t="str">
        <f ca="1">IFERROR(ECF[[#This Row],[d (cm)]]+arredondarParaCimaMultiplo5cm(MAX(5,SQRT(PI())/2*ECF[[#This Row],[Ø (cm)]]/5)),"N.S.")</f>
        <v>N.S.</v>
      </c>
      <c r="AM27" s="5" t="str">
        <f ca="1">alpha(ECF[[#This Row],[nE]],ECF[[#This Row],[d (cm)]],ECF[[#This Row],[e (cm)]],ECF[[#This Row],[ap,eq (cm)]])</f>
        <v>N.S.</v>
      </c>
      <c r="AN27" s="35" t="str">
        <f ca="1">IFERROR(ECF[[#This Row],[Nsd (kN)]]/(ECF[[#This Row],[Ap (cm²)]]*SIN(ECF[[#This Row],[α]])^2),"N.S.")</f>
        <v>N.S.</v>
      </c>
      <c r="AO27" s="35" t="str">
        <f ca="1">IFERROR(ECF[[#This Row],[Nsd (kN)]]/(ECF[[#This Row],[nE]]*PI()*ECF[[#This Row],[Ø (cm)]]^2/4*SIN(ECF[[#This Row],[α]])^2),"N.S.")</f>
        <v>N.S.</v>
      </c>
      <c r="AP27" s="4" t="str">
        <f ca="1">IFERROR(INDEX(grupoEstacas[],ECF[[#This Row],[nE]],MATCH("coef. Blévot",grupoEstacas[#Headers],0)),"N.S.")</f>
        <v>N.S.</v>
      </c>
      <c r="AQ27" s="35" t="str">
        <f ca="1">IFERROR(ECF[[#This Row],[coef. Blévot]]*0.9*INDEX(tipoEstaca[],MATCH($D$2,tipoEstaca[TIPO DE ESTACA],0),MATCH("fcd (kN/cm²)",tipoEstaca[#Headers],0)),"N.S.")</f>
        <v>N.S.</v>
      </c>
      <c r="AR27" s="1" t="str">
        <f ca="1">IF(AND(ECF[[#This Row],[cd,b,pil (kN/cm²)]]&lt;=ECF[[#This Row],[cd,b,lim (kN/cm²)]],ECF[[#This Row],[cd,b,est (kN/cm²)]]&lt;=ECF[[#This Row],[cd,b,lim (kN/cm²)]]),"OK","ERRO")</f>
        <v>OK</v>
      </c>
      <c r="AS27" s="4" t="str">
        <f ca="1">As_lado(ECF[[#This Row],[nE]],ECF[[#This Row],[Nsd (kN)]],ECF[[#This Row],[d (cm)]],ECF[[#This Row],[e (cm)]],ECF[[#This Row],[ap,eq (cm)]])</f>
        <v>N.S.</v>
      </c>
      <c r="AT27" s="4" t="str">
        <f ca="1">IF(ECF[[#This Row],[nE]]=1,ECF[[#This Row],[As,lado (cm²)]],IF(ECF[[#This Row],[nE]]=2,0.075*2*ECF[a (cm)],"N.A."))</f>
        <v>N.A.</v>
      </c>
      <c r="AU27" s="4" t="str">
        <f ca="1">IFERROR(IF(ECF[[#This Row],[nE]]=1,"N.A.",0.2*ECF[[#This Row],[As,lado (cm²)]]),"N.S.")</f>
        <v>N.S.</v>
      </c>
      <c r="AV27" s="4" t="str">
        <f ca="1">As_malha(ECF[[#This Row],[nE]],ECF[[#This Row],[As,lado (cm²)]],ECF[[#This Row],[Nsd (kN)]])</f>
        <v>N.S.</v>
      </c>
      <c r="AW27" s="4" t="str">
        <f ca="1">As_susp_tot(ECF[[#This Row],[nE]],ECF[[#This Row],[Nsd (kN)]])</f>
        <v>N.S.</v>
      </c>
      <c r="AX27" s="4" t="str">
        <f ca="1">Asp_face(ECF[[#This Row],[nE]],ECF[[#This Row],[As,lado (cm²)]])</f>
        <v>N.S.</v>
      </c>
      <c r="AY27" s="5" t="str">
        <f ca="1">acoBloco(ECF[[#This Row],[nE]],ECF[[#This Row],[e (cm)]],ECF[[#This Row],[a (cm)]],ECF[[#This Row],[h (cm)]],ECF[[#This Row],[As,lado (cm²)]],ECF[[#This Row],[Asp e Asw (cm²/m)]],ECF[[#This Row],[As,sup (cm²)]],ECF[[#This Row],[As,malha (cm²)]],ECF[[#This Row],[As,susp,tot (cm²)]],ECF[[#This Row],[Asp,face (cm²)]])</f>
        <v>N.S.</v>
      </c>
      <c r="AZ27" s="4" t="str">
        <f ca="1">concretoBloco(ECF[[#This Row],[nE]],ECF[[#This Row],[e (cm)]],ECF[[#This Row],[a (cm)]],ECF[[#This Row],[h (cm)]])</f>
        <v>N.S.</v>
      </c>
      <c r="BA27" s="5">
        <f ca="1">SUM(ECF[[#This Row],[Aço Est (kg)]],ECF[[#This Row],[Aço Bloco (kg)]])</f>
        <v>35.512563356179022</v>
      </c>
      <c r="BB27" s="4">
        <f>INDEX(composicoes[],MATCH(95580,composicoes[CÓDIGO],0),MATCH("CUSTO TOTAL",composicoes[#Headers],0))</f>
        <v>10.46</v>
      </c>
      <c r="BC27" s="4">
        <f ca="1">SUM(ECF[[#This Row],[Conc Est (m³)]],ECF[[#This Row],[Conc Bloco (m³)]])</f>
        <v>15.833626974092558</v>
      </c>
      <c r="BD27" s="4">
        <f>INDEX(composicoes[],MATCH(94966,composicoes[CÓDIGO],0),MATCH("CUSTO TOTAL",composicoes[#Headers],0))</f>
        <v>439.52</v>
      </c>
      <c r="BE27" s="38">
        <f ca="1">ECF[[#This Row],[Aço (kg)]]*ECF[[#This Row],[Aço (R$/kg)]]+ECF[[#This Row],[Conc (m³)]]*ECF[[#This Row],[Conc (R$/m³)]]</f>
        <v>7330.6571403587941</v>
      </c>
      <c r="BF27" s="4" t="str">
        <f ca="1">IF(COUNTIF(ECF[#This Row],"N.S.")&gt;0,"lim.","OK")</f>
        <v>lim.</v>
      </c>
      <c r="BG27" s="4" t="str">
        <f>IF(ECF[[#This Row],[Prof. (m)]]&lt;4,"lim.","OK")</f>
        <v>OK</v>
      </c>
      <c r="BH27" s="4" t="str">
        <f>IF(ECF[[#This Row],[Prof. (m)]]&gt;=8*ECF[[#This Row],[Ø (cm)]]/100,"OK","lim.")</f>
        <v>OK</v>
      </c>
      <c r="BI27" s="4" t="str">
        <f>IF(AND(SPT!$F$3&lt;&gt;"",ECF[[#This Row],[Prof. (m)]]&gt;=SPT!$F$3-2),"lim.","OK")</f>
        <v>OK</v>
      </c>
      <c r="BJ27" s="4" t="str">
        <f ca="1">IF(ECF[[#This Row],[Verif. Biela]]="OK","OK","lim.")</f>
        <v>OK</v>
      </c>
      <c r="BK27" s="4" t="str">
        <f ca="1">IF(COUNTA(ECF[[#This Row],[Nº Est.]:[Biela comp.]])=COUNTIF(ECF[[#This Row],[Nº Est.]:[Biela comp.]],"OK"),"OK","lim.")</f>
        <v>lim.</v>
      </c>
      <c r="BL27" s="4" t="str">
        <f ca="1">IF(ECF[[#This Row],[Controle]]="OK",ECF[[#This Row],[nE]]&amp;" Ø"&amp;ECF[[#This Row],[Ø (cm)]]&amp;"cm Prof. "&amp;ECF[[#This Row],[Prof. (m)]]&amp;" m","")</f>
        <v/>
      </c>
      <c r="BM27" s="4" t="str">
        <f ca="1">IF(ECF[[#This Row],[idDimensionamento]]="","",ECF[[#This Row],[idPilar]]&amp;ECF[[#This Row],[idDimensionamento]])</f>
        <v/>
      </c>
    </row>
    <row r="28" spans="2:65" x14ac:dyDescent="0.25">
      <c r="B28" s="12">
        <f>ROUNDUP((ROW(ECF[[#This Row],[idDiâmetro]])-ROW(ECF[[#Headers],[idDiâmetro]]))/(COUNT(SPT[Prof. (m)])*COUNT(PILARES[Pilar])),0)</f>
        <v>1</v>
      </c>
      <c r="C28" s="12">
        <f>IF(ECF[[#This Row],[idDiâmetro]]&lt;&gt;B27,1,IF(ECF[[#This Row],[Prof. (m)]]=0,C27+1,C27))</f>
        <v>2</v>
      </c>
      <c r="D28" s="1">
        <f>IFERROR(IF(D27=MAX(SPT[Prof. (m)]),0,D27+1),0)</f>
        <v>9</v>
      </c>
      <c r="E28" s="1">
        <f>INDEX(SPT[],MATCH(ECF[[#This Row],[Prof. (m)]],SPT[Prof. (m)],0),2)</f>
        <v>26</v>
      </c>
      <c r="F28" s="1" t="str">
        <f>INDEX(SPT[],MATCH(ECF[[#This Row],[Prof. (m)]],SPT[Prof. (m)],0),3)</f>
        <v>Areia siltosa</v>
      </c>
      <c r="G28" s="1">
        <f>INDEX(estacas[],ECF[[#This Row],[idDiâmetro]],MATCH($B$2,estacas[#Headers],0))</f>
        <v>60</v>
      </c>
      <c r="H28" s="1">
        <f>INDEX(estacas[],MATCH(ECF[[#This Row],[Ø (cm)]],estacas[Ø ECF (cm)],0),MATCH(ECF[[#Headers],[Pe ECF (kN)]],estacas[#Headers],0))</f>
        <v>1100</v>
      </c>
      <c r="I28" s="4">
        <f>INDEX(K_alpha_C[],MATCH(ECF[[#This Row],[Solo]],K_alpha_C[Solo],0),2)</f>
        <v>0.8</v>
      </c>
      <c r="J28" s="5">
        <f>INDEX(K_alpha_C[],MATCH(ECF[[#This Row],[Solo]],K_alpha_C[Solo],0),3)</f>
        <v>2</v>
      </c>
      <c r="K28" s="4">
        <f>INDEX(F1_F2[],MATCH($D$2,F1_F2[Tipo de estaca],0),2)</f>
        <v>3</v>
      </c>
      <c r="L28" s="4">
        <f>INDEX(F1_F2[],MATCH($D$2,F1_F2[Tipo de estaca],0),3)</f>
        <v>6</v>
      </c>
      <c r="M28" s="4">
        <f>PI()*(ECF[[#This Row],[Ø (cm)]]/100)^2/4</f>
        <v>0.28274333882308139</v>
      </c>
      <c r="N28" s="4">
        <f>PI()*ECF[[#This Row],[Ø (cm)]]/100</f>
        <v>1.8849555921538756</v>
      </c>
      <c r="O28" s="4">
        <f>IF(ECF[[#This Row],[Prof. (m)]]=0,0,ECF[[#This Row],[α (%)]]/100*ECF[[#This Row],[K (MPa)]]*1000*ECF[[#This Row],[NSPT]])</f>
        <v>416</v>
      </c>
      <c r="P28" s="4">
        <f>IF(ECF[[#This Row],[Prof. (m)]]=0,0,(ECF[[#This Row],[K (MPa)]]*1000*ECF[[#This Row],[NSPT]]/ECF[[#This Row],[F1]]*ECF[[#This Row],[Ap (m²)]]+ECF[[#This Row],[U (m)]]/ECF[[#This Row],[F2]]*SUMIFS(ECF[(α∙K∙NL∙ΔL)],ECF[Prof. (m)],"&lt;="&amp;ECF[[#This Row],[Prof. (m)]],ECF[idDiâmetro],ECF[[#This Row],[idDiâmetro]],ECF[idPilar],ECF[[#This Row],[idPilar]]))/'DADOS CAP. CARGA'!$D$2)</f>
        <v>1202.5859598309048</v>
      </c>
      <c r="Q28" s="12">
        <f>INDEX(C_alpha_beta[],MATCH(ECF[[#This Row],[Solo]],C_alpha_beta[Solo],0),MATCH(ECF[[#Headers],[C (kPa)]],C_alpha_beta[#Headers],0))</f>
        <v>400</v>
      </c>
      <c r="R28" s="4">
        <f>INDEX(C_alpha_beta[],MATCH(ECF[[#This Row],[Solo]],C_alpha_beta[Solo],0),MATCH(ECF[[#Headers],[α ESF]],C_alpha_beta[#Headers],0))</f>
        <v>0.5</v>
      </c>
      <c r="S28" s="4">
        <f>INDEX(C_alpha_beta[],MATCH(ECF[[#This Row],[Solo]],C_alpha_beta[Solo],0),MATCH(ECF[[#Headers],[β ESF]],C_alpha_beta[#Headers],0))</f>
        <v>0.5</v>
      </c>
      <c r="T28" s="4">
        <f>IF(ECF[[#This Row],[Prof. (m)]]=0,0,10*(ECF[[#This Row],[NSPT]]/3+1))</f>
        <v>96.666666666666657</v>
      </c>
      <c r="U28" s="4">
        <f>(ECF[[#This Row],[α ESF]]*ECF[[#This Row],[C (kPa)]]*ECF[[#This Row],[NSPT]]*ECF[[#This Row],[Ap (m²)]])/'DADOS CAP. CARGA'!$Q$2+(ECF[[#This Row],[β ESF]]*SUMIFS(ECF[10∙(NL/3+1)],ECF[Prof. (m)],"&lt;="&amp;ECF[[#This Row],[Prof. (m)]],ECF[idDiâmetro],ECF[[#This Row],[idDiâmetro]],ECF[idPilar],ECF[[#This Row],[idPilar]])*ECF[[#This Row],[U (m)]])/'DADOS CAP. CARGA'!$S$2</f>
        <v>563.91588131936783</v>
      </c>
      <c r="V28" s="4">
        <f>IF(SPT!$M$5=1,MIN(ECF[[#This Row],[Pe ECF (kN)]],ECF[[#This Row],[R_AV (kN)]]),IF(SPT!$M$5=2,MIN(ECF[[#This Row],[Pe ECF (kN)]],ECF[[#This Row],[R_DC (kN)]]),MIN(ECF[[#This Row],[Pe ECF (kN)]],ECF[[#This Row],[R_AV (kN)]],ECF[[#This Row],[R_DC (kN)]])))</f>
        <v>563.91588131936783</v>
      </c>
      <c r="W28" s="4">
        <f>INDEX(PILARES[],ECF[[#This Row],[idPilar]],MATCH("Carga (kN)",PILARES[#Headers],0))*1.4</f>
        <v>1750</v>
      </c>
      <c r="X28" s="12">
        <f>INDEX(PILARES[],ECF[[#This Row],[idPilar]],MATCH(ECF[[#Headers],[ap (cm)]],PILARES[#Headers],0))</f>
        <v>50</v>
      </c>
      <c r="Y28" s="12">
        <f>INDEX(PILARES[],ECF[[#This Row],[idPilar]],MATCH(ECF[[#Headers],[bp (cm)]],PILARES[#Headers],0))</f>
        <v>40</v>
      </c>
      <c r="Z28" s="4">
        <f>SQRT(ECF[[#This Row],[ap (cm)]]*ECF[[#This Row],[bp (cm)]])</f>
        <v>44.721359549995796</v>
      </c>
      <c r="AA28" s="12">
        <f>ECF[[#This Row],[ap (cm)]]*ECF[[#This Row],[bp (cm)]]</f>
        <v>2000</v>
      </c>
      <c r="AB28" s="12">
        <f ca="1">IF(ECF[[#This Row],[Padm∙ε (kN)]]&gt;=ECF[[#This Row],[Padm (kN)]],ROUNDUP(1.05*ECF[[#This Row],[Nsd (kN)]]/ECF[[#This Row],[Padm (kN)]],0),ROUNDUP(1.05*ECF[[#This Row],[Nsd (kN)]]/ECF[[#This Row],[Padm (kN)]],0)+1)</f>
        <v>4</v>
      </c>
      <c r="AC28" s="4">
        <f ca="1">IFERROR(IF(ECF[[#This Row],[nE]]=1,ECF[[#This Row],[Padm (kN)]],ECF[[#This Row],[Padm (kN)]]*ECF[[#This Row],[nE]]*INDEX(grupoEstacas[],ECF[[#This Row],[nE]],MATCH("ε",grupoEstacas[#Headers],0))),"N.S.")</f>
        <v>1832.7266142879455</v>
      </c>
      <c r="AD28" s="4">
        <f ca="1">1.05*ECF[[#This Row],[Nsd (kN)]]/(ECF[[#This Row],[nE]]*PI()*ECF[[#This Row],[Ø (cm)]]^2/4)*10</f>
        <v>1.624706710729765</v>
      </c>
      <c r="AE28" s="4">
        <f ca="1">IF(ECF[[#This Row],[σ (MPa)]]&lt;INDEX(tipoEstaca[],MATCH($D$2,tipoEstaca[TIPO DE ESTACA],0),MATCH("σmáx (MPa)",tipoEstaca[#Headers],0)),0.4%*PI()*ECF[[#This Row],[Ø (cm)]]^2/4,"N.S.")</f>
        <v>11.309733552923255</v>
      </c>
      <c r="AF28" s="1">
        <f>INDEX(tipoEstaca[],MATCH($D$2,tipoEstaca[TIPO DE ESTACA],0),MATCH(ECF[[#Headers],[Comprimento (m)]],tipoEstaca[#Headers],0))</f>
        <v>4</v>
      </c>
      <c r="AG28" s="5">
        <f ca="1">ECF[[#This Row],[As,mín (cm²)]]/100^2*ECF[[#This Row],[Comprimento (m)]]*7850</f>
        <v>35.512563356179022</v>
      </c>
      <c r="AH28" s="4">
        <f ca="1">ECF[[#This Row],[nE]]*ECF[[#This Row],[Prof. (m)]]*ECF[[#This Row],[Ap (m²)]]</f>
        <v>10.178760197630931</v>
      </c>
      <c r="AI28" s="1">
        <f ca="1">IF(ECF[[#This Row],[nE]]=1,0,MAX(3*ECF[[#This Row],[Ø (cm)]],60))</f>
        <v>180</v>
      </c>
      <c r="AJ28" s="1">
        <f ca="1">IF(ECF[[#This Row],[nE]]=1,ECF[[#This Row],[Ø (cm)]]+2*10,MAX(1.5*ECF[[#This Row],[Ø (cm)]],ECF[[#This Row],[Ø (cm)]]+15))</f>
        <v>90</v>
      </c>
      <c r="AK28" s="1">
        <f ca="1">alturaUtil(ECF[[#This Row],[nE]],ECF[[#This Row],[Ø (cm)]],ECF[[#This Row],[e (cm)]],ECF[[#This Row],[ap,eq (cm)]])</f>
        <v>80</v>
      </c>
      <c r="AL28" s="1">
        <f ca="1">IFERROR(ECF[[#This Row],[d (cm)]]+arredondarParaCimaMultiplo5cm(MAX(5,SQRT(PI())/2*ECF[[#This Row],[Ø (cm)]]/5)),"N.S.")</f>
        <v>95</v>
      </c>
      <c r="AM28" s="5">
        <f ca="1">alpha(ECF[[#This Row],[nE]],ECF[[#This Row],[d (cm)]],ECF[[#This Row],[e (cm)]],ECF[[#This Row],[ap,eq (cm)]])</f>
        <v>45.425811570240704</v>
      </c>
      <c r="AN28" s="35">
        <f ca="1">IFERROR(ECF[[#This Row],[Nsd (kN)]]/(ECF[[#This Row],[Ap (cm²)]]*SIN(ECF[[#This Row],[α]])^2),"N.S.")</f>
        <v>0.88933011875433565</v>
      </c>
      <c r="AO28" s="35">
        <f ca="1">IFERROR(ECF[[#This Row],[Nsd (kN)]]/(ECF[[#This Row],[nE]]*PI()*ECF[[#This Row],[Ø (cm)]]^2/4*SIN(ECF[[#This Row],[α]])^2),"N.S.")</f>
        <v>0.15726809382250537</v>
      </c>
      <c r="AP28" s="4">
        <f ca="1">IFERROR(INDEX(grupoEstacas[],ECF[[#This Row],[nE]],MATCH("coef. Blévot",grupoEstacas[#Headers],0)),"N.S.")</f>
        <v>2.1</v>
      </c>
      <c r="AQ28" s="35">
        <f ca="1">IFERROR(ECF[[#This Row],[coef. Blévot]]*0.9*INDEX(tipoEstaca[],MATCH($D$2,tipoEstaca[TIPO DE ESTACA],0),MATCH("fcd (kN/cm²)",tipoEstaca[#Headers],0)),"N.S.")</f>
        <v>2.1</v>
      </c>
      <c r="AR28" s="1" t="str">
        <f ca="1">IF(AND(ECF[[#This Row],[cd,b,pil (kN/cm²)]]&lt;=ECF[[#This Row],[cd,b,lim (kN/cm²)]],ECF[[#This Row],[cd,b,est (kN/cm²)]]&lt;=ECF[[#This Row],[cd,b,lim (kN/cm²)]]),"OK","ERRO")</f>
        <v>OK</v>
      </c>
      <c r="AS28" s="4">
        <f ca="1">As_lado(ECF[[#This Row],[nE]],ECF[[#This Row],[Nsd (kN)]],ECF[[#This Row],[d (cm)]],ECF[[#This Row],[e (cm)]],ECF[[#This Row],[ap,eq (cm)]])</f>
        <v>9.9140353735255218</v>
      </c>
      <c r="AT28" s="4" t="str">
        <f ca="1">IF(ECF[[#This Row],[nE]]=1,ECF[[#This Row],[As,lado (cm²)]],IF(ECF[[#This Row],[nE]]=2,0.075*2*ECF[a (cm)],"N.A."))</f>
        <v>N.A.</v>
      </c>
      <c r="AU28" s="4">
        <f ca="1">IFERROR(IF(ECF[[#This Row],[nE]]=1,"N.A.",0.2*ECF[[#This Row],[As,lado (cm²)]]),"N.S.")</f>
        <v>1.9828070747051045</v>
      </c>
      <c r="AV28" s="4">
        <f ca="1">As_malha(ECF[[#This Row],[nE]],ECF[[#This Row],[As,lado (cm²)]],ECF[[#This Row],[Nsd (kN)]])</f>
        <v>1.9828070747051045</v>
      </c>
      <c r="AW28" s="4">
        <f ca="1">As_susp_tot(ECF[[#This Row],[nE]],ECF[[#This Row],[Nsd (kN)]])</f>
        <v>6.708333333333333</v>
      </c>
      <c r="AX28" s="4">
        <f ca="1">Asp_face(ECF[[#This Row],[nE]],ECF[[#This Row],[As,lado (cm²)]])</f>
        <v>4.9570176867627609</v>
      </c>
      <c r="AY28" s="5">
        <f ca="1">acoBloco(ECF[[#This Row],[nE]],ECF[[#This Row],[e (cm)]],ECF[[#This Row],[a (cm)]],ECF[[#This Row],[h (cm)]],ECF[[#This Row],[As,lado (cm²)]],ECF[[#This Row],[Asp e Asw (cm²/m)]],ECF[[#This Row],[As,sup (cm²)]],ECF[[#This Row],[As,malha (cm²)]],ECF[[#This Row],[As,susp,tot (cm²)]],ECF[[#This Row],[Asp,face (cm²)]])</f>
        <v>206.72560013553183</v>
      </c>
      <c r="AZ28" s="4">
        <f ca="1">concretoBloco(ECF[[#This Row],[nE]],ECF[[#This Row],[e (cm)]],ECF[[#This Row],[a (cm)]],ECF[[#This Row],[h (cm)]])</f>
        <v>12.311999999999999</v>
      </c>
      <c r="BA28" s="5">
        <f ca="1">SUM(ECF[[#This Row],[Aço Est (kg)]],ECF[[#This Row],[Aço Bloco (kg)]])</f>
        <v>242.23816349171085</v>
      </c>
      <c r="BB28" s="4">
        <f>INDEX(composicoes[],MATCH(95580,composicoes[CÓDIGO],0),MATCH("CUSTO TOTAL",composicoes[#Headers],0))</f>
        <v>10.46</v>
      </c>
      <c r="BC28" s="4">
        <f ca="1">SUM(ECF[[#This Row],[Conc Est (m³)]],ECF[[#This Row],[Conc Bloco (m³)]])</f>
        <v>22.49076019763093</v>
      </c>
      <c r="BD28" s="4">
        <f>INDEX(composicoes[],MATCH(94966,composicoes[CÓDIGO],0),MATCH("CUSTO TOTAL",composicoes[#Headers],0))</f>
        <v>439.52</v>
      </c>
      <c r="BE28" s="38">
        <f ca="1">ECF[[#This Row],[Aço (kg)]]*ECF[[#This Row],[Aço (R$/kg)]]+ECF[[#This Row],[Conc (m³)]]*ECF[[#This Row],[Conc (R$/m³)]]</f>
        <v>12418.950112186041</v>
      </c>
      <c r="BF28" s="4" t="str">
        <f ca="1">IF(COUNTIF(ECF[#This Row],"N.S.")&gt;0,"lim.","OK")</f>
        <v>OK</v>
      </c>
      <c r="BG28" s="4" t="str">
        <f>IF(ECF[[#This Row],[Prof. (m)]]&lt;4,"lim.","OK")</f>
        <v>OK</v>
      </c>
      <c r="BH28" s="4" t="str">
        <f>IF(ECF[[#This Row],[Prof. (m)]]&gt;=8*ECF[[#This Row],[Ø (cm)]]/100,"OK","lim.")</f>
        <v>OK</v>
      </c>
      <c r="BI28" s="4" t="str">
        <f>IF(AND(SPT!$F$3&lt;&gt;"",ECF[[#This Row],[Prof. (m)]]&gt;=SPT!$F$3-2),"lim.","OK")</f>
        <v>OK</v>
      </c>
      <c r="BJ28" s="4" t="str">
        <f ca="1">IF(ECF[[#This Row],[Verif. Biela]]="OK","OK","lim.")</f>
        <v>OK</v>
      </c>
      <c r="BK28" s="4" t="str">
        <f ca="1">IF(COUNTA(ECF[[#This Row],[Nº Est.]:[Biela comp.]])=COUNTIF(ECF[[#This Row],[Nº Est.]:[Biela comp.]],"OK"),"OK","lim.")</f>
        <v>OK</v>
      </c>
      <c r="BL28" s="4" t="str">
        <f ca="1">IF(ECF[[#This Row],[Controle]]="OK",ECF[[#This Row],[nE]]&amp;" Ø"&amp;ECF[[#This Row],[Ø (cm)]]&amp;"cm Prof. "&amp;ECF[[#This Row],[Prof. (m)]]&amp;" m","")</f>
        <v>4 Ø60cm Prof. 9 m</v>
      </c>
      <c r="BM28" s="4" t="str">
        <f ca="1">IF(ECF[[#This Row],[idDimensionamento]]="","",ECF[[#This Row],[idPilar]]&amp;ECF[[#This Row],[idDimensionamento]])</f>
        <v>24 Ø60cm Prof. 9 m</v>
      </c>
    </row>
    <row r="29" spans="2:65" x14ac:dyDescent="0.25">
      <c r="B29" s="12">
        <f>ROUNDUP((ROW(ECF[[#This Row],[idDiâmetro]])-ROW(ECF[[#Headers],[idDiâmetro]]))/(COUNT(SPT[Prof. (m)])*COUNT(PILARES[Pilar])),0)</f>
        <v>1</v>
      </c>
      <c r="C29" s="12">
        <f>IF(ECF[[#This Row],[idDiâmetro]]&lt;&gt;B28,1,IF(ECF[[#This Row],[Prof. (m)]]=0,C28+1,C28))</f>
        <v>2</v>
      </c>
      <c r="D29" s="1">
        <f>IFERROR(IF(D28=MAX(SPT[Prof. (m)]),0,D28+1),0)</f>
        <v>10</v>
      </c>
      <c r="E29" s="1">
        <f>INDEX(SPT[],MATCH(ECF[[#This Row],[Prof. (m)]],SPT[Prof. (m)],0),2)</f>
        <v>32</v>
      </c>
      <c r="F29" s="1" t="str">
        <f>INDEX(SPT[],MATCH(ECF[[#This Row],[Prof. (m)]],SPT[Prof. (m)],0),3)</f>
        <v>Areia siltosa</v>
      </c>
      <c r="G29" s="1">
        <f>INDEX(estacas[],ECF[[#This Row],[idDiâmetro]],MATCH($B$2,estacas[#Headers],0))</f>
        <v>60</v>
      </c>
      <c r="H29" s="1">
        <f>INDEX(estacas[],MATCH(ECF[[#This Row],[Ø (cm)]],estacas[Ø ECF (cm)],0),MATCH(ECF[[#Headers],[Pe ECF (kN)]],estacas[#Headers],0))</f>
        <v>1100</v>
      </c>
      <c r="I29" s="4">
        <f>INDEX(K_alpha_C[],MATCH(ECF[[#This Row],[Solo]],K_alpha_C[Solo],0),2)</f>
        <v>0.8</v>
      </c>
      <c r="J29" s="5">
        <f>INDEX(K_alpha_C[],MATCH(ECF[[#This Row],[Solo]],K_alpha_C[Solo],0),3)</f>
        <v>2</v>
      </c>
      <c r="K29" s="4">
        <f>INDEX(F1_F2[],MATCH($D$2,F1_F2[Tipo de estaca],0),2)</f>
        <v>3</v>
      </c>
      <c r="L29" s="4">
        <f>INDEX(F1_F2[],MATCH($D$2,F1_F2[Tipo de estaca],0),3)</f>
        <v>6</v>
      </c>
      <c r="M29" s="4">
        <f>PI()*(ECF[[#This Row],[Ø (cm)]]/100)^2/4</f>
        <v>0.28274333882308139</v>
      </c>
      <c r="N29" s="4">
        <f>PI()*ECF[[#This Row],[Ø (cm)]]/100</f>
        <v>1.8849555921538756</v>
      </c>
      <c r="O29" s="4">
        <f>IF(ECF[[#This Row],[Prof. (m)]]=0,0,ECF[[#This Row],[α (%)]]/100*ECF[[#This Row],[K (MPa)]]*1000*ECF[[#This Row],[NSPT]])</f>
        <v>512</v>
      </c>
      <c r="P29" s="4">
        <f>IF(ECF[[#This Row],[Prof. (m)]]=0,0,(ECF[[#This Row],[K (MPa)]]*1000*ECF[[#This Row],[NSPT]]/ECF[[#This Row],[F1]]*ECF[[#This Row],[Ap (m²)]]+ECF[[#This Row],[U (m)]]/ECF[[#This Row],[F2]]*SUMIFS(ECF[(α∙K∙NL∙ΔL)],ECF[Prof. (m)],"&lt;="&amp;ECF[[#This Row],[Prof. (m)]],ECF[idDiâmetro],ECF[[#This Row],[idDiâmetro]],ECF[idPilar],ECF[[#This Row],[idPilar]]))/'DADOS CAP. CARGA'!$D$2)</f>
        <v>1509.2054028212688</v>
      </c>
      <c r="Q29" s="12">
        <f>INDEX(C_alpha_beta[],MATCH(ECF[[#This Row],[Solo]],C_alpha_beta[Solo],0),MATCH(ECF[[#Headers],[C (kPa)]],C_alpha_beta[#Headers],0))</f>
        <v>400</v>
      </c>
      <c r="R29" s="4">
        <f>INDEX(C_alpha_beta[],MATCH(ECF[[#This Row],[Solo]],C_alpha_beta[Solo],0),MATCH(ECF[[#Headers],[α ESF]],C_alpha_beta[#Headers],0))</f>
        <v>0.5</v>
      </c>
      <c r="S29" s="4">
        <f>INDEX(C_alpha_beta[],MATCH(ECF[[#This Row],[Solo]],C_alpha_beta[Solo],0),MATCH(ECF[[#Headers],[β ESF]],C_alpha_beta[#Headers],0))</f>
        <v>0.5</v>
      </c>
      <c r="T29" s="4">
        <f>IF(ECF[[#This Row],[Prof. (m)]]=0,0,10*(ECF[[#This Row],[NSPT]]/3+1))</f>
        <v>116.66666666666666</v>
      </c>
      <c r="U29" s="4">
        <f>(ECF[[#This Row],[α ESF]]*ECF[[#This Row],[C (kPa)]]*ECF[[#This Row],[NSPT]]*ECF[[#This Row],[Ap (m²)]])/'DADOS CAP. CARGA'!$Q$2+(ECF[[#This Row],[β ESF]]*SUMIFS(ECF[10∙(NL/3+1)],ECF[Prof. (m)],"&lt;="&amp;ECF[[#This Row],[Prof. (m)]],ECF[idDiâmetro],ECF[[#This Row],[idDiâmetro]],ECF[idPilar],ECF[[#This Row],[idPilar]])*ECF[[#This Row],[U (m)]])/'DADOS CAP. CARGA'!$S$2</f>
        <v>703.71675440411354</v>
      </c>
      <c r="V29" s="4">
        <f>IF(SPT!$M$5=1,MIN(ECF[[#This Row],[Pe ECF (kN)]],ECF[[#This Row],[R_AV (kN)]]),IF(SPT!$M$5=2,MIN(ECF[[#This Row],[Pe ECF (kN)]],ECF[[#This Row],[R_DC (kN)]]),MIN(ECF[[#This Row],[Pe ECF (kN)]],ECF[[#This Row],[R_AV (kN)]],ECF[[#This Row],[R_DC (kN)]])))</f>
        <v>703.71675440411354</v>
      </c>
      <c r="W29" s="4">
        <f>INDEX(PILARES[],ECF[[#This Row],[idPilar]],MATCH("Carga (kN)",PILARES[#Headers],0))*1.4</f>
        <v>1750</v>
      </c>
      <c r="X29" s="12">
        <f>INDEX(PILARES[],ECF[[#This Row],[idPilar]],MATCH(ECF[[#Headers],[ap (cm)]],PILARES[#Headers],0))</f>
        <v>50</v>
      </c>
      <c r="Y29" s="12">
        <f>INDEX(PILARES[],ECF[[#This Row],[idPilar]],MATCH(ECF[[#Headers],[bp (cm)]],PILARES[#Headers],0))</f>
        <v>40</v>
      </c>
      <c r="Z29" s="4">
        <f>SQRT(ECF[[#This Row],[ap (cm)]]*ECF[[#This Row],[bp (cm)]])</f>
        <v>44.721359549995796</v>
      </c>
      <c r="AA29" s="12">
        <f>ECF[[#This Row],[ap (cm)]]*ECF[[#This Row],[bp (cm)]]</f>
        <v>2000</v>
      </c>
      <c r="AB29" s="12">
        <f ca="1">IF(ECF[[#This Row],[Padm∙ε (kN)]]&gt;=ECF[[#This Row],[Padm (kN)]],ROUNDUP(1.05*ECF[[#This Row],[Nsd (kN)]]/ECF[[#This Row],[Padm (kN)]],0),ROUNDUP(1.05*ECF[[#This Row],[Nsd (kN)]]/ECF[[#This Row],[Padm (kN)]],0)+1)</f>
        <v>3</v>
      </c>
      <c r="AC29" s="4">
        <f ca="1">IFERROR(IF(ECF[[#This Row],[nE]]=1,ECF[[#This Row],[Padm (kN)]],ECF[[#This Row],[Padm (kN)]]*ECF[[#This Row],[nE]]*INDEX(grupoEstacas[],ECF[[#This Row],[nE]],MATCH("ε",grupoEstacas[#Headers],0))),"N.S.")</f>
        <v>1847.256480310798</v>
      </c>
      <c r="AD29" s="4">
        <f ca="1">1.05*ECF[[#This Row],[Nsd (kN)]]/(ECF[[#This Row],[nE]]*PI()*ECF[[#This Row],[Ø (cm)]]^2/4)*10</f>
        <v>2.1662756143063531</v>
      </c>
      <c r="AE29" s="4">
        <f ca="1">IF(ECF[[#This Row],[σ (MPa)]]&lt;INDEX(tipoEstaca[],MATCH($D$2,tipoEstaca[TIPO DE ESTACA],0),MATCH("σmáx (MPa)",tipoEstaca[#Headers],0)),0.4%*PI()*ECF[[#This Row],[Ø (cm)]]^2/4,"N.S.")</f>
        <v>11.309733552923255</v>
      </c>
      <c r="AF29" s="1">
        <f>INDEX(tipoEstaca[],MATCH($D$2,tipoEstaca[TIPO DE ESTACA],0),MATCH(ECF[[#Headers],[Comprimento (m)]],tipoEstaca[#Headers],0))</f>
        <v>4</v>
      </c>
      <c r="AG29" s="5">
        <f ca="1">ECF[[#This Row],[As,mín (cm²)]]/100^2*ECF[[#This Row],[Comprimento (m)]]*7850</f>
        <v>35.512563356179022</v>
      </c>
      <c r="AH29" s="4">
        <f ca="1">ECF[[#This Row],[nE]]*ECF[[#This Row],[Prof. (m)]]*ECF[[#This Row],[Ap (m²)]]</f>
        <v>8.4823001646924414</v>
      </c>
      <c r="AI29" s="1">
        <f ca="1">IF(ECF[[#This Row],[nE]]=1,0,MAX(3*ECF[[#This Row],[Ø (cm)]],60))</f>
        <v>180</v>
      </c>
      <c r="AJ29" s="1">
        <f ca="1">IF(ECF[[#This Row],[nE]]=1,ECF[[#This Row],[Ø (cm)]]+2*10,MAX(1.5*ECF[[#This Row],[Ø (cm)]],ECF[[#This Row],[Ø (cm)]]+15))</f>
        <v>90</v>
      </c>
      <c r="AK29" s="1">
        <f ca="1">alturaUtil(ECF[[#This Row],[nE]],ECF[[#This Row],[Ø (cm)]],ECF[[#This Row],[e (cm)]],ECF[[#This Row],[ap,eq (cm)]])</f>
        <v>80</v>
      </c>
      <c r="AL29" s="1">
        <f ca="1">IFERROR(ECF[[#This Row],[d (cm)]]+arredondarParaCimaMultiplo5cm(MAX(5,SQRT(PI())/2*ECF[[#This Row],[Ø (cm)]]/5)),"N.S.")</f>
        <v>95</v>
      </c>
      <c r="AM29" s="5">
        <f ca="1">alpha(ECF[[#This Row],[nE]],ECF[[#This Row],[d (cm)]],ECF[[#This Row],[e (cm)]],ECF[[#This Row],[ap,eq (cm)]])</f>
        <v>46.249905541031318</v>
      </c>
      <c r="AN29" s="35">
        <f ca="1">IFERROR(ECF[[#This Row],[Nsd (kN)]]/(ECF[[#This Row],[Ap (cm²)]]*SIN(ECF[[#This Row],[α]])^2),"N.S.")</f>
        <v>1.4877830731291637</v>
      </c>
      <c r="AO29" s="35">
        <f ca="1">IFERROR(ECF[[#This Row],[Nsd (kN)]]/(ECF[[#This Row],[nE]]*PI()*ECF[[#This Row],[Ø (cm)]]^2/4*SIN(ECF[[#This Row],[α]])^2),"N.S.")</f>
        <v>0.35079708198067733</v>
      </c>
      <c r="AP29" s="4">
        <f ca="1">IFERROR(INDEX(grupoEstacas[],ECF[[#This Row],[nE]],MATCH("coef. Blévot",grupoEstacas[#Headers],0)),"N.S.")</f>
        <v>1.75</v>
      </c>
      <c r="AQ29" s="35">
        <f ca="1">IFERROR(ECF[[#This Row],[coef. Blévot]]*0.9*INDEX(tipoEstaca[],MATCH($D$2,tipoEstaca[TIPO DE ESTACA],0),MATCH("fcd (kN/cm²)",tipoEstaca[#Headers],0)),"N.S.")</f>
        <v>1.75</v>
      </c>
      <c r="AR29" s="1" t="str">
        <f ca="1">IF(AND(ECF[[#This Row],[cd,b,pil (kN/cm²)]]&lt;=ECF[[#This Row],[cd,b,lim (kN/cm²)]],ECF[[#This Row],[cd,b,est (kN/cm²)]]&lt;=ECF[[#This Row],[cd,b,lim (kN/cm²)]]),"OK","ERRO")</f>
        <v>OK</v>
      </c>
      <c r="AS29" s="4">
        <f ca="1">As_lado(ECF[[#This Row],[nE]],ECF[[#This Row],[Nsd (kN)]],ECF[[#This Row],[d (cm)]],ECF[[#This Row],[e (cm)]],ECF[[#This Row],[ap,eq (cm)]])</f>
        <v>8.7634368359595936</v>
      </c>
      <c r="AT29" s="4" t="str">
        <f ca="1">IF(ECF[[#This Row],[nE]]=1,ECF[[#This Row],[As,lado (cm²)]],IF(ECF[[#This Row],[nE]]=2,0.075*2*ECF[a (cm)],"N.A."))</f>
        <v>N.A.</v>
      </c>
      <c r="AU29" s="4">
        <f ca="1">IFERROR(IF(ECF[[#This Row],[nE]]=1,"N.A.",0.2*ECF[[#This Row],[As,lado (cm²)]]),"N.S.")</f>
        <v>1.7526873671919188</v>
      </c>
      <c r="AV29" s="4">
        <f ca="1">As_malha(ECF[[#This Row],[nE]],ECF[[#This Row],[As,lado (cm²)]],ECF[[#This Row],[Nsd (kN)]])</f>
        <v>2.981481481481481</v>
      </c>
      <c r="AW29" s="4">
        <f ca="1">As_susp_tot(ECF[[#This Row],[nE]],ECF[[#This Row],[Nsd (kN)]])</f>
        <v>8.9444444444444429</v>
      </c>
      <c r="AX29" s="4">
        <f ca="1">Asp_face(ECF[[#This Row],[nE]],ECF[[#This Row],[As,lado (cm²)]])</f>
        <v>3.2862888134848474</v>
      </c>
      <c r="AY29" s="5">
        <f ca="1">acoBloco(ECF[[#This Row],[nE]],ECF[[#This Row],[e (cm)]],ECF[[#This Row],[a (cm)]],ECF[[#This Row],[h (cm)]],ECF[[#This Row],[As,lado (cm²)]],ECF[[#This Row],[Asp e Asw (cm²/m)]],ECF[[#This Row],[As,sup (cm²)]],ECF[[#This Row],[As,malha (cm²)]],ECF[[#This Row],[As,susp,tot (cm²)]],ECF[[#This Row],[Asp,face (cm²)]])</f>
        <v>156.35539524034374</v>
      </c>
      <c r="AZ29" s="4">
        <f ca="1">concretoBloco(ECF[[#This Row],[nE]],ECF[[#This Row],[e (cm)]],ECF[[#This Row],[a (cm)]],ECF[[#This Row],[h (cm)]])</f>
        <v>8.6154392892727536</v>
      </c>
      <c r="BA29" s="5">
        <f ca="1">SUM(ECF[[#This Row],[Aço Est (kg)]],ECF[[#This Row],[Aço Bloco (kg)]])</f>
        <v>191.86795859652275</v>
      </c>
      <c r="BB29" s="4">
        <f>INDEX(composicoes[],MATCH(95580,composicoes[CÓDIGO],0),MATCH("CUSTO TOTAL",composicoes[#Headers],0))</f>
        <v>10.46</v>
      </c>
      <c r="BC29" s="4">
        <f ca="1">SUM(ECF[[#This Row],[Conc Est (m³)]],ECF[[#This Row],[Conc Bloco (m³)]])</f>
        <v>17.097739453965197</v>
      </c>
      <c r="BD29" s="4">
        <f>INDEX(composicoes[],MATCH(94966,composicoes[CÓDIGO],0),MATCH("CUSTO TOTAL",composicoes[#Headers],0))</f>
        <v>439.52</v>
      </c>
      <c r="BE29" s="38">
        <f ca="1">ECF[[#This Row],[Aço (kg)]]*ECF[[#This Row],[Aço (R$/kg)]]+ECF[[#This Row],[Conc (m³)]]*ECF[[#This Row],[Conc (R$/m³)]]</f>
        <v>9521.7372917264111</v>
      </c>
      <c r="BF29" s="4" t="str">
        <f ca="1">IF(COUNTIF(ECF[#This Row],"N.S.")&gt;0,"lim.","OK")</f>
        <v>OK</v>
      </c>
      <c r="BG29" s="4" t="str">
        <f>IF(ECF[[#This Row],[Prof. (m)]]&lt;4,"lim.","OK")</f>
        <v>OK</v>
      </c>
      <c r="BH29" s="4" t="str">
        <f>IF(ECF[[#This Row],[Prof. (m)]]&gt;=8*ECF[[#This Row],[Ø (cm)]]/100,"OK","lim.")</f>
        <v>OK</v>
      </c>
      <c r="BI29" s="4" t="str">
        <f>IF(AND(SPT!$F$3&lt;&gt;"",ECF[[#This Row],[Prof. (m)]]&gt;=SPT!$F$3-2),"lim.","OK")</f>
        <v>OK</v>
      </c>
      <c r="BJ29" s="4" t="str">
        <f ca="1">IF(ECF[[#This Row],[Verif. Biela]]="OK","OK","lim.")</f>
        <v>OK</v>
      </c>
      <c r="BK29" s="4" t="str">
        <f ca="1">IF(COUNTA(ECF[[#This Row],[Nº Est.]:[Biela comp.]])=COUNTIF(ECF[[#This Row],[Nº Est.]:[Biela comp.]],"OK"),"OK","lim.")</f>
        <v>OK</v>
      </c>
      <c r="BL29" s="4" t="str">
        <f ca="1">IF(ECF[[#This Row],[Controle]]="OK",ECF[[#This Row],[nE]]&amp;" Ø"&amp;ECF[[#This Row],[Ø (cm)]]&amp;"cm Prof. "&amp;ECF[[#This Row],[Prof. (m)]]&amp;" m","")</f>
        <v>3 Ø60cm Prof. 10 m</v>
      </c>
      <c r="BM29" s="4" t="str">
        <f ca="1">IF(ECF[[#This Row],[idDimensionamento]]="","",ECF[[#This Row],[idPilar]]&amp;ECF[[#This Row],[idDimensionamento]])</f>
        <v>23 Ø60cm Prof. 10 m</v>
      </c>
    </row>
    <row r="30" spans="2:65" x14ac:dyDescent="0.25">
      <c r="B30" s="12">
        <f>ROUNDUP((ROW(ECF[[#This Row],[idDiâmetro]])-ROW(ECF[[#Headers],[idDiâmetro]]))/(COUNT(SPT[Prof. (m)])*COUNT(PILARES[Pilar])),0)</f>
        <v>1</v>
      </c>
      <c r="C30" s="12">
        <f>IF(ECF[[#This Row],[idDiâmetro]]&lt;&gt;B29,1,IF(ECF[[#This Row],[Prof. (m)]]=0,C29+1,C29))</f>
        <v>2</v>
      </c>
      <c r="D30" s="1">
        <f>IFERROR(IF(D29=MAX(SPT[Prof. (m)]),0,D29+1),0)</f>
        <v>11</v>
      </c>
      <c r="E30" s="1">
        <f>INDEX(SPT[],MATCH(ECF[[#This Row],[Prof. (m)]],SPT[Prof. (m)],0),2)</f>
        <v>41</v>
      </c>
      <c r="F30" s="1" t="str">
        <f>INDEX(SPT[],MATCH(ECF[[#This Row],[Prof. (m)]],SPT[Prof. (m)],0),3)</f>
        <v>Areia siltosa</v>
      </c>
      <c r="G30" s="1">
        <f>INDEX(estacas[],ECF[[#This Row],[idDiâmetro]],MATCH($B$2,estacas[#Headers],0))</f>
        <v>60</v>
      </c>
      <c r="H30" s="1">
        <f>INDEX(estacas[],MATCH(ECF[[#This Row],[Ø (cm)]],estacas[Ø ECF (cm)],0),MATCH(ECF[[#Headers],[Pe ECF (kN)]],estacas[#Headers],0))</f>
        <v>1100</v>
      </c>
      <c r="I30" s="4">
        <f>INDEX(K_alpha_C[],MATCH(ECF[[#This Row],[Solo]],K_alpha_C[Solo],0),2)</f>
        <v>0.8</v>
      </c>
      <c r="J30" s="5">
        <f>INDEX(K_alpha_C[],MATCH(ECF[[#This Row],[Solo]],K_alpha_C[Solo],0),3)</f>
        <v>2</v>
      </c>
      <c r="K30" s="4">
        <f>INDEX(F1_F2[],MATCH($D$2,F1_F2[Tipo de estaca],0),2)</f>
        <v>3</v>
      </c>
      <c r="L30" s="4">
        <f>INDEX(F1_F2[],MATCH($D$2,F1_F2[Tipo de estaca],0),3)</f>
        <v>6</v>
      </c>
      <c r="M30" s="4">
        <f>PI()*(ECF[[#This Row],[Ø (cm)]]/100)^2/4</f>
        <v>0.28274333882308139</v>
      </c>
      <c r="N30" s="4">
        <f>PI()*ECF[[#This Row],[Ø (cm)]]/100</f>
        <v>1.8849555921538756</v>
      </c>
      <c r="O30" s="4">
        <f>IF(ECF[[#This Row],[Prof. (m)]]=0,0,ECF[[#This Row],[α (%)]]/100*ECF[[#This Row],[K (MPa)]]*1000*ECF[[#This Row],[NSPT]])</f>
        <v>656</v>
      </c>
      <c r="P30" s="4">
        <f>IF(ECF[[#This Row],[Prof. (m)]]=0,0,(ECF[[#This Row],[K (MPa)]]*1000*ECF[[#This Row],[NSPT]]/ECF[[#This Row],[F1]]*ECF[[#This Row],[Ap (m²)]]+ECF[[#This Row],[U (m)]]/ECF[[#This Row],[F2]]*SUMIFS(ECF[(α∙K∙NL∙ΔL)],ECF[Prof. (m)],"&lt;="&amp;ECF[[#This Row],[Prof. (m)]],ECF[idDiâmetro],ECF[[#This Row],[idDiâmetro]],ECF[idPilar],ECF[[#This Row],[idPilar]]))/'DADOS CAP. CARGA'!$D$2)</f>
        <v>1951.5416484467116</v>
      </c>
      <c r="Q30" s="12">
        <f>INDEX(C_alpha_beta[],MATCH(ECF[[#This Row],[Solo]],C_alpha_beta[Solo],0),MATCH(ECF[[#Headers],[C (kPa)]],C_alpha_beta[#Headers],0))</f>
        <v>400</v>
      </c>
      <c r="R30" s="4">
        <f>INDEX(C_alpha_beta[],MATCH(ECF[[#This Row],[Solo]],C_alpha_beta[Solo],0),MATCH(ECF[[#Headers],[α ESF]],C_alpha_beta[#Headers],0))</f>
        <v>0.5</v>
      </c>
      <c r="S30" s="4">
        <f>INDEX(C_alpha_beta[],MATCH(ECF[[#This Row],[Solo]],C_alpha_beta[Solo],0),MATCH(ECF[[#Headers],[β ESF]],C_alpha_beta[#Headers],0))</f>
        <v>0.5</v>
      </c>
      <c r="T30" s="4">
        <f>IF(ECF[[#This Row],[Prof. (m)]]=0,0,10*(ECF[[#This Row],[NSPT]]/3+1))</f>
        <v>146.66666666666666</v>
      </c>
      <c r="U30" s="4">
        <f>(ECF[[#This Row],[α ESF]]*ECF[[#This Row],[C (kPa)]]*ECF[[#This Row],[NSPT]]*ECF[[#This Row],[Ap (m²)]])/'DADOS CAP. CARGA'!$Q$2+(ECF[[#This Row],[β ESF]]*SUMIFS(ECF[10∙(NL/3+1)],ECF[Prof. (m)],"&lt;="&amp;ECF[[#This Row],[Prof. (m)]],ECF[idDiâmetro],ECF[[#This Row],[idDiâmetro]],ECF[idPilar],ECF[[#This Row],[idPilar]])*ECF[[#This Row],[U (m)]])/'DADOS CAP. CARGA'!$S$2</f>
        <v>900.06629525347569</v>
      </c>
      <c r="V30" s="4">
        <f>IF(SPT!$M$5=1,MIN(ECF[[#This Row],[Pe ECF (kN)]],ECF[[#This Row],[R_AV (kN)]]),IF(SPT!$M$5=2,MIN(ECF[[#This Row],[Pe ECF (kN)]],ECF[[#This Row],[R_DC (kN)]]),MIN(ECF[[#This Row],[Pe ECF (kN)]],ECF[[#This Row],[R_AV (kN)]],ECF[[#This Row],[R_DC (kN)]])))</f>
        <v>900.06629525347569</v>
      </c>
      <c r="W30" s="4">
        <f>INDEX(PILARES[],ECF[[#This Row],[idPilar]],MATCH("Carga (kN)",PILARES[#Headers],0))*1.4</f>
        <v>1750</v>
      </c>
      <c r="X30" s="12">
        <f>INDEX(PILARES[],ECF[[#This Row],[idPilar]],MATCH(ECF[[#Headers],[ap (cm)]],PILARES[#Headers],0))</f>
        <v>50</v>
      </c>
      <c r="Y30" s="12">
        <f>INDEX(PILARES[],ECF[[#This Row],[idPilar]],MATCH(ECF[[#Headers],[bp (cm)]],PILARES[#Headers],0))</f>
        <v>40</v>
      </c>
      <c r="Z30" s="4">
        <f>SQRT(ECF[[#This Row],[ap (cm)]]*ECF[[#This Row],[bp (cm)]])</f>
        <v>44.721359549995796</v>
      </c>
      <c r="AA30" s="12">
        <f>ECF[[#This Row],[ap (cm)]]*ECF[[#This Row],[bp (cm)]]</f>
        <v>2000</v>
      </c>
      <c r="AB30" s="12">
        <f ca="1">IF(ECF[[#This Row],[Padm∙ε (kN)]]&gt;=ECF[[#This Row],[Padm (kN)]],ROUNDUP(1.05*ECF[[#This Row],[Nsd (kN)]]/ECF[[#This Row],[Padm (kN)]],0),ROUNDUP(1.05*ECF[[#This Row],[Nsd (kN)]]/ECF[[#This Row],[Padm (kN)]],0)+1)</f>
        <v>3</v>
      </c>
      <c r="AC30" s="4">
        <f ca="1">IFERROR(IF(ECF[[#This Row],[nE]]=1,ECF[[#This Row],[Padm (kN)]],ECF[[#This Row],[Padm (kN)]]*ECF[[#This Row],[nE]]*INDEX(grupoEstacas[],ECF[[#This Row],[nE]],MATCH("ε",grupoEstacas[#Headers],0))),"N.S.")</f>
        <v>2362.6740250403736</v>
      </c>
      <c r="AD30" s="4">
        <f ca="1">1.05*ECF[[#This Row],[Nsd (kN)]]/(ECF[[#This Row],[nE]]*PI()*ECF[[#This Row],[Ø (cm)]]^2/4)*10</f>
        <v>2.1662756143063531</v>
      </c>
      <c r="AE30" s="4">
        <f ca="1">IF(ECF[[#This Row],[σ (MPa)]]&lt;INDEX(tipoEstaca[],MATCH($D$2,tipoEstaca[TIPO DE ESTACA],0),MATCH("σmáx (MPa)",tipoEstaca[#Headers],0)),0.4%*PI()*ECF[[#This Row],[Ø (cm)]]^2/4,"N.S.")</f>
        <v>11.309733552923255</v>
      </c>
      <c r="AF30" s="1">
        <f>INDEX(tipoEstaca[],MATCH($D$2,tipoEstaca[TIPO DE ESTACA],0),MATCH(ECF[[#Headers],[Comprimento (m)]],tipoEstaca[#Headers],0))</f>
        <v>4</v>
      </c>
      <c r="AG30" s="5">
        <f ca="1">ECF[[#This Row],[As,mín (cm²)]]/100^2*ECF[[#This Row],[Comprimento (m)]]*7850</f>
        <v>35.512563356179022</v>
      </c>
      <c r="AH30" s="4">
        <f ca="1">ECF[[#This Row],[nE]]*ECF[[#This Row],[Prof. (m)]]*ECF[[#This Row],[Ap (m²)]]</f>
        <v>9.3305301811616861</v>
      </c>
      <c r="AI30" s="1">
        <f ca="1">IF(ECF[[#This Row],[nE]]=1,0,MAX(3*ECF[[#This Row],[Ø (cm)]],60))</f>
        <v>180</v>
      </c>
      <c r="AJ30" s="1">
        <f ca="1">IF(ECF[[#This Row],[nE]]=1,ECF[[#This Row],[Ø (cm)]]+2*10,MAX(1.5*ECF[[#This Row],[Ø (cm)]],ECF[[#This Row],[Ø (cm)]]+15))</f>
        <v>90</v>
      </c>
      <c r="AK30" s="1">
        <f ca="1">alturaUtil(ECF[[#This Row],[nE]],ECF[[#This Row],[Ø (cm)]],ECF[[#This Row],[e (cm)]],ECF[[#This Row],[ap,eq (cm)]])</f>
        <v>80</v>
      </c>
      <c r="AL30" s="1">
        <f ca="1">IFERROR(ECF[[#This Row],[d (cm)]]+arredondarParaCimaMultiplo5cm(MAX(5,SQRT(PI())/2*ECF[[#This Row],[Ø (cm)]]/5)),"N.S.")</f>
        <v>95</v>
      </c>
      <c r="AM30" s="5">
        <f ca="1">alpha(ECF[[#This Row],[nE]],ECF[[#This Row],[d (cm)]],ECF[[#This Row],[e (cm)]],ECF[[#This Row],[ap,eq (cm)]])</f>
        <v>46.249905541031318</v>
      </c>
      <c r="AN30" s="35">
        <f ca="1">IFERROR(ECF[[#This Row],[Nsd (kN)]]/(ECF[[#This Row],[Ap (cm²)]]*SIN(ECF[[#This Row],[α]])^2),"N.S.")</f>
        <v>1.4877830731291637</v>
      </c>
      <c r="AO30" s="35">
        <f ca="1">IFERROR(ECF[[#This Row],[Nsd (kN)]]/(ECF[[#This Row],[nE]]*PI()*ECF[[#This Row],[Ø (cm)]]^2/4*SIN(ECF[[#This Row],[α]])^2),"N.S.")</f>
        <v>0.35079708198067733</v>
      </c>
      <c r="AP30" s="4">
        <f ca="1">IFERROR(INDEX(grupoEstacas[],ECF[[#This Row],[nE]],MATCH("coef. Blévot",grupoEstacas[#Headers],0)),"N.S.")</f>
        <v>1.75</v>
      </c>
      <c r="AQ30" s="35">
        <f ca="1">IFERROR(ECF[[#This Row],[coef. Blévot]]*0.9*INDEX(tipoEstaca[],MATCH($D$2,tipoEstaca[TIPO DE ESTACA],0),MATCH("fcd (kN/cm²)",tipoEstaca[#Headers],0)),"N.S.")</f>
        <v>1.75</v>
      </c>
      <c r="AR30" s="1" t="str">
        <f ca="1">IF(AND(ECF[[#This Row],[cd,b,pil (kN/cm²)]]&lt;=ECF[[#This Row],[cd,b,lim (kN/cm²)]],ECF[[#This Row],[cd,b,est (kN/cm²)]]&lt;=ECF[[#This Row],[cd,b,lim (kN/cm²)]]),"OK","ERRO")</f>
        <v>OK</v>
      </c>
      <c r="AS30" s="4">
        <f ca="1">As_lado(ECF[[#This Row],[nE]],ECF[[#This Row],[Nsd (kN)]],ECF[[#This Row],[d (cm)]],ECF[[#This Row],[e (cm)]],ECF[[#This Row],[ap,eq (cm)]])</f>
        <v>8.7634368359595936</v>
      </c>
      <c r="AT30" s="4" t="str">
        <f ca="1">IF(ECF[[#This Row],[nE]]=1,ECF[[#This Row],[As,lado (cm²)]],IF(ECF[[#This Row],[nE]]=2,0.075*2*ECF[a (cm)],"N.A."))</f>
        <v>N.A.</v>
      </c>
      <c r="AU30" s="4">
        <f ca="1">IFERROR(IF(ECF[[#This Row],[nE]]=1,"N.A.",0.2*ECF[[#This Row],[As,lado (cm²)]]),"N.S.")</f>
        <v>1.7526873671919188</v>
      </c>
      <c r="AV30" s="4">
        <f ca="1">As_malha(ECF[[#This Row],[nE]],ECF[[#This Row],[As,lado (cm²)]],ECF[[#This Row],[Nsd (kN)]])</f>
        <v>2.981481481481481</v>
      </c>
      <c r="AW30" s="4">
        <f ca="1">As_susp_tot(ECF[[#This Row],[nE]],ECF[[#This Row],[Nsd (kN)]])</f>
        <v>8.9444444444444429</v>
      </c>
      <c r="AX30" s="4">
        <f ca="1">Asp_face(ECF[[#This Row],[nE]],ECF[[#This Row],[As,lado (cm²)]])</f>
        <v>3.2862888134848474</v>
      </c>
      <c r="AY30" s="5">
        <f ca="1">acoBloco(ECF[[#This Row],[nE]],ECF[[#This Row],[e (cm)]],ECF[[#This Row],[a (cm)]],ECF[[#This Row],[h (cm)]],ECF[[#This Row],[As,lado (cm²)]],ECF[[#This Row],[Asp e Asw (cm²/m)]],ECF[[#This Row],[As,sup (cm²)]],ECF[[#This Row],[As,malha (cm²)]],ECF[[#This Row],[As,susp,tot (cm²)]],ECF[[#This Row],[Asp,face (cm²)]])</f>
        <v>156.35539524034374</v>
      </c>
      <c r="AZ30" s="4">
        <f ca="1">concretoBloco(ECF[[#This Row],[nE]],ECF[[#This Row],[e (cm)]],ECF[[#This Row],[a (cm)]],ECF[[#This Row],[h (cm)]])</f>
        <v>8.6154392892727536</v>
      </c>
      <c r="BA30" s="5">
        <f ca="1">SUM(ECF[[#This Row],[Aço Est (kg)]],ECF[[#This Row],[Aço Bloco (kg)]])</f>
        <v>191.86795859652275</v>
      </c>
      <c r="BB30" s="4">
        <f>INDEX(composicoes[],MATCH(95580,composicoes[CÓDIGO],0),MATCH("CUSTO TOTAL",composicoes[#Headers],0))</f>
        <v>10.46</v>
      </c>
      <c r="BC30" s="4">
        <f ca="1">SUM(ECF[[#This Row],[Conc Est (m³)]],ECF[[#This Row],[Conc Bloco (m³)]])</f>
        <v>17.945969470434441</v>
      </c>
      <c r="BD30" s="4">
        <f>INDEX(composicoes[],MATCH(94966,composicoes[CÓDIGO],0),MATCH("CUSTO TOTAL",composicoes[#Headers],0))</f>
        <v>439.52</v>
      </c>
      <c r="BE30" s="38">
        <f ca="1">ECF[[#This Row],[Aço (kg)]]*ECF[[#This Row],[Aço (R$/kg)]]+ECF[[#This Row],[Conc (m³)]]*ECF[[#This Row],[Conc (R$/m³)]]</f>
        <v>9894.5513485649735</v>
      </c>
      <c r="BF30" s="4" t="str">
        <f ca="1">IF(COUNTIF(ECF[#This Row],"N.S.")&gt;0,"lim.","OK")</f>
        <v>OK</v>
      </c>
      <c r="BG30" s="4" t="str">
        <f>IF(ECF[[#This Row],[Prof. (m)]]&lt;4,"lim.","OK")</f>
        <v>OK</v>
      </c>
      <c r="BH30" s="4" t="str">
        <f>IF(ECF[[#This Row],[Prof. (m)]]&gt;=8*ECF[[#This Row],[Ø (cm)]]/100,"OK","lim.")</f>
        <v>OK</v>
      </c>
      <c r="BI30" s="4" t="str">
        <f>IF(AND(SPT!$F$3&lt;&gt;"",ECF[[#This Row],[Prof. (m)]]&gt;=SPT!$F$3-2),"lim.","OK")</f>
        <v>OK</v>
      </c>
      <c r="BJ30" s="4" t="str">
        <f ca="1">IF(ECF[[#This Row],[Verif. Biela]]="OK","OK","lim.")</f>
        <v>OK</v>
      </c>
      <c r="BK30" s="4" t="str">
        <f ca="1">IF(COUNTA(ECF[[#This Row],[Nº Est.]:[Biela comp.]])=COUNTIF(ECF[[#This Row],[Nº Est.]:[Biela comp.]],"OK"),"OK","lim.")</f>
        <v>OK</v>
      </c>
      <c r="BL30" s="4" t="str">
        <f ca="1">IF(ECF[[#This Row],[Controle]]="OK",ECF[[#This Row],[nE]]&amp;" Ø"&amp;ECF[[#This Row],[Ø (cm)]]&amp;"cm Prof. "&amp;ECF[[#This Row],[Prof. (m)]]&amp;" m","")</f>
        <v>3 Ø60cm Prof. 11 m</v>
      </c>
      <c r="BM30" s="4" t="str">
        <f ca="1">IF(ECF[[#This Row],[idDimensionamento]]="","",ECF[[#This Row],[idPilar]]&amp;ECF[[#This Row],[idDimensionamento]])</f>
        <v>23 Ø60cm Prof. 11 m</v>
      </c>
    </row>
    <row r="31" spans="2:65" x14ac:dyDescent="0.25">
      <c r="B31" s="12">
        <f>ROUNDUP((ROW(ECF[[#This Row],[idDiâmetro]])-ROW(ECF[[#Headers],[idDiâmetro]]))/(COUNT(SPT[Prof. (m)])*COUNT(PILARES[Pilar])),0)</f>
        <v>1</v>
      </c>
      <c r="C31" s="12">
        <f>IF(ECF[[#This Row],[idDiâmetro]]&lt;&gt;B30,1,IF(ECF[[#This Row],[Prof. (m)]]=0,C30+1,C30))</f>
        <v>2</v>
      </c>
      <c r="D31" s="1">
        <f>IFERROR(IF(D30=MAX(SPT[Prof. (m)]),0,D30+1),0)</f>
        <v>12</v>
      </c>
      <c r="E31" s="1">
        <f>INDEX(SPT[],MATCH(ECF[[#This Row],[Prof. (m)]],SPT[Prof. (m)],0),2)</f>
        <v>52</v>
      </c>
      <c r="F31" s="1" t="str">
        <f>INDEX(SPT[],MATCH(ECF[[#This Row],[Prof. (m)]],SPT[Prof. (m)],0),3)</f>
        <v>Areia siltosa</v>
      </c>
      <c r="G31" s="1">
        <f>INDEX(estacas[],ECF[[#This Row],[idDiâmetro]],MATCH($B$2,estacas[#Headers],0))</f>
        <v>60</v>
      </c>
      <c r="H31" s="1">
        <f>INDEX(estacas[],MATCH(ECF[[#This Row],[Ø (cm)]],estacas[Ø ECF (cm)],0),MATCH(ECF[[#Headers],[Pe ECF (kN)]],estacas[#Headers],0))</f>
        <v>1100</v>
      </c>
      <c r="I31" s="4">
        <f>INDEX(K_alpha_C[],MATCH(ECF[[#This Row],[Solo]],K_alpha_C[Solo],0),2)</f>
        <v>0.8</v>
      </c>
      <c r="J31" s="5">
        <f>INDEX(K_alpha_C[],MATCH(ECF[[#This Row],[Solo]],K_alpha_C[Solo],0),3)</f>
        <v>2</v>
      </c>
      <c r="K31" s="4">
        <f>INDEX(F1_F2[],MATCH($D$2,F1_F2[Tipo de estaca],0),2)</f>
        <v>3</v>
      </c>
      <c r="L31" s="4">
        <f>INDEX(F1_F2[],MATCH($D$2,F1_F2[Tipo de estaca],0),3)</f>
        <v>6</v>
      </c>
      <c r="M31" s="4">
        <f>PI()*(ECF[[#This Row],[Ø (cm)]]/100)^2/4</f>
        <v>0.28274333882308139</v>
      </c>
      <c r="N31" s="4">
        <f>PI()*ECF[[#This Row],[Ø (cm)]]/100</f>
        <v>1.8849555921538756</v>
      </c>
      <c r="O31" s="4">
        <f>IF(ECF[[#This Row],[Prof. (m)]]=0,0,ECF[[#This Row],[α (%)]]/100*ECF[[#This Row],[K (MPa)]]*1000*ECF[[#This Row],[NSPT]])</f>
        <v>832</v>
      </c>
      <c r="P31" s="4">
        <f>IF(ECF[[#This Row],[Prof. (m)]]=0,0,(ECF[[#This Row],[K (MPa)]]*1000*ECF[[#This Row],[NSPT]]/ECF[[#This Row],[F1]]*ECF[[#This Row],[Ap (m²)]]+ECF[[#This Row],[U (m)]]/ECF[[#This Row],[F2]]*SUMIFS(ECF[(α∙K∙NL∙ΔL)],ECF[Prof. (m)],"&lt;="&amp;ECF[[#This Row],[Prof. (m)]],ECF[idDiâmetro],ECF[[#This Row],[idDiâmetro]],ECF[idPilar],ECF[[#This Row],[idPilar]]))/'DADOS CAP. CARGA'!$D$2)</f>
        <v>2496.9221331098997</v>
      </c>
      <c r="Q31" s="12">
        <f>INDEX(C_alpha_beta[],MATCH(ECF[[#This Row],[Solo]],C_alpha_beta[Solo],0),MATCH(ECF[[#Headers],[C (kPa)]],C_alpha_beta[#Headers],0))</f>
        <v>400</v>
      </c>
      <c r="R31" s="4">
        <f>INDEX(C_alpha_beta[],MATCH(ECF[[#This Row],[Solo]],C_alpha_beta[Solo],0),MATCH(ECF[[#Headers],[α ESF]],C_alpha_beta[#Headers],0))</f>
        <v>0.5</v>
      </c>
      <c r="S31" s="4">
        <f>INDEX(C_alpha_beta[],MATCH(ECF[[#This Row],[Solo]],C_alpha_beta[Solo],0),MATCH(ECF[[#Headers],[β ESF]],C_alpha_beta[#Headers],0))</f>
        <v>0.5</v>
      </c>
      <c r="T31" s="4">
        <f>IF(ECF[[#This Row],[Prof. (m)]]=0,0,10*(ECF[[#This Row],[NSPT]]/3+1))</f>
        <v>183.33333333333331</v>
      </c>
      <c r="U31" s="4">
        <f>(ECF[[#This Row],[α ESF]]*ECF[[#This Row],[C (kPa)]]*ECF[[#This Row],[NSPT]]*ECF[[#This Row],[Ap (m²)]])/'DADOS CAP. CARGA'!$Q$2+(ECF[[#This Row],[β ESF]]*SUMIFS(ECF[10∙(NL/3+1)],ECF[Prof. (m)],"&lt;="&amp;ECF[[#This Row],[Prof. (m)]],ECF[idDiâmetro],ECF[[#This Row],[idDiâmetro]],ECF[idPilar],ECF[[#This Row],[idPilar]])*ECF[[#This Row],[U (m)]])/'DADOS CAP. CARGA'!$S$2</f>
        <v>1141.9689295798898</v>
      </c>
      <c r="V31" s="4">
        <f>IF(SPT!$M$5=1,MIN(ECF[[#This Row],[Pe ECF (kN)]],ECF[[#This Row],[R_AV (kN)]]),IF(SPT!$M$5=2,MIN(ECF[[#This Row],[Pe ECF (kN)]],ECF[[#This Row],[R_DC (kN)]]),MIN(ECF[[#This Row],[Pe ECF (kN)]],ECF[[#This Row],[R_AV (kN)]],ECF[[#This Row],[R_DC (kN)]])))</f>
        <v>1100</v>
      </c>
      <c r="W31" s="4">
        <f>INDEX(PILARES[],ECF[[#This Row],[idPilar]],MATCH("Carga (kN)",PILARES[#Headers],0))*1.4</f>
        <v>1750</v>
      </c>
      <c r="X31" s="12">
        <f>INDEX(PILARES[],ECF[[#This Row],[idPilar]],MATCH(ECF[[#Headers],[ap (cm)]],PILARES[#Headers],0))</f>
        <v>50</v>
      </c>
      <c r="Y31" s="12">
        <f>INDEX(PILARES[],ECF[[#This Row],[idPilar]],MATCH(ECF[[#Headers],[bp (cm)]],PILARES[#Headers],0))</f>
        <v>40</v>
      </c>
      <c r="Z31" s="4">
        <f>SQRT(ECF[[#This Row],[ap (cm)]]*ECF[[#This Row],[bp (cm)]])</f>
        <v>44.721359549995796</v>
      </c>
      <c r="AA31" s="12">
        <f>ECF[[#This Row],[ap (cm)]]*ECF[[#This Row],[bp (cm)]]</f>
        <v>2000</v>
      </c>
      <c r="AB31" s="12">
        <f ca="1">IF(ECF[[#This Row],[Padm∙ε (kN)]]&gt;=ECF[[#This Row],[Padm (kN)]],ROUNDUP(1.05*ECF[[#This Row],[Nsd (kN)]]/ECF[[#This Row],[Padm (kN)]],0),ROUNDUP(1.05*ECF[[#This Row],[Nsd (kN)]]/ECF[[#This Row],[Padm (kN)]],0)+1)</f>
        <v>2</v>
      </c>
      <c r="AC31" s="4">
        <f ca="1">IFERROR(IF(ECF[[#This Row],[nE]]=1,ECF[[#This Row],[Padm (kN)]],ECF[[#This Row],[Padm (kN)]]*ECF[[#This Row],[nE]]*INDEX(grupoEstacas[],ECF[[#This Row],[nE]],MATCH("ε",grupoEstacas[#Headers],0))),"N.S.")</f>
        <v>2062.5</v>
      </c>
      <c r="AD31" s="4">
        <f ca="1">1.05*ECF[[#This Row],[Nsd (kN)]]/(ECF[[#This Row],[nE]]*PI()*ECF[[#This Row],[Ø (cm)]]^2/4)*10</f>
        <v>3.24941342145953</v>
      </c>
      <c r="AE31" s="4">
        <f ca="1">IF(ECF[[#This Row],[σ (MPa)]]&lt;INDEX(tipoEstaca[],MATCH($D$2,tipoEstaca[TIPO DE ESTACA],0),MATCH("σmáx (MPa)",tipoEstaca[#Headers],0)),0.4%*PI()*ECF[[#This Row],[Ø (cm)]]^2/4,"N.S.")</f>
        <v>11.309733552923255</v>
      </c>
      <c r="AF31" s="1">
        <f>INDEX(tipoEstaca[],MATCH($D$2,tipoEstaca[TIPO DE ESTACA],0),MATCH(ECF[[#Headers],[Comprimento (m)]],tipoEstaca[#Headers],0))</f>
        <v>4</v>
      </c>
      <c r="AG31" s="5">
        <f ca="1">ECF[[#This Row],[As,mín (cm²)]]/100^2*ECF[[#This Row],[Comprimento (m)]]*7850</f>
        <v>35.512563356179022</v>
      </c>
      <c r="AH31" s="4">
        <f ca="1">ECF[[#This Row],[nE]]*ECF[[#This Row],[Prof. (m)]]*ECF[[#This Row],[Ap (m²)]]</f>
        <v>6.7858401317539538</v>
      </c>
      <c r="AI31" s="1">
        <f ca="1">IF(ECF[[#This Row],[nE]]=1,0,MAX(3*ECF[[#This Row],[Ø (cm)]],60))</f>
        <v>180</v>
      </c>
      <c r="AJ31" s="1">
        <f ca="1">IF(ECF[[#This Row],[nE]]=1,ECF[[#This Row],[Ø (cm)]]+2*10,MAX(1.5*ECF[[#This Row],[Ø (cm)]],ECF[[#This Row],[Ø (cm)]]+15))</f>
        <v>90</v>
      </c>
      <c r="AK31" s="1">
        <f ca="1">alturaUtil(ECF[[#This Row],[nE]],ECF[[#This Row],[Ø (cm)]],ECF[[#This Row],[e (cm)]],ECF[[#This Row],[ap,eq (cm)]])</f>
        <v>80</v>
      </c>
      <c r="AL31" s="1">
        <f ca="1">IFERROR(ECF[[#This Row],[d (cm)]]+arredondarParaCimaMultiplo5cm(MAX(5,SQRT(PI())/2*ECF[[#This Row],[Ø (cm)]]/5)),"N.S.")</f>
        <v>95</v>
      </c>
      <c r="AM31" s="5">
        <f ca="1">alpha(ECF[[#This Row],[nE]],ECF[[#This Row],[d (cm)]],ECF[[#This Row],[e (cm)]],ECF[[#This Row],[ap,eq (cm)]])</f>
        <v>45.425811570240704</v>
      </c>
      <c r="AN31" s="35">
        <f ca="1">IFERROR(ECF[[#This Row],[Nsd (kN)]]/(ECF[[#This Row],[Ap (cm²)]]*SIN(ECF[[#This Row],[α]])^2),"N.S.")</f>
        <v>0.88933011875433565</v>
      </c>
      <c r="AO31" s="35">
        <f ca="1">IFERROR(ECF[[#This Row],[Nsd (kN)]]/(ECF[[#This Row],[nE]]*PI()*ECF[[#This Row],[Ø (cm)]]^2/4*SIN(ECF[[#This Row],[α]])^2),"N.S.")</f>
        <v>0.31453618764501073</v>
      </c>
      <c r="AP31" s="4">
        <f ca="1">IFERROR(INDEX(grupoEstacas[],ECF[[#This Row],[nE]],MATCH("coef. Blévot",grupoEstacas[#Headers],0)),"N.S.")</f>
        <v>1.4</v>
      </c>
      <c r="AQ31" s="35">
        <f ca="1">IFERROR(ECF[[#This Row],[coef. Blévot]]*0.9*INDEX(tipoEstaca[],MATCH($D$2,tipoEstaca[TIPO DE ESTACA],0),MATCH("fcd (kN/cm²)",tipoEstaca[#Headers],0)),"N.S.")</f>
        <v>1.4000000000000001</v>
      </c>
      <c r="AR31" s="1" t="str">
        <f ca="1">IF(AND(ECF[[#This Row],[cd,b,pil (kN/cm²)]]&lt;=ECF[[#This Row],[cd,b,lim (kN/cm²)]],ECF[[#This Row],[cd,b,est (kN/cm²)]]&lt;=ECF[[#This Row],[cd,b,lim (kN/cm²)]]),"OK","ERRO")</f>
        <v>OK</v>
      </c>
      <c r="AS31" s="4">
        <f ca="1">As_lado(ECF[[#This Row],[nE]],ECF[[#This Row],[Nsd (kN)]],ECF[[#This Row],[d (cm)]],ECF[[#This Row],[e (cm)]],ECF[[#This Row],[ap,eq (cm)]])</f>
        <v>22.802281359108701</v>
      </c>
      <c r="AT31" s="4">
        <f ca="1">IF(ECF[[#This Row],[nE]]=1,ECF[[#This Row],[As,lado (cm²)]],IF(ECF[[#This Row],[nE]]=2,0.075*2*ECF[a (cm)],"N.A."))</f>
        <v>13.5</v>
      </c>
      <c r="AU31" s="4">
        <f ca="1">IFERROR(IF(ECF[[#This Row],[nE]]=1,"N.A.",0.2*ECF[[#This Row],[As,lado (cm²)]]),"N.S.")</f>
        <v>4.5604562718217405</v>
      </c>
      <c r="AV31" s="4" t="str">
        <f ca="1">As_malha(ECF[[#This Row],[nE]],ECF[[#This Row],[As,lado (cm²)]],ECF[[#This Row],[Nsd (kN)]])</f>
        <v>N.A.</v>
      </c>
      <c r="AW31" s="4" t="str">
        <f ca="1">As_susp_tot(ECF[[#This Row],[nE]],ECF[[#This Row],[Nsd (kN)]])</f>
        <v>N.A.</v>
      </c>
      <c r="AX31" s="4" t="str">
        <f ca="1">Asp_face(ECF[[#This Row],[nE]],ECF[[#This Row],[As,lado (cm²)]])</f>
        <v>N.A.</v>
      </c>
      <c r="AY31" s="5">
        <f ca="1">acoBloco(ECF[[#This Row],[nE]],ECF[[#This Row],[e (cm)]],ECF[[#This Row],[a (cm)]],ECF[[#This Row],[h (cm)]],ECF[[#This Row],[As,lado (cm²)]],ECF[[#This Row],[Asp e Asw (cm²/m)]],ECF[[#This Row],[As,sup (cm²)]],ECF[[#This Row],[As,malha (cm²)]],ECF[[#This Row],[As,susp,tot (cm²)]],ECF[[#This Row],[Asp,face (cm²)]])</f>
        <v>395.88794654500941</v>
      </c>
      <c r="AZ31" s="4">
        <f ca="1">concretoBloco(ECF[[#This Row],[nE]],ECF[[#This Row],[e (cm)]],ECF[[#This Row],[a (cm)]],ECF[[#This Row],[h (cm)]])</f>
        <v>6.1559999999999997</v>
      </c>
      <c r="BA31" s="5">
        <f ca="1">SUM(ECF[[#This Row],[Aço Est (kg)]],ECF[[#This Row],[Aço Bloco (kg)]])</f>
        <v>431.40050990118846</v>
      </c>
      <c r="BB31" s="4">
        <f>INDEX(composicoes[],MATCH(95580,composicoes[CÓDIGO],0),MATCH("CUSTO TOTAL",composicoes[#Headers],0))</f>
        <v>10.46</v>
      </c>
      <c r="BC31" s="4">
        <f ca="1">SUM(ECF[[#This Row],[Conc Est (m³)]],ECF[[#This Row],[Conc Bloco (m³)]])</f>
        <v>12.941840131753953</v>
      </c>
      <c r="BD31" s="4">
        <f>INDEX(composicoes[],MATCH(94966,composicoes[CÓDIGO],0),MATCH("CUSTO TOTAL",composicoes[#Headers],0))</f>
        <v>439.52</v>
      </c>
      <c r="BE31" s="38">
        <f ca="1">ECF[[#This Row],[Aço (kg)]]*ECF[[#This Row],[Aço (R$/kg)]]+ECF[[#This Row],[Conc (m³)]]*ECF[[#This Row],[Conc (R$/m³)]]</f>
        <v>10200.646908274928</v>
      </c>
      <c r="BF31" s="4" t="str">
        <f ca="1">IF(COUNTIF(ECF[#This Row],"N.S.")&gt;0,"lim.","OK")</f>
        <v>OK</v>
      </c>
      <c r="BG31" s="4" t="str">
        <f>IF(ECF[[#This Row],[Prof. (m)]]&lt;4,"lim.","OK")</f>
        <v>OK</v>
      </c>
      <c r="BH31" s="4" t="str">
        <f>IF(ECF[[#This Row],[Prof. (m)]]&gt;=8*ECF[[#This Row],[Ø (cm)]]/100,"OK","lim.")</f>
        <v>OK</v>
      </c>
      <c r="BI31" s="4" t="str">
        <f>IF(AND(SPT!$F$3&lt;&gt;"",ECF[[#This Row],[Prof. (m)]]&gt;=SPT!$F$3-2),"lim.","OK")</f>
        <v>OK</v>
      </c>
      <c r="BJ31" s="4" t="str">
        <f ca="1">IF(ECF[[#This Row],[Verif. Biela]]="OK","OK","lim.")</f>
        <v>OK</v>
      </c>
      <c r="BK31" s="4" t="str">
        <f ca="1">IF(COUNTA(ECF[[#This Row],[Nº Est.]:[Biela comp.]])=COUNTIF(ECF[[#This Row],[Nº Est.]:[Biela comp.]],"OK"),"OK","lim.")</f>
        <v>OK</v>
      </c>
      <c r="BL31" s="4" t="str">
        <f ca="1">IF(ECF[[#This Row],[Controle]]="OK",ECF[[#This Row],[nE]]&amp;" Ø"&amp;ECF[[#This Row],[Ø (cm)]]&amp;"cm Prof. "&amp;ECF[[#This Row],[Prof. (m)]]&amp;" m","")</f>
        <v>2 Ø60cm Prof. 12 m</v>
      </c>
      <c r="BM31" s="4" t="str">
        <f ca="1">IF(ECF[[#This Row],[idDimensionamento]]="","",ECF[[#This Row],[idPilar]]&amp;ECF[[#This Row],[idDimensionamento]])</f>
        <v>22 Ø60cm Prof. 12 m</v>
      </c>
    </row>
    <row r="32" spans="2:65" x14ac:dyDescent="0.25">
      <c r="B32" s="12">
        <f>ROUNDUP((ROW(ECF[[#This Row],[idDiâmetro]])-ROW(ECF[[#Headers],[idDiâmetro]]))/(COUNT(SPT[Prof. (m)])*COUNT(PILARES[Pilar])),0)</f>
        <v>1</v>
      </c>
      <c r="C32" s="12">
        <f>IF(ECF[[#This Row],[idDiâmetro]]&lt;&gt;B31,1,IF(ECF[[#This Row],[Prof. (m)]]=0,C31+1,C31))</f>
        <v>2</v>
      </c>
      <c r="D32" s="1">
        <f>IFERROR(IF(D31=MAX(SPT[Prof. (m)]),0,D31+1),0)</f>
        <v>13</v>
      </c>
      <c r="E32" s="1">
        <f>INDEX(SPT[],MATCH(ECF[[#This Row],[Prof. (m)]],SPT[Prof. (m)],0),2)</f>
        <v>68</v>
      </c>
      <c r="F32" s="1" t="str">
        <f>INDEX(SPT[],MATCH(ECF[[#This Row],[Prof. (m)]],SPT[Prof. (m)],0),3)</f>
        <v>Areia siltosa</v>
      </c>
      <c r="G32" s="1">
        <f>INDEX(estacas[],ECF[[#This Row],[idDiâmetro]],MATCH($B$2,estacas[#Headers],0))</f>
        <v>60</v>
      </c>
      <c r="H32" s="1">
        <f>INDEX(estacas[],MATCH(ECF[[#This Row],[Ø (cm)]],estacas[Ø ECF (cm)],0),MATCH(ECF[[#Headers],[Pe ECF (kN)]],estacas[#Headers],0))</f>
        <v>1100</v>
      </c>
      <c r="I32" s="4">
        <f>INDEX(K_alpha_C[],MATCH(ECF[[#This Row],[Solo]],K_alpha_C[Solo],0),2)</f>
        <v>0.8</v>
      </c>
      <c r="J32" s="5">
        <f>INDEX(K_alpha_C[],MATCH(ECF[[#This Row],[Solo]],K_alpha_C[Solo],0),3)</f>
        <v>2</v>
      </c>
      <c r="K32" s="4">
        <f>INDEX(F1_F2[],MATCH($D$2,F1_F2[Tipo de estaca],0),2)</f>
        <v>3</v>
      </c>
      <c r="L32" s="4">
        <f>INDEX(F1_F2[],MATCH($D$2,F1_F2[Tipo de estaca],0),3)</f>
        <v>6</v>
      </c>
      <c r="M32" s="4">
        <f>PI()*(ECF[[#This Row],[Ø (cm)]]/100)^2/4</f>
        <v>0.28274333882308139</v>
      </c>
      <c r="N32" s="4">
        <f>PI()*ECF[[#This Row],[Ø (cm)]]/100</f>
        <v>1.8849555921538756</v>
      </c>
      <c r="O32" s="4">
        <f>IF(ECF[[#This Row],[Prof. (m)]]=0,0,ECF[[#This Row],[α (%)]]/100*ECF[[#This Row],[K (MPa)]]*1000*ECF[[#This Row],[NSPT]])</f>
        <v>1088</v>
      </c>
      <c r="P32" s="4">
        <f>IF(ECF[[#This Row],[Prof. (m)]]=0,0,(ECF[[#This Row],[K (MPa)]]*1000*ECF[[#This Row],[NSPT]]/ECF[[#This Row],[F1]]*ECF[[#This Row],[Ap (m²)]]+ECF[[#This Row],[U (m)]]/ECF[[#This Row],[F2]]*SUMIFS(ECF[(α∙K∙NL∙ΔL)],ECF[Prof. (m)],"&lt;="&amp;ECF[[#This Row],[Prof. (m)]],ECF[idDiâmetro],ECF[[#This Row],[idDiâmetro]],ECF[idPilar],ECF[[#This Row],[idPilar]]))/'DADOS CAP. CARGA'!$D$2)</f>
        <v>3271.0105629544241</v>
      </c>
      <c r="Q32" s="12">
        <f>INDEX(C_alpha_beta[],MATCH(ECF[[#This Row],[Solo]],C_alpha_beta[Solo],0),MATCH(ECF[[#Headers],[C (kPa)]],C_alpha_beta[#Headers],0))</f>
        <v>400</v>
      </c>
      <c r="R32" s="4">
        <f>INDEX(C_alpha_beta[],MATCH(ECF[[#This Row],[Solo]],C_alpha_beta[Solo],0),MATCH(ECF[[#Headers],[α ESF]],C_alpha_beta[#Headers],0))</f>
        <v>0.5</v>
      </c>
      <c r="S32" s="4">
        <f>INDEX(C_alpha_beta[],MATCH(ECF[[#This Row],[Solo]],C_alpha_beta[Solo],0),MATCH(ECF[[#Headers],[β ESF]],C_alpha_beta[#Headers],0))</f>
        <v>0.5</v>
      </c>
      <c r="T32" s="4">
        <f>IF(ECF[[#This Row],[Prof. (m)]]=0,0,10*(ECF[[#This Row],[NSPT]]/3+1))</f>
        <v>236.66666666666669</v>
      </c>
      <c r="U32" s="4">
        <f>(ECF[[#This Row],[α ESF]]*ECF[[#This Row],[C (kPa)]]*ECF[[#This Row],[NSPT]]*ECF[[#This Row],[Ap (m²)]])/'DADOS CAP. CARGA'!$Q$2+(ECF[[#This Row],[β ESF]]*SUMIFS(ECF[10∙(NL/3+1)],ECF[Prof. (m)],"&lt;="&amp;ECF[[#This Row],[Prof. (m)]],ECF[idDiâmetro],ECF[[#This Row],[idDiâmetro]],ECF[idPilar],ECF[[#This Row],[idPilar]])*ECF[[#This Row],[U (m)]])/'DADOS CAP. CARGA'!$S$2</f>
        <v>1479.6901398407927</v>
      </c>
      <c r="V32" s="4">
        <f>IF(SPT!$M$5=1,MIN(ECF[[#This Row],[Pe ECF (kN)]],ECF[[#This Row],[R_AV (kN)]]),IF(SPT!$M$5=2,MIN(ECF[[#This Row],[Pe ECF (kN)]],ECF[[#This Row],[R_DC (kN)]]),MIN(ECF[[#This Row],[Pe ECF (kN)]],ECF[[#This Row],[R_AV (kN)]],ECF[[#This Row],[R_DC (kN)]])))</f>
        <v>1100</v>
      </c>
      <c r="W32" s="4">
        <f>INDEX(PILARES[],ECF[[#This Row],[idPilar]],MATCH("Carga (kN)",PILARES[#Headers],0))*1.4</f>
        <v>1750</v>
      </c>
      <c r="X32" s="12">
        <f>INDEX(PILARES[],ECF[[#This Row],[idPilar]],MATCH(ECF[[#Headers],[ap (cm)]],PILARES[#Headers],0))</f>
        <v>50</v>
      </c>
      <c r="Y32" s="12">
        <f>INDEX(PILARES[],ECF[[#This Row],[idPilar]],MATCH(ECF[[#Headers],[bp (cm)]],PILARES[#Headers],0))</f>
        <v>40</v>
      </c>
      <c r="Z32" s="4">
        <f>SQRT(ECF[[#This Row],[ap (cm)]]*ECF[[#This Row],[bp (cm)]])</f>
        <v>44.721359549995796</v>
      </c>
      <c r="AA32" s="12">
        <f>ECF[[#This Row],[ap (cm)]]*ECF[[#This Row],[bp (cm)]]</f>
        <v>2000</v>
      </c>
      <c r="AB32" s="12">
        <f ca="1">IF(ECF[[#This Row],[Padm∙ε (kN)]]&gt;=ECF[[#This Row],[Padm (kN)]],ROUNDUP(1.05*ECF[[#This Row],[Nsd (kN)]]/ECF[[#This Row],[Padm (kN)]],0),ROUNDUP(1.05*ECF[[#This Row],[Nsd (kN)]]/ECF[[#This Row],[Padm (kN)]],0)+1)</f>
        <v>2</v>
      </c>
      <c r="AC32" s="4">
        <f ca="1">IFERROR(IF(ECF[[#This Row],[nE]]=1,ECF[[#This Row],[Padm (kN)]],ECF[[#This Row],[Padm (kN)]]*ECF[[#This Row],[nE]]*INDEX(grupoEstacas[],ECF[[#This Row],[nE]],MATCH("ε",grupoEstacas[#Headers],0))),"N.S.")</f>
        <v>2062.5</v>
      </c>
      <c r="AD32" s="4">
        <f ca="1">1.05*ECF[[#This Row],[Nsd (kN)]]/(ECF[[#This Row],[nE]]*PI()*ECF[[#This Row],[Ø (cm)]]^2/4)*10</f>
        <v>3.24941342145953</v>
      </c>
      <c r="AE32" s="4">
        <f ca="1">IF(ECF[[#This Row],[σ (MPa)]]&lt;INDEX(tipoEstaca[],MATCH($D$2,tipoEstaca[TIPO DE ESTACA],0),MATCH("σmáx (MPa)",tipoEstaca[#Headers],0)),0.4%*PI()*ECF[[#This Row],[Ø (cm)]]^2/4,"N.S.")</f>
        <v>11.309733552923255</v>
      </c>
      <c r="AF32" s="1">
        <f>INDEX(tipoEstaca[],MATCH($D$2,tipoEstaca[TIPO DE ESTACA],0),MATCH(ECF[[#Headers],[Comprimento (m)]],tipoEstaca[#Headers],0))</f>
        <v>4</v>
      </c>
      <c r="AG32" s="5">
        <f ca="1">ECF[[#This Row],[As,mín (cm²)]]/100^2*ECF[[#This Row],[Comprimento (m)]]*7850</f>
        <v>35.512563356179022</v>
      </c>
      <c r="AH32" s="4">
        <f ca="1">ECF[[#This Row],[nE]]*ECF[[#This Row],[Prof. (m)]]*ECF[[#This Row],[Ap (m²)]]</f>
        <v>7.3513268094001161</v>
      </c>
      <c r="AI32" s="1">
        <f ca="1">IF(ECF[[#This Row],[nE]]=1,0,MAX(3*ECF[[#This Row],[Ø (cm)]],60))</f>
        <v>180</v>
      </c>
      <c r="AJ32" s="1">
        <f ca="1">IF(ECF[[#This Row],[nE]]=1,ECF[[#This Row],[Ø (cm)]]+2*10,MAX(1.5*ECF[[#This Row],[Ø (cm)]],ECF[[#This Row],[Ø (cm)]]+15))</f>
        <v>90</v>
      </c>
      <c r="AK32" s="1">
        <f ca="1">alturaUtil(ECF[[#This Row],[nE]],ECF[[#This Row],[Ø (cm)]],ECF[[#This Row],[e (cm)]],ECF[[#This Row],[ap,eq (cm)]])</f>
        <v>80</v>
      </c>
      <c r="AL32" s="1">
        <f ca="1">IFERROR(ECF[[#This Row],[d (cm)]]+arredondarParaCimaMultiplo5cm(MAX(5,SQRT(PI())/2*ECF[[#This Row],[Ø (cm)]]/5)),"N.S.")</f>
        <v>95</v>
      </c>
      <c r="AM32" s="5">
        <f ca="1">alpha(ECF[[#This Row],[nE]],ECF[[#This Row],[d (cm)]],ECF[[#This Row],[e (cm)]],ECF[[#This Row],[ap,eq (cm)]])</f>
        <v>45.425811570240704</v>
      </c>
      <c r="AN32" s="35">
        <f ca="1">IFERROR(ECF[[#This Row],[Nsd (kN)]]/(ECF[[#This Row],[Ap (cm²)]]*SIN(ECF[[#This Row],[α]])^2),"N.S.")</f>
        <v>0.88933011875433565</v>
      </c>
      <c r="AO32" s="35">
        <f ca="1">IFERROR(ECF[[#This Row],[Nsd (kN)]]/(ECF[[#This Row],[nE]]*PI()*ECF[[#This Row],[Ø (cm)]]^2/4*SIN(ECF[[#This Row],[α]])^2),"N.S.")</f>
        <v>0.31453618764501073</v>
      </c>
      <c r="AP32" s="4">
        <f ca="1">IFERROR(INDEX(grupoEstacas[],ECF[[#This Row],[nE]],MATCH("coef. Blévot",grupoEstacas[#Headers],0)),"N.S.")</f>
        <v>1.4</v>
      </c>
      <c r="AQ32" s="35">
        <f ca="1">IFERROR(ECF[[#This Row],[coef. Blévot]]*0.9*INDEX(tipoEstaca[],MATCH($D$2,tipoEstaca[TIPO DE ESTACA],0),MATCH("fcd (kN/cm²)",tipoEstaca[#Headers],0)),"N.S.")</f>
        <v>1.4000000000000001</v>
      </c>
      <c r="AR32" s="1" t="str">
        <f ca="1">IF(AND(ECF[[#This Row],[cd,b,pil (kN/cm²)]]&lt;=ECF[[#This Row],[cd,b,lim (kN/cm²)]],ECF[[#This Row],[cd,b,est (kN/cm²)]]&lt;=ECF[[#This Row],[cd,b,lim (kN/cm²)]]),"OK","ERRO")</f>
        <v>OK</v>
      </c>
      <c r="AS32" s="4">
        <f ca="1">As_lado(ECF[[#This Row],[nE]],ECF[[#This Row],[Nsd (kN)]],ECF[[#This Row],[d (cm)]],ECF[[#This Row],[e (cm)]],ECF[[#This Row],[ap,eq (cm)]])</f>
        <v>22.802281359108701</v>
      </c>
      <c r="AT32" s="4">
        <f ca="1">IF(ECF[[#This Row],[nE]]=1,ECF[[#This Row],[As,lado (cm²)]],IF(ECF[[#This Row],[nE]]=2,0.075*2*ECF[a (cm)],"N.A."))</f>
        <v>13.5</v>
      </c>
      <c r="AU32" s="4">
        <f ca="1">IFERROR(IF(ECF[[#This Row],[nE]]=1,"N.A.",0.2*ECF[[#This Row],[As,lado (cm²)]]),"N.S.")</f>
        <v>4.5604562718217405</v>
      </c>
      <c r="AV32" s="4" t="str">
        <f ca="1">As_malha(ECF[[#This Row],[nE]],ECF[[#This Row],[As,lado (cm²)]],ECF[[#This Row],[Nsd (kN)]])</f>
        <v>N.A.</v>
      </c>
      <c r="AW32" s="4" t="str">
        <f ca="1">As_susp_tot(ECF[[#This Row],[nE]],ECF[[#This Row],[Nsd (kN)]])</f>
        <v>N.A.</v>
      </c>
      <c r="AX32" s="4" t="str">
        <f ca="1">Asp_face(ECF[[#This Row],[nE]],ECF[[#This Row],[As,lado (cm²)]])</f>
        <v>N.A.</v>
      </c>
      <c r="AY32" s="5">
        <f ca="1">acoBloco(ECF[[#This Row],[nE]],ECF[[#This Row],[e (cm)]],ECF[[#This Row],[a (cm)]],ECF[[#This Row],[h (cm)]],ECF[[#This Row],[As,lado (cm²)]],ECF[[#This Row],[Asp e Asw (cm²/m)]],ECF[[#This Row],[As,sup (cm²)]],ECF[[#This Row],[As,malha (cm²)]],ECF[[#This Row],[As,susp,tot (cm²)]],ECF[[#This Row],[Asp,face (cm²)]])</f>
        <v>395.88794654500941</v>
      </c>
      <c r="AZ32" s="4">
        <f ca="1">concretoBloco(ECF[[#This Row],[nE]],ECF[[#This Row],[e (cm)]],ECF[[#This Row],[a (cm)]],ECF[[#This Row],[h (cm)]])</f>
        <v>6.1559999999999997</v>
      </c>
      <c r="BA32" s="5">
        <f ca="1">SUM(ECF[[#This Row],[Aço Est (kg)]],ECF[[#This Row],[Aço Bloco (kg)]])</f>
        <v>431.40050990118846</v>
      </c>
      <c r="BB32" s="4">
        <f>INDEX(composicoes[],MATCH(95580,composicoes[CÓDIGO],0),MATCH("CUSTO TOTAL",composicoes[#Headers],0))</f>
        <v>10.46</v>
      </c>
      <c r="BC32" s="4">
        <f ca="1">SUM(ECF[[#This Row],[Conc Est (m³)]],ECF[[#This Row],[Conc Bloco (m³)]])</f>
        <v>13.507326809400116</v>
      </c>
      <c r="BD32" s="4">
        <f>INDEX(composicoes[],MATCH(94966,composicoes[CÓDIGO],0),MATCH("CUSTO TOTAL",composicoes[#Headers],0))</f>
        <v>439.52</v>
      </c>
      <c r="BE32" s="38">
        <f ca="1">ECF[[#This Row],[Aço (kg)]]*ECF[[#This Row],[Aço (R$/kg)]]+ECF[[#This Row],[Conc (m³)]]*ECF[[#This Row],[Conc (R$/m³)]]</f>
        <v>10449.18961283397</v>
      </c>
      <c r="BF32" s="4" t="str">
        <f ca="1">IF(COUNTIF(ECF[#This Row],"N.S.")&gt;0,"lim.","OK")</f>
        <v>OK</v>
      </c>
      <c r="BG32" s="4" t="str">
        <f>IF(ECF[[#This Row],[Prof. (m)]]&lt;4,"lim.","OK")</f>
        <v>OK</v>
      </c>
      <c r="BH32" s="4" t="str">
        <f>IF(ECF[[#This Row],[Prof. (m)]]&gt;=8*ECF[[#This Row],[Ø (cm)]]/100,"OK","lim.")</f>
        <v>OK</v>
      </c>
      <c r="BI32" s="4" t="str">
        <f>IF(AND(SPT!$F$3&lt;&gt;"",ECF[[#This Row],[Prof. (m)]]&gt;=SPT!$F$3-2),"lim.","OK")</f>
        <v>OK</v>
      </c>
      <c r="BJ32" s="4" t="str">
        <f ca="1">IF(ECF[[#This Row],[Verif. Biela]]="OK","OK","lim.")</f>
        <v>OK</v>
      </c>
      <c r="BK32" s="4" t="str">
        <f ca="1">IF(COUNTA(ECF[[#This Row],[Nº Est.]:[Biela comp.]])=COUNTIF(ECF[[#This Row],[Nº Est.]:[Biela comp.]],"OK"),"OK","lim.")</f>
        <v>OK</v>
      </c>
      <c r="BL32" s="4" t="str">
        <f ca="1">IF(ECF[[#This Row],[Controle]]="OK",ECF[[#This Row],[nE]]&amp;" Ø"&amp;ECF[[#This Row],[Ø (cm)]]&amp;"cm Prof. "&amp;ECF[[#This Row],[Prof. (m)]]&amp;" m","")</f>
        <v>2 Ø60cm Prof. 13 m</v>
      </c>
      <c r="BM32" s="4" t="str">
        <f ca="1">IF(ECF[[#This Row],[idDimensionamento]]="","",ECF[[#This Row],[idPilar]]&amp;ECF[[#This Row],[idDimensionamento]])</f>
        <v>22 Ø60cm Prof. 13 m</v>
      </c>
    </row>
    <row r="33" spans="2:65" x14ac:dyDescent="0.25">
      <c r="B33" s="12">
        <f>ROUNDUP((ROW(ECF[[#This Row],[idDiâmetro]])-ROW(ECF[[#Headers],[idDiâmetro]]))/(COUNT(SPT[Prof. (m)])*COUNT(PILARES[Pilar])),0)</f>
        <v>2</v>
      </c>
      <c r="C33" s="12">
        <f>IF(ECF[[#This Row],[idDiâmetro]]&lt;&gt;B32,1,IF(ECF[[#This Row],[Prof. (m)]]=0,C32+1,C32))</f>
        <v>1</v>
      </c>
      <c r="D33" s="1">
        <f>IFERROR(IF(D32=MAX(SPT[Prof. (m)]),0,D32+1),0)</f>
        <v>0</v>
      </c>
      <c r="E33" s="1">
        <f>INDEX(SPT[],MATCH(ECF[[#This Row],[Prof. (m)]],SPT[Prof. (m)],0),2)</f>
        <v>0</v>
      </c>
      <c r="F33" s="1" t="str">
        <f>INDEX(SPT[],MATCH(ECF[[#This Row],[Prof. (m)]],SPT[Prof. (m)],0),3)</f>
        <v>Areia siltosa</v>
      </c>
      <c r="G33" s="1">
        <f>INDEX(estacas[],ECF[[#This Row],[idDiâmetro]],MATCH($B$2,estacas[#Headers],0))</f>
        <v>70</v>
      </c>
      <c r="H33" s="1">
        <f>INDEX(estacas[],MATCH(ECF[[#This Row],[Ø (cm)]],estacas[Ø ECF (cm)],0),MATCH(ECF[[#Headers],[Pe ECF (kN)]],estacas[#Headers],0))</f>
        <v>1500</v>
      </c>
      <c r="I33" s="4">
        <f>INDEX(K_alpha_C[],MATCH(ECF[[#This Row],[Solo]],K_alpha_C[Solo],0),2)</f>
        <v>0.8</v>
      </c>
      <c r="J33" s="5">
        <f>INDEX(K_alpha_C[],MATCH(ECF[[#This Row],[Solo]],K_alpha_C[Solo],0),3)</f>
        <v>2</v>
      </c>
      <c r="K33" s="4">
        <f>INDEX(F1_F2[],MATCH($D$2,F1_F2[Tipo de estaca],0),2)</f>
        <v>3</v>
      </c>
      <c r="L33" s="4">
        <f>INDEX(F1_F2[],MATCH($D$2,F1_F2[Tipo de estaca],0),3)</f>
        <v>6</v>
      </c>
      <c r="M33" s="4">
        <f>PI()*(ECF[[#This Row],[Ø (cm)]]/100)^2/4</f>
        <v>0.38484510006474959</v>
      </c>
      <c r="N33" s="4">
        <f>PI()*ECF[[#This Row],[Ø (cm)]]/100</f>
        <v>2.1991148575128552</v>
      </c>
      <c r="O33" s="4">
        <f>IF(ECF[[#This Row],[Prof. (m)]]=0,0,ECF[[#This Row],[α (%)]]/100*ECF[[#This Row],[K (MPa)]]*1000*ECF[[#This Row],[NSPT]])</f>
        <v>0</v>
      </c>
      <c r="P33" s="4">
        <f>IF(ECF[[#This Row],[Prof. (m)]]=0,0,(ECF[[#This Row],[K (MPa)]]*1000*ECF[[#This Row],[NSPT]]/ECF[[#This Row],[F1]]*ECF[[#This Row],[Ap (m²)]]+ECF[[#This Row],[U (m)]]/ECF[[#This Row],[F2]]*SUMIFS(ECF[(α∙K∙NL∙ΔL)],ECF[Prof. (m)],"&lt;="&amp;ECF[[#This Row],[Prof. (m)]],ECF[idDiâmetro],ECF[[#This Row],[idDiâmetro]],ECF[idPilar],ECF[[#This Row],[idPilar]]))/'DADOS CAP. CARGA'!$D$2)</f>
        <v>0</v>
      </c>
      <c r="Q33" s="12">
        <f>INDEX(C_alpha_beta[],MATCH(ECF[[#This Row],[Solo]],C_alpha_beta[Solo],0),MATCH(ECF[[#Headers],[C (kPa)]],C_alpha_beta[#Headers],0))</f>
        <v>400</v>
      </c>
      <c r="R33" s="4">
        <f>INDEX(C_alpha_beta[],MATCH(ECF[[#This Row],[Solo]],C_alpha_beta[Solo],0),MATCH(ECF[[#Headers],[α ESF]],C_alpha_beta[#Headers],0))</f>
        <v>0.5</v>
      </c>
      <c r="S33" s="4">
        <f>INDEX(C_alpha_beta[],MATCH(ECF[[#This Row],[Solo]],C_alpha_beta[Solo],0),MATCH(ECF[[#Headers],[β ESF]],C_alpha_beta[#Headers],0))</f>
        <v>0.5</v>
      </c>
      <c r="T33" s="4">
        <f>IF(ECF[[#This Row],[Prof. (m)]]=0,0,10*(ECF[[#This Row],[NSPT]]/3+1))</f>
        <v>0</v>
      </c>
      <c r="U33" s="4">
        <f>(ECF[[#This Row],[α ESF]]*ECF[[#This Row],[C (kPa)]]*ECF[[#This Row],[NSPT]]*ECF[[#This Row],[Ap (m²)]])/'DADOS CAP. CARGA'!$Q$2+(ECF[[#This Row],[β ESF]]*SUMIFS(ECF[10∙(NL/3+1)],ECF[Prof. (m)],"&lt;="&amp;ECF[[#This Row],[Prof. (m)]],ECF[idDiâmetro],ECF[[#This Row],[idDiâmetro]],ECF[idPilar],ECF[[#This Row],[idPilar]])*ECF[[#This Row],[U (m)]])/'DADOS CAP. CARGA'!$S$2</f>
        <v>0</v>
      </c>
      <c r="V33" s="4">
        <f>IF(SPT!$M$5=1,MIN(ECF[[#This Row],[Pe ECF (kN)]],ECF[[#This Row],[R_AV (kN)]]),IF(SPT!$M$5=2,MIN(ECF[[#This Row],[Pe ECF (kN)]],ECF[[#This Row],[R_DC (kN)]]),MIN(ECF[[#This Row],[Pe ECF (kN)]],ECF[[#This Row],[R_AV (kN)]],ECF[[#This Row],[R_DC (kN)]])))</f>
        <v>0</v>
      </c>
      <c r="W33" s="4">
        <f>INDEX(PILARES[],ECF[[#This Row],[idPilar]],MATCH("Carga (kN)",PILARES[#Headers],0))*1.4</f>
        <v>3500</v>
      </c>
      <c r="X33" s="12">
        <f>INDEX(PILARES[],ECF[[#This Row],[idPilar]],MATCH(ECF[[#Headers],[ap (cm)]],PILARES[#Headers],0))</f>
        <v>60</v>
      </c>
      <c r="Y33" s="12">
        <f>INDEX(PILARES[],ECF[[#This Row],[idPilar]],MATCH(ECF[[#Headers],[bp (cm)]],PILARES[#Headers],0))</f>
        <v>60</v>
      </c>
      <c r="Z33" s="4">
        <f>SQRT(ECF[[#This Row],[ap (cm)]]*ECF[[#This Row],[bp (cm)]])</f>
        <v>60</v>
      </c>
      <c r="AA33" s="12">
        <f>ECF[[#This Row],[ap (cm)]]*ECF[[#This Row],[bp (cm)]]</f>
        <v>3600</v>
      </c>
      <c r="AB33" s="12" t="e">
        <f ca="1">IF(ECF[[#This Row],[Padm∙ε (kN)]]&gt;=ECF[[#This Row],[Padm (kN)]],ROUNDUP(1.05*ECF[[#This Row],[Nsd (kN)]]/ECF[[#This Row],[Padm (kN)]],0),ROUNDUP(1.05*ECF[[#This Row],[Nsd (kN)]]/ECF[[#This Row],[Padm (kN)]],0)+1)</f>
        <v>#DIV/0!</v>
      </c>
      <c r="AC33" s="4" t="str">
        <f ca="1">IFERROR(IF(ECF[[#This Row],[nE]]=1,ECF[[#This Row],[Padm (kN)]],ECF[[#This Row],[Padm (kN)]]*ECF[[#This Row],[nE]]*INDEX(grupoEstacas[],ECF[[#This Row],[nE]],MATCH("ε",grupoEstacas[#Headers],0))),"N.S.")</f>
        <v>N.S.</v>
      </c>
      <c r="AD33" s="4" t="e">
        <f ca="1">1.05*ECF[[#This Row],[Nsd (kN)]]/(ECF[[#This Row],[nE]]*PI()*ECF[[#This Row],[Ø (cm)]]^2/4)*10</f>
        <v>#DIV/0!</v>
      </c>
      <c r="AE33" s="4" t="e">
        <f ca="1">IF(ECF[[#This Row],[σ (MPa)]]&lt;INDEX(tipoEstaca[],MATCH($D$2,tipoEstaca[TIPO DE ESTACA],0),MATCH("σmáx (MPa)",tipoEstaca[#Headers],0)),0.4%*PI()*ECF[[#This Row],[Ø (cm)]]^2/4,"N.S.")</f>
        <v>#DIV/0!</v>
      </c>
      <c r="AF33" s="1">
        <f>INDEX(tipoEstaca[],MATCH($D$2,tipoEstaca[TIPO DE ESTACA],0),MATCH(ECF[[#Headers],[Comprimento (m)]],tipoEstaca[#Headers],0))</f>
        <v>4</v>
      </c>
      <c r="AG33" s="5" t="e">
        <f ca="1">ECF[[#This Row],[As,mín (cm²)]]/100^2*ECF[[#This Row],[Comprimento (m)]]*7850</f>
        <v>#DIV/0!</v>
      </c>
      <c r="AH33" s="4" t="e">
        <f ca="1">ECF[[#This Row],[nE]]*ECF[[#This Row],[Prof. (m)]]*ECF[[#This Row],[Ap (m²)]]</f>
        <v>#DIV/0!</v>
      </c>
      <c r="AI33" s="1" t="e">
        <f ca="1">IF(ECF[[#This Row],[nE]]=1,0,MAX(3*ECF[[#This Row],[Ø (cm)]],60))</f>
        <v>#DIV/0!</v>
      </c>
      <c r="AJ33" s="1" t="e">
        <f ca="1">IF(ECF[[#This Row],[nE]]=1,ECF[[#This Row],[Ø (cm)]]+2*10,MAX(1.5*ECF[[#This Row],[Ø (cm)]],ECF[[#This Row],[Ø (cm)]]+15))</f>
        <v>#DIV/0!</v>
      </c>
      <c r="AK33" s="1" t="e">
        <f ca="1">alturaUtil(ECF[[#This Row],[nE]],ECF[[#This Row],[Ø (cm)]],ECF[[#This Row],[e (cm)]],ECF[[#This Row],[ap,eq (cm)]])</f>
        <v>#VALUE!</v>
      </c>
      <c r="AL33" s="1" t="str">
        <f ca="1">IFERROR(ECF[[#This Row],[d (cm)]]+arredondarParaCimaMultiplo5cm(MAX(5,SQRT(PI())/2*ECF[[#This Row],[Ø (cm)]]/5)),"N.S.")</f>
        <v>N.S.</v>
      </c>
      <c r="AM33" s="5" t="e">
        <f ca="1">alpha(ECF[[#This Row],[nE]],ECF[[#This Row],[d (cm)]],ECF[[#This Row],[e (cm)]],ECF[[#This Row],[ap,eq (cm)]])</f>
        <v>#VALUE!</v>
      </c>
      <c r="AN33" s="35" t="str">
        <f ca="1">IFERROR(ECF[[#This Row],[Nsd (kN)]]/(ECF[[#This Row],[Ap (cm²)]]*SIN(ECF[[#This Row],[α]])^2),"N.S.")</f>
        <v>N.S.</v>
      </c>
      <c r="AO33" s="35" t="str">
        <f ca="1">IFERROR(ECF[[#This Row],[Nsd (kN)]]/(ECF[[#This Row],[nE]]*PI()*ECF[[#This Row],[Ø (cm)]]^2/4*SIN(ECF[[#This Row],[α]])^2),"N.S.")</f>
        <v>N.S.</v>
      </c>
      <c r="AP33" s="4" t="str">
        <f ca="1">IFERROR(INDEX(grupoEstacas[],ECF[[#This Row],[nE]],MATCH("coef. Blévot",grupoEstacas[#Headers],0)),"N.S.")</f>
        <v>N.S.</v>
      </c>
      <c r="AQ33" s="35" t="str">
        <f ca="1">IFERROR(ECF[[#This Row],[coef. Blévot]]*0.9*INDEX(tipoEstaca[],MATCH($D$2,tipoEstaca[TIPO DE ESTACA],0),MATCH("fcd (kN/cm²)",tipoEstaca[#Headers],0)),"N.S.")</f>
        <v>N.S.</v>
      </c>
      <c r="AR33" s="1" t="str">
        <f ca="1">IF(AND(ECF[[#This Row],[cd,b,pil (kN/cm²)]]&lt;=ECF[[#This Row],[cd,b,lim (kN/cm²)]],ECF[[#This Row],[cd,b,est (kN/cm²)]]&lt;=ECF[[#This Row],[cd,b,lim (kN/cm²)]]),"OK","ERRO")</f>
        <v>OK</v>
      </c>
      <c r="AS33" s="4" t="e">
        <f ca="1">As_lado(ECF[[#This Row],[nE]],ECF[[#This Row],[Nsd (kN)]],ECF[[#This Row],[d (cm)]],ECF[[#This Row],[e (cm)]],ECF[[#This Row],[ap,eq (cm)]])</f>
        <v>#VALUE!</v>
      </c>
      <c r="AT33" s="4" t="e">
        <f ca="1">IF(ECF[[#This Row],[nE]]=1,ECF[[#This Row],[As,lado (cm²)]],IF(ECF[[#This Row],[nE]]=2,0.075*2*ECF[a (cm)],"N.A."))</f>
        <v>#DIV/0!</v>
      </c>
      <c r="AU33" s="4" t="str">
        <f ca="1">IFERROR(IF(ECF[[#This Row],[nE]]=1,"N.A.",0.2*ECF[[#This Row],[As,lado (cm²)]]),"N.S.")</f>
        <v>N.S.</v>
      </c>
      <c r="AV33" s="4" t="e">
        <f ca="1">As_malha(ECF[[#This Row],[nE]],ECF[[#This Row],[As,lado (cm²)]],ECF[[#This Row],[Nsd (kN)]])</f>
        <v>#VALUE!</v>
      </c>
      <c r="AW33" s="4" t="e">
        <f ca="1">As_susp_tot(ECF[[#This Row],[nE]],ECF[[#This Row],[Nsd (kN)]])</f>
        <v>#VALUE!</v>
      </c>
      <c r="AX33" s="4" t="e">
        <f ca="1">Asp_face(ECF[[#This Row],[nE]],ECF[[#This Row],[As,lado (cm²)]])</f>
        <v>#VALUE!</v>
      </c>
      <c r="AY33" s="5" t="e">
        <f ca="1">acoBloco(ECF[[#This Row],[nE]],ECF[[#This Row],[e (cm)]],ECF[[#This Row],[a (cm)]],ECF[[#This Row],[h (cm)]],ECF[[#This Row],[As,lado (cm²)]],ECF[[#This Row],[Asp e Asw (cm²/m)]],ECF[[#This Row],[As,sup (cm²)]],ECF[[#This Row],[As,malha (cm²)]],ECF[[#This Row],[As,susp,tot (cm²)]],ECF[[#This Row],[Asp,face (cm²)]])</f>
        <v>#VALUE!</v>
      </c>
      <c r="AZ33" s="4" t="e">
        <f ca="1">concretoBloco(ECF[[#This Row],[nE]],ECF[[#This Row],[e (cm)]],ECF[[#This Row],[a (cm)]],ECF[[#This Row],[h (cm)]])</f>
        <v>#VALUE!</v>
      </c>
      <c r="BA33" s="5" t="e">
        <f ca="1">SUM(ECF[[#This Row],[Aço Est (kg)]],ECF[[#This Row],[Aço Bloco (kg)]])</f>
        <v>#DIV/0!</v>
      </c>
      <c r="BB33" s="4">
        <f>INDEX(composicoes[],MATCH(95580,composicoes[CÓDIGO],0),MATCH("CUSTO TOTAL",composicoes[#Headers],0))</f>
        <v>10.46</v>
      </c>
      <c r="BC33" s="4" t="e">
        <f ca="1">SUM(ECF[[#This Row],[Conc Est (m³)]],ECF[[#This Row],[Conc Bloco (m³)]])</f>
        <v>#DIV/0!</v>
      </c>
      <c r="BD33" s="4">
        <f>INDEX(composicoes[],MATCH(94966,composicoes[CÓDIGO],0),MATCH("CUSTO TOTAL",composicoes[#Headers],0))</f>
        <v>439.52</v>
      </c>
      <c r="BE33" s="38" t="e">
        <f ca="1">ECF[[#This Row],[Aço (kg)]]*ECF[[#This Row],[Aço (R$/kg)]]+ECF[[#This Row],[Conc (m³)]]*ECF[[#This Row],[Conc (R$/m³)]]</f>
        <v>#DIV/0!</v>
      </c>
      <c r="BF33" s="4" t="str">
        <f ca="1">IF(COUNTIF(ECF[#This Row],"N.S.")&gt;0,"lim.","OK")</f>
        <v>lim.</v>
      </c>
      <c r="BG33" s="4" t="str">
        <f>IF(ECF[[#This Row],[Prof. (m)]]&lt;4,"lim.","OK")</f>
        <v>lim.</v>
      </c>
      <c r="BH33" s="4" t="str">
        <f>IF(ECF[[#This Row],[Prof. (m)]]&gt;=8*ECF[[#This Row],[Ø (cm)]]/100,"OK","lim.")</f>
        <v>lim.</v>
      </c>
      <c r="BI33" s="4" t="str">
        <f>IF(AND(SPT!$F$3&lt;&gt;"",ECF[[#This Row],[Prof. (m)]]&gt;=SPT!$F$3-2),"lim.","OK")</f>
        <v>OK</v>
      </c>
      <c r="BJ33" s="4" t="str">
        <f ca="1">IF(ECF[[#This Row],[Verif. Biela]]="OK","OK","lim.")</f>
        <v>OK</v>
      </c>
      <c r="BK33" s="4" t="str">
        <f ca="1">IF(COUNTA(ECF[[#This Row],[Nº Est.]:[Biela comp.]])=COUNTIF(ECF[[#This Row],[Nº Est.]:[Biela comp.]],"OK"),"OK","lim.")</f>
        <v>lim.</v>
      </c>
      <c r="BL33" s="4" t="str">
        <f ca="1">IF(ECF[[#This Row],[Controle]]="OK",ECF[[#This Row],[nE]]&amp;" Ø"&amp;ECF[[#This Row],[Ø (cm)]]&amp;"cm Prof. "&amp;ECF[[#This Row],[Prof. (m)]]&amp;" m","")</f>
        <v/>
      </c>
      <c r="BM33" s="4" t="str">
        <f ca="1">IF(ECF[[#This Row],[idDimensionamento]]="","",ECF[[#This Row],[idPilar]]&amp;ECF[[#This Row],[idDimensionamento]])</f>
        <v/>
      </c>
    </row>
    <row r="34" spans="2:65" x14ac:dyDescent="0.25">
      <c r="B34" s="12">
        <f>ROUNDUP((ROW(ECF[[#This Row],[idDiâmetro]])-ROW(ECF[[#Headers],[idDiâmetro]]))/(COUNT(SPT[Prof. (m)])*COUNT(PILARES[Pilar])),0)</f>
        <v>2</v>
      </c>
      <c r="C34" s="12">
        <f>IF(ECF[[#This Row],[idDiâmetro]]&lt;&gt;B33,1,IF(ECF[[#This Row],[Prof. (m)]]=0,C33+1,C33))</f>
        <v>1</v>
      </c>
      <c r="D34" s="1">
        <f>IFERROR(IF(D33=MAX(SPT[Prof. (m)]),0,D33+1),0)</f>
        <v>1</v>
      </c>
      <c r="E34" s="1">
        <f>INDEX(SPT[],MATCH(ECF[[#This Row],[Prof. (m)]],SPT[Prof. (m)],0),2)</f>
        <v>2</v>
      </c>
      <c r="F34" s="1" t="str">
        <f>INDEX(SPT[],MATCH(ECF[[#This Row],[Prof. (m)]],SPT[Prof. (m)],0),3)</f>
        <v>Areia siltosa</v>
      </c>
      <c r="G34" s="1">
        <f>INDEX(estacas[],ECF[[#This Row],[idDiâmetro]],MATCH($B$2,estacas[#Headers],0))</f>
        <v>70</v>
      </c>
      <c r="H34" s="1">
        <f>INDEX(estacas[],MATCH(ECF[[#This Row],[Ø (cm)]],estacas[Ø ECF (cm)],0),MATCH(ECF[[#Headers],[Pe ECF (kN)]],estacas[#Headers],0))</f>
        <v>1500</v>
      </c>
      <c r="I34" s="4">
        <f>INDEX(K_alpha_C[],MATCH(ECF[[#This Row],[Solo]],K_alpha_C[Solo],0),2)</f>
        <v>0.8</v>
      </c>
      <c r="J34" s="5">
        <f>INDEX(K_alpha_C[],MATCH(ECF[[#This Row],[Solo]],K_alpha_C[Solo],0),3)</f>
        <v>2</v>
      </c>
      <c r="K34" s="4">
        <f>INDEX(F1_F2[],MATCH($D$2,F1_F2[Tipo de estaca],0),2)</f>
        <v>3</v>
      </c>
      <c r="L34" s="4">
        <f>INDEX(F1_F2[],MATCH($D$2,F1_F2[Tipo de estaca],0),3)</f>
        <v>6</v>
      </c>
      <c r="M34" s="4">
        <f>PI()*(ECF[[#This Row],[Ø (cm)]]/100)^2/4</f>
        <v>0.38484510006474959</v>
      </c>
      <c r="N34" s="4">
        <f>PI()*ECF[[#This Row],[Ø (cm)]]/100</f>
        <v>2.1991148575128552</v>
      </c>
      <c r="O34" s="4">
        <f>IF(ECF[[#This Row],[Prof. (m)]]=0,0,ECF[[#This Row],[α (%)]]/100*ECF[[#This Row],[K (MPa)]]*1000*ECF[[#This Row],[NSPT]])</f>
        <v>32</v>
      </c>
      <c r="P34" s="4">
        <f>IF(ECF[[#This Row],[Prof. (m)]]=0,0,(ECF[[#This Row],[K (MPa)]]*1000*ECF[[#This Row],[NSPT]]/ECF[[#This Row],[F1]]*ECF[[#This Row],[Ap (m²)]]+ECF[[#This Row],[U (m)]]/ECF[[#This Row],[F2]]*SUMIFS(ECF[(α∙K∙NL∙ΔL)],ECF[Prof. (m)],"&lt;="&amp;ECF[[#This Row],[Prof. (m)]],ECF[idDiâmetro],ECF[[#This Row],[idDiâmetro]],ECF[idPilar],ECF[[#This Row],[idPilar]]))/'DADOS CAP. CARGA'!$D$2)</f>
        <v>108.48966630396751</v>
      </c>
      <c r="Q34" s="12">
        <f>INDEX(C_alpha_beta[],MATCH(ECF[[#This Row],[Solo]],C_alpha_beta[Solo],0),MATCH(ECF[[#Headers],[C (kPa)]],C_alpha_beta[#Headers],0))</f>
        <v>400</v>
      </c>
      <c r="R34" s="4">
        <f>INDEX(C_alpha_beta[],MATCH(ECF[[#This Row],[Solo]],C_alpha_beta[Solo],0),MATCH(ECF[[#Headers],[α ESF]],C_alpha_beta[#Headers],0))</f>
        <v>0.5</v>
      </c>
      <c r="S34" s="4">
        <f>INDEX(C_alpha_beta[],MATCH(ECF[[#This Row],[Solo]],C_alpha_beta[Solo],0),MATCH(ECF[[#Headers],[β ESF]],C_alpha_beta[#Headers],0))</f>
        <v>0.5</v>
      </c>
      <c r="T34" s="4">
        <f>IF(ECF[[#This Row],[Prof. (m)]]=0,0,10*(ECF[[#This Row],[NSPT]]/3+1))</f>
        <v>16.666666666666664</v>
      </c>
      <c r="U34" s="4">
        <f>(ECF[[#This Row],[α ESF]]*ECF[[#This Row],[C (kPa)]]*ECF[[#This Row],[NSPT]]*ECF[[#This Row],[Ap (m²)]])/'DADOS CAP. CARGA'!$Q$2+(ECF[[#This Row],[β ESF]]*SUMIFS(ECF[10∙(NL/3+1)],ECF[Prof. (m)],"&lt;="&amp;ECF[[#This Row],[Prof. (m)]],ECF[idDiâmetro],ECF[[#This Row],[idDiâmetro]],ECF[idPilar],ECF[[#This Row],[idPilar]])*ECF[[#This Row],[U (m)]])/'DADOS CAP. CARGA'!$S$2</f>
        <v>47.647488579445181</v>
      </c>
      <c r="V34" s="4">
        <f>IF(SPT!$M$5=1,MIN(ECF[[#This Row],[Pe ECF (kN)]],ECF[[#This Row],[R_AV (kN)]]),IF(SPT!$M$5=2,MIN(ECF[[#This Row],[Pe ECF (kN)]],ECF[[#This Row],[R_DC (kN)]]),MIN(ECF[[#This Row],[Pe ECF (kN)]],ECF[[#This Row],[R_AV (kN)]],ECF[[#This Row],[R_DC (kN)]])))</f>
        <v>47.647488579445181</v>
      </c>
      <c r="W34" s="4">
        <f>INDEX(PILARES[],ECF[[#This Row],[idPilar]],MATCH("Carga (kN)",PILARES[#Headers],0))*1.4</f>
        <v>3500</v>
      </c>
      <c r="X34" s="12">
        <f>INDEX(PILARES[],ECF[[#This Row],[idPilar]],MATCH(ECF[[#Headers],[ap (cm)]],PILARES[#Headers],0))</f>
        <v>60</v>
      </c>
      <c r="Y34" s="12">
        <f>INDEX(PILARES[],ECF[[#This Row],[idPilar]],MATCH(ECF[[#Headers],[bp (cm)]],PILARES[#Headers],0))</f>
        <v>60</v>
      </c>
      <c r="Z34" s="4">
        <f>SQRT(ECF[[#This Row],[ap (cm)]]*ECF[[#This Row],[bp (cm)]])</f>
        <v>60</v>
      </c>
      <c r="AA34" s="12">
        <f>ECF[[#This Row],[ap (cm)]]*ECF[[#This Row],[bp (cm)]]</f>
        <v>3600</v>
      </c>
      <c r="AB34" s="12">
        <f ca="1">IF(ECF[[#This Row],[Padm∙ε (kN)]]&gt;=ECF[[#This Row],[Padm (kN)]],ROUNDUP(1.05*ECF[[#This Row],[Nsd (kN)]]/ECF[[#This Row],[Padm (kN)]],0),ROUNDUP(1.05*ECF[[#This Row],[Nsd (kN)]]/ECF[[#This Row],[Padm (kN)]],0)+1)</f>
        <v>78</v>
      </c>
      <c r="AC34" s="4" t="str">
        <f ca="1">IFERROR(IF(ECF[[#This Row],[nE]]=1,ECF[[#This Row],[Padm (kN)]],ECF[[#This Row],[Padm (kN)]]*ECF[[#This Row],[nE]]*INDEX(grupoEstacas[],ECF[[#This Row],[nE]],MATCH("ε",grupoEstacas[#Headers],0))),"N.S.")</f>
        <v>N.S.</v>
      </c>
      <c r="AD34" s="4">
        <f ca="1">1.05*ECF[[#This Row],[Nsd (kN)]]/(ECF[[#This Row],[nE]]*PI()*ECF[[#This Row],[Ø (cm)]]^2/4)*10</f>
        <v>0.12242687930145796</v>
      </c>
      <c r="AE34" s="4">
        <f ca="1">IF(ECF[[#This Row],[σ (MPa)]]&lt;INDEX(tipoEstaca[],MATCH($D$2,tipoEstaca[TIPO DE ESTACA],0),MATCH("σmáx (MPa)",tipoEstaca[#Headers],0)),0.4%*PI()*ECF[[#This Row],[Ø (cm)]]^2/4,"N.S.")</f>
        <v>15.393804002589988</v>
      </c>
      <c r="AF34" s="1">
        <f>INDEX(tipoEstaca[],MATCH($D$2,tipoEstaca[TIPO DE ESTACA],0),MATCH(ECF[[#Headers],[Comprimento (m)]],tipoEstaca[#Headers],0))</f>
        <v>4</v>
      </c>
      <c r="AG34" s="5">
        <f ca="1">ECF[[#This Row],[As,mín (cm²)]]/100^2*ECF[[#This Row],[Comprimento (m)]]*7850</f>
        <v>48.33654456813256</v>
      </c>
      <c r="AH34" s="4">
        <f ca="1">ECF[[#This Row],[nE]]*ECF[[#This Row],[Prof. (m)]]*ECF[[#This Row],[Ap (m²)]]</f>
        <v>30.01791780505047</v>
      </c>
      <c r="AI34" s="1">
        <f ca="1">IF(ECF[[#This Row],[nE]]=1,0,MAX(3*ECF[[#This Row],[Ø (cm)]],60))</f>
        <v>210</v>
      </c>
      <c r="AJ34" s="1">
        <f ca="1">IF(ECF[[#This Row],[nE]]=1,ECF[[#This Row],[Ø (cm)]]+2*10,MAX(1.5*ECF[[#This Row],[Ø (cm)]],ECF[[#This Row],[Ø (cm)]]+15))</f>
        <v>105</v>
      </c>
      <c r="AK34" s="1" t="str">
        <f ca="1">alturaUtil(ECF[[#This Row],[nE]],ECF[[#This Row],[Ø (cm)]],ECF[[#This Row],[e (cm)]],ECF[[#This Row],[ap,eq (cm)]])</f>
        <v>N.S.</v>
      </c>
      <c r="AL34" s="1" t="str">
        <f ca="1">IFERROR(ECF[[#This Row],[d (cm)]]+arredondarParaCimaMultiplo5cm(MAX(5,SQRT(PI())/2*ECF[[#This Row],[Ø (cm)]]/5)),"N.S.")</f>
        <v>N.S.</v>
      </c>
      <c r="AM34" s="5" t="str">
        <f ca="1">alpha(ECF[[#This Row],[nE]],ECF[[#This Row],[d (cm)]],ECF[[#This Row],[e (cm)]],ECF[[#This Row],[ap,eq (cm)]])</f>
        <v>N.S.</v>
      </c>
      <c r="AN34" s="35" t="str">
        <f ca="1">IFERROR(ECF[[#This Row],[Nsd (kN)]]/(ECF[[#This Row],[Ap (cm²)]]*SIN(ECF[[#This Row],[α]])^2),"N.S.")</f>
        <v>N.S.</v>
      </c>
      <c r="AO34" s="35" t="str">
        <f ca="1">IFERROR(ECF[[#This Row],[Nsd (kN)]]/(ECF[[#This Row],[nE]]*PI()*ECF[[#This Row],[Ø (cm)]]^2/4*SIN(ECF[[#This Row],[α]])^2),"N.S.")</f>
        <v>N.S.</v>
      </c>
      <c r="AP34" s="4" t="str">
        <f ca="1">IFERROR(INDEX(grupoEstacas[],ECF[[#This Row],[nE]],MATCH("coef. Blévot",grupoEstacas[#Headers],0)),"N.S.")</f>
        <v>N.S.</v>
      </c>
      <c r="AQ34" s="35" t="str">
        <f ca="1">IFERROR(ECF[[#This Row],[coef. Blévot]]*0.9*INDEX(tipoEstaca[],MATCH($D$2,tipoEstaca[TIPO DE ESTACA],0),MATCH("fcd (kN/cm²)",tipoEstaca[#Headers],0)),"N.S.")</f>
        <v>N.S.</v>
      </c>
      <c r="AR34" s="1" t="str">
        <f ca="1">IF(AND(ECF[[#This Row],[cd,b,pil (kN/cm²)]]&lt;=ECF[[#This Row],[cd,b,lim (kN/cm²)]],ECF[[#This Row],[cd,b,est (kN/cm²)]]&lt;=ECF[[#This Row],[cd,b,lim (kN/cm²)]]),"OK","ERRO")</f>
        <v>OK</v>
      </c>
      <c r="AS34" s="4" t="str">
        <f ca="1">As_lado(ECF[[#This Row],[nE]],ECF[[#This Row],[Nsd (kN)]],ECF[[#This Row],[d (cm)]],ECF[[#This Row],[e (cm)]],ECF[[#This Row],[ap,eq (cm)]])</f>
        <v>N.S.</v>
      </c>
      <c r="AT34" s="4" t="str">
        <f ca="1">IF(ECF[[#This Row],[nE]]=1,ECF[[#This Row],[As,lado (cm²)]],IF(ECF[[#This Row],[nE]]=2,0.075*2*ECF[a (cm)],"N.A."))</f>
        <v>N.A.</v>
      </c>
      <c r="AU34" s="4" t="str">
        <f ca="1">IFERROR(IF(ECF[[#This Row],[nE]]=1,"N.A.",0.2*ECF[[#This Row],[As,lado (cm²)]]),"N.S.")</f>
        <v>N.S.</v>
      </c>
      <c r="AV34" s="4" t="str">
        <f ca="1">As_malha(ECF[[#This Row],[nE]],ECF[[#This Row],[As,lado (cm²)]],ECF[[#This Row],[Nsd (kN)]])</f>
        <v>N.S.</v>
      </c>
      <c r="AW34" s="4" t="str">
        <f ca="1">As_susp_tot(ECF[[#This Row],[nE]],ECF[[#This Row],[Nsd (kN)]])</f>
        <v>N.S.</v>
      </c>
      <c r="AX34" s="4" t="str">
        <f ca="1">Asp_face(ECF[[#This Row],[nE]],ECF[[#This Row],[As,lado (cm²)]])</f>
        <v>N.S.</v>
      </c>
      <c r="AY34" s="5" t="str">
        <f ca="1">acoBloco(ECF[[#This Row],[nE]],ECF[[#This Row],[e (cm)]],ECF[[#This Row],[a (cm)]],ECF[[#This Row],[h (cm)]],ECF[[#This Row],[As,lado (cm²)]],ECF[[#This Row],[Asp e Asw (cm²/m)]],ECF[[#This Row],[As,sup (cm²)]],ECF[[#This Row],[As,malha (cm²)]],ECF[[#This Row],[As,susp,tot (cm²)]],ECF[[#This Row],[Asp,face (cm²)]])</f>
        <v>N.S.</v>
      </c>
      <c r="AZ34" s="4" t="str">
        <f ca="1">concretoBloco(ECF[[#This Row],[nE]],ECF[[#This Row],[e (cm)]],ECF[[#This Row],[a (cm)]],ECF[[#This Row],[h (cm)]])</f>
        <v>N.S.</v>
      </c>
      <c r="BA34" s="5">
        <f ca="1">SUM(ECF[[#This Row],[Aço Est (kg)]],ECF[[#This Row],[Aço Bloco (kg)]])</f>
        <v>48.33654456813256</v>
      </c>
      <c r="BB34" s="4">
        <f>INDEX(composicoes[],MATCH(95580,composicoes[CÓDIGO],0),MATCH("CUSTO TOTAL",composicoes[#Headers],0))</f>
        <v>10.46</v>
      </c>
      <c r="BC34" s="4">
        <f ca="1">SUM(ECF[[#This Row],[Conc Est (m³)]],ECF[[#This Row],[Conc Bloco (m³)]])</f>
        <v>30.01791780505047</v>
      </c>
      <c r="BD34" s="4">
        <f>INDEX(composicoes[],MATCH(94966,composicoes[CÓDIGO],0),MATCH("CUSTO TOTAL",composicoes[#Headers],0))</f>
        <v>439.52</v>
      </c>
      <c r="BE34" s="38">
        <f ca="1">ECF[[#This Row],[Aço (kg)]]*ECF[[#This Row],[Aço (R$/kg)]]+ECF[[#This Row],[Conc (m³)]]*ECF[[#This Row],[Conc (R$/m³)]]</f>
        <v>13699.075489858447</v>
      </c>
      <c r="BF34" s="4" t="str">
        <f ca="1">IF(COUNTIF(ECF[#This Row],"N.S.")&gt;0,"lim.","OK")</f>
        <v>lim.</v>
      </c>
      <c r="BG34" s="4" t="str">
        <f>IF(ECF[[#This Row],[Prof. (m)]]&lt;4,"lim.","OK")</f>
        <v>lim.</v>
      </c>
      <c r="BH34" s="4" t="str">
        <f>IF(ECF[[#This Row],[Prof. (m)]]&gt;=8*ECF[[#This Row],[Ø (cm)]]/100,"OK","lim.")</f>
        <v>lim.</v>
      </c>
      <c r="BI34" s="4" t="str">
        <f>IF(AND(SPT!$F$3&lt;&gt;"",ECF[[#This Row],[Prof. (m)]]&gt;=SPT!$F$3-2),"lim.","OK")</f>
        <v>OK</v>
      </c>
      <c r="BJ34" s="4" t="str">
        <f ca="1">IF(ECF[[#This Row],[Verif. Biela]]="OK","OK","lim.")</f>
        <v>OK</v>
      </c>
      <c r="BK34" s="4" t="str">
        <f ca="1">IF(COUNTA(ECF[[#This Row],[Nº Est.]:[Biela comp.]])=COUNTIF(ECF[[#This Row],[Nº Est.]:[Biela comp.]],"OK"),"OK","lim.")</f>
        <v>lim.</v>
      </c>
      <c r="BL34" s="4" t="str">
        <f ca="1">IF(ECF[[#This Row],[Controle]]="OK",ECF[[#This Row],[nE]]&amp;" Ø"&amp;ECF[[#This Row],[Ø (cm)]]&amp;"cm Prof. "&amp;ECF[[#This Row],[Prof. (m)]]&amp;" m","")</f>
        <v/>
      </c>
      <c r="BM34" s="4" t="str">
        <f ca="1">IF(ECF[[#This Row],[idDimensionamento]]="","",ECF[[#This Row],[idPilar]]&amp;ECF[[#This Row],[idDimensionamento]])</f>
        <v/>
      </c>
    </row>
    <row r="35" spans="2:65" x14ac:dyDescent="0.25">
      <c r="B35" s="12">
        <f>ROUNDUP((ROW(ECF[[#This Row],[idDiâmetro]])-ROW(ECF[[#Headers],[idDiâmetro]]))/(COUNT(SPT[Prof. (m)])*COUNT(PILARES[Pilar])),0)</f>
        <v>2</v>
      </c>
      <c r="C35" s="12">
        <f>IF(ECF[[#This Row],[idDiâmetro]]&lt;&gt;B34,1,IF(ECF[[#This Row],[Prof. (m)]]=0,C34+1,C34))</f>
        <v>1</v>
      </c>
      <c r="D35" s="1">
        <f>IFERROR(IF(D34=MAX(SPT[Prof. (m)]),0,D34+1),0)</f>
        <v>2</v>
      </c>
      <c r="E35" s="1">
        <f>INDEX(SPT[],MATCH(ECF[[#This Row],[Prof. (m)]],SPT[Prof. (m)],0),2)</f>
        <v>2</v>
      </c>
      <c r="F35" s="1" t="str">
        <f>INDEX(SPT[],MATCH(ECF[[#This Row],[Prof. (m)]],SPT[Prof. (m)],0),3)</f>
        <v>Areia siltosa</v>
      </c>
      <c r="G35" s="1">
        <f>INDEX(estacas[],ECF[[#This Row],[idDiâmetro]],MATCH($B$2,estacas[#Headers],0))</f>
        <v>70</v>
      </c>
      <c r="H35" s="1">
        <f>INDEX(estacas[],MATCH(ECF[[#This Row],[Ø (cm)]],estacas[Ø ECF (cm)],0),MATCH(ECF[[#Headers],[Pe ECF (kN)]],estacas[#Headers],0))</f>
        <v>1500</v>
      </c>
      <c r="I35" s="4">
        <f>INDEX(K_alpha_C[],MATCH(ECF[[#This Row],[Solo]],K_alpha_C[Solo],0),2)</f>
        <v>0.8</v>
      </c>
      <c r="J35" s="5">
        <f>INDEX(K_alpha_C[],MATCH(ECF[[#This Row],[Solo]],K_alpha_C[Solo],0),3)</f>
        <v>2</v>
      </c>
      <c r="K35" s="4">
        <f>INDEX(F1_F2[],MATCH($D$2,F1_F2[Tipo de estaca],0),2)</f>
        <v>3</v>
      </c>
      <c r="L35" s="4">
        <f>INDEX(F1_F2[],MATCH($D$2,F1_F2[Tipo de estaca],0),3)</f>
        <v>6</v>
      </c>
      <c r="M35" s="4">
        <f>PI()*(ECF[[#This Row],[Ø (cm)]]/100)^2/4</f>
        <v>0.38484510006474959</v>
      </c>
      <c r="N35" s="4">
        <f>PI()*ECF[[#This Row],[Ø (cm)]]/100</f>
        <v>2.1991148575128552</v>
      </c>
      <c r="O35" s="4">
        <f>IF(ECF[[#This Row],[Prof. (m)]]=0,0,ECF[[#This Row],[α (%)]]/100*ECF[[#This Row],[K (MPa)]]*1000*ECF[[#This Row],[NSPT]])</f>
        <v>32</v>
      </c>
      <c r="P35" s="4">
        <f>IF(ECF[[#This Row],[Prof. (m)]]=0,0,(ECF[[#This Row],[K (MPa)]]*1000*ECF[[#This Row],[NSPT]]/ECF[[#This Row],[F1]]*ECF[[#This Row],[Ap (m²)]]+ECF[[#This Row],[U (m)]]/ECF[[#This Row],[F2]]*SUMIFS(ECF[(α∙K∙NL∙ΔL)],ECF[Prof. (m)],"&lt;="&amp;ECF[[#This Row],[Prof. (m)]],ECF[idDiâmetro],ECF[[#This Row],[idDiâmetro]],ECF[idPilar],ECF[[#This Row],[idPilar]]))/'DADOS CAP. CARGA'!$D$2)</f>
        <v>114.35397259066845</v>
      </c>
      <c r="Q35" s="12">
        <f>INDEX(C_alpha_beta[],MATCH(ECF[[#This Row],[Solo]],C_alpha_beta[Solo],0),MATCH(ECF[[#Headers],[C (kPa)]],C_alpha_beta[#Headers],0))</f>
        <v>400</v>
      </c>
      <c r="R35" s="4">
        <f>INDEX(C_alpha_beta[],MATCH(ECF[[#This Row],[Solo]],C_alpha_beta[Solo],0),MATCH(ECF[[#Headers],[α ESF]],C_alpha_beta[#Headers],0))</f>
        <v>0.5</v>
      </c>
      <c r="S35" s="4">
        <f>INDEX(C_alpha_beta[],MATCH(ECF[[#This Row],[Solo]],C_alpha_beta[Solo],0),MATCH(ECF[[#Headers],[β ESF]],C_alpha_beta[#Headers],0))</f>
        <v>0.5</v>
      </c>
      <c r="T35" s="4">
        <f>IF(ECF[[#This Row],[Prof. (m)]]=0,0,10*(ECF[[#This Row],[NSPT]]/3+1))</f>
        <v>16.666666666666664</v>
      </c>
      <c r="U35" s="4">
        <f>(ECF[[#This Row],[α ESF]]*ECF[[#This Row],[C (kPa)]]*ECF[[#This Row],[NSPT]]*ECF[[#This Row],[Ap (m²)]])/'DADOS CAP. CARGA'!$Q$2+(ECF[[#This Row],[β ESF]]*SUMIFS(ECF[10∙(NL/3+1)],ECF[Prof. (m)],"&lt;="&amp;ECF[[#This Row],[Prof. (m)]],ECF[idDiâmetro],ECF[[#This Row],[idDiâmetro]],ECF[idPilar],ECF[[#This Row],[idPilar]])*ECF[[#This Row],[U (m)]])/'DADOS CAP. CARGA'!$S$2</f>
        <v>56.810467152415413</v>
      </c>
      <c r="V35" s="4">
        <f>IF(SPT!$M$5=1,MIN(ECF[[#This Row],[Pe ECF (kN)]],ECF[[#This Row],[R_AV (kN)]]),IF(SPT!$M$5=2,MIN(ECF[[#This Row],[Pe ECF (kN)]],ECF[[#This Row],[R_DC (kN)]]),MIN(ECF[[#This Row],[Pe ECF (kN)]],ECF[[#This Row],[R_AV (kN)]],ECF[[#This Row],[R_DC (kN)]])))</f>
        <v>56.810467152415413</v>
      </c>
      <c r="W35" s="4">
        <f>INDEX(PILARES[],ECF[[#This Row],[idPilar]],MATCH("Carga (kN)",PILARES[#Headers],0))*1.4</f>
        <v>3500</v>
      </c>
      <c r="X35" s="12">
        <f>INDEX(PILARES[],ECF[[#This Row],[idPilar]],MATCH(ECF[[#Headers],[ap (cm)]],PILARES[#Headers],0))</f>
        <v>60</v>
      </c>
      <c r="Y35" s="12">
        <f>INDEX(PILARES[],ECF[[#This Row],[idPilar]],MATCH(ECF[[#Headers],[bp (cm)]],PILARES[#Headers],0))</f>
        <v>60</v>
      </c>
      <c r="Z35" s="4">
        <f>SQRT(ECF[[#This Row],[ap (cm)]]*ECF[[#This Row],[bp (cm)]])</f>
        <v>60</v>
      </c>
      <c r="AA35" s="12">
        <f>ECF[[#This Row],[ap (cm)]]*ECF[[#This Row],[bp (cm)]]</f>
        <v>3600</v>
      </c>
      <c r="AB35" s="12">
        <f ca="1">IF(ECF[[#This Row],[Padm∙ε (kN)]]&gt;=ECF[[#This Row],[Padm (kN)]],ROUNDUP(1.05*ECF[[#This Row],[Nsd (kN)]]/ECF[[#This Row],[Padm (kN)]],0),ROUNDUP(1.05*ECF[[#This Row],[Nsd (kN)]]/ECF[[#This Row],[Padm (kN)]],0)+1)</f>
        <v>65</v>
      </c>
      <c r="AC35" s="4" t="str">
        <f ca="1">IFERROR(IF(ECF[[#This Row],[nE]]=1,ECF[[#This Row],[Padm (kN)]],ECF[[#This Row],[Padm (kN)]]*ECF[[#This Row],[nE]]*INDEX(grupoEstacas[],ECF[[#This Row],[nE]],MATCH("ε",grupoEstacas[#Headers],0))),"N.S.")</f>
        <v>N.S.</v>
      </c>
      <c r="AD35" s="4">
        <f ca="1">1.05*ECF[[#This Row],[Nsd (kN)]]/(ECF[[#This Row],[nE]]*PI()*ECF[[#This Row],[Ø (cm)]]^2/4)*10</f>
        <v>0.14691225516174955</v>
      </c>
      <c r="AE35" s="4">
        <f ca="1">IF(ECF[[#This Row],[σ (MPa)]]&lt;INDEX(tipoEstaca[],MATCH($D$2,tipoEstaca[TIPO DE ESTACA],0),MATCH("σmáx (MPa)",tipoEstaca[#Headers],0)),0.4%*PI()*ECF[[#This Row],[Ø (cm)]]^2/4,"N.S.")</f>
        <v>15.393804002589988</v>
      </c>
      <c r="AF35" s="1">
        <f>INDEX(tipoEstaca[],MATCH($D$2,tipoEstaca[TIPO DE ESTACA],0),MATCH(ECF[[#Headers],[Comprimento (m)]],tipoEstaca[#Headers],0))</f>
        <v>4</v>
      </c>
      <c r="AG35" s="5">
        <f ca="1">ECF[[#This Row],[As,mín (cm²)]]/100^2*ECF[[#This Row],[Comprimento (m)]]*7850</f>
        <v>48.33654456813256</v>
      </c>
      <c r="AH35" s="4">
        <f ca="1">ECF[[#This Row],[nE]]*ECF[[#This Row],[Prof. (m)]]*ECF[[#This Row],[Ap (m²)]]</f>
        <v>50.029863008417443</v>
      </c>
      <c r="AI35" s="1">
        <f ca="1">IF(ECF[[#This Row],[nE]]=1,0,MAX(3*ECF[[#This Row],[Ø (cm)]],60))</f>
        <v>210</v>
      </c>
      <c r="AJ35" s="1">
        <f ca="1">IF(ECF[[#This Row],[nE]]=1,ECF[[#This Row],[Ø (cm)]]+2*10,MAX(1.5*ECF[[#This Row],[Ø (cm)]],ECF[[#This Row],[Ø (cm)]]+15))</f>
        <v>105</v>
      </c>
      <c r="AK35" s="1" t="str">
        <f ca="1">alturaUtil(ECF[[#This Row],[nE]],ECF[[#This Row],[Ø (cm)]],ECF[[#This Row],[e (cm)]],ECF[[#This Row],[ap,eq (cm)]])</f>
        <v>N.S.</v>
      </c>
      <c r="AL35" s="1" t="str">
        <f ca="1">IFERROR(ECF[[#This Row],[d (cm)]]+arredondarParaCimaMultiplo5cm(MAX(5,SQRT(PI())/2*ECF[[#This Row],[Ø (cm)]]/5)),"N.S.")</f>
        <v>N.S.</v>
      </c>
      <c r="AM35" s="5" t="str">
        <f ca="1">alpha(ECF[[#This Row],[nE]],ECF[[#This Row],[d (cm)]],ECF[[#This Row],[e (cm)]],ECF[[#This Row],[ap,eq (cm)]])</f>
        <v>N.S.</v>
      </c>
      <c r="AN35" s="35" t="str">
        <f ca="1">IFERROR(ECF[[#This Row],[Nsd (kN)]]/(ECF[[#This Row],[Ap (cm²)]]*SIN(ECF[[#This Row],[α]])^2),"N.S.")</f>
        <v>N.S.</v>
      </c>
      <c r="AO35" s="35" t="str">
        <f ca="1">IFERROR(ECF[[#This Row],[Nsd (kN)]]/(ECF[[#This Row],[nE]]*PI()*ECF[[#This Row],[Ø (cm)]]^2/4*SIN(ECF[[#This Row],[α]])^2),"N.S.")</f>
        <v>N.S.</v>
      </c>
      <c r="AP35" s="4" t="str">
        <f ca="1">IFERROR(INDEX(grupoEstacas[],ECF[[#This Row],[nE]],MATCH("coef. Blévot",grupoEstacas[#Headers],0)),"N.S.")</f>
        <v>N.S.</v>
      </c>
      <c r="AQ35" s="35" t="str">
        <f ca="1">IFERROR(ECF[[#This Row],[coef. Blévot]]*0.9*INDEX(tipoEstaca[],MATCH($D$2,tipoEstaca[TIPO DE ESTACA],0),MATCH("fcd (kN/cm²)",tipoEstaca[#Headers],0)),"N.S.")</f>
        <v>N.S.</v>
      </c>
      <c r="AR35" s="1" t="str">
        <f ca="1">IF(AND(ECF[[#This Row],[cd,b,pil (kN/cm²)]]&lt;=ECF[[#This Row],[cd,b,lim (kN/cm²)]],ECF[[#This Row],[cd,b,est (kN/cm²)]]&lt;=ECF[[#This Row],[cd,b,lim (kN/cm²)]]),"OK","ERRO")</f>
        <v>OK</v>
      </c>
      <c r="AS35" s="4" t="str">
        <f ca="1">As_lado(ECF[[#This Row],[nE]],ECF[[#This Row],[Nsd (kN)]],ECF[[#This Row],[d (cm)]],ECF[[#This Row],[e (cm)]],ECF[[#This Row],[ap,eq (cm)]])</f>
        <v>N.S.</v>
      </c>
      <c r="AT35" s="4" t="str">
        <f ca="1">IF(ECF[[#This Row],[nE]]=1,ECF[[#This Row],[As,lado (cm²)]],IF(ECF[[#This Row],[nE]]=2,0.075*2*ECF[a (cm)],"N.A."))</f>
        <v>N.A.</v>
      </c>
      <c r="AU35" s="4" t="str">
        <f ca="1">IFERROR(IF(ECF[[#This Row],[nE]]=1,"N.A.",0.2*ECF[[#This Row],[As,lado (cm²)]]),"N.S.")</f>
        <v>N.S.</v>
      </c>
      <c r="AV35" s="4" t="str">
        <f ca="1">As_malha(ECF[[#This Row],[nE]],ECF[[#This Row],[As,lado (cm²)]],ECF[[#This Row],[Nsd (kN)]])</f>
        <v>N.S.</v>
      </c>
      <c r="AW35" s="4" t="str">
        <f ca="1">As_susp_tot(ECF[[#This Row],[nE]],ECF[[#This Row],[Nsd (kN)]])</f>
        <v>N.S.</v>
      </c>
      <c r="AX35" s="4" t="str">
        <f ca="1">Asp_face(ECF[[#This Row],[nE]],ECF[[#This Row],[As,lado (cm²)]])</f>
        <v>N.S.</v>
      </c>
      <c r="AY35" s="5" t="str">
        <f ca="1">acoBloco(ECF[[#This Row],[nE]],ECF[[#This Row],[e (cm)]],ECF[[#This Row],[a (cm)]],ECF[[#This Row],[h (cm)]],ECF[[#This Row],[As,lado (cm²)]],ECF[[#This Row],[Asp e Asw (cm²/m)]],ECF[[#This Row],[As,sup (cm²)]],ECF[[#This Row],[As,malha (cm²)]],ECF[[#This Row],[As,susp,tot (cm²)]],ECF[[#This Row],[Asp,face (cm²)]])</f>
        <v>N.S.</v>
      </c>
      <c r="AZ35" s="4" t="str">
        <f ca="1">concretoBloco(ECF[[#This Row],[nE]],ECF[[#This Row],[e (cm)]],ECF[[#This Row],[a (cm)]],ECF[[#This Row],[h (cm)]])</f>
        <v>N.S.</v>
      </c>
      <c r="BA35" s="5">
        <f ca="1">SUM(ECF[[#This Row],[Aço Est (kg)]],ECF[[#This Row],[Aço Bloco (kg)]])</f>
        <v>48.33654456813256</v>
      </c>
      <c r="BB35" s="4">
        <f>INDEX(composicoes[],MATCH(95580,composicoes[CÓDIGO],0),MATCH("CUSTO TOTAL",composicoes[#Headers],0))</f>
        <v>10.46</v>
      </c>
      <c r="BC35" s="4">
        <f ca="1">SUM(ECF[[#This Row],[Conc Est (m³)]],ECF[[#This Row],[Conc Bloco (m³)]])</f>
        <v>50.029863008417443</v>
      </c>
      <c r="BD35" s="4">
        <f>INDEX(composicoes[],MATCH(94966,composicoes[CÓDIGO],0),MATCH("CUSTO TOTAL",composicoes[#Headers],0))</f>
        <v>439.52</v>
      </c>
      <c r="BE35" s="38">
        <f ca="1">ECF[[#This Row],[Aço (kg)]]*ECF[[#This Row],[Aço (R$/kg)]]+ECF[[#This Row],[Conc (m³)]]*ECF[[#This Row],[Conc (R$/m³)]]</f>
        <v>22494.725645642302</v>
      </c>
      <c r="BF35" s="4" t="str">
        <f ca="1">IF(COUNTIF(ECF[#This Row],"N.S.")&gt;0,"lim.","OK")</f>
        <v>lim.</v>
      </c>
      <c r="BG35" s="4" t="str">
        <f>IF(ECF[[#This Row],[Prof. (m)]]&lt;4,"lim.","OK")</f>
        <v>lim.</v>
      </c>
      <c r="BH35" s="4" t="str">
        <f>IF(ECF[[#This Row],[Prof. (m)]]&gt;=8*ECF[[#This Row],[Ø (cm)]]/100,"OK","lim.")</f>
        <v>lim.</v>
      </c>
      <c r="BI35" s="4" t="str">
        <f>IF(AND(SPT!$F$3&lt;&gt;"",ECF[[#This Row],[Prof. (m)]]&gt;=SPT!$F$3-2),"lim.","OK")</f>
        <v>OK</v>
      </c>
      <c r="BJ35" s="4" t="str">
        <f ca="1">IF(ECF[[#This Row],[Verif. Biela]]="OK","OK","lim.")</f>
        <v>OK</v>
      </c>
      <c r="BK35" s="4" t="str">
        <f ca="1">IF(COUNTA(ECF[[#This Row],[Nº Est.]:[Biela comp.]])=COUNTIF(ECF[[#This Row],[Nº Est.]:[Biela comp.]],"OK"),"OK","lim.")</f>
        <v>lim.</v>
      </c>
      <c r="BL35" s="4" t="str">
        <f ca="1">IF(ECF[[#This Row],[Controle]]="OK",ECF[[#This Row],[nE]]&amp;" Ø"&amp;ECF[[#This Row],[Ø (cm)]]&amp;"cm Prof. "&amp;ECF[[#This Row],[Prof. (m)]]&amp;" m","")</f>
        <v/>
      </c>
      <c r="BM35" s="4" t="str">
        <f ca="1">IF(ECF[[#This Row],[idDimensionamento]]="","",ECF[[#This Row],[idPilar]]&amp;ECF[[#This Row],[idDimensionamento]])</f>
        <v/>
      </c>
    </row>
    <row r="36" spans="2:65" x14ac:dyDescent="0.25">
      <c r="B36" s="12">
        <f>ROUNDUP((ROW(ECF[[#This Row],[idDiâmetro]])-ROW(ECF[[#Headers],[idDiâmetro]]))/(COUNT(SPT[Prof. (m)])*COUNT(PILARES[Pilar])),0)</f>
        <v>2</v>
      </c>
      <c r="C36" s="12">
        <f>IF(ECF[[#This Row],[idDiâmetro]]&lt;&gt;B35,1,IF(ECF[[#This Row],[Prof. (m)]]=0,C35+1,C35))</f>
        <v>1</v>
      </c>
      <c r="D36" s="1">
        <f>IFERROR(IF(D35=MAX(SPT[Prof. (m)]),0,D35+1),0)</f>
        <v>3</v>
      </c>
      <c r="E36" s="1">
        <f>INDEX(SPT[],MATCH(ECF[[#This Row],[Prof. (m)]],SPT[Prof. (m)],0),2)</f>
        <v>4</v>
      </c>
      <c r="F36" s="1" t="str">
        <f>INDEX(SPT[],MATCH(ECF[[#This Row],[Prof. (m)]],SPT[Prof. (m)],0),3)</f>
        <v>Areia siltosa</v>
      </c>
      <c r="G36" s="1">
        <f>INDEX(estacas[],ECF[[#This Row],[idDiâmetro]],MATCH($B$2,estacas[#Headers],0))</f>
        <v>70</v>
      </c>
      <c r="H36" s="1">
        <f>INDEX(estacas[],MATCH(ECF[[#This Row],[Ø (cm)]],estacas[Ø ECF (cm)],0),MATCH(ECF[[#Headers],[Pe ECF (kN)]],estacas[#Headers],0))</f>
        <v>1500</v>
      </c>
      <c r="I36" s="4">
        <f>INDEX(K_alpha_C[],MATCH(ECF[[#This Row],[Solo]],K_alpha_C[Solo],0),2)</f>
        <v>0.8</v>
      </c>
      <c r="J36" s="5">
        <f>INDEX(K_alpha_C[],MATCH(ECF[[#This Row],[Solo]],K_alpha_C[Solo],0),3)</f>
        <v>2</v>
      </c>
      <c r="K36" s="4">
        <f>INDEX(F1_F2[],MATCH($D$2,F1_F2[Tipo de estaca],0),2)</f>
        <v>3</v>
      </c>
      <c r="L36" s="4">
        <f>INDEX(F1_F2[],MATCH($D$2,F1_F2[Tipo de estaca],0),3)</f>
        <v>6</v>
      </c>
      <c r="M36" s="4">
        <f>PI()*(ECF[[#This Row],[Ø (cm)]]/100)^2/4</f>
        <v>0.38484510006474959</v>
      </c>
      <c r="N36" s="4">
        <f>PI()*ECF[[#This Row],[Ø (cm)]]/100</f>
        <v>2.1991148575128552</v>
      </c>
      <c r="O36" s="4">
        <f>IF(ECF[[#This Row],[Prof. (m)]]=0,0,ECF[[#This Row],[α (%)]]/100*ECF[[#This Row],[K (MPa)]]*1000*ECF[[#This Row],[NSPT]])</f>
        <v>64</v>
      </c>
      <c r="P36" s="4">
        <f>IF(ECF[[#This Row],[Prof. (m)]]=0,0,(ECF[[#This Row],[K (MPa)]]*1000*ECF[[#This Row],[NSPT]]/ECF[[#This Row],[F1]]*ECF[[#This Row],[Ap (m²)]]+ECF[[#This Row],[U (m)]]/ECF[[#This Row],[F2]]*SUMIFS(ECF[(α∙K∙NL∙ΔL)],ECF[Prof. (m)],"&lt;="&amp;ECF[[#This Row],[Prof. (m)]],ECF[idDiâmetro],ECF[[#This Row],[idDiâmetro]],ECF[idPilar],ECF[[#This Row],[idPilar]]))/'DADOS CAP. CARGA'!$D$2)</f>
        <v>228.7079451813369</v>
      </c>
      <c r="Q36" s="12">
        <f>INDEX(C_alpha_beta[],MATCH(ECF[[#This Row],[Solo]],C_alpha_beta[Solo],0),MATCH(ECF[[#Headers],[C (kPa)]],C_alpha_beta[#Headers],0))</f>
        <v>400</v>
      </c>
      <c r="R36" s="4">
        <f>INDEX(C_alpha_beta[],MATCH(ECF[[#This Row],[Solo]],C_alpha_beta[Solo],0),MATCH(ECF[[#Headers],[α ESF]],C_alpha_beta[#Headers],0))</f>
        <v>0.5</v>
      </c>
      <c r="S36" s="4">
        <f>INDEX(C_alpha_beta[],MATCH(ECF[[#This Row],[Solo]],C_alpha_beta[Solo],0),MATCH(ECF[[#Headers],[β ESF]],C_alpha_beta[#Headers],0))</f>
        <v>0.5</v>
      </c>
      <c r="T36" s="4">
        <f>IF(ECF[[#This Row],[Prof. (m)]]=0,0,10*(ECF[[#This Row],[NSPT]]/3+1))</f>
        <v>23.333333333333329</v>
      </c>
      <c r="U36" s="4">
        <f>(ECF[[#This Row],[α ESF]]*ECF[[#This Row],[C (kPa)]]*ECF[[#This Row],[NSPT]]*ECF[[#This Row],[Ap (m²)]])/'DADOS CAP. CARGA'!$Q$2+(ECF[[#This Row],[β ESF]]*SUMIFS(ECF[10∙(NL/3+1)],ECF[Prof. (m)],"&lt;="&amp;ECF[[#This Row],[Prof. (m)]],ECF[idDiâmetro],ECF[[#This Row],[idDiâmetro]],ECF[idPilar],ECF[[#This Row],[idPilar]])*ECF[[#This Row],[U (m)]])/'DADOS CAP. CARGA'!$S$2</f>
        <v>108.12314716104869</v>
      </c>
      <c r="V36" s="4">
        <f>IF(SPT!$M$5=1,MIN(ECF[[#This Row],[Pe ECF (kN)]],ECF[[#This Row],[R_AV (kN)]]),IF(SPT!$M$5=2,MIN(ECF[[#This Row],[Pe ECF (kN)]],ECF[[#This Row],[R_DC (kN)]]),MIN(ECF[[#This Row],[Pe ECF (kN)]],ECF[[#This Row],[R_AV (kN)]],ECF[[#This Row],[R_DC (kN)]])))</f>
        <v>108.12314716104869</v>
      </c>
      <c r="W36" s="4">
        <f>INDEX(PILARES[],ECF[[#This Row],[idPilar]],MATCH("Carga (kN)",PILARES[#Headers],0))*1.4</f>
        <v>3500</v>
      </c>
      <c r="X36" s="12">
        <f>INDEX(PILARES[],ECF[[#This Row],[idPilar]],MATCH(ECF[[#Headers],[ap (cm)]],PILARES[#Headers],0))</f>
        <v>60</v>
      </c>
      <c r="Y36" s="12">
        <f>INDEX(PILARES[],ECF[[#This Row],[idPilar]],MATCH(ECF[[#Headers],[bp (cm)]],PILARES[#Headers],0))</f>
        <v>60</v>
      </c>
      <c r="Z36" s="4">
        <f>SQRT(ECF[[#This Row],[ap (cm)]]*ECF[[#This Row],[bp (cm)]])</f>
        <v>60</v>
      </c>
      <c r="AA36" s="12">
        <f>ECF[[#This Row],[ap (cm)]]*ECF[[#This Row],[bp (cm)]]</f>
        <v>3600</v>
      </c>
      <c r="AB36" s="12">
        <f ca="1">IF(ECF[[#This Row],[Padm∙ε (kN)]]&gt;=ECF[[#This Row],[Padm (kN)]],ROUNDUP(1.05*ECF[[#This Row],[Nsd (kN)]]/ECF[[#This Row],[Padm (kN)]],0),ROUNDUP(1.05*ECF[[#This Row],[Nsd (kN)]]/ECF[[#This Row],[Padm (kN)]],0)+1)</f>
        <v>34</v>
      </c>
      <c r="AC36" s="4" t="str">
        <f ca="1">IFERROR(IF(ECF[[#This Row],[nE]]=1,ECF[[#This Row],[Padm (kN)]],ECF[[#This Row],[Padm (kN)]]*ECF[[#This Row],[nE]]*INDEX(grupoEstacas[],ECF[[#This Row],[nE]],MATCH("ε",grupoEstacas[#Headers],0))),"N.S.")</f>
        <v>N.S.</v>
      </c>
      <c r="AD36" s="4">
        <f ca="1">1.05*ECF[[#This Row],[Nsd (kN)]]/(ECF[[#This Row],[nE]]*PI()*ECF[[#This Row],[Ø (cm)]]^2/4)*10</f>
        <v>0.28086166427981529</v>
      </c>
      <c r="AE36" s="4">
        <f ca="1">IF(ECF[[#This Row],[σ (MPa)]]&lt;INDEX(tipoEstaca[],MATCH($D$2,tipoEstaca[TIPO DE ESTACA],0),MATCH("σmáx (MPa)",tipoEstaca[#Headers],0)),0.4%*PI()*ECF[[#This Row],[Ø (cm)]]^2/4,"N.S.")</f>
        <v>15.393804002589988</v>
      </c>
      <c r="AF36" s="1">
        <f>INDEX(tipoEstaca[],MATCH($D$2,tipoEstaca[TIPO DE ESTACA],0),MATCH(ECF[[#Headers],[Comprimento (m)]],tipoEstaca[#Headers],0))</f>
        <v>4</v>
      </c>
      <c r="AG36" s="5">
        <f ca="1">ECF[[#This Row],[As,mín (cm²)]]/100^2*ECF[[#This Row],[Comprimento (m)]]*7850</f>
        <v>48.33654456813256</v>
      </c>
      <c r="AH36" s="4">
        <f ca="1">ECF[[#This Row],[nE]]*ECF[[#This Row],[Prof. (m)]]*ECF[[#This Row],[Ap (m²)]]</f>
        <v>39.254200206604459</v>
      </c>
      <c r="AI36" s="1">
        <f ca="1">IF(ECF[[#This Row],[nE]]=1,0,MAX(3*ECF[[#This Row],[Ø (cm)]],60))</f>
        <v>210</v>
      </c>
      <c r="AJ36" s="1">
        <f ca="1">IF(ECF[[#This Row],[nE]]=1,ECF[[#This Row],[Ø (cm)]]+2*10,MAX(1.5*ECF[[#This Row],[Ø (cm)]],ECF[[#This Row],[Ø (cm)]]+15))</f>
        <v>105</v>
      </c>
      <c r="AK36" s="1" t="str">
        <f ca="1">alturaUtil(ECF[[#This Row],[nE]],ECF[[#This Row],[Ø (cm)]],ECF[[#This Row],[e (cm)]],ECF[[#This Row],[ap,eq (cm)]])</f>
        <v>N.S.</v>
      </c>
      <c r="AL36" s="1" t="str">
        <f ca="1">IFERROR(ECF[[#This Row],[d (cm)]]+arredondarParaCimaMultiplo5cm(MAX(5,SQRT(PI())/2*ECF[[#This Row],[Ø (cm)]]/5)),"N.S.")</f>
        <v>N.S.</v>
      </c>
      <c r="AM36" s="5" t="str">
        <f ca="1">alpha(ECF[[#This Row],[nE]],ECF[[#This Row],[d (cm)]],ECF[[#This Row],[e (cm)]],ECF[[#This Row],[ap,eq (cm)]])</f>
        <v>N.S.</v>
      </c>
      <c r="AN36" s="35" t="str">
        <f ca="1">IFERROR(ECF[[#This Row],[Nsd (kN)]]/(ECF[[#This Row],[Ap (cm²)]]*SIN(ECF[[#This Row],[α]])^2),"N.S.")</f>
        <v>N.S.</v>
      </c>
      <c r="AO36" s="35" t="str">
        <f ca="1">IFERROR(ECF[[#This Row],[Nsd (kN)]]/(ECF[[#This Row],[nE]]*PI()*ECF[[#This Row],[Ø (cm)]]^2/4*SIN(ECF[[#This Row],[α]])^2),"N.S.")</f>
        <v>N.S.</v>
      </c>
      <c r="AP36" s="4" t="str">
        <f ca="1">IFERROR(INDEX(grupoEstacas[],ECF[[#This Row],[nE]],MATCH("coef. Blévot",grupoEstacas[#Headers],0)),"N.S.")</f>
        <v>N.S.</v>
      </c>
      <c r="AQ36" s="35" t="str">
        <f ca="1">IFERROR(ECF[[#This Row],[coef. Blévot]]*0.9*INDEX(tipoEstaca[],MATCH($D$2,tipoEstaca[TIPO DE ESTACA],0),MATCH("fcd (kN/cm²)",tipoEstaca[#Headers],0)),"N.S.")</f>
        <v>N.S.</v>
      </c>
      <c r="AR36" s="1" t="str">
        <f ca="1">IF(AND(ECF[[#This Row],[cd,b,pil (kN/cm²)]]&lt;=ECF[[#This Row],[cd,b,lim (kN/cm²)]],ECF[[#This Row],[cd,b,est (kN/cm²)]]&lt;=ECF[[#This Row],[cd,b,lim (kN/cm²)]]),"OK","ERRO")</f>
        <v>OK</v>
      </c>
      <c r="AS36" s="4" t="str">
        <f ca="1">As_lado(ECF[[#This Row],[nE]],ECF[[#This Row],[Nsd (kN)]],ECF[[#This Row],[d (cm)]],ECF[[#This Row],[e (cm)]],ECF[[#This Row],[ap,eq (cm)]])</f>
        <v>N.S.</v>
      </c>
      <c r="AT36" s="4" t="str">
        <f ca="1">IF(ECF[[#This Row],[nE]]=1,ECF[[#This Row],[As,lado (cm²)]],IF(ECF[[#This Row],[nE]]=2,0.075*2*ECF[a (cm)],"N.A."))</f>
        <v>N.A.</v>
      </c>
      <c r="AU36" s="4" t="str">
        <f ca="1">IFERROR(IF(ECF[[#This Row],[nE]]=1,"N.A.",0.2*ECF[[#This Row],[As,lado (cm²)]]),"N.S.")</f>
        <v>N.S.</v>
      </c>
      <c r="AV36" s="4" t="str">
        <f ca="1">As_malha(ECF[[#This Row],[nE]],ECF[[#This Row],[As,lado (cm²)]],ECF[[#This Row],[Nsd (kN)]])</f>
        <v>N.S.</v>
      </c>
      <c r="AW36" s="4" t="str">
        <f ca="1">As_susp_tot(ECF[[#This Row],[nE]],ECF[[#This Row],[Nsd (kN)]])</f>
        <v>N.S.</v>
      </c>
      <c r="AX36" s="4" t="str">
        <f ca="1">Asp_face(ECF[[#This Row],[nE]],ECF[[#This Row],[As,lado (cm²)]])</f>
        <v>N.S.</v>
      </c>
      <c r="AY36" s="5" t="str">
        <f ca="1">acoBloco(ECF[[#This Row],[nE]],ECF[[#This Row],[e (cm)]],ECF[[#This Row],[a (cm)]],ECF[[#This Row],[h (cm)]],ECF[[#This Row],[As,lado (cm²)]],ECF[[#This Row],[Asp e Asw (cm²/m)]],ECF[[#This Row],[As,sup (cm²)]],ECF[[#This Row],[As,malha (cm²)]],ECF[[#This Row],[As,susp,tot (cm²)]],ECF[[#This Row],[Asp,face (cm²)]])</f>
        <v>N.S.</v>
      </c>
      <c r="AZ36" s="4" t="str">
        <f ca="1">concretoBloco(ECF[[#This Row],[nE]],ECF[[#This Row],[e (cm)]],ECF[[#This Row],[a (cm)]],ECF[[#This Row],[h (cm)]])</f>
        <v>N.S.</v>
      </c>
      <c r="BA36" s="5">
        <f ca="1">SUM(ECF[[#This Row],[Aço Est (kg)]],ECF[[#This Row],[Aço Bloco (kg)]])</f>
        <v>48.33654456813256</v>
      </c>
      <c r="BB36" s="4">
        <f>INDEX(composicoes[],MATCH(95580,composicoes[CÓDIGO],0),MATCH("CUSTO TOTAL",composicoes[#Headers],0))</f>
        <v>10.46</v>
      </c>
      <c r="BC36" s="4">
        <f ca="1">SUM(ECF[[#This Row],[Conc Est (m³)]],ECF[[#This Row],[Conc Bloco (m³)]])</f>
        <v>39.254200206604459</v>
      </c>
      <c r="BD36" s="4">
        <f>INDEX(composicoes[],MATCH(94966,composicoes[CÓDIGO],0),MATCH("CUSTO TOTAL",composicoes[#Headers],0))</f>
        <v>439.52</v>
      </c>
      <c r="BE36" s="38">
        <f ca="1">ECF[[#This Row],[Aço (kg)]]*ECF[[#This Row],[Aço (R$/kg)]]+ECF[[#This Row],[Conc (m³)]]*ECF[[#This Row],[Conc (R$/m³)]]</f>
        <v>17758.60633098946</v>
      </c>
      <c r="BF36" s="4" t="str">
        <f ca="1">IF(COUNTIF(ECF[#This Row],"N.S.")&gt;0,"lim.","OK")</f>
        <v>lim.</v>
      </c>
      <c r="BG36" s="4" t="str">
        <f>IF(ECF[[#This Row],[Prof. (m)]]&lt;4,"lim.","OK")</f>
        <v>lim.</v>
      </c>
      <c r="BH36" s="4" t="str">
        <f>IF(ECF[[#This Row],[Prof. (m)]]&gt;=8*ECF[[#This Row],[Ø (cm)]]/100,"OK","lim.")</f>
        <v>lim.</v>
      </c>
      <c r="BI36" s="4" t="str">
        <f>IF(AND(SPT!$F$3&lt;&gt;"",ECF[[#This Row],[Prof. (m)]]&gt;=SPT!$F$3-2),"lim.","OK")</f>
        <v>OK</v>
      </c>
      <c r="BJ36" s="4" t="str">
        <f ca="1">IF(ECF[[#This Row],[Verif. Biela]]="OK","OK","lim.")</f>
        <v>OK</v>
      </c>
      <c r="BK36" s="4" t="str">
        <f ca="1">IF(COUNTA(ECF[[#This Row],[Nº Est.]:[Biela comp.]])=COUNTIF(ECF[[#This Row],[Nº Est.]:[Biela comp.]],"OK"),"OK","lim.")</f>
        <v>lim.</v>
      </c>
      <c r="BL36" s="4" t="str">
        <f ca="1">IF(ECF[[#This Row],[Controle]]="OK",ECF[[#This Row],[nE]]&amp;" Ø"&amp;ECF[[#This Row],[Ø (cm)]]&amp;"cm Prof. "&amp;ECF[[#This Row],[Prof. (m)]]&amp;" m","")</f>
        <v/>
      </c>
      <c r="BM36" s="4" t="str">
        <f ca="1">IF(ECF[[#This Row],[idDimensionamento]]="","",ECF[[#This Row],[idPilar]]&amp;ECF[[#This Row],[idDimensionamento]])</f>
        <v/>
      </c>
    </row>
    <row r="37" spans="2:65" x14ac:dyDescent="0.25">
      <c r="B37" s="12">
        <f>ROUNDUP((ROW(ECF[[#This Row],[idDiâmetro]])-ROW(ECF[[#Headers],[idDiâmetro]]))/(COUNT(SPT[Prof. (m)])*COUNT(PILARES[Pilar])),0)</f>
        <v>2</v>
      </c>
      <c r="C37" s="12">
        <f>IF(ECF[[#This Row],[idDiâmetro]]&lt;&gt;B36,1,IF(ECF[[#This Row],[Prof. (m)]]=0,C36+1,C36))</f>
        <v>1</v>
      </c>
      <c r="D37" s="1">
        <f>IFERROR(IF(D36=MAX(SPT[Prof. (m)]),0,D36+1),0)</f>
        <v>4</v>
      </c>
      <c r="E37" s="1">
        <f>INDEX(SPT[],MATCH(ECF[[#This Row],[Prof. (m)]],SPT[Prof. (m)],0),2)</f>
        <v>8</v>
      </c>
      <c r="F37" s="1" t="str">
        <f>INDEX(SPT[],MATCH(ECF[[#This Row],[Prof. (m)]],SPT[Prof. (m)],0),3)</f>
        <v>Areia siltosa</v>
      </c>
      <c r="G37" s="1">
        <f>INDEX(estacas[],ECF[[#This Row],[idDiâmetro]],MATCH($B$2,estacas[#Headers],0))</f>
        <v>70</v>
      </c>
      <c r="H37" s="1">
        <f>INDEX(estacas[],MATCH(ECF[[#This Row],[Ø (cm)]],estacas[Ø ECF (cm)],0),MATCH(ECF[[#Headers],[Pe ECF (kN)]],estacas[#Headers],0))</f>
        <v>1500</v>
      </c>
      <c r="I37" s="4">
        <f>INDEX(K_alpha_C[],MATCH(ECF[[#This Row],[Solo]],K_alpha_C[Solo],0),2)</f>
        <v>0.8</v>
      </c>
      <c r="J37" s="5">
        <f>INDEX(K_alpha_C[],MATCH(ECF[[#This Row],[Solo]],K_alpha_C[Solo],0),3)</f>
        <v>2</v>
      </c>
      <c r="K37" s="4">
        <f>INDEX(F1_F2[],MATCH($D$2,F1_F2[Tipo de estaca],0),2)</f>
        <v>3</v>
      </c>
      <c r="L37" s="4">
        <f>INDEX(F1_F2[],MATCH($D$2,F1_F2[Tipo de estaca],0),3)</f>
        <v>6</v>
      </c>
      <c r="M37" s="4">
        <f>PI()*(ECF[[#This Row],[Ø (cm)]]/100)^2/4</f>
        <v>0.38484510006474959</v>
      </c>
      <c r="N37" s="4">
        <f>PI()*ECF[[#This Row],[Ø (cm)]]/100</f>
        <v>2.1991148575128552</v>
      </c>
      <c r="O37" s="4">
        <f>IF(ECF[[#This Row],[Prof. (m)]]=0,0,ECF[[#This Row],[α (%)]]/100*ECF[[#This Row],[K (MPa)]]*1000*ECF[[#This Row],[NSPT]])</f>
        <v>128</v>
      </c>
      <c r="P37" s="4">
        <f>IF(ECF[[#This Row],[Prof. (m)]]=0,0,(ECF[[#This Row],[K (MPa)]]*1000*ECF[[#This Row],[NSPT]]/ECF[[#This Row],[F1]]*ECF[[#This Row],[Ap (m²)]]+ECF[[#This Row],[U (m)]]/ECF[[#This Row],[F2]]*SUMIFS(ECF[(α∙K∙NL∙ΔL)],ECF[Prof. (m)],"&lt;="&amp;ECF[[#This Row],[Prof. (m)]],ECF[idDiâmetro],ECF[[#This Row],[idDiâmetro]],ECF[idPilar],ECF[[#This Row],[idPilar]]))/'DADOS CAP. CARGA'!$D$2)</f>
        <v>457.41589036267379</v>
      </c>
      <c r="Q37" s="12">
        <f>INDEX(C_alpha_beta[],MATCH(ECF[[#This Row],[Solo]],C_alpha_beta[Solo],0),MATCH(ECF[[#Headers],[C (kPa)]],C_alpha_beta[#Headers],0))</f>
        <v>400</v>
      </c>
      <c r="R37" s="4">
        <f>INDEX(C_alpha_beta[],MATCH(ECF[[#This Row],[Solo]],C_alpha_beta[Solo],0),MATCH(ECF[[#Headers],[α ESF]],C_alpha_beta[#Headers],0))</f>
        <v>0.5</v>
      </c>
      <c r="S37" s="4">
        <f>INDEX(C_alpha_beta[],MATCH(ECF[[#This Row],[Solo]],C_alpha_beta[Solo],0),MATCH(ECF[[#Headers],[β ESF]],C_alpha_beta[#Headers],0))</f>
        <v>0.5</v>
      </c>
      <c r="T37" s="4">
        <f>IF(ECF[[#This Row],[Prof. (m)]]=0,0,10*(ECF[[#This Row],[NSPT]]/3+1))</f>
        <v>36.666666666666664</v>
      </c>
      <c r="U37" s="4">
        <f>(ECF[[#This Row],[α ESF]]*ECF[[#This Row],[C (kPa)]]*ECF[[#This Row],[NSPT]]*ECF[[#This Row],[Ap (m²)]])/'DADOS CAP. CARGA'!$Q$2+(ECF[[#This Row],[β ESF]]*SUMIFS(ECF[10∙(NL/3+1)],ECF[Prof. (m)],"&lt;="&amp;ECF[[#This Row],[Prof. (m)]],ECF[idDiâmetro],ECF[[#This Row],[idDiâmetro]],ECF[idPilar],ECF[[#This Row],[idPilar]])*ECF[[#This Row],[U (m)]])/'DADOS CAP. CARGA'!$S$2</f>
        <v>205.25072003453312</v>
      </c>
      <c r="V37" s="4">
        <f>IF(SPT!$M$5=1,MIN(ECF[[#This Row],[Pe ECF (kN)]],ECF[[#This Row],[R_AV (kN)]]),IF(SPT!$M$5=2,MIN(ECF[[#This Row],[Pe ECF (kN)]],ECF[[#This Row],[R_DC (kN)]]),MIN(ECF[[#This Row],[Pe ECF (kN)]],ECF[[#This Row],[R_AV (kN)]],ECF[[#This Row],[R_DC (kN)]])))</f>
        <v>205.25072003453312</v>
      </c>
      <c r="W37" s="4">
        <f>INDEX(PILARES[],ECF[[#This Row],[idPilar]],MATCH("Carga (kN)",PILARES[#Headers],0))*1.4</f>
        <v>3500</v>
      </c>
      <c r="X37" s="12">
        <f>INDEX(PILARES[],ECF[[#This Row],[idPilar]],MATCH(ECF[[#Headers],[ap (cm)]],PILARES[#Headers],0))</f>
        <v>60</v>
      </c>
      <c r="Y37" s="12">
        <f>INDEX(PILARES[],ECF[[#This Row],[idPilar]],MATCH(ECF[[#Headers],[bp (cm)]],PILARES[#Headers],0))</f>
        <v>60</v>
      </c>
      <c r="Z37" s="4">
        <f>SQRT(ECF[[#This Row],[ap (cm)]]*ECF[[#This Row],[bp (cm)]])</f>
        <v>60</v>
      </c>
      <c r="AA37" s="12">
        <f>ECF[[#This Row],[ap (cm)]]*ECF[[#This Row],[bp (cm)]]</f>
        <v>3600</v>
      </c>
      <c r="AB37" s="12">
        <f ca="1">IF(ECF[[#This Row],[Padm∙ε (kN)]]&gt;=ECF[[#This Row],[Padm (kN)]],ROUNDUP(1.05*ECF[[#This Row],[Nsd (kN)]]/ECF[[#This Row],[Padm (kN)]],0),ROUNDUP(1.05*ECF[[#This Row],[Nsd (kN)]]/ECF[[#This Row],[Padm (kN)]],0)+1)</f>
        <v>18</v>
      </c>
      <c r="AC37" s="4" t="str">
        <f ca="1">IFERROR(IF(ECF[[#This Row],[nE]]=1,ECF[[#This Row],[Padm (kN)]],ECF[[#This Row],[Padm (kN)]]*ECF[[#This Row],[nE]]*INDEX(grupoEstacas[],ECF[[#This Row],[nE]],MATCH("ε",grupoEstacas[#Headers],0))),"N.S.")</f>
        <v>N.S.</v>
      </c>
      <c r="AD37" s="4">
        <f ca="1">1.05*ECF[[#This Row],[Nsd (kN)]]/(ECF[[#This Row],[nE]]*PI()*ECF[[#This Row],[Ø (cm)]]^2/4)*10</f>
        <v>0.53051647697298443</v>
      </c>
      <c r="AE37" s="4">
        <f ca="1">IF(ECF[[#This Row],[σ (MPa)]]&lt;INDEX(tipoEstaca[],MATCH($D$2,tipoEstaca[TIPO DE ESTACA],0),MATCH("σmáx (MPa)",tipoEstaca[#Headers],0)),0.4%*PI()*ECF[[#This Row],[Ø (cm)]]^2/4,"N.S.")</f>
        <v>15.393804002589988</v>
      </c>
      <c r="AF37" s="1">
        <f>INDEX(tipoEstaca[],MATCH($D$2,tipoEstaca[TIPO DE ESTACA],0),MATCH(ECF[[#Headers],[Comprimento (m)]],tipoEstaca[#Headers],0))</f>
        <v>4</v>
      </c>
      <c r="AG37" s="5">
        <f ca="1">ECF[[#This Row],[As,mín (cm²)]]/100^2*ECF[[#This Row],[Comprimento (m)]]*7850</f>
        <v>48.33654456813256</v>
      </c>
      <c r="AH37" s="4">
        <f ca="1">ECF[[#This Row],[nE]]*ECF[[#This Row],[Prof. (m)]]*ECF[[#This Row],[Ap (m²)]]</f>
        <v>27.708847204661971</v>
      </c>
      <c r="AI37" s="1">
        <f ca="1">IF(ECF[[#This Row],[nE]]=1,0,MAX(3*ECF[[#This Row],[Ø (cm)]],60))</f>
        <v>210</v>
      </c>
      <c r="AJ37" s="1">
        <f ca="1">IF(ECF[[#This Row],[nE]]=1,ECF[[#This Row],[Ø (cm)]]+2*10,MAX(1.5*ECF[[#This Row],[Ø (cm)]],ECF[[#This Row],[Ø (cm)]]+15))</f>
        <v>105</v>
      </c>
      <c r="AK37" s="1" t="str">
        <f ca="1">alturaUtil(ECF[[#This Row],[nE]],ECF[[#This Row],[Ø (cm)]],ECF[[#This Row],[e (cm)]],ECF[[#This Row],[ap,eq (cm)]])</f>
        <v>N.S.</v>
      </c>
      <c r="AL37" s="1" t="str">
        <f ca="1">IFERROR(ECF[[#This Row],[d (cm)]]+arredondarParaCimaMultiplo5cm(MAX(5,SQRT(PI())/2*ECF[[#This Row],[Ø (cm)]]/5)),"N.S.")</f>
        <v>N.S.</v>
      </c>
      <c r="AM37" s="5" t="str">
        <f ca="1">alpha(ECF[[#This Row],[nE]],ECF[[#This Row],[d (cm)]],ECF[[#This Row],[e (cm)]],ECF[[#This Row],[ap,eq (cm)]])</f>
        <v>N.S.</v>
      </c>
      <c r="AN37" s="35" t="str">
        <f ca="1">IFERROR(ECF[[#This Row],[Nsd (kN)]]/(ECF[[#This Row],[Ap (cm²)]]*SIN(ECF[[#This Row],[α]])^2),"N.S.")</f>
        <v>N.S.</v>
      </c>
      <c r="AO37" s="35" t="str">
        <f ca="1">IFERROR(ECF[[#This Row],[Nsd (kN)]]/(ECF[[#This Row],[nE]]*PI()*ECF[[#This Row],[Ø (cm)]]^2/4*SIN(ECF[[#This Row],[α]])^2),"N.S.")</f>
        <v>N.S.</v>
      </c>
      <c r="AP37" s="4" t="str">
        <f ca="1">IFERROR(INDEX(grupoEstacas[],ECF[[#This Row],[nE]],MATCH("coef. Blévot",grupoEstacas[#Headers],0)),"N.S.")</f>
        <v>N.S.</v>
      </c>
      <c r="AQ37" s="35" t="str">
        <f ca="1">IFERROR(ECF[[#This Row],[coef. Blévot]]*0.9*INDEX(tipoEstaca[],MATCH($D$2,tipoEstaca[TIPO DE ESTACA],0),MATCH("fcd (kN/cm²)",tipoEstaca[#Headers],0)),"N.S.")</f>
        <v>N.S.</v>
      </c>
      <c r="AR37" s="1" t="str">
        <f ca="1">IF(AND(ECF[[#This Row],[cd,b,pil (kN/cm²)]]&lt;=ECF[[#This Row],[cd,b,lim (kN/cm²)]],ECF[[#This Row],[cd,b,est (kN/cm²)]]&lt;=ECF[[#This Row],[cd,b,lim (kN/cm²)]]),"OK","ERRO")</f>
        <v>OK</v>
      </c>
      <c r="AS37" s="4" t="str">
        <f ca="1">As_lado(ECF[[#This Row],[nE]],ECF[[#This Row],[Nsd (kN)]],ECF[[#This Row],[d (cm)]],ECF[[#This Row],[e (cm)]],ECF[[#This Row],[ap,eq (cm)]])</f>
        <v>N.S.</v>
      </c>
      <c r="AT37" s="4" t="str">
        <f ca="1">IF(ECF[[#This Row],[nE]]=1,ECF[[#This Row],[As,lado (cm²)]],IF(ECF[[#This Row],[nE]]=2,0.075*2*ECF[a (cm)],"N.A."))</f>
        <v>N.A.</v>
      </c>
      <c r="AU37" s="4" t="str">
        <f ca="1">IFERROR(IF(ECF[[#This Row],[nE]]=1,"N.A.",0.2*ECF[[#This Row],[As,lado (cm²)]]),"N.S.")</f>
        <v>N.S.</v>
      </c>
      <c r="AV37" s="4" t="str">
        <f ca="1">As_malha(ECF[[#This Row],[nE]],ECF[[#This Row],[As,lado (cm²)]],ECF[[#This Row],[Nsd (kN)]])</f>
        <v>N.S.</v>
      </c>
      <c r="AW37" s="4" t="str">
        <f ca="1">As_susp_tot(ECF[[#This Row],[nE]],ECF[[#This Row],[Nsd (kN)]])</f>
        <v>N.S.</v>
      </c>
      <c r="AX37" s="4" t="str">
        <f ca="1">Asp_face(ECF[[#This Row],[nE]],ECF[[#This Row],[As,lado (cm²)]])</f>
        <v>N.S.</v>
      </c>
      <c r="AY37" s="5" t="str">
        <f ca="1">acoBloco(ECF[[#This Row],[nE]],ECF[[#This Row],[e (cm)]],ECF[[#This Row],[a (cm)]],ECF[[#This Row],[h (cm)]],ECF[[#This Row],[As,lado (cm²)]],ECF[[#This Row],[Asp e Asw (cm²/m)]],ECF[[#This Row],[As,sup (cm²)]],ECF[[#This Row],[As,malha (cm²)]],ECF[[#This Row],[As,susp,tot (cm²)]],ECF[[#This Row],[Asp,face (cm²)]])</f>
        <v>N.S.</v>
      </c>
      <c r="AZ37" s="4" t="str">
        <f ca="1">concretoBloco(ECF[[#This Row],[nE]],ECF[[#This Row],[e (cm)]],ECF[[#This Row],[a (cm)]],ECF[[#This Row],[h (cm)]])</f>
        <v>N.S.</v>
      </c>
      <c r="BA37" s="5">
        <f ca="1">SUM(ECF[[#This Row],[Aço Est (kg)]],ECF[[#This Row],[Aço Bloco (kg)]])</f>
        <v>48.33654456813256</v>
      </c>
      <c r="BB37" s="4">
        <f>INDEX(composicoes[],MATCH(95580,composicoes[CÓDIGO],0),MATCH("CUSTO TOTAL",composicoes[#Headers],0))</f>
        <v>10.46</v>
      </c>
      <c r="BC37" s="4">
        <f ca="1">SUM(ECF[[#This Row],[Conc Est (m³)]],ECF[[#This Row],[Conc Bloco (m³)]])</f>
        <v>27.708847204661971</v>
      </c>
      <c r="BD37" s="4">
        <f>INDEX(composicoes[],MATCH(94966,composicoes[CÓDIGO],0),MATCH("CUSTO TOTAL",composicoes[#Headers],0))</f>
        <v>439.52</v>
      </c>
      <c r="BE37" s="38">
        <f ca="1">ECF[[#This Row],[Aço (kg)]]*ECF[[#This Row],[Aço (R$/kg)]]+ECF[[#This Row],[Conc (m³)]]*ECF[[#This Row],[Conc (R$/m³)]]</f>
        <v>12684.192779575695</v>
      </c>
      <c r="BF37" s="4" t="str">
        <f ca="1">IF(COUNTIF(ECF[#This Row],"N.S.")&gt;0,"lim.","OK")</f>
        <v>lim.</v>
      </c>
      <c r="BG37" s="4" t="str">
        <f>IF(ECF[[#This Row],[Prof. (m)]]&lt;4,"lim.","OK")</f>
        <v>OK</v>
      </c>
      <c r="BH37" s="4" t="str">
        <f>IF(ECF[[#This Row],[Prof. (m)]]&gt;=8*ECF[[#This Row],[Ø (cm)]]/100,"OK","lim.")</f>
        <v>lim.</v>
      </c>
      <c r="BI37" s="4" t="str">
        <f>IF(AND(SPT!$F$3&lt;&gt;"",ECF[[#This Row],[Prof. (m)]]&gt;=SPT!$F$3-2),"lim.","OK")</f>
        <v>OK</v>
      </c>
      <c r="BJ37" s="4" t="str">
        <f ca="1">IF(ECF[[#This Row],[Verif. Biela]]="OK","OK","lim.")</f>
        <v>OK</v>
      </c>
      <c r="BK37" s="4" t="str">
        <f ca="1">IF(COUNTA(ECF[[#This Row],[Nº Est.]:[Biela comp.]])=COUNTIF(ECF[[#This Row],[Nº Est.]:[Biela comp.]],"OK"),"OK","lim.")</f>
        <v>lim.</v>
      </c>
      <c r="BL37" s="4" t="str">
        <f ca="1">IF(ECF[[#This Row],[Controle]]="OK",ECF[[#This Row],[nE]]&amp;" Ø"&amp;ECF[[#This Row],[Ø (cm)]]&amp;"cm Prof. "&amp;ECF[[#This Row],[Prof. (m)]]&amp;" m","")</f>
        <v/>
      </c>
      <c r="BM37" s="4" t="str">
        <f ca="1">IF(ECF[[#This Row],[idDimensionamento]]="","",ECF[[#This Row],[idPilar]]&amp;ECF[[#This Row],[idDimensionamento]])</f>
        <v/>
      </c>
    </row>
    <row r="38" spans="2:65" x14ac:dyDescent="0.25">
      <c r="B38" s="12">
        <f>ROUNDUP((ROW(ECF[[#This Row],[idDiâmetro]])-ROW(ECF[[#Headers],[idDiâmetro]]))/(COUNT(SPT[Prof. (m)])*COUNT(PILARES[Pilar])),0)</f>
        <v>2</v>
      </c>
      <c r="C38" s="12">
        <f>IF(ECF[[#This Row],[idDiâmetro]]&lt;&gt;B37,1,IF(ECF[[#This Row],[Prof. (m)]]=0,C37+1,C37))</f>
        <v>1</v>
      </c>
      <c r="D38" s="1">
        <f>IFERROR(IF(D37=MAX(SPT[Prof. (m)]),0,D37+1),0)</f>
        <v>5</v>
      </c>
      <c r="E38" s="1">
        <f>INDEX(SPT[],MATCH(ECF[[#This Row],[Prof. (m)]],SPT[Prof. (m)],0),2)</f>
        <v>17</v>
      </c>
      <c r="F38" s="1" t="str">
        <f>INDEX(SPT[],MATCH(ECF[[#This Row],[Prof. (m)]],SPT[Prof. (m)],0),3)</f>
        <v>Areia siltosa</v>
      </c>
      <c r="G38" s="1">
        <f>INDEX(estacas[],ECF[[#This Row],[idDiâmetro]],MATCH($B$2,estacas[#Headers],0))</f>
        <v>70</v>
      </c>
      <c r="H38" s="1">
        <f>INDEX(estacas[],MATCH(ECF[[#This Row],[Ø (cm)]],estacas[Ø ECF (cm)],0),MATCH(ECF[[#Headers],[Pe ECF (kN)]],estacas[#Headers],0))</f>
        <v>1500</v>
      </c>
      <c r="I38" s="4">
        <f>INDEX(K_alpha_C[],MATCH(ECF[[#This Row],[Solo]],K_alpha_C[Solo],0),2)</f>
        <v>0.8</v>
      </c>
      <c r="J38" s="5">
        <f>INDEX(K_alpha_C[],MATCH(ECF[[#This Row],[Solo]],K_alpha_C[Solo],0),3)</f>
        <v>2</v>
      </c>
      <c r="K38" s="4">
        <f>INDEX(F1_F2[],MATCH($D$2,F1_F2[Tipo de estaca],0),2)</f>
        <v>3</v>
      </c>
      <c r="L38" s="4">
        <f>INDEX(F1_F2[],MATCH($D$2,F1_F2[Tipo de estaca],0),3)</f>
        <v>6</v>
      </c>
      <c r="M38" s="4">
        <f>PI()*(ECF[[#This Row],[Ø (cm)]]/100)^2/4</f>
        <v>0.38484510006474959</v>
      </c>
      <c r="N38" s="4">
        <f>PI()*ECF[[#This Row],[Ø (cm)]]/100</f>
        <v>2.1991148575128552</v>
      </c>
      <c r="O38" s="4">
        <f>IF(ECF[[#This Row],[Prof. (m)]]=0,0,ECF[[#This Row],[α (%)]]/100*ECF[[#This Row],[K (MPa)]]*1000*ECF[[#This Row],[NSPT]])</f>
        <v>272</v>
      </c>
      <c r="P38" s="4">
        <f>IF(ECF[[#This Row],[Prof. (m)]]=0,0,(ECF[[#This Row],[K (MPa)]]*1000*ECF[[#This Row],[NSPT]]/ECF[[#This Row],[F1]]*ECF[[#This Row],[Ap (m²)]]+ECF[[#This Row],[U (m)]]/ECF[[#This Row],[F2]]*SUMIFS(ECF[(α∙K∙NL∙ΔL)],ECF[Prof. (m)],"&lt;="&amp;ECF[[#This Row],[Prof. (m)]],ECF[idDiâmetro],ECF[[#This Row],[idDiâmetro]],ECF[idPilar],ECF[[#This Row],[idPilar]]))/'DADOS CAP. CARGA'!$D$2)</f>
        <v>969.0766138773314</v>
      </c>
      <c r="Q38" s="12">
        <f>INDEX(C_alpha_beta[],MATCH(ECF[[#This Row],[Solo]],C_alpha_beta[Solo],0),MATCH(ECF[[#Headers],[C (kPa)]],C_alpha_beta[#Headers],0))</f>
        <v>400</v>
      </c>
      <c r="R38" s="4">
        <f>INDEX(C_alpha_beta[],MATCH(ECF[[#This Row],[Solo]],C_alpha_beta[Solo],0),MATCH(ECF[[#Headers],[α ESF]],C_alpha_beta[#Headers],0))</f>
        <v>0.5</v>
      </c>
      <c r="S38" s="4">
        <f>INDEX(C_alpha_beta[],MATCH(ECF[[#This Row],[Solo]],C_alpha_beta[Solo],0),MATCH(ECF[[#Headers],[β ESF]],C_alpha_beta[#Headers],0))</f>
        <v>0.5</v>
      </c>
      <c r="T38" s="4">
        <f>IF(ECF[[#This Row],[Prof. (m)]]=0,0,10*(ECF[[#This Row],[NSPT]]/3+1))</f>
        <v>66.666666666666671</v>
      </c>
      <c r="U38" s="4">
        <f>(ECF[[#This Row],[α ESF]]*ECF[[#This Row],[C (kPa)]]*ECF[[#This Row],[NSPT]]*ECF[[#This Row],[Ap (m²)]])/'DADOS CAP. CARGA'!$Q$2+(ECF[[#This Row],[β ESF]]*SUMIFS(ECF[10∙(NL/3+1)],ECF[Prof. (m)],"&lt;="&amp;ECF[[#This Row],[Prof. (m)]],ECF[idDiâmetro],ECF[[#This Row],[idDiâmetro]],ECF[idPilar],ECF[[#This Row],[idPilar]])*ECF[[#This Row],[U (m)]])/'DADOS CAP. CARGA'!$S$2</f>
        <v>415.08292935555136</v>
      </c>
      <c r="V38" s="4">
        <f>IF(SPT!$M$5=1,MIN(ECF[[#This Row],[Pe ECF (kN)]],ECF[[#This Row],[R_AV (kN)]]),IF(SPT!$M$5=2,MIN(ECF[[#This Row],[Pe ECF (kN)]],ECF[[#This Row],[R_DC (kN)]]),MIN(ECF[[#This Row],[Pe ECF (kN)]],ECF[[#This Row],[R_AV (kN)]],ECF[[#This Row],[R_DC (kN)]])))</f>
        <v>415.08292935555136</v>
      </c>
      <c r="W38" s="4">
        <f>INDEX(PILARES[],ECF[[#This Row],[idPilar]],MATCH("Carga (kN)",PILARES[#Headers],0))*1.4</f>
        <v>3500</v>
      </c>
      <c r="X38" s="12">
        <f>INDEX(PILARES[],ECF[[#This Row],[idPilar]],MATCH(ECF[[#Headers],[ap (cm)]],PILARES[#Headers],0))</f>
        <v>60</v>
      </c>
      <c r="Y38" s="12">
        <f>INDEX(PILARES[],ECF[[#This Row],[idPilar]],MATCH(ECF[[#Headers],[bp (cm)]],PILARES[#Headers],0))</f>
        <v>60</v>
      </c>
      <c r="Z38" s="4">
        <f>SQRT(ECF[[#This Row],[ap (cm)]]*ECF[[#This Row],[bp (cm)]])</f>
        <v>60</v>
      </c>
      <c r="AA38" s="12">
        <f>ECF[[#This Row],[ap (cm)]]*ECF[[#This Row],[bp (cm)]]</f>
        <v>3600</v>
      </c>
      <c r="AB38" s="12">
        <f ca="1">IF(ECF[[#This Row],[Padm∙ε (kN)]]&gt;=ECF[[#This Row],[Padm (kN)]],ROUNDUP(1.05*ECF[[#This Row],[Nsd (kN)]]/ECF[[#This Row],[Padm (kN)]],0),ROUNDUP(1.05*ECF[[#This Row],[Nsd (kN)]]/ECF[[#This Row],[Padm (kN)]],0)+1)</f>
        <v>9</v>
      </c>
      <c r="AC38" s="4" t="str">
        <f ca="1">IFERROR(IF(ECF[[#This Row],[nE]]=1,ECF[[#This Row],[Padm (kN)]],ECF[[#This Row],[Padm (kN)]]*ECF[[#This Row],[nE]]*INDEX(grupoEstacas[],ECF[[#This Row],[nE]],MATCH("ε",grupoEstacas[#Headers],0))),"N.S.")</f>
        <v>N.S.</v>
      </c>
      <c r="AD38" s="4">
        <f ca="1">1.05*ECF[[#This Row],[Nsd (kN)]]/(ECF[[#This Row],[nE]]*PI()*ECF[[#This Row],[Ø (cm)]]^2/4)*10</f>
        <v>1.0610329539459689</v>
      </c>
      <c r="AE38" s="4">
        <f ca="1">IF(ECF[[#This Row],[σ (MPa)]]&lt;INDEX(tipoEstaca[],MATCH($D$2,tipoEstaca[TIPO DE ESTACA],0),MATCH("σmáx (MPa)",tipoEstaca[#Headers],0)),0.4%*PI()*ECF[[#This Row],[Ø (cm)]]^2/4,"N.S.")</f>
        <v>15.393804002589988</v>
      </c>
      <c r="AF38" s="1">
        <f>INDEX(tipoEstaca[],MATCH($D$2,tipoEstaca[TIPO DE ESTACA],0),MATCH(ECF[[#Headers],[Comprimento (m)]],tipoEstaca[#Headers],0))</f>
        <v>4</v>
      </c>
      <c r="AG38" s="5">
        <f ca="1">ECF[[#This Row],[As,mín (cm²)]]/100^2*ECF[[#This Row],[Comprimento (m)]]*7850</f>
        <v>48.33654456813256</v>
      </c>
      <c r="AH38" s="4">
        <f ca="1">ECF[[#This Row],[nE]]*ECF[[#This Row],[Prof. (m)]]*ECF[[#This Row],[Ap (m²)]]</f>
        <v>17.318029502913731</v>
      </c>
      <c r="AI38" s="1">
        <f ca="1">IF(ECF[[#This Row],[nE]]=1,0,MAX(3*ECF[[#This Row],[Ø (cm)]],60))</f>
        <v>210</v>
      </c>
      <c r="AJ38" s="1">
        <f ca="1">IF(ECF[[#This Row],[nE]]=1,ECF[[#This Row],[Ø (cm)]]+2*10,MAX(1.5*ECF[[#This Row],[Ø (cm)]],ECF[[#This Row],[Ø (cm)]]+15))</f>
        <v>105</v>
      </c>
      <c r="AK38" s="1" t="str">
        <f ca="1">alturaUtil(ECF[[#This Row],[nE]],ECF[[#This Row],[Ø (cm)]],ECF[[#This Row],[e (cm)]],ECF[[#This Row],[ap,eq (cm)]])</f>
        <v>N.S.</v>
      </c>
      <c r="AL38" s="1" t="str">
        <f ca="1">IFERROR(ECF[[#This Row],[d (cm)]]+arredondarParaCimaMultiplo5cm(MAX(5,SQRT(PI())/2*ECF[[#This Row],[Ø (cm)]]/5)),"N.S.")</f>
        <v>N.S.</v>
      </c>
      <c r="AM38" s="5" t="str">
        <f ca="1">alpha(ECF[[#This Row],[nE]],ECF[[#This Row],[d (cm)]],ECF[[#This Row],[e (cm)]],ECF[[#This Row],[ap,eq (cm)]])</f>
        <v>N.S.</v>
      </c>
      <c r="AN38" s="35" t="str">
        <f ca="1">IFERROR(ECF[[#This Row],[Nsd (kN)]]/(ECF[[#This Row],[Ap (cm²)]]*SIN(ECF[[#This Row],[α]])^2),"N.S.")</f>
        <v>N.S.</v>
      </c>
      <c r="AO38" s="35" t="str">
        <f ca="1">IFERROR(ECF[[#This Row],[Nsd (kN)]]/(ECF[[#This Row],[nE]]*PI()*ECF[[#This Row],[Ø (cm)]]^2/4*SIN(ECF[[#This Row],[α]])^2),"N.S.")</f>
        <v>N.S.</v>
      </c>
      <c r="AP38" s="4" t="str">
        <f ca="1">IFERROR(INDEX(grupoEstacas[],ECF[[#This Row],[nE]],MATCH("coef. Blévot",grupoEstacas[#Headers],0)),"N.S.")</f>
        <v>N.S.</v>
      </c>
      <c r="AQ38" s="35" t="str">
        <f ca="1">IFERROR(ECF[[#This Row],[coef. Blévot]]*0.9*INDEX(tipoEstaca[],MATCH($D$2,tipoEstaca[TIPO DE ESTACA],0),MATCH("fcd (kN/cm²)",tipoEstaca[#Headers],0)),"N.S.")</f>
        <v>N.S.</v>
      </c>
      <c r="AR38" s="1" t="str">
        <f ca="1">IF(AND(ECF[[#This Row],[cd,b,pil (kN/cm²)]]&lt;=ECF[[#This Row],[cd,b,lim (kN/cm²)]],ECF[[#This Row],[cd,b,est (kN/cm²)]]&lt;=ECF[[#This Row],[cd,b,lim (kN/cm²)]]),"OK","ERRO")</f>
        <v>OK</v>
      </c>
      <c r="AS38" s="4" t="str">
        <f ca="1">As_lado(ECF[[#This Row],[nE]],ECF[[#This Row],[Nsd (kN)]],ECF[[#This Row],[d (cm)]],ECF[[#This Row],[e (cm)]],ECF[[#This Row],[ap,eq (cm)]])</f>
        <v>N.S.</v>
      </c>
      <c r="AT38" s="4" t="str">
        <f ca="1">IF(ECF[[#This Row],[nE]]=1,ECF[[#This Row],[As,lado (cm²)]],IF(ECF[[#This Row],[nE]]=2,0.075*2*ECF[a (cm)],"N.A."))</f>
        <v>N.A.</v>
      </c>
      <c r="AU38" s="4" t="str">
        <f ca="1">IFERROR(IF(ECF[[#This Row],[nE]]=1,"N.A.",0.2*ECF[[#This Row],[As,lado (cm²)]]),"N.S.")</f>
        <v>N.S.</v>
      </c>
      <c r="AV38" s="4" t="str">
        <f ca="1">As_malha(ECF[[#This Row],[nE]],ECF[[#This Row],[As,lado (cm²)]],ECF[[#This Row],[Nsd (kN)]])</f>
        <v>N.S.</v>
      </c>
      <c r="AW38" s="4" t="str">
        <f ca="1">As_susp_tot(ECF[[#This Row],[nE]],ECF[[#This Row],[Nsd (kN)]])</f>
        <v>N.S.</v>
      </c>
      <c r="AX38" s="4" t="str">
        <f ca="1">Asp_face(ECF[[#This Row],[nE]],ECF[[#This Row],[As,lado (cm²)]])</f>
        <v>N.S.</v>
      </c>
      <c r="AY38" s="5" t="str">
        <f ca="1">acoBloco(ECF[[#This Row],[nE]],ECF[[#This Row],[e (cm)]],ECF[[#This Row],[a (cm)]],ECF[[#This Row],[h (cm)]],ECF[[#This Row],[As,lado (cm²)]],ECF[[#This Row],[Asp e Asw (cm²/m)]],ECF[[#This Row],[As,sup (cm²)]],ECF[[#This Row],[As,malha (cm²)]],ECF[[#This Row],[As,susp,tot (cm²)]],ECF[[#This Row],[Asp,face (cm²)]])</f>
        <v>N.S.</v>
      </c>
      <c r="AZ38" s="4" t="str">
        <f ca="1">concretoBloco(ECF[[#This Row],[nE]],ECF[[#This Row],[e (cm)]],ECF[[#This Row],[a (cm)]],ECF[[#This Row],[h (cm)]])</f>
        <v>N.S.</v>
      </c>
      <c r="BA38" s="5">
        <f ca="1">SUM(ECF[[#This Row],[Aço Est (kg)]],ECF[[#This Row],[Aço Bloco (kg)]])</f>
        <v>48.33654456813256</v>
      </c>
      <c r="BB38" s="4">
        <f>INDEX(composicoes[],MATCH(95580,composicoes[CÓDIGO],0),MATCH("CUSTO TOTAL",composicoes[#Headers],0))</f>
        <v>10.46</v>
      </c>
      <c r="BC38" s="4">
        <f ca="1">SUM(ECF[[#This Row],[Conc Est (m³)]],ECF[[#This Row],[Conc Bloco (m³)]])</f>
        <v>17.318029502913731</v>
      </c>
      <c r="BD38" s="4">
        <f>INDEX(composicoes[],MATCH(94966,composicoes[CÓDIGO],0),MATCH("CUSTO TOTAL",composicoes[#Headers],0))</f>
        <v>439.52</v>
      </c>
      <c r="BE38" s="38">
        <f ca="1">ECF[[#This Row],[Aço (kg)]]*ECF[[#This Row],[Aço (R$/kg)]]+ECF[[#This Row],[Conc (m³)]]*ECF[[#This Row],[Conc (R$/m³)]]</f>
        <v>8117.2205833033095</v>
      </c>
      <c r="BF38" s="4" t="str">
        <f ca="1">IF(COUNTIF(ECF[#This Row],"N.S.")&gt;0,"lim.","OK")</f>
        <v>lim.</v>
      </c>
      <c r="BG38" s="4" t="str">
        <f>IF(ECF[[#This Row],[Prof. (m)]]&lt;4,"lim.","OK")</f>
        <v>OK</v>
      </c>
      <c r="BH38" s="4" t="str">
        <f>IF(ECF[[#This Row],[Prof. (m)]]&gt;=8*ECF[[#This Row],[Ø (cm)]]/100,"OK","lim.")</f>
        <v>lim.</v>
      </c>
      <c r="BI38" s="4" t="str">
        <f>IF(AND(SPT!$F$3&lt;&gt;"",ECF[[#This Row],[Prof. (m)]]&gt;=SPT!$F$3-2),"lim.","OK")</f>
        <v>OK</v>
      </c>
      <c r="BJ38" s="4" t="str">
        <f ca="1">IF(ECF[[#This Row],[Verif. Biela]]="OK","OK","lim.")</f>
        <v>OK</v>
      </c>
      <c r="BK38" s="4" t="str">
        <f ca="1">IF(COUNTA(ECF[[#This Row],[Nº Est.]:[Biela comp.]])=COUNTIF(ECF[[#This Row],[Nº Est.]:[Biela comp.]],"OK"),"OK","lim.")</f>
        <v>lim.</v>
      </c>
      <c r="BL38" s="4" t="str">
        <f ca="1">IF(ECF[[#This Row],[Controle]]="OK",ECF[[#This Row],[nE]]&amp;" Ø"&amp;ECF[[#This Row],[Ø (cm)]]&amp;"cm Prof. "&amp;ECF[[#This Row],[Prof. (m)]]&amp;" m","")</f>
        <v/>
      </c>
      <c r="BM38" s="4" t="str">
        <f ca="1">IF(ECF[[#This Row],[idDimensionamento]]="","",ECF[[#This Row],[idPilar]]&amp;ECF[[#This Row],[idDimensionamento]])</f>
        <v/>
      </c>
    </row>
    <row r="39" spans="2:65" x14ac:dyDescent="0.25">
      <c r="B39" s="12">
        <f>ROUNDUP((ROW(ECF[[#This Row],[idDiâmetro]])-ROW(ECF[[#Headers],[idDiâmetro]]))/(COUNT(SPT[Prof. (m)])*COUNT(PILARES[Pilar])),0)</f>
        <v>2</v>
      </c>
      <c r="C39" s="12">
        <f>IF(ECF[[#This Row],[idDiâmetro]]&lt;&gt;B38,1,IF(ECF[[#This Row],[Prof. (m)]]=0,C38+1,C38))</f>
        <v>1</v>
      </c>
      <c r="D39" s="1">
        <f>IFERROR(IF(D38=MAX(SPT[Prof. (m)]),0,D38+1),0)</f>
        <v>6</v>
      </c>
      <c r="E39" s="1">
        <f>INDEX(SPT[],MATCH(ECF[[#This Row],[Prof. (m)]],SPT[Prof. (m)],0),2)</f>
        <v>21</v>
      </c>
      <c r="F39" s="1" t="str">
        <f>INDEX(SPT[],MATCH(ECF[[#This Row],[Prof. (m)]],SPT[Prof. (m)],0),3)</f>
        <v>Silte arenoso</v>
      </c>
      <c r="G39" s="1">
        <f>INDEX(estacas[],ECF[[#This Row],[idDiâmetro]],MATCH($B$2,estacas[#Headers],0))</f>
        <v>70</v>
      </c>
      <c r="H39" s="1">
        <f>INDEX(estacas[],MATCH(ECF[[#This Row],[Ø (cm)]],estacas[Ø ECF (cm)],0),MATCH(ECF[[#Headers],[Pe ECF (kN)]],estacas[#Headers],0))</f>
        <v>1500</v>
      </c>
      <c r="I39" s="4">
        <f>INDEX(K_alpha_C[],MATCH(ECF[[#This Row],[Solo]],K_alpha_C[Solo],0),2)</f>
        <v>0.55000000000000004</v>
      </c>
      <c r="J39" s="5">
        <f>INDEX(K_alpha_C[],MATCH(ECF[[#This Row],[Solo]],K_alpha_C[Solo],0),3)</f>
        <v>2.2000000000000002</v>
      </c>
      <c r="K39" s="4">
        <f>INDEX(F1_F2[],MATCH($D$2,F1_F2[Tipo de estaca],0),2)</f>
        <v>3</v>
      </c>
      <c r="L39" s="4">
        <f>INDEX(F1_F2[],MATCH($D$2,F1_F2[Tipo de estaca],0),3)</f>
        <v>6</v>
      </c>
      <c r="M39" s="4">
        <f>PI()*(ECF[[#This Row],[Ø (cm)]]/100)^2/4</f>
        <v>0.38484510006474959</v>
      </c>
      <c r="N39" s="4">
        <f>PI()*ECF[[#This Row],[Ø (cm)]]/100</f>
        <v>2.1991148575128552</v>
      </c>
      <c r="O39" s="4">
        <f>IF(ECF[[#This Row],[Prof. (m)]]=0,0,ECF[[#This Row],[α (%)]]/100*ECF[[#This Row],[K (MPa)]]*1000*ECF[[#This Row],[NSPT]])</f>
        <v>254.10000000000002</v>
      </c>
      <c r="P39" s="4">
        <f>IF(ECF[[#This Row],[Prof. (m)]]=0,0,(ECF[[#This Row],[K (MPa)]]*1000*ECF[[#This Row],[NSPT]]/ECF[[#This Row],[F1]]*ECF[[#This Row],[Ap (m²)]]+ECF[[#This Row],[U (m)]]/ECF[[#This Row],[F2]]*SUMIFS(ECF[(α∙K∙NL∙ΔL)],ECF[Prof. (m)],"&lt;="&amp;ECF[[#This Row],[Prof. (m)]],ECF[idDiâmetro],ECF[[#This Row],[idDiâmetro]],ECF[idPilar],ECF[[#This Row],[idPilar]]))/'DADOS CAP. CARGA'!$D$2)</f>
        <v>884.15412846304332</v>
      </c>
      <c r="Q39" s="12">
        <f>INDEX(C_alpha_beta[],MATCH(ECF[[#This Row],[Solo]],C_alpha_beta[Solo],0),MATCH(ECF[[#Headers],[C (kPa)]],C_alpha_beta[#Headers],0))</f>
        <v>250</v>
      </c>
      <c r="R39" s="4">
        <f>INDEX(C_alpha_beta[],MATCH(ECF[[#This Row],[Solo]],C_alpha_beta[Solo],0),MATCH(ECF[[#Headers],[α ESF]],C_alpha_beta[#Headers],0))</f>
        <v>0.6</v>
      </c>
      <c r="S39" s="4">
        <f>INDEX(C_alpha_beta[],MATCH(ECF[[#This Row],[Solo]],C_alpha_beta[Solo],0),MATCH(ECF[[#Headers],[β ESF]],C_alpha_beta[#Headers],0))</f>
        <v>0.65</v>
      </c>
      <c r="T39" s="4">
        <f>IF(ECF[[#This Row],[Prof. (m)]]=0,0,10*(ECF[[#This Row],[NSPT]]/3+1))</f>
        <v>80</v>
      </c>
      <c r="U39" s="4">
        <f>(ECF[[#This Row],[α ESF]]*ECF[[#This Row],[C (kPa)]]*ECF[[#This Row],[NSPT]]*ECF[[#This Row],[Ap (m²)]])/'DADOS CAP. CARGA'!$Q$2+(ECF[[#This Row],[β ESF]]*SUMIFS(ECF[10∙(NL/3+1)],ECF[Prof. (m)],"&lt;="&amp;ECF[[#This Row],[Prof. (m)]],ECF[idDiâmetro],ECF[[#This Row],[idDiâmetro]],ECF[idPilar],ECF[[#This Row],[idPilar]])*ECF[[#This Row],[U (m)]])/'DADOS CAP. CARGA'!$S$2</f>
        <v>474.59647518699296</v>
      </c>
      <c r="V39" s="4">
        <f>IF(SPT!$M$5=1,MIN(ECF[[#This Row],[Pe ECF (kN)]],ECF[[#This Row],[R_AV (kN)]]),IF(SPT!$M$5=2,MIN(ECF[[#This Row],[Pe ECF (kN)]],ECF[[#This Row],[R_DC (kN)]]),MIN(ECF[[#This Row],[Pe ECF (kN)]],ECF[[#This Row],[R_AV (kN)]],ECF[[#This Row],[R_DC (kN)]])))</f>
        <v>474.59647518699296</v>
      </c>
      <c r="W39" s="4">
        <f>INDEX(PILARES[],ECF[[#This Row],[idPilar]],MATCH("Carga (kN)",PILARES[#Headers],0))*1.4</f>
        <v>3500</v>
      </c>
      <c r="X39" s="12">
        <f>INDEX(PILARES[],ECF[[#This Row],[idPilar]],MATCH(ECF[[#Headers],[ap (cm)]],PILARES[#Headers],0))</f>
        <v>60</v>
      </c>
      <c r="Y39" s="12">
        <f>INDEX(PILARES[],ECF[[#This Row],[idPilar]],MATCH(ECF[[#Headers],[bp (cm)]],PILARES[#Headers],0))</f>
        <v>60</v>
      </c>
      <c r="Z39" s="4">
        <f>SQRT(ECF[[#This Row],[ap (cm)]]*ECF[[#This Row],[bp (cm)]])</f>
        <v>60</v>
      </c>
      <c r="AA39" s="12">
        <f>ECF[[#This Row],[ap (cm)]]*ECF[[#This Row],[bp (cm)]]</f>
        <v>3600</v>
      </c>
      <c r="AB39" s="12">
        <f ca="1">IF(ECF[[#This Row],[Padm∙ε (kN)]]&gt;=ECF[[#This Row],[Padm (kN)]],ROUNDUP(1.05*ECF[[#This Row],[Nsd (kN)]]/ECF[[#This Row],[Padm (kN)]],0),ROUNDUP(1.05*ECF[[#This Row],[Nsd (kN)]]/ECF[[#This Row],[Padm (kN)]],0)+1)</f>
        <v>8</v>
      </c>
      <c r="AC39" s="4" t="str">
        <f ca="1">IFERROR(IF(ECF[[#This Row],[nE]]=1,ECF[[#This Row],[Padm (kN)]],ECF[[#This Row],[Padm (kN)]]*ECF[[#This Row],[nE]]*INDEX(grupoEstacas[],ECF[[#This Row],[nE]],MATCH("ε",grupoEstacas[#Headers],0))),"N.S.")</f>
        <v>N.S.</v>
      </c>
      <c r="AD39" s="4">
        <f ca="1">1.05*ECF[[#This Row],[Nsd (kN)]]/(ECF[[#This Row],[nE]]*PI()*ECF[[#This Row],[Ø (cm)]]^2/4)*10</f>
        <v>1.1936620731892149</v>
      </c>
      <c r="AE39" s="4">
        <f ca="1">IF(ECF[[#This Row],[σ (MPa)]]&lt;INDEX(tipoEstaca[],MATCH($D$2,tipoEstaca[TIPO DE ESTACA],0),MATCH("σmáx (MPa)",tipoEstaca[#Headers],0)),0.4%*PI()*ECF[[#This Row],[Ø (cm)]]^2/4,"N.S.")</f>
        <v>15.393804002589988</v>
      </c>
      <c r="AF39" s="1">
        <f>INDEX(tipoEstaca[],MATCH($D$2,tipoEstaca[TIPO DE ESTACA],0),MATCH(ECF[[#Headers],[Comprimento (m)]],tipoEstaca[#Headers],0))</f>
        <v>4</v>
      </c>
      <c r="AG39" s="5">
        <f ca="1">ECF[[#This Row],[As,mín (cm²)]]/100^2*ECF[[#This Row],[Comprimento (m)]]*7850</f>
        <v>48.33654456813256</v>
      </c>
      <c r="AH39" s="4">
        <f ca="1">ECF[[#This Row],[nE]]*ECF[[#This Row],[Prof. (m)]]*ECF[[#This Row],[Ap (m²)]]</f>
        <v>18.472564803107979</v>
      </c>
      <c r="AI39" s="1">
        <f ca="1">IF(ECF[[#This Row],[nE]]=1,0,MAX(3*ECF[[#This Row],[Ø (cm)]],60))</f>
        <v>210</v>
      </c>
      <c r="AJ39" s="1">
        <f ca="1">IF(ECF[[#This Row],[nE]]=1,ECF[[#This Row],[Ø (cm)]]+2*10,MAX(1.5*ECF[[#This Row],[Ø (cm)]],ECF[[#This Row],[Ø (cm)]]+15))</f>
        <v>105</v>
      </c>
      <c r="AK39" s="1" t="str">
        <f ca="1">alturaUtil(ECF[[#This Row],[nE]],ECF[[#This Row],[Ø (cm)]],ECF[[#This Row],[e (cm)]],ECF[[#This Row],[ap,eq (cm)]])</f>
        <v>N.S.</v>
      </c>
      <c r="AL39" s="1" t="str">
        <f ca="1">IFERROR(ECF[[#This Row],[d (cm)]]+arredondarParaCimaMultiplo5cm(MAX(5,SQRT(PI())/2*ECF[[#This Row],[Ø (cm)]]/5)),"N.S.")</f>
        <v>N.S.</v>
      </c>
      <c r="AM39" s="5" t="str">
        <f ca="1">alpha(ECF[[#This Row],[nE]],ECF[[#This Row],[d (cm)]],ECF[[#This Row],[e (cm)]],ECF[[#This Row],[ap,eq (cm)]])</f>
        <v>N.S.</v>
      </c>
      <c r="AN39" s="35" t="str">
        <f ca="1">IFERROR(ECF[[#This Row],[Nsd (kN)]]/(ECF[[#This Row],[Ap (cm²)]]*SIN(ECF[[#This Row],[α]])^2),"N.S.")</f>
        <v>N.S.</v>
      </c>
      <c r="AO39" s="35" t="str">
        <f ca="1">IFERROR(ECF[[#This Row],[Nsd (kN)]]/(ECF[[#This Row],[nE]]*PI()*ECF[[#This Row],[Ø (cm)]]^2/4*SIN(ECF[[#This Row],[α]])^2),"N.S.")</f>
        <v>N.S.</v>
      </c>
      <c r="AP39" s="4" t="str">
        <f ca="1">IFERROR(INDEX(grupoEstacas[],ECF[[#This Row],[nE]],MATCH("coef. Blévot",grupoEstacas[#Headers],0)),"N.S.")</f>
        <v>N.S.</v>
      </c>
      <c r="AQ39" s="35" t="str">
        <f ca="1">IFERROR(ECF[[#This Row],[coef. Blévot]]*0.9*INDEX(tipoEstaca[],MATCH($D$2,tipoEstaca[TIPO DE ESTACA],0),MATCH("fcd (kN/cm²)",tipoEstaca[#Headers],0)),"N.S.")</f>
        <v>N.S.</v>
      </c>
      <c r="AR39" s="1" t="str">
        <f ca="1">IF(AND(ECF[[#This Row],[cd,b,pil (kN/cm²)]]&lt;=ECF[[#This Row],[cd,b,lim (kN/cm²)]],ECF[[#This Row],[cd,b,est (kN/cm²)]]&lt;=ECF[[#This Row],[cd,b,lim (kN/cm²)]]),"OK","ERRO")</f>
        <v>OK</v>
      </c>
      <c r="AS39" s="4" t="str">
        <f ca="1">As_lado(ECF[[#This Row],[nE]],ECF[[#This Row],[Nsd (kN)]],ECF[[#This Row],[d (cm)]],ECF[[#This Row],[e (cm)]],ECF[[#This Row],[ap,eq (cm)]])</f>
        <v>N.S.</v>
      </c>
      <c r="AT39" s="4" t="str">
        <f ca="1">IF(ECF[[#This Row],[nE]]=1,ECF[[#This Row],[As,lado (cm²)]],IF(ECF[[#This Row],[nE]]=2,0.075*2*ECF[a (cm)],"N.A."))</f>
        <v>N.A.</v>
      </c>
      <c r="AU39" s="4" t="str">
        <f ca="1">IFERROR(IF(ECF[[#This Row],[nE]]=1,"N.A.",0.2*ECF[[#This Row],[As,lado (cm²)]]),"N.S.")</f>
        <v>N.S.</v>
      </c>
      <c r="AV39" s="4" t="str">
        <f ca="1">As_malha(ECF[[#This Row],[nE]],ECF[[#This Row],[As,lado (cm²)]],ECF[[#This Row],[Nsd (kN)]])</f>
        <v>N.S.</v>
      </c>
      <c r="AW39" s="4" t="str">
        <f ca="1">As_susp_tot(ECF[[#This Row],[nE]],ECF[[#This Row],[Nsd (kN)]])</f>
        <v>N.S.</v>
      </c>
      <c r="AX39" s="4" t="str">
        <f ca="1">Asp_face(ECF[[#This Row],[nE]],ECF[[#This Row],[As,lado (cm²)]])</f>
        <v>N.S.</v>
      </c>
      <c r="AY39" s="5" t="str">
        <f ca="1">acoBloco(ECF[[#This Row],[nE]],ECF[[#This Row],[e (cm)]],ECF[[#This Row],[a (cm)]],ECF[[#This Row],[h (cm)]],ECF[[#This Row],[As,lado (cm²)]],ECF[[#This Row],[Asp e Asw (cm²/m)]],ECF[[#This Row],[As,sup (cm²)]],ECF[[#This Row],[As,malha (cm²)]],ECF[[#This Row],[As,susp,tot (cm²)]],ECF[[#This Row],[Asp,face (cm²)]])</f>
        <v>N.S.</v>
      </c>
      <c r="AZ39" s="4" t="str">
        <f ca="1">concretoBloco(ECF[[#This Row],[nE]],ECF[[#This Row],[e (cm)]],ECF[[#This Row],[a (cm)]],ECF[[#This Row],[h (cm)]])</f>
        <v>N.S.</v>
      </c>
      <c r="BA39" s="5">
        <f ca="1">SUM(ECF[[#This Row],[Aço Est (kg)]],ECF[[#This Row],[Aço Bloco (kg)]])</f>
        <v>48.33654456813256</v>
      </c>
      <c r="BB39" s="4">
        <f>INDEX(composicoes[],MATCH(95580,composicoes[CÓDIGO],0),MATCH("CUSTO TOTAL",composicoes[#Headers],0))</f>
        <v>10.46</v>
      </c>
      <c r="BC39" s="4">
        <f ca="1">SUM(ECF[[#This Row],[Conc Est (m³)]],ECF[[#This Row],[Conc Bloco (m³)]])</f>
        <v>18.472564803107979</v>
      </c>
      <c r="BD39" s="4">
        <f>INDEX(composicoes[],MATCH(94966,composicoes[CÓDIGO],0),MATCH("CUSTO TOTAL",composicoes[#Headers],0))</f>
        <v>439.52</v>
      </c>
      <c r="BE39" s="38">
        <f ca="1">ECF[[#This Row],[Aço (kg)]]*ECF[[#This Row],[Aço (R$/kg)]]+ECF[[#This Row],[Conc (m³)]]*ECF[[#This Row],[Conc (R$/m³)]]</f>
        <v>8624.6619384446858</v>
      </c>
      <c r="BF39" s="4" t="str">
        <f ca="1">IF(COUNTIF(ECF[#This Row],"N.S.")&gt;0,"lim.","OK")</f>
        <v>lim.</v>
      </c>
      <c r="BG39" s="4" t="str">
        <f>IF(ECF[[#This Row],[Prof. (m)]]&lt;4,"lim.","OK")</f>
        <v>OK</v>
      </c>
      <c r="BH39" s="4" t="str">
        <f>IF(ECF[[#This Row],[Prof. (m)]]&gt;=8*ECF[[#This Row],[Ø (cm)]]/100,"OK","lim.")</f>
        <v>OK</v>
      </c>
      <c r="BI39" s="4" t="str">
        <f>IF(AND(SPT!$F$3&lt;&gt;"",ECF[[#This Row],[Prof. (m)]]&gt;=SPT!$F$3-2),"lim.","OK")</f>
        <v>OK</v>
      </c>
      <c r="BJ39" s="4" t="str">
        <f ca="1">IF(ECF[[#This Row],[Verif. Biela]]="OK","OK","lim.")</f>
        <v>OK</v>
      </c>
      <c r="BK39" s="4" t="str">
        <f ca="1">IF(COUNTA(ECF[[#This Row],[Nº Est.]:[Biela comp.]])=COUNTIF(ECF[[#This Row],[Nº Est.]:[Biela comp.]],"OK"),"OK","lim.")</f>
        <v>lim.</v>
      </c>
      <c r="BL39" s="4" t="str">
        <f ca="1">IF(ECF[[#This Row],[Controle]]="OK",ECF[[#This Row],[nE]]&amp;" Ø"&amp;ECF[[#This Row],[Ø (cm)]]&amp;"cm Prof. "&amp;ECF[[#This Row],[Prof. (m)]]&amp;" m","")</f>
        <v/>
      </c>
      <c r="BM39" s="4" t="str">
        <f ca="1">IF(ECF[[#This Row],[idDimensionamento]]="","",ECF[[#This Row],[idPilar]]&amp;ECF[[#This Row],[idDimensionamento]])</f>
        <v/>
      </c>
    </row>
    <row r="40" spans="2:65" x14ac:dyDescent="0.25">
      <c r="B40" s="12">
        <f>ROUNDUP((ROW(ECF[[#This Row],[idDiâmetro]])-ROW(ECF[[#Headers],[idDiâmetro]]))/(COUNT(SPT[Prof. (m)])*COUNT(PILARES[Pilar])),0)</f>
        <v>2</v>
      </c>
      <c r="C40" s="12">
        <f>IF(ECF[[#This Row],[idDiâmetro]]&lt;&gt;B39,1,IF(ECF[[#This Row],[Prof. (m)]]=0,C39+1,C39))</f>
        <v>1</v>
      </c>
      <c r="D40" s="1">
        <f>IFERROR(IF(D39=MAX(SPT[Prof. (m)]),0,D39+1),0)</f>
        <v>7</v>
      </c>
      <c r="E40" s="1">
        <f>INDEX(SPT[],MATCH(ECF[[#This Row],[Prof. (m)]],SPT[Prof. (m)],0),2)</f>
        <v>8</v>
      </c>
      <c r="F40" s="1" t="str">
        <f>INDEX(SPT[],MATCH(ECF[[#This Row],[Prof. (m)]],SPT[Prof. (m)],0),3)</f>
        <v>Silte arenoso</v>
      </c>
      <c r="G40" s="1">
        <f>INDEX(estacas[],ECF[[#This Row],[idDiâmetro]],MATCH($B$2,estacas[#Headers],0))</f>
        <v>70</v>
      </c>
      <c r="H40" s="1">
        <f>INDEX(estacas[],MATCH(ECF[[#This Row],[Ø (cm)]],estacas[Ø ECF (cm)],0),MATCH(ECF[[#Headers],[Pe ECF (kN)]],estacas[#Headers],0))</f>
        <v>1500</v>
      </c>
      <c r="I40" s="4">
        <f>INDEX(K_alpha_C[],MATCH(ECF[[#This Row],[Solo]],K_alpha_C[Solo],0),2)</f>
        <v>0.55000000000000004</v>
      </c>
      <c r="J40" s="5">
        <f>INDEX(K_alpha_C[],MATCH(ECF[[#This Row],[Solo]],K_alpha_C[Solo],0),3)</f>
        <v>2.2000000000000002</v>
      </c>
      <c r="K40" s="4">
        <f>INDEX(F1_F2[],MATCH($D$2,F1_F2[Tipo de estaca],0),2)</f>
        <v>3</v>
      </c>
      <c r="L40" s="4">
        <f>INDEX(F1_F2[],MATCH($D$2,F1_F2[Tipo de estaca],0),3)</f>
        <v>6</v>
      </c>
      <c r="M40" s="4">
        <f>PI()*(ECF[[#This Row],[Ø (cm)]]/100)^2/4</f>
        <v>0.38484510006474959</v>
      </c>
      <c r="N40" s="4">
        <f>PI()*ECF[[#This Row],[Ø (cm)]]/100</f>
        <v>2.1991148575128552</v>
      </c>
      <c r="O40" s="4">
        <f>IF(ECF[[#This Row],[Prof. (m)]]=0,0,ECF[[#This Row],[α (%)]]/100*ECF[[#This Row],[K (MPa)]]*1000*ECF[[#This Row],[NSPT]])</f>
        <v>96.800000000000011</v>
      </c>
      <c r="P40" s="4">
        <f>IF(ECF[[#This Row],[Prof. (m)]]=0,0,(ECF[[#This Row],[K (MPa)]]*1000*ECF[[#This Row],[NSPT]]/ECF[[#This Row],[F1]]*ECF[[#This Row],[Ap (m²)]]+ECF[[#This Row],[U (m)]]/ECF[[#This Row],[F2]]*SUMIFS(ECF[(α∙K∙NL∙ΔL)],ECF[Prof. (m)],"&lt;="&amp;ECF[[#This Row],[Prof. (m)]],ECF[idDiâmetro],ECF[[#This Row],[idDiâmetro]],ECF[idPilar],ECF[[#This Row],[idPilar]]))/'DADOS CAP. CARGA'!$D$2)</f>
        <v>443.28657740315379</v>
      </c>
      <c r="Q40" s="12">
        <f>INDEX(C_alpha_beta[],MATCH(ECF[[#This Row],[Solo]],C_alpha_beta[Solo],0),MATCH(ECF[[#Headers],[C (kPa)]],C_alpha_beta[#Headers],0))</f>
        <v>250</v>
      </c>
      <c r="R40" s="4">
        <f>INDEX(C_alpha_beta[],MATCH(ECF[[#This Row],[Solo]],C_alpha_beta[Solo],0),MATCH(ECF[[#Headers],[α ESF]],C_alpha_beta[#Headers],0))</f>
        <v>0.6</v>
      </c>
      <c r="S40" s="4">
        <f>INDEX(C_alpha_beta[],MATCH(ECF[[#This Row],[Solo]],C_alpha_beta[Solo],0),MATCH(ECF[[#Headers],[β ESF]],C_alpha_beta[#Headers],0))</f>
        <v>0.65</v>
      </c>
      <c r="T40" s="4">
        <f>IF(ECF[[#This Row],[Prof. (m)]]=0,0,10*(ECF[[#This Row],[NSPT]]/3+1))</f>
        <v>36.666666666666664</v>
      </c>
      <c r="U40" s="4">
        <f>(ECF[[#This Row],[α ESF]]*ECF[[#This Row],[C (kPa)]]*ECF[[#This Row],[NSPT]]*ECF[[#This Row],[Ap (m²)]])/'DADOS CAP. CARGA'!$Q$2+(ECF[[#This Row],[β ESF]]*SUMIFS(ECF[10∙(NL/3+1)],ECF[Prof. (m)],"&lt;="&amp;ECF[[#This Row],[Prof. (m)]],ECF[idDiâmetro],ECF[[#This Row],[idDiâmetro]],ECF[idPilar],ECF[[#This Row],[idPilar]])*ECF[[#This Row],[U (m)]])/'DADOS CAP. CARGA'!$S$2</f>
        <v>313.19060762412244</v>
      </c>
      <c r="V40" s="4">
        <f>IF(SPT!$M$5=1,MIN(ECF[[#This Row],[Pe ECF (kN)]],ECF[[#This Row],[R_AV (kN)]]),IF(SPT!$M$5=2,MIN(ECF[[#This Row],[Pe ECF (kN)]],ECF[[#This Row],[R_DC (kN)]]),MIN(ECF[[#This Row],[Pe ECF (kN)]],ECF[[#This Row],[R_AV (kN)]],ECF[[#This Row],[R_DC (kN)]])))</f>
        <v>313.19060762412244</v>
      </c>
      <c r="W40" s="4">
        <f>INDEX(PILARES[],ECF[[#This Row],[idPilar]],MATCH("Carga (kN)",PILARES[#Headers],0))*1.4</f>
        <v>3500</v>
      </c>
      <c r="X40" s="12">
        <f>INDEX(PILARES[],ECF[[#This Row],[idPilar]],MATCH(ECF[[#Headers],[ap (cm)]],PILARES[#Headers],0))</f>
        <v>60</v>
      </c>
      <c r="Y40" s="12">
        <f>INDEX(PILARES[],ECF[[#This Row],[idPilar]],MATCH(ECF[[#Headers],[bp (cm)]],PILARES[#Headers],0))</f>
        <v>60</v>
      </c>
      <c r="Z40" s="4">
        <f>SQRT(ECF[[#This Row],[ap (cm)]]*ECF[[#This Row],[bp (cm)]])</f>
        <v>60</v>
      </c>
      <c r="AA40" s="12">
        <f>ECF[[#This Row],[ap (cm)]]*ECF[[#This Row],[bp (cm)]]</f>
        <v>3600</v>
      </c>
      <c r="AB40" s="12">
        <f ca="1">IF(ECF[[#This Row],[Padm∙ε (kN)]]&gt;=ECF[[#This Row],[Padm (kN)]],ROUNDUP(1.05*ECF[[#This Row],[Nsd (kN)]]/ECF[[#This Row],[Padm (kN)]],0),ROUNDUP(1.05*ECF[[#This Row],[Nsd (kN)]]/ECF[[#This Row],[Padm (kN)]],0)+1)</f>
        <v>12</v>
      </c>
      <c r="AC40" s="4" t="str">
        <f ca="1">IFERROR(IF(ECF[[#This Row],[nE]]=1,ECF[[#This Row],[Padm (kN)]],ECF[[#This Row],[Padm (kN)]]*ECF[[#This Row],[nE]]*INDEX(grupoEstacas[],ECF[[#This Row],[nE]],MATCH("ε",grupoEstacas[#Headers],0))),"N.S.")</f>
        <v>N.S.</v>
      </c>
      <c r="AD40" s="4">
        <f ca="1">1.05*ECF[[#This Row],[Nsd (kN)]]/(ECF[[#This Row],[nE]]*PI()*ECF[[#This Row],[Ø (cm)]]^2/4)*10</f>
        <v>0.79577471545947676</v>
      </c>
      <c r="AE40" s="4">
        <f ca="1">IF(ECF[[#This Row],[σ (MPa)]]&lt;INDEX(tipoEstaca[],MATCH($D$2,tipoEstaca[TIPO DE ESTACA],0),MATCH("σmáx (MPa)",tipoEstaca[#Headers],0)),0.4%*PI()*ECF[[#This Row],[Ø (cm)]]^2/4,"N.S.")</f>
        <v>15.393804002589988</v>
      </c>
      <c r="AF40" s="1">
        <f>INDEX(tipoEstaca[],MATCH($D$2,tipoEstaca[TIPO DE ESTACA],0),MATCH(ECF[[#Headers],[Comprimento (m)]],tipoEstaca[#Headers],0))</f>
        <v>4</v>
      </c>
      <c r="AG40" s="5">
        <f ca="1">ECF[[#This Row],[As,mín (cm²)]]/100^2*ECF[[#This Row],[Comprimento (m)]]*7850</f>
        <v>48.33654456813256</v>
      </c>
      <c r="AH40" s="4">
        <f ca="1">ECF[[#This Row],[nE]]*ECF[[#This Row],[Prof. (m)]]*ECF[[#This Row],[Ap (m²)]]</f>
        <v>32.326988405438968</v>
      </c>
      <c r="AI40" s="1">
        <f ca="1">IF(ECF[[#This Row],[nE]]=1,0,MAX(3*ECF[[#This Row],[Ø (cm)]],60))</f>
        <v>210</v>
      </c>
      <c r="AJ40" s="1">
        <f ca="1">IF(ECF[[#This Row],[nE]]=1,ECF[[#This Row],[Ø (cm)]]+2*10,MAX(1.5*ECF[[#This Row],[Ø (cm)]],ECF[[#This Row],[Ø (cm)]]+15))</f>
        <v>105</v>
      </c>
      <c r="AK40" s="1" t="str">
        <f ca="1">alturaUtil(ECF[[#This Row],[nE]],ECF[[#This Row],[Ø (cm)]],ECF[[#This Row],[e (cm)]],ECF[[#This Row],[ap,eq (cm)]])</f>
        <v>N.S.</v>
      </c>
      <c r="AL40" s="1" t="str">
        <f ca="1">IFERROR(ECF[[#This Row],[d (cm)]]+arredondarParaCimaMultiplo5cm(MAX(5,SQRT(PI())/2*ECF[[#This Row],[Ø (cm)]]/5)),"N.S.")</f>
        <v>N.S.</v>
      </c>
      <c r="AM40" s="5" t="str">
        <f ca="1">alpha(ECF[[#This Row],[nE]],ECF[[#This Row],[d (cm)]],ECF[[#This Row],[e (cm)]],ECF[[#This Row],[ap,eq (cm)]])</f>
        <v>N.S.</v>
      </c>
      <c r="AN40" s="35" t="str">
        <f ca="1">IFERROR(ECF[[#This Row],[Nsd (kN)]]/(ECF[[#This Row],[Ap (cm²)]]*SIN(ECF[[#This Row],[α]])^2),"N.S.")</f>
        <v>N.S.</v>
      </c>
      <c r="AO40" s="35" t="str">
        <f ca="1">IFERROR(ECF[[#This Row],[Nsd (kN)]]/(ECF[[#This Row],[nE]]*PI()*ECF[[#This Row],[Ø (cm)]]^2/4*SIN(ECF[[#This Row],[α]])^2),"N.S.")</f>
        <v>N.S.</v>
      </c>
      <c r="AP40" s="4" t="str">
        <f ca="1">IFERROR(INDEX(grupoEstacas[],ECF[[#This Row],[nE]],MATCH("coef. Blévot",grupoEstacas[#Headers],0)),"N.S.")</f>
        <v>N.S.</v>
      </c>
      <c r="AQ40" s="35" t="str">
        <f ca="1">IFERROR(ECF[[#This Row],[coef. Blévot]]*0.9*INDEX(tipoEstaca[],MATCH($D$2,tipoEstaca[TIPO DE ESTACA],0),MATCH("fcd (kN/cm²)",tipoEstaca[#Headers],0)),"N.S.")</f>
        <v>N.S.</v>
      </c>
      <c r="AR40" s="1" t="str">
        <f ca="1">IF(AND(ECF[[#This Row],[cd,b,pil (kN/cm²)]]&lt;=ECF[[#This Row],[cd,b,lim (kN/cm²)]],ECF[[#This Row],[cd,b,est (kN/cm²)]]&lt;=ECF[[#This Row],[cd,b,lim (kN/cm²)]]),"OK","ERRO")</f>
        <v>OK</v>
      </c>
      <c r="AS40" s="4" t="str">
        <f ca="1">As_lado(ECF[[#This Row],[nE]],ECF[[#This Row],[Nsd (kN)]],ECF[[#This Row],[d (cm)]],ECF[[#This Row],[e (cm)]],ECF[[#This Row],[ap,eq (cm)]])</f>
        <v>N.S.</v>
      </c>
      <c r="AT40" s="4" t="str">
        <f ca="1">IF(ECF[[#This Row],[nE]]=1,ECF[[#This Row],[As,lado (cm²)]],IF(ECF[[#This Row],[nE]]=2,0.075*2*ECF[a (cm)],"N.A."))</f>
        <v>N.A.</v>
      </c>
      <c r="AU40" s="4" t="str">
        <f ca="1">IFERROR(IF(ECF[[#This Row],[nE]]=1,"N.A.",0.2*ECF[[#This Row],[As,lado (cm²)]]),"N.S.")</f>
        <v>N.S.</v>
      </c>
      <c r="AV40" s="4" t="str">
        <f ca="1">As_malha(ECF[[#This Row],[nE]],ECF[[#This Row],[As,lado (cm²)]],ECF[[#This Row],[Nsd (kN)]])</f>
        <v>N.S.</v>
      </c>
      <c r="AW40" s="4" t="str">
        <f ca="1">As_susp_tot(ECF[[#This Row],[nE]],ECF[[#This Row],[Nsd (kN)]])</f>
        <v>N.S.</v>
      </c>
      <c r="AX40" s="4" t="str">
        <f ca="1">Asp_face(ECF[[#This Row],[nE]],ECF[[#This Row],[As,lado (cm²)]])</f>
        <v>N.S.</v>
      </c>
      <c r="AY40" s="5" t="str">
        <f ca="1">acoBloco(ECF[[#This Row],[nE]],ECF[[#This Row],[e (cm)]],ECF[[#This Row],[a (cm)]],ECF[[#This Row],[h (cm)]],ECF[[#This Row],[As,lado (cm²)]],ECF[[#This Row],[Asp e Asw (cm²/m)]],ECF[[#This Row],[As,sup (cm²)]],ECF[[#This Row],[As,malha (cm²)]],ECF[[#This Row],[As,susp,tot (cm²)]],ECF[[#This Row],[Asp,face (cm²)]])</f>
        <v>N.S.</v>
      </c>
      <c r="AZ40" s="4" t="str">
        <f ca="1">concretoBloco(ECF[[#This Row],[nE]],ECF[[#This Row],[e (cm)]],ECF[[#This Row],[a (cm)]],ECF[[#This Row],[h (cm)]])</f>
        <v>N.S.</v>
      </c>
      <c r="BA40" s="5">
        <f ca="1">SUM(ECF[[#This Row],[Aço Est (kg)]],ECF[[#This Row],[Aço Bloco (kg)]])</f>
        <v>48.33654456813256</v>
      </c>
      <c r="BB40" s="4">
        <f>INDEX(composicoes[],MATCH(95580,composicoes[CÓDIGO],0),MATCH("CUSTO TOTAL",composicoes[#Headers],0))</f>
        <v>10.46</v>
      </c>
      <c r="BC40" s="4">
        <f ca="1">SUM(ECF[[#This Row],[Conc Est (m³)]],ECF[[#This Row],[Conc Bloco (m³)]])</f>
        <v>32.326988405438968</v>
      </c>
      <c r="BD40" s="4">
        <f>INDEX(composicoes[],MATCH(94966,composicoes[CÓDIGO],0),MATCH("CUSTO TOTAL",composicoes[#Headers],0))</f>
        <v>439.52</v>
      </c>
      <c r="BE40" s="38">
        <f ca="1">ECF[[#This Row],[Aço (kg)]]*ECF[[#This Row],[Aço (R$/kg)]]+ECF[[#This Row],[Conc (m³)]]*ECF[[#This Row],[Conc (R$/m³)]]</f>
        <v>14713.9582001412</v>
      </c>
      <c r="BF40" s="4" t="str">
        <f ca="1">IF(COUNTIF(ECF[#This Row],"N.S.")&gt;0,"lim.","OK")</f>
        <v>lim.</v>
      </c>
      <c r="BG40" s="4" t="str">
        <f>IF(ECF[[#This Row],[Prof. (m)]]&lt;4,"lim.","OK")</f>
        <v>OK</v>
      </c>
      <c r="BH40" s="4" t="str">
        <f>IF(ECF[[#This Row],[Prof. (m)]]&gt;=8*ECF[[#This Row],[Ø (cm)]]/100,"OK","lim.")</f>
        <v>OK</v>
      </c>
      <c r="BI40" s="4" t="str">
        <f>IF(AND(SPT!$F$3&lt;&gt;"",ECF[[#This Row],[Prof. (m)]]&gt;=SPT!$F$3-2),"lim.","OK")</f>
        <v>OK</v>
      </c>
      <c r="BJ40" s="4" t="str">
        <f ca="1">IF(ECF[[#This Row],[Verif. Biela]]="OK","OK","lim.")</f>
        <v>OK</v>
      </c>
      <c r="BK40" s="4" t="str">
        <f ca="1">IF(COUNTA(ECF[[#This Row],[Nº Est.]:[Biela comp.]])=COUNTIF(ECF[[#This Row],[Nº Est.]:[Biela comp.]],"OK"),"OK","lim.")</f>
        <v>lim.</v>
      </c>
      <c r="BL40" s="4" t="str">
        <f ca="1">IF(ECF[[#This Row],[Controle]]="OK",ECF[[#This Row],[nE]]&amp;" Ø"&amp;ECF[[#This Row],[Ø (cm)]]&amp;"cm Prof. "&amp;ECF[[#This Row],[Prof. (m)]]&amp;" m","")</f>
        <v/>
      </c>
      <c r="BM40" s="4" t="str">
        <f ca="1">IF(ECF[[#This Row],[idDimensionamento]]="","",ECF[[#This Row],[idPilar]]&amp;ECF[[#This Row],[idDimensionamento]])</f>
        <v/>
      </c>
    </row>
    <row r="41" spans="2:65" x14ac:dyDescent="0.25">
      <c r="B41" s="12">
        <f>ROUNDUP((ROW(ECF[[#This Row],[idDiâmetro]])-ROW(ECF[[#Headers],[idDiâmetro]]))/(COUNT(SPT[Prof. (m)])*COUNT(PILARES[Pilar])),0)</f>
        <v>2</v>
      </c>
      <c r="C41" s="12">
        <f>IF(ECF[[#This Row],[idDiâmetro]]&lt;&gt;B40,1,IF(ECF[[#This Row],[Prof. (m)]]=0,C40+1,C40))</f>
        <v>1</v>
      </c>
      <c r="D41" s="1">
        <f>IFERROR(IF(D40=MAX(SPT[Prof. (m)]),0,D40+1),0)</f>
        <v>8</v>
      </c>
      <c r="E41" s="1">
        <f>INDEX(SPT[],MATCH(ECF[[#This Row],[Prof. (m)]],SPT[Prof. (m)],0),2)</f>
        <v>10</v>
      </c>
      <c r="F41" s="1" t="str">
        <f>INDEX(SPT[],MATCH(ECF[[#This Row],[Prof. (m)]],SPT[Prof. (m)],0),3)</f>
        <v>Silte arenoso</v>
      </c>
      <c r="G41" s="1">
        <f>INDEX(estacas[],ECF[[#This Row],[idDiâmetro]],MATCH($B$2,estacas[#Headers],0))</f>
        <v>70</v>
      </c>
      <c r="H41" s="1">
        <f>INDEX(estacas[],MATCH(ECF[[#This Row],[Ø (cm)]],estacas[Ø ECF (cm)],0),MATCH(ECF[[#Headers],[Pe ECF (kN)]],estacas[#Headers],0))</f>
        <v>1500</v>
      </c>
      <c r="I41" s="4">
        <f>INDEX(K_alpha_C[],MATCH(ECF[[#This Row],[Solo]],K_alpha_C[Solo],0),2)</f>
        <v>0.55000000000000004</v>
      </c>
      <c r="J41" s="5">
        <f>INDEX(K_alpha_C[],MATCH(ECF[[#This Row],[Solo]],K_alpha_C[Solo],0),3)</f>
        <v>2.2000000000000002</v>
      </c>
      <c r="K41" s="4">
        <f>INDEX(F1_F2[],MATCH($D$2,F1_F2[Tipo de estaca],0),2)</f>
        <v>3</v>
      </c>
      <c r="L41" s="4">
        <f>INDEX(F1_F2[],MATCH($D$2,F1_F2[Tipo de estaca],0),3)</f>
        <v>6</v>
      </c>
      <c r="M41" s="4">
        <f>PI()*(ECF[[#This Row],[Ø (cm)]]/100)^2/4</f>
        <v>0.38484510006474959</v>
      </c>
      <c r="N41" s="4">
        <f>PI()*ECF[[#This Row],[Ø (cm)]]/100</f>
        <v>2.1991148575128552</v>
      </c>
      <c r="O41" s="4">
        <f>IF(ECF[[#This Row],[Prof. (m)]]=0,0,ECF[[#This Row],[α (%)]]/100*ECF[[#This Row],[K (MPa)]]*1000*ECF[[#This Row],[NSPT]])</f>
        <v>121.00000000000001</v>
      </c>
      <c r="P41" s="4">
        <f>IF(ECF[[#This Row],[Prof. (m)]]=0,0,(ECF[[#This Row],[K (MPa)]]*1000*ECF[[#This Row],[NSPT]]/ECF[[#This Row],[F1]]*ECF[[#This Row],[Ap (m²)]]+ECF[[#This Row],[U (m)]]/ECF[[#This Row],[F2]]*SUMIFS(ECF[(α∙K∙NL∙ΔL)],ECF[Prof. (m)],"&lt;="&amp;ECF[[#This Row],[Prof. (m)]],ECF[idDiâmetro],ECF[[#This Row],[idDiâmetro]],ECF[idPilar],ECF[[#This Row],[idPilar]]))/'DADOS CAP. CARGA'!$D$2)</f>
        <v>536.01592056161246</v>
      </c>
      <c r="Q41" s="12">
        <f>INDEX(C_alpha_beta[],MATCH(ECF[[#This Row],[Solo]],C_alpha_beta[Solo],0),MATCH(ECF[[#Headers],[C (kPa)]],C_alpha_beta[#Headers],0))</f>
        <v>250</v>
      </c>
      <c r="R41" s="4">
        <f>INDEX(C_alpha_beta[],MATCH(ECF[[#This Row],[Solo]],C_alpha_beta[Solo],0),MATCH(ECF[[#Headers],[α ESF]],C_alpha_beta[#Headers],0))</f>
        <v>0.6</v>
      </c>
      <c r="S41" s="4">
        <f>INDEX(C_alpha_beta[],MATCH(ECF[[#This Row],[Solo]],C_alpha_beta[Solo],0),MATCH(ECF[[#Headers],[β ESF]],C_alpha_beta[#Headers],0))</f>
        <v>0.65</v>
      </c>
      <c r="T41" s="4">
        <f>IF(ECF[[#This Row],[Prof. (m)]]=0,0,10*(ECF[[#This Row],[NSPT]]/3+1))</f>
        <v>43.333333333333343</v>
      </c>
      <c r="U41" s="4">
        <f>(ECF[[#This Row],[α ESF]]*ECF[[#This Row],[C (kPa)]]*ECF[[#This Row],[NSPT]]*ECF[[#This Row],[Ap (m²)]])/'DADOS CAP. CARGA'!$Q$2+(ECF[[#This Row],[β ESF]]*SUMIFS(ECF[10∙(NL/3+1)],ECF[Prof. (m)],"&lt;="&amp;ECF[[#This Row],[Prof. (m)]],ECF[idDiâmetro],ECF[[#This Row],[idDiâmetro]],ECF[idPilar],ECF[[#This Row],[idPilar]])*ECF[[#This Row],[U (m)]])/'DADOS CAP. CARGA'!$S$2</f>
        <v>373.02485770561805</v>
      </c>
      <c r="V41" s="4">
        <f>IF(SPT!$M$5=1,MIN(ECF[[#This Row],[Pe ECF (kN)]],ECF[[#This Row],[R_AV (kN)]]),IF(SPT!$M$5=2,MIN(ECF[[#This Row],[Pe ECF (kN)]],ECF[[#This Row],[R_DC (kN)]]),MIN(ECF[[#This Row],[Pe ECF (kN)]],ECF[[#This Row],[R_AV (kN)]],ECF[[#This Row],[R_DC (kN)]])))</f>
        <v>373.02485770561805</v>
      </c>
      <c r="W41" s="4">
        <f>INDEX(PILARES[],ECF[[#This Row],[idPilar]],MATCH("Carga (kN)",PILARES[#Headers],0))*1.4</f>
        <v>3500</v>
      </c>
      <c r="X41" s="12">
        <f>INDEX(PILARES[],ECF[[#This Row],[idPilar]],MATCH(ECF[[#Headers],[ap (cm)]],PILARES[#Headers],0))</f>
        <v>60</v>
      </c>
      <c r="Y41" s="12">
        <f>INDEX(PILARES[],ECF[[#This Row],[idPilar]],MATCH(ECF[[#Headers],[bp (cm)]],PILARES[#Headers],0))</f>
        <v>60</v>
      </c>
      <c r="Z41" s="4">
        <f>SQRT(ECF[[#This Row],[ap (cm)]]*ECF[[#This Row],[bp (cm)]])</f>
        <v>60</v>
      </c>
      <c r="AA41" s="12">
        <f>ECF[[#This Row],[ap (cm)]]*ECF[[#This Row],[bp (cm)]]</f>
        <v>3600</v>
      </c>
      <c r="AB41" s="12">
        <f ca="1">IF(ECF[[#This Row],[Padm∙ε (kN)]]&gt;=ECF[[#This Row],[Padm (kN)]],ROUNDUP(1.05*ECF[[#This Row],[Nsd (kN)]]/ECF[[#This Row],[Padm (kN)]],0),ROUNDUP(1.05*ECF[[#This Row],[Nsd (kN)]]/ECF[[#This Row],[Padm (kN)]],0)+1)</f>
        <v>10</v>
      </c>
      <c r="AC41" s="4" t="str">
        <f ca="1">IFERROR(IF(ECF[[#This Row],[nE]]=1,ECF[[#This Row],[Padm (kN)]],ECF[[#This Row],[Padm (kN)]]*ECF[[#This Row],[nE]]*INDEX(grupoEstacas[],ECF[[#This Row],[nE]],MATCH("ε",grupoEstacas[#Headers],0))),"N.S.")</f>
        <v>N.S.</v>
      </c>
      <c r="AD41" s="4">
        <f ca="1">1.05*ECF[[#This Row],[Nsd (kN)]]/(ECF[[#This Row],[nE]]*PI()*ECF[[#This Row],[Ø (cm)]]^2/4)*10</f>
        <v>0.95492965855137213</v>
      </c>
      <c r="AE41" s="4">
        <f ca="1">IF(ECF[[#This Row],[σ (MPa)]]&lt;INDEX(tipoEstaca[],MATCH($D$2,tipoEstaca[TIPO DE ESTACA],0),MATCH("σmáx (MPa)",tipoEstaca[#Headers],0)),0.4%*PI()*ECF[[#This Row],[Ø (cm)]]^2/4,"N.S.")</f>
        <v>15.393804002589988</v>
      </c>
      <c r="AF41" s="1">
        <f>INDEX(tipoEstaca[],MATCH($D$2,tipoEstaca[TIPO DE ESTACA],0),MATCH(ECF[[#Headers],[Comprimento (m)]],tipoEstaca[#Headers],0))</f>
        <v>4</v>
      </c>
      <c r="AG41" s="5">
        <f ca="1">ECF[[#This Row],[As,mín (cm²)]]/100^2*ECF[[#This Row],[Comprimento (m)]]*7850</f>
        <v>48.33654456813256</v>
      </c>
      <c r="AH41" s="4">
        <f ca="1">ECF[[#This Row],[nE]]*ECF[[#This Row],[Prof. (m)]]*ECF[[#This Row],[Ap (m²)]]</f>
        <v>30.787608005179969</v>
      </c>
      <c r="AI41" s="1">
        <f ca="1">IF(ECF[[#This Row],[nE]]=1,0,MAX(3*ECF[[#This Row],[Ø (cm)]],60))</f>
        <v>210</v>
      </c>
      <c r="AJ41" s="1">
        <f ca="1">IF(ECF[[#This Row],[nE]]=1,ECF[[#This Row],[Ø (cm)]]+2*10,MAX(1.5*ECF[[#This Row],[Ø (cm)]],ECF[[#This Row],[Ø (cm)]]+15))</f>
        <v>105</v>
      </c>
      <c r="AK41" s="1" t="str">
        <f ca="1">alturaUtil(ECF[[#This Row],[nE]],ECF[[#This Row],[Ø (cm)]],ECF[[#This Row],[e (cm)]],ECF[[#This Row],[ap,eq (cm)]])</f>
        <v>N.S.</v>
      </c>
      <c r="AL41" s="1" t="str">
        <f ca="1">IFERROR(ECF[[#This Row],[d (cm)]]+arredondarParaCimaMultiplo5cm(MAX(5,SQRT(PI())/2*ECF[[#This Row],[Ø (cm)]]/5)),"N.S.")</f>
        <v>N.S.</v>
      </c>
      <c r="AM41" s="5" t="str">
        <f ca="1">alpha(ECF[[#This Row],[nE]],ECF[[#This Row],[d (cm)]],ECF[[#This Row],[e (cm)]],ECF[[#This Row],[ap,eq (cm)]])</f>
        <v>N.S.</v>
      </c>
      <c r="AN41" s="35" t="str">
        <f ca="1">IFERROR(ECF[[#This Row],[Nsd (kN)]]/(ECF[[#This Row],[Ap (cm²)]]*SIN(ECF[[#This Row],[α]])^2),"N.S.")</f>
        <v>N.S.</v>
      </c>
      <c r="AO41" s="35" t="str">
        <f ca="1">IFERROR(ECF[[#This Row],[Nsd (kN)]]/(ECF[[#This Row],[nE]]*PI()*ECF[[#This Row],[Ø (cm)]]^2/4*SIN(ECF[[#This Row],[α]])^2),"N.S.")</f>
        <v>N.S.</v>
      </c>
      <c r="AP41" s="4" t="str">
        <f ca="1">IFERROR(INDEX(grupoEstacas[],ECF[[#This Row],[nE]],MATCH("coef. Blévot",grupoEstacas[#Headers],0)),"N.S.")</f>
        <v>N.S.</v>
      </c>
      <c r="AQ41" s="35" t="str">
        <f ca="1">IFERROR(ECF[[#This Row],[coef. Blévot]]*0.9*INDEX(tipoEstaca[],MATCH($D$2,tipoEstaca[TIPO DE ESTACA],0),MATCH("fcd (kN/cm²)",tipoEstaca[#Headers],0)),"N.S.")</f>
        <v>N.S.</v>
      </c>
      <c r="AR41" s="1" t="str">
        <f ca="1">IF(AND(ECF[[#This Row],[cd,b,pil (kN/cm²)]]&lt;=ECF[[#This Row],[cd,b,lim (kN/cm²)]],ECF[[#This Row],[cd,b,est (kN/cm²)]]&lt;=ECF[[#This Row],[cd,b,lim (kN/cm²)]]),"OK","ERRO")</f>
        <v>OK</v>
      </c>
      <c r="AS41" s="4" t="str">
        <f ca="1">As_lado(ECF[[#This Row],[nE]],ECF[[#This Row],[Nsd (kN)]],ECF[[#This Row],[d (cm)]],ECF[[#This Row],[e (cm)]],ECF[[#This Row],[ap,eq (cm)]])</f>
        <v>N.S.</v>
      </c>
      <c r="AT41" s="4" t="str">
        <f ca="1">IF(ECF[[#This Row],[nE]]=1,ECF[[#This Row],[As,lado (cm²)]],IF(ECF[[#This Row],[nE]]=2,0.075*2*ECF[a (cm)],"N.A."))</f>
        <v>N.A.</v>
      </c>
      <c r="AU41" s="4" t="str">
        <f ca="1">IFERROR(IF(ECF[[#This Row],[nE]]=1,"N.A.",0.2*ECF[[#This Row],[As,lado (cm²)]]),"N.S.")</f>
        <v>N.S.</v>
      </c>
      <c r="AV41" s="4" t="str">
        <f ca="1">As_malha(ECF[[#This Row],[nE]],ECF[[#This Row],[As,lado (cm²)]],ECF[[#This Row],[Nsd (kN)]])</f>
        <v>N.S.</v>
      </c>
      <c r="AW41" s="4" t="str">
        <f ca="1">As_susp_tot(ECF[[#This Row],[nE]],ECF[[#This Row],[Nsd (kN)]])</f>
        <v>N.S.</v>
      </c>
      <c r="AX41" s="4" t="str">
        <f ca="1">Asp_face(ECF[[#This Row],[nE]],ECF[[#This Row],[As,lado (cm²)]])</f>
        <v>N.S.</v>
      </c>
      <c r="AY41" s="5" t="str">
        <f ca="1">acoBloco(ECF[[#This Row],[nE]],ECF[[#This Row],[e (cm)]],ECF[[#This Row],[a (cm)]],ECF[[#This Row],[h (cm)]],ECF[[#This Row],[As,lado (cm²)]],ECF[[#This Row],[Asp e Asw (cm²/m)]],ECF[[#This Row],[As,sup (cm²)]],ECF[[#This Row],[As,malha (cm²)]],ECF[[#This Row],[As,susp,tot (cm²)]],ECF[[#This Row],[Asp,face (cm²)]])</f>
        <v>N.S.</v>
      </c>
      <c r="AZ41" s="4" t="str">
        <f ca="1">concretoBloco(ECF[[#This Row],[nE]],ECF[[#This Row],[e (cm)]],ECF[[#This Row],[a (cm)]],ECF[[#This Row],[h (cm)]])</f>
        <v>N.S.</v>
      </c>
      <c r="BA41" s="5">
        <f ca="1">SUM(ECF[[#This Row],[Aço Est (kg)]],ECF[[#This Row],[Aço Bloco (kg)]])</f>
        <v>48.33654456813256</v>
      </c>
      <c r="BB41" s="4">
        <f>INDEX(composicoes[],MATCH(95580,composicoes[CÓDIGO],0),MATCH("CUSTO TOTAL",composicoes[#Headers],0))</f>
        <v>10.46</v>
      </c>
      <c r="BC41" s="4">
        <f ca="1">SUM(ECF[[#This Row],[Conc Est (m³)]],ECF[[#This Row],[Conc Bloco (m³)]])</f>
        <v>30.787608005179969</v>
      </c>
      <c r="BD41" s="4">
        <f>INDEX(composicoes[],MATCH(94966,composicoes[CÓDIGO],0),MATCH("CUSTO TOTAL",composicoes[#Headers],0))</f>
        <v>439.52</v>
      </c>
      <c r="BE41" s="38">
        <f ca="1">ECF[[#This Row],[Aço (kg)]]*ECF[[#This Row],[Aço (R$/kg)]]+ECF[[#This Row],[Conc (m³)]]*ECF[[#This Row],[Conc (R$/m³)]]</f>
        <v>14037.369726619365</v>
      </c>
      <c r="BF41" s="4" t="str">
        <f ca="1">IF(COUNTIF(ECF[#This Row],"N.S.")&gt;0,"lim.","OK")</f>
        <v>lim.</v>
      </c>
      <c r="BG41" s="4" t="str">
        <f>IF(ECF[[#This Row],[Prof. (m)]]&lt;4,"lim.","OK")</f>
        <v>OK</v>
      </c>
      <c r="BH41" s="4" t="str">
        <f>IF(ECF[[#This Row],[Prof. (m)]]&gt;=8*ECF[[#This Row],[Ø (cm)]]/100,"OK","lim.")</f>
        <v>OK</v>
      </c>
      <c r="BI41" s="4" t="str">
        <f>IF(AND(SPT!$F$3&lt;&gt;"",ECF[[#This Row],[Prof. (m)]]&gt;=SPT!$F$3-2),"lim.","OK")</f>
        <v>OK</v>
      </c>
      <c r="BJ41" s="4" t="str">
        <f ca="1">IF(ECF[[#This Row],[Verif. Biela]]="OK","OK","lim.")</f>
        <v>OK</v>
      </c>
      <c r="BK41" s="4" t="str">
        <f ca="1">IF(COUNTA(ECF[[#This Row],[Nº Est.]:[Biela comp.]])=COUNTIF(ECF[[#This Row],[Nº Est.]:[Biela comp.]],"OK"),"OK","lim.")</f>
        <v>lim.</v>
      </c>
      <c r="BL41" s="4" t="str">
        <f ca="1">IF(ECF[[#This Row],[Controle]]="OK",ECF[[#This Row],[nE]]&amp;" Ø"&amp;ECF[[#This Row],[Ø (cm)]]&amp;"cm Prof. "&amp;ECF[[#This Row],[Prof. (m)]]&amp;" m","")</f>
        <v/>
      </c>
      <c r="BM41" s="4" t="str">
        <f ca="1">IF(ECF[[#This Row],[idDimensionamento]]="","",ECF[[#This Row],[idPilar]]&amp;ECF[[#This Row],[idDimensionamento]])</f>
        <v/>
      </c>
    </row>
    <row r="42" spans="2:65" x14ac:dyDescent="0.25">
      <c r="B42" s="12">
        <f>ROUNDUP((ROW(ECF[[#This Row],[idDiâmetro]])-ROW(ECF[[#Headers],[idDiâmetro]]))/(COUNT(SPT[Prof. (m)])*COUNT(PILARES[Pilar])),0)</f>
        <v>2</v>
      </c>
      <c r="C42" s="12">
        <f>IF(ECF[[#This Row],[idDiâmetro]]&lt;&gt;B41,1,IF(ECF[[#This Row],[Prof. (m)]]=0,C41+1,C41))</f>
        <v>1</v>
      </c>
      <c r="D42" s="1">
        <f>IFERROR(IF(D41=MAX(SPT[Prof. (m)]),0,D41+1),0)</f>
        <v>9</v>
      </c>
      <c r="E42" s="1">
        <f>INDEX(SPT[],MATCH(ECF[[#This Row],[Prof. (m)]],SPT[Prof. (m)],0),2)</f>
        <v>26</v>
      </c>
      <c r="F42" s="1" t="str">
        <f>INDEX(SPT[],MATCH(ECF[[#This Row],[Prof. (m)]],SPT[Prof. (m)],0),3)</f>
        <v>Areia siltosa</v>
      </c>
      <c r="G42" s="1">
        <f>INDEX(estacas[],ECF[[#This Row],[idDiâmetro]],MATCH($B$2,estacas[#Headers],0))</f>
        <v>70</v>
      </c>
      <c r="H42" s="1">
        <f>INDEX(estacas[],MATCH(ECF[[#This Row],[Ø (cm)]],estacas[Ø ECF (cm)],0),MATCH(ECF[[#Headers],[Pe ECF (kN)]],estacas[#Headers],0))</f>
        <v>1500</v>
      </c>
      <c r="I42" s="4">
        <f>INDEX(K_alpha_C[],MATCH(ECF[[#This Row],[Solo]],K_alpha_C[Solo],0),2)</f>
        <v>0.8</v>
      </c>
      <c r="J42" s="5">
        <f>INDEX(K_alpha_C[],MATCH(ECF[[#This Row],[Solo]],K_alpha_C[Solo],0),3)</f>
        <v>2</v>
      </c>
      <c r="K42" s="4">
        <f>INDEX(F1_F2[],MATCH($D$2,F1_F2[Tipo de estaca],0),2)</f>
        <v>3</v>
      </c>
      <c r="L42" s="4">
        <f>INDEX(F1_F2[],MATCH($D$2,F1_F2[Tipo de estaca],0),3)</f>
        <v>6</v>
      </c>
      <c r="M42" s="4">
        <f>PI()*(ECF[[#This Row],[Ø (cm)]]/100)^2/4</f>
        <v>0.38484510006474959</v>
      </c>
      <c r="N42" s="4">
        <f>PI()*ECF[[#This Row],[Ø (cm)]]/100</f>
        <v>2.1991148575128552</v>
      </c>
      <c r="O42" s="4">
        <f>IF(ECF[[#This Row],[Prof. (m)]]=0,0,ECF[[#This Row],[α (%)]]/100*ECF[[#This Row],[K (MPa)]]*1000*ECF[[#This Row],[NSPT]])</f>
        <v>416</v>
      </c>
      <c r="P42" s="4">
        <f>IF(ECF[[#This Row],[Prof. (m)]]=0,0,(ECF[[#This Row],[K (MPa)]]*1000*ECF[[#This Row],[NSPT]]/ECF[[#This Row],[F1]]*ECF[[#This Row],[Ap (m²)]]+ECF[[#This Row],[U (m)]]/ECF[[#This Row],[F2]]*SUMIFS(ECF[(α∙K∙NL∙ΔL)],ECF[Prof. (m)],"&lt;="&amp;ECF[[#This Row],[Prof. (m)]],ECF[idDiâmetro],ECF[[#This Row],[idDiâmetro]],ECF[idPilar],ECF[[#This Row],[idPilar]]))/'DADOS CAP. CARGA'!$D$2)</f>
        <v>1593.6069074538361</v>
      </c>
      <c r="Q42" s="12">
        <f>INDEX(C_alpha_beta[],MATCH(ECF[[#This Row],[Solo]],C_alpha_beta[Solo],0),MATCH(ECF[[#Headers],[C (kPa)]],C_alpha_beta[#Headers],0))</f>
        <v>400</v>
      </c>
      <c r="R42" s="4">
        <f>INDEX(C_alpha_beta[],MATCH(ECF[[#This Row],[Solo]],C_alpha_beta[Solo],0),MATCH(ECF[[#Headers],[α ESF]],C_alpha_beta[#Headers],0))</f>
        <v>0.5</v>
      </c>
      <c r="S42" s="4">
        <f>INDEX(C_alpha_beta[],MATCH(ECF[[#This Row],[Solo]],C_alpha_beta[Solo],0),MATCH(ECF[[#Headers],[β ESF]],C_alpha_beta[#Headers],0))</f>
        <v>0.5</v>
      </c>
      <c r="T42" s="4">
        <f>IF(ECF[[#This Row],[Prof. (m)]]=0,0,10*(ECF[[#This Row],[NSPT]]/3+1))</f>
        <v>96.666666666666657</v>
      </c>
      <c r="U42" s="4">
        <f>(ECF[[#This Row],[α ESF]]*ECF[[#This Row],[C (kPa)]]*ECF[[#This Row],[NSPT]]*ECF[[#This Row],[Ap (m²)]])/'DADOS CAP. CARGA'!$Q$2+(ECF[[#This Row],[β ESF]]*SUMIFS(ECF[10∙(NL/3+1)],ECF[Prof. (m)],"&lt;="&amp;ECF[[#This Row],[Prof. (m)]],ECF[idDiâmetro],ECF[[#This Row],[idDiâmetro]],ECF[idPilar],ECF[[#This Row],[idPilar]])*ECF[[#This Row],[U (m)]])/'DADOS CAP. CARGA'!$S$2</f>
        <v>729.37309440843023</v>
      </c>
      <c r="V42" s="4">
        <f>IF(SPT!$M$5=1,MIN(ECF[[#This Row],[Pe ECF (kN)]],ECF[[#This Row],[R_AV (kN)]]),IF(SPT!$M$5=2,MIN(ECF[[#This Row],[Pe ECF (kN)]],ECF[[#This Row],[R_DC (kN)]]),MIN(ECF[[#This Row],[Pe ECF (kN)]],ECF[[#This Row],[R_AV (kN)]],ECF[[#This Row],[R_DC (kN)]])))</f>
        <v>729.37309440843023</v>
      </c>
      <c r="W42" s="4">
        <f>INDEX(PILARES[],ECF[[#This Row],[idPilar]],MATCH("Carga (kN)",PILARES[#Headers],0))*1.4</f>
        <v>3500</v>
      </c>
      <c r="X42" s="12">
        <f>INDEX(PILARES[],ECF[[#This Row],[idPilar]],MATCH(ECF[[#Headers],[ap (cm)]],PILARES[#Headers],0))</f>
        <v>60</v>
      </c>
      <c r="Y42" s="12">
        <f>INDEX(PILARES[],ECF[[#This Row],[idPilar]],MATCH(ECF[[#Headers],[bp (cm)]],PILARES[#Headers],0))</f>
        <v>60</v>
      </c>
      <c r="Z42" s="4">
        <f>SQRT(ECF[[#This Row],[ap (cm)]]*ECF[[#This Row],[bp (cm)]])</f>
        <v>60</v>
      </c>
      <c r="AA42" s="12">
        <f>ECF[[#This Row],[ap (cm)]]*ECF[[#This Row],[bp (cm)]]</f>
        <v>3600</v>
      </c>
      <c r="AB42" s="12">
        <f ca="1">IF(ECF[[#This Row],[Padm∙ε (kN)]]&gt;=ECF[[#This Row],[Padm (kN)]],ROUNDUP(1.05*ECF[[#This Row],[Nsd (kN)]]/ECF[[#This Row],[Padm (kN)]],0),ROUNDUP(1.05*ECF[[#This Row],[Nsd (kN)]]/ECF[[#This Row],[Padm (kN)]],0)+1)</f>
        <v>6</v>
      </c>
      <c r="AC42" s="4" t="str">
        <f ca="1">IFERROR(IF(ECF[[#This Row],[nE]]=1,ECF[[#This Row],[Padm (kN)]],ECF[[#This Row],[Padm (kN)]]*ECF[[#This Row],[nE]]*INDEX(grupoEstacas[],ECF[[#This Row],[nE]],MATCH("ε",grupoEstacas[#Headers],0))),"N.S.")</f>
        <v>N.S.</v>
      </c>
      <c r="AD42" s="4">
        <f ca="1">1.05*ECF[[#This Row],[Nsd (kN)]]/(ECF[[#This Row],[nE]]*PI()*ECF[[#This Row],[Ø (cm)]]^2/4)*10</f>
        <v>1.5915494309189535</v>
      </c>
      <c r="AE42" s="4">
        <f ca="1">IF(ECF[[#This Row],[σ (MPa)]]&lt;INDEX(tipoEstaca[],MATCH($D$2,tipoEstaca[TIPO DE ESTACA],0),MATCH("σmáx (MPa)",tipoEstaca[#Headers],0)),0.4%*PI()*ECF[[#This Row],[Ø (cm)]]^2/4,"N.S.")</f>
        <v>15.393804002589988</v>
      </c>
      <c r="AF42" s="1">
        <f>INDEX(tipoEstaca[],MATCH($D$2,tipoEstaca[TIPO DE ESTACA],0),MATCH(ECF[[#Headers],[Comprimento (m)]],tipoEstaca[#Headers],0))</f>
        <v>4</v>
      </c>
      <c r="AG42" s="5">
        <f ca="1">ECF[[#This Row],[As,mín (cm²)]]/100^2*ECF[[#This Row],[Comprimento (m)]]*7850</f>
        <v>48.33654456813256</v>
      </c>
      <c r="AH42" s="4">
        <f ca="1">ECF[[#This Row],[nE]]*ECF[[#This Row],[Prof. (m)]]*ECF[[#This Row],[Ap (m²)]]</f>
        <v>20.781635403496477</v>
      </c>
      <c r="AI42" s="1">
        <f ca="1">IF(ECF[[#This Row],[nE]]=1,0,MAX(3*ECF[[#This Row],[Ø (cm)]],60))</f>
        <v>210</v>
      </c>
      <c r="AJ42" s="1">
        <f ca="1">IF(ECF[[#This Row],[nE]]=1,ECF[[#This Row],[Ø (cm)]]+2*10,MAX(1.5*ECF[[#This Row],[Ø (cm)]],ECF[[#This Row],[Ø (cm)]]+15))</f>
        <v>105</v>
      </c>
      <c r="AK42" s="1" t="str">
        <f ca="1">alturaUtil(ECF[[#This Row],[nE]],ECF[[#This Row],[Ø (cm)]],ECF[[#This Row],[e (cm)]],ECF[[#This Row],[ap,eq (cm)]])</f>
        <v>N.S.</v>
      </c>
      <c r="AL42" s="1" t="str">
        <f ca="1">IFERROR(ECF[[#This Row],[d (cm)]]+arredondarParaCimaMultiplo5cm(MAX(5,SQRT(PI())/2*ECF[[#This Row],[Ø (cm)]]/5)),"N.S.")</f>
        <v>N.S.</v>
      </c>
      <c r="AM42" s="5" t="str">
        <f ca="1">alpha(ECF[[#This Row],[nE]],ECF[[#This Row],[d (cm)]],ECF[[#This Row],[e (cm)]],ECF[[#This Row],[ap,eq (cm)]])</f>
        <v>N.S.</v>
      </c>
      <c r="AN42" s="35" t="str">
        <f ca="1">IFERROR(ECF[[#This Row],[Nsd (kN)]]/(ECF[[#This Row],[Ap (cm²)]]*SIN(ECF[[#This Row],[α]])^2),"N.S.")</f>
        <v>N.S.</v>
      </c>
      <c r="AO42" s="35" t="str">
        <f ca="1">IFERROR(ECF[[#This Row],[Nsd (kN)]]/(ECF[[#This Row],[nE]]*PI()*ECF[[#This Row],[Ø (cm)]]^2/4*SIN(ECF[[#This Row],[α]])^2),"N.S.")</f>
        <v>N.S.</v>
      </c>
      <c r="AP42" s="4" t="str">
        <f ca="1">IFERROR(INDEX(grupoEstacas[],ECF[[#This Row],[nE]],MATCH("coef. Blévot",grupoEstacas[#Headers],0)),"N.S.")</f>
        <v>N.S.</v>
      </c>
      <c r="AQ42" s="35" t="str">
        <f ca="1">IFERROR(ECF[[#This Row],[coef. Blévot]]*0.9*INDEX(tipoEstaca[],MATCH($D$2,tipoEstaca[TIPO DE ESTACA],0),MATCH("fcd (kN/cm²)",tipoEstaca[#Headers],0)),"N.S.")</f>
        <v>N.S.</v>
      </c>
      <c r="AR42" s="1" t="str">
        <f ca="1">IF(AND(ECF[[#This Row],[cd,b,pil (kN/cm²)]]&lt;=ECF[[#This Row],[cd,b,lim (kN/cm²)]],ECF[[#This Row],[cd,b,est (kN/cm²)]]&lt;=ECF[[#This Row],[cd,b,lim (kN/cm²)]]),"OK","ERRO")</f>
        <v>OK</v>
      </c>
      <c r="AS42" s="4" t="str">
        <f ca="1">As_lado(ECF[[#This Row],[nE]],ECF[[#This Row],[Nsd (kN)]],ECF[[#This Row],[d (cm)]],ECF[[#This Row],[e (cm)]],ECF[[#This Row],[ap,eq (cm)]])</f>
        <v>N.S.</v>
      </c>
      <c r="AT42" s="4" t="str">
        <f ca="1">IF(ECF[[#This Row],[nE]]=1,ECF[[#This Row],[As,lado (cm²)]],IF(ECF[[#This Row],[nE]]=2,0.075*2*ECF[a (cm)],"N.A."))</f>
        <v>N.A.</v>
      </c>
      <c r="AU42" s="4" t="str">
        <f ca="1">IFERROR(IF(ECF[[#This Row],[nE]]=1,"N.A.",0.2*ECF[[#This Row],[As,lado (cm²)]]),"N.S.")</f>
        <v>N.S.</v>
      </c>
      <c r="AV42" s="4" t="str">
        <f ca="1">As_malha(ECF[[#This Row],[nE]],ECF[[#This Row],[As,lado (cm²)]],ECF[[#This Row],[Nsd (kN)]])</f>
        <v>N.S.</v>
      </c>
      <c r="AW42" s="4" t="str">
        <f ca="1">As_susp_tot(ECF[[#This Row],[nE]],ECF[[#This Row],[Nsd (kN)]])</f>
        <v>N.S.</v>
      </c>
      <c r="AX42" s="4" t="str">
        <f ca="1">Asp_face(ECF[[#This Row],[nE]],ECF[[#This Row],[As,lado (cm²)]])</f>
        <v>N.S.</v>
      </c>
      <c r="AY42" s="5" t="str">
        <f ca="1">acoBloco(ECF[[#This Row],[nE]],ECF[[#This Row],[e (cm)]],ECF[[#This Row],[a (cm)]],ECF[[#This Row],[h (cm)]],ECF[[#This Row],[As,lado (cm²)]],ECF[[#This Row],[Asp e Asw (cm²/m)]],ECF[[#This Row],[As,sup (cm²)]],ECF[[#This Row],[As,malha (cm²)]],ECF[[#This Row],[As,susp,tot (cm²)]],ECF[[#This Row],[Asp,face (cm²)]])</f>
        <v>N.S.</v>
      </c>
      <c r="AZ42" s="4" t="str">
        <f ca="1">concretoBloco(ECF[[#This Row],[nE]],ECF[[#This Row],[e (cm)]],ECF[[#This Row],[a (cm)]],ECF[[#This Row],[h (cm)]])</f>
        <v>N.S.</v>
      </c>
      <c r="BA42" s="5">
        <f ca="1">SUM(ECF[[#This Row],[Aço Est (kg)]],ECF[[#This Row],[Aço Bloco (kg)]])</f>
        <v>48.33654456813256</v>
      </c>
      <c r="BB42" s="4">
        <f>INDEX(composicoes[],MATCH(95580,composicoes[CÓDIGO],0),MATCH("CUSTO TOTAL",composicoes[#Headers],0))</f>
        <v>10.46</v>
      </c>
      <c r="BC42" s="4">
        <f ca="1">SUM(ECF[[#This Row],[Conc Est (m³)]],ECF[[#This Row],[Conc Bloco (m³)]])</f>
        <v>20.781635403496477</v>
      </c>
      <c r="BD42" s="4">
        <f>INDEX(composicoes[],MATCH(94966,composicoes[CÓDIGO],0),MATCH("CUSTO TOTAL",composicoes[#Headers],0))</f>
        <v>439.52</v>
      </c>
      <c r="BE42" s="38">
        <f ca="1">ECF[[#This Row],[Aço (kg)]]*ECF[[#This Row],[Aço (R$/kg)]]+ECF[[#This Row],[Conc (m³)]]*ECF[[#This Row],[Conc (R$/m³)]]</f>
        <v>9639.5446487274367</v>
      </c>
      <c r="BF42" s="4" t="str">
        <f ca="1">IF(COUNTIF(ECF[#This Row],"N.S.")&gt;0,"lim.","OK")</f>
        <v>lim.</v>
      </c>
      <c r="BG42" s="4" t="str">
        <f>IF(ECF[[#This Row],[Prof. (m)]]&lt;4,"lim.","OK")</f>
        <v>OK</v>
      </c>
      <c r="BH42" s="4" t="str">
        <f>IF(ECF[[#This Row],[Prof. (m)]]&gt;=8*ECF[[#This Row],[Ø (cm)]]/100,"OK","lim.")</f>
        <v>OK</v>
      </c>
      <c r="BI42" s="4" t="str">
        <f>IF(AND(SPT!$F$3&lt;&gt;"",ECF[[#This Row],[Prof. (m)]]&gt;=SPT!$F$3-2),"lim.","OK")</f>
        <v>OK</v>
      </c>
      <c r="BJ42" s="4" t="str">
        <f ca="1">IF(ECF[[#This Row],[Verif. Biela]]="OK","OK","lim.")</f>
        <v>OK</v>
      </c>
      <c r="BK42" s="4" t="str">
        <f ca="1">IF(COUNTA(ECF[[#This Row],[Nº Est.]:[Biela comp.]])=COUNTIF(ECF[[#This Row],[Nº Est.]:[Biela comp.]],"OK"),"OK","lim.")</f>
        <v>lim.</v>
      </c>
      <c r="BL42" s="4" t="str">
        <f ca="1">IF(ECF[[#This Row],[Controle]]="OK",ECF[[#This Row],[nE]]&amp;" Ø"&amp;ECF[[#This Row],[Ø (cm)]]&amp;"cm Prof. "&amp;ECF[[#This Row],[Prof. (m)]]&amp;" m","")</f>
        <v/>
      </c>
      <c r="BM42" s="4" t="str">
        <f ca="1">IF(ECF[[#This Row],[idDimensionamento]]="","",ECF[[#This Row],[idPilar]]&amp;ECF[[#This Row],[idDimensionamento]])</f>
        <v/>
      </c>
    </row>
    <row r="43" spans="2:65" x14ac:dyDescent="0.25">
      <c r="B43" s="12">
        <f>ROUNDUP((ROW(ECF[[#This Row],[idDiâmetro]])-ROW(ECF[[#Headers],[idDiâmetro]]))/(COUNT(SPT[Prof. (m)])*COUNT(PILARES[Pilar])),0)</f>
        <v>2</v>
      </c>
      <c r="C43" s="12">
        <f>IF(ECF[[#This Row],[idDiâmetro]]&lt;&gt;B42,1,IF(ECF[[#This Row],[Prof. (m)]]=0,C42+1,C42))</f>
        <v>1</v>
      </c>
      <c r="D43" s="1">
        <f>IFERROR(IF(D42=MAX(SPT[Prof. (m)]),0,D42+1),0)</f>
        <v>10</v>
      </c>
      <c r="E43" s="1">
        <f>INDEX(SPT[],MATCH(ECF[[#This Row],[Prof. (m)]],SPT[Prof. (m)],0),2)</f>
        <v>32</v>
      </c>
      <c r="F43" s="1" t="str">
        <f>INDEX(SPT[],MATCH(ECF[[#This Row],[Prof. (m)]],SPT[Prof. (m)],0),3)</f>
        <v>Areia siltosa</v>
      </c>
      <c r="G43" s="1">
        <f>INDEX(estacas[],ECF[[#This Row],[idDiâmetro]],MATCH($B$2,estacas[#Headers],0))</f>
        <v>70</v>
      </c>
      <c r="H43" s="1">
        <f>INDEX(estacas[],MATCH(ECF[[#This Row],[Ø (cm)]],estacas[Ø ECF (cm)],0),MATCH(ECF[[#Headers],[Pe ECF (kN)]],estacas[#Headers],0))</f>
        <v>1500</v>
      </c>
      <c r="I43" s="4">
        <f>INDEX(K_alpha_C[],MATCH(ECF[[#This Row],[Solo]],K_alpha_C[Solo],0),2)</f>
        <v>0.8</v>
      </c>
      <c r="J43" s="5">
        <f>INDEX(K_alpha_C[],MATCH(ECF[[#This Row],[Solo]],K_alpha_C[Solo],0),3)</f>
        <v>2</v>
      </c>
      <c r="K43" s="4">
        <f>INDEX(F1_F2[],MATCH($D$2,F1_F2[Tipo de estaca],0),2)</f>
        <v>3</v>
      </c>
      <c r="L43" s="4">
        <f>INDEX(F1_F2[],MATCH($D$2,F1_F2[Tipo de estaca],0),3)</f>
        <v>6</v>
      </c>
      <c r="M43" s="4">
        <f>PI()*(ECF[[#This Row],[Ø (cm)]]/100)^2/4</f>
        <v>0.38484510006474959</v>
      </c>
      <c r="N43" s="4">
        <f>PI()*ECF[[#This Row],[Ø (cm)]]/100</f>
        <v>2.1991148575128552</v>
      </c>
      <c r="O43" s="4">
        <f>IF(ECF[[#This Row],[Prof. (m)]]=0,0,ECF[[#This Row],[α (%)]]/100*ECF[[#This Row],[K (MPa)]]*1000*ECF[[#This Row],[NSPT]])</f>
        <v>512</v>
      </c>
      <c r="P43" s="4">
        <f>IF(ECF[[#This Row],[Prof. (m)]]=0,0,(ECF[[#This Row],[K (MPa)]]*1000*ECF[[#This Row],[NSPT]]/ECF[[#This Row],[F1]]*ECF[[#This Row],[Ap (m²)]]+ECF[[#This Row],[U (m)]]/ECF[[#This Row],[F2]]*SUMIFS(ECF[(α∙K∙NL∙ΔL)],ECF[Prof. (m)],"&lt;="&amp;ECF[[#This Row],[Prof. (m)]],ECF[idDiâmetro],ECF[[#This Row],[idDiâmetro]],ECF[idPilar],ECF[[#This Row],[idPilar]]))/'DADOS CAP. CARGA'!$D$2)</f>
        <v>1995.3118880928512</v>
      </c>
      <c r="Q43" s="12">
        <f>INDEX(C_alpha_beta[],MATCH(ECF[[#This Row],[Solo]],C_alpha_beta[Solo],0),MATCH(ECF[[#Headers],[C (kPa)]],C_alpha_beta[#Headers],0))</f>
        <v>400</v>
      </c>
      <c r="R43" s="4">
        <f>INDEX(C_alpha_beta[],MATCH(ECF[[#This Row],[Solo]],C_alpha_beta[Solo],0),MATCH(ECF[[#Headers],[α ESF]],C_alpha_beta[#Headers],0))</f>
        <v>0.5</v>
      </c>
      <c r="S43" s="4">
        <f>INDEX(C_alpha_beta[],MATCH(ECF[[#This Row],[Solo]],C_alpha_beta[Solo],0),MATCH(ECF[[#Headers],[β ESF]],C_alpha_beta[#Headers],0))</f>
        <v>0.5</v>
      </c>
      <c r="T43" s="4">
        <f>IF(ECF[[#This Row],[Prof. (m)]]=0,0,10*(ECF[[#This Row],[NSPT]]/3+1))</f>
        <v>116.66666666666666</v>
      </c>
      <c r="U43" s="4">
        <f>(ECF[[#This Row],[α ESF]]*ECF[[#This Row],[C (kPa)]]*ECF[[#This Row],[NSPT]]*ECF[[#This Row],[Ap (m²)]])/'DADOS CAP. CARGA'!$Q$2+(ECF[[#This Row],[β ESF]]*SUMIFS(ECF[10∙(NL/3+1)],ECF[Prof. (m)],"&lt;="&amp;ECF[[#This Row],[Prof. (m)]],ECF[idDiâmetro],ECF[[#This Row],[idDiâmetro]],ECF[idPilar],ECF[[#This Row],[idPilar]])*ECF[[#This Row],[U (m)]])/'DADOS CAP. CARGA'!$S$2</f>
        <v>908.9674744386466</v>
      </c>
      <c r="V43" s="4">
        <f>IF(SPT!$M$5=1,MIN(ECF[[#This Row],[Pe ECF (kN)]],ECF[[#This Row],[R_AV (kN)]]),IF(SPT!$M$5=2,MIN(ECF[[#This Row],[Pe ECF (kN)]],ECF[[#This Row],[R_DC (kN)]]),MIN(ECF[[#This Row],[Pe ECF (kN)]],ECF[[#This Row],[R_AV (kN)]],ECF[[#This Row],[R_DC (kN)]])))</f>
        <v>908.9674744386466</v>
      </c>
      <c r="W43" s="4">
        <f>INDEX(PILARES[],ECF[[#This Row],[idPilar]],MATCH("Carga (kN)",PILARES[#Headers],0))*1.4</f>
        <v>3500</v>
      </c>
      <c r="X43" s="12">
        <f>INDEX(PILARES[],ECF[[#This Row],[idPilar]],MATCH(ECF[[#Headers],[ap (cm)]],PILARES[#Headers],0))</f>
        <v>60</v>
      </c>
      <c r="Y43" s="12">
        <f>INDEX(PILARES[],ECF[[#This Row],[idPilar]],MATCH(ECF[[#Headers],[bp (cm)]],PILARES[#Headers],0))</f>
        <v>60</v>
      </c>
      <c r="Z43" s="4">
        <f>SQRT(ECF[[#This Row],[ap (cm)]]*ECF[[#This Row],[bp (cm)]])</f>
        <v>60</v>
      </c>
      <c r="AA43" s="12">
        <f>ECF[[#This Row],[ap (cm)]]*ECF[[#This Row],[bp (cm)]]</f>
        <v>3600</v>
      </c>
      <c r="AB43" s="12">
        <f ca="1">IF(ECF[[#This Row],[Padm∙ε (kN)]]&gt;=ECF[[#This Row],[Padm (kN)]],ROUNDUP(1.05*ECF[[#This Row],[Nsd (kN)]]/ECF[[#This Row],[Padm (kN)]],0),ROUNDUP(1.05*ECF[[#This Row],[Nsd (kN)]]/ECF[[#This Row],[Padm (kN)]],0)+1)</f>
        <v>5</v>
      </c>
      <c r="AC43" s="4" t="str">
        <f ca="1">IFERROR(IF(ECF[[#This Row],[nE]]=1,ECF[[#This Row],[Padm (kN)]],ECF[[#This Row],[Padm (kN)]]*ECF[[#This Row],[nE]]*INDEX(grupoEstacas[],ECF[[#This Row],[nE]],MATCH("ε",grupoEstacas[#Headers],0))),"N.S.")</f>
        <v>N.S.</v>
      </c>
      <c r="AD43" s="4">
        <f ca="1">1.05*ECF[[#This Row],[Nsd (kN)]]/(ECF[[#This Row],[nE]]*PI()*ECF[[#This Row],[Ø (cm)]]^2/4)*10</f>
        <v>1.9098593171027443</v>
      </c>
      <c r="AE43" s="4">
        <f ca="1">IF(ECF[[#This Row],[σ (MPa)]]&lt;INDEX(tipoEstaca[],MATCH($D$2,tipoEstaca[TIPO DE ESTACA],0),MATCH("σmáx (MPa)",tipoEstaca[#Headers],0)),0.4%*PI()*ECF[[#This Row],[Ø (cm)]]^2/4,"N.S.")</f>
        <v>15.393804002589988</v>
      </c>
      <c r="AF43" s="1">
        <f>INDEX(tipoEstaca[],MATCH($D$2,tipoEstaca[TIPO DE ESTACA],0),MATCH(ECF[[#Headers],[Comprimento (m)]],tipoEstaca[#Headers],0))</f>
        <v>4</v>
      </c>
      <c r="AG43" s="5">
        <f ca="1">ECF[[#This Row],[As,mín (cm²)]]/100^2*ECF[[#This Row],[Comprimento (m)]]*7850</f>
        <v>48.33654456813256</v>
      </c>
      <c r="AH43" s="4">
        <f ca="1">ECF[[#This Row],[nE]]*ECF[[#This Row],[Prof. (m)]]*ECF[[#This Row],[Ap (m²)]]</f>
        <v>19.242255003237478</v>
      </c>
      <c r="AI43" s="1">
        <f ca="1">IF(ECF[[#This Row],[nE]]=1,0,MAX(3*ECF[[#This Row],[Ø (cm)]],60))</f>
        <v>210</v>
      </c>
      <c r="AJ43" s="1">
        <f ca="1">IF(ECF[[#This Row],[nE]]=1,ECF[[#This Row],[Ø (cm)]]+2*10,MAX(1.5*ECF[[#This Row],[Ø (cm)]],ECF[[#This Row],[Ø (cm)]]+15))</f>
        <v>105</v>
      </c>
      <c r="AK43" s="1" t="str">
        <f ca="1">alturaUtil(ECF[[#This Row],[nE]],ECF[[#This Row],[Ø (cm)]],ECF[[#This Row],[e (cm)]],ECF[[#This Row],[ap,eq (cm)]])</f>
        <v>N.S.</v>
      </c>
      <c r="AL43" s="1" t="str">
        <f ca="1">IFERROR(ECF[[#This Row],[d (cm)]]+arredondarParaCimaMultiplo5cm(MAX(5,SQRT(PI())/2*ECF[[#This Row],[Ø (cm)]]/5)),"N.S.")</f>
        <v>N.S.</v>
      </c>
      <c r="AM43" s="5" t="str">
        <f ca="1">alpha(ECF[[#This Row],[nE]],ECF[[#This Row],[d (cm)]],ECF[[#This Row],[e (cm)]],ECF[[#This Row],[ap,eq (cm)]])</f>
        <v>N.S.</v>
      </c>
      <c r="AN43" s="35" t="str">
        <f ca="1">IFERROR(ECF[[#This Row],[Nsd (kN)]]/(ECF[[#This Row],[Ap (cm²)]]*SIN(ECF[[#This Row],[α]])^2),"N.S.")</f>
        <v>N.S.</v>
      </c>
      <c r="AO43" s="35" t="str">
        <f ca="1">IFERROR(ECF[[#This Row],[Nsd (kN)]]/(ECF[[#This Row],[nE]]*PI()*ECF[[#This Row],[Ø (cm)]]^2/4*SIN(ECF[[#This Row],[α]])^2),"N.S.")</f>
        <v>N.S.</v>
      </c>
      <c r="AP43" s="4" t="str">
        <f ca="1">IFERROR(INDEX(grupoEstacas[],ECF[[#This Row],[nE]],MATCH("coef. Blévot",grupoEstacas[#Headers],0)),"N.S.")</f>
        <v>N.S.</v>
      </c>
      <c r="AQ43" s="35" t="str">
        <f ca="1">IFERROR(ECF[[#This Row],[coef. Blévot]]*0.9*INDEX(tipoEstaca[],MATCH($D$2,tipoEstaca[TIPO DE ESTACA],0),MATCH("fcd (kN/cm²)",tipoEstaca[#Headers],0)),"N.S.")</f>
        <v>N.S.</v>
      </c>
      <c r="AR43" s="1" t="str">
        <f ca="1">IF(AND(ECF[[#This Row],[cd,b,pil (kN/cm²)]]&lt;=ECF[[#This Row],[cd,b,lim (kN/cm²)]],ECF[[#This Row],[cd,b,est (kN/cm²)]]&lt;=ECF[[#This Row],[cd,b,lim (kN/cm²)]]),"OK","ERRO")</f>
        <v>OK</v>
      </c>
      <c r="AS43" s="4" t="str">
        <f ca="1">As_lado(ECF[[#This Row],[nE]],ECF[[#This Row],[Nsd (kN)]],ECF[[#This Row],[d (cm)]],ECF[[#This Row],[e (cm)]],ECF[[#This Row],[ap,eq (cm)]])</f>
        <v>N.S.</v>
      </c>
      <c r="AT43" s="4" t="str">
        <f ca="1">IF(ECF[[#This Row],[nE]]=1,ECF[[#This Row],[As,lado (cm²)]],IF(ECF[[#This Row],[nE]]=2,0.075*2*ECF[a (cm)],"N.A."))</f>
        <v>N.A.</v>
      </c>
      <c r="AU43" s="4" t="str">
        <f ca="1">IFERROR(IF(ECF[[#This Row],[nE]]=1,"N.A.",0.2*ECF[[#This Row],[As,lado (cm²)]]),"N.S.")</f>
        <v>N.S.</v>
      </c>
      <c r="AV43" s="4" t="str">
        <f ca="1">As_malha(ECF[[#This Row],[nE]],ECF[[#This Row],[As,lado (cm²)]],ECF[[#This Row],[Nsd (kN)]])</f>
        <v>N.S.</v>
      </c>
      <c r="AW43" s="4" t="str">
        <f ca="1">As_susp_tot(ECF[[#This Row],[nE]],ECF[[#This Row],[Nsd (kN)]])</f>
        <v>N.S.</v>
      </c>
      <c r="AX43" s="4" t="str">
        <f ca="1">Asp_face(ECF[[#This Row],[nE]],ECF[[#This Row],[As,lado (cm²)]])</f>
        <v>N.S.</v>
      </c>
      <c r="AY43" s="5" t="str">
        <f ca="1">acoBloco(ECF[[#This Row],[nE]],ECF[[#This Row],[e (cm)]],ECF[[#This Row],[a (cm)]],ECF[[#This Row],[h (cm)]],ECF[[#This Row],[As,lado (cm²)]],ECF[[#This Row],[Asp e Asw (cm²/m)]],ECF[[#This Row],[As,sup (cm²)]],ECF[[#This Row],[As,malha (cm²)]],ECF[[#This Row],[As,susp,tot (cm²)]],ECF[[#This Row],[Asp,face (cm²)]])</f>
        <v>N.S.</v>
      </c>
      <c r="AZ43" s="4" t="str">
        <f ca="1">concretoBloco(ECF[[#This Row],[nE]],ECF[[#This Row],[e (cm)]],ECF[[#This Row],[a (cm)]],ECF[[#This Row],[h (cm)]])</f>
        <v>N.S.</v>
      </c>
      <c r="BA43" s="5">
        <f ca="1">SUM(ECF[[#This Row],[Aço Est (kg)]],ECF[[#This Row],[Aço Bloco (kg)]])</f>
        <v>48.33654456813256</v>
      </c>
      <c r="BB43" s="4">
        <f>INDEX(composicoes[],MATCH(95580,composicoes[CÓDIGO],0),MATCH("CUSTO TOTAL",composicoes[#Headers],0))</f>
        <v>10.46</v>
      </c>
      <c r="BC43" s="4">
        <f ca="1">SUM(ECF[[#This Row],[Conc Est (m³)]],ECF[[#This Row],[Conc Bloco (m³)]])</f>
        <v>19.242255003237478</v>
      </c>
      <c r="BD43" s="4">
        <f>INDEX(composicoes[],MATCH(94966,composicoes[CÓDIGO],0),MATCH("CUSTO TOTAL",composicoes[#Headers],0))</f>
        <v>439.52</v>
      </c>
      <c r="BE43" s="38">
        <f ca="1">ECF[[#This Row],[Aço (kg)]]*ECF[[#This Row],[Aço (R$/kg)]]+ECF[[#This Row],[Conc (m³)]]*ECF[[#This Row],[Conc (R$/m³)]]</f>
        <v>8962.9561752056015</v>
      </c>
      <c r="BF43" s="4" t="str">
        <f ca="1">IF(COUNTIF(ECF[#This Row],"N.S.")&gt;0,"lim.","OK")</f>
        <v>lim.</v>
      </c>
      <c r="BG43" s="4" t="str">
        <f>IF(ECF[[#This Row],[Prof. (m)]]&lt;4,"lim.","OK")</f>
        <v>OK</v>
      </c>
      <c r="BH43" s="4" t="str">
        <f>IF(ECF[[#This Row],[Prof. (m)]]&gt;=8*ECF[[#This Row],[Ø (cm)]]/100,"OK","lim.")</f>
        <v>OK</v>
      </c>
      <c r="BI43" s="4" t="str">
        <f>IF(AND(SPT!$F$3&lt;&gt;"",ECF[[#This Row],[Prof. (m)]]&gt;=SPT!$F$3-2),"lim.","OK")</f>
        <v>OK</v>
      </c>
      <c r="BJ43" s="4" t="str">
        <f ca="1">IF(ECF[[#This Row],[Verif. Biela]]="OK","OK","lim.")</f>
        <v>OK</v>
      </c>
      <c r="BK43" s="4" t="str">
        <f ca="1">IF(COUNTA(ECF[[#This Row],[Nº Est.]:[Biela comp.]])=COUNTIF(ECF[[#This Row],[Nº Est.]:[Biela comp.]],"OK"),"OK","lim.")</f>
        <v>lim.</v>
      </c>
      <c r="BL43" s="4" t="str">
        <f ca="1">IF(ECF[[#This Row],[Controle]]="OK",ECF[[#This Row],[nE]]&amp;" Ø"&amp;ECF[[#This Row],[Ø (cm)]]&amp;"cm Prof. "&amp;ECF[[#This Row],[Prof. (m)]]&amp;" m","")</f>
        <v/>
      </c>
      <c r="BM43" s="4" t="str">
        <f ca="1">IF(ECF[[#This Row],[idDimensionamento]]="","",ECF[[#This Row],[idPilar]]&amp;ECF[[#This Row],[idDimensionamento]])</f>
        <v/>
      </c>
    </row>
    <row r="44" spans="2:65" x14ac:dyDescent="0.25">
      <c r="B44" s="12">
        <f>ROUNDUP((ROW(ECF[[#This Row],[idDiâmetro]])-ROW(ECF[[#Headers],[idDiâmetro]]))/(COUNT(SPT[Prof. (m)])*COUNT(PILARES[Pilar])),0)</f>
        <v>2</v>
      </c>
      <c r="C44" s="12">
        <f>IF(ECF[[#This Row],[idDiâmetro]]&lt;&gt;B43,1,IF(ECF[[#This Row],[Prof. (m)]]=0,C43+1,C43))</f>
        <v>1</v>
      </c>
      <c r="D44" s="1">
        <f>IFERROR(IF(D43=MAX(SPT[Prof. (m)]),0,D43+1),0)</f>
        <v>11</v>
      </c>
      <c r="E44" s="1">
        <f>INDEX(SPT[],MATCH(ECF[[#This Row],[Prof. (m)]],SPT[Prof. (m)],0),2)</f>
        <v>41</v>
      </c>
      <c r="F44" s="1" t="str">
        <f>INDEX(SPT[],MATCH(ECF[[#This Row],[Prof. (m)]],SPT[Prof. (m)],0),3)</f>
        <v>Areia siltosa</v>
      </c>
      <c r="G44" s="1">
        <f>INDEX(estacas[],ECF[[#This Row],[idDiâmetro]],MATCH($B$2,estacas[#Headers],0))</f>
        <v>70</v>
      </c>
      <c r="H44" s="1">
        <f>INDEX(estacas[],MATCH(ECF[[#This Row],[Ø (cm)]],estacas[Ø ECF (cm)],0),MATCH(ECF[[#Headers],[Pe ECF (kN)]],estacas[#Headers],0))</f>
        <v>1500</v>
      </c>
      <c r="I44" s="4">
        <f>INDEX(K_alpha_C[],MATCH(ECF[[#This Row],[Solo]],K_alpha_C[Solo],0),2)</f>
        <v>0.8</v>
      </c>
      <c r="J44" s="5">
        <f>INDEX(K_alpha_C[],MATCH(ECF[[#This Row],[Solo]],K_alpha_C[Solo],0),3)</f>
        <v>2</v>
      </c>
      <c r="K44" s="4">
        <f>INDEX(F1_F2[],MATCH($D$2,F1_F2[Tipo de estaca],0),2)</f>
        <v>3</v>
      </c>
      <c r="L44" s="4">
        <f>INDEX(F1_F2[],MATCH($D$2,F1_F2[Tipo de estaca],0),3)</f>
        <v>6</v>
      </c>
      <c r="M44" s="4">
        <f>PI()*(ECF[[#This Row],[Ø (cm)]]/100)^2/4</f>
        <v>0.38484510006474959</v>
      </c>
      <c r="N44" s="4">
        <f>PI()*ECF[[#This Row],[Ø (cm)]]/100</f>
        <v>2.1991148575128552</v>
      </c>
      <c r="O44" s="4">
        <f>IF(ECF[[#This Row],[Prof. (m)]]=0,0,ECF[[#This Row],[α (%)]]/100*ECF[[#This Row],[K (MPa)]]*1000*ECF[[#This Row],[NSPT]])</f>
        <v>656</v>
      </c>
      <c r="P44" s="4">
        <f>IF(ECF[[#This Row],[Prof. (m)]]=0,0,(ECF[[#This Row],[K (MPa)]]*1000*ECF[[#This Row],[NSPT]]/ECF[[#This Row],[F1]]*ECF[[#This Row],[Ap (m²)]]+ECF[[#This Row],[U (m)]]/ECF[[#This Row],[F2]]*SUMIFS(ECF[(α∙K∙NL∙ΔL)],ECF[Prof. (m)],"&lt;="&amp;ECF[[#This Row],[Prof. (m)]],ECF[idDiâmetro],ECF[[#This Row],[idDiâmetro]],ECF[idPilar],ECF[[#This Row],[idPilar]]))/'DADOS CAP. CARGA'!$D$2)</f>
        <v>2577.3442870479203</v>
      </c>
      <c r="Q44" s="12">
        <f>INDEX(C_alpha_beta[],MATCH(ECF[[#This Row],[Solo]],C_alpha_beta[Solo],0),MATCH(ECF[[#Headers],[C (kPa)]],C_alpha_beta[#Headers],0))</f>
        <v>400</v>
      </c>
      <c r="R44" s="4">
        <f>INDEX(C_alpha_beta[],MATCH(ECF[[#This Row],[Solo]],C_alpha_beta[Solo],0),MATCH(ECF[[#Headers],[α ESF]],C_alpha_beta[#Headers],0))</f>
        <v>0.5</v>
      </c>
      <c r="S44" s="4">
        <f>INDEX(C_alpha_beta[],MATCH(ECF[[#This Row],[Solo]],C_alpha_beta[Solo],0),MATCH(ECF[[#Headers],[β ESF]],C_alpha_beta[#Headers],0))</f>
        <v>0.5</v>
      </c>
      <c r="T44" s="4">
        <f>IF(ECF[[#This Row],[Prof. (m)]]=0,0,10*(ECF[[#This Row],[NSPT]]/3+1))</f>
        <v>146.66666666666666</v>
      </c>
      <c r="U44" s="4">
        <f>(ECF[[#This Row],[α ESF]]*ECF[[#This Row],[C (kPa)]]*ECF[[#This Row],[NSPT]]*ECF[[#This Row],[Ap (m²)]])/'DADOS CAP. CARGA'!$Q$2+(ECF[[#This Row],[β ESF]]*SUMIFS(ECF[10∙(NL/3+1)],ECF[Prof. (m)],"&lt;="&amp;ECF[[#This Row],[Prof. (m)]],ECF[idDiâmetro],ECF[[#This Row],[idDiâmetro]],ECF[idPilar],ECF[[#This Row],[idPilar]])*ECF[[#This Row],[U (m)]])/'DADOS CAP. CARGA'!$S$2</f>
        <v>1162.7819809099219</v>
      </c>
      <c r="V44" s="4">
        <f>IF(SPT!$M$5=1,MIN(ECF[[#This Row],[Pe ECF (kN)]],ECF[[#This Row],[R_AV (kN)]]),IF(SPT!$M$5=2,MIN(ECF[[#This Row],[Pe ECF (kN)]],ECF[[#This Row],[R_DC (kN)]]),MIN(ECF[[#This Row],[Pe ECF (kN)]],ECF[[#This Row],[R_AV (kN)]],ECF[[#This Row],[R_DC (kN)]])))</f>
        <v>1162.7819809099219</v>
      </c>
      <c r="W44" s="4">
        <f>INDEX(PILARES[],ECF[[#This Row],[idPilar]],MATCH("Carga (kN)",PILARES[#Headers],0))*1.4</f>
        <v>3500</v>
      </c>
      <c r="X44" s="12">
        <f>INDEX(PILARES[],ECF[[#This Row],[idPilar]],MATCH(ECF[[#Headers],[ap (cm)]],PILARES[#Headers],0))</f>
        <v>60</v>
      </c>
      <c r="Y44" s="12">
        <f>INDEX(PILARES[],ECF[[#This Row],[idPilar]],MATCH(ECF[[#Headers],[bp (cm)]],PILARES[#Headers],0))</f>
        <v>60</v>
      </c>
      <c r="Z44" s="4">
        <f>SQRT(ECF[[#This Row],[ap (cm)]]*ECF[[#This Row],[bp (cm)]])</f>
        <v>60</v>
      </c>
      <c r="AA44" s="12">
        <f>ECF[[#This Row],[ap (cm)]]*ECF[[#This Row],[bp (cm)]]</f>
        <v>3600</v>
      </c>
      <c r="AB44" s="12">
        <f ca="1">IF(ECF[[#This Row],[Padm∙ε (kN)]]&gt;=ECF[[#This Row],[Padm (kN)]],ROUNDUP(1.05*ECF[[#This Row],[Nsd (kN)]]/ECF[[#This Row],[Padm (kN)]],0),ROUNDUP(1.05*ECF[[#This Row],[Nsd (kN)]]/ECF[[#This Row],[Padm (kN)]],0)+1)</f>
        <v>4</v>
      </c>
      <c r="AC44" s="4">
        <f ca="1">IFERROR(IF(ECF[[#This Row],[nE]]=1,ECF[[#This Row],[Padm (kN)]],ECF[[#This Row],[Padm (kN)]]*ECF[[#This Row],[nE]]*INDEX(grupoEstacas[],ECF[[#This Row],[nE]],MATCH("ε",grupoEstacas[#Headers],0))),"N.S.")</f>
        <v>3779.0414379572462</v>
      </c>
      <c r="AD44" s="4">
        <f ca="1">1.05*ECF[[#This Row],[Nsd (kN)]]/(ECF[[#This Row],[nE]]*PI()*ECF[[#This Row],[Ø (cm)]]^2/4)*10</f>
        <v>2.3873241463784298</v>
      </c>
      <c r="AE44" s="4">
        <f ca="1">IF(ECF[[#This Row],[σ (MPa)]]&lt;INDEX(tipoEstaca[],MATCH($D$2,tipoEstaca[TIPO DE ESTACA],0),MATCH("σmáx (MPa)",tipoEstaca[#Headers],0)),0.4%*PI()*ECF[[#This Row],[Ø (cm)]]^2/4,"N.S.")</f>
        <v>15.393804002589988</v>
      </c>
      <c r="AF44" s="1">
        <f>INDEX(tipoEstaca[],MATCH($D$2,tipoEstaca[TIPO DE ESTACA],0),MATCH(ECF[[#Headers],[Comprimento (m)]],tipoEstaca[#Headers],0))</f>
        <v>4</v>
      </c>
      <c r="AG44" s="5">
        <f ca="1">ECF[[#This Row],[As,mín (cm²)]]/100^2*ECF[[#This Row],[Comprimento (m)]]*7850</f>
        <v>48.33654456813256</v>
      </c>
      <c r="AH44" s="4">
        <f ca="1">ECF[[#This Row],[nE]]*ECF[[#This Row],[Prof. (m)]]*ECF[[#This Row],[Ap (m²)]]</f>
        <v>16.933184402848983</v>
      </c>
      <c r="AI44" s="1">
        <f ca="1">IF(ECF[[#This Row],[nE]]=1,0,MAX(3*ECF[[#This Row],[Ø (cm)]],60))</f>
        <v>210</v>
      </c>
      <c r="AJ44" s="1">
        <f ca="1">IF(ECF[[#This Row],[nE]]=1,ECF[[#This Row],[Ø (cm)]]+2*10,MAX(1.5*ECF[[#This Row],[Ø (cm)]],ECF[[#This Row],[Ø (cm)]]+15))</f>
        <v>105</v>
      </c>
      <c r="AK44" s="1">
        <f ca="1">alturaUtil(ECF[[#This Row],[nE]],ECF[[#This Row],[Ø (cm)]],ECF[[#This Row],[e (cm)]],ECF[[#This Row],[ap,eq (cm)]])</f>
        <v>90</v>
      </c>
      <c r="AL44" s="1">
        <f ca="1">IFERROR(ECF[[#This Row],[d (cm)]]+arredondarParaCimaMultiplo5cm(MAX(5,SQRT(PI())/2*ECF[[#This Row],[Ø (cm)]]/5)),"N.S.")</f>
        <v>105</v>
      </c>
      <c r="AM44" s="5">
        <f ca="1">alpha(ECF[[#This Row],[nE]],ECF[[#This Row],[d (cm)]],ECF[[#This Row],[e (cm)]],ECF[[#This Row],[ap,eq (cm)]])</f>
        <v>45</v>
      </c>
      <c r="AN44" s="35">
        <f ca="1">IFERROR(ECF[[#This Row],[Nsd (kN)]]/(ECF[[#This Row],[Ap (cm²)]]*SIN(ECF[[#This Row],[α]])^2),"N.S.")</f>
        <v>1.3427801064714635</v>
      </c>
      <c r="AO44" s="35">
        <f ca="1">IFERROR(ECF[[#This Row],[Nsd (kN)]]/(ECF[[#This Row],[nE]]*PI()*ECF[[#This Row],[Ø (cm)]]^2/4*SIN(ECF[[#This Row],[α]])^2),"N.S.")</f>
        <v>0.31402299148955992</v>
      </c>
      <c r="AP44" s="4">
        <f ca="1">IFERROR(INDEX(grupoEstacas[],ECF[[#This Row],[nE]],MATCH("coef. Blévot",grupoEstacas[#Headers],0)),"N.S.")</f>
        <v>2.1</v>
      </c>
      <c r="AQ44" s="35">
        <f ca="1">IFERROR(ECF[[#This Row],[coef. Blévot]]*0.9*INDEX(tipoEstaca[],MATCH($D$2,tipoEstaca[TIPO DE ESTACA],0),MATCH("fcd (kN/cm²)",tipoEstaca[#Headers],0)),"N.S.")</f>
        <v>2.1</v>
      </c>
      <c r="AR44" s="1" t="str">
        <f ca="1">IF(AND(ECF[[#This Row],[cd,b,pil (kN/cm²)]]&lt;=ECF[[#This Row],[cd,b,lim (kN/cm²)]],ECF[[#This Row],[cd,b,est (kN/cm²)]]&lt;=ECF[[#This Row],[cd,b,lim (kN/cm²)]]),"OK","ERRO")</f>
        <v>OK</v>
      </c>
      <c r="AS44" s="4">
        <f ca="1">As_lado(ECF[[#This Row],[nE]],ECF[[#This Row],[Nsd (kN)]],ECF[[#This Row],[d (cm)]],ECF[[#This Row],[e (cm)]],ECF[[#This Row],[ap,eq (cm)]])</f>
        <v>20.125</v>
      </c>
      <c r="AT44" s="4" t="str">
        <f ca="1">IF(ECF[[#This Row],[nE]]=1,ECF[[#This Row],[As,lado (cm²)]],IF(ECF[[#This Row],[nE]]=2,0.075*2*ECF[a (cm)],"N.A."))</f>
        <v>N.A.</v>
      </c>
      <c r="AU44" s="4">
        <f ca="1">IFERROR(IF(ECF[[#This Row],[nE]]=1,"N.A.",0.2*ECF[[#This Row],[As,lado (cm²)]]),"N.S.")</f>
        <v>4.0250000000000004</v>
      </c>
      <c r="AV44" s="4">
        <f ca="1">As_malha(ECF[[#This Row],[nE]],ECF[[#This Row],[As,lado (cm²)]],ECF[[#This Row],[Nsd (kN)]])</f>
        <v>4.0250000000000004</v>
      </c>
      <c r="AW44" s="4">
        <f ca="1">As_susp_tot(ECF[[#This Row],[nE]],ECF[[#This Row],[Nsd (kN)]])</f>
        <v>13.416666666666666</v>
      </c>
      <c r="AX44" s="4">
        <f ca="1">Asp_face(ECF[[#This Row],[nE]],ECF[[#This Row],[As,lado (cm²)]])</f>
        <v>10.0625</v>
      </c>
      <c r="AY44" s="5">
        <f ca="1">acoBloco(ECF[[#This Row],[nE]],ECF[[#This Row],[e (cm)]],ECF[[#This Row],[a (cm)]],ECF[[#This Row],[h (cm)]],ECF[[#This Row],[As,lado (cm²)]],ECF[[#This Row],[Asp e Asw (cm²/m)]],ECF[[#This Row],[As,sup (cm²)]],ECF[[#This Row],[As,malha (cm²)]],ECF[[#This Row],[As,susp,tot (cm²)]],ECF[[#This Row],[Asp,face (cm²)]])</f>
        <v>488.79398750000001</v>
      </c>
      <c r="AZ44" s="4">
        <f ca="1">concretoBloco(ECF[[#This Row],[nE]],ECF[[#This Row],[e (cm)]],ECF[[#This Row],[a (cm)]],ECF[[#This Row],[h (cm)]])</f>
        <v>18.521999999999998</v>
      </c>
      <c r="BA44" s="5">
        <f ca="1">SUM(ECF[[#This Row],[Aço Est (kg)]],ECF[[#This Row],[Aço Bloco (kg)]])</f>
        <v>537.13053206813254</v>
      </c>
      <c r="BB44" s="4">
        <f>INDEX(composicoes[],MATCH(95580,composicoes[CÓDIGO],0),MATCH("CUSTO TOTAL",composicoes[#Headers],0))</f>
        <v>10.46</v>
      </c>
      <c r="BC44" s="4">
        <f ca="1">SUM(ECF[[#This Row],[Conc Est (m³)]],ECF[[#This Row],[Conc Bloco (m³)]])</f>
        <v>35.455184402848985</v>
      </c>
      <c r="BD44" s="4">
        <f>INDEX(composicoes[],MATCH(94966,composicoes[CÓDIGO],0),MATCH("CUSTO TOTAL",composicoes[#Headers],0))</f>
        <v>439.52</v>
      </c>
      <c r="BE44" s="38">
        <f ca="1">ECF[[#This Row],[Aço (kg)]]*ECF[[#This Row],[Aço (R$/kg)]]+ECF[[#This Row],[Conc (m³)]]*ECF[[#This Row],[Conc (R$/m³)]]</f>
        <v>21201.648014172853</v>
      </c>
      <c r="BF44" s="4" t="str">
        <f ca="1">IF(COUNTIF(ECF[#This Row],"N.S.")&gt;0,"lim.","OK")</f>
        <v>OK</v>
      </c>
      <c r="BG44" s="4" t="str">
        <f>IF(ECF[[#This Row],[Prof. (m)]]&lt;4,"lim.","OK")</f>
        <v>OK</v>
      </c>
      <c r="BH44" s="4" t="str">
        <f>IF(ECF[[#This Row],[Prof. (m)]]&gt;=8*ECF[[#This Row],[Ø (cm)]]/100,"OK","lim.")</f>
        <v>OK</v>
      </c>
      <c r="BI44" s="4" t="str">
        <f>IF(AND(SPT!$F$3&lt;&gt;"",ECF[[#This Row],[Prof. (m)]]&gt;=SPT!$F$3-2),"lim.","OK")</f>
        <v>OK</v>
      </c>
      <c r="BJ44" s="4" t="str">
        <f ca="1">IF(ECF[[#This Row],[Verif. Biela]]="OK","OK","lim.")</f>
        <v>OK</v>
      </c>
      <c r="BK44" s="4" t="str">
        <f ca="1">IF(COUNTA(ECF[[#This Row],[Nº Est.]:[Biela comp.]])=COUNTIF(ECF[[#This Row],[Nº Est.]:[Biela comp.]],"OK"),"OK","lim.")</f>
        <v>OK</v>
      </c>
      <c r="BL44" s="4" t="str">
        <f ca="1">IF(ECF[[#This Row],[Controle]]="OK",ECF[[#This Row],[nE]]&amp;" Ø"&amp;ECF[[#This Row],[Ø (cm)]]&amp;"cm Prof. "&amp;ECF[[#This Row],[Prof. (m)]]&amp;" m","")</f>
        <v>4 Ø70cm Prof. 11 m</v>
      </c>
      <c r="BM44" s="4" t="str">
        <f ca="1">IF(ECF[[#This Row],[idDimensionamento]]="","",ECF[[#This Row],[idPilar]]&amp;ECF[[#This Row],[idDimensionamento]])</f>
        <v>14 Ø70cm Prof. 11 m</v>
      </c>
    </row>
    <row r="45" spans="2:65" x14ac:dyDescent="0.25">
      <c r="B45" s="12">
        <f>ROUNDUP((ROW(ECF[[#This Row],[idDiâmetro]])-ROW(ECF[[#Headers],[idDiâmetro]]))/(COUNT(SPT[Prof. (m)])*COUNT(PILARES[Pilar])),0)</f>
        <v>2</v>
      </c>
      <c r="C45" s="12">
        <f>IF(ECF[[#This Row],[idDiâmetro]]&lt;&gt;B44,1,IF(ECF[[#This Row],[Prof. (m)]]=0,C44+1,C44))</f>
        <v>1</v>
      </c>
      <c r="D45" s="1">
        <f>IFERROR(IF(D44=MAX(SPT[Prof. (m)]),0,D44+1),0)</f>
        <v>12</v>
      </c>
      <c r="E45" s="1">
        <f>INDEX(SPT[],MATCH(ECF[[#This Row],[Prof. (m)]],SPT[Prof. (m)],0),2)</f>
        <v>52</v>
      </c>
      <c r="F45" s="1" t="str">
        <f>INDEX(SPT[],MATCH(ECF[[#This Row],[Prof. (m)]],SPT[Prof. (m)],0),3)</f>
        <v>Areia siltosa</v>
      </c>
      <c r="G45" s="1">
        <f>INDEX(estacas[],ECF[[#This Row],[idDiâmetro]],MATCH($B$2,estacas[#Headers],0))</f>
        <v>70</v>
      </c>
      <c r="H45" s="1">
        <f>INDEX(estacas[],MATCH(ECF[[#This Row],[Ø (cm)]],estacas[Ø ECF (cm)],0),MATCH(ECF[[#Headers],[Pe ECF (kN)]],estacas[#Headers],0))</f>
        <v>1500</v>
      </c>
      <c r="I45" s="4">
        <f>INDEX(K_alpha_C[],MATCH(ECF[[#This Row],[Solo]],K_alpha_C[Solo],0),2)</f>
        <v>0.8</v>
      </c>
      <c r="J45" s="5">
        <f>INDEX(K_alpha_C[],MATCH(ECF[[#This Row],[Solo]],K_alpha_C[Solo],0),3)</f>
        <v>2</v>
      </c>
      <c r="K45" s="4">
        <f>INDEX(F1_F2[],MATCH($D$2,F1_F2[Tipo de estaca],0),2)</f>
        <v>3</v>
      </c>
      <c r="L45" s="4">
        <f>INDEX(F1_F2[],MATCH($D$2,F1_F2[Tipo de estaca],0),3)</f>
        <v>6</v>
      </c>
      <c r="M45" s="4">
        <f>PI()*(ECF[[#This Row],[Ø (cm)]]/100)^2/4</f>
        <v>0.38484510006474959</v>
      </c>
      <c r="N45" s="4">
        <f>PI()*ECF[[#This Row],[Ø (cm)]]/100</f>
        <v>2.1991148575128552</v>
      </c>
      <c r="O45" s="4">
        <f>IF(ECF[[#This Row],[Prof. (m)]]=0,0,ECF[[#This Row],[α (%)]]/100*ECF[[#This Row],[K (MPa)]]*1000*ECF[[#This Row],[NSPT]])</f>
        <v>832</v>
      </c>
      <c r="P45" s="4">
        <f>IF(ECF[[#This Row],[Prof. (m)]]=0,0,(ECF[[#This Row],[K (MPa)]]*1000*ECF[[#This Row],[NSPT]]/ECF[[#This Row],[F1]]*ECF[[#This Row],[Ap (m²)]]+ECF[[#This Row],[U (m)]]/ECF[[#This Row],[F2]]*SUMIFS(ECF[(α∙K∙NL∙ΔL)],ECF[Prof. (m)],"&lt;="&amp;ECF[[#This Row],[Prof. (m)]],ECF[idDiâmetro],ECF[[#This Row],[idDiâmetro]],ECF[idPilar],ECF[[#This Row],[idPilar]]))/'DADOS CAP. CARGA'!$D$2)</f>
        <v>3294.2557305971104</v>
      </c>
      <c r="Q45" s="12">
        <f>INDEX(C_alpha_beta[],MATCH(ECF[[#This Row],[Solo]],C_alpha_beta[Solo],0),MATCH(ECF[[#Headers],[C (kPa)]],C_alpha_beta[#Headers],0))</f>
        <v>400</v>
      </c>
      <c r="R45" s="4">
        <f>INDEX(C_alpha_beta[],MATCH(ECF[[#This Row],[Solo]],C_alpha_beta[Solo],0),MATCH(ECF[[#Headers],[α ESF]],C_alpha_beta[#Headers],0))</f>
        <v>0.5</v>
      </c>
      <c r="S45" s="4">
        <f>INDEX(C_alpha_beta[],MATCH(ECF[[#This Row],[Solo]],C_alpha_beta[Solo],0),MATCH(ECF[[#Headers],[β ESF]],C_alpha_beta[#Headers],0))</f>
        <v>0.5</v>
      </c>
      <c r="T45" s="4">
        <f>IF(ECF[[#This Row],[Prof. (m)]]=0,0,10*(ECF[[#This Row],[NSPT]]/3+1))</f>
        <v>183.33333333333331</v>
      </c>
      <c r="U45" s="4">
        <f>(ECF[[#This Row],[α ESF]]*ECF[[#This Row],[C (kPa)]]*ECF[[#This Row],[NSPT]]*ECF[[#This Row],[Ap (m²)]])/'DADOS CAP. CARGA'!$Q$2+(ECF[[#This Row],[β ESF]]*SUMIFS(ECF[10∙(NL/3+1)],ECF[Prof. (m)],"&lt;="&amp;ECF[[#This Row],[Prof. (m)]],ECF[idDiâmetro],ECF[[#This Row],[idDiâmetro]],ECF[idPilar],ECF[[#This Row],[idPilar]])*ECF[[#This Row],[U (m)]])/'DADOS CAP. CARGA'!$S$2</f>
        <v>1475.2395502482068</v>
      </c>
      <c r="V45" s="4">
        <f>IF(SPT!$M$5=1,MIN(ECF[[#This Row],[Pe ECF (kN)]],ECF[[#This Row],[R_AV (kN)]]),IF(SPT!$M$5=2,MIN(ECF[[#This Row],[Pe ECF (kN)]],ECF[[#This Row],[R_DC (kN)]]),MIN(ECF[[#This Row],[Pe ECF (kN)]],ECF[[#This Row],[R_AV (kN)]],ECF[[#This Row],[R_DC (kN)]])))</f>
        <v>1475.2395502482068</v>
      </c>
      <c r="W45" s="4">
        <f>INDEX(PILARES[],ECF[[#This Row],[idPilar]],MATCH("Carga (kN)",PILARES[#Headers],0))*1.4</f>
        <v>3500</v>
      </c>
      <c r="X45" s="12">
        <f>INDEX(PILARES[],ECF[[#This Row],[idPilar]],MATCH(ECF[[#Headers],[ap (cm)]],PILARES[#Headers],0))</f>
        <v>60</v>
      </c>
      <c r="Y45" s="12">
        <f>INDEX(PILARES[],ECF[[#This Row],[idPilar]],MATCH(ECF[[#Headers],[bp (cm)]],PILARES[#Headers],0))</f>
        <v>60</v>
      </c>
      <c r="Z45" s="4">
        <f>SQRT(ECF[[#This Row],[ap (cm)]]*ECF[[#This Row],[bp (cm)]])</f>
        <v>60</v>
      </c>
      <c r="AA45" s="12">
        <f>ECF[[#This Row],[ap (cm)]]*ECF[[#This Row],[bp (cm)]]</f>
        <v>3600</v>
      </c>
      <c r="AB45" s="12">
        <f ca="1">IF(ECF[[#This Row],[Padm∙ε (kN)]]&gt;=ECF[[#This Row],[Padm (kN)]],ROUNDUP(1.05*ECF[[#This Row],[Nsd (kN)]]/ECF[[#This Row],[Padm (kN)]],0),ROUNDUP(1.05*ECF[[#This Row],[Nsd (kN)]]/ECF[[#This Row],[Padm (kN)]],0)+1)</f>
        <v>3</v>
      </c>
      <c r="AC45" s="4">
        <f ca="1">IFERROR(IF(ECF[[#This Row],[nE]]=1,ECF[[#This Row],[Padm (kN)]],ECF[[#This Row],[Padm (kN)]]*ECF[[#This Row],[nE]]*INDEX(grupoEstacas[],ECF[[#This Row],[nE]],MATCH("ε",grupoEstacas[#Headers],0))),"N.S.")</f>
        <v>3872.5038194015428</v>
      </c>
      <c r="AD45" s="4">
        <f ca="1">1.05*ECF[[#This Row],[Nsd (kN)]]/(ECF[[#This Row],[nE]]*PI()*ECF[[#This Row],[Ø (cm)]]^2/4)*10</f>
        <v>3.183098861837907</v>
      </c>
      <c r="AE45" s="4">
        <f ca="1">IF(ECF[[#This Row],[σ (MPa)]]&lt;INDEX(tipoEstaca[],MATCH($D$2,tipoEstaca[TIPO DE ESTACA],0),MATCH("σmáx (MPa)",tipoEstaca[#Headers],0)),0.4%*PI()*ECF[[#This Row],[Ø (cm)]]^2/4,"N.S.")</f>
        <v>15.393804002589988</v>
      </c>
      <c r="AF45" s="1">
        <f>INDEX(tipoEstaca[],MATCH($D$2,tipoEstaca[TIPO DE ESTACA],0),MATCH(ECF[[#Headers],[Comprimento (m)]],tipoEstaca[#Headers],0))</f>
        <v>4</v>
      </c>
      <c r="AG45" s="5">
        <f ca="1">ECF[[#This Row],[As,mín (cm²)]]/100^2*ECF[[#This Row],[Comprimento (m)]]*7850</f>
        <v>48.33654456813256</v>
      </c>
      <c r="AH45" s="4">
        <f ca="1">ECF[[#This Row],[nE]]*ECF[[#This Row],[Prof. (m)]]*ECF[[#This Row],[Ap (m²)]]</f>
        <v>13.854423602330986</v>
      </c>
      <c r="AI45" s="1">
        <f ca="1">IF(ECF[[#This Row],[nE]]=1,0,MAX(3*ECF[[#This Row],[Ø (cm)]],60))</f>
        <v>210</v>
      </c>
      <c r="AJ45" s="1">
        <f ca="1">IF(ECF[[#This Row],[nE]]=1,ECF[[#This Row],[Ø (cm)]]+2*10,MAX(1.5*ECF[[#This Row],[Ø (cm)]],ECF[[#This Row],[Ø (cm)]]+15))</f>
        <v>105</v>
      </c>
      <c r="AK45" s="1">
        <f ca="1">alturaUtil(ECF[[#This Row],[nE]],ECF[[#This Row],[Ø (cm)]],ECF[[#This Row],[e (cm)]],ECF[[#This Row],[ap,eq (cm)]])</f>
        <v>90</v>
      </c>
      <c r="AL45" s="1">
        <f ca="1">IFERROR(ECF[[#This Row],[d (cm)]]+arredondarParaCimaMultiplo5cm(MAX(5,SQRT(PI())/2*ECF[[#This Row],[Ø (cm)]]/5)),"N.S.")</f>
        <v>105</v>
      </c>
      <c r="AM45" s="5">
        <f ca="1">alpha(ECF[[#This Row],[nE]],ECF[[#This Row],[d (cm)]],ECF[[#This Row],[e (cm)]],ECF[[#This Row],[ap,eq (cm)]])</f>
        <v>45.971021931079171</v>
      </c>
      <c r="AN45" s="35">
        <f ca="1">IFERROR(ECF[[#This Row],[Nsd (kN)]]/(ECF[[#This Row],[Ap (cm²)]]*SIN(ECF[[#This Row],[α]])^2),"N.S.")</f>
        <v>1.163960077684304</v>
      </c>
      <c r="AO45" s="35">
        <f ca="1">IFERROR(ECF[[#This Row],[Nsd (kN)]]/(ECF[[#This Row],[nE]]*PI()*ECF[[#This Row],[Ø (cm)]]^2/4*SIN(ECF[[#This Row],[α]])^2),"N.S.")</f>
        <v>0.36293877536342883</v>
      </c>
      <c r="AP45" s="4">
        <f ca="1">IFERROR(INDEX(grupoEstacas[],ECF[[#This Row],[nE]],MATCH("coef. Blévot",grupoEstacas[#Headers],0)),"N.S.")</f>
        <v>1.75</v>
      </c>
      <c r="AQ45" s="35">
        <f ca="1">IFERROR(ECF[[#This Row],[coef. Blévot]]*0.9*INDEX(tipoEstaca[],MATCH($D$2,tipoEstaca[TIPO DE ESTACA],0),MATCH("fcd (kN/cm²)",tipoEstaca[#Headers],0)),"N.S.")</f>
        <v>1.75</v>
      </c>
      <c r="AR45" s="1" t="str">
        <f ca="1">IF(AND(ECF[[#This Row],[cd,b,pil (kN/cm²)]]&lt;=ECF[[#This Row],[cd,b,lim (kN/cm²)]],ECF[[#This Row],[cd,b,est (kN/cm²)]]&lt;=ECF[[#This Row],[cd,b,lim (kN/cm²)]]),"OK","ERRO")</f>
        <v>OK</v>
      </c>
      <c r="AS45" s="4">
        <f ca="1">As_lado(ECF[[#This Row],[nE]],ECF[[#This Row],[Nsd (kN)]],ECF[[#This Row],[d (cm)]],ECF[[#This Row],[e (cm)]],ECF[[#This Row],[ap,eq (cm)]])</f>
        <v>17.771923925719374</v>
      </c>
      <c r="AT45" s="4" t="str">
        <f ca="1">IF(ECF[[#This Row],[nE]]=1,ECF[[#This Row],[As,lado (cm²)]],IF(ECF[[#This Row],[nE]]=2,0.075*2*ECF[a (cm)],"N.A."))</f>
        <v>N.A.</v>
      </c>
      <c r="AU45" s="4">
        <f ca="1">IFERROR(IF(ECF[[#This Row],[nE]]=1,"N.A.",0.2*ECF[[#This Row],[As,lado (cm²)]]),"N.S.")</f>
        <v>3.554384785143875</v>
      </c>
      <c r="AV45" s="4">
        <f ca="1">As_malha(ECF[[#This Row],[nE]],ECF[[#This Row],[As,lado (cm²)]],ECF[[#This Row],[Nsd (kN)]])</f>
        <v>5.9629629629629619</v>
      </c>
      <c r="AW45" s="4">
        <f ca="1">As_susp_tot(ECF[[#This Row],[nE]],ECF[[#This Row],[Nsd (kN)]])</f>
        <v>17.888888888888886</v>
      </c>
      <c r="AX45" s="4">
        <f ca="1">Asp_face(ECF[[#This Row],[nE]],ECF[[#This Row],[As,lado (cm²)]])</f>
        <v>6.6644714721447649</v>
      </c>
      <c r="AY45" s="5">
        <f ca="1">acoBloco(ECF[[#This Row],[nE]],ECF[[#This Row],[e (cm)]],ECF[[#This Row],[a (cm)]],ECF[[#This Row],[h (cm)]],ECF[[#This Row],[As,lado (cm²)]],ECF[[#This Row],[Asp e Asw (cm²/m)]],ECF[[#This Row],[As,sup (cm²)]],ECF[[#This Row],[As,malha (cm²)]],ECF[[#This Row],[As,susp,tot (cm²)]],ECF[[#This Row],[Asp,face (cm²)]])</f>
        <v>368.3371526423868</v>
      </c>
      <c r="AZ45" s="4">
        <f ca="1">concretoBloco(ECF[[#This Row],[nE]],ECF[[#This Row],[e (cm)]],ECF[[#This Row],[a (cm)]],ECF[[#This Row],[h (cm)]])</f>
        <v>12.960945948335764</v>
      </c>
      <c r="BA45" s="5">
        <f ca="1">SUM(ECF[[#This Row],[Aço Est (kg)]],ECF[[#This Row],[Aço Bloco (kg)]])</f>
        <v>416.67369721051938</v>
      </c>
      <c r="BB45" s="4">
        <f>INDEX(composicoes[],MATCH(95580,composicoes[CÓDIGO],0),MATCH("CUSTO TOTAL",composicoes[#Headers],0))</f>
        <v>10.46</v>
      </c>
      <c r="BC45" s="4">
        <f ca="1">SUM(ECF[[#This Row],[Conc Est (m³)]],ECF[[#This Row],[Conc Bloco (m³)]])</f>
        <v>26.815369550666752</v>
      </c>
      <c r="BD45" s="4">
        <f>INDEX(composicoes[],MATCH(94966,composicoes[CÓDIGO],0),MATCH("CUSTO TOTAL",composicoes[#Headers],0))</f>
        <v>439.52</v>
      </c>
      <c r="BE45" s="38">
        <f ca="1">ECF[[#This Row],[Aço (kg)]]*ECF[[#This Row],[Aço (R$/kg)]]+ECF[[#This Row],[Conc (m³)]]*ECF[[#This Row],[Conc (R$/m³)]]</f>
        <v>16144.298097731084</v>
      </c>
      <c r="BF45" s="4" t="str">
        <f ca="1">IF(COUNTIF(ECF[#This Row],"N.S.")&gt;0,"lim.","OK")</f>
        <v>OK</v>
      </c>
      <c r="BG45" s="4" t="str">
        <f>IF(ECF[[#This Row],[Prof. (m)]]&lt;4,"lim.","OK")</f>
        <v>OK</v>
      </c>
      <c r="BH45" s="4" t="str">
        <f>IF(ECF[[#This Row],[Prof. (m)]]&gt;=8*ECF[[#This Row],[Ø (cm)]]/100,"OK","lim.")</f>
        <v>OK</v>
      </c>
      <c r="BI45" s="4" t="str">
        <f>IF(AND(SPT!$F$3&lt;&gt;"",ECF[[#This Row],[Prof. (m)]]&gt;=SPT!$F$3-2),"lim.","OK")</f>
        <v>OK</v>
      </c>
      <c r="BJ45" s="4" t="str">
        <f ca="1">IF(ECF[[#This Row],[Verif. Biela]]="OK","OK","lim.")</f>
        <v>OK</v>
      </c>
      <c r="BK45" s="4" t="str">
        <f ca="1">IF(COUNTA(ECF[[#This Row],[Nº Est.]:[Biela comp.]])=COUNTIF(ECF[[#This Row],[Nº Est.]:[Biela comp.]],"OK"),"OK","lim.")</f>
        <v>OK</v>
      </c>
      <c r="BL45" s="4" t="str">
        <f ca="1">IF(ECF[[#This Row],[Controle]]="OK",ECF[[#This Row],[nE]]&amp;" Ø"&amp;ECF[[#This Row],[Ø (cm)]]&amp;"cm Prof. "&amp;ECF[[#This Row],[Prof. (m)]]&amp;" m","")</f>
        <v>3 Ø70cm Prof. 12 m</v>
      </c>
      <c r="BM45" s="4" t="str">
        <f ca="1">IF(ECF[[#This Row],[idDimensionamento]]="","",ECF[[#This Row],[idPilar]]&amp;ECF[[#This Row],[idDimensionamento]])</f>
        <v>13 Ø70cm Prof. 12 m</v>
      </c>
    </row>
    <row r="46" spans="2:65" x14ac:dyDescent="0.25">
      <c r="B46" s="12">
        <f>ROUNDUP((ROW(ECF[[#This Row],[idDiâmetro]])-ROW(ECF[[#Headers],[idDiâmetro]]))/(COUNT(SPT[Prof. (m)])*COUNT(PILARES[Pilar])),0)</f>
        <v>2</v>
      </c>
      <c r="C46" s="12">
        <f>IF(ECF[[#This Row],[idDiâmetro]]&lt;&gt;B45,1,IF(ECF[[#This Row],[Prof. (m)]]=0,C45+1,C45))</f>
        <v>1</v>
      </c>
      <c r="D46" s="1">
        <f>IFERROR(IF(D45=MAX(SPT[Prof. (m)]),0,D45+1),0)</f>
        <v>13</v>
      </c>
      <c r="E46" s="1">
        <f>INDEX(SPT[],MATCH(ECF[[#This Row],[Prof. (m)]],SPT[Prof. (m)],0),2)</f>
        <v>68</v>
      </c>
      <c r="F46" s="1" t="str">
        <f>INDEX(SPT[],MATCH(ECF[[#This Row],[Prof. (m)]],SPT[Prof. (m)],0),3)</f>
        <v>Areia siltosa</v>
      </c>
      <c r="G46" s="1">
        <f>INDEX(estacas[],ECF[[#This Row],[idDiâmetro]],MATCH($B$2,estacas[#Headers],0))</f>
        <v>70</v>
      </c>
      <c r="H46" s="1">
        <f>INDEX(estacas[],MATCH(ECF[[#This Row],[Ø (cm)]],estacas[Ø ECF (cm)],0),MATCH(ECF[[#Headers],[Pe ECF (kN)]],estacas[#Headers],0))</f>
        <v>1500</v>
      </c>
      <c r="I46" s="4">
        <f>INDEX(K_alpha_C[],MATCH(ECF[[#This Row],[Solo]],K_alpha_C[Solo],0),2)</f>
        <v>0.8</v>
      </c>
      <c r="J46" s="5">
        <f>INDEX(K_alpha_C[],MATCH(ECF[[#This Row],[Solo]],K_alpha_C[Solo],0),3)</f>
        <v>2</v>
      </c>
      <c r="K46" s="4">
        <f>INDEX(F1_F2[],MATCH($D$2,F1_F2[Tipo de estaca],0),2)</f>
        <v>3</v>
      </c>
      <c r="L46" s="4">
        <f>INDEX(F1_F2[],MATCH($D$2,F1_F2[Tipo de estaca],0),3)</f>
        <v>6</v>
      </c>
      <c r="M46" s="4">
        <f>PI()*(ECF[[#This Row],[Ø (cm)]]/100)^2/4</f>
        <v>0.38484510006474959</v>
      </c>
      <c r="N46" s="4">
        <f>PI()*ECF[[#This Row],[Ø (cm)]]/100</f>
        <v>2.1991148575128552</v>
      </c>
      <c r="O46" s="4">
        <f>IF(ECF[[#This Row],[Prof. (m)]]=0,0,ECF[[#This Row],[α (%)]]/100*ECF[[#This Row],[K (MPa)]]*1000*ECF[[#This Row],[NSPT]])</f>
        <v>1088</v>
      </c>
      <c r="P46" s="4">
        <f>IF(ECF[[#This Row],[Prof. (m)]]=0,0,(ECF[[#This Row],[K (MPa)]]*1000*ECF[[#This Row],[NSPT]]/ECF[[#This Row],[F1]]*ECF[[#This Row],[Ap (m²)]]+ECF[[#This Row],[U (m)]]/ECF[[#This Row],[F2]]*SUMIFS(ECF[(α∙K∙NL∙ΔL)],ECF[Prof. (m)],"&lt;="&amp;ECF[[#This Row],[Prof. (m)]],ECF[idDiâmetro],ECF[[#This Row],[idDiâmetro]],ECF[idPilar],ECF[[#This Row],[idPilar]]))/'DADOS CAP. CARGA'!$D$2)</f>
        <v>4314.6450244830758</v>
      </c>
      <c r="Q46" s="12">
        <f>INDEX(C_alpha_beta[],MATCH(ECF[[#This Row],[Solo]],C_alpha_beta[Solo],0),MATCH(ECF[[#Headers],[C (kPa)]],C_alpha_beta[#Headers],0))</f>
        <v>400</v>
      </c>
      <c r="R46" s="4">
        <f>INDEX(C_alpha_beta[],MATCH(ECF[[#This Row],[Solo]],C_alpha_beta[Solo],0),MATCH(ECF[[#Headers],[α ESF]],C_alpha_beta[#Headers],0))</f>
        <v>0.5</v>
      </c>
      <c r="S46" s="4">
        <f>INDEX(C_alpha_beta[],MATCH(ECF[[#This Row],[Solo]],C_alpha_beta[Solo],0),MATCH(ECF[[#Headers],[β ESF]],C_alpha_beta[#Headers],0))</f>
        <v>0.5</v>
      </c>
      <c r="T46" s="4">
        <f>IF(ECF[[#This Row],[Prof. (m)]]=0,0,10*(ECF[[#This Row],[NSPT]]/3+1))</f>
        <v>236.66666666666669</v>
      </c>
      <c r="U46" s="4">
        <f>(ECF[[#This Row],[α ESF]]*ECF[[#This Row],[C (kPa)]]*ECF[[#This Row],[NSPT]]*ECF[[#This Row],[Ap (m²)]])/'DADOS CAP. CARGA'!$Q$2+(ECF[[#This Row],[β ESF]]*SUMIFS(ECF[10∙(NL/3+1)],ECF[Prof. (m)],"&lt;="&amp;ECF[[#This Row],[Prof. (m)]],ECF[idDiâmetro],ECF[[#This Row],[idDiâmetro]],ECF[idPilar],ECF[[#This Row],[idPilar]])*ECF[[#This Row],[U (m)]])/'DADOS CAP. CARGA'!$S$2</f>
        <v>1913.2299260361838</v>
      </c>
      <c r="V46" s="4">
        <f>IF(SPT!$M$5=1,MIN(ECF[[#This Row],[Pe ECF (kN)]],ECF[[#This Row],[R_AV (kN)]]),IF(SPT!$M$5=2,MIN(ECF[[#This Row],[Pe ECF (kN)]],ECF[[#This Row],[R_DC (kN)]]),MIN(ECF[[#This Row],[Pe ECF (kN)]],ECF[[#This Row],[R_AV (kN)]],ECF[[#This Row],[R_DC (kN)]])))</f>
        <v>1500</v>
      </c>
      <c r="W46" s="4">
        <f>INDEX(PILARES[],ECF[[#This Row],[idPilar]],MATCH("Carga (kN)",PILARES[#Headers],0))*1.4</f>
        <v>3500</v>
      </c>
      <c r="X46" s="12">
        <f>INDEX(PILARES[],ECF[[#This Row],[idPilar]],MATCH(ECF[[#Headers],[ap (cm)]],PILARES[#Headers],0))</f>
        <v>60</v>
      </c>
      <c r="Y46" s="12">
        <f>INDEX(PILARES[],ECF[[#This Row],[idPilar]],MATCH(ECF[[#Headers],[bp (cm)]],PILARES[#Headers],0))</f>
        <v>60</v>
      </c>
      <c r="Z46" s="4">
        <f>SQRT(ECF[[#This Row],[ap (cm)]]*ECF[[#This Row],[bp (cm)]])</f>
        <v>60</v>
      </c>
      <c r="AA46" s="12">
        <f>ECF[[#This Row],[ap (cm)]]*ECF[[#This Row],[bp (cm)]]</f>
        <v>3600</v>
      </c>
      <c r="AB46" s="12">
        <f ca="1">IF(ECF[[#This Row],[Padm∙ε (kN)]]&gt;=ECF[[#This Row],[Padm (kN)]],ROUNDUP(1.05*ECF[[#This Row],[Nsd (kN)]]/ECF[[#This Row],[Padm (kN)]],0),ROUNDUP(1.05*ECF[[#This Row],[Nsd (kN)]]/ECF[[#This Row],[Padm (kN)]],0)+1)</f>
        <v>3</v>
      </c>
      <c r="AC46" s="4">
        <f ca="1">IFERROR(IF(ECF[[#This Row],[nE]]=1,ECF[[#This Row],[Padm (kN)]],ECF[[#This Row],[Padm (kN)]]*ECF[[#This Row],[nE]]*INDEX(grupoEstacas[],ECF[[#This Row],[nE]],MATCH("ε",grupoEstacas[#Headers],0))),"N.S.")</f>
        <v>3937.5</v>
      </c>
      <c r="AD46" s="4">
        <f ca="1">1.05*ECF[[#This Row],[Nsd (kN)]]/(ECF[[#This Row],[nE]]*PI()*ECF[[#This Row],[Ø (cm)]]^2/4)*10</f>
        <v>3.183098861837907</v>
      </c>
      <c r="AE46" s="4">
        <f ca="1">IF(ECF[[#This Row],[σ (MPa)]]&lt;INDEX(tipoEstaca[],MATCH($D$2,tipoEstaca[TIPO DE ESTACA],0),MATCH("σmáx (MPa)",tipoEstaca[#Headers],0)),0.4%*PI()*ECF[[#This Row],[Ø (cm)]]^2/4,"N.S.")</f>
        <v>15.393804002589988</v>
      </c>
      <c r="AF46" s="1">
        <f>INDEX(tipoEstaca[],MATCH($D$2,tipoEstaca[TIPO DE ESTACA],0),MATCH(ECF[[#Headers],[Comprimento (m)]],tipoEstaca[#Headers],0))</f>
        <v>4</v>
      </c>
      <c r="AG46" s="5">
        <f ca="1">ECF[[#This Row],[As,mín (cm²)]]/100^2*ECF[[#This Row],[Comprimento (m)]]*7850</f>
        <v>48.33654456813256</v>
      </c>
      <c r="AH46" s="4">
        <f ca="1">ECF[[#This Row],[nE]]*ECF[[#This Row],[Prof. (m)]]*ECF[[#This Row],[Ap (m²)]]</f>
        <v>15.008958902525235</v>
      </c>
      <c r="AI46" s="1">
        <f ca="1">IF(ECF[[#This Row],[nE]]=1,0,MAX(3*ECF[[#This Row],[Ø (cm)]],60))</f>
        <v>210</v>
      </c>
      <c r="AJ46" s="1">
        <f ca="1">IF(ECF[[#This Row],[nE]]=1,ECF[[#This Row],[Ø (cm)]]+2*10,MAX(1.5*ECF[[#This Row],[Ø (cm)]],ECF[[#This Row],[Ø (cm)]]+15))</f>
        <v>105</v>
      </c>
      <c r="AK46" s="1">
        <f ca="1">alturaUtil(ECF[[#This Row],[nE]],ECF[[#This Row],[Ø (cm)]],ECF[[#This Row],[e (cm)]],ECF[[#This Row],[ap,eq (cm)]])</f>
        <v>90</v>
      </c>
      <c r="AL46" s="1">
        <f ca="1">IFERROR(ECF[[#This Row],[d (cm)]]+arredondarParaCimaMultiplo5cm(MAX(5,SQRT(PI())/2*ECF[[#This Row],[Ø (cm)]]/5)),"N.S.")</f>
        <v>105</v>
      </c>
      <c r="AM46" s="5">
        <f ca="1">alpha(ECF[[#This Row],[nE]],ECF[[#This Row],[d (cm)]],ECF[[#This Row],[e (cm)]],ECF[[#This Row],[ap,eq (cm)]])</f>
        <v>45.971021931079171</v>
      </c>
      <c r="AN46" s="35">
        <f ca="1">IFERROR(ECF[[#This Row],[Nsd (kN)]]/(ECF[[#This Row],[Ap (cm²)]]*SIN(ECF[[#This Row],[α]])^2),"N.S.")</f>
        <v>1.163960077684304</v>
      </c>
      <c r="AO46" s="35">
        <f ca="1">IFERROR(ECF[[#This Row],[Nsd (kN)]]/(ECF[[#This Row],[nE]]*PI()*ECF[[#This Row],[Ø (cm)]]^2/4*SIN(ECF[[#This Row],[α]])^2),"N.S.")</f>
        <v>0.36293877536342883</v>
      </c>
      <c r="AP46" s="4">
        <f ca="1">IFERROR(INDEX(grupoEstacas[],ECF[[#This Row],[nE]],MATCH("coef. Blévot",grupoEstacas[#Headers],0)),"N.S.")</f>
        <v>1.75</v>
      </c>
      <c r="AQ46" s="35">
        <f ca="1">IFERROR(ECF[[#This Row],[coef. Blévot]]*0.9*INDEX(tipoEstaca[],MATCH($D$2,tipoEstaca[TIPO DE ESTACA],0),MATCH("fcd (kN/cm²)",tipoEstaca[#Headers],0)),"N.S.")</f>
        <v>1.75</v>
      </c>
      <c r="AR46" s="1" t="str">
        <f ca="1">IF(AND(ECF[[#This Row],[cd,b,pil (kN/cm²)]]&lt;=ECF[[#This Row],[cd,b,lim (kN/cm²)]],ECF[[#This Row],[cd,b,est (kN/cm²)]]&lt;=ECF[[#This Row],[cd,b,lim (kN/cm²)]]),"OK","ERRO")</f>
        <v>OK</v>
      </c>
      <c r="AS46" s="4">
        <f ca="1">As_lado(ECF[[#This Row],[nE]],ECF[[#This Row],[Nsd (kN)]],ECF[[#This Row],[d (cm)]],ECF[[#This Row],[e (cm)]],ECF[[#This Row],[ap,eq (cm)]])</f>
        <v>17.771923925719374</v>
      </c>
      <c r="AT46" s="4" t="str">
        <f ca="1">IF(ECF[[#This Row],[nE]]=1,ECF[[#This Row],[As,lado (cm²)]],IF(ECF[[#This Row],[nE]]=2,0.075*2*ECF[a (cm)],"N.A."))</f>
        <v>N.A.</v>
      </c>
      <c r="AU46" s="4">
        <f ca="1">IFERROR(IF(ECF[[#This Row],[nE]]=1,"N.A.",0.2*ECF[[#This Row],[As,lado (cm²)]]),"N.S.")</f>
        <v>3.554384785143875</v>
      </c>
      <c r="AV46" s="4">
        <f ca="1">As_malha(ECF[[#This Row],[nE]],ECF[[#This Row],[As,lado (cm²)]],ECF[[#This Row],[Nsd (kN)]])</f>
        <v>5.9629629629629619</v>
      </c>
      <c r="AW46" s="4">
        <f ca="1">As_susp_tot(ECF[[#This Row],[nE]],ECF[[#This Row],[Nsd (kN)]])</f>
        <v>17.888888888888886</v>
      </c>
      <c r="AX46" s="4">
        <f ca="1">Asp_face(ECF[[#This Row],[nE]],ECF[[#This Row],[As,lado (cm²)]])</f>
        <v>6.6644714721447649</v>
      </c>
      <c r="AY46" s="5">
        <f ca="1">acoBloco(ECF[[#This Row],[nE]],ECF[[#This Row],[e (cm)]],ECF[[#This Row],[a (cm)]],ECF[[#This Row],[h (cm)]],ECF[[#This Row],[As,lado (cm²)]],ECF[[#This Row],[Asp e Asw (cm²/m)]],ECF[[#This Row],[As,sup (cm²)]],ECF[[#This Row],[As,malha (cm²)]],ECF[[#This Row],[As,susp,tot (cm²)]],ECF[[#This Row],[Asp,face (cm²)]])</f>
        <v>368.3371526423868</v>
      </c>
      <c r="AZ46" s="4">
        <f ca="1">concretoBloco(ECF[[#This Row],[nE]],ECF[[#This Row],[e (cm)]],ECF[[#This Row],[a (cm)]],ECF[[#This Row],[h (cm)]])</f>
        <v>12.960945948335764</v>
      </c>
      <c r="BA46" s="5">
        <f ca="1">SUM(ECF[[#This Row],[Aço Est (kg)]],ECF[[#This Row],[Aço Bloco (kg)]])</f>
        <v>416.67369721051938</v>
      </c>
      <c r="BB46" s="4">
        <f>INDEX(composicoes[],MATCH(95580,composicoes[CÓDIGO],0),MATCH("CUSTO TOTAL",composicoes[#Headers],0))</f>
        <v>10.46</v>
      </c>
      <c r="BC46" s="4">
        <f ca="1">SUM(ECF[[#This Row],[Conc Est (m³)]],ECF[[#This Row],[Conc Bloco (m³)]])</f>
        <v>27.969904850860999</v>
      </c>
      <c r="BD46" s="4">
        <f>INDEX(composicoes[],MATCH(94966,composicoes[CÓDIGO],0),MATCH("CUSTO TOTAL",composicoes[#Headers],0))</f>
        <v>439.52</v>
      </c>
      <c r="BE46" s="38">
        <f ca="1">ECF[[#This Row],[Aço (kg)]]*ECF[[#This Row],[Aço (R$/kg)]]+ECF[[#This Row],[Conc (m³)]]*ECF[[#This Row],[Conc (R$/m³)]]</f>
        <v>16651.739452872458</v>
      </c>
      <c r="BF46" s="4" t="str">
        <f ca="1">IF(COUNTIF(ECF[#This Row],"N.S.")&gt;0,"lim.","OK")</f>
        <v>OK</v>
      </c>
      <c r="BG46" s="4" t="str">
        <f>IF(ECF[[#This Row],[Prof. (m)]]&lt;4,"lim.","OK")</f>
        <v>OK</v>
      </c>
      <c r="BH46" s="4" t="str">
        <f>IF(ECF[[#This Row],[Prof. (m)]]&gt;=8*ECF[[#This Row],[Ø (cm)]]/100,"OK","lim.")</f>
        <v>OK</v>
      </c>
      <c r="BI46" s="4" t="str">
        <f>IF(AND(SPT!$F$3&lt;&gt;"",ECF[[#This Row],[Prof. (m)]]&gt;=SPT!$F$3-2),"lim.","OK")</f>
        <v>OK</v>
      </c>
      <c r="BJ46" s="4" t="str">
        <f ca="1">IF(ECF[[#This Row],[Verif. Biela]]="OK","OK","lim.")</f>
        <v>OK</v>
      </c>
      <c r="BK46" s="4" t="str">
        <f ca="1">IF(COUNTA(ECF[[#This Row],[Nº Est.]:[Biela comp.]])=COUNTIF(ECF[[#This Row],[Nº Est.]:[Biela comp.]],"OK"),"OK","lim.")</f>
        <v>OK</v>
      </c>
      <c r="BL46" s="4" t="str">
        <f ca="1">IF(ECF[[#This Row],[Controle]]="OK",ECF[[#This Row],[nE]]&amp;" Ø"&amp;ECF[[#This Row],[Ø (cm)]]&amp;"cm Prof. "&amp;ECF[[#This Row],[Prof. (m)]]&amp;" m","")</f>
        <v>3 Ø70cm Prof. 13 m</v>
      </c>
      <c r="BM46" s="4" t="str">
        <f ca="1">IF(ECF[[#This Row],[idDimensionamento]]="","",ECF[[#This Row],[idPilar]]&amp;ECF[[#This Row],[idDimensionamento]])</f>
        <v>13 Ø70cm Prof. 13 m</v>
      </c>
    </row>
    <row r="47" spans="2:65" x14ac:dyDescent="0.25">
      <c r="B47" s="12">
        <f>ROUNDUP((ROW(ECF[[#This Row],[idDiâmetro]])-ROW(ECF[[#Headers],[idDiâmetro]]))/(COUNT(SPT[Prof. (m)])*COUNT(PILARES[Pilar])),0)</f>
        <v>2</v>
      </c>
      <c r="C47" s="12">
        <f>IF(ECF[[#This Row],[idDiâmetro]]&lt;&gt;B46,1,IF(ECF[[#This Row],[Prof. (m)]]=0,C46+1,C46))</f>
        <v>2</v>
      </c>
      <c r="D47" s="1">
        <f>IFERROR(IF(D46=MAX(SPT[Prof. (m)]),0,D46+1),0)</f>
        <v>0</v>
      </c>
      <c r="E47" s="1">
        <f>INDEX(SPT[],MATCH(ECF[[#This Row],[Prof. (m)]],SPT[Prof. (m)],0),2)</f>
        <v>0</v>
      </c>
      <c r="F47" s="1" t="str">
        <f>INDEX(SPT[],MATCH(ECF[[#This Row],[Prof. (m)]],SPT[Prof. (m)],0),3)</f>
        <v>Areia siltosa</v>
      </c>
      <c r="G47" s="1">
        <f>INDEX(estacas[],ECF[[#This Row],[idDiâmetro]],MATCH($B$2,estacas[#Headers],0))</f>
        <v>70</v>
      </c>
      <c r="H47" s="1">
        <f>INDEX(estacas[],MATCH(ECF[[#This Row],[Ø (cm)]],estacas[Ø ECF (cm)],0),MATCH(ECF[[#Headers],[Pe ECF (kN)]],estacas[#Headers],0))</f>
        <v>1500</v>
      </c>
      <c r="I47" s="4">
        <f>INDEX(K_alpha_C[],MATCH(ECF[[#This Row],[Solo]],K_alpha_C[Solo],0),2)</f>
        <v>0.8</v>
      </c>
      <c r="J47" s="5">
        <f>INDEX(K_alpha_C[],MATCH(ECF[[#This Row],[Solo]],K_alpha_C[Solo],0),3)</f>
        <v>2</v>
      </c>
      <c r="K47" s="4">
        <f>INDEX(F1_F2[],MATCH($D$2,F1_F2[Tipo de estaca],0),2)</f>
        <v>3</v>
      </c>
      <c r="L47" s="4">
        <f>INDEX(F1_F2[],MATCH($D$2,F1_F2[Tipo de estaca],0),3)</f>
        <v>6</v>
      </c>
      <c r="M47" s="4">
        <f>PI()*(ECF[[#This Row],[Ø (cm)]]/100)^2/4</f>
        <v>0.38484510006474959</v>
      </c>
      <c r="N47" s="4">
        <f>PI()*ECF[[#This Row],[Ø (cm)]]/100</f>
        <v>2.1991148575128552</v>
      </c>
      <c r="O47" s="4">
        <f>IF(ECF[[#This Row],[Prof. (m)]]=0,0,ECF[[#This Row],[α (%)]]/100*ECF[[#This Row],[K (MPa)]]*1000*ECF[[#This Row],[NSPT]])</f>
        <v>0</v>
      </c>
      <c r="P47" s="4">
        <f>IF(ECF[[#This Row],[Prof. (m)]]=0,0,(ECF[[#This Row],[K (MPa)]]*1000*ECF[[#This Row],[NSPT]]/ECF[[#This Row],[F1]]*ECF[[#This Row],[Ap (m²)]]+ECF[[#This Row],[U (m)]]/ECF[[#This Row],[F2]]*SUMIFS(ECF[(α∙K∙NL∙ΔL)],ECF[Prof. (m)],"&lt;="&amp;ECF[[#This Row],[Prof. (m)]],ECF[idDiâmetro],ECF[[#This Row],[idDiâmetro]],ECF[idPilar],ECF[[#This Row],[idPilar]]))/'DADOS CAP. CARGA'!$D$2)</f>
        <v>0</v>
      </c>
      <c r="Q47" s="12">
        <f>INDEX(C_alpha_beta[],MATCH(ECF[[#This Row],[Solo]],C_alpha_beta[Solo],0),MATCH(ECF[[#Headers],[C (kPa)]],C_alpha_beta[#Headers],0))</f>
        <v>400</v>
      </c>
      <c r="R47" s="4">
        <f>INDEX(C_alpha_beta[],MATCH(ECF[[#This Row],[Solo]],C_alpha_beta[Solo],0),MATCH(ECF[[#Headers],[α ESF]],C_alpha_beta[#Headers],0))</f>
        <v>0.5</v>
      </c>
      <c r="S47" s="4">
        <f>INDEX(C_alpha_beta[],MATCH(ECF[[#This Row],[Solo]],C_alpha_beta[Solo],0),MATCH(ECF[[#Headers],[β ESF]],C_alpha_beta[#Headers],0))</f>
        <v>0.5</v>
      </c>
      <c r="T47" s="4">
        <f>IF(ECF[[#This Row],[Prof. (m)]]=0,0,10*(ECF[[#This Row],[NSPT]]/3+1))</f>
        <v>0</v>
      </c>
      <c r="U47" s="4">
        <f>(ECF[[#This Row],[α ESF]]*ECF[[#This Row],[C (kPa)]]*ECF[[#This Row],[NSPT]]*ECF[[#This Row],[Ap (m²)]])/'DADOS CAP. CARGA'!$Q$2+(ECF[[#This Row],[β ESF]]*SUMIFS(ECF[10∙(NL/3+1)],ECF[Prof. (m)],"&lt;="&amp;ECF[[#This Row],[Prof. (m)]],ECF[idDiâmetro],ECF[[#This Row],[idDiâmetro]],ECF[idPilar],ECF[[#This Row],[idPilar]])*ECF[[#This Row],[U (m)]])/'DADOS CAP. CARGA'!$S$2</f>
        <v>0</v>
      </c>
      <c r="V47" s="4">
        <f>IF(SPT!$M$5=1,MIN(ECF[[#This Row],[Pe ECF (kN)]],ECF[[#This Row],[R_AV (kN)]]),IF(SPT!$M$5=2,MIN(ECF[[#This Row],[Pe ECF (kN)]],ECF[[#This Row],[R_DC (kN)]]),MIN(ECF[[#This Row],[Pe ECF (kN)]],ECF[[#This Row],[R_AV (kN)]],ECF[[#This Row],[R_DC (kN)]])))</f>
        <v>0</v>
      </c>
      <c r="W47" s="4">
        <f>INDEX(PILARES[],ECF[[#This Row],[idPilar]],MATCH("Carga (kN)",PILARES[#Headers],0))*1.4</f>
        <v>1750</v>
      </c>
      <c r="X47" s="12">
        <f>INDEX(PILARES[],ECF[[#This Row],[idPilar]],MATCH(ECF[[#Headers],[ap (cm)]],PILARES[#Headers],0))</f>
        <v>50</v>
      </c>
      <c r="Y47" s="12">
        <f>INDEX(PILARES[],ECF[[#This Row],[idPilar]],MATCH(ECF[[#Headers],[bp (cm)]],PILARES[#Headers],0))</f>
        <v>40</v>
      </c>
      <c r="Z47" s="4">
        <f>SQRT(ECF[[#This Row],[ap (cm)]]*ECF[[#This Row],[bp (cm)]])</f>
        <v>44.721359549995796</v>
      </c>
      <c r="AA47" s="12">
        <f>ECF[[#This Row],[ap (cm)]]*ECF[[#This Row],[bp (cm)]]</f>
        <v>2000</v>
      </c>
      <c r="AB47" s="12" t="e">
        <f ca="1">IF(ECF[[#This Row],[Padm∙ε (kN)]]&gt;=ECF[[#This Row],[Padm (kN)]],ROUNDUP(1.05*ECF[[#This Row],[Nsd (kN)]]/ECF[[#This Row],[Padm (kN)]],0),ROUNDUP(1.05*ECF[[#This Row],[Nsd (kN)]]/ECF[[#This Row],[Padm (kN)]],0)+1)</f>
        <v>#DIV/0!</v>
      </c>
      <c r="AC47" s="4" t="str">
        <f ca="1">IFERROR(IF(ECF[[#This Row],[nE]]=1,ECF[[#This Row],[Padm (kN)]],ECF[[#This Row],[Padm (kN)]]*ECF[[#This Row],[nE]]*INDEX(grupoEstacas[],ECF[[#This Row],[nE]],MATCH("ε",grupoEstacas[#Headers],0))),"N.S.")</f>
        <v>N.S.</v>
      </c>
      <c r="AD47" s="4" t="e">
        <f ca="1">1.05*ECF[[#This Row],[Nsd (kN)]]/(ECF[[#This Row],[nE]]*PI()*ECF[[#This Row],[Ø (cm)]]^2/4)*10</f>
        <v>#DIV/0!</v>
      </c>
      <c r="AE47" s="4" t="e">
        <f ca="1">IF(ECF[[#This Row],[σ (MPa)]]&lt;INDEX(tipoEstaca[],MATCH($D$2,tipoEstaca[TIPO DE ESTACA],0),MATCH("σmáx (MPa)",tipoEstaca[#Headers],0)),0.4%*PI()*ECF[[#This Row],[Ø (cm)]]^2/4,"N.S.")</f>
        <v>#DIV/0!</v>
      </c>
      <c r="AF47" s="1">
        <f>INDEX(tipoEstaca[],MATCH($D$2,tipoEstaca[TIPO DE ESTACA],0),MATCH(ECF[[#Headers],[Comprimento (m)]],tipoEstaca[#Headers],0))</f>
        <v>4</v>
      </c>
      <c r="AG47" s="5" t="e">
        <f ca="1">ECF[[#This Row],[As,mín (cm²)]]/100^2*ECF[[#This Row],[Comprimento (m)]]*7850</f>
        <v>#DIV/0!</v>
      </c>
      <c r="AH47" s="4" t="e">
        <f ca="1">ECF[[#This Row],[nE]]*ECF[[#This Row],[Prof. (m)]]*ECF[[#This Row],[Ap (m²)]]</f>
        <v>#DIV/0!</v>
      </c>
      <c r="AI47" s="1" t="e">
        <f ca="1">IF(ECF[[#This Row],[nE]]=1,0,MAX(3*ECF[[#This Row],[Ø (cm)]],60))</f>
        <v>#DIV/0!</v>
      </c>
      <c r="AJ47" s="1" t="e">
        <f ca="1">IF(ECF[[#This Row],[nE]]=1,ECF[[#This Row],[Ø (cm)]]+2*10,MAX(1.5*ECF[[#This Row],[Ø (cm)]],ECF[[#This Row],[Ø (cm)]]+15))</f>
        <v>#DIV/0!</v>
      </c>
      <c r="AK47" s="1" t="e">
        <f ca="1">alturaUtil(ECF[[#This Row],[nE]],ECF[[#This Row],[Ø (cm)]],ECF[[#This Row],[e (cm)]],ECF[[#This Row],[ap,eq (cm)]])</f>
        <v>#VALUE!</v>
      </c>
      <c r="AL47" s="1" t="str">
        <f ca="1">IFERROR(ECF[[#This Row],[d (cm)]]+arredondarParaCimaMultiplo5cm(MAX(5,SQRT(PI())/2*ECF[[#This Row],[Ø (cm)]]/5)),"N.S.")</f>
        <v>N.S.</v>
      </c>
      <c r="AM47" s="5" t="e">
        <f ca="1">alpha(ECF[[#This Row],[nE]],ECF[[#This Row],[d (cm)]],ECF[[#This Row],[e (cm)]],ECF[[#This Row],[ap,eq (cm)]])</f>
        <v>#VALUE!</v>
      </c>
      <c r="AN47" s="35" t="str">
        <f ca="1">IFERROR(ECF[[#This Row],[Nsd (kN)]]/(ECF[[#This Row],[Ap (cm²)]]*SIN(ECF[[#This Row],[α]])^2),"N.S.")</f>
        <v>N.S.</v>
      </c>
      <c r="AO47" s="35" t="str">
        <f ca="1">IFERROR(ECF[[#This Row],[Nsd (kN)]]/(ECF[[#This Row],[nE]]*PI()*ECF[[#This Row],[Ø (cm)]]^2/4*SIN(ECF[[#This Row],[α]])^2),"N.S.")</f>
        <v>N.S.</v>
      </c>
      <c r="AP47" s="4" t="str">
        <f ca="1">IFERROR(INDEX(grupoEstacas[],ECF[[#This Row],[nE]],MATCH("coef. Blévot",grupoEstacas[#Headers],0)),"N.S.")</f>
        <v>N.S.</v>
      </c>
      <c r="AQ47" s="35" t="str">
        <f ca="1">IFERROR(ECF[[#This Row],[coef. Blévot]]*0.9*INDEX(tipoEstaca[],MATCH($D$2,tipoEstaca[TIPO DE ESTACA],0),MATCH("fcd (kN/cm²)",tipoEstaca[#Headers],0)),"N.S.")</f>
        <v>N.S.</v>
      </c>
      <c r="AR47" s="1" t="str">
        <f ca="1">IF(AND(ECF[[#This Row],[cd,b,pil (kN/cm²)]]&lt;=ECF[[#This Row],[cd,b,lim (kN/cm²)]],ECF[[#This Row],[cd,b,est (kN/cm²)]]&lt;=ECF[[#This Row],[cd,b,lim (kN/cm²)]]),"OK","ERRO")</f>
        <v>OK</v>
      </c>
      <c r="AS47" s="4" t="e">
        <f ca="1">As_lado(ECF[[#This Row],[nE]],ECF[[#This Row],[Nsd (kN)]],ECF[[#This Row],[d (cm)]],ECF[[#This Row],[e (cm)]],ECF[[#This Row],[ap,eq (cm)]])</f>
        <v>#VALUE!</v>
      </c>
      <c r="AT47" s="4" t="e">
        <f ca="1">IF(ECF[[#This Row],[nE]]=1,ECF[[#This Row],[As,lado (cm²)]],IF(ECF[[#This Row],[nE]]=2,0.075*2*ECF[a (cm)],"N.A."))</f>
        <v>#DIV/0!</v>
      </c>
      <c r="AU47" s="4" t="str">
        <f ca="1">IFERROR(IF(ECF[[#This Row],[nE]]=1,"N.A.",0.2*ECF[[#This Row],[As,lado (cm²)]]),"N.S.")</f>
        <v>N.S.</v>
      </c>
      <c r="AV47" s="4" t="e">
        <f ca="1">As_malha(ECF[[#This Row],[nE]],ECF[[#This Row],[As,lado (cm²)]],ECF[[#This Row],[Nsd (kN)]])</f>
        <v>#VALUE!</v>
      </c>
      <c r="AW47" s="4" t="e">
        <f ca="1">As_susp_tot(ECF[[#This Row],[nE]],ECF[[#This Row],[Nsd (kN)]])</f>
        <v>#VALUE!</v>
      </c>
      <c r="AX47" s="4" t="e">
        <f ca="1">Asp_face(ECF[[#This Row],[nE]],ECF[[#This Row],[As,lado (cm²)]])</f>
        <v>#VALUE!</v>
      </c>
      <c r="AY47" s="5" t="e">
        <f ca="1">acoBloco(ECF[[#This Row],[nE]],ECF[[#This Row],[e (cm)]],ECF[[#This Row],[a (cm)]],ECF[[#This Row],[h (cm)]],ECF[[#This Row],[As,lado (cm²)]],ECF[[#This Row],[Asp e Asw (cm²/m)]],ECF[[#This Row],[As,sup (cm²)]],ECF[[#This Row],[As,malha (cm²)]],ECF[[#This Row],[As,susp,tot (cm²)]],ECF[[#This Row],[Asp,face (cm²)]])</f>
        <v>#VALUE!</v>
      </c>
      <c r="AZ47" s="4" t="e">
        <f ca="1">concretoBloco(ECF[[#This Row],[nE]],ECF[[#This Row],[e (cm)]],ECF[[#This Row],[a (cm)]],ECF[[#This Row],[h (cm)]])</f>
        <v>#VALUE!</v>
      </c>
      <c r="BA47" s="5" t="e">
        <f ca="1">SUM(ECF[[#This Row],[Aço Est (kg)]],ECF[[#This Row],[Aço Bloco (kg)]])</f>
        <v>#DIV/0!</v>
      </c>
      <c r="BB47" s="4">
        <f>INDEX(composicoes[],MATCH(95580,composicoes[CÓDIGO],0),MATCH("CUSTO TOTAL",composicoes[#Headers],0))</f>
        <v>10.46</v>
      </c>
      <c r="BC47" s="4" t="e">
        <f ca="1">SUM(ECF[[#This Row],[Conc Est (m³)]],ECF[[#This Row],[Conc Bloco (m³)]])</f>
        <v>#DIV/0!</v>
      </c>
      <c r="BD47" s="4">
        <f>INDEX(composicoes[],MATCH(94966,composicoes[CÓDIGO],0),MATCH("CUSTO TOTAL",composicoes[#Headers],0))</f>
        <v>439.52</v>
      </c>
      <c r="BE47" s="38" t="e">
        <f ca="1">ECF[[#This Row],[Aço (kg)]]*ECF[[#This Row],[Aço (R$/kg)]]+ECF[[#This Row],[Conc (m³)]]*ECF[[#This Row],[Conc (R$/m³)]]</f>
        <v>#DIV/0!</v>
      </c>
      <c r="BF47" s="4" t="str">
        <f ca="1">IF(COUNTIF(ECF[#This Row],"N.S.")&gt;0,"lim.","OK")</f>
        <v>lim.</v>
      </c>
      <c r="BG47" s="4" t="str">
        <f>IF(ECF[[#This Row],[Prof. (m)]]&lt;4,"lim.","OK")</f>
        <v>lim.</v>
      </c>
      <c r="BH47" s="4" t="str">
        <f>IF(ECF[[#This Row],[Prof. (m)]]&gt;=8*ECF[[#This Row],[Ø (cm)]]/100,"OK","lim.")</f>
        <v>lim.</v>
      </c>
      <c r="BI47" s="4" t="str">
        <f>IF(AND(SPT!$F$3&lt;&gt;"",ECF[[#This Row],[Prof. (m)]]&gt;=SPT!$F$3-2),"lim.","OK")</f>
        <v>OK</v>
      </c>
      <c r="BJ47" s="4" t="str">
        <f ca="1">IF(ECF[[#This Row],[Verif. Biela]]="OK","OK","lim.")</f>
        <v>OK</v>
      </c>
      <c r="BK47" s="4" t="str">
        <f ca="1">IF(COUNTA(ECF[[#This Row],[Nº Est.]:[Biela comp.]])=COUNTIF(ECF[[#This Row],[Nº Est.]:[Biela comp.]],"OK"),"OK","lim.")</f>
        <v>lim.</v>
      </c>
      <c r="BL47" s="4" t="str">
        <f ca="1">IF(ECF[[#This Row],[Controle]]="OK",ECF[[#This Row],[nE]]&amp;" Ø"&amp;ECF[[#This Row],[Ø (cm)]]&amp;"cm Prof. "&amp;ECF[[#This Row],[Prof. (m)]]&amp;" m","")</f>
        <v/>
      </c>
      <c r="BM47" s="4" t="str">
        <f ca="1">IF(ECF[[#This Row],[idDimensionamento]]="","",ECF[[#This Row],[idPilar]]&amp;ECF[[#This Row],[idDimensionamento]])</f>
        <v/>
      </c>
    </row>
    <row r="48" spans="2:65" x14ac:dyDescent="0.25">
      <c r="B48" s="12">
        <f>ROUNDUP((ROW(ECF[[#This Row],[idDiâmetro]])-ROW(ECF[[#Headers],[idDiâmetro]]))/(COUNT(SPT[Prof. (m)])*COUNT(PILARES[Pilar])),0)</f>
        <v>2</v>
      </c>
      <c r="C48" s="12">
        <f>IF(ECF[[#This Row],[idDiâmetro]]&lt;&gt;B47,1,IF(ECF[[#This Row],[Prof. (m)]]=0,C47+1,C47))</f>
        <v>2</v>
      </c>
      <c r="D48" s="1">
        <f>IFERROR(IF(D47=MAX(SPT[Prof. (m)]),0,D47+1),0)</f>
        <v>1</v>
      </c>
      <c r="E48" s="1">
        <f>INDEX(SPT[],MATCH(ECF[[#This Row],[Prof. (m)]],SPT[Prof. (m)],0),2)</f>
        <v>2</v>
      </c>
      <c r="F48" s="1" t="str">
        <f>INDEX(SPT[],MATCH(ECF[[#This Row],[Prof. (m)]],SPT[Prof. (m)],0),3)</f>
        <v>Areia siltosa</v>
      </c>
      <c r="G48" s="1">
        <f>INDEX(estacas[],ECF[[#This Row],[idDiâmetro]],MATCH($B$2,estacas[#Headers],0))</f>
        <v>70</v>
      </c>
      <c r="H48" s="1">
        <f>INDEX(estacas[],MATCH(ECF[[#This Row],[Ø (cm)]],estacas[Ø ECF (cm)],0),MATCH(ECF[[#Headers],[Pe ECF (kN)]],estacas[#Headers],0))</f>
        <v>1500</v>
      </c>
      <c r="I48" s="4">
        <f>INDEX(K_alpha_C[],MATCH(ECF[[#This Row],[Solo]],K_alpha_C[Solo],0),2)</f>
        <v>0.8</v>
      </c>
      <c r="J48" s="5">
        <f>INDEX(K_alpha_C[],MATCH(ECF[[#This Row],[Solo]],K_alpha_C[Solo],0),3)</f>
        <v>2</v>
      </c>
      <c r="K48" s="4">
        <f>INDEX(F1_F2[],MATCH($D$2,F1_F2[Tipo de estaca],0),2)</f>
        <v>3</v>
      </c>
      <c r="L48" s="4">
        <f>INDEX(F1_F2[],MATCH($D$2,F1_F2[Tipo de estaca],0),3)</f>
        <v>6</v>
      </c>
      <c r="M48" s="4">
        <f>PI()*(ECF[[#This Row],[Ø (cm)]]/100)^2/4</f>
        <v>0.38484510006474959</v>
      </c>
      <c r="N48" s="4">
        <f>PI()*ECF[[#This Row],[Ø (cm)]]/100</f>
        <v>2.1991148575128552</v>
      </c>
      <c r="O48" s="4">
        <f>IF(ECF[[#This Row],[Prof. (m)]]=0,0,ECF[[#This Row],[α (%)]]/100*ECF[[#This Row],[K (MPa)]]*1000*ECF[[#This Row],[NSPT]])</f>
        <v>32</v>
      </c>
      <c r="P48" s="4">
        <f>IF(ECF[[#This Row],[Prof. (m)]]=0,0,(ECF[[#This Row],[K (MPa)]]*1000*ECF[[#This Row],[NSPT]]/ECF[[#This Row],[F1]]*ECF[[#This Row],[Ap (m²)]]+ECF[[#This Row],[U (m)]]/ECF[[#This Row],[F2]]*SUMIFS(ECF[(α∙K∙NL∙ΔL)],ECF[Prof. (m)],"&lt;="&amp;ECF[[#This Row],[Prof. (m)]],ECF[idDiâmetro],ECF[[#This Row],[idDiâmetro]],ECF[idPilar],ECF[[#This Row],[idPilar]]))/'DADOS CAP. CARGA'!$D$2)</f>
        <v>108.48966630396751</v>
      </c>
      <c r="Q48" s="12">
        <f>INDEX(C_alpha_beta[],MATCH(ECF[[#This Row],[Solo]],C_alpha_beta[Solo],0),MATCH(ECF[[#Headers],[C (kPa)]],C_alpha_beta[#Headers],0))</f>
        <v>400</v>
      </c>
      <c r="R48" s="4">
        <f>INDEX(C_alpha_beta[],MATCH(ECF[[#This Row],[Solo]],C_alpha_beta[Solo],0),MATCH(ECF[[#Headers],[α ESF]],C_alpha_beta[#Headers],0))</f>
        <v>0.5</v>
      </c>
      <c r="S48" s="4">
        <f>INDEX(C_alpha_beta[],MATCH(ECF[[#This Row],[Solo]],C_alpha_beta[Solo],0),MATCH(ECF[[#Headers],[β ESF]],C_alpha_beta[#Headers],0))</f>
        <v>0.5</v>
      </c>
      <c r="T48" s="4">
        <f>IF(ECF[[#This Row],[Prof. (m)]]=0,0,10*(ECF[[#This Row],[NSPT]]/3+1))</f>
        <v>16.666666666666664</v>
      </c>
      <c r="U48" s="4">
        <f>(ECF[[#This Row],[α ESF]]*ECF[[#This Row],[C (kPa)]]*ECF[[#This Row],[NSPT]]*ECF[[#This Row],[Ap (m²)]])/'DADOS CAP. CARGA'!$Q$2+(ECF[[#This Row],[β ESF]]*SUMIFS(ECF[10∙(NL/3+1)],ECF[Prof. (m)],"&lt;="&amp;ECF[[#This Row],[Prof. (m)]],ECF[idDiâmetro],ECF[[#This Row],[idDiâmetro]],ECF[idPilar],ECF[[#This Row],[idPilar]])*ECF[[#This Row],[U (m)]])/'DADOS CAP. CARGA'!$S$2</f>
        <v>47.647488579445181</v>
      </c>
      <c r="V48" s="4">
        <f>IF(SPT!$M$5=1,MIN(ECF[[#This Row],[Pe ECF (kN)]],ECF[[#This Row],[R_AV (kN)]]),IF(SPT!$M$5=2,MIN(ECF[[#This Row],[Pe ECF (kN)]],ECF[[#This Row],[R_DC (kN)]]),MIN(ECF[[#This Row],[Pe ECF (kN)]],ECF[[#This Row],[R_AV (kN)]],ECF[[#This Row],[R_DC (kN)]])))</f>
        <v>47.647488579445181</v>
      </c>
      <c r="W48" s="4">
        <f>INDEX(PILARES[],ECF[[#This Row],[idPilar]],MATCH("Carga (kN)",PILARES[#Headers],0))*1.4</f>
        <v>1750</v>
      </c>
      <c r="X48" s="12">
        <f>INDEX(PILARES[],ECF[[#This Row],[idPilar]],MATCH(ECF[[#Headers],[ap (cm)]],PILARES[#Headers],0))</f>
        <v>50</v>
      </c>
      <c r="Y48" s="12">
        <f>INDEX(PILARES[],ECF[[#This Row],[idPilar]],MATCH(ECF[[#Headers],[bp (cm)]],PILARES[#Headers],0))</f>
        <v>40</v>
      </c>
      <c r="Z48" s="4">
        <f>SQRT(ECF[[#This Row],[ap (cm)]]*ECF[[#This Row],[bp (cm)]])</f>
        <v>44.721359549995796</v>
      </c>
      <c r="AA48" s="12">
        <f>ECF[[#This Row],[ap (cm)]]*ECF[[#This Row],[bp (cm)]]</f>
        <v>2000</v>
      </c>
      <c r="AB48" s="12">
        <f ca="1">IF(ECF[[#This Row],[Padm∙ε (kN)]]&gt;=ECF[[#This Row],[Padm (kN)]],ROUNDUP(1.05*ECF[[#This Row],[Nsd (kN)]]/ECF[[#This Row],[Padm (kN)]],0),ROUNDUP(1.05*ECF[[#This Row],[Nsd (kN)]]/ECF[[#This Row],[Padm (kN)]],0)+1)</f>
        <v>39</v>
      </c>
      <c r="AC48" s="4" t="str">
        <f ca="1">IFERROR(IF(ECF[[#This Row],[nE]]=1,ECF[[#This Row],[Padm (kN)]],ECF[[#This Row],[Padm (kN)]]*ECF[[#This Row],[nE]]*INDEX(grupoEstacas[],ECF[[#This Row],[nE]],MATCH("ε",grupoEstacas[#Headers],0))),"N.S.")</f>
        <v>N.S.</v>
      </c>
      <c r="AD48" s="4">
        <f ca="1">1.05*ECF[[#This Row],[Nsd (kN)]]/(ECF[[#This Row],[nE]]*PI()*ECF[[#This Row],[Ø (cm)]]^2/4)*10</f>
        <v>0.12242687930145796</v>
      </c>
      <c r="AE48" s="4">
        <f ca="1">IF(ECF[[#This Row],[σ (MPa)]]&lt;INDEX(tipoEstaca[],MATCH($D$2,tipoEstaca[TIPO DE ESTACA],0),MATCH("σmáx (MPa)",tipoEstaca[#Headers],0)),0.4%*PI()*ECF[[#This Row],[Ø (cm)]]^2/4,"N.S.")</f>
        <v>15.393804002589988</v>
      </c>
      <c r="AF48" s="1">
        <f>INDEX(tipoEstaca[],MATCH($D$2,tipoEstaca[TIPO DE ESTACA],0),MATCH(ECF[[#Headers],[Comprimento (m)]],tipoEstaca[#Headers],0))</f>
        <v>4</v>
      </c>
      <c r="AG48" s="5">
        <f ca="1">ECF[[#This Row],[As,mín (cm²)]]/100^2*ECF[[#This Row],[Comprimento (m)]]*7850</f>
        <v>48.33654456813256</v>
      </c>
      <c r="AH48" s="4">
        <f ca="1">ECF[[#This Row],[nE]]*ECF[[#This Row],[Prof. (m)]]*ECF[[#This Row],[Ap (m²)]]</f>
        <v>15.008958902525235</v>
      </c>
      <c r="AI48" s="1">
        <f ca="1">IF(ECF[[#This Row],[nE]]=1,0,MAX(3*ECF[[#This Row],[Ø (cm)]],60))</f>
        <v>210</v>
      </c>
      <c r="AJ48" s="1">
        <f ca="1">IF(ECF[[#This Row],[nE]]=1,ECF[[#This Row],[Ø (cm)]]+2*10,MAX(1.5*ECF[[#This Row],[Ø (cm)]],ECF[[#This Row],[Ø (cm)]]+15))</f>
        <v>105</v>
      </c>
      <c r="AK48" s="1" t="str">
        <f ca="1">alturaUtil(ECF[[#This Row],[nE]],ECF[[#This Row],[Ø (cm)]],ECF[[#This Row],[e (cm)]],ECF[[#This Row],[ap,eq (cm)]])</f>
        <v>N.S.</v>
      </c>
      <c r="AL48" s="1" t="str">
        <f ca="1">IFERROR(ECF[[#This Row],[d (cm)]]+arredondarParaCimaMultiplo5cm(MAX(5,SQRT(PI())/2*ECF[[#This Row],[Ø (cm)]]/5)),"N.S.")</f>
        <v>N.S.</v>
      </c>
      <c r="AM48" s="5" t="str">
        <f ca="1">alpha(ECF[[#This Row],[nE]],ECF[[#This Row],[d (cm)]],ECF[[#This Row],[e (cm)]],ECF[[#This Row],[ap,eq (cm)]])</f>
        <v>N.S.</v>
      </c>
      <c r="AN48" s="35" t="str">
        <f ca="1">IFERROR(ECF[[#This Row],[Nsd (kN)]]/(ECF[[#This Row],[Ap (cm²)]]*SIN(ECF[[#This Row],[α]])^2),"N.S.")</f>
        <v>N.S.</v>
      </c>
      <c r="AO48" s="35" t="str">
        <f ca="1">IFERROR(ECF[[#This Row],[Nsd (kN)]]/(ECF[[#This Row],[nE]]*PI()*ECF[[#This Row],[Ø (cm)]]^2/4*SIN(ECF[[#This Row],[α]])^2),"N.S.")</f>
        <v>N.S.</v>
      </c>
      <c r="AP48" s="4" t="str">
        <f ca="1">IFERROR(INDEX(grupoEstacas[],ECF[[#This Row],[nE]],MATCH("coef. Blévot",grupoEstacas[#Headers],0)),"N.S.")</f>
        <v>N.S.</v>
      </c>
      <c r="AQ48" s="35" t="str">
        <f ca="1">IFERROR(ECF[[#This Row],[coef. Blévot]]*0.9*INDEX(tipoEstaca[],MATCH($D$2,tipoEstaca[TIPO DE ESTACA],0),MATCH("fcd (kN/cm²)",tipoEstaca[#Headers],0)),"N.S.")</f>
        <v>N.S.</v>
      </c>
      <c r="AR48" s="1" t="str">
        <f ca="1">IF(AND(ECF[[#This Row],[cd,b,pil (kN/cm²)]]&lt;=ECF[[#This Row],[cd,b,lim (kN/cm²)]],ECF[[#This Row],[cd,b,est (kN/cm²)]]&lt;=ECF[[#This Row],[cd,b,lim (kN/cm²)]]),"OK","ERRO")</f>
        <v>OK</v>
      </c>
      <c r="AS48" s="4" t="str">
        <f ca="1">As_lado(ECF[[#This Row],[nE]],ECF[[#This Row],[Nsd (kN)]],ECF[[#This Row],[d (cm)]],ECF[[#This Row],[e (cm)]],ECF[[#This Row],[ap,eq (cm)]])</f>
        <v>N.S.</v>
      </c>
      <c r="AT48" s="4" t="str">
        <f ca="1">IF(ECF[[#This Row],[nE]]=1,ECF[[#This Row],[As,lado (cm²)]],IF(ECF[[#This Row],[nE]]=2,0.075*2*ECF[a (cm)],"N.A."))</f>
        <v>N.A.</v>
      </c>
      <c r="AU48" s="4" t="str">
        <f ca="1">IFERROR(IF(ECF[[#This Row],[nE]]=1,"N.A.",0.2*ECF[[#This Row],[As,lado (cm²)]]),"N.S.")</f>
        <v>N.S.</v>
      </c>
      <c r="AV48" s="4" t="str">
        <f ca="1">As_malha(ECF[[#This Row],[nE]],ECF[[#This Row],[As,lado (cm²)]],ECF[[#This Row],[Nsd (kN)]])</f>
        <v>N.S.</v>
      </c>
      <c r="AW48" s="4" t="str">
        <f ca="1">As_susp_tot(ECF[[#This Row],[nE]],ECF[[#This Row],[Nsd (kN)]])</f>
        <v>N.S.</v>
      </c>
      <c r="AX48" s="4" t="str">
        <f ca="1">Asp_face(ECF[[#This Row],[nE]],ECF[[#This Row],[As,lado (cm²)]])</f>
        <v>N.S.</v>
      </c>
      <c r="AY48" s="5" t="str">
        <f ca="1">acoBloco(ECF[[#This Row],[nE]],ECF[[#This Row],[e (cm)]],ECF[[#This Row],[a (cm)]],ECF[[#This Row],[h (cm)]],ECF[[#This Row],[As,lado (cm²)]],ECF[[#This Row],[Asp e Asw (cm²/m)]],ECF[[#This Row],[As,sup (cm²)]],ECF[[#This Row],[As,malha (cm²)]],ECF[[#This Row],[As,susp,tot (cm²)]],ECF[[#This Row],[Asp,face (cm²)]])</f>
        <v>N.S.</v>
      </c>
      <c r="AZ48" s="4" t="str">
        <f ca="1">concretoBloco(ECF[[#This Row],[nE]],ECF[[#This Row],[e (cm)]],ECF[[#This Row],[a (cm)]],ECF[[#This Row],[h (cm)]])</f>
        <v>N.S.</v>
      </c>
      <c r="BA48" s="5">
        <f ca="1">SUM(ECF[[#This Row],[Aço Est (kg)]],ECF[[#This Row],[Aço Bloco (kg)]])</f>
        <v>48.33654456813256</v>
      </c>
      <c r="BB48" s="4">
        <f>INDEX(composicoes[],MATCH(95580,composicoes[CÓDIGO],0),MATCH("CUSTO TOTAL",composicoes[#Headers],0))</f>
        <v>10.46</v>
      </c>
      <c r="BC48" s="4">
        <f ca="1">SUM(ECF[[#This Row],[Conc Est (m³)]],ECF[[#This Row],[Conc Bloco (m³)]])</f>
        <v>15.008958902525235</v>
      </c>
      <c r="BD48" s="4">
        <f>INDEX(composicoes[],MATCH(94966,composicoes[CÓDIGO],0),MATCH("CUSTO TOTAL",composicoes[#Headers],0))</f>
        <v>439.52</v>
      </c>
      <c r="BE48" s="38">
        <f ca="1">ECF[[#This Row],[Aço (kg)]]*ECF[[#This Row],[Aço (R$/kg)]]+ECF[[#This Row],[Conc (m³)]]*ECF[[#This Row],[Conc (R$/m³)]]</f>
        <v>7102.3378730205568</v>
      </c>
      <c r="BF48" s="4" t="str">
        <f ca="1">IF(COUNTIF(ECF[#This Row],"N.S.")&gt;0,"lim.","OK")</f>
        <v>lim.</v>
      </c>
      <c r="BG48" s="4" t="str">
        <f>IF(ECF[[#This Row],[Prof. (m)]]&lt;4,"lim.","OK")</f>
        <v>lim.</v>
      </c>
      <c r="BH48" s="4" t="str">
        <f>IF(ECF[[#This Row],[Prof. (m)]]&gt;=8*ECF[[#This Row],[Ø (cm)]]/100,"OK","lim.")</f>
        <v>lim.</v>
      </c>
      <c r="BI48" s="4" t="str">
        <f>IF(AND(SPT!$F$3&lt;&gt;"",ECF[[#This Row],[Prof. (m)]]&gt;=SPT!$F$3-2),"lim.","OK")</f>
        <v>OK</v>
      </c>
      <c r="BJ48" s="4" t="str">
        <f ca="1">IF(ECF[[#This Row],[Verif. Biela]]="OK","OK","lim.")</f>
        <v>OK</v>
      </c>
      <c r="BK48" s="4" t="str">
        <f ca="1">IF(COUNTA(ECF[[#This Row],[Nº Est.]:[Biela comp.]])=COUNTIF(ECF[[#This Row],[Nº Est.]:[Biela comp.]],"OK"),"OK","lim.")</f>
        <v>lim.</v>
      </c>
      <c r="BL48" s="4" t="str">
        <f ca="1">IF(ECF[[#This Row],[Controle]]="OK",ECF[[#This Row],[nE]]&amp;" Ø"&amp;ECF[[#This Row],[Ø (cm)]]&amp;"cm Prof. "&amp;ECF[[#This Row],[Prof. (m)]]&amp;" m","")</f>
        <v/>
      </c>
      <c r="BM48" s="4" t="str">
        <f ca="1">IF(ECF[[#This Row],[idDimensionamento]]="","",ECF[[#This Row],[idPilar]]&amp;ECF[[#This Row],[idDimensionamento]])</f>
        <v/>
      </c>
    </row>
    <row r="49" spans="2:65" x14ac:dyDescent="0.25">
      <c r="B49" s="12">
        <f>ROUNDUP((ROW(ECF[[#This Row],[idDiâmetro]])-ROW(ECF[[#Headers],[idDiâmetro]]))/(COUNT(SPT[Prof. (m)])*COUNT(PILARES[Pilar])),0)</f>
        <v>2</v>
      </c>
      <c r="C49" s="12">
        <f>IF(ECF[[#This Row],[idDiâmetro]]&lt;&gt;B48,1,IF(ECF[[#This Row],[Prof. (m)]]=0,C48+1,C48))</f>
        <v>2</v>
      </c>
      <c r="D49" s="1">
        <f>IFERROR(IF(D48=MAX(SPT[Prof. (m)]),0,D48+1),0)</f>
        <v>2</v>
      </c>
      <c r="E49" s="1">
        <f>INDEX(SPT[],MATCH(ECF[[#This Row],[Prof. (m)]],SPT[Prof. (m)],0),2)</f>
        <v>2</v>
      </c>
      <c r="F49" s="1" t="str">
        <f>INDEX(SPT[],MATCH(ECF[[#This Row],[Prof. (m)]],SPT[Prof. (m)],0),3)</f>
        <v>Areia siltosa</v>
      </c>
      <c r="G49" s="1">
        <f>INDEX(estacas[],ECF[[#This Row],[idDiâmetro]],MATCH($B$2,estacas[#Headers],0))</f>
        <v>70</v>
      </c>
      <c r="H49" s="1">
        <f>INDEX(estacas[],MATCH(ECF[[#This Row],[Ø (cm)]],estacas[Ø ECF (cm)],0),MATCH(ECF[[#Headers],[Pe ECF (kN)]],estacas[#Headers],0))</f>
        <v>1500</v>
      </c>
      <c r="I49" s="4">
        <f>INDEX(K_alpha_C[],MATCH(ECF[[#This Row],[Solo]],K_alpha_C[Solo],0),2)</f>
        <v>0.8</v>
      </c>
      <c r="J49" s="5">
        <f>INDEX(K_alpha_C[],MATCH(ECF[[#This Row],[Solo]],K_alpha_C[Solo],0),3)</f>
        <v>2</v>
      </c>
      <c r="K49" s="4">
        <f>INDEX(F1_F2[],MATCH($D$2,F1_F2[Tipo de estaca],0),2)</f>
        <v>3</v>
      </c>
      <c r="L49" s="4">
        <f>INDEX(F1_F2[],MATCH($D$2,F1_F2[Tipo de estaca],0),3)</f>
        <v>6</v>
      </c>
      <c r="M49" s="4">
        <f>PI()*(ECF[[#This Row],[Ø (cm)]]/100)^2/4</f>
        <v>0.38484510006474959</v>
      </c>
      <c r="N49" s="4">
        <f>PI()*ECF[[#This Row],[Ø (cm)]]/100</f>
        <v>2.1991148575128552</v>
      </c>
      <c r="O49" s="4">
        <f>IF(ECF[[#This Row],[Prof. (m)]]=0,0,ECF[[#This Row],[α (%)]]/100*ECF[[#This Row],[K (MPa)]]*1000*ECF[[#This Row],[NSPT]])</f>
        <v>32</v>
      </c>
      <c r="P49" s="4">
        <f>IF(ECF[[#This Row],[Prof. (m)]]=0,0,(ECF[[#This Row],[K (MPa)]]*1000*ECF[[#This Row],[NSPT]]/ECF[[#This Row],[F1]]*ECF[[#This Row],[Ap (m²)]]+ECF[[#This Row],[U (m)]]/ECF[[#This Row],[F2]]*SUMIFS(ECF[(α∙K∙NL∙ΔL)],ECF[Prof. (m)],"&lt;="&amp;ECF[[#This Row],[Prof. (m)]],ECF[idDiâmetro],ECF[[#This Row],[idDiâmetro]],ECF[idPilar],ECF[[#This Row],[idPilar]]))/'DADOS CAP. CARGA'!$D$2)</f>
        <v>114.35397259066845</v>
      </c>
      <c r="Q49" s="12">
        <f>INDEX(C_alpha_beta[],MATCH(ECF[[#This Row],[Solo]],C_alpha_beta[Solo],0),MATCH(ECF[[#Headers],[C (kPa)]],C_alpha_beta[#Headers],0))</f>
        <v>400</v>
      </c>
      <c r="R49" s="4">
        <f>INDEX(C_alpha_beta[],MATCH(ECF[[#This Row],[Solo]],C_alpha_beta[Solo],0),MATCH(ECF[[#Headers],[α ESF]],C_alpha_beta[#Headers],0))</f>
        <v>0.5</v>
      </c>
      <c r="S49" s="4">
        <f>INDEX(C_alpha_beta[],MATCH(ECF[[#This Row],[Solo]],C_alpha_beta[Solo],0),MATCH(ECF[[#Headers],[β ESF]],C_alpha_beta[#Headers],0))</f>
        <v>0.5</v>
      </c>
      <c r="T49" s="4">
        <f>IF(ECF[[#This Row],[Prof. (m)]]=0,0,10*(ECF[[#This Row],[NSPT]]/3+1))</f>
        <v>16.666666666666664</v>
      </c>
      <c r="U49" s="4">
        <f>(ECF[[#This Row],[α ESF]]*ECF[[#This Row],[C (kPa)]]*ECF[[#This Row],[NSPT]]*ECF[[#This Row],[Ap (m²)]])/'DADOS CAP. CARGA'!$Q$2+(ECF[[#This Row],[β ESF]]*SUMIFS(ECF[10∙(NL/3+1)],ECF[Prof. (m)],"&lt;="&amp;ECF[[#This Row],[Prof. (m)]],ECF[idDiâmetro],ECF[[#This Row],[idDiâmetro]],ECF[idPilar],ECF[[#This Row],[idPilar]])*ECF[[#This Row],[U (m)]])/'DADOS CAP. CARGA'!$S$2</f>
        <v>56.810467152415413</v>
      </c>
      <c r="V49" s="4">
        <f>IF(SPT!$M$5=1,MIN(ECF[[#This Row],[Pe ECF (kN)]],ECF[[#This Row],[R_AV (kN)]]),IF(SPT!$M$5=2,MIN(ECF[[#This Row],[Pe ECF (kN)]],ECF[[#This Row],[R_DC (kN)]]),MIN(ECF[[#This Row],[Pe ECF (kN)]],ECF[[#This Row],[R_AV (kN)]],ECF[[#This Row],[R_DC (kN)]])))</f>
        <v>56.810467152415413</v>
      </c>
      <c r="W49" s="4">
        <f>INDEX(PILARES[],ECF[[#This Row],[idPilar]],MATCH("Carga (kN)",PILARES[#Headers],0))*1.4</f>
        <v>1750</v>
      </c>
      <c r="X49" s="12">
        <f>INDEX(PILARES[],ECF[[#This Row],[idPilar]],MATCH(ECF[[#Headers],[ap (cm)]],PILARES[#Headers],0))</f>
        <v>50</v>
      </c>
      <c r="Y49" s="12">
        <f>INDEX(PILARES[],ECF[[#This Row],[idPilar]],MATCH(ECF[[#Headers],[bp (cm)]],PILARES[#Headers],0))</f>
        <v>40</v>
      </c>
      <c r="Z49" s="4">
        <f>SQRT(ECF[[#This Row],[ap (cm)]]*ECF[[#This Row],[bp (cm)]])</f>
        <v>44.721359549995796</v>
      </c>
      <c r="AA49" s="12">
        <f>ECF[[#This Row],[ap (cm)]]*ECF[[#This Row],[bp (cm)]]</f>
        <v>2000</v>
      </c>
      <c r="AB49" s="12">
        <f ca="1">IF(ECF[[#This Row],[Padm∙ε (kN)]]&gt;=ECF[[#This Row],[Padm (kN)]],ROUNDUP(1.05*ECF[[#This Row],[Nsd (kN)]]/ECF[[#This Row],[Padm (kN)]],0),ROUNDUP(1.05*ECF[[#This Row],[Nsd (kN)]]/ECF[[#This Row],[Padm (kN)]],0)+1)</f>
        <v>33</v>
      </c>
      <c r="AC49" s="4" t="str">
        <f ca="1">IFERROR(IF(ECF[[#This Row],[nE]]=1,ECF[[#This Row],[Padm (kN)]],ECF[[#This Row],[Padm (kN)]]*ECF[[#This Row],[nE]]*INDEX(grupoEstacas[],ECF[[#This Row],[nE]],MATCH("ε",grupoEstacas[#Headers],0))),"N.S.")</f>
        <v>N.S.</v>
      </c>
      <c r="AD49" s="4">
        <f ca="1">1.05*ECF[[#This Row],[Nsd (kN)]]/(ECF[[#This Row],[nE]]*PI()*ECF[[#This Row],[Ø (cm)]]^2/4)*10</f>
        <v>0.14468631190172301</v>
      </c>
      <c r="AE49" s="4">
        <f ca="1">IF(ECF[[#This Row],[σ (MPa)]]&lt;INDEX(tipoEstaca[],MATCH($D$2,tipoEstaca[TIPO DE ESTACA],0),MATCH("σmáx (MPa)",tipoEstaca[#Headers],0)),0.4%*PI()*ECF[[#This Row],[Ø (cm)]]^2/4,"N.S.")</f>
        <v>15.393804002589988</v>
      </c>
      <c r="AF49" s="1">
        <f>INDEX(tipoEstaca[],MATCH($D$2,tipoEstaca[TIPO DE ESTACA],0),MATCH(ECF[[#Headers],[Comprimento (m)]],tipoEstaca[#Headers],0))</f>
        <v>4</v>
      </c>
      <c r="AG49" s="5">
        <f ca="1">ECF[[#This Row],[As,mín (cm²)]]/100^2*ECF[[#This Row],[Comprimento (m)]]*7850</f>
        <v>48.33654456813256</v>
      </c>
      <c r="AH49" s="4">
        <f ca="1">ECF[[#This Row],[nE]]*ECF[[#This Row],[Prof. (m)]]*ECF[[#This Row],[Ap (m²)]]</f>
        <v>25.399776604273473</v>
      </c>
      <c r="AI49" s="1">
        <f ca="1">IF(ECF[[#This Row],[nE]]=1,0,MAX(3*ECF[[#This Row],[Ø (cm)]],60))</f>
        <v>210</v>
      </c>
      <c r="AJ49" s="1">
        <f ca="1">IF(ECF[[#This Row],[nE]]=1,ECF[[#This Row],[Ø (cm)]]+2*10,MAX(1.5*ECF[[#This Row],[Ø (cm)]],ECF[[#This Row],[Ø (cm)]]+15))</f>
        <v>105</v>
      </c>
      <c r="AK49" s="1" t="str">
        <f ca="1">alturaUtil(ECF[[#This Row],[nE]],ECF[[#This Row],[Ø (cm)]],ECF[[#This Row],[e (cm)]],ECF[[#This Row],[ap,eq (cm)]])</f>
        <v>N.S.</v>
      </c>
      <c r="AL49" s="1" t="str">
        <f ca="1">IFERROR(ECF[[#This Row],[d (cm)]]+arredondarParaCimaMultiplo5cm(MAX(5,SQRT(PI())/2*ECF[[#This Row],[Ø (cm)]]/5)),"N.S.")</f>
        <v>N.S.</v>
      </c>
      <c r="AM49" s="5" t="str">
        <f ca="1">alpha(ECF[[#This Row],[nE]],ECF[[#This Row],[d (cm)]],ECF[[#This Row],[e (cm)]],ECF[[#This Row],[ap,eq (cm)]])</f>
        <v>N.S.</v>
      </c>
      <c r="AN49" s="35" t="str">
        <f ca="1">IFERROR(ECF[[#This Row],[Nsd (kN)]]/(ECF[[#This Row],[Ap (cm²)]]*SIN(ECF[[#This Row],[α]])^2),"N.S.")</f>
        <v>N.S.</v>
      </c>
      <c r="AO49" s="35" t="str">
        <f ca="1">IFERROR(ECF[[#This Row],[Nsd (kN)]]/(ECF[[#This Row],[nE]]*PI()*ECF[[#This Row],[Ø (cm)]]^2/4*SIN(ECF[[#This Row],[α]])^2),"N.S.")</f>
        <v>N.S.</v>
      </c>
      <c r="AP49" s="4" t="str">
        <f ca="1">IFERROR(INDEX(grupoEstacas[],ECF[[#This Row],[nE]],MATCH("coef. Blévot",grupoEstacas[#Headers],0)),"N.S.")</f>
        <v>N.S.</v>
      </c>
      <c r="AQ49" s="35" t="str">
        <f ca="1">IFERROR(ECF[[#This Row],[coef. Blévot]]*0.9*INDEX(tipoEstaca[],MATCH($D$2,tipoEstaca[TIPO DE ESTACA],0),MATCH("fcd (kN/cm²)",tipoEstaca[#Headers],0)),"N.S.")</f>
        <v>N.S.</v>
      </c>
      <c r="AR49" s="1" t="str">
        <f ca="1">IF(AND(ECF[[#This Row],[cd,b,pil (kN/cm²)]]&lt;=ECF[[#This Row],[cd,b,lim (kN/cm²)]],ECF[[#This Row],[cd,b,est (kN/cm²)]]&lt;=ECF[[#This Row],[cd,b,lim (kN/cm²)]]),"OK","ERRO")</f>
        <v>OK</v>
      </c>
      <c r="AS49" s="4" t="str">
        <f ca="1">As_lado(ECF[[#This Row],[nE]],ECF[[#This Row],[Nsd (kN)]],ECF[[#This Row],[d (cm)]],ECF[[#This Row],[e (cm)]],ECF[[#This Row],[ap,eq (cm)]])</f>
        <v>N.S.</v>
      </c>
      <c r="AT49" s="4" t="str">
        <f ca="1">IF(ECF[[#This Row],[nE]]=1,ECF[[#This Row],[As,lado (cm²)]],IF(ECF[[#This Row],[nE]]=2,0.075*2*ECF[a (cm)],"N.A."))</f>
        <v>N.A.</v>
      </c>
      <c r="AU49" s="4" t="str">
        <f ca="1">IFERROR(IF(ECF[[#This Row],[nE]]=1,"N.A.",0.2*ECF[[#This Row],[As,lado (cm²)]]),"N.S.")</f>
        <v>N.S.</v>
      </c>
      <c r="AV49" s="4" t="str">
        <f ca="1">As_malha(ECF[[#This Row],[nE]],ECF[[#This Row],[As,lado (cm²)]],ECF[[#This Row],[Nsd (kN)]])</f>
        <v>N.S.</v>
      </c>
      <c r="AW49" s="4" t="str">
        <f ca="1">As_susp_tot(ECF[[#This Row],[nE]],ECF[[#This Row],[Nsd (kN)]])</f>
        <v>N.S.</v>
      </c>
      <c r="AX49" s="4" t="str">
        <f ca="1">Asp_face(ECF[[#This Row],[nE]],ECF[[#This Row],[As,lado (cm²)]])</f>
        <v>N.S.</v>
      </c>
      <c r="AY49" s="5" t="str">
        <f ca="1">acoBloco(ECF[[#This Row],[nE]],ECF[[#This Row],[e (cm)]],ECF[[#This Row],[a (cm)]],ECF[[#This Row],[h (cm)]],ECF[[#This Row],[As,lado (cm²)]],ECF[[#This Row],[Asp e Asw (cm²/m)]],ECF[[#This Row],[As,sup (cm²)]],ECF[[#This Row],[As,malha (cm²)]],ECF[[#This Row],[As,susp,tot (cm²)]],ECF[[#This Row],[Asp,face (cm²)]])</f>
        <v>N.S.</v>
      </c>
      <c r="AZ49" s="4" t="str">
        <f ca="1">concretoBloco(ECF[[#This Row],[nE]],ECF[[#This Row],[e (cm)]],ECF[[#This Row],[a (cm)]],ECF[[#This Row],[h (cm)]])</f>
        <v>N.S.</v>
      </c>
      <c r="BA49" s="5">
        <f ca="1">SUM(ECF[[#This Row],[Aço Est (kg)]],ECF[[#This Row],[Aço Bloco (kg)]])</f>
        <v>48.33654456813256</v>
      </c>
      <c r="BB49" s="4">
        <f>INDEX(composicoes[],MATCH(95580,composicoes[CÓDIGO],0),MATCH("CUSTO TOTAL",composicoes[#Headers],0))</f>
        <v>10.46</v>
      </c>
      <c r="BC49" s="4">
        <f ca="1">SUM(ECF[[#This Row],[Conc Est (m³)]],ECF[[#This Row],[Conc Bloco (m³)]])</f>
        <v>25.399776604273473</v>
      </c>
      <c r="BD49" s="4">
        <f>INDEX(composicoes[],MATCH(94966,composicoes[CÓDIGO],0),MATCH("CUSTO TOTAL",composicoes[#Headers],0))</f>
        <v>439.52</v>
      </c>
      <c r="BE49" s="38">
        <f ca="1">ECF[[#This Row],[Aço (kg)]]*ECF[[#This Row],[Aço (R$/kg)]]+ECF[[#This Row],[Conc (m³)]]*ECF[[#This Row],[Conc (R$/m³)]]</f>
        <v>11669.310069292942</v>
      </c>
      <c r="BF49" s="4" t="str">
        <f ca="1">IF(COUNTIF(ECF[#This Row],"N.S.")&gt;0,"lim.","OK")</f>
        <v>lim.</v>
      </c>
      <c r="BG49" s="4" t="str">
        <f>IF(ECF[[#This Row],[Prof. (m)]]&lt;4,"lim.","OK")</f>
        <v>lim.</v>
      </c>
      <c r="BH49" s="4" t="str">
        <f>IF(ECF[[#This Row],[Prof. (m)]]&gt;=8*ECF[[#This Row],[Ø (cm)]]/100,"OK","lim.")</f>
        <v>lim.</v>
      </c>
      <c r="BI49" s="4" t="str">
        <f>IF(AND(SPT!$F$3&lt;&gt;"",ECF[[#This Row],[Prof. (m)]]&gt;=SPT!$F$3-2),"lim.","OK")</f>
        <v>OK</v>
      </c>
      <c r="BJ49" s="4" t="str">
        <f ca="1">IF(ECF[[#This Row],[Verif. Biela]]="OK","OK","lim.")</f>
        <v>OK</v>
      </c>
      <c r="BK49" s="4" t="str">
        <f ca="1">IF(COUNTA(ECF[[#This Row],[Nº Est.]:[Biela comp.]])=COUNTIF(ECF[[#This Row],[Nº Est.]:[Biela comp.]],"OK"),"OK","lim.")</f>
        <v>lim.</v>
      </c>
      <c r="BL49" s="4" t="str">
        <f ca="1">IF(ECF[[#This Row],[Controle]]="OK",ECF[[#This Row],[nE]]&amp;" Ø"&amp;ECF[[#This Row],[Ø (cm)]]&amp;"cm Prof. "&amp;ECF[[#This Row],[Prof. (m)]]&amp;" m","")</f>
        <v/>
      </c>
      <c r="BM49" s="4" t="str">
        <f ca="1">IF(ECF[[#This Row],[idDimensionamento]]="","",ECF[[#This Row],[idPilar]]&amp;ECF[[#This Row],[idDimensionamento]])</f>
        <v/>
      </c>
    </row>
    <row r="50" spans="2:65" x14ac:dyDescent="0.25">
      <c r="B50" s="12">
        <f>ROUNDUP((ROW(ECF[[#This Row],[idDiâmetro]])-ROW(ECF[[#Headers],[idDiâmetro]]))/(COUNT(SPT[Prof. (m)])*COUNT(PILARES[Pilar])),0)</f>
        <v>2</v>
      </c>
      <c r="C50" s="12">
        <f>IF(ECF[[#This Row],[idDiâmetro]]&lt;&gt;B49,1,IF(ECF[[#This Row],[Prof. (m)]]=0,C49+1,C49))</f>
        <v>2</v>
      </c>
      <c r="D50" s="1">
        <f>IFERROR(IF(D49=MAX(SPT[Prof. (m)]),0,D49+1),0)</f>
        <v>3</v>
      </c>
      <c r="E50" s="1">
        <f>INDEX(SPT[],MATCH(ECF[[#This Row],[Prof. (m)]],SPT[Prof. (m)],0),2)</f>
        <v>4</v>
      </c>
      <c r="F50" s="1" t="str">
        <f>INDEX(SPT[],MATCH(ECF[[#This Row],[Prof. (m)]],SPT[Prof. (m)],0),3)</f>
        <v>Areia siltosa</v>
      </c>
      <c r="G50" s="1">
        <f>INDEX(estacas[],ECF[[#This Row],[idDiâmetro]],MATCH($B$2,estacas[#Headers],0))</f>
        <v>70</v>
      </c>
      <c r="H50" s="1">
        <f>INDEX(estacas[],MATCH(ECF[[#This Row],[Ø (cm)]],estacas[Ø ECF (cm)],0),MATCH(ECF[[#Headers],[Pe ECF (kN)]],estacas[#Headers],0))</f>
        <v>1500</v>
      </c>
      <c r="I50" s="4">
        <f>INDEX(K_alpha_C[],MATCH(ECF[[#This Row],[Solo]],K_alpha_C[Solo],0),2)</f>
        <v>0.8</v>
      </c>
      <c r="J50" s="5">
        <f>INDEX(K_alpha_C[],MATCH(ECF[[#This Row],[Solo]],K_alpha_C[Solo],0),3)</f>
        <v>2</v>
      </c>
      <c r="K50" s="4">
        <f>INDEX(F1_F2[],MATCH($D$2,F1_F2[Tipo de estaca],0),2)</f>
        <v>3</v>
      </c>
      <c r="L50" s="4">
        <f>INDEX(F1_F2[],MATCH($D$2,F1_F2[Tipo de estaca],0),3)</f>
        <v>6</v>
      </c>
      <c r="M50" s="4">
        <f>PI()*(ECF[[#This Row],[Ø (cm)]]/100)^2/4</f>
        <v>0.38484510006474959</v>
      </c>
      <c r="N50" s="4">
        <f>PI()*ECF[[#This Row],[Ø (cm)]]/100</f>
        <v>2.1991148575128552</v>
      </c>
      <c r="O50" s="4">
        <f>IF(ECF[[#This Row],[Prof. (m)]]=0,0,ECF[[#This Row],[α (%)]]/100*ECF[[#This Row],[K (MPa)]]*1000*ECF[[#This Row],[NSPT]])</f>
        <v>64</v>
      </c>
      <c r="P50" s="4">
        <f>IF(ECF[[#This Row],[Prof. (m)]]=0,0,(ECF[[#This Row],[K (MPa)]]*1000*ECF[[#This Row],[NSPT]]/ECF[[#This Row],[F1]]*ECF[[#This Row],[Ap (m²)]]+ECF[[#This Row],[U (m)]]/ECF[[#This Row],[F2]]*SUMIFS(ECF[(α∙K∙NL∙ΔL)],ECF[Prof. (m)],"&lt;="&amp;ECF[[#This Row],[Prof. (m)]],ECF[idDiâmetro],ECF[[#This Row],[idDiâmetro]],ECF[idPilar],ECF[[#This Row],[idPilar]]))/'DADOS CAP. CARGA'!$D$2)</f>
        <v>228.7079451813369</v>
      </c>
      <c r="Q50" s="12">
        <f>INDEX(C_alpha_beta[],MATCH(ECF[[#This Row],[Solo]],C_alpha_beta[Solo],0),MATCH(ECF[[#Headers],[C (kPa)]],C_alpha_beta[#Headers],0))</f>
        <v>400</v>
      </c>
      <c r="R50" s="4">
        <f>INDEX(C_alpha_beta[],MATCH(ECF[[#This Row],[Solo]],C_alpha_beta[Solo],0),MATCH(ECF[[#Headers],[α ESF]],C_alpha_beta[#Headers],0))</f>
        <v>0.5</v>
      </c>
      <c r="S50" s="4">
        <f>INDEX(C_alpha_beta[],MATCH(ECF[[#This Row],[Solo]],C_alpha_beta[Solo],0),MATCH(ECF[[#Headers],[β ESF]],C_alpha_beta[#Headers],0))</f>
        <v>0.5</v>
      </c>
      <c r="T50" s="4">
        <f>IF(ECF[[#This Row],[Prof. (m)]]=0,0,10*(ECF[[#This Row],[NSPT]]/3+1))</f>
        <v>23.333333333333329</v>
      </c>
      <c r="U50" s="4">
        <f>(ECF[[#This Row],[α ESF]]*ECF[[#This Row],[C (kPa)]]*ECF[[#This Row],[NSPT]]*ECF[[#This Row],[Ap (m²)]])/'DADOS CAP. CARGA'!$Q$2+(ECF[[#This Row],[β ESF]]*SUMIFS(ECF[10∙(NL/3+1)],ECF[Prof. (m)],"&lt;="&amp;ECF[[#This Row],[Prof. (m)]],ECF[idDiâmetro],ECF[[#This Row],[idDiâmetro]],ECF[idPilar],ECF[[#This Row],[idPilar]])*ECF[[#This Row],[U (m)]])/'DADOS CAP. CARGA'!$S$2</f>
        <v>108.12314716104869</v>
      </c>
      <c r="V50" s="4">
        <f>IF(SPT!$M$5=1,MIN(ECF[[#This Row],[Pe ECF (kN)]],ECF[[#This Row],[R_AV (kN)]]),IF(SPT!$M$5=2,MIN(ECF[[#This Row],[Pe ECF (kN)]],ECF[[#This Row],[R_DC (kN)]]),MIN(ECF[[#This Row],[Pe ECF (kN)]],ECF[[#This Row],[R_AV (kN)]],ECF[[#This Row],[R_DC (kN)]])))</f>
        <v>108.12314716104869</v>
      </c>
      <c r="W50" s="4">
        <f>INDEX(PILARES[],ECF[[#This Row],[idPilar]],MATCH("Carga (kN)",PILARES[#Headers],0))*1.4</f>
        <v>1750</v>
      </c>
      <c r="X50" s="12">
        <f>INDEX(PILARES[],ECF[[#This Row],[idPilar]],MATCH(ECF[[#Headers],[ap (cm)]],PILARES[#Headers],0))</f>
        <v>50</v>
      </c>
      <c r="Y50" s="12">
        <f>INDEX(PILARES[],ECF[[#This Row],[idPilar]],MATCH(ECF[[#Headers],[bp (cm)]],PILARES[#Headers],0))</f>
        <v>40</v>
      </c>
      <c r="Z50" s="4">
        <f>SQRT(ECF[[#This Row],[ap (cm)]]*ECF[[#This Row],[bp (cm)]])</f>
        <v>44.721359549995796</v>
      </c>
      <c r="AA50" s="12">
        <f>ECF[[#This Row],[ap (cm)]]*ECF[[#This Row],[bp (cm)]]</f>
        <v>2000</v>
      </c>
      <c r="AB50" s="12">
        <f ca="1">IF(ECF[[#This Row],[Padm∙ε (kN)]]&gt;=ECF[[#This Row],[Padm (kN)]],ROUNDUP(1.05*ECF[[#This Row],[Nsd (kN)]]/ECF[[#This Row],[Padm (kN)]],0),ROUNDUP(1.05*ECF[[#This Row],[Nsd (kN)]]/ECF[[#This Row],[Padm (kN)]],0)+1)</f>
        <v>17</v>
      </c>
      <c r="AC50" s="4" t="str">
        <f ca="1">IFERROR(IF(ECF[[#This Row],[nE]]=1,ECF[[#This Row],[Padm (kN)]],ECF[[#This Row],[Padm (kN)]]*ECF[[#This Row],[nE]]*INDEX(grupoEstacas[],ECF[[#This Row],[nE]],MATCH("ε",grupoEstacas[#Headers],0))),"N.S.")</f>
        <v>N.S.</v>
      </c>
      <c r="AD50" s="4">
        <f ca="1">1.05*ECF[[#This Row],[Nsd (kN)]]/(ECF[[#This Row],[nE]]*PI()*ECF[[#This Row],[Ø (cm)]]^2/4)*10</f>
        <v>0.28086166427981529</v>
      </c>
      <c r="AE50" s="4">
        <f ca="1">IF(ECF[[#This Row],[σ (MPa)]]&lt;INDEX(tipoEstaca[],MATCH($D$2,tipoEstaca[TIPO DE ESTACA],0),MATCH("σmáx (MPa)",tipoEstaca[#Headers],0)),0.4%*PI()*ECF[[#This Row],[Ø (cm)]]^2/4,"N.S.")</f>
        <v>15.393804002589988</v>
      </c>
      <c r="AF50" s="1">
        <f>INDEX(tipoEstaca[],MATCH($D$2,tipoEstaca[TIPO DE ESTACA],0),MATCH(ECF[[#Headers],[Comprimento (m)]],tipoEstaca[#Headers],0))</f>
        <v>4</v>
      </c>
      <c r="AG50" s="5">
        <f ca="1">ECF[[#This Row],[As,mín (cm²)]]/100^2*ECF[[#This Row],[Comprimento (m)]]*7850</f>
        <v>48.33654456813256</v>
      </c>
      <c r="AH50" s="4">
        <f ca="1">ECF[[#This Row],[nE]]*ECF[[#This Row],[Prof. (m)]]*ECF[[#This Row],[Ap (m²)]]</f>
        <v>19.627100103302229</v>
      </c>
      <c r="AI50" s="1">
        <f ca="1">IF(ECF[[#This Row],[nE]]=1,0,MAX(3*ECF[[#This Row],[Ø (cm)]],60))</f>
        <v>210</v>
      </c>
      <c r="AJ50" s="1">
        <f ca="1">IF(ECF[[#This Row],[nE]]=1,ECF[[#This Row],[Ø (cm)]]+2*10,MAX(1.5*ECF[[#This Row],[Ø (cm)]],ECF[[#This Row],[Ø (cm)]]+15))</f>
        <v>105</v>
      </c>
      <c r="AK50" s="1" t="str">
        <f ca="1">alturaUtil(ECF[[#This Row],[nE]],ECF[[#This Row],[Ø (cm)]],ECF[[#This Row],[e (cm)]],ECF[[#This Row],[ap,eq (cm)]])</f>
        <v>N.S.</v>
      </c>
      <c r="AL50" s="1" t="str">
        <f ca="1">IFERROR(ECF[[#This Row],[d (cm)]]+arredondarParaCimaMultiplo5cm(MAX(5,SQRT(PI())/2*ECF[[#This Row],[Ø (cm)]]/5)),"N.S.")</f>
        <v>N.S.</v>
      </c>
      <c r="AM50" s="5" t="str">
        <f ca="1">alpha(ECF[[#This Row],[nE]],ECF[[#This Row],[d (cm)]],ECF[[#This Row],[e (cm)]],ECF[[#This Row],[ap,eq (cm)]])</f>
        <v>N.S.</v>
      </c>
      <c r="AN50" s="35" t="str">
        <f ca="1">IFERROR(ECF[[#This Row],[Nsd (kN)]]/(ECF[[#This Row],[Ap (cm²)]]*SIN(ECF[[#This Row],[α]])^2),"N.S.")</f>
        <v>N.S.</v>
      </c>
      <c r="AO50" s="35" t="str">
        <f ca="1">IFERROR(ECF[[#This Row],[Nsd (kN)]]/(ECF[[#This Row],[nE]]*PI()*ECF[[#This Row],[Ø (cm)]]^2/4*SIN(ECF[[#This Row],[α]])^2),"N.S.")</f>
        <v>N.S.</v>
      </c>
      <c r="AP50" s="4" t="str">
        <f ca="1">IFERROR(INDEX(grupoEstacas[],ECF[[#This Row],[nE]],MATCH("coef. Blévot",grupoEstacas[#Headers],0)),"N.S.")</f>
        <v>N.S.</v>
      </c>
      <c r="AQ50" s="35" t="str">
        <f ca="1">IFERROR(ECF[[#This Row],[coef. Blévot]]*0.9*INDEX(tipoEstaca[],MATCH($D$2,tipoEstaca[TIPO DE ESTACA],0),MATCH("fcd (kN/cm²)",tipoEstaca[#Headers],0)),"N.S.")</f>
        <v>N.S.</v>
      </c>
      <c r="AR50" s="1" t="str">
        <f ca="1">IF(AND(ECF[[#This Row],[cd,b,pil (kN/cm²)]]&lt;=ECF[[#This Row],[cd,b,lim (kN/cm²)]],ECF[[#This Row],[cd,b,est (kN/cm²)]]&lt;=ECF[[#This Row],[cd,b,lim (kN/cm²)]]),"OK","ERRO")</f>
        <v>OK</v>
      </c>
      <c r="AS50" s="4" t="str">
        <f ca="1">As_lado(ECF[[#This Row],[nE]],ECF[[#This Row],[Nsd (kN)]],ECF[[#This Row],[d (cm)]],ECF[[#This Row],[e (cm)]],ECF[[#This Row],[ap,eq (cm)]])</f>
        <v>N.S.</v>
      </c>
      <c r="AT50" s="4" t="str">
        <f ca="1">IF(ECF[[#This Row],[nE]]=1,ECF[[#This Row],[As,lado (cm²)]],IF(ECF[[#This Row],[nE]]=2,0.075*2*ECF[a (cm)],"N.A."))</f>
        <v>N.A.</v>
      </c>
      <c r="AU50" s="4" t="str">
        <f ca="1">IFERROR(IF(ECF[[#This Row],[nE]]=1,"N.A.",0.2*ECF[[#This Row],[As,lado (cm²)]]),"N.S.")</f>
        <v>N.S.</v>
      </c>
      <c r="AV50" s="4" t="str">
        <f ca="1">As_malha(ECF[[#This Row],[nE]],ECF[[#This Row],[As,lado (cm²)]],ECF[[#This Row],[Nsd (kN)]])</f>
        <v>N.S.</v>
      </c>
      <c r="AW50" s="4" t="str">
        <f ca="1">As_susp_tot(ECF[[#This Row],[nE]],ECF[[#This Row],[Nsd (kN)]])</f>
        <v>N.S.</v>
      </c>
      <c r="AX50" s="4" t="str">
        <f ca="1">Asp_face(ECF[[#This Row],[nE]],ECF[[#This Row],[As,lado (cm²)]])</f>
        <v>N.S.</v>
      </c>
      <c r="AY50" s="5" t="str">
        <f ca="1">acoBloco(ECF[[#This Row],[nE]],ECF[[#This Row],[e (cm)]],ECF[[#This Row],[a (cm)]],ECF[[#This Row],[h (cm)]],ECF[[#This Row],[As,lado (cm²)]],ECF[[#This Row],[Asp e Asw (cm²/m)]],ECF[[#This Row],[As,sup (cm²)]],ECF[[#This Row],[As,malha (cm²)]],ECF[[#This Row],[As,susp,tot (cm²)]],ECF[[#This Row],[Asp,face (cm²)]])</f>
        <v>N.S.</v>
      </c>
      <c r="AZ50" s="4" t="str">
        <f ca="1">concretoBloco(ECF[[#This Row],[nE]],ECF[[#This Row],[e (cm)]],ECF[[#This Row],[a (cm)]],ECF[[#This Row],[h (cm)]])</f>
        <v>N.S.</v>
      </c>
      <c r="BA50" s="5">
        <f ca="1">SUM(ECF[[#This Row],[Aço Est (kg)]],ECF[[#This Row],[Aço Bloco (kg)]])</f>
        <v>48.33654456813256</v>
      </c>
      <c r="BB50" s="4">
        <f>INDEX(composicoes[],MATCH(95580,composicoes[CÓDIGO],0),MATCH("CUSTO TOTAL",composicoes[#Headers],0))</f>
        <v>10.46</v>
      </c>
      <c r="BC50" s="4">
        <f ca="1">SUM(ECF[[#This Row],[Conc Est (m³)]],ECF[[#This Row],[Conc Bloco (m³)]])</f>
        <v>19.627100103302229</v>
      </c>
      <c r="BD50" s="4">
        <f>INDEX(composicoes[],MATCH(94966,composicoes[CÓDIGO],0),MATCH("CUSTO TOTAL",composicoes[#Headers],0))</f>
        <v>439.52</v>
      </c>
      <c r="BE50" s="38">
        <f ca="1">ECF[[#This Row],[Aço (kg)]]*ECF[[#This Row],[Aço (R$/kg)]]+ECF[[#This Row],[Conc (m³)]]*ECF[[#This Row],[Conc (R$/m³)]]</f>
        <v>9132.1032935860621</v>
      </c>
      <c r="BF50" s="4" t="str">
        <f ca="1">IF(COUNTIF(ECF[#This Row],"N.S.")&gt;0,"lim.","OK")</f>
        <v>lim.</v>
      </c>
      <c r="BG50" s="4" t="str">
        <f>IF(ECF[[#This Row],[Prof. (m)]]&lt;4,"lim.","OK")</f>
        <v>lim.</v>
      </c>
      <c r="BH50" s="4" t="str">
        <f>IF(ECF[[#This Row],[Prof. (m)]]&gt;=8*ECF[[#This Row],[Ø (cm)]]/100,"OK","lim.")</f>
        <v>lim.</v>
      </c>
      <c r="BI50" s="4" t="str">
        <f>IF(AND(SPT!$F$3&lt;&gt;"",ECF[[#This Row],[Prof. (m)]]&gt;=SPT!$F$3-2),"lim.","OK")</f>
        <v>OK</v>
      </c>
      <c r="BJ50" s="4" t="str">
        <f ca="1">IF(ECF[[#This Row],[Verif. Biela]]="OK","OK","lim.")</f>
        <v>OK</v>
      </c>
      <c r="BK50" s="4" t="str">
        <f ca="1">IF(COUNTA(ECF[[#This Row],[Nº Est.]:[Biela comp.]])=COUNTIF(ECF[[#This Row],[Nº Est.]:[Biela comp.]],"OK"),"OK","lim.")</f>
        <v>lim.</v>
      </c>
      <c r="BL50" s="4" t="str">
        <f ca="1">IF(ECF[[#This Row],[Controle]]="OK",ECF[[#This Row],[nE]]&amp;" Ø"&amp;ECF[[#This Row],[Ø (cm)]]&amp;"cm Prof. "&amp;ECF[[#This Row],[Prof. (m)]]&amp;" m","")</f>
        <v/>
      </c>
      <c r="BM50" s="4" t="str">
        <f ca="1">IF(ECF[[#This Row],[idDimensionamento]]="","",ECF[[#This Row],[idPilar]]&amp;ECF[[#This Row],[idDimensionamento]])</f>
        <v/>
      </c>
    </row>
    <row r="51" spans="2:65" x14ac:dyDescent="0.25">
      <c r="B51" s="12">
        <f>ROUNDUP((ROW(ECF[[#This Row],[idDiâmetro]])-ROW(ECF[[#Headers],[idDiâmetro]]))/(COUNT(SPT[Prof. (m)])*COUNT(PILARES[Pilar])),0)</f>
        <v>2</v>
      </c>
      <c r="C51" s="12">
        <f>IF(ECF[[#This Row],[idDiâmetro]]&lt;&gt;B50,1,IF(ECF[[#This Row],[Prof. (m)]]=0,C50+1,C50))</f>
        <v>2</v>
      </c>
      <c r="D51" s="1">
        <f>IFERROR(IF(D50=MAX(SPT[Prof. (m)]),0,D50+1),0)</f>
        <v>4</v>
      </c>
      <c r="E51" s="1">
        <f>INDEX(SPT[],MATCH(ECF[[#This Row],[Prof. (m)]],SPT[Prof. (m)],0),2)</f>
        <v>8</v>
      </c>
      <c r="F51" s="1" t="str">
        <f>INDEX(SPT[],MATCH(ECF[[#This Row],[Prof. (m)]],SPT[Prof. (m)],0),3)</f>
        <v>Areia siltosa</v>
      </c>
      <c r="G51" s="1">
        <f>INDEX(estacas[],ECF[[#This Row],[idDiâmetro]],MATCH($B$2,estacas[#Headers],0))</f>
        <v>70</v>
      </c>
      <c r="H51" s="1">
        <f>INDEX(estacas[],MATCH(ECF[[#This Row],[Ø (cm)]],estacas[Ø ECF (cm)],0),MATCH(ECF[[#Headers],[Pe ECF (kN)]],estacas[#Headers],0))</f>
        <v>1500</v>
      </c>
      <c r="I51" s="4">
        <f>INDEX(K_alpha_C[],MATCH(ECF[[#This Row],[Solo]],K_alpha_C[Solo],0),2)</f>
        <v>0.8</v>
      </c>
      <c r="J51" s="5">
        <f>INDEX(K_alpha_C[],MATCH(ECF[[#This Row],[Solo]],K_alpha_C[Solo],0),3)</f>
        <v>2</v>
      </c>
      <c r="K51" s="4">
        <f>INDEX(F1_F2[],MATCH($D$2,F1_F2[Tipo de estaca],0),2)</f>
        <v>3</v>
      </c>
      <c r="L51" s="4">
        <f>INDEX(F1_F2[],MATCH($D$2,F1_F2[Tipo de estaca],0),3)</f>
        <v>6</v>
      </c>
      <c r="M51" s="4">
        <f>PI()*(ECF[[#This Row],[Ø (cm)]]/100)^2/4</f>
        <v>0.38484510006474959</v>
      </c>
      <c r="N51" s="4">
        <f>PI()*ECF[[#This Row],[Ø (cm)]]/100</f>
        <v>2.1991148575128552</v>
      </c>
      <c r="O51" s="4">
        <f>IF(ECF[[#This Row],[Prof. (m)]]=0,0,ECF[[#This Row],[α (%)]]/100*ECF[[#This Row],[K (MPa)]]*1000*ECF[[#This Row],[NSPT]])</f>
        <v>128</v>
      </c>
      <c r="P51" s="4">
        <f>IF(ECF[[#This Row],[Prof. (m)]]=0,0,(ECF[[#This Row],[K (MPa)]]*1000*ECF[[#This Row],[NSPT]]/ECF[[#This Row],[F1]]*ECF[[#This Row],[Ap (m²)]]+ECF[[#This Row],[U (m)]]/ECF[[#This Row],[F2]]*SUMIFS(ECF[(α∙K∙NL∙ΔL)],ECF[Prof. (m)],"&lt;="&amp;ECF[[#This Row],[Prof. (m)]],ECF[idDiâmetro],ECF[[#This Row],[idDiâmetro]],ECF[idPilar],ECF[[#This Row],[idPilar]]))/'DADOS CAP. CARGA'!$D$2)</f>
        <v>457.41589036267379</v>
      </c>
      <c r="Q51" s="12">
        <f>INDEX(C_alpha_beta[],MATCH(ECF[[#This Row],[Solo]],C_alpha_beta[Solo],0),MATCH(ECF[[#Headers],[C (kPa)]],C_alpha_beta[#Headers],0))</f>
        <v>400</v>
      </c>
      <c r="R51" s="4">
        <f>INDEX(C_alpha_beta[],MATCH(ECF[[#This Row],[Solo]],C_alpha_beta[Solo],0),MATCH(ECF[[#Headers],[α ESF]],C_alpha_beta[#Headers],0))</f>
        <v>0.5</v>
      </c>
      <c r="S51" s="4">
        <f>INDEX(C_alpha_beta[],MATCH(ECF[[#This Row],[Solo]],C_alpha_beta[Solo],0),MATCH(ECF[[#Headers],[β ESF]],C_alpha_beta[#Headers],0))</f>
        <v>0.5</v>
      </c>
      <c r="T51" s="4">
        <f>IF(ECF[[#This Row],[Prof. (m)]]=0,0,10*(ECF[[#This Row],[NSPT]]/3+1))</f>
        <v>36.666666666666664</v>
      </c>
      <c r="U51" s="4">
        <f>(ECF[[#This Row],[α ESF]]*ECF[[#This Row],[C (kPa)]]*ECF[[#This Row],[NSPT]]*ECF[[#This Row],[Ap (m²)]])/'DADOS CAP. CARGA'!$Q$2+(ECF[[#This Row],[β ESF]]*SUMIFS(ECF[10∙(NL/3+1)],ECF[Prof. (m)],"&lt;="&amp;ECF[[#This Row],[Prof. (m)]],ECF[idDiâmetro],ECF[[#This Row],[idDiâmetro]],ECF[idPilar],ECF[[#This Row],[idPilar]])*ECF[[#This Row],[U (m)]])/'DADOS CAP. CARGA'!$S$2</f>
        <v>205.25072003453312</v>
      </c>
      <c r="V51" s="4">
        <f>IF(SPT!$M$5=1,MIN(ECF[[#This Row],[Pe ECF (kN)]],ECF[[#This Row],[R_AV (kN)]]),IF(SPT!$M$5=2,MIN(ECF[[#This Row],[Pe ECF (kN)]],ECF[[#This Row],[R_DC (kN)]]),MIN(ECF[[#This Row],[Pe ECF (kN)]],ECF[[#This Row],[R_AV (kN)]],ECF[[#This Row],[R_DC (kN)]])))</f>
        <v>205.25072003453312</v>
      </c>
      <c r="W51" s="4">
        <f>INDEX(PILARES[],ECF[[#This Row],[idPilar]],MATCH("Carga (kN)",PILARES[#Headers],0))*1.4</f>
        <v>1750</v>
      </c>
      <c r="X51" s="12">
        <f>INDEX(PILARES[],ECF[[#This Row],[idPilar]],MATCH(ECF[[#Headers],[ap (cm)]],PILARES[#Headers],0))</f>
        <v>50</v>
      </c>
      <c r="Y51" s="12">
        <f>INDEX(PILARES[],ECF[[#This Row],[idPilar]],MATCH(ECF[[#Headers],[bp (cm)]],PILARES[#Headers],0))</f>
        <v>40</v>
      </c>
      <c r="Z51" s="4">
        <f>SQRT(ECF[[#This Row],[ap (cm)]]*ECF[[#This Row],[bp (cm)]])</f>
        <v>44.721359549995796</v>
      </c>
      <c r="AA51" s="12">
        <f>ECF[[#This Row],[ap (cm)]]*ECF[[#This Row],[bp (cm)]]</f>
        <v>2000</v>
      </c>
      <c r="AB51" s="12">
        <f ca="1">IF(ECF[[#This Row],[Padm∙ε (kN)]]&gt;=ECF[[#This Row],[Padm (kN)]],ROUNDUP(1.05*ECF[[#This Row],[Nsd (kN)]]/ECF[[#This Row],[Padm (kN)]],0),ROUNDUP(1.05*ECF[[#This Row],[Nsd (kN)]]/ECF[[#This Row],[Padm (kN)]],0)+1)</f>
        <v>9</v>
      </c>
      <c r="AC51" s="4" t="str">
        <f ca="1">IFERROR(IF(ECF[[#This Row],[nE]]=1,ECF[[#This Row],[Padm (kN)]],ECF[[#This Row],[Padm (kN)]]*ECF[[#This Row],[nE]]*INDEX(grupoEstacas[],ECF[[#This Row],[nE]],MATCH("ε",grupoEstacas[#Headers],0))),"N.S.")</f>
        <v>N.S.</v>
      </c>
      <c r="AD51" s="4">
        <f ca="1">1.05*ECF[[#This Row],[Nsd (kN)]]/(ECF[[#This Row],[nE]]*PI()*ECF[[#This Row],[Ø (cm)]]^2/4)*10</f>
        <v>0.53051647697298443</v>
      </c>
      <c r="AE51" s="4">
        <f ca="1">IF(ECF[[#This Row],[σ (MPa)]]&lt;INDEX(tipoEstaca[],MATCH($D$2,tipoEstaca[TIPO DE ESTACA],0),MATCH("σmáx (MPa)",tipoEstaca[#Headers],0)),0.4%*PI()*ECF[[#This Row],[Ø (cm)]]^2/4,"N.S.")</f>
        <v>15.393804002589988</v>
      </c>
      <c r="AF51" s="1">
        <f>INDEX(tipoEstaca[],MATCH($D$2,tipoEstaca[TIPO DE ESTACA],0),MATCH(ECF[[#Headers],[Comprimento (m)]],tipoEstaca[#Headers],0))</f>
        <v>4</v>
      </c>
      <c r="AG51" s="5">
        <f ca="1">ECF[[#This Row],[As,mín (cm²)]]/100^2*ECF[[#This Row],[Comprimento (m)]]*7850</f>
        <v>48.33654456813256</v>
      </c>
      <c r="AH51" s="4">
        <f ca="1">ECF[[#This Row],[nE]]*ECF[[#This Row],[Prof. (m)]]*ECF[[#This Row],[Ap (m²)]]</f>
        <v>13.854423602330986</v>
      </c>
      <c r="AI51" s="1">
        <f ca="1">IF(ECF[[#This Row],[nE]]=1,0,MAX(3*ECF[[#This Row],[Ø (cm)]],60))</f>
        <v>210</v>
      </c>
      <c r="AJ51" s="1">
        <f ca="1">IF(ECF[[#This Row],[nE]]=1,ECF[[#This Row],[Ø (cm)]]+2*10,MAX(1.5*ECF[[#This Row],[Ø (cm)]],ECF[[#This Row],[Ø (cm)]]+15))</f>
        <v>105</v>
      </c>
      <c r="AK51" s="1" t="str">
        <f ca="1">alturaUtil(ECF[[#This Row],[nE]],ECF[[#This Row],[Ø (cm)]],ECF[[#This Row],[e (cm)]],ECF[[#This Row],[ap,eq (cm)]])</f>
        <v>N.S.</v>
      </c>
      <c r="AL51" s="1" t="str">
        <f ca="1">IFERROR(ECF[[#This Row],[d (cm)]]+arredondarParaCimaMultiplo5cm(MAX(5,SQRT(PI())/2*ECF[[#This Row],[Ø (cm)]]/5)),"N.S.")</f>
        <v>N.S.</v>
      </c>
      <c r="AM51" s="5" t="str">
        <f ca="1">alpha(ECF[[#This Row],[nE]],ECF[[#This Row],[d (cm)]],ECF[[#This Row],[e (cm)]],ECF[[#This Row],[ap,eq (cm)]])</f>
        <v>N.S.</v>
      </c>
      <c r="AN51" s="35" t="str">
        <f ca="1">IFERROR(ECF[[#This Row],[Nsd (kN)]]/(ECF[[#This Row],[Ap (cm²)]]*SIN(ECF[[#This Row],[α]])^2),"N.S.")</f>
        <v>N.S.</v>
      </c>
      <c r="AO51" s="35" t="str">
        <f ca="1">IFERROR(ECF[[#This Row],[Nsd (kN)]]/(ECF[[#This Row],[nE]]*PI()*ECF[[#This Row],[Ø (cm)]]^2/4*SIN(ECF[[#This Row],[α]])^2),"N.S.")</f>
        <v>N.S.</v>
      </c>
      <c r="AP51" s="4" t="str">
        <f ca="1">IFERROR(INDEX(grupoEstacas[],ECF[[#This Row],[nE]],MATCH("coef. Blévot",grupoEstacas[#Headers],0)),"N.S.")</f>
        <v>N.S.</v>
      </c>
      <c r="AQ51" s="35" t="str">
        <f ca="1">IFERROR(ECF[[#This Row],[coef. Blévot]]*0.9*INDEX(tipoEstaca[],MATCH($D$2,tipoEstaca[TIPO DE ESTACA],0),MATCH("fcd (kN/cm²)",tipoEstaca[#Headers],0)),"N.S.")</f>
        <v>N.S.</v>
      </c>
      <c r="AR51" s="1" t="str">
        <f ca="1">IF(AND(ECF[[#This Row],[cd,b,pil (kN/cm²)]]&lt;=ECF[[#This Row],[cd,b,lim (kN/cm²)]],ECF[[#This Row],[cd,b,est (kN/cm²)]]&lt;=ECF[[#This Row],[cd,b,lim (kN/cm²)]]),"OK","ERRO")</f>
        <v>OK</v>
      </c>
      <c r="AS51" s="4" t="str">
        <f ca="1">As_lado(ECF[[#This Row],[nE]],ECF[[#This Row],[Nsd (kN)]],ECF[[#This Row],[d (cm)]],ECF[[#This Row],[e (cm)]],ECF[[#This Row],[ap,eq (cm)]])</f>
        <v>N.S.</v>
      </c>
      <c r="AT51" s="4" t="str">
        <f ca="1">IF(ECF[[#This Row],[nE]]=1,ECF[[#This Row],[As,lado (cm²)]],IF(ECF[[#This Row],[nE]]=2,0.075*2*ECF[a (cm)],"N.A."))</f>
        <v>N.A.</v>
      </c>
      <c r="AU51" s="4" t="str">
        <f ca="1">IFERROR(IF(ECF[[#This Row],[nE]]=1,"N.A.",0.2*ECF[[#This Row],[As,lado (cm²)]]),"N.S.")</f>
        <v>N.S.</v>
      </c>
      <c r="AV51" s="4" t="str">
        <f ca="1">As_malha(ECF[[#This Row],[nE]],ECF[[#This Row],[As,lado (cm²)]],ECF[[#This Row],[Nsd (kN)]])</f>
        <v>N.S.</v>
      </c>
      <c r="AW51" s="4" t="str">
        <f ca="1">As_susp_tot(ECF[[#This Row],[nE]],ECF[[#This Row],[Nsd (kN)]])</f>
        <v>N.S.</v>
      </c>
      <c r="AX51" s="4" t="str">
        <f ca="1">Asp_face(ECF[[#This Row],[nE]],ECF[[#This Row],[As,lado (cm²)]])</f>
        <v>N.S.</v>
      </c>
      <c r="AY51" s="5" t="str">
        <f ca="1">acoBloco(ECF[[#This Row],[nE]],ECF[[#This Row],[e (cm)]],ECF[[#This Row],[a (cm)]],ECF[[#This Row],[h (cm)]],ECF[[#This Row],[As,lado (cm²)]],ECF[[#This Row],[Asp e Asw (cm²/m)]],ECF[[#This Row],[As,sup (cm²)]],ECF[[#This Row],[As,malha (cm²)]],ECF[[#This Row],[As,susp,tot (cm²)]],ECF[[#This Row],[Asp,face (cm²)]])</f>
        <v>N.S.</v>
      </c>
      <c r="AZ51" s="4" t="str">
        <f ca="1">concretoBloco(ECF[[#This Row],[nE]],ECF[[#This Row],[e (cm)]],ECF[[#This Row],[a (cm)]],ECF[[#This Row],[h (cm)]])</f>
        <v>N.S.</v>
      </c>
      <c r="BA51" s="5">
        <f ca="1">SUM(ECF[[#This Row],[Aço Est (kg)]],ECF[[#This Row],[Aço Bloco (kg)]])</f>
        <v>48.33654456813256</v>
      </c>
      <c r="BB51" s="4">
        <f>INDEX(composicoes[],MATCH(95580,composicoes[CÓDIGO],0),MATCH("CUSTO TOTAL",composicoes[#Headers],0))</f>
        <v>10.46</v>
      </c>
      <c r="BC51" s="4">
        <f ca="1">SUM(ECF[[#This Row],[Conc Est (m³)]],ECF[[#This Row],[Conc Bloco (m³)]])</f>
        <v>13.854423602330986</v>
      </c>
      <c r="BD51" s="4">
        <f>INDEX(composicoes[],MATCH(94966,composicoes[CÓDIGO],0),MATCH("CUSTO TOTAL",composicoes[#Headers],0))</f>
        <v>439.52</v>
      </c>
      <c r="BE51" s="38">
        <f ca="1">ECF[[#This Row],[Aço (kg)]]*ECF[[#This Row],[Aço (R$/kg)]]+ECF[[#This Row],[Conc (m³)]]*ECF[[#This Row],[Conc (R$/m³)]]</f>
        <v>6594.8965178791805</v>
      </c>
      <c r="BF51" s="4" t="str">
        <f ca="1">IF(COUNTIF(ECF[#This Row],"N.S.")&gt;0,"lim.","OK")</f>
        <v>lim.</v>
      </c>
      <c r="BG51" s="4" t="str">
        <f>IF(ECF[[#This Row],[Prof. (m)]]&lt;4,"lim.","OK")</f>
        <v>OK</v>
      </c>
      <c r="BH51" s="4" t="str">
        <f>IF(ECF[[#This Row],[Prof. (m)]]&gt;=8*ECF[[#This Row],[Ø (cm)]]/100,"OK","lim.")</f>
        <v>lim.</v>
      </c>
      <c r="BI51" s="4" t="str">
        <f>IF(AND(SPT!$F$3&lt;&gt;"",ECF[[#This Row],[Prof. (m)]]&gt;=SPT!$F$3-2),"lim.","OK")</f>
        <v>OK</v>
      </c>
      <c r="BJ51" s="4" t="str">
        <f ca="1">IF(ECF[[#This Row],[Verif. Biela]]="OK","OK","lim.")</f>
        <v>OK</v>
      </c>
      <c r="BK51" s="4" t="str">
        <f ca="1">IF(COUNTA(ECF[[#This Row],[Nº Est.]:[Biela comp.]])=COUNTIF(ECF[[#This Row],[Nº Est.]:[Biela comp.]],"OK"),"OK","lim.")</f>
        <v>lim.</v>
      </c>
      <c r="BL51" s="4" t="str">
        <f ca="1">IF(ECF[[#This Row],[Controle]]="OK",ECF[[#This Row],[nE]]&amp;" Ø"&amp;ECF[[#This Row],[Ø (cm)]]&amp;"cm Prof. "&amp;ECF[[#This Row],[Prof. (m)]]&amp;" m","")</f>
        <v/>
      </c>
      <c r="BM51" s="4" t="str">
        <f ca="1">IF(ECF[[#This Row],[idDimensionamento]]="","",ECF[[#This Row],[idPilar]]&amp;ECF[[#This Row],[idDimensionamento]])</f>
        <v/>
      </c>
    </row>
    <row r="52" spans="2:65" x14ac:dyDescent="0.25">
      <c r="B52" s="12">
        <f>ROUNDUP((ROW(ECF[[#This Row],[idDiâmetro]])-ROW(ECF[[#Headers],[idDiâmetro]]))/(COUNT(SPT[Prof. (m)])*COUNT(PILARES[Pilar])),0)</f>
        <v>2</v>
      </c>
      <c r="C52" s="12">
        <f>IF(ECF[[#This Row],[idDiâmetro]]&lt;&gt;B51,1,IF(ECF[[#This Row],[Prof. (m)]]=0,C51+1,C51))</f>
        <v>2</v>
      </c>
      <c r="D52" s="1">
        <f>IFERROR(IF(D51=MAX(SPT[Prof. (m)]),0,D51+1),0)</f>
        <v>5</v>
      </c>
      <c r="E52" s="1">
        <f>INDEX(SPT[],MATCH(ECF[[#This Row],[Prof. (m)]],SPT[Prof. (m)],0),2)</f>
        <v>17</v>
      </c>
      <c r="F52" s="1" t="str">
        <f>INDEX(SPT[],MATCH(ECF[[#This Row],[Prof. (m)]],SPT[Prof. (m)],0),3)</f>
        <v>Areia siltosa</v>
      </c>
      <c r="G52" s="1">
        <f>INDEX(estacas[],ECF[[#This Row],[idDiâmetro]],MATCH($B$2,estacas[#Headers],0))</f>
        <v>70</v>
      </c>
      <c r="H52" s="1">
        <f>INDEX(estacas[],MATCH(ECF[[#This Row],[Ø (cm)]],estacas[Ø ECF (cm)],0),MATCH(ECF[[#Headers],[Pe ECF (kN)]],estacas[#Headers],0))</f>
        <v>1500</v>
      </c>
      <c r="I52" s="4">
        <f>INDEX(K_alpha_C[],MATCH(ECF[[#This Row],[Solo]],K_alpha_C[Solo],0),2)</f>
        <v>0.8</v>
      </c>
      <c r="J52" s="5">
        <f>INDEX(K_alpha_C[],MATCH(ECF[[#This Row],[Solo]],K_alpha_C[Solo],0),3)</f>
        <v>2</v>
      </c>
      <c r="K52" s="4">
        <f>INDEX(F1_F2[],MATCH($D$2,F1_F2[Tipo de estaca],0),2)</f>
        <v>3</v>
      </c>
      <c r="L52" s="4">
        <f>INDEX(F1_F2[],MATCH($D$2,F1_F2[Tipo de estaca],0),3)</f>
        <v>6</v>
      </c>
      <c r="M52" s="4">
        <f>PI()*(ECF[[#This Row],[Ø (cm)]]/100)^2/4</f>
        <v>0.38484510006474959</v>
      </c>
      <c r="N52" s="4">
        <f>PI()*ECF[[#This Row],[Ø (cm)]]/100</f>
        <v>2.1991148575128552</v>
      </c>
      <c r="O52" s="4">
        <f>IF(ECF[[#This Row],[Prof. (m)]]=0,0,ECF[[#This Row],[α (%)]]/100*ECF[[#This Row],[K (MPa)]]*1000*ECF[[#This Row],[NSPT]])</f>
        <v>272</v>
      </c>
      <c r="P52" s="4">
        <f>IF(ECF[[#This Row],[Prof. (m)]]=0,0,(ECF[[#This Row],[K (MPa)]]*1000*ECF[[#This Row],[NSPT]]/ECF[[#This Row],[F1]]*ECF[[#This Row],[Ap (m²)]]+ECF[[#This Row],[U (m)]]/ECF[[#This Row],[F2]]*SUMIFS(ECF[(α∙K∙NL∙ΔL)],ECF[Prof. (m)],"&lt;="&amp;ECF[[#This Row],[Prof. (m)]],ECF[idDiâmetro],ECF[[#This Row],[idDiâmetro]],ECF[idPilar],ECF[[#This Row],[idPilar]]))/'DADOS CAP. CARGA'!$D$2)</f>
        <v>969.0766138773314</v>
      </c>
      <c r="Q52" s="12">
        <f>INDEX(C_alpha_beta[],MATCH(ECF[[#This Row],[Solo]],C_alpha_beta[Solo],0),MATCH(ECF[[#Headers],[C (kPa)]],C_alpha_beta[#Headers],0))</f>
        <v>400</v>
      </c>
      <c r="R52" s="4">
        <f>INDEX(C_alpha_beta[],MATCH(ECF[[#This Row],[Solo]],C_alpha_beta[Solo],0),MATCH(ECF[[#Headers],[α ESF]],C_alpha_beta[#Headers],0))</f>
        <v>0.5</v>
      </c>
      <c r="S52" s="4">
        <f>INDEX(C_alpha_beta[],MATCH(ECF[[#This Row],[Solo]],C_alpha_beta[Solo],0),MATCH(ECF[[#Headers],[β ESF]],C_alpha_beta[#Headers],0))</f>
        <v>0.5</v>
      </c>
      <c r="T52" s="4">
        <f>IF(ECF[[#This Row],[Prof. (m)]]=0,0,10*(ECF[[#This Row],[NSPT]]/3+1))</f>
        <v>66.666666666666671</v>
      </c>
      <c r="U52" s="4">
        <f>(ECF[[#This Row],[α ESF]]*ECF[[#This Row],[C (kPa)]]*ECF[[#This Row],[NSPT]]*ECF[[#This Row],[Ap (m²)]])/'DADOS CAP. CARGA'!$Q$2+(ECF[[#This Row],[β ESF]]*SUMIFS(ECF[10∙(NL/3+1)],ECF[Prof. (m)],"&lt;="&amp;ECF[[#This Row],[Prof. (m)]],ECF[idDiâmetro],ECF[[#This Row],[idDiâmetro]],ECF[idPilar],ECF[[#This Row],[idPilar]])*ECF[[#This Row],[U (m)]])/'DADOS CAP. CARGA'!$S$2</f>
        <v>415.08292935555136</v>
      </c>
      <c r="V52" s="4">
        <f>IF(SPT!$M$5=1,MIN(ECF[[#This Row],[Pe ECF (kN)]],ECF[[#This Row],[R_AV (kN)]]),IF(SPT!$M$5=2,MIN(ECF[[#This Row],[Pe ECF (kN)]],ECF[[#This Row],[R_DC (kN)]]),MIN(ECF[[#This Row],[Pe ECF (kN)]],ECF[[#This Row],[R_AV (kN)]],ECF[[#This Row],[R_DC (kN)]])))</f>
        <v>415.08292935555136</v>
      </c>
      <c r="W52" s="4">
        <f>INDEX(PILARES[],ECF[[#This Row],[idPilar]],MATCH("Carga (kN)",PILARES[#Headers],0))*1.4</f>
        <v>1750</v>
      </c>
      <c r="X52" s="12">
        <f>INDEX(PILARES[],ECF[[#This Row],[idPilar]],MATCH(ECF[[#Headers],[ap (cm)]],PILARES[#Headers],0))</f>
        <v>50</v>
      </c>
      <c r="Y52" s="12">
        <f>INDEX(PILARES[],ECF[[#This Row],[idPilar]],MATCH(ECF[[#Headers],[bp (cm)]],PILARES[#Headers],0))</f>
        <v>40</v>
      </c>
      <c r="Z52" s="4">
        <f>SQRT(ECF[[#This Row],[ap (cm)]]*ECF[[#This Row],[bp (cm)]])</f>
        <v>44.721359549995796</v>
      </c>
      <c r="AA52" s="12">
        <f>ECF[[#This Row],[ap (cm)]]*ECF[[#This Row],[bp (cm)]]</f>
        <v>2000</v>
      </c>
      <c r="AB52" s="12">
        <f ca="1">IF(ECF[[#This Row],[Padm∙ε (kN)]]&gt;=ECF[[#This Row],[Padm (kN)]],ROUNDUP(1.05*ECF[[#This Row],[Nsd (kN)]]/ECF[[#This Row],[Padm (kN)]],0),ROUNDUP(1.05*ECF[[#This Row],[Nsd (kN)]]/ECF[[#This Row],[Padm (kN)]],0)+1)</f>
        <v>5</v>
      </c>
      <c r="AC52" s="4" t="str">
        <f ca="1">IFERROR(IF(ECF[[#This Row],[nE]]=1,ECF[[#This Row],[Padm (kN)]],ECF[[#This Row],[Padm (kN)]]*ECF[[#This Row],[nE]]*INDEX(grupoEstacas[],ECF[[#This Row],[nE]],MATCH("ε",grupoEstacas[#Headers],0))),"N.S.")</f>
        <v>N.S.</v>
      </c>
      <c r="AD52" s="4">
        <f ca="1">1.05*ECF[[#This Row],[Nsd (kN)]]/(ECF[[#This Row],[nE]]*PI()*ECF[[#This Row],[Ø (cm)]]^2/4)*10</f>
        <v>0.95492965855137213</v>
      </c>
      <c r="AE52" s="4">
        <f ca="1">IF(ECF[[#This Row],[σ (MPa)]]&lt;INDEX(tipoEstaca[],MATCH($D$2,tipoEstaca[TIPO DE ESTACA],0),MATCH("σmáx (MPa)",tipoEstaca[#Headers],0)),0.4%*PI()*ECF[[#This Row],[Ø (cm)]]^2/4,"N.S.")</f>
        <v>15.393804002589988</v>
      </c>
      <c r="AF52" s="1">
        <f>INDEX(tipoEstaca[],MATCH($D$2,tipoEstaca[TIPO DE ESTACA],0),MATCH(ECF[[#Headers],[Comprimento (m)]],tipoEstaca[#Headers],0))</f>
        <v>4</v>
      </c>
      <c r="AG52" s="5">
        <f ca="1">ECF[[#This Row],[As,mín (cm²)]]/100^2*ECF[[#This Row],[Comprimento (m)]]*7850</f>
        <v>48.33654456813256</v>
      </c>
      <c r="AH52" s="4">
        <f ca="1">ECF[[#This Row],[nE]]*ECF[[#This Row],[Prof. (m)]]*ECF[[#This Row],[Ap (m²)]]</f>
        <v>9.621127501618739</v>
      </c>
      <c r="AI52" s="1">
        <f ca="1">IF(ECF[[#This Row],[nE]]=1,0,MAX(3*ECF[[#This Row],[Ø (cm)]],60))</f>
        <v>210</v>
      </c>
      <c r="AJ52" s="1">
        <f ca="1">IF(ECF[[#This Row],[nE]]=1,ECF[[#This Row],[Ø (cm)]]+2*10,MAX(1.5*ECF[[#This Row],[Ø (cm)]],ECF[[#This Row],[Ø (cm)]]+15))</f>
        <v>105</v>
      </c>
      <c r="AK52" s="1" t="str">
        <f ca="1">alturaUtil(ECF[[#This Row],[nE]],ECF[[#This Row],[Ø (cm)]],ECF[[#This Row],[e (cm)]],ECF[[#This Row],[ap,eq (cm)]])</f>
        <v>N.S.</v>
      </c>
      <c r="AL52" s="1" t="str">
        <f ca="1">IFERROR(ECF[[#This Row],[d (cm)]]+arredondarParaCimaMultiplo5cm(MAX(5,SQRT(PI())/2*ECF[[#This Row],[Ø (cm)]]/5)),"N.S.")</f>
        <v>N.S.</v>
      </c>
      <c r="AM52" s="5" t="str">
        <f ca="1">alpha(ECF[[#This Row],[nE]],ECF[[#This Row],[d (cm)]],ECF[[#This Row],[e (cm)]],ECF[[#This Row],[ap,eq (cm)]])</f>
        <v>N.S.</v>
      </c>
      <c r="AN52" s="35" t="str">
        <f ca="1">IFERROR(ECF[[#This Row],[Nsd (kN)]]/(ECF[[#This Row],[Ap (cm²)]]*SIN(ECF[[#This Row],[α]])^2),"N.S.")</f>
        <v>N.S.</v>
      </c>
      <c r="AO52" s="35" t="str">
        <f ca="1">IFERROR(ECF[[#This Row],[Nsd (kN)]]/(ECF[[#This Row],[nE]]*PI()*ECF[[#This Row],[Ø (cm)]]^2/4*SIN(ECF[[#This Row],[α]])^2),"N.S.")</f>
        <v>N.S.</v>
      </c>
      <c r="AP52" s="4" t="str">
        <f ca="1">IFERROR(INDEX(grupoEstacas[],ECF[[#This Row],[nE]],MATCH("coef. Blévot",grupoEstacas[#Headers],0)),"N.S.")</f>
        <v>N.S.</v>
      </c>
      <c r="AQ52" s="35" t="str">
        <f ca="1">IFERROR(ECF[[#This Row],[coef. Blévot]]*0.9*INDEX(tipoEstaca[],MATCH($D$2,tipoEstaca[TIPO DE ESTACA],0),MATCH("fcd (kN/cm²)",tipoEstaca[#Headers],0)),"N.S.")</f>
        <v>N.S.</v>
      </c>
      <c r="AR52" s="1" t="str">
        <f ca="1">IF(AND(ECF[[#This Row],[cd,b,pil (kN/cm²)]]&lt;=ECF[[#This Row],[cd,b,lim (kN/cm²)]],ECF[[#This Row],[cd,b,est (kN/cm²)]]&lt;=ECF[[#This Row],[cd,b,lim (kN/cm²)]]),"OK","ERRO")</f>
        <v>OK</v>
      </c>
      <c r="AS52" s="4" t="str">
        <f ca="1">As_lado(ECF[[#This Row],[nE]],ECF[[#This Row],[Nsd (kN)]],ECF[[#This Row],[d (cm)]],ECF[[#This Row],[e (cm)]],ECF[[#This Row],[ap,eq (cm)]])</f>
        <v>N.S.</v>
      </c>
      <c r="AT52" s="4" t="str">
        <f ca="1">IF(ECF[[#This Row],[nE]]=1,ECF[[#This Row],[As,lado (cm²)]],IF(ECF[[#This Row],[nE]]=2,0.075*2*ECF[a (cm)],"N.A."))</f>
        <v>N.A.</v>
      </c>
      <c r="AU52" s="4" t="str">
        <f ca="1">IFERROR(IF(ECF[[#This Row],[nE]]=1,"N.A.",0.2*ECF[[#This Row],[As,lado (cm²)]]),"N.S.")</f>
        <v>N.S.</v>
      </c>
      <c r="AV52" s="4" t="str">
        <f ca="1">As_malha(ECF[[#This Row],[nE]],ECF[[#This Row],[As,lado (cm²)]],ECF[[#This Row],[Nsd (kN)]])</f>
        <v>N.S.</v>
      </c>
      <c r="AW52" s="4" t="str">
        <f ca="1">As_susp_tot(ECF[[#This Row],[nE]],ECF[[#This Row],[Nsd (kN)]])</f>
        <v>N.S.</v>
      </c>
      <c r="AX52" s="4" t="str">
        <f ca="1">Asp_face(ECF[[#This Row],[nE]],ECF[[#This Row],[As,lado (cm²)]])</f>
        <v>N.S.</v>
      </c>
      <c r="AY52" s="5" t="str">
        <f ca="1">acoBloco(ECF[[#This Row],[nE]],ECF[[#This Row],[e (cm)]],ECF[[#This Row],[a (cm)]],ECF[[#This Row],[h (cm)]],ECF[[#This Row],[As,lado (cm²)]],ECF[[#This Row],[Asp e Asw (cm²/m)]],ECF[[#This Row],[As,sup (cm²)]],ECF[[#This Row],[As,malha (cm²)]],ECF[[#This Row],[As,susp,tot (cm²)]],ECF[[#This Row],[Asp,face (cm²)]])</f>
        <v>N.S.</v>
      </c>
      <c r="AZ52" s="4" t="str">
        <f ca="1">concretoBloco(ECF[[#This Row],[nE]],ECF[[#This Row],[e (cm)]],ECF[[#This Row],[a (cm)]],ECF[[#This Row],[h (cm)]])</f>
        <v>N.S.</v>
      </c>
      <c r="BA52" s="5">
        <f ca="1">SUM(ECF[[#This Row],[Aço Est (kg)]],ECF[[#This Row],[Aço Bloco (kg)]])</f>
        <v>48.33654456813256</v>
      </c>
      <c r="BB52" s="4">
        <f>INDEX(composicoes[],MATCH(95580,composicoes[CÓDIGO],0),MATCH("CUSTO TOTAL",composicoes[#Headers],0))</f>
        <v>10.46</v>
      </c>
      <c r="BC52" s="4">
        <f ca="1">SUM(ECF[[#This Row],[Conc Est (m³)]],ECF[[#This Row],[Conc Bloco (m³)]])</f>
        <v>9.621127501618739</v>
      </c>
      <c r="BD52" s="4">
        <f>INDEX(composicoes[],MATCH(94966,composicoes[CÓDIGO],0),MATCH("CUSTO TOTAL",composicoes[#Headers],0))</f>
        <v>439.52</v>
      </c>
      <c r="BE52" s="38">
        <f ca="1">ECF[[#This Row],[Aço (kg)]]*ECF[[#This Row],[Aço (R$/kg)]]+ECF[[#This Row],[Conc (m³)]]*ECF[[#This Row],[Conc (R$/m³)]]</f>
        <v>4734.2782156941339</v>
      </c>
      <c r="BF52" s="4" t="str">
        <f ca="1">IF(COUNTIF(ECF[#This Row],"N.S.")&gt;0,"lim.","OK")</f>
        <v>lim.</v>
      </c>
      <c r="BG52" s="4" t="str">
        <f>IF(ECF[[#This Row],[Prof. (m)]]&lt;4,"lim.","OK")</f>
        <v>OK</v>
      </c>
      <c r="BH52" s="4" t="str">
        <f>IF(ECF[[#This Row],[Prof. (m)]]&gt;=8*ECF[[#This Row],[Ø (cm)]]/100,"OK","lim.")</f>
        <v>lim.</v>
      </c>
      <c r="BI52" s="4" t="str">
        <f>IF(AND(SPT!$F$3&lt;&gt;"",ECF[[#This Row],[Prof. (m)]]&gt;=SPT!$F$3-2),"lim.","OK")</f>
        <v>OK</v>
      </c>
      <c r="BJ52" s="4" t="str">
        <f ca="1">IF(ECF[[#This Row],[Verif. Biela]]="OK","OK","lim.")</f>
        <v>OK</v>
      </c>
      <c r="BK52" s="4" t="str">
        <f ca="1">IF(COUNTA(ECF[[#This Row],[Nº Est.]:[Biela comp.]])=COUNTIF(ECF[[#This Row],[Nº Est.]:[Biela comp.]],"OK"),"OK","lim.")</f>
        <v>lim.</v>
      </c>
      <c r="BL52" s="4" t="str">
        <f ca="1">IF(ECF[[#This Row],[Controle]]="OK",ECF[[#This Row],[nE]]&amp;" Ø"&amp;ECF[[#This Row],[Ø (cm)]]&amp;"cm Prof. "&amp;ECF[[#This Row],[Prof. (m)]]&amp;" m","")</f>
        <v/>
      </c>
      <c r="BM52" s="4" t="str">
        <f ca="1">IF(ECF[[#This Row],[idDimensionamento]]="","",ECF[[#This Row],[idPilar]]&amp;ECF[[#This Row],[idDimensionamento]])</f>
        <v/>
      </c>
    </row>
    <row r="53" spans="2:65" x14ac:dyDescent="0.25">
      <c r="B53" s="12">
        <f>ROUNDUP((ROW(ECF[[#This Row],[idDiâmetro]])-ROW(ECF[[#Headers],[idDiâmetro]]))/(COUNT(SPT[Prof. (m)])*COUNT(PILARES[Pilar])),0)</f>
        <v>2</v>
      </c>
      <c r="C53" s="12">
        <f>IF(ECF[[#This Row],[idDiâmetro]]&lt;&gt;B52,1,IF(ECF[[#This Row],[Prof. (m)]]=0,C52+1,C52))</f>
        <v>2</v>
      </c>
      <c r="D53" s="1">
        <f>IFERROR(IF(D52=MAX(SPT[Prof. (m)]),0,D52+1),0)</f>
        <v>6</v>
      </c>
      <c r="E53" s="1">
        <f>INDEX(SPT[],MATCH(ECF[[#This Row],[Prof. (m)]],SPT[Prof. (m)],0),2)</f>
        <v>21</v>
      </c>
      <c r="F53" s="1" t="str">
        <f>INDEX(SPT[],MATCH(ECF[[#This Row],[Prof. (m)]],SPT[Prof. (m)],0),3)</f>
        <v>Silte arenoso</v>
      </c>
      <c r="G53" s="1">
        <f>INDEX(estacas[],ECF[[#This Row],[idDiâmetro]],MATCH($B$2,estacas[#Headers],0))</f>
        <v>70</v>
      </c>
      <c r="H53" s="1">
        <f>INDEX(estacas[],MATCH(ECF[[#This Row],[Ø (cm)]],estacas[Ø ECF (cm)],0),MATCH(ECF[[#Headers],[Pe ECF (kN)]],estacas[#Headers],0))</f>
        <v>1500</v>
      </c>
      <c r="I53" s="4">
        <f>INDEX(K_alpha_C[],MATCH(ECF[[#This Row],[Solo]],K_alpha_C[Solo],0),2)</f>
        <v>0.55000000000000004</v>
      </c>
      <c r="J53" s="5">
        <f>INDEX(K_alpha_C[],MATCH(ECF[[#This Row],[Solo]],K_alpha_C[Solo],0),3)</f>
        <v>2.2000000000000002</v>
      </c>
      <c r="K53" s="4">
        <f>INDEX(F1_F2[],MATCH($D$2,F1_F2[Tipo de estaca],0),2)</f>
        <v>3</v>
      </c>
      <c r="L53" s="4">
        <f>INDEX(F1_F2[],MATCH($D$2,F1_F2[Tipo de estaca],0),3)</f>
        <v>6</v>
      </c>
      <c r="M53" s="4">
        <f>PI()*(ECF[[#This Row],[Ø (cm)]]/100)^2/4</f>
        <v>0.38484510006474959</v>
      </c>
      <c r="N53" s="4">
        <f>PI()*ECF[[#This Row],[Ø (cm)]]/100</f>
        <v>2.1991148575128552</v>
      </c>
      <c r="O53" s="4">
        <f>IF(ECF[[#This Row],[Prof. (m)]]=0,0,ECF[[#This Row],[α (%)]]/100*ECF[[#This Row],[K (MPa)]]*1000*ECF[[#This Row],[NSPT]])</f>
        <v>254.10000000000002</v>
      </c>
      <c r="P53" s="4">
        <f>IF(ECF[[#This Row],[Prof. (m)]]=0,0,(ECF[[#This Row],[K (MPa)]]*1000*ECF[[#This Row],[NSPT]]/ECF[[#This Row],[F1]]*ECF[[#This Row],[Ap (m²)]]+ECF[[#This Row],[U (m)]]/ECF[[#This Row],[F2]]*SUMIFS(ECF[(α∙K∙NL∙ΔL)],ECF[Prof. (m)],"&lt;="&amp;ECF[[#This Row],[Prof. (m)]],ECF[idDiâmetro],ECF[[#This Row],[idDiâmetro]],ECF[idPilar],ECF[[#This Row],[idPilar]]))/'DADOS CAP. CARGA'!$D$2)</f>
        <v>884.15412846304332</v>
      </c>
      <c r="Q53" s="12">
        <f>INDEX(C_alpha_beta[],MATCH(ECF[[#This Row],[Solo]],C_alpha_beta[Solo],0),MATCH(ECF[[#Headers],[C (kPa)]],C_alpha_beta[#Headers],0))</f>
        <v>250</v>
      </c>
      <c r="R53" s="4">
        <f>INDEX(C_alpha_beta[],MATCH(ECF[[#This Row],[Solo]],C_alpha_beta[Solo],0),MATCH(ECF[[#Headers],[α ESF]],C_alpha_beta[#Headers],0))</f>
        <v>0.6</v>
      </c>
      <c r="S53" s="4">
        <f>INDEX(C_alpha_beta[],MATCH(ECF[[#This Row],[Solo]],C_alpha_beta[Solo],0),MATCH(ECF[[#Headers],[β ESF]],C_alpha_beta[#Headers],0))</f>
        <v>0.65</v>
      </c>
      <c r="T53" s="4">
        <f>IF(ECF[[#This Row],[Prof. (m)]]=0,0,10*(ECF[[#This Row],[NSPT]]/3+1))</f>
        <v>80</v>
      </c>
      <c r="U53" s="4">
        <f>(ECF[[#This Row],[α ESF]]*ECF[[#This Row],[C (kPa)]]*ECF[[#This Row],[NSPT]]*ECF[[#This Row],[Ap (m²)]])/'DADOS CAP. CARGA'!$Q$2+(ECF[[#This Row],[β ESF]]*SUMIFS(ECF[10∙(NL/3+1)],ECF[Prof. (m)],"&lt;="&amp;ECF[[#This Row],[Prof. (m)]],ECF[idDiâmetro],ECF[[#This Row],[idDiâmetro]],ECF[idPilar],ECF[[#This Row],[idPilar]])*ECF[[#This Row],[U (m)]])/'DADOS CAP. CARGA'!$S$2</f>
        <v>474.59647518699296</v>
      </c>
      <c r="V53" s="4">
        <f>IF(SPT!$M$5=1,MIN(ECF[[#This Row],[Pe ECF (kN)]],ECF[[#This Row],[R_AV (kN)]]),IF(SPT!$M$5=2,MIN(ECF[[#This Row],[Pe ECF (kN)]],ECF[[#This Row],[R_DC (kN)]]),MIN(ECF[[#This Row],[Pe ECF (kN)]],ECF[[#This Row],[R_AV (kN)]],ECF[[#This Row],[R_DC (kN)]])))</f>
        <v>474.59647518699296</v>
      </c>
      <c r="W53" s="4">
        <f>INDEX(PILARES[],ECF[[#This Row],[idPilar]],MATCH("Carga (kN)",PILARES[#Headers],0))*1.4</f>
        <v>1750</v>
      </c>
      <c r="X53" s="12">
        <f>INDEX(PILARES[],ECF[[#This Row],[idPilar]],MATCH(ECF[[#Headers],[ap (cm)]],PILARES[#Headers],0))</f>
        <v>50</v>
      </c>
      <c r="Y53" s="12">
        <f>INDEX(PILARES[],ECF[[#This Row],[idPilar]],MATCH(ECF[[#Headers],[bp (cm)]],PILARES[#Headers],0))</f>
        <v>40</v>
      </c>
      <c r="Z53" s="4">
        <f>SQRT(ECF[[#This Row],[ap (cm)]]*ECF[[#This Row],[bp (cm)]])</f>
        <v>44.721359549995796</v>
      </c>
      <c r="AA53" s="12">
        <f>ECF[[#This Row],[ap (cm)]]*ECF[[#This Row],[bp (cm)]]</f>
        <v>2000</v>
      </c>
      <c r="AB53" s="12">
        <f ca="1">IF(ECF[[#This Row],[Padm∙ε (kN)]]&gt;=ECF[[#This Row],[Padm (kN)]],ROUNDUP(1.05*ECF[[#This Row],[Nsd (kN)]]/ECF[[#This Row],[Padm (kN)]],0),ROUNDUP(1.05*ECF[[#This Row],[Nsd (kN)]]/ECF[[#This Row],[Padm (kN)]],0)+1)</f>
        <v>4</v>
      </c>
      <c r="AC53" s="4">
        <f ca="1">IFERROR(IF(ECF[[#This Row],[nE]]=1,ECF[[#This Row],[Padm (kN)]],ECF[[#This Row],[Padm (kN)]]*ECF[[#This Row],[nE]]*INDEX(grupoEstacas[],ECF[[#This Row],[nE]],MATCH("ε",grupoEstacas[#Headers],0))),"N.S.")</f>
        <v>1542.4385443577271</v>
      </c>
      <c r="AD53" s="4">
        <f ca="1">1.05*ECF[[#This Row],[Nsd (kN)]]/(ECF[[#This Row],[nE]]*PI()*ECF[[#This Row],[Ø (cm)]]^2/4)*10</f>
        <v>1.1936620731892149</v>
      </c>
      <c r="AE53" s="4">
        <f ca="1">IF(ECF[[#This Row],[σ (MPa)]]&lt;INDEX(tipoEstaca[],MATCH($D$2,tipoEstaca[TIPO DE ESTACA],0),MATCH("σmáx (MPa)",tipoEstaca[#Headers],0)),0.4%*PI()*ECF[[#This Row],[Ø (cm)]]^2/4,"N.S.")</f>
        <v>15.393804002589988</v>
      </c>
      <c r="AF53" s="1">
        <f>INDEX(tipoEstaca[],MATCH($D$2,tipoEstaca[TIPO DE ESTACA],0),MATCH(ECF[[#Headers],[Comprimento (m)]],tipoEstaca[#Headers],0))</f>
        <v>4</v>
      </c>
      <c r="AG53" s="5">
        <f ca="1">ECF[[#This Row],[As,mín (cm²)]]/100^2*ECF[[#This Row],[Comprimento (m)]]*7850</f>
        <v>48.33654456813256</v>
      </c>
      <c r="AH53" s="4">
        <f ca="1">ECF[[#This Row],[nE]]*ECF[[#This Row],[Prof. (m)]]*ECF[[#This Row],[Ap (m²)]]</f>
        <v>9.2362824015539893</v>
      </c>
      <c r="AI53" s="1">
        <f ca="1">IF(ECF[[#This Row],[nE]]=1,0,MAX(3*ECF[[#This Row],[Ø (cm)]],60))</f>
        <v>210</v>
      </c>
      <c r="AJ53" s="1">
        <f ca="1">IF(ECF[[#This Row],[nE]]=1,ECF[[#This Row],[Ø (cm)]]+2*10,MAX(1.5*ECF[[#This Row],[Ø (cm)]],ECF[[#This Row],[Ø (cm)]]+15))</f>
        <v>105</v>
      </c>
      <c r="AK53" s="1">
        <f ca="1">alturaUtil(ECF[[#This Row],[nE]],ECF[[#This Row],[Ø (cm)]],ECF[[#This Row],[e (cm)]],ECF[[#This Row],[ap,eq (cm)]])</f>
        <v>95</v>
      </c>
      <c r="AL53" s="1">
        <f ca="1">IFERROR(ECF[[#This Row],[d (cm)]]+arredondarParaCimaMultiplo5cm(MAX(5,SQRT(PI())/2*ECF[[#This Row],[Ø (cm)]]/5)),"N.S.")</f>
        <v>110</v>
      </c>
      <c r="AM53" s="5">
        <f ca="1">alpha(ECF[[#This Row],[nE]],ECF[[#This Row],[d (cm)]],ECF[[#This Row],[e (cm)]],ECF[[#This Row],[ap,eq (cm)]])</f>
        <v>45.358159807203123</v>
      </c>
      <c r="AN53" s="35">
        <f ca="1">IFERROR(ECF[[#This Row],[Nsd (kN)]]/(ECF[[#This Row],[Ap (cm²)]]*SIN(ECF[[#This Row],[α]])^2),"N.S.")</f>
        <v>0.9091100416642347</v>
      </c>
      <c r="AO53" s="35">
        <f ca="1">IFERROR(ECF[[#This Row],[Nsd (kN)]]/(ECF[[#This Row],[nE]]*PI()*ECF[[#This Row],[Ø (cm)]]^2/4*SIN(ECF[[#This Row],[α]])^2),"N.S.")</f>
        <v>0.11811376077170765</v>
      </c>
      <c r="AP53" s="4">
        <f ca="1">IFERROR(INDEX(grupoEstacas[],ECF[[#This Row],[nE]],MATCH("coef. Blévot",grupoEstacas[#Headers],0)),"N.S.")</f>
        <v>2.1</v>
      </c>
      <c r="AQ53" s="35">
        <f ca="1">IFERROR(ECF[[#This Row],[coef. Blévot]]*0.9*INDEX(tipoEstaca[],MATCH($D$2,tipoEstaca[TIPO DE ESTACA],0),MATCH("fcd (kN/cm²)",tipoEstaca[#Headers],0)),"N.S.")</f>
        <v>2.1</v>
      </c>
      <c r="AR53" s="1" t="str">
        <f ca="1">IF(AND(ECF[[#This Row],[cd,b,pil (kN/cm²)]]&lt;=ECF[[#This Row],[cd,b,lim (kN/cm²)]],ECF[[#This Row],[cd,b,est (kN/cm²)]]&lt;=ECF[[#This Row],[cd,b,lim (kN/cm²)]]),"OK","ERRO")</f>
        <v>OK</v>
      </c>
      <c r="AS53" s="4">
        <f ca="1">As_lado(ECF[[#This Row],[nE]],ECF[[#This Row],[Nsd (kN)]],ECF[[#This Row],[d (cm)]],ECF[[#This Row],[e (cm)]],ECF[[#This Row],[ap,eq (cm)]])</f>
        <v>9.9374771566530722</v>
      </c>
      <c r="AT53" s="4" t="str">
        <f ca="1">IF(ECF[[#This Row],[nE]]=1,ECF[[#This Row],[As,lado (cm²)]],IF(ECF[[#This Row],[nE]]=2,0.075*2*ECF[a (cm)],"N.A."))</f>
        <v>N.A.</v>
      </c>
      <c r="AU53" s="4">
        <f ca="1">IFERROR(IF(ECF[[#This Row],[nE]]=1,"N.A.",0.2*ECF[[#This Row],[As,lado (cm²)]]),"N.S.")</f>
        <v>1.9874954313306146</v>
      </c>
      <c r="AV53" s="4">
        <f ca="1">As_malha(ECF[[#This Row],[nE]],ECF[[#This Row],[As,lado (cm²)]],ECF[[#This Row],[Nsd (kN)]])</f>
        <v>1.9874954313306146</v>
      </c>
      <c r="AW53" s="4">
        <f ca="1">As_susp_tot(ECF[[#This Row],[nE]],ECF[[#This Row],[Nsd (kN)]])</f>
        <v>6.708333333333333</v>
      </c>
      <c r="AX53" s="4">
        <f ca="1">Asp_face(ECF[[#This Row],[nE]],ECF[[#This Row],[As,lado (cm²)]])</f>
        <v>4.9687385783265361</v>
      </c>
      <c r="AY53" s="5">
        <f ca="1">acoBloco(ECF[[#This Row],[nE]],ECF[[#This Row],[e (cm)]],ECF[[#This Row],[a (cm)]],ECF[[#This Row],[h (cm)]],ECF[[#This Row],[As,lado (cm²)]],ECF[[#This Row],[Asp e Asw (cm²/m)]],ECF[[#This Row],[As,sup (cm²)]],ECF[[#This Row],[As,malha (cm²)]],ECF[[#This Row],[As,susp,tot (cm²)]],ECF[[#This Row],[Asp,face (cm²)]])</f>
        <v>241.69245356882661</v>
      </c>
      <c r="AZ53" s="4">
        <f ca="1">concretoBloco(ECF[[#This Row],[nE]],ECF[[#This Row],[e (cm)]],ECF[[#This Row],[a (cm)]],ECF[[#This Row],[h (cm)]])</f>
        <v>19.404</v>
      </c>
      <c r="BA53" s="5">
        <f ca="1">SUM(ECF[[#This Row],[Aço Est (kg)]],ECF[[#This Row],[Aço Bloco (kg)]])</f>
        <v>290.02899813695916</v>
      </c>
      <c r="BB53" s="4">
        <f>INDEX(composicoes[],MATCH(95580,composicoes[CÓDIGO],0),MATCH("CUSTO TOTAL",composicoes[#Headers],0))</f>
        <v>10.46</v>
      </c>
      <c r="BC53" s="4">
        <f ca="1">SUM(ECF[[#This Row],[Conc Est (m³)]],ECF[[#This Row],[Conc Bloco (m³)]])</f>
        <v>28.640282401553989</v>
      </c>
      <c r="BD53" s="4">
        <f>INDEX(composicoes[],MATCH(94966,composicoes[CÓDIGO],0),MATCH("CUSTO TOTAL",composicoes[#Headers],0))</f>
        <v>439.52</v>
      </c>
      <c r="BE53" s="38">
        <f ca="1">ECF[[#This Row],[Aço (kg)]]*ECF[[#This Row],[Aço (R$/kg)]]+ECF[[#This Row],[Conc (m³)]]*ECF[[#This Row],[Conc (R$/m³)]]</f>
        <v>15621.680241643602</v>
      </c>
      <c r="BF53" s="4" t="str">
        <f ca="1">IF(COUNTIF(ECF[#This Row],"N.S.")&gt;0,"lim.","OK")</f>
        <v>OK</v>
      </c>
      <c r="BG53" s="4" t="str">
        <f>IF(ECF[[#This Row],[Prof. (m)]]&lt;4,"lim.","OK")</f>
        <v>OK</v>
      </c>
      <c r="BH53" s="4" t="str">
        <f>IF(ECF[[#This Row],[Prof. (m)]]&gt;=8*ECF[[#This Row],[Ø (cm)]]/100,"OK","lim.")</f>
        <v>OK</v>
      </c>
      <c r="BI53" s="4" t="str">
        <f>IF(AND(SPT!$F$3&lt;&gt;"",ECF[[#This Row],[Prof. (m)]]&gt;=SPT!$F$3-2),"lim.","OK")</f>
        <v>OK</v>
      </c>
      <c r="BJ53" s="4" t="str">
        <f ca="1">IF(ECF[[#This Row],[Verif. Biela]]="OK","OK","lim.")</f>
        <v>OK</v>
      </c>
      <c r="BK53" s="4" t="str">
        <f ca="1">IF(COUNTA(ECF[[#This Row],[Nº Est.]:[Biela comp.]])=COUNTIF(ECF[[#This Row],[Nº Est.]:[Biela comp.]],"OK"),"OK","lim.")</f>
        <v>OK</v>
      </c>
      <c r="BL53" s="4" t="str">
        <f ca="1">IF(ECF[[#This Row],[Controle]]="OK",ECF[[#This Row],[nE]]&amp;" Ø"&amp;ECF[[#This Row],[Ø (cm)]]&amp;"cm Prof. "&amp;ECF[[#This Row],[Prof. (m)]]&amp;" m","")</f>
        <v>4 Ø70cm Prof. 6 m</v>
      </c>
      <c r="BM53" s="4" t="str">
        <f ca="1">IF(ECF[[#This Row],[idDimensionamento]]="","",ECF[[#This Row],[idPilar]]&amp;ECF[[#This Row],[idDimensionamento]])</f>
        <v>24 Ø70cm Prof. 6 m</v>
      </c>
    </row>
    <row r="54" spans="2:65" x14ac:dyDescent="0.25">
      <c r="B54" s="12">
        <f>ROUNDUP((ROW(ECF[[#This Row],[idDiâmetro]])-ROW(ECF[[#Headers],[idDiâmetro]]))/(COUNT(SPT[Prof. (m)])*COUNT(PILARES[Pilar])),0)</f>
        <v>2</v>
      </c>
      <c r="C54" s="12">
        <f>IF(ECF[[#This Row],[idDiâmetro]]&lt;&gt;B53,1,IF(ECF[[#This Row],[Prof. (m)]]=0,C53+1,C53))</f>
        <v>2</v>
      </c>
      <c r="D54" s="1">
        <f>IFERROR(IF(D53=MAX(SPT[Prof. (m)]),0,D53+1),0)</f>
        <v>7</v>
      </c>
      <c r="E54" s="1">
        <f>INDEX(SPT[],MATCH(ECF[[#This Row],[Prof. (m)]],SPT[Prof. (m)],0),2)</f>
        <v>8</v>
      </c>
      <c r="F54" s="1" t="str">
        <f>INDEX(SPT[],MATCH(ECF[[#This Row],[Prof. (m)]],SPT[Prof. (m)],0),3)</f>
        <v>Silte arenoso</v>
      </c>
      <c r="G54" s="1">
        <f>INDEX(estacas[],ECF[[#This Row],[idDiâmetro]],MATCH($B$2,estacas[#Headers],0))</f>
        <v>70</v>
      </c>
      <c r="H54" s="1">
        <f>INDEX(estacas[],MATCH(ECF[[#This Row],[Ø (cm)]],estacas[Ø ECF (cm)],0),MATCH(ECF[[#Headers],[Pe ECF (kN)]],estacas[#Headers],0))</f>
        <v>1500</v>
      </c>
      <c r="I54" s="4">
        <f>INDEX(K_alpha_C[],MATCH(ECF[[#This Row],[Solo]],K_alpha_C[Solo],0),2)</f>
        <v>0.55000000000000004</v>
      </c>
      <c r="J54" s="5">
        <f>INDEX(K_alpha_C[],MATCH(ECF[[#This Row],[Solo]],K_alpha_C[Solo],0),3)</f>
        <v>2.2000000000000002</v>
      </c>
      <c r="K54" s="4">
        <f>INDEX(F1_F2[],MATCH($D$2,F1_F2[Tipo de estaca],0),2)</f>
        <v>3</v>
      </c>
      <c r="L54" s="4">
        <f>INDEX(F1_F2[],MATCH($D$2,F1_F2[Tipo de estaca],0),3)</f>
        <v>6</v>
      </c>
      <c r="M54" s="4">
        <f>PI()*(ECF[[#This Row],[Ø (cm)]]/100)^2/4</f>
        <v>0.38484510006474959</v>
      </c>
      <c r="N54" s="4">
        <f>PI()*ECF[[#This Row],[Ø (cm)]]/100</f>
        <v>2.1991148575128552</v>
      </c>
      <c r="O54" s="4">
        <f>IF(ECF[[#This Row],[Prof. (m)]]=0,0,ECF[[#This Row],[α (%)]]/100*ECF[[#This Row],[K (MPa)]]*1000*ECF[[#This Row],[NSPT]])</f>
        <v>96.800000000000011</v>
      </c>
      <c r="P54" s="4">
        <f>IF(ECF[[#This Row],[Prof. (m)]]=0,0,(ECF[[#This Row],[K (MPa)]]*1000*ECF[[#This Row],[NSPT]]/ECF[[#This Row],[F1]]*ECF[[#This Row],[Ap (m²)]]+ECF[[#This Row],[U (m)]]/ECF[[#This Row],[F2]]*SUMIFS(ECF[(α∙K∙NL∙ΔL)],ECF[Prof. (m)],"&lt;="&amp;ECF[[#This Row],[Prof. (m)]],ECF[idDiâmetro],ECF[[#This Row],[idDiâmetro]],ECF[idPilar],ECF[[#This Row],[idPilar]]))/'DADOS CAP. CARGA'!$D$2)</f>
        <v>443.28657740315379</v>
      </c>
      <c r="Q54" s="12">
        <f>INDEX(C_alpha_beta[],MATCH(ECF[[#This Row],[Solo]],C_alpha_beta[Solo],0),MATCH(ECF[[#Headers],[C (kPa)]],C_alpha_beta[#Headers],0))</f>
        <v>250</v>
      </c>
      <c r="R54" s="4">
        <f>INDEX(C_alpha_beta[],MATCH(ECF[[#This Row],[Solo]],C_alpha_beta[Solo],0),MATCH(ECF[[#Headers],[α ESF]],C_alpha_beta[#Headers],0))</f>
        <v>0.6</v>
      </c>
      <c r="S54" s="4">
        <f>INDEX(C_alpha_beta[],MATCH(ECF[[#This Row],[Solo]],C_alpha_beta[Solo],0),MATCH(ECF[[#Headers],[β ESF]],C_alpha_beta[#Headers],0))</f>
        <v>0.65</v>
      </c>
      <c r="T54" s="4">
        <f>IF(ECF[[#This Row],[Prof. (m)]]=0,0,10*(ECF[[#This Row],[NSPT]]/3+1))</f>
        <v>36.666666666666664</v>
      </c>
      <c r="U54" s="4">
        <f>(ECF[[#This Row],[α ESF]]*ECF[[#This Row],[C (kPa)]]*ECF[[#This Row],[NSPT]]*ECF[[#This Row],[Ap (m²)]])/'DADOS CAP. CARGA'!$Q$2+(ECF[[#This Row],[β ESF]]*SUMIFS(ECF[10∙(NL/3+1)],ECF[Prof. (m)],"&lt;="&amp;ECF[[#This Row],[Prof. (m)]],ECF[idDiâmetro],ECF[[#This Row],[idDiâmetro]],ECF[idPilar],ECF[[#This Row],[idPilar]])*ECF[[#This Row],[U (m)]])/'DADOS CAP. CARGA'!$S$2</f>
        <v>313.19060762412244</v>
      </c>
      <c r="V54" s="4">
        <f>IF(SPT!$M$5=1,MIN(ECF[[#This Row],[Pe ECF (kN)]],ECF[[#This Row],[R_AV (kN)]]),IF(SPT!$M$5=2,MIN(ECF[[#This Row],[Pe ECF (kN)]],ECF[[#This Row],[R_DC (kN)]]),MIN(ECF[[#This Row],[Pe ECF (kN)]],ECF[[#This Row],[R_AV (kN)]],ECF[[#This Row],[R_DC (kN)]])))</f>
        <v>313.19060762412244</v>
      </c>
      <c r="W54" s="4">
        <f>INDEX(PILARES[],ECF[[#This Row],[idPilar]],MATCH("Carga (kN)",PILARES[#Headers],0))*1.4</f>
        <v>1750</v>
      </c>
      <c r="X54" s="12">
        <f>INDEX(PILARES[],ECF[[#This Row],[idPilar]],MATCH(ECF[[#Headers],[ap (cm)]],PILARES[#Headers],0))</f>
        <v>50</v>
      </c>
      <c r="Y54" s="12">
        <f>INDEX(PILARES[],ECF[[#This Row],[idPilar]],MATCH(ECF[[#Headers],[bp (cm)]],PILARES[#Headers],0))</f>
        <v>40</v>
      </c>
      <c r="Z54" s="4">
        <f>SQRT(ECF[[#This Row],[ap (cm)]]*ECF[[#This Row],[bp (cm)]])</f>
        <v>44.721359549995796</v>
      </c>
      <c r="AA54" s="12">
        <f>ECF[[#This Row],[ap (cm)]]*ECF[[#This Row],[bp (cm)]]</f>
        <v>2000</v>
      </c>
      <c r="AB54" s="12">
        <f ca="1">IF(ECF[[#This Row],[Padm∙ε (kN)]]&gt;=ECF[[#This Row],[Padm (kN)]],ROUNDUP(1.05*ECF[[#This Row],[Nsd (kN)]]/ECF[[#This Row],[Padm (kN)]],0),ROUNDUP(1.05*ECF[[#This Row],[Nsd (kN)]]/ECF[[#This Row],[Padm (kN)]],0)+1)</f>
        <v>6</v>
      </c>
      <c r="AC54" s="4" t="str">
        <f ca="1">IFERROR(IF(ECF[[#This Row],[nE]]=1,ECF[[#This Row],[Padm (kN)]],ECF[[#This Row],[Padm (kN)]]*ECF[[#This Row],[nE]]*INDEX(grupoEstacas[],ECF[[#This Row],[nE]],MATCH("ε",grupoEstacas[#Headers],0))),"N.S.")</f>
        <v>N.S.</v>
      </c>
      <c r="AD54" s="4">
        <f ca="1">1.05*ECF[[#This Row],[Nsd (kN)]]/(ECF[[#This Row],[nE]]*PI()*ECF[[#This Row],[Ø (cm)]]^2/4)*10</f>
        <v>0.79577471545947676</v>
      </c>
      <c r="AE54" s="4">
        <f ca="1">IF(ECF[[#This Row],[σ (MPa)]]&lt;INDEX(tipoEstaca[],MATCH($D$2,tipoEstaca[TIPO DE ESTACA],0),MATCH("σmáx (MPa)",tipoEstaca[#Headers],0)),0.4%*PI()*ECF[[#This Row],[Ø (cm)]]^2/4,"N.S.")</f>
        <v>15.393804002589988</v>
      </c>
      <c r="AF54" s="1">
        <f>INDEX(tipoEstaca[],MATCH($D$2,tipoEstaca[TIPO DE ESTACA],0),MATCH(ECF[[#Headers],[Comprimento (m)]],tipoEstaca[#Headers],0))</f>
        <v>4</v>
      </c>
      <c r="AG54" s="5">
        <f ca="1">ECF[[#This Row],[As,mín (cm²)]]/100^2*ECF[[#This Row],[Comprimento (m)]]*7850</f>
        <v>48.33654456813256</v>
      </c>
      <c r="AH54" s="4">
        <f ca="1">ECF[[#This Row],[nE]]*ECF[[#This Row],[Prof. (m)]]*ECF[[#This Row],[Ap (m²)]]</f>
        <v>16.163494202719484</v>
      </c>
      <c r="AI54" s="1">
        <f ca="1">IF(ECF[[#This Row],[nE]]=1,0,MAX(3*ECF[[#This Row],[Ø (cm)]],60))</f>
        <v>210</v>
      </c>
      <c r="AJ54" s="1">
        <f ca="1">IF(ECF[[#This Row],[nE]]=1,ECF[[#This Row],[Ø (cm)]]+2*10,MAX(1.5*ECF[[#This Row],[Ø (cm)]],ECF[[#This Row],[Ø (cm)]]+15))</f>
        <v>105</v>
      </c>
      <c r="AK54" s="1" t="str">
        <f ca="1">alturaUtil(ECF[[#This Row],[nE]],ECF[[#This Row],[Ø (cm)]],ECF[[#This Row],[e (cm)]],ECF[[#This Row],[ap,eq (cm)]])</f>
        <v>N.S.</v>
      </c>
      <c r="AL54" s="1" t="str">
        <f ca="1">IFERROR(ECF[[#This Row],[d (cm)]]+arredondarParaCimaMultiplo5cm(MAX(5,SQRT(PI())/2*ECF[[#This Row],[Ø (cm)]]/5)),"N.S.")</f>
        <v>N.S.</v>
      </c>
      <c r="AM54" s="5" t="str">
        <f ca="1">alpha(ECF[[#This Row],[nE]],ECF[[#This Row],[d (cm)]],ECF[[#This Row],[e (cm)]],ECF[[#This Row],[ap,eq (cm)]])</f>
        <v>N.S.</v>
      </c>
      <c r="AN54" s="35" t="str">
        <f ca="1">IFERROR(ECF[[#This Row],[Nsd (kN)]]/(ECF[[#This Row],[Ap (cm²)]]*SIN(ECF[[#This Row],[α]])^2),"N.S.")</f>
        <v>N.S.</v>
      </c>
      <c r="AO54" s="35" t="str">
        <f ca="1">IFERROR(ECF[[#This Row],[Nsd (kN)]]/(ECF[[#This Row],[nE]]*PI()*ECF[[#This Row],[Ø (cm)]]^2/4*SIN(ECF[[#This Row],[α]])^2),"N.S.")</f>
        <v>N.S.</v>
      </c>
      <c r="AP54" s="4" t="str">
        <f ca="1">IFERROR(INDEX(grupoEstacas[],ECF[[#This Row],[nE]],MATCH("coef. Blévot",grupoEstacas[#Headers],0)),"N.S.")</f>
        <v>N.S.</v>
      </c>
      <c r="AQ54" s="35" t="str">
        <f ca="1">IFERROR(ECF[[#This Row],[coef. Blévot]]*0.9*INDEX(tipoEstaca[],MATCH($D$2,tipoEstaca[TIPO DE ESTACA],0),MATCH("fcd (kN/cm²)",tipoEstaca[#Headers],0)),"N.S.")</f>
        <v>N.S.</v>
      </c>
      <c r="AR54" s="1" t="str">
        <f ca="1">IF(AND(ECF[[#This Row],[cd,b,pil (kN/cm²)]]&lt;=ECF[[#This Row],[cd,b,lim (kN/cm²)]],ECF[[#This Row],[cd,b,est (kN/cm²)]]&lt;=ECF[[#This Row],[cd,b,lim (kN/cm²)]]),"OK","ERRO")</f>
        <v>OK</v>
      </c>
      <c r="AS54" s="4" t="str">
        <f ca="1">As_lado(ECF[[#This Row],[nE]],ECF[[#This Row],[Nsd (kN)]],ECF[[#This Row],[d (cm)]],ECF[[#This Row],[e (cm)]],ECF[[#This Row],[ap,eq (cm)]])</f>
        <v>N.S.</v>
      </c>
      <c r="AT54" s="4" t="str">
        <f ca="1">IF(ECF[[#This Row],[nE]]=1,ECF[[#This Row],[As,lado (cm²)]],IF(ECF[[#This Row],[nE]]=2,0.075*2*ECF[a (cm)],"N.A."))</f>
        <v>N.A.</v>
      </c>
      <c r="AU54" s="4" t="str">
        <f ca="1">IFERROR(IF(ECF[[#This Row],[nE]]=1,"N.A.",0.2*ECF[[#This Row],[As,lado (cm²)]]),"N.S.")</f>
        <v>N.S.</v>
      </c>
      <c r="AV54" s="4" t="str">
        <f ca="1">As_malha(ECF[[#This Row],[nE]],ECF[[#This Row],[As,lado (cm²)]],ECF[[#This Row],[Nsd (kN)]])</f>
        <v>N.S.</v>
      </c>
      <c r="AW54" s="4" t="str">
        <f ca="1">As_susp_tot(ECF[[#This Row],[nE]],ECF[[#This Row],[Nsd (kN)]])</f>
        <v>N.S.</v>
      </c>
      <c r="AX54" s="4" t="str">
        <f ca="1">Asp_face(ECF[[#This Row],[nE]],ECF[[#This Row],[As,lado (cm²)]])</f>
        <v>N.S.</v>
      </c>
      <c r="AY54" s="5" t="str">
        <f ca="1">acoBloco(ECF[[#This Row],[nE]],ECF[[#This Row],[e (cm)]],ECF[[#This Row],[a (cm)]],ECF[[#This Row],[h (cm)]],ECF[[#This Row],[As,lado (cm²)]],ECF[[#This Row],[Asp e Asw (cm²/m)]],ECF[[#This Row],[As,sup (cm²)]],ECF[[#This Row],[As,malha (cm²)]],ECF[[#This Row],[As,susp,tot (cm²)]],ECF[[#This Row],[Asp,face (cm²)]])</f>
        <v>N.S.</v>
      </c>
      <c r="AZ54" s="4" t="str">
        <f ca="1">concretoBloco(ECF[[#This Row],[nE]],ECF[[#This Row],[e (cm)]],ECF[[#This Row],[a (cm)]],ECF[[#This Row],[h (cm)]])</f>
        <v>N.S.</v>
      </c>
      <c r="BA54" s="5">
        <f ca="1">SUM(ECF[[#This Row],[Aço Est (kg)]],ECF[[#This Row],[Aço Bloco (kg)]])</f>
        <v>48.33654456813256</v>
      </c>
      <c r="BB54" s="4">
        <f>INDEX(composicoes[],MATCH(95580,composicoes[CÓDIGO],0),MATCH("CUSTO TOTAL",composicoes[#Headers],0))</f>
        <v>10.46</v>
      </c>
      <c r="BC54" s="4">
        <f ca="1">SUM(ECF[[#This Row],[Conc Est (m³)]],ECF[[#This Row],[Conc Bloco (m³)]])</f>
        <v>16.163494202719484</v>
      </c>
      <c r="BD54" s="4">
        <f>INDEX(composicoes[],MATCH(94966,composicoes[CÓDIGO],0),MATCH("CUSTO TOTAL",composicoes[#Headers],0))</f>
        <v>439.52</v>
      </c>
      <c r="BE54" s="38">
        <f ca="1">ECF[[#This Row],[Aço (kg)]]*ECF[[#This Row],[Aço (R$/kg)]]+ECF[[#This Row],[Conc (m³)]]*ECF[[#This Row],[Conc (R$/m³)]]</f>
        <v>7609.7792281619331</v>
      </c>
      <c r="BF54" s="4" t="str">
        <f ca="1">IF(COUNTIF(ECF[#This Row],"N.S.")&gt;0,"lim.","OK")</f>
        <v>lim.</v>
      </c>
      <c r="BG54" s="4" t="str">
        <f>IF(ECF[[#This Row],[Prof. (m)]]&lt;4,"lim.","OK")</f>
        <v>OK</v>
      </c>
      <c r="BH54" s="4" t="str">
        <f>IF(ECF[[#This Row],[Prof. (m)]]&gt;=8*ECF[[#This Row],[Ø (cm)]]/100,"OK","lim.")</f>
        <v>OK</v>
      </c>
      <c r="BI54" s="4" t="str">
        <f>IF(AND(SPT!$F$3&lt;&gt;"",ECF[[#This Row],[Prof. (m)]]&gt;=SPT!$F$3-2),"lim.","OK")</f>
        <v>OK</v>
      </c>
      <c r="BJ54" s="4" t="str">
        <f ca="1">IF(ECF[[#This Row],[Verif. Biela]]="OK","OK","lim.")</f>
        <v>OK</v>
      </c>
      <c r="BK54" s="4" t="str">
        <f ca="1">IF(COUNTA(ECF[[#This Row],[Nº Est.]:[Biela comp.]])=COUNTIF(ECF[[#This Row],[Nº Est.]:[Biela comp.]],"OK"),"OK","lim.")</f>
        <v>lim.</v>
      </c>
      <c r="BL54" s="4" t="str">
        <f ca="1">IF(ECF[[#This Row],[Controle]]="OK",ECF[[#This Row],[nE]]&amp;" Ø"&amp;ECF[[#This Row],[Ø (cm)]]&amp;"cm Prof. "&amp;ECF[[#This Row],[Prof. (m)]]&amp;" m","")</f>
        <v/>
      </c>
      <c r="BM54" s="4" t="str">
        <f ca="1">IF(ECF[[#This Row],[idDimensionamento]]="","",ECF[[#This Row],[idPilar]]&amp;ECF[[#This Row],[idDimensionamento]])</f>
        <v/>
      </c>
    </row>
    <row r="55" spans="2:65" x14ac:dyDescent="0.25">
      <c r="B55" s="12">
        <f>ROUNDUP((ROW(ECF[[#This Row],[idDiâmetro]])-ROW(ECF[[#Headers],[idDiâmetro]]))/(COUNT(SPT[Prof. (m)])*COUNT(PILARES[Pilar])),0)</f>
        <v>2</v>
      </c>
      <c r="C55" s="12">
        <f>IF(ECF[[#This Row],[idDiâmetro]]&lt;&gt;B54,1,IF(ECF[[#This Row],[Prof. (m)]]=0,C54+1,C54))</f>
        <v>2</v>
      </c>
      <c r="D55" s="1">
        <f>IFERROR(IF(D54=MAX(SPT[Prof. (m)]),0,D54+1),0)</f>
        <v>8</v>
      </c>
      <c r="E55" s="1">
        <f>INDEX(SPT[],MATCH(ECF[[#This Row],[Prof. (m)]],SPT[Prof. (m)],0),2)</f>
        <v>10</v>
      </c>
      <c r="F55" s="1" t="str">
        <f>INDEX(SPT[],MATCH(ECF[[#This Row],[Prof. (m)]],SPT[Prof. (m)],0),3)</f>
        <v>Silte arenoso</v>
      </c>
      <c r="G55" s="1">
        <f>INDEX(estacas[],ECF[[#This Row],[idDiâmetro]],MATCH($B$2,estacas[#Headers],0))</f>
        <v>70</v>
      </c>
      <c r="H55" s="1">
        <f>INDEX(estacas[],MATCH(ECF[[#This Row],[Ø (cm)]],estacas[Ø ECF (cm)],0),MATCH(ECF[[#Headers],[Pe ECF (kN)]],estacas[#Headers],0))</f>
        <v>1500</v>
      </c>
      <c r="I55" s="4">
        <f>INDEX(K_alpha_C[],MATCH(ECF[[#This Row],[Solo]],K_alpha_C[Solo],0),2)</f>
        <v>0.55000000000000004</v>
      </c>
      <c r="J55" s="5">
        <f>INDEX(K_alpha_C[],MATCH(ECF[[#This Row],[Solo]],K_alpha_C[Solo],0),3)</f>
        <v>2.2000000000000002</v>
      </c>
      <c r="K55" s="4">
        <f>INDEX(F1_F2[],MATCH($D$2,F1_F2[Tipo de estaca],0),2)</f>
        <v>3</v>
      </c>
      <c r="L55" s="4">
        <f>INDEX(F1_F2[],MATCH($D$2,F1_F2[Tipo de estaca],0),3)</f>
        <v>6</v>
      </c>
      <c r="M55" s="4">
        <f>PI()*(ECF[[#This Row],[Ø (cm)]]/100)^2/4</f>
        <v>0.38484510006474959</v>
      </c>
      <c r="N55" s="4">
        <f>PI()*ECF[[#This Row],[Ø (cm)]]/100</f>
        <v>2.1991148575128552</v>
      </c>
      <c r="O55" s="4">
        <f>IF(ECF[[#This Row],[Prof. (m)]]=0,0,ECF[[#This Row],[α (%)]]/100*ECF[[#This Row],[K (MPa)]]*1000*ECF[[#This Row],[NSPT]])</f>
        <v>121.00000000000001</v>
      </c>
      <c r="P55" s="4">
        <f>IF(ECF[[#This Row],[Prof. (m)]]=0,0,(ECF[[#This Row],[K (MPa)]]*1000*ECF[[#This Row],[NSPT]]/ECF[[#This Row],[F1]]*ECF[[#This Row],[Ap (m²)]]+ECF[[#This Row],[U (m)]]/ECF[[#This Row],[F2]]*SUMIFS(ECF[(α∙K∙NL∙ΔL)],ECF[Prof. (m)],"&lt;="&amp;ECF[[#This Row],[Prof. (m)]],ECF[idDiâmetro],ECF[[#This Row],[idDiâmetro]],ECF[idPilar],ECF[[#This Row],[idPilar]]))/'DADOS CAP. CARGA'!$D$2)</f>
        <v>536.01592056161246</v>
      </c>
      <c r="Q55" s="12">
        <f>INDEX(C_alpha_beta[],MATCH(ECF[[#This Row],[Solo]],C_alpha_beta[Solo],0),MATCH(ECF[[#Headers],[C (kPa)]],C_alpha_beta[#Headers],0))</f>
        <v>250</v>
      </c>
      <c r="R55" s="4">
        <f>INDEX(C_alpha_beta[],MATCH(ECF[[#This Row],[Solo]],C_alpha_beta[Solo],0),MATCH(ECF[[#Headers],[α ESF]],C_alpha_beta[#Headers],0))</f>
        <v>0.6</v>
      </c>
      <c r="S55" s="4">
        <f>INDEX(C_alpha_beta[],MATCH(ECF[[#This Row],[Solo]],C_alpha_beta[Solo],0),MATCH(ECF[[#Headers],[β ESF]],C_alpha_beta[#Headers],0))</f>
        <v>0.65</v>
      </c>
      <c r="T55" s="4">
        <f>IF(ECF[[#This Row],[Prof. (m)]]=0,0,10*(ECF[[#This Row],[NSPT]]/3+1))</f>
        <v>43.333333333333343</v>
      </c>
      <c r="U55" s="4">
        <f>(ECF[[#This Row],[α ESF]]*ECF[[#This Row],[C (kPa)]]*ECF[[#This Row],[NSPT]]*ECF[[#This Row],[Ap (m²)]])/'DADOS CAP. CARGA'!$Q$2+(ECF[[#This Row],[β ESF]]*SUMIFS(ECF[10∙(NL/3+1)],ECF[Prof. (m)],"&lt;="&amp;ECF[[#This Row],[Prof. (m)]],ECF[idDiâmetro],ECF[[#This Row],[idDiâmetro]],ECF[idPilar],ECF[[#This Row],[idPilar]])*ECF[[#This Row],[U (m)]])/'DADOS CAP. CARGA'!$S$2</f>
        <v>373.02485770561805</v>
      </c>
      <c r="V55" s="4">
        <f>IF(SPT!$M$5=1,MIN(ECF[[#This Row],[Pe ECF (kN)]],ECF[[#This Row],[R_AV (kN)]]),IF(SPT!$M$5=2,MIN(ECF[[#This Row],[Pe ECF (kN)]],ECF[[#This Row],[R_DC (kN)]]),MIN(ECF[[#This Row],[Pe ECF (kN)]],ECF[[#This Row],[R_AV (kN)]],ECF[[#This Row],[R_DC (kN)]])))</f>
        <v>373.02485770561805</v>
      </c>
      <c r="W55" s="4">
        <f>INDEX(PILARES[],ECF[[#This Row],[idPilar]],MATCH("Carga (kN)",PILARES[#Headers],0))*1.4</f>
        <v>1750</v>
      </c>
      <c r="X55" s="12">
        <f>INDEX(PILARES[],ECF[[#This Row],[idPilar]],MATCH(ECF[[#Headers],[ap (cm)]],PILARES[#Headers],0))</f>
        <v>50</v>
      </c>
      <c r="Y55" s="12">
        <f>INDEX(PILARES[],ECF[[#This Row],[idPilar]],MATCH(ECF[[#Headers],[bp (cm)]],PILARES[#Headers],0))</f>
        <v>40</v>
      </c>
      <c r="Z55" s="4">
        <f>SQRT(ECF[[#This Row],[ap (cm)]]*ECF[[#This Row],[bp (cm)]])</f>
        <v>44.721359549995796</v>
      </c>
      <c r="AA55" s="12">
        <f>ECF[[#This Row],[ap (cm)]]*ECF[[#This Row],[bp (cm)]]</f>
        <v>2000</v>
      </c>
      <c r="AB55" s="12">
        <f ca="1">IF(ECF[[#This Row],[Padm∙ε (kN)]]&gt;=ECF[[#This Row],[Padm (kN)]],ROUNDUP(1.05*ECF[[#This Row],[Nsd (kN)]]/ECF[[#This Row],[Padm (kN)]],0),ROUNDUP(1.05*ECF[[#This Row],[Nsd (kN)]]/ECF[[#This Row],[Padm (kN)]],0)+1)</f>
        <v>5</v>
      </c>
      <c r="AC55" s="4" t="str">
        <f ca="1">IFERROR(IF(ECF[[#This Row],[nE]]=1,ECF[[#This Row],[Padm (kN)]],ECF[[#This Row],[Padm (kN)]]*ECF[[#This Row],[nE]]*INDEX(grupoEstacas[],ECF[[#This Row],[nE]],MATCH("ε",grupoEstacas[#Headers],0))),"N.S.")</f>
        <v>N.S.</v>
      </c>
      <c r="AD55" s="4">
        <f ca="1">1.05*ECF[[#This Row],[Nsd (kN)]]/(ECF[[#This Row],[nE]]*PI()*ECF[[#This Row],[Ø (cm)]]^2/4)*10</f>
        <v>0.95492965855137213</v>
      </c>
      <c r="AE55" s="4">
        <f ca="1">IF(ECF[[#This Row],[σ (MPa)]]&lt;INDEX(tipoEstaca[],MATCH($D$2,tipoEstaca[TIPO DE ESTACA],0),MATCH("σmáx (MPa)",tipoEstaca[#Headers],0)),0.4%*PI()*ECF[[#This Row],[Ø (cm)]]^2/4,"N.S.")</f>
        <v>15.393804002589988</v>
      </c>
      <c r="AF55" s="1">
        <f>INDEX(tipoEstaca[],MATCH($D$2,tipoEstaca[TIPO DE ESTACA],0),MATCH(ECF[[#Headers],[Comprimento (m)]],tipoEstaca[#Headers],0))</f>
        <v>4</v>
      </c>
      <c r="AG55" s="5">
        <f ca="1">ECF[[#This Row],[As,mín (cm²)]]/100^2*ECF[[#This Row],[Comprimento (m)]]*7850</f>
        <v>48.33654456813256</v>
      </c>
      <c r="AH55" s="4">
        <f ca="1">ECF[[#This Row],[nE]]*ECF[[#This Row],[Prof. (m)]]*ECF[[#This Row],[Ap (m²)]]</f>
        <v>15.393804002589984</v>
      </c>
      <c r="AI55" s="1">
        <f ca="1">IF(ECF[[#This Row],[nE]]=1,0,MAX(3*ECF[[#This Row],[Ø (cm)]],60))</f>
        <v>210</v>
      </c>
      <c r="AJ55" s="1">
        <f ca="1">IF(ECF[[#This Row],[nE]]=1,ECF[[#This Row],[Ø (cm)]]+2*10,MAX(1.5*ECF[[#This Row],[Ø (cm)]],ECF[[#This Row],[Ø (cm)]]+15))</f>
        <v>105</v>
      </c>
      <c r="AK55" s="1" t="str">
        <f ca="1">alturaUtil(ECF[[#This Row],[nE]],ECF[[#This Row],[Ø (cm)]],ECF[[#This Row],[e (cm)]],ECF[[#This Row],[ap,eq (cm)]])</f>
        <v>N.S.</v>
      </c>
      <c r="AL55" s="1" t="str">
        <f ca="1">IFERROR(ECF[[#This Row],[d (cm)]]+arredondarParaCimaMultiplo5cm(MAX(5,SQRT(PI())/2*ECF[[#This Row],[Ø (cm)]]/5)),"N.S.")</f>
        <v>N.S.</v>
      </c>
      <c r="AM55" s="5" t="str">
        <f ca="1">alpha(ECF[[#This Row],[nE]],ECF[[#This Row],[d (cm)]],ECF[[#This Row],[e (cm)]],ECF[[#This Row],[ap,eq (cm)]])</f>
        <v>N.S.</v>
      </c>
      <c r="AN55" s="35" t="str">
        <f ca="1">IFERROR(ECF[[#This Row],[Nsd (kN)]]/(ECF[[#This Row],[Ap (cm²)]]*SIN(ECF[[#This Row],[α]])^2),"N.S.")</f>
        <v>N.S.</v>
      </c>
      <c r="AO55" s="35" t="str">
        <f ca="1">IFERROR(ECF[[#This Row],[Nsd (kN)]]/(ECF[[#This Row],[nE]]*PI()*ECF[[#This Row],[Ø (cm)]]^2/4*SIN(ECF[[#This Row],[α]])^2),"N.S.")</f>
        <v>N.S.</v>
      </c>
      <c r="AP55" s="4" t="str">
        <f ca="1">IFERROR(INDEX(grupoEstacas[],ECF[[#This Row],[nE]],MATCH("coef. Blévot",grupoEstacas[#Headers],0)),"N.S.")</f>
        <v>N.S.</v>
      </c>
      <c r="AQ55" s="35" t="str">
        <f ca="1">IFERROR(ECF[[#This Row],[coef. Blévot]]*0.9*INDEX(tipoEstaca[],MATCH($D$2,tipoEstaca[TIPO DE ESTACA],0),MATCH("fcd (kN/cm²)",tipoEstaca[#Headers],0)),"N.S.")</f>
        <v>N.S.</v>
      </c>
      <c r="AR55" s="1" t="str">
        <f ca="1">IF(AND(ECF[[#This Row],[cd,b,pil (kN/cm²)]]&lt;=ECF[[#This Row],[cd,b,lim (kN/cm²)]],ECF[[#This Row],[cd,b,est (kN/cm²)]]&lt;=ECF[[#This Row],[cd,b,lim (kN/cm²)]]),"OK","ERRO")</f>
        <v>OK</v>
      </c>
      <c r="AS55" s="4" t="str">
        <f ca="1">As_lado(ECF[[#This Row],[nE]],ECF[[#This Row],[Nsd (kN)]],ECF[[#This Row],[d (cm)]],ECF[[#This Row],[e (cm)]],ECF[[#This Row],[ap,eq (cm)]])</f>
        <v>N.S.</v>
      </c>
      <c r="AT55" s="4" t="str">
        <f ca="1">IF(ECF[[#This Row],[nE]]=1,ECF[[#This Row],[As,lado (cm²)]],IF(ECF[[#This Row],[nE]]=2,0.075*2*ECF[a (cm)],"N.A."))</f>
        <v>N.A.</v>
      </c>
      <c r="AU55" s="4" t="str">
        <f ca="1">IFERROR(IF(ECF[[#This Row],[nE]]=1,"N.A.",0.2*ECF[[#This Row],[As,lado (cm²)]]),"N.S.")</f>
        <v>N.S.</v>
      </c>
      <c r="AV55" s="4" t="str">
        <f ca="1">As_malha(ECF[[#This Row],[nE]],ECF[[#This Row],[As,lado (cm²)]],ECF[[#This Row],[Nsd (kN)]])</f>
        <v>N.S.</v>
      </c>
      <c r="AW55" s="4" t="str">
        <f ca="1">As_susp_tot(ECF[[#This Row],[nE]],ECF[[#This Row],[Nsd (kN)]])</f>
        <v>N.S.</v>
      </c>
      <c r="AX55" s="4" t="str">
        <f ca="1">Asp_face(ECF[[#This Row],[nE]],ECF[[#This Row],[As,lado (cm²)]])</f>
        <v>N.S.</v>
      </c>
      <c r="AY55" s="5" t="str">
        <f ca="1">acoBloco(ECF[[#This Row],[nE]],ECF[[#This Row],[e (cm)]],ECF[[#This Row],[a (cm)]],ECF[[#This Row],[h (cm)]],ECF[[#This Row],[As,lado (cm²)]],ECF[[#This Row],[Asp e Asw (cm²/m)]],ECF[[#This Row],[As,sup (cm²)]],ECF[[#This Row],[As,malha (cm²)]],ECF[[#This Row],[As,susp,tot (cm²)]],ECF[[#This Row],[Asp,face (cm²)]])</f>
        <v>N.S.</v>
      </c>
      <c r="AZ55" s="4" t="str">
        <f ca="1">concretoBloco(ECF[[#This Row],[nE]],ECF[[#This Row],[e (cm)]],ECF[[#This Row],[a (cm)]],ECF[[#This Row],[h (cm)]])</f>
        <v>N.S.</v>
      </c>
      <c r="BA55" s="5">
        <f ca="1">SUM(ECF[[#This Row],[Aço Est (kg)]],ECF[[#This Row],[Aço Bloco (kg)]])</f>
        <v>48.33654456813256</v>
      </c>
      <c r="BB55" s="4">
        <f>INDEX(composicoes[],MATCH(95580,composicoes[CÓDIGO],0),MATCH("CUSTO TOTAL",composicoes[#Headers],0))</f>
        <v>10.46</v>
      </c>
      <c r="BC55" s="4">
        <f ca="1">SUM(ECF[[#This Row],[Conc Est (m³)]],ECF[[#This Row],[Conc Bloco (m³)]])</f>
        <v>15.393804002589984</v>
      </c>
      <c r="BD55" s="4">
        <f>INDEX(composicoes[],MATCH(94966,composicoes[CÓDIGO],0),MATCH("CUSTO TOTAL",composicoes[#Headers],0))</f>
        <v>439.52</v>
      </c>
      <c r="BE55" s="38">
        <f ca="1">ECF[[#This Row],[Aço (kg)]]*ECF[[#This Row],[Aço (R$/kg)]]+ECF[[#This Row],[Conc (m³)]]*ECF[[#This Row],[Conc (R$/m³)]]</f>
        <v>7271.4849914010156</v>
      </c>
      <c r="BF55" s="4" t="str">
        <f ca="1">IF(COUNTIF(ECF[#This Row],"N.S.")&gt;0,"lim.","OK")</f>
        <v>lim.</v>
      </c>
      <c r="BG55" s="4" t="str">
        <f>IF(ECF[[#This Row],[Prof. (m)]]&lt;4,"lim.","OK")</f>
        <v>OK</v>
      </c>
      <c r="BH55" s="4" t="str">
        <f>IF(ECF[[#This Row],[Prof. (m)]]&gt;=8*ECF[[#This Row],[Ø (cm)]]/100,"OK","lim.")</f>
        <v>OK</v>
      </c>
      <c r="BI55" s="4" t="str">
        <f>IF(AND(SPT!$F$3&lt;&gt;"",ECF[[#This Row],[Prof. (m)]]&gt;=SPT!$F$3-2),"lim.","OK")</f>
        <v>OK</v>
      </c>
      <c r="BJ55" s="4" t="str">
        <f ca="1">IF(ECF[[#This Row],[Verif. Biela]]="OK","OK","lim.")</f>
        <v>OK</v>
      </c>
      <c r="BK55" s="4" t="str">
        <f ca="1">IF(COUNTA(ECF[[#This Row],[Nº Est.]:[Biela comp.]])=COUNTIF(ECF[[#This Row],[Nº Est.]:[Biela comp.]],"OK"),"OK","lim.")</f>
        <v>lim.</v>
      </c>
      <c r="BL55" s="4" t="str">
        <f ca="1">IF(ECF[[#This Row],[Controle]]="OK",ECF[[#This Row],[nE]]&amp;" Ø"&amp;ECF[[#This Row],[Ø (cm)]]&amp;"cm Prof. "&amp;ECF[[#This Row],[Prof. (m)]]&amp;" m","")</f>
        <v/>
      </c>
      <c r="BM55" s="4" t="str">
        <f ca="1">IF(ECF[[#This Row],[idDimensionamento]]="","",ECF[[#This Row],[idPilar]]&amp;ECF[[#This Row],[idDimensionamento]])</f>
        <v/>
      </c>
    </row>
    <row r="56" spans="2:65" x14ac:dyDescent="0.25">
      <c r="B56" s="12">
        <f>ROUNDUP((ROW(ECF[[#This Row],[idDiâmetro]])-ROW(ECF[[#Headers],[idDiâmetro]]))/(COUNT(SPT[Prof. (m)])*COUNT(PILARES[Pilar])),0)</f>
        <v>2</v>
      </c>
      <c r="C56" s="12">
        <f>IF(ECF[[#This Row],[idDiâmetro]]&lt;&gt;B55,1,IF(ECF[[#This Row],[Prof. (m)]]=0,C55+1,C55))</f>
        <v>2</v>
      </c>
      <c r="D56" s="1">
        <f>IFERROR(IF(D55=MAX(SPT[Prof. (m)]),0,D55+1),0)</f>
        <v>9</v>
      </c>
      <c r="E56" s="1">
        <f>INDEX(SPT[],MATCH(ECF[[#This Row],[Prof. (m)]],SPT[Prof. (m)],0),2)</f>
        <v>26</v>
      </c>
      <c r="F56" s="1" t="str">
        <f>INDEX(SPT[],MATCH(ECF[[#This Row],[Prof. (m)]],SPT[Prof. (m)],0),3)</f>
        <v>Areia siltosa</v>
      </c>
      <c r="G56" s="1">
        <f>INDEX(estacas[],ECF[[#This Row],[idDiâmetro]],MATCH($B$2,estacas[#Headers],0))</f>
        <v>70</v>
      </c>
      <c r="H56" s="1">
        <f>INDEX(estacas[],MATCH(ECF[[#This Row],[Ø (cm)]],estacas[Ø ECF (cm)],0),MATCH(ECF[[#Headers],[Pe ECF (kN)]],estacas[#Headers],0))</f>
        <v>1500</v>
      </c>
      <c r="I56" s="4">
        <f>INDEX(K_alpha_C[],MATCH(ECF[[#This Row],[Solo]],K_alpha_C[Solo],0),2)</f>
        <v>0.8</v>
      </c>
      <c r="J56" s="5">
        <f>INDEX(K_alpha_C[],MATCH(ECF[[#This Row],[Solo]],K_alpha_C[Solo],0),3)</f>
        <v>2</v>
      </c>
      <c r="K56" s="4">
        <f>INDEX(F1_F2[],MATCH($D$2,F1_F2[Tipo de estaca],0),2)</f>
        <v>3</v>
      </c>
      <c r="L56" s="4">
        <f>INDEX(F1_F2[],MATCH($D$2,F1_F2[Tipo de estaca],0),3)</f>
        <v>6</v>
      </c>
      <c r="M56" s="4">
        <f>PI()*(ECF[[#This Row],[Ø (cm)]]/100)^2/4</f>
        <v>0.38484510006474959</v>
      </c>
      <c r="N56" s="4">
        <f>PI()*ECF[[#This Row],[Ø (cm)]]/100</f>
        <v>2.1991148575128552</v>
      </c>
      <c r="O56" s="4">
        <f>IF(ECF[[#This Row],[Prof. (m)]]=0,0,ECF[[#This Row],[α (%)]]/100*ECF[[#This Row],[K (MPa)]]*1000*ECF[[#This Row],[NSPT]])</f>
        <v>416</v>
      </c>
      <c r="P56" s="4">
        <f>IF(ECF[[#This Row],[Prof. (m)]]=0,0,(ECF[[#This Row],[K (MPa)]]*1000*ECF[[#This Row],[NSPT]]/ECF[[#This Row],[F1]]*ECF[[#This Row],[Ap (m²)]]+ECF[[#This Row],[U (m)]]/ECF[[#This Row],[F2]]*SUMIFS(ECF[(α∙K∙NL∙ΔL)],ECF[Prof. (m)],"&lt;="&amp;ECF[[#This Row],[Prof. (m)]],ECF[idDiâmetro],ECF[[#This Row],[idDiâmetro]],ECF[idPilar],ECF[[#This Row],[idPilar]]))/'DADOS CAP. CARGA'!$D$2)</f>
        <v>1593.6069074538361</v>
      </c>
      <c r="Q56" s="12">
        <f>INDEX(C_alpha_beta[],MATCH(ECF[[#This Row],[Solo]],C_alpha_beta[Solo],0),MATCH(ECF[[#Headers],[C (kPa)]],C_alpha_beta[#Headers],0))</f>
        <v>400</v>
      </c>
      <c r="R56" s="4">
        <f>INDEX(C_alpha_beta[],MATCH(ECF[[#This Row],[Solo]],C_alpha_beta[Solo],0),MATCH(ECF[[#Headers],[α ESF]],C_alpha_beta[#Headers],0))</f>
        <v>0.5</v>
      </c>
      <c r="S56" s="4">
        <f>INDEX(C_alpha_beta[],MATCH(ECF[[#This Row],[Solo]],C_alpha_beta[Solo],0),MATCH(ECF[[#Headers],[β ESF]],C_alpha_beta[#Headers],0))</f>
        <v>0.5</v>
      </c>
      <c r="T56" s="4">
        <f>IF(ECF[[#This Row],[Prof. (m)]]=0,0,10*(ECF[[#This Row],[NSPT]]/3+1))</f>
        <v>96.666666666666657</v>
      </c>
      <c r="U56" s="4">
        <f>(ECF[[#This Row],[α ESF]]*ECF[[#This Row],[C (kPa)]]*ECF[[#This Row],[NSPT]]*ECF[[#This Row],[Ap (m²)]])/'DADOS CAP. CARGA'!$Q$2+(ECF[[#This Row],[β ESF]]*SUMIFS(ECF[10∙(NL/3+1)],ECF[Prof. (m)],"&lt;="&amp;ECF[[#This Row],[Prof. (m)]],ECF[idDiâmetro],ECF[[#This Row],[idDiâmetro]],ECF[idPilar],ECF[[#This Row],[idPilar]])*ECF[[#This Row],[U (m)]])/'DADOS CAP. CARGA'!$S$2</f>
        <v>729.37309440843023</v>
      </c>
      <c r="V56" s="4">
        <f>IF(SPT!$M$5=1,MIN(ECF[[#This Row],[Pe ECF (kN)]],ECF[[#This Row],[R_AV (kN)]]),IF(SPT!$M$5=2,MIN(ECF[[#This Row],[Pe ECF (kN)]],ECF[[#This Row],[R_DC (kN)]]),MIN(ECF[[#This Row],[Pe ECF (kN)]],ECF[[#This Row],[R_AV (kN)]],ECF[[#This Row],[R_DC (kN)]])))</f>
        <v>729.37309440843023</v>
      </c>
      <c r="W56" s="4">
        <f>INDEX(PILARES[],ECF[[#This Row],[idPilar]],MATCH("Carga (kN)",PILARES[#Headers],0))*1.4</f>
        <v>1750</v>
      </c>
      <c r="X56" s="12">
        <f>INDEX(PILARES[],ECF[[#This Row],[idPilar]],MATCH(ECF[[#Headers],[ap (cm)]],PILARES[#Headers],0))</f>
        <v>50</v>
      </c>
      <c r="Y56" s="12">
        <f>INDEX(PILARES[],ECF[[#This Row],[idPilar]],MATCH(ECF[[#Headers],[bp (cm)]],PILARES[#Headers],0))</f>
        <v>40</v>
      </c>
      <c r="Z56" s="4">
        <f>SQRT(ECF[[#This Row],[ap (cm)]]*ECF[[#This Row],[bp (cm)]])</f>
        <v>44.721359549995796</v>
      </c>
      <c r="AA56" s="12">
        <f>ECF[[#This Row],[ap (cm)]]*ECF[[#This Row],[bp (cm)]]</f>
        <v>2000</v>
      </c>
      <c r="AB56" s="12">
        <f ca="1">IF(ECF[[#This Row],[Padm∙ε (kN)]]&gt;=ECF[[#This Row],[Padm (kN)]],ROUNDUP(1.05*ECF[[#This Row],[Nsd (kN)]]/ECF[[#This Row],[Padm (kN)]],0),ROUNDUP(1.05*ECF[[#This Row],[Nsd (kN)]]/ECF[[#This Row],[Padm (kN)]],0)+1)</f>
        <v>3</v>
      </c>
      <c r="AC56" s="4">
        <f ca="1">IFERROR(IF(ECF[[#This Row],[nE]]=1,ECF[[#This Row],[Padm (kN)]],ECF[[#This Row],[Padm (kN)]]*ECF[[#This Row],[nE]]*INDEX(grupoEstacas[],ECF[[#This Row],[nE]],MATCH("ε",grupoEstacas[#Headers],0))),"N.S.")</f>
        <v>1914.6043728221296</v>
      </c>
      <c r="AD56" s="4">
        <f ca="1">1.05*ECF[[#This Row],[Nsd (kN)]]/(ECF[[#This Row],[nE]]*PI()*ECF[[#This Row],[Ø (cm)]]^2/4)*10</f>
        <v>1.5915494309189535</v>
      </c>
      <c r="AE56" s="4">
        <f ca="1">IF(ECF[[#This Row],[σ (MPa)]]&lt;INDEX(tipoEstaca[],MATCH($D$2,tipoEstaca[TIPO DE ESTACA],0),MATCH("σmáx (MPa)",tipoEstaca[#Headers],0)),0.4%*PI()*ECF[[#This Row],[Ø (cm)]]^2/4,"N.S.")</f>
        <v>15.393804002589988</v>
      </c>
      <c r="AF56" s="1">
        <f>INDEX(tipoEstaca[],MATCH($D$2,tipoEstaca[TIPO DE ESTACA],0),MATCH(ECF[[#Headers],[Comprimento (m)]],tipoEstaca[#Headers],0))</f>
        <v>4</v>
      </c>
      <c r="AG56" s="5">
        <f ca="1">ECF[[#This Row],[As,mín (cm²)]]/100^2*ECF[[#This Row],[Comprimento (m)]]*7850</f>
        <v>48.33654456813256</v>
      </c>
      <c r="AH56" s="4">
        <f ca="1">ECF[[#This Row],[nE]]*ECF[[#This Row],[Prof. (m)]]*ECF[[#This Row],[Ap (m²)]]</f>
        <v>10.390817701748238</v>
      </c>
      <c r="AI56" s="1">
        <f ca="1">IF(ECF[[#This Row],[nE]]=1,0,MAX(3*ECF[[#This Row],[Ø (cm)]],60))</f>
        <v>210</v>
      </c>
      <c r="AJ56" s="1">
        <f ca="1">IF(ECF[[#This Row],[nE]]=1,ECF[[#This Row],[Ø (cm)]]+2*10,MAX(1.5*ECF[[#This Row],[Ø (cm)]],ECF[[#This Row],[Ø (cm)]]+15))</f>
        <v>105</v>
      </c>
      <c r="AK56" s="1">
        <f ca="1">alturaUtil(ECF[[#This Row],[nE]],ECF[[#This Row],[Ø (cm)]],ECF[[#This Row],[e (cm)]],ECF[[#This Row],[ap,eq (cm)]])</f>
        <v>95</v>
      </c>
      <c r="AL56" s="1">
        <f ca="1">IFERROR(ECF[[#This Row],[d (cm)]]+arredondarParaCimaMultiplo5cm(MAX(5,SQRT(PI())/2*ECF[[#This Row],[Ø (cm)]]/5)),"N.S.")</f>
        <v>110</v>
      </c>
      <c r="AM56" s="5">
        <f ca="1">alpha(ECF[[#This Row],[nE]],ECF[[#This Row],[d (cm)]],ECF[[#This Row],[e (cm)]],ECF[[#This Row],[ap,eq (cm)]])</f>
        <v>46.048987631421006</v>
      </c>
      <c r="AN56" s="35">
        <f ca="1">IFERROR(ECF[[#This Row],[Nsd (kN)]]/(ECF[[#This Row],[Ap (cm²)]]*SIN(ECF[[#This Row],[α]])^2),"N.S.")</f>
        <v>1.1310799422436715</v>
      </c>
      <c r="AO56" s="35">
        <f ca="1">IFERROR(ECF[[#This Row],[Nsd (kN)]]/(ECF[[#This Row],[nE]]*PI()*ECF[[#This Row],[Ø (cm)]]^2/4*SIN(ECF[[#This Row],[α]])^2),"N.S.")</f>
        <v>0.19593683139066756</v>
      </c>
      <c r="AP56" s="4">
        <f ca="1">IFERROR(INDEX(grupoEstacas[],ECF[[#This Row],[nE]],MATCH("coef. Blévot",grupoEstacas[#Headers],0)),"N.S.")</f>
        <v>1.75</v>
      </c>
      <c r="AQ56" s="35">
        <f ca="1">IFERROR(ECF[[#This Row],[coef. Blévot]]*0.9*INDEX(tipoEstaca[],MATCH($D$2,tipoEstaca[TIPO DE ESTACA],0),MATCH("fcd (kN/cm²)",tipoEstaca[#Headers],0)),"N.S.")</f>
        <v>1.75</v>
      </c>
      <c r="AR56" s="1" t="str">
        <f ca="1">IF(AND(ECF[[#This Row],[cd,b,pil (kN/cm²)]]&lt;=ECF[[#This Row],[cd,b,lim (kN/cm²)]],ECF[[#This Row],[cd,b,est (kN/cm²)]]&lt;=ECF[[#This Row],[cd,b,lim (kN/cm²)]]),"OK","ERRO")</f>
        <v>OK</v>
      </c>
      <c r="AS56" s="4">
        <f ca="1">As_lado(ECF[[#This Row],[nE]],ECF[[#This Row],[Nsd (kN)]],ECF[[#This Row],[d (cm)]],ECF[[#This Row],[e (cm)]],ECF[[#This Row],[ap,eq (cm)]])</f>
        <v>8.7920169846677272</v>
      </c>
      <c r="AT56" s="4" t="str">
        <f ca="1">IF(ECF[[#This Row],[nE]]=1,ECF[[#This Row],[As,lado (cm²)]],IF(ECF[[#This Row],[nE]]=2,0.075*2*ECF[a (cm)],"N.A."))</f>
        <v>N.A.</v>
      </c>
      <c r="AU56" s="4">
        <f ca="1">IFERROR(IF(ECF[[#This Row],[nE]]=1,"N.A.",0.2*ECF[[#This Row],[As,lado (cm²)]]),"N.S.")</f>
        <v>1.7584033969335455</v>
      </c>
      <c r="AV56" s="4">
        <f ca="1">As_malha(ECF[[#This Row],[nE]],ECF[[#This Row],[As,lado (cm²)]],ECF[[#This Row],[Nsd (kN)]])</f>
        <v>2.981481481481481</v>
      </c>
      <c r="AW56" s="4">
        <f ca="1">As_susp_tot(ECF[[#This Row],[nE]],ECF[[#This Row],[Nsd (kN)]])</f>
        <v>8.9444444444444429</v>
      </c>
      <c r="AX56" s="4">
        <f ca="1">Asp_face(ECF[[#This Row],[nE]],ECF[[#This Row],[As,lado (cm²)]])</f>
        <v>3.2970063692503979</v>
      </c>
      <c r="AY56" s="5">
        <f ca="1">acoBloco(ECF[[#This Row],[nE]],ECF[[#This Row],[e (cm)]],ECF[[#This Row],[a (cm)]],ECF[[#This Row],[h (cm)]],ECF[[#This Row],[As,lado (cm²)]],ECF[[#This Row],[Asp e Asw (cm²/m)]],ECF[[#This Row],[As,sup (cm²)]],ECF[[#This Row],[As,malha (cm²)]],ECF[[#This Row],[As,susp,tot (cm²)]],ECF[[#This Row],[Asp,face (cm²)]])</f>
        <v>182.86078000961334</v>
      </c>
      <c r="AZ56" s="4">
        <f ca="1">concretoBloco(ECF[[#This Row],[nE]],ECF[[#This Row],[e (cm)]],ECF[[#This Row],[a (cm)]],ECF[[#This Row],[h (cm)]])</f>
        <v>13.578133850637467</v>
      </c>
      <c r="BA56" s="5">
        <f ca="1">SUM(ECF[[#This Row],[Aço Est (kg)]],ECF[[#This Row],[Aço Bloco (kg)]])</f>
        <v>231.19732457774589</v>
      </c>
      <c r="BB56" s="4">
        <f>INDEX(composicoes[],MATCH(95580,composicoes[CÓDIGO],0),MATCH("CUSTO TOTAL",composicoes[#Headers],0))</f>
        <v>10.46</v>
      </c>
      <c r="BC56" s="4">
        <f ca="1">SUM(ECF[[#This Row],[Conc Est (m³)]],ECF[[#This Row],[Conc Bloco (m³)]])</f>
        <v>23.968951552385704</v>
      </c>
      <c r="BD56" s="4">
        <f>INDEX(composicoes[],MATCH(94966,composicoes[CÓDIGO],0),MATCH("CUSTO TOTAL",composicoes[#Headers],0))</f>
        <v>439.52</v>
      </c>
      <c r="BE56" s="38">
        <f ca="1">ECF[[#This Row],[Aço (kg)]]*ECF[[#This Row],[Aço (R$/kg)]]+ECF[[#This Row],[Conc (m³)]]*ECF[[#This Row],[Conc (R$/m³)]]</f>
        <v>12953.157601387788</v>
      </c>
      <c r="BF56" s="4" t="str">
        <f ca="1">IF(COUNTIF(ECF[#This Row],"N.S.")&gt;0,"lim.","OK")</f>
        <v>OK</v>
      </c>
      <c r="BG56" s="4" t="str">
        <f>IF(ECF[[#This Row],[Prof. (m)]]&lt;4,"lim.","OK")</f>
        <v>OK</v>
      </c>
      <c r="BH56" s="4" t="str">
        <f>IF(ECF[[#This Row],[Prof. (m)]]&gt;=8*ECF[[#This Row],[Ø (cm)]]/100,"OK","lim.")</f>
        <v>OK</v>
      </c>
      <c r="BI56" s="4" t="str">
        <f>IF(AND(SPT!$F$3&lt;&gt;"",ECF[[#This Row],[Prof. (m)]]&gt;=SPT!$F$3-2),"lim.","OK")</f>
        <v>OK</v>
      </c>
      <c r="BJ56" s="4" t="str">
        <f ca="1">IF(ECF[[#This Row],[Verif. Biela]]="OK","OK","lim.")</f>
        <v>OK</v>
      </c>
      <c r="BK56" s="4" t="str">
        <f ca="1">IF(COUNTA(ECF[[#This Row],[Nº Est.]:[Biela comp.]])=COUNTIF(ECF[[#This Row],[Nº Est.]:[Biela comp.]],"OK"),"OK","lim.")</f>
        <v>OK</v>
      </c>
      <c r="BL56" s="4" t="str">
        <f ca="1">IF(ECF[[#This Row],[Controle]]="OK",ECF[[#This Row],[nE]]&amp;" Ø"&amp;ECF[[#This Row],[Ø (cm)]]&amp;"cm Prof. "&amp;ECF[[#This Row],[Prof. (m)]]&amp;" m","")</f>
        <v>3 Ø70cm Prof. 9 m</v>
      </c>
      <c r="BM56" s="4" t="str">
        <f ca="1">IF(ECF[[#This Row],[idDimensionamento]]="","",ECF[[#This Row],[idPilar]]&amp;ECF[[#This Row],[idDimensionamento]])</f>
        <v>23 Ø70cm Prof. 9 m</v>
      </c>
    </row>
    <row r="57" spans="2:65" x14ac:dyDescent="0.25">
      <c r="B57" s="12">
        <f>ROUNDUP((ROW(ECF[[#This Row],[idDiâmetro]])-ROW(ECF[[#Headers],[idDiâmetro]]))/(COUNT(SPT[Prof. (m)])*COUNT(PILARES[Pilar])),0)</f>
        <v>2</v>
      </c>
      <c r="C57" s="12">
        <f>IF(ECF[[#This Row],[idDiâmetro]]&lt;&gt;B56,1,IF(ECF[[#This Row],[Prof. (m)]]=0,C56+1,C56))</f>
        <v>2</v>
      </c>
      <c r="D57" s="1">
        <f>IFERROR(IF(D56=MAX(SPT[Prof. (m)]),0,D56+1),0)</f>
        <v>10</v>
      </c>
      <c r="E57" s="1">
        <f>INDEX(SPT[],MATCH(ECF[[#This Row],[Prof. (m)]],SPT[Prof. (m)],0),2)</f>
        <v>32</v>
      </c>
      <c r="F57" s="1" t="str">
        <f>INDEX(SPT[],MATCH(ECF[[#This Row],[Prof. (m)]],SPT[Prof. (m)],0),3)</f>
        <v>Areia siltosa</v>
      </c>
      <c r="G57" s="1">
        <f>INDEX(estacas[],ECF[[#This Row],[idDiâmetro]],MATCH($B$2,estacas[#Headers],0))</f>
        <v>70</v>
      </c>
      <c r="H57" s="1">
        <f>INDEX(estacas[],MATCH(ECF[[#This Row],[Ø (cm)]],estacas[Ø ECF (cm)],0),MATCH(ECF[[#Headers],[Pe ECF (kN)]],estacas[#Headers],0))</f>
        <v>1500</v>
      </c>
      <c r="I57" s="4">
        <f>INDEX(K_alpha_C[],MATCH(ECF[[#This Row],[Solo]],K_alpha_C[Solo],0),2)</f>
        <v>0.8</v>
      </c>
      <c r="J57" s="5">
        <f>INDEX(K_alpha_C[],MATCH(ECF[[#This Row],[Solo]],K_alpha_C[Solo],0),3)</f>
        <v>2</v>
      </c>
      <c r="K57" s="4">
        <f>INDEX(F1_F2[],MATCH($D$2,F1_F2[Tipo de estaca],0),2)</f>
        <v>3</v>
      </c>
      <c r="L57" s="4">
        <f>INDEX(F1_F2[],MATCH($D$2,F1_F2[Tipo de estaca],0),3)</f>
        <v>6</v>
      </c>
      <c r="M57" s="4">
        <f>PI()*(ECF[[#This Row],[Ø (cm)]]/100)^2/4</f>
        <v>0.38484510006474959</v>
      </c>
      <c r="N57" s="4">
        <f>PI()*ECF[[#This Row],[Ø (cm)]]/100</f>
        <v>2.1991148575128552</v>
      </c>
      <c r="O57" s="4">
        <f>IF(ECF[[#This Row],[Prof. (m)]]=0,0,ECF[[#This Row],[α (%)]]/100*ECF[[#This Row],[K (MPa)]]*1000*ECF[[#This Row],[NSPT]])</f>
        <v>512</v>
      </c>
      <c r="P57" s="4">
        <f>IF(ECF[[#This Row],[Prof. (m)]]=0,0,(ECF[[#This Row],[K (MPa)]]*1000*ECF[[#This Row],[NSPT]]/ECF[[#This Row],[F1]]*ECF[[#This Row],[Ap (m²)]]+ECF[[#This Row],[U (m)]]/ECF[[#This Row],[F2]]*SUMIFS(ECF[(α∙K∙NL∙ΔL)],ECF[Prof. (m)],"&lt;="&amp;ECF[[#This Row],[Prof. (m)]],ECF[idDiâmetro],ECF[[#This Row],[idDiâmetro]],ECF[idPilar],ECF[[#This Row],[idPilar]]))/'DADOS CAP. CARGA'!$D$2)</f>
        <v>1995.3118880928512</v>
      </c>
      <c r="Q57" s="12">
        <f>INDEX(C_alpha_beta[],MATCH(ECF[[#This Row],[Solo]],C_alpha_beta[Solo],0),MATCH(ECF[[#Headers],[C (kPa)]],C_alpha_beta[#Headers],0))</f>
        <v>400</v>
      </c>
      <c r="R57" s="4">
        <f>INDEX(C_alpha_beta[],MATCH(ECF[[#This Row],[Solo]],C_alpha_beta[Solo],0),MATCH(ECF[[#Headers],[α ESF]],C_alpha_beta[#Headers],0))</f>
        <v>0.5</v>
      </c>
      <c r="S57" s="4">
        <f>INDEX(C_alpha_beta[],MATCH(ECF[[#This Row],[Solo]],C_alpha_beta[Solo],0),MATCH(ECF[[#Headers],[β ESF]],C_alpha_beta[#Headers],0))</f>
        <v>0.5</v>
      </c>
      <c r="T57" s="4">
        <f>IF(ECF[[#This Row],[Prof. (m)]]=0,0,10*(ECF[[#This Row],[NSPT]]/3+1))</f>
        <v>116.66666666666666</v>
      </c>
      <c r="U57" s="4">
        <f>(ECF[[#This Row],[α ESF]]*ECF[[#This Row],[C (kPa)]]*ECF[[#This Row],[NSPT]]*ECF[[#This Row],[Ap (m²)]])/'DADOS CAP. CARGA'!$Q$2+(ECF[[#This Row],[β ESF]]*SUMIFS(ECF[10∙(NL/3+1)],ECF[Prof. (m)],"&lt;="&amp;ECF[[#This Row],[Prof. (m)]],ECF[idDiâmetro],ECF[[#This Row],[idDiâmetro]],ECF[idPilar],ECF[[#This Row],[idPilar]])*ECF[[#This Row],[U (m)]])/'DADOS CAP. CARGA'!$S$2</f>
        <v>908.9674744386466</v>
      </c>
      <c r="V57" s="4">
        <f>IF(SPT!$M$5=1,MIN(ECF[[#This Row],[Pe ECF (kN)]],ECF[[#This Row],[R_AV (kN)]]),IF(SPT!$M$5=2,MIN(ECF[[#This Row],[Pe ECF (kN)]],ECF[[#This Row],[R_DC (kN)]]),MIN(ECF[[#This Row],[Pe ECF (kN)]],ECF[[#This Row],[R_AV (kN)]],ECF[[#This Row],[R_DC (kN)]])))</f>
        <v>908.9674744386466</v>
      </c>
      <c r="W57" s="4">
        <f>INDEX(PILARES[],ECF[[#This Row],[idPilar]],MATCH("Carga (kN)",PILARES[#Headers],0))*1.4</f>
        <v>1750</v>
      </c>
      <c r="X57" s="12">
        <f>INDEX(PILARES[],ECF[[#This Row],[idPilar]],MATCH(ECF[[#Headers],[ap (cm)]],PILARES[#Headers],0))</f>
        <v>50</v>
      </c>
      <c r="Y57" s="12">
        <f>INDEX(PILARES[],ECF[[#This Row],[idPilar]],MATCH(ECF[[#Headers],[bp (cm)]],PILARES[#Headers],0))</f>
        <v>40</v>
      </c>
      <c r="Z57" s="4">
        <f>SQRT(ECF[[#This Row],[ap (cm)]]*ECF[[#This Row],[bp (cm)]])</f>
        <v>44.721359549995796</v>
      </c>
      <c r="AA57" s="12">
        <f>ECF[[#This Row],[ap (cm)]]*ECF[[#This Row],[bp (cm)]]</f>
        <v>2000</v>
      </c>
      <c r="AB57" s="12">
        <f ca="1">IF(ECF[[#This Row],[Padm∙ε (kN)]]&gt;=ECF[[#This Row],[Padm (kN)]],ROUNDUP(1.05*ECF[[#This Row],[Nsd (kN)]]/ECF[[#This Row],[Padm (kN)]],0),ROUNDUP(1.05*ECF[[#This Row],[Nsd (kN)]]/ECF[[#This Row],[Padm (kN)]],0)+1)</f>
        <v>3</v>
      </c>
      <c r="AC57" s="4">
        <f ca="1">IFERROR(IF(ECF[[#This Row],[nE]]=1,ECF[[#This Row],[Padm (kN)]],ECF[[#This Row],[Padm (kN)]]*ECF[[#This Row],[nE]]*INDEX(grupoEstacas[],ECF[[#This Row],[nE]],MATCH("ε",grupoEstacas[#Headers],0))),"N.S.")</f>
        <v>2386.0396204014473</v>
      </c>
      <c r="AD57" s="4">
        <f ca="1">1.05*ECF[[#This Row],[Nsd (kN)]]/(ECF[[#This Row],[nE]]*PI()*ECF[[#This Row],[Ø (cm)]]^2/4)*10</f>
        <v>1.5915494309189535</v>
      </c>
      <c r="AE57" s="4">
        <f ca="1">IF(ECF[[#This Row],[σ (MPa)]]&lt;INDEX(tipoEstaca[],MATCH($D$2,tipoEstaca[TIPO DE ESTACA],0),MATCH("σmáx (MPa)",tipoEstaca[#Headers],0)),0.4%*PI()*ECF[[#This Row],[Ø (cm)]]^2/4,"N.S.")</f>
        <v>15.393804002589988</v>
      </c>
      <c r="AF57" s="1">
        <f>INDEX(tipoEstaca[],MATCH($D$2,tipoEstaca[TIPO DE ESTACA],0),MATCH(ECF[[#Headers],[Comprimento (m)]],tipoEstaca[#Headers],0))</f>
        <v>4</v>
      </c>
      <c r="AG57" s="5">
        <f ca="1">ECF[[#This Row],[As,mín (cm²)]]/100^2*ECF[[#This Row],[Comprimento (m)]]*7850</f>
        <v>48.33654456813256</v>
      </c>
      <c r="AH57" s="4">
        <f ca="1">ECF[[#This Row],[nE]]*ECF[[#This Row],[Prof. (m)]]*ECF[[#This Row],[Ap (m²)]]</f>
        <v>11.545353001942487</v>
      </c>
      <c r="AI57" s="1">
        <f ca="1">IF(ECF[[#This Row],[nE]]=1,0,MAX(3*ECF[[#This Row],[Ø (cm)]],60))</f>
        <v>210</v>
      </c>
      <c r="AJ57" s="1">
        <f ca="1">IF(ECF[[#This Row],[nE]]=1,ECF[[#This Row],[Ø (cm)]]+2*10,MAX(1.5*ECF[[#This Row],[Ø (cm)]],ECF[[#This Row],[Ø (cm)]]+15))</f>
        <v>105</v>
      </c>
      <c r="AK57" s="1">
        <f ca="1">alturaUtil(ECF[[#This Row],[nE]],ECF[[#This Row],[Ø (cm)]],ECF[[#This Row],[e (cm)]],ECF[[#This Row],[ap,eq (cm)]])</f>
        <v>95</v>
      </c>
      <c r="AL57" s="1">
        <f ca="1">IFERROR(ECF[[#This Row],[d (cm)]]+arredondarParaCimaMultiplo5cm(MAX(5,SQRT(PI())/2*ECF[[#This Row],[Ø (cm)]]/5)),"N.S.")</f>
        <v>110</v>
      </c>
      <c r="AM57" s="5">
        <f ca="1">alpha(ECF[[#This Row],[nE]],ECF[[#This Row],[d (cm)]],ECF[[#This Row],[e (cm)]],ECF[[#This Row],[ap,eq (cm)]])</f>
        <v>46.048987631421006</v>
      </c>
      <c r="AN57" s="35">
        <f ca="1">IFERROR(ECF[[#This Row],[Nsd (kN)]]/(ECF[[#This Row],[Ap (cm²)]]*SIN(ECF[[#This Row],[α]])^2),"N.S.")</f>
        <v>1.1310799422436715</v>
      </c>
      <c r="AO57" s="35">
        <f ca="1">IFERROR(ECF[[#This Row],[Nsd (kN)]]/(ECF[[#This Row],[nE]]*PI()*ECF[[#This Row],[Ø (cm)]]^2/4*SIN(ECF[[#This Row],[α]])^2),"N.S.")</f>
        <v>0.19593683139066756</v>
      </c>
      <c r="AP57" s="4">
        <f ca="1">IFERROR(INDEX(grupoEstacas[],ECF[[#This Row],[nE]],MATCH("coef. Blévot",grupoEstacas[#Headers],0)),"N.S.")</f>
        <v>1.75</v>
      </c>
      <c r="AQ57" s="35">
        <f ca="1">IFERROR(ECF[[#This Row],[coef. Blévot]]*0.9*INDEX(tipoEstaca[],MATCH($D$2,tipoEstaca[TIPO DE ESTACA],0),MATCH("fcd (kN/cm²)",tipoEstaca[#Headers],0)),"N.S.")</f>
        <v>1.75</v>
      </c>
      <c r="AR57" s="1" t="str">
        <f ca="1">IF(AND(ECF[[#This Row],[cd,b,pil (kN/cm²)]]&lt;=ECF[[#This Row],[cd,b,lim (kN/cm²)]],ECF[[#This Row],[cd,b,est (kN/cm²)]]&lt;=ECF[[#This Row],[cd,b,lim (kN/cm²)]]),"OK","ERRO")</f>
        <v>OK</v>
      </c>
      <c r="AS57" s="4">
        <f ca="1">As_lado(ECF[[#This Row],[nE]],ECF[[#This Row],[Nsd (kN)]],ECF[[#This Row],[d (cm)]],ECF[[#This Row],[e (cm)]],ECF[[#This Row],[ap,eq (cm)]])</f>
        <v>8.7920169846677272</v>
      </c>
      <c r="AT57" s="4" t="str">
        <f ca="1">IF(ECF[[#This Row],[nE]]=1,ECF[[#This Row],[As,lado (cm²)]],IF(ECF[[#This Row],[nE]]=2,0.075*2*ECF[a (cm)],"N.A."))</f>
        <v>N.A.</v>
      </c>
      <c r="AU57" s="4">
        <f ca="1">IFERROR(IF(ECF[[#This Row],[nE]]=1,"N.A.",0.2*ECF[[#This Row],[As,lado (cm²)]]),"N.S.")</f>
        <v>1.7584033969335455</v>
      </c>
      <c r="AV57" s="4">
        <f ca="1">As_malha(ECF[[#This Row],[nE]],ECF[[#This Row],[As,lado (cm²)]],ECF[[#This Row],[Nsd (kN)]])</f>
        <v>2.981481481481481</v>
      </c>
      <c r="AW57" s="4">
        <f ca="1">As_susp_tot(ECF[[#This Row],[nE]],ECF[[#This Row],[Nsd (kN)]])</f>
        <v>8.9444444444444429</v>
      </c>
      <c r="AX57" s="4">
        <f ca="1">Asp_face(ECF[[#This Row],[nE]],ECF[[#This Row],[As,lado (cm²)]])</f>
        <v>3.2970063692503979</v>
      </c>
      <c r="AY57" s="5">
        <f ca="1">acoBloco(ECF[[#This Row],[nE]],ECF[[#This Row],[e (cm)]],ECF[[#This Row],[a (cm)]],ECF[[#This Row],[h (cm)]],ECF[[#This Row],[As,lado (cm²)]],ECF[[#This Row],[Asp e Asw (cm²/m)]],ECF[[#This Row],[As,sup (cm²)]],ECF[[#This Row],[As,malha (cm²)]],ECF[[#This Row],[As,susp,tot (cm²)]],ECF[[#This Row],[Asp,face (cm²)]])</f>
        <v>182.86078000961334</v>
      </c>
      <c r="AZ57" s="4">
        <f ca="1">concretoBloco(ECF[[#This Row],[nE]],ECF[[#This Row],[e (cm)]],ECF[[#This Row],[a (cm)]],ECF[[#This Row],[h (cm)]])</f>
        <v>13.578133850637467</v>
      </c>
      <c r="BA57" s="5">
        <f ca="1">SUM(ECF[[#This Row],[Aço Est (kg)]],ECF[[#This Row],[Aço Bloco (kg)]])</f>
        <v>231.19732457774589</v>
      </c>
      <c r="BB57" s="4">
        <f>INDEX(composicoes[],MATCH(95580,composicoes[CÓDIGO],0),MATCH("CUSTO TOTAL",composicoes[#Headers],0))</f>
        <v>10.46</v>
      </c>
      <c r="BC57" s="4">
        <f ca="1">SUM(ECF[[#This Row],[Conc Est (m³)]],ECF[[#This Row],[Conc Bloco (m³)]])</f>
        <v>25.123486852579955</v>
      </c>
      <c r="BD57" s="4">
        <f>INDEX(composicoes[],MATCH(94966,composicoes[CÓDIGO],0),MATCH("CUSTO TOTAL",composicoes[#Headers],0))</f>
        <v>439.52</v>
      </c>
      <c r="BE57" s="38">
        <f ca="1">ECF[[#This Row],[Aço (kg)]]*ECF[[#This Row],[Aço (R$/kg)]]+ECF[[#This Row],[Conc (m³)]]*ECF[[#This Row],[Conc (R$/m³)]]</f>
        <v>13460.598956529164</v>
      </c>
      <c r="BF57" s="4" t="str">
        <f ca="1">IF(COUNTIF(ECF[#This Row],"N.S.")&gt;0,"lim.","OK")</f>
        <v>OK</v>
      </c>
      <c r="BG57" s="4" t="str">
        <f>IF(ECF[[#This Row],[Prof. (m)]]&lt;4,"lim.","OK")</f>
        <v>OK</v>
      </c>
      <c r="BH57" s="4" t="str">
        <f>IF(ECF[[#This Row],[Prof. (m)]]&gt;=8*ECF[[#This Row],[Ø (cm)]]/100,"OK","lim.")</f>
        <v>OK</v>
      </c>
      <c r="BI57" s="4" t="str">
        <f>IF(AND(SPT!$F$3&lt;&gt;"",ECF[[#This Row],[Prof. (m)]]&gt;=SPT!$F$3-2),"lim.","OK")</f>
        <v>OK</v>
      </c>
      <c r="BJ57" s="4" t="str">
        <f ca="1">IF(ECF[[#This Row],[Verif. Biela]]="OK","OK","lim.")</f>
        <v>OK</v>
      </c>
      <c r="BK57" s="4" t="str">
        <f ca="1">IF(COUNTA(ECF[[#This Row],[Nº Est.]:[Biela comp.]])=COUNTIF(ECF[[#This Row],[Nº Est.]:[Biela comp.]],"OK"),"OK","lim.")</f>
        <v>OK</v>
      </c>
      <c r="BL57" s="4" t="str">
        <f ca="1">IF(ECF[[#This Row],[Controle]]="OK",ECF[[#This Row],[nE]]&amp;" Ø"&amp;ECF[[#This Row],[Ø (cm)]]&amp;"cm Prof. "&amp;ECF[[#This Row],[Prof. (m)]]&amp;" m","")</f>
        <v>3 Ø70cm Prof. 10 m</v>
      </c>
      <c r="BM57" s="4" t="str">
        <f ca="1">IF(ECF[[#This Row],[idDimensionamento]]="","",ECF[[#This Row],[idPilar]]&amp;ECF[[#This Row],[idDimensionamento]])</f>
        <v>23 Ø70cm Prof. 10 m</v>
      </c>
    </row>
    <row r="58" spans="2:65" x14ac:dyDescent="0.25">
      <c r="B58" s="12">
        <f>ROUNDUP((ROW(ECF[[#This Row],[idDiâmetro]])-ROW(ECF[[#Headers],[idDiâmetro]]))/(COUNT(SPT[Prof. (m)])*COUNT(PILARES[Pilar])),0)</f>
        <v>2</v>
      </c>
      <c r="C58" s="12">
        <f>IF(ECF[[#This Row],[idDiâmetro]]&lt;&gt;B57,1,IF(ECF[[#This Row],[Prof. (m)]]=0,C57+1,C57))</f>
        <v>2</v>
      </c>
      <c r="D58" s="1">
        <f>IFERROR(IF(D57=MAX(SPT[Prof. (m)]),0,D57+1),0)</f>
        <v>11</v>
      </c>
      <c r="E58" s="1">
        <f>INDEX(SPT[],MATCH(ECF[[#This Row],[Prof. (m)]],SPT[Prof. (m)],0),2)</f>
        <v>41</v>
      </c>
      <c r="F58" s="1" t="str">
        <f>INDEX(SPT[],MATCH(ECF[[#This Row],[Prof. (m)]],SPT[Prof. (m)],0),3)</f>
        <v>Areia siltosa</v>
      </c>
      <c r="G58" s="1">
        <f>INDEX(estacas[],ECF[[#This Row],[idDiâmetro]],MATCH($B$2,estacas[#Headers],0))</f>
        <v>70</v>
      </c>
      <c r="H58" s="1">
        <f>INDEX(estacas[],MATCH(ECF[[#This Row],[Ø (cm)]],estacas[Ø ECF (cm)],0),MATCH(ECF[[#Headers],[Pe ECF (kN)]],estacas[#Headers],0))</f>
        <v>1500</v>
      </c>
      <c r="I58" s="4">
        <f>INDEX(K_alpha_C[],MATCH(ECF[[#This Row],[Solo]],K_alpha_C[Solo],0),2)</f>
        <v>0.8</v>
      </c>
      <c r="J58" s="5">
        <f>INDEX(K_alpha_C[],MATCH(ECF[[#This Row],[Solo]],K_alpha_C[Solo],0),3)</f>
        <v>2</v>
      </c>
      <c r="K58" s="4">
        <f>INDEX(F1_F2[],MATCH($D$2,F1_F2[Tipo de estaca],0),2)</f>
        <v>3</v>
      </c>
      <c r="L58" s="4">
        <f>INDEX(F1_F2[],MATCH($D$2,F1_F2[Tipo de estaca],0),3)</f>
        <v>6</v>
      </c>
      <c r="M58" s="4">
        <f>PI()*(ECF[[#This Row],[Ø (cm)]]/100)^2/4</f>
        <v>0.38484510006474959</v>
      </c>
      <c r="N58" s="4">
        <f>PI()*ECF[[#This Row],[Ø (cm)]]/100</f>
        <v>2.1991148575128552</v>
      </c>
      <c r="O58" s="4">
        <f>IF(ECF[[#This Row],[Prof. (m)]]=0,0,ECF[[#This Row],[α (%)]]/100*ECF[[#This Row],[K (MPa)]]*1000*ECF[[#This Row],[NSPT]])</f>
        <v>656</v>
      </c>
      <c r="P58" s="4">
        <f>IF(ECF[[#This Row],[Prof. (m)]]=0,0,(ECF[[#This Row],[K (MPa)]]*1000*ECF[[#This Row],[NSPT]]/ECF[[#This Row],[F1]]*ECF[[#This Row],[Ap (m²)]]+ECF[[#This Row],[U (m)]]/ECF[[#This Row],[F2]]*SUMIFS(ECF[(α∙K∙NL∙ΔL)],ECF[Prof. (m)],"&lt;="&amp;ECF[[#This Row],[Prof. (m)]],ECF[idDiâmetro],ECF[[#This Row],[idDiâmetro]],ECF[idPilar],ECF[[#This Row],[idPilar]]))/'DADOS CAP. CARGA'!$D$2)</f>
        <v>2577.3442870479203</v>
      </c>
      <c r="Q58" s="12">
        <f>INDEX(C_alpha_beta[],MATCH(ECF[[#This Row],[Solo]],C_alpha_beta[Solo],0),MATCH(ECF[[#Headers],[C (kPa)]],C_alpha_beta[#Headers],0))</f>
        <v>400</v>
      </c>
      <c r="R58" s="4">
        <f>INDEX(C_alpha_beta[],MATCH(ECF[[#This Row],[Solo]],C_alpha_beta[Solo],0),MATCH(ECF[[#Headers],[α ESF]],C_alpha_beta[#Headers],0))</f>
        <v>0.5</v>
      </c>
      <c r="S58" s="4">
        <f>INDEX(C_alpha_beta[],MATCH(ECF[[#This Row],[Solo]],C_alpha_beta[Solo],0),MATCH(ECF[[#Headers],[β ESF]],C_alpha_beta[#Headers],0))</f>
        <v>0.5</v>
      </c>
      <c r="T58" s="4">
        <f>IF(ECF[[#This Row],[Prof. (m)]]=0,0,10*(ECF[[#This Row],[NSPT]]/3+1))</f>
        <v>146.66666666666666</v>
      </c>
      <c r="U58" s="4">
        <f>(ECF[[#This Row],[α ESF]]*ECF[[#This Row],[C (kPa)]]*ECF[[#This Row],[NSPT]]*ECF[[#This Row],[Ap (m²)]])/'DADOS CAP. CARGA'!$Q$2+(ECF[[#This Row],[β ESF]]*SUMIFS(ECF[10∙(NL/3+1)],ECF[Prof. (m)],"&lt;="&amp;ECF[[#This Row],[Prof. (m)]],ECF[idDiâmetro],ECF[[#This Row],[idDiâmetro]],ECF[idPilar],ECF[[#This Row],[idPilar]])*ECF[[#This Row],[U (m)]])/'DADOS CAP. CARGA'!$S$2</f>
        <v>1162.7819809099219</v>
      </c>
      <c r="V58" s="4">
        <f>IF(SPT!$M$5=1,MIN(ECF[[#This Row],[Pe ECF (kN)]],ECF[[#This Row],[R_AV (kN)]]),IF(SPT!$M$5=2,MIN(ECF[[#This Row],[Pe ECF (kN)]],ECF[[#This Row],[R_DC (kN)]]),MIN(ECF[[#This Row],[Pe ECF (kN)]],ECF[[#This Row],[R_AV (kN)]],ECF[[#This Row],[R_DC (kN)]])))</f>
        <v>1162.7819809099219</v>
      </c>
      <c r="W58" s="4">
        <f>INDEX(PILARES[],ECF[[#This Row],[idPilar]],MATCH("Carga (kN)",PILARES[#Headers],0))*1.4</f>
        <v>1750</v>
      </c>
      <c r="X58" s="12">
        <f>INDEX(PILARES[],ECF[[#This Row],[idPilar]],MATCH(ECF[[#Headers],[ap (cm)]],PILARES[#Headers],0))</f>
        <v>50</v>
      </c>
      <c r="Y58" s="12">
        <f>INDEX(PILARES[],ECF[[#This Row],[idPilar]],MATCH(ECF[[#Headers],[bp (cm)]],PILARES[#Headers],0))</f>
        <v>40</v>
      </c>
      <c r="Z58" s="4">
        <f>SQRT(ECF[[#This Row],[ap (cm)]]*ECF[[#This Row],[bp (cm)]])</f>
        <v>44.721359549995796</v>
      </c>
      <c r="AA58" s="12">
        <f>ECF[[#This Row],[ap (cm)]]*ECF[[#This Row],[bp (cm)]]</f>
        <v>2000</v>
      </c>
      <c r="AB58" s="12">
        <f ca="1">IF(ECF[[#This Row],[Padm∙ε (kN)]]&gt;=ECF[[#This Row],[Padm (kN)]],ROUNDUP(1.05*ECF[[#This Row],[Nsd (kN)]]/ECF[[#This Row],[Padm (kN)]],0),ROUNDUP(1.05*ECF[[#This Row],[Nsd (kN)]]/ECF[[#This Row],[Padm (kN)]],0)+1)</f>
        <v>2</v>
      </c>
      <c r="AC58" s="4">
        <f ca="1">IFERROR(IF(ECF[[#This Row],[nE]]=1,ECF[[#This Row],[Padm (kN)]],ECF[[#This Row],[Padm (kN)]]*ECF[[#This Row],[nE]]*INDEX(grupoEstacas[],ECF[[#This Row],[nE]],MATCH("ε",grupoEstacas[#Headers],0))),"N.S.")</f>
        <v>2180.2162142061034</v>
      </c>
      <c r="AD58" s="4">
        <f ca="1">1.05*ECF[[#This Row],[Nsd (kN)]]/(ECF[[#This Row],[nE]]*PI()*ECF[[#This Row],[Ø (cm)]]^2/4)*10</f>
        <v>2.3873241463784298</v>
      </c>
      <c r="AE58" s="4">
        <f ca="1">IF(ECF[[#This Row],[σ (MPa)]]&lt;INDEX(tipoEstaca[],MATCH($D$2,tipoEstaca[TIPO DE ESTACA],0),MATCH("σmáx (MPa)",tipoEstaca[#Headers],0)),0.4%*PI()*ECF[[#This Row],[Ø (cm)]]^2/4,"N.S.")</f>
        <v>15.393804002589988</v>
      </c>
      <c r="AF58" s="1">
        <f>INDEX(tipoEstaca[],MATCH($D$2,tipoEstaca[TIPO DE ESTACA],0),MATCH(ECF[[#Headers],[Comprimento (m)]],tipoEstaca[#Headers],0))</f>
        <v>4</v>
      </c>
      <c r="AG58" s="5">
        <f ca="1">ECF[[#This Row],[As,mín (cm²)]]/100^2*ECF[[#This Row],[Comprimento (m)]]*7850</f>
        <v>48.33654456813256</v>
      </c>
      <c r="AH58" s="4">
        <f ca="1">ECF[[#This Row],[nE]]*ECF[[#This Row],[Prof. (m)]]*ECF[[#This Row],[Ap (m²)]]</f>
        <v>8.4665922014244916</v>
      </c>
      <c r="AI58" s="1">
        <f ca="1">IF(ECF[[#This Row],[nE]]=1,0,MAX(3*ECF[[#This Row],[Ø (cm)]],60))</f>
        <v>210</v>
      </c>
      <c r="AJ58" s="1">
        <f ca="1">IF(ECF[[#This Row],[nE]]=1,ECF[[#This Row],[Ø (cm)]]+2*10,MAX(1.5*ECF[[#This Row],[Ø (cm)]],ECF[[#This Row],[Ø (cm)]]+15))</f>
        <v>105</v>
      </c>
      <c r="AK58" s="1">
        <f ca="1">alturaUtil(ECF[[#This Row],[nE]],ECF[[#This Row],[Ø (cm)]],ECF[[#This Row],[e (cm)]],ECF[[#This Row],[ap,eq (cm)]])</f>
        <v>95</v>
      </c>
      <c r="AL58" s="1">
        <f ca="1">IFERROR(ECF[[#This Row],[d (cm)]]+arredondarParaCimaMultiplo5cm(MAX(5,SQRT(PI())/2*ECF[[#This Row],[Ø (cm)]]/5)),"N.S.")</f>
        <v>110</v>
      </c>
      <c r="AM58" s="5">
        <f ca="1">alpha(ECF[[#This Row],[nE]],ECF[[#This Row],[d (cm)]],ECF[[#This Row],[e (cm)]],ECF[[#This Row],[ap,eq (cm)]])</f>
        <v>45.358159807203123</v>
      </c>
      <c r="AN58" s="35">
        <f ca="1">IFERROR(ECF[[#This Row],[Nsd (kN)]]/(ECF[[#This Row],[Ap (cm²)]]*SIN(ECF[[#This Row],[α]])^2),"N.S.")</f>
        <v>0.9091100416642347</v>
      </c>
      <c r="AO58" s="35">
        <f ca="1">IFERROR(ECF[[#This Row],[Nsd (kN)]]/(ECF[[#This Row],[nE]]*PI()*ECF[[#This Row],[Ø (cm)]]^2/4*SIN(ECF[[#This Row],[α]])^2),"N.S.")</f>
        <v>0.23622752154341531</v>
      </c>
      <c r="AP58" s="4">
        <f ca="1">IFERROR(INDEX(grupoEstacas[],ECF[[#This Row],[nE]],MATCH("coef. Blévot",grupoEstacas[#Headers],0)),"N.S.")</f>
        <v>1.4</v>
      </c>
      <c r="AQ58" s="35">
        <f ca="1">IFERROR(ECF[[#This Row],[coef. Blévot]]*0.9*INDEX(tipoEstaca[],MATCH($D$2,tipoEstaca[TIPO DE ESTACA],0),MATCH("fcd (kN/cm²)",tipoEstaca[#Headers],0)),"N.S.")</f>
        <v>1.4000000000000001</v>
      </c>
      <c r="AR58" s="1" t="str">
        <f ca="1">IF(AND(ECF[[#This Row],[cd,b,pil (kN/cm²)]]&lt;=ECF[[#This Row],[cd,b,lim (kN/cm²)]],ECF[[#This Row],[cd,b,est (kN/cm²)]]&lt;=ECF[[#This Row],[cd,b,lim (kN/cm²)]]),"OK","ERRO")</f>
        <v>OK</v>
      </c>
      <c r="AS58" s="4">
        <f ca="1">As_lado(ECF[[#This Row],[nE]],ECF[[#This Row],[Nsd (kN)]],ECF[[#This Row],[d (cm)]],ECF[[#This Row],[e (cm)]],ECF[[#This Row],[ap,eq (cm)]])</f>
        <v>22.856197460302063</v>
      </c>
      <c r="AT58" s="4">
        <f ca="1">IF(ECF[[#This Row],[nE]]=1,ECF[[#This Row],[As,lado (cm²)]],IF(ECF[[#This Row],[nE]]=2,0.075*2*ECF[a (cm)],"N.A."))</f>
        <v>15.75</v>
      </c>
      <c r="AU58" s="4">
        <f ca="1">IFERROR(IF(ECF[[#This Row],[nE]]=1,"N.A.",0.2*ECF[[#This Row],[As,lado (cm²)]]),"N.S.")</f>
        <v>4.5712394920604131</v>
      </c>
      <c r="AV58" s="4" t="str">
        <f ca="1">As_malha(ECF[[#This Row],[nE]],ECF[[#This Row],[As,lado (cm²)]],ECF[[#This Row],[Nsd (kN)]])</f>
        <v>N.A.</v>
      </c>
      <c r="AW58" s="4" t="str">
        <f ca="1">As_susp_tot(ECF[[#This Row],[nE]],ECF[[#This Row],[Nsd (kN)]])</f>
        <v>N.A.</v>
      </c>
      <c r="AX58" s="4" t="str">
        <f ca="1">Asp_face(ECF[[#This Row],[nE]],ECF[[#This Row],[As,lado (cm²)]])</f>
        <v>N.A.</v>
      </c>
      <c r="AY58" s="5">
        <f ca="1">acoBloco(ECF[[#This Row],[nE]],ECF[[#This Row],[e (cm)]],ECF[[#This Row],[a (cm)]],ECF[[#This Row],[h (cm)]],ECF[[#This Row],[As,lado (cm²)]],ECF[[#This Row],[Asp e Asw (cm²/m)]],ECF[[#This Row],[As,sup (cm²)]],ECF[[#This Row],[As,malha (cm²)]],ECF[[#This Row],[As,susp,tot (cm²)]],ECF[[#This Row],[Asp,face (cm²)]])</f>
        <v>594.1274346319392</v>
      </c>
      <c r="AZ58" s="4">
        <f ca="1">concretoBloco(ECF[[#This Row],[nE]],ECF[[#This Row],[e (cm)]],ECF[[#This Row],[a (cm)]],ECF[[#This Row],[h (cm)]])</f>
        <v>9.702</v>
      </c>
      <c r="BA58" s="5">
        <f ca="1">SUM(ECF[[#This Row],[Aço Est (kg)]],ECF[[#This Row],[Aço Bloco (kg)]])</f>
        <v>642.46397920007178</v>
      </c>
      <c r="BB58" s="4">
        <f>INDEX(composicoes[],MATCH(95580,composicoes[CÓDIGO],0),MATCH("CUSTO TOTAL",composicoes[#Headers],0))</f>
        <v>10.46</v>
      </c>
      <c r="BC58" s="4">
        <f ca="1">SUM(ECF[[#This Row],[Conc Est (m³)]],ECF[[#This Row],[Conc Bloco (m³)]])</f>
        <v>18.168592201424492</v>
      </c>
      <c r="BD58" s="4">
        <f>INDEX(composicoes[],MATCH(94966,composicoes[CÓDIGO],0),MATCH("CUSTO TOTAL",composicoes[#Headers],0))</f>
        <v>439.52</v>
      </c>
      <c r="BE58" s="38">
        <f ca="1">ECF[[#This Row],[Aço (kg)]]*ECF[[#This Row],[Aço (R$/kg)]]+ECF[[#This Row],[Conc (m³)]]*ECF[[#This Row],[Conc (R$/m³)]]</f>
        <v>14705.632866802844</v>
      </c>
      <c r="BF58" s="4" t="str">
        <f ca="1">IF(COUNTIF(ECF[#This Row],"N.S.")&gt;0,"lim.","OK")</f>
        <v>OK</v>
      </c>
      <c r="BG58" s="4" t="str">
        <f>IF(ECF[[#This Row],[Prof. (m)]]&lt;4,"lim.","OK")</f>
        <v>OK</v>
      </c>
      <c r="BH58" s="4" t="str">
        <f>IF(ECF[[#This Row],[Prof. (m)]]&gt;=8*ECF[[#This Row],[Ø (cm)]]/100,"OK","lim.")</f>
        <v>OK</v>
      </c>
      <c r="BI58" s="4" t="str">
        <f>IF(AND(SPT!$F$3&lt;&gt;"",ECF[[#This Row],[Prof. (m)]]&gt;=SPT!$F$3-2),"lim.","OK")</f>
        <v>OK</v>
      </c>
      <c r="BJ58" s="4" t="str">
        <f ca="1">IF(ECF[[#This Row],[Verif. Biela]]="OK","OK","lim.")</f>
        <v>OK</v>
      </c>
      <c r="BK58" s="4" t="str">
        <f ca="1">IF(COUNTA(ECF[[#This Row],[Nº Est.]:[Biela comp.]])=COUNTIF(ECF[[#This Row],[Nº Est.]:[Biela comp.]],"OK"),"OK","lim.")</f>
        <v>OK</v>
      </c>
      <c r="BL58" s="4" t="str">
        <f ca="1">IF(ECF[[#This Row],[Controle]]="OK",ECF[[#This Row],[nE]]&amp;" Ø"&amp;ECF[[#This Row],[Ø (cm)]]&amp;"cm Prof. "&amp;ECF[[#This Row],[Prof. (m)]]&amp;" m","")</f>
        <v>2 Ø70cm Prof. 11 m</v>
      </c>
      <c r="BM58" s="4" t="str">
        <f ca="1">IF(ECF[[#This Row],[idDimensionamento]]="","",ECF[[#This Row],[idPilar]]&amp;ECF[[#This Row],[idDimensionamento]])</f>
        <v>22 Ø70cm Prof. 11 m</v>
      </c>
    </row>
    <row r="59" spans="2:65" x14ac:dyDescent="0.25">
      <c r="B59" s="12">
        <f>ROUNDUP((ROW(ECF[[#This Row],[idDiâmetro]])-ROW(ECF[[#Headers],[idDiâmetro]]))/(COUNT(SPT[Prof. (m)])*COUNT(PILARES[Pilar])),0)</f>
        <v>2</v>
      </c>
      <c r="C59" s="12">
        <f>IF(ECF[[#This Row],[idDiâmetro]]&lt;&gt;B58,1,IF(ECF[[#This Row],[Prof. (m)]]=0,C58+1,C58))</f>
        <v>2</v>
      </c>
      <c r="D59" s="1">
        <f>IFERROR(IF(D58=MAX(SPT[Prof. (m)]),0,D58+1),0)</f>
        <v>12</v>
      </c>
      <c r="E59" s="1">
        <f>INDEX(SPT[],MATCH(ECF[[#This Row],[Prof. (m)]],SPT[Prof. (m)],0),2)</f>
        <v>52</v>
      </c>
      <c r="F59" s="1" t="str">
        <f>INDEX(SPT[],MATCH(ECF[[#This Row],[Prof. (m)]],SPT[Prof. (m)],0),3)</f>
        <v>Areia siltosa</v>
      </c>
      <c r="G59" s="1">
        <f>INDEX(estacas[],ECF[[#This Row],[idDiâmetro]],MATCH($B$2,estacas[#Headers],0))</f>
        <v>70</v>
      </c>
      <c r="H59" s="1">
        <f>INDEX(estacas[],MATCH(ECF[[#This Row],[Ø (cm)]],estacas[Ø ECF (cm)],0),MATCH(ECF[[#Headers],[Pe ECF (kN)]],estacas[#Headers],0))</f>
        <v>1500</v>
      </c>
      <c r="I59" s="4">
        <f>INDEX(K_alpha_C[],MATCH(ECF[[#This Row],[Solo]],K_alpha_C[Solo],0),2)</f>
        <v>0.8</v>
      </c>
      <c r="J59" s="5">
        <f>INDEX(K_alpha_C[],MATCH(ECF[[#This Row],[Solo]],K_alpha_C[Solo],0),3)</f>
        <v>2</v>
      </c>
      <c r="K59" s="4">
        <f>INDEX(F1_F2[],MATCH($D$2,F1_F2[Tipo de estaca],0),2)</f>
        <v>3</v>
      </c>
      <c r="L59" s="4">
        <f>INDEX(F1_F2[],MATCH($D$2,F1_F2[Tipo de estaca],0),3)</f>
        <v>6</v>
      </c>
      <c r="M59" s="4">
        <f>PI()*(ECF[[#This Row],[Ø (cm)]]/100)^2/4</f>
        <v>0.38484510006474959</v>
      </c>
      <c r="N59" s="4">
        <f>PI()*ECF[[#This Row],[Ø (cm)]]/100</f>
        <v>2.1991148575128552</v>
      </c>
      <c r="O59" s="4">
        <f>IF(ECF[[#This Row],[Prof. (m)]]=0,0,ECF[[#This Row],[α (%)]]/100*ECF[[#This Row],[K (MPa)]]*1000*ECF[[#This Row],[NSPT]])</f>
        <v>832</v>
      </c>
      <c r="P59" s="4">
        <f>IF(ECF[[#This Row],[Prof. (m)]]=0,0,(ECF[[#This Row],[K (MPa)]]*1000*ECF[[#This Row],[NSPT]]/ECF[[#This Row],[F1]]*ECF[[#This Row],[Ap (m²)]]+ECF[[#This Row],[U (m)]]/ECF[[#This Row],[F2]]*SUMIFS(ECF[(α∙K∙NL∙ΔL)],ECF[Prof. (m)],"&lt;="&amp;ECF[[#This Row],[Prof. (m)]],ECF[idDiâmetro],ECF[[#This Row],[idDiâmetro]],ECF[idPilar],ECF[[#This Row],[idPilar]]))/'DADOS CAP. CARGA'!$D$2)</f>
        <v>3294.2557305971104</v>
      </c>
      <c r="Q59" s="12">
        <f>INDEX(C_alpha_beta[],MATCH(ECF[[#This Row],[Solo]],C_alpha_beta[Solo],0),MATCH(ECF[[#Headers],[C (kPa)]],C_alpha_beta[#Headers],0))</f>
        <v>400</v>
      </c>
      <c r="R59" s="4">
        <f>INDEX(C_alpha_beta[],MATCH(ECF[[#This Row],[Solo]],C_alpha_beta[Solo],0),MATCH(ECF[[#Headers],[α ESF]],C_alpha_beta[#Headers],0))</f>
        <v>0.5</v>
      </c>
      <c r="S59" s="4">
        <f>INDEX(C_alpha_beta[],MATCH(ECF[[#This Row],[Solo]],C_alpha_beta[Solo],0),MATCH(ECF[[#Headers],[β ESF]],C_alpha_beta[#Headers],0))</f>
        <v>0.5</v>
      </c>
      <c r="T59" s="4">
        <f>IF(ECF[[#This Row],[Prof. (m)]]=0,0,10*(ECF[[#This Row],[NSPT]]/3+1))</f>
        <v>183.33333333333331</v>
      </c>
      <c r="U59" s="4">
        <f>(ECF[[#This Row],[α ESF]]*ECF[[#This Row],[C (kPa)]]*ECF[[#This Row],[NSPT]]*ECF[[#This Row],[Ap (m²)]])/'DADOS CAP. CARGA'!$Q$2+(ECF[[#This Row],[β ESF]]*SUMIFS(ECF[10∙(NL/3+1)],ECF[Prof. (m)],"&lt;="&amp;ECF[[#This Row],[Prof. (m)]],ECF[idDiâmetro],ECF[[#This Row],[idDiâmetro]],ECF[idPilar],ECF[[#This Row],[idPilar]])*ECF[[#This Row],[U (m)]])/'DADOS CAP. CARGA'!$S$2</f>
        <v>1475.2395502482068</v>
      </c>
      <c r="V59" s="4">
        <f>IF(SPT!$M$5=1,MIN(ECF[[#This Row],[Pe ECF (kN)]],ECF[[#This Row],[R_AV (kN)]]),IF(SPT!$M$5=2,MIN(ECF[[#This Row],[Pe ECF (kN)]],ECF[[#This Row],[R_DC (kN)]]),MIN(ECF[[#This Row],[Pe ECF (kN)]],ECF[[#This Row],[R_AV (kN)]],ECF[[#This Row],[R_DC (kN)]])))</f>
        <v>1475.2395502482068</v>
      </c>
      <c r="W59" s="4">
        <f>INDEX(PILARES[],ECF[[#This Row],[idPilar]],MATCH("Carga (kN)",PILARES[#Headers],0))*1.4</f>
        <v>1750</v>
      </c>
      <c r="X59" s="12">
        <f>INDEX(PILARES[],ECF[[#This Row],[idPilar]],MATCH(ECF[[#Headers],[ap (cm)]],PILARES[#Headers],0))</f>
        <v>50</v>
      </c>
      <c r="Y59" s="12">
        <f>INDEX(PILARES[],ECF[[#This Row],[idPilar]],MATCH(ECF[[#Headers],[bp (cm)]],PILARES[#Headers],0))</f>
        <v>40</v>
      </c>
      <c r="Z59" s="4">
        <f>SQRT(ECF[[#This Row],[ap (cm)]]*ECF[[#This Row],[bp (cm)]])</f>
        <v>44.721359549995796</v>
      </c>
      <c r="AA59" s="12">
        <f>ECF[[#This Row],[ap (cm)]]*ECF[[#This Row],[bp (cm)]]</f>
        <v>2000</v>
      </c>
      <c r="AB59" s="12">
        <f ca="1">IF(ECF[[#This Row],[Padm∙ε (kN)]]&gt;=ECF[[#This Row],[Padm (kN)]],ROUNDUP(1.05*ECF[[#This Row],[Nsd (kN)]]/ECF[[#This Row],[Padm (kN)]],0),ROUNDUP(1.05*ECF[[#This Row],[Nsd (kN)]]/ECF[[#This Row],[Padm (kN)]],0)+1)</f>
        <v>2</v>
      </c>
      <c r="AC59" s="4">
        <f ca="1">IFERROR(IF(ECF[[#This Row],[nE]]=1,ECF[[#This Row],[Padm (kN)]],ECF[[#This Row],[Padm (kN)]]*ECF[[#This Row],[nE]]*INDEX(grupoEstacas[],ECF[[#This Row],[nE]],MATCH("ε",grupoEstacas[#Headers],0))),"N.S.")</f>
        <v>2766.0741567153877</v>
      </c>
      <c r="AD59" s="4">
        <f ca="1">1.05*ECF[[#This Row],[Nsd (kN)]]/(ECF[[#This Row],[nE]]*PI()*ECF[[#This Row],[Ø (cm)]]^2/4)*10</f>
        <v>2.3873241463784298</v>
      </c>
      <c r="AE59" s="4">
        <f ca="1">IF(ECF[[#This Row],[σ (MPa)]]&lt;INDEX(tipoEstaca[],MATCH($D$2,tipoEstaca[TIPO DE ESTACA],0),MATCH("σmáx (MPa)",tipoEstaca[#Headers],0)),0.4%*PI()*ECF[[#This Row],[Ø (cm)]]^2/4,"N.S.")</f>
        <v>15.393804002589988</v>
      </c>
      <c r="AF59" s="1">
        <f>INDEX(tipoEstaca[],MATCH($D$2,tipoEstaca[TIPO DE ESTACA],0),MATCH(ECF[[#Headers],[Comprimento (m)]],tipoEstaca[#Headers],0))</f>
        <v>4</v>
      </c>
      <c r="AG59" s="5">
        <f ca="1">ECF[[#This Row],[As,mín (cm²)]]/100^2*ECF[[#This Row],[Comprimento (m)]]*7850</f>
        <v>48.33654456813256</v>
      </c>
      <c r="AH59" s="4">
        <f ca="1">ECF[[#This Row],[nE]]*ECF[[#This Row],[Prof. (m)]]*ECF[[#This Row],[Ap (m²)]]</f>
        <v>9.2362824015539893</v>
      </c>
      <c r="AI59" s="1">
        <f ca="1">IF(ECF[[#This Row],[nE]]=1,0,MAX(3*ECF[[#This Row],[Ø (cm)]],60))</f>
        <v>210</v>
      </c>
      <c r="AJ59" s="1">
        <f ca="1">IF(ECF[[#This Row],[nE]]=1,ECF[[#This Row],[Ø (cm)]]+2*10,MAX(1.5*ECF[[#This Row],[Ø (cm)]],ECF[[#This Row],[Ø (cm)]]+15))</f>
        <v>105</v>
      </c>
      <c r="AK59" s="1">
        <f ca="1">alturaUtil(ECF[[#This Row],[nE]],ECF[[#This Row],[Ø (cm)]],ECF[[#This Row],[e (cm)]],ECF[[#This Row],[ap,eq (cm)]])</f>
        <v>95</v>
      </c>
      <c r="AL59" s="1">
        <f ca="1">IFERROR(ECF[[#This Row],[d (cm)]]+arredondarParaCimaMultiplo5cm(MAX(5,SQRT(PI())/2*ECF[[#This Row],[Ø (cm)]]/5)),"N.S.")</f>
        <v>110</v>
      </c>
      <c r="AM59" s="5">
        <f ca="1">alpha(ECF[[#This Row],[nE]],ECF[[#This Row],[d (cm)]],ECF[[#This Row],[e (cm)]],ECF[[#This Row],[ap,eq (cm)]])</f>
        <v>45.358159807203123</v>
      </c>
      <c r="AN59" s="35">
        <f ca="1">IFERROR(ECF[[#This Row],[Nsd (kN)]]/(ECF[[#This Row],[Ap (cm²)]]*SIN(ECF[[#This Row],[α]])^2),"N.S.")</f>
        <v>0.9091100416642347</v>
      </c>
      <c r="AO59" s="35">
        <f ca="1">IFERROR(ECF[[#This Row],[Nsd (kN)]]/(ECF[[#This Row],[nE]]*PI()*ECF[[#This Row],[Ø (cm)]]^2/4*SIN(ECF[[#This Row],[α]])^2),"N.S.")</f>
        <v>0.23622752154341531</v>
      </c>
      <c r="AP59" s="4">
        <f ca="1">IFERROR(INDEX(grupoEstacas[],ECF[[#This Row],[nE]],MATCH("coef. Blévot",grupoEstacas[#Headers],0)),"N.S.")</f>
        <v>1.4</v>
      </c>
      <c r="AQ59" s="35">
        <f ca="1">IFERROR(ECF[[#This Row],[coef. Blévot]]*0.9*INDEX(tipoEstaca[],MATCH($D$2,tipoEstaca[TIPO DE ESTACA],0),MATCH("fcd (kN/cm²)",tipoEstaca[#Headers],0)),"N.S.")</f>
        <v>1.4000000000000001</v>
      </c>
      <c r="AR59" s="1" t="str">
        <f ca="1">IF(AND(ECF[[#This Row],[cd,b,pil (kN/cm²)]]&lt;=ECF[[#This Row],[cd,b,lim (kN/cm²)]],ECF[[#This Row],[cd,b,est (kN/cm²)]]&lt;=ECF[[#This Row],[cd,b,lim (kN/cm²)]]),"OK","ERRO")</f>
        <v>OK</v>
      </c>
      <c r="AS59" s="4">
        <f ca="1">As_lado(ECF[[#This Row],[nE]],ECF[[#This Row],[Nsd (kN)]],ECF[[#This Row],[d (cm)]],ECF[[#This Row],[e (cm)]],ECF[[#This Row],[ap,eq (cm)]])</f>
        <v>22.856197460302063</v>
      </c>
      <c r="AT59" s="4">
        <f ca="1">IF(ECF[[#This Row],[nE]]=1,ECF[[#This Row],[As,lado (cm²)]],IF(ECF[[#This Row],[nE]]=2,0.075*2*ECF[a (cm)],"N.A."))</f>
        <v>15.75</v>
      </c>
      <c r="AU59" s="4">
        <f ca="1">IFERROR(IF(ECF[[#This Row],[nE]]=1,"N.A.",0.2*ECF[[#This Row],[As,lado (cm²)]]),"N.S.")</f>
        <v>4.5712394920604131</v>
      </c>
      <c r="AV59" s="4" t="str">
        <f ca="1">As_malha(ECF[[#This Row],[nE]],ECF[[#This Row],[As,lado (cm²)]],ECF[[#This Row],[Nsd (kN)]])</f>
        <v>N.A.</v>
      </c>
      <c r="AW59" s="4" t="str">
        <f ca="1">As_susp_tot(ECF[[#This Row],[nE]],ECF[[#This Row],[Nsd (kN)]])</f>
        <v>N.A.</v>
      </c>
      <c r="AX59" s="4" t="str">
        <f ca="1">Asp_face(ECF[[#This Row],[nE]],ECF[[#This Row],[As,lado (cm²)]])</f>
        <v>N.A.</v>
      </c>
      <c r="AY59" s="5">
        <f ca="1">acoBloco(ECF[[#This Row],[nE]],ECF[[#This Row],[e (cm)]],ECF[[#This Row],[a (cm)]],ECF[[#This Row],[h (cm)]],ECF[[#This Row],[As,lado (cm²)]],ECF[[#This Row],[Asp e Asw (cm²/m)]],ECF[[#This Row],[As,sup (cm²)]],ECF[[#This Row],[As,malha (cm²)]],ECF[[#This Row],[As,susp,tot (cm²)]],ECF[[#This Row],[Asp,face (cm²)]])</f>
        <v>594.1274346319392</v>
      </c>
      <c r="AZ59" s="4">
        <f ca="1">concretoBloco(ECF[[#This Row],[nE]],ECF[[#This Row],[e (cm)]],ECF[[#This Row],[a (cm)]],ECF[[#This Row],[h (cm)]])</f>
        <v>9.702</v>
      </c>
      <c r="BA59" s="5">
        <f ca="1">SUM(ECF[[#This Row],[Aço Est (kg)]],ECF[[#This Row],[Aço Bloco (kg)]])</f>
        <v>642.46397920007178</v>
      </c>
      <c r="BB59" s="4">
        <f>INDEX(composicoes[],MATCH(95580,composicoes[CÓDIGO],0),MATCH("CUSTO TOTAL",composicoes[#Headers],0))</f>
        <v>10.46</v>
      </c>
      <c r="BC59" s="4">
        <f ca="1">SUM(ECF[[#This Row],[Conc Est (m³)]],ECF[[#This Row],[Conc Bloco (m³)]])</f>
        <v>18.938282401553991</v>
      </c>
      <c r="BD59" s="4">
        <f>INDEX(composicoes[],MATCH(94966,composicoes[CÓDIGO],0),MATCH("CUSTO TOTAL",composicoes[#Headers],0))</f>
        <v>439.52</v>
      </c>
      <c r="BE59" s="38">
        <f ca="1">ECF[[#This Row],[Aço (kg)]]*ECF[[#This Row],[Aço (R$/kg)]]+ECF[[#This Row],[Conc (m³)]]*ECF[[#This Row],[Conc (R$/m³)]]</f>
        <v>15043.927103563761</v>
      </c>
      <c r="BF59" s="4" t="str">
        <f ca="1">IF(COUNTIF(ECF[#This Row],"N.S.")&gt;0,"lim.","OK")</f>
        <v>OK</v>
      </c>
      <c r="BG59" s="4" t="str">
        <f>IF(ECF[[#This Row],[Prof. (m)]]&lt;4,"lim.","OK")</f>
        <v>OK</v>
      </c>
      <c r="BH59" s="4" t="str">
        <f>IF(ECF[[#This Row],[Prof. (m)]]&gt;=8*ECF[[#This Row],[Ø (cm)]]/100,"OK","lim.")</f>
        <v>OK</v>
      </c>
      <c r="BI59" s="4" t="str">
        <f>IF(AND(SPT!$F$3&lt;&gt;"",ECF[[#This Row],[Prof. (m)]]&gt;=SPT!$F$3-2),"lim.","OK")</f>
        <v>OK</v>
      </c>
      <c r="BJ59" s="4" t="str">
        <f ca="1">IF(ECF[[#This Row],[Verif. Biela]]="OK","OK","lim.")</f>
        <v>OK</v>
      </c>
      <c r="BK59" s="4" t="str">
        <f ca="1">IF(COUNTA(ECF[[#This Row],[Nº Est.]:[Biela comp.]])=COUNTIF(ECF[[#This Row],[Nº Est.]:[Biela comp.]],"OK"),"OK","lim.")</f>
        <v>OK</v>
      </c>
      <c r="BL59" s="4" t="str">
        <f ca="1">IF(ECF[[#This Row],[Controle]]="OK",ECF[[#This Row],[nE]]&amp;" Ø"&amp;ECF[[#This Row],[Ø (cm)]]&amp;"cm Prof. "&amp;ECF[[#This Row],[Prof. (m)]]&amp;" m","")</f>
        <v>2 Ø70cm Prof. 12 m</v>
      </c>
      <c r="BM59" s="4" t="str">
        <f ca="1">IF(ECF[[#This Row],[idDimensionamento]]="","",ECF[[#This Row],[idPilar]]&amp;ECF[[#This Row],[idDimensionamento]])</f>
        <v>22 Ø70cm Prof. 12 m</v>
      </c>
    </row>
    <row r="60" spans="2:65" x14ac:dyDescent="0.25">
      <c r="B60" s="12">
        <f>ROUNDUP((ROW(ECF[[#This Row],[idDiâmetro]])-ROW(ECF[[#Headers],[idDiâmetro]]))/(COUNT(SPT[Prof. (m)])*COUNT(PILARES[Pilar])),0)</f>
        <v>2</v>
      </c>
      <c r="C60" s="12">
        <f>IF(ECF[[#This Row],[idDiâmetro]]&lt;&gt;B59,1,IF(ECF[[#This Row],[Prof. (m)]]=0,C59+1,C59))</f>
        <v>2</v>
      </c>
      <c r="D60" s="1">
        <f>IFERROR(IF(D59=MAX(SPT[Prof. (m)]),0,D59+1),0)</f>
        <v>13</v>
      </c>
      <c r="E60" s="1">
        <f>INDEX(SPT[],MATCH(ECF[[#This Row],[Prof. (m)]],SPT[Prof. (m)],0),2)</f>
        <v>68</v>
      </c>
      <c r="F60" s="1" t="str">
        <f>INDEX(SPT[],MATCH(ECF[[#This Row],[Prof. (m)]],SPT[Prof. (m)],0),3)</f>
        <v>Areia siltosa</v>
      </c>
      <c r="G60" s="1">
        <f>INDEX(estacas[],ECF[[#This Row],[idDiâmetro]],MATCH($B$2,estacas[#Headers],0))</f>
        <v>70</v>
      </c>
      <c r="H60" s="1">
        <f>INDEX(estacas[],MATCH(ECF[[#This Row],[Ø (cm)]],estacas[Ø ECF (cm)],0),MATCH(ECF[[#Headers],[Pe ECF (kN)]],estacas[#Headers],0))</f>
        <v>1500</v>
      </c>
      <c r="I60" s="4">
        <f>INDEX(K_alpha_C[],MATCH(ECF[[#This Row],[Solo]],K_alpha_C[Solo],0),2)</f>
        <v>0.8</v>
      </c>
      <c r="J60" s="5">
        <f>INDEX(K_alpha_C[],MATCH(ECF[[#This Row],[Solo]],K_alpha_C[Solo],0),3)</f>
        <v>2</v>
      </c>
      <c r="K60" s="4">
        <f>INDEX(F1_F2[],MATCH($D$2,F1_F2[Tipo de estaca],0),2)</f>
        <v>3</v>
      </c>
      <c r="L60" s="4">
        <f>INDEX(F1_F2[],MATCH($D$2,F1_F2[Tipo de estaca],0),3)</f>
        <v>6</v>
      </c>
      <c r="M60" s="4">
        <f>PI()*(ECF[[#This Row],[Ø (cm)]]/100)^2/4</f>
        <v>0.38484510006474959</v>
      </c>
      <c r="N60" s="4">
        <f>PI()*ECF[[#This Row],[Ø (cm)]]/100</f>
        <v>2.1991148575128552</v>
      </c>
      <c r="O60" s="4">
        <f>IF(ECF[[#This Row],[Prof. (m)]]=0,0,ECF[[#This Row],[α (%)]]/100*ECF[[#This Row],[K (MPa)]]*1000*ECF[[#This Row],[NSPT]])</f>
        <v>1088</v>
      </c>
      <c r="P60" s="4">
        <f>IF(ECF[[#This Row],[Prof. (m)]]=0,0,(ECF[[#This Row],[K (MPa)]]*1000*ECF[[#This Row],[NSPT]]/ECF[[#This Row],[F1]]*ECF[[#This Row],[Ap (m²)]]+ECF[[#This Row],[U (m)]]/ECF[[#This Row],[F2]]*SUMIFS(ECF[(α∙K∙NL∙ΔL)],ECF[Prof. (m)],"&lt;="&amp;ECF[[#This Row],[Prof. (m)]],ECF[idDiâmetro],ECF[[#This Row],[idDiâmetro]],ECF[idPilar],ECF[[#This Row],[idPilar]]))/'DADOS CAP. CARGA'!$D$2)</f>
        <v>4314.6450244830758</v>
      </c>
      <c r="Q60" s="12">
        <f>INDEX(C_alpha_beta[],MATCH(ECF[[#This Row],[Solo]],C_alpha_beta[Solo],0),MATCH(ECF[[#Headers],[C (kPa)]],C_alpha_beta[#Headers],0))</f>
        <v>400</v>
      </c>
      <c r="R60" s="4">
        <f>INDEX(C_alpha_beta[],MATCH(ECF[[#This Row],[Solo]],C_alpha_beta[Solo],0),MATCH(ECF[[#Headers],[α ESF]],C_alpha_beta[#Headers],0))</f>
        <v>0.5</v>
      </c>
      <c r="S60" s="4">
        <f>INDEX(C_alpha_beta[],MATCH(ECF[[#This Row],[Solo]],C_alpha_beta[Solo],0),MATCH(ECF[[#Headers],[β ESF]],C_alpha_beta[#Headers],0))</f>
        <v>0.5</v>
      </c>
      <c r="T60" s="4">
        <f>IF(ECF[[#This Row],[Prof. (m)]]=0,0,10*(ECF[[#This Row],[NSPT]]/3+1))</f>
        <v>236.66666666666669</v>
      </c>
      <c r="U60" s="4">
        <f>(ECF[[#This Row],[α ESF]]*ECF[[#This Row],[C (kPa)]]*ECF[[#This Row],[NSPT]]*ECF[[#This Row],[Ap (m²)]])/'DADOS CAP. CARGA'!$Q$2+(ECF[[#This Row],[β ESF]]*SUMIFS(ECF[10∙(NL/3+1)],ECF[Prof. (m)],"&lt;="&amp;ECF[[#This Row],[Prof. (m)]],ECF[idDiâmetro],ECF[[#This Row],[idDiâmetro]],ECF[idPilar],ECF[[#This Row],[idPilar]])*ECF[[#This Row],[U (m)]])/'DADOS CAP. CARGA'!$S$2</f>
        <v>1913.2299260361838</v>
      </c>
      <c r="V60" s="4">
        <f>IF(SPT!$M$5=1,MIN(ECF[[#This Row],[Pe ECF (kN)]],ECF[[#This Row],[R_AV (kN)]]),IF(SPT!$M$5=2,MIN(ECF[[#This Row],[Pe ECF (kN)]],ECF[[#This Row],[R_DC (kN)]]),MIN(ECF[[#This Row],[Pe ECF (kN)]],ECF[[#This Row],[R_AV (kN)]],ECF[[#This Row],[R_DC (kN)]])))</f>
        <v>1500</v>
      </c>
      <c r="W60" s="4">
        <f>INDEX(PILARES[],ECF[[#This Row],[idPilar]],MATCH("Carga (kN)",PILARES[#Headers],0))*1.4</f>
        <v>1750</v>
      </c>
      <c r="X60" s="12">
        <f>INDEX(PILARES[],ECF[[#This Row],[idPilar]],MATCH(ECF[[#Headers],[ap (cm)]],PILARES[#Headers],0))</f>
        <v>50</v>
      </c>
      <c r="Y60" s="12">
        <f>INDEX(PILARES[],ECF[[#This Row],[idPilar]],MATCH(ECF[[#Headers],[bp (cm)]],PILARES[#Headers],0))</f>
        <v>40</v>
      </c>
      <c r="Z60" s="4">
        <f>SQRT(ECF[[#This Row],[ap (cm)]]*ECF[[#This Row],[bp (cm)]])</f>
        <v>44.721359549995796</v>
      </c>
      <c r="AA60" s="12">
        <f>ECF[[#This Row],[ap (cm)]]*ECF[[#This Row],[bp (cm)]]</f>
        <v>2000</v>
      </c>
      <c r="AB60" s="12">
        <f ca="1">IF(ECF[[#This Row],[Padm∙ε (kN)]]&gt;=ECF[[#This Row],[Padm (kN)]],ROUNDUP(1.05*ECF[[#This Row],[Nsd (kN)]]/ECF[[#This Row],[Padm (kN)]],0),ROUNDUP(1.05*ECF[[#This Row],[Nsd (kN)]]/ECF[[#This Row],[Padm (kN)]],0)+1)</f>
        <v>2</v>
      </c>
      <c r="AC60" s="4">
        <f ca="1">IFERROR(IF(ECF[[#This Row],[nE]]=1,ECF[[#This Row],[Padm (kN)]],ECF[[#This Row],[Padm (kN)]]*ECF[[#This Row],[nE]]*INDEX(grupoEstacas[],ECF[[#This Row],[nE]],MATCH("ε",grupoEstacas[#Headers],0))),"N.S.")</f>
        <v>2812.5</v>
      </c>
      <c r="AD60" s="4">
        <f ca="1">1.05*ECF[[#This Row],[Nsd (kN)]]/(ECF[[#This Row],[nE]]*PI()*ECF[[#This Row],[Ø (cm)]]^2/4)*10</f>
        <v>2.3873241463784298</v>
      </c>
      <c r="AE60" s="4">
        <f ca="1">IF(ECF[[#This Row],[σ (MPa)]]&lt;INDEX(tipoEstaca[],MATCH($D$2,tipoEstaca[TIPO DE ESTACA],0),MATCH("σmáx (MPa)",tipoEstaca[#Headers],0)),0.4%*PI()*ECF[[#This Row],[Ø (cm)]]^2/4,"N.S.")</f>
        <v>15.393804002589988</v>
      </c>
      <c r="AF60" s="1">
        <f>INDEX(tipoEstaca[],MATCH($D$2,tipoEstaca[TIPO DE ESTACA],0),MATCH(ECF[[#Headers],[Comprimento (m)]],tipoEstaca[#Headers],0))</f>
        <v>4</v>
      </c>
      <c r="AG60" s="5">
        <f ca="1">ECF[[#This Row],[As,mín (cm²)]]/100^2*ECF[[#This Row],[Comprimento (m)]]*7850</f>
        <v>48.33654456813256</v>
      </c>
      <c r="AH60" s="4">
        <f ca="1">ECF[[#This Row],[nE]]*ECF[[#This Row],[Prof. (m)]]*ECF[[#This Row],[Ap (m²)]]</f>
        <v>10.005972601683489</v>
      </c>
      <c r="AI60" s="1">
        <f ca="1">IF(ECF[[#This Row],[nE]]=1,0,MAX(3*ECF[[#This Row],[Ø (cm)]],60))</f>
        <v>210</v>
      </c>
      <c r="AJ60" s="1">
        <f ca="1">IF(ECF[[#This Row],[nE]]=1,ECF[[#This Row],[Ø (cm)]]+2*10,MAX(1.5*ECF[[#This Row],[Ø (cm)]],ECF[[#This Row],[Ø (cm)]]+15))</f>
        <v>105</v>
      </c>
      <c r="AK60" s="1">
        <f ca="1">alturaUtil(ECF[[#This Row],[nE]],ECF[[#This Row],[Ø (cm)]],ECF[[#This Row],[e (cm)]],ECF[[#This Row],[ap,eq (cm)]])</f>
        <v>95</v>
      </c>
      <c r="AL60" s="1">
        <f ca="1">IFERROR(ECF[[#This Row],[d (cm)]]+arredondarParaCimaMultiplo5cm(MAX(5,SQRT(PI())/2*ECF[[#This Row],[Ø (cm)]]/5)),"N.S.")</f>
        <v>110</v>
      </c>
      <c r="AM60" s="5">
        <f ca="1">alpha(ECF[[#This Row],[nE]],ECF[[#This Row],[d (cm)]],ECF[[#This Row],[e (cm)]],ECF[[#This Row],[ap,eq (cm)]])</f>
        <v>45.358159807203123</v>
      </c>
      <c r="AN60" s="35">
        <f ca="1">IFERROR(ECF[[#This Row],[Nsd (kN)]]/(ECF[[#This Row],[Ap (cm²)]]*SIN(ECF[[#This Row],[α]])^2),"N.S.")</f>
        <v>0.9091100416642347</v>
      </c>
      <c r="AO60" s="35">
        <f ca="1">IFERROR(ECF[[#This Row],[Nsd (kN)]]/(ECF[[#This Row],[nE]]*PI()*ECF[[#This Row],[Ø (cm)]]^2/4*SIN(ECF[[#This Row],[α]])^2),"N.S.")</f>
        <v>0.23622752154341531</v>
      </c>
      <c r="AP60" s="4">
        <f ca="1">IFERROR(INDEX(grupoEstacas[],ECF[[#This Row],[nE]],MATCH("coef. Blévot",grupoEstacas[#Headers],0)),"N.S.")</f>
        <v>1.4</v>
      </c>
      <c r="AQ60" s="35">
        <f ca="1">IFERROR(ECF[[#This Row],[coef. Blévot]]*0.9*INDEX(tipoEstaca[],MATCH($D$2,tipoEstaca[TIPO DE ESTACA],0),MATCH("fcd (kN/cm²)",tipoEstaca[#Headers],0)),"N.S.")</f>
        <v>1.4000000000000001</v>
      </c>
      <c r="AR60" s="1" t="str">
        <f ca="1">IF(AND(ECF[[#This Row],[cd,b,pil (kN/cm²)]]&lt;=ECF[[#This Row],[cd,b,lim (kN/cm²)]],ECF[[#This Row],[cd,b,est (kN/cm²)]]&lt;=ECF[[#This Row],[cd,b,lim (kN/cm²)]]),"OK","ERRO")</f>
        <v>OK</v>
      </c>
      <c r="AS60" s="4">
        <f ca="1">As_lado(ECF[[#This Row],[nE]],ECF[[#This Row],[Nsd (kN)]],ECF[[#This Row],[d (cm)]],ECF[[#This Row],[e (cm)]],ECF[[#This Row],[ap,eq (cm)]])</f>
        <v>22.856197460302063</v>
      </c>
      <c r="AT60" s="4">
        <f ca="1">IF(ECF[[#This Row],[nE]]=1,ECF[[#This Row],[As,lado (cm²)]],IF(ECF[[#This Row],[nE]]=2,0.075*2*ECF[a (cm)],"N.A."))</f>
        <v>15.75</v>
      </c>
      <c r="AU60" s="4">
        <f ca="1">IFERROR(IF(ECF[[#This Row],[nE]]=1,"N.A.",0.2*ECF[[#This Row],[As,lado (cm²)]]),"N.S.")</f>
        <v>4.5712394920604131</v>
      </c>
      <c r="AV60" s="4" t="str">
        <f ca="1">As_malha(ECF[[#This Row],[nE]],ECF[[#This Row],[As,lado (cm²)]],ECF[[#This Row],[Nsd (kN)]])</f>
        <v>N.A.</v>
      </c>
      <c r="AW60" s="4" t="str">
        <f ca="1">As_susp_tot(ECF[[#This Row],[nE]],ECF[[#This Row],[Nsd (kN)]])</f>
        <v>N.A.</v>
      </c>
      <c r="AX60" s="4" t="str">
        <f ca="1">Asp_face(ECF[[#This Row],[nE]],ECF[[#This Row],[As,lado (cm²)]])</f>
        <v>N.A.</v>
      </c>
      <c r="AY60" s="5">
        <f ca="1">acoBloco(ECF[[#This Row],[nE]],ECF[[#This Row],[e (cm)]],ECF[[#This Row],[a (cm)]],ECF[[#This Row],[h (cm)]],ECF[[#This Row],[As,lado (cm²)]],ECF[[#This Row],[Asp e Asw (cm²/m)]],ECF[[#This Row],[As,sup (cm²)]],ECF[[#This Row],[As,malha (cm²)]],ECF[[#This Row],[As,susp,tot (cm²)]],ECF[[#This Row],[Asp,face (cm²)]])</f>
        <v>594.1274346319392</v>
      </c>
      <c r="AZ60" s="4">
        <f ca="1">concretoBloco(ECF[[#This Row],[nE]],ECF[[#This Row],[e (cm)]],ECF[[#This Row],[a (cm)]],ECF[[#This Row],[h (cm)]])</f>
        <v>9.702</v>
      </c>
      <c r="BA60" s="5">
        <f ca="1">SUM(ECF[[#This Row],[Aço Est (kg)]],ECF[[#This Row],[Aço Bloco (kg)]])</f>
        <v>642.46397920007178</v>
      </c>
      <c r="BB60" s="4">
        <f>INDEX(composicoes[],MATCH(95580,composicoes[CÓDIGO],0),MATCH("CUSTO TOTAL",composicoes[#Headers],0))</f>
        <v>10.46</v>
      </c>
      <c r="BC60" s="4">
        <f ca="1">SUM(ECF[[#This Row],[Conc Est (m³)]],ECF[[#This Row],[Conc Bloco (m³)]])</f>
        <v>19.707972601683487</v>
      </c>
      <c r="BD60" s="4">
        <f>INDEX(composicoes[],MATCH(94966,composicoes[CÓDIGO],0),MATCH("CUSTO TOTAL",composicoes[#Headers],0))</f>
        <v>439.52</v>
      </c>
      <c r="BE60" s="38">
        <f ca="1">ECF[[#This Row],[Aço (kg)]]*ECF[[#This Row],[Aço (R$/kg)]]+ECF[[#This Row],[Conc (m³)]]*ECF[[#This Row],[Conc (R$/m³)]]</f>
        <v>15382.221340324677</v>
      </c>
      <c r="BF60" s="4" t="str">
        <f ca="1">IF(COUNTIF(ECF[#This Row],"N.S.")&gt;0,"lim.","OK")</f>
        <v>OK</v>
      </c>
      <c r="BG60" s="4" t="str">
        <f>IF(ECF[[#This Row],[Prof. (m)]]&lt;4,"lim.","OK")</f>
        <v>OK</v>
      </c>
      <c r="BH60" s="4" t="str">
        <f>IF(ECF[[#This Row],[Prof. (m)]]&gt;=8*ECF[[#This Row],[Ø (cm)]]/100,"OK","lim.")</f>
        <v>OK</v>
      </c>
      <c r="BI60" s="4" t="str">
        <f>IF(AND(SPT!$F$3&lt;&gt;"",ECF[[#This Row],[Prof. (m)]]&gt;=SPT!$F$3-2),"lim.","OK")</f>
        <v>OK</v>
      </c>
      <c r="BJ60" s="4" t="str">
        <f ca="1">IF(ECF[[#This Row],[Verif. Biela]]="OK","OK","lim.")</f>
        <v>OK</v>
      </c>
      <c r="BK60" s="4" t="str">
        <f ca="1">IF(COUNTA(ECF[[#This Row],[Nº Est.]:[Biela comp.]])=COUNTIF(ECF[[#This Row],[Nº Est.]:[Biela comp.]],"OK"),"OK","lim.")</f>
        <v>OK</v>
      </c>
      <c r="BL60" s="4" t="str">
        <f ca="1">IF(ECF[[#This Row],[Controle]]="OK",ECF[[#This Row],[nE]]&amp;" Ø"&amp;ECF[[#This Row],[Ø (cm)]]&amp;"cm Prof. "&amp;ECF[[#This Row],[Prof. (m)]]&amp;" m","")</f>
        <v>2 Ø70cm Prof. 13 m</v>
      </c>
      <c r="BM60" s="4" t="str">
        <f ca="1">IF(ECF[[#This Row],[idDimensionamento]]="","",ECF[[#This Row],[idPilar]]&amp;ECF[[#This Row],[idDimensionamento]])</f>
        <v>22 Ø70cm Prof. 13 m</v>
      </c>
    </row>
    <row r="61" spans="2:65" x14ac:dyDescent="0.25">
      <c r="B61" s="12">
        <f>ROUNDUP((ROW(ECF[[#This Row],[idDiâmetro]])-ROW(ECF[[#Headers],[idDiâmetro]]))/(COUNT(SPT[Prof. (m)])*COUNT(PILARES[Pilar])),0)</f>
        <v>3</v>
      </c>
      <c r="C61" s="12">
        <f>IF(ECF[[#This Row],[idDiâmetro]]&lt;&gt;B60,1,IF(ECF[[#This Row],[Prof. (m)]]=0,C60+1,C60))</f>
        <v>1</v>
      </c>
      <c r="D61" s="1">
        <f>IFERROR(IF(D60=MAX(SPT[Prof. (m)]),0,D60+1),0)</f>
        <v>0</v>
      </c>
      <c r="E61" s="1">
        <f>INDEX(SPT[],MATCH(ECF[[#This Row],[Prof. (m)]],SPT[Prof. (m)],0),2)</f>
        <v>0</v>
      </c>
      <c r="F61" s="1" t="str">
        <f>INDEX(SPT[],MATCH(ECF[[#This Row],[Prof. (m)]],SPT[Prof. (m)],0),3)</f>
        <v>Areia siltosa</v>
      </c>
      <c r="G61" s="1">
        <f>INDEX(estacas[],ECF[[#This Row],[idDiâmetro]],MATCH($B$2,estacas[#Headers],0))</f>
        <v>80</v>
      </c>
      <c r="H61" s="1">
        <f>INDEX(estacas[],MATCH(ECF[[#This Row],[Ø (cm)]],estacas[Ø ECF (cm)],0),MATCH(ECF[[#Headers],[Pe ECF (kN)]],estacas[#Headers],0))</f>
        <v>2000</v>
      </c>
      <c r="I61" s="4">
        <f>INDEX(K_alpha_C[],MATCH(ECF[[#This Row],[Solo]],K_alpha_C[Solo],0),2)</f>
        <v>0.8</v>
      </c>
      <c r="J61" s="5">
        <f>INDEX(K_alpha_C[],MATCH(ECF[[#This Row],[Solo]],K_alpha_C[Solo],0),3)</f>
        <v>2</v>
      </c>
      <c r="K61" s="4">
        <f>INDEX(F1_F2[],MATCH($D$2,F1_F2[Tipo de estaca],0),2)</f>
        <v>3</v>
      </c>
      <c r="L61" s="4">
        <f>INDEX(F1_F2[],MATCH($D$2,F1_F2[Tipo de estaca],0),3)</f>
        <v>6</v>
      </c>
      <c r="M61" s="4">
        <f>PI()*(ECF[[#This Row],[Ø (cm)]]/100)^2/4</f>
        <v>0.50265482457436694</v>
      </c>
      <c r="N61" s="4">
        <f>PI()*ECF[[#This Row],[Ø (cm)]]/100</f>
        <v>2.5132741228718345</v>
      </c>
      <c r="O61" s="4">
        <f>IF(ECF[[#This Row],[Prof. (m)]]=0,0,ECF[[#This Row],[α (%)]]/100*ECF[[#This Row],[K (MPa)]]*1000*ECF[[#This Row],[NSPT]])</f>
        <v>0</v>
      </c>
      <c r="P61" s="4">
        <f>IF(ECF[[#This Row],[Prof. (m)]]=0,0,(ECF[[#This Row],[K (MPa)]]*1000*ECF[[#This Row],[NSPT]]/ECF[[#This Row],[F1]]*ECF[[#This Row],[Ap (m²)]]+ECF[[#This Row],[U (m)]]/ECF[[#This Row],[F2]]*SUMIFS(ECF[(α∙K∙NL∙ΔL)],ECF[Prof. (m)],"&lt;="&amp;ECF[[#This Row],[Prof. (m)]],ECF[idDiâmetro],ECF[[#This Row],[idDiâmetro]],ECF[idPilar],ECF[[#This Row],[idPilar]]))/'DADOS CAP. CARGA'!$D$2)</f>
        <v>0</v>
      </c>
      <c r="Q61" s="12">
        <f>INDEX(C_alpha_beta[],MATCH(ECF[[#This Row],[Solo]],C_alpha_beta[Solo],0),MATCH(ECF[[#Headers],[C (kPa)]],C_alpha_beta[#Headers],0))</f>
        <v>400</v>
      </c>
      <c r="R61" s="4">
        <f>INDEX(C_alpha_beta[],MATCH(ECF[[#This Row],[Solo]],C_alpha_beta[Solo],0),MATCH(ECF[[#Headers],[α ESF]],C_alpha_beta[#Headers],0))</f>
        <v>0.5</v>
      </c>
      <c r="S61" s="4">
        <f>INDEX(C_alpha_beta[],MATCH(ECF[[#This Row],[Solo]],C_alpha_beta[Solo],0),MATCH(ECF[[#Headers],[β ESF]],C_alpha_beta[#Headers],0))</f>
        <v>0.5</v>
      </c>
      <c r="T61" s="4">
        <f>IF(ECF[[#This Row],[Prof. (m)]]=0,0,10*(ECF[[#This Row],[NSPT]]/3+1))</f>
        <v>0</v>
      </c>
      <c r="U61" s="4">
        <f>(ECF[[#This Row],[α ESF]]*ECF[[#This Row],[C (kPa)]]*ECF[[#This Row],[NSPT]]*ECF[[#This Row],[Ap (m²)]])/'DADOS CAP. CARGA'!$Q$2+(ECF[[#This Row],[β ESF]]*SUMIFS(ECF[10∙(NL/3+1)],ECF[Prof. (m)],"&lt;="&amp;ECF[[#This Row],[Prof. (m)]],ECF[idDiâmetro],ECF[[#This Row],[idDiâmetro]],ECF[idPilar],ECF[[#This Row],[idPilar]])*ECF[[#This Row],[U (m)]])/'DADOS CAP. CARGA'!$S$2</f>
        <v>0</v>
      </c>
      <c r="V61" s="4">
        <f>IF(SPT!$M$5=1,MIN(ECF[[#This Row],[Pe ECF (kN)]],ECF[[#This Row],[R_AV (kN)]]),IF(SPT!$M$5=2,MIN(ECF[[#This Row],[Pe ECF (kN)]],ECF[[#This Row],[R_DC (kN)]]),MIN(ECF[[#This Row],[Pe ECF (kN)]],ECF[[#This Row],[R_AV (kN)]],ECF[[#This Row],[R_DC (kN)]])))</f>
        <v>0</v>
      </c>
      <c r="W61" s="4">
        <f>INDEX(PILARES[],ECF[[#This Row],[idPilar]],MATCH("Carga (kN)",PILARES[#Headers],0))*1.4</f>
        <v>3500</v>
      </c>
      <c r="X61" s="12">
        <f>INDEX(PILARES[],ECF[[#This Row],[idPilar]],MATCH(ECF[[#Headers],[ap (cm)]],PILARES[#Headers],0))</f>
        <v>60</v>
      </c>
      <c r="Y61" s="12">
        <f>INDEX(PILARES[],ECF[[#This Row],[idPilar]],MATCH(ECF[[#Headers],[bp (cm)]],PILARES[#Headers],0))</f>
        <v>60</v>
      </c>
      <c r="Z61" s="4">
        <f>SQRT(ECF[[#This Row],[ap (cm)]]*ECF[[#This Row],[bp (cm)]])</f>
        <v>60</v>
      </c>
      <c r="AA61" s="12">
        <f>ECF[[#This Row],[ap (cm)]]*ECF[[#This Row],[bp (cm)]]</f>
        <v>3600</v>
      </c>
      <c r="AB61" s="12" t="e">
        <f ca="1">IF(ECF[[#This Row],[Padm∙ε (kN)]]&gt;=ECF[[#This Row],[Padm (kN)]],ROUNDUP(1.05*ECF[[#This Row],[Nsd (kN)]]/ECF[[#This Row],[Padm (kN)]],0),ROUNDUP(1.05*ECF[[#This Row],[Nsd (kN)]]/ECF[[#This Row],[Padm (kN)]],0)+1)</f>
        <v>#DIV/0!</v>
      </c>
      <c r="AC61" s="4" t="str">
        <f ca="1">IFERROR(IF(ECF[[#This Row],[nE]]=1,ECF[[#This Row],[Padm (kN)]],ECF[[#This Row],[Padm (kN)]]*ECF[[#This Row],[nE]]*INDEX(grupoEstacas[],ECF[[#This Row],[nE]],MATCH("ε",grupoEstacas[#Headers],0))),"N.S.")</f>
        <v>N.S.</v>
      </c>
      <c r="AD61" s="4" t="e">
        <f ca="1">1.05*ECF[[#This Row],[Nsd (kN)]]/(ECF[[#This Row],[nE]]*PI()*ECF[[#This Row],[Ø (cm)]]^2/4)*10</f>
        <v>#DIV/0!</v>
      </c>
      <c r="AE61" s="4" t="e">
        <f ca="1">IF(ECF[[#This Row],[σ (MPa)]]&lt;INDEX(tipoEstaca[],MATCH($D$2,tipoEstaca[TIPO DE ESTACA],0),MATCH("σmáx (MPa)",tipoEstaca[#Headers],0)),0.4%*PI()*ECF[[#This Row],[Ø (cm)]]^2/4,"N.S.")</f>
        <v>#DIV/0!</v>
      </c>
      <c r="AF61" s="1">
        <f>INDEX(tipoEstaca[],MATCH($D$2,tipoEstaca[TIPO DE ESTACA],0),MATCH(ECF[[#Headers],[Comprimento (m)]],tipoEstaca[#Headers],0))</f>
        <v>4</v>
      </c>
      <c r="AG61" s="5" t="e">
        <f ca="1">ECF[[#This Row],[As,mín (cm²)]]/100^2*ECF[[#This Row],[Comprimento (m)]]*7850</f>
        <v>#DIV/0!</v>
      </c>
      <c r="AH61" s="4" t="e">
        <f ca="1">ECF[[#This Row],[nE]]*ECF[[#This Row],[Prof. (m)]]*ECF[[#This Row],[Ap (m²)]]</f>
        <v>#DIV/0!</v>
      </c>
      <c r="AI61" s="1" t="e">
        <f ca="1">IF(ECF[[#This Row],[nE]]=1,0,MAX(3*ECF[[#This Row],[Ø (cm)]],60))</f>
        <v>#DIV/0!</v>
      </c>
      <c r="AJ61" s="1" t="e">
        <f ca="1">IF(ECF[[#This Row],[nE]]=1,ECF[[#This Row],[Ø (cm)]]+2*10,MAX(1.5*ECF[[#This Row],[Ø (cm)]],ECF[[#This Row],[Ø (cm)]]+15))</f>
        <v>#DIV/0!</v>
      </c>
      <c r="AK61" s="1" t="e">
        <f ca="1">alturaUtil(ECF[[#This Row],[nE]],ECF[[#This Row],[Ø (cm)]],ECF[[#This Row],[e (cm)]],ECF[[#This Row],[ap,eq (cm)]])</f>
        <v>#VALUE!</v>
      </c>
      <c r="AL61" s="1" t="str">
        <f ca="1">IFERROR(ECF[[#This Row],[d (cm)]]+arredondarParaCimaMultiplo5cm(MAX(5,SQRT(PI())/2*ECF[[#This Row],[Ø (cm)]]/5)),"N.S.")</f>
        <v>N.S.</v>
      </c>
      <c r="AM61" s="5" t="e">
        <f ca="1">alpha(ECF[[#This Row],[nE]],ECF[[#This Row],[d (cm)]],ECF[[#This Row],[e (cm)]],ECF[[#This Row],[ap,eq (cm)]])</f>
        <v>#VALUE!</v>
      </c>
      <c r="AN61" s="35" t="str">
        <f ca="1">IFERROR(ECF[[#This Row],[Nsd (kN)]]/(ECF[[#This Row],[Ap (cm²)]]*SIN(ECF[[#This Row],[α]])^2),"N.S.")</f>
        <v>N.S.</v>
      </c>
      <c r="AO61" s="35" t="str">
        <f ca="1">IFERROR(ECF[[#This Row],[Nsd (kN)]]/(ECF[[#This Row],[nE]]*PI()*ECF[[#This Row],[Ø (cm)]]^2/4*SIN(ECF[[#This Row],[α]])^2),"N.S.")</f>
        <v>N.S.</v>
      </c>
      <c r="AP61" s="4" t="str">
        <f ca="1">IFERROR(INDEX(grupoEstacas[],ECF[[#This Row],[nE]],MATCH("coef. Blévot",grupoEstacas[#Headers],0)),"N.S.")</f>
        <v>N.S.</v>
      </c>
      <c r="AQ61" s="35" t="str">
        <f ca="1">IFERROR(ECF[[#This Row],[coef. Blévot]]*0.9*INDEX(tipoEstaca[],MATCH($D$2,tipoEstaca[TIPO DE ESTACA],0),MATCH("fcd (kN/cm²)",tipoEstaca[#Headers],0)),"N.S.")</f>
        <v>N.S.</v>
      </c>
      <c r="AR61" s="1" t="str">
        <f ca="1">IF(AND(ECF[[#This Row],[cd,b,pil (kN/cm²)]]&lt;=ECF[[#This Row],[cd,b,lim (kN/cm²)]],ECF[[#This Row],[cd,b,est (kN/cm²)]]&lt;=ECF[[#This Row],[cd,b,lim (kN/cm²)]]),"OK","ERRO")</f>
        <v>OK</v>
      </c>
      <c r="AS61" s="4" t="e">
        <f ca="1">As_lado(ECF[[#This Row],[nE]],ECF[[#This Row],[Nsd (kN)]],ECF[[#This Row],[d (cm)]],ECF[[#This Row],[e (cm)]],ECF[[#This Row],[ap,eq (cm)]])</f>
        <v>#VALUE!</v>
      </c>
      <c r="AT61" s="4" t="e">
        <f ca="1">IF(ECF[[#This Row],[nE]]=1,ECF[[#This Row],[As,lado (cm²)]],IF(ECF[[#This Row],[nE]]=2,0.075*2*ECF[a (cm)],"N.A."))</f>
        <v>#DIV/0!</v>
      </c>
      <c r="AU61" s="4" t="str">
        <f ca="1">IFERROR(IF(ECF[[#This Row],[nE]]=1,"N.A.",0.2*ECF[[#This Row],[As,lado (cm²)]]),"N.S.")</f>
        <v>N.S.</v>
      </c>
      <c r="AV61" s="4" t="e">
        <f ca="1">As_malha(ECF[[#This Row],[nE]],ECF[[#This Row],[As,lado (cm²)]],ECF[[#This Row],[Nsd (kN)]])</f>
        <v>#VALUE!</v>
      </c>
      <c r="AW61" s="4" t="e">
        <f ca="1">As_susp_tot(ECF[[#This Row],[nE]],ECF[[#This Row],[Nsd (kN)]])</f>
        <v>#VALUE!</v>
      </c>
      <c r="AX61" s="4" t="e">
        <f ca="1">Asp_face(ECF[[#This Row],[nE]],ECF[[#This Row],[As,lado (cm²)]])</f>
        <v>#VALUE!</v>
      </c>
      <c r="AY61" s="5" t="e">
        <f ca="1">acoBloco(ECF[[#This Row],[nE]],ECF[[#This Row],[e (cm)]],ECF[[#This Row],[a (cm)]],ECF[[#This Row],[h (cm)]],ECF[[#This Row],[As,lado (cm²)]],ECF[[#This Row],[Asp e Asw (cm²/m)]],ECF[[#This Row],[As,sup (cm²)]],ECF[[#This Row],[As,malha (cm²)]],ECF[[#This Row],[As,susp,tot (cm²)]],ECF[[#This Row],[Asp,face (cm²)]])</f>
        <v>#VALUE!</v>
      </c>
      <c r="AZ61" s="4" t="e">
        <f ca="1">concretoBloco(ECF[[#This Row],[nE]],ECF[[#This Row],[e (cm)]],ECF[[#This Row],[a (cm)]],ECF[[#This Row],[h (cm)]])</f>
        <v>#VALUE!</v>
      </c>
      <c r="BA61" s="5" t="e">
        <f ca="1">SUM(ECF[[#This Row],[Aço Est (kg)]],ECF[[#This Row],[Aço Bloco (kg)]])</f>
        <v>#DIV/0!</v>
      </c>
      <c r="BB61" s="4">
        <f>INDEX(composicoes[],MATCH(95580,composicoes[CÓDIGO],0),MATCH("CUSTO TOTAL",composicoes[#Headers],0))</f>
        <v>10.46</v>
      </c>
      <c r="BC61" s="4" t="e">
        <f ca="1">SUM(ECF[[#This Row],[Conc Est (m³)]],ECF[[#This Row],[Conc Bloco (m³)]])</f>
        <v>#DIV/0!</v>
      </c>
      <c r="BD61" s="4">
        <f>INDEX(composicoes[],MATCH(94966,composicoes[CÓDIGO],0),MATCH("CUSTO TOTAL",composicoes[#Headers],0))</f>
        <v>439.52</v>
      </c>
      <c r="BE61" s="38" t="e">
        <f ca="1">ECF[[#This Row],[Aço (kg)]]*ECF[[#This Row],[Aço (R$/kg)]]+ECF[[#This Row],[Conc (m³)]]*ECF[[#This Row],[Conc (R$/m³)]]</f>
        <v>#DIV/0!</v>
      </c>
      <c r="BF61" s="4" t="str">
        <f ca="1">IF(COUNTIF(ECF[#This Row],"N.S.")&gt;0,"lim.","OK")</f>
        <v>lim.</v>
      </c>
      <c r="BG61" s="4" t="str">
        <f>IF(ECF[[#This Row],[Prof. (m)]]&lt;4,"lim.","OK")</f>
        <v>lim.</v>
      </c>
      <c r="BH61" s="4" t="str">
        <f>IF(ECF[[#This Row],[Prof. (m)]]&gt;=8*ECF[[#This Row],[Ø (cm)]]/100,"OK","lim.")</f>
        <v>lim.</v>
      </c>
      <c r="BI61" s="4" t="str">
        <f>IF(AND(SPT!$F$3&lt;&gt;"",ECF[[#This Row],[Prof. (m)]]&gt;=SPT!$F$3-2),"lim.","OK")</f>
        <v>OK</v>
      </c>
      <c r="BJ61" s="4" t="str">
        <f ca="1">IF(ECF[[#This Row],[Verif. Biela]]="OK","OK","lim.")</f>
        <v>OK</v>
      </c>
      <c r="BK61" s="4" t="str">
        <f ca="1">IF(COUNTA(ECF[[#This Row],[Nº Est.]:[Biela comp.]])=COUNTIF(ECF[[#This Row],[Nº Est.]:[Biela comp.]],"OK"),"OK","lim.")</f>
        <v>lim.</v>
      </c>
      <c r="BL61" s="4" t="str">
        <f ca="1">IF(ECF[[#This Row],[Controle]]="OK",ECF[[#This Row],[nE]]&amp;" Ø"&amp;ECF[[#This Row],[Ø (cm)]]&amp;"cm Prof. "&amp;ECF[[#This Row],[Prof. (m)]]&amp;" m","")</f>
        <v/>
      </c>
      <c r="BM61" s="4" t="str">
        <f ca="1">IF(ECF[[#This Row],[idDimensionamento]]="","",ECF[[#This Row],[idPilar]]&amp;ECF[[#This Row],[idDimensionamento]])</f>
        <v/>
      </c>
    </row>
    <row r="62" spans="2:65" x14ac:dyDescent="0.25">
      <c r="B62" s="12">
        <f>ROUNDUP((ROW(ECF[[#This Row],[idDiâmetro]])-ROW(ECF[[#Headers],[idDiâmetro]]))/(COUNT(SPT[Prof. (m)])*COUNT(PILARES[Pilar])),0)</f>
        <v>3</v>
      </c>
      <c r="C62" s="12">
        <f>IF(ECF[[#This Row],[idDiâmetro]]&lt;&gt;B61,1,IF(ECF[[#This Row],[Prof. (m)]]=0,C61+1,C61))</f>
        <v>1</v>
      </c>
      <c r="D62" s="1">
        <f>IFERROR(IF(D61=MAX(SPT[Prof. (m)]),0,D61+1),0)</f>
        <v>1</v>
      </c>
      <c r="E62" s="1">
        <f>INDEX(SPT[],MATCH(ECF[[#This Row],[Prof. (m)]],SPT[Prof. (m)],0),2)</f>
        <v>2</v>
      </c>
      <c r="F62" s="1" t="str">
        <f>INDEX(SPT[],MATCH(ECF[[#This Row],[Prof. (m)]],SPT[Prof. (m)],0),3)</f>
        <v>Areia siltosa</v>
      </c>
      <c r="G62" s="1">
        <f>INDEX(estacas[],ECF[[#This Row],[idDiâmetro]],MATCH($B$2,estacas[#Headers],0))</f>
        <v>80</v>
      </c>
      <c r="H62" s="1">
        <f>INDEX(estacas[],MATCH(ECF[[#This Row],[Ø (cm)]],estacas[Ø ECF (cm)],0),MATCH(ECF[[#Headers],[Pe ECF (kN)]],estacas[#Headers],0))</f>
        <v>2000</v>
      </c>
      <c r="I62" s="4">
        <f>INDEX(K_alpha_C[],MATCH(ECF[[#This Row],[Solo]],K_alpha_C[Solo],0),2)</f>
        <v>0.8</v>
      </c>
      <c r="J62" s="5">
        <f>INDEX(K_alpha_C[],MATCH(ECF[[#This Row],[Solo]],K_alpha_C[Solo],0),3)</f>
        <v>2</v>
      </c>
      <c r="K62" s="4">
        <f>INDEX(F1_F2[],MATCH($D$2,F1_F2[Tipo de estaca],0),2)</f>
        <v>3</v>
      </c>
      <c r="L62" s="4">
        <f>INDEX(F1_F2[],MATCH($D$2,F1_F2[Tipo de estaca],0),3)</f>
        <v>6</v>
      </c>
      <c r="M62" s="4">
        <f>PI()*(ECF[[#This Row],[Ø (cm)]]/100)^2/4</f>
        <v>0.50265482457436694</v>
      </c>
      <c r="N62" s="4">
        <f>PI()*ECF[[#This Row],[Ø (cm)]]/100</f>
        <v>2.5132741228718345</v>
      </c>
      <c r="O62" s="4">
        <f>IF(ECF[[#This Row],[Prof. (m)]]=0,0,ECF[[#This Row],[α (%)]]/100*ECF[[#This Row],[K (MPa)]]*1000*ECF[[#This Row],[NSPT]])</f>
        <v>32</v>
      </c>
      <c r="P62" s="4">
        <f>IF(ECF[[#This Row],[Prof. (m)]]=0,0,(ECF[[#This Row],[K (MPa)]]*1000*ECF[[#This Row],[NSPT]]/ECF[[#This Row],[F1]]*ECF[[#This Row],[Ap (m²)]]+ECF[[#This Row],[U (m)]]/ECF[[#This Row],[F2]]*SUMIFS(ECF[(α∙K∙NL∙ΔL)],ECF[Prof. (m)],"&lt;="&amp;ECF[[#This Row],[Prof. (m)]],ECF[idDiâmetro],ECF[[#This Row],[idDiâmetro]],ECF[idPilar],ECF[[#This Row],[idPilar]]))/'DADOS CAP. CARGA'!$D$2)</f>
        <v>140.74335088082276</v>
      </c>
      <c r="Q62" s="12">
        <f>INDEX(C_alpha_beta[],MATCH(ECF[[#This Row],[Solo]],C_alpha_beta[Solo],0),MATCH(ECF[[#Headers],[C (kPa)]],C_alpha_beta[#Headers],0))</f>
        <v>400</v>
      </c>
      <c r="R62" s="4">
        <f>INDEX(C_alpha_beta[],MATCH(ECF[[#This Row],[Solo]],C_alpha_beta[Solo],0),MATCH(ECF[[#Headers],[α ESF]],C_alpha_beta[#Headers],0))</f>
        <v>0.5</v>
      </c>
      <c r="S62" s="4">
        <f>INDEX(C_alpha_beta[],MATCH(ECF[[#This Row],[Solo]],C_alpha_beta[Solo],0),MATCH(ECF[[#Headers],[β ESF]],C_alpha_beta[#Headers],0))</f>
        <v>0.5</v>
      </c>
      <c r="T62" s="4">
        <f>IF(ECF[[#This Row],[Prof. (m)]]=0,0,10*(ECF[[#This Row],[NSPT]]/3+1))</f>
        <v>16.666666666666664</v>
      </c>
      <c r="U62" s="4">
        <f>(ECF[[#This Row],[α ESF]]*ECF[[#This Row],[C (kPa)]]*ECF[[#This Row],[NSPT]]*ECF[[#This Row],[Ap (m²)]])/'DADOS CAP. CARGA'!$Q$2+(ECF[[#This Row],[β ESF]]*SUMIFS(ECF[10∙(NL/3+1)],ECF[Prof. (m)],"&lt;="&amp;ECF[[#This Row],[Prof. (m)]],ECF[idDiâmetro],ECF[[#This Row],[idDiâmetro]],ECF[idPilar],ECF[[#This Row],[idPilar]])*ECF[[#This Row],[U (m)]])/'DADOS CAP. CARGA'!$S$2</f>
        <v>60.737457969402669</v>
      </c>
      <c r="V62" s="4">
        <f>IF(SPT!$M$5=1,MIN(ECF[[#This Row],[Pe ECF (kN)]],ECF[[#This Row],[R_AV (kN)]]),IF(SPT!$M$5=2,MIN(ECF[[#This Row],[Pe ECF (kN)]],ECF[[#This Row],[R_DC (kN)]]),MIN(ECF[[#This Row],[Pe ECF (kN)]],ECF[[#This Row],[R_AV (kN)]],ECF[[#This Row],[R_DC (kN)]])))</f>
        <v>60.737457969402669</v>
      </c>
      <c r="W62" s="4">
        <f>INDEX(PILARES[],ECF[[#This Row],[idPilar]],MATCH("Carga (kN)",PILARES[#Headers],0))*1.4</f>
        <v>3500</v>
      </c>
      <c r="X62" s="12">
        <f>INDEX(PILARES[],ECF[[#This Row],[idPilar]],MATCH(ECF[[#Headers],[ap (cm)]],PILARES[#Headers],0))</f>
        <v>60</v>
      </c>
      <c r="Y62" s="12">
        <f>INDEX(PILARES[],ECF[[#This Row],[idPilar]],MATCH(ECF[[#Headers],[bp (cm)]],PILARES[#Headers],0))</f>
        <v>60</v>
      </c>
      <c r="Z62" s="4">
        <f>SQRT(ECF[[#This Row],[ap (cm)]]*ECF[[#This Row],[bp (cm)]])</f>
        <v>60</v>
      </c>
      <c r="AA62" s="12">
        <f>ECF[[#This Row],[ap (cm)]]*ECF[[#This Row],[bp (cm)]]</f>
        <v>3600</v>
      </c>
      <c r="AB62" s="12">
        <f ca="1">IF(ECF[[#This Row],[Padm∙ε (kN)]]&gt;=ECF[[#This Row],[Padm (kN)]],ROUNDUP(1.05*ECF[[#This Row],[Nsd (kN)]]/ECF[[#This Row],[Padm (kN)]],0),ROUNDUP(1.05*ECF[[#This Row],[Nsd (kN)]]/ECF[[#This Row],[Padm (kN)]],0)+1)</f>
        <v>61</v>
      </c>
      <c r="AC62" s="4" t="str">
        <f ca="1">IFERROR(IF(ECF[[#This Row],[nE]]=1,ECF[[#This Row],[Padm (kN)]],ECF[[#This Row],[Padm (kN)]]*ECF[[#This Row],[nE]]*INDEX(grupoEstacas[],ECF[[#This Row],[nE]],MATCH("ε",grupoEstacas[#Headers],0))),"N.S.")</f>
        <v>N.S.</v>
      </c>
      <c r="AD62" s="4">
        <f ca="1">1.05*ECF[[#This Row],[Nsd (kN)]]/(ECF[[#This Row],[nE]]*PI()*ECF[[#This Row],[Ø (cm)]]^2/4)*10</f>
        <v>0.11985541308662201</v>
      </c>
      <c r="AE62" s="4">
        <f ca="1">IF(ECF[[#This Row],[σ (MPa)]]&lt;INDEX(tipoEstaca[],MATCH($D$2,tipoEstaca[TIPO DE ESTACA],0),MATCH("σmáx (MPa)",tipoEstaca[#Headers],0)),0.4%*PI()*ECF[[#This Row],[Ø (cm)]]^2/4,"N.S.")</f>
        <v>20.106192982974676</v>
      </c>
      <c r="AF62" s="1">
        <f>INDEX(tipoEstaca[],MATCH($D$2,tipoEstaca[TIPO DE ESTACA],0),MATCH(ECF[[#Headers],[Comprimento (m)]],tipoEstaca[#Headers],0))</f>
        <v>4</v>
      </c>
      <c r="AG62" s="5">
        <f ca="1">ECF[[#This Row],[As,mín (cm²)]]/100^2*ECF[[#This Row],[Comprimento (m)]]*7850</f>
        <v>63.133445966540478</v>
      </c>
      <c r="AH62" s="4">
        <f ca="1">ECF[[#This Row],[nE]]*ECF[[#This Row],[Prof. (m)]]*ECF[[#This Row],[Ap (m²)]]</f>
        <v>30.661944299036385</v>
      </c>
      <c r="AI62" s="1">
        <f ca="1">IF(ECF[[#This Row],[nE]]=1,0,MAX(3*ECF[[#This Row],[Ø (cm)]],60))</f>
        <v>240</v>
      </c>
      <c r="AJ62" s="1">
        <f ca="1">IF(ECF[[#This Row],[nE]]=1,ECF[[#This Row],[Ø (cm)]]+2*10,MAX(1.5*ECF[[#This Row],[Ø (cm)]],ECF[[#This Row],[Ø (cm)]]+15))</f>
        <v>120</v>
      </c>
      <c r="AK62" s="1" t="str">
        <f ca="1">alturaUtil(ECF[[#This Row],[nE]],ECF[[#This Row],[Ø (cm)]],ECF[[#This Row],[e (cm)]],ECF[[#This Row],[ap,eq (cm)]])</f>
        <v>N.S.</v>
      </c>
      <c r="AL62" s="1" t="str">
        <f ca="1">IFERROR(ECF[[#This Row],[d (cm)]]+arredondarParaCimaMultiplo5cm(MAX(5,SQRT(PI())/2*ECF[[#This Row],[Ø (cm)]]/5)),"N.S.")</f>
        <v>N.S.</v>
      </c>
      <c r="AM62" s="5" t="str">
        <f ca="1">alpha(ECF[[#This Row],[nE]],ECF[[#This Row],[d (cm)]],ECF[[#This Row],[e (cm)]],ECF[[#This Row],[ap,eq (cm)]])</f>
        <v>N.S.</v>
      </c>
      <c r="AN62" s="35" t="str">
        <f ca="1">IFERROR(ECF[[#This Row],[Nsd (kN)]]/(ECF[[#This Row],[Ap (cm²)]]*SIN(ECF[[#This Row],[α]])^2),"N.S.")</f>
        <v>N.S.</v>
      </c>
      <c r="AO62" s="35" t="str">
        <f ca="1">IFERROR(ECF[[#This Row],[Nsd (kN)]]/(ECF[[#This Row],[nE]]*PI()*ECF[[#This Row],[Ø (cm)]]^2/4*SIN(ECF[[#This Row],[α]])^2),"N.S.")</f>
        <v>N.S.</v>
      </c>
      <c r="AP62" s="4" t="str">
        <f ca="1">IFERROR(INDEX(grupoEstacas[],ECF[[#This Row],[nE]],MATCH("coef. Blévot",grupoEstacas[#Headers],0)),"N.S.")</f>
        <v>N.S.</v>
      </c>
      <c r="AQ62" s="35" t="str">
        <f ca="1">IFERROR(ECF[[#This Row],[coef. Blévot]]*0.9*INDEX(tipoEstaca[],MATCH($D$2,tipoEstaca[TIPO DE ESTACA],0),MATCH("fcd (kN/cm²)",tipoEstaca[#Headers],0)),"N.S.")</f>
        <v>N.S.</v>
      </c>
      <c r="AR62" s="1" t="str">
        <f ca="1">IF(AND(ECF[[#This Row],[cd,b,pil (kN/cm²)]]&lt;=ECF[[#This Row],[cd,b,lim (kN/cm²)]],ECF[[#This Row],[cd,b,est (kN/cm²)]]&lt;=ECF[[#This Row],[cd,b,lim (kN/cm²)]]),"OK","ERRO")</f>
        <v>OK</v>
      </c>
      <c r="AS62" s="4" t="str">
        <f ca="1">As_lado(ECF[[#This Row],[nE]],ECF[[#This Row],[Nsd (kN)]],ECF[[#This Row],[d (cm)]],ECF[[#This Row],[e (cm)]],ECF[[#This Row],[ap,eq (cm)]])</f>
        <v>N.S.</v>
      </c>
      <c r="AT62" s="4" t="str">
        <f ca="1">IF(ECF[[#This Row],[nE]]=1,ECF[[#This Row],[As,lado (cm²)]],IF(ECF[[#This Row],[nE]]=2,0.075*2*ECF[a (cm)],"N.A."))</f>
        <v>N.A.</v>
      </c>
      <c r="AU62" s="4" t="str">
        <f ca="1">IFERROR(IF(ECF[[#This Row],[nE]]=1,"N.A.",0.2*ECF[[#This Row],[As,lado (cm²)]]),"N.S.")</f>
        <v>N.S.</v>
      </c>
      <c r="AV62" s="4" t="str">
        <f ca="1">As_malha(ECF[[#This Row],[nE]],ECF[[#This Row],[As,lado (cm²)]],ECF[[#This Row],[Nsd (kN)]])</f>
        <v>N.S.</v>
      </c>
      <c r="AW62" s="4" t="str">
        <f ca="1">As_susp_tot(ECF[[#This Row],[nE]],ECF[[#This Row],[Nsd (kN)]])</f>
        <v>N.S.</v>
      </c>
      <c r="AX62" s="4" t="str">
        <f ca="1">Asp_face(ECF[[#This Row],[nE]],ECF[[#This Row],[As,lado (cm²)]])</f>
        <v>N.S.</v>
      </c>
      <c r="AY62" s="5" t="str">
        <f ca="1">acoBloco(ECF[[#This Row],[nE]],ECF[[#This Row],[e (cm)]],ECF[[#This Row],[a (cm)]],ECF[[#This Row],[h (cm)]],ECF[[#This Row],[As,lado (cm²)]],ECF[[#This Row],[Asp e Asw (cm²/m)]],ECF[[#This Row],[As,sup (cm²)]],ECF[[#This Row],[As,malha (cm²)]],ECF[[#This Row],[As,susp,tot (cm²)]],ECF[[#This Row],[Asp,face (cm²)]])</f>
        <v>N.S.</v>
      </c>
      <c r="AZ62" s="4" t="str">
        <f ca="1">concretoBloco(ECF[[#This Row],[nE]],ECF[[#This Row],[e (cm)]],ECF[[#This Row],[a (cm)]],ECF[[#This Row],[h (cm)]])</f>
        <v>N.S.</v>
      </c>
      <c r="BA62" s="5">
        <f ca="1">SUM(ECF[[#This Row],[Aço Est (kg)]],ECF[[#This Row],[Aço Bloco (kg)]])</f>
        <v>63.133445966540478</v>
      </c>
      <c r="BB62" s="4">
        <f>INDEX(composicoes[],MATCH(95580,composicoes[CÓDIGO],0),MATCH("CUSTO TOTAL",composicoes[#Headers],0))</f>
        <v>10.46</v>
      </c>
      <c r="BC62" s="4">
        <f ca="1">SUM(ECF[[#This Row],[Conc Est (m³)]],ECF[[#This Row],[Conc Bloco (m³)]])</f>
        <v>30.661944299036385</v>
      </c>
      <c r="BD62" s="4">
        <f>INDEX(composicoes[],MATCH(94966,composicoes[CÓDIGO],0),MATCH("CUSTO TOTAL",composicoes[#Headers],0))</f>
        <v>439.52</v>
      </c>
      <c r="BE62" s="38">
        <f ca="1">ECF[[#This Row],[Aço (kg)]]*ECF[[#This Row],[Aço (R$/kg)]]+ECF[[#This Row],[Conc (m³)]]*ECF[[#This Row],[Conc (R$/m³)]]</f>
        <v>14136.913603122484</v>
      </c>
      <c r="BF62" s="4" t="str">
        <f ca="1">IF(COUNTIF(ECF[#This Row],"N.S.")&gt;0,"lim.","OK")</f>
        <v>lim.</v>
      </c>
      <c r="BG62" s="4" t="str">
        <f>IF(ECF[[#This Row],[Prof. (m)]]&lt;4,"lim.","OK")</f>
        <v>lim.</v>
      </c>
      <c r="BH62" s="4" t="str">
        <f>IF(ECF[[#This Row],[Prof. (m)]]&gt;=8*ECF[[#This Row],[Ø (cm)]]/100,"OK","lim.")</f>
        <v>lim.</v>
      </c>
      <c r="BI62" s="4" t="str">
        <f>IF(AND(SPT!$F$3&lt;&gt;"",ECF[[#This Row],[Prof. (m)]]&gt;=SPT!$F$3-2),"lim.","OK")</f>
        <v>OK</v>
      </c>
      <c r="BJ62" s="4" t="str">
        <f ca="1">IF(ECF[[#This Row],[Verif. Biela]]="OK","OK","lim.")</f>
        <v>OK</v>
      </c>
      <c r="BK62" s="4" t="str">
        <f ca="1">IF(COUNTA(ECF[[#This Row],[Nº Est.]:[Biela comp.]])=COUNTIF(ECF[[#This Row],[Nº Est.]:[Biela comp.]],"OK"),"OK","lim.")</f>
        <v>lim.</v>
      </c>
      <c r="BL62" s="4" t="str">
        <f ca="1">IF(ECF[[#This Row],[Controle]]="OK",ECF[[#This Row],[nE]]&amp;" Ø"&amp;ECF[[#This Row],[Ø (cm)]]&amp;"cm Prof. "&amp;ECF[[#This Row],[Prof. (m)]]&amp;" m","")</f>
        <v/>
      </c>
      <c r="BM62" s="4" t="str">
        <f ca="1">IF(ECF[[#This Row],[idDimensionamento]]="","",ECF[[#This Row],[idPilar]]&amp;ECF[[#This Row],[idDimensionamento]])</f>
        <v/>
      </c>
    </row>
    <row r="63" spans="2:65" x14ac:dyDescent="0.25">
      <c r="B63" s="12">
        <f>ROUNDUP((ROW(ECF[[#This Row],[idDiâmetro]])-ROW(ECF[[#Headers],[idDiâmetro]]))/(COUNT(SPT[Prof. (m)])*COUNT(PILARES[Pilar])),0)</f>
        <v>3</v>
      </c>
      <c r="C63" s="12">
        <f>IF(ECF[[#This Row],[idDiâmetro]]&lt;&gt;B62,1,IF(ECF[[#This Row],[Prof. (m)]]=0,C62+1,C62))</f>
        <v>1</v>
      </c>
      <c r="D63" s="1">
        <f>IFERROR(IF(D62=MAX(SPT[Prof. (m)]),0,D62+1),0)</f>
        <v>2</v>
      </c>
      <c r="E63" s="1">
        <f>INDEX(SPT[],MATCH(ECF[[#This Row],[Prof. (m)]],SPT[Prof. (m)],0),2)</f>
        <v>2</v>
      </c>
      <c r="F63" s="1" t="str">
        <f>INDEX(SPT[],MATCH(ECF[[#This Row],[Prof. (m)]],SPT[Prof. (m)],0),3)</f>
        <v>Areia siltosa</v>
      </c>
      <c r="G63" s="1">
        <f>INDEX(estacas[],ECF[[#This Row],[idDiâmetro]],MATCH($B$2,estacas[#Headers],0))</f>
        <v>80</v>
      </c>
      <c r="H63" s="1">
        <f>INDEX(estacas[],MATCH(ECF[[#This Row],[Ø (cm)]],estacas[Ø ECF (cm)],0),MATCH(ECF[[#Headers],[Pe ECF (kN)]],estacas[#Headers],0))</f>
        <v>2000</v>
      </c>
      <c r="I63" s="4">
        <f>INDEX(K_alpha_C[],MATCH(ECF[[#This Row],[Solo]],K_alpha_C[Solo],0),2)</f>
        <v>0.8</v>
      </c>
      <c r="J63" s="5">
        <f>INDEX(K_alpha_C[],MATCH(ECF[[#This Row],[Solo]],K_alpha_C[Solo],0),3)</f>
        <v>2</v>
      </c>
      <c r="K63" s="4">
        <f>INDEX(F1_F2[],MATCH($D$2,F1_F2[Tipo de estaca],0),2)</f>
        <v>3</v>
      </c>
      <c r="L63" s="4">
        <f>INDEX(F1_F2[],MATCH($D$2,F1_F2[Tipo de estaca],0),3)</f>
        <v>6</v>
      </c>
      <c r="M63" s="4">
        <f>PI()*(ECF[[#This Row],[Ø (cm)]]/100)^2/4</f>
        <v>0.50265482457436694</v>
      </c>
      <c r="N63" s="4">
        <f>PI()*ECF[[#This Row],[Ø (cm)]]/100</f>
        <v>2.5132741228718345</v>
      </c>
      <c r="O63" s="4">
        <f>IF(ECF[[#This Row],[Prof. (m)]]=0,0,ECF[[#This Row],[α (%)]]/100*ECF[[#This Row],[K (MPa)]]*1000*ECF[[#This Row],[NSPT]])</f>
        <v>32</v>
      </c>
      <c r="P63" s="4">
        <f>IF(ECF[[#This Row],[Prof. (m)]]=0,0,(ECF[[#This Row],[K (MPa)]]*1000*ECF[[#This Row],[NSPT]]/ECF[[#This Row],[F1]]*ECF[[#This Row],[Ap (m²)]]+ECF[[#This Row],[U (m)]]/ECF[[#This Row],[F2]]*SUMIFS(ECF[(α∙K∙NL∙ΔL)],ECF[Prof. (m)],"&lt;="&amp;ECF[[#This Row],[Prof. (m)]],ECF[idDiâmetro],ECF[[#This Row],[idDiâmetro]],ECF[idPilar],ECF[[#This Row],[idPilar]]))/'DADOS CAP. CARGA'!$D$2)</f>
        <v>147.44541520848097</v>
      </c>
      <c r="Q63" s="12">
        <f>INDEX(C_alpha_beta[],MATCH(ECF[[#This Row],[Solo]],C_alpha_beta[Solo],0),MATCH(ECF[[#Headers],[C (kPa)]],C_alpha_beta[#Headers],0))</f>
        <v>400</v>
      </c>
      <c r="R63" s="4">
        <f>INDEX(C_alpha_beta[],MATCH(ECF[[#This Row],[Solo]],C_alpha_beta[Solo],0),MATCH(ECF[[#Headers],[α ESF]],C_alpha_beta[#Headers],0))</f>
        <v>0.5</v>
      </c>
      <c r="S63" s="4">
        <f>INDEX(C_alpha_beta[],MATCH(ECF[[#This Row],[Solo]],C_alpha_beta[Solo],0),MATCH(ECF[[#Headers],[β ESF]],C_alpha_beta[#Headers],0))</f>
        <v>0.5</v>
      </c>
      <c r="T63" s="4">
        <f>IF(ECF[[#This Row],[Prof. (m)]]=0,0,10*(ECF[[#This Row],[NSPT]]/3+1))</f>
        <v>16.666666666666664</v>
      </c>
      <c r="U63" s="4">
        <f>(ECF[[#This Row],[α ESF]]*ECF[[#This Row],[C (kPa)]]*ECF[[#This Row],[NSPT]]*ECF[[#This Row],[Ap (m²)]])/'DADOS CAP. CARGA'!$Q$2+(ECF[[#This Row],[β ESF]]*SUMIFS(ECF[10∙(NL/3+1)],ECF[Prof. (m)],"&lt;="&amp;ECF[[#This Row],[Prof. (m)]],ECF[idDiâmetro],ECF[[#This Row],[idDiâmetro]],ECF[idPilar],ECF[[#This Row],[idPilar]])*ECF[[#This Row],[U (m)]])/'DADOS CAP. CARGA'!$S$2</f>
        <v>71.209433481368649</v>
      </c>
      <c r="V63" s="4">
        <f>IF(SPT!$M$5=1,MIN(ECF[[#This Row],[Pe ECF (kN)]],ECF[[#This Row],[R_AV (kN)]]),IF(SPT!$M$5=2,MIN(ECF[[#This Row],[Pe ECF (kN)]],ECF[[#This Row],[R_DC (kN)]]),MIN(ECF[[#This Row],[Pe ECF (kN)]],ECF[[#This Row],[R_AV (kN)]],ECF[[#This Row],[R_DC (kN)]])))</f>
        <v>71.209433481368649</v>
      </c>
      <c r="W63" s="4">
        <f>INDEX(PILARES[],ECF[[#This Row],[idPilar]],MATCH("Carga (kN)",PILARES[#Headers],0))*1.4</f>
        <v>3500</v>
      </c>
      <c r="X63" s="12">
        <f>INDEX(PILARES[],ECF[[#This Row],[idPilar]],MATCH(ECF[[#Headers],[ap (cm)]],PILARES[#Headers],0))</f>
        <v>60</v>
      </c>
      <c r="Y63" s="12">
        <f>INDEX(PILARES[],ECF[[#This Row],[idPilar]],MATCH(ECF[[#Headers],[bp (cm)]],PILARES[#Headers],0))</f>
        <v>60</v>
      </c>
      <c r="Z63" s="4">
        <f>SQRT(ECF[[#This Row],[ap (cm)]]*ECF[[#This Row],[bp (cm)]])</f>
        <v>60</v>
      </c>
      <c r="AA63" s="12">
        <f>ECF[[#This Row],[ap (cm)]]*ECF[[#This Row],[bp (cm)]]</f>
        <v>3600</v>
      </c>
      <c r="AB63" s="12">
        <f ca="1">IF(ECF[[#This Row],[Padm∙ε (kN)]]&gt;=ECF[[#This Row],[Padm (kN)]],ROUNDUP(1.05*ECF[[#This Row],[Nsd (kN)]]/ECF[[#This Row],[Padm (kN)]],0),ROUNDUP(1.05*ECF[[#This Row],[Nsd (kN)]]/ECF[[#This Row],[Padm (kN)]],0)+1)</f>
        <v>52</v>
      </c>
      <c r="AC63" s="4" t="str">
        <f ca="1">IFERROR(IF(ECF[[#This Row],[nE]]=1,ECF[[#This Row],[Padm (kN)]],ECF[[#This Row],[Padm (kN)]]*ECF[[#This Row],[nE]]*INDEX(grupoEstacas[],ECF[[#This Row],[nE]],MATCH("ε",grupoEstacas[#Headers],0))),"N.S.")</f>
        <v>N.S.</v>
      </c>
      <c r="AD63" s="4">
        <f ca="1">1.05*ECF[[#This Row],[Nsd (kN)]]/(ECF[[#This Row],[nE]]*PI()*ECF[[#This Row],[Ø (cm)]]^2/4)*10</f>
        <v>0.14059961919776812</v>
      </c>
      <c r="AE63" s="4">
        <f ca="1">IF(ECF[[#This Row],[σ (MPa)]]&lt;INDEX(tipoEstaca[],MATCH($D$2,tipoEstaca[TIPO DE ESTACA],0),MATCH("σmáx (MPa)",tipoEstaca[#Headers],0)),0.4%*PI()*ECF[[#This Row],[Ø (cm)]]^2/4,"N.S.")</f>
        <v>20.106192982974676</v>
      </c>
      <c r="AF63" s="1">
        <f>INDEX(tipoEstaca[],MATCH($D$2,tipoEstaca[TIPO DE ESTACA],0),MATCH(ECF[[#Headers],[Comprimento (m)]],tipoEstaca[#Headers],0))</f>
        <v>4</v>
      </c>
      <c r="AG63" s="5">
        <f ca="1">ECF[[#This Row],[As,mín (cm²)]]/100^2*ECF[[#This Row],[Comprimento (m)]]*7850</f>
        <v>63.133445966540478</v>
      </c>
      <c r="AH63" s="4">
        <f ca="1">ECF[[#This Row],[nE]]*ECF[[#This Row],[Prof. (m)]]*ECF[[#This Row],[Ap (m²)]]</f>
        <v>52.27610175573416</v>
      </c>
      <c r="AI63" s="1">
        <f ca="1">IF(ECF[[#This Row],[nE]]=1,0,MAX(3*ECF[[#This Row],[Ø (cm)]],60))</f>
        <v>240</v>
      </c>
      <c r="AJ63" s="1">
        <f ca="1">IF(ECF[[#This Row],[nE]]=1,ECF[[#This Row],[Ø (cm)]]+2*10,MAX(1.5*ECF[[#This Row],[Ø (cm)]],ECF[[#This Row],[Ø (cm)]]+15))</f>
        <v>120</v>
      </c>
      <c r="AK63" s="1" t="str">
        <f ca="1">alturaUtil(ECF[[#This Row],[nE]],ECF[[#This Row],[Ø (cm)]],ECF[[#This Row],[e (cm)]],ECF[[#This Row],[ap,eq (cm)]])</f>
        <v>N.S.</v>
      </c>
      <c r="AL63" s="1" t="str">
        <f ca="1">IFERROR(ECF[[#This Row],[d (cm)]]+arredondarParaCimaMultiplo5cm(MAX(5,SQRT(PI())/2*ECF[[#This Row],[Ø (cm)]]/5)),"N.S.")</f>
        <v>N.S.</v>
      </c>
      <c r="AM63" s="5" t="str">
        <f ca="1">alpha(ECF[[#This Row],[nE]],ECF[[#This Row],[d (cm)]],ECF[[#This Row],[e (cm)]],ECF[[#This Row],[ap,eq (cm)]])</f>
        <v>N.S.</v>
      </c>
      <c r="AN63" s="35" t="str">
        <f ca="1">IFERROR(ECF[[#This Row],[Nsd (kN)]]/(ECF[[#This Row],[Ap (cm²)]]*SIN(ECF[[#This Row],[α]])^2),"N.S.")</f>
        <v>N.S.</v>
      </c>
      <c r="AO63" s="35" t="str">
        <f ca="1">IFERROR(ECF[[#This Row],[Nsd (kN)]]/(ECF[[#This Row],[nE]]*PI()*ECF[[#This Row],[Ø (cm)]]^2/4*SIN(ECF[[#This Row],[α]])^2),"N.S.")</f>
        <v>N.S.</v>
      </c>
      <c r="AP63" s="4" t="str">
        <f ca="1">IFERROR(INDEX(grupoEstacas[],ECF[[#This Row],[nE]],MATCH("coef. Blévot",grupoEstacas[#Headers],0)),"N.S.")</f>
        <v>N.S.</v>
      </c>
      <c r="AQ63" s="35" t="str">
        <f ca="1">IFERROR(ECF[[#This Row],[coef. Blévot]]*0.9*INDEX(tipoEstaca[],MATCH($D$2,tipoEstaca[TIPO DE ESTACA],0),MATCH("fcd (kN/cm²)",tipoEstaca[#Headers],0)),"N.S.")</f>
        <v>N.S.</v>
      </c>
      <c r="AR63" s="1" t="str">
        <f ca="1">IF(AND(ECF[[#This Row],[cd,b,pil (kN/cm²)]]&lt;=ECF[[#This Row],[cd,b,lim (kN/cm²)]],ECF[[#This Row],[cd,b,est (kN/cm²)]]&lt;=ECF[[#This Row],[cd,b,lim (kN/cm²)]]),"OK","ERRO")</f>
        <v>OK</v>
      </c>
      <c r="AS63" s="4" t="str">
        <f ca="1">As_lado(ECF[[#This Row],[nE]],ECF[[#This Row],[Nsd (kN)]],ECF[[#This Row],[d (cm)]],ECF[[#This Row],[e (cm)]],ECF[[#This Row],[ap,eq (cm)]])</f>
        <v>N.S.</v>
      </c>
      <c r="AT63" s="4" t="str">
        <f ca="1">IF(ECF[[#This Row],[nE]]=1,ECF[[#This Row],[As,lado (cm²)]],IF(ECF[[#This Row],[nE]]=2,0.075*2*ECF[a (cm)],"N.A."))</f>
        <v>N.A.</v>
      </c>
      <c r="AU63" s="4" t="str">
        <f ca="1">IFERROR(IF(ECF[[#This Row],[nE]]=1,"N.A.",0.2*ECF[[#This Row],[As,lado (cm²)]]),"N.S.")</f>
        <v>N.S.</v>
      </c>
      <c r="AV63" s="4" t="str">
        <f ca="1">As_malha(ECF[[#This Row],[nE]],ECF[[#This Row],[As,lado (cm²)]],ECF[[#This Row],[Nsd (kN)]])</f>
        <v>N.S.</v>
      </c>
      <c r="AW63" s="4" t="str">
        <f ca="1">As_susp_tot(ECF[[#This Row],[nE]],ECF[[#This Row],[Nsd (kN)]])</f>
        <v>N.S.</v>
      </c>
      <c r="AX63" s="4" t="str">
        <f ca="1">Asp_face(ECF[[#This Row],[nE]],ECF[[#This Row],[As,lado (cm²)]])</f>
        <v>N.S.</v>
      </c>
      <c r="AY63" s="5" t="str">
        <f ca="1">acoBloco(ECF[[#This Row],[nE]],ECF[[#This Row],[e (cm)]],ECF[[#This Row],[a (cm)]],ECF[[#This Row],[h (cm)]],ECF[[#This Row],[As,lado (cm²)]],ECF[[#This Row],[Asp e Asw (cm²/m)]],ECF[[#This Row],[As,sup (cm²)]],ECF[[#This Row],[As,malha (cm²)]],ECF[[#This Row],[As,susp,tot (cm²)]],ECF[[#This Row],[Asp,face (cm²)]])</f>
        <v>N.S.</v>
      </c>
      <c r="AZ63" s="4" t="str">
        <f ca="1">concretoBloco(ECF[[#This Row],[nE]],ECF[[#This Row],[e (cm)]],ECF[[#This Row],[a (cm)]],ECF[[#This Row],[h (cm)]])</f>
        <v>N.S.</v>
      </c>
      <c r="BA63" s="5">
        <f ca="1">SUM(ECF[[#This Row],[Aço Est (kg)]],ECF[[#This Row],[Aço Bloco (kg)]])</f>
        <v>63.133445966540478</v>
      </c>
      <c r="BB63" s="4">
        <f>INDEX(composicoes[],MATCH(95580,composicoes[CÓDIGO],0),MATCH("CUSTO TOTAL",composicoes[#Headers],0))</f>
        <v>10.46</v>
      </c>
      <c r="BC63" s="4">
        <f ca="1">SUM(ECF[[#This Row],[Conc Est (m³)]],ECF[[#This Row],[Conc Bloco (m³)]])</f>
        <v>52.27610175573416</v>
      </c>
      <c r="BD63" s="4">
        <f>INDEX(composicoes[],MATCH(94966,composicoes[CÓDIGO],0),MATCH("CUSTO TOTAL",composicoes[#Headers],0))</f>
        <v>439.52</v>
      </c>
      <c r="BE63" s="38">
        <f ca="1">ECF[[#This Row],[Aço (kg)]]*ECF[[#This Row],[Aço (R$/kg)]]+ECF[[#This Row],[Conc (m³)]]*ECF[[#This Row],[Conc (R$/m³)]]</f>
        <v>23636.768088490291</v>
      </c>
      <c r="BF63" s="4" t="str">
        <f ca="1">IF(COUNTIF(ECF[#This Row],"N.S.")&gt;0,"lim.","OK")</f>
        <v>lim.</v>
      </c>
      <c r="BG63" s="4" t="str">
        <f>IF(ECF[[#This Row],[Prof. (m)]]&lt;4,"lim.","OK")</f>
        <v>lim.</v>
      </c>
      <c r="BH63" s="4" t="str">
        <f>IF(ECF[[#This Row],[Prof. (m)]]&gt;=8*ECF[[#This Row],[Ø (cm)]]/100,"OK","lim.")</f>
        <v>lim.</v>
      </c>
      <c r="BI63" s="4" t="str">
        <f>IF(AND(SPT!$F$3&lt;&gt;"",ECF[[#This Row],[Prof. (m)]]&gt;=SPT!$F$3-2),"lim.","OK")</f>
        <v>OK</v>
      </c>
      <c r="BJ63" s="4" t="str">
        <f ca="1">IF(ECF[[#This Row],[Verif. Biela]]="OK","OK","lim.")</f>
        <v>OK</v>
      </c>
      <c r="BK63" s="4" t="str">
        <f ca="1">IF(COUNTA(ECF[[#This Row],[Nº Est.]:[Biela comp.]])=COUNTIF(ECF[[#This Row],[Nº Est.]:[Biela comp.]],"OK"),"OK","lim.")</f>
        <v>lim.</v>
      </c>
      <c r="BL63" s="4" t="str">
        <f ca="1">IF(ECF[[#This Row],[Controle]]="OK",ECF[[#This Row],[nE]]&amp;" Ø"&amp;ECF[[#This Row],[Ø (cm)]]&amp;"cm Prof. "&amp;ECF[[#This Row],[Prof. (m)]]&amp;" m","")</f>
        <v/>
      </c>
      <c r="BM63" s="4" t="str">
        <f ca="1">IF(ECF[[#This Row],[idDimensionamento]]="","",ECF[[#This Row],[idPilar]]&amp;ECF[[#This Row],[idDimensionamento]])</f>
        <v/>
      </c>
    </row>
    <row r="64" spans="2:65" x14ac:dyDescent="0.25">
      <c r="B64" s="12">
        <f>ROUNDUP((ROW(ECF[[#This Row],[idDiâmetro]])-ROW(ECF[[#Headers],[idDiâmetro]]))/(COUNT(SPT[Prof. (m)])*COUNT(PILARES[Pilar])),0)</f>
        <v>3</v>
      </c>
      <c r="C64" s="12">
        <f>IF(ECF[[#This Row],[idDiâmetro]]&lt;&gt;B63,1,IF(ECF[[#This Row],[Prof. (m)]]=0,C63+1,C63))</f>
        <v>1</v>
      </c>
      <c r="D64" s="1">
        <f>IFERROR(IF(D63=MAX(SPT[Prof. (m)]),0,D63+1),0)</f>
        <v>3</v>
      </c>
      <c r="E64" s="1">
        <f>INDEX(SPT[],MATCH(ECF[[#This Row],[Prof. (m)]],SPT[Prof. (m)],0),2)</f>
        <v>4</v>
      </c>
      <c r="F64" s="1" t="str">
        <f>INDEX(SPT[],MATCH(ECF[[#This Row],[Prof. (m)]],SPT[Prof. (m)],0),3)</f>
        <v>Areia siltosa</v>
      </c>
      <c r="G64" s="1">
        <f>INDEX(estacas[],ECF[[#This Row],[idDiâmetro]],MATCH($B$2,estacas[#Headers],0))</f>
        <v>80</v>
      </c>
      <c r="H64" s="1">
        <f>INDEX(estacas[],MATCH(ECF[[#This Row],[Ø (cm)]],estacas[Ø ECF (cm)],0),MATCH(ECF[[#Headers],[Pe ECF (kN)]],estacas[#Headers],0))</f>
        <v>2000</v>
      </c>
      <c r="I64" s="4">
        <f>INDEX(K_alpha_C[],MATCH(ECF[[#This Row],[Solo]],K_alpha_C[Solo],0),2)</f>
        <v>0.8</v>
      </c>
      <c r="J64" s="5">
        <f>INDEX(K_alpha_C[],MATCH(ECF[[#This Row],[Solo]],K_alpha_C[Solo],0),3)</f>
        <v>2</v>
      </c>
      <c r="K64" s="4">
        <f>INDEX(F1_F2[],MATCH($D$2,F1_F2[Tipo de estaca],0),2)</f>
        <v>3</v>
      </c>
      <c r="L64" s="4">
        <f>INDEX(F1_F2[],MATCH($D$2,F1_F2[Tipo de estaca],0),3)</f>
        <v>6</v>
      </c>
      <c r="M64" s="4">
        <f>PI()*(ECF[[#This Row],[Ø (cm)]]/100)^2/4</f>
        <v>0.50265482457436694</v>
      </c>
      <c r="N64" s="4">
        <f>PI()*ECF[[#This Row],[Ø (cm)]]/100</f>
        <v>2.5132741228718345</v>
      </c>
      <c r="O64" s="4">
        <f>IF(ECF[[#This Row],[Prof. (m)]]=0,0,ECF[[#This Row],[α (%)]]/100*ECF[[#This Row],[K (MPa)]]*1000*ECF[[#This Row],[NSPT]])</f>
        <v>64</v>
      </c>
      <c r="P64" s="4">
        <f>IF(ECF[[#This Row],[Prof. (m)]]=0,0,(ECF[[#This Row],[K (MPa)]]*1000*ECF[[#This Row],[NSPT]]/ECF[[#This Row],[F1]]*ECF[[#This Row],[Ap (m²)]]+ECF[[#This Row],[U (m)]]/ECF[[#This Row],[F2]]*SUMIFS(ECF[(α∙K∙NL∙ΔL)],ECF[Prof. (m)],"&lt;="&amp;ECF[[#This Row],[Prof. (m)]],ECF[idDiâmetro],ECF[[#This Row],[idDiâmetro]],ECF[idPilar],ECF[[#This Row],[idPilar]]))/'DADOS CAP. CARGA'!$D$2)</f>
        <v>294.89083041696193</v>
      </c>
      <c r="Q64" s="12">
        <f>INDEX(C_alpha_beta[],MATCH(ECF[[#This Row],[Solo]],C_alpha_beta[Solo],0),MATCH(ECF[[#Headers],[C (kPa)]],C_alpha_beta[#Headers],0))</f>
        <v>400</v>
      </c>
      <c r="R64" s="4">
        <f>INDEX(C_alpha_beta[],MATCH(ECF[[#This Row],[Solo]],C_alpha_beta[Solo],0),MATCH(ECF[[#Headers],[α ESF]],C_alpha_beta[#Headers],0))</f>
        <v>0.5</v>
      </c>
      <c r="S64" s="4">
        <f>INDEX(C_alpha_beta[],MATCH(ECF[[#This Row],[Solo]],C_alpha_beta[Solo],0),MATCH(ECF[[#Headers],[β ESF]],C_alpha_beta[#Headers],0))</f>
        <v>0.5</v>
      </c>
      <c r="T64" s="4">
        <f>IF(ECF[[#This Row],[Prof. (m)]]=0,0,10*(ECF[[#This Row],[NSPT]]/3+1))</f>
        <v>23.333333333333329</v>
      </c>
      <c r="U64" s="4">
        <f>(ECF[[#This Row],[α ESF]]*ECF[[#This Row],[C (kPa)]]*ECF[[#This Row],[NSPT]]*ECF[[#This Row],[Ap (m²)]])/'DADOS CAP. CARGA'!$Q$2+(ECF[[#This Row],[β ESF]]*SUMIFS(ECF[10∙(NL/3+1)],ECF[Prof. (m)],"&lt;="&amp;ECF[[#This Row],[Prof. (m)]],ECF[idDiâmetro],ECF[[#This Row],[idDiâmetro]],ECF[idPilar],ECF[[#This Row],[idPilar]])*ECF[[#This Row],[U (m)]])/'DADOS CAP. CARGA'!$S$2</f>
        <v>136.1356816555577</v>
      </c>
      <c r="V64" s="4">
        <f>IF(SPT!$M$5=1,MIN(ECF[[#This Row],[Pe ECF (kN)]],ECF[[#This Row],[R_AV (kN)]]),IF(SPT!$M$5=2,MIN(ECF[[#This Row],[Pe ECF (kN)]],ECF[[#This Row],[R_DC (kN)]]),MIN(ECF[[#This Row],[Pe ECF (kN)]],ECF[[#This Row],[R_AV (kN)]],ECF[[#This Row],[R_DC (kN)]])))</f>
        <v>136.1356816555577</v>
      </c>
      <c r="W64" s="4">
        <f>INDEX(PILARES[],ECF[[#This Row],[idPilar]],MATCH("Carga (kN)",PILARES[#Headers],0))*1.4</f>
        <v>3500</v>
      </c>
      <c r="X64" s="12">
        <f>INDEX(PILARES[],ECF[[#This Row],[idPilar]],MATCH(ECF[[#Headers],[ap (cm)]],PILARES[#Headers],0))</f>
        <v>60</v>
      </c>
      <c r="Y64" s="12">
        <f>INDEX(PILARES[],ECF[[#This Row],[idPilar]],MATCH(ECF[[#Headers],[bp (cm)]],PILARES[#Headers],0))</f>
        <v>60</v>
      </c>
      <c r="Z64" s="4">
        <f>SQRT(ECF[[#This Row],[ap (cm)]]*ECF[[#This Row],[bp (cm)]])</f>
        <v>60</v>
      </c>
      <c r="AA64" s="12">
        <f>ECF[[#This Row],[ap (cm)]]*ECF[[#This Row],[bp (cm)]]</f>
        <v>3600</v>
      </c>
      <c r="AB64" s="12">
        <f ca="1">IF(ECF[[#This Row],[Padm∙ε (kN)]]&gt;=ECF[[#This Row],[Padm (kN)]],ROUNDUP(1.05*ECF[[#This Row],[Nsd (kN)]]/ECF[[#This Row],[Padm (kN)]],0),ROUNDUP(1.05*ECF[[#This Row],[Nsd (kN)]]/ECF[[#This Row],[Padm (kN)]],0)+1)</f>
        <v>27</v>
      </c>
      <c r="AC64" s="4" t="str">
        <f ca="1">IFERROR(IF(ECF[[#This Row],[nE]]=1,ECF[[#This Row],[Padm (kN)]],ECF[[#This Row],[Padm (kN)]]*ECF[[#This Row],[nE]]*INDEX(grupoEstacas[],ECF[[#This Row],[nE]],MATCH("ε",grupoEstacas[#Headers],0))),"N.S.")</f>
        <v>N.S.</v>
      </c>
      <c r="AD64" s="4">
        <f ca="1">1.05*ECF[[#This Row],[Nsd (kN)]]/(ECF[[#This Row],[nE]]*PI()*ECF[[#This Row],[Ø (cm)]]^2/4)*10</f>
        <v>0.27078445178829419</v>
      </c>
      <c r="AE64" s="4">
        <f ca="1">IF(ECF[[#This Row],[σ (MPa)]]&lt;INDEX(tipoEstaca[],MATCH($D$2,tipoEstaca[TIPO DE ESTACA],0),MATCH("σmáx (MPa)",tipoEstaca[#Headers],0)),0.4%*PI()*ECF[[#This Row],[Ø (cm)]]^2/4,"N.S.")</f>
        <v>20.106192982974676</v>
      </c>
      <c r="AF64" s="1">
        <f>INDEX(tipoEstaca[],MATCH($D$2,tipoEstaca[TIPO DE ESTACA],0),MATCH(ECF[[#Headers],[Comprimento (m)]],tipoEstaca[#Headers],0))</f>
        <v>4</v>
      </c>
      <c r="AG64" s="5">
        <f ca="1">ECF[[#This Row],[As,mín (cm²)]]/100^2*ECF[[#This Row],[Comprimento (m)]]*7850</f>
        <v>63.133445966540478</v>
      </c>
      <c r="AH64" s="4">
        <f ca="1">ECF[[#This Row],[nE]]*ECF[[#This Row],[Prof. (m)]]*ECF[[#This Row],[Ap (m²)]]</f>
        <v>40.715040790523723</v>
      </c>
      <c r="AI64" s="1">
        <f ca="1">IF(ECF[[#This Row],[nE]]=1,0,MAX(3*ECF[[#This Row],[Ø (cm)]],60))</f>
        <v>240</v>
      </c>
      <c r="AJ64" s="1">
        <f ca="1">IF(ECF[[#This Row],[nE]]=1,ECF[[#This Row],[Ø (cm)]]+2*10,MAX(1.5*ECF[[#This Row],[Ø (cm)]],ECF[[#This Row],[Ø (cm)]]+15))</f>
        <v>120</v>
      </c>
      <c r="AK64" s="1" t="str">
        <f ca="1">alturaUtil(ECF[[#This Row],[nE]],ECF[[#This Row],[Ø (cm)]],ECF[[#This Row],[e (cm)]],ECF[[#This Row],[ap,eq (cm)]])</f>
        <v>N.S.</v>
      </c>
      <c r="AL64" s="1" t="str">
        <f ca="1">IFERROR(ECF[[#This Row],[d (cm)]]+arredondarParaCimaMultiplo5cm(MAX(5,SQRT(PI())/2*ECF[[#This Row],[Ø (cm)]]/5)),"N.S.")</f>
        <v>N.S.</v>
      </c>
      <c r="AM64" s="5" t="str">
        <f ca="1">alpha(ECF[[#This Row],[nE]],ECF[[#This Row],[d (cm)]],ECF[[#This Row],[e (cm)]],ECF[[#This Row],[ap,eq (cm)]])</f>
        <v>N.S.</v>
      </c>
      <c r="AN64" s="35" t="str">
        <f ca="1">IFERROR(ECF[[#This Row],[Nsd (kN)]]/(ECF[[#This Row],[Ap (cm²)]]*SIN(ECF[[#This Row],[α]])^2),"N.S.")</f>
        <v>N.S.</v>
      </c>
      <c r="AO64" s="35" t="str">
        <f ca="1">IFERROR(ECF[[#This Row],[Nsd (kN)]]/(ECF[[#This Row],[nE]]*PI()*ECF[[#This Row],[Ø (cm)]]^2/4*SIN(ECF[[#This Row],[α]])^2),"N.S.")</f>
        <v>N.S.</v>
      </c>
      <c r="AP64" s="4" t="str">
        <f ca="1">IFERROR(INDEX(grupoEstacas[],ECF[[#This Row],[nE]],MATCH("coef. Blévot",grupoEstacas[#Headers],0)),"N.S.")</f>
        <v>N.S.</v>
      </c>
      <c r="AQ64" s="35" t="str">
        <f ca="1">IFERROR(ECF[[#This Row],[coef. Blévot]]*0.9*INDEX(tipoEstaca[],MATCH($D$2,tipoEstaca[TIPO DE ESTACA],0),MATCH("fcd (kN/cm²)",tipoEstaca[#Headers],0)),"N.S.")</f>
        <v>N.S.</v>
      </c>
      <c r="AR64" s="1" t="str">
        <f ca="1">IF(AND(ECF[[#This Row],[cd,b,pil (kN/cm²)]]&lt;=ECF[[#This Row],[cd,b,lim (kN/cm²)]],ECF[[#This Row],[cd,b,est (kN/cm²)]]&lt;=ECF[[#This Row],[cd,b,lim (kN/cm²)]]),"OK","ERRO")</f>
        <v>OK</v>
      </c>
      <c r="AS64" s="4" t="str">
        <f ca="1">As_lado(ECF[[#This Row],[nE]],ECF[[#This Row],[Nsd (kN)]],ECF[[#This Row],[d (cm)]],ECF[[#This Row],[e (cm)]],ECF[[#This Row],[ap,eq (cm)]])</f>
        <v>N.S.</v>
      </c>
      <c r="AT64" s="4" t="str">
        <f ca="1">IF(ECF[[#This Row],[nE]]=1,ECF[[#This Row],[As,lado (cm²)]],IF(ECF[[#This Row],[nE]]=2,0.075*2*ECF[a (cm)],"N.A."))</f>
        <v>N.A.</v>
      </c>
      <c r="AU64" s="4" t="str">
        <f ca="1">IFERROR(IF(ECF[[#This Row],[nE]]=1,"N.A.",0.2*ECF[[#This Row],[As,lado (cm²)]]),"N.S.")</f>
        <v>N.S.</v>
      </c>
      <c r="AV64" s="4" t="str">
        <f ca="1">As_malha(ECF[[#This Row],[nE]],ECF[[#This Row],[As,lado (cm²)]],ECF[[#This Row],[Nsd (kN)]])</f>
        <v>N.S.</v>
      </c>
      <c r="AW64" s="4" t="str">
        <f ca="1">As_susp_tot(ECF[[#This Row],[nE]],ECF[[#This Row],[Nsd (kN)]])</f>
        <v>N.S.</v>
      </c>
      <c r="AX64" s="4" t="str">
        <f ca="1">Asp_face(ECF[[#This Row],[nE]],ECF[[#This Row],[As,lado (cm²)]])</f>
        <v>N.S.</v>
      </c>
      <c r="AY64" s="5" t="str">
        <f ca="1">acoBloco(ECF[[#This Row],[nE]],ECF[[#This Row],[e (cm)]],ECF[[#This Row],[a (cm)]],ECF[[#This Row],[h (cm)]],ECF[[#This Row],[As,lado (cm²)]],ECF[[#This Row],[Asp e Asw (cm²/m)]],ECF[[#This Row],[As,sup (cm²)]],ECF[[#This Row],[As,malha (cm²)]],ECF[[#This Row],[As,susp,tot (cm²)]],ECF[[#This Row],[Asp,face (cm²)]])</f>
        <v>N.S.</v>
      </c>
      <c r="AZ64" s="4" t="str">
        <f ca="1">concretoBloco(ECF[[#This Row],[nE]],ECF[[#This Row],[e (cm)]],ECF[[#This Row],[a (cm)]],ECF[[#This Row],[h (cm)]])</f>
        <v>N.S.</v>
      </c>
      <c r="BA64" s="5">
        <f ca="1">SUM(ECF[[#This Row],[Aço Est (kg)]],ECF[[#This Row],[Aço Bloco (kg)]])</f>
        <v>63.133445966540478</v>
      </c>
      <c r="BB64" s="4">
        <f>INDEX(composicoes[],MATCH(95580,composicoes[CÓDIGO],0),MATCH("CUSTO TOTAL",composicoes[#Headers],0))</f>
        <v>10.46</v>
      </c>
      <c r="BC64" s="4">
        <f ca="1">SUM(ECF[[#This Row],[Conc Est (m³)]],ECF[[#This Row],[Conc Bloco (m³)]])</f>
        <v>40.715040790523723</v>
      </c>
      <c r="BD64" s="4">
        <f>INDEX(composicoes[],MATCH(94966,composicoes[CÓDIGO],0),MATCH("CUSTO TOTAL",composicoes[#Headers],0))</f>
        <v>439.52</v>
      </c>
      <c r="BE64" s="38">
        <f ca="1">ECF[[#This Row],[Aço (kg)]]*ECF[[#This Row],[Aço (R$/kg)]]+ECF[[#This Row],[Conc (m³)]]*ECF[[#This Row],[Conc (R$/m³)]]</f>
        <v>18555.450573061</v>
      </c>
      <c r="BF64" s="4" t="str">
        <f ca="1">IF(COUNTIF(ECF[#This Row],"N.S.")&gt;0,"lim.","OK")</f>
        <v>lim.</v>
      </c>
      <c r="BG64" s="4" t="str">
        <f>IF(ECF[[#This Row],[Prof. (m)]]&lt;4,"lim.","OK")</f>
        <v>lim.</v>
      </c>
      <c r="BH64" s="4" t="str">
        <f>IF(ECF[[#This Row],[Prof. (m)]]&gt;=8*ECF[[#This Row],[Ø (cm)]]/100,"OK","lim.")</f>
        <v>lim.</v>
      </c>
      <c r="BI64" s="4" t="str">
        <f>IF(AND(SPT!$F$3&lt;&gt;"",ECF[[#This Row],[Prof. (m)]]&gt;=SPT!$F$3-2),"lim.","OK")</f>
        <v>OK</v>
      </c>
      <c r="BJ64" s="4" t="str">
        <f ca="1">IF(ECF[[#This Row],[Verif. Biela]]="OK","OK","lim.")</f>
        <v>OK</v>
      </c>
      <c r="BK64" s="4" t="str">
        <f ca="1">IF(COUNTA(ECF[[#This Row],[Nº Est.]:[Biela comp.]])=COUNTIF(ECF[[#This Row],[Nº Est.]:[Biela comp.]],"OK"),"OK","lim.")</f>
        <v>lim.</v>
      </c>
      <c r="BL64" s="4" t="str">
        <f ca="1">IF(ECF[[#This Row],[Controle]]="OK",ECF[[#This Row],[nE]]&amp;" Ø"&amp;ECF[[#This Row],[Ø (cm)]]&amp;"cm Prof. "&amp;ECF[[#This Row],[Prof. (m)]]&amp;" m","")</f>
        <v/>
      </c>
      <c r="BM64" s="4" t="str">
        <f ca="1">IF(ECF[[#This Row],[idDimensionamento]]="","",ECF[[#This Row],[idPilar]]&amp;ECF[[#This Row],[idDimensionamento]])</f>
        <v/>
      </c>
    </row>
    <row r="65" spans="2:65" x14ac:dyDescent="0.25">
      <c r="B65" s="12">
        <f>ROUNDUP((ROW(ECF[[#This Row],[idDiâmetro]])-ROW(ECF[[#Headers],[idDiâmetro]]))/(COUNT(SPT[Prof. (m)])*COUNT(PILARES[Pilar])),0)</f>
        <v>3</v>
      </c>
      <c r="C65" s="12">
        <f>IF(ECF[[#This Row],[idDiâmetro]]&lt;&gt;B64,1,IF(ECF[[#This Row],[Prof. (m)]]=0,C64+1,C64))</f>
        <v>1</v>
      </c>
      <c r="D65" s="1">
        <f>IFERROR(IF(D64=MAX(SPT[Prof. (m)]),0,D64+1),0)</f>
        <v>4</v>
      </c>
      <c r="E65" s="1">
        <f>INDEX(SPT[],MATCH(ECF[[#This Row],[Prof. (m)]],SPT[Prof. (m)],0),2)</f>
        <v>8</v>
      </c>
      <c r="F65" s="1" t="str">
        <f>INDEX(SPT[],MATCH(ECF[[#This Row],[Prof. (m)]],SPT[Prof. (m)],0),3)</f>
        <v>Areia siltosa</v>
      </c>
      <c r="G65" s="1">
        <f>INDEX(estacas[],ECF[[#This Row],[idDiâmetro]],MATCH($B$2,estacas[#Headers],0))</f>
        <v>80</v>
      </c>
      <c r="H65" s="1">
        <f>INDEX(estacas[],MATCH(ECF[[#This Row],[Ø (cm)]],estacas[Ø ECF (cm)],0),MATCH(ECF[[#Headers],[Pe ECF (kN)]],estacas[#Headers],0))</f>
        <v>2000</v>
      </c>
      <c r="I65" s="4">
        <f>INDEX(K_alpha_C[],MATCH(ECF[[#This Row],[Solo]],K_alpha_C[Solo],0),2)</f>
        <v>0.8</v>
      </c>
      <c r="J65" s="5">
        <f>INDEX(K_alpha_C[],MATCH(ECF[[#This Row],[Solo]],K_alpha_C[Solo],0),3)</f>
        <v>2</v>
      </c>
      <c r="K65" s="4">
        <f>INDEX(F1_F2[],MATCH($D$2,F1_F2[Tipo de estaca],0),2)</f>
        <v>3</v>
      </c>
      <c r="L65" s="4">
        <f>INDEX(F1_F2[],MATCH($D$2,F1_F2[Tipo de estaca],0),3)</f>
        <v>6</v>
      </c>
      <c r="M65" s="4">
        <f>PI()*(ECF[[#This Row],[Ø (cm)]]/100)^2/4</f>
        <v>0.50265482457436694</v>
      </c>
      <c r="N65" s="4">
        <f>PI()*ECF[[#This Row],[Ø (cm)]]/100</f>
        <v>2.5132741228718345</v>
      </c>
      <c r="O65" s="4">
        <f>IF(ECF[[#This Row],[Prof. (m)]]=0,0,ECF[[#This Row],[α (%)]]/100*ECF[[#This Row],[K (MPa)]]*1000*ECF[[#This Row],[NSPT]])</f>
        <v>128</v>
      </c>
      <c r="P65" s="4">
        <f>IF(ECF[[#This Row],[Prof. (m)]]=0,0,(ECF[[#This Row],[K (MPa)]]*1000*ECF[[#This Row],[NSPT]]/ECF[[#This Row],[F1]]*ECF[[#This Row],[Ap (m²)]]+ECF[[#This Row],[U (m)]]/ECF[[#This Row],[F2]]*SUMIFS(ECF[(α∙K∙NL∙ΔL)],ECF[Prof. (m)],"&lt;="&amp;ECF[[#This Row],[Prof. (m)]],ECF[idDiâmetro],ECF[[#This Row],[idDiâmetro]],ECF[idPilar],ECF[[#This Row],[idPilar]]))/'DADOS CAP. CARGA'!$D$2)</f>
        <v>589.78166083392387</v>
      </c>
      <c r="Q65" s="12">
        <f>INDEX(C_alpha_beta[],MATCH(ECF[[#This Row],[Solo]],C_alpha_beta[Solo],0),MATCH(ECF[[#Headers],[C (kPa)]],C_alpha_beta[#Headers],0))</f>
        <v>400</v>
      </c>
      <c r="R65" s="4">
        <f>INDEX(C_alpha_beta[],MATCH(ECF[[#This Row],[Solo]],C_alpha_beta[Solo],0),MATCH(ECF[[#Headers],[α ESF]],C_alpha_beta[#Headers],0))</f>
        <v>0.5</v>
      </c>
      <c r="S65" s="4">
        <f>INDEX(C_alpha_beta[],MATCH(ECF[[#This Row],[Solo]],C_alpha_beta[Solo],0),MATCH(ECF[[#Headers],[β ESF]],C_alpha_beta[#Headers],0))</f>
        <v>0.5</v>
      </c>
      <c r="T65" s="4">
        <f>IF(ECF[[#This Row],[Prof. (m)]]=0,0,10*(ECF[[#This Row],[NSPT]]/3+1))</f>
        <v>36.666666666666664</v>
      </c>
      <c r="U65" s="4">
        <f>(ECF[[#This Row],[α ESF]]*ECF[[#This Row],[C (kPa)]]*ECF[[#This Row],[NSPT]]*ECF[[#This Row],[Ap (m²)]])/'DADOS CAP. CARGA'!$Q$2+(ECF[[#This Row],[β ESF]]*SUMIFS(ECF[10∙(NL/3+1)],ECF[Prof. (m)],"&lt;="&amp;ECF[[#This Row],[Prof. (m)]],ECF[idDiâmetro],ECF[[#This Row],[idDiâmetro]],ECF[idPilar],ECF[[#This Row],[idPilar]])*ECF[[#This Row],[U (m)]])/'DADOS CAP. CARGA'!$S$2</f>
        <v>259.70499269675622</v>
      </c>
      <c r="V65" s="4">
        <f>IF(SPT!$M$5=1,MIN(ECF[[#This Row],[Pe ECF (kN)]],ECF[[#This Row],[R_AV (kN)]]),IF(SPT!$M$5=2,MIN(ECF[[#This Row],[Pe ECF (kN)]],ECF[[#This Row],[R_DC (kN)]]),MIN(ECF[[#This Row],[Pe ECF (kN)]],ECF[[#This Row],[R_AV (kN)]],ECF[[#This Row],[R_DC (kN)]])))</f>
        <v>259.70499269675622</v>
      </c>
      <c r="W65" s="4">
        <f>INDEX(PILARES[],ECF[[#This Row],[idPilar]],MATCH("Carga (kN)",PILARES[#Headers],0))*1.4</f>
        <v>3500</v>
      </c>
      <c r="X65" s="12">
        <f>INDEX(PILARES[],ECF[[#This Row],[idPilar]],MATCH(ECF[[#Headers],[ap (cm)]],PILARES[#Headers],0))</f>
        <v>60</v>
      </c>
      <c r="Y65" s="12">
        <f>INDEX(PILARES[],ECF[[#This Row],[idPilar]],MATCH(ECF[[#Headers],[bp (cm)]],PILARES[#Headers],0))</f>
        <v>60</v>
      </c>
      <c r="Z65" s="4">
        <f>SQRT(ECF[[#This Row],[ap (cm)]]*ECF[[#This Row],[bp (cm)]])</f>
        <v>60</v>
      </c>
      <c r="AA65" s="12">
        <f>ECF[[#This Row],[ap (cm)]]*ECF[[#This Row],[bp (cm)]]</f>
        <v>3600</v>
      </c>
      <c r="AB65" s="12">
        <f ca="1">IF(ECF[[#This Row],[Padm∙ε (kN)]]&gt;=ECF[[#This Row],[Padm (kN)]],ROUNDUP(1.05*ECF[[#This Row],[Nsd (kN)]]/ECF[[#This Row],[Padm (kN)]],0),ROUNDUP(1.05*ECF[[#This Row],[Nsd (kN)]]/ECF[[#This Row],[Padm (kN)]],0)+1)</f>
        <v>15</v>
      </c>
      <c r="AC65" s="4" t="str">
        <f ca="1">IFERROR(IF(ECF[[#This Row],[nE]]=1,ECF[[#This Row],[Padm (kN)]],ECF[[#This Row],[Padm (kN)]]*ECF[[#This Row],[nE]]*INDEX(grupoEstacas[],ECF[[#This Row],[nE]],MATCH("ε",grupoEstacas[#Headers],0))),"N.S.")</f>
        <v>N.S.</v>
      </c>
      <c r="AD65" s="4">
        <f ca="1">1.05*ECF[[#This Row],[Nsd (kN)]]/(ECF[[#This Row],[nE]]*PI()*ECF[[#This Row],[Ø (cm)]]^2/4)*10</f>
        <v>0.48741201321892946</v>
      </c>
      <c r="AE65" s="4">
        <f ca="1">IF(ECF[[#This Row],[σ (MPa)]]&lt;INDEX(tipoEstaca[],MATCH($D$2,tipoEstaca[TIPO DE ESTACA],0),MATCH("σmáx (MPa)",tipoEstaca[#Headers],0)),0.4%*PI()*ECF[[#This Row],[Ø (cm)]]^2/4,"N.S.")</f>
        <v>20.106192982974676</v>
      </c>
      <c r="AF65" s="1">
        <f>INDEX(tipoEstaca[],MATCH($D$2,tipoEstaca[TIPO DE ESTACA],0),MATCH(ECF[[#Headers],[Comprimento (m)]],tipoEstaca[#Headers],0))</f>
        <v>4</v>
      </c>
      <c r="AG65" s="5">
        <f ca="1">ECF[[#This Row],[As,mín (cm²)]]/100^2*ECF[[#This Row],[Comprimento (m)]]*7850</f>
        <v>63.133445966540478</v>
      </c>
      <c r="AH65" s="4">
        <f ca="1">ECF[[#This Row],[nE]]*ECF[[#This Row],[Prof. (m)]]*ECF[[#This Row],[Ap (m²)]]</f>
        <v>30.159289474462017</v>
      </c>
      <c r="AI65" s="1">
        <f ca="1">IF(ECF[[#This Row],[nE]]=1,0,MAX(3*ECF[[#This Row],[Ø (cm)]],60))</f>
        <v>240</v>
      </c>
      <c r="AJ65" s="1">
        <f ca="1">IF(ECF[[#This Row],[nE]]=1,ECF[[#This Row],[Ø (cm)]]+2*10,MAX(1.5*ECF[[#This Row],[Ø (cm)]],ECF[[#This Row],[Ø (cm)]]+15))</f>
        <v>120</v>
      </c>
      <c r="AK65" s="1" t="str">
        <f ca="1">alturaUtil(ECF[[#This Row],[nE]],ECF[[#This Row],[Ø (cm)]],ECF[[#This Row],[e (cm)]],ECF[[#This Row],[ap,eq (cm)]])</f>
        <v>N.S.</v>
      </c>
      <c r="AL65" s="1" t="str">
        <f ca="1">IFERROR(ECF[[#This Row],[d (cm)]]+arredondarParaCimaMultiplo5cm(MAX(5,SQRT(PI())/2*ECF[[#This Row],[Ø (cm)]]/5)),"N.S.")</f>
        <v>N.S.</v>
      </c>
      <c r="AM65" s="5" t="str">
        <f ca="1">alpha(ECF[[#This Row],[nE]],ECF[[#This Row],[d (cm)]],ECF[[#This Row],[e (cm)]],ECF[[#This Row],[ap,eq (cm)]])</f>
        <v>N.S.</v>
      </c>
      <c r="AN65" s="35" t="str">
        <f ca="1">IFERROR(ECF[[#This Row],[Nsd (kN)]]/(ECF[[#This Row],[Ap (cm²)]]*SIN(ECF[[#This Row],[α]])^2),"N.S.")</f>
        <v>N.S.</v>
      </c>
      <c r="AO65" s="35" t="str">
        <f ca="1">IFERROR(ECF[[#This Row],[Nsd (kN)]]/(ECF[[#This Row],[nE]]*PI()*ECF[[#This Row],[Ø (cm)]]^2/4*SIN(ECF[[#This Row],[α]])^2),"N.S.")</f>
        <v>N.S.</v>
      </c>
      <c r="AP65" s="4" t="str">
        <f ca="1">IFERROR(INDEX(grupoEstacas[],ECF[[#This Row],[nE]],MATCH("coef. Blévot",grupoEstacas[#Headers],0)),"N.S.")</f>
        <v>N.S.</v>
      </c>
      <c r="AQ65" s="35" t="str">
        <f ca="1">IFERROR(ECF[[#This Row],[coef. Blévot]]*0.9*INDEX(tipoEstaca[],MATCH($D$2,tipoEstaca[TIPO DE ESTACA],0),MATCH("fcd (kN/cm²)",tipoEstaca[#Headers],0)),"N.S.")</f>
        <v>N.S.</v>
      </c>
      <c r="AR65" s="1" t="str">
        <f ca="1">IF(AND(ECF[[#This Row],[cd,b,pil (kN/cm²)]]&lt;=ECF[[#This Row],[cd,b,lim (kN/cm²)]],ECF[[#This Row],[cd,b,est (kN/cm²)]]&lt;=ECF[[#This Row],[cd,b,lim (kN/cm²)]]),"OK","ERRO")</f>
        <v>OK</v>
      </c>
      <c r="AS65" s="4" t="str">
        <f ca="1">As_lado(ECF[[#This Row],[nE]],ECF[[#This Row],[Nsd (kN)]],ECF[[#This Row],[d (cm)]],ECF[[#This Row],[e (cm)]],ECF[[#This Row],[ap,eq (cm)]])</f>
        <v>N.S.</v>
      </c>
      <c r="AT65" s="4" t="str">
        <f ca="1">IF(ECF[[#This Row],[nE]]=1,ECF[[#This Row],[As,lado (cm²)]],IF(ECF[[#This Row],[nE]]=2,0.075*2*ECF[a (cm)],"N.A."))</f>
        <v>N.A.</v>
      </c>
      <c r="AU65" s="4" t="str">
        <f ca="1">IFERROR(IF(ECF[[#This Row],[nE]]=1,"N.A.",0.2*ECF[[#This Row],[As,lado (cm²)]]),"N.S.")</f>
        <v>N.S.</v>
      </c>
      <c r="AV65" s="4" t="str">
        <f ca="1">As_malha(ECF[[#This Row],[nE]],ECF[[#This Row],[As,lado (cm²)]],ECF[[#This Row],[Nsd (kN)]])</f>
        <v>N.S.</v>
      </c>
      <c r="AW65" s="4" t="str">
        <f ca="1">As_susp_tot(ECF[[#This Row],[nE]],ECF[[#This Row],[Nsd (kN)]])</f>
        <v>N.S.</v>
      </c>
      <c r="AX65" s="4" t="str">
        <f ca="1">Asp_face(ECF[[#This Row],[nE]],ECF[[#This Row],[As,lado (cm²)]])</f>
        <v>N.S.</v>
      </c>
      <c r="AY65" s="5" t="str">
        <f ca="1">acoBloco(ECF[[#This Row],[nE]],ECF[[#This Row],[e (cm)]],ECF[[#This Row],[a (cm)]],ECF[[#This Row],[h (cm)]],ECF[[#This Row],[As,lado (cm²)]],ECF[[#This Row],[Asp e Asw (cm²/m)]],ECF[[#This Row],[As,sup (cm²)]],ECF[[#This Row],[As,malha (cm²)]],ECF[[#This Row],[As,susp,tot (cm²)]],ECF[[#This Row],[Asp,face (cm²)]])</f>
        <v>N.S.</v>
      </c>
      <c r="AZ65" s="4" t="str">
        <f ca="1">concretoBloco(ECF[[#This Row],[nE]],ECF[[#This Row],[e (cm)]],ECF[[#This Row],[a (cm)]],ECF[[#This Row],[h (cm)]])</f>
        <v>N.S.</v>
      </c>
      <c r="BA65" s="5">
        <f ca="1">SUM(ECF[[#This Row],[Aço Est (kg)]],ECF[[#This Row],[Aço Bloco (kg)]])</f>
        <v>63.133445966540478</v>
      </c>
      <c r="BB65" s="4">
        <f>INDEX(composicoes[],MATCH(95580,composicoes[CÓDIGO],0),MATCH("CUSTO TOTAL",composicoes[#Headers],0))</f>
        <v>10.46</v>
      </c>
      <c r="BC65" s="4">
        <f ca="1">SUM(ECF[[#This Row],[Conc Est (m³)]],ECF[[#This Row],[Conc Bloco (m³)]])</f>
        <v>30.159289474462017</v>
      </c>
      <c r="BD65" s="4">
        <f>INDEX(composicoes[],MATCH(94966,composicoes[CÓDIGO],0),MATCH("CUSTO TOTAL",composicoes[#Headers],0))</f>
        <v>439.52</v>
      </c>
      <c r="BE65" s="38">
        <f ca="1">ECF[[#This Row],[Aço (kg)]]*ECF[[#This Row],[Aço (R$/kg)]]+ECF[[#This Row],[Conc (m³)]]*ECF[[#This Row],[Conc (R$/m³)]]</f>
        <v>13915.986754625559</v>
      </c>
      <c r="BF65" s="4" t="str">
        <f ca="1">IF(COUNTIF(ECF[#This Row],"N.S.")&gt;0,"lim.","OK")</f>
        <v>lim.</v>
      </c>
      <c r="BG65" s="4" t="str">
        <f>IF(ECF[[#This Row],[Prof. (m)]]&lt;4,"lim.","OK")</f>
        <v>OK</v>
      </c>
      <c r="BH65" s="4" t="str">
        <f>IF(ECF[[#This Row],[Prof. (m)]]&gt;=8*ECF[[#This Row],[Ø (cm)]]/100,"OK","lim.")</f>
        <v>lim.</v>
      </c>
      <c r="BI65" s="4" t="str">
        <f>IF(AND(SPT!$F$3&lt;&gt;"",ECF[[#This Row],[Prof. (m)]]&gt;=SPT!$F$3-2),"lim.","OK")</f>
        <v>OK</v>
      </c>
      <c r="BJ65" s="4" t="str">
        <f ca="1">IF(ECF[[#This Row],[Verif. Biela]]="OK","OK","lim.")</f>
        <v>OK</v>
      </c>
      <c r="BK65" s="4" t="str">
        <f ca="1">IF(COUNTA(ECF[[#This Row],[Nº Est.]:[Biela comp.]])=COUNTIF(ECF[[#This Row],[Nº Est.]:[Biela comp.]],"OK"),"OK","lim.")</f>
        <v>lim.</v>
      </c>
      <c r="BL65" s="4" t="str">
        <f ca="1">IF(ECF[[#This Row],[Controle]]="OK",ECF[[#This Row],[nE]]&amp;" Ø"&amp;ECF[[#This Row],[Ø (cm)]]&amp;"cm Prof. "&amp;ECF[[#This Row],[Prof. (m)]]&amp;" m","")</f>
        <v/>
      </c>
      <c r="BM65" s="4" t="str">
        <f ca="1">IF(ECF[[#This Row],[idDimensionamento]]="","",ECF[[#This Row],[idPilar]]&amp;ECF[[#This Row],[idDimensionamento]])</f>
        <v/>
      </c>
    </row>
    <row r="66" spans="2:65" x14ac:dyDescent="0.25">
      <c r="B66" s="12">
        <f>ROUNDUP((ROW(ECF[[#This Row],[idDiâmetro]])-ROW(ECF[[#Headers],[idDiâmetro]]))/(COUNT(SPT[Prof. (m)])*COUNT(PILARES[Pilar])),0)</f>
        <v>3</v>
      </c>
      <c r="C66" s="12">
        <f>IF(ECF[[#This Row],[idDiâmetro]]&lt;&gt;B65,1,IF(ECF[[#This Row],[Prof. (m)]]=0,C65+1,C65))</f>
        <v>1</v>
      </c>
      <c r="D66" s="1">
        <f>IFERROR(IF(D65=MAX(SPT[Prof. (m)]),0,D65+1),0)</f>
        <v>5</v>
      </c>
      <c r="E66" s="1">
        <f>INDEX(SPT[],MATCH(ECF[[#This Row],[Prof. (m)]],SPT[Prof. (m)],0),2)</f>
        <v>17</v>
      </c>
      <c r="F66" s="1" t="str">
        <f>INDEX(SPT[],MATCH(ECF[[#This Row],[Prof. (m)]],SPT[Prof. (m)],0),3)</f>
        <v>Areia siltosa</v>
      </c>
      <c r="G66" s="1">
        <f>INDEX(estacas[],ECF[[#This Row],[idDiâmetro]],MATCH($B$2,estacas[#Headers],0))</f>
        <v>80</v>
      </c>
      <c r="H66" s="1">
        <f>INDEX(estacas[],MATCH(ECF[[#This Row],[Ø (cm)]],estacas[Ø ECF (cm)],0),MATCH(ECF[[#Headers],[Pe ECF (kN)]],estacas[#Headers],0))</f>
        <v>2000</v>
      </c>
      <c r="I66" s="4">
        <f>INDEX(K_alpha_C[],MATCH(ECF[[#This Row],[Solo]],K_alpha_C[Solo],0),2)</f>
        <v>0.8</v>
      </c>
      <c r="J66" s="5">
        <f>INDEX(K_alpha_C[],MATCH(ECF[[#This Row],[Solo]],K_alpha_C[Solo],0),3)</f>
        <v>2</v>
      </c>
      <c r="K66" s="4">
        <f>INDEX(F1_F2[],MATCH($D$2,F1_F2[Tipo de estaca],0),2)</f>
        <v>3</v>
      </c>
      <c r="L66" s="4">
        <f>INDEX(F1_F2[],MATCH($D$2,F1_F2[Tipo de estaca],0),3)</f>
        <v>6</v>
      </c>
      <c r="M66" s="4">
        <f>PI()*(ECF[[#This Row],[Ø (cm)]]/100)^2/4</f>
        <v>0.50265482457436694</v>
      </c>
      <c r="N66" s="4">
        <f>PI()*ECF[[#This Row],[Ø (cm)]]/100</f>
        <v>2.5132741228718345</v>
      </c>
      <c r="O66" s="4">
        <f>IF(ECF[[#This Row],[Prof. (m)]]=0,0,ECF[[#This Row],[α (%)]]/100*ECF[[#This Row],[K (MPa)]]*1000*ECF[[#This Row],[NSPT]])</f>
        <v>272</v>
      </c>
      <c r="P66" s="4">
        <f>IF(ECF[[#This Row],[Prof. (m)]]=0,0,(ECF[[#This Row],[K (MPa)]]*1000*ECF[[#This Row],[NSPT]]/ECF[[#This Row],[F1]]*ECF[[#This Row],[Ap (m²)]]+ECF[[#This Row],[U (m)]]/ECF[[#This Row],[F2]]*SUMIFS(ECF[(α∙K∙NL∙ΔL)],ECF[Prof. (m)],"&lt;="&amp;ECF[[#This Row],[Prof. (m)]],ECF[idDiâmetro],ECF[[#This Row],[idDiâmetro]],ECF[idPilar],ECF[[#This Row],[idPilar]]))/'DADOS CAP. CARGA'!$D$2)</f>
        <v>1249.934997108259</v>
      </c>
      <c r="Q66" s="12">
        <f>INDEX(C_alpha_beta[],MATCH(ECF[[#This Row],[Solo]],C_alpha_beta[Solo],0),MATCH(ECF[[#Headers],[C (kPa)]],C_alpha_beta[#Headers],0))</f>
        <v>400</v>
      </c>
      <c r="R66" s="4">
        <f>INDEX(C_alpha_beta[],MATCH(ECF[[#This Row],[Solo]],C_alpha_beta[Solo],0),MATCH(ECF[[#Headers],[α ESF]],C_alpha_beta[#Headers],0))</f>
        <v>0.5</v>
      </c>
      <c r="S66" s="4">
        <f>INDEX(C_alpha_beta[],MATCH(ECF[[#This Row],[Solo]],C_alpha_beta[Solo],0),MATCH(ECF[[#Headers],[β ESF]],C_alpha_beta[#Headers],0))</f>
        <v>0.5</v>
      </c>
      <c r="T66" s="4">
        <f>IF(ECF[[#This Row],[Prof. (m)]]=0,0,10*(ECF[[#This Row],[NSPT]]/3+1))</f>
        <v>66.666666666666671</v>
      </c>
      <c r="U66" s="4">
        <f>(ECF[[#This Row],[α ESF]]*ECF[[#This Row],[C (kPa)]]*ECF[[#This Row],[NSPT]]*ECF[[#This Row],[Ap (m²)]])/'DADOS CAP. CARGA'!$Q$2+(ECF[[#This Row],[β ESF]]*SUMIFS(ECF[10∙(NL/3+1)],ECF[Prof. (m)],"&lt;="&amp;ECF[[#This Row],[Prof. (m)]],ECF[idDiâmetro],ECF[[#This Row],[idDiâmetro]],ECF[idPilar],ECF[[#This Row],[idPilar]])*ECF[[#This Row],[U (m)]])/'DADOS CAP. CARGA'!$S$2</f>
        <v>527.78756580308527</v>
      </c>
      <c r="V66" s="4">
        <f>IF(SPT!$M$5=1,MIN(ECF[[#This Row],[Pe ECF (kN)]],ECF[[#This Row],[R_AV (kN)]]),IF(SPT!$M$5=2,MIN(ECF[[#This Row],[Pe ECF (kN)]],ECF[[#This Row],[R_DC (kN)]]),MIN(ECF[[#This Row],[Pe ECF (kN)]],ECF[[#This Row],[R_AV (kN)]],ECF[[#This Row],[R_DC (kN)]])))</f>
        <v>527.78756580308527</v>
      </c>
      <c r="W66" s="4">
        <f>INDEX(PILARES[],ECF[[#This Row],[idPilar]],MATCH("Carga (kN)",PILARES[#Headers],0))*1.4</f>
        <v>3500</v>
      </c>
      <c r="X66" s="12">
        <f>INDEX(PILARES[],ECF[[#This Row],[idPilar]],MATCH(ECF[[#Headers],[ap (cm)]],PILARES[#Headers],0))</f>
        <v>60</v>
      </c>
      <c r="Y66" s="12">
        <f>INDEX(PILARES[],ECF[[#This Row],[idPilar]],MATCH(ECF[[#Headers],[bp (cm)]],PILARES[#Headers],0))</f>
        <v>60</v>
      </c>
      <c r="Z66" s="4">
        <f>SQRT(ECF[[#This Row],[ap (cm)]]*ECF[[#This Row],[bp (cm)]])</f>
        <v>60</v>
      </c>
      <c r="AA66" s="12">
        <f>ECF[[#This Row],[ap (cm)]]*ECF[[#This Row],[bp (cm)]]</f>
        <v>3600</v>
      </c>
      <c r="AB66" s="12">
        <f ca="1">IF(ECF[[#This Row],[Padm∙ε (kN)]]&gt;=ECF[[#This Row],[Padm (kN)]],ROUNDUP(1.05*ECF[[#This Row],[Nsd (kN)]]/ECF[[#This Row],[Padm (kN)]],0),ROUNDUP(1.05*ECF[[#This Row],[Nsd (kN)]]/ECF[[#This Row],[Padm (kN)]],0)+1)</f>
        <v>7</v>
      </c>
      <c r="AC66" s="4" t="str">
        <f ca="1">IFERROR(IF(ECF[[#This Row],[nE]]=1,ECF[[#This Row],[Padm (kN)]],ECF[[#This Row],[Padm (kN)]]*ECF[[#This Row],[nE]]*INDEX(grupoEstacas[],ECF[[#This Row],[nE]],MATCH("ε",grupoEstacas[#Headers],0))),"N.S.")</f>
        <v>N.S.</v>
      </c>
      <c r="AD66" s="4">
        <f ca="1">1.05*ECF[[#This Row],[Nsd (kN)]]/(ECF[[#This Row],[nE]]*PI()*ECF[[#This Row],[Ø (cm)]]^2/4)*10</f>
        <v>1.0444543140405633</v>
      </c>
      <c r="AE66" s="4">
        <f ca="1">IF(ECF[[#This Row],[σ (MPa)]]&lt;INDEX(tipoEstaca[],MATCH($D$2,tipoEstaca[TIPO DE ESTACA],0),MATCH("σmáx (MPa)",tipoEstaca[#Headers],0)),0.4%*PI()*ECF[[#This Row],[Ø (cm)]]^2/4,"N.S.")</f>
        <v>20.106192982974676</v>
      </c>
      <c r="AF66" s="1">
        <f>INDEX(tipoEstaca[],MATCH($D$2,tipoEstaca[TIPO DE ESTACA],0),MATCH(ECF[[#Headers],[Comprimento (m)]],tipoEstaca[#Headers],0))</f>
        <v>4</v>
      </c>
      <c r="AG66" s="5">
        <f ca="1">ECF[[#This Row],[As,mín (cm²)]]/100^2*ECF[[#This Row],[Comprimento (m)]]*7850</f>
        <v>63.133445966540478</v>
      </c>
      <c r="AH66" s="4">
        <f ca="1">ECF[[#This Row],[nE]]*ECF[[#This Row],[Prof. (m)]]*ECF[[#This Row],[Ap (m²)]]</f>
        <v>17.592918860102841</v>
      </c>
      <c r="AI66" s="1">
        <f ca="1">IF(ECF[[#This Row],[nE]]=1,0,MAX(3*ECF[[#This Row],[Ø (cm)]],60))</f>
        <v>240</v>
      </c>
      <c r="AJ66" s="1">
        <f ca="1">IF(ECF[[#This Row],[nE]]=1,ECF[[#This Row],[Ø (cm)]]+2*10,MAX(1.5*ECF[[#This Row],[Ø (cm)]],ECF[[#This Row],[Ø (cm)]]+15))</f>
        <v>120</v>
      </c>
      <c r="AK66" s="1" t="str">
        <f ca="1">alturaUtil(ECF[[#This Row],[nE]],ECF[[#This Row],[Ø (cm)]],ECF[[#This Row],[e (cm)]],ECF[[#This Row],[ap,eq (cm)]])</f>
        <v>N.S.</v>
      </c>
      <c r="AL66" s="1" t="str">
        <f ca="1">IFERROR(ECF[[#This Row],[d (cm)]]+arredondarParaCimaMultiplo5cm(MAX(5,SQRT(PI())/2*ECF[[#This Row],[Ø (cm)]]/5)),"N.S.")</f>
        <v>N.S.</v>
      </c>
      <c r="AM66" s="5" t="str">
        <f ca="1">alpha(ECF[[#This Row],[nE]],ECF[[#This Row],[d (cm)]],ECF[[#This Row],[e (cm)]],ECF[[#This Row],[ap,eq (cm)]])</f>
        <v>N.S.</v>
      </c>
      <c r="AN66" s="35" t="str">
        <f ca="1">IFERROR(ECF[[#This Row],[Nsd (kN)]]/(ECF[[#This Row],[Ap (cm²)]]*SIN(ECF[[#This Row],[α]])^2),"N.S.")</f>
        <v>N.S.</v>
      </c>
      <c r="AO66" s="35" t="str">
        <f ca="1">IFERROR(ECF[[#This Row],[Nsd (kN)]]/(ECF[[#This Row],[nE]]*PI()*ECF[[#This Row],[Ø (cm)]]^2/4*SIN(ECF[[#This Row],[α]])^2),"N.S.")</f>
        <v>N.S.</v>
      </c>
      <c r="AP66" s="4" t="str">
        <f ca="1">IFERROR(INDEX(grupoEstacas[],ECF[[#This Row],[nE]],MATCH("coef. Blévot",grupoEstacas[#Headers],0)),"N.S.")</f>
        <v>N.S.</v>
      </c>
      <c r="AQ66" s="35" t="str">
        <f ca="1">IFERROR(ECF[[#This Row],[coef. Blévot]]*0.9*INDEX(tipoEstaca[],MATCH($D$2,tipoEstaca[TIPO DE ESTACA],0),MATCH("fcd (kN/cm²)",tipoEstaca[#Headers],0)),"N.S.")</f>
        <v>N.S.</v>
      </c>
      <c r="AR66" s="1" t="str">
        <f ca="1">IF(AND(ECF[[#This Row],[cd,b,pil (kN/cm²)]]&lt;=ECF[[#This Row],[cd,b,lim (kN/cm²)]],ECF[[#This Row],[cd,b,est (kN/cm²)]]&lt;=ECF[[#This Row],[cd,b,lim (kN/cm²)]]),"OK","ERRO")</f>
        <v>OK</v>
      </c>
      <c r="AS66" s="4" t="str">
        <f ca="1">As_lado(ECF[[#This Row],[nE]],ECF[[#This Row],[Nsd (kN)]],ECF[[#This Row],[d (cm)]],ECF[[#This Row],[e (cm)]],ECF[[#This Row],[ap,eq (cm)]])</f>
        <v>N.S.</v>
      </c>
      <c r="AT66" s="4" t="str">
        <f ca="1">IF(ECF[[#This Row],[nE]]=1,ECF[[#This Row],[As,lado (cm²)]],IF(ECF[[#This Row],[nE]]=2,0.075*2*ECF[a (cm)],"N.A."))</f>
        <v>N.A.</v>
      </c>
      <c r="AU66" s="4" t="str">
        <f ca="1">IFERROR(IF(ECF[[#This Row],[nE]]=1,"N.A.",0.2*ECF[[#This Row],[As,lado (cm²)]]),"N.S.")</f>
        <v>N.S.</v>
      </c>
      <c r="AV66" s="4" t="str">
        <f ca="1">As_malha(ECF[[#This Row],[nE]],ECF[[#This Row],[As,lado (cm²)]],ECF[[#This Row],[Nsd (kN)]])</f>
        <v>N.S.</v>
      </c>
      <c r="AW66" s="4" t="str">
        <f ca="1">As_susp_tot(ECF[[#This Row],[nE]],ECF[[#This Row],[Nsd (kN)]])</f>
        <v>N.S.</v>
      </c>
      <c r="AX66" s="4" t="str">
        <f ca="1">Asp_face(ECF[[#This Row],[nE]],ECF[[#This Row],[As,lado (cm²)]])</f>
        <v>N.S.</v>
      </c>
      <c r="AY66" s="5" t="str">
        <f ca="1">acoBloco(ECF[[#This Row],[nE]],ECF[[#This Row],[e (cm)]],ECF[[#This Row],[a (cm)]],ECF[[#This Row],[h (cm)]],ECF[[#This Row],[As,lado (cm²)]],ECF[[#This Row],[Asp e Asw (cm²/m)]],ECF[[#This Row],[As,sup (cm²)]],ECF[[#This Row],[As,malha (cm²)]],ECF[[#This Row],[As,susp,tot (cm²)]],ECF[[#This Row],[Asp,face (cm²)]])</f>
        <v>N.S.</v>
      </c>
      <c r="AZ66" s="4" t="str">
        <f ca="1">concretoBloco(ECF[[#This Row],[nE]],ECF[[#This Row],[e (cm)]],ECF[[#This Row],[a (cm)]],ECF[[#This Row],[h (cm)]])</f>
        <v>N.S.</v>
      </c>
      <c r="BA66" s="5">
        <f ca="1">SUM(ECF[[#This Row],[Aço Est (kg)]],ECF[[#This Row],[Aço Bloco (kg)]])</f>
        <v>63.133445966540478</v>
      </c>
      <c r="BB66" s="4">
        <f>INDEX(composicoes[],MATCH(95580,composicoes[CÓDIGO],0),MATCH("CUSTO TOTAL",composicoes[#Headers],0))</f>
        <v>10.46</v>
      </c>
      <c r="BC66" s="4">
        <f ca="1">SUM(ECF[[#This Row],[Conc Est (m³)]],ECF[[#This Row],[Conc Bloco (m³)]])</f>
        <v>17.592918860102841</v>
      </c>
      <c r="BD66" s="4">
        <f>INDEX(composicoes[],MATCH(94966,composicoes[CÓDIGO],0),MATCH("CUSTO TOTAL",composicoes[#Headers],0))</f>
        <v>439.52</v>
      </c>
      <c r="BE66" s="38">
        <f ca="1">ECF[[#This Row],[Aço (kg)]]*ECF[[#This Row],[Aço (R$/kg)]]+ECF[[#This Row],[Conc (m³)]]*ECF[[#This Row],[Conc (R$/m³)]]</f>
        <v>8392.8155422024138</v>
      </c>
      <c r="BF66" s="4" t="str">
        <f ca="1">IF(COUNTIF(ECF[#This Row],"N.S.")&gt;0,"lim.","OK")</f>
        <v>lim.</v>
      </c>
      <c r="BG66" s="4" t="str">
        <f>IF(ECF[[#This Row],[Prof. (m)]]&lt;4,"lim.","OK")</f>
        <v>OK</v>
      </c>
      <c r="BH66" s="4" t="str">
        <f>IF(ECF[[#This Row],[Prof. (m)]]&gt;=8*ECF[[#This Row],[Ø (cm)]]/100,"OK","lim.")</f>
        <v>lim.</v>
      </c>
      <c r="BI66" s="4" t="str">
        <f>IF(AND(SPT!$F$3&lt;&gt;"",ECF[[#This Row],[Prof. (m)]]&gt;=SPT!$F$3-2),"lim.","OK")</f>
        <v>OK</v>
      </c>
      <c r="BJ66" s="4" t="str">
        <f ca="1">IF(ECF[[#This Row],[Verif. Biela]]="OK","OK","lim.")</f>
        <v>OK</v>
      </c>
      <c r="BK66" s="4" t="str">
        <f ca="1">IF(COUNTA(ECF[[#This Row],[Nº Est.]:[Biela comp.]])=COUNTIF(ECF[[#This Row],[Nº Est.]:[Biela comp.]],"OK"),"OK","lim.")</f>
        <v>lim.</v>
      </c>
      <c r="BL66" s="4" t="str">
        <f ca="1">IF(ECF[[#This Row],[Controle]]="OK",ECF[[#This Row],[nE]]&amp;" Ø"&amp;ECF[[#This Row],[Ø (cm)]]&amp;"cm Prof. "&amp;ECF[[#This Row],[Prof. (m)]]&amp;" m","")</f>
        <v/>
      </c>
      <c r="BM66" s="4" t="str">
        <f ca="1">IF(ECF[[#This Row],[idDimensionamento]]="","",ECF[[#This Row],[idPilar]]&amp;ECF[[#This Row],[idDimensionamento]])</f>
        <v/>
      </c>
    </row>
    <row r="67" spans="2:65" x14ac:dyDescent="0.25">
      <c r="B67" s="12">
        <f>ROUNDUP((ROW(ECF[[#This Row],[idDiâmetro]])-ROW(ECF[[#Headers],[idDiâmetro]]))/(COUNT(SPT[Prof. (m)])*COUNT(PILARES[Pilar])),0)</f>
        <v>3</v>
      </c>
      <c r="C67" s="12">
        <f>IF(ECF[[#This Row],[idDiâmetro]]&lt;&gt;B66,1,IF(ECF[[#This Row],[Prof. (m)]]=0,C66+1,C66))</f>
        <v>1</v>
      </c>
      <c r="D67" s="1">
        <f>IFERROR(IF(D66=MAX(SPT[Prof. (m)]),0,D66+1),0)</f>
        <v>6</v>
      </c>
      <c r="E67" s="1">
        <f>INDEX(SPT[],MATCH(ECF[[#This Row],[Prof. (m)]],SPT[Prof. (m)],0),2)</f>
        <v>21</v>
      </c>
      <c r="F67" s="1" t="str">
        <f>INDEX(SPT[],MATCH(ECF[[#This Row],[Prof. (m)]],SPT[Prof. (m)],0),3)</f>
        <v>Silte arenoso</v>
      </c>
      <c r="G67" s="1">
        <f>INDEX(estacas[],ECF[[#This Row],[idDiâmetro]],MATCH($B$2,estacas[#Headers],0))</f>
        <v>80</v>
      </c>
      <c r="H67" s="1">
        <f>INDEX(estacas[],MATCH(ECF[[#This Row],[Ø (cm)]],estacas[Ø ECF (cm)],0),MATCH(ECF[[#Headers],[Pe ECF (kN)]],estacas[#Headers],0))</f>
        <v>2000</v>
      </c>
      <c r="I67" s="4">
        <f>INDEX(K_alpha_C[],MATCH(ECF[[#This Row],[Solo]],K_alpha_C[Solo],0),2)</f>
        <v>0.55000000000000004</v>
      </c>
      <c r="J67" s="5">
        <f>INDEX(K_alpha_C[],MATCH(ECF[[#This Row],[Solo]],K_alpha_C[Solo],0),3)</f>
        <v>2.2000000000000002</v>
      </c>
      <c r="K67" s="4">
        <f>INDEX(F1_F2[],MATCH($D$2,F1_F2[Tipo de estaca],0),2)</f>
        <v>3</v>
      </c>
      <c r="L67" s="4">
        <f>INDEX(F1_F2[],MATCH($D$2,F1_F2[Tipo de estaca],0),3)</f>
        <v>6</v>
      </c>
      <c r="M67" s="4">
        <f>PI()*(ECF[[#This Row],[Ø (cm)]]/100)^2/4</f>
        <v>0.50265482457436694</v>
      </c>
      <c r="N67" s="4">
        <f>PI()*ECF[[#This Row],[Ø (cm)]]/100</f>
        <v>2.5132741228718345</v>
      </c>
      <c r="O67" s="4">
        <f>IF(ECF[[#This Row],[Prof. (m)]]=0,0,ECF[[#This Row],[α (%)]]/100*ECF[[#This Row],[K (MPa)]]*1000*ECF[[#This Row],[NSPT]])</f>
        <v>254.10000000000002</v>
      </c>
      <c r="P67" s="4">
        <f>IF(ECF[[#This Row],[Prof. (m)]]=0,0,(ECF[[#This Row],[K (MPa)]]*1000*ECF[[#This Row],[NSPT]]/ECF[[#This Row],[F1]]*ECF[[#This Row],[Ap (m²)]]+ECF[[#This Row],[U (m)]]/ECF[[#This Row],[F2]]*SUMIFS(ECF[(α∙K∙NL∙ΔL)],ECF[Prof. (m)],"&lt;="&amp;ECF[[#This Row],[Prof. (m)]],ECF[idDiâmetro],ECF[[#This Row],[idDiâmetro]],ECF[idPilar],ECF[[#This Row],[idPilar]]))/'DADOS CAP. CARGA'!$D$2)</f>
        <v>1131.4131782638283</v>
      </c>
      <c r="Q67" s="12">
        <f>INDEX(C_alpha_beta[],MATCH(ECF[[#This Row],[Solo]],C_alpha_beta[Solo],0),MATCH(ECF[[#Headers],[C (kPa)]],C_alpha_beta[#Headers],0))</f>
        <v>250</v>
      </c>
      <c r="R67" s="4">
        <f>INDEX(C_alpha_beta[],MATCH(ECF[[#This Row],[Solo]],C_alpha_beta[Solo],0),MATCH(ECF[[#Headers],[α ESF]],C_alpha_beta[#Headers],0))</f>
        <v>0.6</v>
      </c>
      <c r="S67" s="4">
        <f>INDEX(C_alpha_beta[],MATCH(ECF[[#This Row],[Solo]],C_alpha_beta[Solo],0),MATCH(ECF[[#Headers],[β ESF]],C_alpha_beta[#Headers],0))</f>
        <v>0.65</v>
      </c>
      <c r="T67" s="4">
        <f>IF(ECF[[#This Row],[Prof. (m)]]=0,0,10*(ECF[[#This Row],[NSPT]]/3+1))</f>
        <v>80</v>
      </c>
      <c r="U67" s="4">
        <f>(ECF[[#This Row],[α ESF]]*ECF[[#This Row],[C (kPa)]]*ECF[[#This Row],[NSPT]]*ECF[[#This Row],[Ap (m²)]])/'DADOS CAP. CARGA'!$Q$2+(ECF[[#This Row],[β ESF]]*SUMIFS(ECF[10∙(NL/3+1)],ECF[Prof. (m)],"&lt;="&amp;ECF[[#This Row],[Prof. (m)]],ECF[idDiâmetro],ECF[[#This Row],[idDiâmetro]],ECF[idPilar],ECF[[#This Row],[idPilar]])*ECF[[#This Row],[U (m)]])/'DADOS CAP. CARGA'!$S$2</f>
        <v>591.87605593631702</v>
      </c>
      <c r="V67" s="4">
        <f>IF(SPT!$M$5=1,MIN(ECF[[#This Row],[Pe ECF (kN)]],ECF[[#This Row],[R_AV (kN)]]),IF(SPT!$M$5=2,MIN(ECF[[#This Row],[Pe ECF (kN)]],ECF[[#This Row],[R_DC (kN)]]),MIN(ECF[[#This Row],[Pe ECF (kN)]],ECF[[#This Row],[R_AV (kN)]],ECF[[#This Row],[R_DC (kN)]])))</f>
        <v>591.87605593631702</v>
      </c>
      <c r="W67" s="4">
        <f>INDEX(PILARES[],ECF[[#This Row],[idPilar]],MATCH("Carga (kN)",PILARES[#Headers],0))*1.4</f>
        <v>3500</v>
      </c>
      <c r="X67" s="12">
        <f>INDEX(PILARES[],ECF[[#This Row],[idPilar]],MATCH(ECF[[#Headers],[ap (cm)]],PILARES[#Headers],0))</f>
        <v>60</v>
      </c>
      <c r="Y67" s="12">
        <f>INDEX(PILARES[],ECF[[#This Row],[idPilar]],MATCH(ECF[[#Headers],[bp (cm)]],PILARES[#Headers],0))</f>
        <v>60</v>
      </c>
      <c r="Z67" s="4">
        <f>SQRT(ECF[[#This Row],[ap (cm)]]*ECF[[#This Row],[bp (cm)]])</f>
        <v>60</v>
      </c>
      <c r="AA67" s="12">
        <f>ECF[[#This Row],[ap (cm)]]*ECF[[#This Row],[bp (cm)]]</f>
        <v>3600</v>
      </c>
      <c r="AB67" s="12">
        <f ca="1">IF(ECF[[#This Row],[Padm∙ε (kN)]]&gt;=ECF[[#This Row],[Padm (kN)]],ROUNDUP(1.05*ECF[[#This Row],[Nsd (kN)]]/ECF[[#This Row],[Padm (kN)]],0),ROUNDUP(1.05*ECF[[#This Row],[Nsd (kN)]]/ECF[[#This Row],[Padm (kN)]],0)+1)</f>
        <v>7</v>
      </c>
      <c r="AC67" s="4" t="str">
        <f ca="1">IFERROR(IF(ECF[[#This Row],[nE]]=1,ECF[[#This Row],[Padm (kN)]],ECF[[#This Row],[Padm (kN)]]*ECF[[#This Row],[nE]]*INDEX(grupoEstacas[],ECF[[#This Row],[nE]],MATCH("ε",grupoEstacas[#Headers],0))),"N.S.")</f>
        <v>N.S.</v>
      </c>
      <c r="AD67" s="4">
        <f ca="1">1.05*ECF[[#This Row],[Nsd (kN)]]/(ECF[[#This Row],[nE]]*PI()*ECF[[#This Row],[Ø (cm)]]^2/4)*10</f>
        <v>1.0444543140405633</v>
      </c>
      <c r="AE67" s="4">
        <f ca="1">IF(ECF[[#This Row],[σ (MPa)]]&lt;INDEX(tipoEstaca[],MATCH($D$2,tipoEstaca[TIPO DE ESTACA],0),MATCH("σmáx (MPa)",tipoEstaca[#Headers],0)),0.4%*PI()*ECF[[#This Row],[Ø (cm)]]^2/4,"N.S.")</f>
        <v>20.106192982974676</v>
      </c>
      <c r="AF67" s="1">
        <f>INDEX(tipoEstaca[],MATCH($D$2,tipoEstaca[TIPO DE ESTACA],0),MATCH(ECF[[#Headers],[Comprimento (m)]],tipoEstaca[#Headers],0))</f>
        <v>4</v>
      </c>
      <c r="AG67" s="5">
        <f ca="1">ECF[[#This Row],[As,mín (cm²)]]/100^2*ECF[[#This Row],[Comprimento (m)]]*7850</f>
        <v>63.133445966540478</v>
      </c>
      <c r="AH67" s="4">
        <f ca="1">ECF[[#This Row],[nE]]*ECF[[#This Row],[Prof. (m)]]*ECF[[#This Row],[Ap (m²)]]</f>
        <v>21.111502632123411</v>
      </c>
      <c r="AI67" s="1">
        <f ca="1">IF(ECF[[#This Row],[nE]]=1,0,MAX(3*ECF[[#This Row],[Ø (cm)]],60))</f>
        <v>240</v>
      </c>
      <c r="AJ67" s="1">
        <f ca="1">IF(ECF[[#This Row],[nE]]=1,ECF[[#This Row],[Ø (cm)]]+2*10,MAX(1.5*ECF[[#This Row],[Ø (cm)]],ECF[[#This Row],[Ø (cm)]]+15))</f>
        <v>120</v>
      </c>
      <c r="AK67" s="1" t="str">
        <f ca="1">alturaUtil(ECF[[#This Row],[nE]],ECF[[#This Row],[Ø (cm)]],ECF[[#This Row],[e (cm)]],ECF[[#This Row],[ap,eq (cm)]])</f>
        <v>N.S.</v>
      </c>
      <c r="AL67" s="1" t="str">
        <f ca="1">IFERROR(ECF[[#This Row],[d (cm)]]+arredondarParaCimaMultiplo5cm(MAX(5,SQRT(PI())/2*ECF[[#This Row],[Ø (cm)]]/5)),"N.S.")</f>
        <v>N.S.</v>
      </c>
      <c r="AM67" s="5" t="str">
        <f ca="1">alpha(ECF[[#This Row],[nE]],ECF[[#This Row],[d (cm)]],ECF[[#This Row],[e (cm)]],ECF[[#This Row],[ap,eq (cm)]])</f>
        <v>N.S.</v>
      </c>
      <c r="AN67" s="35" t="str">
        <f ca="1">IFERROR(ECF[[#This Row],[Nsd (kN)]]/(ECF[[#This Row],[Ap (cm²)]]*SIN(ECF[[#This Row],[α]])^2),"N.S.")</f>
        <v>N.S.</v>
      </c>
      <c r="AO67" s="35" t="str">
        <f ca="1">IFERROR(ECF[[#This Row],[Nsd (kN)]]/(ECF[[#This Row],[nE]]*PI()*ECF[[#This Row],[Ø (cm)]]^2/4*SIN(ECF[[#This Row],[α]])^2),"N.S.")</f>
        <v>N.S.</v>
      </c>
      <c r="AP67" s="4" t="str">
        <f ca="1">IFERROR(INDEX(grupoEstacas[],ECF[[#This Row],[nE]],MATCH("coef. Blévot",grupoEstacas[#Headers],0)),"N.S.")</f>
        <v>N.S.</v>
      </c>
      <c r="AQ67" s="35" t="str">
        <f ca="1">IFERROR(ECF[[#This Row],[coef. Blévot]]*0.9*INDEX(tipoEstaca[],MATCH($D$2,tipoEstaca[TIPO DE ESTACA],0),MATCH("fcd (kN/cm²)",tipoEstaca[#Headers],0)),"N.S.")</f>
        <v>N.S.</v>
      </c>
      <c r="AR67" s="1" t="str">
        <f ca="1">IF(AND(ECF[[#This Row],[cd,b,pil (kN/cm²)]]&lt;=ECF[[#This Row],[cd,b,lim (kN/cm²)]],ECF[[#This Row],[cd,b,est (kN/cm²)]]&lt;=ECF[[#This Row],[cd,b,lim (kN/cm²)]]),"OK","ERRO")</f>
        <v>OK</v>
      </c>
      <c r="AS67" s="4" t="str">
        <f ca="1">As_lado(ECF[[#This Row],[nE]],ECF[[#This Row],[Nsd (kN)]],ECF[[#This Row],[d (cm)]],ECF[[#This Row],[e (cm)]],ECF[[#This Row],[ap,eq (cm)]])</f>
        <v>N.S.</v>
      </c>
      <c r="AT67" s="4" t="str">
        <f ca="1">IF(ECF[[#This Row],[nE]]=1,ECF[[#This Row],[As,lado (cm²)]],IF(ECF[[#This Row],[nE]]=2,0.075*2*ECF[a (cm)],"N.A."))</f>
        <v>N.A.</v>
      </c>
      <c r="AU67" s="4" t="str">
        <f ca="1">IFERROR(IF(ECF[[#This Row],[nE]]=1,"N.A.",0.2*ECF[[#This Row],[As,lado (cm²)]]),"N.S.")</f>
        <v>N.S.</v>
      </c>
      <c r="AV67" s="4" t="str">
        <f ca="1">As_malha(ECF[[#This Row],[nE]],ECF[[#This Row],[As,lado (cm²)]],ECF[[#This Row],[Nsd (kN)]])</f>
        <v>N.S.</v>
      </c>
      <c r="AW67" s="4" t="str">
        <f ca="1">As_susp_tot(ECF[[#This Row],[nE]],ECF[[#This Row],[Nsd (kN)]])</f>
        <v>N.S.</v>
      </c>
      <c r="AX67" s="4" t="str">
        <f ca="1">Asp_face(ECF[[#This Row],[nE]],ECF[[#This Row],[As,lado (cm²)]])</f>
        <v>N.S.</v>
      </c>
      <c r="AY67" s="5" t="str">
        <f ca="1">acoBloco(ECF[[#This Row],[nE]],ECF[[#This Row],[e (cm)]],ECF[[#This Row],[a (cm)]],ECF[[#This Row],[h (cm)]],ECF[[#This Row],[As,lado (cm²)]],ECF[[#This Row],[Asp e Asw (cm²/m)]],ECF[[#This Row],[As,sup (cm²)]],ECF[[#This Row],[As,malha (cm²)]],ECF[[#This Row],[As,susp,tot (cm²)]],ECF[[#This Row],[Asp,face (cm²)]])</f>
        <v>N.S.</v>
      </c>
      <c r="AZ67" s="4" t="str">
        <f ca="1">concretoBloco(ECF[[#This Row],[nE]],ECF[[#This Row],[e (cm)]],ECF[[#This Row],[a (cm)]],ECF[[#This Row],[h (cm)]])</f>
        <v>N.S.</v>
      </c>
      <c r="BA67" s="5">
        <f ca="1">SUM(ECF[[#This Row],[Aço Est (kg)]],ECF[[#This Row],[Aço Bloco (kg)]])</f>
        <v>63.133445966540478</v>
      </c>
      <c r="BB67" s="4">
        <f>INDEX(composicoes[],MATCH(95580,composicoes[CÓDIGO],0),MATCH("CUSTO TOTAL",composicoes[#Headers],0))</f>
        <v>10.46</v>
      </c>
      <c r="BC67" s="4">
        <f ca="1">SUM(ECF[[#This Row],[Conc Est (m³)]],ECF[[#This Row],[Conc Bloco (m³)]])</f>
        <v>21.111502632123411</v>
      </c>
      <c r="BD67" s="4">
        <f>INDEX(composicoes[],MATCH(94966,composicoes[CÓDIGO],0),MATCH("CUSTO TOTAL",composicoes[#Headers],0))</f>
        <v>439.52</v>
      </c>
      <c r="BE67" s="38">
        <f ca="1">ECF[[#This Row],[Aço (kg)]]*ECF[[#This Row],[Aço (R$/kg)]]+ECF[[#This Row],[Conc (m³)]]*ECF[[#This Row],[Conc (R$/m³)]]</f>
        <v>9939.303481680894</v>
      </c>
      <c r="BF67" s="4" t="str">
        <f ca="1">IF(COUNTIF(ECF[#This Row],"N.S.")&gt;0,"lim.","OK")</f>
        <v>lim.</v>
      </c>
      <c r="BG67" s="4" t="str">
        <f>IF(ECF[[#This Row],[Prof. (m)]]&lt;4,"lim.","OK")</f>
        <v>OK</v>
      </c>
      <c r="BH67" s="4" t="str">
        <f>IF(ECF[[#This Row],[Prof. (m)]]&gt;=8*ECF[[#This Row],[Ø (cm)]]/100,"OK","lim.")</f>
        <v>lim.</v>
      </c>
      <c r="BI67" s="4" t="str">
        <f>IF(AND(SPT!$F$3&lt;&gt;"",ECF[[#This Row],[Prof. (m)]]&gt;=SPT!$F$3-2),"lim.","OK")</f>
        <v>OK</v>
      </c>
      <c r="BJ67" s="4" t="str">
        <f ca="1">IF(ECF[[#This Row],[Verif. Biela]]="OK","OK","lim.")</f>
        <v>OK</v>
      </c>
      <c r="BK67" s="4" t="str">
        <f ca="1">IF(COUNTA(ECF[[#This Row],[Nº Est.]:[Biela comp.]])=COUNTIF(ECF[[#This Row],[Nº Est.]:[Biela comp.]],"OK"),"OK","lim.")</f>
        <v>lim.</v>
      </c>
      <c r="BL67" s="4" t="str">
        <f ca="1">IF(ECF[[#This Row],[Controle]]="OK",ECF[[#This Row],[nE]]&amp;" Ø"&amp;ECF[[#This Row],[Ø (cm)]]&amp;"cm Prof. "&amp;ECF[[#This Row],[Prof. (m)]]&amp;" m","")</f>
        <v/>
      </c>
      <c r="BM67" s="4" t="str">
        <f ca="1">IF(ECF[[#This Row],[idDimensionamento]]="","",ECF[[#This Row],[idPilar]]&amp;ECF[[#This Row],[idDimensionamento]])</f>
        <v/>
      </c>
    </row>
    <row r="68" spans="2:65" x14ac:dyDescent="0.25">
      <c r="B68" s="12">
        <f>ROUNDUP((ROW(ECF[[#This Row],[idDiâmetro]])-ROW(ECF[[#Headers],[idDiâmetro]]))/(COUNT(SPT[Prof. (m)])*COUNT(PILARES[Pilar])),0)</f>
        <v>3</v>
      </c>
      <c r="C68" s="12">
        <f>IF(ECF[[#This Row],[idDiâmetro]]&lt;&gt;B67,1,IF(ECF[[#This Row],[Prof. (m)]]=0,C67+1,C67))</f>
        <v>1</v>
      </c>
      <c r="D68" s="1">
        <f>IFERROR(IF(D67=MAX(SPT[Prof. (m)]),0,D67+1),0)</f>
        <v>7</v>
      </c>
      <c r="E68" s="1">
        <f>INDEX(SPT[],MATCH(ECF[[#This Row],[Prof. (m)]],SPT[Prof. (m)],0),2)</f>
        <v>8</v>
      </c>
      <c r="F68" s="1" t="str">
        <f>INDEX(SPT[],MATCH(ECF[[#This Row],[Prof. (m)]],SPT[Prof. (m)],0),3)</f>
        <v>Silte arenoso</v>
      </c>
      <c r="G68" s="1">
        <f>INDEX(estacas[],ECF[[#This Row],[idDiâmetro]],MATCH($B$2,estacas[#Headers],0))</f>
        <v>80</v>
      </c>
      <c r="H68" s="1">
        <f>INDEX(estacas[],MATCH(ECF[[#This Row],[Ø (cm)]],estacas[Ø ECF (cm)],0),MATCH(ECF[[#Headers],[Pe ECF (kN)]],estacas[#Headers],0))</f>
        <v>2000</v>
      </c>
      <c r="I68" s="4">
        <f>INDEX(K_alpha_C[],MATCH(ECF[[#This Row],[Solo]],K_alpha_C[Solo],0),2)</f>
        <v>0.55000000000000004</v>
      </c>
      <c r="J68" s="5">
        <f>INDEX(K_alpha_C[],MATCH(ECF[[#This Row],[Solo]],K_alpha_C[Solo],0),3)</f>
        <v>2.2000000000000002</v>
      </c>
      <c r="K68" s="4">
        <f>INDEX(F1_F2[],MATCH($D$2,F1_F2[Tipo de estaca],0),2)</f>
        <v>3</v>
      </c>
      <c r="L68" s="4">
        <f>INDEX(F1_F2[],MATCH($D$2,F1_F2[Tipo de estaca],0),3)</f>
        <v>6</v>
      </c>
      <c r="M68" s="4">
        <f>PI()*(ECF[[#This Row],[Ø (cm)]]/100)^2/4</f>
        <v>0.50265482457436694</v>
      </c>
      <c r="N68" s="4">
        <f>PI()*ECF[[#This Row],[Ø (cm)]]/100</f>
        <v>2.5132741228718345</v>
      </c>
      <c r="O68" s="4">
        <f>IF(ECF[[#This Row],[Prof. (m)]]=0,0,ECF[[#This Row],[α (%)]]/100*ECF[[#This Row],[K (MPa)]]*1000*ECF[[#This Row],[NSPT]])</f>
        <v>96.800000000000011</v>
      </c>
      <c r="P68" s="4">
        <f>IF(ECF[[#This Row],[Prof. (m)]]=0,0,(ECF[[#This Row],[K (MPa)]]*1000*ECF[[#This Row],[NSPT]]/ECF[[#This Row],[F1]]*ECF[[#This Row],[Ap (m²)]]+ECF[[#This Row],[U (m)]]/ECF[[#This Row],[F2]]*SUMIFS(ECF[(α∙K∙NL∙ΔL)],ECF[Prof. (m)],"&lt;="&amp;ECF[[#This Row],[Prof. (m)]],ECF[idDiâmetro],ECF[[#This Row],[idDiâmetro]],ECF[idPilar],ECF[[#This Row],[idPilar]]))/'DADOS CAP. CARGA'!$D$2)</f>
        <v>552.68992357054037</v>
      </c>
      <c r="Q68" s="12">
        <f>INDEX(C_alpha_beta[],MATCH(ECF[[#This Row],[Solo]],C_alpha_beta[Solo],0),MATCH(ECF[[#Headers],[C (kPa)]],C_alpha_beta[#Headers],0))</f>
        <v>250</v>
      </c>
      <c r="R68" s="4">
        <f>INDEX(C_alpha_beta[],MATCH(ECF[[#This Row],[Solo]],C_alpha_beta[Solo],0),MATCH(ECF[[#Headers],[α ESF]],C_alpha_beta[#Headers],0))</f>
        <v>0.6</v>
      </c>
      <c r="S68" s="4">
        <f>INDEX(C_alpha_beta[],MATCH(ECF[[#This Row],[Solo]],C_alpha_beta[Solo],0),MATCH(ECF[[#Headers],[β ESF]],C_alpha_beta[#Headers],0))</f>
        <v>0.65</v>
      </c>
      <c r="T68" s="4">
        <f>IF(ECF[[#This Row],[Prof. (m)]]=0,0,10*(ECF[[#This Row],[NSPT]]/3+1))</f>
        <v>36.666666666666664</v>
      </c>
      <c r="U68" s="4">
        <f>(ECF[[#This Row],[α ESF]]*ECF[[#This Row],[C (kPa)]]*ECF[[#This Row],[NSPT]]*ECF[[#This Row],[Ap (m²)]])/'DADOS CAP. CARGA'!$Q$2+(ECF[[#This Row],[β ESF]]*SUMIFS(ECF[10∙(NL/3+1)],ECF[Prof. (m)],"&lt;="&amp;ECF[[#This Row],[Prof. (m)]],ECF[idDiâmetro],ECF[[#This Row],[idDiâmetro]],ECF[idPilar],ECF[[#This Row],[idPilar]])*ECF[[#This Row],[U (m)]])/'DADOS CAP. CARGA'!$S$2</f>
        <v>376.78167892053585</v>
      </c>
      <c r="V68" s="4">
        <f>IF(SPT!$M$5=1,MIN(ECF[[#This Row],[Pe ECF (kN)]],ECF[[#This Row],[R_AV (kN)]]),IF(SPT!$M$5=2,MIN(ECF[[#This Row],[Pe ECF (kN)]],ECF[[#This Row],[R_DC (kN)]]),MIN(ECF[[#This Row],[Pe ECF (kN)]],ECF[[#This Row],[R_AV (kN)]],ECF[[#This Row],[R_DC (kN)]])))</f>
        <v>376.78167892053585</v>
      </c>
      <c r="W68" s="4">
        <f>INDEX(PILARES[],ECF[[#This Row],[idPilar]],MATCH("Carga (kN)",PILARES[#Headers],0))*1.4</f>
        <v>3500</v>
      </c>
      <c r="X68" s="12">
        <f>INDEX(PILARES[],ECF[[#This Row],[idPilar]],MATCH(ECF[[#Headers],[ap (cm)]],PILARES[#Headers],0))</f>
        <v>60</v>
      </c>
      <c r="Y68" s="12">
        <f>INDEX(PILARES[],ECF[[#This Row],[idPilar]],MATCH(ECF[[#Headers],[bp (cm)]],PILARES[#Headers],0))</f>
        <v>60</v>
      </c>
      <c r="Z68" s="4">
        <f>SQRT(ECF[[#This Row],[ap (cm)]]*ECF[[#This Row],[bp (cm)]])</f>
        <v>60</v>
      </c>
      <c r="AA68" s="12">
        <f>ECF[[#This Row],[ap (cm)]]*ECF[[#This Row],[bp (cm)]]</f>
        <v>3600</v>
      </c>
      <c r="AB68" s="12">
        <f ca="1">IF(ECF[[#This Row],[Padm∙ε (kN)]]&gt;=ECF[[#This Row],[Padm (kN)]],ROUNDUP(1.05*ECF[[#This Row],[Nsd (kN)]]/ECF[[#This Row],[Padm (kN)]],0),ROUNDUP(1.05*ECF[[#This Row],[Nsd (kN)]]/ECF[[#This Row],[Padm (kN)]],0)+1)</f>
        <v>10</v>
      </c>
      <c r="AC68" s="4" t="str">
        <f ca="1">IFERROR(IF(ECF[[#This Row],[nE]]=1,ECF[[#This Row],[Padm (kN)]],ECF[[#This Row],[Padm (kN)]]*ECF[[#This Row],[nE]]*INDEX(grupoEstacas[],ECF[[#This Row],[nE]],MATCH("ε",grupoEstacas[#Headers],0))),"N.S.")</f>
        <v>N.S.</v>
      </c>
      <c r="AD68" s="4">
        <f ca="1">1.05*ECF[[#This Row],[Nsd (kN)]]/(ECF[[#This Row],[nE]]*PI()*ECF[[#This Row],[Ø (cm)]]^2/4)*10</f>
        <v>0.73111801982839419</v>
      </c>
      <c r="AE68" s="4">
        <f ca="1">IF(ECF[[#This Row],[σ (MPa)]]&lt;INDEX(tipoEstaca[],MATCH($D$2,tipoEstaca[TIPO DE ESTACA],0),MATCH("σmáx (MPa)",tipoEstaca[#Headers],0)),0.4%*PI()*ECF[[#This Row],[Ø (cm)]]^2/4,"N.S.")</f>
        <v>20.106192982974676</v>
      </c>
      <c r="AF68" s="1">
        <f>INDEX(tipoEstaca[],MATCH($D$2,tipoEstaca[TIPO DE ESTACA],0),MATCH(ECF[[#Headers],[Comprimento (m)]],tipoEstaca[#Headers],0))</f>
        <v>4</v>
      </c>
      <c r="AG68" s="5">
        <f ca="1">ECF[[#This Row],[As,mín (cm²)]]/100^2*ECF[[#This Row],[Comprimento (m)]]*7850</f>
        <v>63.133445966540478</v>
      </c>
      <c r="AH68" s="4">
        <f ca="1">ECF[[#This Row],[nE]]*ECF[[#This Row],[Prof. (m)]]*ECF[[#This Row],[Ap (m²)]]</f>
        <v>35.185837720205683</v>
      </c>
      <c r="AI68" s="1">
        <f ca="1">IF(ECF[[#This Row],[nE]]=1,0,MAX(3*ECF[[#This Row],[Ø (cm)]],60))</f>
        <v>240</v>
      </c>
      <c r="AJ68" s="1">
        <f ca="1">IF(ECF[[#This Row],[nE]]=1,ECF[[#This Row],[Ø (cm)]]+2*10,MAX(1.5*ECF[[#This Row],[Ø (cm)]],ECF[[#This Row],[Ø (cm)]]+15))</f>
        <v>120</v>
      </c>
      <c r="AK68" s="1" t="str">
        <f ca="1">alturaUtil(ECF[[#This Row],[nE]],ECF[[#This Row],[Ø (cm)]],ECF[[#This Row],[e (cm)]],ECF[[#This Row],[ap,eq (cm)]])</f>
        <v>N.S.</v>
      </c>
      <c r="AL68" s="1" t="str">
        <f ca="1">IFERROR(ECF[[#This Row],[d (cm)]]+arredondarParaCimaMultiplo5cm(MAX(5,SQRT(PI())/2*ECF[[#This Row],[Ø (cm)]]/5)),"N.S.")</f>
        <v>N.S.</v>
      </c>
      <c r="AM68" s="5" t="str">
        <f ca="1">alpha(ECF[[#This Row],[nE]],ECF[[#This Row],[d (cm)]],ECF[[#This Row],[e (cm)]],ECF[[#This Row],[ap,eq (cm)]])</f>
        <v>N.S.</v>
      </c>
      <c r="AN68" s="35" t="str">
        <f ca="1">IFERROR(ECF[[#This Row],[Nsd (kN)]]/(ECF[[#This Row],[Ap (cm²)]]*SIN(ECF[[#This Row],[α]])^2),"N.S.")</f>
        <v>N.S.</v>
      </c>
      <c r="AO68" s="35" t="str">
        <f ca="1">IFERROR(ECF[[#This Row],[Nsd (kN)]]/(ECF[[#This Row],[nE]]*PI()*ECF[[#This Row],[Ø (cm)]]^2/4*SIN(ECF[[#This Row],[α]])^2),"N.S.")</f>
        <v>N.S.</v>
      </c>
      <c r="AP68" s="4" t="str">
        <f ca="1">IFERROR(INDEX(grupoEstacas[],ECF[[#This Row],[nE]],MATCH("coef. Blévot",grupoEstacas[#Headers],0)),"N.S.")</f>
        <v>N.S.</v>
      </c>
      <c r="AQ68" s="35" t="str">
        <f ca="1">IFERROR(ECF[[#This Row],[coef. Blévot]]*0.9*INDEX(tipoEstaca[],MATCH($D$2,tipoEstaca[TIPO DE ESTACA],0),MATCH("fcd (kN/cm²)",tipoEstaca[#Headers],0)),"N.S.")</f>
        <v>N.S.</v>
      </c>
      <c r="AR68" s="1" t="str">
        <f ca="1">IF(AND(ECF[[#This Row],[cd,b,pil (kN/cm²)]]&lt;=ECF[[#This Row],[cd,b,lim (kN/cm²)]],ECF[[#This Row],[cd,b,est (kN/cm²)]]&lt;=ECF[[#This Row],[cd,b,lim (kN/cm²)]]),"OK","ERRO")</f>
        <v>OK</v>
      </c>
      <c r="AS68" s="4" t="str">
        <f ca="1">As_lado(ECF[[#This Row],[nE]],ECF[[#This Row],[Nsd (kN)]],ECF[[#This Row],[d (cm)]],ECF[[#This Row],[e (cm)]],ECF[[#This Row],[ap,eq (cm)]])</f>
        <v>N.S.</v>
      </c>
      <c r="AT68" s="4" t="str">
        <f ca="1">IF(ECF[[#This Row],[nE]]=1,ECF[[#This Row],[As,lado (cm²)]],IF(ECF[[#This Row],[nE]]=2,0.075*2*ECF[a (cm)],"N.A."))</f>
        <v>N.A.</v>
      </c>
      <c r="AU68" s="4" t="str">
        <f ca="1">IFERROR(IF(ECF[[#This Row],[nE]]=1,"N.A.",0.2*ECF[[#This Row],[As,lado (cm²)]]),"N.S.")</f>
        <v>N.S.</v>
      </c>
      <c r="AV68" s="4" t="str">
        <f ca="1">As_malha(ECF[[#This Row],[nE]],ECF[[#This Row],[As,lado (cm²)]],ECF[[#This Row],[Nsd (kN)]])</f>
        <v>N.S.</v>
      </c>
      <c r="AW68" s="4" t="str">
        <f ca="1">As_susp_tot(ECF[[#This Row],[nE]],ECF[[#This Row],[Nsd (kN)]])</f>
        <v>N.S.</v>
      </c>
      <c r="AX68" s="4" t="str">
        <f ca="1">Asp_face(ECF[[#This Row],[nE]],ECF[[#This Row],[As,lado (cm²)]])</f>
        <v>N.S.</v>
      </c>
      <c r="AY68" s="5" t="str">
        <f ca="1">acoBloco(ECF[[#This Row],[nE]],ECF[[#This Row],[e (cm)]],ECF[[#This Row],[a (cm)]],ECF[[#This Row],[h (cm)]],ECF[[#This Row],[As,lado (cm²)]],ECF[[#This Row],[Asp e Asw (cm²/m)]],ECF[[#This Row],[As,sup (cm²)]],ECF[[#This Row],[As,malha (cm²)]],ECF[[#This Row],[As,susp,tot (cm²)]],ECF[[#This Row],[Asp,face (cm²)]])</f>
        <v>N.S.</v>
      </c>
      <c r="AZ68" s="4" t="str">
        <f ca="1">concretoBloco(ECF[[#This Row],[nE]],ECF[[#This Row],[e (cm)]],ECF[[#This Row],[a (cm)]],ECF[[#This Row],[h (cm)]])</f>
        <v>N.S.</v>
      </c>
      <c r="BA68" s="5">
        <f ca="1">SUM(ECF[[#This Row],[Aço Est (kg)]],ECF[[#This Row],[Aço Bloco (kg)]])</f>
        <v>63.133445966540478</v>
      </c>
      <c r="BB68" s="4">
        <f>INDEX(composicoes[],MATCH(95580,composicoes[CÓDIGO],0),MATCH("CUSTO TOTAL",composicoes[#Headers],0))</f>
        <v>10.46</v>
      </c>
      <c r="BC68" s="4">
        <f ca="1">SUM(ECF[[#This Row],[Conc Est (m³)]],ECF[[#This Row],[Conc Bloco (m³)]])</f>
        <v>35.185837720205683</v>
      </c>
      <c r="BD68" s="4">
        <f>INDEX(composicoes[],MATCH(94966,composicoes[CÓDIGO],0),MATCH("CUSTO TOTAL",composicoes[#Headers],0))</f>
        <v>439.52</v>
      </c>
      <c r="BE68" s="38">
        <f ca="1">ECF[[#This Row],[Aço (kg)]]*ECF[[#This Row],[Aço (R$/kg)]]+ECF[[#This Row],[Conc (m³)]]*ECF[[#This Row],[Conc (R$/m³)]]</f>
        <v>16125.255239594815</v>
      </c>
      <c r="BF68" s="4" t="str">
        <f ca="1">IF(COUNTIF(ECF[#This Row],"N.S.")&gt;0,"lim.","OK")</f>
        <v>lim.</v>
      </c>
      <c r="BG68" s="4" t="str">
        <f>IF(ECF[[#This Row],[Prof. (m)]]&lt;4,"lim.","OK")</f>
        <v>OK</v>
      </c>
      <c r="BH68" s="4" t="str">
        <f>IF(ECF[[#This Row],[Prof. (m)]]&gt;=8*ECF[[#This Row],[Ø (cm)]]/100,"OK","lim.")</f>
        <v>OK</v>
      </c>
      <c r="BI68" s="4" t="str">
        <f>IF(AND(SPT!$F$3&lt;&gt;"",ECF[[#This Row],[Prof. (m)]]&gt;=SPT!$F$3-2),"lim.","OK")</f>
        <v>OK</v>
      </c>
      <c r="BJ68" s="4" t="str">
        <f ca="1">IF(ECF[[#This Row],[Verif. Biela]]="OK","OK","lim.")</f>
        <v>OK</v>
      </c>
      <c r="BK68" s="4" t="str">
        <f ca="1">IF(COUNTA(ECF[[#This Row],[Nº Est.]:[Biela comp.]])=COUNTIF(ECF[[#This Row],[Nº Est.]:[Biela comp.]],"OK"),"OK","lim.")</f>
        <v>lim.</v>
      </c>
      <c r="BL68" s="4" t="str">
        <f ca="1">IF(ECF[[#This Row],[Controle]]="OK",ECF[[#This Row],[nE]]&amp;" Ø"&amp;ECF[[#This Row],[Ø (cm)]]&amp;"cm Prof. "&amp;ECF[[#This Row],[Prof. (m)]]&amp;" m","")</f>
        <v/>
      </c>
      <c r="BM68" s="4" t="str">
        <f ca="1">IF(ECF[[#This Row],[idDimensionamento]]="","",ECF[[#This Row],[idPilar]]&amp;ECF[[#This Row],[idDimensionamento]])</f>
        <v/>
      </c>
    </row>
    <row r="69" spans="2:65" x14ac:dyDescent="0.25">
      <c r="B69" s="12">
        <f>ROUNDUP((ROW(ECF[[#This Row],[idDiâmetro]])-ROW(ECF[[#Headers],[idDiâmetro]]))/(COUNT(SPT[Prof. (m)])*COUNT(PILARES[Pilar])),0)</f>
        <v>3</v>
      </c>
      <c r="C69" s="12">
        <f>IF(ECF[[#This Row],[idDiâmetro]]&lt;&gt;B68,1,IF(ECF[[#This Row],[Prof. (m)]]=0,C68+1,C68))</f>
        <v>1</v>
      </c>
      <c r="D69" s="1">
        <f>IFERROR(IF(D68=MAX(SPT[Prof. (m)]),0,D68+1),0)</f>
        <v>8</v>
      </c>
      <c r="E69" s="1">
        <f>INDEX(SPT[],MATCH(ECF[[#This Row],[Prof. (m)]],SPT[Prof. (m)],0),2)</f>
        <v>10</v>
      </c>
      <c r="F69" s="1" t="str">
        <f>INDEX(SPT[],MATCH(ECF[[#This Row],[Prof. (m)]],SPT[Prof. (m)],0),3)</f>
        <v>Silte arenoso</v>
      </c>
      <c r="G69" s="1">
        <f>INDEX(estacas[],ECF[[#This Row],[idDiâmetro]],MATCH($B$2,estacas[#Headers],0))</f>
        <v>80</v>
      </c>
      <c r="H69" s="1">
        <f>INDEX(estacas[],MATCH(ECF[[#This Row],[Ø (cm)]],estacas[Ø ECF (cm)],0),MATCH(ECF[[#Headers],[Pe ECF (kN)]],estacas[#Headers],0))</f>
        <v>2000</v>
      </c>
      <c r="I69" s="4">
        <f>INDEX(K_alpha_C[],MATCH(ECF[[#This Row],[Solo]],K_alpha_C[Solo],0),2)</f>
        <v>0.55000000000000004</v>
      </c>
      <c r="J69" s="5">
        <f>INDEX(K_alpha_C[],MATCH(ECF[[#This Row],[Solo]],K_alpha_C[Solo],0),3)</f>
        <v>2.2000000000000002</v>
      </c>
      <c r="K69" s="4">
        <f>INDEX(F1_F2[],MATCH($D$2,F1_F2[Tipo de estaca],0),2)</f>
        <v>3</v>
      </c>
      <c r="L69" s="4">
        <f>INDEX(F1_F2[],MATCH($D$2,F1_F2[Tipo de estaca],0),3)</f>
        <v>6</v>
      </c>
      <c r="M69" s="4">
        <f>PI()*(ECF[[#This Row],[Ø (cm)]]/100)^2/4</f>
        <v>0.50265482457436694</v>
      </c>
      <c r="N69" s="4">
        <f>PI()*ECF[[#This Row],[Ø (cm)]]/100</f>
        <v>2.5132741228718345</v>
      </c>
      <c r="O69" s="4">
        <f>IF(ECF[[#This Row],[Prof. (m)]]=0,0,ECF[[#This Row],[α (%)]]/100*ECF[[#This Row],[K (MPa)]]*1000*ECF[[#This Row],[NSPT]])</f>
        <v>121.00000000000001</v>
      </c>
      <c r="P69" s="4">
        <f>IF(ECF[[#This Row],[Prof. (m)]]=0,0,(ECF[[#This Row],[K (MPa)]]*1000*ECF[[#This Row],[NSPT]]/ECF[[#This Row],[F1]]*ECF[[#This Row],[Ap (m²)]]+ECF[[#This Row],[U (m)]]/ECF[[#This Row],[F2]]*SUMIFS(ECF[(α∙K∙NL∙ΔL)],ECF[Prof. (m)],"&lt;="&amp;ECF[[#This Row],[Prof. (m)]],ECF[idDiâmetro],ECF[[#This Row],[idDiâmetro]],ECF[idPilar],ECF[[#This Row],[idPilar]]))/'DADOS CAP. CARGA'!$D$2)</f>
        <v>670.18548881479865</v>
      </c>
      <c r="Q69" s="12">
        <f>INDEX(C_alpha_beta[],MATCH(ECF[[#This Row],[Solo]],C_alpha_beta[Solo],0),MATCH(ECF[[#Headers],[C (kPa)]],C_alpha_beta[#Headers],0))</f>
        <v>250</v>
      </c>
      <c r="R69" s="4">
        <f>INDEX(C_alpha_beta[],MATCH(ECF[[#This Row],[Solo]],C_alpha_beta[Solo],0),MATCH(ECF[[#Headers],[α ESF]],C_alpha_beta[#Headers],0))</f>
        <v>0.6</v>
      </c>
      <c r="S69" s="4">
        <f>INDEX(C_alpha_beta[],MATCH(ECF[[#This Row],[Solo]],C_alpha_beta[Solo],0),MATCH(ECF[[#Headers],[β ESF]],C_alpha_beta[#Headers],0))</f>
        <v>0.65</v>
      </c>
      <c r="T69" s="4">
        <f>IF(ECF[[#This Row],[Prof. (m)]]=0,0,10*(ECF[[#This Row],[NSPT]]/3+1))</f>
        <v>43.333333333333343</v>
      </c>
      <c r="U69" s="4">
        <f>(ECF[[#This Row],[α ESF]]*ECF[[#This Row],[C (kPa)]]*ECF[[#This Row],[NSPT]]*ECF[[#This Row],[Ap (m²)]])/'DADOS CAP. CARGA'!$Q$2+(ECF[[#This Row],[β ESF]]*SUMIFS(ECF[10∙(NL/3+1)],ECF[Prof. (m)],"&lt;="&amp;ECF[[#This Row],[Prof. (m)]],ECF[idDiâmetro],ECF[[#This Row],[idDiâmetro]],ECF[idPilar],ECF[[#This Row],[idPilar]])*ECF[[#This Row],[U (m)]])/'DADOS CAP. CARGA'!$S$2</f>
        <v>449.87606799405842</v>
      </c>
      <c r="V69" s="4">
        <f>IF(SPT!$M$5=1,MIN(ECF[[#This Row],[Pe ECF (kN)]],ECF[[#This Row],[R_AV (kN)]]),IF(SPT!$M$5=2,MIN(ECF[[#This Row],[Pe ECF (kN)]],ECF[[#This Row],[R_DC (kN)]]),MIN(ECF[[#This Row],[Pe ECF (kN)]],ECF[[#This Row],[R_AV (kN)]],ECF[[#This Row],[R_DC (kN)]])))</f>
        <v>449.87606799405842</v>
      </c>
      <c r="W69" s="4">
        <f>INDEX(PILARES[],ECF[[#This Row],[idPilar]],MATCH("Carga (kN)",PILARES[#Headers],0))*1.4</f>
        <v>3500</v>
      </c>
      <c r="X69" s="12">
        <f>INDEX(PILARES[],ECF[[#This Row],[idPilar]],MATCH(ECF[[#Headers],[ap (cm)]],PILARES[#Headers],0))</f>
        <v>60</v>
      </c>
      <c r="Y69" s="12">
        <f>INDEX(PILARES[],ECF[[#This Row],[idPilar]],MATCH(ECF[[#Headers],[bp (cm)]],PILARES[#Headers],0))</f>
        <v>60</v>
      </c>
      <c r="Z69" s="4">
        <f>SQRT(ECF[[#This Row],[ap (cm)]]*ECF[[#This Row],[bp (cm)]])</f>
        <v>60</v>
      </c>
      <c r="AA69" s="12">
        <f>ECF[[#This Row],[ap (cm)]]*ECF[[#This Row],[bp (cm)]]</f>
        <v>3600</v>
      </c>
      <c r="AB69" s="12">
        <f ca="1">IF(ECF[[#This Row],[Padm∙ε (kN)]]&gt;=ECF[[#This Row],[Padm (kN)]],ROUNDUP(1.05*ECF[[#This Row],[Nsd (kN)]]/ECF[[#This Row],[Padm (kN)]],0),ROUNDUP(1.05*ECF[[#This Row],[Nsd (kN)]]/ECF[[#This Row],[Padm (kN)]],0)+1)</f>
        <v>9</v>
      </c>
      <c r="AC69" s="4" t="str">
        <f ca="1">IFERROR(IF(ECF[[#This Row],[nE]]=1,ECF[[#This Row],[Padm (kN)]],ECF[[#This Row],[Padm (kN)]]*ECF[[#This Row],[nE]]*INDEX(grupoEstacas[],ECF[[#This Row],[nE]],MATCH("ε",grupoEstacas[#Headers],0))),"N.S.")</f>
        <v>N.S.</v>
      </c>
      <c r="AD69" s="4">
        <f ca="1">1.05*ECF[[#This Row],[Nsd (kN)]]/(ECF[[#This Row],[nE]]*PI()*ECF[[#This Row],[Ø (cm)]]^2/4)*10</f>
        <v>0.81235335536488251</v>
      </c>
      <c r="AE69" s="4">
        <f ca="1">IF(ECF[[#This Row],[σ (MPa)]]&lt;INDEX(tipoEstaca[],MATCH($D$2,tipoEstaca[TIPO DE ESTACA],0),MATCH("σmáx (MPa)",tipoEstaca[#Headers],0)),0.4%*PI()*ECF[[#This Row],[Ø (cm)]]^2/4,"N.S.")</f>
        <v>20.106192982974676</v>
      </c>
      <c r="AF69" s="1">
        <f>INDEX(tipoEstaca[],MATCH($D$2,tipoEstaca[TIPO DE ESTACA],0),MATCH(ECF[[#Headers],[Comprimento (m)]],tipoEstaca[#Headers],0))</f>
        <v>4</v>
      </c>
      <c r="AG69" s="5">
        <f ca="1">ECF[[#This Row],[As,mín (cm²)]]/100^2*ECF[[#This Row],[Comprimento (m)]]*7850</f>
        <v>63.133445966540478</v>
      </c>
      <c r="AH69" s="4">
        <f ca="1">ECF[[#This Row],[nE]]*ECF[[#This Row],[Prof. (m)]]*ECF[[#This Row],[Ap (m²)]]</f>
        <v>36.191147369354418</v>
      </c>
      <c r="AI69" s="1">
        <f ca="1">IF(ECF[[#This Row],[nE]]=1,0,MAX(3*ECF[[#This Row],[Ø (cm)]],60))</f>
        <v>240</v>
      </c>
      <c r="AJ69" s="1">
        <f ca="1">IF(ECF[[#This Row],[nE]]=1,ECF[[#This Row],[Ø (cm)]]+2*10,MAX(1.5*ECF[[#This Row],[Ø (cm)]],ECF[[#This Row],[Ø (cm)]]+15))</f>
        <v>120</v>
      </c>
      <c r="AK69" s="1" t="str">
        <f ca="1">alturaUtil(ECF[[#This Row],[nE]],ECF[[#This Row],[Ø (cm)]],ECF[[#This Row],[e (cm)]],ECF[[#This Row],[ap,eq (cm)]])</f>
        <v>N.S.</v>
      </c>
      <c r="AL69" s="1" t="str">
        <f ca="1">IFERROR(ECF[[#This Row],[d (cm)]]+arredondarParaCimaMultiplo5cm(MAX(5,SQRT(PI())/2*ECF[[#This Row],[Ø (cm)]]/5)),"N.S.")</f>
        <v>N.S.</v>
      </c>
      <c r="AM69" s="5" t="str">
        <f ca="1">alpha(ECF[[#This Row],[nE]],ECF[[#This Row],[d (cm)]],ECF[[#This Row],[e (cm)]],ECF[[#This Row],[ap,eq (cm)]])</f>
        <v>N.S.</v>
      </c>
      <c r="AN69" s="35" t="str">
        <f ca="1">IFERROR(ECF[[#This Row],[Nsd (kN)]]/(ECF[[#This Row],[Ap (cm²)]]*SIN(ECF[[#This Row],[α]])^2),"N.S.")</f>
        <v>N.S.</v>
      </c>
      <c r="AO69" s="35" t="str">
        <f ca="1">IFERROR(ECF[[#This Row],[Nsd (kN)]]/(ECF[[#This Row],[nE]]*PI()*ECF[[#This Row],[Ø (cm)]]^2/4*SIN(ECF[[#This Row],[α]])^2),"N.S.")</f>
        <v>N.S.</v>
      </c>
      <c r="AP69" s="4" t="str">
        <f ca="1">IFERROR(INDEX(grupoEstacas[],ECF[[#This Row],[nE]],MATCH("coef. Blévot",grupoEstacas[#Headers],0)),"N.S.")</f>
        <v>N.S.</v>
      </c>
      <c r="AQ69" s="35" t="str">
        <f ca="1">IFERROR(ECF[[#This Row],[coef. Blévot]]*0.9*INDEX(tipoEstaca[],MATCH($D$2,tipoEstaca[TIPO DE ESTACA],0),MATCH("fcd (kN/cm²)",tipoEstaca[#Headers],0)),"N.S.")</f>
        <v>N.S.</v>
      </c>
      <c r="AR69" s="1" t="str">
        <f ca="1">IF(AND(ECF[[#This Row],[cd,b,pil (kN/cm²)]]&lt;=ECF[[#This Row],[cd,b,lim (kN/cm²)]],ECF[[#This Row],[cd,b,est (kN/cm²)]]&lt;=ECF[[#This Row],[cd,b,lim (kN/cm²)]]),"OK","ERRO")</f>
        <v>OK</v>
      </c>
      <c r="AS69" s="4" t="str">
        <f ca="1">As_lado(ECF[[#This Row],[nE]],ECF[[#This Row],[Nsd (kN)]],ECF[[#This Row],[d (cm)]],ECF[[#This Row],[e (cm)]],ECF[[#This Row],[ap,eq (cm)]])</f>
        <v>N.S.</v>
      </c>
      <c r="AT69" s="4" t="str">
        <f ca="1">IF(ECF[[#This Row],[nE]]=1,ECF[[#This Row],[As,lado (cm²)]],IF(ECF[[#This Row],[nE]]=2,0.075*2*ECF[a (cm)],"N.A."))</f>
        <v>N.A.</v>
      </c>
      <c r="AU69" s="4" t="str">
        <f ca="1">IFERROR(IF(ECF[[#This Row],[nE]]=1,"N.A.",0.2*ECF[[#This Row],[As,lado (cm²)]]),"N.S.")</f>
        <v>N.S.</v>
      </c>
      <c r="AV69" s="4" t="str">
        <f ca="1">As_malha(ECF[[#This Row],[nE]],ECF[[#This Row],[As,lado (cm²)]],ECF[[#This Row],[Nsd (kN)]])</f>
        <v>N.S.</v>
      </c>
      <c r="AW69" s="4" t="str">
        <f ca="1">As_susp_tot(ECF[[#This Row],[nE]],ECF[[#This Row],[Nsd (kN)]])</f>
        <v>N.S.</v>
      </c>
      <c r="AX69" s="4" t="str">
        <f ca="1">Asp_face(ECF[[#This Row],[nE]],ECF[[#This Row],[As,lado (cm²)]])</f>
        <v>N.S.</v>
      </c>
      <c r="AY69" s="5" t="str">
        <f ca="1">acoBloco(ECF[[#This Row],[nE]],ECF[[#This Row],[e (cm)]],ECF[[#This Row],[a (cm)]],ECF[[#This Row],[h (cm)]],ECF[[#This Row],[As,lado (cm²)]],ECF[[#This Row],[Asp e Asw (cm²/m)]],ECF[[#This Row],[As,sup (cm²)]],ECF[[#This Row],[As,malha (cm²)]],ECF[[#This Row],[As,susp,tot (cm²)]],ECF[[#This Row],[Asp,face (cm²)]])</f>
        <v>N.S.</v>
      </c>
      <c r="AZ69" s="4" t="str">
        <f ca="1">concretoBloco(ECF[[#This Row],[nE]],ECF[[#This Row],[e (cm)]],ECF[[#This Row],[a (cm)]],ECF[[#This Row],[h (cm)]])</f>
        <v>N.S.</v>
      </c>
      <c r="BA69" s="5">
        <f ca="1">SUM(ECF[[#This Row],[Aço Est (kg)]],ECF[[#This Row],[Aço Bloco (kg)]])</f>
        <v>63.133445966540478</v>
      </c>
      <c r="BB69" s="4">
        <f>INDEX(composicoes[],MATCH(95580,composicoes[CÓDIGO],0),MATCH("CUSTO TOTAL",composicoes[#Headers],0))</f>
        <v>10.46</v>
      </c>
      <c r="BC69" s="4">
        <f ca="1">SUM(ECF[[#This Row],[Conc Est (m³)]],ECF[[#This Row],[Conc Bloco (m³)]])</f>
        <v>36.191147369354418</v>
      </c>
      <c r="BD69" s="4">
        <f>INDEX(composicoes[],MATCH(94966,composicoes[CÓDIGO],0),MATCH("CUSTO TOTAL",composicoes[#Headers],0))</f>
        <v>439.52</v>
      </c>
      <c r="BE69" s="38">
        <f ca="1">ECF[[#This Row],[Aço (kg)]]*ECF[[#This Row],[Aço (R$/kg)]]+ECF[[#This Row],[Conc (m³)]]*ECF[[#This Row],[Conc (R$/m³)]]</f>
        <v>16567.108936588666</v>
      </c>
      <c r="BF69" s="4" t="str">
        <f ca="1">IF(COUNTIF(ECF[#This Row],"N.S.")&gt;0,"lim.","OK")</f>
        <v>lim.</v>
      </c>
      <c r="BG69" s="4" t="str">
        <f>IF(ECF[[#This Row],[Prof. (m)]]&lt;4,"lim.","OK")</f>
        <v>OK</v>
      </c>
      <c r="BH69" s="4" t="str">
        <f>IF(ECF[[#This Row],[Prof. (m)]]&gt;=8*ECF[[#This Row],[Ø (cm)]]/100,"OK","lim.")</f>
        <v>OK</v>
      </c>
      <c r="BI69" s="4" t="str">
        <f>IF(AND(SPT!$F$3&lt;&gt;"",ECF[[#This Row],[Prof. (m)]]&gt;=SPT!$F$3-2),"lim.","OK")</f>
        <v>OK</v>
      </c>
      <c r="BJ69" s="4" t="str">
        <f ca="1">IF(ECF[[#This Row],[Verif. Biela]]="OK","OK","lim.")</f>
        <v>OK</v>
      </c>
      <c r="BK69" s="4" t="str">
        <f ca="1">IF(COUNTA(ECF[[#This Row],[Nº Est.]:[Biela comp.]])=COUNTIF(ECF[[#This Row],[Nº Est.]:[Biela comp.]],"OK"),"OK","lim.")</f>
        <v>lim.</v>
      </c>
      <c r="BL69" s="4" t="str">
        <f ca="1">IF(ECF[[#This Row],[Controle]]="OK",ECF[[#This Row],[nE]]&amp;" Ø"&amp;ECF[[#This Row],[Ø (cm)]]&amp;"cm Prof. "&amp;ECF[[#This Row],[Prof. (m)]]&amp;" m","")</f>
        <v/>
      </c>
      <c r="BM69" s="4" t="str">
        <f ca="1">IF(ECF[[#This Row],[idDimensionamento]]="","",ECF[[#This Row],[idPilar]]&amp;ECF[[#This Row],[idDimensionamento]])</f>
        <v/>
      </c>
    </row>
    <row r="70" spans="2:65" x14ac:dyDescent="0.25">
      <c r="B70" s="12">
        <f>ROUNDUP((ROW(ECF[[#This Row],[idDiâmetro]])-ROW(ECF[[#Headers],[idDiâmetro]]))/(COUNT(SPT[Prof. (m)])*COUNT(PILARES[Pilar])),0)</f>
        <v>3</v>
      </c>
      <c r="C70" s="12">
        <f>IF(ECF[[#This Row],[idDiâmetro]]&lt;&gt;B69,1,IF(ECF[[#This Row],[Prof. (m)]]=0,C69+1,C69))</f>
        <v>1</v>
      </c>
      <c r="D70" s="1">
        <f>IFERROR(IF(D69=MAX(SPT[Prof. (m)]),0,D69+1),0)</f>
        <v>9</v>
      </c>
      <c r="E70" s="1">
        <f>INDEX(SPT[],MATCH(ECF[[#This Row],[Prof. (m)]],SPT[Prof. (m)],0),2)</f>
        <v>26</v>
      </c>
      <c r="F70" s="1" t="str">
        <f>INDEX(SPT[],MATCH(ECF[[#This Row],[Prof. (m)]],SPT[Prof. (m)],0),3)</f>
        <v>Areia siltosa</v>
      </c>
      <c r="G70" s="1">
        <f>INDEX(estacas[],ECF[[#This Row],[idDiâmetro]],MATCH($B$2,estacas[#Headers],0))</f>
        <v>80</v>
      </c>
      <c r="H70" s="1">
        <f>INDEX(estacas[],MATCH(ECF[[#This Row],[Ø (cm)]],estacas[Ø ECF (cm)],0),MATCH(ECF[[#Headers],[Pe ECF (kN)]],estacas[#Headers],0))</f>
        <v>2000</v>
      </c>
      <c r="I70" s="4">
        <f>INDEX(K_alpha_C[],MATCH(ECF[[#This Row],[Solo]],K_alpha_C[Solo],0),2)</f>
        <v>0.8</v>
      </c>
      <c r="J70" s="5">
        <f>INDEX(K_alpha_C[],MATCH(ECF[[#This Row],[Solo]],K_alpha_C[Solo],0),3)</f>
        <v>2</v>
      </c>
      <c r="K70" s="4">
        <f>INDEX(F1_F2[],MATCH($D$2,F1_F2[Tipo de estaca],0),2)</f>
        <v>3</v>
      </c>
      <c r="L70" s="4">
        <f>INDEX(F1_F2[],MATCH($D$2,F1_F2[Tipo de estaca],0),3)</f>
        <v>6</v>
      </c>
      <c r="M70" s="4">
        <f>PI()*(ECF[[#This Row],[Ø (cm)]]/100)^2/4</f>
        <v>0.50265482457436694</v>
      </c>
      <c r="N70" s="4">
        <f>PI()*ECF[[#This Row],[Ø (cm)]]/100</f>
        <v>2.5132741228718345</v>
      </c>
      <c r="O70" s="4">
        <f>IF(ECF[[#This Row],[Prof. (m)]]=0,0,ECF[[#This Row],[α (%)]]/100*ECF[[#This Row],[K (MPa)]]*1000*ECF[[#This Row],[NSPT]])</f>
        <v>416</v>
      </c>
      <c r="P70" s="4">
        <f>IF(ECF[[#This Row],[Prof. (m)]]=0,0,(ECF[[#This Row],[K (MPa)]]*1000*ECF[[#This Row],[NSPT]]/ECF[[#This Row],[F1]]*ECF[[#This Row],[Ap (m²)]]+ECF[[#This Row],[U (m)]]/ECF[[#This Row],[F2]]*SUMIFS(ECF[(α∙K∙NL∙ΔL)],ECF[Prof. (m)],"&lt;="&amp;ECF[[#This Row],[Prof. (m)]],ECF[idDiâmetro],ECF[[#This Row],[idDiâmetro]],ECF[idPilar],ECF[[#This Row],[idPilar]]))/'DADOS CAP. CARGA'!$D$2)</f>
        <v>2039.0821277389912</v>
      </c>
      <c r="Q70" s="12">
        <f>INDEX(C_alpha_beta[],MATCH(ECF[[#This Row],[Solo]],C_alpha_beta[Solo],0),MATCH(ECF[[#Headers],[C (kPa)]],C_alpha_beta[#Headers],0))</f>
        <v>400</v>
      </c>
      <c r="R70" s="4">
        <f>INDEX(C_alpha_beta[],MATCH(ECF[[#This Row],[Solo]],C_alpha_beta[Solo],0),MATCH(ECF[[#Headers],[α ESF]],C_alpha_beta[#Headers],0))</f>
        <v>0.5</v>
      </c>
      <c r="S70" s="4">
        <f>INDEX(C_alpha_beta[],MATCH(ECF[[#This Row],[Solo]],C_alpha_beta[Solo],0),MATCH(ECF[[#Headers],[β ESF]],C_alpha_beta[#Headers],0))</f>
        <v>0.5</v>
      </c>
      <c r="T70" s="4">
        <f>IF(ECF[[#This Row],[Prof. (m)]]=0,0,10*(ECF[[#This Row],[NSPT]]/3+1))</f>
        <v>96.666666666666657</v>
      </c>
      <c r="U70" s="4">
        <f>(ECF[[#This Row],[α ESF]]*ECF[[#This Row],[C (kPa)]]*ECF[[#This Row],[NSPT]]*ECF[[#This Row],[Ap (m²)]])/'DADOS CAP. CARGA'!$Q$2+(ECF[[#This Row],[β ESF]]*SUMIFS(ECF[10∙(NL/3+1)],ECF[Prof. (m)],"&lt;="&amp;ECF[[#This Row],[Prof. (m)]],ECF[idDiâmetro],ECF[[#This Row],[idDiâmetro]],ECF[idPilar],ECF[[#This Row],[idPilar]])*ECF[[#This Row],[U (m)]])/'DADOS CAP. CARGA'!$S$2</f>
        <v>915.2506597458264</v>
      </c>
      <c r="V70" s="4">
        <f>IF(SPT!$M$5=1,MIN(ECF[[#This Row],[Pe ECF (kN)]],ECF[[#This Row],[R_AV (kN)]]),IF(SPT!$M$5=2,MIN(ECF[[#This Row],[Pe ECF (kN)]],ECF[[#This Row],[R_DC (kN)]]),MIN(ECF[[#This Row],[Pe ECF (kN)]],ECF[[#This Row],[R_AV (kN)]],ECF[[#This Row],[R_DC (kN)]])))</f>
        <v>915.2506597458264</v>
      </c>
      <c r="W70" s="4">
        <f>INDEX(PILARES[],ECF[[#This Row],[idPilar]],MATCH("Carga (kN)",PILARES[#Headers],0))*1.4</f>
        <v>3500</v>
      </c>
      <c r="X70" s="12">
        <f>INDEX(PILARES[],ECF[[#This Row],[idPilar]],MATCH(ECF[[#Headers],[ap (cm)]],PILARES[#Headers],0))</f>
        <v>60</v>
      </c>
      <c r="Y70" s="12">
        <f>INDEX(PILARES[],ECF[[#This Row],[idPilar]],MATCH(ECF[[#Headers],[bp (cm)]],PILARES[#Headers],0))</f>
        <v>60</v>
      </c>
      <c r="Z70" s="4">
        <f>SQRT(ECF[[#This Row],[ap (cm)]]*ECF[[#This Row],[bp (cm)]])</f>
        <v>60</v>
      </c>
      <c r="AA70" s="12">
        <f>ECF[[#This Row],[ap (cm)]]*ECF[[#This Row],[bp (cm)]]</f>
        <v>3600</v>
      </c>
      <c r="AB70" s="12">
        <f ca="1">IF(ECF[[#This Row],[Padm∙ε (kN)]]&gt;=ECF[[#This Row],[Padm (kN)]],ROUNDUP(1.05*ECF[[#This Row],[Nsd (kN)]]/ECF[[#This Row],[Padm (kN)]],0),ROUNDUP(1.05*ECF[[#This Row],[Nsd (kN)]]/ECF[[#This Row],[Padm (kN)]],0)+1)</f>
        <v>5</v>
      </c>
      <c r="AC70" s="4" t="str">
        <f ca="1">IFERROR(IF(ECF[[#This Row],[nE]]=1,ECF[[#This Row],[Padm (kN)]],ECF[[#This Row],[Padm (kN)]]*ECF[[#This Row],[nE]]*INDEX(grupoEstacas[],ECF[[#This Row],[nE]],MATCH("ε",grupoEstacas[#Headers],0))),"N.S.")</f>
        <v>N.S.</v>
      </c>
      <c r="AD70" s="4">
        <f ca="1">1.05*ECF[[#This Row],[Nsd (kN)]]/(ECF[[#This Row],[nE]]*PI()*ECF[[#This Row],[Ø (cm)]]^2/4)*10</f>
        <v>1.4622360396567884</v>
      </c>
      <c r="AE70" s="4">
        <f ca="1">IF(ECF[[#This Row],[σ (MPa)]]&lt;INDEX(tipoEstaca[],MATCH($D$2,tipoEstaca[TIPO DE ESTACA],0),MATCH("σmáx (MPa)",tipoEstaca[#Headers],0)),0.4%*PI()*ECF[[#This Row],[Ø (cm)]]^2/4,"N.S.")</f>
        <v>20.106192982974676</v>
      </c>
      <c r="AF70" s="1">
        <f>INDEX(tipoEstaca[],MATCH($D$2,tipoEstaca[TIPO DE ESTACA],0),MATCH(ECF[[#Headers],[Comprimento (m)]],tipoEstaca[#Headers],0))</f>
        <v>4</v>
      </c>
      <c r="AG70" s="5">
        <f ca="1">ECF[[#This Row],[As,mín (cm²)]]/100^2*ECF[[#This Row],[Comprimento (m)]]*7850</f>
        <v>63.133445966540478</v>
      </c>
      <c r="AH70" s="4">
        <f ca="1">ECF[[#This Row],[nE]]*ECF[[#This Row],[Prof. (m)]]*ECF[[#This Row],[Ap (m²)]]</f>
        <v>22.619467105846514</v>
      </c>
      <c r="AI70" s="1">
        <f ca="1">IF(ECF[[#This Row],[nE]]=1,0,MAX(3*ECF[[#This Row],[Ø (cm)]],60))</f>
        <v>240</v>
      </c>
      <c r="AJ70" s="1">
        <f ca="1">IF(ECF[[#This Row],[nE]]=1,ECF[[#This Row],[Ø (cm)]]+2*10,MAX(1.5*ECF[[#This Row],[Ø (cm)]],ECF[[#This Row],[Ø (cm)]]+15))</f>
        <v>120</v>
      </c>
      <c r="AK70" s="1" t="str">
        <f ca="1">alturaUtil(ECF[[#This Row],[nE]],ECF[[#This Row],[Ø (cm)]],ECF[[#This Row],[e (cm)]],ECF[[#This Row],[ap,eq (cm)]])</f>
        <v>N.S.</v>
      </c>
      <c r="AL70" s="1" t="str">
        <f ca="1">IFERROR(ECF[[#This Row],[d (cm)]]+arredondarParaCimaMultiplo5cm(MAX(5,SQRT(PI())/2*ECF[[#This Row],[Ø (cm)]]/5)),"N.S.")</f>
        <v>N.S.</v>
      </c>
      <c r="AM70" s="5" t="str">
        <f ca="1">alpha(ECF[[#This Row],[nE]],ECF[[#This Row],[d (cm)]],ECF[[#This Row],[e (cm)]],ECF[[#This Row],[ap,eq (cm)]])</f>
        <v>N.S.</v>
      </c>
      <c r="AN70" s="35" t="str">
        <f ca="1">IFERROR(ECF[[#This Row],[Nsd (kN)]]/(ECF[[#This Row],[Ap (cm²)]]*SIN(ECF[[#This Row],[α]])^2),"N.S.")</f>
        <v>N.S.</v>
      </c>
      <c r="AO70" s="35" t="str">
        <f ca="1">IFERROR(ECF[[#This Row],[Nsd (kN)]]/(ECF[[#This Row],[nE]]*PI()*ECF[[#This Row],[Ø (cm)]]^2/4*SIN(ECF[[#This Row],[α]])^2),"N.S.")</f>
        <v>N.S.</v>
      </c>
      <c r="AP70" s="4" t="str">
        <f ca="1">IFERROR(INDEX(grupoEstacas[],ECF[[#This Row],[nE]],MATCH("coef. Blévot",grupoEstacas[#Headers],0)),"N.S.")</f>
        <v>N.S.</v>
      </c>
      <c r="AQ70" s="35" t="str">
        <f ca="1">IFERROR(ECF[[#This Row],[coef. Blévot]]*0.9*INDEX(tipoEstaca[],MATCH($D$2,tipoEstaca[TIPO DE ESTACA],0),MATCH("fcd (kN/cm²)",tipoEstaca[#Headers],0)),"N.S.")</f>
        <v>N.S.</v>
      </c>
      <c r="AR70" s="1" t="str">
        <f ca="1">IF(AND(ECF[[#This Row],[cd,b,pil (kN/cm²)]]&lt;=ECF[[#This Row],[cd,b,lim (kN/cm²)]],ECF[[#This Row],[cd,b,est (kN/cm²)]]&lt;=ECF[[#This Row],[cd,b,lim (kN/cm²)]]),"OK","ERRO")</f>
        <v>OK</v>
      </c>
      <c r="AS70" s="4" t="str">
        <f ca="1">As_lado(ECF[[#This Row],[nE]],ECF[[#This Row],[Nsd (kN)]],ECF[[#This Row],[d (cm)]],ECF[[#This Row],[e (cm)]],ECF[[#This Row],[ap,eq (cm)]])</f>
        <v>N.S.</v>
      </c>
      <c r="AT70" s="4" t="str">
        <f ca="1">IF(ECF[[#This Row],[nE]]=1,ECF[[#This Row],[As,lado (cm²)]],IF(ECF[[#This Row],[nE]]=2,0.075*2*ECF[a (cm)],"N.A."))</f>
        <v>N.A.</v>
      </c>
      <c r="AU70" s="4" t="str">
        <f ca="1">IFERROR(IF(ECF[[#This Row],[nE]]=1,"N.A.",0.2*ECF[[#This Row],[As,lado (cm²)]]),"N.S.")</f>
        <v>N.S.</v>
      </c>
      <c r="AV70" s="4" t="str">
        <f ca="1">As_malha(ECF[[#This Row],[nE]],ECF[[#This Row],[As,lado (cm²)]],ECF[[#This Row],[Nsd (kN)]])</f>
        <v>N.S.</v>
      </c>
      <c r="AW70" s="4" t="str">
        <f ca="1">As_susp_tot(ECF[[#This Row],[nE]],ECF[[#This Row],[Nsd (kN)]])</f>
        <v>N.S.</v>
      </c>
      <c r="AX70" s="4" t="str">
        <f ca="1">Asp_face(ECF[[#This Row],[nE]],ECF[[#This Row],[As,lado (cm²)]])</f>
        <v>N.S.</v>
      </c>
      <c r="AY70" s="5" t="str">
        <f ca="1">acoBloco(ECF[[#This Row],[nE]],ECF[[#This Row],[e (cm)]],ECF[[#This Row],[a (cm)]],ECF[[#This Row],[h (cm)]],ECF[[#This Row],[As,lado (cm²)]],ECF[[#This Row],[Asp e Asw (cm²/m)]],ECF[[#This Row],[As,sup (cm²)]],ECF[[#This Row],[As,malha (cm²)]],ECF[[#This Row],[As,susp,tot (cm²)]],ECF[[#This Row],[Asp,face (cm²)]])</f>
        <v>N.S.</v>
      </c>
      <c r="AZ70" s="4" t="str">
        <f ca="1">concretoBloco(ECF[[#This Row],[nE]],ECF[[#This Row],[e (cm)]],ECF[[#This Row],[a (cm)]],ECF[[#This Row],[h (cm)]])</f>
        <v>N.S.</v>
      </c>
      <c r="BA70" s="5">
        <f ca="1">SUM(ECF[[#This Row],[Aço Est (kg)]],ECF[[#This Row],[Aço Bloco (kg)]])</f>
        <v>63.133445966540478</v>
      </c>
      <c r="BB70" s="4">
        <f>INDEX(composicoes[],MATCH(95580,composicoes[CÓDIGO],0),MATCH("CUSTO TOTAL",composicoes[#Headers],0))</f>
        <v>10.46</v>
      </c>
      <c r="BC70" s="4">
        <f ca="1">SUM(ECF[[#This Row],[Conc Est (m³)]],ECF[[#This Row],[Conc Bloco (m³)]])</f>
        <v>22.619467105846514</v>
      </c>
      <c r="BD70" s="4">
        <f>INDEX(composicoes[],MATCH(94966,composicoes[CÓDIGO],0),MATCH("CUSTO TOTAL",composicoes[#Headers],0))</f>
        <v>439.52</v>
      </c>
      <c r="BE70" s="38">
        <f ca="1">ECF[[#This Row],[Aço (kg)]]*ECF[[#This Row],[Aço (R$/kg)]]+ECF[[#This Row],[Conc (m³)]]*ECF[[#This Row],[Conc (R$/m³)]]</f>
        <v>10602.084027171673</v>
      </c>
      <c r="BF70" s="4" t="str">
        <f ca="1">IF(COUNTIF(ECF[#This Row],"N.S.")&gt;0,"lim.","OK")</f>
        <v>lim.</v>
      </c>
      <c r="BG70" s="4" t="str">
        <f>IF(ECF[[#This Row],[Prof. (m)]]&lt;4,"lim.","OK")</f>
        <v>OK</v>
      </c>
      <c r="BH70" s="4" t="str">
        <f>IF(ECF[[#This Row],[Prof. (m)]]&gt;=8*ECF[[#This Row],[Ø (cm)]]/100,"OK","lim.")</f>
        <v>OK</v>
      </c>
      <c r="BI70" s="4" t="str">
        <f>IF(AND(SPT!$F$3&lt;&gt;"",ECF[[#This Row],[Prof. (m)]]&gt;=SPT!$F$3-2),"lim.","OK")</f>
        <v>OK</v>
      </c>
      <c r="BJ70" s="4" t="str">
        <f ca="1">IF(ECF[[#This Row],[Verif. Biela]]="OK","OK","lim.")</f>
        <v>OK</v>
      </c>
      <c r="BK70" s="4" t="str">
        <f ca="1">IF(COUNTA(ECF[[#This Row],[Nº Est.]:[Biela comp.]])=COUNTIF(ECF[[#This Row],[Nº Est.]:[Biela comp.]],"OK"),"OK","lim.")</f>
        <v>lim.</v>
      </c>
      <c r="BL70" s="4" t="str">
        <f ca="1">IF(ECF[[#This Row],[Controle]]="OK",ECF[[#This Row],[nE]]&amp;" Ø"&amp;ECF[[#This Row],[Ø (cm)]]&amp;"cm Prof. "&amp;ECF[[#This Row],[Prof. (m)]]&amp;" m","")</f>
        <v/>
      </c>
      <c r="BM70" s="4" t="str">
        <f ca="1">IF(ECF[[#This Row],[idDimensionamento]]="","",ECF[[#This Row],[idPilar]]&amp;ECF[[#This Row],[idDimensionamento]])</f>
        <v/>
      </c>
    </row>
    <row r="71" spans="2:65" x14ac:dyDescent="0.25">
      <c r="B71" s="12">
        <f>ROUNDUP((ROW(ECF[[#This Row],[idDiâmetro]])-ROW(ECF[[#Headers],[idDiâmetro]]))/(COUNT(SPT[Prof. (m)])*COUNT(PILARES[Pilar])),0)</f>
        <v>3</v>
      </c>
      <c r="C71" s="12">
        <f>IF(ECF[[#This Row],[idDiâmetro]]&lt;&gt;B70,1,IF(ECF[[#This Row],[Prof. (m)]]=0,C70+1,C70))</f>
        <v>1</v>
      </c>
      <c r="D71" s="1">
        <f>IFERROR(IF(D70=MAX(SPT[Prof. (m)]),0,D70+1),0)</f>
        <v>10</v>
      </c>
      <c r="E71" s="1">
        <f>INDEX(SPT[],MATCH(ECF[[#This Row],[Prof. (m)]],SPT[Prof. (m)],0),2)</f>
        <v>32</v>
      </c>
      <c r="F71" s="1" t="str">
        <f>INDEX(SPT[],MATCH(ECF[[#This Row],[Prof. (m)]],SPT[Prof. (m)],0),3)</f>
        <v>Areia siltosa</v>
      </c>
      <c r="G71" s="1">
        <f>INDEX(estacas[],ECF[[#This Row],[idDiâmetro]],MATCH($B$2,estacas[#Headers],0))</f>
        <v>80</v>
      </c>
      <c r="H71" s="1">
        <f>INDEX(estacas[],MATCH(ECF[[#This Row],[Ø (cm)]],estacas[Ø ECF (cm)],0),MATCH(ECF[[#Headers],[Pe ECF (kN)]],estacas[#Headers],0))</f>
        <v>2000</v>
      </c>
      <c r="I71" s="4">
        <f>INDEX(K_alpha_C[],MATCH(ECF[[#This Row],[Solo]],K_alpha_C[Solo],0),2)</f>
        <v>0.8</v>
      </c>
      <c r="J71" s="5">
        <f>INDEX(K_alpha_C[],MATCH(ECF[[#This Row],[Solo]],K_alpha_C[Solo],0),3)</f>
        <v>2</v>
      </c>
      <c r="K71" s="4">
        <f>INDEX(F1_F2[],MATCH($D$2,F1_F2[Tipo de estaca],0),2)</f>
        <v>3</v>
      </c>
      <c r="L71" s="4">
        <f>INDEX(F1_F2[],MATCH($D$2,F1_F2[Tipo de estaca],0),3)</f>
        <v>6</v>
      </c>
      <c r="M71" s="4">
        <f>PI()*(ECF[[#This Row],[Ø (cm)]]/100)^2/4</f>
        <v>0.50265482457436694</v>
      </c>
      <c r="N71" s="4">
        <f>PI()*ECF[[#This Row],[Ø (cm)]]/100</f>
        <v>2.5132741228718345</v>
      </c>
      <c r="O71" s="4">
        <f>IF(ECF[[#This Row],[Prof. (m)]]=0,0,ECF[[#This Row],[α (%)]]/100*ECF[[#This Row],[K (MPa)]]*1000*ECF[[#This Row],[NSPT]])</f>
        <v>512</v>
      </c>
      <c r="P71" s="4">
        <f>IF(ECF[[#This Row],[Prof. (m)]]=0,0,(ECF[[#This Row],[K (MPa)]]*1000*ECF[[#This Row],[NSPT]]/ECF[[#This Row],[F1]]*ECF[[#This Row],[Ap (m²)]]+ECF[[#This Row],[U (m)]]/ECF[[#This Row],[F2]]*SUMIFS(ECF[(α∙K∙NL∙ΔL)],ECF[Prof. (m)],"&lt;="&amp;ECF[[#This Row],[Prof. (m)]],ECF[idDiâmetro],ECF[[#This Row],[idDiâmetro]],ECF[idPilar],ECF[[#This Row],[idPilar]]))/'DADOS CAP. CARGA'!$D$2)</f>
        <v>2548.4390166410167</v>
      </c>
      <c r="Q71" s="12">
        <f>INDEX(C_alpha_beta[],MATCH(ECF[[#This Row],[Solo]],C_alpha_beta[Solo],0),MATCH(ECF[[#Headers],[C (kPa)]],C_alpha_beta[#Headers],0))</f>
        <v>400</v>
      </c>
      <c r="R71" s="4">
        <f>INDEX(C_alpha_beta[],MATCH(ECF[[#This Row],[Solo]],C_alpha_beta[Solo],0),MATCH(ECF[[#Headers],[α ESF]],C_alpha_beta[#Headers],0))</f>
        <v>0.5</v>
      </c>
      <c r="S71" s="4">
        <f>INDEX(C_alpha_beta[],MATCH(ECF[[#This Row],[Solo]],C_alpha_beta[Solo],0),MATCH(ECF[[#Headers],[β ESF]],C_alpha_beta[#Headers],0))</f>
        <v>0.5</v>
      </c>
      <c r="T71" s="4">
        <f>IF(ECF[[#This Row],[Prof. (m)]]=0,0,10*(ECF[[#This Row],[NSPT]]/3+1))</f>
        <v>116.66666666666666</v>
      </c>
      <c r="U71" s="4">
        <f>(ECF[[#This Row],[α ESF]]*ECF[[#This Row],[C (kPa)]]*ECF[[#This Row],[NSPT]]*ECF[[#This Row],[Ap (m²)]])/'DADOS CAP. CARGA'!$Q$2+(ECF[[#This Row],[β ESF]]*SUMIFS(ECF[10∙(NL/3+1)],ECF[Prof. (m)],"&lt;="&amp;ECF[[#This Row],[Prof. (m)]],ECF[idDiâmetro],ECF[[#This Row],[idDiâmetro]],ECF[idPilar],ECF[[#This Row],[idPilar]])*ECF[[#This Row],[U (m)]])/'DADOS CAP. CARGA'!$S$2</f>
        <v>1139.3509357018984</v>
      </c>
      <c r="V71" s="4">
        <f>IF(SPT!$M$5=1,MIN(ECF[[#This Row],[Pe ECF (kN)]],ECF[[#This Row],[R_AV (kN)]]),IF(SPT!$M$5=2,MIN(ECF[[#This Row],[Pe ECF (kN)]],ECF[[#This Row],[R_DC (kN)]]),MIN(ECF[[#This Row],[Pe ECF (kN)]],ECF[[#This Row],[R_AV (kN)]],ECF[[#This Row],[R_DC (kN)]])))</f>
        <v>1139.3509357018984</v>
      </c>
      <c r="W71" s="4">
        <f>INDEX(PILARES[],ECF[[#This Row],[idPilar]],MATCH("Carga (kN)",PILARES[#Headers],0))*1.4</f>
        <v>3500</v>
      </c>
      <c r="X71" s="12">
        <f>INDEX(PILARES[],ECF[[#This Row],[idPilar]],MATCH(ECF[[#Headers],[ap (cm)]],PILARES[#Headers],0))</f>
        <v>60</v>
      </c>
      <c r="Y71" s="12">
        <f>INDEX(PILARES[],ECF[[#This Row],[idPilar]],MATCH(ECF[[#Headers],[bp (cm)]],PILARES[#Headers],0))</f>
        <v>60</v>
      </c>
      <c r="Z71" s="4">
        <f>SQRT(ECF[[#This Row],[ap (cm)]]*ECF[[#This Row],[bp (cm)]])</f>
        <v>60</v>
      </c>
      <c r="AA71" s="12">
        <f>ECF[[#This Row],[ap (cm)]]*ECF[[#This Row],[bp (cm)]]</f>
        <v>3600</v>
      </c>
      <c r="AB71" s="12">
        <f ca="1">IF(ECF[[#This Row],[Padm∙ε (kN)]]&gt;=ECF[[#This Row],[Padm (kN)]],ROUNDUP(1.05*ECF[[#This Row],[Nsd (kN)]]/ECF[[#This Row],[Padm (kN)]],0),ROUNDUP(1.05*ECF[[#This Row],[Nsd (kN)]]/ECF[[#This Row],[Padm (kN)]],0)+1)</f>
        <v>4</v>
      </c>
      <c r="AC71" s="4">
        <f ca="1">IFERROR(IF(ECF[[#This Row],[nE]]=1,ECF[[#This Row],[Padm (kN)]],ECF[[#This Row],[Padm (kN)]]*ECF[[#This Row],[nE]]*INDEX(grupoEstacas[],ECF[[#This Row],[nE]],MATCH("ε",grupoEstacas[#Headers],0))),"N.S.")</f>
        <v>3702.89054103117</v>
      </c>
      <c r="AD71" s="4">
        <f ca="1">1.05*ECF[[#This Row],[Nsd (kN)]]/(ECF[[#This Row],[nE]]*PI()*ECF[[#This Row],[Ø (cm)]]^2/4)*10</f>
        <v>1.8277950495709856</v>
      </c>
      <c r="AE71" s="4">
        <f ca="1">IF(ECF[[#This Row],[σ (MPa)]]&lt;INDEX(tipoEstaca[],MATCH($D$2,tipoEstaca[TIPO DE ESTACA],0),MATCH("σmáx (MPa)",tipoEstaca[#Headers],0)),0.4%*PI()*ECF[[#This Row],[Ø (cm)]]^2/4,"N.S.")</f>
        <v>20.106192982974676</v>
      </c>
      <c r="AF71" s="1">
        <f>INDEX(tipoEstaca[],MATCH($D$2,tipoEstaca[TIPO DE ESTACA],0),MATCH(ECF[[#Headers],[Comprimento (m)]],tipoEstaca[#Headers],0))</f>
        <v>4</v>
      </c>
      <c r="AG71" s="5">
        <f ca="1">ECF[[#This Row],[As,mín (cm²)]]/100^2*ECF[[#This Row],[Comprimento (m)]]*7850</f>
        <v>63.133445966540478</v>
      </c>
      <c r="AH71" s="4">
        <f ca="1">ECF[[#This Row],[nE]]*ECF[[#This Row],[Prof. (m)]]*ECF[[#This Row],[Ap (m²)]]</f>
        <v>20.106192982974676</v>
      </c>
      <c r="AI71" s="1">
        <f ca="1">IF(ECF[[#This Row],[nE]]=1,0,MAX(3*ECF[[#This Row],[Ø (cm)]],60))</f>
        <v>240</v>
      </c>
      <c r="AJ71" s="1">
        <f ca="1">IF(ECF[[#This Row],[nE]]=1,ECF[[#This Row],[Ø (cm)]]+2*10,MAX(1.5*ECF[[#This Row],[Ø (cm)]],ECF[[#This Row],[Ø (cm)]]+15))</f>
        <v>120</v>
      </c>
      <c r="AK71" s="1">
        <f ca="1">alturaUtil(ECF[[#This Row],[nE]],ECF[[#This Row],[Ø (cm)]],ECF[[#This Row],[e (cm)]],ECF[[#This Row],[ap,eq (cm)]])</f>
        <v>105</v>
      </c>
      <c r="AL71" s="1">
        <f ca="1">IFERROR(ECF[[#This Row],[d (cm)]]+arredondarParaCimaMultiplo5cm(MAX(5,SQRT(PI())/2*ECF[[#This Row],[Ø (cm)]]/5)),"N.S.")</f>
        <v>120</v>
      </c>
      <c r="AM71" s="5">
        <f ca="1">alpha(ECF[[#This Row],[nE]],ECF[[#This Row],[d (cm)]],ECF[[#This Row],[e (cm)]],ECF[[#This Row],[ap,eq (cm)]])</f>
        <v>45</v>
      </c>
      <c r="AN71" s="35">
        <f ca="1">IFERROR(ECF[[#This Row],[Nsd (kN)]]/(ECF[[#This Row],[Ap (cm²)]]*SIN(ECF[[#This Row],[α]])^2),"N.S.")</f>
        <v>1.3427801064714635</v>
      </c>
      <c r="AO71" s="35">
        <f ca="1">IFERROR(ECF[[#This Row],[Nsd (kN)]]/(ECF[[#This Row],[nE]]*PI()*ECF[[#This Row],[Ø (cm)]]^2/4*SIN(ECF[[#This Row],[α]])^2),"N.S.")</f>
        <v>0.24042385285919432</v>
      </c>
      <c r="AP71" s="4">
        <f ca="1">IFERROR(INDEX(grupoEstacas[],ECF[[#This Row],[nE]],MATCH("coef. Blévot",grupoEstacas[#Headers],0)),"N.S.")</f>
        <v>2.1</v>
      </c>
      <c r="AQ71" s="35">
        <f ca="1">IFERROR(ECF[[#This Row],[coef. Blévot]]*0.9*INDEX(tipoEstaca[],MATCH($D$2,tipoEstaca[TIPO DE ESTACA],0),MATCH("fcd (kN/cm²)",tipoEstaca[#Headers],0)),"N.S.")</f>
        <v>2.1</v>
      </c>
      <c r="AR71" s="1" t="str">
        <f ca="1">IF(AND(ECF[[#This Row],[cd,b,pil (kN/cm²)]]&lt;=ECF[[#This Row],[cd,b,lim (kN/cm²)]],ECF[[#This Row],[cd,b,est (kN/cm²)]]&lt;=ECF[[#This Row],[cd,b,lim (kN/cm²)]]),"OK","ERRO")</f>
        <v>OK</v>
      </c>
      <c r="AS71" s="4">
        <f ca="1">As_lado(ECF[[#This Row],[nE]],ECF[[#This Row],[Nsd (kN)]],ECF[[#This Row],[d (cm)]],ECF[[#This Row],[e (cm)]],ECF[[#This Row],[ap,eq (cm)]])</f>
        <v>20.125</v>
      </c>
      <c r="AT71" s="4" t="str">
        <f ca="1">IF(ECF[[#This Row],[nE]]=1,ECF[[#This Row],[As,lado (cm²)]],IF(ECF[[#This Row],[nE]]=2,0.075*2*ECF[a (cm)],"N.A."))</f>
        <v>N.A.</v>
      </c>
      <c r="AU71" s="4">
        <f ca="1">IFERROR(IF(ECF[[#This Row],[nE]]=1,"N.A.",0.2*ECF[[#This Row],[As,lado (cm²)]]),"N.S.")</f>
        <v>4.0250000000000004</v>
      </c>
      <c r="AV71" s="4">
        <f ca="1">As_malha(ECF[[#This Row],[nE]],ECF[[#This Row],[As,lado (cm²)]],ECF[[#This Row],[Nsd (kN)]])</f>
        <v>4.0250000000000004</v>
      </c>
      <c r="AW71" s="4">
        <f ca="1">As_susp_tot(ECF[[#This Row],[nE]],ECF[[#This Row],[Nsd (kN)]])</f>
        <v>13.416666666666666</v>
      </c>
      <c r="AX71" s="4">
        <f ca="1">Asp_face(ECF[[#This Row],[nE]],ECF[[#This Row],[As,lado (cm²)]])</f>
        <v>10.0625</v>
      </c>
      <c r="AY71" s="5">
        <f ca="1">acoBloco(ECF[[#This Row],[nE]],ECF[[#This Row],[e (cm)]],ECF[[#This Row],[a (cm)]],ECF[[#This Row],[h (cm)]],ECF[[#This Row],[As,lado (cm²)]],ECF[[#This Row],[Asp e Asw (cm²/m)]],ECF[[#This Row],[As,sup (cm²)]],ECF[[#This Row],[As,malha (cm²)]],ECF[[#This Row],[As,susp,tot (cm²)]],ECF[[#This Row],[Asp,face (cm²)]])</f>
        <v>558.62170000000003</v>
      </c>
      <c r="AZ71" s="4">
        <f ca="1">concretoBloco(ECF[[#This Row],[nE]],ECF[[#This Row],[e (cm)]],ECF[[#This Row],[a (cm)]],ECF[[#This Row],[h (cm)]])</f>
        <v>27.648</v>
      </c>
      <c r="BA71" s="5">
        <f ca="1">SUM(ECF[[#This Row],[Aço Est (kg)]],ECF[[#This Row],[Aço Bloco (kg)]])</f>
        <v>621.75514596654057</v>
      </c>
      <c r="BB71" s="4">
        <f>INDEX(composicoes[],MATCH(95580,composicoes[CÓDIGO],0),MATCH("CUSTO TOTAL",composicoes[#Headers],0))</f>
        <v>10.46</v>
      </c>
      <c r="BC71" s="4">
        <f ca="1">SUM(ECF[[#This Row],[Conc Est (m³)]],ECF[[#This Row],[Conc Bloco (m³)]])</f>
        <v>47.754192982974672</v>
      </c>
      <c r="BD71" s="4">
        <f>INDEX(composicoes[],MATCH(94966,composicoes[CÓDIGO],0),MATCH("CUSTO TOTAL",composicoes[#Headers],0))</f>
        <v>439.52</v>
      </c>
      <c r="BE71" s="38">
        <f ca="1">ECF[[#This Row],[Aço (kg)]]*ECF[[#This Row],[Aço (R$/kg)]]+ECF[[#This Row],[Conc (m³)]]*ECF[[#This Row],[Conc (R$/m³)]]</f>
        <v>27492.481726687041</v>
      </c>
      <c r="BF71" s="4" t="str">
        <f ca="1">IF(COUNTIF(ECF[#This Row],"N.S.")&gt;0,"lim.","OK")</f>
        <v>OK</v>
      </c>
      <c r="BG71" s="4" t="str">
        <f>IF(ECF[[#This Row],[Prof. (m)]]&lt;4,"lim.","OK")</f>
        <v>OK</v>
      </c>
      <c r="BH71" s="4" t="str">
        <f>IF(ECF[[#This Row],[Prof. (m)]]&gt;=8*ECF[[#This Row],[Ø (cm)]]/100,"OK","lim.")</f>
        <v>OK</v>
      </c>
      <c r="BI71" s="4" t="str">
        <f>IF(AND(SPT!$F$3&lt;&gt;"",ECF[[#This Row],[Prof. (m)]]&gt;=SPT!$F$3-2),"lim.","OK")</f>
        <v>OK</v>
      </c>
      <c r="BJ71" s="4" t="str">
        <f ca="1">IF(ECF[[#This Row],[Verif. Biela]]="OK","OK","lim.")</f>
        <v>OK</v>
      </c>
      <c r="BK71" s="4" t="str">
        <f ca="1">IF(COUNTA(ECF[[#This Row],[Nº Est.]:[Biela comp.]])=COUNTIF(ECF[[#This Row],[Nº Est.]:[Biela comp.]],"OK"),"OK","lim.")</f>
        <v>OK</v>
      </c>
      <c r="BL71" s="4" t="str">
        <f ca="1">IF(ECF[[#This Row],[Controle]]="OK",ECF[[#This Row],[nE]]&amp;" Ø"&amp;ECF[[#This Row],[Ø (cm)]]&amp;"cm Prof. "&amp;ECF[[#This Row],[Prof. (m)]]&amp;" m","")</f>
        <v>4 Ø80cm Prof. 10 m</v>
      </c>
      <c r="BM71" s="4" t="str">
        <f ca="1">IF(ECF[[#This Row],[idDimensionamento]]="","",ECF[[#This Row],[idPilar]]&amp;ECF[[#This Row],[idDimensionamento]])</f>
        <v>14 Ø80cm Prof. 10 m</v>
      </c>
    </row>
    <row r="72" spans="2:65" x14ac:dyDescent="0.25">
      <c r="B72" s="12">
        <f>ROUNDUP((ROW(ECF[[#This Row],[idDiâmetro]])-ROW(ECF[[#Headers],[idDiâmetro]]))/(COUNT(SPT[Prof. (m)])*COUNT(PILARES[Pilar])),0)</f>
        <v>3</v>
      </c>
      <c r="C72" s="12">
        <f>IF(ECF[[#This Row],[idDiâmetro]]&lt;&gt;B71,1,IF(ECF[[#This Row],[Prof. (m)]]=0,C71+1,C71))</f>
        <v>1</v>
      </c>
      <c r="D72" s="1">
        <f>IFERROR(IF(D71=MAX(SPT[Prof. (m)]),0,D71+1),0)</f>
        <v>11</v>
      </c>
      <c r="E72" s="1">
        <f>INDEX(SPT[],MATCH(ECF[[#This Row],[Prof. (m)]],SPT[Prof. (m)],0),2)</f>
        <v>41</v>
      </c>
      <c r="F72" s="1" t="str">
        <f>INDEX(SPT[],MATCH(ECF[[#This Row],[Prof. (m)]],SPT[Prof. (m)],0),3)</f>
        <v>Areia siltosa</v>
      </c>
      <c r="G72" s="1">
        <f>INDEX(estacas[],ECF[[#This Row],[idDiâmetro]],MATCH($B$2,estacas[#Headers],0))</f>
        <v>80</v>
      </c>
      <c r="H72" s="1">
        <f>INDEX(estacas[],MATCH(ECF[[#This Row],[Ø (cm)]],estacas[Ø ECF (cm)],0),MATCH(ECF[[#Headers],[Pe ECF (kN)]],estacas[#Headers],0))</f>
        <v>2000</v>
      </c>
      <c r="I72" s="4">
        <f>INDEX(K_alpha_C[],MATCH(ECF[[#This Row],[Solo]],K_alpha_C[Solo],0),2)</f>
        <v>0.8</v>
      </c>
      <c r="J72" s="5">
        <f>INDEX(K_alpha_C[],MATCH(ECF[[#This Row],[Solo]],K_alpha_C[Solo],0),3)</f>
        <v>2</v>
      </c>
      <c r="K72" s="4">
        <f>INDEX(F1_F2[],MATCH($D$2,F1_F2[Tipo de estaca],0),2)</f>
        <v>3</v>
      </c>
      <c r="L72" s="4">
        <f>INDEX(F1_F2[],MATCH($D$2,F1_F2[Tipo de estaca],0),3)</f>
        <v>6</v>
      </c>
      <c r="M72" s="4">
        <f>PI()*(ECF[[#This Row],[Ø (cm)]]/100)^2/4</f>
        <v>0.50265482457436694</v>
      </c>
      <c r="N72" s="4">
        <f>PI()*ECF[[#This Row],[Ø (cm)]]/100</f>
        <v>2.5132741228718345</v>
      </c>
      <c r="O72" s="4">
        <f>IF(ECF[[#This Row],[Prof. (m)]]=0,0,ECF[[#This Row],[α (%)]]/100*ECF[[#This Row],[K (MPa)]]*1000*ECF[[#This Row],[NSPT]])</f>
        <v>656</v>
      </c>
      <c r="P72" s="4">
        <f>IF(ECF[[#This Row],[Prof. (m)]]=0,0,(ECF[[#This Row],[K (MPa)]]*1000*ECF[[#This Row],[NSPT]]/ECF[[#This Row],[F1]]*ECF[[#This Row],[Ap (m²)]]+ECF[[#This Row],[U (m)]]/ECF[[#This Row],[F2]]*SUMIFS(ECF[(α∙K∙NL∙ΔL)],ECF[Prof. (m)],"&lt;="&amp;ECF[[#This Row],[Prof. (m)]],ECF[idDiâmetro],ECF[[#This Row],[idDiâmetro]],ECF[idPilar],ECF[[#This Row],[idPilar]]))/'DADOS CAP. CARGA'!$D$2)</f>
        <v>3289.0171248472507</v>
      </c>
      <c r="Q72" s="12">
        <f>INDEX(C_alpha_beta[],MATCH(ECF[[#This Row],[Solo]],C_alpha_beta[Solo],0),MATCH(ECF[[#Headers],[C (kPa)]],C_alpha_beta[#Headers],0))</f>
        <v>400</v>
      </c>
      <c r="R72" s="4">
        <f>INDEX(C_alpha_beta[],MATCH(ECF[[#This Row],[Solo]],C_alpha_beta[Solo],0),MATCH(ECF[[#Headers],[α ESF]],C_alpha_beta[#Headers],0))</f>
        <v>0.5</v>
      </c>
      <c r="S72" s="4">
        <f>INDEX(C_alpha_beta[],MATCH(ECF[[#This Row],[Solo]],C_alpha_beta[Solo],0),MATCH(ECF[[#Headers],[β ESF]],C_alpha_beta[#Headers],0))</f>
        <v>0.5</v>
      </c>
      <c r="T72" s="4">
        <f>IF(ECF[[#This Row],[Prof. (m)]]=0,0,10*(ECF[[#This Row],[NSPT]]/3+1))</f>
        <v>146.66666666666666</v>
      </c>
      <c r="U72" s="4">
        <f>(ECF[[#This Row],[α ESF]]*ECF[[#This Row],[C (kPa)]]*ECF[[#This Row],[NSPT]]*ECF[[#This Row],[Ap (m²)]])/'DADOS CAP. CARGA'!$Q$2+(ECF[[#This Row],[β ESF]]*SUMIFS(ECF[10∙(NL/3+1)],ECF[Prof. (m)],"&lt;="&amp;ECF[[#This Row],[Prof. (m)]],ECF[idDiâmetro],ECF[[#This Row],[idDiâmetro]],ECF[idPilar],ECF[[#This Row],[idPilar]])*ECF[[#This Row],[U (m)]])/'DADOS CAP. CARGA'!$S$2</f>
        <v>1457.6989912656641</v>
      </c>
      <c r="V72" s="4">
        <f>IF(SPT!$M$5=1,MIN(ECF[[#This Row],[Pe ECF (kN)]],ECF[[#This Row],[R_AV (kN)]]),IF(SPT!$M$5=2,MIN(ECF[[#This Row],[Pe ECF (kN)]],ECF[[#This Row],[R_DC (kN)]]),MIN(ECF[[#This Row],[Pe ECF (kN)]],ECF[[#This Row],[R_AV (kN)]],ECF[[#This Row],[R_DC (kN)]])))</f>
        <v>1457.6989912656641</v>
      </c>
      <c r="W72" s="4">
        <f>INDEX(PILARES[],ECF[[#This Row],[idPilar]],MATCH("Carga (kN)",PILARES[#Headers],0))*1.4</f>
        <v>3500</v>
      </c>
      <c r="X72" s="12">
        <f>INDEX(PILARES[],ECF[[#This Row],[idPilar]],MATCH(ECF[[#Headers],[ap (cm)]],PILARES[#Headers],0))</f>
        <v>60</v>
      </c>
      <c r="Y72" s="12">
        <f>INDEX(PILARES[],ECF[[#This Row],[idPilar]],MATCH(ECF[[#Headers],[bp (cm)]],PILARES[#Headers],0))</f>
        <v>60</v>
      </c>
      <c r="Z72" s="4">
        <f>SQRT(ECF[[#This Row],[ap (cm)]]*ECF[[#This Row],[bp (cm)]])</f>
        <v>60</v>
      </c>
      <c r="AA72" s="12">
        <f>ECF[[#This Row],[ap (cm)]]*ECF[[#This Row],[bp (cm)]]</f>
        <v>3600</v>
      </c>
      <c r="AB72" s="12">
        <f ca="1">IF(ECF[[#This Row],[Padm∙ε (kN)]]&gt;=ECF[[#This Row],[Padm (kN)]],ROUNDUP(1.05*ECF[[#This Row],[Nsd (kN)]]/ECF[[#This Row],[Padm (kN)]],0),ROUNDUP(1.05*ECF[[#This Row],[Nsd (kN)]]/ECF[[#This Row],[Padm (kN)]],0)+1)</f>
        <v>3</v>
      </c>
      <c r="AC72" s="4">
        <f ca="1">IFERROR(IF(ECF[[#This Row],[nE]]=1,ECF[[#This Row],[Padm (kN)]],ECF[[#This Row],[Padm (kN)]]*ECF[[#This Row],[nE]]*INDEX(grupoEstacas[],ECF[[#This Row],[nE]],MATCH("ε",grupoEstacas[#Headers],0))),"N.S.")</f>
        <v>3826.4598520723675</v>
      </c>
      <c r="AD72" s="4">
        <f ca="1">1.05*ECF[[#This Row],[Nsd (kN)]]/(ECF[[#This Row],[nE]]*PI()*ECF[[#This Row],[Ø (cm)]]^2/4)*10</f>
        <v>2.4370600660946478</v>
      </c>
      <c r="AE72" s="4">
        <f ca="1">IF(ECF[[#This Row],[σ (MPa)]]&lt;INDEX(tipoEstaca[],MATCH($D$2,tipoEstaca[TIPO DE ESTACA],0),MATCH("σmáx (MPa)",tipoEstaca[#Headers],0)),0.4%*PI()*ECF[[#This Row],[Ø (cm)]]^2/4,"N.S.")</f>
        <v>20.106192982974676</v>
      </c>
      <c r="AF72" s="1">
        <f>INDEX(tipoEstaca[],MATCH($D$2,tipoEstaca[TIPO DE ESTACA],0),MATCH(ECF[[#Headers],[Comprimento (m)]],tipoEstaca[#Headers],0))</f>
        <v>4</v>
      </c>
      <c r="AG72" s="5">
        <f ca="1">ECF[[#This Row],[As,mín (cm²)]]/100^2*ECF[[#This Row],[Comprimento (m)]]*7850</f>
        <v>63.133445966540478</v>
      </c>
      <c r="AH72" s="4">
        <f ca="1">ECF[[#This Row],[nE]]*ECF[[#This Row],[Prof. (m)]]*ECF[[#This Row],[Ap (m²)]]</f>
        <v>16.58760921095411</v>
      </c>
      <c r="AI72" s="1">
        <f ca="1">IF(ECF[[#This Row],[nE]]=1,0,MAX(3*ECF[[#This Row],[Ø (cm)]],60))</f>
        <v>240</v>
      </c>
      <c r="AJ72" s="1">
        <f ca="1">IF(ECF[[#This Row],[nE]]=1,ECF[[#This Row],[Ø (cm)]]+2*10,MAX(1.5*ECF[[#This Row],[Ø (cm)]],ECF[[#This Row],[Ø (cm)]]+15))</f>
        <v>120</v>
      </c>
      <c r="AK72" s="1">
        <f ca="1">alturaUtil(ECF[[#This Row],[nE]],ECF[[#This Row],[Ø (cm)]],ECF[[#This Row],[e (cm)]],ECF[[#This Row],[ap,eq (cm)]])</f>
        <v>105</v>
      </c>
      <c r="AL72" s="1">
        <f ca="1">IFERROR(ECF[[#This Row],[d (cm)]]+arredondarParaCimaMultiplo5cm(MAX(5,SQRT(PI())/2*ECF[[#This Row],[Ø (cm)]]/5)),"N.S.")</f>
        <v>120</v>
      </c>
      <c r="AM72" s="5">
        <f ca="1">alpha(ECF[[#This Row],[nE]],ECF[[#This Row],[d (cm)]],ECF[[#This Row],[e (cm)]],ECF[[#This Row],[ap,eq (cm)]])</f>
        <v>45.830315486258016</v>
      </c>
      <c r="AN72" s="35">
        <f ca="1">IFERROR(ECF[[#This Row],[Nsd (kN)]]/(ECF[[#This Row],[Ap (cm²)]]*SIN(ECF[[#This Row],[α]])^2),"N.S.")</f>
        <v>1.0509412534416214</v>
      </c>
      <c r="AO72" s="35">
        <f ca="1">IFERROR(ECF[[#This Row],[Nsd (kN)]]/(ECF[[#This Row],[nE]]*PI()*ECF[[#This Row],[Ø (cm)]]^2/4*SIN(ECF[[#This Row],[α]])^2),"N.S.")</f>
        <v>0.25089374307663964</v>
      </c>
      <c r="AP72" s="4">
        <f ca="1">IFERROR(INDEX(grupoEstacas[],ECF[[#This Row],[nE]],MATCH("coef. Blévot",grupoEstacas[#Headers],0)),"N.S.")</f>
        <v>1.75</v>
      </c>
      <c r="AQ72" s="35">
        <f ca="1">IFERROR(ECF[[#This Row],[coef. Blévot]]*0.9*INDEX(tipoEstaca[],MATCH($D$2,tipoEstaca[TIPO DE ESTACA],0),MATCH("fcd (kN/cm²)",tipoEstaca[#Headers],0)),"N.S.")</f>
        <v>1.75</v>
      </c>
      <c r="AR72" s="1" t="str">
        <f ca="1">IF(AND(ECF[[#This Row],[cd,b,pil (kN/cm²)]]&lt;=ECF[[#This Row],[cd,b,lim (kN/cm²)]],ECF[[#This Row],[cd,b,est (kN/cm²)]]&lt;=ECF[[#This Row],[cd,b,lim (kN/cm²)]]),"OK","ERRO")</f>
        <v>OK</v>
      </c>
      <c r="AS72" s="4">
        <f ca="1">As_lado(ECF[[#This Row],[nE]],ECF[[#This Row],[Nsd (kN)]],ECF[[#This Row],[d (cm)]],ECF[[#This Row],[e (cm)]],ECF[[#This Row],[ap,eq (cm)]])</f>
        <v>17.788633206172161</v>
      </c>
      <c r="AT72" s="4" t="str">
        <f ca="1">IF(ECF[[#This Row],[nE]]=1,ECF[[#This Row],[As,lado (cm²)]],IF(ECF[[#This Row],[nE]]=2,0.075*2*ECF[a (cm)],"N.A."))</f>
        <v>N.A.</v>
      </c>
      <c r="AU72" s="4">
        <f ca="1">IFERROR(IF(ECF[[#This Row],[nE]]=1,"N.A.",0.2*ECF[[#This Row],[As,lado (cm²)]]),"N.S.")</f>
        <v>3.5577266412344324</v>
      </c>
      <c r="AV72" s="4">
        <f ca="1">As_malha(ECF[[#This Row],[nE]],ECF[[#This Row],[As,lado (cm²)]],ECF[[#This Row],[Nsd (kN)]])</f>
        <v>5.9629629629629619</v>
      </c>
      <c r="AW72" s="4">
        <f ca="1">As_susp_tot(ECF[[#This Row],[nE]],ECF[[#This Row],[Nsd (kN)]])</f>
        <v>17.888888888888886</v>
      </c>
      <c r="AX72" s="4">
        <f ca="1">Asp_face(ECF[[#This Row],[nE]],ECF[[#This Row],[As,lado (cm²)]])</f>
        <v>6.6707374523145599</v>
      </c>
      <c r="AY72" s="5">
        <f ca="1">acoBloco(ECF[[#This Row],[nE]],ECF[[#This Row],[e (cm)]],ECF[[#This Row],[a (cm)]],ECF[[#This Row],[h (cm)]],ECF[[#This Row],[As,lado (cm²)]],ECF[[#This Row],[Asp e Asw (cm²/m)]],ECF[[#This Row],[As,sup (cm²)]],ECF[[#This Row],[As,malha (cm²)]],ECF[[#This Row],[As,susp,tot (cm²)]],ECF[[#This Row],[Asp,face (cm²)]])</f>
        <v>421.29394572294649</v>
      </c>
      <c r="AZ72" s="4">
        <f ca="1">concretoBloco(ECF[[#This Row],[nE]],ECF[[#This Row],[e (cm)]],ECF[[#This Row],[a (cm)]],ECF[[#This Row],[h (cm)]])</f>
        <v>19.346951386437059</v>
      </c>
      <c r="BA72" s="5">
        <f ca="1">SUM(ECF[[#This Row],[Aço Est (kg)]],ECF[[#This Row],[Aço Bloco (kg)]])</f>
        <v>484.42739168948697</v>
      </c>
      <c r="BB72" s="4">
        <f>INDEX(composicoes[],MATCH(95580,composicoes[CÓDIGO],0),MATCH("CUSTO TOTAL",composicoes[#Headers],0))</f>
        <v>10.46</v>
      </c>
      <c r="BC72" s="4">
        <f ca="1">SUM(ECF[[#This Row],[Conc Est (m³)]],ECF[[#This Row],[Conc Bloco (m³)]])</f>
        <v>35.934560597391169</v>
      </c>
      <c r="BD72" s="4">
        <f>INDEX(composicoes[],MATCH(94966,composicoes[CÓDIGO],0),MATCH("CUSTO TOTAL",composicoes[#Headers],0))</f>
        <v>439.52</v>
      </c>
      <c r="BE72" s="38">
        <f ca="1">ECF[[#This Row],[Aço (kg)]]*ECF[[#This Row],[Aço (R$/kg)]]+ECF[[#This Row],[Conc (m³)]]*ECF[[#This Row],[Conc (R$/m³)]]</f>
        <v>20861.0685908374</v>
      </c>
      <c r="BF72" s="4" t="str">
        <f ca="1">IF(COUNTIF(ECF[#This Row],"N.S.")&gt;0,"lim.","OK")</f>
        <v>OK</v>
      </c>
      <c r="BG72" s="4" t="str">
        <f>IF(ECF[[#This Row],[Prof. (m)]]&lt;4,"lim.","OK")</f>
        <v>OK</v>
      </c>
      <c r="BH72" s="4" t="str">
        <f>IF(ECF[[#This Row],[Prof. (m)]]&gt;=8*ECF[[#This Row],[Ø (cm)]]/100,"OK","lim.")</f>
        <v>OK</v>
      </c>
      <c r="BI72" s="4" t="str">
        <f>IF(AND(SPT!$F$3&lt;&gt;"",ECF[[#This Row],[Prof. (m)]]&gt;=SPT!$F$3-2),"lim.","OK")</f>
        <v>OK</v>
      </c>
      <c r="BJ72" s="4" t="str">
        <f ca="1">IF(ECF[[#This Row],[Verif. Biela]]="OK","OK","lim.")</f>
        <v>OK</v>
      </c>
      <c r="BK72" s="4" t="str">
        <f ca="1">IF(COUNTA(ECF[[#This Row],[Nº Est.]:[Biela comp.]])=COUNTIF(ECF[[#This Row],[Nº Est.]:[Biela comp.]],"OK"),"OK","lim.")</f>
        <v>OK</v>
      </c>
      <c r="BL72" s="4" t="str">
        <f ca="1">IF(ECF[[#This Row],[Controle]]="OK",ECF[[#This Row],[nE]]&amp;" Ø"&amp;ECF[[#This Row],[Ø (cm)]]&amp;"cm Prof. "&amp;ECF[[#This Row],[Prof. (m)]]&amp;" m","")</f>
        <v>3 Ø80cm Prof. 11 m</v>
      </c>
      <c r="BM72" s="4" t="str">
        <f ca="1">IF(ECF[[#This Row],[idDimensionamento]]="","",ECF[[#This Row],[idPilar]]&amp;ECF[[#This Row],[idDimensionamento]])</f>
        <v>13 Ø80cm Prof. 11 m</v>
      </c>
    </row>
    <row r="73" spans="2:65" x14ac:dyDescent="0.25">
      <c r="B73" s="12">
        <f>ROUNDUP((ROW(ECF[[#This Row],[idDiâmetro]])-ROW(ECF[[#Headers],[idDiâmetro]]))/(COUNT(SPT[Prof. (m)])*COUNT(PILARES[Pilar])),0)</f>
        <v>3</v>
      </c>
      <c r="C73" s="12">
        <f>IF(ECF[[#This Row],[idDiâmetro]]&lt;&gt;B72,1,IF(ECF[[#This Row],[Prof. (m)]]=0,C72+1,C72))</f>
        <v>1</v>
      </c>
      <c r="D73" s="1">
        <f>IFERROR(IF(D72=MAX(SPT[Prof. (m)]),0,D72+1),0)</f>
        <v>12</v>
      </c>
      <c r="E73" s="1">
        <f>INDEX(SPT[],MATCH(ECF[[#This Row],[Prof. (m)]],SPT[Prof. (m)],0),2)</f>
        <v>52</v>
      </c>
      <c r="F73" s="1" t="str">
        <f>INDEX(SPT[],MATCH(ECF[[#This Row],[Prof. (m)]],SPT[Prof. (m)],0),3)</f>
        <v>Areia siltosa</v>
      </c>
      <c r="G73" s="1">
        <f>INDEX(estacas[],ECF[[#This Row],[idDiâmetro]],MATCH($B$2,estacas[#Headers],0))</f>
        <v>80</v>
      </c>
      <c r="H73" s="1">
        <f>INDEX(estacas[],MATCH(ECF[[#This Row],[Ø (cm)]],estacas[Ø ECF (cm)],0),MATCH(ECF[[#Headers],[Pe ECF (kN)]],estacas[#Headers],0))</f>
        <v>2000</v>
      </c>
      <c r="I73" s="4">
        <f>INDEX(K_alpha_C[],MATCH(ECF[[#This Row],[Solo]],K_alpha_C[Solo],0),2)</f>
        <v>0.8</v>
      </c>
      <c r="J73" s="5">
        <f>INDEX(K_alpha_C[],MATCH(ECF[[#This Row],[Solo]],K_alpha_C[Solo],0),3)</f>
        <v>2</v>
      </c>
      <c r="K73" s="4">
        <f>INDEX(F1_F2[],MATCH($D$2,F1_F2[Tipo de estaca],0),2)</f>
        <v>3</v>
      </c>
      <c r="L73" s="4">
        <f>INDEX(F1_F2[],MATCH($D$2,F1_F2[Tipo de estaca],0),3)</f>
        <v>6</v>
      </c>
      <c r="M73" s="4">
        <f>PI()*(ECF[[#This Row],[Ø (cm)]]/100)^2/4</f>
        <v>0.50265482457436694</v>
      </c>
      <c r="N73" s="4">
        <f>PI()*ECF[[#This Row],[Ø (cm)]]/100</f>
        <v>2.5132741228718345</v>
      </c>
      <c r="O73" s="4">
        <f>IF(ECF[[#This Row],[Prof. (m)]]=0,0,ECF[[#This Row],[α (%)]]/100*ECF[[#This Row],[K (MPa)]]*1000*ECF[[#This Row],[NSPT]])</f>
        <v>832</v>
      </c>
      <c r="P73" s="4">
        <f>IF(ECF[[#This Row],[Prof. (m)]]=0,0,(ECF[[#This Row],[K (MPa)]]*1000*ECF[[#This Row],[NSPT]]/ECF[[#This Row],[F1]]*ECF[[#This Row],[Ap (m²)]]+ECF[[#This Row],[U (m)]]/ECF[[#This Row],[F2]]*SUMIFS(ECF[(α∙K∙NL∙ΔL)],ECF[Prof. (m)],"&lt;="&amp;ECF[[#This Row],[Prof. (m)]],ECF[idDiâmetro],ECF[[#This Row],[idDiâmetro]],ECF[idPilar],ECF[[#This Row],[idPilar]]))/'DADOS CAP. CARGA'!$D$2)</f>
        <v>4200.497873408769</v>
      </c>
      <c r="Q73" s="12">
        <f>INDEX(C_alpha_beta[],MATCH(ECF[[#This Row],[Solo]],C_alpha_beta[Solo],0),MATCH(ECF[[#Headers],[C (kPa)]],C_alpha_beta[#Headers],0))</f>
        <v>400</v>
      </c>
      <c r="R73" s="4">
        <f>INDEX(C_alpha_beta[],MATCH(ECF[[#This Row],[Solo]],C_alpha_beta[Solo],0),MATCH(ECF[[#Headers],[α ESF]],C_alpha_beta[#Headers],0))</f>
        <v>0.5</v>
      </c>
      <c r="S73" s="4">
        <f>INDEX(C_alpha_beta[],MATCH(ECF[[#This Row],[Solo]],C_alpha_beta[Solo],0),MATCH(ECF[[#Headers],[β ESF]],C_alpha_beta[#Headers],0))</f>
        <v>0.5</v>
      </c>
      <c r="T73" s="4">
        <f>IF(ECF[[#This Row],[Prof. (m)]]=0,0,10*(ECF[[#This Row],[NSPT]]/3+1))</f>
        <v>183.33333333333331</v>
      </c>
      <c r="U73" s="4">
        <f>(ECF[[#This Row],[α ESF]]*ECF[[#This Row],[C (kPa)]]*ECF[[#This Row],[NSPT]]*ECF[[#This Row],[Ap (m²)]])/'DADOS CAP. CARGA'!$Q$2+(ECF[[#This Row],[β ESF]]*SUMIFS(ECF[10∙(NL/3+1)],ECF[Prof. (m)],"&lt;="&amp;ECF[[#This Row],[Prof. (m)]],ECF[idDiâmetro],ECF[[#This Row],[idDiâmetro]],ECF[idPilar],ECF[[#This Row],[idPilar]])*ECF[[#This Row],[U (m)]])/'DADOS CAP. CARGA'!$S$2</f>
        <v>1849.3508754131917</v>
      </c>
      <c r="V73" s="4">
        <f>IF(SPT!$M$5=1,MIN(ECF[[#This Row],[Pe ECF (kN)]],ECF[[#This Row],[R_AV (kN)]]),IF(SPT!$M$5=2,MIN(ECF[[#This Row],[Pe ECF (kN)]],ECF[[#This Row],[R_DC (kN)]]),MIN(ECF[[#This Row],[Pe ECF (kN)]],ECF[[#This Row],[R_AV (kN)]],ECF[[#This Row],[R_DC (kN)]])))</f>
        <v>1849.3508754131917</v>
      </c>
      <c r="W73" s="4">
        <f>INDEX(PILARES[],ECF[[#This Row],[idPilar]],MATCH("Carga (kN)",PILARES[#Headers],0))*1.4</f>
        <v>3500</v>
      </c>
      <c r="X73" s="12">
        <f>INDEX(PILARES[],ECF[[#This Row],[idPilar]],MATCH(ECF[[#Headers],[ap (cm)]],PILARES[#Headers],0))</f>
        <v>60</v>
      </c>
      <c r="Y73" s="12">
        <f>INDEX(PILARES[],ECF[[#This Row],[idPilar]],MATCH(ECF[[#Headers],[bp (cm)]],PILARES[#Headers],0))</f>
        <v>60</v>
      </c>
      <c r="Z73" s="4">
        <f>SQRT(ECF[[#This Row],[ap (cm)]]*ECF[[#This Row],[bp (cm)]])</f>
        <v>60</v>
      </c>
      <c r="AA73" s="12">
        <f>ECF[[#This Row],[ap (cm)]]*ECF[[#This Row],[bp (cm)]]</f>
        <v>3600</v>
      </c>
      <c r="AB73" s="12">
        <f ca="1">IF(ECF[[#This Row],[Padm∙ε (kN)]]&gt;=ECF[[#This Row],[Padm (kN)]],ROUNDUP(1.05*ECF[[#This Row],[Nsd (kN)]]/ECF[[#This Row],[Padm (kN)]],0),ROUNDUP(1.05*ECF[[#This Row],[Nsd (kN)]]/ECF[[#This Row],[Padm (kN)]],0)+1)</f>
        <v>2</v>
      </c>
      <c r="AC73" s="4">
        <f ca="1">IFERROR(IF(ECF[[#This Row],[nE]]=1,ECF[[#This Row],[Padm (kN)]],ECF[[#This Row],[Padm (kN)]]*ECF[[#This Row],[nE]]*INDEX(grupoEstacas[],ECF[[#This Row],[nE]],MATCH("ε",grupoEstacas[#Headers],0))),"N.S.")</f>
        <v>3467.5328913997346</v>
      </c>
      <c r="AD73" s="4">
        <f ca="1">1.05*ECF[[#This Row],[Nsd (kN)]]/(ECF[[#This Row],[nE]]*PI()*ECF[[#This Row],[Ø (cm)]]^2/4)*10</f>
        <v>3.6555900991419712</v>
      </c>
      <c r="AE73" s="4">
        <f ca="1">IF(ECF[[#This Row],[σ (MPa)]]&lt;INDEX(tipoEstaca[],MATCH($D$2,tipoEstaca[TIPO DE ESTACA],0),MATCH("σmáx (MPa)",tipoEstaca[#Headers],0)),0.4%*PI()*ECF[[#This Row],[Ø (cm)]]^2/4,"N.S.")</f>
        <v>20.106192982974676</v>
      </c>
      <c r="AF73" s="1">
        <f>INDEX(tipoEstaca[],MATCH($D$2,tipoEstaca[TIPO DE ESTACA],0),MATCH(ECF[[#Headers],[Comprimento (m)]],tipoEstaca[#Headers],0))</f>
        <v>4</v>
      </c>
      <c r="AG73" s="5">
        <f ca="1">ECF[[#This Row],[As,mín (cm²)]]/100^2*ECF[[#This Row],[Comprimento (m)]]*7850</f>
        <v>63.133445966540478</v>
      </c>
      <c r="AH73" s="4">
        <f ca="1">ECF[[#This Row],[nE]]*ECF[[#This Row],[Prof. (m)]]*ECF[[#This Row],[Ap (m²)]]</f>
        <v>12.063715789784807</v>
      </c>
      <c r="AI73" s="1">
        <f ca="1">IF(ECF[[#This Row],[nE]]=1,0,MAX(3*ECF[[#This Row],[Ø (cm)]],60))</f>
        <v>240</v>
      </c>
      <c r="AJ73" s="1">
        <f ca="1">IF(ECF[[#This Row],[nE]]=1,ECF[[#This Row],[Ø (cm)]]+2*10,MAX(1.5*ECF[[#This Row],[Ø (cm)]],ECF[[#This Row],[Ø (cm)]]+15))</f>
        <v>120</v>
      </c>
      <c r="AK73" s="1">
        <f ca="1">alturaUtil(ECF[[#This Row],[nE]],ECF[[#This Row],[Ø (cm)]],ECF[[#This Row],[e (cm)]],ECF[[#This Row],[ap,eq (cm)]])</f>
        <v>105</v>
      </c>
      <c r="AL73" s="1">
        <f ca="1">IFERROR(ECF[[#This Row],[d (cm)]]+arredondarParaCimaMultiplo5cm(MAX(5,SQRT(PI())/2*ECF[[#This Row],[Ø (cm)]]/5)),"N.S.")</f>
        <v>120</v>
      </c>
      <c r="AM73" s="5">
        <f ca="1">alpha(ECF[[#This Row],[nE]],ECF[[#This Row],[d (cm)]],ECF[[#This Row],[e (cm)]],ECF[[#This Row],[ap,eq (cm)]])</f>
        <v>45</v>
      </c>
      <c r="AN73" s="35">
        <f ca="1">IFERROR(ECF[[#This Row],[Nsd (kN)]]/(ECF[[#This Row],[Ap (cm²)]]*SIN(ECF[[#This Row],[α]])^2),"N.S.")</f>
        <v>1.3427801064714635</v>
      </c>
      <c r="AO73" s="35">
        <f ca="1">IFERROR(ECF[[#This Row],[Nsd (kN)]]/(ECF[[#This Row],[nE]]*PI()*ECF[[#This Row],[Ø (cm)]]^2/4*SIN(ECF[[#This Row],[α]])^2),"N.S.")</f>
        <v>0.48084770571838864</v>
      </c>
      <c r="AP73" s="4">
        <f ca="1">IFERROR(INDEX(grupoEstacas[],ECF[[#This Row],[nE]],MATCH("coef. Blévot",grupoEstacas[#Headers],0)),"N.S.")</f>
        <v>1.4</v>
      </c>
      <c r="AQ73" s="35">
        <f ca="1">IFERROR(ECF[[#This Row],[coef. Blévot]]*0.9*INDEX(tipoEstaca[],MATCH($D$2,tipoEstaca[TIPO DE ESTACA],0),MATCH("fcd (kN/cm²)",tipoEstaca[#Headers],0)),"N.S.")</f>
        <v>1.4000000000000001</v>
      </c>
      <c r="AR73" s="1" t="str">
        <f ca="1">IF(AND(ECF[[#This Row],[cd,b,pil (kN/cm²)]]&lt;=ECF[[#This Row],[cd,b,lim (kN/cm²)]],ECF[[#This Row],[cd,b,est (kN/cm²)]]&lt;=ECF[[#This Row],[cd,b,lim (kN/cm²)]]),"OK","ERRO")</f>
        <v>OK</v>
      </c>
      <c r="AS73" s="4">
        <f ca="1">As_lado(ECF[[#This Row],[nE]],ECF[[#This Row],[Nsd (kN)]],ECF[[#This Row],[d (cm)]],ECF[[#This Row],[e (cm)]],ECF[[#This Row],[ap,eq (cm)]])</f>
        <v>46.287499999999987</v>
      </c>
      <c r="AT73" s="4">
        <f ca="1">IF(ECF[[#This Row],[nE]]=1,ECF[[#This Row],[As,lado (cm²)]],IF(ECF[[#This Row],[nE]]=2,0.075*2*ECF[a (cm)],"N.A."))</f>
        <v>18</v>
      </c>
      <c r="AU73" s="4">
        <f ca="1">IFERROR(IF(ECF[[#This Row],[nE]]=1,"N.A.",0.2*ECF[[#This Row],[As,lado (cm²)]]),"N.S.")</f>
        <v>9.2574999999999985</v>
      </c>
      <c r="AV73" s="4" t="str">
        <f ca="1">As_malha(ECF[[#This Row],[nE]],ECF[[#This Row],[As,lado (cm²)]],ECF[[#This Row],[Nsd (kN)]])</f>
        <v>N.A.</v>
      </c>
      <c r="AW73" s="4" t="str">
        <f ca="1">As_susp_tot(ECF[[#This Row],[nE]],ECF[[#This Row],[Nsd (kN)]])</f>
        <v>N.A.</v>
      </c>
      <c r="AX73" s="4" t="str">
        <f ca="1">Asp_face(ECF[[#This Row],[nE]],ECF[[#This Row],[As,lado (cm²)]])</f>
        <v>N.A.</v>
      </c>
      <c r="AY73" s="5">
        <f ca="1">acoBloco(ECF[[#This Row],[nE]],ECF[[#This Row],[e (cm)]],ECF[[#This Row],[a (cm)]],ECF[[#This Row],[h (cm)]],ECF[[#This Row],[As,lado (cm²)]],ECF[[#This Row],[Asp e Asw (cm²/m)]],ECF[[#This Row],[As,sup (cm²)]],ECF[[#This Row],[As,malha (cm²)]],ECF[[#This Row],[As,susp,tot (cm²)]],ECF[[#This Row],[Asp,face (cm²)]])</f>
        <v>941.79275999999993</v>
      </c>
      <c r="AZ73" s="4">
        <f ca="1">concretoBloco(ECF[[#This Row],[nE]],ECF[[#This Row],[e (cm)]],ECF[[#This Row],[a (cm)]],ECF[[#This Row],[h (cm)]])</f>
        <v>13.824</v>
      </c>
      <c r="BA73" s="5">
        <f ca="1">SUM(ECF[[#This Row],[Aço Est (kg)]],ECF[[#This Row],[Aço Bloco (kg)]])</f>
        <v>1004.9262059665405</v>
      </c>
      <c r="BB73" s="4">
        <f>INDEX(composicoes[],MATCH(95580,composicoes[CÓDIGO],0),MATCH("CUSTO TOTAL",composicoes[#Headers],0))</f>
        <v>10.46</v>
      </c>
      <c r="BC73" s="4">
        <f ca="1">SUM(ECF[[#This Row],[Conc Est (m³)]],ECF[[#This Row],[Conc Bloco (m³)]])</f>
        <v>25.887715789784806</v>
      </c>
      <c r="BD73" s="4">
        <f>INDEX(composicoes[],MATCH(94966,composicoes[CÓDIGO],0),MATCH("CUSTO TOTAL",composicoes[#Headers],0))</f>
        <v>439.52</v>
      </c>
      <c r="BE73" s="38">
        <f ca="1">ECF[[#This Row],[Aço (kg)]]*ECF[[#This Row],[Aço (R$/kg)]]+ECF[[#This Row],[Conc (m³)]]*ECF[[#This Row],[Conc (R$/m³)]]</f>
        <v>21889.69695833623</v>
      </c>
      <c r="BF73" s="4" t="str">
        <f ca="1">IF(COUNTIF(ECF[#This Row],"N.S.")&gt;0,"lim.","OK")</f>
        <v>OK</v>
      </c>
      <c r="BG73" s="4" t="str">
        <f>IF(ECF[[#This Row],[Prof. (m)]]&lt;4,"lim.","OK")</f>
        <v>OK</v>
      </c>
      <c r="BH73" s="4" t="str">
        <f>IF(ECF[[#This Row],[Prof. (m)]]&gt;=8*ECF[[#This Row],[Ø (cm)]]/100,"OK","lim.")</f>
        <v>OK</v>
      </c>
      <c r="BI73" s="4" t="str">
        <f>IF(AND(SPT!$F$3&lt;&gt;"",ECF[[#This Row],[Prof. (m)]]&gt;=SPT!$F$3-2),"lim.","OK")</f>
        <v>OK</v>
      </c>
      <c r="BJ73" s="4" t="str">
        <f ca="1">IF(ECF[[#This Row],[Verif. Biela]]="OK","OK","lim.")</f>
        <v>OK</v>
      </c>
      <c r="BK73" s="4" t="str">
        <f ca="1">IF(COUNTA(ECF[[#This Row],[Nº Est.]:[Biela comp.]])=COUNTIF(ECF[[#This Row],[Nº Est.]:[Biela comp.]],"OK"),"OK","lim.")</f>
        <v>OK</v>
      </c>
      <c r="BL73" s="4" t="str">
        <f ca="1">IF(ECF[[#This Row],[Controle]]="OK",ECF[[#This Row],[nE]]&amp;" Ø"&amp;ECF[[#This Row],[Ø (cm)]]&amp;"cm Prof. "&amp;ECF[[#This Row],[Prof. (m)]]&amp;" m","")</f>
        <v>2 Ø80cm Prof. 12 m</v>
      </c>
      <c r="BM73" s="4" t="str">
        <f ca="1">IF(ECF[[#This Row],[idDimensionamento]]="","",ECF[[#This Row],[idPilar]]&amp;ECF[[#This Row],[idDimensionamento]])</f>
        <v>12 Ø80cm Prof. 12 m</v>
      </c>
    </row>
    <row r="74" spans="2:65" x14ac:dyDescent="0.25">
      <c r="B74" s="12">
        <f>ROUNDUP((ROW(ECF[[#This Row],[idDiâmetro]])-ROW(ECF[[#Headers],[idDiâmetro]]))/(COUNT(SPT[Prof. (m)])*COUNT(PILARES[Pilar])),0)</f>
        <v>3</v>
      </c>
      <c r="C74" s="12">
        <f>IF(ECF[[#This Row],[idDiâmetro]]&lt;&gt;B73,1,IF(ECF[[#This Row],[Prof. (m)]]=0,C73+1,C73))</f>
        <v>1</v>
      </c>
      <c r="D74" s="1">
        <f>IFERROR(IF(D73=MAX(SPT[Prof. (m)]),0,D73+1),0)</f>
        <v>13</v>
      </c>
      <c r="E74" s="1">
        <f>INDEX(SPT[],MATCH(ECF[[#This Row],[Prof. (m)]],SPT[Prof. (m)],0),2)</f>
        <v>68</v>
      </c>
      <c r="F74" s="1" t="str">
        <f>INDEX(SPT[],MATCH(ECF[[#This Row],[Prof. (m)]],SPT[Prof. (m)],0),3)</f>
        <v>Areia siltosa</v>
      </c>
      <c r="G74" s="1">
        <f>INDEX(estacas[],ECF[[#This Row],[idDiâmetro]],MATCH($B$2,estacas[#Headers],0))</f>
        <v>80</v>
      </c>
      <c r="H74" s="1">
        <f>INDEX(estacas[],MATCH(ECF[[#This Row],[Ø (cm)]],estacas[Ø ECF (cm)],0),MATCH(ECF[[#Headers],[Pe ECF (kN)]],estacas[#Headers],0))</f>
        <v>2000</v>
      </c>
      <c r="I74" s="4">
        <f>INDEX(K_alpha_C[],MATCH(ECF[[#This Row],[Solo]],K_alpha_C[Solo],0),2)</f>
        <v>0.8</v>
      </c>
      <c r="J74" s="5">
        <f>INDEX(K_alpha_C[],MATCH(ECF[[#This Row],[Solo]],K_alpha_C[Solo],0),3)</f>
        <v>2</v>
      </c>
      <c r="K74" s="4">
        <f>INDEX(F1_F2[],MATCH($D$2,F1_F2[Tipo de estaca],0),2)</f>
        <v>3</v>
      </c>
      <c r="L74" s="4">
        <f>INDEX(F1_F2[],MATCH($D$2,F1_F2[Tipo de estaca],0),3)</f>
        <v>6</v>
      </c>
      <c r="M74" s="4">
        <f>PI()*(ECF[[#This Row],[Ø (cm)]]/100)^2/4</f>
        <v>0.50265482457436694</v>
      </c>
      <c r="N74" s="4">
        <f>PI()*ECF[[#This Row],[Ø (cm)]]/100</f>
        <v>2.5132741228718345</v>
      </c>
      <c r="O74" s="4">
        <f>IF(ECF[[#This Row],[Prof. (m)]]=0,0,ECF[[#This Row],[α (%)]]/100*ECF[[#This Row],[K (MPa)]]*1000*ECF[[#This Row],[NSPT]])</f>
        <v>1088</v>
      </c>
      <c r="P74" s="4">
        <f>IF(ECF[[#This Row],[Prof. (m)]]=0,0,(ECF[[#This Row],[K (MPa)]]*1000*ECF[[#This Row],[NSPT]]/ECF[[#This Row],[F1]]*ECF[[#This Row],[Ap (m²)]]+ECF[[#This Row],[U (m)]]/ECF[[#This Row],[F2]]*SUMIFS(ECF[(α∙K∙NL∙ΔL)],ECF[Prof. (m)],"&lt;="&amp;ECF[[#This Row],[Prof. (m)]],ECF[idDiâmetro],ECF[[#This Row],[idDiâmetro]],ECF[idPilar],ECF[[#This Row],[idPilar]]))/'DADOS CAP. CARGA'!$D$2)</f>
        <v>5500.6983529744648</v>
      </c>
      <c r="Q74" s="12">
        <f>INDEX(C_alpha_beta[],MATCH(ECF[[#This Row],[Solo]],C_alpha_beta[Solo],0),MATCH(ECF[[#Headers],[C (kPa)]],C_alpha_beta[#Headers],0))</f>
        <v>400</v>
      </c>
      <c r="R74" s="4">
        <f>INDEX(C_alpha_beta[],MATCH(ECF[[#This Row],[Solo]],C_alpha_beta[Solo],0),MATCH(ECF[[#Headers],[α ESF]],C_alpha_beta[#Headers],0))</f>
        <v>0.5</v>
      </c>
      <c r="S74" s="4">
        <f>INDEX(C_alpha_beta[],MATCH(ECF[[#This Row],[Solo]],C_alpha_beta[Solo],0),MATCH(ECF[[#Headers],[β ESF]],C_alpha_beta[#Headers],0))</f>
        <v>0.5</v>
      </c>
      <c r="T74" s="4">
        <f>IF(ECF[[#This Row],[Prof. (m)]]=0,0,10*(ECF[[#This Row],[NSPT]]/3+1))</f>
        <v>236.66666666666669</v>
      </c>
      <c r="U74" s="4">
        <f>(ECF[[#This Row],[α ESF]]*ECF[[#This Row],[C (kPa)]]*ECF[[#This Row],[NSPT]]*ECF[[#This Row],[Ap (m²)]])/'DADOS CAP. CARGA'!$Q$2+(ECF[[#This Row],[β ESF]]*SUMIFS(ECF[10∙(NL/3+1)],ECF[Prof. (m)],"&lt;="&amp;ECF[[#This Row],[Prof. (m)]],ECF[idDiâmetro],ECF[[#This Row],[idDiâmetro]],ECF[idPilar],ECF[[#This Row],[idPilar]])*ECF[[#This Row],[U (m)]])/'DADOS CAP. CARGA'!$S$2</f>
        <v>2400.176787342602</v>
      </c>
      <c r="V74" s="4">
        <f>IF(SPT!$M$5=1,MIN(ECF[[#This Row],[Pe ECF (kN)]],ECF[[#This Row],[R_AV (kN)]]),IF(SPT!$M$5=2,MIN(ECF[[#This Row],[Pe ECF (kN)]],ECF[[#This Row],[R_DC (kN)]]),MIN(ECF[[#This Row],[Pe ECF (kN)]],ECF[[#This Row],[R_AV (kN)]],ECF[[#This Row],[R_DC (kN)]])))</f>
        <v>2000</v>
      </c>
      <c r="W74" s="4">
        <f>INDEX(PILARES[],ECF[[#This Row],[idPilar]],MATCH("Carga (kN)",PILARES[#Headers],0))*1.4</f>
        <v>3500</v>
      </c>
      <c r="X74" s="12">
        <f>INDEX(PILARES[],ECF[[#This Row],[idPilar]],MATCH(ECF[[#Headers],[ap (cm)]],PILARES[#Headers],0))</f>
        <v>60</v>
      </c>
      <c r="Y74" s="12">
        <f>INDEX(PILARES[],ECF[[#This Row],[idPilar]],MATCH(ECF[[#Headers],[bp (cm)]],PILARES[#Headers],0))</f>
        <v>60</v>
      </c>
      <c r="Z74" s="4">
        <f>SQRT(ECF[[#This Row],[ap (cm)]]*ECF[[#This Row],[bp (cm)]])</f>
        <v>60</v>
      </c>
      <c r="AA74" s="12">
        <f>ECF[[#This Row],[ap (cm)]]*ECF[[#This Row],[bp (cm)]]</f>
        <v>3600</v>
      </c>
      <c r="AB74" s="12">
        <f ca="1">IF(ECF[[#This Row],[Padm∙ε (kN)]]&gt;=ECF[[#This Row],[Padm (kN)]],ROUNDUP(1.05*ECF[[#This Row],[Nsd (kN)]]/ECF[[#This Row],[Padm (kN)]],0),ROUNDUP(1.05*ECF[[#This Row],[Nsd (kN)]]/ECF[[#This Row],[Padm (kN)]],0)+1)</f>
        <v>2</v>
      </c>
      <c r="AC74" s="4">
        <f ca="1">IFERROR(IF(ECF[[#This Row],[nE]]=1,ECF[[#This Row],[Padm (kN)]],ECF[[#This Row],[Padm (kN)]]*ECF[[#This Row],[nE]]*INDEX(grupoEstacas[],ECF[[#This Row],[nE]],MATCH("ε",grupoEstacas[#Headers],0))),"N.S.")</f>
        <v>3750</v>
      </c>
      <c r="AD74" s="4">
        <f ca="1">1.05*ECF[[#This Row],[Nsd (kN)]]/(ECF[[#This Row],[nE]]*PI()*ECF[[#This Row],[Ø (cm)]]^2/4)*10</f>
        <v>3.6555900991419712</v>
      </c>
      <c r="AE74" s="4">
        <f ca="1">IF(ECF[[#This Row],[σ (MPa)]]&lt;INDEX(tipoEstaca[],MATCH($D$2,tipoEstaca[TIPO DE ESTACA],0),MATCH("σmáx (MPa)",tipoEstaca[#Headers],0)),0.4%*PI()*ECF[[#This Row],[Ø (cm)]]^2/4,"N.S.")</f>
        <v>20.106192982974676</v>
      </c>
      <c r="AF74" s="1">
        <f>INDEX(tipoEstaca[],MATCH($D$2,tipoEstaca[TIPO DE ESTACA],0),MATCH(ECF[[#Headers],[Comprimento (m)]],tipoEstaca[#Headers],0))</f>
        <v>4</v>
      </c>
      <c r="AG74" s="5">
        <f ca="1">ECF[[#This Row],[As,mín (cm²)]]/100^2*ECF[[#This Row],[Comprimento (m)]]*7850</f>
        <v>63.133445966540478</v>
      </c>
      <c r="AH74" s="4">
        <f ca="1">ECF[[#This Row],[nE]]*ECF[[#This Row],[Prof. (m)]]*ECF[[#This Row],[Ap (m²)]]</f>
        <v>13.06902543893354</v>
      </c>
      <c r="AI74" s="1">
        <f ca="1">IF(ECF[[#This Row],[nE]]=1,0,MAX(3*ECF[[#This Row],[Ø (cm)]],60))</f>
        <v>240</v>
      </c>
      <c r="AJ74" s="1">
        <f ca="1">IF(ECF[[#This Row],[nE]]=1,ECF[[#This Row],[Ø (cm)]]+2*10,MAX(1.5*ECF[[#This Row],[Ø (cm)]],ECF[[#This Row],[Ø (cm)]]+15))</f>
        <v>120</v>
      </c>
      <c r="AK74" s="1">
        <f ca="1">alturaUtil(ECF[[#This Row],[nE]],ECF[[#This Row],[Ø (cm)]],ECF[[#This Row],[e (cm)]],ECF[[#This Row],[ap,eq (cm)]])</f>
        <v>105</v>
      </c>
      <c r="AL74" s="1">
        <f ca="1">IFERROR(ECF[[#This Row],[d (cm)]]+arredondarParaCimaMultiplo5cm(MAX(5,SQRT(PI())/2*ECF[[#This Row],[Ø (cm)]]/5)),"N.S.")</f>
        <v>120</v>
      </c>
      <c r="AM74" s="5">
        <f ca="1">alpha(ECF[[#This Row],[nE]],ECF[[#This Row],[d (cm)]],ECF[[#This Row],[e (cm)]],ECF[[#This Row],[ap,eq (cm)]])</f>
        <v>45</v>
      </c>
      <c r="AN74" s="35">
        <f ca="1">IFERROR(ECF[[#This Row],[Nsd (kN)]]/(ECF[[#This Row],[Ap (cm²)]]*SIN(ECF[[#This Row],[α]])^2),"N.S.")</f>
        <v>1.3427801064714635</v>
      </c>
      <c r="AO74" s="35">
        <f ca="1">IFERROR(ECF[[#This Row],[Nsd (kN)]]/(ECF[[#This Row],[nE]]*PI()*ECF[[#This Row],[Ø (cm)]]^2/4*SIN(ECF[[#This Row],[α]])^2),"N.S.")</f>
        <v>0.48084770571838864</v>
      </c>
      <c r="AP74" s="4">
        <f ca="1">IFERROR(INDEX(grupoEstacas[],ECF[[#This Row],[nE]],MATCH("coef. Blévot",grupoEstacas[#Headers],0)),"N.S.")</f>
        <v>1.4</v>
      </c>
      <c r="AQ74" s="35">
        <f ca="1">IFERROR(ECF[[#This Row],[coef. Blévot]]*0.9*INDEX(tipoEstaca[],MATCH($D$2,tipoEstaca[TIPO DE ESTACA],0),MATCH("fcd (kN/cm²)",tipoEstaca[#Headers],0)),"N.S.")</f>
        <v>1.4000000000000001</v>
      </c>
      <c r="AR74" s="1" t="str">
        <f ca="1">IF(AND(ECF[[#This Row],[cd,b,pil (kN/cm²)]]&lt;=ECF[[#This Row],[cd,b,lim (kN/cm²)]],ECF[[#This Row],[cd,b,est (kN/cm²)]]&lt;=ECF[[#This Row],[cd,b,lim (kN/cm²)]]),"OK","ERRO")</f>
        <v>OK</v>
      </c>
      <c r="AS74" s="4">
        <f ca="1">As_lado(ECF[[#This Row],[nE]],ECF[[#This Row],[Nsd (kN)]],ECF[[#This Row],[d (cm)]],ECF[[#This Row],[e (cm)]],ECF[[#This Row],[ap,eq (cm)]])</f>
        <v>46.287499999999987</v>
      </c>
      <c r="AT74" s="4">
        <f ca="1">IF(ECF[[#This Row],[nE]]=1,ECF[[#This Row],[As,lado (cm²)]],IF(ECF[[#This Row],[nE]]=2,0.075*2*ECF[a (cm)],"N.A."))</f>
        <v>18</v>
      </c>
      <c r="AU74" s="4">
        <f ca="1">IFERROR(IF(ECF[[#This Row],[nE]]=1,"N.A.",0.2*ECF[[#This Row],[As,lado (cm²)]]),"N.S.")</f>
        <v>9.2574999999999985</v>
      </c>
      <c r="AV74" s="4" t="str">
        <f ca="1">As_malha(ECF[[#This Row],[nE]],ECF[[#This Row],[As,lado (cm²)]],ECF[[#This Row],[Nsd (kN)]])</f>
        <v>N.A.</v>
      </c>
      <c r="AW74" s="4" t="str">
        <f ca="1">As_susp_tot(ECF[[#This Row],[nE]],ECF[[#This Row],[Nsd (kN)]])</f>
        <v>N.A.</v>
      </c>
      <c r="AX74" s="4" t="str">
        <f ca="1">Asp_face(ECF[[#This Row],[nE]],ECF[[#This Row],[As,lado (cm²)]])</f>
        <v>N.A.</v>
      </c>
      <c r="AY74" s="5">
        <f ca="1">acoBloco(ECF[[#This Row],[nE]],ECF[[#This Row],[e (cm)]],ECF[[#This Row],[a (cm)]],ECF[[#This Row],[h (cm)]],ECF[[#This Row],[As,lado (cm²)]],ECF[[#This Row],[Asp e Asw (cm²/m)]],ECF[[#This Row],[As,sup (cm²)]],ECF[[#This Row],[As,malha (cm²)]],ECF[[#This Row],[As,susp,tot (cm²)]],ECF[[#This Row],[Asp,face (cm²)]])</f>
        <v>941.79275999999993</v>
      </c>
      <c r="AZ74" s="4">
        <f ca="1">concretoBloco(ECF[[#This Row],[nE]],ECF[[#This Row],[e (cm)]],ECF[[#This Row],[a (cm)]],ECF[[#This Row],[h (cm)]])</f>
        <v>13.824</v>
      </c>
      <c r="BA74" s="5">
        <f ca="1">SUM(ECF[[#This Row],[Aço Est (kg)]],ECF[[#This Row],[Aço Bloco (kg)]])</f>
        <v>1004.9262059665405</v>
      </c>
      <c r="BB74" s="4">
        <f>INDEX(composicoes[],MATCH(95580,composicoes[CÓDIGO],0),MATCH("CUSTO TOTAL",composicoes[#Headers],0))</f>
        <v>10.46</v>
      </c>
      <c r="BC74" s="4">
        <f ca="1">SUM(ECF[[#This Row],[Conc Est (m³)]],ECF[[#This Row],[Conc Bloco (m³)]])</f>
        <v>26.893025438933542</v>
      </c>
      <c r="BD74" s="4">
        <f>INDEX(composicoes[],MATCH(94966,composicoes[CÓDIGO],0),MATCH("CUSTO TOTAL",composicoes[#Headers],0))</f>
        <v>439.52</v>
      </c>
      <c r="BE74" s="38">
        <f ca="1">ECF[[#This Row],[Aço (kg)]]*ECF[[#This Row],[Aço (R$/kg)]]+ECF[[#This Row],[Conc (m³)]]*ECF[[#This Row],[Conc (R$/m³)]]</f>
        <v>22331.550655330084</v>
      </c>
      <c r="BF74" s="4" t="str">
        <f ca="1">IF(COUNTIF(ECF[#This Row],"N.S.")&gt;0,"lim.","OK")</f>
        <v>OK</v>
      </c>
      <c r="BG74" s="4" t="str">
        <f>IF(ECF[[#This Row],[Prof. (m)]]&lt;4,"lim.","OK")</f>
        <v>OK</v>
      </c>
      <c r="BH74" s="4" t="str">
        <f>IF(ECF[[#This Row],[Prof. (m)]]&gt;=8*ECF[[#This Row],[Ø (cm)]]/100,"OK","lim.")</f>
        <v>OK</v>
      </c>
      <c r="BI74" s="4" t="str">
        <f>IF(AND(SPT!$F$3&lt;&gt;"",ECF[[#This Row],[Prof. (m)]]&gt;=SPT!$F$3-2),"lim.","OK")</f>
        <v>OK</v>
      </c>
      <c r="BJ74" s="4" t="str">
        <f ca="1">IF(ECF[[#This Row],[Verif. Biela]]="OK","OK","lim.")</f>
        <v>OK</v>
      </c>
      <c r="BK74" s="4" t="str">
        <f ca="1">IF(COUNTA(ECF[[#This Row],[Nº Est.]:[Biela comp.]])=COUNTIF(ECF[[#This Row],[Nº Est.]:[Biela comp.]],"OK"),"OK","lim.")</f>
        <v>OK</v>
      </c>
      <c r="BL74" s="4" t="str">
        <f ca="1">IF(ECF[[#This Row],[Controle]]="OK",ECF[[#This Row],[nE]]&amp;" Ø"&amp;ECF[[#This Row],[Ø (cm)]]&amp;"cm Prof. "&amp;ECF[[#This Row],[Prof. (m)]]&amp;" m","")</f>
        <v>2 Ø80cm Prof. 13 m</v>
      </c>
      <c r="BM74" s="4" t="str">
        <f ca="1">IF(ECF[[#This Row],[idDimensionamento]]="","",ECF[[#This Row],[idPilar]]&amp;ECF[[#This Row],[idDimensionamento]])</f>
        <v>12 Ø80cm Prof. 13 m</v>
      </c>
    </row>
    <row r="75" spans="2:65" x14ac:dyDescent="0.25">
      <c r="B75" s="12">
        <f>ROUNDUP((ROW(ECF[[#This Row],[idDiâmetro]])-ROW(ECF[[#Headers],[idDiâmetro]]))/(COUNT(SPT[Prof. (m)])*COUNT(PILARES[Pilar])),0)</f>
        <v>3</v>
      </c>
      <c r="C75" s="12">
        <f>IF(ECF[[#This Row],[idDiâmetro]]&lt;&gt;B74,1,IF(ECF[[#This Row],[Prof. (m)]]=0,C74+1,C74))</f>
        <v>2</v>
      </c>
      <c r="D75" s="1">
        <f>IFERROR(IF(D74=MAX(SPT[Prof. (m)]),0,D74+1),0)</f>
        <v>0</v>
      </c>
      <c r="E75" s="1">
        <f>INDEX(SPT[],MATCH(ECF[[#This Row],[Prof. (m)]],SPT[Prof. (m)],0),2)</f>
        <v>0</v>
      </c>
      <c r="F75" s="1" t="str">
        <f>INDEX(SPT[],MATCH(ECF[[#This Row],[Prof. (m)]],SPT[Prof. (m)],0),3)</f>
        <v>Areia siltosa</v>
      </c>
      <c r="G75" s="1">
        <f>INDEX(estacas[],ECF[[#This Row],[idDiâmetro]],MATCH($B$2,estacas[#Headers],0))</f>
        <v>80</v>
      </c>
      <c r="H75" s="1">
        <f>INDEX(estacas[],MATCH(ECF[[#This Row],[Ø (cm)]],estacas[Ø ECF (cm)],0),MATCH(ECF[[#Headers],[Pe ECF (kN)]],estacas[#Headers],0))</f>
        <v>2000</v>
      </c>
      <c r="I75" s="4">
        <f>INDEX(K_alpha_C[],MATCH(ECF[[#This Row],[Solo]],K_alpha_C[Solo],0),2)</f>
        <v>0.8</v>
      </c>
      <c r="J75" s="5">
        <f>INDEX(K_alpha_C[],MATCH(ECF[[#This Row],[Solo]],K_alpha_C[Solo],0),3)</f>
        <v>2</v>
      </c>
      <c r="K75" s="4">
        <f>INDEX(F1_F2[],MATCH($D$2,F1_F2[Tipo de estaca],0),2)</f>
        <v>3</v>
      </c>
      <c r="L75" s="4">
        <f>INDEX(F1_F2[],MATCH($D$2,F1_F2[Tipo de estaca],0),3)</f>
        <v>6</v>
      </c>
      <c r="M75" s="4">
        <f>PI()*(ECF[[#This Row],[Ø (cm)]]/100)^2/4</f>
        <v>0.50265482457436694</v>
      </c>
      <c r="N75" s="4">
        <f>PI()*ECF[[#This Row],[Ø (cm)]]/100</f>
        <v>2.5132741228718345</v>
      </c>
      <c r="O75" s="4">
        <f>IF(ECF[[#This Row],[Prof. (m)]]=0,0,ECF[[#This Row],[α (%)]]/100*ECF[[#This Row],[K (MPa)]]*1000*ECF[[#This Row],[NSPT]])</f>
        <v>0</v>
      </c>
      <c r="P75" s="4">
        <f>IF(ECF[[#This Row],[Prof. (m)]]=0,0,(ECF[[#This Row],[K (MPa)]]*1000*ECF[[#This Row],[NSPT]]/ECF[[#This Row],[F1]]*ECF[[#This Row],[Ap (m²)]]+ECF[[#This Row],[U (m)]]/ECF[[#This Row],[F2]]*SUMIFS(ECF[(α∙K∙NL∙ΔL)],ECF[Prof. (m)],"&lt;="&amp;ECF[[#This Row],[Prof. (m)]],ECF[idDiâmetro],ECF[[#This Row],[idDiâmetro]],ECF[idPilar],ECF[[#This Row],[idPilar]]))/'DADOS CAP. CARGA'!$D$2)</f>
        <v>0</v>
      </c>
      <c r="Q75" s="12">
        <f>INDEX(C_alpha_beta[],MATCH(ECF[[#This Row],[Solo]],C_alpha_beta[Solo],0),MATCH(ECF[[#Headers],[C (kPa)]],C_alpha_beta[#Headers],0))</f>
        <v>400</v>
      </c>
      <c r="R75" s="4">
        <f>INDEX(C_alpha_beta[],MATCH(ECF[[#This Row],[Solo]],C_alpha_beta[Solo],0),MATCH(ECF[[#Headers],[α ESF]],C_alpha_beta[#Headers],0))</f>
        <v>0.5</v>
      </c>
      <c r="S75" s="4">
        <f>INDEX(C_alpha_beta[],MATCH(ECF[[#This Row],[Solo]],C_alpha_beta[Solo],0),MATCH(ECF[[#Headers],[β ESF]],C_alpha_beta[#Headers],0))</f>
        <v>0.5</v>
      </c>
      <c r="T75" s="4">
        <f>IF(ECF[[#This Row],[Prof. (m)]]=0,0,10*(ECF[[#This Row],[NSPT]]/3+1))</f>
        <v>0</v>
      </c>
      <c r="U75" s="4">
        <f>(ECF[[#This Row],[α ESF]]*ECF[[#This Row],[C (kPa)]]*ECF[[#This Row],[NSPT]]*ECF[[#This Row],[Ap (m²)]])/'DADOS CAP. CARGA'!$Q$2+(ECF[[#This Row],[β ESF]]*SUMIFS(ECF[10∙(NL/3+1)],ECF[Prof. (m)],"&lt;="&amp;ECF[[#This Row],[Prof. (m)]],ECF[idDiâmetro],ECF[[#This Row],[idDiâmetro]],ECF[idPilar],ECF[[#This Row],[idPilar]])*ECF[[#This Row],[U (m)]])/'DADOS CAP. CARGA'!$S$2</f>
        <v>0</v>
      </c>
      <c r="V75" s="4">
        <f>IF(SPT!$M$5=1,MIN(ECF[[#This Row],[Pe ECF (kN)]],ECF[[#This Row],[R_AV (kN)]]),IF(SPT!$M$5=2,MIN(ECF[[#This Row],[Pe ECF (kN)]],ECF[[#This Row],[R_DC (kN)]]),MIN(ECF[[#This Row],[Pe ECF (kN)]],ECF[[#This Row],[R_AV (kN)]],ECF[[#This Row],[R_DC (kN)]])))</f>
        <v>0</v>
      </c>
      <c r="W75" s="4">
        <f>INDEX(PILARES[],ECF[[#This Row],[idPilar]],MATCH("Carga (kN)",PILARES[#Headers],0))*1.4</f>
        <v>1750</v>
      </c>
      <c r="X75" s="12">
        <f>INDEX(PILARES[],ECF[[#This Row],[idPilar]],MATCH(ECF[[#Headers],[ap (cm)]],PILARES[#Headers],0))</f>
        <v>50</v>
      </c>
      <c r="Y75" s="12">
        <f>INDEX(PILARES[],ECF[[#This Row],[idPilar]],MATCH(ECF[[#Headers],[bp (cm)]],PILARES[#Headers],0))</f>
        <v>40</v>
      </c>
      <c r="Z75" s="4">
        <f>SQRT(ECF[[#This Row],[ap (cm)]]*ECF[[#This Row],[bp (cm)]])</f>
        <v>44.721359549995796</v>
      </c>
      <c r="AA75" s="12">
        <f>ECF[[#This Row],[ap (cm)]]*ECF[[#This Row],[bp (cm)]]</f>
        <v>2000</v>
      </c>
      <c r="AB75" s="12" t="e">
        <f ca="1">IF(ECF[[#This Row],[Padm∙ε (kN)]]&gt;=ECF[[#This Row],[Padm (kN)]],ROUNDUP(1.05*ECF[[#This Row],[Nsd (kN)]]/ECF[[#This Row],[Padm (kN)]],0),ROUNDUP(1.05*ECF[[#This Row],[Nsd (kN)]]/ECF[[#This Row],[Padm (kN)]],0)+1)</f>
        <v>#DIV/0!</v>
      </c>
      <c r="AC75" s="4" t="str">
        <f ca="1">IFERROR(IF(ECF[[#This Row],[nE]]=1,ECF[[#This Row],[Padm (kN)]],ECF[[#This Row],[Padm (kN)]]*ECF[[#This Row],[nE]]*INDEX(grupoEstacas[],ECF[[#This Row],[nE]],MATCH("ε",grupoEstacas[#Headers],0))),"N.S.")</f>
        <v>N.S.</v>
      </c>
      <c r="AD75" s="4" t="e">
        <f ca="1">1.05*ECF[[#This Row],[Nsd (kN)]]/(ECF[[#This Row],[nE]]*PI()*ECF[[#This Row],[Ø (cm)]]^2/4)*10</f>
        <v>#DIV/0!</v>
      </c>
      <c r="AE75" s="4" t="e">
        <f ca="1">IF(ECF[[#This Row],[σ (MPa)]]&lt;INDEX(tipoEstaca[],MATCH($D$2,tipoEstaca[TIPO DE ESTACA],0),MATCH("σmáx (MPa)",tipoEstaca[#Headers],0)),0.4%*PI()*ECF[[#This Row],[Ø (cm)]]^2/4,"N.S.")</f>
        <v>#DIV/0!</v>
      </c>
      <c r="AF75" s="1">
        <f>INDEX(tipoEstaca[],MATCH($D$2,tipoEstaca[TIPO DE ESTACA],0),MATCH(ECF[[#Headers],[Comprimento (m)]],tipoEstaca[#Headers],0))</f>
        <v>4</v>
      </c>
      <c r="AG75" s="5" t="e">
        <f ca="1">ECF[[#This Row],[As,mín (cm²)]]/100^2*ECF[[#This Row],[Comprimento (m)]]*7850</f>
        <v>#DIV/0!</v>
      </c>
      <c r="AH75" s="4" t="e">
        <f ca="1">ECF[[#This Row],[nE]]*ECF[[#This Row],[Prof. (m)]]*ECF[[#This Row],[Ap (m²)]]</f>
        <v>#DIV/0!</v>
      </c>
      <c r="AI75" s="1" t="e">
        <f ca="1">IF(ECF[[#This Row],[nE]]=1,0,MAX(3*ECF[[#This Row],[Ø (cm)]],60))</f>
        <v>#DIV/0!</v>
      </c>
      <c r="AJ75" s="1" t="e">
        <f ca="1">IF(ECF[[#This Row],[nE]]=1,ECF[[#This Row],[Ø (cm)]]+2*10,MAX(1.5*ECF[[#This Row],[Ø (cm)]],ECF[[#This Row],[Ø (cm)]]+15))</f>
        <v>#DIV/0!</v>
      </c>
      <c r="AK75" s="1" t="e">
        <f ca="1">alturaUtil(ECF[[#This Row],[nE]],ECF[[#This Row],[Ø (cm)]],ECF[[#This Row],[e (cm)]],ECF[[#This Row],[ap,eq (cm)]])</f>
        <v>#VALUE!</v>
      </c>
      <c r="AL75" s="1" t="str">
        <f ca="1">IFERROR(ECF[[#This Row],[d (cm)]]+arredondarParaCimaMultiplo5cm(MAX(5,SQRT(PI())/2*ECF[[#This Row],[Ø (cm)]]/5)),"N.S.")</f>
        <v>N.S.</v>
      </c>
      <c r="AM75" s="5" t="e">
        <f ca="1">alpha(ECF[[#This Row],[nE]],ECF[[#This Row],[d (cm)]],ECF[[#This Row],[e (cm)]],ECF[[#This Row],[ap,eq (cm)]])</f>
        <v>#VALUE!</v>
      </c>
      <c r="AN75" s="35" t="str">
        <f ca="1">IFERROR(ECF[[#This Row],[Nsd (kN)]]/(ECF[[#This Row],[Ap (cm²)]]*SIN(ECF[[#This Row],[α]])^2),"N.S.")</f>
        <v>N.S.</v>
      </c>
      <c r="AO75" s="35" t="str">
        <f ca="1">IFERROR(ECF[[#This Row],[Nsd (kN)]]/(ECF[[#This Row],[nE]]*PI()*ECF[[#This Row],[Ø (cm)]]^2/4*SIN(ECF[[#This Row],[α]])^2),"N.S.")</f>
        <v>N.S.</v>
      </c>
      <c r="AP75" s="4" t="str">
        <f ca="1">IFERROR(INDEX(grupoEstacas[],ECF[[#This Row],[nE]],MATCH("coef. Blévot",grupoEstacas[#Headers],0)),"N.S.")</f>
        <v>N.S.</v>
      </c>
      <c r="AQ75" s="35" t="str">
        <f ca="1">IFERROR(ECF[[#This Row],[coef. Blévot]]*0.9*INDEX(tipoEstaca[],MATCH($D$2,tipoEstaca[TIPO DE ESTACA],0),MATCH("fcd (kN/cm²)",tipoEstaca[#Headers],0)),"N.S.")</f>
        <v>N.S.</v>
      </c>
      <c r="AR75" s="1" t="str">
        <f ca="1">IF(AND(ECF[[#This Row],[cd,b,pil (kN/cm²)]]&lt;=ECF[[#This Row],[cd,b,lim (kN/cm²)]],ECF[[#This Row],[cd,b,est (kN/cm²)]]&lt;=ECF[[#This Row],[cd,b,lim (kN/cm²)]]),"OK","ERRO")</f>
        <v>OK</v>
      </c>
      <c r="AS75" s="4" t="e">
        <f ca="1">As_lado(ECF[[#This Row],[nE]],ECF[[#This Row],[Nsd (kN)]],ECF[[#This Row],[d (cm)]],ECF[[#This Row],[e (cm)]],ECF[[#This Row],[ap,eq (cm)]])</f>
        <v>#VALUE!</v>
      </c>
      <c r="AT75" s="4" t="e">
        <f ca="1">IF(ECF[[#This Row],[nE]]=1,ECF[[#This Row],[As,lado (cm²)]],IF(ECF[[#This Row],[nE]]=2,0.075*2*ECF[a (cm)],"N.A."))</f>
        <v>#DIV/0!</v>
      </c>
      <c r="AU75" s="4" t="str">
        <f ca="1">IFERROR(IF(ECF[[#This Row],[nE]]=1,"N.A.",0.2*ECF[[#This Row],[As,lado (cm²)]]),"N.S.")</f>
        <v>N.S.</v>
      </c>
      <c r="AV75" s="4" t="e">
        <f ca="1">As_malha(ECF[[#This Row],[nE]],ECF[[#This Row],[As,lado (cm²)]],ECF[[#This Row],[Nsd (kN)]])</f>
        <v>#VALUE!</v>
      </c>
      <c r="AW75" s="4" t="e">
        <f ca="1">As_susp_tot(ECF[[#This Row],[nE]],ECF[[#This Row],[Nsd (kN)]])</f>
        <v>#VALUE!</v>
      </c>
      <c r="AX75" s="4" t="e">
        <f ca="1">Asp_face(ECF[[#This Row],[nE]],ECF[[#This Row],[As,lado (cm²)]])</f>
        <v>#VALUE!</v>
      </c>
      <c r="AY75" s="5" t="e">
        <f ca="1">acoBloco(ECF[[#This Row],[nE]],ECF[[#This Row],[e (cm)]],ECF[[#This Row],[a (cm)]],ECF[[#This Row],[h (cm)]],ECF[[#This Row],[As,lado (cm²)]],ECF[[#This Row],[Asp e Asw (cm²/m)]],ECF[[#This Row],[As,sup (cm²)]],ECF[[#This Row],[As,malha (cm²)]],ECF[[#This Row],[As,susp,tot (cm²)]],ECF[[#This Row],[Asp,face (cm²)]])</f>
        <v>#VALUE!</v>
      </c>
      <c r="AZ75" s="4" t="e">
        <f ca="1">concretoBloco(ECF[[#This Row],[nE]],ECF[[#This Row],[e (cm)]],ECF[[#This Row],[a (cm)]],ECF[[#This Row],[h (cm)]])</f>
        <v>#VALUE!</v>
      </c>
      <c r="BA75" s="5" t="e">
        <f ca="1">SUM(ECF[[#This Row],[Aço Est (kg)]],ECF[[#This Row],[Aço Bloco (kg)]])</f>
        <v>#DIV/0!</v>
      </c>
      <c r="BB75" s="4">
        <f>INDEX(composicoes[],MATCH(95580,composicoes[CÓDIGO],0),MATCH("CUSTO TOTAL",composicoes[#Headers],0))</f>
        <v>10.46</v>
      </c>
      <c r="BC75" s="4" t="e">
        <f ca="1">SUM(ECF[[#This Row],[Conc Est (m³)]],ECF[[#This Row],[Conc Bloco (m³)]])</f>
        <v>#DIV/0!</v>
      </c>
      <c r="BD75" s="4">
        <f>INDEX(composicoes[],MATCH(94966,composicoes[CÓDIGO],0),MATCH("CUSTO TOTAL",composicoes[#Headers],0))</f>
        <v>439.52</v>
      </c>
      <c r="BE75" s="38" t="e">
        <f ca="1">ECF[[#This Row],[Aço (kg)]]*ECF[[#This Row],[Aço (R$/kg)]]+ECF[[#This Row],[Conc (m³)]]*ECF[[#This Row],[Conc (R$/m³)]]</f>
        <v>#DIV/0!</v>
      </c>
      <c r="BF75" s="4" t="str">
        <f ca="1">IF(COUNTIF(ECF[#This Row],"N.S.")&gt;0,"lim.","OK")</f>
        <v>lim.</v>
      </c>
      <c r="BG75" s="4" t="str">
        <f>IF(ECF[[#This Row],[Prof. (m)]]&lt;4,"lim.","OK")</f>
        <v>lim.</v>
      </c>
      <c r="BH75" s="4" t="str">
        <f>IF(ECF[[#This Row],[Prof. (m)]]&gt;=8*ECF[[#This Row],[Ø (cm)]]/100,"OK","lim.")</f>
        <v>lim.</v>
      </c>
      <c r="BI75" s="4" t="str">
        <f>IF(AND(SPT!$F$3&lt;&gt;"",ECF[[#This Row],[Prof. (m)]]&gt;=SPT!$F$3-2),"lim.","OK")</f>
        <v>OK</v>
      </c>
      <c r="BJ75" s="4" t="str">
        <f ca="1">IF(ECF[[#This Row],[Verif. Biela]]="OK","OK","lim.")</f>
        <v>OK</v>
      </c>
      <c r="BK75" s="4" t="str">
        <f ca="1">IF(COUNTA(ECF[[#This Row],[Nº Est.]:[Biela comp.]])=COUNTIF(ECF[[#This Row],[Nº Est.]:[Biela comp.]],"OK"),"OK","lim.")</f>
        <v>lim.</v>
      </c>
      <c r="BL75" s="4" t="str">
        <f ca="1">IF(ECF[[#This Row],[Controle]]="OK",ECF[[#This Row],[nE]]&amp;" Ø"&amp;ECF[[#This Row],[Ø (cm)]]&amp;"cm Prof. "&amp;ECF[[#This Row],[Prof. (m)]]&amp;" m","")</f>
        <v/>
      </c>
      <c r="BM75" s="4" t="str">
        <f ca="1">IF(ECF[[#This Row],[idDimensionamento]]="","",ECF[[#This Row],[idPilar]]&amp;ECF[[#This Row],[idDimensionamento]])</f>
        <v/>
      </c>
    </row>
    <row r="76" spans="2:65" x14ac:dyDescent="0.25">
      <c r="B76" s="12">
        <f>ROUNDUP((ROW(ECF[[#This Row],[idDiâmetro]])-ROW(ECF[[#Headers],[idDiâmetro]]))/(COUNT(SPT[Prof. (m)])*COUNT(PILARES[Pilar])),0)</f>
        <v>3</v>
      </c>
      <c r="C76" s="12">
        <f>IF(ECF[[#This Row],[idDiâmetro]]&lt;&gt;B75,1,IF(ECF[[#This Row],[Prof. (m)]]=0,C75+1,C75))</f>
        <v>2</v>
      </c>
      <c r="D76" s="1">
        <f>IFERROR(IF(D75=MAX(SPT[Prof. (m)]),0,D75+1),0)</f>
        <v>1</v>
      </c>
      <c r="E76" s="1">
        <f>INDEX(SPT[],MATCH(ECF[[#This Row],[Prof. (m)]],SPT[Prof. (m)],0),2)</f>
        <v>2</v>
      </c>
      <c r="F76" s="1" t="str">
        <f>INDEX(SPT[],MATCH(ECF[[#This Row],[Prof. (m)]],SPT[Prof. (m)],0),3)</f>
        <v>Areia siltosa</v>
      </c>
      <c r="G76" s="1">
        <f>INDEX(estacas[],ECF[[#This Row],[idDiâmetro]],MATCH($B$2,estacas[#Headers],0))</f>
        <v>80</v>
      </c>
      <c r="H76" s="1">
        <f>INDEX(estacas[],MATCH(ECF[[#This Row],[Ø (cm)]],estacas[Ø ECF (cm)],0),MATCH(ECF[[#Headers],[Pe ECF (kN)]],estacas[#Headers],0))</f>
        <v>2000</v>
      </c>
      <c r="I76" s="4">
        <f>INDEX(K_alpha_C[],MATCH(ECF[[#This Row],[Solo]],K_alpha_C[Solo],0),2)</f>
        <v>0.8</v>
      </c>
      <c r="J76" s="5">
        <f>INDEX(K_alpha_C[],MATCH(ECF[[#This Row],[Solo]],K_alpha_C[Solo],0),3)</f>
        <v>2</v>
      </c>
      <c r="K76" s="4">
        <f>INDEX(F1_F2[],MATCH($D$2,F1_F2[Tipo de estaca],0),2)</f>
        <v>3</v>
      </c>
      <c r="L76" s="4">
        <f>INDEX(F1_F2[],MATCH($D$2,F1_F2[Tipo de estaca],0),3)</f>
        <v>6</v>
      </c>
      <c r="M76" s="4">
        <f>PI()*(ECF[[#This Row],[Ø (cm)]]/100)^2/4</f>
        <v>0.50265482457436694</v>
      </c>
      <c r="N76" s="4">
        <f>PI()*ECF[[#This Row],[Ø (cm)]]/100</f>
        <v>2.5132741228718345</v>
      </c>
      <c r="O76" s="4">
        <f>IF(ECF[[#This Row],[Prof. (m)]]=0,0,ECF[[#This Row],[α (%)]]/100*ECF[[#This Row],[K (MPa)]]*1000*ECF[[#This Row],[NSPT]])</f>
        <v>32</v>
      </c>
      <c r="P76" s="4">
        <f>IF(ECF[[#This Row],[Prof. (m)]]=0,0,(ECF[[#This Row],[K (MPa)]]*1000*ECF[[#This Row],[NSPT]]/ECF[[#This Row],[F1]]*ECF[[#This Row],[Ap (m²)]]+ECF[[#This Row],[U (m)]]/ECF[[#This Row],[F2]]*SUMIFS(ECF[(α∙K∙NL∙ΔL)],ECF[Prof. (m)],"&lt;="&amp;ECF[[#This Row],[Prof. (m)]],ECF[idDiâmetro],ECF[[#This Row],[idDiâmetro]],ECF[idPilar],ECF[[#This Row],[idPilar]]))/'DADOS CAP. CARGA'!$D$2)</f>
        <v>140.74335088082276</v>
      </c>
      <c r="Q76" s="12">
        <f>INDEX(C_alpha_beta[],MATCH(ECF[[#This Row],[Solo]],C_alpha_beta[Solo],0),MATCH(ECF[[#Headers],[C (kPa)]],C_alpha_beta[#Headers],0))</f>
        <v>400</v>
      </c>
      <c r="R76" s="4">
        <f>INDEX(C_alpha_beta[],MATCH(ECF[[#This Row],[Solo]],C_alpha_beta[Solo],0),MATCH(ECF[[#Headers],[α ESF]],C_alpha_beta[#Headers],0))</f>
        <v>0.5</v>
      </c>
      <c r="S76" s="4">
        <f>INDEX(C_alpha_beta[],MATCH(ECF[[#This Row],[Solo]],C_alpha_beta[Solo],0),MATCH(ECF[[#Headers],[β ESF]],C_alpha_beta[#Headers],0))</f>
        <v>0.5</v>
      </c>
      <c r="T76" s="4">
        <f>IF(ECF[[#This Row],[Prof. (m)]]=0,0,10*(ECF[[#This Row],[NSPT]]/3+1))</f>
        <v>16.666666666666664</v>
      </c>
      <c r="U76" s="4">
        <f>(ECF[[#This Row],[α ESF]]*ECF[[#This Row],[C (kPa)]]*ECF[[#This Row],[NSPT]]*ECF[[#This Row],[Ap (m²)]])/'DADOS CAP. CARGA'!$Q$2+(ECF[[#This Row],[β ESF]]*SUMIFS(ECF[10∙(NL/3+1)],ECF[Prof. (m)],"&lt;="&amp;ECF[[#This Row],[Prof. (m)]],ECF[idDiâmetro],ECF[[#This Row],[idDiâmetro]],ECF[idPilar],ECF[[#This Row],[idPilar]])*ECF[[#This Row],[U (m)]])/'DADOS CAP. CARGA'!$S$2</f>
        <v>60.737457969402669</v>
      </c>
      <c r="V76" s="4">
        <f>IF(SPT!$M$5=1,MIN(ECF[[#This Row],[Pe ECF (kN)]],ECF[[#This Row],[R_AV (kN)]]),IF(SPT!$M$5=2,MIN(ECF[[#This Row],[Pe ECF (kN)]],ECF[[#This Row],[R_DC (kN)]]),MIN(ECF[[#This Row],[Pe ECF (kN)]],ECF[[#This Row],[R_AV (kN)]],ECF[[#This Row],[R_DC (kN)]])))</f>
        <v>60.737457969402669</v>
      </c>
      <c r="W76" s="4">
        <f>INDEX(PILARES[],ECF[[#This Row],[idPilar]],MATCH("Carga (kN)",PILARES[#Headers],0))*1.4</f>
        <v>1750</v>
      </c>
      <c r="X76" s="12">
        <f>INDEX(PILARES[],ECF[[#This Row],[idPilar]],MATCH(ECF[[#Headers],[ap (cm)]],PILARES[#Headers],0))</f>
        <v>50</v>
      </c>
      <c r="Y76" s="12">
        <f>INDEX(PILARES[],ECF[[#This Row],[idPilar]],MATCH(ECF[[#Headers],[bp (cm)]],PILARES[#Headers],0))</f>
        <v>40</v>
      </c>
      <c r="Z76" s="4">
        <f>SQRT(ECF[[#This Row],[ap (cm)]]*ECF[[#This Row],[bp (cm)]])</f>
        <v>44.721359549995796</v>
      </c>
      <c r="AA76" s="12">
        <f>ECF[[#This Row],[ap (cm)]]*ECF[[#This Row],[bp (cm)]]</f>
        <v>2000</v>
      </c>
      <c r="AB76" s="12">
        <f ca="1">IF(ECF[[#This Row],[Padm∙ε (kN)]]&gt;=ECF[[#This Row],[Padm (kN)]],ROUNDUP(1.05*ECF[[#This Row],[Nsd (kN)]]/ECF[[#This Row],[Padm (kN)]],0),ROUNDUP(1.05*ECF[[#This Row],[Nsd (kN)]]/ECF[[#This Row],[Padm (kN)]],0)+1)</f>
        <v>31</v>
      </c>
      <c r="AC76" s="4" t="str">
        <f ca="1">IFERROR(IF(ECF[[#This Row],[nE]]=1,ECF[[#This Row],[Padm (kN)]],ECF[[#This Row],[Padm (kN)]]*ECF[[#This Row],[nE]]*INDEX(grupoEstacas[],ECF[[#This Row],[nE]],MATCH("ε",grupoEstacas[#Headers],0))),"N.S.")</f>
        <v>N.S.</v>
      </c>
      <c r="AD76" s="4">
        <f ca="1">1.05*ECF[[#This Row],[Nsd (kN)]]/(ECF[[#This Row],[nE]]*PI()*ECF[[#This Row],[Ø (cm)]]^2/4)*10</f>
        <v>0.11792226126264424</v>
      </c>
      <c r="AE76" s="4">
        <f ca="1">IF(ECF[[#This Row],[σ (MPa)]]&lt;INDEX(tipoEstaca[],MATCH($D$2,tipoEstaca[TIPO DE ESTACA],0),MATCH("σmáx (MPa)",tipoEstaca[#Headers],0)),0.4%*PI()*ECF[[#This Row],[Ø (cm)]]^2/4,"N.S.")</f>
        <v>20.106192982974676</v>
      </c>
      <c r="AF76" s="1">
        <f>INDEX(tipoEstaca[],MATCH($D$2,tipoEstaca[TIPO DE ESTACA],0),MATCH(ECF[[#Headers],[Comprimento (m)]],tipoEstaca[#Headers],0))</f>
        <v>4</v>
      </c>
      <c r="AG76" s="5">
        <f ca="1">ECF[[#This Row],[As,mín (cm²)]]/100^2*ECF[[#This Row],[Comprimento (m)]]*7850</f>
        <v>63.133445966540478</v>
      </c>
      <c r="AH76" s="4">
        <f ca="1">ECF[[#This Row],[nE]]*ECF[[#This Row],[Prof. (m)]]*ECF[[#This Row],[Ap (m²)]]</f>
        <v>15.582299561805375</v>
      </c>
      <c r="AI76" s="1">
        <f ca="1">IF(ECF[[#This Row],[nE]]=1,0,MAX(3*ECF[[#This Row],[Ø (cm)]],60))</f>
        <v>240</v>
      </c>
      <c r="AJ76" s="1">
        <f ca="1">IF(ECF[[#This Row],[nE]]=1,ECF[[#This Row],[Ø (cm)]]+2*10,MAX(1.5*ECF[[#This Row],[Ø (cm)]],ECF[[#This Row],[Ø (cm)]]+15))</f>
        <v>120</v>
      </c>
      <c r="AK76" s="1" t="str">
        <f ca="1">alturaUtil(ECF[[#This Row],[nE]],ECF[[#This Row],[Ø (cm)]],ECF[[#This Row],[e (cm)]],ECF[[#This Row],[ap,eq (cm)]])</f>
        <v>N.S.</v>
      </c>
      <c r="AL76" s="1" t="str">
        <f ca="1">IFERROR(ECF[[#This Row],[d (cm)]]+arredondarParaCimaMultiplo5cm(MAX(5,SQRT(PI())/2*ECF[[#This Row],[Ø (cm)]]/5)),"N.S.")</f>
        <v>N.S.</v>
      </c>
      <c r="AM76" s="5" t="str">
        <f ca="1">alpha(ECF[[#This Row],[nE]],ECF[[#This Row],[d (cm)]],ECF[[#This Row],[e (cm)]],ECF[[#This Row],[ap,eq (cm)]])</f>
        <v>N.S.</v>
      </c>
      <c r="AN76" s="35" t="str">
        <f ca="1">IFERROR(ECF[[#This Row],[Nsd (kN)]]/(ECF[[#This Row],[Ap (cm²)]]*SIN(ECF[[#This Row],[α]])^2),"N.S.")</f>
        <v>N.S.</v>
      </c>
      <c r="AO76" s="35" t="str">
        <f ca="1">IFERROR(ECF[[#This Row],[Nsd (kN)]]/(ECF[[#This Row],[nE]]*PI()*ECF[[#This Row],[Ø (cm)]]^2/4*SIN(ECF[[#This Row],[α]])^2),"N.S.")</f>
        <v>N.S.</v>
      </c>
      <c r="AP76" s="4" t="str">
        <f ca="1">IFERROR(INDEX(grupoEstacas[],ECF[[#This Row],[nE]],MATCH("coef. Blévot",grupoEstacas[#Headers],0)),"N.S.")</f>
        <v>N.S.</v>
      </c>
      <c r="AQ76" s="35" t="str">
        <f ca="1">IFERROR(ECF[[#This Row],[coef. Blévot]]*0.9*INDEX(tipoEstaca[],MATCH($D$2,tipoEstaca[TIPO DE ESTACA],0),MATCH("fcd (kN/cm²)",tipoEstaca[#Headers],0)),"N.S.")</f>
        <v>N.S.</v>
      </c>
      <c r="AR76" s="1" t="str">
        <f ca="1">IF(AND(ECF[[#This Row],[cd,b,pil (kN/cm²)]]&lt;=ECF[[#This Row],[cd,b,lim (kN/cm²)]],ECF[[#This Row],[cd,b,est (kN/cm²)]]&lt;=ECF[[#This Row],[cd,b,lim (kN/cm²)]]),"OK","ERRO")</f>
        <v>OK</v>
      </c>
      <c r="AS76" s="4" t="str">
        <f ca="1">As_lado(ECF[[#This Row],[nE]],ECF[[#This Row],[Nsd (kN)]],ECF[[#This Row],[d (cm)]],ECF[[#This Row],[e (cm)]],ECF[[#This Row],[ap,eq (cm)]])</f>
        <v>N.S.</v>
      </c>
      <c r="AT76" s="4" t="str">
        <f ca="1">IF(ECF[[#This Row],[nE]]=1,ECF[[#This Row],[As,lado (cm²)]],IF(ECF[[#This Row],[nE]]=2,0.075*2*ECF[a (cm)],"N.A."))</f>
        <v>N.A.</v>
      </c>
      <c r="AU76" s="4" t="str">
        <f ca="1">IFERROR(IF(ECF[[#This Row],[nE]]=1,"N.A.",0.2*ECF[[#This Row],[As,lado (cm²)]]),"N.S.")</f>
        <v>N.S.</v>
      </c>
      <c r="AV76" s="4" t="str">
        <f ca="1">As_malha(ECF[[#This Row],[nE]],ECF[[#This Row],[As,lado (cm²)]],ECF[[#This Row],[Nsd (kN)]])</f>
        <v>N.S.</v>
      </c>
      <c r="AW76" s="4" t="str">
        <f ca="1">As_susp_tot(ECF[[#This Row],[nE]],ECF[[#This Row],[Nsd (kN)]])</f>
        <v>N.S.</v>
      </c>
      <c r="AX76" s="4" t="str">
        <f ca="1">Asp_face(ECF[[#This Row],[nE]],ECF[[#This Row],[As,lado (cm²)]])</f>
        <v>N.S.</v>
      </c>
      <c r="AY76" s="5" t="str">
        <f ca="1">acoBloco(ECF[[#This Row],[nE]],ECF[[#This Row],[e (cm)]],ECF[[#This Row],[a (cm)]],ECF[[#This Row],[h (cm)]],ECF[[#This Row],[As,lado (cm²)]],ECF[[#This Row],[Asp e Asw (cm²/m)]],ECF[[#This Row],[As,sup (cm²)]],ECF[[#This Row],[As,malha (cm²)]],ECF[[#This Row],[As,susp,tot (cm²)]],ECF[[#This Row],[Asp,face (cm²)]])</f>
        <v>N.S.</v>
      </c>
      <c r="AZ76" s="4" t="str">
        <f ca="1">concretoBloco(ECF[[#This Row],[nE]],ECF[[#This Row],[e (cm)]],ECF[[#This Row],[a (cm)]],ECF[[#This Row],[h (cm)]])</f>
        <v>N.S.</v>
      </c>
      <c r="BA76" s="5">
        <f ca="1">SUM(ECF[[#This Row],[Aço Est (kg)]],ECF[[#This Row],[Aço Bloco (kg)]])</f>
        <v>63.133445966540478</v>
      </c>
      <c r="BB76" s="4">
        <f>INDEX(composicoes[],MATCH(95580,composicoes[CÓDIGO],0),MATCH("CUSTO TOTAL",composicoes[#Headers],0))</f>
        <v>10.46</v>
      </c>
      <c r="BC76" s="4">
        <f ca="1">SUM(ECF[[#This Row],[Conc Est (m³)]],ECF[[#This Row],[Conc Bloco (m³)]])</f>
        <v>15.582299561805375</v>
      </c>
      <c r="BD76" s="4">
        <f>INDEX(composicoes[],MATCH(94966,composicoes[CÓDIGO],0),MATCH("CUSTO TOTAL",composicoes[#Headers],0))</f>
        <v>439.52</v>
      </c>
      <c r="BE76" s="38">
        <f ca="1">ECF[[#This Row],[Aço (kg)]]*ECF[[#This Row],[Aço (R$/kg)]]+ECF[[#This Row],[Conc (m³)]]*ECF[[#This Row],[Conc (R$/m³)]]</f>
        <v>7509.108148214711</v>
      </c>
      <c r="BF76" s="4" t="str">
        <f ca="1">IF(COUNTIF(ECF[#This Row],"N.S.")&gt;0,"lim.","OK")</f>
        <v>lim.</v>
      </c>
      <c r="BG76" s="4" t="str">
        <f>IF(ECF[[#This Row],[Prof. (m)]]&lt;4,"lim.","OK")</f>
        <v>lim.</v>
      </c>
      <c r="BH76" s="4" t="str">
        <f>IF(ECF[[#This Row],[Prof. (m)]]&gt;=8*ECF[[#This Row],[Ø (cm)]]/100,"OK","lim.")</f>
        <v>lim.</v>
      </c>
      <c r="BI76" s="4" t="str">
        <f>IF(AND(SPT!$F$3&lt;&gt;"",ECF[[#This Row],[Prof. (m)]]&gt;=SPT!$F$3-2),"lim.","OK")</f>
        <v>OK</v>
      </c>
      <c r="BJ76" s="4" t="str">
        <f ca="1">IF(ECF[[#This Row],[Verif. Biela]]="OK","OK","lim.")</f>
        <v>OK</v>
      </c>
      <c r="BK76" s="4" t="str">
        <f ca="1">IF(COUNTA(ECF[[#This Row],[Nº Est.]:[Biela comp.]])=COUNTIF(ECF[[#This Row],[Nº Est.]:[Biela comp.]],"OK"),"OK","lim.")</f>
        <v>lim.</v>
      </c>
      <c r="BL76" s="4" t="str">
        <f ca="1">IF(ECF[[#This Row],[Controle]]="OK",ECF[[#This Row],[nE]]&amp;" Ø"&amp;ECF[[#This Row],[Ø (cm)]]&amp;"cm Prof. "&amp;ECF[[#This Row],[Prof. (m)]]&amp;" m","")</f>
        <v/>
      </c>
      <c r="BM76" s="4" t="str">
        <f ca="1">IF(ECF[[#This Row],[idDimensionamento]]="","",ECF[[#This Row],[idPilar]]&amp;ECF[[#This Row],[idDimensionamento]])</f>
        <v/>
      </c>
    </row>
    <row r="77" spans="2:65" x14ac:dyDescent="0.25">
      <c r="B77" s="12">
        <f>ROUNDUP((ROW(ECF[[#This Row],[idDiâmetro]])-ROW(ECF[[#Headers],[idDiâmetro]]))/(COUNT(SPT[Prof. (m)])*COUNT(PILARES[Pilar])),0)</f>
        <v>3</v>
      </c>
      <c r="C77" s="12">
        <f>IF(ECF[[#This Row],[idDiâmetro]]&lt;&gt;B76,1,IF(ECF[[#This Row],[Prof. (m)]]=0,C76+1,C76))</f>
        <v>2</v>
      </c>
      <c r="D77" s="1">
        <f>IFERROR(IF(D76=MAX(SPT[Prof. (m)]),0,D76+1),0)</f>
        <v>2</v>
      </c>
      <c r="E77" s="1">
        <f>INDEX(SPT[],MATCH(ECF[[#This Row],[Prof. (m)]],SPT[Prof. (m)],0),2)</f>
        <v>2</v>
      </c>
      <c r="F77" s="1" t="str">
        <f>INDEX(SPT[],MATCH(ECF[[#This Row],[Prof. (m)]],SPT[Prof. (m)],0),3)</f>
        <v>Areia siltosa</v>
      </c>
      <c r="G77" s="1">
        <f>INDEX(estacas[],ECF[[#This Row],[idDiâmetro]],MATCH($B$2,estacas[#Headers],0))</f>
        <v>80</v>
      </c>
      <c r="H77" s="1">
        <f>INDEX(estacas[],MATCH(ECF[[#This Row],[Ø (cm)]],estacas[Ø ECF (cm)],0),MATCH(ECF[[#Headers],[Pe ECF (kN)]],estacas[#Headers],0))</f>
        <v>2000</v>
      </c>
      <c r="I77" s="4">
        <f>INDEX(K_alpha_C[],MATCH(ECF[[#This Row],[Solo]],K_alpha_C[Solo],0),2)</f>
        <v>0.8</v>
      </c>
      <c r="J77" s="5">
        <f>INDEX(K_alpha_C[],MATCH(ECF[[#This Row],[Solo]],K_alpha_C[Solo],0),3)</f>
        <v>2</v>
      </c>
      <c r="K77" s="4">
        <f>INDEX(F1_F2[],MATCH($D$2,F1_F2[Tipo de estaca],0),2)</f>
        <v>3</v>
      </c>
      <c r="L77" s="4">
        <f>INDEX(F1_F2[],MATCH($D$2,F1_F2[Tipo de estaca],0),3)</f>
        <v>6</v>
      </c>
      <c r="M77" s="4">
        <f>PI()*(ECF[[#This Row],[Ø (cm)]]/100)^2/4</f>
        <v>0.50265482457436694</v>
      </c>
      <c r="N77" s="4">
        <f>PI()*ECF[[#This Row],[Ø (cm)]]/100</f>
        <v>2.5132741228718345</v>
      </c>
      <c r="O77" s="4">
        <f>IF(ECF[[#This Row],[Prof. (m)]]=0,0,ECF[[#This Row],[α (%)]]/100*ECF[[#This Row],[K (MPa)]]*1000*ECF[[#This Row],[NSPT]])</f>
        <v>32</v>
      </c>
      <c r="P77" s="4">
        <f>IF(ECF[[#This Row],[Prof. (m)]]=0,0,(ECF[[#This Row],[K (MPa)]]*1000*ECF[[#This Row],[NSPT]]/ECF[[#This Row],[F1]]*ECF[[#This Row],[Ap (m²)]]+ECF[[#This Row],[U (m)]]/ECF[[#This Row],[F2]]*SUMIFS(ECF[(α∙K∙NL∙ΔL)],ECF[Prof. (m)],"&lt;="&amp;ECF[[#This Row],[Prof. (m)]],ECF[idDiâmetro],ECF[[#This Row],[idDiâmetro]],ECF[idPilar],ECF[[#This Row],[idPilar]]))/'DADOS CAP. CARGA'!$D$2)</f>
        <v>147.44541520848097</v>
      </c>
      <c r="Q77" s="12">
        <f>INDEX(C_alpha_beta[],MATCH(ECF[[#This Row],[Solo]],C_alpha_beta[Solo],0),MATCH(ECF[[#Headers],[C (kPa)]],C_alpha_beta[#Headers],0))</f>
        <v>400</v>
      </c>
      <c r="R77" s="4">
        <f>INDEX(C_alpha_beta[],MATCH(ECF[[#This Row],[Solo]],C_alpha_beta[Solo],0),MATCH(ECF[[#Headers],[α ESF]],C_alpha_beta[#Headers],0))</f>
        <v>0.5</v>
      </c>
      <c r="S77" s="4">
        <f>INDEX(C_alpha_beta[],MATCH(ECF[[#This Row],[Solo]],C_alpha_beta[Solo],0),MATCH(ECF[[#Headers],[β ESF]],C_alpha_beta[#Headers],0))</f>
        <v>0.5</v>
      </c>
      <c r="T77" s="4">
        <f>IF(ECF[[#This Row],[Prof. (m)]]=0,0,10*(ECF[[#This Row],[NSPT]]/3+1))</f>
        <v>16.666666666666664</v>
      </c>
      <c r="U77" s="4">
        <f>(ECF[[#This Row],[α ESF]]*ECF[[#This Row],[C (kPa)]]*ECF[[#This Row],[NSPT]]*ECF[[#This Row],[Ap (m²)]])/'DADOS CAP. CARGA'!$Q$2+(ECF[[#This Row],[β ESF]]*SUMIFS(ECF[10∙(NL/3+1)],ECF[Prof. (m)],"&lt;="&amp;ECF[[#This Row],[Prof. (m)]],ECF[idDiâmetro],ECF[[#This Row],[idDiâmetro]],ECF[idPilar],ECF[[#This Row],[idPilar]])*ECF[[#This Row],[U (m)]])/'DADOS CAP. CARGA'!$S$2</f>
        <v>71.209433481368649</v>
      </c>
      <c r="V77" s="4">
        <f>IF(SPT!$M$5=1,MIN(ECF[[#This Row],[Pe ECF (kN)]],ECF[[#This Row],[R_AV (kN)]]),IF(SPT!$M$5=2,MIN(ECF[[#This Row],[Pe ECF (kN)]],ECF[[#This Row],[R_DC (kN)]]),MIN(ECF[[#This Row],[Pe ECF (kN)]],ECF[[#This Row],[R_AV (kN)]],ECF[[#This Row],[R_DC (kN)]])))</f>
        <v>71.209433481368649</v>
      </c>
      <c r="W77" s="4">
        <f>INDEX(PILARES[],ECF[[#This Row],[idPilar]],MATCH("Carga (kN)",PILARES[#Headers],0))*1.4</f>
        <v>1750</v>
      </c>
      <c r="X77" s="12">
        <f>INDEX(PILARES[],ECF[[#This Row],[idPilar]],MATCH(ECF[[#Headers],[ap (cm)]],PILARES[#Headers],0))</f>
        <v>50</v>
      </c>
      <c r="Y77" s="12">
        <f>INDEX(PILARES[],ECF[[#This Row],[idPilar]],MATCH(ECF[[#Headers],[bp (cm)]],PILARES[#Headers],0))</f>
        <v>40</v>
      </c>
      <c r="Z77" s="4">
        <f>SQRT(ECF[[#This Row],[ap (cm)]]*ECF[[#This Row],[bp (cm)]])</f>
        <v>44.721359549995796</v>
      </c>
      <c r="AA77" s="12">
        <f>ECF[[#This Row],[ap (cm)]]*ECF[[#This Row],[bp (cm)]]</f>
        <v>2000</v>
      </c>
      <c r="AB77" s="12">
        <f ca="1">IF(ECF[[#This Row],[Padm∙ε (kN)]]&gt;=ECF[[#This Row],[Padm (kN)]],ROUNDUP(1.05*ECF[[#This Row],[Nsd (kN)]]/ECF[[#This Row],[Padm (kN)]],0),ROUNDUP(1.05*ECF[[#This Row],[Nsd (kN)]]/ECF[[#This Row],[Padm (kN)]],0)+1)</f>
        <v>26</v>
      </c>
      <c r="AC77" s="4" t="str">
        <f ca="1">IFERROR(IF(ECF[[#This Row],[nE]]=1,ECF[[#This Row],[Padm (kN)]],ECF[[#This Row],[Padm (kN)]]*ECF[[#This Row],[nE]]*INDEX(grupoEstacas[],ECF[[#This Row],[nE]],MATCH("ε",grupoEstacas[#Headers],0))),"N.S.")</f>
        <v>N.S.</v>
      </c>
      <c r="AD77" s="4">
        <f ca="1">1.05*ECF[[#This Row],[Nsd (kN)]]/(ECF[[#This Row],[nE]]*PI()*ECF[[#This Row],[Ø (cm)]]^2/4)*10</f>
        <v>0.14059961919776812</v>
      </c>
      <c r="AE77" s="4">
        <f ca="1">IF(ECF[[#This Row],[σ (MPa)]]&lt;INDEX(tipoEstaca[],MATCH($D$2,tipoEstaca[TIPO DE ESTACA],0),MATCH("σmáx (MPa)",tipoEstaca[#Headers],0)),0.4%*PI()*ECF[[#This Row],[Ø (cm)]]^2/4,"N.S.")</f>
        <v>20.106192982974676</v>
      </c>
      <c r="AF77" s="1">
        <f>INDEX(tipoEstaca[],MATCH($D$2,tipoEstaca[TIPO DE ESTACA],0),MATCH(ECF[[#Headers],[Comprimento (m)]],tipoEstaca[#Headers],0))</f>
        <v>4</v>
      </c>
      <c r="AG77" s="5">
        <f ca="1">ECF[[#This Row],[As,mín (cm²)]]/100^2*ECF[[#This Row],[Comprimento (m)]]*7850</f>
        <v>63.133445966540478</v>
      </c>
      <c r="AH77" s="4">
        <f ca="1">ECF[[#This Row],[nE]]*ECF[[#This Row],[Prof. (m)]]*ECF[[#This Row],[Ap (m²)]]</f>
        <v>26.13805087786708</v>
      </c>
      <c r="AI77" s="1">
        <f ca="1">IF(ECF[[#This Row],[nE]]=1,0,MAX(3*ECF[[#This Row],[Ø (cm)]],60))</f>
        <v>240</v>
      </c>
      <c r="AJ77" s="1">
        <f ca="1">IF(ECF[[#This Row],[nE]]=1,ECF[[#This Row],[Ø (cm)]]+2*10,MAX(1.5*ECF[[#This Row],[Ø (cm)]],ECF[[#This Row],[Ø (cm)]]+15))</f>
        <v>120</v>
      </c>
      <c r="AK77" s="1" t="str">
        <f ca="1">alturaUtil(ECF[[#This Row],[nE]],ECF[[#This Row],[Ø (cm)]],ECF[[#This Row],[e (cm)]],ECF[[#This Row],[ap,eq (cm)]])</f>
        <v>N.S.</v>
      </c>
      <c r="AL77" s="1" t="str">
        <f ca="1">IFERROR(ECF[[#This Row],[d (cm)]]+arredondarParaCimaMultiplo5cm(MAX(5,SQRT(PI())/2*ECF[[#This Row],[Ø (cm)]]/5)),"N.S.")</f>
        <v>N.S.</v>
      </c>
      <c r="AM77" s="5" t="str">
        <f ca="1">alpha(ECF[[#This Row],[nE]],ECF[[#This Row],[d (cm)]],ECF[[#This Row],[e (cm)]],ECF[[#This Row],[ap,eq (cm)]])</f>
        <v>N.S.</v>
      </c>
      <c r="AN77" s="35" t="str">
        <f ca="1">IFERROR(ECF[[#This Row],[Nsd (kN)]]/(ECF[[#This Row],[Ap (cm²)]]*SIN(ECF[[#This Row],[α]])^2),"N.S.")</f>
        <v>N.S.</v>
      </c>
      <c r="AO77" s="35" t="str">
        <f ca="1">IFERROR(ECF[[#This Row],[Nsd (kN)]]/(ECF[[#This Row],[nE]]*PI()*ECF[[#This Row],[Ø (cm)]]^2/4*SIN(ECF[[#This Row],[α]])^2),"N.S.")</f>
        <v>N.S.</v>
      </c>
      <c r="AP77" s="4" t="str">
        <f ca="1">IFERROR(INDEX(grupoEstacas[],ECF[[#This Row],[nE]],MATCH("coef. Blévot",grupoEstacas[#Headers],0)),"N.S.")</f>
        <v>N.S.</v>
      </c>
      <c r="AQ77" s="35" t="str">
        <f ca="1">IFERROR(ECF[[#This Row],[coef. Blévot]]*0.9*INDEX(tipoEstaca[],MATCH($D$2,tipoEstaca[TIPO DE ESTACA],0),MATCH("fcd (kN/cm²)",tipoEstaca[#Headers],0)),"N.S.")</f>
        <v>N.S.</v>
      </c>
      <c r="AR77" s="1" t="str">
        <f ca="1">IF(AND(ECF[[#This Row],[cd,b,pil (kN/cm²)]]&lt;=ECF[[#This Row],[cd,b,lim (kN/cm²)]],ECF[[#This Row],[cd,b,est (kN/cm²)]]&lt;=ECF[[#This Row],[cd,b,lim (kN/cm²)]]),"OK","ERRO")</f>
        <v>OK</v>
      </c>
      <c r="AS77" s="4" t="str">
        <f ca="1">As_lado(ECF[[#This Row],[nE]],ECF[[#This Row],[Nsd (kN)]],ECF[[#This Row],[d (cm)]],ECF[[#This Row],[e (cm)]],ECF[[#This Row],[ap,eq (cm)]])</f>
        <v>N.S.</v>
      </c>
      <c r="AT77" s="4" t="str">
        <f ca="1">IF(ECF[[#This Row],[nE]]=1,ECF[[#This Row],[As,lado (cm²)]],IF(ECF[[#This Row],[nE]]=2,0.075*2*ECF[a (cm)],"N.A."))</f>
        <v>N.A.</v>
      </c>
      <c r="AU77" s="4" t="str">
        <f ca="1">IFERROR(IF(ECF[[#This Row],[nE]]=1,"N.A.",0.2*ECF[[#This Row],[As,lado (cm²)]]),"N.S.")</f>
        <v>N.S.</v>
      </c>
      <c r="AV77" s="4" t="str">
        <f ca="1">As_malha(ECF[[#This Row],[nE]],ECF[[#This Row],[As,lado (cm²)]],ECF[[#This Row],[Nsd (kN)]])</f>
        <v>N.S.</v>
      </c>
      <c r="AW77" s="4" t="str">
        <f ca="1">As_susp_tot(ECF[[#This Row],[nE]],ECF[[#This Row],[Nsd (kN)]])</f>
        <v>N.S.</v>
      </c>
      <c r="AX77" s="4" t="str">
        <f ca="1">Asp_face(ECF[[#This Row],[nE]],ECF[[#This Row],[As,lado (cm²)]])</f>
        <v>N.S.</v>
      </c>
      <c r="AY77" s="5" t="str">
        <f ca="1">acoBloco(ECF[[#This Row],[nE]],ECF[[#This Row],[e (cm)]],ECF[[#This Row],[a (cm)]],ECF[[#This Row],[h (cm)]],ECF[[#This Row],[As,lado (cm²)]],ECF[[#This Row],[Asp e Asw (cm²/m)]],ECF[[#This Row],[As,sup (cm²)]],ECF[[#This Row],[As,malha (cm²)]],ECF[[#This Row],[As,susp,tot (cm²)]],ECF[[#This Row],[Asp,face (cm²)]])</f>
        <v>N.S.</v>
      </c>
      <c r="AZ77" s="4" t="str">
        <f ca="1">concretoBloco(ECF[[#This Row],[nE]],ECF[[#This Row],[e (cm)]],ECF[[#This Row],[a (cm)]],ECF[[#This Row],[h (cm)]])</f>
        <v>N.S.</v>
      </c>
      <c r="BA77" s="5">
        <f ca="1">SUM(ECF[[#This Row],[Aço Est (kg)]],ECF[[#This Row],[Aço Bloco (kg)]])</f>
        <v>63.133445966540478</v>
      </c>
      <c r="BB77" s="4">
        <f>INDEX(composicoes[],MATCH(95580,composicoes[CÓDIGO],0),MATCH("CUSTO TOTAL",composicoes[#Headers],0))</f>
        <v>10.46</v>
      </c>
      <c r="BC77" s="4">
        <f ca="1">SUM(ECF[[#This Row],[Conc Est (m³)]],ECF[[#This Row],[Conc Bloco (m³)]])</f>
        <v>26.13805087786708</v>
      </c>
      <c r="BD77" s="4">
        <f>INDEX(composicoes[],MATCH(94966,composicoes[CÓDIGO],0),MATCH("CUSTO TOTAL",composicoes[#Headers],0))</f>
        <v>439.52</v>
      </c>
      <c r="BE77" s="38">
        <f ca="1">ECF[[#This Row],[Aço (kg)]]*ECF[[#This Row],[Aço (R$/kg)]]+ECF[[#This Row],[Conc (m³)]]*ECF[[#This Row],[Conc (R$/m³)]]</f>
        <v>12148.571966650154</v>
      </c>
      <c r="BF77" s="4" t="str">
        <f ca="1">IF(COUNTIF(ECF[#This Row],"N.S.")&gt;0,"lim.","OK")</f>
        <v>lim.</v>
      </c>
      <c r="BG77" s="4" t="str">
        <f>IF(ECF[[#This Row],[Prof. (m)]]&lt;4,"lim.","OK")</f>
        <v>lim.</v>
      </c>
      <c r="BH77" s="4" t="str">
        <f>IF(ECF[[#This Row],[Prof. (m)]]&gt;=8*ECF[[#This Row],[Ø (cm)]]/100,"OK","lim.")</f>
        <v>lim.</v>
      </c>
      <c r="BI77" s="4" t="str">
        <f>IF(AND(SPT!$F$3&lt;&gt;"",ECF[[#This Row],[Prof. (m)]]&gt;=SPT!$F$3-2),"lim.","OK")</f>
        <v>OK</v>
      </c>
      <c r="BJ77" s="4" t="str">
        <f ca="1">IF(ECF[[#This Row],[Verif. Biela]]="OK","OK","lim.")</f>
        <v>OK</v>
      </c>
      <c r="BK77" s="4" t="str">
        <f ca="1">IF(COUNTA(ECF[[#This Row],[Nº Est.]:[Biela comp.]])=COUNTIF(ECF[[#This Row],[Nº Est.]:[Biela comp.]],"OK"),"OK","lim.")</f>
        <v>lim.</v>
      </c>
      <c r="BL77" s="4" t="str">
        <f ca="1">IF(ECF[[#This Row],[Controle]]="OK",ECF[[#This Row],[nE]]&amp;" Ø"&amp;ECF[[#This Row],[Ø (cm)]]&amp;"cm Prof. "&amp;ECF[[#This Row],[Prof. (m)]]&amp;" m","")</f>
        <v/>
      </c>
      <c r="BM77" s="4" t="str">
        <f ca="1">IF(ECF[[#This Row],[idDimensionamento]]="","",ECF[[#This Row],[idPilar]]&amp;ECF[[#This Row],[idDimensionamento]])</f>
        <v/>
      </c>
    </row>
    <row r="78" spans="2:65" x14ac:dyDescent="0.25">
      <c r="B78" s="12">
        <f>ROUNDUP((ROW(ECF[[#This Row],[idDiâmetro]])-ROW(ECF[[#Headers],[idDiâmetro]]))/(COUNT(SPT[Prof. (m)])*COUNT(PILARES[Pilar])),0)</f>
        <v>3</v>
      </c>
      <c r="C78" s="12">
        <f>IF(ECF[[#This Row],[idDiâmetro]]&lt;&gt;B77,1,IF(ECF[[#This Row],[Prof. (m)]]=0,C77+1,C77))</f>
        <v>2</v>
      </c>
      <c r="D78" s="1">
        <f>IFERROR(IF(D77=MAX(SPT[Prof. (m)]),0,D77+1),0)</f>
        <v>3</v>
      </c>
      <c r="E78" s="1">
        <f>INDEX(SPT[],MATCH(ECF[[#This Row],[Prof. (m)]],SPT[Prof. (m)],0),2)</f>
        <v>4</v>
      </c>
      <c r="F78" s="1" t="str">
        <f>INDEX(SPT[],MATCH(ECF[[#This Row],[Prof. (m)]],SPT[Prof. (m)],0),3)</f>
        <v>Areia siltosa</v>
      </c>
      <c r="G78" s="1">
        <f>INDEX(estacas[],ECF[[#This Row],[idDiâmetro]],MATCH($B$2,estacas[#Headers],0))</f>
        <v>80</v>
      </c>
      <c r="H78" s="1">
        <f>INDEX(estacas[],MATCH(ECF[[#This Row],[Ø (cm)]],estacas[Ø ECF (cm)],0),MATCH(ECF[[#Headers],[Pe ECF (kN)]],estacas[#Headers],0))</f>
        <v>2000</v>
      </c>
      <c r="I78" s="4">
        <f>INDEX(K_alpha_C[],MATCH(ECF[[#This Row],[Solo]],K_alpha_C[Solo],0),2)</f>
        <v>0.8</v>
      </c>
      <c r="J78" s="5">
        <f>INDEX(K_alpha_C[],MATCH(ECF[[#This Row],[Solo]],K_alpha_C[Solo],0),3)</f>
        <v>2</v>
      </c>
      <c r="K78" s="4">
        <f>INDEX(F1_F2[],MATCH($D$2,F1_F2[Tipo de estaca],0),2)</f>
        <v>3</v>
      </c>
      <c r="L78" s="4">
        <f>INDEX(F1_F2[],MATCH($D$2,F1_F2[Tipo de estaca],0),3)</f>
        <v>6</v>
      </c>
      <c r="M78" s="4">
        <f>PI()*(ECF[[#This Row],[Ø (cm)]]/100)^2/4</f>
        <v>0.50265482457436694</v>
      </c>
      <c r="N78" s="4">
        <f>PI()*ECF[[#This Row],[Ø (cm)]]/100</f>
        <v>2.5132741228718345</v>
      </c>
      <c r="O78" s="4">
        <f>IF(ECF[[#This Row],[Prof. (m)]]=0,0,ECF[[#This Row],[α (%)]]/100*ECF[[#This Row],[K (MPa)]]*1000*ECF[[#This Row],[NSPT]])</f>
        <v>64</v>
      </c>
      <c r="P78" s="4">
        <f>IF(ECF[[#This Row],[Prof. (m)]]=0,0,(ECF[[#This Row],[K (MPa)]]*1000*ECF[[#This Row],[NSPT]]/ECF[[#This Row],[F1]]*ECF[[#This Row],[Ap (m²)]]+ECF[[#This Row],[U (m)]]/ECF[[#This Row],[F2]]*SUMIFS(ECF[(α∙K∙NL∙ΔL)],ECF[Prof. (m)],"&lt;="&amp;ECF[[#This Row],[Prof. (m)]],ECF[idDiâmetro],ECF[[#This Row],[idDiâmetro]],ECF[idPilar],ECF[[#This Row],[idPilar]]))/'DADOS CAP. CARGA'!$D$2)</f>
        <v>294.89083041696193</v>
      </c>
      <c r="Q78" s="12">
        <f>INDEX(C_alpha_beta[],MATCH(ECF[[#This Row],[Solo]],C_alpha_beta[Solo],0),MATCH(ECF[[#Headers],[C (kPa)]],C_alpha_beta[#Headers],0))</f>
        <v>400</v>
      </c>
      <c r="R78" s="4">
        <f>INDEX(C_alpha_beta[],MATCH(ECF[[#This Row],[Solo]],C_alpha_beta[Solo],0),MATCH(ECF[[#Headers],[α ESF]],C_alpha_beta[#Headers],0))</f>
        <v>0.5</v>
      </c>
      <c r="S78" s="4">
        <f>INDEX(C_alpha_beta[],MATCH(ECF[[#This Row],[Solo]],C_alpha_beta[Solo],0),MATCH(ECF[[#Headers],[β ESF]],C_alpha_beta[#Headers],0))</f>
        <v>0.5</v>
      </c>
      <c r="T78" s="4">
        <f>IF(ECF[[#This Row],[Prof. (m)]]=0,0,10*(ECF[[#This Row],[NSPT]]/3+1))</f>
        <v>23.333333333333329</v>
      </c>
      <c r="U78" s="4">
        <f>(ECF[[#This Row],[α ESF]]*ECF[[#This Row],[C (kPa)]]*ECF[[#This Row],[NSPT]]*ECF[[#This Row],[Ap (m²)]])/'DADOS CAP. CARGA'!$Q$2+(ECF[[#This Row],[β ESF]]*SUMIFS(ECF[10∙(NL/3+1)],ECF[Prof. (m)],"&lt;="&amp;ECF[[#This Row],[Prof. (m)]],ECF[idDiâmetro],ECF[[#This Row],[idDiâmetro]],ECF[idPilar],ECF[[#This Row],[idPilar]])*ECF[[#This Row],[U (m)]])/'DADOS CAP. CARGA'!$S$2</f>
        <v>136.1356816555577</v>
      </c>
      <c r="V78" s="4">
        <f>IF(SPT!$M$5=1,MIN(ECF[[#This Row],[Pe ECF (kN)]],ECF[[#This Row],[R_AV (kN)]]),IF(SPT!$M$5=2,MIN(ECF[[#This Row],[Pe ECF (kN)]],ECF[[#This Row],[R_DC (kN)]]),MIN(ECF[[#This Row],[Pe ECF (kN)]],ECF[[#This Row],[R_AV (kN)]],ECF[[#This Row],[R_DC (kN)]])))</f>
        <v>136.1356816555577</v>
      </c>
      <c r="W78" s="4">
        <f>INDEX(PILARES[],ECF[[#This Row],[idPilar]],MATCH("Carga (kN)",PILARES[#Headers],0))*1.4</f>
        <v>1750</v>
      </c>
      <c r="X78" s="12">
        <f>INDEX(PILARES[],ECF[[#This Row],[idPilar]],MATCH(ECF[[#Headers],[ap (cm)]],PILARES[#Headers],0))</f>
        <v>50</v>
      </c>
      <c r="Y78" s="12">
        <f>INDEX(PILARES[],ECF[[#This Row],[idPilar]],MATCH(ECF[[#Headers],[bp (cm)]],PILARES[#Headers],0))</f>
        <v>40</v>
      </c>
      <c r="Z78" s="4">
        <f>SQRT(ECF[[#This Row],[ap (cm)]]*ECF[[#This Row],[bp (cm)]])</f>
        <v>44.721359549995796</v>
      </c>
      <c r="AA78" s="12">
        <f>ECF[[#This Row],[ap (cm)]]*ECF[[#This Row],[bp (cm)]]</f>
        <v>2000</v>
      </c>
      <c r="AB78" s="12">
        <f ca="1">IF(ECF[[#This Row],[Padm∙ε (kN)]]&gt;=ECF[[#This Row],[Padm (kN)]],ROUNDUP(1.05*ECF[[#This Row],[Nsd (kN)]]/ECF[[#This Row],[Padm (kN)]],0),ROUNDUP(1.05*ECF[[#This Row],[Nsd (kN)]]/ECF[[#This Row],[Padm (kN)]],0)+1)</f>
        <v>14</v>
      </c>
      <c r="AC78" s="4" t="str">
        <f ca="1">IFERROR(IF(ECF[[#This Row],[nE]]=1,ECF[[#This Row],[Padm (kN)]],ECF[[#This Row],[Padm (kN)]]*ECF[[#This Row],[nE]]*INDEX(grupoEstacas[],ECF[[#This Row],[nE]],MATCH("ε",grupoEstacas[#Headers],0))),"N.S.")</f>
        <v>N.S.</v>
      </c>
      <c r="AD78" s="4">
        <f ca="1">1.05*ECF[[#This Row],[Nsd (kN)]]/(ECF[[#This Row],[nE]]*PI()*ECF[[#This Row],[Ø (cm)]]^2/4)*10</f>
        <v>0.26111357851014083</v>
      </c>
      <c r="AE78" s="4">
        <f ca="1">IF(ECF[[#This Row],[σ (MPa)]]&lt;INDEX(tipoEstaca[],MATCH($D$2,tipoEstaca[TIPO DE ESTACA],0),MATCH("σmáx (MPa)",tipoEstaca[#Headers],0)),0.4%*PI()*ECF[[#This Row],[Ø (cm)]]^2/4,"N.S.")</f>
        <v>20.106192982974676</v>
      </c>
      <c r="AF78" s="1">
        <f>INDEX(tipoEstaca[],MATCH($D$2,tipoEstaca[TIPO DE ESTACA],0),MATCH(ECF[[#Headers],[Comprimento (m)]],tipoEstaca[#Headers],0))</f>
        <v>4</v>
      </c>
      <c r="AG78" s="5">
        <f ca="1">ECF[[#This Row],[As,mín (cm²)]]/100^2*ECF[[#This Row],[Comprimento (m)]]*7850</f>
        <v>63.133445966540478</v>
      </c>
      <c r="AH78" s="4">
        <f ca="1">ECF[[#This Row],[nE]]*ECF[[#This Row],[Prof. (m)]]*ECF[[#This Row],[Ap (m²)]]</f>
        <v>21.111502632123411</v>
      </c>
      <c r="AI78" s="1">
        <f ca="1">IF(ECF[[#This Row],[nE]]=1,0,MAX(3*ECF[[#This Row],[Ø (cm)]],60))</f>
        <v>240</v>
      </c>
      <c r="AJ78" s="1">
        <f ca="1">IF(ECF[[#This Row],[nE]]=1,ECF[[#This Row],[Ø (cm)]]+2*10,MAX(1.5*ECF[[#This Row],[Ø (cm)]],ECF[[#This Row],[Ø (cm)]]+15))</f>
        <v>120</v>
      </c>
      <c r="AK78" s="1" t="str">
        <f ca="1">alturaUtil(ECF[[#This Row],[nE]],ECF[[#This Row],[Ø (cm)]],ECF[[#This Row],[e (cm)]],ECF[[#This Row],[ap,eq (cm)]])</f>
        <v>N.S.</v>
      </c>
      <c r="AL78" s="1" t="str">
        <f ca="1">IFERROR(ECF[[#This Row],[d (cm)]]+arredondarParaCimaMultiplo5cm(MAX(5,SQRT(PI())/2*ECF[[#This Row],[Ø (cm)]]/5)),"N.S.")</f>
        <v>N.S.</v>
      </c>
      <c r="AM78" s="5" t="str">
        <f ca="1">alpha(ECF[[#This Row],[nE]],ECF[[#This Row],[d (cm)]],ECF[[#This Row],[e (cm)]],ECF[[#This Row],[ap,eq (cm)]])</f>
        <v>N.S.</v>
      </c>
      <c r="AN78" s="35" t="str">
        <f ca="1">IFERROR(ECF[[#This Row],[Nsd (kN)]]/(ECF[[#This Row],[Ap (cm²)]]*SIN(ECF[[#This Row],[α]])^2),"N.S.")</f>
        <v>N.S.</v>
      </c>
      <c r="AO78" s="35" t="str">
        <f ca="1">IFERROR(ECF[[#This Row],[Nsd (kN)]]/(ECF[[#This Row],[nE]]*PI()*ECF[[#This Row],[Ø (cm)]]^2/4*SIN(ECF[[#This Row],[α]])^2),"N.S.")</f>
        <v>N.S.</v>
      </c>
      <c r="AP78" s="4" t="str">
        <f ca="1">IFERROR(INDEX(grupoEstacas[],ECF[[#This Row],[nE]],MATCH("coef. Blévot",grupoEstacas[#Headers],0)),"N.S.")</f>
        <v>N.S.</v>
      </c>
      <c r="AQ78" s="35" t="str">
        <f ca="1">IFERROR(ECF[[#This Row],[coef. Blévot]]*0.9*INDEX(tipoEstaca[],MATCH($D$2,tipoEstaca[TIPO DE ESTACA],0),MATCH("fcd (kN/cm²)",tipoEstaca[#Headers],0)),"N.S.")</f>
        <v>N.S.</v>
      </c>
      <c r="AR78" s="1" t="str">
        <f ca="1">IF(AND(ECF[[#This Row],[cd,b,pil (kN/cm²)]]&lt;=ECF[[#This Row],[cd,b,lim (kN/cm²)]],ECF[[#This Row],[cd,b,est (kN/cm²)]]&lt;=ECF[[#This Row],[cd,b,lim (kN/cm²)]]),"OK","ERRO")</f>
        <v>OK</v>
      </c>
      <c r="AS78" s="4" t="str">
        <f ca="1">As_lado(ECF[[#This Row],[nE]],ECF[[#This Row],[Nsd (kN)]],ECF[[#This Row],[d (cm)]],ECF[[#This Row],[e (cm)]],ECF[[#This Row],[ap,eq (cm)]])</f>
        <v>N.S.</v>
      </c>
      <c r="AT78" s="4" t="str">
        <f ca="1">IF(ECF[[#This Row],[nE]]=1,ECF[[#This Row],[As,lado (cm²)]],IF(ECF[[#This Row],[nE]]=2,0.075*2*ECF[a (cm)],"N.A."))</f>
        <v>N.A.</v>
      </c>
      <c r="AU78" s="4" t="str">
        <f ca="1">IFERROR(IF(ECF[[#This Row],[nE]]=1,"N.A.",0.2*ECF[[#This Row],[As,lado (cm²)]]),"N.S.")</f>
        <v>N.S.</v>
      </c>
      <c r="AV78" s="4" t="str">
        <f ca="1">As_malha(ECF[[#This Row],[nE]],ECF[[#This Row],[As,lado (cm²)]],ECF[[#This Row],[Nsd (kN)]])</f>
        <v>N.S.</v>
      </c>
      <c r="AW78" s="4" t="str">
        <f ca="1">As_susp_tot(ECF[[#This Row],[nE]],ECF[[#This Row],[Nsd (kN)]])</f>
        <v>N.S.</v>
      </c>
      <c r="AX78" s="4" t="str">
        <f ca="1">Asp_face(ECF[[#This Row],[nE]],ECF[[#This Row],[As,lado (cm²)]])</f>
        <v>N.S.</v>
      </c>
      <c r="AY78" s="5" t="str">
        <f ca="1">acoBloco(ECF[[#This Row],[nE]],ECF[[#This Row],[e (cm)]],ECF[[#This Row],[a (cm)]],ECF[[#This Row],[h (cm)]],ECF[[#This Row],[As,lado (cm²)]],ECF[[#This Row],[Asp e Asw (cm²/m)]],ECF[[#This Row],[As,sup (cm²)]],ECF[[#This Row],[As,malha (cm²)]],ECF[[#This Row],[As,susp,tot (cm²)]],ECF[[#This Row],[Asp,face (cm²)]])</f>
        <v>N.S.</v>
      </c>
      <c r="AZ78" s="4" t="str">
        <f ca="1">concretoBloco(ECF[[#This Row],[nE]],ECF[[#This Row],[e (cm)]],ECF[[#This Row],[a (cm)]],ECF[[#This Row],[h (cm)]])</f>
        <v>N.S.</v>
      </c>
      <c r="BA78" s="5">
        <f ca="1">SUM(ECF[[#This Row],[Aço Est (kg)]],ECF[[#This Row],[Aço Bloco (kg)]])</f>
        <v>63.133445966540478</v>
      </c>
      <c r="BB78" s="4">
        <f>INDEX(composicoes[],MATCH(95580,composicoes[CÓDIGO],0),MATCH("CUSTO TOTAL",composicoes[#Headers],0))</f>
        <v>10.46</v>
      </c>
      <c r="BC78" s="4">
        <f ca="1">SUM(ECF[[#This Row],[Conc Est (m³)]],ECF[[#This Row],[Conc Bloco (m³)]])</f>
        <v>21.111502632123411</v>
      </c>
      <c r="BD78" s="4">
        <f>INDEX(composicoes[],MATCH(94966,composicoes[CÓDIGO],0),MATCH("CUSTO TOTAL",composicoes[#Headers],0))</f>
        <v>439.52</v>
      </c>
      <c r="BE78" s="38">
        <f ca="1">ECF[[#This Row],[Aço (kg)]]*ECF[[#This Row],[Aço (R$/kg)]]+ECF[[#This Row],[Conc (m³)]]*ECF[[#This Row],[Conc (R$/m³)]]</f>
        <v>9939.303481680894</v>
      </c>
      <c r="BF78" s="4" t="str">
        <f ca="1">IF(COUNTIF(ECF[#This Row],"N.S.")&gt;0,"lim.","OK")</f>
        <v>lim.</v>
      </c>
      <c r="BG78" s="4" t="str">
        <f>IF(ECF[[#This Row],[Prof. (m)]]&lt;4,"lim.","OK")</f>
        <v>lim.</v>
      </c>
      <c r="BH78" s="4" t="str">
        <f>IF(ECF[[#This Row],[Prof. (m)]]&gt;=8*ECF[[#This Row],[Ø (cm)]]/100,"OK","lim.")</f>
        <v>lim.</v>
      </c>
      <c r="BI78" s="4" t="str">
        <f>IF(AND(SPT!$F$3&lt;&gt;"",ECF[[#This Row],[Prof. (m)]]&gt;=SPT!$F$3-2),"lim.","OK")</f>
        <v>OK</v>
      </c>
      <c r="BJ78" s="4" t="str">
        <f ca="1">IF(ECF[[#This Row],[Verif. Biela]]="OK","OK","lim.")</f>
        <v>OK</v>
      </c>
      <c r="BK78" s="4" t="str">
        <f ca="1">IF(COUNTA(ECF[[#This Row],[Nº Est.]:[Biela comp.]])=COUNTIF(ECF[[#This Row],[Nº Est.]:[Biela comp.]],"OK"),"OK","lim.")</f>
        <v>lim.</v>
      </c>
      <c r="BL78" s="4" t="str">
        <f ca="1">IF(ECF[[#This Row],[Controle]]="OK",ECF[[#This Row],[nE]]&amp;" Ø"&amp;ECF[[#This Row],[Ø (cm)]]&amp;"cm Prof. "&amp;ECF[[#This Row],[Prof. (m)]]&amp;" m","")</f>
        <v/>
      </c>
      <c r="BM78" s="4" t="str">
        <f ca="1">IF(ECF[[#This Row],[idDimensionamento]]="","",ECF[[#This Row],[idPilar]]&amp;ECF[[#This Row],[idDimensionamento]])</f>
        <v/>
      </c>
    </row>
    <row r="79" spans="2:65" x14ac:dyDescent="0.25">
      <c r="B79" s="12">
        <f>ROUNDUP((ROW(ECF[[#This Row],[idDiâmetro]])-ROW(ECF[[#Headers],[idDiâmetro]]))/(COUNT(SPT[Prof. (m)])*COUNT(PILARES[Pilar])),0)</f>
        <v>3</v>
      </c>
      <c r="C79" s="12">
        <f>IF(ECF[[#This Row],[idDiâmetro]]&lt;&gt;B78,1,IF(ECF[[#This Row],[Prof. (m)]]=0,C78+1,C78))</f>
        <v>2</v>
      </c>
      <c r="D79" s="1">
        <f>IFERROR(IF(D78=MAX(SPT[Prof. (m)]),0,D78+1),0)</f>
        <v>4</v>
      </c>
      <c r="E79" s="1">
        <f>INDEX(SPT[],MATCH(ECF[[#This Row],[Prof. (m)]],SPT[Prof. (m)],0),2)</f>
        <v>8</v>
      </c>
      <c r="F79" s="1" t="str">
        <f>INDEX(SPT[],MATCH(ECF[[#This Row],[Prof. (m)]],SPT[Prof. (m)],0),3)</f>
        <v>Areia siltosa</v>
      </c>
      <c r="G79" s="1">
        <f>INDEX(estacas[],ECF[[#This Row],[idDiâmetro]],MATCH($B$2,estacas[#Headers],0))</f>
        <v>80</v>
      </c>
      <c r="H79" s="1">
        <f>INDEX(estacas[],MATCH(ECF[[#This Row],[Ø (cm)]],estacas[Ø ECF (cm)],0),MATCH(ECF[[#Headers],[Pe ECF (kN)]],estacas[#Headers],0))</f>
        <v>2000</v>
      </c>
      <c r="I79" s="4">
        <f>INDEX(K_alpha_C[],MATCH(ECF[[#This Row],[Solo]],K_alpha_C[Solo],0),2)</f>
        <v>0.8</v>
      </c>
      <c r="J79" s="5">
        <f>INDEX(K_alpha_C[],MATCH(ECF[[#This Row],[Solo]],K_alpha_C[Solo],0),3)</f>
        <v>2</v>
      </c>
      <c r="K79" s="4">
        <f>INDEX(F1_F2[],MATCH($D$2,F1_F2[Tipo de estaca],0),2)</f>
        <v>3</v>
      </c>
      <c r="L79" s="4">
        <f>INDEX(F1_F2[],MATCH($D$2,F1_F2[Tipo de estaca],0),3)</f>
        <v>6</v>
      </c>
      <c r="M79" s="4">
        <f>PI()*(ECF[[#This Row],[Ø (cm)]]/100)^2/4</f>
        <v>0.50265482457436694</v>
      </c>
      <c r="N79" s="4">
        <f>PI()*ECF[[#This Row],[Ø (cm)]]/100</f>
        <v>2.5132741228718345</v>
      </c>
      <c r="O79" s="4">
        <f>IF(ECF[[#This Row],[Prof. (m)]]=0,0,ECF[[#This Row],[α (%)]]/100*ECF[[#This Row],[K (MPa)]]*1000*ECF[[#This Row],[NSPT]])</f>
        <v>128</v>
      </c>
      <c r="P79" s="4">
        <f>IF(ECF[[#This Row],[Prof. (m)]]=0,0,(ECF[[#This Row],[K (MPa)]]*1000*ECF[[#This Row],[NSPT]]/ECF[[#This Row],[F1]]*ECF[[#This Row],[Ap (m²)]]+ECF[[#This Row],[U (m)]]/ECF[[#This Row],[F2]]*SUMIFS(ECF[(α∙K∙NL∙ΔL)],ECF[Prof. (m)],"&lt;="&amp;ECF[[#This Row],[Prof. (m)]],ECF[idDiâmetro],ECF[[#This Row],[idDiâmetro]],ECF[idPilar],ECF[[#This Row],[idPilar]]))/'DADOS CAP. CARGA'!$D$2)</f>
        <v>589.78166083392387</v>
      </c>
      <c r="Q79" s="12">
        <f>INDEX(C_alpha_beta[],MATCH(ECF[[#This Row],[Solo]],C_alpha_beta[Solo],0),MATCH(ECF[[#Headers],[C (kPa)]],C_alpha_beta[#Headers],0))</f>
        <v>400</v>
      </c>
      <c r="R79" s="4">
        <f>INDEX(C_alpha_beta[],MATCH(ECF[[#This Row],[Solo]],C_alpha_beta[Solo],0),MATCH(ECF[[#Headers],[α ESF]],C_alpha_beta[#Headers],0))</f>
        <v>0.5</v>
      </c>
      <c r="S79" s="4">
        <f>INDEX(C_alpha_beta[],MATCH(ECF[[#This Row],[Solo]],C_alpha_beta[Solo],0),MATCH(ECF[[#Headers],[β ESF]],C_alpha_beta[#Headers],0))</f>
        <v>0.5</v>
      </c>
      <c r="T79" s="4">
        <f>IF(ECF[[#This Row],[Prof. (m)]]=0,0,10*(ECF[[#This Row],[NSPT]]/3+1))</f>
        <v>36.666666666666664</v>
      </c>
      <c r="U79" s="4">
        <f>(ECF[[#This Row],[α ESF]]*ECF[[#This Row],[C (kPa)]]*ECF[[#This Row],[NSPT]]*ECF[[#This Row],[Ap (m²)]])/'DADOS CAP. CARGA'!$Q$2+(ECF[[#This Row],[β ESF]]*SUMIFS(ECF[10∙(NL/3+1)],ECF[Prof. (m)],"&lt;="&amp;ECF[[#This Row],[Prof. (m)]],ECF[idDiâmetro],ECF[[#This Row],[idDiâmetro]],ECF[idPilar],ECF[[#This Row],[idPilar]])*ECF[[#This Row],[U (m)]])/'DADOS CAP. CARGA'!$S$2</f>
        <v>259.70499269675622</v>
      </c>
      <c r="V79" s="4">
        <f>IF(SPT!$M$5=1,MIN(ECF[[#This Row],[Pe ECF (kN)]],ECF[[#This Row],[R_AV (kN)]]),IF(SPT!$M$5=2,MIN(ECF[[#This Row],[Pe ECF (kN)]],ECF[[#This Row],[R_DC (kN)]]),MIN(ECF[[#This Row],[Pe ECF (kN)]],ECF[[#This Row],[R_AV (kN)]],ECF[[#This Row],[R_DC (kN)]])))</f>
        <v>259.70499269675622</v>
      </c>
      <c r="W79" s="4">
        <f>INDEX(PILARES[],ECF[[#This Row],[idPilar]],MATCH("Carga (kN)",PILARES[#Headers],0))*1.4</f>
        <v>1750</v>
      </c>
      <c r="X79" s="12">
        <f>INDEX(PILARES[],ECF[[#This Row],[idPilar]],MATCH(ECF[[#Headers],[ap (cm)]],PILARES[#Headers],0))</f>
        <v>50</v>
      </c>
      <c r="Y79" s="12">
        <f>INDEX(PILARES[],ECF[[#This Row],[idPilar]],MATCH(ECF[[#Headers],[bp (cm)]],PILARES[#Headers],0))</f>
        <v>40</v>
      </c>
      <c r="Z79" s="4">
        <f>SQRT(ECF[[#This Row],[ap (cm)]]*ECF[[#This Row],[bp (cm)]])</f>
        <v>44.721359549995796</v>
      </c>
      <c r="AA79" s="12">
        <f>ECF[[#This Row],[ap (cm)]]*ECF[[#This Row],[bp (cm)]]</f>
        <v>2000</v>
      </c>
      <c r="AB79" s="12">
        <f ca="1">IF(ECF[[#This Row],[Padm∙ε (kN)]]&gt;=ECF[[#This Row],[Padm (kN)]],ROUNDUP(1.05*ECF[[#This Row],[Nsd (kN)]]/ECF[[#This Row],[Padm (kN)]],0),ROUNDUP(1.05*ECF[[#This Row],[Nsd (kN)]]/ECF[[#This Row],[Padm (kN)]],0)+1)</f>
        <v>8</v>
      </c>
      <c r="AC79" s="4" t="str">
        <f ca="1">IFERROR(IF(ECF[[#This Row],[nE]]=1,ECF[[#This Row],[Padm (kN)]],ECF[[#This Row],[Padm (kN)]]*ECF[[#This Row],[nE]]*INDEX(grupoEstacas[],ECF[[#This Row],[nE]],MATCH("ε",grupoEstacas[#Headers],0))),"N.S.")</f>
        <v>N.S.</v>
      </c>
      <c r="AD79" s="4">
        <f ca="1">1.05*ECF[[#This Row],[Nsd (kN)]]/(ECF[[#This Row],[nE]]*PI()*ECF[[#This Row],[Ø (cm)]]^2/4)*10</f>
        <v>0.4569487623927464</v>
      </c>
      <c r="AE79" s="4">
        <f ca="1">IF(ECF[[#This Row],[σ (MPa)]]&lt;INDEX(tipoEstaca[],MATCH($D$2,tipoEstaca[TIPO DE ESTACA],0),MATCH("σmáx (MPa)",tipoEstaca[#Headers],0)),0.4%*PI()*ECF[[#This Row],[Ø (cm)]]^2/4,"N.S.")</f>
        <v>20.106192982974676</v>
      </c>
      <c r="AF79" s="1">
        <f>INDEX(tipoEstaca[],MATCH($D$2,tipoEstaca[TIPO DE ESTACA],0),MATCH(ECF[[#Headers],[Comprimento (m)]],tipoEstaca[#Headers],0))</f>
        <v>4</v>
      </c>
      <c r="AG79" s="5">
        <f ca="1">ECF[[#This Row],[As,mín (cm²)]]/100^2*ECF[[#This Row],[Comprimento (m)]]*7850</f>
        <v>63.133445966540478</v>
      </c>
      <c r="AH79" s="4">
        <f ca="1">ECF[[#This Row],[nE]]*ECF[[#This Row],[Prof. (m)]]*ECF[[#This Row],[Ap (m²)]]</f>
        <v>16.084954386379742</v>
      </c>
      <c r="AI79" s="1">
        <f ca="1">IF(ECF[[#This Row],[nE]]=1,0,MAX(3*ECF[[#This Row],[Ø (cm)]],60))</f>
        <v>240</v>
      </c>
      <c r="AJ79" s="1">
        <f ca="1">IF(ECF[[#This Row],[nE]]=1,ECF[[#This Row],[Ø (cm)]]+2*10,MAX(1.5*ECF[[#This Row],[Ø (cm)]],ECF[[#This Row],[Ø (cm)]]+15))</f>
        <v>120</v>
      </c>
      <c r="AK79" s="1" t="str">
        <f ca="1">alturaUtil(ECF[[#This Row],[nE]],ECF[[#This Row],[Ø (cm)]],ECF[[#This Row],[e (cm)]],ECF[[#This Row],[ap,eq (cm)]])</f>
        <v>N.S.</v>
      </c>
      <c r="AL79" s="1" t="str">
        <f ca="1">IFERROR(ECF[[#This Row],[d (cm)]]+arredondarParaCimaMultiplo5cm(MAX(5,SQRT(PI())/2*ECF[[#This Row],[Ø (cm)]]/5)),"N.S.")</f>
        <v>N.S.</v>
      </c>
      <c r="AM79" s="5" t="str">
        <f ca="1">alpha(ECF[[#This Row],[nE]],ECF[[#This Row],[d (cm)]],ECF[[#This Row],[e (cm)]],ECF[[#This Row],[ap,eq (cm)]])</f>
        <v>N.S.</v>
      </c>
      <c r="AN79" s="35" t="str">
        <f ca="1">IFERROR(ECF[[#This Row],[Nsd (kN)]]/(ECF[[#This Row],[Ap (cm²)]]*SIN(ECF[[#This Row],[α]])^2),"N.S.")</f>
        <v>N.S.</v>
      </c>
      <c r="AO79" s="35" t="str">
        <f ca="1">IFERROR(ECF[[#This Row],[Nsd (kN)]]/(ECF[[#This Row],[nE]]*PI()*ECF[[#This Row],[Ø (cm)]]^2/4*SIN(ECF[[#This Row],[α]])^2),"N.S.")</f>
        <v>N.S.</v>
      </c>
      <c r="AP79" s="4" t="str">
        <f ca="1">IFERROR(INDEX(grupoEstacas[],ECF[[#This Row],[nE]],MATCH("coef. Blévot",grupoEstacas[#Headers],0)),"N.S.")</f>
        <v>N.S.</v>
      </c>
      <c r="AQ79" s="35" t="str">
        <f ca="1">IFERROR(ECF[[#This Row],[coef. Blévot]]*0.9*INDEX(tipoEstaca[],MATCH($D$2,tipoEstaca[TIPO DE ESTACA],0),MATCH("fcd (kN/cm²)",tipoEstaca[#Headers],0)),"N.S.")</f>
        <v>N.S.</v>
      </c>
      <c r="AR79" s="1" t="str">
        <f ca="1">IF(AND(ECF[[#This Row],[cd,b,pil (kN/cm²)]]&lt;=ECF[[#This Row],[cd,b,lim (kN/cm²)]],ECF[[#This Row],[cd,b,est (kN/cm²)]]&lt;=ECF[[#This Row],[cd,b,lim (kN/cm²)]]),"OK","ERRO")</f>
        <v>OK</v>
      </c>
      <c r="AS79" s="4" t="str">
        <f ca="1">As_lado(ECF[[#This Row],[nE]],ECF[[#This Row],[Nsd (kN)]],ECF[[#This Row],[d (cm)]],ECF[[#This Row],[e (cm)]],ECF[[#This Row],[ap,eq (cm)]])</f>
        <v>N.S.</v>
      </c>
      <c r="AT79" s="4" t="str">
        <f ca="1">IF(ECF[[#This Row],[nE]]=1,ECF[[#This Row],[As,lado (cm²)]],IF(ECF[[#This Row],[nE]]=2,0.075*2*ECF[a (cm)],"N.A."))</f>
        <v>N.A.</v>
      </c>
      <c r="AU79" s="4" t="str">
        <f ca="1">IFERROR(IF(ECF[[#This Row],[nE]]=1,"N.A.",0.2*ECF[[#This Row],[As,lado (cm²)]]),"N.S.")</f>
        <v>N.S.</v>
      </c>
      <c r="AV79" s="4" t="str">
        <f ca="1">As_malha(ECF[[#This Row],[nE]],ECF[[#This Row],[As,lado (cm²)]],ECF[[#This Row],[Nsd (kN)]])</f>
        <v>N.S.</v>
      </c>
      <c r="AW79" s="4" t="str">
        <f ca="1">As_susp_tot(ECF[[#This Row],[nE]],ECF[[#This Row],[Nsd (kN)]])</f>
        <v>N.S.</v>
      </c>
      <c r="AX79" s="4" t="str">
        <f ca="1">Asp_face(ECF[[#This Row],[nE]],ECF[[#This Row],[As,lado (cm²)]])</f>
        <v>N.S.</v>
      </c>
      <c r="AY79" s="5" t="str">
        <f ca="1">acoBloco(ECF[[#This Row],[nE]],ECF[[#This Row],[e (cm)]],ECF[[#This Row],[a (cm)]],ECF[[#This Row],[h (cm)]],ECF[[#This Row],[As,lado (cm²)]],ECF[[#This Row],[Asp e Asw (cm²/m)]],ECF[[#This Row],[As,sup (cm²)]],ECF[[#This Row],[As,malha (cm²)]],ECF[[#This Row],[As,susp,tot (cm²)]],ECF[[#This Row],[Asp,face (cm²)]])</f>
        <v>N.S.</v>
      </c>
      <c r="AZ79" s="4" t="str">
        <f ca="1">concretoBloco(ECF[[#This Row],[nE]],ECF[[#This Row],[e (cm)]],ECF[[#This Row],[a (cm)]],ECF[[#This Row],[h (cm)]])</f>
        <v>N.S.</v>
      </c>
      <c r="BA79" s="5">
        <f ca="1">SUM(ECF[[#This Row],[Aço Est (kg)]],ECF[[#This Row],[Aço Bloco (kg)]])</f>
        <v>63.133445966540478</v>
      </c>
      <c r="BB79" s="4">
        <f>INDEX(composicoes[],MATCH(95580,composicoes[CÓDIGO],0),MATCH("CUSTO TOTAL",composicoes[#Headers],0))</f>
        <v>10.46</v>
      </c>
      <c r="BC79" s="4">
        <f ca="1">SUM(ECF[[#This Row],[Conc Est (m³)]],ECF[[#This Row],[Conc Bloco (m³)]])</f>
        <v>16.084954386379742</v>
      </c>
      <c r="BD79" s="4">
        <f>INDEX(composicoes[],MATCH(94966,composicoes[CÓDIGO],0),MATCH("CUSTO TOTAL",composicoes[#Headers],0))</f>
        <v>439.52</v>
      </c>
      <c r="BE79" s="38">
        <f ca="1">ECF[[#This Row],[Aço (kg)]]*ECF[[#This Row],[Aço (R$/kg)]]+ECF[[#This Row],[Conc (m³)]]*ECF[[#This Row],[Conc (R$/m³)]]</f>
        <v>7730.0349967116372</v>
      </c>
      <c r="BF79" s="4" t="str">
        <f ca="1">IF(COUNTIF(ECF[#This Row],"N.S.")&gt;0,"lim.","OK")</f>
        <v>lim.</v>
      </c>
      <c r="BG79" s="4" t="str">
        <f>IF(ECF[[#This Row],[Prof. (m)]]&lt;4,"lim.","OK")</f>
        <v>OK</v>
      </c>
      <c r="BH79" s="4" t="str">
        <f>IF(ECF[[#This Row],[Prof. (m)]]&gt;=8*ECF[[#This Row],[Ø (cm)]]/100,"OK","lim.")</f>
        <v>lim.</v>
      </c>
      <c r="BI79" s="4" t="str">
        <f>IF(AND(SPT!$F$3&lt;&gt;"",ECF[[#This Row],[Prof. (m)]]&gt;=SPT!$F$3-2),"lim.","OK")</f>
        <v>OK</v>
      </c>
      <c r="BJ79" s="4" t="str">
        <f ca="1">IF(ECF[[#This Row],[Verif. Biela]]="OK","OK","lim.")</f>
        <v>OK</v>
      </c>
      <c r="BK79" s="4" t="str">
        <f ca="1">IF(COUNTA(ECF[[#This Row],[Nº Est.]:[Biela comp.]])=COUNTIF(ECF[[#This Row],[Nº Est.]:[Biela comp.]],"OK"),"OK","lim.")</f>
        <v>lim.</v>
      </c>
      <c r="BL79" s="4" t="str">
        <f ca="1">IF(ECF[[#This Row],[Controle]]="OK",ECF[[#This Row],[nE]]&amp;" Ø"&amp;ECF[[#This Row],[Ø (cm)]]&amp;"cm Prof. "&amp;ECF[[#This Row],[Prof. (m)]]&amp;" m","")</f>
        <v/>
      </c>
      <c r="BM79" s="4" t="str">
        <f ca="1">IF(ECF[[#This Row],[idDimensionamento]]="","",ECF[[#This Row],[idPilar]]&amp;ECF[[#This Row],[idDimensionamento]])</f>
        <v/>
      </c>
    </row>
    <row r="80" spans="2:65" x14ac:dyDescent="0.25">
      <c r="B80" s="12">
        <f>ROUNDUP((ROW(ECF[[#This Row],[idDiâmetro]])-ROW(ECF[[#Headers],[idDiâmetro]]))/(COUNT(SPT[Prof. (m)])*COUNT(PILARES[Pilar])),0)</f>
        <v>3</v>
      </c>
      <c r="C80" s="12">
        <f>IF(ECF[[#This Row],[idDiâmetro]]&lt;&gt;B79,1,IF(ECF[[#This Row],[Prof. (m)]]=0,C79+1,C79))</f>
        <v>2</v>
      </c>
      <c r="D80" s="1">
        <f>IFERROR(IF(D79=MAX(SPT[Prof. (m)]),0,D79+1),0)</f>
        <v>5</v>
      </c>
      <c r="E80" s="1">
        <f>INDEX(SPT[],MATCH(ECF[[#This Row],[Prof. (m)]],SPT[Prof. (m)],0),2)</f>
        <v>17</v>
      </c>
      <c r="F80" s="1" t="str">
        <f>INDEX(SPT[],MATCH(ECF[[#This Row],[Prof. (m)]],SPT[Prof. (m)],0),3)</f>
        <v>Areia siltosa</v>
      </c>
      <c r="G80" s="1">
        <f>INDEX(estacas[],ECF[[#This Row],[idDiâmetro]],MATCH($B$2,estacas[#Headers],0))</f>
        <v>80</v>
      </c>
      <c r="H80" s="1">
        <f>INDEX(estacas[],MATCH(ECF[[#This Row],[Ø (cm)]],estacas[Ø ECF (cm)],0),MATCH(ECF[[#Headers],[Pe ECF (kN)]],estacas[#Headers],0))</f>
        <v>2000</v>
      </c>
      <c r="I80" s="4">
        <f>INDEX(K_alpha_C[],MATCH(ECF[[#This Row],[Solo]],K_alpha_C[Solo],0),2)</f>
        <v>0.8</v>
      </c>
      <c r="J80" s="5">
        <f>INDEX(K_alpha_C[],MATCH(ECF[[#This Row],[Solo]],K_alpha_C[Solo],0),3)</f>
        <v>2</v>
      </c>
      <c r="K80" s="4">
        <f>INDEX(F1_F2[],MATCH($D$2,F1_F2[Tipo de estaca],0),2)</f>
        <v>3</v>
      </c>
      <c r="L80" s="4">
        <f>INDEX(F1_F2[],MATCH($D$2,F1_F2[Tipo de estaca],0),3)</f>
        <v>6</v>
      </c>
      <c r="M80" s="4">
        <f>PI()*(ECF[[#This Row],[Ø (cm)]]/100)^2/4</f>
        <v>0.50265482457436694</v>
      </c>
      <c r="N80" s="4">
        <f>PI()*ECF[[#This Row],[Ø (cm)]]/100</f>
        <v>2.5132741228718345</v>
      </c>
      <c r="O80" s="4">
        <f>IF(ECF[[#This Row],[Prof. (m)]]=0,0,ECF[[#This Row],[α (%)]]/100*ECF[[#This Row],[K (MPa)]]*1000*ECF[[#This Row],[NSPT]])</f>
        <v>272</v>
      </c>
      <c r="P80" s="4">
        <f>IF(ECF[[#This Row],[Prof. (m)]]=0,0,(ECF[[#This Row],[K (MPa)]]*1000*ECF[[#This Row],[NSPT]]/ECF[[#This Row],[F1]]*ECF[[#This Row],[Ap (m²)]]+ECF[[#This Row],[U (m)]]/ECF[[#This Row],[F2]]*SUMIFS(ECF[(α∙K∙NL∙ΔL)],ECF[Prof. (m)],"&lt;="&amp;ECF[[#This Row],[Prof. (m)]],ECF[idDiâmetro],ECF[[#This Row],[idDiâmetro]],ECF[idPilar],ECF[[#This Row],[idPilar]]))/'DADOS CAP. CARGA'!$D$2)</f>
        <v>1249.934997108259</v>
      </c>
      <c r="Q80" s="12">
        <f>INDEX(C_alpha_beta[],MATCH(ECF[[#This Row],[Solo]],C_alpha_beta[Solo],0),MATCH(ECF[[#Headers],[C (kPa)]],C_alpha_beta[#Headers],0))</f>
        <v>400</v>
      </c>
      <c r="R80" s="4">
        <f>INDEX(C_alpha_beta[],MATCH(ECF[[#This Row],[Solo]],C_alpha_beta[Solo],0),MATCH(ECF[[#Headers],[α ESF]],C_alpha_beta[#Headers],0))</f>
        <v>0.5</v>
      </c>
      <c r="S80" s="4">
        <f>INDEX(C_alpha_beta[],MATCH(ECF[[#This Row],[Solo]],C_alpha_beta[Solo],0),MATCH(ECF[[#Headers],[β ESF]],C_alpha_beta[#Headers],0))</f>
        <v>0.5</v>
      </c>
      <c r="T80" s="4">
        <f>IF(ECF[[#This Row],[Prof. (m)]]=0,0,10*(ECF[[#This Row],[NSPT]]/3+1))</f>
        <v>66.666666666666671</v>
      </c>
      <c r="U80" s="4">
        <f>(ECF[[#This Row],[α ESF]]*ECF[[#This Row],[C (kPa)]]*ECF[[#This Row],[NSPT]]*ECF[[#This Row],[Ap (m²)]])/'DADOS CAP. CARGA'!$Q$2+(ECF[[#This Row],[β ESF]]*SUMIFS(ECF[10∙(NL/3+1)],ECF[Prof. (m)],"&lt;="&amp;ECF[[#This Row],[Prof. (m)]],ECF[idDiâmetro],ECF[[#This Row],[idDiâmetro]],ECF[idPilar],ECF[[#This Row],[idPilar]])*ECF[[#This Row],[U (m)]])/'DADOS CAP. CARGA'!$S$2</f>
        <v>527.78756580308527</v>
      </c>
      <c r="V80" s="4">
        <f>IF(SPT!$M$5=1,MIN(ECF[[#This Row],[Pe ECF (kN)]],ECF[[#This Row],[R_AV (kN)]]),IF(SPT!$M$5=2,MIN(ECF[[#This Row],[Pe ECF (kN)]],ECF[[#This Row],[R_DC (kN)]]),MIN(ECF[[#This Row],[Pe ECF (kN)]],ECF[[#This Row],[R_AV (kN)]],ECF[[#This Row],[R_DC (kN)]])))</f>
        <v>527.78756580308527</v>
      </c>
      <c r="W80" s="4">
        <f>INDEX(PILARES[],ECF[[#This Row],[idPilar]],MATCH("Carga (kN)",PILARES[#Headers],0))*1.4</f>
        <v>1750</v>
      </c>
      <c r="X80" s="12">
        <f>INDEX(PILARES[],ECF[[#This Row],[idPilar]],MATCH(ECF[[#Headers],[ap (cm)]],PILARES[#Headers],0))</f>
        <v>50</v>
      </c>
      <c r="Y80" s="12">
        <f>INDEX(PILARES[],ECF[[#This Row],[idPilar]],MATCH(ECF[[#Headers],[bp (cm)]],PILARES[#Headers],0))</f>
        <v>40</v>
      </c>
      <c r="Z80" s="4">
        <f>SQRT(ECF[[#This Row],[ap (cm)]]*ECF[[#This Row],[bp (cm)]])</f>
        <v>44.721359549995796</v>
      </c>
      <c r="AA80" s="12">
        <f>ECF[[#This Row],[ap (cm)]]*ECF[[#This Row],[bp (cm)]]</f>
        <v>2000</v>
      </c>
      <c r="AB80" s="12">
        <f ca="1">IF(ECF[[#This Row],[Padm∙ε (kN)]]&gt;=ECF[[#This Row],[Padm (kN)]],ROUNDUP(1.05*ECF[[#This Row],[Nsd (kN)]]/ECF[[#This Row],[Padm (kN)]],0),ROUNDUP(1.05*ECF[[#This Row],[Nsd (kN)]]/ECF[[#This Row],[Padm (kN)]],0)+1)</f>
        <v>4</v>
      </c>
      <c r="AC80" s="4">
        <f ca="1">IFERROR(IF(ECF[[#This Row],[nE]]=1,ECF[[#This Row],[Padm (kN)]],ECF[[#This Row],[Padm (kN)]]*ECF[[#This Row],[nE]]*INDEX(grupoEstacas[],ECF[[#This Row],[nE]],MATCH("ε",grupoEstacas[#Headers],0))),"N.S.")</f>
        <v>1715.3095888600271</v>
      </c>
      <c r="AD80" s="4">
        <f ca="1">1.05*ECF[[#This Row],[Nsd (kN)]]/(ECF[[#This Row],[nE]]*PI()*ECF[[#This Row],[Ø (cm)]]^2/4)*10</f>
        <v>0.9138975247854928</v>
      </c>
      <c r="AE80" s="4">
        <f ca="1">IF(ECF[[#This Row],[σ (MPa)]]&lt;INDEX(tipoEstaca[],MATCH($D$2,tipoEstaca[TIPO DE ESTACA],0),MATCH("σmáx (MPa)",tipoEstaca[#Headers],0)),0.4%*PI()*ECF[[#This Row],[Ø (cm)]]^2/4,"N.S.")</f>
        <v>20.106192982974676</v>
      </c>
      <c r="AF80" s="1">
        <f>INDEX(tipoEstaca[],MATCH($D$2,tipoEstaca[TIPO DE ESTACA],0),MATCH(ECF[[#Headers],[Comprimento (m)]],tipoEstaca[#Headers],0))</f>
        <v>4</v>
      </c>
      <c r="AG80" s="5">
        <f ca="1">ECF[[#This Row],[As,mín (cm²)]]/100^2*ECF[[#This Row],[Comprimento (m)]]*7850</f>
        <v>63.133445966540478</v>
      </c>
      <c r="AH80" s="4">
        <f ca="1">ECF[[#This Row],[nE]]*ECF[[#This Row],[Prof. (m)]]*ECF[[#This Row],[Ap (m²)]]</f>
        <v>10.053096491487338</v>
      </c>
      <c r="AI80" s="1">
        <f ca="1">IF(ECF[[#This Row],[nE]]=1,0,MAX(3*ECF[[#This Row],[Ø (cm)]],60))</f>
        <v>240</v>
      </c>
      <c r="AJ80" s="1">
        <f ca="1">IF(ECF[[#This Row],[nE]]=1,ECF[[#This Row],[Ø (cm)]]+2*10,MAX(1.5*ECF[[#This Row],[Ø (cm)]],ECF[[#This Row],[Ø (cm)]]+15))</f>
        <v>120</v>
      </c>
      <c r="AK80" s="1">
        <f ca="1">alturaUtil(ECF[[#This Row],[nE]],ECF[[#This Row],[Ø (cm)]],ECF[[#This Row],[e (cm)]],ECF[[#This Row],[ap,eq (cm)]])</f>
        <v>110</v>
      </c>
      <c r="AL80" s="1">
        <f ca="1">IFERROR(ECF[[#This Row],[d (cm)]]+arredondarParaCimaMultiplo5cm(MAX(5,SQRT(PI())/2*ECF[[#This Row],[Ø (cm)]]/5)),"N.S.")</f>
        <v>125</v>
      </c>
      <c r="AM80" s="5">
        <f ca="1">alpha(ECF[[#This Row],[nE]],ECF[[#This Row],[d (cm)]],ECF[[#This Row],[e (cm)]],ECF[[#This Row],[ap,eq (cm)]])</f>
        <v>45.309057412860952</v>
      </c>
      <c r="AN80" s="35">
        <f ca="1">IFERROR(ECF[[#This Row],[Nsd (kN)]]/(ECF[[#This Row],[Ap (cm²)]]*SIN(ECF[[#This Row],[α]])^2),"N.S.")</f>
        <v>0.92925031910840006</v>
      </c>
      <c r="AO80" s="35">
        <f ca="1">IFERROR(ECF[[#This Row],[Nsd (kN)]]/(ECF[[#This Row],[nE]]*PI()*ECF[[#This Row],[Ø (cm)]]^2/4*SIN(ECF[[#This Row],[α]])^2),"N.S.")</f>
        <v>9.2434238534889357E-2</v>
      </c>
      <c r="AP80" s="4">
        <f ca="1">IFERROR(INDEX(grupoEstacas[],ECF[[#This Row],[nE]],MATCH("coef. Blévot",grupoEstacas[#Headers],0)),"N.S.")</f>
        <v>2.1</v>
      </c>
      <c r="AQ80" s="35">
        <f ca="1">IFERROR(ECF[[#This Row],[coef. Blévot]]*0.9*INDEX(tipoEstaca[],MATCH($D$2,tipoEstaca[TIPO DE ESTACA],0),MATCH("fcd (kN/cm²)",tipoEstaca[#Headers],0)),"N.S.")</f>
        <v>2.1</v>
      </c>
      <c r="AR80" s="1" t="str">
        <f ca="1">IF(AND(ECF[[#This Row],[cd,b,pil (kN/cm²)]]&lt;=ECF[[#This Row],[cd,b,lim (kN/cm²)]],ECF[[#This Row],[cd,b,est (kN/cm²)]]&lt;=ECF[[#This Row],[cd,b,lim (kN/cm²)]]),"OK","ERRO")</f>
        <v>OK</v>
      </c>
      <c r="AS80" s="4">
        <f ca="1">As_lado(ECF[[#This Row],[nE]],ECF[[#This Row],[Nsd (kN)]],ECF[[#This Row],[d (cm)]],ECF[[#This Row],[e (cm)]],ECF[[#This Row],[ap,eq (cm)]])</f>
        <v>9.9545257262003801</v>
      </c>
      <c r="AT80" s="4" t="str">
        <f ca="1">IF(ECF[[#This Row],[nE]]=1,ECF[[#This Row],[As,lado (cm²)]],IF(ECF[[#This Row],[nE]]=2,0.075*2*ECF[a (cm)],"N.A."))</f>
        <v>N.A.</v>
      </c>
      <c r="AU80" s="4">
        <f ca="1">IFERROR(IF(ECF[[#This Row],[nE]]=1,"N.A.",0.2*ECF[[#This Row],[As,lado (cm²)]]),"N.S.")</f>
        <v>1.9909051452400761</v>
      </c>
      <c r="AV80" s="4">
        <f ca="1">As_malha(ECF[[#This Row],[nE]],ECF[[#This Row],[As,lado (cm²)]],ECF[[#This Row],[Nsd (kN)]])</f>
        <v>1.9909051452400761</v>
      </c>
      <c r="AW80" s="4">
        <f ca="1">As_susp_tot(ECF[[#This Row],[nE]],ECF[[#This Row],[Nsd (kN)]])</f>
        <v>6.708333333333333</v>
      </c>
      <c r="AX80" s="4">
        <f ca="1">Asp_face(ECF[[#This Row],[nE]],ECF[[#This Row],[As,lado (cm²)]])</f>
        <v>4.9772628631001901</v>
      </c>
      <c r="AY80" s="5">
        <f ca="1">acoBloco(ECF[[#This Row],[nE]],ECF[[#This Row],[e (cm)]],ECF[[#This Row],[a (cm)]],ECF[[#This Row],[h (cm)]],ECF[[#This Row],[As,lado (cm²)]],ECF[[#This Row],[Asp e Asw (cm²/m)]],ECF[[#This Row],[As,sup (cm²)]],ECF[[#This Row],[As,malha (cm²)]],ECF[[#This Row],[As,susp,tot (cm²)]],ECF[[#This Row],[Asp,face (cm²)]])</f>
        <v>276.64485322485911</v>
      </c>
      <c r="AZ80" s="4">
        <f ca="1">concretoBloco(ECF[[#This Row],[nE]],ECF[[#This Row],[e (cm)]],ECF[[#This Row],[a (cm)]],ECF[[#This Row],[h (cm)]])</f>
        <v>28.8</v>
      </c>
      <c r="BA80" s="5">
        <f ca="1">SUM(ECF[[#This Row],[Aço Est (kg)]],ECF[[#This Row],[Aço Bloco (kg)]])</f>
        <v>339.77829919139958</v>
      </c>
      <c r="BB80" s="4">
        <f>INDEX(composicoes[],MATCH(95580,composicoes[CÓDIGO],0),MATCH("CUSTO TOTAL",composicoes[#Headers],0))</f>
        <v>10.46</v>
      </c>
      <c r="BC80" s="4">
        <f ca="1">SUM(ECF[[#This Row],[Conc Est (m³)]],ECF[[#This Row],[Conc Bloco (m³)]])</f>
        <v>38.853096491487335</v>
      </c>
      <c r="BD80" s="4">
        <f>INDEX(composicoes[],MATCH(94966,composicoes[CÓDIGO],0),MATCH("CUSTO TOTAL",composicoes[#Headers],0))</f>
        <v>439.52</v>
      </c>
      <c r="BE80" s="38">
        <f ca="1">ECF[[#This Row],[Aço (kg)]]*ECF[[#This Row],[Aço (R$/kg)]]+ECF[[#This Row],[Conc (m³)]]*ECF[[#This Row],[Conc (R$/m³)]]</f>
        <v>20630.79397948055</v>
      </c>
      <c r="BF80" s="4" t="str">
        <f ca="1">IF(COUNTIF(ECF[#This Row],"N.S.")&gt;0,"lim.","OK")</f>
        <v>OK</v>
      </c>
      <c r="BG80" s="4" t="str">
        <f>IF(ECF[[#This Row],[Prof. (m)]]&lt;4,"lim.","OK")</f>
        <v>OK</v>
      </c>
      <c r="BH80" s="4" t="str">
        <f>IF(ECF[[#This Row],[Prof. (m)]]&gt;=8*ECF[[#This Row],[Ø (cm)]]/100,"OK","lim.")</f>
        <v>lim.</v>
      </c>
      <c r="BI80" s="4" t="str">
        <f>IF(AND(SPT!$F$3&lt;&gt;"",ECF[[#This Row],[Prof. (m)]]&gt;=SPT!$F$3-2),"lim.","OK")</f>
        <v>OK</v>
      </c>
      <c r="BJ80" s="4" t="str">
        <f ca="1">IF(ECF[[#This Row],[Verif. Biela]]="OK","OK","lim.")</f>
        <v>OK</v>
      </c>
      <c r="BK80" s="4" t="str">
        <f ca="1">IF(COUNTA(ECF[[#This Row],[Nº Est.]:[Biela comp.]])=COUNTIF(ECF[[#This Row],[Nº Est.]:[Biela comp.]],"OK"),"OK","lim.")</f>
        <v>lim.</v>
      </c>
      <c r="BL80" s="4" t="str">
        <f ca="1">IF(ECF[[#This Row],[Controle]]="OK",ECF[[#This Row],[nE]]&amp;" Ø"&amp;ECF[[#This Row],[Ø (cm)]]&amp;"cm Prof. "&amp;ECF[[#This Row],[Prof. (m)]]&amp;" m","")</f>
        <v/>
      </c>
      <c r="BM80" s="4" t="str">
        <f ca="1">IF(ECF[[#This Row],[idDimensionamento]]="","",ECF[[#This Row],[idPilar]]&amp;ECF[[#This Row],[idDimensionamento]])</f>
        <v/>
      </c>
    </row>
    <row r="81" spans="2:65" x14ac:dyDescent="0.25">
      <c r="B81" s="12">
        <f>ROUNDUP((ROW(ECF[[#This Row],[idDiâmetro]])-ROW(ECF[[#Headers],[idDiâmetro]]))/(COUNT(SPT[Prof. (m)])*COUNT(PILARES[Pilar])),0)</f>
        <v>3</v>
      </c>
      <c r="C81" s="12">
        <f>IF(ECF[[#This Row],[idDiâmetro]]&lt;&gt;B80,1,IF(ECF[[#This Row],[Prof. (m)]]=0,C80+1,C80))</f>
        <v>2</v>
      </c>
      <c r="D81" s="1">
        <f>IFERROR(IF(D80=MAX(SPT[Prof. (m)]),0,D80+1),0)</f>
        <v>6</v>
      </c>
      <c r="E81" s="1">
        <f>INDEX(SPT[],MATCH(ECF[[#This Row],[Prof. (m)]],SPT[Prof. (m)],0),2)</f>
        <v>21</v>
      </c>
      <c r="F81" s="1" t="str">
        <f>INDEX(SPT[],MATCH(ECF[[#This Row],[Prof. (m)]],SPT[Prof. (m)],0),3)</f>
        <v>Silte arenoso</v>
      </c>
      <c r="G81" s="1">
        <f>INDEX(estacas[],ECF[[#This Row],[idDiâmetro]],MATCH($B$2,estacas[#Headers],0))</f>
        <v>80</v>
      </c>
      <c r="H81" s="1">
        <f>INDEX(estacas[],MATCH(ECF[[#This Row],[Ø (cm)]],estacas[Ø ECF (cm)],0),MATCH(ECF[[#Headers],[Pe ECF (kN)]],estacas[#Headers],0))</f>
        <v>2000</v>
      </c>
      <c r="I81" s="4">
        <f>INDEX(K_alpha_C[],MATCH(ECF[[#This Row],[Solo]],K_alpha_C[Solo],0),2)</f>
        <v>0.55000000000000004</v>
      </c>
      <c r="J81" s="5">
        <f>INDEX(K_alpha_C[],MATCH(ECF[[#This Row],[Solo]],K_alpha_C[Solo],0),3)</f>
        <v>2.2000000000000002</v>
      </c>
      <c r="K81" s="4">
        <f>INDEX(F1_F2[],MATCH($D$2,F1_F2[Tipo de estaca],0),2)</f>
        <v>3</v>
      </c>
      <c r="L81" s="4">
        <f>INDEX(F1_F2[],MATCH($D$2,F1_F2[Tipo de estaca],0),3)</f>
        <v>6</v>
      </c>
      <c r="M81" s="4">
        <f>PI()*(ECF[[#This Row],[Ø (cm)]]/100)^2/4</f>
        <v>0.50265482457436694</v>
      </c>
      <c r="N81" s="4">
        <f>PI()*ECF[[#This Row],[Ø (cm)]]/100</f>
        <v>2.5132741228718345</v>
      </c>
      <c r="O81" s="4">
        <f>IF(ECF[[#This Row],[Prof. (m)]]=0,0,ECF[[#This Row],[α (%)]]/100*ECF[[#This Row],[K (MPa)]]*1000*ECF[[#This Row],[NSPT]])</f>
        <v>254.10000000000002</v>
      </c>
      <c r="P81" s="4">
        <f>IF(ECF[[#This Row],[Prof. (m)]]=0,0,(ECF[[#This Row],[K (MPa)]]*1000*ECF[[#This Row],[NSPT]]/ECF[[#This Row],[F1]]*ECF[[#This Row],[Ap (m²)]]+ECF[[#This Row],[U (m)]]/ECF[[#This Row],[F2]]*SUMIFS(ECF[(α∙K∙NL∙ΔL)],ECF[Prof. (m)],"&lt;="&amp;ECF[[#This Row],[Prof. (m)]],ECF[idDiâmetro],ECF[[#This Row],[idDiâmetro]],ECF[idPilar],ECF[[#This Row],[idPilar]]))/'DADOS CAP. CARGA'!$D$2)</f>
        <v>1131.4131782638283</v>
      </c>
      <c r="Q81" s="12">
        <f>INDEX(C_alpha_beta[],MATCH(ECF[[#This Row],[Solo]],C_alpha_beta[Solo],0),MATCH(ECF[[#Headers],[C (kPa)]],C_alpha_beta[#Headers],0))</f>
        <v>250</v>
      </c>
      <c r="R81" s="4">
        <f>INDEX(C_alpha_beta[],MATCH(ECF[[#This Row],[Solo]],C_alpha_beta[Solo],0),MATCH(ECF[[#Headers],[α ESF]],C_alpha_beta[#Headers],0))</f>
        <v>0.6</v>
      </c>
      <c r="S81" s="4">
        <f>INDEX(C_alpha_beta[],MATCH(ECF[[#This Row],[Solo]],C_alpha_beta[Solo],0),MATCH(ECF[[#Headers],[β ESF]],C_alpha_beta[#Headers],0))</f>
        <v>0.65</v>
      </c>
      <c r="T81" s="4">
        <f>IF(ECF[[#This Row],[Prof. (m)]]=0,0,10*(ECF[[#This Row],[NSPT]]/3+1))</f>
        <v>80</v>
      </c>
      <c r="U81" s="4">
        <f>(ECF[[#This Row],[α ESF]]*ECF[[#This Row],[C (kPa)]]*ECF[[#This Row],[NSPT]]*ECF[[#This Row],[Ap (m²)]])/'DADOS CAP. CARGA'!$Q$2+(ECF[[#This Row],[β ESF]]*SUMIFS(ECF[10∙(NL/3+1)],ECF[Prof. (m)],"&lt;="&amp;ECF[[#This Row],[Prof. (m)]],ECF[idDiâmetro],ECF[[#This Row],[idDiâmetro]],ECF[idPilar],ECF[[#This Row],[idPilar]])*ECF[[#This Row],[U (m)]])/'DADOS CAP. CARGA'!$S$2</f>
        <v>591.87605593631702</v>
      </c>
      <c r="V81" s="4">
        <f>IF(SPT!$M$5=1,MIN(ECF[[#This Row],[Pe ECF (kN)]],ECF[[#This Row],[R_AV (kN)]]),IF(SPT!$M$5=2,MIN(ECF[[#This Row],[Pe ECF (kN)]],ECF[[#This Row],[R_DC (kN)]]),MIN(ECF[[#This Row],[Pe ECF (kN)]],ECF[[#This Row],[R_AV (kN)]],ECF[[#This Row],[R_DC (kN)]])))</f>
        <v>591.87605593631702</v>
      </c>
      <c r="W81" s="4">
        <f>INDEX(PILARES[],ECF[[#This Row],[idPilar]],MATCH("Carga (kN)",PILARES[#Headers],0))*1.4</f>
        <v>1750</v>
      </c>
      <c r="X81" s="12">
        <f>INDEX(PILARES[],ECF[[#This Row],[idPilar]],MATCH(ECF[[#Headers],[ap (cm)]],PILARES[#Headers],0))</f>
        <v>50</v>
      </c>
      <c r="Y81" s="12">
        <f>INDEX(PILARES[],ECF[[#This Row],[idPilar]],MATCH(ECF[[#Headers],[bp (cm)]],PILARES[#Headers],0))</f>
        <v>40</v>
      </c>
      <c r="Z81" s="4">
        <f>SQRT(ECF[[#This Row],[ap (cm)]]*ECF[[#This Row],[bp (cm)]])</f>
        <v>44.721359549995796</v>
      </c>
      <c r="AA81" s="12">
        <f>ECF[[#This Row],[ap (cm)]]*ECF[[#This Row],[bp (cm)]]</f>
        <v>2000</v>
      </c>
      <c r="AB81" s="12">
        <f ca="1">IF(ECF[[#This Row],[Padm∙ε (kN)]]&gt;=ECF[[#This Row],[Padm (kN)]],ROUNDUP(1.05*ECF[[#This Row],[Nsd (kN)]]/ECF[[#This Row],[Padm (kN)]],0),ROUNDUP(1.05*ECF[[#This Row],[Nsd (kN)]]/ECF[[#This Row],[Padm (kN)]],0)+1)</f>
        <v>4</v>
      </c>
      <c r="AC81" s="4">
        <f ca="1">IFERROR(IF(ECF[[#This Row],[nE]]=1,ECF[[#This Row],[Padm (kN)]],ECF[[#This Row],[Padm (kN)]]*ECF[[#This Row],[nE]]*INDEX(grupoEstacas[],ECF[[#This Row],[nE]],MATCH("ε",grupoEstacas[#Headers],0))),"N.S.")</f>
        <v>1923.5971817930304</v>
      </c>
      <c r="AD81" s="4">
        <f ca="1">1.05*ECF[[#This Row],[Nsd (kN)]]/(ECF[[#This Row],[nE]]*PI()*ECF[[#This Row],[Ø (cm)]]^2/4)*10</f>
        <v>0.9138975247854928</v>
      </c>
      <c r="AE81" s="4">
        <f ca="1">IF(ECF[[#This Row],[σ (MPa)]]&lt;INDEX(tipoEstaca[],MATCH($D$2,tipoEstaca[TIPO DE ESTACA],0),MATCH("σmáx (MPa)",tipoEstaca[#Headers],0)),0.4%*PI()*ECF[[#This Row],[Ø (cm)]]^2/4,"N.S.")</f>
        <v>20.106192982974676</v>
      </c>
      <c r="AF81" s="1">
        <f>INDEX(tipoEstaca[],MATCH($D$2,tipoEstaca[TIPO DE ESTACA],0),MATCH(ECF[[#Headers],[Comprimento (m)]],tipoEstaca[#Headers],0))</f>
        <v>4</v>
      </c>
      <c r="AG81" s="5">
        <f ca="1">ECF[[#This Row],[As,mín (cm²)]]/100^2*ECF[[#This Row],[Comprimento (m)]]*7850</f>
        <v>63.133445966540478</v>
      </c>
      <c r="AH81" s="4">
        <f ca="1">ECF[[#This Row],[nE]]*ECF[[#This Row],[Prof. (m)]]*ECF[[#This Row],[Ap (m²)]]</f>
        <v>12.063715789784807</v>
      </c>
      <c r="AI81" s="1">
        <f ca="1">IF(ECF[[#This Row],[nE]]=1,0,MAX(3*ECF[[#This Row],[Ø (cm)]],60))</f>
        <v>240</v>
      </c>
      <c r="AJ81" s="1">
        <f ca="1">IF(ECF[[#This Row],[nE]]=1,ECF[[#This Row],[Ø (cm)]]+2*10,MAX(1.5*ECF[[#This Row],[Ø (cm)]],ECF[[#This Row],[Ø (cm)]]+15))</f>
        <v>120</v>
      </c>
      <c r="AK81" s="1">
        <f ca="1">alturaUtil(ECF[[#This Row],[nE]],ECF[[#This Row],[Ø (cm)]],ECF[[#This Row],[e (cm)]],ECF[[#This Row],[ap,eq (cm)]])</f>
        <v>110</v>
      </c>
      <c r="AL81" s="1">
        <f ca="1">IFERROR(ECF[[#This Row],[d (cm)]]+arredondarParaCimaMultiplo5cm(MAX(5,SQRT(PI())/2*ECF[[#This Row],[Ø (cm)]]/5)),"N.S.")</f>
        <v>125</v>
      </c>
      <c r="AM81" s="5">
        <f ca="1">alpha(ECF[[#This Row],[nE]],ECF[[#This Row],[d (cm)]],ECF[[#This Row],[e (cm)]],ECF[[#This Row],[ap,eq (cm)]])</f>
        <v>45.309057412860952</v>
      </c>
      <c r="AN81" s="35">
        <f ca="1">IFERROR(ECF[[#This Row],[Nsd (kN)]]/(ECF[[#This Row],[Ap (cm²)]]*SIN(ECF[[#This Row],[α]])^2),"N.S.")</f>
        <v>0.92925031910840006</v>
      </c>
      <c r="AO81" s="35">
        <f ca="1">IFERROR(ECF[[#This Row],[Nsd (kN)]]/(ECF[[#This Row],[nE]]*PI()*ECF[[#This Row],[Ø (cm)]]^2/4*SIN(ECF[[#This Row],[α]])^2),"N.S.")</f>
        <v>9.2434238534889357E-2</v>
      </c>
      <c r="AP81" s="4">
        <f ca="1">IFERROR(INDEX(grupoEstacas[],ECF[[#This Row],[nE]],MATCH("coef. Blévot",grupoEstacas[#Headers],0)),"N.S.")</f>
        <v>2.1</v>
      </c>
      <c r="AQ81" s="35">
        <f ca="1">IFERROR(ECF[[#This Row],[coef. Blévot]]*0.9*INDEX(tipoEstaca[],MATCH($D$2,tipoEstaca[TIPO DE ESTACA],0),MATCH("fcd (kN/cm²)",tipoEstaca[#Headers],0)),"N.S.")</f>
        <v>2.1</v>
      </c>
      <c r="AR81" s="1" t="str">
        <f ca="1">IF(AND(ECF[[#This Row],[cd,b,pil (kN/cm²)]]&lt;=ECF[[#This Row],[cd,b,lim (kN/cm²)]],ECF[[#This Row],[cd,b,est (kN/cm²)]]&lt;=ECF[[#This Row],[cd,b,lim (kN/cm²)]]),"OK","ERRO")</f>
        <v>OK</v>
      </c>
      <c r="AS81" s="4">
        <f ca="1">As_lado(ECF[[#This Row],[nE]],ECF[[#This Row],[Nsd (kN)]],ECF[[#This Row],[d (cm)]],ECF[[#This Row],[e (cm)]],ECF[[#This Row],[ap,eq (cm)]])</f>
        <v>9.9545257262003801</v>
      </c>
      <c r="AT81" s="4" t="str">
        <f ca="1">IF(ECF[[#This Row],[nE]]=1,ECF[[#This Row],[As,lado (cm²)]],IF(ECF[[#This Row],[nE]]=2,0.075*2*ECF[a (cm)],"N.A."))</f>
        <v>N.A.</v>
      </c>
      <c r="AU81" s="4">
        <f ca="1">IFERROR(IF(ECF[[#This Row],[nE]]=1,"N.A.",0.2*ECF[[#This Row],[As,lado (cm²)]]),"N.S.")</f>
        <v>1.9909051452400761</v>
      </c>
      <c r="AV81" s="4">
        <f ca="1">As_malha(ECF[[#This Row],[nE]],ECF[[#This Row],[As,lado (cm²)]],ECF[[#This Row],[Nsd (kN)]])</f>
        <v>1.9909051452400761</v>
      </c>
      <c r="AW81" s="4">
        <f ca="1">As_susp_tot(ECF[[#This Row],[nE]],ECF[[#This Row],[Nsd (kN)]])</f>
        <v>6.708333333333333</v>
      </c>
      <c r="AX81" s="4">
        <f ca="1">Asp_face(ECF[[#This Row],[nE]],ECF[[#This Row],[As,lado (cm²)]])</f>
        <v>4.9772628631001901</v>
      </c>
      <c r="AY81" s="5">
        <f ca="1">acoBloco(ECF[[#This Row],[nE]],ECF[[#This Row],[e (cm)]],ECF[[#This Row],[a (cm)]],ECF[[#This Row],[h (cm)]],ECF[[#This Row],[As,lado (cm²)]],ECF[[#This Row],[Asp e Asw (cm²/m)]],ECF[[#This Row],[As,sup (cm²)]],ECF[[#This Row],[As,malha (cm²)]],ECF[[#This Row],[As,susp,tot (cm²)]],ECF[[#This Row],[Asp,face (cm²)]])</f>
        <v>276.64485322485911</v>
      </c>
      <c r="AZ81" s="4">
        <f ca="1">concretoBloco(ECF[[#This Row],[nE]],ECF[[#This Row],[e (cm)]],ECF[[#This Row],[a (cm)]],ECF[[#This Row],[h (cm)]])</f>
        <v>28.8</v>
      </c>
      <c r="BA81" s="5">
        <f ca="1">SUM(ECF[[#This Row],[Aço Est (kg)]],ECF[[#This Row],[Aço Bloco (kg)]])</f>
        <v>339.77829919139958</v>
      </c>
      <c r="BB81" s="4">
        <f>INDEX(composicoes[],MATCH(95580,composicoes[CÓDIGO],0),MATCH("CUSTO TOTAL",composicoes[#Headers],0))</f>
        <v>10.46</v>
      </c>
      <c r="BC81" s="4">
        <f ca="1">SUM(ECF[[#This Row],[Conc Est (m³)]],ECF[[#This Row],[Conc Bloco (m³)]])</f>
        <v>40.863715789784806</v>
      </c>
      <c r="BD81" s="4">
        <f>INDEX(composicoes[],MATCH(94966,composicoes[CÓDIGO],0),MATCH("CUSTO TOTAL",composicoes[#Headers],0))</f>
        <v>439.52</v>
      </c>
      <c r="BE81" s="38">
        <f ca="1">ECF[[#This Row],[Aço (kg)]]*ECF[[#This Row],[Aço (R$/kg)]]+ECF[[#This Row],[Conc (m³)]]*ECF[[#This Row],[Conc (R$/m³)]]</f>
        <v>21514.501373468254</v>
      </c>
      <c r="BF81" s="4" t="str">
        <f ca="1">IF(COUNTIF(ECF[#This Row],"N.S.")&gt;0,"lim.","OK")</f>
        <v>OK</v>
      </c>
      <c r="BG81" s="4" t="str">
        <f>IF(ECF[[#This Row],[Prof. (m)]]&lt;4,"lim.","OK")</f>
        <v>OK</v>
      </c>
      <c r="BH81" s="4" t="str">
        <f>IF(ECF[[#This Row],[Prof. (m)]]&gt;=8*ECF[[#This Row],[Ø (cm)]]/100,"OK","lim.")</f>
        <v>lim.</v>
      </c>
      <c r="BI81" s="4" t="str">
        <f>IF(AND(SPT!$F$3&lt;&gt;"",ECF[[#This Row],[Prof. (m)]]&gt;=SPT!$F$3-2),"lim.","OK")</f>
        <v>OK</v>
      </c>
      <c r="BJ81" s="4" t="str">
        <f ca="1">IF(ECF[[#This Row],[Verif. Biela]]="OK","OK","lim.")</f>
        <v>OK</v>
      </c>
      <c r="BK81" s="4" t="str">
        <f ca="1">IF(COUNTA(ECF[[#This Row],[Nº Est.]:[Biela comp.]])=COUNTIF(ECF[[#This Row],[Nº Est.]:[Biela comp.]],"OK"),"OK","lim.")</f>
        <v>lim.</v>
      </c>
      <c r="BL81" s="4" t="str">
        <f ca="1">IF(ECF[[#This Row],[Controle]]="OK",ECF[[#This Row],[nE]]&amp;" Ø"&amp;ECF[[#This Row],[Ø (cm)]]&amp;"cm Prof. "&amp;ECF[[#This Row],[Prof. (m)]]&amp;" m","")</f>
        <v/>
      </c>
      <c r="BM81" s="4" t="str">
        <f ca="1">IF(ECF[[#This Row],[idDimensionamento]]="","",ECF[[#This Row],[idPilar]]&amp;ECF[[#This Row],[idDimensionamento]])</f>
        <v/>
      </c>
    </row>
    <row r="82" spans="2:65" x14ac:dyDescent="0.25">
      <c r="B82" s="12">
        <f>ROUNDUP((ROW(ECF[[#This Row],[idDiâmetro]])-ROW(ECF[[#Headers],[idDiâmetro]]))/(COUNT(SPT[Prof. (m)])*COUNT(PILARES[Pilar])),0)</f>
        <v>3</v>
      </c>
      <c r="C82" s="12">
        <f>IF(ECF[[#This Row],[idDiâmetro]]&lt;&gt;B81,1,IF(ECF[[#This Row],[Prof. (m)]]=0,C81+1,C81))</f>
        <v>2</v>
      </c>
      <c r="D82" s="1">
        <f>IFERROR(IF(D81=MAX(SPT[Prof. (m)]),0,D81+1),0)</f>
        <v>7</v>
      </c>
      <c r="E82" s="1">
        <f>INDEX(SPT[],MATCH(ECF[[#This Row],[Prof. (m)]],SPT[Prof. (m)],0),2)</f>
        <v>8</v>
      </c>
      <c r="F82" s="1" t="str">
        <f>INDEX(SPT[],MATCH(ECF[[#This Row],[Prof. (m)]],SPT[Prof. (m)],0),3)</f>
        <v>Silte arenoso</v>
      </c>
      <c r="G82" s="1">
        <f>INDEX(estacas[],ECF[[#This Row],[idDiâmetro]],MATCH($B$2,estacas[#Headers],0))</f>
        <v>80</v>
      </c>
      <c r="H82" s="1">
        <f>INDEX(estacas[],MATCH(ECF[[#This Row],[Ø (cm)]],estacas[Ø ECF (cm)],0),MATCH(ECF[[#Headers],[Pe ECF (kN)]],estacas[#Headers],0))</f>
        <v>2000</v>
      </c>
      <c r="I82" s="4">
        <f>INDEX(K_alpha_C[],MATCH(ECF[[#This Row],[Solo]],K_alpha_C[Solo],0),2)</f>
        <v>0.55000000000000004</v>
      </c>
      <c r="J82" s="5">
        <f>INDEX(K_alpha_C[],MATCH(ECF[[#This Row],[Solo]],K_alpha_C[Solo],0),3)</f>
        <v>2.2000000000000002</v>
      </c>
      <c r="K82" s="4">
        <f>INDEX(F1_F2[],MATCH($D$2,F1_F2[Tipo de estaca],0),2)</f>
        <v>3</v>
      </c>
      <c r="L82" s="4">
        <f>INDEX(F1_F2[],MATCH($D$2,F1_F2[Tipo de estaca],0),3)</f>
        <v>6</v>
      </c>
      <c r="M82" s="4">
        <f>PI()*(ECF[[#This Row],[Ø (cm)]]/100)^2/4</f>
        <v>0.50265482457436694</v>
      </c>
      <c r="N82" s="4">
        <f>PI()*ECF[[#This Row],[Ø (cm)]]/100</f>
        <v>2.5132741228718345</v>
      </c>
      <c r="O82" s="4">
        <f>IF(ECF[[#This Row],[Prof. (m)]]=0,0,ECF[[#This Row],[α (%)]]/100*ECF[[#This Row],[K (MPa)]]*1000*ECF[[#This Row],[NSPT]])</f>
        <v>96.800000000000011</v>
      </c>
      <c r="P82" s="4">
        <f>IF(ECF[[#This Row],[Prof. (m)]]=0,0,(ECF[[#This Row],[K (MPa)]]*1000*ECF[[#This Row],[NSPT]]/ECF[[#This Row],[F1]]*ECF[[#This Row],[Ap (m²)]]+ECF[[#This Row],[U (m)]]/ECF[[#This Row],[F2]]*SUMIFS(ECF[(α∙K∙NL∙ΔL)],ECF[Prof. (m)],"&lt;="&amp;ECF[[#This Row],[Prof. (m)]],ECF[idDiâmetro],ECF[[#This Row],[idDiâmetro]],ECF[idPilar],ECF[[#This Row],[idPilar]]))/'DADOS CAP. CARGA'!$D$2)</f>
        <v>552.68992357054037</v>
      </c>
      <c r="Q82" s="12">
        <f>INDEX(C_alpha_beta[],MATCH(ECF[[#This Row],[Solo]],C_alpha_beta[Solo],0),MATCH(ECF[[#Headers],[C (kPa)]],C_alpha_beta[#Headers],0))</f>
        <v>250</v>
      </c>
      <c r="R82" s="4">
        <f>INDEX(C_alpha_beta[],MATCH(ECF[[#This Row],[Solo]],C_alpha_beta[Solo],0),MATCH(ECF[[#Headers],[α ESF]],C_alpha_beta[#Headers],0))</f>
        <v>0.6</v>
      </c>
      <c r="S82" s="4">
        <f>INDEX(C_alpha_beta[],MATCH(ECF[[#This Row],[Solo]],C_alpha_beta[Solo],0),MATCH(ECF[[#Headers],[β ESF]],C_alpha_beta[#Headers],0))</f>
        <v>0.65</v>
      </c>
      <c r="T82" s="4">
        <f>IF(ECF[[#This Row],[Prof. (m)]]=0,0,10*(ECF[[#This Row],[NSPT]]/3+1))</f>
        <v>36.666666666666664</v>
      </c>
      <c r="U82" s="4">
        <f>(ECF[[#This Row],[α ESF]]*ECF[[#This Row],[C (kPa)]]*ECF[[#This Row],[NSPT]]*ECF[[#This Row],[Ap (m²)]])/'DADOS CAP. CARGA'!$Q$2+(ECF[[#This Row],[β ESF]]*SUMIFS(ECF[10∙(NL/3+1)],ECF[Prof. (m)],"&lt;="&amp;ECF[[#This Row],[Prof. (m)]],ECF[idDiâmetro],ECF[[#This Row],[idDiâmetro]],ECF[idPilar],ECF[[#This Row],[idPilar]])*ECF[[#This Row],[U (m)]])/'DADOS CAP. CARGA'!$S$2</f>
        <v>376.78167892053585</v>
      </c>
      <c r="V82" s="4">
        <f>IF(SPT!$M$5=1,MIN(ECF[[#This Row],[Pe ECF (kN)]],ECF[[#This Row],[R_AV (kN)]]),IF(SPT!$M$5=2,MIN(ECF[[#This Row],[Pe ECF (kN)]],ECF[[#This Row],[R_DC (kN)]]),MIN(ECF[[#This Row],[Pe ECF (kN)]],ECF[[#This Row],[R_AV (kN)]],ECF[[#This Row],[R_DC (kN)]])))</f>
        <v>376.78167892053585</v>
      </c>
      <c r="W82" s="4">
        <f>INDEX(PILARES[],ECF[[#This Row],[idPilar]],MATCH("Carga (kN)",PILARES[#Headers],0))*1.4</f>
        <v>1750</v>
      </c>
      <c r="X82" s="12">
        <f>INDEX(PILARES[],ECF[[#This Row],[idPilar]],MATCH(ECF[[#Headers],[ap (cm)]],PILARES[#Headers],0))</f>
        <v>50</v>
      </c>
      <c r="Y82" s="12">
        <f>INDEX(PILARES[],ECF[[#This Row],[idPilar]],MATCH(ECF[[#Headers],[bp (cm)]],PILARES[#Headers],0))</f>
        <v>40</v>
      </c>
      <c r="Z82" s="4">
        <f>SQRT(ECF[[#This Row],[ap (cm)]]*ECF[[#This Row],[bp (cm)]])</f>
        <v>44.721359549995796</v>
      </c>
      <c r="AA82" s="12">
        <f>ECF[[#This Row],[ap (cm)]]*ECF[[#This Row],[bp (cm)]]</f>
        <v>2000</v>
      </c>
      <c r="AB82" s="12">
        <f ca="1">IF(ECF[[#This Row],[Padm∙ε (kN)]]&gt;=ECF[[#This Row],[Padm (kN)]],ROUNDUP(1.05*ECF[[#This Row],[Nsd (kN)]]/ECF[[#This Row],[Padm (kN)]],0),ROUNDUP(1.05*ECF[[#This Row],[Nsd (kN)]]/ECF[[#This Row],[Padm (kN)]],0)+1)</f>
        <v>5</v>
      </c>
      <c r="AC82" s="4" t="str">
        <f ca="1">IFERROR(IF(ECF[[#This Row],[nE]]=1,ECF[[#This Row],[Padm (kN)]],ECF[[#This Row],[Padm (kN)]]*ECF[[#This Row],[nE]]*INDEX(grupoEstacas[],ECF[[#This Row],[nE]],MATCH("ε",grupoEstacas[#Headers],0))),"N.S.")</f>
        <v>N.S.</v>
      </c>
      <c r="AD82" s="4">
        <f ca="1">1.05*ECF[[#This Row],[Nsd (kN)]]/(ECF[[#This Row],[nE]]*PI()*ECF[[#This Row],[Ø (cm)]]^2/4)*10</f>
        <v>0.73111801982839419</v>
      </c>
      <c r="AE82" s="4">
        <f ca="1">IF(ECF[[#This Row],[σ (MPa)]]&lt;INDEX(tipoEstaca[],MATCH($D$2,tipoEstaca[TIPO DE ESTACA],0),MATCH("σmáx (MPa)",tipoEstaca[#Headers],0)),0.4%*PI()*ECF[[#This Row],[Ø (cm)]]^2/4,"N.S.")</f>
        <v>20.106192982974676</v>
      </c>
      <c r="AF82" s="1">
        <f>INDEX(tipoEstaca[],MATCH($D$2,tipoEstaca[TIPO DE ESTACA],0),MATCH(ECF[[#Headers],[Comprimento (m)]],tipoEstaca[#Headers],0))</f>
        <v>4</v>
      </c>
      <c r="AG82" s="5">
        <f ca="1">ECF[[#This Row],[As,mín (cm²)]]/100^2*ECF[[#This Row],[Comprimento (m)]]*7850</f>
        <v>63.133445966540478</v>
      </c>
      <c r="AH82" s="4">
        <f ca="1">ECF[[#This Row],[nE]]*ECF[[#This Row],[Prof. (m)]]*ECF[[#This Row],[Ap (m²)]]</f>
        <v>17.592918860102841</v>
      </c>
      <c r="AI82" s="1">
        <f ca="1">IF(ECF[[#This Row],[nE]]=1,0,MAX(3*ECF[[#This Row],[Ø (cm)]],60))</f>
        <v>240</v>
      </c>
      <c r="AJ82" s="1">
        <f ca="1">IF(ECF[[#This Row],[nE]]=1,ECF[[#This Row],[Ø (cm)]]+2*10,MAX(1.5*ECF[[#This Row],[Ø (cm)]],ECF[[#This Row],[Ø (cm)]]+15))</f>
        <v>120</v>
      </c>
      <c r="AK82" s="1" t="str">
        <f ca="1">alturaUtil(ECF[[#This Row],[nE]],ECF[[#This Row],[Ø (cm)]],ECF[[#This Row],[e (cm)]],ECF[[#This Row],[ap,eq (cm)]])</f>
        <v>N.S.</v>
      </c>
      <c r="AL82" s="1" t="str">
        <f ca="1">IFERROR(ECF[[#This Row],[d (cm)]]+arredondarParaCimaMultiplo5cm(MAX(5,SQRT(PI())/2*ECF[[#This Row],[Ø (cm)]]/5)),"N.S.")</f>
        <v>N.S.</v>
      </c>
      <c r="AM82" s="5" t="str">
        <f ca="1">alpha(ECF[[#This Row],[nE]],ECF[[#This Row],[d (cm)]],ECF[[#This Row],[e (cm)]],ECF[[#This Row],[ap,eq (cm)]])</f>
        <v>N.S.</v>
      </c>
      <c r="AN82" s="35" t="str">
        <f ca="1">IFERROR(ECF[[#This Row],[Nsd (kN)]]/(ECF[[#This Row],[Ap (cm²)]]*SIN(ECF[[#This Row],[α]])^2),"N.S.")</f>
        <v>N.S.</v>
      </c>
      <c r="AO82" s="35" t="str">
        <f ca="1">IFERROR(ECF[[#This Row],[Nsd (kN)]]/(ECF[[#This Row],[nE]]*PI()*ECF[[#This Row],[Ø (cm)]]^2/4*SIN(ECF[[#This Row],[α]])^2),"N.S.")</f>
        <v>N.S.</v>
      </c>
      <c r="AP82" s="4" t="str">
        <f ca="1">IFERROR(INDEX(grupoEstacas[],ECF[[#This Row],[nE]],MATCH("coef. Blévot",grupoEstacas[#Headers],0)),"N.S.")</f>
        <v>N.S.</v>
      </c>
      <c r="AQ82" s="35" t="str">
        <f ca="1">IFERROR(ECF[[#This Row],[coef. Blévot]]*0.9*INDEX(tipoEstaca[],MATCH($D$2,tipoEstaca[TIPO DE ESTACA],0),MATCH("fcd (kN/cm²)",tipoEstaca[#Headers],0)),"N.S.")</f>
        <v>N.S.</v>
      </c>
      <c r="AR82" s="1" t="str">
        <f ca="1">IF(AND(ECF[[#This Row],[cd,b,pil (kN/cm²)]]&lt;=ECF[[#This Row],[cd,b,lim (kN/cm²)]],ECF[[#This Row],[cd,b,est (kN/cm²)]]&lt;=ECF[[#This Row],[cd,b,lim (kN/cm²)]]),"OK","ERRO")</f>
        <v>OK</v>
      </c>
      <c r="AS82" s="4" t="str">
        <f ca="1">As_lado(ECF[[#This Row],[nE]],ECF[[#This Row],[Nsd (kN)]],ECF[[#This Row],[d (cm)]],ECF[[#This Row],[e (cm)]],ECF[[#This Row],[ap,eq (cm)]])</f>
        <v>N.S.</v>
      </c>
      <c r="AT82" s="4" t="str">
        <f ca="1">IF(ECF[[#This Row],[nE]]=1,ECF[[#This Row],[As,lado (cm²)]],IF(ECF[[#This Row],[nE]]=2,0.075*2*ECF[a (cm)],"N.A."))</f>
        <v>N.A.</v>
      </c>
      <c r="AU82" s="4" t="str">
        <f ca="1">IFERROR(IF(ECF[[#This Row],[nE]]=1,"N.A.",0.2*ECF[[#This Row],[As,lado (cm²)]]),"N.S.")</f>
        <v>N.S.</v>
      </c>
      <c r="AV82" s="4" t="str">
        <f ca="1">As_malha(ECF[[#This Row],[nE]],ECF[[#This Row],[As,lado (cm²)]],ECF[[#This Row],[Nsd (kN)]])</f>
        <v>N.S.</v>
      </c>
      <c r="AW82" s="4" t="str">
        <f ca="1">As_susp_tot(ECF[[#This Row],[nE]],ECF[[#This Row],[Nsd (kN)]])</f>
        <v>N.S.</v>
      </c>
      <c r="AX82" s="4" t="str">
        <f ca="1">Asp_face(ECF[[#This Row],[nE]],ECF[[#This Row],[As,lado (cm²)]])</f>
        <v>N.S.</v>
      </c>
      <c r="AY82" s="5" t="str">
        <f ca="1">acoBloco(ECF[[#This Row],[nE]],ECF[[#This Row],[e (cm)]],ECF[[#This Row],[a (cm)]],ECF[[#This Row],[h (cm)]],ECF[[#This Row],[As,lado (cm²)]],ECF[[#This Row],[Asp e Asw (cm²/m)]],ECF[[#This Row],[As,sup (cm²)]],ECF[[#This Row],[As,malha (cm²)]],ECF[[#This Row],[As,susp,tot (cm²)]],ECF[[#This Row],[Asp,face (cm²)]])</f>
        <v>N.S.</v>
      </c>
      <c r="AZ82" s="4" t="str">
        <f ca="1">concretoBloco(ECF[[#This Row],[nE]],ECF[[#This Row],[e (cm)]],ECF[[#This Row],[a (cm)]],ECF[[#This Row],[h (cm)]])</f>
        <v>N.S.</v>
      </c>
      <c r="BA82" s="5">
        <f ca="1">SUM(ECF[[#This Row],[Aço Est (kg)]],ECF[[#This Row],[Aço Bloco (kg)]])</f>
        <v>63.133445966540478</v>
      </c>
      <c r="BB82" s="4">
        <f>INDEX(composicoes[],MATCH(95580,composicoes[CÓDIGO],0),MATCH("CUSTO TOTAL",composicoes[#Headers],0))</f>
        <v>10.46</v>
      </c>
      <c r="BC82" s="4">
        <f ca="1">SUM(ECF[[#This Row],[Conc Est (m³)]],ECF[[#This Row],[Conc Bloco (m³)]])</f>
        <v>17.592918860102841</v>
      </c>
      <c r="BD82" s="4">
        <f>INDEX(composicoes[],MATCH(94966,composicoes[CÓDIGO],0),MATCH("CUSTO TOTAL",composicoes[#Headers],0))</f>
        <v>439.52</v>
      </c>
      <c r="BE82" s="38">
        <f ca="1">ECF[[#This Row],[Aço (kg)]]*ECF[[#This Row],[Aço (R$/kg)]]+ECF[[#This Row],[Conc (m³)]]*ECF[[#This Row],[Conc (R$/m³)]]</f>
        <v>8392.8155422024138</v>
      </c>
      <c r="BF82" s="4" t="str">
        <f ca="1">IF(COUNTIF(ECF[#This Row],"N.S.")&gt;0,"lim.","OK")</f>
        <v>lim.</v>
      </c>
      <c r="BG82" s="4" t="str">
        <f>IF(ECF[[#This Row],[Prof. (m)]]&lt;4,"lim.","OK")</f>
        <v>OK</v>
      </c>
      <c r="BH82" s="4" t="str">
        <f>IF(ECF[[#This Row],[Prof. (m)]]&gt;=8*ECF[[#This Row],[Ø (cm)]]/100,"OK","lim.")</f>
        <v>OK</v>
      </c>
      <c r="BI82" s="4" t="str">
        <f>IF(AND(SPT!$F$3&lt;&gt;"",ECF[[#This Row],[Prof. (m)]]&gt;=SPT!$F$3-2),"lim.","OK")</f>
        <v>OK</v>
      </c>
      <c r="BJ82" s="4" t="str">
        <f ca="1">IF(ECF[[#This Row],[Verif. Biela]]="OK","OK","lim.")</f>
        <v>OK</v>
      </c>
      <c r="BK82" s="4" t="str">
        <f ca="1">IF(COUNTA(ECF[[#This Row],[Nº Est.]:[Biela comp.]])=COUNTIF(ECF[[#This Row],[Nº Est.]:[Biela comp.]],"OK"),"OK","lim.")</f>
        <v>lim.</v>
      </c>
      <c r="BL82" s="4" t="str">
        <f ca="1">IF(ECF[[#This Row],[Controle]]="OK",ECF[[#This Row],[nE]]&amp;" Ø"&amp;ECF[[#This Row],[Ø (cm)]]&amp;"cm Prof. "&amp;ECF[[#This Row],[Prof. (m)]]&amp;" m","")</f>
        <v/>
      </c>
      <c r="BM82" s="4" t="str">
        <f ca="1">IF(ECF[[#This Row],[idDimensionamento]]="","",ECF[[#This Row],[idPilar]]&amp;ECF[[#This Row],[idDimensionamento]])</f>
        <v/>
      </c>
    </row>
    <row r="83" spans="2:65" x14ac:dyDescent="0.25">
      <c r="B83" s="12">
        <f>ROUNDUP((ROW(ECF[[#This Row],[idDiâmetro]])-ROW(ECF[[#Headers],[idDiâmetro]]))/(COUNT(SPT[Prof. (m)])*COUNT(PILARES[Pilar])),0)</f>
        <v>3</v>
      </c>
      <c r="C83" s="12">
        <f>IF(ECF[[#This Row],[idDiâmetro]]&lt;&gt;B82,1,IF(ECF[[#This Row],[Prof. (m)]]=0,C82+1,C82))</f>
        <v>2</v>
      </c>
      <c r="D83" s="1">
        <f>IFERROR(IF(D82=MAX(SPT[Prof. (m)]),0,D82+1),0)</f>
        <v>8</v>
      </c>
      <c r="E83" s="1">
        <f>INDEX(SPT[],MATCH(ECF[[#This Row],[Prof. (m)]],SPT[Prof. (m)],0),2)</f>
        <v>10</v>
      </c>
      <c r="F83" s="1" t="str">
        <f>INDEX(SPT[],MATCH(ECF[[#This Row],[Prof. (m)]],SPT[Prof. (m)],0),3)</f>
        <v>Silte arenoso</v>
      </c>
      <c r="G83" s="1">
        <f>INDEX(estacas[],ECF[[#This Row],[idDiâmetro]],MATCH($B$2,estacas[#Headers],0))</f>
        <v>80</v>
      </c>
      <c r="H83" s="1">
        <f>INDEX(estacas[],MATCH(ECF[[#This Row],[Ø (cm)]],estacas[Ø ECF (cm)],0),MATCH(ECF[[#Headers],[Pe ECF (kN)]],estacas[#Headers],0))</f>
        <v>2000</v>
      </c>
      <c r="I83" s="4">
        <f>INDEX(K_alpha_C[],MATCH(ECF[[#This Row],[Solo]],K_alpha_C[Solo],0),2)</f>
        <v>0.55000000000000004</v>
      </c>
      <c r="J83" s="5">
        <f>INDEX(K_alpha_C[],MATCH(ECF[[#This Row],[Solo]],K_alpha_C[Solo],0),3)</f>
        <v>2.2000000000000002</v>
      </c>
      <c r="K83" s="4">
        <f>INDEX(F1_F2[],MATCH($D$2,F1_F2[Tipo de estaca],0),2)</f>
        <v>3</v>
      </c>
      <c r="L83" s="4">
        <f>INDEX(F1_F2[],MATCH($D$2,F1_F2[Tipo de estaca],0),3)</f>
        <v>6</v>
      </c>
      <c r="M83" s="4">
        <f>PI()*(ECF[[#This Row],[Ø (cm)]]/100)^2/4</f>
        <v>0.50265482457436694</v>
      </c>
      <c r="N83" s="4">
        <f>PI()*ECF[[#This Row],[Ø (cm)]]/100</f>
        <v>2.5132741228718345</v>
      </c>
      <c r="O83" s="4">
        <f>IF(ECF[[#This Row],[Prof. (m)]]=0,0,ECF[[#This Row],[α (%)]]/100*ECF[[#This Row],[K (MPa)]]*1000*ECF[[#This Row],[NSPT]])</f>
        <v>121.00000000000001</v>
      </c>
      <c r="P83" s="4">
        <f>IF(ECF[[#This Row],[Prof. (m)]]=0,0,(ECF[[#This Row],[K (MPa)]]*1000*ECF[[#This Row],[NSPT]]/ECF[[#This Row],[F1]]*ECF[[#This Row],[Ap (m²)]]+ECF[[#This Row],[U (m)]]/ECF[[#This Row],[F2]]*SUMIFS(ECF[(α∙K∙NL∙ΔL)],ECF[Prof. (m)],"&lt;="&amp;ECF[[#This Row],[Prof. (m)]],ECF[idDiâmetro],ECF[[#This Row],[idDiâmetro]],ECF[idPilar],ECF[[#This Row],[idPilar]]))/'DADOS CAP. CARGA'!$D$2)</f>
        <v>670.18548881479865</v>
      </c>
      <c r="Q83" s="12">
        <f>INDEX(C_alpha_beta[],MATCH(ECF[[#This Row],[Solo]],C_alpha_beta[Solo],0),MATCH(ECF[[#Headers],[C (kPa)]],C_alpha_beta[#Headers],0))</f>
        <v>250</v>
      </c>
      <c r="R83" s="4">
        <f>INDEX(C_alpha_beta[],MATCH(ECF[[#This Row],[Solo]],C_alpha_beta[Solo],0),MATCH(ECF[[#Headers],[α ESF]],C_alpha_beta[#Headers],0))</f>
        <v>0.6</v>
      </c>
      <c r="S83" s="4">
        <f>INDEX(C_alpha_beta[],MATCH(ECF[[#This Row],[Solo]],C_alpha_beta[Solo],0),MATCH(ECF[[#Headers],[β ESF]],C_alpha_beta[#Headers],0))</f>
        <v>0.65</v>
      </c>
      <c r="T83" s="4">
        <f>IF(ECF[[#This Row],[Prof. (m)]]=0,0,10*(ECF[[#This Row],[NSPT]]/3+1))</f>
        <v>43.333333333333343</v>
      </c>
      <c r="U83" s="4">
        <f>(ECF[[#This Row],[α ESF]]*ECF[[#This Row],[C (kPa)]]*ECF[[#This Row],[NSPT]]*ECF[[#This Row],[Ap (m²)]])/'DADOS CAP. CARGA'!$Q$2+(ECF[[#This Row],[β ESF]]*SUMIFS(ECF[10∙(NL/3+1)],ECF[Prof. (m)],"&lt;="&amp;ECF[[#This Row],[Prof. (m)]],ECF[idDiâmetro],ECF[[#This Row],[idDiâmetro]],ECF[idPilar],ECF[[#This Row],[idPilar]])*ECF[[#This Row],[U (m)]])/'DADOS CAP. CARGA'!$S$2</f>
        <v>449.87606799405842</v>
      </c>
      <c r="V83" s="4">
        <f>IF(SPT!$M$5=1,MIN(ECF[[#This Row],[Pe ECF (kN)]],ECF[[#This Row],[R_AV (kN)]]),IF(SPT!$M$5=2,MIN(ECF[[#This Row],[Pe ECF (kN)]],ECF[[#This Row],[R_DC (kN)]]),MIN(ECF[[#This Row],[Pe ECF (kN)]],ECF[[#This Row],[R_AV (kN)]],ECF[[#This Row],[R_DC (kN)]])))</f>
        <v>449.87606799405842</v>
      </c>
      <c r="W83" s="4">
        <f>INDEX(PILARES[],ECF[[#This Row],[idPilar]],MATCH("Carga (kN)",PILARES[#Headers],0))*1.4</f>
        <v>1750</v>
      </c>
      <c r="X83" s="12">
        <f>INDEX(PILARES[],ECF[[#This Row],[idPilar]],MATCH(ECF[[#Headers],[ap (cm)]],PILARES[#Headers],0))</f>
        <v>50</v>
      </c>
      <c r="Y83" s="12">
        <f>INDEX(PILARES[],ECF[[#This Row],[idPilar]],MATCH(ECF[[#Headers],[bp (cm)]],PILARES[#Headers],0))</f>
        <v>40</v>
      </c>
      <c r="Z83" s="4">
        <f>SQRT(ECF[[#This Row],[ap (cm)]]*ECF[[#This Row],[bp (cm)]])</f>
        <v>44.721359549995796</v>
      </c>
      <c r="AA83" s="12">
        <f>ECF[[#This Row],[ap (cm)]]*ECF[[#This Row],[bp (cm)]]</f>
        <v>2000</v>
      </c>
      <c r="AB83" s="12">
        <f ca="1">IF(ECF[[#This Row],[Padm∙ε (kN)]]&gt;=ECF[[#This Row],[Padm (kN)]],ROUNDUP(1.05*ECF[[#This Row],[Nsd (kN)]]/ECF[[#This Row],[Padm (kN)]],0),ROUNDUP(1.05*ECF[[#This Row],[Nsd (kN)]]/ECF[[#This Row],[Padm (kN)]],0)+1)</f>
        <v>5</v>
      </c>
      <c r="AC83" s="4" t="str">
        <f ca="1">IFERROR(IF(ECF[[#This Row],[nE]]=1,ECF[[#This Row],[Padm (kN)]],ECF[[#This Row],[Padm (kN)]]*ECF[[#This Row],[nE]]*INDEX(grupoEstacas[],ECF[[#This Row],[nE]],MATCH("ε",grupoEstacas[#Headers],0))),"N.S.")</f>
        <v>N.S.</v>
      </c>
      <c r="AD83" s="4">
        <f ca="1">1.05*ECF[[#This Row],[Nsd (kN)]]/(ECF[[#This Row],[nE]]*PI()*ECF[[#This Row],[Ø (cm)]]^2/4)*10</f>
        <v>0.73111801982839419</v>
      </c>
      <c r="AE83" s="4">
        <f ca="1">IF(ECF[[#This Row],[σ (MPa)]]&lt;INDEX(tipoEstaca[],MATCH($D$2,tipoEstaca[TIPO DE ESTACA],0),MATCH("σmáx (MPa)",tipoEstaca[#Headers],0)),0.4%*PI()*ECF[[#This Row],[Ø (cm)]]^2/4,"N.S.")</f>
        <v>20.106192982974676</v>
      </c>
      <c r="AF83" s="1">
        <f>INDEX(tipoEstaca[],MATCH($D$2,tipoEstaca[TIPO DE ESTACA],0),MATCH(ECF[[#Headers],[Comprimento (m)]],tipoEstaca[#Headers],0))</f>
        <v>4</v>
      </c>
      <c r="AG83" s="5">
        <f ca="1">ECF[[#This Row],[As,mín (cm²)]]/100^2*ECF[[#This Row],[Comprimento (m)]]*7850</f>
        <v>63.133445966540478</v>
      </c>
      <c r="AH83" s="4">
        <f ca="1">ECF[[#This Row],[nE]]*ECF[[#This Row],[Prof. (m)]]*ECF[[#This Row],[Ap (m²)]]</f>
        <v>20.106192982974676</v>
      </c>
      <c r="AI83" s="1">
        <f ca="1">IF(ECF[[#This Row],[nE]]=1,0,MAX(3*ECF[[#This Row],[Ø (cm)]],60))</f>
        <v>240</v>
      </c>
      <c r="AJ83" s="1">
        <f ca="1">IF(ECF[[#This Row],[nE]]=1,ECF[[#This Row],[Ø (cm)]]+2*10,MAX(1.5*ECF[[#This Row],[Ø (cm)]],ECF[[#This Row],[Ø (cm)]]+15))</f>
        <v>120</v>
      </c>
      <c r="AK83" s="1" t="str">
        <f ca="1">alturaUtil(ECF[[#This Row],[nE]],ECF[[#This Row],[Ø (cm)]],ECF[[#This Row],[e (cm)]],ECF[[#This Row],[ap,eq (cm)]])</f>
        <v>N.S.</v>
      </c>
      <c r="AL83" s="1" t="str">
        <f ca="1">IFERROR(ECF[[#This Row],[d (cm)]]+arredondarParaCimaMultiplo5cm(MAX(5,SQRT(PI())/2*ECF[[#This Row],[Ø (cm)]]/5)),"N.S.")</f>
        <v>N.S.</v>
      </c>
      <c r="AM83" s="5" t="str">
        <f ca="1">alpha(ECF[[#This Row],[nE]],ECF[[#This Row],[d (cm)]],ECF[[#This Row],[e (cm)]],ECF[[#This Row],[ap,eq (cm)]])</f>
        <v>N.S.</v>
      </c>
      <c r="AN83" s="35" t="str">
        <f ca="1">IFERROR(ECF[[#This Row],[Nsd (kN)]]/(ECF[[#This Row],[Ap (cm²)]]*SIN(ECF[[#This Row],[α]])^2),"N.S.")</f>
        <v>N.S.</v>
      </c>
      <c r="AO83" s="35" t="str">
        <f ca="1">IFERROR(ECF[[#This Row],[Nsd (kN)]]/(ECF[[#This Row],[nE]]*PI()*ECF[[#This Row],[Ø (cm)]]^2/4*SIN(ECF[[#This Row],[α]])^2),"N.S.")</f>
        <v>N.S.</v>
      </c>
      <c r="AP83" s="4" t="str">
        <f ca="1">IFERROR(INDEX(grupoEstacas[],ECF[[#This Row],[nE]],MATCH("coef. Blévot",grupoEstacas[#Headers],0)),"N.S.")</f>
        <v>N.S.</v>
      </c>
      <c r="AQ83" s="35" t="str">
        <f ca="1">IFERROR(ECF[[#This Row],[coef. Blévot]]*0.9*INDEX(tipoEstaca[],MATCH($D$2,tipoEstaca[TIPO DE ESTACA],0),MATCH("fcd (kN/cm²)",tipoEstaca[#Headers],0)),"N.S.")</f>
        <v>N.S.</v>
      </c>
      <c r="AR83" s="1" t="str">
        <f ca="1">IF(AND(ECF[[#This Row],[cd,b,pil (kN/cm²)]]&lt;=ECF[[#This Row],[cd,b,lim (kN/cm²)]],ECF[[#This Row],[cd,b,est (kN/cm²)]]&lt;=ECF[[#This Row],[cd,b,lim (kN/cm²)]]),"OK","ERRO")</f>
        <v>OK</v>
      </c>
      <c r="AS83" s="4" t="str">
        <f ca="1">As_lado(ECF[[#This Row],[nE]],ECF[[#This Row],[Nsd (kN)]],ECF[[#This Row],[d (cm)]],ECF[[#This Row],[e (cm)]],ECF[[#This Row],[ap,eq (cm)]])</f>
        <v>N.S.</v>
      </c>
      <c r="AT83" s="4" t="str">
        <f ca="1">IF(ECF[[#This Row],[nE]]=1,ECF[[#This Row],[As,lado (cm²)]],IF(ECF[[#This Row],[nE]]=2,0.075*2*ECF[a (cm)],"N.A."))</f>
        <v>N.A.</v>
      </c>
      <c r="AU83" s="4" t="str">
        <f ca="1">IFERROR(IF(ECF[[#This Row],[nE]]=1,"N.A.",0.2*ECF[[#This Row],[As,lado (cm²)]]),"N.S.")</f>
        <v>N.S.</v>
      </c>
      <c r="AV83" s="4" t="str">
        <f ca="1">As_malha(ECF[[#This Row],[nE]],ECF[[#This Row],[As,lado (cm²)]],ECF[[#This Row],[Nsd (kN)]])</f>
        <v>N.S.</v>
      </c>
      <c r="AW83" s="4" t="str">
        <f ca="1">As_susp_tot(ECF[[#This Row],[nE]],ECF[[#This Row],[Nsd (kN)]])</f>
        <v>N.S.</v>
      </c>
      <c r="AX83" s="4" t="str">
        <f ca="1">Asp_face(ECF[[#This Row],[nE]],ECF[[#This Row],[As,lado (cm²)]])</f>
        <v>N.S.</v>
      </c>
      <c r="AY83" s="5" t="str">
        <f ca="1">acoBloco(ECF[[#This Row],[nE]],ECF[[#This Row],[e (cm)]],ECF[[#This Row],[a (cm)]],ECF[[#This Row],[h (cm)]],ECF[[#This Row],[As,lado (cm²)]],ECF[[#This Row],[Asp e Asw (cm²/m)]],ECF[[#This Row],[As,sup (cm²)]],ECF[[#This Row],[As,malha (cm²)]],ECF[[#This Row],[As,susp,tot (cm²)]],ECF[[#This Row],[Asp,face (cm²)]])</f>
        <v>N.S.</v>
      </c>
      <c r="AZ83" s="4" t="str">
        <f ca="1">concretoBloco(ECF[[#This Row],[nE]],ECF[[#This Row],[e (cm)]],ECF[[#This Row],[a (cm)]],ECF[[#This Row],[h (cm)]])</f>
        <v>N.S.</v>
      </c>
      <c r="BA83" s="5">
        <f ca="1">SUM(ECF[[#This Row],[Aço Est (kg)]],ECF[[#This Row],[Aço Bloco (kg)]])</f>
        <v>63.133445966540478</v>
      </c>
      <c r="BB83" s="4">
        <f>INDEX(composicoes[],MATCH(95580,composicoes[CÓDIGO],0),MATCH("CUSTO TOTAL",composicoes[#Headers],0))</f>
        <v>10.46</v>
      </c>
      <c r="BC83" s="4">
        <f ca="1">SUM(ECF[[#This Row],[Conc Est (m³)]],ECF[[#This Row],[Conc Bloco (m³)]])</f>
        <v>20.106192982974676</v>
      </c>
      <c r="BD83" s="4">
        <f>INDEX(composicoes[],MATCH(94966,composicoes[CÓDIGO],0),MATCH("CUSTO TOTAL",composicoes[#Headers],0))</f>
        <v>439.52</v>
      </c>
      <c r="BE83" s="38">
        <f ca="1">ECF[[#This Row],[Aço (kg)]]*ECF[[#This Row],[Aço (R$/kg)]]+ECF[[#This Row],[Conc (m³)]]*ECF[[#This Row],[Conc (R$/m³)]]</f>
        <v>9497.4497846870436</v>
      </c>
      <c r="BF83" s="4" t="str">
        <f ca="1">IF(COUNTIF(ECF[#This Row],"N.S.")&gt;0,"lim.","OK")</f>
        <v>lim.</v>
      </c>
      <c r="BG83" s="4" t="str">
        <f>IF(ECF[[#This Row],[Prof. (m)]]&lt;4,"lim.","OK")</f>
        <v>OK</v>
      </c>
      <c r="BH83" s="4" t="str">
        <f>IF(ECF[[#This Row],[Prof. (m)]]&gt;=8*ECF[[#This Row],[Ø (cm)]]/100,"OK","lim.")</f>
        <v>OK</v>
      </c>
      <c r="BI83" s="4" t="str">
        <f>IF(AND(SPT!$F$3&lt;&gt;"",ECF[[#This Row],[Prof. (m)]]&gt;=SPT!$F$3-2),"lim.","OK")</f>
        <v>OK</v>
      </c>
      <c r="BJ83" s="4" t="str">
        <f ca="1">IF(ECF[[#This Row],[Verif. Biela]]="OK","OK","lim.")</f>
        <v>OK</v>
      </c>
      <c r="BK83" s="4" t="str">
        <f ca="1">IF(COUNTA(ECF[[#This Row],[Nº Est.]:[Biela comp.]])=COUNTIF(ECF[[#This Row],[Nº Est.]:[Biela comp.]],"OK"),"OK","lim.")</f>
        <v>lim.</v>
      </c>
      <c r="BL83" s="4" t="str">
        <f ca="1">IF(ECF[[#This Row],[Controle]]="OK",ECF[[#This Row],[nE]]&amp;" Ø"&amp;ECF[[#This Row],[Ø (cm)]]&amp;"cm Prof. "&amp;ECF[[#This Row],[Prof. (m)]]&amp;" m","")</f>
        <v/>
      </c>
      <c r="BM83" s="4" t="str">
        <f ca="1">IF(ECF[[#This Row],[idDimensionamento]]="","",ECF[[#This Row],[idPilar]]&amp;ECF[[#This Row],[idDimensionamento]])</f>
        <v/>
      </c>
    </row>
    <row r="84" spans="2:65" x14ac:dyDescent="0.25">
      <c r="B84" s="12">
        <f>ROUNDUP((ROW(ECF[[#This Row],[idDiâmetro]])-ROW(ECF[[#Headers],[idDiâmetro]]))/(COUNT(SPT[Prof. (m)])*COUNT(PILARES[Pilar])),0)</f>
        <v>3</v>
      </c>
      <c r="C84" s="12">
        <f>IF(ECF[[#This Row],[idDiâmetro]]&lt;&gt;B83,1,IF(ECF[[#This Row],[Prof. (m)]]=0,C83+1,C83))</f>
        <v>2</v>
      </c>
      <c r="D84" s="1">
        <f>IFERROR(IF(D83=MAX(SPT[Prof. (m)]),0,D83+1),0)</f>
        <v>9</v>
      </c>
      <c r="E84" s="1">
        <f>INDEX(SPT[],MATCH(ECF[[#This Row],[Prof. (m)]],SPT[Prof. (m)],0),2)</f>
        <v>26</v>
      </c>
      <c r="F84" s="1" t="str">
        <f>INDEX(SPT[],MATCH(ECF[[#This Row],[Prof. (m)]],SPT[Prof. (m)],0),3)</f>
        <v>Areia siltosa</v>
      </c>
      <c r="G84" s="1">
        <f>INDEX(estacas[],ECF[[#This Row],[idDiâmetro]],MATCH($B$2,estacas[#Headers],0))</f>
        <v>80</v>
      </c>
      <c r="H84" s="1">
        <f>INDEX(estacas[],MATCH(ECF[[#This Row],[Ø (cm)]],estacas[Ø ECF (cm)],0),MATCH(ECF[[#Headers],[Pe ECF (kN)]],estacas[#Headers],0))</f>
        <v>2000</v>
      </c>
      <c r="I84" s="4">
        <f>INDEX(K_alpha_C[],MATCH(ECF[[#This Row],[Solo]],K_alpha_C[Solo],0),2)</f>
        <v>0.8</v>
      </c>
      <c r="J84" s="5">
        <f>INDEX(K_alpha_C[],MATCH(ECF[[#This Row],[Solo]],K_alpha_C[Solo],0),3)</f>
        <v>2</v>
      </c>
      <c r="K84" s="4">
        <f>INDEX(F1_F2[],MATCH($D$2,F1_F2[Tipo de estaca],0),2)</f>
        <v>3</v>
      </c>
      <c r="L84" s="4">
        <f>INDEX(F1_F2[],MATCH($D$2,F1_F2[Tipo de estaca],0),3)</f>
        <v>6</v>
      </c>
      <c r="M84" s="4">
        <f>PI()*(ECF[[#This Row],[Ø (cm)]]/100)^2/4</f>
        <v>0.50265482457436694</v>
      </c>
      <c r="N84" s="4">
        <f>PI()*ECF[[#This Row],[Ø (cm)]]/100</f>
        <v>2.5132741228718345</v>
      </c>
      <c r="O84" s="4">
        <f>IF(ECF[[#This Row],[Prof. (m)]]=0,0,ECF[[#This Row],[α (%)]]/100*ECF[[#This Row],[K (MPa)]]*1000*ECF[[#This Row],[NSPT]])</f>
        <v>416</v>
      </c>
      <c r="P84" s="4">
        <f>IF(ECF[[#This Row],[Prof. (m)]]=0,0,(ECF[[#This Row],[K (MPa)]]*1000*ECF[[#This Row],[NSPT]]/ECF[[#This Row],[F1]]*ECF[[#This Row],[Ap (m²)]]+ECF[[#This Row],[U (m)]]/ECF[[#This Row],[F2]]*SUMIFS(ECF[(α∙K∙NL∙ΔL)],ECF[Prof. (m)],"&lt;="&amp;ECF[[#This Row],[Prof. (m)]],ECF[idDiâmetro],ECF[[#This Row],[idDiâmetro]],ECF[idPilar],ECF[[#This Row],[idPilar]]))/'DADOS CAP. CARGA'!$D$2)</f>
        <v>2039.0821277389912</v>
      </c>
      <c r="Q84" s="12">
        <f>INDEX(C_alpha_beta[],MATCH(ECF[[#This Row],[Solo]],C_alpha_beta[Solo],0),MATCH(ECF[[#Headers],[C (kPa)]],C_alpha_beta[#Headers],0))</f>
        <v>400</v>
      </c>
      <c r="R84" s="4">
        <f>INDEX(C_alpha_beta[],MATCH(ECF[[#This Row],[Solo]],C_alpha_beta[Solo],0),MATCH(ECF[[#Headers],[α ESF]],C_alpha_beta[#Headers],0))</f>
        <v>0.5</v>
      </c>
      <c r="S84" s="4">
        <f>INDEX(C_alpha_beta[],MATCH(ECF[[#This Row],[Solo]],C_alpha_beta[Solo],0),MATCH(ECF[[#Headers],[β ESF]],C_alpha_beta[#Headers],0))</f>
        <v>0.5</v>
      </c>
      <c r="T84" s="4">
        <f>IF(ECF[[#This Row],[Prof. (m)]]=0,0,10*(ECF[[#This Row],[NSPT]]/3+1))</f>
        <v>96.666666666666657</v>
      </c>
      <c r="U84" s="4">
        <f>(ECF[[#This Row],[α ESF]]*ECF[[#This Row],[C (kPa)]]*ECF[[#This Row],[NSPT]]*ECF[[#This Row],[Ap (m²)]])/'DADOS CAP. CARGA'!$Q$2+(ECF[[#This Row],[β ESF]]*SUMIFS(ECF[10∙(NL/3+1)],ECF[Prof. (m)],"&lt;="&amp;ECF[[#This Row],[Prof. (m)]],ECF[idDiâmetro],ECF[[#This Row],[idDiâmetro]],ECF[idPilar],ECF[[#This Row],[idPilar]])*ECF[[#This Row],[U (m)]])/'DADOS CAP. CARGA'!$S$2</f>
        <v>915.2506597458264</v>
      </c>
      <c r="V84" s="4">
        <f>IF(SPT!$M$5=1,MIN(ECF[[#This Row],[Pe ECF (kN)]],ECF[[#This Row],[R_AV (kN)]]),IF(SPT!$M$5=2,MIN(ECF[[#This Row],[Pe ECF (kN)]],ECF[[#This Row],[R_DC (kN)]]),MIN(ECF[[#This Row],[Pe ECF (kN)]],ECF[[#This Row],[R_AV (kN)]],ECF[[#This Row],[R_DC (kN)]])))</f>
        <v>915.2506597458264</v>
      </c>
      <c r="W84" s="4">
        <f>INDEX(PILARES[],ECF[[#This Row],[idPilar]],MATCH("Carga (kN)",PILARES[#Headers],0))*1.4</f>
        <v>1750</v>
      </c>
      <c r="X84" s="12">
        <f>INDEX(PILARES[],ECF[[#This Row],[idPilar]],MATCH(ECF[[#Headers],[ap (cm)]],PILARES[#Headers],0))</f>
        <v>50</v>
      </c>
      <c r="Y84" s="12">
        <f>INDEX(PILARES[],ECF[[#This Row],[idPilar]],MATCH(ECF[[#Headers],[bp (cm)]],PILARES[#Headers],0))</f>
        <v>40</v>
      </c>
      <c r="Z84" s="4">
        <f>SQRT(ECF[[#This Row],[ap (cm)]]*ECF[[#This Row],[bp (cm)]])</f>
        <v>44.721359549995796</v>
      </c>
      <c r="AA84" s="12">
        <f>ECF[[#This Row],[ap (cm)]]*ECF[[#This Row],[bp (cm)]]</f>
        <v>2000</v>
      </c>
      <c r="AB84" s="12">
        <f ca="1">IF(ECF[[#This Row],[Padm∙ε (kN)]]&gt;=ECF[[#This Row],[Padm (kN)]],ROUNDUP(1.05*ECF[[#This Row],[Nsd (kN)]]/ECF[[#This Row],[Padm (kN)]],0),ROUNDUP(1.05*ECF[[#This Row],[Nsd (kN)]]/ECF[[#This Row],[Padm (kN)]],0)+1)</f>
        <v>3</v>
      </c>
      <c r="AC84" s="4">
        <f ca="1">IFERROR(IF(ECF[[#This Row],[nE]]=1,ECF[[#This Row],[Padm (kN)]],ECF[[#This Row],[Padm (kN)]]*ECF[[#This Row],[nE]]*INDEX(grupoEstacas[],ECF[[#This Row],[nE]],MATCH("ε",grupoEstacas[#Headers],0))),"N.S.")</f>
        <v>2402.5329818327941</v>
      </c>
      <c r="AD84" s="4">
        <f ca="1">1.05*ECF[[#This Row],[Nsd (kN)]]/(ECF[[#This Row],[nE]]*PI()*ECF[[#This Row],[Ø (cm)]]^2/4)*10</f>
        <v>1.2185300330473239</v>
      </c>
      <c r="AE84" s="4">
        <f ca="1">IF(ECF[[#This Row],[σ (MPa)]]&lt;INDEX(tipoEstaca[],MATCH($D$2,tipoEstaca[TIPO DE ESTACA],0),MATCH("σmáx (MPa)",tipoEstaca[#Headers],0)),0.4%*PI()*ECF[[#This Row],[Ø (cm)]]^2/4,"N.S.")</f>
        <v>20.106192982974676</v>
      </c>
      <c r="AF84" s="1">
        <f>INDEX(tipoEstaca[],MATCH($D$2,tipoEstaca[TIPO DE ESTACA],0),MATCH(ECF[[#Headers],[Comprimento (m)]],tipoEstaca[#Headers],0))</f>
        <v>4</v>
      </c>
      <c r="AG84" s="5">
        <f ca="1">ECF[[#This Row],[As,mín (cm²)]]/100^2*ECF[[#This Row],[Comprimento (m)]]*7850</f>
        <v>63.133445966540478</v>
      </c>
      <c r="AH84" s="4">
        <f ca="1">ECF[[#This Row],[nE]]*ECF[[#This Row],[Prof. (m)]]*ECF[[#This Row],[Ap (m²)]]</f>
        <v>13.571680263507908</v>
      </c>
      <c r="AI84" s="1">
        <f ca="1">IF(ECF[[#This Row],[nE]]=1,0,MAX(3*ECF[[#This Row],[Ø (cm)]],60))</f>
        <v>240</v>
      </c>
      <c r="AJ84" s="1">
        <f ca="1">IF(ECF[[#This Row],[nE]]=1,ECF[[#This Row],[Ø (cm)]]+2*10,MAX(1.5*ECF[[#This Row],[Ø (cm)]],ECF[[#This Row],[Ø (cm)]]+15))</f>
        <v>120</v>
      </c>
      <c r="AK84" s="1">
        <f ca="1">alturaUtil(ECF[[#This Row],[nE]],ECF[[#This Row],[Ø (cm)]],ECF[[#This Row],[e (cm)]],ECF[[#This Row],[ap,eq (cm)]])</f>
        <v>110</v>
      </c>
      <c r="AL84" s="1">
        <f ca="1">IFERROR(ECF[[#This Row],[d (cm)]]+arredondarParaCimaMultiplo5cm(MAX(5,SQRT(PI())/2*ECF[[#This Row],[Ø (cm)]]/5)),"N.S.")</f>
        <v>125</v>
      </c>
      <c r="AM84" s="5">
        <f ca="1">alpha(ECF[[#This Row],[nE]],ECF[[#This Row],[d (cm)]],ECF[[#This Row],[e (cm)]],ECF[[#This Row],[ap,eq (cm)]])</f>
        <v>45.903713513048501</v>
      </c>
      <c r="AN84" s="35">
        <f ca="1">IFERROR(ECF[[#This Row],[Nsd (kN)]]/(ECF[[#This Row],[Ap (cm²)]]*SIN(ECF[[#This Row],[α]])^2),"N.S.")</f>
        <v>0.9920394654193232</v>
      </c>
      <c r="AO84" s="35">
        <f ca="1">IFERROR(ECF[[#This Row],[Nsd (kN)]]/(ECF[[#This Row],[nE]]*PI()*ECF[[#This Row],[Ø (cm)]]^2/4*SIN(ECF[[#This Row],[α]])^2),"N.S.")</f>
        <v>0.13157332055310555</v>
      </c>
      <c r="AP84" s="4">
        <f ca="1">IFERROR(INDEX(grupoEstacas[],ECF[[#This Row],[nE]],MATCH("coef. Blévot",grupoEstacas[#Headers],0)),"N.S.")</f>
        <v>1.75</v>
      </c>
      <c r="AQ84" s="35">
        <f ca="1">IFERROR(ECF[[#This Row],[coef. Blévot]]*0.9*INDEX(tipoEstaca[],MATCH($D$2,tipoEstaca[TIPO DE ESTACA],0),MATCH("fcd (kN/cm²)",tipoEstaca[#Headers],0)),"N.S.")</f>
        <v>1.75</v>
      </c>
      <c r="AR84" s="1" t="str">
        <f ca="1">IF(AND(ECF[[#This Row],[cd,b,pil (kN/cm²)]]&lt;=ECF[[#This Row],[cd,b,lim (kN/cm²)]],ECF[[#This Row],[cd,b,est (kN/cm²)]]&lt;=ECF[[#This Row],[cd,b,lim (kN/cm²)]]),"OK","ERRO")</f>
        <v>OK</v>
      </c>
      <c r="AS84" s="4">
        <f ca="1">As_lado(ECF[[#This Row],[nE]],ECF[[#This Row],[Nsd (kN)]],ECF[[#This Row],[d (cm)]],ECF[[#This Row],[e (cm)]],ECF[[#This Row],[ap,eq (cm)]])</f>
        <v>8.8128025473645515</v>
      </c>
      <c r="AT84" s="4" t="str">
        <f ca="1">IF(ECF[[#This Row],[nE]]=1,ECF[[#This Row],[As,lado (cm²)]],IF(ECF[[#This Row],[nE]]=2,0.075*2*ECF[a (cm)],"N.A."))</f>
        <v>N.A.</v>
      </c>
      <c r="AU84" s="4">
        <f ca="1">IFERROR(IF(ECF[[#This Row],[nE]]=1,"N.A.",0.2*ECF[[#This Row],[As,lado (cm²)]]),"N.S.")</f>
        <v>1.7625605094729104</v>
      </c>
      <c r="AV84" s="4">
        <f ca="1">As_malha(ECF[[#This Row],[nE]],ECF[[#This Row],[As,lado (cm²)]],ECF[[#This Row],[Nsd (kN)]])</f>
        <v>2.981481481481481</v>
      </c>
      <c r="AW84" s="4">
        <f ca="1">As_susp_tot(ECF[[#This Row],[nE]],ECF[[#This Row],[Nsd (kN)]])</f>
        <v>8.9444444444444429</v>
      </c>
      <c r="AX84" s="4">
        <f ca="1">Asp_face(ECF[[#This Row],[nE]],ECF[[#This Row],[As,lado (cm²)]])</f>
        <v>3.3048009552617068</v>
      </c>
      <c r="AY84" s="5">
        <f ca="1">acoBloco(ECF[[#This Row],[nE]],ECF[[#This Row],[e (cm)]],ECF[[#This Row],[a (cm)]],ECF[[#This Row],[h (cm)]],ECF[[#This Row],[As,lado (cm²)]],ECF[[#This Row],[Asp e Asw (cm²/m)]],ECF[[#This Row],[As,sup (cm²)]],ECF[[#This Row],[As,malha (cm²)]],ECF[[#This Row],[As,susp,tot (cm²)]],ECF[[#This Row],[Asp,face (cm²)]])</f>
        <v>209.35305662814827</v>
      </c>
      <c r="AZ84" s="4">
        <f ca="1">concretoBloco(ECF[[#This Row],[nE]],ECF[[#This Row],[e (cm)]],ECF[[#This Row],[a (cm)]],ECF[[#This Row],[h (cm)]])</f>
        <v>20.153074360871933</v>
      </c>
      <c r="BA84" s="5">
        <f ca="1">SUM(ECF[[#This Row],[Aço Est (kg)]],ECF[[#This Row],[Aço Bloco (kg)]])</f>
        <v>272.48650259468877</v>
      </c>
      <c r="BB84" s="4">
        <f>INDEX(composicoes[],MATCH(95580,composicoes[CÓDIGO],0),MATCH("CUSTO TOTAL",composicoes[#Headers],0))</f>
        <v>10.46</v>
      </c>
      <c r="BC84" s="4">
        <f ca="1">SUM(ECF[[#This Row],[Conc Est (m³)]],ECF[[#This Row],[Conc Bloco (m³)]])</f>
        <v>33.724754624379841</v>
      </c>
      <c r="BD84" s="4">
        <f>INDEX(composicoes[],MATCH(94966,composicoes[CÓDIGO],0),MATCH("CUSTO TOTAL",composicoes[#Headers],0))</f>
        <v>439.52</v>
      </c>
      <c r="BE84" s="38">
        <f ca="1">ECF[[#This Row],[Aço (kg)]]*ECF[[#This Row],[Aço (R$/kg)]]+ECF[[#This Row],[Conc (m³)]]*ECF[[#This Row],[Conc (R$/m³)]]</f>
        <v>17672.91296964787</v>
      </c>
      <c r="BF84" s="4" t="str">
        <f ca="1">IF(COUNTIF(ECF[#This Row],"N.S.")&gt;0,"lim.","OK")</f>
        <v>OK</v>
      </c>
      <c r="BG84" s="4" t="str">
        <f>IF(ECF[[#This Row],[Prof. (m)]]&lt;4,"lim.","OK")</f>
        <v>OK</v>
      </c>
      <c r="BH84" s="4" t="str">
        <f>IF(ECF[[#This Row],[Prof. (m)]]&gt;=8*ECF[[#This Row],[Ø (cm)]]/100,"OK","lim.")</f>
        <v>OK</v>
      </c>
      <c r="BI84" s="4" t="str">
        <f>IF(AND(SPT!$F$3&lt;&gt;"",ECF[[#This Row],[Prof. (m)]]&gt;=SPT!$F$3-2),"lim.","OK")</f>
        <v>OK</v>
      </c>
      <c r="BJ84" s="4" t="str">
        <f ca="1">IF(ECF[[#This Row],[Verif. Biela]]="OK","OK","lim.")</f>
        <v>OK</v>
      </c>
      <c r="BK84" s="4" t="str">
        <f ca="1">IF(COUNTA(ECF[[#This Row],[Nº Est.]:[Biela comp.]])=COUNTIF(ECF[[#This Row],[Nº Est.]:[Biela comp.]],"OK"),"OK","lim.")</f>
        <v>OK</v>
      </c>
      <c r="BL84" s="4" t="str">
        <f ca="1">IF(ECF[[#This Row],[Controle]]="OK",ECF[[#This Row],[nE]]&amp;" Ø"&amp;ECF[[#This Row],[Ø (cm)]]&amp;"cm Prof. "&amp;ECF[[#This Row],[Prof. (m)]]&amp;" m","")</f>
        <v>3 Ø80cm Prof. 9 m</v>
      </c>
      <c r="BM84" s="4" t="str">
        <f ca="1">IF(ECF[[#This Row],[idDimensionamento]]="","",ECF[[#This Row],[idPilar]]&amp;ECF[[#This Row],[idDimensionamento]])</f>
        <v>23 Ø80cm Prof. 9 m</v>
      </c>
    </row>
    <row r="85" spans="2:65" x14ac:dyDescent="0.25">
      <c r="B85" s="12">
        <f>ROUNDUP((ROW(ECF[[#This Row],[idDiâmetro]])-ROW(ECF[[#Headers],[idDiâmetro]]))/(COUNT(SPT[Prof. (m)])*COUNT(PILARES[Pilar])),0)</f>
        <v>3</v>
      </c>
      <c r="C85" s="12">
        <f>IF(ECF[[#This Row],[idDiâmetro]]&lt;&gt;B84,1,IF(ECF[[#This Row],[Prof. (m)]]=0,C84+1,C84))</f>
        <v>2</v>
      </c>
      <c r="D85" s="1">
        <f>IFERROR(IF(D84=MAX(SPT[Prof. (m)]),0,D84+1),0)</f>
        <v>10</v>
      </c>
      <c r="E85" s="1">
        <f>INDEX(SPT[],MATCH(ECF[[#This Row],[Prof. (m)]],SPT[Prof. (m)],0),2)</f>
        <v>32</v>
      </c>
      <c r="F85" s="1" t="str">
        <f>INDEX(SPT[],MATCH(ECF[[#This Row],[Prof. (m)]],SPT[Prof. (m)],0),3)</f>
        <v>Areia siltosa</v>
      </c>
      <c r="G85" s="1">
        <f>INDEX(estacas[],ECF[[#This Row],[idDiâmetro]],MATCH($B$2,estacas[#Headers],0))</f>
        <v>80</v>
      </c>
      <c r="H85" s="1">
        <f>INDEX(estacas[],MATCH(ECF[[#This Row],[Ø (cm)]],estacas[Ø ECF (cm)],0),MATCH(ECF[[#Headers],[Pe ECF (kN)]],estacas[#Headers],0))</f>
        <v>2000</v>
      </c>
      <c r="I85" s="4">
        <f>INDEX(K_alpha_C[],MATCH(ECF[[#This Row],[Solo]],K_alpha_C[Solo],0),2)</f>
        <v>0.8</v>
      </c>
      <c r="J85" s="5">
        <f>INDEX(K_alpha_C[],MATCH(ECF[[#This Row],[Solo]],K_alpha_C[Solo],0),3)</f>
        <v>2</v>
      </c>
      <c r="K85" s="4">
        <f>INDEX(F1_F2[],MATCH($D$2,F1_F2[Tipo de estaca],0),2)</f>
        <v>3</v>
      </c>
      <c r="L85" s="4">
        <f>INDEX(F1_F2[],MATCH($D$2,F1_F2[Tipo de estaca],0),3)</f>
        <v>6</v>
      </c>
      <c r="M85" s="4">
        <f>PI()*(ECF[[#This Row],[Ø (cm)]]/100)^2/4</f>
        <v>0.50265482457436694</v>
      </c>
      <c r="N85" s="4">
        <f>PI()*ECF[[#This Row],[Ø (cm)]]/100</f>
        <v>2.5132741228718345</v>
      </c>
      <c r="O85" s="4">
        <f>IF(ECF[[#This Row],[Prof. (m)]]=0,0,ECF[[#This Row],[α (%)]]/100*ECF[[#This Row],[K (MPa)]]*1000*ECF[[#This Row],[NSPT]])</f>
        <v>512</v>
      </c>
      <c r="P85" s="4">
        <f>IF(ECF[[#This Row],[Prof. (m)]]=0,0,(ECF[[#This Row],[K (MPa)]]*1000*ECF[[#This Row],[NSPT]]/ECF[[#This Row],[F1]]*ECF[[#This Row],[Ap (m²)]]+ECF[[#This Row],[U (m)]]/ECF[[#This Row],[F2]]*SUMIFS(ECF[(α∙K∙NL∙ΔL)],ECF[Prof. (m)],"&lt;="&amp;ECF[[#This Row],[Prof. (m)]],ECF[idDiâmetro],ECF[[#This Row],[idDiâmetro]],ECF[idPilar],ECF[[#This Row],[idPilar]]))/'DADOS CAP. CARGA'!$D$2)</f>
        <v>2548.4390166410167</v>
      </c>
      <c r="Q85" s="12">
        <f>INDEX(C_alpha_beta[],MATCH(ECF[[#This Row],[Solo]],C_alpha_beta[Solo],0),MATCH(ECF[[#Headers],[C (kPa)]],C_alpha_beta[#Headers],0))</f>
        <v>400</v>
      </c>
      <c r="R85" s="4">
        <f>INDEX(C_alpha_beta[],MATCH(ECF[[#This Row],[Solo]],C_alpha_beta[Solo],0),MATCH(ECF[[#Headers],[α ESF]],C_alpha_beta[#Headers],0))</f>
        <v>0.5</v>
      </c>
      <c r="S85" s="4">
        <f>INDEX(C_alpha_beta[],MATCH(ECF[[#This Row],[Solo]],C_alpha_beta[Solo],0),MATCH(ECF[[#Headers],[β ESF]],C_alpha_beta[#Headers],0))</f>
        <v>0.5</v>
      </c>
      <c r="T85" s="4">
        <f>IF(ECF[[#This Row],[Prof. (m)]]=0,0,10*(ECF[[#This Row],[NSPT]]/3+1))</f>
        <v>116.66666666666666</v>
      </c>
      <c r="U85" s="4">
        <f>(ECF[[#This Row],[α ESF]]*ECF[[#This Row],[C (kPa)]]*ECF[[#This Row],[NSPT]]*ECF[[#This Row],[Ap (m²)]])/'DADOS CAP. CARGA'!$Q$2+(ECF[[#This Row],[β ESF]]*SUMIFS(ECF[10∙(NL/3+1)],ECF[Prof. (m)],"&lt;="&amp;ECF[[#This Row],[Prof. (m)]],ECF[idDiâmetro],ECF[[#This Row],[idDiâmetro]],ECF[idPilar],ECF[[#This Row],[idPilar]])*ECF[[#This Row],[U (m)]])/'DADOS CAP. CARGA'!$S$2</f>
        <v>1139.3509357018984</v>
      </c>
      <c r="V85" s="4">
        <f>IF(SPT!$M$5=1,MIN(ECF[[#This Row],[Pe ECF (kN)]],ECF[[#This Row],[R_AV (kN)]]),IF(SPT!$M$5=2,MIN(ECF[[#This Row],[Pe ECF (kN)]],ECF[[#This Row],[R_DC (kN)]]),MIN(ECF[[#This Row],[Pe ECF (kN)]],ECF[[#This Row],[R_AV (kN)]],ECF[[#This Row],[R_DC (kN)]])))</f>
        <v>1139.3509357018984</v>
      </c>
      <c r="W85" s="4">
        <f>INDEX(PILARES[],ECF[[#This Row],[idPilar]],MATCH("Carga (kN)",PILARES[#Headers],0))*1.4</f>
        <v>1750</v>
      </c>
      <c r="X85" s="12">
        <f>INDEX(PILARES[],ECF[[#This Row],[idPilar]],MATCH(ECF[[#Headers],[ap (cm)]],PILARES[#Headers],0))</f>
        <v>50</v>
      </c>
      <c r="Y85" s="12">
        <f>INDEX(PILARES[],ECF[[#This Row],[idPilar]],MATCH(ECF[[#Headers],[bp (cm)]],PILARES[#Headers],0))</f>
        <v>40</v>
      </c>
      <c r="Z85" s="4">
        <f>SQRT(ECF[[#This Row],[ap (cm)]]*ECF[[#This Row],[bp (cm)]])</f>
        <v>44.721359549995796</v>
      </c>
      <c r="AA85" s="12">
        <f>ECF[[#This Row],[ap (cm)]]*ECF[[#This Row],[bp (cm)]]</f>
        <v>2000</v>
      </c>
      <c r="AB85" s="12">
        <f ca="1">IF(ECF[[#This Row],[Padm∙ε (kN)]]&gt;=ECF[[#This Row],[Padm (kN)]],ROUNDUP(1.05*ECF[[#This Row],[Nsd (kN)]]/ECF[[#This Row],[Padm (kN)]],0),ROUNDUP(1.05*ECF[[#This Row],[Nsd (kN)]]/ECF[[#This Row],[Padm (kN)]],0)+1)</f>
        <v>2</v>
      </c>
      <c r="AC85" s="4">
        <f ca="1">IFERROR(IF(ECF[[#This Row],[nE]]=1,ECF[[#This Row],[Padm (kN)]],ECF[[#This Row],[Padm (kN)]]*ECF[[#This Row],[nE]]*INDEX(grupoEstacas[],ECF[[#This Row],[nE]],MATCH("ε",grupoEstacas[#Headers],0))),"N.S.")</f>
        <v>2136.2830044410593</v>
      </c>
      <c r="AD85" s="4">
        <f ca="1">1.05*ECF[[#This Row],[Nsd (kN)]]/(ECF[[#This Row],[nE]]*PI()*ECF[[#This Row],[Ø (cm)]]^2/4)*10</f>
        <v>1.8277950495709856</v>
      </c>
      <c r="AE85" s="4">
        <f ca="1">IF(ECF[[#This Row],[σ (MPa)]]&lt;INDEX(tipoEstaca[],MATCH($D$2,tipoEstaca[TIPO DE ESTACA],0),MATCH("σmáx (MPa)",tipoEstaca[#Headers],0)),0.4%*PI()*ECF[[#This Row],[Ø (cm)]]^2/4,"N.S.")</f>
        <v>20.106192982974676</v>
      </c>
      <c r="AF85" s="1">
        <f>INDEX(tipoEstaca[],MATCH($D$2,tipoEstaca[TIPO DE ESTACA],0),MATCH(ECF[[#Headers],[Comprimento (m)]],tipoEstaca[#Headers],0))</f>
        <v>4</v>
      </c>
      <c r="AG85" s="5">
        <f ca="1">ECF[[#This Row],[As,mín (cm²)]]/100^2*ECF[[#This Row],[Comprimento (m)]]*7850</f>
        <v>63.133445966540478</v>
      </c>
      <c r="AH85" s="4">
        <f ca="1">ECF[[#This Row],[nE]]*ECF[[#This Row],[Prof. (m)]]*ECF[[#This Row],[Ap (m²)]]</f>
        <v>10.053096491487338</v>
      </c>
      <c r="AI85" s="1">
        <f ca="1">IF(ECF[[#This Row],[nE]]=1,0,MAX(3*ECF[[#This Row],[Ø (cm)]],60))</f>
        <v>240</v>
      </c>
      <c r="AJ85" s="1">
        <f ca="1">IF(ECF[[#This Row],[nE]]=1,ECF[[#This Row],[Ø (cm)]]+2*10,MAX(1.5*ECF[[#This Row],[Ø (cm)]],ECF[[#This Row],[Ø (cm)]]+15))</f>
        <v>120</v>
      </c>
      <c r="AK85" s="1">
        <f ca="1">alturaUtil(ECF[[#This Row],[nE]],ECF[[#This Row],[Ø (cm)]],ECF[[#This Row],[e (cm)]],ECF[[#This Row],[ap,eq (cm)]])</f>
        <v>110</v>
      </c>
      <c r="AL85" s="1">
        <f ca="1">IFERROR(ECF[[#This Row],[d (cm)]]+arredondarParaCimaMultiplo5cm(MAX(5,SQRT(PI())/2*ECF[[#This Row],[Ø (cm)]]/5)),"N.S.")</f>
        <v>125</v>
      </c>
      <c r="AM85" s="5">
        <f ca="1">alpha(ECF[[#This Row],[nE]],ECF[[#This Row],[d (cm)]],ECF[[#This Row],[e (cm)]],ECF[[#This Row],[ap,eq (cm)]])</f>
        <v>45.309057412860952</v>
      </c>
      <c r="AN85" s="35">
        <f ca="1">IFERROR(ECF[[#This Row],[Nsd (kN)]]/(ECF[[#This Row],[Ap (cm²)]]*SIN(ECF[[#This Row],[α]])^2),"N.S.")</f>
        <v>0.92925031910840006</v>
      </c>
      <c r="AO85" s="35">
        <f ca="1">IFERROR(ECF[[#This Row],[Nsd (kN)]]/(ECF[[#This Row],[nE]]*PI()*ECF[[#This Row],[Ø (cm)]]^2/4*SIN(ECF[[#This Row],[α]])^2),"N.S.")</f>
        <v>0.18486847706977871</v>
      </c>
      <c r="AP85" s="4">
        <f ca="1">IFERROR(INDEX(grupoEstacas[],ECF[[#This Row],[nE]],MATCH("coef. Blévot",grupoEstacas[#Headers],0)),"N.S.")</f>
        <v>1.4</v>
      </c>
      <c r="AQ85" s="35">
        <f ca="1">IFERROR(ECF[[#This Row],[coef. Blévot]]*0.9*INDEX(tipoEstaca[],MATCH($D$2,tipoEstaca[TIPO DE ESTACA],0),MATCH("fcd (kN/cm²)",tipoEstaca[#Headers],0)),"N.S.")</f>
        <v>1.4000000000000001</v>
      </c>
      <c r="AR85" s="1" t="str">
        <f ca="1">IF(AND(ECF[[#This Row],[cd,b,pil (kN/cm²)]]&lt;=ECF[[#This Row],[cd,b,lim (kN/cm²)]],ECF[[#This Row],[cd,b,est (kN/cm²)]]&lt;=ECF[[#This Row],[cd,b,lim (kN/cm²)]]),"OK","ERRO")</f>
        <v>OK</v>
      </c>
      <c r="AS85" s="4">
        <f ca="1">As_lado(ECF[[#This Row],[nE]],ECF[[#This Row],[Nsd (kN)]],ECF[[#This Row],[d (cm)]],ECF[[#This Row],[e (cm)]],ECF[[#This Row],[ap,eq (cm)]])</f>
        <v>22.895409170260873</v>
      </c>
      <c r="AT85" s="4">
        <f ca="1">IF(ECF[[#This Row],[nE]]=1,ECF[[#This Row],[As,lado (cm²)]],IF(ECF[[#This Row],[nE]]=2,0.075*2*ECF[a (cm)],"N.A."))</f>
        <v>18</v>
      </c>
      <c r="AU85" s="4">
        <f ca="1">IFERROR(IF(ECF[[#This Row],[nE]]=1,"N.A.",0.2*ECF[[#This Row],[As,lado (cm²)]]),"N.S.")</f>
        <v>4.5790818340521744</v>
      </c>
      <c r="AV85" s="4" t="str">
        <f ca="1">As_malha(ECF[[#This Row],[nE]],ECF[[#This Row],[As,lado (cm²)]],ECF[[#This Row],[Nsd (kN)]])</f>
        <v>N.A.</v>
      </c>
      <c r="AW85" s="4" t="str">
        <f ca="1">As_susp_tot(ECF[[#This Row],[nE]],ECF[[#This Row],[Nsd (kN)]])</f>
        <v>N.A.</v>
      </c>
      <c r="AX85" s="4" t="str">
        <f ca="1">Asp_face(ECF[[#This Row],[nE]],ECF[[#This Row],[As,lado (cm²)]])</f>
        <v>N.A.</v>
      </c>
      <c r="AY85" s="5">
        <f ca="1">acoBloco(ECF[[#This Row],[nE]],ECF[[#This Row],[e (cm)]],ECF[[#This Row],[a (cm)]],ECF[[#This Row],[h (cm)]],ECF[[#This Row],[As,lado (cm²)]],ECF[[#This Row],[Asp e Asw (cm²/m)]],ECF[[#This Row],[As,sup (cm²)]],ECF[[#This Row],[As,malha (cm²)]],ECF[[#This Row],[As,susp,tot (cm²)]],ECF[[#This Row],[Asp,face (cm²)]])</f>
        <v>852.97908210425146</v>
      </c>
      <c r="AZ85" s="4">
        <f ca="1">concretoBloco(ECF[[#This Row],[nE]],ECF[[#This Row],[e (cm)]],ECF[[#This Row],[a (cm)]],ECF[[#This Row],[h (cm)]])</f>
        <v>14.4</v>
      </c>
      <c r="BA85" s="5">
        <f ca="1">SUM(ECF[[#This Row],[Aço Est (kg)]],ECF[[#This Row],[Aço Bloco (kg)]])</f>
        <v>916.112528070792</v>
      </c>
      <c r="BB85" s="4">
        <f>INDEX(composicoes[],MATCH(95580,composicoes[CÓDIGO],0),MATCH("CUSTO TOTAL",composicoes[#Headers],0))</f>
        <v>10.46</v>
      </c>
      <c r="BC85" s="4">
        <f ca="1">SUM(ECF[[#This Row],[Conc Est (m³)]],ECF[[#This Row],[Conc Bloco (m³)]])</f>
        <v>24.453096491487337</v>
      </c>
      <c r="BD85" s="4">
        <f>INDEX(composicoes[],MATCH(94966,composicoes[CÓDIGO],0),MATCH("CUSTO TOTAL",composicoes[#Headers],0))</f>
        <v>439.52</v>
      </c>
      <c r="BE85" s="38">
        <f ca="1">ECF[[#This Row],[Aço (kg)]]*ECF[[#This Row],[Aço (R$/kg)]]+ECF[[#This Row],[Conc (m³)]]*ECF[[#This Row],[Conc (R$/m³)]]</f>
        <v>20330.162013558998</v>
      </c>
      <c r="BF85" s="4" t="str">
        <f ca="1">IF(COUNTIF(ECF[#This Row],"N.S.")&gt;0,"lim.","OK")</f>
        <v>OK</v>
      </c>
      <c r="BG85" s="4" t="str">
        <f>IF(ECF[[#This Row],[Prof. (m)]]&lt;4,"lim.","OK")</f>
        <v>OK</v>
      </c>
      <c r="BH85" s="4" t="str">
        <f>IF(ECF[[#This Row],[Prof. (m)]]&gt;=8*ECF[[#This Row],[Ø (cm)]]/100,"OK","lim.")</f>
        <v>OK</v>
      </c>
      <c r="BI85" s="4" t="str">
        <f>IF(AND(SPT!$F$3&lt;&gt;"",ECF[[#This Row],[Prof. (m)]]&gt;=SPT!$F$3-2),"lim.","OK")</f>
        <v>OK</v>
      </c>
      <c r="BJ85" s="4" t="str">
        <f ca="1">IF(ECF[[#This Row],[Verif. Biela]]="OK","OK","lim.")</f>
        <v>OK</v>
      </c>
      <c r="BK85" s="4" t="str">
        <f ca="1">IF(COUNTA(ECF[[#This Row],[Nº Est.]:[Biela comp.]])=COUNTIF(ECF[[#This Row],[Nº Est.]:[Biela comp.]],"OK"),"OK","lim.")</f>
        <v>OK</v>
      </c>
      <c r="BL85" s="4" t="str">
        <f ca="1">IF(ECF[[#This Row],[Controle]]="OK",ECF[[#This Row],[nE]]&amp;" Ø"&amp;ECF[[#This Row],[Ø (cm)]]&amp;"cm Prof. "&amp;ECF[[#This Row],[Prof. (m)]]&amp;" m","")</f>
        <v>2 Ø80cm Prof. 10 m</v>
      </c>
      <c r="BM85" s="4" t="str">
        <f ca="1">IF(ECF[[#This Row],[idDimensionamento]]="","",ECF[[#This Row],[idPilar]]&amp;ECF[[#This Row],[idDimensionamento]])</f>
        <v>22 Ø80cm Prof. 10 m</v>
      </c>
    </row>
    <row r="86" spans="2:65" x14ac:dyDescent="0.25">
      <c r="B86" s="12">
        <f>ROUNDUP((ROW(ECF[[#This Row],[idDiâmetro]])-ROW(ECF[[#Headers],[idDiâmetro]]))/(COUNT(SPT[Prof. (m)])*COUNT(PILARES[Pilar])),0)</f>
        <v>3</v>
      </c>
      <c r="C86" s="12">
        <f>IF(ECF[[#This Row],[idDiâmetro]]&lt;&gt;B85,1,IF(ECF[[#This Row],[Prof. (m)]]=0,C85+1,C85))</f>
        <v>2</v>
      </c>
      <c r="D86" s="1">
        <f>IFERROR(IF(D85=MAX(SPT[Prof. (m)]),0,D85+1),0)</f>
        <v>11</v>
      </c>
      <c r="E86" s="1">
        <f>INDEX(SPT[],MATCH(ECF[[#This Row],[Prof. (m)]],SPT[Prof. (m)],0),2)</f>
        <v>41</v>
      </c>
      <c r="F86" s="1" t="str">
        <f>INDEX(SPT[],MATCH(ECF[[#This Row],[Prof. (m)]],SPT[Prof. (m)],0),3)</f>
        <v>Areia siltosa</v>
      </c>
      <c r="G86" s="1">
        <f>INDEX(estacas[],ECF[[#This Row],[idDiâmetro]],MATCH($B$2,estacas[#Headers],0))</f>
        <v>80</v>
      </c>
      <c r="H86" s="1">
        <f>INDEX(estacas[],MATCH(ECF[[#This Row],[Ø (cm)]],estacas[Ø ECF (cm)],0),MATCH(ECF[[#Headers],[Pe ECF (kN)]],estacas[#Headers],0))</f>
        <v>2000</v>
      </c>
      <c r="I86" s="4">
        <f>INDEX(K_alpha_C[],MATCH(ECF[[#This Row],[Solo]],K_alpha_C[Solo],0),2)</f>
        <v>0.8</v>
      </c>
      <c r="J86" s="5">
        <f>INDEX(K_alpha_C[],MATCH(ECF[[#This Row],[Solo]],K_alpha_C[Solo],0),3)</f>
        <v>2</v>
      </c>
      <c r="K86" s="4">
        <f>INDEX(F1_F2[],MATCH($D$2,F1_F2[Tipo de estaca],0),2)</f>
        <v>3</v>
      </c>
      <c r="L86" s="4">
        <f>INDEX(F1_F2[],MATCH($D$2,F1_F2[Tipo de estaca],0),3)</f>
        <v>6</v>
      </c>
      <c r="M86" s="4">
        <f>PI()*(ECF[[#This Row],[Ø (cm)]]/100)^2/4</f>
        <v>0.50265482457436694</v>
      </c>
      <c r="N86" s="4">
        <f>PI()*ECF[[#This Row],[Ø (cm)]]/100</f>
        <v>2.5132741228718345</v>
      </c>
      <c r="O86" s="4">
        <f>IF(ECF[[#This Row],[Prof. (m)]]=0,0,ECF[[#This Row],[α (%)]]/100*ECF[[#This Row],[K (MPa)]]*1000*ECF[[#This Row],[NSPT]])</f>
        <v>656</v>
      </c>
      <c r="P86" s="4">
        <f>IF(ECF[[#This Row],[Prof. (m)]]=0,0,(ECF[[#This Row],[K (MPa)]]*1000*ECF[[#This Row],[NSPT]]/ECF[[#This Row],[F1]]*ECF[[#This Row],[Ap (m²)]]+ECF[[#This Row],[U (m)]]/ECF[[#This Row],[F2]]*SUMIFS(ECF[(α∙K∙NL∙ΔL)],ECF[Prof. (m)],"&lt;="&amp;ECF[[#This Row],[Prof. (m)]],ECF[idDiâmetro],ECF[[#This Row],[idDiâmetro]],ECF[idPilar],ECF[[#This Row],[idPilar]]))/'DADOS CAP. CARGA'!$D$2)</f>
        <v>3289.0171248472507</v>
      </c>
      <c r="Q86" s="12">
        <f>INDEX(C_alpha_beta[],MATCH(ECF[[#This Row],[Solo]],C_alpha_beta[Solo],0),MATCH(ECF[[#Headers],[C (kPa)]],C_alpha_beta[#Headers],0))</f>
        <v>400</v>
      </c>
      <c r="R86" s="4">
        <f>INDEX(C_alpha_beta[],MATCH(ECF[[#This Row],[Solo]],C_alpha_beta[Solo],0),MATCH(ECF[[#Headers],[α ESF]],C_alpha_beta[#Headers],0))</f>
        <v>0.5</v>
      </c>
      <c r="S86" s="4">
        <f>INDEX(C_alpha_beta[],MATCH(ECF[[#This Row],[Solo]],C_alpha_beta[Solo],0),MATCH(ECF[[#Headers],[β ESF]],C_alpha_beta[#Headers],0))</f>
        <v>0.5</v>
      </c>
      <c r="T86" s="4">
        <f>IF(ECF[[#This Row],[Prof. (m)]]=0,0,10*(ECF[[#This Row],[NSPT]]/3+1))</f>
        <v>146.66666666666666</v>
      </c>
      <c r="U86" s="4">
        <f>(ECF[[#This Row],[α ESF]]*ECF[[#This Row],[C (kPa)]]*ECF[[#This Row],[NSPT]]*ECF[[#This Row],[Ap (m²)]])/'DADOS CAP. CARGA'!$Q$2+(ECF[[#This Row],[β ESF]]*SUMIFS(ECF[10∙(NL/3+1)],ECF[Prof. (m)],"&lt;="&amp;ECF[[#This Row],[Prof. (m)]],ECF[idDiâmetro],ECF[[#This Row],[idDiâmetro]],ECF[idPilar],ECF[[#This Row],[idPilar]])*ECF[[#This Row],[U (m)]])/'DADOS CAP. CARGA'!$S$2</f>
        <v>1457.6989912656641</v>
      </c>
      <c r="V86" s="4">
        <f>IF(SPT!$M$5=1,MIN(ECF[[#This Row],[Pe ECF (kN)]],ECF[[#This Row],[R_AV (kN)]]),IF(SPT!$M$5=2,MIN(ECF[[#This Row],[Pe ECF (kN)]],ECF[[#This Row],[R_DC (kN)]]),MIN(ECF[[#This Row],[Pe ECF (kN)]],ECF[[#This Row],[R_AV (kN)]],ECF[[#This Row],[R_DC (kN)]])))</f>
        <v>1457.6989912656641</v>
      </c>
      <c r="W86" s="4">
        <f>INDEX(PILARES[],ECF[[#This Row],[idPilar]],MATCH("Carga (kN)",PILARES[#Headers],0))*1.4</f>
        <v>1750</v>
      </c>
      <c r="X86" s="12">
        <f>INDEX(PILARES[],ECF[[#This Row],[idPilar]],MATCH(ECF[[#Headers],[ap (cm)]],PILARES[#Headers],0))</f>
        <v>50</v>
      </c>
      <c r="Y86" s="12">
        <f>INDEX(PILARES[],ECF[[#This Row],[idPilar]],MATCH(ECF[[#Headers],[bp (cm)]],PILARES[#Headers],0))</f>
        <v>40</v>
      </c>
      <c r="Z86" s="4">
        <f>SQRT(ECF[[#This Row],[ap (cm)]]*ECF[[#This Row],[bp (cm)]])</f>
        <v>44.721359549995796</v>
      </c>
      <c r="AA86" s="12">
        <f>ECF[[#This Row],[ap (cm)]]*ECF[[#This Row],[bp (cm)]]</f>
        <v>2000</v>
      </c>
      <c r="AB86" s="12">
        <f ca="1">IF(ECF[[#This Row],[Padm∙ε (kN)]]&gt;=ECF[[#This Row],[Padm (kN)]],ROUNDUP(1.05*ECF[[#This Row],[Nsd (kN)]]/ECF[[#This Row],[Padm (kN)]],0),ROUNDUP(1.05*ECF[[#This Row],[Nsd (kN)]]/ECF[[#This Row],[Padm (kN)]],0)+1)</f>
        <v>2</v>
      </c>
      <c r="AC86" s="4">
        <f ca="1">IFERROR(IF(ECF[[#This Row],[nE]]=1,ECF[[#This Row],[Padm (kN)]],ECF[[#This Row],[Padm (kN)]]*ECF[[#This Row],[nE]]*INDEX(grupoEstacas[],ECF[[#This Row],[nE]],MATCH("ε",grupoEstacas[#Headers],0))),"N.S.")</f>
        <v>2733.1856086231201</v>
      </c>
      <c r="AD86" s="4">
        <f ca="1">1.05*ECF[[#This Row],[Nsd (kN)]]/(ECF[[#This Row],[nE]]*PI()*ECF[[#This Row],[Ø (cm)]]^2/4)*10</f>
        <v>1.8277950495709856</v>
      </c>
      <c r="AE86" s="4">
        <f ca="1">IF(ECF[[#This Row],[σ (MPa)]]&lt;INDEX(tipoEstaca[],MATCH($D$2,tipoEstaca[TIPO DE ESTACA],0),MATCH("σmáx (MPa)",tipoEstaca[#Headers],0)),0.4%*PI()*ECF[[#This Row],[Ø (cm)]]^2/4,"N.S.")</f>
        <v>20.106192982974676</v>
      </c>
      <c r="AF86" s="1">
        <f>INDEX(tipoEstaca[],MATCH($D$2,tipoEstaca[TIPO DE ESTACA],0),MATCH(ECF[[#Headers],[Comprimento (m)]],tipoEstaca[#Headers],0))</f>
        <v>4</v>
      </c>
      <c r="AG86" s="5">
        <f ca="1">ECF[[#This Row],[As,mín (cm²)]]/100^2*ECF[[#This Row],[Comprimento (m)]]*7850</f>
        <v>63.133445966540478</v>
      </c>
      <c r="AH86" s="4">
        <f ca="1">ECF[[#This Row],[nE]]*ECF[[#This Row],[Prof. (m)]]*ECF[[#This Row],[Ap (m²)]]</f>
        <v>11.058406140636073</v>
      </c>
      <c r="AI86" s="1">
        <f ca="1">IF(ECF[[#This Row],[nE]]=1,0,MAX(3*ECF[[#This Row],[Ø (cm)]],60))</f>
        <v>240</v>
      </c>
      <c r="AJ86" s="1">
        <f ca="1">IF(ECF[[#This Row],[nE]]=1,ECF[[#This Row],[Ø (cm)]]+2*10,MAX(1.5*ECF[[#This Row],[Ø (cm)]],ECF[[#This Row],[Ø (cm)]]+15))</f>
        <v>120</v>
      </c>
      <c r="AK86" s="1">
        <f ca="1">alturaUtil(ECF[[#This Row],[nE]],ECF[[#This Row],[Ø (cm)]],ECF[[#This Row],[e (cm)]],ECF[[#This Row],[ap,eq (cm)]])</f>
        <v>110</v>
      </c>
      <c r="AL86" s="1">
        <f ca="1">IFERROR(ECF[[#This Row],[d (cm)]]+arredondarParaCimaMultiplo5cm(MAX(5,SQRT(PI())/2*ECF[[#This Row],[Ø (cm)]]/5)),"N.S.")</f>
        <v>125</v>
      </c>
      <c r="AM86" s="5">
        <f ca="1">alpha(ECF[[#This Row],[nE]],ECF[[#This Row],[d (cm)]],ECF[[#This Row],[e (cm)]],ECF[[#This Row],[ap,eq (cm)]])</f>
        <v>45.309057412860952</v>
      </c>
      <c r="AN86" s="35">
        <f ca="1">IFERROR(ECF[[#This Row],[Nsd (kN)]]/(ECF[[#This Row],[Ap (cm²)]]*SIN(ECF[[#This Row],[α]])^2),"N.S.")</f>
        <v>0.92925031910840006</v>
      </c>
      <c r="AO86" s="35">
        <f ca="1">IFERROR(ECF[[#This Row],[Nsd (kN)]]/(ECF[[#This Row],[nE]]*PI()*ECF[[#This Row],[Ø (cm)]]^2/4*SIN(ECF[[#This Row],[α]])^2),"N.S.")</f>
        <v>0.18486847706977871</v>
      </c>
      <c r="AP86" s="4">
        <f ca="1">IFERROR(INDEX(grupoEstacas[],ECF[[#This Row],[nE]],MATCH("coef. Blévot",grupoEstacas[#Headers],0)),"N.S.")</f>
        <v>1.4</v>
      </c>
      <c r="AQ86" s="35">
        <f ca="1">IFERROR(ECF[[#This Row],[coef. Blévot]]*0.9*INDEX(tipoEstaca[],MATCH($D$2,tipoEstaca[TIPO DE ESTACA],0),MATCH("fcd (kN/cm²)",tipoEstaca[#Headers],0)),"N.S.")</f>
        <v>1.4000000000000001</v>
      </c>
      <c r="AR86" s="1" t="str">
        <f ca="1">IF(AND(ECF[[#This Row],[cd,b,pil (kN/cm²)]]&lt;=ECF[[#This Row],[cd,b,lim (kN/cm²)]],ECF[[#This Row],[cd,b,est (kN/cm²)]]&lt;=ECF[[#This Row],[cd,b,lim (kN/cm²)]]),"OK","ERRO")</f>
        <v>OK</v>
      </c>
      <c r="AS86" s="4">
        <f ca="1">As_lado(ECF[[#This Row],[nE]],ECF[[#This Row],[Nsd (kN)]],ECF[[#This Row],[d (cm)]],ECF[[#This Row],[e (cm)]],ECF[[#This Row],[ap,eq (cm)]])</f>
        <v>22.895409170260873</v>
      </c>
      <c r="AT86" s="4">
        <f ca="1">IF(ECF[[#This Row],[nE]]=1,ECF[[#This Row],[As,lado (cm²)]],IF(ECF[[#This Row],[nE]]=2,0.075*2*ECF[a (cm)],"N.A."))</f>
        <v>18</v>
      </c>
      <c r="AU86" s="4">
        <f ca="1">IFERROR(IF(ECF[[#This Row],[nE]]=1,"N.A.",0.2*ECF[[#This Row],[As,lado (cm²)]]),"N.S.")</f>
        <v>4.5790818340521744</v>
      </c>
      <c r="AV86" s="4" t="str">
        <f ca="1">As_malha(ECF[[#This Row],[nE]],ECF[[#This Row],[As,lado (cm²)]],ECF[[#This Row],[Nsd (kN)]])</f>
        <v>N.A.</v>
      </c>
      <c r="AW86" s="4" t="str">
        <f ca="1">As_susp_tot(ECF[[#This Row],[nE]],ECF[[#This Row],[Nsd (kN)]])</f>
        <v>N.A.</v>
      </c>
      <c r="AX86" s="4" t="str">
        <f ca="1">Asp_face(ECF[[#This Row],[nE]],ECF[[#This Row],[As,lado (cm²)]])</f>
        <v>N.A.</v>
      </c>
      <c r="AY86" s="5">
        <f ca="1">acoBloco(ECF[[#This Row],[nE]],ECF[[#This Row],[e (cm)]],ECF[[#This Row],[a (cm)]],ECF[[#This Row],[h (cm)]],ECF[[#This Row],[As,lado (cm²)]],ECF[[#This Row],[Asp e Asw (cm²/m)]],ECF[[#This Row],[As,sup (cm²)]],ECF[[#This Row],[As,malha (cm²)]],ECF[[#This Row],[As,susp,tot (cm²)]],ECF[[#This Row],[Asp,face (cm²)]])</f>
        <v>852.97908210425146</v>
      </c>
      <c r="AZ86" s="4">
        <f ca="1">concretoBloco(ECF[[#This Row],[nE]],ECF[[#This Row],[e (cm)]],ECF[[#This Row],[a (cm)]],ECF[[#This Row],[h (cm)]])</f>
        <v>14.4</v>
      </c>
      <c r="BA86" s="5">
        <f ca="1">SUM(ECF[[#This Row],[Aço Est (kg)]],ECF[[#This Row],[Aço Bloco (kg)]])</f>
        <v>916.112528070792</v>
      </c>
      <c r="BB86" s="4">
        <f>INDEX(composicoes[],MATCH(95580,composicoes[CÓDIGO],0),MATCH("CUSTO TOTAL",composicoes[#Headers],0))</f>
        <v>10.46</v>
      </c>
      <c r="BC86" s="4">
        <f ca="1">SUM(ECF[[#This Row],[Conc Est (m³)]],ECF[[#This Row],[Conc Bloco (m³)]])</f>
        <v>25.458406140636072</v>
      </c>
      <c r="BD86" s="4">
        <f>INDEX(composicoes[],MATCH(94966,composicoes[CÓDIGO],0),MATCH("CUSTO TOTAL",composicoes[#Headers],0))</f>
        <v>439.52</v>
      </c>
      <c r="BE86" s="38">
        <f ca="1">ECF[[#This Row],[Aço (kg)]]*ECF[[#This Row],[Aço (R$/kg)]]+ECF[[#This Row],[Conc (m³)]]*ECF[[#This Row],[Conc (R$/m³)]]</f>
        <v>20772.015710552849</v>
      </c>
      <c r="BF86" s="4" t="str">
        <f ca="1">IF(COUNTIF(ECF[#This Row],"N.S.")&gt;0,"lim.","OK")</f>
        <v>OK</v>
      </c>
      <c r="BG86" s="4" t="str">
        <f>IF(ECF[[#This Row],[Prof. (m)]]&lt;4,"lim.","OK")</f>
        <v>OK</v>
      </c>
      <c r="BH86" s="4" t="str">
        <f>IF(ECF[[#This Row],[Prof. (m)]]&gt;=8*ECF[[#This Row],[Ø (cm)]]/100,"OK","lim.")</f>
        <v>OK</v>
      </c>
      <c r="BI86" s="4" t="str">
        <f>IF(AND(SPT!$F$3&lt;&gt;"",ECF[[#This Row],[Prof. (m)]]&gt;=SPT!$F$3-2),"lim.","OK")</f>
        <v>OK</v>
      </c>
      <c r="BJ86" s="4" t="str">
        <f ca="1">IF(ECF[[#This Row],[Verif. Biela]]="OK","OK","lim.")</f>
        <v>OK</v>
      </c>
      <c r="BK86" s="4" t="str">
        <f ca="1">IF(COUNTA(ECF[[#This Row],[Nº Est.]:[Biela comp.]])=COUNTIF(ECF[[#This Row],[Nº Est.]:[Biela comp.]],"OK"),"OK","lim.")</f>
        <v>OK</v>
      </c>
      <c r="BL86" s="4" t="str">
        <f ca="1">IF(ECF[[#This Row],[Controle]]="OK",ECF[[#This Row],[nE]]&amp;" Ø"&amp;ECF[[#This Row],[Ø (cm)]]&amp;"cm Prof. "&amp;ECF[[#This Row],[Prof. (m)]]&amp;" m","")</f>
        <v>2 Ø80cm Prof. 11 m</v>
      </c>
      <c r="BM86" s="4" t="str">
        <f ca="1">IF(ECF[[#This Row],[idDimensionamento]]="","",ECF[[#This Row],[idPilar]]&amp;ECF[[#This Row],[idDimensionamento]])</f>
        <v>22 Ø80cm Prof. 11 m</v>
      </c>
    </row>
    <row r="87" spans="2:65" x14ac:dyDescent="0.25">
      <c r="B87" s="12">
        <f>ROUNDUP((ROW(ECF[[#This Row],[idDiâmetro]])-ROW(ECF[[#Headers],[idDiâmetro]]))/(COUNT(SPT[Prof. (m)])*COUNT(PILARES[Pilar])),0)</f>
        <v>3</v>
      </c>
      <c r="C87" s="12">
        <f>IF(ECF[[#This Row],[idDiâmetro]]&lt;&gt;B86,1,IF(ECF[[#This Row],[Prof. (m)]]=0,C86+1,C86))</f>
        <v>2</v>
      </c>
      <c r="D87" s="1">
        <f>IFERROR(IF(D86=MAX(SPT[Prof. (m)]),0,D86+1),0)</f>
        <v>12</v>
      </c>
      <c r="E87" s="1">
        <f>INDEX(SPT[],MATCH(ECF[[#This Row],[Prof. (m)]],SPT[Prof. (m)],0),2)</f>
        <v>52</v>
      </c>
      <c r="F87" s="1" t="str">
        <f>INDEX(SPT[],MATCH(ECF[[#This Row],[Prof. (m)]],SPT[Prof. (m)],0),3)</f>
        <v>Areia siltosa</v>
      </c>
      <c r="G87" s="1">
        <f>INDEX(estacas[],ECF[[#This Row],[idDiâmetro]],MATCH($B$2,estacas[#Headers],0))</f>
        <v>80</v>
      </c>
      <c r="H87" s="1">
        <f>INDEX(estacas[],MATCH(ECF[[#This Row],[Ø (cm)]],estacas[Ø ECF (cm)],0),MATCH(ECF[[#Headers],[Pe ECF (kN)]],estacas[#Headers],0))</f>
        <v>2000</v>
      </c>
      <c r="I87" s="4">
        <f>INDEX(K_alpha_C[],MATCH(ECF[[#This Row],[Solo]],K_alpha_C[Solo],0),2)</f>
        <v>0.8</v>
      </c>
      <c r="J87" s="5">
        <f>INDEX(K_alpha_C[],MATCH(ECF[[#This Row],[Solo]],K_alpha_C[Solo],0),3)</f>
        <v>2</v>
      </c>
      <c r="K87" s="4">
        <f>INDEX(F1_F2[],MATCH($D$2,F1_F2[Tipo de estaca],0),2)</f>
        <v>3</v>
      </c>
      <c r="L87" s="4">
        <f>INDEX(F1_F2[],MATCH($D$2,F1_F2[Tipo de estaca],0),3)</f>
        <v>6</v>
      </c>
      <c r="M87" s="4">
        <f>PI()*(ECF[[#This Row],[Ø (cm)]]/100)^2/4</f>
        <v>0.50265482457436694</v>
      </c>
      <c r="N87" s="4">
        <f>PI()*ECF[[#This Row],[Ø (cm)]]/100</f>
        <v>2.5132741228718345</v>
      </c>
      <c r="O87" s="4">
        <f>IF(ECF[[#This Row],[Prof. (m)]]=0,0,ECF[[#This Row],[α (%)]]/100*ECF[[#This Row],[K (MPa)]]*1000*ECF[[#This Row],[NSPT]])</f>
        <v>832</v>
      </c>
      <c r="P87" s="4">
        <f>IF(ECF[[#This Row],[Prof. (m)]]=0,0,(ECF[[#This Row],[K (MPa)]]*1000*ECF[[#This Row],[NSPT]]/ECF[[#This Row],[F1]]*ECF[[#This Row],[Ap (m²)]]+ECF[[#This Row],[U (m)]]/ECF[[#This Row],[F2]]*SUMIFS(ECF[(α∙K∙NL∙ΔL)],ECF[Prof. (m)],"&lt;="&amp;ECF[[#This Row],[Prof. (m)]],ECF[idDiâmetro],ECF[[#This Row],[idDiâmetro]],ECF[idPilar],ECF[[#This Row],[idPilar]]))/'DADOS CAP. CARGA'!$D$2)</f>
        <v>4200.497873408769</v>
      </c>
      <c r="Q87" s="12">
        <f>INDEX(C_alpha_beta[],MATCH(ECF[[#This Row],[Solo]],C_alpha_beta[Solo],0),MATCH(ECF[[#Headers],[C (kPa)]],C_alpha_beta[#Headers],0))</f>
        <v>400</v>
      </c>
      <c r="R87" s="4">
        <f>INDEX(C_alpha_beta[],MATCH(ECF[[#This Row],[Solo]],C_alpha_beta[Solo],0),MATCH(ECF[[#Headers],[α ESF]],C_alpha_beta[#Headers],0))</f>
        <v>0.5</v>
      </c>
      <c r="S87" s="4">
        <f>INDEX(C_alpha_beta[],MATCH(ECF[[#This Row],[Solo]],C_alpha_beta[Solo],0),MATCH(ECF[[#Headers],[β ESF]],C_alpha_beta[#Headers],0))</f>
        <v>0.5</v>
      </c>
      <c r="T87" s="4">
        <f>IF(ECF[[#This Row],[Prof. (m)]]=0,0,10*(ECF[[#This Row],[NSPT]]/3+1))</f>
        <v>183.33333333333331</v>
      </c>
      <c r="U87" s="4">
        <f>(ECF[[#This Row],[α ESF]]*ECF[[#This Row],[C (kPa)]]*ECF[[#This Row],[NSPT]]*ECF[[#This Row],[Ap (m²)]])/'DADOS CAP. CARGA'!$Q$2+(ECF[[#This Row],[β ESF]]*SUMIFS(ECF[10∙(NL/3+1)],ECF[Prof. (m)],"&lt;="&amp;ECF[[#This Row],[Prof. (m)]],ECF[idDiâmetro],ECF[[#This Row],[idDiâmetro]],ECF[idPilar],ECF[[#This Row],[idPilar]])*ECF[[#This Row],[U (m)]])/'DADOS CAP. CARGA'!$S$2</f>
        <v>1849.3508754131917</v>
      </c>
      <c r="V87" s="4">
        <f>IF(SPT!$M$5=1,MIN(ECF[[#This Row],[Pe ECF (kN)]],ECF[[#This Row],[R_AV (kN)]]),IF(SPT!$M$5=2,MIN(ECF[[#This Row],[Pe ECF (kN)]],ECF[[#This Row],[R_DC (kN)]]),MIN(ECF[[#This Row],[Pe ECF (kN)]],ECF[[#This Row],[R_AV (kN)]],ECF[[#This Row],[R_DC (kN)]])))</f>
        <v>1849.3508754131917</v>
      </c>
      <c r="W87" s="4">
        <f>INDEX(PILARES[],ECF[[#This Row],[idPilar]],MATCH("Carga (kN)",PILARES[#Headers],0))*1.4</f>
        <v>1750</v>
      </c>
      <c r="X87" s="12">
        <f>INDEX(PILARES[],ECF[[#This Row],[idPilar]],MATCH(ECF[[#Headers],[ap (cm)]],PILARES[#Headers],0))</f>
        <v>50</v>
      </c>
      <c r="Y87" s="12">
        <f>INDEX(PILARES[],ECF[[#This Row],[idPilar]],MATCH(ECF[[#Headers],[bp (cm)]],PILARES[#Headers],0))</f>
        <v>40</v>
      </c>
      <c r="Z87" s="4">
        <f>SQRT(ECF[[#This Row],[ap (cm)]]*ECF[[#This Row],[bp (cm)]])</f>
        <v>44.721359549995796</v>
      </c>
      <c r="AA87" s="12">
        <f>ECF[[#This Row],[ap (cm)]]*ECF[[#This Row],[bp (cm)]]</f>
        <v>2000</v>
      </c>
      <c r="AB87" s="12">
        <f ca="1">IF(ECF[[#This Row],[Padm∙ε (kN)]]&gt;=ECF[[#This Row],[Padm (kN)]],ROUNDUP(1.05*ECF[[#This Row],[Nsd (kN)]]/ECF[[#This Row],[Padm (kN)]],0),ROUNDUP(1.05*ECF[[#This Row],[Nsd (kN)]]/ECF[[#This Row],[Padm (kN)]],0)+1)</f>
        <v>1</v>
      </c>
      <c r="AC87" s="4">
        <f ca="1">IFERROR(IF(ECF[[#This Row],[nE]]=1,ECF[[#This Row],[Padm (kN)]],ECF[[#This Row],[Padm (kN)]]*ECF[[#This Row],[nE]]*INDEX(grupoEstacas[],ECF[[#This Row],[nE]],MATCH("ε",grupoEstacas[#Headers],0))),"N.S.")</f>
        <v>1849.3508754131917</v>
      </c>
      <c r="AD87" s="4">
        <f ca="1">1.05*ECF[[#This Row],[Nsd (kN)]]/(ECF[[#This Row],[nE]]*PI()*ECF[[#This Row],[Ø (cm)]]^2/4)*10</f>
        <v>3.6555900991419712</v>
      </c>
      <c r="AE87" s="4">
        <f ca="1">IF(ECF[[#This Row],[σ (MPa)]]&lt;INDEX(tipoEstaca[],MATCH($D$2,tipoEstaca[TIPO DE ESTACA],0),MATCH("σmáx (MPa)",tipoEstaca[#Headers],0)),0.4%*PI()*ECF[[#This Row],[Ø (cm)]]^2/4,"N.S.")</f>
        <v>20.106192982974676</v>
      </c>
      <c r="AF87" s="1">
        <f>INDEX(tipoEstaca[],MATCH($D$2,tipoEstaca[TIPO DE ESTACA],0),MATCH(ECF[[#Headers],[Comprimento (m)]],tipoEstaca[#Headers],0))</f>
        <v>4</v>
      </c>
      <c r="AG87" s="5">
        <f ca="1">ECF[[#This Row],[As,mín (cm²)]]/100^2*ECF[[#This Row],[Comprimento (m)]]*7850</f>
        <v>63.133445966540478</v>
      </c>
      <c r="AH87" s="4">
        <f ca="1">ECF[[#This Row],[nE]]*ECF[[#This Row],[Prof. (m)]]*ECF[[#This Row],[Ap (m²)]]</f>
        <v>6.0318578948924033</v>
      </c>
      <c r="AI87" s="1">
        <f ca="1">IF(ECF[[#This Row],[nE]]=1,0,MAX(3*ECF[[#This Row],[Ø (cm)]],60))</f>
        <v>0</v>
      </c>
      <c r="AJ87" s="1">
        <f ca="1">IF(ECF[[#This Row],[nE]]=1,ECF[[#This Row],[Ø (cm)]]+2*10,MAX(1.5*ECF[[#This Row],[Ø (cm)]],ECF[[#This Row],[Ø (cm)]]+15))</f>
        <v>100</v>
      </c>
      <c r="AK87" s="1">
        <f ca="1">alturaUtil(ECF[[#This Row],[nE]],ECF[[#This Row],[Ø (cm)]],ECF[[#This Row],[e (cm)]],ECF[[#This Row],[ap,eq (cm)]])</f>
        <v>100</v>
      </c>
      <c r="AL87" s="1">
        <f ca="1">IFERROR(ECF[[#This Row],[d (cm)]]+arredondarParaCimaMultiplo5cm(MAX(5,SQRT(PI())/2*ECF[[#This Row],[Ø (cm)]]/5)),"N.S.")</f>
        <v>115</v>
      </c>
      <c r="AM87" s="5">
        <f ca="1">alpha(ECF[[#This Row],[nE]],ECF[[#This Row],[d (cm)]],ECF[[#This Row],[e (cm)]],ECF[[#This Row],[ap,eq (cm)]])</f>
        <v>90</v>
      </c>
      <c r="AN87" s="35">
        <f ca="1">IFERROR(ECF[[#This Row],[Nsd (kN)]]/(ECF[[#This Row],[Ap (cm²)]]*SIN(ECF[[#This Row],[α]])^2),"N.S.")</f>
        <v>1.0948037013095111</v>
      </c>
      <c r="AO87" s="35">
        <f ca="1">IFERROR(ECF[[#This Row],[Nsd (kN)]]/(ECF[[#This Row],[nE]]*PI()*ECF[[#This Row],[Ø (cm)]]^2/4*SIN(ECF[[#This Row],[α]])^2),"N.S.")</f>
        <v>0.43560855194677911</v>
      </c>
      <c r="AP87" s="4">
        <f ca="1">IFERROR(INDEX(grupoEstacas[],ECF[[#This Row],[nE]],MATCH("coef. Blévot",grupoEstacas[#Headers],0)),"N.S.")</f>
        <v>1</v>
      </c>
      <c r="AQ87" s="35">
        <f ca="1">IFERROR(ECF[[#This Row],[coef. Blévot]]*0.9*INDEX(tipoEstaca[],MATCH($D$2,tipoEstaca[TIPO DE ESTACA],0),MATCH("fcd (kN/cm²)",tipoEstaca[#Headers],0)),"N.S.")</f>
        <v>1</v>
      </c>
      <c r="AR87" s="1" t="str">
        <f ca="1">IF(AND(ECF[[#This Row],[cd,b,pil (kN/cm²)]]&lt;=ECF[[#This Row],[cd,b,lim (kN/cm²)]],ECF[[#This Row],[cd,b,est (kN/cm²)]]&lt;=ECF[[#This Row],[cd,b,lim (kN/cm²)]]),"OK","ERRO")</f>
        <v>ERRO</v>
      </c>
      <c r="AS87" s="4">
        <f ca="1">As_lado(ECF[[#This Row],[nE]],ECF[[#This Row],[Nsd (kN)]],ECF[[#This Row],[d (cm)]],ECF[[#This Row],[e (cm)]],ECF[[#This Row],[ap,eq (cm)]])</f>
        <v>10.0625</v>
      </c>
      <c r="AT87" s="4">
        <f ca="1">IF(ECF[[#This Row],[nE]]=1,ECF[[#This Row],[As,lado (cm²)]],IF(ECF[[#This Row],[nE]]=2,0.075*2*ECF[a (cm)],"N.A."))</f>
        <v>10.0625</v>
      </c>
      <c r="AU87" s="4" t="str">
        <f ca="1">IFERROR(IF(ECF[[#This Row],[nE]]=1,"N.A.",0.2*ECF[[#This Row],[As,lado (cm²)]]),"N.S.")</f>
        <v>N.A.</v>
      </c>
      <c r="AV87" s="4" t="str">
        <f ca="1">As_malha(ECF[[#This Row],[nE]],ECF[[#This Row],[As,lado (cm²)]],ECF[[#This Row],[Nsd (kN)]])</f>
        <v>N.A.</v>
      </c>
      <c r="AW87" s="4" t="str">
        <f ca="1">As_susp_tot(ECF[[#This Row],[nE]],ECF[[#This Row],[Nsd (kN)]])</f>
        <v>N.A.</v>
      </c>
      <c r="AX87" s="4" t="str">
        <f ca="1">Asp_face(ECF[[#This Row],[nE]],ECF[[#This Row],[As,lado (cm²)]])</f>
        <v>N.A.</v>
      </c>
      <c r="AY87" s="5">
        <f ca="1">acoBloco(ECF[[#This Row],[nE]],ECF[[#This Row],[e (cm)]],ECF[[#This Row],[a (cm)]],ECF[[#This Row],[h (cm)]],ECF[[#This Row],[As,lado (cm²)]],ECF[[#This Row],[Asp e Asw (cm²/m)]],ECF[[#This Row],[As,sup (cm²)]],ECF[[#This Row],[As,malha (cm²)]],ECF[[#This Row],[As,susp,tot (cm²)]],ECF[[#This Row],[Asp,face (cm²)]])</f>
        <v>99.528187500000001</v>
      </c>
      <c r="AZ87" s="4">
        <f ca="1">concretoBloco(ECF[[#This Row],[nE]],ECF[[#This Row],[e (cm)]],ECF[[#This Row],[a (cm)]],ECF[[#This Row],[h (cm)]])</f>
        <v>1.1499999999999999</v>
      </c>
      <c r="BA87" s="5">
        <f ca="1">SUM(ECF[[#This Row],[Aço Est (kg)]],ECF[[#This Row],[Aço Bloco (kg)]])</f>
        <v>162.66163346654048</v>
      </c>
      <c r="BB87" s="4">
        <f>INDEX(composicoes[],MATCH(95580,composicoes[CÓDIGO],0),MATCH("CUSTO TOTAL",composicoes[#Headers],0))</f>
        <v>10.46</v>
      </c>
      <c r="BC87" s="4">
        <f ca="1">SUM(ECF[[#This Row],[Conc Est (m³)]],ECF[[#This Row],[Conc Bloco (m³)]])</f>
        <v>7.1818578948924028</v>
      </c>
      <c r="BD87" s="4">
        <f>INDEX(composicoes[],MATCH(94966,composicoes[CÓDIGO],0),MATCH("CUSTO TOTAL",composicoes[#Headers],0))</f>
        <v>439.52</v>
      </c>
      <c r="BE87" s="38">
        <f ca="1">ECF[[#This Row],[Aço (kg)]]*ECF[[#This Row],[Aço (R$/kg)]]+ECF[[#This Row],[Conc (m³)]]*ECF[[#This Row],[Conc (R$/m³)]]</f>
        <v>4858.0108680231224</v>
      </c>
      <c r="BF87" s="4" t="str">
        <f ca="1">IF(COUNTIF(ECF[#This Row],"N.S.")&gt;0,"lim.","OK")</f>
        <v>OK</v>
      </c>
      <c r="BG87" s="4" t="str">
        <f>IF(ECF[[#This Row],[Prof. (m)]]&lt;4,"lim.","OK")</f>
        <v>OK</v>
      </c>
      <c r="BH87" s="4" t="str">
        <f>IF(ECF[[#This Row],[Prof. (m)]]&gt;=8*ECF[[#This Row],[Ø (cm)]]/100,"OK","lim.")</f>
        <v>OK</v>
      </c>
      <c r="BI87" s="4" t="str">
        <f>IF(AND(SPT!$F$3&lt;&gt;"",ECF[[#This Row],[Prof. (m)]]&gt;=SPT!$F$3-2),"lim.","OK")</f>
        <v>OK</v>
      </c>
      <c r="BJ87" s="4" t="str">
        <f ca="1">IF(ECF[[#This Row],[Verif. Biela]]="OK","OK","lim.")</f>
        <v>lim.</v>
      </c>
      <c r="BK87" s="4" t="str">
        <f ca="1">IF(COUNTA(ECF[[#This Row],[Nº Est.]:[Biela comp.]])=COUNTIF(ECF[[#This Row],[Nº Est.]:[Biela comp.]],"OK"),"OK","lim.")</f>
        <v>lim.</v>
      </c>
      <c r="BL87" s="4" t="str">
        <f ca="1">IF(ECF[[#This Row],[Controle]]="OK",ECF[[#This Row],[nE]]&amp;" Ø"&amp;ECF[[#This Row],[Ø (cm)]]&amp;"cm Prof. "&amp;ECF[[#This Row],[Prof. (m)]]&amp;" m","")</f>
        <v/>
      </c>
      <c r="BM87" s="4" t="str">
        <f ca="1">IF(ECF[[#This Row],[idDimensionamento]]="","",ECF[[#This Row],[idPilar]]&amp;ECF[[#This Row],[idDimensionamento]])</f>
        <v/>
      </c>
    </row>
    <row r="88" spans="2:65" x14ac:dyDescent="0.25">
      <c r="B88" s="12">
        <f>ROUNDUP((ROW(ECF[[#This Row],[idDiâmetro]])-ROW(ECF[[#Headers],[idDiâmetro]]))/(COUNT(SPT[Prof. (m)])*COUNT(PILARES[Pilar])),0)</f>
        <v>3</v>
      </c>
      <c r="C88" s="12">
        <f>IF(ECF[[#This Row],[idDiâmetro]]&lt;&gt;B87,1,IF(ECF[[#This Row],[Prof. (m)]]=0,C87+1,C87))</f>
        <v>2</v>
      </c>
      <c r="D88" s="1">
        <f>IFERROR(IF(D87=MAX(SPT[Prof. (m)]),0,D87+1),0)</f>
        <v>13</v>
      </c>
      <c r="E88" s="1">
        <f>INDEX(SPT[],MATCH(ECF[[#This Row],[Prof. (m)]],SPT[Prof. (m)],0),2)</f>
        <v>68</v>
      </c>
      <c r="F88" s="1" t="str">
        <f>INDEX(SPT[],MATCH(ECF[[#This Row],[Prof. (m)]],SPT[Prof. (m)],0),3)</f>
        <v>Areia siltosa</v>
      </c>
      <c r="G88" s="1">
        <f>INDEX(estacas[],ECF[[#This Row],[idDiâmetro]],MATCH($B$2,estacas[#Headers],0))</f>
        <v>80</v>
      </c>
      <c r="H88" s="1">
        <f>INDEX(estacas[],MATCH(ECF[[#This Row],[Ø (cm)]],estacas[Ø ECF (cm)],0),MATCH(ECF[[#Headers],[Pe ECF (kN)]],estacas[#Headers],0))</f>
        <v>2000</v>
      </c>
      <c r="I88" s="4">
        <f>INDEX(K_alpha_C[],MATCH(ECF[[#This Row],[Solo]],K_alpha_C[Solo],0),2)</f>
        <v>0.8</v>
      </c>
      <c r="J88" s="5">
        <f>INDEX(K_alpha_C[],MATCH(ECF[[#This Row],[Solo]],K_alpha_C[Solo],0),3)</f>
        <v>2</v>
      </c>
      <c r="K88" s="4">
        <f>INDEX(F1_F2[],MATCH($D$2,F1_F2[Tipo de estaca],0),2)</f>
        <v>3</v>
      </c>
      <c r="L88" s="4">
        <f>INDEX(F1_F2[],MATCH($D$2,F1_F2[Tipo de estaca],0),3)</f>
        <v>6</v>
      </c>
      <c r="M88" s="4">
        <f>PI()*(ECF[[#This Row],[Ø (cm)]]/100)^2/4</f>
        <v>0.50265482457436694</v>
      </c>
      <c r="N88" s="4">
        <f>PI()*ECF[[#This Row],[Ø (cm)]]/100</f>
        <v>2.5132741228718345</v>
      </c>
      <c r="O88" s="4">
        <f>IF(ECF[[#This Row],[Prof. (m)]]=0,0,ECF[[#This Row],[α (%)]]/100*ECF[[#This Row],[K (MPa)]]*1000*ECF[[#This Row],[NSPT]])</f>
        <v>1088</v>
      </c>
      <c r="P88" s="4">
        <f>IF(ECF[[#This Row],[Prof. (m)]]=0,0,(ECF[[#This Row],[K (MPa)]]*1000*ECF[[#This Row],[NSPT]]/ECF[[#This Row],[F1]]*ECF[[#This Row],[Ap (m²)]]+ECF[[#This Row],[U (m)]]/ECF[[#This Row],[F2]]*SUMIFS(ECF[(α∙K∙NL∙ΔL)],ECF[Prof. (m)],"&lt;="&amp;ECF[[#This Row],[Prof. (m)]],ECF[idDiâmetro],ECF[[#This Row],[idDiâmetro]],ECF[idPilar],ECF[[#This Row],[idPilar]]))/'DADOS CAP. CARGA'!$D$2)</f>
        <v>5500.6983529744648</v>
      </c>
      <c r="Q88" s="12">
        <f>INDEX(C_alpha_beta[],MATCH(ECF[[#This Row],[Solo]],C_alpha_beta[Solo],0),MATCH(ECF[[#Headers],[C (kPa)]],C_alpha_beta[#Headers],0))</f>
        <v>400</v>
      </c>
      <c r="R88" s="4">
        <f>INDEX(C_alpha_beta[],MATCH(ECF[[#This Row],[Solo]],C_alpha_beta[Solo],0),MATCH(ECF[[#Headers],[α ESF]],C_alpha_beta[#Headers],0))</f>
        <v>0.5</v>
      </c>
      <c r="S88" s="4">
        <f>INDEX(C_alpha_beta[],MATCH(ECF[[#This Row],[Solo]],C_alpha_beta[Solo],0),MATCH(ECF[[#Headers],[β ESF]],C_alpha_beta[#Headers],0))</f>
        <v>0.5</v>
      </c>
      <c r="T88" s="4">
        <f>IF(ECF[[#This Row],[Prof. (m)]]=0,0,10*(ECF[[#This Row],[NSPT]]/3+1))</f>
        <v>236.66666666666669</v>
      </c>
      <c r="U88" s="4">
        <f>(ECF[[#This Row],[α ESF]]*ECF[[#This Row],[C (kPa)]]*ECF[[#This Row],[NSPT]]*ECF[[#This Row],[Ap (m²)]])/'DADOS CAP. CARGA'!$Q$2+(ECF[[#This Row],[β ESF]]*SUMIFS(ECF[10∙(NL/3+1)],ECF[Prof. (m)],"&lt;="&amp;ECF[[#This Row],[Prof. (m)]],ECF[idDiâmetro],ECF[[#This Row],[idDiâmetro]],ECF[idPilar],ECF[[#This Row],[idPilar]])*ECF[[#This Row],[U (m)]])/'DADOS CAP. CARGA'!$S$2</f>
        <v>2400.176787342602</v>
      </c>
      <c r="V88" s="4">
        <f>IF(SPT!$M$5=1,MIN(ECF[[#This Row],[Pe ECF (kN)]],ECF[[#This Row],[R_AV (kN)]]),IF(SPT!$M$5=2,MIN(ECF[[#This Row],[Pe ECF (kN)]],ECF[[#This Row],[R_DC (kN)]]),MIN(ECF[[#This Row],[Pe ECF (kN)]],ECF[[#This Row],[R_AV (kN)]],ECF[[#This Row],[R_DC (kN)]])))</f>
        <v>2000</v>
      </c>
      <c r="W88" s="4">
        <f>INDEX(PILARES[],ECF[[#This Row],[idPilar]],MATCH("Carga (kN)",PILARES[#Headers],0))*1.4</f>
        <v>1750</v>
      </c>
      <c r="X88" s="12">
        <f>INDEX(PILARES[],ECF[[#This Row],[idPilar]],MATCH(ECF[[#Headers],[ap (cm)]],PILARES[#Headers],0))</f>
        <v>50</v>
      </c>
      <c r="Y88" s="12">
        <f>INDEX(PILARES[],ECF[[#This Row],[idPilar]],MATCH(ECF[[#Headers],[bp (cm)]],PILARES[#Headers],0))</f>
        <v>40</v>
      </c>
      <c r="Z88" s="4">
        <f>SQRT(ECF[[#This Row],[ap (cm)]]*ECF[[#This Row],[bp (cm)]])</f>
        <v>44.721359549995796</v>
      </c>
      <c r="AA88" s="12">
        <f>ECF[[#This Row],[ap (cm)]]*ECF[[#This Row],[bp (cm)]]</f>
        <v>2000</v>
      </c>
      <c r="AB88" s="12">
        <f ca="1">IF(ECF[[#This Row],[Padm∙ε (kN)]]&gt;=ECF[[#This Row],[Padm (kN)]],ROUNDUP(1.05*ECF[[#This Row],[Nsd (kN)]]/ECF[[#This Row],[Padm (kN)]],0),ROUNDUP(1.05*ECF[[#This Row],[Nsd (kN)]]/ECF[[#This Row],[Padm (kN)]],0)+1)</f>
        <v>1</v>
      </c>
      <c r="AC88" s="4">
        <f ca="1">IFERROR(IF(ECF[[#This Row],[nE]]=1,ECF[[#This Row],[Padm (kN)]],ECF[[#This Row],[Padm (kN)]]*ECF[[#This Row],[nE]]*INDEX(grupoEstacas[],ECF[[#This Row],[nE]],MATCH("ε",grupoEstacas[#Headers],0))),"N.S.")</f>
        <v>2000</v>
      </c>
      <c r="AD88" s="4">
        <f ca="1">1.05*ECF[[#This Row],[Nsd (kN)]]/(ECF[[#This Row],[nE]]*PI()*ECF[[#This Row],[Ø (cm)]]^2/4)*10</f>
        <v>3.6555900991419712</v>
      </c>
      <c r="AE88" s="4">
        <f ca="1">IF(ECF[[#This Row],[σ (MPa)]]&lt;INDEX(tipoEstaca[],MATCH($D$2,tipoEstaca[TIPO DE ESTACA],0),MATCH("σmáx (MPa)",tipoEstaca[#Headers],0)),0.4%*PI()*ECF[[#This Row],[Ø (cm)]]^2/4,"N.S.")</f>
        <v>20.106192982974676</v>
      </c>
      <c r="AF88" s="1">
        <f>INDEX(tipoEstaca[],MATCH($D$2,tipoEstaca[TIPO DE ESTACA],0),MATCH(ECF[[#Headers],[Comprimento (m)]],tipoEstaca[#Headers],0))</f>
        <v>4</v>
      </c>
      <c r="AG88" s="5">
        <f ca="1">ECF[[#This Row],[As,mín (cm²)]]/100^2*ECF[[#This Row],[Comprimento (m)]]*7850</f>
        <v>63.133445966540478</v>
      </c>
      <c r="AH88" s="4">
        <f ca="1">ECF[[#This Row],[nE]]*ECF[[#This Row],[Prof. (m)]]*ECF[[#This Row],[Ap (m²)]]</f>
        <v>6.53451271946677</v>
      </c>
      <c r="AI88" s="1">
        <f ca="1">IF(ECF[[#This Row],[nE]]=1,0,MAX(3*ECF[[#This Row],[Ø (cm)]],60))</f>
        <v>0</v>
      </c>
      <c r="AJ88" s="1">
        <f ca="1">IF(ECF[[#This Row],[nE]]=1,ECF[[#This Row],[Ø (cm)]]+2*10,MAX(1.5*ECF[[#This Row],[Ø (cm)]],ECF[[#This Row],[Ø (cm)]]+15))</f>
        <v>100</v>
      </c>
      <c r="AK88" s="1">
        <f ca="1">alturaUtil(ECF[[#This Row],[nE]],ECF[[#This Row],[Ø (cm)]],ECF[[#This Row],[e (cm)]],ECF[[#This Row],[ap,eq (cm)]])</f>
        <v>100</v>
      </c>
      <c r="AL88" s="1">
        <f ca="1">IFERROR(ECF[[#This Row],[d (cm)]]+arredondarParaCimaMultiplo5cm(MAX(5,SQRT(PI())/2*ECF[[#This Row],[Ø (cm)]]/5)),"N.S.")</f>
        <v>115</v>
      </c>
      <c r="AM88" s="5">
        <f ca="1">alpha(ECF[[#This Row],[nE]],ECF[[#This Row],[d (cm)]],ECF[[#This Row],[e (cm)]],ECF[[#This Row],[ap,eq (cm)]])</f>
        <v>90</v>
      </c>
      <c r="AN88" s="35">
        <f ca="1">IFERROR(ECF[[#This Row],[Nsd (kN)]]/(ECF[[#This Row],[Ap (cm²)]]*SIN(ECF[[#This Row],[α]])^2),"N.S.")</f>
        <v>1.0948037013095111</v>
      </c>
      <c r="AO88" s="35">
        <f ca="1">IFERROR(ECF[[#This Row],[Nsd (kN)]]/(ECF[[#This Row],[nE]]*PI()*ECF[[#This Row],[Ø (cm)]]^2/4*SIN(ECF[[#This Row],[α]])^2),"N.S.")</f>
        <v>0.43560855194677911</v>
      </c>
      <c r="AP88" s="4">
        <f ca="1">IFERROR(INDEX(grupoEstacas[],ECF[[#This Row],[nE]],MATCH("coef. Blévot",grupoEstacas[#Headers],0)),"N.S.")</f>
        <v>1</v>
      </c>
      <c r="AQ88" s="35">
        <f ca="1">IFERROR(ECF[[#This Row],[coef. Blévot]]*0.9*INDEX(tipoEstaca[],MATCH($D$2,tipoEstaca[TIPO DE ESTACA],0),MATCH("fcd (kN/cm²)",tipoEstaca[#Headers],0)),"N.S.")</f>
        <v>1</v>
      </c>
      <c r="AR88" s="1" t="str">
        <f ca="1">IF(AND(ECF[[#This Row],[cd,b,pil (kN/cm²)]]&lt;=ECF[[#This Row],[cd,b,lim (kN/cm²)]],ECF[[#This Row],[cd,b,est (kN/cm²)]]&lt;=ECF[[#This Row],[cd,b,lim (kN/cm²)]]),"OK","ERRO")</f>
        <v>ERRO</v>
      </c>
      <c r="AS88" s="4">
        <f ca="1">As_lado(ECF[[#This Row],[nE]],ECF[[#This Row],[Nsd (kN)]],ECF[[#This Row],[d (cm)]],ECF[[#This Row],[e (cm)]],ECF[[#This Row],[ap,eq (cm)]])</f>
        <v>10.0625</v>
      </c>
      <c r="AT88" s="4">
        <f ca="1">IF(ECF[[#This Row],[nE]]=1,ECF[[#This Row],[As,lado (cm²)]],IF(ECF[[#This Row],[nE]]=2,0.075*2*ECF[a (cm)],"N.A."))</f>
        <v>10.0625</v>
      </c>
      <c r="AU88" s="4" t="str">
        <f ca="1">IFERROR(IF(ECF[[#This Row],[nE]]=1,"N.A.",0.2*ECF[[#This Row],[As,lado (cm²)]]),"N.S.")</f>
        <v>N.A.</v>
      </c>
      <c r="AV88" s="4" t="str">
        <f ca="1">As_malha(ECF[[#This Row],[nE]],ECF[[#This Row],[As,lado (cm²)]],ECF[[#This Row],[Nsd (kN)]])</f>
        <v>N.A.</v>
      </c>
      <c r="AW88" s="4" t="str">
        <f ca="1">As_susp_tot(ECF[[#This Row],[nE]],ECF[[#This Row],[Nsd (kN)]])</f>
        <v>N.A.</v>
      </c>
      <c r="AX88" s="4" t="str">
        <f ca="1">Asp_face(ECF[[#This Row],[nE]],ECF[[#This Row],[As,lado (cm²)]])</f>
        <v>N.A.</v>
      </c>
      <c r="AY88" s="5">
        <f ca="1">acoBloco(ECF[[#This Row],[nE]],ECF[[#This Row],[e (cm)]],ECF[[#This Row],[a (cm)]],ECF[[#This Row],[h (cm)]],ECF[[#This Row],[As,lado (cm²)]],ECF[[#This Row],[Asp e Asw (cm²/m)]],ECF[[#This Row],[As,sup (cm²)]],ECF[[#This Row],[As,malha (cm²)]],ECF[[#This Row],[As,susp,tot (cm²)]],ECF[[#This Row],[Asp,face (cm²)]])</f>
        <v>99.528187500000001</v>
      </c>
      <c r="AZ88" s="4">
        <f ca="1">concretoBloco(ECF[[#This Row],[nE]],ECF[[#This Row],[e (cm)]],ECF[[#This Row],[a (cm)]],ECF[[#This Row],[h (cm)]])</f>
        <v>1.1499999999999999</v>
      </c>
      <c r="BA88" s="5">
        <f ca="1">SUM(ECF[[#This Row],[Aço Est (kg)]],ECF[[#This Row],[Aço Bloco (kg)]])</f>
        <v>162.66163346654048</v>
      </c>
      <c r="BB88" s="4">
        <f>INDEX(composicoes[],MATCH(95580,composicoes[CÓDIGO],0),MATCH("CUSTO TOTAL",composicoes[#Headers],0))</f>
        <v>10.46</v>
      </c>
      <c r="BC88" s="4">
        <f ca="1">SUM(ECF[[#This Row],[Conc Est (m³)]],ECF[[#This Row],[Conc Bloco (m³)]])</f>
        <v>7.6845127194667704</v>
      </c>
      <c r="BD88" s="4">
        <f>INDEX(composicoes[],MATCH(94966,composicoes[CÓDIGO],0),MATCH("CUSTO TOTAL",composicoes[#Headers],0))</f>
        <v>439.52</v>
      </c>
      <c r="BE88" s="38">
        <f ca="1">ECF[[#This Row],[Aço (kg)]]*ECF[[#This Row],[Aço (R$/kg)]]+ECF[[#This Row],[Conc (m³)]]*ECF[[#This Row],[Conc (R$/m³)]]</f>
        <v>5078.9377165200485</v>
      </c>
      <c r="BF88" s="4" t="str">
        <f ca="1">IF(COUNTIF(ECF[#This Row],"N.S.")&gt;0,"lim.","OK")</f>
        <v>OK</v>
      </c>
      <c r="BG88" s="4" t="str">
        <f>IF(ECF[[#This Row],[Prof. (m)]]&lt;4,"lim.","OK")</f>
        <v>OK</v>
      </c>
      <c r="BH88" s="4" t="str">
        <f>IF(ECF[[#This Row],[Prof. (m)]]&gt;=8*ECF[[#This Row],[Ø (cm)]]/100,"OK","lim.")</f>
        <v>OK</v>
      </c>
      <c r="BI88" s="4" t="str">
        <f>IF(AND(SPT!$F$3&lt;&gt;"",ECF[[#This Row],[Prof. (m)]]&gt;=SPT!$F$3-2),"lim.","OK")</f>
        <v>OK</v>
      </c>
      <c r="BJ88" s="4" t="str">
        <f ca="1">IF(ECF[[#This Row],[Verif. Biela]]="OK","OK","lim.")</f>
        <v>lim.</v>
      </c>
      <c r="BK88" s="4" t="str">
        <f ca="1">IF(COUNTA(ECF[[#This Row],[Nº Est.]:[Biela comp.]])=COUNTIF(ECF[[#This Row],[Nº Est.]:[Biela comp.]],"OK"),"OK","lim.")</f>
        <v>lim.</v>
      </c>
      <c r="BL88" s="4" t="str">
        <f ca="1">IF(ECF[[#This Row],[Controle]]="OK",ECF[[#This Row],[nE]]&amp;" Ø"&amp;ECF[[#This Row],[Ø (cm)]]&amp;"cm Prof. "&amp;ECF[[#This Row],[Prof. (m)]]&amp;" m","")</f>
        <v/>
      </c>
      <c r="BM88" s="4" t="str">
        <f ca="1">IF(ECF[[#This Row],[idDimensionamento]]="","",ECF[[#This Row],[idPilar]]&amp;ECF[[#This Row],[idDimensionamento]])</f>
        <v/>
      </c>
    </row>
    <row r="89" spans="2:65" x14ac:dyDescent="0.25">
      <c r="B89" s="12">
        <f>ROUNDUP((ROW(ECF[[#This Row],[idDiâmetro]])-ROW(ECF[[#Headers],[idDiâmetro]]))/(COUNT(SPT[Prof. (m)])*COUNT(PILARES[Pilar])),0)</f>
        <v>4</v>
      </c>
      <c r="C89" s="12">
        <f>IF(ECF[[#This Row],[idDiâmetro]]&lt;&gt;B88,1,IF(ECF[[#This Row],[Prof. (m)]]=0,C88+1,C88))</f>
        <v>1</v>
      </c>
      <c r="D89" s="1">
        <f>IFERROR(IF(D88=MAX(SPT[Prof. (m)]),0,D88+1),0)</f>
        <v>0</v>
      </c>
      <c r="E89" s="1">
        <f>INDEX(SPT[],MATCH(ECF[[#This Row],[Prof. (m)]],SPT[Prof. (m)],0),2)</f>
        <v>0</v>
      </c>
      <c r="F89" s="1" t="str">
        <f>INDEX(SPT[],MATCH(ECF[[#This Row],[Prof. (m)]],SPT[Prof. (m)],0),3)</f>
        <v>Areia siltosa</v>
      </c>
      <c r="G89" s="1">
        <f>INDEX(estacas[],ECF[[#This Row],[idDiâmetro]],MATCH($B$2,estacas[#Headers],0))</f>
        <v>100</v>
      </c>
      <c r="H89" s="1">
        <f>INDEX(estacas[],MATCH(ECF[[#This Row],[Ø (cm)]],estacas[Ø ECF (cm)],0),MATCH(ECF[[#Headers],[Pe ECF (kN)]],estacas[#Headers],0))</f>
        <v>3100</v>
      </c>
      <c r="I89" s="4">
        <f>INDEX(K_alpha_C[],MATCH(ECF[[#This Row],[Solo]],K_alpha_C[Solo],0),2)</f>
        <v>0.8</v>
      </c>
      <c r="J89" s="5">
        <f>INDEX(K_alpha_C[],MATCH(ECF[[#This Row],[Solo]],K_alpha_C[Solo],0),3)</f>
        <v>2</v>
      </c>
      <c r="K89" s="4">
        <f>INDEX(F1_F2[],MATCH($D$2,F1_F2[Tipo de estaca],0),2)</f>
        <v>3</v>
      </c>
      <c r="L89" s="4">
        <f>INDEX(F1_F2[],MATCH($D$2,F1_F2[Tipo de estaca],0),3)</f>
        <v>6</v>
      </c>
      <c r="M89" s="4">
        <f>PI()*(ECF[[#This Row],[Ø (cm)]]/100)^2/4</f>
        <v>0.78539816339744828</v>
      </c>
      <c r="N89" s="4">
        <f>PI()*ECF[[#This Row],[Ø (cm)]]/100</f>
        <v>3.1415926535897931</v>
      </c>
      <c r="O89" s="4">
        <f>IF(ECF[[#This Row],[Prof. (m)]]=0,0,ECF[[#This Row],[α (%)]]/100*ECF[[#This Row],[K (MPa)]]*1000*ECF[[#This Row],[NSPT]])</f>
        <v>0</v>
      </c>
      <c r="P89" s="4">
        <f>IF(ECF[[#This Row],[Prof. (m)]]=0,0,(ECF[[#This Row],[K (MPa)]]*1000*ECF[[#This Row],[NSPT]]/ECF[[#This Row],[F1]]*ECF[[#This Row],[Ap (m²)]]+ECF[[#This Row],[U (m)]]/ECF[[#This Row],[F2]]*SUMIFS(ECF[(α∙K∙NL∙ΔL)],ECF[Prof. (m)],"&lt;="&amp;ECF[[#This Row],[Prof. (m)]],ECF[idDiâmetro],ECF[[#This Row],[idDiâmetro]],ECF[idPilar],ECF[[#This Row],[idPilar]]))/'DADOS CAP. CARGA'!$D$2)</f>
        <v>0</v>
      </c>
      <c r="Q89" s="12">
        <f>INDEX(C_alpha_beta[],MATCH(ECF[[#This Row],[Solo]],C_alpha_beta[Solo],0),MATCH(ECF[[#Headers],[C (kPa)]],C_alpha_beta[#Headers],0))</f>
        <v>400</v>
      </c>
      <c r="R89" s="4">
        <f>INDEX(C_alpha_beta[],MATCH(ECF[[#This Row],[Solo]],C_alpha_beta[Solo],0),MATCH(ECF[[#Headers],[α ESF]],C_alpha_beta[#Headers],0))</f>
        <v>0.5</v>
      </c>
      <c r="S89" s="4">
        <f>INDEX(C_alpha_beta[],MATCH(ECF[[#This Row],[Solo]],C_alpha_beta[Solo],0),MATCH(ECF[[#Headers],[β ESF]],C_alpha_beta[#Headers],0))</f>
        <v>0.5</v>
      </c>
      <c r="T89" s="4">
        <f>IF(ECF[[#This Row],[Prof. (m)]]=0,0,10*(ECF[[#This Row],[NSPT]]/3+1))</f>
        <v>0</v>
      </c>
      <c r="U89" s="4">
        <f>(ECF[[#This Row],[α ESF]]*ECF[[#This Row],[C (kPa)]]*ECF[[#This Row],[NSPT]]*ECF[[#This Row],[Ap (m²)]])/'DADOS CAP. CARGA'!$Q$2+(ECF[[#This Row],[β ESF]]*SUMIFS(ECF[10∙(NL/3+1)],ECF[Prof. (m)],"&lt;="&amp;ECF[[#This Row],[Prof. (m)]],ECF[idDiâmetro],ECF[[#This Row],[idDiâmetro]],ECF[idPilar],ECF[[#This Row],[idPilar]])*ECF[[#This Row],[U (m)]])/'DADOS CAP. CARGA'!$S$2</f>
        <v>0</v>
      </c>
      <c r="V89" s="4">
        <f>IF(SPT!$M$5=1,MIN(ECF[[#This Row],[Pe ECF (kN)]],ECF[[#This Row],[R_AV (kN)]]),IF(SPT!$M$5=2,MIN(ECF[[#This Row],[Pe ECF (kN)]],ECF[[#This Row],[R_DC (kN)]]),MIN(ECF[[#This Row],[Pe ECF (kN)]],ECF[[#This Row],[R_AV (kN)]],ECF[[#This Row],[R_DC (kN)]])))</f>
        <v>0</v>
      </c>
      <c r="W89" s="4">
        <f>INDEX(PILARES[],ECF[[#This Row],[idPilar]],MATCH("Carga (kN)",PILARES[#Headers],0))*1.4</f>
        <v>3500</v>
      </c>
      <c r="X89" s="12">
        <f>INDEX(PILARES[],ECF[[#This Row],[idPilar]],MATCH(ECF[[#Headers],[ap (cm)]],PILARES[#Headers],0))</f>
        <v>60</v>
      </c>
      <c r="Y89" s="12">
        <f>INDEX(PILARES[],ECF[[#This Row],[idPilar]],MATCH(ECF[[#Headers],[bp (cm)]],PILARES[#Headers],0))</f>
        <v>60</v>
      </c>
      <c r="Z89" s="4">
        <f>SQRT(ECF[[#This Row],[ap (cm)]]*ECF[[#This Row],[bp (cm)]])</f>
        <v>60</v>
      </c>
      <c r="AA89" s="12">
        <f>ECF[[#This Row],[ap (cm)]]*ECF[[#This Row],[bp (cm)]]</f>
        <v>3600</v>
      </c>
      <c r="AB89" s="12" t="e">
        <f ca="1">IF(ECF[[#This Row],[Padm∙ε (kN)]]&gt;=ECF[[#This Row],[Padm (kN)]],ROUNDUP(1.05*ECF[[#This Row],[Nsd (kN)]]/ECF[[#This Row],[Padm (kN)]],0),ROUNDUP(1.05*ECF[[#This Row],[Nsd (kN)]]/ECF[[#This Row],[Padm (kN)]],0)+1)</f>
        <v>#DIV/0!</v>
      </c>
      <c r="AC89" s="4" t="str">
        <f ca="1">IFERROR(IF(ECF[[#This Row],[nE]]=1,ECF[[#This Row],[Padm (kN)]],ECF[[#This Row],[Padm (kN)]]*ECF[[#This Row],[nE]]*INDEX(grupoEstacas[],ECF[[#This Row],[nE]],MATCH("ε",grupoEstacas[#Headers],0))),"N.S.")</f>
        <v>N.S.</v>
      </c>
      <c r="AD89" s="4" t="e">
        <f ca="1">1.05*ECF[[#This Row],[Nsd (kN)]]/(ECF[[#This Row],[nE]]*PI()*ECF[[#This Row],[Ø (cm)]]^2/4)*10</f>
        <v>#DIV/0!</v>
      </c>
      <c r="AE89" s="4" t="e">
        <f ca="1">IF(ECF[[#This Row],[σ (MPa)]]&lt;INDEX(tipoEstaca[],MATCH($D$2,tipoEstaca[TIPO DE ESTACA],0),MATCH("σmáx (MPa)",tipoEstaca[#Headers],0)),0.4%*PI()*ECF[[#This Row],[Ø (cm)]]^2/4,"N.S.")</f>
        <v>#DIV/0!</v>
      </c>
      <c r="AF89" s="1">
        <f>INDEX(tipoEstaca[],MATCH($D$2,tipoEstaca[TIPO DE ESTACA],0),MATCH(ECF[[#Headers],[Comprimento (m)]],tipoEstaca[#Headers],0))</f>
        <v>4</v>
      </c>
      <c r="AG89" s="5" t="e">
        <f ca="1">ECF[[#This Row],[As,mín (cm²)]]/100^2*ECF[[#This Row],[Comprimento (m)]]*7850</f>
        <v>#DIV/0!</v>
      </c>
      <c r="AH89" s="4" t="e">
        <f ca="1">ECF[[#This Row],[nE]]*ECF[[#This Row],[Prof. (m)]]*ECF[[#This Row],[Ap (m²)]]</f>
        <v>#DIV/0!</v>
      </c>
      <c r="AI89" s="1" t="e">
        <f ca="1">IF(ECF[[#This Row],[nE]]=1,0,MAX(3*ECF[[#This Row],[Ø (cm)]],60))</f>
        <v>#DIV/0!</v>
      </c>
      <c r="AJ89" s="1" t="e">
        <f ca="1">IF(ECF[[#This Row],[nE]]=1,ECF[[#This Row],[Ø (cm)]]+2*10,MAX(1.5*ECF[[#This Row],[Ø (cm)]],ECF[[#This Row],[Ø (cm)]]+15))</f>
        <v>#DIV/0!</v>
      </c>
      <c r="AK89" s="1" t="e">
        <f ca="1">alturaUtil(ECF[[#This Row],[nE]],ECF[[#This Row],[Ø (cm)]],ECF[[#This Row],[e (cm)]],ECF[[#This Row],[ap,eq (cm)]])</f>
        <v>#VALUE!</v>
      </c>
      <c r="AL89" s="1" t="str">
        <f ca="1">IFERROR(ECF[[#This Row],[d (cm)]]+arredondarParaCimaMultiplo5cm(MAX(5,SQRT(PI())/2*ECF[[#This Row],[Ø (cm)]]/5)),"N.S.")</f>
        <v>N.S.</v>
      </c>
      <c r="AM89" s="5" t="e">
        <f ca="1">alpha(ECF[[#This Row],[nE]],ECF[[#This Row],[d (cm)]],ECF[[#This Row],[e (cm)]],ECF[[#This Row],[ap,eq (cm)]])</f>
        <v>#VALUE!</v>
      </c>
      <c r="AN89" s="35" t="str">
        <f ca="1">IFERROR(ECF[[#This Row],[Nsd (kN)]]/(ECF[[#This Row],[Ap (cm²)]]*SIN(ECF[[#This Row],[α]])^2),"N.S.")</f>
        <v>N.S.</v>
      </c>
      <c r="AO89" s="35" t="str">
        <f ca="1">IFERROR(ECF[[#This Row],[Nsd (kN)]]/(ECF[[#This Row],[nE]]*PI()*ECF[[#This Row],[Ø (cm)]]^2/4*SIN(ECF[[#This Row],[α]])^2),"N.S.")</f>
        <v>N.S.</v>
      </c>
      <c r="AP89" s="4" t="str">
        <f ca="1">IFERROR(INDEX(grupoEstacas[],ECF[[#This Row],[nE]],MATCH("coef. Blévot",grupoEstacas[#Headers],0)),"N.S.")</f>
        <v>N.S.</v>
      </c>
      <c r="AQ89" s="35" t="str">
        <f ca="1">IFERROR(ECF[[#This Row],[coef. Blévot]]*0.9*INDEX(tipoEstaca[],MATCH($D$2,tipoEstaca[TIPO DE ESTACA],0),MATCH("fcd (kN/cm²)",tipoEstaca[#Headers],0)),"N.S.")</f>
        <v>N.S.</v>
      </c>
      <c r="AR89" s="1" t="str">
        <f ca="1">IF(AND(ECF[[#This Row],[cd,b,pil (kN/cm²)]]&lt;=ECF[[#This Row],[cd,b,lim (kN/cm²)]],ECF[[#This Row],[cd,b,est (kN/cm²)]]&lt;=ECF[[#This Row],[cd,b,lim (kN/cm²)]]),"OK","ERRO")</f>
        <v>OK</v>
      </c>
      <c r="AS89" s="4" t="e">
        <f ca="1">As_lado(ECF[[#This Row],[nE]],ECF[[#This Row],[Nsd (kN)]],ECF[[#This Row],[d (cm)]],ECF[[#This Row],[e (cm)]],ECF[[#This Row],[ap,eq (cm)]])</f>
        <v>#VALUE!</v>
      </c>
      <c r="AT89" s="4" t="e">
        <f ca="1">IF(ECF[[#This Row],[nE]]=1,ECF[[#This Row],[As,lado (cm²)]],IF(ECF[[#This Row],[nE]]=2,0.075*2*ECF[a (cm)],"N.A."))</f>
        <v>#DIV/0!</v>
      </c>
      <c r="AU89" s="4" t="str">
        <f ca="1">IFERROR(IF(ECF[[#This Row],[nE]]=1,"N.A.",0.2*ECF[[#This Row],[As,lado (cm²)]]),"N.S.")</f>
        <v>N.S.</v>
      </c>
      <c r="AV89" s="4" t="e">
        <f ca="1">As_malha(ECF[[#This Row],[nE]],ECF[[#This Row],[As,lado (cm²)]],ECF[[#This Row],[Nsd (kN)]])</f>
        <v>#VALUE!</v>
      </c>
      <c r="AW89" s="4" t="e">
        <f ca="1">As_susp_tot(ECF[[#This Row],[nE]],ECF[[#This Row],[Nsd (kN)]])</f>
        <v>#VALUE!</v>
      </c>
      <c r="AX89" s="4" t="e">
        <f ca="1">Asp_face(ECF[[#This Row],[nE]],ECF[[#This Row],[As,lado (cm²)]])</f>
        <v>#VALUE!</v>
      </c>
      <c r="AY89" s="5" t="e">
        <f ca="1">acoBloco(ECF[[#This Row],[nE]],ECF[[#This Row],[e (cm)]],ECF[[#This Row],[a (cm)]],ECF[[#This Row],[h (cm)]],ECF[[#This Row],[As,lado (cm²)]],ECF[[#This Row],[Asp e Asw (cm²/m)]],ECF[[#This Row],[As,sup (cm²)]],ECF[[#This Row],[As,malha (cm²)]],ECF[[#This Row],[As,susp,tot (cm²)]],ECF[[#This Row],[Asp,face (cm²)]])</f>
        <v>#VALUE!</v>
      </c>
      <c r="AZ89" s="4" t="e">
        <f ca="1">concretoBloco(ECF[[#This Row],[nE]],ECF[[#This Row],[e (cm)]],ECF[[#This Row],[a (cm)]],ECF[[#This Row],[h (cm)]])</f>
        <v>#VALUE!</v>
      </c>
      <c r="BA89" s="5" t="e">
        <f ca="1">SUM(ECF[[#This Row],[Aço Est (kg)]],ECF[[#This Row],[Aço Bloco (kg)]])</f>
        <v>#DIV/0!</v>
      </c>
      <c r="BB89" s="4">
        <f>INDEX(composicoes[],MATCH(95580,composicoes[CÓDIGO],0),MATCH("CUSTO TOTAL",composicoes[#Headers],0))</f>
        <v>10.46</v>
      </c>
      <c r="BC89" s="4" t="e">
        <f ca="1">SUM(ECF[[#This Row],[Conc Est (m³)]],ECF[[#This Row],[Conc Bloco (m³)]])</f>
        <v>#DIV/0!</v>
      </c>
      <c r="BD89" s="4">
        <f>INDEX(composicoes[],MATCH(94966,composicoes[CÓDIGO],0),MATCH("CUSTO TOTAL",composicoes[#Headers],0))</f>
        <v>439.52</v>
      </c>
      <c r="BE89" s="38" t="e">
        <f ca="1">ECF[[#This Row],[Aço (kg)]]*ECF[[#This Row],[Aço (R$/kg)]]+ECF[[#This Row],[Conc (m³)]]*ECF[[#This Row],[Conc (R$/m³)]]</f>
        <v>#DIV/0!</v>
      </c>
      <c r="BF89" s="4" t="str">
        <f ca="1">IF(COUNTIF(ECF[#This Row],"N.S.")&gt;0,"lim.","OK")</f>
        <v>lim.</v>
      </c>
      <c r="BG89" s="4" t="str">
        <f>IF(ECF[[#This Row],[Prof. (m)]]&lt;4,"lim.","OK")</f>
        <v>lim.</v>
      </c>
      <c r="BH89" s="4" t="str">
        <f>IF(ECF[[#This Row],[Prof. (m)]]&gt;=8*ECF[[#This Row],[Ø (cm)]]/100,"OK","lim.")</f>
        <v>lim.</v>
      </c>
      <c r="BI89" s="4" t="str">
        <f>IF(AND(SPT!$F$3&lt;&gt;"",ECF[[#This Row],[Prof. (m)]]&gt;=SPT!$F$3-2),"lim.","OK")</f>
        <v>OK</v>
      </c>
      <c r="BJ89" s="4" t="str">
        <f ca="1">IF(ECF[[#This Row],[Verif. Biela]]="OK","OK","lim.")</f>
        <v>OK</v>
      </c>
      <c r="BK89" s="4" t="str">
        <f ca="1">IF(COUNTA(ECF[[#This Row],[Nº Est.]:[Biela comp.]])=COUNTIF(ECF[[#This Row],[Nº Est.]:[Biela comp.]],"OK"),"OK","lim.")</f>
        <v>lim.</v>
      </c>
      <c r="BL89" s="4" t="str">
        <f ca="1">IF(ECF[[#This Row],[Controle]]="OK",ECF[[#This Row],[nE]]&amp;" Ø"&amp;ECF[[#This Row],[Ø (cm)]]&amp;"cm Prof. "&amp;ECF[[#This Row],[Prof. (m)]]&amp;" m","")</f>
        <v/>
      </c>
      <c r="BM89" s="4" t="str">
        <f ca="1">IF(ECF[[#This Row],[idDimensionamento]]="","",ECF[[#This Row],[idPilar]]&amp;ECF[[#This Row],[idDimensionamento]])</f>
        <v/>
      </c>
    </row>
    <row r="90" spans="2:65" x14ac:dyDescent="0.25">
      <c r="B90" s="12">
        <f>ROUNDUP((ROW(ECF[[#This Row],[idDiâmetro]])-ROW(ECF[[#Headers],[idDiâmetro]]))/(COUNT(SPT[Prof. (m)])*COUNT(PILARES[Pilar])),0)</f>
        <v>4</v>
      </c>
      <c r="C90" s="12">
        <f>IF(ECF[[#This Row],[idDiâmetro]]&lt;&gt;B89,1,IF(ECF[[#This Row],[Prof. (m)]]=0,C89+1,C89))</f>
        <v>1</v>
      </c>
      <c r="D90" s="1">
        <f>IFERROR(IF(D89=MAX(SPT[Prof. (m)]),0,D89+1),0)</f>
        <v>1</v>
      </c>
      <c r="E90" s="1">
        <f>INDEX(SPT[],MATCH(ECF[[#This Row],[Prof. (m)]],SPT[Prof. (m)],0),2)</f>
        <v>2</v>
      </c>
      <c r="F90" s="1" t="str">
        <f>INDEX(SPT[],MATCH(ECF[[#This Row],[Prof. (m)]],SPT[Prof. (m)],0),3)</f>
        <v>Areia siltosa</v>
      </c>
      <c r="G90" s="1">
        <f>INDEX(estacas[],ECF[[#This Row],[idDiâmetro]],MATCH($B$2,estacas[#Headers],0))</f>
        <v>100</v>
      </c>
      <c r="H90" s="1">
        <f>INDEX(estacas[],MATCH(ECF[[#This Row],[Ø (cm)]],estacas[Ø ECF (cm)],0),MATCH(ECF[[#Headers],[Pe ECF (kN)]],estacas[#Headers],0))</f>
        <v>3100</v>
      </c>
      <c r="I90" s="4">
        <f>INDEX(K_alpha_C[],MATCH(ECF[[#This Row],[Solo]],K_alpha_C[Solo],0),2)</f>
        <v>0.8</v>
      </c>
      <c r="J90" s="5">
        <f>INDEX(K_alpha_C[],MATCH(ECF[[#This Row],[Solo]],K_alpha_C[Solo],0),3)</f>
        <v>2</v>
      </c>
      <c r="K90" s="4">
        <f>INDEX(F1_F2[],MATCH($D$2,F1_F2[Tipo de estaca],0),2)</f>
        <v>3</v>
      </c>
      <c r="L90" s="4">
        <f>INDEX(F1_F2[],MATCH($D$2,F1_F2[Tipo de estaca],0),3)</f>
        <v>6</v>
      </c>
      <c r="M90" s="4">
        <f>PI()*(ECF[[#This Row],[Ø (cm)]]/100)^2/4</f>
        <v>0.78539816339744828</v>
      </c>
      <c r="N90" s="4">
        <f>PI()*ECF[[#This Row],[Ø (cm)]]/100</f>
        <v>3.1415926535897931</v>
      </c>
      <c r="O90" s="4">
        <f>IF(ECF[[#This Row],[Prof. (m)]]=0,0,ECF[[#This Row],[α (%)]]/100*ECF[[#This Row],[K (MPa)]]*1000*ECF[[#This Row],[NSPT]])</f>
        <v>32</v>
      </c>
      <c r="P90" s="4">
        <f>IF(ECF[[#This Row],[Prof. (m)]]=0,0,(ECF[[#This Row],[K (MPa)]]*1000*ECF[[#This Row],[NSPT]]/ECF[[#This Row],[F1]]*ECF[[#This Row],[Ap (m²)]]+ECF[[#This Row],[U (m)]]/ECF[[#This Row],[F2]]*SUMIFS(ECF[(α∙K∙NL∙ΔL)],ECF[Prof. (m)],"&lt;="&amp;ECF[[#This Row],[Prof. (m)]],ECF[idDiâmetro],ECF[[#This Row],[idDiâmetro]],ECF[idPilar],ECF[[#This Row],[idPilar]]))/'DADOS CAP. CARGA'!$D$2)</f>
        <v>217.81709064889233</v>
      </c>
      <c r="Q90" s="12">
        <f>INDEX(C_alpha_beta[],MATCH(ECF[[#This Row],[Solo]],C_alpha_beta[Solo],0),MATCH(ECF[[#Headers],[C (kPa)]],C_alpha_beta[#Headers],0))</f>
        <v>400</v>
      </c>
      <c r="R90" s="4">
        <f>INDEX(C_alpha_beta[],MATCH(ECF[[#This Row],[Solo]],C_alpha_beta[Solo],0),MATCH(ECF[[#Headers],[α ESF]],C_alpha_beta[#Headers],0))</f>
        <v>0.5</v>
      </c>
      <c r="S90" s="4">
        <f>INDEX(C_alpha_beta[],MATCH(ECF[[#This Row],[Solo]],C_alpha_beta[Solo],0),MATCH(ECF[[#Headers],[β ESF]],C_alpha_beta[#Headers],0))</f>
        <v>0.5</v>
      </c>
      <c r="T90" s="4">
        <f>IF(ECF[[#This Row],[Prof. (m)]]=0,0,10*(ECF[[#This Row],[NSPT]]/3+1))</f>
        <v>16.666666666666664</v>
      </c>
      <c r="U90" s="4">
        <f>(ECF[[#This Row],[α ESF]]*ECF[[#This Row],[C (kPa)]]*ECF[[#This Row],[NSPT]]*ECF[[#This Row],[Ap (m²)]])/'DADOS CAP. CARGA'!$Q$2+(ECF[[#This Row],[β ESF]]*SUMIFS(ECF[10∙(NL/3+1)],ECF[Prof. (m)],"&lt;="&amp;ECF[[#This Row],[Prof. (m)]],ECF[idDiâmetro],ECF[[#This Row],[idDiâmetro]],ECF[idPilar],ECF[[#This Row],[idPilar]])*ECF[[#This Row],[U (m)]])/'DADOS CAP. CARGA'!$S$2</f>
        <v>91.629785729702306</v>
      </c>
      <c r="V90" s="4">
        <f>IF(SPT!$M$5=1,MIN(ECF[[#This Row],[Pe ECF (kN)]],ECF[[#This Row],[R_AV (kN)]]),IF(SPT!$M$5=2,MIN(ECF[[#This Row],[Pe ECF (kN)]],ECF[[#This Row],[R_DC (kN)]]),MIN(ECF[[#This Row],[Pe ECF (kN)]],ECF[[#This Row],[R_AV (kN)]],ECF[[#This Row],[R_DC (kN)]])))</f>
        <v>91.629785729702306</v>
      </c>
      <c r="W90" s="4">
        <f>INDEX(PILARES[],ECF[[#This Row],[idPilar]],MATCH("Carga (kN)",PILARES[#Headers],0))*1.4</f>
        <v>3500</v>
      </c>
      <c r="X90" s="12">
        <f>INDEX(PILARES[],ECF[[#This Row],[idPilar]],MATCH(ECF[[#Headers],[ap (cm)]],PILARES[#Headers],0))</f>
        <v>60</v>
      </c>
      <c r="Y90" s="12">
        <f>INDEX(PILARES[],ECF[[#This Row],[idPilar]],MATCH(ECF[[#Headers],[bp (cm)]],PILARES[#Headers],0))</f>
        <v>60</v>
      </c>
      <c r="Z90" s="4">
        <f>SQRT(ECF[[#This Row],[ap (cm)]]*ECF[[#This Row],[bp (cm)]])</f>
        <v>60</v>
      </c>
      <c r="AA90" s="12">
        <f>ECF[[#This Row],[ap (cm)]]*ECF[[#This Row],[bp (cm)]]</f>
        <v>3600</v>
      </c>
      <c r="AB90" s="12">
        <f ca="1">IF(ECF[[#This Row],[Padm∙ε (kN)]]&gt;=ECF[[#This Row],[Padm (kN)]],ROUNDUP(1.05*ECF[[#This Row],[Nsd (kN)]]/ECF[[#This Row],[Padm (kN)]],0),ROUNDUP(1.05*ECF[[#This Row],[Nsd (kN)]]/ECF[[#This Row],[Padm (kN)]],0)+1)</f>
        <v>41</v>
      </c>
      <c r="AC90" s="4" t="str">
        <f ca="1">IFERROR(IF(ECF[[#This Row],[nE]]=1,ECF[[#This Row],[Padm (kN)]],ECF[[#This Row],[Padm (kN)]]*ECF[[#This Row],[nE]]*INDEX(grupoEstacas[],ECF[[#This Row],[nE]],MATCH("ε",grupoEstacas[#Headers],0))),"N.S.")</f>
        <v>N.S.</v>
      </c>
      <c r="AD90" s="4">
        <f ca="1">1.05*ECF[[#This Row],[Nsd (kN)]]/(ECF[[#This Row],[nE]]*PI()*ECF[[#This Row],[Ø (cm)]]^2/4)*10</f>
        <v>0.11412573968052983</v>
      </c>
      <c r="AE90" s="4">
        <f ca="1">IF(ECF[[#This Row],[σ (MPa)]]&lt;INDEX(tipoEstaca[],MATCH($D$2,tipoEstaca[TIPO DE ESTACA],0),MATCH("σmáx (MPa)",tipoEstaca[#Headers],0)),0.4%*PI()*ECF[[#This Row],[Ø (cm)]]^2/4,"N.S.")</f>
        <v>31.415926535897935</v>
      </c>
      <c r="AF90" s="1">
        <f>INDEX(tipoEstaca[],MATCH($D$2,tipoEstaca[TIPO DE ESTACA],0),MATCH(ECF[[#Headers],[Comprimento (m)]],tipoEstaca[#Headers],0))</f>
        <v>4</v>
      </c>
      <c r="AG90" s="5">
        <f ca="1">ECF[[#This Row],[As,mín (cm²)]]/100^2*ECF[[#This Row],[Comprimento (m)]]*7850</f>
        <v>98.646009322719507</v>
      </c>
      <c r="AH90" s="4">
        <f ca="1">ECF[[#This Row],[nE]]*ECF[[#This Row],[Prof. (m)]]*ECF[[#This Row],[Ap (m²)]]</f>
        <v>32.201324699295377</v>
      </c>
      <c r="AI90" s="1">
        <f ca="1">IF(ECF[[#This Row],[nE]]=1,0,MAX(3*ECF[[#This Row],[Ø (cm)]],60))</f>
        <v>300</v>
      </c>
      <c r="AJ90" s="1">
        <f ca="1">IF(ECF[[#This Row],[nE]]=1,ECF[[#This Row],[Ø (cm)]]+2*10,MAX(1.5*ECF[[#This Row],[Ø (cm)]],ECF[[#This Row],[Ø (cm)]]+15))</f>
        <v>150</v>
      </c>
      <c r="AK90" s="1" t="str">
        <f ca="1">alturaUtil(ECF[[#This Row],[nE]],ECF[[#This Row],[Ø (cm)]],ECF[[#This Row],[e (cm)]],ECF[[#This Row],[ap,eq (cm)]])</f>
        <v>N.S.</v>
      </c>
      <c r="AL90" s="1" t="str">
        <f ca="1">IFERROR(ECF[[#This Row],[d (cm)]]+arredondarParaCimaMultiplo5cm(MAX(5,SQRT(PI())/2*ECF[[#This Row],[Ø (cm)]]/5)),"N.S.")</f>
        <v>N.S.</v>
      </c>
      <c r="AM90" s="5" t="str">
        <f ca="1">alpha(ECF[[#This Row],[nE]],ECF[[#This Row],[d (cm)]],ECF[[#This Row],[e (cm)]],ECF[[#This Row],[ap,eq (cm)]])</f>
        <v>N.S.</v>
      </c>
      <c r="AN90" s="35" t="str">
        <f ca="1">IFERROR(ECF[[#This Row],[Nsd (kN)]]/(ECF[[#This Row],[Ap (cm²)]]*SIN(ECF[[#This Row],[α]])^2),"N.S.")</f>
        <v>N.S.</v>
      </c>
      <c r="AO90" s="35" t="str">
        <f ca="1">IFERROR(ECF[[#This Row],[Nsd (kN)]]/(ECF[[#This Row],[nE]]*PI()*ECF[[#This Row],[Ø (cm)]]^2/4*SIN(ECF[[#This Row],[α]])^2),"N.S.")</f>
        <v>N.S.</v>
      </c>
      <c r="AP90" s="4" t="str">
        <f ca="1">IFERROR(INDEX(grupoEstacas[],ECF[[#This Row],[nE]],MATCH("coef. Blévot",grupoEstacas[#Headers],0)),"N.S.")</f>
        <v>N.S.</v>
      </c>
      <c r="AQ90" s="35" t="str">
        <f ca="1">IFERROR(ECF[[#This Row],[coef. Blévot]]*0.9*INDEX(tipoEstaca[],MATCH($D$2,tipoEstaca[TIPO DE ESTACA],0),MATCH("fcd (kN/cm²)",tipoEstaca[#Headers],0)),"N.S.")</f>
        <v>N.S.</v>
      </c>
      <c r="AR90" s="1" t="str">
        <f ca="1">IF(AND(ECF[[#This Row],[cd,b,pil (kN/cm²)]]&lt;=ECF[[#This Row],[cd,b,lim (kN/cm²)]],ECF[[#This Row],[cd,b,est (kN/cm²)]]&lt;=ECF[[#This Row],[cd,b,lim (kN/cm²)]]),"OK","ERRO")</f>
        <v>OK</v>
      </c>
      <c r="AS90" s="4" t="str">
        <f ca="1">As_lado(ECF[[#This Row],[nE]],ECF[[#This Row],[Nsd (kN)]],ECF[[#This Row],[d (cm)]],ECF[[#This Row],[e (cm)]],ECF[[#This Row],[ap,eq (cm)]])</f>
        <v>N.S.</v>
      </c>
      <c r="AT90" s="4" t="str">
        <f ca="1">IF(ECF[[#This Row],[nE]]=1,ECF[[#This Row],[As,lado (cm²)]],IF(ECF[[#This Row],[nE]]=2,0.075*2*ECF[a (cm)],"N.A."))</f>
        <v>N.A.</v>
      </c>
      <c r="AU90" s="4" t="str">
        <f ca="1">IFERROR(IF(ECF[[#This Row],[nE]]=1,"N.A.",0.2*ECF[[#This Row],[As,lado (cm²)]]),"N.S.")</f>
        <v>N.S.</v>
      </c>
      <c r="AV90" s="4" t="str">
        <f ca="1">As_malha(ECF[[#This Row],[nE]],ECF[[#This Row],[As,lado (cm²)]],ECF[[#This Row],[Nsd (kN)]])</f>
        <v>N.S.</v>
      </c>
      <c r="AW90" s="4" t="str">
        <f ca="1">As_susp_tot(ECF[[#This Row],[nE]],ECF[[#This Row],[Nsd (kN)]])</f>
        <v>N.S.</v>
      </c>
      <c r="AX90" s="4" t="str">
        <f ca="1">Asp_face(ECF[[#This Row],[nE]],ECF[[#This Row],[As,lado (cm²)]])</f>
        <v>N.S.</v>
      </c>
      <c r="AY90" s="5" t="str">
        <f ca="1">acoBloco(ECF[[#This Row],[nE]],ECF[[#This Row],[e (cm)]],ECF[[#This Row],[a (cm)]],ECF[[#This Row],[h (cm)]],ECF[[#This Row],[As,lado (cm²)]],ECF[[#This Row],[Asp e Asw (cm²/m)]],ECF[[#This Row],[As,sup (cm²)]],ECF[[#This Row],[As,malha (cm²)]],ECF[[#This Row],[As,susp,tot (cm²)]],ECF[[#This Row],[Asp,face (cm²)]])</f>
        <v>N.S.</v>
      </c>
      <c r="AZ90" s="4" t="str">
        <f ca="1">concretoBloco(ECF[[#This Row],[nE]],ECF[[#This Row],[e (cm)]],ECF[[#This Row],[a (cm)]],ECF[[#This Row],[h (cm)]])</f>
        <v>N.S.</v>
      </c>
      <c r="BA90" s="5">
        <f ca="1">SUM(ECF[[#This Row],[Aço Est (kg)]],ECF[[#This Row],[Aço Bloco (kg)]])</f>
        <v>98.646009322719507</v>
      </c>
      <c r="BB90" s="4">
        <f>INDEX(composicoes[],MATCH(95580,composicoes[CÓDIGO],0),MATCH("CUSTO TOTAL",composicoes[#Headers],0))</f>
        <v>10.46</v>
      </c>
      <c r="BC90" s="4">
        <f ca="1">SUM(ECF[[#This Row],[Conc Est (m³)]],ECF[[#This Row],[Conc Bloco (m³)]])</f>
        <v>32.201324699295377</v>
      </c>
      <c r="BD90" s="4">
        <f>INDEX(composicoes[],MATCH(94966,composicoes[CÓDIGO],0),MATCH("CUSTO TOTAL",composicoes[#Headers],0))</f>
        <v>439.52</v>
      </c>
      <c r="BE90" s="38">
        <f ca="1">ECF[[#This Row],[Aço (kg)]]*ECF[[#This Row],[Aço (R$/kg)]]+ECF[[#This Row],[Conc (m³)]]*ECF[[#This Row],[Conc (R$/m³)]]</f>
        <v>15184.96348934995</v>
      </c>
      <c r="BF90" s="4" t="str">
        <f ca="1">IF(COUNTIF(ECF[#This Row],"N.S.")&gt;0,"lim.","OK")</f>
        <v>lim.</v>
      </c>
      <c r="BG90" s="4" t="str">
        <f>IF(ECF[[#This Row],[Prof. (m)]]&lt;4,"lim.","OK")</f>
        <v>lim.</v>
      </c>
      <c r="BH90" s="4" t="str">
        <f>IF(ECF[[#This Row],[Prof. (m)]]&gt;=8*ECF[[#This Row],[Ø (cm)]]/100,"OK","lim.")</f>
        <v>lim.</v>
      </c>
      <c r="BI90" s="4" t="str">
        <f>IF(AND(SPT!$F$3&lt;&gt;"",ECF[[#This Row],[Prof. (m)]]&gt;=SPT!$F$3-2),"lim.","OK")</f>
        <v>OK</v>
      </c>
      <c r="BJ90" s="4" t="str">
        <f ca="1">IF(ECF[[#This Row],[Verif. Biela]]="OK","OK","lim.")</f>
        <v>OK</v>
      </c>
      <c r="BK90" s="4" t="str">
        <f ca="1">IF(COUNTA(ECF[[#This Row],[Nº Est.]:[Biela comp.]])=COUNTIF(ECF[[#This Row],[Nº Est.]:[Biela comp.]],"OK"),"OK","lim.")</f>
        <v>lim.</v>
      </c>
      <c r="BL90" s="4" t="str">
        <f ca="1">IF(ECF[[#This Row],[Controle]]="OK",ECF[[#This Row],[nE]]&amp;" Ø"&amp;ECF[[#This Row],[Ø (cm)]]&amp;"cm Prof. "&amp;ECF[[#This Row],[Prof. (m)]]&amp;" m","")</f>
        <v/>
      </c>
      <c r="BM90" s="4" t="str">
        <f ca="1">IF(ECF[[#This Row],[idDimensionamento]]="","",ECF[[#This Row],[idPilar]]&amp;ECF[[#This Row],[idDimensionamento]])</f>
        <v/>
      </c>
    </row>
    <row r="91" spans="2:65" x14ac:dyDescent="0.25">
      <c r="B91" s="12">
        <f>ROUNDUP((ROW(ECF[[#This Row],[idDiâmetro]])-ROW(ECF[[#Headers],[idDiâmetro]]))/(COUNT(SPT[Prof. (m)])*COUNT(PILARES[Pilar])),0)</f>
        <v>4</v>
      </c>
      <c r="C91" s="12">
        <f>IF(ECF[[#This Row],[idDiâmetro]]&lt;&gt;B90,1,IF(ECF[[#This Row],[Prof. (m)]]=0,C90+1,C90))</f>
        <v>1</v>
      </c>
      <c r="D91" s="1">
        <f>IFERROR(IF(D90=MAX(SPT[Prof. (m)]),0,D90+1),0)</f>
        <v>2</v>
      </c>
      <c r="E91" s="1">
        <f>INDEX(SPT[],MATCH(ECF[[#This Row],[Prof. (m)]],SPT[Prof. (m)],0),2)</f>
        <v>2</v>
      </c>
      <c r="F91" s="1" t="str">
        <f>INDEX(SPT[],MATCH(ECF[[#This Row],[Prof. (m)]],SPT[Prof. (m)],0),3)</f>
        <v>Areia siltosa</v>
      </c>
      <c r="G91" s="1">
        <f>INDEX(estacas[],ECF[[#This Row],[idDiâmetro]],MATCH($B$2,estacas[#Headers],0))</f>
        <v>100</v>
      </c>
      <c r="H91" s="1">
        <f>INDEX(estacas[],MATCH(ECF[[#This Row],[Ø (cm)]],estacas[Ø ECF (cm)],0),MATCH(ECF[[#Headers],[Pe ECF (kN)]],estacas[#Headers],0))</f>
        <v>3100</v>
      </c>
      <c r="I91" s="4">
        <f>INDEX(K_alpha_C[],MATCH(ECF[[#This Row],[Solo]],K_alpha_C[Solo],0),2)</f>
        <v>0.8</v>
      </c>
      <c r="J91" s="5">
        <f>INDEX(K_alpha_C[],MATCH(ECF[[#This Row],[Solo]],K_alpha_C[Solo],0),3)</f>
        <v>2</v>
      </c>
      <c r="K91" s="4">
        <f>INDEX(F1_F2[],MATCH($D$2,F1_F2[Tipo de estaca],0),2)</f>
        <v>3</v>
      </c>
      <c r="L91" s="4">
        <f>INDEX(F1_F2[],MATCH($D$2,F1_F2[Tipo de estaca],0),3)</f>
        <v>6</v>
      </c>
      <c r="M91" s="4">
        <f>PI()*(ECF[[#This Row],[Ø (cm)]]/100)^2/4</f>
        <v>0.78539816339744828</v>
      </c>
      <c r="N91" s="4">
        <f>PI()*ECF[[#This Row],[Ø (cm)]]/100</f>
        <v>3.1415926535897931</v>
      </c>
      <c r="O91" s="4">
        <f>IF(ECF[[#This Row],[Prof. (m)]]=0,0,ECF[[#This Row],[α (%)]]/100*ECF[[#This Row],[K (MPa)]]*1000*ECF[[#This Row],[NSPT]])</f>
        <v>32</v>
      </c>
      <c r="P91" s="4">
        <f>IF(ECF[[#This Row],[Prof. (m)]]=0,0,(ECF[[#This Row],[K (MPa)]]*1000*ECF[[#This Row],[NSPT]]/ECF[[#This Row],[F1]]*ECF[[#This Row],[Ap (m²)]]+ECF[[#This Row],[U (m)]]/ECF[[#This Row],[F2]]*SUMIFS(ECF[(α∙K∙NL∙ΔL)],ECF[Prof. (m)],"&lt;="&amp;ECF[[#This Row],[Prof. (m)]],ECF[idDiâmetro],ECF[[#This Row],[idDiâmetro]],ECF[idPilar],ECF[[#This Row],[idPilar]]))/'DADOS CAP. CARGA'!$D$2)</f>
        <v>226.19467105846513</v>
      </c>
      <c r="Q91" s="12">
        <f>INDEX(C_alpha_beta[],MATCH(ECF[[#This Row],[Solo]],C_alpha_beta[Solo],0),MATCH(ECF[[#Headers],[C (kPa)]],C_alpha_beta[#Headers],0))</f>
        <v>400</v>
      </c>
      <c r="R91" s="4">
        <f>INDEX(C_alpha_beta[],MATCH(ECF[[#This Row],[Solo]],C_alpha_beta[Solo],0),MATCH(ECF[[#Headers],[α ESF]],C_alpha_beta[#Headers],0))</f>
        <v>0.5</v>
      </c>
      <c r="S91" s="4">
        <f>INDEX(C_alpha_beta[],MATCH(ECF[[#This Row],[Solo]],C_alpha_beta[Solo],0),MATCH(ECF[[#Headers],[β ESF]],C_alpha_beta[#Headers],0))</f>
        <v>0.5</v>
      </c>
      <c r="T91" s="4">
        <f>IF(ECF[[#This Row],[Prof. (m)]]=0,0,10*(ECF[[#This Row],[NSPT]]/3+1))</f>
        <v>16.666666666666664</v>
      </c>
      <c r="U91" s="4">
        <f>(ECF[[#This Row],[α ESF]]*ECF[[#This Row],[C (kPa)]]*ECF[[#This Row],[NSPT]]*ECF[[#This Row],[Ap (m²)]])/'DADOS CAP. CARGA'!$Q$2+(ECF[[#This Row],[β ESF]]*SUMIFS(ECF[10∙(NL/3+1)],ECF[Prof. (m)],"&lt;="&amp;ECF[[#This Row],[Prof. (m)]],ECF[idDiâmetro],ECF[[#This Row],[idDiâmetro]],ECF[idPilar],ECF[[#This Row],[idPilar]])*ECF[[#This Row],[U (m)]])/'DADOS CAP. CARGA'!$S$2</f>
        <v>104.71975511965977</v>
      </c>
      <c r="V91" s="4">
        <f>IF(SPT!$M$5=1,MIN(ECF[[#This Row],[Pe ECF (kN)]],ECF[[#This Row],[R_AV (kN)]]),IF(SPT!$M$5=2,MIN(ECF[[#This Row],[Pe ECF (kN)]],ECF[[#This Row],[R_DC (kN)]]),MIN(ECF[[#This Row],[Pe ECF (kN)]],ECF[[#This Row],[R_AV (kN)]],ECF[[#This Row],[R_DC (kN)]])))</f>
        <v>104.71975511965977</v>
      </c>
      <c r="W91" s="4">
        <f>INDEX(PILARES[],ECF[[#This Row],[idPilar]],MATCH("Carga (kN)",PILARES[#Headers],0))*1.4</f>
        <v>3500</v>
      </c>
      <c r="X91" s="12">
        <f>INDEX(PILARES[],ECF[[#This Row],[idPilar]],MATCH(ECF[[#Headers],[ap (cm)]],PILARES[#Headers],0))</f>
        <v>60</v>
      </c>
      <c r="Y91" s="12">
        <f>INDEX(PILARES[],ECF[[#This Row],[idPilar]],MATCH(ECF[[#Headers],[bp (cm)]],PILARES[#Headers],0))</f>
        <v>60</v>
      </c>
      <c r="Z91" s="4">
        <f>SQRT(ECF[[#This Row],[ap (cm)]]*ECF[[#This Row],[bp (cm)]])</f>
        <v>60</v>
      </c>
      <c r="AA91" s="12">
        <f>ECF[[#This Row],[ap (cm)]]*ECF[[#This Row],[bp (cm)]]</f>
        <v>3600</v>
      </c>
      <c r="AB91" s="12">
        <f ca="1">IF(ECF[[#This Row],[Padm∙ε (kN)]]&gt;=ECF[[#This Row],[Padm (kN)]],ROUNDUP(1.05*ECF[[#This Row],[Nsd (kN)]]/ECF[[#This Row],[Padm (kN)]],0),ROUNDUP(1.05*ECF[[#This Row],[Nsd (kN)]]/ECF[[#This Row],[Padm (kN)]],0)+1)</f>
        <v>36</v>
      </c>
      <c r="AC91" s="4" t="str">
        <f ca="1">IFERROR(IF(ECF[[#This Row],[nE]]=1,ECF[[#This Row],[Padm (kN)]],ECF[[#This Row],[Padm (kN)]]*ECF[[#This Row],[nE]]*INDEX(grupoEstacas[],ECF[[#This Row],[nE]],MATCH("ε",grupoEstacas[#Headers],0))),"N.S.")</f>
        <v>N.S.</v>
      </c>
      <c r="AD91" s="4">
        <f ca="1">1.05*ECF[[#This Row],[Nsd (kN)]]/(ECF[[#This Row],[nE]]*PI()*ECF[[#This Row],[Ø (cm)]]^2/4)*10</f>
        <v>0.12997653685838118</v>
      </c>
      <c r="AE91" s="4">
        <f ca="1">IF(ECF[[#This Row],[σ (MPa)]]&lt;INDEX(tipoEstaca[],MATCH($D$2,tipoEstaca[TIPO DE ESTACA],0),MATCH("σmáx (MPa)",tipoEstaca[#Headers],0)),0.4%*PI()*ECF[[#This Row],[Ø (cm)]]^2/4,"N.S.")</f>
        <v>31.415926535897935</v>
      </c>
      <c r="AF91" s="1">
        <f>INDEX(tipoEstaca[],MATCH($D$2,tipoEstaca[TIPO DE ESTACA],0),MATCH(ECF[[#Headers],[Comprimento (m)]],tipoEstaca[#Headers],0))</f>
        <v>4</v>
      </c>
      <c r="AG91" s="5">
        <f ca="1">ECF[[#This Row],[As,mín (cm²)]]/100^2*ECF[[#This Row],[Comprimento (m)]]*7850</f>
        <v>98.646009322719507</v>
      </c>
      <c r="AH91" s="4">
        <f ca="1">ECF[[#This Row],[nE]]*ECF[[#This Row],[Prof. (m)]]*ECF[[#This Row],[Ap (m²)]]</f>
        <v>56.548667764616276</v>
      </c>
      <c r="AI91" s="1">
        <f ca="1">IF(ECF[[#This Row],[nE]]=1,0,MAX(3*ECF[[#This Row],[Ø (cm)]],60))</f>
        <v>300</v>
      </c>
      <c r="AJ91" s="1">
        <f ca="1">IF(ECF[[#This Row],[nE]]=1,ECF[[#This Row],[Ø (cm)]]+2*10,MAX(1.5*ECF[[#This Row],[Ø (cm)]],ECF[[#This Row],[Ø (cm)]]+15))</f>
        <v>150</v>
      </c>
      <c r="AK91" s="1" t="str">
        <f ca="1">alturaUtil(ECF[[#This Row],[nE]],ECF[[#This Row],[Ø (cm)]],ECF[[#This Row],[e (cm)]],ECF[[#This Row],[ap,eq (cm)]])</f>
        <v>N.S.</v>
      </c>
      <c r="AL91" s="1" t="str">
        <f ca="1">IFERROR(ECF[[#This Row],[d (cm)]]+arredondarParaCimaMultiplo5cm(MAX(5,SQRT(PI())/2*ECF[[#This Row],[Ø (cm)]]/5)),"N.S.")</f>
        <v>N.S.</v>
      </c>
      <c r="AM91" s="5" t="str">
        <f ca="1">alpha(ECF[[#This Row],[nE]],ECF[[#This Row],[d (cm)]],ECF[[#This Row],[e (cm)]],ECF[[#This Row],[ap,eq (cm)]])</f>
        <v>N.S.</v>
      </c>
      <c r="AN91" s="35" t="str">
        <f ca="1">IFERROR(ECF[[#This Row],[Nsd (kN)]]/(ECF[[#This Row],[Ap (cm²)]]*SIN(ECF[[#This Row],[α]])^2),"N.S.")</f>
        <v>N.S.</v>
      </c>
      <c r="AO91" s="35" t="str">
        <f ca="1">IFERROR(ECF[[#This Row],[Nsd (kN)]]/(ECF[[#This Row],[nE]]*PI()*ECF[[#This Row],[Ø (cm)]]^2/4*SIN(ECF[[#This Row],[α]])^2),"N.S.")</f>
        <v>N.S.</v>
      </c>
      <c r="AP91" s="4" t="str">
        <f ca="1">IFERROR(INDEX(grupoEstacas[],ECF[[#This Row],[nE]],MATCH("coef. Blévot",grupoEstacas[#Headers],0)),"N.S.")</f>
        <v>N.S.</v>
      </c>
      <c r="AQ91" s="35" t="str">
        <f ca="1">IFERROR(ECF[[#This Row],[coef. Blévot]]*0.9*INDEX(tipoEstaca[],MATCH($D$2,tipoEstaca[TIPO DE ESTACA],0),MATCH("fcd (kN/cm²)",tipoEstaca[#Headers],0)),"N.S.")</f>
        <v>N.S.</v>
      </c>
      <c r="AR91" s="1" t="str">
        <f ca="1">IF(AND(ECF[[#This Row],[cd,b,pil (kN/cm²)]]&lt;=ECF[[#This Row],[cd,b,lim (kN/cm²)]],ECF[[#This Row],[cd,b,est (kN/cm²)]]&lt;=ECF[[#This Row],[cd,b,lim (kN/cm²)]]),"OK","ERRO")</f>
        <v>OK</v>
      </c>
      <c r="AS91" s="4" t="str">
        <f ca="1">As_lado(ECF[[#This Row],[nE]],ECF[[#This Row],[Nsd (kN)]],ECF[[#This Row],[d (cm)]],ECF[[#This Row],[e (cm)]],ECF[[#This Row],[ap,eq (cm)]])</f>
        <v>N.S.</v>
      </c>
      <c r="AT91" s="4" t="str">
        <f ca="1">IF(ECF[[#This Row],[nE]]=1,ECF[[#This Row],[As,lado (cm²)]],IF(ECF[[#This Row],[nE]]=2,0.075*2*ECF[a (cm)],"N.A."))</f>
        <v>N.A.</v>
      </c>
      <c r="AU91" s="4" t="str">
        <f ca="1">IFERROR(IF(ECF[[#This Row],[nE]]=1,"N.A.",0.2*ECF[[#This Row],[As,lado (cm²)]]),"N.S.")</f>
        <v>N.S.</v>
      </c>
      <c r="AV91" s="4" t="str">
        <f ca="1">As_malha(ECF[[#This Row],[nE]],ECF[[#This Row],[As,lado (cm²)]],ECF[[#This Row],[Nsd (kN)]])</f>
        <v>N.S.</v>
      </c>
      <c r="AW91" s="4" t="str">
        <f ca="1">As_susp_tot(ECF[[#This Row],[nE]],ECF[[#This Row],[Nsd (kN)]])</f>
        <v>N.S.</v>
      </c>
      <c r="AX91" s="4" t="str">
        <f ca="1">Asp_face(ECF[[#This Row],[nE]],ECF[[#This Row],[As,lado (cm²)]])</f>
        <v>N.S.</v>
      </c>
      <c r="AY91" s="5" t="str">
        <f ca="1">acoBloco(ECF[[#This Row],[nE]],ECF[[#This Row],[e (cm)]],ECF[[#This Row],[a (cm)]],ECF[[#This Row],[h (cm)]],ECF[[#This Row],[As,lado (cm²)]],ECF[[#This Row],[Asp e Asw (cm²/m)]],ECF[[#This Row],[As,sup (cm²)]],ECF[[#This Row],[As,malha (cm²)]],ECF[[#This Row],[As,susp,tot (cm²)]],ECF[[#This Row],[Asp,face (cm²)]])</f>
        <v>N.S.</v>
      </c>
      <c r="AZ91" s="4" t="str">
        <f ca="1">concretoBloco(ECF[[#This Row],[nE]],ECF[[#This Row],[e (cm)]],ECF[[#This Row],[a (cm)]],ECF[[#This Row],[h (cm)]])</f>
        <v>N.S.</v>
      </c>
      <c r="BA91" s="5">
        <f ca="1">SUM(ECF[[#This Row],[Aço Est (kg)]],ECF[[#This Row],[Aço Bloco (kg)]])</f>
        <v>98.646009322719507</v>
      </c>
      <c r="BB91" s="4">
        <f>INDEX(composicoes[],MATCH(95580,composicoes[CÓDIGO],0),MATCH("CUSTO TOTAL",composicoes[#Headers],0))</f>
        <v>10.46</v>
      </c>
      <c r="BC91" s="4">
        <f ca="1">SUM(ECF[[#This Row],[Conc Est (m³)]],ECF[[#This Row],[Conc Bloco (m³)]])</f>
        <v>56.548667764616276</v>
      </c>
      <c r="BD91" s="4">
        <f>INDEX(composicoes[],MATCH(94966,composicoes[CÓDIGO],0),MATCH("CUSTO TOTAL",composicoes[#Headers],0))</f>
        <v>439.52</v>
      </c>
      <c r="BE91" s="38">
        <f ca="1">ECF[[#This Row],[Aço (kg)]]*ECF[[#This Row],[Aço (R$/kg)]]+ECF[[#This Row],[Conc (m³)]]*ECF[[#This Row],[Conc (R$/m³)]]</f>
        <v>25886.107713419791</v>
      </c>
      <c r="BF91" s="4" t="str">
        <f ca="1">IF(COUNTIF(ECF[#This Row],"N.S.")&gt;0,"lim.","OK")</f>
        <v>lim.</v>
      </c>
      <c r="BG91" s="4" t="str">
        <f>IF(ECF[[#This Row],[Prof. (m)]]&lt;4,"lim.","OK")</f>
        <v>lim.</v>
      </c>
      <c r="BH91" s="4" t="str">
        <f>IF(ECF[[#This Row],[Prof. (m)]]&gt;=8*ECF[[#This Row],[Ø (cm)]]/100,"OK","lim.")</f>
        <v>lim.</v>
      </c>
      <c r="BI91" s="4" t="str">
        <f>IF(AND(SPT!$F$3&lt;&gt;"",ECF[[#This Row],[Prof. (m)]]&gt;=SPT!$F$3-2),"lim.","OK")</f>
        <v>OK</v>
      </c>
      <c r="BJ91" s="4" t="str">
        <f ca="1">IF(ECF[[#This Row],[Verif. Biela]]="OK","OK","lim.")</f>
        <v>OK</v>
      </c>
      <c r="BK91" s="4" t="str">
        <f ca="1">IF(COUNTA(ECF[[#This Row],[Nº Est.]:[Biela comp.]])=COUNTIF(ECF[[#This Row],[Nº Est.]:[Biela comp.]],"OK"),"OK","lim.")</f>
        <v>lim.</v>
      </c>
      <c r="BL91" s="4" t="str">
        <f ca="1">IF(ECF[[#This Row],[Controle]]="OK",ECF[[#This Row],[nE]]&amp;" Ø"&amp;ECF[[#This Row],[Ø (cm)]]&amp;"cm Prof. "&amp;ECF[[#This Row],[Prof. (m)]]&amp;" m","")</f>
        <v/>
      </c>
      <c r="BM91" s="4" t="str">
        <f ca="1">IF(ECF[[#This Row],[idDimensionamento]]="","",ECF[[#This Row],[idPilar]]&amp;ECF[[#This Row],[idDimensionamento]])</f>
        <v/>
      </c>
    </row>
    <row r="92" spans="2:65" x14ac:dyDescent="0.25">
      <c r="B92" s="12">
        <f>ROUNDUP((ROW(ECF[[#This Row],[idDiâmetro]])-ROW(ECF[[#Headers],[idDiâmetro]]))/(COUNT(SPT[Prof. (m)])*COUNT(PILARES[Pilar])),0)</f>
        <v>4</v>
      </c>
      <c r="C92" s="12">
        <f>IF(ECF[[#This Row],[idDiâmetro]]&lt;&gt;B91,1,IF(ECF[[#This Row],[Prof. (m)]]=0,C91+1,C91))</f>
        <v>1</v>
      </c>
      <c r="D92" s="1">
        <f>IFERROR(IF(D91=MAX(SPT[Prof. (m)]),0,D91+1),0)</f>
        <v>3</v>
      </c>
      <c r="E92" s="1">
        <f>INDEX(SPT[],MATCH(ECF[[#This Row],[Prof. (m)]],SPT[Prof. (m)],0),2)</f>
        <v>4</v>
      </c>
      <c r="F92" s="1" t="str">
        <f>INDEX(SPT[],MATCH(ECF[[#This Row],[Prof. (m)]],SPT[Prof. (m)],0),3)</f>
        <v>Areia siltosa</v>
      </c>
      <c r="G92" s="1">
        <f>INDEX(estacas[],ECF[[#This Row],[idDiâmetro]],MATCH($B$2,estacas[#Headers],0))</f>
        <v>100</v>
      </c>
      <c r="H92" s="1">
        <f>INDEX(estacas[],MATCH(ECF[[#This Row],[Ø (cm)]],estacas[Ø ECF (cm)],0),MATCH(ECF[[#Headers],[Pe ECF (kN)]],estacas[#Headers],0))</f>
        <v>3100</v>
      </c>
      <c r="I92" s="4">
        <f>INDEX(K_alpha_C[],MATCH(ECF[[#This Row],[Solo]],K_alpha_C[Solo],0),2)</f>
        <v>0.8</v>
      </c>
      <c r="J92" s="5">
        <f>INDEX(K_alpha_C[],MATCH(ECF[[#This Row],[Solo]],K_alpha_C[Solo],0),3)</f>
        <v>2</v>
      </c>
      <c r="K92" s="4">
        <f>INDEX(F1_F2[],MATCH($D$2,F1_F2[Tipo de estaca],0),2)</f>
        <v>3</v>
      </c>
      <c r="L92" s="4">
        <f>INDEX(F1_F2[],MATCH($D$2,F1_F2[Tipo de estaca],0),3)</f>
        <v>6</v>
      </c>
      <c r="M92" s="4">
        <f>PI()*(ECF[[#This Row],[Ø (cm)]]/100)^2/4</f>
        <v>0.78539816339744828</v>
      </c>
      <c r="N92" s="4">
        <f>PI()*ECF[[#This Row],[Ø (cm)]]/100</f>
        <v>3.1415926535897931</v>
      </c>
      <c r="O92" s="4">
        <f>IF(ECF[[#This Row],[Prof. (m)]]=0,0,ECF[[#This Row],[α (%)]]/100*ECF[[#This Row],[K (MPa)]]*1000*ECF[[#This Row],[NSPT]])</f>
        <v>64</v>
      </c>
      <c r="P92" s="4">
        <f>IF(ECF[[#This Row],[Prof. (m)]]=0,0,(ECF[[#This Row],[K (MPa)]]*1000*ECF[[#This Row],[NSPT]]/ECF[[#This Row],[F1]]*ECF[[#This Row],[Ap (m²)]]+ECF[[#This Row],[U (m)]]/ECF[[#This Row],[F2]]*SUMIFS(ECF[(α∙K∙NL∙ΔL)],ECF[Prof. (m)],"&lt;="&amp;ECF[[#This Row],[Prof. (m)]],ECF[idDiâmetro],ECF[[#This Row],[idDiâmetro]],ECF[idPilar],ECF[[#This Row],[idPilar]]))/'DADOS CAP. CARGA'!$D$2)</f>
        <v>452.38934211693027</v>
      </c>
      <c r="Q92" s="12">
        <f>INDEX(C_alpha_beta[],MATCH(ECF[[#This Row],[Solo]],C_alpha_beta[Solo],0),MATCH(ECF[[#Headers],[C (kPa)]],C_alpha_beta[#Headers],0))</f>
        <v>400</v>
      </c>
      <c r="R92" s="4">
        <f>INDEX(C_alpha_beta[],MATCH(ECF[[#This Row],[Solo]],C_alpha_beta[Solo],0),MATCH(ECF[[#Headers],[α ESF]],C_alpha_beta[#Headers],0))</f>
        <v>0.5</v>
      </c>
      <c r="S92" s="4">
        <f>INDEX(C_alpha_beta[],MATCH(ECF[[#This Row],[Solo]],C_alpha_beta[Solo],0),MATCH(ECF[[#Headers],[β ESF]],C_alpha_beta[#Headers],0))</f>
        <v>0.5</v>
      </c>
      <c r="T92" s="4">
        <f>IF(ECF[[#This Row],[Prof. (m)]]=0,0,10*(ECF[[#This Row],[NSPT]]/3+1))</f>
        <v>23.333333333333329</v>
      </c>
      <c r="U92" s="4">
        <f>(ECF[[#This Row],[α ESF]]*ECF[[#This Row],[C (kPa)]]*ECF[[#This Row],[NSPT]]*ECF[[#This Row],[Ap (m²)]])/'DADOS CAP. CARGA'!$Q$2+(ECF[[#This Row],[β ESF]]*SUMIFS(ECF[10∙(NL/3+1)],ECF[Prof. (m)],"&lt;="&amp;ECF[[#This Row],[Prof. (m)]],ECF[idDiâmetro],ECF[[#This Row],[idDiâmetro]],ECF[idPilar],ECF[[#This Row],[idPilar]])*ECF[[#This Row],[U (m)]])/'DADOS CAP. CARGA'!$S$2</f>
        <v>201.58552860534508</v>
      </c>
      <c r="V92" s="4">
        <f>IF(SPT!$M$5=1,MIN(ECF[[#This Row],[Pe ECF (kN)]],ECF[[#This Row],[R_AV (kN)]]),IF(SPT!$M$5=2,MIN(ECF[[#This Row],[Pe ECF (kN)]],ECF[[#This Row],[R_DC (kN)]]),MIN(ECF[[#This Row],[Pe ECF (kN)]],ECF[[#This Row],[R_AV (kN)]],ECF[[#This Row],[R_DC (kN)]])))</f>
        <v>201.58552860534508</v>
      </c>
      <c r="W92" s="4">
        <f>INDEX(PILARES[],ECF[[#This Row],[idPilar]],MATCH("Carga (kN)",PILARES[#Headers],0))*1.4</f>
        <v>3500</v>
      </c>
      <c r="X92" s="12">
        <f>INDEX(PILARES[],ECF[[#This Row],[idPilar]],MATCH(ECF[[#Headers],[ap (cm)]],PILARES[#Headers],0))</f>
        <v>60</v>
      </c>
      <c r="Y92" s="12">
        <f>INDEX(PILARES[],ECF[[#This Row],[idPilar]],MATCH(ECF[[#Headers],[bp (cm)]],PILARES[#Headers],0))</f>
        <v>60</v>
      </c>
      <c r="Z92" s="4">
        <f>SQRT(ECF[[#This Row],[ap (cm)]]*ECF[[#This Row],[bp (cm)]])</f>
        <v>60</v>
      </c>
      <c r="AA92" s="12">
        <f>ECF[[#This Row],[ap (cm)]]*ECF[[#This Row],[bp (cm)]]</f>
        <v>3600</v>
      </c>
      <c r="AB92" s="12">
        <f ca="1">IF(ECF[[#This Row],[Padm∙ε (kN)]]&gt;=ECF[[#This Row],[Padm (kN)]],ROUNDUP(1.05*ECF[[#This Row],[Nsd (kN)]]/ECF[[#This Row],[Padm (kN)]],0),ROUNDUP(1.05*ECF[[#This Row],[Nsd (kN)]]/ECF[[#This Row],[Padm (kN)]],0)+1)</f>
        <v>19</v>
      </c>
      <c r="AC92" s="4" t="str">
        <f ca="1">IFERROR(IF(ECF[[#This Row],[nE]]=1,ECF[[#This Row],[Padm (kN)]],ECF[[#This Row],[Padm (kN)]]*ECF[[#This Row],[nE]]*INDEX(grupoEstacas[],ECF[[#This Row],[nE]],MATCH("ε",grupoEstacas[#Headers],0))),"N.S.")</f>
        <v>N.S.</v>
      </c>
      <c r="AD92" s="4">
        <f ca="1">1.05*ECF[[#This Row],[Nsd (kN)]]/(ECF[[#This Row],[nE]]*PI()*ECF[[#This Row],[Ø (cm)]]^2/4)*10</f>
        <v>0.24627133299482754</v>
      </c>
      <c r="AE92" s="4">
        <f ca="1">IF(ECF[[#This Row],[σ (MPa)]]&lt;INDEX(tipoEstaca[],MATCH($D$2,tipoEstaca[TIPO DE ESTACA],0),MATCH("σmáx (MPa)",tipoEstaca[#Headers],0)),0.4%*PI()*ECF[[#This Row],[Ø (cm)]]^2/4,"N.S.")</f>
        <v>31.415926535897935</v>
      </c>
      <c r="AF92" s="1">
        <f>INDEX(tipoEstaca[],MATCH($D$2,tipoEstaca[TIPO DE ESTACA],0),MATCH(ECF[[#Headers],[Comprimento (m)]],tipoEstaca[#Headers],0))</f>
        <v>4</v>
      </c>
      <c r="AG92" s="5">
        <f ca="1">ECF[[#This Row],[As,mín (cm²)]]/100^2*ECF[[#This Row],[Comprimento (m)]]*7850</f>
        <v>98.646009322719507</v>
      </c>
      <c r="AH92" s="4">
        <f ca="1">ECF[[#This Row],[nE]]*ECF[[#This Row],[Prof. (m)]]*ECF[[#This Row],[Ap (m²)]]</f>
        <v>44.767695313654549</v>
      </c>
      <c r="AI92" s="1">
        <f ca="1">IF(ECF[[#This Row],[nE]]=1,0,MAX(3*ECF[[#This Row],[Ø (cm)]],60))</f>
        <v>300</v>
      </c>
      <c r="AJ92" s="1">
        <f ca="1">IF(ECF[[#This Row],[nE]]=1,ECF[[#This Row],[Ø (cm)]]+2*10,MAX(1.5*ECF[[#This Row],[Ø (cm)]],ECF[[#This Row],[Ø (cm)]]+15))</f>
        <v>150</v>
      </c>
      <c r="AK92" s="1" t="str">
        <f ca="1">alturaUtil(ECF[[#This Row],[nE]],ECF[[#This Row],[Ø (cm)]],ECF[[#This Row],[e (cm)]],ECF[[#This Row],[ap,eq (cm)]])</f>
        <v>N.S.</v>
      </c>
      <c r="AL92" s="1" t="str">
        <f ca="1">IFERROR(ECF[[#This Row],[d (cm)]]+arredondarParaCimaMultiplo5cm(MAX(5,SQRT(PI())/2*ECF[[#This Row],[Ø (cm)]]/5)),"N.S.")</f>
        <v>N.S.</v>
      </c>
      <c r="AM92" s="5" t="str">
        <f ca="1">alpha(ECF[[#This Row],[nE]],ECF[[#This Row],[d (cm)]],ECF[[#This Row],[e (cm)]],ECF[[#This Row],[ap,eq (cm)]])</f>
        <v>N.S.</v>
      </c>
      <c r="AN92" s="35" t="str">
        <f ca="1">IFERROR(ECF[[#This Row],[Nsd (kN)]]/(ECF[[#This Row],[Ap (cm²)]]*SIN(ECF[[#This Row],[α]])^2),"N.S.")</f>
        <v>N.S.</v>
      </c>
      <c r="AO92" s="35" t="str">
        <f ca="1">IFERROR(ECF[[#This Row],[Nsd (kN)]]/(ECF[[#This Row],[nE]]*PI()*ECF[[#This Row],[Ø (cm)]]^2/4*SIN(ECF[[#This Row],[α]])^2),"N.S.")</f>
        <v>N.S.</v>
      </c>
      <c r="AP92" s="4" t="str">
        <f ca="1">IFERROR(INDEX(grupoEstacas[],ECF[[#This Row],[nE]],MATCH("coef. Blévot",grupoEstacas[#Headers],0)),"N.S.")</f>
        <v>N.S.</v>
      </c>
      <c r="AQ92" s="35" t="str">
        <f ca="1">IFERROR(ECF[[#This Row],[coef. Blévot]]*0.9*INDEX(tipoEstaca[],MATCH($D$2,tipoEstaca[TIPO DE ESTACA],0),MATCH("fcd (kN/cm²)",tipoEstaca[#Headers],0)),"N.S.")</f>
        <v>N.S.</v>
      </c>
      <c r="AR92" s="1" t="str">
        <f ca="1">IF(AND(ECF[[#This Row],[cd,b,pil (kN/cm²)]]&lt;=ECF[[#This Row],[cd,b,lim (kN/cm²)]],ECF[[#This Row],[cd,b,est (kN/cm²)]]&lt;=ECF[[#This Row],[cd,b,lim (kN/cm²)]]),"OK","ERRO")</f>
        <v>OK</v>
      </c>
      <c r="AS92" s="4" t="str">
        <f ca="1">As_lado(ECF[[#This Row],[nE]],ECF[[#This Row],[Nsd (kN)]],ECF[[#This Row],[d (cm)]],ECF[[#This Row],[e (cm)]],ECF[[#This Row],[ap,eq (cm)]])</f>
        <v>N.S.</v>
      </c>
      <c r="AT92" s="4" t="str">
        <f ca="1">IF(ECF[[#This Row],[nE]]=1,ECF[[#This Row],[As,lado (cm²)]],IF(ECF[[#This Row],[nE]]=2,0.075*2*ECF[a (cm)],"N.A."))</f>
        <v>N.A.</v>
      </c>
      <c r="AU92" s="4" t="str">
        <f ca="1">IFERROR(IF(ECF[[#This Row],[nE]]=1,"N.A.",0.2*ECF[[#This Row],[As,lado (cm²)]]),"N.S.")</f>
        <v>N.S.</v>
      </c>
      <c r="AV92" s="4" t="str">
        <f ca="1">As_malha(ECF[[#This Row],[nE]],ECF[[#This Row],[As,lado (cm²)]],ECF[[#This Row],[Nsd (kN)]])</f>
        <v>N.S.</v>
      </c>
      <c r="AW92" s="4" t="str">
        <f ca="1">As_susp_tot(ECF[[#This Row],[nE]],ECF[[#This Row],[Nsd (kN)]])</f>
        <v>N.S.</v>
      </c>
      <c r="AX92" s="4" t="str">
        <f ca="1">Asp_face(ECF[[#This Row],[nE]],ECF[[#This Row],[As,lado (cm²)]])</f>
        <v>N.S.</v>
      </c>
      <c r="AY92" s="5" t="str">
        <f ca="1">acoBloco(ECF[[#This Row],[nE]],ECF[[#This Row],[e (cm)]],ECF[[#This Row],[a (cm)]],ECF[[#This Row],[h (cm)]],ECF[[#This Row],[As,lado (cm²)]],ECF[[#This Row],[Asp e Asw (cm²/m)]],ECF[[#This Row],[As,sup (cm²)]],ECF[[#This Row],[As,malha (cm²)]],ECF[[#This Row],[As,susp,tot (cm²)]],ECF[[#This Row],[Asp,face (cm²)]])</f>
        <v>N.S.</v>
      </c>
      <c r="AZ92" s="4" t="str">
        <f ca="1">concretoBloco(ECF[[#This Row],[nE]],ECF[[#This Row],[e (cm)]],ECF[[#This Row],[a (cm)]],ECF[[#This Row],[h (cm)]])</f>
        <v>N.S.</v>
      </c>
      <c r="BA92" s="5">
        <f ca="1">SUM(ECF[[#This Row],[Aço Est (kg)]],ECF[[#This Row],[Aço Bloco (kg)]])</f>
        <v>98.646009322719507</v>
      </c>
      <c r="BB92" s="4">
        <f>INDEX(composicoes[],MATCH(95580,composicoes[CÓDIGO],0),MATCH("CUSTO TOTAL",composicoes[#Headers],0))</f>
        <v>10.46</v>
      </c>
      <c r="BC92" s="4">
        <f ca="1">SUM(ECF[[#This Row],[Conc Est (m³)]],ECF[[#This Row],[Conc Bloco (m³)]])</f>
        <v>44.767695313654549</v>
      </c>
      <c r="BD92" s="4">
        <f>INDEX(composicoes[],MATCH(94966,composicoes[CÓDIGO],0),MATCH("CUSTO TOTAL",composicoes[#Headers],0))</f>
        <v>439.52</v>
      </c>
      <c r="BE92" s="38">
        <f ca="1">ECF[[#This Row],[Aço (kg)]]*ECF[[#This Row],[Aço (R$/kg)]]+ECF[[#This Row],[Conc (m³)]]*ECF[[#This Row],[Conc (R$/m³)]]</f>
        <v>20708.134701773091</v>
      </c>
      <c r="BF92" s="4" t="str">
        <f ca="1">IF(COUNTIF(ECF[#This Row],"N.S.")&gt;0,"lim.","OK")</f>
        <v>lim.</v>
      </c>
      <c r="BG92" s="4" t="str">
        <f>IF(ECF[[#This Row],[Prof. (m)]]&lt;4,"lim.","OK")</f>
        <v>lim.</v>
      </c>
      <c r="BH92" s="4" t="str">
        <f>IF(ECF[[#This Row],[Prof. (m)]]&gt;=8*ECF[[#This Row],[Ø (cm)]]/100,"OK","lim.")</f>
        <v>lim.</v>
      </c>
      <c r="BI92" s="4" t="str">
        <f>IF(AND(SPT!$F$3&lt;&gt;"",ECF[[#This Row],[Prof. (m)]]&gt;=SPT!$F$3-2),"lim.","OK")</f>
        <v>OK</v>
      </c>
      <c r="BJ92" s="4" t="str">
        <f ca="1">IF(ECF[[#This Row],[Verif. Biela]]="OK","OK","lim.")</f>
        <v>OK</v>
      </c>
      <c r="BK92" s="4" t="str">
        <f ca="1">IF(COUNTA(ECF[[#This Row],[Nº Est.]:[Biela comp.]])=COUNTIF(ECF[[#This Row],[Nº Est.]:[Biela comp.]],"OK"),"OK","lim.")</f>
        <v>lim.</v>
      </c>
      <c r="BL92" s="4" t="str">
        <f ca="1">IF(ECF[[#This Row],[Controle]]="OK",ECF[[#This Row],[nE]]&amp;" Ø"&amp;ECF[[#This Row],[Ø (cm)]]&amp;"cm Prof. "&amp;ECF[[#This Row],[Prof. (m)]]&amp;" m","")</f>
        <v/>
      </c>
      <c r="BM92" s="4" t="str">
        <f ca="1">IF(ECF[[#This Row],[idDimensionamento]]="","",ECF[[#This Row],[idPilar]]&amp;ECF[[#This Row],[idDimensionamento]])</f>
        <v/>
      </c>
    </row>
    <row r="93" spans="2:65" x14ac:dyDescent="0.25">
      <c r="B93" s="12">
        <f>ROUNDUP((ROW(ECF[[#This Row],[idDiâmetro]])-ROW(ECF[[#Headers],[idDiâmetro]]))/(COUNT(SPT[Prof. (m)])*COUNT(PILARES[Pilar])),0)</f>
        <v>4</v>
      </c>
      <c r="C93" s="12">
        <f>IF(ECF[[#This Row],[idDiâmetro]]&lt;&gt;B92,1,IF(ECF[[#This Row],[Prof. (m)]]=0,C92+1,C92))</f>
        <v>1</v>
      </c>
      <c r="D93" s="1">
        <f>IFERROR(IF(D92=MAX(SPT[Prof. (m)]),0,D92+1),0)</f>
        <v>4</v>
      </c>
      <c r="E93" s="1">
        <f>INDEX(SPT[],MATCH(ECF[[#This Row],[Prof. (m)]],SPT[Prof. (m)],0),2)</f>
        <v>8</v>
      </c>
      <c r="F93" s="1" t="str">
        <f>INDEX(SPT[],MATCH(ECF[[#This Row],[Prof. (m)]],SPT[Prof. (m)],0),3)</f>
        <v>Areia siltosa</v>
      </c>
      <c r="G93" s="1">
        <f>INDEX(estacas[],ECF[[#This Row],[idDiâmetro]],MATCH($B$2,estacas[#Headers],0))</f>
        <v>100</v>
      </c>
      <c r="H93" s="1">
        <f>INDEX(estacas[],MATCH(ECF[[#This Row],[Ø (cm)]],estacas[Ø ECF (cm)],0),MATCH(ECF[[#Headers],[Pe ECF (kN)]],estacas[#Headers],0))</f>
        <v>3100</v>
      </c>
      <c r="I93" s="4">
        <f>INDEX(K_alpha_C[],MATCH(ECF[[#This Row],[Solo]],K_alpha_C[Solo],0),2)</f>
        <v>0.8</v>
      </c>
      <c r="J93" s="5">
        <f>INDEX(K_alpha_C[],MATCH(ECF[[#This Row],[Solo]],K_alpha_C[Solo],0),3)</f>
        <v>2</v>
      </c>
      <c r="K93" s="4">
        <f>INDEX(F1_F2[],MATCH($D$2,F1_F2[Tipo de estaca],0),2)</f>
        <v>3</v>
      </c>
      <c r="L93" s="4">
        <f>INDEX(F1_F2[],MATCH($D$2,F1_F2[Tipo de estaca],0),3)</f>
        <v>6</v>
      </c>
      <c r="M93" s="4">
        <f>PI()*(ECF[[#This Row],[Ø (cm)]]/100)^2/4</f>
        <v>0.78539816339744828</v>
      </c>
      <c r="N93" s="4">
        <f>PI()*ECF[[#This Row],[Ø (cm)]]/100</f>
        <v>3.1415926535897931</v>
      </c>
      <c r="O93" s="4">
        <f>IF(ECF[[#This Row],[Prof. (m)]]=0,0,ECF[[#This Row],[α (%)]]/100*ECF[[#This Row],[K (MPa)]]*1000*ECF[[#This Row],[NSPT]])</f>
        <v>128</v>
      </c>
      <c r="P93" s="4">
        <f>IF(ECF[[#This Row],[Prof. (m)]]=0,0,(ECF[[#This Row],[K (MPa)]]*1000*ECF[[#This Row],[NSPT]]/ECF[[#This Row],[F1]]*ECF[[#This Row],[Ap (m²)]]+ECF[[#This Row],[U (m)]]/ECF[[#This Row],[F2]]*SUMIFS(ECF[(α∙K∙NL∙ΔL)],ECF[Prof. (m)],"&lt;="&amp;ECF[[#This Row],[Prof. (m)]],ECF[idDiâmetro],ECF[[#This Row],[idDiâmetro]],ECF[idPilar],ECF[[#This Row],[idPilar]]))/'DADOS CAP. CARGA'!$D$2)</f>
        <v>904.77868423386053</v>
      </c>
      <c r="Q93" s="12">
        <f>INDEX(C_alpha_beta[],MATCH(ECF[[#This Row],[Solo]],C_alpha_beta[Solo],0),MATCH(ECF[[#Headers],[C (kPa)]],C_alpha_beta[#Headers],0))</f>
        <v>400</v>
      </c>
      <c r="R93" s="4">
        <f>INDEX(C_alpha_beta[],MATCH(ECF[[#This Row],[Solo]],C_alpha_beta[Solo],0),MATCH(ECF[[#Headers],[α ESF]],C_alpha_beta[#Headers],0))</f>
        <v>0.5</v>
      </c>
      <c r="S93" s="4">
        <f>INDEX(C_alpha_beta[],MATCH(ECF[[#This Row],[Solo]],C_alpha_beta[Solo],0),MATCH(ECF[[#Headers],[β ESF]],C_alpha_beta[#Headers],0))</f>
        <v>0.5</v>
      </c>
      <c r="T93" s="4">
        <f>IF(ECF[[#This Row],[Prof. (m)]]=0,0,10*(ECF[[#This Row],[NSPT]]/3+1))</f>
        <v>36.666666666666664</v>
      </c>
      <c r="U93" s="4">
        <f>(ECF[[#This Row],[α ESF]]*ECF[[#This Row],[C (kPa)]]*ECF[[#This Row],[NSPT]]*ECF[[#This Row],[Ap (m²)]])/'DADOS CAP. CARGA'!$Q$2+(ECF[[#This Row],[β ESF]]*SUMIFS(ECF[10∙(NL/3+1)],ECF[Prof. (m)],"&lt;="&amp;ECF[[#This Row],[Prof. (m)]],ECF[idDiâmetro],ECF[[#This Row],[idDiâmetro]],ECF[idPilar],ECF[[#This Row],[idPilar]])*ECF[[#This Row],[U (m)]])/'DADOS CAP. CARGA'!$S$2</f>
        <v>387.46309394274112</v>
      </c>
      <c r="V93" s="4">
        <f>IF(SPT!$M$5=1,MIN(ECF[[#This Row],[Pe ECF (kN)]],ECF[[#This Row],[R_AV (kN)]]),IF(SPT!$M$5=2,MIN(ECF[[#This Row],[Pe ECF (kN)]],ECF[[#This Row],[R_DC (kN)]]),MIN(ECF[[#This Row],[Pe ECF (kN)]],ECF[[#This Row],[R_AV (kN)]],ECF[[#This Row],[R_DC (kN)]])))</f>
        <v>387.46309394274112</v>
      </c>
      <c r="W93" s="4">
        <f>INDEX(PILARES[],ECF[[#This Row],[idPilar]],MATCH("Carga (kN)",PILARES[#Headers],0))*1.4</f>
        <v>3500</v>
      </c>
      <c r="X93" s="12">
        <f>INDEX(PILARES[],ECF[[#This Row],[idPilar]],MATCH(ECF[[#Headers],[ap (cm)]],PILARES[#Headers],0))</f>
        <v>60</v>
      </c>
      <c r="Y93" s="12">
        <f>INDEX(PILARES[],ECF[[#This Row],[idPilar]],MATCH(ECF[[#Headers],[bp (cm)]],PILARES[#Headers],0))</f>
        <v>60</v>
      </c>
      <c r="Z93" s="4">
        <f>SQRT(ECF[[#This Row],[ap (cm)]]*ECF[[#This Row],[bp (cm)]])</f>
        <v>60</v>
      </c>
      <c r="AA93" s="12">
        <f>ECF[[#This Row],[ap (cm)]]*ECF[[#This Row],[bp (cm)]]</f>
        <v>3600</v>
      </c>
      <c r="AB93" s="12">
        <f ca="1">IF(ECF[[#This Row],[Padm∙ε (kN)]]&gt;=ECF[[#This Row],[Padm (kN)]],ROUNDUP(1.05*ECF[[#This Row],[Nsd (kN)]]/ECF[[#This Row],[Padm (kN)]],0),ROUNDUP(1.05*ECF[[#This Row],[Nsd (kN)]]/ECF[[#This Row],[Padm (kN)]],0)+1)</f>
        <v>10</v>
      </c>
      <c r="AC93" s="4" t="str">
        <f ca="1">IFERROR(IF(ECF[[#This Row],[nE]]=1,ECF[[#This Row],[Padm (kN)]],ECF[[#This Row],[Padm (kN)]]*ECF[[#This Row],[nE]]*INDEX(grupoEstacas[],ECF[[#This Row],[nE]],MATCH("ε",grupoEstacas[#Headers],0))),"N.S.")</f>
        <v>N.S.</v>
      </c>
      <c r="AD93" s="4">
        <f ca="1">1.05*ECF[[#This Row],[Nsd (kN)]]/(ECF[[#This Row],[nE]]*PI()*ECF[[#This Row],[Ø (cm)]]^2/4)*10</f>
        <v>0.46791553269017233</v>
      </c>
      <c r="AE93" s="4">
        <f ca="1">IF(ECF[[#This Row],[σ (MPa)]]&lt;INDEX(tipoEstaca[],MATCH($D$2,tipoEstaca[TIPO DE ESTACA],0),MATCH("σmáx (MPa)",tipoEstaca[#Headers],0)),0.4%*PI()*ECF[[#This Row],[Ø (cm)]]^2/4,"N.S.")</f>
        <v>31.415926535897935</v>
      </c>
      <c r="AF93" s="1">
        <f>INDEX(tipoEstaca[],MATCH($D$2,tipoEstaca[TIPO DE ESTACA],0),MATCH(ECF[[#Headers],[Comprimento (m)]],tipoEstaca[#Headers],0))</f>
        <v>4</v>
      </c>
      <c r="AG93" s="5">
        <f ca="1">ECF[[#This Row],[As,mín (cm²)]]/100^2*ECF[[#This Row],[Comprimento (m)]]*7850</f>
        <v>98.646009322719507</v>
      </c>
      <c r="AH93" s="4">
        <f ca="1">ECF[[#This Row],[nE]]*ECF[[#This Row],[Prof. (m)]]*ECF[[#This Row],[Ap (m²)]]</f>
        <v>31.415926535897931</v>
      </c>
      <c r="AI93" s="1">
        <f ca="1">IF(ECF[[#This Row],[nE]]=1,0,MAX(3*ECF[[#This Row],[Ø (cm)]],60))</f>
        <v>300</v>
      </c>
      <c r="AJ93" s="1">
        <f ca="1">IF(ECF[[#This Row],[nE]]=1,ECF[[#This Row],[Ø (cm)]]+2*10,MAX(1.5*ECF[[#This Row],[Ø (cm)]],ECF[[#This Row],[Ø (cm)]]+15))</f>
        <v>150</v>
      </c>
      <c r="AK93" s="1" t="str">
        <f ca="1">alturaUtil(ECF[[#This Row],[nE]],ECF[[#This Row],[Ø (cm)]],ECF[[#This Row],[e (cm)]],ECF[[#This Row],[ap,eq (cm)]])</f>
        <v>N.S.</v>
      </c>
      <c r="AL93" s="1" t="str">
        <f ca="1">IFERROR(ECF[[#This Row],[d (cm)]]+arredondarParaCimaMultiplo5cm(MAX(5,SQRT(PI())/2*ECF[[#This Row],[Ø (cm)]]/5)),"N.S.")</f>
        <v>N.S.</v>
      </c>
      <c r="AM93" s="5" t="str">
        <f ca="1">alpha(ECF[[#This Row],[nE]],ECF[[#This Row],[d (cm)]],ECF[[#This Row],[e (cm)]],ECF[[#This Row],[ap,eq (cm)]])</f>
        <v>N.S.</v>
      </c>
      <c r="AN93" s="35" t="str">
        <f ca="1">IFERROR(ECF[[#This Row],[Nsd (kN)]]/(ECF[[#This Row],[Ap (cm²)]]*SIN(ECF[[#This Row],[α]])^2),"N.S.")</f>
        <v>N.S.</v>
      </c>
      <c r="AO93" s="35" t="str">
        <f ca="1">IFERROR(ECF[[#This Row],[Nsd (kN)]]/(ECF[[#This Row],[nE]]*PI()*ECF[[#This Row],[Ø (cm)]]^2/4*SIN(ECF[[#This Row],[α]])^2),"N.S.")</f>
        <v>N.S.</v>
      </c>
      <c r="AP93" s="4" t="str">
        <f ca="1">IFERROR(INDEX(grupoEstacas[],ECF[[#This Row],[nE]],MATCH("coef. Blévot",grupoEstacas[#Headers],0)),"N.S.")</f>
        <v>N.S.</v>
      </c>
      <c r="AQ93" s="35" t="str">
        <f ca="1">IFERROR(ECF[[#This Row],[coef. Blévot]]*0.9*INDEX(tipoEstaca[],MATCH($D$2,tipoEstaca[TIPO DE ESTACA],0),MATCH("fcd (kN/cm²)",tipoEstaca[#Headers],0)),"N.S.")</f>
        <v>N.S.</v>
      </c>
      <c r="AR93" s="1" t="str">
        <f ca="1">IF(AND(ECF[[#This Row],[cd,b,pil (kN/cm²)]]&lt;=ECF[[#This Row],[cd,b,lim (kN/cm²)]],ECF[[#This Row],[cd,b,est (kN/cm²)]]&lt;=ECF[[#This Row],[cd,b,lim (kN/cm²)]]),"OK","ERRO")</f>
        <v>OK</v>
      </c>
      <c r="AS93" s="4" t="str">
        <f ca="1">As_lado(ECF[[#This Row],[nE]],ECF[[#This Row],[Nsd (kN)]],ECF[[#This Row],[d (cm)]],ECF[[#This Row],[e (cm)]],ECF[[#This Row],[ap,eq (cm)]])</f>
        <v>N.S.</v>
      </c>
      <c r="AT93" s="4" t="str">
        <f ca="1">IF(ECF[[#This Row],[nE]]=1,ECF[[#This Row],[As,lado (cm²)]],IF(ECF[[#This Row],[nE]]=2,0.075*2*ECF[a (cm)],"N.A."))</f>
        <v>N.A.</v>
      </c>
      <c r="AU93" s="4" t="str">
        <f ca="1">IFERROR(IF(ECF[[#This Row],[nE]]=1,"N.A.",0.2*ECF[[#This Row],[As,lado (cm²)]]),"N.S.")</f>
        <v>N.S.</v>
      </c>
      <c r="AV93" s="4" t="str">
        <f ca="1">As_malha(ECF[[#This Row],[nE]],ECF[[#This Row],[As,lado (cm²)]],ECF[[#This Row],[Nsd (kN)]])</f>
        <v>N.S.</v>
      </c>
      <c r="AW93" s="4" t="str">
        <f ca="1">As_susp_tot(ECF[[#This Row],[nE]],ECF[[#This Row],[Nsd (kN)]])</f>
        <v>N.S.</v>
      </c>
      <c r="AX93" s="4" t="str">
        <f ca="1">Asp_face(ECF[[#This Row],[nE]],ECF[[#This Row],[As,lado (cm²)]])</f>
        <v>N.S.</v>
      </c>
      <c r="AY93" s="5" t="str">
        <f ca="1">acoBloco(ECF[[#This Row],[nE]],ECF[[#This Row],[e (cm)]],ECF[[#This Row],[a (cm)]],ECF[[#This Row],[h (cm)]],ECF[[#This Row],[As,lado (cm²)]],ECF[[#This Row],[Asp e Asw (cm²/m)]],ECF[[#This Row],[As,sup (cm²)]],ECF[[#This Row],[As,malha (cm²)]],ECF[[#This Row],[As,susp,tot (cm²)]],ECF[[#This Row],[Asp,face (cm²)]])</f>
        <v>N.S.</v>
      </c>
      <c r="AZ93" s="4" t="str">
        <f ca="1">concretoBloco(ECF[[#This Row],[nE]],ECF[[#This Row],[e (cm)]],ECF[[#This Row],[a (cm)]],ECF[[#This Row],[h (cm)]])</f>
        <v>N.S.</v>
      </c>
      <c r="BA93" s="5">
        <f ca="1">SUM(ECF[[#This Row],[Aço Est (kg)]],ECF[[#This Row],[Aço Bloco (kg)]])</f>
        <v>98.646009322719507</v>
      </c>
      <c r="BB93" s="4">
        <f>INDEX(composicoes[],MATCH(95580,composicoes[CÓDIGO],0),MATCH("CUSTO TOTAL",composicoes[#Headers],0))</f>
        <v>10.46</v>
      </c>
      <c r="BC93" s="4">
        <f ca="1">SUM(ECF[[#This Row],[Conc Est (m³)]],ECF[[#This Row],[Conc Bloco (m³)]])</f>
        <v>31.415926535897931</v>
      </c>
      <c r="BD93" s="4">
        <f>INDEX(composicoes[],MATCH(94966,composicoes[CÓDIGO],0),MATCH("CUSTO TOTAL",composicoes[#Headers],0))</f>
        <v>439.52</v>
      </c>
      <c r="BE93" s="38">
        <f ca="1">ECF[[#This Row],[Aço (kg)]]*ECF[[#This Row],[Aço (R$/kg)]]+ECF[[#This Row],[Conc (m³)]]*ECF[[#This Row],[Conc (R$/m³)]]</f>
        <v>14839.765288573504</v>
      </c>
      <c r="BF93" s="4" t="str">
        <f ca="1">IF(COUNTIF(ECF[#This Row],"N.S.")&gt;0,"lim.","OK")</f>
        <v>lim.</v>
      </c>
      <c r="BG93" s="4" t="str">
        <f>IF(ECF[[#This Row],[Prof. (m)]]&lt;4,"lim.","OK")</f>
        <v>OK</v>
      </c>
      <c r="BH93" s="4" t="str">
        <f>IF(ECF[[#This Row],[Prof. (m)]]&gt;=8*ECF[[#This Row],[Ø (cm)]]/100,"OK","lim.")</f>
        <v>lim.</v>
      </c>
      <c r="BI93" s="4" t="str">
        <f>IF(AND(SPT!$F$3&lt;&gt;"",ECF[[#This Row],[Prof. (m)]]&gt;=SPT!$F$3-2),"lim.","OK")</f>
        <v>OK</v>
      </c>
      <c r="BJ93" s="4" t="str">
        <f ca="1">IF(ECF[[#This Row],[Verif. Biela]]="OK","OK","lim.")</f>
        <v>OK</v>
      </c>
      <c r="BK93" s="4" t="str">
        <f ca="1">IF(COUNTA(ECF[[#This Row],[Nº Est.]:[Biela comp.]])=COUNTIF(ECF[[#This Row],[Nº Est.]:[Biela comp.]],"OK"),"OK","lim.")</f>
        <v>lim.</v>
      </c>
      <c r="BL93" s="4" t="str">
        <f ca="1">IF(ECF[[#This Row],[Controle]]="OK",ECF[[#This Row],[nE]]&amp;" Ø"&amp;ECF[[#This Row],[Ø (cm)]]&amp;"cm Prof. "&amp;ECF[[#This Row],[Prof. (m)]]&amp;" m","")</f>
        <v/>
      </c>
      <c r="BM93" s="4" t="str">
        <f ca="1">IF(ECF[[#This Row],[idDimensionamento]]="","",ECF[[#This Row],[idPilar]]&amp;ECF[[#This Row],[idDimensionamento]])</f>
        <v/>
      </c>
    </row>
    <row r="94" spans="2:65" x14ac:dyDescent="0.25">
      <c r="B94" s="12">
        <f>ROUNDUP((ROW(ECF[[#This Row],[idDiâmetro]])-ROW(ECF[[#Headers],[idDiâmetro]]))/(COUNT(SPT[Prof. (m)])*COUNT(PILARES[Pilar])),0)</f>
        <v>4</v>
      </c>
      <c r="C94" s="12">
        <f>IF(ECF[[#This Row],[idDiâmetro]]&lt;&gt;B93,1,IF(ECF[[#This Row],[Prof. (m)]]=0,C93+1,C93))</f>
        <v>1</v>
      </c>
      <c r="D94" s="1">
        <f>IFERROR(IF(D93=MAX(SPT[Prof. (m)]),0,D93+1),0)</f>
        <v>5</v>
      </c>
      <c r="E94" s="1">
        <f>INDEX(SPT[],MATCH(ECF[[#This Row],[Prof. (m)]],SPT[Prof. (m)],0),2)</f>
        <v>17</v>
      </c>
      <c r="F94" s="1" t="str">
        <f>INDEX(SPT[],MATCH(ECF[[#This Row],[Prof. (m)]],SPT[Prof. (m)],0),3)</f>
        <v>Areia siltosa</v>
      </c>
      <c r="G94" s="1">
        <f>INDEX(estacas[],ECF[[#This Row],[idDiâmetro]],MATCH($B$2,estacas[#Headers],0))</f>
        <v>100</v>
      </c>
      <c r="H94" s="1">
        <f>INDEX(estacas[],MATCH(ECF[[#This Row],[Ø (cm)]],estacas[Ø ECF (cm)],0),MATCH(ECF[[#Headers],[Pe ECF (kN)]],estacas[#Headers],0))</f>
        <v>3100</v>
      </c>
      <c r="I94" s="4">
        <f>INDEX(K_alpha_C[],MATCH(ECF[[#This Row],[Solo]],K_alpha_C[Solo],0),2)</f>
        <v>0.8</v>
      </c>
      <c r="J94" s="5">
        <f>INDEX(K_alpha_C[],MATCH(ECF[[#This Row],[Solo]],K_alpha_C[Solo],0),3)</f>
        <v>2</v>
      </c>
      <c r="K94" s="4">
        <f>INDEX(F1_F2[],MATCH($D$2,F1_F2[Tipo de estaca],0),2)</f>
        <v>3</v>
      </c>
      <c r="L94" s="4">
        <f>INDEX(F1_F2[],MATCH($D$2,F1_F2[Tipo de estaca],0),3)</f>
        <v>6</v>
      </c>
      <c r="M94" s="4">
        <f>PI()*(ECF[[#This Row],[Ø (cm)]]/100)^2/4</f>
        <v>0.78539816339744828</v>
      </c>
      <c r="N94" s="4">
        <f>PI()*ECF[[#This Row],[Ø (cm)]]/100</f>
        <v>3.1415926535897931</v>
      </c>
      <c r="O94" s="4">
        <f>IF(ECF[[#This Row],[Prof. (m)]]=0,0,ECF[[#This Row],[α (%)]]/100*ECF[[#This Row],[K (MPa)]]*1000*ECF[[#This Row],[NSPT]])</f>
        <v>272</v>
      </c>
      <c r="P94" s="4">
        <f>IF(ECF[[#This Row],[Prof. (m)]]=0,0,(ECF[[#This Row],[K (MPa)]]*1000*ECF[[#This Row],[NSPT]]/ECF[[#This Row],[F1]]*ECF[[#This Row],[Ap (m²)]]+ECF[[#This Row],[U (m)]]/ECF[[#This Row],[F2]]*SUMIFS(ECF[(α∙K∙NL∙ΔL)],ECF[Prof. (m)],"&lt;="&amp;ECF[[#This Row],[Prof. (m)]],ECF[idDiâmetro],ECF[[#This Row],[idDiâmetro]],ECF[idPilar],ECF[[#This Row],[idPilar]]))/'DADOS CAP. CARGA'!$D$2)</f>
        <v>1918.4659137921669</v>
      </c>
      <c r="Q94" s="12">
        <f>INDEX(C_alpha_beta[],MATCH(ECF[[#This Row],[Solo]],C_alpha_beta[Solo],0),MATCH(ECF[[#Headers],[C (kPa)]],C_alpha_beta[#Headers],0))</f>
        <v>400</v>
      </c>
      <c r="R94" s="4">
        <f>INDEX(C_alpha_beta[],MATCH(ECF[[#This Row],[Solo]],C_alpha_beta[Solo],0),MATCH(ECF[[#Headers],[α ESF]],C_alpha_beta[#Headers],0))</f>
        <v>0.5</v>
      </c>
      <c r="S94" s="4">
        <f>INDEX(C_alpha_beta[],MATCH(ECF[[#This Row],[Solo]],C_alpha_beta[Solo],0),MATCH(ECF[[#Headers],[β ESF]],C_alpha_beta[#Headers],0))</f>
        <v>0.5</v>
      </c>
      <c r="T94" s="4">
        <f>IF(ECF[[#This Row],[Prof. (m)]]=0,0,10*(ECF[[#This Row],[NSPT]]/3+1))</f>
        <v>66.666666666666671</v>
      </c>
      <c r="U94" s="4">
        <f>(ECF[[#This Row],[α ESF]]*ECF[[#This Row],[C (kPa)]]*ECF[[#This Row],[NSPT]]*ECF[[#This Row],[Ap (m²)]])/'DADOS CAP. CARGA'!$Q$2+(ECF[[#This Row],[β ESF]]*SUMIFS(ECF[10∙(NL/3+1)],ECF[Prof. (m)],"&lt;="&amp;ECF[[#This Row],[Prof. (m)]],ECF[idDiâmetro],ECF[[#This Row],[idDiâmetro]],ECF[idPilar],ECF[[#This Row],[idPilar]])*ECF[[#This Row],[U (m)]])/'DADOS CAP. CARGA'!$S$2</f>
        <v>793.25214503142274</v>
      </c>
      <c r="V94" s="4">
        <f>IF(SPT!$M$5=1,MIN(ECF[[#This Row],[Pe ECF (kN)]],ECF[[#This Row],[R_AV (kN)]]),IF(SPT!$M$5=2,MIN(ECF[[#This Row],[Pe ECF (kN)]],ECF[[#This Row],[R_DC (kN)]]),MIN(ECF[[#This Row],[Pe ECF (kN)]],ECF[[#This Row],[R_AV (kN)]],ECF[[#This Row],[R_DC (kN)]])))</f>
        <v>793.25214503142274</v>
      </c>
      <c r="W94" s="4">
        <f>INDEX(PILARES[],ECF[[#This Row],[idPilar]],MATCH("Carga (kN)",PILARES[#Headers],0))*1.4</f>
        <v>3500</v>
      </c>
      <c r="X94" s="12">
        <f>INDEX(PILARES[],ECF[[#This Row],[idPilar]],MATCH(ECF[[#Headers],[ap (cm)]],PILARES[#Headers],0))</f>
        <v>60</v>
      </c>
      <c r="Y94" s="12">
        <f>INDEX(PILARES[],ECF[[#This Row],[idPilar]],MATCH(ECF[[#Headers],[bp (cm)]],PILARES[#Headers],0))</f>
        <v>60</v>
      </c>
      <c r="Z94" s="4">
        <f>SQRT(ECF[[#This Row],[ap (cm)]]*ECF[[#This Row],[bp (cm)]])</f>
        <v>60</v>
      </c>
      <c r="AA94" s="12">
        <f>ECF[[#This Row],[ap (cm)]]*ECF[[#This Row],[bp (cm)]]</f>
        <v>3600</v>
      </c>
      <c r="AB94" s="12">
        <f ca="1">IF(ECF[[#This Row],[Padm∙ε (kN)]]&gt;=ECF[[#This Row],[Padm (kN)]],ROUNDUP(1.05*ECF[[#This Row],[Nsd (kN)]]/ECF[[#This Row],[Padm (kN)]],0),ROUNDUP(1.05*ECF[[#This Row],[Nsd (kN)]]/ECF[[#This Row],[Padm (kN)]],0)+1)</f>
        <v>5</v>
      </c>
      <c r="AC94" s="4" t="str">
        <f ca="1">IFERROR(IF(ECF[[#This Row],[nE]]=1,ECF[[#This Row],[Padm (kN)]],ECF[[#This Row],[Padm (kN)]]*ECF[[#This Row],[nE]]*INDEX(grupoEstacas[],ECF[[#This Row],[nE]],MATCH("ε",grupoEstacas[#Headers],0))),"N.S.")</f>
        <v>N.S.</v>
      </c>
      <c r="AD94" s="4">
        <f ca="1">1.05*ECF[[#This Row],[Nsd (kN)]]/(ECF[[#This Row],[nE]]*PI()*ECF[[#This Row],[Ø (cm)]]^2/4)*10</f>
        <v>0.93583106538034466</v>
      </c>
      <c r="AE94" s="4">
        <f ca="1">IF(ECF[[#This Row],[σ (MPa)]]&lt;INDEX(tipoEstaca[],MATCH($D$2,tipoEstaca[TIPO DE ESTACA],0),MATCH("σmáx (MPa)",tipoEstaca[#Headers],0)),0.4%*PI()*ECF[[#This Row],[Ø (cm)]]^2/4,"N.S.")</f>
        <v>31.415926535897935</v>
      </c>
      <c r="AF94" s="1">
        <f>INDEX(tipoEstaca[],MATCH($D$2,tipoEstaca[TIPO DE ESTACA],0),MATCH(ECF[[#Headers],[Comprimento (m)]],tipoEstaca[#Headers],0))</f>
        <v>4</v>
      </c>
      <c r="AG94" s="5">
        <f ca="1">ECF[[#This Row],[As,mín (cm²)]]/100^2*ECF[[#This Row],[Comprimento (m)]]*7850</f>
        <v>98.646009322719507</v>
      </c>
      <c r="AH94" s="4">
        <f ca="1">ECF[[#This Row],[nE]]*ECF[[#This Row],[Prof. (m)]]*ECF[[#This Row],[Ap (m²)]]</f>
        <v>19.634954084936208</v>
      </c>
      <c r="AI94" s="1">
        <f ca="1">IF(ECF[[#This Row],[nE]]=1,0,MAX(3*ECF[[#This Row],[Ø (cm)]],60))</f>
        <v>300</v>
      </c>
      <c r="AJ94" s="1">
        <f ca="1">IF(ECF[[#This Row],[nE]]=1,ECF[[#This Row],[Ø (cm)]]+2*10,MAX(1.5*ECF[[#This Row],[Ø (cm)]],ECF[[#This Row],[Ø (cm)]]+15))</f>
        <v>150</v>
      </c>
      <c r="AK94" s="1" t="str">
        <f ca="1">alturaUtil(ECF[[#This Row],[nE]],ECF[[#This Row],[Ø (cm)]],ECF[[#This Row],[e (cm)]],ECF[[#This Row],[ap,eq (cm)]])</f>
        <v>N.S.</v>
      </c>
      <c r="AL94" s="1" t="str">
        <f ca="1">IFERROR(ECF[[#This Row],[d (cm)]]+arredondarParaCimaMultiplo5cm(MAX(5,SQRT(PI())/2*ECF[[#This Row],[Ø (cm)]]/5)),"N.S.")</f>
        <v>N.S.</v>
      </c>
      <c r="AM94" s="5" t="str">
        <f ca="1">alpha(ECF[[#This Row],[nE]],ECF[[#This Row],[d (cm)]],ECF[[#This Row],[e (cm)]],ECF[[#This Row],[ap,eq (cm)]])</f>
        <v>N.S.</v>
      </c>
      <c r="AN94" s="35" t="str">
        <f ca="1">IFERROR(ECF[[#This Row],[Nsd (kN)]]/(ECF[[#This Row],[Ap (cm²)]]*SIN(ECF[[#This Row],[α]])^2),"N.S.")</f>
        <v>N.S.</v>
      </c>
      <c r="AO94" s="35" t="str">
        <f ca="1">IFERROR(ECF[[#This Row],[Nsd (kN)]]/(ECF[[#This Row],[nE]]*PI()*ECF[[#This Row],[Ø (cm)]]^2/4*SIN(ECF[[#This Row],[α]])^2),"N.S.")</f>
        <v>N.S.</v>
      </c>
      <c r="AP94" s="4" t="str">
        <f ca="1">IFERROR(INDEX(grupoEstacas[],ECF[[#This Row],[nE]],MATCH("coef. Blévot",grupoEstacas[#Headers],0)),"N.S.")</f>
        <v>N.S.</v>
      </c>
      <c r="AQ94" s="35" t="str">
        <f ca="1">IFERROR(ECF[[#This Row],[coef. Blévot]]*0.9*INDEX(tipoEstaca[],MATCH($D$2,tipoEstaca[TIPO DE ESTACA],0),MATCH("fcd (kN/cm²)",tipoEstaca[#Headers],0)),"N.S.")</f>
        <v>N.S.</v>
      </c>
      <c r="AR94" s="1" t="str">
        <f ca="1">IF(AND(ECF[[#This Row],[cd,b,pil (kN/cm²)]]&lt;=ECF[[#This Row],[cd,b,lim (kN/cm²)]],ECF[[#This Row],[cd,b,est (kN/cm²)]]&lt;=ECF[[#This Row],[cd,b,lim (kN/cm²)]]),"OK","ERRO")</f>
        <v>OK</v>
      </c>
      <c r="AS94" s="4" t="str">
        <f ca="1">As_lado(ECF[[#This Row],[nE]],ECF[[#This Row],[Nsd (kN)]],ECF[[#This Row],[d (cm)]],ECF[[#This Row],[e (cm)]],ECF[[#This Row],[ap,eq (cm)]])</f>
        <v>N.S.</v>
      </c>
      <c r="AT94" s="4" t="str">
        <f ca="1">IF(ECF[[#This Row],[nE]]=1,ECF[[#This Row],[As,lado (cm²)]],IF(ECF[[#This Row],[nE]]=2,0.075*2*ECF[a (cm)],"N.A."))</f>
        <v>N.A.</v>
      </c>
      <c r="AU94" s="4" t="str">
        <f ca="1">IFERROR(IF(ECF[[#This Row],[nE]]=1,"N.A.",0.2*ECF[[#This Row],[As,lado (cm²)]]),"N.S.")</f>
        <v>N.S.</v>
      </c>
      <c r="AV94" s="4" t="str">
        <f ca="1">As_malha(ECF[[#This Row],[nE]],ECF[[#This Row],[As,lado (cm²)]],ECF[[#This Row],[Nsd (kN)]])</f>
        <v>N.S.</v>
      </c>
      <c r="AW94" s="4" t="str">
        <f ca="1">As_susp_tot(ECF[[#This Row],[nE]],ECF[[#This Row],[Nsd (kN)]])</f>
        <v>N.S.</v>
      </c>
      <c r="AX94" s="4" t="str">
        <f ca="1">Asp_face(ECF[[#This Row],[nE]],ECF[[#This Row],[As,lado (cm²)]])</f>
        <v>N.S.</v>
      </c>
      <c r="AY94" s="5" t="str">
        <f ca="1">acoBloco(ECF[[#This Row],[nE]],ECF[[#This Row],[e (cm)]],ECF[[#This Row],[a (cm)]],ECF[[#This Row],[h (cm)]],ECF[[#This Row],[As,lado (cm²)]],ECF[[#This Row],[Asp e Asw (cm²/m)]],ECF[[#This Row],[As,sup (cm²)]],ECF[[#This Row],[As,malha (cm²)]],ECF[[#This Row],[As,susp,tot (cm²)]],ECF[[#This Row],[Asp,face (cm²)]])</f>
        <v>N.S.</v>
      </c>
      <c r="AZ94" s="4" t="str">
        <f ca="1">concretoBloco(ECF[[#This Row],[nE]],ECF[[#This Row],[e (cm)]],ECF[[#This Row],[a (cm)]],ECF[[#This Row],[h (cm)]])</f>
        <v>N.S.</v>
      </c>
      <c r="BA94" s="5">
        <f ca="1">SUM(ECF[[#This Row],[Aço Est (kg)]],ECF[[#This Row],[Aço Bloco (kg)]])</f>
        <v>98.646009322719507</v>
      </c>
      <c r="BB94" s="4">
        <f>INDEX(composicoes[],MATCH(95580,composicoes[CÓDIGO],0),MATCH("CUSTO TOTAL",composicoes[#Headers],0))</f>
        <v>10.46</v>
      </c>
      <c r="BC94" s="4">
        <f ca="1">SUM(ECF[[#This Row],[Conc Est (m³)]],ECF[[#This Row],[Conc Bloco (m³)]])</f>
        <v>19.634954084936208</v>
      </c>
      <c r="BD94" s="4">
        <f>INDEX(composicoes[],MATCH(94966,composicoes[CÓDIGO],0),MATCH("CUSTO TOTAL",composicoes[#Headers],0))</f>
        <v>439.52</v>
      </c>
      <c r="BE94" s="38">
        <f ca="1">ECF[[#This Row],[Aço (kg)]]*ECF[[#This Row],[Aço (R$/kg)]]+ECF[[#This Row],[Conc (m³)]]*ECF[[#This Row],[Conc (R$/m³)]]</f>
        <v>9661.792276926808</v>
      </c>
      <c r="BF94" s="4" t="str">
        <f ca="1">IF(COUNTIF(ECF[#This Row],"N.S.")&gt;0,"lim.","OK")</f>
        <v>lim.</v>
      </c>
      <c r="BG94" s="4" t="str">
        <f>IF(ECF[[#This Row],[Prof. (m)]]&lt;4,"lim.","OK")</f>
        <v>OK</v>
      </c>
      <c r="BH94" s="4" t="str">
        <f>IF(ECF[[#This Row],[Prof. (m)]]&gt;=8*ECF[[#This Row],[Ø (cm)]]/100,"OK","lim.")</f>
        <v>lim.</v>
      </c>
      <c r="BI94" s="4" t="str">
        <f>IF(AND(SPT!$F$3&lt;&gt;"",ECF[[#This Row],[Prof. (m)]]&gt;=SPT!$F$3-2),"lim.","OK")</f>
        <v>OK</v>
      </c>
      <c r="BJ94" s="4" t="str">
        <f ca="1">IF(ECF[[#This Row],[Verif. Biela]]="OK","OK","lim.")</f>
        <v>OK</v>
      </c>
      <c r="BK94" s="4" t="str">
        <f ca="1">IF(COUNTA(ECF[[#This Row],[Nº Est.]:[Biela comp.]])=COUNTIF(ECF[[#This Row],[Nº Est.]:[Biela comp.]],"OK"),"OK","lim.")</f>
        <v>lim.</v>
      </c>
      <c r="BL94" s="4" t="str">
        <f ca="1">IF(ECF[[#This Row],[Controle]]="OK",ECF[[#This Row],[nE]]&amp;" Ø"&amp;ECF[[#This Row],[Ø (cm)]]&amp;"cm Prof. "&amp;ECF[[#This Row],[Prof. (m)]]&amp;" m","")</f>
        <v/>
      </c>
      <c r="BM94" s="4" t="str">
        <f ca="1">IF(ECF[[#This Row],[idDimensionamento]]="","",ECF[[#This Row],[idPilar]]&amp;ECF[[#This Row],[idDimensionamento]])</f>
        <v/>
      </c>
    </row>
    <row r="95" spans="2:65" x14ac:dyDescent="0.25">
      <c r="B95" s="12">
        <f>ROUNDUP((ROW(ECF[[#This Row],[idDiâmetro]])-ROW(ECF[[#Headers],[idDiâmetro]]))/(COUNT(SPT[Prof. (m)])*COUNT(PILARES[Pilar])),0)</f>
        <v>4</v>
      </c>
      <c r="C95" s="12">
        <f>IF(ECF[[#This Row],[idDiâmetro]]&lt;&gt;B94,1,IF(ECF[[#This Row],[Prof. (m)]]=0,C94+1,C94))</f>
        <v>1</v>
      </c>
      <c r="D95" s="1">
        <f>IFERROR(IF(D94=MAX(SPT[Prof. (m)]),0,D94+1),0)</f>
        <v>6</v>
      </c>
      <c r="E95" s="1">
        <f>INDEX(SPT[],MATCH(ECF[[#This Row],[Prof. (m)]],SPT[Prof. (m)],0),2)</f>
        <v>21</v>
      </c>
      <c r="F95" s="1" t="str">
        <f>INDEX(SPT[],MATCH(ECF[[#This Row],[Prof. (m)]],SPT[Prof. (m)],0),3)</f>
        <v>Silte arenoso</v>
      </c>
      <c r="G95" s="1">
        <f>INDEX(estacas[],ECF[[#This Row],[idDiâmetro]],MATCH($B$2,estacas[#Headers],0))</f>
        <v>100</v>
      </c>
      <c r="H95" s="1">
        <f>INDEX(estacas[],MATCH(ECF[[#This Row],[Ø (cm)]],estacas[Ø ECF (cm)],0),MATCH(ECF[[#Headers],[Pe ECF (kN)]],estacas[#Headers],0))</f>
        <v>3100</v>
      </c>
      <c r="I95" s="4">
        <f>INDEX(K_alpha_C[],MATCH(ECF[[#This Row],[Solo]],K_alpha_C[Solo],0),2)</f>
        <v>0.55000000000000004</v>
      </c>
      <c r="J95" s="5">
        <f>INDEX(K_alpha_C[],MATCH(ECF[[#This Row],[Solo]],K_alpha_C[Solo],0),3)</f>
        <v>2.2000000000000002</v>
      </c>
      <c r="K95" s="4">
        <f>INDEX(F1_F2[],MATCH($D$2,F1_F2[Tipo de estaca],0),2)</f>
        <v>3</v>
      </c>
      <c r="L95" s="4">
        <f>INDEX(F1_F2[],MATCH($D$2,F1_F2[Tipo de estaca],0),3)</f>
        <v>6</v>
      </c>
      <c r="M95" s="4">
        <f>PI()*(ECF[[#This Row],[Ø (cm)]]/100)^2/4</f>
        <v>0.78539816339744828</v>
      </c>
      <c r="N95" s="4">
        <f>PI()*ECF[[#This Row],[Ø (cm)]]/100</f>
        <v>3.1415926535897931</v>
      </c>
      <c r="O95" s="4">
        <f>IF(ECF[[#This Row],[Prof. (m)]]=0,0,ECF[[#This Row],[α (%)]]/100*ECF[[#This Row],[K (MPa)]]*1000*ECF[[#This Row],[NSPT]])</f>
        <v>254.10000000000002</v>
      </c>
      <c r="P95" s="4">
        <f>IF(ECF[[#This Row],[Prof. (m)]]=0,0,(ECF[[#This Row],[K (MPa)]]*1000*ECF[[#This Row],[NSPT]]/ECF[[#This Row],[F1]]*ECF[[#This Row],[Ap (m²)]]+ECF[[#This Row],[U (m)]]/ECF[[#This Row],[F2]]*SUMIFS(ECF[(α∙K∙NL∙ΔL)],ECF[Prof. (m)],"&lt;="&amp;ECF[[#This Row],[Prof. (m)]],ECF[idDiâmetro],ECF[[#This Row],[idDiâmetro]],ECF[idPilar],ECF[[#This Row],[idPilar]]))/'DADOS CAP. CARGA'!$D$2)</f>
        <v>1716.6447657378028</v>
      </c>
      <c r="Q95" s="12">
        <f>INDEX(C_alpha_beta[],MATCH(ECF[[#This Row],[Solo]],C_alpha_beta[Solo],0),MATCH(ECF[[#Headers],[C (kPa)]],C_alpha_beta[#Headers],0))</f>
        <v>250</v>
      </c>
      <c r="R95" s="4">
        <f>INDEX(C_alpha_beta[],MATCH(ECF[[#This Row],[Solo]],C_alpha_beta[Solo],0),MATCH(ECF[[#Headers],[α ESF]],C_alpha_beta[#Headers],0))</f>
        <v>0.6</v>
      </c>
      <c r="S95" s="4">
        <f>INDEX(C_alpha_beta[],MATCH(ECF[[#This Row],[Solo]],C_alpha_beta[Solo],0),MATCH(ECF[[#Headers],[β ESF]],C_alpha_beta[#Headers],0))</f>
        <v>0.65</v>
      </c>
      <c r="T95" s="4">
        <f>IF(ECF[[#This Row],[Prof. (m)]]=0,0,10*(ECF[[#This Row],[NSPT]]/3+1))</f>
        <v>80</v>
      </c>
      <c r="U95" s="4">
        <f>(ECF[[#This Row],[α ESF]]*ECF[[#This Row],[C (kPa)]]*ECF[[#This Row],[NSPT]]*ECF[[#This Row],[Ap (m²)]])/'DADOS CAP. CARGA'!$Q$2+(ECF[[#This Row],[β ESF]]*SUMIFS(ECF[10∙(NL/3+1)],ECF[Prof. (m)],"&lt;="&amp;ECF[[#This Row],[Prof. (m)]],ECF[idDiâmetro],ECF[[#This Row],[idDiâmetro]],ECF[idPilar],ECF[[#This Row],[idPilar]])*ECF[[#This Row],[U (m)]])/'DADOS CAP. CARGA'!$S$2</f>
        <v>863.54528065549437</v>
      </c>
      <c r="V95" s="4">
        <f>IF(SPT!$M$5=1,MIN(ECF[[#This Row],[Pe ECF (kN)]],ECF[[#This Row],[R_AV (kN)]]),IF(SPT!$M$5=2,MIN(ECF[[#This Row],[Pe ECF (kN)]],ECF[[#This Row],[R_DC (kN)]]),MIN(ECF[[#This Row],[Pe ECF (kN)]],ECF[[#This Row],[R_AV (kN)]],ECF[[#This Row],[R_DC (kN)]])))</f>
        <v>863.54528065549437</v>
      </c>
      <c r="W95" s="4">
        <f>INDEX(PILARES[],ECF[[#This Row],[idPilar]],MATCH("Carga (kN)",PILARES[#Headers],0))*1.4</f>
        <v>3500</v>
      </c>
      <c r="X95" s="12">
        <f>INDEX(PILARES[],ECF[[#This Row],[idPilar]],MATCH(ECF[[#Headers],[ap (cm)]],PILARES[#Headers],0))</f>
        <v>60</v>
      </c>
      <c r="Y95" s="12">
        <f>INDEX(PILARES[],ECF[[#This Row],[idPilar]],MATCH(ECF[[#Headers],[bp (cm)]],PILARES[#Headers],0))</f>
        <v>60</v>
      </c>
      <c r="Z95" s="4">
        <f>SQRT(ECF[[#This Row],[ap (cm)]]*ECF[[#This Row],[bp (cm)]])</f>
        <v>60</v>
      </c>
      <c r="AA95" s="12">
        <f>ECF[[#This Row],[ap (cm)]]*ECF[[#This Row],[bp (cm)]]</f>
        <v>3600</v>
      </c>
      <c r="AB95" s="12">
        <f ca="1">IF(ECF[[#This Row],[Padm∙ε (kN)]]&gt;=ECF[[#This Row],[Padm (kN)]],ROUNDUP(1.05*ECF[[#This Row],[Nsd (kN)]]/ECF[[#This Row],[Padm (kN)]],0),ROUNDUP(1.05*ECF[[#This Row],[Nsd (kN)]]/ECF[[#This Row],[Padm (kN)]],0)+1)</f>
        <v>5</v>
      </c>
      <c r="AC95" s="4" t="str">
        <f ca="1">IFERROR(IF(ECF[[#This Row],[nE]]=1,ECF[[#This Row],[Padm (kN)]],ECF[[#This Row],[Padm (kN)]]*ECF[[#This Row],[nE]]*INDEX(grupoEstacas[],ECF[[#This Row],[nE]],MATCH("ε",grupoEstacas[#Headers],0))),"N.S.")</f>
        <v>N.S.</v>
      </c>
      <c r="AD95" s="4">
        <f ca="1">1.05*ECF[[#This Row],[Nsd (kN)]]/(ECF[[#This Row],[nE]]*PI()*ECF[[#This Row],[Ø (cm)]]^2/4)*10</f>
        <v>0.93583106538034466</v>
      </c>
      <c r="AE95" s="4">
        <f ca="1">IF(ECF[[#This Row],[σ (MPa)]]&lt;INDEX(tipoEstaca[],MATCH($D$2,tipoEstaca[TIPO DE ESTACA],0),MATCH("σmáx (MPa)",tipoEstaca[#Headers],0)),0.4%*PI()*ECF[[#This Row],[Ø (cm)]]^2/4,"N.S.")</f>
        <v>31.415926535897935</v>
      </c>
      <c r="AF95" s="1">
        <f>INDEX(tipoEstaca[],MATCH($D$2,tipoEstaca[TIPO DE ESTACA],0),MATCH(ECF[[#Headers],[Comprimento (m)]],tipoEstaca[#Headers],0))</f>
        <v>4</v>
      </c>
      <c r="AG95" s="5">
        <f ca="1">ECF[[#This Row],[As,mín (cm²)]]/100^2*ECF[[#This Row],[Comprimento (m)]]*7850</f>
        <v>98.646009322719507</v>
      </c>
      <c r="AH95" s="4">
        <f ca="1">ECF[[#This Row],[nE]]*ECF[[#This Row],[Prof. (m)]]*ECF[[#This Row],[Ap (m²)]]</f>
        <v>23.561944901923447</v>
      </c>
      <c r="AI95" s="1">
        <f ca="1">IF(ECF[[#This Row],[nE]]=1,0,MAX(3*ECF[[#This Row],[Ø (cm)]],60))</f>
        <v>300</v>
      </c>
      <c r="AJ95" s="1">
        <f ca="1">IF(ECF[[#This Row],[nE]]=1,ECF[[#This Row],[Ø (cm)]]+2*10,MAX(1.5*ECF[[#This Row],[Ø (cm)]],ECF[[#This Row],[Ø (cm)]]+15))</f>
        <v>150</v>
      </c>
      <c r="AK95" s="1" t="str">
        <f ca="1">alturaUtil(ECF[[#This Row],[nE]],ECF[[#This Row],[Ø (cm)]],ECF[[#This Row],[e (cm)]],ECF[[#This Row],[ap,eq (cm)]])</f>
        <v>N.S.</v>
      </c>
      <c r="AL95" s="1" t="str">
        <f ca="1">IFERROR(ECF[[#This Row],[d (cm)]]+arredondarParaCimaMultiplo5cm(MAX(5,SQRT(PI())/2*ECF[[#This Row],[Ø (cm)]]/5)),"N.S.")</f>
        <v>N.S.</v>
      </c>
      <c r="AM95" s="5" t="str">
        <f ca="1">alpha(ECF[[#This Row],[nE]],ECF[[#This Row],[d (cm)]],ECF[[#This Row],[e (cm)]],ECF[[#This Row],[ap,eq (cm)]])</f>
        <v>N.S.</v>
      </c>
      <c r="AN95" s="35" t="str">
        <f ca="1">IFERROR(ECF[[#This Row],[Nsd (kN)]]/(ECF[[#This Row],[Ap (cm²)]]*SIN(ECF[[#This Row],[α]])^2),"N.S.")</f>
        <v>N.S.</v>
      </c>
      <c r="AO95" s="35" t="str">
        <f ca="1">IFERROR(ECF[[#This Row],[Nsd (kN)]]/(ECF[[#This Row],[nE]]*PI()*ECF[[#This Row],[Ø (cm)]]^2/4*SIN(ECF[[#This Row],[α]])^2),"N.S.")</f>
        <v>N.S.</v>
      </c>
      <c r="AP95" s="4" t="str">
        <f ca="1">IFERROR(INDEX(grupoEstacas[],ECF[[#This Row],[nE]],MATCH("coef. Blévot",grupoEstacas[#Headers],0)),"N.S.")</f>
        <v>N.S.</v>
      </c>
      <c r="AQ95" s="35" t="str">
        <f ca="1">IFERROR(ECF[[#This Row],[coef. Blévot]]*0.9*INDEX(tipoEstaca[],MATCH($D$2,tipoEstaca[TIPO DE ESTACA],0),MATCH("fcd (kN/cm²)",tipoEstaca[#Headers],0)),"N.S.")</f>
        <v>N.S.</v>
      </c>
      <c r="AR95" s="1" t="str">
        <f ca="1">IF(AND(ECF[[#This Row],[cd,b,pil (kN/cm²)]]&lt;=ECF[[#This Row],[cd,b,lim (kN/cm²)]],ECF[[#This Row],[cd,b,est (kN/cm²)]]&lt;=ECF[[#This Row],[cd,b,lim (kN/cm²)]]),"OK","ERRO")</f>
        <v>OK</v>
      </c>
      <c r="AS95" s="4" t="str">
        <f ca="1">As_lado(ECF[[#This Row],[nE]],ECF[[#This Row],[Nsd (kN)]],ECF[[#This Row],[d (cm)]],ECF[[#This Row],[e (cm)]],ECF[[#This Row],[ap,eq (cm)]])</f>
        <v>N.S.</v>
      </c>
      <c r="AT95" s="4" t="str">
        <f ca="1">IF(ECF[[#This Row],[nE]]=1,ECF[[#This Row],[As,lado (cm²)]],IF(ECF[[#This Row],[nE]]=2,0.075*2*ECF[a (cm)],"N.A."))</f>
        <v>N.A.</v>
      </c>
      <c r="AU95" s="4" t="str">
        <f ca="1">IFERROR(IF(ECF[[#This Row],[nE]]=1,"N.A.",0.2*ECF[[#This Row],[As,lado (cm²)]]),"N.S.")</f>
        <v>N.S.</v>
      </c>
      <c r="AV95" s="4" t="str">
        <f ca="1">As_malha(ECF[[#This Row],[nE]],ECF[[#This Row],[As,lado (cm²)]],ECF[[#This Row],[Nsd (kN)]])</f>
        <v>N.S.</v>
      </c>
      <c r="AW95" s="4" t="str">
        <f ca="1">As_susp_tot(ECF[[#This Row],[nE]],ECF[[#This Row],[Nsd (kN)]])</f>
        <v>N.S.</v>
      </c>
      <c r="AX95" s="4" t="str">
        <f ca="1">Asp_face(ECF[[#This Row],[nE]],ECF[[#This Row],[As,lado (cm²)]])</f>
        <v>N.S.</v>
      </c>
      <c r="AY95" s="5" t="str">
        <f ca="1">acoBloco(ECF[[#This Row],[nE]],ECF[[#This Row],[e (cm)]],ECF[[#This Row],[a (cm)]],ECF[[#This Row],[h (cm)]],ECF[[#This Row],[As,lado (cm²)]],ECF[[#This Row],[Asp e Asw (cm²/m)]],ECF[[#This Row],[As,sup (cm²)]],ECF[[#This Row],[As,malha (cm²)]],ECF[[#This Row],[As,susp,tot (cm²)]],ECF[[#This Row],[Asp,face (cm²)]])</f>
        <v>N.S.</v>
      </c>
      <c r="AZ95" s="4" t="str">
        <f ca="1">concretoBloco(ECF[[#This Row],[nE]],ECF[[#This Row],[e (cm)]],ECF[[#This Row],[a (cm)]],ECF[[#This Row],[h (cm)]])</f>
        <v>N.S.</v>
      </c>
      <c r="BA95" s="5">
        <f ca="1">SUM(ECF[[#This Row],[Aço Est (kg)]],ECF[[#This Row],[Aço Bloco (kg)]])</f>
        <v>98.646009322719507</v>
      </c>
      <c r="BB95" s="4">
        <f>INDEX(composicoes[],MATCH(95580,composicoes[CÓDIGO],0),MATCH("CUSTO TOTAL",composicoes[#Headers],0))</f>
        <v>10.46</v>
      </c>
      <c r="BC95" s="4">
        <f ca="1">SUM(ECF[[#This Row],[Conc Est (m³)]],ECF[[#This Row],[Conc Bloco (m³)]])</f>
        <v>23.561944901923447</v>
      </c>
      <c r="BD95" s="4">
        <f>INDEX(composicoes[],MATCH(94966,composicoes[CÓDIGO],0),MATCH("CUSTO TOTAL",composicoes[#Headers],0))</f>
        <v>439.52</v>
      </c>
      <c r="BE95" s="38">
        <f ca="1">ECF[[#This Row],[Aço (kg)]]*ECF[[#This Row],[Aço (R$/kg)]]+ECF[[#This Row],[Conc (m³)]]*ECF[[#This Row],[Conc (R$/m³)]]</f>
        <v>11387.783280809039</v>
      </c>
      <c r="BF95" s="4" t="str">
        <f ca="1">IF(COUNTIF(ECF[#This Row],"N.S.")&gt;0,"lim.","OK")</f>
        <v>lim.</v>
      </c>
      <c r="BG95" s="4" t="str">
        <f>IF(ECF[[#This Row],[Prof. (m)]]&lt;4,"lim.","OK")</f>
        <v>OK</v>
      </c>
      <c r="BH95" s="4" t="str">
        <f>IF(ECF[[#This Row],[Prof. (m)]]&gt;=8*ECF[[#This Row],[Ø (cm)]]/100,"OK","lim.")</f>
        <v>lim.</v>
      </c>
      <c r="BI95" s="4" t="str">
        <f>IF(AND(SPT!$F$3&lt;&gt;"",ECF[[#This Row],[Prof. (m)]]&gt;=SPT!$F$3-2),"lim.","OK")</f>
        <v>OK</v>
      </c>
      <c r="BJ95" s="4" t="str">
        <f ca="1">IF(ECF[[#This Row],[Verif. Biela]]="OK","OK","lim.")</f>
        <v>OK</v>
      </c>
      <c r="BK95" s="4" t="str">
        <f ca="1">IF(COUNTA(ECF[[#This Row],[Nº Est.]:[Biela comp.]])=COUNTIF(ECF[[#This Row],[Nº Est.]:[Biela comp.]],"OK"),"OK","lim.")</f>
        <v>lim.</v>
      </c>
      <c r="BL95" s="4" t="str">
        <f ca="1">IF(ECF[[#This Row],[Controle]]="OK",ECF[[#This Row],[nE]]&amp;" Ø"&amp;ECF[[#This Row],[Ø (cm)]]&amp;"cm Prof. "&amp;ECF[[#This Row],[Prof. (m)]]&amp;" m","")</f>
        <v/>
      </c>
      <c r="BM95" s="4" t="str">
        <f ca="1">IF(ECF[[#This Row],[idDimensionamento]]="","",ECF[[#This Row],[idPilar]]&amp;ECF[[#This Row],[idDimensionamento]])</f>
        <v/>
      </c>
    </row>
    <row r="96" spans="2:65" x14ac:dyDescent="0.25">
      <c r="B96" s="12">
        <f>ROUNDUP((ROW(ECF[[#This Row],[idDiâmetro]])-ROW(ECF[[#Headers],[idDiâmetro]]))/(COUNT(SPT[Prof. (m)])*COUNT(PILARES[Pilar])),0)</f>
        <v>4</v>
      </c>
      <c r="C96" s="12">
        <f>IF(ECF[[#This Row],[idDiâmetro]]&lt;&gt;B95,1,IF(ECF[[#This Row],[Prof. (m)]]=0,C95+1,C95))</f>
        <v>1</v>
      </c>
      <c r="D96" s="1">
        <f>IFERROR(IF(D95=MAX(SPT[Prof. (m)]),0,D95+1),0)</f>
        <v>7</v>
      </c>
      <c r="E96" s="1">
        <f>INDEX(SPT[],MATCH(ECF[[#This Row],[Prof. (m)]],SPT[Prof. (m)],0),2)</f>
        <v>8</v>
      </c>
      <c r="F96" s="1" t="str">
        <f>INDEX(SPT[],MATCH(ECF[[#This Row],[Prof. (m)]],SPT[Prof. (m)],0),3)</f>
        <v>Silte arenoso</v>
      </c>
      <c r="G96" s="1">
        <f>INDEX(estacas[],ECF[[#This Row],[idDiâmetro]],MATCH($B$2,estacas[#Headers],0))</f>
        <v>100</v>
      </c>
      <c r="H96" s="1">
        <f>INDEX(estacas[],MATCH(ECF[[#This Row],[Ø (cm)]],estacas[Ø ECF (cm)],0),MATCH(ECF[[#Headers],[Pe ECF (kN)]],estacas[#Headers],0))</f>
        <v>3100</v>
      </c>
      <c r="I96" s="4">
        <f>INDEX(K_alpha_C[],MATCH(ECF[[#This Row],[Solo]],K_alpha_C[Solo],0),2)</f>
        <v>0.55000000000000004</v>
      </c>
      <c r="J96" s="5">
        <f>INDEX(K_alpha_C[],MATCH(ECF[[#This Row],[Solo]],K_alpha_C[Solo],0),3)</f>
        <v>2.2000000000000002</v>
      </c>
      <c r="K96" s="4">
        <f>INDEX(F1_F2[],MATCH($D$2,F1_F2[Tipo de estaca],0),2)</f>
        <v>3</v>
      </c>
      <c r="L96" s="4">
        <f>INDEX(F1_F2[],MATCH($D$2,F1_F2[Tipo de estaca],0),3)</f>
        <v>6</v>
      </c>
      <c r="M96" s="4">
        <f>PI()*(ECF[[#This Row],[Ø (cm)]]/100)^2/4</f>
        <v>0.78539816339744828</v>
      </c>
      <c r="N96" s="4">
        <f>PI()*ECF[[#This Row],[Ø (cm)]]/100</f>
        <v>3.1415926535897931</v>
      </c>
      <c r="O96" s="4">
        <f>IF(ECF[[#This Row],[Prof. (m)]]=0,0,ECF[[#This Row],[α (%)]]/100*ECF[[#This Row],[K (MPa)]]*1000*ECF[[#This Row],[NSPT]])</f>
        <v>96.800000000000011</v>
      </c>
      <c r="P96" s="4">
        <f>IF(ECF[[#This Row],[Prof. (m)]]=0,0,(ECF[[#This Row],[K (MPa)]]*1000*ECF[[#This Row],[NSPT]]/ECF[[#This Row],[F1]]*ECF[[#This Row],[Ap (m²)]]+ECF[[#This Row],[U (m)]]/ECF[[#This Row],[F2]]*SUMIFS(ECF[(α∙K∙NL∙ΔL)],ECF[Prof. (m)],"&lt;="&amp;ECF[[#This Row],[Prof. (m)]],ECF[idDiâmetro],ECF[[#This Row],[idDiâmetro]],ECF[idPilar],ECF[[#This Row],[idPilar]]))/'DADOS CAP. CARGA'!$D$2)</f>
        <v>806.05413509480115</v>
      </c>
      <c r="Q96" s="12">
        <f>INDEX(C_alpha_beta[],MATCH(ECF[[#This Row],[Solo]],C_alpha_beta[Solo],0),MATCH(ECF[[#Headers],[C (kPa)]],C_alpha_beta[#Headers],0))</f>
        <v>250</v>
      </c>
      <c r="R96" s="4">
        <f>INDEX(C_alpha_beta[],MATCH(ECF[[#This Row],[Solo]],C_alpha_beta[Solo],0),MATCH(ECF[[#Headers],[α ESF]],C_alpha_beta[#Headers],0))</f>
        <v>0.6</v>
      </c>
      <c r="S96" s="4">
        <f>INDEX(C_alpha_beta[],MATCH(ECF[[#This Row],[Solo]],C_alpha_beta[Solo],0),MATCH(ECF[[#Headers],[β ESF]],C_alpha_beta[#Headers],0))</f>
        <v>0.65</v>
      </c>
      <c r="T96" s="4">
        <f>IF(ECF[[#This Row],[Prof. (m)]]=0,0,10*(ECF[[#This Row],[NSPT]]/3+1))</f>
        <v>36.666666666666664</v>
      </c>
      <c r="U96" s="4">
        <f>(ECF[[#This Row],[α ESF]]*ECF[[#This Row],[C (kPa)]]*ECF[[#This Row],[NSPT]]*ECF[[#This Row],[Ap (m²)]])/'DADOS CAP. CARGA'!$Q$2+(ECF[[#This Row],[β ESF]]*SUMIFS(ECF[10∙(NL/3+1)],ECF[Prof. (m)],"&lt;="&amp;ECF[[#This Row],[Prof. (m)]],ECF[idDiâmetro],ECF[[#This Row],[idDiâmetro]],ECF[idPilar],ECF[[#This Row],[idPilar]])*ECF[[#This Row],[U (m)]])/'DADOS CAP. CARGA'!$S$2</f>
        <v>518.10098845451671</v>
      </c>
      <c r="V96" s="4">
        <f>IF(SPT!$M$5=1,MIN(ECF[[#This Row],[Pe ECF (kN)]],ECF[[#This Row],[R_AV (kN)]]),IF(SPT!$M$5=2,MIN(ECF[[#This Row],[Pe ECF (kN)]],ECF[[#This Row],[R_DC (kN)]]),MIN(ECF[[#This Row],[Pe ECF (kN)]],ECF[[#This Row],[R_AV (kN)]],ECF[[#This Row],[R_DC (kN)]])))</f>
        <v>518.10098845451671</v>
      </c>
      <c r="W96" s="4">
        <f>INDEX(PILARES[],ECF[[#This Row],[idPilar]],MATCH("Carga (kN)",PILARES[#Headers],0))*1.4</f>
        <v>3500</v>
      </c>
      <c r="X96" s="12">
        <f>INDEX(PILARES[],ECF[[#This Row],[idPilar]],MATCH(ECF[[#Headers],[ap (cm)]],PILARES[#Headers],0))</f>
        <v>60</v>
      </c>
      <c r="Y96" s="12">
        <f>INDEX(PILARES[],ECF[[#This Row],[idPilar]],MATCH(ECF[[#Headers],[bp (cm)]],PILARES[#Headers],0))</f>
        <v>60</v>
      </c>
      <c r="Z96" s="4">
        <f>SQRT(ECF[[#This Row],[ap (cm)]]*ECF[[#This Row],[bp (cm)]])</f>
        <v>60</v>
      </c>
      <c r="AA96" s="12">
        <f>ECF[[#This Row],[ap (cm)]]*ECF[[#This Row],[bp (cm)]]</f>
        <v>3600</v>
      </c>
      <c r="AB96" s="12">
        <f ca="1">IF(ECF[[#This Row],[Padm∙ε (kN)]]&gt;=ECF[[#This Row],[Padm (kN)]],ROUNDUP(1.05*ECF[[#This Row],[Nsd (kN)]]/ECF[[#This Row],[Padm (kN)]],0),ROUNDUP(1.05*ECF[[#This Row],[Nsd (kN)]]/ECF[[#This Row],[Padm (kN)]],0)+1)</f>
        <v>8</v>
      </c>
      <c r="AC96" s="4" t="str">
        <f ca="1">IFERROR(IF(ECF[[#This Row],[nE]]=1,ECF[[#This Row],[Padm (kN)]],ECF[[#This Row],[Padm (kN)]]*ECF[[#This Row],[nE]]*INDEX(grupoEstacas[],ECF[[#This Row],[nE]],MATCH("ε",grupoEstacas[#Headers],0))),"N.S.")</f>
        <v>N.S.</v>
      </c>
      <c r="AD96" s="4">
        <f ca="1">1.05*ECF[[#This Row],[Nsd (kN)]]/(ECF[[#This Row],[nE]]*PI()*ECF[[#This Row],[Ø (cm)]]^2/4)*10</f>
        <v>0.5848944158627154</v>
      </c>
      <c r="AE96" s="4">
        <f ca="1">IF(ECF[[#This Row],[σ (MPa)]]&lt;INDEX(tipoEstaca[],MATCH($D$2,tipoEstaca[TIPO DE ESTACA],0),MATCH("σmáx (MPa)",tipoEstaca[#Headers],0)),0.4%*PI()*ECF[[#This Row],[Ø (cm)]]^2/4,"N.S.")</f>
        <v>31.415926535897935</v>
      </c>
      <c r="AF96" s="1">
        <f>INDEX(tipoEstaca[],MATCH($D$2,tipoEstaca[TIPO DE ESTACA],0),MATCH(ECF[[#Headers],[Comprimento (m)]],tipoEstaca[#Headers],0))</f>
        <v>4</v>
      </c>
      <c r="AG96" s="5">
        <f ca="1">ECF[[#This Row],[As,mín (cm²)]]/100^2*ECF[[#This Row],[Comprimento (m)]]*7850</f>
        <v>98.646009322719507</v>
      </c>
      <c r="AH96" s="4">
        <f ca="1">ECF[[#This Row],[nE]]*ECF[[#This Row],[Prof. (m)]]*ECF[[#This Row],[Ap (m²)]]</f>
        <v>43.982297150257104</v>
      </c>
      <c r="AI96" s="1">
        <f ca="1">IF(ECF[[#This Row],[nE]]=1,0,MAX(3*ECF[[#This Row],[Ø (cm)]],60))</f>
        <v>300</v>
      </c>
      <c r="AJ96" s="1">
        <f ca="1">IF(ECF[[#This Row],[nE]]=1,ECF[[#This Row],[Ø (cm)]]+2*10,MAX(1.5*ECF[[#This Row],[Ø (cm)]],ECF[[#This Row],[Ø (cm)]]+15))</f>
        <v>150</v>
      </c>
      <c r="AK96" s="1" t="str">
        <f ca="1">alturaUtil(ECF[[#This Row],[nE]],ECF[[#This Row],[Ø (cm)]],ECF[[#This Row],[e (cm)]],ECF[[#This Row],[ap,eq (cm)]])</f>
        <v>N.S.</v>
      </c>
      <c r="AL96" s="1" t="str">
        <f ca="1">IFERROR(ECF[[#This Row],[d (cm)]]+arredondarParaCimaMultiplo5cm(MAX(5,SQRT(PI())/2*ECF[[#This Row],[Ø (cm)]]/5)),"N.S.")</f>
        <v>N.S.</v>
      </c>
      <c r="AM96" s="5" t="str">
        <f ca="1">alpha(ECF[[#This Row],[nE]],ECF[[#This Row],[d (cm)]],ECF[[#This Row],[e (cm)]],ECF[[#This Row],[ap,eq (cm)]])</f>
        <v>N.S.</v>
      </c>
      <c r="AN96" s="35" t="str">
        <f ca="1">IFERROR(ECF[[#This Row],[Nsd (kN)]]/(ECF[[#This Row],[Ap (cm²)]]*SIN(ECF[[#This Row],[α]])^2),"N.S.")</f>
        <v>N.S.</v>
      </c>
      <c r="AO96" s="35" t="str">
        <f ca="1">IFERROR(ECF[[#This Row],[Nsd (kN)]]/(ECF[[#This Row],[nE]]*PI()*ECF[[#This Row],[Ø (cm)]]^2/4*SIN(ECF[[#This Row],[α]])^2),"N.S.")</f>
        <v>N.S.</v>
      </c>
      <c r="AP96" s="4" t="str">
        <f ca="1">IFERROR(INDEX(grupoEstacas[],ECF[[#This Row],[nE]],MATCH("coef. Blévot",grupoEstacas[#Headers],0)),"N.S.")</f>
        <v>N.S.</v>
      </c>
      <c r="AQ96" s="35" t="str">
        <f ca="1">IFERROR(ECF[[#This Row],[coef. Blévot]]*0.9*INDEX(tipoEstaca[],MATCH($D$2,tipoEstaca[TIPO DE ESTACA],0),MATCH("fcd (kN/cm²)",tipoEstaca[#Headers],0)),"N.S.")</f>
        <v>N.S.</v>
      </c>
      <c r="AR96" s="1" t="str">
        <f ca="1">IF(AND(ECF[[#This Row],[cd,b,pil (kN/cm²)]]&lt;=ECF[[#This Row],[cd,b,lim (kN/cm²)]],ECF[[#This Row],[cd,b,est (kN/cm²)]]&lt;=ECF[[#This Row],[cd,b,lim (kN/cm²)]]),"OK","ERRO")</f>
        <v>OK</v>
      </c>
      <c r="AS96" s="4" t="str">
        <f ca="1">As_lado(ECF[[#This Row],[nE]],ECF[[#This Row],[Nsd (kN)]],ECF[[#This Row],[d (cm)]],ECF[[#This Row],[e (cm)]],ECF[[#This Row],[ap,eq (cm)]])</f>
        <v>N.S.</v>
      </c>
      <c r="AT96" s="4" t="str">
        <f ca="1">IF(ECF[[#This Row],[nE]]=1,ECF[[#This Row],[As,lado (cm²)]],IF(ECF[[#This Row],[nE]]=2,0.075*2*ECF[a (cm)],"N.A."))</f>
        <v>N.A.</v>
      </c>
      <c r="AU96" s="4" t="str">
        <f ca="1">IFERROR(IF(ECF[[#This Row],[nE]]=1,"N.A.",0.2*ECF[[#This Row],[As,lado (cm²)]]),"N.S.")</f>
        <v>N.S.</v>
      </c>
      <c r="AV96" s="4" t="str">
        <f ca="1">As_malha(ECF[[#This Row],[nE]],ECF[[#This Row],[As,lado (cm²)]],ECF[[#This Row],[Nsd (kN)]])</f>
        <v>N.S.</v>
      </c>
      <c r="AW96" s="4" t="str">
        <f ca="1">As_susp_tot(ECF[[#This Row],[nE]],ECF[[#This Row],[Nsd (kN)]])</f>
        <v>N.S.</v>
      </c>
      <c r="AX96" s="4" t="str">
        <f ca="1">Asp_face(ECF[[#This Row],[nE]],ECF[[#This Row],[As,lado (cm²)]])</f>
        <v>N.S.</v>
      </c>
      <c r="AY96" s="5" t="str">
        <f ca="1">acoBloco(ECF[[#This Row],[nE]],ECF[[#This Row],[e (cm)]],ECF[[#This Row],[a (cm)]],ECF[[#This Row],[h (cm)]],ECF[[#This Row],[As,lado (cm²)]],ECF[[#This Row],[Asp e Asw (cm²/m)]],ECF[[#This Row],[As,sup (cm²)]],ECF[[#This Row],[As,malha (cm²)]],ECF[[#This Row],[As,susp,tot (cm²)]],ECF[[#This Row],[Asp,face (cm²)]])</f>
        <v>N.S.</v>
      </c>
      <c r="AZ96" s="4" t="str">
        <f ca="1">concretoBloco(ECF[[#This Row],[nE]],ECF[[#This Row],[e (cm)]],ECF[[#This Row],[a (cm)]],ECF[[#This Row],[h (cm)]])</f>
        <v>N.S.</v>
      </c>
      <c r="BA96" s="5">
        <f ca="1">SUM(ECF[[#This Row],[Aço Est (kg)]],ECF[[#This Row],[Aço Bloco (kg)]])</f>
        <v>98.646009322719507</v>
      </c>
      <c r="BB96" s="4">
        <f>INDEX(composicoes[],MATCH(95580,composicoes[CÓDIGO],0),MATCH("CUSTO TOTAL",composicoes[#Headers],0))</f>
        <v>10.46</v>
      </c>
      <c r="BC96" s="4">
        <f ca="1">SUM(ECF[[#This Row],[Conc Est (m³)]],ECF[[#This Row],[Conc Bloco (m³)]])</f>
        <v>43.982297150257104</v>
      </c>
      <c r="BD96" s="4">
        <f>INDEX(composicoes[],MATCH(94966,composicoes[CÓDIGO],0),MATCH("CUSTO TOTAL",composicoes[#Headers],0))</f>
        <v>439.52</v>
      </c>
      <c r="BE96" s="38">
        <f ca="1">ECF[[#This Row],[Aço (kg)]]*ECF[[#This Row],[Aço (R$/kg)]]+ECF[[#This Row],[Conc (m³)]]*ECF[[#This Row],[Conc (R$/m³)]]</f>
        <v>20362.936500996646</v>
      </c>
      <c r="BF96" s="4" t="str">
        <f ca="1">IF(COUNTIF(ECF[#This Row],"N.S.")&gt;0,"lim.","OK")</f>
        <v>lim.</v>
      </c>
      <c r="BG96" s="4" t="str">
        <f>IF(ECF[[#This Row],[Prof. (m)]]&lt;4,"lim.","OK")</f>
        <v>OK</v>
      </c>
      <c r="BH96" s="4" t="str">
        <f>IF(ECF[[#This Row],[Prof. (m)]]&gt;=8*ECF[[#This Row],[Ø (cm)]]/100,"OK","lim.")</f>
        <v>lim.</v>
      </c>
      <c r="BI96" s="4" t="str">
        <f>IF(AND(SPT!$F$3&lt;&gt;"",ECF[[#This Row],[Prof. (m)]]&gt;=SPT!$F$3-2),"lim.","OK")</f>
        <v>OK</v>
      </c>
      <c r="BJ96" s="4" t="str">
        <f ca="1">IF(ECF[[#This Row],[Verif. Biela]]="OK","OK","lim.")</f>
        <v>OK</v>
      </c>
      <c r="BK96" s="4" t="str">
        <f ca="1">IF(COUNTA(ECF[[#This Row],[Nº Est.]:[Biela comp.]])=COUNTIF(ECF[[#This Row],[Nº Est.]:[Biela comp.]],"OK"),"OK","lim.")</f>
        <v>lim.</v>
      </c>
      <c r="BL96" s="4" t="str">
        <f ca="1">IF(ECF[[#This Row],[Controle]]="OK",ECF[[#This Row],[nE]]&amp;" Ø"&amp;ECF[[#This Row],[Ø (cm)]]&amp;"cm Prof. "&amp;ECF[[#This Row],[Prof. (m)]]&amp;" m","")</f>
        <v/>
      </c>
      <c r="BM96" s="4" t="str">
        <f ca="1">IF(ECF[[#This Row],[idDimensionamento]]="","",ECF[[#This Row],[idPilar]]&amp;ECF[[#This Row],[idDimensionamento]])</f>
        <v/>
      </c>
    </row>
    <row r="97" spans="2:65" x14ac:dyDescent="0.25">
      <c r="B97" s="12">
        <f>ROUNDUP((ROW(ECF[[#This Row],[idDiâmetro]])-ROW(ECF[[#Headers],[idDiâmetro]]))/(COUNT(SPT[Prof. (m)])*COUNT(PILARES[Pilar])),0)</f>
        <v>4</v>
      </c>
      <c r="C97" s="12">
        <f>IF(ECF[[#This Row],[idDiâmetro]]&lt;&gt;B96,1,IF(ECF[[#This Row],[Prof. (m)]]=0,C96+1,C96))</f>
        <v>1</v>
      </c>
      <c r="D97" s="1">
        <f>IFERROR(IF(D96=MAX(SPT[Prof. (m)]),0,D96+1),0)</f>
        <v>8</v>
      </c>
      <c r="E97" s="1">
        <f>INDEX(SPT[],MATCH(ECF[[#This Row],[Prof. (m)]],SPT[Prof. (m)],0),2)</f>
        <v>10</v>
      </c>
      <c r="F97" s="1" t="str">
        <f>INDEX(SPT[],MATCH(ECF[[#This Row],[Prof. (m)]],SPT[Prof. (m)],0),3)</f>
        <v>Silte arenoso</v>
      </c>
      <c r="G97" s="1">
        <f>INDEX(estacas[],ECF[[#This Row],[idDiâmetro]],MATCH($B$2,estacas[#Headers],0))</f>
        <v>100</v>
      </c>
      <c r="H97" s="1">
        <f>INDEX(estacas[],MATCH(ECF[[#This Row],[Ø (cm)]],estacas[Ø ECF (cm)],0),MATCH(ECF[[#Headers],[Pe ECF (kN)]],estacas[#Headers],0))</f>
        <v>3100</v>
      </c>
      <c r="I97" s="4">
        <f>INDEX(K_alpha_C[],MATCH(ECF[[#This Row],[Solo]],K_alpha_C[Solo],0),2)</f>
        <v>0.55000000000000004</v>
      </c>
      <c r="J97" s="5">
        <f>INDEX(K_alpha_C[],MATCH(ECF[[#This Row],[Solo]],K_alpha_C[Solo],0),3)</f>
        <v>2.2000000000000002</v>
      </c>
      <c r="K97" s="4">
        <f>INDEX(F1_F2[],MATCH($D$2,F1_F2[Tipo de estaca],0),2)</f>
        <v>3</v>
      </c>
      <c r="L97" s="4">
        <f>INDEX(F1_F2[],MATCH($D$2,F1_F2[Tipo de estaca],0),3)</f>
        <v>6</v>
      </c>
      <c r="M97" s="4">
        <f>PI()*(ECF[[#This Row],[Ø (cm)]]/100)^2/4</f>
        <v>0.78539816339744828</v>
      </c>
      <c r="N97" s="4">
        <f>PI()*ECF[[#This Row],[Ø (cm)]]/100</f>
        <v>3.1415926535897931</v>
      </c>
      <c r="O97" s="4">
        <f>IF(ECF[[#This Row],[Prof. (m)]]=0,0,ECF[[#This Row],[α (%)]]/100*ECF[[#This Row],[K (MPa)]]*1000*ECF[[#This Row],[NSPT]])</f>
        <v>121.00000000000001</v>
      </c>
      <c r="P97" s="4">
        <f>IF(ECF[[#This Row],[Prof. (m)]]=0,0,(ECF[[#This Row],[K (MPa)]]*1000*ECF[[#This Row],[NSPT]]/ECF[[#This Row],[F1]]*ECF[[#This Row],[Ap (m²)]]+ECF[[#This Row],[U (m)]]/ECF[[#This Row],[F2]]*SUMIFS(ECF[(α∙K∙NL∙ΔL)],ECF[Prof. (m)],"&lt;="&amp;ECF[[#This Row],[Prof. (m)]],ECF[idDiâmetro],ECF[[#This Row],[idDiâmetro]],ECF[idPilar],ECF[[#This Row],[idPilar]]))/'DADOS CAP. CARGA'!$D$2)</f>
        <v>981.72152430803044</v>
      </c>
      <c r="Q97" s="12">
        <f>INDEX(C_alpha_beta[],MATCH(ECF[[#This Row],[Solo]],C_alpha_beta[Solo],0),MATCH(ECF[[#Headers],[C (kPa)]],C_alpha_beta[#Headers],0))</f>
        <v>250</v>
      </c>
      <c r="R97" s="4">
        <f>INDEX(C_alpha_beta[],MATCH(ECF[[#This Row],[Solo]],C_alpha_beta[Solo],0),MATCH(ECF[[#Headers],[α ESF]],C_alpha_beta[#Headers],0))</f>
        <v>0.6</v>
      </c>
      <c r="S97" s="4">
        <f>INDEX(C_alpha_beta[],MATCH(ECF[[#This Row],[Solo]],C_alpha_beta[Solo],0),MATCH(ECF[[#Headers],[β ESF]],C_alpha_beta[#Headers],0))</f>
        <v>0.65</v>
      </c>
      <c r="T97" s="4">
        <f>IF(ECF[[#This Row],[Prof. (m)]]=0,0,10*(ECF[[#This Row],[NSPT]]/3+1))</f>
        <v>43.333333333333343</v>
      </c>
      <c r="U97" s="4">
        <f>(ECF[[#This Row],[α ESF]]*ECF[[#This Row],[C (kPa)]]*ECF[[#This Row],[NSPT]]*ECF[[#This Row],[Ap (m²)]])/'DADOS CAP. CARGA'!$Q$2+(ECF[[#This Row],[β ESF]]*SUMIFS(ECF[10∙(NL/3+1)],ECF[Prof. (m)],"&lt;="&amp;ECF[[#This Row],[Prof. (m)]],ECF[idDiâmetro],ECF[[#This Row],[idDiâmetro]],ECF[idPilar],ECF[[#This Row],[idPilar]])*ECF[[#This Row],[U (m)]])/'DADOS CAP. CARGA'!$S$2</f>
        <v>621.24994724738167</v>
      </c>
      <c r="V97" s="4">
        <f>IF(SPT!$M$5=1,MIN(ECF[[#This Row],[Pe ECF (kN)]],ECF[[#This Row],[R_AV (kN)]]),IF(SPT!$M$5=2,MIN(ECF[[#This Row],[Pe ECF (kN)]],ECF[[#This Row],[R_DC (kN)]]),MIN(ECF[[#This Row],[Pe ECF (kN)]],ECF[[#This Row],[R_AV (kN)]],ECF[[#This Row],[R_DC (kN)]])))</f>
        <v>621.24994724738167</v>
      </c>
      <c r="W97" s="4">
        <f>INDEX(PILARES[],ECF[[#This Row],[idPilar]],MATCH("Carga (kN)",PILARES[#Headers],0))*1.4</f>
        <v>3500</v>
      </c>
      <c r="X97" s="12">
        <f>INDEX(PILARES[],ECF[[#This Row],[idPilar]],MATCH(ECF[[#Headers],[ap (cm)]],PILARES[#Headers],0))</f>
        <v>60</v>
      </c>
      <c r="Y97" s="12">
        <f>INDEX(PILARES[],ECF[[#This Row],[idPilar]],MATCH(ECF[[#Headers],[bp (cm)]],PILARES[#Headers],0))</f>
        <v>60</v>
      </c>
      <c r="Z97" s="4">
        <f>SQRT(ECF[[#This Row],[ap (cm)]]*ECF[[#This Row],[bp (cm)]])</f>
        <v>60</v>
      </c>
      <c r="AA97" s="12">
        <f>ECF[[#This Row],[ap (cm)]]*ECF[[#This Row],[bp (cm)]]</f>
        <v>3600</v>
      </c>
      <c r="AB97" s="12">
        <f ca="1">IF(ECF[[#This Row],[Padm∙ε (kN)]]&gt;=ECF[[#This Row],[Padm (kN)]],ROUNDUP(1.05*ECF[[#This Row],[Nsd (kN)]]/ECF[[#This Row],[Padm (kN)]],0),ROUNDUP(1.05*ECF[[#This Row],[Nsd (kN)]]/ECF[[#This Row],[Padm (kN)]],0)+1)</f>
        <v>6</v>
      </c>
      <c r="AC97" s="4" t="str">
        <f ca="1">IFERROR(IF(ECF[[#This Row],[nE]]=1,ECF[[#This Row],[Padm (kN)]],ECF[[#This Row],[Padm (kN)]]*ECF[[#This Row],[nE]]*INDEX(grupoEstacas[],ECF[[#This Row],[nE]],MATCH("ε",grupoEstacas[#Headers],0))),"N.S.")</f>
        <v>N.S.</v>
      </c>
      <c r="AD97" s="4">
        <f ca="1">1.05*ECF[[#This Row],[Nsd (kN)]]/(ECF[[#This Row],[nE]]*PI()*ECF[[#This Row],[Ø (cm)]]^2/4)*10</f>
        <v>0.77985922115028727</v>
      </c>
      <c r="AE97" s="4">
        <f ca="1">IF(ECF[[#This Row],[σ (MPa)]]&lt;INDEX(tipoEstaca[],MATCH($D$2,tipoEstaca[TIPO DE ESTACA],0),MATCH("σmáx (MPa)",tipoEstaca[#Headers],0)),0.4%*PI()*ECF[[#This Row],[Ø (cm)]]^2/4,"N.S.")</f>
        <v>31.415926535897935</v>
      </c>
      <c r="AF97" s="1">
        <f>INDEX(tipoEstaca[],MATCH($D$2,tipoEstaca[TIPO DE ESTACA],0),MATCH(ECF[[#Headers],[Comprimento (m)]],tipoEstaca[#Headers],0))</f>
        <v>4</v>
      </c>
      <c r="AG97" s="5">
        <f ca="1">ECF[[#This Row],[As,mín (cm²)]]/100^2*ECF[[#This Row],[Comprimento (m)]]*7850</f>
        <v>98.646009322719507</v>
      </c>
      <c r="AH97" s="4">
        <f ca="1">ECF[[#This Row],[nE]]*ECF[[#This Row],[Prof. (m)]]*ECF[[#This Row],[Ap (m²)]]</f>
        <v>37.699111843077517</v>
      </c>
      <c r="AI97" s="1">
        <f ca="1">IF(ECF[[#This Row],[nE]]=1,0,MAX(3*ECF[[#This Row],[Ø (cm)]],60))</f>
        <v>300</v>
      </c>
      <c r="AJ97" s="1">
        <f ca="1">IF(ECF[[#This Row],[nE]]=1,ECF[[#This Row],[Ø (cm)]]+2*10,MAX(1.5*ECF[[#This Row],[Ø (cm)]],ECF[[#This Row],[Ø (cm)]]+15))</f>
        <v>150</v>
      </c>
      <c r="AK97" s="1" t="str">
        <f ca="1">alturaUtil(ECF[[#This Row],[nE]],ECF[[#This Row],[Ø (cm)]],ECF[[#This Row],[e (cm)]],ECF[[#This Row],[ap,eq (cm)]])</f>
        <v>N.S.</v>
      </c>
      <c r="AL97" s="1" t="str">
        <f ca="1">IFERROR(ECF[[#This Row],[d (cm)]]+arredondarParaCimaMultiplo5cm(MAX(5,SQRT(PI())/2*ECF[[#This Row],[Ø (cm)]]/5)),"N.S.")</f>
        <v>N.S.</v>
      </c>
      <c r="AM97" s="5" t="str">
        <f ca="1">alpha(ECF[[#This Row],[nE]],ECF[[#This Row],[d (cm)]],ECF[[#This Row],[e (cm)]],ECF[[#This Row],[ap,eq (cm)]])</f>
        <v>N.S.</v>
      </c>
      <c r="AN97" s="35" t="str">
        <f ca="1">IFERROR(ECF[[#This Row],[Nsd (kN)]]/(ECF[[#This Row],[Ap (cm²)]]*SIN(ECF[[#This Row],[α]])^2),"N.S.")</f>
        <v>N.S.</v>
      </c>
      <c r="AO97" s="35" t="str">
        <f ca="1">IFERROR(ECF[[#This Row],[Nsd (kN)]]/(ECF[[#This Row],[nE]]*PI()*ECF[[#This Row],[Ø (cm)]]^2/4*SIN(ECF[[#This Row],[α]])^2),"N.S.")</f>
        <v>N.S.</v>
      </c>
      <c r="AP97" s="4" t="str">
        <f ca="1">IFERROR(INDEX(grupoEstacas[],ECF[[#This Row],[nE]],MATCH("coef. Blévot",grupoEstacas[#Headers],0)),"N.S.")</f>
        <v>N.S.</v>
      </c>
      <c r="AQ97" s="35" t="str">
        <f ca="1">IFERROR(ECF[[#This Row],[coef. Blévot]]*0.9*INDEX(tipoEstaca[],MATCH($D$2,tipoEstaca[TIPO DE ESTACA],0),MATCH("fcd (kN/cm²)",tipoEstaca[#Headers],0)),"N.S.")</f>
        <v>N.S.</v>
      </c>
      <c r="AR97" s="1" t="str">
        <f ca="1">IF(AND(ECF[[#This Row],[cd,b,pil (kN/cm²)]]&lt;=ECF[[#This Row],[cd,b,lim (kN/cm²)]],ECF[[#This Row],[cd,b,est (kN/cm²)]]&lt;=ECF[[#This Row],[cd,b,lim (kN/cm²)]]),"OK","ERRO")</f>
        <v>OK</v>
      </c>
      <c r="AS97" s="4" t="str">
        <f ca="1">As_lado(ECF[[#This Row],[nE]],ECF[[#This Row],[Nsd (kN)]],ECF[[#This Row],[d (cm)]],ECF[[#This Row],[e (cm)]],ECF[[#This Row],[ap,eq (cm)]])</f>
        <v>N.S.</v>
      </c>
      <c r="AT97" s="4" t="str">
        <f ca="1">IF(ECF[[#This Row],[nE]]=1,ECF[[#This Row],[As,lado (cm²)]],IF(ECF[[#This Row],[nE]]=2,0.075*2*ECF[a (cm)],"N.A."))</f>
        <v>N.A.</v>
      </c>
      <c r="AU97" s="4" t="str">
        <f ca="1">IFERROR(IF(ECF[[#This Row],[nE]]=1,"N.A.",0.2*ECF[[#This Row],[As,lado (cm²)]]),"N.S.")</f>
        <v>N.S.</v>
      </c>
      <c r="AV97" s="4" t="str">
        <f ca="1">As_malha(ECF[[#This Row],[nE]],ECF[[#This Row],[As,lado (cm²)]],ECF[[#This Row],[Nsd (kN)]])</f>
        <v>N.S.</v>
      </c>
      <c r="AW97" s="4" t="str">
        <f ca="1">As_susp_tot(ECF[[#This Row],[nE]],ECF[[#This Row],[Nsd (kN)]])</f>
        <v>N.S.</v>
      </c>
      <c r="AX97" s="4" t="str">
        <f ca="1">Asp_face(ECF[[#This Row],[nE]],ECF[[#This Row],[As,lado (cm²)]])</f>
        <v>N.S.</v>
      </c>
      <c r="AY97" s="5" t="str">
        <f ca="1">acoBloco(ECF[[#This Row],[nE]],ECF[[#This Row],[e (cm)]],ECF[[#This Row],[a (cm)]],ECF[[#This Row],[h (cm)]],ECF[[#This Row],[As,lado (cm²)]],ECF[[#This Row],[Asp e Asw (cm²/m)]],ECF[[#This Row],[As,sup (cm²)]],ECF[[#This Row],[As,malha (cm²)]],ECF[[#This Row],[As,susp,tot (cm²)]],ECF[[#This Row],[Asp,face (cm²)]])</f>
        <v>N.S.</v>
      </c>
      <c r="AZ97" s="4" t="str">
        <f ca="1">concretoBloco(ECF[[#This Row],[nE]],ECF[[#This Row],[e (cm)]],ECF[[#This Row],[a (cm)]],ECF[[#This Row],[h (cm)]])</f>
        <v>N.S.</v>
      </c>
      <c r="BA97" s="5">
        <f ca="1">SUM(ECF[[#This Row],[Aço Est (kg)]],ECF[[#This Row],[Aço Bloco (kg)]])</f>
        <v>98.646009322719507</v>
      </c>
      <c r="BB97" s="4">
        <f>INDEX(composicoes[],MATCH(95580,composicoes[CÓDIGO],0),MATCH("CUSTO TOTAL",composicoes[#Headers],0))</f>
        <v>10.46</v>
      </c>
      <c r="BC97" s="4">
        <f ca="1">SUM(ECF[[#This Row],[Conc Est (m³)]],ECF[[#This Row],[Conc Bloco (m³)]])</f>
        <v>37.699111843077517</v>
      </c>
      <c r="BD97" s="4">
        <f>INDEX(composicoes[],MATCH(94966,composicoes[CÓDIGO],0),MATCH("CUSTO TOTAL",composicoes[#Headers],0))</f>
        <v>439.52</v>
      </c>
      <c r="BE97" s="38">
        <f ca="1">ECF[[#This Row],[Aço (kg)]]*ECF[[#This Row],[Aço (R$/kg)]]+ECF[[#This Row],[Conc (m³)]]*ECF[[#This Row],[Conc (R$/m³)]]</f>
        <v>17601.350894785075</v>
      </c>
      <c r="BF97" s="4" t="str">
        <f ca="1">IF(COUNTIF(ECF[#This Row],"N.S.")&gt;0,"lim.","OK")</f>
        <v>lim.</v>
      </c>
      <c r="BG97" s="4" t="str">
        <f>IF(ECF[[#This Row],[Prof. (m)]]&lt;4,"lim.","OK")</f>
        <v>OK</v>
      </c>
      <c r="BH97" s="4" t="str">
        <f>IF(ECF[[#This Row],[Prof. (m)]]&gt;=8*ECF[[#This Row],[Ø (cm)]]/100,"OK","lim.")</f>
        <v>OK</v>
      </c>
      <c r="BI97" s="4" t="str">
        <f>IF(AND(SPT!$F$3&lt;&gt;"",ECF[[#This Row],[Prof. (m)]]&gt;=SPT!$F$3-2),"lim.","OK")</f>
        <v>OK</v>
      </c>
      <c r="BJ97" s="4" t="str">
        <f ca="1">IF(ECF[[#This Row],[Verif. Biela]]="OK","OK","lim.")</f>
        <v>OK</v>
      </c>
      <c r="BK97" s="4" t="str">
        <f ca="1">IF(COUNTA(ECF[[#This Row],[Nº Est.]:[Biela comp.]])=COUNTIF(ECF[[#This Row],[Nº Est.]:[Biela comp.]],"OK"),"OK","lim.")</f>
        <v>lim.</v>
      </c>
      <c r="BL97" s="4" t="str">
        <f ca="1">IF(ECF[[#This Row],[Controle]]="OK",ECF[[#This Row],[nE]]&amp;" Ø"&amp;ECF[[#This Row],[Ø (cm)]]&amp;"cm Prof. "&amp;ECF[[#This Row],[Prof. (m)]]&amp;" m","")</f>
        <v/>
      </c>
      <c r="BM97" s="4" t="str">
        <f ca="1">IF(ECF[[#This Row],[idDimensionamento]]="","",ECF[[#This Row],[idPilar]]&amp;ECF[[#This Row],[idDimensionamento]])</f>
        <v/>
      </c>
    </row>
    <row r="98" spans="2:65" x14ac:dyDescent="0.25">
      <c r="B98" s="12">
        <f>ROUNDUP((ROW(ECF[[#This Row],[idDiâmetro]])-ROW(ECF[[#Headers],[idDiâmetro]]))/(COUNT(SPT[Prof. (m)])*COUNT(PILARES[Pilar])),0)</f>
        <v>4</v>
      </c>
      <c r="C98" s="12">
        <f>IF(ECF[[#This Row],[idDiâmetro]]&lt;&gt;B97,1,IF(ECF[[#This Row],[Prof. (m)]]=0,C97+1,C97))</f>
        <v>1</v>
      </c>
      <c r="D98" s="1">
        <f>IFERROR(IF(D97=MAX(SPT[Prof. (m)]),0,D97+1),0)</f>
        <v>9</v>
      </c>
      <c r="E98" s="1">
        <f>INDEX(SPT[],MATCH(ECF[[#This Row],[Prof. (m)]],SPT[Prof. (m)],0),2)</f>
        <v>26</v>
      </c>
      <c r="F98" s="1" t="str">
        <f>INDEX(SPT[],MATCH(ECF[[#This Row],[Prof. (m)]],SPT[Prof. (m)],0),3)</f>
        <v>Areia siltosa</v>
      </c>
      <c r="G98" s="1">
        <f>INDEX(estacas[],ECF[[#This Row],[idDiâmetro]],MATCH($B$2,estacas[#Headers],0))</f>
        <v>100</v>
      </c>
      <c r="H98" s="1">
        <f>INDEX(estacas[],MATCH(ECF[[#This Row],[Ø (cm)]],estacas[Ø ECF (cm)],0),MATCH(ECF[[#Headers],[Pe ECF (kN)]],estacas[#Headers],0))</f>
        <v>3100</v>
      </c>
      <c r="I98" s="4">
        <f>INDEX(K_alpha_C[],MATCH(ECF[[#This Row],[Solo]],K_alpha_C[Solo],0),2)</f>
        <v>0.8</v>
      </c>
      <c r="J98" s="5">
        <f>INDEX(K_alpha_C[],MATCH(ECF[[#This Row],[Solo]],K_alpha_C[Solo],0),3)</f>
        <v>2</v>
      </c>
      <c r="K98" s="4">
        <f>INDEX(F1_F2[],MATCH($D$2,F1_F2[Tipo de estaca],0),2)</f>
        <v>3</v>
      </c>
      <c r="L98" s="4">
        <f>INDEX(F1_F2[],MATCH($D$2,F1_F2[Tipo de estaca],0),3)</f>
        <v>6</v>
      </c>
      <c r="M98" s="4">
        <f>PI()*(ECF[[#This Row],[Ø (cm)]]/100)^2/4</f>
        <v>0.78539816339744828</v>
      </c>
      <c r="N98" s="4">
        <f>PI()*ECF[[#This Row],[Ø (cm)]]/100</f>
        <v>3.1415926535897931</v>
      </c>
      <c r="O98" s="4">
        <f>IF(ECF[[#This Row],[Prof. (m)]]=0,0,ECF[[#This Row],[α (%)]]/100*ECF[[#This Row],[K (MPa)]]*1000*ECF[[#This Row],[NSPT]])</f>
        <v>416</v>
      </c>
      <c r="P98" s="4">
        <f>IF(ECF[[#This Row],[Prof. (m)]]=0,0,(ECF[[#This Row],[K (MPa)]]*1000*ECF[[#This Row],[NSPT]]/ECF[[#This Row],[F1]]*ECF[[#This Row],[Ap (m²)]]+ECF[[#This Row],[U (m)]]/ECF[[#This Row],[F2]]*SUMIFS(ECF[(α∙K∙NL∙ΔL)],ECF[Prof. (m)],"&lt;="&amp;ECF[[#This Row],[Prof. (m)]],ECF[idDiâmetro],ECF[[#This Row],[idDiâmetro]],ECF[idPilar],ECF[[#This Row],[idPilar]]))/'DADOS CAP. CARGA'!$D$2)</f>
        <v>3093.3953862959693</v>
      </c>
      <c r="Q98" s="12">
        <f>INDEX(C_alpha_beta[],MATCH(ECF[[#This Row],[Solo]],C_alpha_beta[Solo],0),MATCH(ECF[[#Headers],[C (kPa)]],C_alpha_beta[#Headers],0))</f>
        <v>400</v>
      </c>
      <c r="R98" s="4">
        <f>INDEX(C_alpha_beta[],MATCH(ECF[[#This Row],[Solo]],C_alpha_beta[Solo],0),MATCH(ECF[[#Headers],[α ESF]],C_alpha_beta[#Headers],0))</f>
        <v>0.5</v>
      </c>
      <c r="S98" s="4">
        <f>INDEX(C_alpha_beta[],MATCH(ECF[[#This Row],[Solo]],C_alpha_beta[Solo],0),MATCH(ECF[[#Headers],[β ESF]],C_alpha_beta[#Headers],0))</f>
        <v>0.5</v>
      </c>
      <c r="T98" s="4">
        <f>IF(ECF[[#This Row],[Prof. (m)]]=0,0,10*(ECF[[#This Row],[NSPT]]/3+1))</f>
        <v>96.666666666666657</v>
      </c>
      <c r="U98" s="4">
        <f>(ECF[[#This Row],[α ESF]]*ECF[[#This Row],[C (kPa)]]*ECF[[#This Row],[NSPT]]*ECF[[#This Row],[Ap (m²)]])/'DADOS CAP. CARGA'!$Q$2+(ECF[[#This Row],[β ESF]]*SUMIFS(ECF[10∙(NL/3+1)],ECF[Prof. (m)],"&lt;="&amp;ECF[[#This Row],[Prof. (m)]],ECF[idDiâmetro],ECF[[#This Row],[idDiâmetro]],ECF[idPilar],ECF[[#This Row],[idPilar]])*ECF[[#This Row],[U (m)]])/'DADOS CAP. CARGA'!$S$2</f>
        <v>1348.2668471656195</v>
      </c>
      <c r="V98" s="4">
        <f>IF(SPT!$M$5=1,MIN(ECF[[#This Row],[Pe ECF (kN)]],ECF[[#This Row],[R_AV (kN)]]),IF(SPT!$M$5=2,MIN(ECF[[#This Row],[Pe ECF (kN)]],ECF[[#This Row],[R_DC (kN)]]),MIN(ECF[[#This Row],[Pe ECF (kN)]],ECF[[#This Row],[R_AV (kN)]],ECF[[#This Row],[R_DC (kN)]])))</f>
        <v>1348.2668471656195</v>
      </c>
      <c r="W98" s="4">
        <f>INDEX(PILARES[],ECF[[#This Row],[idPilar]],MATCH("Carga (kN)",PILARES[#Headers],0))*1.4</f>
        <v>3500</v>
      </c>
      <c r="X98" s="12">
        <f>INDEX(PILARES[],ECF[[#This Row],[idPilar]],MATCH(ECF[[#Headers],[ap (cm)]],PILARES[#Headers],0))</f>
        <v>60</v>
      </c>
      <c r="Y98" s="12">
        <f>INDEX(PILARES[],ECF[[#This Row],[idPilar]],MATCH(ECF[[#Headers],[bp (cm)]],PILARES[#Headers],0))</f>
        <v>60</v>
      </c>
      <c r="Z98" s="4">
        <f>SQRT(ECF[[#This Row],[ap (cm)]]*ECF[[#This Row],[bp (cm)]])</f>
        <v>60</v>
      </c>
      <c r="AA98" s="12">
        <f>ECF[[#This Row],[ap (cm)]]*ECF[[#This Row],[bp (cm)]]</f>
        <v>3600</v>
      </c>
      <c r="AB98" s="12">
        <f ca="1">IF(ECF[[#This Row],[Padm∙ε (kN)]]&gt;=ECF[[#This Row],[Padm (kN)]],ROUNDUP(1.05*ECF[[#This Row],[Nsd (kN)]]/ECF[[#This Row],[Padm (kN)]],0),ROUNDUP(1.05*ECF[[#This Row],[Nsd (kN)]]/ECF[[#This Row],[Padm (kN)]],0)+1)</f>
        <v>3</v>
      </c>
      <c r="AC98" s="4">
        <f ca="1">IFERROR(IF(ECF[[#This Row],[nE]]=1,ECF[[#This Row],[Padm (kN)]],ECF[[#This Row],[Padm (kN)]]*ECF[[#This Row],[nE]]*INDEX(grupoEstacas[],ECF[[#This Row],[nE]],MATCH("ε",grupoEstacas[#Headers],0))),"N.S.")</f>
        <v>3539.2004738097512</v>
      </c>
      <c r="AD98" s="4">
        <f ca="1">1.05*ECF[[#This Row],[Nsd (kN)]]/(ECF[[#This Row],[nE]]*PI()*ECF[[#This Row],[Ø (cm)]]^2/4)*10</f>
        <v>1.5597184423005745</v>
      </c>
      <c r="AE98" s="4">
        <f ca="1">IF(ECF[[#This Row],[σ (MPa)]]&lt;INDEX(tipoEstaca[],MATCH($D$2,tipoEstaca[TIPO DE ESTACA],0),MATCH("σmáx (MPa)",tipoEstaca[#Headers],0)),0.4%*PI()*ECF[[#This Row],[Ø (cm)]]^2/4,"N.S.")</f>
        <v>31.415926535897935</v>
      </c>
      <c r="AF98" s="1">
        <f>INDEX(tipoEstaca[],MATCH($D$2,tipoEstaca[TIPO DE ESTACA],0),MATCH(ECF[[#Headers],[Comprimento (m)]],tipoEstaca[#Headers],0))</f>
        <v>4</v>
      </c>
      <c r="AG98" s="5">
        <f ca="1">ECF[[#This Row],[As,mín (cm²)]]/100^2*ECF[[#This Row],[Comprimento (m)]]*7850</f>
        <v>98.646009322719507</v>
      </c>
      <c r="AH98" s="4">
        <f ca="1">ECF[[#This Row],[nE]]*ECF[[#This Row],[Prof. (m)]]*ECF[[#This Row],[Ap (m²)]]</f>
        <v>21.205750411731103</v>
      </c>
      <c r="AI98" s="1">
        <f ca="1">IF(ECF[[#This Row],[nE]]=1,0,MAX(3*ECF[[#This Row],[Ø (cm)]],60))</f>
        <v>300</v>
      </c>
      <c r="AJ98" s="1">
        <f ca="1">IF(ECF[[#This Row],[nE]]=1,ECF[[#This Row],[Ø (cm)]]+2*10,MAX(1.5*ECF[[#This Row],[Ø (cm)]],ECF[[#This Row],[Ø (cm)]]+15))</f>
        <v>150</v>
      </c>
      <c r="AK98" s="1">
        <f ca="1">alturaUtil(ECF[[#This Row],[nE]],ECF[[#This Row],[Ø (cm)]],ECF[[#This Row],[e (cm)]],ECF[[#This Row],[ap,eq (cm)]])</f>
        <v>135</v>
      </c>
      <c r="AL98" s="1">
        <f ca="1">IFERROR(ECF[[#This Row],[d (cm)]]+arredondarParaCimaMultiplo5cm(MAX(5,SQRT(PI())/2*ECF[[#This Row],[Ø (cm)]]/5)),"N.S.")</f>
        <v>155</v>
      </c>
      <c r="AM98" s="5">
        <f ca="1">alpha(ECF[[#This Row],[nE]],ECF[[#This Row],[d (cm)]],ECF[[#This Row],[e (cm)]],ECF[[#This Row],[ap,eq (cm)]])</f>
        <v>45.643745714175381</v>
      </c>
      <c r="AN98" s="35">
        <f ca="1">IFERROR(ECF[[#This Row],[Nsd (kN)]]/(ECF[[#This Row],[Ap (cm²)]]*SIN(ECF[[#This Row],[α]])^2),"N.S.")</f>
        <v>0.98025575321721969</v>
      </c>
      <c r="AO98" s="35">
        <f ca="1">IFERROR(ECF[[#This Row],[Nsd (kN)]]/(ECF[[#This Row],[nE]]*PI()*ECF[[#This Row],[Ø (cm)]]^2/4*SIN(ECF[[#This Row],[α]])^2),"N.S.")</f>
        <v>0.14977204667403804</v>
      </c>
      <c r="AP98" s="4">
        <f ca="1">IFERROR(INDEX(grupoEstacas[],ECF[[#This Row],[nE]],MATCH("coef. Blévot",grupoEstacas[#Headers],0)),"N.S.")</f>
        <v>1.75</v>
      </c>
      <c r="AQ98" s="35">
        <f ca="1">IFERROR(ECF[[#This Row],[coef. Blévot]]*0.9*INDEX(tipoEstaca[],MATCH($D$2,tipoEstaca[TIPO DE ESTACA],0),MATCH("fcd (kN/cm²)",tipoEstaca[#Headers],0)),"N.S.")</f>
        <v>1.75</v>
      </c>
      <c r="AR98" s="1" t="str">
        <f ca="1">IF(AND(ECF[[#This Row],[cd,b,pil (kN/cm²)]]&lt;=ECF[[#This Row],[cd,b,lim (kN/cm²)]],ECF[[#This Row],[cd,b,est (kN/cm²)]]&lt;=ECF[[#This Row],[cd,b,lim (kN/cm²)]]),"OK","ERRO")</f>
        <v>OK</v>
      </c>
      <c r="AS98" s="4">
        <f ca="1">As_lado(ECF[[#This Row],[nE]],ECF[[#This Row],[Nsd (kN)]],ECF[[#This Row],[d (cm)]],ECF[[#This Row],[e (cm)]],ECF[[#This Row],[ap,eq (cm)]])</f>
        <v>17.810912246775882</v>
      </c>
      <c r="AT98" s="4" t="str">
        <f ca="1">IF(ECF[[#This Row],[nE]]=1,ECF[[#This Row],[As,lado (cm²)]],IF(ECF[[#This Row],[nE]]=2,0.075*2*ECF[a (cm)],"N.A."))</f>
        <v>N.A.</v>
      </c>
      <c r="AU98" s="4">
        <f ca="1">IFERROR(IF(ECF[[#This Row],[nE]]=1,"N.A.",0.2*ECF[[#This Row],[As,lado (cm²)]]),"N.S.")</f>
        <v>3.5621824493551766</v>
      </c>
      <c r="AV98" s="4">
        <f ca="1">As_malha(ECF[[#This Row],[nE]],ECF[[#This Row],[As,lado (cm²)]],ECF[[#This Row],[Nsd (kN)]])</f>
        <v>5.9629629629629619</v>
      </c>
      <c r="AW98" s="4">
        <f ca="1">As_susp_tot(ECF[[#This Row],[nE]],ECF[[#This Row],[Nsd (kN)]])</f>
        <v>17.888888888888886</v>
      </c>
      <c r="AX98" s="4">
        <f ca="1">Asp_face(ECF[[#This Row],[nE]],ECF[[#This Row],[As,lado (cm²)]])</f>
        <v>6.6790920925409552</v>
      </c>
      <c r="AY98" s="5">
        <f ca="1">acoBloco(ECF[[#This Row],[nE]],ECF[[#This Row],[e (cm)]],ECF[[#This Row],[a (cm)]],ECF[[#This Row],[h (cm)]],ECF[[#This Row],[As,lado (cm²)]],ECF[[#This Row],[Asp e Asw (cm²/m)]],ECF[[#This Row],[As,sup (cm²)]],ECF[[#This Row],[As,malha (cm²)]],ECF[[#This Row],[As,susp,tot (cm²)]],ECF[[#This Row],[Asp,face (cm²)]])</f>
        <v>527.88157078579366</v>
      </c>
      <c r="AZ98" s="4">
        <f ca="1">concretoBloco(ECF[[#This Row],[nE]],ECF[[#This Row],[e (cm)]],ECF[[#This Row],[a (cm)]],ECF[[#This Row],[h (cm)]])</f>
        <v>39.046581574189382</v>
      </c>
      <c r="BA98" s="5">
        <f ca="1">SUM(ECF[[#This Row],[Aço Est (kg)]],ECF[[#This Row],[Aço Bloco (kg)]])</f>
        <v>626.52758010851312</v>
      </c>
      <c r="BB98" s="4">
        <f>INDEX(composicoes[],MATCH(95580,composicoes[CÓDIGO],0),MATCH("CUSTO TOTAL",composicoes[#Headers],0))</f>
        <v>10.46</v>
      </c>
      <c r="BC98" s="4">
        <f ca="1">SUM(ECF[[#This Row],[Conc Est (m³)]],ECF[[#This Row],[Conc Bloco (m³)]])</f>
        <v>60.252331985920485</v>
      </c>
      <c r="BD98" s="4">
        <f>INDEX(composicoes[],MATCH(94966,composicoes[CÓDIGO],0),MATCH("CUSTO TOTAL",composicoes[#Headers],0))</f>
        <v>439.52</v>
      </c>
      <c r="BE98" s="38">
        <f ca="1">ECF[[#This Row],[Aço (kg)]]*ECF[[#This Row],[Aço (R$/kg)]]+ECF[[#This Row],[Conc (m³)]]*ECF[[#This Row],[Conc (R$/m³)]]</f>
        <v>33035.583442386822</v>
      </c>
      <c r="BF98" s="4" t="str">
        <f ca="1">IF(COUNTIF(ECF[#This Row],"N.S.")&gt;0,"lim.","OK")</f>
        <v>OK</v>
      </c>
      <c r="BG98" s="4" t="str">
        <f>IF(ECF[[#This Row],[Prof. (m)]]&lt;4,"lim.","OK")</f>
        <v>OK</v>
      </c>
      <c r="BH98" s="4" t="str">
        <f>IF(ECF[[#This Row],[Prof. (m)]]&gt;=8*ECF[[#This Row],[Ø (cm)]]/100,"OK","lim.")</f>
        <v>OK</v>
      </c>
      <c r="BI98" s="4" t="str">
        <f>IF(AND(SPT!$F$3&lt;&gt;"",ECF[[#This Row],[Prof. (m)]]&gt;=SPT!$F$3-2),"lim.","OK")</f>
        <v>OK</v>
      </c>
      <c r="BJ98" s="4" t="str">
        <f ca="1">IF(ECF[[#This Row],[Verif. Biela]]="OK","OK","lim.")</f>
        <v>OK</v>
      </c>
      <c r="BK98" s="4" t="str">
        <f ca="1">IF(COUNTA(ECF[[#This Row],[Nº Est.]:[Biela comp.]])=COUNTIF(ECF[[#This Row],[Nº Est.]:[Biela comp.]],"OK"),"OK","lim.")</f>
        <v>OK</v>
      </c>
      <c r="BL98" s="4" t="str">
        <f ca="1">IF(ECF[[#This Row],[Controle]]="OK",ECF[[#This Row],[nE]]&amp;" Ø"&amp;ECF[[#This Row],[Ø (cm)]]&amp;"cm Prof. "&amp;ECF[[#This Row],[Prof. (m)]]&amp;" m","")</f>
        <v>3 Ø100cm Prof. 9 m</v>
      </c>
      <c r="BM98" s="4" t="str">
        <f ca="1">IF(ECF[[#This Row],[idDimensionamento]]="","",ECF[[#This Row],[idPilar]]&amp;ECF[[#This Row],[idDimensionamento]])</f>
        <v>13 Ø100cm Prof. 9 m</v>
      </c>
    </row>
    <row r="99" spans="2:65" x14ac:dyDescent="0.25">
      <c r="B99" s="12">
        <f>ROUNDUP((ROW(ECF[[#This Row],[idDiâmetro]])-ROW(ECF[[#Headers],[idDiâmetro]]))/(COUNT(SPT[Prof. (m)])*COUNT(PILARES[Pilar])),0)</f>
        <v>4</v>
      </c>
      <c r="C99" s="12">
        <f>IF(ECF[[#This Row],[idDiâmetro]]&lt;&gt;B98,1,IF(ECF[[#This Row],[Prof. (m)]]=0,C98+1,C98))</f>
        <v>1</v>
      </c>
      <c r="D99" s="1">
        <f>IFERROR(IF(D98=MAX(SPT[Prof. (m)]),0,D98+1),0)</f>
        <v>10</v>
      </c>
      <c r="E99" s="1">
        <f>INDEX(SPT[],MATCH(ECF[[#This Row],[Prof. (m)]],SPT[Prof. (m)],0),2)</f>
        <v>32</v>
      </c>
      <c r="F99" s="1" t="str">
        <f>INDEX(SPT[],MATCH(ECF[[#This Row],[Prof. (m)]],SPT[Prof. (m)],0),3)</f>
        <v>Areia siltosa</v>
      </c>
      <c r="G99" s="1">
        <f>INDEX(estacas[],ECF[[#This Row],[idDiâmetro]],MATCH($B$2,estacas[#Headers],0))</f>
        <v>100</v>
      </c>
      <c r="H99" s="1">
        <f>INDEX(estacas[],MATCH(ECF[[#This Row],[Ø (cm)]],estacas[Ø ECF (cm)],0),MATCH(ECF[[#Headers],[Pe ECF (kN)]],estacas[#Headers],0))</f>
        <v>3100</v>
      </c>
      <c r="I99" s="4">
        <f>INDEX(K_alpha_C[],MATCH(ECF[[#This Row],[Solo]],K_alpha_C[Solo],0),2)</f>
        <v>0.8</v>
      </c>
      <c r="J99" s="5">
        <f>INDEX(K_alpha_C[],MATCH(ECF[[#This Row],[Solo]],K_alpha_C[Solo],0),3)</f>
        <v>2</v>
      </c>
      <c r="K99" s="4">
        <f>INDEX(F1_F2[],MATCH($D$2,F1_F2[Tipo de estaca],0),2)</f>
        <v>3</v>
      </c>
      <c r="L99" s="4">
        <f>INDEX(F1_F2[],MATCH($D$2,F1_F2[Tipo de estaca],0),3)</f>
        <v>6</v>
      </c>
      <c r="M99" s="4">
        <f>PI()*(ECF[[#This Row],[Ø (cm)]]/100)^2/4</f>
        <v>0.78539816339744828</v>
      </c>
      <c r="N99" s="4">
        <f>PI()*ECF[[#This Row],[Ø (cm)]]/100</f>
        <v>3.1415926535897931</v>
      </c>
      <c r="O99" s="4">
        <f>IF(ECF[[#This Row],[Prof. (m)]]=0,0,ECF[[#This Row],[α (%)]]/100*ECF[[#This Row],[K (MPa)]]*1000*ECF[[#This Row],[NSPT]])</f>
        <v>512</v>
      </c>
      <c r="P99" s="4">
        <f>IF(ECF[[#This Row],[Prof. (m)]]=0,0,(ECF[[#This Row],[K (MPa)]]*1000*ECF[[#This Row],[NSPT]]/ECF[[#This Row],[F1]]*ECF[[#This Row],[Ap (m²)]]+ECF[[#This Row],[U (m)]]/ECF[[#This Row],[F2]]*SUMIFS(ECF[(α∙K∙NL∙ΔL)],ECF[Prof. (m)],"&lt;="&amp;ECF[[#This Row],[Prof. (m)]],ECF[idDiâmetro],ECF[[#This Row],[idDiâmetro]],ECF[idPilar],ECF[[#This Row],[idPilar]]))/'DADOS CAP. CARGA'!$D$2)</f>
        <v>3855.7552035670933</v>
      </c>
      <c r="Q99" s="12">
        <f>INDEX(C_alpha_beta[],MATCH(ECF[[#This Row],[Solo]],C_alpha_beta[Solo],0),MATCH(ECF[[#Headers],[C (kPa)]],C_alpha_beta[#Headers],0))</f>
        <v>400</v>
      </c>
      <c r="R99" s="4">
        <f>INDEX(C_alpha_beta[],MATCH(ECF[[#This Row],[Solo]],C_alpha_beta[Solo],0),MATCH(ECF[[#Headers],[α ESF]],C_alpha_beta[#Headers],0))</f>
        <v>0.5</v>
      </c>
      <c r="S99" s="4">
        <f>INDEX(C_alpha_beta[],MATCH(ECF[[#This Row],[Solo]],C_alpha_beta[Solo],0),MATCH(ECF[[#Headers],[β ESF]],C_alpha_beta[#Headers],0))</f>
        <v>0.5</v>
      </c>
      <c r="T99" s="4">
        <f>IF(ECF[[#This Row],[Prof. (m)]]=0,0,10*(ECF[[#This Row],[NSPT]]/3+1))</f>
        <v>116.66666666666666</v>
      </c>
      <c r="U99" s="4">
        <f>(ECF[[#This Row],[α ESF]]*ECF[[#This Row],[C (kPa)]]*ECF[[#This Row],[NSPT]]*ECF[[#This Row],[Ap (m²)]])/'DADOS CAP. CARGA'!$Q$2+(ECF[[#This Row],[β ESF]]*SUMIFS(ECF[10∙(NL/3+1)],ECF[Prof. (m)],"&lt;="&amp;ECF[[#This Row],[Prof. (m)]],ECF[idDiâmetro],ECF[[#This Row],[idDiâmetro]],ECF[idPilar],ECF[[#This Row],[idPilar]])*ECF[[#This Row],[U (m)]])/'DADOS CAP. CARGA'!$S$2</f>
        <v>1675.5160819145563</v>
      </c>
      <c r="V99" s="4">
        <f>IF(SPT!$M$5=1,MIN(ECF[[#This Row],[Pe ECF (kN)]],ECF[[#This Row],[R_AV (kN)]]),IF(SPT!$M$5=2,MIN(ECF[[#This Row],[Pe ECF (kN)]],ECF[[#This Row],[R_DC (kN)]]),MIN(ECF[[#This Row],[Pe ECF (kN)]],ECF[[#This Row],[R_AV (kN)]],ECF[[#This Row],[R_DC (kN)]])))</f>
        <v>1675.5160819145563</v>
      </c>
      <c r="W99" s="4">
        <f>INDEX(PILARES[],ECF[[#This Row],[idPilar]],MATCH("Carga (kN)",PILARES[#Headers],0))*1.4</f>
        <v>3500</v>
      </c>
      <c r="X99" s="12">
        <f>INDEX(PILARES[],ECF[[#This Row],[idPilar]],MATCH(ECF[[#Headers],[ap (cm)]],PILARES[#Headers],0))</f>
        <v>60</v>
      </c>
      <c r="Y99" s="12">
        <f>INDEX(PILARES[],ECF[[#This Row],[idPilar]],MATCH(ECF[[#Headers],[bp (cm)]],PILARES[#Headers],0))</f>
        <v>60</v>
      </c>
      <c r="Z99" s="4">
        <f>SQRT(ECF[[#This Row],[ap (cm)]]*ECF[[#This Row],[bp (cm)]])</f>
        <v>60</v>
      </c>
      <c r="AA99" s="12">
        <f>ECF[[#This Row],[ap (cm)]]*ECF[[#This Row],[bp (cm)]]</f>
        <v>3600</v>
      </c>
      <c r="AB99" s="12">
        <f ca="1">IF(ECF[[#This Row],[Padm∙ε (kN)]]&gt;=ECF[[#This Row],[Padm (kN)]],ROUNDUP(1.05*ECF[[#This Row],[Nsd (kN)]]/ECF[[#This Row],[Padm (kN)]],0),ROUNDUP(1.05*ECF[[#This Row],[Nsd (kN)]]/ECF[[#This Row],[Padm (kN)]],0)+1)</f>
        <v>3</v>
      </c>
      <c r="AC99" s="4">
        <f ca="1">IFERROR(IF(ECF[[#This Row],[nE]]=1,ECF[[#This Row],[Padm (kN)]],ECF[[#This Row],[Padm (kN)]]*ECF[[#This Row],[nE]]*INDEX(grupoEstacas[],ECF[[#This Row],[nE]],MATCH("ε",grupoEstacas[#Headers],0))),"N.S.")</f>
        <v>4398.22971502571</v>
      </c>
      <c r="AD99" s="4">
        <f ca="1">1.05*ECF[[#This Row],[Nsd (kN)]]/(ECF[[#This Row],[nE]]*PI()*ECF[[#This Row],[Ø (cm)]]^2/4)*10</f>
        <v>1.5597184423005745</v>
      </c>
      <c r="AE99" s="4">
        <f ca="1">IF(ECF[[#This Row],[σ (MPa)]]&lt;INDEX(tipoEstaca[],MATCH($D$2,tipoEstaca[TIPO DE ESTACA],0),MATCH("σmáx (MPa)",tipoEstaca[#Headers],0)),0.4%*PI()*ECF[[#This Row],[Ø (cm)]]^2/4,"N.S.")</f>
        <v>31.415926535897935</v>
      </c>
      <c r="AF99" s="1">
        <f>INDEX(tipoEstaca[],MATCH($D$2,tipoEstaca[TIPO DE ESTACA],0),MATCH(ECF[[#Headers],[Comprimento (m)]],tipoEstaca[#Headers],0))</f>
        <v>4</v>
      </c>
      <c r="AG99" s="5">
        <f ca="1">ECF[[#This Row],[As,mín (cm²)]]/100^2*ECF[[#This Row],[Comprimento (m)]]*7850</f>
        <v>98.646009322719507</v>
      </c>
      <c r="AH99" s="4">
        <f ca="1">ECF[[#This Row],[nE]]*ECF[[#This Row],[Prof. (m)]]*ECF[[#This Row],[Ap (m²)]]</f>
        <v>23.561944901923447</v>
      </c>
      <c r="AI99" s="1">
        <f ca="1">IF(ECF[[#This Row],[nE]]=1,0,MAX(3*ECF[[#This Row],[Ø (cm)]],60))</f>
        <v>300</v>
      </c>
      <c r="AJ99" s="1">
        <f ca="1">IF(ECF[[#This Row],[nE]]=1,ECF[[#This Row],[Ø (cm)]]+2*10,MAX(1.5*ECF[[#This Row],[Ø (cm)]],ECF[[#This Row],[Ø (cm)]]+15))</f>
        <v>150</v>
      </c>
      <c r="AK99" s="1">
        <f ca="1">alturaUtil(ECF[[#This Row],[nE]],ECF[[#This Row],[Ø (cm)]],ECF[[#This Row],[e (cm)]],ECF[[#This Row],[ap,eq (cm)]])</f>
        <v>135</v>
      </c>
      <c r="AL99" s="1">
        <f ca="1">IFERROR(ECF[[#This Row],[d (cm)]]+arredondarParaCimaMultiplo5cm(MAX(5,SQRT(PI())/2*ECF[[#This Row],[Ø (cm)]]/5)),"N.S.")</f>
        <v>155</v>
      </c>
      <c r="AM99" s="5">
        <f ca="1">alpha(ECF[[#This Row],[nE]],ECF[[#This Row],[d (cm)]],ECF[[#This Row],[e (cm)]],ECF[[#This Row],[ap,eq (cm)]])</f>
        <v>45.643745714175381</v>
      </c>
      <c r="AN99" s="35">
        <f ca="1">IFERROR(ECF[[#This Row],[Nsd (kN)]]/(ECF[[#This Row],[Ap (cm²)]]*SIN(ECF[[#This Row],[α]])^2),"N.S.")</f>
        <v>0.98025575321721969</v>
      </c>
      <c r="AO99" s="35">
        <f ca="1">IFERROR(ECF[[#This Row],[Nsd (kN)]]/(ECF[[#This Row],[nE]]*PI()*ECF[[#This Row],[Ø (cm)]]^2/4*SIN(ECF[[#This Row],[α]])^2),"N.S.")</f>
        <v>0.14977204667403804</v>
      </c>
      <c r="AP99" s="4">
        <f ca="1">IFERROR(INDEX(grupoEstacas[],ECF[[#This Row],[nE]],MATCH("coef. Blévot",grupoEstacas[#Headers],0)),"N.S.")</f>
        <v>1.75</v>
      </c>
      <c r="AQ99" s="35">
        <f ca="1">IFERROR(ECF[[#This Row],[coef. Blévot]]*0.9*INDEX(tipoEstaca[],MATCH($D$2,tipoEstaca[TIPO DE ESTACA],0),MATCH("fcd (kN/cm²)",tipoEstaca[#Headers],0)),"N.S.")</f>
        <v>1.75</v>
      </c>
      <c r="AR99" s="1" t="str">
        <f ca="1">IF(AND(ECF[[#This Row],[cd,b,pil (kN/cm²)]]&lt;=ECF[[#This Row],[cd,b,lim (kN/cm²)]],ECF[[#This Row],[cd,b,est (kN/cm²)]]&lt;=ECF[[#This Row],[cd,b,lim (kN/cm²)]]),"OK","ERRO")</f>
        <v>OK</v>
      </c>
      <c r="AS99" s="4">
        <f ca="1">As_lado(ECF[[#This Row],[nE]],ECF[[#This Row],[Nsd (kN)]],ECF[[#This Row],[d (cm)]],ECF[[#This Row],[e (cm)]],ECF[[#This Row],[ap,eq (cm)]])</f>
        <v>17.810912246775882</v>
      </c>
      <c r="AT99" s="4" t="str">
        <f ca="1">IF(ECF[[#This Row],[nE]]=1,ECF[[#This Row],[As,lado (cm²)]],IF(ECF[[#This Row],[nE]]=2,0.075*2*ECF[a (cm)],"N.A."))</f>
        <v>N.A.</v>
      </c>
      <c r="AU99" s="4">
        <f ca="1">IFERROR(IF(ECF[[#This Row],[nE]]=1,"N.A.",0.2*ECF[[#This Row],[As,lado (cm²)]]),"N.S.")</f>
        <v>3.5621824493551766</v>
      </c>
      <c r="AV99" s="4">
        <f ca="1">As_malha(ECF[[#This Row],[nE]],ECF[[#This Row],[As,lado (cm²)]],ECF[[#This Row],[Nsd (kN)]])</f>
        <v>5.9629629629629619</v>
      </c>
      <c r="AW99" s="4">
        <f ca="1">As_susp_tot(ECF[[#This Row],[nE]],ECF[[#This Row],[Nsd (kN)]])</f>
        <v>17.888888888888886</v>
      </c>
      <c r="AX99" s="4">
        <f ca="1">Asp_face(ECF[[#This Row],[nE]],ECF[[#This Row],[As,lado (cm²)]])</f>
        <v>6.6790920925409552</v>
      </c>
      <c r="AY99" s="5">
        <f ca="1">acoBloco(ECF[[#This Row],[nE]],ECF[[#This Row],[e (cm)]],ECF[[#This Row],[a (cm)]],ECF[[#This Row],[h (cm)]],ECF[[#This Row],[As,lado (cm²)]],ECF[[#This Row],[Asp e Asw (cm²/m)]],ECF[[#This Row],[As,sup (cm²)]],ECF[[#This Row],[As,malha (cm²)]],ECF[[#This Row],[As,susp,tot (cm²)]],ECF[[#This Row],[Asp,face (cm²)]])</f>
        <v>527.88157078579366</v>
      </c>
      <c r="AZ99" s="4">
        <f ca="1">concretoBloco(ECF[[#This Row],[nE]],ECF[[#This Row],[e (cm)]],ECF[[#This Row],[a (cm)]],ECF[[#This Row],[h (cm)]])</f>
        <v>39.046581574189382</v>
      </c>
      <c r="BA99" s="5">
        <f ca="1">SUM(ECF[[#This Row],[Aço Est (kg)]],ECF[[#This Row],[Aço Bloco (kg)]])</f>
        <v>626.52758010851312</v>
      </c>
      <c r="BB99" s="4">
        <f>INDEX(composicoes[],MATCH(95580,composicoes[CÓDIGO],0),MATCH("CUSTO TOTAL",composicoes[#Headers],0))</f>
        <v>10.46</v>
      </c>
      <c r="BC99" s="4">
        <f ca="1">SUM(ECF[[#This Row],[Conc Est (m³)]],ECF[[#This Row],[Conc Bloco (m³)]])</f>
        <v>62.608526476112829</v>
      </c>
      <c r="BD99" s="4">
        <f>INDEX(composicoes[],MATCH(94966,composicoes[CÓDIGO],0),MATCH("CUSTO TOTAL",composicoes[#Headers],0))</f>
        <v>439.52</v>
      </c>
      <c r="BE99" s="38">
        <f ca="1">ECF[[#This Row],[Aço (kg)]]*ECF[[#This Row],[Aço (R$/kg)]]+ECF[[#This Row],[Conc (m³)]]*ECF[[#This Row],[Conc (R$/m³)]]</f>
        <v>34071.178044716158</v>
      </c>
      <c r="BF99" s="4" t="str">
        <f ca="1">IF(COUNTIF(ECF[#This Row],"N.S.")&gt;0,"lim.","OK")</f>
        <v>OK</v>
      </c>
      <c r="BG99" s="4" t="str">
        <f>IF(ECF[[#This Row],[Prof. (m)]]&lt;4,"lim.","OK")</f>
        <v>OK</v>
      </c>
      <c r="BH99" s="4" t="str">
        <f>IF(ECF[[#This Row],[Prof. (m)]]&gt;=8*ECF[[#This Row],[Ø (cm)]]/100,"OK","lim.")</f>
        <v>OK</v>
      </c>
      <c r="BI99" s="4" t="str">
        <f>IF(AND(SPT!$F$3&lt;&gt;"",ECF[[#This Row],[Prof. (m)]]&gt;=SPT!$F$3-2),"lim.","OK")</f>
        <v>OK</v>
      </c>
      <c r="BJ99" s="4" t="str">
        <f ca="1">IF(ECF[[#This Row],[Verif. Biela]]="OK","OK","lim.")</f>
        <v>OK</v>
      </c>
      <c r="BK99" s="4" t="str">
        <f ca="1">IF(COUNTA(ECF[[#This Row],[Nº Est.]:[Biela comp.]])=COUNTIF(ECF[[#This Row],[Nº Est.]:[Biela comp.]],"OK"),"OK","lim.")</f>
        <v>OK</v>
      </c>
      <c r="BL99" s="4" t="str">
        <f ca="1">IF(ECF[[#This Row],[Controle]]="OK",ECF[[#This Row],[nE]]&amp;" Ø"&amp;ECF[[#This Row],[Ø (cm)]]&amp;"cm Prof. "&amp;ECF[[#This Row],[Prof. (m)]]&amp;" m","")</f>
        <v>3 Ø100cm Prof. 10 m</v>
      </c>
      <c r="BM99" s="4" t="str">
        <f ca="1">IF(ECF[[#This Row],[idDimensionamento]]="","",ECF[[#This Row],[idPilar]]&amp;ECF[[#This Row],[idDimensionamento]])</f>
        <v>13 Ø100cm Prof. 10 m</v>
      </c>
    </row>
    <row r="100" spans="2:65" x14ac:dyDescent="0.25">
      <c r="B100" s="12">
        <f>ROUNDUP((ROW(ECF[[#This Row],[idDiâmetro]])-ROW(ECF[[#Headers],[idDiâmetro]]))/(COUNT(SPT[Prof. (m)])*COUNT(PILARES[Pilar])),0)</f>
        <v>4</v>
      </c>
      <c r="C100" s="12">
        <f>IF(ECF[[#This Row],[idDiâmetro]]&lt;&gt;B99,1,IF(ECF[[#This Row],[Prof. (m)]]=0,C99+1,C99))</f>
        <v>1</v>
      </c>
      <c r="D100" s="1">
        <f>IFERROR(IF(D99=MAX(SPT[Prof. (m)]),0,D99+1),0)</f>
        <v>11</v>
      </c>
      <c r="E100" s="1">
        <f>INDEX(SPT[],MATCH(ECF[[#This Row],[Prof. (m)]],SPT[Prof. (m)],0),2)</f>
        <v>41</v>
      </c>
      <c r="F100" s="1" t="str">
        <f>INDEX(SPT[],MATCH(ECF[[#This Row],[Prof. (m)]],SPT[Prof. (m)],0),3)</f>
        <v>Areia siltosa</v>
      </c>
      <c r="G100" s="1">
        <f>INDEX(estacas[],ECF[[#This Row],[idDiâmetro]],MATCH($B$2,estacas[#Headers],0))</f>
        <v>100</v>
      </c>
      <c r="H100" s="1">
        <f>INDEX(estacas[],MATCH(ECF[[#This Row],[Ø (cm)]],estacas[Ø ECF (cm)],0),MATCH(ECF[[#Headers],[Pe ECF (kN)]],estacas[#Headers],0))</f>
        <v>3100</v>
      </c>
      <c r="I100" s="4">
        <f>INDEX(K_alpha_C[],MATCH(ECF[[#This Row],[Solo]],K_alpha_C[Solo],0),2)</f>
        <v>0.8</v>
      </c>
      <c r="J100" s="5">
        <f>INDEX(K_alpha_C[],MATCH(ECF[[#This Row],[Solo]],K_alpha_C[Solo],0),3)</f>
        <v>2</v>
      </c>
      <c r="K100" s="4">
        <f>INDEX(F1_F2[],MATCH($D$2,F1_F2[Tipo de estaca],0),2)</f>
        <v>3</v>
      </c>
      <c r="L100" s="4">
        <f>INDEX(F1_F2[],MATCH($D$2,F1_F2[Tipo de estaca],0),3)</f>
        <v>6</v>
      </c>
      <c r="M100" s="4">
        <f>PI()*(ECF[[#This Row],[Ø (cm)]]/100)^2/4</f>
        <v>0.78539816339744828</v>
      </c>
      <c r="N100" s="4">
        <f>PI()*ECF[[#This Row],[Ø (cm)]]/100</f>
        <v>3.1415926535897931</v>
      </c>
      <c r="O100" s="4">
        <f>IF(ECF[[#This Row],[Prof. (m)]]=0,0,ECF[[#This Row],[α (%)]]/100*ECF[[#This Row],[K (MPa)]]*1000*ECF[[#This Row],[NSPT]])</f>
        <v>656</v>
      </c>
      <c r="P100" s="4">
        <f>IF(ECF[[#This Row],[Prof. (m)]]=0,0,(ECF[[#This Row],[K (MPa)]]*1000*ECF[[#This Row],[NSPT]]/ECF[[#This Row],[F1]]*ECF[[#This Row],[Ap (m²)]]+ECF[[#This Row],[U (m)]]/ECF[[#This Row],[F2]]*SUMIFS(ECF[(α∙K∙NL∙ΔL)],ECF[Prof. (m)],"&lt;="&amp;ECF[[#This Row],[Prof. (m)]],ECF[idDiâmetro],ECF[[#This Row],[idDiâmetro]],ECF[idPilar],ECF[[#This Row],[idPilar]]))/'DADOS CAP. CARGA'!$D$2)</f>
        <v>4969.9733980402725</v>
      </c>
      <c r="Q100" s="12">
        <f>INDEX(C_alpha_beta[],MATCH(ECF[[#This Row],[Solo]],C_alpha_beta[Solo],0),MATCH(ECF[[#Headers],[C (kPa)]],C_alpha_beta[#Headers],0))</f>
        <v>400</v>
      </c>
      <c r="R100" s="4">
        <f>INDEX(C_alpha_beta[],MATCH(ECF[[#This Row],[Solo]],C_alpha_beta[Solo],0),MATCH(ECF[[#Headers],[α ESF]],C_alpha_beta[#Headers],0))</f>
        <v>0.5</v>
      </c>
      <c r="S100" s="4">
        <f>INDEX(C_alpha_beta[],MATCH(ECF[[#This Row],[Solo]],C_alpha_beta[Solo],0),MATCH(ECF[[#Headers],[β ESF]],C_alpha_beta[#Headers],0))</f>
        <v>0.5</v>
      </c>
      <c r="T100" s="4">
        <f>IF(ECF[[#This Row],[Prof. (m)]]=0,0,10*(ECF[[#This Row],[NSPT]]/3+1))</f>
        <v>146.66666666666666</v>
      </c>
      <c r="U100" s="4">
        <f>(ECF[[#This Row],[α ESF]]*ECF[[#This Row],[C (kPa)]]*ECF[[#This Row],[NSPT]]*ECF[[#This Row],[Ap (m²)]])/'DADOS CAP. CARGA'!$Q$2+(ECF[[#This Row],[β ESF]]*SUMIFS(ECF[10∙(NL/3+1)],ECF[Prof. (m)],"&lt;="&amp;ECF[[#This Row],[Prof. (m)]],ECF[idDiâmetro],ECF[[#This Row],[idDiâmetro]],ECF[idPilar],ECF[[#This Row],[idPilar]])*ECF[[#This Row],[U (m)]])/'DADOS CAP. CARGA'!$S$2</f>
        <v>2144.1369860750337</v>
      </c>
      <c r="V100" s="4">
        <f>IF(SPT!$M$5=1,MIN(ECF[[#This Row],[Pe ECF (kN)]],ECF[[#This Row],[R_AV (kN)]]),IF(SPT!$M$5=2,MIN(ECF[[#This Row],[Pe ECF (kN)]],ECF[[#This Row],[R_DC (kN)]]),MIN(ECF[[#This Row],[Pe ECF (kN)]],ECF[[#This Row],[R_AV (kN)]],ECF[[#This Row],[R_DC (kN)]])))</f>
        <v>2144.1369860750337</v>
      </c>
      <c r="W100" s="4">
        <f>INDEX(PILARES[],ECF[[#This Row],[idPilar]],MATCH("Carga (kN)",PILARES[#Headers],0))*1.4</f>
        <v>3500</v>
      </c>
      <c r="X100" s="12">
        <f>INDEX(PILARES[],ECF[[#This Row],[idPilar]],MATCH(ECF[[#Headers],[ap (cm)]],PILARES[#Headers],0))</f>
        <v>60</v>
      </c>
      <c r="Y100" s="12">
        <f>INDEX(PILARES[],ECF[[#This Row],[idPilar]],MATCH(ECF[[#Headers],[bp (cm)]],PILARES[#Headers],0))</f>
        <v>60</v>
      </c>
      <c r="Z100" s="4">
        <f>SQRT(ECF[[#This Row],[ap (cm)]]*ECF[[#This Row],[bp (cm)]])</f>
        <v>60</v>
      </c>
      <c r="AA100" s="12">
        <f>ECF[[#This Row],[ap (cm)]]*ECF[[#This Row],[bp (cm)]]</f>
        <v>3600</v>
      </c>
      <c r="AB100" s="12">
        <f ca="1">IF(ECF[[#This Row],[Padm∙ε (kN)]]&gt;=ECF[[#This Row],[Padm (kN)]],ROUNDUP(1.05*ECF[[#This Row],[Nsd (kN)]]/ECF[[#This Row],[Padm (kN)]],0),ROUNDUP(1.05*ECF[[#This Row],[Nsd (kN)]]/ECF[[#This Row],[Padm (kN)]],0)+1)</f>
        <v>2</v>
      </c>
      <c r="AC100" s="4">
        <f ca="1">IFERROR(IF(ECF[[#This Row],[nE]]=1,ECF[[#This Row],[Padm (kN)]],ECF[[#This Row],[Padm (kN)]]*ECF[[#This Row],[nE]]*INDEX(grupoEstacas[],ECF[[#This Row],[nE]],MATCH("ε",grupoEstacas[#Headers],0))),"N.S.")</f>
        <v>4020.2568488906882</v>
      </c>
      <c r="AD100" s="4">
        <f ca="1">1.05*ECF[[#This Row],[Nsd (kN)]]/(ECF[[#This Row],[nE]]*PI()*ECF[[#This Row],[Ø (cm)]]^2/4)*10</f>
        <v>2.3395776634508616</v>
      </c>
      <c r="AE100" s="4">
        <f ca="1">IF(ECF[[#This Row],[σ (MPa)]]&lt;INDEX(tipoEstaca[],MATCH($D$2,tipoEstaca[TIPO DE ESTACA],0),MATCH("σmáx (MPa)",tipoEstaca[#Headers],0)),0.4%*PI()*ECF[[#This Row],[Ø (cm)]]^2/4,"N.S.")</f>
        <v>31.415926535897935</v>
      </c>
      <c r="AF100" s="1">
        <f>INDEX(tipoEstaca[],MATCH($D$2,tipoEstaca[TIPO DE ESTACA],0),MATCH(ECF[[#Headers],[Comprimento (m)]],tipoEstaca[#Headers],0))</f>
        <v>4</v>
      </c>
      <c r="AG100" s="5">
        <f ca="1">ECF[[#This Row],[As,mín (cm²)]]/100^2*ECF[[#This Row],[Comprimento (m)]]*7850</f>
        <v>98.646009322719507</v>
      </c>
      <c r="AH100" s="4">
        <f ca="1">ECF[[#This Row],[nE]]*ECF[[#This Row],[Prof. (m)]]*ECF[[#This Row],[Ap (m²)]]</f>
        <v>17.27875959474386</v>
      </c>
      <c r="AI100" s="1">
        <f ca="1">IF(ECF[[#This Row],[nE]]=1,0,MAX(3*ECF[[#This Row],[Ø (cm)]],60))</f>
        <v>300</v>
      </c>
      <c r="AJ100" s="1">
        <f ca="1">IF(ECF[[#This Row],[nE]]=1,ECF[[#This Row],[Ø (cm)]]+2*10,MAX(1.5*ECF[[#This Row],[Ø (cm)]],ECF[[#This Row],[Ø (cm)]]+15))</f>
        <v>150</v>
      </c>
      <c r="AK100" s="1">
        <f ca="1">alturaUtil(ECF[[#This Row],[nE]],ECF[[#This Row],[Ø (cm)]],ECF[[#This Row],[e (cm)]],ECF[[#This Row],[ap,eq (cm)]])</f>
        <v>135</v>
      </c>
      <c r="AL100" s="1">
        <f ca="1">IFERROR(ECF[[#This Row],[d (cm)]]+arredondarParaCimaMultiplo5cm(MAX(5,SQRT(PI())/2*ECF[[#This Row],[Ø (cm)]]/5)),"N.S.")</f>
        <v>155</v>
      </c>
      <c r="AM100" s="5">
        <f ca="1">alpha(ECF[[#This Row],[nE]],ECF[[#This Row],[d (cm)]],ECF[[#This Row],[e (cm)]],ECF[[#This Row],[ap,eq (cm)]])</f>
        <v>45</v>
      </c>
      <c r="AN100" s="35">
        <f ca="1">IFERROR(ECF[[#This Row],[Nsd (kN)]]/(ECF[[#This Row],[Ap (cm²)]]*SIN(ECF[[#This Row],[α]])^2),"N.S.")</f>
        <v>1.3427801064714635</v>
      </c>
      <c r="AO100" s="35">
        <f ca="1">IFERROR(ECF[[#This Row],[Nsd (kN)]]/(ECF[[#This Row],[nE]]*PI()*ECF[[#This Row],[Ø (cm)]]^2/4*SIN(ECF[[#This Row],[α]])^2),"N.S.")</f>
        <v>0.30774253165976873</v>
      </c>
      <c r="AP100" s="4">
        <f ca="1">IFERROR(INDEX(grupoEstacas[],ECF[[#This Row],[nE]],MATCH("coef. Blévot",grupoEstacas[#Headers],0)),"N.S.")</f>
        <v>1.4</v>
      </c>
      <c r="AQ100" s="35">
        <f ca="1">IFERROR(ECF[[#This Row],[coef. Blévot]]*0.9*INDEX(tipoEstaca[],MATCH($D$2,tipoEstaca[TIPO DE ESTACA],0),MATCH("fcd (kN/cm²)",tipoEstaca[#Headers],0)),"N.S.")</f>
        <v>1.4000000000000001</v>
      </c>
      <c r="AR100" s="1" t="str">
        <f ca="1">IF(AND(ECF[[#This Row],[cd,b,pil (kN/cm²)]]&lt;=ECF[[#This Row],[cd,b,lim (kN/cm²)]],ECF[[#This Row],[cd,b,est (kN/cm²)]]&lt;=ECF[[#This Row],[cd,b,lim (kN/cm²)]]),"OK","ERRO")</f>
        <v>OK</v>
      </c>
      <c r="AS100" s="4">
        <f ca="1">As_lado(ECF[[#This Row],[nE]],ECF[[#This Row],[Nsd (kN)]],ECF[[#This Row],[d (cm)]],ECF[[#This Row],[e (cm)]],ECF[[#This Row],[ap,eq (cm)]])</f>
        <v>46.287499999999987</v>
      </c>
      <c r="AT100" s="4">
        <f ca="1">IF(ECF[[#This Row],[nE]]=1,ECF[[#This Row],[As,lado (cm²)]],IF(ECF[[#This Row],[nE]]=2,0.075*2*ECF[a (cm)],"N.A."))</f>
        <v>22.5</v>
      </c>
      <c r="AU100" s="4">
        <f ca="1">IFERROR(IF(ECF[[#This Row],[nE]]=1,"N.A.",0.2*ECF[[#This Row],[As,lado (cm²)]]),"N.S.")</f>
        <v>9.2574999999999985</v>
      </c>
      <c r="AV100" s="4" t="str">
        <f ca="1">As_malha(ECF[[#This Row],[nE]],ECF[[#This Row],[As,lado (cm²)]],ECF[[#This Row],[Nsd (kN)]])</f>
        <v>N.A.</v>
      </c>
      <c r="AW100" s="4" t="str">
        <f ca="1">As_susp_tot(ECF[[#This Row],[nE]],ECF[[#This Row],[Nsd (kN)]])</f>
        <v>N.A.</v>
      </c>
      <c r="AX100" s="4" t="str">
        <f ca="1">Asp_face(ECF[[#This Row],[nE]],ECF[[#This Row],[As,lado (cm²)]])</f>
        <v>N.A.</v>
      </c>
      <c r="AY100" s="5">
        <f ca="1">acoBloco(ECF[[#This Row],[nE]],ECF[[#This Row],[e (cm)]],ECF[[#This Row],[a (cm)]],ECF[[#This Row],[h (cm)]],ECF[[#This Row],[As,lado (cm²)]],ECF[[#This Row],[Asp e Asw (cm²/m)]],ECF[[#This Row],[As,sup (cm²)]],ECF[[#This Row],[As,malha (cm²)]],ECF[[#This Row],[As,susp,tot (cm²)]],ECF[[#This Row],[Asp,face (cm²)]])</f>
        <v>1718.7732000000001</v>
      </c>
      <c r="AZ100" s="4">
        <f ca="1">concretoBloco(ECF[[#This Row],[nE]],ECF[[#This Row],[e (cm)]],ECF[[#This Row],[a (cm)]],ECF[[#This Row],[h (cm)]])</f>
        <v>27.9</v>
      </c>
      <c r="BA100" s="5">
        <f ca="1">SUM(ECF[[#This Row],[Aço Est (kg)]],ECF[[#This Row],[Aço Bloco (kg)]])</f>
        <v>1817.4192093227196</v>
      </c>
      <c r="BB100" s="4">
        <f>INDEX(composicoes[],MATCH(95580,composicoes[CÓDIGO],0),MATCH("CUSTO TOTAL",composicoes[#Headers],0))</f>
        <v>10.46</v>
      </c>
      <c r="BC100" s="4">
        <f ca="1">SUM(ECF[[#This Row],[Conc Est (m³)]],ECF[[#This Row],[Conc Bloco (m³)]])</f>
        <v>45.178759594743859</v>
      </c>
      <c r="BD100" s="4">
        <f>INDEX(composicoes[],MATCH(94966,composicoes[CÓDIGO],0),MATCH("CUSTO TOTAL",composicoes[#Headers],0))</f>
        <v>439.52</v>
      </c>
      <c r="BE100" s="38">
        <f ca="1">ECF[[#This Row],[Aço (kg)]]*ECF[[#This Row],[Aço (R$/kg)]]+ECF[[#This Row],[Conc (m³)]]*ECF[[#This Row],[Conc (R$/m³)]]</f>
        <v>38867.173346597468</v>
      </c>
      <c r="BF100" s="4" t="str">
        <f ca="1">IF(COUNTIF(ECF[#This Row],"N.S.")&gt;0,"lim.","OK")</f>
        <v>OK</v>
      </c>
      <c r="BG100" s="4" t="str">
        <f>IF(ECF[[#This Row],[Prof. (m)]]&lt;4,"lim.","OK")</f>
        <v>OK</v>
      </c>
      <c r="BH100" s="4" t="str">
        <f>IF(ECF[[#This Row],[Prof. (m)]]&gt;=8*ECF[[#This Row],[Ø (cm)]]/100,"OK","lim.")</f>
        <v>OK</v>
      </c>
      <c r="BI100" s="4" t="str">
        <f>IF(AND(SPT!$F$3&lt;&gt;"",ECF[[#This Row],[Prof. (m)]]&gt;=SPT!$F$3-2),"lim.","OK")</f>
        <v>OK</v>
      </c>
      <c r="BJ100" s="4" t="str">
        <f ca="1">IF(ECF[[#This Row],[Verif. Biela]]="OK","OK","lim.")</f>
        <v>OK</v>
      </c>
      <c r="BK100" s="4" t="str">
        <f ca="1">IF(COUNTA(ECF[[#This Row],[Nº Est.]:[Biela comp.]])=COUNTIF(ECF[[#This Row],[Nº Est.]:[Biela comp.]],"OK"),"OK","lim.")</f>
        <v>OK</v>
      </c>
      <c r="BL100" s="4" t="str">
        <f ca="1">IF(ECF[[#This Row],[Controle]]="OK",ECF[[#This Row],[nE]]&amp;" Ø"&amp;ECF[[#This Row],[Ø (cm)]]&amp;"cm Prof. "&amp;ECF[[#This Row],[Prof. (m)]]&amp;" m","")</f>
        <v>2 Ø100cm Prof. 11 m</v>
      </c>
      <c r="BM100" s="4" t="str">
        <f ca="1">IF(ECF[[#This Row],[idDimensionamento]]="","",ECF[[#This Row],[idPilar]]&amp;ECF[[#This Row],[idDimensionamento]])</f>
        <v>12 Ø100cm Prof. 11 m</v>
      </c>
    </row>
    <row r="101" spans="2:65" x14ac:dyDescent="0.25">
      <c r="B101" s="12">
        <f>ROUNDUP((ROW(ECF[[#This Row],[idDiâmetro]])-ROW(ECF[[#Headers],[idDiâmetro]]))/(COUNT(SPT[Prof. (m)])*COUNT(PILARES[Pilar])),0)</f>
        <v>4</v>
      </c>
      <c r="C101" s="12">
        <f>IF(ECF[[#This Row],[idDiâmetro]]&lt;&gt;B100,1,IF(ECF[[#This Row],[Prof. (m)]]=0,C100+1,C100))</f>
        <v>1</v>
      </c>
      <c r="D101" s="1">
        <f>IFERROR(IF(D100=MAX(SPT[Prof. (m)]),0,D100+1),0)</f>
        <v>12</v>
      </c>
      <c r="E101" s="1">
        <f>INDEX(SPT[],MATCH(ECF[[#This Row],[Prof. (m)]],SPT[Prof. (m)],0),2)</f>
        <v>52</v>
      </c>
      <c r="F101" s="1" t="str">
        <f>INDEX(SPT[],MATCH(ECF[[#This Row],[Prof. (m)]],SPT[Prof. (m)],0),3)</f>
        <v>Areia siltosa</v>
      </c>
      <c r="G101" s="1">
        <f>INDEX(estacas[],ECF[[#This Row],[idDiâmetro]],MATCH($B$2,estacas[#Headers],0))</f>
        <v>100</v>
      </c>
      <c r="H101" s="1">
        <f>INDEX(estacas[],MATCH(ECF[[#This Row],[Ø (cm)]],estacas[Ø ECF (cm)],0),MATCH(ECF[[#Headers],[Pe ECF (kN)]],estacas[#Headers],0))</f>
        <v>3100</v>
      </c>
      <c r="I101" s="4">
        <f>INDEX(K_alpha_C[],MATCH(ECF[[#This Row],[Solo]],K_alpha_C[Solo],0),2)</f>
        <v>0.8</v>
      </c>
      <c r="J101" s="5">
        <f>INDEX(K_alpha_C[],MATCH(ECF[[#This Row],[Solo]],K_alpha_C[Solo],0),3)</f>
        <v>2</v>
      </c>
      <c r="K101" s="4">
        <f>INDEX(F1_F2[],MATCH($D$2,F1_F2[Tipo de estaca],0),2)</f>
        <v>3</v>
      </c>
      <c r="L101" s="4">
        <f>INDEX(F1_F2[],MATCH($D$2,F1_F2[Tipo de estaca],0),3)</f>
        <v>6</v>
      </c>
      <c r="M101" s="4">
        <f>PI()*(ECF[[#This Row],[Ø (cm)]]/100)^2/4</f>
        <v>0.78539816339744828</v>
      </c>
      <c r="N101" s="4">
        <f>PI()*ECF[[#This Row],[Ø (cm)]]/100</f>
        <v>3.1415926535897931</v>
      </c>
      <c r="O101" s="4">
        <f>IF(ECF[[#This Row],[Prof. (m)]]=0,0,ECF[[#This Row],[α (%)]]/100*ECF[[#This Row],[K (MPa)]]*1000*ECF[[#This Row],[NSPT]])</f>
        <v>832</v>
      </c>
      <c r="P101" s="4">
        <f>IF(ECF[[#This Row],[Prof. (m)]]=0,0,(ECF[[#This Row],[K (MPa)]]*1000*ECF[[#This Row],[NSPT]]/ECF[[#This Row],[F1]]*ECF[[#This Row],[Ap (m²)]]+ECF[[#This Row],[U (m)]]/ECF[[#This Row],[F2]]*SUMIFS(ECF[(α∙K∙NL∙ΔL)],ECF[Prof. (m)],"&lt;="&amp;ECF[[#This Row],[Prof. (m)]],ECF[idDiâmetro],ECF[[#This Row],[idDiâmetro]],ECF[idPilar],ECF[[#This Row],[idPilar]]))/'DADOS CAP. CARGA'!$D$2)</f>
        <v>6339.7077950054218</v>
      </c>
      <c r="Q101" s="12">
        <f>INDEX(C_alpha_beta[],MATCH(ECF[[#This Row],[Solo]],C_alpha_beta[Solo],0),MATCH(ECF[[#Headers],[C (kPa)]],C_alpha_beta[#Headers],0))</f>
        <v>400</v>
      </c>
      <c r="R101" s="4">
        <f>INDEX(C_alpha_beta[],MATCH(ECF[[#This Row],[Solo]],C_alpha_beta[Solo],0),MATCH(ECF[[#Headers],[α ESF]],C_alpha_beta[#Headers],0))</f>
        <v>0.5</v>
      </c>
      <c r="S101" s="4">
        <f>INDEX(C_alpha_beta[],MATCH(ECF[[#This Row],[Solo]],C_alpha_beta[Solo],0),MATCH(ECF[[#Headers],[β ESF]],C_alpha_beta[#Headers],0))</f>
        <v>0.5</v>
      </c>
      <c r="T101" s="4">
        <f>IF(ECF[[#This Row],[Prof. (m)]]=0,0,10*(ECF[[#This Row],[NSPT]]/3+1))</f>
        <v>183.33333333333331</v>
      </c>
      <c r="U101" s="4">
        <f>(ECF[[#This Row],[α ESF]]*ECF[[#This Row],[C (kPa)]]*ECF[[#This Row],[NSPT]]*ECF[[#This Row],[Ap (m²)]])/'DADOS CAP. CARGA'!$Q$2+(ECF[[#This Row],[β ESF]]*SUMIFS(ECF[10∙(NL/3+1)],ECF[Prof. (m)],"&lt;="&amp;ECF[[#This Row],[Prof. (m)]],ECF[idDiâmetro],ECF[[#This Row],[idDiâmetro]],ECF[idPilar],ECF[[#This Row],[idPilar]])*ECF[[#This Row],[U (m)]])/'DADOS CAP. CARGA'!$S$2</f>
        <v>2720.0956392331623</v>
      </c>
      <c r="V101" s="4">
        <f>IF(SPT!$M$5=1,MIN(ECF[[#This Row],[Pe ECF (kN)]],ECF[[#This Row],[R_AV (kN)]]),IF(SPT!$M$5=2,MIN(ECF[[#This Row],[Pe ECF (kN)]],ECF[[#This Row],[R_DC (kN)]]),MIN(ECF[[#This Row],[Pe ECF (kN)]],ECF[[#This Row],[R_AV (kN)]],ECF[[#This Row],[R_DC (kN)]])))</f>
        <v>2720.0956392331623</v>
      </c>
      <c r="W101" s="4">
        <f>INDEX(PILARES[],ECF[[#This Row],[idPilar]],MATCH("Carga (kN)",PILARES[#Headers],0))*1.4</f>
        <v>3500</v>
      </c>
      <c r="X101" s="12">
        <f>INDEX(PILARES[],ECF[[#This Row],[idPilar]],MATCH(ECF[[#Headers],[ap (cm)]],PILARES[#Headers],0))</f>
        <v>60</v>
      </c>
      <c r="Y101" s="12">
        <f>INDEX(PILARES[],ECF[[#This Row],[idPilar]],MATCH(ECF[[#Headers],[bp (cm)]],PILARES[#Headers],0))</f>
        <v>60</v>
      </c>
      <c r="Z101" s="4">
        <f>SQRT(ECF[[#This Row],[ap (cm)]]*ECF[[#This Row],[bp (cm)]])</f>
        <v>60</v>
      </c>
      <c r="AA101" s="12">
        <f>ECF[[#This Row],[ap (cm)]]*ECF[[#This Row],[bp (cm)]]</f>
        <v>3600</v>
      </c>
      <c r="AB101" s="12">
        <f ca="1">IF(ECF[[#This Row],[Padm∙ε (kN)]]&gt;=ECF[[#This Row],[Padm (kN)]],ROUNDUP(1.05*ECF[[#This Row],[Nsd (kN)]]/ECF[[#This Row],[Padm (kN)]],0),ROUNDUP(1.05*ECF[[#This Row],[Nsd (kN)]]/ECF[[#This Row],[Padm (kN)]],0)+1)</f>
        <v>2</v>
      </c>
      <c r="AC101" s="4">
        <f ca="1">IFERROR(IF(ECF[[#This Row],[nE]]=1,ECF[[#This Row],[Padm (kN)]],ECF[[#This Row],[Padm (kN)]]*ECF[[#This Row],[nE]]*INDEX(grupoEstacas[],ECF[[#This Row],[nE]],MATCH("ε",grupoEstacas[#Headers],0))),"N.S.")</f>
        <v>5100.179323562179</v>
      </c>
      <c r="AD101" s="4">
        <f ca="1">1.05*ECF[[#This Row],[Nsd (kN)]]/(ECF[[#This Row],[nE]]*PI()*ECF[[#This Row],[Ø (cm)]]^2/4)*10</f>
        <v>2.3395776634508616</v>
      </c>
      <c r="AE101" s="4">
        <f ca="1">IF(ECF[[#This Row],[σ (MPa)]]&lt;INDEX(tipoEstaca[],MATCH($D$2,tipoEstaca[TIPO DE ESTACA],0),MATCH("σmáx (MPa)",tipoEstaca[#Headers],0)),0.4%*PI()*ECF[[#This Row],[Ø (cm)]]^2/4,"N.S.")</f>
        <v>31.415926535897935</v>
      </c>
      <c r="AF101" s="1">
        <f>INDEX(tipoEstaca[],MATCH($D$2,tipoEstaca[TIPO DE ESTACA],0),MATCH(ECF[[#Headers],[Comprimento (m)]],tipoEstaca[#Headers],0))</f>
        <v>4</v>
      </c>
      <c r="AG101" s="5">
        <f ca="1">ECF[[#This Row],[As,mín (cm²)]]/100^2*ECF[[#This Row],[Comprimento (m)]]*7850</f>
        <v>98.646009322719507</v>
      </c>
      <c r="AH101" s="4">
        <f ca="1">ECF[[#This Row],[nE]]*ECF[[#This Row],[Prof. (m)]]*ECF[[#This Row],[Ap (m²)]]</f>
        <v>18.849555921538759</v>
      </c>
      <c r="AI101" s="1">
        <f ca="1">IF(ECF[[#This Row],[nE]]=1,0,MAX(3*ECF[[#This Row],[Ø (cm)]],60))</f>
        <v>300</v>
      </c>
      <c r="AJ101" s="1">
        <f ca="1">IF(ECF[[#This Row],[nE]]=1,ECF[[#This Row],[Ø (cm)]]+2*10,MAX(1.5*ECF[[#This Row],[Ø (cm)]],ECF[[#This Row],[Ø (cm)]]+15))</f>
        <v>150</v>
      </c>
      <c r="AK101" s="1">
        <f ca="1">alturaUtil(ECF[[#This Row],[nE]],ECF[[#This Row],[Ø (cm)]],ECF[[#This Row],[e (cm)]],ECF[[#This Row],[ap,eq (cm)]])</f>
        <v>135</v>
      </c>
      <c r="AL101" s="1">
        <f ca="1">IFERROR(ECF[[#This Row],[d (cm)]]+arredondarParaCimaMultiplo5cm(MAX(5,SQRT(PI())/2*ECF[[#This Row],[Ø (cm)]]/5)),"N.S.")</f>
        <v>155</v>
      </c>
      <c r="AM101" s="5">
        <f ca="1">alpha(ECF[[#This Row],[nE]],ECF[[#This Row],[d (cm)]],ECF[[#This Row],[e (cm)]],ECF[[#This Row],[ap,eq (cm)]])</f>
        <v>45</v>
      </c>
      <c r="AN101" s="35">
        <f ca="1">IFERROR(ECF[[#This Row],[Nsd (kN)]]/(ECF[[#This Row],[Ap (cm²)]]*SIN(ECF[[#This Row],[α]])^2),"N.S.")</f>
        <v>1.3427801064714635</v>
      </c>
      <c r="AO101" s="35">
        <f ca="1">IFERROR(ECF[[#This Row],[Nsd (kN)]]/(ECF[[#This Row],[nE]]*PI()*ECF[[#This Row],[Ø (cm)]]^2/4*SIN(ECF[[#This Row],[α]])^2),"N.S.")</f>
        <v>0.30774253165976873</v>
      </c>
      <c r="AP101" s="4">
        <f ca="1">IFERROR(INDEX(grupoEstacas[],ECF[[#This Row],[nE]],MATCH("coef. Blévot",grupoEstacas[#Headers],0)),"N.S.")</f>
        <v>1.4</v>
      </c>
      <c r="AQ101" s="35">
        <f ca="1">IFERROR(ECF[[#This Row],[coef. Blévot]]*0.9*INDEX(tipoEstaca[],MATCH($D$2,tipoEstaca[TIPO DE ESTACA],0),MATCH("fcd (kN/cm²)",tipoEstaca[#Headers],0)),"N.S.")</f>
        <v>1.4000000000000001</v>
      </c>
      <c r="AR101" s="1" t="str">
        <f ca="1">IF(AND(ECF[[#This Row],[cd,b,pil (kN/cm²)]]&lt;=ECF[[#This Row],[cd,b,lim (kN/cm²)]],ECF[[#This Row],[cd,b,est (kN/cm²)]]&lt;=ECF[[#This Row],[cd,b,lim (kN/cm²)]]),"OK","ERRO")</f>
        <v>OK</v>
      </c>
      <c r="AS101" s="4">
        <f ca="1">As_lado(ECF[[#This Row],[nE]],ECF[[#This Row],[Nsd (kN)]],ECF[[#This Row],[d (cm)]],ECF[[#This Row],[e (cm)]],ECF[[#This Row],[ap,eq (cm)]])</f>
        <v>46.287499999999987</v>
      </c>
      <c r="AT101" s="4">
        <f ca="1">IF(ECF[[#This Row],[nE]]=1,ECF[[#This Row],[As,lado (cm²)]],IF(ECF[[#This Row],[nE]]=2,0.075*2*ECF[a (cm)],"N.A."))</f>
        <v>22.5</v>
      </c>
      <c r="AU101" s="4">
        <f ca="1">IFERROR(IF(ECF[[#This Row],[nE]]=1,"N.A.",0.2*ECF[[#This Row],[As,lado (cm²)]]),"N.S.")</f>
        <v>9.2574999999999985</v>
      </c>
      <c r="AV101" s="4" t="str">
        <f ca="1">As_malha(ECF[[#This Row],[nE]],ECF[[#This Row],[As,lado (cm²)]],ECF[[#This Row],[Nsd (kN)]])</f>
        <v>N.A.</v>
      </c>
      <c r="AW101" s="4" t="str">
        <f ca="1">As_susp_tot(ECF[[#This Row],[nE]],ECF[[#This Row],[Nsd (kN)]])</f>
        <v>N.A.</v>
      </c>
      <c r="AX101" s="4" t="str">
        <f ca="1">Asp_face(ECF[[#This Row],[nE]],ECF[[#This Row],[As,lado (cm²)]])</f>
        <v>N.A.</v>
      </c>
      <c r="AY101" s="5">
        <f ca="1">acoBloco(ECF[[#This Row],[nE]],ECF[[#This Row],[e (cm)]],ECF[[#This Row],[a (cm)]],ECF[[#This Row],[h (cm)]],ECF[[#This Row],[As,lado (cm²)]],ECF[[#This Row],[Asp e Asw (cm²/m)]],ECF[[#This Row],[As,sup (cm²)]],ECF[[#This Row],[As,malha (cm²)]],ECF[[#This Row],[As,susp,tot (cm²)]],ECF[[#This Row],[Asp,face (cm²)]])</f>
        <v>1718.7732000000001</v>
      </c>
      <c r="AZ101" s="4">
        <f ca="1">concretoBloco(ECF[[#This Row],[nE]],ECF[[#This Row],[e (cm)]],ECF[[#This Row],[a (cm)]],ECF[[#This Row],[h (cm)]])</f>
        <v>27.9</v>
      </c>
      <c r="BA101" s="5">
        <f ca="1">SUM(ECF[[#This Row],[Aço Est (kg)]],ECF[[#This Row],[Aço Bloco (kg)]])</f>
        <v>1817.4192093227196</v>
      </c>
      <c r="BB101" s="4">
        <f>INDEX(composicoes[],MATCH(95580,composicoes[CÓDIGO],0),MATCH("CUSTO TOTAL",composicoes[#Headers],0))</f>
        <v>10.46</v>
      </c>
      <c r="BC101" s="4">
        <f ca="1">SUM(ECF[[#This Row],[Conc Est (m³)]],ECF[[#This Row],[Conc Bloco (m³)]])</f>
        <v>46.749555921538757</v>
      </c>
      <c r="BD101" s="4">
        <f>INDEX(composicoes[],MATCH(94966,composicoes[CÓDIGO],0),MATCH("CUSTO TOTAL",composicoes[#Headers],0))</f>
        <v>439.52</v>
      </c>
      <c r="BE101" s="38">
        <f ca="1">ECF[[#This Row],[Aço (kg)]]*ECF[[#This Row],[Aço (R$/kg)]]+ECF[[#This Row],[Conc (m³)]]*ECF[[#This Row],[Conc (R$/m³)]]</f>
        <v>39557.569748150359</v>
      </c>
      <c r="BF101" s="4" t="str">
        <f ca="1">IF(COUNTIF(ECF[#This Row],"N.S.")&gt;0,"lim.","OK")</f>
        <v>OK</v>
      </c>
      <c r="BG101" s="4" t="str">
        <f>IF(ECF[[#This Row],[Prof. (m)]]&lt;4,"lim.","OK")</f>
        <v>OK</v>
      </c>
      <c r="BH101" s="4" t="str">
        <f>IF(ECF[[#This Row],[Prof. (m)]]&gt;=8*ECF[[#This Row],[Ø (cm)]]/100,"OK","lim.")</f>
        <v>OK</v>
      </c>
      <c r="BI101" s="4" t="str">
        <f>IF(AND(SPT!$F$3&lt;&gt;"",ECF[[#This Row],[Prof. (m)]]&gt;=SPT!$F$3-2),"lim.","OK")</f>
        <v>OK</v>
      </c>
      <c r="BJ101" s="4" t="str">
        <f ca="1">IF(ECF[[#This Row],[Verif. Biela]]="OK","OK","lim.")</f>
        <v>OK</v>
      </c>
      <c r="BK101" s="4" t="str">
        <f ca="1">IF(COUNTA(ECF[[#This Row],[Nº Est.]:[Biela comp.]])=COUNTIF(ECF[[#This Row],[Nº Est.]:[Biela comp.]],"OK"),"OK","lim.")</f>
        <v>OK</v>
      </c>
      <c r="BL101" s="4" t="str">
        <f ca="1">IF(ECF[[#This Row],[Controle]]="OK",ECF[[#This Row],[nE]]&amp;" Ø"&amp;ECF[[#This Row],[Ø (cm)]]&amp;"cm Prof. "&amp;ECF[[#This Row],[Prof. (m)]]&amp;" m","")</f>
        <v>2 Ø100cm Prof. 12 m</v>
      </c>
      <c r="BM101" s="4" t="str">
        <f ca="1">IF(ECF[[#This Row],[idDimensionamento]]="","",ECF[[#This Row],[idPilar]]&amp;ECF[[#This Row],[idDimensionamento]])</f>
        <v>12 Ø100cm Prof. 12 m</v>
      </c>
    </row>
    <row r="102" spans="2:65" x14ac:dyDescent="0.25">
      <c r="B102" s="12">
        <f>ROUNDUP((ROW(ECF[[#This Row],[idDiâmetro]])-ROW(ECF[[#Headers],[idDiâmetro]]))/(COUNT(SPT[Prof. (m)])*COUNT(PILARES[Pilar])),0)</f>
        <v>4</v>
      </c>
      <c r="C102" s="12">
        <f>IF(ECF[[#This Row],[idDiâmetro]]&lt;&gt;B101,1,IF(ECF[[#This Row],[Prof. (m)]]=0,C101+1,C101))</f>
        <v>1</v>
      </c>
      <c r="D102" s="1">
        <f>IFERROR(IF(D101=MAX(SPT[Prof. (m)]),0,D101+1),0)</f>
        <v>13</v>
      </c>
      <c r="E102" s="1">
        <f>INDEX(SPT[],MATCH(ECF[[#This Row],[Prof. (m)]],SPT[Prof. (m)],0),2)</f>
        <v>68</v>
      </c>
      <c r="F102" s="1" t="str">
        <f>INDEX(SPT[],MATCH(ECF[[#This Row],[Prof. (m)]],SPT[Prof. (m)],0),3)</f>
        <v>Areia siltosa</v>
      </c>
      <c r="G102" s="1">
        <f>INDEX(estacas[],ECF[[#This Row],[idDiâmetro]],MATCH($B$2,estacas[#Headers],0))</f>
        <v>100</v>
      </c>
      <c r="H102" s="1">
        <f>INDEX(estacas[],MATCH(ECF[[#This Row],[Ø (cm)]],estacas[Ø ECF (cm)],0),MATCH(ECF[[#Headers],[Pe ECF (kN)]],estacas[#Headers],0))</f>
        <v>3100</v>
      </c>
      <c r="I102" s="4">
        <f>INDEX(K_alpha_C[],MATCH(ECF[[#This Row],[Solo]],K_alpha_C[Solo],0),2)</f>
        <v>0.8</v>
      </c>
      <c r="J102" s="5">
        <f>INDEX(K_alpha_C[],MATCH(ECF[[#This Row],[Solo]],K_alpha_C[Solo],0),3)</f>
        <v>2</v>
      </c>
      <c r="K102" s="4">
        <f>INDEX(F1_F2[],MATCH($D$2,F1_F2[Tipo de estaca],0),2)</f>
        <v>3</v>
      </c>
      <c r="L102" s="4">
        <f>INDEX(F1_F2[],MATCH($D$2,F1_F2[Tipo de estaca],0),3)</f>
        <v>6</v>
      </c>
      <c r="M102" s="4">
        <f>PI()*(ECF[[#This Row],[Ø (cm)]]/100)^2/4</f>
        <v>0.78539816339744828</v>
      </c>
      <c r="N102" s="4">
        <f>PI()*ECF[[#This Row],[Ø (cm)]]/100</f>
        <v>3.1415926535897931</v>
      </c>
      <c r="O102" s="4">
        <f>IF(ECF[[#This Row],[Prof. (m)]]=0,0,ECF[[#This Row],[α (%)]]/100*ECF[[#This Row],[K (MPa)]]*1000*ECF[[#This Row],[NSPT]])</f>
        <v>1088</v>
      </c>
      <c r="P102" s="4">
        <f>IF(ECF[[#This Row],[Prof. (m)]]=0,0,(ECF[[#This Row],[K (MPa)]]*1000*ECF[[#This Row],[NSPT]]/ECF[[#This Row],[F1]]*ECF[[#This Row],[Ap (m²)]]+ECF[[#This Row],[U (m)]]/ECF[[#This Row],[F2]]*SUMIFS(ECF[(α∙K∙NL∙ΔL)],ECF[Prof. (m)],"&lt;="&amp;ECF[[#This Row],[Prof. (m)]],ECF[idDiâmetro],ECF[[#This Row],[idDiâmetro]],ECF[idPilar],ECF[[#This Row],[idPilar]]))/'DADOS CAP. CARGA'!$D$2)</f>
        <v>8300.0616108454524</v>
      </c>
      <c r="Q102" s="12">
        <f>INDEX(C_alpha_beta[],MATCH(ECF[[#This Row],[Solo]],C_alpha_beta[Solo],0),MATCH(ECF[[#Headers],[C (kPa)]],C_alpha_beta[#Headers],0))</f>
        <v>400</v>
      </c>
      <c r="R102" s="4">
        <f>INDEX(C_alpha_beta[],MATCH(ECF[[#This Row],[Solo]],C_alpha_beta[Solo],0),MATCH(ECF[[#Headers],[α ESF]],C_alpha_beta[#Headers],0))</f>
        <v>0.5</v>
      </c>
      <c r="S102" s="4">
        <f>INDEX(C_alpha_beta[],MATCH(ECF[[#This Row],[Solo]],C_alpha_beta[Solo],0),MATCH(ECF[[#Headers],[β ESF]],C_alpha_beta[#Headers],0))</f>
        <v>0.5</v>
      </c>
      <c r="T102" s="4">
        <f>IF(ECF[[#This Row],[Prof. (m)]]=0,0,10*(ECF[[#This Row],[NSPT]]/3+1))</f>
        <v>236.66666666666669</v>
      </c>
      <c r="U102" s="4">
        <f>(ECF[[#This Row],[α ESF]]*ECF[[#This Row],[C (kPa)]]*ECF[[#This Row],[NSPT]]*ECF[[#This Row],[Ap (m²)]])/'DADOS CAP. CARGA'!$Q$2+(ECF[[#This Row],[β ESF]]*SUMIFS(ECF[10∙(NL/3+1)],ECF[Prof. (m)],"&lt;="&amp;ECF[[#This Row],[Prof. (m)]],ECF[idDiâmetro],ECF[[#This Row],[idDiâmetro]],ECF[idPilar],ECF[[#This Row],[idPilar]])*ECF[[#This Row],[U (m)]])/'DADOS CAP. CARGA'!$S$2</f>
        <v>3534.291735288517</v>
      </c>
      <c r="V102" s="4">
        <f>IF(SPT!$M$5=1,MIN(ECF[[#This Row],[Pe ECF (kN)]],ECF[[#This Row],[R_AV (kN)]]),IF(SPT!$M$5=2,MIN(ECF[[#This Row],[Pe ECF (kN)]],ECF[[#This Row],[R_DC (kN)]]),MIN(ECF[[#This Row],[Pe ECF (kN)]],ECF[[#This Row],[R_AV (kN)]],ECF[[#This Row],[R_DC (kN)]])))</f>
        <v>3100</v>
      </c>
      <c r="W102" s="4">
        <f>INDEX(PILARES[],ECF[[#This Row],[idPilar]],MATCH("Carga (kN)",PILARES[#Headers],0))*1.4</f>
        <v>3500</v>
      </c>
      <c r="X102" s="12">
        <f>INDEX(PILARES[],ECF[[#This Row],[idPilar]],MATCH(ECF[[#Headers],[ap (cm)]],PILARES[#Headers],0))</f>
        <v>60</v>
      </c>
      <c r="Y102" s="12">
        <f>INDEX(PILARES[],ECF[[#This Row],[idPilar]],MATCH(ECF[[#Headers],[bp (cm)]],PILARES[#Headers],0))</f>
        <v>60</v>
      </c>
      <c r="Z102" s="4">
        <f>SQRT(ECF[[#This Row],[ap (cm)]]*ECF[[#This Row],[bp (cm)]])</f>
        <v>60</v>
      </c>
      <c r="AA102" s="12">
        <f>ECF[[#This Row],[ap (cm)]]*ECF[[#This Row],[bp (cm)]]</f>
        <v>3600</v>
      </c>
      <c r="AB102" s="12">
        <f ca="1">IF(ECF[[#This Row],[Padm∙ε (kN)]]&gt;=ECF[[#This Row],[Padm (kN)]],ROUNDUP(1.05*ECF[[#This Row],[Nsd (kN)]]/ECF[[#This Row],[Padm (kN)]],0),ROUNDUP(1.05*ECF[[#This Row],[Nsd (kN)]]/ECF[[#This Row],[Padm (kN)]],0)+1)</f>
        <v>2</v>
      </c>
      <c r="AC102" s="4">
        <f ca="1">IFERROR(IF(ECF[[#This Row],[nE]]=1,ECF[[#This Row],[Padm (kN)]],ECF[[#This Row],[Padm (kN)]]*ECF[[#This Row],[nE]]*INDEX(grupoEstacas[],ECF[[#This Row],[nE]],MATCH("ε",grupoEstacas[#Headers],0))),"N.S.")</f>
        <v>5812.5</v>
      </c>
      <c r="AD102" s="4">
        <f ca="1">1.05*ECF[[#This Row],[Nsd (kN)]]/(ECF[[#This Row],[nE]]*PI()*ECF[[#This Row],[Ø (cm)]]^2/4)*10</f>
        <v>2.3395776634508616</v>
      </c>
      <c r="AE102" s="4">
        <f ca="1">IF(ECF[[#This Row],[σ (MPa)]]&lt;INDEX(tipoEstaca[],MATCH($D$2,tipoEstaca[TIPO DE ESTACA],0),MATCH("σmáx (MPa)",tipoEstaca[#Headers],0)),0.4%*PI()*ECF[[#This Row],[Ø (cm)]]^2/4,"N.S.")</f>
        <v>31.415926535897935</v>
      </c>
      <c r="AF102" s="1">
        <f>INDEX(tipoEstaca[],MATCH($D$2,tipoEstaca[TIPO DE ESTACA],0),MATCH(ECF[[#Headers],[Comprimento (m)]],tipoEstaca[#Headers],0))</f>
        <v>4</v>
      </c>
      <c r="AG102" s="5">
        <f ca="1">ECF[[#This Row],[As,mín (cm²)]]/100^2*ECF[[#This Row],[Comprimento (m)]]*7850</f>
        <v>98.646009322719507</v>
      </c>
      <c r="AH102" s="4">
        <f ca="1">ECF[[#This Row],[nE]]*ECF[[#This Row],[Prof. (m)]]*ECF[[#This Row],[Ap (m²)]]</f>
        <v>20.420352248333657</v>
      </c>
      <c r="AI102" s="1">
        <f ca="1">IF(ECF[[#This Row],[nE]]=1,0,MAX(3*ECF[[#This Row],[Ø (cm)]],60))</f>
        <v>300</v>
      </c>
      <c r="AJ102" s="1">
        <f ca="1">IF(ECF[[#This Row],[nE]]=1,ECF[[#This Row],[Ø (cm)]]+2*10,MAX(1.5*ECF[[#This Row],[Ø (cm)]],ECF[[#This Row],[Ø (cm)]]+15))</f>
        <v>150</v>
      </c>
      <c r="AK102" s="1">
        <f ca="1">alturaUtil(ECF[[#This Row],[nE]],ECF[[#This Row],[Ø (cm)]],ECF[[#This Row],[e (cm)]],ECF[[#This Row],[ap,eq (cm)]])</f>
        <v>135</v>
      </c>
      <c r="AL102" s="1">
        <f ca="1">IFERROR(ECF[[#This Row],[d (cm)]]+arredondarParaCimaMultiplo5cm(MAX(5,SQRT(PI())/2*ECF[[#This Row],[Ø (cm)]]/5)),"N.S.")</f>
        <v>155</v>
      </c>
      <c r="AM102" s="5">
        <f ca="1">alpha(ECF[[#This Row],[nE]],ECF[[#This Row],[d (cm)]],ECF[[#This Row],[e (cm)]],ECF[[#This Row],[ap,eq (cm)]])</f>
        <v>45</v>
      </c>
      <c r="AN102" s="35">
        <f ca="1">IFERROR(ECF[[#This Row],[Nsd (kN)]]/(ECF[[#This Row],[Ap (cm²)]]*SIN(ECF[[#This Row],[α]])^2),"N.S.")</f>
        <v>1.3427801064714635</v>
      </c>
      <c r="AO102" s="35">
        <f ca="1">IFERROR(ECF[[#This Row],[Nsd (kN)]]/(ECF[[#This Row],[nE]]*PI()*ECF[[#This Row],[Ø (cm)]]^2/4*SIN(ECF[[#This Row],[α]])^2),"N.S.")</f>
        <v>0.30774253165976873</v>
      </c>
      <c r="AP102" s="4">
        <f ca="1">IFERROR(INDEX(grupoEstacas[],ECF[[#This Row],[nE]],MATCH("coef. Blévot",grupoEstacas[#Headers],0)),"N.S.")</f>
        <v>1.4</v>
      </c>
      <c r="AQ102" s="35">
        <f ca="1">IFERROR(ECF[[#This Row],[coef. Blévot]]*0.9*INDEX(tipoEstaca[],MATCH($D$2,tipoEstaca[TIPO DE ESTACA],0),MATCH("fcd (kN/cm²)",tipoEstaca[#Headers],0)),"N.S.")</f>
        <v>1.4000000000000001</v>
      </c>
      <c r="AR102" s="1" t="str">
        <f ca="1">IF(AND(ECF[[#This Row],[cd,b,pil (kN/cm²)]]&lt;=ECF[[#This Row],[cd,b,lim (kN/cm²)]],ECF[[#This Row],[cd,b,est (kN/cm²)]]&lt;=ECF[[#This Row],[cd,b,lim (kN/cm²)]]),"OK","ERRO")</f>
        <v>OK</v>
      </c>
      <c r="AS102" s="4">
        <f ca="1">As_lado(ECF[[#This Row],[nE]],ECF[[#This Row],[Nsd (kN)]],ECF[[#This Row],[d (cm)]],ECF[[#This Row],[e (cm)]],ECF[[#This Row],[ap,eq (cm)]])</f>
        <v>46.287499999999987</v>
      </c>
      <c r="AT102" s="4">
        <f ca="1">IF(ECF[[#This Row],[nE]]=1,ECF[[#This Row],[As,lado (cm²)]],IF(ECF[[#This Row],[nE]]=2,0.075*2*ECF[a (cm)],"N.A."))</f>
        <v>22.5</v>
      </c>
      <c r="AU102" s="4">
        <f ca="1">IFERROR(IF(ECF[[#This Row],[nE]]=1,"N.A.",0.2*ECF[[#This Row],[As,lado (cm²)]]),"N.S.")</f>
        <v>9.2574999999999985</v>
      </c>
      <c r="AV102" s="4" t="str">
        <f ca="1">As_malha(ECF[[#This Row],[nE]],ECF[[#This Row],[As,lado (cm²)]],ECF[[#This Row],[Nsd (kN)]])</f>
        <v>N.A.</v>
      </c>
      <c r="AW102" s="4" t="str">
        <f ca="1">As_susp_tot(ECF[[#This Row],[nE]],ECF[[#This Row],[Nsd (kN)]])</f>
        <v>N.A.</v>
      </c>
      <c r="AX102" s="4" t="str">
        <f ca="1">Asp_face(ECF[[#This Row],[nE]],ECF[[#This Row],[As,lado (cm²)]])</f>
        <v>N.A.</v>
      </c>
      <c r="AY102" s="5">
        <f ca="1">acoBloco(ECF[[#This Row],[nE]],ECF[[#This Row],[e (cm)]],ECF[[#This Row],[a (cm)]],ECF[[#This Row],[h (cm)]],ECF[[#This Row],[As,lado (cm²)]],ECF[[#This Row],[Asp e Asw (cm²/m)]],ECF[[#This Row],[As,sup (cm²)]],ECF[[#This Row],[As,malha (cm²)]],ECF[[#This Row],[As,susp,tot (cm²)]],ECF[[#This Row],[Asp,face (cm²)]])</f>
        <v>1718.7732000000001</v>
      </c>
      <c r="AZ102" s="4">
        <f ca="1">concretoBloco(ECF[[#This Row],[nE]],ECF[[#This Row],[e (cm)]],ECF[[#This Row],[a (cm)]],ECF[[#This Row],[h (cm)]])</f>
        <v>27.9</v>
      </c>
      <c r="BA102" s="5">
        <f ca="1">SUM(ECF[[#This Row],[Aço Est (kg)]],ECF[[#This Row],[Aço Bloco (kg)]])</f>
        <v>1817.4192093227196</v>
      </c>
      <c r="BB102" s="4">
        <f>INDEX(composicoes[],MATCH(95580,composicoes[CÓDIGO],0),MATCH("CUSTO TOTAL",composicoes[#Headers],0))</f>
        <v>10.46</v>
      </c>
      <c r="BC102" s="4">
        <f ca="1">SUM(ECF[[#This Row],[Conc Est (m³)]],ECF[[#This Row],[Conc Bloco (m³)]])</f>
        <v>48.320352248333656</v>
      </c>
      <c r="BD102" s="4">
        <f>INDEX(composicoes[],MATCH(94966,composicoes[CÓDIGO],0),MATCH("CUSTO TOTAL",composicoes[#Headers],0))</f>
        <v>439.52</v>
      </c>
      <c r="BE102" s="38">
        <f ca="1">ECF[[#This Row],[Aço (kg)]]*ECF[[#This Row],[Aço (R$/kg)]]+ECF[[#This Row],[Conc (m³)]]*ECF[[#This Row],[Conc (R$/m³)]]</f>
        <v>40247.96614970325</v>
      </c>
      <c r="BF102" s="4" t="str">
        <f ca="1">IF(COUNTIF(ECF[#This Row],"N.S.")&gt;0,"lim.","OK")</f>
        <v>OK</v>
      </c>
      <c r="BG102" s="4" t="str">
        <f>IF(ECF[[#This Row],[Prof. (m)]]&lt;4,"lim.","OK")</f>
        <v>OK</v>
      </c>
      <c r="BH102" s="4" t="str">
        <f>IF(ECF[[#This Row],[Prof. (m)]]&gt;=8*ECF[[#This Row],[Ø (cm)]]/100,"OK","lim.")</f>
        <v>OK</v>
      </c>
      <c r="BI102" s="4" t="str">
        <f>IF(AND(SPT!$F$3&lt;&gt;"",ECF[[#This Row],[Prof. (m)]]&gt;=SPT!$F$3-2),"lim.","OK")</f>
        <v>OK</v>
      </c>
      <c r="BJ102" s="4" t="str">
        <f ca="1">IF(ECF[[#This Row],[Verif. Biela]]="OK","OK","lim.")</f>
        <v>OK</v>
      </c>
      <c r="BK102" s="4" t="str">
        <f ca="1">IF(COUNTA(ECF[[#This Row],[Nº Est.]:[Biela comp.]])=COUNTIF(ECF[[#This Row],[Nº Est.]:[Biela comp.]],"OK"),"OK","lim.")</f>
        <v>OK</v>
      </c>
      <c r="BL102" s="4" t="str">
        <f ca="1">IF(ECF[[#This Row],[Controle]]="OK",ECF[[#This Row],[nE]]&amp;" Ø"&amp;ECF[[#This Row],[Ø (cm)]]&amp;"cm Prof. "&amp;ECF[[#This Row],[Prof. (m)]]&amp;" m","")</f>
        <v>2 Ø100cm Prof. 13 m</v>
      </c>
      <c r="BM102" s="4" t="str">
        <f ca="1">IF(ECF[[#This Row],[idDimensionamento]]="","",ECF[[#This Row],[idPilar]]&amp;ECF[[#This Row],[idDimensionamento]])</f>
        <v>12 Ø100cm Prof. 13 m</v>
      </c>
    </row>
    <row r="103" spans="2:65" x14ac:dyDescent="0.25">
      <c r="B103" s="12">
        <f>ROUNDUP((ROW(ECF[[#This Row],[idDiâmetro]])-ROW(ECF[[#Headers],[idDiâmetro]]))/(COUNT(SPT[Prof. (m)])*COUNT(PILARES[Pilar])),0)</f>
        <v>4</v>
      </c>
      <c r="C103" s="12">
        <f>IF(ECF[[#This Row],[idDiâmetro]]&lt;&gt;B102,1,IF(ECF[[#This Row],[Prof. (m)]]=0,C102+1,C102))</f>
        <v>2</v>
      </c>
      <c r="D103" s="1">
        <f>IFERROR(IF(D102=MAX(SPT[Prof. (m)]),0,D102+1),0)</f>
        <v>0</v>
      </c>
      <c r="E103" s="1">
        <f>INDEX(SPT[],MATCH(ECF[[#This Row],[Prof. (m)]],SPT[Prof. (m)],0),2)</f>
        <v>0</v>
      </c>
      <c r="F103" s="1" t="str">
        <f>INDEX(SPT[],MATCH(ECF[[#This Row],[Prof. (m)]],SPT[Prof. (m)],0),3)</f>
        <v>Areia siltosa</v>
      </c>
      <c r="G103" s="1">
        <f>INDEX(estacas[],ECF[[#This Row],[idDiâmetro]],MATCH($B$2,estacas[#Headers],0))</f>
        <v>100</v>
      </c>
      <c r="H103" s="1">
        <f>INDEX(estacas[],MATCH(ECF[[#This Row],[Ø (cm)]],estacas[Ø ECF (cm)],0),MATCH(ECF[[#Headers],[Pe ECF (kN)]],estacas[#Headers],0))</f>
        <v>3100</v>
      </c>
      <c r="I103" s="4">
        <f>INDEX(K_alpha_C[],MATCH(ECF[[#This Row],[Solo]],K_alpha_C[Solo],0),2)</f>
        <v>0.8</v>
      </c>
      <c r="J103" s="5">
        <f>INDEX(K_alpha_C[],MATCH(ECF[[#This Row],[Solo]],K_alpha_C[Solo],0),3)</f>
        <v>2</v>
      </c>
      <c r="K103" s="4">
        <f>INDEX(F1_F2[],MATCH($D$2,F1_F2[Tipo de estaca],0),2)</f>
        <v>3</v>
      </c>
      <c r="L103" s="4">
        <f>INDEX(F1_F2[],MATCH($D$2,F1_F2[Tipo de estaca],0),3)</f>
        <v>6</v>
      </c>
      <c r="M103" s="4">
        <f>PI()*(ECF[[#This Row],[Ø (cm)]]/100)^2/4</f>
        <v>0.78539816339744828</v>
      </c>
      <c r="N103" s="4">
        <f>PI()*ECF[[#This Row],[Ø (cm)]]/100</f>
        <v>3.1415926535897931</v>
      </c>
      <c r="O103" s="4">
        <f>IF(ECF[[#This Row],[Prof. (m)]]=0,0,ECF[[#This Row],[α (%)]]/100*ECF[[#This Row],[K (MPa)]]*1000*ECF[[#This Row],[NSPT]])</f>
        <v>0</v>
      </c>
      <c r="P103" s="4">
        <f>IF(ECF[[#This Row],[Prof. (m)]]=0,0,(ECF[[#This Row],[K (MPa)]]*1000*ECF[[#This Row],[NSPT]]/ECF[[#This Row],[F1]]*ECF[[#This Row],[Ap (m²)]]+ECF[[#This Row],[U (m)]]/ECF[[#This Row],[F2]]*SUMIFS(ECF[(α∙K∙NL∙ΔL)],ECF[Prof. (m)],"&lt;="&amp;ECF[[#This Row],[Prof. (m)]],ECF[idDiâmetro],ECF[[#This Row],[idDiâmetro]],ECF[idPilar],ECF[[#This Row],[idPilar]]))/'DADOS CAP. CARGA'!$D$2)</f>
        <v>0</v>
      </c>
      <c r="Q103" s="12">
        <f>INDEX(C_alpha_beta[],MATCH(ECF[[#This Row],[Solo]],C_alpha_beta[Solo],0),MATCH(ECF[[#Headers],[C (kPa)]],C_alpha_beta[#Headers],0))</f>
        <v>400</v>
      </c>
      <c r="R103" s="4">
        <f>INDEX(C_alpha_beta[],MATCH(ECF[[#This Row],[Solo]],C_alpha_beta[Solo],0),MATCH(ECF[[#Headers],[α ESF]],C_alpha_beta[#Headers],0))</f>
        <v>0.5</v>
      </c>
      <c r="S103" s="4">
        <f>INDEX(C_alpha_beta[],MATCH(ECF[[#This Row],[Solo]],C_alpha_beta[Solo],0),MATCH(ECF[[#Headers],[β ESF]],C_alpha_beta[#Headers],0))</f>
        <v>0.5</v>
      </c>
      <c r="T103" s="4">
        <f>IF(ECF[[#This Row],[Prof. (m)]]=0,0,10*(ECF[[#This Row],[NSPT]]/3+1))</f>
        <v>0</v>
      </c>
      <c r="U103" s="4">
        <f>(ECF[[#This Row],[α ESF]]*ECF[[#This Row],[C (kPa)]]*ECF[[#This Row],[NSPT]]*ECF[[#This Row],[Ap (m²)]])/'DADOS CAP. CARGA'!$Q$2+(ECF[[#This Row],[β ESF]]*SUMIFS(ECF[10∙(NL/3+1)],ECF[Prof. (m)],"&lt;="&amp;ECF[[#This Row],[Prof. (m)]],ECF[idDiâmetro],ECF[[#This Row],[idDiâmetro]],ECF[idPilar],ECF[[#This Row],[idPilar]])*ECF[[#This Row],[U (m)]])/'DADOS CAP. CARGA'!$S$2</f>
        <v>0</v>
      </c>
      <c r="V103" s="4">
        <f>IF(SPT!$M$5=1,MIN(ECF[[#This Row],[Pe ECF (kN)]],ECF[[#This Row],[R_AV (kN)]]),IF(SPT!$M$5=2,MIN(ECF[[#This Row],[Pe ECF (kN)]],ECF[[#This Row],[R_DC (kN)]]),MIN(ECF[[#This Row],[Pe ECF (kN)]],ECF[[#This Row],[R_AV (kN)]],ECF[[#This Row],[R_DC (kN)]])))</f>
        <v>0</v>
      </c>
      <c r="W103" s="4">
        <f>INDEX(PILARES[],ECF[[#This Row],[idPilar]],MATCH("Carga (kN)",PILARES[#Headers],0))*1.4</f>
        <v>1750</v>
      </c>
      <c r="X103" s="12">
        <f>INDEX(PILARES[],ECF[[#This Row],[idPilar]],MATCH(ECF[[#Headers],[ap (cm)]],PILARES[#Headers],0))</f>
        <v>50</v>
      </c>
      <c r="Y103" s="12">
        <f>INDEX(PILARES[],ECF[[#This Row],[idPilar]],MATCH(ECF[[#Headers],[bp (cm)]],PILARES[#Headers],0))</f>
        <v>40</v>
      </c>
      <c r="Z103" s="4">
        <f>SQRT(ECF[[#This Row],[ap (cm)]]*ECF[[#This Row],[bp (cm)]])</f>
        <v>44.721359549995796</v>
      </c>
      <c r="AA103" s="12">
        <f>ECF[[#This Row],[ap (cm)]]*ECF[[#This Row],[bp (cm)]]</f>
        <v>2000</v>
      </c>
      <c r="AB103" s="12" t="e">
        <f ca="1">IF(ECF[[#This Row],[Padm∙ε (kN)]]&gt;=ECF[[#This Row],[Padm (kN)]],ROUNDUP(1.05*ECF[[#This Row],[Nsd (kN)]]/ECF[[#This Row],[Padm (kN)]],0),ROUNDUP(1.05*ECF[[#This Row],[Nsd (kN)]]/ECF[[#This Row],[Padm (kN)]],0)+1)</f>
        <v>#DIV/0!</v>
      </c>
      <c r="AC103" s="4" t="str">
        <f ca="1">IFERROR(IF(ECF[[#This Row],[nE]]=1,ECF[[#This Row],[Padm (kN)]],ECF[[#This Row],[Padm (kN)]]*ECF[[#This Row],[nE]]*INDEX(grupoEstacas[],ECF[[#This Row],[nE]],MATCH("ε",grupoEstacas[#Headers],0))),"N.S.")</f>
        <v>N.S.</v>
      </c>
      <c r="AD103" s="4" t="e">
        <f ca="1">1.05*ECF[[#This Row],[Nsd (kN)]]/(ECF[[#This Row],[nE]]*PI()*ECF[[#This Row],[Ø (cm)]]^2/4)*10</f>
        <v>#DIV/0!</v>
      </c>
      <c r="AE103" s="4" t="e">
        <f ca="1">IF(ECF[[#This Row],[σ (MPa)]]&lt;INDEX(tipoEstaca[],MATCH($D$2,tipoEstaca[TIPO DE ESTACA],0),MATCH("σmáx (MPa)",tipoEstaca[#Headers],0)),0.4%*PI()*ECF[[#This Row],[Ø (cm)]]^2/4,"N.S.")</f>
        <v>#DIV/0!</v>
      </c>
      <c r="AF103" s="1">
        <f>INDEX(tipoEstaca[],MATCH($D$2,tipoEstaca[TIPO DE ESTACA],0),MATCH(ECF[[#Headers],[Comprimento (m)]],tipoEstaca[#Headers],0))</f>
        <v>4</v>
      </c>
      <c r="AG103" s="5" t="e">
        <f ca="1">ECF[[#This Row],[As,mín (cm²)]]/100^2*ECF[[#This Row],[Comprimento (m)]]*7850</f>
        <v>#DIV/0!</v>
      </c>
      <c r="AH103" s="4" t="e">
        <f ca="1">ECF[[#This Row],[nE]]*ECF[[#This Row],[Prof. (m)]]*ECF[[#This Row],[Ap (m²)]]</f>
        <v>#DIV/0!</v>
      </c>
      <c r="AI103" s="1" t="e">
        <f ca="1">IF(ECF[[#This Row],[nE]]=1,0,MAX(3*ECF[[#This Row],[Ø (cm)]],60))</f>
        <v>#DIV/0!</v>
      </c>
      <c r="AJ103" s="1" t="e">
        <f ca="1">IF(ECF[[#This Row],[nE]]=1,ECF[[#This Row],[Ø (cm)]]+2*10,MAX(1.5*ECF[[#This Row],[Ø (cm)]],ECF[[#This Row],[Ø (cm)]]+15))</f>
        <v>#DIV/0!</v>
      </c>
      <c r="AK103" s="1" t="e">
        <f ca="1">alturaUtil(ECF[[#This Row],[nE]],ECF[[#This Row],[Ø (cm)]],ECF[[#This Row],[e (cm)]],ECF[[#This Row],[ap,eq (cm)]])</f>
        <v>#VALUE!</v>
      </c>
      <c r="AL103" s="1" t="str">
        <f ca="1">IFERROR(ECF[[#This Row],[d (cm)]]+arredondarParaCimaMultiplo5cm(MAX(5,SQRT(PI())/2*ECF[[#This Row],[Ø (cm)]]/5)),"N.S.")</f>
        <v>N.S.</v>
      </c>
      <c r="AM103" s="5" t="e">
        <f ca="1">alpha(ECF[[#This Row],[nE]],ECF[[#This Row],[d (cm)]],ECF[[#This Row],[e (cm)]],ECF[[#This Row],[ap,eq (cm)]])</f>
        <v>#VALUE!</v>
      </c>
      <c r="AN103" s="35" t="str">
        <f ca="1">IFERROR(ECF[[#This Row],[Nsd (kN)]]/(ECF[[#This Row],[Ap (cm²)]]*SIN(ECF[[#This Row],[α]])^2),"N.S.")</f>
        <v>N.S.</v>
      </c>
      <c r="AO103" s="35" t="str">
        <f ca="1">IFERROR(ECF[[#This Row],[Nsd (kN)]]/(ECF[[#This Row],[nE]]*PI()*ECF[[#This Row],[Ø (cm)]]^2/4*SIN(ECF[[#This Row],[α]])^2),"N.S.")</f>
        <v>N.S.</v>
      </c>
      <c r="AP103" s="4" t="str">
        <f ca="1">IFERROR(INDEX(grupoEstacas[],ECF[[#This Row],[nE]],MATCH("coef. Blévot",grupoEstacas[#Headers],0)),"N.S.")</f>
        <v>N.S.</v>
      </c>
      <c r="AQ103" s="35" t="str">
        <f ca="1">IFERROR(ECF[[#This Row],[coef. Blévot]]*0.9*INDEX(tipoEstaca[],MATCH($D$2,tipoEstaca[TIPO DE ESTACA],0),MATCH("fcd (kN/cm²)",tipoEstaca[#Headers],0)),"N.S.")</f>
        <v>N.S.</v>
      </c>
      <c r="AR103" s="1" t="str">
        <f ca="1">IF(AND(ECF[[#This Row],[cd,b,pil (kN/cm²)]]&lt;=ECF[[#This Row],[cd,b,lim (kN/cm²)]],ECF[[#This Row],[cd,b,est (kN/cm²)]]&lt;=ECF[[#This Row],[cd,b,lim (kN/cm²)]]),"OK","ERRO")</f>
        <v>OK</v>
      </c>
      <c r="AS103" s="4" t="e">
        <f ca="1">As_lado(ECF[[#This Row],[nE]],ECF[[#This Row],[Nsd (kN)]],ECF[[#This Row],[d (cm)]],ECF[[#This Row],[e (cm)]],ECF[[#This Row],[ap,eq (cm)]])</f>
        <v>#VALUE!</v>
      </c>
      <c r="AT103" s="4" t="e">
        <f ca="1">IF(ECF[[#This Row],[nE]]=1,ECF[[#This Row],[As,lado (cm²)]],IF(ECF[[#This Row],[nE]]=2,0.075*2*ECF[a (cm)],"N.A."))</f>
        <v>#DIV/0!</v>
      </c>
      <c r="AU103" s="4" t="str">
        <f ca="1">IFERROR(IF(ECF[[#This Row],[nE]]=1,"N.A.",0.2*ECF[[#This Row],[As,lado (cm²)]]),"N.S.")</f>
        <v>N.S.</v>
      </c>
      <c r="AV103" s="4" t="e">
        <f ca="1">As_malha(ECF[[#This Row],[nE]],ECF[[#This Row],[As,lado (cm²)]],ECF[[#This Row],[Nsd (kN)]])</f>
        <v>#VALUE!</v>
      </c>
      <c r="AW103" s="4" t="e">
        <f ca="1">As_susp_tot(ECF[[#This Row],[nE]],ECF[[#This Row],[Nsd (kN)]])</f>
        <v>#VALUE!</v>
      </c>
      <c r="AX103" s="4" t="e">
        <f ca="1">Asp_face(ECF[[#This Row],[nE]],ECF[[#This Row],[As,lado (cm²)]])</f>
        <v>#VALUE!</v>
      </c>
      <c r="AY103" s="5" t="e">
        <f ca="1">acoBloco(ECF[[#This Row],[nE]],ECF[[#This Row],[e (cm)]],ECF[[#This Row],[a (cm)]],ECF[[#This Row],[h (cm)]],ECF[[#This Row],[As,lado (cm²)]],ECF[[#This Row],[Asp e Asw (cm²/m)]],ECF[[#This Row],[As,sup (cm²)]],ECF[[#This Row],[As,malha (cm²)]],ECF[[#This Row],[As,susp,tot (cm²)]],ECF[[#This Row],[Asp,face (cm²)]])</f>
        <v>#VALUE!</v>
      </c>
      <c r="AZ103" s="4" t="e">
        <f ca="1">concretoBloco(ECF[[#This Row],[nE]],ECF[[#This Row],[e (cm)]],ECF[[#This Row],[a (cm)]],ECF[[#This Row],[h (cm)]])</f>
        <v>#VALUE!</v>
      </c>
      <c r="BA103" s="5" t="e">
        <f ca="1">SUM(ECF[[#This Row],[Aço Est (kg)]],ECF[[#This Row],[Aço Bloco (kg)]])</f>
        <v>#DIV/0!</v>
      </c>
      <c r="BB103" s="4">
        <f>INDEX(composicoes[],MATCH(95580,composicoes[CÓDIGO],0),MATCH("CUSTO TOTAL",composicoes[#Headers],0))</f>
        <v>10.46</v>
      </c>
      <c r="BC103" s="4" t="e">
        <f ca="1">SUM(ECF[[#This Row],[Conc Est (m³)]],ECF[[#This Row],[Conc Bloco (m³)]])</f>
        <v>#DIV/0!</v>
      </c>
      <c r="BD103" s="4">
        <f>INDEX(composicoes[],MATCH(94966,composicoes[CÓDIGO],0),MATCH("CUSTO TOTAL",composicoes[#Headers],0))</f>
        <v>439.52</v>
      </c>
      <c r="BE103" s="38" t="e">
        <f ca="1">ECF[[#This Row],[Aço (kg)]]*ECF[[#This Row],[Aço (R$/kg)]]+ECF[[#This Row],[Conc (m³)]]*ECF[[#This Row],[Conc (R$/m³)]]</f>
        <v>#DIV/0!</v>
      </c>
      <c r="BF103" s="4" t="str">
        <f ca="1">IF(COUNTIF(ECF[#This Row],"N.S.")&gt;0,"lim.","OK")</f>
        <v>lim.</v>
      </c>
      <c r="BG103" s="4" t="str">
        <f>IF(ECF[[#This Row],[Prof. (m)]]&lt;4,"lim.","OK")</f>
        <v>lim.</v>
      </c>
      <c r="BH103" s="4" t="str">
        <f>IF(ECF[[#This Row],[Prof. (m)]]&gt;=8*ECF[[#This Row],[Ø (cm)]]/100,"OK","lim.")</f>
        <v>lim.</v>
      </c>
      <c r="BI103" s="4" t="str">
        <f>IF(AND(SPT!$F$3&lt;&gt;"",ECF[[#This Row],[Prof. (m)]]&gt;=SPT!$F$3-2),"lim.","OK")</f>
        <v>OK</v>
      </c>
      <c r="BJ103" s="4" t="str">
        <f ca="1">IF(ECF[[#This Row],[Verif. Biela]]="OK","OK","lim.")</f>
        <v>OK</v>
      </c>
      <c r="BK103" s="4" t="str">
        <f ca="1">IF(COUNTA(ECF[[#This Row],[Nº Est.]:[Biela comp.]])=COUNTIF(ECF[[#This Row],[Nº Est.]:[Biela comp.]],"OK"),"OK","lim.")</f>
        <v>lim.</v>
      </c>
      <c r="BL103" s="4" t="str">
        <f ca="1">IF(ECF[[#This Row],[Controle]]="OK",ECF[[#This Row],[nE]]&amp;" Ø"&amp;ECF[[#This Row],[Ø (cm)]]&amp;"cm Prof. "&amp;ECF[[#This Row],[Prof. (m)]]&amp;" m","")</f>
        <v/>
      </c>
      <c r="BM103" s="4" t="str">
        <f ca="1">IF(ECF[[#This Row],[idDimensionamento]]="","",ECF[[#This Row],[idPilar]]&amp;ECF[[#This Row],[idDimensionamento]])</f>
        <v/>
      </c>
    </row>
    <row r="104" spans="2:65" x14ac:dyDescent="0.25">
      <c r="B104" s="12">
        <f>ROUNDUP((ROW(ECF[[#This Row],[idDiâmetro]])-ROW(ECF[[#Headers],[idDiâmetro]]))/(COUNT(SPT[Prof. (m)])*COUNT(PILARES[Pilar])),0)</f>
        <v>4</v>
      </c>
      <c r="C104" s="12">
        <f>IF(ECF[[#This Row],[idDiâmetro]]&lt;&gt;B103,1,IF(ECF[[#This Row],[Prof. (m)]]=0,C103+1,C103))</f>
        <v>2</v>
      </c>
      <c r="D104" s="1">
        <f>IFERROR(IF(D103=MAX(SPT[Prof. (m)]),0,D103+1),0)</f>
        <v>1</v>
      </c>
      <c r="E104" s="1">
        <f>INDEX(SPT[],MATCH(ECF[[#This Row],[Prof. (m)]],SPT[Prof. (m)],0),2)</f>
        <v>2</v>
      </c>
      <c r="F104" s="1" t="str">
        <f>INDEX(SPT[],MATCH(ECF[[#This Row],[Prof. (m)]],SPT[Prof. (m)],0),3)</f>
        <v>Areia siltosa</v>
      </c>
      <c r="G104" s="1">
        <f>INDEX(estacas[],ECF[[#This Row],[idDiâmetro]],MATCH($B$2,estacas[#Headers],0))</f>
        <v>100</v>
      </c>
      <c r="H104" s="1">
        <f>INDEX(estacas[],MATCH(ECF[[#This Row],[Ø (cm)]],estacas[Ø ECF (cm)],0),MATCH(ECF[[#Headers],[Pe ECF (kN)]],estacas[#Headers],0))</f>
        <v>3100</v>
      </c>
      <c r="I104" s="4">
        <f>INDEX(K_alpha_C[],MATCH(ECF[[#This Row],[Solo]],K_alpha_C[Solo],0),2)</f>
        <v>0.8</v>
      </c>
      <c r="J104" s="5">
        <f>INDEX(K_alpha_C[],MATCH(ECF[[#This Row],[Solo]],K_alpha_C[Solo],0),3)</f>
        <v>2</v>
      </c>
      <c r="K104" s="4">
        <f>INDEX(F1_F2[],MATCH($D$2,F1_F2[Tipo de estaca],0),2)</f>
        <v>3</v>
      </c>
      <c r="L104" s="4">
        <f>INDEX(F1_F2[],MATCH($D$2,F1_F2[Tipo de estaca],0),3)</f>
        <v>6</v>
      </c>
      <c r="M104" s="4">
        <f>PI()*(ECF[[#This Row],[Ø (cm)]]/100)^2/4</f>
        <v>0.78539816339744828</v>
      </c>
      <c r="N104" s="4">
        <f>PI()*ECF[[#This Row],[Ø (cm)]]/100</f>
        <v>3.1415926535897931</v>
      </c>
      <c r="O104" s="4">
        <f>IF(ECF[[#This Row],[Prof. (m)]]=0,0,ECF[[#This Row],[α (%)]]/100*ECF[[#This Row],[K (MPa)]]*1000*ECF[[#This Row],[NSPT]])</f>
        <v>32</v>
      </c>
      <c r="P104" s="4">
        <f>IF(ECF[[#This Row],[Prof. (m)]]=0,0,(ECF[[#This Row],[K (MPa)]]*1000*ECF[[#This Row],[NSPT]]/ECF[[#This Row],[F1]]*ECF[[#This Row],[Ap (m²)]]+ECF[[#This Row],[U (m)]]/ECF[[#This Row],[F2]]*SUMIFS(ECF[(α∙K∙NL∙ΔL)],ECF[Prof. (m)],"&lt;="&amp;ECF[[#This Row],[Prof. (m)]],ECF[idDiâmetro],ECF[[#This Row],[idDiâmetro]],ECF[idPilar],ECF[[#This Row],[idPilar]]))/'DADOS CAP. CARGA'!$D$2)</f>
        <v>217.81709064889233</v>
      </c>
      <c r="Q104" s="12">
        <f>INDEX(C_alpha_beta[],MATCH(ECF[[#This Row],[Solo]],C_alpha_beta[Solo],0),MATCH(ECF[[#Headers],[C (kPa)]],C_alpha_beta[#Headers],0))</f>
        <v>400</v>
      </c>
      <c r="R104" s="4">
        <f>INDEX(C_alpha_beta[],MATCH(ECF[[#This Row],[Solo]],C_alpha_beta[Solo],0),MATCH(ECF[[#Headers],[α ESF]],C_alpha_beta[#Headers],0))</f>
        <v>0.5</v>
      </c>
      <c r="S104" s="4">
        <f>INDEX(C_alpha_beta[],MATCH(ECF[[#This Row],[Solo]],C_alpha_beta[Solo],0),MATCH(ECF[[#Headers],[β ESF]],C_alpha_beta[#Headers],0))</f>
        <v>0.5</v>
      </c>
      <c r="T104" s="4">
        <f>IF(ECF[[#This Row],[Prof. (m)]]=0,0,10*(ECF[[#This Row],[NSPT]]/3+1))</f>
        <v>16.666666666666664</v>
      </c>
      <c r="U104" s="4">
        <f>(ECF[[#This Row],[α ESF]]*ECF[[#This Row],[C (kPa)]]*ECF[[#This Row],[NSPT]]*ECF[[#This Row],[Ap (m²)]])/'DADOS CAP. CARGA'!$Q$2+(ECF[[#This Row],[β ESF]]*SUMIFS(ECF[10∙(NL/3+1)],ECF[Prof. (m)],"&lt;="&amp;ECF[[#This Row],[Prof. (m)]],ECF[idDiâmetro],ECF[[#This Row],[idDiâmetro]],ECF[idPilar],ECF[[#This Row],[idPilar]])*ECF[[#This Row],[U (m)]])/'DADOS CAP. CARGA'!$S$2</f>
        <v>91.629785729702306</v>
      </c>
      <c r="V104" s="4">
        <f>IF(SPT!$M$5=1,MIN(ECF[[#This Row],[Pe ECF (kN)]],ECF[[#This Row],[R_AV (kN)]]),IF(SPT!$M$5=2,MIN(ECF[[#This Row],[Pe ECF (kN)]],ECF[[#This Row],[R_DC (kN)]]),MIN(ECF[[#This Row],[Pe ECF (kN)]],ECF[[#This Row],[R_AV (kN)]],ECF[[#This Row],[R_DC (kN)]])))</f>
        <v>91.629785729702306</v>
      </c>
      <c r="W104" s="4">
        <f>INDEX(PILARES[],ECF[[#This Row],[idPilar]],MATCH("Carga (kN)",PILARES[#Headers],0))*1.4</f>
        <v>1750</v>
      </c>
      <c r="X104" s="12">
        <f>INDEX(PILARES[],ECF[[#This Row],[idPilar]],MATCH(ECF[[#Headers],[ap (cm)]],PILARES[#Headers],0))</f>
        <v>50</v>
      </c>
      <c r="Y104" s="12">
        <f>INDEX(PILARES[],ECF[[#This Row],[idPilar]],MATCH(ECF[[#Headers],[bp (cm)]],PILARES[#Headers],0))</f>
        <v>40</v>
      </c>
      <c r="Z104" s="4">
        <f>SQRT(ECF[[#This Row],[ap (cm)]]*ECF[[#This Row],[bp (cm)]])</f>
        <v>44.721359549995796</v>
      </c>
      <c r="AA104" s="12">
        <f>ECF[[#This Row],[ap (cm)]]*ECF[[#This Row],[bp (cm)]]</f>
        <v>2000</v>
      </c>
      <c r="AB104" s="12">
        <f ca="1">IF(ECF[[#This Row],[Padm∙ε (kN)]]&gt;=ECF[[#This Row],[Padm (kN)]],ROUNDUP(1.05*ECF[[#This Row],[Nsd (kN)]]/ECF[[#This Row],[Padm (kN)]],0),ROUNDUP(1.05*ECF[[#This Row],[Nsd (kN)]]/ECF[[#This Row],[Padm (kN)]],0)+1)</f>
        <v>21</v>
      </c>
      <c r="AC104" s="4" t="str">
        <f ca="1">IFERROR(IF(ECF[[#This Row],[nE]]=1,ECF[[#This Row],[Padm (kN)]],ECF[[#This Row],[Padm (kN)]]*ECF[[#This Row],[nE]]*INDEX(grupoEstacas[],ECF[[#This Row],[nE]],MATCH("ε",grupoEstacas[#Headers],0))),"N.S.")</f>
        <v>N.S.</v>
      </c>
      <c r="AD104" s="4">
        <f ca="1">1.05*ECF[[#This Row],[Nsd (kN)]]/(ECF[[#This Row],[nE]]*PI()*ECF[[#This Row],[Ø (cm)]]^2/4)*10</f>
        <v>0.11140846016432673</v>
      </c>
      <c r="AE104" s="4">
        <f ca="1">IF(ECF[[#This Row],[σ (MPa)]]&lt;INDEX(tipoEstaca[],MATCH($D$2,tipoEstaca[TIPO DE ESTACA],0),MATCH("σmáx (MPa)",tipoEstaca[#Headers],0)),0.4%*PI()*ECF[[#This Row],[Ø (cm)]]^2/4,"N.S.")</f>
        <v>31.415926535897935</v>
      </c>
      <c r="AF104" s="1">
        <f>INDEX(tipoEstaca[],MATCH($D$2,tipoEstaca[TIPO DE ESTACA],0),MATCH(ECF[[#Headers],[Comprimento (m)]],tipoEstaca[#Headers],0))</f>
        <v>4</v>
      </c>
      <c r="AG104" s="5">
        <f ca="1">ECF[[#This Row],[As,mín (cm²)]]/100^2*ECF[[#This Row],[Comprimento (m)]]*7850</f>
        <v>98.646009322719507</v>
      </c>
      <c r="AH104" s="4">
        <f ca="1">ECF[[#This Row],[nE]]*ECF[[#This Row],[Prof. (m)]]*ECF[[#This Row],[Ap (m²)]]</f>
        <v>16.493361431346415</v>
      </c>
      <c r="AI104" s="1">
        <f ca="1">IF(ECF[[#This Row],[nE]]=1,0,MAX(3*ECF[[#This Row],[Ø (cm)]],60))</f>
        <v>300</v>
      </c>
      <c r="AJ104" s="1">
        <f ca="1">IF(ECF[[#This Row],[nE]]=1,ECF[[#This Row],[Ø (cm)]]+2*10,MAX(1.5*ECF[[#This Row],[Ø (cm)]],ECF[[#This Row],[Ø (cm)]]+15))</f>
        <v>150</v>
      </c>
      <c r="AK104" s="1" t="str">
        <f ca="1">alturaUtil(ECF[[#This Row],[nE]],ECF[[#This Row],[Ø (cm)]],ECF[[#This Row],[e (cm)]],ECF[[#This Row],[ap,eq (cm)]])</f>
        <v>N.S.</v>
      </c>
      <c r="AL104" s="1" t="str">
        <f ca="1">IFERROR(ECF[[#This Row],[d (cm)]]+arredondarParaCimaMultiplo5cm(MAX(5,SQRT(PI())/2*ECF[[#This Row],[Ø (cm)]]/5)),"N.S.")</f>
        <v>N.S.</v>
      </c>
      <c r="AM104" s="5" t="str">
        <f ca="1">alpha(ECF[[#This Row],[nE]],ECF[[#This Row],[d (cm)]],ECF[[#This Row],[e (cm)]],ECF[[#This Row],[ap,eq (cm)]])</f>
        <v>N.S.</v>
      </c>
      <c r="AN104" s="35" t="str">
        <f ca="1">IFERROR(ECF[[#This Row],[Nsd (kN)]]/(ECF[[#This Row],[Ap (cm²)]]*SIN(ECF[[#This Row],[α]])^2),"N.S.")</f>
        <v>N.S.</v>
      </c>
      <c r="AO104" s="35" t="str">
        <f ca="1">IFERROR(ECF[[#This Row],[Nsd (kN)]]/(ECF[[#This Row],[nE]]*PI()*ECF[[#This Row],[Ø (cm)]]^2/4*SIN(ECF[[#This Row],[α]])^2),"N.S.")</f>
        <v>N.S.</v>
      </c>
      <c r="AP104" s="4" t="str">
        <f ca="1">IFERROR(INDEX(grupoEstacas[],ECF[[#This Row],[nE]],MATCH("coef. Blévot",grupoEstacas[#Headers],0)),"N.S.")</f>
        <v>N.S.</v>
      </c>
      <c r="AQ104" s="35" t="str">
        <f ca="1">IFERROR(ECF[[#This Row],[coef. Blévot]]*0.9*INDEX(tipoEstaca[],MATCH($D$2,tipoEstaca[TIPO DE ESTACA],0),MATCH("fcd (kN/cm²)",tipoEstaca[#Headers],0)),"N.S.")</f>
        <v>N.S.</v>
      </c>
      <c r="AR104" s="1" t="str">
        <f ca="1">IF(AND(ECF[[#This Row],[cd,b,pil (kN/cm²)]]&lt;=ECF[[#This Row],[cd,b,lim (kN/cm²)]],ECF[[#This Row],[cd,b,est (kN/cm²)]]&lt;=ECF[[#This Row],[cd,b,lim (kN/cm²)]]),"OK","ERRO")</f>
        <v>OK</v>
      </c>
      <c r="AS104" s="4" t="str">
        <f ca="1">As_lado(ECF[[#This Row],[nE]],ECF[[#This Row],[Nsd (kN)]],ECF[[#This Row],[d (cm)]],ECF[[#This Row],[e (cm)]],ECF[[#This Row],[ap,eq (cm)]])</f>
        <v>N.S.</v>
      </c>
      <c r="AT104" s="4" t="str">
        <f ca="1">IF(ECF[[#This Row],[nE]]=1,ECF[[#This Row],[As,lado (cm²)]],IF(ECF[[#This Row],[nE]]=2,0.075*2*ECF[a (cm)],"N.A."))</f>
        <v>N.A.</v>
      </c>
      <c r="AU104" s="4" t="str">
        <f ca="1">IFERROR(IF(ECF[[#This Row],[nE]]=1,"N.A.",0.2*ECF[[#This Row],[As,lado (cm²)]]),"N.S.")</f>
        <v>N.S.</v>
      </c>
      <c r="AV104" s="4" t="str">
        <f ca="1">As_malha(ECF[[#This Row],[nE]],ECF[[#This Row],[As,lado (cm²)]],ECF[[#This Row],[Nsd (kN)]])</f>
        <v>N.S.</v>
      </c>
      <c r="AW104" s="4" t="str">
        <f ca="1">As_susp_tot(ECF[[#This Row],[nE]],ECF[[#This Row],[Nsd (kN)]])</f>
        <v>N.S.</v>
      </c>
      <c r="AX104" s="4" t="str">
        <f ca="1">Asp_face(ECF[[#This Row],[nE]],ECF[[#This Row],[As,lado (cm²)]])</f>
        <v>N.S.</v>
      </c>
      <c r="AY104" s="5" t="str">
        <f ca="1">acoBloco(ECF[[#This Row],[nE]],ECF[[#This Row],[e (cm)]],ECF[[#This Row],[a (cm)]],ECF[[#This Row],[h (cm)]],ECF[[#This Row],[As,lado (cm²)]],ECF[[#This Row],[Asp e Asw (cm²/m)]],ECF[[#This Row],[As,sup (cm²)]],ECF[[#This Row],[As,malha (cm²)]],ECF[[#This Row],[As,susp,tot (cm²)]],ECF[[#This Row],[Asp,face (cm²)]])</f>
        <v>N.S.</v>
      </c>
      <c r="AZ104" s="4" t="str">
        <f ca="1">concretoBloco(ECF[[#This Row],[nE]],ECF[[#This Row],[e (cm)]],ECF[[#This Row],[a (cm)]],ECF[[#This Row],[h (cm)]])</f>
        <v>N.S.</v>
      </c>
      <c r="BA104" s="5">
        <f ca="1">SUM(ECF[[#This Row],[Aço Est (kg)]],ECF[[#This Row],[Aço Bloco (kg)]])</f>
        <v>98.646009322719507</v>
      </c>
      <c r="BB104" s="4">
        <f>INDEX(composicoes[],MATCH(95580,composicoes[CÓDIGO],0),MATCH("CUSTO TOTAL",composicoes[#Headers],0))</f>
        <v>10.46</v>
      </c>
      <c r="BC104" s="4">
        <f ca="1">SUM(ECF[[#This Row],[Conc Est (m³)]],ECF[[#This Row],[Conc Bloco (m³)]])</f>
        <v>16.493361431346415</v>
      </c>
      <c r="BD104" s="4">
        <f>INDEX(composicoes[],MATCH(94966,composicoes[CÓDIGO],0),MATCH("CUSTO TOTAL",composicoes[#Headers],0))</f>
        <v>439.52</v>
      </c>
      <c r="BE104" s="38">
        <f ca="1">ECF[[#This Row],[Aço (kg)]]*ECF[[#This Row],[Aço (R$/kg)]]+ECF[[#This Row],[Conc (m³)]]*ECF[[#This Row],[Conc (R$/m³)]]</f>
        <v>8280.9994738210225</v>
      </c>
      <c r="BF104" s="4" t="str">
        <f ca="1">IF(COUNTIF(ECF[#This Row],"N.S.")&gt;0,"lim.","OK")</f>
        <v>lim.</v>
      </c>
      <c r="BG104" s="4" t="str">
        <f>IF(ECF[[#This Row],[Prof. (m)]]&lt;4,"lim.","OK")</f>
        <v>lim.</v>
      </c>
      <c r="BH104" s="4" t="str">
        <f>IF(ECF[[#This Row],[Prof. (m)]]&gt;=8*ECF[[#This Row],[Ø (cm)]]/100,"OK","lim.")</f>
        <v>lim.</v>
      </c>
      <c r="BI104" s="4" t="str">
        <f>IF(AND(SPT!$F$3&lt;&gt;"",ECF[[#This Row],[Prof. (m)]]&gt;=SPT!$F$3-2),"lim.","OK")</f>
        <v>OK</v>
      </c>
      <c r="BJ104" s="4" t="str">
        <f ca="1">IF(ECF[[#This Row],[Verif. Biela]]="OK","OK","lim.")</f>
        <v>OK</v>
      </c>
      <c r="BK104" s="4" t="str">
        <f ca="1">IF(COUNTA(ECF[[#This Row],[Nº Est.]:[Biela comp.]])=COUNTIF(ECF[[#This Row],[Nº Est.]:[Biela comp.]],"OK"),"OK","lim.")</f>
        <v>lim.</v>
      </c>
      <c r="BL104" s="4" t="str">
        <f ca="1">IF(ECF[[#This Row],[Controle]]="OK",ECF[[#This Row],[nE]]&amp;" Ø"&amp;ECF[[#This Row],[Ø (cm)]]&amp;"cm Prof. "&amp;ECF[[#This Row],[Prof. (m)]]&amp;" m","")</f>
        <v/>
      </c>
      <c r="BM104" s="4" t="str">
        <f ca="1">IF(ECF[[#This Row],[idDimensionamento]]="","",ECF[[#This Row],[idPilar]]&amp;ECF[[#This Row],[idDimensionamento]])</f>
        <v/>
      </c>
    </row>
    <row r="105" spans="2:65" x14ac:dyDescent="0.25">
      <c r="B105" s="12">
        <f>ROUNDUP((ROW(ECF[[#This Row],[idDiâmetro]])-ROW(ECF[[#Headers],[idDiâmetro]]))/(COUNT(SPT[Prof. (m)])*COUNT(PILARES[Pilar])),0)</f>
        <v>4</v>
      </c>
      <c r="C105" s="12">
        <f>IF(ECF[[#This Row],[idDiâmetro]]&lt;&gt;B104,1,IF(ECF[[#This Row],[Prof. (m)]]=0,C104+1,C104))</f>
        <v>2</v>
      </c>
      <c r="D105" s="1">
        <f>IFERROR(IF(D104=MAX(SPT[Prof. (m)]),0,D104+1),0)</f>
        <v>2</v>
      </c>
      <c r="E105" s="1">
        <f>INDEX(SPT[],MATCH(ECF[[#This Row],[Prof. (m)]],SPT[Prof. (m)],0),2)</f>
        <v>2</v>
      </c>
      <c r="F105" s="1" t="str">
        <f>INDEX(SPT[],MATCH(ECF[[#This Row],[Prof. (m)]],SPT[Prof. (m)],0),3)</f>
        <v>Areia siltosa</v>
      </c>
      <c r="G105" s="1">
        <f>INDEX(estacas[],ECF[[#This Row],[idDiâmetro]],MATCH($B$2,estacas[#Headers],0))</f>
        <v>100</v>
      </c>
      <c r="H105" s="1">
        <f>INDEX(estacas[],MATCH(ECF[[#This Row],[Ø (cm)]],estacas[Ø ECF (cm)],0),MATCH(ECF[[#Headers],[Pe ECF (kN)]],estacas[#Headers],0))</f>
        <v>3100</v>
      </c>
      <c r="I105" s="4">
        <f>INDEX(K_alpha_C[],MATCH(ECF[[#This Row],[Solo]],K_alpha_C[Solo],0),2)</f>
        <v>0.8</v>
      </c>
      <c r="J105" s="5">
        <f>INDEX(K_alpha_C[],MATCH(ECF[[#This Row],[Solo]],K_alpha_C[Solo],0),3)</f>
        <v>2</v>
      </c>
      <c r="K105" s="4">
        <f>INDEX(F1_F2[],MATCH($D$2,F1_F2[Tipo de estaca],0),2)</f>
        <v>3</v>
      </c>
      <c r="L105" s="4">
        <f>INDEX(F1_F2[],MATCH($D$2,F1_F2[Tipo de estaca],0),3)</f>
        <v>6</v>
      </c>
      <c r="M105" s="4">
        <f>PI()*(ECF[[#This Row],[Ø (cm)]]/100)^2/4</f>
        <v>0.78539816339744828</v>
      </c>
      <c r="N105" s="4">
        <f>PI()*ECF[[#This Row],[Ø (cm)]]/100</f>
        <v>3.1415926535897931</v>
      </c>
      <c r="O105" s="4">
        <f>IF(ECF[[#This Row],[Prof. (m)]]=0,0,ECF[[#This Row],[α (%)]]/100*ECF[[#This Row],[K (MPa)]]*1000*ECF[[#This Row],[NSPT]])</f>
        <v>32</v>
      </c>
      <c r="P105" s="4">
        <f>IF(ECF[[#This Row],[Prof. (m)]]=0,0,(ECF[[#This Row],[K (MPa)]]*1000*ECF[[#This Row],[NSPT]]/ECF[[#This Row],[F1]]*ECF[[#This Row],[Ap (m²)]]+ECF[[#This Row],[U (m)]]/ECF[[#This Row],[F2]]*SUMIFS(ECF[(α∙K∙NL∙ΔL)],ECF[Prof. (m)],"&lt;="&amp;ECF[[#This Row],[Prof. (m)]],ECF[idDiâmetro],ECF[[#This Row],[idDiâmetro]],ECF[idPilar],ECF[[#This Row],[idPilar]]))/'DADOS CAP. CARGA'!$D$2)</f>
        <v>226.19467105846513</v>
      </c>
      <c r="Q105" s="12">
        <f>INDEX(C_alpha_beta[],MATCH(ECF[[#This Row],[Solo]],C_alpha_beta[Solo],0),MATCH(ECF[[#Headers],[C (kPa)]],C_alpha_beta[#Headers],0))</f>
        <v>400</v>
      </c>
      <c r="R105" s="4">
        <f>INDEX(C_alpha_beta[],MATCH(ECF[[#This Row],[Solo]],C_alpha_beta[Solo],0),MATCH(ECF[[#Headers],[α ESF]],C_alpha_beta[#Headers],0))</f>
        <v>0.5</v>
      </c>
      <c r="S105" s="4">
        <f>INDEX(C_alpha_beta[],MATCH(ECF[[#This Row],[Solo]],C_alpha_beta[Solo],0),MATCH(ECF[[#Headers],[β ESF]],C_alpha_beta[#Headers],0))</f>
        <v>0.5</v>
      </c>
      <c r="T105" s="4">
        <f>IF(ECF[[#This Row],[Prof. (m)]]=0,0,10*(ECF[[#This Row],[NSPT]]/3+1))</f>
        <v>16.666666666666664</v>
      </c>
      <c r="U105" s="4">
        <f>(ECF[[#This Row],[α ESF]]*ECF[[#This Row],[C (kPa)]]*ECF[[#This Row],[NSPT]]*ECF[[#This Row],[Ap (m²)]])/'DADOS CAP. CARGA'!$Q$2+(ECF[[#This Row],[β ESF]]*SUMIFS(ECF[10∙(NL/3+1)],ECF[Prof. (m)],"&lt;="&amp;ECF[[#This Row],[Prof. (m)]],ECF[idDiâmetro],ECF[[#This Row],[idDiâmetro]],ECF[idPilar],ECF[[#This Row],[idPilar]])*ECF[[#This Row],[U (m)]])/'DADOS CAP. CARGA'!$S$2</f>
        <v>104.71975511965977</v>
      </c>
      <c r="V105" s="4">
        <f>IF(SPT!$M$5=1,MIN(ECF[[#This Row],[Pe ECF (kN)]],ECF[[#This Row],[R_AV (kN)]]),IF(SPT!$M$5=2,MIN(ECF[[#This Row],[Pe ECF (kN)]],ECF[[#This Row],[R_DC (kN)]]),MIN(ECF[[#This Row],[Pe ECF (kN)]],ECF[[#This Row],[R_AV (kN)]],ECF[[#This Row],[R_DC (kN)]])))</f>
        <v>104.71975511965977</v>
      </c>
      <c r="W105" s="4">
        <f>INDEX(PILARES[],ECF[[#This Row],[idPilar]],MATCH("Carga (kN)",PILARES[#Headers],0))*1.4</f>
        <v>1750</v>
      </c>
      <c r="X105" s="12">
        <f>INDEX(PILARES[],ECF[[#This Row],[idPilar]],MATCH(ECF[[#Headers],[ap (cm)]],PILARES[#Headers],0))</f>
        <v>50</v>
      </c>
      <c r="Y105" s="12">
        <f>INDEX(PILARES[],ECF[[#This Row],[idPilar]],MATCH(ECF[[#Headers],[bp (cm)]],PILARES[#Headers],0))</f>
        <v>40</v>
      </c>
      <c r="Z105" s="4">
        <f>SQRT(ECF[[#This Row],[ap (cm)]]*ECF[[#This Row],[bp (cm)]])</f>
        <v>44.721359549995796</v>
      </c>
      <c r="AA105" s="12">
        <f>ECF[[#This Row],[ap (cm)]]*ECF[[#This Row],[bp (cm)]]</f>
        <v>2000</v>
      </c>
      <c r="AB105" s="12">
        <f ca="1">IF(ECF[[#This Row],[Padm∙ε (kN)]]&gt;=ECF[[#This Row],[Padm (kN)]],ROUNDUP(1.05*ECF[[#This Row],[Nsd (kN)]]/ECF[[#This Row],[Padm (kN)]],0),ROUNDUP(1.05*ECF[[#This Row],[Nsd (kN)]]/ECF[[#This Row],[Padm (kN)]],0)+1)</f>
        <v>18</v>
      </c>
      <c r="AC105" s="4" t="str">
        <f ca="1">IFERROR(IF(ECF[[#This Row],[nE]]=1,ECF[[#This Row],[Padm (kN)]],ECF[[#This Row],[Padm (kN)]]*ECF[[#This Row],[nE]]*INDEX(grupoEstacas[],ECF[[#This Row],[nE]],MATCH("ε",grupoEstacas[#Headers],0))),"N.S.")</f>
        <v>N.S.</v>
      </c>
      <c r="AD105" s="4">
        <f ca="1">1.05*ECF[[#This Row],[Nsd (kN)]]/(ECF[[#This Row],[nE]]*PI()*ECF[[#This Row],[Ø (cm)]]^2/4)*10</f>
        <v>0.12997653685838118</v>
      </c>
      <c r="AE105" s="4">
        <f ca="1">IF(ECF[[#This Row],[σ (MPa)]]&lt;INDEX(tipoEstaca[],MATCH($D$2,tipoEstaca[TIPO DE ESTACA],0),MATCH("σmáx (MPa)",tipoEstaca[#Headers],0)),0.4%*PI()*ECF[[#This Row],[Ø (cm)]]^2/4,"N.S.")</f>
        <v>31.415926535897935</v>
      </c>
      <c r="AF105" s="1">
        <f>INDEX(tipoEstaca[],MATCH($D$2,tipoEstaca[TIPO DE ESTACA],0),MATCH(ECF[[#Headers],[Comprimento (m)]],tipoEstaca[#Headers],0))</f>
        <v>4</v>
      </c>
      <c r="AG105" s="5">
        <f ca="1">ECF[[#This Row],[As,mín (cm²)]]/100^2*ECF[[#This Row],[Comprimento (m)]]*7850</f>
        <v>98.646009322719507</v>
      </c>
      <c r="AH105" s="4">
        <f ca="1">ECF[[#This Row],[nE]]*ECF[[#This Row],[Prof. (m)]]*ECF[[#This Row],[Ap (m²)]]</f>
        <v>28.274333882308138</v>
      </c>
      <c r="AI105" s="1">
        <f ca="1">IF(ECF[[#This Row],[nE]]=1,0,MAX(3*ECF[[#This Row],[Ø (cm)]],60))</f>
        <v>300</v>
      </c>
      <c r="AJ105" s="1">
        <f ca="1">IF(ECF[[#This Row],[nE]]=1,ECF[[#This Row],[Ø (cm)]]+2*10,MAX(1.5*ECF[[#This Row],[Ø (cm)]],ECF[[#This Row],[Ø (cm)]]+15))</f>
        <v>150</v>
      </c>
      <c r="AK105" s="1" t="str">
        <f ca="1">alturaUtil(ECF[[#This Row],[nE]],ECF[[#This Row],[Ø (cm)]],ECF[[#This Row],[e (cm)]],ECF[[#This Row],[ap,eq (cm)]])</f>
        <v>N.S.</v>
      </c>
      <c r="AL105" s="1" t="str">
        <f ca="1">IFERROR(ECF[[#This Row],[d (cm)]]+arredondarParaCimaMultiplo5cm(MAX(5,SQRT(PI())/2*ECF[[#This Row],[Ø (cm)]]/5)),"N.S.")</f>
        <v>N.S.</v>
      </c>
      <c r="AM105" s="5" t="str">
        <f ca="1">alpha(ECF[[#This Row],[nE]],ECF[[#This Row],[d (cm)]],ECF[[#This Row],[e (cm)]],ECF[[#This Row],[ap,eq (cm)]])</f>
        <v>N.S.</v>
      </c>
      <c r="AN105" s="35" t="str">
        <f ca="1">IFERROR(ECF[[#This Row],[Nsd (kN)]]/(ECF[[#This Row],[Ap (cm²)]]*SIN(ECF[[#This Row],[α]])^2),"N.S.")</f>
        <v>N.S.</v>
      </c>
      <c r="AO105" s="35" t="str">
        <f ca="1">IFERROR(ECF[[#This Row],[Nsd (kN)]]/(ECF[[#This Row],[nE]]*PI()*ECF[[#This Row],[Ø (cm)]]^2/4*SIN(ECF[[#This Row],[α]])^2),"N.S.")</f>
        <v>N.S.</v>
      </c>
      <c r="AP105" s="4" t="str">
        <f ca="1">IFERROR(INDEX(grupoEstacas[],ECF[[#This Row],[nE]],MATCH("coef. Blévot",grupoEstacas[#Headers],0)),"N.S.")</f>
        <v>N.S.</v>
      </c>
      <c r="AQ105" s="35" t="str">
        <f ca="1">IFERROR(ECF[[#This Row],[coef. Blévot]]*0.9*INDEX(tipoEstaca[],MATCH($D$2,tipoEstaca[TIPO DE ESTACA],0),MATCH("fcd (kN/cm²)",tipoEstaca[#Headers],0)),"N.S.")</f>
        <v>N.S.</v>
      </c>
      <c r="AR105" s="1" t="str">
        <f ca="1">IF(AND(ECF[[#This Row],[cd,b,pil (kN/cm²)]]&lt;=ECF[[#This Row],[cd,b,lim (kN/cm²)]],ECF[[#This Row],[cd,b,est (kN/cm²)]]&lt;=ECF[[#This Row],[cd,b,lim (kN/cm²)]]),"OK","ERRO")</f>
        <v>OK</v>
      </c>
      <c r="AS105" s="4" t="str">
        <f ca="1">As_lado(ECF[[#This Row],[nE]],ECF[[#This Row],[Nsd (kN)]],ECF[[#This Row],[d (cm)]],ECF[[#This Row],[e (cm)]],ECF[[#This Row],[ap,eq (cm)]])</f>
        <v>N.S.</v>
      </c>
      <c r="AT105" s="4" t="str">
        <f ca="1">IF(ECF[[#This Row],[nE]]=1,ECF[[#This Row],[As,lado (cm²)]],IF(ECF[[#This Row],[nE]]=2,0.075*2*ECF[a (cm)],"N.A."))</f>
        <v>N.A.</v>
      </c>
      <c r="AU105" s="4" t="str">
        <f ca="1">IFERROR(IF(ECF[[#This Row],[nE]]=1,"N.A.",0.2*ECF[[#This Row],[As,lado (cm²)]]),"N.S.")</f>
        <v>N.S.</v>
      </c>
      <c r="AV105" s="4" t="str">
        <f ca="1">As_malha(ECF[[#This Row],[nE]],ECF[[#This Row],[As,lado (cm²)]],ECF[[#This Row],[Nsd (kN)]])</f>
        <v>N.S.</v>
      </c>
      <c r="AW105" s="4" t="str">
        <f ca="1">As_susp_tot(ECF[[#This Row],[nE]],ECF[[#This Row],[Nsd (kN)]])</f>
        <v>N.S.</v>
      </c>
      <c r="AX105" s="4" t="str">
        <f ca="1">Asp_face(ECF[[#This Row],[nE]],ECF[[#This Row],[As,lado (cm²)]])</f>
        <v>N.S.</v>
      </c>
      <c r="AY105" s="5" t="str">
        <f ca="1">acoBloco(ECF[[#This Row],[nE]],ECF[[#This Row],[e (cm)]],ECF[[#This Row],[a (cm)]],ECF[[#This Row],[h (cm)]],ECF[[#This Row],[As,lado (cm²)]],ECF[[#This Row],[Asp e Asw (cm²/m)]],ECF[[#This Row],[As,sup (cm²)]],ECF[[#This Row],[As,malha (cm²)]],ECF[[#This Row],[As,susp,tot (cm²)]],ECF[[#This Row],[Asp,face (cm²)]])</f>
        <v>N.S.</v>
      </c>
      <c r="AZ105" s="4" t="str">
        <f ca="1">concretoBloco(ECF[[#This Row],[nE]],ECF[[#This Row],[e (cm)]],ECF[[#This Row],[a (cm)]],ECF[[#This Row],[h (cm)]])</f>
        <v>N.S.</v>
      </c>
      <c r="BA105" s="5">
        <f ca="1">SUM(ECF[[#This Row],[Aço Est (kg)]],ECF[[#This Row],[Aço Bloco (kg)]])</f>
        <v>98.646009322719507</v>
      </c>
      <c r="BB105" s="4">
        <f>INDEX(composicoes[],MATCH(95580,composicoes[CÓDIGO],0),MATCH("CUSTO TOTAL",composicoes[#Headers],0))</f>
        <v>10.46</v>
      </c>
      <c r="BC105" s="4">
        <f ca="1">SUM(ECF[[#This Row],[Conc Est (m³)]],ECF[[#This Row],[Conc Bloco (m³)]])</f>
        <v>28.274333882308138</v>
      </c>
      <c r="BD105" s="4">
        <f>INDEX(composicoes[],MATCH(94966,composicoes[CÓDIGO],0),MATCH("CUSTO TOTAL",composicoes[#Headers],0))</f>
        <v>439.52</v>
      </c>
      <c r="BE105" s="38">
        <f ca="1">ECF[[#This Row],[Aço (kg)]]*ECF[[#This Row],[Aço (R$/kg)]]+ECF[[#This Row],[Conc (m³)]]*ECF[[#This Row],[Conc (R$/m³)]]</f>
        <v>13458.972485467719</v>
      </c>
      <c r="BF105" s="4" t="str">
        <f ca="1">IF(COUNTIF(ECF[#This Row],"N.S.")&gt;0,"lim.","OK")</f>
        <v>lim.</v>
      </c>
      <c r="BG105" s="4" t="str">
        <f>IF(ECF[[#This Row],[Prof. (m)]]&lt;4,"lim.","OK")</f>
        <v>lim.</v>
      </c>
      <c r="BH105" s="4" t="str">
        <f>IF(ECF[[#This Row],[Prof. (m)]]&gt;=8*ECF[[#This Row],[Ø (cm)]]/100,"OK","lim.")</f>
        <v>lim.</v>
      </c>
      <c r="BI105" s="4" t="str">
        <f>IF(AND(SPT!$F$3&lt;&gt;"",ECF[[#This Row],[Prof. (m)]]&gt;=SPT!$F$3-2),"lim.","OK")</f>
        <v>OK</v>
      </c>
      <c r="BJ105" s="4" t="str">
        <f ca="1">IF(ECF[[#This Row],[Verif. Biela]]="OK","OK","lim.")</f>
        <v>OK</v>
      </c>
      <c r="BK105" s="4" t="str">
        <f ca="1">IF(COUNTA(ECF[[#This Row],[Nº Est.]:[Biela comp.]])=COUNTIF(ECF[[#This Row],[Nº Est.]:[Biela comp.]],"OK"),"OK","lim.")</f>
        <v>lim.</v>
      </c>
      <c r="BL105" s="4" t="str">
        <f ca="1">IF(ECF[[#This Row],[Controle]]="OK",ECF[[#This Row],[nE]]&amp;" Ø"&amp;ECF[[#This Row],[Ø (cm)]]&amp;"cm Prof. "&amp;ECF[[#This Row],[Prof. (m)]]&amp;" m","")</f>
        <v/>
      </c>
      <c r="BM105" s="4" t="str">
        <f ca="1">IF(ECF[[#This Row],[idDimensionamento]]="","",ECF[[#This Row],[idPilar]]&amp;ECF[[#This Row],[idDimensionamento]])</f>
        <v/>
      </c>
    </row>
    <row r="106" spans="2:65" x14ac:dyDescent="0.25">
      <c r="B106" s="12">
        <f>ROUNDUP((ROW(ECF[[#This Row],[idDiâmetro]])-ROW(ECF[[#Headers],[idDiâmetro]]))/(COUNT(SPT[Prof. (m)])*COUNT(PILARES[Pilar])),0)</f>
        <v>4</v>
      </c>
      <c r="C106" s="12">
        <f>IF(ECF[[#This Row],[idDiâmetro]]&lt;&gt;B105,1,IF(ECF[[#This Row],[Prof. (m)]]=0,C105+1,C105))</f>
        <v>2</v>
      </c>
      <c r="D106" s="1">
        <f>IFERROR(IF(D105=MAX(SPT[Prof. (m)]),0,D105+1),0)</f>
        <v>3</v>
      </c>
      <c r="E106" s="1">
        <f>INDEX(SPT[],MATCH(ECF[[#This Row],[Prof. (m)]],SPT[Prof. (m)],0),2)</f>
        <v>4</v>
      </c>
      <c r="F106" s="1" t="str">
        <f>INDEX(SPT[],MATCH(ECF[[#This Row],[Prof. (m)]],SPT[Prof. (m)],0),3)</f>
        <v>Areia siltosa</v>
      </c>
      <c r="G106" s="1">
        <f>INDEX(estacas[],ECF[[#This Row],[idDiâmetro]],MATCH($B$2,estacas[#Headers],0))</f>
        <v>100</v>
      </c>
      <c r="H106" s="1">
        <f>INDEX(estacas[],MATCH(ECF[[#This Row],[Ø (cm)]],estacas[Ø ECF (cm)],0),MATCH(ECF[[#Headers],[Pe ECF (kN)]],estacas[#Headers],0))</f>
        <v>3100</v>
      </c>
      <c r="I106" s="4">
        <f>INDEX(K_alpha_C[],MATCH(ECF[[#This Row],[Solo]],K_alpha_C[Solo],0),2)</f>
        <v>0.8</v>
      </c>
      <c r="J106" s="5">
        <f>INDEX(K_alpha_C[],MATCH(ECF[[#This Row],[Solo]],K_alpha_C[Solo],0),3)</f>
        <v>2</v>
      </c>
      <c r="K106" s="4">
        <f>INDEX(F1_F2[],MATCH($D$2,F1_F2[Tipo de estaca],0),2)</f>
        <v>3</v>
      </c>
      <c r="L106" s="4">
        <f>INDEX(F1_F2[],MATCH($D$2,F1_F2[Tipo de estaca],0),3)</f>
        <v>6</v>
      </c>
      <c r="M106" s="4">
        <f>PI()*(ECF[[#This Row],[Ø (cm)]]/100)^2/4</f>
        <v>0.78539816339744828</v>
      </c>
      <c r="N106" s="4">
        <f>PI()*ECF[[#This Row],[Ø (cm)]]/100</f>
        <v>3.1415926535897931</v>
      </c>
      <c r="O106" s="4">
        <f>IF(ECF[[#This Row],[Prof. (m)]]=0,0,ECF[[#This Row],[α (%)]]/100*ECF[[#This Row],[K (MPa)]]*1000*ECF[[#This Row],[NSPT]])</f>
        <v>64</v>
      </c>
      <c r="P106" s="4">
        <f>IF(ECF[[#This Row],[Prof. (m)]]=0,0,(ECF[[#This Row],[K (MPa)]]*1000*ECF[[#This Row],[NSPT]]/ECF[[#This Row],[F1]]*ECF[[#This Row],[Ap (m²)]]+ECF[[#This Row],[U (m)]]/ECF[[#This Row],[F2]]*SUMIFS(ECF[(α∙K∙NL∙ΔL)],ECF[Prof. (m)],"&lt;="&amp;ECF[[#This Row],[Prof. (m)]],ECF[idDiâmetro],ECF[[#This Row],[idDiâmetro]],ECF[idPilar],ECF[[#This Row],[idPilar]]))/'DADOS CAP. CARGA'!$D$2)</f>
        <v>452.38934211693027</v>
      </c>
      <c r="Q106" s="12">
        <f>INDEX(C_alpha_beta[],MATCH(ECF[[#This Row],[Solo]],C_alpha_beta[Solo],0),MATCH(ECF[[#Headers],[C (kPa)]],C_alpha_beta[#Headers],0))</f>
        <v>400</v>
      </c>
      <c r="R106" s="4">
        <f>INDEX(C_alpha_beta[],MATCH(ECF[[#This Row],[Solo]],C_alpha_beta[Solo],0),MATCH(ECF[[#Headers],[α ESF]],C_alpha_beta[#Headers],0))</f>
        <v>0.5</v>
      </c>
      <c r="S106" s="4">
        <f>INDEX(C_alpha_beta[],MATCH(ECF[[#This Row],[Solo]],C_alpha_beta[Solo],0),MATCH(ECF[[#Headers],[β ESF]],C_alpha_beta[#Headers],0))</f>
        <v>0.5</v>
      </c>
      <c r="T106" s="4">
        <f>IF(ECF[[#This Row],[Prof. (m)]]=0,0,10*(ECF[[#This Row],[NSPT]]/3+1))</f>
        <v>23.333333333333329</v>
      </c>
      <c r="U106" s="4">
        <f>(ECF[[#This Row],[α ESF]]*ECF[[#This Row],[C (kPa)]]*ECF[[#This Row],[NSPT]]*ECF[[#This Row],[Ap (m²)]])/'DADOS CAP. CARGA'!$Q$2+(ECF[[#This Row],[β ESF]]*SUMIFS(ECF[10∙(NL/3+1)],ECF[Prof. (m)],"&lt;="&amp;ECF[[#This Row],[Prof. (m)]],ECF[idDiâmetro],ECF[[#This Row],[idDiâmetro]],ECF[idPilar],ECF[[#This Row],[idPilar]])*ECF[[#This Row],[U (m)]])/'DADOS CAP. CARGA'!$S$2</f>
        <v>201.58552860534508</v>
      </c>
      <c r="V106" s="4">
        <f>IF(SPT!$M$5=1,MIN(ECF[[#This Row],[Pe ECF (kN)]],ECF[[#This Row],[R_AV (kN)]]),IF(SPT!$M$5=2,MIN(ECF[[#This Row],[Pe ECF (kN)]],ECF[[#This Row],[R_DC (kN)]]),MIN(ECF[[#This Row],[Pe ECF (kN)]],ECF[[#This Row],[R_AV (kN)]],ECF[[#This Row],[R_DC (kN)]])))</f>
        <v>201.58552860534508</v>
      </c>
      <c r="W106" s="4">
        <f>INDEX(PILARES[],ECF[[#This Row],[idPilar]],MATCH("Carga (kN)",PILARES[#Headers],0))*1.4</f>
        <v>1750</v>
      </c>
      <c r="X106" s="12">
        <f>INDEX(PILARES[],ECF[[#This Row],[idPilar]],MATCH(ECF[[#Headers],[ap (cm)]],PILARES[#Headers],0))</f>
        <v>50</v>
      </c>
      <c r="Y106" s="12">
        <f>INDEX(PILARES[],ECF[[#This Row],[idPilar]],MATCH(ECF[[#Headers],[bp (cm)]],PILARES[#Headers],0))</f>
        <v>40</v>
      </c>
      <c r="Z106" s="4">
        <f>SQRT(ECF[[#This Row],[ap (cm)]]*ECF[[#This Row],[bp (cm)]])</f>
        <v>44.721359549995796</v>
      </c>
      <c r="AA106" s="12">
        <f>ECF[[#This Row],[ap (cm)]]*ECF[[#This Row],[bp (cm)]]</f>
        <v>2000</v>
      </c>
      <c r="AB106" s="12">
        <f ca="1">IF(ECF[[#This Row],[Padm∙ε (kN)]]&gt;=ECF[[#This Row],[Padm (kN)]],ROUNDUP(1.05*ECF[[#This Row],[Nsd (kN)]]/ECF[[#This Row],[Padm (kN)]],0),ROUNDUP(1.05*ECF[[#This Row],[Nsd (kN)]]/ECF[[#This Row],[Padm (kN)]],0)+1)</f>
        <v>10</v>
      </c>
      <c r="AC106" s="4" t="str">
        <f ca="1">IFERROR(IF(ECF[[#This Row],[nE]]=1,ECF[[#This Row],[Padm (kN)]],ECF[[#This Row],[Padm (kN)]]*ECF[[#This Row],[nE]]*INDEX(grupoEstacas[],ECF[[#This Row],[nE]],MATCH("ε",grupoEstacas[#Headers],0))),"N.S.")</f>
        <v>N.S.</v>
      </c>
      <c r="AD106" s="4">
        <f ca="1">1.05*ECF[[#This Row],[Nsd (kN)]]/(ECF[[#This Row],[nE]]*PI()*ECF[[#This Row],[Ø (cm)]]^2/4)*10</f>
        <v>0.23395776634508617</v>
      </c>
      <c r="AE106" s="4">
        <f ca="1">IF(ECF[[#This Row],[σ (MPa)]]&lt;INDEX(tipoEstaca[],MATCH($D$2,tipoEstaca[TIPO DE ESTACA],0),MATCH("σmáx (MPa)",tipoEstaca[#Headers],0)),0.4%*PI()*ECF[[#This Row],[Ø (cm)]]^2/4,"N.S.")</f>
        <v>31.415926535897935</v>
      </c>
      <c r="AF106" s="1">
        <f>INDEX(tipoEstaca[],MATCH($D$2,tipoEstaca[TIPO DE ESTACA],0),MATCH(ECF[[#Headers],[Comprimento (m)]],tipoEstaca[#Headers],0))</f>
        <v>4</v>
      </c>
      <c r="AG106" s="5">
        <f ca="1">ECF[[#This Row],[As,mín (cm²)]]/100^2*ECF[[#This Row],[Comprimento (m)]]*7850</f>
        <v>98.646009322719507</v>
      </c>
      <c r="AH106" s="4">
        <f ca="1">ECF[[#This Row],[nE]]*ECF[[#This Row],[Prof. (m)]]*ECF[[#This Row],[Ap (m²)]]</f>
        <v>23.561944901923447</v>
      </c>
      <c r="AI106" s="1">
        <f ca="1">IF(ECF[[#This Row],[nE]]=1,0,MAX(3*ECF[[#This Row],[Ø (cm)]],60))</f>
        <v>300</v>
      </c>
      <c r="AJ106" s="1">
        <f ca="1">IF(ECF[[#This Row],[nE]]=1,ECF[[#This Row],[Ø (cm)]]+2*10,MAX(1.5*ECF[[#This Row],[Ø (cm)]],ECF[[#This Row],[Ø (cm)]]+15))</f>
        <v>150</v>
      </c>
      <c r="AK106" s="1" t="str">
        <f ca="1">alturaUtil(ECF[[#This Row],[nE]],ECF[[#This Row],[Ø (cm)]],ECF[[#This Row],[e (cm)]],ECF[[#This Row],[ap,eq (cm)]])</f>
        <v>N.S.</v>
      </c>
      <c r="AL106" s="1" t="str">
        <f ca="1">IFERROR(ECF[[#This Row],[d (cm)]]+arredondarParaCimaMultiplo5cm(MAX(5,SQRT(PI())/2*ECF[[#This Row],[Ø (cm)]]/5)),"N.S.")</f>
        <v>N.S.</v>
      </c>
      <c r="AM106" s="5" t="str">
        <f ca="1">alpha(ECF[[#This Row],[nE]],ECF[[#This Row],[d (cm)]],ECF[[#This Row],[e (cm)]],ECF[[#This Row],[ap,eq (cm)]])</f>
        <v>N.S.</v>
      </c>
      <c r="AN106" s="35" t="str">
        <f ca="1">IFERROR(ECF[[#This Row],[Nsd (kN)]]/(ECF[[#This Row],[Ap (cm²)]]*SIN(ECF[[#This Row],[α]])^2),"N.S.")</f>
        <v>N.S.</v>
      </c>
      <c r="AO106" s="35" t="str">
        <f ca="1">IFERROR(ECF[[#This Row],[Nsd (kN)]]/(ECF[[#This Row],[nE]]*PI()*ECF[[#This Row],[Ø (cm)]]^2/4*SIN(ECF[[#This Row],[α]])^2),"N.S.")</f>
        <v>N.S.</v>
      </c>
      <c r="AP106" s="4" t="str">
        <f ca="1">IFERROR(INDEX(grupoEstacas[],ECF[[#This Row],[nE]],MATCH("coef. Blévot",grupoEstacas[#Headers],0)),"N.S.")</f>
        <v>N.S.</v>
      </c>
      <c r="AQ106" s="35" t="str">
        <f ca="1">IFERROR(ECF[[#This Row],[coef. Blévot]]*0.9*INDEX(tipoEstaca[],MATCH($D$2,tipoEstaca[TIPO DE ESTACA],0),MATCH("fcd (kN/cm²)",tipoEstaca[#Headers],0)),"N.S.")</f>
        <v>N.S.</v>
      </c>
      <c r="AR106" s="1" t="str">
        <f ca="1">IF(AND(ECF[[#This Row],[cd,b,pil (kN/cm²)]]&lt;=ECF[[#This Row],[cd,b,lim (kN/cm²)]],ECF[[#This Row],[cd,b,est (kN/cm²)]]&lt;=ECF[[#This Row],[cd,b,lim (kN/cm²)]]),"OK","ERRO")</f>
        <v>OK</v>
      </c>
      <c r="AS106" s="4" t="str">
        <f ca="1">As_lado(ECF[[#This Row],[nE]],ECF[[#This Row],[Nsd (kN)]],ECF[[#This Row],[d (cm)]],ECF[[#This Row],[e (cm)]],ECF[[#This Row],[ap,eq (cm)]])</f>
        <v>N.S.</v>
      </c>
      <c r="AT106" s="4" t="str">
        <f ca="1">IF(ECF[[#This Row],[nE]]=1,ECF[[#This Row],[As,lado (cm²)]],IF(ECF[[#This Row],[nE]]=2,0.075*2*ECF[a (cm)],"N.A."))</f>
        <v>N.A.</v>
      </c>
      <c r="AU106" s="4" t="str">
        <f ca="1">IFERROR(IF(ECF[[#This Row],[nE]]=1,"N.A.",0.2*ECF[[#This Row],[As,lado (cm²)]]),"N.S.")</f>
        <v>N.S.</v>
      </c>
      <c r="AV106" s="4" t="str">
        <f ca="1">As_malha(ECF[[#This Row],[nE]],ECF[[#This Row],[As,lado (cm²)]],ECF[[#This Row],[Nsd (kN)]])</f>
        <v>N.S.</v>
      </c>
      <c r="AW106" s="4" t="str">
        <f ca="1">As_susp_tot(ECF[[#This Row],[nE]],ECF[[#This Row],[Nsd (kN)]])</f>
        <v>N.S.</v>
      </c>
      <c r="AX106" s="4" t="str">
        <f ca="1">Asp_face(ECF[[#This Row],[nE]],ECF[[#This Row],[As,lado (cm²)]])</f>
        <v>N.S.</v>
      </c>
      <c r="AY106" s="5" t="str">
        <f ca="1">acoBloco(ECF[[#This Row],[nE]],ECF[[#This Row],[e (cm)]],ECF[[#This Row],[a (cm)]],ECF[[#This Row],[h (cm)]],ECF[[#This Row],[As,lado (cm²)]],ECF[[#This Row],[Asp e Asw (cm²/m)]],ECF[[#This Row],[As,sup (cm²)]],ECF[[#This Row],[As,malha (cm²)]],ECF[[#This Row],[As,susp,tot (cm²)]],ECF[[#This Row],[Asp,face (cm²)]])</f>
        <v>N.S.</v>
      </c>
      <c r="AZ106" s="4" t="str">
        <f ca="1">concretoBloco(ECF[[#This Row],[nE]],ECF[[#This Row],[e (cm)]],ECF[[#This Row],[a (cm)]],ECF[[#This Row],[h (cm)]])</f>
        <v>N.S.</v>
      </c>
      <c r="BA106" s="5">
        <f ca="1">SUM(ECF[[#This Row],[Aço Est (kg)]],ECF[[#This Row],[Aço Bloco (kg)]])</f>
        <v>98.646009322719507</v>
      </c>
      <c r="BB106" s="4">
        <f>INDEX(composicoes[],MATCH(95580,composicoes[CÓDIGO],0),MATCH("CUSTO TOTAL",composicoes[#Headers],0))</f>
        <v>10.46</v>
      </c>
      <c r="BC106" s="4">
        <f ca="1">SUM(ECF[[#This Row],[Conc Est (m³)]],ECF[[#This Row],[Conc Bloco (m³)]])</f>
        <v>23.561944901923447</v>
      </c>
      <c r="BD106" s="4">
        <f>INDEX(composicoes[],MATCH(94966,composicoes[CÓDIGO],0),MATCH("CUSTO TOTAL",composicoes[#Headers],0))</f>
        <v>439.52</v>
      </c>
      <c r="BE106" s="38">
        <f ca="1">ECF[[#This Row],[Aço (kg)]]*ECF[[#This Row],[Aço (R$/kg)]]+ECF[[#This Row],[Conc (m³)]]*ECF[[#This Row],[Conc (R$/m³)]]</f>
        <v>11387.783280809039</v>
      </c>
      <c r="BF106" s="4" t="str">
        <f ca="1">IF(COUNTIF(ECF[#This Row],"N.S.")&gt;0,"lim.","OK")</f>
        <v>lim.</v>
      </c>
      <c r="BG106" s="4" t="str">
        <f>IF(ECF[[#This Row],[Prof. (m)]]&lt;4,"lim.","OK")</f>
        <v>lim.</v>
      </c>
      <c r="BH106" s="4" t="str">
        <f>IF(ECF[[#This Row],[Prof. (m)]]&gt;=8*ECF[[#This Row],[Ø (cm)]]/100,"OK","lim.")</f>
        <v>lim.</v>
      </c>
      <c r="BI106" s="4" t="str">
        <f>IF(AND(SPT!$F$3&lt;&gt;"",ECF[[#This Row],[Prof. (m)]]&gt;=SPT!$F$3-2),"lim.","OK")</f>
        <v>OK</v>
      </c>
      <c r="BJ106" s="4" t="str">
        <f ca="1">IF(ECF[[#This Row],[Verif. Biela]]="OK","OK","lim.")</f>
        <v>OK</v>
      </c>
      <c r="BK106" s="4" t="str">
        <f ca="1">IF(COUNTA(ECF[[#This Row],[Nº Est.]:[Biela comp.]])=COUNTIF(ECF[[#This Row],[Nº Est.]:[Biela comp.]],"OK"),"OK","lim.")</f>
        <v>lim.</v>
      </c>
      <c r="BL106" s="4" t="str">
        <f ca="1">IF(ECF[[#This Row],[Controle]]="OK",ECF[[#This Row],[nE]]&amp;" Ø"&amp;ECF[[#This Row],[Ø (cm)]]&amp;"cm Prof. "&amp;ECF[[#This Row],[Prof. (m)]]&amp;" m","")</f>
        <v/>
      </c>
      <c r="BM106" s="4" t="str">
        <f ca="1">IF(ECF[[#This Row],[idDimensionamento]]="","",ECF[[#This Row],[idPilar]]&amp;ECF[[#This Row],[idDimensionamento]])</f>
        <v/>
      </c>
    </row>
    <row r="107" spans="2:65" x14ac:dyDescent="0.25">
      <c r="B107" s="12">
        <f>ROUNDUP((ROW(ECF[[#This Row],[idDiâmetro]])-ROW(ECF[[#Headers],[idDiâmetro]]))/(COUNT(SPT[Prof. (m)])*COUNT(PILARES[Pilar])),0)</f>
        <v>4</v>
      </c>
      <c r="C107" s="12">
        <f>IF(ECF[[#This Row],[idDiâmetro]]&lt;&gt;B106,1,IF(ECF[[#This Row],[Prof. (m)]]=0,C106+1,C106))</f>
        <v>2</v>
      </c>
      <c r="D107" s="1">
        <f>IFERROR(IF(D106=MAX(SPT[Prof. (m)]),0,D106+1),0)</f>
        <v>4</v>
      </c>
      <c r="E107" s="1">
        <f>INDEX(SPT[],MATCH(ECF[[#This Row],[Prof. (m)]],SPT[Prof. (m)],0),2)</f>
        <v>8</v>
      </c>
      <c r="F107" s="1" t="str">
        <f>INDEX(SPT[],MATCH(ECF[[#This Row],[Prof. (m)]],SPT[Prof. (m)],0),3)</f>
        <v>Areia siltosa</v>
      </c>
      <c r="G107" s="1">
        <f>INDEX(estacas[],ECF[[#This Row],[idDiâmetro]],MATCH($B$2,estacas[#Headers],0))</f>
        <v>100</v>
      </c>
      <c r="H107" s="1">
        <f>INDEX(estacas[],MATCH(ECF[[#This Row],[Ø (cm)]],estacas[Ø ECF (cm)],0),MATCH(ECF[[#Headers],[Pe ECF (kN)]],estacas[#Headers],0))</f>
        <v>3100</v>
      </c>
      <c r="I107" s="4">
        <f>INDEX(K_alpha_C[],MATCH(ECF[[#This Row],[Solo]],K_alpha_C[Solo],0),2)</f>
        <v>0.8</v>
      </c>
      <c r="J107" s="5">
        <f>INDEX(K_alpha_C[],MATCH(ECF[[#This Row],[Solo]],K_alpha_C[Solo],0),3)</f>
        <v>2</v>
      </c>
      <c r="K107" s="4">
        <f>INDEX(F1_F2[],MATCH($D$2,F1_F2[Tipo de estaca],0),2)</f>
        <v>3</v>
      </c>
      <c r="L107" s="4">
        <f>INDEX(F1_F2[],MATCH($D$2,F1_F2[Tipo de estaca],0),3)</f>
        <v>6</v>
      </c>
      <c r="M107" s="4">
        <f>PI()*(ECF[[#This Row],[Ø (cm)]]/100)^2/4</f>
        <v>0.78539816339744828</v>
      </c>
      <c r="N107" s="4">
        <f>PI()*ECF[[#This Row],[Ø (cm)]]/100</f>
        <v>3.1415926535897931</v>
      </c>
      <c r="O107" s="4">
        <f>IF(ECF[[#This Row],[Prof. (m)]]=0,0,ECF[[#This Row],[α (%)]]/100*ECF[[#This Row],[K (MPa)]]*1000*ECF[[#This Row],[NSPT]])</f>
        <v>128</v>
      </c>
      <c r="P107" s="4">
        <f>IF(ECF[[#This Row],[Prof. (m)]]=0,0,(ECF[[#This Row],[K (MPa)]]*1000*ECF[[#This Row],[NSPT]]/ECF[[#This Row],[F1]]*ECF[[#This Row],[Ap (m²)]]+ECF[[#This Row],[U (m)]]/ECF[[#This Row],[F2]]*SUMIFS(ECF[(α∙K∙NL∙ΔL)],ECF[Prof. (m)],"&lt;="&amp;ECF[[#This Row],[Prof. (m)]],ECF[idDiâmetro],ECF[[#This Row],[idDiâmetro]],ECF[idPilar],ECF[[#This Row],[idPilar]]))/'DADOS CAP. CARGA'!$D$2)</f>
        <v>904.77868423386053</v>
      </c>
      <c r="Q107" s="12">
        <f>INDEX(C_alpha_beta[],MATCH(ECF[[#This Row],[Solo]],C_alpha_beta[Solo],0),MATCH(ECF[[#Headers],[C (kPa)]],C_alpha_beta[#Headers],0))</f>
        <v>400</v>
      </c>
      <c r="R107" s="4">
        <f>INDEX(C_alpha_beta[],MATCH(ECF[[#This Row],[Solo]],C_alpha_beta[Solo],0),MATCH(ECF[[#Headers],[α ESF]],C_alpha_beta[#Headers],0))</f>
        <v>0.5</v>
      </c>
      <c r="S107" s="4">
        <f>INDEX(C_alpha_beta[],MATCH(ECF[[#This Row],[Solo]],C_alpha_beta[Solo],0),MATCH(ECF[[#Headers],[β ESF]],C_alpha_beta[#Headers],0))</f>
        <v>0.5</v>
      </c>
      <c r="T107" s="4">
        <f>IF(ECF[[#This Row],[Prof. (m)]]=0,0,10*(ECF[[#This Row],[NSPT]]/3+1))</f>
        <v>36.666666666666664</v>
      </c>
      <c r="U107" s="4">
        <f>(ECF[[#This Row],[α ESF]]*ECF[[#This Row],[C (kPa)]]*ECF[[#This Row],[NSPT]]*ECF[[#This Row],[Ap (m²)]])/'DADOS CAP. CARGA'!$Q$2+(ECF[[#This Row],[β ESF]]*SUMIFS(ECF[10∙(NL/3+1)],ECF[Prof. (m)],"&lt;="&amp;ECF[[#This Row],[Prof. (m)]],ECF[idDiâmetro],ECF[[#This Row],[idDiâmetro]],ECF[idPilar],ECF[[#This Row],[idPilar]])*ECF[[#This Row],[U (m)]])/'DADOS CAP. CARGA'!$S$2</f>
        <v>387.46309394274112</v>
      </c>
      <c r="V107" s="4">
        <f>IF(SPT!$M$5=1,MIN(ECF[[#This Row],[Pe ECF (kN)]],ECF[[#This Row],[R_AV (kN)]]),IF(SPT!$M$5=2,MIN(ECF[[#This Row],[Pe ECF (kN)]],ECF[[#This Row],[R_DC (kN)]]),MIN(ECF[[#This Row],[Pe ECF (kN)]],ECF[[#This Row],[R_AV (kN)]],ECF[[#This Row],[R_DC (kN)]])))</f>
        <v>387.46309394274112</v>
      </c>
      <c r="W107" s="4">
        <f>INDEX(PILARES[],ECF[[#This Row],[idPilar]],MATCH("Carga (kN)",PILARES[#Headers],0))*1.4</f>
        <v>1750</v>
      </c>
      <c r="X107" s="12">
        <f>INDEX(PILARES[],ECF[[#This Row],[idPilar]],MATCH(ECF[[#Headers],[ap (cm)]],PILARES[#Headers],0))</f>
        <v>50</v>
      </c>
      <c r="Y107" s="12">
        <f>INDEX(PILARES[],ECF[[#This Row],[idPilar]],MATCH(ECF[[#Headers],[bp (cm)]],PILARES[#Headers],0))</f>
        <v>40</v>
      </c>
      <c r="Z107" s="4">
        <f>SQRT(ECF[[#This Row],[ap (cm)]]*ECF[[#This Row],[bp (cm)]])</f>
        <v>44.721359549995796</v>
      </c>
      <c r="AA107" s="12">
        <f>ECF[[#This Row],[ap (cm)]]*ECF[[#This Row],[bp (cm)]]</f>
        <v>2000</v>
      </c>
      <c r="AB107" s="12">
        <f ca="1">IF(ECF[[#This Row],[Padm∙ε (kN)]]&gt;=ECF[[#This Row],[Padm (kN)]],ROUNDUP(1.05*ECF[[#This Row],[Nsd (kN)]]/ECF[[#This Row],[Padm (kN)]],0),ROUNDUP(1.05*ECF[[#This Row],[Nsd (kN)]]/ECF[[#This Row],[Padm (kN)]],0)+1)</f>
        <v>5</v>
      </c>
      <c r="AC107" s="4" t="str">
        <f ca="1">IFERROR(IF(ECF[[#This Row],[nE]]=1,ECF[[#This Row],[Padm (kN)]],ECF[[#This Row],[Padm (kN)]]*ECF[[#This Row],[nE]]*INDEX(grupoEstacas[],ECF[[#This Row],[nE]],MATCH("ε",grupoEstacas[#Headers],0))),"N.S.")</f>
        <v>N.S.</v>
      </c>
      <c r="AD107" s="4">
        <f ca="1">1.05*ECF[[#This Row],[Nsd (kN)]]/(ECF[[#This Row],[nE]]*PI()*ECF[[#This Row],[Ø (cm)]]^2/4)*10</f>
        <v>0.46791553269017233</v>
      </c>
      <c r="AE107" s="4">
        <f ca="1">IF(ECF[[#This Row],[σ (MPa)]]&lt;INDEX(tipoEstaca[],MATCH($D$2,tipoEstaca[TIPO DE ESTACA],0),MATCH("σmáx (MPa)",tipoEstaca[#Headers],0)),0.4%*PI()*ECF[[#This Row],[Ø (cm)]]^2/4,"N.S.")</f>
        <v>31.415926535897935</v>
      </c>
      <c r="AF107" s="1">
        <f>INDEX(tipoEstaca[],MATCH($D$2,tipoEstaca[TIPO DE ESTACA],0),MATCH(ECF[[#Headers],[Comprimento (m)]],tipoEstaca[#Headers],0))</f>
        <v>4</v>
      </c>
      <c r="AG107" s="5">
        <f ca="1">ECF[[#This Row],[As,mín (cm²)]]/100^2*ECF[[#This Row],[Comprimento (m)]]*7850</f>
        <v>98.646009322719507</v>
      </c>
      <c r="AH107" s="4">
        <f ca="1">ECF[[#This Row],[nE]]*ECF[[#This Row],[Prof. (m)]]*ECF[[#This Row],[Ap (m²)]]</f>
        <v>15.707963267948966</v>
      </c>
      <c r="AI107" s="1">
        <f ca="1">IF(ECF[[#This Row],[nE]]=1,0,MAX(3*ECF[[#This Row],[Ø (cm)]],60))</f>
        <v>300</v>
      </c>
      <c r="AJ107" s="1">
        <f ca="1">IF(ECF[[#This Row],[nE]]=1,ECF[[#This Row],[Ø (cm)]]+2*10,MAX(1.5*ECF[[#This Row],[Ø (cm)]],ECF[[#This Row],[Ø (cm)]]+15))</f>
        <v>150</v>
      </c>
      <c r="AK107" s="1" t="str">
        <f ca="1">alturaUtil(ECF[[#This Row],[nE]],ECF[[#This Row],[Ø (cm)]],ECF[[#This Row],[e (cm)]],ECF[[#This Row],[ap,eq (cm)]])</f>
        <v>N.S.</v>
      </c>
      <c r="AL107" s="1" t="str">
        <f ca="1">IFERROR(ECF[[#This Row],[d (cm)]]+arredondarParaCimaMultiplo5cm(MAX(5,SQRT(PI())/2*ECF[[#This Row],[Ø (cm)]]/5)),"N.S.")</f>
        <v>N.S.</v>
      </c>
      <c r="AM107" s="5" t="str">
        <f ca="1">alpha(ECF[[#This Row],[nE]],ECF[[#This Row],[d (cm)]],ECF[[#This Row],[e (cm)]],ECF[[#This Row],[ap,eq (cm)]])</f>
        <v>N.S.</v>
      </c>
      <c r="AN107" s="35" t="str">
        <f ca="1">IFERROR(ECF[[#This Row],[Nsd (kN)]]/(ECF[[#This Row],[Ap (cm²)]]*SIN(ECF[[#This Row],[α]])^2),"N.S.")</f>
        <v>N.S.</v>
      </c>
      <c r="AO107" s="35" t="str">
        <f ca="1">IFERROR(ECF[[#This Row],[Nsd (kN)]]/(ECF[[#This Row],[nE]]*PI()*ECF[[#This Row],[Ø (cm)]]^2/4*SIN(ECF[[#This Row],[α]])^2),"N.S.")</f>
        <v>N.S.</v>
      </c>
      <c r="AP107" s="4" t="str">
        <f ca="1">IFERROR(INDEX(grupoEstacas[],ECF[[#This Row],[nE]],MATCH("coef. Blévot",grupoEstacas[#Headers],0)),"N.S.")</f>
        <v>N.S.</v>
      </c>
      <c r="AQ107" s="35" t="str">
        <f ca="1">IFERROR(ECF[[#This Row],[coef. Blévot]]*0.9*INDEX(tipoEstaca[],MATCH($D$2,tipoEstaca[TIPO DE ESTACA],0),MATCH("fcd (kN/cm²)",tipoEstaca[#Headers],0)),"N.S.")</f>
        <v>N.S.</v>
      </c>
      <c r="AR107" s="1" t="str">
        <f ca="1">IF(AND(ECF[[#This Row],[cd,b,pil (kN/cm²)]]&lt;=ECF[[#This Row],[cd,b,lim (kN/cm²)]],ECF[[#This Row],[cd,b,est (kN/cm²)]]&lt;=ECF[[#This Row],[cd,b,lim (kN/cm²)]]),"OK","ERRO")</f>
        <v>OK</v>
      </c>
      <c r="AS107" s="4" t="str">
        <f ca="1">As_lado(ECF[[#This Row],[nE]],ECF[[#This Row],[Nsd (kN)]],ECF[[#This Row],[d (cm)]],ECF[[#This Row],[e (cm)]],ECF[[#This Row],[ap,eq (cm)]])</f>
        <v>N.S.</v>
      </c>
      <c r="AT107" s="4" t="str">
        <f ca="1">IF(ECF[[#This Row],[nE]]=1,ECF[[#This Row],[As,lado (cm²)]],IF(ECF[[#This Row],[nE]]=2,0.075*2*ECF[a (cm)],"N.A."))</f>
        <v>N.A.</v>
      </c>
      <c r="AU107" s="4" t="str">
        <f ca="1">IFERROR(IF(ECF[[#This Row],[nE]]=1,"N.A.",0.2*ECF[[#This Row],[As,lado (cm²)]]),"N.S.")</f>
        <v>N.S.</v>
      </c>
      <c r="AV107" s="4" t="str">
        <f ca="1">As_malha(ECF[[#This Row],[nE]],ECF[[#This Row],[As,lado (cm²)]],ECF[[#This Row],[Nsd (kN)]])</f>
        <v>N.S.</v>
      </c>
      <c r="AW107" s="4" t="str">
        <f ca="1">As_susp_tot(ECF[[#This Row],[nE]],ECF[[#This Row],[Nsd (kN)]])</f>
        <v>N.S.</v>
      </c>
      <c r="AX107" s="4" t="str">
        <f ca="1">Asp_face(ECF[[#This Row],[nE]],ECF[[#This Row],[As,lado (cm²)]])</f>
        <v>N.S.</v>
      </c>
      <c r="AY107" s="5" t="str">
        <f ca="1">acoBloco(ECF[[#This Row],[nE]],ECF[[#This Row],[e (cm)]],ECF[[#This Row],[a (cm)]],ECF[[#This Row],[h (cm)]],ECF[[#This Row],[As,lado (cm²)]],ECF[[#This Row],[Asp e Asw (cm²/m)]],ECF[[#This Row],[As,sup (cm²)]],ECF[[#This Row],[As,malha (cm²)]],ECF[[#This Row],[As,susp,tot (cm²)]],ECF[[#This Row],[Asp,face (cm²)]])</f>
        <v>N.S.</v>
      </c>
      <c r="AZ107" s="4" t="str">
        <f ca="1">concretoBloco(ECF[[#This Row],[nE]],ECF[[#This Row],[e (cm)]],ECF[[#This Row],[a (cm)]],ECF[[#This Row],[h (cm)]])</f>
        <v>N.S.</v>
      </c>
      <c r="BA107" s="5">
        <f ca="1">SUM(ECF[[#This Row],[Aço Est (kg)]],ECF[[#This Row],[Aço Bloco (kg)]])</f>
        <v>98.646009322719507</v>
      </c>
      <c r="BB107" s="4">
        <f>INDEX(composicoes[],MATCH(95580,composicoes[CÓDIGO],0),MATCH("CUSTO TOTAL",composicoes[#Headers],0))</f>
        <v>10.46</v>
      </c>
      <c r="BC107" s="4">
        <f ca="1">SUM(ECF[[#This Row],[Conc Est (m³)]],ECF[[#This Row],[Conc Bloco (m³)]])</f>
        <v>15.707963267948966</v>
      </c>
      <c r="BD107" s="4">
        <f>INDEX(composicoes[],MATCH(94966,composicoes[CÓDIGO],0),MATCH("CUSTO TOTAL",composicoes[#Headers],0))</f>
        <v>439.52</v>
      </c>
      <c r="BE107" s="38">
        <f ca="1">ECF[[#This Row],[Aço (kg)]]*ECF[[#This Row],[Aço (R$/kg)]]+ECF[[#This Row],[Conc (m³)]]*ECF[[#This Row],[Conc (R$/m³)]]</f>
        <v>7935.8012730445753</v>
      </c>
      <c r="BF107" s="4" t="str">
        <f ca="1">IF(COUNTIF(ECF[#This Row],"N.S.")&gt;0,"lim.","OK")</f>
        <v>lim.</v>
      </c>
      <c r="BG107" s="4" t="str">
        <f>IF(ECF[[#This Row],[Prof. (m)]]&lt;4,"lim.","OK")</f>
        <v>OK</v>
      </c>
      <c r="BH107" s="4" t="str">
        <f>IF(ECF[[#This Row],[Prof. (m)]]&gt;=8*ECF[[#This Row],[Ø (cm)]]/100,"OK","lim.")</f>
        <v>lim.</v>
      </c>
      <c r="BI107" s="4" t="str">
        <f>IF(AND(SPT!$F$3&lt;&gt;"",ECF[[#This Row],[Prof. (m)]]&gt;=SPT!$F$3-2),"lim.","OK")</f>
        <v>OK</v>
      </c>
      <c r="BJ107" s="4" t="str">
        <f ca="1">IF(ECF[[#This Row],[Verif. Biela]]="OK","OK","lim.")</f>
        <v>OK</v>
      </c>
      <c r="BK107" s="4" t="str">
        <f ca="1">IF(COUNTA(ECF[[#This Row],[Nº Est.]:[Biela comp.]])=COUNTIF(ECF[[#This Row],[Nº Est.]:[Biela comp.]],"OK"),"OK","lim.")</f>
        <v>lim.</v>
      </c>
      <c r="BL107" s="4" t="str">
        <f ca="1">IF(ECF[[#This Row],[Controle]]="OK",ECF[[#This Row],[nE]]&amp;" Ø"&amp;ECF[[#This Row],[Ø (cm)]]&amp;"cm Prof. "&amp;ECF[[#This Row],[Prof. (m)]]&amp;" m","")</f>
        <v/>
      </c>
      <c r="BM107" s="4" t="str">
        <f ca="1">IF(ECF[[#This Row],[idDimensionamento]]="","",ECF[[#This Row],[idPilar]]&amp;ECF[[#This Row],[idDimensionamento]])</f>
        <v/>
      </c>
    </row>
    <row r="108" spans="2:65" x14ac:dyDescent="0.25">
      <c r="B108" s="12">
        <f>ROUNDUP((ROW(ECF[[#This Row],[idDiâmetro]])-ROW(ECF[[#Headers],[idDiâmetro]]))/(COUNT(SPT[Prof. (m)])*COUNT(PILARES[Pilar])),0)</f>
        <v>4</v>
      </c>
      <c r="C108" s="12">
        <f>IF(ECF[[#This Row],[idDiâmetro]]&lt;&gt;B107,1,IF(ECF[[#This Row],[Prof. (m)]]=0,C107+1,C107))</f>
        <v>2</v>
      </c>
      <c r="D108" s="1">
        <f>IFERROR(IF(D107=MAX(SPT[Prof. (m)]),0,D107+1),0)</f>
        <v>5</v>
      </c>
      <c r="E108" s="1">
        <f>INDEX(SPT[],MATCH(ECF[[#This Row],[Prof. (m)]],SPT[Prof. (m)],0),2)</f>
        <v>17</v>
      </c>
      <c r="F108" s="1" t="str">
        <f>INDEX(SPT[],MATCH(ECF[[#This Row],[Prof. (m)]],SPT[Prof. (m)],0),3)</f>
        <v>Areia siltosa</v>
      </c>
      <c r="G108" s="1">
        <f>INDEX(estacas[],ECF[[#This Row],[idDiâmetro]],MATCH($B$2,estacas[#Headers],0))</f>
        <v>100</v>
      </c>
      <c r="H108" s="1">
        <f>INDEX(estacas[],MATCH(ECF[[#This Row],[Ø (cm)]],estacas[Ø ECF (cm)],0),MATCH(ECF[[#Headers],[Pe ECF (kN)]],estacas[#Headers],0))</f>
        <v>3100</v>
      </c>
      <c r="I108" s="4">
        <f>INDEX(K_alpha_C[],MATCH(ECF[[#This Row],[Solo]],K_alpha_C[Solo],0),2)</f>
        <v>0.8</v>
      </c>
      <c r="J108" s="5">
        <f>INDEX(K_alpha_C[],MATCH(ECF[[#This Row],[Solo]],K_alpha_C[Solo],0),3)</f>
        <v>2</v>
      </c>
      <c r="K108" s="4">
        <f>INDEX(F1_F2[],MATCH($D$2,F1_F2[Tipo de estaca],0),2)</f>
        <v>3</v>
      </c>
      <c r="L108" s="4">
        <f>INDEX(F1_F2[],MATCH($D$2,F1_F2[Tipo de estaca],0),3)</f>
        <v>6</v>
      </c>
      <c r="M108" s="4">
        <f>PI()*(ECF[[#This Row],[Ø (cm)]]/100)^2/4</f>
        <v>0.78539816339744828</v>
      </c>
      <c r="N108" s="4">
        <f>PI()*ECF[[#This Row],[Ø (cm)]]/100</f>
        <v>3.1415926535897931</v>
      </c>
      <c r="O108" s="4">
        <f>IF(ECF[[#This Row],[Prof. (m)]]=0,0,ECF[[#This Row],[α (%)]]/100*ECF[[#This Row],[K (MPa)]]*1000*ECF[[#This Row],[NSPT]])</f>
        <v>272</v>
      </c>
      <c r="P108" s="4">
        <f>IF(ECF[[#This Row],[Prof. (m)]]=0,0,(ECF[[#This Row],[K (MPa)]]*1000*ECF[[#This Row],[NSPT]]/ECF[[#This Row],[F1]]*ECF[[#This Row],[Ap (m²)]]+ECF[[#This Row],[U (m)]]/ECF[[#This Row],[F2]]*SUMIFS(ECF[(α∙K∙NL∙ΔL)],ECF[Prof. (m)],"&lt;="&amp;ECF[[#This Row],[Prof. (m)]],ECF[idDiâmetro],ECF[[#This Row],[idDiâmetro]],ECF[idPilar],ECF[[#This Row],[idPilar]]))/'DADOS CAP. CARGA'!$D$2)</f>
        <v>1918.4659137921669</v>
      </c>
      <c r="Q108" s="12">
        <f>INDEX(C_alpha_beta[],MATCH(ECF[[#This Row],[Solo]],C_alpha_beta[Solo],0),MATCH(ECF[[#Headers],[C (kPa)]],C_alpha_beta[#Headers],0))</f>
        <v>400</v>
      </c>
      <c r="R108" s="4">
        <f>INDEX(C_alpha_beta[],MATCH(ECF[[#This Row],[Solo]],C_alpha_beta[Solo],0),MATCH(ECF[[#Headers],[α ESF]],C_alpha_beta[#Headers],0))</f>
        <v>0.5</v>
      </c>
      <c r="S108" s="4">
        <f>INDEX(C_alpha_beta[],MATCH(ECF[[#This Row],[Solo]],C_alpha_beta[Solo],0),MATCH(ECF[[#Headers],[β ESF]],C_alpha_beta[#Headers],0))</f>
        <v>0.5</v>
      </c>
      <c r="T108" s="4">
        <f>IF(ECF[[#This Row],[Prof. (m)]]=0,0,10*(ECF[[#This Row],[NSPT]]/3+1))</f>
        <v>66.666666666666671</v>
      </c>
      <c r="U108" s="4">
        <f>(ECF[[#This Row],[α ESF]]*ECF[[#This Row],[C (kPa)]]*ECF[[#This Row],[NSPT]]*ECF[[#This Row],[Ap (m²)]])/'DADOS CAP. CARGA'!$Q$2+(ECF[[#This Row],[β ESF]]*SUMIFS(ECF[10∙(NL/3+1)],ECF[Prof. (m)],"&lt;="&amp;ECF[[#This Row],[Prof. (m)]],ECF[idDiâmetro],ECF[[#This Row],[idDiâmetro]],ECF[idPilar],ECF[[#This Row],[idPilar]])*ECF[[#This Row],[U (m)]])/'DADOS CAP. CARGA'!$S$2</f>
        <v>793.25214503142274</v>
      </c>
      <c r="V108" s="4">
        <f>IF(SPT!$M$5=1,MIN(ECF[[#This Row],[Pe ECF (kN)]],ECF[[#This Row],[R_AV (kN)]]),IF(SPT!$M$5=2,MIN(ECF[[#This Row],[Pe ECF (kN)]],ECF[[#This Row],[R_DC (kN)]]),MIN(ECF[[#This Row],[Pe ECF (kN)]],ECF[[#This Row],[R_AV (kN)]],ECF[[#This Row],[R_DC (kN)]])))</f>
        <v>793.25214503142274</v>
      </c>
      <c r="W108" s="4">
        <f>INDEX(PILARES[],ECF[[#This Row],[idPilar]],MATCH("Carga (kN)",PILARES[#Headers],0))*1.4</f>
        <v>1750</v>
      </c>
      <c r="X108" s="12">
        <f>INDEX(PILARES[],ECF[[#This Row],[idPilar]],MATCH(ECF[[#Headers],[ap (cm)]],PILARES[#Headers],0))</f>
        <v>50</v>
      </c>
      <c r="Y108" s="12">
        <f>INDEX(PILARES[],ECF[[#This Row],[idPilar]],MATCH(ECF[[#Headers],[bp (cm)]],PILARES[#Headers],0))</f>
        <v>40</v>
      </c>
      <c r="Z108" s="4">
        <f>SQRT(ECF[[#This Row],[ap (cm)]]*ECF[[#This Row],[bp (cm)]])</f>
        <v>44.721359549995796</v>
      </c>
      <c r="AA108" s="12">
        <f>ECF[[#This Row],[ap (cm)]]*ECF[[#This Row],[bp (cm)]]</f>
        <v>2000</v>
      </c>
      <c r="AB108" s="12">
        <f ca="1">IF(ECF[[#This Row],[Padm∙ε (kN)]]&gt;=ECF[[#This Row],[Padm (kN)]],ROUNDUP(1.05*ECF[[#This Row],[Nsd (kN)]]/ECF[[#This Row],[Padm (kN)]],0),ROUNDUP(1.05*ECF[[#This Row],[Nsd (kN)]]/ECF[[#This Row],[Padm (kN)]],0)+1)</f>
        <v>3</v>
      </c>
      <c r="AC108" s="4">
        <f ca="1">IFERROR(IF(ECF[[#This Row],[nE]]=1,ECF[[#This Row],[Padm (kN)]],ECF[[#This Row],[Padm (kN)]]*ECF[[#This Row],[nE]]*INDEX(grupoEstacas[],ECF[[#This Row],[nE]],MATCH("ε",grupoEstacas[#Headers],0))),"N.S.")</f>
        <v>2082.2868807074847</v>
      </c>
      <c r="AD108" s="4">
        <f ca="1">1.05*ECF[[#This Row],[Nsd (kN)]]/(ECF[[#This Row],[nE]]*PI()*ECF[[#This Row],[Ø (cm)]]^2/4)*10</f>
        <v>0.77985922115028727</v>
      </c>
      <c r="AE108" s="4">
        <f ca="1">IF(ECF[[#This Row],[σ (MPa)]]&lt;INDEX(tipoEstaca[],MATCH($D$2,tipoEstaca[TIPO DE ESTACA],0),MATCH("σmáx (MPa)",tipoEstaca[#Headers],0)),0.4%*PI()*ECF[[#This Row],[Ø (cm)]]^2/4,"N.S.")</f>
        <v>31.415926535897935</v>
      </c>
      <c r="AF108" s="1">
        <f>INDEX(tipoEstaca[],MATCH($D$2,tipoEstaca[TIPO DE ESTACA],0),MATCH(ECF[[#Headers],[Comprimento (m)]],tipoEstaca[#Headers],0))</f>
        <v>4</v>
      </c>
      <c r="AG108" s="5">
        <f ca="1">ECF[[#This Row],[As,mín (cm²)]]/100^2*ECF[[#This Row],[Comprimento (m)]]*7850</f>
        <v>98.646009322719507</v>
      </c>
      <c r="AH108" s="4">
        <f ca="1">ECF[[#This Row],[nE]]*ECF[[#This Row],[Prof. (m)]]*ECF[[#This Row],[Ap (m²)]]</f>
        <v>11.780972450961723</v>
      </c>
      <c r="AI108" s="1">
        <f ca="1">IF(ECF[[#This Row],[nE]]=1,0,MAX(3*ECF[[#This Row],[Ø (cm)]],60))</f>
        <v>300</v>
      </c>
      <c r="AJ108" s="1">
        <f ca="1">IF(ECF[[#This Row],[nE]]=1,ECF[[#This Row],[Ø (cm)]]+2*10,MAX(1.5*ECF[[#This Row],[Ø (cm)]],ECF[[#This Row],[Ø (cm)]]+15))</f>
        <v>150</v>
      </c>
      <c r="AK108" s="1">
        <f ca="1">alturaUtil(ECF[[#This Row],[nE]],ECF[[#This Row],[Ø (cm)]],ECF[[#This Row],[e (cm)]],ECF[[#This Row],[ap,eq (cm)]])</f>
        <v>140</v>
      </c>
      <c r="AL108" s="1">
        <f ca="1">IFERROR(ECF[[#This Row],[d (cm)]]+arredondarParaCimaMultiplo5cm(MAX(5,SQRT(PI())/2*ECF[[#This Row],[Ø (cm)]]/5)),"N.S.")</f>
        <v>160</v>
      </c>
      <c r="AM108" s="5">
        <f ca="1">alpha(ECF[[#This Row],[nE]],ECF[[#This Row],[d (cm)]],ECF[[#This Row],[e (cm)]],ECF[[#This Row],[ap,eq (cm)]])</f>
        <v>45.70769128343273</v>
      </c>
      <c r="AN108" s="35">
        <f ca="1">IFERROR(ECF[[#This Row],[Nsd (kN)]]/(ECF[[#This Row],[Ap (cm²)]]*SIN(ECF[[#This Row],[α]])^2),"N.S.")</f>
        <v>0.89625071064735617</v>
      </c>
      <c r="AO108" s="35">
        <f ca="1">IFERROR(ECF[[#This Row],[Nsd (kN)]]/(ECF[[#This Row],[nE]]*PI()*ECF[[#This Row],[Ø (cm)]]^2/4*SIN(ECF[[#This Row],[α]])^2),"N.S.")</f>
        <v>7.6076123119547062E-2</v>
      </c>
      <c r="AP108" s="4">
        <f ca="1">IFERROR(INDEX(grupoEstacas[],ECF[[#This Row],[nE]],MATCH("coef. Blévot",grupoEstacas[#Headers],0)),"N.S.")</f>
        <v>1.75</v>
      </c>
      <c r="AQ108" s="35">
        <f ca="1">IFERROR(ECF[[#This Row],[coef. Blévot]]*0.9*INDEX(tipoEstaca[],MATCH($D$2,tipoEstaca[TIPO DE ESTACA],0),MATCH("fcd (kN/cm²)",tipoEstaca[#Headers],0)),"N.S.")</f>
        <v>1.75</v>
      </c>
      <c r="AR108" s="1" t="str">
        <f ca="1">IF(AND(ECF[[#This Row],[cd,b,pil (kN/cm²)]]&lt;=ECF[[#This Row],[cd,b,lim (kN/cm²)]],ECF[[#This Row],[cd,b,est (kN/cm²)]]&lt;=ECF[[#This Row],[cd,b,lim (kN/cm²)]]),"OK","ERRO")</f>
        <v>OK</v>
      </c>
      <c r="AS108" s="4">
        <f ca="1">As_lado(ECF[[#This Row],[nE]],ECF[[#This Row],[Nsd (kN)]],ECF[[#This Row],[d (cm)]],ECF[[#This Row],[e (cm)]],ECF[[#This Row],[ap,eq (cm)]])</f>
        <v>8.841011525310245</v>
      </c>
      <c r="AT108" s="4" t="str">
        <f ca="1">IF(ECF[[#This Row],[nE]]=1,ECF[[#This Row],[As,lado (cm²)]],IF(ECF[[#This Row],[nE]]=2,0.075*2*ECF[a (cm)],"N.A."))</f>
        <v>N.A.</v>
      </c>
      <c r="AU108" s="4">
        <f ca="1">IFERROR(IF(ECF[[#This Row],[nE]]=1,"N.A.",0.2*ECF[[#This Row],[As,lado (cm²)]]),"N.S.")</f>
        <v>1.768202305062049</v>
      </c>
      <c r="AV108" s="4">
        <f ca="1">As_malha(ECF[[#This Row],[nE]],ECF[[#This Row],[As,lado (cm²)]],ECF[[#This Row],[Nsd (kN)]])</f>
        <v>2.981481481481481</v>
      </c>
      <c r="AW108" s="4">
        <f ca="1">As_susp_tot(ECF[[#This Row],[nE]],ECF[[#This Row],[Nsd (kN)]])</f>
        <v>8.9444444444444429</v>
      </c>
      <c r="AX108" s="4">
        <f ca="1">Asp_face(ECF[[#This Row],[nE]],ECF[[#This Row],[As,lado (cm²)]])</f>
        <v>3.3153793219913421</v>
      </c>
      <c r="AY108" s="5">
        <f ca="1">acoBloco(ECF[[#This Row],[nE]],ECF[[#This Row],[e (cm)]],ECF[[#This Row],[a (cm)]],ECF[[#This Row],[h (cm)]],ECF[[#This Row],[As,lado (cm²)]],ECF[[#This Row],[Asp e Asw (cm²/m)]],ECF[[#This Row],[As,sup (cm²)]],ECF[[#This Row],[As,malha (cm²)]],ECF[[#This Row],[As,susp,tot (cm²)]],ECF[[#This Row],[Asp,face (cm²)]])</f>
        <v>262.66620819411736</v>
      </c>
      <c r="AZ108" s="4">
        <f ca="1">concretoBloco(ECF[[#This Row],[nE]],ECF[[#This Row],[e (cm)]],ECF[[#This Row],[a (cm)]],ECF[[#This Row],[h (cm)]])</f>
        <v>40.306148721743874</v>
      </c>
      <c r="BA108" s="5">
        <f ca="1">SUM(ECF[[#This Row],[Aço Est (kg)]],ECF[[#This Row],[Aço Bloco (kg)]])</f>
        <v>361.31221751683688</v>
      </c>
      <c r="BB108" s="4">
        <f>INDEX(composicoes[],MATCH(95580,composicoes[CÓDIGO],0),MATCH("CUSTO TOTAL",composicoes[#Headers],0))</f>
        <v>10.46</v>
      </c>
      <c r="BC108" s="4">
        <f ca="1">SUM(ECF[[#This Row],[Conc Est (m³)]],ECF[[#This Row],[Conc Bloco (m³)]])</f>
        <v>52.087121172705594</v>
      </c>
      <c r="BD108" s="4">
        <f>INDEX(composicoes[],MATCH(94966,composicoes[CÓDIGO],0),MATCH("CUSTO TOTAL",composicoes[#Headers],0))</f>
        <v>439.52</v>
      </c>
      <c r="BE108" s="38">
        <f ca="1">ECF[[#This Row],[Aço (kg)]]*ECF[[#This Row],[Aço (R$/kg)]]+ECF[[#This Row],[Conc (m³)]]*ECF[[#This Row],[Conc (R$/m³)]]</f>
        <v>26672.657293053679</v>
      </c>
      <c r="BF108" s="4" t="str">
        <f ca="1">IF(COUNTIF(ECF[#This Row],"N.S.")&gt;0,"lim.","OK")</f>
        <v>OK</v>
      </c>
      <c r="BG108" s="4" t="str">
        <f>IF(ECF[[#This Row],[Prof. (m)]]&lt;4,"lim.","OK")</f>
        <v>OK</v>
      </c>
      <c r="BH108" s="4" t="str">
        <f>IF(ECF[[#This Row],[Prof. (m)]]&gt;=8*ECF[[#This Row],[Ø (cm)]]/100,"OK","lim.")</f>
        <v>lim.</v>
      </c>
      <c r="BI108" s="4" t="str">
        <f>IF(AND(SPT!$F$3&lt;&gt;"",ECF[[#This Row],[Prof. (m)]]&gt;=SPT!$F$3-2),"lim.","OK")</f>
        <v>OK</v>
      </c>
      <c r="BJ108" s="4" t="str">
        <f ca="1">IF(ECF[[#This Row],[Verif. Biela]]="OK","OK","lim.")</f>
        <v>OK</v>
      </c>
      <c r="BK108" s="4" t="str">
        <f ca="1">IF(COUNTA(ECF[[#This Row],[Nº Est.]:[Biela comp.]])=COUNTIF(ECF[[#This Row],[Nº Est.]:[Biela comp.]],"OK"),"OK","lim.")</f>
        <v>lim.</v>
      </c>
      <c r="BL108" s="4" t="str">
        <f ca="1">IF(ECF[[#This Row],[Controle]]="OK",ECF[[#This Row],[nE]]&amp;" Ø"&amp;ECF[[#This Row],[Ø (cm)]]&amp;"cm Prof. "&amp;ECF[[#This Row],[Prof. (m)]]&amp;" m","")</f>
        <v/>
      </c>
      <c r="BM108" s="4" t="str">
        <f ca="1">IF(ECF[[#This Row],[idDimensionamento]]="","",ECF[[#This Row],[idPilar]]&amp;ECF[[#This Row],[idDimensionamento]])</f>
        <v/>
      </c>
    </row>
    <row r="109" spans="2:65" x14ac:dyDescent="0.25">
      <c r="B109" s="12">
        <f>ROUNDUP((ROW(ECF[[#This Row],[idDiâmetro]])-ROW(ECF[[#Headers],[idDiâmetro]]))/(COUNT(SPT[Prof. (m)])*COUNT(PILARES[Pilar])),0)</f>
        <v>4</v>
      </c>
      <c r="C109" s="12">
        <f>IF(ECF[[#This Row],[idDiâmetro]]&lt;&gt;B108,1,IF(ECF[[#This Row],[Prof. (m)]]=0,C108+1,C108))</f>
        <v>2</v>
      </c>
      <c r="D109" s="1">
        <f>IFERROR(IF(D108=MAX(SPT[Prof. (m)]),0,D108+1),0)</f>
        <v>6</v>
      </c>
      <c r="E109" s="1">
        <f>INDEX(SPT[],MATCH(ECF[[#This Row],[Prof. (m)]],SPT[Prof. (m)],0),2)</f>
        <v>21</v>
      </c>
      <c r="F109" s="1" t="str">
        <f>INDEX(SPT[],MATCH(ECF[[#This Row],[Prof. (m)]],SPT[Prof. (m)],0),3)</f>
        <v>Silte arenoso</v>
      </c>
      <c r="G109" s="1">
        <f>INDEX(estacas[],ECF[[#This Row],[idDiâmetro]],MATCH($B$2,estacas[#Headers],0))</f>
        <v>100</v>
      </c>
      <c r="H109" s="1">
        <f>INDEX(estacas[],MATCH(ECF[[#This Row],[Ø (cm)]],estacas[Ø ECF (cm)],0),MATCH(ECF[[#Headers],[Pe ECF (kN)]],estacas[#Headers],0))</f>
        <v>3100</v>
      </c>
      <c r="I109" s="4">
        <f>INDEX(K_alpha_C[],MATCH(ECF[[#This Row],[Solo]],K_alpha_C[Solo],0),2)</f>
        <v>0.55000000000000004</v>
      </c>
      <c r="J109" s="5">
        <f>INDEX(K_alpha_C[],MATCH(ECF[[#This Row],[Solo]],K_alpha_C[Solo],0),3)</f>
        <v>2.2000000000000002</v>
      </c>
      <c r="K109" s="4">
        <f>INDEX(F1_F2[],MATCH($D$2,F1_F2[Tipo de estaca],0),2)</f>
        <v>3</v>
      </c>
      <c r="L109" s="4">
        <f>INDEX(F1_F2[],MATCH($D$2,F1_F2[Tipo de estaca],0),3)</f>
        <v>6</v>
      </c>
      <c r="M109" s="4">
        <f>PI()*(ECF[[#This Row],[Ø (cm)]]/100)^2/4</f>
        <v>0.78539816339744828</v>
      </c>
      <c r="N109" s="4">
        <f>PI()*ECF[[#This Row],[Ø (cm)]]/100</f>
        <v>3.1415926535897931</v>
      </c>
      <c r="O109" s="4">
        <f>IF(ECF[[#This Row],[Prof. (m)]]=0,0,ECF[[#This Row],[α (%)]]/100*ECF[[#This Row],[K (MPa)]]*1000*ECF[[#This Row],[NSPT]])</f>
        <v>254.10000000000002</v>
      </c>
      <c r="P109" s="4">
        <f>IF(ECF[[#This Row],[Prof. (m)]]=0,0,(ECF[[#This Row],[K (MPa)]]*1000*ECF[[#This Row],[NSPT]]/ECF[[#This Row],[F1]]*ECF[[#This Row],[Ap (m²)]]+ECF[[#This Row],[U (m)]]/ECF[[#This Row],[F2]]*SUMIFS(ECF[(α∙K∙NL∙ΔL)],ECF[Prof. (m)],"&lt;="&amp;ECF[[#This Row],[Prof. (m)]],ECF[idDiâmetro],ECF[[#This Row],[idDiâmetro]],ECF[idPilar],ECF[[#This Row],[idPilar]]))/'DADOS CAP. CARGA'!$D$2)</f>
        <v>1716.6447657378028</v>
      </c>
      <c r="Q109" s="12">
        <f>INDEX(C_alpha_beta[],MATCH(ECF[[#This Row],[Solo]],C_alpha_beta[Solo],0),MATCH(ECF[[#Headers],[C (kPa)]],C_alpha_beta[#Headers],0))</f>
        <v>250</v>
      </c>
      <c r="R109" s="4">
        <f>INDEX(C_alpha_beta[],MATCH(ECF[[#This Row],[Solo]],C_alpha_beta[Solo],0),MATCH(ECF[[#Headers],[α ESF]],C_alpha_beta[#Headers],0))</f>
        <v>0.6</v>
      </c>
      <c r="S109" s="4">
        <f>INDEX(C_alpha_beta[],MATCH(ECF[[#This Row],[Solo]],C_alpha_beta[Solo],0),MATCH(ECF[[#Headers],[β ESF]],C_alpha_beta[#Headers],0))</f>
        <v>0.65</v>
      </c>
      <c r="T109" s="4">
        <f>IF(ECF[[#This Row],[Prof. (m)]]=0,0,10*(ECF[[#This Row],[NSPT]]/3+1))</f>
        <v>80</v>
      </c>
      <c r="U109" s="4">
        <f>(ECF[[#This Row],[α ESF]]*ECF[[#This Row],[C (kPa)]]*ECF[[#This Row],[NSPT]]*ECF[[#This Row],[Ap (m²)]])/'DADOS CAP. CARGA'!$Q$2+(ECF[[#This Row],[β ESF]]*SUMIFS(ECF[10∙(NL/3+1)],ECF[Prof. (m)],"&lt;="&amp;ECF[[#This Row],[Prof. (m)]],ECF[idDiâmetro],ECF[[#This Row],[idDiâmetro]],ECF[idPilar],ECF[[#This Row],[idPilar]])*ECF[[#This Row],[U (m)]])/'DADOS CAP. CARGA'!$S$2</f>
        <v>863.54528065549437</v>
      </c>
      <c r="V109" s="4">
        <f>IF(SPT!$M$5=1,MIN(ECF[[#This Row],[Pe ECF (kN)]],ECF[[#This Row],[R_AV (kN)]]),IF(SPT!$M$5=2,MIN(ECF[[#This Row],[Pe ECF (kN)]],ECF[[#This Row],[R_DC (kN)]]),MIN(ECF[[#This Row],[Pe ECF (kN)]],ECF[[#This Row],[R_AV (kN)]],ECF[[#This Row],[R_DC (kN)]])))</f>
        <v>863.54528065549437</v>
      </c>
      <c r="W109" s="4">
        <f>INDEX(PILARES[],ECF[[#This Row],[idPilar]],MATCH("Carga (kN)",PILARES[#Headers],0))*1.4</f>
        <v>1750</v>
      </c>
      <c r="X109" s="12">
        <f>INDEX(PILARES[],ECF[[#This Row],[idPilar]],MATCH(ECF[[#Headers],[ap (cm)]],PILARES[#Headers],0))</f>
        <v>50</v>
      </c>
      <c r="Y109" s="12">
        <f>INDEX(PILARES[],ECF[[#This Row],[idPilar]],MATCH(ECF[[#Headers],[bp (cm)]],PILARES[#Headers],0))</f>
        <v>40</v>
      </c>
      <c r="Z109" s="4">
        <f>SQRT(ECF[[#This Row],[ap (cm)]]*ECF[[#This Row],[bp (cm)]])</f>
        <v>44.721359549995796</v>
      </c>
      <c r="AA109" s="12">
        <f>ECF[[#This Row],[ap (cm)]]*ECF[[#This Row],[bp (cm)]]</f>
        <v>2000</v>
      </c>
      <c r="AB109" s="12">
        <f ca="1">IF(ECF[[#This Row],[Padm∙ε (kN)]]&gt;=ECF[[#This Row],[Padm (kN)]],ROUNDUP(1.05*ECF[[#This Row],[Nsd (kN)]]/ECF[[#This Row],[Padm (kN)]],0),ROUNDUP(1.05*ECF[[#This Row],[Nsd (kN)]]/ECF[[#This Row],[Padm (kN)]],0)+1)</f>
        <v>3</v>
      </c>
      <c r="AC109" s="4">
        <f ca="1">IFERROR(IF(ECF[[#This Row],[nE]]=1,ECF[[#This Row],[Padm (kN)]],ECF[[#This Row],[Padm (kN)]]*ECF[[#This Row],[nE]]*INDEX(grupoEstacas[],ECF[[#This Row],[nE]],MATCH("ε",grupoEstacas[#Headers],0))),"N.S.")</f>
        <v>2266.8063617206726</v>
      </c>
      <c r="AD109" s="4">
        <f ca="1">1.05*ECF[[#This Row],[Nsd (kN)]]/(ECF[[#This Row],[nE]]*PI()*ECF[[#This Row],[Ø (cm)]]^2/4)*10</f>
        <v>0.77985922115028727</v>
      </c>
      <c r="AE109" s="4">
        <f ca="1">IF(ECF[[#This Row],[σ (MPa)]]&lt;INDEX(tipoEstaca[],MATCH($D$2,tipoEstaca[TIPO DE ESTACA],0),MATCH("σmáx (MPa)",tipoEstaca[#Headers],0)),0.4%*PI()*ECF[[#This Row],[Ø (cm)]]^2/4,"N.S.")</f>
        <v>31.415926535897935</v>
      </c>
      <c r="AF109" s="1">
        <f>INDEX(tipoEstaca[],MATCH($D$2,tipoEstaca[TIPO DE ESTACA],0),MATCH(ECF[[#Headers],[Comprimento (m)]],tipoEstaca[#Headers],0))</f>
        <v>4</v>
      </c>
      <c r="AG109" s="5">
        <f ca="1">ECF[[#This Row],[As,mín (cm²)]]/100^2*ECF[[#This Row],[Comprimento (m)]]*7850</f>
        <v>98.646009322719507</v>
      </c>
      <c r="AH109" s="4">
        <f ca="1">ECF[[#This Row],[nE]]*ECF[[#This Row],[Prof. (m)]]*ECF[[#This Row],[Ap (m²)]]</f>
        <v>14.137166941154069</v>
      </c>
      <c r="AI109" s="1">
        <f ca="1">IF(ECF[[#This Row],[nE]]=1,0,MAX(3*ECF[[#This Row],[Ø (cm)]],60))</f>
        <v>300</v>
      </c>
      <c r="AJ109" s="1">
        <f ca="1">IF(ECF[[#This Row],[nE]]=1,ECF[[#This Row],[Ø (cm)]]+2*10,MAX(1.5*ECF[[#This Row],[Ø (cm)]],ECF[[#This Row],[Ø (cm)]]+15))</f>
        <v>150</v>
      </c>
      <c r="AK109" s="1">
        <f ca="1">alturaUtil(ECF[[#This Row],[nE]],ECF[[#This Row],[Ø (cm)]],ECF[[#This Row],[e (cm)]],ECF[[#This Row],[ap,eq (cm)]])</f>
        <v>140</v>
      </c>
      <c r="AL109" s="1">
        <f ca="1">IFERROR(ECF[[#This Row],[d (cm)]]+arredondarParaCimaMultiplo5cm(MAX(5,SQRT(PI())/2*ECF[[#This Row],[Ø (cm)]]/5)),"N.S.")</f>
        <v>160</v>
      </c>
      <c r="AM109" s="5">
        <f ca="1">alpha(ECF[[#This Row],[nE]],ECF[[#This Row],[d (cm)]],ECF[[#This Row],[e (cm)]],ECF[[#This Row],[ap,eq (cm)]])</f>
        <v>45.70769128343273</v>
      </c>
      <c r="AN109" s="35">
        <f ca="1">IFERROR(ECF[[#This Row],[Nsd (kN)]]/(ECF[[#This Row],[Ap (cm²)]]*SIN(ECF[[#This Row],[α]])^2),"N.S.")</f>
        <v>0.89625071064735617</v>
      </c>
      <c r="AO109" s="35">
        <f ca="1">IFERROR(ECF[[#This Row],[Nsd (kN)]]/(ECF[[#This Row],[nE]]*PI()*ECF[[#This Row],[Ø (cm)]]^2/4*SIN(ECF[[#This Row],[α]])^2),"N.S.")</f>
        <v>7.6076123119547062E-2</v>
      </c>
      <c r="AP109" s="4">
        <f ca="1">IFERROR(INDEX(grupoEstacas[],ECF[[#This Row],[nE]],MATCH("coef. Blévot",grupoEstacas[#Headers],0)),"N.S.")</f>
        <v>1.75</v>
      </c>
      <c r="AQ109" s="35">
        <f ca="1">IFERROR(ECF[[#This Row],[coef. Blévot]]*0.9*INDEX(tipoEstaca[],MATCH($D$2,tipoEstaca[TIPO DE ESTACA],0),MATCH("fcd (kN/cm²)",tipoEstaca[#Headers],0)),"N.S.")</f>
        <v>1.75</v>
      </c>
      <c r="AR109" s="1" t="str">
        <f ca="1">IF(AND(ECF[[#This Row],[cd,b,pil (kN/cm²)]]&lt;=ECF[[#This Row],[cd,b,lim (kN/cm²)]],ECF[[#This Row],[cd,b,est (kN/cm²)]]&lt;=ECF[[#This Row],[cd,b,lim (kN/cm²)]]),"OK","ERRO")</f>
        <v>OK</v>
      </c>
      <c r="AS109" s="4">
        <f ca="1">As_lado(ECF[[#This Row],[nE]],ECF[[#This Row],[Nsd (kN)]],ECF[[#This Row],[d (cm)]],ECF[[#This Row],[e (cm)]],ECF[[#This Row],[ap,eq (cm)]])</f>
        <v>8.841011525310245</v>
      </c>
      <c r="AT109" s="4" t="str">
        <f ca="1">IF(ECF[[#This Row],[nE]]=1,ECF[[#This Row],[As,lado (cm²)]],IF(ECF[[#This Row],[nE]]=2,0.075*2*ECF[a (cm)],"N.A."))</f>
        <v>N.A.</v>
      </c>
      <c r="AU109" s="4">
        <f ca="1">IFERROR(IF(ECF[[#This Row],[nE]]=1,"N.A.",0.2*ECF[[#This Row],[As,lado (cm²)]]),"N.S.")</f>
        <v>1.768202305062049</v>
      </c>
      <c r="AV109" s="4">
        <f ca="1">As_malha(ECF[[#This Row],[nE]],ECF[[#This Row],[As,lado (cm²)]],ECF[[#This Row],[Nsd (kN)]])</f>
        <v>2.981481481481481</v>
      </c>
      <c r="AW109" s="4">
        <f ca="1">As_susp_tot(ECF[[#This Row],[nE]],ECF[[#This Row],[Nsd (kN)]])</f>
        <v>8.9444444444444429</v>
      </c>
      <c r="AX109" s="4">
        <f ca="1">Asp_face(ECF[[#This Row],[nE]],ECF[[#This Row],[As,lado (cm²)]])</f>
        <v>3.3153793219913421</v>
      </c>
      <c r="AY109" s="5">
        <f ca="1">acoBloco(ECF[[#This Row],[nE]],ECF[[#This Row],[e (cm)]],ECF[[#This Row],[a (cm)]],ECF[[#This Row],[h (cm)]],ECF[[#This Row],[As,lado (cm²)]],ECF[[#This Row],[Asp e Asw (cm²/m)]],ECF[[#This Row],[As,sup (cm²)]],ECF[[#This Row],[As,malha (cm²)]],ECF[[#This Row],[As,susp,tot (cm²)]],ECF[[#This Row],[Asp,face (cm²)]])</f>
        <v>262.66620819411736</v>
      </c>
      <c r="AZ109" s="4">
        <f ca="1">concretoBloco(ECF[[#This Row],[nE]],ECF[[#This Row],[e (cm)]],ECF[[#This Row],[a (cm)]],ECF[[#This Row],[h (cm)]])</f>
        <v>40.306148721743874</v>
      </c>
      <c r="BA109" s="5">
        <f ca="1">SUM(ECF[[#This Row],[Aço Est (kg)]],ECF[[#This Row],[Aço Bloco (kg)]])</f>
        <v>361.31221751683688</v>
      </c>
      <c r="BB109" s="4">
        <f>INDEX(composicoes[],MATCH(95580,composicoes[CÓDIGO],0),MATCH("CUSTO TOTAL",composicoes[#Headers],0))</f>
        <v>10.46</v>
      </c>
      <c r="BC109" s="4">
        <f ca="1">SUM(ECF[[#This Row],[Conc Est (m³)]],ECF[[#This Row],[Conc Bloco (m³)]])</f>
        <v>54.443315662897945</v>
      </c>
      <c r="BD109" s="4">
        <f>INDEX(composicoes[],MATCH(94966,composicoes[CÓDIGO],0),MATCH("CUSTO TOTAL",composicoes[#Headers],0))</f>
        <v>439.52</v>
      </c>
      <c r="BE109" s="38">
        <f ca="1">ECF[[#This Row],[Aço (kg)]]*ECF[[#This Row],[Aço (R$/kg)]]+ECF[[#This Row],[Conc (m³)]]*ECF[[#This Row],[Conc (R$/m³)]]</f>
        <v>27708.251895383019</v>
      </c>
      <c r="BF109" s="4" t="str">
        <f ca="1">IF(COUNTIF(ECF[#This Row],"N.S.")&gt;0,"lim.","OK")</f>
        <v>OK</v>
      </c>
      <c r="BG109" s="4" t="str">
        <f>IF(ECF[[#This Row],[Prof. (m)]]&lt;4,"lim.","OK")</f>
        <v>OK</v>
      </c>
      <c r="BH109" s="4" t="str">
        <f>IF(ECF[[#This Row],[Prof. (m)]]&gt;=8*ECF[[#This Row],[Ø (cm)]]/100,"OK","lim.")</f>
        <v>lim.</v>
      </c>
      <c r="BI109" s="4" t="str">
        <f>IF(AND(SPT!$F$3&lt;&gt;"",ECF[[#This Row],[Prof. (m)]]&gt;=SPT!$F$3-2),"lim.","OK")</f>
        <v>OK</v>
      </c>
      <c r="BJ109" s="4" t="str">
        <f ca="1">IF(ECF[[#This Row],[Verif. Biela]]="OK","OK","lim.")</f>
        <v>OK</v>
      </c>
      <c r="BK109" s="4" t="str">
        <f ca="1">IF(COUNTA(ECF[[#This Row],[Nº Est.]:[Biela comp.]])=COUNTIF(ECF[[#This Row],[Nº Est.]:[Biela comp.]],"OK"),"OK","lim.")</f>
        <v>lim.</v>
      </c>
      <c r="BL109" s="4" t="str">
        <f ca="1">IF(ECF[[#This Row],[Controle]]="OK",ECF[[#This Row],[nE]]&amp;" Ø"&amp;ECF[[#This Row],[Ø (cm)]]&amp;"cm Prof. "&amp;ECF[[#This Row],[Prof. (m)]]&amp;" m","")</f>
        <v/>
      </c>
      <c r="BM109" s="4" t="str">
        <f ca="1">IF(ECF[[#This Row],[idDimensionamento]]="","",ECF[[#This Row],[idPilar]]&amp;ECF[[#This Row],[idDimensionamento]])</f>
        <v/>
      </c>
    </row>
    <row r="110" spans="2:65" x14ac:dyDescent="0.25">
      <c r="B110" s="12">
        <f>ROUNDUP((ROW(ECF[[#This Row],[idDiâmetro]])-ROW(ECF[[#Headers],[idDiâmetro]]))/(COUNT(SPT[Prof. (m)])*COUNT(PILARES[Pilar])),0)</f>
        <v>4</v>
      </c>
      <c r="C110" s="12">
        <f>IF(ECF[[#This Row],[idDiâmetro]]&lt;&gt;B109,1,IF(ECF[[#This Row],[Prof. (m)]]=0,C109+1,C109))</f>
        <v>2</v>
      </c>
      <c r="D110" s="1">
        <f>IFERROR(IF(D109=MAX(SPT[Prof. (m)]),0,D109+1),0)</f>
        <v>7</v>
      </c>
      <c r="E110" s="1">
        <f>INDEX(SPT[],MATCH(ECF[[#This Row],[Prof. (m)]],SPT[Prof. (m)],0),2)</f>
        <v>8</v>
      </c>
      <c r="F110" s="1" t="str">
        <f>INDEX(SPT[],MATCH(ECF[[#This Row],[Prof. (m)]],SPT[Prof. (m)],0),3)</f>
        <v>Silte arenoso</v>
      </c>
      <c r="G110" s="1">
        <f>INDEX(estacas[],ECF[[#This Row],[idDiâmetro]],MATCH($B$2,estacas[#Headers],0))</f>
        <v>100</v>
      </c>
      <c r="H110" s="1">
        <f>INDEX(estacas[],MATCH(ECF[[#This Row],[Ø (cm)]],estacas[Ø ECF (cm)],0),MATCH(ECF[[#Headers],[Pe ECF (kN)]],estacas[#Headers],0))</f>
        <v>3100</v>
      </c>
      <c r="I110" s="4">
        <f>INDEX(K_alpha_C[],MATCH(ECF[[#This Row],[Solo]],K_alpha_C[Solo],0),2)</f>
        <v>0.55000000000000004</v>
      </c>
      <c r="J110" s="5">
        <f>INDEX(K_alpha_C[],MATCH(ECF[[#This Row],[Solo]],K_alpha_C[Solo],0),3)</f>
        <v>2.2000000000000002</v>
      </c>
      <c r="K110" s="4">
        <f>INDEX(F1_F2[],MATCH($D$2,F1_F2[Tipo de estaca],0),2)</f>
        <v>3</v>
      </c>
      <c r="L110" s="4">
        <f>INDEX(F1_F2[],MATCH($D$2,F1_F2[Tipo de estaca],0),3)</f>
        <v>6</v>
      </c>
      <c r="M110" s="4">
        <f>PI()*(ECF[[#This Row],[Ø (cm)]]/100)^2/4</f>
        <v>0.78539816339744828</v>
      </c>
      <c r="N110" s="4">
        <f>PI()*ECF[[#This Row],[Ø (cm)]]/100</f>
        <v>3.1415926535897931</v>
      </c>
      <c r="O110" s="4">
        <f>IF(ECF[[#This Row],[Prof. (m)]]=0,0,ECF[[#This Row],[α (%)]]/100*ECF[[#This Row],[K (MPa)]]*1000*ECF[[#This Row],[NSPT]])</f>
        <v>96.800000000000011</v>
      </c>
      <c r="P110" s="4">
        <f>IF(ECF[[#This Row],[Prof. (m)]]=0,0,(ECF[[#This Row],[K (MPa)]]*1000*ECF[[#This Row],[NSPT]]/ECF[[#This Row],[F1]]*ECF[[#This Row],[Ap (m²)]]+ECF[[#This Row],[U (m)]]/ECF[[#This Row],[F2]]*SUMIFS(ECF[(α∙K∙NL∙ΔL)],ECF[Prof. (m)],"&lt;="&amp;ECF[[#This Row],[Prof. (m)]],ECF[idDiâmetro],ECF[[#This Row],[idDiâmetro]],ECF[idPilar],ECF[[#This Row],[idPilar]]))/'DADOS CAP. CARGA'!$D$2)</f>
        <v>806.05413509480115</v>
      </c>
      <c r="Q110" s="12">
        <f>INDEX(C_alpha_beta[],MATCH(ECF[[#This Row],[Solo]],C_alpha_beta[Solo],0),MATCH(ECF[[#Headers],[C (kPa)]],C_alpha_beta[#Headers],0))</f>
        <v>250</v>
      </c>
      <c r="R110" s="4">
        <f>INDEX(C_alpha_beta[],MATCH(ECF[[#This Row],[Solo]],C_alpha_beta[Solo],0),MATCH(ECF[[#Headers],[α ESF]],C_alpha_beta[#Headers],0))</f>
        <v>0.6</v>
      </c>
      <c r="S110" s="4">
        <f>INDEX(C_alpha_beta[],MATCH(ECF[[#This Row],[Solo]],C_alpha_beta[Solo],0),MATCH(ECF[[#Headers],[β ESF]],C_alpha_beta[#Headers],0))</f>
        <v>0.65</v>
      </c>
      <c r="T110" s="4">
        <f>IF(ECF[[#This Row],[Prof. (m)]]=0,0,10*(ECF[[#This Row],[NSPT]]/3+1))</f>
        <v>36.666666666666664</v>
      </c>
      <c r="U110" s="4">
        <f>(ECF[[#This Row],[α ESF]]*ECF[[#This Row],[C (kPa)]]*ECF[[#This Row],[NSPT]]*ECF[[#This Row],[Ap (m²)]])/'DADOS CAP. CARGA'!$Q$2+(ECF[[#This Row],[β ESF]]*SUMIFS(ECF[10∙(NL/3+1)],ECF[Prof. (m)],"&lt;="&amp;ECF[[#This Row],[Prof. (m)]],ECF[idDiâmetro],ECF[[#This Row],[idDiâmetro]],ECF[idPilar],ECF[[#This Row],[idPilar]])*ECF[[#This Row],[U (m)]])/'DADOS CAP. CARGA'!$S$2</f>
        <v>518.10098845451671</v>
      </c>
      <c r="V110" s="4">
        <f>IF(SPT!$M$5=1,MIN(ECF[[#This Row],[Pe ECF (kN)]],ECF[[#This Row],[R_AV (kN)]]),IF(SPT!$M$5=2,MIN(ECF[[#This Row],[Pe ECF (kN)]],ECF[[#This Row],[R_DC (kN)]]),MIN(ECF[[#This Row],[Pe ECF (kN)]],ECF[[#This Row],[R_AV (kN)]],ECF[[#This Row],[R_DC (kN)]])))</f>
        <v>518.10098845451671</v>
      </c>
      <c r="W110" s="4">
        <f>INDEX(PILARES[],ECF[[#This Row],[idPilar]],MATCH("Carga (kN)",PILARES[#Headers],0))*1.4</f>
        <v>1750</v>
      </c>
      <c r="X110" s="12">
        <f>INDEX(PILARES[],ECF[[#This Row],[idPilar]],MATCH(ECF[[#Headers],[ap (cm)]],PILARES[#Headers],0))</f>
        <v>50</v>
      </c>
      <c r="Y110" s="12">
        <f>INDEX(PILARES[],ECF[[#This Row],[idPilar]],MATCH(ECF[[#Headers],[bp (cm)]],PILARES[#Headers],0))</f>
        <v>40</v>
      </c>
      <c r="Z110" s="4">
        <f>SQRT(ECF[[#This Row],[ap (cm)]]*ECF[[#This Row],[bp (cm)]])</f>
        <v>44.721359549995796</v>
      </c>
      <c r="AA110" s="12">
        <f>ECF[[#This Row],[ap (cm)]]*ECF[[#This Row],[bp (cm)]]</f>
        <v>2000</v>
      </c>
      <c r="AB110" s="12">
        <f ca="1">IF(ECF[[#This Row],[Padm∙ε (kN)]]&gt;=ECF[[#This Row],[Padm (kN)]],ROUNDUP(1.05*ECF[[#This Row],[Nsd (kN)]]/ECF[[#This Row],[Padm (kN)]],0),ROUNDUP(1.05*ECF[[#This Row],[Nsd (kN)]]/ECF[[#This Row],[Padm (kN)]],0)+1)</f>
        <v>4</v>
      </c>
      <c r="AC110" s="4">
        <f ca="1">IFERROR(IF(ECF[[#This Row],[nE]]=1,ECF[[#This Row],[Padm (kN)]],ECF[[#This Row],[Padm (kN)]]*ECF[[#This Row],[nE]]*INDEX(grupoEstacas[],ECF[[#This Row],[nE]],MATCH("ε",grupoEstacas[#Headers],0))),"N.S.")</f>
        <v>1683.8282124771792</v>
      </c>
      <c r="AD110" s="4">
        <f ca="1">1.05*ECF[[#This Row],[Nsd (kN)]]/(ECF[[#This Row],[nE]]*PI()*ECF[[#This Row],[Ø (cm)]]^2/4)*10</f>
        <v>0.5848944158627154</v>
      </c>
      <c r="AE110" s="4">
        <f ca="1">IF(ECF[[#This Row],[σ (MPa)]]&lt;INDEX(tipoEstaca[],MATCH($D$2,tipoEstaca[TIPO DE ESTACA],0),MATCH("σmáx (MPa)",tipoEstaca[#Headers],0)),0.4%*PI()*ECF[[#This Row],[Ø (cm)]]^2/4,"N.S.")</f>
        <v>31.415926535897935</v>
      </c>
      <c r="AF110" s="1">
        <f>INDEX(tipoEstaca[],MATCH($D$2,tipoEstaca[TIPO DE ESTACA],0),MATCH(ECF[[#Headers],[Comprimento (m)]],tipoEstaca[#Headers],0))</f>
        <v>4</v>
      </c>
      <c r="AG110" s="5">
        <f ca="1">ECF[[#This Row],[As,mín (cm²)]]/100^2*ECF[[#This Row],[Comprimento (m)]]*7850</f>
        <v>98.646009322719507</v>
      </c>
      <c r="AH110" s="4">
        <f ca="1">ECF[[#This Row],[nE]]*ECF[[#This Row],[Prof. (m)]]*ECF[[#This Row],[Ap (m²)]]</f>
        <v>21.991148575128552</v>
      </c>
      <c r="AI110" s="1">
        <f ca="1">IF(ECF[[#This Row],[nE]]=1,0,MAX(3*ECF[[#This Row],[Ø (cm)]],60))</f>
        <v>300</v>
      </c>
      <c r="AJ110" s="1">
        <f ca="1">IF(ECF[[#This Row],[nE]]=1,ECF[[#This Row],[Ø (cm)]]+2*10,MAX(1.5*ECF[[#This Row],[Ø (cm)]],ECF[[#This Row],[Ø (cm)]]+15))</f>
        <v>150</v>
      </c>
      <c r="AK110" s="1">
        <f ca="1">alturaUtil(ECF[[#This Row],[nE]],ECF[[#This Row],[Ø (cm)]],ECF[[#This Row],[e (cm)]],ECF[[#This Row],[ap,eq (cm)]])</f>
        <v>140</v>
      </c>
      <c r="AL110" s="1">
        <f ca="1">IFERROR(ECF[[#This Row],[d (cm)]]+arredondarParaCimaMultiplo5cm(MAX(5,SQRT(PI())/2*ECF[[#This Row],[Ø (cm)]]/5)),"N.S.")</f>
        <v>160</v>
      </c>
      <c r="AM110" s="5">
        <f ca="1">alpha(ECF[[#This Row],[nE]],ECF[[#This Row],[d (cm)]],ECF[[#This Row],[e (cm)]],ECF[[#This Row],[ap,eq (cm)]])</f>
        <v>45.242551367887152</v>
      </c>
      <c r="AN110" s="35">
        <f ca="1">IFERROR(ECF[[#This Row],[Nsd (kN)]]/(ECF[[#This Row],[Ap (cm²)]]*SIN(ECF[[#This Row],[α]])^2),"N.S.")</f>
        <v>0.96511894174638402</v>
      </c>
      <c r="AO110" s="35">
        <f ca="1">IFERROR(ECF[[#This Row],[Nsd (kN)]]/(ECF[[#This Row],[nE]]*PI()*ECF[[#This Row],[Ø (cm)]]^2/4*SIN(ECF[[#This Row],[α]])^2),"N.S.")</f>
        <v>6.1441380100222404E-2</v>
      </c>
      <c r="AP110" s="4">
        <f ca="1">IFERROR(INDEX(grupoEstacas[],ECF[[#This Row],[nE]],MATCH("coef. Blévot",grupoEstacas[#Headers],0)),"N.S.")</f>
        <v>2.1</v>
      </c>
      <c r="AQ110" s="35">
        <f ca="1">IFERROR(ECF[[#This Row],[coef. Blévot]]*0.9*INDEX(tipoEstaca[],MATCH($D$2,tipoEstaca[TIPO DE ESTACA],0),MATCH("fcd (kN/cm²)",tipoEstaca[#Headers],0)),"N.S.")</f>
        <v>2.1</v>
      </c>
      <c r="AR110" s="1" t="str">
        <f ca="1">IF(AND(ECF[[#This Row],[cd,b,pil (kN/cm²)]]&lt;=ECF[[#This Row],[cd,b,lim (kN/cm²)]],ECF[[#This Row],[cd,b,est (kN/cm²)]]&lt;=ECF[[#This Row],[cd,b,lim (kN/cm²)]]),"OK","ERRO")</f>
        <v>OK</v>
      </c>
      <c r="AS110" s="4">
        <f ca="1">As_lado(ECF[[#This Row],[nE]],ECF[[#This Row],[Nsd (kN)]],ECF[[#This Row],[d (cm)]],ECF[[#This Row],[e (cm)]],ECF[[#This Row],[ap,eq (cm)]])</f>
        <v>9.9776630705860132</v>
      </c>
      <c r="AT110" s="4" t="str">
        <f ca="1">IF(ECF[[#This Row],[nE]]=1,ECF[[#This Row],[As,lado (cm²)]],IF(ECF[[#This Row],[nE]]=2,0.075*2*ECF[a (cm)],"N.A."))</f>
        <v>N.A.</v>
      </c>
      <c r="AU110" s="4">
        <f ca="1">IFERROR(IF(ECF[[#This Row],[nE]]=1,"N.A.",0.2*ECF[[#This Row],[As,lado (cm²)]]),"N.S.")</f>
        <v>1.9955326141172027</v>
      </c>
      <c r="AV110" s="4">
        <f ca="1">As_malha(ECF[[#This Row],[nE]],ECF[[#This Row],[As,lado (cm²)]],ECF[[#This Row],[Nsd (kN)]])</f>
        <v>1.9955326141172027</v>
      </c>
      <c r="AW110" s="4">
        <f ca="1">As_susp_tot(ECF[[#This Row],[nE]],ECF[[#This Row],[Nsd (kN)]])</f>
        <v>6.708333333333333</v>
      </c>
      <c r="AX110" s="4">
        <f ca="1">Asp_face(ECF[[#This Row],[nE]],ECF[[#This Row],[As,lado (cm²)]])</f>
        <v>4.9888315352930066</v>
      </c>
      <c r="AY110" s="5">
        <f ca="1">acoBloco(ECF[[#This Row],[nE]],ECF[[#This Row],[e (cm)]],ECF[[#This Row],[a (cm)]],ECF[[#This Row],[h (cm)]],ECF[[#This Row],[As,lado (cm²)]],ECF[[#This Row],[Asp e Asw (cm²/m)]],ECF[[#This Row],[As,sup (cm²)]],ECF[[#This Row],[As,malha (cm²)]],ECF[[#This Row],[As,susp,tot (cm²)]],ECF[[#This Row],[Asp,face (cm²)]])</f>
        <v>346.7881767163795</v>
      </c>
      <c r="AZ110" s="4">
        <f ca="1">concretoBloco(ECF[[#This Row],[nE]],ECF[[#This Row],[e (cm)]],ECF[[#This Row],[a (cm)]],ECF[[#This Row],[h (cm)]])</f>
        <v>57.6</v>
      </c>
      <c r="BA110" s="5">
        <f ca="1">SUM(ECF[[#This Row],[Aço Est (kg)]],ECF[[#This Row],[Aço Bloco (kg)]])</f>
        <v>445.43418603909902</v>
      </c>
      <c r="BB110" s="4">
        <f>INDEX(composicoes[],MATCH(95580,composicoes[CÓDIGO],0),MATCH("CUSTO TOTAL",composicoes[#Headers],0))</f>
        <v>10.46</v>
      </c>
      <c r="BC110" s="4">
        <f ca="1">SUM(ECF[[#This Row],[Conc Est (m³)]],ECF[[#This Row],[Conc Bloco (m³)]])</f>
        <v>79.591148575128557</v>
      </c>
      <c r="BD110" s="4">
        <f>INDEX(composicoes[],MATCH(94966,composicoes[CÓDIGO],0),MATCH("CUSTO TOTAL",composicoes[#Headers],0))</f>
        <v>439.52</v>
      </c>
      <c r="BE110" s="38">
        <f ca="1">ECF[[#This Row],[Aço (kg)]]*ECF[[#This Row],[Aço (R$/kg)]]+ECF[[#This Row],[Conc (m³)]]*ECF[[#This Row],[Conc (R$/m³)]]</f>
        <v>39641.14320770948</v>
      </c>
      <c r="BF110" s="4" t="str">
        <f ca="1">IF(COUNTIF(ECF[#This Row],"N.S.")&gt;0,"lim.","OK")</f>
        <v>OK</v>
      </c>
      <c r="BG110" s="4" t="str">
        <f>IF(ECF[[#This Row],[Prof. (m)]]&lt;4,"lim.","OK")</f>
        <v>OK</v>
      </c>
      <c r="BH110" s="4" t="str">
        <f>IF(ECF[[#This Row],[Prof. (m)]]&gt;=8*ECF[[#This Row],[Ø (cm)]]/100,"OK","lim.")</f>
        <v>lim.</v>
      </c>
      <c r="BI110" s="4" t="str">
        <f>IF(AND(SPT!$F$3&lt;&gt;"",ECF[[#This Row],[Prof. (m)]]&gt;=SPT!$F$3-2),"lim.","OK")</f>
        <v>OK</v>
      </c>
      <c r="BJ110" s="4" t="str">
        <f ca="1">IF(ECF[[#This Row],[Verif. Biela]]="OK","OK","lim.")</f>
        <v>OK</v>
      </c>
      <c r="BK110" s="4" t="str">
        <f ca="1">IF(COUNTA(ECF[[#This Row],[Nº Est.]:[Biela comp.]])=COUNTIF(ECF[[#This Row],[Nº Est.]:[Biela comp.]],"OK"),"OK","lim.")</f>
        <v>lim.</v>
      </c>
      <c r="BL110" s="4" t="str">
        <f ca="1">IF(ECF[[#This Row],[Controle]]="OK",ECF[[#This Row],[nE]]&amp;" Ø"&amp;ECF[[#This Row],[Ø (cm)]]&amp;"cm Prof. "&amp;ECF[[#This Row],[Prof. (m)]]&amp;" m","")</f>
        <v/>
      </c>
      <c r="BM110" s="4" t="str">
        <f ca="1">IF(ECF[[#This Row],[idDimensionamento]]="","",ECF[[#This Row],[idPilar]]&amp;ECF[[#This Row],[idDimensionamento]])</f>
        <v/>
      </c>
    </row>
    <row r="111" spans="2:65" x14ac:dyDescent="0.25">
      <c r="B111" s="12">
        <f>ROUNDUP((ROW(ECF[[#This Row],[idDiâmetro]])-ROW(ECF[[#Headers],[idDiâmetro]]))/(COUNT(SPT[Prof. (m)])*COUNT(PILARES[Pilar])),0)</f>
        <v>4</v>
      </c>
      <c r="C111" s="12">
        <f>IF(ECF[[#This Row],[idDiâmetro]]&lt;&gt;B110,1,IF(ECF[[#This Row],[Prof. (m)]]=0,C110+1,C110))</f>
        <v>2</v>
      </c>
      <c r="D111" s="1">
        <f>IFERROR(IF(D110=MAX(SPT[Prof. (m)]),0,D110+1),0)</f>
        <v>8</v>
      </c>
      <c r="E111" s="1">
        <f>INDEX(SPT[],MATCH(ECF[[#This Row],[Prof. (m)]],SPT[Prof. (m)],0),2)</f>
        <v>10</v>
      </c>
      <c r="F111" s="1" t="str">
        <f>INDEX(SPT[],MATCH(ECF[[#This Row],[Prof. (m)]],SPT[Prof. (m)],0),3)</f>
        <v>Silte arenoso</v>
      </c>
      <c r="G111" s="1">
        <f>INDEX(estacas[],ECF[[#This Row],[idDiâmetro]],MATCH($B$2,estacas[#Headers],0))</f>
        <v>100</v>
      </c>
      <c r="H111" s="1">
        <f>INDEX(estacas[],MATCH(ECF[[#This Row],[Ø (cm)]],estacas[Ø ECF (cm)],0),MATCH(ECF[[#Headers],[Pe ECF (kN)]],estacas[#Headers],0))</f>
        <v>3100</v>
      </c>
      <c r="I111" s="4">
        <f>INDEX(K_alpha_C[],MATCH(ECF[[#This Row],[Solo]],K_alpha_C[Solo],0),2)</f>
        <v>0.55000000000000004</v>
      </c>
      <c r="J111" s="5">
        <f>INDEX(K_alpha_C[],MATCH(ECF[[#This Row],[Solo]],K_alpha_C[Solo],0),3)</f>
        <v>2.2000000000000002</v>
      </c>
      <c r="K111" s="4">
        <f>INDEX(F1_F2[],MATCH($D$2,F1_F2[Tipo de estaca],0),2)</f>
        <v>3</v>
      </c>
      <c r="L111" s="4">
        <f>INDEX(F1_F2[],MATCH($D$2,F1_F2[Tipo de estaca],0),3)</f>
        <v>6</v>
      </c>
      <c r="M111" s="4">
        <f>PI()*(ECF[[#This Row],[Ø (cm)]]/100)^2/4</f>
        <v>0.78539816339744828</v>
      </c>
      <c r="N111" s="4">
        <f>PI()*ECF[[#This Row],[Ø (cm)]]/100</f>
        <v>3.1415926535897931</v>
      </c>
      <c r="O111" s="4">
        <f>IF(ECF[[#This Row],[Prof. (m)]]=0,0,ECF[[#This Row],[α (%)]]/100*ECF[[#This Row],[K (MPa)]]*1000*ECF[[#This Row],[NSPT]])</f>
        <v>121.00000000000001</v>
      </c>
      <c r="P111" s="4">
        <f>IF(ECF[[#This Row],[Prof. (m)]]=0,0,(ECF[[#This Row],[K (MPa)]]*1000*ECF[[#This Row],[NSPT]]/ECF[[#This Row],[F1]]*ECF[[#This Row],[Ap (m²)]]+ECF[[#This Row],[U (m)]]/ECF[[#This Row],[F2]]*SUMIFS(ECF[(α∙K∙NL∙ΔL)],ECF[Prof. (m)],"&lt;="&amp;ECF[[#This Row],[Prof. (m)]],ECF[idDiâmetro],ECF[[#This Row],[idDiâmetro]],ECF[idPilar],ECF[[#This Row],[idPilar]]))/'DADOS CAP. CARGA'!$D$2)</f>
        <v>981.72152430803044</v>
      </c>
      <c r="Q111" s="12">
        <f>INDEX(C_alpha_beta[],MATCH(ECF[[#This Row],[Solo]],C_alpha_beta[Solo],0),MATCH(ECF[[#Headers],[C (kPa)]],C_alpha_beta[#Headers],0))</f>
        <v>250</v>
      </c>
      <c r="R111" s="4">
        <f>INDEX(C_alpha_beta[],MATCH(ECF[[#This Row],[Solo]],C_alpha_beta[Solo],0),MATCH(ECF[[#Headers],[α ESF]],C_alpha_beta[#Headers],0))</f>
        <v>0.6</v>
      </c>
      <c r="S111" s="4">
        <f>INDEX(C_alpha_beta[],MATCH(ECF[[#This Row],[Solo]],C_alpha_beta[Solo],0),MATCH(ECF[[#Headers],[β ESF]],C_alpha_beta[#Headers],0))</f>
        <v>0.65</v>
      </c>
      <c r="T111" s="4">
        <f>IF(ECF[[#This Row],[Prof. (m)]]=0,0,10*(ECF[[#This Row],[NSPT]]/3+1))</f>
        <v>43.333333333333343</v>
      </c>
      <c r="U111" s="4">
        <f>(ECF[[#This Row],[α ESF]]*ECF[[#This Row],[C (kPa)]]*ECF[[#This Row],[NSPT]]*ECF[[#This Row],[Ap (m²)]])/'DADOS CAP. CARGA'!$Q$2+(ECF[[#This Row],[β ESF]]*SUMIFS(ECF[10∙(NL/3+1)],ECF[Prof. (m)],"&lt;="&amp;ECF[[#This Row],[Prof. (m)]],ECF[idDiâmetro],ECF[[#This Row],[idDiâmetro]],ECF[idPilar],ECF[[#This Row],[idPilar]])*ECF[[#This Row],[U (m)]])/'DADOS CAP. CARGA'!$S$2</f>
        <v>621.24994724738167</v>
      </c>
      <c r="V111" s="4">
        <f>IF(SPT!$M$5=1,MIN(ECF[[#This Row],[Pe ECF (kN)]],ECF[[#This Row],[R_AV (kN)]]),IF(SPT!$M$5=2,MIN(ECF[[#This Row],[Pe ECF (kN)]],ECF[[#This Row],[R_DC (kN)]]),MIN(ECF[[#This Row],[Pe ECF (kN)]],ECF[[#This Row],[R_AV (kN)]],ECF[[#This Row],[R_DC (kN)]])))</f>
        <v>621.24994724738167</v>
      </c>
      <c r="W111" s="4">
        <f>INDEX(PILARES[],ECF[[#This Row],[idPilar]],MATCH("Carga (kN)",PILARES[#Headers],0))*1.4</f>
        <v>1750</v>
      </c>
      <c r="X111" s="12">
        <f>INDEX(PILARES[],ECF[[#This Row],[idPilar]],MATCH(ECF[[#Headers],[ap (cm)]],PILARES[#Headers],0))</f>
        <v>50</v>
      </c>
      <c r="Y111" s="12">
        <f>INDEX(PILARES[],ECF[[#This Row],[idPilar]],MATCH(ECF[[#Headers],[bp (cm)]],PILARES[#Headers],0))</f>
        <v>40</v>
      </c>
      <c r="Z111" s="4">
        <f>SQRT(ECF[[#This Row],[ap (cm)]]*ECF[[#This Row],[bp (cm)]])</f>
        <v>44.721359549995796</v>
      </c>
      <c r="AA111" s="12">
        <f>ECF[[#This Row],[ap (cm)]]*ECF[[#This Row],[bp (cm)]]</f>
        <v>2000</v>
      </c>
      <c r="AB111" s="12">
        <f ca="1">IF(ECF[[#This Row],[Padm∙ε (kN)]]&gt;=ECF[[#This Row],[Padm (kN)]],ROUNDUP(1.05*ECF[[#This Row],[Nsd (kN)]]/ECF[[#This Row],[Padm (kN)]],0),ROUNDUP(1.05*ECF[[#This Row],[Nsd (kN)]]/ECF[[#This Row],[Padm (kN)]],0)+1)</f>
        <v>3</v>
      </c>
      <c r="AC111" s="4">
        <f ca="1">IFERROR(IF(ECF[[#This Row],[nE]]=1,ECF[[#This Row],[Padm (kN)]],ECF[[#This Row],[Padm (kN)]]*ECF[[#This Row],[nE]]*INDEX(grupoEstacas[],ECF[[#This Row],[nE]],MATCH("ε",grupoEstacas[#Headers],0))),"N.S.")</f>
        <v>1630.7811115243769</v>
      </c>
      <c r="AD111" s="4">
        <f ca="1">1.05*ECF[[#This Row],[Nsd (kN)]]/(ECF[[#This Row],[nE]]*PI()*ECF[[#This Row],[Ø (cm)]]^2/4)*10</f>
        <v>0.77985922115028727</v>
      </c>
      <c r="AE111" s="4">
        <f ca="1">IF(ECF[[#This Row],[σ (MPa)]]&lt;INDEX(tipoEstaca[],MATCH($D$2,tipoEstaca[TIPO DE ESTACA],0),MATCH("σmáx (MPa)",tipoEstaca[#Headers],0)),0.4%*PI()*ECF[[#This Row],[Ø (cm)]]^2/4,"N.S.")</f>
        <v>31.415926535897935</v>
      </c>
      <c r="AF111" s="1">
        <f>INDEX(tipoEstaca[],MATCH($D$2,tipoEstaca[TIPO DE ESTACA],0),MATCH(ECF[[#Headers],[Comprimento (m)]],tipoEstaca[#Headers],0))</f>
        <v>4</v>
      </c>
      <c r="AG111" s="5">
        <f ca="1">ECF[[#This Row],[As,mín (cm²)]]/100^2*ECF[[#This Row],[Comprimento (m)]]*7850</f>
        <v>98.646009322719507</v>
      </c>
      <c r="AH111" s="4">
        <f ca="1">ECF[[#This Row],[nE]]*ECF[[#This Row],[Prof. (m)]]*ECF[[#This Row],[Ap (m²)]]</f>
        <v>18.849555921538759</v>
      </c>
      <c r="AI111" s="1">
        <f ca="1">IF(ECF[[#This Row],[nE]]=1,0,MAX(3*ECF[[#This Row],[Ø (cm)]],60))</f>
        <v>300</v>
      </c>
      <c r="AJ111" s="1">
        <f ca="1">IF(ECF[[#This Row],[nE]]=1,ECF[[#This Row],[Ø (cm)]]+2*10,MAX(1.5*ECF[[#This Row],[Ø (cm)]],ECF[[#This Row],[Ø (cm)]]+15))</f>
        <v>150</v>
      </c>
      <c r="AK111" s="1">
        <f ca="1">alturaUtil(ECF[[#This Row],[nE]],ECF[[#This Row],[Ø (cm)]],ECF[[#This Row],[e (cm)]],ECF[[#This Row],[ap,eq (cm)]])</f>
        <v>140</v>
      </c>
      <c r="AL111" s="1">
        <f ca="1">IFERROR(ECF[[#This Row],[d (cm)]]+arredondarParaCimaMultiplo5cm(MAX(5,SQRT(PI())/2*ECF[[#This Row],[Ø (cm)]]/5)),"N.S.")</f>
        <v>160</v>
      </c>
      <c r="AM111" s="5">
        <f ca="1">alpha(ECF[[#This Row],[nE]],ECF[[#This Row],[d (cm)]],ECF[[#This Row],[e (cm)]],ECF[[#This Row],[ap,eq (cm)]])</f>
        <v>45.70769128343273</v>
      </c>
      <c r="AN111" s="35">
        <f ca="1">IFERROR(ECF[[#This Row],[Nsd (kN)]]/(ECF[[#This Row],[Ap (cm²)]]*SIN(ECF[[#This Row],[α]])^2),"N.S.")</f>
        <v>0.89625071064735617</v>
      </c>
      <c r="AO111" s="35">
        <f ca="1">IFERROR(ECF[[#This Row],[Nsd (kN)]]/(ECF[[#This Row],[nE]]*PI()*ECF[[#This Row],[Ø (cm)]]^2/4*SIN(ECF[[#This Row],[α]])^2),"N.S.")</f>
        <v>7.6076123119547062E-2</v>
      </c>
      <c r="AP111" s="4">
        <f ca="1">IFERROR(INDEX(grupoEstacas[],ECF[[#This Row],[nE]],MATCH("coef. Blévot",grupoEstacas[#Headers],0)),"N.S.")</f>
        <v>1.75</v>
      </c>
      <c r="AQ111" s="35">
        <f ca="1">IFERROR(ECF[[#This Row],[coef. Blévot]]*0.9*INDEX(tipoEstaca[],MATCH($D$2,tipoEstaca[TIPO DE ESTACA],0),MATCH("fcd (kN/cm²)",tipoEstaca[#Headers],0)),"N.S.")</f>
        <v>1.75</v>
      </c>
      <c r="AR111" s="1" t="str">
        <f ca="1">IF(AND(ECF[[#This Row],[cd,b,pil (kN/cm²)]]&lt;=ECF[[#This Row],[cd,b,lim (kN/cm²)]],ECF[[#This Row],[cd,b,est (kN/cm²)]]&lt;=ECF[[#This Row],[cd,b,lim (kN/cm²)]]),"OK","ERRO")</f>
        <v>OK</v>
      </c>
      <c r="AS111" s="4">
        <f ca="1">As_lado(ECF[[#This Row],[nE]],ECF[[#This Row],[Nsd (kN)]],ECF[[#This Row],[d (cm)]],ECF[[#This Row],[e (cm)]],ECF[[#This Row],[ap,eq (cm)]])</f>
        <v>8.841011525310245</v>
      </c>
      <c r="AT111" s="4" t="str">
        <f ca="1">IF(ECF[[#This Row],[nE]]=1,ECF[[#This Row],[As,lado (cm²)]],IF(ECF[[#This Row],[nE]]=2,0.075*2*ECF[a (cm)],"N.A."))</f>
        <v>N.A.</v>
      </c>
      <c r="AU111" s="4">
        <f ca="1">IFERROR(IF(ECF[[#This Row],[nE]]=1,"N.A.",0.2*ECF[[#This Row],[As,lado (cm²)]]),"N.S.")</f>
        <v>1.768202305062049</v>
      </c>
      <c r="AV111" s="4">
        <f ca="1">As_malha(ECF[[#This Row],[nE]],ECF[[#This Row],[As,lado (cm²)]],ECF[[#This Row],[Nsd (kN)]])</f>
        <v>2.981481481481481</v>
      </c>
      <c r="AW111" s="4">
        <f ca="1">As_susp_tot(ECF[[#This Row],[nE]],ECF[[#This Row],[Nsd (kN)]])</f>
        <v>8.9444444444444429</v>
      </c>
      <c r="AX111" s="4">
        <f ca="1">Asp_face(ECF[[#This Row],[nE]],ECF[[#This Row],[As,lado (cm²)]])</f>
        <v>3.3153793219913421</v>
      </c>
      <c r="AY111" s="5">
        <f ca="1">acoBloco(ECF[[#This Row],[nE]],ECF[[#This Row],[e (cm)]],ECF[[#This Row],[a (cm)]],ECF[[#This Row],[h (cm)]],ECF[[#This Row],[As,lado (cm²)]],ECF[[#This Row],[Asp e Asw (cm²/m)]],ECF[[#This Row],[As,sup (cm²)]],ECF[[#This Row],[As,malha (cm²)]],ECF[[#This Row],[As,susp,tot (cm²)]],ECF[[#This Row],[Asp,face (cm²)]])</f>
        <v>262.66620819411736</v>
      </c>
      <c r="AZ111" s="4">
        <f ca="1">concretoBloco(ECF[[#This Row],[nE]],ECF[[#This Row],[e (cm)]],ECF[[#This Row],[a (cm)]],ECF[[#This Row],[h (cm)]])</f>
        <v>40.306148721743874</v>
      </c>
      <c r="BA111" s="5">
        <f ca="1">SUM(ECF[[#This Row],[Aço Est (kg)]],ECF[[#This Row],[Aço Bloco (kg)]])</f>
        <v>361.31221751683688</v>
      </c>
      <c r="BB111" s="4">
        <f>INDEX(composicoes[],MATCH(95580,composicoes[CÓDIGO],0),MATCH("CUSTO TOTAL",composicoes[#Headers],0))</f>
        <v>10.46</v>
      </c>
      <c r="BC111" s="4">
        <f ca="1">SUM(ECF[[#This Row],[Conc Est (m³)]],ECF[[#This Row],[Conc Bloco (m³)]])</f>
        <v>59.155704643282633</v>
      </c>
      <c r="BD111" s="4">
        <f>INDEX(composicoes[],MATCH(94966,composicoes[CÓDIGO],0),MATCH("CUSTO TOTAL",composicoes[#Headers],0))</f>
        <v>439.52</v>
      </c>
      <c r="BE111" s="38">
        <f ca="1">ECF[[#This Row],[Aço (kg)]]*ECF[[#This Row],[Aço (R$/kg)]]+ECF[[#This Row],[Conc (m³)]]*ECF[[#This Row],[Conc (R$/m³)]]</f>
        <v>29779.441100041699</v>
      </c>
      <c r="BF111" s="4" t="str">
        <f ca="1">IF(COUNTIF(ECF[#This Row],"N.S.")&gt;0,"lim.","OK")</f>
        <v>OK</v>
      </c>
      <c r="BG111" s="4" t="str">
        <f>IF(ECF[[#This Row],[Prof. (m)]]&lt;4,"lim.","OK")</f>
        <v>OK</v>
      </c>
      <c r="BH111" s="4" t="str">
        <f>IF(ECF[[#This Row],[Prof. (m)]]&gt;=8*ECF[[#This Row],[Ø (cm)]]/100,"OK","lim.")</f>
        <v>OK</v>
      </c>
      <c r="BI111" s="4" t="str">
        <f>IF(AND(SPT!$F$3&lt;&gt;"",ECF[[#This Row],[Prof. (m)]]&gt;=SPT!$F$3-2),"lim.","OK")</f>
        <v>OK</v>
      </c>
      <c r="BJ111" s="4" t="str">
        <f ca="1">IF(ECF[[#This Row],[Verif. Biela]]="OK","OK","lim.")</f>
        <v>OK</v>
      </c>
      <c r="BK111" s="4" t="str">
        <f ca="1">IF(COUNTA(ECF[[#This Row],[Nº Est.]:[Biela comp.]])=COUNTIF(ECF[[#This Row],[Nº Est.]:[Biela comp.]],"OK"),"OK","lim.")</f>
        <v>OK</v>
      </c>
      <c r="BL111" s="4" t="str">
        <f ca="1">IF(ECF[[#This Row],[Controle]]="OK",ECF[[#This Row],[nE]]&amp;" Ø"&amp;ECF[[#This Row],[Ø (cm)]]&amp;"cm Prof. "&amp;ECF[[#This Row],[Prof. (m)]]&amp;" m","")</f>
        <v>3 Ø100cm Prof. 8 m</v>
      </c>
      <c r="BM111" s="4" t="str">
        <f ca="1">IF(ECF[[#This Row],[idDimensionamento]]="","",ECF[[#This Row],[idPilar]]&amp;ECF[[#This Row],[idDimensionamento]])</f>
        <v>23 Ø100cm Prof. 8 m</v>
      </c>
    </row>
    <row r="112" spans="2:65" x14ac:dyDescent="0.25">
      <c r="B112" s="12">
        <f>ROUNDUP((ROW(ECF[[#This Row],[idDiâmetro]])-ROW(ECF[[#Headers],[idDiâmetro]]))/(COUNT(SPT[Prof. (m)])*COUNT(PILARES[Pilar])),0)</f>
        <v>4</v>
      </c>
      <c r="C112" s="12">
        <f>IF(ECF[[#This Row],[idDiâmetro]]&lt;&gt;B111,1,IF(ECF[[#This Row],[Prof. (m)]]=0,C111+1,C111))</f>
        <v>2</v>
      </c>
      <c r="D112" s="1">
        <f>IFERROR(IF(D111=MAX(SPT[Prof. (m)]),0,D111+1),0)</f>
        <v>9</v>
      </c>
      <c r="E112" s="1">
        <f>INDEX(SPT[],MATCH(ECF[[#This Row],[Prof. (m)]],SPT[Prof. (m)],0),2)</f>
        <v>26</v>
      </c>
      <c r="F112" s="1" t="str">
        <f>INDEX(SPT[],MATCH(ECF[[#This Row],[Prof. (m)]],SPT[Prof. (m)],0),3)</f>
        <v>Areia siltosa</v>
      </c>
      <c r="G112" s="1">
        <f>INDEX(estacas[],ECF[[#This Row],[idDiâmetro]],MATCH($B$2,estacas[#Headers],0))</f>
        <v>100</v>
      </c>
      <c r="H112" s="1">
        <f>INDEX(estacas[],MATCH(ECF[[#This Row],[Ø (cm)]],estacas[Ø ECF (cm)],0),MATCH(ECF[[#Headers],[Pe ECF (kN)]],estacas[#Headers],0))</f>
        <v>3100</v>
      </c>
      <c r="I112" s="4">
        <f>INDEX(K_alpha_C[],MATCH(ECF[[#This Row],[Solo]],K_alpha_C[Solo],0),2)</f>
        <v>0.8</v>
      </c>
      <c r="J112" s="5">
        <f>INDEX(K_alpha_C[],MATCH(ECF[[#This Row],[Solo]],K_alpha_C[Solo],0),3)</f>
        <v>2</v>
      </c>
      <c r="K112" s="4">
        <f>INDEX(F1_F2[],MATCH($D$2,F1_F2[Tipo de estaca],0),2)</f>
        <v>3</v>
      </c>
      <c r="L112" s="4">
        <f>INDEX(F1_F2[],MATCH($D$2,F1_F2[Tipo de estaca],0),3)</f>
        <v>6</v>
      </c>
      <c r="M112" s="4">
        <f>PI()*(ECF[[#This Row],[Ø (cm)]]/100)^2/4</f>
        <v>0.78539816339744828</v>
      </c>
      <c r="N112" s="4">
        <f>PI()*ECF[[#This Row],[Ø (cm)]]/100</f>
        <v>3.1415926535897931</v>
      </c>
      <c r="O112" s="4">
        <f>IF(ECF[[#This Row],[Prof. (m)]]=0,0,ECF[[#This Row],[α (%)]]/100*ECF[[#This Row],[K (MPa)]]*1000*ECF[[#This Row],[NSPT]])</f>
        <v>416</v>
      </c>
      <c r="P112" s="4">
        <f>IF(ECF[[#This Row],[Prof. (m)]]=0,0,(ECF[[#This Row],[K (MPa)]]*1000*ECF[[#This Row],[NSPT]]/ECF[[#This Row],[F1]]*ECF[[#This Row],[Ap (m²)]]+ECF[[#This Row],[U (m)]]/ECF[[#This Row],[F2]]*SUMIFS(ECF[(α∙K∙NL∙ΔL)],ECF[Prof. (m)],"&lt;="&amp;ECF[[#This Row],[Prof. (m)]],ECF[idDiâmetro],ECF[[#This Row],[idDiâmetro]],ECF[idPilar],ECF[[#This Row],[idPilar]]))/'DADOS CAP. CARGA'!$D$2)</f>
        <v>3093.3953862959693</v>
      </c>
      <c r="Q112" s="12">
        <f>INDEX(C_alpha_beta[],MATCH(ECF[[#This Row],[Solo]],C_alpha_beta[Solo],0),MATCH(ECF[[#Headers],[C (kPa)]],C_alpha_beta[#Headers],0))</f>
        <v>400</v>
      </c>
      <c r="R112" s="4">
        <f>INDEX(C_alpha_beta[],MATCH(ECF[[#This Row],[Solo]],C_alpha_beta[Solo],0),MATCH(ECF[[#Headers],[α ESF]],C_alpha_beta[#Headers],0))</f>
        <v>0.5</v>
      </c>
      <c r="S112" s="4">
        <f>INDEX(C_alpha_beta[],MATCH(ECF[[#This Row],[Solo]],C_alpha_beta[Solo],0),MATCH(ECF[[#Headers],[β ESF]],C_alpha_beta[#Headers],0))</f>
        <v>0.5</v>
      </c>
      <c r="T112" s="4">
        <f>IF(ECF[[#This Row],[Prof. (m)]]=0,0,10*(ECF[[#This Row],[NSPT]]/3+1))</f>
        <v>96.666666666666657</v>
      </c>
      <c r="U112" s="4">
        <f>(ECF[[#This Row],[α ESF]]*ECF[[#This Row],[C (kPa)]]*ECF[[#This Row],[NSPT]]*ECF[[#This Row],[Ap (m²)]])/'DADOS CAP. CARGA'!$Q$2+(ECF[[#This Row],[β ESF]]*SUMIFS(ECF[10∙(NL/3+1)],ECF[Prof. (m)],"&lt;="&amp;ECF[[#This Row],[Prof. (m)]],ECF[idDiâmetro],ECF[[#This Row],[idDiâmetro]],ECF[idPilar],ECF[[#This Row],[idPilar]])*ECF[[#This Row],[U (m)]])/'DADOS CAP. CARGA'!$S$2</f>
        <v>1348.2668471656195</v>
      </c>
      <c r="V112" s="4">
        <f>IF(SPT!$M$5=1,MIN(ECF[[#This Row],[Pe ECF (kN)]],ECF[[#This Row],[R_AV (kN)]]),IF(SPT!$M$5=2,MIN(ECF[[#This Row],[Pe ECF (kN)]],ECF[[#This Row],[R_DC (kN)]]),MIN(ECF[[#This Row],[Pe ECF (kN)]],ECF[[#This Row],[R_AV (kN)]],ECF[[#This Row],[R_DC (kN)]])))</f>
        <v>1348.2668471656195</v>
      </c>
      <c r="W112" s="4">
        <f>INDEX(PILARES[],ECF[[#This Row],[idPilar]],MATCH("Carga (kN)",PILARES[#Headers],0))*1.4</f>
        <v>1750</v>
      </c>
      <c r="X112" s="12">
        <f>INDEX(PILARES[],ECF[[#This Row],[idPilar]],MATCH(ECF[[#Headers],[ap (cm)]],PILARES[#Headers],0))</f>
        <v>50</v>
      </c>
      <c r="Y112" s="12">
        <f>INDEX(PILARES[],ECF[[#This Row],[idPilar]],MATCH(ECF[[#Headers],[bp (cm)]],PILARES[#Headers],0))</f>
        <v>40</v>
      </c>
      <c r="Z112" s="4">
        <f>SQRT(ECF[[#This Row],[ap (cm)]]*ECF[[#This Row],[bp (cm)]])</f>
        <v>44.721359549995796</v>
      </c>
      <c r="AA112" s="12">
        <f>ECF[[#This Row],[ap (cm)]]*ECF[[#This Row],[bp (cm)]]</f>
        <v>2000</v>
      </c>
      <c r="AB112" s="12">
        <f ca="1">IF(ECF[[#This Row],[Padm∙ε (kN)]]&gt;=ECF[[#This Row],[Padm (kN)]],ROUNDUP(1.05*ECF[[#This Row],[Nsd (kN)]]/ECF[[#This Row],[Padm (kN)]],0),ROUNDUP(1.05*ECF[[#This Row],[Nsd (kN)]]/ECF[[#This Row],[Padm (kN)]],0)+1)</f>
        <v>2</v>
      </c>
      <c r="AC112" s="4">
        <f ca="1">IFERROR(IF(ECF[[#This Row],[nE]]=1,ECF[[#This Row],[Padm (kN)]],ECF[[#This Row],[Padm (kN)]]*ECF[[#This Row],[nE]]*INDEX(grupoEstacas[],ECF[[#This Row],[nE]],MATCH("ε",grupoEstacas[#Headers],0))),"N.S.")</f>
        <v>2528.0003384355368</v>
      </c>
      <c r="AD112" s="4">
        <f ca="1">1.05*ECF[[#This Row],[Nsd (kN)]]/(ECF[[#This Row],[nE]]*PI()*ECF[[#This Row],[Ø (cm)]]^2/4)*10</f>
        <v>1.1697888317254308</v>
      </c>
      <c r="AE112" s="4">
        <f ca="1">IF(ECF[[#This Row],[σ (MPa)]]&lt;INDEX(tipoEstaca[],MATCH($D$2,tipoEstaca[TIPO DE ESTACA],0),MATCH("σmáx (MPa)",tipoEstaca[#Headers],0)),0.4%*PI()*ECF[[#This Row],[Ø (cm)]]^2/4,"N.S.")</f>
        <v>31.415926535897935</v>
      </c>
      <c r="AF112" s="1">
        <f>INDEX(tipoEstaca[],MATCH($D$2,tipoEstaca[TIPO DE ESTACA],0),MATCH(ECF[[#Headers],[Comprimento (m)]],tipoEstaca[#Headers],0))</f>
        <v>4</v>
      </c>
      <c r="AG112" s="5">
        <f ca="1">ECF[[#This Row],[As,mín (cm²)]]/100^2*ECF[[#This Row],[Comprimento (m)]]*7850</f>
        <v>98.646009322719507</v>
      </c>
      <c r="AH112" s="4">
        <f ca="1">ECF[[#This Row],[nE]]*ECF[[#This Row],[Prof. (m)]]*ECF[[#This Row],[Ap (m²)]]</f>
        <v>14.137166941154069</v>
      </c>
      <c r="AI112" s="1">
        <f ca="1">IF(ECF[[#This Row],[nE]]=1,0,MAX(3*ECF[[#This Row],[Ø (cm)]],60))</f>
        <v>300</v>
      </c>
      <c r="AJ112" s="1">
        <f ca="1">IF(ECF[[#This Row],[nE]]=1,ECF[[#This Row],[Ø (cm)]]+2*10,MAX(1.5*ECF[[#This Row],[Ø (cm)]],ECF[[#This Row],[Ø (cm)]]+15))</f>
        <v>150</v>
      </c>
      <c r="AK112" s="1">
        <f ca="1">alturaUtil(ECF[[#This Row],[nE]],ECF[[#This Row],[Ø (cm)]],ECF[[#This Row],[e (cm)]],ECF[[#This Row],[ap,eq (cm)]])</f>
        <v>140</v>
      </c>
      <c r="AL112" s="1">
        <f ca="1">IFERROR(ECF[[#This Row],[d (cm)]]+arredondarParaCimaMultiplo5cm(MAX(5,SQRT(PI())/2*ECF[[#This Row],[Ø (cm)]]/5)),"N.S.")</f>
        <v>160</v>
      </c>
      <c r="AM112" s="5">
        <f ca="1">alpha(ECF[[#This Row],[nE]],ECF[[#This Row],[d (cm)]],ECF[[#This Row],[e (cm)]],ECF[[#This Row],[ap,eq (cm)]])</f>
        <v>45.242551367887152</v>
      </c>
      <c r="AN112" s="35">
        <f ca="1">IFERROR(ECF[[#This Row],[Nsd (kN)]]/(ECF[[#This Row],[Ap (cm²)]]*SIN(ECF[[#This Row],[α]])^2),"N.S.")</f>
        <v>0.96511894174638402</v>
      </c>
      <c r="AO112" s="35">
        <f ca="1">IFERROR(ECF[[#This Row],[Nsd (kN)]]/(ECF[[#This Row],[nE]]*PI()*ECF[[#This Row],[Ø (cm)]]^2/4*SIN(ECF[[#This Row],[α]])^2),"N.S.")</f>
        <v>0.12288276020044481</v>
      </c>
      <c r="AP112" s="4">
        <f ca="1">IFERROR(INDEX(grupoEstacas[],ECF[[#This Row],[nE]],MATCH("coef. Blévot",grupoEstacas[#Headers],0)),"N.S.")</f>
        <v>1.4</v>
      </c>
      <c r="AQ112" s="35">
        <f ca="1">IFERROR(ECF[[#This Row],[coef. Blévot]]*0.9*INDEX(tipoEstaca[],MATCH($D$2,tipoEstaca[TIPO DE ESTACA],0),MATCH("fcd (kN/cm²)",tipoEstaca[#Headers],0)),"N.S.")</f>
        <v>1.4000000000000001</v>
      </c>
      <c r="AR112" s="1" t="str">
        <f ca="1">IF(AND(ECF[[#This Row],[cd,b,pil (kN/cm²)]]&lt;=ECF[[#This Row],[cd,b,lim (kN/cm²)]],ECF[[#This Row],[cd,b,est (kN/cm²)]]&lt;=ECF[[#This Row],[cd,b,lim (kN/cm²)]]),"OK","ERRO")</f>
        <v>OK</v>
      </c>
      <c r="AS112" s="4">
        <f ca="1">As_lado(ECF[[#This Row],[nE]],ECF[[#This Row],[Nsd (kN)]],ECF[[#This Row],[d (cm)]],ECF[[#This Row],[e (cm)]],ECF[[#This Row],[ap,eq (cm)]])</f>
        <v>22.948625062347826</v>
      </c>
      <c r="AT112" s="4">
        <f ca="1">IF(ECF[[#This Row],[nE]]=1,ECF[[#This Row],[As,lado (cm²)]],IF(ECF[[#This Row],[nE]]=2,0.075*2*ECF[a (cm)],"N.A."))</f>
        <v>22.5</v>
      </c>
      <c r="AU112" s="4">
        <f ca="1">IFERROR(IF(ECF[[#This Row],[nE]]=1,"N.A.",0.2*ECF[[#This Row],[As,lado (cm²)]]),"N.S.")</f>
        <v>4.5897250124695654</v>
      </c>
      <c r="AV112" s="4" t="str">
        <f ca="1">As_malha(ECF[[#This Row],[nE]],ECF[[#This Row],[As,lado (cm²)]],ECF[[#This Row],[Nsd (kN)]])</f>
        <v>N.A.</v>
      </c>
      <c r="AW112" s="4" t="str">
        <f ca="1">As_susp_tot(ECF[[#This Row],[nE]],ECF[[#This Row],[Nsd (kN)]])</f>
        <v>N.A.</v>
      </c>
      <c r="AX112" s="4" t="str">
        <f ca="1">Asp_face(ECF[[#This Row],[nE]],ECF[[#This Row],[As,lado (cm²)]])</f>
        <v>N.A.</v>
      </c>
      <c r="AY112" s="5">
        <f ca="1">acoBloco(ECF[[#This Row],[nE]],ECF[[#This Row],[e (cm)]],ECF[[#This Row],[a (cm)]],ECF[[#This Row],[h (cm)]],ECF[[#This Row],[As,lado (cm²)]],ECF[[#This Row],[Asp e Asw (cm²/m)]],ECF[[#This Row],[As,sup (cm²)]],ECF[[#This Row],[As,malha (cm²)]],ECF[[#This Row],[As,susp,tot (cm²)]],ECF[[#This Row],[Asp,face (cm²)]])</f>
        <v>1613.3556288523898</v>
      </c>
      <c r="AZ112" s="4">
        <f ca="1">concretoBloco(ECF[[#This Row],[nE]],ECF[[#This Row],[e (cm)]],ECF[[#This Row],[a (cm)]],ECF[[#This Row],[h (cm)]])</f>
        <v>28.8</v>
      </c>
      <c r="BA112" s="5">
        <f ca="1">SUM(ECF[[#This Row],[Aço Est (kg)]],ECF[[#This Row],[Aço Bloco (kg)]])</f>
        <v>1712.0016381751093</v>
      </c>
      <c r="BB112" s="4">
        <f>INDEX(composicoes[],MATCH(95580,composicoes[CÓDIGO],0),MATCH("CUSTO TOTAL",composicoes[#Headers],0))</f>
        <v>10.46</v>
      </c>
      <c r="BC112" s="4">
        <f ca="1">SUM(ECF[[#This Row],[Conc Est (m³)]],ECF[[#This Row],[Conc Bloco (m³)]])</f>
        <v>42.937166941154068</v>
      </c>
      <c r="BD112" s="4">
        <f>INDEX(composicoes[],MATCH(94966,composicoes[CÓDIGO],0),MATCH("CUSTO TOTAL",composicoes[#Headers],0))</f>
        <v>439.52</v>
      </c>
      <c r="BE112" s="38">
        <f ca="1">ECF[[#This Row],[Aço (kg)]]*ECF[[#This Row],[Aço (R$/kg)]]+ECF[[#This Row],[Conc (m³)]]*ECF[[#This Row],[Conc (R$/m³)]]</f>
        <v>36779.280749287682</v>
      </c>
      <c r="BF112" s="4" t="str">
        <f ca="1">IF(COUNTIF(ECF[#This Row],"N.S.")&gt;0,"lim.","OK")</f>
        <v>OK</v>
      </c>
      <c r="BG112" s="4" t="str">
        <f>IF(ECF[[#This Row],[Prof. (m)]]&lt;4,"lim.","OK")</f>
        <v>OK</v>
      </c>
      <c r="BH112" s="4" t="str">
        <f>IF(ECF[[#This Row],[Prof. (m)]]&gt;=8*ECF[[#This Row],[Ø (cm)]]/100,"OK","lim.")</f>
        <v>OK</v>
      </c>
      <c r="BI112" s="4" t="str">
        <f>IF(AND(SPT!$F$3&lt;&gt;"",ECF[[#This Row],[Prof. (m)]]&gt;=SPT!$F$3-2),"lim.","OK")</f>
        <v>OK</v>
      </c>
      <c r="BJ112" s="4" t="str">
        <f ca="1">IF(ECF[[#This Row],[Verif. Biela]]="OK","OK","lim.")</f>
        <v>OK</v>
      </c>
      <c r="BK112" s="4" t="str">
        <f ca="1">IF(COUNTA(ECF[[#This Row],[Nº Est.]:[Biela comp.]])=COUNTIF(ECF[[#This Row],[Nº Est.]:[Biela comp.]],"OK"),"OK","lim.")</f>
        <v>OK</v>
      </c>
      <c r="BL112" s="4" t="str">
        <f ca="1">IF(ECF[[#This Row],[Controle]]="OK",ECF[[#This Row],[nE]]&amp;" Ø"&amp;ECF[[#This Row],[Ø (cm)]]&amp;"cm Prof. "&amp;ECF[[#This Row],[Prof. (m)]]&amp;" m","")</f>
        <v>2 Ø100cm Prof. 9 m</v>
      </c>
      <c r="BM112" s="4" t="str">
        <f ca="1">IF(ECF[[#This Row],[idDimensionamento]]="","",ECF[[#This Row],[idPilar]]&amp;ECF[[#This Row],[idDimensionamento]])</f>
        <v>22 Ø100cm Prof. 9 m</v>
      </c>
    </row>
    <row r="113" spans="2:65" x14ac:dyDescent="0.25">
      <c r="B113" s="12">
        <f>ROUNDUP((ROW(ECF[[#This Row],[idDiâmetro]])-ROW(ECF[[#Headers],[idDiâmetro]]))/(COUNT(SPT[Prof. (m)])*COUNT(PILARES[Pilar])),0)</f>
        <v>4</v>
      </c>
      <c r="C113" s="12">
        <f>IF(ECF[[#This Row],[idDiâmetro]]&lt;&gt;B112,1,IF(ECF[[#This Row],[Prof. (m)]]=0,C112+1,C112))</f>
        <v>2</v>
      </c>
      <c r="D113" s="1">
        <f>IFERROR(IF(D112=MAX(SPT[Prof. (m)]),0,D112+1),0)</f>
        <v>10</v>
      </c>
      <c r="E113" s="1">
        <f>INDEX(SPT[],MATCH(ECF[[#This Row],[Prof. (m)]],SPT[Prof. (m)],0),2)</f>
        <v>32</v>
      </c>
      <c r="F113" s="1" t="str">
        <f>INDEX(SPT[],MATCH(ECF[[#This Row],[Prof. (m)]],SPT[Prof. (m)],0),3)</f>
        <v>Areia siltosa</v>
      </c>
      <c r="G113" s="1">
        <f>INDEX(estacas[],ECF[[#This Row],[idDiâmetro]],MATCH($B$2,estacas[#Headers],0))</f>
        <v>100</v>
      </c>
      <c r="H113" s="1">
        <f>INDEX(estacas[],MATCH(ECF[[#This Row],[Ø (cm)]],estacas[Ø ECF (cm)],0),MATCH(ECF[[#Headers],[Pe ECF (kN)]],estacas[#Headers],0))</f>
        <v>3100</v>
      </c>
      <c r="I113" s="4">
        <f>INDEX(K_alpha_C[],MATCH(ECF[[#This Row],[Solo]],K_alpha_C[Solo],0),2)</f>
        <v>0.8</v>
      </c>
      <c r="J113" s="5">
        <f>INDEX(K_alpha_C[],MATCH(ECF[[#This Row],[Solo]],K_alpha_C[Solo],0),3)</f>
        <v>2</v>
      </c>
      <c r="K113" s="4">
        <f>INDEX(F1_F2[],MATCH($D$2,F1_F2[Tipo de estaca],0),2)</f>
        <v>3</v>
      </c>
      <c r="L113" s="4">
        <f>INDEX(F1_F2[],MATCH($D$2,F1_F2[Tipo de estaca],0),3)</f>
        <v>6</v>
      </c>
      <c r="M113" s="4">
        <f>PI()*(ECF[[#This Row],[Ø (cm)]]/100)^2/4</f>
        <v>0.78539816339744828</v>
      </c>
      <c r="N113" s="4">
        <f>PI()*ECF[[#This Row],[Ø (cm)]]/100</f>
        <v>3.1415926535897931</v>
      </c>
      <c r="O113" s="4">
        <f>IF(ECF[[#This Row],[Prof. (m)]]=0,0,ECF[[#This Row],[α (%)]]/100*ECF[[#This Row],[K (MPa)]]*1000*ECF[[#This Row],[NSPT]])</f>
        <v>512</v>
      </c>
      <c r="P113" s="4">
        <f>IF(ECF[[#This Row],[Prof. (m)]]=0,0,(ECF[[#This Row],[K (MPa)]]*1000*ECF[[#This Row],[NSPT]]/ECF[[#This Row],[F1]]*ECF[[#This Row],[Ap (m²)]]+ECF[[#This Row],[U (m)]]/ECF[[#This Row],[F2]]*SUMIFS(ECF[(α∙K∙NL∙ΔL)],ECF[Prof. (m)],"&lt;="&amp;ECF[[#This Row],[Prof. (m)]],ECF[idDiâmetro],ECF[[#This Row],[idDiâmetro]],ECF[idPilar],ECF[[#This Row],[idPilar]]))/'DADOS CAP. CARGA'!$D$2)</f>
        <v>3855.7552035670933</v>
      </c>
      <c r="Q113" s="12">
        <f>INDEX(C_alpha_beta[],MATCH(ECF[[#This Row],[Solo]],C_alpha_beta[Solo],0),MATCH(ECF[[#Headers],[C (kPa)]],C_alpha_beta[#Headers],0))</f>
        <v>400</v>
      </c>
      <c r="R113" s="4">
        <f>INDEX(C_alpha_beta[],MATCH(ECF[[#This Row],[Solo]],C_alpha_beta[Solo],0),MATCH(ECF[[#Headers],[α ESF]],C_alpha_beta[#Headers],0))</f>
        <v>0.5</v>
      </c>
      <c r="S113" s="4">
        <f>INDEX(C_alpha_beta[],MATCH(ECF[[#This Row],[Solo]],C_alpha_beta[Solo],0),MATCH(ECF[[#Headers],[β ESF]],C_alpha_beta[#Headers],0))</f>
        <v>0.5</v>
      </c>
      <c r="T113" s="4">
        <f>IF(ECF[[#This Row],[Prof. (m)]]=0,0,10*(ECF[[#This Row],[NSPT]]/3+1))</f>
        <v>116.66666666666666</v>
      </c>
      <c r="U113" s="4">
        <f>(ECF[[#This Row],[α ESF]]*ECF[[#This Row],[C (kPa)]]*ECF[[#This Row],[NSPT]]*ECF[[#This Row],[Ap (m²)]])/'DADOS CAP. CARGA'!$Q$2+(ECF[[#This Row],[β ESF]]*SUMIFS(ECF[10∙(NL/3+1)],ECF[Prof. (m)],"&lt;="&amp;ECF[[#This Row],[Prof. (m)]],ECF[idDiâmetro],ECF[[#This Row],[idDiâmetro]],ECF[idPilar],ECF[[#This Row],[idPilar]])*ECF[[#This Row],[U (m)]])/'DADOS CAP. CARGA'!$S$2</f>
        <v>1675.5160819145563</v>
      </c>
      <c r="V113" s="4">
        <f>IF(SPT!$M$5=1,MIN(ECF[[#This Row],[Pe ECF (kN)]],ECF[[#This Row],[R_AV (kN)]]),IF(SPT!$M$5=2,MIN(ECF[[#This Row],[Pe ECF (kN)]],ECF[[#This Row],[R_DC (kN)]]),MIN(ECF[[#This Row],[Pe ECF (kN)]],ECF[[#This Row],[R_AV (kN)]],ECF[[#This Row],[R_DC (kN)]])))</f>
        <v>1675.5160819145563</v>
      </c>
      <c r="W113" s="4">
        <f>INDEX(PILARES[],ECF[[#This Row],[idPilar]],MATCH("Carga (kN)",PILARES[#Headers],0))*1.4</f>
        <v>1750</v>
      </c>
      <c r="X113" s="12">
        <f>INDEX(PILARES[],ECF[[#This Row],[idPilar]],MATCH(ECF[[#Headers],[ap (cm)]],PILARES[#Headers],0))</f>
        <v>50</v>
      </c>
      <c r="Y113" s="12">
        <f>INDEX(PILARES[],ECF[[#This Row],[idPilar]],MATCH(ECF[[#Headers],[bp (cm)]],PILARES[#Headers],0))</f>
        <v>40</v>
      </c>
      <c r="Z113" s="4">
        <f>SQRT(ECF[[#This Row],[ap (cm)]]*ECF[[#This Row],[bp (cm)]])</f>
        <v>44.721359549995796</v>
      </c>
      <c r="AA113" s="12">
        <f>ECF[[#This Row],[ap (cm)]]*ECF[[#This Row],[bp (cm)]]</f>
        <v>2000</v>
      </c>
      <c r="AB113" s="12">
        <f ca="1">IF(ECF[[#This Row],[Padm∙ε (kN)]]&gt;=ECF[[#This Row],[Padm (kN)]],ROUNDUP(1.05*ECF[[#This Row],[Nsd (kN)]]/ECF[[#This Row],[Padm (kN)]],0),ROUNDUP(1.05*ECF[[#This Row],[Nsd (kN)]]/ECF[[#This Row],[Padm (kN)]],0)+1)</f>
        <v>2</v>
      </c>
      <c r="AC113" s="4">
        <f ca="1">IFERROR(IF(ECF[[#This Row],[nE]]=1,ECF[[#This Row],[Padm (kN)]],ECF[[#This Row],[Padm (kN)]]*ECF[[#This Row],[nE]]*INDEX(grupoEstacas[],ECF[[#This Row],[nE]],MATCH("ε",grupoEstacas[#Headers],0))),"N.S.")</f>
        <v>3141.5926535897929</v>
      </c>
      <c r="AD113" s="4">
        <f ca="1">1.05*ECF[[#This Row],[Nsd (kN)]]/(ECF[[#This Row],[nE]]*PI()*ECF[[#This Row],[Ø (cm)]]^2/4)*10</f>
        <v>1.1697888317254308</v>
      </c>
      <c r="AE113" s="4">
        <f ca="1">IF(ECF[[#This Row],[σ (MPa)]]&lt;INDEX(tipoEstaca[],MATCH($D$2,tipoEstaca[TIPO DE ESTACA],0),MATCH("σmáx (MPa)",tipoEstaca[#Headers],0)),0.4%*PI()*ECF[[#This Row],[Ø (cm)]]^2/4,"N.S.")</f>
        <v>31.415926535897935</v>
      </c>
      <c r="AF113" s="1">
        <f>INDEX(tipoEstaca[],MATCH($D$2,tipoEstaca[TIPO DE ESTACA],0),MATCH(ECF[[#Headers],[Comprimento (m)]],tipoEstaca[#Headers],0))</f>
        <v>4</v>
      </c>
      <c r="AG113" s="5">
        <f ca="1">ECF[[#This Row],[As,mín (cm²)]]/100^2*ECF[[#This Row],[Comprimento (m)]]*7850</f>
        <v>98.646009322719507</v>
      </c>
      <c r="AH113" s="4">
        <f ca="1">ECF[[#This Row],[nE]]*ECF[[#This Row],[Prof. (m)]]*ECF[[#This Row],[Ap (m²)]]</f>
        <v>15.707963267948966</v>
      </c>
      <c r="AI113" s="1">
        <f ca="1">IF(ECF[[#This Row],[nE]]=1,0,MAX(3*ECF[[#This Row],[Ø (cm)]],60))</f>
        <v>300</v>
      </c>
      <c r="AJ113" s="1">
        <f ca="1">IF(ECF[[#This Row],[nE]]=1,ECF[[#This Row],[Ø (cm)]]+2*10,MAX(1.5*ECF[[#This Row],[Ø (cm)]],ECF[[#This Row],[Ø (cm)]]+15))</f>
        <v>150</v>
      </c>
      <c r="AK113" s="1">
        <f ca="1">alturaUtil(ECF[[#This Row],[nE]],ECF[[#This Row],[Ø (cm)]],ECF[[#This Row],[e (cm)]],ECF[[#This Row],[ap,eq (cm)]])</f>
        <v>140</v>
      </c>
      <c r="AL113" s="1">
        <f ca="1">IFERROR(ECF[[#This Row],[d (cm)]]+arredondarParaCimaMultiplo5cm(MAX(5,SQRT(PI())/2*ECF[[#This Row],[Ø (cm)]]/5)),"N.S.")</f>
        <v>160</v>
      </c>
      <c r="AM113" s="5">
        <f ca="1">alpha(ECF[[#This Row],[nE]],ECF[[#This Row],[d (cm)]],ECF[[#This Row],[e (cm)]],ECF[[#This Row],[ap,eq (cm)]])</f>
        <v>45.242551367887152</v>
      </c>
      <c r="AN113" s="35">
        <f ca="1">IFERROR(ECF[[#This Row],[Nsd (kN)]]/(ECF[[#This Row],[Ap (cm²)]]*SIN(ECF[[#This Row],[α]])^2),"N.S.")</f>
        <v>0.96511894174638402</v>
      </c>
      <c r="AO113" s="35">
        <f ca="1">IFERROR(ECF[[#This Row],[Nsd (kN)]]/(ECF[[#This Row],[nE]]*PI()*ECF[[#This Row],[Ø (cm)]]^2/4*SIN(ECF[[#This Row],[α]])^2),"N.S.")</f>
        <v>0.12288276020044481</v>
      </c>
      <c r="AP113" s="4">
        <f ca="1">IFERROR(INDEX(grupoEstacas[],ECF[[#This Row],[nE]],MATCH("coef. Blévot",grupoEstacas[#Headers],0)),"N.S.")</f>
        <v>1.4</v>
      </c>
      <c r="AQ113" s="35">
        <f ca="1">IFERROR(ECF[[#This Row],[coef. Blévot]]*0.9*INDEX(tipoEstaca[],MATCH($D$2,tipoEstaca[TIPO DE ESTACA],0),MATCH("fcd (kN/cm²)",tipoEstaca[#Headers],0)),"N.S.")</f>
        <v>1.4000000000000001</v>
      </c>
      <c r="AR113" s="1" t="str">
        <f ca="1">IF(AND(ECF[[#This Row],[cd,b,pil (kN/cm²)]]&lt;=ECF[[#This Row],[cd,b,lim (kN/cm²)]],ECF[[#This Row],[cd,b,est (kN/cm²)]]&lt;=ECF[[#This Row],[cd,b,lim (kN/cm²)]]),"OK","ERRO")</f>
        <v>OK</v>
      </c>
      <c r="AS113" s="4">
        <f ca="1">As_lado(ECF[[#This Row],[nE]],ECF[[#This Row],[Nsd (kN)]],ECF[[#This Row],[d (cm)]],ECF[[#This Row],[e (cm)]],ECF[[#This Row],[ap,eq (cm)]])</f>
        <v>22.948625062347826</v>
      </c>
      <c r="AT113" s="4">
        <f ca="1">IF(ECF[[#This Row],[nE]]=1,ECF[[#This Row],[As,lado (cm²)]],IF(ECF[[#This Row],[nE]]=2,0.075*2*ECF[a (cm)],"N.A."))</f>
        <v>22.5</v>
      </c>
      <c r="AU113" s="4">
        <f ca="1">IFERROR(IF(ECF[[#This Row],[nE]]=1,"N.A.",0.2*ECF[[#This Row],[As,lado (cm²)]]),"N.S.")</f>
        <v>4.5897250124695654</v>
      </c>
      <c r="AV113" s="4" t="str">
        <f ca="1">As_malha(ECF[[#This Row],[nE]],ECF[[#This Row],[As,lado (cm²)]],ECF[[#This Row],[Nsd (kN)]])</f>
        <v>N.A.</v>
      </c>
      <c r="AW113" s="4" t="str">
        <f ca="1">As_susp_tot(ECF[[#This Row],[nE]],ECF[[#This Row],[Nsd (kN)]])</f>
        <v>N.A.</v>
      </c>
      <c r="AX113" s="4" t="str">
        <f ca="1">Asp_face(ECF[[#This Row],[nE]],ECF[[#This Row],[As,lado (cm²)]])</f>
        <v>N.A.</v>
      </c>
      <c r="AY113" s="5">
        <f ca="1">acoBloco(ECF[[#This Row],[nE]],ECF[[#This Row],[e (cm)]],ECF[[#This Row],[a (cm)]],ECF[[#This Row],[h (cm)]],ECF[[#This Row],[As,lado (cm²)]],ECF[[#This Row],[Asp e Asw (cm²/m)]],ECF[[#This Row],[As,sup (cm²)]],ECF[[#This Row],[As,malha (cm²)]],ECF[[#This Row],[As,susp,tot (cm²)]],ECF[[#This Row],[Asp,face (cm²)]])</f>
        <v>1613.3556288523898</v>
      </c>
      <c r="AZ113" s="4">
        <f ca="1">concretoBloco(ECF[[#This Row],[nE]],ECF[[#This Row],[e (cm)]],ECF[[#This Row],[a (cm)]],ECF[[#This Row],[h (cm)]])</f>
        <v>28.8</v>
      </c>
      <c r="BA113" s="5">
        <f ca="1">SUM(ECF[[#This Row],[Aço Est (kg)]],ECF[[#This Row],[Aço Bloco (kg)]])</f>
        <v>1712.0016381751093</v>
      </c>
      <c r="BB113" s="4">
        <f>INDEX(composicoes[],MATCH(95580,composicoes[CÓDIGO],0),MATCH("CUSTO TOTAL",composicoes[#Headers],0))</f>
        <v>10.46</v>
      </c>
      <c r="BC113" s="4">
        <f ca="1">SUM(ECF[[#This Row],[Conc Est (m³)]],ECF[[#This Row],[Conc Bloco (m³)]])</f>
        <v>44.507963267948966</v>
      </c>
      <c r="BD113" s="4">
        <f>INDEX(composicoes[],MATCH(94966,composicoes[CÓDIGO],0),MATCH("CUSTO TOTAL",composicoes[#Headers],0))</f>
        <v>439.52</v>
      </c>
      <c r="BE113" s="38">
        <f ca="1">ECF[[#This Row],[Aço (kg)]]*ECF[[#This Row],[Aço (R$/kg)]]+ECF[[#This Row],[Conc (m³)]]*ECF[[#This Row],[Conc (R$/m³)]]</f>
        <v>37469.67715084058</v>
      </c>
      <c r="BF113" s="4" t="str">
        <f ca="1">IF(COUNTIF(ECF[#This Row],"N.S.")&gt;0,"lim.","OK")</f>
        <v>OK</v>
      </c>
      <c r="BG113" s="4" t="str">
        <f>IF(ECF[[#This Row],[Prof. (m)]]&lt;4,"lim.","OK")</f>
        <v>OK</v>
      </c>
      <c r="BH113" s="4" t="str">
        <f>IF(ECF[[#This Row],[Prof. (m)]]&gt;=8*ECF[[#This Row],[Ø (cm)]]/100,"OK","lim.")</f>
        <v>OK</v>
      </c>
      <c r="BI113" s="4" t="str">
        <f>IF(AND(SPT!$F$3&lt;&gt;"",ECF[[#This Row],[Prof. (m)]]&gt;=SPT!$F$3-2),"lim.","OK")</f>
        <v>OK</v>
      </c>
      <c r="BJ113" s="4" t="str">
        <f ca="1">IF(ECF[[#This Row],[Verif. Biela]]="OK","OK","lim.")</f>
        <v>OK</v>
      </c>
      <c r="BK113" s="4" t="str">
        <f ca="1">IF(COUNTA(ECF[[#This Row],[Nº Est.]:[Biela comp.]])=COUNTIF(ECF[[#This Row],[Nº Est.]:[Biela comp.]],"OK"),"OK","lim.")</f>
        <v>OK</v>
      </c>
      <c r="BL113" s="4" t="str">
        <f ca="1">IF(ECF[[#This Row],[Controle]]="OK",ECF[[#This Row],[nE]]&amp;" Ø"&amp;ECF[[#This Row],[Ø (cm)]]&amp;"cm Prof. "&amp;ECF[[#This Row],[Prof. (m)]]&amp;" m","")</f>
        <v>2 Ø100cm Prof. 10 m</v>
      </c>
      <c r="BM113" s="4" t="str">
        <f ca="1">IF(ECF[[#This Row],[idDimensionamento]]="","",ECF[[#This Row],[idPilar]]&amp;ECF[[#This Row],[idDimensionamento]])</f>
        <v>22 Ø100cm Prof. 10 m</v>
      </c>
    </row>
    <row r="114" spans="2:65" x14ac:dyDescent="0.25">
      <c r="B114" s="12">
        <f>ROUNDUP((ROW(ECF[[#This Row],[idDiâmetro]])-ROW(ECF[[#Headers],[idDiâmetro]]))/(COUNT(SPT[Prof. (m)])*COUNT(PILARES[Pilar])),0)</f>
        <v>4</v>
      </c>
      <c r="C114" s="12">
        <f>IF(ECF[[#This Row],[idDiâmetro]]&lt;&gt;B113,1,IF(ECF[[#This Row],[Prof. (m)]]=0,C113+1,C113))</f>
        <v>2</v>
      </c>
      <c r="D114" s="1">
        <f>IFERROR(IF(D113=MAX(SPT[Prof. (m)]),0,D113+1),0)</f>
        <v>11</v>
      </c>
      <c r="E114" s="1">
        <f>INDEX(SPT[],MATCH(ECF[[#This Row],[Prof. (m)]],SPT[Prof. (m)],0),2)</f>
        <v>41</v>
      </c>
      <c r="F114" s="1" t="str">
        <f>INDEX(SPT[],MATCH(ECF[[#This Row],[Prof. (m)]],SPT[Prof. (m)],0),3)</f>
        <v>Areia siltosa</v>
      </c>
      <c r="G114" s="1">
        <f>INDEX(estacas[],ECF[[#This Row],[idDiâmetro]],MATCH($B$2,estacas[#Headers],0))</f>
        <v>100</v>
      </c>
      <c r="H114" s="1">
        <f>INDEX(estacas[],MATCH(ECF[[#This Row],[Ø (cm)]],estacas[Ø ECF (cm)],0),MATCH(ECF[[#Headers],[Pe ECF (kN)]],estacas[#Headers],0))</f>
        <v>3100</v>
      </c>
      <c r="I114" s="4">
        <f>INDEX(K_alpha_C[],MATCH(ECF[[#This Row],[Solo]],K_alpha_C[Solo],0),2)</f>
        <v>0.8</v>
      </c>
      <c r="J114" s="5">
        <f>INDEX(K_alpha_C[],MATCH(ECF[[#This Row],[Solo]],K_alpha_C[Solo],0),3)</f>
        <v>2</v>
      </c>
      <c r="K114" s="4">
        <f>INDEX(F1_F2[],MATCH($D$2,F1_F2[Tipo de estaca],0),2)</f>
        <v>3</v>
      </c>
      <c r="L114" s="4">
        <f>INDEX(F1_F2[],MATCH($D$2,F1_F2[Tipo de estaca],0),3)</f>
        <v>6</v>
      </c>
      <c r="M114" s="4">
        <f>PI()*(ECF[[#This Row],[Ø (cm)]]/100)^2/4</f>
        <v>0.78539816339744828</v>
      </c>
      <c r="N114" s="4">
        <f>PI()*ECF[[#This Row],[Ø (cm)]]/100</f>
        <v>3.1415926535897931</v>
      </c>
      <c r="O114" s="4">
        <f>IF(ECF[[#This Row],[Prof. (m)]]=0,0,ECF[[#This Row],[α (%)]]/100*ECF[[#This Row],[K (MPa)]]*1000*ECF[[#This Row],[NSPT]])</f>
        <v>656</v>
      </c>
      <c r="P114" s="4">
        <f>IF(ECF[[#This Row],[Prof. (m)]]=0,0,(ECF[[#This Row],[K (MPa)]]*1000*ECF[[#This Row],[NSPT]]/ECF[[#This Row],[F1]]*ECF[[#This Row],[Ap (m²)]]+ECF[[#This Row],[U (m)]]/ECF[[#This Row],[F2]]*SUMIFS(ECF[(α∙K∙NL∙ΔL)],ECF[Prof. (m)],"&lt;="&amp;ECF[[#This Row],[Prof. (m)]],ECF[idDiâmetro],ECF[[#This Row],[idDiâmetro]],ECF[idPilar],ECF[[#This Row],[idPilar]]))/'DADOS CAP. CARGA'!$D$2)</f>
        <v>4969.9733980402725</v>
      </c>
      <c r="Q114" s="12">
        <f>INDEX(C_alpha_beta[],MATCH(ECF[[#This Row],[Solo]],C_alpha_beta[Solo],0),MATCH(ECF[[#Headers],[C (kPa)]],C_alpha_beta[#Headers],0))</f>
        <v>400</v>
      </c>
      <c r="R114" s="4">
        <f>INDEX(C_alpha_beta[],MATCH(ECF[[#This Row],[Solo]],C_alpha_beta[Solo],0),MATCH(ECF[[#Headers],[α ESF]],C_alpha_beta[#Headers],0))</f>
        <v>0.5</v>
      </c>
      <c r="S114" s="4">
        <f>INDEX(C_alpha_beta[],MATCH(ECF[[#This Row],[Solo]],C_alpha_beta[Solo],0),MATCH(ECF[[#Headers],[β ESF]],C_alpha_beta[#Headers],0))</f>
        <v>0.5</v>
      </c>
      <c r="T114" s="4">
        <f>IF(ECF[[#This Row],[Prof. (m)]]=0,0,10*(ECF[[#This Row],[NSPT]]/3+1))</f>
        <v>146.66666666666666</v>
      </c>
      <c r="U114" s="4">
        <f>(ECF[[#This Row],[α ESF]]*ECF[[#This Row],[C (kPa)]]*ECF[[#This Row],[NSPT]]*ECF[[#This Row],[Ap (m²)]])/'DADOS CAP. CARGA'!$Q$2+(ECF[[#This Row],[β ESF]]*SUMIFS(ECF[10∙(NL/3+1)],ECF[Prof. (m)],"&lt;="&amp;ECF[[#This Row],[Prof. (m)]],ECF[idDiâmetro],ECF[[#This Row],[idDiâmetro]],ECF[idPilar],ECF[[#This Row],[idPilar]])*ECF[[#This Row],[U (m)]])/'DADOS CAP. CARGA'!$S$2</f>
        <v>2144.1369860750337</v>
      </c>
      <c r="V114" s="4">
        <f>IF(SPT!$M$5=1,MIN(ECF[[#This Row],[Pe ECF (kN)]],ECF[[#This Row],[R_AV (kN)]]),IF(SPT!$M$5=2,MIN(ECF[[#This Row],[Pe ECF (kN)]],ECF[[#This Row],[R_DC (kN)]]),MIN(ECF[[#This Row],[Pe ECF (kN)]],ECF[[#This Row],[R_AV (kN)]],ECF[[#This Row],[R_DC (kN)]])))</f>
        <v>2144.1369860750337</v>
      </c>
      <c r="W114" s="4">
        <f>INDEX(PILARES[],ECF[[#This Row],[idPilar]],MATCH("Carga (kN)",PILARES[#Headers],0))*1.4</f>
        <v>1750</v>
      </c>
      <c r="X114" s="12">
        <f>INDEX(PILARES[],ECF[[#This Row],[idPilar]],MATCH(ECF[[#Headers],[ap (cm)]],PILARES[#Headers],0))</f>
        <v>50</v>
      </c>
      <c r="Y114" s="12">
        <f>INDEX(PILARES[],ECF[[#This Row],[idPilar]],MATCH(ECF[[#Headers],[bp (cm)]],PILARES[#Headers],0))</f>
        <v>40</v>
      </c>
      <c r="Z114" s="4">
        <f>SQRT(ECF[[#This Row],[ap (cm)]]*ECF[[#This Row],[bp (cm)]])</f>
        <v>44.721359549995796</v>
      </c>
      <c r="AA114" s="12">
        <f>ECF[[#This Row],[ap (cm)]]*ECF[[#This Row],[bp (cm)]]</f>
        <v>2000</v>
      </c>
      <c r="AB114" s="12">
        <f ca="1">IF(ECF[[#This Row],[Padm∙ε (kN)]]&gt;=ECF[[#This Row],[Padm (kN)]],ROUNDUP(1.05*ECF[[#This Row],[Nsd (kN)]]/ECF[[#This Row],[Padm (kN)]],0),ROUNDUP(1.05*ECF[[#This Row],[Nsd (kN)]]/ECF[[#This Row],[Padm (kN)]],0)+1)</f>
        <v>1</v>
      </c>
      <c r="AC114" s="4">
        <f ca="1">IFERROR(IF(ECF[[#This Row],[nE]]=1,ECF[[#This Row],[Padm (kN)]],ECF[[#This Row],[Padm (kN)]]*ECF[[#This Row],[nE]]*INDEX(grupoEstacas[],ECF[[#This Row],[nE]],MATCH("ε",grupoEstacas[#Headers],0))),"N.S.")</f>
        <v>2144.1369860750337</v>
      </c>
      <c r="AD114" s="4">
        <f ca="1">1.05*ECF[[#This Row],[Nsd (kN)]]/(ECF[[#This Row],[nE]]*PI()*ECF[[#This Row],[Ø (cm)]]^2/4)*10</f>
        <v>2.3395776634508616</v>
      </c>
      <c r="AE114" s="4">
        <f ca="1">IF(ECF[[#This Row],[σ (MPa)]]&lt;INDEX(tipoEstaca[],MATCH($D$2,tipoEstaca[TIPO DE ESTACA],0),MATCH("σmáx (MPa)",tipoEstaca[#Headers],0)),0.4%*PI()*ECF[[#This Row],[Ø (cm)]]^2/4,"N.S.")</f>
        <v>31.415926535897935</v>
      </c>
      <c r="AF114" s="1">
        <f>INDEX(tipoEstaca[],MATCH($D$2,tipoEstaca[TIPO DE ESTACA],0),MATCH(ECF[[#Headers],[Comprimento (m)]],tipoEstaca[#Headers],0))</f>
        <v>4</v>
      </c>
      <c r="AG114" s="5">
        <f ca="1">ECF[[#This Row],[As,mín (cm²)]]/100^2*ECF[[#This Row],[Comprimento (m)]]*7850</f>
        <v>98.646009322719507</v>
      </c>
      <c r="AH114" s="4">
        <f ca="1">ECF[[#This Row],[nE]]*ECF[[#This Row],[Prof. (m)]]*ECF[[#This Row],[Ap (m²)]]</f>
        <v>8.6393797973719302</v>
      </c>
      <c r="AI114" s="1">
        <f ca="1">IF(ECF[[#This Row],[nE]]=1,0,MAX(3*ECF[[#This Row],[Ø (cm)]],60))</f>
        <v>0</v>
      </c>
      <c r="AJ114" s="1">
        <f ca="1">IF(ECF[[#This Row],[nE]]=1,ECF[[#This Row],[Ø (cm)]]+2*10,MAX(1.5*ECF[[#This Row],[Ø (cm)]],ECF[[#This Row],[Ø (cm)]]+15))</f>
        <v>120</v>
      </c>
      <c r="AK114" s="1">
        <f ca="1">alturaUtil(ECF[[#This Row],[nE]],ECF[[#This Row],[Ø (cm)]],ECF[[#This Row],[e (cm)]],ECF[[#This Row],[ap,eq (cm)]])</f>
        <v>120</v>
      </c>
      <c r="AL114" s="1">
        <f ca="1">IFERROR(ECF[[#This Row],[d (cm)]]+arredondarParaCimaMultiplo5cm(MAX(5,SQRT(PI())/2*ECF[[#This Row],[Ø (cm)]]/5)),"N.S.")</f>
        <v>140</v>
      </c>
      <c r="AM114" s="5">
        <f ca="1">alpha(ECF[[#This Row],[nE]],ECF[[#This Row],[d (cm)]],ECF[[#This Row],[e (cm)]],ECF[[#This Row],[ap,eq (cm)]])</f>
        <v>90</v>
      </c>
      <c r="AN114" s="35">
        <f ca="1">IFERROR(ECF[[#This Row],[Nsd (kN)]]/(ECF[[#This Row],[Ap (cm²)]]*SIN(ECF[[#This Row],[α]])^2),"N.S.")</f>
        <v>1.0948037013095111</v>
      </c>
      <c r="AO114" s="35">
        <f ca="1">IFERROR(ECF[[#This Row],[Nsd (kN)]]/(ECF[[#This Row],[nE]]*PI()*ECF[[#This Row],[Ø (cm)]]^2/4*SIN(ECF[[#This Row],[α]])^2),"N.S.")</f>
        <v>0.27878947324593861</v>
      </c>
      <c r="AP114" s="4">
        <f ca="1">IFERROR(INDEX(grupoEstacas[],ECF[[#This Row],[nE]],MATCH("coef. Blévot",grupoEstacas[#Headers],0)),"N.S.")</f>
        <v>1</v>
      </c>
      <c r="AQ114" s="35">
        <f ca="1">IFERROR(ECF[[#This Row],[coef. Blévot]]*0.9*INDEX(tipoEstaca[],MATCH($D$2,tipoEstaca[TIPO DE ESTACA],0),MATCH("fcd (kN/cm²)",tipoEstaca[#Headers],0)),"N.S.")</f>
        <v>1</v>
      </c>
      <c r="AR114" s="1" t="str">
        <f ca="1">IF(AND(ECF[[#This Row],[cd,b,pil (kN/cm²)]]&lt;=ECF[[#This Row],[cd,b,lim (kN/cm²)]],ECF[[#This Row],[cd,b,est (kN/cm²)]]&lt;=ECF[[#This Row],[cd,b,lim (kN/cm²)]]),"OK","ERRO")</f>
        <v>ERRO</v>
      </c>
      <c r="AS114" s="4">
        <f ca="1">As_lado(ECF[[#This Row],[nE]],ECF[[#This Row],[Nsd (kN)]],ECF[[#This Row],[d (cm)]],ECF[[#This Row],[e (cm)]],ECF[[#This Row],[ap,eq (cm)]])</f>
        <v>10.0625</v>
      </c>
      <c r="AT114" s="4">
        <f ca="1">IF(ECF[[#This Row],[nE]]=1,ECF[[#This Row],[As,lado (cm²)]],IF(ECF[[#This Row],[nE]]=2,0.075*2*ECF[a (cm)],"N.A."))</f>
        <v>10.0625</v>
      </c>
      <c r="AU114" s="4" t="str">
        <f ca="1">IFERROR(IF(ECF[[#This Row],[nE]]=1,"N.A.",0.2*ECF[[#This Row],[As,lado (cm²)]]),"N.S.")</f>
        <v>N.A.</v>
      </c>
      <c r="AV114" s="4" t="str">
        <f ca="1">As_malha(ECF[[#This Row],[nE]],ECF[[#This Row],[As,lado (cm²)]],ECF[[#This Row],[Nsd (kN)]])</f>
        <v>N.A.</v>
      </c>
      <c r="AW114" s="4" t="str">
        <f ca="1">As_susp_tot(ECF[[#This Row],[nE]],ECF[[#This Row],[Nsd (kN)]])</f>
        <v>N.A.</v>
      </c>
      <c r="AX114" s="4" t="str">
        <f ca="1">Asp_face(ECF[[#This Row],[nE]],ECF[[#This Row],[As,lado (cm²)]])</f>
        <v>N.A.</v>
      </c>
      <c r="AY114" s="5">
        <f ca="1">acoBloco(ECF[[#This Row],[nE]],ECF[[#This Row],[e (cm)]],ECF[[#This Row],[a (cm)]],ECF[[#This Row],[h (cm)]],ECF[[#This Row],[As,lado (cm²)]],ECF[[#This Row],[Asp e Asw (cm²/m)]],ECF[[#This Row],[As,sup (cm²)]],ECF[[#This Row],[As,malha (cm²)]],ECF[[#This Row],[As,susp,tot (cm²)]],ECF[[#This Row],[Asp,face (cm²)]])</f>
        <v>120.06574999999999</v>
      </c>
      <c r="AZ114" s="4">
        <f ca="1">concretoBloco(ECF[[#This Row],[nE]],ECF[[#This Row],[e (cm)]],ECF[[#This Row],[a (cm)]],ECF[[#This Row],[h (cm)]])</f>
        <v>2.016</v>
      </c>
      <c r="BA114" s="5">
        <f ca="1">SUM(ECF[[#This Row],[Aço Est (kg)]],ECF[[#This Row],[Aço Bloco (kg)]])</f>
        <v>218.7117593227195</v>
      </c>
      <c r="BB114" s="4">
        <f>INDEX(composicoes[],MATCH(95580,composicoes[CÓDIGO],0),MATCH("CUSTO TOTAL",composicoes[#Headers],0))</f>
        <v>10.46</v>
      </c>
      <c r="BC114" s="4">
        <f ca="1">SUM(ECF[[#This Row],[Conc Est (m³)]],ECF[[#This Row],[Conc Bloco (m³)]])</f>
        <v>10.65537979737193</v>
      </c>
      <c r="BD114" s="4">
        <f>INDEX(composicoes[],MATCH(94966,composicoes[CÓDIGO],0),MATCH("CUSTO TOTAL",composicoes[#Headers],0))</f>
        <v>439.52</v>
      </c>
      <c r="BE114" s="38">
        <f ca="1">ECF[[#This Row],[Aço (kg)]]*ECF[[#This Row],[Aço (R$/kg)]]+ECF[[#This Row],[Conc (m³)]]*ECF[[#This Row],[Conc (R$/m³)]]</f>
        <v>6970.9775310565565</v>
      </c>
      <c r="BF114" s="4" t="str">
        <f ca="1">IF(COUNTIF(ECF[#This Row],"N.S.")&gt;0,"lim.","OK")</f>
        <v>OK</v>
      </c>
      <c r="BG114" s="4" t="str">
        <f>IF(ECF[[#This Row],[Prof. (m)]]&lt;4,"lim.","OK")</f>
        <v>OK</v>
      </c>
      <c r="BH114" s="4" t="str">
        <f>IF(ECF[[#This Row],[Prof. (m)]]&gt;=8*ECF[[#This Row],[Ø (cm)]]/100,"OK","lim.")</f>
        <v>OK</v>
      </c>
      <c r="BI114" s="4" t="str">
        <f>IF(AND(SPT!$F$3&lt;&gt;"",ECF[[#This Row],[Prof. (m)]]&gt;=SPT!$F$3-2),"lim.","OK")</f>
        <v>OK</v>
      </c>
      <c r="BJ114" s="4" t="str">
        <f ca="1">IF(ECF[[#This Row],[Verif. Biela]]="OK","OK","lim.")</f>
        <v>lim.</v>
      </c>
      <c r="BK114" s="4" t="str">
        <f ca="1">IF(COUNTA(ECF[[#This Row],[Nº Est.]:[Biela comp.]])=COUNTIF(ECF[[#This Row],[Nº Est.]:[Biela comp.]],"OK"),"OK","lim.")</f>
        <v>lim.</v>
      </c>
      <c r="BL114" s="4" t="str">
        <f ca="1">IF(ECF[[#This Row],[Controle]]="OK",ECF[[#This Row],[nE]]&amp;" Ø"&amp;ECF[[#This Row],[Ø (cm)]]&amp;"cm Prof. "&amp;ECF[[#This Row],[Prof. (m)]]&amp;" m","")</f>
        <v/>
      </c>
      <c r="BM114" s="4" t="str">
        <f ca="1">IF(ECF[[#This Row],[idDimensionamento]]="","",ECF[[#This Row],[idPilar]]&amp;ECF[[#This Row],[idDimensionamento]])</f>
        <v/>
      </c>
    </row>
    <row r="115" spans="2:65" x14ac:dyDescent="0.25">
      <c r="B115" s="12">
        <f>ROUNDUP((ROW(ECF[[#This Row],[idDiâmetro]])-ROW(ECF[[#Headers],[idDiâmetro]]))/(COUNT(SPT[Prof. (m)])*COUNT(PILARES[Pilar])),0)</f>
        <v>4</v>
      </c>
      <c r="C115" s="12">
        <f>IF(ECF[[#This Row],[idDiâmetro]]&lt;&gt;B114,1,IF(ECF[[#This Row],[Prof. (m)]]=0,C114+1,C114))</f>
        <v>2</v>
      </c>
      <c r="D115" s="1">
        <f>IFERROR(IF(D114=MAX(SPT[Prof. (m)]),0,D114+1),0)</f>
        <v>12</v>
      </c>
      <c r="E115" s="1">
        <f>INDEX(SPT[],MATCH(ECF[[#This Row],[Prof. (m)]],SPT[Prof. (m)],0),2)</f>
        <v>52</v>
      </c>
      <c r="F115" s="1" t="str">
        <f>INDEX(SPT[],MATCH(ECF[[#This Row],[Prof. (m)]],SPT[Prof. (m)],0),3)</f>
        <v>Areia siltosa</v>
      </c>
      <c r="G115" s="1">
        <f>INDEX(estacas[],ECF[[#This Row],[idDiâmetro]],MATCH($B$2,estacas[#Headers],0))</f>
        <v>100</v>
      </c>
      <c r="H115" s="1">
        <f>INDEX(estacas[],MATCH(ECF[[#This Row],[Ø (cm)]],estacas[Ø ECF (cm)],0),MATCH(ECF[[#Headers],[Pe ECF (kN)]],estacas[#Headers],0))</f>
        <v>3100</v>
      </c>
      <c r="I115" s="4">
        <f>INDEX(K_alpha_C[],MATCH(ECF[[#This Row],[Solo]],K_alpha_C[Solo],0),2)</f>
        <v>0.8</v>
      </c>
      <c r="J115" s="5">
        <f>INDEX(K_alpha_C[],MATCH(ECF[[#This Row],[Solo]],K_alpha_C[Solo],0),3)</f>
        <v>2</v>
      </c>
      <c r="K115" s="4">
        <f>INDEX(F1_F2[],MATCH($D$2,F1_F2[Tipo de estaca],0),2)</f>
        <v>3</v>
      </c>
      <c r="L115" s="4">
        <f>INDEX(F1_F2[],MATCH($D$2,F1_F2[Tipo de estaca],0),3)</f>
        <v>6</v>
      </c>
      <c r="M115" s="4">
        <f>PI()*(ECF[[#This Row],[Ø (cm)]]/100)^2/4</f>
        <v>0.78539816339744828</v>
      </c>
      <c r="N115" s="4">
        <f>PI()*ECF[[#This Row],[Ø (cm)]]/100</f>
        <v>3.1415926535897931</v>
      </c>
      <c r="O115" s="4">
        <f>IF(ECF[[#This Row],[Prof. (m)]]=0,0,ECF[[#This Row],[α (%)]]/100*ECF[[#This Row],[K (MPa)]]*1000*ECF[[#This Row],[NSPT]])</f>
        <v>832</v>
      </c>
      <c r="P115" s="4">
        <f>IF(ECF[[#This Row],[Prof. (m)]]=0,0,(ECF[[#This Row],[K (MPa)]]*1000*ECF[[#This Row],[NSPT]]/ECF[[#This Row],[F1]]*ECF[[#This Row],[Ap (m²)]]+ECF[[#This Row],[U (m)]]/ECF[[#This Row],[F2]]*SUMIFS(ECF[(α∙K∙NL∙ΔL)],ECF[Prof. (m)],"&lt;="&amp;ECF[[#This Row],[Prof. (m)]],ECF[idDiâmetro],ECF[[#This Row],[idDiâmetro]],ECF[idPilar],ECF[[#This Row],[idPilar]]))/'DADOS CAP. CARGA'!$D$2)</f>
        <v>6339.7077950054218</v>
      </c>
      <c r="Q115" s="12">
        <f>INDEX(C_alpha_beta[],MATCH(ECF[[#This Row],[Solo]],C_alpha_beta[Solo],0),MATCH(ECF[[#Headers],[C (kPa)]],C_alpha_beta[#Headers],0))</f>
        <v>400</v>
      </c>
      <c r="R115" s="4">
        <f>INDEX(C_alpha_beta[],MATCH(ECF[[#This Row],[Solo]],C_alpha_beta[Solo],0),MATCH(ECF[[#Headers],[α ESF]],C_alpha_beta[#Headers],0))</f>
        <v>0.5</v>
      </c>
      <c r="S115" s="4">
        <f>INDEX(C_alpha_beta[],MATCH(ECF[[#This Row],[Solo]],C_alpha_beta[Solo],0),MATCH(ECF[[#Headers],[β ESF]],C_alpha_beta[#Headers],0))</f>
        <v>0.5</v>
      </c>
      <c r="T115" s="4">
        <f>IF(ECF[[#This Row],[Prof. (m)]]=0,0,10*(ECF[[#This Row],[NSPT]]/3+1))</f>
        <v>183.33333333333331</v>
      </c>
      <c r="U115" s="4">
        <f>(ECF[[#This Row],[α ESF]]*ECF[[#This Row],[C (kPa)]]*ECF[[#This Row],[NSPT]]*ECF[[#This Row],[Ap (m²)]])/'DADOS CAP. CARGA'!$Q$2+(ECF[[#This Row],[β ESF]]*SUMIFS(ECF[10∙(NL/3+1)],ECF[Prof. (m)],"&lt;="&amp;ECF[[#This Row],[Prof. (m)]],ECF[idDiâmetro],ECF[[#This Row],[idDiâmetro]],ECF[idPilar],ECF[[#This Row],[idPilar]])*ECF[[#This Row],[U (m)]])/'DADOS CAP. CARGA'!$S$2</f>
        <v>2720.0956392331623</v>
      </c>
      <c r="V115" s="4">
        <f>IF(SPT!$M$5=1,MIN(ECF[[#This Row],[Pe ECF (kN)]],ECF[[#This Row],[R_AV (kN)]]),IF(SPT!$M$5=2,MIN(ECF[[#This Row],[Pe ECF (kN)]],ECF[[#This Row],[R_DC (kN)]]),MIN(ECF[[#This Row],[Pe ECF (kN)]],ECF[[#This Row],[R_AV (kN)]],ECF[[#This Row],[R_DC (kN)]])))</f>
        <v>2720.0956392331623</v>
      </c>
      <c r="W115" s="4">
        <f>INDEX(PILARES[],ECF[[#This Row],[idPilar]],MATCH("Carga (kN)",PILARES[#Headers],0))*1.4</f>
        <v>1750</v>
      </c>
      <c r="X115" s="12">
        <f>INDEX(PILARES[],ECF[[#This Row],[idPilar]],MATCH(ECF[[#Headers],[ap (cm)]],PILARES[#Headers],0))</f>
        <v>50</v>
      </c>
      <c r="Y115" s="12">
        <f>INDEX(PILARES[],ECF[[#This Row],[idPilar]],MATCH(ECF[[#Headers],[bp (cm)]],PILARES[#Headers],0))</f>
        <v>40</v>
      </c>
      <c r="Z115" s="4">
        <f>SQRT(ECF[[#This Row],[ap (cm)]]*ECF[[#This Row],[bp (cm)]])</f>
        <v>44.721359549995796</v>
      </c>
      <c r="AA115" s="12">
        <f>ECF[[#This Row],[ap (cm)]]*ECF[[#This Row],[bp (cm)]]</f>
        <v>2000</v>
      </c>
      <c r="AB115" s="12">
        <f ca="1">IF(ECF[[#This Row],[Padm∙ε (kN)]]&gt;=ECF[[#This Row],[Padm (kN)]],ROUNDUP(1.05*ECF[[#This Row],[Nsd (kN)]]/ECF[[#This Row],[Padm (kN)]],0),ROUNDUP(1.05*ECF[[#This Row],[Nsd (kN)]]/ECF[[#This Row],[Padm (kN)]],0)+1)</f>
        <v>1</v>
      </c>
      <c r="AC115" s="4">
        <f ca="1">IFERROR(IF(ECF[[#This Row],[nE]]=1,ECF[[#This Row],[Padm (kN)]],ECF[[#This Row],[Padm (kN)]]*ECF[[#This Row],[nE]]*INDEX(grupoEstacas[],ECF[[#This Row],[nE]],MATCH("ε",grupoEstacas[#Headers],0))),"N.S.")</f>
        <v>2720.0956392331623</v>
      </c>
      <c r="AD115" s="4">
        <f ca="1">1.05*ECF[[#This Row],[Nsd (kN)]]/(ECF[[#This Row],[nE]]*PI()*ECF[[#This Row],[Ø (cm)]]^2/4)*10</f>
        <v>2.3395776634508616</v>
      </c>
      <c r="AE115" s="4">
        <f ca="1">IF(ECF[[#This Row],[σ (MPa)]]&lt;INDEX(tipoEstaca[],MATCH($D$2,tipoEstaca[TIPO DE ESTACA],0),MATCH("σmáx (MPa)",tipoEstaca[#Headers],0)),0.4%*PI()*ECF[[#This Row],[Ø (cm)]]^2/4,"N.S.")</f>
        <v>31.415926535897935</v>
      </c>
      <c r="AF115" s="1">
        <f>INDEX(tipoEstaca[],MATCH($D$2,tipoEstaca[TIPO DE ESTACA],0),MATCH(ECF[[#Headers],[Comprimento (m)]],tipoEstaca[#Headers],0))</f>
        <v>4</v>
      </c>
      <c r="AG115" s="5">
        <f ca="1">ECF[[#This Row],[As,mín (cm²)]]/100^2*ECF[[#This Row],[Comprimento (m)]]*7850</f>
        <v>98.646009322719507</v>
      </c>
      <c r="AH115" s="4">
        <f ca="1">ECF[[#This Row],[nE]]*ECF[[#This Row],[Prof. (m)]]*ECF[[#This Row],[Ap (m²)]]</f>
        <v>9.4247779607693793</v>
      </c>
      <c r="AI115" s="1">
        <f ca="1">IF(ECF[[#This Row],[nE]]=1,0,MAX(3*ECF[[#This Row],[Ø (cm)]],60))</f>
        <v>0</v>
      </c>
      <c r="AJ115" s="1">
        <f ca="1">IF(ECF[[#This Row],[nE]]=1,ECF[[#This Row],[Ø (cm)]]+2*10,MAX(1.5*ECF[[#This Row],[Ø (cm)]],ECF[[#This Row],[Ø (cm)]]+15))</f>
        <v>120</v>
      </c>
      <c r="AK115" s="1">
        <f ca="1">alturaUtil(ECF[[#This Row],[nE]],ECF[[#This Row],[Ø (cm)]],ECF[[#This Row],[e (cm)]],ECF[[#This Row],[ap,eq (cm)]])</f>
        <v>120</v>
      </c>
      <c r="AL115" s="1">
        <f ca="1">IFERROR(ECF[[#This Row],[d (cm)]]+arredondarParaCimaMultiplo5cm(MAX(5,SQRT(PI())/2*ECF[[#This Row],[Ø (cm)]]/5)),"N.S.")</f>
        <v>140</v>
      </c>
      <c r="AM115" s="5">
        <f ca="1">alpha(ECF[[#This Row],[nE]],ECF[[#This Row],[d (cm)]],ECF[[#This Row],[e (cm)]],ECF[[#This Row],[ap,eq (cm)]])</f>
        <v>90</v>
      </c>
      <c r="AN115" s="35">
        <f ca="1">IFERROR(ECF[[#This Row],[Nsd (kN)]]/(ECF[[#This Row],[Ap (cm²)]]*SIN(ECF[[#This Row],[α]])^2),"N.S.")</f>
        <v>1.0948037013095111</v>
      </c>
      <c r="AO115" s="35">
        <f ca="1">IFERROR(ECF[[#This Row],[Nsd (kN)]]/(ECF[[#This Row],[nE]]*PI()*ECF[[#This Row],[Ø (cm)]]^2/4*SIN(ECF[[#This Row],[α]])^2),"N.S.")</f>
        <v>0.27878947324593861</v>
      </c>
      <c r="AP115" s="4">
        <f ca="1">IFERROR(INDEX(grupoEstacas[],ECF[[#This Row],[nE]],MATCH("coef. Blévot",grupoEstacas[#Headers],0)),"N.S.")</f>
        <v>1</v>
      </c>
      <c r="AQ115" s="35">
        <f ca="1">IFERROR(ECF[[#This Row],[coef. Blévot]]*0.9*INDEX(tipoEstaca[],MATCH($D$2,tipoEstaca[TIPO DE ESTACA],0),MATCH("fcd (kN/cm²)",tipoEstaca[#Headers],0)),"N.S.")</f>
        <v>1</v>
      </c>
      <c r="AR115" s="1" t="str">
        <f ca="1">IF(AND(ECF[[#This Row],[cd,b,pil (kN/cm²)]]&lt;=ECF[[#This Row],[cd,b,lim (kN/cm²)]],ECF[[#This Row],[cd,b,est (kN/cm²)]]&lt;=ECF[[#This Row],[cd,b,lim (kN/cm²)]]),"OK","ERRO")</f>
        <v>ERRO</v>
      </c>
      <c r="AS115" s="4">
        <f ca="1">As_lado(ECF[[#This Row],[nE]],ECF[[#This Row],[Nsd (kN)]],ECF[[#This Row],[d (cm)]],ECF[[#This Row],[e (cm)]],ECF[[#This Row],[ap,eq (cm)]])</f>
        <v>10.0625</v>
      </c>
      <c r="AT115" s="4">
        <f ca="1">IF(ECF[[#This Row],[nE]]=1,ECF[[#This Row],[As,lado (cm²)]],IF(ECF[[#This Row],[nE]]=2,0.075*2*ECF[a (cm)],"N.A."))</f>
        <v>10.0625</v>
      </c>
      <c r="AU115" s="4" t="str">
        <f ca="1">IFERROR(IF(ECF[[#This Row],[nE]]=1,"N.A.",0.2*ECF[[#This Row],[As,lado (cm²)]]),"N.S.")</f>
        <v>N.A.</v>
      </c>
      <c r="AV115" s="4" t="str">
        <f ca="1">As_malha(ECF[[#This Row],[nE]],ECF[[#This Row],[As,lado (cm²)]],ECF[[#This Row],[Nsd (kN)]])</f>
        <v>N.A.</v>
      </c>
      <c r="AW115" s="4" t="str">
        <f ca="1">As_susp_tot(ECF[[#This Row],[nE]],ECF[[#This Row],[Nsd (kN)]])</f>
        <v>N.A.</v>
      </c>
      <c r="AX115" s="4" t="str">
        <f ca="1">Asp_face(ECF[[#This Row],[nE]],ECF[[#This Row],[As,lado (cm²)]])</f>
        <v>N.A.</v>
      </c>
      <c r="AY115" s="5">
        <f ca="1">acoBloco(ECF[[#This Row],[nE]],ECF[[#This Row],[e (cm)]],ECF[[#This Row],[a (cm)]],ECF[[#This Row],[h (cm)]],ECF[[#This Row],[As,lado (cm²)]],ECF[[#This Row],[Asp e Asw (cm²/m)]],ECF[[#This Row],[As,sup (cm²)]],ECF[[#This Row],[As,malha (cm²)]],ECF[[#This Row],[As,susp,tot (cm²)]],ECF[[#This Row],[Asp,face (cm²)]])</f>
        <v>120.06574999999999</v>
      </c>
      <c r="AZ115" s="4">
        <f ca="1">concretoBloco(ECF[[#This Row],[nE]],ECF[[#This Row],[e (cm)]],ECF[[#This Row],[a (cm)]],ECF[[#This Row],[h (cm)]])</f>
        <v>2.016</v>
      </c>
      <c r="BA115" s="5">
        <f ca="1">SUM(ECF[[#This Row],[Aço Est (kg)]],ECF[[#This Row],[Aço Bloco (kg)]])</f>
        <v>218.7117593227195</v>
      </c>
      <c r="BB115" s="4">
        <f>INDEX(composicoes[],MATCH(95580,composicoes[CÓDIGO],0),MATCH("CUSTO TOTAL",composicoes[#Headers],0))</f>
        <v>10.46</v>
      </c>
      <c r="BC115" s="4">
        <f ca="1">SUM(ECF[[#This Row],[Conc Est (m³)]],ECF[[#This Row],[Conc Bloco (m³)]])</f>
        <v>11.440777960769379</v>
      </c>
      <c r="BD115" s="4">
        <f>INDEX(composicoes[],MATCH(94966,composicoes[CÓDIGO],0),MATCH("CUSTO TOTAL",composicoes[#Headers],0))</f>
        <v>439.52</v>
      </c>
      <c r="BE115" s="38">
        <f ca="1">ECF[[#This Row],[Aço (kg)]]*ECF[[#This Row],[Aço (R$/kg)]]+ECF[[#This Row],[Conc (m³)]]*ECF[[#This Row],[Conc (R$/m³)]]</f>
        <v>7316.1757318330037</v>
      </c>
      <c r="BF115" s="4" t="str">
        <f ca="1">IF(COUNTIF(ECF[#This Row],"N.S.")&gt;0,"lim.","OK")</f>
        <v>OK</v>
      </c>
      <c r="BG115" s="4" t="str">
        <f>IF(ECF[[#This Row],[Prof. (m)]]&lt;4,"lim.","OK")</f>
        <v>OK</v>
      </c>
      <c r="BH115" s="4" t="str">
        <f>IF(ECF[[#This Row],[Prof. (m)]]&gt;=8*ECF[[#This Row],[Ø (cm)]]/100,"OK","lim.")</f>
        <v>OK</v>
      </c>
      <c r="BI115" s="4" t="str">
        <f>IF(AND(SPT!$F$3&lt;&gt;"",ECF[[#This Row],[Prof. (m)]]&gt;=SPT!$F$3-2),"lim.","OK")</f>
        <v>OK</v>
      </c>
      <c r="BJ115" s="4" t="str">
        <f ca="1">IF(ECF[[#This Row],[Verif. Biela]]="OK","OK","lim.")</f>
        <v>lim.</v>
      </c>
      <c r="BK115" s="4" t="str">
        <f ca="1">IF(COUNTA(ECF[[#This Row],[Nº Est.]:[Biela comp.]])=COUNTIF(ECF[[#This Row],[Nº Est.]:[Biela comp.]],"OK"),"OK","lim.")</f>
        <v>lim.</v>
      </c>
      <c r="BL115" s="4" t="str">
        <f ca="1">IF(ECF[[#This Row],[Controle]]="OK",ECF[[#This Row],[nE]]&amp;" Ø"&amp;ECF[[#This Row],[Ø (cm)]]&amp;"cm Prof. "&amp;ECF[[#This Row],[Prof. (m)]]&amp;" m","")</f>
        <v/>
      </c>
      <c r="BM115" s="4" t="str">
        <f ca="1">IF(ECF[[#This Row],[idDimensionamento]]="","",ECF[[#This Row],[idPilar]]&amp;ECF[[#This Row],[idDimensionamento]])</f>
        <v/>
      </c>
    </row>
    <row r="116" spans="2:65" x14ac:dyDescent="0.25">
      <c r="B116" s="12">
        <f>ROUNDUP((ROW(ECF[[#This Row],[idDiâmetro]])-ROW(ECF[[#Headers],[idDiâmetro]]))/(COUNT(SPT[Prof. (m)])*COUNT(PILARES[Pilar])),0)</f>
        <v>4</v>
      </c>
      <c r="C116" s="12">
        <f>IF(ECF[[#This Row],[idDiâmetro]]&lt;&gt;B115,1,IF(ECF[[#This Row],[Prof. (m)]]=0,C115+1,C115))</f>
        <v>2</v>
      </c>
      <c r="D116" s="1">
        <f>IFERROR(IF(D115=MAX(SPT[Prof. (m)]),0,D115+1),0)</f>
        <v>13</v>
      </c>
      <c r="E116" s="1">
        <f>INDEX(SPT[],MATCH(ECF[[#This Row],[Prof. (m)]],SPT[Prof. (m)],0),2)</f>
        <v>68</v>
      </c>
      <c r="F116" s="1" t="str">
        <f>INDEX(SPT[],MATCH(ECF[[#This Row],[Prof. (m)]],SPT[Prof. (m)],0),3)</f>
        <v>Areia siltosa</v>
      </c>
      <c r="G116" s="1">
        <f>INDEX(estacas[],ECF[[#This Row],[idDiâmetro]],MATCH($B$2,estacas[#Headers],0))</f>
        <v>100</v>
      </c>
      <c r="H116" s="1">
        <f>INDEX(estacas[],MATCH(ECF[[#This Row],[Ø (cm)]],estacas[Ø ECF (cm)],0),MATCH(ECF[[#Headers],[Pe ECF (kN)]],estacas[#Headers],0))</f>
        <v>3100</v>
      </c>
      <c r="I116" s="4">
        <f>INDEX(K_alpha_C[],MATCH(ECF[[#This Row],[Solo]],K_alpha_C[Solo],0),2)</f>
        <v>0.8</v>
      </c>
      <c r="J116" s="5">
        <f>INDEX(K_alpha_C[],MATCH(ECF[[#This Row],[Solo]],K_alpha_C[Solo],0),3)</f>
        <v>2</v>
      </c>
      <c r="K116" s="4">
        <f>INDEX(F1_F2[],MATCH($D$2,F1_F2[Tipo de estaca],0),2)</f>
        <v>3</v>
      </c>
      <c r="L116" s="4">
        <f>INDEX(F1_F2[],MATCH($D$2,F1_F2[Tipo de estaca],0),3)</f>
        <v>6</v>
      </c>
      <c r="M116" s="4">
        <f>PI()*(ECF[[#This Row],[Ø (cm)]]/100)^2/4</f>
        <v>0.78539816339744828</v>
      </c>
      <c r="N116" s="4">
        <f>PI()*ECF[[#This Row],[Ø (cm)]]/100</f>
        <v>3.1415926535897931</v>
      </c>
      <c r="O116" s="4">
        <f>IF(ECF[[#This Row],[Prof. (m)]]=0,0,ECF[[#This Row],[α (%)]]/100*ECF[[#This Row],[K (MPa)]]*1000*ECF[[#This Row],[NSPT]])</f>
        <v>1088</v>
      </c>
      <c r="P116" s="4">
        <f>IF(ECF[[#This Row],[Prof. (m)]]=0,0,(ECF[[#This Row],[K (MPa)]]*1000*ECF[[#This Row],[NSPT]]/ECF[[#This Row],[F1]]*ECF[[#This Row],[Ap (m²)]]+ECF[[#This Row],[U (m)]]/ECF[[#This Row],[F2]]*SUMIFS(ECF[(α∙K∙NL∙ΔL)],ECF[Prof. (m)],"&lt;="&amp;ECF[[#This Row],[Prof. (m)]],ECF[idDiâmetro],ECF[[#This Row],[idDiâmetro]],ECF[idPilar],ECF[[#This Row],[idPilar]]))/'DADOS CAP. CARGA'!$D$2)</f>
        <v>8300.0616108454524</v>
      </c>
      <c r="Q116" s="12">
        <f>INDEX(C_alpha_beta[],MATCH(ECF[[#This Row],[Solo]],C_alpha_beta[Solo],0),MATCH(ECF[[#Headers],[C (kPa)]],C_alpha_beta[#Headers],0))</f>
        <v>400</v>
      </c>
      <c r="R116" s="4">
        <f>INDEX(C_alpha_beta[],MATCH(ECF[[#This Row],[Solo]],C_alpha_beta[Solo],0),MATCH(ECF[[#Headers],[α ESF]],C_alpha_beta[#Headers],0))</f>
        <v>0.5</v>
      </c>
      <c r="S116" s="4">
        <f>INDEX(C_alpha_beta[],MATCH(ECF[[#This Row],[Solo]],C_alpha_beta[Solo],0),MATCH(ECF[[#Headers],[β ESF]],C_alpha_beta[#Headers],0))</f>
        <v>0.5</v>
      </c>
      <c r="T116" s="4">
        <f>IF(ECF[[#This Row],[Prof. (m)]]=0,0,10*(ECF[[#This Row],[NSPT]]/3+1))</f>
        <v>236.66666666666669</v>
      </c>
      <c r="U116" s="4">
        <f>(ECF[[#This Row],[α ESF]]*ECF[[#This Row],[C (kPa)]]*ECF[[#This Row],[NSPT]]*ECF[[#This Row],[Ap (m²)]])/'DADOS CAP. CARGA'!$Q$2+(ECF[[#This Row],[β ESF]]*SUMIFS(ECF[10∙(NL/3+1)],ECF[Prof. (m)],"&lt;="&amp;ECF[[#This Row],[Prof. (m)]],ECF[idDiâmetro],ECF[[#This Row],[idDiâmetro]],ECF[idPilar],ECF[[#This Row],[idPilar]])*ECF[[#This Row],[U (m)]])/'DADOS CAP. CARGA'!$S$2</f>
        <v>3534.291735288517</v>
      </c>
      <c r="V116" s="4">
        <f>IF(SPT!$M$5=1,MIN(ECF[[#This Row],[Pe ECF (kN)]],ECF[[#This Row],[R_AV (kN)]]),IF(SPT!$M$5=2,MIN(ECF[[#This Row],[Pe ECF (kN)]],ECF[[#This Row],[R_DC (kN)]]),MIN(ECF[[#This Row],[Pe ECF (kN)]],ECF[[#This Row],[R_AV (kN)]],ECF[[#This Row],[R_DC (kN)]])))</f>
        <v>3100</v>
      </c>
      <c r="W116" s="4">
        <f>INDEX(PILARES[],ECF[[#This Row],[idPilar]],MATCH("Carga (kN)",PILARES[#Headers],0))*1.4</f>
        <v>1750</v>
      </c>
      <c r="X116" s="12">
        <f>INDEX(PILARES[],ECF[[#This Row],[idPilar]],MATCH(ECF[[#Headers],[ap (cm)]],PILARES[#Headers],0))</f>
        <v>50</v>
      </c>
      <c r="Y116" s="12">
        <f>INDEX(PILARES[],ECF[[#This Row],[idPilar]],MATCH(ECF[[#Headers],[bp (cm)]],PILARES[#Headers],0))</f>
        <v>40</v>
      </c>
      <c r="Z116" s="4">
        <f>SQRT(ECF[[#This Row],[ap (cm)]]*ECF[[#This Row],[bp (cm)]])</f>
        <v>44.721359549995796</v>
      </c>
      <c r="AA116" s="12">
        <f>ECF[[#This Row],[ap (cm)]]*ECF[[#This Row],[bp (cm)]]</f>
        <v>2000</v>
      </c>
      <c r="AB116" s="12">
        <f ca="1">IF(ECF[[#This Row],[Padm∙ε (kN)]]&gt;=ECF[[#This Row],[Padm (kN)]],ROUNDUP(1.05*ECF[[#This Row],[Nsd (kN)]]/ECF[[#This Row],[Padm (kN)]],0),ROUNDUP(1.05*ECF[[#This Row],[Nsd (kN)]]/ECF[[#This Row],[Padm (kN)]],0)+1)</f>
        <v>1</v>
      </c>
      <c r="AC116" s="4">
        <f ca="1">IFERROR(IF(ECF[[#This Row],[nE]]=1,ECF[[#This Row],[Padm (kN)]],ECF[[#This Row],[Padm (kN)]]*ECF[[#This Row],[nE]]*INDEX(grupoEstacas[],ECF[[#This Row],[nE]],MATCH("ε",grupoEstacas[#Headers],0))),"N.S.")</f>
        <v>3100</v>
      </c>
      <c r="AD116" s="4">
        <f ca="1">1.05*ECF[[#This Row],[Nsd (kN)]]/(ECF[[#This Row],[nE]]*PI()*ECF[[#This Row],[Ø (cm)]]^2/4)*10</f>
        <v>2.3395776634508616</v>
      </c>
      <c r="AE116" s="4">
        <f ca="1">IF(ECF[[#This Row],[σ (MPa)]]&lt;INDEX(tipoEstaca[],MATCH($D$2,tipoEstaca[TIPO DE ESTACA],0),MATCH("σmáx (MPa)",tipoEstaca[#Headers],0)),0.4%*PI()*ECF[[#This Row],[Ø (cm)]]^2/4,"N.S.")</f>
        <v>31.415926535897935</v>
      </c>
      <c r="AF116" s="1">
        <f>INDEX(tipoEstaca[],MATCH($D$2,tipoEstaca[TIPO DE ESTACA],0),MATCH(ECF[[#Headers],[Comprimento (m)]],tipoEstaca[#Headers],0))</f>
        <v>4</v>
      </c>
      <c r="AG116" s="5">
        <f ca="1">ECF[[#This Row],[As,mín (cm²)]]/100^2*ECF[[#This Row],[Comprimento (m)]]*7850</f>
        <v>98.646009322719507</v>
      </c>
      <c r="AH116" s="4">
        <f ca="1">ECF[[#This Row],[nE]]*ECF[[#This Row],[Prof. (m)]]*ECF[[#This Row],[Ap (m²)]]</f>
        <v>10.210176124166829</v>
      </c>
      <c r="AI116" s="1">
        <f ca="1">IF(ECF[[#This Row],[nE]]=1,0,MAX(3*ECF[[#This Row],[Ø (cm)]],60))</f>
        <v>0</v>
      </c>
      <c r="AJ116" s="1">
        <f ca="1">IF(ECF[[#This Row],[nE]]=1,ECF[[#This Row],[Ø (cm)]]+2*10,MAX(1.5*ECF[[#This Row],[Ø (cm)]],ECF[[#This Row],[Ø (cm)]]+15))</f>
        <v>120</v>
      </c>
      <c r="AK116" s="1">
        <f ca="1">alturaUtil(ECF[[#This Row],[nE]],ECF[[#This Row],[Ø (cm)]],ECF[[#This Row],[e (cm)]],ECF[[#This Row],[ap,eq (cm)]])</f>
        <v>120</v>
      </c>
      <c r="AL116" s="1">
        <f ca="1">IFERROR(ECF[[#This Row],[d (cm)]]+arredondarParaCimaMultiplo5cm(MAX(5,SQRT(PI())/2*ECF[[#This Row],[Ø (cm)]]/5)),"N.S.")</f>
        <v>140</v>
      </c>
      <c r="AM116" s="5">
        <f ca="1">alpha(ECF[[#This Row],[nE]],ECF[[#This Row],[d (cm)]],ECF[[#This Row],[e (cm)]],ECF[[#This Row],[ap,eq (cm)]])</f>
        <v>90</v>
      </c>
      <c r="AN116" s="35">
        <f ca="1">IFERROR(ECF[[#This Row],[Nsd (kN)]]/(ECF[[#This Row],[Ap (cm²)]]*SIN(ECF[[#This Row],[α]])^2),"N.S.")</f>
        <v>1.0948037013095111</v>
      </c>
      <c r="AO116" s="35">
        <f ca="1">IFERROR(ECF[[#This Row],[Nsd (kN)]]/(ECF[[#This Row],[nE]]*PI()*ECF[[#This Row],[Ø (cm)]]^2/4*SIN(ECF[[#This Row],[α]])^2),"N.S.")</f>
        <v>0.27878947324593861</v>
      </c>
      <c r="AP116" s="4">
        <f ca="1">IFERROR(INDEX(grupoEstacas[],ECF[[#This Row],[nE]],MATCH("coef. Blévot",grupoEstacas[#Headers],0)),"N.S.")</f>
        <v>1</v>
      </c>
      <c r="AQ116" s="35">
        <f ca="1">IFERROR(ECF[[#This Row],[coef. Blévot]]*0.9*INDEX(tipoEstaca[],MATCH($D$2,tipoEstaca[TIPO DE ESTACA],0),MATCH("fcd (kN/cm²)",tipoEstaca[#Headers],0)),"N.S.")</f>
        <v>1</v>
      </c>
      <c r="AR116" s="1" t="str">
        <f ca="1">IF(AND(ECF[[#This Row],[cd,b,pil (kN/cm²)]]&lt;=ECF[[#This Row],[cd,b,lim (kN/cm²)]],ECF[[#This Row],[cd,b,est (kN/cm²)]]&lt;=ECF[[#This Row],[cd,b,lim (kN/cm²)]]),"OK","ERRO")</f>
        <v>ERRO</v>
      </c>
      <c r="AS116" s="4">
        <f ca="1">As_lado(ECF[[#This Row],[nE]],ECF[[#This Row],[Nsd (kN)]],ECF[[#This Row],[d (cm)]],ECF[[#This Row],[e (cm)]],ECF[[#This Row],[ap,eq (cm)]])</f>
        <v>10.0625</v>
      </c>
      <c r="AT116" s="4">
        <f ca="1">IF(ECF[[#This Row],[nE]]=1,ECF[[#This Row],[As,lado (cm²)]],IF(ECF[[#This Row],[nE]]=2,0.075*2*ECF[a (cm)],"N.A."))</f>
        <v>10.0625</v>
      </c>
      <c r="AU116" s="4" t="str">
        <f ca="1">IFERROR(IF(ECF[[#This Row],[nE]]=1,"N.A.",0.2*ECF[[#This Row],[As,lado (cm²)]]),"N.S.")</f>
        <v>N.A.</v>
      </c>
      <c r="AV116" s="4" t="str">
        <f ca="1">As_malha(ECF[[#This Row],[nE]],ECF[[#This Row],[As,lado (cm²)]],ECF[[#This Row],[Nsd (kN)]])</f>
        <v>N.A.</v>
      </c>
      <c r="AW116" s="4" t="str">
        <f ca="1">As_susp_tot(ECF[[#This Row],[nE]],ECF[[#This Row],[Nsd (kN)]])</f>
        <v>N.A.</v>
      </c>
      <c r="AX116" s="4" t="str">
        <f ca="1">Asp_face(ECF[[#This Row],[nE]],ECF[[#This Row],[As,lado (cm²)]])</f>
        <v>N.A.</v>
      </c>
      <c r="AY116" s="5">
        <f ca="1">acoBloco(ECF[[#This Row],[nE]],ECF[[#This Row],[e (cm)]],ECF[[#This Row],[a (cm)]],ECF[[#This Row],[h (cm)]],ECF[[#This Row],[As,lado (cm²)]],ECF[[#This Row],[Asp e Asw (cm²/m)]],ECF[[#This Row],[As,sup (cm²)]],ECF[[#This Row],[As,malha (cm²)]],ECF[[#This Row],[As,susp,tot (cm²)]],ECF[[#This Row],[Asp,face (cm²)]])</f>
        <v>120.06574999999999</v>
      </c>
      <c r="AZ116" s="4">
        <f ca="1">concretoBloco(ECF[[#This Row],[nE]],ECF[[#This Row],[e (cm)]],ECF[[#This Row],[a (cm)]],ECF[[#This Row],[h (cm)]])</f>
        <v>2.016</v>
      </c>
      <c r="BA116" s="5">
        <f ca="1">SUM(ECF[[#This Row],[Aço Est (kg)]],ECF[[#This Row],[Aço Bloco (kg)]])</f>
        <v>218.7117593227195</v>
      </c>
      <c r="BB116" s="4">
        <f>INDEX(composicoes[],MATCH(95580,composicoes[CÓDIGO],0),MATCH("CUSTO TOTAL",composicoes[#Headers],0))</f>
        <v>10.46</v>
      </c>
      <c r="BC116" s="4">
        <f ca="1">SUM(ECF[[#This Row],[Conc Est (m³)]],ECF[[#This Row],[Conc Bloco (m³)]])</f>
        <v>12.226176124166829</v>
      </c>
      <c r="BD116" s="4">
        <f>INDEX(composicoes[],MATCH(94966,composicoes[CÓDIGO],0),MATCH("CUSTO TOTAL",composicoes[#Headers],0))</f>
        <v>439.52</v>
      </c>
      <c r="BE116" s="38">
        <f ca="1">ECF[[#This Row],[Aço (kg)]]*ECF[[#This Row],[Aço (R$/kg)]]+ECF[[#This Row],[Conc (m³)]]*ECF[[#This Row],[Conc (R$/m³)]]</f>
        <v>7661.373932609451</v>
      </c>
      <c r="BF116" s="4" t="str">
        <f ca="1">IF(COUNTIF(ECF[#This Row],"N.S.")&gt;0,"lim.","OK")</f>
        <v>OK</v>
      </c>
      <c r="BG116" s="4" t="str">
        <f>IF(ECF[[#This Row],[Prof. (m)]]&lt;4,"lim.","OK")</f>
        <v>OK</v>
      </c>
      <c r="BH116" s="4" t="str">
        <f>IF(ECF[[#This Row],[Prof. (m)]]&gt;=8*ECF[[#This Row],[Ø (cm)]]/100,"OK","lim.")</f>
        <v>OK</v>
      </c>
      <c r="BI116" s="4" t="str">
        <f>IF(AND(SPT!$F$3&lt;&gt;"",ECF[[#This Row],[Prof. (m)]]&gt;=SPT!$F$3-2),"lim.","OK")</f>
        <v>OK</v>
      </c>
      <c r="BJ116" s="4" t="str">
        <f ca="1">IF(ECF[[#This Row],[Verif. Biela]]="OK","OK","lim.")</f>
        <v>lim.</v>
      </c>
      <c r="BK116" s="4" t="str">
        <f ca="1">IF(COUNTA(ECF[[#This Row],[Nº Est.]:[Biela comp.]])=COUNTIF(ECF[[#This Row],[Nº Est.]:[Biela comp.]],"OK"),"OK","lim.")</f>
        <v>lim.</v>
      </c>
      <c r="BL116" s="4" t="str">
        <f ca="1">IF(ECF[[#This Row],[Controle]]="OK",ECF[[#This Row],[nE]]&amp;" Ø"&amp;ECF[[#This Row],[Ø (cm)]]&amp;"cm Prof. "&amp;ECF[[#This Row],[Prof. (m)]]&amp;" m","")</f>
        <v/>
      </c>
      <c r="BM116" s="4" t="str">
        <f ca="1">IF(ECF[[#This Row],[idDimensionamento]]="","",ECF[[#This Row],[idPilar]]&amp;ECF[[#This Row],[idDimensionamento]])</f>
        <v/>
      </c>
    </row>
    <row r="117" spans="2:65" x14ac:dyDescent="0.25">
      <c r="B117" s="12">
        <f>ROUNDUP((ROW(ECF[[#This Row],[idDiâmetro]])-ROW(ECF[[#Headers],[idDiâmetro]]))/(COUNT(SPT[Prof. (m)])*COUNT(PILARES[Pilar])),0)</f>
        <v>5</v>
      </c>
      <c r="C117" s="12">
        <f>IF(ECF[[#This Row],[idDiâmetro]]&lt;&gt;B116,1,IF(ECF[[#This Row],[Prof. (m)]]=0,C116+1,C116))</f>
        <v>1</v>
      </c>
      <c r="D117" s="1">
        <f>IFERROR(IF(D116=MAX(SPT[Prof. (m)]),0,D116+1),0)</f>
        <v>0</v>
      </c>
      <c r="E117" s="1">
        <f>INDEX(SPT[],MATCH(ECF[[#This Row],[Prof. (m)]],SPT[Prof. (m)],0),2)</f>
        <v>0</v>
      </c>
      <c r="F117" s="1" t="str">
        <f>INDEX(SPT[],MATCH(ECF[[#This Row],[Prof. (m)]],SPT[Prof. (m)],0),3)</f>
        <v>Areia siltosa</v>
      </c>
      <c r="G117" s="1">
        <f>INDEX(estacas[],ECF[[#This Row],[idDiâmetro]],MATCH($B$2,estacas[#Headers],0))</f>
        <v>120</v>
      </c>
      <c r="H117" s="1">
        <f>INDEX(estacas[],MATCH(ECF[[#This Row],[Ø (cm)]],estacas[Ø ECF (cm)],0),MATCH(ECF[[#Headers],[Pe ECF (kN)]],estacas[#Headers],0))</f>
        <v>4500</v>
      </c>
      <c r="I117" s="4">
        <f>INDEX(K_alpha_C[],MATCH(ECF[[#This Row],[Solo]],K_alpha_C[Solo],0),2)</f>
        <v>0.8</v>
      </c>
      <c r="J117" s="5">
        <f>INDEX(K_alpha_C[],MATCH(ECF[[#This Row],[Solo]],K_alpha_C[Solo],0),3)</f>
        <v>2</v>
      </c>
      <c r="K117" s="4">
        <f>INDEX(F1_F2[],MATCH($D$2,F1_F2[Tipo de estaca],0),2)</f>
        <v>3</v>
      </c>
      <c r="L117" s="4">
        <f>INDEX(F1_F2[],MATCH($D$2,F1_F2[Tipo de estaca],0),3)</f>
        <v>6</v>
      </c>
      <c r="M117" s="4">
        <f>PI()*(ECF[[#This Row],[Ø (cm)]]/100)^2/4</f>
        <v>1.1309733552923256</v>
      </c>
      <c r="N117" s="4">
        <f>PI()*ECF[[#This Row],[Ø (cm)]]/100</f>
        <v>3.7699111843077513</v>
      </c>
      <c r="O117" s="4">
        <f>IF(ECF[[#This Row],[Prof. (m)]]=0,0,ECF[[#This Row],[α (%)]]/100*ECF[[#This Row],[K (MPa)]]*1000*ECF[[#This Row],[NSPT]])</f>
        <v>0</v>
      </c>
      <c r="P117" s="4">
        <f>IF(ECF[[#This Row],[Prof. (m)]]=0,0,(ECF[[#This Row],[K (MPa)]]*1000*ECF[[#This Row],[NSPT]]/ECF[[#This Row],[F1]]*ECF[[#This Row],[Ap (m²)]]+ECF[[#This Row],[U (m)]]/ECF[[#This Row],[F2]]*SUMIFS(ECF[(α∙K∙NL∙ΔL)],ECF[Prof. (m)],"&lt;="&amp;ECF[[#This Row],[Prof. (m)]],ECF[idDiâmetro],ECF[[#This Row],[idDiâmetro]],ECF[idPilar],ECF[[#This Row],[idPilar]]))/'DADOS CAP. CARGA'!$D$2)</f>
        <v>0</v>
      </c>
      <c r="Q117" s="12">
        <f>INDEX(C_alpha_beta[],MATCH(ECF[[#This Row],[Solo]],C_alpha_beta[Solo],0),MATCH(ECF[[#Headers],[C (kPa)]],C_alpha_beta[#Headers],0))</f>
        <v>400</v>
      </c>
      <c r="R117" s="4">
        <f>INDEX(C_alpha_beta[],MATCH(ECF[[#This Row],[Solo]],C_alpha_beta[Solo],0),MATCH(ECF[[#Headers],[α ESF]],C_alpha_beta[#Headers],0))</f>
        <v>0.5</v>
      </c>
      <c r="S117" s="4">
        <f>INDEX(C_alpha_beta[],MATCH(ECF[[#This Row],[Solo]],C_alpha_beta[Solo],0),MATCH(ECF[[#Headers],[β ESF]],C_alpha_beta[#Headers],0))</f>
        <v>0.5</v>
      </c>
      <c r="T117" s="4">
        <f>IF(ECF[[#This Row],[Prof. (m)]]=0,0,10*(ECF[[#This Row],[NSPT]]/3+1))</f>
        <v>0</v>
      </c>
      <c r="U117" s="4">
        <f>(ECF[[#This Row],[α ESF]]*ECF[[#This Row],[C (kPa)]]*ECF[[#This Row],[NSPT]]*ECF[[#This Row],[Ap (m²)]])/'DADOS CAP. CARGA'!$Q$2+(ECF[[#This Row],[β ESF]]*SUMIFS(ECF[10∙(NL/3+1)],ECF[Prof. (m)],"&lt;="&amp;ECF[[#This Row],[Prof. (m)]],ECF[idDiâmetro],ECF[[#This Row],[idDiâmetro]],ECF[idPilar],ECF[[#This Row],[idPilar]])*ECF[[#This Row],[U (m)]])/'DADOS CAP. CARGA'!$S$2</f>
        <v>0</v>
      </c>
      <c r="V117" s="4">
        <f>IF(SPT!$M$5=1,MIN(ECF[[#This Row],[Pe ECF (kN)]],ECF[[#This Row],[R_AV (kN)]]),IF(SPT!$M$5=2,MIN(ECF[[#This Row],[Pe ECF (kN)]],ECF[[#This Row],[R_DC (kN)]]),MIN(ECF[[#This Row],[Pe ECF (kN)]],ECF[[#This Row],[R_AV (kN)]],ECF[[#This Row],[R_DC (kN)]])))</f>
        <v>0</v>
      </c>
      <c r="W117" s="4">
        <f>INDEX(PILARES[],ECF[[#This Row],[idPilar]],MATCH("Carga (kN)",PILARES[#Headers],0))*1.4</f>
        <v>3500</v>
      </c>
      <c r="X117" s="12">
        <f>INDEX(PILARES[],ECF[[#This Row],[idPilar]],MATCH(ECF[[#Headers],[ap (cm)]],PILARES[#Headers],0))</f>
        <v>60</v>
      </c>
      <c r="Y117" s="12">
        <f>INDEX(PILARES[],ECF[[#This Row],[idPilar]],MATCH(ECF[[#Headers],[bp (cm)]],PILARES[#Headers],0))</f>
        <v>60</v>
      </c>
      <c r="Z117" s="4">
        <f>SQRT(ECF[[#This Row],[ap (cm)]]*ECF[[#This Row],[bp (cm)]])</f>
        <v>60</v>
      </c>
      <c r="AA117" s="12">
        <f>ECF[[#This Row],[ap (cm)]]*ECF[[#This Row],[bp (cm)]]</f>
        <v>3600</v>
      </c>
      <c r="AB117" s="12" t="e">
        <f ca="1">IF(ECF[[#This Row],[Padm∙ε (kN)]]&gt;=ECF[[#This Row],[Padm (kN)]],ROUNDUP(1.05*ECF[[#This Row],[Nsd (kN)]]/ECF[[#This Row],[Padm (kN)]],0),ROUNDUP(1.05*ECF[[#This Row],[Nsd (kN)]]/ECF[[#This Row],[Padm (kN)]],0)+1)</f>
        <v>#DIV/0!</v>
      </c>
      <c r="AC117" s="4" t="str">
        <f ca="1">IFERROR(IF(ECF[[#This Row],[nE]]=1,ECF[[#This Row],[Padm (kN)]],ECF[[#This Row],[Padm (kN)]]*ECF[[#This Row],[nE]]*INDEX(grupoEstacas[],ECF[[#This Row],[nE]],MATCH("ε",grupoEstacas[#Headers],0))),"N.S.")</f>
        <v>N.S.</v>
      </c>
      <c r="AD117" s="4" t="e">
        <f ca="1">1.05*ECF[[#This Row],[Nsd (kN)]]/(ECF[[#This Row],[nE]]*PI()*ECF[[#This Row],[Ø (cm)]]^2/4)*10</f>
        <v>#DIV/0!</v>
      </c>
      <c r="AE117" s="4" t="e">
        <f ca="1">IF(ECF[[#This Row],[σ (MPa)]]&lt;INDEX(tipoEstaca[],MATCH($D$2,tipoEstaca[TIPO DE ESTACA],0),MATCH("σmáx (MPa)",tipoEstaca[#Headers],0)),0.4%*PI()*ECF[[#This Row],[Ø (cm)]]^2/4,"N.S.")</f>
        <v>#DIV/0!</v>
      </c>
      <c r="AF117" s="1">
        <f>INDEX(tipoEstaca[],MATCH($D$2,tipoEstaca[TIPO DE ESTACA],0),MATCH(ECF[[#Headers],[Comprimento (m)]],tipoEstaca[#Headers],0))</f>
        <v>4</v>
      </c>
      <c r="AG117" s="5" t="e">
        <f ca="1">ECF[[#This Row],[As,mín (cm²)]]/100^2*ECF[[#This Row],[Comprimento (m)]]*7850</f>
        <v>#DIV/0!</v>
      </c>
      <c r="AH117" s="4" t="e">
        <f ca="1">ECF[[#This Row],[nE]]*ECF[[#This Row],[Prof. (m)]]*ECF[[#This Row],[Ap (m²)]]</f>
        <v>#DIV/0!</v>
      </c>
      <c r="AI117" s="1" t="e">
        <f ca="1">IF(ECF[[#This Row],[nE]]=1,0,MAX(3*ECF[[#This Row],[Ø (cm)]],60))</f>
        <v>#DIV/0!</v>
      </c>
      <c r="AJ117" s="1" t="e">
        <f ca="1">IF(ECF[[#This Row],[nE]]=1,ECF[[#This Row],[Ø (cm)]]+2*10,MAX(1.5*ECF[[#This Row],[Ø (cm)]],ECF[[#This Row],[Ø (cm)]]+15))</f>
        <v>#DIV/0!</v>
      </c>
      <c r="AK117" s="1" t="e">
        <f ca="1">alturaUtil(ECF[[#This Row],[nE]],ECF[[#This Row],[Ø (cm)]],ECF[[#This Row],[e (cm)]],ECF[[#This Row],[ap,eq (cm)]])</f>
        <v>#VALUE!</v>
      </c>
      <c r="AL117" s="1" t="str">
        <f ca="1">IFERROR(ECF[[#This Row],[d (cm)]]+arredondarParaCimaMultiplo5cm(MAX(5,SQRT(PI())/2*ECF[[#This Row],[Ø (cm)]]/5)),"N.S.")</f>
        <v>N.S.</v>
      </c>
      <c r="AM117" s="5" t="e">
        <f ca="1">alpha(ECF[[#This Row],[nE]],ECF[[#This Row],[d (cm)]],ECF[[#This Row],[e (cm)]],ECF[[#This Row],[ap,eq (cm)]])</f>
        <v>#VALUE!</v>
      </c>
      <c r="AN117" s="35" t="str">
        <f ca="1">IFERROR(ECF[[#This Row],[Nsd (kN)]]/(ECF[[#This Row],[Ap (cm²)]]*SIN(ECF[[#This Row],[α]])^2),"N.S.")</f>
        <v>N.S.</v>
      </c>
      <c r="AO117" s="35" t="str">
        <f ca="1">IFERROR(ECF[[#This Row],[Nsd (kN)]]/(ECF[[#This Row],[nE]]*PI()*ECF[[#This Row],[Ø (cm)]]^2/4*SIN(ECF[[#This Row],[α]])^2),"N.S.")</f>
        <v>N.S.</v>
      </c>
      <c r="AP117" s="4" t="str">
        <f ca="1">IFERROR(INDEX(grupoEstacas[],ECF[[#This Row],[nE]],MATCH("coef. Blévot",grupoEstacas[#Headers],0)),"N.S.")</f>
        <v>N.S.</v>
      </c>
      <c r="AQ117" s="35" t="str">
        <f ca="1">IFERROR(ECF[[#This Row],[coef. Blévot]]*0.9*INDEX(tipoEstaca[],MATCH($D$2,tipoEstaca[TIPO DE ESTACA],0),MATCH("fcd (kN/cm²)",tipoEstaca[#Headers],0)),"N.S.")</f>
        <v>N.S.</v>
      </c>
      <c r="AR117" s="1" t="str">
        <f ca="1">IF(AND(ECF[[#This Row],[cd,b,pil (kN/cm²)]]&lt;=ECF[[#This Row],[cd,b,lim (kN/cm²)]],ECF[[#This Row],[cd,b,est (kN/cm²)]]&lt;=ECF[[#This Row],[cd,b,lim (kN/cm²)]]),"OK","ERRO")</f>
        <v>OK</v>
      </c>
      <c r="AS117" s="4" t="e">
        <f ca="1">As_lado(ECF[[#This Row],[nE]],ECF[[#This Row],[Nsd (kN)]],ECF[[#This Row],[d (cm)]],ECF[[#This Row],[e (cm)]],ECF[[#This Row],[ap,eq (cm)]])</f>
        <v>#VALUE!</v>
      </c>
      <c r="AT117" s="4" t="e">
        <f ca="1">IF(ECF[[#This Row],[nE]]=1,ECF[[#This Row],[As,lado (cm²)]],IF(ECF[[#This Row],[nE]]=2,0.075*2*ECF[a (cm)],"N.A."))</f>
        <v>#DIV/0!</v>
      </c>
      <c r="AU117" s="4" t="str">
        <f ca="1">IFERROR(IF(ECF[[#This Row],[nE]]=1,"N.A.",0.2*ECF[[#This Row],[As,lado (cm²)]]),"N.S.")</f>
        <v>N.S.</v>
      </c>
      <c r="AV117" s="4" t="e">
        <f ca="1">As_malha(ECF[[#This Row],[nE]],ECF[[#This Row],[As,lado (cm²)]],ECF[[#This Row],[Nsd (kN)]])</f>
        <v>#VALUE!</v>
      </c>
      <c r="AW117" s="4" t="e">
        <f ca="1">As_susp_tot(ECF[[#This Row],[nE]],ECF[[#This Row],[Nsd (kN)]])</f>
        <v>#VALUE!</v>
      </c>
      <c r="AX117" s="4" t="e">
        <f ca="1">Asp_face(ECF[[#This Row],[nE]],ECF[[#This Row],[As,lado (cm²)]])</f>
        <v>#VALUE!</v>
      </c>
      <c r="AY117" s="5" t="e">
        <f ca="1">acoBloco(ECF[[#This Row],[nE]],ECF[[#This Row],[e (cm)]],ECF[[#This Row],[a (cm)]],ECF[[#This Row],[h (cm)]],ECF[[#This Row],[As,lado (cm²)]],ECF[[#This Row],[Asp e Asw (cm²/m)]],ECF[[#This Row],[As,sup (cm²)]],ECF[[#This Row],[As,malha (cm²)]],ECF[[#This Row],[As,susp,tot (cm²)]],ECF[[#This Row],[Asp,face (cm²)]])</f>
        <v>#VALUE!</v>
      </c>
      <c r="AZ117" s="4" t="e">
        <f ca="1">concretoBloco(ECF[[#This Row],[nE]],ECF[[#This Row],[e (cm)]],ECF[[#This Row],[a (cm)]],ECF[[#This Row],[h (cm)]])</f>
        <v>#VALUE!</v>
      </c>
      <c r="BA117" s="5" t="e">
        <f ca="1">SUM(ECF[[#This Row],[Aço Est (kg)]],ECF[[#This Row],[Aço Bloco (kg)]])</f>
        <v>#DIV/0!</v>
      </c>
      <c r="BB117" s="4">
        <f>INDEX(composicoes[],MATCH(95580,composicoes[CÓDIGO],0),MATCH("CUSTO TOTAL",composicoes[#Headers],0))</f>
        <v>10.46</v>
      </c>
      <c r="BC117" s="4" t="e">
        <f ca="1">SUM(ECF[[#This Row],[Conc Est (m³)]],ECF[[#This Row],[Conc Bloco (m³)]])</f>
        <v>#DIV/0!</v>
      </c>
      <c r="BD117" s="4">
        <f>INDEX(composicoes[],MATCH(94966,composicoes[CÓDIGO],0),MATCH("CUSTO TOTAL",composicoes[#Headers],0))</f>
        <v>439.52</v>
      </c>
      <c r="BE117" s="38" t="e">
        <f ca="1">ECF[[#This Row],[Aço (kg)]]*ECF[[#This Row],[Aço (R$/kg)]]+ECF[[#This Row],[Conc (m³)]]*ECF[[#This Row],[Conc (R$/m³)]]</f>
        <v>#DIV/0!</v>
      </c>
      <c r="BF117" s="4" t="str">
        <f ca="1">IF(COUNTIF(ECF[#This Row],"N.S.")&gt;0,"lim.","OK")</f>
        <v>lim.</v>
      </c>
      <c r="BG117" s="4" t="str">
        <f>IF(ECF[[#This Row],[Prof. (m)]]&lt;4,"lim.","OK")</f>
        <v>lim.</v>
      </c>
      <c r="BH117" s="4" t="str">
        <f>IF(ECF[[#This Row],[Prof. (m)]]&gt;=8*ECF[[#This Row],[Ø (cm)]]/100,"OK","lim.")</f>
        <v>lim.</v>
      </c>
      <c r="BI117" s="4" t="str">
        <f>IF(AND(SPT!$F$3&lt;&gt;"",ECF[[#This Row],[Prof. (m)]]&gt;=SPT!$F$3-2),"lim.","OK")</f>
        <v>OK</v>
      </c>
      <c r="BJ117" s="4" t="str">
        <f ca="1">IF(ECF[[#This Row],[Verif. Biela]]="OK","OK","lim.")</f>
        <v>OK</v>
      </c>
      <c r="BK117" s="4" t="str">
        <f ca="1">IF(COUNTA(ECF[[#This Row],[Nº Est.]:[Biela comp.]])=COUNTIF(ECF[[#This Row],[Nº Est.]:[Biela comp.]],"OK"),"OK","lim.")</f>
        <v>lim.</v>
      </c>
      <c r="BL117" s="4" t="str">
        <f ca="1">IF(ECF[[#This Row],[Controle]]="OK",ECF[[#This Row],[nE]]&amp;" Ø"&amp;ECF[[#This Row],[Ø (cm)]]&amp;"cm Prof. "&amp;ECF[[#This Row],[Prof. (m)]]&amp;" m","")</f>
        <v/>
      </c>
      <c r="BM117" s="4" t="str">
        <f ca="1">IF(ECF[[#This Row],[idDimensionamento]]="","",ECF[[#This Row],[idPilar]]&amp;ECF[[#This Row],[idDimensionamento]])</f>
        <v/>
      </c>
    </row>
    <row r="118" spans="2:65" x14ac:dyDescent="0.25">
      <c r="B118" s="12">
        <f>ROUNDUP((ROW(ECF[[#This Row],[idDiâmetro]])-ROW(ECF[[#Headers],[idDiâmetro]]))/(COUNT(SPT[Prof. (m)])*COUNT(PILARES[Pilar])),0)</f>
        <v>5</v>
      </c>
      <c r="C118" s="12">
        <f>IF(ECF[[#This Row],[idDiâmetro]]&lt;&gt;B117,1,IF(ECF[[#This Row],[Prof. (m)]]=0,C117+1,C117))</f>
        <v>1</v>
      </c>
      <c r="D118" s="1">
        <f>IFERROR(IF(D117=MAX(SPT[Prof. (m)]),0,D117+1),0)</f>
        <v>1</v>
      </c>
      <c r="E118" s="1">
        <f>INDEX(SPT[],MATCH(ECF[[#This Row],[Prof. (m)]],SPT[Prof. (m)],0),2)</f>
        <v>2</v>
      </c>
      <c r="F118" s="1" t="str">
        <f>INDEX(SPT[],MATCH(ECF[[#This Row],[Prof. (m)]],SPT[Prof. (m)],0),3)</f>
        <v>Areia siltosa</v>
      </c>
      <c r="G118" s="1">
        <f>INDEX(estacas[],ECF[[#This Row],[idDiâmetro]],MATCH($B$2,estacas[#Headers],0))</f>
        <v>120</v>
      </c>
      <c r="H118" s="1">
        <f>INDEX(estacas[],MATCH(ECF[[#This Row],[Ø (cm)]],estacas[Ø ECF (cm)],0),MATCH(ECF[[#Headers],[Pe ECF (kN)]],estacas[#Headers],0))</f>
        <v>4500</v>
      </c>
      <c r="I118" s="4">
        <f>INDEX(K_alpha_C[],MATCH(ECF[[#This Row],[Solo]],K_alpha_C[Solo],0),2)</f>
        <v>0.8</v>
      </c>
      <c r="J118" s="5">
        <f>INDEX(K_alpha_C[],MATCH(ECF[[#This Row],[Solo]],K_alpha_C[Solo],0),3)</f>
        <v>2</v>
      </c>
      <c r="K118" s="4">
        <f>INDEX(F1_F2[],MATCH($D$2,F1_F2[Tipo de estaca],0),2)</f>
        <v>3</v>
      </c>
      <c r="L118" s="4">
        <f>INDEX(F1_F2[],MATCH($D$2,F1_F2[Tipo de estaca],0),3)</f>
        <v>6</v>
      </c>
      <c r="M118" s="4">
        <f>PI()*(ECF[[#This Row],[Ø (cm)]]/100)^2/4</f>
        <v>1.1309733552923256</v>
      </c>
      <c r="N118" s="4">
        <f>PI()*ECF[[#This Row],[Ø (cm)]]/100</f>
        <v>3.7699111843077513</v>
      </c>
      <c r="O118" s="4">
        <f>IF(ECF[[#This Row],[Prof. (m)]]=0,0,ECF[[#This Row],[α (%)]]/100*ECF[[#This Row],[K (MPa)]]*1000*ECF[[#This Row],[NSPT]])</f>
        <v>32</v>
      </c>
      <c r="P118" s="4">
        <f>IF(ECF[[#This Row],[Prof. (m)]]=0,0,(ECF[[#This Row],[K (MPa)]]*1000*ECF[[#This Row],[NSPT]]/ECF[[#This Row],[F1]]*ECF[[#This Row],[Ap (m²)]]+ECF[[#This Row],[U (m)]]/ECF[[#This Row],[F2]]*SUMIFS(ECF[(α∙K∙NL∙ΔL)],ECF[Prof. (m)],"&lt;="&amp;ECF[[#This Row],[Prof. (m)]],ECF[idDiâmetro],ECF[[#This Row],[idDiâmetro]],ECF[idPilar],ECF[[#This Row],[idPilar]]))/'DADOS CAP. CARGA'!$D$2)</f>
        <v>311.64599123610753</v>
      </c>
      <c r="Q118" s="12">
        <f>INDEX(C_alpha_beta[],MATCH(ECF[[#This Row],[Solo]],C_alpha_beta[Solo],0),MATCH(ECF[[#Headers],[C (kPa)]],C_alpha_beta[#Headers],0))</f>
        <v>400</v>
      </c>
      <c r="R118" s="4">
        <f>INDEX(C_alpha_beta[],MATCH(ECF[[#This Row],[Solo]],C_alpha_beta[Solo],0),MATCH(ECF[[#Headers],[α ESF]],C_alpha_beta[#Headers],0))</f>
        <v>0.5</v>
      </c>
      <c r="S118" s="4">
        <f>INDEX(C_alpha_beta[],MATCH(ECF[[#This Row],[Solo]],C_alpha_beta[Solo],0),MATCH(ECF[[#Headers],[β ESF]],C_alpha_beta[#Headers],0))</f>
        <v>0.5</v>
      </c>
      <c r="T118" s="4">
        <f>IF(ECF[[#This Row],[Prof. (m)]]=0,0,10*(ECF[[#This Row],[NSPT]]/3+1))</f>
        <v>16.666666666666664</v>
      </c>
      <c r="U118" s="4">
        <f>(ECF[[#This Row],[α ESF]]*ECF[[#This Row],[C (kPa)]]*ECF[[#This Row],[NSPT]]*ECF[[#This Row],[Ap (m²)]])/'DADOS CAP. CARGA'!$Q$2+(ECF[[#This Row],[β ESF]]*SUMIFS(ECF[10∙(NL/3+1)],ECF[Prof. (m)],"&lt;="&amp;ECF[[#This Row],[Prof. (m)]],ECF[idDiâmetro],ECF[[#This Row],[idDiâmetro]],ECF[idPilar],ECF[[#This Row],[idPilar]])*ECF[[#This Row],[U (m)]])/'DADOS CAP. CARGA'!$S$2</f>
        <v>128.80529879718151</v>
      </c>
      <c r="V118" s="4">
        <f>IF(SPT!$M$5=1,MIN(ECF[[#This Row],[Pe ECF (kN)]],ECF[[#This Row],[R_AV (kN)]]),IF(SPT!$M$5=2,MIN(ECF[[#This Row],[Pe ECF (kN)]],ECF[[#This Row],[R_DC (kN)]]),MIN(ECF[[#This Row],[Pe ECF (kN)]],ECF[[#This Row],[R_AV (kN)]],ECF[[#This Row],[R_DC (kN)]])))</f>
        <v>128.80529879718151</v>
      </c>
      <c r="W118" s="4">
        <f>INDEX(PILARES[],ECF[[#This Row],[idPilar]],MATCH("Carga (kN)",PILARES[#Headers],0))*1.4</f>
        <v>3500</v>
      </c>
      <c r="X118" s="12">
        <f>INDEX(PILARES[],ECF[[#This Row],[idPilar]],MATCH(ECF[[#Headers],[ap (cm)]],PILARES[#Headers],0))</f>
        <v>60</v>
      </c>
      <c r="Y118" s="12">
        <f>INDEX(PILARES[],ECF[[#This Row],[idPilar]],MATCH(ECF[[#Headers],[bp (cm)]],PILARES[#Headers],0))</f>
        <v>60</v>
      </c>
      <c r="Z118" s="4">
        <f>SQRT(ECF[[#This Row],[ap (cm)]]*ECF[[#This Row],[bp (cm)]])</f>
        <v>60</v>
      </c>
      <c r="AA118" s="12">
        <f>ECF[[#This Row],[ap (cm)]]*ECF[[#This Row],[bp (cm)]]</f>
        <v>3600</v>
      </c>
      <c r="AB118" s="12">
        <f ca="1">IF(ECF[[#This Row],[Padm∙ε (kN)]]&gt;=ECF[[#This Row],[Padm (kN)]],ROUNDUP(1.05*ECF[[#This Row],[Nsd (kN)]]/ECF[[#This Row],[Padm (kN)]],0),ROUNDUP(1.05*ECF[[#This Row],[Nsd (kN)]]/ECF[[#This Row],[Padm (kN)]],0)+1)</f>
        <v>29</v>
      </c>
      <c r="AC118" s="4" t="str">
        <f ca="1">IFERROR(IF(ECF[[#This Row],[nE]]=1,ECF[[#This Row],[Padm (kN)]],ECF[[#This Row],[Padm (kN)]]*ECF[[#This Row],[nE]]*INDEX(grupoEstacas[],ECF[[#This Row],[nE]],MATCH("ε",grupoEstacas[#Headers],0))),"N.S.")</f>
        <v>N.S.</v>
      </c>
      <c r="AD118" s="4">
        <f ca="1">1.05*ECF[[#This Row],[Nsd (kN)]]/(ECF[[#This Row],[nE]]*PI()*ECF[[#This Row],[Ø (cm)]]^2/4)*10</f>
        <v>0.11204873867101826</v>
      </c>
      <c r="AE118" s="4">
        <f ca="1">IF(ECF[[#This Row],[σ (MPa)]]&lt;INDEX(tipoEstaca[],MATCH($D$2,tipoEstaca[TIPO DE ESTACA],0),MATCH("σmáx (MPa)",tipoEstaca[#Headers],0)),0.4%*PI()*ECF[[#This Row],[Ø (cm)]]^2/4,"N.S.")</f>
        <v>45.238934211693021</v>
      </c>
      <c r="AF118" s="1">
        <f>INDEX(tipoEstaca[],MATCH($D$2,tipoEstaca[TIPO DE ESTACA],0),MATCH(ECF[[#Headers],[Comprimento (m)]],tipoEstaca[#Headers],0))</f>
        <v>4</v>
      </c>
      <c r="AG118" s="5">
        <f ca="1">ECF[[#This Row],[As,mín (cm²)]]/100^2*ECF[[#This Row],[Comprimento (m)]]*7850</f>
        <v>142.05025342471609</v>
      </c>
      <c r="AH118" s="4">
        <f ca="1">ECF[[#This Row],[nE]]*ECF[[#This Row],[Prof. (m)]]*ECF[[#This Row],[Ap (m²)]]</f>
        <v>32.798227303477439</v>
      </c>
      <c r="AI118" s="1">
        <f ca="1">IF(ECF[[#This Row],[nE]]=1,0,MAX(3*ECF[[#This Row],[Ø (cm)]],60))</f>
        <v>360</v>
      </c>
      <c r="AJ118" s="1">
        <f ca="1">IF(ECF[[#This Row],[nE]]=1,ECF[[#This Row],[Ø (cm)]]+2*10,MAX(1.5*ECF[[#This Row],[Ø (cm)]],ECF[[#This Row],[Ø (cm)]]+15))</f>
        <v>180</v>
      </c>
      <c r="AK118" s="1" t="str">
        <f ca="1">alturaUtil(ECF[[#This Row],[nE]],ECF[[#This Row],[Ø (cm)]],ECF[[#This Row],[e (cm)]],ECF[[#This Row],[ap,eq (cm)]])</f>
        <v>N.S.</v>
      </c>
      <c r="AL118" s="1" t="str">
        <f ca="1">IFERROR(ECF[[#This Row],[d (cm)]]+arredondarParaCimaMultiplo5cm(MAX(5,SQRT(PI())/2*ECF[[#This Row],[Ø (cm)]]/5)),"N.S.")</f>
        <v>N.S.</v>
      </c>
      <c r="AM118" s="5" t="str">
        <f ca="1">alpha(ECF[[#This Row],[nE]],ECF[[#This Row],[d (cm)]],ECF[[#This Row],[e (cm)]],ECF[[#This Row],[ap,eq (cm)]])</f>
        <v>N.S.</v>
      </c>
      <c r="AN118" s="35" t="str">
        <f ca="1">IFERROR(ECF[[#This Row],[Nsd (kN)]]/(ECF[[#This Row],[Ap (cm²)]]*SIN(ECF[[#This Row],[α]])^2),"N.S.")</f>
        <v>N.S.</v>
      </c>
      <c r="AO118" s="35" t="str">
        <f ca="1">IFERROR(ECF[[#This Row],[Nsd (kN)]]/(ECF[[#This Row],[nE]]*PI()*ECF[[#This Row],[Ø (cm)]]^2/4*SIN(ECF[[#This Row],[α]])^2),"N.S.")</f>
        <v>N.S.</v>
      </c>
      <c r="AP118" s="4" t="str">
        <f ca="1">IFERROR(INDEX(grupoEstacas[],ECF[[#This Row],[nE]],MATCH("coef. Blévot",grupoEstacas[#Headers],0)),"N.S.")</f>
        <v>N.S.</v>
      </c>
      <c r="AQ118" s="35" t="str">
        <f ca="1">IFERROR(ECF[[#This Row],[coef. Blévot]]*0.9*INDEX(tipoEstaca[],MATCH($D$2,tipoEstaca[TIPO DE ESTACA],0),MATCH("fcd (kN/cm²)",tipoEstaca[#Headers],0)),"N.S.")</f>
        <v>N.S.</v>
      </c>
      <c r="AR118" s="1" t="str">
        <f ca="1">IF(AND(ECF[[#This Row],[cd,b,pil (kN/cm²)]]&lt;=ECF[[#This Row],[cd,b,lim (kN/cm²)]],ECF[[#This Row],[cd,b,est (kN/cm²)]]&lt;=ECF[[#This Row],[cd,b,lim (kN/cm²)]]),"OK","ERRO")</f>
        <v>OK</v>
      </c>
      <c r="AS118" s="4" t="str">
        <f ca="1">As_lado(ECF[[#This Row],[nE]],ECF[[#This Row],[Nsd (kN)]],ECF[[#This Row],[d (cm)]],ECF[[#This Row],[e (cm)]],ECF[[#This Row],[ap,eq (cm)]])</f>
        <v>N.S.</v>
      </c>
      <c r="AT118" s="4" t="str">
        <f ca="1">IF(ECF[[#This Row],[nE]]=1,ECF[[#This Row],[As,lado (cm²)]],IF(ECF[[#This Row],[nE]]=2,0.075*2*ECF[a (cm)],"N.A."))</f>
        <v>N.A.</v>
      </c>
      <c r="AU118" s="4" t="str">
        <f ca="1">IFERROR(IF(ECF[[#This Row],[nE]]=1,"N.A.",0.2*ECF[[#This Row],[As,lado (cm²)]]),"N.S.")</f>
        <v>N.S.</v>
      </c>
      <c r="AV118" s="4" t="str">
        <f ca="1">As_malha(ECF[[#This Row],[nE]],ECF[[#This Row],[As,lado (cm²)]],ECF[[#This Row],[Nsd (kN)]])</f>
        <v>N.S.</v>
      </c>
      <c r="AW118" s="4" t="str">
        <f ca="1">As_susp_tot(ECF[[#This Row],[nE]],ECF[[#This Row],[Nsd (kN)]])</f>
        <v>N.S.</v>
      </c>
      <c r="AX118" s="4" t="str">
        <f ca="1">Asp_face(ECF[[#This Row],[nE]],ECF[[#This Row],[As,lado (cm²)]])</f>
        <v>N.S.</v>
      </c>
      <c r="AY118" s="5" t="str">
        <f ca="1">acoBloco(ECF[[#This Row],[nE]],ECF[[#This Row],[e (cm)]],ECF[[#This Row],[a (cm)]],ECF[[#This Row],[h (cm)]],ECF[[#This Row],[As,lado (cm²)]],ECF[[#This Row],[Asp e Asw (cm²/m)]],ECF[[#This Row],[As,sup (cm²)]],ECF[[#This Row],[As,malha (cm²)]],ECF[[#This Row],[As,susp,tot (cm²)]],ECF[[#This Row],[Asp,face (cm²)]])</f>
        <v>N.S.</v>
      </c>
      <c r="AZ118" s="4" t="str">
        <f ca="1">concretoBloco(ECF[[#This Row],[nE]],ECF[[#This Row],[e (cm)]],ECF[[#This Row],[a (cm)]],ECF[[#This Row],[h (cm)]])</f>
        <v>N.S.</v>
      </c>
      <c r="BA118" s="5">
        <f ca="1">SUM(ECF[[#This Row],[Aço Est (kg)]],ECF[[#This Row],[Aço Bloco (kg)]])</f>
        <v>142.05025342471609</v>
      </c>
      <c r="BB118" s="4">
        <f>INDEX(composicoes[],MATCH(95580,composicoes[CÓDIGO],0),MATCH("CUSTO TOTAL",composicoes[#Headers],0))</f>
        <v>10.46</v>
      </c>
      <c r="BC118" s="4">
        <f ca="1">SUM(ECF[[#This Row],[Conc Est (m³)]],ECF[[#This Row],[Conc Bloco (m³)]])</f>
        <v>32.798227303477439</v>
      </c>
      <c r="BD118" s="4">
        <f>INDEX(composicoes[],MATCH(94966,composicoes[CÓDIGO],0),MATCH("CUSTO TOTAL",composicoes[#Headers],0))</f>
        <v>439.52</v>
      </c>
      <c r="BE118" s="38">
        <f ca="1">ECF[[#This Row],[Aço (kg)]]*ECF[[#This Row],[Aço (R$/kg)]]+ECF[[#This Row],[Conc (m³)]]*ECF[[#This Row],[Conc (R$/m³)]]</f>
        <v>15901.322515246933</v>
      </c>
      <c r="BF118" s="4" t="str">
        <f ca="1">IF(COUNTIF(ECF[#This Row],"N.S.")&gt;0,"lim.","OK")</f>
        <v>lim.</v>
      </c>
      <c r="BG118" s="4" t="str">
        <f>IF(ECF[[#This Row],[Prof. (m)]]&lt;4,"lim.","OK")</f>
        <v>lim.</v>
      </c>
      <c r="BH118" s="4" t="str">
        <f>IF(ECF[[#This Row],[Prof. (m)]]&gt;=8*ECF[[#This Row],[Ø (cm)]]/100,"OK","lim.")</f>
        <v>lim.</v>
      </c>
      <c r="BI118" s="4" t="str">
        <f>IF(AND(SPT!$F$3&lt;&gt;"",ECF[[#This Row],[Prof. (m)]]&gt;=SPT!$F$3-2),"lim.","OK")</f>
        <v>OK</v>
      </c>
      <c r="BJ118" s="4" t="str">
        <f ca="1">IF(ECF[[#This Row],[Verif. Biela]]="OK","OK","lim.")</f>
        <v>OK</v>
      </c>
      <c r="BK118" s="4" t="str">
        <f ca="1">IF(COUNTA(ECF[[#This Row],[Nº Est.]:[Biela comp.]])=COUNTIF(ECF[[#This Row],[Nº Est.]:[Biela comp.]],"OK"),"OK","lim.")</f>
        <v>lim.</v>
      </c>
      <c r="BL118" s="4" t="str">
        <f ca="1">IF(ECF[[#This Row],[Controle]]="OK",ECF[[#This Row],[nE]]&amp;" Ø"&amp;ECF[[#This Row],[Ø (cm)]]&amp;"cm Prof. "&amp;ECF[[#This Row],[Prof. (m)]]&amp;" m","")</f>
        <v/>
      </c>
      <c r="BM118" s="4" t="str">
        <f ca="1">IF(ECF[[#This Row],[idDimensionamento]]="","",ECF[[#This Row],[idPilar]]&amp;ECF[[#This Row],[idDimensionamento]])</f>
        <v/>
      </c>
    </row>
    <row r="119" spans="2:65" x14ac:dyDescent="0.25">
      <c r="B119" s="12">
        <f>ROUNDUP((ROW(ECF[[#This Row],[idDiâmetro]])-ROW(ECF[[#Headers],[idDiâmetro]]))/(COUNT(SPT[Prof. (m)])*COUNT(PILARES[Pilar])),0)</f>
        <v>5</v>
      </c>
      <c r="C119" s="12">
        <f>IF(ECF[[#This Row],[idDiâmetro]]&lt;&gt;B118,1,IF(ECF[[#This Row],[Prof. (m)]]=0,C118+1,C118))</f>
        <v>1</v>
      </c>
      <c r="D119" s="1">
        <f>IFERROR(IF(D118=MAX(SPT[Prof. (m)]),0,D118+1),0)</f>
        <v>2</v>
      </c>
      <c r="E119" s="1">
        <f>INDEX(SPT[],MATCH(ECF[[#This Row],[Prof. (m)]],SPT[Prof. (m)],0),2)</f>
        <v>2</v>
      </c>
      <c r="F119" s="1" t="str">
        <f>INDEX(SPT[],MATCH(ECF[[#This Row],[Prof. (m)]],SPT[Prof. (m)],0),3)</f>
        <v>Areia siltosa</v>
      </c>
      <c r="G119" s="1">
        <f>INDEX(estacas[],ECF[[#This Row],[idDiâmetro]],MATCH($B$2,estacas[#Headers],0))</f>
        <v>120</v>
      </c>
      <c r="H119" s="1">
        <f>INDEX(estacas[],MATCH(ECF[[#This Row],[Ø (cm)]],estacas[Ø ECF (cm)],0),MATCH(ECF[[#Headers],[Pe ECF (kN)]],estacas[#Headers],0))</f>
        <v>4500</v>
      </c>
      <c r="I119" s="4">
        <f>INDEX(K_alpha_C[],MATCH(ECF[[#This Row],[Solo]],K_alpha_C[Solo],0),2)</f>
        <v>0.8</v>
      </c>
      <c r="J119" s="5">
        <f>INDEX(K_alpha_C[],MATCH(ECF[[#This Row],[Solo]],K_alpha_C[Solo],0),3)</f>
        <v>2</v>
      </c>
      <c r="K119" s="4">
        <f>INDEX(F1_F2[],MATCH($D$2,F1_F2[Tipo de estaca],0),2)</f>
        <v>3</v>
      </c>
      <c r="L119" s="4">
        <f>INDEX(F1_F2[],MATCH($D$2,F1_F2[Tipo de estaca],0),3)</f>
        <v>6</v>
      </c>
      <c r="M119" s="4">
        <f>PI()*(ECF[[#This Row],[Ø (cm)]]/100)^2/4</f>
        <v>1.1309733552923256</v>
      </c>
      <c r="N119" s="4">
        <f>PI()*ECF[[#This Row],[Ø (cm)]]/100</f>
        <v>3.7699111843077513</v>
      </c>
      <c r="O119" s="4">
        <f>IF(ECF[[#This Row],[Prof. (m)]]=0,0,ECF[[#This Row],[α (%)]]/100*ECF[[#This Row],[K (MPa)]]*1000*ECF[[#This Row],[NSPT]])</f>
        <v>32</v>
      </c>
      <c r="P119" s="4">
        <f>IF(ECF[[#This Row],[Prof. (m)]]=0,0,(ECF[[#This Row],[K (MPa)]]*1000*ECF[[#This Row],[NSPT]]/ECF[[#This Row],[F1]]*ECF[[#This Row],[Ap (m²)]]+ECF[[#This Row],[U (m)]]/ECF[[#This Row],[F2]]*SUMIFS(ECF[(α∙K∙NL∙ΔL)],ECF[Prof. (m)],"&lt;="&amp;ECF[[#This Row],[Prof. (m)]],ECF[idDiâmetro],ECF[[#This Row],[idDiâmetro]],ECF[idPilar],ECF[[#This Row],[idPilar]]))/'DADOS CAP. CARGA'!$D$2)</f>
        <v>321.69908772759487</v>
      </c>
      <c r="Q119" s="12">
        <f>INDEX(C_alpha_beta[],MATCH(ECF[[#This Row],[Solo]],C_alpha_beta[Solo],0),MATCH(ECF[[#Headers],[C (kPa)]],C_alpha_beta[#Headers],0))</f>
        <v>400</v>
      </c>
      <c r="R119" s="4">
        <f>INDEX(C_alpha_beta[],MATCH(ECF[[#This Row],[Solo]],C_alpha_beta[Solo],0),MATCH(ECF[[#Headers],[α ESF]],C_alpha_beta[#Headers],0))</f>
        <v>0.5</v>
      </c>
      <c r="S119" s="4">
        <f>INDEX(C_alpha_beta[],MATCH(ECF[[#This Row],[Solo]],C_alpha_beta[Solo],0),MATCH(ECF[[#Headers],[β ESF]],C_alpha_beta[#Headers],0))</f>
        <v>0.5</v>
      </c>
      <c r="T119" s="4">
        <f>IF(ECF[[#This Row],[Prof. (m)]]=0,0,10*(ECF[[#This Row],[NSPT]]/3+1))</f>
        <v>16.666666666666664</v>
      </c>
      <c r="U119" s="4">
        <f>(ECF[[#This Row],[α ESF]]*ECF[[#This Row],[C (kPa)]]*ECF[[#This Row],[NSPT]]*ECF[[#This Row],[Ap (m²)]])/'DADOS CAP. CARGA'!$Q$2+(ECF[[#This Row],[β ESF]]*SUMIFS(ECF[10∙(NL/3+1)],ECF[Prof. (m)],"&lt;="&amp;ECF[[#This Row],[Prof. (m)]],ECF[idDiâmetro],ECF[[#This Row],[idDiâmetro]],ECF[idPilar],ECF[[#This Row],[idPilar]])*ECF[[#This Row],[U (m)]])/'DADOS CAP. CARGA'!$S$2</f>
        <v>144.51326206513048</v>
      </c>
      <c r="V119" s="4">
        <f>IF(SPT!$M$5=1,MIN(ECF[[#This Row],[Pe ECF (kN)]],ECF[[#This Row],[R_AV (kN)]]),IF(SPT!$M$5=2,MIN(ECF[[#This Row],[Pe ECF (kN)]],ECF[[#This Row],[R_DC (kN)]]),MIN(ECF[[#This Row],[Pe ECF (kN)]],ECF[[#This Row],[R_AV (kN)]],ECF[[#This Row],[R_DC (kN)]])))</f>
        <v>144.51326206513048</v>
      </c>
      <c r="W119" s="4">
        <f>INDEX(PILARES[],ECF[[#This Row],[idPilar]],MATCH("Carga (kN)",PILARES[#Headers],0))*1.4</f>
        <v>3500</v>
      </c>
      <c r="X119" s="12">
        <f>INDEX(PILARES[],ECF[[#This Row],[idPilar]],MATCH(ECF[[#Headers],[ap (cm)]],PILARES[#Headers],0))</f>
        <v>60</v>
      </c>
      <c r="Y119" s="12">
        <f>INDEX(PILARES[],ECF[[#This Row],[idPilar]],MATCH(ECF[[#Headers],[bp (cm)]],PILARES[#Headers],0))</f>
        <v>60</v>
      </c>
      <c r="Z119" s="4">
        <f>SQRT(ECF[[#This Row],[ap (cm)]]*ECF[[#This Row],[bp (cm)]])</f>
        <v>60</v>
      </c>
      <c r="AA119" s="12">
        <f>ECF[[#This Row],[ap (cm)]]*ECF[[#This Row],[bp (cm)]]</f>
        <v>3600</v>
      </c>
      <c r="AB119" s="12">
        <f ca="1">IF(ECF[[#This Row],[Padm∙ε (kN)]]&gt;=ECF[[#This Row],[Padm (kN)]],ROUNDUP(1.05*ECF[[#This Row],[Nsd (kN)]]/ECF[[#This Row],[Padm (kN)]],0),ROUNDUP(1.05*ECF[[#This Row],[Nsd (kN)]]/ECF[[#This Row],[Padm (kN)]],0)+1)</f>
        <v>26</v>
      </c>
      <c r="AC119" s="4" t="str">
        <f ca="1">IFERROR(IF(ECF[[#This Row],[nE]]=1,ECF[[#This Row],[Padm (kN)]],ECF[[#This Row],[Padm (kN)]]*ECF[[#This Row],[nE]]*INDEX(grupoEstacas[],ECF[[#This Row],[nE]],MATCH("ε",grupoEstacas[#Headers],0))),"N.S.")</f>
        <v>N.S.</v>
      </c>
      <c r="AD119" s="4">
        <f ca="1">1.05*ECF[[#This Row],[Nsd (kN)]]/(ECF[[#This Row],[nE]]*PI()*ECF[[#This Row],[Ø (cm)]]^2/4)*10</f>
        <v>0.12497743928690498</v>
      </c>
      <c r="AE119" s="4">
        <f ca="1">IF(ECF[[#This Row],[σ (MPa)]]&lt;INDEX(tipoEstaca[],MATCH($D$2,tipoEstaca[TIPO DE ESTACA],0),MATCH("σmáx (MPa)",tipoEstaca[#Headers],0)),0.4%*PI()*ECF[[#This Row],[Ø (cm)]]^2/4,"N.S.")</f>
        <v>45.238934211693021</v>
      </c>
      <c r="AF119" s="1">
        <f>INDEX(tipoEstaca[],MATCH($D$2,tipoEstaca[TIPO DE ESTACA],0),MATCH(ECF[[#Headers],[Comprimento (m)]],tipoEstaca[#Headers],0))</f>
        <v>4</v>
      </c>
      <c r="AG119" s="5">
        <f ca="1">ECF[[#This Row],[As,mín (cm²)]]/100^2*ECF[[#This Row],[Comprimento (m)]]*7850</f>
        <v>142.05025342471609</v>
      </c>
      <c r="AH119" s="4">
        <f ca="1">ECF[[#This Row],[nE]]*ECF[[#This Row],[Prof. (m)]]*ECF[[#This Row],[Ap (m²)]]</f>
        <v>58.810614475200929</v>
      </c>
      <c r="AI119" s="1">
        <f ca="1">IF(ECF[[#This Row],[nE]]=1,0,MAX(3*ECF[[#This Row],[Ø (cm)]],60))</f>
        <v>360</v>
      </c>
      <c r="AJ119" s="1">
        <f ca="1">IF(ECF[[#This Row],[nE]]=1,ECF[[#This Row],[Ø (cm)]]+2*10,MAX(1.5*ECF[[#This Row],[Ø (cm)]],ECF[[#This Row],[Ø (cm)]]+15))</f>
        <v>180</v>
      </c>
      <c r="AK119" s="1" t="str">
        <f ca="1">alturaUtil(ECF[[#This Row],[nE]],ECF[[#This Row],[Ø (cm)]],ECF[[#This Row],[e (cm)]],ECF[[#This Row],[ap,eq (cm)]])</f>
        <v>N.S.</v>
      </c>
      <c r="AL119" s="1" t="str">
        <f ca="1">IFERROR(ECF[[#This Row],[d (cm)]]+arredondarParaCimaMultiplo5cm(MAX(5,SQRT(PI())/2*ECF[[#This Row],[Ø (cm)]]/5)),"N.S.")</f>
        <v>N.S.</v>
      </c>
      <c r="AM119" s="5" t="str">
        <f ca="1">alpha(ECF[[#This Row],[nE]],ECF[[#This Row],[d (cm)]],ECF[[#This Row],[e (cm)]],ECF[[#This Row],[ap,eq (cm)]])</f>
        <v>N.S.</v>
      </c>
      <c r="AN119" s="35" t="str">
        <f ca="1">IFERROR(ECF[[#This Row],[Nsd (kN)]]/(ECF[[#This Row],[Ap (cm²)]]*SIN(ECF[[#This Row],[α]])^2),"N.S.")</f>
        <v>N.S.</v>
      </c>
      <c r="AO119" s="35" t="str">
        <f ca="1">IFERROR(ECF[[#This Row],[Nsd (kN)]]/(ECF[[#This Row],[nE]]*PI()*ECF[[#This Row],[Ø (cm)]]^2/4*SIN(ECF[[#This Row],[α]])^2),"N.S.")</f>
        <v>N.S.</v>
      </c>
      <c r="AP119" s="4" t="str">
        <f ca="1">IFERROR(INDEX(grupoEstacas[],ECF[[#This Row],[nE]],MATCH("coef. Blévot",grupoEstacas[#Headers],0)),"N.S.")</f>
        <v>N.S.</v>
      </c>
      <c r="AQ119" s="35" t="str">
        <f ca="1">IFERROR(ECF[[#This Row],[coef. Blévot]]*0.9*INDEX(tipoEstaca[],MATCH($D$2,tipoEstaca[TIPO DE ESTACA],0),MATCH("fcd (kN/cm²)",tipoEstaca[#Headers],0)),"N.S.")</f>
        <v>N.S.</v>
      </c>
      <c r="AR119" s="1" t="str">
        <f ca="1">IF(AND(ECF[[#This Row],[cd,b,pil (kN/cm²)]]&lt;=ECF[[#This Row],[cd,b,lim (kN/cm²)]],ECF[[#This Row],[cd,b,est (kN/cm²)]]&lt;=ECF[[#This Row],[cd,b,lim (kN/cm²)]]),"OK","ERRO")</f>
        <v>OK</v>
      </c>
      <c r="AS119" s="4" t="str">
        <f ca="1">As_lado(ECF[[#This Row],[nE]],ECF[[#This Row],[Nsd (kN)]],ECF[[#This Row],[d (cm)]],ECF[[#This Row],[e (cm)]],ECF[[#This Row],[ap,eq (cm)]])</f>
        <v>N.S.</v>
      </c>
      <c r="AT119" s="4" t="str">
        <f ca="1">IF(ECF[[#This Row],[nE]]=1,ECF[[#This Row],[As,lado (cm²)]],IF(ECF[[#This Row],[nE]]=2,0.075*2*ECF[a (cm)],"N.A."))</f>
        <v>N.A.</v>
      </c>
      <c r="AU119" s="4" t="str">
        <f ca="1">IFERROR(IF(ECF[[#This Row],[nE]]=1,"N.A.",0.2*ECF[[#This Row],[As,lado (cm²)]]),"N.S.")</f>
        <v>N.S.</v>
      </c>
      <c r="AV119" s="4" t="str">
        <f ca="1">As_malha(ECF[[#This Row],[nE]],ECF[[#This Row],[As,lado (cm²)]],ECF[[#This Row],[Nsd (kN)]])</f>
        <v>N.S.</v>
      </c>
      <c r="AW119" s="4" t="str">
        <f ca="1">As_susp_tot(ECF[[#This Row],[nE]],ECF[[#This Row],[Nsd (kN)]])</f>
        <v>N.S.</v>
      </c>
      <c r="AX119" s="4" t="str">
        <f ca="1">Asp_face(ECF[[#This Row],[nE]],ECF[[#This Row],[As,lado (cm²)]])</f>
        <v>N.S.</v>
      </c>
      <c r="AY119" s="5" t="str">
        <f ca="1">acoBloco(ECF[[#This Row],[nE]],ECF[[#This Row],[e (cm)]],ECF[[#This Row],[a (cm)]],ECF[[#This Row],[h (cm)]],ECF[[#This Row],[As,lado (cm²)]],ECF[[#This Row],[Asp e Asw (cm²/m)]],ECF[[#This Row],[As,sup (cm²)]],ECF[[#This Row],[As,malha (cm²)]],ECF[[#This Row],[As,susp,tot (cm²)]],ECF[[#This Row],[Asp,face (cm²)]])</f>
        <v>N.S.</v>
      </c>
      <c r="AZ119" s="4" t="str">
        <f ca="1">concretoBloco(ECF[[#This Row],[nE]],ECF[[#This Row],[e (cm)]],ECF[[#This Row],[a (cm)]],ECF[[#This Row],[h (cm)]])</f>
        <v>N.S.</v>
      </c>
      <c r="BA119" s="5">
        <f ca="1">SUM(ECF[[#This Row],[Aço Est (kg)]],ECF[[#This Row],[Aço Bloco (kg)]])</f>
        <v>142.05025342471609</v>
      </c>
      <c r="BB119" s="4">
        <f>INDEX(composicoes[],MATCH(95580,composicoes[CÓDIGO],0),MATCH("CUSTO TOTAL",composicoes[#Headers],0))</f>
        <v>10.46</v>
      </c>
      <c r="BC119" s="4">
        <f ca="1">SUM(ECF[[#This Row],[Conc Est (m³)]],ECF[[#This Row],[Conc Bloco (m³)]])</f>
        <v>58.810614475200929</v>
      </c>
      <c r="BD119" s="4">
        <f>INDEX(composicoes[],MATCH(94966,composicoes[CÓDIGO],0),MATCH("CUSTO TOTAL",composicoes[#Headers],0))</f>
        <v>439.52</v>
      </c>
      <c r="BE119" s="38">
        <f ca="1">ECF[[#This Row],[Aço (kg)]]*ECF[[#This Row],[Aço (R$/kg)]]+ECF[[#This Row],[Conc (m³)]]*ECF[[#This Row],[Conc (R$/m³)]]</f>
        <v>27334.286924962842</v>
      </c>
      <c r="BF119" s="4" t="str">
        <f ca="1">IF(COUNTIF(ECF[#This Row],"N.S.")&gt;0,"lim.","OK")</f>
        <v>lim.</v>
      </c>
      <c r="BG119" s="4" t="str">
        <f>IF(ECF[[#This Row],[Prof. (m)]]&lt;4,"lim.","OK")</f>
        <v>lim.</v>
      </c>
      <c r="BH119" s="4" t="str">
        <f>IF(ECF[[#This Row],[Prof. (m)]]&gt;=8*ECF[[#This Row],[Ø (cm)]]/100,"OK","lim.")</f>
        <v>lim.</v>
      </c>
      <c r="BI119" s="4" t="str">
        <f>IF(AND(SPT!$F$3&lt;&gt;"",ECF[[#This Row],[Prof. (m)]]&gt;=SPT!$F$3-2),"lim.","OK")</f>
        <v>OK</v>
      </c>
      <c r="BJ119" s="4" t="str">
        <f ca="1">IF(ECF[[#This Row],[Verif. Biela]]="OK","OK","lim.")</f>
        <v>OK</v>
      </c>
      <c r="BK119" s="4" t="str">
        <f ca="1">IF(COUNTA(ECF[[#This Row],[Nº Est.]:[Biela comp.]])=COUNTIF(ECF[[#This Row],[Nº Est.]:[Biela comp.]],"OK"),"OK","lim.")</f>
        <v>lim.</v>
      </c>
      <c r="BL119" s="4" t="str">
        <f ca="1">IF(ECF[[#This Row],[Controle]]="OK",ECF[[#This Row],[nE]]&amp;" Ø"&amp;ECF[[#This Row],[Ø (cm)]]&amp;"cm Prof. "&amp;ECF[[#This Row],[Prof. (m)]]&amp;" m","")</f>
        <v/>
      </c>
      <c r="BM119" s="4" t="str">
        <f ca="1">IF(ECF[[#This Row],[idDimensionamento]]="","",ECF[[#This Row],[idPilar]]&amp;ECF[[#This Row],[idDimensionamento]])</f>
        <v/>
      </c>
    </row>
    <row r="120" spans="2:65" x14ac:dyDescent="0.25">
      <c r="B120" s="12">
        <f>ROUNDUP((ROW(ECF[[#This Row],[idDiâmetro]])-ROW(ECF[[#Headers],[idDiâmetro]]))/(COUNT(SPT[Prof. (m)])*COUNT(PILARES[Pilar])),0)</f>
        <v>5</v>
      </c>
      <c r="C120" s="12">
        <f>IF(ECF[[#This Row],[idDiâmetro]]&lt;&gt;B119,1,IF(ECF[[#This Row],[Prof. (m)]]=0,C119+1,C119))</f>
        <v>1</v>
      </c>
      <c r="D120" s="1">
        <f>IFERROR(IF(D119=MAX(SPT[Prof. (m)]),0,D119+1),0)</f>
        <v>3</v>
      </c>
      <c r="E120" s="1">
        <f>INDEX(SPT[],MATCH(ECF[[#This Row],[Prof. (m)]],SPT[Prof. (m)],0),2)</f>
        <v>4</v>
      </c>
      <c r="F120" s="1" t="str">
        <f>INDEX(SPT[],MATCH(ECF[[#This Row],[Prof. (m)]],SPT[Prof. (m)],0),3)</f>
        <v>Areia siltosa</v>
      </c>
      <c r="G120" s="1">
        <f>INDEX(estacas[],ECF[[#This Row],[idDiâmetro]],MATCH($B$2,estacas[#Headers],0))</f>
        <v>120</v>
      </c>
      <c r="H120" s="1">
        <f>INDEX(estacas[],MATCH(ECF[[#This Row],[Ø (cm)]],estacas[Ø ECF (cm)],0),MATCH(ECF[[#Headers],[Pe ECF (kN)]],estacas[#Headers],0))</f>
        <v>4500</v>
      </c>
      <c r="I120" s="4">
        <f>INDEX(K_alpha_C[],MATCH(ECF[[#This Row],[Solo]],K_alpha_C[Solo],0),2)</f>
        <v>0.8</v>
      </c>
      <c r="J120" s="5">
        <f>INDEX(K_alpha_C[],MATCH(ECF[[#This Row],[Solo]],K_alpha_C[Solo],0),3)</f>
        <v>2</v>
      </c>
      <c r="K120" s="4">
        <f>INDEX(F1_F2[],MATCH($D$2,F1_F2[Tipo de estaca],0),2)</f>
        <v>3</v>
      </c>
      <c r="L120" s="4">
        <f>INDEX(F1_F2[],MATCH($D$2,F1_F2[Tipo de estaca],0),3)</f>
        <v>6</v>
      </c>
      <c r="M120" s="4">
        <f>PI()*(ECF[[#This Row],[Ø (cm)]]/100)^2/4</f>
        <v>1.1309733552923256</v>
      </c>
      <c r="N120" s="4">
        <f>PI()*ECF[[#This Row],[Ø (cm)]]/100</f>
        <v>3.7699111843077513</v>
      </c>
      <c r="O120" s="4">
        <f>IF(ECF[[#This Row],[Prof. (m)]]=0,0,ECF[[#This Row],[α (%)]]/100*ECF[[#This Row],[K (MPa)]]*1000*ECF[[#This Row],[NSPT]])</f>
        <v>64</v>
      </c>
      <c r="P120" s="4">
        <f>IF(ECF[[#This Row],[Prof. (m)]]=0,0,(ECF[[#This Row],[K (MPa)]]*1000*ECF[[#This Row],[NSPT]]/ECF[[#This Row],[F1]]*ECF[[#This Row],[Ap (m²)]]+ECF[[#This Row],[U (m)]]/ECF[[#This Row],[F2]]*SUMIFS(ECF[(α∙K∙NL∙ΔL)],ECF[Prof. (m)],"&lt;="&amp;ECF[[#This Row],[Prof. (m)]],ECF[idDiâmetro],ECF[[#This Row],[idDiâmetro]],ECF[idPilar],ECF[[#This Row],[idPilar]]))/'DADOS CAP. CARGA'!$D$2)</f>
        <v>643.39817545518974</v>
      </c>
      <c r="Q120" s="12">
        <f>INDEX(C_alpha_beta[],MATCH(ECF[[#This Row],[Solo]],C_alpha_beta[Solo],0),MATCH(ECF[[#Headers],[C (kPa)]],C_alpha_beta[#Headers],0))</f>
        <v>400</v>
      </c>
      <c r="R120" s="4">
        <f>INDEX(C_alpha_beta[],MATCH(ECF[[#This Row],[Solo]],C_alpha_beta[Solo],0),MATCH(ECF[[#Headers],[α ESF]],C_alpha_beta[#Headers],0))</f>
        <v>0.5</v>
      </c>
      <c r="S120" s="4">
        <f>INDEX(C_alpha_beta[],MATCH(ECF[[#This Row],[Solo]],C_alpha_beta[Solo],0),MATCH(ECF[[#Headers],[β ESF]],C_alpha_beta[#Headers],0))</f>
        <v>0.5</v>
      </c>
      <c r="T120" s="4">
        <f>IF(ECF[[#This Row],[Prof. (m)]]=0,0,10*(ECF[[#This Row],[NSPT]]/3+1))</f>
        <v>23.333333333333329</v>
      </c>
      <c r="U120" s="4">
        <f>(ECF[[#This Row],[α ESF]]*ECF[[#This Row],[C (kPa)]]*ECF[[#This Row],[NSPT]]*ECF[[#This Row],[Ap (m²)]])/'DADOS CAP. CARGA'!$Q$2+(ECF[[#This Row],[β ESF]]*SUMIFS(ECF[10∙(NL/3+1)],ECF[Prof. (m)],"&lt;="&amp;ECF[[#This Row],[Prof. (m)]],ECF[idDiâmetro],ECF[[#This Row],[idDiâmetro]],ECF[idPilar],ECF[[#This Row],[idPilar]])*ECF[[#This Row],[U (m)]])/'DADOS CAP. CARGA'!$S$2</f>
        <v>279.60174616949155</v>
      </c>
      <c r="V120" s="4">
        <f>IF(SPT!$M$5=1,MIN(ECF[[#This Row],[Pe ECF (kN)]],ECF[[#This Row],[R_AV (kN)]]),IF(SPT!$M$5=2,MIN(ECF[[#This Row],[Pe ECF (kN)]],ECF[[#This Row],[R_DC (kN)]]),MIN(ECF[[#This Row],[Pe ECF (kN)]],ECF[[#This Row],[R_AV (kN)]],ECF[[#This Row],[R_DC (kN)]])))</f>
        <v>279.60174616949155</v>
      </c>
      <c r="W120" s="4">
        <f>INDEX(PILARES[],ECF[[#This Row],[idPilar]],MATCH("Carga (kN)",PILARES[#Headers],0))*1.4</f>
        <v>3500</v>
      </c>
      <c r="X120" s="12">
        <f>INDEX(PILARES[],ECF[[#This Row],[idPilar]],MATCH(ECF[[#Headers],[ap (cm)]],PILARES[#Headers],0))</f>
        <v>60</v>
      </c>
      <c r="Y120" s="12">
        <f>INDEX(PILARES[],ECF[[#This Row],[idPilar]],MATCH(ECF[[#Headers],[bp (cm)]],PILARES[#Headers],0))</f>
        <v>60</v>
      </c>
      <c r="Z120" s="4">
        <f>SQRT(ECF[[#This Row],[ap (cm)]]*ECF[[#This Row],[bp (cm)]])</f>
        <v>60</v>
      </c>
      <c r="AA120" s="12">
        <f>ECF[[#This Row],[ap (cm)]]*ECF[[#This Row],[bp (cm)]]</f>
        <v>3600</v>
      </c>
      <c r="AB120" s="12">
        <f ca="1">IF(ECF[[#This Row],[Padm∙ε (kN)]]&gt;=ECF[[#This Row],[Padm (kN)]],ROUNDUP(1.05*ECF[[#This Row],[Nsd (kN)]]/ECF[[#This Row],[Padm (kN)]],0),ROUNDUP(1.05*ECF[[#This Row],[Nsd (kN)]]/ECF[[#This Row],[Padm (kN)]],0)+1)</f>
        <v>14</v>
      </c>
      <c r="AC120" s="4" t="str">
        <f ca="1">IFERROR(IF(ECF[[#This Row],[nE]]=1,ECF[[#This Row],[Padm (kN)]],ECF[[#This Row],[Padm (kN)]]*ECF[[#This Row],[nE]]*INDEX(grupoEstacas[],ECF[[#This Row],[nE]],MATCH("ε",grupoEstacas[#Headers],0))),"N.S.")</f>
        <v>N.S.</v>
      </c>
      <c r="AD120" s="4">
        <f ca="1">1.05*ECF[[#This Row],[Nsd (kN)]]/(ECF[[#This Row],[nE]]*PI()*ECF[[#This Row],[Ø (cm)]]^2/4)*10</f>
        <v>0.2321009586756807</v>
      </c>
      <c r="AE120" s="4">
        <f ca="1">IF(ECF[[#This Row],[σ (MPa)]]&lt;INDEX(tipoEstaca[],MATCH($D$2,tipoEstaca[TIPO DE ESTACA],0),MATCH("σmáx (MPa)",tipoEstaca[#Headers],0)),0.4%*PI()*ECF[[#This Row],[Ø (cm)]]^2/4,"N.S.")</f>
        <v>45.238934211693021</v>
      </c>
      <c r="AF120" s="1">
        <f>INDEX(tipoEstaca[],MATCH($D$2,tipoEstaca[TIPO DE ESTACA],0),MATCH(ECF[[#Headers],[Comprimento (m)]],tipoEstaca[#Headers],0))</f>
        <v>4</v>
      </c>
      <c r="AG120" s="5">
        <f ca="1">ECF[[#This Row],[As,mín (cm²)]]/100^2*ECF[[#This Row],[Comprimento (m)]]*7850</f>
        <v>142.05025342471609</v>
      </c>
      <c r="AH120" s="4">
        <f ca="1">ECF[[#This Row],[nE]]*ECF[[#This Row],[Prof. (m)]]*ECF[[#This Row],[Ap (m²)]]</f>
        <v>47.500880922277673</v>
      </c>
      <c r="AI120" s="1">
        <f ca="1">IF(ECF[[#This Row],[nE]]=1,0,MAX(3*ECF[[#This Row],[Ø (cm)]],60))</f>
        <v>360</v>
      </c>
      <c r="AJ120" s="1">
        <f ca="1">IF(ECF[[#This Row],[nE]]=1,ECF[[#This Row],[Ø (cm)]]+2*10,MAX(1.5*ECF[[#This Row],[Ø (cm)]],ECF[[#This Row],[Ø (cm)]]+15))</f>
        <v>180</v>
      </c>
      <c r="AK120" s="1" t="str">
        <f ca="1">alturaUtil(ECF[[#This Row],[nE]],ECF[[#This Row],[Ø (cm)]],ECF[[#This Row],[e (cm)]],ECF[[#This Row],[ap,eq (cm)]])</f>
        <v>N.S.</v>
      </c>
      <c r="AL120" s="1" t="str">
        <f ca="1">IFERROR(ECF[[#This Row],[d (cm)]]+arredondarParaCimaMultiplo5cm(MAX(5,SQRT(PI())/2*ECF[[#This Row],[Ø (cm)]]/5)),"N.S.")</f>
        <v>N.S.</v>
      </c>
      <c r="AM120" s="5" t="str">
        <f ca="1">alpha(ECF[[#This Row],[nE]],ECF[[#This Row],[d (cm)]],ECF[[#This Row],[e (cm)]],ECF[[#This Row],[ap,eq (cm)]])</f>
        <v>N.S.</v>
      </c>
      <c r="AN120" s="35" t="str">
        <f ca="1">IFERROR(ECF[[#This Row],[Nsd (kN)]]/(ECF[[#This Row],[Ap (cm²)]]*SIN(ECF[[#This Row],[α]])^2),"N.S.")</f>
        <v>N.S.</v>
      </c>
      <c r="AO120" s="35" t="str">
        <f ca="1">IFERROR(ECF[[#This Row],[Nsd (kN)]]/(ECF[[#This Row],[nE]]*PI()*ECF[[#This Row],[Ø (cm)]]^2/4*SIN(ECF[[#This Row],[α]])^2),"N.S.")</f>
        <v>N.S.</v>
      </c>
      <c r="AP120" s="4" t="str">
        <f ca="1">IFERROR(INDEX(grupoEstacas[],ECF[[#This Row],[nE]],MATCH("coef. Blévot",grupoEstacas[#Headers],0)),"N.S.")</f>
        <v>N.S.</v>
      </c>
      <c r="AQ120" s="35" t="str">
        <f ca="1">IFERROR(ECF[[#This Row],[coef. Blévot]]*0.9*INDEX(tipoEstaca[],MATCH($D$2,tipoEstaca[TIPO DE ESTACA],0),MATCH("fcd (kN/cm²)",tipoEstaca[#Headers],0)),"N.S.")</f>
        <v>N.S.</v>
      </c>
      <c r="AR120" s="1" t="str">
        <f ca="1">IF(AND(ECF[[#This Row],[cd,b,pil (kN/cm²)]]&lt;=ECF[[#This Row],[cd,b,lim (kN/cm²)]],ECF[[#This Row],[cd,b,est (kN/cm²)]]&lt;=ECF[[#This Row],[cd,b,lim (kN/cm²)]]),"OK","ERRO")</f>
        <v>OK</v>
      </c>
      <c r="AS120" s="4" t="str">
        <f ca="1">As_lado(ECF[[#This Row],[nE]],ECF[[#This Row],[Nsd (kN)]],ECF[[#This Row],[d (cm)]],ECF[[#This Row],[e (cm)]],ECF[[#This Row],[ap,eq (cm)]])</f>
        <v>N.S.</v>
      </c>
      <c r="AT120" s="4" t="str">
        <f ca="1">IF(ECF[[#This Row],[nE]]=1,ECF[[#This Row],[As,lado (cm²)]],IF(ECF[[#This Row],[nE]]=2,0.075*2*ECF[a (cm)],"N.A."))</f>
        <v>N.A.</v>
      </c>
      <c r="AU120" s="4" t="str">
        <f ca="1">IFERROR(IF(ECF[[#This Row],[nE]]=1,"N.A.",0.2*ECF[[#This Row],[As,lado (cm²)]]),"N.S.")</f>
        <v>N.S.</v>
      </c>
      <c r="AV120" s="4" t="str">
        <f ca="1">As_malha(ECF[[#This Row],[nE]],ECF[[#This Row],[As,lado (cm²)]],ECF[[#This Row],[Nsd (kN)]])</f>
        <v>N.S.</v>
      </c>
      <c r="AW120" s="4" t="str">
        <f ca="1">As_susp_tot(ECF[[#This Row],[nE]],ECF[[#This Row],[Nsd (kN)]])</f>
        <v>N.S.</v>
      </c>
      <c r="AX120" s="4" t="str">
        <f ca="1">Asp_face(ECF[[#This Row],[nE]],ECF[[#This Row],[As,lado (cm²)]])</f>
        <v>N.S.</v>
      </c>
      <c r="AY120" s="5" t="str">
        <f ca="1">acoBloco(ECF[[#This Row],[nE]],ECF[[#This Row],[e (cm)]],ECF[[#This Row],[a (cm)]],ECF[[#This Row],[h (cm)]],ECF[[#This Row],[As,lado (cm²)]],ECF[[#This Row],[Asp e Asw (cm²/m)]],ECF[[#This Row],[As,sup (cm²)]],ECF[[#This Row],[As,malha (cm²)]],ECF[[#This Row],[As,susp,tot (cm²)]],ECF[[#This Row],[Asp,face (cm²)]])</f>
        <v>N.S.</v>
      </c>
      <c r="AZ120" s="4" t="str">
        <f ca="1">concretoBloco(ECF[[#This Row],[nE]],ECF[[#This Row],[e (cm)]],ECF[[#This Row],[a (cm)]],ECF[[#This Row],[h (cm)]])</f>
        <v>N.S.</v>
      </c>
      <c r="BA120" s="5">
        <f ca="1">SUM(ECF[[#This Row],[Aço Est (kg)]],ECF[[#This Row],[Aço Bloco (kg)]])</f>
        <v>142.05025342471609</v>
      </c>
      <c r="BB120" s="4">
        <f>INDEX(composicoes[],MATCH(95580,composicoes[CÓDIGO],0),MATCH("CUSTO TOTAL",composicoes[#Headers],0))</f>
        <v>10.46</v>
      </c>
      <c r="BC120" s="4">
        <f ca="1">SUM(ECF[[#This Row],[Conc Est (m³)]],ECF[[#This Row],[Conc Bloco (m³)]])</f>
        <v>47.500880922277673</v>
      </c>
      <c r="BD120" s="4">
        <f>INDEX(composicoes[],MATCH(94966,composicoes[CÓDIGO],0),MATCH("CUSTO TOTAL",composicoes[#Headers],0))</f>
        <v>439.52</v>
      </c>
      <c r="BE120" s="38">
        <f ca="1">ECF[[#This Row],[Aço (kg)]]*ECF[[#This Row],[Aço (R$/kg)]]+ECF[[#This Row],[Conc (m³)]]*ECF[[#This Row],[Conc (R$/m³)]]</f>
        <v>22363.432833782015</v>
      </c>
      <c r="BF120" s="4" t="str">
        <f ca="1">IF(COUNTIF(ECF[#This Row],"N.S.")&gt;0,"lim.","OK")</f>
        <v>lim.</v>
      </c>
      <c r="BG120" s="4" t="str">
        <f>IF(ECF[[#This Row],[Prof. (m)]]&lt;4,"lim.","OK")</f>
        <v>lim.</v>
      </c>
      <c r="BH120" s="4" t="str">
        <f>IF(ECF[[#This Row],[Prof. (m)]]&gt;=8*ECF[[#This Row],[Ø (cm)]]/100,"OK","lim.")</f>
        <v>lim.</v>
      </c>
      <c r="BI120" s="4" t="str">
        <f>IF(AND(SPT!$F$3&lt;&gt;"",ECF[[#This Row],[Prof. (m)]]&gt;=SPT!$F$3-2),"lim.","OK")</f>
        <v>OK</v>
      </c>
      <c r="BJ120" s="4" t="str">
        <f ca="1">IF(ECF[[#This Row],[Verif. Biela]]="OK","OK","lim.")</f>
        <v>OK</v>
      </c>
      <c r="BK120" s="4" t="str">
        <f ca="1">IF(COUNTA(ECF[[#This Row],[Nº Est.]:[Biela comp.]])=COUNTIF(ECF[[#This Row],[Nº Est.]:[Biela comp.]],"OK"),"OK","lim.")</f>
        <v>lim.</v>
      </c>
      <c r="BL120" s="4" t="str">
        <f ca="1">IF(ECF[[#This Row],[Controle]]="OK",ECF[[#This Row],[nE]]&amp;" Ø"&amp;ECF[[#This Row],[Ø (cm)]]&amp;"cm Prof. "&amp;ECF[[#This Row],[Prof. (m)]]&amp;" m","")</f>
        <v/>
      </c>
      <c r="BM120" s="4" t="str">
        <f ca="1">IF(ECF[[#This Row],[idDimensionamento]]="","",ECF[[#This Row],[idPilar]]&amp;ECF[[#This Row],[idDimensionamento]])</f>
        <v/>
      </c>
    </row>
    <row r="121" spans="2:65" x14ac:dyDescent="0.25">
      <c r="B121" s="12">
        <f>ROUNDUP((ROW(ECF[[#This Row],[idDiâmetro]])-ROW(ECF[[#Headers],[idDiâmetro]]))/(COUNT(SPT[Prof. (m)])*COUNT(PILARES[Pilar])),0)</f>
        <v>5</v>
      </c>
      <c r="C121" s="12">
        <f>IF(ECF[[#This Row],[idDiâmetro]]&lt;&gt;B120,1,IF(ECF[[#This Row],[Prof. (m)]]=0,C120+1,C120))</f>
        <v>1</v>
      </c>
      <c r="D121" s="1">
        <f>IFERROR(IF(D120=MAX(SPT[Prof. (m)]),0,D120+1),0)</f>
        <v>4</v>
      </c>
      <c r="E121" s="1">
        <f>INDEX(SPT[],MATCH(ECF[[#This Row],[Prof. (m)]],SPT[Prof. (m)],0),2)</f>
        <v>8</v>
      </c>
      <c r="F121" s="1" t="str">
        <f>INDEX(SPT[],MATCH(ECF[[#This Row],[Prof. (m)]],SPT[Prof. (m)],0),3)</f>
        <v>Areia siltosa</v>
      </c>
      <c r="G121" s="1">
        <f>INDEX(estacas[],ECF[[#This Row],[idDiâmetro]],MATCH($B$2,estacas[#Headers],0))</f>
        <v>120</v>
      </c>
      <c r="H121" s="1">
        <f>INDEX(estacas[],MATCH(ECF[[#This Row],[Ø (cm)]],estacas[Ø ECF (cm)],0),MATCH(ECF[[#Headers],[Pe ECF (kN)]],estacas[#Headers],0))</f>
        <v>4500</v>
      </c>
      <c r="I121" s="4">
        <f>INDEX(K_alpha_C[],MATCH(ECF[[#This Row],[Solo]],K_alpha_C[Solo],0),2)</f>
        <v>0.8</v>
      </c>
      <c r="J121" s="5">
        <f>INDEX(K_alpha_C[],MATCH(ECF[[#This Row],[Solo]],K_alpha_C[Solo],0),3)</f>
        <v>2</v>
      </c>
      <c r="K121" s="4">
        <f>INDEX(F1_F2[],MATCH($D$2,F1_F2[Tipo de estaca],0),2)</f>
        <v>3</v>
      </c>
      <c r="L121" s="4">
        <f>INDEX(F1_F2[],MATCH($D$2,F1_F2[Tipo de estaca],0),3)</f>
        <v>6</v>
      </c>
      <c r="M121" s="4">
        <f>PI()*(ECF[[#This Row],[Ø (cm)]]/100)^2/4</f>
        <v>1.1309733552923256</v>
      </c>
      <c r="N121" s="4">
        <f>PI()*ECF[[#This Row],[Ø (cm)]]/100</f>
        <v>3.7699111843077513</v>
      </c>
      <c r="O121" s="4">
        <f>IF(ECF[[#This Row],[Prof. (m)]]=0,0,ECF[[#This Row],[α (%)]]/100*ECF[[#This Row],[K (MPa)]]*1000*ECF[[#This Row],[NSPT]])</f>
        <v>128</v>
      </c>
      <c r="P121" s="4">
        <f>IF(ECF[[#This Row],[Prof. (m)]]=0,0,(ECF[[#This Row],[K (MPa)]]*1000*ECF[[#This Row],[NSPT]]/ECF[[#This Row],[F1]]*ECF[[#This Row],[Ap (m²)]]+ECF[[#This Row],[U (m)]]/ECF[[#This Row],[F2]]*SUMIFS(ECF[(α∙K∙NL∙ΔL)],ECF[Prof. (m)],"&lt;="&amp;ECF[[#This Row],[Prof. (m)]],ECF[idDiâmetro],ECF[[#This Row],[idDiâmetro]],ECF[idPilar],ECF[[#This Row],[idPilar]]))/'DADOS CAP. CARGA'!$D$2)</f>
        <v>1286.7963509103795</v>
      </c>
      <c r="Q121" s="12">
        <f>INDEX(C_alpha_beta[],MATCH(ECF[[#This Row],[Solo]],C_alpha_beta[Solo],0),MATCH(ECF[[#Headers],[C (kPa)]],C_alpha_beta[#Headers],0))</f>
        <v>400</v>
      </c>
      <c r="R121" s="4">
        <f>INDEX(C_alpha_beta[],MATCH(ECF[[#This Row],[Solo]],C_alpha_beta[Solo],0),MATCH(ECF[[#Headers],[α ESF]],C_alpha_beta[#Headers],0))</f>
        <v>0.5</v>
      </c>
      <c r="S121" s="4">
        <f>INDEX(C_alpha_beta[],MATCH(ECF[[#This Row],[Solo]],C_alpha_beta[Solo],0),MATCH(ECF[[#Headers],[β ESF]],C_alpha_beta[#Headers],0))</f>
        <v>0.5</v>
      </c>
      <c r="T121" s="4">
        <f>IF(ECF[[#This Row],[Prof. (m)]]=0,0,10*(ECF[[#This Row],[NSPT]]/3+1))</f>
        <v>36.666666666666664</v>
      </c>
      <c r="U121" s="4">
        <f>(ECF[[#This Row],[α ESF]]*ECF[[#This Row],[C (kPa)]]*ECF[[#This Row],[NSPT]]*ECF[[#This Row],[Ap (m²)]])/'DADOS CAP. CARGA'!$Q$2+(ECF[[#This Row],[β ESF]]*SUMIFS(ECF[10∙(NL/3+1)],ECF[Prof. (m)],"&lt;="&amp;ECF[[#This Row],[Prof. (m)]],ECF[idDiâmetro],ECF[[#This Row],[idDiâmetro]],ECF[idPilar],ECF[[#This Row],[idPilar]])*ECF[[#This Row],[U (m)]])/'DADOS CAP. CARGA'!$S$2</f>
        <v>540.3539364174444</v>
      </c>
      <c r="V121" s="4">
        <f>IF(SPT!$M$5=1,MIN(ECF[[#This Row],[Pe ECF (kN)]],ECF[[#This Row],[R_AV (kN)]]),IF(SPT!$M$5=2,MIN(ECF[[#This Row],[Pe ECF (kN)]],ECF[[#This Row],[R_DC (kN)]]),MIN(ECF[[#This Row],[Pe ECF (kN)]],ECF[[#This Row],[R_AV (kN)]],ECF[[#This Row],[R_DC (kN)]])))</f>
        <v>540.3539364174444</v>
      </c>
      <c r="W121" s="4">
        <f>INDEX(PILARES[],ECF[[#This Row],[idPilar]],MATCH("Carga (kN)",PILARES[#Headers],0))*1.4</f>
        <v>3500</v>
      </c>
      <c r="X121" s="12">
        <f>INDEX(PILARES[],ECF[[#This Row],[idPilar]],MATCH(ECF[[#Headers],[ap (cm)]],PILARES[#Headers],0))</f>
        <v>60</v>
      </c>
      <c r="Y121" s="12">
        <f>INDEX(PILARES[],ECF[[#This Row],[idPilar]],MATCH(ECF[[#Headers],[bp (cm)]],PILARES[#Headers],0))</f>
        <v>60</v>
      </c>
      <c r="Z121" s="4">
        <f>SQRT(ECF[[#This Row],[ap (cm)]]*ECF[[#This Row],[bp (cm)]])</f>
        <v>60</v>
      </c>
      <c r="AA121" s="12">
        <f>ECF[[#This Row],[ap (cm)]]*ECF[[#This Row],[bp (cm)]]</f>
        <v>3600</v>
      </c>
      <c r="AB121" s="12">
        <f ca="1">IF(ECF[[#This Row],[Padm∙ε (kN)]]&gt;=ECF[[#This Row],[Padm (kN)]],ROUNDUP(1.05*ECF[[#This Row],[Nsd (kN)]]/ECF[[#This Row],[Padm (kN)]],0),ROUNDUP(1.05*ECF[[#This Row],[Nsd (kN)]]/ECF[[#This Row],[Padm (kN)]],0)+1)</f>
        <v>7</v>
      </c>
      <c r="AC121" s="4" t="str">
        <f ca="1">IFERROR(IF(ECF[[#This Row],[nE]]=1,ECF[[#This Row],[Padm (kN)]],ECF[[#This Row],[Padm (kN)]]*ECF[[#This Row],[nE]]*INDEX(grupoEstacas[],ECF[[#This Row],[nE]],MATCH("ε",grupoEstacas[#Headers],0))),"N.S.")</f>
        <v>N.S.</v>
      </c>
      <c r="AD121" s="4">
        <f ca="1">1.05*ECF[[#This Row],[Nsd (kN)]]/(ECF[[#This Row],[nE]]*PI()*ECF[[#This Row],[Ø (cm)]]^2/4)*10</f>
        <v>0.4642019173513614</v>
      </c>
      <c r="AE121" s="4">
        <f ca="1">IF(ECF[[#This Row],[σ (MPa)]]&lt;INDEX(tipoEstaca[],MATCH($D$2,tipoEstaca[TIPO DE ESTACA],0),MATCH("σmáx (MPa)",tipoEstaca[#Headers],0)),0.4%*PI()*ECF[[#This Row],[Ø (cm)]]^2/4,"N.S.")</f>
        <v>45.238934211693021</v>
      </c>
      <c r="AF121" s="1">
        <f>INDEX(tipoEstaca[],MATCH($D$2,tipoEstaca[TIPO DE ESTACA],0),MATCH(ECF[[#Headers],[Comprimento (m)]],tipoEstaca[#Headers],0))</f>
        <v>4</v>
      </c>
      <c r="AG121" s="5">
        <f ca="1">ECF[[#This Row],[As,mín (cm²)]]/100^2*ECF[[#This Row],[Comprimento (m)]]*7850</f>
        <v>142.05025342471609</v>
      </c>
      <c r="AH121" s="4">
        <f ca="1">ECF[[#This Row],[nE]]*ECF[[#This Row],[Prof. (m)]]*ECF[[#This Row],[Ap (m²)]]</f>
        <v>31.667253948185117</v>
      </c>
      <c r="AI121" s="1">
        <f ca="1">IF(ECF[[#This Row],[nE]]=1,0,MAX(3*ECF[[#This Row],[Ø (cm)]],60))</f>
        <v>360</v>
      </c>
      <c r="AJ121" s="1">
        <f ca="1">IF(ECF[[#This Row],[nE]]=1,ECF[[#This Row],[Ø (cm)]]+2*10,MAX(1.5*ECF[[#This Row],[Ø (cm)]],ECF[[#This Row],[Ø (cm)]]+15))</f>
        <v>180</v>
      </c>
      <c r="AK121" s="1" t="str">
        <f ca="1">alturaUtil(ECF[[#This Row],[nE]],ECF[[#This Row],[Ø (cm)]],ECF[[#This Row],[e (cm)]],ECF[[#This Row],[ap,eq (cm)]])</f>
        <v>N.S.</v>
      </c>
      <c r="AL121" s="1" t="str">
        <f ca="1">IFERROR(ECF[[#This Row],[d (cm)]]+arredondarParaCimaMultiplo5cm(MAX(5,SQRT(PI())/2*ECF[[#This Row],[Ø (cm)]]/5)),"N.S.")</f>
        <v>N.S.</v>
      </c>
      <c r="AM121" s="5" t="str">
        <f ca="1">alpha(ECF[[#This Row],[nE]],ECF[[#This Row],[d (cm)]],ECF[[#This Row],[e (cm)]],ECF[[#This Row],[ap,eq (cm)]])</f>
        <v>N.S.</v>
      </c>
      <c r="AN121" s="35" t="str">
        <f ca="1">IFERROR(ECF[[#This Row],[Nsd (kN)]]/(ECF[[#This Row],[Ap (cm²)]]*SIN(ECF[[#This Row],[α]])^2),"N.S.")</f>
        <v>N.S.</v>
      </c>
      <c r="AO121" s="35" t="str">
        <f ca="1">IFERROR(ECF[[#This Row],[Nsd (kN)]]/(ECF[[#This Row],[nE]]*PI()*ECF[[#This Row],[Ø (cm)]]^2/4*SIN(ECF[[#This Row],[α]])^2),"N.S.")</f>
        <v>N.S.</v>
      </c>
      <c r="AP121" s="4" t="str">
        <f ca="1">IFERROR(INDEX(grupoEstacas[],ECF[[#This Row],[nE]],MATCH("coef. Blévot",grupoEstacas[#Headers],0)),"N.S.")</f>
        <v>N.S.</v>
      </c>
      <c r="AQ121" s="35" t="str">
        <f ca="1">IFERROR(ECF[[#This Row],[coef. Blévot]]*0.9*INDEX(tipoEstaca[],MATCH($D$2,tipoEstaca[TIPO DE ESTACA],0),MATCH("fcd (kN/cm²)",tipoEstaca[#Headers],0)),"N.S.")</f>
        <v>N.S.</v>
      </c>
      <c r="AR121" s="1" t="str">
        <f ca="1">IF(AND(ECF[[#This Row],[cd,b,pil (kN/cm²)]]&lt;=ECF[[#This Row],[cd,b,lim (kN/cm²)]],ECF[[#This Row],[cd,b,est (kN/cm²)]]&lt;=ECF[[#This Row],[cd,b,lim (kN/cm²)]]),"OK","ERRO")</f>
        <v>OK</v>
      </c>
      <c r="AS121" s="4" t="str">
        <f ca="1">As_lado(ECF[[#This Row],[nE]],ECF[[#This Row],[Nsd (kN)]],ECF[[#This Row],[d (cm)]],ECF[[#This Row],[e (cm)]],ECF[[#This Row],[ap,eq (cm)]])</f>
        <v>N.S.</v>
      </c>
      <c r="AT121" s="4" t="str">
        <f ca="1">IF(ECF[[#This Row],[nE]]=1,ECF[[#This Row],[As,lado (cm²)]],IF(ECF[[#This Row],[nE]]=2,0.075*2*ECF[a (cm)],"N.A."))</f>
        <v>N.A.</v>
      </c>
      <c r="AU121" s="4" t="str">
        <f ca="1">IFERROR(IF(ECF[[#This Row],[nE]]=1,"N.A.",0.2*ECF[[#This Row],[As,lado (cm²)]]),"N.S.")</f>
        <v>N.S.</v>
      </c>
      <c r="AV121" s="4" t="str">
        <f ca="1">As_malha(ECF[[#This Row],[nE]],ECF[[#This Row],[As,lado (cm²)]],ECF[[#This Row],[Nsd (kN)]])</f>
        <v>N.S.</v>
      </c>
      <c r="AW121" s="4" t="str">
        <f ca="1">As_susp_tot(ECF[[#This Row],[nE]],ECF[[#This Row],[Nsd (kN)]])</f>
        <v>N.S.</v>
      </c>
      <c r="AX121" s="4" t="str">
        <f ca="1">Asp_face(ECF[[#This Row],[nE]],ECF[[#This Row],[As,lado (cm²)]])</f>
        <v>N.S.</v>
      </c>
      <c r="AY121" s="5" t="str">
        <f ca="1">acoBloco(ECF[[#This Row],[nE]],ECF[[#This Row],[e (cm)]],ECF[[#This Row],[a (cm)]],ECF[[#This Row],[h (cm)]],ECF[[#This Row],[As,lado (cm²)]],ECF[[#This Row],[Asp e Asw (cm²/m)]],ECF[[#This Row],[As,sup (cm²)]],ECF[[#This Row],[As,malha (cm²)]],ECF[[#This Row],[As,susp,tot (cm²)]],ECF[[#This Row],[Asp,face (cm²)]])</f>
        <v>N.S.</v>
      </c>
      <c r="AZ121" s="4" t="str">
        <f ca="1">concretoBloco(ECF[[#This Row],[nE]],ECF[[#This Row],[e (cm)]],ECF[[#This Row],[a (cm)]],ECF[[#This Row],[h (cm)]])</f>
        <v>N.S.</v>
      </c>
      <c r="BA121" s="5">
        <f ca="1">SUM(ECF[[#This Row],[Aço Est (kg)]],ECF[[#This Row],[Aço Bloco (kg)]])</f>
        <v>142.05025342471609</v>
      </c>
      <c r="BB121" s="4">
        <f>INDEX(composicoes[],MATCH(95580,composicoes[CÓDIGO],0),MATCH("CUSTO TOTAL",composicoes[#Headers],0))</f>
        <v>10.46</v>
      </c>
      <c r="BC121" s="4">
        <f ca="1">SUM(ECF[[#This Row],[Conc Est (m³)]],ECF[[#This Row],[Conc Bloco (m³)]])</f>
        <v>31.667253948185117</v>
      </c>
      <c r="BD121" s="4">
        <f>INDEX(composicoes[],MATCH(94966,composicoes[CÓDIGO],0),MATCH("CUSTO TOTAL",composicoes[#Headers],0))</f>
        <v>439.52</v>
      </c>
      <c r="BE121" s="38">
        <f ca="1">ECF[[#This Row],[Aço (kg)]]*ECF[[#This Row],[Aço (R$/kg)]]+ECF[[#This Row],[Conc (m³)]]*ECF[[#This Row],[Conc (R$/m³)]]</f>
        <v>15404.237106128852</v>
      </c>
      <c r="BF121" s="4" t="str">
        <f ca="1">IF(COUNTIF(ECF[#This Row],"N.S.")&gt;0,"lim.","OK")</f>
        <v>lim.</v>
      </c>
      <c r="BG121" s="4" t="str">
        <f>IF(ECF[[#This Row],[Prof. (m)]]&lt;4,"lim.","OK")</f>
        <v>OK</v>
      </c>
      <c r="BH121" s="4" t="str">
        <f>IF(ECF[[#This Row],[Prof. (m)]]&gt;=8*ECF[[#This Row],[Ø (cm)]]/100,"OK","lim.")</f>
        <v>lim.</v>
      </c>
      <c r="BI121" s="4" t="str">
        <f>IF(AND(SPT!$F$3&lt;&gt;"",ECF[[#This Row],[Prof. (m)]]&gt;=SPT!$F$3-2),"lim.","OK")</f>
        <v>OK</v>
      </c>
      <c r="BJ121" s="4" t="str">
        <f ca="1">IF(ECF[[#This Row],[Verif. Biela]]="OK","OK","lim.")</f>
        <v>OK</v>
      </c>
      <c r="BK121" s="4" t="str">
        <f ca="1">IF(COUNTA(ECF[[#This Row],[Nº Est.]:[Biela comp.]])=COUNTIF(ECF[[#This Row],[Nº Est.]:[Biela comp.]],"OK"),"OK","lim.")</f>
        <v>lim.</v>
      </c>
      <c r="BL121" s="4" t="str">
        <f ca="1">IF(ECF[[#This Row],[Controle]]="OK",ECF[[#This Row],[nE]]&amp;" Ø"&amp;ECF[[#This Row],[Ø (cm)]]&amp;"cm Prof. "&amp;ECF[[#This Row],[Prof. (m)]]&amp;" m","")</f>
        <v/>
      </c>
      <c r="BM121" s="4" t="str">
        <f ca="1">IF(ECF[[#This Row],[idDimensionamento]]="","",ECF[[#This Row],[idPilar]]&amp;ECF[[#This Row],[idDimensionamento]])</f>
        <v/>
      </c>
    </row>
    <row r="122" spans="2:65" x14ac:dyDescent="0.25">
      <c r="B122" s="12">
        <f>ROUNDUP((ROW(ECF[[#This Row],[idDiâmetro]])-ROW(ECF[[#Headers],[idDiâmetro]]))/(COUNT(SPT[Prof. (m)])*COUNT(PILARES[Pilar])),0)</f>
        <v>5</v>
      </c>
      <c r="C122" s="12">
        <f>IF(ECF[[#This Row],[idDiâmetro]]&lt;&gt;B121,1,IF(ECF[[#This Row],[Prof. (m)]]=0,C121+1,C121))</f>
        <v>1</v>
      </c>
      <c r="D122" s="1">
        <f>IFERROR(IF(D121=MAX(SPT[Prof. (m)]),0,D121+1),0)</f>
        <v>5</v>
      </c>
      <c r="E122" s="1">
        <f>INDEX(SPT[],MATCH(ECF[[#This Row],[Prof. (m)]],SPT[Prof. (m)],0),2)</f>
        <v>17</v>
      </c>
      <c r="F122" s="1" t="str">
        <f>INDEX(SPT[],MATCH(ECF[[#This Row],[Prof. (m)]],SPT[Prof. (m)],0),3)</f>
        <v>Areia siltosa</v>
      </c>
      <c r="G122" s="1">
        <f>INDEX(estacas[],ECF[[#This Row],[idDiâmetro]],MATCH($B$2,estacas[#Headers],0))</f>
        <v>120</v>
      </c>
      <c r="H122" s="1">
        <f>INDEX(estacas[],MATCH(ECF[[#This Row],[Ø (cm)]],estacas[Ø ECF (cm)],0),MATCH(ECF[[#Headers],[Pe ECF (kN)]],estacas[#Headers],0))</f>
        <v>4500</v>
      </c>
      <c r="I122" s="4">
        <f>INDEX(K_alpha_C[],MATCH(ECF[[#This Row],[Solo]],K_alpha_C[Solo],0),2)</f>
        <v>0.8</v>
      </c>
      <c r="J122" s="5">
        <f>INDEX(K_alpha_C[],MATCH(ECF[[#This Row],[Solo]],K_alpha_C[Solo],0),3)</f>
        <v>2</v>
      </c>
      <c r="K122" s="4">
        <f>INDEX(F1_F2[],MATCH($D$2,F1_F2[Tipo de estaca],0),2)</f>
        <v>3</v>
      </c>
      <c r="L122" s="4">
        <f>INDEX(F1_F2[],MATCH($D$2,F1_F2[Tipo de estaca],0),3)</f>
        <v>6</v>
      </c>
      <c r="M122" s="4">
        <f>PI()*(ECF[[#This Row],[Ø (cm)]]/100)^2/4</f>
        <v>1.1309733552923256</v>
      </c>
      <c r="N122" s="4">
        <f>PI()*ECF[[#This Row],[Ø (cm)]]/100</f>
        <v>3.7699111843077513</v>
      </c>
      <c r="O122" s="4">
        <f>IF(ECF[[#This Row],[Prof. (m)]]=0,0,ECF[[#This Row],[α (%)]]/100*ECF[[#This Row],[K (MPa)]]*1000*ECF[[#This Row],[NSPT]])</f>
        <v>272</v>
      </c>
      <c r="P122" s="4">
        <f>IF(ECF[[#This Row],[Prof. (m)]]=0,0,(ECF[[#This Row],[K (MPa)]]*1000*ECF[[#This Row],[NSPT]]/ECF[[#This Row],[F1]]*ECF[[#This Row],[Ap (m²)]]+ECF[[#This Row],[U (m)]]/ECF[[#This Row],[F2]]*SUMIFS(ECF[(α∙K∙NL∙ΔL)],ECF[Prof. (m)],"&lt;="&amp;ECF[[#This Row],[Prof. (m)]],ECF[idDiâmetro],ECF[[#This Row],[idDiâmetro]],ECF[idPilar],ECF[[#This Row],[idPilar]]))/'DADOS CAP. CARGA'!$D$2)</f>
        <v>2729.415697438812</v>
      </c>
      <c r="Q122" s="12">
        <f>INDEX(C_alpha_beta[],MATCH(ECF[[#This Row],[Solo]],C_alpha_beta[Solo],0),MATCH(ECF[[#Headers],[C (kPa)]],C_alpha_beta[#Headers],0))</f>
        <v>400</v>
      </c>
      <c r="R122" s="4">
        <f>INDEX(C_alpha_beta[],MATCH(ECF[[#This Row],[Solo]],C_alpha_beta[Solo],0),MATCH(ECF[[#Headers],[α ESF]],C_alpha_beta[#Headers],0))</f>
        <v>0.5</v>
      </c>
      <c r="S122" s="4">
        <f>INDEX(C_alpha_beta[],MATCH(ECF[[#This Row],[Solo]],C_alpha_beta[Solo],0),MATCH(ECF[[#Headers],[β ESF]],C_alpha_beta[#Headers],0))</f>
        <v>0.5</v>
      </c>
      <c r="T122" s="4">
        <f>IF(ECF[[#This Row],[Prof. (m)]]=0,0,10*(ECF[[#This Row],[NSPT]]/3+1))</f>
        <v>66.666666666666671</v>
      </c>
      <c r="U122" s="4">
        <f>(ECF[[#This Row],[α ESF]]*ECF[[#This Row],[C (kPa)]]*ECF[[#This Row],[NSPT]]*ECF[[#This Row],[Ap (m²)]])/'DADOS CAP. CARGA'!$Q$2+(ECF[[#This Row],[β ESF]]*SUMIFS(ECF[10∙(NL/3+1)],ECF[Prof. (m)],"&lt;="&amp;ECF[[#This Row],[Prof. (m)]],ECF[idDiâmetro],ECF[[#This Row],[idDiâmetro]],ECF[idPilar],ECF[[#This Row],[idPilar]])*ECF[[#This Row],[U (m)]])/'DADOS CAP. CARGA'!$S$2</f>
        <v>1112.1237993707869</v>
      </c>
      <c r="V122" s="4">
        <f>IF(SPT!$M$5=1,MIN(ECF[[#This Row],[Pe ECF (kN)]],ECF[[#This Row],[R_AV (kN)]]),IF(SPT!$M$5=2,MIN(ECF[[#This Row],[Pe ECF (kN)]],ECF[[#This Row],[R_DC (kN)]]),MIN(ECF[[#This Row],[Pe ECF (kN)]],ECF[[#This Row],[R_AV (kN)]],ECF[[#This Row],[R_DC (kN)]])))</f>
        <v>1112.1237993707869</v>
      </c>
      <c r="W122" s="4">
        <f>INDEX(PILARES[],ECF[[#This Row],[idPilar]],MATCH("Carga (kN)",PILARES[#Headers],0))*1.4</f>
        <v>3500</v>
      </c>
      <c r="X122" s="12">
        <f>INDEX(PILARES[],ECF[[#This Row],[idPilar]],MATCH(ECF[[#Headers],[ap (cm)]],PILARES[#Headers],0))</f>
        <v>60</v>
      </c>
      <c r="Y122" s="12">
        <f>INDEX(PILARES[],ECF[[#This Row],[idPilar]],MATCH(ECF[[#Headers],[bp (cm)]],PILARES[#Headers],0))</f>
        <v>60</v>
      </c>
      <c r="Z122" s="4">
        <f>SQRT(ECF[[#This Row],[ap (cm)]]*ECF[[#This Row],[bp (cm)]])</f>
        <v>60</v>
      </c>
      <c r="AA122" s="12">
        <f>ECF[[#This Row],[ap (cm)]]*ECF[[#This Row],[bp (cm)]]</f>
        <v>3600</v>
      </c>
      <c r="AB122" s="12">
        <f ca="1">IF(ECF[[#This Row],[Padm∙ε (kN)]]&gt;=ECF[[#This Row],[Padm (kN)]],ROUNDUP(1.05*ECF[[#This Row],[Nsd (kN)]]/ECF[[#This Row],[Padm (kN)]],0),ROUNDUP(1.05*ECF[[#This Row],[Nsd (kN)]]/ECF[[#This Row],[Padm (kN)]],0)+1)</f>
        <v>4</v>
      </c>
      <c r="AC122" s="4">
        <f ca="1">IFERROR(IF(ECF[[#This Row],[nE]]=1,ECF[[#This Row],[Padm (kN)]],ECF[[#This Row],[Padm (kN)]]*ECF[[#This Row],[nE]]*INDEX(grupoEstacas[],ECF[[#This Row],[nE]],MATCH("ε",grupoEstacas[#Headers],0))),"N.S.")</f>
        <v>3614.4023479550574</v>
      </c>
      <c r="AD122" s="4">
        <f ca="1">1.05*ECF[[#This Row],[Nsd (kN)]]/(ECF[[#This Row],[nE]]*PI()*ECF[[#This Row],[Ø (cm)]]^2/4)*10</f>
        <v>0.81235335536488251</v>
      </c>
      <c r="AE122" s="4">
        <f ca="1">IF(ECF[[#This Row],[σ (MPa)]]&lt;INDEX(tipoEstaca[],MATCH($D$2,tipoEstaca[TIPO DE ESTACA],0),MATCH("σmáx (MPa)",tipoEstaca[#Headers],0)),0.4%*PI()*ECF[[#This Row],[Ø (cm)]]^2/4,"N.S.")</f>
        <v>45.238934211693021</v>
      </c>
      <c r="AF122" s="1">
        <f>INDEX(tipoEstaca[],MATCH($D$2,tipoEstaca[TIPO DE ESTACA],0),MATCH(ECF[[#Headers],[Comprimento (m)]],tipoEstaca[#Headers],0))</f>
        <v>4</v>
      </c>
      <c r="AG122" s="5">
        <f ca="1">ECF[[#This Row],[As,mín (cm²)]]/100^2*ECF[[#This Row],[Comprimento (m)]]*7850</f>
        <v>142.05025342471609</v>
      </c>
      <c r="AH122" s="4">
        <f ca="1">ECF[[#This Row],[nE]]*ECF[[#This Row],[Prof. (m)]]*ECF[[#This Row],[Ap (m²)]]</f>
        <v>22.61946710584651</v>
      </c>
      <c r="AI122" s="1">
        <f ca="1">IF(ECF[[#This Row],[nE]]=1,0,MAX(3*ECF[[#This Row],[Ø (cm)]],60))</f>
        <v>360</v>
      </c>
      <c r="AJ122" s="1">
        <f ca="1">IF(ECF[[#This Row],[nE]]=1,ECF[[#This Row],[Ø (cm)]]+2*10,MAX(1.5*ECF[[#This Row],[Ø (cm)]],ECF[[#This Row],[Ø (cm)]]+15))</f>
        <v>180</v>
      </c>
      <c r="AK122" s="1">
        <f ca="1">alturaUtil(ECF[[#This Row],[nE]],ECF[[#This Row],[Ø (cm)]],ECF[[#This Row],[e (cm)]],ECF[[#This Row],[ap,eq (cm)]])</f>
        <v>165</v>
      </c>
      <c r="AL122" s="1">
        <f ca="1">IFERROR(ECF[[#This Row],[d (cm)]]+arredondarParaCimaMultiplo5cm(MAX(5,SQRT(PI())/2*ECF[[#This Row],[Ø (cm)]]/5)),"N.S.")</f>
        <v>190</v>
      </c>
      <c r="AM122" s="5">
        <f ca="1">alpha(ECF[[#This Row],[nE]],ECF[[#This Row],[d (cm)]],ECF[[#This Row],[e (cm)]],ECF[[#This Row],[ap,eq (cm)]])</f>
        <v>45</v>
      </c>
      <c r="AN122" s="35">
        <f ca="1">IFERROR(ECF[[#This Row],[Nsd (kN)]]/(ECF[[#This Row],[Ap (cm²)]]*SIN(ECF[[#This Row],[α]])^2),"N.S.")</f>
        <v>1.3427801064714635</v>
      </c>
      <c r="AO122" s="35">
        <f ca="1">IFERROR(ECF[[#This Row],[Nsd (kN)]]/(ECF[[#This Row],[nE]]*PI()*ECF[[#This Row],[Ø (cm)]]^2/4*SIN(ECF[[#This Row],[α]])^2),"N.S.")</f>
        <v>0.10685504571519747</v>
      </c>
      <c r="AP122" s="4">
        <f ca="1">IFERROR(INDEX(grupoEstacas[],ECF[[#This Row],[nE]],MATCH("coef. Blévot",grupoEstacas[#Headers],0)),"N.S.")</f>
        <v>2.1</v>
      </c>
      <c r="AQ122" s="35">
        <f ca="1">IFERROR(ECF[[#This Row],[coef. Blévot]]*0.9*INDEX(tipoEstaca[],MATCH($D$2,tipoEstaca[TIPO DE ESTACA],0),MATCH("fcd (kN/cm²)",tipoEstaca[#Headers],0)),"N.S.")</f>
        <v>2.1</v>
      </c>
      <c r="AR122" s="1" t="str">
        <f ca="1">IF(AND(ECF[[#This Row],[cd,b,pil (kN/cm²)]]&lt;=ECF[[#This Row],[cd,b,lim (kN/cm²)]],ECF[[#This Row],[cd,b,est (kN/cm²)]]&lt;=ECF[[#This Row],[cd,b,lim (kN/cm²)]]),"OK","ERRO")</f>
        <v>OK</v>
      </c>
      <c r="AS122" s="4">
        <f ca="1">As_lado(ECF[[#This Row],[nE]],ECF[[#This Row],[Nsd (kN)]],ECF[[#This Row],[d (cm)]],ECF[[#This Row],[e (cm)]],ECF[[#This Row],[ap,eq (cm)]])</f>
        <v>20.125</v>
      </c>
      <c r="AT122" s="4" t="str">
        <f ca="1">IF(ECF[[#This Row],[nE]]=1,ECF[[#This Row],[As,lado (cm²)]],IF(ECF[[#This Row],[nE]]=2,0.075*2*ECF[a (cm)],"N.A."))</f>
        <v>N.A.</v>
      </c>
      <c r="AU122" s="4">
        <f ca="1">IFERROR(IF(ECF[[#This Row],[nE]]=1,"N.A.",0.2*ECF[[#This Row],[As,lado (cm²)]]),"N.S.")</f>
        <v>4.0250000000000004</v>
      </c>
      <c r="AV122" s="4">
        <f ca="1">As_malha(ECF[[#This Row],[nE]],ECF[[#This Row],[As,lado (cm²)]],ECF[[#This Row],[Nsd (kN)]])</f>
        <v>4.0250000000000004</v>
      </c>
      <c r="AW122" s="4">
        <f ca="1">As_susp_tot(ECF[[#This Row],[nE]],ECF[[#This Row],[Nsd (kN)]])</f>
        <v>13.416666666666666</v>
      </c>
      <c r="AX122" s="4">
        <f ca="1">Asp_face(ECF[[#This Row],[nE]],ECF[[#This Row],[As,lado (cm²)]])</f>
        <v>10.0625</v>
      </c>
      <c r="AY122" s="5">
        <f ca="1">acoBloco(ECF[[#This Row],[nE]],ECF[[#This Row],[e (cm)]],ECF[[#This Row],[a (cm)]],ECF[[#This Row],[h (cm)]],ECF[[#This Row],[As,lado (cm²)]],ECF[[#This Row],[Asp e Asw (cm²/m)]],ECF[[#This Row],[As,sup (cm²)]],ECF[[#This Row],[As,malha (cm²)]],ECF[[#This Row],[As,susp,tot (cm²)]],ECF[[#This Row],[Asp,face (cm²)]])</f>
        <v>838.98575833333337</v>
      </c>
      <c r="AZ122" s="4">
        <f ca="1">concretoBloco(ECF[[#This Row],[nE]],ECF[[#This Row],[e (cm)]],ECF[[#This Row],[a (cm)]],ECF[[#This Row],[h (cm)]])</f>
        <v>98.495999999999995</v>
      </c>
      <c r="BA122" s="5">
        <f ca="1">SUM(ECF[[#This Row],[Aço Est (kg)]],ECF[[#This Row],[Aço Bloco (kg)]])</f>
        <v>981.03601175804943</v>
      </c>
      <c r="BB122" s="4">
        <f>INDEX(composicoes[],MATCH(95580,composicoes[CÓDIGO],0),MATCH("CUSTO TOTAL",composicoes[#Headers],0))</f>
        <v>10.46</v>
      </c>
      <c r="BC122" s="4">
        <f ca="1">SUM(ECF[[#This Row],[Conc Est (m³)]],ECF[[#This Row],[Conc Bloco (m³)]])</f>
        <v>121.11546710584651</v>
      </c>
      <c r="BD122" s="4">
        <f>INDEX(composicoes[],MATCH(94966,composicoes[CÓDIGO],0),MATCH("CUSTO TOTAL",composicoes[#Headers],0))</f>
        <v>439.52</v>
      </c>
      <c r="BE122" s="38">
        <f ca="1">ECF[[#This Row],[Aço (kg)]]*ECF[[#This Row],[Aço (R$/kg)]]+ECF[[#This Row],[Conc (m³)]]*ECF[[#This Row],[Conc (R$/m³)]]</f>
        <v>63494.306785350855</v>
      </c>
      <c r="BF122" s="4" t="str">
        <f ca="1">IF(COUNTIF(ECF[#This Row],"N.S.")&gt;0,"lim.","OK")</f>
        <v>OK</v>
      </c>
      <c r="BG122" s="4" t="str">
        <f>IF(ECF[[#This Row],[Prof. (m)]]&lt;4,"lim.","OK")</f>
        <v>OK</v>
      </c>
      <c r="BH122" s="4" t="str">
        <f>IF(ECF[[#This Row],[Prof. (m)]]&gt;=8*ECF[[#This Row],[Ø (cm)]]/100,"OK","lim.")</f>
        <v>lim.</v>
      </c>
      <c r="BI122" s="4" t="str">
        <f>IF(AND(SPT!$F$3&lt;&gt;"",ECF[[#This Row],[Prof. (m)]]&gt;=SPT!$F$3-2),"lim.","OK")</f>
        <v>OK</v>
      </c>
      <c r="BJ122" s="4" t="str">
        <f ca="1">IF(ECF[[#This Row],[Verif. Biela]]="OK","OK","lim.")</f>
        <v>OK</v>
      </c>
      <c r="BK122" s="4" t="str">
        <f ca="1">IF(COUNTA(ECF[[#This Row],[Nº Est.]:[Biela comp.]])=COUNTIF(ECF[[#This Row],[Nº Est.]:[Biela comp.]],"OK"),"OK","lim.")</f>
        <v>lim.</v>
      </c>
      <c r="BL122" s="4" t="str">
        <f ca="1">IF(ECF[[#This Row],[Controle]]="OK",ECF[[#This Row],[nE]]&amp;" Ø"&amp;ECF[[#This Row],[Ø (cm)]]&amp;"cm Prof. "&amp;ECF[[#This Row],[Prof. (m)]]&amp;" m","")</f>
        <v/>
      </c>
      <c r="BM122" s="4" t="str">
        <f ca="1">IF(ECF[[#This Row],[idDimensionamento]]="","",ECF[[#This Row],[idPilar]]&amp;ECF[[#This Row],[idDimensionamento]])</f>
        <v/>
      </c>
    </row>
    <row r="123" spans="2:65" x14ac:dyDescent="0.25">
      <c r="B123" s="12">
        <f>ROUNDUP((ROW(ECF[[#This Row],[idDiâmetro]])-ROW(ECF[[#Headers],[idDiâmetro]]))/(COUNT(SPT[Prof. (m)])*COUNT(PILARES[Pilar])),0)</f>
        <v>5</v>
      </c>
      <c r="C123" s="12">
        <f>IF(ECF[[#This Row],[idDiâmetro]]&lt;&gt;B122,1,IF(ECF[[#This Row],[Prof. (m)]]=0,C122+1,C122))</f>
        <v>1</v>
      </c>
      <c r="D123" s="1">
        <f>IFERROR(IF(D122=MAX(SPT[Prof. (m)]),0,D122+1),0)</f>
        <v>6</v>
      </c>
      <c r="E123" s="1">
        <f>INDEX(SPT[],MATCH(ECF[[#This Row],[Prof. (m)]],SPT[Prof. (m)],0),2)</f>
        <v>21</v>
      </c>
      <c r="F123" s="1" t="str">
        <f>INDEX(SPT[],MATCH(ECF[[#This Row],[Prof. (m)]],SPT[Prof. (m)],0),3)</f>
        <v>Silte arenoso</v>
      </c>
      <c r="G123" s="1">
        <f>INDEX(estacas[],ECF[[#This Row],[idDiâmetro]],MATCH($B$2,estacas[#Headers],0))</f>
        <v>120</v>
      </c>
      <c r="H123" s="1">
        <f>INDEX(estacas[],MATCH(ECF[[#This Row],[Ø (cm)]],estacas[Ø ECF (cm)],0),MATCH(ECF[[#Headers],[Pe ECF (kN)]],estacas[#Headers],0))</f>
        <v>4500</v>
      </c>
      <c r="I123" s="4">
        <f>INDEX(K_alpha_C[],MATCH(ECF[[#This Row],[Solo]],K_alpha_C[Solo],0),2)</f>
        <v>0.55000000000000004</v>
      </c>
      <c r="J123" s="5">
        <f>INDEX(K_alpha_C[],MATCH(ECF[[#This Row],[Solo]],K_alpha_C[Solo],0),3)</f>
        <v>2.2000000000000002</v>
      </c>
      <c r="K123" s="4">
        <f>INDEX(F1_F2[],MATCH($D$2,F1_F2[Tipo de estaca],0),2)</f>
        <v>3</v>
      </c>
      <c r="L123" s="4">
        <f>INDEX(F1_F2[],MATCH($D$2,F1_F2[Tipo de estaca],0),3)</f>
        <v>6</v>
      </c>
      <c r="M123" s="4">
        <f>PI()*(ECF[[#This Row],[Ø (cm)]]/100)^2/4</f>
        <v>1.1309733552923256</v>
      </c>
      <c r="N123" s="4">
        <f>PI()*ECF[[#This Row],[Ø (cm)]]/100</f>
        <v>3.7699111843077513</v>
      </c>
      <c r="O123" s="4">
        <f>IF(ECF[[#This Row],[Prof. (m)]]=0,0,ECF[[#This Row],[α (%)]]/100*ECF[[#This Row],[K (MPa)]]*1000*ECF[[#This Row],[NSPT]])</f>
        <v>254.10000000000002</v>
      </c>
      <c r="P123" s="4">
        <f>IF(ECF[[#This Row],[Prof. (m)]]=0,0,(ECF[[#This Row],[K (MPa)]]*1000*ECF[[#This Row],[NSPT]]/ECF[[#This Row],[F1]]*ECF[[#This Row],[Ap (m²)]]+ECF[[#This Row],[U (m)]]/ECF[[#This Row],[F2]]*SUMIFS(ECF[(α∙K∙NL∙ΔL)],ECF[Prof. (m)],"&lt;="&amp;ECF[[#This Row],[Prof. (m)]],ECF[idDiâmetro],ECF[[#This Row],[idDiâmetro]],ECF[idPilar],ECF[[#This Row],[idPilar]]))/'DADOS CAP. CARGA'!$D$2)</f>
        <v>2422.8276703749843</v>
      </c>
      <c r="Q123" s="12">
        <f>INDEX(C_alpha_beta[],MATCH(ECF[[#This Row],[Solo]],C_alpha_beta[Solo],0),MATCH(ECF[[#Headers],[C (kPa)]],C_alpha_beta[#Headers],0))</f>
        <v>250</v>
      </c>
      <c r="R123" s="4">
        <f>INDEX(C_alpha_beta[],MATCH(ECF[[#This Row],[Solo]],C_alpha_beta[Solo],0),MATCH(ECF[[#Headers],[α ESF]],C_alpha_beta[#Headers],0))</f>
        <v>0.6</v>
      </c>
      <c r="S123" s="4">
        <f>INDEX(C_alpha_beta[],MATCH(ECF[[#This Row],[Solo]],C_alpha_beta[Solo],0),MATCH(ECF[[#Headers],[β ESF]],C_alpha_beta[#Headers],0))</f>
        <v>0.65</v>
      </c>
      <c r="T123" s="4">
        <f>IF(ECF[[#This Row],[Prof. (m)]]=0,0,10*(ECF[[#This Row],[NSPT]]/3+1))</f>
        <v>80</v>
      </c>
      <c r="U123" s="4">
        <f>(ECF[[#This Row],[α ESF]]*ECF[[#This Row],[C (kPa)]]*ECF[[#This Row],[NSPT]]*ECF[[#This Row],[Ap (m²)]])/'DADOS CAP. CARGA'!$Q$2+(ECF[[#This Row],[β ESF]]*SUMIFS(ECF[10∙(NL/3+1)],ECF[Prof. (m)],"&lt;="&amp;ECF[[#This Row],[Prof. (m)]],ECF[idDiâmetro],ECF[[#This Row],[idDiâmetro]],ECF[idPilar],ECF[[#This Row],[idPilar]])*ECF[[#This Row],[U (m)]])/'DADOS CAP. CARGA'!$S$2</f>
        <v>1184.6945896687109</v>
      </c>
      <c r="V123" s="4">
        <f>IF(SPT!$M$5=1,MIN(ECF[[#This Row],[Pe ECF (kN)]],ECF[[#This Row],[R_AV (kN)]]),IF(SPT!$M$5=2,MIN(ECF[[#This Row],[Pe ECF (kN)]],ECF[[#This Row],[R_DC (kN)]]),MIN(ECF[[#This Row],[Pe ECF (kN)]],ECF[[#This Row],[R_AV (kN)]],ECF[[#This Row],[R_DC (kN)]])))</f>
        <v>1184.6945896687109</v>
      </c>
      <c r="W123" s="4">
        <f>INDEX(PILARES[],ECF[[#This Row],[idPilar]],MATCH("Carga (kN)",PILARES[#Headers],0))*1.4</f>
        <v>3500</v>
      </c>
      <c r="X123" s="12">
        <f>INDEX(PILARES[],ECF[[#This Row],[idPilar]],MATCH(ECF[[#Headers],[ap (cm)]],PILARES[#Headers],0))</f>
        <v>60</v>
      </c>
      <c r="Y123" s="12">
        <f>INDEX(PILARES[],ECF[[#This Row],[idPilar]],MATCH(ECF[[#Headers],[bp (cm)]],PILARES[#Headers],0))</f>
        <v>60</v>
      </c>
      <c r="Z123" s="4">
        <f>SQRT(ECF[[#This Row],[ap (cm)]]*ECF[[#This Row],[bp (cm)]])</f>
        <v>60</v>
      </c>
      <c r="AA123" s="12">
        <f>ECF[[#This Row],[ap (cm)]]*ECF[[#This Row],[bp (cm)]]</f>
        <v>3600</v>
      </c>
      <c r="AB123" s="12">
        <f ca="1">IF(ECF[[#This Row],[Padm∙ε (kN)]]&gt;=ECF[[#This Row],[Padm (kN)]],ROUNDUP(1.05*ECF[[#This Row],[Nsd (kN)]]/ECF[[#This Row],[Padm (kN)]],0),ROUNDUP(1.05*ECF[[#This Row],[Nsd (kN)]]/ECF[[#This Row],[Padm (kN)]],0)+1)</f>
        <v>4</v>
      </c>
      <c r="AC123" s="4">
        <f ca="1">IFERROR(IF(ECF[[#This Row],[nE]]=1,ECF[[#This Row],[Padm (kN)]],ECF[[#This Row],[Padm (kN)]]*ECF[[#This Row],[nE]]*INDEX(grupoEstacas[],ECF[[#This Row],[nE]],MATCH("ε",grupoEstacas[#Headers],0))),"N.S.")</f>
        <v>3850.2574164233106</v>
      </c>
      <c r="AD123" s="4">
        <f ca="1">1.05*ECF[[#This Row],[Nsd (kN)]]/(ECF[[#This Row],[nE]]*PI()*ECF[[#This Row],[Ø (cm)]]^2/4)*10</f>
        <v>0.81235335536488251</v>
      </c>
      <c r="AE123" s="4">
        <f ca="1">IF(ECF[[#This Row],[σ (MPa)]]&lt;INDEX(tipoEstaca[],MATCH($D$2,tipoEstaca[TIPO DE ESTACA],0),MATCH("σmáx (MPa)",tipoEstaca[#Headers],0)),0.4%*PI()*ECF[[#This Row],[Ø (cm)]]^2/4,"N.S.")</f>
        <v>45.238934211693021</v>
      </c>
      <c r="AF123" s="1">
        <f>INDEX(tipoEstaca[],MATCH($D$2,tipoEstaca[TIPO DE ESTACA],0),MATCH(ECF[[#Headers],[Comprimento (m)]],tipoEstaca[#Headers],0))</f>
        <v>4</v>
      </c>
      <c r="AG123" s="5">
        <f ca="1">ECF[[#This Row],[As,mín (cm²)]]/100^2*ECF[[#This Row],[Comprimento (m)]]*7850</f>
        <v>142.05025342471609</v>
      </c>
      <c r="AH123" s="4">
        <f ca="1">ECF[[#This Row],[nE]]*ECF[[#This Row],[Prof. (m)]]*ECF[[#This Row],[Ap (m²)]]</f>
        <v>27.143360527015815</v>
      </c>
      <c r="AI123" s="1">
        <f ca="1">IF(ECF[[#This Row],[nE]]=1,0,MAX(3*ECF[[#This Row],[Ø (cm)]],60))</f>
        <v>360</v>
      </c>
      <c r="AJ123" s="1">
        <f ca="1">IF(ECF[[#This Row],[nE]]=1,ECF[[#This Row],[Ø (cm)]]+2*10,MAX(1.5*ECF[[#This Row],[Ø (cm)]],ECF[[#This Row],[Ø (cm)]]+15))</f>
        <v>180</v>
      </c>
      <c r="AK123" s="1">
        <f ca="1">alturaUtil(ECF[[#This Row],[nE]],ECF[[#This Row],[Ø (cm)]],ECF[[#This Row],[e (cm)]],ECF[[#This Row],[ap,eq (cm)]])</f>
        <v>165</v>
      </c>
      <c r="AL123" s="1">
        <f ca="1">IFERROR(ECF[[#This Row],[d (cm)]]+arredondarParaCimaMultiplo5cm(MAX(5,SQRT(PI())/2*ECF[[#This Row],[Ø (cm)]]/5)),"N.S.")</f>
        <v>190</v>
      </c>
      <c r="AM123" s="5">
        <f ca="1">alpha(ECF[[#This Row],[nE]],ECF[[#This Row],[d (cm)]],ECF[[#This Row],[e (cm)]],ECF[[#This Row],[ap,eq (cm)]])</f>
        <v>45</v>
      </c>
      <c r="AN123" s="35">
        <f ca="1">IFERROR(ECF[[#This Row],[Nsd (kN)]]/(ECF[[#This Row],[Ap (cm²)]]*SIN(ECF[[#This Row],[α]])^2),"N.S.")</f>
        <v>1.3427801064714635</v>
      </c>
      <c r="AO123" s="35">
        <f ca="1">IFERROR(ECF[[#This Row],[Nsd (kN)]]/(ECF[[#This Row],[nE]]*PI()*ECF[[#This Row],[Ø (cm)]]^2/4*SIN(ECF[[#This Row],[α]])^2),"N.S.")</f>
        <v>0.10685504571519747</v>
      </c>
      <c r="AP123" s="4">
        <f ca="1">IFERROR(INDEX(grupoEstacas[],ECF[[#This Row],[nE]],MATCH("coef. Blévot",grupoEstacas[#Headers],0)),"N.S.")</f>
        <v>2.1</v>
      </c>
      <c r="AQ123" s="35">
        <f ca="1">IFERROR(ECF[[#This Row],[coef. Blévot]]*0.9*INDEX(tipoEstaca[],MATCH($D$2,tipoEstaca[TIPO DE ESTACA],0),MATCH("fcd (kN/cm²)",tipoEstaca[#Headers],0)),"N.S.")</f>
        <v>2.1</v>
      </c>
      <c r="AR123" s="1" t="str">
        <f ca="1">IF(AND(ECF[[#This Row],[cd,b,pil (kN/cm²)]]&lt;=ECF[[#This Row],[cd,b,lim (kN/cm²)]],ECF[[#This Row],[cd,b,est (kN/cm²)]]&lt;=ECF[[#This Row],[cd,b,lim (kN/cm²)]]),"OK","ERRO")</f>
        <v>OK</v>
      </c>
      <c r="AS123" s="4">
        <f ca="1">As_lado(ECF[[#This Row],[nE]],ECF[[#This Row],[Nsd (kN)]],ECF[[#This Row],[d (cm)]],ECF[[#This Row],[e (cm)]],ECF[[#This Row],[ap,eq (cm)]])</f>
        <v>20.125</v>
      </c>
      <c r="AT123" s="4" t="str">
        <f ca="1">IF(ECF[[#This Row],[nE]]=1,ECF[[#This Row],[As,lado (cm²)]],IF(ECF[[#This Row],[nE]]=2,0.075*2*ECF[a (cm)],"N.A."))</f>
        <v>N.A.</v>
      </c>
      <c r="AU123" s="4">
        <f ca="1">IFERROR(IF(ECF[[#This Row],[nE]]=1,"N.A.",0.2*ECF[[#This Row],[As,lado (cm²)]]),"N.S.")</f>
        <v>4.0250000000000004</v>
      </c>
      <c r="AV123" s="4">
        <f ca="1">As_malha(ECF[[#This Row],[nE]],ECF[[#This Row],[As,lado (cm²)]],ECF[[#This Row],[Nsd (kN)]])</f>
        <v>4.0250000000000004</v>
      </c>
      <c r="AW123" s="4">
        <f ca="1">As_susp_tot(ECF[[#This Row],[nE]],ECF[[#This Row],[Nsd (kN)]])</f>
        <v>13.416666666666666</v>
      </c>
      <c r="AX123" s="4">
        <f ca="1">Asp_face(ECF[[#This Row],[nE]],ECF[[#This Row],[As,lado (cm²)]])</f>
        <v>10.0625</v>
      </c>
      <c r="AY123" s="5">
        <f ca="1">acoBloco(ECF[[#This Row],[nE]],ECF[[#This Row],[e (cm)]],ECF[[#This Row],[a (cm)]],ECF[[#This Row],[h (cm)]],ECF[[#This Row],[As,lado (cm²)]],ECF[[#This Row],[Asp e Asw (cm²/m)]],ECF[[#This Row],[As,sup (cm²)]],ECF[[#This Row],[As,malha (cm²)]],ECF[[#This Row],[As,susp,tot (cm²)]],ECF[[#This Row],[Asp,face (cm²)]])</f>
        <v>838.98575833333337</v>
      </c>
      <c r="AZ123" s="4">
        <f ca="1">concretoBloco(ECF[[#This Row],[nE]],ECF[[#This Row],[e (cm)]],ECF[[#This Row],[a (cm)]],ECF[[#This Row],[h (cm)]])</f>
        <v>98.495999999999995</v>
      </c>
      <c r="BA123" s="5">
        <f ca="1">SUM(ECF[[#This Row],[Aço Est (kg)]],ECF[[#This Row],[Aço Bloco (kg)]])</f>
        <v>981.03601175804943</v>
      </c>
      <c r="BB123" s="4">
        <f>INDEX(composicoes[],MATCH(95580,composicoes[CÓDIGO],0),MATCH("CUSTO TOTAL",composicoes[#Headers],0))</f>
        <v>10.46</v>
      </c>
      <c r="BC123" s="4">
        <f ca="1">SUM(ECF[[#This Row],[Conc Est (m³)]],ECF[[#This Row],[Conc Bloco (m³)]])</f>
        <v>125.63936052701581</v>
      </c>
      <c r="BD123" s="4">
        <f>INDEX(composicoes[],MATCH(94966,composicoes[CÓDIGO],0),MATCH("CUSTO TOTAL",composicoes[#Headers],0))</f>
        <v>439.52</v>
      </c>
      <c r="BE123" s="38">
        <f ca="1">ECF[[#This Row],[Aço (kg)]]*ECF[[#This Row],[Aço (R$/kg)]]+ECF[[#This Row],[Conc (m³)]]*ECF[[#This Row],[Conc (R$/m³)]]</f>
        <v>65482.648421823185</v>
      </c>
      <c r="BF123" s="4" t="str">
        <f ca="1">IF(COUNTIF(ECF[#This Row],"N.S.")&gt;0,"lim.","OK")</f>
        <v>OK</v>
      </c>
      <c r="BG123" s="4" t="str">
        <f>IF(ECF[[#This Row],[Prof. (m)]]&lt;4,"lim.","OK")</f>
        <v>OK</v>
      </c>
      <c r="BH123" s="4" t="str">
        <f>IF(ECF[[#This Row],[Prof. (m)]]&gt;=8*ECF[[#This Row],[Ø (cm)]]/100,"OK","lim.")</f>
        <v>lim.</v>
      </c>
      <c r="BI123" s="4" t="str">
        <f>IF(AND(SPT!$F$3&lt;&gt;"",ECF[[#This Row],[Prof. (m)]]&gt;=SPT!$F$3-2),"lim.","OK")</f>
        <v>OK</v>
      </c>
      <c r="BJ123" s="4" t="str">
        <f ca="1">IF(ECF[[#This Row],[Verif. Biela]]="OK","OK","lim.")</f>
        <v>OK</v>
      </c>
      <c r="BK123" s="4" t="str">
        <f ca="1">IF(COUNTA(ECF[[#This Row],[Nº Est.]:[Biela comp.]])=COUNTIF(ECF[[#This Row],[Nº Est.]:[Biela comp.]],"OK"),"OK","lim.")</f>
        <v>lim.</v>
      </c>
      <c r="BL123" s="4" t="str">
        <f ca="1">IF(ECF[[#This Row],[Controle]]="OK",ECF[[#This Row],[nE]]&amp;" Ø"&amp;ECF[[#This Row],[Ø (cm)]]&amp;"cm Prof. "&amp;ECF[[#This Row],[Prof. (m)]]&amp;" m","")</f>
        <v/>
      </c>
      <c r="BM123" s="4" t="str">
        <f ca="1">IF(ECF[[#This Row],[idDimensionamento]]="","",ECF[[#This Row],[idPilar]]&amp;ECF[[#This Row],[idDimensionamento]])</f>
        <v/>
      </c>
    </row>
    <row r="124" spans="2:65" x14ac:dyDescent="0.25">
      <c r="B124" s="12">
        <f>ROUNDUP((ROW(ECF[[#This Row],[idDiâmetro]])-ROW(ECF[[#Headers],[idDiâmetro]]))/(COUNT(SPT[Prof. (m)])*COUNT(PILARES[Pilar])),0)</f>
        <v>5</v>
      </c>
      <c r="C124" s="12">
        <f>IF(ECF[[#This Row],[idDiâmetro]]&lt;&gt;B123,1,IF(ECF[[#This Row],[Prof. (m)]]=0,C123+1,C123))</f>
        <v>1</v>
      </c>
      <c r="D124" s="1">
        <f>IFERROR(IF(D123=MAX(SPT[Prof. (m)]),0,D123+1),0)</f>
        <v>7</v>
      </c>
      <c r="E124" s="1">
        <f>INDEX(SPT[],MATCH(ECF[[#This Row],[Prof. (m)]],SPT[Prof. (m)],0),2)</f>
        <v>8</v>
      </c>
      <c r="F124" s="1" t="str">
        <f>INDEX(SPT[],MATCH(ECF[[#This Row],[Prof. (m)]],SPT[Prof. (m)],0),3)</f>
        <v>Silte arenoso</v>
      </c>
      <c r="G124" s="1">
        <f>INDEX(estacas[],ECF[[#This Row],[idDiâmetro]],MATCH($B$2,estacas[#Headers],0))</f>
        <v>120</v>
      </c>
      <c r="H124" s="1">
        <f>INDEX(estacas[],MATCH(ECF[[#This Row],[Ø (cm)]],estacas[Ø ECF (cm)],0),MATCH(ECF[[#Headers],[Pe ECF (kN)]],estacas[#Headers],0))</f>
        <v>4500</v>
      </c>
      <c r="I124" s="4">
        <f>INDEX(K_alpha_C[],MATCH(ECF[[#This Row],[Solo]],K_alpha_C[Solo],0),2)</f>
        <v>0.55000000000000004</v>
      </c>
      <c r="J124" s="5">
        <f>INDEX(K_alpha_C[],MATCH(ECF[[#This Row],[Solo]],K_alpha_C[Solo],0),3)</f>
        <v>2.2000000000000002</v>
      </c>
      <c r="K124" s="4">
        <f>INDEX(F1_F2[],MATCH($D$2,F1_F2[Tipo de estaca],0),2)</f>
        <v>3</v>
      </c>
      <c r="L124" s="4">
        <f>INDEX(F1_F2[],MATCH($D$2,F1_F2[Tipo de estaca],0),3)</f>
        <v>6</v>
      </c>
      <c r="M124" s="4">
        <f>PI()*(ECF[[#This Row],[Ø (cm)]]/100)^2/4</f>
        <v>1.1309733552923256</v>
      </c>
      <c r="N124" s="4">
        <f>PI()*ECF[[#This Row],[Ø (cm)]]/100</f>
        <v>3.7699111843077513</v>
      </c>
      <c r="O124" s="4">
        <f>IF(ECF[[#This Row],[Prof. (m)]]=0,0,ECF[[#This Row],[α (%)]]/100*ECF[[#This Row],[K (MPa)]]*1000*ECF[[#This Row],[NSPT]])</f>
        <v>96.800000000000011</v>
      </c>
      <c r="P124" s="4">
        <f>IF(ECF[[#This Row],[Prof. (m)]]=0,0,(ECF[[#This Row],[K (MPa)]]*1000*ECF[[#This Row],[NSPT]]/ECF[[#This Row],[F1]]*ECF[[#This Row],[Ap (m²)]]+ECF[[#This Row],[U (m)]]/ECF[[#This Row],[F2]]*SUMIFS(ECF[(α∙K∙NL∙ΔL)],ECF[Prof. (m)],"&lt;="&amp;ECF[[#This Row],[Prof. (m)]],ECF[idDiâmetro],ECF[[#This Row],[idDiâmetro]],ECF[idPilar],ECF[[#This Row],[idPilar]]))/'DADOS CAP. CARGA'!$D$2)</f>
        <v>1105.4950388717123</v>
      </c>
      <c r="Q124" s="12">
        <f>INDEX(C_alpha_beta[],MATCH(ECF[[#This Row],[Solo]],C_alpha_beta[Solo],0),MATCH(ECF[[#Headers],[C (kPa)]],C_alpha_beta[#Headers],0))</f>
        <v>250</v>
      </c>
      <c r="R124" s="4">
        <f>INDEX(C_alpha_beta[],MATCH(ECF[[#This Row],[Solo]],C_alpha_beta[Solo],0),MATCH(ECF[[#Headers],[α ESF]],C_alpha_beta[#Headers],0))</f>
        <v>0.6</v>
      </c>
      <c r="S124" s="4">
        <f>INDEX(C_alpha_beta[],MATCH(ECF[[#This Row],[Solo]],C_alpha_beta[Solo],0),MATCH(ECF[[#Headers],[β ESF]],C_alpha_beta[#Headers],0))</f>
        <v>0.65</v>
      </c>
      <c r="T124" s="4">
        <f>IF(ECF[[#This Row],[Prof. (m)]]=0,0,10*(ECF[[#This Row],[NSPT]]/3+1))</f>
        <v>36.666666666666664</v>
      </c>
      <c r="U124" s="4">
        <f>(ECF[[#This Row],[α ESF]]*ECF[[#This Row],[C (kPa)]]*ECF[[#This Row],[NSPT]]*ECF[[#This Row],[Ap (m²)]])/'DADOS CAP. CARGA'!$Q$2+(ECF[[#This Row],[β ESF]]*SUMIFS(ECF[10∙(NL/3+1)],ECF[Prof. (m)],"&lt;="&amp;ECF[[#This Row],[Prof. (m)]],ECF[idDiâmetro],ECF[[#This Row],[idDiâmetro]],ECF[idPilar],ECF[[#This Row],[idPilar]])*ECF[[#This Row],[U (m)]])/'DADOS CAP. CARGA'!$S$2</f>
        <v>678.26985391003632</v>
      </c>
      <c r="V124" s="4">
        <f>IF(SPT!$M$5=1,MIN(ECF[[#This Row],[Pe ECF (kN)]],ECF[[#This Row],[R_AV (kN)]]),IF(SPT!$M$5=2,MIN(ECF[[#This Row],[Pe ECF (kN)]],ECF[[#This Row],[R_DC (kN)]]),MIN(ECF[[#This Row],[Pe ECF (kN)]],ECF[[#This Row],[R_AV (kN)]],ECF[[#This Row],[R_DC (kN)]])))</f>
        <v>678.26985391003632</v>
      </c>
      <c r="W124" s="4">
        <f>INDEX(PILARES[],ECF[[#This Row],[idPilar]],MATCH("Carga (kN)",PILARES[#Headers],0))*1.4</f>
        <v>3500</v>
      </c>
      <c r="X124" s="12">
        <f>INDEX(PILARES[],ECF[[#This Row],[idPilar]],MATCH(ECF[[#Headers],[ap (cm)]],PILARES[#Headers],0))</f>
        <v>60</v>
      </c>
      <c r="Y124" s="12">
        <f>INDEX(PILARES[],ECF[[#This Row],[idPilar]],MATCH(ECF[[#Headers],[bp (cm)]],PILARES[#Headers],0))</f>
        <v>60</v>
      </c>
      <c r="Z124" s="4">
        <f>SQRT(ECF[[#This Row],[ap (cm)]]*ECF[[#This Row],[bp (cm)]])</f>
        <v>60</v>
      </c>
      <c r="AA124" s="12">
        <f>ECF[[#This Row],[ap (cm)]]*ECF[[#This Row],[bp (cm)]]</f>
        <v>3600</v>
      </c>
      <c r="AB124" s="12">
        <f ca="1">IF(ECF[[#This Row],[Padm∙ε (kN)]]&gt;=ECF[[#This Row],[Padm (kN)]],ROUNDUP(1.05*ECF[[#This Row],[Nsd (kN)]]/ECF[[#This Row],[Padm (kN)]],0),ROUNDUP(1.05*ECF[[#This Row],[Nsd (kN)]]/ECF[[#This Row],[Padm (kN)]],0)+1)</f>
        <v>6</v>
      </c>
      <c r="AC124" s="4" t="str">
        <f ca="1">IFERROR(IF(ECF[[#This Row],[nE]]=1,ECF[[#This Row],[Padm (kN)]],ECF[[#This Row],[Padm (kN)]]*ECF[[#This Row],[nE]]*INDEX(grupoEstacas[],ECF[[#This Row],[nE]],MATCH("ε",grupoEstacas[#Headers],0))),"N.S.")</f>
        <v>N.S.</v>
      </c>
      <c r="AD124" s="4">
        <f ca="1">1.05*ECF[[#This Row],[Nsd (kN)]]/(ECF[[#This Row],[nE]]*PI()*ECF[[#This Row],[Ø (cm)]]^2/4)*10</f>
        <v>0.54156890357658827</v>
      </c>
      <c r="AE124" s="4">
        <f ca="1">IF(ECF[[#This Row],[σ (MPa)]]&lt;INDEX(tipoEstaca[],MATCH($D$2,tipoEstaca[TIPO DE ESTACA],0),MATCH("σmáx (MPa)",tipoEstaca[#Headers],0)),0.4%*PI()*ECF[[#This Row],[Ø (cm)]]^2/4,"N.S.")</f>
        <v>45.238934211693021</v>
      </c>
      <c r="AF124" s="1">
        <f>INDEX(tipoEstaca[],MATCH($D$2,tipoEstaca[TIPO DE ESTACA],0),MATCH(ECF[[#Headers],[Comprimento (m)]],tipoEstaca[#Headers],0))</f>
        <v>4</v>
      </c>
      <c r="AG124" s="5">
        <f ca="1">ECF[[#This Row],[As,mín (cm²)]]/100^2*ECF[[#This Row],[Comprimento (m)]]*7850</f>
        <v>142.05025342471609</v>
      </c>
      <c r="AH124" s="4">
        <f ca="1">ECF[[#This Row],[nE]]*ECF[[#This Row],[Prof. (m)]]*ECF[[#This Row],[Ap (m²)]]</f>
        <v>47.500880922277673</v>
      </c>
      <c r="AI124" s="1">
        <f ca="1">IF(ECF[[#This Row],[nE]]=1,0,MAX(3*ECF[[#This Row],[Ø (cm)]],60))</f>
        <v>360</v>
      </c>
      <c r="AJ124" s="1">
        <f ca="1">IF(ECF[[#This Row],[nE]]=1,ECF[[#This Row],[Ø (cm)]]+2*10,MAX(1.5*ECF[[#This Row],[Ø (cm)]],ECF[[#This Row],[Ø (cm)]]+15))</f>
        <v>180</v>
      </c>
      <c r="AK124" s="1" t="str">
        <f ca="1">alturaUtil(ECF[[#This Row],[nE]],ECF[[#This Row],[Ø (cm)]],ECF[[#This Row],[e (cm)]],ECF[[#This Row],[ap,eq (cm)]])</f>
        <v>N.S.</v>
      </c>
      <c r="AL124" s="1" t="str">
        <f ca="1">IFERROR(ECF[[#This Row],[d (cm)]]+arredondarParaCimaMultiplo5cm(MAX(5,SQRT(PI())/2*ECF[[#This Row],[Ø (cm)]]/5)),"N.S.")</f>
        <v>N.S.</v>
      </c>
      <c r="AM124" s="5" t="str">
        <f ca="1">alpha(ECF[[#This Row],[nE]],ECF[[#This Row],[d (cm)]],ECF[[#This Row],[e (cm)]],ECF[[#This Row],[ap,eq (cm)]])</f>
        <v>N.S.</v>
      </c>
      <c r="AN124" s="35" t="str">
        <f ca="1">IFERROR(ECF[[#This Row],[Nsd (kN)]]/(ECF[[#This Row],[Ap (cm²)]]*SIN(ECF[[#This Row],[α]])^2),"N.S.")</f>
        <v>N.S.</v>
      </c>
      <c r="AO124" s="35" t="str">
        <f ca="1">IFERROR(ECF[[#This Row],[Nsd (kN)]]/(ECF[[#This Row],[nE]]*PI()*ECF[[#This Row],[Ø (cm)]]^2/4*SIN(ECF[[#This Row],[α]])^2),"N.S.")</f>
        <v>N.S.</v>
      </c>
      <c r="AP124" s="4" t="str">
        <f ca="1">IFERROR(INDEX(grupoEstacas[],ECF[[#This Row],[nE]],MATCH("coef. Blévot",grupoEstacas[#Headers],0)),"N.S.")</f>
        <v>N.S.</v>
      </c>
      <c r="AQ124" s="35" t="str">
        <f ca="1">IFERROR(ECF[[#This Row],[coef. Blévot]]*0.9*INDEX(tipoEstaca[],MATCH($D$2,tipoEstaca[TIPO DE ESTACA],0),MATCH("fcd (kN/cm²)",tipoEstaca[#Headers],0)),"N.S.")</f>
        <v>N.S.</v>
      </c>
      <c r="AR124" s="1" t="str">
        <f ca="1">IF(AND(ECF[[#This Row],[cd,b,pil (kN/cm²)]]&lt;=ECF[[#This Row],[cd,b,lim (kN/cm²)]],ECF[[#This Row],[cd,b,est (kN/cm²)]]&lt;=ECF[[#This Row],[cd,b,lim (kN/cm²)]]),"OK","ERRO")</f>
        <v>OK</v>
      </c>
      <c r="AS124" s="4" t="str">
        <f ca="1">As_lado(ECF[[#This Row],[nE]],ECF[[#This Row],[Nsd (kN)]],ECF[[#This Row],[d (cm)]],ECF[[#This Row],[e (cm)]],ECF[[#This Row],[ap,eq (cm)]])</f>
        <v>N.S.</v>
      </c>
      <c r="AT124" s="4" t="str">
        <f ca="1">IF(ECF[[#This Row],[nE]]=1,ECF[[#This Row],[As,lado (cm²)]],IF(ECF[[#This Row],[nE]]=2,0.075*2*ECF[a (cm)],"N.A."))</f>
        <v>N.A.</v>
      </c>
      <c r="AU124" s="4" t="str">
        <f ca="1">IFERROR(IF(ECF[[#This Row],[nE]]=1,"N.A.",0.2*ECF[[#This Row],[As,lado (cm²)]]),"N.S.")</f>
        <v>N.S.</v>
      </c>
      <c r="AV124" s="4" t="str">
        <f ca="1">As_malha(ECF[[#This Row],[nE]],ECF[[#This Row],[As,lado (cm²)]],ECF[[#This Row],[Nsd (kN)]])</f>
        <v>N.S.</v>
      </c>
      <c r="AW124" s="4" t="str">
        <f ca="1">As_susp_tot(ECF[[#This Row],[nE]],ECF[[#This Row],[Nsd (kN)]])</f>
        <v>N.S.</v>
      </c>
      <c r="AX124" s="4" t="str">
        <f ca="1">Asp_face(ECF[[#This Row],[nE]],ECF[[#This Row],[As,lado (cm²)]])</f>
        <v>N.S.</v>
      </c>
      <c r="AY124" s="5" t="str">
        <f ca="1">acoBloco(ECF[[#This Row],[nE]],ECF[[#This Row],[e (cm)]],ECF[[#This Row],[a (cm)]],ECF[[#This Row],[h (cm)]],ECF[[#This Row],[As,lado (cm²)]],ECF[[#This Row],[Asp e Asw (cm²/m)]],ECF[[#This Row],[As,sup (cm²)]],ECF[[#This Row],[As,malha (cm²)]],ECF[[#This Row],[As,susp,tot (cm²)]],ECF[[#This Row],[Asp,face (cm²)]])</f>
        <v>N.S.</v>
      </c>
      <c r="AZ124" s="4" t="str">
        <f ca="1">concretoBloco(ECF[[#This Row],[nE]],ECF[[#This Row],[e (cm)]],ECF[[#This Row],[a (cm)]],ECF[[#This Row],[h (cm)]])</f>
        <v>N.S.</v>
      </c>
      <c r="BA124" s="5">
        <f ca="1">SUM(ECF[[#This Row],[Aço Est (kg)]],ECF[[#This Row],[Aço Bloco (kg)]])</f>
        <v>142.05025342471609</v>
      </c>
      <c r="BB124" s="4">
        <f>INDEX(composicoes[],MATCH(95580,composicoes[CÓDIGO],0),MATCH("CUSTO TOTAL",composicoes[#Headers],0))</f>
        <v>10.46</v>
      </c>
      <c r="BC124" s="4">
        <f ca="1">SUM(ECF[[#This Row],[Conc Est (m³)]],ECF[[#This Row],[Conc Bloco (m³)]])</f>
        <v>47.500880922277673</v>
      </c>
      <c r="BD124" s="4">
        <f>INDEX(composicoes[],MATCH(94966,composicoes[CÓDIGO],0),MATCH("CUSTO TOTAL",composicoes[#Headers],0))</f>
        <v>439.52</v>
      </c>
      <c r="BE124" s="38">
        <f ca="1">ECF[[#This Row],[Aço (kg)]]*ECF[[#This Row],[Aço (R$/kg)]]+ECF[[#This Row],[Conc (m³)]]*ECF[[#This Row],[Conc (R$/m³)]]</f>
        <v>22363.432833782015</v>
      </c>
      <c r="BF124" s="4" t="str">
        <f ca="1">IF(COUNTIF(ECF[#This Row],"N.S.")&gt;0,"lim.","OK")</f>
        <v>lim.</v>
      </c>
      <c r="BG124" s="4" t="str">
        <f>IF(ECF[[#This Row],[Prof. (m)]]&lt;4,"lim.","OK")</f>
        <v>OK</v>
      </c>
      <c r="BH124" s="4" t="str">
        <f>IF(ECF[[#This Row],[Prof. (m)]]&gt;=8*ECF[[#This Row],[Ø (cm)]]/100,"OK","lim.")</f>
        <v>lim.</v>
      </c>
      <c r="BI124" s="4" t="str">
        <f>IF(AND(SPT!$F$3&lt;&gt;"",ECF[[#This Row],[Prof. (m)]]&gt;=SPT!$F$3-2),"lim.","OK")</f>
        <v>OK</v>
      </c>
      <c r="BJ124" s="4" t="str">
        <f ca="1">IF(ECF[[#This Row],[Verif. Biela]]="OK","OK","lim.")</f>
        <v>OK</v>
      </c>
      <c r="BK124" s="4" t="str">
        <f ca="1">IF(COUNTA(ECF[[#This Row],[Nº Est.]:[Biela comp.]])=COUNTIF(ECF[[#This Row],[Nº Est.]:[Biela comp.]],"OK"),"OK","lim.")</f>
        <v>lim.</v>
      </c>
      <c r="BL124" s="4" t="str">
        <f ca="1">IF(ECF[[#This Row],[Controle]]="OK",ECF[[#This Row],[nE]]&amp;" Ø"&amp;ECF[[#This Row],[Ø (cm)]]&amp;"cm Prof. "&amp;ECF[[#This Row],[Prof. (m)]]&amp;" m","")</f>
        <v/>
      </c>
      <c r="BM124" s="4" t="str">
        <f ca="1">IF(ECF[[#This Row],[idDimensionamento]]="","",ECF[[#This Row],[idPilar]]&amp;ECF[[#This Row],[idDimensionamento]])</f>
        <v/>
      </c>
    </row>
    <row r="125" spans="2:65" x14ac:dyDescent="0.25">
      <c r="B125" s="12">
        <f>ROUNDUP((ROW(ECF[[#This Row],[idDiâmetro]])-ROW(ECF[[#Headers],[idDiâmetro]]))/(COUNT(SPT[Prof. (m)])*COUNT(PILARES[Pilar])),0)</f>
        <v>5</v>
      </c>
      <c r="C125" s="12">
        <f>IF(ECF[[#This Row],[idDiâmetro]]&lt;&gt;B124,1,IF(ECF[[#This Row],[Prof. (m)]]=0,C124+1,C124))</f>
        <v>1</v>
      </c>
      <c r="D125" s="1">
        <f>IFERROR(IF(D124=MAX(SPT[Prof. (m)]),0,D124+1),0)</f>
        <v>8</v>
      </c>
      <c r="E125" s="1">
        <f>INDEX(SPT[],MATCH(ECF[[#This Row],[Prof. (m)]],SPT[Prof. (m)],0),2)</f>
        <v>10</v>
      </c>
      <c r="F125" s="1" t="str">
        <f>INDEX(SPT[],MATCH(ECF[[#This Row],[Prof. (m)]],SPT[Prof. (m)],0),3)</f>
        <v>Silte arenoso</v>
      </c>
      <c r="G125" s="1">
        <f>INDEX(estacas[],ECF[[#This Row],[idDiâmetro]],MATCH($B$2,estacas[#Headers],0))</f>
        <v>120</v>
      </c>
      <c r="H125" s="1">
        <f>INDEX(estacas[],MATCH(ECF[[#This Row],[Ø (cm)]],estacas[Ø ECF (cm)],0),MATCH(ECF[[#Headers],[Pe ECF (kN)]],estacas[#Headers],0))</f>
        <v>4500</v>
      </c>
      <c r="I125" s="4">
        <f>INDEX(K_alpha_C[],MATCH(ECF[[#This Row],[Solo]],K_alpha_C[Solo],0),2)</f>
        <v>0.55000000000000004</v>
      </c>
      <c r="J125" s="5">
        <f>INDEX(K_alpha_C[],MATCH(ECF[[#This Row],[Solo]],K_alpha_C[Solo],0),3)</f>
        <v>2.2000000000000002</v>
      </c>
      <c r="K125" s="4">
        <f>INDEX(F1_F2[],MATCH($D$2,F1_F2[Tipo de estaca],0),2)</f>
        <v>3</v>
      </c>
      <c r="L125" s="4">
        <f>INDEX(F1_F2[],MATCH($D$2,F1_F2[Tipo de estaca],0),3)</f>
        <v>6</v>
      </c>
      <c r="M125" s="4">
        <f>PI()*(ECF[[#This Row],[Ø (cm)]]/100)^2/4</f>
        <v>1.1309733552923256</v>
      </c>
      <c r="N125" s="4">
        <f>PI()*ECF[[#This Row],[Ø (cm)]]/100</f>
        <v>3.7699111843077513</v>
      </c>
      <c r="O125" s="4">
        <f>IF(ECF[[#This Row],[Prof. (m)]]=0,0,ECF[[#This Row],[α (%)]]/100*ECF[[#This Row],[K (MPa)]]*1000*ECF[[#This Row],[NSPT]])</f>
        <v>121.00000000000001</v>
      </c>
      <c r="P125" s="4">
        <f>IF(ECF[[#This Row],[Prof. (m)]]=0,0,(ECF[[#This Row],[K (MPa)]]*1000*ECF[[#This Row],[NSPT]]/ECF[[#This Row],[F1]]*ECF[[#This Row],[Ap (m²)]]+ECF[[#This Row],[U (m)]]/ECF[[#This Row],[F2]]*SUMIFS(ECF[(α∙K∙NL∙ΔL)],ECF[Prof. (m)],"&lt;="&amp;ECF[[#This Row],[Prof. (m)]],ECF[idDiâmetro],ECF[[#This Row],[idDiâmetro]],ECF[idPilar],ECF[[#This Row],[idPilar]]))/'DADOS CAP. CARGA'!$D$2)</f>
        <v>1350.8534251170749</v>
      </c>
      <c r="Q125" s="12">
        <f>INDEX(C_alpha_beta[],MATCH(ECF[[#This Row],[Solo]],C_alpha_beta[Solo],0),MATCH(ECF[[#Headers],[C (kPa)]],C_alpha_beta[#Headers],0))</f>
        <v>250</v>
      </c>
      <c r="R125" s="4">
        <f>INDEX(C_alpha_beta[],MATCH(ECF[[#This Row],[Solo]],C_alpha_beta[Solo],0),MATCH(ECF[[#Headers],[α ESF]],C_alpha_beta[#Headers],0))</f>
        <v>0.6</v>
      </c>
      <c r="S125" s="4">
        <f>INDEX(C_alpha_beta[],MATCH(ECF[[#This Row],[Solo]],C_alpha_beta[Solo],0),MATCH(ECF[[#Headers],[β ESF]],C_alpha_beta[#Headers],0))</f>
        <v>0.65</v>
      </c>
      <c r="T125" s="4">
        <f>IF(ECF[[#This Row],[Prof. (m)]]=0,0,10*(ECF[[#This Row],[NSPT]]/3+1))</f>
        <v>43.333333333333343</v>
      </c>
      <c r="U125" s="4">
        <f>(ECF[[#This Row],[α ESF]]*ECF[[#This Row],[C (kPa)]]*ECF[[#This Row],[NSPT]]*ECF[[#This Row],[Ap (m²)]])/'DADOS CAP. CARGA'!$Q$2+(ECF[[#This Row],[β ESF]]*SUMIFS(ECF[10∙(NL/3+1)],ECF[Prof. (m)],"&lt;="&amp;ECF[[#This Row],[Prof. (m)]],ECF[idDiâmetro],ECF[[#This Row],[idDiâmetro]],ECF[idPilar],ECF[[#This Row],[idPilar]])*ECF[[#This Row],[U (m)]])/'DADOS CAP. CARGA'!$S$2</f>
        <v>816.18577140262823</v>
      </c>
      <c r="V125" s="4">
        <f>IF(SPT!$M$5=1,MIN(ECF[[#This Row],[Pe ECF (kN)]],ECF[[#This Row],[R_AV (kN)]]),IF(SPT!$M$5=2,MIN(ECF[[#This Row],[Pe ECF (kN)]],ECF[[#This Row],[R_DC (kN)]]),MIN(ECF[[#This Row],[Pe ECF (kN)]],ECF[[#This Row],[R_AV (kN)]],ECF[[#This Row],[R_DC (kN)]])))</f>
        <v>816.18577140262823</v>
      </c>
      <c r="W125" s="4">
        <f>INDEX(PILARES[],ECF[[#This Row],[idPilar]],MATCH("Carga (kN)",PILARES[#Headers],0))*1.4</f>
        <v>3500</v>
      </c>
      <c r="X125" s="12">
        <f>INDEX(PILARES[],ECF[[#This Row],[idPilar]],MATCH(ECF[[#Headers],[ap (cm)]],PILARES[#Headers],0))</f>
        <v>60</v>
      </c>
      <c r="Y125" s="12">
        <f>INDEX(PILARES[],ECF[[#This Row],[idPilar]],MATCH(ECF[[#Headers],[bp (cm)]],PILARES[#Headers],0))</f>
        <v>60</v>
      </c>
      <c r="Z125" s="4">
        <f>SQRT(ECF[[#This Row],[ap (cm)]]*ECF[[#This Row],[bp (cm)]])</f>
        <v>60</v>
      </c>
      <c r="AA125" s="12">
        <f>ECF[[#This Row],[ap (cm)]]*ECF[[#This Row],[bp (cm)]]</f>
        <v>3600</v>
      </c>
      <c r="AB125" s="12">
        <f ca="1">IF(ECF[[#This Row],[Padm∙ε (kN)]]&gt;=ECF[[#This Row],[Padm (kN)]],ROUNDUP(1.05*ECF[[#This Row],[Nsd (kN)]]/ECF[[#This Row],[Padm (kN)]],0),ROUNDUP(1.05*ECF[[#This Row],[Nsd (kN)]]/ECF[[#This Row],[Padm (kN)]],0)+1)</f>
        <v>5</v>
      </c>
      <c r="AC125" s="4" t="str">
        <f ca="1">IFERROR(IF(ECF[[#This Row],[nE]]=1,ECF[[#This Row],[Padm (kN)]],ECF[[#This Row],[Padm (kN)]]*ECF[[#This Row],[nE]]*INDEX(grupoEstacas[],ECF[[#This Row],[nE]],MATCH("ε",grupoEstacas[#Headers],0))),"N.S.")</f>
        <v>N.S.</v>
      </c>
      <c r="AD125" s="4">
        <f ca="1">1.05*ECF[[#This Row],[Nsd (kN)]]/(ECF[[#This Row],[nE]]*PI()*ECF[[#This Row],[Ø (cm)]]^2/4)*10</f>
        <v>0.64988268429190599</v>
      </c>
      <c r="AE125" s="4">
        <f ca="1">IF(ECF[[#This Row],[σ (MPa)]]&lt;INDEX(tipoEstaca[],MATCH($D$2,tipoEstaca[TIPO DE ESTACA],0),MATCH("σmáx (MPa)",tipoEstaca[#Headers],0)),0.4%*PI()*ECF[[#This Row],[Ø (cm)]]^2/4,"N.S.")</f>
        <v>45.238934211693021</v>
      </c>
      <c r="AF125" s="1">
        <f>INDEX(tipoEstaca[],MATCH($D$2,tipoEstaca[TIPO DE ESTACA],0),MATCH(ECF[[#Headers],[Comprimento (m)]],tipoEstaca[#Headers],0))</f>
        <v>4</v>
      </c>
      <c r="AG125" s="5">
        <f ca="1">ECF[[#This Row],[As,mín (cm²)]]/100^2*ECF[[#This Row],[Comprimento (m)]]*7850</f>
        <v>142.05025342471609</v>
      </c>
      <c r="AH125" s="4">
        <f ca="1">ECF[[#This Row],[nE]]*ECF[[#This Row],[Prof. (m)]]*ECF[[#This Row],[Ap (m²)]]</f>
        <v>45.238934211693021</v>
      </c>
      <c r="AI125" s="1">
        <f ca="1">IF(ECF[[#This Row],[nE]]=1,0,MAX(3*ECF[[#This Row],[Ø (cm)]],60))</f>
        <v>360</v>
      </c>
      <c r="AJ125" s="1">
        <f ca="1">IF(ECF[[#This Row],[nE]]=1,ECF[[#This Row],[Ø (cm)]]+2*10,MAX(1.5*ECF[[#This Row],[Ø (cm)]],ECF[[#This Row],[Ø (cm)]]+15))</f>
        <v>180</v>
      </c>
      <c r="AK125" s="1" t="str">
        <f ca="1">alturaUtil(ECF[[#This Row],[nE]],ECF[[#This Row],[Ø (cm)]],ECF[[#This Row],[e (cm)]],ECF[[#This Row],[ap,eq (cm)]])</f>
        <v>N.S.</v>
      </c>
      <c r="AL125" s="1" t="str">
        <f ca="1">IFERROR(ECF[[#This Row],[d (cm)]]+arredondarParaCimaMultiplo5cm(MAX(5,SQRT(PI())/2*ECF[[#This Row],[Ø (cm)]]/5)),"N.S.")</f>
        <v>N.S.</v>
      </c>
      <c r="AM125" s="5" t="str">
        <f ca="1">alpha(ECF[[#This Row],[nE]],ECF[[#This Row],[d (cm)]],ECF[[#This Row],[e (cm)]],ECF[[#This Row],[ap,eq (cm)]])</f>
        <v>N.S.</v>
      </c>
      <c r="AN125" s="35" t="str">
        <f ca="1">IFERROR(ECF[[#This Row],[Nsd (kN)]]/(ECF[[#This Row],[Ap (cm²)]]*SIN(ECF[[#This Row],[α]])^2),"N.S.")</f>
        <v>N.S.</v>
      </c>
      <c r="AO125" s="35" t="str">
        <f ca="1">IFERROR(ECF[[#This Row],[Nsd (kN)]]/(ECF[[#This Row],[nE]]*PI()*ECF[[#This Row],[Ø (cm)]]^2/4*SIN(ECF[[#This Row],[α]])^2),"N.S.")</f>
        <v>N.S.</v>
      </c>
      <c r="AP125" s="4" t="str">
        <f ca="1">IFERROR(INDEX(grupoEstacas[],ECF[[#This Row],[nE]],MATCH("coef. Blévot",grupoEstacas[#Headers],0)),"N.S.")</f>
        <v>N.S.</v>
      </c>
      <c r="AQ125" s="35" t="str">
        <f ca="1">IFERROR(ECF[[#This Row],[coef. Blévot]]*0.9*INDEX(tipoEstaca[],MATCH($D$2,tipoEstaca[TIPO DE ESTACA],0),MATCH("fcd (kN/cm²)",tipoEstaca[#Headers],0)),"N.S.")</f>
        <v>N.S.</v>
      </c>
      <c r="AR125" s="1" t="str">
        <f ca="1">IF(AND(ECF[[#This Row],[cd,b,pil (kN/cm²)]]&lt;=ECF[[#This Row],[cd,b,lim (kN/cm²)]],ECF[[#This Row],[cd,b,est (kN/cm²)]]&lt;=ECF[[#This Row],[cd,b,lim (kN/cm²)]]),"OK","ERRO")</f>
        <v>OK</v>
      </c>
      <c r="AS125" s="4" t="str">
        <f ca="1">As_lado(ECF[[#This Row],[nE]],ECF[[#This Row],[Nsd (kN)]],ECF[[#This Row],[d (cm)]],ECF[[#This Row],[e (cm)]],ECF[[#This Row],[ap,eq (cm)]])</f>
        <v>N.S.</v>
      </c>
      <c r="AT125" s="4" t="str">
        <f ca="1">IF(ECF[[#This Row],[nE]]=1,ECF[[#This Row],[As,lado (cm²)]],IF(ECF[[#This Row],[nE]]=2,0.075*2*ECF[a (cm)],"N.A."))</f>
        <v>N.A.</v>
      </c>
      <c r="AU125" s="4" t="str">
        <f ca="1">IFERROR(IF(ECF[[#This Row],[nE]]=1,"N.A.",0.2*ECF[[#This Row],[As,lado (cm²)]]),"N.S.")</f>
        <v>N.S.</v>
      </c>
      <c r="AV125" s="4" t="str">
        <f ca="1">As_malha(ECF[[#This Row],[nE]],ECF[[#This Row],[As,lado (cm²)]],ECF[[#This Row],[Nsd (kN)]])</f>
        <v>N.S.</v>
      </c>
      <c r="AW125" s="4" t="str">
        <f ca="1">As_susp_tot(ECF[[#This Row],[nE]],ECF[[#This Row],[Nsd (kN)]])</f>
        <v>N.S.</v>
      </c>
      <c r="AX125" s="4" t="str">
        <f ca="1">Asp_face(ECF[[#This Row],[nE]],ECF[[#This Row],[As,lado (cm²)]])</f>
        <v>N.S.</v>
      </c>
      <c r="AY125" s="5" t="str">
        <f ca="1">acoBloco(ECF[[#This Row],[nE]],ECF[[#This Row],[e (cm)]],ECF[[#This Row],[a (cm)]],ECF[[#This Row],[h (cm)]],ECF[[#This Row],[As,lado (cm²)]],ECF[[#This Row],[Asp e Asw (cm²/m)]],ECF[[#This Row],[As,sup (cm²)]],ECF[[#This Row],[As,malha (cm²)]],ECF[[#This Row],[As,susp,tot (cm²)]],ECF[[#This Row],[Asp,face (cm²)]])</f>
        <v>N.S.</v>
      </c>
      <c r="AZ125" s="4" t="str">
        <f ca="1">concretoBloco(ECF[[#This Row],[nE]],ECF[[#This Row],[e (cm)]],ECF[[#This Row],[a (cm)]],ECF[[#This Row],[h (cm)]])</f>
        <v>N.S.</v>
      </c>
      <c r="BA125" s="5">
        <f ca="1">SUM(ECF[[#This Row],[Aço Est (kg)]],ECF[[#This Row],[Aço Bloco (kg)]])</f>
        <v>142.05025342471609</v>
      </c>
      <c r="BB125" s="4">
        <f>INDEX(composicoes[],MATCH(95580,composicoes[CÓDIGO],0),MATCH("CUSTO TOTAL",composicoes[#Headers],0))</f>
        <v>10.46</v>
      </c>
      <c r="BC125" s="4">
        <f ca="1">SUM(ECF[[#This Row],[Conc Est (m³)]],ECF[[#This Row],[Conc Bloco (m³)]])</f>
        <v>45.238934211693021</v>
      </c>
      <c r="BD125" s="4">
        <f>INDEX(composicoes[],MATCH(94966,composicoes[CÓDIGO],0),MATCH("CUSTO TOTAL",composicoes[#Headers],0))</f>
        <v>439.52</v>
      </c>
      <c r="BE125" s="38">
        <f ca="1">ECF[[#This Row],[Aço (kg)]]*ECF[[#This Row],[Aço (R$/kg)]]+ECF[[#This Row],[Conc (m³)]]*ECF[[#This Row],[Conc (R$/m³)]]</f>
        <v>21369.262015545846</v>
      </c>
      <c r="BF125" s="4" t="str">
        <f ca="1">IF(COUNTIF(ECF[#This Row],"N.S.")&gt;0,"lim.","OK")</f>
        <v>lim.</v>
      </c>
      <c r="BG125" s="4" t="str">
        <f>IF(ECF[[#This Row],[Prof. (m)]]&lt;4,"lim.","OK")</f>
        <v>OK</v>
      </c>
      <c r="BH125" s="4" t="str">
        <f>IF(ECF[[#This Row],[Prof. (m)]]&gt;=8*ECF[[#This Row],[Ø (cm)]]/100,"OK","lim.")</f>
        <v>lim.</v>
      </c>
      <c r="BI125" s="4" t="str">
        <f>IF(AND(SPT!$F$3&lt;&gt;"",ECF[[#This Row],[Prof. (m)]]&gt;=SPT!$F$3-2),"lim.","OK")</f>
        <v>OK</v>
      </c>
      <c r="BJ125" s="4" t="str">
        <f ca="1">IF(ECF[[#This Row],[Verif. Biela]]="OK","OK","lim.")</f>
        <v>OK</v>
      </c>
      <c r="BK125" s="4" t="str">
        <f ca="1">IF(COUNTA(ECF[[#This Row],[Nº Est.]:[Biela comp.]])=COUNTIF(ECF[[#This Row],[Nº Est.]:[Biela comp.]],"OK"),"OK","lim.")</f>
        <v>lim.</v>
      </c>
      <c r="BL125" s="4" t="str">
        <f ca="1">IF(ECF[[#This Row],[Controle]]="OK",ECF[[#This Row],[nE]]&amp;" Ø"&amp;ECF[[#This Row],[Ø (cm)]]&amp;"cm Prof. "&amp;ECF[[#This Row],[Prof. (m)]]&amp;" m","")</f>
        <v/>
      </c>
      <c r="BM125" s="4" t="str">
        <f ca="1">IF(ECF[[#This Row],[idDimensionamento]]="","",ECF[[#This Row],[idPilar]]&amp;ECF[[#This Row],[idDimensionamento]])</f>
        <v/>
      </c>
    </row>
    <row r="126" spans="2:65" x14ac:dyDescent="0.25">
      <c r="B126" s="12">
        <f>ROUNDUP((ROW(ECF[[#This Row],[idDiâmetro]])-ROW(ECF[[#Headers],[idDiâmetro]]))/(COUNT(SPT[Prof. (m)])*COUNT(PILARES[Pilar])),0)</f>
        <v>5</v>
      </c>
      <c r="C126" s="12">
        <f>IF(ECF[[#This Row],[idDiâmetro]]&lt;&gt;B125,1,IF(ECF[[#This Row],[Prof. (m)]]=0,C125+1,C125))</f>
        <v>1</v>
      </c>
      <c r="D126" s="1">
        <f>IFERROR(IF(D125=MAX(SPT[Prof. (m)]),0,D125+1),0)</f>
        <v>9</v>
      </c>
      <c r="E126" s="1">
        <f>INDEX(SPT[],MATCH(ECF[[#This Row],[Prof. (m)]],SPT[Prof. (m)],0),2)</f>
        <v>26</v>
      </c>
      <c r="F126" s="1" t="str">
        <f>INDEX(SPT[],MATCH(ECF[[#This Row],[Prof. (m)]],SPT[Prof. (m)],0),3)</f>
        <v>Areia siltosa</v>
      </c>
      <c r="G126" s="1">
        <f>INDEX(estacas[],ECF[[#This Row],[idDiâmetro]],MATCH($B$2,estacas[#Headers],0))</f>
        <v>120</v>
      </c>
      <c r="H126" s="1">
        <f>INDEX(estacas[],MATCH(ECF[[#This Row],[Ø (cm)]],estacas[Ø ECF (cm)],0),MATCH(ECF[[#Headers],[Pe ECF (kN)]],estacas[#Headers],0))</f>
        <v>4500</v>
      </c>
      <c r="I126" s="4">
        <f>INDEX(K_alpha_C[],MATCH(ECF[[#This Row],[Solo]],K_alpha_C[Solo],0),2)</f>
        <v>0.8</v>
      </c>
      <c r="J126" s="5">
        <f>INDEX(K_alpha_C[],MATCH(ECF[[#This Row],[Solo]],K_alpha_C[Solo],0),3)</f>
        <v>2</v>
      </c>
      <c r="K126" s="4">
        <f>INDEX(F1_F2[],MATCH($D$2,F1_F2[Tipo de estaca],0),2)</f>
        <v>3</v>
      </c>
      <c r="L126" s="4">
        <f>INDEX(F1_F2[],MATCH($D$2,F1_F2[Tipo de estaca],0),3)</f>
        <v>6</v>
      </c>
      <c r="M126" s="4">
        <f>PI()*(ECF[[#This Row],[Ø (cm)]]/100)^2/4</f>
        <v>1.1309733552923256</v>
      </c>
      <c r="N126" s="4">
        <f>PI()*ECF[[#This Row],[Ø (cm)]]/100</f>
        <v>3.7699111843077513</v>
      </c>
      <c r="O126" s="4">
        <f>IF(ECF[[#This Row],[Prof. (m)]]=0,0,ECF[[#This Row],[α (%)]]/100*ECF[[#This Row],[K (MPa)]]*1000*ECF[[#This Row],[NSPT]])</f>
        <v>416</v>
      </c>
      <c r="P126" s="4">
        <f>IF(ECF[[#This Row],[Prof. (m)]]=0,0,(ECF[[#This Row],[K (MPa)]]*1000*ECF[[#This Row],[NSPT]]/ECF[[#This Row],[F1]]*ECF[[#This Row],[Ap (m²)]]+ECF[[#This Row],[U (m)]]/ECF[[#This Row],[F2]]*SUMIFS(ECF[(α∙K∙NL∙ΔL)],ECF[Prof. (m)],"&lt;="&amp;ECF[[#This Row],[Prof. (m)]],ECF[idDiâmetro],ECF[[#This Row],[idDiâmetro]],ECF[idPilar],ECF[[#This Row],[idPilar]]))/'DADOS CAP. CARGA'!$D$2)</f>
        <v>4365.5257355018402</v>
      </c>
      <c r="Q126" s="12">
        <f>INDEX(C_alpha_beta[],MATCH(ECF[[#This Row],[Solo]],C_alpha_beta[Solo],0),MATCH(ECF[[#Headers],[C (kPa)]],C_alpha_beta[#Headers],0))</f>
        <v>400</v>
      </c>
      <c r="R126" s="4">
        <f>INDEX(C_alpha_beta[],MATCH(ECF[[#This Row],[Solo]],C_alpha_beta[Solo],0),MATCH(ECF[[#Headers],[α ESF]],C_alpha_beta[#Headers],0))</f>
        <v>0.5</v>
      </c>
      <c r="S126" s="4">
        <f>INDEX(C_alpha_beta[],MATCH(ECF[[#This Row],[Solo]],C_alpha_beta[Solo],0),MATCH(ECF[[#Headers],[β ESF]],C_alpha_beta[#Headers],0))</f>
        <v>0.5</v>
      </c>
      <c r="T126" s="4">
        <f>IF(ECF[[#This Row],[Prof. (m)]]=0,0,10*(ECF[[#This Row],[NSPT]]/3+1))</f>
        <v>96.666666666666657</v>
      </c>
      <c r="U126" s="4">
        <f>(ECF[[#This Row],[α ESF]]*ECF[[#This Row],[C (kPa)]]*ECF[[#This Row],[NSPT]]*ECF[[#This Row],[Ap (m²)]])/'DADOS CAP. CARGA'!$Q$2+(ECF[[#This Row],[β ESF]]*SUMIFS(ECF[10∙(NL/3+1)],ECF[Prof. (m)],"&lt;="&amp;ECF[[#This Row],[Prof. (m)]],ECF[idDiâmetro],ECF[[#This Row],[idDiâmetro]],ECF[idPilar],ECF[[#This Row],[idPilar]])*ECF[[#This Row],[U (m)]])/'DADOS CAP. CARGA'!$S$2</f>
        <v>1862.9644435787473</v>
      </c>
      <c r="V126" s="4">
        <f>IF(SPT!$M$5=1,MIN(ECF[[#This Row],[Pe ECF (kN)]],ECF[[#This Row],[R_AV (kN)]]),IF(SPT!$M$5=2,MIN(ECF[[#This Row],[Pe ECF (kN)]],ECF[[#This Row],[R_DC (kN)]]),MIN(ECF[[#This Row],[Pe ECF (kN)]],ECF[[#This Row],[R_AV (kN)]],ECF[[#This Row],[R_DC (kN)]])))</f>
        <v>1862.9644435787473</v>
      </c>
      <c r="W126" s="4">
        <f>INDEX(PILARES[],ECF[[#This Row],[idPilar]],MATCH("Carga (kN)",PILARES[#Headers],0))*1.4</f>
        <v>3500</v>
      </c>
      <c r="X126" s="12">
        <f>INDEX(PILARES[],ECF[[#This Row],[idPilar]],MATCH(ECF[[#Headers],[ap (cm)]],PILARES[#Headers],0))</f>
        <v>60</v>
      </c>
      <c r="Y126" s="12">
        <f>INDEX(PILARES[],ECF[[#This Row],[idPilar]],MATCH(ECF[[#Headers],[bp (cm)]],PILARES[#Headers],0))</f>
        <v>60</v>
      </c>
      <c r="Z126" s="4">
        <f>SQRT(ECF[[#This Row],[ap (cm)]]*ECF[[#This Row],[bp (cm)]])</f>
        <v>60</v>
      </c>
      <c r="AA126" s="12">
        <f>ECF[[#This Row],[ap (cm)]]*ECF[[#This Row],[bp (cm)]]</f>
        <v>3600</v>
      </c>
      <c r="AB126" s="12">
        <f ca="1">IF(ECF[[#This Row],[Padm∙ε (kN)]]&gt;=ECF[[#This Row],[Padm (kN)]],ROUNDUP(1.05*ECF[[#This Row],[Nsd (kN)]]/ECF[[#This Row],[Padm (kN)]],0),ROUNDUP(1.05*ECF[[#This Row],[Nsd (kN)]]/ECF[[#This Row],[Padm (kN)]],0)+1)</f>
        <v>2</v>
      </c>
      <c r="AC126" s="4">
        <f ca="1">IFERROR(IF(ECF[[#This Row],[nE]]=1,ECF[[#This Row],[Padm (kN)]],ECF[[#This Row],[Padm (kN)]]*ECF[[#This Row],[nE]]*INDEX(grupoEstacas[],ECF[[#This Row],[nE]],MATCH("ε",grupoEstacas[#Headers],0))),"N.S.")</f>
        <v>3493.0583317101509</v>
      </c>
      <c r="AD126" s="4">
        <f ca="1">1.05*ECF[[#This Row],[Nsd (kN)]]/(ECF[[#This Row],[nE]]*PI()*ECF[[#This Row],[Ø (cm)]]^2/4)*10</f>
        <v>1.624706710729765</v>
      </c>
      <c r="AE126" s="4">
        <f ca="1">IF(ECF[[#This Row],[σ (MPa)]]&lt;INDEX(tipoEstaca[],MATCH($D$2,tipoEstaca[TIPO DE ESTACA],0),MATCH("σmáx (MPa)",tipoEstaca[#Headers],0)),0.4%*PI()*ECF[[#This Row],[Ø (cm)]]^2/4,"N.S.")</f>
        <v>45.238934211693021</v>
      </c>
      <c r="AF126" s="1">
        <f>INDEX(tipoEstaca[],MATCH($D$2,tipoEstaca[TIPO DE ESTACA],0),MATCH(ECF[[#Headers],[Comprimento (m)]],tipoEstaca[#Headers],0))</f>
        <v>4</v>
      </c>
      <c r="AG126" s="5">
        <f ca="1">ECF[[#This Row],[As,mín (cm²)]]/100^2*ECF[[#This Row],[Comprimento (m)]]*7850</f>
        <v>142.05025342471609</v>
      </c>
      <c r="AH126" s="4">
        <f ca="1">ECF[[#This Row],[nE]]*ECF[[#This Row],[Prof. (m)]]*ECF[[#This Row],[Ap (m²)]]</f>
        <v>20.357520395261862</v>
      </c>
      <c r="AI126" s="1">
        <f ca="1">IF(ECF[[#This Row],[nE]]=1,0,MAX(3*ECF[[#This Row],[Ø (cm)]],60))</f>
        <v>360</v>
      </c>
      <c r="AJ126" s="1">
        <f ca="1">IF(ECF[[#This Row],[nE]]=1,ECF[[#This Row],[Ø (cm)]]+2*10,MAX(1.5*ECF[[#This Row],[Ø (cm)]],ECF[[#This Row],[Ø (cm)]]+15))</f>
        <v>180</v>
      </c>
      <c r="AK126" s="1">
        <f ca="1">alturaUtil(ECF[[#This Row],[nE]],ECF[[#This Row],[Ø (cm)]],ECF[[#This Row],[e (cm)]],ECF[[#This Row],[ap,eq (cm)]])</f>
        <v>165</v>
      </c>
      <c r="AL126" s="1">
        <f ca="1">IFERROR(ECF[[#This Row],[d (cm)]]+arredondarParaCimaMultiplo5cm(MAX(5,SQRT(PI())/2*ECF[[#This Row],[Ø (cm)]]/5)),"N.S.")</f>
        <v>190</v>
      </c>
      <c r="AM126" s="5">
        <f ca="1">alpha(ECF[[#This Row],[nE]],ECF[[#This Row],[d (cm)]],ECF[[#This Row],[e (cm)]],ECF[[#This Row],[ap,eq (cm)]])</f>
        <v>45</v>
      </c>
      <c r="AN126" s="35">
        <f ca="1">IFERROR(ECF[[#This Row],[Nsd (kN)]]/(ECF[[#This Row],[Ap (cm²)]]*SIN(ECF[[#This Row],[α]])^2),"N.S.")</f>
        <v>1.3427801064714635</v>
      </c>
      <c r="AO126" s="35">
        <f ca="1">IFERROR(ECF[[#This Row],[Nsd (kN)]]/(ECF[[#This Row],[nE]]*PI()*ECF[[#This Row],[Ø (cm)]]^2/4*SIN(ECF[[#This Row],[α]])^2),"N.S.")</f>
        <v>0.21371009143039493</v>
      </c>
      <c r="AP126" s="4">
        <f ca="1">IFERROR(INDEX(grupoEstacas[],ECF[[#This Row],[nE]],MATCH("coef. Blévot",grupoEstacas[#Headers],0)),"N.S.")</f>
        <v>1.4</v>
      </c>
      <c r="AQ126" s="35">
        <f ca="1">IFERROR(ECF[[#This Row],[coef. Blévot]]*0.9*INDEX(tipoEstaca[],MATCH($D$2,tipoEstaca[TIPO DE ESTACA],0),MATCH("fcd (kN/cm²)",tipoEstaca[#Headers],0)),"N.S.")</f>
        <v>1.4000000000000001</v>
      </c>
      <c r="AR126" s="1" t="str">
        <f ca="1">IF(AND(ECF[[#This Row],[cd,b,pil (kN/cm²)]]&lt;=ECF[[#This Row],[cd,b,lim (kN/cm²)]],ECF[[#This Row],[cd,b,est (kN/cm²)]]&lt;=ECF[[#This Row],[cd,b,lim (kN/cm²)]]),"OK","ERRO")</f>
        <v>OK</v>
      </c>
      <c r="AS126" s="4">
        <f ca="1">As_lado(ECF[[#This Row],[nE]],ECF[[#This Row],[Nsd (kN)]],ECF[[#This Row],[d (cm)]],ECF[[#This Row],[e (cm)]],ECF[[#This Row],[ap,eq (cm)]])</f>
        <v>46.287500000000001</v>
      </c>
      <c r="AT126" s="4">
        <f ca="1">IF(ECF[[#This Row],[nE]]=1,ECF[[#This Row],[As,lado (cm²)]],IF(ECF[[#This Row],[nE]]=2,0.075*2*ECF[a (cm)],"N.A."))</f>
        <v>27</v>
      </c>
      <c r="AU126" s="4">
        <f ca="1">IFERROR(IF(ECF[[#This Row],[nE]]=1,"N.A.",0.2*ECF[[#This Row],[As,lado (cm²)]]),"N.S.")</f>
        <v>9.2575000000000003</v>
      </c>
      <c r="AV126" s="4" t="str">
        <f ca="1">As_malha(ECF[[#This Row],[nE]],ECF[[#This Row],[As,lado (cm²)]],ECF[[#This Row],[Nsd (kN)]])</f>
        <v>N.A.</v>
      </c>
      <c r="AW126" s="4" t="str">
        <f ca="1">As_susp_tot(ECF[[#This Row],[nE]],ECF[[#This Row],[Nsd (kN)]])</f>
        <v>N.A.</v>
      </c>
      <c r="AX126" s="4" t="str">
        <f ca="1">Asp_face(ECF[[#This Row],[nE]],ECF[[#This Row],[As,lado (cm²)]])</f>
        <v>N.A.</v>
      </c>
      <c r="AY126" s="5">
        <f ca="1">acoBloco(ECF[[#This Row],[nE]],ECF[[#This Row],[e (cm)]],ECF[[#This Row],[a (cm)]],ECF[[#This Row],[h (cm)]],ECF[[#This Row],[As,lado (cm²)]],ECF[[#This Row],[Asp e Asw (cm²/m)]],ECF[[#This Row],[As,sup (cm²)]],ECF[[#This Row],[As,malha (cm²)]],ECF[[#This Row],[As,susp,tot (cm²)]],ECF[[#This Row],[Asp,face (cm²)]])</f>
        <v>2862.4271399999998</v>
      </c>
      <c r="AZ126" s="4">
        <f ca="1">concretoBloco(ECF[[#This Row],[nE]],ECF[[#This Row],[e (cm)]],ECF[[#This Row],[a (cm)]],ECF[[#This Row],[h (cm)]])</f>
        <v>49.247999999999998</v>
      </c>
      <c r="BA126" s="5">
        <f ca="1">SUM(ECF[[#This Row],[Aço Est (kg)]],ECF[[#This Row],[Aço Bloco (kg)]])</f>
        <v>3004.477393424716</v>
      </c>
      <c r="BB126" s="4">
        <f>INDEX(composicoes[],MATCH(95580,composicoes[CÓDIGO],0),MATCH("CUSTO TOTAL",composicoes[#Headers],0))</f>
        <v>10.46</v>
      </c>
      <c r="BC126" s="4">
        <f ca="1">SUM(ECF[[#This Row],[Conc Est (m³)]],ECF[[#This Row],[Conc Bloco (m³)]])</f>
        <v>69.605520395261863</v>
      </c>
      <c r="BD126" s="4">
        <f>INDEX(composicoes[],MATCH(94966,composicoes[CÓDIGO],0),MATCH("CUSTO TOTAL",composicoes[#Headers],0))</f>
        <v>439.52</v>
      </c>
      <c r="BE126" s="38">
        <f ca="1">ECF[[#This Row],[Aço (kg)]]*ECF[[#This Row],[Aço (R$/kg)]]+ECF[[#This Row],[Conc (m³)]]*ECF[[#This Row],[Conc (R$/m³)]]</f>
        <v>62019.851859348026</v>
      </c>
      <c r="BF126" s="4" t="str">
        <f ca="1">IF(COUNTIF(ECF[#This Row],"N.S.")&gt;0,"lim.","OK")</f>
        <v>OK</v>
      </c>
      <c r="BG126" s="4" t="str">
        <f>IF(ECF[[#This Row],[Prof. (m)]]&lt;4,"lim.","OK")</f>
        <v>OK</v>
      </c>
      <c r="BH126" s="4" t="str">
        <f>IF(ECF[[#This Row],[Prof. (m)]]&gt;=8*ECF[[#This Row],[Ø (cm)]]/100,"OK","lim.")</f>
        <v>lim.</v>
      </c>
      <c r="BI126" s="4" t="str">
        <f>IF(AND(SPT!$F$3&lt;&gt;"",ECF[[#This Row],[Prof. (m)]]&gt;=SPT!$F$3-2),"lim.","OK")</f>
        <v>OK</v>
      </c>
      <c r="BJ126" s="4" t="str">
        <f ca="1">IF(ECF[[#This Row],[Verif. Biela]]="OK","OK","lim.")</f>
        <v>OK</v>
      </c>
      <c r="BK126" s="4" t="str">
        <f ca="1">IF(COUNTA(ECF[[#This Row],[Nº Est.]:[Biela comp.]])=COUNTIF(ECF[[#This Row],[Nº Est.]:[Biela comp.]],"OK"),"OK","lim.")</f>
        <v>lim.</v>
      </c>
      <c r="BL126" s="4" t="str">
        <f ca="1">IF(ECF[[#This Row],[Controle]]="OK",ECF[[#This Row],[nE]]&amp;" Ø"&amp;ECF[[#This Row],[Ø (cm)]]&amp;"cm Prof. "&amp;ECF[[#This Row],[Prof. (m)]]&amp;" m","")</f>
        <v/>
      </c>
      <c r="BM126" s="4" t="str">
        <f ca="1">IF(ECF[[#This Row],[idDimensionamento]]="","",ECF[[#This Row],[idPilar]]&amp;ECF[[#This Row],[idDimensionamento]])</f>
        <v/>
      </c>
    </row>
    <row r="127" spans="2:65" x14ac:dyDescent="0.25">
      <c r="B127" s="12">
        <f>ROUNDUP((ROW(ECF[[#This Row],[idDiâmetro]])-ROW(ECF[[#Headers],[idDiâmetro]]))/(COUNT(SPT[Prof. (m)])*COUNT(PILARES[Pilar])),0)</f>
        <v>5</v>
      </c>
      <c r="C127" s="12">
        <f>IF(ECF[[#This Row],[idDiâmetro]]&lt;&gt;B126,1,IF(ECF[[#This Row],[Prof. (m)]]=0,C126+1,C126))</f>
        <v>1</v>
      </c>
      <c r="D127" s="1">
        <f>IFERROR(IF(D126=MAX(SPT[Prof. (m)]),0,D126+1),0)</f>
        <v>10</v>
      </c>
      <c r="E127" s="1">
        <f>INDEX(SPT[],MATCH(ECF[[#This Row],[Prof. (m)]],SPT[Prof. (m)],0),2)</f>
        <v>32</v>
      </c>
      <c r="F127" s="1" t="str">
        <f>INDEX(SPT[],MATCH(ECF[[#This Row],[Prof. (m)]],SPT[Prof. (m)],0),3)</f>
        <v>Areia siltosa</v>
      </c>
      <c r="G127" s="1">
        <f>INDEX(estacas[],ECF[[#This Row],[idDiâmetro]],MATCH($B$2,estacas[#Headers],0))</f>
        <v>120</v>
      </c>
      <c r="H127" s="1">
        <f>INDEX(estacas[],MATCH(ECF[[#This Row],[Ø (cm)]],estacas[Ø ECF (cm)],0),MATCH(ECF[[#Headers],[Pe ECF (kN)]],estacas[#Headers],0))</f>
        <v>4500</v>
      </c>
      <c r="I127" s="4">
        <f>INDEX(K_alpha_C[],MATCH(ECF[[#This Row],[Solo]],K_alpha_C[Solo],0),2)</f>
        <v>0.8</v>
      </c>
      <c r="J127" s="5">
        <f>INDEX(K_alpha_C[],MATCH(ECF[[#This Row],[Solo]],K_alpha_C[Solo],0),3)</f>
        <v>2</v>
      </c>
      <c r="K127" s="4">
        <f>INDEX(F1_F2[],MATCH($D$2,F1_F2[Tipo de estaca],0),2)</f>
        <v>3</v>
      </c>
      <c r="L127" s="4">
        <f>INDEX(F1_F2[],MATCH($D$2,F1_F2[Tipo de estaca],0),3)</f>
        <v>6</v>
      </c>
      <c r="M127" s="4">
        <f>PI()*(ECF[[#This Row],[Ø (cm)]]/100)^2/4</f>
        <v>1.1309733552923256</v>
      </c>
      <c r="N127" s="4">
        <f>PI()*ECF[[#This Row],[Ø (cm)]]/100</f>
        <v>3.7699111843077513</v>
      </c>
      <c r="O127" s="4">
        <f>IF(ECF[[#This Row],[Prof. (m)]]=0,0,ECF[[#This Row],[α (%)]]/100*ECF[[#This Row],[K (MPa)]]*1000*ECF[[#This Row],[NSPT]])</f>
        <v>512</v>
      </c>
      <c r="P127" s="4">
        <f>IF(ECF[[#This Row],[Prof. (m)]]=0,0,(ECF[[#This Row],[K (MPa)]]*1000*ECF[[#This Row],[NSPT]]/ECF[[#This Row],[F1]]*ECF[[#This Row],[Ap (m²)]]+ECF[[#This Row],[U (m)]]/ECF[[#This Row],[F2]]*SUMIFS(ECF[(α∙K∙NL∙ΔL)],ECF[Prof. (m)],"&lt;="&amp;ECF[[#This Row],[Prof. (m)]],ECF[idDiâmetro],ECF[[#This Row],[idDiâmetro]],ECF[idPilar],ECF[[#This Row],[idPilar]]))/'DADOS CAP. CARGA'!$D$2)</f>
        <v>5431.1539635994995</v>
      </c>
      <c r="Q127" s="12">
        <f>INDEX(C_alpha_beta[],MATCH(ECF[[#This Row],[Solo]],C_alpha_beta[Solo],0),MATCH(ECF[[#Headers],[C (kPa)]],C_alpha_beta[#Headers],0))</f>
        <v>400</v>
      </c>
      <c r="R127" s="4">
        <f>INDEX(C_alpha_beta[],MATCH(ECF[[#This Row],[Solo]],C_alpha_beta[Solo],0),MATCH(ECF[[#Headers],[α ESF]],C_alpha_beta[#Headers],0))</f>
        <v>0.5</v>
      </c>
      <c r="S127" s="4">
        <f>INDEX(C_alpha_beta[],MATCH(ECF[[#This Row],[Solo]],C_alpha_beta[Solo],0),MATCH(ECF[[#Headers],[β ESF]],C_alpha_beta[#Headers],0))</f>
        <v>0.5</v>
      </c>
      <c r="T127" s="4">
        <f>IF(ECF[[#This Row],[Prof. (m)]]=0,0,10*(ECF[[#This Row],[NSPT]]/3+1))</f>
        <v>116.66666666666666</v>
      </c>
      <c r="U127" s="4">
        <f>(ECF[[#This Row],[α ESF]]*ECF[[#This Row],[C (kPa)]]*ECF[[#This Row],[NSPT]]*ECF[[#This Row],[Ap (m²)]])/'DADOS CAP. CARGA'!$Q$2+(ECF[[#This Row],[β ESF]]*SUMIFS(ECF[10∙(NL/3+1)],ECF[Prof. (m)],"&lt;="&amp;ECF[[#This Row],[Prof. (m)]],ECF[idDiâmetro],ECF[[#This Row],[idDiâmetro]],ECF[idPilar],ECF[[#This Row],[idPilar]])*ECF[[#This Row],[U (m)]])/'DADOS CAP. CARGA'!$S$2</f>
        <v>2312.2121930420876</v>
      </c>
      <c r="V127" s="4">
        <f>IF(SPT!$M$5=1,MIN(ECF[[#This Row],[Pe ECF (kN)]],ECF[[#This Row],[R_AV (kN)]]),IF(SPT!$M$5=2,MIN(ECF[[#This Row],[Pe ECF (kN)]],ECF[[#This Row],[R_DC (kN)]]),MIN(ECF[[#This Row],[Pe ECF (kN)]],ECF[[#This Row],[R_AV (kN)]],ECF[[#This Row],[R_DC (kN)]])))</f>
        <v>2312.2121930420876</v>
      </c>
      <c r="W127" s="4">
        <f>INDEX(PILARES[],ECF[[#This Row],[idPilar]],MATCH("Carga (kN)",PILARES[#Headers],0))*1.4</f>
        <v>3500</v>
      </c>
      <c r="X127" s="12">
        <f>INDEX(PILARES[],ECF[[#This Row],[idPilar]],MATCH(ECF[[#Headers],[ap (cm)]],PILARES[#Headers],0))</f>
        <v>60</v>
      </c>
      <c r="Y127" s="12">
        <f>INDEX(PILARES[],ECF[[#This Row],[idPilar]],MATCH(ECF[[#Headers],[bp (cm)]],PILARES[#Headers],0))</f>
        <v>60</v>
      </c>
      <c r="Z127" s="4">
        <f>SQRT(ECF[[#This Row],[ap (cm)]]*ECF[[#This Row],[bp (cm)]])</f>
        <v>60</v>
      </c>
      <c r="AA127" s="12">
        <f>ECF[[#This Row],[ap (cm)]]*ECF[[#This Row],[bp (cm)]]</f>
        <v>3600</v>
      </c>
      <c r="AB127" s="12">
        <f ca="1">IF(ECF[[#This Row],[Padm∙ε (kN)]]&gt;=ECF[[#This Row],[Padm (kN)]],ROUNDUP(1.05*ECF[[#This Row],[Nsd (kN)]]/ECF[[#This Row],[Padm (kN)]],0),ROUNDUP(1.05*ECF[[#This Row],[Nsd (kN)]]/ECF[[#This Row],[Padm (kN)]],0)+1)</f>
        <v>2</v>
      </c>
      <c r="AC127" s="4">
        <f ca="1">IFERROR(IF(ECF[[#This Row],[nE]]=1,ECF[[#This Row],[Padm (kN)]],ECF[[#This Row],[Padm (kN)]]*ECF[[#This Row],[nE]]*INDEX(grupoEstacas[],ECF[[#This Row],[nE]],MATCH("ε",grupoEstacas[#Headers],0))),"N.S.")</f>
        <v>4335.3978619539139</v>
      </c>
      <c r="AD127" s="4">
        <f ca="1">1.05*ECF[[#This Row],[Nsd (kN)]]/(ECF[[#This Row],[nE]]*PI()*ECF[[#This Row],[Ø (cm)]]^2/4)*10</f>
        <v>1.624706710729765</v>
      </c>
      <c r="AE127" s="4">
        <f ca="1">IF(ECF[[#This Row],[σ (MPa)]]&lt;INDEX(tipoEstaca[],MATCH($D$2,tipoEstaca[TIPO DE ESTACA],0),MATCH("σmáx (MPa)",tipoEstaca[#Headers],0)),0.4%*PI()*ECF[[#This Row],[Ø (cm)]]^2/4,"N.S.")</f>
        <v>45.238934211693021</v>
      </c>
      <c r="AF127" s="1">
        <f>INDEX(tipoEstaca[],MATCH($D$2,tipoEstaca[TIPO DE ESTACA],0),MATCH(ECF[[#Headers],[Comprimento (m)]],tipoEstaca[#Headers],0))</f>
        <v>4</v>
      </c>
      <c r="AG127" s="5">
        <f ca="1">ECF[[#This Row],[As,mín (cm²)]]/100^2*ECF[[#This Row],[Comprimento (m)]]*7850</f>
        <v>142.05025342471609</v>
      </c>
      <c r="AH127" s="4">
        <f ca="1">ECF[[#This Row],[nE]]*ECF[[#This Row],[Prof. (m)]]*ECF[[#This Row],[Ap (m²)]]</f>
        <v>22.61946710584651</v>
      </c>
      <c r="AI127" s="1">
        <f ca="1">IF(ECF[[#This Row],[nE]]=1,0,MAX(3*ECF[[#This Row],[Ø (cm)]],60))</f>
        <v>360</v>
      </c>
      <c r="AJ127" s="1">
        <f ca="1">IF(ECF[[#This Row],[nE]]=1,ECF[[#This Row],[Ø (cm)]]+2*10,MAX(1.5*ECF[[#This Row],[Ø (cm)]],ECF[[#This Row],[Ø (cm)]]+15))</f>
        <v>180</v>
      </c>
      <c r="AK127" s="1">
        <f ca="1">alturaUtil(ECF[[#This Row],[nE]],ECF[[#This Row],[Ø (cm)]],ECF[[#This Row],[e (cm)]],ECF[[#This Row],[ap,eq (cm)]])</f>
        <v>165</v>
      </c>
      <c r="AL127" s="1">
        <f ca="1">IFERROR(ECF[[#This Row],[d (cm)]]+arredondarParaCimaMultiplo5cm(MAX(5,SQRT(PI())/2*ECF[[#This Row],[Ø (cm)]]/5)),"N.S.")</f>
        <v>190</v>
      </c>
      <c r="AM127" s="5">
        <f ca="1">alpha(ECF[[#This Row],[nE]],ECF[[#This Row],[d (cm)]],ECF[[#This Row],[e (cm)]],ECF[[#This Row],[ap,eq (cm)]])</f>
        <v>45</v>
      </c>
      <c r="AN127" s="35">
        <f ca="1">IFERROR(ECF[[#This Row],[Nsd (kN)]]/(ECF[[#This Row],[Ap (cm²)]]*SIN(ECF[[#This Row],[α]])^2),"N.S.")</f>
        <v>1.3427801064714635</v>
      </c>
      <c r="AO127" s="35">
        <f ca="1">IFERROR(ECF[[#This Row],[Nsd (kN)]]/(ECF[[#This Row],[nE]]*PI()*ECF[[#This Row],[Ø (cm)]]^2/4*SIN(ECF[[#This Row],[α]])^2),"N.S.")</f>
        <v>0.21371009143039493</v>
      </c>
      <c r="AP127" s="4">
        <f ca="1">IFERROR(INDEX(grupoEstacas[],ECF[[#This Row],[nE]],MATCH("coef. Blévot",grupoEstacas[#Headers],0)),"N.S.")</f>
        <v>1.4</v>
      </c>
      <c r="AQ127" s="35">
        <f ca="1">IFERROR(ECF[[#This Row],[coef. Blévot]]*0.9*INDEX(tipoEstaca[],MATCH($D$2,tipoEstaca[TIPO DE ESTACA],0),MATCH("fcd (kN/cm²)",tipoEstaca[#Headers],0)),"N.S.")</f>
        <v>1.4000000000000001</v>
      </c>
      <c r="AR127" s="1" t="str">
        <f ca="1">IF(AND(ECF[[#This Row],[cd,b,pil (kN/cm²)]]&lt;=ECF[[#This Row],[cd,b,lim (kN/cm²)]],ECF[[#This Row],[cd,b,est (kN/cm²)]]&lt;=ECF[[#This Row],[cd,b,lim (kN/cm²)]]),"OK","ERRO")</f>
        <v>OK</v>
      </c>
      <c r="AS127" s="4">
        <f ca="1">As_lado(ECF[[#This Row],[nE]],ECF[[#This Row],[Nsd (kN)]],ECF[[#This Row],[d (cm)]],ECF[[#This Row],[e (cm)]],ECF[[#This Row],[ap,eq (cm)]])</f>
        <v>46.287500000000001</v>
      </c>
      <c r="AT127" s="4">
        <f ca="1">IF(ECF[[#This Row],[nE]]=1,ECF[[#This Row],[As,lado (cm²)]],IF(ECF[[#This Row],[nE]]=2,0.075*2*ECF[a (cm)],"N.A."))</f>
        <v>27</v>
      </c>
      <c r="AU127" s="4">
        <f ca="1">IFERROR(IF(ECF[[#This Row],[nE]]=1,"N.A.",0.2*ECF[[#This Row],[As,lado (cm²)]]),"N.S.")</f>
        <v>9.2575000000000003</v>
      </c>
      <c r="AV127" s="4" t="str">
        <f ca="1">As_malha(ECF[[#This Row],[nE]],ECF[[#This Row],[As,lado (cm²)]],ECF[[#This Row],[Nsd (kN)]])</f>
        <v>N.A.</v>
      </c>
      <c r="AW127" s="4" t="str">
        <f ca="1">As_susp_tot(ECF[[#This Row],[nE]],ECF[[#This Row],[Nsd (kN)]])</f>
        <v>N.A.</v>
      </c>
      <c r="AX127" s="4" t="str">
        <f ca="1">Asp_face(ECF[[#This Row],[nE]],ECF[[#This Row],[As,lado (cm²)]])</f>
        <v>N.A.</v>
      </c>
      <c r="AY127" s="5">
        <f ca="1">acoBloco(ECF[[#This Row],[nE]],ECF[[#This Row],[e (cm)]],ECF[[#This Row],[a (cm)]],ECF[[#This Row],[h (cm)]],ECF[[#This Row],[As,lado (cm²)]],ECF[[#This Row],[Asp e Asw (cm²/m)]],ECF[[#This Row],[As,sup (cm²)]],ECF[[#This Row],[As,malha (cm²)]],ECF[[#This Row],[As,susp,tot (cm²)]],ECF[[#This Row],[Asp,face (cm²)]])</f>
        <v>2862.4271399999998</v>
      </c>
      <c r="AZ127" s="4">
        <f ca="1">concretoBloco(ECF[[#This Row],[nE]],ECF[[#This Row],[e (cm)]],ECF[[#This Row],[a (cm)]],ECF[[#This Row],[h (cm)]])</f>
        <v>49.247999999999998</v>
      </c>
      <c r="BA127" s="5">
        <f ca="1">SUM(ECF[[#This Row],[Aço Est (kg)]],ECF[[#This Row],[Aço Bloco (kg)]])</f>
        <v>3004.477393424716</v>
      </c>
      <c r="BB127" s="4">
        <f>INDEX(composicoes[],MATCH(95580,composicoes[CÓDIGO],0),MATCH("CUSTO TOTAL",composicoes[#Headers],0))</f>
        <v>10.46</v>
      </c>
      <c r="BC127" s="4">
        <f ca="1">SUM(ECF[[#This Row],[Conc Est (m³)]],ECF[[#This Row],[Conc Bloco (m³)]])</f>
        <v>71.867467105846515</v>
      </c>
      <c r="BD127" s="4">
        <f>INDEX(composicoes[],MATCH(94966,composicoes[CÓDIGO],0),MATCH("CUSTO TOTAL",composicoes[#Headers],0))</f>
        <v>439.52</v>
      </c>
      <c r="BE127" s="38">
        <f ca="1">ECF[[#This Row],[Aço (kg)]]*ECF[[#This Row],[Aço (R$/kg)]]+ECF[[#This Row],[Conc (m³)]]*ECF[[#This Row],[Conc (R$/m³)]]</f>
        <v>63014.022677584187</v>
      </c>
      <c r="BF127" s="4" t="str">
        <f ca="1">IF(COUNTIF(ECF[#This Row],"N.S.")&gt;0,"lim.","OK")</f>
        <v>OK</v>
      </c>
      <c r="BG127" s="4" t="str">
        <f>IF(ECF[[#This Row],[Prof. (m)]]&lt;4,"lim.","OK")</f>
        <v>OK</v>
      </c>
      <c r="BH127" s="4" t="str">
        <f>IF(ECF[[#This Row],[Prof. (m)]]&gt;=8*ECF[[#This Row],[Ø (cm)]]/100,"OK","lim.")</f>
        <v>OK</v>
      </c>
      <c r="BI127" s="4" t="str">
        <f>IF(AND(SPT!$F$3&lt;&gt;"",ECF[[#This Row],[Prof. (m)]]&gt;=SPT!$F$3-2),"lim.","OK")</f>
        <v>OK</v>
      </c>
      <c r="BJ127" s="4" t="str">
        <f ca="1">IF(ECF[[#This Row],[Verif. Biela]]="OK","OK","lim.")</f>
        <v>OK</v>
      </c>
      <c r="BK127" s="4" t="str">
        <f ca="1">IF(COUNTA(ECF[[#This Row],[Nº Est.]:[Biela comp.]])=COUNTIF(ECF[[#This Row],[Nº Est.]:[Biela comp.]],"OK"),"OK","lim.")</f>
        <v>OK</v>
      </c>
      <c r="BL127" s="4" t="str">
        <f ca="1">IF(ECF[[#This Row],[Controle]]="OK",ECF[[#This Row],[nE]]&amp;" Ø"&amp;ECF[[#This Row],[Ø (cm)]]&amp;"cm Prof. "&amp;ECF[[#This Row],[Prof. (m)]]&amp;" m","")</f>
        <v>2 Ø120cm Prof. 10 m</v>
      </c>
      <c r="BM127" s="4" t="str">
        <f ca="1">IF(ECF[[#This Row],[idDimensionamento]]="","",ECF[[#This Row],[idPilar]]&amp;ECF[[#This Row],[idDimensionamento]])</f>
        <v>12 Ø120cm Prof. 10 m</v>
      </c>
    </row>
    <row r="128" spans="2:65" x14ac:dyDescent="0.25">
      <c r="B128" s="12">
        <f>ROUNDUP((ROW(ECF[[#This Row],[idDiâmetro]])-ROW(ECF[[#Headers],[idDiâmetro]]))/(COUNT(SPT[Prof. (m)])*COUNT(PILARES[Pilar])),0)</f>
        <v>5</v>
      </c>
      <c r="C128" s="12">
        <f>IF(ECF[[#This Row],[idDiâmetro]]&lt;&gt;B127,1,IF(ECF[[#This Row],[Prof. (m)]]=0,C127+1,C127))</f>
        <v>1</v>
      </c>
      <c r="D128" s="1">
        <f>IFERROR(IF(D127=MAX(SPT[Prof. (m)]),0,D127+1),0)</f>
        <v>11</v>
      </c>
      <c r="E128" s="1">
        <f>INDEX(SPT[],MATCH(ECF[[#This Row],[Prof. (m)]],SPT[Prof. (m)],0),2)</f>
        <v>41</v>
      </c>
      <c r="F128" s="1" t="str">
        <f>INDEX(SPT[],MATCH(ECF[[#This Row],[Prof. (m)]],SPT[Prof. (m)],0),3)</f>
        <v>Areia siltosa</v>
      </c>
      <c r="G128" s="1">
        <f>INDEX(estacas[],ECF[[#This Row],[idDiâmetro]],MATCH($B$2,estacas[#Headers],0))</f>
        <v>120</v>
      </c>
      <c r="H128" s="1">
        <f>INDEX(estacas[],MATCH(ECF[[#This Row],[Ø (cm)]],estacas[Ø ECF (cm)],0),MATCH(ECF[[#Headers],[Pe ECF (kN)]],estacas[#Headers],0))</f>
        <v>4500</v>
      </c>
      <c r="I128" s="4">
        <f>INDEX(K_alpha_C[],MATCH(ECF[[#This Row],[Solo]],K_alpha_C[Solo],0),2)</f>
        <v>0.8</v>
      </c>
      <c r="J128" s="5">
        <f>INDEX(K_alpha_C[],MATCH(ECF[[#This Row],[Solo]],K_alpha_C[Solo],0),3)</f>
        <v>2</v>
      </c>
      <c r="K128" s="4">
        <f>INDEX(F1_F2[],MATCH($D$2,F1_F2[Tipo de estaca],0),2)</f>
        <v>3</v>
      </c>
      <c r="L128" s="4">
        <f>INDEX(F1_F2[],MATCH($D$2,F1_F2[Tipo de estaca],0),3)</f>
        <v>6</v>
      </c>
      <c r="M128" s="4">
        <f>PI()*(ECF[[#This Row],[Ø (cm)]]/100)^2/4</f>
        <v>1.1309733552923256</v>
      </c>
      <c r="N128" s="4">
        <f>PI()*ECF[[#This Row],[Ø (cm)]]/100</f>
        <v>3.7699111843077513</v>
      </c>
      <c r="O128" s="4">
        <f>IF(ECF[[#This Row],[Prof. (m)]]=0,0,ECF[[#This Row],[α (%)]]/100*ECF[[#This Row],[K (MPa)]]*1000*ECF[[#This Row],[NSPT]])</f>
        <v>656</v>
      </c>
      <c r="P128" s="4">
        <f>IF(ECF[[#This Row],[Prof. (m)]]=0,0,(ECF[[#This Row],[K (MPa)]]*1000*ECF[[#This Row],[NSPT]]/ECF[[#This Row],[F1]]*ECF[[#This Row],[Ap (m²)]]+ECF[[#This Row],[U (m)]]/ECF[[#This Row],[F2]]*SUMIFS(ECF[(α∙K∙NL∙ΔL)],ECF[Prof. (m)],"&lt;="&amp;ECF[[#This Row],[Prof. (m)]],ECF[idDiâmetro],ECF[[#This Row],[idDiâmetro]],ECF[idPilar],ECF[[#This Row],[idPilar]]))/'DADOS CAP. CARGA'!$D$2)</f>
        <v>6994.4104680257806</v>
      </c>
      <c r="Q128" s="12">
        <f>INDEX(C_alpha_beta[],MATCH(ECF[[#This Row],[Solo]],C_alpha_beta[Solo],0),MATCH(ECF[[#Headers],[C (kPa)]],C_alpha_beta[#Headers],0))</f>
        <v>400</v>
      </c>
      <c r="R128" s="4">
        <f>INDEX(C_alpha_beta[],MATCH(ECF[[#This Row],[Solo]],C_alpha_beta[Solo],0),MATCH(ECF[[#Headers],[α ESF]],C_alpha_beta[#Headers],0))</f>
        <v>0.5</v>
      </c>
      <c r="S128" s="4">
        <f>INDEX(C_alpha_beta[],MATCH(ECF[[#This Row],[Solo]],C_alpha_beta[Solo],0),MATCH(ECF[[#Headers],[β ESF]],C_alpha_beta[#Headers],0))</f>
        <v>0.5</v>
      </c>
      <c r="T128" s="4">
        <f>IF(ECF[[#This Row],[Prof. (m)]]=0,0,10*(ECF[[#This Row],[NSPT]]/3+1))</f>
        <v>146.66666666666666</v>
      </c>
      <c r="U128" s="4">
        <f>(ECF[[#This Row],[α ESF]]*ECF[[#This Row],[C (kPa)]]*ECF[[#This Row],[NSPT]]*ECF[[#This Row],[Ap (m²)]])/'DADOS CAP. CARGA'!$Q$2+(ECF[[#This Row],[β ESF]]*SUMIFS(ECF[10∙(NL/3+1)],ECF[Prof. (m)],"&lt;="&amp;ECF[[#This Row],[Prof. (m)]],ECF[idDiâmetro],ECF[[#This Row],[idDiâmetro]],ECF[idPilar],ECF[[#This Row],[idPilar]])*ECF[[#This Row],[U (m)]])/'DADOS CAP. CARGA'!$S$2</f>
        <v>2959.3802796815853</v>
      </c>
      <c r="V128" s="4">
        <f>IF(SPT!$M$5=1,MIN(ECF[[#This Row],[Pe ECF (kN)]],ECF[[#This Row],[R_AV (kN)]]),IF(SPT!$M$5=2,MIN(ECF[[#This Row],[Pe ECF (kN)]],ECF[[#This Row],[R_DC (kN)]]),MIN(ECF[[#This Row],[Pe ECF (kN)]],ECF[[#This Row],[R_AV (kN)]],ECF[[#This Row],[R_DC (kN)]])))</f>
        <v>2959.3802796815853</v>
      </c>
      <c r="W128" s="4">
        <f>INDEX(PILARES[],ECF[[#This Row],[idPilar]],MATCH("Carga (kN)",PILARES[#Headers],0))*1.4</f>
        <v>3500</v>
      </c>
      <c r="X128" s="12">
        <f>INDEX(PILARES[],ECF[[#This Row],[idPilar]],MATCH(ECF[[#Headers],[ap (cm)]],PILARES[#Headers],0))</f>
        <v>60</v>
      </c>
      <c r="Y128" s="12">
        <f>INDEX(PILARES[],ECF[[#This Row],[idPilar]],MATCH(ECF[[#Headers],[bp (cm)]],PILARES[#Headers],0))</f>
        <v>60</v>
      </c>
      <c r="Z128" s="4">
        <f>SQRT(ECF[[#This Row],[ap (cm)]]*ECF[[#This Row],[bp (cm)]])</f>
        <v>60</v>
      </c>
      <c r="AA128" s="12">
        <f>ECF[[#This Row],[ap (cm)]]*ECF[[#This Row],[bp (cm)]]</f>
        <v>3600</v>
      </c>
      <c r="AB128" s="12">
        <f ca="1">IF(ECF[[#This Row],[Padm∙ε (kN)]]&gt;=ECF[[#This Row],[Padm (kN)]],ROUNDUP(1.05*ECF[[#This Row],[Nsd (kN)]]/ECF[[#This Row],[Padm (kN)]],0),ROUNDUP(1.05*ECF[[#This Row],[Nsd (kN)]]/ECF[[#This Row],[Padm (kN)]],0)+1)</f>
        <v>2</v>
      </c>
      <c r="AC128" s="4">
        <f ca="1">IFERROR(IF(ECF[[#This Row],[nE]]=1,ECF[[#This Row],[Padm (kN)]],ECF[[#This Row],[Padm (kN)]]*ECF[[#This Row],[nE]]*INDEX(grupoEstacas[],ECF[[#This Row],[nE]],MATCH("ε",grupoEstacas[#Headers],0))),"N.S.")</f>
        <v>5548.8380244029722</v>
      </c>
      <c r="AD128" s="4">
        <f ca="1">1.05*ECF[[#This Row],[Nsd (kN)]]/(ECF[[#This Row],[nE]]*PI()*ECF[[#This Row],[Ø (cm)]]^2/4)*10</f>
        <v>1.624706710729765</v>
      </c>
      <c r="AE128" s="4">
        <f ca="1">IF(ECF[[#This Row],[σ (MPa)]]&lt;INDEX(tipoEstaca[],MATCH($D$2,tipoEstaca[TIPO DE ESTACA],0),MATCH("σmáx (MPa)",tipoEstaca[#Headers],0)),0.4%*PI()*ECF[[#This Row],[Ø (cm)]]^2/4,"N.S.")</f>
        <v>45.238934211693021</v>
      </c>
      <c r="AF128" s="1">
        <f>INDEX(tipoEstaca[],MATCH($D$2,tipoEstaca[TIPO DE ESTACA],0),MATCH(ECF[[#Headers],[Comprimento (m)]],tipoEstaca[#Headers],0))</f>
        <v>4</v>
      </c>
      <c r="AG128" s="5">
        <f ca="1">ECF[[#This Row],[As,mín (cm²)]]/100^2*ECF[[#This Row],[Comprimento (m)]]*7850</f>
        <v>142.05025342471609</v>
      </c>
      <c r="AH128" s="4">
        <f ca="1">ECF[[#This Row],[nE]]*ECF[[#This Row],[Prof. (m)]]*ECF[[#This Row],[Ap (m²)]]</f>
        <v>24.881413816431163</v>
      </c>
      <c r="AI128" s="1">
        <f ca="1">IF(ECF[[#This Row],[nE]]=1,0,MAX(3*ECF[[#This Row],[Ø (cm)]],60))</f>
        <v>360</v>
      </c>
      <c r="AJ128" s="1">
        <f ca="1">IF(ECF[[#This Row],[nE]]=1,ECF[[#This Row],[Ø (cm)]]+2*10,MAX(1.5*ECF[[#This Row],[Ø (cm)]],ECF[[#This Row],[Ø (cm)]]+15))</f>
        <v>180</v>
      </c>
      <c r="AK128" s="1">
        <f ca="1">alturaUtil(ECF[[#This Row],[nE]],ECF[[#This Row],[Ø (cm)]],ECF[[#This Row],[e (cm)]],ECF[[#This Row],[ap,eq (cm)]])</f>
        <v>165</v>
      </c>
      <c r="AL128" s="1">
        <f ca="1">IFERROR(ECF[[#This Row],[d (cm)]]+arredondarParaCimaMultiplo5cm(MAX(5,SQRT(PI())/2*ECF[[#This Row],[Ø (cm)]]/5)),"N.S.")</f>
        <v>190</v>
      </c>
      <c r="AM128" s="5">
        <f ca="1">alpha(ECF[[#This Row],[nE]],ECF[[#This Row],[d (cm)]],ECF[[#This Row],[e (cm)]],ECF[[#This Row],[ap,eq (cm)]])</f>
        <v>45</v>
      </c>
      <c r="AN128" s="35">
        <f ca="1">IFERROR(ECF[[#This Row],[Nsd (kN)]]/(ECF[[#This Row],[Ap (cm²)]]*SIN(ECF[[#This Row],[α]])^2),"N.S.")</f>
        <v>1.3427801064714635</v>
      </c>
      <c r="AO128" s="35">
        <f ca="1">IFERROR(ECF[[#This Row],[Nsd (kN)]]/(ECF[[#This Row],[nE]]*PI()*ECF[[#This Row],[Ø (cm)]]^2/4*SIN(ECF[[#This Row],[α]])^2),"N.S.")</f>
        <v>0.21371009143039493</v>
      </c>
      <c r="AP128" s="4">
        <f ca="1">IFERROR(INDEX(grupoEstacas[],ECF[[#This Row],[nE]],MATCH("coef. Blévot",grupoEstacas[#Headers],0)),"N.S.")</f>
        <v>1.4</v>
      </c>
      <c r="AQ128" s="35">
        <f ca="1">IFERROR(ECF[[#This Row],[coef. Blévot]]*0.9*INDEX(tipoEstaca[],MATCH($D$2,tipoEstaca[TIPO DE ESTACA],0),MATCH("fcd (kN/cm²)",tipoEstaca[#Headers],0)),"N.S.")</f>
        <v>1.4000000000000001</v>
      </c>
      <c r="AR128" s="1" t="str">
        <f ca="1">IF(AND(ECF[[#This Row],[cd,b,pil (kN/cm²)]]&lt;=ECF[[#This Row],[cd,b,lim (kN/cm²)]],ECF[[#This Row],[cd,b,est (kN/cm²)]]&lt;=ECF[[#This Row],[cd,b,lim (kN/cm²)]]),"OK","ERRO")</f>
        <v>OK</v>
      </c>
      <c r="AS128" s="4">
        <f ca="1">As_lado(ECF[[#This Row],[nE]],ECF[[#This Row],[Nsd (kN)]],ECF[[#This Row],[d (cm)]],ECF[[#This Row],[e (cm)]],ECF[[#This Row],[ap,eq (cm)]])</f>
        <v>46.287500000000001</v>
      </c>
      <c r="AT128" s="4">
        <f ca="1">IF(ECF[[#This Row],[nE]]=1,ECF[[#This Row],[As,lado (cm²)]],IF(ECF[[#This Row],[nE]]=2,0.075*2*ECF[a (cm)],"N.A."))</f>
        <v>27</v>
      </c>
      <c r="AU128" s="4">
        <f ca="1">IFERROR(IF(ECF[[#This Row],[nE]]=1,"N.A.",0.2*ECF[[#This Row],[As,lado (cm²)]]),"N.S.")</f>
        <v>9.2575000000000003</v>
      </c>
      <c r="AV128" s="4" t="str">
        <f ca="1">As_malha(ECF[[#This Row],[nE]],ECF[[#This Row],[As,lado (cm²)]],ECF[[#This Row],[Nsd (kN)]])</f>
        <v>N.A.</v>
      </c>
      <c r="AW128" s="4" t="str">
        <f ca="1">As_susp_tot(ECF[[#This Row],[nE]],ECF[[#This Row],[Nsd (kN)]])</f>
        <v>N.A.</v>
      </c>
      <c r="AX128" s="4" t="str">
        <f ca="1">Asp_face(ECF[[#This Row],[nE]],ECF[[#This Row],[As,lado (cm²)]])</f>
        <v>N.A.</v>
      </c>
      <c r="AY128" s="5">
        <f ca="1">acoBloco(ECF[[#This Row],[nE]],ECF[[#This Row],[e (cm)]],ECF[[#This Row],[a (cm)]],ECF[[#This Row],[h (cm)]],ECF[[#This Row],[As,lado (cm²)]],ECF[[#This Row],[Asp e Asw (cm²/m)]],ECF[[#This Row],[As,sup (cm²)]],ECF[[#This Row],[As,malha (cm²)]],ECF[[#This Row],[As,susp,tot (cm²)]],ECF[[#This Row],[Asp,face (cm²)]])</f>
        <v>2862.4271399999998</v>
      </c>
      <c r="AZ128" s="4">
        <f ca="1">concretoBloco(ECF[[#This Row],[nE]],ECF[[#This Row],[e (cm)]],ECF[[#This Row],[a (cm)]],ECF[[#This Row],[h (cm)]])</f>
        <v>49.247999999999998</v>
      </c>
      <c r="BA128" s="5">
        <f ca="1">SUM(ECF[[#This Row],[Aço Est (kg)]],ECF[[#This Row],[Aço Bloco (kg)]])</f>
        <v>3004.477393424716</v>
      </c>
      <c r="BB128" s="4">
        <f>INDEX(composicoes[],MATCH(95580,composicoes[CÓDIGO],0),MATCH("CUSTO TOTAL",composicoes[#Headers],0))</f>
        <v>10.46</v>
      </c>
      <c r="BC128" s="4">
        <f ca="1">SUM(ECF[[#This Row],[Conc Est (m³)]],ECF[[#This Row],[Conc Bloco (m³)]])</f>
        <v>74.129413816431168</v>
      </c>
      <c r="BD128" s="4">
        <f>INDEX(composicoes[],MATCH(94966,composicoes[CÓDIGO],0),MATCH("CUSTO TOTAL",composicoes[#Headers],0))</f>
        <v>439.52</v>
      </c>
      <c r="BE128" s="38">
        <f ca="1">ECF[[#This Row],[Aço (kg)]]*ECF[[#This Row],[Aço (R$/kg)]]+ECF[[#This Row],[Conc (m³)]]*ECF[[#This Row],[Conc (R$/m³)]]</f>
        <v>64008.193495820364</v>
      </c>
      <c r="BF128" s="4" t="str">
        <f ca="1">IF(COUNTIF(ECF[#This Row],"N.S.")&gt;0,"lim.","OK")</f>
        <v>OK</v>
      </c>
      <c r="BG128" s="4" t="str">
        <f>IF(ECF[[#This Row],[Prof. (m)]]&lt;4,"lim.","OK")</f>
        <v>OK</v>
      </c>
      <c r="BH128" s="4" t="str">
        <f>IF(ECF[[#This Row],[Prof. (m)]]&gt;=8*ECF[[#This Row],[Ø (cm)]]/100,"OK","lim.")</f>
        <v>OK</v>
      </c>
      <c r="BI128" s="4" t="str">
        <f>IF(AND(SPT!$F$3&lt;&gt;"",ECF[[#This Row],[Prof. (m)]]&gt;=SPT!$F$3-2),"lim.","OK")</f>
        <v>OK</v>
      </c>
      <c r="BJ128" s="4" t="str">
        <f ca="1">IF(ECF[[#This Row],[Verif. Biela]]="OK","OK","lim.")</f>
        <v>OK</v>
      </c>
      <c r="BK128" s="4" t="str">
        <f ca="1">IF(COUNTA(ECF[[#This Row],[Nº Est.]:[Biela comp.]])=COUNTIF(ECF[[#This Row],[Nº Est.]:[Biela comp.]],"OK"),"OK","lim.")</f>
        <v>OK</v>
      </c>
      <c r="BL128" s="4" t="str">
        <f ca="1">IF(ECF[[#This Row],[Controle]]="OK",ECF[[#This Row],[nE]]&amp;" Ø"&amp;ECF[[#This Row],[Ø (cm)]]&amp;"cm Prof. "&amp;ECF[[#This Row],[Prof. (m)]]&amp;" m","")</f>
        <v>2 Ø120cm Prof. 11 m</v>
      </c>
      <c r="BM128" s="4" t="str">
        <f ca="1">IF(ECF[[#This Row],[idDimensionamento]]="","",ECF[[#This Row],[idPilar]]&amp;ECF[[#This Row],[idDimensionamento]])</f>
        <v>12 Ø120cm Prof. 11 m</v>
      </c>
    </row>
    <row r="129" spans="2:65" x14ac:dyDescent="0.25">
      <c r="B129" s="12">
        <f>ROUNDUP((ROW(ECF[[#This Row],[idDiâmetro]])-ROW(ECF[[#Headers],[idDiâmetro]]))/(COUNT(SPT[Prof. (m)])*COUNT(PILARES[Pilar])),0)</f>
        <v>5</v>
      </c>
      <c r="C129" s="12">
        <f>IF(ECF[[#This Row],[idDiâmetro]]&lt;&gt;B128,1,IF(ECF[[#This Row],[Prof. (m)]]=0,C128+1,C128))</f>
        <v>1</v>
      </c>
      <c r="D129" s="1">
        <f>IFERROR(IF(D128=MAX(SPT[Prof. (m)]),0,D128+1),0)</f>
        <v>12</v>
      </c>
      <c r="E129" s="1">
        <f>INDEX(SPT[],MATCH(ECF[[#This Row],[Prof. (m)]],SPT[Prof. (m)],0),2)</f>
        <v>52</v>
      </c>
      <c r="F129" s="1" t="str">
        <f>INDEX(SPT[],MATCH(ECF[[#This Row],[Prof. (m)]],SPT[Prof. (m)],0),3)</f>
        <v>Areia siltosa</v>
      </c>
      <c r="G129" s="1">
        <f>INDEX(estacas[],ECF[[#This Row],[idDiâmetro]],MATCH($B$2,estacas[#Headers],0))</f>
        <v>120</v>
      </c>
      <c r="H129" s="1">
        <f>INDEX(estacas[],MATCH(ECF[[#This Row],[Ø (cm)]],estacas[Ø ECF (cm)],0),MATCH(ECF[[#Headers],[Pe ECF (kN)]],estacas[#Headers],0))</f>
        <v>4500</v>
      </c>
      <c r="I129" s="4">
        <f>INDEX(K_alpha_C[],MATCH(ECF[[#This Row],[Solo]],K_alpha_C[Solo],0),2)</f>
        <v>0.8</v>
      </c>
      <c r="J129" s="5">
        <f>INDEX(K_alpha_C[],MATCH(ECF[[#This Row],[Solo]],K_alpha_C[Solo],0),3)</f>
        <v>2</v>
      </c>
      <c r="K129" s="4">
        <f>INDEX(F1_F2[],MATCH($D$2,F1_F2[Tipo de estaca],0),2)</f>
        <v>3</v>
      </c>
      <c r="L129" s="4">
        <f>INDEX(F1_F2[],MATCH($D$2,F1_F2[Tipo de estaca],0),3)</f>
        <v>6</v>
      </c>
      <c r="M129" s="4">
        <f>PI()*(ECF[[#This Row],[Ø (cm)]]/100)^2/4</f>
        <v>1.1309733552923256</v>
      </c>
      <c r="N129" s="4">
        <f>PI()*ECF[[#This Row],[Ø (cm)]]/100</f>
        <v>3.7699111843077513</v>
      </c>
      <c r="O129" s="4">
        <f>IF(ECF[[#This Row],[Prof. (m)]]=0,0,ECF[[#This Row],[α (%)]]/100*ECF[[#This Row],[K (MPa)]]*1000*ECF[[#This Row],[NSPT]])</f>
        <v>832</v>
      </c>
      <c r="P129" s="4">
        <f>IF(ECF[[#This Row],[Prof. (m)]]=0,0,(ECF[[#This Row],[K (MPa)]]*1000*ECF[[#This Row],[NSPT]]/ECF[[#This Row],[F1]]*ECF[[#This Row],[Ap (m²)]]+ECF[[#This Row],[U (m)]]/ECF[[#This Row],[F2]]*SUMIFS(ECF[(α∙K∙NL∙ΔL)],ECF[Prof. (m)],"&lt;="&amp;ECF[[#This Row],[Prof. (m)]],ECF[idDiâmetro],ECF[[#This Row],[idDiâmetro]],ECF[idPilar],ECF[[#This Row],[idPilar]]))/'DADOS CAP. CARGA'!$D$2)</f>
        <v>8914.5518978998607</v>
      </c>
      <c r="Q129" s="12">
        <f>INDEX(C_alpha_beta[],MATCH(ECF[[#This Row],[Solo]],C_alpha_beta[Solo],0),MATCH(ECF[[#Headers],[C (kPa)]],C_alpha_beta[#Headers],0))</f>
        <v>400</v>
      </c>
      <c r="R129" s="4">
        <f>INDEX(C_alpha_beta[],MATCH(ECF[[#This Row],[Solo]],C_alpha_beta[Solo],0),MATCH(ECF[[#Headers],[α ESF]],C_alpha_beta[#Headers],0))</f>
        <v>0.5</v>
      </c>
      <c r="S129" s="4">
        <f>INDEX(C_alpha_beta[],MATCH(ECF[[#This Row],[Solo]],C_alpha_beta[Solo],0),MATCH(ECF[[#Headers],[β ESF]],C_alpha_beta[#Headers],0))</f>
        <v>0.5</v>
      </c>
      <c r="T129" s="4">
        <f>IF(ECF[[#This Row],[Prof. (m)]]=0,0,10*(ECF[[#This Row],[NSPT]]/3+1))</f>
        <v>183.33333333333331</v>
      </c>
      <c r="U129" s="4">
        <f>(ECF[[#This Row],[α ESF]]*ECF[[#This Row],[C (kPa)]]*ECF[[#This Row],[NSPT]]*ECF[[#This Row],[Ap (m²)]])/'DADOS CAP. CARGA'!$Q$2+(ECF[[#This Row],[β ESF]]*SUMIFS(ECF[10∙(NL/3+1)],ECF[Prof. (m)],"&lt;="&amp;ECF[[#This Row],[Prof. (m)]],ECF[idDiâmetro],ECF[[#This Row],[idDiâmetro]],ECF[idPilar],ECF[[#This Row],[idPilar]])*ECF[[#This Row],[U (m)]])/'DADOS CAP. CARGA'!$S$2</f>
        <v>3754.2032210398029</v>
      </c>
      <c r="V129" s="4">
        <f>IF(SPT!$M$5=1,MIN(ECF[[#This Row],[Pe ECF (kN)]],ECF[[#This Row],[R_AV (kN)]]),IF(SPT!$M$5=2,MIN(ECF[[#This Row],[Pe ECF (kN)]],ECF[[#This Row],[R_DC (kN)]]),MIN(ECF[[#This Row],[Pe ECF (kN)]],ECF[[#This Row],[R_AV (kN)]],ECF[[#This Row],[R_DC (kN)]])))</f>
        <v>3754.2032210398029</v>
      </c>
      <c r="W129" s="4">
        <f>INDEX(PILARES[],ECF[[#This Row],[idPilar]],MATCH("Carga (kN)",PILARES[#Headers],0))*1.4</f>
        <v>3500</v>
      </c>
      <c r="X129" s="12">
        <f>INDEX(PILARES[],ECF[[#This Row],[idPilar]],MATCH(ECF[[#Headers],[ap (cm)]],PILARES[#Headers],0))</f>
        <v>60</v>
      </c>
      <c r="Y129" s="12">
        <f>INDEX(PILARES[],ECF[[#This Row],[idPilar]],MATCH(ECF[[#Headers],[bp (cm)]],PILARES[#Headers],0))</f>
        <v>60</v>
      </c>
      <c r="Z129" s="4">
        <f>SQRT(ECF[[#This Row],[ap (cm)]]*ECF[[#This Row],[bp (cm)]])</f>
        <v>60</v>
      </c>
      <c r="AA129" s="12">
        <f>ECF[[#This Row],[ap (cm)]]*ECF[[#This Row],[bp (cm)]]</f>
        <v>3600</v>
      </c>
      <c r="AB129" s="12">
        <f ca="1">IF(ECF[[#This Row],[Padm∙ε (kN)]]&gt;=ECF[[#This Row],[Padm (kN)]],ROUNDUP(1.05*ECF[[#This Row],[Nsd (kN)]]/ECF[[#This Row],[Padm (kN)]],0),ROUNDUP(1.05*ECF[[#This Row],[Nsd (kN)]]/ECF[[#This Row],[Padm (kN)]],0)+1)</f>
        <v>1</v>
      </c>
      <c r="AC129" s="4">
        <f ca="1">IFERROR(IF(ECF[[#This Row],[nE]]=1,ECF[[#This Row],[Padm (kN)]],ECF[[#This Row],[Padm (kN)]]*ECF[[#This Row],[nE]]*INDEX(grupoEstacas[],ECF[[#This Row],[nE]],MATCH("ε",grupoEstacas[#Headers],0))),"N.S.")</f>
        <v>3754.2032210398029</v>
      </c>
      <c r="AD129" s="4">
        <f ca="1">1.05*ECF[[#This Row],[Nsd (kN)]]/(ECF[[#This Row],[nE]]*PI()*ECF[[#This Row],[Ø (cm)]]^2/4)*10</f>
        <v>3.24941342145953</v>
      </c>
      <c r="AE129" s="4">
        <f ca="1">IF(ECF[[#This Row],[σ (MPa)]]&lt;INDEX(tipoEstaca[],MATCH($D$2,tipoEstaca[TIPO DE ESTACA],0),MATCH("σmáx (MPa)",tipoEstaca[#Headers],0)),0.4%*PI()*ECF[[#This Row],[Ø (cm)]]^2/4,"N.S.")</f>
        <v>45.238934211693021</v>
      </c>
      <c r="AF129" s="1">
        <f>INDEX(tipoEstaca[],MATCH($D$2,tipoEstaca[TIPO DE ESTACA],0),MATCH(ECF[[#Headers],[Comprimento (m)]],tipoEstaca[#Headers],0))</f>
        <v>4</v>
      </c>
      <c r="AG129" s="5">
        <f ca="1">ECF[[#This Row],[As,mín (cm²)]]/100^2*ECF[[#This Row],[Comprimento (m)]]*7850</f>
        <v>142.05025342471609</v>
      </c>
      <c r="AH129" s="4">
        <f ca="1">ECF[[#This Row],[nE]]*ECF[[#This Row],[Prof. (m)]]*ECF[[#This Row],[Ap (m²)]]</f>
        <v>13.571680263507908</v>
      </c>
      <c r="AI129" s="1">
        <f ca="1">IF(ECF[[#This Row],[nE]]=1,0,MAX(3*ECF[[#This Row],[Ø (cm)]],60))</f>
        <v>0</v>
      </c>
      <c r="AJ129" s="1">
        <f ca="1">IF(ECF[[#This Row],[nE]]=1,ECF[[#This Row],[Ø (cm)]]+2*10,MAX(1.5*ECF[[#This Row],[Ø (cm)]],ECF[[#This Row],[Ø (cm)]]+15))</f>
        <v>140</v>
      </c>
      <c r="AK129" s="1">
        <f ca="1">alturaUtil(ECF[[#This Row],[nE]],ECF[[#This Row],[Ø (cm)]],ECF[[#This Row],[e (cm)]],ECF[[#This Row],[ap,eq (cm)]])</f>
        <v>145</v>
      </c>
      <c r="AL129" s="1">
        <f ca="1">IFERROR(ECF[[#This Row],[d (cm)]]+arredondarParaCimaMultiplo5cm(MAX(5,SQRT(PI())/2*ECF[[#This Row],[Ø (cm)]]/5)),"N.S.")</f>
        <v>170</v>
      </c>
      <c r="AM129" s="5">
        <f ca="1">alpha(ECF[[#This Row],[nE]],ECF[[#This Row],[d (cm)]],ECF[[#This Row],[e (cm)]],ECF[[#This Row],[ap,eq (cm)]])</f>
        <v>90</v>
      </c>
      <c r="AN129" s="35">
        <f ca="1">IFERROR(ECF[[#This Row],[Nsd (kN)]]/(ECF[[#This Row],[Ap (cm²)]]*SIN(ECF[[#This Row],[α]])^2),"N.S.")</f>
        <v>1.2164485570105679</v>
      </c>
      <c r="AO129" s="35">
        <f ca="1">IFERROR(ECF[[#This Row],[Nsd (kN)]]/(ECF[[#This Row],[nE]]*PI()*ECF[[#This Row],[Ø (cm)]]^2/4*SIN(ECF[[#This Row],[α]])^2),"N.S.")</f>
        <v>0.38720760173047036</v>
      </c>
      <c r="AP129" s="4">
        <f ca="1">IFERROR(INDEX(grupoEstacas[],ECF[[#This Row],[nE]],MATCH("coef. Blévot",grupoEstacas[#Headers],0)),"N.S.")</f>
        <v>1</v>
      </c>
      <c r="AQ129" s="35">
        <f ca="1">IFERROR(ECF[[#This Row],[coef. Blévot]]*0.9*INDEX(tipoEstaca[],MATCH($D$2,tipoEstaca[TIPO DE ESTACA],0),MATCH("fcd (kN/cm²)",tipoEstaca[#Headers],0)),"N.S.")</f>
        <v>1</v>
      </c>
      <c r="AR129" s="1" t="str">
        <f ca="1">IF(AND(ECF[[#This Row],[cd,b,pil (kN/cm²)]]&lt;=ECF[[#This Row],[cd,b,lim (kN/cm²)]],ECF[[#This Row],[cd,b,est (kN/cm²)]]&lt;=ECF[[#This Row],[cd,b,lim (kN/cm²)]]),"OK","ERRO")</f>
        <v>ERRO</v>
      </c>
      <c r="AS129" s="4">
        <f ca="1">As_lado(ECF[[#This Row],[nE]],ECF[[#This Row],[Nsd (kN)]],ECF[[#This Row],[d (cm)]],ECF[[#This Row],[e (cm)]],ECF[[#This Row],[ap,eq (cm)]])</f>
        <v>20.125</v>
      </c>
      <c r="AT129" s="4">
        <f ca="1">IF(ECF[[#This Row],[nE]]=1,ECF[[#This Row],[As,lado (cm²)]],IF(ECF[[#This Row],[nE]]=2,0.075*2*ECF[a (cm)],"N.A."))</f>
        <v>20.125</v>
      </c>
      <c r="AU129" s="4" t="str">
        <f ca="1">IFERROR(IF(ECF[[#This Row],[nE]]=1,"N.A.",0.2*ECF[[#This Row],[As,lado (cm²)]]),"N.S.")</f>
        <v>N.A.</v>
      </c>
      <c r="AV129" s="4" t="str">
        <f ca="1">As_malha(ECF[[#This Row],[nE]],ECF[[#This Row],[As,lado (cm²)]],ECF[[#This Row],[Nsd (kN)]])</f>
        <v>N.A.</v>
      </c>
      <c r="AW129" s="4" t="str">
        <f ca="1">As_susp_tot(ECF[[#This Row],[nE]],ECF[[#This Row],[Nsd (kN)]])</f>
        <v>N.A.</v>
      </c>
      <c r="AX129" s="4" t="str">
        <f ca="1">Asp_face(ECF[[#This Row],[nE]],ECF[[#This Row],[As,lado (cm²)]])</f>
        <v>N.A.</v>
      </c>
      <c r="AY129" s="5">
        <f ca="1">acoBloco(ECF[[#This Row],[nE]],ECF[[#This Row],[e (cm)]],ECF[[#This Row],[a (cm)]],ECF[[#This Row],[h (cm)]],ECF[[#This Row],[As,lado (cm²)]],ECF[[#This Row],[Asp e Asw (cm²/m)]],ECF[[#This Row],[As,sup (cm²)]],ECF[[#This Row],[As,malha (cm²)]],ECF[[#This Row],[As,susp,tot (cm²)]],ECF[[#This Row],[Asp,face (cm²)]])</f>
        <v>284.36624999999998</v>
      </c>
      <c r="AZ129" s="4">
        <f ca="1">concretoBloco(ECF[[#This Row],[nE]],ECF[[#This Row],[e (cm)]],ECF[[#This Row],[a (cm)]],ECF[[#This Row],[h (cm)]])</f>
        <v>3.3319999999999999</v>
      </c>
      <c r="BA129" s="5">
        <f ca="1">SUM(ECF[[#This Row],[Aço Est (kg)]],ECF[[#This Row],[Aço Bloco (kg)]])</f>
        <v>426.4165034247161</v>
      </c>
      <c r="BB129" s="4">
        <f>INDEX(composicoes[],MATCH(95580,composicoes[CÓDIGO],0),MATCH("CUSTO TOTAL",composicoes[#Headers],0))</f>
        <v>10.46</v>
      </c>
      <c r="BC129" s="4">
        <f ca="1">SUM(ECF[[#This Row],[Conc Est (m³)]],ECF[[#This Row],[Conc Bloco (m³)]])</f>
        <v>16.903680263507908</v>
      </c>
      <c r="BD129" s="4">
        <f>INDEX(composicoes[],MATCH(94966,composicoes[CÓDIGO],0),MATCH("CUSTO TOTAL",composicoes[#Headers],0))</f>
        <v>439.52</v>
      </c>
      <c r="BE129" s="38">
        <f ca="1">ECF[[#This Row],[Aço (kg)]]*ECF[[#This Row],[Aço (R$/kg)]]+ECF[[#This Row],[Conc (m³)]]*ECF[[#This Row],[Conc (R$/m³)]]</f>
        <v>11889.822175239526</v>
      </c>
      <c r="BF129" s="4" t="str">
        <f ca="1">IF(COUNTIF(ECF[#This Row],"N.S.")&gt;0,"lim.","OK")</f>
        <v>OK</v>
      </c>
      <c r="BG129" s="4" t="str">
        <f>IF(ECF[[#This Row],[Prof. (m)]]&lt;4,"lim.","OK")</f>
        <v>OK</v>
      </c>
      <c r="BH129" s="4" t="str">
        <f>IF(ECF[[#This Row],[Prof. (m)]]&gt;=8*ECF[[#This Row],[Ø (cm)]]/100,"OK","lim.")</f>
        <v>OK</v>
      </c>
      <c r="BI129" s="4" t="str">
        <f>IF(AND(SPT!$F$3&lt;&gt;"",ECF[[#This Row],[Prof. (m)]]&gt;=SPT!$F$3-2),"lim.","OK")</f>
        <v>OK</v>
      </c>
      <c r="BJ129" s="4" t="str">
        <f ca="1">IF(ECF[[#This Row],[Verif. Biela]]="OK","OK","lim.")</f>
        <v>lim.</v>
      </c>
      <c r="BK129" s="4" t="str">
        <f ca="1">IF(COUNTA(ECF[[#This Row],[Nº Est.]:[Biela comp.]])=COUNTIF(ECF[[#This Row],[Nº Est.]:[Biela comp.]],"OK"),"OK","lim.")</f>
        <v>lim.</v>
      </c>
      <c r="BL129" s="4" t="str">
        <f ca="1">IF(ECF[[#This Row],[Controle]]="OK",ECF[[#This Row],[nE]]&amp;" Ø"&amp;ECF[[#This Row],[Ø (cm)]]&amp;"cm Prof. "&amp;ECF[[#This Row],[Prof. (m)]]&amp;" m","")</f>
        <v/>
      </c>
      <c r="BM129" s="4" t="str">
        <f ca="1">IF(ECF[[#This Row],[idDimensionamento]]="","",ECF[[#This Row],[idPilar]]&amp;ECF[[#This Row],[idDimensionamento]])</f>
        <v/>
      </c>
    </row>
    <row r="130" spans="2:65" x14ac:dyDescent="0.25">
      <c r="B130" s="12">
        <f>ROUNDUP((ROW(ECF[[#This Row],[idDiâmetro]])-ROW(ECF[[#Headers],[idDiâmetro]]))/(COUNT(SPT[Prof. (m)])*COUNT(PILARES[Pilar])),0)</f>
        <v>5</v>
      </c>
      <c r="C130" s="12">
        <f>IF(ECF[[#This Row],[idDiâmetro]]&lt;&gt;B129,1,IF(ECF[[#This Row],[Prof. (m)]]=0,C129+1,C129))</f>
        <v>1</v>
      </c>
      <c r="D130" s="1">
        <f>IFERROR(IF(D129=MAX(SPT[Prof. (m)]),0,D129+1),0)</f>
        <v>13</v>
      </c>
      <c r="E130" s="1">
        <f>INDEX(SPT[],MATCH(ECF[[#This Row],[Prof. (m)]],SPT[Prof. (m)],0),2)</f>
        <v>68</v>
      </c>
      <c r="F130" s="1" t="str">
        <f>INDEX(SPT[],MATCH(ECF[[#This Row],[Prof. (m)]],SPT[Prof. (m)],0),3)</f>
        <v>Areia siltosa</v>
      </c>
      <c r="G130" s="1">
        <f>INDEX(estacas[],ECF[[#This Row],[idDiâmetro]],MATCH($B$2,estacas[#Headers],0))</f>
        <v>120</v>
      </c>
      <c r="H130" s="1">
        <f>INDEX(estacas[],MATCH(ECF[[#This Row],[Ø (cm)]],estacas[Ø ECF (cm)],0),MATCH(ECF[[#Headers],[Pe ECF (kN)]],estacas[#Headers],0))</f>
        <v>4500</v>
      </c>
      <c r="I130" s="4">
        <f>INDEX(K_alpha_C[],MATCH(ECF[[#This Row],[Solo]],K_alpha_C[Solo],0),2)</f>
        <v>0.8</v>
      </c>
      <c r="J130" s="5">
        <f>INDEX(K_alpha_C[],MATCH(ECF[[#This Row],[Solo]],K_alpha_C[Solo],0),3)</f>
        <v>2</v>
      </c>
      <c r="K130" s="4">
        <f>INDEX(F1_F2[],MATCH($D$2,F1_F2[Tipo de estaca],0),2)</f>
        <v>3</v>
      </c>
      <c r="L130" s="4">
        <f>INDEX(F1_F2[],MATCH($D$2,F1_F2[Tipo de estaca],0),3)</f>
        <v>6</v>
      </c>
      <c r="M130" s="4">
        <f>PI()*(ECF[[#This Row],[Ø (cm)]]/100)^2/4</f>
        <v>1.1309733552923256</v>
      </c>
      <c r="N130" s="4">
        <f>PI()*ECF[[#This Row],[Ø (cm)]]/100</f>
        <v>3.7699111843077513</v>
      </c>
      <c r="O130" s="4">
        <f>IF(ECF[[#This Row],[Prof. (m)]]=0,0,ECF[[#This Row],[α (%)]]/100*ECF[[#This Row],[K (MPa)]]*1000*ECF[[#This Row],[NSPT]])</f>
        <v>1088</v>
      </c>
      <c r="P130" s="4">
        <f>IF(ECF[[#This Row],[Prof. (m)]]=0,0,(ECF[[#This Row],[K (MPa)]]*1000*ECF[[#This Row],[NSPT]]/ECF[[#This Row],[F1]]*ECF[[#This Row],[Ap (m²)]]+ECF[[#This Row],[U (m)]]/ECF[[#This Row],[F2]]*SUMIFS(ECF[(α∙K∙NL∙ΔL)],ECF[Prof. (m)],"&lt;="&amp;ECF[[#This Row],[Prof. (m)]],ECF[idDiâmetro],ECF[[#This Row],[idDiâmetro]],ECF[idPilar],ECF[[#This Row],[idPilar]]))/'DADOS CAP. CARGA'!$D$2)</f>
        <v>11669.100336567391</v>
      </c>
      <c r="Q130" s="12">
        <f>INDEX(C_alpha_beta[],MATCH(ECF[[#This Row],[Solo]],C_alpha_beta[Solo],0),MATCH(ECF[[#Headers],[C (kPa)]],C_alpha_beta[#Headers],0))</f>
        <v>400</v>
      </c>
      <c r="R130" s="4">
        <f>INDEX(C_alpha_beta[],MATCH(ECF[[#This Row],[Solo]],C_alpha_beta[Solo],0),MATCH(ECF[[#Headers],[α ESF]],C_alpha_beta[#Headers],0))</f>
        <v>0.5</v>
      </c>
      <c r="S130" s="4">
        <f>INDEX(C_alpha_beta[],MATCH(ECF[[#This Row],[Solo]],C_alpha_beta[Solo],0),MATCH(ECF[[#Headers],[β ESF]],C_alpha_beta[#Headers],0))</f>
        <v>0.5</v>
      </c>
      <c r="T130" s="4">
        <f>IF(ECF[[#This Row],[Prof. (m)]]=0,0,10*(ECF[[#This Row],[NSPT]]/3+1))</f>
        <v>236.66666666666669</v>
      </c>
      <c r="U130" s="4">
        <f>(ECF[[#This Row],[α ESF]]*ECF[[#This Row],[C (kPa)]]*ECF[[#This Row],[NSPT]]*ECF[[#This Row],[Ap (m²)]])/'DADOS CAP. CARGA'!$Q$2+(ECF[[#This Row],[β ESF]]*SUMIFS(ECF[10∙(NL/3+1)],ECF[Prof. (m)],"&lt;="&amp;ECF[[#This Row],[Prof. (m)]],ECF[idDiâmetro],ECF[[#This Row],[idDiâmetro]],ECF[idPilar],ECF[[#This Row],[idPilar]])*ECF[[#This Row],[U (m)]])/'DADOS CAP. CARGA'!$S$2</f>
        <v>4882.034983678539</v>
      </c>
      <c r="V130" s="4">
        <f>IF(SPT!$M$5=1,MIN(ECF[[#This Row],[Pe ECF (kN)]],ECF[[#This Row],[R_AV (kN)]]),IF(SPT!$M$5=2,MIN(ECF[[#This Row],[Pe ECF (kN)]],ECF[[#This Row],[R_DC (kN)]]),MIN(ECF[[#This Row],[Pe ECF (kN)]],ECF[[#This Row],[R_AV (kN)]],ECF[[#This Row],[R_DC (kN)]])))</f>
        <v>4500</v>
      </c>
      <c r="W130" s="4">
        <f>INDEX(PILARES[],ECF[[#This Row],[idPilar]],MATCH("Carga (kN)",PILARES[#Headers],0))*1.4</f>
        <v>3500</v>
      </c>
      <c r="X130" s="12">
        <f>INDEX(PILARES[],ECF[[#This Row],[idPilar]],MATCH(ECF[[#Headers],[ap (cm)]],PILARES[#Headers],0))</f>
        <v>60</v>
      </c>
      <c r="Y130" s="12">
        <f>INDEX(PILARES[],ECF[[#This Row],[idPilar]],MATCH(ECF[[#Headers],[bp (cm)]],PILARES[#Headers],0))</f>
        <v>60</v>
      </c>
      <c r="Z130" s="4">
        <f>SQRT(ECF[[#This Row],[ap (cm)]]*ECF[[#This Row],[bp (cm)]])</f>
        <v>60</v>
      </c>
      <c r="AA130" s="12">
        <f>ECF[[#This Row],[ap (cm)]]*ECF[[#This Row],[bp (cm)]]</f>
        <v>3600</v>
      </c>
      <c r="AB130" s="12">
        <f ca="1">IF(ECF[[#This Row],[Padm∙ε (kN)]]&gt;=ECF[[#This Row],[Padm (kN)]],ROUNDUP(1.05*ECF[[#This Row],[Nsd (kN)]]/ECF[[#This Row],[Padm (kN)]],0),ROUNDUP(1.05*ECF[[#This Row],[Nsd (kN)]]/ECF[[#This Row],[Padm (kN)]],0)+1)</f>
        <v>1</v>
      </c>
      <c r="AC130" s="4">
        <f ca="1">IFERROR(IF(ECF[[#This Row],[nE]]=1,ECF[[#This Row],[Padm (kN)]],ECF[[#This Row],[Padm (kN)]]*ECF[[#This Row],[nE]]*INDEX(grupoEstacas[],ECF[[#This Row],[nE]],MATCH("ε",grupoEstacas[#Headers],0))),"N.S.")</f>
        <v>4500</v>
      </c>
      <c r="AD130" s="4">
        <f ca="1">1.05*ECF[[#This Row],[Nsd (kN)]]/(ECF[[#This Row],[nE]]*PI()*ECF[[#This Row],[Ø (cm)]]^2/4)*10</f>
        <v>3.24941342145953</v>
      </c>
      <c r="AE130" s="4">
        <f ca="1">IF(ECF[[#This Row],[σ (MPa)]]&lt;INDEX(tipoEstaca[],MATCH($D$2,tipoEstaca[TIPO DE ESTACA],0),MATCH("σmáx (MPa)",tipoEstaca[#Headers],0)),0.4%*PI()*ECF[[#This Row],[Ø (cm)]]^2/4,"N.S.")</f>
        <v>45.238934211693021</v>
      </c>
      <c r="AF130" s="1">
        <f>INDEX(tipoEstaca[],MATCH($D$2,tipoEstaca[TIPO DE ESTACA],0),MATCH(ECF[[#Headers],[Comprimento (m)]],tipoEstaca[#Headers],0))</f>
        <v>4</v>
      </c>
      <c r="AG130" s="5">
        <f ca="1">ECF[[#This Row],[As,mín (cm²)]]/100^2*ECF[[#This Row],[Comprimento (m)]]*7850</f>
        <v>142.05025342471609</v>
      </c>
      <c r="AH130" s="4">
        <f ca="1">ECF[[#This Row],[nE]]*ECF[[#This Row],[Prof. (m)]]*ECF[[#This Row],[Ap (m²)]]</f>
        <v>14.702653618800232</v>
      </c>
      <c r="AI130" s="1">
        <f ca="1">IF(ECF[[#This Row],[nE]]=1,0,MAX(3*ECF[[#This Row],[Ø (cm)]],60))</f>
        <v>0</v>
      </c>
      <c r="AJ130" s="1">
        <f ca="1">IF(ECF[[#This Row],[nE]]=1,ECF[[#This Row],[Ø (cm)]]+2*10,MAX(1.5*ECF[[#This Row],[Ø (cm)]],ECF[[#This Row],[Ø (cm)]]+15))</f>
        <v>140</v>
      </c>
      <c r="AK130" s="1">
        <f ca="1">alturaUtil(ECF[[#This Row],[nE]],ECF[[#This Row],[Ø (cm)]],ECF[[#This Row],[e (cm)]],ECF[[#This Row],[ap,eq (cm)]])</f>
        <v>145</v>
      </c>
      <c r="AL130" s="1">
        <f ca="1">IFERROR(ECF[[#This Row],[d (cm)]]+arredondarParaCimaMultiplo5cm(MAX(5,SQRT(PI())/2*ECF[[#This Row],[Ø (cm)]]/5)),"N.S.")</f>
        <v>170</v>
      </c>
      <c r="AM130" s="5">
        <f ca="1">alpha(ECF[[#This Row],[nE]],ECF[[#This Row],[d (cm)]],ECF[[#This Row],[e (cm)]],ECF[[#This Row],[ap,eq (cm)]])</f>
        <v>90</v>
      </c>
      <c r="AN130" s="35">
        <f ca="1">IFERROR(ECF[[#This Row],[Nsd (kN)]]/(ECF[[#This Row],[Ap (cm²)]]*SIN(ECF[[#This Row],[α]])^2),"N.S.")</f>
        <v>1.2164485570105679</v>
      </c>
      <c r="AO130" s="35">
        <f ca="1">IFERROR(ECF[[#This Row],[Nsd (kN)]]/(ECF[[#This Row],[nE]]*PI()*ECF[[#This Row],[Ø (cm)]]^2/4*SIN(ECF[[#This Row],[α]])^2),"N.S.")</f>
        <v>0.38720760173047036</v>
      </c>
      <c r="AP130" s="4">
        <f ca="1">IFERROR(INDEX(grupoEstacas[],ECF[[#This Row],[nE]],MATCH("coef. Blévot",grupoEstacas[#Headers],0)),"N.S.")</f>
        <v>1</v>
      </c>
      <c r="AQ130" s="35">
        <f ca="1">IFERROR(ECF[[#This Row],[coef. Blévot]]*0.9*INDEX(tipoEstaca[],MATCH($D$2,tipoEstaca[TIPO DE ESTACA],0),MATCH("fcd (kN/cm²)",tipoEstaca[#Headers],0)),"N.S.")</f>
        <v>1</v>
      </c>
      <c r="AR130" s="1" t="str">
        <f ca="1">IF(AND(ECF[[#This Row],[cd,b,pil (kN/cm²)]]&lt;=ECF[[#This Row],[cd,b,lim (kN/cm²)]],ECF[[#This Row],[cd,b,est (kN/cm²)]]&lt;=ECF[[#This Row],[cd,b,lim (kN/cm²)]]),"OK","ERRO")</f>
        <v>ERRO</v>
      </c>
      <c r="AS130" s="4">
        <f ca="1">As_lado(ECF[[#This Row],[nE]],ECF[[#This Row],[Nsd (kN)]],ECF[[#This Row],[d (cm)]],ECF[[#This Row],[e (cm)]],ECF[[#This Row],[ap,eq (cm)]])</f>
        <v>20.125</v>
      </c>
      <c r="AT130" s="4">
        <f ca="1">IF(ECF[[#This Row],[nE]]=1,ECF[[#This Row],[As,lado (cm²)]],IF(ECF[[#This Row],[nE]]=2,0.075*2*ECF[a (cm)],"N.A."))</f>
        <v>20.125</v>
      </c>
      <c r="AU130" s="4" t="str">
        <f ca="1">IFERROR(IF(ECF[[#This Row],[nE]]=1,"N.A.",0.2*ECF[[#This Row],[As,lado (cm²)]]),"N.S.")</f>
        <v>N.A.</v>
      </c>
      <c r="AV130" s="4" t="str">
        <f ca="1">As_malha(ECF[[#This Row],[nE]],ECF[[#This Row],[As,lado (cm²)]],ECF[[#This Row],[Nsd (kN)]])</f>
        <v>N.A.</v>
      </c>
      <c r="AW130" s="4" t="str">
        <f ca="1">As_susp_tot(ECF[[#This Row],[nE]],ECF[[#This Row],[Nsd (kN)]])</f>
        <v>N.A.</v>
      </c>
      <c r="AX130" s="4" t="str">
        <f ca="1">Asp_face(ECF[[#This Row],[nE]],ECF[[#This Row],[As,lado (cm²)]])</f>
        <v>N.A.</v>
      </c>
      <c r="AY130" s="5">
        <f ca="1">acoBloco(ECF[[#This Row],[nE]],ECF[[#This Row],[e (cm)]],ECF[[#This Row],[a (cm)]],ECF[[#This Row],[h (cm)]],ECF[[#This Row],[As,lado (cm²)]],ECF[[#This Row],[Asp e Asw (cm²/m)]],ECF[[#This Row],[As,sup (cm²)]],ECF[[#This Row],[As,malha (cm²)]],ECF[[#This Row],[As,susp,tot (cm²)]],ECF[[#This Row],[Asp,face (cm²)]])</f>
        <v>284.36624999999998</v>
      </c>
      <c r="AZ130" s="4">
        <f ca="1">concretoBloco(ECF[[#This Row],[nE]],ECF[[#This Row],[e (cm)]],ECF[[#This Row],[a (cm)]],ECF[[#This Row],[h (cm)]])</f>
        <v>3.3319999999999999</v>
      </c>
      <c r="BA130" s="5">
        <f ca="1">SUM(ECF[[#This Row],[Aço Est (kg)]],ECF[[#This Row],[Aço Bloco (kg)]])</f>
        <v>426.4165034247161</v>
      </c>
      <c r="BB130" s="4">
        <f>INDEX(composicoes[],MATCH(95580,composicoes[CÓDIGO],0),MATCH("CUSTO TOTAL",composicoes[#Headers],0))</f>
        <v>10.46</v>
      </c>
      <c r="BC130" s="4">
        <f ca="1">SUM(ECF[[#This Row],[Conc Est (m³)]],ECF[[#This Row],[Conc Bloco (m³)]])</f>
        <v>18.034653618800231</v>
      </c>
      <c r="BD130" s="4">
        <f>INDEX(composicoes[],MATCH(94966,composicoes[CÓDIGO],0),MATCH("CUSTO TOTAL",composicoes[#Headers],0))</f>
        <v>439.52</v>
      </c>
      <c r="BE130" s="38">
        <f ca="1">ECF[[#This Row],[Aço (kg)]]*ECF[[#This Row],[Aço (R$/kg)]]+ECF[[#This Row],[Conc (m³)]]*ECF[[#This Row],[Conc (R$/m³)]]</f>
        <v>12386.907584357608</v>
      </c>
      <c r="BF130" s="4" t="str">
        <f ca="1">IF(COUNTIF(ECF[#This Row],"N.S.")&gt;0,"lim.","OK")</f>
        <v>OK</v>
      </c>
      <c r="BG130" s="4" t="str">
        <f>IF(ECF[[#This Row],[Prof. (m)]]&lt;4,"lim.","OK")</f>
        <v>OK</v>
      </c>
      <c r="BH130" s="4" t="str">
        <f>IF(ECF[[#This Row],[Prof. (m)]]&gt;=8*ECF[[#This Row],[Ø (cm)]]/100,"OK","lim.")</f>
        <v>OK</v>
      </c>
      <c r="BI130" s="4" t="str">
        <f>IF(AND(SPT!$F$3&lt;&gt;"",ECF[[#This Row],[Prof. (m)]]&gt;=SPT!$F$3-2),"lim.","OK")</f>
        <v>OK</v>
      </c>
      <c r="BJ130" s="4" t="str">
        <f ca="1">IF(ECF[[#This Row],[Verif. Biela]]="OK","OK","lim.")</f>
        <v>lim.</v>
      </c>
      <c r="BK130" s="4" t="str">
        <f ca="1">IF(COUNTA(ECF[[#This Row],[Nº Est.]:[Biela comp.]])=COUNTIF(ECF[[#This Row],[Nº Est.]:[Biela comp.]],"OK"),"OK","lim.")</f>
        <v>lim.</v>
      </c>
      <c r="BL130" s="4" t="str">
        <f ca="1">IF(ECF[[#This Row],[Controle]]="OK",ECF[[#This Row],[nE]]&amp;" Ø"&amp;ECF[[#This Row],[Ø (cm)]]&amp;"cm Prof. "&amp;ECF[[#This Row],[Prof. (m)]]&amp;" m","")</f>
        <v/>
      </c>
      <c r="BM130" s="4" t="str">
        <f ca="1">IF(ECF[[#This Row],[idDimensionamento]]="","",ECF[[#This Row],[idPilar]]&amp;ECF[[#This Row],[idDimensionamento]])</f>
        <v/>
      </c>
    </row>
    <row r="131" spans="2:65" x14ac:dyDescent="0.25">
      <c r="B131" s="12">
        <f>ROUNDUP((ROW(ECF[[#This Row],[idDiâmetro]])-ROW(ECF[[#Headers],[idDiâmetro]]))/(COUNT(SPT[Prof. (m)])*COUNT(PILARES[Pilar])),0)</f>
        <v>5</v>
      </c>
      <c r="C131" s="12">
        <f>IF(ECF[[#This Row],[idDiâmetro]]&lt;&gt;B130,1,IF(ECF[[#This Row],[Prof. (m)]]=0,C130+1,C130))</f>
        <v>2</v>
      </c>
      <c r="D131" s="1">
        <f>IFERROR(IF(D130=MAX(SPT[Prof. (m)]),0,D130+1),0)</f>
        <v>0</v>
      </c>
      <c r="E131" s="1">
        <f>INDEX(SPT[],MATCH(ECF[[#This Row],[Prof. (m)]],SPT[Prof. (m)],0),2)</f>
        <v>0</v>
      </c>
      <c r="F131" s="1" t="str">
        <f>INDEX(SPT[],MATCH(ECF[[#This Row],[Prof. (m)]],SPT[Prof. (m)],0),3)</f>
        <v>Areia siltosa</v>
      </c>
      <c r="G131" s="1">
        <f>INDEX(estacas[],ECF[[#This Row],[idDiâmetro]],MATCH($B$2,estacas[#Headers],0))</f>
        <v>120</v>
      </c>
      <c r="H131" s="1">
        <f>INDEX(estacas[],MATCH(ECF[[#This Row],[Ø (cm)]],estacas[Ø ECF (cm)],0),MATCH(ECF[[#Headers],[Pe ECF (kN)]],estacas[#Headers],0))</f>
        <v>4500</v>
      </c>
      <c r="I131" s="4">
        <f>INDEX(K_alpha_C[],MATCH(ECF[[#This Row],[Solo]],K_alpha_C[Solo],0),2)</f>
        <v>0.8</v>
      </c>
      <c r="J131" s="5">
        <f>INDEX(K_alpha_C[],MATCH(ECF[[#This Row],[Solo]],K_alpha_C[Solo],0),3)</f>
        <v>2</v>
      </c>
      <c r="K131" s="4">
        <f>INDEX(F1_F2[],MATCH($D$2,F1_F2[Tipo de estaca],0),2)</f>
        <v>3</v>
      </c>
      <c r="L131" s="4">
        <f>INDEX(F1_F2[],MATCH($D$2,F1_F2[Tipo de estaca],0),3)</f>
        <v>6</v>
      </c>
      <c r="M131" s="4">
        <f>PI()*(ECF[[#This Row],[Ø (cm)]]/100)^2/4</f>
        <v>1.1309733552923256</v>
      </c>
      <c r="N131" s="4">
        <f>PI()*ECF[[#This Row],[Ø (cm)]]/100</f>
        <v>3.7699111843077513</v>
      </c>
      <c r="O131" s="4">
        <f>IF(ECF[[#This Row],[Prof. (m)]]=0,0,ECF[[#This Row],[α (%)]]/100*ECF[[#This Row],[K (MPa)]]*1000*ECF[[#This Row],[NSPT]])</f>
        <v>0</v>
      </c>
      <c r="P131" s="4">
        <f>IF(ECF[[#This Row],[Prof. (m)]]=0,0,(ECF[[#This Row],[K (MPa)]]*1000*ECF[[#This Row],[NSPT]]/ECF[[#This Row],[F1]]*ECF[[#This Row],[Ap (m²)]]+ECF[[#This Row],[U (m)]]/ECF[[#This Row],[F2]]*SUMIFS(ECF[(α∙K∙NL∙ΔL)],ECF[Prof. (m)],"&lt;="&amp;ECF[[#This Row],[Prof. (m)]],ECF[idDiâmetro],ECF[[#This Row],[idDiâmetro]],ECF[idPilar],ECF[[#This Row],[idPilar]]))/'DADOS CAP. CARGA'!$D$2)</f>
        <v>0</v>
      </c>
      <c r="Q131" s="12">
        <f>INDEX(C_alpha_beta[],MATCH(ECF[[#This Row],[Solo]],C_alpha_beta[Solo],0),MATCH(ECF[[#Headers],[C (kPa)]],C_alpha_beta[#Headers],0))</f>
        <v>400</v>
      </c>
      <c r="R131" s="4">
        <f>INDEX(C_alpha_beta[],MATCH(ECF[[#This Row],[Solo]],C_alpha_beta[Solo],0),MATCH(ECF[[#Headers],[α ESF]],C_alpha_beta[#Headers],0))</f>
        <v>0.5</v>
      </c>
      <c r="S131" s="4">
        <f>INDEX(C_alpha_beta[],MATCH(ECF[[#This Row],[Solo]],C_alpha_beta[Solo],0),MATCH(ECF[[#Headers],[β ESF]],C_alpha_beta[#Headers],0))</f>
        <v>0.5</v>
      </c>
      <c r="T131" s="4">
        <f>IF(ECF[[#This Row],[Prof. (m)]]=0,0,10*(ECF[[#This Row],[NSPT]]/3+1))</f>
        <v>0</v>
      </c>
      <c r="U131" s="4">
        <f>(ECF[[#This Row],[α ESF]]*ECF[[#This Row],[C (kPa)]]*ECF[[#This Row],[NSPT]]*ECF[[#This Row],[Ap (m²)]])/'DADOS CAP. CARGA'!$Q$2+(ECF[[#This Row],[β ESF]]*SUMIFS(ECF[10∙(NL/3+1)],ECF[Prof. (m)],"&lt;="&amp;ECF[[#This Row],[Prof. (m)]],ECF[idDiâmetro],ECF[[#This Row],[idDiâmetro]],ECF[idPilar],ECF[[#This Row],[idPilar]])*ECF[[#This Row],[U (m)]])/'DADOS CAP. CARGA'!$S$2</f>
        <v>0</v>
      </c>
      <c r="V131" s="4">
        <f>IF(SPT!$M$5=1,MIN(ECF[[#This Row],[Pe ECF (kN)]],ECF[[#This Row],[R_AV (kN)]]),IF(SPT!$M$5=2,MIN(ECF[[#This Row],[Pe ECF (kN)]],ECF[[#This Row],[R_DC (kN)]]),MIN(ECF[[#This Row],[Pe ECF (kN)]],ECF[[#This Row],[R_AV (kN)]],ECF[[#This Row],[R_DC (kN)]])))</f>
        <v>0</v>
      </c>
      <c r="W131" s="4">
        <f>INDEX(PILARES[],ECF[[#This Row],[idPilar]],MATCH("Carga (kN)",PILARES[#Headers],0))*1.4</f>
        <v>1750</v>
      </c>
      <c r="X131" s="12">
        <f>INDEX(PILARES[],ECF[[#This Row],[idPilar]],MATCH(ECF[[#Headers],[ap (cm)]],PILARES[#Headers],0))</f>
        <v>50</v>
      </c>
      <c r="Y131" s="12">
        <f>INDEX(PILARES[],ECF[[#This Row],[idPilar]],MATCH(ECF[[#Headers],[bp (cm)]],PILARES[#Headers],0))</f>
        <v>40</v>
      </c>
      <c r="Z131" s="4">
        <f>SQRT(ECF[[#This Row],[ap (cm)]]*ECF[[#This Row],[bp (cm)]])</f>
        <v>44.721359549995796</v>
      </c>
      <c r="AA131" s="12">
        <f>ECF[[#This Row],[ap (cm)]]*ECF[[#This Row],[bp (cm)]]</f>
        <v>2000</v>
      </c>
      <c r="AB131" s="12" t="e">
        <f ca="1">IF(ECF[[#This Row],[Padm∙ε (kN)]]&gt;=ECF[[#This Row],[Padm (kN)]],ROUNDUP(1.05*ECF[[#This Row],[Nsd (kN)]]/ECF[[#This Row],[Padm (kN)]],0),ROUNDUP(1.05*ECF[[#This Row],[Nsd (kN)]]/ECF[[#This Row],[Padm (kN)]],0)+1)</f>
        <v>#DIV/0!</v>
      </c>
      <c r="AC131" s="4" t="str">
        <f ca="1">IFERROR(IF(ECF[[#This Row],[nE]]=1,ECF[[#This Row],[Padm (kN)]],ECF[[#This Row],[Padm (kN)]]*ECF[[#This Row],[nE]]*INDEX(grupoEstacas[],ECF[[#This Row],[nE]],MATCH("ε",grupoEstacas[#Headers],0))),"N.S.")</f>
        <v>N.S.</v>
      </c>
      <c r="AD131" s="4" t="e">
        <f ca="1">1.05*ECF[[#This Row],[Nsd (kN)]]/(ECF[[#This Row],[nE]]*PI()*ECF[[#This Row],[Ø (cm)]]^2/4)*10</f>
        <v>#DIV/0!</v>
      </c>
      <c r="AE131" s="4" t="e">
        <f ca="1">IF(ECF[[#This Row],[σ (MPa)]]&lt;INDEX(tipoEstaca[],MATCH($D$2,tipoEstaca[TIPO DE ESTACA],0),MATCH("σmáx (MPa)",tipoEstaca[#Headers],0)),0.4%*PI()*ECF[[#This Row],[Ø (cm)]]^2/4,"N.S.")</f>
        <v>#DIV/0!</v>
      </c>
      <c r="AF131" s="1">
        <f>INDEX(tipoEstaca[],MATCH($D$2,tipoEstaca[TIPO DE ESTACA],0),MATCH(ECF[[#Headers],[Comprimento (m)]],tipoEstaca[#Headers],0))</f>
        <v>4</v>
      </c>
      <c r="AG131" s="5" t="e">
        <f ca="1">ECF[[#This Row],[As,mín (cm²)]]/100^2*ECF[[#This Row],[Comprimento (m)]]*7850</f>
        <v>#DIV/0!</v>
      </c>
      <c r="AH131" s="4" t="e">
        <f ca="1">ECF[[#This Row],[nE]]*ECF[[#This Row],[Prof. (m)]]*ECF[[#This Row],[Ap (m²)]]</f>
        <v>#DIV/0!</v>
      </c>
      <c r="AI131" s="1" t="e">
        <f ca="1">IF(ECF[[#This Row],[nE]]=1,0,MAX(3*ECF[[#This Row],[Ø (cm)]],60))</f>
        <v>#DIV/0!</v>
      </c>
      <c r="AJ131" s="1" t="e">
        <f ca="1">IF(ECF[[#This Row],[nE]]=1,ECF[[#This Row],[Ø (cm)]]+2*10,MAX(1.5*ECF[[#This Row],[Ø (cm)]],ECF[[#This Row],[Ø (cm)]]+15))</f>
        <v>#DIV/0!</v>
      </c>
      <c r="AK131" s="1" t="e">
        <f ca="1">alturaUtil(ECF[[#This Row],[nE]],ECF[[#This Row],[Ø (cm)]],ECF[[#This Row],[e (cm)]],ECF[[#This Row],[ap,eq (cm)]])</f>
        <v>#VALUE!</v>
      </c>
      <c r="AL131" s="1" t="str">
        <f ca="1">IFERROR(ECF[[#This Row],[d (cm)]]+arredondarParaCimaMultiplo5cm(MAX(5,SQRT(PI())/2*ECF[[#This Row],[Ø (cm)]]/5)),"N.S.")</f>
        <v>N.S.</v>
      </c>
      <c r="AM131" s="5" t="e">
        <f ca="1">alpha(ECF[[#This Row],[nE]],ECF[[#This Row],[d (cm)]],ECF[[#This Row],[e (cm)]],ECF[[#This Row],[ap,eq (cm)]])</f>
        <v>#VALUE!</v>
      </c>
      <c r="AN131" s="35" t="str">
        <f ca="1">IFERROR(ECF[[#This Row],[Nsd (kN)]]/(ECF[[#This Row],[Ap (cm²)]]*SIN(ECF[[#This Row],[α]])^2),"N.S.")</f>
        <v>N.S.</v>
      </c>
      <c r="AO131" s="35" t="str">
        <f ca="1">IFERROR(ECF[[#This Row],[Nsd (kN)]]/(ECF[[#This Row],[nE]]*PI()*ECF[[#This Row],[Ø (cm)]]^2/4*SIN(ECF[[#This Row],[α]])^2),"N.S.")</f>
        <v>N.S.</v>
      </c>
      <c r="AP131" s="4" t="str">
        <f ca="1">IFERROR(INDEX(grupoEstacas[],ECF[[#This Row],[nE]],MATCH("coef. Blévot",grupoEstacas[#Headers],0)),"N.S.")</f>
        <v>N.S.</v>
      </c>
      <c r="AQ131" s="35" t="str">
        <f ca="1">IFERROR(ECF[[#This Row],[coef. Blévot]]*0.9*INDEX(tipoEstaca[],MATCH($D$2,tipoEstaca[TIPO DE ESTACA],0),MATCH("fcd (kN/cm²)",tipoEstaca[#Headers],0)),"N.S.")</f>
        <v>N.S.</v>
      </c>
      <c r="AR131" s="1" t="str">
        <f ca="1">IF(AND(ECF[[#This Row],[cd,b,pil (kN/cm²)]]&lt;=ECF[[#This Row],[cd,b,lim (kN/cm²)]],ECF[[#This Row],[cd,b,est (kN/cm²)]]&lt;=ECF[[#This Row],[cd,b,lim (kN/cm²)]]),"OK","ERRO")</f>
        <v>OK</v>
      </c>
      <c r="AS131" s="4" t="e">
        <f ca="1">As_lado(ECF[[#This Row],[nE]],ECF[[#This Row],[Nsd (kN)]],ECF[[#This Row],[d (cm)]],ECF[[#This Row],[e (cm)]],ECF[[#This Row],[ap,eq (cm)]])</f>
        <v>#VALUE!</v>
      </c>
      <c r="AT131" s="4" t="e">
        <f ca="1">IF(ECF[[#This Row],[nE]]=1,ECF[[#This Row],[As,lado (cm²)]],IF(ECF[[#This Row],[nE]]=2,0.075*2*ECF[a (cm)],"N.A."))</f>
        <v>#DIV/0!</v>
      </c>
      <c r="AU131" s="4" t="str">
        <f ca="1">IFERROR(IF(ECF[[#This Row],[nE]]=1,"N.A.",0.2*ECF[[#This Row],[As,lado (cm²)]]),"N.S.")</f>
        <v>N.S.</v>
      </c>
      <c r="AV131" s="4" t="e">
        <f ca="1">As_malha(ECF[[#This Row],[nE]],ECF[[#This Row],[As,lado (cm²)]],ECF[[#This Row],[Nsd (kN)]])</f>
        <v>#VALUE!</v>
      </c>
      <c r="AW131" s="4" t="e">
        <f ca="1">As_susp_tot(ECF[[#This Row],[nE]],ECF[[#This Row],[Nsd (kN)]])</f>
        <v>#VALUE!</v>
      </c>
      <c r="AX131" s="4" t="e">
        <f ca="1">Asp_face(ECF[[#This Row],[nE]],ECF[[#This Row],[As,lado (cm²)]])</f>
        <v>#VALUE!</v>
      </c>
      <c r="AY131" s="5" t="e">
        <f ca="1">acoBloco(ECF[[#This Row],[nE]],ECF[[#This Row],[e (cm)]],ECF[[#This Row],[a (cm)]],ECF[[#This Row],[h (cm)]],ECF[[#This Row],[As,lado (cm²)]],ECF[[#This Row],[Asp e Asw (cm²/m)]],ECF[[#This Row],[As,sup (cm²)]],ECF[[#This Row],[As,malha (cm²)]],ECF[[#This Row],[As,susp,tot (cm²)]],ECF[[#This Row],[Asp,face (cm²)]])</f>
        <v>#VALUE!</v>
      </c>
      <c r="AZ131" s="4" t="e">
        <f ca="1">concretoBloco(ECF[[#This Row],[nE]],ECF[[#This Row],[e (cm)]],ECF[[#This Row],[a (cm)]],ECF[[#This Row],[h (cm)]])</f>
        <v>#VALUE!</v>
      </c>
      <c r="BA131" s="5" t="e">
        <f ca="1">SUM(ECF[[#This Row],[Aço Est (kg)]],ECF[[#This Row],[Aço Bloco (kg)]])</f>
        <v>#DIV/0!</v>
      </c>
      <c r="BB131" s="4">
        <f>INDEX(composicoes[],MATCH(95580,composicoes[CÓDIGO],0),MATCH("CUSTO TOTAL",composicoes[#Headers],0))</f>
        <v>10.46</v>
      </c>
      <c r="BC131" s="4" t="e">
        <f ca="1">SUM(ECF[[#This Row],[Conc Est (m³)]],ECF[[#This Row],[Conc Bloco (m³)]])</f>
        <v>#DIV/0!</v>
      </c>
      <c r="BD131" s="4">
        <f>INDEX(composicoes[],MATCH(94966,composicoes[CÓDIGO],0),MATCH("CUSTO TOTAL",composicoes[#Headers],0))</f>
        <v>439.52</v>
      </c>
      <c r="BE131" s="38" t="e">
        <f ca="1">ECF[[#This Row],[Aço (kg)]]*ECF[[#This Row],[Aço (R$/kg)]]+ECF[[#This Row],[Conc (m³)]]*ECF[[#This Row],[Conc (R$/m³)]]</f>
        <v>#DIV/0!</v>
      </c>
      <c r="BF131" s="4" t="str">
        <f ca="1">IF(COUNTIF(ECF[#This Row],"N.S.")&gt;0,"lim.","OK")</f>
        <v>lim.</v>
      </c>
      <c r="BG131" s="4" t="str">
        <f>IF(ECF[[#This Row],[Prof. (m)]]&lt;4,"lim.","OK")</f>
        <v>lim.</v>
      </c>
      <c r="BH131" s="4" t="str">
        <f>IF(ECF[[#This Row],[Prof. (m)]]&gt;=8*ECF[[#This Row],[Ø (cm)]]/100,"OK","lim.")</f>
        <v>lim.</v>
      </c>
      <c r="BI131" s="4" t="str">
        <f>IF(AND(SPT!$F$3&lt;&gt;"",ECF[[#This Row],[Prof. (m)]]&gt;=SPT!$F$3-2),"lim.","OK")</f>
        <v>OK</v>
      </c>
      <c r="BJ131" s="4" t="str">
        <f ca="1">IF(ECF[[#This Row],[Verif. Biela]]="OK","OK","lim.")</f>
        <v>OK</v>
      </c>
      <c r="BK131" s="4" t="str">
        <f ca="1">IF(COUNTA(ECF[[#This Row],[Nº Est.]:[Biela comp.]])=COUNTIF(ECF[[#This Row],[Nº Est.]:[Biela comp.]],"OK"),"OK","lim.")</f>
        <v>lim.</v>
      </c>
      <c r="BL131" s="4" t="str">
        <f ca="1">IF(ECF[[#This Row],[Controle]]="OK",ECF[[#This Row],[nE]]&amp;" Ø"&amp;ECF[[#This Row],[Ø (cm)]]&amp;"cm Prof. "&amp;ECF[[#This Row],[Prof. (m)]]&amp;" m","")</f>
        <v/>
      </c>
      <c r="BM131" s="4" t="str">
        <f ca="1">IF(ECF[[#This Row],[idDimensionamento]]="","",ECF[[#This Row],[idPilar]]&amp;ECF[[#This Row],[idDimensionamento]])</f>
        <v/>
      </c>
    </row>
    <row r="132" spans="2:65" x14ac:dyDescent="0.25">
      <c r="B132" s="12">
        <f>ROUNDUP((ROW(ECF[[#This Row],[idDiâmetro]])-ROW(ECF[[#Headers],[idDiâmetro]]))/(COUNT(SPT[Prof. (m)])*COUNT(PILARES[Pilar])),0)</f>
        <v>5</v>
      </c>
      <c r="C132" s="12">
        <f>IF(ECF[[#This Row],[idDiâmetro]]&lt;&gt;B131,1,IF(ECF[[#This Row],[Prof. (m)]]=0,C131+1,C131))</f>
        <v>2</v>
      </c>
      <c r="D132" s="1">
        <f>IFERROR(IF(D131=MAX(SPT[Prof. (m)]),0,D131+1),0)</f>
        <v>1</v>
      </c>
      <c r="E132" s="1">
        <f>INDEX(SPT[],MATCH(ECF[[#This Row],[Prof. (m)]],SPT[Prof. (m)],0),2)</f>
        <v>2</v>
      </c>
      <c r="F132" s="1" t="str">
        <f>INDEX(SPT[],MATCH(ECF[[#This Row],[Prof. (m)]],SPT[Prof. (m)],0),3)</f>
        <v>Areia siltosa</v>
      </c>
      <c r="G132" s="1">
        <f>INDEX(estacas[],ECF[[#This Row],[idDiâmetro]],MATCH($B$2,estacas[#Headers],0))</f>
        <v>120</v>
      </c>
      <c r="H132" s="1">
        <f>INDEX(estacas[],MATCH(ECF[[#This Row],[Ø (cm)]],estacas[Ø ECF (cm)],0),MATCH(ECF[[#Headers],[Pe ECF (kN)]],estacas[#Headers],0))</f>
        <v>4500</v>
      </c>
      <c r="I132" s="4">
        <f>INDEX(K_alpha_C[],MATCH(ECF[[#This Row],[Solo]],K_alpha_C[Solo],0),2)</f>
        <v>0.8</v>
      </c>
      <c r="J132" s="5">
        <f>INDEX(K_alpha_C[],MATCH(ECF[[#This Row],[Solo]],K_alpha_C[Solo],0),3)</f>
        <v>2</v>
      </c>
      <c r="K132" s="4">
        <f>INDEX(F1_F2[],MATCH($D$2,F1_F2[Tipo de estaca],0),2)</f>
        <v>3</v>
      </c>
      <c r="L132" s="4">
        <f>INDEX(F1_F2[],MATCH($D$2,F1_F2[Tipo de estaca],0),3)</f>
        <v>6</v>
      </c>
      <c r="M132" s="4">
        <f>PI()*(ECF[[#This Row],[Ø (cm)]]/100)^2/4</f>
        <v>1.1309733552923256</v>
      </c>
      <c r="N132" s="4">
        <f>PI()*ECF[[#This Row],[Ø (cm)]]/100</f>
        <v>3.7699111843077513</v>
      </c>
      <c r="O132" s="4">
        <f>IF(ECF[[#This Row],[Prof. (m)]]=0,0,ECF[[#This Row],[α (%)]]/100*ECF[[#This Row],[K (MPa)]]*1000*ECF[[#This Row],[NSPT]])</f>
        <v>32</v>
      </c>
      <c r="P132" s="4">
        <f>IF(ECF[[#This Row],[Prof. (m)]]=0,0,(ECF[[#This Row],[K (MPa)]]*1000*ECF[[#This Row],[NSPT]]/ECF[[#This Row],[F1]]*ECF[[#This Row],[Ap (m²)]]+ECF[[#This Row],[U (m)]]/ECF[[#This Row],[F2]]*SUMIFS(ECF[(α∙K∙NL∙ΔL)],ECF[Prof. (m)],"&lt;="&amp;ECF[[#This Row],[Prof. (m)]],ECF[idDiâmetro],ECF[[#This Row],[idDiâmetro]],ECF[idPilar],ECF[[#This Row],[idPilar]]))/'DADOS CAP. CARGA'!$D$2)</f>
        <v>311.64599123610753</v>
      </c>
      <c r="Q132" s="12">
        <f>INDEX(C_alpha_beta[],MATCH(ECF[[#This Row],[Solo]],C_alpha_beta[Solo],0),MATCH(ECF[[#Headers],[C (kPa)]],C_alpha_beta[#Headers],0))</f>
        <v>400</v>
      </c>
      <c r="R132" s="4">
        <f>INDEX(C_alpha_beta[],MATCH(ECF[[#This Row],[Solo]],C_alpha_beta[Solo],0),MATCH(ECF[[#Headers],[α ESF]],C_alpha_beta[#Headers],0))</f>
        <v>0.5</v>
      </c>
      <c r="S132" s="4">
        <f>INDEX(C_alpha_beta[],MATCH(ECF[[#This Row],[Solo]],C_alpha_beta[Solo],0),MATCH(ECF[[#Headers],[β ESF]],C_alpha_beta[#Headers],0))</f>
        <v>0.5</v>
      </c>
      <c r="T132" s="4">
        <f>IF(ECF[[#This Row],[Prof. (m)]]=0,0,10*(ECF[[#This Row],[NSPT]]/3+1))</f>
        <v>16.666666666666664</v>
      </c>
      <c r="U132" s="4">
        <f>(ECF[[#This Row],[α ESF]]*ECF[[#This Row],[C (kPa)]]*ECF[[#This Row],[NSPT]]*ECF[[#This Row],[Ap (m²)]])/'DADOS CAP. CARGA'!$Q$2+(ECF[[#This Row],[β ESF]]*SUMIFS(ECF[10∙(NL/3+1)],ECF[Prof. (m)],"&lt;="&amp;ECF[[#This Row],[Prof. (m)]],ECF[idDiâmetro],ECF[[#This Row],[idDiâmetro]],ECF[idPilar],ECF[[#This Row],[idPilar]])*ECF[[#This Row],[U (m)]])/'DADOS CAP. CARGA'!$S$2</f>
        <v>128.80529879718151</v>
      </c>
      <c r="V132" s="4">
        <f>IF(SPT!$M$5=1,MIN(ECF[[#This Row],[Pe ECF (kN)]],ECF[[#This Row],[R_AV (kN)]]),IF(SPT!$M$5=2,MIN(ECF[[#This Row],[Pe ECF (kN)]],ECF[[#This Row],[R_DC (kN)]]),MIN(ECF[[#This Row],[Pe ECF (kN)]],ECF[[#This Row],[R_AV (kN)]],ECF[[#This Row],[R_DC (kN)]])))</f>
        <v>128.80529879718151</v>
      </c>
      <c r="W132" s="4">
        <f>INDEX(PILARES[],ECF[[#This Row],[idPilar]],MATCH("Carga (kN)",PILARES[#Headers],0))*1.4</f>
        <v>1750</v>
      </c>
      <c r="X132" s="12">
        <f>INDEX(PILARES[],ECF[[#This Row],[idPilar]],MATCH(ECF[[#Headers],[ap (cm)]],PILARES[#Headers],0))</f>
        <v>50</v>
      </c>
      <c r="Y132" s="12">
        <f>INDEX(PILARES[],ECF[[#This Row],[idPilar]],MATCH(ECF[[#Headers],[bp (cm)]],PILARES[#Headers],0))</f>
        <v>40</v>
      </c>
      <c r="Z132" s="4">
        <f>SQRT(ECF[[#This Row],[ap (cm)]]*ECF[[#This Row],[bp (cm)]])</f>
        <v>44.721359549995796</v>
      </c>
      <c r="AA132" s="12">
        <f>ECF[[#This Row],[ap (cm)]]*ECF[[#This Row],[bp (cm)]]</f>
        <v>2000</v>
      </c>
      <c r="AB132" s="12">
        <f ca="1">IF(ECF[[#This Row],[Padm∙ε (kN)]]&gt;=ECF[[#This Row],[Padm (kN)]],ROUNDUP(1.05*ECF[[#This Row],[Nsd (kN)]]/ECF[[#This Row],[Padm (kN)]],0),ROUNDUP(1.05*ECF[[#This Row],[Nsd (kN)]]/ECF[[#This Row],[Padm (kN)]],0)+1)</f>
        <v>15</v>
      </c>
      <c r="AC132" s="4" t="str">
        <f ca="1">IFERROR(IF(ECF[[#This Row],[nE]]=1,ECF[[#This Row],[Padm (kN)]],ECF[[#This Row],[Padm (kN)]]*ECF[[#This Row],[nE]]*INDEX(grupoEstacas[],ECF[[#This Row],[nE]],MATCH("ε",grupoEstacas[#Headers],0))),"N.S.")</f>
        <v>N.S.</v>
      </c>
      <c r="AD132" s="4">
        <f ca="1">1.05*ECF[[#This Row],[Nsd (kN)]]/(ECF[[#This Row],[nE]]*PI()*ECF[[#This Row],[Ø (cm)]]^2/4)*10</f>
        <v>0.10831378071531766</v>
      </c>
      <c r="AE132" s="4">
        <f ca="1">IF(ECF[[#This Row],[σ (MPa)]]&lt;INDEX(tipoEstaca[],MATCH($D$2,tipoEstaca[TIPO DE ESTACA],0),MATCH("σmáx (MPa)",tipoEstaca[#Headers],0)),0.4%*PI()*ECF[[#This Row],[Ø (cm)]]^2/4,"N.S.")</f>
        <v>45.238934211693021</v>
      </c>
      <c r="AF132" s="1">
        <f>INDEX(tipoEstaca[],MATCH($D$2,tipoEstaca[TIPO DE ESTACA],0),MATCH(ECF[[#Headers],[Comprimento (m)]],tipoEstaca[#Headers],0))</f>
        <v>4</v>
      </c>
      <c r="AG132" s="5">
        <f ca="1">ECF[[#This Row],[As,mín (cm²)]]/100^2*ECF[[#This Row],[Comprimento (m)]]*7850</f>
        <v>142.05025342471609</v>
      </c>
      <c r="AH132" s="4">
        <f ca="1">ECF[[#This Row],[nE]]*ECF[[#This Row],[Prof. (m)]]*ECF[[#This Row],[Ap (m²)]]</f>
        <v>16.964600329384883</v>
      </c>
      <c r="AI132" s="1">
        <f ca="1">IF(ECF[[#This Row],[nE]]=1,0,MAX(3*ECF[[#This Row],[Ø (cm)]],60))</f>
        <v>360</v>
      </c>
      <c r="AJ132" s="1">
        <f ca="1">IF(ECF[[#This Row],[nE]]=1,ECF[[#This Row],[Ø (cm)]]+2*10,MAX(1.5*ECF[[#This Row],[Ø (cm)]],ECF[[#This Row],[Ø (cm)]]+15))</f>
        <v>180</v>
      </c>
      <c r="AK132" s="1" t="str">
        <f ca="1">alturaUtil(ECF[[#This Row],[nE]],ECF[[#This Row],[Ø (cm)]],ECF[[#This Row],[e (cm)]],ECF[[#This Row],[ap,eq (cm)]])</f>
        <v>N.S.</v>
      </c>
      <c r="AL132" s="1" t="str">
        <f ca="1">IFERROR(ECF[[#This Row],[d (cm)]]+arredondarParaCimaMultiplo5cm(MAX(5,SQRT(PI())/2*ECF[[#This Row],[Ø (cm)]]/5)),"N.S.")</f>
        <v>N.S.</v>
      </c>
      <c r="AM132" s="5" t="str">
        <f ca="1">alpha(ECF[[#This Row],[nE]],ECF[[#This Row],[d (cm)]],ECF[[#This Row],[e (cm)]],ECF[[#This Row],[ap,eq (cm)]])</f>
        <v>N.S.</v>
      </c>
      <c r="AN132" s="35" t="str">
        <f ca="1">IFERROR(ECF[[#This Row],[Nsd (kN)]]/(ECF[[#This Row],[Ap (cm²)]]*SIN(ECF[[#This Row],[α]])^2),"N.S.")</f>
        <v>N.S.</v>
      </c>
      <c r="AO132" s="35" t="str">
        <f ca="1">IFERROR(ECF[[#This Row],[Nsd (kN)]]/(ECF[[#This Row],[nE]]*PI()*ECF[[#This Row],[Ø (cm)]]^2/4*SIN(ECF[[#This Row],[α]])^2),"N.S.")</f>
        <v>N.S.</v>
      </c>
      <c r="AP132" s="4" t="str">
        <f ca="1">IFERROR(INDEX(grupoEstacas[],ECF[[#This Row],[nE]],MATCH("coef. Blévot",grupoEstacas[#Headers],0)),"N.S.")</f>
        <v>N.S.</v>
      </c>
      <c r="AQ132" s="35" t="str">
        <f ca="1">IFERROR(ECF[[#This Row],[coef. Blévot]]*0.9*INDEX(tipoEstaca[],MATCH($D$2,tipoEstaca[TIPO DE ESTACA],0),MATCH("fcd (kN/cm²)",tipoEstaca[#Headers],0)),"N.S.")</f>
        <v>N.S.</v>
      </c>
      <c r="AR132" s="1" t="str">
        <f ca="1">IF(AND(ECF[[#This Row],[cd,b,pil (kN/cm²)]]&lt;=ECF[[#This Row],[cd,b,lim (kN/cm²)]],ECF[[#This Row],[cd,b,est (kN/cm²)]]&lt;=ECF[[#This Row],[cd,b,lim (kN/cm²)]]),"OK","ERRO")</f>
        <v>OK</v>
      </c>
      <c r="AS132" s="4" t="str">
        <f ca="1">As_lado(ECF[[#This Row],[nE]],ECF[[#This Row],[Nsd (kN)]],ECF[[#This Row],[d (cm)]],ECF[[#This Row],[e (cm)]],ECF[[#This Row],[ap,eq (cm)]])</f>
        <v>N.S.</v>
      </c>
      <c r="AT132" s="4" t="str">
        <f ca="1">IF(ECF[[#This Row],[nE]]=1,ECF[[#This Row],[As,lado (cm²)]],IF(ECF[[#This Row],[nE]]=2,0.075*2*ECF[a (cm)],"N.A."))</f>
        <v>N.A.</v>
      </c>
      <c r="AU132" s="4" t="str">
        <f ca="1">IFERROR(IF(ECF[[#This Row],[nE]]=1,"N.A.",0.2*ECF[[#This Row],[As,lado (cm²)]]),"N.S.")</f>
        <v>N.S.</v>
      </c>
      <c r="AV132" s="4" t="str">
        <f ca="1">As_malha(ECF[[#This Row],[nE]],ECF[[#This Row],[As,lado (cm²)]],ECF[[#This Row],[Nsd (kN)]])</f>
        <v>N.S.</v>
      </c>
      <c r="AW132" s="4" t="str">
        <f ca="1">As_susp_tot(ECF[[#This Row],[nE]],ECF[[#This Row],[Nsd (kN)]])</f>
        <v>N.S.</v>
      </c>
      <c r="AX132" s="4" t="str">
        <f ca="1">Asp_face(ECF[[#This Row],[nE]],ECF[[#This Row],[As,lado (cm²)]])</f>
        <v>N.S.</v>
      </c>
      <c r="AY132" s="5" t="str">
        <f ca="1">acoBloco(ECF[[#This Row],[nE]],ECF[[#This Row],[e (cm)]],ECF[[#This Row],[a (cm)]],ECF[[#This Row],[h (cm)]],ECF[[#This Row],[As,lado (cm²)]],ECF[[#This Row],[Asp e Asw (cm²/m)]],ECF[[#This Row],[As,sup (cm²)]],ECF[[#This Row],[As,malha (cm²)]],ECF[[#This Row],[As,susp,tot (cm²)]],ECF[[#This Row],[Asp,face (cm²)]])</f>
        <v>N.S.</v>
      </c>
      <c r="AZ132" s="4" t="str">
        <f ca="1">concretoBloco(ECF[[#This Row],[nE]],ECF[[#This Row],[e (cm)]],ECF[[#This Row],[a (cm)]],ECF[[#This Row],[h (cm)]])</f>
        <v>N.S.</v>
      </c>
      <c r="BA132" s="5">
        <f ca="1">SUM(ECF[[#This Row],[Aço Est (kg)]],ECF[[#This Row],[Aço Bloco (kg)]])</f>
        <v>142.05025342471609</v>
      </c>
      <c r="BB132" s="4">
        <f>INDEX(composicoes[],MATCH(95580,composicoes[CÓDIGO],0),MATCH("CUSTO TOTAL",composicoes[#Headers],0))</f>
        <v>10.46</v>
      </c>
      <c r="BC132" s="4">
        <f ca="1">SUM(ECF[[#This Row],[Conc Est (m³)]],ECF[[#This Row],[Conc Bloco (m³)]])</f>
        <v>16.964600329384883</v>
      </c>
      <c r="BD132" s="4">
        <f>INDEX(composicoes[],MATCH(94966,composicoes[CÓDIGO],0),MATCH("CUSTO TOTAL",composicoes[#Headers],0))</f>
        <v>439.52</v>
      </c>
      <c r="BE132" s="38">
        <f ca="1">ECF[[#This Row],[Aço (kg)]]*ECF[[#This Row],[Aço (R$/kg)]]+ECF[[#This Row],[Conc (m³)]]*ECF[[#This Row],[Conc (R$/m³)]]</f>
        <v>8942.1267875937738</v>
      </c>
      <c r="BF132" s="4" t="str">
        <f ca="1">IF(COUNTIF(ECF[#This Row],"N.S.")&gt;0,"lim.","OK")</f>
        <v>lim.</v>
      </c>
      <c r="BG132" s="4" t="str">
        <f>IF(ECF[[#This Row],[Prof. (m)]]&lt;4,"lim.","OK")</f>
        <v>lim.</v>
      </c>
      <c r="BH132" s="4" t="str">
        <f>IF(ECF[[#This Row],[Prof. (m)]]&gt;=8*ECF[[#This Row],[Ø (cm)]]/100,"OK","lim.")</f>
        <v>lim.</v>
      </c>
      <c r="BI132" s="4" t="str">
        <f>IF(AND(SPT!$F$3&lt;&gt;"",ECF[[#This Row],[Prof. (m)]]&gt;=SPT!$F$3-2),"lim.","OK")</f>
        <v>OK</v>
      </c>
      <c r="BJ132" s="4" t="str">
        <f ca="1">IF(ECF[[#This Row],[Verif. Biela]]="OK","OK","lim.")</f>
        <v>OK</v>
      </c>
      <c r="BK132" s="4" t="str">
        <f ca="1">IF(COUNTA(ECF[[#This Row],[Nº Est.]:[Biela comp.]])=COUNTIF(ECF[[#This Row],[Nº Est.]:[Biela comp.]],"OK"),"OK","lim.")</f>
        <v>lim.</v>
      </c>
      <c r="BL132" s="4" t="str">
        <f ca="1">IF(ECF[[#This Row],[Controle]]="OK",ECF[[#This Row],[nE]]&amp;" Ø"&amp;ECF[[#This Row],[Ø (cm)]]&amp;"cm Prof. "&amp;ECF[[#This Row],[Prof. (m)]]&amp;" m","")</f>
        <v/>
      </c>
      <c r="BM132" s="4" t="str">
        <f ca="1">IF(ECF[[#This Row],[idDimensionamento]]="","",ECF[[#This Row],[idPilar]]&amp;ECF[[#This Row],[idDimensionamento]])</f>
        <v/>
      </c>
    </row>
    <row r="133" spans="2:65" x14ac:dyDescent="0.25">
      <c r="B133" s="12">
        <f>ROUNDUP((ROW(ECF[[#This Row],[idDiâmetro]])-ROW(ECF[[#Headers],[idDiâmetro]]))/(COUNT(SPT[Prof. (m)])*COUNT(PILARES[Pilar])),0)</f>
        <v>5</v>
      </c>
      <c r="C133" s="12">
        <f>IF(ECF[[#This Row],[idDiâmetro]]&lt;&gt;B132,1,IF(ECF[[#This Row],[Prof. (m)]]=0,C132+1,C132))</f>
        <v>2</v>
      </c>
      <c r="D133" s="1">
        <f>IFERROR(IF(D132=MAX(SPT[Prof. (m)]),0,D132+1),0)</f>
        <v>2</v>
      </c>
      <c r="E133" s="1">
        <f>INDEX(SPT[],MATCH(ECF[[#This Row],[Prof. (m)]],SPT[Prof. (m)],0),2)</f>
        <v>2</v>
      </c>
      <c r="F133" s="1" t="str">
        <f>INDEX(SPT[],MATCH(ECF[[#This Row],[Prof. (m)]],SPT[Prof. (m)],0),3)</f>
        <v>Areia siltosa</v>
      </c>
      <c r="G133" s="1">
        <f>INDEX(estacas[],ECF[[#This Row],[idDiâmetro]],MATCH($B$2,estacas[#Headers],0))</f>
        <v>120</v>
      </c>
      <c r="H133" s="1">
        <f>INDEX(estacas[],MATCH(ECF[[#This Row],[Ø (cm)]],estacas[Ø ECF (cm)],0),MATCH(ECF[[#Headers],[Pe ECF (kN)]],estacas[#Headers],0))</f>
        <v>4500</v>
      </c>
      <c r="I133" s="4">
        <f>INDEX(K_alpha_C[],MATCH(ECF[[#This Row],[Solo]],K_alpha_C[Solo],0),2)</f>
        <v>0.8</v>
      </c>
      <c r="J133" s="5">
        <f>INDEX(K_alpha_C[],MATCH(ECF[[#This Row],[Solo]],K_alpha_C[Solo],0),3)</f>
        <v>2</v>
      </c>
      <c r="K133" s="4">
        <f>INDEX(F1_F2[],MATCH($D$2,F1_F2[Tipo de estaca],0),2)</f>
        <v>3</v>
      </c>
      <c r="L133" s="4">
        <f>INDEX(F1_F2[],MATCH($D$2,F1_F2[Tipo de estaca],0),3)</f>
        <v>6</v>
      </c>
      <c r="M133" s="4">
        <f>PI()*(ECF[[#This Row],[Ø (cm)]]/100)^2/4</f>
        <v>1.1309733552923256</v>
      </c>
      <c r="N133" s="4">
        <f>PI()*ECF[[#This Row],[Ø (cm)]]/100</f>
        <v>3.7699111843077513</v>
      </c>
      <c r="O133" s="4">
        <f>IF(ECF[[#This Row],[Prof. (m)]]=0,0,ECF[[#This Row],[α (%)]]/100*ECF[[#This Row],[K (MPa)]]*1000*ECF[[#This Row],[NSPT]])</f>
        <v>32</v>
      </c>
      <c r="P133" s="4">
        <f>IF(ECF[[#This Row],[Prof. (m)]]=0,0,(ECF[[#This Row],[K (MPa)]]*1000*ECF[[#This Row],[NSPT]]/ECF[[#This Row],[F1]]*ECF[[#This Row],[Ap (m²)]]+ECF[[#This Row],[U (m)]]/ECF[[#This Row],[F2]]*SUMIFS(ECF[(α∙K∙NL∙ΔL)],ECF[Prof. (m)],"&lt;="&amp;ECF[[#This Row],[Prof. (m)]],ECF[idDiâmetro],ECF[[#This Row],[idDiâmetro]],ECF[idPilar],ECF[[#This Row],[idPilar]]))/'DADOS CAP. CARGA'!$D$2)</f>
        <v>321.69908772759487</v>
      </c>
      <c r="Q133" s="12">
        <f>INDEX(C_alpha_beta[],MATCH(ECF[[#This Row],[Solo]],C_alpha_beta[Solo],0),MATCH(ECF[[#Headers],[C (kPa)]],C_alpha_beta[#Headers],0))</f>
        <v>400</v>
      </c>
      <c r="R133" s="4">
        <f>INDEX(C_alpha_beta[],MATCH(ECF[[#This Row],[Solo]],C_alpha_beta[Solo],0),MATCH(ECF[[#Headers],[α ESF]],C_alpha_beta[#Headers],0))</f>
        <v>0.5</v>
      </c>
      <c r="S133" s="4">
        <f>INDEX(C_alpha_beta[],MATCH(ECF[[#This Row],[Solo]],C_alpha_beta[Solo],0),MATCH(ECF[[#Headers],[β ESF]],C_alpha_beta[#Headers],0))</f>
        <v>0.5</v>
      </c>
      <c r="T133" s="4">
        <f>IF(ECF[[#This Row],[Prof. (m)]]=0,0,10*(ECF[[#This Row],[NSPT]]/3+1))</f>
        <v>16.666666666666664</v>
      </c>
      <c r="U133" s="4">
        <f>(ECF[[#This Row],[α ESF]]*ECF[[#This Row],[C (kPa)]]*ECF[[#This Row],[NSPT]]*ECF[[#This Row],[Ap (m²)]])/'DADOS CAP. CARGA'!$Q$2+(ECF[[#This Row],[β ESF]]*SUMIFS(ECF[10∙(NL/3+1)],ECF[Prof. (m)],"&lt;="&amp;ECF[[#This Row],[Prof. (m)]],ECF[idDiâmetro],ECF[[#This Row],[idDiâmetro]],ECF[idPilar],ECF[[#This Row],[idPilar]])*ECF[[#This Row],[U (m)]])/'DADOS CAP. CARGA'!$S$2</f>
        <v>144.51326206513048</v>
      </c>
      <c r="V133" s="4">
        <f>IF(SPT!$M$5=1,MIN(ECF[[#This Row],[Pe ECF (kN)]],ECF[[#This Row],[R_AV (kN)]]),IF(SPT!$M$5=2,MIN(ECF[[#This Row],[Pe ECF (kN)]],ECF[[#This Row],[R_DC (kN)]]),MIN(ECF[[#This Row],[Pe ECF (kN)]],ECF[[#This Row],[R_AV (kN)]],ECF[[#This Row],[R_DC (kN)]])))</f>
        <v>144.51326206513048</v>
      </c>
      <c r="W133" s="4">
        <f>INDEX(PILARES[],ECF[[#This Row],[idPilar]],MATCH("Carga (kN)",PILARES[#Headers],0))*1.4</f>
        <v>1750</v>
      </c>
      <c r="X133" s="12">
        <f>INDEX(PILARES[],ECF[[#This Row],[idPilar]],MATCH(ECF[[#Headers],[ap (cm)]],PILARES[#Headers],0))</f>
        <v>50</v>
      </c>
      <c r="Y133" s="12">
        <f>INDEX(PILARES[],ECF[[#This Row],[idPilar]],MATCH(ECF[[#Headers],[bp (cm)]],PILARES[#Headers],0))</f>
        <v>40</v>
      </c>
      <c r="Z133" s="4">
        <f>SQRT(ECF[[#This Row],[ap (cm)]]*ECF[[#This Row],[bp (cm)]])</f>
        <v>44.721359549995796</v>
      </c>
      <c r="AA133" s="12">
        <f>ECF[[#This Row],[ap (cm)]]*ECF[[#This Row],[bp (cm)]]</f>
        <v>2000</v>
      </c>
      <c r="AB133" s="12">
        <f ca="1">IF(ECF[[#This Row],[Padm∙ε (kN)]]&gt;=ECF[[#This Row],[Padm (kN)]],ROUNDUP(1.05*ECF[[#This Row],[Nsd (kN)]]/ECF[[#This Row],[Padm (kN)]],0),ROUNDUP(1.05*ECF[[#This Row],[Nsd (kN)]]/ECF[[#This Row],[Padm (kN)]],0)+1)</f>
        <v>13</v>
      </c>
      <c r="AC133" s="4" t="str">
        <f ca="1">IFERROR(IF(ECF[[#This Row],[nE]]=1,ECF[[#This Row],[Padm (kN)]],ECF[[#This Row],[Padm (kN)]]*ECF[[#This Row],[nE]]*INDEX(grupoEstacas[],ECF[[#This Row],[nE]],MATCH("ε",grupoEstacas[#Headers],0))),"N.S.")</f>
        <v>N.S.</v>
      </c>
      <c r="AD133" s="4">
        <f ca="1">1.05*ECF[[#This Row],[Nsd (kN)]]/(ECF[[#This Row],[nE]]*PI()*ECF[[#This Row],[Ø (cm)]]^2/4)*10</f>
        <v>0.12497743928690498</v>
      </c>
      <c r="AE133" s="4">
        <f ca="1">IF(ECF[[#This Row],[σ (MPa)]]&lt;INDEX(tipoEstaca[],MATCH($D$2,tipoEstaca[TIPO DE ESTACA],0),MATCH("σmáx (MPa)",tipoEstaca[#Headers],0)),0.4%*PI()*ECF[[#This Row],[Ø (cm)]]^2/4,"N.S.")</f>
        <v>45.238934211693021</v>
      </c>
      <c r="AF133" s="1">
        <f>INDEX(tipoEstaca[],MATCH($D$2,tipoEstaca[TIPO DE ESTACA],0),MATCH(ECF[[#Headers],[Comprimento (m)]],tipoEstaca[#Headers],0))</f>
        <v>4</v>
      </c>
      <c r="AG133" s="5">
        <f ca="1">ECF[[#This Row],[As,mín (cm²)]]/100^2*ECF[[#This Row],[Comprimento (m)]]*7850</f>
        <v>142.05025342471609</v>
      </c>
      <c r="AH133" s="4">
        <f ca="1">ECF[[#This Row],[nE]]*ECF[[#This Row],[Prof. (m)]]*ECF[[#This Row],[Ap (m²)]]</f>
        <v>29.405307237600464</v>
      </c>
      <c r="AI133" s="1">
        <f ca="1">IF(ECF[[#This Row],[nE]]=1,0,MAX(3*ECF[[#This Row],[Ø (cm)]],60))</f>
        <v>360</v>
      </c>
      <c r="AJ133" s="1">
        <f ca="1">IF(ECF[[#This Row],[nE]]=1,ECF[[#This Row],[Ø (cm)]]+2*10,MAX(1.5*ECF[[#This Row],[Ø (cm)]],ECF[[#This Row],[Ø (cm)]]+15))</f>
        <v>180</v>
      </c>
      <c r="AK133" s="1" t="str">
        <f ca="1">alturaUtil(ECF[[#This Row],[nE]],ECF[[#This Row],[Ø (cm)]],ECF[[#This Row],[e (cm)]],ECF[[#This Row],[ap,eq (cm)]])</f>
        <v>N.S.</v>
      </c>
      <c r="AL133" s="1" t="str">
        <f ca="1">IFERROR(ECF[[#This Row],[d (cm)]]+arredondarParaCimaMultiplo5cm(MAX(5,SQRT(PI())/2*ECF[[#This Row],[Ø (cm)]]/5)),"N.S.")</f>
        <v>N.S.</v>
      </c>
      <c r="AM133" s="5" t="str">
        <f ca="1">alpha(ECF[[#This Row],[nE]],ECF[[#This Row],[d (cm)]],ECF[[#This Row],[e (cm)]],ECF[[#This Row],[ap,eq (cm)]])</f>
        <v>N.S.</v>
      </c>
      <c r="AN133" s="35" t="str">
        <f ca="1">IFERROR(ECF[[#This Row],[Nsd (kN)]]/(ECF[[#This Row],[Ap (cm²)]]*SIN(ECF[[#This Row],[α]])^2),"N.S.")</f>
        <v>N.S.</v>
      </c>
      <c r="AO133" s="35" t="str">
        <f ca="1">IFERROR(ECF[[#This Row],[Nsd (kN)]]/(ECF[[#This Row],[nE]]*PI()*ECF[[#This Row],[Ø (cm)]]^2/4*SIN(ECF[[#This Row],[α]])^2),"N.S.")</f>
        <v>N.S.</v>
      </c>
      <c r="AP133" s="4" t="str">
        <f ca="1">IFERROR(INDEX(grupoEstacas[],ECF[[#This Row],[nE]],MATCH("coef. Blévot",grupoEstacas[#Headers],0)),"N.S.")</f>
        <v>N.S.</v>
      </c>
      <c r="AQ133" s="35" t="str">
        <f ca="1">IFERROR(ECF[[#This Row],[coef. Blévot]]*0.9*INDEX(tipoEstaca[],MATCH($D$2,tipoEstaca[TIPO DE ESTACA],0),MATCH("fcd (kN/cm²)",tipoEstaca[#Headers],0)),"N.S.")</f>
        <v>N.S.</v>
      </c>
      <c r="AR133" s="1" t="str">
        <f ca="1">IF(AND(ECF[[#This Row],[cd,b,pil (kN/cm²)]]&lt;=ECF[[#This Row],[cd,b,lim (kN/cm²)]],ECF[[#This Row],[cd,b,est (kN/cm²)]]&lt;=ECF[[#This Row],[cd,b,lim (kN/cm²)]]),"OK","ERRO")</f>
        <v>OK</v>
      </c>
      <c r="AS133" s="4" t="str">
        <f ca="1">As_lado(ECF[[#This Row],[nE]],ECF[[#This Row],[Nsd (kN)]],ECF[[#This Row],[d (cm)]],ECF[[#This Row],[e (cm)]],ECF[[#This Row],[ap,eq (cm)]])</f>
        <v>N.S.</v>
      </c>
      <c r="AT133" s="4" t="str">
        <f ca="1">IF(ECF[[#This Row],[nE]]=1,ECF[[#This Row],[As,lado (cm²)]],IF(ECF[[#This Row],[nE]]=2,0.075*2*ECF[a (cm)],"N.A."))</f>
        <v>N.A.</v>
      </c>
      <c r="AU133" s="4" t="str">
        <f ca="1">IFERROR(IF(ECF[[#This Row],[nE]]=1,"N.A.",0.2*ECF[[#This Row],[As,lado (cm²)]]),"N.S.")</f>
        <v>N.S.</v>
      </c>
      <c r="AV133" s="4" t="str">
        <f ca="1">As_malha(ECF[[#This Row],[nE]],ECF[[#This Row],[As,lado (cm²)]],ECF[[#This Row],[Nsd (kN)]])</f>
        <v>N.S.</v>
      </c>
      <c r="AW133" s="4" t="str">
        <f ca="1">As_susp_tot(ECF[[#This Row],[nE]],ECF[[#This Row],[Nsd (kN)]])</f>
        <v>N.S.</v>
      </c>
      <c r="AX133" s="4" t="str">
        <f ca="1">Asp_face(ECF[[#This Row],[nE]],ECF[[#This Row],[As,lado (cm²)]])</f>
        <v>N.S.</v>
      </c>
      <c r="AY133" s="5" t="str">
        <f ca="1">acoBloco(ECF[[#This Row],[nE]],ECF[[#This Row],[e (cm)]],ECF[[#This Row],[a (cm)]],ECF[[#This Row],[h (cm)]],ECF[[#This Row],[As,lado (cm²)]],ECF[[#This Row],[Asp e Asw (cm²/m)]],ECF[[#This Row],[As,sup (cm²)]],ECF[[#This Row],[As,malha (cm²)]],ECF[[#This Row],[As,susp,tot (cm²)]],ECF[[#This Row],[Asp,face (cm²)]])</f>
        <v>N.S.</v>
      </c>
      <c r="AZ133" s="4" t="str">
        <f ca="1">concretoBloco(ECF[[#This Row],[nE]],ECF[[#This Row],[e (cm)]],ECF[[#This Row],[a (cm)]],ECF[[#This Row],[h (cm)]])</f>
        <v>N.S.</v>
      </c>
      <c r="BA133" s="5">
        <f ca="1">SUM(ECF[[#This Row],[Aço Est (kg)]],ECF[[#This Row],[Aço Bloco (kg)]])</f>
        <v>142.05025342471609</v>
      </c>
      <c r="BB133" s="4">
        <f>INDEX(composicoes[],MATCH(95580,composicoes[CÓDIGO],0),MATCH("CUSTO TOTAL",composicoes[#Headers],0))</f>
        <v>10.46</v>
      </c>
      <c r="BC133" s="4">
        <f ca="1">SUM(ECF[[#This Row],[Conc Est (m³)]],ECF[[#This Row],[Conc Bloco (m³)]])</f>
        <v>29.405307237600464</v>
      </c>
      <c r="BD133" s="4">
        <f>INDEX(composicoes[],MATCH(94966,composicoes[CÓDIGO],0),MATCH("CUSTO TOTAL",composicoes[#Headers],0))</f>
        <v>439.52</v>
      </c>
      <c r="BE133" s="38">
        <f ca="1">ECF[[#This Row],[Aço (kg)]]*ECF[[#This Row],[Aço (R$/kg)]]+ECF[[#This Row],[Conc (m³)]]*ECF[[#This Row],[Conc (R$/m³)]]</f>
        <v>14410.066287892685</v>
      </c>
      <c r="BF133" s="4" t="str">
        <f ca="1">IF(COUNTIF(ECF[#This Row],"N.S.")&gt;0,"lim.","OK")</f>
        <v>lim.</v>
      </c>
      <c r="BG133" s="4" t="str">
        <f>IF(ECF[[#This Row],[Prof. (m)]]&lt;4,"lim.","OK")</f>
        <v>lim.</v>
      </c>
      <c r="BH133" s="4" t="str">
        <f>IF(ECF[[#This Row],[Prof. (m)]]&gt;=8*ECF[[#This Row],[Ø (cm)]]/100,"OK","lim.")</f>
        <v>lim.</v>
      </c>
      <c r="BI133" s="4" t="str">
        <f>IF(AND(SPT!$F$3&lt;&gt;"",ECF[[#This Row],[Prof. (m)]]&gt;=SPT!$F$3-2),"lim.","OK")</f>
        <v>OK</v>
      </c>
      <c r="BJ133" s="4" t="str">
        <f ca="1">IF(ECF[[#This Row],[Verif. Biela]]="OK","OK","lim.")</f>
        <v>OK</v>
      </c>
      <c r="BK133" s="4" t="str">
        <f ca="1">IF(COUNTA(ECF[[#This Row],[Nº Est.]:[Biela comp.]])=COUNTIF(ECF[[#This Row],[Nº Est.]:[Biela comp.]],"OK"),"OK","lim.")</f>
        <v>lim.</v>
      </c>
      <c r="BL133" s="4" t="str">
        <f ca="1">IF(ECF[[#This Row],[Controle]]="OK",ECF[[#This Row],[nE]]&amp;" Ø"&amp;ECF[[#This Row],[Ø (cm)]]&amp;"cm Prof. "&amp;ECF[[#This Row],[Prof. (m)]]&amp;" m","")</f>
        <v/>
      </c>
      <c r="BM133" s="4" t="str">
        <f ca="1">IF(ECF[[#This Row],[idDimensionamento]]="","",ECF[[#This Row],[idPilar]]&amp;ECF[[#This Row],[idDimensionamento]])</f>
        <v/>
      </c>
    </row>
    <row r="134" spans="2:65" x14ac:dyDescent="0.25">
      <c r="B134" s="12">
        <f>ROUNDUP((ROW(ECF[[#This Row],[idDiâmetro]])-ROW(ECF[[#Headers],[idDiâmetro]]))/(COUNT(SPT[Prof. (m)])*COUNT(PILARES[Pilar])),0)</f>
        <v>5</v>
      </c>
      <c r="C134" s="12">
        <f>IF(ECF[[#This Row],[idDiâmetro]]&lt;&gt;B133,1,IF(ECF[[#This Row],[Prof. (m)]]=0,C133+1,C133))</f>
        <v>2</v>
      </c>
      <c r="D134" s="1">
        <f>IFERROR(IF(D133=MAX(SPT[Prof. (m)]),0,D133+1),0)</f>
        <v>3</v>
      </c>
      <c r="E134" s="1">
        <f>INDEX(SPT[],MATCH(ECF[[#This Row],[Prof. (m)]],SPT[Prof. (m)],0),2)</f>
        <v>4</v>
      </c>
      <c r="F134" s="1" t="str">
        <f>INDEX(SPT[],MATCH(ECF[[#This Row],[Prof. (m)]],SPT[Prof. (m)],0),3)</f>
        <v>Areia siltosa</v>
      </c>
      <c r="G134" s="1">
        <f>INDEX(estacas[],ECF[[#This Row],[idDiâmetro]],MATCH($B$2,estacas[#Headers],0))</f>
        <v>120</v>
      </c>
      <c r="H134" s="1">
        <f>INDEX(estacas[],MATCH(ECF[[#This Row],[Ø (cm)]],estacas[Ø ECF (cm)],0),MATCH(ECF[[#Headers],[Pe ECF (kN)]],estacas[#Headers],0))</f>
        <v>4500</v>
      </c>
      <c r="I134" s="4">
        <f>INDEX(K_alpha_C[],MATCH(ECF[[#This Row],[Solo]],K_alpha_C[Solo],0),2)</f>
        <v>0.8</v>
      </c>
      <c r="J134" s="5">
        <f>INDEX(K_alpha_C[],MATCH(ECF[[#This Row],[Solo]],K_alpha_C[Solo],0),3)</f>
        <v>2</v>
      </c>
      <c r="K134" s="4">
        <f>INDEX(F1_F2[],MATCH($D$2,F1_F2[Tipo de estaca],0),2)</f>
        <v>3</v>
      </c>
      <c r="L134" s="4">
        <f>INDEX(F1_F2[],MATCH($D$2,F1_F2[Tipo de estaca],0),3)</f>
        <v>6</v>
      </c>
      <c r="M134" s="4">
        <f>PI()*(ECF[[#This Row],[Ø (cm)]]/100)^2/4</f>
        <v>1.1309733552923256</v>
      </c>
      <c r="N134" s="4">
        <f>PI()*ECF[[#This Row],[Ø (cm)]]/100</f>
        <v>3.7699111843077513</v>
      </c>
      <c r="O134" s="4">
        <f>IF(ECF[[#This Row],[Prof. (m)]]=0,0,ECF[[#This Row],[α (%)]]/100*ECF[[#This Row],[K (MPa)]]*1000*ECF[[#This Row],[NSPT]])</f>
        <v>64</v>
      </c>
      <c r="P134" s="4">
        <f>IF(ECF[[#This Row],[Prof. (m)]]=0,0,(ECF[[#This Row],[K (MPa)]]*1000*ECF[[#This Row],[NSPT]]/ECF[[#This Row],[F1]]*ECF[[#This Row],[Ap (m²)]]+ECF[[#This Row],[U (m)]]/ECF[[#This Row],[F2]]*SUMIFS(ECF[(α∙K∙NL∙ΔL)],ECF[Prof. (m)],"&lt;="&amp;ECF[[#This Row],[Prof. (m)]],ECF[idDiâmetro],ECF[[#This Row],[idDiâmetro]],ECF[idPilar],ECF[[#This Row],[idPilar]]))/'DADOS CAP. CARGA'!$D$2)</f>
        <v>643.39817545518974</v>
      </c>
      <c r="Q134" s="12">
        <f>INDEX(C_alpha_beta[],MATCH(ECF[[#This Row],[Solo]],C_alpha_beta[Solo],0),MATCH(ECF[[#Headers],[C (kPa)]],C_alpha_beta[#Headers],0))</f>
        <v>400</v>
      </c>
      <c r="R134" s="4">
        <f>INDEX(C_alpha_beta[],MATCH(ECF[[#This Row],[Solo]],C_alpha_beta[Solo],0),MATCH(ECF[[#Headers],[α ESF]],C_alpha_beta[#Headers],0))</f>
        <v>0.5</v>
      </c>
      <c r="S134" s="4">
        <f>INDEX(C_alpha_beta[],MATCH(ECF[[#This Row],[Solo]],C_alpha_beta[Solo],0),MATCH(ECF[[#Headers],[β ESF]],C_alpha_beta[#Headers],0))</f>
        <v>0.5</v>
      </c>
      <c r="T134" s="4">
        <f>IF(ECF[[#This Row],[Prof. (m)]]=0,0,10*(ECF[[#This Row],[NSPT]]/3+1))</f>
        <v>23.333333333333329</v>
      </c>
      <c r="U134" s="4">
        <f>(ECF[[#This Row],[α ESF]]*ECF[[#This Row],[C (kPa)]]*ECF[[#This Row],[NSPT]]*ECF[[#This Row],[Ap (m²)]])/'DADOS CAP. CARGA'!$Q$2+(ECF[[#This Row],[β ESF]]*SUMIFS(ECF[10∙(NL/3+1)],ECF[Prof. (m)],"&lt;="&amp;ECF[[#This Row],[Prof. (m)]],ECF[idDiâmetro],ECF[[#This Row],[idDiâmetro]],ECF[idPilar],ECF[[#This Row],[idPilar]])*ECF[[#This Row],[U (m)]])/'DADOS CAP. CARGA'!$S$2</f>
        <v>279.60174616949155</v>
      </c>
      <c r="V134" s="4">
        <f>IF(SPT!$M$5=1,MIN(ECF[[#This Row],[Pe ECF (kN)]],ECF[[#This Row],[R_AV (kN)]]),IF(SPT!$M$5=2,MIN(ECF[[#This Row],[Pe ECF (kN)]],ECF[[#This Row],[R_DC (kN)]]),MIN(ECF[[#This Row],[Pe ECF (kN)]],ECF[[#This Row],[R_AV (kN)]],ECF[[#This Row],[R_DC (kN)]])))</f>
        <v>279.60174616949155</v>
      </c>
      <c r="W134" s="4">
        <f>INDEX(PILARES[],ECF[[#This Row],[idPilar]],MATCH("Carga (kN)",PILARES[#Headers],0))*1.4</f>
        <v>1750</v>
      </c>
      <c r="X134" s="12">
        <f>INDEX(PILARES[],ECF[[#This Row],[idPilar]],MATCH(ECF[[#Headers],[ap (cm)]],PILARES[#Headers],0))</f>
        <v>50</v>
      </c>
      <c r="Y134" s="12">
        <f>INDEX(PILARES[],ECF[[#This Row],[idPilar]],MATCH(ECF[[#Headers],[bp (cm)]],PILARES[#Headers],0))</f>
        <v>40</v>
      </c>
      <c r="Z134" s="4">
        <f>SQRT(ECF[[#This Row],[ap (cm)]]*ECF[[#This Row],[bp (cm)]])</f>
        <v>44.721359549995796</v>
      </c>
      <c r="AA134" s="12">
        <f>ECF[[#This Row],[ap (cm)]]*ECF[[#This Row],[bp (cm)]]</f>
        <v>2000</v>
      </c>
      <c r="AB134" s="12">
        <f ca="1">IF(ECF[[#This Row],[Padm∙ε (kN)]]&gt;=ECF[[#This Row],[Padm (kN)]],ROUNDUP(1.05*ECF[[#This Row],[Nsd (kN)]]/ECF[[#This Row],[Padm (kN)]],0),ROUNDUP(1.05*ECF[[#This Row],[Nsd (kN)]]/ECF[[#This Row],[Padm (kN)]],0)+1)</f>
        <v>7</v>
      </c>
      <c r="AC134" s="4" t="str">
        <f ca="1">IFERROR(IF(ECF[[#This Row],[nE]]=1,ECF[[#This Row],[Padm (kN)]],ECF[[#This Row],[Padm (kN)]]*ECF[[#This Row],[nE]]*INDEX(grupoEstacas[],ECF[[#This Row],[nE]],MATCH("ε",grupoEstacas[#Headers],0))),"N.S.")</f>
        <v>N.S.</v>
      </c>
      <c r="AD134" s="4">
        <f ca="1">1.05*ECF[[#This Row],[Nsd (kN)]]/(ECF[[#This Row],[nE]]*PI()*ECF[[#This Row],[Ø (cm)]]^2/4)*10</f>
        <v>0.2321009586756807</v>
      </c>
      <c r="AE134" s="4">
        <f ca="1">IF(ECF[[#This Row],[σ (MPa)]]&lt;INDEX(tipoEstaca[],MATCH($D$2,tipoEstaca[TIPO DE ESTACA],0),MATCH("σmáx (MPa)",tipoEstaca[#Headers],0)),0.4%*PI()*ECF[[#This Row],[Ø (cm)]]^2/4,"N.S.")</f>
        <v>45.238934211693021</v>
      </c>
      <c r="AF134" s="1">
        <f>INDEX(tipoEstaca[],MATCH($D$2,tipoEstaca[TIPO DE ESTACA],0),MATCH(ECF[[#Headers],[Comprimento (m)]],tipoEstaca[#Headers],0))</f>
        <v>4</v>
      </c>
      <c r="AG134" s="5">
        <f ca="1">ECF[[#This Row],[As,mín (cm²)]]/100^2*ECF[[#This Row],[Comprimento (m)]]*7850</f>
        <v>142.05025342471609</v>
      </c>
      <c r="AH134" s="4">
        <f ca="1">ECF[[#This Row],[nE]]*ECF[[#This Row],[Prof. (m)]]*ECF[[#This Row],[Ap (m²)]]</f>
        <v>23.750440461138837</v>
      </c>
      <c r="AI134" s="1">
        <f ca="1">IF(ECF[[#This Row],[nE]]=1,0,MAX(3*ECF[[#This Row],[Ø (cm)]],60))</f>
        <v>360</v>
      </c>
      <c r="AJ134" s="1">
        <f ca="1">IF(ECF[[#This Row],[nE]]=1,ECF[[#This Row],[Ø (cm)]]+2*10,MAX(1.5*ECF[[#This Row],[Ø (cm)]],ECF[[#This Row],[Ø (cm)]]+15))</f>
        <v>180</v>
      </c>
      <c r="AK134" s="1" t="str">
        <f ca="1">alturaUtil(ECF[[#This Row],[nE]],ECF[[#This Row],[Ø (cm)]],ECF[[#This Row],[e (cm)]],ECF[[#This Row],[ap,eq (cm)]])</f>
        <v>N.S.</v>
      </c>
      <c r="AL134" s="1" t="str">
        <f ca="1">IFERROR(ECF[[#This Row],[d (cm)]]+arredondarParaCimaMultiplo5cm(MAX(5,SQRT(PI())/2*ECF[[#This Row],[Ø (cm)]]/5)),"N.S.")</f>
        <v>N.S.</v>
      </c>
      <c r="AM134" s="5" t="str">
        <f ca="1">alpha(ECF[[#This Row],[nE]],ECF[[#This Row],[d (cm)]],ECF[[#This Row],[e (cm)]],ECF[[#This Row],[ap,eq (cm)]])</f>
        <v>N.S.</v>
      </c>
      <c r="AN134" s="35" t="str">
        <f ca="1">IFERROR(ECF[[#This Row],[Nsd (kN)]]/(ECF[[#This Row],[Ap (cm²)]]*SIN(ECF[[#This Row],[α]])^2),"N.S.")</f>
        <v>N.S.</v>
      </c>
      <c r="AO134" s="35" t="str">
        <f ca="1">IFERROR(ECF[[#This Row],[Nsd (kN)]]/(ECF[[#This Row],[nE]]*PI()*ECF[[#This Row],[Ø (cm)]]^2/4*SIN(ECF[[#This Row],[α]])^2),"N.S.")</f>
        <v>N.S.</v>
      </c>
      <c r="AP134" s="4" t="str">
        <f ca="1">IFERROR(INDEX(grupoEstacas[],ECF[[#This Row],[nE]],MATCH("coef. Blévot",grupoEstacas[#Headers],0)),"N.S.")</f>
        <v>N.S.</v>
      </c>
      <c r="AQ134" s="35" t="str">
        <f ca="1">IFERROR(ECF[[#This Row],[coef. Blévot]]*0.9*INDEX(tipoEstaca[],MATCH($D$2,tipoEstaca[TIPO DE ESTACA],0),MATCH("fcd (kN/cm²)",tipoEstaca[#Headers],0)),"N.S.")</f>
        <v>N.S.</v>
      </c>
      <c r="AR134" s="1" t="str">
        <f ca="1">IF(AND(ECF[[#This Row],[cd,b,pil (kN/cm²)]]&lt;=ECF[[#This Row],[cd,b,lim (kN/cm²)]],ECF[[#This Row],[cd,b,est (kN/cm²)]]&lt;=ECF[[#This Row],[cd,b,lim (kN/cm²)]]),"OK","ERRO")</f>
        <v>OK</v>
      </c>
      <c r="AS134" s="4" t="str">
        <f ca="1">As_lado(ECF[[#This Row],[nE]],ECF[[#This Row],[Nsd (kN)]],ECF[[#This Row],[d (cm)]],ECF[[#This Row],[e (cm)]],ECF[[#This Row],[ap,eq (cm)]])</f>
        <v>N.S.</v>
      </c>
      <c r="AT134" s="4" t="str">
        <f ca="1">IF(ECF[[#This Row],[nE]]=1,ECF[[#This Row],[As,lado (cm²)]],IF(ECF[[#This Row],[nE]]=2,0.075*2*ECF[a (cm)],"N.A."))</f>
        <v>N.A.</v>
      </c>
      <c r="AU134" s="4" t="str">
        <f ca="1">IFERROR(IF(ECF[[#This Row],[nE]]=1,"N.A.",0.2*ECF[[#This Row],[As,lado (cm²)]]),"N.S.")</f>
        <v>N.S.</v>
      </c>
      <c r="AV134" s="4" t="str">
        <f ca="1">As_malha(ECF[[#This Row],[nE]],ECF[[#This Row],[As,lado (cm²)]],ECF[[#This Row],[Nsd (kN)]])</f>
        <v>N.S.</v>
      </c>
      <c r="AW134" s="4" t="str">
        <f ca="1">As_susp_tot(ECF[[#This Row],[nE]],ECF[[#This Row],[Nsd (kN)]])</f>
        <v>N.S.</v>
      </c>
      <c r="AX134" s="4" t="str">
        <f ca="1">Asp_face(ECF[[#This Row],[nE]],ECF[[#This Row],[As,lado (cm²)]])</f>
        <v>N.S.</v>
      </c>
      <c r="AY134" s="5" t="str">
        <f ca="1">acoBloco(ECF[[#This Row],[nE]],ECF[[#This Row],[e (cm)]],ECF[[#This Row],[a (cm)]],ECF[[#This Row],[h (cm)]],ECF[[#This Row],[As,lado (cm²)]],ECF[[#This Row],[Asp e Asw (cm²/m)]],ECF[[#This Row],[As,sup (cm²)]],ECF[[#This Row],[As,malha (cm²)]],ECF[[#This Row],[As,susp,tot (cm²)]],ECF[[#This Row],[Asp,face (cm²)]])</f>
        <v>N.S.</v>
      </c>
      <c r="AZ134" s="4" t="str">
        <f ca="1">concretoBloco(ECF[[#This Row],[nE]],ECF[[#This Row],[e (cm)]],ECF[[#This Row],[a (cm)]],ECF[[#This Row],[h (cm)]])</f>
        <v>N.S.</v>
      </c>
      <c r="BA134" s="5">
        <f ca="1">SUM(ECF[[#This Row],[Aço Est (kg)]],ECF[[#This Row],[Aço Bloco (kg)]])</f>
        <v>142.05025342471609</v>
      </c>
      <c r="BB134" s="4">
        <f>INDEX(composicoes[],MATCH(95580,composicoes[CÓDIGO],0),MATCH("CUSTO TOTAL",composicoes[#Headers],0))</f>
        <v>10.46</v>
      </c>
      <c r="BC134" s="4">
        <f ca="1">SUM(ECF[[#This Row],[Conc Est (m³)]],ECF[[#This Row],[Conc Bloco (m³)]])</f>
        <v>23.750440461138837</v>
      </c>
      <c r="BD134" s="4">
        <f>INDEX(composicoes[],MATCH(94966,composicoes[CÓDIGO],0),MATCH("CUSTO TOTAL",composicoes[#Headers],0))</f>
        <v>439.52</v>
      </c>
      <c r="BE134" s="38">
        <f ca="1">ECF[[#This Row],[Aço (kg)]]*ECF[[#This Row],[Aço (R$/kg)]]+ECF[[#This Row],[Conc (m³)]]*ECF[[#This Row],[Conc (R$/m³)]]</f>
        <v>11924.639242302272</v>
      </c>
      <c r="BF134" s="4" t="str">
        <f ca="1">IF(COUNTIF(ECF[#This Row],"N.S.")&gt;0,"lim.","OK")</f>
        <v>lim.</v>
      </c>
      <c r="BG134" s="4" t="str">
        <f>IF(ECF[[#This Row],[Prof. (m)]]&lt;4,"lim.","OK")</f>
        <v>lim.</v>
      </c>
      <c r="BH134" s="4" t="str">
        <f>IF(ECF[[#This Row],[Prof. (m)]]&gt;=8*ECF[[#This Row],[Ø (cm)]]/100,"OK","lim.")</f>
        <v>lim.</v>
      </c>
      <c r="BI134" s="4" t="str">
        <f>IF(AND(SPT!$F$3&lt;&gt;"",ECF[[#This Row],[Prof. (m)]]&gt;=SPT!$F$3-2),"lim.","OK")</f>
        <v>OK</v>
      </c>
      <c r="BJ134" s="4" t="str">
        <f ca="1">IF(ECF[[#This Row],[Verif. Biela]]="OK","OK","lim.")</f>
        <v>OK</v>
      </c>
      <c r="BK134" s="4" t="str">
        <f ca="1">IF(COUNTA(ECF[[#This Row],[Nº Est.]:[Biela comp.]])=COUNTIF(ECF[[#This Row],[Nº Est.]:[Biela comp.]],"OK"),"OK","lim.")</f>
        <v>lim.</v>
      </c>
      <c r="BL134" s="4" t="str">
        <f ca="1">IF(ECF[[#This Row],[Controle]]="OK",ECF[[#This Row],[nE]]&amp;" Ø"&amp;ECF[[#This Row],[Ø (cm)]]&amp;"cm Prof. "&amp;ECF[[#This Row],[Prof. (m)]]&amp;" m","")</f>
        <v/>
      </c>
      <c r="BM134" s="4" t="str">
        <f ca="1">IF(ECF[[#This Row],[idDimensionamento]]="","",ECF[[#This Row],[idPilar]]&amp;ECF[[#This Row],[idDimensionamento]])</f>
        <v/>
      </c>
    </row>
    <row r="135" spans="2:65" x14ac:dyDescent="0.25">
      <c r="B135" s="12">
        <f>ROUNDUP((ROW(ECF[[#This Row],[idDiâmetro]])-ROW(ECF[[#Headers],[idDiâmetro]]))/(COUNT(SPT[Prof. (m)])*COUNT(PILARES[Pilar])),0)</f>
        <v>5</v>
      </c>
      <c r="C135" s="12">
        <f>IF(ECF[[#This Row],[idDiâmetro]]&lt;&gt;B134,1,IF(ECF[[#This Row],[Prof. (m)]]=0,C134+1,C134))</f>
        <v>2</v>
      </c>
      <c r="D135" s="1">
        <f>IFERROR(IF(D134=MAX(SPT[Prof. (m)]),0,D134+1),0)</f>
        <v>4</v>
      </c>
      <c r="E135" s="1">
        <f>INDEX(SPT[],MATCH(ECF[[#This Row],[Prof. (m)]],SPT[Prof. (m)],0),2)</f>
        <v>8</v>
      </c>
      <c r="F135" s="1" t="str">
        <f>INDEX(SPT[],MATCH(ECF[[#This Row],[Prof. (m)]],SPT[Prof. (m)],0),3)</f>
        <v>Areia siltosa</v>
      </c>
      <c r="G135" s="1">
        <f>INDEX(estacas[],ECF[[#This Row],[idDiâmetro]],MATCH($B$2,estacas[#Headers],0))</f>
        <v>120</v>
      </c>
      <c r="H135" s="1">
        <f>INDEX(estacas[],MATCH(ECF[[#This Row],[Ø (cm)]],estacas[Ø ECF (cm)],0),MATCH(ECF[[#Headers],[Pe ECF (kN)]],estacas[#Headers],0))</f>
        <v>4500</v>
      </c>
      <c r="I135" s="4">
        <f>INDEX(K_alpha_C[],MATCH(ECF[[#This Row],[Solo]],K_alpha_C[Solo],0),2)</f>
        <v>0.8</v>
      </c>
      <c r="J135" s="5">
        <f>INDEX(K_alpha_C[],MATCH(ECF[[#This Row],[Solo]],K_alpha_C[Solo],0),3)</f>
        <v>2</v>
      </c>
      <c r="K135" s="4">
        <f>INDEX(F1_F2[],MATCH($D$2,F1_F2[Tipo de estaca],0),2)</f>
        <v>3</v>
      </c>
      <c r="L135" s="4">
        <f>INDEX(F1_F2[],MATCH($D$2,F1_F2[Tipo de estaca],0),3)</f>
        <v>6</v>
      </c>
      <c r="M135" s="4">
        <f>PI()*(ECF[[#This Row],[Ø (cm)]]/100)^2/4</f>
        <v>1.1309733552923256</v>
      </c>
      <c r="N135" s="4">
        <f>PI()*ECF[[#This Row],[Ø (cm)]]/100</f>
        <v>3.7699111843077513</v>
      </c>
      <c r="O135" s="4">
        <f>IF(ECF[[#This Row],[Prof. (m)]]=0,0,ECF[[#This Row],[α (%)]]/100*ECF[[#This Row],[K (MPa)]]*1000*ECF[[#This Row],[NSPT]])</f>
        <v>128</v>
      </c>
      <c r="P135" s="4">
        <f>IF(ECF[[#This Row],[Prof. (m)]]=0,0,(ECF[[#This Row],[K (MPa)]]*1000*ECF[[#This Row],[NSPT]]/ECF[[#This Row],[F1]]*ECF[[#This Row],[Ap (m²)]]+ECF[[#This Row],[U (m)]]/ECF[[#This Row],[F2]]*SUMIFS(ECF[(α∙K∙NL∙ΔL)],ECF[Prof. (m)],"&lt;="&amp;ECF[[#This Row],[Prof. (m)]],ECF[idDiâmetro],ECF[[#This Row],[idDiâmetro]],ECF[idPilar],ECF[[#This Row],[idPilar]]))/'DADOS CAP. CARGA'!$D$2)</f>
        <v>1286.7963509103795</v>
      </c>
      <c r="Q135" s="12">
        <f>INDEX(C_alpha_beta[],MATCH(ECF[[#This Row],[Solo]],C_alpha_beta[Solo],0),MATCH(ECF[[#Headers],[C (kPa)]],C_alpha_beta[#Headers],0))</f>
        <v>400</v>
      </c>
      <c r="R135" s="4">
        <f>INDEX(C_alpha_beta[],MATCH(ECF[[#This Row],[Solo]],C_alpha_beta[Solo],0),MATCH(ECF[[#Headers],[α ESF]],C_alpha_beta[#Headers],0))</f>
        <v>0.5</v>
      </c>
      <c r="S135" s="4">
        <f>INDEX(C_alpha_beta[],MATCH(ECF[[#This Row],[Solo]],C_alpha_beta[Solo],0),MATCH(ECF[[#Headers],[β ESF]],C_alpha_beta[#Headers],0))</f>
        <v>0.5</v>
      </c>
      <c r="T135" s="4">
        <f>IF(ECF[[#This Row],[Prof. (m)]]=0,0,10*(ECF[[#This Row],[NSPT]]/3+1))</f>
        <v>36.666666666666664</v>
      </c>
      <c r="U135" s="4">
        <f>(ECF[[#This Row],[α ESF]]*ECF[[#This Row],[C (kPa)]]*ECF[[#This Row],[NSPT]]*ECF[[#This Row],[Ap (m²)]])/'DADOS CAP. CARGA'!$Q$2+(ECF[[#This Row],[β ESF]]*SUMIFS(ECF[10∙(NL/3+1)],ECF[Prof. (m)],"&lt;="&amp;ECF[[#This Row],[Prof. (m)]],ECF[idDiâmetro],ECF[[#This Row],[idDiâmetro]],ECF[idPilar],ECF[[#This Row],[idPilar]])*ECF[[#This Row],[U (m)]])/'DADOS CAP. CARGA'!$S$2</f>
        <v>540.3539364174444</v>
      </c>
      <c r="V135" s="4">
        <f>IF(SPT!$M$5=1,MIN(ECF[[#This Row],[Pe ECF (kN)]],ECF[[#This Row],[R_AV (kN)]]),IF(SPT!$M$5=2,MIN(ECF[[#This Row],[Pe ECF (kN)]],ECF[[#This Row],[R_DC (kN)]]),MIN(ECF[[#This Row],[Pe ECF (kN)]],ECF[[#This Row],[R_AV (kN)]],ECF[[#This Row],[R_DC (kN)]])))</f>
        <v>540.3539364174444</v>
      </c>
      <c r="W135" s="4">
        <f>INDEX(PILARES[],ECF[[#This Row],[idPilar]],MATCH("Carga (kN)",PILARES[#Headers],0))*1.4</f>
        <v>1750</v>
      </c>
      <c r="X135" s="12">
        <f>INDEX(PILARES[],ECF[[#This Row],[idPilar]],MATCH(ECF[[#Headers],[ap (cm)]],PILARES[#Headers],0))</f>
        <v>50</v>
      </c>
      <c r="Y135" s="12">
        <f>INDEX(PILARES[],ECF[[#This Row],[idPilar]],MATCH(ECF[[#Headers],[bp (cm)]],PILARES[#Headers],0))</f>
        <v>40</v>
      </c>
      <c r="Z135" s="4">
        <f>SQRT(ECF[[#This Row],[ap (cm)]]*ECF[[#This Row],[bp (cm)]])</f>
        <v>44.721359549995796</v>
      </c>
      <c r="AA135" s="12">
        <f>ECF[[#This Row],[ap (cm)]]*ECF[[#This Row],[bp (cm)]]</f>
        <v>2000</v>
      </c>
      <c r="AB135" s="12">
        <f ca="1">IF(ECF[[#This Row],[Padm∙ε (kN)]]&gt;=ECF[[#This Row],[Padm (kN)]],ROUNDUP(1.05*ECF[[#This Row],[Nsd (kN)]]/ECF[[#This Row],[Padm (kN)]],0),ROUNDUP(1.05*ECF[[#This Row],[Nsd (kN)]]/ECF[[#This Row],[Padm (kN)]],0)+1)</f>
        <v>4</v>
      </c>
      <c r="AC135" s="4">
        <f ca="1">IFERROR(IF(ECF[[#This Row],[nE]]=1,ECF[[#This Row],[Padm (kN)]],ECF[[#This Row],[Padm (kN)]]*ECF[[#This Row],[nE]]*INDEX(grupoEstacas[],ECF[[#This Row],[nE]],MATCH("ε",grupoEstacas[#Headers],0))),"N.S.")</f>
        <v>1756.1502933566944</v>
      </c>
      <c r="AD135" s="4">
        <f ca="1">1.05*ECF[[#This Row],[Nsd (kN)]]/(ECF[[#This Row],[nE]]*PI()*ECF[[#This Row],[Ø (cm)]]^2/4)*10</f>
        <v>0.40617667768244126</v>
      </c>
      <c r="AE135" s="4">
        <f ca="1">IF(ECF[[#This Row],[σ (MPa)]]&lt;INDEX(tipoEstaca[],MATCH($D$2,tipoEstaca[TIPO DE ESTACA],0),MATCH("σmáx (MPa)",tipoEstaca[#Headers],0)),0.4%*PI()*ECF[[#This Row],[Ø (cm)]]^2/4,"N.S.")</f>
        <v>45.238934211693021</v>
      </c>
      <c r="AF135" s="1">
        <f>INDEX(tipoEstaca[],MATCH($D$2,tipoEstaca[TIPO DE ESTACA],0),MATCH(ECF[[#Headers],[Comprimento (m)]],tipoEstaca[#Headers],0))</f>
        <v>4</v>
      </c>
      <c r="AG135" s="5">
        <f ca="1">ECF[[#This Row],[As,mín (cm²)]]/100^2*ECF[[#This Row],[Comprimento (m)]]*7850</f>
        <v>142.05025342471609</v>
      </c>
      <c r="AH135" s="4">
        <f ca="1">ECF[[#This Row],[nE]]*ECF[[#This Row],[Prof. (m)]]*ECF[[#This Row],[Ap (m²)]]</f>
        <v>18.095573684677209</v>
      </c>
      <c r="AI135" s="1">
        <f ca="1">IF(ECF[[#This Row],[nE]]=1,0,MAX(3*ECF[[#This Row],[Ø (cm)]],60))</f>
        <v>360</v>
      </c>
      <c r="AJ135" s="1">
        <f ca="1">IF(ECF[[#This Row],[nE]]=1,ECF[[#This Row],[Ø (cm)]]+2*10,MAX(1.5*ECF[[#This Row],[Ø (cm)]],ECF[[#This Row],[Ø (cm)]]+15))</f>
        <v>180</v>
      </c>
      <c r="AK135" s="1">
        <f ca="1">alturaUtil(ECF[[#This Row],[nE]],ECF[[#This Row],[Ø (cm)]],ECF[[#This Row],[e (cm)]],ECF[[#This Row],[ap,eq (cm)]])</f>
        <v>170</v>
      </c>
      <c r="AL135" s="1">
        <f ca="1">IFERROR(ECF[[#This Row],[d (cm)]]+arredondarParaCimaMultiplo5cm(MAX(5,SQRT(PI())/2*ECF[[#This Row],[Ø (cm)]]/5)),"N.S.")</f>
        <v>195</v>
      </c>
      <c r="AM135" s="5">
        <f ca="1">alpha(ECF[[#This Row],[nE]],ECF[[#This Row],[d (cm)]],ECF[[#This Row],[e (cm)]],ECF[[#This Row],[ap,eq (cm)]])</f>
        <v>45.199599457550647</v>
      </c>
      <c r="AN135" s="35">
        <f ca="1">IFERROR(ECF[[#This Row],[Nsd (kN)]]/(ECF[[#This Row],[Ap (cm²)]]*SIN(ECF[[#This Row],[α]])^2),"N.S.")</f>
        <v>0.99413645196626865</v>
      </c>
      <c r="AO135" s="35">
        <f ca="1">IFERROR(ECF[[#This Row],[Nsd (kN)]]/(ECF[[#This Row],[nE]]*PI()*ECF[[#This Row],[Ø (cm)]]^2/4*SIN(ECF[[#This Row],[α]])^2),"N.S.")</f>
        <v>4.3950480677297288E-2</v>
      </c>
      <c r="AP135" s="4">
        <f ca="1">IFERROR(INDEX(grupoEstacas[],ECF[[#This Row],[nE]],MATCH("coef. Blévot",grupoEstacas[#Headers],0)),"N.S.")</f>
        <v>2.1</v>
      </c>
      <c r="AQ135" s="35">
        <f ca="1">IFERROR(ECF[[#This Row],[coef. Blévot]]*0.9*INDEX(tipoEstaca[],MATCH($D$2,tipoEstaca[TIPO DE ESTACA],0),MATCH("fcd (kN/cm²)",tipoEstaca[#Headers],0)),"N.S.")</f>
        <v>2.1</v>
      </c>
      <c r="AR135" s="1" t="str">
        <f ca="1">IF(AND(ECF[[#This Row],[cd,b,pil (kN/cm²)]]&lt;=ECF[[#This Row],[cd,b,lim (kN/cm²)]],ECF[[#This Row],[cd,b,est (kN/cm²)]]&lt;=ECF[[#This Row],[cd,b,lim (kN/cm²)]]),"OK","ERRO")</f>
        <v>OK</v>
      </c>
      <c r="AS135" s="4">
        <f ca="1">As_lado(ECF[[#This Row],[nE]],ECF[[#This Row],[Nsd (kN)]],ECF[[#This Row],[d (cm)]],ECF[[#This Row],[e (cm)]],ECF[[#This Row],[ap,eq (cm)]])</f>
        <v>9.9926342934237748</v>
      </c>
      <c r="AT135" s="4" t="str">
        <f ca="1">IF(ECF[[#This Row],[nE]]=1,ECF[[#This Row],[As,lado (cm²)]],IF(ECF[[#This Row],[nE]]=2,0.075*2*ECF[a (cm)],"N.A."))</f>
        <v>N.A.</v>
      </c>
      <c r="AU135" s="4">
        <f ca="1">IFERROR(IF(ECF[[#This Row],[nE]]=1,"N.A.",0.2*ECF[[#This Row],[As,lado (cm²)]]),"N.S.")</f>
        <v>1.9985268586847551</v>
      </c>
      <c r="AV135" s="4">
        <f ca="1">As_malha(ECF[[#This Row],[nE]],ECF[[#This Row],[As,lado (cm²)]],ECF[[#This Row],[Nsd (kN)]])</f>
        <v>1.9985268586847551</v>
      </c>
      <c r="AW135" s="4">
        <f ca="1">As_susp_tot(ECF[[#This Row],[nE]],ECF[[#This Row],[Nsd (kN)]])</f>
        <v>6.708333333333333</v>
      </c>
      <c r="AX135" s="4">
        <f ca="1">Asp_face(ECF[[#This Row],[nE]],ECF[[#This Row],[As,lado (cm²)]])</f>
        <v>4.9963171467118874</v>
      </c>
      <c r="AY135" s="5">
        <f ca="1">acoBloco(ECF[[#This Row],[nE]],ECF[[#This Row],[e (cm)]],ECF[[#This Row],[a (cm)]],ECF[[#This Row],[h (cm)]],ECF[[#This Row],[As,lado (cm²)]],ECF[[#This Row],[Asp e Asw (cm²/m)]],ECF[[#This Row],[As,sup (cm²)]],ECF[[#This Row],[As,malha (cm²)]],ECF[[#This Row],[As,susp,tot (cm²)]],ECF[[#This Row],[Asp,face (cm²)]])</f>
        <v>416.9130382403045</v>
      </c>
      <c r="AZ135" s="4">
        <f ca="1">concretoBloco(ECF[[#This Row],[nE]],ECF[[#This Row],[e (cm)]],ECF[[#This Row],[a (cm)]],ECF[[#This Row],[h (cm)]])</f>
        <v>101.08799999999999</v>
      </c>
      <c r="BA135" s="5">
        <f ca="1">SUM(ECF[[#This Row],[Aço Est (kg)]],ECF[[#This Row],[Aço Bloco (kg)]])</f>
        <v>558.96329166502062</v>
      </c>
      <c r="BB135" s="4">
        <f>INDEX(composicoes[],MATCH(95580,composicoes[CÓDIGO],0),MATCH("CUSTO TOTAL",composicoes[#Headers],0))</f>
        <v>10.46</v>
      </c>
      <c r="BC135" s="4">
        <f ca="1">SUM(ECF[[#This Row],[Conc Est (m³)]],ECF[[#This Row],[Conc Bloco (m³)]])</f>
        <v>119.1835736846772</v>
      </c>
      <c r="BD135" s="4">
        <f>INDEX(composicoes[],MATCH(94966,composicoes[CÓDIGO],0),MATCH("CUSTO TOTAL",composicoes[#Headers],0))</f>
        <v>439.52</v>
      </c>
      <c r="BE135" s="38">
        <f ca="1">ECF[[#This Row],[Aço (kg)]]*ECF[[#This Row],[Aço (R$/kg)]]+ECF[[#This Row],[Conc (m³)]]*ECF[[#This Row],[Conc (R$/m³)]]</f>
        <v>58230.320336705438</v>
      </c>
      <c r="BF135" s="4" t="str">
        <f ca="1">IF(COUNTIF(ECF[#This Row],"N.S.")&gt;0,"lim.","OK")</f>
        <v>OK</v>
      </c>
      <c r="BG135" s="4" t="str">
        <f>IF(ECF[[#This Row],[Prof. (m)]]&lt;4,"lim.","OK")</f>
        <v>OK</v>
      </c>
      <c r="BH135" s="4" t="str">
        <f>IF(ECF[[#This Row],[Prof. (m)]]&gt;=8*ECF[[#This Row],[Ø (cm)]]/100,"OK","lim.")</f>
        <v>lim.</v>
      </c>
      <c r="BI135" s="4" t="str">
        <f>IF(AND(SPT!$F$3&lt;&gt;"",ECF[[#This Row],[Prof. (m)]]&gt;=SPT!$F$3-2),"lim.","OK")</f>
        <v>OK</v>
      </c>
      <c r="BJ135" s="4" t="str">
        <f ca="1">IF(ECF[[#This Row],[Verif. Biela]]="OK","OK","lim.")</f>
        <v>OK</v>
      </c>
      <c r="BK135" s="4" t="str">
        <f ca="1">IF(COUNTA(ECF[[#This Row],[Nº Est.]:[Biela comp.]])=COUNTIF(ECF[[#This Row],[Nº Est.]:[Biela comp.]],"OK"),"OK","lim.")</f>
        <v>lim.</v>
      </c>
      <c r="BL135" s="4" t="str">
        <f ca="1">IF(ECF[[#This Row],[Controle]]="OK",ECF[[#This Row],[nE]]&amp;" Ø"&amp;ECF[[#This Row],[Ø (cm)]]&amp;"cm Prof. "&amp;ECF[[#This Row],[Prof. (m)]]&amp;" m","")</f>
        <v/>
      </c>
      <c r="BM135" s="4" t="str">
        <f ca="1">IF(ECF[[#This Row],[idDimensionamento]]="","",ECF[[#This Row],[idPilar]]&amp;ECF[[#This Row],[idDimensionamento]])</f>
        <v/>
      </c>
    </row>
    <row r="136" spans="2:65" x14ac:dyDescent="0.25">
      <c r="B136" s="12">
        <f>ROUNDUP((ROW(ECF[[#This Row],[idDiâmetro]])-ROW(ECF[[#Headers],[idDiâmetro]]))/(COUNT(SPT[Prof. (m)])*COUNT(PILARES[Pilar])),0)</f>
        <v>5</v>
      </c>
      <c r="C136" s="12">
        <f>IF(ECF[[#This Row],[idDiâmetro]]&lt;&gt;B135,1,IF(ECF[[#This Row],[Prof. (m)]]=0,C135+1,C135))</f>
        <v>2</v>
      </c>
      <c r="D136" s="1">
        <f>IFERROR(IF(D135=MAX(SPT[Prof. (m)]),0,D135+1),0)</f>
        <v>5</v>
      </c>
      <c r="E136" s="1">
        <f>INDEX(SPT[],MATCH(ECF[[#This Row],[Prof. (m)]],SPT[Prof. (m)],0),2)</f>
        <v>17</v>
      </c>
      <c r="F136" s="1" t="str">
        <f>INDEX(SPT[],MATCH(ECF[[#This Row],[Prof. (m)]],SPT[Prof. (m)],0),3)</f>
        <v>Areia siltosa</v>
      </c>
      <c r="G136" s="1">
        <f>INDEX(estacas[],ECF[[#This Row],[idDiâmetro]],MATCH($B$2,estacas[#Headers],0))</f>
        <v>120</v>
      </c>
      <c r="H136" s="1">
        <f>INDEX(estacas[],MATCH(ECF[[#This Row],[Ø (cm)]],estacas[Ø ECF (cm)],0),MATCH(ECF[[#Headers],[Pe ECF (kN)]],estacas[#Headers],0))</f>
        <v>4500</v>
      </c>
      <c r="I136" s="4">
        <f>INDEX(K_alpha_C[],MATCH(ECF[[#This Row],[Solo]],K_alpha_C[Solo],0),2)</f>
        <v>0.8</v>
      </c>
      <c r="J136" s="5">
        <f>INDEX(K_alpha_C[],MATCH(ECF[[#This Row],[Solo]],K_alpha_C[Solo],0),3)</f>
        <v>2</v>
      </c>
      <c r="K136" s="4">
        <f>INDEX(F1_F2[],MATCH($D$2,F1_F2[Tipo de estaca],0),2)</f>
        <v>3</v>
      </c>
      <c r="L136" s="4">
        <f>INDEX(F1_F2[],MATCH($D$2,F1_F2[Tipo de estaca],0),3)</f>
        <v>6</v>
      </c>
      <c r="M136" s="4">
        <f>PI()*(ECF[[#This Row],[Ø (cm)]]/100)^2/4</f>
        <v>1.1309733552923256</v>
      </c>
      <c r="N136" s="4">
        <f>PI()*ECF[[#This Row],[Ø (cm)]]/100</f>
        <v>3.7699111843077513</v>
      </c>
      <c r="O136" s="4">
        <f>IF(ECF[[#This Row],[Prof. (m)]]=0,0,ECF[[#This Row],[α (%)]]/100*ECF[[#This Row],[K (MPa)]]*1000*ECF[[#This Row],[NSPT]])</f>
        <v>272</v>
      </c>
      <c r="P136" s="4">
        <f>IF(ECF[[#This Row],[Prof. (m)]]=0,0,(ECF[[#This Row],[K (MPa)]]*1000*ECF[[#This Row],[NSPT]]/ECF[[#This Row],[F1]]*ECF[[#This Row],[Ap (m²)]]+ECF[[#This Row],[U (m)]]/ECF[[#This Row],[F2]]*SUMIFS(ECF[(α∙K∙NL∙ΔL)],ECF[Prof. (m)],"&lt;="&amp;ECF[[#This Row],[Prof. (m)]],ECF[idDiâmetro],ECF[[#This Row],[idDiâmetro]],ECF[idPilar],ECF[[#This Row],[idPilar]]))/'DADOS CAP. CARGA'!$D$2)</f>
        <v>2729.415697438812</v>
      </c>
      <c r="Q136" s="12">
        <f>INDEX(C_alpha_beta[],MATCH(ECF[[#This Row],[Solo]],C_alpha_beta[Solo],0),MATCH(ECF[[#Headers],[C (kPa)]],C_alpha_beta[#Headers],0))</f>
        <v>400</v>
      </c>
      <c r="R136" s="4">
        <f>INDEX(C_alpha_beta[],MATCH(ECF[[#This Row],[Solo]],C_alpha_beta[Solo],0),MATCH(ECF[[#Headers],[α ESF]],C_alpha_beta[#Headers],0))</f>
        <v>0.5</v>
      </c>
      <c r="S136" s="4">
        <f>INDEX(C_alpha_beta[],MATCH(ECF[[#This Row],[Solo]],C_alpha_beta[Solo],0),MATCH(ECF[[#Headers],[β ESF]],C_alpha_beta[#Headers],0))</f>
        <v>0.5</v>
      </c>
      <c r="T136" s="4">
        <f>IF(ECF[[#This Row],[Prof. (m)]]=0,0,10*(ECF[[#This Row],[NSPT]]/3+1))</f>
        <v>66.666666666666671</v>
      </c>
      <c r="U136" s="4">
        <f>(ECF[[#This Row],[α ESF]]*ECF[[#This Row],[C (kPa)]]*ECF[[#This Row],[NSPT]]*ECF[[#This Row],[Ap (m²)]])/'DADOS CAP. CARGA'!$Q$2+(ECF[[#This Row],[β ESF]]*SUMIFS(ECF[10∙(NL/3+1)],ECF[Prof. (m)],"&lt;="&amp;ECF[[#This Row],[Prof. (m)]],ECF[idDiâmetro],ECF[[#This Row],[idDiâmetro]],ECF[idPilar],ECF[[#This Row],[idPilar]])*ECF[[#This Row],[U (m)]])/'DADOS CAP. CARGA'!$S$2</f>
        <v>1112.1237993707869</v>
      </c>
      <c r="V136" s="4">
        <f>IF(SPT!$M$5=1,MIN(ECF[[#This Row],[Pe ECF (kN)]],ECF[[#This Row],[R_AV (kN)]]),IF(SPT!$M$5=2,MIN(ECF[[#This Row],[Pe ECF (kN)]],ECF[[#This Row],[R_DC (kN)]]),MIN(ECF[[#This Row],[Pe ECF (kN)]],ECF[[#This Row],[R_AV (kN)]],ECF[[#This Row],[R_DC (kN)]])))</f>
        <v>1112.1237993707869</v>
      </c>
      <c r="W136" s="4">
        <f>INDEX(PILARES[],ECF[[#This Row],[idPilar]],MATCH("Carga (kN)",PILARES[#Headers],0))*1.4</f>
        <v>1750</v>
      </c>
      <c r="X136" s="12">
        <f>INDEX(PILARES[],ECF[[#This Row],[idPilar]],MATCH(ECF[[#Headers],[ap (cm)]],PILARES[#Headers],0))</f>
        <v>50</v>
      </c>
      <c r="Y136" s="12">
        <f>INDEX(PILARES[],ECF[[#This Row],[idPilar]],MATCH(ECF[[#Headers],[bp (cm)]],PILARES[#Headers],0))</f>
        <v>40</v>
      </c>
      <c r="Z136" s="4">
        <f>SQRT(ECF[[#This Row],[ap (cm)]]*ECF[[#This Row],[bp (cm)]])</f>
        <v>44.721359549995796</v>
      </c>
      <c r="AA136" s="12">
        <f>ECF[[#This Row],[ap (cm)]]*ECF[[#This Row],[bp (cm)]]</f>
        <v>2000</v>
      </c>
      <c r="AB136" s="12">
        <f ca="1">IF(ECF[[#This Row],[Padm∙ε (kN)]]&gt;=ECF[[#This Row],[Padm (kN)]],ROUNDUP(1.05*ECF[[#This Row],[Nsd (kN)]]/ECF[[#This Row],[Padm (kN)]],0),ROUNDUP(1.05*ECF[[#This Row],[Nsd (kN)]]/ECF[[#This Row],[Padm (kN)]],0)+1)</f>
        <v>2</v>
      </c>
      <c r="AC136" s="4">
        <f ca="1">IFERROR(IF(ECF[[#This Row],[nE]]=1,ECF[[#This Row],[Padm (kN)]],ECF[[#This Row],[Padm (kN)]]*ECF[[#This Row],[nE]]*INDEX(grupoEstacas[],ECF[[#This Row],[nE]],MATCH("ε",grupoEstacas[#Headers],0))),"N.S.")</f>
        <v>2085.2321238202253</v>
      </c>
      <c r="AD136" s="4">
        <f ca="1">1.05*ECF[[#This Row],[Nsd (kN)]]/(ECF[[#This Row],[nE]]*PI()*ECF[[#This Row],[Ø (cm)]]^2/4)*10</f>
        <v>0.81235335536488251</v>
      </c>
      <c r="AE136" s="4">
        <f ca="1">IF(ECF[[#This Row],[σ (MPa)]]&lt;INDEX(tipoEstaca[],MATCH($D$2,tipoEstaca[TIPO DE ESTACA],0),MATCH("σmáx (MPa)",tipoEstaca[#Headers],0)),0.4%*PI()*ECF[[#This Row],[Ø (cm)]]^2/4,"N.S.")</f>
        <v>45.238934211693021</v>
      </c>
      <c r="AF136" s="1">
        <f>INDEX(tipoEstaca[],MATCH($D$2,tipoEstaca[TIPO DE ESTACA],0),MATCH(ECF[[#Headers],[Comprimento (m)]],tipoEstaca[#Headers],0))</f>
        <v>4</v>
      </c>
      <c r="AG136" s="5">
        <f ca="1">ECF[[#This Row],[As,mín (cm²)]]/100^2*ECF[[#This Row],[Comprimento (m)]]*7850</f>
        <v>142.05025342471609</v>
      </c>
      <c r="AH136" s="4">
        <f ca="1">ECF[[#This Row],[nE]]*ECF[[#This Row],[Prof. (m)]]*ECF[[#This Row],[Ap (m²)]]</f>
        <v>11.309733552923255</v>
      </c>
      <c r="AI136" s="1">
        <f ca="1">IF(ECF[[#This Row],[nE]]=1,0,MAX(3*ECF[[#This Row],[Ø (cm)]],60))</f>
        <v>360</v>
      </c>
      <c r="AJ136" s="1">
        <f ca="1">IF(ECF[[#This Row],[nE]]=1,ECF[[#This Row],[Ø (cm)]]+2*10,MAX(1.5*ECF[[#This Row],[Ø (cm)]],ECF[[#This Row],[Ø (cm)]]+15))</f>
        <v>180</v>
      </c>
      <c r="AK136" s="1">
        <f ca="1">alturaUtil(ECF[[#This Row],[nE]],ECF[[#This Row],[Ø (cm)]],ECF[[#This Row],[e (cm)]],ECF[[#This Row],[ap,eq (cm)]])</f>
        <v>170</v>
      </c>
      <c r="AL136" s="1">
        <f ca="1">IFERROR(ECF[[#This Row],[d (cm)]]+arredondarParaCimaMultiplo5cm(MAX(5,SQRT(PI())/2*ECF[[#This Row],[Ø (cm)]]/5)),"N.S.")</f>
        <v>195</v>
      </c>
      <c r="AM136" s="5">
        <f ca="1">alpha(ECF[[#This Row],[nE]],ECF[[#This Row],[d (cm)]],ECF[[#This Row],[e (cm)]],ECF[[#This Row],[ap,eq (cm)]])</f>
        <v>45.199599457550647</v>
      </c>
      <c r="AN136" s="35">
        <f ca="1">IFERROR(ECF[[#This Row],[Nsd (kN)]]/(ECF[[#This Row],[Ap (cm²)]]*SIN(ECF[[#This Row],[α]])^2),"N.S.")</f>
        <v>0.99413645196626865</v>
      </c>
      <c r="AO136" s="35">
        <f ca="1">IFERROR(ECF[[#This Row],[Nsd (kN)]]/(ECF[[#This Row],[nE]]*PI()*ECF[[#This Row],[Ø (cm)]]^2/4*SIN(ECF[[#This Row],[α]])^2),"N.S.")</f>
        <v>8.7900961354594576E-2</v>
      </c>
      <c r="AP136" s="4">
        <f ca="1">IFERROR(INDEX(grupoEstacas[],ECF[[#This Row],[nE]],MATCH("coef. Blévot",grupoEstacas[#Headers],0)),"N.S.")</f>
        <v>1.4</v>
      </c>
      <c r="AQ136" s="35">
        <f ca="1">IFERROR(ECF[[#This Row],[coef. Blévot]]*0.9*INDEX(tipoEstaca[],MATCH($D$2,tipoEstaca[TIPO DE ESTACA],0),MATCH("fcd (kN/cm²)",tipoEstaca[#Headers],0)),"N.S.")</f>
        <v>1.4000000000000001</v>
      </c>
      <c r="AR136" s="1" t="str">
        <f ca="1">IF(AND(ECF[[#This Row],[cd,b,pil (kN/cm²)]]&lt;=ECF[[#This Row],[cd,b,lim (kN/cm²)]],ECF[[#This Row],[cd,b,est (kN/cm²)]]&lt;=ECF[[#This Row],[cd,b,lim (kN/cm²)]]),"OK","ERRO")</f>
        <v>OK</v>
      </c>
      <c r="AS136" s="4">
        <f ca="1">As_lado(ECF[[#This Row],[nE]],ECF[[#This Row],[Nsd (kN)]],ECF[[#This Row],[d (cm)]],ECF[[#This Row],[e (cm)]],ECF[[#This Row],[ap,eq (cm)]])</f>
        <v>22.983058874874679</v>
      </c>
      <c r="AT136" s="4">
        <f ca="1">IF(ECF[[#This Row],[nE]]=1,ECF[[#This Row],[As,lado (cm²)]],IF(ECF[[#This Row],[nE]]=2,0.075*2*ECF[a (cm)],"N.A."))</f>
        <v>27</v>
      </c>
      <c r="AU136" s="4">
        <f ca="1">IFERROR(IF(ECF[[#This Row],[nE]]=1,"N.A.",0.2*ECF[[#This Row],[As,lado (cm²)]]),"N.S.")</f>
        <v>4.596611774974936</v>
      </c>
      <c r="AV136" s="4" t="str">
        <f ca="1">As_malha(ECF[[#This Row],[nE]],ECF[[#This Row],[As,lado (cm²)]],ECF[[#This Row],[Nsd (kN)]])</f>
        <v>N.A.</v>
      </c>
      <c r="AW136" s="4" t="str">
        <f ca="1">As_susp_tot(ECF[[#This Row],[nE]],ECF[[#This Row],[Nsd (kN)]])</f>
        <v>N.A.</v>
      </c>
      <c r="AX136" s="4" t="str">
        <f ca="1">Asp_face(ECF[[#This Row],[nE]],ECF[[#This Row],[As,lado (cm²)]])</f>
        <v>N.A.</v>
      </c>
      <c r="AY136" s="5">
        <f ca="1">acoBloco(ECF[[#This Row],[nE]],ECF[[#This Row],[e (cm)]],ECF[[#This Row],[a (cm)]],ECF[[#This Row],[h (cm)]],ECF[[#This Row],[As,lado (cm²)]],ECF[[#This Row],[Asp e Asw (cm²/m)]],ECF[[#This Row],[As,sup (cm²)]],ECF[[#This Row],[As,malha (cm²)]],ECF[[#This Row],[As,susp,tot (cm²)]],ECF[[#This Row],[Asp,face (cm²)]])</f>
        <v>2742.51809851295</v>
      </c>
      <c r="AZ136" s="4">
        <f ca="1">concretoBloco(ECF[[#This Row],[nE]],ECF[[#This Row],[e (cm)]],ECF[[#This Row],[a (cm)]],ECF[[#This Row],[h (cm)]])</f>
        <v>50.543999999999997</v>
      </c>
      <c r="BA136" s="5">
        <f ca="1">SUM(ECF[[#This Row],[Aço Est (kg)]],ECF[[#This Row],[Aço Bloco (kg)]])</f>
        <v>2884.5683519376662</v>
      </c>
      <c r="BB136" s="4">
        <f>INDEX(composicoes[],MATCH(95580,composicoes[CÓDIGO],0),MATCH("CUSTO TOTAL",composicoes[#Headers],0))</f>
        <v>10.46</v>
      </c>
      <c r="BC136" s="4">
        <f ca="1">SUM(ECF[[#This Row],[Conc Est (m³)]],ECF[[#This Row],[Conc Bloco (m³)]])</f>
        <v>61.853733552923252</v>
      </c>
      <c r="BD136" s="4">
        <f>INDEX(composicoes[],MATCH(94966,composicoes[CÓDIGO],0),MATCH("CUSTO TOTAL",composicoes[#Headers],0))</f>
        <v>439.52</v>
      </c>
      <c r="BE136" s="38">
        <f ca="1">ECF[[#This Row],[Aço (kg)]]*ECF[[#This Row],[Aço (R$/kg)]]+ECF[[#This Row],[Conc (m³)]]*ECF[[#This Row],[Conc (R$/m³)]]</f>
        <v>57358.537932448817</v>
      </c>
      <c r="BF136" s="4" t="str">
        <f ca="1">IF(COUNTIF(ECF[#This Row],"N.S.")&gt;0,"lim.","OK")</f>
        <v>OK</v>
      </c>
      <c r="BG136" s="4" t="str">
        <f>IF(ECF[[#This Row],[Prof. (m)]]&lt;4,"lim.","OK")</f>
        <v>OK</v>
      </c>
      <c r="BH136" s="4" t="str">
        <f>IF(ECF[[#This Row],[Prof. (m)]]&gt;=8*ECF[[#This Row],[Ø (cm)]]/100,"OK","lim.")</f>
        <v>lim.</v>
      </c>
      <c r="BI136" s="4" t="str">
        <f>IF(AND(SPT!$F$3&lt;&gt;"",ECF[[#This Row],[Prof. (m)]]&gt;=SPT!$F$3-2),"lim.","OK")</f>
        <v>OK</v>
      </c>
      <c r="BJ136" s="4" t="str">
        <f ca="1">IF(ECF[[#This Row],[Verif. Biela]]="OK","OK","lim.")</f>
        <v>OK</v>
      </c>
      <c r="BK136" s="4" t="str">
        <f ca="1">IF(COUNTA(ECF[[#This Row],[Nº Est.]:[Biela comp.]])=COUNTIF(ECF[[#This Row],[Nº Est.]:[Biela comp.]],"OK"),"OK","lim.")</f>
        <v>lim.</v>
      </c>
      <c r="BL136" s="4" t="str">
        <f ca="1">IF(ECF[[#This Row],[Controle]]="OK",ECF[[#This Row],[nE]]&amp;" Ø"&amp;ECF[[#This Row],[Ø (cm)]]&amp;"cm Prof. "&amp;ECF[[#This Row],[Prof. (m)]]&amp;" m","")</f>
        <v/>
      </c>
      <c r="BM136" s="4" t="str">
        <f ca="1">IF(ECF[[#This Row],[idDimensionamento]]="","",ECF[[#This Row],[idPilar]]&amp;ECF[[#This Row],[idDimensionamento]])</f>
        <v/>
      </c>
    </row>
    <row r="137" spans="2:65" x14ac:dyDescent="0.25">
      <c r="B137" s="12">
        <f>ROUNDUP((ROW(ECF[[#This Row],[idDiâmetro]])-ROW(ECF[[#Headers],[idDiâmetro]]))/(COUNT(SPT[Prof. (m)])*COUNT(PILARES[Pilar])),0)</f>
        <v>5</v>
      </c>
      <c r="C137" s="12">
        <f>IF(ECF[[#This Row],[idDiâmetro]]&lt;&gt;B136,1,IF(ECF[[#This Row],[Prof. (m)]]=0,C136+1,C136))</f>
        <v>2</v>
      </c>
      <c r="D137" s="1">
        <f>IFERROR(IF(D136=MAX(SPT[Prof. (m)]),0,D136+1),0)</f>
        <v>6</v>
      </c>
      <c r="E137" s="1">
        <f>INDEX(SPT[],MATCH(ECF[[#This Row],[Prof. (m)]],SPT[Prof. (m)],0),2)</f>
        <v>21</v>
      </c>
      <c r="F137" s="1" t="str">
        <f>INDEX(SPT[],MATCH(ECF[[#This Row],[Prof. (m)]],SPT[Prof. (m)],0),3)</f>
        <v>Silte arenoso</v>
      </c>
      <c r="G137" s="1">
        <f>INDEX(estacas[],ECF[[#This Row],[idDiâmetro]],MATCH($B$2,estacas[#Headers],0))</f>
        <v>120</v>
      </c>
      <c r="H137" s="1">
        <f>INDEX(estacas[],MATCH(ECF[[#This Row],[Ø (cm)]],estacas[Ø ECF (cm)],0),MATCH(ECF[[#Headers],[Pe ECF (kN)]],estacas[#Headers],0))</f>
        <v>4500</v>
      </c>
      <c r="I137" s="4">
        <f>INDEX(K_alpha_C[],MATCH(ECF[[#This Row],[Solo]],K_alpha_C[Solo],0),2)</f>
        <v>0.55000000000000004</v>
      </c>
      <c r="J137" s="5">
        <f>INDEX(K_alpha_C[],MATCH(ECF[[#This Row],[Solo]],K_alpha_C[Solo],0),3)</f>
        <v>2.2000000000000002</v>
      </c>
      <c r="K137" s="4">
        <f>INDEX(F1_F2[],MATCH($D$2,F1_F2[Tipo de estaca],0),2)</f>
        <v>3</v>
      </c>
      <c r="L137" s="4">
        <f>INDEX(F1_F2[],MATCH($D$2,F1_F2[Tipo de estaca],0),3)</f>
        <v>6</v>
      </c>
      <c r="M137" s="4">
        <f>PI()*(ECF[[#This Row],[Ø (cm)]]/100)^2/4</f>
        <v>1.1309733552923256</v>
      </c>
      <c r="N137" s="4">
        <f>PI()*ECF[[#This Row],[Ø (cm)]]/100</f>
        <v>3.7699111843077513</v>
      </c>
      <c r="O137" s="4">
        <f>IF(ECF[[#This Row],[Prof. (m)]]=0,0,ECF[[#This Row],[α (%)]]/100*ECF[[#This Row],[K (MPa)]]*1000*ECF[[#This Row],[NSPT]])</f>
        <v>254.10000000000002</v>
      </c>
      <c r="P137" s="4">
        <f>IF(ECF[[#This Row],[Prof. (m)]]=0,0,(ECF[[#This Row],[K (MPa)]]*1000*ECF[[#This Row],[NSPT]]/ECF[[#This Row],[F1]]*ECF[[#This Row],[Ap (m²)]]+ECF[[#This Row],[U (m)]]/ECF[[#This Row],[F2]]*SUMIFS(ECF[(α∙K∙NL∙ΔL)],ECF[Prof. (m)],"&lt;="&amp;ECF[[#This Row],[Prof. (m)]],ECF[idDiâmetro],ECF[[#This Row],[idDiâmetro]],ECF[idPilar],ECF[[#This Row],[idPilar]]))/'DADOS CAP. CARGA'!$D$2)</f>
        <v>2422.8276703749843</v>
      </c>
      <c r="Q137" s="12">
        <f>INDEX(C_alpha_beta[],MATCH(ECF[[#This Row],[Solo]],C_alpha_beta[Solo],0),MATCH(ECF[[#Headers],[C (kPa)]],C_alpha_beta[#Headers],0))</f>
        <v>250</v>
      </c>
      <c r="R137" s="4">
        <f>INDEX(C_alpha_beta[],MATCH(ECF[[#This Row],[Solo]],C_alpha_beta[Solo],0),MATCH(ECF[[#Headers],[α ESF]],C_alpha_beta[#Headers],0))</f>
        <v>0.6</v>
      </c>
      <c r="S137" s="4">
        <f>INDEX(C_alpha_beta[],MATCH(ECF[[#This Row],[Solo]],C_alpha_beta[Solo],0),MATCH(ECF[[#Headers],[β ESF]],C_alpha_beta[#Headers],0))</f>
        <v>0.65</v>
      </c>
      <c r="T137" s="4">
        <f>IF(ECF[[#This Row],[Prof. (m)]]=0,0,10*(ECF[[#This Row],[NSPT]]/3+1))</f>
        <v>80</v>
      </c>
      <c r="U137" s="4">
        <f>(ECF[[#This Row],[α ESF]]*ECF[[#This Row],[C (kPa)]]*ECF[[#This Row],[NSPT]]*ECF[[#This Row],[Ap (m²)]])/'DADOS CAP. CARGA'!$Q$2+(ECF[[#This Row],[β ESF]]*SUMIFS(ECF[10∙(NL/3+1)],ECF[Prof. (m)],"&lt;="&amp;ECF[[#This Row],[Prof. (m)]],ECF[idDiâmetro],ECF[[#This Row],[idDiâmetro]],ECF[idPilar],ECF[[#This Row],[idPilar]])*ECF[[#This Row],[U (m)]])/'DADOS CAP. CARGA'!$S$2</f>
        <v>1184.6945896687109</v>
      </c>
      <c r="V137" s="4">
        <f>IF(SPT!$M$5=1,MIN(ECF[[#This Row],[Pe ECF (kN)]],ECF[[#This Row],[R_AV (kN)]]),IF(SPT!$M$5=2,MIN(ECF[[#This Row],[Pe ECF (kN)]],ECF[[#This Row],[R_DC (kN)]]),MIN(ECF[[#This Row],[Pe ECF (kN)]],ECF[[#This Row],[R_AV (kN)]],ECF[[#This Row],[R_DC (kN)]])))</f>
        <v>1184.6945896687109</v>
      </c>
      <c r="W137" s="4">
        <f>INDEX(PILARES[],ECF[[#This Row],[idPilar]],MATCH("Carga (kN)",PILARES[#Headers],0))*1.4</f>
        <v>1750</v>
      </c>
      <c r="X137" s="12">
        <f>INDEX(PILARES[],ECF[[#This Row],[idPilar]],MATCH(ECF[[#Headers],[ap (cm)]],PILARES[#Headers],0))</f>
        <v>50</v>
      </c>
      <c r="Y137" s="12">
        <f>INDEX(PILARES[],ECF[[#This Row],[idPilar]],MATCH(ECF[[#Headers],[bp (cm)]],PILARES[#Headers],0))</f>
        <v>40</v>
      </c>
      <c r="Z137" s="4">
        <f>SQRT(ECF[[#This Row],[ap (cm)]]*ECF[[#This Row],[bp (cm)]])</f>
        <v>44.721359549995796</v>
      </c>
      <c r="AA137" s="12">
        <f>ECF[[#This Row],[ap (cm)]]*ECF[[#This Row],[bp (cm)]]</f>
        <v>2000</v>
      </c>
      <c r="AB137" s="12">
        <f ca="1">IF(ECF[[#This Row],[Padm∙ε (kN)]]&gt;=ECF[[#This Row],[Padm (kN)]],ROUNDUP(1.05*ECF[[#This Row],[Nsd (kN)]]/ECF[[#This Row],[Padm (kN)]],0),ROUNDUP(1.05*ECF[[#This Row],[Nsd (kN)]]/ECF[[#This Row],[Padm (kN)]],0)+1)</f>
        <v>2</v>
      </c>
      <c r="AC137" s="4">
        <f ca="1">IFERROR(IF(ECF[[#This Row],[nE]]=1,ECF[[#This Row],[Padm (kN)]],ECF[[#This Row],[Padm (kN)]]*ECF[[#This Row],[nE]]*INDEX(grupoEstacas[],ECF[[#This Row],[nE]],MATCH("ε",grupoEstacas[#Headers],0))),"N.S.")</f>
        <v>2221.3023556288331</v>
      </c>
      <c r="AD137" s="4">
        <f ca="1">1.05*ECF[[#This Row],[Nsd (kN)]]/(ECF[[#This Row],[nE]]*PI()*ECF[[#This Row],[Ø (cm)]]^2/4)*10</f>
        <v>0.81235335536488251</v>
      </c>
      <c r="AE137" s="4">
        <f ca="1">IF(ECF[[#This Row],[σ (MPa)]]&lt;INDEX(tipoEstaca[],MATCH($D$2,tipoEstaca[TIPO DE ESTACA],0),MATCH("σmáx (MPa)",tipoEstaca[#Headers],0)),0.4%*PI()*ECF[[#This Row],[Ø (cm)]]^2/4,"N.S.")</f>
        <v>45.238934211693021</v>
      </c>
      <c r="AF137" s="1">
        <f>INDEX(tipoEstaca[],MATCH($D$2,tipoEstaca[TIPO DE ESTACA],0),MATCH(ECF[[#Headers],[Comprimento (m)]],tipoEstaca[#Headers],0))</f>
        <v>4</v>
      </c>
      <c r="AG137" s="5">
        <f ca="1">ECF[[#This Row],[As,mín (cm²)]]/100^2*ECF[[#This Row],[Comprimento (m)]]*7850</f>
        <v>142.05025342471609</v>
      </c>
      <c r="AH137" s="4">
        <f ca="1">ECF[[#This Row],[nE]]*ECF[[#This Row],[Prof. (m)]]*ECF[[#This Row],[Ap (m²)]]</f>
        <v>13.571680263507908</v>
      </c>
      <c r="AI137" s="1">
        <f ca="1">IF(ECF[[#This Row],[nE]]=1,0,MAX(3*ECF[[#This Row],[Ø (cm)]],60))</f>
        <v>360</v>
      </c>
      <c r="AJ137" s="1">
        <f ca="1">IF(ECF[[#This Row],[nE]]=1,ECF[[#This Row],[Ø (cm)]]+2*10,MAX(1.5*ECF[[#This Row],[Ø (cm)]],ECF[[#This Row],[Ø (cm)]]+15))</f>
        <v>180</v>
      </c>
      <c r="AK137" s="1">
        <f ca="1">alturaUtil(ECF[[#This Row],[nE]],ECF[[#This Row],[Ø (cm)]],ECF[[#This Row],[e (cm)]],ECF[[#This Row],[ap,eq (cm)]])</f>
        <v>170</v>
      </c>
      <c r="AL137" s="1">
        <f ca="1">IFERROR(ECF[[#This Row],[d (cm)]]+arredondarParaCimaMultiplo5cm(MAX(5,SQRT(PI())/2*ECF[[#This Row],[Ø (cm)]]/5)),"N.S.")</f>
        <v>195</v>
      </c>
      <c r="AM137" s="5">
        <f ca="1">alpha(ECF[[#This Row],[nE]],ECF[[#This Row],[d (cm)]],ECF[[#This Row],[e (cm)]],ECF[[#This Row],[ap,eq (cm)]])</f>
        <v>45.199599457550647</v>
      </c>
      <c r="AN137" s="35">
        <f ca="1">IFERROR(ECF[[#This Row],[Nsd (kN)]]/(ECF[[#This Row],[Ap (cm²)]]*SIN(ECF[[#This Row],[α]])^2),"N.S.")</f>
        <v>0.99413645196626865</v>
      </c>
      <c r="AO137" s="35">
        <f ca="1">IFERROR(ECF[[#This Row],[Nsd (kN)]]/(ECF[[#This Row],[nE]]*PI()*ECF[[#This Row],[Ø (cm)]]^2/4*SIN(ECF[[#This Row],[α]])^2),"N.S.")</f>
        <v>8.7900961354594576E-2</v>
      </c>
      <c r="AP137" s="4">
        <f ca="1">IFERROR(INDEX(grupoEstacas[],ECF[[#This Row],[nE]],MATCH("coef. Blévot",grupoEstacas[#Headers],0)),"N.S.")</f>
        <v>1.4</v>
      </c>
      <c r="AQ137" s="35">
        <f ca="1">IFERROR(ECF[[#This Row],[coef. Blévot]]*0.9*INDEX(tipoEstaca[],MATCH($D$2,tipoEstaca[TIPO DE ESTACA],0),MATCH("fcd (kN/cm²)",tipoEstaca[#Headers],0)),"N.S.")</f>
        <v>1.4000000000000001</v>
      </c>
      <c r="AR137" s="1" t="str">
        <f ca="1">IF(AND(ECF[[#This Row],[cd,b,pil (kN/cm²)]]&lt;=ECF[[#This Row],[cd,b,lim (kN/cm²)]],ECF[[#This Row],[cd,b,est (kN/cm²)]]&lt;=ECF[[#This Row],[cd,b,lim (kN/cm²)]]),"OK","ERRO")</f>
        <v>OK</v>
      </c>
      <c r="AS137" s="4">
        <f ca="1">As_lado(ECF[[#This Row],[nE]],ECF[[#This Row],[Nsd (kN)]],ECF[[#This Row],[d (cm)]],ECF[[#This Row],[e (cm)]],ECF[[#This Row],[ap,eq (cm)]])</f>
        <v>22.983058874874679</v>
      </c>
      <c r="AT137" s="4">
        <f ca="1">IF(ECF[[#This Row],[nE]]=1,ECF[[#This Row],[As,lado (cm²)]],IF(ECF[[#This Row],[nE]]=2,0.075*2*ECF[a (cm)],"N.A."))</f>
        <v>27</v>
      </c>
      <c r="AU137" s="4">
        <f ca="1">IFERROR(IF(ECF[[#This Row],[nE]]=1,"N.A.",0.2*ECF[[#This Row],[As,lado (cm²)]]),"N.S.")</f>
        <v>4.596611774974936</v>
      </c>
      <c r="AV137" s="4" t="str">
        <f ca="1">As_malha(ECF[[#This Row],[nE]],ECF[[#This Row],[As,lado (cm²)]],ECF[[#This Row],[Nsd (kN)]])</f>
        <v>N.A.</v>
      </c>
      <c r="AW137" s="4" t="str">
        <f ca="1">As_susp_tot(ECF[[#This Row],[nE]],ECF[[#This Row],[Nsd (kN)]])</f>
        <v>N.A.</v>
      </c>
      <c r="AX137" s="4" t="str">
        <f ca="1">Asp_face(ECF[[#This Row],[nE]],ECF[[#This Row],[As,lado (cm²)]])</f>
        <v>N.A.</v>
      </c>
      <c r="AY137" s="5">
        <f ca="1">acoBloco(ECF[[#This Row],[nE]],ECF[[#This Row],[e (cm)]],ECF[[#This Row],[a (cm)]],ECF[[#This Row],[h (cm)]],ECF[[#This Row],[As,lado (cm²)]],ECF[[#This Row],[Asp e Asw (cm²/m)]],ECF[[#This Row],[As,sup (cm²)]],ECF[[#This Row],[As,malha (cm²)]],ECF[[#This Row],[As,susp,tot (cm²)]],ECF[[#This Row],[Asp,face (cm²)]])</f>
        <v>2742.51809851295</v>
      </c>
      <c r="AZ137" s="4">
        <f ca="1">concretoBloco(ECF[[#This Row],[nE]],ECF[[#This Row],[e (cm)]],ECF[[#This Row],[a (cm)]],ECF[[#This Row],[h (cm)]])</f>
        <v>50.543999999999997</v>
      </c>
      <c r="BA137" s="5">
        <f ca="1">SUM(ECF[[#This Row],[Aço Est (kg)]],ECF[[#This Row],[Aço Bloco (kg)]])</f>
        <v>2884.5683519376662</v>
      </c>
      <c r="BB137" s="4">
        <f>INDEX(composicoes[],MATCH(95580,composicoes[CÓDIGO],0),MATCH("CUSTO TOTAL",composicoes[#Headers],0))</f>
        <v>10.46</v>
      </c>
      <c r="BC137" s="4">
        <f ca="1">SUM(ECF[[#This Row],[Conc Est (m³)]],ECF[[#This Row],[Conc Bloco (m³)]])</f>
        <v>64.115680263507898</v>
      </c>
      <c r="BD137" s="4">
        <f>INDEX(composicoes[],MATCH(94966,composicoes[CÓDIGO],0),MATCH("CUSTO TOTAL",composicoes[#Headers],0))</f>
        <v>439.52</v>
      </c>
      <c r="BE137" s="38">
        <f ca="1">ECF[[#This Row],[Aço (kg)]]*ECF[[#This Row],[Aço (R$/kg)]]+ECF[[#This Row],[Conc (m³)]]*ECF[[#This Row],[Conc (R$/m³)]]</f>
        <v>58352.708750684978</v>
      </c>
      <c r="BF137" s="4" t="str">
        <f ca="1">IF(COUNTIF(ECF[#This Row],"N.S.")&gt;0,"lim.","OK")</f>
        <v>OK</v>
      </c>
      <c r="BG137" s="4" t="str">
        <f>IF(ECF[[#This Row],[Prof. (m)]]&lt;4,"lim.","OK")</f>
        <v>OK</v>
      </c>
      <c r="BH137" s="4" t="str">
        <f>IF(ECF[[#This Row],[Prof. (m)]]&gt;=8*ECF[[#This Row],[Ø (cm)]]/100,"OK","lim.")</f>
        <v>lim.</v>
      </c>
      <c r="BI137" s="4" t="str">
        <f>IF(AND(SPT!$F$3&lt;&gt;"",ECF[[#This Row],[Prof. (m)]]&gt;=SPT!$F$3-2),"lim.","OK")</f>
        <v>OK</v>
      </c>
      <c r="BJ137" s="4" t="str">
        <f ca="1">IF(ECF[[#This Row],[Verif. Biela]]="OK","OK","lim.")</f>
        <v>OK</v>
      </c>
      <c r="BK137" s="4" t="str">
        <f ca="1">IF(COUNTA(ECF[[#This Row],[Nº Est.]:[Biela comp.]])=COUNTIF(ECF[[#This Row],[Nº Est.]:[Biela comp.]],"OK"),"OK","lim.")</f>
        <v>lim.</v>
      </c>
      <c r="BL137" s="4" t="str">
        <f ca="1">IF(ECF[[#This Row],[Controle]]="OK",ECF[[#This Row],[nE]]&amp;" Ø"&amp;ECF[[#This Row],[Ø (cm)]]&amp;"cm Prof. "&amp;ECF[[#This Row],[Prof. (m)]]&amp;" m","")</f>
        <v/>
      </c>
      <c r="BM137" s="4" t="str">
        <f ca="1">IF(ECF[[#This Row],[idDimensionamento]]="","",ECF[[#This Row],[idPilar]]&amp;ECF[[#This Row],[idDimensionamento]])</f>
        <v/>
      </c>
    </row>
    <row r="138" spans="2:65" x14ac:dyDescent="0.25">
      <c r="B138" s="12">
        <f>ROUNDUP((ROW(ECF[[#This Row],[idDiâmetro]])-ROW(ECF[[#Headers],[idDiâmetro]]))/(COUNT(SPT[Prof. (m)])*COUNT(PILARES[Pilar])),0)</f>
        <v>5</v>
      </c>
      <c r="C138" s="12">
        <f>IF(ECF[[#This Row],[idDiâmetro]]&lt;&gt;B137,1,IF(ECF[[#This Row],[Prof. (m)]]=0,C137+1,C137))</f>
        <v>2</v>
      </c>
      <c r="D138" s="1">
        <f>IFERROR(IF(D137=MAX(SPT[Prof. (m)]),0,D137+1),0)</f>
        <v>7</v>
      </c>
      <c r="E138" s="1">
        <f>INDEX(SPT[],MATCH(ECF[[#This Row],[Prof. (m)]],SPT[Prof. (m)],0),2)</f>
        <v>8</v>
      </c>
      <c r="F138" s="1" t="str">
        <f>INDEX(SPT[],MATCH(ECF[[#This Row],[Prof. (m)]],SPT[Prof. (m)],0),3)</f>
        <v>Silte arenoso</v>
      </c>
      <c r="G138" s="1">
        <f>INDEX(estacas[],ECF[[#This Row],[idDiâmetro]],MATCH($B$2,estacas[#Headers],0))</f>
        <v>120</v>
      </c>
      <c r="H138" s="1">
        <f>INDEX(estacas[],MATCH(ECF[[#This Row],[Ø (cm)]],estacas[Ø ECF (cm)],0),MATCH(ECF[[#Headers],[Pe ECF (kN)]],estacas[#Headers],0))</f>
        <v>4500</v>
      </c>
      <c r="I138" s="4">
        <f>INDEX(K_alpha_C[],MATCH(ECF[[#This Row],[Solo]],K_alpha_C[Solo],0),2)</f>
        <v>0.55000000000000004</v>
      </c>
      <c r="J138" s="5">
        <f>INDEX(K_alpha_C[],MATCH(ECF[[#This Row],[Solo]],K_alpha_C[Solo],0),3)</f>
        <v>2.2000000000000002</v>
      </c>
      <c r="K138" s="4">
        <f>INDEX(F1_F2[],MATCH($D$2,F1_F2[Tipo de estaca],0),2)</f>
        <v>3</v>
      </c>
      <c r="L138" s="4">
        <f>INDEX(F1_F2[],MATCH($D$2,F1_F2[Tipo de estaca],0),3)</f>
        <v>6</v>
      </c>
      <c r="M138" s="4">
        <f>PI()*(ECF[[#This Row],[Ø (cm)]]/100)^2/4</f>
        <v>1.1309733552923256</v>
      </c>
      <c r="N138" s="4">
        <f>PI()*ECF[[#This Row],[Ø (cm)]]/100</f>
        <v>3.7699111843077513</v>
      </c>
      <c r="O138" s="4">
        <f>IF(ECF[[#This Row],[Prof. (m)]]=0,0,ECF[[#This Row],[α (%)]]/100*ECF[[#This Row],[K (MPa)]]*1000*ECF[[#This Row],[NSPT]])</f>
        <v>96.800000000000011</v>
      </c>
      <c r="P138" s="4">
        <f>IF(ECF[[#This Row],[Prof. (m)]]=0,0,(ECF[[#This Row],[K (MPa)]]*1000*ECF[[#This Row],[NSPT]]/ECF[[#This Row],[F1]]*ECF[[#This Row],[Ap (m²)]]+ECF[[#This Row],[U (m)]]/ECF[[#This Row],[F2]]*SUMIFS(ECF[(α∙K∙NL∙ΔL)],ECF[Prof. (m)],"&lt;="&amp;ECF[[#This Row],[Prof. (m)]],ECF[idDiâmetro],ECF[[#This Row],[idDiâmetro]],ECF[idPilar],ECF[[#This Row],[idPilar]]))/'DADOS CAP. CARGA'!$D$2)</f>
        <v>1105.4950388717123</v>
      </c>
      <c r="Q138" s="12">
        <f>INDEX(C_alpha_beta[],MATCH(ECF[[#This Row],[Solo]],C_alpha_beta[Solo],0),MATCH(ECF[[#Headers],[C (kPa)]],C_alpha_beta[#Headers],0))</f>
        <v>250</v>
      </c>
      <c r="R138" s="4">
        <f>INDEX(C_alpha_beta[],MATCH(ECF[[#This Row],[Solo]],C_alpha_beta[Solo],0),MATCH(ECF[[#Headers],[α ESF]],C_alpha_beta[#Headers],0))</f>
        <v>0.6</v>
      </c>
      <c r="S138" s="4">
        <f>INDEX(C_alpha_beta[],MATCH(ECF[[#This Row],[Solo]],C_alpha_beta[Solo],0),MATCH(ECF[[#Headers],[β ESF]],C_alpha_beta[#Headers],0))</f>
        <v>0.65</v>
      </c>
      <c r="T138" s="4">
        <f>IF(ECF[[#This Row],[Prof. (m)]]=0,0,10*(ECF[[#This Row],[NSPT]]/3+1))</f>
        <v>36.666666666666664</v>
      </c>
      <c r="U138" s="4">
        <f>(ECF[[#This Row],[α ESF]]*ECF[[#This Row],[C (kPa)]]*ECF[[#This Row],[NSPT]]*ECF[[#This Row],[Ap (m²)]])/'DADOS CAP. CARGA'!$Q$2+(ECF[[#This Row],[β ESF]]*SUMIFS(ECF[10∙(NL/3+1)],ECF[Prof. (m)],"&lt;="&amp;ECF[[#This Row],[Prof. (m)]],ECF[idDiâmetro],ECF[[#This Row],[idDiâmetro]],ECF[idPilar],ECF[[#This Row],[idPilar]])*ECF[[#This Row],[U (m)]])/'DADOS CAP. CARGA'!$S$2</f>
        <v>678.26985391003632</v>
      </c>
      <c r="V138" s="4">
        <f>IF(SPT!$M$5=1,MIN(ECF[[#This Row],[Pe ECF (kN)]],ECF[[#This Row],[R_AV (kN)]]),IF(SPT!$M$5=2,MIN(ECF[[#This Row],[Pe ECF (kN)]],ECF[[#This Row],[R_DC (kN)]]),MIN(ECF[[#This Row],[Pe ECF (kN)]],ECF[[#This Row],[R_AV (kN)]],ECF[[#This Row],[R_DC (kN)]])))</f>
        <v>678.26985391003632</v>
      </c>
      <c r="W138" s="4">
        <f>INDEX(PILARES[],ECF[[#This Row],[idPilar]],MATCH("Carga (kN)",PILARES[#Headers],0))*1.4</f>
        <v>1750</v>
      </c>
      <c r="X138" s="12">
        <f>INDEX(PILARES[],ECF[[#This Row],[idPilar]],MATCH(ECF[[#Headers],[ap (cm)]],PILARES[#Headers],0))</f>
        <v>50</v>
      </c>
      <c r="Y138" s="12">
        <f>INDEX(PILARES[],ECF[[#This Row],[idPilar]],MATCH(ECF[[#Headers],[bp (cm)]],PILARES[#Headers],0))</f>
        <v>40</v>
      </c>
      <c r="Z138" s="4">
        <f>SQRT(ECF[[#This Row],[ap (cm)]]*ECF[[#This Row],[bp (cm)]])</f>
        <v>44.721359549995796</v>
      </c>
      <c r="AA138" s="12">
        <f>ECF[[#This Row],[ap (cm)]]*ECF[[#This Row],[bp (cm)]]</f>
        <v>2000</v>
      </c>
      <c r="AB138" s="12">
        <f ca="1">IF(ECF[[#This Row],[Padm∙ε (kN)]]&gt;=ECF[[#This Row],[Padm (kN)]],ROUNDUP(1.05*ECF[[#This Row],[Nsd (kN)]]/ECF[[#This Row],[Padm (kN)]],0),ROUNDUP(1.05*ECF[[#This Row],[Nsd (kN)]]/ECF[[#This Row],[Padm (kN)]],0)+1)</f>
        <v>3</v>
      </c>
      <c r="AC138" s="4">
        <f ca="1">IFERROR(IF(ECF[[#This Row],[nE]]=1,ECF[[#This Row],[Padm (kN)]],ECF[[#This Row],[Padm (kN)]]*ECF[[#This Row],[nE]]*INDEX(grupoEstacas[],ECF[[#This Row],[nE]],MATCH("ε",grupoEstacas[#Headers],0))),"N.S.")</f>
        <v>1780.4583665138452</v>
      </c>
      <c r="AD138" s="4">
        <f ca="1">1.05*ECF[[#This Row],[Nsd (kN)]]/(ECF[[#This Row],[nE]]*PI()*ECF[[#This Row],[Ø (cm)]]^2/4)*10</f>
        <v>0.54156890357658827</v>
      </c>
      <c r="AE138" s="4">
        <f ca="1">IF(ECF[[#This Row],[σ (MPa)]]&lt;INDEX(tipoEstaca[],MATCH($D$2,tipoEstaca[TIPO DE ESTACA],0),MATCH("σmáx (MPa)",tipoEstaca[#Headers],0)),0.4%*PI()*ECF[[#This Row],[Ø (cm)]]^2/4,"N.S.")</f>
        <v>45.238934211693021</v>
      </c>
      <c r="AF138" s="1">
        <f>INDEX(tipoEstaca[],MATCH($D$2,tipoEstaca[TIPO DE ESTACA],0),MATCH(ECF[[#Headers],[Comprimento (m)]],tipoEstaca[#Headers],0))</f>
        <v>4</v>
      </c>
      <c r="AG138" s="5">
        <f ca="1">ECF[[#This Row],[As,mín (cm²)]]/100^2*ECF[[#This Row],[Comprimento (m)]]*7850</f>
        <v>142.05025342471609</v>
      </c>
      <c r="AH138" s="4">
        <f ca="1">ECF[[#This Row],[nE]]*ECF[[#This Row],[Prof. (m)]]*ECF[[#This Row],[Ap (m²)]]</f>
        <v>23.750440461138837</v>
      </c>
      <c r="AI138" s="1">
        <f ca="1">IF(ECF[[#This Row],[nE]]=1,0,MAX(3*ECF[[#This Row],[Ø (cm)]],60))</f>
        <v>360</v>
      </c>
      <c r="AJ138" s="1">
        <f ca="1">IF(ECF[[#This Row],[nE]]=1,ECF[[#This Row],[Ø (cm)]]+2*10,MAX(1.5*ECF[[#This Row],[Ø (cm)]],ECF[[#This Row],[Ø (cm)]]+15))</f>
        <v>180</v>
      </c>
      <c r="AK138" s="1">
        <f ca="1">alturaUtil(ECF[[#This Row],[nE]],ECF[[#This Row],[Ø (cm)]],ECF[[#This Row],[e (cm)]],ECF[[#This Row],[ap,eq (cm)]])</f>
        <v>170</v>
      </c>
      <c r="AL138" s="1">
        <f ca="1">IFERROR(ECF[[#This Row],[d (cm)]]+arredondarParaCimaMultiplo5cm(MAX(5,SQRT(PI())/2*ECF[[#This Row],[Ø (cm)]]/5)),"N.S.")</f>
        <v>195</v>
      </c>
      <c r="AM138" s="5">
        <f ca="1">alpha(ECF[[#This Row],[nE]],ECF[[#This Row],[d (cm)]],ECF[[#This Row],[e (cm)]],ECF[[#This Row],[ap,eq (cm)]])</f>
        <v>45.581546558848146</v>
      </c>
      <c r="AN138" s="35">
        <f ca="1">IFERROR(ECF[[#This Row],[Nsd (kN)]]/(ECF[[#This Row],[Ap (cm²)]]*SIN(ECF[[#This Row],[α]])^2),"N.S.")</f>
        <v>0.87570876313239121</v>
      </c>
      <c r="AO138" s="35">
        <f ca="1">IFERROR(ECF[[#This Row],[Nsd (kN)]]/(ECF[[#This Row],[nE]]*PI()*ECF[[#This Row],[Ø (cm)]]^2/4*SIN(ECF[[#This Row],[α]])^2),"N.S.")</f>
        <v>5.161976976348509E-2</v>
      </c>
      <c r="AP138" s="4">
        <f ca="1">IFERROR(INDEX(grupoEstacas[],ECF[[#This Row],[nE]],MATCH("coef. Blévot",grupoEstacas[#Headers],0)),"N.S.")</f>
        <v>1.75</v>
      </c>
      <c r="AQ138" s="35">
        <f ca="1">IFERROR(ECF[[#This Row],[coef. Blévot]]*0.9*INDEX(tipoEstaca[],MATCH($D$2,tipoEstaca[TIPO DE ESTACA],0),MATCH("fcd (kN/cm²)",tipoEstaca[#Headers],0)),"N.S.")</f>
        <v>1.75</v>
      </c>
      <c r="AR138" s="1" t="str">
        <f ca="1">IF(AND(ECF[[#This Row],[cd,b,pil (kN/cm²)]]&lt;=ECF[[#This Row],[cd,b,lim (kN/cm²)]],ECF[[#This Row],[cd,b,est (kN/cm²)]]&lt;=ECF[[#This Row],[cd,b,lim (kN/cm²)]]),"OK","ERRO")</f>
        <v>OK</v>
      </c>
      <c r="AS138" s="4">
        <f ca="1">As_lado(ECF[[#This Row],[nE]],ECF[[#This Row],[Nsd (kN)]],ECF[[#This Row],[d (cm)]],ECF[[#This Row],[e (cm)]],ECF[[#This Row],[ap,eq (cm)]])</f>
        <v>8.8592643933927508</v>
      </c>
      <c r="AT138" s="4" t="str">
        <f ca="1">IF(ECF[[#This Row],[nE]]=1,ECF[[#This Row],[As,lado (cm²)]],IF(ECF[[#This Row],[nE]]=2,0.075*2*ECF[a (cm)],"N.A."))</f>
        <v>N.A.</v>
      </c>
      <c r="AU138" s="4">
        <f ca="1">IFERROR(IF(ECF[[#This Row],[nE]]=1,"N.A.",0.2*ECF[[#This Row],[As,lado (cm²)]]),"N.S.")</f>
        <v>1.7718528786785503</v>
      </c>
      <c r="AV138" s="4">
        <f ca="1">As_malha(ECF[[#This Row],[nE]],ECF[[#This Row],[As,lado (cm²)]],ECF[[#This Row],[Nsd (kN)]])</f>
        <v>2.981481481481481</v>
      </c>
      <c r="AW138" s="4">
        <f ca="1">As_susp_tot(ECF[[#This Row],[nE]],ECF[[#This Row],[Nsd (kN)]])</f>
        <v>8.9444444444444429</v>
      </c>
      <c r="AX138" s="4">
        <f ca="1">Asp_face(ECF[[#This Row],[nE]],ECF[[#This Row],[As,lado (cm²)]])</f>
        <v>3.3222241475222818</v>
      </c>
      <c r="AY138" s="5">
        <f ca="1">acoBloco(ECF[[#This Row],[nE]],ECF[[#This Row],[e (cm)]],ECF[[#This Row],[a (cm)]],ECF[[#This Row],[h (cm)]],ECF[[#This Row],[As,lado (cm²)]],ECF[[#This Row],[Asp e Asw (cm²/m)]],ECF[[#This Row],[As,sup (cm²)]],ECF[[#This Row],[As,malha (cm²)]],ECF[[#This Row],[As,susp,tot (cm²)]],ECF[[#This Row],[Asp,face (cm²)]])</f>
        <v>315.96261657595466</v>
      </c>
      <c r="AZ138" s="4">
        <f ca="1">concretoBloco(ECF[[#This Row],[nE]],ECF[[#This Row],[e (cm)]],ECF[[#This Row],[a (cm)]],ECF[[#This Row],[h (cm)]])</f>
        <v>70.737291006660485</v>
      </c>
      <c r="BA138" s="5">
        <f ca="1">SUM(ECF[[#This Row],[Aço Est (kg)]],ECF[[#This Row],[Aço Bloco (kg)]])</f>
        <v>458.01287000067077</v>
      </c>
      <c r="BB138" s="4">
        <f>INDEX(composicoes[],MATCH(95580,composicoes[CÓDIGO],0),MATCH("CUSTO TOTAL",composicoes[#Headers],0))</f>
        <v>10.46</v>
      </c>
      <c r="BC138" s="4">
        <f ca="1">SUM(ECF[[#This Row],[Conc Est (m³)]],ECF[[#This Row],[Conc Bloco (m³)]])</f>
        <v>94.487731467799321</v>
      </c>
      <c r="BD138" s="4">
        <f>INDEX(composicoes[],MATCH(94966,composicoes[CÓDIGO],0),MATCH("CUSTO TOTAL",composicoes[#Headers],0))</f>
        <v>439.52</v>
      </c>
      <c r="BE138" s="38">
        <f ca="1">ECF[[#This Row],[Aço (kg)]]*ECF[[#This Row],[Aço (R$/kg)]]+ECF[[#This Row],[Conc (m³)]]*ECF[[#This Row],[Conc (R$/m³)]]</f>
        <v>46320.062354934169</v>
      </c>
      <c r="BF138" s="4" t="str">
        <f ca="1">IF(COUNTIF(ECF[#This Row],"N.S.")&gt;0,"lim.","OK")</f>
        <v>OK</v>
      </c>
      <c r="BG138" s="4" t="str">
        <f>IF(ECF[[#This Row],[Prof. (m)]]&lt;4,"lim.","OK")</f>
        <v>OK</v>
      </c>
      <c r="BH138" s="4" t="str">
        <f>IF(ECF[[#This Row],[Prof. (m)]]&gt;=8*ECF[[#This Row],[Ø (cm)]]/100,"OK","lim.")</f>
        <v>lim.</v>
      </c>
      <c r="BI138" s="4" t="str">
        <f>IF(AND(SPT!$F$3&lt;&gt;"",ECF[[#This Row],[Prof. (m)]]&gt;=SPT!$F$3-2),"lim.","OK")</f>
        <v>OK</v>
      </c>
      <c r="BJ138" s="4" t="str">
        <f ca="1">IF(ECF[[#This Row],[Verif. Biela]]="OK","OK","lim.")</f>
        <v>OK</v>
      </c>
      <c r="BK138" s="4" t="str">
        <f ca="1">IF(COUNTA(ECF[[#This Row],[Nº Est.]:[Biela comp.]])=COUNTIF(ECF[[#This Row],[Nº Est.]:[Biela comp.]],"OK"),"OK","lim.")</f>
        <v>lim.</v>
      </c>
      <c r="BL138" s="4" t="str">
        <f ca="1">IF(ECF[[#This Row],[Controle]]="OK",ECF[[#This Row],[nE]]&amp;" Ø"&amp;ECF[[#This Row],[Ø (cm)]]&amp;"cm Prof. "&amp;ECF[[#This Row],[Prof. (m)]]&amp;" m","")</f>
        <v/>
      </c>
      <c r="BM138" s="4" t="str">
        <f ca="1">IF(ECF[[#This Row],[idDimensionamento]]="","",ECF[[#This Row],[idPilar]]&amp;ECF[[#This Row],[idDimensionamento]])</f>
        <v/>
      </c>
    </row>
    <row r="139" spans="2:65" x14ac:dyDescent="0.25">
      <c r="B139" s="12">
        <f>ROUNDUP((ROW(ECF[[#This Row],[idDiâmetro]])-ROW(ECF[[#Headers],[idDiâmetro]]))/(COUNT(SPT[Prof. (m)])*COUNT(PILARES[Pilar])),0)</f>
        <v>5</v>
      </c>
      <c r="C139" s="12">
        <f>IF(ECF[[#This Row],[idDiâmetro]]&lt;&gt;B138,1,IF(ECF[[#This Row],[Prof. (m)]]=0,C138+1,C138))</f>
        <v>2</v>
      </c>
      <c r="D139" s="1">
        <f>IFERROR(IF(D138=MAX(SPT[Prof. (m)]),0,D138+1),0)</f>
        <v>8</v>
      </c>
      <c r="E139" s="1">
        <f>INDEX(SPT[],MATCH(ECF[[#This Row],[Prof. (m)]],SPT[Prof. (m)],0),2)</f>
        <v>10</v>
      </c>
      <c r="F139" s="1" t="str">
        <f>INDEX(SPT[],MATCH(ECF[[#This Row],[Prof. (m)]],SPT[Prof. (m)],0),3)</f>
        <v>Silte arenoso</v>
      </c>
      <c r="G139" s="1">
        <f>INDEX(estacas[],ECF[[#This Row],[idDiâmetro]],MATCH($B$2,estacas[#Headers],0))</f>
        <v>120</v>
      </c>
      <c r="H139" s="1">
        <f>INDEX(estacas[],MATCH(ECF[[#This Row],[Ø (cm)]],estacas[Ø ECF (cm)],0),MATCH(ECF[[#Headers],[Pe ECF (kN)]],estacas[#Headers],0))</f>
        <v>4500</v>
      </c>
      <c r="I139" s="4">
        <f>INDEX(K_alpha_C[],MATCH(ECF[[#This Row],[Solo]],K_alpha_C[Solo],0),2)</f>
        <v>0.55000000000000004</v>
      </c>
      <c r="J139" s="5">
        <f>INDEX(K_alpha_C[],MATCH(ECF[[#This Row],[Solo]],K_alpha_C[Solo],0),3)</f>
        <v>2.2000000000000002</v>
      </c>
      <c r="K139" s="4">
        <f>INDEX(F1_F2[],MATCH($D$2,F1_F2[Tipo de estaca],0),2)</f>
        <v>3</v>
      </c>
      <c r="L139" s="4">
        <f>INDEX(F1_F2[],MATCH($D$2,F1_F2[Tipo de estaca],0),3)</f>
        <v>6</v>
      </c>
      <c r="M139" s="4">
        <f>PI()*(ECF[[#This Row],[Ø (cm)]]/100)^2/4</f>
        <v>1.1309733552923256</v>
      </c>
      <c r="N139" s="4">
        <f>PI()*ECF[[#This Row],[Ø (cm)]]/100</f>
        <v>3.7699111843077513</v>
      </c>
      <c r="O139" s="4">
        <f>IF(ECF[[#This Row],[Prof. (m)]]=0,0,ECF[[#This Row],[α (%)]]/100*ECF[[#This Row],[K (MPa)]]*1000*ECF[[#This Row],[NSPT]])</f>
        <v>121.00000000000001</v>
      </c>
      <c r="P139" s="4">
        <f>IF(ECF[[#This Row],[Prof. (m)]]=0,0,(ECF[[#This Row],[K (MPa)]]*1000*ECF[[#This Row],[NSPT]]/ECF[[#This Row],[F1]]*ECF[[#This Row],[Ap (m²)]]+ECF[[#This Row],[U (m)]]/ECF[[#This Row],[F2]]*SUMIFS(ECF[(α∙K∙NL∙ΔL)],ECF[Prof. (m)],"&lt;="&amp;ECF[[#This Row],[Prof. (m)]],ECF[idDiâmetro],ECF[[#This Row],[idDiâmetro]],ECF[idPilar],ECF[[#This Row],[idPilar]]))/'DADOS CAP. CARGA'!$D$2)</f>
        <v>1350.8534251170749</v>
      </c>
      <c r="Q139" s="12">
        <f>INDEX(C_alpha_beta[],MATCH(ECF[[#This Row],[Solo]],C_alpha_beta[Solo],0),MATCH(ECF[[#Headers],[C (kPa)]],C_alpha_beta[#Headers],0))</f>
        <v>250</v>
      </c>
      <c r="R139" s="4">
        <f>INDEX(C_alpha_beta[],MATCH(ECF[[#This Row],[Solo]],C_alpha_beta[Solo],0),MATCH(ECF[[#Headers],[α ESF]],C_alpha_beta[#Headers],0))</f>
        <v>0.6</v>
      </c>
      <c r="S139" s="4">
        <f>INDEX(C_alpha_beta[],MATCH(ECF[[#This Row],[Solo]],C_alpha_beta[Solo],0),MATCH(ECF[[#Headers],[β ESF]],C_alpha_beta[#Headers],0))</f>
        <v>0.65</v>
      </c>
      <c r="T139" s="4">
        <f>IF(ECF[[#This Row],[Prof. (m)]]=0,0,10*(ECF[[#This Row],[NSPT]]/3+1))</f>
        <v>43.333333333333343</v>
      </c>
      <c r="U139" s="4">
        <f>(ECF[[#This Row],[α ESF]]*ECF[[#This Row],[C (kPa)]]*ECF[[#This Row],[NSPT]]*ECF[[#This Row],[Ap (m²)]])/'DADOS CAP. CARGA'!$Q$2+(ECF[[#This Row],[β ESF]]*SUMIFS(ECF[10∙(NL/3+1)],ECF[Prof. (m)],"&lt;="&amp;ECF[[#This Row],[Prof. (m)]],ECF[idDiâmetro],ECF[[#This Row],[idDiâmetro]],ECF[idPilar],ECF[[#This Row],[idPilar]])*ECF[[#This Row],[U (m)]])/'DADOS CAP. CARGA'!$S$2</f>
        <v>816.18577140262823</v>
      </c>
      <c r="V139" s="4">
        <f>IF(SPT!$M$5=1,MIN(ECF[[#This Row],[Pe ECF (kN)]],ECF[[#This Row],[R_AV (kN)]]),IF(SPT!$M$5=2,MIN(ECF[[#This Row],[Pe ECF (kN)]],ECF[[#This Row],[R_DC (kN)]]),MIN(ECF[[#This Row],[Pe ECF (kN)]],ECF[[#This Row],[R_AV (kN)]],ECF[[#This Row],[R_DC (kN)]])))</f>
        <v>816.18577140262823</v>
      </c>
      <c r="W139" s="4">
        <f>INDEX(PILARES[],ECF[[#This Row],[idPilar]],MATCH("Carga (kN)",PILARES[#Headers],0))*1.4</f>
        <v>1750</v>
      </c>
      <c r="X139" s="12">
        <f>INDEX(PILARES[],ECF[[#This Row],[idPilar]],MATCH(ECF[[#Headers],[ap (cm)]],PILARES[#Headers],0))</f>
        <v>50</v>
      </c>
      <c r="Y139" s="12">
        <f>INDEX(PILARES[],ECF[[#This Row],[idPilar]],MATCH(ECF[[#Headers],[bp (cm)]],PILARES[#Headers],0))</f>
        <v>40</v>
      </c>
      <c r="Z139" s="4">
        <f>SQRT(ECF[[#This Row],[ap (cm)]]*ECF[[#This Row],[bp (cm)]])</f>
        <v>44.721359549995796</v>
      </c>
      <c r="AA139" s="12">
        <f>ECF[[#This Row],[ap (cm)]]*ECF[[#This Row],[bp (cm)]]</f>
        <v>2000</v>
      </c>
      <c r="AB139" s="12">
        <f ca="1">IF(ECF[[#This Row],[Padm∙ε (kN)]]&gt;=ECF[[#This Row],[Padm (kN)]],ROUNDUP(1.05*ECF[[#This Row],[Nsd (kN)]]/ECF[[#This Row],[Padm (kN)]],0),ROUNDUP(1.05*ECF[[#This Row],[Nsd (kN)]]/ECF[[#This Row],[Padm (kN)]],0)+1)</f>
        <v>3</v>
      </c>
      <c r="AC139" s="4">
        <f ca="1">IFERROR(IF(ECF[[#This Row],[nE]]=1,ECF[[#This Row],[Padm (kN)]],ECF[[#This Row],[Padm (kN)]]*ECF[[#This Row],[nE]]*INDEX(grupoEstacas[],ECF[[#This Row],[nE]],MATCH("ε",grupoEstacas[#Headers],0))),"N.S.")</f>
        <v>2142.4876499318989</v>
      </c>
      <c r="AD139" s="4">
        <f ca="1">1.05*ECF[[#This Row],[Nsd (kN)]]/(ECF[[#This Row],[nE]]*PI()*ECF[[#This Row],[Ø (cm)]]^2/4)*10</f>
        <v>0.54156890357658827</v>
      </c>
      <c r="AE139" s="4">
        <f ca="1">IF(ECF[[#This Row],[σ (MPa)]]&lt;INDEX(tipoEstaca[],MATCH($D$2,tipoEstaca[TIPO DE ESTACA],0),MATCH("σmáx (MPa)",tipoEstaca[#Headers],0)),0.4%*PI()*ECF[[#This Row],[Ø (cm)]]^2/4,"N.S.")</f>
        <v>45.238934211693021</v>
      </c>
      <c r="AF139" s="1">
        <f>INDEX(tipoEstaca[],MATCH($D$2,tipoEstaca[TIPO DE ESTACA],0),MATCH(ECF[[#Headers],[Comprimento (m)]],tipoEstaca[#Headers],0))</f>
        <v>4</v>
      </c>
      <c r="AG139" s="5">
        <f ca="1">ECF[[#This Row],[As,mín (cm²)]]/100^2*ECF[[#This Row],[Comprimento (m)]]*7850</f>
        <v>142.05025342471609</v>
      </c>
      <c r="AH139" s="4">
        <f ca="1">ECF[[#This Row],[nE]]*ECF[[#This Row],[Prof. (m)]]*ECF[[#This Row],[Ap (m²)]]</f>
        <v>27.143360527015815</v>
      </c>
      <c r="AI139" s="1">
        <f ca="1">IF(ECF[[#This Row],[nE]]=1,0,MAX(3*ECF[[#This Row],[Ø (cm)]],60))</f>
        <v>360</v>
      </c>
      <c r="AJ139" s="1">
        <f ca="1">IF(ECF[[#This Row],[nE]]=1,ECF[[#This Row],[Ø (cm)]]+2*10,MAX(1.5*ECF[[#This Row],[Ø (cm)]],ECF[[#This Row],[Ø (cm)]]+15))</f>
        <v>180</v>
      </c>
      <c r="AK139" s="1">
        <f ca="1">alturaUtil(ECF[[#This Row],[nE]],ECF[[#This Row],[Ø (cm)]],ECF[[#This Row],[e (cm)]],ECF[[#This Row],[ap,eq (cm)]])</f>
        <v>170</v>
      </c>
      <c r="AL139" s="1">
        <f ca="1">IFERROR(ECF[[#This Row],[d (cm)]]+arredondarParaCimaMultiplo5cm(MAX(5,SQRT(PI())/2*ECF[[#This Row],[Ø (cm)]]/5)),"N.S.")</f>
        <v>195</v>
      </c>
      <c r="AM139" s="5">
        <f ca="1">alpha(ECF[[#This Row],[nE]],ECF[[#This Row],[d (cm)]],ECF[[#This Row],[e (cm)]],ECF[[#This Row],[ap,eq (cm)]])</f>
        <v>45.581546558848146</v>
      </c>
      <c r="AN139" s="35">
        <f ca="1">IFERROR(ECF[[#This Row],[Nsd (kN)]]/(ECF[[#This Row],[Ap (cm²)]]*SIN(ECF[[#This Row],[α]])^2),"N.S.")</f>
        <v>0.87570876313239121</v>
      </c>
      <c r="AO139" s="35">
        <f ca="1">IFERROR(ECF[[#This Row],[Nsd (kN)]]/(ECF[[#This Row],[nE]]*PI()*ECF[[#This Row],[Ø (cm)]]^2/4*SIN(ECF[[#This Row],[α]])^2),"N.S.")</f>
        <v>5.161976976348509E-2</v>
      </c>
      <c r="AP139" s="4">
        <f ca="1">IFERROR(INDEX(grupoEstacas[],ECF[[#This Row],[nE]],MATCH("coef. Blévot",grupoEstacas[#Headers],0)),"N.S.")</f>
        <v>1.75</v>
      </c>
      <c r="AQ139" s="35">
        <f ca="1">IFERROR(ECF[[#This Row],[coef. Blévot]]*0.9*INDEX(tipoEstaca[],MATCH($D$2,tipoEstaca[TIPO DE ESTACA],0),MATCH("fcd (kN/cm²)",tipoEstaca[#Headers],0)),"N.S.")</f>
        <v>1.75</v>
      </c>
      <c r="AR139" s="1" t="str">
        <f ca="1">IF(AND(ECF[[#This Row],[cd,b,pil (kN/cm²)]]&lt;=ECF[[#This Row],[cd,b,lim (kN/cm²)]],ECF[[#This Row],[cd,b,est (kN/cm²)]]&lt;=ECF[[#This Row],[cd,b,lim (kN/cm²)]]),"OK","ERRO")</f>
        <v>OK</v>
      </c>
      <c r="AS139" s="4">
        <f ca="1">As_lado(ECF[[#This Row],[nE]],ECF[[#This Row],[Nsd (kN)]],ECF[[#This Row],[d (cm)]],ECF[[#This Row],[e (cm)]],ECF[[#This Row],[ap,eq (cm)]])</f>
        <v>8.8592643933927508</v>
      </c>
      <c r="AT139" s="4" t="str">
        <f ca="1">IF(ECF[[#This Row],[nE]]=1,ECF[[#This Row],[As,lado (cm²)]],IF(ECF[[#This Row],[nE]]=2,0.075*2*ECF[a (cm)],"N.A."))</f>
        <v>N.A.</v>
      </c>
      <c r="AU139" s="4">
        <f ca="1">IFERROR(IF(ECF[[#This Row],[nE]]=1,"N.A.",0.2*ECF[[#This Row],[As,lado (cm²)]]),"N.S.")</f>
        <v>1.7718528786785503</v>
      </c>
      <c r="AV139" s="4">
        <f ca="1">As_malha(ECF[[#This Row],[nE]],ECF[[#This Row],[As,lado (cm²)]],ECF[[#This Row],[Nsd (kN)]])</f>
        <v>2.981481481481481</v>
      </c>
      <c r="AW139" s="4">
        <f ca="1">As_susp_tot(ECF[[#This Row],[nE]],ECF[[#This Row],[Nsd (kN)]])</f>
        <v>8.9444444444444429</v>
      </c>
      <c r="AX139" s="4">
        <f ca="1">Asp_face(ECF[[#This Row],[nE]],ECF[[#This Row],[As,lado (cm²)]])</f>
        <v>3.3222241475222818</v>
      </c>
      <c r="AY139" s="5">
        <f ca="1">acoBloco(ECF[[#This Row],[nE]],ECF[[#This Row],[e (cm)]],ECF[[#This Row],[a (cm)]],ECF[[#This Row],[h (cm)]],ECF[[#This Row],[As,lado (cm²)]],ECF[[#This Row],[Asp e Asw (cm²/m)]],ECF[[#This Row],[As,sup (cm²)]],ECF[[#This Row],[As,malha (cm²)]],ECF[[#This Row],[As,susp,tot (cm²)]],ECF[[#This Row],[Asp,face (cm²)]])</f>
        <v>315.96261657595466</v>
      </c>
      <c r="AZ139" s="4">
        <f ca="1">concretoBloco(ECF[[#This Row],[nE]],ECF[[#This Row],[e (cm)]],ECF[[#This Row],[a (cm)]],ECF[[#This Row],[h (cm)]])</f>
        <v>70.737291006660485</v>
      </c>
      <c r="BA139" s="5">
        <f ca="1">SUM(ECF[[#This Row],[Aço Est (kg)]],ECF[[#This Row],[Aço Bloco (kg)]])</f>
        <v>458.01287000067077</v>
      </c>
      <c r="BB139" s="4">
        <f>INDEX(composicoes[],MATCH(95580,composicoes[CÓDIGO],0),MATCH("CUSTO TOTAL",composicoes[#Headers],0))</f>
        <v>10.46</v>
      </c>
      <c r="BC139" s="4">
        <f ca="1">SUM(ECF[[#This Row],[Conc Est (m³)]],ECF[[#This Row],[Conc Bloco (m³)]])</f>
        <v>97.8806515336763</v>
      </c>
      <c r="BD139" s="4">
        <f>INDEX(composicoes[],MATCH(94966,composicoes[CÓDIGO],0),MATCH("CUSTO TOTAL",composicoes[#Headers],0))</f>
        <v>439.52</v>
      </c>
      <c r="BE139" s="38">
        <f ca="1">ECF[[#This Row],[Aço (kg)]]*ECF[[#This Row],[Aço (R$/kg)]]+ECF[[#This Row],[Conc (m³)]]*ECF[[#This Row],[Conc (R$/m³)]]</f>
        <v>47811.318582288426</v>
      </c>
      <c r="BF139" s="4" t="str">
        <f ca="1">IF(COUNTIF(ECF[#This Row],"N.S.")&gt;0,"lim.","OK")</f>
        <v>OK</v>
      </c>
      <c r="BG139" s="4" t="str">
        <f>IF(ECF[[#This Row],[Prof. (m)]]&lt;4,"lim.","OK")</f>
        <v>OK</v>
      </c>
      <c r="BH139" s="4" t="str">
        <f>IF(ECF[[#This Row],[Prof. (m)]]&gt;=8*ECF[[#This Row],[Ø (cm)]]/100,"OK","lim.")</f>
        <v>lim.</v>
      </c>
      <c r="BI139" s="4" t="str">
        <f>IF(AND(SPT!$F$3&lt;&gt;"",ECF[[#This Row],[Prof. (m)]]&gt;=SPT!$F$3-2),"lim.","OK")</f>
        <v>OK</v>
      </c>
      <c r="BJ139" s="4" t="str">
        <f ca="1">IF(ECF[[#This Row],[Verif. Biela]]="OK","OK","lim.")</f>
        <v>OK</v>
      </c>
      <c r="BK139" s="4" t="str">
        <f ca="1">IF(COUNTA(ECF[[#This Row],[Nº Est.]:[Biela comp.]])=COUNTIF(ECF[[#This Row],[Nº Est.]:[Biela comp.]],"OK"),"OK","lim.")</f>
        <v>lim.</v>
      </c>
      <c r="BL139" s="4" t="str">
        <f ca="1">IF(ECF[[#This Row],[Controle]]="OK",ECF[[#This Row],[nE]]&amp;" Ø"&amp;ECF[[#This Row],[Ø (cm)]]&amp;"cm Prof. "&amp;ECF[[#This Row],[Prof. (m)]]&amp;" m","")</f>
        <v/>
      </c>
      <c r="BM139" s="4" t="str">
        <f ca="1">IF(ECF[[#This Row],[idDimensionamento]]="","",ECF[[#This Row],[idPilar]]&amp;ECF[[#This Row],[idDimensionamento]])</f>
        <v/>
      </c>
    </row>
    <row r="140" spans="2:65" x14ac:dyDescent="0.25">
      <c r="B140" s="12">
        <f>ROUNDUP((ROW(ECF[[#This Row],[idDiâmetro]])-ROW(ECF[[#Headers],[idDiâmetro]]))/(COUNT(SPT[Prof. (m)])*COUNT(PILARES[Pilar])),0)</f>
        <v>5</v>
      </c>
      <c r="C140" s="12">
        <f>IF(ECF[[#This Row],[idDiâmetro]]&lt;&gt;B139,1,IF(ECF[[#This Row],[Prof. (m)]]=0,C139+1,C139))</f>
        <v>2</v>
      </c>
      <c r="D140" s="1">
        <f>IFERROR(IF(D139=MAX(SPT[Prof. (m)]),0,D139+1),0)</f>
        <v>9</v>
      </c>
      <c r="E140" s="1">
        <f>INDEX(SPT[],MATCH(ECF[[#This Row],[Prof. (m)]],SPT[Prof. (m)],0),2)</f>
        <v>26</v>
      </c>
      <c r="F140" s="1" t="str">
        <f>INDEX(SPT[],MATCH(ECF[[#This Row],[Prof. (m)]],SPT[Prof. (m)],0),3)</f>
        <v>Areia siltosa</v>
      </c>
      <c r="G140" s="1">
        <f>INDEX(estacas[],ECF[[#This Row],[idDiâmetro]],MATCH($B$2,estacas[#Headers],0))</f>
        <v>120</v>
      </c>
      <c r="H140" s="1">
        <f>INDEX(estacas[],MATCH(ECF[[#This Row],[Ø (cm)]],estacas[Ø ECF (cm)],0),MATCH(ECF[[#Headers],[Pe ECF (kN)]],estacas[#Headers],0))</f>
        <v>4500</v>
      </c>
      <c r="I140" s="4">
        <f>INDEX(K_alpha_C[],MATCH(ECF[[#This Row],[Solo]],K_alpha_C[Solo],0),2)</f>
        <v>0.8</v>
      </c>
      <c r="J140" s="5">
        <f>INDEX(K_alpha_C[],MATCH(ECF[[#This Row],[Solo]],K_alpha_C[Solo],0),3)</f>
        <v>2</v>
      </c>
      <c r="K140" s="4">
        <f>INDEX(F1_F2[],MATCH($D$2,F1_F2[Tipo de estaca],0),2)</f>
        <v>3</v>
      </c>
      <c r="L140" s="4">
        <f>INDEX(F1_F2[],MATCH($D$2,F1_F2[Tipo de estaca],0),3)</f>
        <v>6</v>
      </c>
      <c r="M140" s="4">
        <f>PI()*(ECF[[#This Row],[Ø (cm)]]/100)^2/4</f>
        <v>1.1309733552923256</v>
      </c>
      <c r="N140" s="4">
        <f>PI()*ECF[[#This Row],[Ø (cm)]]/100</f>
        <v>3.7699111843077513</v>
      </c>
      <c r="O140" s="4">
        <f>IF(ECF[[#This Row],[Prof. (m)]]=0,0,ECF[[#This Row],[α (%)]]/100*ECF[[#This Row],[K (MPa)]]*1000*ECF[[#This Row],[NSPT]])</f>
        <v>416</v>
      </c>
      <c r="P140" s="4">
        <f>IF(ECF[[#This Row],[Prof. (m)]]=0,0,(ECF[[#This Row],[K (MPa)]]*1000*ECF[[#This Row],[NSPT]]/ECF[[#This Row],[F1]]*ECF[[#This Row],[Ap (m²)]]+ECF[[#This Row],[U (m)]]/ECF[[#This Row],[F2]]*SUMIFS(ECF[(α∙K∙NL∙ΔL)],ECF[Prof. (m)],"&lt;="&amp;ECF[[#This Row],[Prof. (m)]],ECF[idDiâmetro],ECF[[#This Row],[idDiâmetro]],ECF[idPilar],ECF[[#This Row],[idPilar]]))/'DADOS CAP. CARGA'!$D$2)</f>
        <v>4365.5257355018402</v>
      </c>
      <c r="Q140" s="12">
        <f>INDEX(C_alpha_beta[],MATCH(ECF[[#This Row],[Solo]],C_alpha_beta[Solo],0),MATCH(ECF[[#Headers],[C (kPa)]],C_alpha_beta[#Headers],0))</f>
        <v>400</v>
      </c>
      <c r="R140" s="4">
        <f>INDEX(C_alpha_beta[],MATCH(ECF[[#This Row],[Solo]],C_alpha_beta[Solo],0),MATCH(ECF[[#Headers],[α ESF]],C_alpha_beta[#Headers],0))</f>
        <v>0.5</v>
      </c>
      <c r="S140" s="4">
        <f>INDEX(C_alpha_beta[],MATCH(ECF[[#This Row],[Solo]],C_alpha_beta[Solo],0),MATCH(ECF[[#Headers],[β ESF]],C_alpha_beta[#Headers],0))</f>
        <v>0.5</v>
      </c>
      <c r="T140" s="4">
        <f>IF(ECF[[#This Row],[Prof. (m)]]=0,0,10*(ECF[[#This Row],[NSPT]]/3+1))</f>
        <v>96.666666666666657</v>
      </c>
      <c r="U140" s="4">
        <f>(ECF[[#This Row],[α ESF]]*ECF[[#This Row],[C (kPa)]]*ECF[[#This Row],[NSPT]]*ECF[[#This Row],[Ap (m²)]])/'DADOS CAP. CARGA'!$Q$2+(ECF[[#This Row],[β ESF]]*SUMIFS(ECF[10∙(NL/3+1)],ECF[Prof. (m)],"&lt;="&amp;ECF[[#This Row],[Prof. (m)]],ECF[idDiâmetro],ECF[[#This Row],[idDiâmetro]],ECF[idPilar],ECF[[#This Row],[idPilar]])*ECF[[#This Row],[U (m)]])/'DADOS CAP. CARGA'!$S$2</f>
        <v>1862.9644435787473</v>
      </c>
      <c r="V140" s="4">
        <f>IF(SPT!$M$5=1,MIN(ECF[[#This Row],[Pe ECF (kN)]],ECF[[#This Row],[R_AV (kN)]]),IF(SPT!$M$5=2,MIN(ECF[[#This Row],[Pe ECF (kN)]],ECF[[#This Row],[R_DC (kN)]]),MIN(ECF[[#This Row],[Pe ECF (kN)]],ECF[[#This Row],[R_AV (kN)]],ECF[[#This Row],[R_DC (kN)]])))</f>
        <v>1862.9644435787473</v>
      </c>
      <c r="W140" s="4">
        <f>INDEX(PILARES[],ECF[[#This Row],[idPilar]],MATCH("Carga (kN)",PILARES[#Headers],0))*1.4</f>
        <v>1750</v>
      </c>
      <c r="X140" s="12">
        <f>INDEX(PILARES[],ECF[[#This Row],[idPilar]],MATCH(ECF[[#Headers],[ap (cm)]],PILARES[#Headers],0))</f>
        <v>50</v>
      </c>
      <c r="Y140" s="12">
        <f>INDEX(PILARES[],ECF[[#This Row],[idPilar]],MATCH(ECF[[#Headers],[bp (cm)]],PILARES[#Headers],0))</f>
        <v>40</v>
      </c>
      <c r="Z140" s="4">
        <f>SQRT(ECF[[#This Row],[ap (cm)]]*ECF[[#This Row],[bp (cm)]])</f>
        <v>44.721359549995796</v>
      </c>
      <c r="AA140" s="12">
        <f>ECF[[#This Row],[ap (cm)]]*ECF[[#This Row],[bp (cm)]]</f>
        <v>2000</v>
      </c>
      <c r="AB140" s="12">
        <f ca="1">IF(ECF[[#This Row],[Padm∙ε (kN)]]&gt;=ECF[[#This Row],[Padm (kN)]],ROUNDUP(1.05*ECF[[#This Row],[Nsd (kN)]]/ECF[[#This Row],[Padm (kN)]],0),ROUNDUP(1.05*ECF[[#This Row],[Nsd (kN)]]/ECF[[#This Row],[Padm (kN)]],0)+1)</f>
        <v>1</v>
      </c>
      <c r="AC140" s="4">
        <f ca="1">IFERROR(IF(ECF[[#This Row],[nE]]=1,ECF[[#This Row],[Padm (kN)]],ECF[[#This Row],[Padm (kN)]]*ECF[[#This Row],[nE]]*INDEX(grupoEstacas[],ECF[[#This Row],[nE]],MATCH("ε",grupoEstacas[#Headers],0))),"N.S.")</f>
        <v>1862.9644435787473</v>
      </c>
      <c r="AD140" s="4">
        <f ca="1">1.05*ECF[[#This Row],[Nsd (kN)]]/(ECF[[#This Row],[nE]]*PI()*ECF[[#This Row],[Ø (cm)]]^2/4)*10</f>
        <v>1.624706710729765</v>
      </c>
      <c r="AE140" s="4">
        <f ca="1">IF(ECF[[#This Row],[σ (MPa)]]&lt;INDEX(tipoEstaca[],MATCH($D$2,tipoEstaca[TIPO DE ESTACA],0),MATCH("σmáx (MPa)",tipoEstaca[#Headers],0)),0.4%*PI()*ECF[[#This Row],[Ø (cm)]]^2/4,"N.S.")</f>
        <v>45.238934211693021</v>
      </c>
      <c r="AF140" s="1">
        <f>INDEX(tipoEstaca[],MATCH($D$2,tipoEstaca[TIPO DE ESTACA],0),MATCH(ECF[[#Headers],[Comprimento (m)]],tipoEstaca[#Headers],0))</f>
        <v>4</v>
      </c>
      <c r="AG140" s="5">
        <f ca="1">ECF[[#This Row],[As,mín (cm²)]]/100^2*ECF[[#This Row],[Comprimento (m)]]*7850</f>
        <v>142.05025342471609</v>
      </c>
      <c r="AH140" s="4">
        <f ca="1">ECF[[#This Row],[nE]]*ECF[[#This Row],[Prof. (m)]]*ECF[[#This Row],[Ap (m²)]]</f>
        <v>10.178760197630931</v>
      </c>
      <c r="AI140" s="1">
        <f ca="1">IF(ECF[[#This Row],[nE]]=1,0,MAX(3*ECF[[#This Row],[Ø (cm)]],60))</f>
        <v>0</v>
      </c>
      <c r="AJ140" s="1">
        <f ca="1">IF(ECF[[#This Row],[nE]]=1,ECF[[#This Row],[Ø (cm)]]+2*10,MAX(1.5*ECF[[#This Row],[Ø (cm)]],ECF[[#This Row],[Ø (cm)]]+15))</f>
        <v>140</v>
      </c>
      <c r="AK140" s="1">
        <f ca="1">alturaUtil(ECF[[#This Row],[nE]],ECF[[#This Row],[Ø (cm)]],ECF[[#This Row],[e (cm)]],ECF[[#This Row],[ap,eq (cm)]])</f>
        <v>145</v>
      </c>
      <c r="AL140" s="1">
        <f ca="1">IFERROR(ECF[[#This Row],[d (cm)]]+arredondarParaCimaMultiplo5cm(MAX(5,SQRT(PI())/2*ECF[[#This Row],[Ø (cm)]]/5)),"N.S.")</f>
        <v>170</v>
      </c>
      <c r="AM140" s="5">
        <f ca="1">alpha(ECF[[#This Row],[nE]],ECF[[#This Row],[d (cm)]],ECF[[#This Row],[e (cm)]],ECF[[#This Row],[ap,eq (cm)]])</f>
        <v>90</v>
      </c>
      <c r="AN140" s="35">
        <f ca="1">IFERROR(ECF[[#This Row],[Nsd (kN)]]/(ECF[[#This Row],[Ap (cm²)]]*SIN(ECF[[#This Row],[α]])^2),"N.S.")</f>
        <v>1.0948037013095111</v>
      </c>
      <c r="AO140" s="35">
        <f ca="1">IFERROR(ECF[[#This Row],[Nsd (kN)]]/(ECF[[#This Row],[nE]]*PI()*ECF[[#This Row],[Ø (cm)]]^2/4*SIN(ECF[[#This Row],[α]])^2),"N.S.")</f>
        <v>0.19360380086523518</v>
      </c>
      <c r="AP140" s="4">
        <f ca="1">IFERROR(INDEX(grupoEstacas[],ECF[[#This Row],[nE]],MATCH("coef. Blévot",grupoEstacas[#Headers],0)),"N.S.")</f>
        <v>1</v>
      </c>
      <c r="AQ140" s="35">
        <f ca="1">IFERROR(ECF[[#This Row],[coef. Blévot]]*0.9*INDEX(tipoEstaca[],MATCH($D$2,tipoEstaca[TIPO DE ESTACA],0),MATCH("fcd (kN/cm²)",tipoEstaca[#Headers],0)),"N.S.")</f>
        <v>1</v>
      </c>
      <c r="AR140" s="1" t="str">
        <f ca="1">IF(AND(ECF[[#This Row],[cd,b,pil (kN/cm²)]]&lt;=ECF[[#This Row],[cd,b,lim (kN/cm²)]],ECF[[#This Row],[cd,b,est (kN/cm²)]]&lt;=ECF[[#This Row],[cd,b,lim (kN/cm²)]]),"OK","ERRO")</f>
        <v>ERRO</v>
      </c>
      <c r="AS140" s="4">
        <f ca="1">As_lado(ECF[[#This Row],[nE]],ECF[[#This Row],[Nsd (kN)]],ECF[[#This Row],[d (cm)]],ECF[[#This Row],[e (cm)]],ECF[[#This Row],[ap,eq (cm)]])</f>
        <v>10.0625</v>
      </c>
      <c r="AT140" s="4">
        <f ca="1">IF(ECF[[#This Row],[nE]]=1,ECF[[#This Row],[As,lado (cm²)]],IF(ECF[[#This Row],[nE]]=2,0.075*2*ECF[a (cm)],"N.A."))</f>
        <v>10.0625</v>
      </c>
      <c r="AU140" s="4" t="str">
        <f ca="1">IFERROR(IF(ECF[[#This Row],[nE]]=1,"N.A.",0.2*ECF[[#This Row],[As,lado (cm²)]]),"N.S.")</f>
        <v>N.A.</v>
      </c>
      <c r="AV140" s="4" t="str">
        <f ca="1">As_malha(ECF[[#This Row],[nE]],ECF[[#This Row],[As,lado (cm²)]],ECF[[#This Row],[Nsd (kN)]])</f>
        <v>N.A.</v>
      </c>
      <c r="AW140" s="4" t="str">
        <f ca="1">As_susp_tot(ECF[[#This Row],[nE]],ECF[[#This Row],[Nsd (kN)]])</f>
        <v>N.A.</v>
      </c>
      <c r="AX140" s="4" t="str">
        <f ca="1">Asp_face(ECF[[#This Row],[nE]],ECF[[#This Row],[As,lado (cm²)]])</f>
        <v>N.A.</v>
      </c>
      <c r="AY140" s="5">
        <f ca="1">acoBloco(ECF[[#This Row],[nE]],ECF[[#This Row],[e (cm)]],ECF[[#This Row],[a (cm)]],ECF[[#This Row],[h (cm)]],ECF[[#This Row],[As,lado (cm²)]],ECF[[#This Row],[Asp e Asw (cm²/m)]],ECF[[#This Row],[As,sup (cm²)]],ECF[[#This Row],[As,malha (cm²)]],ECF[[#This Row],[As,susp,tot (cm²)]],ECF[[#This Row],[Asp,face (cm²)]])</f>
        <v>142.18312499999999</v>
      </c>
      <c r="AZ140" s="4">
        <f ca="1">concretoBloco(ECF[[#This Row],[nE]],ECF[[#This Row],[e (cm)]],ECF[[#This Row],[a (cm)]],ECF[[#This Row],[h (cm)]])</f>
        <v>3.3319999999999999</v>
      </c>
      <c r="BA140" s="5">
        <f ca="1">SUM(ECF[[#This Row],[Aço Est (kg)]],ECF[[#This Row],[Aço Bloco (kg)]])</f>
        <v>284.23337842471608</v>
      </c>
      <c r="BB140" s="4">
        <f>INDEX(composicoes[],MATCH(95580,composicoes[CÓDIGO],0),MATCH("CUSTO TOTAL",composicoes[#Headers],0))</f>
        <v>10.46</v>
      </c>
      <c r="BC140" s="4">
        <f ca="1">SUM(ECF[[#This Row],[Conc Est (m³)]],ECF[[#This Row],[Conc Bloco (m³)]])</f>
        <v>13.51076019763093</v>
      </c>
      <c r="BD140" s="4">
        <f>INDEX(composicoes[],MATCH(94966,composicoes[CÓDIGO],0),MATCH("CUSTO TOTAL",composicoes[#Headers],0))</f>
        <v>439.52</v>
      </c>
      <c r="BE140" s="38">
        <f ca="1">ECF[[#This Row],[Aço (kg)]]*ECF[[#This Row],[Aço (R$/kg)]]+ECF[[#This Row],[Conc (m³)]]*ECF[[#This Row],[Conc (R$/m³)]]</f>
        <v>8911.3304603852757</v>
      </c>
      <c r="BF140" s="4" t="str">
        <f ca="1">IF(COUNTIF(ECF[#This Row],"N.S.")&gt;0,"lim.","OK")</f>
        <v>OK</v>
      </c>
      <c r="BG140" s="4" t="str">
        <f>IF(ECF[[#This Row],[Prof. (m)]]&lt;4,"lim.","OK")</f>
        <v>OK</v>
      </c>
      <c r="BH140" s="4" t="str">
        <f>IF(ECF[[#This Row],[Prof. (m)]]&gt;=8*ECF[[#This Row],[Ø (cm)]]/100,"OK","lim.")</f>
        <v>lim.</v>
      </c>
      <c r="BI140" s="4" t="str">
        <f>IF(AND(SPT!$F$3&lt;&gt;"",ECF[[#This Row],[Prof. (m)]]&gt;=SPT!$F$3-2),"lim.","OK")</f>
        <v>OK</v>
      </c>
      <c r="BJ140" s="4" t="str">
        <f ca="1">IF(ECF[[#This Row],[Verif. Biela]]="OK","OK","lim.")</f>
        <v>lim.</v>
      </c>
      <c r="BK140" s="4" t="str">
        <f ca="1">IF(COUNTA(ECF[[#This Row],[Nº Est.]:[Biela comp.]])=COUNTIF(ECF[[#This Row],[Nº Est.]:[Biela comp.]],"OK"),"OK","lim.")</f>
        <v>lim.</v>
      </c>
      <c r="BL140" s="4" t="str">
        <f ca="1">IF(ECF[[#This Row],[Controle]]="OK",ECF[[#This Row],[nE]]&amp;" Ø"&amp;ECF[[#This Row],[Ø (cm)]]&amp;"cm Prof. "&amp;ECF[[#This Row],[Prof. (m)]]&amp;" m","")</f>
        <v/>
      </c>
      <c r="BM140" s="4" t="str">
        <f ca="1">IF(ECF[[#This Row],[idDimensionamento]]="","",ECF[[#This Row],[idPilar]]&amp;ECF[[#This Row],[idDimensionamento]])</f>
        <v/>
      </c>
    </row>
    <row r="141" spans="2:65" x14ac:dyDescent="0.25">
      <c r="B141" s="12">
        <f>ROUNDUP((ROW(ECF[[#This Row],[idDiâmetro]])-ROW(ECF[[#Headers],[idDiâmetro]]))/(COUNT(SPT[Prof. (m)])*COUNT(PILARES[Pilar])),0)</f>
        <v>5</v>
      </c>
      <c r="C141" s="12">
        <f>IF(ECF[[#This Row],[idDiâmetro]]&lt;&gt;B140,1,IF(ECF[[#This Row],[Prof. (m)]]=0,C140+1,C140))</f>
        <v>2</v>
      </c>
      <c r="D141" s="1">
        <f>IFERROR(IF(D140=MAX(SPT[Prof. (m)]),0,D140+1),0)</f>
        <v>10</v>
      </c>
      <c r="E141" s="1">
        <f>INDEX(SPT[],MATCH(ECF[[#This Row],[Prof. (m)]],SPT[Prof. (m)],0),2)</f>
        <v>32</v>
      </c>
      <c r="F141" s="1" t="str">
        <f>INDEX(SPT[],MATCH(ECF[[#This Row],[Prof. (m)]],SPT[Prof. (m)],0),3)</f>
        <v>Areia siltosa</v>
      </c>
      <c r="G141" s="1">
        <f>INDEX(estacas[],ECF[[#This Row],[idDiâmetro]],MATCH($B$2,estacas[#Headers],0))</f>
        <v>120</v>
      </c>
      <c r="H141" s="1">
        <f>INDEX(estacas[],MATCH(ECF[[#This Row],[Ø (cm)]],estacas[Ø ECF (cm)],0),MATCH(ECF[[#Headers],[Pe ECF (kN)]],estacas[#Headers],0))</f>
        <v>4500</v>
      </c>
      <c r="I141" s="4">
        <f>INDEX(K_alpha_C[],MATCH(ECF[[#This Row],[Solo]],K_alpha_C[Solo],0),2)</f>
        <v>0.8</v>
      </c>
      <c r="J141" s="5">
        <f>INDEX(K_alpha_C[],MATCH(ECF[[#This Row],[Solo]],K_alpha_C[Solo],0),3)</f>
        <v>2</v>
      </c>
      <c r="K141" s="4">
        <f>INDEX(F1_F2[],MATCH($D$2,F1_F2[Tipo de estaca],0),2)</f>
        <v>3</v>
      </c>
      <c r="L141" s="4">
        <f>INDEX(F1_F2[],MATCH($D$2,F1_F2[Tipo de estaca],0),3)</f>
        <v>6</v>
      </c>
      <c r="M141" s="4">
        <f>PI()*(ECF[[#This Row],[Ø (cm)]]/100)^2/4</f>
        <v>1.1309733552923256</v>
      </c>
      <c r="N141" s="4">
        <f>PI()*ECF[[#This Row],[Ø (cm)]]/100</f>
        <v>3.7699111843077513</v>
      </c>
      <c r="O141" s="4">
        <f>IF(ECF[[#This Row],[Prof. (m)]]=0,0,ECF[[#This Row],[α (%)]]/100*ECF[[#This Row],[K (MPa)]]*1000*ECF[[#This Row],[NSPT]])</f>
        <v>512</v>
      </c>
      <c r="P141" s="4">
        <f>IF(ECF[[#This Row],[Prof. (m)]]=0,0,(ECF[[#This Row],[K (MPa)]]*1000*ECF[[#This Row],[NSPT]]/ECF[[#This Row],[F1]]*ECF[[#This Row],[Ap (m²)]]+ECF[[#This Row],[U (m)]]/ECF[[#This Row],[F2]]*SUMIFS(ECF[(α∙K∙NL∙ΔL)],ECF[Prof. (m)],"&lt;="&amp;ECF[[#This Row],[Prof. (m)]],ECF[idDiâmetro],ECF[[#This Row],[idDiâmetro]],ECF[idPilar],ECF[[#This Row],[idPilar]]))/'DADOS CAP. CARGA'!$D$2)</f>
        <v>5431.1539635994995</v>
      </c>
      <c r="Q141" s="12">
        <f>INDEX(C_alpha_beta[],MATCH(ECF[[#This Row],[Solo]],C_alpha_beta[Solo],0),MATCH(ECF[[#Headers],[C (kPa)]],C_alpha_beta[#Headers],0))</f>
        <v>400</v>
      </c>
      <c r="R141" s="4">
        <f>INDEX(C_alpha_beta[],MATCH(ECF[[#This Row],[Solo]],C_alpha_beta[Solo],0),MATCH(ECF[[#Headers],[α ESF]],C_alpha_beta[#Headers],0))</f>
        <v>0.5</v>
      </c>
      <c r="S141" s="4">
        <f>INDEX(C_alpha_beta[],MATCH(ECF[[#This Row],[Solo]],C_alpha_beta[Solo],0),MATCH(ECF[[#Headers],[β ESF]],C_alpha_beta[#Headers],0))</f>
        <v>0.5</v>
      </c>
      <c r="T141" s="4">
        <f>IF(ECF[[#This Row],[Prof. (m)]]=0,0,10*(ECF[[#This Row],[NSPT]]/3+1))</f>
        <v>116.66666666666666</v>
      </c>
      <c r="U141" s="4">
        <f>(ECF[[#This Row],[α ESF]]*ECF[[#This Row],[C (kPa)]]*ECF[[#This Row],[NSPT]]*ECF[[#This Row],[Ap (m²)]])/'DADOS CAP. CARGA'!$Q$2+(ECF[[#This Row],[β ESF]]*SUMIFS(ECF[10∙(NL/3+1)],ECF[Prof. (m)],"&lt;="&amp;ECF[[#This Row],[Prof. (m)]],ECF[idDiâmetro],ECF[[#This Row],[idDiâmetro]],ECF[idPilar],ECF[[#This Row],[idPilar]])*ECF[[#This Row],[U (m)]])/'DADOS CAP. CARGA'!$S$2</f>
        <v>2312.2121930420876</v>
      </c>
      <c r="V141" s="4">
        <f>IF(SPT!$M$5=1,MIN(ECF[[#This Row],[Pe ECF (kN)]],ECF[[#This Row],[R_AV (kN)]]),IF(SPT!$M$5=2,MIN(ECF[[#This Row],[Pe ECF (kN)]],ECF[[#This Row],[R_DC (kN)]]),MIN(ECF[[#This Row],[Pe ECF (kN)]],ECF[[#This Row],[R_AV (kN)]],ECF[[#This Row],[R_DC (kN)]])))</f>
        <v>2312.2121930420876</v>
      </c>
      <c r="W141" s="4">
        <f>INDEX(PILARES[],ECF[[#This Row],[idPilar]],MATCH("Carga (kN)",PILARES[#Headers],0))*1.4</f>
        <v>1750</v>
      </c>
      <c r="X141" s="12">
        <f>INDEX(PILARES[],ECF[[#This Row],[idPilar]],MATCH(ECF[[#Headers],[ap (cm)]],PILARES[#Headers],0))</f>
        <v>50</v>
      </c>
      <c r="Y141" s="12">
        <f>INDEX(PILARES[],ECF[[#This Row],[idPilar]],MATCH(ECF[[#Headers],[bp (cm)]],PILARES[#Headers],0))</f>
        <v>40</v>
      </c>
      <c r="Z141" s="4">
        <f>SQRT(ECF[[#This Row],[ap (cm)]]*ECF[[#This Row],[bp (cm)]])</f>
        <v>44.721359549995796</v>
      </c>
      <c r="AA141" s="12">
        <f>ECF[[#This Row],[ap (cm)]]*ECF[[#This Row],[bp (cm)]]</f>
        <v>2000</v>
      </c>
      <c r="AB141" s="12">
        <f ca="1">IF(ECF[[#This Row],[Padm∙ε (kN)]]&gt;=ECF[[#This Row],[Padm (kN)]],ROUNDUP(1.05*ECF[[#This Row],[Nsd (kN)]]/ECF[[#This Row],[Padm (kN)]],0),ROUNDUP(1.05*ECF[[#This Row],[Nsd (kN)]]/ECF[[#This Row],[Padm (kN)]],0)+1)</f>
        <v>1</v>
      </c>
      <c r="AC141" s="4">
        <f ca="1">IFERROR(IF(ECF[[#This Row],[nE]]=1,ECF[[#This Row],[Padm (kN)]],ECF[[#This Row],[Padm (kN)]]*ECF[[#This Row],[nE]]*INDEX(grupoEstacas[],ECF[[#This Row],[nE]],MATCH("ε",grupoEstacas[#Headers],0))),"N.S.")</f>
        <v>2312.2121930420876</v>
      </c>
      <c r="AD141" s="4">
        <f ca="1">1.05*ECF[[#This Row],[Nsd (kN)]]/(ECF[[#This Row],[nE]]*PI()*ECF[[#This Row],[Ø (cm)]]^2/4)*10</f>
        <v>1.624706710729765</v>
      </c>
      <c r="AE141" s="4">
        <f ca="1">IF(ECF[[#This Row],[σ (MPa)]]&lt;INDEX(tipoEstaca[],MATCH($D$2,tipoEstaca[TIPO DE ESTACA],0),MATCH("σmáx (MPa)",tipoEstaca[#Headers],0)),0.4%*PI()*ECF[[#This Row],[Ø (cm)]]^2/4,"N.S.")</f>
        <v>45.238934211693021</v>
      </c>
      <c r="AF141" s="1">
        <f>INDEX(tipoEstaca[],MATCH($D$2,tipoEstaca[TIPO DE ESTACA],0),MATCH(ECF[[#Headers],[Comprimento (m)]],tipoEstaca[#Headers],0))</f>
        <v>4</v>
      </c>
      <c r="AG141" s="5">
        <f ca="1">ECF[[#This Row],[As,mín (cm²)]]/100^2*ECF[[#This Row],[Comprimento (m)]]*7850</f>
        <v>142.05025342471609</v>
      </c>
      <c r="AH141" s="4">
        <f ca="1">ECF[[#This Row],[nE]]*ECF[[#This Row],[Prof. (m)]]*ECF[[#This Row],[Ap (m²)]]</f>
        <v>11.309733552923255</v>
      </c>
      <c r="AI141" s="1">
        <f ca="1">IF(ECF[[#This Row],[nE]]=1,0,MAX(3*ECF[[#This Row],[Ø (cm)]],60))</f>
        <v>0</v>
      </c>
      <c r="AJ141" s="1">
        <f ca="1">IF(ECF[[#This Row],[nE]]=1,ECF[[#This Row],[Ø (cm)]]+2*10,MAX(1.5*ECF[[#This Row],[Ø (cm)]],ECF[[#This Row],[Ø (cm)]]+15))</f>
        <v>140</v>
      </c>
      <c r="AK141" s="1">
        <f ca="1">alturaUtil(ECF[[#This Row],[nE]],ECF[[#This Row],[Ø (cm)]],ECF[[#This Row],[e (cm)]],ECF[[#This Row],[ap,eq (cm)]])</f>
        <v>145</v>
      </c>
      <c r="AL141" s="1">
        <f ca="1">IFERROR(ECF[[#This Row],[d (cm)]]+arredondarParaCimaMultiplo5cm(MAX(5,SQRT(PI())/2*ECF[[#This Row],[Ø (cm)]]/5)),"N.S.")</f>
        <v>170</v>
      </c>
      <c r="AM141" s="5">
        <f ca="1">alpha(ECF[[#This Row],[nE]],ECF[[#This Row],[d (cm)]],ECF[[#This Row],[e (cm)]],ECF[[#This Row],[ap,eq (cm)]])</f>
        <v>90</v>
      </c>
      <c r="AN141" s="35">
        <f ca="1">IFERROR(ECF[[#This Row],[Nsd (kN)]]/(ECF[[#This Row],[Ap (cm²)]]*SIN(ECF[[#This Row],[α]])^2),"N.S.")</f>
        <v>1.0948037013095111</v>
      </c>
      <c r="AO141" s="35">
        <f ca="1">IFERROR(ECF[[#This Row],[Nsd (kN)]]/(ECF[[#This Row],[nE]]*PI()*ECF[[#This Row],[Ø (cm)]]^2/4*SIN(ECF[[#This Row],[α]])^2),"N.S.")</f>
        <v>0.19360380086523518</v>
      </c>
      <c r="AP141" s="4">
        <f ca="1">IFERROR(INDEX(grupoEstacas[],ECF[[#This Row],[nE]],MATCH("coef. Blévot",grupoEstacas[#Headers],0)),"N.S.")</f>
        <v>1</v>
      </c>
      <c r="AQ141" s="35">
        <f ca="1">IFERROR(ECF[[#This Row],[coef. Blévot]]*0.9*INDEX(tipoEstaca[],MATCH($D$2,tipoEstaca[TIPO DE ESTACA],0),MATCH("fcd (kN/cm²)",tipoEstaca[#Headers],0)),"N.S.")</f>
        <v>1</v>
      </c>
      <c r="AR141" s="1" t="str">
        <f ca="1">IF(AND(ECF[[#This Row],[cd,b,pil (kN/cm²)]]&lt;=ECF[[#This Row],[cd,b,lim (kN/cm²)]],ECF[[#This Row],[cd,b,est (kN/cm²)]]&lt;=ECF[[#This Row],[cd,b,lim (kN/cm²)]]),"OK","ERRO")</f>
        <v>ERRO</v>
      </c>
      <c r="AS141" s="4">
        <f ca="1">As_lado(ECF[[#This Row],[nE]],ECF[[#This Row],[Nsd (kN)]],ECF[[#This Row],[d (cm)]],ECF[[#This Row],[e (cm)]],ECF[[#This Row],[ap,eq (cm)]])</f>
        <v>10.0625</v>
      </c>
      <c r="AT141" s="4">
        <f ca="1">IF(ECF[[#This Row],[nE]]=1,ECF[[#This Row],[As,lado (cm²)]],IF(ECF[[#This Row],[nE]]=2,0.075*2*ECF[a (cm)],"N.A."))</f>
        <v>10.0625</v>
      </c>
      <c r="AU141" s="4" t="str">
        <f ca="1">IFERROR(IF(ECF[[#This Row],[nE]]=1,"N.A.",0.2*ECF[[#This Row],[As,lado (cm²)]]),"N.S.")</f>
        <v>N.A.</v>
      </c>
      <c r="AV141" s="4" t="str">
        <f ca="1">As_malha(ECF[[#This Row],[nE]],ECF[[#This Row],[As,lado (cm²)]],ECF[[#This Row],[Nsd (kN)]])</f>
        <v>N.A.</v>
      </c>
      <c r="AW141" s="4" t="str">
        <f ca="1">As_susp_tot(ECF[[#This Row],[nE]],ECF[[#This Row],[Nsd (kN)]])</f>
        <v>N.A.</v>
      </c>
      <c r="AX141" s="4" t="str">
        <f ca="1">Asp_face(ECF[[#This Row],[nE]],ECF[[#This Row],[As,lado (cm²)]])</f>
        <v>N.A.</v>
      </c>
      <c r="AY141" s="5">
        <f ca="1">acoBloco(ECF[[#This Row],[nE]],ECF[[#This Row],[e (cm)]],ECF[[#This Row],[a (cm)]],ECF[[#This Row],[h (cm)]],ECF[[#This Row],[As,lado (cm²)]],ECF[[#This Row],[Asp e Asw (cm²/m)]],ECF[[#This Row],[As,sup (cm²)]],ECF[[#This Row],[As,malha (cm²)]],ECF[[#This Row],[As,susp,tot (cm²)]],ECF[[#This Row],[Asp,face (cm²)]])</f>
        <v>142.18312499999999</v>
      </c>
      <c r="AZ141" s="4">
        <f ca="1">concretoBloco(ECF[[#This Row],[nE]],ECF[[#This Row],[e (cm)]],ECF[[#This Row],[a (cm)]],ECF[[#This Row],[h (cm)]])</f>
        <v>3.3319999999999999</v>
      </c>
      <c r="BA141" s="5">
        <f ca="1">SUM(ECF[[#This Row],[Aço Est (kg)]],ECF[[#This Row],[Aço Bloco (kg)]])</f>
        <v>284.23337842471608</v>
      </c>
      <c r="BB141" s="4">
        <f>INDEX(composicoes[],MATCH(95580,composicoes[CÓDIGO],0),MATCH("CUSTO TOTAL",composicoes[#Headers],0))</f>
        <v>10.46</v>
      </c>
      <c r="BC141" s="4">
        <f ca="1">SUM(ECF[[#This Row],[Conc Est (m³)]],ECF[[#This Row],[Conc Bloco (m³)]])</f>
        <v>14.641733552923256</v>
      </c>
      <c r="BD141" s="4">
        <f>INDEX(composicoes[],MATCH(94966,composicoes[CÓDIGO],0),MATCH("CUSTO TOTAL",composicoes[#Headers],0))</f>
        <v>439.52</v>
      </c>
      <c r="BE141" s="38">
        <f ca="1">ECF[[#This Row],[Aço (kg)]]*ECF[[#This Row],[Aço (R$/kg)]]+ECF[[#This Row],[Conc (m³)]]*ECF[[#This Row],[Conc (R$/m³)]]</f>
        <v>9408.4158695033602</v>
      </c>
      <c r="BF141" s="4" t="str">
        <f ca="1">IF(COUNTIF(ECF[#This Row],"N.S.")&gt;0,"lim.","OK")</f>
        <v>OK</v>
      </c>
      <c r="BG141" s="4" t="str">
        <f>IF(ECF[[#This Row],[Prof. (m)]]&lt;4,"lim.","OK")</f>
        <v>OK</v>
      </c>
      <c r="BH141" s="4" t="str">
        <f>IF(ECF[[#This Row],[Prof. (m)]]&gt;=8*ECF[[#This Row],[Ø (cm)]]/100,"OK","lim.")</f>
        <v>OK</v>
      </c>
      <c r="BI141" s="4" t="str">
        <f>IF(AND(SPT!$F$3&lt;&gt;"",ECF[[#This Row],[Prof. (m)]]&gt;=SPT!$F$3-2),"lim.","OK")</f>
        <v>OK</v>
      </c>
      <c r="BJ141" s="4" t="str">
        <f ca="1">IF(ECF[[#This Row],[Verif. Biela]]="OK","OK","lim.")</f>
        <v>lim.</v>
      </c>
      <c r="BK141" s="4" t="str">
        <f ca="1">IF(COUNTA(ECF[[#This Row],[Nº Est.]:[Biela comp.]])=COUNTIF(ECF[[#This Row],[Nº Est.]:[Biela comp.]],"OK"),"OK","lim.")</f>
        <v>lim.</v>
      </c>
      <c r="BL141" s="4" t="str">
        <f ca="1">IF(ECF[[#This Row],[Controle]]="OK",ECF[[#This Row],[nE]]&amp;" Ø"&amp;ECF[[#This Row],[Ø (cm)]]&amp;"cm Prof. "&amp;ECF[[#This Row],[Prof. (m)]]&amp;" m","")</f>
        <v/>
      </c>
      <c r="BM141" s="4" t="str">
        <f ca="1">IF(ECF[[#This Row],[idDimensionamento]]="","",ECF[[#This Row],[idPilar]]&amp;ECF[[#This Row],[idDimensionamento]])</f>
        <v/>
      </c>
    </row>
    <row r="142" spans="2:65" x14ac:dyDescent="0.25">
      <c r="B142" s="12">
        <f>ROUNDUP((ROW(ECF[[#This Row],[idDiâmetro]])-ROW(ECF[[#Headers],[idDiâmetro]]))/(COUNT(SPT[Prof. (m)])*COUNT(PILARES[Pilar])),0)</f>
        <v>5</v>
      </c>
      <c r="C142" s="12">
        <f>IF(ECF[[#This Row],[idDiâmetro]]&lt;&gt;B141,1,IF(ECF[[#This Row],[Prof. (m)]]=0,C141+1,C141))</f>
        <v>2</v>
      </c>
      <c r="D142" s="1">
        <f>IFERROR(IF(D141=MAX(SPT[Prof. (m)]),0,D141+1),0)</f>
        <v>11</v>
      </c>
      <c r="E142" s="1">
        <f>INDEX(SPT[],MATCH(ECF[[#This Row],[Prof. (m)]],SPT[Prof. (m)],0),2)</f>
        <v>41</v>
      </c>
      <c r="F142" s="1" t="str">
        <f>INDEX(SPT[],MATCH(ECF[[#This Row],[Prof. (m)]],SPT[Prof. (m)],0),3)</f>
        <v>Areia siltosa</v>
      </c>
      <c r="G142" s="1">
        <f>INDEX(estacas[],ECF[[#This Row],[idDiâmetro]],MATCH($B$2,estacas[#Headers],0))</f>
        <v>120</v>
      </c>
      <c r="H142" s="1">
        <f>INDEX(estacas[],MATCH(ECF[[#This Row],[Ø (cm)]],estacas[Ø ECF (cm)],0),MATCH(ECF[[#Headers],[Pe ECF (kN)]],estacas[#Headers],0))</f>
        <v>4500</v>
      </c>
      <c r="I142" s="4">
        <f>INDEX(K_alpha_C[],MATCH(ECF[[#This Row],[Solo]],K_alpha_C[Solo],0),2)</f>
        <v>0.8</v>
      </c>
      <c r="J142" s="5">
        <f>INDEX(K_alpha_C[],MATCH(ECF[[#This Row],[Solo]],K_alpha_C[Solo],0),3)</f>
        <v>2</v>
      </c>
      <c r="K142" s="4">
        <f>INDEX(F1_F2[],MATCH($D$2,F1_F2[Tipo de estaca],0),2)</f>
        <v>3</v>
      </c>
      <c r="L142" s="4">
        <f>INDEX(F1_F2[],MATCH($D$2,F1_F2[Tipo de estaca],0),3)</f>
        <v>6</v>
      </c>
      <c r="M142" s="4">
        <f>PI()*(ECF[[#This Row],[Ø (cm)]]/100)^2/4</f>
        <v>1.1309733552923256</v>
      </c>
      <c r="N142" s="4">
        <f>PI()*ECF[[#This Row],[Ø (cm)]]/100</f>
        <v>3.7699111843077513</v>
      </c>
      <c r="O142" s="4">
        <f>IF(ECF[[#This Row],[Prof. (m)]]=0,0,ECF[[#This Row],[α (%)]]/100*ECF[[#This Row],[K (MPa)]]*1000*ECF[[#This Row],[NSPT]])</f>
        <v>656</v>
      </c>
      <c r="P142" s="4">
        <f>IF(ECF[[#This Row],[Prof. (m)]]=0,0,(ECF[[#This Row],[K (MPa)]]*1000*ECF[[#This Row],[NSPT]]/ECF[[#This Row],[F1]]*ECF[[#This Row],[Ap (m²)]]+ECF[[#This Row],[U (m)]]/ECF[[#This Row],[F2]]*SUMIFS(ECF[(α∙K∙NL∙ΔL)],ECF[Prof. (m)],"&lt;="&amp;ECF[[#This Row],[Prof. (m)]],ECF[idDiâmetro],ECF[[#This Row],[idDiâmetro]],ECF[idPilar],ECF[[#This Row],[idPilar]]))/'DADOS CAP. CARGA'!$D$2)</f>
        <v>6994.4104680257806</v>
      </c>
      <c r="Q142" s="12">
        <f>INDEX(C_alpha_beta[],MATCH(ECF[[#This Row],[Solo]],C_alpha_beta[Solo],0),MATCH(ECF[[#Headers],[C (kPa)]],C_alpha_beta[#Headers],0))</f>
        <v>400</v>
      </c>
      <c r="R142" s="4">
        <f>INDEX(C_alpha_beta[],MATCH(ECF[[#This Row],[Solo]],C_alpha_beta[Solo],0),MATCH(ECF[[#Headers],[α ESF]],C_alpha_beta[#Headers],0))</f>
        <v>0.5</v>
      </c>
      <c r="S142" s="4">
        <f>INDEX(C_alpha_beta[],MATCH(ECF[[#This Row],[Solo]],C_alpha_beta[Solo],0),MATCH(ECF[[#Headers],[β ESF]],C_alpha_beta[#Headers],0))</f>
        <v>0.5</v>
      </c>
      <c r="T142" s="4">
        <f>IF(ECF[[#This Row],[Prof. (m)]]=0,0,10*(ECF[[#This Row],[NSPT]]/3+1))</f>
        <v>146.66666666666666</v>
      </c>
      <c r="U142" s="4">
        <f>(ECF[[#This Row],[α ESF]]*ECF[[#This Row],[C (kPa)]]*ECF[[#This Row],[NSPT]]*ECF[[#This Row],[Ap (m²)]])/'DADOS CAP. CARGA'!$Q$2+(ECF[[#This Row],[β ESF]]*SUMIFS(ECF[10∙(NL/3+1)],ECF[Prof. (m)],"&lt;="&amp;ECF[[#This Row],[Prof. (m)]],ECF[idDiâmetro],ECF[[#This Row],[idDiâmetro]],ECF[idPilar],ECF[[#This Row],[idPilar]])*ECF[[#This Row],[U (m)]])/'DADOS CAP. CARGA'!$S$2</f>
        <v>2959.3802796815853</v>
      </c>
      <c r="V142" s="4">
        <f>IF(SPT!$M$5=1,MIN(ECF[[#This Row],[Pe ECF (kN)]],ECF[[#This Row],[R_AV (kN)]]),IF(SPT!$M$5=2,MIN(ECF[[#This Row],[Pe ECF (kN)]],ECF[[#This Row],[R_DC (kN)]]),MIN(ECF[[#This Row],[Pe ECF (kN)]],ECF[[#This Row],[R_AV (kN)]],ECF[[#This Row],[R_DC (kN)]])))</f>
        <v>2959.3802796815853</v>
      </c>
      <c r="W142" s="4">
        <f>INDEX(PILARES[],ECF[[#This Row],[idPilar]],MATCH("Carga (kN)",PILARES[#Headers],0))*1.4</f>
        <v>1750</v>
      </c>
      <c r="X142" s="12">
        <f>INDEX(PILARES[],ECF[[#This Row],[idPilar]],MATCH(ECF[[#Headers],[ap (cm)]],PILARES[#Headers],0))</f>
        <v>50</v>
      </c>
      <c r="Y142" s="12">
        <f>INDEX(PILARES[],ECF[[#This Row],[idPilar]],MATCH(ECF[[#Headers],[bp (cm)]],PILARES[#Headers],0))</f>
        <v>40</v>
      </c>
      <c r="Z142" s="4">
        <f>SQRT(ECF[[#This Row],[ap (cm)]]*ECF[[#This Row],[bp (cm)]])</f>
        <v>44.721359549995796</v>
      </c>
      <c r="AA142" s="12">
        <f>ECF[[#This Row],[ap (cm)]]*ECF[[#This Row],[bp (cm)]]</f>
        <v>2000</v>
      </c>
      <c r="AB142" s="12">
        <f ca="1">IF(ECF[[#This Row],[Padm∙ε (kN)]]&gt;=ECF[[#This Row],[Padm (kN)]],ROUNDUP(1.05*ECF[[#This Row],[Nsd (kN)]]/ECF[[#This Row],[Padm (kN)]],0),ROUNDUP(1.05*ECF[[#This Row],[Nsd (kN)]]/ECF[[#This Row],[Padm (kN)]],0)+1)</f>
        <v>1</v>
      </c>
      <c r="AC142" s="4">
        <f ca="1">IFERROR(IF(ECF[[#This Row],[nE]]=1,ECF[[#This Row],[Padm (kN)]],ECF[[#This Row],[Padm (kN)]]*ECF[[#This Row],[nE]]*INDEX(grupoEstacas[],ECF[[#This Row],[nE]],MATCH("ε",grupoEstacas[#Headers],0))),"N.S.")</f>
        <v>2959.3802796815853</v>
      </c>
      <c r="AD142" s="4">
        <f ca="1">1.05*ECF[[#This Row],[Nsd (kN)]]/(ECF[[#This Row],[nE]]*PI()*ECF[[#This Row],[Ø (cm)]]^2/4)*10</f>
        <v>1.624706710729765</v>
      </c>
      <c r="AE142" s="4">
        <f ca="1">IF(ECF[[#This Row],[σ (MPa)]]&lt;INDEX(tipoEstaca[],MATCH($D$2,tipoEstaca[TIPO DE ESTACA],0),MATCH("σmáx (MPa)",tipoEstaca[#Headers],0)),0.4%*PI()*ECF[[#This Row],[Ø (cm)]]^2/4,"N.S.")</f>
        <v>45.238934211693021</v>
      </c>
      <c r="AF142" s="1">
        <f>INDEX(tipoEstaca[],MATCH($D$2,tipoEstaca[TIPO DE ESTACA],0),MATCH(ECF[[#Headers],[Comprimento (m)]],tipoEstaca[#Headers],0))</f>
        <v>4</v>
      </c>
      <c r="AG142" s="5">
        <f ca="1">ECF[[#This Row],[As,mín (cm²)]]/100^2*ECF[[#This Row],[Comprimento (m)]]*7850</f>
        <v>142.05025342471609</v>
      </c>
      <c r="AH142" s="4">
        <f ca="1">ECF[[#This Row],[nE]]*ECF[[#This Row],[Prof. (m)]]*ECF[[#This Row],[Ap (m²)]]</f>
        <v>12.440706908215581</v>
      </c>
      <c r="AI142" s="1">
        <f ca="1">IF(ECF[[#This Row],[nE]]=1,0,MAX(3*ECF[[#This Row],[Ø (cm)]],60))</f>
        <v>0</v>
      </c>
      <c r="AJ142" s="1">
        <f ca="1">IF(ECF[[#This Row],[nE]]=1,ECF[[#This Row],[Ø (cm)]]+2*10,MAX(1.5*ECF[[#This Row],[Ø (cm)]],ECF[[#This Row],[Ø (cm)]]+15))</f>
        <v>140</v>
      </c>
      <c r="AK142" s="1">
        <f ca="1">alturaUtil(ECF[[#This Row],[nE]],ECF[[#This Row],[Ø (cm)]],ECF[[#This Row],[e (cm)]],ECF[[#This Row],[ap,eq (cm)]])</f>
        <v>145</v>
      </c>
      <c r="AL142" s="1">
        <f ca="1">IFERROR(ECF[[#This Row],[d (cm)]]+arredondarParaCimaMultiplo5cm(MAX(5,SQRT(PI())/2*ECF[[#This Row],[Ø (cm)]]/5)),"N.S.")</f>
        <v>170</v>
      </c>
      <c r="AM142" s="5">
        <f ca="1">alpha(ECF[[#This Row],[nE]],ECF[[#This Row],[d (cm)]],ECF[[#This Row],[e (cm)]],ECF[[#This Row],[ap,eq (cm)]])</f>
        <v>90</v>
      </c>
      <c r="AN142" s="35">
        <f ca="1">IFERROR(ECF[[#This Row],[Nsd (kN)]]/(ECF[[#This Row],[Ap (cm²)]]*SIN(ECF[[#This Row],[α]])^2),"N.S.")</f>
        <v>1.0948037013095111</v>
      </c>
      <c r="AO142" s="35">
        <f ca="1">IFERROR(ECF[[#This Row],[Nsd (kN)]]/(ECF[[#This Row],[nE]]*PI()*ECF[[#This Row],[Ø (cm)]]^2/4*SIN(ECF[[#This Row],[α]])^2),"N.S.")</f>
        <v>0.19360380086523518</v>
      </c>
      <c r="AP142" s="4">
        <f ca="1">IFERROR(INDEX(grupoEstacas[],ECF[[#This Row],[nE]],MATCH("coef. Blévot",grupoEstacas[#Headers],0)),"N.S.")</f>
        <v>1</v>
      </c>
      <c r="AQ142" s="35">
        <f ca="1">IFERROR(ECF[[#This Row],[coef. Blévot]]*0.9*INDEX(tipoEstaca[],MATCH($D$2,tipoEstaca[TIPO DE ESTACA],0),MATCH("fcd (kN/cm²)",tipoEstaca[#Headers],0)),"N.S.")</f>
        <v>1</v>
      </c>
      <c r="AR142" s="1" t="str">
        <f ca="1">IF(AND(ECF[[#This Row],[cd,b,pil (kN/cm²)]]&lt;=ECF[[#This Row],[cd,b,lim (kN/cm²)]],ECF[[#This Row],[cd,b,est (kN/cm²)]]&lt;=ECF[[#This Row],[cd,b,lim (kN/cm²)]]),"OK","ERRO")</f>
        <v>ERRO</v>
      </c>
      <c r="AS142" s="4">
        <f ca="1">As_lado(ECF[[#This Row],[nE]],ECF[[#This Row],[Nsd (kN)]],ECF[[#This Row],[d (cm)]],ECF[[#This Row],[e (cm)]],ECF[[#This Row],[ap,eq (cm)]])</f>
        <v>10.0625</v>
      </c>
      <c r="AT142" s="4">
        <f ca="1">IF(ECF[[#This Row],[nE]]=1,ECF[[#This Row],[As,lado (cm²)]],IF(ECF[[#This Row],[nE]]=2,0.075*2*ECF[a (cm)],"N.A."))</f>
        <v>10.0625</v>
      </c>
      <c r="AU142" s="4" t="str">
        <f ca="1">IFERROR(IF(ECF[[#This Row],[nE]]=1,"N.A.",0.2*ECF[[#This Row],[As,lado (cm²)]]),"N.S.")</f>
        <v>N.A.</v>
      </c>
      <c r="AV142" s="4" t="str">
        <f ca="1">As_malha(ECF[[#This Row],[nE]],ECF[[#This Row],[As,lado (cm²)]],ECF[[#This Row],[Nsd (kN)]])</f>
        <v>N.A.</v>
      </c>
      <c r="AW142" s="4" t="str">
        <f ca="1">As_susp_tot(ECF[[#This Row],[nE]],ECF[[#This Row],[Nsd (kN)]])</f>
        <v>N.A.</v>
      </c>
      <c r="AX142" s="4" t="str">
        <f ca="1">Asp_face(ECF[[#This Row],[nE]],ECF[[#This Row],[As,lado (cm²)]])</f>
        <v>N.A.</v>
      </c>
      <c r="AY142" s="5">
        <f ca="1">acoBloco(ECF[[#This Row],[nE]],ECF[[#This Row],[e (cm)]],ECF[[#This Row],[a (cm)]],ECF[[#This Row],[h (cm)]],ECF[[#This Row],[As,lado (cm²)]],ECF[[#This Row],[Asp e Asw (cm²/m)]],ECF[[#This Row],[As,sup (cm²)]],ECF[[#This Row],[As,malha (cm²)]],ECF[[#This Row],[As,susp,tot (cm²)]],ECF[[#This Row],[Asp,face (cm²)]])</f>
        <v>142.18312499999999</v>
      </c>
      <c r="AZ142" s="4">
        <f ca="1">concretoBloco(ECF[[#This Row],[nE]],ECF[[#This Row],[e (cm)]],ECF[[#This Row],[a (cm)]],ECF[[#This Row],[h (cm)]])</f>
        <v>3.3319999999999999</v>
      </c>
      <c r="BA142" s="5">
        <f ca="1">SUM(ECF[[#This Row],[Aço Est (kg)]],ECF[[#This Row],[Aço Bloco (kg)]])</f>
        <v>284.23337842471608</v>
      </c>
      <c r="BB142" s="4">
        <f>INDEX(composicoes[],MATCH(95580,composicoes[CÓDIGO],0),MATCH("CUSTO TOTAL",composicoes[#Headers],0))</f>
        <v>10.46</v>
      </c>
      <c r="BC142" s="4">
        <f ca="1">SUM(ECF[[#This Row],[Conc Est (m³)]],ECF[[#This Row],[Conc Bloco (m³)]])</f>
        <v>15.772706908215582</v>
      </c>
      <c r="BD142" s="4">
        <f>INDEX(composicoes[],MATCH(94966,composicoes[CÓDIGO],0),MATCH("CUSTO TOTAL",composicoes[#Headers],0))</f>
        <v>439.52</v>
      </c>
      <c r="BE142" s="38">
        <f ca="1">ECF[[#This Row],[Aço (kg)]]*ECF[[#This Row],[Aço (R$/kg)]]+ECF[[#This Row],[Conc (m³)]]*ECF[[#This Row],[Conc (R$/m³)]]</f>
        <v>9905.5012786214429</v>
      </c>
      <c r="BF142" s="4" t="str">
        <f ca="1">IF(COUNTIF(ECF[#This Row],"N.S.")&gt;0,"lim.","OK")</f>
        <v>OK</v>
      </c>
      <c r="BG142" s="4" t="str">
        <f>IF(ECF[[#This Row],[Prof. (m)]]&lt;4,"lim.","OK")</f>
        <v>OK</v>
      </c>
      <c r="BH142" s="4" t="str">
        <f>IF(ECF[[#This Row],[Prof. (m)]]&gt;=8*ECF[[#This Row],[Ø (cm)]]/100,"OK","lim.")</f>
        <v>OK</v>
      </c>
      <c r="BI142" s="4" t="str">
        <f>IF(AND(SPT!$F$3&lt;&gt;"",ECF[[#This Row],[Prof. (m)]]&gt;=SPT!$F$3-2),"lim.","OK")</f>
        <v>OK</v>
      </c>
      <c r="BJ142" s="4" t="str">
        <f ca="1">IF(ECF[[#This Row],[Verif. Biela]]="OK","OK","lim.")</f>
        <v>lim.</v>
      </c>
      <c r="BK142" s="4" t="str">
        <f ca="1">IF(COUNTA(ECF[[#This Row],[Nº Est.]:[Biela comp.]])=COUNTIF(ECF[[#This Row],[Nº Est.]:[Biela comp.]],"OK"),"OK","lim.")</f>
        <v>lim.</v>
      </c>
      <c r="BL142" s="4" t="str">
        <f ca="1">IF(ECF[[#This Row],[Controle]]="OK",ECF[[#This Row],[nE]]&amp;" Ø"&amp;ECF[[#This Row],[Ø (cm)]]&amp;"cm Prof. "&amp;ECF[[#This Row],[Prof. (m)]]&amp;" m","")</f>
        <v/>
      </c>
      <c r="BM142" s="4" t="str">
        <f ca="1">IF(ECF[[#This Row],[idDimensionamento]]="","",ECF[[#This Row],[idPilar]]&amp;ECF[[#This Row],[idDimensionamento]])</f>
        <v/>
      </c>
    </row>
    <row r="143" spans="2:65" x14ac:dyDescent="0.25">
      <c r="B143" s="12">
        <f>ROUNDUP((ROW(ECF[[#This Row],[idDiâmetro]])-ROW(ECF[[#Headers],[idDiâmetro]]))/(COUNT(SPT[Prof. (m)])*COUNT(PILARES[Pilar])),0)</f>
        <v>5</v>
      </c>
      <c r="C143" s="12">
        <f>IF(ECF[[#This Row],[idDiâmetro]]&lt;&gt;B142,1,IF(ECF[[#This Row],[Prof. (m)]]=0,C142+1,C142))</f>
        <v>2</v>
      </c>
      <c r="D143" s="1">
        <f>IFERROR(IF(D142=MAX(SPT[Prof. (m)]),0,D142+1),0)</f>
        <v>12</v>
      </c>
      <c r="E143" s="1">
        <f>INDEX(SPT[],MATCH(ECF[[#This Row],[Prof. (m)]],SPT[Prof. (m)],0),2)</f>
        <v>52</v>
      </c>
      <c r="F143" s="1" t="str">
        <f>INDEX(SPT[],MATCH(ECF[[#This Row],[Prof. (m)]],SPT[Prof. (m)],0),3)</f>
        <v>Areia siltosa</v>
      </c>
      <c r="G143" s="1">
        <f>INDEX(estacas[],ECF[[#This Row],[idDiâmetro]],MATCH($B$2,estacas[#Headers],0))</f>
        <v>120</v>
      </c>
      <c r="H143" s="1">
        <f>INDEX(estacas[],MATCH(ECF[[#This Row],[Ø (cm)]],estacas[Ø ECF (cm)],0),MATCH(ECF[[#Headers],[Pe ECF (kN)]],estacas[#Headers],0))</f>
        <v>4500</v>
      </c>
      <c r="I143" s="4">
        <f>INDEX(K_alpha_C[],MATCH(ECF[[#This Row],[Solo]],K_alpha_C[Solo],0),2)</f>
        <v>0.8</v>
      </c>
      <c r="J143" s="5">
        <f>INDEX(K_alpha_C[],MATCH(ECF[[#This Row],[Solo]],K_alpha_C[Solo],0),3)</f>
        <v>2</v>
      </c>
      <c r="K143" s="4">
        <f>INDEX(F1_F2[],MATCH($D$2,F1_F2[Tipo de estaca],0),2)</f>
        <v>3</v>
      </c>
      <c r="L143" s="4">
        <f>INDEX(F1_F2[],MATCH($D$2,F1_F2[Tipo de estaca],0),3)</f>
        <v>6</v>
      </c>
      <c r="M143" s="4">
        <f>PI()*(ECF[[#This Row],[Ø (cm)]]/100)^2/4</f>
        <v>1.1309733552923256</v>
      </c>
      <c r="N143" s="4">
        <f>PI()*ECF[[#This Row],[Ø (cm)]]/100</f>
        <v>3.7699111843077513</v>
      </c>
      <c r="O143" s="4">
        <f>IF(ECF[[#This Row],[Prof. (m)]]=0,0,ECF[[#This Row],[α (%)]]/100*ECF[[#This Row],[K (MPa)]]*1000*ECF[[#This Row],[NSPT]])</f>
        <v>832</v>
      </c>
      <c r="P143" s="4">
        <f>IF(ECF[[#This Row],[Prof. (m)]]=0,0,(ECF[[#This Row],[K (MPa)]]*1000*ECF[[#This Row],[NSPT]]/ECF[[#This Row],[F1]]*ECF[[#This Row],[Ap (m²)]]+ECF[[#This Row],[U (m)]]/ECF[[#This Row],[F2]]*SUMIFS(ECF[(α∙K∙NL∙ΔL)],ECF[Prof. (m)],"&lt;="&amp;ECF[[#This Row],[Prof. (m)]],ECF[idDiâmetro],ECF[[#This Row],[idDiâmetro]],ECF[idPilar],ECF[[#This Row],[idPilar]]))/'DADOS CAP. CARGA'!$D$2)</f>
        <v>8914.5518978998607</v>
      </c>
      <c r="Q143" s="12">
        <f>INDEX(C_alpha_beta[],MATCH(ECF[[#This Row],[Solo]],C_alpha_beta[Solo],0),MATCH(ECF[[#Headers],[C (kPa)]],C_alpha_beta[#Headers],0))</f>
        <v>400</v>
      </c>
      <c r="R143" s="4">
        <f>INDEX(C_alpha_beta[],MATCH(ECF[[#This Row],[Solo]],C_alpha_beta[Solo],0),MATCH(ECF[[#Headers],[α ESF]],C_alpha_beta[#Headers],0))</f>
        <v>0.5</v>
      </c>
      <c r="S143" s="4">
        <f>INDEX(C_alpha_beta[],MATCH(ECF[[#This Row],[Solo]],C_alpha_beta[Solo],0),MATCH(ECF[[#Headers],[β ESF]],C_alpha_beta[#Headers],0))</f>
        <v>0.5</v>
      </c>
      <c r="T143" s="4">
        <f>IF(ECF[[#This Row],[Prof. (m)]]=0,0,10*(ECF[[#This Row],[NSPT]]/3+1))</f>
        <v>183.33333333333331</v>
      </c>
      <c r="U143" s="4">
        <f>(ECF[[#This Row],[α ESF]]*ECF[[#This Row],[C (kPa)]]*ECF[[#This Row],[NSPT]]*ECF[[#This Row],[Ap (m²)]])/'DADOS CAP. CARGA'!$Q$2+(ECF[[#This Row],[β ESF]]*SUMIFS(ECF[10∙(NL/3+1)],ECF[Prof. (m)],"&lt;="&amp;ECF[[#This Row],[Prof. (m)]],ECF[idDiâmetro],ECF[[#This Row],[idDiâmetro]],ECF[idPilar],ECF[[#This Row],[idPilar]])*ECF[[#This Row],[U (m)]])/'DADOS CAP. CARGA'!$S$2</f>
        <v>3754.2032210398029</v>
      </c>
      <c r="V143" s="4">
        <f>IF(SPT!$M$5=1,MIN(ECF[[#This Row],[Pe ECF (kN)]],ECF[[#This Row],[R_AV (kN)]]),IF(SPT!$M$5=2,MIN(ECF[[#This Row],[Pe ECF (kN)]],ECF[[#This Row],[R_DC (kN)]]),MIN(ECF[[#This Row],[Pe ECF (kN)]],ECF[[#This Row],[R_AV (kN)]],ECF[[#This Row],[R_DC (kN)]])))</f>
        <v>3754.2032210398029</v>
      </c>
      <c r="W143" s="4">
        <f>INDEX(PILARES[],ECF[[#This Row],[idPilar]],MATCH("Carga (kN)",PILARES[#Headers],0))*1.4</f>
        <v>1750</v>
      </c>
      <c r="X143" s="12">
        <f>INDEX(PILARES[],ECF[[#This Row],[idPilar]],MATCH(ECF[[#Headers],[ap (cm)]],PILARES[#Headers],0))</f>
        <v>50</v>
      </c>
      <c r="Y143" s="12">
        <f>INDEX(PILARES[],ECF[[#This Row],[idPilar]],MATCH(ECF[[#Headers],[bp (cm)]],PILARES[#Headers],0))</f>
        <v>40</v>
      </c>
      <c r="Z143" s="4">
        <f>SQRT(ECF[[#This Row],[ap (cm)]]*ECF[[#This Row],[bp (cm)]])</f>
        <v>44.721359549995796</v>
      </c>
      <c r="AA143" s="12">
        <f>ECF[[#This Row],[ap (cm)]]*ECF[[#This Row],[bp (cm)]]</f>
        <v>2000</v>
      </c>
      <c r="AB143" s="12">
        <f ca="1">IF(ECF[[#This Row],[Padm∙ε (kN)]]&gt;=ECF[[#This Row],[Padm (kN)]],ROUNDUP(1.05*ECF[[#This Row],[Nsd (kN)]]/ECF[[#This Row],[Padm (kN)]],0),ROUNDUP(1.05*ECF[[#This Row],[Nsd (kN)]]/ECF[[#This Row],[Padm (kN)]],0)+1)</f>
        <v>1</v>
      </c>
      <c r="AC143" s="4">
        <f ca="1">IFERROR(IF(ECF[[#This Row],[nE]]=1,ECF[[#This Row],[Padm (kN)]],ECF[[#This Row],[Padm (kN)]]*ECF[[#This Row],[nE]]*INDEX(grupoEstacas[],ECF[[#This Row],[nE]],MATCH("ε",grupoEstacas[#Headers],0))),"N.S.")</f>
        <v>3754.2032210398029</v>
      </c>
      <c r="AD143" s="4">
        <f ca="1">1.05*ECF[[#This Row],[Nsd (kN)]]/(ECF[[#This Row],[nE]]*PI()*ECF[[#This Row],[Ø (cm)]]^2/4)*10</f>
        <v>1.624706710729765</v>
      </c>
      <c r="AE143" s="4">
        <f ca="1">IF(ECF[[#This Row],[σ (MPa)]]&lt;INDEX(tipoEstaca[],MATCH($D$2,tipoEstaca[TIPO DE ESTACA],0),MATCH("σmáx (MPa)",tipoEstaca[#Headers],0)),0.4%*PI()*ECF[[#This Row],[Ø (cm)]]^2/4,"N.S.")</f>
        <v>45.238934211693021</v>
      </c>
      <c r="AF143" s="1">
        <f>INDEX(tipoEstaca[],MATCH($D$2,tipoEstaca[TIPO DE ESTACA],0),MATCH(ECF[[#Headers],[Comprimento (m)]],tipoEstaca[#Headers],0))</f>
        <v>4</v>
      </c>
      <c r="AG143" s="5">
        <f ca="1">ECF[[#This Row],[As,mín (cm²)]]/100^2*ECF[[#This Row],[Comprimento (m)]]*7850</f>
        <v>142.05025342471609</v>
      </c>
      <c r="AH143" s="4">
        <f ca="1">ECF[[#This Row],[nE]]*ECF[[#This Row],[Prof. (m)]]*ECF[[#This Row],[Ap (m²)]]</f>
        <v>13.571680263507908</v>
      </c>
      <c r="AI143" s="1">
        <f ca="1">IF(ECF[[#This Row],[nE]]=1,0,MAX(3*ECF[[#This Row],[Ø (cm)]],60))</f>
        <v>0</v>
      </c>
      <c r="AJ143" s="1">
        <f ca="1">IF(ECF[[#This Row],[nE]]=1,ECF[[#This Row],[Ø (cm)]]+2*10,MAX(1.5*ECF[[#This Row],[Ø (cm)]],ECF[[#This Row],[Ø (cm)]]+15))</f>
        <v>140</v>
      </c>
      <c r="AK143" s="1">
        <f ca="1">alturaUtil(ECF[[#This Row],[nE]],ECF[[#This Row],[Ø (cm)]],ECF[[#This Row],[e (cm)]],ECF[[#This Row],[ap,eq (cm)]])</f>
        <v>145</v>
      </c>
      <c r="AL143" s="1">
        <f ca="1">IFERROR(ECF[[#This Row],[d (cm)]]+arredondarParaCimaMultiplo5cm(MAX(5,SQRT(PI())/2*ECF[[#This Row],[Ø (cm)]]/5)),"N.S.")</f>
        <v>170</v>
      </c>
      <c r="AM143" s="5">
        <f ca="1">alpha(ECF[[#This Row],[nE]],ECF[[#This Row],[d (cm)]],ECF[[#This Row],[e (cm)]],ECF[[#This Row],[ap,eq (cm)]])</f>
        <v>90</v>
      </c>
      <c r="AN143" s="35">
        <f ca="1">IFERROR(ECF[[#This Row],[Nsd (kN)]]/(ECF[[#This Row],[Ap (cm²)]]*SIN(ECF[[#This Row],[α]])^2),"N.S.")</f>
        <v>1.0948037013095111</v>
      </c>
      <c r="AO143" s="35">
        <f ca="1">IFERROR(ECF[[#This Row],[Nsd (kN)]]/(ECF[[#This Row],[nE]]*PI()*ECF[[#This Row],[Ø (cm)]]^2/4*SIN(ECF[[#This Row],[α]])^2),"N.S.")</f>
        <v>0.19360380086523518</v>
      </c>
      <c r="AP143" s="4">
        <f ca="1">IFERROR(INDEX(grupoEstacas[],ECF[[#This Row],[nE]],MATCH("coef. Blévot",grupoEstacas[#Headers],0)),"N.S.")</f>
        <v>1</v>
      </c>
      <c r="AQ143" s="35">
        <f ca="1">IFERROR(ECF[[#This Row],[coef. Blévot]]*0.9*INDEX(tipoEstaca[],MATCH($D$2,tipoEstaca[TIPO DE ESTACA],0),MATCH("fcd (kN/cm²)",tipoEstaca[#Headers],0)),"N.S.")</f>
        <v>1</v>
      </c>
      <c r="AR143" s="1" t="str">
        <f ca="1">IF(AND(ECF[[#This Row],[cd,b,pil (kN/cm²)]]&lt;=ECF[[#This Row],[cd,b,lim (kN/cm²)]],ECF[[#This Row],[cd,b,est (kN/cm²)]]&lt;=ECF[[#This Row],[cd,b,lim (kN/cm²)]]),"OK","ERRO")</f>
        <v>ERRO</v>
      </c>
      <c r="AS143" s="4">
        <f ca="1">As_lado(ECF[[#This Row],[nE]],ECF[[#This Row],[Nsd (kN)]],ECF[[#This Row],[d (cm)]],ECF[[#This Row],[e (cm)]],ECF[[#This Row],[ap,eq (cm)]])</f>
        <v>10.0625</v>
      </c>
      <c r="AT143" s="4">
        <f ca="1">IF(ECF[[#This Row],[nE]]=1,ECF[[#This Row],[As,lado (cm²)]],IF(ECF[[#This Row],[nE]]=2,0.075*2*ECF[a (cm)],"N.A."))</f>
        <v>10.0625</v>
      </c>
      <c r="AU143" s="4" t="str">
        <f ca="1">IFERROR(IF(ECF[[#This Row],[nE]]=1,"N.A.",0.2*ECF[[#This Row],[As,lado (cm²)]]),"N.S.")</f>
        <v>N.A.</v>
      </c>
      <c r="AV143" s="4" t="str">
        <f ca="1">As_malha(ECF[[#This Row],[nE]],ECF[[#This Row],[As,lado (cm²)]],ECF[[#This Row],[Nsd (kN)]])</f>
        <v>N.A.</v>
      </c>
      <c r="AW143" s="4" t="str">
        <f ca="1">As_susp_tot(ECF[[#This Row],[nE]],ECF[[#This Row],[Nsd (kN)]])</f>
        <v>N.A.</v>
      </c>
      <c r="AX143" s="4" t="str">
        <f ca="1">Asp_face(ECF[[#This Row],[nE]],ECF[[#This Row],[As,lado (cm²)]])</f>
        <v>N.A.</v>
      </c>
      <c r="AY143" s="5">
        <f ca="1">acoBloco(ECF[[#This Row],[nE]],ECF[[#This Row],[e (cm)]],ECF[[#This Row],[a (cm)]],ECF[[#This Row],[h (cm)]],ECF[[#This Row],[As,lado (cm²)]],ECF[[#This Row],[Asp e Asw (cm²/m)]],ECF[[#This Row],[As,sup (cm²)]],ECF[[#This Row],[As,malha (cm²)]],ECF[[#This Row],[As,susp,tot (cm²)]],ECF[[#This Row],[Asp,face (cm²)]])</f>
        <v>142.18312499999999</v>
      </c>
      <c r="AZ143" s="4">
        <f ca="1">concretoBloco(ECF[[#This Row],[nE]],ECF[[#This Row],[e (cm)]],ECF[[#This Row],[a (cm)]],ECF[[#This Row],[h (cm)]])</f>
        <v>3.3319999999999999</v>
      </c>
      <c r="BA143" s="5">
        <f ca="1">SUM(ECF[[#This Row],[Aço Est (kg)]],ECF[[#This Row],[Aço Bloco (kg)]])</f>
        <v>284.23337842471608</v>
      </c>
      <c r="BB143" s="4">
        <f>INDEX(composicoes[],MATCH(95580,composicoes[CÓDIGO],0),MATCH("CUSTO TOTAL",composicoes[#Headers],0))</f>
        <v>10.46</v>
      </c>
      <c r="BC143" s="4">
        <f ca="1">SUM(ECF[[#This Row],[Conc Est (m³)]],ECF[[#This Row],[Conc Bloco (m³)]])</f>
        <v>16.903680263507908</v>
      </c>
      <c r="BD143" s="4">
        <f>INDEX(composicoes[],MATCH(94966,composicoes[CÓDIGO],0),MATCH("CUSTO TOTAL",composicoes[#Headers],0))</f>
        <v>439.52</v>
      </c>
      <c r="BE143" s="38">
        <f ca="1">ECF[[#This Row],[Aço (kg)]]*ECF[[#This Row],[Aço (R$/kg)]]+ECF[[#This Row],[Conc (m³)]]*ECF[[#This Row],[Conc (R$/m³)]]</f>
        <v>10402.586687739526</v>
      </c>
      <c r="BF143" s="4" t="str">
        <f ca="1">IF(COUNTIF(ECF[#This Row],"N.S.")&gt;0,"lim.","OK")</f>
        <v>OK</v>
      </c>
      <c r="BG143" s="4" t="str">
        <f>IF(ECF[[#This Row],[Prof. (m)]]&lt;4,"lim.","OK")</f>
        <v>OK</v>
      </c>
      <c r="BH143" s="4" t="str">
        <f>IF(ECF[[#This Row],[Prof. (m)]]&gt;=8*ECF[[#This Row],[Ø (cm)]]/100,"OK","lim.")</f>
        <v>OK</v>
      </c>
      <c r="BI143" s="4" t="str">
        <f>IF(AND(SPT!$F$3&lt;&gt;"",ECF[[#This Row],[Prof. (m)]]&gt;=SPT!$F$3-2),"lim.","OK")</f>
        <v>OK</v>
      </c>
      <c r="BJ143" s="4" t="str">
        <f ca="1">IF(ECF[[#This Row],[Verif. Biela]]="OK","OK","lim.")</f>
        <v>lim.</v>
      </c>
      <c r="BK143" s="4" t="str">
        <f ca="1">IF(COUNTA(ECF[[#This Row],[Nº Est.]:[Biela comp.]])=COUNTIF(ECF[[#This Row],[Nº Est.]:[Biela comp.]],"OK"),"OK","lim.")</f>
        <v>lim.</v>
      </c>
      <c r="BL143" s="4" t="str">
        <f ca="1">IF(ECF[[#This Row],[Controle]]="OK",ECF[[#This Row],[nE]]&amp;" Ø"&amp;ECF[[#This Row],[Ø (cm)]]&amp;"cm Prof. "&amp;ECF[[#This Row],[Prof. (m)]]&amp;" m","")</f>
        <v/>
      </c>
      <c r="BM143" s="4" t="str">
        <f ca="1">IF(ECF[[#This Row],[idDimensionamento]]="","",ECF[[#This Row],[idPilar]]&amp;ECF[[#This Row],[idDimensionamento]])</f>
        <v/>
      </c>
    </row>
    <row r="144" spans="2:65" x14ac:dyDescent="0.25">
      <c r="B144" s="12">
        <f>ROUNDUP((ROW(ECF[[#This Row],[idDiâmetro]])-ROW(ECF[[#Headers],[idDiâmetro]]))/(COUNT(SPT[Prof. (m)])*COUNT(PILARES[Pilar])),0)</f>
        <v>5</v>
      </c>
      <c r="C144" s="12">
        <f>IF(ECF[[#This Row],[idDiâmetro]]&lt;&gt;B143,1,IF(ECF[[#This Row],[Prof. (m)]]=0,C143+1,C143))</f>
        <v>2</v>
      </c>
      <c r="D144" s="1">
        <f>IFERROR(IF(D143=MAX(SPT[Prof. (m)]),0,D143+1),0)</f>
        <v>13</v>
      </c>
      <c r="E144" s="1">
        <f>INDEX(SPT[],MATCH(ECF[[#This Row],[Prof. (m)]],SPT[Prof. (m)],0),2)</f>
        <v>68</v>
      </c>
      <c r="F144" s="1" t="str">
        <f>INDEX(SPT[],MATCH(ECF[[#This Row],[Prof. (m)]],SPT[Prof. (m)],0),3)</f>
        <v>Areia siltosa</v>
      </c>
      <c r="G144" s="1">
        <f>INDEX(estacas[],ECF[[#This Row],[idDiâmetro]],MATCH($B$2,estacas[#Headers],0))</f>
        <v>120</v>
      </c>
      <c r="H144" s="1">
        <f>INDEX(estacas[],MATCH(ECF[[#This Row],[Ø (cm)]],estacas[Ø ECF (cm)],0),MATCH(ECF[[#Headers],[Pe ECF (kN)]],estacas[#Headers],0))</f>
        <v>4500</v>
      </c>
      <c r="I144" s="4">
        <f>INDEX(K_alpha_C[],MATCH(ECF[[#This Row],[Solo]],K_alpha_C[Solo],0),2)</f>
        <v>0.8</v>
      </c>
      <c r="J144" s="5">
        <f>INDEX(K_alpha_C[],MATCH(ECF[[#This Row],[Solo]],K_alpha_C[Solo],0),3)</f>
        <v>2</v>
      </c>
      <c r="K144" s="4">
        <f>INDEX(F1_F2[],MATCH($D$2,F1_F2[Tipo de estaca],0),2)</f>
        <v>3</v>
      </c>
      <c r="L144" s="4">
        <f>INDEX(F1_F2[],MATCH($D$2,F1_F2[Tipo de estaca],0),3)</f>
        <v>6</v>
      </c>
      <c r="M144" s="4">
        <f>PI()*(ECF[[#This Row],[Ø (cm)]]/100)^2/4</f>
        <v>1.1309733552923256</v>
      </c>
      <c r="N144" s="4">
        <f>PI()*ECF[[#This Row],[Ø (cm)]]/100</f>
        <v>3.7699111843077513</v>
      </c>
      <c r="O144" s="4">
        <f>IF(ECF[[#This Row],[Prof. (m)]]=0,0,ECF[[#This Row],[α (%)]]/100*ECF[[#This Row],[K (MPa)]]*1000*ECF[[#This Row],[NSPT]])</f>
        <v>1088</v>
      </c>
      <c r="P144" s="4">
        <f>IF(ECF[[#This Row],[Prof. (m)]]=0,0,(ECF[[#This Row],[K (MPa)]]*1000*ECF[[#This Row],[NSPT]]/ECF[[#This Row],[F1]]*ECF[[#This Row],[Ap (m²)]]+ECF[[#This Row],[U (m)]]/ECF[[#This Row],[F2]]*SUMIFS(ECF[(α∙K∙NL∙ΔL)],ECF[Prof. (m)],"&lt;="&amp;ECF[[#This Row],[Prof. (m)]],ECF[idDiâmetro],ECF[[#This Row],[idDiâmetro]],ECF[idPilar],ECF[[#This Row],[idPilar]]))/'DADOS CAP. CARGA'!$D$2)</f>
        <v>11669.100336567391</v>
      </c>
      <c r="Q144" s="12">
        <f>INDEX(C_alpha_beta[],MATCH(ECF[[#This Row],[Solo]],C_alpha_beta[Solo],0),MATCH(ECF[[#Headers],[C (kPa)]],C_alpha_beta[#Headers],0))</f>
        <v>400</v>
      </c>
      <c r="R144" s="4">
        <f>INDEX(C_alpha_beta[],MATCH(ECF[[#This Row],[Solo]],C_alpha_beta[Solo],0),MATCH(ECF[[#Headers],[α ESF]],C_alpha_beta[#Headers],0))</f>
        <v>0.5</v>
      </c>
      <c r="S144" s="4">
        <f>INDEX(C_alpha_beta[],MATCH(ECF[[#This Row],[Solo]],C_alpha_beta[Solo],0),MATCH(ECF[[#Headers],[β ESF]],C_alpha_beta[#Headers],0))</f>
        <v>0.5</v>
      </c>
      <c r="T144" s="4">
        <f>IF(ECF[[#This Row],[Prof. (m)]]=0,0,10*(ECF[[#This Row],[NSPT]]/3+1))</f>
        <v>236.66666666666669</v>
      </c>
      <c r="U144" s="4">
        <f>(ECF[[#This Row],[α ESF]]*ECF[[#This Row],[C (kPa)]]*ECF[[#This Row],[NSPT]]*ECF[[#This Row],[Ap (m²)]])/'DADOS CAP. CARGA'!$Q$2+(ECF[[#This Row],[β ESF]]*SUMIFS(ECF[10∙(NL/3+1)],ECF[Prof. (m)],"&lt;="&amp;ECF[[#This Row],[Prof. (m)]],ECF[idDiâmetro],ECF[[#This Row],[idDiâmetro]],ECF[idPilar],ECF[[#This Row],[idPilar]])*ECF[[#This Row],[U (m)]])/'DADOS CAP. CARGA'!$S$2</f>
        <v>4882.034983678539</v>
      </c>
      <c r="V144" s="4">
        <f>IF(SPT!$M$5=1,MIN(ECF[[#This Row],[Pe ECF (kN)]],ECF[[#This Row],[R_AV (kN)]]),IF(SPT!$M$5=2,MIN(ECF[[#This Row],[Pe ECF (kN)]],ECF[[#This Row],[R_DC (kN)]]),MIN(ECF[[#This Row],[Pe ECF (kN)]],ECF[[#This Row],[R_AV (kN)]],ECF[[#This Row],[R_DC (kN)]])))</f>
        <v>4500</v>
      </c>
      <c r="W144" s="4">
        <f>INDEX(PILARES[],ECF[[#This Row],[idPilar]],MATCH("Carga (kN)",PILARES[#Headers],0))*1.4</f>
        <v>1750</v>
      </c>
      <c r="X144" s="12">
        <f>INDEX(PILARES[],ECF[[#This Row],[idPilar]],MATCH(ECF[[#Headers],[ap (cm)]],PILARES[#Headers],0))</f>
        <v>50</v>
      </c>
      <c r="Y144" s="12">
        <f>INDEX(PILARES[],ECF[[#This Row],[idPilar]],MATCH(ECF[[#Headers],[bp (cm)]],PILARES[#Headers],0))</f>
        <v>40</v>
      </c>
      <c r="Z144" s="4">
        <f>SQRT(ECF[[#This Row],[ap (cm)]]*ECF[[#This Row],[bp (cm)]])</f>
        <v>44.721359549995796</v>
      </c>
      <c r="AA144" s="12">
        <f>ECF[[#This Row],[ap (cm)]]*ECF[[#This Row],[bp (cm)]]</f>
        <v>2000</v>
      </c>
      <c r="AB144" s="12">
        <f ca="1">IF(ECF[[#This Row],[Padm∙ε (kN)]]&gt;=ECF[[#This Row],[Padm (kN)]],ROUNDUP(1.05*ECF[[#This Row],[Nsd (kN)]]/ECF[[#This Row],[Padm (kN)]],0),ROUNDUP(1.05*ECF[[#This Row],[Nsd (kN)]]/ECF[[#This Row],[Padm (kN)]],0)+1)</f>
        <v>1</v>
      </c>
      <c r="AC144" s="4">
        <f ca="1">IFERROR(IF(ECF[[#This Row],[nE]]=1,ECF[[#This Row],[Padm (kN)]],ECF[[#This Row],[Padm (kN)]]*ECF[[#This Row],[nE]]*INDEX(grupoEstacas[],ECF[[#This Row],[nE]],MATCH("ε",grupoEstacas[#Headers],0))),"N.S.")</f>
        <v>4500</v>
      </c>
      <c r="AD144" s="4">
        <f ca="1">1.05*ECF[[#This Row],[Nsd (kN)]]/(ECF[[#This Row],[nE]]*PI()*ECF[[#This Row],[Ø (cm)]]^2/4)*10</f>
        <v>1.624706710729765</v>
      </c>
      <c r="AE144" s="4">
        <f ca="1">IF(ECF[[#This Row],[σ (MPa)]]&lt;INDEX(tipoEstaca[],MATCH($D$2,tipoEstaca[TIPO DE ESTACA],0),MATCH("σmáx (MPa)",tipoEstaca[#Headers],0)),0.4%*PI()*ECF[[#This Row],[Ø (cm)]]^2/4,"N.S.")</f>
        <v>45.238934211693021</v>
      </c>
      <c r="AF144" s="1">
        <f>INDEX(tipoEstaca[],MATCH($D$2,tipoEstaca[TIPO DE ESTACA],0),MATCH(ECF[[#Headers],[Comprimento (m)]],tipoEstaca[#Headers],0))</f>
        <v>4</v>
      </c>
      <c r="AG144" s="5">
        <f ca="1">ECF[[#This Row],[As,mín (cm²)]]/100^2*ECF[[#This Row],[Comprimento (m)]]*7850</f>
        <v>142.05025342471609</v>
      </c>
      <c r="AH144" s="4">
        <f ca="1">ECF[[#This Row],[nE]]*ECF[[#This Row],[Prof. (m)]]*ECF[[#This Row],[Ap (m²)]]</f>
        <v>14.702653618800232</v>
      </c>
      <c r="AI144" s="1">
        <f ca="1">IF(ECF[[#This Row],[nE]]=1,0,MAX(3*ECF[[#This Row],[Ø (cm)]],60))</f>
        <v>0</v>
      </c>
      <c r="AJ144" s="1">
        <f ca="1">IF(ECF[[#This Row],[nE]]=1,ECF[[#This Row],[Ø (cm)]]+2*10,MAX(1.5*ECF[[#This Row],[Ø (cm)]],ECF[[#This Row],[Ø (cm)]]+15))</f>
        <v>140</v>
      </c>
      <c r="AK144" s="1">
        <f ca="1">alturaUtil(ECF[[#This Row],[nE]],ECF[[#This Row],[Ø (cm)]],ECF[[#This Row],[e (cm)]],ECF[[#This Row],[ap,eq (cm)]])</f>
        <v>145</v>
      </c>
      <c r="AL144" s="1">
        <f ca="1">IFERROR(ECF[[#This Row],[d (cm)]]+arredondarParaCimaMultiplo5cm(MAX(5,SQRT(PI())/2*ECF[[#This Row],[Ø (cm)]]/5)),"N.S.")</f>
        <v>170</v>
      </c>
      <c r="AM144" s="5">
        <f ca="1">alpha(ECF[[#This Row],[nE]],ECF[[#This Row],[d (cm)]],ECF[[#This Row],[e (cm)]],ECF[[#This Row],[ap,eq (cm)]])</f>
        <v>90</v>
      </c>
      <c r="AN144" s="35">
        <f ca="1">IFERROR(ECF[[#This Row],[Nsd (kN)]]/(ECF[[#This Row],[Ap (cm²)]]*SIN(ECF[[#This Row],[α]])^2),"N.S.")</f>
        <v>1.0948037013095111</v>
      </c>
      <c r="AO144" s="35">
        <f ca="1">IFERROR(ECF[[#This Row],[Nsd (kN)]]/(ECF[[#This Row],[nE]]*PI()*ECF[[#This Row],[Ø (cm)]]^2/4*SIN(ECF[[#This Row],[α]])^2),"N.S.")</f>
        <v>0.19360380086523518</v>
      </c>
      <c r="AP144" s="4">
        <f ca="1">IFERROR(INDEX(grupoEstacas[],ECF[[#This Row],[nE]],MATCH("coef. Blévot",grupoEstacas[#Headers],0)),"N.S.")</f>
        <v>1</v>
      </c>
      <c r="AQ144" s="35">
        <f ca="1">IFERROR(ECF[[#This Row],[coef. Blévot]]*0.9*INDEX(tipoEstaca[],MATCH($D$2,tipoEstaca[TIPO DE ESTACA],0),MATCH("fcd (kN/cm²)",tipoEstaca[#Headers],0)),"N.S.")</f>
        <v>1</v>
      </c>
      <c r="AR144" s="1" t="str">
        <f ca="1">IF(AND(ECF[[#This Row],[cd,b,pil (kN/cm²)]]&lt;=ECF[[#This Row],[cd,b,lim (kN/cm²)]],ECF[[#This Row],[cd,b,est (kN/cm²)]]&lt;=ECF[[#This Row],[cd,b,lim (kN/cm²)]]),"OK","ERRO")</f>
        <v>ERRO</v>
      </c>
      <c r="AS144" s="4">
        <f ca="1">As_lado(ECF[[#This Row],[nE]],ECF[[#This Row],[Nsd (kN)]],ECF[[#This Row],[d (cm)]],ECF[[#This Row],[e (cm)]],ECF[[#This Row],[ap,eq (cm)]])</f>
        <v>10.0625</v>
      </c>
      <c r="AT144" s="4">
        <f ca="1">IF(ECF[[#This Row],[nE]]=1,ECF[[#This Row],[As,lado (cm²)]],IF(ECF[[#This Row],[nE]]=2,0.075*2*ECF[a (cm)],"N.A."))</f>
        <v>10.0625</v>
      </c>
      <c r="AU144" s="4" t="str">
        <f ca="1">IFERROR(IF(ECF[[#This Row],[nE]]=1,"N.A.",0.2*ECF[[#This Row],[As,lado (cm²)]]),"N.S.")</f>
        <v>N.A.</v>
      </c>
      <c r="AV144" s="4" t="str">
        <f ca="1">As_malha(ECF[[#This Row],[nE]],ECF[[#This Row],[As,lado (cm²)]],ECF[[#This Row],[Nsd (kN)]])</f>
        <v>N.A.</v>
      </c>
      <c r="AW144" s="4" t="str">
        <f ca="1">As_susp_tot(ECF[[#This Row],[nE]],ECF[[#This Row],[Nsd (kN)]])</f>
        <v>N.A.</v>
      </c>
      <c r="AX144" s="4" t="str">
        <f ca="1">Asp_face(ECF[[#This Row],[nE]],ECF[[#This Row],[As,lado (cm²)]])</f>
        <v>N.A.</v>
      </c>
      <c r="AY144" s="5">
        <f ca="1">acoBloco(ECF[[#This Row],[nE]],ECF[[#This Row],[e (cm)]],ECF[[#This Row],[a (cm)]],ECF[[#This Row],[h (cm)]],ECF[[#This Row],[As,lado (cm²)]],ECF[[#This Row],[Asp e Asw (cm²/m)]],ECF[[#This Row],[As,sup (cm²)]],ECF[[#This Row],[As,malha (cm²)]],ECF[[#This Row],[As,susp,tot (cm²)]],ECF[[#This Row],[Asp,face (cm²)]])</f>
        <v>142.18312499999999</v>
      </c>
      <c r="AZ144" s="4">
        <f ca="1">concretoBloco(ECF[[#This Row],[nE]],ECF[[#This Row],[e (cm)]],ECF[[#This Row],[a (cm)]],ECF[[#This Row],[h (cm)]])</f>
        <v>3.3319999999999999</v>
      </c>
      <c r="BA144" s="5">
        <f ca="1">SUM(ECF[[#This Row],[Aço Est (kg)]],ECF[[#This Row],[Aço Bloco (kg)]])</f>
        <v>284.23337842471608</v>
      </c>
      <c r="BB144" s="4">
        <f>INDEX(composicoes[],MATCH(95580,composicoes[CÓDIGO],0),MATCH("CUSTO TOTAL",composicoes[#Headers],0))</f>
        <v>10.46</v>
      </c>
      <c r="BC144" s="4">
        <f ca="1">SUM(ECF[[#This Row],[Conc Est (m³)]],ECF[[#This Row],[Conc Bloco (m³)]])</f>
        <v>18.034653618800231</v>
      </c>
      <c r="BD144" s="4">
        <f>INDEX(composicoes[],MATCH(94966,composicoes[CÓDIGO],0),MATCH("CUSTO TOTAL",composicoes[#Headers],0))</f>
        <v>439.52</v>
      </c>
      <c r="BE144" s="38">
        <f ca="1">ECF[[#This Row],[Aço (kg)]]*ECF[[#This Row],[Aço (R$/kg)]]+ECF[[#This Row],[Conc (m³)]]*ECF[[#This Row],[Conc (R$/m³)]]</f>
        <v>10899.672096857608</v>
      </c>
      <c r="BF144" s="4" t="str">
        <f ca="1">IF(COUNTIF(ECF[#This Row],"N.S.")&gt;0,"lim.","OK")</f>
        <v>OK</v>
      </c>
      <c r="BG144" s="4" t="str">
        <f>IF(ECF[[#This Row],[Prof. (m)]]&lt;4,"lim.","OK")</f>
        <v>OK</v>
      </c>
      <c r="BH144" s="4" t="str">
        <f>IF(ECF[[#This Row],[Prof. (m)]]&gt;=8*ECF[[#This Row],[Ø (cm)]]/100,"OK","lim.")</f>
        <v>OK</v>
      </c>
      <c r="BI144" s="4" t="str">
        <f>IF(AND(SPT!$F$3&lt;&gt;"",ECF[[#This Row],[Prof. (m)]]&gt;=SPT!$F$3-2),"lim.","OK")</f>
        <v>OK</v>
      </c>
      <c r="BJ144" s="4" t="str">
        <f ca="1">IF(ECF[[#This Row],[Verif. Biela]]="OK","OK","lim.")</f>
        <v>lim.</v>
      </c>
      <c r="BK144" s="4" t="str">
        <f ca="1">IF(COUNTA(ECF[[#This Row],[Nº Est.]:[Biela comp.]])=COUNTIF(ECF[[#This Row],[Nº Est.]:[Biela comp.]],"OK"),"OK","lim.")</f>
        <v>lim.</v>
      </c>
      <c r="BL144" s="4" t="str">
        <f ca="1">IF(ECF[[#This Row],[Controle]]="OK",ECF[[#This Row],[nE]]&amp;" Ø"&amp;ECF[[#This Row],[Ø (cm)]]&amp;"cm Prof. "&amp;ECF[[#This Row],[Prof. (m)]]&amp;" m","")</f>
        <v/>
      </c>
      <c r="BM144" s="4" t="str">
        <f ca="1">IF(ECF[[#This Row],[idDimensionamento]]="","",ECF[[#This Row],[idPilar]]&amp;ECF[[#This Row],[idDimensionamento]])</f>
        <v/>
      </c>
    </row>
    <row r="145" spans="2:65" x14ac:dyDescent="0.25">
      <c r="B145" s="12">
        <f>ROUNDUP((ROW(ECF[[#This Row],[idDiâmetro]])-ROW(ECF[[#Headers],[idDiâmetro]]))/(COUNT(SPT[Prof. (m)])*COUNT(PILARES[Pilar])),0)</f>
        <v>6</v>
      </c>
      <c r="C145" s="12">
        <f>IF(ECF[[#This Row],[idDiâmetro]]&lt;&gt;B144,1,IF(ECF[[#This Row],[Prof. (m)]]=0,C144+1,C144))</f>
        <v>1</v>
      </c>
      <c r="D145" s="1">
        <f>IFERROR(IF(D144=MAX(SPT[Prof. (m)]),0,D144+1),0)</f>
        <v>0</v>
      </c>
      <c r="E145" s="1">
        <f>INDEX(SPT[],MATCH(ECF[[#This Row],[Prof. (m)]],SPT[Prof. (m)],0),2)</f>
        <v>0</v>
      </c>
      <c r="F145" s="1" t="str">
        <f>INDEX(SPT[],MATCH(ECF[[#This Row],[Prof. (m)]],SPT[Prof. (m)],0),3)</f>
        <v>Areia siltosa</v>
      </c>
      <c r="G145" s="1">
        <f>INDEX(estacas[],ECF[[#This Row],[idDiâmetro]],MATCH($B$2,estacas[#Headers],0))</f>
        <v>140</v>
      </c>
      <c r="H145" s="1">
        <f>INDEX(estacas[],MATCH(ECF[[#This Row],[Ø (cm)]],estacas[Ø ECF (cm)],0),MATCH(ECF[[#Headers],[Pe ECF (kN)]],estacas[#Headers],0))</f>
        <v>6200</v>
      </c>
      <c r="I145" s="4">
        <f>INDEX(K_alpha_C[],MATCH(ECF[[#This Row],[Solo]],K_alpha_C[Solo],0),2)</f>
        <v>0.8</v>
      </c>
      <c r="J145" s="5">
        <f>INDEX(K_alpha_C[],MATCH(ECF[[#This Row],[Solo]],K_alpha_C[Solo],0),3)</f>
        <v>2</v>
      </c>
      <c r="K145" s="4">
        <f>INDEX(F1_F2[],MATCH($D$2,F1_F2[Tipo de estaca],0),2)</f>
        <v>3</v>
      </c>
      <c r="L145" s="4">
        <f>INDEX(F1_F2[],MATCH($D$2,F1_F2[Tipo de estaca],0),3)</f>
        <v>6</v>
      </c>
      <c r="M145" s="4">
        <f>PI()*(ECF[[#This Row],[Ø (cm)]]/100)^2/4</f>
        <v>1.5393804002589984</v>
      </c>
      <c r="N145" s="4">
        <f>PI()*ECF[[#This Row],[Ø (cm)]]/100</f>
        <v>4.3982297150257104</v>
      </c>
      <c r="O145" s="4">
        <f>IF(ECF[[#This Row],[Prof. (m)]]=0,0,ECF[[#This Row],[α (%)]]/100*ECF[[#This Row],[K (MPa)]]*1000*ECF[[#This Row],[NSPT]])</f>
        <v>0</v>
      </c>
      <c r="P145" s="4">
        <f>IF(ECF[[#This Row],[Prof. (m)]]=0,0,(ECF[[#This Row],[K (MPa)]]*1000*ECF[[#This Row],[NSPT]]/ECF[[#This Row],[F1]]*ECF[[#This Row],[Ap (m²)]]+ECF[[#This Row],[U (m)]]/ECF[[#This Row],[F2]]*SUMIFS(ECF[(α∙K∙NL∙ΔL)],ECF[Prof. (m)],"&lt;="&amp;ECF[[#This Row],[Prof. (m)]],ECF[idDiâmetro],ECF[[#This Row],[idDiâmetro]],ECF[idPilar],ECF[[#This Row],[idPilar]]))/'DADOS CAP. CARGA'!$D$2)</f>
        <v>0</v>
      </c>
      <c r="Q145" s="12">
        <f>INDEX(C_alpha_beta[],MATCH(ECF[[#This Row],[Solo]],C_alpha_beta[Solo],0),MATCH(ECF[[#Headers],[C (kPa)]],C_alpha_beta[#Headers],0))</f>
        <v>400</v>
      </c>
      <c r="R145" s="4">
        <f>INDEX(C_alpha_beta[],MATCH(ECF[[#This Row],[Solo]],C_alpha_beta[Solo],0),MATCH(ECF[[#Headers],[α ESF]],C_alpha_beta[#Headers],0))</f>
        <v>0.5</v>
      </c>
      <c r="S145" s="4">
        <f>INDEX(C_alpha_beta[],MATCH(ECF[[#This Row],[Solo]],C_alpha_beta[Solo],0),MATCH(ECF[[#Headers],[β ESF]],C_alpha_beta[#Headers],0))</f>
        <v>0.5</v>
      </c>
      <c r="T145" s="4">
        <f>IF(ECF[[#This Row],[Prof. (m)]]=0,0,10*(ECF[[#This Row],[NSPT]]/3+1))</f>
        <v>0</v>
      </c>
      <c r="U145" s="4">
        <f>(ECF[[#This Row],[α ESF]]*ECF[[#This Row],[C (kPa)]]*ECF[[#This Row],[NSPT]]*ECF[[#This Row],[Ap (m²)]])/'DADOS CAP. CARGA'!$Q$2+(ECF[[#This Row],[β ESF]]*SUMIFS(ECF[10∙(NL/3+1)],ECF[Prof. (m)],"&lt;="&amp;ECF[[#This Row],[Prof. (m)]],ECF[idDiâmetro],ECF[[#This Row],[idDiâmetro]],ECF[idPilar],ECF[[#This Row],[idPilar]])*ECF[[#This Row],[U (m)]])/'DADOS CAP. CARGA'!$S$2</f>
        <v>0</v>
      </c>
      <c r="V145" s="4">
        <f>IF(SPT!$M$5=1,MIN(ECF[[#This Row],[Pe ECF (kN)]],ECF[[#This Row],[R_AV (kN)]]),IF(SPT!$M$5=2,MIN(ECF[[#This Row],[Pe ECF (kN)]],ECF[[#This Row],[R_DC (kN)]]),MIN(ECF[[#This Row],[Pe ECF (kN)]],ECF[[#This Row],[R_AV (kN)]],ECF[[#This Row],[R_DC (kN)]])))</f>
        <v>0</v>
      </c>
      <c r="W145" s="4">
        <f>INDEX(PILARES[],ECF[[#This Row],[idPilar]],MATCH("Carga (kN)",PILARES[#Headers],0))*1.4</f>
        <v>3500</v>
      </c>
      <c r="X145" s="12">
        <f>INDEX(PILARES[],ECF[[#This Row],[idPilar]],MATCH(ECF[[#Headers],[ap (cm)]],PILARES[#Headers],0))</f>
        <v>60</v>
      </c>
      <c r="Y145" s="12">
        <f>INDEX(PILARES[],ECF[[#This Row],[idPilar]],MATCH(ECF[[#Headers],[bp (cm)]],PILARES[#Headers],0))</f>
        <v>60</v>
      </c>
      <c r="Z145" s="4">
        <f>SQRT(ECF[[#This Row],[ap (cm)]]*ECF[[#This Row],[bp (cm)]])</f>
        <v>60</v>
      </c>
      <c r="AA145" s="12">
        <f>ECF[[#This Row],[ap (cm)]]*ECF[[#This Row],[bp (cm)]]</f>
        <v>3600</v>
      </c>
      <c r="AB145" s="12" t="e">
        <f ca="1">IF(ECF[[#This Row],[Padm∙ε (kN)]]&gt;=ECF[[#This Row],[Padm (kN)]],ROUNDUP(1.05*ECF[[#This Row],[Nsd (kN)]]/ECF[[#This Row],[Padm (kN)]],0),ROUNDUP(1.05*ECF[[#This Row],[Nsd (kN)]]/ECF[[#This Row],[Padm (kN)]],0)+1)</f>
        <v>#DIV/0!</v>
      </c>
      <c r="AC145" s="4" t="str">
        <f ca="1">IFERROR(IF(ECF[[#This Row],[nE]]=1,ECF[[#This Row],[Padm (kN)]],ECF[[#This Row],[Padm (kN)]]*ECF[[#This Row],[nE]]*INDEX(grupoEstacas[],ECF[[#This Row],[nE]],MATCH("ε",grupoEstacas[#Headers],0))),"N.S.")</f>
        <v>N.S.</v>
      </c>
      <c r="AD145" s="4" t="e">
        <f ca="1">1.05*ECF[[#This Row],[Nsd (kN)]]/(ECF[[#This Row],[nE]]*PI()*ECF[[#This Row],[Ø (cm)]]^2/4)*10</f>
        <v>#DIV/0!</v>
      </c>
      <c r="AE145" s="4" t="e">
        <f ca="1">IF(ECF[[#This Row],[σ (MPa)]]&lt;INDEX(tipoEstaca[],MATCH($D$2,tipoEstaca[TIPO DE ESTACA],0),MATCH("σmáx (MPa)",tipoEstaca[#Headers],0)),0.4%*PI()*ECF[[#This Row],[Ø (cm)]]^2/4,"N.S.")</f>
        <v>#DIV/0!</v>
      </c>
      <c r="AF145" s="1">
        <f>INDEX(tipoEstaca[],MATCH($D$2,tipoEstaca[TIPO DE ESTACA],0),MATCH(ECF[[#Headers],[Comprimento (m)]],tipoEstaca[#Headers],0))</f>
        <v>4</v>
      </c>
      <c r="AG145" s="5" t="e">
        <f ca="1">ECF[[#This Row],[As,mín (cm²)]]/100^2*ECF[[#This Row],[Comprimento (m)]]*7850</f>
        <v>#DIV/0!</v>
      </c>
      <c r="AH145" s="4" t="e">
        <f ca="1">ECF[[#This Row],[nE]]*ECF[[#This Row],[Prof. (m)]]*ECF[[#This Row],[Ap (m²)]]</f>
        <v>#DIV/0!</v>
      </c>
      <c r="AI145" s="1" t="e">
        <f ca="1">IF(ECF[[#This Row],[nE]]=1,0,MAX(3*ECF[[#This Row],[Ø (cm)]],60))</f>
        <v>#DIV/0!</v>
      </c>
      <c r="AJ145" s="1" t="e">
        <f ca="1">IF(ECF[[#This Row],[nE]]=1,ECF[[#This Row],[Ø (cm)]]+2*10,MAX(1.5*ECF[[#This Row],[Ø (cm)]],ECF[[#This Row],[Ø (cm)]]+15))</f>
        <v>#DIV/0!</v>
      </c>
      <c r="AK145" s="1" t="e">
        <f ca="1">alturaUtil(ECF[[#This Row],[nE]],ECF[[#This Row],[Ø (cm)]],ECF[[#This Row],[e (cm)]],ECF[[#This Row],[ap,eq (cm)]])</f>
        <v>#VALUE!</v>
      </c>
      <c r="AL145" s="1" t="str">
        <f ca="1">IFERROR(ECF[[#This Row],[d (cm)]]+arredondarParaCimaMultiplo5cm(MAX(5,SQRT(PI())/2*ECF[[#This Row],[Ø (cm)]]/5)),"N.S.")</f>
        <v>N.S.</v>
      </c>
      <c r="AM145" s="5" t="e">
        <f ca="1">alpha(ECF[[#This Row],[nE]],ECF[[#This Row],[d (cm)]],ECF[[#This Row],[e (cm)]],ECF[[#This Row],[ap,eq (cm)]])</f>
        <v>#VALUE!</v>
      </c>
      <c r="AN145" s="35" t="str">
        <f ca="1">IFERROR(ECF[[#This Row],[Nsd (kN)]]/(ECF[[#This Row],[Ap (cm²)]]*SIN(ECF[[#This Row],[α]])^2),"N.S.")</f>
        <v>N.S.</v>
      </c>
      <c r="AO145" s="35" t="str">
        <f ca="1">IFERROR(ECF[[#This Row],[Nsd (kN)]]/(ECF[[#This Row],[nE]]*PI()*ECF[[#This Row],[Ø (cm)]]^2/4*SIN(ECF[[#This Row],[α]])^2),"N.S.")</f>
        <v>N.S.</v>
      </c>
      <c r="AP145" s="4" t="str">
        <f ca="1">IFERROR(INDEX(grupoEstacas[],ECF[[#This Row],[nE]],MATCH("coef. Blévot",grupoEstacas[#Headers],0)),"N.S.")</f>
        <v>N.S.</v>
      </c>
      <c r="AQ145" s="35" t="str">
        <f ca="1">IFERROR(ECF[[#This Row],[coef. Blévot]]*0.9*INDEX(tipoEstaca[],MATCH($D$2,tipoEstaca[TIPO DE ESTACA],0),MATCH("fcd (kN/cm²)",tipoEstaca[#Headers],0)),"N.S.")</f>
        <v>N.S.</v>
      </c>
      <c r="AR145" s="1" t="str">
        <f ca="1">IF(AND(ECF[[#This Row],[cd,b,pil (kN/cm²)]]&lt;=ECF[[#This Row],[cd,b,lim (kN/cm²)]],ECF[[#This Row],[cd,b,est (kN/cm²)]]&lt;=ECF[[#This Row],[cd,b,lim (kN/cm²)]]),"OK","ERRO")</f>
        <v>OK</v>
      </c>
      <c r="AS145" s="4" t="e">
        <f ca="1">As_lado(ECF[[#This Row],[nE]],ECF[[#This Row],[Nsd (kN)]],ECF[[#This Row],[d (cm)]],ECF[[#This Row],[e (cm)]],ECF[[#This Row],[ap,eq (cm)]])</f>
        <v>#VALUE!</v>
      </c>
      <c r="AT145" s="4" t="e">
        <f ca="1">IF(ECF[[#This Row],[nE]]=1,ECF[[#This Row],[As,lado (cm²)]],IF(ECF[[#This Row],[nE]]=2,0.075*2*ECF[a (cm)],"N.A."))</f>
        <v>#DIV/0!</v>
      </c>
      <c r="AU145" s="4" t="str">
        <f ca="1">IFERROR(IF(ECF[[#This Row],[nE]]=1,"N.A.",0.2*ECF[[#This Row],[As,lado (cm²)]]),"N.S.")</f>
        <v>N.S.</v>
      </c>
      <c r="AV145" s="4" t="e">
        <f ca="1">As_malha(ECF[[#This Row],[nE]],ECF[[#This Row],[As,lado (cm²)]],ECF[[#This Row],[Nsd (kN)]])</f>
        <v>#VALUE!</v>
      </c>
      <c r="AW145" s="4" t="e">
        <f ca="1">As_susp_tot(ECF[[#This Row],[nE]],ECF[[#This Row],[Nsd (kN)]])</f>
        <v>#VALUE!</v>
      </c>
      <c r="AX145" s="4" t="e">
        <f ca="1">Asp_face(ECF[[#This Row],[nE]],ECF[[#This Row],[As,lado (cm²)]])</f>
        <v>#VALUE!</v>
      </c>
      <c r="AY145" s="5" t="e">
        <f ca="1">acoBloco(ECF[[#This Row],[nE]],ECF[[#This Row],[e (cm)]],ECF[[#This Row],[a (cm)]],ECF[[#This Row],[h (cm)]],ECF[[#This Row],[As,lado (cm²)]],ECF[[#This Row],[Asp e Asw (cm²/m)]],ECF[[#This Row],[As,sup (cm²)]],ECF[[#This Row],[As,malha (cm²)]],ECF[[#This Row],[As,susp,tot (cm²)]],ECF[[#This Row],[Asp,face (cm²)]])</f>
        <v>#VALUE!</v>
      </c>
      <c r="AZ145" s="4" t="e">
        <f ca="1">concretoBloco(ECF[[#This Row],[nE]],ECF[[#This Row],[e (cm)]],ECF[[#This Row],[a (cm)]],ECF[[#This Row],[h (cm)]])</f>
        <v>#VALUE!</v>
      </c>
      <c r="BA145" s="5" t="e">
        <f ca="1">SUM(ECF[[#This Row],[Aço Est (kg)]],ECF[[#This Row],[Aço Bloco (kg)]])</f>
        <v>#DIV/0!</v>
      </c>
      <c r="BB145" s="4">
        <f>INDEX(composicoes[],MATCH(95580,composicoes[CÓDIGO],0),MATCH("CUSTO TOTAL",composicoes[#Headers],0))</f>
        <v>10.46</v>
      </c>
      <c r="BC145" s="4" t="e">
        <f ca="1">SUM(ECF[[#This Row],[Conc Est (m³)]],ECF[[#This Row],[Conc Bloco (m³)]])</f>
        <v>#DIV/0!</v>
      </c>
      <c r="BD145" s="4">
        <f>INDEX(composicoes[],MATCH(94966,composicoes[CÓDIGO],0),MATCH("CUSTO TOTAL",composicoes[#Headers],0))</f>
        <v>439.52</v>
      </c>
      <c r="BE145" s="38" t="e">
        <f ca="1">ECF[[#This Row],[Aço (kg)]]*ECF[[#This Row],[Aço (R$/kg)]]+ECF[[#This Row],[Conc (m³)]]*ECF[[#This Row],[Conc (R$/m³)]]</f>
        <v>#DIV/0!</v>
      </c>
      <c r="BF145" s="4" t="str">
        <f ca="1">IF(COUNTIF(ECF[#This Row],"N.S.")&gt;0,"lim.","OK")</f>
        <v>lim.</v>
      </c>
      <c r="BG145" s="4" t="str">
        <f>IF(ECF[[#This Row],[Prof. (m)]]&lt;4,"lim.","OK")</f>
        <v>lim.</v>
      </c>
      <c r="BH145" s="4" t="str">
        <f>IF(ECF[[#This Row],[Prof. (m)]]&gt;=8*ECF[[#This Row],[Ø (cm)]]/100,"OK","lim.")</f>
        <v>lim.</v>
      </c>
      <c r="BI145" s="4" t="str">
        <f>IF(AND(SPT!$F$3&lt;&gt;"",ECF[[#This Row],[Prof. (m)]]&gt;=SPT!$F$3-2),"lim.","OK")</f>
        <v>OK</v>
      </c>
      <c r="BJ145" s="4" t="str">
        <f ca="1">IF(ECF[[#This Row],[Verif. Biela]]="OK","OK","lim.")</f>
        <v>OK</v>
      </c>
      <c r="BK145" s="4" t="str">
        <f ca="1">IF(COUNTA(ECF[[#This Row],[Nº Est.]:[Biela comp.]])=COUNTIF(ECF[[#This Row],[Nº Est.]:[Biela comp.]],"OK"),"OK","lim.")</f>
        <v>lim.</v>
      </c>
      <c r="BL145" s="4" t="str">
        <f ca="1">IF(ECF[[#This Row],[Controle]]="OK",ECF[[#This Row],[nE]]&amp;" Ø"&amp;ECF[[#This Row],[Ø (cm)]]&amp;"cm Prof. "&amp;ECF[[#This Row],[Prof. (m)]]&amp;" m","")</f>
        <v/>
      </c>
      <c r="BM145" s="4" t="str">
        <f ca="1">IF(ECF[[#This Row],[idDimensionamento]]="","",ECF[[#This Row],[idPilar]]&amp;ECF[[#This Row],[idDimensionamento]])</f>
        <v/>
      </c>
    </row>
    <row r="146" spans="2:65" x14ac:dyDescent="0.25">
      <c r="B146" s="12">
        <f>ROUNDUP((ROW(ECF[[#This Row],[idDiâmetro]])-ROW(ECF[[#Headers],[idDiâmetro]]))/(COUNT(SPT[Prof. (m)])*COUNT(PILARES[Pilar])),0)</f>
        <v>6</v>
      </c>
      <c r="C146" s="12">
        <f>IF(ECF[[#This Row],[idDiâmetro]]&lt;&gt;B145,1,IF(ECF[[#This Row],[Prof. (m)]]=0,C145+1,C145))</f>
        <v>1</v>
      </c>
      <c r="D146" s="1">
        <f>IFERROR(IF(D145=MAX(SPT[Prof. (m)]),0,D145+1),0)</f>
        <v>1</v>
      </c>
      <c r="E146" s="1">
        <f>INDEX(SPT[],MATCH(ECF[[#This Row],[Prof. (m)]],SPT[Prof. (m)],0),2)</f>
        <v>2</v>
      </c>
      <c r="F146" s="1" t="str">
        <f>INDEX(SPT[],MATCH(ECF[[#This Row],[Prof. (m)]],SPT[Prof. (m)],0),3)</f>
        <v>Areia siltosa</v>
      </c>
      <c r="G146" s="1">
        <f>INDEX(estacas[],ECF[[#This Row],[idDiâmetro]],MATCH($B$2,estacas[#Headers],0))</f>
        <v>140</v>
      </c>
      <c r="H146" s="1">
        <f>INDEX(estacas[],MATCH(ECF[[#This Row],[Ø (cm)]],estacas[Ø ECF (cm)],0),MATCH(ECF[[#Headers],[Pe ECF (kN)]],estacas[#Headers],0))</f>
        <v>6200</v>
      </c>
      <c r="I146" s="4">
        <f>INDEX(K_alpha_C[],MATCH(ECF[[#This Row],[Solo]],K_alpha_C[Solo],0),2)</f>
        <v>0.8</v>
      </c>
      <c r="J146" s="5">
        <f>INDEX(K_alpha_C[],MATCH(ECF[[#This Row],[Solo]],K_alpha_C[Solo],0),3)</f>
        <v>2</v>
      </c>
      <c r="K146" s="4">
        <f>INDEX(F1_F2[],MATCH($D$2,F1_F2[Tipo de estaca],0),2)</f>
        <v>3</v>
      </c>
      <c r="L146" s="4">
        <f>INDEX(F1_F2[],MATCH($D$2,F1_F2[Tipo de estaca],0),3)</f>
        <v>6</v>
      </c>
      <c r="M146" s="4">
        <f>PI()*(ECF[[#This Row],[Ø (cm)]]/100)^2/4</f>
        <v>1.5393804002589984</v>
      </c>
      <c r="N146" s="4">
        <f>PI()*ECF[[#This Row],[Ø (cm)]]/100</f>
        <v>4.3982297150257104</v>
      </c>
      <c r="O146" s="4">
        <f>IF(ECF[[#This Row],[Prof. (m)]]=0,0,ECF[[#This Row],[α (%)]]/100*ECF[[#This Row],[K (MPa)]]*1000*ECF[[#This Row],[NSPT]])</f>
        <v>32</v>
      </c>
      <c r="P146" s="4">
        <f>IF(ECF[[#This Row],[Prof. (m)]]=0,0,(ECF[[#This Row],[K (MPa)]]*1000*ECF[[#This Row],[NSPT]]/ECF[[#This Row],[F1]]*ECF[[#This Row],[Ap (m²)]]+ECF[[#This Row],[U (m)]]/ECF[[#This Row],[F2]]*SUMIFS(ECF[(α∙K∙NL∙ΔL)],ECF[Prof. (m)],"&lt;="&amp;ECF[[#This Row],[Prof. (m)]],ECF[idDiâmetro],ECF[[#This Row],[idDiâmetro]],ECF[idPilar],ECF[[#This Row],[idPilar]]))/'DADOS CAP. CARGA'!$D$2)</f>
        <v>422.23005264246814</v>
      </c>
      <c r="Q146" s="12">
        <f>INDEX(C_alpha_beta[],MATCH(ECF[[#This Row],[Solo]],C_alpha_beta[Solo],0),MATCH(ECF[[#Headers],[C (kPa)]],C_alpha_beta[#Headers],0))</f>
        <v>400</v>
      </c>
      <c r="R146" s="4">
        <f>INDEX(C_alpha_beta[],MATCH(ECF[[#This Row],[Solo]],C_alpha_beta[Solo],0),MATCH(ECF[[#Headers],[α ESF]],C_alpha_beta[#Headers],0))</f>
        <v>0.5</v>
      </c>
      <c r="S146" s="4">
        <f>INDEX(C_alpha_beta[],MATCH(ECF[[#This Row],[Solo]],C_alpha_beta[Solo],0),MATCH(ECF[[#Headers],[β ESF]],C_alpha_beta[#Headers],0))</f>
        <v>0.5</v>
      </c>
      <c r="T146" s="4">
        <f>IF(ECF[[#This Row],[Prof. (m)]]=0,0,10*(ECF[[#This Row],[NSPT]]/3+1))</f>
        <v>16.666666666666664</v>
      </c>
      <c r="U146" s="4">
        <f>(ECF[[#This Row],[α ESF]]*ECF[[#This Row],[C (kPa)]]*ECF[[#This Row],[NSPT]]*ECF[[#This Row],[Ap (m²)]])/'DADOS CAP. CARGA'!$Q$2+(ECF[[#This Row],[β ESF]]*SUMIFS(ECF[10∙(NL/3+1)],ECF[Prof. (m)],"&lt;="&amp;ECF[[#This Row],[Prof. (m)]],ECF[idDiâmetro],ECF[[#This Row],[idDiâmetro]],ECF[idPilar],ECF[[#This Row],[idPilar]])*ECF[[#This Row],[U (m)]])/'DADOS CAP. CARGA'!$S$2</f>
        <v>172.26399717184029</v>
      </c>
      <c r="V146" s="4">
        <f>IF(SPT!$M$5=1,MIN(ECF[[#This Row],[Pe ECF (kN)]],ECF[[#This Row],[R_AV (kN)]]),IF(SPT!$M$5=2,MIN(ECF[[#This Row],[Pe ECF (kN)]],ECF[[#This Row],[R_DC (kN)]]),MIN(ECF[[#This Row],[Pe ECF (kN)]],ECF[[#This Row],[R_AV (kN)]],ECF[[#This Row],[R_DC (kN)]])))</f>
        <v>172.26399717184029</v>
      </c>
      <c r="W146" s="4">
        <f>INDEX(PILARES[],ECF[[#This Row],[idPilar]],MATCH("Carga (kN)",PILARES[#Headers],0))*1.4</f>
        <v>3500</v>
      </c>
      <c r="X146" s="12">
        <f>INDEX(PILARES[],ECF[[#This Row],[idPilar]],MATCH(ECF[[#Headers],[ap (cm)]],PILARES[#Headers],0))</f>
        <v>60</v>
      </c>
      <c r="Y146" s="12">
        <f>INDEX(PILARES[],ECF[[#This Row],[idPilar]],MATCH(ECF[[#Headers],[bp (cm)]],PILARES[#Headers],0))</f>
        <v>60</v>
      </c>
      <c r="Z146" s="4">
        <f>SQRT(ECF[[#This Row],[ap (cm)]]*ECF[[#This Row],[bp (cm)]])</f>
        <v>60</v>
      </c>
      <c r="AA146" s="12">
        <f>ECF[[#This Row],[ap (cm)]]*ECF[[#This Row],[bp (cm)]]</f>
        <v>3600</v>
      </c>
      <c r="AB146" s="12">
        <f ca="1">IF(ECF[[#This Row],[Padm∙ε (kN)]]&gt;=ECF[[#This Row],[Padm (kN)]],ROUNDUP(1.05*ECF[[#This Row],[Nsd (kN)]]/ECF[[#This Row],[Padm (kN)]],0),ROUNDUP(1.05*ECF[[#This Row],[Nsd (kN)]]/ECF[[#This Row],[Padm (kN)]],0)+1)</f>
        <v>22</v>
      </c>
      <c r="AC146" s="4" t="str">
        <f ca="1">IFERROR(IF(ECF[[#This Row],[nE]]=1,ECF[[#This Row],[Padm (kN)]],ECF[[#This Row],[Padm (kN)]]*ECF[[#This Row],[nE]]*INDEX(grupoEstacas[],ECF[[#This Row],[nE]],MATCH("ε",grupoEstacas[#Headers],0))),"N.S.")</f>
        <v>N.S.</v>
      </c>
      <c r="AD146" s="4">
        <f ca="1">1.05*ECF[[#This Row],[Nsd (kN)]]/(ECF[[#This Row],[nE]]*PI()*ECF[[#This Row],[Ø (cm)]]^2/4)*10</f>
        <v>0.10851473392629228</v>
      </c>
      <c r="AE146" s="4">
        <f ca="1">IF(ECF[[#This Row],[σ (MPa)]]&lt;INDEX(tipoEstaca[],MATCH($D$2,tipoEstaca[TIPO DE ESTACA],0),MATCH("σmáx (MPa)",tipoEstaca[#Headers],0)),0.4%*PI()*ECF[[#This Row],[Ø (cm)]]^2/4,"N.S.")</f>
        <v>61.575216010359952</v>
      </c>
      <c r="AF146" s="1">
        <f>INDEX(tipoEstaca[],MATCH($D$2,tipoEstaca[TIPO DE ESTACA],0),MATCH(ECF[[#Headers],[Comprimento (m)]],tipoEstaca[#Headers],0))</f>
        <v>4</v>
      </c>
      <c r="AG146" s="5">
        <f ca="1">ECF[[#This Row],[As,mín (cm²)]]/100^2*ECF[[#This Row],[Comprimento (m)]]*7850</f>
        <v>193.34617827253024</v>
      </c>
      <c r="AH146" s="4">
        <f ca="1">ECF[[#This Row],[nE]]*ECF[[#This Row],[Prof. (m)]]*ECF[[#This Row],[Ap (m²)]]</f>
        <v>33.866368805697967</v>
      </c>
      <c r="AI146" s="1">
        <f ca="1">IF(ECF[[#This Row],[nE]]=1,0,MAX(3*ECF[[#This Row],[Ø (cm)]],60))</f>
        <v>420</v>
      </c>
      <c r="AJ146" s="1">
        <f ca="1">IF(ECF[[#This Row],[nE]]=1,ECF[[#This Row],[Ø (cm)]]+2*10,MAX(1.5*ECF[[#This Row],[Ø (cm)]],ECF[[#This Row],[Ø (cm)]]+15))</f>
        <v>210</v>
      </c>
      <c r="AK146" s="1" t="str">
        <f ca="1">alturaUtil(ECF[[#This Row],[nE]],ECF[[#This Row],[Ø (cm)]],ECF[[#This Row],[e (cm)]],ECF[[#This Row],[ap,eq (cm)]])</f>
        <v>N.S.</v>
      </c>
      <c r="AL146" s="1" t="str">
        <f ca="1">IFERROR(ECF[[#This Row],[d (cm)]]+arredondarParaCimaMultiplo5cm(MAX(5,SQRT(PI())/2*ECF[[#This Row],[Ø (cm)]]/5)),"N.S.")</f>
        <v>N.S.</v>
      </c>
      <c r="AM146" s="5" t="str">
        <f ca="1">alpha(ECF[[#This Row],[nE]],ECF[[#This Row],[d (cm)]],ECF[[#This Row],[e (cm)]],ECF[[#This Row],[ap,eq (cm)]])</f>
        <v>N.S.</v>
      </c>
      <c r="AN146" s="35" t="str">
        <f ca="1">IFERROR(ECF[[#This Row],[Nsd (kN)]]/(ECF[[#This Row],[Ap (cm²)]]*SIN(ECF[[#This Row],[α]])^2),"N.S.")</f>
        <v>N.S.</v>
      </c>
      <c r="AO146" s="35" t="str">
        <f ca="1">IFERROR(ECF[[#This Row],[Nsd (kN)]]/(ECF[[#This Row],[nE]]*PI()*ECF[[#This Row],[Ø (cm)]]^2/4*SIN(ECF[[#This Row],[α]])^2),"N.S.")</f>
        <v>N.S.</v>
      </c>
      <c r="AP146" s="4" t="str">
        <f ca="1">IFERROR(INDEX(grupoEstacas[],ECF[[#This Row],[nE]],MATCH("coef. Blévot",grupoEstacas[#Headers],0)),"N.S.")</f>
        <v>N.S.</v>
      </c>
      <c r="AQ146" s="35" t="str">
        <f ca="1">IFERROR(ECF[[#This Row],[coef. Blévot]]*0.9*INDEX(tipoEstaca[],MATCH($D$2,tipoEstaca[TIPO DE ESTACA],0),MATCH("fcd (kN/cm²)",tipoEstaca[#Headers],0)),"N.S.")</f>
        <v>N.S.</v>
      </c>
      <c r="AR146" s="1" t="str">
        <f ca="1">IF(AND(ECF[[#This Row],[cd,b,pil (kN/cm²)]]&lt;=ECF[[#This Row],[cd,b,lim (kN/cm²)]],ECF[[#This Row],[cd,b,est (kN/cm²)]]&lt;=ECF[[#This Row],[cd,b,lim (kN/cm²)]]),"OK","ERRO")</f>
        <v>OK</v>
      </c>
      <c r="AS146" s="4" t="str">
        <f ca="1">As_lado(ECF[[#This Row],[nE]],ECF[[#This Row],[Nsd (kN)]],ECF[[#This Row],[d (cm)]],ECF[[#This Row],[e (cm)]],ECF[[#This Row],[ap,eq (cm)]])</f>
        <v>N.S.</v>
      </c>
      <c r="AT146" s="4" t="str">
        <f ca="1">IF(ECF[[#This Row],[nE]]=1,ECF[[#This Row],[As,lado (cm²)]],IF(ECF[[#This Row],[nE]]=2,0.075*2*ECF[a (cm)],"N.A."))</f>
        <v>N.A.</v>
      </c>
      <c r="AU146" s="4" t="str">
        <f ca="1">IFERROR(IF(ECF[[#This Row],[nE]]=1,"N.A.",0.2*ECF[[#This Row],[As,lado (cm²)]]),"N.S.")</f>
        <v>N.S.</v>
      </c>
      <c r="AV146" s="4" t="str">
        <f ca="1">As_malha(ECF[[#This Row],[nE]],ECF[[#This Row],[As,lado (cm²)]],ECF[[#This Row],[Nsd (kN)]])</f>
        <v>N.S.</v>
      </c>
      <c r="AW146" s="4" t="str">
        <f ca="1">As_susp_tot(ECF[[#This Row],[nE]],ECF[[#This Row],[Nsd (kN)]])</f>
        <v>N.S.</v>
      </c>
      <c r="AX146" s="4" t="str">
        <f ca="1">Asp_face(ECF[[#This Row],[nE]],ECF[[#This Row],[As,lado (cm²)]])</f>
        <v>N.S.</v>
      </c>
      <c r="AY146" s="5" t="str">
        <f ca="1">acoBloco(ECF[[#This Row],[nE]],ECF[[#This Row],[e (cm)]],ECF[[#This Row],[a (cm)]],ECF[[#This Row],[h (cm)]],ECF[[#This Row],[As,lado (cm²)]],ECF[[#This Row],[Asp e Asw (cm²/m)]],ECF[[#This Row],[As,sup (cm²)]],ECF[[#This Row],[As,malha (cm²)]],ECF[[#This Row],[As,susp,tot (cm²)]],ECF[[#This Row],[Asp,face (cm²)]])</f>
        <v>N.S.</v>
      </c>
      <c r="AZ146" s="4" t="str">
        <f ca="1">concretoBloco(ECF[[#This Row],[nE]],ECF[[#This Row],[e (cm)]],ECF[[#This Row],[a (cm)]],ECF[[#This Row],[h (cm)]])</f>
        <v>N.S.</v>
      </c>
      <c r="BA146" s="5">
        <f ca="1">SUM(ECF[[#This Row],[Aço Est (kg)]],ECF[[#This Row],[Aço Bloco (kg)]])</f>
        <v>193.34617827253024</v>
      </c>
      <c r="BB146" s="4">
        <f>INDEX(composicoes[],MATCH(95580,composicoes[CÓDIGO],0),MATCH("CUSTO TOTAL",composicoes[#Headers],0))</f>
        <v>10.46</v>
      </c>
      <c r="BC146" s="4">
        <f ca="1">SUM(ECF[[#This Row],[Conc Est (m³)]],ECF[[#This Row],[Conc Bloco (m³)]])</f>
        <v>33.866368805697967</v>
      </c>
      <c r="BD146" s="4">
        <f>INDEX(composicoes[],MATCH(94966,composicoes[CÓDIGO],0),MATCH("CUSTO TOTAL",composicoes[#Headers],0))</f>
        <v>439.52</v>
      </c>
      <c r="BE146" s="38">
        <f ca="1">ECF[[#This Row],[Aço (kg)]]*ECF[[#This Row],[Aço (R$/kg)]]+ECF[[#This Row],[Conc (m³)]]*ECF[[#This Row],[Conc (R$/m³)]]</f>
        <v>16907.347442211034</v>
      </c>
      <c r="BF146" s="4" t="str">
        <f ca="1">IF(COUNTIF(ECF[#This Row],"N.S.")&gt;0,"lim.","OK")</f>
        <v>lim.</v>
      </c>
      <c r="BG146" s="4" t="str">
        <f>IF(ECF[[#This Row],[Prof. (m)]]&lt;4,"lim.","OK")</f>
        <v>lim.</v>
      </c>
      <c r="BH146" s="4" t="str">
        <f>IF(ECF[[#This Row],[Prof. (m)]]&gt;=8*ECF[[#This Row],[Ø (cm)]]/100,"OK","lim.")</f>
        <v>lim.</v>
      </c>
      <c r="BI146" s="4" t="str">
        <f>IF(AND(SPT!$F$3&lt;&gt;"",ECF[[#This Row],[Prof. (m)]]&gt;=SPT!$F$3-2),"lim.","OK")</f>
        <v>OK</v>
      </c>
      <c r="BJ146" s="4" t="str">
        <f ca="1">IF(ECF[[#This Row],[Verif. Biela]]="OK","OK","lim.")</f>
        <v>OK</v>
      </c>
      <c r="BK146" s="4" t="str">
        <f ca="1">IF(COUNTA(ECF[[#This Row],[Nº Est.]:[Biela comp.]])=COUNTIF(ECF[[#This Row],[Nº Est.]:[Biela comp.]],"OK"),"OK","lim.")</f>
        <v>lim.</v>
      </c>
      <c r="BL146" s="4" t="str">
        <f ca="1">IF(ECF[[#This Row],[Controle]]="OK",ECF[[#This Row],[nE]]&amp;" Ø"&amp;ECF[[#This Row],[Ø (cm)]]&amp;"cm Prof. "&amp;ECF[[#This Row],[Prof. (m)]]&amp;" m","")</f>
        <v/>
      </c>
      <c r="BM146" s="4" t="str">
        <f ca="1">IF(ECF[[#This Row],[idDimensionamento]]="","",ECF[[#This Row],[idPilar]]&amp;ECF[[#This Row],[idDimensionamento]])</f>
        <v/>
      </c>
    </row>
    <row r="147" spans="2:65" x14ac:dyDescent="0.25">
      <c r="B147" s="12">
        <f>ROUNDUP((ROW(ECF[[#This Row],[idDiâmetro]])-ROW(ECF[[#Headers],[idDiâmetro]]))/(COUNT(SPT[Prof. (m)])*COUNT(PILARES[Pilar])),0)</f>
        <v>6</v>
      </c>
      <c r="C147" s="12">
        <f>IF(ECF[[#This Row],[idDiâmetro]]&lt;&gt;B146,1,IF(ECF[[#This Row],[Prof. (m)]]=0,C146+1,C146))</f>
        <v>1</v>
      </c>
      <c r="D147" s="1">
        <f>IFERROR(IF(D146=MAX(SPT[Prof. (m)]),0,D146+1),0)</f>
        <v>2</v>
      </c>
      <c r="E147" s="1">
        <f>INDEX(SPT[],MATCH(ECF[[#This Row],[Prof. (m)]],SPT[Prof. (m)],0),2)</f>
        <v>2</v>
      </c>
      <c r="F147" s="1" t="str">
        <f>INDEX(SPT[],MATCH(ECF[[#This Row],[Prof. (m)]],SPT[Prof. (m)],0),3)</f>
        <v>Areia siltosa</v>
      </c>
      <c r="G147" s="1">
        <f>INDEX(estacas[],ECF[[#This Row],[idDiâmetro]],MATCH($B$2,estacas[#Headers],0))</f>
        <v>140</v>
      </c>
      <c r="H147" s="1">
        <f>INDEX(estacas[],MATCH(ECF[[#This Row],[Ø (cm)]],estacas[Ø ECF (cm)],0),MATCH(ECF[[#Headers],[Pe ECF (kN)]],estacas[#Headers],0))</f>
        <v>6200</v>
      </c>
      <c r="I147" s="4">
        <f>INDEX(K_alpha_C[],MATCH(ECF[[#This Row],[Solo]],K_alpha_C[Solo],0),2)</f>
        <v>0.8</v>
      </c>
      <c r="J147" s="5">
        <f>INDEX(K_alpha_C[],MATCH(ECF[[#This Row],[Solo]],K_alpha_C[Solo],0),3)</f>
        <v>2</v>
      </c>
      <c r="K147" s="4">
        <f>INDEX(F1_F2[],MATCH($D$2,F1_F2[Tipo de estaca],0),2)</f>
        <v>3</v>
      </c>
      <c r="L147" s="4">
        <f>INDEX(F1_F2[],MATCH($D$2,F1_F2[Tipo de estaca],0),3)</f>
        <v>6</v>
      </c>
      <c r="M147" s="4">
        <f>PI()*(ECF[[#This Row],[Ø (cm)]]/100)^2/4</f>
        <v>1.5393804002589984</v>
      </c>
      <c r="N147" s="4">
        <f>PI()*ECF[[#This Row],[Ø (cm)]]/100</f>
        <v>4.3982297150257104</v>
      </c>
      <c r="O147" s="4">
        <f>IF(ECF[[#This Row],[Prof. (m)]]=0,0,ECF[[#This Row],[α (%)]]/100*ECF[[#This Row],[K (MPa)]]*1000*ECF[[#This Row],[NSPT]])</f>
        <v>32</v>
      </c>
      <c r="P147" s="4">
        <f>IF(ECF[[#This Row],[Prof. (m)]]=0,0,(ECF[[#This Row],[K (MPa)]]*1000*ECF[[#This Row],[NSPT]]/ECF[[#This Row],[F1]]*ECF[[#This Row],[Ap (m²)]]+ECF[[#This Row],[U (m)]]/ECF[[#This Row],[F2]]*SUMIFS(ECF[(α∙K∙NL∙ΔL)],ECF[Prof. (m)],"&lt;="&amp;ECF[[#This Row],[Prof. (m)]],ECF[idDiâmetro],ECF[[#This Row],[idDiâmetro]],ECF[idPilar],ECF[[#This Row],[idPilar]]))/'DADOS CAP. CARGA'!$D$2)</f>
        <v>433.95866521587004</v>
      </c>
      <c r="Q147" s="12">
        <f>INDEX(C_alpha_beta[],MATCH(ECF[[#This Row],[Solo]],C_alpha_beta[Solo],0),MATCH(ECF[[#Headers],[C (kPa)]],C_alpha_beta[#Headers],0))</f>
        <v>400</v>
      </c>
      <c r="R147" s="4">
        <f>INDEX(C_alpha_beta[],MATCH(ECF[[#This Row],[Solo]],C_alpha_beta[Solo],0),MATCH(ECF[[#Headers],[α ESF]],C_alpha_beta[#Headers],0))</f>
        <v>0.5</v>
      </c>
      <c r="S147" s="4">
        <f>INDEX(C_alpha_beta[],MATCH(ECF[[#This Row],[Solo]],C_alpha_beta[Solo],0),MATCH(ECF[[#Headers],[β ESF]],C_alpha_beta[#Headers],0))</f>
        <v>0.5</v>
      </c>
      <c r="T147" s="4">
        <f>IF(ECF[[#This Row],[Prof. (m)]]=0,0,10*(ECF[[#This Row],[NSPT]]/3+1))</f>
        <v>16.666666666666664</v>
      </c>
      <c r="U147" s="4">
        <f>(ECF[[#This Row],[α ESF]]*ECF[[#This Row],[C (kPa)]]*ECF[[#This Row],[NSPT]]*ECF[[#This Row],[Ap (m²)]])/'DADOS CAP. CARGA'!$Q$2+(ECF[[#This Row],[β ESF]]*SUMIFS(ECF[10∙(NL/3+1)],ECF[Prof. (m)],"&lt;="&amp;ECF[[#This Row],[Prof. (m)]],ECF[idDiâmetro],ECF[[#This Row],[idDiâmetro]],ECF[idPilar],ECF[[#This Row],[idPilar]])*ECF[[#This Row],[U (m)]])/'DADOS CAP. CARGA'!$S$2</f>
        <v>190.58995431778072</v>
      </c>
      <c r="V147" s="4">
        <f>IF(SPT!$M$5=1,MIN(ECF[[#This Row],[Pe ECF (kN)]],ECF[[#This Row],[R_AV (kN)]]),IF(SPT!$M$5=2,MIN(ECF[[#This Row],[Pe ECF (kN)]],ECF[[#This Row],[R_DC (kN)]]),MIN(ECF[[#This Row],[Pe ECF (kN)]],ECF[[#This Row],[R_AV (kN)]],ECF[[#This Row],[R_DC (kN)]])))</f>
        <v>190.58995431778072</v>
      </c>
      <c r="W147" s="4">
        <f>INDEX(PILARES[],ECF[[#This Row],[idPilar]],MATCH("Carga (kN)",PILARES[#Headers],0))*1.4</f>
        <v>3500</v>
      </c>
      <c r="X147" s="12">
        <f>INDEX(PILARES[],ECF[[#This Row],[idPilar]],MATCH(ECF[[#Headers],[ap (cm)]],PILARES[#Headers],0))</f>
        <v>60</v>
      </c>
      <c r="Y147" s="12">
        <f>INDEX(PILARES[],ECF[[#This Row],[idPilar]],MATCH(ECF[[#Headers],[bp (cm)]],PILARES[#Headers],0))</f>
        <v>60</v>
      </c>
      <c r="Z147" s="4">
        <f>SQRT(ECF[[#This Row],[ap (cm)]]*ECF[[#This Row],[bp (cm)]])</f>
        <v>60</v>
      </c>
      <c r="AA147" s="12">
        <f>ECF[[#This Row],[ap (cm)]]*ECF[[#This Row],[bp (cm)]]</f>
        <v>3600</v>
      </c>
      <c r="AB147" s="12">
        <f ca="1">IF(ECF[[#This Row],[Padm∙ε (kN)]]&gt;=ECF[[#This Row],[Padm (kN)]],ROUNDUP(1.05*ECF[[#This Row],[Nsd (kN)]]/ECF[[#This Row],[Padm (kN)]],0),ROUNDUP(1.05*ECF[[#This Row],[Nsd (kN)]]/ECF[[#This Row],[Padm (kN)]],0)+1)</f>
        <v>20</v>
      </c>
      <c r="AC147" s="4" t="str">
        <f ca="1">IFERROR(IF(ECF[[#This Row],[nE]]=1,ECF[[#This Row],[Padm (kN)]],ECF[[#This Row],[Padm (kN)]]*ECF[[#This Row],[nE]]*INDEX(grupoEstacas[],ECF[[#This Row],[nE]],MATCH("ε",grupoEstacas[#Headers],0))),"N.S.")</f>
        <v>N.S.</v>
      </c>
      <c r="AD147" s="4">
        <f ca="1">1.05*ECF[[#This Row],[Nsd (kN)]]/(ECF[[#This Row],[nE]]*PI()*ECF[[#This Row],[Ø (cm)]]^2/4)*10</f>
        <v>0.11936620731892152</v>
      </c>
      <c r="AE147" s="4">
        <f ca="1">IF(ECF[[#This Row],[σ (MPa)]]&lt;INDEX(tipoEstaca[],MATCH($D$2,tipoEstaca[TIPO DE ESTACA],0),MATCH("σmáx (MPa)",tipoEstaca[#Headers],0)),0.4%*PI()*ECF[[#This Row],[Ø (cm)]]^2/4,"N.S.")</f>
        <v>61.575216010359952</v>
      </c>
      <c r="AF147" s="1">
        <f>INDEX(tipoEstaca[],MATCH($D$2,tipoEstaca[TIPO DE ESTACA],0),MATCH(ECF[[#Headers],[Comprimento (m)]],tipoEstaca[#Headers],0))</f>
        <v>4</v>
      </c>
      <c r="AG147" s="5">
        <f ca="1">ECF[[#This Row],[As,mín (cm²)]]/100^2*ECF[[#This Row],[Comprimento (m)]]*7850</f>
        <v>193.34617827253024</v>
      </c>
      <c r="AH147" s="4">
        <f ca="1">ECF[[#This Row],[nE]]*ECF[[#This Row],[Prof. (m)]]*ECF[[#This Row],[Ap (m²)]]</f>
        <v>61.575216010359938</v>
      </c>
      <c r="AI147" s="1">
        <f ca="1">IF(ECF[[#This Row],[nE]]=1,0,MAX(3*ECF[[#This Row],[Ø (cm)]],60))</f>
        <v>420</v>
      </c>
      <c r="AJ147" s="1">
        <f ca="1">IF(ECF[[#This Row],[nE]]=1,ECF[[#This Row],[Ø (cm)]]+2*10,MAX(1.5*ECF[[#This Row],[Ø (cm)]],ECF[[#This Row],[Ø (cm)]]+15))</f>
        <v>210</v>
      </c>
      <c r="AK147" s="1" t="str">
        <f ca="1">alturaUtil(ECF[[#This Row],[nE]],ECF[[#This Row],[Ø (cm)]],ECF[[#This Row],[e (cm)]],ECF[[#This Row],[ap,eq (cm)]])</f>
        <v>N.S.</v>
      </c>
      <c r="AL147" s="1" t="str">
        <f ca="1">IFERROR(ECF[[#This Row],[d (cm)]]+arredondarParaCimaMultiplo5cm(MAX(5,SQRT(PI())/2*ECF[[#This Row],[Ø (cm)]]/5)),"N.S.")</f>
        <v>N.S.</v>
      </c>
      <c r="AM147" s="5" t="str">
        <f ca="1">alpha(ECF[[#This Row],[nE]],ECF[[#This Row],[d (cm)]],ECF[[#This Row],[e (cm)]],ECF[[#This Row],[ap,eq (cm)]])</f>
        <v>N.S.</v>
      </c>
      <c r="AN147" s="35" t="str">
        <f ca="1">IFERROR(ECF[[#This Row],[Nsd (kN)]]/(ECF[[#This Row],[Ap (cm²)]]*SIN(ECF[[#This Row],[α]])^2),"N.S.")</f>
        <v>N.S.</v>
      </c>
      <c r="AO147" s="35" t="str">
        <f ca="1">IFERROR(ECF[[#This Row],[Nsd (kN)]]/(ECF[[#This Row],[nE]]*PI()*ECF[[#This Row],[Ø (cm)]]^2/4*SIN(ECF[[#This Row],[α]])^2),"N.S.")</f>
        <v>N.S.</v>
      </c>
      <c r="AP147" s="4" t="str">
        <f ca="1">IFERROR(INDEX(grupoEstacas[],ECF[[#This Row],[nE]],MATCH("coef. Blévot",grupoEstacas[#Headers],0)),"N.S.")</f>
        <v>N.S.</v>
      </c>
      <c r="AQ147" s="35" t="str">
        <f ca="1">IFERROR(ECF[[#This Row],[coef. Blévot]]*0.9*INDEX(tipoEstaca[],MATCH($D$2,tipoEstaca[TIPO DE ESTACA],0),MATCH("fcd (kN/cm²)",tipoEstaca[#Headers],0)),"N.S.")</f>
        <v>N.S.</v>
      </c>
      <c r="AR147" s="1" t="str">
        <f ca="1">IF(AND(ECF[[#This Row],[cd,b,pil (kN/cm²)]]&lt;=ECF[[#This Row],[cd,b,lim (kN/cm²)]],ECF[[#This Row],[cd,b,est (kN/cm²)]]&lt;=ECF[[#This Row],[cd,b,lim (kN/cm²)]]),"OK","ERRO")</f>
        <v>OK</v>
      </c>
      <c r="AS147" s="4" t="str">
        <f ca="1">As_lado(ECF[[#This Row],[nE]],ECF[[#This Row],[Nsd (kN)]],ECF[[#This Row],[d (cm)]],ECF[[#This Row],[e (cm)]],ECF[[#This Row],[ap,eq (cm)]])</f>
        <v>N.S.</v>
      </c>
      <c r="AT147" s="4" t="str">
        <f ca="1">IF(ECF[[#This Row],[nE]]=1,ECF[[#This Row],[As,lado (cm²)]],IF(ECF[[#This Row],[nE]]=2,0.075*2*ECF[a (cm)],"N.A."))</f>
        <v>N.A.</v>
      </c>
      <c r="AU147" s="4" t="str">
        <f ca="1">IFERROR(IF(ECF[[#This Row],[nE]]=1,"N.A.",0.2*ECF[[#This Row],[As,lado (cm²)]]),"N.S.")</f>
        <v>N.S.</v>
      </c>
      <c r="AV147" s="4" t="str">
        <f ca="1">As_malha(ECF[[#This Row],[nE]],ECF[[#This Row],[As,lado (cm²)]],ECF[[#This Row],[Nsd (kN)]])</f>
        <v>N.S.</v>
      </c>
      <c r="AW147" s="4" t="str">
        <f ca="1">As_susp_tot(ECF[[#This Row],[nE]],ECF[[#This Row],[Nsd (kN)]])</f>
        <v>N.S.</v>
      </c>
      <c r="AX147" s="4" t="str">
        <f ca="1">Asp_face(ECF[[#This Row],[nE]],ECF[[#This Row],[As,lado (cm²)]])</f>
        <v>N.S.</v>
      </c>
      <c r="AY147" s="5" t="str">
        <f ca="1">acoBloco(ECF[[#This Row],[nE]],ECF[[#This Row],[e (cm)]],ECF[[#This Row],[a (cm)]],ECF[[#This Row],[h (cm)]],ECF[[#This Row],[As,lado (cm²)]],ECF[[#This Row],[Asp e Asw (cm²/m)]],ECF[[#This Row],[As,sup (cm²)]],ECF[[#This Row],[As,malha (cm²)]],ECF[[#This Row],[As,susp,tot (cm²)]],ECF[[#This Row],[Asp,face (cm²)]])</f>
        <v>N.S.</v>
      </c>
      <c r="AZ147" s="4" t="str">
        <f ca="1">concretoBloco(ECF[[#This Row],[nE]],ECF[[#This Row],[e (cm)]],ECF[[#This Row],[a (cm)]],ECF[[#This Row],[h (cm)]])</f>
        <v>N.S.</v>
      </c>
      <c r="BA147" s="5">
        <f ca="1">SUM(ECF[[#This Row],[Aço Est (kg)]],ECF[[#This Row],[Aço Bloco (kg)]])</f>
        <v>193.34617827253024</v>
      </c>
      <c r="BB147" s="4">
        <f>INDEX(composicoes[],MATCH(95580,composicoes[CÓDIGO],0),MATCH("CUSTO TOTAL",composicoes[#Headers],0))</f>
        <v>10.46</v>
      </c>
      <c r="BC147" s="4">
        <f ca="1">SUM(ECF[[#This Row],[Conc Est (m³)]],ECF[[#This Row],[Conc Bloco (m³)]])</f>
        <v>61.575216010359938</v>
      </c>
      <c r="BD147" s="4">
        <f>INDEX(composicoes[],MATCH(94966,composicoes[CÓDIGO],0),MATCH("CUSTO TOTAL",composicoes[#Headers],0))</f>
        <v>439.52</v>
      </c>
      <c r="BE147" s="38">
        <f ca="1">ECF[[#This Row],[Aço (kg)]]*ECF[[#This Row],[Aço (R$/kg)]]+ECF[[#This Row],[Conc (m³)]]*ECF[[#This Row],[Conc (R$/m³)]]</f>
        <v>29085.939965604062</v>
      </c>
      <c r="BF147" s="4" t="str">
        <f ca="1">IF(COUNTIF(ECF[#This Row],"N.S.")&gt;0,"lim.","OK")</f>
        <v>lim.</v>
      </c>
      <c r="BG147" s="4" t="str">
        <f>IF(ECF[[#This Row],[Prof. (m)]]&lt;4,"lim.","OK")</f>
        <v>lim.</v>
      </c>
      <c r="BH147" s="4" t="str">
        <f>IF(ECF[[#This Row],[Prof. (m)]]&gt;=8*ECF[[#This Row],[Ø (cm)]]/100,"OK","lim.")</f>
        <v>lim.</v>
      </c>
      <c r="BI147" s="4" t="str">
        <f>IF(AND(SPT!$F$3&lt;&gt;"",ECF[[#This Row],[Prof. (m)]]&gt;=SPT!$F$3-2),"lim.","OK")</f>
        <v>OK</v>
      </c>
      <c r="BJ147" s="4" t="str">
        <f ca="1">IF(ECF[[#This Row],[Verif. Biela]]="OK","OK","lim.")</f>
        <v>OK</v>
      </c>
      <c r="BK147" s="4" t="str">
        <f ca="1">IF(COUNTA(ECF[[#This Row],[Nº Est.]:[Biela comp.]])=COUNTIF(ECF[[#This Row],[Nº Est.]:[Biela comp.]],"OK"),"OK","lim.")</f>
        <v>lim.</v>
      </c>
      <c r="BL147" s="4" t="str">
        <f ca="1">IF(ECF[[#This Row],[Controle]]="OK",ECF[[#This Row],[nE]]&amp;" Ø"&amp;ECF[[#This Row],[Ø (cm)]]&amp;"cm Prof. "&amp;ECF[[#This Row],[Prof. (m)]]&amp;" m","")</f>
        <v/>
      </c>
      <c r="BM147" s="4" t="str">
        <f ca="1">IF(ECF[[#This Row],[idDimensionamento]]="","",ECF[[#This Row],[idPilar]]&amp;ECF[[#This Row],[idDimensionamento]])</f>
        <v/>
      </c>
    </row>
    <row r="148" spans="2:65" x14ac:dyDescent="0.25">
      <c r="B148" s="12">
        <f>ROUNDUP((ROW(ECF[[#This Row],[idDiâmetro]])-ROW(ECF[[#Headers],[idDiâmetro]]))/(COUNT(SPT[Prof. (m)])*COUNT(PILARES[Pilar])),0)</f>
        <v>6</v>
      </c>
      <c r="C148" s="12">
        <f>IF(ECF[[#This Row],[idDiâmetro]]&lt;&gt;B147,1,IF(ECF[[#This Row],[Prof. (m)]]=0,C147+1,C147))</f>
        <v>1</v>
      </c>
      <c r="D148" s="1">
        <f>IFERROR(IF(D147=MAX(SPT[Prof. (m)]),0,D147+1),0)</f>
        <v>3</v>
      </c>
      <c r="E148" s="1">
        <f>INDEX(SPT[],MATCH(ECF[[#This Row],[Prof. (m)]],SPT[Prof. (m)],0),2)</f>
        <v>4</v>
      </c>
      <c r="F148" s="1" t="str">
        <f>INDEX(SPT[],MATCH(ECF[[#This Row],[Prof. (m)]],SPT[Prof. (m)],0),3)</f>
        <v>Areia siltosa</v>
      </c>
      <c r="G148" s="1">
        <f>INDEX(estacas[],ECF[[#This Row],[idDiâmetro]],MATCH($B$2,estacas[#Headers],0))</f>
        <v>140</v>
      </c>
      <c r="H148" s="1">
        <f>INDEX(estacas[],MATCH(ECF[[#This Row],[Ø (cm)]],estacas[Ø ECF (cm)],0),MATCH(ECF[[#Headers],[Pe ECF (kN)]],estacas[#Headers],0))</f>
        <v>6200</v>
      </c>
      <c r="I148" s="4">
        <f>INDEX(K_alpha_C[],MATCH(ECF[[#This Row],[Solo]],K_alpha_C[Solo],0),2)</f>
        <v>0.8</v>
      </c>
      <c r="J148" s="5">
        <f>INDEX(K_alpha_C[],MATCH(ECF[[#This Row],[Solo]],K_alpha_C[Solo],0),3)</f>
        <v>2</v>
      </c>
      <c r="K148" s="4">
        <f>INDEX(F1_F2[],MATCH($D$2,F1_F2[Tipo de estaca],0),2)</f>
        <v>3</v>
      </c>
      <c r="L148" s="4">
        <f>INDEX(F1_F2[],MATCH($D$2,F1_F2[Tipo de estaca],0),3)</f>
        <v>6</v>
      </c>
      <c r="M148" s="4">
        <f>PI()*(ECF[[#This Row],[Ø (cm)]]/100)^2/4</f>
        <v>1.5393804002589984</v>
      </c>
      <c r="N148" s="4">
        <f>PI()*ECF[[#This Row],[Ø (cm)]]/100</f>
        <v>4.3982297150257104</v>
      </c>
      <c r="O148" s="4">
        <f>IF(ECF[[#This Row],[Prof. (m)]]=0,0,ECF[[#This Row],[α (%)]]/100*ECF[[#This Row],[K (MPa)]]*1000*ECF[[#This Row],[NSPT]])</f>
        <v>64</v>
      </c>
      <c r="P148" s="4">
        <f>IF(ECF[[#This Row],[Prof. (m)]]=0,0,(ECF[[#This Row],[K (MPa)]]*1000*ECF[[#This Row],[NSPT]]/ECF[[#This Row],[F1]]*ECF[[#This Row],[Ap (m²)]]+ECF[[#This Row],[U (m)]]/ECF[[#This Row],[F2]]*SUMIFS(ECF[(α∙K∙NL∙ΔL)],ECF[Prof. (m)],"&lt;="&amp;ECF[[#This Row],[Prof. (m)]],ECF[idDiâmetro],ECF[[#This Row],[idDiâmetro]],ECF[idPilar],ECF[[#This Row],[idPilar]]))/'DADOS CAP. CARGA'!$D$2)</f>
        <v>867.91733043174008</v>
      </c>
      <c r="Q148" s="12">
        <f>INDEX(C_alpha_beta[],MATCH(ECF[[#This Row],[Solo]],C_alpha_beta[Solo],0),MATCH(ECF[[#Headers],[C (kPa)]],C_alpha_beta[#Headers],0))</f>
        <v>400</v>
      </c>
      <c r="R148" s="4">
        <f>INDEX(C_alpha_beta[],MATCH(ECF[[#This Row],[Solo]],C_alpha_beta[Solo],0),MATCH(ECF[[#Headers],[α ESF]],C_alpha_beta[#Headers],0))</f>
        <v>0.5</v>
      </c>
      <c r="S148" s="4">
        <f>INDEX(C_alpha_beta[],MATCH(ECF[[#This Row],[Solo]],C_alpha_beta[Solo],0),MATCH(ECF[[#Headers],[β ESF]],C_alpha_beta[#Headers],0))</f>
        <v>0.5</v>
      </c>
      <c r="T148" s="4">
        <f>IF(ECF[[#This Row],[Prof. (m)]]=0,0,10*(ECF[[#This Row],[NSPT]]/3+1))</f>
        <v>23.333333333333329</v>
      </c>
      <c r="U148" s="4">
        <f>(ECF[[#This Row],[α ESF]]*ECF[[#This Row],[C (kPa)]]*ECF[[#This Row],[NSPT]]*ECF[[#This Row],[Ap (m²)]])/'DADOS CAP. CARGA'!$Q$2+(ECF[[#This Row],[β ESF]]*SUMIFS(ECF[10∙(NL/3+1)],ECF[Prof. (m)],"&lt;="&amp;ECF[[#This Row],[Prof. (m)]],ECF[idDiâmetro],ECF[[#This Row],[idDiâmetro]],ECF[idPilar],ECF[[#This Row],[idPilar]])*ECF[[#This Row],[U (m)]])/'DADOS CAP. CARGA'!$S$2</f>
        <v>370.18433434799721</v>
      </c>
      <c r="V148" s="4">
        <f>IF(SPT!$M$5=1,MIN(ECF[[#This Row],[Pe ECF (kN)]],ECF[[#This Row],[R_AV (kN)]]),IF(SPT!$M$5=2,MIN(ECF[[#This Row],[Pe ECF (kN)]],ECF[[#This Row],[R_DC (kN)]]),MIN(ECF[[#This Row],[Pe ECF (kN)]],ECF[[#This Row],[R_AV (kN)]],ECF[[#This Row],[R_DC (kN)]])))</f>
        <v>370.18433434799721</v>
      </c>
      <c r="W148" s="4">
        <f>INDEX(PILARES[],ECF[[#This Row],[idPilar]],MATCH("Carga (kN)",PILARES[#Headers],0))*1.4</f>
        <v>3500</v>
      </c>
      <c r="X148" s="12">
        <f>INDEX(PILARES[],ECF[[#This Row],[idPilar]],MATCH(ECF[[#Headers],[ap (cm)]],PILARES[#Headers],0))</f>
        <v>60</v>
      </c>
      <c r="Y148" s="12">
        <f>INDEX(PILARES[],ECF[[#This Row],[idPilar]],MATCH(ECF[[#Headers],[bp (cm)]],PILARES[#Headers],0))</f>
        <v>60</v>
      </c>
      <c r="Z148" s="4">
        <f>SQRT(ECF[[#This Row],[ap (cm)]]*ECF[[#This Row],[bp (cm)]])</f>
        <v>60</v>
      </c>
      <c r="AA148" s="12">
        <f>ECF[[#This Row],[ap (cm)]]*ECF[[#This Row],[bp (cm)]]</f>
        <v>3600</v>
      </c>
      <c r="AB148" s="12">
        <f ca="1">IF(ECF[[#This Row],[Padm∙ε (kN)]]&gt;=ECF[[#This Row],[Padm (kN)]],ROUNDUP(1.05*ECF[[#This Row],[Nsd (kN)]]/ECF[[#This Row],[Padm (kN)]],0),ROUNDUP(1.05*ECF[[#This Row],[Nsd (kN)]]/ECF[[#This Row],[Padm (kN)]],0)+1)</f>
        <v>10</v>
      </c>
      <c r="AC148" s="4" t="str">
        <f ca="1">IFERROR(IF(ECF[[#This Row],[nE]]=1,ECF[[#This Row],[Padm (kN)]],ECF[[#This Row],[Padm (kN)]]*ECF[[#This Row],[nE]]*INDEX(grupoEstacas[],ECF[[#This Row],[nE]],MATCH("ε",grupoEstacas[#Headers],0))),"N.S.")</f>
        <v>N.S.</v>
      </c>
      <c r="AD148" s="4">
        <f ca="1">1.05*ECF[[#This Row],[Nsd (kN)]]/(ECF[[#This Row],[nE]]*PI()*ECF[[#This Row],[Ø (cm)]]^2/4)*10</f>
        <v>0.23873241463784303</v>
      </c>
      <c r="AE148" s="4">
        <f ca="1">IF(ECF[[#This Row],[σ (MPa)]]&lt;INDEX(tipoEstaca[],MATCH($D$2,tipoEstaca[TIPO DE ESTACA],0),MATCH("σmáx (MPa)",tipoEstaca[#Headers],0)),0.4%*PI()*ECF[[#This Row],[Ø (cm)]]^2/4,"N.S.")</f>
        <v>61.575216010359952</v>
      </c>
      <c r="AF148" s="1">
        <f>INDEX(tipoEstaca[],MATCH($D$2,tipoEstaca[TIPO DE ESTACA],0),MATCH(ECF[[#Headers],[Comprimento (m)]],tipoEstaca[#Headers],0))</f>
        <v>4</v>
      </c>
      <c r="AG148" s="5">
        <f ca="1">ECF[[#This Row],[As,mín (cm²)]]/100^2*ECF[[#This Row],[Comprimento (m)]]*7850</f>
        <v>193.34617827253024</v>
      </c>
      <c r="AH148" s="4">
        <f ca="1">ECF[[#This Row],[nE]]*ECF[[#This Row],[Prof. (m)]]*ECF[[#This Row],[Ap (m²)]]</f>
        <v>46.18141200776995</v>
      </c>
      <c r="AI148" s="1">
        <f ca="1">IF(ECF[[#This Row],[nE]]=1,0,MAX(3*ECF[[#This Row],[Ø (cm)]],60))</f>
        <v>420</v>
      </c>
      <c r="AJ148" s="1">
        <f ca="1">IF(ECF[[#This Row],[nE]]=1,ECF[[#This Row],[Ø (cm)]]+2*10,MAX(1.5*ECF[[#This Row],[Ø (cm)]],ECF[[#This Row],[Ø (cm)]]+15))</f>
        <v>210</v>
      </c>
      <c r="AK148" s="1" t="str">
        <f ca="1">alturaUtil(ECF[[#This Row],[nE]],ECF[[#This Row],[Ø (cm)]],ECF[[#This Row],[e (cm)]],ECF[[#This Row],[ap,eq (cm)]])</f>
        <v>N.S.</v>
      </c>
      <c r="AL148" s="1" t="str">
        <f ca="1">IFERROR(ECF[[#This Row],[d (cm)]]+arredondarParaCimaMultiplo5cm(MAX(5,SQRT(PI())/2*ECF[[#This Row],[Ø (cm)]]/5)),"N.S.")</f>
        <v>N.S.</v>
      </c>
      <c r="AM148" s="5" t="str">
        <f ca="1">alpha(ECF[[#This Row],[nE]],ECF[[#This Row],[d (cm)]],ECF[[#This Row],[e (cm)]],ECF[[#This Row],[ap,eq (cm)]])</f>
        <v>N.S.</v>
      </c>
      <c r="AN148" s="35" t="str">
        <f ca="1">IFERROR(ECF[[#This Row],[Nsd (kN)]]/(ECF[[#This Row],[Ap (cm²)]]*SIN(ECF[[#This Row],[α]])^2),"N.S.")</f>
        <v>N.S.</v>
      </c>
      <c r="AO148" s="35" t="str">
        <f ca="1">IFERROR(ECF[[#This Row],[Nsd (kN)]]/(ECF[[#This Row],[nE]]*PI()*ECF[[#This Row],[Ø (cm)]]^2/4*SIN(ECF[[#This Row],[α]])^2),"N.S.")</f>
        <v>N.S.</v>
      </c>
      <c r="AP148" s="4" t="str">
        <f ca="1">IFERROR(INDEX(grupoEstacas[],ECF[[#This Row],[nE]],MATCH("coef. Blévot",grupoEstacas[#Headers],0)),"N.S.")</f>
        <v>N.S.</v>
      </c>
      <c r="AQ148" s="35" t="str">
        <f ca="1">IFERROR(ECF[[#This Row],[coef. Blévot]]*0.9*INDEX(tipoEstaca[],MATCH($D$2,tipoEstaca[TIPO DE ESTACA],0),MATCH("fcd (kN/cm²)",tipoEstaca[#Headers],0)),"N.S.")</f>
        <v>N.S.</v>
      </c>
      <c r="AR148" s="1" t="str">
        <f ca="1">IF(AND(ECF[[#This Row],[cd,b,pil (kN/cm²)]]&lt;=ECF[[#This Row],[cd,b,lim (kN/cm²)]],ECF[[#This Row],[cd,b,est (kN/cm²)]]&lt;=ECF[[#This Row],[cd,b,lim (kN/cm²)]]),"OK","ERRO")</f>
        <v>OK</v>
      </c>
      <c r="AS148" s="4" t="str">
        <f ca="1">As_lado(ECF[[#This Row],[nE]],ECF[[#This Row],[Nsd (kN)]],ECF[[#This Row],[d (cm)]],ECF[[#This Row],[e (cm)]],ECF[[#This Row],[ap,eq (cm)]])</f>
        <v>N.S.</v>
      </c>
      <c r="AT148" s="4" t="str">
        <f ca="1">IF(ECF[[#This Row],[nE]]=1,ECF[[#This Row],[As,lado (cm²)]],IF(ECF[[#This Row],[nE]]=2,0.075*2*ECF[a (cm)],"N.A."))</f>
        <v>N.A.</v>
      </c>
      <c r="AU148" s="4" t="str">
        <f ca="1">IFERROR(IF(ECF[[#This Row],[nE]]=1,"N.A.",0.2*ECF[[#This Row],[As,lado (cm²)]]),"N.S.")</f>
        <v>N.S.</v>
      </c>
      <c r="AV148" s="4" t="str">
        <f ca="1">As_malha(ECF[[#This Row],[nE]],ECF[[#This Row],[As,lado (cm²)]],ECF[[#This Row],[Nsd (kN)]])</f>
        <v>N.S.</v>
      </c>
      <c r="AW148" s="4" t="str">
        <f ca="1">As_susp_tot(ECF[[#This Row],[nE]],ECF[[#This Row],[Nsd (kN)]])</f>
        <v>N.S.</v>
      </c>
      <c r="AX148" s="4" t="str">
        <f ca="1">Asp_face(ECF[[#This Row],[nE]],ECF[[#This Row],[As,lado (cm²)]])</f>
        <v>N.S.</v>
      </c>
      <c r="AY148" s="5" t="str">
        <f ca="1">acoBloco(ECF[[#This Row],[nE]],ECF[[#This Row],[e (cm)]],ECF[[#This Row],[a (cm)]],ECF[[#This Row],[h (cm)]],ECF[[#This Row],[As,lado (cm²)]],ECF[[#This Row],[Asp e Asw (cm²/m)]],ECF[[#This Row],[As,sup (cm²)]],ECF[[#This Row],[As,malha (cm²)]],ECF[[#This Row],[As,susp,tot (cm²)]],ECF[[#This Row],[Asp,face (cm²)]])</f>
        <v>N.S.</v>
      </c>
      <c r="AZ148" s="4" t="str">
        <f ca="1">concretoBloco(ECF[[#This Row],[nE]],ECF[[#This Row],[e (cm)]],ECF[[#This Row],[a (cm)]],ECF[[#This Row],[h (cm)]])</f>
        <v>N.S.</v>
      </c>
      <c r="BA148" s="5">
        <f ca="1">SUM(ECF[[#This Row],[Aço Est (kg)]],ECF[[#This Row],[Aço Bloco (kg)]])</f>
        <v>193.34617827253024</v>
      </c>
      <c r="BB148" s="4">
        <f>INDEX(composicoes[],MATCH(95580,composicoes[CÓDIGO],0),MATCH("CUSTO TOTAL",composicoes[#Headers],0))</f>
        <v>10.46</v>
      </c>
      <c r="BC148" s="4">
        <f ca="1">SUM(ECF[[#This Row],[Conc Est (m³)]],ECF[[#This Row],[Conc Bloco (m³)]])</f>
        <v>46.18141200776995</v>
      </c>
      <c r="BD148" s="4">
        <f>INDEX(composicoes[],MATCH(94966,composicoes[CÓDIGO],0),MATCH("CUSTO TOTAL",composicoes[#Headers],0))</f>
        <v>439.52</v>
      </c>
      <c r="BE148" s="38">
        <f ca="1">ECF[[#This Row],[Aço (kg)]]*ECF[[#This Row],[Aço (R$/kg)]]+ECF[[#This Row],[Conc (m³)]]*ECF[[#This Row],[Conc (R$/m³)]]</f>
        <v>22320.055230385711</v>
      </c>
      <c r="BF148" s="4" t="str">
        <f ca="1">IF(COUNTIF(ECF[#This Row],"N.S.")&gt;0,"lim.","OK")</f>
        <v>lim.</v>
      </c>
      <c r="BG148" s="4" t="str">
        <f>IF(ECF[[#This Row],[Prof. (m)]]&lt;4,"lim.","OK")</f>
        <v>lim.</v>
      </c>
      <c r="BH148" s="4" t="str">
        <f>IF(ECF[[#This Row],[Prof. (m)]]&gt;=8*ECF[[#This Row],[Ø (cm)]]/100,"OK","lim.")</f>
        <v>lim.</v>
      </c>
      <c r="BI148" s="4" t="str">
        <f>IF(AND(SPT!$F$3&lt;&gt;"",ECF[[#This Row],[Prof. (m)]]&gt;=SPT!$F$3-2),"lim.","OK")</f>
        <v>OK</v>
      </c>
      <c r="BJ148" s="4" t="str">
        <f ca="1">IF(ECF[[#This Row],[Verif. Biela]]="OK","OK","lim.")</f>
        <v>OK</v>
      </c>
      <c r="BK148" s="4" t="str">
        <f ca="1">IF(COUNTA(ECF[[#This Row],[Nº Est.]:[Biela comp.]])=COUNTIF(ECF[[#This Row],[Nº Est.]:[Biela comp.]],"OK"),"OK","lim.")</f>
        <v>lim.</v>
      </c>
      <c r="BL148" s="4" t="str">
        <f ca="1">IF(ECF[[#This Row],[Controle]]="OK",ECF[[#This Row],[nE]]&amp;" Ø"&amp;ECF[[#This Row],[Ø (cm)]]&amp;"cm Prof. "&amp;ECF[[#This Row],[Prof. (m)]]&amp;" m","")</f>
        <v/>
      </c>
      <c r="BM148" s="4" t="str">
        <f ca="1">IF(ECF[[#This Row],[idDimensionamento]]="","",ECF[[#This Row],[idPilar]]&amp;ECF[[#This Row],[idDimensionamento]])</f>
        <v/>
      </c>
    </row>
    <row r="149" spans="2:65" x14ac:dyDescent="0.25">
      <c r="B149" s="12">
        <f>ROUNDUP((ROW(ECF[[#This Row],[idDiâmetro]])-ROW(ECF[[#Headers],[idDiâmetro]]))/(COUNT(SPT[Prof. (m)])*COUNT(PILARES[Pilar])),0)</f>
        <v>6</v>
      </c>
      <c r="C149" s="12">
        <f>IF(ECF[[#This Row],[idDiâmetro]]&lt;&gt;B148,1,IF(ECF[[#This Row],[Prof. (m)]]=0,C148+1,C148))</f>
        <v>1</v>
      </c>
      <c r="D149" s="1">
        <f>IFERROR(IF(D148=MAX(SPT[Prof. (m)]),0,D148+1),0)</f>
        <v>4</v>
      </c>
      <c r="E149" s="1">
        <f>INDEX(SPT[],MATCH(ECF[[#This Row],[Prof. (m)]],SPT[Prof. (m)],0),2)</f>
        <v>8</v>
      </c>
      <c r="F149" s="1" t="str">
        <f>INDEX(SPT[],MATCH(ECF[[#This Row],[Prof. (m)]],SPT[Prof. (m)],0),3)</f>
        <v>Areia siltosa</v>
      </c>
      <c r="G149" s="1">
        <f>INDEX(estacas[],ECF[[#This Row],[idDiâmetro]],MATCH($B$2,estacas[#Headers],0))</f>
        <v>140</v>
      </c>
      <c r="H149" s="1">
        <f>INDEX(estacas[],MATCH(ECF[[#This Row],[Ø (cm)]],estacas[Ø ECF (cm)],0),MATCH(ECF[[#Headers],[Pe ECF (kN)]],estacas[#Headers],0))</f>
        <v>6200</v>
      </c>
      <c r="I149" s="4">
        <f>INDEX(K_alpha_C[],MATCH(ECF[[#This Row],[Solo]],K_alpha_C[Solo],0),2)</f>
        <v>0.8</v>
      </c>
      <c r="J149" s="5">
        <f>INDEX(K_alpha_C[],MATCH(ECF[[#This Row],[Solo]],K_alpha_C[Solo],0),3)</f>
        <v>2</v>
      </c>
      <c r="K149" s="4">
        <f>INDEX(F1_F2[],MATCH($D$2,F1_F2[Tipo de estaca],0),2)</f>
        <v>3</v>
      </c>
      <c r="L149" s="4">
        <f>INDEX(F1_F2[],MATCH($D$2,F1_F2[Tipo de estaca],0),3)</f>
        <v>6</v>
      </c>
      <c r="M149" s="4">
        <f>PI()*(ECF[[#This Row],[Ø (cm)]]/100)^2/4</f>
        <v>1.5393804002589984</v>
      </c>
      <c r="N149" s="4">
        <f>PI()*ECF[[#This Row],[Ø (cm)]]/100</f>
        <v>4.3982297150257104</v>
      </c>
      <c r="O149" s="4">
        <f>IF(ECF[[#This Row],[Prof. (m)]]=0,0,ECF[[#This Row],[α (%)]]/100*ECF[[#This Row],[K (MPa)]]*1000*ECF[[#This Row],[NSPT]])</f>
        <v>128</v>
      </c>
      <c r="P149" s="4">
        <f>IF(ECF[[#This Row],[Prof. (m)]]=0,0,(ECF[[#This Row],[K (MPa)]]*1000*ECF[[#This Row],[NSPT]]/ECF[[#This Row],[F1]]*ECF[[#This Row],[Ap (m²)]]+ECF[[#This Row],[U (m)]]/ECF[[#This Row],[F2]]*SUMIFS(ECF[(α∙K∙NL∙ΔL)],ECF[Prof. (m)],"&lt;="&amp;ECF[[#This Row],[Prof. (m)]],ECF[idDiâmetro],ECF[[#This Row],[idDiâmetro]],ECF[idPilar],ECF[[#This Row],[idPilar]]))/'DADOS CAP. CARGA'!$D$2)</f>
        <v>1735.8346608634802</v>
      </c>
      <c r="Q149" s="12">
        <f>INDEX(C_alpha_beta[],MATCH(ECF[[#This Row],[Solo]],C_alpha_beta[Solo],0),MATCH(ECF[[#Headers],[C (kPa)]],C_alpha_beta[#Headers],0))</f>
        <v>400</v>
      </c>
      <c r="R149" s="4">
        <f>INDEX(C_alpha_beta[],MATCH(ECF[[#This Row],[Solo]],C_alpha_beta[Solo],0),MATCH(ECF[[#Headers],[α ESF]],C_alpha_beta[#Headers],0))</f>
        <v>0.5</v>
      </c>
      <c r="S149" s="4">
        <f>INDEX(C_alpha_beta[],MATCH(ECF[[#This Row],[Solo]],C_alpha_beta[Solo],0),MATCH(ECF[[#Headers],[β ESF]],C_alpha_beta[#Headers],0))</f>
        <v>0.5</v>
      </c>
      <c r="T149" s="4">
        <f>IF(ECF[[#This Row],[Prof. (m)]]=0,0,10*(ECF[[#This Row],[NSPT]]/3+1))</f>
        <v>36.666666666666664</v>
      </c>
      <c r="U149" s="4">
        <f>(ECF[[#This Row],[α ESF]]*ECF[[#This Row],[C (kPa)]]*ECF[[#This Row],[NSPT]]*ECF[[#This Row],[Ap (m²)]])/'DADOS CAP. CARGA'!$Q$2+(ECF[[#This Row],[β ESF]]*SUMIFS(ECF[10∙(NL/3+1)],ECF[Prof. (m)],"&lt;="&amp;ECF[[#This Row],[Prof. (m)]],ECF[idDiâmetro],ECF[[#This Row],[idDiâmetro]],ECF[idPilar],ECF[[#This Row],[idPilar]])*ECF[[#This Row],[U (m)]])/'DADOS CAP. CARGA'!$S$2</f>
        <v>718.37752012086582</v>
      </c>
      <c r="V149" s="4">
        <f>IF(SPT!$M$5=1,MIN(ECF[[#This Row],[Pe ECF (kN)]],ECF[[#This Row],[R_AV (kN)]]),IF(SPT!$M$5=2,MIN(ECF[[#This Row],[Pe ECF (kN)]],ECF[[#This Row],[R_DC (kN)]]),MIN(ECF[[#This Row],[Pe ECF (kN)]],ECF[[#This Row],[R_AV (kN)]],ECF[[#This Row],[R_DC (kN)]])))</f>
        <v>718.37752012086582</v>
      </c>
      <c r="W149" s="4">
        <f>INDEX(PILARES[],ECF[[#This Row],[idPilar]],MATCH("Carga (kN)",PILARES[#Headers],0))*1.4</f>
        <v>3500</v>
      </c>
      <c r="X149" s="12">
        <f>INDEX(PILARES[],ECF[[#This Row],[idPilar]],MATCH(ECF[[#Headers],[ap (cm)]],PILARES[#Headers],0))</f>
        <v>60</v>
      </c>
      <c r="Y149" s="12">
        <f>INDEX(PILARES[],ECF[[#This Row],[idPilar]],MATCH(ECF[[#Headers],[bp (cm)]],PILARES[#Headers],0))</f>
        <v>60</v>
      </c>
      <c r="Z149" s="4">
        <f>SQRT(ECF[[#This Row],[ap (cm)]]*ECF[[#This Row],[bp (cm)]])</f>
        <v>60</v>
      </c>
      <c r="AA149" s="12">
        <f>ECF[[#This Row],[ap (cm)]]*ECF[[#This Row],[bp (cm)]]</f>
        <v>3600</v>
      </c>
      <c r="AB149" s="12">
        <f ca="1">IF(ECF[[#This Row],[Padm∙ε (kN)]]&gt;=ECF[[#This Row],[Padm (kN)]],ROUNDUP(1.05*ECF[[#This Row],[Nsd (kN)]]/ECF[[#This Row],[Padm (kN)]],0),ROUNDUP(1.05*ECF[[#This Row],[Nsd (kN)]]/ECF[[#This Row],[Padm (kN)]],0)+1)</f>
        <v>6</v>
      </c>
      <c r="AC149" s="4" t="str">
        <f ca="1">IFERROR(IF(ECF[[#This Row],[nE]]=1,ECF[[#This Row],[Padm (kN)]],ECF[[#This Row],[Padm (kN)]]*ECF[[#This Row],[nE]]*INDEX(grupoEstacas[],ECF[[#This Row],[nE]],MATCH("ε",grupoEstacas[#Headers],0))),"N.S.")</f>
        <v>N.S.</v>
      </c>
      <c r="AD149" s="4">
        <f ca="1">1.05*ECF[[#This Row],[Nsd (kN)]]/(ECF[[#This Row],[nE]]*PI()*ECF[[#This Row],[Ø (cm)]]^2/4)*10</f>
        <v>0.39788735772973838</v>
      </c>
      <c r="AE149" s="4">
        <f ca="1">IF(ECF[[#This Row],[σ (MPa)]]&lt;INDEX(tipoEstaca[],MATCH($D$2,tipoEstaca[TIPO DE ESTACA],0),MATCH("σmáx (MPa)",tipoEstaca[#Headers],0)),0.4%*PI()*ECF[[#This Row],[Ø (cm)]]^2/4,"N.S.")</f>
        <v>61.575216010359952</v>
      </c>
      <c r="AF149" s="1">
        <f>INDEX(tipoEstaca[],MATCH($D$2,tipoEstaca[TIPO DE ESTACA],0),MATCH(ECF[[#Headers],[Comprimento (m)]],tipoEstaca[#Headers],0))</f>
        <v>4</v>
      </c>
      <c r="AG149" s="5">
        <f ca="1">ECF[[#This Row],[As,mín (cm²)]]/100^2*ECF[[#This Row],[Comprimento (m)]]*7850</f>
        <v>193.34617827253024</v>
      </c>
      <c r="AH149" s="4">
        <f ca="1">ECF[[#This Row],[nE]]*ECF[[#This Row],[Prof. (m)]]*ECF[[#This Row],[Ap (m²)]]</f>
        <v>36.945129606215957</v>
      </c>
      <c r="AI149" s="1">
        <f ca="1">IF(ECF[[#This Row],[nE]]=1,0,MAX(3*ECF[[#This Row],[Ø (cm)]],60))</f>
        <v>420</v>
      </c>
      <c r="AJ149" s="1">
        <f ca="1">IF(ECF[[#This Row],[nE]]=1,ECF[[#This Row],[Ø (cm)]]+2*10,MAX(1.5*ECF[[#This Row],[Ø (cm)]],ECF[[#This Row],[Ø (cm)]]+15))</f>
        <v>210</v>
      </c>
      <c r="AK149" s="1" t="str">
        <f ca="1">alturaUtil(ECF[[#This Row],[nE]],ECF[[#This Row],[Ø (cm)]],ECF[[#This Row],[e (cm)]],ECF[[#This Row],[ap,eq (cm)]])</f>
        <v>N.S.</v>
      </c>
      <c r="AL149" s="1" t="str">
        <f ca="1">IFERROR(ECF[[#This Row],[d (cm)]]+arredondarParaCimaMultiplo5cm(MAX(5,SQRT(PI())/2*ECF[[#This Row],[Ø (cm)]]/5)),"N.S.")</f>
        <v>N.S.</v>
      </c>
      <c r="AM149" s="5" t="str">
        <f ca="1">alpha(ECF[[#This Row],[nE]],ECF[[#This Row],[d (cm)]],ECF[[#This Row],[e (cm)]],ECF[[#This Row],[ap,eq (cm)]])</f>
        <v>N.S.</v>
      </c>
      <c r="AN149" s="35" t="str">
        <f ca="1">IFERROR(ECF[[#This Row],[Nsd (kN)]]/(ECF[[#This Row],[Ap (cm²)]]*SIN(ECF[[#This Row],[α]])^2),"N.S.")</f>
        <v>N.S.</v>
      </c>
      <c r="AO149" s="35" t="str">
        <f ca="1">IFERROR(ECF[[#This Row],[Nsd (kN)]]/(ECF[[#This Row],[nE]]*PI()*ECF[[#This Row],[Ø (cm)]]^2/4*SIN(ECF[[#This Row],[α]])^2),"N.S.")</f>
        <v>N.S.</v>
      </c>
      <c r="AP149" s="4" t="str">
        <f ca="1">IFERROR(INDEX(grupoEstacas[],ECF[[#This Row],[nE]],MATCH("coef. Blévot",grupoEstacas[#Headers],0)),"N.S.")</f>
        <v>N.S.</v>
      </c>
      <c r="AQ149" s="35" t="str">
        <f ca="1">IFERROR(ECF[[#This Row],[coef. Blévot]]*0.9*INDEX(tipoEstaca[],MATCH($D$2,tipoEstaca[TIPO DE ESTACA],0),MATCH("fcd (kN/cm²)",tipoEstaca[#Headers],0)),"N.S.")</f>
        <v>N.S.</v>
      </c>
      <c r="AR149" s="1" t="str">
        <f ca="1">IF(AND(ECF[[#This Row],[cd,b,pil (kN/cm²)]]&lt;=ECF[[#This Row],[cd,b,lim (kN/cm²)]],ECF[[#This Row],[cd,b,est (kN/cm²)]]&lt;=ECF[[#This Row],[cd,b,lim (kN/cm²)]]),"OK","ERRO")</f>
        <v>OK</v>
      </c>
      <c r="AS149" s="4" t="str">
        <f ca="1">As_lado(ECF[[#This Row],[nE]],ECF[[#This Row],[Nsd (kN)]],ECF[[#This Row],[d (cm)]],ECF[[#This Row],[e (cm)]],ECF[[#This Row],[ap,eq (cm)]])</f>
        <v>N.S.</v>
      </c>
      <c r="AT149" s="4" t="str">
        <f ca="1">IF(ECF[[#This Row],[nE]]=1,ECF[[#This Row],[As,lado (cm²)]],IF(ECF[[#This Row],[nE]]=2,0.075*2*ECF[a (cm)],"N.A."))</f>
        <v>N.A.</v>
      </c>
      <c r="AU149" s="4" t="str">
        <f ca="1">IFERROR(IF(ECF[[#This Row],[nE]]=1,"N.A.",0.2*ECF[[#This Row],[As,lado (cm²)]]),"N.S.")</f>
        <v>N.S.</v>
      </c>
      <c r="AV149" s="4" t="str">
        <f ca="1">As_malha(ECF[[#This Row],[nE]],ECF[[#This Row],[As,lado (cm²)]],ECF[[#This Row],[Nsd (kN)]])</f>
        <v>N.S.</v>
      </c>
      <c r="AW149" s="4" t="str">
        <f ca="1">As_susp_tot(ECF[[#This Row],[nE]],ECF[[#This Row],[Nsd (kN)]])</f>
        <v>N.S.</v>
      </c>
      <c r="AX149" s="4" t="str">
        <f ca="1">Asp_face(ECF[[#This Row],[nE]],ECF[[#This Row],[As,lado (cm²)]])</f>
        <v>N.S.</v>
      </c>
      <c r="AY149" s="5" t="str">
        <f ca="1">acoBloco(ECF[[#This Row],[nE]],ECF[[#This Row],[e (cm)]],ECF[[#This Row],[a (cm)]],ECF[[#This Row],[h (cm)]],ECF[[#This Row],[As,lado (cm²)]],ECF[[#This Row],[Asp e Asw (cm²/m)]],ECF[[#This Row],[As,sup (cm²)]],ECF[[#This Row],[As,malha (cm²)]],ECF[[#This Row],[As,susp,tot (cm²)]],ECF[[#This Row],[Asp,face (cm²)]])</f>
        <v>N.S.</v>
      </c>
      <c r="AZ149" s="4" t="str">
        <f ca="1">concretoBloco(ECF[[#This Row],[nE]],ECF[[#This Row],[e (cm)]],ECF[[#This Row],[a (cm)]],ECF[[#This Row],[h (cm)]])</f>
        <v>N.S.</v>
      </c>
      <c r="BA149" s="5">
        <f ca="1">SUM(ECF[[#This Row],[Aço Est (kg)]],ECF[[#This Row],[Aço Bloco (kg)]])</f>
        <v>193.34617827253024</v>
      </c>
      <c r="BB149" s="4">
        <f>INDEX(composicoes[],MATCH(95580,composicoes[CÓDIGO],0),MATCH("CUSTO TOTAL",composicoes[#Headers],0))</f>
        <v>10.46</v>
      </c>
      <c r="BC149" s="4">
        <f ca="1">SUM(ECF[[#This Row],[Conc Est (m³)]],ECF[[#This Row],[Conc Bloco (m³)]])</f>
        <v>36.945129606215957</v>
      </c>
      <c r="BD149" s="4">
        <f>INDEX(composicoes[],MATCH(94966,composicoes[CÓDIGO],0),MATCH("CUSTO TOTAL",composicoes[#Headers],0))</f>
        <v>439.52</v>
      </c>
      <c r="BE149" s="38">
        <f ca="1">ECF[[#This Row],[Aço (kg)]]*ECF[[#This Row],[Aço (R$/kg)]]+ECF[[#This Row],[Conc (m³)]]*ECF[[#This Row],[Conc (R$/m³)]]</f>
        <v>18260.524389254704</v>
      </c>
      <c r="BF149" s="4" t="str">
        <f ca="1">IF(COUNTIF(ECF[#This Row],"N.S.")&gt;0,"lim.","OK")</f>
        <v>lim.</v>
      </c>
      <c r="BG149" s="4" t="str">
        <f>IF(ECF[[#This Row],[Prof. (m)]]&lt;4,"lim.","OK")</f>
        <v>OK</v>
      </c>
      <c r="BH149" s="4" t="str">
        <f>IF(ECF[[#This Row],[Prof. (m)]]&gt;=8*ECF[[#This Row],[Ø (cm)]]/100,"OK","lim.")</f>
        <v>lim.</v>
      </c>
      <c r="BI149" s="4" t="str">
        <f>IF(AND(SPT!$F$3&lt;&gt;"",ECF[[#This Row],[Prof. (m)]]&gt;=SPT!$F$3-2),"lim.","OK")</f>
        <v>OK</v>
      </c>
      <c r="BJ149" s="4" t="str">
        <f ca="1">IF(ECF[[#This Row],[Verif. Biela]]="OK","OK","lim.")</f>
        <v>OK</v>
      </c>
      <c r="BK149" s="4" t="str">
        <f ca="1">IF(COUNTA(ECF[[#This Row],[Nº Est.]:[Biela comp.]])=COUNTIF(ECF[[#This Row],[Nº Est.]:[Biela comp.]],"OK"),"OK","lim.")</f>
        <v>lim.</v>
      </c>
      <c r="BL149" s="4" t="str">
        <f ca="1">IF(ECF[[#This Row],[Controle]]="OK",ECF[[#This Row],[nE]]&amp;" Ø"&amp;ECF[[#This Row],[Ø (cm)]]&amp;"cm Prof. "&amp;ECF[[#This Row],[Prof. (m)]]&amp;" m","")</f>
        <v/>
      </c>
      <c r="BM149" s="4" t="str">
        <f ca="1">IF(ECF[[#This Row],[idDimensionamento]]="","",ECF[[#This Row],[idPilar]]&amp;ECF[[#This Row],[idDimensionamento]])</f>
        <v/>
      </c>
    </row>
    <row r="150" spans="2:65" x14ac:dyDescent="0.25">
      <c r="B150" s="12">
        <f>ROUNDUP((ROW(ECF[[#This Row],[idDiâmetro]])-ROW(ECF[[#Headers],[idDiâmetro]]))/(COUNT(SPT[Prof. (m)])*COUNT(PILARES[Pilar])),0)</f>
        <v>6</v>
      </c>
      <c r="C150" s="12">
        <f>IF(ECF[[#This Row],[idDiâmetro]]&lt;&gt;B149,1,IF(ECF[[#This Row],[Prof. (m)]]=0,C149+1,C149))</f>
        <v>1</v>
      </c>
      <c r="D150" s="1">
        <f>IFERROR(IF(D149=MAX(SPT[Prof. (m)]),0,D149+1),0)</f>
        <v>5</v>
      </c>
      <c r="E150" s="1">
        <f>INDEX(SPT[],MATCH(ECF[[#This Row],[Prof. (m)]],SPT[Prof. (m)],0),2)</f>
        <v>17</v>
      </c>
      <c r="F150" s="1" t="str">
        <f>INDEX(SPT[],MATCH(ECF[[#This Row],[Prof. (m)]],SPT[Prof. (m)],0),3)</f>
        <v>Areia siltosa</v>
      </c>
      <c r="G150" s="1">
        <f>INDEX(estacas[],ECF[[#This Row],[idDiâmetro]],MATCH($B$2,estacas[#Headers],0))</f>
        <v>140</v>
      </c>
      <c r="H150" s="1">
        <f>INDEX(estacas[],MATCH(ECF[[#This Row],[Ø (cm)]],estacas[Ø ECF (cm)],0),MATCH(ECF[[#Headers],[Pe ECF (kN)]],estacas[#Headers],0))</f>
        <v>6200</v>
      </c>
      <c r="I150" s="4">
        <f>INDEX(K_alpha_C[],MATCH(ECF[[#This Row],[Solo]],K_alpha_C[Solo],0),2)</f>
        <v>0.8</v>
      </c>
      <c r="J150" s="5">
        <f>INDEX(K_alpha_C[],MATCH(ECF[[#This Row],[Solo]],K_alpha_C[Solo],0),3)</f>
        <v>2</v>
      </c>
      <c r="K150" s="4">
        <f>INDEX(F1_F2[],MATCH($D$2,F1_F2[Tipo de estaca],0),2)</f>
        <v>3</v>
      </c>
      <c r="L150" s="4">
        <f>INDEX(F1_F2[],MATCH($D$2,F1_F2[Tipo de estaca],0),3)</f>
        <v>6</v>
      </c>
      <c r="M150" s="4">
        <f>PI()*(ECF[[#This Row],[Ø (cm)]]/100)^2/4</f>
        <v>1.5393804002589984</v>
      </c>
      <c r="N150" s="4">
        <f>PI()*ECF[[#This Row],[Ø (cm)]]/100</f>
        <v>4.3982297150257104</v>
      </c>
      <c r="O150" s="4">
        <f>IF(ECF[[#This Row],[Prof. (m)]]=0,0,ECF[[#This Row],[α (%)]]/100*ECF[[#This Row],[K (MPa)]]*1000*ECF[[#This Row],[NSPT]])</f>
        <v>272</v>
      </c>
      <c r="P150" s="4">
        <f>IF(ECF[[#This Row],[Prof. (m)]]=0,0,(ECF[[#This Row],[K (MPa)]]*1000*ECF[[#This Row],[NSPT]]/ECF[[#This Row],[F1]]*ECF[[#This Row],[Ap (m²)]]+ECF[[#This Row],[U (m)]]/ECF[[#This Row],[F2]]*SUMIFS(ECF[(α∙K∙NL∙ΔL)],ECF[Prof. (m)],"&lt;="&amp;ECF[[#This Row],[Prof. (m)]],ECF[idDiâmetro],ECF[[#This Row],[idDiâmetro]],ECF[idPilar],ECF[[#This Row],[idPilar]]))/'DADOS CAP. CARGA'!$D$2)</f>
        <v>3682.7843480481943</v>
      </c>
      <c r="Q150" s="12">
        <f>INDEX(C_alpha_beta[],MATCH(ECF[[#This Row],[Solo]],C_alpha_beta[Solo],0),MATCH(ECF[[#Headers],[C (kPa)]],C_alpha_beta[#Headers],0))</f>
        <v>400</v>
      </c>
      <c r="R150" s="4">
        <f>INDEX(C_alpha_beta[],MATCH(ECF[[#This Row],[Solo]],C_alpha_beta[Solo],0),MATCH(ECF[[#Headers],[α ESF]],C_alpha_beta[#Headers],0))</f>
        <v>0.5</v>
      </c>
      <c r="S150" s="4">
        <f>INDEX(C_alpha_beta[],MATCH(ECF[[#This Row],[Solo]],C_alpha_beta[Solo],0),MATCH(ECF[[#Headers],[β ESF]],C_alpha_beta[#Headers],0))</f>
        <v>0.5</v>
      </c>
      <c r="T150" s="4">
        <f>IF(ECF[[#This Row],[Prof. (m)]]=0,0,10*(ECF[[#This Row],[NSPT]]/3+1))</f>
        <v>66.666666666666671</v>
      </c>
      <c r="U150" s="4">
        <f>(ECF[[#This Row],[α ESF]]*ECF[[#This Row],[C (kPa)]]*ECF[[#This Row],[NSPT]]*ECF[[#This Row],[Ap (m²)]])/'DADOS CAP. CARGA'!$Q$2+(ECF[[#This Row],[β ESF]]*SUMIFS(ECF[10∙(NL/3+1)],ECF[Prof. (m)],"&lt;="&amp;ECF[[#This Row],[Prof. (m)]],ECF[idDiâmetro],ECF[[#This Row],[idDiâmetro]],ECF[idPilar],ECF[[#This Row],[idPilar]])*ECF[[#This Row],[U (m)]])/'DADOS CAP. CARGA'!$S$2</f>
        <v>1484.4025288211772</v>
      </c>
      <c r="V150" s="4">
        <f>IF(SPT!$M$5=1,MIN(ECF[[#This Row],[Pe ECF (kN)]],ECF[[#This Row],[R_AV (kN)]]),IF(SPT!$M$5=2,MIN(ECF[[#This Row],[Pe ECF (kN)]],ECF[[#This Row],[R_DC (kN)]]),MIN(ECF[[#This Row],[Pe ECF (kN)]],ECF[[#This Row],[R_AV (kN)]],ECF[[#This Row],[R_DC (kN)]])))</f>
        <v>1484.4025288211772</v>
      </c>
      <c r="W150" s="4">
        <f>INDEX(PILARES[],ECF[[#This Row],[idPilar]],MATCH("Carga (kN)",PILARES[#Headers],0))*1.4</f>
        <v>3500</v>
      </c>
      <c r="X150" s="12">
        <f>INDEX(PILARES[],ECF[[#This Row],[idPilar]],MATCH(ECF[[#Headers],[ap (cm)]],PILARES[#Headers],0))</f>
        <v>60</v>
      </c>
      <c r="Y150" s="12">
        <f>INDEX(PILARES[],ECF[[#This Row],[idPilar]],MATCH(ECF[[#Headers],[bp (cm)]],PILARES[#Headers],0))</f>
        <v>60</v>
      </c>
      <c r="Z150" s="4">
        <f>SQRT(ECF[[#This Row],[ap (cm)]]*ECF[[#This Row],[bp (cm)]])</f>
        <v>60</v>
      </c>
      <c r="AA150" s="12">
        <f>ECF[[#This Row],[ap (cm)]]*ECF[[#This Row],[bp (cm)]]</f>
        <v>3600</v>
      </c>
      <c r="AB150" s="12">
        <f ca="1">IF(ECF[[#This Row],[Padm∙ε (kN)]]&gt;=ECF[[#This Row],[Padm (kN)]],ROUNDUP(1.05*ECF[[#This Row],[Nsd (kN)]]/ECF[[#This Row],[Padm (kN)]],0),ROUNDUP(1.05*ECF[[#This Row],[Nsd (kN)]]/ECF[[#This Row],[Padm (kN)]],0)+1)</f>
        <v>3</v>
      </c>
      <c r="AC150" s="4">
        <f ca="1">IFERROR(IF(ECF[[#This Row],[nE]]=1,ECF[[#This Row],[Padm (kN)]],ECF[[#This Row],[Padm (kN)]]*ECF[[#This Row],[nE]]*INDEX(grupoEstacas[],ECF[[#This Row],[nE]],MATCH("ε",grupoEstacas[#Headers],0))),"N.S.")</f>
        <v>3896.55663815559</v>
      </c>
      <c r="AD150" s="4">
        <f ca="1">1.05*ECF[[#This Row],[Nsd (kN)]]/(ECF[[#This Row],[nE]]*PI()*ECF[[#This Row],[Ø (cm)]]^2/4)*10</f>
        <v>0.79577471545947676</v>
      </c>
      <c r="AE150" s="4">
        <f ca="1">IF(ECF[[#This Row],[σ (MPa)]]&lt;INDEX(tipoEstaca[],MATCH($D$2,tipoEstaca[TIPO DE ESTACA],0),MATCH("σmáx (MPa)",tipoEstaca[#Headers],0)),0.4%*PI()*ECF[[#This Row],[Ø (cm)]]^2/4,"N.S.")</f>
        <v>61.575216010359952</v>
      </c>
      <c r="AF150" s="1">
        <f>INDEX(tipoEstaca[],MATCH($D$2,tipoEstaca[TIPO DE ESTACA],0),MATCH(ECF[[#Headers],[Comprimento (m)]],tipoEstaca[#Headers],0))</f>
        <v>4</v>
      </c>
      <c r="AG150" s="5">
        <f ca="1">ECF[[#This Row],[As,mín (cm²)]]/100^2*ECF[[#This Row],[Comprimento (m)]]*7850</f>
        <v>193.34617827253024</v>
      </c>
      <c r="AH150" s="4">
        <f ca="1">ECF[[#This Row],[nE]]*ECF[[#This Row],[Prof. (m)]]*ECF[[#This Row],[Ap (m²)]]</f>
        <v>23.090706003884975</v>
      </c>
      <c r="AI150" s="1">
        <f ca="1">IF(ECF[[#This Row],[nE]]=1,0,MAX(3*ECF[[#This Row],[Ø (cm)]],60))</f>
        <v>420</v>
      </c>
      <c r="AJ150" s="1">
        <f ca="1">IF(ECF[[#This Row],[nE]]=1,ECF[[#This Row],[Ø (cm)]]+2*10,MAX(1.5*ECF[[#This Row],[Ø (cm)]],ECF[[#This Row],[Ø (cm)]]+15))</f>
        <v>210</v>
      </c>
      <c r="AK150" s="1">
        <f ca="1">alturaUtil(ECF[[#This Row],[nE]],ECF[[#This Row],[Ø (cm)]],ECF[[#This Row],[e (cm)]],ECF[[#This Row],[ap,eq (cm)]])</f>
        <v>195</v>
      </c>
      <c r="AL150" s="1">
        <f ca="1">IFERROR(ECF[[#This Row],[d (cm)]]+arredondarParaCimaMultiplo5cm(MAX(5,SQRT(PI())/2*ECF[[#This Row],[Ø (cm)]]/5)),"N.S.")</f>
        <v>220</v>
      </c>
      <c r="AM150" s="5">
        <f ca="1">alpha(ECF[[#This Row],[nE]],ECF[[#This Row],[d (cm)]],ECF[[#This Row],[e (cm)]],ECF[[#This Row],[ap,eq (cm)]])</f>
        <v>45.44414443311193</v>
      </c>
      <c r="AN150" s="35">
        <f ca="1">IFERROR(ECF[[#This Row],[Nsd (kN)]]/(ECF[[#This Row],[Ap (cm²)]]*SIN(ECF[[#This Row],[α]])^2),"N.S.")</f>
        <v>0.98385433561889657</v>
      </c>
      <c r="AO150" s="35">
        <f ca="1">IFERROR(ECF[[#This Row],[Nsd (kN)]]/(ECF[[#This Row],[nE]]*PI()*ECF[[#This Row],[Ø (cm)]]^2/4*SIN(ECF[[#This Row],[α]])^2),"N.S.")</f>
        <v>7.6694831410354283E-2</v>
      </c>
      <c r="AP150" s="4">
        <f ca="1">IFERROR(INDEX(grupoEstacas[],ECF[[#This Row],[nE]],MATCH("coef. Blévot",grupoEstacas[#Headers],0)),"N.S.")</f>
        <v>1.75</v>
      </c>
      <c r="AQ150" s="35">
        <f ca="1">IFERROR(ECF[[#This Row],[coef. Blévot]]*0.9*INDEX(tipoEstaca[],MATCH($D$2,tipoEstaca[TIPO DE ESTACA],0),MATCH("fcd (kN/cm²)",tipoEstaca[#Headers],0)),"N.S.")</f>
        <v>1.75</v>
      </c>
      <c r="AR150" s="1" t="str">
        <f ca="1">IF(AND(ECF[[#This Row],[cd,b,pil (kN/cm²)]]&lt;=ECF[[#This Row],[cd,b,lim (kN/cm²)]],ECF[[#This Row],[cd,b,est (kN/cm²)]]&lt;=ECF[[#This Row],[cd,b,lim (kN/cm²)]]),"OK","ERRO")</f>
        <v>OK</v>
      </c>
      <c r="AS150" s="4">
        <f ca="1">As_lado(ECF[[#This Row],[nE]],ECF[[#This Row],[Nsd (kN)]],ECF[[#This Row],[d (cm)]],ECF[[#This Row],[e (cm)]],ECF[[#This Row],[ap,eq (cm)]])</f>
        <v>17.834905059733725</v>
      </c>
      <c r="AT150" s="4" t="str">
        <f ca="1">IF(ECF[[#This Row],[nE]]=1,ECF[[#This Row],[As,lado (cm²)]],IF(ECF[[#This Row],[nE]]=2,0.075*2*ECF[a (cm)],"N.A."))</f>
        <v>N.A.</v>
      </c>
      <c r="AU150" s="4">
        <f ca="1">IFERROR(IF(ECF[[#This Row],[nE]]=1,"N.A.",0.2*ECF[[#This Row],[As,lado (cm²)]]),"N.S.")</f>
        <v>3.5669810119467451</v>
      </c>
      <c r="AV150" s="4">
        <f ca="1">As_malha(ECF[[#This Row],[nE]],ECF[[#This Row],[As,lado (cm²)]],ECF[[#This Row],[Nsd (kN)]])</f>
        <v>5.9629629629629619</v>
      </c>
      <c r="AW150" s="4">
        <f ca="1">As_susp_tot(ECF[[#This Row],[nE]],ECF[[#This Row],[Nsd (kN)]])</f>
        <v>17.888888888888886</v>
      </c>
      <c r="AX150" s="4">
        <f ca="1">Asp_face(ECF[[#This Row],[nE]],ECF[[#This Row],[As,lado (cm²)]])</f>
        <v>6.6880893974001463</v>
      </c>
      <c r="AY150" s="5">
        <f ca="1">acoBloco(ECF[[#This Row],[nE]],ECF[[#This Row],[e (cm)]],ECF[[#This Row],[a (cm)]],ECF[[#This Row],[h (cm)]],ECF[[#This Row],[As,lado (cm²)]],ECF[[#This Row],[Asp e Asw (cm²/m)]],ECF[[#This Row],[As,sup (cm²)]],ECF[[#This Row],[As,malha (cm²)]],ECF[[#This Row],[As,susp,tot (cm²)]],ECF[[#This Row],[Asp,face (cm²)]])</f>
        <v>740.3028051232244</v>
      </c>
      <c r="AZ150" s="4">
        <f ca="1">concretoBloco(ECF[[#This Row],[nE]],ECF[[#This Row],[e (cm)]],ECF[[#This Row],[a (cm)]],ECF[[#This Row],[h (cm)]])</f>
        <v>108.62507080509974</v>
      </c>
      <c r="BA150" s="5">
        <f ca="1">SUM(ECF[[#This Row],[Aço Est (kg)]],ECF[[#This Row],[Aço Bloco (kg)]])</f>
        <v>933.64898339575461</v>
      </c>
      <c r="BB150" s="4">
        <f>INDEX(composicoes[],MATCH(95580,composicoes[CÓDIGO],0),MATCH("CUSTO TOTAL",composicoes[#Headers],0))</f>
        <v>10.46</v>
      </c>
      <c r="BC150" s="4">
        <f ca="1">SUM(ECF[[#This Row],[Conc Est (m³)]],ECF[[#This Row],[Conc Bloco (m³)]])</f>
        <v>131.71577680898471</v>
      </c>
      <c r="BD150" s="4">
        <f>INDEX(composicoes[],MATCH(94966,composicoes[CÓDIGO],0),MATCH("CUSTO TOTAL",composicoes[#Headers],0))</f>
        <v>439.52</v>
      </c>
      <c r="BE150" s="38">
        <f ca="1">ECF[[#This Row],[Aço (kg)]]*ECF[[#This Row],[Aço (R$/kg)]]+ECF[[#This Row],[Conc (m³)]]*ECF[[#This Row],[Conc (R$/m³)]]</f>
        <v>67657.686589404548</v>
      </c>
      <c r="BF150" s="4" t="str">
        <f ca="1">IF(COUNTIF(ECF[#This Row],"N.S.")&gt;0,"lim.","OK")</f>
        <v>OK</v>
      </c>
      <c r="BG150" s="4" t="str">
        <f>IF(ECF[[#This Row],[Prof. (m)]]&lt;4,"lim.","OK")</f>
        <v>OK</v>
      </c>
      <c r="BH150" s="4" t="str">
        <f>IF(ECF[[#This Row],[Prof. (m)]]&gt;=8*ECF[[#This Row],[Ø (cm)]]/100,"OK","lim.")</f>
        <v>lim.</v>
      </c>
      <c r="BI150" s="4" t="str">
        <f>IF(AND(SPT!$F$3&lt;&gt;"",ECF[[#This Row],[Prof. (m)]]&gt;=SPT!$F$3-2),"lim.","OK")</f>
        <v>OK</v>
      </c>
      <c r="BJ150" s="4" t="str">
        <f ca="1">IF(ECF[[#This Row],[Verif. Biela]]="OK","OK","lim.")</f>
        <v>OK</v>
      </c>
      <c r="BK150" s="4" t="str">
        <f ca="1">IF(COUNTA(ECF[[#This Row],[Nº Est.]:[Biela comp.]])=COUNTIF(ECF[[#This Row],[Nº Est.]:[Biela comp.]],"OK"),"OK","lim.")</f>
        <v>lim.</v>
      </c>
      <c r="BL150" s="4" t="str">
        <f ca="1">IF(ECF[[#This Row],[Controle]]="OK",ECF[[#This Row],[nE]]&amp;" Ø"&amp;ECF[[#This Row],[Ø (cm)]]&amp;"cm Prof. "&amp;ECF[[#This Row],[Prof. (m)]]&amp;" m","")</f>
        <v/>
      </c>
      <c r="BM150" s="4" t="str">
        <f ca="1">IF(ECF[[#This Row],[idDimensionamento]]="","",ECF[[#This Row],[idPilar]]&amp;ECF[[#This Row],[idDimensionamento]])</f>
        <v/>
      </c>
    </row>
    <row r="151" spans="2:65" x14ac:dyDescent="0.25">
      <c r="B151" s="12">
        <f>ROUNDUP((ROW(ECF[[#This Row],[idDiâmetro]])-ROW(ECF[[#Headers],[idDiâmetro]]))/(COUNT(SPT[Prof. (m)])*COUNT(PILARES[Pilar])),0)</f>
        <v>6</v>
      </c>
      <c r="C151" s="12">
        <f>IF(ECF[[#This Row],[idDiâmetro]]&lt;&gt;B150,1,IF(ECF[[#This Row],[Prof. (m)]]=0,C150+1,C150))</f>
        <v>1</v>
      </c>
      <c r="D151" s="1">
        <f>IFERROR(IF(D150=MAX(SPT[Prof. (m)]),0,D150+1),0)</f>
        <v>6</v>
      </c>
      <c r="E151" s="1">
        <f>INDEX(SPT[],MATCH(ECF[[#This Row],[Prof. (m)]],SPT[Prof. (m)],0),2)</f>
        <v>21</v>
      </c>
      <c r="F151" s="1" t="str">
        <f>INDEX(SPT[],MATCH(ECF[[#This Row],[Prof. (m)]],SPT[Prof. (m)],0),3)</f>
        <v>Silte arenoso</v>
      </c>
      <c r="G151" s="1">
        <f>INDEX(estacas[],ECF[[#This Row],[idDiâmetro]],MATCH($B$2,estacas[#Headers],0))</f>
        <v>140</v>
      </c>
      <c r="H151" s="1">
        <f>INDEX(estacas[],MATCH(ECF[[#This Row],[Ø (cm)]],estacas[Ø ECF (cm)],0),MATCH(ECF[[#Headers],[Pe ECF (kN)]],estacas[#Headers],0))</f>
        <v>6200</v>
      </c>
      <c r="I151" s="4">
        <f>INDEX(K_alpha_C[],MATCH(ECF[[#This Row],[Solo]],K_alpha_C[Solo],0),2)</f>
        <v>0.55000000000000004</v>
      </c>
      <c r="J151" s="5">
        <f>INDEX(K_alpha_C[],MATCH(ECF[[#This Row],[Solo]],K_alpha_C[Solo],0),3)</f>
        <v>2.2000000000000002</v>
      </c>
      <c r="K151" s="4">
        <f>INDEX(F1_F2[],MATCH($D$2,F1_F2[Tipo de estaca],0),2)</f>
        <v>3</v>
      </c>
      <c r="L151" s="4">
        <f>INDEX(F1_F2[],MATCH($D$2,F1_F2[Tipo de estaca],0),3)</f>
        <v>6</v>
      </c>
      <c r="M151" s="4">
        <f>PI()*(ECF[[#This Row],[Ø (cm)]]/100)^2/4</f>
        <v>1.5393804002589984</v>
      </c>
      <c r="N151" s="4">
        <f>PI()*ECF[[#This Row],[Ø (cm)]]/100</f>
        <v>4.3982297150257104</v>
      </c>
      <c r="O151" s="4">
        <f>IF(ECF[[#This Row],[Prof. (m)]]=0,0,ECF[[#This Row],[α (%)]]/100*ECF[[#This Row],[K (MPa)]]*1000*ECF[[#This Row],[NSPT]])</f>
        <v>254.10000000000002</v>
      </c>
      <c r="P151" s="4">
        <f>IF(ECF[[#This Row],[Prof. (m)]]=0,0,(ECF[[#This Row],[K (MPa)]]*1000*ECF[[#This Row],[NSPT]]/ECF[[#This Row],[F1]]*ECF[[#This Row],[Ap (m²)]]+ECF[[#This Row],[U (m)]]/ECF[[#This Row],[F2]]*SUMIFS(ECF[(α∙K∙NL∙ΔL)],ECF[Prof. (m)],"&lt;="&amp;ECF[[#This Row],[Prof. (m)]],ECF[idDiâmetro],ECF[[#This Row],[idDiâmetro]],ECF[idPilar],ECF[[#This Row],[idPilar]]))/'DADOS CAP. CARGA'!$D$2)</f>
        <v>3249.9618921753727</v>
      </c>
      <c r="Q151" s="12">
        <f>INDEX(C_alpha_beta[],MATCH(ECF[[#This Row],[Solo]],C_alpha_beta[Solo],0),MATCH(ECF[[#Headers],[C (kPa)]],C_alpha_beta[#Headers],0))</f>
        <v>250</v>
      </c>
      <c r="R151" s="4">
        <f>INDEX(C_alpha_beta[],MATCH(ECF[[#This Row],[Solo]],C_alpha_beta[Solo],0),MATCH(ECF[[#Headers],[α ESF]],C_alpha_beta[#Headers],0))</f>
        <v>0.6</v>
      </c>
      <c r="S151" s="4">
        <f>INDEX(C_alpha_beta[],MATCH(ECF[[#This Row],[Solo]],C_alpha_beta[Solo],0),MATCH(ECF[[#Headers],[β ESF]],C_alpha_beta[#Headers],0))</f>
        <v>0.65</v>
      </c>
      <c r="T151" s="4">
        <f>IF(ECF[[#This Row],[Prof. (m)]]=0,0,10*(ECF[[#This Row],[NSPT]]/3+1))</f>
        <v>80</v>
      </c>
      <c r="U151" s="4">
        <f>(ECF[[#This Row],[α ESF]]*ECF[[#This Row],[C (kPa)]]*ECF[[#This Row],[NSPT]]*ECF[[#This Row],[Ap (m²)]])/'DADOS CAP. CARGA'!$Q$2+(ECF[[#This Row],[β ESF]]*SUMIFS(ECF[10∙(NL/3+1)],ECF[Prof. (m)],"&lt;="&amp;ECF[[#This Row],[Prof. (m)]],ECF[idDiâmetro],ECF[[#This Row],[idDiâmetro]],ECF[idPilar],ECF[[#This Row],[idPilar]])*ECF[[#This Row],[U (m)]])/'DADOS CAP. CARGA'!$S$2</f>
        <v>1555.3239829759666</v>
      </c>
      <c r="V151" s="4">
        <f>IF(SPT!$M$5=1,MIN(ECF[[#This Row],[Pe ECF (kN)]],ECF[[#This Row],[R_AV (kN)]]),IF(SPT!$M$5=2,MIN(ECF[[#This Row],[Pe ECF (kN)]],ECF[[#This Row],[R_DC (kN)]]),MIN(ECF[[#This Row],[Pe ECF (kN)]],ECF[[#This Row],[R_AV (kN)]],ECF[[#This Row],[R_DC (kN)]])))</f>
        <v>1555.3239829759666</v>
      </c>
      <c r="W151" s="4">
        <f>INDEX(PILARES[],ECF[[#This Row],[idPilar]],MATCH("Carga (kN)",PILARES[#Headers],0))*1.4</f>
        <v>3500</v>
      </c>
      <c r="X151" s="12">
        <f>INDEX(PILARES[],ECF[[#This Row],[idPilar]],MATCH(ECF[[#Headers],[ap (cm)]],PILARES[#Headers],0))</f>
        <v>60</v>
      </c>
      <c r="Y151" s="12">
        <f>INDEX(PILARES[],ECF[[#This Row],[idPilar]],MATCH(ECF[[#Headers],[bp (cm)]],PILARES[#Headers],0))</f>
        <v>60</v>
      </c>
      <c r="Z151" s="4">
        <f>SQRT(ECF[[#This Row],[ap (cm)]]*ECF[[#This Row],[bp (cm)]])</f>
        <v>60</v>
      </c>
      <c r="AA151" s="12">
        <f>ECF[[#This Row],[ap (cm)]]*ECF[[#This Row],[bp (cm)]]</f>
        <v>3600</v>
      </c>
      <c r="AB151" s="12">
        <f ca="1">IF(ECF[[#This Row],[Padm∙ε (kN)]]&gt;=ECF[[#This Row],[Padm (kN)]],ROUNDUP(1.05*ECF[[#This Row],[Nsd (kN)]]/ECF[[#This Row],[Padm (kN)]],0),ROUNDUP(1.05*ECF[[#This Row],[Nsd (kN)]]/ECF[[#This Row],[Padm (kN)]],0)+1)</f>
        <v>3</v>
      </c>
      <c r="AC151" s="4">
        <f ca="1">IFERROR(IF(ECF[[#This Row],[nE]]=1,ECF[[#This Row],[Padm (kN)]],ECF[[#This Row],[Padm (kN)]]*ECF[[#This Row],[nE]]*INDEX(grupoEstacas[],ECF[[#This Row],[nE]],MATCH("ε",grupoEstacas[#Headers],0))),"N.S.")</f>
        <v>4082.7254553119119</v>
      </c>
      <c r="AD151" s="4">
        <f ca="1">1.05*ECF[[#This Row],[Nsd (kN)]]/(ECF[[#This Row],[nE]]*PI()*ECF[[#This Row],[Ø (cm)]]^2/4)*10</f>
        <v>0.79577471545947676</v>
      </c>
      <c r="AE151" s="4">
        <f ca="1">IF(ECF[[#This Row],[σ (MPa)]]&lt;INDEX(tipoEstaca[],MATCH($D$2,tipoEstaca[TIPO DE ESTACA],0),MATCH("σmáx (MPa)",tipoEstaca[#Headers],0)),0.4%*PI()*ECF[[#This Row],[Ø (cm)]]^2/4,"N.S.")</f>
        <v>61.575216010359952</v>
      </c>
      <c r="AF151" s="1">
        <f>INDEX(tipoEstaca[],MATCH($D$2,tipoEstaca[TIPO DE ESTACA],0),MATCH(ECF[[#Headers],[Comprimento (m)]],tipoEstaca[#Headers],0))</f>
        <v>4</v>
      </c>
      <c r="AG151" s="5">
        <f ca="1">ECF[[#This Row],[As,mín (cm²)]]/100^2*ECF[[#This Row],[Comprimento (m)]]*7850</f>
        <v>193.34617827253024</v>
      </c>
      <c r="AH151" s="4">
        <f ca="1">ECF[[#This Row],[nE]]*ECF[[#This Row],[Prof. (m)]]*ECF[[#This Row],[Ap (m²)]]</f>
        <v>27.708847204661971</v>
      </c>
      <c r="AI151" s="1">
        <f ca="1">IF(ECF[[#This Row],[nE]]=1,0,MAX(3*ECF[[#This Row],[Ø (cm)]],60))</f>
        <v>420</v>
      </c>
      <c r="AJ151" s="1">
        <f ca="1">IF(ECF[[#This Row],[nE]]=1,ECF[[#This Row],[Ø (cm)]]+2*10,MAX(1.5*ECF[[#This Row],[Ø (cm)]],ECF[[#This Row],[Ø (cm)]]+15))</f>
        <v>210</v>
      </c>
      <c r="AK151" s="1">
        <f ca="1">alturaUtil(ECF[[#This Row],[nE]],ECF[[#This Row],[Ø (cm)]],ECF[[#This Row],[e (cm)]],ECF[[#This Row],[ap,eq (cm)]])</f>
        <v>195</v>
      </c>
      <c r="AL151" s="1">
        <f ca="1">IFERROR(ECF[[#This Row],[d (cm)]]+arredondarParaCimaMultiplo5cm(MAX(5,SQRT(PI())/2*ECF[[#This Row],[Ø (cm)]]/5)),"N.S.")</f>
        <v>220</v>
      </c>
      <c r="AM151" s="5">
        <f ca="1">alpha(ECF[[#This Row],[nE]],ECF[[#This Row],[d (cm)]],ECF[[#This Row],[e (cm)]],ECF[[#This Row],[ap,eq (cm)]])</f>
        <v>45.44414443311193</v>
      </c>
      <c r="AN151" s="35">
        <f ca="1">IFERROR(ECF[[#This Row],[Nsd (kN)]]/(ECF[[#This Row],[Ap (cm²)]]*SIN(ECF[[#This Row],[α]])^2),"N.S.")</f>
        <v>0.98385433561889657</v>
      </c>
      <c r="AO151" s="35">
        <f ca="1">IFERROR(ECF[[#This Row],[Nsd (kN)]]/(ECF[[#This Row],[nE]]*PI()*ECF[[#This Row],[Ø (cm)]]^2/4*SIN(ECF[[#This Row],[α]])^2),"N.S.")</f>
        <v>7.6694831410354283E-2</v>
      </c>
      <c r="AP151" s="4">
        <f ca="1">IFERROR(INDEX(grupoEstacas[],ECF[[#This Row],[nE]],MATCH("coef. Blévot",grupoEstacas[#Headers],0)),"N.S.")</f>
        <v>1.75</v>
      </c>
      <c r="AQ151" s="35">
        <f ca="1">IFERROR(ECF[[#This Row],[coef. Blévot]]*0.9*INDEX(tipoEstaca[],MATCH($D$2,tipoEstaca[TIPO DE ESTACA],0),MATCH("fcd (kN/cm²)",tipoEstaca[#Headers],0)),"N.S.")</f>
        <v>1.75</v>
      </c>
      <c r="AR151" s="1" t="str">
        <f ca="1">IF(AND(ECF[[#This Row],[cd,b,pil (kN/cm²)]]&lt;=ECF[[#This Row],[cd,b,lim (kN/cm²)]],ECF[[#This Row],[cd,b,est (kN/cm²)]]&lt;=ECF[[#This Row],[cd,b,lim (kN/cm²)]]),"OK","ERRO")</f>
        <v>OK</v>
      </c>
      <c r="AS151" s="4">
        <f ca="1">As_lado(ECF[[#This Row],[nE]],ECF[[#This Row],[Nsd (kN)]],ECF[[#This Row],[d (cm)]],ECF[[#This Row],[e (cm)]],ECF[[#This Row],[ap,eq (cm)]])</f>
        <v>17.834905059733725</v>
      </c>
      <c r="AT151" s="4" t="str">
        <f ca="1">IF(ECF[[#This Row],[nE]]=1,ECF[[#This Row],[As,lado (cm²)]],IF(ECF[[#This Row],[nE]]=2,0.075*2*ECF[a (cm)],"N.A."))</f>
        <v>N.A.</v>
      </c>
      <c r="AU151" s="4">
        <f ca="1">IFERROR(IF(ECF[[#This Row],[nE]]=1,"N.A.",0.2*ECF[[#This Row],[As,lado (cm²)]]),"N.S.")</f>
        <v>3.5669810119467451</v>
      </c>
      <c r="AV151" s="4">
        <f ca="1">As_malha(ECF[[#This Row],[nE]],ECF[[#This Row],[As,lado (cm²)]],ECF[[#This Row],[Nsd (kN)]])</f>
        <v>5.9629629629629619</v>
      </c>
      <c r="AW151" s="4">
        <f ca="1">As_susp_tot(ECF[[#This Row],[nE]],ECF[[#This Row],[Nsd (kN)]])</f>
        <v>17.888888888888886</v>
      </c>
      <c r="AX151" s="4">
        <f ca="1">Asp_face(ECF[[#This Row],[nE]],ECF[[#This Row],[As,lado (cm²)]])</f>
        <v>6.6880893974001463</v>
      </c>
      <c r="AY151" s="5">
        <f ca="1">acoBloco(ECF[[#This Row],[nE]],ECF[[#This Row],[e (cm)]],ECF[[#This Row],[a (cm)]],ECF[[#This Row],[h (cm)]],ECF[[#This Row],[As,lado (cm²)]],ECF[[#This Row],[Asp e Asw (cm²/m)]],ECF[[#This Row],[As,sup (cm²)]],ECF[[#This Row],[As,malha (cm²)]],ECF[[#This Row],[As,susp,tot (cm²)]],ECF[[#This Row],[Asp,face (cm²)]])</f>
        <v>740.3028051232244</v>
      </c>
      <c r="AZ151" s="4">
        <f ca="1">concretoBloco(ECF[[#This Row],[nE]],ECF[[#This Row],[e (cm)]],ECF[[#This Row],[a (cm)]],ECF[[#This Row],[h (cm)]])</f>
        <v>108.62507080509974</v>
      </c>
      <c r="BA151" s="5">
        <f ca="1">SUM(ECF[[#This Row],[Aço Est (kg)]],ECF[[#This Row],[Aço Bloco (kg)]])</f>
        <v>933.64898339575461</v>
      </c>
      <c r="BB151" s="4">
        <f>INDEX(composicoes[],MATCH(95580,composicoes[CÓDIGO],0),MATCH("CUSTO TOTAL",composicoes[#Headers],0))</f>
        <v>10.46</v>
      </c>
      <c r="BC151" s="4">
        <f ca="1">SUM(ECF[[#This Row],[Conc Est (m³)]],ECF[[#This Row],[Conc Bloco (m³)]])</f>
        <v>136.3339180097617</v>
      </c>
      <c r="BD151" s="4">
        <f>INDEX(composicoes[],MATCH(94966,composicoes[CÓDIGO],0),MATCH("CUSTO TOTAL",composicoes[#Headers],0))</f>
        <v>439.52</v>
      </c>
      <c r="BE151" s="38">
        <f ca="1">ECF[[#This Row],[Aço (kg)]]*ECF[[#This Row],[Aço (R$/kg)]]+ECF[[#This Row],[Conc (m³)]]*ECF[[#This Row],[Conc (R$/m³)]]</f>
        <v>69687.45200997006</v>
      </c>
      <c r="BF151" s="4" t="str">
        <f ca="1">IF(COUNTIF(ECF[#This Row],"N.S.")&gt;0,"lim.","OK")</f>
        <v>OK</v>
      </c>
      <c r="BG151" s="4" t="str">
        <f>IF(ECF[[#This Row],[Prof. (m)]]&lt;4,"lim.","OK")</f>
        <v>OK</v>
      </c>
      <c r="BH151" s="4" t="str">
        <f>IF(ECF[[#This Row],[Prof. (m)]]&gt;=8*ECF[[#This Row],[Ø (cm)]]/100,"OK","lim.")</f>
        <v>lim.</v>
      </c>
      <c r="BI151" s="4" t="str">
        <f>IF(AND(SPT!$F$3&lt;&gt;"",ECF[[#This Row],[Prof. (m)]]&gt;=SPT!$F$3-2),"lim.","OK")</f>
        <v>OK</v>
      </c>
      <c r="BJ151" s="4" t="str">
        <f ca="1">IF(ECF[[#This Row],[Verif. Biela]]="OK","OK","lim.")</f>
        <v>OK</v>
      </c>
      <c r="BK151" s="4" t="str">
        <f ca="1">IF(COUNTA(ECF[[#This Row],[Nº Est.]:[Biela comp.]])=COUNTIF(ECF[[#This Row],[Nº Est.]:[Biela comp.]],"OK"),"OK","lim.")</f>
        <v>lim.</v>
      </c>
      <c r="BL151" s="4" t="str">
        <f ca="1">IF(ECF[[#This Row],[Controle]]="OK",ECF[[#This Row],[nE]]&amp;" Ø"&amp;ECF[[#This Row],[Ø (cm)]]&amp;"cm Prof. "&amp;ECF[[#This Row],[Prof. (m)]]&amp;" m","")</f>
        <v/>
      </c>
      <c r="BM151" s="4" t="str">
        <f ca="1">IF(ECF[[#This Row],[idDimensionamento]]="","",ECF[[#This Row],[idPilar]]&amp;ECF[[#This Row],[idDimensionamento]])</f>
        <v/>
      </c>
    </row>
    <row r="152" spans="2:65" x14ac:dyDescent="0.25">
      <c r="B152" s="12">
        <f>ROUNDUP((ROW(ECF[[#This Row],[idDiâmetro]])-ROW(ECF[[#Headers],[idDiâmetro]]))/(COUNT(SPT[Prof. (m)])*COUNT(PILARES[Pilar])),0)</f>
        <v>6</v>
      </c>
      <c r="C152" s="12">
        <f>IF(ECF[[#This Row],[idDiâmetro]]&lt;&gt;B151,1,IF(ECF[[#This Row],[Prof. (m)]]=0,C151+1,C151))</f>
        <v>1</v>
      </c>
      <c r="D152" s="1">
        <f>IFERROR(IF(D151=MAX(SPT[Prof. (m)]),0,D151+1),0)</f>
        <v>7</v>
      </c>
      <c r="E152" s="1">
        <f>INDEX(SPT[],MATCH(ECF[[#This Row],[Prof. (m)]],SPT[Prof. (m)],0),2)</f>
        <v>8</v>
      </c>
      <c r="F152" s="1" t="str">
        <f>INDEX(SPT[],MATCH(ECF[[#This Row],[Prof. (m)]],SPT[Prof. (m)],0),3)</f>
        <v>Silte arenoso</v>
      </c>
      <c r="G152" s="1">
        <f>INDEX(estacas[],ECF[[#This Row],[idDiâmetro]],MATCH($B$2,estacas[#Headers],0))</f>
        <v>140</v>
      </c>
      <c r="H152" s="1">
        <f>INDEX(estacas[],MATCH(ECF[[#This Row],[Ø (cm)]],estacas[Ø ECF (cm)],0),MATCH(ECF[[#Headers],[Pe ECF (kN)]],estacas[#Headers],0))</f>
        <v>6200</v>
      </c>
      <c r="I152" s="4">
        <f>INDEX(K_alpha_C[],MATCH(ECF[[#This Row],[Solo]],K_alpha_C[Solo],0),2)</f>
        <v>0.55000000000000004</v>
      </c>
      <c r="J152" s="5">
        <f>INDEX(K_alpha_C[],MATCH(ECF[[#This Row],[Solo]],K_alpha_C[Solo],0),3)</f>
        <v>2.2000000000000002</v>
      </c>
      <c r="K152" s="4">
        <f>INDEX(F1_F2[],MATCH($D$2,F1_F2[Tipo de estaca],0),2)</f>
        <v>3</v>
      </c>
      <c r="L152" s="4">
        <f>INDEX(F1_F2[],MATCH($D$2,F1_F2[Tipo de estaca],0),3)</f>
        <v>6</v>
      </c>
      <c r="M152" s="4">
        <f>PI()*(ECF[[#This Row],[Ø (cm)]]/100)^2/4</f>
        <v>1.5393804002589984</v>
      </c>
      <c r="N152" s="4">
        <f>PI()*ECF[[#This Row],[Ø (cm)]]/100</f>
        <v>4.3982297150257104</v>
      </c>
      <c r="O152" s="4">
        <f>IF(ECF[[#This Row],[Prof. (m)]]=0,0,ECF[[#This Row],[α (%)]]/100*ECF[[#This Row],[K (MPa)]]*1000*ECF[[#This Row],[NSPT]])</f>
        <v>96.800000000000011</v>
      </c>
      <c r="P152" s="4">
        <f>IF(ECF[[#This Row],[Prof. (m)]]=0,0,(ECF[[#This Row],[K (MPa)]]*1000*ECF[[#This Row],[NSPT]]/ECF[[#This Row],[F1]]*ECF[[#This Row],[Ap (m²)]]+ECF[[#This Row],[U (m)]]/ECF[[#This Row],[F2]]*SUMIFS(ECF[(α∙K∙NL∙ΔL)],ECF[Prof. (m)],"&lt;="&amp;ECF[[#This Row],[Prof. (m)]],ECF[idDiâmetro],ECF[[#This Row],[idDiâmetro]],ECF[idPilar],ECF[[#This Row],[idPilar]]))/'DADOS CAP. CARGA'!$D$2)</f>
        <v>1451.0126349012737</v>
      </c>
      <c r="Q152" s="12">
        <f>INDEX(C_alpha_beta[],MATCH(ECF[[#This Row],[Solo]],C_alpha_beta[Solo],0),MATCH(ECF[[#Headers],[C (kPa)]],C_alpha_beta[#Headers],0))</f>
        <v>250</v>
      </c>
      <c r="R152" s="4">
        <f>INDEX(C_alpha_beta[],MATCH(ECF[[#This Row],[Solo]],C_alpha_beta[Solo],0),MATCH(ECF[[#Headers],[α ESF]],C_alpha_beta[#Headers],0))</f>
        <v>0.6</v>
      </c>
      <c r="S152" s="4">
        <f>INDEX(C_alpha_beta[],MATCH(ECF[[#This Row],[Solo]],C_alpha_beta[Solo],0),MATCH(ECF[[#Headers],[β ESF]],C_alpha_beta[#Headers],0))</f>
        <v>0.65</v>
      </c>
      <c r="T152" s="4">
        <f>IF(ECF[[#This Row],[Prof. (m)]]=0,0,10*(ECF[[#This Row],[NSPT]]/3+1))</f>
        <v>36.666666666666664</v>
      </c>
      <c r="U152" s="4">
        <f>(ECF[[#This Row],[α ESF]]*ECF[[#This Row],[C (kPa)]]*ECF[[#This Row],[NSPT]]*ECF[[#This Row],[Ap (m²)]])/'DADOS CAP. CARGA'!$Q$2+(ECF[[#This Row],[β ESF]]*SUMIFS(ECF[10∙(NL/3+1)],ECF[Prof. (m)],"&lt;="&amp;ECF[[#This Row],[Prof. (m)]],ECF[idDiâmetro],ECF[[#This Row],[idDiâmetro]],ECF[idPilar],ECF[[#This Row],[idPilar]])*ECF[[#This Row],[U (m)]])/'DADOS CAP. CARGA'!$S$2</f>
        <v>857.28827528709462</v>
      </c>
      <c r="V152" s="4">
        <f>IF(SPT!$M$5=1,MIN(ECF[[#This Row],[Pe ECF (kN)]],ECF[[#This Row],[R_AV (kN)]]),IF(SPT!$M$5=2,MIN(ECF[[#This Row],[Pe ECF (kN)]],ECF[[#This Row],[R_DC (kN)]]),MIN(ECF[[#This Row],[Pe ECF (kN)]],ECF[[#This Row],[R_AV (kN)]],ECF[[#This Row],[R_DC (kN)]])))</f>
        <v>857.28827528709462</v>
      </c>
      <c r="W152" s="4">
        <f>INDEX(PILARES[],ECF[[#This Row],[idPilar]],MATCH("Carga (kN)",PILARES[#Headers],0))*1.4</f>
        <v>3500</v>
      </c>
      <c r="X152" s="12">
        <f>INDEX(PILARES[],ECF[[#This Row],[idPilar]],MATCH(ECF[[#Headers],[ap (cm)]],PILARES[#Headers],0))</f>
        <v>60</v>
      </c>
      <c r="Y152" s="12">
        <f>INDEX(PILARES[],ECF[[#This Row],[idPilar]],MATCH(ECF[[#Headers],[bp (cm)]],PILARES[#Headers],0))</f>
        <v>60</v>
      </c>
      <c r="Z152" s="4">
        <f>SQRT(ECF[[#This Row],[ap (cm)]]*ECF[[#This Row],[bp (cm)]])</f>
        <v>60</v>
      </c>
      <c r="AA152" s="12">
        <f>ECF[[#This Row],[ap (cm)]]*ECF[[#This Row],[bp (cm)]]</f>
        <v>3600</v>
      </c>
      <c r="AB152" s="12">
        <f ca="1">IF(ECF[[#This Row],[Padm∙ε (kN)]]&gt;=ECF[[#This Row],[Padm (kN)]],ROUNDUP(1.05*ECF[[#This Row],[Nsd (kN)]]/ECF[[#This Row],[Padm (kN)]],0),ROUNDUP(1.05*ECF[[#This Row],[Nsd (kN)]]/ECF[[#This Row],[Padm (kN)]],0)+1)</f>
        <v>5</v>
      </c>
      <c r="AC152" s="4" t="str">
        <f ca="1">IFERROR(IF(ECF[[#This Row],[nE]]=1,ECF[[#This Row],[Padm (kN)]],ECF[[#This Row],[Padm (kN)]]*ECF[[#This Row],[nE]]*INDEX(grupoEstacas[],ECF[[#This Row],[nE]],MATCH("ε",grupoEstacas[#Headers],0))),"N.S.")</f>
        <v>N.S.</v>
      </c>
      <c r="AD152" s="4">
        <f ca="1">1.05*ECF[[#This Row],[Nsd (kN)]]/(ECF[[#This Row],[nE]]*PI()*ECF[[#This Row],[Ø (cm)]]^2/4)*10</f>
        <v>0.47746482927568606</v>
      </c>
      <c r="AE152" s="4">
        <f ca="1">IF(ECF[[#This Row],[σ (MPa)]]&lt;INDEX(tipoEstaca[],MATCH($D$2,tipoEstaca[TIPO DE ESTACA],0),MATCH("σmáx (MPa)",tipoEstaca[#Headers],0)),0.4%*PI()*ECF[[#This Row],[Ø (cm)]]^2/4,"N.S.")</f>
        <v>61.575216010359952</v>
      </c>
      <c r="AF152" s="1">
        <f>INDEX(tipoEstaca[],MATCH($D$2,tipoEstaca[TIPO DE ESTACA],0),MATCH(ECF[[#Headers],[Comprimento (m)]],tipoEstaca[#Headers],0))</f>
        <v>4</v>
      </c>
      <c r="AG152" s="5">
        <f ca="1">ECF[[#This Row],[As,mín (cm²)]]/100^2*ECF[[#This Row],[Comprimento (m)]]*7850</f>
        <v>193.34617827253024</v>
      </c>
      <c r="AH152" s="4">
        <f ca="1">ECF[[#This Row],[nE]]*ECF[[#This Row],[Prof. (m)]]*ECF[[#This Row],[Ap (m²)]]</f>
        <v>53.878314009064944</v>
      </c>
      <c r="AI152" s="1">
        <f ca="1">IF(ECF[[#This Row],[nE]]=1,0,MAX(3*ECF[[#This Row],[Ø (cm)]],60))</f>
        <v>420</v>
      </c>
      <c r="AJ152" s="1">
        <f ca="1">IF(ECF[[#This Row],[nE]]=1,ECF[[#This Row],[Ø (cm)]]+2*10,MAX(1.5*ECF[[#This Row],[Ø (cm)]],ECF[[#This Row],[Ø (cm)]]+15))</f>
        <v>210</v>
      </c>
      <c r="AK152" s="1" t="str">
        <f ca="1">alturaUtil(ECF[[#This Row],[nE]],ECF[[#This Row],[Ø (cm)]],ECF[[#This Row],[e (cm)]],ECF[[#This Row],[ap,eq (cm)]])</f>
        <v>N.S.</v>
      </c>
      <c r="AL152" s="1" t="str">
        <f ca="1">IFERROR(ECF[[#This Row],[d (cm)]]+arredondarParaCimaMultiplo5cm(MAX(5,SQRT(PI())/2*ECF[[#This Row],[Ø (cm)]]/5)),"N.S.")</f>
        <v>N.S.</v>
      </c>
      <c r="AM152" s="5" t="str">
        <f ca="1">alpha(ECF[[#This Row],[nE]],ECF[[#This Row],[d (cm)]],ECF[[#This Row],[e (cm)]],ECF[[#This Row],[ap,eq (cm)]])</f>
        <v>N.S.</v>
      </c>
      <c r="AN152" s="35" t="str">
        <f ca="1">IFERROR(ECF[[#This Row],[Nsd (kN)]]/(ECF[[#This Row],[Ap (cm²)]]*SIN(ECF[[#This Row],[α]])^2),"N.S.")</f>
        <v>N.S.</v>
      </c>
      <c r="AO152" s="35" t="str">
        <f ca="1">IFERROR(ECF[[#This Row],[Nsd (kN)]]/(ECF[[#This Row],[nE]]*PI()*ECF[[#This Row],[Ø (cm)]]^2/4*SIN(ECF[[#This Row],[α]])^2),"N.S.")</f>
        <v>N.S.</v>
      </c>
      <c r="AP152" s="4" t="str">
        <f ca="1">IFERROR(INDEX(grupoEstacas[],ECF[[#This Row],[nE]],MATCH("coef. Blévot",grupoEstacas[#Headers],0)),"N.S.")</f>
        <v>N.S.</v>
      </c>
      <c r="AQ152" s="35" t="str">
        <f ca="1">IFERROR(ECF[[#This Row],[coef. Blévot]]*0.9*INDEX(tipoEstaca[],MATCH($D$2,tipoEstaca[TIPO DE ESTACA],0),MATCH("fcd (kN/cm²)",tipoEstaca[#Headers],0)),"N.S.")</f>
        <v>N.S.</v>
      </c>
      <c r="AR152" s="1" t="str">
        <f ca="1">IF(AND(ECF[[#This Row],[cd,b,pil (kN/cm²)]]&lt;=ECF[[#This Row],[cd,b,lim (kN/cm²)]],ECF[[#This Row],[cd,b,est (kN/cm²)]]&lt;=ECF[[#This Row],[cd,b,lim (kN/cm²)]]),"OK","ERRO")</f>
        <v>OK</v>
      </c>
      <c r="AS152" s="4" t="str">
        <f ca="1">As_lado(ECF[[#This Row],[nE]],ECF[[#This Row],[Nsd (kN)]],ECF[[#This Row],[d (cm)]],ECF[[#This Row],[e (cm)]],ECF[[#This Row],[ap,eq (cm)]])</f>
        <v>N.S.</v>
      </c>
      <c r="AT152" s="4" t="str">
        <f ca="1">IF(ECF[[#This Row],[nE]]=1,ECF[[#This Row],[As,lado (cm²)]],IF(ECF[[#This Row],[nE]]=2,0.075*2*ECF[a (cm)],"N.A."))</f>
        <v>N.A.</v>
      </c>
      <c r="AU152" s="4" t="str">
        <f ca="1">IFERROR(IF(ECF[[#This Row],[nE]]=1,"N.A.",0.2*ECF[[#This Row],[As,lado (cm²)]]),"N.S.")</f>
        <v>N.S.</v>
      </c>
      <c r="AV152" s="4" t="str">
        <f ca="1">As_malha(ECF[[#This Row],[nE]],ECF[[#This Row],[As,lado (cm²)]],ECF[[#This Row],[Nsd (kN)]])</f>
        <v>N.S.</v>
      </c>
      <c r="AW152" s="4" t="str">
        <f ca="1">As_susp_tot(ECF[[#This Row],[nE]],ECF[[#This Row],[Nsd (kN)]])</f>
        <v>N.S.</v>
      </c>
      <c r="AX152" s="4" t="str">
        <f ca="1">Asp_face(ECF[[#This Row],[nE]],ECF[[#This Row],[As,lado (cm²)]])</f>
        <v>N.S.</v>
      </c>
      <c r="AY152" s="5" t="str">
        <f ca="1">acoBloco(ECF[[#This Row],[nE]],ECF[[#This Row],[e (cm)]],ECF[[#This Row],[a (cm)]],ECF[[#This Row],[h (cm)]],ECF[[#This Row],[As,lado (cm²)]],ECF[[#This Row],[Asp e Asw (cm²/m)]],ECF[[#This Row],[As,sup (cm²)]],ECF[[#This Row],[As,malha (cm²)]],ECF[[#This Row],[As,susp,tot (cm²)]],ECF[[#This Row],[Asp,face (cm²)]])</f>
        <v>N.S.</v>
      </c>
      <c r="AZ152" s="4" t="str">
        <f ca="1">concretoBloco(ECF[[#This Row],[nE]],ECF[[#This Row],[e (cm)]],ECF[[#This Row],[a (cm)]],ECF[[#This Row],[h (cm)]])</f>
        <v>N.S.</v>
      </c>
      <c r="BA152" s="5">
        <f ca="1">SUM(ECF[[#This Row],[Aço Est (kg)]],ECF[[#This Row],[Aço Bloco (kg)]])</f>
        <v>193.34617827253024</v>
      </c>
      <c r="BB152" s="4">
        <f>INDEX(composicoes[],MATCH(95580,composicoes[CÓDIGO],0),MATCH("CUSTO TOTAL",composicoes[#Headers],0))</f>
        <v>10.46</v>
      </c>
      <c r="BC152" s="4">
        <f ca="1">SUM(ECF[[#This Row],[Conc Est (m³)]],ECF[[#This Row],[Conc Bloco (m³)]])</f>
        <v>53.878314009064944</v>
      </c>
      <c r="BD152" s="4">
        <f>INDEX(composicoes[],MATCH(94966,composicoes[CÓDIGO],0),MATCH("CUSTO TOTAL",composicoes[#Headers],0))</f>
        <v>439.52</v>
      </c>
      <c r="BE152" s="38">
        <f ca="1">ECF[[#This Row],[Aço (kg)]]*ECF[[#This Row],[Aço (R$/kg)]]+ECF[[#This Row],[Conc (m³)]]*ECF[[#This Row],[Conc (R$/m³)]]</f>
        <v>25702.997597994887</v>
      </c>
      <c r="BF152" s="4" t="str">
        <f ca="1">IF(COUNTIF(ECF[#This Row],"N.S.")&gt;0,"lim.","OK")</f>
        <v>lim.</v>
      </c>
      <c r="BG152" s="4" t="str">
        <f>IF(ECF[[#This Row],[Prof. (m)]]&lt;4,"lim.","OK")</f>
        <v>OK</v>
      </c>
      <c r="BH152" s="4" t="str">
        <f>IF(ECF[[#This Row],[Prof. (m)]]&gt;=8*ECF[[#This Row],[Ø (cm)]]/100,"OK","lim.")</f>
        <v>lim.</v>
      </c>
      <c r="BI152" s="4" t="str">
        <f>IF(AND(SPT!$F$3&lt;&gt;"",ECF[[#This Row],[Prof. (m)]]&gt;=SPT!$F$3-2),"lim.","OK")</f>
        <v>OK</v>
      </c>
      <c r="BJ152" s="4" t="str">
        <f ca="1">IF(ECF[[#This Row],[Verif. Biela]]="OK","OK","lim.")</f>
        <v>OK</v>
      </c>
      <c r="BK152" s="4" t="str">
        <f ca="1">IF(COUNTA(ECF[[#This Row],[Nº Est.]:[Biela comp.]])=COUNTIF(ECF[[#This Row],[Nº Est.]:[Biela comp.]],"OK"),"OK","lim.")</f>
        <v>lim.</v>
      </c>
      <c r="BL152" s="4" t="str">
        <f ca="1">IF(ECF[[#This Row],[Controle]]="OK",ECF[[#This Row],[nE]]&amp;" Ø"&amp;ECF[[#This Row],[Ø (cm)]]&amp;"cm Prof. "&amp;ECF[[#This Row],[Prof. (m)]]&amp;" m","")</f>
        <v/>
      </c>
      <c r="BM152" s="4" t="str">
        <f ca="1">IF(ECF[[#This Row],[idDimensionamento]]="","",ECF[[#This Row],[idPilar]]&amp;ECF[[#This Row],[idDimensionamento]])</f>
        <v/>
      </c>
    </row>
    <row r="153" spans="2:65" x14ac:dyDescent="0.25">
      <c r="B153" s="12">
        <f>ROUNDUP((ROW(ECF[[#This Row],[idDiâmetro]])-ROW(ECF[[#Headers],[idDiâmetro]]))/(COUNT(SPT[Prof. (m)])*COUNT(PILARES[Pilar])),0)</f>
        <v>6</v>
      </c>
      <c r="C153" s="12">
        <f>IF(ECF[[#This Row],[idDiâmetro]]&lt;&gt;B152,1,IF(ECF[[#This Row],[Prof. (m)]]=0,C152+1,C152))</f>
        <v>1</v>
      </c>
      <c r="D153" s="1">
        <f>IFERROR(IF(D152=MAX(SPT[Prof. (m)]),0,D152+1),0)</f>
        <v>8</v>
      </c>
      <c r="E153" s="1">
        <f>INDEX(SPT[],MATCH(ECF[[#This Row],[Prof. (m)]],SPT[Prof. (m)],0),2)</f>
        <v>10</v>
      </c>
      <c r="F153" s="1" t="str">
        <f>INDEX(SPT[],MATCH(ECF[[#This Row],[Prof. (m)]],SPT[Prof. (m)],0),3)</f>
        <v>Silte arenoso</v>
      </c>
      <c r="G153" s="1">
        <f>INDEX(estacas[],ECF[[#This Row],[idDiâmetro]],MATCH($B$2,estacas[#Headers],0))</f>
        <v>140</v>
      </c>
      <c r="H153" s="1">
        <f>INDEX(estacas[],MATCH(ECF[[#This Row],[Ø (cm)]],estacas[Ø ECF (cm)],0),MATCH(ECF[[#Headers],[Pe ECF (kN)]],estacas[#Headers],0))</f>
        <v>6200</v>
      </c>
      <c r="I153" s="4">
        <f>INDEX(K_alpha_C[],MATCH(ECF[[#This Row],[Solo]],K_alpha_C[Solo],0),2)</f>
        <v>0.55000000000000004</v>
      </c>
      <c r="J153" s="5">
        <f>INDEX(K_alpha_C[],MATCH(ECF[[#This Row],[Solo]],K_alpha_C[Solo],0),3)</f>
        <v>2.2000000000000002</v>
      </c>
      <c r="K153" s="4">
        <f>INDEX(F1_F2[],MATCH($D$2,F1_F2[Tipo de estaca],0),2)</f>
        <v>3</v>
      </c>
      <c r="L153" s="4">
        <f>INDEX(F1_F2[],MATCH($D$2,F1_F2[Tipo de estaca],0),3)</f>
        <v>6</v>
      </c>
      <c r="M153" s="4">
        <f>PI()*(ECF[[#This Row],[Ø (cm)]]/100)^2/4</f>
        <v>1.5393804002589984</v>
      </c>
      <c r="N153" s="4">
        <f>PI()*ECF[[#This Row],[Ø (cm)]]/100</f>
        <v>4.3982297150257104</v>
      </c>
      <c r="O153" s="4">
        <f>IF(ECF[[#This Row],[Prof. (m)]]=0,0,ECF[[#This Row],[α (%)]]/100*ECF[[#This Row],[K (MPa)]]*1000*ECF[[#This Row],[NSPT]])</f>
        <v>121.00000000000001</v>
      </c>
      <c r="P153" s="4">
        <f>IF(ECF[[#This Row],[Prof. (m)]]=0,0,(ECF[[#This Row],[K (MPa)]]*1000*ECF[[#This Row],[NSPT]]/ECF[[#This Row],[F1]]*ECF[[#This Row],[Ap (m²)]]+ECF[[#This Row],[U (m)]]/ECF[[#This Row],[F2]]*SUMIFS(ECF[(α∙K∙NL∙ΔL)],ECF[Prof. (m)],"&lt;="&amp;ECF[[#This Row],[Prof. (m)]],ECF[idDiâmetro],ECF[[#This Row],[idDiâmetro]],ECF[idPilar],ECF[[#This Row],[idPilar]]))/'DADOS CAP. CARGA'!$D$2)</f>
        <v>1777.5811912419326</v>
      </c>
      <c r="Q153" s="12">
        <f>INDEX(C_alpha_beta[],MATCH(ECF[[#This Row],[Solo]],C_alpha_beta[Solo],0),MATCH(ECF[[#Headers],[C (kPa)]],C_alpha_beta[#Headers],0))</f>
        <v>250</v>
      </c>
      <c r="R153" s="4">
        <f>INDEX(C_alpha_beta[],MATCH(ECF[[#This Row],[Solo]],C_alpha_beta[Solo],0),MATCH(ECF[[#Headers],[α ESF]],C_alpha_beta[#Headers],0))</f>
        <v>0.6</v>
      </c>
      <c r="S153" s="4">
        <f>INDEX(C_alpha_beta[],MATCH(ECF[[#This Row],[Solo]],C_alpha_beta[Solo],0),MATCH(ECF[[#Headers],[β ESF]],C_alpha_beta[#Headers],0))</f>
        <v>0.65</v>
      </c>
      <c r="T153" s="4">
        <f>IF(ECF[[#This Row],[Prof. (m)]]=0,0,10*(ECF[[#This Row],[NSPT]]/3+1))</f>
        <v>43.333333333333343</v>
      </c>
      <c r="U153" s="4">
        <f>(ECF[[#This Row],[α ESF]]*ECF[[#This Row],[C (kPa)]]*ECF[[#This Row],[NSPT]]*ECF[[#This Row],[Ap (m²)]])/'DADOS CAP. CARGA'!$Q$2+(ECF[[#This Row],[β ESF]]*SUMIFS(ECF[10∙(NL/3+1)],ECF[Prof. (m)],"&lt;="&amp;ECF[[#This Row],[Prof. (m)]],ECF[idDiâmetro],ECF[[#This Row],[idDiâmetro]],ECF[idPilar],ECF[[#This Row],[idPilar]])*ECF[[#This Row],[U (m)]])/'DADOS CAP. CARGA'!$S$2</f>
        <v>1034.6835404597982</v>
      </c>
      <c r="V153" s="4">
        <f>IF(SPT!$M$5=1,MIN(ECF[[#This Row],[Pe ECF (kN)]],ECF[[#This Row],[R_AV (kN)]]),IF(SPT!$M$5=2,MIN(ECF[[#This Row],[Pe ECF (kN)]],ECF[[#This Row],[R_DC (kN)]]),MIN(ECF[[#This Row],[Pe ECF (kN)]],ECF[[#This Row],[R_AV (kN)]],ECF[[#This Row],[R_DC (kN)]])))</f>
        <v>1034.6835404597982</v>
      </c>
      <c r="W153" s="4">
        <f>INDEX(PILARES[],ECF[[#This Row],[idPilar]],MATCH("Carga (kN)",PILARES[#Headers],0))*1.4</f>
        <v>3500</v>
      </c>
      <c r="X153" s="12">
        <f>INDEX(PILARES[],ECF[[#This Row],[idPilar]],MATCH(ECF[[#Headers],[ap (cm)]],PILARES[#Headers],0))</f>
        <v>60</v>
      </c>
      <c r="Y153" s="12">
        <f>INDEX(PILARES[],ECF[[#This Row],[idPilar]],MATCH(ECF[[#Headers],[bp (cm)]],PILARES[#Headers],0))</f>
        <v>60</v>
      </c>
      <c r="Z153" s="4">
        <f>SQRT(ECF[[#This Row],[ap (cm)]]*ECF[[#This Row],[bp (cm)]])</f>
        <v>60</v>
      </c>
      <c r="AA153" s="12">
        <f>ECF[[#This Row],[ap (cm)]]*ECF[[#This Row],[bp (cm)]]</f>
        <v>3600</v>
      </c>
      <c r="AB153" s="12">
        <f ca="1">IF(ECF[[#This Row],[Padm∙ε (kN)]]&gt;=ECF[[#This Row],[Padm (kN)]],ROUNDUP(1.05*ECF[[#This Row],[Nsd (kN)]]/ECF[[#This Row],[Padm (kN)]],0),ROUNDUP(1.05*ECF[[#This Row],[Nsd (kN)]]/ECF[[#This Row],[Padm (kN)]],0)+1)</f>
        <v>4</v>
      </c>
      <c r="AC153" s="4">
        <f ca="1">IFERROR(IF(ECF[[#This Row],[nE]]=1,ECF[[#This Row],[Padm (kN)]],ECF[[#This Row],[Padm (kN)]]*ECF[[#This Row],[nE]]*INDEX(grupoEstacas[],ECF[[#This Row],[nE]],MATCH("ε",grupoEstacas[#Headers],0))),"N.S.")</f>
        <v>3362.7215064943443</v>
      </c>
      <c r="AD153" s="4">
        <f ca="1">1.05*ECF[[#This Row],[Nsd (kN)]]/(ECF[[#This Row],[nE]]*PI()*ECF[[#This Row],[Ø (cm)]]^2/4)*10</f>
        <v>0.59683103659460746</v>
      </c>
      <c r="AE153" s="4">
        <f ca="1">IF(ECF[[#This Row],[σ (MPa)]]&lt;INDEX(tipoEstaca[],MATCH($D$2,tipoEstaca[TIPO DE ESTACA],0),MATCH("σmáx (MPa)",tipoEstaca[#Headers],0)),0.4%*PI()*ECF[[#This Row],[Ø (cm)]]^2/4,"N.S.")</f>
        <v>61.575216010359952</v>
      </c>
      <c r="AF153" s="1">
        <f>INDEX(tipoEstaca[],MATCH($D$2,tipoEstaca[TIPO DE ESTACA],0),MATCH(ECF[[#Headers],[Comprimento (m)]],tipoEstaca[#Headers],0))</f>
        <v>4</v>
      </c>
      <c r="AG153" s="5">
        <f ca="1">ECF[[#This Row],[As,mín (cm²)]]/100^2*ECF[[#This Row],[Comprimento (m)]]*7850</f>
        <v>193.34617827253024</v>
      </c>
      <c r="AH153" s="4">
        <f ca="1">ECF[[#This Row],[nE]]*ECF[[#This Row],[Prof. (m)]]*ECF[[#This Row],[Ap (m²)]]</f>
        <v>49.260172808287948</v>
      </c>
      <c r="AI153" s="1">
        <f ca="1">IF(ECF[[#This Row],[nE]]=1,0,MAX(3*ECF[[#This Row],[Ø (cm)]],60))</f>
        <v>420</v>
      </c>
      <c r="AJ153" s="1">
        <f ca="1">IF(ECF[[#This Row],[nE]]=1,ECF[[#This Row],[Ø (cm)]]+2*10,MAX(1.5*ECF[[#This Row],[Ø (cm)]],ECF[[#This Row],[Ø (cm)]]+15))</f>
        <v>210</v>
      </c>
      <c r="AK153" s="1">
        <f ca="1">alturaUtil(ECF[[#This Row],[nE]],ECF[[#This Row],[Ø (cm)]],ECF[[#This Row],[e (cm)]],ECF[[#This Row],[ap,eq (cm)]])</f>
        <v>195</v>
      </c>
      <c r="AL153" s="1">
        <f ca="1">IFERROR(ECF[[#This Row],[d (cm)]]+arredondarParaCimaMultiplo5cm(MAX(5,SQRT(PI())/2*ECF[[#This Row],[Ø (cm)]]/5)),"N.S.")</f>
        <v>220</v>
      </c>
      <c r="AM153" s="5">
        <f ca="1">alpha(ECF[[#This Row],[nE]],ECF[[#This Row],[d (cm)]],ECF[[#This Row],[e (cm)]],ECF[[#This Row],[ap,eq (cm)]])</f>
        <v>45</v>
      </c>
      <c r="AN153" s="35">
        <f ca="1">IFERROR(ECF[[#This Row],[Nsd (kN)]]/(ECF[[#This Row],[Ap (cm²)]]*SIN(ECF[[#This Row],[α]])^2),"N.S.")</f>
        <v>1.3427801064714635</v>
      </c>
      <c r="AO153" s="35">
        <f ca="1">IFERROR(ECF[[#This Row],[Nsd (kN)]]/(ECF[[#This Row],[nE]]*PI()*ECF[[#This Row],[Ø (cm)]]^2/4*SIN(ECF[[#This Row],[α]])^2),"N.S.")</f>
        <v>7.850574787238998E-2</v>
      </c>
      <c r="AP153" s="4">
        <f ca="1">IFERROR(INDEX(grupoEstacas[],ECF[[#This Row],[nE]],MATCH("coef. Blévot",grupoEstacas[#Headers],0)),"N.S.")</f>
        <v>2.1</v>
      </c>
      <c r="AQ153" s="35">
        <f ca="1">IFERROR(ECF[[#This Row],[coef. Blévot]]*0.9*INDEX(tipoEstaca[],MATCH($D$2,tipoEstaca[TIPO DE ESTACA],0),MATCH("fcd (kN/cm²)",tipoEstaca[#Headers],0)),"N.S.")</f>
        <v>2.1</v>
      </c>
      <c r="AR153" s="1" t="str">
        <f ca="1">IF(AND(ECF[[#This Row],[cd,b,pil (kN/cm²)]]&lt;=ECF[[#This Row],[cd,b,lim (kN/cm²)]],ECF[[#This Row],[cd,b,est (kN/cm²)]]&lt;=ECF[[#This Row],[cd,b,lim (kN/cm²)]]),"OK","ERRO")</f>
        <v>OK</v>
      </c>
      <c r="AS153" s="4">
        <f ca="1">As_lado(ECF[[#This Row],[nE]],ECF[[#This Row],[Nsd (kN)]],ECF[[#This Row],[d (cm)]],ECF[[#This Row],[e (cm)]],ECF[[#This Row],[ap,eq (cm)]])</f>
        <v>20.125</v>
      </c>
      <c r="AT153" s="4" t="str">
        <f ca="1">IF(ECF[[#This Row],[nE]]=1,ECF[[#This Row],[As,lado (cm²)]],IF(ECF[[#This Row],[nE]]=2,0.075*2*ECF[a (cm)],"N.A."))</f>
        <v>N.A.</v>
      </c>
      <c r="AU153" s="4">
        <f ca="1">IFERROR(IF(ECF[[#This Row],[nE]]=1,"N.A.",0.2*ECF[[#This Row],[As,lado (cm²)]]),"N.S.")</f>
        <v>4.0250000000000004</v>
      </c>
      <c r="AV153" s="4">
        <f ca="1">As_malha(ECF[[#This Row],[nE]],ECF[[#This Row],[As,lado (cm²)]],ECF[[#This Row],[Nsd (kN)]])</f>
        <v>4.0250000000000004</v>
      </c>
      <c r="AW153" s="4">
        <f ca="1">As_susp_tot(ECF[[#This Row],[nE]],ECF[[#This Row],[Nsd (kN)]])</f>
        <v>13.416666666666666</v>
      </c>
      <c r="AX153" s="4">
        <f ca="1">Asp_face(ECF[[#This Row],[nE]],ECF[[#This Row],[As,lado (cm²)]])</f>
        <v>10.0625</v>
      </c>
      <c r="AY153" s="5">
        <f ca="1">acoBloco(ECF[[#This Row],[nE]],ECF[[#This Row],[e (cm)]],ECF[[#This Row],[a (cm)]],ECF[[#This Row],[h (cm)]],ECF[[#This Row],[As,lado (cm²)]],ECF[[#This Row],[Asp e Asw (cm²/m)]],ECF[[#This Row],[As,sup (cm²)]],ECF[[#This Row],[As,malha (cm²)]],ECF[[#This Row],[As,susp,tot (cm²)]],ECF[[#This Row],[Asp,face (cm²)]])</f>
        <v>978.6411833333334</v>
      </c>
      <c r="AZ153" s="4">
        <f ca="1">concretoBloco(ECF[[#This Row],[nE]],ECF[[#This Row],[e (cm)]],ECF[[#This Row],[a (cm)]],ECF[[#This Row],[h (cm)]])</f>
        <v>155.232</v>
      </c>
      <c r="BA153" s="5">
        <f ca="1">SUM(ECF[[#This Row],[Aço Est (kg)]],ECF[[#This Row],[Aço Bloco (kg)]])</f>
        <v>1171.9873616058637</v>
      </c>
      <c r="BB153" s="4">
        <f>INDEX(composicoes[],MATCH(95580,composicoes[CÓDIGO],0),MATCH("CUSTO TOTAL",composicoes[#Headers],0))</f>
        <v>10.46</v>
      </c>
      <c r="BC153" s="4">
        <f ca="1">SUM(ECF[[#This Row],[Conc Est (m³)]],ECF[[#This Row],[Conc Bloco (m³)]])</f>
        <v>204.49217280828793</v>
      </c>
      <c r="BD153" s="4">
        <f>INDEX(composicoes[],MATCH(94966,composicoes[CÓDIGO],0),MATCH("CUSTO TOTAL",composicoes[#Headers],0))</f>
        <v>439.52</v>
      </c>
      <c r="BE153" s="38">
        <f ca="1">ECF[[#This Row],[Aço (kg)]]*ECF[[#This Row],[Aço (R$/kg)]]+ECF[[#This Row],[Conc (m³)]]*ECF[[#This Row],[Conc (R$/m³)]]</f>
        <v>102137.38759509605</v>
      </c>
      <c r="BF153" s="4" t="str">
        <f ca="1">IF(COUNTIF(ECF[#This Row],"N.S.")&gt;0,"lim.","OK")</f>
        <v>OK</v>
      </c>
      <c r="BG153" s="4" t="str">
        <f>IF(ECF[[#This Row],[Prof. (m)]]&lt;4,"lim.","OK")</f>
        <v>OK</v>
      </c>
      <c r="BH153" s="4" t="str">
        <f>IF(ECF[[#This Row],[Prof. (m)]]&gt;=8*ECF[[#This Row],[Ø (cm)]]/100,"OK","lim.")</f>
        <v>lim.</v>
      </c>
      <c r="BI153" s="4" t="str">
        <f>IF(AND(SPT!$F$3&lt;&gt;"",ECF[[#This Row],[Prof. (m)]]&gt;=SPT!$F$3-2),"lim.","OK")</f>
        <v>OK</v>
      </c>
      <c r="BJ153" s="4" t="str">
        <f ca="1">IF(ECF[[#This Row],[Verif. Biela]]="OK","OK","lim.")</f>
        <v>OK</v>
      </c>
      <c r="BK153" s="4" t="str">
        <f ca="1">IF(COUNTA(ECF[[#This Row],[Nº Est.]:[Biela comp.]])=COUNTIF(ECF[[#This Row],[Nº Est.]:[Biela comp.]],"OK"),"OK","lim.")</f>
        <v>lim.</v>
      </c>
      <c r="BL153" s="4" t="str">
        <f ca="1">IF(ECF[[#This Row],[Controle]]="OK",ECF[[#This Row],[nE]]&amp;" Ø"&amp;ECF[[#This Row],[Ø (cm)]]&amp;"cm Prof. "&amp;ECF[[#This Row],[Prof. (m)]]&amp;" m","")</f>
        <v/>
      </c>
      <c r="BM153" s="4" t="str">
        <f ca="1">IF(ECF[[#This Row],[idDimensionamento]]="","",ECF[[#This Row],[idPilar]]&amp;ECF[[#This Row],[idDimensionamento]])</f>
        <v/>
      </c>
    </row>
    <row r="154" spans="2:65" x14ac:dyDescent="0.25">
      <c r="B154" s="12">
        <f>ROUNDUP((ROW(ECF[[#This Row],[idDiâmetro]])-ROW(ECF[[#Headers],[idDiâmetro]]))/(COUNT(SPT[Prof. (m)])*COUNT(PILARES[Pilar])),0)</f>
        <v>6</v>
      </c>
      <c r="C154" s="12">
        <f>IF(ECF[[#This Row],[idDiâmetro]]&lt;&gt;B153,1,IF(ECF[[#This Row],[Prof. (m)]]=0,C153+1,C153))</f>
        <v>1</v>
      </c>
      <c r="D154" s="1">
        <f>IFERROR(IF(D153=MAX(SPT[Prof. (m)]),0,D153+1),0)</f>
        <v>9</v>
      </c>
      <c r="E154" s="1">
        <f>INDEX(SPT[],MATCH(ECF[[#This Row],[Prof. (m)]],SPT[Prof. (m)],0),2)</f>
        <v>26</v>
      </c>
      <c r="F154" s="1" t="str">
        <f>INDEX(SPT[],MATCH(ECF[[#This Row],[Prof. (m)]],SPT[Prof. (m)],0),3)</f>
        <v>Areia siltosa</v>
      </c>
      <c r="G154" s="1">
        <f>INDEX(estacas[],ECF[[#This Row],[idDiâmetro]],MATCH($B$2,estacas[#Headers],0))</f>
        <v>140</v>
      </c>
      <c r="H154" s="1">
        <f>INDEX(estacas[],MATCH(ECF[[#This Row],[Ø (cm)]],estacas[Ø ECF (cm)],0),MATCH(ECF[[#Headers],[Pe ECF (kN)]],estacas[#Headers],0))</f>
        <v>6200</v>
      </c>
      <c r="I154" s="4">
        <f>INDEX(K_alpha_C[],MATCH(ECF[[#This Row],[Solo]],K_alpha_C[Solo],0),2)</f>
        <v>0.8</v>
      </c>
      <c r="J154" s="5">
        <f>INDEX(K_alpha_C[],MATCH(ECF[[#This Row],[Solo]],K_alpha_C[Solo],0),3)</f>
        <v>2</v>
      </c>
      <c r="K154" s="4">
        <f>INDEX(F1_F2[],MATCH($D$2,F1_F2[Tipo de estaca],0),2)</f>
        <v>3</v>
      </c>
      <c r="L154" s="4">
        <f>INDEX(F1_F2[],MATCH($D$2,F1_F2[Tipo de estaca],0),3)</f>
        <v>6</v>
      </c>
      <c r="M154" s="4">
        <f>PI()*(ECF[[#This Row],[Ø (cm)]]/100)^2/4</f>
        <v>1.5393804002589984</v>
      </c>
      <c r="N154" s="4">
        <f>PI()*ECF[[#This Row],[Ø (cm)]]/100</f>
        <v>4.3982297150257104</v>
      </c>
      <c r="O154" s="4">
        <f>IF(ECF[[#This Row],[Prof. (m)]]=0,0,ECF[[#This Row],[α (%)]]/100*ECF[[#This Row],[K (MPa)]]*1000*ECF[[#This Row],[NSPT]])</f>
        <v>416</v>
      </c>
      <c r="P154" s="4">
        <f>IF(ECF[[#This Row],[Prof. (m)]]=0,0,(ECF[[#This Row],[K (MPa)]]*1000*ECF[[#This Row],[NSPT]]/ECF[[#This Row],[F1]]*ECF[[#This Row],[Ap (m²)]]+ECF[[#This Row],[U (m)]]/ECF[[#This Row],[F2]]*SUMIFS(ECF[(α∙K∙NL∙ΔL)],ECF[Prof. (m)],"&lt;="&amp;ECF[[#This Row],[Prof. (m)]],ECF[idDiâmetro],ECF[[#This Row],[idDiâmetro]],ECF[idPilar],ECF[[#This Row],[idPilar]]))/'DADOS CAP. CARGA'!$D$2)</f>
        <v>5855.473175356603</v>
      </c>
      <c r="Q154" s="12">
        <f>INDEX(C_alpha_beta[],MATCH(ECF[[#This Row],[Solo]],C_alpha_beta[Solo],0),MATCH(ECF[[#Headers],[C (kPa)]],C_alpha_beta[#Headers],0))</f>
        <v>400</v>
      </c>
      <c r="R154" s="4">
        <f>INDEX(C_alpha_beta[],MATCH(ECF[[#This Row],[Solo]],C_alpha_beta[Solo],0),MATCH(ECF[[#Headers],[α ESF]],C_alpha_beta[#Headers],0))</f>
        <v>0.5</v>
      </c>
      <c r="S154" s="4">
        <f>INDEX(C_alpha_beta[],MATCH(ECF[[#This Row],[Solo]],C_alpha_beta[Solo],0),MATCH(ECF[[#Headers],[β ESF]],C_alpha_beta[#Headers],0))</f>
        <v>0.5</v>
      </c>
      <c r="T154" s="4">
        <f>IF(ECF[[#This Row],[Prof. (m)]]=0,0,10*(ECF[[#This Row],[NSPT]]/3+1))</f>
        <v>96.666666666666657</v>
      </c>
      <c r="U154" s="4">
        <f>(ECF[[#This Row],[α ESF]]*ECF[[#This Row],[C (kPa)]]*ECF[[#This Row],[NSPT]]*ECF[[#This Row],[Ap (m²)]])/'DADOS CAP. CARGA'!$Q$2+(ECF[[#This Row],[β ESF]]*SUMIFS(ECF[10∙(NL/3+1)],ECF[Prof. (m)],"&lt;="&amp;ECF[[#This Row],[Prof. (m)]],ECF[idDiâmetro],ECF[[#This Row],[idDiâmetro]],ECF[idPilar],ECF[[#This Row],[idPilar]])*ECF[[#This Row],[U (m)]])/'DADOS CAP. CARGA'!$S$2</f>
        <v>2459.3434489852093</v>
      </c>
      <c r="V154" s="4">
        <f>IF(SPT!$M$5=1,MIN(ECF[[#This Row],[Pe ECF (kN)]],ECF[[#This Row],[R_AV (kN)]]),IF(SPT!$M$5=2,MIN(ECF[[#This Row],[Pe ECF (kN)]],ECF[[#This Row],[R_DC (kN)]]),MIN(ECF[[#This Row],[Pe ECF (kN)]],ECF[[#This Row],[R_AV (kN)]],ECF[[#This Row],[R_DC (kN)]])))</f>
        <v>2459.3434489852093</v>
      </c>
      <c r="W154" s="4">
        <f>INDEX(PILARES[],ECF[[#This Row],[idPilar]],MATCH("Carga (kN)",PILARES[#Headers],0))*1.4</f>
        <v>3500</v>
      </c>
      <c r="X154" s="12">
        <f>INDEX(PILARES[],ECF[[#This Row],[idPilar]],MATCH(ECF[[#Headers],[ap (cm)]],PILARES[#Headers],0))</f>
        <v>60</v>
      </c>
      <c r="Y154" s="12">
        <f>INDEX(PILARES[],ECF[[#This Row],[idPilar]],MATCH(ECF[[#Headers],[bp (cm)]],PILARES[#Headers],0))</f>
        <v>60</v>
      </c>
      <c r="Z154" s="4">
        <f>SQRT(ECF[[#This Row],[ap (cm)]]*ECF[[#This Row],[bp (cm)]])</f>
        <v>60</v>
      </c>
      <c r="AA154" s="12">
        <f>ECF[[#This Row],[ap (cm)]]*ECF[[#This Row],[bp (cm)]]</f>
        <v>3600</v>
      </c>
      <c r="AB154" s="12">
        <f ca="1">IF(ECF[[#This Row],[Padm∙ε (kN)]]&gt;=ECF[[#This Row],[Padm (kN)]],ROUNDUP(1.05*ECF[[#This Row],[Nsd (kN)]]/ECF[[#This Row],[Padm (kN)]],0),ROUNDUP(1.05*ECF[[#This Row],[Nsd (kN)]]/ECF[[#This Row],[Padm (kN)]],0)+1)</f>
        <v>2</v>
      </c>
      <c r="AC154" s="4">
        <f ca="1">IFERROR(IF(ECF[[#This Row],[nE]]=1,ECF[[#This Row],[Padm (kN)]],ECF[[#This Row],[Padm (kN)]]*ECF[[#This Row],[nE]]*INDEX(grupoEstacas[],ECF[[#This Row],[nE]],MATCH("ε",grupoEstacas[#Headers],0))),"N.S.")</f>
        <v>4611.2689668472676</v>
      </c>
      <c r="AD154" s="4">
        <f ca="1">1.05*ECF[[#This Row],[Nsd (kN)]]/(ECF[[#This Row],[nE]]*PI()*ECF[[#This Row],[Ø (cm)]]^2/4)*10</f>
        <v>1.1936620731892149</v>
      </c>
      <c r="AE154" s="4">
        <f ca="1">IF(ECF[[#This Row],[σ (MPa)]]&lt;INDEX(tipoEstaca[],MATCH($D$2,tipoEstaca[TIPO DE ESTACA],0),MATCH("σmáx (MPa)",tipoEstaca[#Headers],0)),0.4%*PI()*ECF[[#This Row],[Ø (cm)]]^2/4,"N.S.")</f>
        <v>61.575216010359952</v>
      </c>
      <c r="AF154" s="1">
        <f>INDEX(tipoEstaca[],MATCH($D$2,tipoEstaca[TIPO DE ESTACA],0),MATCH(ECF[[#Headers],[Comprimento (m)]],tipoEstaca[#Headers],0))</f>
        <v>4</v>
      </c>
      <c r="AG154" s="5">
        <f ca="1">ECF[[#This Row],[As,mín (cm²)]]/100^2*ECF[[#This Row],[Comprimento (m)]]*7850</f>
        <v>193.34617827253024</v>
      </c>
      <c r="AH154" s="4">
        <f ca="1">ECF[[#This Row],[nE]]*ECF[[#This Row],[Prof. (m)]]*ECF[[#This Row],[Ap (m²)]]</f>
        <v>27.708847204661971</v>
      </c>
      <c r="AI154" s="1">
        <f ca="1">IF(ECF[[#This Row],[nE]]=1,0,MAX(3*ECF[[#This Row],[Ø (cm)]],60))</f>
        <v>420</v>
      </c>
      <c r="AJ154" s="1">
        <f ca="1">IF(ECF[[#This Row],[nE]]=1,ECF[[#This Row],[Ø (cm)]]+2*10,MAX(1.5*ECF[[#This Row],[Ø (cm)]],ECF[[#This Row],[Ø (cm)]]+15))</f>
        <v>210</v>
      </c>
      <c r="AK154" s="1">
        <f ca="1">alturaUtil(ECF[[#This Row],[nE]],ECF[[#This Row],[Ø (cm)]],ECF[[#This Row],[e (cm)]],ECF[[#This Row],[ap,eq (cm)]])</f>
        <v>195</v>
      </c>
      <c r="AL154" s="1">
        <f ca="1">IFERROR(ECF[[#This Row],[d (cm)]]+arredondarParaCimaMultiplo5cm(MAX(5,SQRT(PI())/2*ECF[[#This Row],[Ø (cm)]]/5)),"N.S.")</f>
        <v>220</v>
      </c>
      <c r="AM154" s="5">
        <f ca="1">alpha(ECF[[#This Row],[nE]],ECF[[#This Row],[d (cm)]],ECF[[#This Row],[e (cm)]],ECF[[#This Row],[ap,eq (cm)]])</f>
        <v>45</v>
      </c>
      <c r="AN154" s="35">
        <f ca="1">IFERROR(ECF[[#This Row],[Nsd (kN)]]/(ECF[[#This Row],[Ap (cm²)]]*SIN(ECF[[#This Row],[α]])^2),"N.S.")</f>
        <v>1.3427801064714635</v>
      </c>
      <c r="AO154" s="35">
        <f ca="1">IFERROR(ECF[[#This Row],[Nsd (kN)]]/(ECF[[#This Row],[nE]]*PI()*ECF[[#This Row],[Ø (cm)]]^2/4*SIN(ECF[[#This Row],[α]])^2),"N.S.")</f>
        <v>0.15701149574477996</v>
      </c>
      <c r="AP154" s="4">
        <f ca="1">IFERROR(INDEX(grupoEstacas[],ECF[[#This Row],[nE]],MATCH("coef. Blévot",grupoEstacas[#Headers],0)),"N.S.")</f>
        <v>1.4</v>
      </c>
      <c r="AQ154" s="35">
        <f ca="1">IFERROR(ECF[[#This Row],[coef. Blévot]]*0.9*INDEX(tipoEstaca[],MATCH($D$2,tipoEstaca[TIPO DE ESTACA],0),MATCH("fcd (kN/cm²)",tipoEstaca[#Headers],0)),"N.S.")</f>
        <v>1.4000000000000001</v>
      </c>
      <c r="AR154" s="1" t="str">
        <f ca="1">IF(AND(ECF[[#This Row],[cd,b,pil (kN/cm²)]]&lt;=ECF[[#This Row],[cd,b,lim (kN/cm²)]],ECF[[#This Row],[cd,b,est (kN/cm²)]]&lt;=ECF[[#This Row],[cd,b,lim (kN/cm²)]]),"OK","ERRO")</f>
        <v>OK</v>
      </c>
      <c r="AS154" s="4">
        <f ca="1">As_lado(ECF[[#This Row],[nE]],ECF[[#This Row],[Nsd (kN)]],ECF[[#This Row],[d (cm)]],ECF[[#This Row],[e (cm)]],ECF[[#This Row],[ap,eq (cm)]])</f>
        <v>46.287499999999994</v>
      </c>
      <c r="AT154" s="4">
        <f ca="1">IF(ECF[[#This Row],[nE]]=1,ECF[[#This Row],[As,lado (cm²)]],IF(ECF[[#This Row],[nE]]=2,0.075*2*ECF[a (cm)],"N.A."))</f>
        <v>31.5</v>
      </c>
      <c r="AU154" s="4">
        <f ca="1">IFERROR(IF(ECF[[#This Row],[nE]]=1,"N.A.",0.2*ECF[[#This Row],[As,lado (cm²)]]),"N.S.")</f>
        <v>9.2574999999999985</v>
      </c>
      <c r="AV154" s="4" t="str">
        <f ca="1">As_malha(ECF[[#This Row],[nE]],ECF[[#This Row],[As,lado (cm²)]],ECF[[#This Row],[Nsd (kN)]])</f>
        <v>N.A.</v>
      </c>
      <c r="AW154" s="4" t="str">
        <f ca="1">As_susp_tot(ECF[[#This Row],[nE]],ECF[[#This Row],[Nsd (kN)]])</f>
        <v>N.A.</v>
      </c>
      <c r="AX154" s="4" t="str">
        <f ca="1">Asp_face(ECF[[#This Row],[nE]],ECF[[#This Row],[As,lado (cm²)]])</f>
        <v>N.A.</v>
      </c>
      <c r="AY154" s="5">
        <f ca="1">acoBloco(ECF[[#This Row],[nE]],ECF[[#This Row],[e (cm)]],ECF[[#This Row],[a (cm)]],ECF[[#This Row],[h (cm)]],ECF[[#This Row],[As,lado (cm²)]],ECF[[#This Row],[Asp e Asw (cm²/m)]],ECF[[#This Row],[As,sup (cm²)]],ECF[[#This Row],[As,malha (cm²)]],ECF[[#This Row],[As,susp,tot (cm²)]],ECF[[#This Row],[Asp,face (cm²)]])</f>
        <v>4395.8571300000003</v>
      </c>
      <c r="AZ154" s="4">
        <f ca="1">concretoBloco(ECF[[#This Row],[nE]],ECF[[#This Row],[e (cm)]],ECF[[#This Row],[a (cm)]],ECF[[#This Row],[h (cm)]])</f>
        <v>77.616</v>
      </c>
      <c r="BA154" s="5">
        <f ca="1">SUM(ECF[[#This Row],[Aço Est (kg)]],ECF[[#This Row],[Aço Bloco (kg)]])</f>
        <v>4589.2033082725302</v>
      </c>
      <c r="BB154" s="4">
        <f>INDEX(composicoes[],MATCH(95580,composicoes[CÓDIGO],0),MATCH("CUSTO TOTAL",composicoes[#Headers],0))</f>
        <v>10.46</v>
      </c>
      <c r="BC154" s="4">
        <f ca="1">SUM(ECF[[#This Row],[Conc Est (m³)]],ECF[[#This Row],[Conc Bloco (m³)]])</f>
        <v>105.32484720466198</v>
      </c>
      <c r="BD154" s="4">
        <f>INDEX(composicoes[],MATCH(94966,composicoes[CÓDIGO],0),MATCH("CUSTO TOTAL",composicoes[#Headers],0))</f>
        <v>439.52</v>
      </c>
      <c r="BE154" s="38">
        <f ca="1">ECF[[#This Row],[Aço (kg)]]*ECF[[#This Row],[Aço (R$/kg)]]+ECF[[#This Row],[Conc (m³)]]*ECF[[#This Row],[Conc (R$/m³)]]</f>
        <v>94295.443447923695</v>
      </c>
      <c r="BF154" s="4" t="str">
        <f ca="1">IF(COUNTIF(ECF[#This Row],"N.S.")&gt;0,"lim.","OK")</f>
        <v>OK</v>
      </c>
      <c r="BG154" s="4" t="str">
        <f>IF(ECF[[#This Row],[Prof. (m)]]&lt;4,"lim.","OK")</f>
        <v>OK</v>
      </c>
      <c r="BH154" s="4" t="str">
        <f>IF(ECF[[#This Row],[Prof. (m)]]&gt;=8*ECF[[#This Row],[Ø (cm)]]/100,"OK","lim.")</f>
        <v>lim.</v>
      </c>
      <c r="BI154" s="4" t="str">
        <f>IF(AND(SPT!$F$3&lt;&gt;"",ECF[[#This Row],[Prof. (m)]]&gt;=SPT!$F$3-2),"lim.","OK")</f>
        <v>OK</v>
      </c>
      <c r="BJ154" s="4" t="str">
        <f ca="1">IF(ECF[[#This Row],[Verif. Biela]]="OK","OK","lim.")</f>
        <v>OK</v>
      </c>
      <c r="BK154" s="4" t="str">
        <f ca="1">IF(COUNTA(ECF[[#This Row],[Nº Est.]:[Biela comp.]])=COUNTIF(ECF[[#This Row],[Nº Est.]:[Biela comp.]],"OK"),"OK","lim.")</f>
        <v>lim.</v>
      </c>
      <c r="BL154" s="4" t="str">
        <f ca="1">IF(ECF[[#This Row],[Controle]]="OK",ECF[[#This Row],[nE]]&amp;" Ø"&amp;ECF[[#This Row],[Ø (cm)]]&amp;"cm Prof. "&amp;ECF[[#This Row],[Prof. (m)]]&amp;" m","")</f>
        <v/>
      </c>
      <c r="BM154" s="4" t="str">
        <f ca="1">IF(ECF[[#This Row],[idDimensionamento]]="","",ECF[[#This Row],[idPilar]]&amp;ECF[[#This Row],[idDimensionamento]])</f>
        <v/>
      </c>
    </row>
    <row r="155" spans="2:65" x14ac:dyDescent="0.25">
      <c r="B155" s="12">
        <f>ROUNDUP((ROW(ECF[[#This Row],[idDiâmetro]])-ROW(ECF[[#Headers],[idDiâmetro]]))/(COUNT(SPT[Prof. (m)])*COUNT(PILARES[Pilar])),0)</f>
        <v>6</v>
      </c>
      <c r="C155" s="12">
        <f>IF(ECF[[#This Row],[idDiâmetro]]&lt;&gt;B154,1,IF(ECF[[#This Row],[Prof. (m)]]=0,C154+1,C154))</f>
        <v>1</v>
      </c>
      <c r="D155" s="1">
        <f>IFERROR(IF(D154=MAX(SPT[Prof. (m)]),0,D154+1),0)</f>
        <v>10</v>
      </c>
      <c r="E155" s="1">
        <f>INDEX(SPT[],MATCH(ECF[[#This Row],[Prof. (m)]],SPT[Prof. (m)],0),2)</f>
        <v>32</v>
      </c>
      <c r="F155" s="1" t="str">
        <f>INDEX(SPT[],MATCH(ECF[[#This Row],[Prof. (m)]],SPT[Prof. (m)],0),3)</f>
        <v>Areia siltosa</v>
      </c>
      <c r="G155" s="1">
        <f>INDEX(estacas[],ECF[[#This Row],[idDiâmetro]],MATCH($B$2,estacas[#Headers],0))</f>
        <v>140</v>
      </c>
      <c r="H155" s="1">
        <f>INDEX(estacas[],MATCH(ECF[[#This Row],[Ø (cm)]],estacas[Ø ECF (cm)],0),MATCH(ECF[[#Headers],[Pe ECF (kN)]],estacas[#Headers],0))</f>
        <v>6200</v>
      </c>
      <c r="I155" s="4">
        <f>INDEX(K_alpha_C[],MATCH(ECF[[#This Row],[Solo]],K_alpha_C[Solo],0),2)</f>
        <v>0.8</v>
      </c>
      <c r="J155" s="5">
        <f>INDEX(K_alpha_C[],MATCH(ECF[[#This Row],[Solo]],K_alpha_C[Solo],0),3)</f>
        <v>2</v>
      </c>
      <c r="K155" s="4">
        <f>INDEX(F1_F2[],MATCH($D$2,F1_F2[Tipo de estaca],0),2)</f>
        <v>3</v>
      </c>
      <c r="L155" s="4">
        <f>INDEX(F1_F2[],MATCH($D$2,F1_F2[Tipo de estaca],0),3)</f>
        <v>6</v>
      </c>
      <c r="M155" s="4">
        <f>PI()*(ECF[[#This Row],[Ø (cm)]]/100)^2/4</f>
        <v>1.5393804002589984</v>
      </c>
      <c r="N155" s="4">
        <f>PI()*ECF[[#This Row],[Ø (cm)]]/100</f>
        <v>4.3982297150257104</v>
      </c>
      <c r="O155" s="4">
        <f>IF(ECF[[#This Row],[Prof. (m)]]=0,0,ECF[[#This Row],[α (%)]]/100*ECF[[#This Row],[K (MPa)]]*1000*ECF[[#This Row],[NSPT]])</f>
        <v>512</v>
      </c>
      <c r="P155" s="4">
        <f>IF(ECF[[#This Row],[Prof. (m)]]=0,0,(ECF[[#This Row],[K (MPa)]]*1000*ECF[[#This Row],[NSPT]]/ECF[[#This Row],[F1]]*ECF[[#This Row],[Ap (m²)]]+ECF[[#This Row],[U (m)]]/ECF[[#This Row],[F2]]*SUMIFS(ECF[(α∙K∙NL∙ΔL)],ECF[Prof. (m)],"&lt;="&amp;ECF[[#This Row],[Prof. (m)]],ECF[idDiâmetro],ECF[[#This Row],[idDiâmetro]],ECF[idPilar],ECF[[#This Row],[idPilar]]))/'DADOS CAP. CARGA'!$D$2)</f>
        <v>7274.6352967382318</v>
      </c>
      <c r="Q155" s="12">
        <f>INDEX(C_alpha_beta[],MATCH(ECF[[#This Row],[Solo]],C_alpha_beta[Solo],0),MATCH(ECF[[#Headers],[C (kPa)]],C_alpha_beta[#Headers],0))</f>
        <v>400</v>
      </c>
      <c r="R155" s="4">
        <f>INDEX(C_alpha_beta[],MATCH(ECF[[#This Row],[Solo]],C_alpha_beta[Solo],0),MATCH(ECF[[#Headers],[α ESF]],C_alpha_beta[#Headers],0))</f>
        <v>0.5</v>
      </c>
      <c r="S155" s="4">
        <f>INDEX(C_alpha_beta[],MATCH(ECF[[#This Row],[Solo]],C_alpha_beta[Solo],0),MATCH(ECF[[#Headers],[β ESF]],C_alpha_beta[#Headers],0))</f>
        <v>0.5</v>
      </c>
      <c r="T155" s="4">
        <f>IF(ECF[[#This Row],[Prof. (m)]]=0,0,10*(ECF[[#This Row],[NSPT]]/3+1))</f>
        <v>116.66666666666666</v>
      </c>
      <c r="U155" s="4">
        <f>(ECF[[#This Row],[α ESF]]*ECF[[#This Row],[C (kPa)]]*ECF[[#This Row],[NSPT]]*ECF[[#This Row],[Ap (m²)]])/'DADOS CAP. CARGA'!$Q$2+(ECF[[#This Row],[β ESF]]*SUMIFS(ECF[10∙(NL/3+1)],ECF[Prof. (m)],"&lt;="&amp;ECF[[#This Row],[Prof. (m)]],ECF[idDiâmetro],ECF[[#This Row],[idDiâmetro]],ECF[idPilar],ECF[[#This Row],[idPilar]])*ECF[[#This Row],[U (m)]])/'DADOS CAP. CARGA'!$S$2</f>
        <v>3049.4392690844916</v>
      </c>
      <c r="V155" s="4">
        <f>IF(SPT!$M$5=1,MIN(ECF[[#This Row],[Pe ECF (kN)]],ECF[[#This Row],[R_AV (kN)]]),IF(SPT!$M$5=2,MIN(ECF[[#This Row],[Pe ECF (kN)]],ECF[[#This Row],[R_DC (kN)]]),MIN(ECF[[#This Row],[Pe ECF (kN)]],ECF[[#This Row],[R_AV (kN)]],ECF[[#This Row],[R_DC (kN)]])))</f>
        <v>3049.4392690844916</v>
      </c>
      <c r="W155" s="4">
        <f>INDEX(PILARES[],ECF[[#This Row],[idPilar]],MATCH("Carga (kN)",PILARES[#Headers],0))*1.4</f>
        <v>3500</v>
      </c>
      <c r="X155" s="12">
        <f>INDEX(PILARES[],ECF[[#This Row],[idPilar]],MATCH(ECF[[#Headers],[ap (cm)]],PILARES[#Headers],0))</f>
        <v>60</v>
      </c>
      <c r="Y155" s="12">
        <f>INDEX(PILARES[],ECF[[#This Row],[idPilar]],MATCH(ECF[[#Headers],[bp (cm)]],PILARES[#Headers],0))</f>
        <v>60</v>
      </c>
      <c r="Z155" s="4">
        <f>SQRT(ECF[[#This Row],[ap (cm)]]*ECF[[#This Row],[bp (cm)]])</f>
        <v>60</v>
      </c>
      <c r="AA155" s="12">
        <f>ECF[[#This Row],[ap (cm)]]*ECF[[#This Row],[bp (cm)]]</f>
        <v>3600</v>
      </c>
      <c r="AB155" s="12">
        <f ca="1">IF(ECF[[#This Row],[Padm∙ε (kN)]]&gt;=ECF[[#This Row],[Padm (kN)]],ROUNDUP(1.05*ECF[[#This Row],[Nsd (kN)]]/ECF[[#This Row],[Padm (kN)]],0),ROUNDUP(1.05*ECF[[#This Row],[Nsd (kN)]]/ECF[[#This Row],[Padm (kN)]],0)+1)</f>
        <v>2</v>
      </c>
      <c r="AC155" s="4">
        <f ca="1">IFERROR(IF(ECF[[#This Row],[nE]]=1,ECF[[#This Row],[Padm (kN)]],ECF[[#This Row],[Padm (kN)]]*ECF[[#This Row],[nE]]*INDEX(grupoEstacas[],ECF[[#This Row],[nE]],MATCH("ε",grupoEstacas[#Headers],0))),"N.S.")</f>
        <v>5717.6986295334218</v>
      </c>
      <c r="AD155" s="4">
        <f ca="1">1.05*ECF[[#This Row],[Nsd (kN)]]/(ECF[[#This Row],[nE]]*PI()*ECF[[#This Row],[Ø (cm)]]^2/4)*10</f>
        <v>1.1936620731892149</v>
      </c>
      <c r="AE155" s="4">
        <f ca="1">IF(ECF[[#This Row],[σ (MPa)]]&lt;INDEX(tipoEstaca[],MATCH($D$2,tipoEstaca[TIPO DE ESTACA],0),MATCH("σmáx (MPa)",tipoEstaca[#Headers],0)),0.4%*PI()*ECF[[#This Row],[Ø (cm)]]^2/4,"N.S.")</f>
        <v>61.575216010359952</v>
      </c>
      <c r="AF155" s="1">
        <f>INDEX(tipoEstaca[],MATCH($D$2,tipoEstaca[TIPO DE ESTACA],0),MATCH(ECF[[#Headers],[Comprimento (m)]],tipoEstaca[#Headers],0))</f>
        <v>4</v>
      </c>
      <c r="AG155" s="5">
        <f ca="1">ECF[[#This Row],[As,mín (cm²)]]/100^2*ECF[[#This Row],[Comprimento (m)]]*7850</f>
        <v>193.34617827253024</v>
      </c>
      <c r="AH155" s="4">
        <f ca="1">ECF[[#This Row],[nE]]*ECF[[#This Row],[Prof. (m)]]*ECF[[#This Row],[Ap (m²)]]</f>
        <v>30.787608005179969</v>
      </c>
      <c r="AI155" s="1">
        <f ca="1">IF(ECF[[#This Row],[nE]]=1,0,MAX(3*ECF[[#This Row],[Ø (cm)]],60))</f>
        <v>420</v>
      </c>
      <c r="AJ155" s="1">
        <f ca="1">IF(ECF[[#This Row],[nE]]=1,ECF[[#This Row],[Ø (cm)]]+2*10,MAX(1.5*ECF[[#This Row],[Ø (cm)]],ECF[[#This Row],[Ø (cm)]]+15))</f>
        <v>210</v>
      </c>
      <c r="AK155" s="1">
        <f ca="1">alturaUtil(ECF[[#This Row],[nE]],ECF[[#This Row],[Ø (cm)]],ECF[[#This Row],[e (cm)]],ECF[[#This Row],[ap,eq (cm)]])</f>
        <v>195</v>
      </c>
      <c r="AL155" s="1">
        <f ca="1">IFERROR(ECF[[#This Row],[d (cm)]]+arredondarParaCimaMultiplo5cm(MAX(5,SQRT(PI())/2*ECF[[#This Row],[Ø (cm)]]/5)),"N.S.")</f>
        <v>220</v>
      </c>
      <c r="AM155" s="5">
        <f ca="1">alpha(ECF[[#This Row],[nE]],ECF[[#This Row],[d (cm)]],ECF[[#This Row],[e (cm)]],ECF[[#This Row],[ap,eq (cm)]])</f>
        <v>45</v>
      </c>
      <c r="AN155" s="35">
        <f ca="1">IFERROR(ECF[[#This Row],[Nsd (kN)]]/(ECF[[#This Row],[Ap (cm²)]]*SIN(ECF[[#This Row],[α]])^2),"N.S.")</f>
        <v>1.3427801064714635</v>
      </c>
      <c r="AO155" s="35">
        <f ca="1">IFERROR(ECF[[#This Row],[Nsd (kN)]]/(ECF[[#This Row],[nE]]*PI()*ECF[[#This Row],[Ø (cm)]]^2/4*SIN(ECF[[#This Row],[α]])^2),"N.S.")</f>
        <v>0.15701149574477996</v>
      </c>
      <c r="AP155" s="4">
        <f ca="1">IFERROR(INDEX(grupoEstacas[],ECF[[#This Row],[nE]],MATCH("coef. Blévot",grupoEstacas[#Headers],0)),"N.S.")</f>
        <v>1.4</v>
      </c>
      <c r="AQ155" s="35">
        <f ca="1">IFERROR(ECF[[#This Row],[coef. Blévot]]*0.9*INDEX(tipoEstaca[],MATCH($D$2,tipoEstaca[TIPO DE ESTACA],0),MATCH("fcd (kN/cm²)",tipoEstaca[#Headers],0)),"N.S.")</f>
        <v>1.4000000000000001</v>
      </c>
      <c r="AR155" s="1" t="str">
        <f ca="1">IF(AND(ECF[[#This Row],[cd,b,pil (kN/cm²)]]&lt;=ECF[[#This Row],[cd,b,lim (kN/cm²)]],ECF[[#This Row],[cd,b,est (kN/cm²)]]&lt;=ECF[[#This Row],[cd,b,lim (kN/cm²)]]),"OK","ERRO")</f>
        <v>OK</v>
      </c>
      <c r="AS155" s="4">
        <f ca="1">As_lado(ECF[[#This Row],[nE]],ECF[[#This Row],[Nsd (kN)]],ECF[[#This Row],[d (cm)]],ECF[[#This Row],[e (cm)]],ECF[[#This Row],[ap,eq (cm)]])</f>
        <v>46.287499999999994</v>
      </c>
      <c r="AT155" s="4">
        <f ca="1">IF(ECF[[#This Row],[nE]]=1,ECF[[#This Row],[As,lado (cm²)]],IF(ECF[[#This Row],[nE]]=2,0.075*2*ECF[a (cm)],"N.A."))</f>
        <v>31.5</v>
      </c>
      <c r="AU155" s="4">
        <f ca="1">IFERROR(IF(ECF[[#This Row],[nE]]=1,"N.A.",0.2*ECF[[#This Row],[As,lado (cm²)]]),"N.S.")</f>
        <v>9.2574999999999985</v>
      </c>
      <c r="AV155" s="4" t="str">
        <f ca="1">As_malha(ECF[[#This Row],[nE]],ECF[[#This Row],[As,lado (cm²)]],ECF[[#This Row],[Nsd (kN)]])</f>
        <v>N.A.</v>
      </c>
      <c r="AW155" s="4" t="str">
        <f ca="1">As_susp_tot(ECF[[#This Row],[nE]],ECF[[#This Row],[Nsd (kN)]])</f>
        <v>N.A.</v>
      </c>
      <c r="AX155" s="4" t="str">
        <f ca="1">Asp_face(ECF[[#This Row],[nE]],ECF[[#This Row],[As,lado (cm²)]])</f>
        <v>N.A.</v>
      </c>
      <c r="AY155" s="5">
        <f ca="1">acoBloco(ECF[[#This Row],[nE]],ECF[[#This Row],[e (cm)]],ECF[[#This Row],[a (cm)]],ECF[[#This Row],[h (cm)]],ECF[[#This Row],[As,lado (cm²)]],ECF[[#This Row],[Asp e Asw (cm²/m)]],ECF[[#This Row],[As,sup (cm²)]],ECF[[#This Row],[As,malha (cm²)]],ECF[[#This Row],[As,susp,tot (cm²)]],ECF[[#This Row],[Asp,face (cm²)]])</f>
        <v>4395.8571300000003</v>
      </c>
      <c r="AZ155" s="4">
        <f ca="1">concretoBloco(ECF[[#This Row],[nE]],ECF[[#This Row],[e (cm)]],ECF[[#This Row],[a (cm)]],ECF[[#This Row],[h (cm)]])</f>
        <v>77.616</v>
      </c>
      <c r="BA155" s="5">
        <f ca="1">SUM(ECF[[#This Row],[Aço Est (kg)]],ECF[[#This Row],[Aço Bloco (kg)]])</f>
        <v>4589.2033082725302</v>
      </c>
      <c r="BB155" s="4">
        <f>INDEX(composicoes[],MATCH(95580,composicoes[CÓDIGO],0),MATCH("CUSTO TOTAL",composicoes[#Headers],0))</f>
        <v>10.46</v>
      </c>
      <c r="BC155" s="4">
        <f ca="1">SUM(ECF[[#This Row],[Conc Est (m³)]],ECF[[#This Row],[Conc Bloco (m³)]])</f>
        <v>108.40360800517996</v>
      </c>
      <c r="BD155" s="4">
        <f>INDEX(composicoes[],MATCH(94966,composicoes[CÓDIGO],0),MATCH("CUSTO TOTAL",composicoes[#Headers],0))</f>
        <v>439.52</v>
      </c>
      <c r="BE155" s="38">
        <f ca="1">ECF[[#This Row],[Aço (kg)]]*ECF[[#This Row],[Aço (R$/kg)]]+ECF[[#This Row],[Conc (m³)]]*ECF[[#This Row],[Conc (R$/m³)]]</f>
        <v>95648.620394967365</v>
      </c>
      <c r="BF155" s="4" t="str">
        <f ca="1">IF(COUNTIF(ECF[#This Row],"N.S.")&gt;0,"lim.","OK")</f>
        <v>OK</v>
      </c>
      <c r="BG155" s="4" t="str">
        <f>IF(ECF[[#This Row],[Prof. (m)]]&lt;4,"lim.","OK")</f>
        <v>OK</v>
      </c>
      <c r="BH155" s="4" t="str">
        <f>IF(ECF[[#This Row],[Prof. (m)]]&gt;=8*ECF[[#This Row],[Ø (cm)]]/100,"OK","lim.")</f>
        <v>lim.</v>
      </c>
      <c r="BI155" s="4" t="str">
        <f>IF(AND(SPT!$F$3&lt;&gt;"",ECF[[#This Row],[Prof. (m)]]&gt;=SPT!$F$3-2),"lim.","OK")</f>
        <v>OK</v>
      </c>
      <c r="BJ155" s="4" t="str">
        <f ca="1">IF(ECF[[#This Row],[Verif. Biela]]="OK","OK","lim.")</f>
        <v>OK</v>
      </c>
      <c r="BK155" s="4" t="str">
        <f ca="1">IF(COUNTA(ECF[[#This Row],[Nº Est.]:[Biela comp.]])=COUNTIF(ECF[[#This Row],[Nº Est.]:[Biela comp.]],"OK"),"OK","lim.")</f>
        <v>lim.</v>
      </c>
      <c r="BL155" s="4" t="str">
        <f ca="1">IF(ECF[[#This Row],[Controle]]="OK",ECF[[#This Row],[nE]]&amp;" Ø"&amp;ECF[[#This Row],[Ø (cm)]]&amp;"cm Prof. "&amp;ECF[[#This Row],[Prof. (m)]]&amp;" m","")</f>
        <v/>
      </c>
      <c r="BM155" s="4" t="str">
        <f ca="1">IF(ECF[[#This Row],[idDimensionamento]]="","",ECF[[#This Row],[idPilar]]&amp;ECF[[#This Row],[idDimensionamento]])</f>
        <v/>
      </c>
    </row>
    <row r="156" spans="2:65" x14ac:dyDescent="0.25">
      <c r="B156" s="12">
        <f>ROUNDUP((ROW(ECF[[#This Row],[idDiâmetro]])-ROW(ECF[[#Headers],[idDiâmetro]]))/(COUNT(SPT[Prof. (m)])*COUNT(PILARES[Pilar])),0)</f>
        <v>6</v>
      </c>
      <c r="C156" s="12">
        <f>IF(ECF[[#This Row],[idDiâmetro]]&lt;&gt;B155,1,IF(ECF[[#This Row],[Prof. (m)]]=0,C155+1,C155))</f>
        <v>1</v>
      </c>
      <c r="D156" s="1">
        <f>IFERROR(IF(D155=MAX(SPT[Prof. (m)]),0,D155+1),0)</f>
        <v>11</v>
      </c>
      <c r="E156" s="1">
        <f>INDEX(SPT[],MATCH(ECF[[#This Row],[Prof. (m)]],SPT[Prof. (m)],0),2)</f>
        <v>41</v>
      </c>
      <c r="F156" s="1" t="str">
        <f>INDEX(SPT[],MATCH(ECF[[#This Row],[Prof. (m)]],SPT[Prof. (m)],0),3)</f>
        <v>Areia siltosa</v>
      </c>
      <c r="G156" s="1">
        <f>INDEX(estacas[],ECF[[#This Row],[idDiâmetro]],MATCH($B$2,estacas[#Headers],0))</f>
        <v>140</v>
      </c>
      <c r="H156" s="1">
        <f>INDEX(estacas[],MATCH(ECF[[#This Row],[Ø (cm)]],estacas[Ø ECF (cm)],0),MATCH(ECF[[#Headers],[Pe ECF (kN)]],estacas[#Headers],0))</f>
        <v>6200</v>
      </c>
      <c r="I156" s="4">
        <f>INDEX(K_alpha_C[],MATCH(ECF[[#This Row],[Solo]],K_alpha_C[Solo],0),2)</f>
        <v>0.8</v>
      </c>
      <c r="J156" s="5">
        <f>INDEX(K_alpha_C[],MATCH(ECF[[#This Row],[Solo]],K_alpha_C[Solo],0),3)</f>
        <v>2</v>
      </c>
      <c r="K156" s="4">
        <f>INDEX(F1_F2[],MATCH($D$2,F1_F2[Tipo de estaca],0),2)</f>
        <v>3</v>
      </c>
      <c r="L156" s="4">
        <f>INDEX(F1_F2[],MATCH($D$2,F1_F2[Tipo de estaca],0),3)</f>
        <v>6</v>
      </c>
      <c r="M156" s="4">
        <f>PI()*(ECF[[#This Row],[Ø (cm)]]/100)^2/4</f>
        <v>1.5393804002589984</v>
      </c>
      <c r="N156" s="4">
        <f>PI()*ECF[[#This Row],[Ø (cm)]]/100</f>
        <v>4.3982297150257104</v>
      </c>
      <c r="O156" s="4">
        <f>IF(ECF[[#This Row],[Prof. (m)]]=0,0,ECF[[#This Row],[α (%)]]/100*ECF[[#This Row],[K (MPa)]]*1000*ECF[[#This Row],[NSPT]])</f>
        <v>656</v>
      </c>
      <c r="P156" s="4">
        <f>IF(ECF[[#This Row],[Prof. (m)]]=0,0,(ECF[[#This Row],[K (MPa)]]*1000*ECF[[#This Row],[NSPT]]/ECF[[#This Row],[F1]]*ECF[[#This Row],[Ap (m²)]]+ECF[[#This Row],[U (m)]]/ECF[[#This Row],[F2]]*SUMIFS(ECF[(α∙K∙NL∙ΔL)],ECF[Prof. (m)],"&lt;="&amp;ECF[[#This Row],[Prof. (m)]],ECF[idDiâmetro],ECF[[#This Row],[idDiâmetro]],ECF[idPilar],ECF[[#This Row],[idPilar]]))/'DADOS CAP. CARGA'!$D$2)</f>
        <v>9362.3283348037694</v>
      </c>
      <c r="Q156" s="12">
        <f>INDEX(C_alpha_beta[],MATCH(ECF[[#This Row],[Solo]],C_alpha_beta[Solo],0),MATCH(ECF[[#Headers],[C (kPa)]],C_alpha_beta[#Headers],0))</f>
        <v>400</v>
      </c>
      <c r="R156" s="4">
        <f>INDEX(C_alpha_beta[],MATCH(ECF[[#This Row],[Solo]],C_alpha_beta[Solo],0),MATCH(ECF[[#Headers],[α ESF]],C_alpha_beta[#Headers],0))</f>
        <v>0.5</v>
      </c>
      <c r="S156" s="4">
        <f>INDEX(C_alpha_beta[],MATCH(ECF[[#This Row],[Solo]],C_alpha_beta[Solo],0),MATCH(ECF[[#Headers],[β ESF]],C_alpha_beta[#Headers],0))</f>
        <v>0.5</v>
      </c>
      <c r="T156" s="4">
        <f>IF(ECF[[#This Row],[Prof. (m)]]=0,0,10*(ECF[[#This Row],[NSPT]]/3+1))</f>
        <v>146.66666666666666</v>
      </c>
      <c r="U156" s="4">
        <f>(ECF[[#This Row],[α ESF]]*ECF[[#This Row],[C (kPa)]]*ECF[[#This Row],[NSPT]]*ECF[[#This Row],[Ap (m²)]])/'DADOS CAP. CARGA'!$Q$2+(ECF[[#This Row],[β ESF]]*SUMIFS(ECF[10∙(NL/3+1)],ECF[Prof. (m)],"&lt;="&amp;ECF[[#This Row],[Prof. (m)]],ECF[idDiâmetro],ECF[[#This Row],[idDiâmetro]],ECF[idPilar],ECF[[#This Row],[idPilar]])*ECF[[#This Row],[U (m)]])/'DADOS CAP. CARGA'!$S$2</f>
        <v>3903.4288720853174</v>
      </c>
      <c r="V156" s="4">
        <f>IF(SPT!$M$5=1,MIN(ECF[[#This Row],[Pe ECF (kN)]],ECF[[#This Row],[R_AV (kN)]]),IF(SPT!$M$5=2,MIN(ECF[[#This Row],[Pe ECF (kN)]],ECF[[#This Row],[R_DC (kN)]]),MIN(ECF[[#This Row],[Pe ECF (kN)]],ECF[[#This Row],[R_AV (kN)]],ECF[[#This Row],[R_DC (kN)]])))</f>
        <v>3903.4288720853174</v>
      </c>
      <c r="W156" s="4">
        <f>INDEX(PILARES[],ECF[[#This Row],[idPilar]],MATCH("Carga (kN)",PILARES[#Headers],0))*1.4</f>
        <v>3500</v>
      </c>
      <c r="X156" s="12">
        <f>INDEX(PILARES[],ECF[[#This Row],[idPilar]],MATCH(ECF[[#Headers],[ap (cm)]],PILARES[#Headers],0))</f>
        <v>60</v>
      </c>
      <c r="Y156" s="12">
        <f>INDEX(PILARES[],ECF[[#This Row],[idPilar]],MATCH(ECF[[#Headers],[bp (cm)]],PILARES[#Headers],0))</f>
        <v>60</v>
      </c>
      <c r="Z156" s="4">
        <f>SQRT(ECF[[#This Row],[ap (cm)]]*ECF[[#This Row],[bp (cm)]])</f>
        <v>60</v>
      </c>
      <c r="AA156" s="12">
        <f>ECF[[#This Row],[ap (cm)]]*ECF[[#This Row],[bp (cm)]]</f>
        <v>3600</v>
      </c>
      <c r="AB156" s="12">
        <f ca="1">IF(ECF[[#This Row],[Padm∙ε (kN)]]&gt;=ECF[[#This Row],[Padm (kN)]],ROUNDUP(1.05*ECF[[#This Row],[Nsd (kN)]]/ECF[[#This Row],[Padm (kN)]],0),ROUNDUP(1.05*ECF[[#This Row],[Nsd (kN)]]/ECF[[#This Row],[Padm (kN)]],0)+1)</f>
        <v>1</v>
      </c>
      <c r="AC156" s="4">
        <f ca="1">IFERROR(IF(ECF[[#This Row],[nE]]=1,ECF[[#This Row],[Padm (kN)]],ECF[[#This Row],[Padm (kN)]]*ECF[[#This Row],[nE]]*INDEX(grupoEstacas[],ECF[[#This Row],[nE]],MATCH("ε",grupoEstacas[#Headers],0))),"N.S.")</f>
        <v>3903.4288720853174</v>
      </c>
      <c r="AD156" s="4">
        <f ca="1">1.05*ECF[[#This Row],[Nsd (kN)]]/(ECF[[#This Row],[nE]]*PI()*ECF[[#This Row],[Ø (cm)]]^2/4)*10</f>
        <v>2.3873241463784298</v>
      </c>
      <c r="AE156" s="4">
        <f ca="1">IF(ECF[[#This Row],[σ (MPa)]]&lt;INDEX(tipoEstaca[],MATCH($D$2,tipoEstaca[TIPO DE ESTACA],0),MATCH("σmáx (MPa)",tipoEstaca[#Headers],0)),0.4%*PI()*ECF[[#This Row],[Ø (cm)]]^2/4,"N.S.")</f>
        <v>61.575216010359952</v>
      </c>
      <c r="AF156" s="1">
        <f>INDEX(tipoEstaca[],MATCH($D$2,tipoEstaca[TIPO DE ESTACA],0),MATCH(ECF[[#Headers],[Comprimento (m)]],tipoEstaca[#Headers],0))</f>
        <v>4</v>
      </c>
      <c r="AG156" s="5">
        <f ca="1">ECF[[#This Row],[As,mín (cm²)]]/100^2*ECF[[#This Row],[Comprimento (m)]]*7850</f>
        <v>193.34617827253024</v>
      </c>
      <c r="AH156" s="4">
        <f ca="1">ECF[[#This Row],[nE]]*ECF[[#This Row],[Prof. (m)]]*ECF[[#This Row],[Ap (m²)]]</f>
        <v>16.933184402848983</v>
      </c>
      <c r="AI156" s="1">
        <f ca="1">IF(ECF[[#This Row],[nE]]=1,0,MAX(3*ECF[[#This Row],[Ø (cm)]],60))</f>
        <v>0</v>
      </c>
      <c r="AJ156" s="1">
        <f ca="1">IF(ECF[[#This Row],[nE]]=1,ECF[[#This Row],[Ø (cm)]]+2*10,MAX(1.5*ECF[[#This Row],[Ø (cm)]],ECF[[#This Row],[Ø (cm)]]+15))</f>
        <v>160</v>
      </c>
      <c r="AK156" s="1">
        <f ca="1">alturaUtil(ECF[[#This Row],[nE]],ECF[[#This Row],[Ø (cm)]],ECF[[#This Row],[e (cm)]],ECF[[#This Row],[ap,eq (cm)]])</f>
        <v>170</v>
      </c>
      <c r="AL156" s="1">
        <f ca="1">IFERROR(ECF[[#This Row],[d (cm)]]+arredondarParaCimaMultiplo5cm(MAX(5,SQRT(PI())/2*ECF[[#This Row],[Ø (cm)]]/5)),"N.S.")</f>
        <v>195</v>
      </c>
      <c r="AM156" s="5">
        <f ca="1">alpha(ECF[[#This Row],[nE]],ECF[[#This Row],[d (cm)]],ECF[[#This Row],[e (cm)]],ECF[[#This Row],[ap,eq (cm)]])</f>
        <v>90</v>
      </c>
      <c r="AN156" s="35">
        <f ca="1">IFERROR(ECF[[#This Row],[Nsd (kN)]]/(ECF[[#This Row],[Ap (cm²)]]*SIN(ECF[[#This Row],[α]])^2),"N.S.")</f>
        <v>1.2164485570105679</v>
      </c>
      <c r="AO156" s="35">
        <f ca="1">IFERROR(ECF[[#This Row],[Nsd (kN)]]/(ECF[[#This Row],[nE]]*PI()*ECF[[#This Row],[Ø (cm)]]^2/4*SIN(ECF[[#This Row],[α]])^2),"N.S.")</f>
        <v>0.28447905433259046</v>
      </c>
      <c r="AP156" s="4">
        <f ca="1">IFERROR(INDEX(grupoEstacas[],ECF[[#This Row],[nE]],MATCH("coef. Blévot",grupoEstacas[#Headers],0)),"N.S.")</f>
        <v>1</v>
      </c>
      <c r="AQ156" s="35">
        <f ca="1">IFERROR(ECF[[#This Row],[coef. Blévot]]*0.9*INDEX(tipoEstaca[],MATCH($D$2,tipoEstaca[TIPO DE ESTACA],0),MATCH("fcd (kN/cm²)",tipoEstaca[#Headers],0)),"N.S.")</f>
        <v>1</v>
      </c>
      <c r="AR156" s="1" t="str">
        <f ca="1">IF(AND(ECF[[#This Row],[cd,b,pil (kN/cm²)]]&lt;=ECF[[#This Row],[cd,b,lim (kN/cm²)]],ECF[[#This Row],[cd,b,est (kN/cm²)]]&lt;=ECF[[#This Row],[cd,b,lim (kN/cm²)]]),"OK","ERRO")</f>
        <v>ERRO</v>
      </c>
      <c r="AS156" s="4">
        <f ca="1">As_lado(ECF[[#This Row],[nE]],ECF[[#This Row],[Nsd (kN)]],ECF[[#This Row],[d (cm)]],ECF[[#This Row],[e (cm)]],ECF[[#This Row],[ap,eq (cm)]])</f>
        <v>20.125</v>
      </c>
      <c r="AT156" s="4">
        <f ca="1">IF(ECF[[#This Row],[nE]]=1,ECF[[#This Row],[As,lado (cm²)]],IF(ECF[[#This Row],[nE]]=2,0.075*2*ECF[a (cm)],"N.A."))</f>
        <v>20.125</v>
      </c>
      <c r="AU156" s="4" t="str">
        <f ca="1">IFERROR(IF(ECF[[#This Row],[nE]]=1,"N.A.",0.2*ECF[[#This Row],[As,lado (cm²)]]),"N.S.")</f>
        <v>N.A.</v>
      </c>
      <c r="AV156" s="4" t="str">
        <f ca="1">As_malha(ECF[[#This Row],[nE]],ECF[[#This Row],[As,lado (cm²)]],ECF[[#This Row],[Nsd (kN)]])</f>
        <v>N.A.</v>
      </c>
      <c r="AW156" s="4" t="str">
        <f ca="1">As_susp_tot(ECF[[#This Row],[nE]],ECF[[#This Row],[Nsd (kN)]])</f>
        <v>N.A.</v>
      </c>
      <c r="AX156" s="4" t="str">
        <f ca="1">Asp_face(ECF[[#This Row],[nE]],ECF[[#This Row],[As,lado (cm²)]])</f>
        <v>N.A.</v>
      </c>
      <c r="AY156" s="5">
        <f ca="1">acoBloco(ECF[[#This Row],[nE]],ECF[[#This Row],[e (cm)]],ECF[[#This Row],[a (cm)]],ECF[[#This Row],[h (cm)]],ECF[[#This Row],[As,lado (cm²)]],ECF[[#This Row],[Asp e Asw (cm²/m)]],ECF[[#This Row],[As,sup (cm²)]],ECF[[#This Row],[As,malha (cm²)]],ECF[[#This Row],[As,susp,tot (cm²)]],ECF[[#This Row],[Asp,face (cm²)]])</f>
        <v>325.44137499999999</v>
      </c>
      <c r="AZ156" s="4">
        <f ca="1">concretoBloco(ECF[[#This Row],[nE]],ECF[[#This Row],[e (cm)]],ECF[[#This Row],[a (cm)]],ECF[[#This Row],[h (cm)]])</f>
        <v>4.992</v>
      </c>
      <c r="BA156" s="5">
        <f ca="1">SUM(ECF[[#This Row],[Aço Est (kg)]],ECF[[#This Row],[Aço Bloco (kg)]])</f>
        <v>518.7875532725302</v>
      </c>
      <c r="BB156" s="4">
        <f>INDEX(composicoes[],MATCH(95580,composicoes[CÓDIGO],0),MATCH("CUSTO TOTAL",composicoes[#Headers],0))</f>
        <v>10.46</v>
      </c>
      <c r="BC156" s="4">
        <f ca="1">SUM(ECF[[#This Row],[Conc Est (m³)]],ECF[[#This Row],[Conc Bloco (m³)]])</f>
        <v>21.925184402848984</v>
      </c>
      <c r="BD156" s="4">
        <f>INDEX(composicoes[],MATCH(94966,composicoes[CÓDIGO],0),MATCH("CUSTO TOTAL",composicoes[#Headers],0))</f>
        <v>439.52</v>
      </c>
      <c r="BE156" s="38">
        <f ca="1">ECF[[#This Row],[Aço (kg)]]*ECF[[#This Row],[Aço (R$/kg)]]+ECF[[#This Row],[Conc (m³)]]*ECF[[#This Row],[Conc (R$/m³)]]</f>
        <v>15063.074855970852</v>
      </c>
      <c r="BF156" s="4" t="str">
        <f ca="1">IF(COUNTIF(ECF[#This Row],"N.S.")&gt;0,"lim.","OK")</f>
        <v>OK</v>
      </c>
      <c r="BG156" s="4" t="str">
        <f>IF(ECF[[#This Row],[Prof. (m)]]&lt;4,"lim.","OK")</f>
        <v>OK</v>
      </c>
      <c r="BH156" s="4" t="str">
        <f>IF(ECF[[#This Row],[Prof. (m)]]&gt;=8*ECF[[#This Row],[Ø (cm)]]/100,"OK","lim.")</f>
        <v>lim.</v>
      </c>
      <c r="BI156" s="4" t="str">
        <f>IF(AND(SPT!$F$3&lt;&gt;"",ECF[[#This Row],[Prof. (m)]]&gt;=SPT!$F$3-2),"lim.","OK")</f>
        <v>OK</v>
      </c>
      <c r="BJ156" s="4" t="str">
        <f ca="1">IF(ECF[[#This Row],[Verif. Biela]]="OK","OK","lim.")</f>
        <v>lim.</v>
      </c>
      <c r="BK156" s="4" t="str">
        <f ca="1">IF(COUNTA(ECF[[#This Row],[Nº Est.]:[Biela comp.]])=COUNTIF(ECF[[#This Row],[Nº Est.]:[Biela comp.]],"OK"),"OK","lim.")</f>
        <v>lim.</v>
      </c>
      <c r="BL156" s="4" t="str">
        <f ca="1">IF(ECF[[#This Row],[Controle]]="OK",ECF[[#This Row],[nE]]&amp;" Ø"&amp;ECF[[#This Row],[Ø (cm)]]&amp;"cm Prof. "&amp;ECF[[#This Row],[Prof. (m)]]&amp;" m","")</f>
        <v/>
      </c>
      <c r="BM156" s="4" t="str">
        <f ca="1">IF(ECF[[#This Row],[idDimensionamento]]="","",ECF[[#This Row],[idPilar]]&amp;ECF[[#This Row],[idDimensionamento]])</f>
        <v/>
      </c>
    </row>
    <row r="157" spans="2:65" x14ac:dyDescent="0.25">
      <c r="B157" s="12">
        <f>ROUNDUP((ROW(ECF[[#This Row],[idDiâmetro]])-ROW(ECF[[#Headers],[idDiâmetro]]))/(COUNT(SPT[Prof. (m)])*COUNT(PILARES[Pilar])),0)</f>
        <v>6</v>
      </c>
      <c r="C157" s="12">
        <f>IF(ECF[[#This Row],[idDiâmetro]]&lt;&gt;B156,1,IF(ECF[[#This Row],[Prof. (m)]]=0,C156+1,C156))</f>
        <v>1</v>
      </c>
      <c r="D157" s="1">
        <f>IFERROR(IF(D156=MAX(SPT[Prof. (m)]),0,D156+1),0)</f>
        <v>12</v>
      </c>
      <c r="E157" s="1">
        <f>INDEX(SPT[],MATCH(ECF[[#This Row],[Prof. (m)]],SPT[Prof. (m)],0),2)</f>
        <v>52</v>
      </c>
      <c r="F157" s="1" t="str">
        <f>INDEX(SPT[],MATCH(ECF[[#This Row],[Prof. (m)]],SPT[Prof. (m)],0),3)</f>
        <v>Areia siltosa</v>
      </c>
      <c r="G157" s="1">
        <f>INDEX(estacas[],ECF[[#This Row],[idDiâmetro]],MATCH($B$2,estacas[#Headers],0))</f>
        <v>140</v>
      </c>
      <c r="H157" s="1">
        <f>INDEX(estacas[],MATCH(ECF[[#This Row],[Ø (cm)]],estacas[Ø ECF (cm)],0),MATCH(ECF[[#Headers],[Pe ECF (kN)]],estacas[#Headers],0))</f>
        <v>6200</v>
      </c>
      <c r="I157" s="4">
        <f>INDEX(K_alpha_C[],MATCH(ECF[[#This Row],[Solo]],K_alpha_C[Solo],0),2)</f>
        <v>0.8</v>
      </c>
      <c r="J157" s="5">
        <f>INDEX(K_alpha_C[],MATCH(ECF[[#This Row],[Solo]],K_alpha_C[Solo],0),3)</f>
        <v>2</v>
      </c>
      <c r="K157" s="4">
        <f>INDEX(F1_F2[],MATCH($D$2,F1_F2[Tipo de estaca],0),2)</f>
        <v>3</v>
      </c>
      <c r="L157" s="4">
        <f>INDEX(F1_F2[],MATCH($D$2,F1_F2[Tipo de estaca],0),3)</f>
        <v>6</v>
      </c>
      <c r="M157" s="4">
        <f>PI()*(ECF[[#This Row],[Ø (cm)]]/100)^2/4</f>
        <v>1.5393804002589984</v>
      </c>
      <c r="N157" s="4">
        <f>PI()*ECF[[#This Row],[Ø (cm)]]/100</f>
        <v>4.3982297150257104</v>
      </c>
      <c r="O157" s="4">
        <f>IF(ECF[[#This Row],[Prof. (m)]]=0,0,ECF[[#This Row],[α (%)]]/100*ECF[[#This Row],[K (MPa)]]*1000*ECF[[#This Row],[NSPT]])</f>
        <v>832</v>
      </c>
      <c r="P157" s="4">
        <f>IF(ECF[[#This Row],[Prof. (m)]]=0,0,(ECF[[#This Row],[K (MPa)]]*1000*ECF[[#This Row],[NSPT]]/ECF[[#This Row],[F1]]*ECF[[#This Row],[Ap (m²)]]+ECF[[#This Row],[U (m)]]/ECF[[#This Row],[F2]]*SUMIFS(ECF[(α∙K∙NL∙ΔL)],ECF[Prof. (m)],"&lt;="&amp;ECF[[#This Row],[Prof. (m)]],ECF[idDiâmetro],ECF[[#This Row],[idDiâmetro]],ECF[idPilar],ECF[[#This Row],[idPilar]]))/'DADOS CAP. CARGA'!$D$2)</f>
        <v>11925.030182092081</v>
      </c>
      <c r="Q157" s="12">
        <f>INDEX(C_alpha_beta[],MATCH(ECF[[#This Row],[Solo]],C_alpha_beta[Solo],0),MATCH(ECF[[#Headers],[C (kPa)]],C_alpha_beta[#Headers],0))</f>
        <v>400</v>
      </c>
      <c r="R157" s="4">
        <f>INDEX(C_alpha_beta[],MATCH(ECF[[#This Row],[Solo]],C_alpha_beta[Solo],0),MATCH(ECF[[#Headers],[α ESF]],C_alpha_beta[#Headers],0))</f>
        <v>0.5</v>
      </c>
      <c r="S157" s="4">
        <f>INDEX(C_alpha_beta[],MATCH(ECF[[#This Row],[Solo]],C_alpha_beta[Solo],0),MATCH(ECF[[#Headers],[β ESF]],C_alpha_beta[#Headers],0))</f>
        <v>0.5</v>
      </c>
      <c r="T157" s="4">
        <f>IF(ECF[[#This Row],[Prof. (m)]]=0,0,10*(ECF[[#This Row],[NSPT]]/3+1))</f>
        <v>183.33333333333331</v>
      </c>
      <c r="U157" s="4">
        <f>(ECF[[#This Row],[α ESF]]*ECF[[#This Row],[C (kPa)]]*ECF[[#This Row],[NSPT]]*ECF[[#This Row],[Ap (m²)]])/'DADOS CAP. CARGA'!$Q$2+(ECF[[#This Row],[β ESF]]*SUMIFS(ECF[10∙(NL/3+1)],ECF[Prof. (m)],"&lt;="&amp;ECF[[#This Row],[Prof. (m)]],ECF[idDiâmetro],ECF[[#This Row],[idDiâmetro]],ECF[idPilar],ECF[[#This Row],[idPilar]])*ECF[[#This Row],[U (m)]])/'DADOS CAP. CARGA'!$S$2</f>
        <v>4951.6736208331113</v>
      </c>
      <c r="V157" s="4">
        <f>IF(SPT!$M$5=1,MIN(ECF[[#This Row],[Pe ECF (kN)]],ECF[[#This Row],[R_AV (kN)]]),IF(SPT!$M$5=2,MIN(ECF[[#This Row],[Pe ECF (kN)]],ECF[[#This Row],[R_DC (kN)]]),MIN(ECF[[#This Row],[Pe ECF (kN)]],ECF[[#This Row],[R_AV (kN)]],ECF[[#This Row],[R_DC (kN)]])))</f>
        <v>4951.6736208331113</v>
      </c>
      <c r="W157" s="4">
        <f>INDEX(PILARES[],ECF[[#This Row],[idPilar]],MATCH("Carga (kN)",PILARES[#Headers],0))*1.4</f>
        <v>3500</v>
      </c>
      <c r="X157" s="12">
        <f>INDEX(PILARES[],ECF[[#This Row],[idPilar]],MATCH(ECF[[#Headers],[ap (cm)]],PILARES[#Headers],0))</f>
        <v>60</v>
      </c>
      <c r="Y157" s="12">
        <f>INDEX(PILARES[],ECF[[#This Row],[idPilar]],MATCH(ECF[[#Headers],[bp (cm)]],PILARES[#Headers],0))</f>
        <v>60</v>
      </c>
      <c r="Z157" s="4">
        <f>SQRT(ECF[[#This Row],[ap (cm)]]*ECF[[#This Row],[bp (cm)]])</f>
        <v>60</v>
      </c>
      <c r="AA157" s="12">
        <f>ECF[[#This Row],[ap (cm)]]*ECF[[#This Row],[bp (cm)]]</f>
        <v>3600</v>
      </c>
      <c r="AB157" s="12">
        <f ca="1">IF(ECF[[#This Row],[Padm∙ε (kN)]]&gt;=ECF[[#This Row],[Padm (kN)]],ROUNDUP(1.05*ECF[[#This Row],[Nsd (kN)]]/ECF[[#This Row],[Padm (kN)]],0),ROUNDUP(1.05*ECF[[#This Row],[Nsd (kN)]]/ECF[[#This Row],[Padm (kN)]],0)+1)</f>
        <v>1</v>
      </c>
      <c r="AC157" s="4">
        <f ca="1">IFERROR(IF(ECF[[#This Row],[nE]]=1,ECF[[#This Row],[Padm (kN)]],ECF[[#This Row],[Padm (kN)]]*ECF[[#This Row],[nE]]*INDEX(grupoEstacas[],ECF[[#This Row],[nE]],MATCH("ε",grupoEstacas[#Headers],0))),"N.S.")</f>
        <v>4951.6736208331113</v>
      </c>
      <c r="AD157" s="4">
        <f ca="1">1.05*ECF[[#This Row],[Nsd (kN)]]/(ECF[[#This Row],[nE]]*PI()*ECF[[#This Row],[Ø (cm)]]^2/4)*10</f>
        <v>2.3873241463784298</v>
      </c>
      <c r="AE157" s="4">
        <f ca="1">IF(ECF[[#This Row],[σ (MPa)]]&lt;INDEX(tipoEstaca[],MATCH($D$2,tipoEstaca[TIPO DE ESTACA],0),MATCH("σmáx (MPa)",tipoEstaca[#Headers],0)),0.4%*PI()*ECF[[#This Row],[Ø (cm)]]^2/4,"N.S.")</f>
        <v>61.575216010359952</v>
      </c>
      <c r="AF157" s="1">
        <f>INDEX(tipoEstaca[],MATCH($D$2,tipoEstaca[TIPO DE ESTACA],0),MATCH(ECF[[#Headers],[Comprimento (m)]],tipoEstaca[#Headers],0))</f>
        <v>4</v>
      </c>
      <c r="AG157" s="5">
        <f ca="1">ECF[[#This Row],[As,mín (cm²)]]/100^2*ECF[[#This Row],[Comprimento (m)]]*7850</f>
        <v>193.34617827253024</v>
      </c>
      <c r="AH157" s="4">
        <f ca="1">ECF[[#This Row],[nE]]*ECF[[#This Row],[Prof. (m)]]*ECF[[#This Row],[Ap (m²)]]</f>
        <v>18.472564803107979</v>
      </c>
      <c r="AI157" s="1">
        <f ca="1">IF(ECF[[#This Row],[nE]]=1,0,MAX(3*ECF[[#This Row],[Ø (cm)]],60))</f>
        <v>0</v>
      </c>
      <c r="AJ157" s="1">
        <f ca="1">IF(ECF[[#This Row],[nE]]=1,ECF[[#This Row],[Ø (cm)]]+2*10,MAX(1.5*ECF[[#This Row],[Ø (cm)]],ECF[[#This Row],[Ø (cm)]]+15))</f>
        <v>160</v>
      </c>
      <c r="AK157" s="1">
        <f ca="1">alturaUtil(ECF[[#This Row],[nE]],ECF[[#This Row],[Ø (cm)]],ECF[[#This Row],[e (cm)]],ECF[[#This Row],[ap,eq (cm)]])</f>
        <v>170</v>
      </c>
      <c r="AL157" s="1">
        <f ca="1">IFERROR(ECF[[#This Row],[d (cm)]]+arredondarParaCimaMultiplo5cm(MAX(5,SQRT(PI())/2*ECF[[#This Row],[Ø (cm)]]/5)),"N.S.")</f>
        <v>195</v>
      </c>
      <c r="AM157" s="5">
        <f ca="1">alpha(ECF[[#This Row],[nE]],ECF[[#This Row],[d (cm)]],ECF[[#This Row],[e (cm)]],ECF[[#This Row],[ap,eq (cm)]])</f>
        <v>90</v>
      </c>
      <c r="AN157" s="35">
        <f ca="1">IFERROR(ECF[[#This Row],[Nsd (kN)]]/(ECF[[#This Row],[Ap (cm²)]]*SIN(ECF[[#This Row],[α]])^2),"N.S.")</f>
        <v>1.2164485570105679</v>
      </c>
      <c r="AO157" s="35">
        <f ca="1">IFERROR(ECF[[#This Row],[Nsd (kN)]]/(ECF[[#This Row],[nE]]*PI()*ECF[[#This Row],[Ø (cm)]]^2/4*SIN(ECF[[#This Row],[α]])^2),"N.S.")</f>
        <v>0.28447905433259046</v>
      </c>
      <c r="AP157" s="4">
        <f ca="1">IFERROR(INDEX(grupoEstacas[],ECF[[#This Row],[nE]],MATCH("coef. Blévot",grupoEstacas[#Headers],0)),"N.S.")</f>
        <v>1</v>
      </c>
      <c r="AQ157" s="35">
        <f ca="1">IFERROR(ECF[[#This Row],[coef. Blévot]]*0.9*INDEX(tipoEstaca[],MATCH($D$2,tipoEstaca[TIPO DE ESTACA],0),MATCH("fcd (kN/cm²)",tipoEstaca[#Headers],0)),"N.S.")</f>
        <v>1</v>
      </c>
      <c r="AR157" s="1" t="str">
        <f ca="1">IF(AND(ECF[[#This Row],[cd,b,pil (kN/cm²)]]&lt;=ECF[[#This Row],[cd,b,lim (kN/cm²)]],ECF[[#This Row],[cd,b,est (kN/cm²)]]&lt;=ECF[[#This Row],[cd,b,lim (kN/cm²)]]),"OK","ERRO")</f>
        <v>ERRO</v>
      </c>
      <c r="AS157" s="4">
        <f ca="1">As_lado(ECF[[#This Row],[nE]],ECF[[#This Row],[Nsd (kN)]],ECF[[#This Row],[d (cm)]],ECF[[#This Row],[e (cm)]],ECF[[#This Row],[ap,eq (cm)]])</f>
        <v>20.125</v>
      </c>
      <c r="AT157" s="4">
        <f ca="1">IF(ECF[[#This Row],[nE]]=1,ECF[[#This Row],[As,lado (cm²)]],IF(ECF[[#This Row],[nE]]=2,0.075*2*ECF[a (cm)],"N.A."))</f>
        <v>20.125</v>
      </c>
      <c r="AU157" s="4" t="str">
        <f ca="1">IFERROR(IF(ECF[[#This Row],[nE]]=1,"N.A.",0.2*ECF[[#This Row],[As,lado (cm²)]]),"N.S.")</f>
        <v>N.A.</v>
      </c>
      <c r="AV157" s="4" t="str">
        <f ca="1">As_malha(ECF[[#This Row],[nE]],ECF[[#This Row],[As,lado (cm²)]],ECF[[#This Row],[Nsd (kN)]])</f>
        <v>N.A.</v>
      </c>
      <c r="AW157" s="4" t="str">
        <f ca="1">As_susp_tot(ECF[[#This Row],[nE]],ECF[[#This Row],[Nsd (kN)]])</f>
        <v>N.A.</v>
      </c>
      <c r="AX157" s="4" t="str">
        <f ca="1">Asp_face(ECF[[#This Row],[nE]],ECF[[#This Row],[As,lado (cm²)]])</f>
        <v>N.A.</v>
      </c>
      <c r="AY157" s="5">
        <f ca="1">acoBloco(ECF[[#This Row],[nE]],ECF[[#This Row],[e (cm)]],ECF[[#This Row],[a (cm)]],ECF[[#This Row],[h (cm)]],ECF[[#This Row],[As,lado (cm²)]],ECF[[#This Row],[Asp e Asw (cm²/m)]],ECF[[#This Row],[As,sup (cm²)]],ECF[[#This Row],[As,malha (cm²)]],ECF[[#This Row],[As,susp,tot (cm²)]],ECF[[#This Row],[Asp,face (cm²)]])</f>
        <v>325.44137499999999</v>
      </c>
      <c r="AZ157" s="4">
        <f ca="1">concretoBloco(ECF[[#This Row],[nE]],ECF[[#This Row],[e (cm)]],ECF[[#This Row],[a (cm)]],ECF[[#This Row],[h (cm)]])</f>
        <v>4.992</v>
      </c>
      <c r="BA157" s="5">
        <f ca="1">SUM(ECF[[#This Row],[Aço Est (kg)]],ECF[[#This Row],[Aço Bloco (kg)]])</f>
        <v>518.7875532725302</v>
      </c>
      <c r="BB157" s="4">
        <f>INDEX(composicoes[],MATCH(95580,composicoes[CÓDIGO],0),MATCH("CUSTO TOTAL",composicoes[#Headers],0))</f>
        <v>10.46</v>
      </c>
      <c r="BC157" s="4">
        <f ca="1">SUM(ECF[[#This Row],[Conc Est (m³)]],ECF[[#This Row],[Conc Bloco (m³)]])</f>
        <v>23.464564803107979</v>
      </c>
      <c r="BD157" s="4">
        <f>INDEX(composicoes[],MATCH(94966,composicoes[CÓDIGO],0),MATCH("CUSTO TOTAL",composicoes[#Headers],0))</f>
        <v>439.52</v>
      </c>
      <c r="BE157" s="38">
        <f ca="1">ECF[[#This Row],[Aço (kg)]]*ECF[[#This Row],[Aço (R$/kg)]]+ECF[[#This Row],[Conc (m³)]]*ECF[[#This Row],[Conc (R$/m³)]]</f>
        <v>15739.663329492685</v>
      </c>
      <c r="BF157" s="4" t="str">
        <f ca="1">IF(COUNTIF(ECF[#This Row],"N.S.")&gt;0,"lim.","OK")</f>
        <v>OK</v>
      </c>
      <c r="BG157" s="4" t="str">
        <f>IF(ECF[[#This Row],[Prof. (m)]]&lt;4,"lim.","OK")</f>
        <v>OK</v>
      </c>
      <c r="BH157" s="4" t="str">
        <f>IF(ECF[[#This Row],[Prof. (m)]]&gt;=8*ECF[[#This Row],[Ø (cm)]]/100,"OK","lim.")</f>
        <v>OK</v>
      </c>
      <c r="BI157" s="4" t="str">
        <f>IF(AND(SPT!$F$3&lt;&gt;"",ECF[[#This Row],[Prof. (m)]]&gt;=SPT!$F$3-2),"lim.","OK")</f>
        <v>OK</v>
      </c>
      <c r="BJ157" s="4" t="str">
        <f ca="1">IF(ECF[[#This Row],[Verif. Biela]]="OK","OK","lim.")</f>
        <v>lim.</v>
      </c>
      <c r="BK157" s="4" t="str">
        <f ca="1">IF(COUNTA(ECF[[#This Row],[Nº Est.]:[Biela comp.]])=COUNTIF(ECF[[#This Row],[Nº Est.]:[Biela comp.]],"OK"),"OK","lim.")</f>
        <v>lim.</v>
      </c>
      <c r="BL157" s="4" t="str">
        <f ca="1">IF(ECF[[#This Row],[Controle]]="OK",ECF[[#This Row],[nE]]&amp;" Ø"&amp;ECF[[#This Row],[Ø (cm)]]&amp;"cm Prof. "&amp;ECF[[#This Row],[Prof. (m)]]&amp;" m","")</f>
        <v/>
      </c>
      <c r="BM157" s="4" t="str">
        <f ca="1">IF(ECF[[#This Row],[idDimensionamento]]="","",ECF[[#This Row],[idPilar]]&amp;ECF[[#This Row],[idDimensionamento]])</f>
        <v/>
      </c>
    </row>
    <row r="158" spans="2:65" x14ac:dyDescent="0.25">
      <c r="B158" s="12">
        <f>ROUNDUP((ROW(ECF[[#This Row],[idDiâmetro]])-ROW(ECF[[#Headers],[idDiâmetro]]))/(COUNT(SPT[Prof. (m)])*COUNT(PILARES[Pilar])),0)</f>
        <v>6</v>
      </c>
      <c r="C158" s="12">
        <f>IF(ECF[[#This Row],[idDiâmetro]]&lt;&gt;B157,1,IF(ECF[[#This Row],[Prof. (m)]]=0,C157+1,C157))</f>
        <v>1</v>
      </c>
      <c r="D158" s="1">
        <f>IFERROR(IF(D157=MAX(SPT[Prof. (m)]),0,D157+1),0)</f>
        <v>13</v>
      </c>
      <c r="E158" s="1">
        <f>INDEX(SPT[],MATCH(ECF[[#This Row],[Prof. (m)]],SPT[Prof. (m)],0),2)</f>
        <v>68</v>
      </c>
      <c r="F158" s="1" t="str">
        <f>INDEX(SPT[],MATCH(ECF[[#This Row],[Prof. (m)]],SPT[Prof. (m)],0),3)</f>
        <v>Areia siltosa</v>
      </c>
      <c r="G158" s="1">
        <f>INDEX(estacas[],ECF[[#This Row],[idDiâmetro]],MATCH($B$2,estacas[#Headers],0))</f>
        <v>140</v>
      </c>
      <c r="H158" s="1">
        <f>INDEX(estacas[],MATCH(ECF[[#This Row],[Ø (cm)]],estacas[Ø ECF (cm)],0),MATCH(ECF[[#Headers],[Pe ECF (kN)]],estacas[#Headers],0))</f>
        <v>6200</v>
      </c>
      <c r="I158" s="4">
        <f>INDEX(K_alpha_C[],MATCH(ECF[[#This Row],[Solo]],K_alpha_C[Solo],0),2)</f>
        <v>0.8</v>
      </c>
      <c r="J158" s="5">
        <f>INDEX(K_alpha_C[],MATCH(ECF[[#This Row],[Solo]],K_alpha_C[Solo],0),3)</f>
        <v>2</v>
      </c>
      <c r="K158" s="4">
        <f>INDEX(F1_F2[],MATCH($D$2,F1_F2[Tipo de estaca],0),2)</f>
        <v>3</v>
      </c>
      <c r="L158" s="4">
        <f>INDEX(F1_F2[],MATCH($D$2,F1_F2[Tipo de estaca],0),3)</f>
        <v>6</v>
      </c>
      <c r="M158" s="4">
        <f>PI()*(ECF[[#This Row],[Ø (cm)]]/100)^2/4</f>
        <v>1.5393804002589984</v>
      </c>
      <c r="N158" s="4">
        <f>PI()*ECF[[#This Row],[Ø (cm)]]/100</f>
        <v>4.3982297150257104</v>
      </c>
      <c r="O158" s="4">
        <f>IF(ECF[[#This Row],[Prof. (m)]]=0,0,ECF[[#This Row],[α (%)]]/100*ECF[[#This Row],[K (MPa)]]*1000*ECF[[#This Row],[NSPT]])</f>
        <v>1088</v>
      </c>
      <c r="P158" s="4">
        <f>IF(ECF[[#This Row],[Prof. (m)]]=0,0,(ECF[[#This Row],[K (MPa)]]*1000*ECF[[#This Row],[NSPT]]/ECF[[#This Row],[F1]]*ECF[[#This Row],[Ap (m²)]]+ECF[[#This Row],[U (m)]]/ECF[[#This Row],[F2]]*SUMIFS(ECF[(α∙K∙NL∙ΔL)],ECF[Prof. (m)],"&lt;="&amp;ECF[[#This Row],[Prof. (m)]],ECF[idDiâmetro],ECF[[#This Row],[idDiâmetro]],ECF[idPilar],ECF[[#This Row],[idPilar]]))/'DADOS CAP. CARGA'!$D$2)</f>
        <v>15607.814530140276</v>
      </c>
      <c r="Q158" s="12">
        <f>INDEX(C_alpha_beta[],MATCH(ECF[[#This Row],[Solo]],C_alpha_beta[Solo],0),MATCH(ECF[[#Headers],[C (kPa)]],C_alpha_beta[#Headers],0))</f>
        <v>400</v>
      </c>
      <c r="R158" s="4">
        <f>INDEX(C_alpha_beta[],MATCH(ECF[[#This Row],[Solo]],C_alpha_beta[Solo],0),MATCH(ECF[[#Headers],[α ESF]],C_alpha_beta[#Headers],0))</f>
        <v>0.5</v>
      </c>
      <c r="S158" s="4">
        <f>INDEX(C_alpha_beta[],MATCH(ECF[[#This Row],[Solo]],C_alpha_beta[Solo],0),MATCH(ECF[[#Headers],[β ESF]],C_alpha_beta[#Headers],0))</f>
        <v>0.5</v>
      </c>
      <c r="T158" s="4">
        <f>IF(ECF[[#This Row],[Prof. (m)]]=0,0,10*(ECF[[#This Row],[NSPT]]/3+1))</f>
        <v>236.66666666666669</v>
      </c>
      <c r="U158" s="4">
        <f>(ECF[[#This Row],[α ESF]]*ECF[[#This Row],[C (kPa)]]*ECF[[#This Row],[NSPT]]*ECF[[#This Row],[Ap (m²)]])/'DADOS CAP. CARGA'!$Q$2+(ECF[[#This Row],[β ESF]]*SUMIFS(ECF[10∙(NL/3+1)],ECF[Prof. (m)],"&lt;="&amp;ECF[[#This Row],[Prof. (m)]],ECF[idDiâmetro],ECF[[#This Row],[idDiâmetro]],ECF[idPilar],ECF[[#This Row],[idPilar]])*ECF[[#This Row],[U (m)]])/'DADOS CAP. CARGA'!$S$2</f>
        <v>6443.4065325126649</v>
      </c>
      <c r="V158" s="4">
        <f>IF(SPT!$M$5=1,MIN(ECF[[#This Row],[Pe ECF (kN)]],ECF[[#This Row],[R_AV (kN)]]),IF(SPT!$M$5=2,MIN(ECF[[#This Row],[Pe ECF (kN)]],ECF[[#This Row],[R_DC (kN)]]),MIN(ECF[[#This Row],[Pe ECF (kN)]],ECF[[#This Row],[R_AV (kN)]],ECF[[#This Row],[R_DC (kN)]])))</f>
        <v>6200</v>
      </c>
      <c r="W158" s="4">
        <f>INDEX(PILARES[],ECF[[#This Row],[idPilar]],MATCH("Carga (kN)",PILARES[#Headers],0))*1.4</f>
        <v>3500</v>
      </c>
      <c r="X158" s="12">
        <f>INDEX(PILARES[],ECF[[#This Row],[idPilar]],MATCH(ECF[[#Headers],[ap (cm)]],PILARES[#Headers],0))</f>
        <v>60</v>
      </c>
      <c r="Y158" s="12">
        <f>INDEX(PILARES[],ECF[[#This Row],[idPilar]],MATCH(ECF[[#Headers],[bp (cm)]],PILARES[#Headers],0))</f>
        <v>60</v>
      </c>
      <c r="Z158" s="4">
        <f>SQRT(ECF[[#This Row],[ap (cm)]]*ECF[[#This Row],[bp (cm)]])</f>
        <v>60</v>
      </c>
      <c r="AA158" s="12">
        <f>ECF[[#This Row],[ap (cm)]]*ECF[[#This Row],[bp (cm)]]</f>
        <v>3600</v>
      </c>
      <c r="AB158" s="12">
        <f ca="1">IF(ECF[[#This Row],[Padm∙ε (kN)]]&gt;=ECF[[#This Row],[Padm (kN)]],ROUNDUP(1.05*ECF[[#This Row],[Nsd (kN)]]/ECF[[#This Row],[Padm (kN)]],0),ROUNDUP(1.05*ECF[[#This Row],[Nsd (kN)]]/ECF[[#This Row],[Padm (kN)]],0)+1)</f>
        <v>1</v>
      </c>
      <c r="AC158" s="4">
        <f ca="1">IFERROR(IF(ECF[[#This Row],[nE]]=1,ECF[[#This Row],[Padm (kN)]],ECF[[#This Row],[Padm (kN)]]*ECF[[#This Row],[nE]]*INDEX(grupoEstacas[],ECF[[#This Row],[nE]],MATCH("ε",grupoEstacas[#Headers],0))),"N.S.")</f>
        <v>6200</v>
      </c>
      <c r="AD158" s="4">
        <f ca="1">1.05*ECF[[#This Row],[Nsd (kN)]]/(ECF[[#This Row],[nE]]*PI()*ECF[[#This Row],[Ø (cm)]]^2/4)*10</f>
        <v>2.3873241463784298</v>
      </c>
      <c r="AE158" s="4">
        <f ca="1">IF(ECF[[#This Row],[σ (MPa)]]&lt;INDEX(tipoEstaca[],MATCH($D$2,tipoEstaca[TIPO DE ESTACA],0),MATCH("σmáx (MPa)",tipoEstaca[#Headers],0)),0.4%*PI()*ECF[[#This Row],[Ø (cm)]]^2/4,"N.S.")</f>
        <v>61.575216010359952</v>
      </c>
      <c r="AF158" s="1">
        <f>INDEX(tipoEstaca[],MATCH($D$2,tipoEstaca[TIPO DE ESTACA],0),MATCH(ECF[[#Headers],[Comprimento (m)]],tipoEstaca[#Headers],0))</f>
        <v>4</v>
      </c>
      <c r="AG158" s="5">
        <f ca="1">ECF[[#This Row],[As,mín (cm²)]]/100^2*ECF[[#This Row],[Comprimento (m)]]*7850</f>
        <v>193.34617827253024</v>
      </c>
      <c r="AH158" s="4">
        <f ca="1">ECF[[#This Row],[nE]]*ECF[[#This Row],[Prof. (m)]]*ECF[[#This Row],[Ap (m²)]]</f>
        <v>20.011945203366977</v>
      </c>
      <c r="AI158" s="1">
        <f ca="1">IF(ECF[[#This Row],[nE]]=1,0,MAX(3*ECF[[#This Row],[Ø (cm)]],60))</f>
        <v>0</v>
      </c>
      <c r="AJ158" s="1">
        <f ca="1">IF(ECF[[#This Row],[nE]]=1,ECF[[#This Row],[Ø (cm)]]+2*10,MAX(1.5*ECF[[#This Row],[Ø (cm)]],ECF[[#This Row],[Ø (cm)]]+15))</f>
        <v>160</v>
      </c>
      <c r="AK158" s="1">
        <f ca="1">alturaUtil(ECF[[#This Row],[nE]],ECF[[#This Row],[Ø (cm)]],ECF[[#This Row],[e (cm)]],ECF[[#This Row],[ap,eq (cm)]])</f>
        <v>170</v>
      </c>
      <c r="AL158" s="1">
        <f ca="1">IFERROR(ECF[[#This Row],[d (cm)]]+arredondarParaCimaMultiplo5cm(MAX(5,SQRT(PI())/2*ECF[[#This Row],[Ø (cm)]]/5)),"N.S.")</f>
        <v>195</v>
      </c>
      <c r="AM158" s="5">
        <f ca="1">alpha(ECF[[#This Row],[nE]],ECF[[#This Row],[d (cm)]],ECF[[#This Row],[e (cm)]],ECF[[#This Row],[ap,eq (cm)]])</f>
        <v>90</v>
      </c>
      <c r="AN158" s="35">
        <f ca="1">IFERROR(ECF[[#This Row],[Nsd (kN)]]/(ECF[[#This Row],[Ap (cm²)]]*SIN(ECF[[#This Row],[α]])^2),"N.S.")</f>
        <v>1.2164485570105679</v>
      </c>
      <c r="AO158" s="35">
        <f ca="1">IFERROR(ECF[[#This Row],[Nsd (kN)]]/(ECF[[#This Row],[nE]]*PI()*ECF[[#This Row],[Ø (cm)]]^2/4*SIN(ECF[[#This Row],[α]])^2),"N.S.")</f>
        <v>0.28447905433259046</v>
      </c>
      <c r="AP158" s="4">
        <f ca="1">IFERROR(INDEX(grupoEstacas[],ECF[[#This Row],[nE]],MATCH("coef. Blévot",grupoEstacas[#Headers],0)),"N.S.")</f>
        <v>1</v>
      </c>
      <c r="AQ158" s="35">
        <f ca="1">IFERROR(ECF[[#This Row],[coef. Blévot]]*0.9*INDEX(tipoEstaca[],MATCH($D$2,tipoEstaca[TIPO DE ESTACA],0),MATCH("fcd (kN/cm²)",tipoEstaca[#Headers],0)),"N.S.")</f>
        <v>1</v>
      </c>
      <c r="AR158" s="1" t="str">
        <f ca="1">IF(AND(ECF[[#This Row],[cd,b,pil (kN/cm²)]]&lt;=ECF[[#This Row],[cd,b,lim (kN/cm²)]],ECF[[#This Row],[cd,b,est (kN/cm²)]]&lt;=ECF[[#This Row],[cd,b,lim (kN/cm²)]]),"OK","ERRO")</f>
        <v>ERRO</v>
      </c>
      <c r="AS158" s="4">
        <f ca="1">As_lado(ECF[[#This Row],[nE]],ECF[[#This Row],[Nsd (kN)]],ECF[[#This Row],[d (cm)]],ECF[[#This Row],[e (cm)]],ECF[[#This Row],[ap,eq (cm)]])</f>
        <v>20.125</v>
      </c>
      <c r="AT158" s="4">
        <f ca="1">IF(ECF[[#This Row],[nE]]=1,ECF[[#This Row],[As,lado (cm²)]],IF(ECF[[#This Row],[nE]]=2,0.075*2*ECF[a (cm)],"N.A."))</f>
        <v>20.125</v>
      </c>
      <c r="AU158" s="4" t="str">
        <f ca="1">IFERROR(IF(ECF[[#This Row],[nE]]=1,"N.A.",0.2*ECF[[#This Row],[As,lado (cm²)]]),"N.S.")</f>
        <v>N.A.</v>
      </c>
      <c r="AV158" s="4" t="str">
        <f ca="1">As_malha(ECF[[#This Row],[nE]],ECF[[#This Row],[As,lado (cm²)]],ECF[[#This Row],[Nsd (kN)]])</f>
        <v>N.A.</v>
      </c>
      <c r="AW158" s="4" t="str">
        <f ca="1">As_susp_tot(ECF[[#This Row],[nE]],ECF[[#This Row],[Nsd (kN)]])</f>
        <v>N.A.</v>
      </c>
      <c r="AX158" s="4" t="str">
        <f ca="1">Asp_face(ECF[[#This Row],[nE]],ECF[[#This Row],[As,lado (cm²)]])</f>
        <v>N.A.</v>
      </c>
      <c r="AY158" s="5">
        <f ca="1">acoBloco(ECF[[#This Row],[nE]],ECF[[#This Row],[e (cm)]],ECF[[#This Row],[a (cm)]],ECF[[#This Row],[h (cm)]],ECF[[#This Row],[As,lado (cm²)]],ECF[[#This Row],[Asp e Asw (cm²/m)]],ECF[[#This Row],[As,sup (cm²)]],ECF[[#This Row],[As,malha (cm²)]],ECF[[#This Row],[As,susp,tot (cm²)]],ECF[[#This Row],[Asp,face (cm²)]])</f>
        <v>325.44137499999999</v>
      </c>
      <c r="AZ158" s="4">
        <f ca="1">concretoBloco(ECF[[#This Row],[nE]],ECF[[#This Row],[e (cm)]],ECF[[#This Row],[a (cm)]],ECF[[#This Row],[h (cm)]])</f>
        <v>4.992</v>
      </c>
      <c r="BA158" s="5">
        <f ca="1">SUM(ECF[[#This Row],[Aço Est (kg)]],ECF[[#This Row],[Aço Bloco (kg)]])</f>
        <v>518.7875532725302</v>
      </c>
      <c r="BB158" s="4">
        <f>INDEX(composicoes[],MATCH(95580,composicoes[CÓDIGO],0),MATCH("CUSTO TOTAL",composicoes[#Headers],0))</f>
        <v>10.46</v>
      </c>
      <c r="BC158" s="4">
        <f ca="1">SUM(ECF[[#This Row],[Conc Est (m³)]],ECF[[#This Row],[Conc Bloco (m³)]])</f>
        <v>25.003945203366978</v>
      </c>
      <c r="BD158" s="4">
        <f>INDEX(composicoes[],MATCH(94966,composicoes[CÓDIGO],0),MATCH("CUSTO TOTAL",composicoes[#Headers],0))</f>
        <v>439.52</v>
      </c>
      <c r="BE158" s="38">
        <f ca="1">ECF[[#This Row],[Aço (kg)]]*ECF[[#This Row],[Aço (R$/kg)]]+ECF[[#This Row],[Conc (m³)]]*ECF[[#This Row],[Conc (R$/m³)]]</f>
        <v>16416.251803014522</v>
      </c>
      <c r="BF158" s="4" t="str">
        <f ca="1">IF(COUNTIF(ECF[#This Row],"N.S.")&gt;0,"lim.","OK")</f>
        <v>OK</v>
      </c>
      <c r="BG158" s="4" t="str">
        <f>IF(ECF[[#This Row],[Prof. (m)]]&lt;4,"lim.","OK")</f>
        <v>OK</v>
      </c>
      <c r="BH158" s="4" t="str">
        <f>IF(ECF[[#This Row],[Prof. (m)]]&gt;=8*ECF[[#This Row],[Ø (cm)]]/100,"OK","lim.")</f>
        <v>OK</v>
      </c>
      <c r="BI158" s="4" t="str">
        <f>IF(AND(SPT!$F$3&lt;&gt;"",ECF[[#This Row],[Prof. (m)]]&gt;=SPT!$F$3-2),"lim.","OK")</f>
        <v>OK</v>
      </c>
      <c r="BJ158" s="4" t="str">
        <f ca="1">IF(ECF[[#This Row],[Verif. Biela]]="OK","OK","lim.")</f>
        <v>lim.</v>
      </c>
      <c r="BK158" s="4" t="str">
        <f ca="1">IF(COUNTA(ECF[[#This Row],[Nº Est.]:[Biela comp.]])=COUNTIF(ECF[[#This Row],[Nº Est.]:[Biela comp.]],"OK"),"OK","lim.")</f>
        <v>lim.</v>
      </c>
      <c r="BL158" s="4" t="str">
        <f ca="1">IF(ECF[[#This Row],[Controle]]="OK",ECF[[#This Row],[nE]]&amp;" Ø"&amp;ECF[[#This Row],[Ø (cm)]]&amp;"cm Prof. "&amp;ECF[[#This Row],[Prof. (m)]]&amp;" m","")</f>
        <v/>
      </c>
      <c r="BM158" s="4" t="str">
        <f ca="1">IF(ECF[[#This Row],[idDimensionamento]]="","",ECF[[#This Row],[idPilar]]&amp;ECF[[#This Row],[idDimensionamento]])</f>
        <v/>
      </c>
    </row>
    <row r="159" spans="2:65" x14ac:dyDescent="0.25">
      <c r="B159" s="12">
        <f>ROUNDUP((ROW(ECF[[#This Row],[idDiâmetro]])-ROW(ECF[[#Headers],[idDiâmetro]]))/(COUNT(SPT[Prof. (m)])*COUNT(PILARES[Pilar])),0)</f>
        <v>6</v>
      </c>
      <c r="C159" s="12">
        <f>IF(ECF[[#This Row],[idDiâmetro]]&lt;&gt;B158,1,IF(ECF[[#This Row],[Prof. (m)]]=0,C158+1,C158))</f>
        <v>2</v>
      </c>
      <c r="D159" s="1">
        <f>IFERROR(IF(D158=MAX(SPT[Prof. (m)]),0,D158+1),0)</f>
        <v>0</v>
      </c>
      <c r="E159" s="1">
        <f>INDEX(SPT[],MATCH(ECF[[#This Row],[Prof. (m)]],SPT[Prof. (m)],0),2)</f>
        <v>0</v>
      </c>
      <c r="F159" s="1" t="str">
        <f>INDEX(SPT[],MATCH(ECF[[#This Row],[Prof. (m)]],SPT[Prof. (m)],0),3)</f>
        <v>Areia siltosa</v>
      </c>
      <c r="G159" s="1">
        <f>INDEX(estacas[],ECF[[#This Row],[idDiâmetro]],MATCH($B$2,estacas[#Headers],0))</f>
        <v>140</v>
      </c>
      <c r="H159" s="1">
        <f>INDEX(estacas[],MATCH(ECF[[#This Row],[Ø (cm)]],estacas[Ø ECF (cm)],0),MATCH(ECF[[#Headers],[Pe ECF (kN)]],estacas[#Headers],0))</f>
        <v>6200</v>
      </c>
      <c r="I159" s="4">
        <f>INDEX(K_alpha_C[],MATCH(ECF[[#This Row],[Solo]],K_alpha_C[Solo],0),2)</f>
        <v>0.8</v>
      </c>
      <c r="J159" s="5">
        <f>INDEX(K_alpha_C[],MATCH(ECF[[#This Row],[Solo]],K_alpha_C[Solo],0),3)</f>
        <v>2</v>
      </c>
      <c r="K159" s="4">
        <f>INDEX(F1_F2[],MATCH($D$2,F1_F2[Tipo de estaca],0),2)</f>
        <v>3</v>
      </c>
      <c r="L159" s="4">
        <f>INDEX(F1_F2[],MATCH($D$2,F1_F2[Tipo de estaca],0),3)</f>
        <v>6</v>
      </c>
      <c r="M159" s="4">
        <f>PI()*(ECF[[#This Row],[Ø (cm)]]/100)^2/4</f>
        <v>1.5393804002589984</v>
      </c>
      <c r="N159" s="4">
        <f>PI()*ECF[[#This Row],[Ø (cm)]]/100</f>
        <v>4.3982297150257104</v>
      </c>
      <c r="O159" s="4">
        <f>IF(ECF[[#This Row],[Prof. (m)]]=0,0,ECF[[#This Row],[α (%)]]/100*ECF[[#This Row],[K (MPa)]]*1000*ECF[[#This Row],[NSPT]])</f>
        <v>0</v>
      </c>
      <c r="P159" s="4">
        <f>IF(ECF[[#This Row],[Prof. (m)]]=0,0,(ECF[[#This Row],[K (MPa)]]*1000*ECF[[#This Row],[NSPT]]/ECF[[#This Row],[F1]]*ECF[[#This Row],[Ap (m²)]]+ECF[[#This Row],[U (m)]]/ECF[[#This Row],[F2]]*SUMIFS(ECF[(α∙K∙NL∙ΔL)],ECF[Prof. (m)],"&lt;="&amp;ECF[[#This Row],[Prof. (m)]],ECF[idDiâmetro],ECF[[#This Row],[idDiâmetro]],ECF[idPilar],ECF[[#This Row],[idPilar]]))/'DADOS CAP. CARGA'!$D$2)</f>
        <v>0</v>
      </c>
      <c r="Q159" s="12">
        <f>INDEX(C_alpha_beta[],MATCH(ECF[[#This Row],[Solo]],C_alpha_beta[Solo],0),MATCH(ECF[[#Headers],[C (kPa)]],C_alpha_beta[#Headers],0))</f>
        <v>400</v>
      </c>
      <c r="R159" s="4">
        <f>INDEX(C_alpha_beta[],MATCH(ECF[[#This Row],[Solo]],C_alpha_beta[Solo],0),MATCH(ECF[[#Headers],[α ESF]],C_alpha_beta[#Headers],0))</f>
        <v>0.5</v>
      </c>
      <c r="S159" s="4">
        <f>INDEX(C_alpha_beta[],MATCH(ECF[[#This Row],[Solo]],C_alpha_beta[Solo],0),MATCH(ECF[[#Headers],[β ESF]],C_alpha_beta[#Headers],0))</f>
        <v>0.5</v>
      </c>
      <c r="T159" s="4">
        <f>IF(ECF[[#This Row],[Prof. (m)]]=0,0,10*(ECF[[#This Row],[NSPT]]/3+1))</f>
        <v>0</v>
      </c>
      <c r="U159" s="4">
        <f>(ECF[[#This Row],[α ESF]]*ECF[[#This Row],[C (kPa)]]*ECF[[#This Row],[NSPT]]*ECF[[#This Row],[Ap (m²)]])/'DADOS CAP. CARGA'!$Q$2+(ECF[[#This Row],[β ESF]]*SUMIFS(ECF[10∙(NL/3+1)],ECF[Prof. (m)],"&lt;="&amp;ECF[[#This Row],[Prof. (m)]],ECF[idDiâmetro],ECF[[#This Row],[idDiâmetro]],ECF[idPilar],ECF[[#This Row],[idPilar]])*ECF[[#This Row],[U (m)]])/'DADOS CAP. CARGA'!$S$2</f>
        <v>0</v>
      </c>
      <c r="V159" s="4">
        <f>IF(SPT!$M$5=1,MIN(ECF[[#This Row],[Pe ECF (kN)]],ECF[[#This Row],[R_AV (kN)]]),IF(SPT!$M$5=2,MIN(ECF[[#This Row],[Pe ECF (kN)]],ECF[[#This Row],[R_DC (kN)]]),MIN(ECF[[#This Row],[Pe ECF (kN)]],ECF[[#This Row],[R_AV (kN)]],ECF[[#This Row],[R_DC (kN)]])))</f>
        <v>0</v>
      </c>
      <c r="W159" s="4">
        <f>INDEX(PILARES[],ECF[[#This Row],[idPilar]],MATCH("Carga (kN)",PILARES[#Headers],0))*1.4</f>
        <v>1750</v>
      </c>
      <c r="X159" s="12">
        <f>INDEX(PILARES[],ECF[[#This Row],[idPilar]],MATCH(ECF[[#Headers],[ap (cm)]],PILARES[#Headers],0))</f>
        <v>50</v>
      </c>
      <c r="Y159" s="12">
        <f>INDEX(PILARES[],ECF[[#This Row],[idPilar]],MATCH(ECF[[#Headers],[bp (cm)]],PILARES[#Headers],0))</f>
        <v>40</v>
      </c>
      <c r="Z159" s="4">
        <f>SQRT(ECF[[#This Row],[ap (cm)]]*ECF[[#This Row],[bp (cm)]])</f>
        <v>44.721359549995796</v>
      </c>
      <c r="AA159" s="12">
        <f>ECF[[#This Row],[ap (cm)]]*ECF[[#This Row],[bp (cm)]]</f>
        <v>2000</v>
      </c>
      <c r="AB159" s="12" t="e">
        <f ca="1">IF(ECF[[#This Row],[Padm∙ε (kN)]]&gt;=ECF[[#This Row],[Padm (kN)]],ROUNDUP(1.05*ECF[[#This Row],[Nsd (kN)]]/ECF[[#This Row],[Padm (kN)]],0),ROUNDUP(1.05*ECF[[#This Row],[Nsd (kN)]]/ECF[[#This Row],[Padm (kN)]],0)+1)</f>
        <v>#DIV/0!</v>
      </c>
      <c r="AC159" s="4" t="str">
        <f ca="1">IFERROR(IF(ECF[[#This Row],[nE]]=1,ECF[[#This Row],[Padm (kN)]],ECF[[#This Row],[Padm (kN)]]*ECF[[#This Row],[nE]]*INDEX(grupoEstacas[],ECF[[#This Row],[nE]],MATCH("ε",grupoEstacas[#Headers],0))),"N.S.")</f>
        <v>N.S.</v>
      </c>
      <c r="AD159" s="4" t="e">
        <f ca="1">1.05*ECF[[#This Row],[Nsd (kN)]]/(ECF[[#This Row],[nE]]*PI()*ECF[[#This Row],[Ø (cm)]]^2/4)*10</f>
        <v>#DIV/0!</v>
      </c>
      <c r="AE159" s="4" t="e">
        <f ca="1">IF(ECF[[#This Row],[σ (MPa)]]&lt;INDEX(tipoEstaca[],MATCH($D$2,tipoEstaca[TIPO DE ESTACA],0),MATCH("σmáx (MPa)",tipoEstaca[#Headers],0)),0.4%*PI()*ECF[[#This Row],[Ø (cm)]]^2/4,"N.S.")</f>
        <v>#DIV/0!</v>
      </c>
      <c r="AF159" s="1">
        <f>INDEX(tipoEstaca[],MATCH($D$2,tipoEstaca[TIPO DE ESTACA],0),MATCH(ECF[[#Headers],[Comprimento (m)]],tipoEstaca[#Headers],0))</f>
        <v>4</v>
      </c>
      <c r="AG159" s="5" t="e">
        <f ca="1">ECF[[#This Row],[As,mín (cm²)]]/100^2*ECF[[#This Row],[Comprimento (m)]]*7850</f>
        <v>#DIV/0!</v>
      </c>
      <c r="AH159" s="4" t="e">
        <f ca="1">ECF[[#This Row],[nE]]*ECF[[#This Row],[Prof. (m)]]*ECF[[#This Row],[Ap (m²)]]</f>
        <v>#DIV/0!</v>
      </c>
      <c r="AI159" s="1" t="e">
        <f ca="1">IF(ECF[[#This Row],[nE]]=1,0,MAX(3*ECF[[#This Row],[Ø (cm)]],60))</f>
        <v>#DIV/0!</v>
      </c>
      <c r="AJ159" s="1" t="e">
        <f ca="1">IF(ECF[[#This Row],[nE]]=1,ECF[[#This Row],[Ø (cm)]]+2*10,MAX(1.5*ECF[[#This Row],[Ø (cm)]],ECF[[#This Row],[Ø (cm)]]+15))</f>
        <v>#DIV/0!</v>
      </c>
      <c r="AK159" s="1" t="e">
        <f ca="1">alturaUtil(ECF[[#This Row],[nE]],ECF[[#This Row],[Ø (cm)]],ECF[[#This Row],[e (cm)]],ECF[[#This Row],[ap,eq (cm)]])</f>
        <v>#VALUE!</v>
      </c>
      <c r="AL159" s="1" t="str">
        <f ca="1">IFERROR(ECF[[#This Row],[d (cm)]]+arredondarParaCimaMultiplo5cm(MAX(5,SQRT(PI())/2*ECF[[#This Row],[Ø (cm)]]/5)),"N.S.")</f>
        <v>N.S.</v>
      </c>
      <c r="AM159" s="5" t="e">
        <f ca="1">alpha(ECF[[#This Row],[nE]],ECF[[#This Row],[d (cm)]],ECF[[#This Row],[e (cm)]],ECF[[#This Row],[ap,eq (cm)]])</f>
        <v>#VALUE!</v>
      </c>
      <c r="AN159" s="35" t="str">
        <f ca="1">IFERROR(ECF[[#This Row],[Nsd (kN)]]/(ECF[[#This Row],[Ap (cm²)]]*SIN(ECF[[#This Row],[α]])^2),"N.S.")</f>
        <v>N.S.</v>
      </c>
      <c r="AO159" s="35" t="str">
        <f ca="1">IFERROR(ECF[[#This Row],[Nsd (kN)]]/(ECF[[#This Row],[nE]]*PI()*ECF[[#This Row],[Ø (cm)]]^2/4*SIN(ECF[[#This Row],[α]])^2),"N.S.")</f>
        <v>N.S.</v>
      </c>
      <c r="AP159" s="4" t="str">
        <f ca="1">IFERROR(INDEX(grupoEstacas[],ECF[[#This Row],[nE]],MATCH("coef. Blévot",grupoEstacas[#Headers],0)),"N.S.")</f>
        <v>N.S.</v>
      </c>
      <c r="AQ159" s="35" t="str">
        <f ca="1">IFERROR(ECF[[#This Row],[coef. Blévot]]*0.9*INDEX(tipoEstaca[],MATCH($D$2,tipoEstaca[TIPO DE ESTACA],0),MATCH("fcd (kN/cm²)",tipoEstaca[#Headers],0)),"N.S.")</f>
        <v>N.S.</v>
      </c>
      <c r="AR159" s="1" t="str">
        <f ca="1">IF(AND(ECF[[#This Row],[cd,b,pil (kN/cm²)]]&lt;=ECF[[#This Row],[cd,b,lim (kN/cm²)]],ECF[[#This Row],[cd,b,est (kN/cm²)]]&lt;=ECF[[#This Row],[cd,b,lim (kN/cm²)]]),"OK","ERRO")</f>
        <v>OK</v>
      </c>
      <c r="AS159" s="4" t="e">
        <f ca="1">As_lado(ECF[[#This Row],[nE]],ECF[[#This Row],[Nsd (kN)]],ECF[[#This Row],[d (cm)]],ECF[[#This Row],[e (cm)]],ECF[[#This Row],[ap,eq (cm)]])</f>
        <v>#VALUE!</v>
      </c>
      <c r="AT159" s="4" t="e">
        <f ca="1">IF(ECF[[#This Row],[nE]]=1,ECF[[#This Row],[As,lado (cm²)]],IF(ECF[[#This Row],[nE]]=2,0.075*2*ECF[a (cm)],"N.A."))</f>
        <v>#DIV/0!</v>
      </c>
      <c r="AU159" s="4" t="str">
        <f ca="1">IFERROR(IF(ECF[[#This Row],[nE]]=1,"N.A.",0.2*ECF[[#This Row],[As,lado (cm²)]]),"N.S.")</f>
        <v>N.S.</v>
      </c>
      <c r="AV159" s="4" t="e">
        <f ca="1">As_malha(ECF[[#This Row],[nE]],ECF[[#This Row],[As,lado (cm²)]],ECF[[#This Row],[Nsd (kN)]])</f>
        <v>#VALUE!</v>
      </c>
      <c r="AW159" s="4" t="e">
        <f ca="1">As_susp_tot(ECF[[#This Row],[nE]],ECF[[#This Row],[Nsd (kN)]])</f>
        <v>#VALUE!</v>
      </c>
      <c r="AX159" s="4" t="e">
        <f ca="1">Asp_face(ECF[[#This Row],[nE]],ECF[[#This Row],[As,lado (cm²)]])</f>
        <v>#VALUE!</v>
      </c>
      <c r="AY159" s="5" t="e">
        <f ca="1">acoBloco(ECF[[#This Row],[nE]],ECF[[#This Row],[e (cm)]],ECF[[#This Row],[a (cm)]],ECF[[#This Row],[h (cm)]],ECF[[#This Row],[As,lado (cm²)]],ECF[[#This Row],[Asp e Asw (cm²/m)]],ECF[[#This Row],[As,sup (cm²)]],ECF[[#This Row],[As,malha (cm²)]],ECF[[#This Row],[As,susp,tot (cm²)]],ECF[[#This Row],[Asp,face (cm²)]])</f>
        <v>#VALUE!</v>
      </c>
      <c r="AZ159" s="4" t="e">
        <f ca="1">concretoBloco(ECF[[#This Row],[nE]],ECF[[#This Row],[e (cm)]],ECF[[#This Row],[a (cm)]],ECF[[#This Row],[h (cm)]])</f>
        <v>#VALUE!</v>
      </c>
      <c r="BA159" s="5" t="e">
        <f ca="1">SUM(ECF[[#This Row],[Aço Est (kg)]],ECF[[#This Row],[Aço Bloco (kg)]])</f>
        <v>#DIV/0!</v>
      </c>
      <c r="BB159" s="4">
        <f>INDEX(composicoes[],MATCH(95580,composicoes[CÓDIGO],0),MATCH("CUSTO TOTAL",composicoes[#Headers],0))</f>
        <v>10.46</v>
      </c>
      <c r="BC159" s="4" t="e">
        <f ca="1">SUM(ECF[[#This Row],[Conc Est (m³)]],ECF[[#This Row],[Conc Bloco (m³)]])</f>
        <v>#DIV/0!</v>
      </c>
      <c r="BD159" s="4">
        <f>INDEX(composicoes[],MATCH(94966,composicoes[CÓDIGO],0),MATCH("CUSTO TOTAL",composicoes[#Headers],0))</f>
        <v>439.52</v>
      </c>
      <c r="BE159" s="38" t="e">
        <f ca="1">ECF[[#This Row],[Aço (kg)]]*ECF[[#This Row],[Aço (R$/kg)]]+ECF[[#This Row],[Conc (m³)]]*ECF[[#This Row],[Conc (R$/m³)]]</f>
        <v>#DIV/0!</v>
      </c>
      <c r="BF159" s="4" t="str">
        <f ca="1">IF(COUNTIF(ECF[#This Row],"N.S.")&gt;0,"lim.","OK")</f>
        <v>lim.</v>
      </c>
      <c r="BG159" s="4" t="str">
        <f>IF(ECF[[#This Row],[Prof. (m)]]&lt;4,"lim.","OK")</f>
        <v>lim.</v>
      </c>
      <c r="BH159" s="4" t="str">
        <f>IF(ECF[[#This Row],[Prof. (m)]]&gt;=8*ECF[[#This Row],[Ø (cm)]]/100,"OK","lim.")</f>
        <v>lim.</v>
      </c>
      <c r="BI159" s="4" t="str">
        <f>IF(AND(SPT!$F$3&lt;&gt;"",ECF[[#This Row],[Prof. (m)]]&gt;=SPT!$F$3-2),"lim.","OK")</f>
        <v>OK</v>
      </c>
      <c r="BJ159" s="4" t="str">
        <f ca="1">IF(ECF[[#This Row],[Verif. Biela]]="OK","OK","lim.")</f>
        <v>OK</v>
      </c>
      <c r="BK159" s="4" t="str">
        <f ca="1">IF(COUNTA(ECF[[#This Row],[Nº Est.]:[Biela comp.]])=COUNTIF(ECF[[#This Row],[Nº Est.]:[Biela comp.]],"OK"),"OK","lim.")</f>
        <v>lim.</v>
      </c>
      <c r="BL159" s="4" t="str">
        <f ca="1">IF(ECF[[#This Row],[Controle]]="OK",ECF[[#This Row],[nE]]&amp;" Ø"&amp;ECF[[#This Row],[Ø (cm)]]&amp;"cm Prof. "&amp;ECF[[#This Row],[Prof. (m)]]&amp;" m","")</f>
        <v/>
      </c>
      <c r="BM159" s="4" t="str">
        <f ca="1">IF(ECF[[#This Row],[idDimensionamento]]="","",ECF[[#This Row],[idPilar]]&amp;ECF[[#This Row],[idDimensionamento]])</f>
        <v/>
      </c>
    </row>
    <row r="160" spans="2:65" x14ac:dyDescent="0.25">
      <c r="B160" s="12">
        <f>ROUNDUP((ROW(ECF[[#This Row],[idDiâmetro]])-ROW(ECF[[#Headers],[idDiâmetro]]))/(COUNT(SPT[Prof. (m)])*COUNT(PILARES[Pilar])),0)</f>
        <v>6</v>
      </c>
      <c r="C160" s="12">
        <f>IF(ECF[[#This Row],[idDiâmetro]]&lt;&gt;B159,1,IF(ECF[[#This Row],[Prof. (m)]]=0,C159+1,C159))</f>
        <v>2</v>
      </c>
      <c r="D160" s="1">
        <f>IFERROR(IF(D159=MAX(SPT[Prof. (m)]),0,D159+1),0)</f>
        <v>1</v>
      </c>
      <c r="E160" s="1">
        <f>INDEX(SPT[],MATCH(ECF[[#This Row],[Prof. (m)]],SPT[Prof. (m)],0),2)</f>
        <v>2</v>
      </c>
      <c r="F160" s="1" t="str">
        <f>INDEX(SPT[],MATCH(ECF[[#This Row],[Prof. (m)]],SPT[Prof. (m)],0),3)</f>
        <v>Areia siltosa</v>
      </c>
      <c r="G160" s="1">
        <f>INDEX(estacas[],ECF[[#This Row],[idDiâmetro]],MATCH($B$2,estacas[#Headers],0))</f>
        <v>140</v>
      </c>
      <c r="H160" s="1">
        <f>INDEX(estacas[],MATCH(ECF[[#This Row],[Ø (cm)]],estacas[Ø ECF (cm)],0),MATCH(ECF[[#Headers],[Pe ECF (kN)]],estacas[#Headers],0))</f>
        <v>6200</v>
      </c>
      <c r="I160" s="4">
        <f>INDEX(K_alpha_C[],MATCH(ECF[[#This Row],[Solo]],K_alpha_C[Solo],0),2)</f>
        <v>0.8</v>
      </c>
      <c r="J160" s="5">
        <f>INDEX(K_alpha_C[],MATCH(ECF[[#This Row],[Solo]],K_alpha_C[Solo],0),3)</f>
        <v>2</v>
      </c>
      <c r="K160" s="4">
        <f>INDEX(F1_F2[],MATCH($D$2,F1_F2[Tipo de estaca],0),2)</f>
        <v>3</v>
      </c>
      <c r="L160" s="4">
        <f>INDEX(F1_F2[],MATCH($D$2,F1_F2[Tipo de estaca],0),3)</f>
        <v>6</v>
      </c>
      <c r="M160" s="4">
        <f>PI()*(ECF[[#This Row],[Ø (cm)]]/100)^2/4</f>
        <v>1.5393804002589984</v>
      </c>
      <c r="N160" s="4">
        <f>PI()*ECF[[#This Row],[Ø (cm)]]/100</f>
        <v>4.3982297150257104</v>
      </c>
      <c r="O160" s="4">
        <f>IF(ECF[[#This Row],[Prof. (m)]]=0,0,ECF[[#This Row],[α (%)]]/100*ECF[[#This Row],[K (MPa)]]*1000*ECF[[#This Row],[NSPT]])</f>
        <v>32</v>
      </c>
      <c r="P160" s="4">
        <f>IF(ECF[[#This Row],[Prof. (m)]]=0,0,(ECF[[#This Row],[K (MPa)]]*1000*ECF[[#This Row],[NSPT]]/ECF[[#This Row],[F1]]*ECF[[#This Row],[Ap (m²)]]+ECF[[#This Row],[U (m)]]/ECF[[#This Row],[F2]]*SUMIFS(ECF[(α∙K∙NL∙ΔL)],ECF[Prof. (m)],"&lt;="&amp;ECF[[#This Row],[Prof. (m)]],ECF[idDiâmetro],ECF[[#This Row],[idDiâmetro]],ECF[idPilar],ECF[[#This Row],[idPilar]]))/'DADOS CAP. CARGA'!$D$2)</f>
        <v>422.23005264246814</v>
      </c>
      <c r="Q160" s="12">
        <f>INDEX(C_alpha_beta[],MATCH(ECF[[#This Row],[Solo]],C_alpha_beta[Solo],0),MATCH(ECF[[#Headers],[C (kPa)]],C_alpha_beta[#Headers],0))</f>
        <v>400</v>
      </c>
      <c r="R160" s="4">
        <f>INDEX(C_alpha_beta[],MATCH(ECF[[#This Row],[Solo]],C_alpha_beta[Solo],0),MATCH(ECF[[#Headers],[α ESF]],C_alpha_beta[#Headers],0))</f>
        <v>0.5</v>
      </c>
      <c r="S160" s="4">
        <f>INDEX(C_alpha_beta[],MATCH(ECF[[#This Row],[Solo]],C_alpha_beta[Solo],0),MATCH(ECF[[#Headers],[β ESF]],C_alpha_beta[#Headers],0))</f>
        <v>0.5</v>
      </c>
      <c r="T160" s="4">
        <f>IF(ECF[[#This Row],[Prof. (m)]]=0,0,10*(ECF[[#This Row],[NSPT]]/3+1))</f>
        <v>16.666666666666664</v>
      </c>
      <c r="U160" s="4">
        <f>(ECF[[#This Row],[α ESF]]*ECF[[#This Row],[C (kPa)]]*ECF[[#This Row],[NSPT]]*ECF[[#This Row],[Ap (m²)]])/'DADOS CAP. CARGA'!$Q$2+(ECF[[#This Row],[β ESF]]*SUMIFS(ECF[10∙(NL/3+1)],ECF[Prof. (m)],"&lt;="&amp;ECF[[#This Row],[Prof. (m)]],ECF[idDiâmetro],ECF[[#This Row],[idDiâmetro]],ECF[idPilar],ECF[[#This Row],[idPilar]])*ECF[[#This Row],[U (m)]])/'DADOS CAP. CARGA'!$S$2</f>
        <v>172.26399717184029</v>
      </c>
      <c r="V160" s="4">
        <f>IF(SPT!$M$5=1,MIN(ECF[[#This Row],[Pe ECF (kN)]],ECF[[#This Row],[R_AV (kN)]]),IF(SPT!$M$5=2,MIN(ECF[[#This Row],[Pe ECF (kN)]],ECF[[#This Row],[R_DC (kN)]]),MIN(ECF[[#This Row],[Pe ECF (kN)]],ECF[[#This Row],[R_AV (kN)]],ECF[[#This Row],[R_DC (kN)]])))</f>
        <v>172.26399717184029</v>
      </c>
      <c r="W160" s="4">
        <f>INDEX(PILARES[],ECF[[#This Row],[idPilar]],MATCH("Carga (kN)",PILARES[#Headers],0))*1.4</f>
        <v>1750</v>
      </c>
      <c r="X160" s="12">
        <f>INDEX(PILARES[],ECF[[#This Row],[idPilar]],MATCH(ECF[[#Headers],[ap (cm)]],PILARES[#Headers],0))</f>
        <v>50</v>
      </c>
      <c r="Y160" s="12">
        <f>INDEX(PILARES[],ECF[[#This Row],[idPilar]],MATCH(ECF[[#Headers],[bp (cm)]],PILARES[#Headers],0))</f>
        <v>40</v>
      </c>
      <c r="Z160" s="4">
        <f>SQRT(ECF[[#This Row],[ap (cm)]]*ECF[[#This Row],[bp (cm)]])</f>
        <v>44.721359549995796</v>
      </c>
      <c r="AA160" s="12">
        <f>ECF[[#This Row],[ap (cm)]]*ECF[[#This Row],[bp (cm)]]</f>
        <v>2000</v>
      </c>
      <c r="AB160" s="12">
        <f ca="1">IF(ECF[[#This Row],[Padm∙ε (kN)]]&gt;=ECF[[#This Row],[Padm (kN)]],ROUNDUP(1.05*ECF[[#This Row],[Nsd (kN)]]/ECF[[#This Row],[Padm (kN)]],0),ROUNDUP(1.05*ECF[[#This Row],[Nsd (kN)]]/ECF[[#This Row],[Padm (kN)]],0)+1)</f>
        <v>11</v>
      </c>
      <c r="AC160" s="4" t="str">
        <f ca="1">IFERROR(IF(ECF[[#This Row],[nE]]=1,ECF[[#This Row],[Padm (kN)]],ECF[[#This Row],[Padm (kN)]]*ECF[[#This Row],[nE]]*INDEX(grupoEstacas[],ECF[[#This Row],[nE]],MATCH("ε",grupoEstacas[#Headers],0))),"N.S.")</f>
        <v>N.S.</v>
      </c>
      <c r="AD160" s="4">
        <f ca="1">1.05*ECF[[#This Row],[Nsd (kN)]]/(ECF[[#This Row],[nE]]*PI()*ECF[[#This Row],[Ø (cm)]]^2/4)*10</f>
        <v>0.10851473392629228</v>
      </c>
      <c r="AE160" s="4">
        <f ca="1">IF(ECF[[#This Row],[σ (MPa)]]&lt;INDEX(tipoEstaca[],MATCH($D$2,tipoEstaca[TIPO DE ESTACA],0),MATCH("σmáx (MPa)",tipoEstaca[#Headers],0)),0.4%*PI()*ECF[[#This Row],[Ø (cm)]]^2/4,"N.S.")</f>
        <v>61.575216010359952</v>
      </c>
      <c r="AF160" s="1">
        <f>INDEX(tipoEstaca[],MATCH($D$2,tipoEstaca[TIPO DE ESTACA],0),MATCH(ECF[[#Headers],[Comprimento (m)]],tipoEstaca[#Headers],0))</f>
        <v>4</v>
      </c>
      <c r="AG160" s="5">
        <f ca="1">ECF[[#This Row],[As,mín (cm²)]]/100^2*ECF[[#This Row],[Comprimento (m)]]*7850</f>
        <v>193.34617827253024</v>
      </c>
      <c r="AH160" s="4">
        <f ca="1">ECF[[#This Row],[nE]]*ECF[[#This Row],[Prof. (m)]]*ECF[[#This Row],[Ap (m²)]]</f>
        <v>16.933184402848983</v>
      </c>
      <c r="AI160" s="1">
        <f ca="1">IF(ECF[[#This Row],[nE]]=1,0,MAX(3*ECF[[#This Row],[Ø (cm)]],60))</f>
        <v>420</v>
      </c>
      <c r="AJ160" s="1">
        <f ca="1">IF(ECF[[#This Row],[nE]]=1,ECF[[#This Row],[Ø (cm)]]+2*10,MAX(1.5*ECF[[#This Row],[Ø (cm)]],ECF[[#This Row],[Ø (cm)]]+15))</f>
        <v>210</v>
      </c>
      <c r="AK160" s="1" t="str">
        <f ca="1">alturaUtil(ECF[[#This Row],[nE]],ECF[[#This Row],[Ø (cm)]],ECF[[#This Row],[e (cm)]],ECF[[#This Row],[ap,eq (cm)]])</f>
        <v>N.S.</v>
      </c>
      <c r="AL160" s="1" t="str">
        <f ca="1">IFERROR(ECF[[#This Row],[d (cm)]]+arredondarParaCimaMultiplo5cm(MAX(5,SQRT(PI())/2*ECF[[#This Row],[Ø (cm)]]/5)),"N.S.")</f>
        <v>N.S.</v>
      </c>
      <c r="AM160" s="5" t="str">
        <f ca="1">alpha(ECF[[#This Row],[nE]],ECF[[#This Row],[d (cm)]],ECF[[#This Row],[e (cm)]],ECF[[#This Row],[ap,eq (cm)]])</f>
        <v>N.S.</v>
      </c>
      <c r="AN160" s="35" t="str">
        <f ca="1">IFERROR(ECF[[#This Row],[Nsd (kN)]]/(ECF[[#This Row],[Ap (cm²)]]*SIN(ECF[[#This Row],[α]])^2),"N.S.")</f>
        <v>N.S.</v>
      </c>
      <c r="AO160" s="35" t="str">
        <f ca="1">IFERROR(ECF[[#This Row],[Nsd (kN)]]/(ECF[[#This Row],[nE]]*PI()*ECF[[#This Row],[Ø (cm)]]^2/4*SIN(ECF[[#This Row],[α]])^2),"N.S.")</f>
        <v>N.S.</v>
      </c>
      <c r="AP160" s="4" t="str">
        <f ca="1">IFERROR(INDEX(grupoEstacas[],ECF[[#This Row],[nE]],MATCH("coef. Blévot",grupoEstacas[#Headers],0)),"N.S.")</f>
        <v>N.S.</v>
      </c>
      <c r="AQ160" s="35" t="str">
        <f ca="1">IFERROR(ECF[[#This Row],[coef. Blévot]]*0.9*INDEX(tipoEstaca[],MATCH($D$2,tipoEstaca[TIPO DE ESTACA],0),MATCH("fcd (kN/cm²)",tipoEstaca[#Headers],0)),"N.S.")</f>
        <v>N.S.</v>
      </c>
      <c r="AR160" s="1" t="str">
        <f ca="1">IF(AND(ECF[[#This Row],[cd,b,pil (kN/cm²)]]&lt;=ECF[[#This Row],[cd,b,lim (kN/cm²)]],ECF[[#This Row],[cd,b,est (kN/cm²)]]&lt;=ECF[[#This Row],[cd,b,lim (kN/cm²)]]),"OK","ERRO")</f>
        <v>OK</v>
      </c>
      <c r="AS160" s="4" t="str">
        <f ca="1">As_lado(ECF[[#This Row],[nE]],ECF[[#This Row],[Nsd (kN)]],ECF[[#This Row],[d (cm)]],ECF[[#This Row],[e (cm)]],ECF[[#This Row],[ap,eq (cm)]])</f>
        <v>N.S.</v>
      </c>
      <c r="AT160" s="4" t="str">
        <f ca="1">IF(ECF[[#This Row],[nE]]=1,ECF[[#This Row],[As,lado (cm²)]],IF(ECF[[#This Row],[nE]]=2,0.075*2*ECF[a (cm)],"N.A."))</f>
        <v>N.A.</v>
      </c>
      <c r="AU160" s="4" t="str">
        <f ca="1">IFERROR(IF(ECF[[#This Row],[nE]]=1,"N.A.",0.2*ECF[[#This Row],[As,lado (cm²)]]),"N.S.")</f>
        <v>N.S.</v>
      </c>
      <c r="AV160" s="4" t="str">
        <f ca="1">As_malha(ECF[[#This Row],[nE]],ECF[[#This Row],[As,lado (cm²)]],ECF[[#This Row],[Nsd (kN)]])</f>
        <v>N.S.</v>
      </c>
      <c r="AW160" s="4" t="str">
        <f ca="1">As_susp_tot(ECF[[#This Row],[nE]],ECF[[#This Row],[Nsd (kN)]])</f>
        <v>N.S.</v>
      </c>
      <c r="AX160" s="4" t="str">
        <f ca="1">Asp_face(ECF[[#This Row],[nE]],ECF[[#This Row],[As,lado (cm²)]])</f>
        <v>N.S.</v>
      </c>
      <c r="AY160" s="5" t="str">
        <f ca="1">acoBloco(ECF[[#This Row],[nE]],ECF[[#This Row],[e (cm)]],ECF[[#This Row],[a (cm)]],ECF[[#This Row],[h (cm)]],ECF[[#This Row],[As,lado (cm²)]],ECF[[#This Row],[Asp e Asw (cm²/m)]],ECF[[#This Row],[As,sup (cm²)]],ECF[[#This Row],[As,malha (cm²)]],ECF[[#This Row],[As,susp,tot (cm²)]],ECF[[#This Row],[Asp,face (cm²)]])</f>
        <v>N.S.</v>
      </c>
      <c r="AZ160" s="4" t="str">
        <f ca="1">concretoBloco(ECF[[#This Row],[nE]],ECF[[#This Row],[e (cm)]],ECF[[#This Row],[a (cm)]],ECF[[#This Row],[h (cm)]])</f>
        <v>N.S.</v>
      </c>
      <c r="BA160" s="5">
        <f ca="1">SUM(ECF[[#This Row],[Aço Est (kg)]],ECF[[#This Row],[Aço Bloco (kg)]])</f>
        <v>193.34617827253024</v>
      </c>
      <c r="BB160" s="4">
        <f>INDEX(composicoes[],MATCH(95580,composicoes[CÓDIGO],0),MATCH("CUSTO TOTAL",composicoes[#Headers],0))</f>
        <v>10.46</v>
      </c>
      <c r="BC160" s="4">
        <f ca="1">SUM(ECF[[#This Row],[Conc Est (m³)]],ECF[[#This Row],[Conc Bloco (m³)]])</f>
        <v>16.933184402848983</v>
      </c>
      <c r="BD160" s="4">
        <f>INDEX(composicoes[],MATCH(94966,composicoes[CÓDIGO],0),MATCH("CUSTO TOTAL",composicoes[#Headers],0))</f>
        <v>439.52</v>
      </c>
      <c r="BE160" s="38">
        <f ca="1">ECF[[#This Row],[Aço (kg)]]*ECF[[#This Row],[Aço (R$/kg)]]+ECF[[#This Row],[Conc (m³)]]*ECF[[#This Row],[Conc (R$/m³)]]</f>
        <v>9464.8742334708513</v>
      </c>
      <c r="BF160" s="4" t="str">
        <f ca="1">IF(COUNTIF(ECF[#This Row],"N.S.")&gt;0,"lim.","OK")</f>
        <v>lim.</v>
      </c>
      <c r="BG160" s="4" t="str">
        <f>IF(ECF[[#This Row],[Prof. (m)]]&lt;4,"lim.","OK")</f>
        <v>lim.</v>
      </c>
      <c r="BH160" s="4" t="str">
        <f>IF(ECF[[#This Row],[Prof. (m)]]&gt;=8*ECF[[#This Row],[Ø (cm)]]/100,"OK","lim.")</f>
        <v>lim.</v>
      </c>
      <c r="BI160" s="4" t="str">
        <f>IF(AND(SPT!$F$3&lt;&gt;"",ECF[[#This Row],[Prof. (m)]]&gt;=SPT!$F$3-2),"lim.","OK")</f>
        <v>OK</v>
      </c>
      <c r="BJ160" s="4" t="str">
        <f ca="1">IF(ECF[[#This Row],[Verif. Biela]]="OK","OK","lim.")</f>
        <v>OK</v>
      </c>
      <c r="BK160" s="4" t="str">
        <f ca="1">IF(COUNTA(ECF[[#This Row],[Nº Est.]:[Biela comp.]])=COUNTIF(ECF[[#This Row],[Nº Est.]:[Biela comp.]],"OK"),"OK","lim.")</f>
        <v>lim.</v>
      </c>
      <c r="BL160" s="4" t="str">
        <f ca="1">IF(ECF[[#This Row],[Controle]]="OK",ECF[[#This Row],[nE]]&amp;" Ø"&amp;ECF[[#This Row],[Ø (cm)]]&amp;"cm Prof. "&amp;ECF[[#This Row],[Prof. (m)]]&amp;" m","")</f>
        <v/>
      </c>
      <c r="BM160" s="4" t="str">
        <f ca="1">IF(ECF[[#This Row],[idDimensionamento]]="","",ECF[[#This Row],[idPilar]]&amp;ECF[[#This Row],[idDimensionamento]])</f>
        <v/>
      </c>
    </row>
    <row r="161" spans="2:65" x14ac:dyDescent="0.25">
      <c r="B161" s="12">
        <f>ROUNDUP((ROW(ECF[[#This Row],[idDiâmetro]])-ROW(ECF[[#Headers],[idDiâmetro]]))/(COUNT(SPT[Prof. (m)])*COUNT(PILARES[Pilar])),0)</f>
        <v>6</v>
      </c>
      <c r="C161" s="12">
        <f>IF(ECF[[#This Row],[idDiâmetro]]&lt;&gt;B160,1,IF(ECF[[#This Row],[Prof. (m)]]=0,C160+1,C160))</f>
        <v>2</v>
      </c>
      <c r="D161" s="1">
        <f>IFERROR(IF(D160=MAX(SPT[Prof. (m)]),0,D160+1),0)</f>
        <v>2</v>
      </c>
      <c r="E161" s="1">
        <f>INDEX(SPT[],MATCH(ECF[[#This Row],[Prof. (m)]],SPT[Prof. (m)],0),2)</f>
        <v>2</v>
      </c>
      <c r="F161" s="1" t="str">
        <f>INDEX(SPT[],MATCH(ECF[[#This Row],[Prof. (m)]],SPT[Prof. (m)],0),3)</f>
        <v>Areia siltosa</v>
      </c>
      <c r="G161" s="1">
        <f>INDEX(estacas[],ECF[[#This Row],[idDiâmetro]],MATCH($B$2,estacas[#Headers],0))</f>
        <v>140</v>
      </c>
      <c r="H161" s="1">
        <f>INDEX(estacas[],MATCH(ECF[[#This Row],[Ø (cm)]],estacas[Ø ECF (cm)],0),MATCH(ECF[[#Headers],[Pe ECF (kN)]],estacas[#Headers],0))</f>
        <v>6200</v>
      </c>
      <c r="I161" s="4">
        <f>INDEX(K_alpha_C[],MATCH(ECF[[#This Row],[Solo]],K_alpha_C[Solo],0),2)</f>
        <v>0.8</v>
      </c>
      <c r="J161" s="5">
        <f>INDEX(K_alpha_C[],MATCH(ECF[[#This Row],[Solo]],K_alpha_C[Solo],0),3)</f>
        <v>2</v>
      </c>
      <c r="K161" s="4">
        <f>INDEX(F1_F2[],MATCH($D$2,F1_F2[Tipo de estaca],0),2)</f>
        <v>3</v>
      </c>
      <c r="L161" s="4">
        <f>INDEX(F1_F2[],MATCH($D$2,F1_F2[Tipo de estaca],0),3)</f>
        <v>6</v>
      </c>
      <c r="M161" s="4">
        <f>PI()*(ECF[[#This Row],[Ø (cm)]]/100)^2/4</f>
        <v>1.5393804002589984</v>
      </c>
      <c r="N161" s="4">
        <f>PI()*ECF[[#This Row],[Ø (cm)]]/100</f>
        <v>4.3982297150257104</v>
      </c>
      <c r="O161" s="4">
        <f>IF(ECF[[#This Row],[Prof. (m)]]=0,0,ECF[[#This Row],[α (%)]]/100*ECF[[#This Row],[K (MPa)]]*1000*ECF[[#This Row],[NSPT]])</f>
        <v>32</v>
      </c>
      <c r="P161" s="4">
        <f>IF(ECF[[#This Row],[Prof. (m)]]=0,0,(ECF[[#This Row],[K (MPa)]]*1000*ECF[[#This Row],[NSPT]]/ECF[[#This Row],[F1]]*ECF[[#This Row],[Ap (m²)]]+ECF[[#This Row],[U (m)]]/ECF[[#This Row],[F2]]*SUMIFS(ECF[(α∙K∙NL∙ΔL)],ECF[Prof. (m)],"&lt;="&amp;ECF[[#This Row],[Prof. (m)]],ECF[idDiâmetro],ECF[[#This Row],[idDiâmetro]],ECF[idPilar],ECF[[#This Row],[idPilar]]))/'DADOS CAP. CARGA'!$D$2)</f>
        <v>433.95866521587004</v>
      </c>
      <c r="Q161" s="12">
        <f>INDEX(C_alpha_beta[],MATCH(ECF[[#This Row],[Solo]],C_alpha_beta[Solo],0),MATCH(ECF[[#Headers],[C (kPa)]],C_alpha_beta[#Headers],0))</f>
        <v>400</v>
      </c>
      <c r="R161" s="4">
        <f>INDEX(C_alpha_beta[],MATCH(ECF[[#This Row],[Solo]],C_alpha_beta[Solo],0),MATCH(ECF[[#Headers],[α ESF]],C_alpha_beta[#Headers],0))</f>
        <v>0.5</v>
      </c>
      <c r="S161" s="4">
        <f>INDEX(C_alpha_beta[],MATCH(ECF[[#This Row],[Solo]],C_alpha_beta[Solo],0),MATCH(ECF[[#Headers],[β ESF]],C_alpha_beta[#Headers],0))</f>
        <v>0.5</v>
      </c>
      <c r="T161" s="4">
        <f>IF(ECF[[#This Row],[Prof. (m)]]=0,0,10*(ECF[[#This Row],[NSPT]]/3+1))</f>
        <v>16.666666666666664</v>
      </c>
      <c r="U161" s="4">
        <f>(ECF[[#This Row],[α ESF]]*ECF[[#This Row],[C (kPa)]]*ECF[[#This Row],[NSPT]]*ECF[[#This Row],[Ap (m²)]])/'DADOS CAP. CARGA'!$Q$2+(ECF[[#This Row],[β ESF]]*SUMIFS(ECF[10∙(NL/3+1)],ECF[Prof. (m)],"&lt;="&amp;ECF[[#This Row],[Prof. (m)]],ECF[idDiâmetro],ECF[[#This Row],[idDiâmetro]],ECF[idPilar],ECF[[#This Row],[idPilar]])*ECF[[#This Row],[U (m)]])/'DADOS CAP. CARGA'!$S$2</f>
        <v>190.58995431778072</v>
      </c>
      <c r="V161" s="4">
        <f>IF(SPT!$M$5=1,MIN(ECF[[#This Row],[Pe ECF (kN)]],ECF[[#This Row],[R_AV (kN)]]),IF(SPT!$M$5=2,MIN(ECF[[#This Row],[Pe ECF (kN)]],ECF[[#This Row],[R_DC (kN)]]),MIN(ECF[[#This Row],[Pe ECF (kN)]],ECF[[#This Row],[R_AV (kN)]],ECF[[#This Row],[R_DC (kN)]])))</f>
        <v>190.58995431778072</v>
      </c>
      <c r="W161" s="4">
        <f>INDEX(PILARES[],ECF[[#This Row],[idPilar]],MATCH("Carga (kN)",PILARES[#Headers],0))*1.4</f>
        <v>1750</v>
      </c>
      <c r="X161" s="12">
        <f>INDEX(PILARES[],ECF[[#This Row],[idPilar]],MATCH(ECF[[#Headers],[ap (cm)]],PILARES[#Headers],0))</f>
        <v>50</v>
      </c>
      <c r="Y161" s="12">
        <f>INDEX(PILARES[],ECF[[#This Row],[idPilar]],MATCH(ECF[[#Headers],[bp (cm)]],PILARES[#Headers],0))</f>
        <v>40</v>
      </c>
      <c r="Z161" s="4">
        <f>SQRT(ECF[[#This Row],[ap (cm)]]*ECF[[#This Row],[bp (cm)]])</f>
        <v>44.721359549995796</v>
      </c>
      <c r="AA161" s="12">
        <f>ECF[[#This Row],[ap (cm)]]*ECF[[#This Row],[bp (cm)]]</f>
        <v>2000</v>
      </c>
      <c r="AB161" s="12">
        <f ca="1">IF(ECF[[#This Row],[Padm∙ε (kN)]]&gt;=ECF[[#This Row],[Padm (kN)]],ROUNDUP(1.05*ECF[[#This Row],[Nsd (kN)]]/ECF[[#This Row],[Padm (kN)]],0),ROUNDUP(1.05*ECF[[#This Row],[Nsd (kN)]]/ECF[[#This Row],[Padm (kN)]],0)+1)</f>
        <v>10</v>
      </c>
      <c r="AC161" s="4" t="str">
        <f ca="1">IFERROR(IF(ECF[[#This Row],[nE]]=1,ECF[[#This Row],[Padm (kN)]],ECF[[#This Row],[Padm (kN)]]*ECF[[#This Row],[nE]]*INDEX(grupoEstacas[],ECF[[#This Row],[nE]],MATCH("ε",grupoEstacas[#Headers],0))),"N.S.")</f>
        <v>N.S.</v>
      </c>
      <c r="AD161" s="4">
        <f ca="1">1.05*ECF[[#This Row],[Nsd (kN)]]/(ECF[[#This Row],[nE]]*PI()*ECF[[#This Row],[Ø (cm)]]^2/4)*10</f>
        <v>0.11936620731892152</v>
      </c>
      <c r="AE161" s="4">
        <f ca="1">IF(ECF[[#This Row],[σ (MPa)]]&lt;INDEX(tipoEstaca[],MATCH($D$2,tipoEstaca[TIPO DE ESTACA],0),MATCH("σmáx (MPa)",tipoEstaca[#Headers],0)),0.4%*PI()*ECF[[#This Row],[Ø (cm)]]^2/4,"N.S.")</f>
        <v>61.575216010359952</v>
      </c>
      <c r="AF161" s="1">
        <f>INDEX(tipoEstaca[],MATCH($D$2,tipoEstaca[TIPO DE ESTACA],0),MATCH(ECF[[#Headers],[Comprimento (m)]],tipoEstaca[#Headers],0))</f>
        <v>4</v>
      </c>
      <c r="AG161" s="5">
        <f ca="1">ECF[[#This Row],[As,mín (cm²)]]/100^2*ECF[[#This Row],[Comprimento (m)]]*7850</f>
        <v>193.34617827253024</v>
      </c>
      <c r="AH161" s="4">
        <f ca="1">ECF[[#This Row],[nE]]*ECF[[#This Row],[Prof. (m)]]*ECF[[#This Row],[Ap (m²)]]</f>
        <v>30.787608005179969</v>
      </c>
      <c r="AI161" s="1">
        <f ca="1">IF(ECF[[#This Row],[nE]]=1,0,MAX(3*ECF[[#This Row],[Ø (cm)]],60))</f>
        <v>420</v>
      </c>
      <c r="AJ161" s="1">
        <f ca="1">IF(ECF[[#This Row],[nE]]=1,ECF[[#This Row],[Ø (cm)]]+2*10,MAX(1.5*ECF[[#This Row],[Ø (cm)]],ECF[[#This Row],[Ø (cm)]]+15))</f>
        <v>210</v>
      </c>
      <c r="AK161" s="1" t="str">
        <f ca="1">alturaUtil(ECF[[#This Row],[nE]],ECF[[#This Row],[Ø (cm)]],ECF[[#This Row],[e (cm)]],ECF[[#This Row],[ap,eq (cm)]])</f>
        <v>N.S.</v>
      </c>
      <c r="AL161" s="1" t="str">
        <f ca="1">IFERROR(ECF[[#This Row],[d (cm)]]+arredondarParaCimaMultiplo5cm(MAX(5,SQRT(PI())/2*ECF[[#This Row],[Ø (cm)]]/5)),"N.S.")</f>
        <v>N.S.</v>
      </c>
      <c r="AM161" s="5" t="str">
        <f ca="1">alpha(ECF[[#This Row],[nE]],ECF[[#This Row],[d (cm)]],ECF[[#This Row],[e (cm)]],ECF[[#This Row],[ap,eq (cm)]])</f>
        <v>N.S.</v>
      </c>
      <c r="AN161" s="35" t="str">
        <f ca="1">IFERROR(ECF[[#This Row],[Nsd (kN)]]/(ECF[[#This Row],[Ap (cm²)]]*SIN(ECF[[#This Row],[α]])^2),"N.S.")</f>
        <v>N.S.</v>
      </c>
      <c r="AO161" s="35" t="str">
        <f ca="1">IFERROR(ECF[[#This Row],[Nsd (kN)]]/(ECF[[#This Row],[nE]]*PI()*ECF[[#This Row],[Ø (cm)]]^2/4*SIN(ECF[[#This Row],[α]])^2),"N.S.")</f>
        <v>N.S.</v>
      </c>
      <c r="AP161" s="4" t="str">
        <f ca="1">IFERROR(INDEX(grupoEstacas[],ECF[[#This Row],[nE]],MATCH("coef. Blévot",grupoEstacas[#Headers],0)),"N.S.")</f>
        <v>N.S.</v>
      </c>
      <c r="AQ161" s="35" t="str">
        <f ca="1">IFERROR(ECF[[#This Row],[coef. Blévot]]*0.9*INDEX(tipoEstaca[],MATCH($D$2,tipoEstaca[TIPO DE ESTACA],0),MATCH("fcd (kN/cm²)",tipoEstaca[#Headers],0)),"N.S.")</f>
        <v>N.S.</v>
      </c>
      <c r="AR161" s="1" t="str">
        <f ca="1">IF(AND(ECF[[#This Row],[cd,b,pil (kN/cm²)]]&lt;=ECF[[#This Row],[cd,b,lim (kN/cm²)]],ECF[[#This Row],[cd,b,est (kN/cm²)]]&lt;=ECF[[#This Row],[cd,b,lim (kN/cm²)]]),"OK","ERRO")</f>
        <v>OK</v>
      </c>
      <c r="AS161" s="4" t="str">
        <f ca="1">As_lado(ECF[[#This Row],[nE]],ECF[[#This Row],[Nsd (kN)]],ECF[[#This Row],[d (cm)]],ECF[[#This Row],[e (cm)]],ECF[[#This Row],[ap,eq (cm)]])</f>
        <v>N.S.</v>
      </c>
      <c r="AT161" s="4" t="str">
        <f ca="1">IF(ECF[[#This Row],[nE]]=1,ECF[[#This Row],[As,lado (cm²)]],IF(ECF[[#This Row],[nE]]=2,0.075*2*ECF[a (cm)],"N.A."))</f>
        <v>N.A.</v>
      </c>
      <c r="AU161" s="4" t="str">
        <f ca="1">IFERROR(IF(ECF[[#This Row],[nE]]=1,"N.A.",0.2*ECF[[#This Row],[As,lado (cm²)]]),"N.S.")</f>
        <v>N.S.</v>
      </c>
      <c r="AV161" s="4" t="str">
        <f ca="1">As_malha(ECF[[#This Row],[nE]],ECF[[#This Row],[As,lado (cm²)]],ECF[[#This Row],[Nsd (kN)]])</f>
        <v>N.S.</v>
      </c>
      <c r="AW161" s="4" t="str">
        <f ca="1">As_susp_tot(ECF[[#This Row],[nE]],ECF[[#This Row],[Nsd (kN)]])</f>
        <v>N.S.</v>
      </c>
      <c r="AX161" s="4" t="str">
        <f ca="1">Asp_face(ECF[[#This Row],[nE]],ECF[[#This Row],[As,lado (cm²)]])</f>
        <v>N.S.</v>
      </c>
      <c r="AY161" s="5" t="str">
        <f ca="1">acoBloco(ECF[[#This Row],[nE]],ECF[[#This Row],[e (cm)]],ECF[[#This Row],[a (cm)]],ECF[[#This Row],[h (cm)]],ECF[[#This Row],[As,lado (cm²)]],ECF[[#This Row],[Asp e Asw (cm²/m)]],ECF[[#This Row],[As,sup (cm²)]],ECF[[#This Row],[As,malha (cm²)]],ECF[[#This Row],[As,susp,tot (cm²)]],ECF[[#This Row],[Asp,face (cm²)]])</f>
        <v>N.S.</v>
      </c>
      <c r="AZ161" s="4" t="str">
        <f ca="1">concretoBloco(ECF[[#This Row],[nE]],ECF[[#This Row],[e (cm)]],ECF[[#This Row],[a (cm)]],ECF[[#This Row],[h (cm)]])</f>
        <v>N.S.</v>
      </c>
      <c r="BA161" s="5">
        <f ca="1">SUM(ECF[[#This Row],[Aço Est (kg)]],ECF[[#This Row],[Aço Bloco (kg)]])</f>
        <v>193.34617827253024</v>
      </c>
      <c r="BB161" s="4">
        <f>INDEX(composicoes[],MATCH(95580,composicoes[CÓDIGO],0),MATCH("CUSTO TOTAL",composicoes[#Headers],0))</f>
        <v>10.46</v>
      </c>
      <c r="BC161" s="4">
        <f ca="1">SUM(ECF[[#This Row],[Conc Est (m³)]],ECF[[#This Row],[Conc Bloco (m³)]])</f>
        <v>30.787608005179969</v>
      </c>
      <c r="BD161" s="4">
        <f>INDEX(composicoes[],MATCH(94966,composicoes[CÓDIGO],0),MATCH("CUSTO TOTAL",composicoes[#Headers],0))</f>
        <v>439.52</v>
      </c>
      <c r="BE161" s="38">
        <f ca="1">ECF[[#This Row],[Aço (kg)]]*ECF[[#This Row],[Aço (R$/kg)]]+ECF[[#This Row],[Conc (m³)]]*ECF[[#This Row],[Conc (R$/m³)]]</f>
        <v>15554.170495167366</v>
      </c>
      <c r="BF161" s="4" t="str">
        <f ca="1">IF(COUNTIF(ECF[#This Row],"N.S.")&gt;0,"lim.","OK")</f>
        <v>lim.</v>
      </c>
      <c r="BG161" s="4" t="str">
        <f>IF(ECF[[#This Row],[Prof. (m)]]&lt;4,"lim.","OK")</f>
        <v>lim.</v>
      </c>
      <c r="BH161" s="4" t="str">
        <f>IF(ECF[[#This Row],[Prof. (m)]]&gt;=8*ECF[[#This Row],[Ø (cm)]]/100,"OK","lim.")</f>
        <v>lim.</v>
      </c>
      <c r="BI161" s="4" t="str">
        <f>IF(AND(SPT!$F$3&lt;&gt;"",ECF[[#This Row],[Prof. (m)]]&gt;=SPT!$F$3-2),"lim.","OK")</f>
        <v>OK</v>
      </c>
      <c r="BJ161" s="4" t="str">
        <f ca="1">IF(ECF[[#This Row],[Verif. Biela]]="OK","OK","lim.")</f>
        <v>OK</v>
      </c>
      <c r="BK161" s="4" t="str">
        <f ca="1">IF(COUNTA(ECF[[#This Row],[Nº Est.]:[Biela comp.]])=COUNTIF(ECF[[#This Row],[Nº Est.]:[Biela comp.]],"OK"),"OK","lim.")</f>
        <v>lim.</v>
      </c>
      <c r="BL161" s="4" t="str">
        <f ca="1">IF(ECF[[#This Row],[Controle]]="OK",ECF[[#This Row],[nE]]&amp;" Ø"&amp;ECF[[#This Row],[Ø (cm)]]&amp;"cm Prof. "&amp;ECF[[#This Row],[Prof. (m)]]&amp;" m","")</f>
        <v/>
      </c>
      <c r="BM161" s="4" t="str">
        <f ca="1">IF(ECF[[#This Row],[idDimensionamento]]="","",ECF[[#This Row],[idPilar]]&amp;ECF[[#This Row],[idDimensionamento]])</f>
        <v/>
      </c>
    </row>
    <row r="162" spans="2:65" x14ac:dyDescent="0.25">
      <c r="B162" s="12">
        <f>ROUNDUP((ROW(ECF[[#This Row],[idDiâmetro]])-ROW(ECF[[#Headers],[idDiâmetro]]))/(COUNT(SPT[Prof. (m)])*COUNT(PILARES[Pilar])),0)</f>
        <v>6</v>
      </c>
      <c r="C162" s="12">
        <f>IF(ECF[[#This Row],[idDiâmetro]]&lt;&gt;B161,1,IF(ECF[[#This Row],[Prof. (m)]]=0,C161+1,C161))</f>
        <v>2</v>
      </c>
      <c r="D162" s="1">
        <f>IFERROR(IF(D161=MAX(SPT[Prof. (m)]),0,D161+1),0)</f>
        <v>3</v>
      </c>
      <c r="E162" s="1">
        <f>INDEX(SPT[],MATCH(ECF[[#This Row],[Prof. (m)]],SPT[Prof. (m)],0),2)</f>
        <v>4</v>
      </c>
      <c r="F162" s="1" t="str">
        <f>INDEX(SPT[],MATCH(ECF[[#This Row],[Prof. (m)]],SPT[Prof. (m)],0),3)</f>
        <v>Areia siltosa</v>
      </c>
      <c r="G162" s="1">
        <f>INDEX(estacas[],ECF[[#This Row],[idDiâmetro]],MATCH($B$2,estacas[#Headers],0))</f>
        <v>140</v>
      </c>
      <c r="H162" s="1">
        <f>INDEX(estacas[],MATCH(ECF[[#This Row],[Ø (cm)]],estacas[Ø ECF (cm)],0),MATCH(ECF[[#Headers],[Pe ECF (kN)]],estacas[#Headers],0))</f>
        <v>6200</v>
      </c>
      <c r="I162" s="4">
        <f>INDEX(K_alpha_C[],MATCH(ECF[[#This Row],[Solo]],K_alpha_C[Solo],0),2)</f>
        <v>0.8</v>
      </c>
      <c r="J162" s="5">
        <f>INDEX(K_alpha_C[],MATCH(ECF[[#This Row],[Solo]],K_alpha_C[Solo],0),3)</f>
        <v>2</v>
      </c>
      <c r="K162" s="4">
        <f>INDEX(F1_F2[],MATCH($D$2,F1_F2[Tipo de estaca],0),2)</f>
        <v>3</v>
      </c>
      <c r="L162" s="4">
        <f>INDEX(F1_F2[],MATCH($D$2,F1_F2[Tipo de estaca],0),3)</f>
        <v>6</v>
      </c>
      <c r="M162" s="4">
        <f>PI()*(ECF[[#This Row],[Ø (cm)]]/100)^2/4</f>
        <v>1.5393804002589984</v>
      </c>
      <c r="N162" s="4">
        <f>PI()*ECF[[#This Row],[Ø (cm)]]/100</f>
        <v>4.3982297150257104</v>
      </c>
      <c r="O162" s="4">
        <f>IF(ECF[[#This Row],[Prof. (m)]]=0,0,ECF[[#This Row],[α (%)]]/100*ECF[[#This Row],[K (MPa)]]*1000*ECF[[#This Row],[NSPT]])</f>
        <v>64</v>
      </c>
      <c r="P162" s="4">
        <f>IF(ECF[[#This Row],[Prof. (m)]]=0,0,(ECF[[#This Row],[K (MPa)]]*1000*ECF[[#This Row],[NSPT]]/ECF[[#This Row],[F1]]*ECF[[#This Row],[Ap (m²)]]+ECF[[#This Row],[U (m)]]/ECF[[#This Row],[F2]]*SUMIFS(ECF[(α∙K∙NL∙ΔL)],ECF[Prof. (m)],"&lt;="&amp;ECF[[#This Row],[Prof. (m)]],ECF[idDiâmetro],ECF[[#This Row],[idDiâmetro]],ECF[idPilar],ECF[[#This Row],[idPilar]]))/'DADOS CAP. CARGA'!$D$2)</f>
        <v>867.91733043174008</v>
      </c>
      <c r="Q162" s="12">
        <f>INDEX(C_alpha_beta[],MATCH(ECF[[#This Row],[Solo]],C_alpha_beta[Solo],0),MATCH(ECF[[#Headers],[C (kPa)]],C_alpha_beta[#Headers],0))</f>
        <v>400</v>
      </c>
      <c r="R162" s="4">
        <f>INDEX(C_alpha_beta[],MATCH(ECF[[#This Row],[Solo]],C_alpha_beta[Solo],0),MATCH(ECF[[#Headers],[α ESF]],C_alpha_beta[#Headers],0))</f>
        <v>0.5</v>
      </c>
      <c r="S162" s="4">
        <f>INDEX(C_alpha_beta[],MATCH(ECF[[#This Row],[Solo]],C_alpha_beta[Solo],0),MATCH(ECF[[#Headers],[β ESF]],C_alpha_beta[#Headers],0))</f>
        <v>0.5</v>
      </c>
      <c r="T162" s="4">
        <f>IF(ECF[[#This Row],[Prof. (m)]]=0,0,10*(ECF[[#This Row],[NSPT]]/3+1))</f>
        <v>23.333333333333329</v>
      </c>
      <c r="U162" s="4">
        <f>(ECF[[#This Row],[α ESF]]*ECF[[#This Row],[C (kPa)]]*ECF[[#This Row],[NSPT]]*ECF[[#This Row],[Ap (m²)]])/'DADOS CAP. CARGA'!$Q$2+(ECF[[#This Row],[β ESF]]*SUMIFS(ECF[10∙(NL/3+1)],ECF[Prof. (m)],"&lt;="&amp;ECF[[#This Row],[Prof. (m)]],ECF[idDiâmetro],ECF[[#This Row],[idDiâmetro]],ECF[idPilar],ECF[[#This Row],[idPilar]])*ECF[[#This Row],[U (m)]])/'DADOS CAP. CARGA'!$S$2</f>
        <v>370.18433434799721</v>
      </c>
      <c r="V162" s="4">
        <f>IF(SPT!$M$5=1,MIN(ECF[[#This Row],[Pe ECF (kN)]],ECF[[#This Row],[R_AV (kN)]]),IF(SPT!$M$5=2,MIN(ECF[[#This Row],[Pe ECF (kN)]],ECF[[#This Row],[R_DC (kN)]]),MIN(ECF[[#This Row],[Pe ECF (kN)]],ECF[[#This Row],[R_AV (kN)]],ECF[[#This Row],[R_DC (kN)]])))</f>
        <v>370.18433434799721</v>
      </c>
      <c r="W162" s="4">
        <f>INDEX(PILARES[],ECF[[#This Row],[idPilar]],MATCH("Carga (kN)",PILARES[#Headers],0))*1.4</f>
        <v>1750</v>
      </c>
      <c r="X162" s="12">
        <f>INDEX(PILARES[],ECF[[#This Row],[idPilar]],MATCH(ECF[[#Headers],[ap (cm)]],PILARES[#Headers],0))</f>
        <v>50</v>
      </c>
      <c r="Y162" s="12">
        <f>INDEX(PILARES[],ECF[[#This Row],[idPilar]],MATCH(ECF[[#Headers],[bp (cm)]],PILARES[#Headers],0))</f>
        <v>40</v>
      </c>
      <c r="Z162" s="4">
        <f>SQRT(ECF[[#This Row],[ap (cm)]]*ECF[[#This Row],[bp (cm)]])</f>
        <v>44.721359549995796</v>
      </c>
      <c r="AA162" s="12">
        <f>ECF[[#This Row],[ap (cm)]]*ECF[[#This Row],[bp (cm)]]</f>
        <v>2000</v>
      </c>
      <c r="AB162" s="12">
        <f ca="1">IF(ECF[[#This Row],[Padm∙ε (kN)]]&gt;=ECF[[#This Row],[Padm (kN)]],ROUNDUP(1.05*ECF[[#This Row],[Nsd (kN)]]/ECF[[#This Row],[Padm (kN)]],0),ROUNDUP(1.05*ECF[[#This Row],[Nsd (kN)]]/ECF[[#This Row],[Padm (kN)]],0)+1)</f>
        <v>5</v>
      </c>
      <c r="AC162" s="4" t="str">
        <f ca="1">IFERROR(IF(ECF[[#This Row],[nE]]=1,ECF[[#This Row],[Padm (kN)]],ECF[[#This Row],[Padm (kN)]]*ECF[[#This Row],[nE]]*INDEX(grupoEstacas[],ECF[[#This Row],[nE]],MATCH("ε",grupoEstacas[#Headers],0))),"N.S.")</f>
        <v>N.S.</v>
      </c>
      <c r="AD162" s="4">
        <f ca="1">1.05*ECF[[#This Row],[Nsd (kN)]]/(ECF[[#This Row],[nE]]*PI()*ECF[[#This Row],[Ø (cm)]]^2/4)*10</f>
        <v>0.23873241463784303</v>
      </c>
      <c r="AE162" s="4">
        <f ca="1">IF(ECF[[#This Row],[σ (MPa)]]&lt;INDEX(tipoEstaca[],MATCH($D$2,tipoEstaca[TIPO DE ESTACA],0),MATCH("σmáx (MPa)",tipoEstaca[#Headers],0)),0.4%*PI()*ECF[[#This Row],[Ø (cm)]]^2/4,"N.S.")</f>
        <v>61.575216010359952</v>
      </c>
      <c r="AF162" s="1">
        <f>INDEX(tipoEstaca[],MATCH($D$2,tipoEstaca[TIPO DE ESTACA],0),MATCH(ECF[[#Headers],[Comprimento (m)]],tipoEstaca[#Headers],0))</f>
        <v>4</v>
      </c>
      <c r="AG162" s="5">
        <f ca="1">ECF[[#This Row],[As,mín (cm²)]]/100^2*ECF[[#This Row],[Comprimento (m)]]*7850</f>
        <v>193.34617827253024</v>
      </c>
      <c r="AH162" s="4">
        <f ca="1">ECF[[#This Row],[nE]]*ECF[[#This Row],[Prof. (m)]]*ECF[[#This Row],[Ap (m²)]]</f>
        <v>23.090706003884975</v>
      </c>
      <c r="AI162" s="1">
        <f ca="1">IF(ECF[[#This Row],[nE]]=1,0,MAX(3*ECF[[#This Row],[Ø (cm)]],60))</f>
        <v>420</v>
      </c>
      <c r="AJ162" s="1">
        <f ca="1">IF(ECF[[#This Row],[nE]]=1,ECF[[#This Row],[Ø (cm)]]+2*10,MAX(1.5*ECF[[#This Row],[Ø (cm)]],ECF[[#This Row],[Ø (cm)]]+15))</f>
        <v>210</v>
      </c>
      <c r="AK162" s="1" t="str">
        <f ca="1">alturaUtil(ECF[[#This Row],[nE]],ECF[[#This Row],[Ø (cm)]],ECF[[#This Row],[e (cm)]],ECF[[#This Row],[ap,eq (cm)]])</f>
        <v>N.S.</v>
      </c>
      <c r="AL162" s="1" t="str">
        <f ca="1">IFERROR(ECF[[#This Row],[d (cm)]]+arredondarParaCimaMultiplo5cm(MAX(5,SQRT(PI())/2*ECF[[#This Row],[Ø (cm)]]/5)),"N.S.")</f>
        <v>N.S.</v>
      </c>
      <c r="AM162" s="5" t="str">
        <f ca="1">alpha(ECF[[#This Row],[nE]],ECF[[#This Row],[d (cm)]],ECF[[#This Row],[e (cm)]],ECF[[#This Row],[ap,eq (cm)]])</f>
        <v>N.S.</v>
      </c>
      <c r="AN162" s="35" t="str">
        <f ca="1">IFERROR(ECF[[#This Row],[Nsd (kN)]]/(ECF[[#This Row],[Ap (cm²)]]*SIN(ECF[[#This Row],[α]])^2),"N.S.")</f>
        <v>N.S.</v>
      </c>
      <c r="AO162" s="35" t="str">
        <f ca="1">IFERROR(ECF[[#This Row],[Nsd (kN)]]/(ECF[[#This Row],[nE]]*PI()*ECF[[#This Row],[Ø (cm)]]^2/4*SIN(ECF[[#This Row],[α]])^2),"N.S.")</f>
        <v>N.S.</v>
      </c>
      <c r="AP162" s="4" t="str">
        <f ca="1">IFERROR(INDEX(grupoEstacas[],ECF[[#This Row],[nE]],MATCH("coef. Blévot",grupoEstacas[#Headers],0)),"N.S.")</f>
        <v>N.S.</v>
      </c>
      <c r="AQ162" s="35" t="str">
        <f ca="1">IFERROR(ECF[[#This Row],[coef. Blévot]]*0.9*INDEX(tipoEstaca[],MATCH($D$2,tipoEstaca[TIPO DE ESTACA],0),MATCH("fcd (kN/cm²)",tipoEstaca[#Headers],0)),"N.S.")</f>
        <v>N.S.</v>
      </c>
      <c r="AR162" s="1" t="str">
        <f ca="1">IF(AND(ECF[[#This Row],[cd,b,pil (kN/cm²)]]&lt;=ECF[[#This Row],[cd,b,lim (kN/cm²)]],ECF[[#This Row],[cd,b,est (kN/cm²)]]&lt;=ECF[[#This Row],[cd,b,lim (kN/cm²)]]),"OK","ERRO")</f>
        <v>OK</v>
      </c>
      <c r="AS162" s="4" t="str">
        <f ca="1">As_lado(ECF[[#This Row],[nE]],ECF[[#This Row],[Nsd (kN)]],ECF[[#This Row],[d (cm)]],ECF[[#This Row],[e (cm)]],ECF[[#This Row],[ap,eq (cm)]])</f>
        <v>N.S.</v>
      </c>
      <c r="AT162" s="4" t="str">
        <f ca="1">IF(ECF[[#This Row],[nE]]=1,ECF[[#This Row],[As,lado (cm²)]],IF(ECF[[#This Row],[nE]]=2,0.075*2*ECF[a (cm)],"N.A."))</f>
        <v>N.A.</v>
      </c>
      <c r="AU162" s="4" t="str">
        <f ca="1">IFERROR(IF(ECF[[#This Row],[nE]]=1,"N.A.",0.2*ECF[[#This Row],[As,lado (cm²)]]),"N.S.")</f>
        <v>N.S.</v>
      </c>
      <c r="AV162" s="4" t="str">
        <f ca="1">As_malha(ECF[[#This Row],[nE]],ECF[[#This Row],[As,lado (cm²)]],ECF[[#This Row],[Nsd (kN)]])</f>
        <v>N.S.</v>
      </c>
      <c r="AW162" s="4" t="str">
        <f ca="1">As_susp_tot(ECF[[#This Row],[nE]],ECF[[#This Row],[Nsd (kN)]])</f>
        <v>N.S.</v>
      </c>
      <c r="AX162" s="4" t="str">
        <f ca="1">Asp_face(ECF[[#This Row],[nE]],ECF[[#This Row],[As,lado (cm²)]])</f>
        <v>N.S.</v>
      </c>
      <c r="AY162" s="5" t="str">
        <f ca="1">acoBloco(ECF[[#This Row],[nE]],ECF[[#This Row],[e (cm)]],ECF[[#This Row],[a (cm)]],ECF[[#This Row],[h (cm)]],ECF[[#This Row],[As,lado (cm²)]],ECF[[#This Row],[Asp e Asw (cm²/m)]],ECF[[#This Row],[As,sup (cm²)]],ECF[[#This Row],[As,malha (cm²)]],ECF[[#This Row],[As,susp,tot (cm²)]],ECF[[#This Row],[Asp,face (cm²)]])</f>
        <v>N.S.</v>
      </c>
      <c r="AZ162" s="4" t="str">
        <f ca="1">concretoBloco(ECF[[#This Row],[nE]],ECF[[#This Row],[e (cm)]],ECF[[#This Row],[a (cm)]],ECF[[#This Row],[h (cm)]])</f>
        <v>N.S.</v>
      </c>
      <c r="BA162" s="5">
        <f ca="1">SUM(ECF[[#This Row],[Aço Est (kg)]],ECF[[#This Row],[Aço Bloco (kg)]])</f>
        <v>193.34617827253024</v>
      </c>
      <c r="BB162" s="4">
        <f>INDEX(composicoes[],MATCH(95580,composicoes[CÓDIGO],0),MATCH("CUSTO TOTAL",composicoes[#Headers],0))</f>
        <v>10.46</v>
      </c>
      <c r="BC162" s="4">
        <f ca="1">SUM(ECF[[#This Row],[Conc Est (m³)]],ECF[[#This Row],[Conc Bloco (m³)]])</f>
        <v>23.090706003884975</v>
      </c>
      <c r="BD162" s="4">
        <f>INDEX(composicoes[],MATCH(94966,composicoes[CÓDIGO],0),MATCH("CUSTO TOTAL",composicoes[#Headers],0))</f>
        <v>439.52</v>
      </c>
      <c r="BE162" s="38">
        <f ca="1">ECF[[#This Row],[Aço (kg)]]*ECF[[#This Row],[Aço (R$/kg)]]+ECF[[#This Row],[Conc (m³)]]*ECF[[#This Row],[Conc (R$/m³)]]</f>
        <v>12171.22812755819</v>
      </c>
      <c r="BF162" s="4" t="str">
        <f ca="1">IF(COUNTIF(ECF[#This Row],"N.S.")&gt;0,"lim.","OK")</f>
        <v>lim.</v>
      </c>
      <c r="BG162" s="4" t="str">
        <f>IF(ECF[[#This Row],[Prof. (m)]]&lt;4,"lim.","OK")</f>
        <v>lim.</v>
      </c>
      <c r="BH162" s="4" t="str">
        <f>IF(ECF[[#This Row],[Prof. (m)]]&gt;=8*ECF[[#This Row],[Ø (cm)]]/100,"OK","lim.")</f>
        <v>lim.</v>
      </c>
      <c r="BI162" s="4" t="str">
        <f>IF(AND(SPT!$F$3&lt;&gt;"",ECF[[#This Row],[Prof. (m)]]&gt;=SPT!$F$3-2),"lim.","OK")</f>
        <v>OK</v>
      </c>
      <c r="BJ162" s="4" t="str">
        <f ca="1">IF(ECF[[#This Row],[Verif. Biela]]="OK","OK","lim.")</f>
        <v>OK</v>
      </c>
      <c r="BK162" s="4" t="str">
        <f ca="1">IF(COUNTA(ECF[[#This Row],[Nº Est.]:[Biela comp.]])=COUNTIF(ECF[[#This Row],[Nº Est.]:[Biela comp.]],"OK"),"OK","lim.")</f>
        <v>lim.</v>
      </c>
      <c r="BL162" s="4" t="str">
        <f ca="1">IF(ECF[[#This Row],[Controle]]="OK",ECF[[#This Row],[nE]]&amp;" Ø"&amp;ECF[[#This Row],[Ø (cm)]]&amp;"cm Prof. "&amp;ECF[[#This Row],[Prof. (m)]]&amp;" m","")</f>
        <v/>
      </c>
      <c r="BM162" s="4" t="str">
        <f ca="1">IF(ECF[[#This Row],[idDimensionamento]]="","",ECF[[#This Row],[idPilar]]&amp;ECF[[#This Row],[idDimensionamento]])</f>
        <v/>
      </c>
    </row>
    <row r="163" spans="2:65" x14ac:dyDescent="0.25">
      <c r="B163" s="12">
        <f>ROUNDUP((ROW(ECF[[#This Row],[idDiâmetro]])-ROW(ECF[[#Headers],[idDiâmetro]]))/(COUNT(SPT[Prof. (m)])*COUNT(PILARES[Pilar])),0)</f>
        <v>6</v>
      </c>
      <c r="C163" s="12">
        <f>IF(ECF[[#This Row],[idDiâmetro]]&lt;&gt;B162,1,IF(ECF[[#This Row],[Prof. (m)]]=0,C162+1,C162))</f>
        <v>2</v>
      </c>
      <c r="D163" s="1">
        <f>IFERROR(IF(D162=MAX(SPT[Prof. (m)]),0,D162+1),0)</f>
        <v>4</v>
      </c>
      <c r="E163" s="1">
        <f>INDEX(SPT[],MATCH(ECF[[#This Row],[Prof. (m)]],SPT[Prof. (m)],0),2)</f>
        <v>8</v>
      </c>
      <c r="F163" s="1" t="str">
        <f>INDEX(SPT[],MATCH(ECF[[#This Row],[Prof. (m)]],SPT[Prof. (m)],0),3)</f>
        <v>Areia siltosa</v>
      </c>
      <c r="G163" s="1">
        <f>INDEX(estacas[],ECF[[#This Row],[idDiâmetro]],MATCH($B$2,estacas[#Headers],0))</f>
        <v>140</v>
      </c>
      <c r="H163" s="1">
        <f>INDEX(estacas[],MATCH(ECF[[#This Row],[Ø (cm)]],estacas[Ø ECF (cm)],0),MATCH(ECF[[#Headers],[Pe ECF (kN)]],estacas[#Headers],0))</f>
        <v>6200</v>
      </c>
      <c r="I163" s="4">
        <f>INDEX(K_alpha_C[],MATCH(ECF[[#This Row],[Solo]],K_alpha_C[Solo],0),2)</f>
        <v>0.8</v>
      </c>
      <c r="J163" s="5">
        <f>INDEX(K_alpha_C[],MATCH(ECF[[#This Row],[Solo]],K_alpha_C[Solo],0),3)</f>
        <v>2</v>
      </c>
      <c r="K163" s="4">
        <f>INDEX(F1_F2[],MATCH($D$2,F1_F2[Tipo de estaca],0),2)</f>
        <v>3</v>
      </c>
      <c r="L163" s="4">
        <f>INDEX(F1_F2[],MATCH($D$2,F1_F2[Tipo de estaca],0),3)</f>
        <v>6</v>
      </c>
      <c r="M163" s="4">
        <f>PI()*(ECF[[#This Row],[Ø (cm)]]/100)^2/4</f>
        <v>1.5393804002589984</v>
      </c>
      <c r="N163" s="4">
        <f>PI()*ECF[[#This Row],[Ø (cm)]]/100</f>
        <v>4.3982297150257104</v>
      </c>
      <c r="O163" s="4">
        <f>IF(ECF[[#This Row],[Prof. (m)]]=0,0,ECF[[#This Row],[α (%)]]/100*ECF[[#This Row],[K (MPa)]]*1000*ECF[[#This Row],[NSPT]])</f>
        <v>128</v>
      </c>
      <c r="P163" s="4">
        <f>IF(ECF[[#This Row],[Prof. (m)]]=0,0,(ECF[[#This Row],[K (MPa)]]*1000*ECF[[#This Row],[NSPT]]/ECF[[#This Row],[F1]]*ECF[[#This Row],[Ap (m²)]]+ECF[[#This Row],[U (m)]]/ECF[[#This Row],[F2]]*SUMIFS(ECF[(α∙K∙NL∙ΔL)],ECF[Prof. (m)],"&lt;="&amp;ECF[[#This Row],[Prof. (m)]],ECF[idDiâmetro],ECF[[#This Row],[idDiâmetro]],ECF[idPilar],ECF[[#This Row],[idPilar]]))/'DADOS CAP. CARGA'!$D$2)</f>
        <v>1735.8346608634802</v>
      </c>
      <c r="Q163" s="12">
        <f>INDEX(C_alpha_beta[],MATCH(ECF[[#This Row],[Solo]],C_alpha_beta[Solo],0),MATCH(ECF[[#Headers],[C (kPa)]],C_alpha_beta[#Headers],0))</f>
        <v>400</v>
      </c>
      <c r="R163" s="4">
        <f>INDEX(C_alpha_beta[],MATCH(ECF[[#This Row],[Solo]],C_alpha_beta[Solo],0),MATCH(ECF[[#Headers],[α ESF]],C_alpha_beta[#Headers],0))</f>
        <v>0.5</v>
      </c>
      <c r="S163" s="4">
        <f>INDEX(C_alpha_beta[],MATCH(ECF[[#This Row],[Solo]],C_alpha_beta[Solo],0),MATCH(ECF[[#Headers],[β ESF]],C_alpha_beta[#Headers],0))</f>
        <v>0.5</v>
      </c>
      <c r="T163" s="4">
        <f>IF(ECF[[#This Row],[Prof. (m)]]=0,0,10*(ECF[[#This Row],[NSPT]]/3+1))</f>
        <v>36.666666666666664</v>
      </c>
      <c r="U163" s="4">
        <f>(ECF[[#This Row],[α ESF]]*ECF[[#This Row],[C (kPa)]]*ECF[[#This Row],[NSPT]]*ECF[[#This Row],[Ap (m²)]])/'DADOS CAP. CARGA'!$Q$2+(ECF[[#This Row],[β ESF]]*SUMIFS(ECF[10∙(NL/3+1)],ECF[Prof. (m)],"&lt;="&amp;ECF[[#This Row],[Prof. (m)]],ECF[idDiâmetro],ECF[[#This Row],[idDiâmetro]],ECF[idPilar],ECF[[#This Row],[idPilar]])*ECF[[#This Row],[U (m)]])/'DADOS CAP. CARGA'!$S$2</f>
        <v>718.37752012086582</v>
      </c>
      <c r="V163" s="4">
        <f>IF(SPT!$M$5=1,MIN(ECF[[#This Row],[Pe ECF (kN)]],ECF[[#This Row],[R_AV (kN)]]),IF(SPT!$M$5=2,MIN(ECF[[#This Row],[Pe ECF (kN)]],ECF[[#This Row],[R_DC (kN)]]),MIN(ECF[[#This Row],[Pe ECF (kN)]],ECF[[#This Row],[R_AV (kN)]],ECF[[#This Row],[R_DC (kN)]])))</f>
        <v>718.37752012086582</v>
      </c>
      <c r="W163" s="4">
        <f>INDEX(PILARES[],ECF[[#This Row],[idPilar]],MATCH("Carga (kN)",PILARES[#Headers],0))*1.4</f>
        <v>1750</v>
      </c>
      <c r="X163" s="12">
        <f>INDEX(PILARES[],ECF[[#This Row],[idPilar]],MATCH(ECF[[#Headers],[ap (cm)]],PILARES[#Headers],0))</f>
        <v>50</v>
      </c>
      <c r="Y163" s="12">
        <f>INDEX(PILARES[],ECF[[#This Row],[idPilar]],MATCH(ECF[[#Headers],[bp (cm)]],PILARES[#Headers],0))</f>
        <v>40</v>
      </c>
      <c r="Z163" s="4">
        <f>SQRT(ECF[[#This Row],[ap (cm)]]*ECF[[#This Row],[bp (cm)]])</f>
        <v>44.721359549995796</v>
      </c>
      <c r="AA163" s="12">
        <f>ECF[[#This Row],[ap (cm)]]*ECF[[#This Row],[bp (cm)]]</f>
        <v>2000</v>
      </c>
      <c r="AB163" s="12">
        <f ca="1">IF(ECF[[#This Row],[Padm∙ε (kN)]]&gt;=ECF[[#This Row],[Padm (kN)]],ROUNDUP(1.05*ECF[[#This Row],[Nsd (kN)]]/ECF[[#This Row],[Padm (kN)]],0),ROUNDUP(1.05*ECF[[#This Row],[Nsd (kN)]]/ECF[[#This Row],[Padm (kN)]],0)+1)</f>
        <v>3</v>
      </c>
      <c r="AC163" s="4">
        <f ca="1">IFERROR(IF(ECF[[#This Row],[nE]]=1,ECF[[#This Row],[Padm (kN)]],ECF[[#This Row],[Padm (kN)]]*ECF[[#This Row],[nE]]*INDEX(grupoEstacas[],ECF[[#This Row],[nE]],MATCH("ε",grupoEstacas[#Headers],0))),"N.S.")</f>
        <v>1885.7409903172727</v>
      </c>
      <c r="AD163" s="4">
        <f ca="1">1.05*ECF[[#This Row],[Nsd (kN)]]/(ECF[[#This Row],[nE]]*PI()*ECF[[#This Row],[Ø (cm)]]^2/4)*10</f>
        <v>0.39788735772973838</v>
      </c>
      <c r="AE163" s="4">
        <f ca="1">IF(ECF[[#This Row],[σ (MPa)]]&lt;INDEX(tipoEstaca[],MATCH($D$2,tipoEstaca[TIPO DE ESTACA],0),MATCH("σmáx (MPa)",tipoEstaca[#Headers],0)),0.4%*PI()*ECF[[#This Row],[Ø (cm)]]^2/4,"N.S.")</f>
        <v>61.575216010359952</v>
      </c>
      <c r="AF163" s="1">
        <f>INDEX(tipoEstaca[],MATCH($D$2,tipoEstaca[TIPO DE ESTACA],0),MATCH(ECF[[#Headers],[Comprimento (m)]],tipoEstaca[#Headers],0))</f>
        <v>4</v>
      </c>
      <c r="AG163" s="5">
        <f ca="1">ECF[[#This Row],[As,mín (cm²)]]/100^2*ECF[[#This Row],[Comprimento (m)]]*7850</f>
        <v>193.34617827253024</v>
      </c>
      <c r="AH163" s="4">
        <f ca="1">ECF[[#This Row],[nE]]*ECF[[#This Row],[Prof. (m)]]*ECF[[#This Row],[Ap (m²)]]</f>
        <v>18.472564803107979</v>
      </c>
      <c r="AI163" s="1">
        <f ca="1">IF(ECF[[#This Row],[nE]]=1,0,MAX(3*ECF[[#This Row],[Ø (cm)]],60))</f>
        <v>420</v>
      </c>
      <c r="AJ163" s="1">
        <f ca="1">IF(ECF[[#This Row],[nE]]=1,ECF[[#This Row],[Ø (cm)]]+2*10,MAX(1.5*ECF[[#This Row],[Ø (cm)]],ECF[[#This Row],[Ø (cm)]]+15))</f>
        <v>210</v>
      </c>
      <c r="AK163" s="1">
        <f ca="1">alturaUtil(ECF[[#This Row],[nE]],ECF[[#This Row],[Ø (cm)]],ECF[[#This Row],[e (cm)]],ECF[[#This Row],[ap,eq (cm)]])</f>
        <v>200</v>
      </c>
      <c r="AL163" s="1">
        <f ca="1">IFERROR(ECF[[#This Row],[d (cm)]]+arredondarParaCimaMultiplo5cm(MAX(5,SQRT(PI())/2*ECF[[#This Row],[Ø (cm)]]/5)),"N.S.")</f>
        <v>225</v>
      </c>
      <c r="AM163" s="5">
        <f ca="1">alpha(ECF[[#This Row],[nE]],ECF[[#This Row],[d (cm)]],ECF[[#This Row],[e (cm)]],ECF[[#This Row],[ap,eq (cm)]])</f>
        <v>45.493567847172926</v>
      </c>
      <c r="AN163" s="35">
        <f ca="1">IFERROR(ECF[[#This Row],[Nsd (kN)]]/(ECF[[#This Row],[Ap (cm²)]]*SIN(ECF[[#This Row],[α]])^2),"N.S.")</f>
        <v>0.87810772650613345</v>
      </c>
      <c r="AO163" s="35">
        <f ca="1">IFERROR(ECF[[#This Row],[Nsd (kN)]]/(ECF[[#This Row],[nE]]*PI()*ECF[[#This Row],[Ø (cm)]]^2/4*SIN(ECF[[#This Row],[α]])^2),"N.S.")</f>
        <v>3.8028621834187017E-2</v>
      </c>
      <c r="AP163" s="4">
        <f ca="1">IFERROR(INDEX(grupoEstacas[],ECF[[#This Row],[nE]],MATCH("coef. Blévot",grupoEstacas[#Headers],0)),"N.S.")</f>
        <v>1.75</v>
      </c>
      <c r="AQ163" s="35">
        <f ca="1">IFERROR(ECF[[#This Row],[coef. Blévot]]*0.9*INDEX(tipoEstaca[],MATCH($D$2,tipoEstaca[TIPO DE ESTACA],0),MATCH("fcd (kN/cm²)",tipoEstaca[#Headers],0)),"N.S.")</f>
        <v>1.75</v>
      </c>
      <c r="AR163" s="1" t="str">
        <f ca="1">IF(AND(ECF[[#This Row],[cd,b,pil (kN/cm²)]]&lt;=ECF[[#This Row],[cd,b,lim (kN/cm²)]],ECF[[#This Row],[cd,b,est (kN/cm²)]]&lt;=ECF[[#This Row],[cd,b,lim (kN/cm²)]]),"OK","ERRO")</f>
        <v>OK</v>
      </c>
      <c r="AS163" s="4">
        <f ca="1">As_lado(ECF[[#This Row],[nE]],ECF[[#This Row],[Nsd (kN)]],ECF[[#This Row],[d (cm)]],ECF[[#This Row],[e (cm)]],ECF[[#This Row],[ap,eq (cm)]])</f>
        <v>8.8720414010505024</v>
      </c>
      <c r="AT163" s="4" t="str">
        <f ca="1">IF(ECF[[#This Row],[nE]]=1,ECF[[#This Row],[As,lado (cm²)]],IF(ECF[[#This Row],[nE]]=2,0.075*2*ECF[a (cm)],"N.A."))</f>
        <v>N.A.</v>
      </c>
      <c r="AU163" s="4">
        <f ca="1">IFERROR(IF(ECF[[#This Row],[nE]]=1,"N.A.",0.2*ECF[[#This Row],[As,lado (cm²)]]),"N.S.")</f>
        <v>1.7744082802101007</v>
      </c>
      <c r="AV163" s="4">
        <f ca="1">As_malha(ECF[[#This Row],[nE]],ECF[[#This Row],[As,lado (cm²)]],ECF[[#This Row],[Nsd (kN)]])</f>
        <v>2.981481481481481</v>
      </c>
      <c r="AW163" s="4">
        <f ca="1">As_susp_tot(ECF[[#This Row],[nE]],ECF[[#This Row],[Nsd (kN)]])</f>
        <v>8.9444444444444429</v>
      </c>
      <c r="AX163" s="4">
        <f ca="1">Asp_face(ECF[[#This Row],[nE]],ECF[[#This Row],[As,lado (cm²)]])</f>
        <v>3.3270155253939384</v>
      </c>
      <c r="AY163" s="5">
        <f ca="1">acoBloco(ECF[[#This Row],[nE]],ECF[[#This Row],[e (cm)]],ECF[[#This Row],[a (cm)]],ECF[[#This Row],[h (cm)]],ECF[[#This Row],[As,lado (cm²)]],ECF[[#This Row],[Asp e Asw (cm²/m)]],ECF[[#This Row],[As,sup (cm²)]],ECF[[#This Row],[As,malha (cm²)]],ECF[[#This Row],[As,susp,tot (cm²)]],ECF[[#This Row],[Asp,face (cm²)]])</f>
        <v>368.89874676207495</v>
      </c>
      <c r="AZ163" s="4">
        <f ca="1">concretoBloco(ECF[[#This Row],[nE]],ECF[[#This Row],[e (cm)]],ECF[[#This Row],[a (cm)]],ECF[[#This Row],[h (cm)]])</f>
        <v>111.09382241430656</v>
      </c>
      <c r="BA163" s="5">
        <f ca="1">SUM(ECF[[#This Row],[Aço Est (kg)]],ECF[[#This Row],[Aço Bloco (kg)]])</f>
        <v>562.24492503460522</v>
      </c>
      <c r="BB163" s="4">
        <f>INDEX(composicoes[],MATCH(95580,composicoes[CÓDIGO],0),MATCH("CUSTO TOTAL",composicoes[#Headers],0))</f>
        <v>10.46</v>
      </c>
      <c r="BC163" s="4">
        <f ca="1">SUM(ECF[[#This Row],[Conc Est (m³)]],ECF[[#This Row],[Conc Bloco (m³)]])</f>
        <v>129.56638721741453</v>
      </c>
      <c r="BD163" s="4">
        <f>INDEX(composicoes[],MATCH(94966,composicoes[CÓDIGO],0),MATCH("CUSTO TOTAL",composicoes[#Headers],0))</f>
        <v>439.52</v>
      </c>
      <c r="BE163" s="38">
        <f ca="1">ECF[[#This Row],[Aço (kg)]]*ECF[[#This Row],[Aço (R$/kg)]]+ECF[[#This Row],[Conc (m³)]]*ECF[[#This Row],[Conc (R$/m³)]]</f>
        <v>62828.100425659999</v>
      </c>
      <c r="BF163" s="4" t="str">
        <f ca="1">IF(COUNTIF(ECF[#This Row],"N.S.")&gt;0,"lim.","OK")</f>
        <v>OK</v>
      </c>
      <c r="BG163" s="4" t="str">
        <f>IF(ECF[[#This Row],[Prof. (m)]]&lt;4,"lim.","OK")</f>
        <v>OK</v>
      </c>
      <c r="BH163" s="4" t="str">
        <f>IF(ECF[[#This Row],[Prof. (m)]]&gt;=8*ECF[[#This Row],[Ø (cm)]]/100,"OK","lim.")</f>
        <v>lim.</v>
      </c>
      <c r="BI163" s="4" t="str">
        <f>IF(AND(SPT!$F$3&lt;&gt;"",ECF[[#This Row],[Prof. (m)]]&gt;=SPT!$F$3-2),"lim.","OK")</f>
        <v>OK</v>
      </c>
      <c r="BJ163" s="4" t="str">
        <f ca="1">IF(ECF[[#This Row],[Verif. Biela]]="OK","OK","lim.")</f>
        <v>OK</v>
      </c>
      <c r="BK163" s="4" t="str">
        <f ca="1">IF(COUNTA(ECF[[#This Row],[Nº Est.]:[Biela comp.]])=COUNTIF(ECF[[#This Row],[Nº Est.]:[Biela comp.]],"OK"),"OK","lim.")</f>
        <v>lim.</v>
      </c>
      <c r="BL163" s="4" t="str">
        <f ca="1">IF(ECF[[#This Row],[Controle]]="OK",ECF[[#This Row],[nE]]&amp;" Ø"&amp;ECF[[#This Row],[Ø (cm)]]&amp;"cm Prof. "&amp;ECF[[#This Row],[Prof. (m)]]&amp;" m","")</f>
        <v/>
      </c>
      <c r="BM163" s="4" t="str">
        <f ca="1">IF(ECF[[#This Row],[idDimensionamento]]="","",ECF[[#This Row],[idPilar]]&amp;ECF[[#This Row],[idDimensionamento]])</f>
        <v/>
      </c>
    </row>
    <row r="164" spans="2:65" x14ac:dyDescent="0.25">
      <c r="B164" s="12">
        <f>ROUNDUP((ROW(ECF[[#This Row],[idDiâmetro]])-ROW(ECF[[#Headers],[idDiâmetro]]))/(COUNT(SPT[Prof. (m)])*COUNT(PILARES[Pilar])),0)</f>
        <v>6</v>
      </c>
      <c r="C164" s="12">
        <f>IF(ECF[[#This Row],[idDiâmetro]]&lt;&gt;B163,1,IF(ECF[[#This Row],[Prof. (m)]]=0,C163+1,C163))</f>
        <v>2</v>
      </c>
      <c r="D164" s="1">
        <f>IFERROR(IF(D163=MAX(SPT[Prof. (m)]),0,D163+1),0)</f>
        <v>5</v>
      </c>
      <c r="E164" s="1">
        <f>INDEX(SPT[],MATCH(ECF[[#This Row],[Prof. (m)]],SPT[Prof. (m)],0),2)</f>
        <v>17</v>
      </c>
      <c r="F164" s="1" t="str">
        <f>INDEX(SPT[],MATCH(ECF[[#This Row],[Prof. (m)]],SPT[Prof. (m)],0),3)</f>
        <v>Areia siltosa</v>
      </c>
      <c r="G164" s="1">
        <f>INDEX(estacas[],ECF[[#This Row],[idDiâmetro]],MATCH($B$2,estacas[#Headers],0))</f>
        <v>140</v>
      </c>
      <c r="H164" s="1">
        <f>INDEX(estacas[],MATCH(ECF[[#This Row],[Ø (cm)]],estacas[Ø ECF (cm)],0),MATCH(ECF[[#Headers],[Pe ECF (kN)]],estacas[#Headers],0))</f>
        <v>6200</v>
      </c>
      <c r="I164" s="4">
        <f>INDEX(K_alpha_C[],MATCH(ECF[[#This Row],[Solo]],K_alpha_C[Solo],0),2)</f>
        <v>0.8</v>
      </c>
      <c r="J164" s="5">
        <f>INDEX(K_alpha_C[],MATCH(ECF[[#This Row],[Solo]],K_alpha_C[Solo],0),3)</f>
        <v>2</v>
      </c>
      <c r="K164" s="4">
        <f>INDEX(F1_F2[],MATCH($D$2,F1_F2[Tipo de estaca],0),2)</f>
        <v>3</v>
      </c>
      <c r="L164" s="4">
        <f>INDEX(F1_F2[],MATCH($D$2,F1_F2[Tipo de estaca],0),3)</f>
        <v>6</v>
      </c>
      <c r="M164" s="4">
        <f>PI()*(ECF[[#This Row],[Ø (cm)]]/100)^2/4</f>
        <v>1.5393804002589984</v>
      </c>
      <c r="N164" s="4">
        <f>PI()*ECF[[#This Row],[Ø (cm)]]/100</f>
        <v>4.3982297150257104</v>
      </c>
      <c r="O164" s="4">
        <f>IF(ECF[[#This Row],[Prof. (m)]]=0,0,ECF[[#This Row],[α (%)]]/100*ECF[[#This Row],[K (MPa)]]*1000*ECF[[#This Row],[NSPT]])</f>
        <v>272</v>
      </c>
      <c r="P164" s="4">
        <f>IF(ECF[[#This Row],[Prof. (m)]]=0,0,(ECF[[#This Row],[K (MPa)]]*1000*ECF[[#This Row],[NSPT]]/ECF[[#This Row],[F1]]*ECF[[#This Row],[Ap (m²)]]+ECF[[#This Row],[U (m)]]/ECF[[#This Row],[F2]]*SUMIFS(ECF[(α∙K∙NL∙ΔL)],ECF[Prof. (m)],"&lt;="&amp;ECF[[#This Row],[Prof. (m)]],ECF[idDiâmetro],ECF[[#This Row],[idDiâmetro]],ECF[idPilar],ECF[[#This Row],[idPilar]]))/'DADOS CAP. CARGA'!$D$2)</f>
        <v>3682.7843480481943</v>
      </c>
      <c r="Q164" s="12">
        <f>INDEX(C_alpha_beta[],MATCH(ECF[[#This Row],[Solo]],C_alpha_beta[Solo],0),MATCH(ECF[[#Headers],[C (kPa)]],C_alpha_beta[#Headers],0))</f>
        <v>400</v>
      </c>
      <c r="R164" s="4">
        <f>INDEX(C_alpha_beta[],MATCH(ECF[[#This Row],[Solo]],C_alpha_beta[Solo],0),MATCH(ECF[[#Headers],[α ESF]],C_alpha_beta[#Headers],0))</f>
        <v>0.5</v>
      </c>
      <c r="S164" s="4">
        <f>INDEX(C_alpha_beta[],MATCH(ECF[[#This Row],[Solo]],C_alpha_beta[Solo],0),MATCH(ECF[[#Headers],[β ESF]],C_alpha_beta[#Headers],0))</f>
        <v>0.5</v>
      </c>
      <c r="T164" s="4">
        <f>IF(ECF[[#This Row],[Prof. (m)]]=0,0,10*(ECF[[#This Row],[NSPT]]/3+1))</f>
        <v>66.666666666666671</v>
      </c>
      <c r="U164" s="4">
        <f>(ECF[[#This Row],[α ESF]]*ECF[[#This Row],[C (kPa)]]*ECF[[#This Row],[NSPT]]*ECF[[#This Row],[Ap (m²)]])/'DADOS CAP. CARGA'!$Q$2+(ECF[[#This Row],[β ESF]]*SUMIFS(ECF[10∙(NL/3+1)],ECF[Prof. (m)],"&lt;="&amp;ECF[[#This Row],[Prof. (m)]],ECF[idDiâmetro],ECF[[#This Row],[idDiâmetro]],ECF[idPilar],ECF[[#This Row],[idPilar]])*ECF[[#This Row],[U (m)]])/'DADOS CAP. CARGA'!$S$2</f>
        <v>1484.4025288211772</v>
      </c>
      <c r="V164" s="4">
        <f>IF(SPT!$M$5=1,MIN(ECF[[#This Row],[Pe ECF (kN)]],ECF[[#This Row],[R_AV (kN)]]),IF(SPT!$M$5=2,MIN(ECF[[#This Row],[Pe ECF (kN)]],ECF[[#This Row],[R_DC (kN)]]),MIN(ECF[[#This Row],[Pe ECF (kN)]],ECF[[#This Row],[R_AV (kN)]],ECF[[#This Row],[R_DC (kN)]])))</f>
        <v>1484.4025288211772</v>
      </c>
      <c r="W164" s="4">
        <f>INDEX(PILARES[],ECF[[#This Row],[idPilar]],MATCH("Carga (kN)",PILARES[#Headers],0))*1.4</f>
        <v>1750</v>
      </c>
      <c r="X164" s="12">
        <f>INDEX(PILARES[],ECF[[#This Row],[idPilar]],MATCH(ECF[[#Headers],[ap (cm)]],PILARES[#Headers],0))</f>
        <v>50</v>
      </c>
      <c r="Y164" s="12">
        <f>INDEX(PILARES[],ECF[[#This Row],[idPilar]],MATCH(ECF[[#Headers],[bp (cm)]],PILARES[#Headers],0))</f>
        <v>40</v>
      </c>
      <c r="Z164" s="4">
        <f>SQRT(ECF[[#This Row],[ap (cm)]]*ECF[[#This Row],[bp (cm)]])</f>
        <v>44.721359549995796</v>
      </c>
      <c r="AA164" s="12">
        <f>ECF[[#This Row],[ap (cm)]]*ECF[[#This Row],[bp (cm)]]</f>
        <v>2000</v>
      </c>
      <c r="AB164" s="12">
        <f ca="1">IF(ECF[[#This Row],[Padm∙ε (kN)]]&gt;=ECF[[#This Row],[Padm (kN)]],ROUNDUP(1.05*ECF[[#This Row],[Nsd (kN)]]/ECF[[#This Row],[Padm (kN)]],0),ROUNDUP(1.05*ECF[[#This Row],[Nsd (kN)]]/ECF[[#This Row],[Padm (kN)]],0)+1)</f>
        <v>2</v>
      </c>
      <c r="AC164" s="4">
        <f ca="1">IFERROR(IF(ECF[[#This Row],[nE]]=1,ECF[[#This Row],[Padm (kN)]],ECF[[#This Row],[Padm (kN)]]*ECF[[#This Row],[nE]]*INDEX(grupoEstacas[],ECF[[#This Row],[nE]],MATCH("ε",grupoEstacas[#Headers],0))),"N.S.")</f>
        <v>2783.2547415397071</v>
      </c>
      <c r="AD164" s="4">
        <f ca="1">1.05*ECF[[#This Row],[Nsd (kN)]]/(ECF[[#This Row],[nE]]*PI()*ECF[[#This Row],[Ø (cm)]]^2/4)*10</f>
        <v>0.59683103659460746</v>
      </c>
      <c r="AE164" s="4">
        <f ca="1">IF(ECF[[#This Row],[σ (MPa)]]&lt;INDEX(tipoEstaca[],MATCH($D$2,tipoEstaca[TIPO DE ESTACA],0),MATCH("σmáx (MPa)",tipoEstaca[#Headers],0)),0.4%*PI()*ECF[[#This Row],[Ø (cm)]]^2/4,"N.S.")</f>
        <v>61.575216010359952</v>
      </c>
      <c r="AF164" s="1">
        <f>INDEX(tipoEstaca[],MATCH($D$2,tipoEstaca[TIPO DE ESTACA],0),MATCH(ECF[[#Headers],[Comprimento (m)]],tipoEstaca[#Headers],0))</f>
        <v>4</v>
      </c>
      <c r="AG164" s="5">
        <f ca="1">ECF[[#This Row],[As,mín (cm²)]]/100^2*ECF[[#This Row],[Comprimento (m)]]*7850</f>
        <v>193.34617827253024</v>
      </c>
      <c r="AH164" s="4">
        <f ca="1">ECF[[#This Row],[nE]]*ECF[[#This Row],[Prof. (m)]]*ECF[[#This Row],[Ap (m²)]]</f>
        <v>15.393804002589984</v>
      </c>
      <c r="AI164" s="1">
        <f ca="1">IF(ECF[[#This Row],[nE]]=1,0,MAX(3*ECF[[#This Row],[Ø (cm)]],60))</f>
        <v>420</v>
      </c>
      <c r="AJ164" s="1">
        <f ca="1">IF(ECF[[#This Row],[nE]]=1,ECF[[#This Row],[Ø (cm)]]+2*10,MAX(1.5*ECF[[#This Row],[Ø (cm)]],ECF[[#This Row],[Ø (cm)]]+15))</f>
        <v>210</v>
      </c>
      <c r="AK164" s="1">
        <f ca="1">alturaUtil(ECF[[#This Row],[nE]],ECF[[#This Row],[Ø (cm)]],ECF[[#This Row],[e (cm)]],ECF[[#This Row],[ap,eq (cm)]])</f>
        <v>200</v>
      </c>
      <c r="AL164" s="1">
        <f ca="1">IFERROR(ECF[[#This Row],[d (cm)]]+arredondarParaCimaMultiplo5cm(MAX(5,SQRT(PI())/2*ECF[[#This Row],[Ø (cm)]]/5)),"N.S.")</f>
        <v>225</v>
      </c>
      <c r="AM164" s="5">
        <f ca="1">alpha(ECF[[#This Row],[nE]],ECF[[#This Row],[d (cm)]],ECF[[#This Row],[e (cm)]],ECF[[#This Row],[ap,eq (cm)]])</f>
        <v>45.169571120117226</v>
      </c>
      <c r="AN164" s="35">
        <f ca="1">IFERROR(ECF[[#This Row],[Nsd (kN)]]/(ECF[[#This Row],[Ap (cm²)]]*SIN(ECF[[#This Row],[α]])^2),"N.S.")</f>
        <v>1.0174626767930268</v>
      </c>
      <c r="AO164" s="35">
        <f ca="1">IFERROR(ECF[[#This Row],[Nsd (kN)]]/(ECF[[#This Row],[nE]]*PI()*ECF[[#This Row],[Ø (cm)]]^2/4*SIN(ECF[[#This Row],[α]])^2),"N.S.")</f>
        <v>6.6095597723723129E-2</v>
      </c>
      <c r="AP164" s="4">
        <f ca="1">IFERROR(INDEX(grupoEstacas[],ECF[[#This Row],[nE]],MATCH("coef. Blévot",grupoEstacas[#Headers],0)),"N.S.")</f>
        <v>1.4</v>
      </c>
      <c r="AQ164" s="35">
        <f ca="1">IFERROR(ECF[[#This Row],[coef. Blévot]]*0.9*INDEX(tipoEstaca[],MATCH($D$2,tipoEstaca[TIPO DE ESTACA],0),MATCH("fcd (kN/cm²)",tipoEstaca[#Headers],0)),"N.S.")</f>
        <v>1.4000000000000001</v>
      </c>
      <c r="AR164" s="1" t="str">
        <f ca="1">IF(AND(ECF[[#This Row],[cd,b,pil (kN/cm²)]]&lt;=ECF[[#This Row],[cd,b,lim (kN/cm²)]],ECF[[#This Row],[cd,b,est (kN/cm²)]]&lt;=ECF[[#This Row],[cd,b,lim (kN/cm²)]]),"OK","ERRO")</f>
        <v>OK</v>
      </c>
      <c r="AS164" s="4">
        <f ca="1">As_lado(ECF[[#This Row],[nE]],ECF[[#This Row],[Nsd (kN)]],ECF[[#This Row],[d (cm)]],ECF[[#This Row],[e (cm)]],ECF[[#This Row],[ap,eq (cm)]])</f>
        <v>23.007162543643478</v>
      </c>
      <c r="AT164" s="4">
        <f ca="1">IF(ECF[[#This Row],[nE]]=1,ECF[[#This Row],[As,lado (cm²)]],IF(ECF[[#This Row],[nE]]=2,0.075*2*ECF[a (cm)],"N.A."))</f>
        <v>31.5</v>
      </c>
      <c r="AU164" s="4">
        <f ca="1">IFERROR(IF(ECF[[#This Row],[nE]]=1,"N.A.",0.2*ECF[[#This Row],[As,lado (cm²)]]),"N.S.")</f>
        <v>4.6014325087286956</v>
      </c>
      <c r="AV164" s="4" t="str">
        <f ca="1">As_malha(ECF[[#This Row],[nE]],ECF[[#This Row],[As,lado (cm²)]],ECF[[#This Row],[Nsd (kN)]])</f>
        <v>N.A.</v>
      </c>
      <c r="AW164" s="4" t="str">
        <f ca="1">As_susp_tot(ECF[[#This Row],[nE]],ECF[[#This Row],[Nsd (kN)]])</f>
        <v>N.A.</v>
      </c>
      <c r="AX164" s="4" t="str">
        <f ca="1">Asp_face(ECF[[#This Row],[nE]],ECF[[#This Row],[As,lado (cm²)]])</f>
        <v>N.A.</v>
      </c>
      <c r="AY164" s="5">
        <f ca="1">acoBloco(ECF[[#This Row],[nE]],ECF[[#This Row],[e (cm)]],ECF[[#This Row],[a (cm)]],ECF[[#This Row],[h (cm)]],ECF[[#This Row],[As,lado (cm²)]],ECF[[#This Row],[Asp e Asw (cm²/m)]],ECF[[#This Row],[As,sup (cm²)]],ECF[[#This Row],[As,malha (cm²)]],ECF[[#This Row],[As,susp,tot (cm²)]],ECF[[#This Row],[Asp,face (cm²)]])</f>
        <v>4263.5722257753423</v>
      </c>
      <c r="AZ164" s="4">
        <f ca="1">concretoBloco(ECF[[#This Row],[nE]],ECF[[#This Row],[e (cm)]],ECF[[#This Row],[a (cm)]],ECF[[#This Row],[h (cm)]])</f>
        <v>79.38</v>
      </c>
      <c r="BA164" s="5">
        <f ca="1">SUM(ECF[[#This Row],[Aço Est (kg)]],ECF[[#This Row],[Aço Bloco (kg)]])</f>
        <v>4456.9184040478722</v>
      </c>
      <c r="BB164" s="4">
        <f>INDEX(composicoes[],MATCH(95580,composicoes[CÓDIGO],0),MATCH("CUSTO TOTAL",composicoes[#Headers],0))</f>
        <v>10.46</v>
      </c>
      <c r="BC164" s="4">
        <f ca="1">SUM(ECF[[#This Row],[Conc Est (m³)]],ECF[[#This Row],[Conc Bloco (m³)]])</f>
        <v>94.773804002589983</v>
      </c>
      <c r="BD164" s="4">
        <f>INDEX(composicoes[],MATCH(94966,composicoes[CÓDIGO],0),MATCH("CUSTO TOTAL",composicoes[#Headers],0))</f>
        <v>439.52</v>
      </c>
      <c r="BE164" s="38">
        <f ca="1">ECF[[#This Row],[Aço (kg)]]*ECF[[#This Row],[Aço (R$/kg)]]+ECF[[#This Row],[Conc (m³)]]*ECF[[#This Row],[Conc (R$/m³)]]</f>
        <v>88274.348841559084</v>
      </c>
      <c r="BF164" s="4" t="str">
        <f ca="1">IF(COUNTIF(ECF[#This Row],"N.S.")&gt;0,"lim.","OK")</f>
        <v>OK</v>
      </c>
      <c r="BG164" s="4" t="str">
        <f>IF(ECF[[#This Row],[Prof. (m)]]&lt;4,"lim.","OK")</f>
        <v>OK</v>
      </c>
      <c r="BH164" s="4" t="str">
        <f>IF(ECF[[#This Row],[Prof. (m)]]&gt;=8*ECF[[#This Row],[Ø (cm)]]/100,"OK","lim.")</f>
        <v>lim.</v>
      </c>
      <c r="BI164" s="4" t="str">
        <f>IF(AND(SPT!$F$3&lt;&gt;"",ECF[[#This Row],[Prof. (m)]]&gt;=SPT!$F$3-2),"lim.","OK")</f>
        <v>OK</v>
      </c>
      <c r="BJ164" s="4" t="str">
        <f ca="1">IF(ECF[[#This Row],[Verif. Biela]]="OK","OK","lim.")</f>
        <v>OK</v>
      </c>
      <c r="BK164" s="4" t="str">
        <f ca="1">IF(COUNTA(ECF[[#This Row],[Nº Est.]:[Biela comp.]])=COUNTIF(ECF[[#This Row],[Nº Est.]:[Biela comp.]],"OK"),"OK","lim.")</f>
        <v>lim.</v>
      </c>
      <c r="BL164" s="4" t="str">
        <f ca="1">IF(ECF[[#This Row],[Controle]]="OK",ECF[[#This Row],[nE]]&amp;" Ø"&amp;ECF[[#This Row],[Ø (cm)]]&amp;"cm Prof. "&amp;ECF[[#This Row],[Prof. (m)]]&amp;" m","")</f>
        <v/>
      </c>
      <c r="BM164" s="4" t="str">
        <f ca="1">IF(ECF[[#This Row],[idDimensionamento]]="","",ECF[[#This Row],[idPilar]]&amp;ECF[[#This Row],[idDimensionamento]])</f>
        <v/>
      </c>
    </row>
    <row r="165" spans="2:65" x14ac:dyDescent="0.25">
      <c r="B165" s="12">
        <f>ROUNDUP((ROW(ECF[[#This Row],[idDiâmetro]])-ROW(ECF[[#Headers],[idDiâmetro]]))/(COUNT(SPT[Prof. (m)])*COUNT(PILARES[Pilar])),0)</f>
        <v>6</v>
      </c>
      <c r="C165" s="12">
        <f>IF(ECF[[#This Row],[idDiâmetro]]&lt;&gt;B164,1,IF(ECF[[#This Row],[Prof. (m)]]=0,C164+1,C164))</f>
        <v>2</v>
      </c>
      <c r="D165" s="1">
        <f>IFERROR(IF(D164=MAX(SPT[Prof. (m)]),0,D164+1),0)</f>
        <v>6</v>
      </c>
      <c r="E165" s="1">
        <f>INDEX(SPT[],MATCH(ECF[[#This Row],[Prof. (m)]],SPT[Prof. (m)],0),2)</f>
        <v>21</v>
      </c>
      <c r="F165" s="1" t="str">
        <f>INDEX(SPT[],MATCH(ECF[[#This Row],[Prof. (m)]],SPT[Prof. (m)],0),3)</f>
        <v>Silte arenoso</v>
      </c>
      <c r="G165" s="1">
        <f>INDEX(estacas[],ECF[[#This Row],[idDiâmetro]],MATCH($B$2,estacas[#Headers],0))</f>
        <v>140</v>
      </c>
      <c r="H165" s="1">
        <f>INDEX(estacas[],MATCH(ECF[[#This Row],[Ø (cm)]],estacas[Ø ECF (cm)],0),MATCH(ECF[[#Headers],[Pe ECF (kN)]],estacas[#Headers],0))</f>
        <v>6200</v>
      </c>
      <c r="I165" s="4">
        <f>INDEX(K_alpha_C[],MATCH(ECF[[#This Row],[Solo]],K_alpha_C[Solo],0),2)</f>
        <v>0.55000000000000004</v>
      </c>
      <c r="J165" s="5">
        <f>INDEX(K_alpha_C[],MATCH(ECF[[#This Row],[Solo]],K_alpha_C[Solo],0),3)</f>
        <v>2.2000000000000002</v>
      </c>
      <c r="K165" s="4">
        <f>INDEX(F1_F2[],MATCH($D$2,F1_F2[Tipo de estaca],0),2)</f>
        <v>3</v>
      </c>
      <c r="L165" s="4">
        <f>INDEX(F1_F2[],MATCH($D$2,F1_F2[Tipo de estaca],0),3)</f>
        <v>6</v>
      </c>
      <c r="M165" s="4">
        <f>PI()*(ECF[[#This Row],[Ø (cm)]]/100)^2/4</f>
        <v>1.5393804002589984</v>
      </c>
      <c r="N165" s="4">
        <f>PI()*ECF[[#This Row],[Ø (cm)]]/100</f>
        <v>4.3982297150257104</v>
      </c>
      <c r="O165" s="4">
        <f>IF(ECF[[#This Row],[Prof. (m)]]=0,0,ECF[[#This Row],[α (%)]]/100*ECF[[#This Row],[K (MPa)]]*1000*ECF[[#This Row],[NSPT]])</f>
        <v>254.10000000000002</v>
      </c>
      <c r="P165" s="4">
        <f>IF(ECF[[#This Row],[Prof. (m)]]=0,0,(ECF[[#This Row],[K (MPa)]]*1000*ECF[[#This Row],[NSPT]]/ECF[[#This Row],[F1]]*ECF[[#This Row],[Ap (m²)]]+ECF[[#This Row],[U (m)]]/ECF[[#This Row],[F2]]*SUMIFS(ECF[(α∙K∙NL∙ΔL)],ECF[Prof. (m)],"&lt;="&amp;ECF[[#This Row],[Prof. (m)]],ECF[idDiâmetro],ECF[[#This Row],[idDiâmetro]],ECF[idPilar],ECF[[#This Row],[idPilar]]))/'DADOS CAP. CARGA'!$D$2)</f>
        <v>3249.9618921753727</v>
      </c>
      <c r="Q165" s="12">
        <f>INDEX(C_alpha_beta[],MATCH(ECF[[#This Row],[Solo]],C_alpha_beta[Solo],0),MATCH(ECF[[#Headers],[C (kPa)]],C_alpha_beta[#Headers],0))</f>
        <v>250</v>
      </c>
      <c r="R165" s="4">
        <f>INDEX(C_alpha_beta[],MATCH(ECF[[#This Row],[Solo]],C_alpha_beta[Solo],0),MATCH(ECF[[#Headers],[α ESF]],C_alpha_beta[#Headers],0))</f>
        <v>0.6</v>
      </c>
      <c r="S165" s="4">
        <f>INDEX(C_alpha_beta[],MATCH(ECF[[#This Row],[Solo]],C_alpha_beta[Solo],0),MATCH(ECF[[#Headers],[β ESF]],C_alpha_beta[#Headers],0))</f>
        <v>0.65</v>
      </c>
      <c r="T165" s="4">
        <f>IF(ECF[[#This Row],[Prof. (m)]]=0,0,10*(ECF[[#This Row],[NSPT]]/3+1))</f>
        <v>80</v>
      </c>
      <c r="U165" s="4">
        <f>(ECF[[#This Row],[α ESF]]*ECF[[#This Row],[C (kPa)]]*ECF[[#This Row],[NSPT]]*ECF[[#This Row],[Ap (m²)]])/'DADOS CAP. CARGA'!$Q$2+(ECF[[#This Row],[β ESF]]*SUMIFS(ECF[10∙(NL/3+1)],ECF[Prof. (m)],"&lt;="&amp;ECF[[#This Row],[Prof. (m)]],ECF[idDiâmetro],ECF[[#This Row],[idDiâmetro]],ECF[idPilar],ECF[[#This Row],[idPilar]])*ECF[[#This Row],[U (m)]])/'DADOS CAP. CARGA'!$S$2</f>
        <v>1555.3239829759666</v>
      </c>
      <c r="V165" s="4">
        <f>IF(SPT!$M$5=1,MIN(ECF[[#This Row],[Pe ECF (kN)]],ECF[[#This Row],[R_AV (kN)]]),IF(SPT!$M$5=2,MIN(ECF[[#This Row],[Pe ECF (kN)]],ECF[[#This Row],[R_DC (kN)]]),MIN(ECF[[#This Row],[Pe ECF (kN)]],ECF[[#This Row],[R_AV (kN)]],ECF[[#This Row],[R_DC (kN)]])))</f>
        <v>1555.3239829759666</v>
      </c>
      <c r="W165" s="4">
        <f>INDEX(PILARES[],ECF[[#This Row],[idPilar]],MATCH("Carga (kN)",PILARES[#Headers],0))*1.4</f>
        <v>1750</v>
      </c>
      <c r="X165" s="12">
        <f>INDEX(PILARES[],ECF[[#This Row],[idPilar]],MATCH(ECF[[#Headers],[ap (cm)]],PILARES[#Headers],0))</f>
        <v>50</v>
      </c>
      <c r="Y165" s="12">
        <f>INDEX(PILARES[],ECF[[#This Row],[idPilar]],MATCH(ECF[[#Headers],[bp (cm)]],PILARES[#Headers],0))</f>
        <v>40</v>
      </c>
      <c r="Z165" s="4">
        <f>SQRT(ECF[[#This Row],[ap (cm)]]*ECF[[#This Row],[bp (cm)]])</f>
        <v>44.721359549995796</v>
      </c>
      <c r="AA165" s="12">
        <f>ECF[[#This Row],[ap (cm)]]*ECF[[#This Row],[bp (cm)]]</f>
        <v>2000</v>
      </c>
      <c r="AB165" s="12">
        <f ca="1">IF(ECF[[#This Row],[Padm∙ε (kN)]]&gt;=ECF[[#This Row],[Padm (kN)]],ROUNDUP(1.05*ECF[[#This Row],[Nsd (kN)]]/ECF[[#This Row],[Padm (kN)]],0),ROUNDUP(1.05*ECF[[#This Row],[Nsd (kN)]]/ECF[[#This Row],[Padm (kN)]],0)+1)</f>
        <v>2</v>
      </c>
      <c r="AC165" s="4">
        <f ca="1">IFERROR(IF(ECF[[#This Row],[nE]]=1,ECF[[#This Row],[Padm (kN)]],ECF[[#This Row],[Padm (kN)]]*ECF[[#This Row],[nE]]*INDEX(grupoEstacas[],ECF[[#This Row],[nE]],MATCH("ε",grupoEstacas[#Headers],0))),"N.S.")</f>
        <v>2916.2324680799375</v>
      </c>
      <c r="AD165" s="4">
        <f ca="1">1.05*ECF[[#This Row],[Nsd (kN)]]/(ECF[[#This Row],[nE]]*PI()*ECF[[#This Row],[Ø (cm)]]^2/4)*10</f>
        <v>0.59683103659460746</v>
      </c>
      <c r="AE165" s="4">
        <f ca="1">IF(ECF[[#This Row],[σ (MPa)]]&lt;INDEX(tipoEstaca[],MATCH($D$2,tipoEstaca[TIPO DE ESTACA],0),MATCH("σmáx (MPa)",tipoEstaca[#Headers],0)),0.4%*PI()*ECF[[#This Row],[Ø (cm)]]^2/4,"N.S.")</f>
        <v>61.575216010359952</v>
      </c>
      <c r="AF165" s="1">
        <f>INDEX(tipoEstaca[],MATCH($D$2,tipoEstaca[TIPO DE ESTACA],0),MATCH(ECF[[#Headers],[Comprimento (m)]],tipoEstaca[#Headers],0))</f>
        <v>4</v>
      </c>
      <c r="AG165" s="5">
        <f ca="1">ECF[[#This Row],[As,mín (cm²)]]/100^2*ECF[[#This Row],[Comprimento (m)]]*7850</f>
        <v>193.34617827253024</v>
      </c>
      <c r="AH165" s="4">
        <f ca="1">ECF[[#This Row],[nE]]*ECF[[#This Row],[Prof. (m)]]*ECF[[#This Row],[Ap (m²)]]</f>
        <v>18.472564803107979</v>
      </c>
      <c r="AI165" s="1">
        <f ca="1">IF(ECF[[#This Row],[nE]]=1,0,MAX(3*ECF[[#This Row],[Ø (cm)]],60))</f>
        <v>420</v>
      </c>
      <c r="AJ165" s="1">
        <f ca="1">IF(ECF[[#This Row],[nE]]=1,ECF[[#This Row],[Ø (cm)]]+2*10,MAX(1.5*ECF[[#This Row],[Ø (cm)]],ECF[[#This Row],[Ø (cm)]]+15))</f>
        <v>210</v>
      </c>
      <c r="AK165" s="1">
        <f ca="1">alturaUtil(ECF[[#This Row],[nE]],ECF[[#This Row],[Ø (cm)]],ECF[[#This Row],[e (cm)]],ECF[[#This Row],[ap,eq (cm)]])</f>
        <v>200</v>
      </c>
      <c r="AL165" s="1">
        <f ca="1">IFERROR(ECF[[#This Row],[d (cm)]]+arredondarParaCimaMultiplo5cm(MAX(5,SQRT(PI())/2*ECF[[#This Row],[Ø (cm)]]/5)),"N.S.")</f>
        <v>225</v>
      </c>
      <c r="AM165" s="5">
        <f ca="1">alpha(ECF[[#This Row],[nE]],ECF[[#This Row],[d (cm)]],ECF[[#This Row],[e (cm)]],ECF[[#This Row],[ap,eq (cm)]])</f>
        <v>45.169571120117226</v>
      </c>
      <c r="AN165" s="35">
        <f ca="1">IFERROR(ECF[[#This Row],[Nsd (kN)]]/(ECF[[#This Row],[Ap (cm²)]]*SIN(ECF[[#This Row],[α]])^2),"N.S.")</f>
        <v>1.0174626767930268</v>
      </c>
      <c r="AO165" s="35">
        <f ca="1">IFERROR(ECF[[#This Row],[Nsd (kN)]]/(ECF[[#This Row],[nE]]*PI()*ECF[[#This Row],[Ø (cm)]]^2/4*SIN(ECF[[#This Row],[α]])^2),"N.S.")</f>
        <v>6.6095597723723129E-2</v>
      </c>
      <c r="AP165" s="4">
        <f ca="1">IFERROR(INDEX(grupoEstacas[],ECF[[#This Row],[nE]],MATCH("coef. Blévot",grupoEstacas[#Headers],0)),"N.S.")</f>
        <v>1.4</v>
      </c>
      <c r="AQ165" s="35">
        <f ca="1">IFERROR(ECF[[#This Row],[coef. Blévot]]*0.9*INDEX(tipoEstaca[],MATCH($D$2,tipoEstaca[TIPO DE ESTACA],0),MATCH("fcd (kN/cm²)",tipoEstaca[#Headers],0)),"N.S.")</f>
        <v>1.4000000000000001</v>
      </c>
      <c r="AR165" s="1" t="str">
        <f ca="1">IF(AND(ECF[[#This Row],[cd,b,pil (kN/cm²)]]&lt;=ECF[[#This Row],[cd,b,lim (kN/cm²)]],ECF[[#This Row],[cd,b,est (kN/cm²)]]&lt;=ECF[[#This Row],[cd,b,lim (kN/cm²)]]),"OK","ERRO")</f>
        <v>OK</v>
      </c>
      <c r="AS165" s="4">
        <f ca="1">As_lado(ECF[[#This Row],[nE]],ECF[[#This Row],[Nsd (kN)]],ECF[[#This Row],[d (cm)]],ECF[[#This Row],[e (cm)]],ECF[[#This Row],[ap,eq (cm)]])</f>
        <v>23.007162543643478</v>
      </c>
      <c r="AT165" s="4">
        <f ca="1">IF(ECF[[#This Row],[nE]]=1,ECF[[#This Row],[As,lado (cm²)]],IF(ECF[[#This Row],[nE]]=2,0.075*2*ECF[a (cm)],"N.A."))</f>
        <v>31.5</v>
      </c>
      <c r="AU165" s="4">
        <f ca="1">IFERROR(IF(ECF[[#This Row],[nE]]=1,"N.A.",0.2*ECF[[#This Row],[As,lado (cm²)]]),"N.S.")</f>
        <v>4.6014325087286956</v>
      </c>
      <c r="AV165" s="4" t="str">
        <f ca="1">As_malha(ECF[[#This Row],[nE]],ECF[[#This Row],[As,lado (cm²)]],ECF[[#This Row],[Nsd (kN)]])</f>
        <v>N.A.</v>
      </c>
      <c r="AW165" s="4" t="str">
        <f ca="1">As_susp_tot(ECF[[#This Row],[nE]],ECF[[#This Row],[Nsd (kN)]])</f>
        <v>N.A.</v>
      </c>
      <c r="AX165" s="4" t="str">
        <f ca="1">Asp_face(ECF[[#This Row],[nE]],ECF[[#This Row],[As,lado (cm²)]])</f>
        <v>N.A.</v>
      </c>
      <c r="AY165" s="5">
        <f ca="1">acoBloco(ECF[[#This Row],[nE]],ECF[[#This Row],[e (cm)]],ECF[[#This Row],[a (cm)]],ECF[[#This Row],[h (cm)]],ECF[[#This Row],[As,lado (cm²)]],ECF[[#This Row],[Asp e Asw (cm²/m)]],ECF[[#This Row],[As,sup (cm²)]],ECF[[#This Row],[As,malha (cm²)]],ECF[[#This Row],[As,susp,tot (cm²)]],ECF[[#This Row],[Asp,face (cm²)]])</f>
        <v>4263.5722257753423</v>
      </c>
      <c r="AZ165" s="4">
        <f ca="1">concretoBloco(ECF[[#This Row],[nE]],ECF[[#This Row],[e (cm)]],ECF[[#This Row],[a (cm)]],ECF[[#This Row],[h (cm)]])</f>
        <v>79.38</v>
      </c>
      <c r="BA165" s="5">
        <f ca="1">SUM(ECF[[#This Row],[Aço Est (kg)]],ECF[[#This Row],[Aço Bloco (kg)]])</f>
        <v>4456.9184040478722</v>
      </c>
      <c r="BB165" s="4">
        <f>INDEX(composicoes[],MATCH(95580,composicoes[CÓDIGO],0),MATCH("CUSTO TOTAL",composicoes[#Headers],0))</f>
        <v>10.46</v>
      </c>
      <c r="BC165" s="4">
        <f ca="1">SUM(ECF[[#This Row],[Conc Est (m³)]],ECF[[#This Row],[Conc Bloco (m³)]])</f>
        <v>97.852564803107981</v>
      </c>
      <c r="BD165" s="4">
        <f>INDEX(composicoes[],MATCH(94966,composicoes[CÓDIGO],0),MATCH("CUSTO TOTAL",composicoes[#Headers],0))</f>
        <v>439.52</v>
      </c>
      <c r="BE165" s="38">
        <f ca="1">ECF[[#This Row],[Aço (kg)]]*ECF[[#This Row],[Aço (R$/kg)]]+ECF[[#This Row],[Conc (m³)]]*ECF[[#This Row],[Conc (R$/m³)]]</f>
        <v>89627.525788602768</v>
      </c>
      <c r="BF165" s="4" t="str">
        <f ca="1">IF(COUNTIF(ECF[#This Row],"N.S.")&gt;0,"lim.","OK")</f>
        <v>OK</v>
      </c>
      <c r="BG165" s="4" t="str">
        <f>IF(ECF[[#This Row],[Prof. (m)]]&lt;4,"lim.","OK")</f>
        <v>OK</v>
      </c>
      <c r="BH165" s="4" t="str">
        <f>IF(ECF[[#This Row],[Prof. (m)]]&gt;=8*ECF[[#This Row],[Ø (cm)]]/100,"OK","lim.")</f>
        <v>lim.</v>
      </c>
      <c r="BI165" s="4" t="str">
        <f>IF(AND(SPT!$F$3&lt;&gt;"",ECF[[#This Row],[Prof. (m)]]&gt;=SPT!$F$3-2),"lim.","OK")</f>
        <v>OK</v>
      </c>
      <c r="BJ165" s="4" t="str">
        <f ca="1">IF(ECF[[#This Row],[Verif. Biela]]="OK","OK","lim.")</f>
        <v>OK</v>
      </c>
      <c r="BK165" s="4" t="str">
        <f ca="1">IF(COUNTA(ECF[[#This Row],[Nº Est.]:[Biela comp.]])=COUNTIF(ECF[[#This Row],[Nº Est.]:[Biela comp.]],"OK"),"OK","lim.")</f>
        <v>lim.</v>
      </c>
      <c r="BL165" s="4" t="str">
        <f ca="1">IF(ECF[[#This Row],[Controle]]="OK",ECF[[#This Row],[nE]]&amp;" Ø"&amp;ECF[[#This Row],[Ø (cm)]]&amp;"cm Prof. "&amp;ECF[[#This Row],[Prof. (m)]]&amp;" m","")</f>
        <v/>
      </c>
      <c r="BM165" s="4" t="str">
        <f ca="1">IF(ECF[[#This Row],[idDimensionamento]]="","",ECF[[#This Row],[idPilar]]&amp;ECF[[#This Row],[idDimensionamento]])</f>
        <v/>
      </c>
    </row>
    <row r="166" spans="2:65" x14ac:dyDescent="0.25">
      <c r="B166" s="12">
        <f>ROUNDUP((ROW(ECF[[#This Row],[idDiâmetro]])-ROW(ECF[[#Headers],[idDiâmetro]]))/(COUNT(SPT[Prof. (m)])*COUNT(PILARES[Pilar])),0)</f>
        <v>6</v>
      </c>
      <c r="C166" s="12">
        <f>IF(ECF[[#This Row],[idDiâmetro]]&lt;&gt;B165,1,IF(ECF[[#This Row],[Prof. (m)]]=0,C165+1,C165))</f>
        <v>2</v>
      </c>
      <c r="D166" s="1">
        <f>IFERROR(IF(D165=MAX(SPT[Prof. (m)]),0,D165+1),0)</f>
        <v>7</v>
      </c>
      <c r="E166" s="1">
        <f>INDEX(SPT[],MATCH(ECF[[#This Row],[Prof. (m)]],SPT[Prof. (m)],0),2)</f>
        <v>8</v>
      </c>
      <c r="F166" s="1" t="str">
        <f>INDEX(SPT[],MATCH(ECF[[#This Row],[Prof. (m)]],SPT[Prof. (m)],0),3)</f>
        <v>Silte arenoso</v>
      </c>
      <c r="G166" s="1">
        <f>INDEX(estacas[],ECF[[#This Row],[idDiâmetro]],MATCH($B$2,estacas[#Headers],0))</f>
        <v>140</v>
      </c>
      <c r="H166" s="1">
        <f>INDEX(estacas[],MATCH(ECF[[#This Row],[Ø (cm)]],estacas[Ø ECF (cm)],0),MATCH(ECF[[#Headers],[Pe ECF (kN)]],estacas[#Headers],0))</f>
        <v>6200</v>
      </c>
      <c r="I166" s="4">
        <f>INDEX(K_alpha_C[],MATCH(ECF[[#This Row],[Solo]],K_alpha_C[Solo],0),2)</f>
        <v>0.55000000000000004</v>
      </c>
      <c r="J166" s="5">
        <f>INDEX(K_alpha_C[],MATCH(ECF[[#This Row],[Solo]],K_alpha_C[Solo],0),3)</f>
        <v>2.2000000000000002</v>
      </c>
      <c r="K166" s="4">
        <f>INDEX(F1_F2[],MATCH($D$2,F1_F2[Tipo de estaca],0),2)</f>
        <v>3</v>
      </c>
      <c r="L166" s="4">
        <f>INDEX(F1_F2[],MATCH($D$2,F1_F2[Tipo de estaca],0),3)</f>
        <v>6</v>
      </c>
      <c r="M166" s="4">
        <f>PI()*(ECF[[#This Row],[Ø (cm)]]/100)^2/4</f>
        <v>1.5393804002589984</v>
      </c>
      <c r="N166" s="4">
        <f>PI()*ECF[[#This Row],[Ø (cm)]]/100</f>
        <v>4.3982297150257104</v>
      </c>
      <c r="O166" s="4">
        <f>IF(ECF[[#This Row],[Prof. (m)]]=0,0,ECF[[#This Row],[α (%)]]/100*ECF[[#This Row],[K (MPa)]]*1000*ECF[[#This Row],[NSPT]])</f>
        <v>96.800000000000011</v>
      </c>
      <c r="P166" s="4">
        <f>IF(ECF[[#This Row],[Prof. (m)]]=0,0,(ECF[[#This Row],[K (MPa)]]*1000*ECF[[#This Row],[NSPT]]/ECF[[#This Row],[F1]]*ECF[[#This Row],[Ap (m²)]]+ECF[[#This Row],[U (m)]]/ECF[[#This Row],[F2]]*SUMIFS(ECF[(α∙K∙NL∙ΔL)],ECF[Prof. (m)],"&lt;="&amp;ECF[[#This Row],[Prof. (m)]],ECF[idDiâmetro],ECF[[#This Row],[idDiâmetro]],ECF[idPilar],ECF[[#This Row],[idPilar]]))/'DADOS CAP. CARGA'!$D$2)</f>
        <v>1451.0126349012737</v>
      </c>
      <c r="Q166" s="12">
        <f>INDEX(C_alpha_beta[],MATCH(ECF[[#This Row],[Solo]],C_alpha_beta[Solo],0),MATCH(ECF[[#Headers],[C (kPa)]],C_alpha_beta[#Headers],0))</f>
        <v>250</v>
      </c>
      <c r="R166" s="4">
        <f>INDEX(C_alpha_beta[],MATCH(ECF[[#This Row],[Solo]],C_alpha_beta[Solo],0),MATCH(ECF[[#Headers],[α ESF]],C_alpha_beta[#Headers],0))</f>
        <v>0.6</v>
      </c>
      <c r="S166" s="4">
        <f>INDEX(C_alpha_beta[],MATCH(ECF[[#This Row],[Solo]],C_alpha_beta[Solo],0),MATCH(ECF[[#Headers],[β ESF]],C_alpha_beta[#Headers],0))</f>
        <v>0.65</v>
      </c>
      <c r="T166" s="4">
        <f>IF(ECF[[#This Row],[Prof. (m)]]=0,0,10*(ECF[[#This Row],[NSPT]]/3+1))</f>
        <v>36.666666666666664</v>
      </c>
      <c r="U166" s="4">
        <f>(ECF[[#This Row],[α ESF]]*ECF[[#This Row],[C (kPa)]]*ECF[[#This Row],[NSPT]]*ECF[[#This Row],[Ap (m²)]])/'DADOS CAP. CARGA'!$Q$2+(ECF[[#This Row],[β ESF]]*SUMIFS(ECF[10∙(NL/3+1)],ECF[Prof. (m)],"&lt;="&amp;ECF[[#This Row],[Prof. (m)]],ECF[idDiâmetro],ECF[[#This Row],[idDiâmetro]],ECF[idPilar],ECF[[#This Row],[idPilar]])*ECF[[#This Row],[U (m)]])/'DADOS CAP. CARGA'!$S$2</f>
        <v>857.28827528709462</v>
      </c>
      <c r="V166" s="4">
        <f>IF(SPT!$M$5=1,MIN(ECF[[#This Row],[Pe ECF (kN)]],ECF[[#This Row],[R_AV (kN)]]),IF(SPT!$M$5=2,MIN(ECF[[#This Row],[Pe ECF (kN)]],ECF[[#This Row],[R_DC (kN)]]),MIN(ECF[[#This Row],[Pe ECF (kN)]],ECF[[#This Row],[R_AV (kN)]],ECF[[#This Row],[R_DC (kN)]])))</f>
        <v>857.28827528709462</v>
      </c>
      <c r="W166" s="4">
        <f>INDEX(PILARES[],ECF[[#This Row],[idPilar]],MATCH("Carga (kN)",PILARES[#Headers],0))*1.4</f>
        <v>1750</v>
      </c>
      <c r="X166" s="12">
        <f>INDEX(PILARES[],ECF[[#This Row],[idPilar]],MATCH(ECF[[#Headers],[ap (cm)]],PILARES[#Headers],0))</f>
        <v>50</v>
      </c>
      <c r="Y166" s="12">
        <f>INDEX(PILARES[],ECF[[#This Row],[idPilar]],MATCH(ECF[[#Headers],[bp (cm)]],PILARES[#Headers],0))</f>
        <v>40</v>
      </c>
      <c r="Z166" s="4">
        <f>SQRT(ECF[[#This Row],[ap (cm)]]*ECF[[#This Row],[bp (cm)]])</f>
        <v>44.721359549995796</v>
      </c>
      <c r="AA166" s="12">
        <f>ECF[[#This Row],[ap (cm)]]*ECF[[#This Row],[bp (cm)]]</f>
        <v>2000</v>
      </c>
      <c r="AB166" s="12">
        <f ca="1">IF(ECF[[#This Row],[Padm∙ε (kN)]]&gt;=ECF[[#This Row],[Padm (kN)]],ROUNDUP(1.05*ECF[[#This Row],[Nsd (kN)]]/ECF[[#This Row],[Padm (kN)]],0),ROUNDUP(1.05*ECF[[#This Row],[Nsd (kN)]]/ECF[[#This Row],[Padm (kN)]],0)+1)</f>
        <v>3</v>
      </c>
      <c r="AC166" s="4">
        <f ca="1">IFERROR(IF(ECF[[#This Row],[nE]]=1,ECF[[#This Row],[Padm (kN)]],ECF[[#This Row],[Padm (kN)]]*ECF[[#This Row],[nE]]*INDEX(grupoEstacas[],ECF[[#This Row],[nE]],MATCH("ε",grupoEstacas[#Headers],0))),"N.S.")</f>
        <v>2250.3817226286233</v>
      </c>
      <c r="AD166" s="4">
        <f ca="1">1.05*ECF[[#This Row],[Nsd (kN)]]/(ECF[[#This Row],[nE]]*PI()*ECF[[#This Row],[Ø (cm)]]^2/4)*10</f>
        <v>0.39788735772973838</v>
      </c>
      <c r="AE166" s="4">
        <f ca="1">IF(ECF[[#This Row],[σ (MPa)]]&lt;INDEX(tipoEstaca[],MATCH($D$2,tipoEstaca[TIPO DE ESTACA],0),MATCH("σmáx (MPa)",tipoEstaca[#Headers],0)),0.4%*PI()*ECF[[#This Row],[Ø (cm)]]^2/4,"N.S.")</f>
        <v>61.575216010359952</v>
      </c>
      <c r="AF166" s="1">
        <f>INDEX(tipoEstaca[],MATCH($D$2,tipoEstaca[TIPO DE ESTACA],0),MATCH(ECF[[#Headers],[Comprimento (m)]],tipoEstaca[#Headers],0))</f>
        <v>4</v>
      </c>
      <c r="AG166" s="5">
        <f ca="1">ECF[[#This Row],[As,mín (cm²)]]/100^2*ECF[[#This Row],[Comprimento (m)]]*7850</f>
        <v>193.34617827253024</v>
      </c>
      <c r="AH166" s="4">
        <f ca="1">ECF[[#This Row],[nE]]*ECF[[#This Row],[Prof. (m)]]*ECF[[#This Row],[Ap (m²)]]</f>
        <v>32.326988405438968</v>
      </c>
      <c r="AI166" s="1">
        <f ca="1">IF(ECF[[#This Row],[nE]]=1,0,MAX(3*ECF[[#This Row],[Ø (cm)]],60))</f>
        <v>420</v>
      </c>
      <c r="AJ166" s="1">
        <f ca="1">IF(ECF[[#This Row],[nE]]=1,ECF[[#This Row],[Ø (cm)]]+2*10,MAX(1.5*ECF[[#This Row],[Ø (cm)]],ECF[[#This Row],[Ø (cm)]]+15))</f>
        <v>210</v>
      </c>
      <c r="AK166" s="1">
        <f ca="1">alturaUtil(ECF[[#This Row],[nE]],ECF[[#This Row],[Ø (cm)]],ECF[[#This Row],[e (cm)]],ECF[[#This Row],[ap,eq (cm)]])</f>
        <v>200</v>
      </c>
      <c r="AL166" s="1">
        <f ca="1">IFERROR(ECF[[#This Row],[d (cm)]]+arredondarParaCimaMultiplo5cm(MAX(5,SQRT(PI())/2*ECF[[#This Row],[Ø (cm)]]/5)),"N.S.")</f>
        <v>225</v>
      </c>
      <c r="AM166" s="5">
        <f ca="1">alpha(ECF[[#This Row],[nE]],ECF[[#This Row],[d (cm)]],ECF[[#This Row],[e (cm)]],ECF[[#This Row],[ap,eq (cm)]])</f>
        <v>45.493567847172926</v>
      </c>
      <c r="AN166" s="35">
        <f ca="1">IFERROR(ECF[[#This Row],[Nsd (kN)]]/(ECF[[#This Row],[Ap (cm²)]]*SIN(ECF[[#This Row],[α]])^2),"N.S.")</f>
        <v>0.87810772650613345</v>
      </c>
      <c r="AO166" s="35">
        <f ca="1">IFERROR(ECF[[#This Row],[Nsd (kN)]]/(ECF[[#This Row],[nE]]*PI()*ECF[[#This Row],[Ø (cm)]]^2/4*SIN(ECF[[#This Row],[α]])^2),"N.S.")</f>
        <v>3.8028621834187017E-2</v>
      </c>
      <c r="AP166" s="4">
        <f ca="1">IFERROR(INDEX(grupoEstacas[],ECF[[#This Row],[nE]],MATCH("coef. Blévot",grupoEstacas[#Headers],0)),"N.S.")</f>
        <v>1.75</v>
      </c>
      <c r="AQ166" s="35">
        <f ca="1">IFERROR(ECF[[#This Row],[coef. Blévot]]*0.9*INDEX(tipoEstaca[],MATCH($D$2,tipoEstaca[TIPO DE ESTACA],0),MATCH("fcd (kN/cm²)",tipoEstaca[#Headers],0)),"N.S.")</f>
        <v>1.75</v>
      </c>
      <c r="AR166" s="1" t="str">
        <f ca="1">IF(AND(ECF[[#This Row],[cd,b,pil (kN/cm²)]]&lt;=ECF[[#This Row],[cd,b,lim (kN/cm²)]],ECF[[#This Row],[cd,b,est (kN/cm²)]]&lt;=ECF[[#This Row],[cd,b,lim (kN/cm²)]]),"OK","ERRO")</f>
        <v>OK</v>
      </c>
      <c r="AS166" s="4">
        <f ca="1">As_lado(ECF[[#This Row],[nE]],ECF[[#This Row],[Nsd (kN)]],ECF[[#This Row],[d (cm)]],ECF[[#This Row],[e (cm)]],ECF[[#This Row],[ap,eq (cm)]])</f>
        <v>8.8720414010505024</v>
      </c>
      <c r="AT166" s="4" t="str">
        <f ca="1">IF(ECF[[#This Row],[nE]]=1,ECF[[#This Row],[As,lado (cm²)]],IF(ECF[[#This Row],[nE]]=2,0.075*2*ECF[a (cm)],"N.A."))</f>
        <v>N.A.</v>
      </c>
      <c r="AU166" s="4">
        <f ca="1">IFERROR(IF(ECF[[#This Row],[nE]]=1,"N.A.",0.2*ECF[[#This Row],[As,lado (cm²)]]),"N.S.")</f>
        <v>1.7744082802101007</v>
      </c>
      <c r="AV166" s="4">
        <f ca="1">As_malha(ECF[[#This Row],[nE]],ECF[[#This Row],[As,lado (cm²)]],ECF[[#This Row],[Nsd (kN)]])</f>
        <v>2.981481481481481</v>
      </c>
      <c r="AW166" s="4">
        <f ca="1">As_susp_tot(ECF[[#This Row],[nE]],ECF[[#This Row],[Nsd (kN)]])</f>
        <v>8.9444444444444429</v>
      </c>
      <c r="AX166" s="4">
        <f ca="1">Asp_face(ECF[[#This Row],[nE]],ECF[[#This Row],[As,lado (cm²)]])</f>
        <v>3.3270155253939384</v>
      </c>
      <c r="AY166" s="5">
        <f ca="1">acoBloco(ECF[[#This Row],[nE]],ECF[[#This Row],[e (cm)]],ECF[[#This Row],[a (cm)]],ECF[[#This Row],[h (cm)]],ECF[[#This Row],[As,lado (cm²)]],ECF[[#This Row],[Asp e Asw (cm²/m)]],ECF[[#This Row],[As,sup (cm²)]],ECF[[#This Row],[As,malha (cm²)]],ECF[[#This Row],[As,susp,tot (cm²)]],ECF[[#This Row],[Asp,face (cm²)]])</f>
        <v>368.89874676207495</v>
      </c>
      <c r="AZ166" s="4">
        <f ca="1">concretoBloco(ECF[[#This Row],[nE]],ECF[[#This Row],[e (cm)]],ECF[[#This Row],[a (cm)]],ECF[[#This Row],[h (cm)]])</f>
        <v>111.09382241430656</v>
      </c>
      <c r="BA166" s="5">
        <f ca="1">SUM(ECF[[#This Row],[Aço Est (kg)]],ECF[[#This Row],[Aço Bloco (kg)]])</f>
        <v>562.24492503460522</v>
      </c>
      <c r="BB166" s="4">
        <f>INDEX(composicoes[],MATCH(95580,composicoes[CÓDIGO],0),MATCH("CUSTO TOTAL",composicoes[#Headers],0))</f>
        <v>10.46</v>
      </c>
      <c r="BC166" s="4">
        <f ca="1">SUM(ECF[[#This Row],[Conc Est (m³)]],ECF[[#This Row],[Conc Bloco (m³)]])</f>
        <v>143.42081081974553</v>
      </c>
      <c r="BD166" s="4">
        <f>INDEX(composicoes[],MATCH(94966,composicoes[CÓDIGO],0),MATCH("CUSTO TOTAL",composicoes[#Headers],0))</f>
        <v>439.52</v>
      </c>
      <c r="BE166" s="38">
        <f ca="1">ECF[[#This Row],[Aço (kg)]]*ECF[[#This Row],[Aço (R$/kg)]]+ECF[[#This Row],[Conc (m³)]]*ECF[[#This Row],[Conc (R$/m³)]]</f>
        <v>68917.396687356522</v>
      </c>
      <c r="BF166" s="4" t="str">
        <f ca="1">IF(COUNTIF(ECF[#This Row],"N.S.")&gt;0,"lim.","OK")</f>
        <v>OK</v>
      </c>
      <c r="BG166" s="4" t="str">
        <f>IF(ECF[[#This Row],[Prof. (m)]]&lt;4,"lim.","OK")</f>
        <v>OK</v>
      </c>
      <c r="BH166" s="4" t="str">
        <f>IF(ECF[[#This Row],[Prof. (m)]]&gt;=8*ECF[[#This Row],[Ø (cm)]]/100,"OK","lim.")</f>
        <v>lim.</v>
      </c>
      <c r="BI166" s="4" t="str">
        <f>IF(AND(SPT!$F$3&lt;&gt;"",ECF[[#This Row],[Prof. (m)]]&gt;=SPT!$F$3-2),"lim.","OK")</f>
        <v>OK</v>
      </c>
      <c r="BJ166" s="4" t="str">
        <f ca="1">IF(ECF[[#This Row],[Verif. Biela]]="OK","OK","lim.")</f>
        <v>OK</v>
      </c>
      <c r="BK166" s="4" t="str">
        <f ca="1">IF(COUNTA(ECF[[#This Row],[Nº Est.]:[Biela comp.]])=COUNTIF(ECF[[#This Row],[Nº Est.]:[Biela comp.]],"OK"),"OK","lim.")</f>
        <v>lim.</v>
      </c>
      <c r="BL166" s="4" t="str">
        <f ca="1">IF(ECF[[#This Row],[Controle]]="OK",ECF[[#This Row],[nE]]&amp;" Ø"&amp;ECF[[#This Row],[Ø (cm)]]&amp;"cm Prof. "&amp;ECF[[#This Row],[Prof. (m)]]&amp;" m","")</f>
        <v/>
      </c>
      <c r="BM166" s="4" t="str">
        <f ca="1">IF(ECF[[#This Row],[idDimensionamento]]="","",ECF[[#This Row],[idPilar]]&amp;ECF[[#This Row],[idDimensionamento]])</f>
        <v/>
      </c>
    </row>
    <row r="167" spans="2:65" x14ac:dyDescent="0.25">
      <c r="B167" s="12">
        <f>ROUNDUP((ROW(ECF[[#This Row],[idDiâmetro]])-ROW(ECF[[#Headers],[idDiâmetro]]))/(COUNT(SPT[Prof. (m)])*COUNT(PILARES[Pilar])),0)</f>
        <v>6</v>
      </c>
      <c r="C167" s="12">
        <f>IF(ECF[[#This Row],[idDiâmetro]]&lt;&gt;B166,1,IF(ECF[[#This Row],[Prof. (m)]]=0,C166+1,C166))</f>
        <v>2</v>
      </c>
      <c r="D167" s="1">
        <f>IFERROR(IF(D166=MAX(SPT[Prof. (m)]),0,D166+1),0)</f>
        <v>8</v>
      </c>
      <c r="E167" s="1">
        <f>INDEX(SPT[],MATCH(ECF[[#This Row],[Prof. (m)]],SPT[Prof. (m)],0),2)</f>
        <v>10</v>
      </c>
      <c r="F167" s="1" t="str">
        <f>INDEX(SPT[],MATCH(ECF[[#This Row],[Prof. (m)]],SPT[Prof. (m)],0),3)</f>
        <v>Silte arenoso</v>
      </c>
      <c r="G167" s="1">
        <f>INDEX(estacas[],ECF[[#This Row],[idDiâmetro]],MATCH($B$2,estacas[#Headers],0))</f>
        <v>140</v>
      </c>
      <c r="H167" s="1">
        <f>INDEX(estacas[],MATCH(ECF[[#This Row],[Ø (cm)]],estacas[Ø ECF (cm)],0),MATCH(ECF[[#Headers],[Pe ECF (kN)]],estacas[#Headers],0))</f>
        <v>6200</v>
      </c>
      <c r="I167" s="4">
        <f>INDEX(K_alpha_C[],MATCH(ECF[[#This Row],[Solo]],K_alpha_C[Solo],0),2)</f>
        <v>0.55000000000000004</v>
      </c>
      <c r="J167" s="5">
        <f>INDEX(K_alpha_C[],MATCH(ECF[[#This Row],[Solo]],K_alpha_C[Solo],0),3)</f>
        <v>2.2000000000000002</v>
      </c>
      <c r="K167" s="4">
        <f>INDEX(F1_F2[],MATCH($D$2,F1_F2[Tipo de estaca],0),2)</f>
        <v>3</v>
      </c>
      <c r="L167" s="4">
        <f>INDEX(F1_F2[],MATCH($D$2,F1_F2[Tipo de estaca],0),3)</f>
        <v>6</v>
      </c>
      <c r="M167" s="4">
        <f>PI()*(ECF[[#This Row],[Ø (cm)]]/100)^2/4</f>
        <v>1.5393804002589984</v>
      </c>
      <c r="N167" s="4">
        <f>PI()*ECF[[#This Row],[Ø (cm)]]/100</f>
        <v>4.3982297150257104</v>
      </c>
      <c r="O167" s="4">
        <f>IF(ECF[[#This Row],[Prof. (m)]]=0,0,ECF[[#This Row],[α (%)]]/100*ECF[[#This Row],[K (MPa)]]*1000*ECF[[#This Row],[NSPT]])</f>
        <v>121.00000000000001</v>
      </c>
      <c r="P167" s="4">
        <f>IF(ECF[[#This Row],[Prof. (m)]]=0,0,(ECF[[#This Row],[K (MPa)]]*1000*ECF[[#This Row],[NSPT]]/ECF[[#This Row],[F1]]*ECF[[#This Row],[Ap (m²)]]+ECF[[#This Row],[U (m)]]/ECF[[#This Row],[F2]]*SUMIFS(ECF[(α∙K∙NL∙ΔL)],ECF[Prof. (m)],"&lt;="&amp;ECF[[#This Row],[Prof. (m)]],ECF[idDiâmetro],ECF[[#This Row],[idDiâmetro]],ECF[idPilar],ECF[[#This Row],[idPilar]]))/'DADOS CAP. CARGA'!$D$2)</f>
        <v>1777.5811912419326</v>
      </c>
      <c r="Q167" s="12">
        <f>INDEX(C_alpha_beta[],MATCH(ECF[[#This Row],[Solo]],C_alpha_beta[Solo],0),MATCH(ECF[[#Headers],[C (kPa)]],C_alpha_beta[#Headers],0))</f>
        <v>250</v>
      </c>
      <c r="R167" s="4">
        <f>INDEX(C_alpha_beta[],MATCH(ECF[[#This Row],[Solo]],C_alpha_beta[Solo],0),MATCH(ECF[[#Headers],[α ESF]],C_alpha_beta[#Headers],0))</f>
        <v>0.6</v>
      </c>
      <c r="S167" s="4">
        <f>INDEX(C_alpha_beta[],MATCH(ECF[[#This Row],[Solo]],C_alpha_beta[Solo],0),MATCH(ECF[[#Headers],[β ESF]],C_alpha_beta[#Headers],0))</f>
        <v>0.65</v>
      </c>
      <c r="T167" s="4">
        <f>IF(ECF[[#This Row],[Prof. (m)]]=0,0,10*(ECF[[#This Row],[NSPT]]/3+1))</f>
        <v>43.333333333333343</v>
      </c>
      <c r="U167" s="4">
        <f>(ECF[[#This Row],[α ESF]]*ECF[[#This Row],[C (kPa)]]*ECF[[#This Row],[NSPT]]*ECF[[#This Row],[Ap (m²)]])/'DADOS CAP. CARGA'!$Q$2+(ECF[[#This Row],[β ESF]]*SUMIFS(ECF[10∙(NL/3+1)],ECF[Prof. (m)],"&lt;="&amp;ECF[[#This Row],[Prof. (m)]],ECF[idDiâmetro],ECF[[#This Row],[idDiâmetro]],ECF[idPilar],ECF[[#This Row],[idPilar]])*ECF[[#This Row],[U (m)]])/'DADOS CAP. CARGA'!$S$2</f>
        <v>1034.6835404597982</v>
      </c>
      <c r="V167" s="4">
        <f>IF(SPT!$M$5=1,MIN(ECF[[#This Row],[Pe ECF (kN)]],ECF[[#This Row],[R_AV (kN)]]),IF(SPT!$M$5=2,MIN(ECF[[#This Row],[Pe ECF (kN)]],ECF[[#This Row],[R_DC (kN)]]),MIN(ECF[[#This Row],[Pe ECF (kN)]],ECF[[#This Row],[R_AV (kN)]],ECF[[#This Row],[R_DC (kN)]])))</f>
        <v>1034.6835404597982</v>
      </c>
      <c r="W167" s="4">
        <f>INDEX(PILARES[],ECF[[#This Row],[idPilar]],MATCH("Carga (kN)",PILARES[#Headers],0))*1.4</f>
        <v>1750</v>
      </c>
      <c r="X167" s="12">
        <f>INDEX(PILARES[],ECF[[#This Row],[idPilar]],MATCH(ECF[[#Headers],[ap (cm)]],PILARES[#Headers],0))</f>
        <v>50</v>
      </c>
      <c r="Y167" s="12">
        <f>INDEX(PILARES[],ECF[[#This Row],[idPilar]],MATCH(ECF[[#Headers],[bp (cm)]],PILARES[#Headers],0))</f>
        <v>40</v>
      </c>
      <c r="Z167" s="4">
        <f>SQRT(ECF[[#This Row],[ap (cm)]]*ECF[[#This Row],[bp (cm)]])</f>
        <v>44.721359549995796</v>
      </c>
      <c r="AA167" s="12">
        <f>ECF[[#This Row],[ap (cm)]]*ECF[[#This Row],[bp (cm)]]</f>
        <v>2000</v>
      </c>
      <c r="AB167" s="12">
        <f ca="1">IF(ECF[[#This Row],[Padm∙ε (kN)]]&gt;=ECF[[#This Row],[Padm (kN)]],ROUNDUP(1.05*ECF[[#This Row],[Nsd (kN)]]/ECF[[#This Row],[Padm (kN)]],0),ROUNDUP(1.05*ECF[[#This Row],[Nsd (kN)]]/ECF[[#This Row],[Padm (kN)]],0)+1)</f>
        <v>2</v>
      </c>
      <c r="AC167" s="4">
        <f ca="1">IFERROR(IF(ECF[[#This Row],[nE]]=1,ECF[[#This Row],[Padm (kN)]],ECF[[#This Row],[Padm (kN)]]*ECF[[#This Row],[nE]]*INDEX(grupoEstacas[],ECF[[#This Row],[nE]],MATCH("ε",grupoEstacas[#Headers],0))),"N.S.")</f>
        <v>1940.0316383621216</v>
      </c>
      <c r="AD167" s="4">
        <f ca="1">1.05*ECF[[#This Row],[Nsd (kN)]]/(ECF[[#This Row],[nE]]*PI()*ECF[[#This Row],[Ø (cm)]]^2/4)*10</f>
        <v>0.59683103659460746</v>
      </c>
      <c r="AE167" s="4">
        <f ca="1">IF(ECF[[#This Row],[σ (MPa)]]&lt;INDEX(tipoEstaca[],MATCH($D$2,tipoEstaca[TIPO DE ESTACA],0),MATCH("σmáx (MPa)",tipoEstaca[#Headers],0)),0.4%*PI()*ECF[[#This Row],[Ø (cm)]]^2/4,"N.S.")</f>
        <v>61.575216010359952</v>
      </c>
      <c r="AF167" s="1">
        <f>INDEX(tipoEstaca[],MATCH($D$2,tipoEstaca[TIPO DE ESTACA],0),MATCH(ECF[[#Headers],[Comprimento (m)]],tipoEstaca[#Headers],0))</f>
        <v>4</v>
      </c>
      <c r="AG167" s="5">
        <f ca="1">ECF[[#This Row],[As,mín (cm²)]]/100^2*ECF[[#This Row],[Comprimento (m)]]*7850</f>
        <v>193.34617827253024</v>
      </c>
      <c r="AH167" s="4">
        <f ca="1">ECF[[#This Row],[nE]]*ECF[[#This Row],[Prof. (m)]]*ECF[[#This Row],[Ap (m²)]]</f>
        <v>24.630086404143974</v>
      </c>
      <c r="AI167" s="1">
        <f ca="1">IF(ECF[[#This Row],[nE]]=1,0,MAX(3*ECF[[#This Row],[Ø (cm)]],60))</f>
        <v>420</v>
      </c>
      <c r="AJ167" s="1">
        <f ca="1">IF(ECF[[#This Row],[nE]]=1,ECF[[#This Row],[Ø (cm)]]+2*10,MAX(1.5*ECF[[#This Row],[Ø (cm)]],ECF[[#This Row],[Ø (cm)]]+15))</f>
        <v>210</v>
      </c>
      <c r="AK167" s="1">
        <f ca="1">alturaUtil(ECF[[#This Row],[nE]],ECF[[#This Row],[Ø (cm)]],ECF[[#This Row],[e (cm)]],ECF[[#This Row],[ap,eq (cm)]])</f>
        <v>200</v>
      </c>
      <c r="AL167" s="1">
        <f ca="1">IFERROR(ECF[[#This Row],[d (cm)]]+arredondarParaCimaMultiplo5cm(MAX(5,SQRT(PI())/2*ECF[[#This Row],[Ø (cm)]]/5)),"N.S.")</f>
        <v>225</v>
      </c>
      <c r="AM167" s="5">
        <f ca="1">alpha(ECF[[#This Row],[nE]],ECF[[#This Row],[d (cm)]],ECF[[#This Row],[e (cm)]],ECF[[#This Row],[ap,eq (cm)]])</f>
        <v>45.169571120117226</v>
      </c>
      <c r="AN167" s="35">
        <f ca="1">IFERROR(ECF[[#This Row],[Nsd (kN)]]/(ECF[[#This Row],[Ap (cm²)]]*SIN(ECF[[#This Row],[α]])^2),"N.S.")</f>
        <v>1.0174626767930268</v>
      </c>
      <c r="AO167" s="35">
        <f ca="1">IFERROR(ECF[[#This Row],[Nsd (kN)]]/(ECF[[#This Row],[nE]]*PI()*ECF[[#This Row],[Ø (cm)]]^2/4*SIN(ECF[[#This Row],[α]])^2),"N.S.")</f>
        <v>6.6095597723723129E-2</v>
      </c>
      <c r="AP167" s="4">
        <f ca="1">IFERROR(INDEX(grupoEstacas[],ECF[[#This Row],[nE]],MATCH("coef. Blévot",grupoEstacas[#Headers],0)),"N.S.")</f>
        <v>1.4</v>
      </c>
      <c r="AQ167" s="35">
        <f ca="1">IFERROR(ECF[[#This Row],[coef. Blévot]]*0.9*INDEX(tipoEstaca[],MATCH($D$2,tipoEstaca[TIPO DE ESTACA],0),MATCH("fcd (kN/cm²)",tipoEstaca[#Headers],0)),"N.S.")</f>
        <v>1.4000000000000001</v>
      </c>
      <c r="AR167" s="1" t="str">
        <f ca="1">IF(AND(ECF[[#This Row],[cd,b,pil (kN/cm²)]]&lt;=ECF[[#This Row],[cd,b,lim (kN/cm²)]],ECF[[#This Row],[cd,b,est (kN/cm²)]]&lt;=ECF[[#This Row],[cd,b,lim (kN/cm²)]]),"OK","ERRO")</f>
        <v>OK</v>
      </c>
      <c r="AS167" s="4">
        <f ca="1">As_lado(ECF[[#This Row],[nE]],ECF[[#This Row],[Nsd (kN)]],ECF[[#This Row],[d (cm)]],ECF[[#This Row],[e (cm)]],ECF[[#This Row],[ap,eq (cm)]])</f>
        <v>23.007162543643478</v>
      </c>
      <c r="AT167" s="4">
        <f ca="1">IF(ECF[[#This Row],[nE]]=1,ECF[[#This Row],[As,lado (cm²)]],IF(ECF[[#This Row],[nE]]=2,0.075*2*ECF[a (cm)],"N.A."))</f>
        <v>31.5</v>
      </c>
      <c r="AU167" s="4">
        <f ca="1">IFERROR(IF(ECF[[#This Row],[nE]]=1,"N.A.",0.2*ECF[[#This Row],[As,lado (cm²)]]),"N.S.")</f>
        <v>4.6014325087286956</v>
      </c>
      <c r="AV167" s="4" t="str">
        <f ca="1">As_malha(ECF[[#This Row],[nE]],ECF[[#This Row],[As,lado (cm²)]],ECF[[#This Row],[Nsd (kN)]])</f>
        <v>N.A.</v>
      </c>
      <c r="AW167" s="4" t="str">
        <f ca="1">As_susp_tot(ECF[[#This Row],[nE]],ECF[[#This Row],[Nsd (kN)]])</f>
        <v>N.A.</v>
      </c>
      <c r="AX167" s="4" t="str">
        <f ca="1">Asp_face(ECF[[#This Row],[nE]],ECF[[#This Row],[As,lado (cm²)]])</f>
        <v>N.A.</v>
      </c>
      <c r="AY167" s="5">
        <f ca="1">acoBloco(ECF[[#This Row],[nE]],ECF[[#This Row],[e (cm)]],ECF[[#This Row],[a (cm)]],ECF[[#This Row],[h (cm)]],ECF[[#This Row],[As,lado (cm²)]],ECF[[#This Row],[Asp e Asw (cm²/m)]],ECF[[#This Row],[As,sup (cm²)]],ECF[[#This Row],[As,malha (cm²)]],ECF[[#This Row],[As,susp,tot (cm²)]],ECF[[#This Row],[Asp,face (cm²)]])</f>
        <v>4263.5722257753423</v>
      </c>
      <c r="AZ167" s="4">
        <f ca="1">concretoBloco(ECF[[#This Row],[nE]],ECF[[#This Row],[e (cm)]],ECF[[#This Row],[a (cm)]],ECF[[#This Row],[h (cm)]])</f>
        <v>79.38</v>
      </c>
      <c r="BA167" s="5">
        <f ca="1">SUM(ECF[[#This Row],[Aço Est (kg)]],ECF[[#This Row],[Aço Bloco (kg)]])</f>
        <v>4456.9184040478722</v>
      </c>
      <c r="BB167" s="4">
        <f>INDEX(composicoes[],MATCH(95580,composicoes[CÓDIGO],0),MATCH("CUSTO TOTAL",composicoes[#Headers],0))</f>
        <v>10.46</v>
      </c>
      <c r="BC167" s="4">
        <f ca="1">SUM(ECF[[#This Row],[Conc Est (m³)]],ECF[[#This Row],[Conc Bloco (m³)]])</f>
        <v>104.01008640414398</v>
      </c>
      <c r="BD167" s="4">
        <f>INDEX(composicoes[],MATCH(94966,composicoes[CÓDIGO],0),MATCH("CUSTO TOTAL",composicoes[#Headers],0))</f>
        <v>439.52</v>
      </c>
      <c r="BE167" s="38">
        <f ca="1">ECF[[#This Row],[Aço (kg)]]*ECF[[#This Row],[Aço (R$/kg)]]+ECF[[#This Row],[Conc (m³)]]*ECF[[#This Row],[Conc (R$/m³)]]</f>
        <v>92333.879682690109</v>
      </c>
      <c r="BF167" s="4" t="str">
        <f ca="1">IF(COUNTIF(ECF[#This Row],"N.S.")&gt;0,"lim.","OK")</f>
        <v>OK</v>
      </c>
      <c r="BG167" s="4" t="str">
        <f>IF(ECF[[#This Row],[Prof. (m)]]&lt;4,"lim.","OK")</f>
        <v>OK</v>
      </c>
      <c r="BH167" s="4" t="str">
        <f>IF(ECF[[#This Row],[Prof. (m)]]&gt;=8*ECF[[#This Row],[Ø (cm)]]/100,"OK","lim.")</f>
        <v>lim.</v>
      </c>
      <c r="BI167" s="4" t="str">
        <f>IF(AND(SPT!$F$3&lt;&gt;"",ECF[[#This Row],[Prof. (m)]]&gt;=SPT!$F$3-2),"lim.","OK")</f>
        <v>OK</v>
      </c>
      <c r="BJ167" s="4" t="str">
        <f ca="1">IF(ECF[[#This Row],[Verif. Biela]]="OK","OK","lim.")</f>
        <v>OK</v>
      </c>
      <c r="BK167" s="4" t="str">
        <f ca="1">IF(COUNTA(ECF[[#This Row],[Nº Est.]:[Biela comp.]])=COUNTIF(ECF[[#This Row],[Nº Est.]:[Biela comp.]],"OK"),"OK","lim.")</f>
        <v>lim.</v>
      </c>
      <c r="BL167" s="4" t="str">
        <f ca="1">IF(ECF[[#This Row],[Controle]]="OK",ECF[[#This Row],[nE]]&amp;" Ø"&amp;ECF[[#This Row],[Ø (cm)]]&amp;"cm Prof. "&amp;ECF[[#This Row],[Prof. (m)]]&amp;" m","")</f>
        <v/>
      </c>
      <c r="BM167" s="4" t="str">
        <f ca="1">IF(ECF[[#This Row],[idDimensionamento]]="","",ECF[[#This Row],[idPilar]]&amp;ECF[[#This Row],[idDimensionamento]])</f>
        <v/>
      </c>
    </row>
    <row r="168" spans="2:65" x14ac:dyDescent="0.25">
      <c r="B168" s="12">
        <f>ROUNDUP((ROW(ECF[[#This Row],[idDiâmetro]])-ROW(ECF[[#Headers],[idDiâmetro]]))/(COUNT(SPT[Prof. (m)])*COUNT(PILARES[Pilar])),0)</f>
        <v>6</v>
      </c>
      <c r="C168" s="12">
        <f>IF(ECF[[#This Row],[idDiâmetro]]&lt;&gt;B167,1,IF(ECF[[#This Row],[Prof. (m)]]=0,C167+1,C167))</f>
        <v>2</v>
      </c>
      <c r="D168" s="1">
        <f>IFERROR(IF(D167=MAX(SPT[Prof. (m)]),0,D167+1),0)</f>
        <v>9</v>
      </c>
      <c r="E168" s="1">
        <f>INDEX(SPT[],MATCH(ECF[[#This Row],[Prof. (m)]],SPT[Prof. (m)],0),2)</f>
        <v>26</v>
      </c>
      <c r="F168" s="1" t="str">
        <f>INDEX(SPT[],MATCH(ECF[[#This Row],[Prof. (m)]],SPT[Prof. (m)],0),3)</f>
        <v>Areia siltosa</v>
      </c>
      <c r="G168" s="1">
        <f>INDEX(estacas[],ECF[[#This Row],[idDiâmetro]],MATCH($B$2,estacas[#Headers],0))</f>
        <v>140</v>
      </c>
      <c r="H168" s="1">
        <f>INDEX(estacas[],MATCH(ECF[[#This Row],[Ø (cm)]],estacas[Ø ECF (cm)],0),MATCH(ECF[[#Headers],[Pe ECF (kN)]],estacas[#Headers],0))</f>
        <v>6200</v>
      </c>
      <c r="I168" s="4">
        <f>INDEX(K_alpha_C[],MATCH(ECF[[#This Row],[Solo]],K_alpha_C[Solo],0),2)</f>
        <v>0.8</v>
      </c>
      <c r="J168" s="5">
        <f>INDEX(K_alpha_C[],MATCH(ECF[[#This Row],[Solo]],K_alpha_C[Solo],0),3)</f>
        <v>2</v>
      </c>
      <c r="K168" s="4">
        <f>INDEX(F1_F2[],MATCH($D$2,F1_F2[Tipo de estaca],0),2)</f>
        <v>3</v>
      </c>
      <c r="L168" s="4">
        <f>INDEX(F1_F2[],MATCH($D$2,F1_F2[Tipo de estaca],0),3)</f>
        <v>6</v>
      </c>
      <c r="M168" s="4">
        <f>PI()*(ECF[[#This Row],[Ø (cm)]]/100)^2/4</f>
        <v>1.5393804002589984</v>
      </c>
      <c r="N168" s="4">
        <f>PI()*ECF[[#This Row],[Ø (cm)]]/100</f>
        <v>4.3982297150257104</v>
      </c>
      <c r="O168" s="4">
        <f>IF(ECF[[#This Row],[Prof. (m)]]=0,0,ECF[[#This Row],[α (%)]]/100*ECF[[#This Row],[K (MPa)]]*1000*ECF[[#This Row],[NSPT]])</f>
        <v>416</v>
      </c>
      <c r="P168" s="4">
        <f>IF(ECF[[#This Row],[Prof. (m)]]=0,0,(ECF[[#This Row],[K (MPa)]]*1000*ECF[[#This Row],[NSPT]]/ECF[[#This Row],[F1]]*ECF[[#This Row],[Ap (m²)]]+ECF[[#This Row],[U (m)]]/ECF[[#This Row],[F2]]*SUMIFS(ECF[(α∙K∙NL∙ΔL)],ECF[Prof. (m)],"&lt;="&amp;ECF[[#This Row],[Prof. (m)]],ECF[idDiâmetro],ECF[[#This Row],[idDiâmetro]],ECF[idPilar],ECF[[#This Row],[idPilar]]))/'DADOS CAP. CARGA'!$D$2)</f>
        <v>5855.473175356603</v>
      </c>
      <c r="Q168" s="12">
        <f>INDEX(C_alpha_beta[],MATCH(ECF[[#This Row],[Solo]],C_alpha_beta[Solo],0),MATCH(ECF[[#Headers],[C (kPa)]],C_alpha_beta[#Headers],0))</f>
        <v>400</v>
      </c>
      <c r="R168" s="4">
        <f>INDEX(C_alpha_beta[],MATCH(ECF[[#This Row],[Solo]],C_alpha_beta[Solo],0),MATCH(ECF[[#Headers],[α ESF]],C_alpha_beta[#Headers],0))</f>
        <v>0.5</v>
      </c>
      <c r="S168" s="4">
        <f>INDEX(C_alpha_beta[],MATCH(ECF[[#This Row],[Solo]],C_alpha_beta[Solo],0),MATCH(ECF[[#Headers],[β ESF]],C_alpha_beta[#Headers],0))</f>
        <v>0.5</v>
      </c>
      <c r="T168" s="4">
        <f>IF(ECF[[#This Row],[Prof. (m)]]=0,0,10*(ECF[[#This Row],[NSPT]]/3+1))</f>
        <v>96.666666666666657</v>
      </c>
      <c r="U168" s="4">
        <f>(ECF[[#This Row],[α ESF]]*ECF[[#This Row],[C (kPa)]]*ECF[[#This Row],[NSPT]]*ECF[[#This Row],[Ap (m²)]])/'DADOS CAP. CARGA'!$Q$2+(ECF[[#This Row],[β ESF]]*SUMIFS(ECF[10∙(NL/3+1)],ECF[Prof. (m)],"&lt;="&amp;ECF[[#This Row],[Prof. (m)]],ECF[idDiâmetro],ECF[[#This Row],[idDiâmetro]],ECF[idPilar],ECF[[#This Row],[idPilar]])*ECF[[#This Row],[U (m)]])/'DADOS CAP. CARGA'!$S$2</f>
        <v>2459.3434489852093</v>
      </c>
      <c r="V168" s="4">
        <f>IF(SPT!$M$5=1,MIN(ECF[[#This Row],[Pe ECF (kN)]],ECF[[#This Row],[R_AV (kN)]]),IF(SPT!$M$5=2,MIN(ECF[[#This Row],[Pe ECF (kN)]],ECF[[#This Row],[R_DC (kN)]]),MIN(ECF[[#This Row],[Pe ECF (kN)]],ECF[[#This Row],[R_AV (kN)]],ECF[[#This Row],[R_DC (kN)]])))</f>
        <v>2459.3434489852093</v>
      </c>
      <c r="W168" s="4">
        <f>INDEX(PILARES[],ECF[[#This Row],[idPilar]],MATCH("Carga (kN)",PILARES[#Headers],0))*1.4</f>
        <v>1750</v>
      </c>
      <c r="X168" s="12">
        <f>INDEX(PILARES[],ECF[[#This Row],[idPilar]],MATCH(ECF[[#Headers],[ap (cm)]],PILARES[#Headers],0))</f>
        <v>50</v>
      </c>
      <c r="Y168" s="12">
        <f>INDEX(PILARES[],ECF[[#This Row],[idPilar]],MATCH(ECF[[#Headers],[bp (cm)]],PILARES[#Headers],0))</f>
        <v>40</v>
      </c>
      <c r="Z168" s="4">
        <f>SQRT(ECF[[#This Row],[ap (cm)]]*ECF[[#This Row],[bp (cm)]])</f>
        <v>44.721359549995796</v>
      </c>
      <c r="AA168" s="12">
        <f>ECF[[#This Row],[ap (cm)]]*ECF[[#This Row],[bp (cm)]]</f>
        <v>2000</v>
      </c>
      <c r="AB168" s="12">
        <f ca="1">IF(ECF[[#This Row],[Padm∙ε (kN)]]&gt;=ECF[[#This Row],[Padm (kN)]],ROUNDUP(1.05*ECF[[#This Row],[Nsd (kN)]]/ECF[[#This Row],[Padm (kN)]],0),ROUNDUP(1.05*ECF[[#This Row],[Nsd (kN)]]/ECF[[#This Row],[Padm (kN)]],0)+1)</f>
        <v>1</v>
      </c>
      <c r="AC168" s="4">
        <f ca="1">IFERROR(IF(ECF[[#This Row],[nE]]=1,ECF[[#This Row],[Padm (kN)]],ECF[[#This Row],[Padm (kN)]]*ECF[[#This Row],[nE]]*INDEX(grupoEstacas[],ECF[[#This Row],[nE]],MATCH("ε",grupoEstacas[#Headers],0))),"N.S.")</f>
        <v>2459.3434489852093</v>
      </c>
      <c r="AD168" s="4">
        <f ca="1">1.05*ECF[[#This Row],[Nsd (kN)]]/(ECF[[#This Row],[nE]]*PI()*ECF[[#This Row],[Ø (cm)]]^2/4)*10</f>
        <v>1.1936620731892149</v>
      </c>
      <c r="AE168" s="4">
        <f ca="1">IF(ECF[[#This Row],[σ (MPa)]]&lt;INDEX(tipoEstaca[],MATCH($D$2,tipoEstaca[TIPO DE ESTACA],0),MATCH("σmáx (MPa)",tipoEstaca[#Headers],0)),0.4%*PI()*ECF[[#This Row],[Ø (cm)]]^2/4,"N.S.")</f>
        <v>61.575216010359952</v>
      </c>
      <c r="AF168" s="1">
        <f>INDEX(tipoEstaca[],MATCH($D$2,tipoEstaca[TIPO DE ESTACA],0),MATCH(ECF[[#Headers],[Comprimento (m)]],tipoEstaca[#Headers],0))</f>
        <v>4</v>
      </c>
      <c r="AG168" s="5">
        <f ca="1">ECF[[#This Row],[As,mín (cm²)]]/100^2*ECF[[#This Row],[Comprimento (m)]]*7850</f>
        <v>193.34617827253024</v>
      </c>
      <c r="AH168" s="4">
        <f ca="1">ECF[[#This Row],[nE]]*ECF[[#This Row],[Prof. (m)]]*ECF[[#This Row],[Ap (m²)]]</f>
        <v>13.854423602330986</v>
      </c>
      <c r="AI168" s="1">
        <f ca="1">IF(ECF[[#This Row],[nE]]=1,0,MAX(3*ECF[[#This Row],[Ø (cm)]],60))</f>
        <v>0</v>
      </c>
      <c r="AJ168" s="1">
        <f ca="1">IF(ECF[[#This Row],[nE]]=1,ECF[[#This Row],[Ø (cm)]]+2*10,MAX(1.5*ECF[[#This Row],[Ø (cm)]],ECF[[#This Row],[Ø (cm)]]+15))</f>
        <v>160</v>
      </c>
      <c r="AK168" s="1">
        <f ca="1">alturaUtil(ECF[[#This Row],[nE]],ECF[[#This Row],[Ø (cm)]],ECF[[#This Row],[e (cm)]],ECF[[#This Row],[ap,eq (cm)]])</f>
        <v>170</v>
      </c>
      <c r="AL168" s="1">
        <f ca="1">IFERROR(ECF[[#This Row],[d (cm)]]+arredondarParaCimaMultiplo5cm(MAX(5,SQRT(PI())/2*ECF[[#This Row],[Ø (cm)]]/5)),"N.S.")</f>
        <v>195</v>
      </c>
      <c r="AM168" s="5">
        <f ca="1">alpha(ECF[[#This Row],[nE]],ECF[[#This Row],[d (cm)]],ECF[[#This Row],[e (cm)]],ECF[[#This Row],[ap,eq (cm)]])</f>
        <v>90</v>
      </c>
      <c r="AN168" s="35">
        <f ca="1">IFERROR(ECF[[#This Row],[Nsd (kN)]]/(ECF[[#This Row],[Ap (cm²)]]*SIN(ECF[[#This Row],[α]])^2),"N.S.")</f>
        <v>1.0948037013095111</v>
      </c>
      <c r="AO168" s="35">
        <f ca="1">IFERROR(ECF[[#This Row],[Nsd (kN)]]/(ECF[[#This Row],[nE]]*PI()*ECF[[#This Row],[Ø (cm)]]^2/4*SIN(ECF[[#This Row],[α]])^2),"N.S.")</f>
        <v>0.14223952716629523</v>
      </c>
      <c r="AP168" s="4">
        <f ca="1">IFERROR(INDEX(grupoEstacas[],ECF[[#This Row],[nE]],MATCH("coef. Blévot",grupoEstacas[#Headers],0)),"N.S.")</f>
        <v>1</v>
      </c>
      <c r="AQ168" s="35">
        <f ca="1">IFERROR(ECF[[#This Row],[coef. Blévot]]*0.9*INDEX(tipoEstaca[],MATCH($D$2,tipoEstaca[TIPO DE ESTACA],0),MATCH("fcd (kN/cm²)",tipoEstaca[#Headers],0)),"N.S.")</f>
        <v>1</v>
      </c>
      <c r="AR168" s="1" t="str">
        <f ca="1">IF(AND(ECF[[#This Row],[cd,b,pil (kN/cm²)]]&lt;=ECF[[#This Row],[cd,b,lim (kN/cm²)]],ECF[[#This Row],[cd,b,est (kN/cm²)]]&lt;=ECF[[#This Row],[cd,b,lim (kN/cm²)]]),"OK","ERRO")</f>
        <v>ERRO</v>
      </c>
      <c r="AS168" s="4">
        <f ca="1">As_lado(ECF[[#This Row],[nE]],ECF[[#This Row],[Nsd (kN)]],ECF[[#This Row],[d (cm)]],ECF[[#This Row],[e (cm)]],ECF[[#This Row],[ap,eq (cm)]])</f>
        <v>10.0625</v>
      </c>
      <c r="AT168" s="4">
        <f ca="1">IF(ECF[[#This Row],[nE]]=1,ECF[[#This Row],[As,lado (cm²)]],IF(ECF[[#This Row],[nE]]=2,0.075*2*ECF[a (cm)],"N.A."))</f>
        <v>10.0625</v>
      </c>
      <c r="AU168" s="4" t="str">
        <f ca="1">IFERROR(IF(ECF[[#This Row],[nE]]=1,"N.A.",0.2*ECF[[#This Row],[As,lado (cm²)]]),"N.S.")</f>
        <v>N.A.</v>
      </c>
      <c r="AV168" s="4" t="str">
        <f ca="1">As_malha(ECF[[#This Row],[nE]],ECF[[#This Row],[As,lado (cm²)]],ECF[[#This Row],[Nsd (kN)]])</f>
        <v>N.A.</v>
      </c>
      <c r="AW168" s="4" t="str">
        <f ca="1">As_susp_tot(ECF[[#This Row],[nE]],ECF[[#This Row],[Nsd (kN)]])</f>
        <v>N.A.</v>
      </c>
      <c r="AX168" s="4" t="str">
        <f ca="1">Asp_face(ECF[[#This Row],[nE]],ECF[[#This Row],[As,lado (cm²)]])</f>
        <v>N.A.</v>
      </c>
      <c r="AY168" s="5">
        <f ca="1">acoBloco(ECF[[#This Row],[nE]],ECF[[#This Row],[e (cm)]],ECF[[#This Row],[a (cm)]],ECF[[#This Row],[h (cm)]],ECF[[#This Row],[As,lado (cm²)]],ECF[[#This Row],[Asp e Asw (cm²/m)]],ECF[[#This Row],[As,sup (cm²)]],ECF[[#This Row],[As,malha (cm²)]],ECF[[#This Row],[As,susp,tot (cm²)]],ECF[[#This Row],[Asp,face (cm²)]])</f>
        <v>162.7206875</v>
      </c>
      <c r="AZ168" s="4">
        <f ca="1">concretoBloco(ECF[[#This Row],[nE]],ECF[[#This Row],[e (cm)]],ECF[[#This Row],[a (cm)]],ECF[[#This Row],[h (cm)]])</f>
        <v>4.992</v>
      </c>
      <c r="BA168" s="5">
        <f ca="1">SUM(ECF[[#This Row],[Aço Est (kg)]],ECF[[#This Row],[Aço Bloco (kg)]])</f>
        <v>356.06686577253026</v>
      </c>
      <c r="BB168" s="4">
        <f>INDEX(composicoes[],MATCH(95580,composicoes[CÓDIGO],0),MATCH("CUSTO TOTAL",composicoes[#Headers],0))</f>
        <v>10.46</v>
      </c>
      <c r="BC168" s="4">
        <f ca="1">SUM(ECF[[#This Row],[Conc Est (m³)]],ECF[[#This Row],[Conc Bloco (m³)]])</f>
        <v>18.846423602330987</v>
      </c>
      <c r="BD168" s="4">
        <f>INDEX(composicoes[],MATCH(94966,composicoes[CÓDIGO],0),MATCH("CUSTO TOTAL",composicoes[#Headers],0))</f>
        <v>439.52</v>
      </c>
      <c r="BE168" s="38">
        <f ca="1">ECF[[#This Row],[Aço (kg)]]*ECF[[#This Row],[Aço (R$/kg)]]+ECF[[#This Row],[Conc (m³)]]*ECF[[#This Row],[Conc (R$/m³)]]</f>
        <v>12007.839517677183</v>
      </c>
      <c r="BF168" s="4" t="str">
        <f ca="1">IF(COUNTIF(ECF[#This Row],"N.S.")&gt;0,"lim.","OK")</f>
        <v>OK</v>
      </c>
      <c r="BG168" s="4" t="str">
        <f>IF(ECF[[#This Row],[Prof. (m)]]&lt;4,"lim.","OK")</f>
        <v>OK</v>
      </c>
      <c r="BH168" s="4" t="str">
        <f>IF(ECF[[#This Row],[Prof. (m)]]&gt;=8*ECF[[#This Row],[Ø (cm)]]/100,"OK","lim.")</f>
        <v>lim.</v>
      </c>
      <c r="BI168" s="4" t="str">
        <f>IF(AND(SPT!$F$3&lt;&gt;"",ECF[[#This Row],[Prof. (m)]]&gt;=SPT!$F$3-2),"lim.","OK")</f>
        <v>OK</v>
      </c>
      <c r="BJ168" s="4" t="str">
        <f ca="1">IF(ECF[[#This Row],[Verif. Biela]]="OK","OK","lim.")</f>
        <v>lim.</v>
      </c>
      <c r="BK168" s="4" t="str">
        <f ca="1">IF(COUNTA(ECF[[#This Row],[Nº Est.]:[Biela comp.]])=COUNTIF(ECF[[#This Row],[Nº Est.]:[Biela comp.]],"OK"),"OK","lim.")</f>
        <v>lim.</v>
      </c>
      <c r="BL168" s="4" t="str">
        <f ca="1">IF(ECF[[#This Row],[Controle]]="OK",ECF[[#This Row],[nE]]&amp;" Ø"&amp;ECF[[#This Row],[Ø (cm)]]&amp;"cm Prof. "&amp;ECF[[#This Row],[Prof. (m)]]&amp;" m","")</f>
        <v/>
      </c>
      <c r="BM168" s="4" t="str">
        <f ca="1">IF(ECF[[#This Row],[idDimensionamento]]="","",ECF[[#This Row],[idPilar]]&amp;ECF[[#This Row],[idDimensionamento]])</f>
        <v/>
      </c>
    </row>
    <row r="169" spans="2:65" x14ac:dyDescent="0.25">
      <c r="B169" s="12">
        <f>ROUNDUP((ROW(ECF[[#This Row],[idDiâmetro]])-ROW(ECF[[#Headers],[idDiâmetro]]))/(COUNT(SPT[Prof. (m)])*COUNT(PILARES[Pilar])),0)</f>
        <v>6</v>
      </c>
      <c r="C169" s="12">
        <f>IF(ECF[[#This Row],[idDiâmetro]]&lt;&gt;B168,1,IF(ECF[[#This Row],[Prof. (m)]]=0,C168+1,C168))</f>
        <v>2</v>
      </c>
      <c r="D169" s="1">
        <f>IFERROR(IF(D168=MAX(SPT[Prof. (m)]),0,D168+1),0)</f>
        <v>10</v>
      </c>
      <c r="E169" s="1">
        <f>INDEX(SPT[],MATCH(ECF[[#This Row],[Prof. (m)]],SPT[Prof. (m)],0),2)</f>
        <v>32</v>
      </c>
      <c r="F169" s="1" t="str">
        <f>INDEX(SPT[],MATCH(ECF[[#This Row],[Prof. (m)]],SPT[Prof. (m)],0),3)</f>
        <v>Areia siltosa</v>
      </c>
      <c r="G169" s="1">
        <f>INDEX(estacas[],ECF[[#This Row],[idDiâmetro]],MATCH($B$2,estacas[#Headers],0))</f>
        <v>140</v>
      </c>
      <c r="H169" s="1">
        <f>INDEX(estacas[],MATCH(ECF[[#This Row],[Ø (cm)]],estacas[Ø ECF (cm)],0),MATCH(ECF[[#Headers],[Pe ECF (kN)]],estacas[#Headers],0))</f>
        <v>6200</v>
      </c>
      <c r="I169" s="4">
        <f>INDEX(K_alpha_C[],MATCH(ECF[[#This Row],[Solo]],K_alpha_C[Solo],0),2)</f>
        <v>0.8</v>
      </c>
      <c r="J169" s="5">
        <f>INDEX(K_alpha_C[],MATCH(ECF[[#This Row],[Solo]],K_alpha_C[Solo],0),3)</f>
        <v>2</v>
      </c>
      <c r="K169" s="4">
        <f>INDEX(F1_F2[],MATCH($D$2,F1_F2[Tipo de estaca],0),2)</f>
        <v>3</v>
      </c>
      <c r="L169" s="4">
        <f>INDEX(F1_F2[],MATCH($D$2,F1_F2[Tipo de estaca],0),3)</f>
        <v>6</v>
      </c>
      <c r="M169" s="4">
        <f>PI()*(ECF[[#This Row],[Ø (cm)]]/100)^2/4</f>
        <v>1.5393804002589984</v>
      </c>
      <c r="N169" s="4">
        <f>PI()*ECF[[#This Row],[Ø (cm)]]/100</f>
        <v>4.3982297150257104</v>
      </c>
      <c r="O169" s="4">
        <f>IF(ECF[[#This Row],[Prof. (m)]]=0,0,ECF[[#This Row],[α (%)]]/100*ECF[[#This Row],[K (MPa)]]*1000*ECF[[#This Row],[NSPT]])</f>
        <v>512</v>
      </c>
      <c r="P169" s="4">
        <f>IF(ECF[[#This Row],[Prof. (m)]]=0,0,(ECF[[#This Row],[K (MPa)]]*1000*ECF[[#This Row],[NSPT]]/ECF[[#This Row],[F1]]*ECF[[#This Row],[Ap (m²)]]+ECF[[#This Row],[U (m)]]/ECF[[#This Row],[F2]]*SUMIFS(ECF[(α∙K∙NL∙ΔL)],ECF[Prof. (m)],"&lt;="&amp;ECF[[#This Row],[Prof. (m)]],ECF[idDiâmetro],ECF[[#This Row],[idDiâmetro]],ECF[idPilar],ECF[[#This Row],[idPilar]]))/'DADOS CAP. CARGA'!$D$2)</f>
        <v>7274.6352967382318</v>
      </c>
      <c r="Q169" s="12">
        <f>INDEX(C_alpha_beta[],MATCH(ECF[[#This Row],[Solo]],C_alpha_beta[Solo],0),MATCH(ECF[[#Headers],[C (kPa)]],C_alpha_beta[#Headers],0))</f>
        <v>400</v>
      </c>
      <c r="R169" s="4">
        <f>INDEX(C_alpha_beta[],MATCH(ECF[[#This Row],[Solo]],C_alpha_beta[Solo],0),MATCH(ECF[[#Headers],[α ESF]],C_alpha_beta[#Headers],0))</f>
        <v>0.5</v>
      </c>
      <c r="S169" s="4">
        <f>INDEX(C_alpha_beta[],MATCH(ECF[[#This Row],[Solo]],C_alpha_beta[Solo],0),MATCH(ECF[[#Headers],[β ESF]],C_alpha_beta[#Headers],0))</f>
        <v>0.5</v>
      </c>
      <c r="T169" s="4">
        <f>IF(ECF[[#This Row],[Prof. (m)]]=0,0,10*(ECF[[#This Row],[NSPT]]/3+1))</f>
        <v>116.66666666666666</v>
      </c>
      <c r="U169" s="4">
        <f>(ECF[[#This Row],[α ESF]]*ECF[[#This Row],[C (kPa)]]*ECF[[#This Row],[NSPT]]*ECF[[#This Row],[Ap (m²)]])/'DADOS CAP. CARGA'!$Q$2+(ECF[[#This Row],[β ESF]]*SUMIFS(ECF[10∙(NL/3+1)],ECF[Prof. (m)],"&lt;="&amp;ECF[[#This Row],[Prof. (m)]],ECF[idDiâmetro],ECF[[#This Row],[idDiâmetro]],ECF[idPilar],ECF[[#This Row],[idPilar]])*ECF[[#This Row],[U (m)]])/'DADOS CAP. CARGA'!$S$2</f>
        <v>3049.4392690844916</v>
      </c>
      <c r="V169" s="4">
        <f>IF(SPT!$M$5=1,MIN(ECF[[#This Row],[Pe ECF (kN)]],ECF[[#This Row],[R_AV (kN)]]),IF(SPT!$M$5=2,MIN(ECF[[#This Row],[Pe ECF (kN)]],ECF[[#This Row],[R_DC (kN)]]),MIN(ECF[[#This Row],[Pe ECF (kN)]],ECF[[#This Row],[R_AV (kN)]],ECF[[#This Row],[R_DC (kN)]])))</f>
        <v>3049.4392690844916</v>
      </c>
      <c r="W169" s="4">
        <f>INDEX(PILARES[],ECF[[#This Row],[idPilar]],MATCH("Carga (kN)",PILARES[#Headers],0))*1.4</f>
        <v>1750</v>
      </c>
      <c r="X169" s="12">
        <f>INDEX(PILARES[],ECF[[#This Row],[idPilar]],MATCH(ECF[[#Headers],[ap (cm)]],PILARES[#Headers],0))</f>
        <v>50</v>
      </c>
      <c r="Y169" s="12">
        <f>INDEX(PILARES[],ECF[[#This Row],[idPilar]],MATCH(ECF[[#Headers],[bp (cm)]],PILARES[#Headers],0))</f>
        <v>40</v>
      </c>
      <c r="Z169" s="4">
        <f>SQRT(ECF[[#This Row],[ap (cm)]]*ECF[[#This Row],[bp (cm)]])</f>
        <v>44.721359549995796</v>
      </c>
      <c r="AA169" s="12">
        <f>ECF[[#This Row],[ap (cm)]]*ECF[[#This Row],[bp (cm)]]</f>
        <v>2000</v>
      </c>
      <c r="AB169" s="12">
        <f ca="1">IF(ECF[[#This Row],[Padm∙ε (kN)]]&gt;=ECF[[#This Row],[Padm (kN)]],ROUNDUP(1.05*ECF[[#This Row],[Nsd (kN)]]/ECF[[#This Row],[Padm (kN)]],0),ROUNDUP(1.05*ECF[[#This Row],[Nsd (kN)]]/ECF[[#This Row],[Padm (kN)]],0)+1)</f>
        <v>1</v>
      </c>
      <c r="AC169" s="4">
        <f ca="1">IFERROR(IF(ECF[[#This Row],[nE]]=1,ECF[[#This Row],[Padm (kN)]],ECF[[#This Row],[Padm (kN)]]*ECF[[#This Row],[nE]]*INDEX(grupoEstacas[],ECF[[#This Row],[nE]],MATCH("ε",grupoEstacas[#Headers],0))),"N.S.")</f>
        <v>3049.4392690844916</v>
      </c>
      <c r="AD169" s="4">
        <f ca="1">1.05*ECF[[#This Row],[Nsd (kN)]]/(ECF[[#This Row],[nE]]*PI()*ECF[[#This Row],[Ø (cm)]]^2/4)*10</f>
        <v>1.1936620731892149</v>
      </c>
      <c r="AE169" s="4">
        <f ca="1">IF(ECF[[#This Row],[σ (MPa)]]&lt;INDEX(tipoEstaca[],MATCH($D$2,tipoEstaca[TIPO DE ESTACA],0),MATCH("σmáx (MPa)",tipoEstaca[#Headers],0)),0.4%*PI()*ECF[[#This Row],[Ø (cm)]]^2/4,"N.S.")</f>
        <v>61.575216010359952</v>
      </c>
      <c r="AF169" s="1">
        <f>INDEX(tipoEstaca[],MATCH($D$2,tipoEstaca[TIPO DE ESTACA],0),MATCH(ECF[[#Headers],[Comprimento (m)]],tipoEstaca[#Headers],0))</f>
        <v>4</v>
      </c>
      <c r="AG169" s="5">
        <f ca="1">ECF[[#This Row],[As,mín (cm²)]]/100^2*ECF[[#This Row],[Comprimento (m)]]*7850</f>
        <v>193.34617827253024</v>
      </c>
      <c r="AH169" s="4">
        <f ca="1">ECF[[#This Row],[nE]]*ECF[[#This Row],[Prof. (m)]]*ECF[[#This Row],[Ap (m²)]]</f>
        <v>15.393804002589984</v>
      </c>
      <c r="AI169" s="1">
        <f ca="1">IF(ECF[[#This Row],[nE]]=1,0,MAX(3*ECF[[#This Row],[Ø (cm)]],60))</f>
        <v>0</v>
      </c>
      <c r="AJ169" s="1">
        <f ca="1">IF(ECF[[#This Row],[nE]]=1,ECF[[#This Row],[Ø (cm)]]+2*10,MAX(1.5*ECF[[#This Row],[Ø (cm)]],ECF[[#This Row],[Ø (cm)]]+15))</f>
        <v>160</v>
      </c>
      <c r="AK169" s="1">
        <f ca="1">alturaUtil(ECF[[#This Row],[nE]],ECF[[#This Row],[Ø (cm)]],ECF[[#This Row],[e (cm)]],ECF[[#This Row],[ap,eq (cm)]])</f>
        <v>170</v>
      </c>
      <c r="AL169" s="1">
        <f ca="1">IFERROR(ECF[[#This Row],[d (cm)]]+arredondarParaCimaMultiplo5cm(MAX(5,SQRT(PI())/2*ECF[[#This Row],[Ø (cm)]]/5)),"N.S.")</f>
        <v>195</v>
      </c>
      <c r="AM169" s="5">
        <f ca="1">alpha(ECF[[#This Row],[nE]],ECF[[#This Row],[d (cm)]],ECF[[#This Row],[e (cm)]],ECF[[#This Row],[ap,eq (cm)]])</f>
        <v>90</v>
      </c>
      <c r="AN169" s="35">
        <f ca="1">IFERROR(ECF[[#This Row],[Nsd (kN)]]/(ECF[[#This Row],[Ap (cm²)]]*SIN(ECF[[#This Row],[α]])^2),"N.S.")</f>
        <v>1.0948037013095111</v>
      </c>
      <c r="AO169" s="35">
        <f ca="1">IFERROR(ECF[[#This Row],[Nsd (kN)]]/(ECF[[#This Row],[nE]]*PI()*ECF[[#This Row],[Ø (cm)]]^2/4*SIN(ECF[[#This Row],[α]])^2),"N.S.")</f>
        <v>0.14223952716629523</v>
      </c>
      <c r="AP169" s="4">
        <f ca="1">IFERROR(INDEX(grupoEstacas[],ECF[[#This Row],[nE]],MATCH("coef. Blévot",grupoEstacas[#Headers],0)),"N.S.")</f>
        <v>1</v>
      </c>
      <c r="AQ169" s="35">
        <f ca="1">IFERROR(ECF[[#This Row],[coef. Blévot]]*0.9*INDEX(tipoEstaca[],MATCH($D$2,tipoEstaca[TIPO DE ESTACA],0),MATCH("fcd (kN/cm²)",tipoEstaca[#Headers],0)),"N.S.")</f>
        <v>1</v>
      </c>
      <c r="AR169" s="1" t="str">
        <f ca="1">IF(AND(ECF[[#This Row],[cd,b,pil (kN/cm²)]]&lt;=ECF[[#This Row],[cd,b,lim (kN/cm²)]],ECF[[#This Row],[cd,b,est (kN/cm²)]]&lt;=ECF[[#This Row],[cd,b,lim (kN/cm²)]]),"OK","ERRO")</f>
        <v>ERRO</v>
      </c>
      <c r="AS169" s="4">
        <f ca="1">As_lado(ECF[[#This Row],[nE]],ECF[[#This Row],[Nsd (kN)]],ECF[[#This Row],[d (cm)]],ECF[[#This Row],[e (cm)]],ECF[[#This Row],[ap,eq (cm)]])</f>
        <v>10.0625</v>
      </c>
      <c r="AT169" s="4">
        <f ca="1">IF(ECF[[#This Row],[nE]]=1,ECF[[#This Row],[As,lado (cm²)]],IF(ECF[[#This Row],[nE]]=2,0.075*2*ECF[a (cm)],"N.A."))</f>
        <v>10.0625</v>
      </c>
      <c r="AU169" s="4" t="str">
        <f ca="1">IFERROR(IF(ECF[[#This Row],[nE]]=1,"N.A.",0.2*ECF[[#This Row],[As,lado (cm²)]]),"N.S.")</f>
        <v>N.A.</v>
      </c>
      <c r="AV169" s="4" t="str">
        <f ca="1">As_malha(ECF[[#This Row],[nE]],ECF[[#This Row],[As,lado (cm²)]],ECF[[#This Row],[Nsd (kN)]])</f>
        <v>N.A.</v>
      </c>
      <c r="AW169" s="4" t="str">
        <f ca="1">As_susp_tot(ECF[[#This Row],[nE]],ECF[[#This Row],[Nsd (kN)]])</f>
        <v>N.A.</v>
      </c>
      <c r="AX169" s="4" t="str">
        <f ca="1">Asp_face(ECF[[#This Row],[nE]],ECF[[#This Row],[As,lado (cm²)]])</f>
        <v>N.A.</v>
      </c>
      <c r="AY169" s="5">
        <f ca="1">acoBloco(ECF[[#This Row],[nE]],ECF[[#This Row],[e (cm)]],ECF[[#This Row],[a (cm)]],ECF[[#This Row],[h (cm)]],ECF[[#This Row],[As,lado (cm²)]],ECF[[#This Row],[Asp e Asw (cm²/m)]],ECF[[#This Row],[As,sup (cm²)]],ECF[[#This Row],[As,malha (cm²)]],ECF[[#This Row],[As,susp,tot (cm²)]],ECF[[#This Row],[Asp,face (cm²)]])</f>
        <v>162.7206875</v>
      </c>
      <c r="AZ169" s="4">
        <f ca="1">concretoBloco(ECF[[#This Row],[nE]],ECF[[#This Row],[e (cm)]],ECF[[#This Row],[a (cm)]],ECF[[#This Row],[h (cm)]])</f>
        <v>4.992</v>
      </c>
      <c r="BA169" s="5">
        <f ca="1">SUM(ECF[[#This Row],[Aço Est (kg)]],ECF[[#This Row],[Aço Bloco (kg)]])</f>
        <v>356.06686577253026</v>
      </c>
      <c r="BB169" s="4">
        <f>INDEX(composicoes[],MATCH(95580,composicoes[CÓDIGO],0),MATCH("CUSTO TOTAL",composicoes[#Headers],0))</f>
        <v>10.46</v>
      </c>
      <c r="BC169" s="4">
        <f ca="1">SUM(ECF[[#This Row],[Conc Est (m³)]],ECF[[#This Row],[Conc Bloco (m³)]])</f>
        <v>20.385804002589985</v>
      </c>
      <c r="BD169" s="4">
        <f>INDEX(composicoes[],MATCH(94966,composicoes[CÓDIGO],0),MATCH("CUSTO TOTAL",composicoes[#Headers],0))</f>
        <v>439.52</v>
      </c>
      <c r="BE169" s="38">
        <f ca="1">ECF[[#This Row],[Aço (kg)]]*ECF[[#This Row],[Aço (R$/kg)]]+ECF[[#This Row],[Conc (m³)]]*ECF[[#This Row],[Conc (R$/m³)]]</f>
        <v>12684.427991199018</v>
      </c>
      <c r="BF169" s="4" t="str">
        <f ca="1">IF(COUNTIF(ECF[#This Row],"N.S.")&gt;0,"lim.","OK")</f>
        <v>OK</v>
      </c>
      <c r="BG169" s="4" t="str">
        <f>IF(ECF[[#This Row],[Prof. (m)]]&lt;4,"lim.","OK")</f>
        <v>OK</v>
      </c>
      <c r="BH169" s="4" t="str">
        <f>IF(ECF[[#This Row],[Prof. (m)]]&gt;=8*ECF[[#This Row],[Ø (cm)]]/100,"OK","lim.")</f>
        <v>lim.</v>
      </c>
      <c r="BI169" s="4" t="str">
        <f>IF(AND(SPT!$F$3&lt;&gt;"",ECF[[#This Row],[Prof. (m)]]&gt;=SPT!$F$3-2),"lim.","OK")</f>
        <v>OK</v>
      </c>
      <c r="BJ169" s="4" t="str">
        <f ca="1">IF(ECF[[#This Row],[Verif. Biela]]="OK","OK","lim.")</f>
        <v>lim.</v>
      </c>
      <c r="BK169" s="4" t="str">
        <f ca="1">IF(COUNTA(ECF[[#This Row],[Nº Est.]:[Biela comp.]])=COUNTIF(ECF[[#This Row],[Nº Est.]:[Biela comp.]],"OK"),"OK","lim.")</f>
        <v>lim.</v>
      </c>
      <c r="BL169" s="4" t="str">
        <f ca="1">IF(ECF[[#This Row],[Controle]]="OK",ECF[[#This Row],[nE]]&amp;" Ø"&amp;ECF[[#This Row],[Ø (cm)]]&amp;"cm Prof. "&amp;ECF[[#This Row],[Prof. (m)]]&amp;" m","")</f>
        <v/>
      </c>
      <c r="BM169" s="4" t="str">
        <f ca="1">IF(ECF[[#This Row],[idDimensionamento]]="","",ECF[[#This Row],[idPilar]]&amp;ECF[[#This Row],[idDimensionamento]])</f>
        <v/>
      </c>
    </row>
    <row r="170" spans="2:65" x14ac:dyDescent="0.25">
      <c r="B170" s="12">
        <f>ROUNDUP((ROW(ECF[[#This Row],[idDiâmetro]])-ROW(ECF[[#Headers],[idDiâmetro]]))/(COUNT(SPT[Prof. (m)])*COUNT(PILARES[Pilar])),0)</f>
        <v>6</v>
      </c>
      <c r="C170" s="12">
        <f>IF(ECF[[#This Row],[idDiâmetro]]&lt;&gt;B169,1,IF(ECF[[#This Row],[Prof. (m)]]=0,C169+1,C169))</f>
        <v>2</v>
      </c>
      <c r="D170" s="1">
        <f>IFERROR(IF(D169=MAX(SPT[Prof. (m)]),0,D169+1),0)</f>
        <v>11</v>
      </c>
      <c r="E170" s="1">
        <f>INDEX(SPT[],MATCH(ECF[[#This Row],[Prof. (m)]],SPT[Prof. (m)],0),2)</f>
        <v>41</v>
      </c>
      <c r="F170" s="1" t="str">
        <f>INDEX(SPT[],MATCH(ECF[[#This Row],[Prof. (m)]],SPT[Prof. (m)],0),3)</f>
        <v>Areia siltosa</v>
      </c>
      <c r="G170" s="1">
        <f>INDEX(estacas[],ECF[[#This Row],[idDiâmetro]],MATCH($B$2,estacas[#Headers],0))</f>
        <v>140</v>
      </c>
      <c r="H170" s="1">
        <f>INDEX(estacas[],MATCH(ECF[[#This Row],[Ø (cm)]],estacas[Ø ECF (cm)],0),MATCH(ECF[[#Headers],[Pe ECF (kN)]],estacas[#Headers],0))</f>
        <v>6200</v>
      </c>
      <c r="I170" s="4">
        <f>INDEX(K_alpha_C[],MATCH(ECF[[#This Row],[Solo]],K_alpha_C[Solo],0),2)</f>
        <v>0.8</v>
      </c>
      <c r="J170" s="5">
        <f>INDEX(K_alpha_C[],MATCH(ECF[[#This Row],[Solo]],K_alpha_C[Solo],0),3)</f>
        <v>2</v>
      </c>
      <c r="K170" s="4">
        <f>INDEX(F1_F2[],MATCH($D$2,F1_F2[Tipo de estaca],0),2)</f>
        <v>3</v>
      </c>
      <c r="L170" s="4">
        <f>INDEX(F1_F2[],MATCH($D$2,F1_F2[Tipo de estaca],0),3)</f>
        <v>6</v>
      </c>
      <c r="M170" s="4">
        <f>PI()*(ECF[[#This Row],[Ø (cm)]]/100)^2/4</f>
        <v>1.5393804002589984</v>
      </c>
      <c r="N170" s="4">
        <f>PI()*ECF[[#This Row],[Ø (cm)]]/100</f>
        <v>4.3982297150257104</v>
      </c>
      <c r="O170" s="4">
        <f>IF(ECF[[#This Row],[Prof. (m)]]=0,0,ECF[[#This Row],[α (%)]]/100*ECF[[#This Row],[K (MPa)]]*1000*ECF[[#This Row],[NSPT]])</f>
        <v>656</v>
      </c>
      <c r="P170" s="4">
        <f>IF(ECF[[#This Row],[Prof. (m)]]=0,0,(ECF[[#This Row],[K (MPa)]]*1000*ECF[[#This Row],[NSPT]]/ECF[[#This Row],[F1]]*ECF[[#This Row],[Ap (m²)]]+ECF[[#This Row],[U (m)]]/ECF[[#This Row],[F2]]*SUMIFS(ECF[(α∙K∙NL∙ΔL)],ECF[Prof. (m)],"&lt;="&amp;ECF[[#This Row],[Prof. (m)]],ECF[idDiâmetro],ECF[[#This Row],[idDiâmetro]],ECF[idPilar],ECF[[#This Row],[idPilar]]))/'DADOS CAP. CARGA'!$D$2)</f>
        <v>9362.3283348037694</v>
      </c>
      <c r="Q170" s="12">
        <f>INDEX(C_alpha_beta[],MATCH(ECF[[#This Row],[Solo]],C_alpha_beta[Solo],0),MATCH(ECF[[#Headers],[C (kPa)]],C_alpha_beta[#Headers],0))</f>
        <v>400</v>
      </c>
      <c r="R170" s="4">
        <f>INDEX(C_alpha_beta[],MATCH(ECF[[#This Row],[Solo]],C_alpha_beta[Solo],0),MATCH(ECF[[#Headers],[α ESF]],C_alpha_beta[#Headers],0))</f>
        <v>0.5</v>
      </c>
      <c r="S170" s="4">
        <f>INDEX(C_alpha_beta[],MATCH(ECF[[#This Row],[Solo]],C_alpha_beta[Solo],0),MATCH(ECF[[#Headers],[β ESF]],C_alpha_beta[#Headers],0))</f>
        <v>0.5</v>
      </c>
      <c r="T170" s="4">
        <f>IF(ECF[[#This Row],[Prof. (m)]]=0,0,10*(ECF[[#This Row],[NSPT]]/3+1))</f>
        <v>146.66666666666666</v>
      </c>
      <c r="U170" s="4">
        <f>(ECF[[#This Row],[α ESF]]*ECF[[#This Row],[C (kPa)]]*ECF[[#This Row],[NSPT]]*ECF[[#This Row],[Ap (m²)]])/'DADOS CAP. CARGA'!$Q$2+(ECF[[#This Row],[β ESF]]*SUMIFS(ECF[10∙(NL/3+1)],ECF[Prof. (m)],"&lt;="&amp;ECF[[#This Row],[Prof. (m)]],ECF[idDiâmetro],ECF[[#This Row],[idDiâmetro]],ECF[idPilar],ECF[[#This Row],[idPilar]])*ECF[[#This Row],[U (m)]])/'DADOS CAP. CARGA'!$S$2</f>
        <v>3903.4288720853174</v>
      </c>
      <c r="V170" s="4">
        <f>IF(SPT!$M$5=1,MIN(ECF[[#This Row],[Pe ECF (kN)]],ECF[[#This Row],[R_AV (kN)]]),IF(SPT!$M$5=2,MIN(ECF[[#This Row],[Pe ECF (kN)]],ECF[[#This Row],[R_DC (kN)]]),MIN(ECF[[#This Row],[Pe ECF (kN)]],ECF[[#This Row],[R_AV (kN)]],ECF[[#This Row],[R_DC (kN)]])))</f>
        <v>3903.4288720853174</v>
      </c>
      <c r="W170" s="4">
        <f>INDEX(PILARES[],ECF[[#This Row],[idPilar]],MATCH("Carga (kN)",PILARES[#Headers],0))*1.4</f>
        <v>1750</v>
      </c>
      <c r="X170" s="12">
        <f>INDEX(PILARES[],ECF[[#This Row],[idPilar]],MATCH(ECF[[#Headers],[ap (cm)]],PILARES[#Headers],0))</f>
        <v>50</v>
      </c>
      <c r="Y170" s="12">
        <f>INDEX(PILARES[],ECF[[#This Row],[idPilar]],MATCH(ECF[[#Headers],[bp (cm)]],PILARES[#Headers],0))</f>
        <v>40</v>
      </c>
      <c r="Z170" s="4">
        <f>SQRT(ECF[[#This Row],[ap (cm)]]*ECF[[#This Row],[bp (cm)]])</f>
        <v>44.721359549995796</v>
      </c>
      <c r="AA170" s="12">
        <f>ECF[[#This Row],[ap (cm)]]*ECF[[#This Row],[bp (cm)]]</f>
        <v>2000</v>
      </c>
      <c r="AB170" s="12">
        <f ca="1">IF(ECF[[#This Row],[Padm∙ε (kN)]]&gt;=ECF[[#This Row],[Padm (kN)]],ROUNDUP(1.05*ECF[[#This Row],[Nsd (kN)]]/ECF[[#This Row],[Padm (kN)]],0),ROUNDUP(1.05*ECF[[#This Row],[Nsd (kN)]]/ECF[[#This Row],[Padm (kN)]],0)+1)</f>
        <v>1</v>
      </c>
      <c r="AC170" s="4">
        <f ca="1">IFERROR(IF(ECF[[#This Row],[nE]]=1,ECF[[#This Row],[Padm (kN)]],ECF[[#This Row],[Padm (kN)]]*ECF[[#This Row],[nE]]*INDEX(grupoEstacas[],ECF[[#This Row],[nE]],MATCH("ε",grupoEstacas[#Headers],0))),"N.S.")</f>
        <v>3903.4288720853174</v>
      </c>
      <c r="AD170" s="4">
        <f ca="1">1.05*ECF[[#This Row],[Nsd (kN)]]/(ECF[[#This Row],[nE]]*PI()*ECF[[#This Row],[Ø (cm)]]^2/4)*10</f>
        <v>1.1936620731892149</v>
      </c>
      <c r="AE170" s="4">
        <f ca="1">IF(ECF[[#This Row],[σ (MPa)]]&lt;INDEX(tipoEstaca[],MATCH($D$2,tipoEstaca[TIPO DE ESTACA],0),MATCH("σmáx (MPa)",tipoEstaca[#Headers],0)),0.4%*PI()*ECF[[#This Row],[Ø (cm)]]^2/4,"N.S.")</f>
        <v>61.575216010359952</v>
      </c>
      <c r="AF170" s="1">
        <f>INDEX(tipoEstaca[],MATCH($D$2,tipoEstaca[TIPO DE ESTACA],0),MATCH(ECF[[#Headers],[Comprimento (m)]],tipoEstaca[#Headers],0))</f>
        <v>4</v>
      </c>
      <c r="AG170" s="5">
        <f ca="1">ECF[[#This Row],[As,mín (cm²)]]/100^2*ECF[[#This Row],[Comprimento (m)]]*7850</f>
        <v>193.34617827253024</v>
      </c>
      <c r="AH170" s="4">
        <f ca="1">ECF[[#This Row],[nE]]*ECF[[#This Row],[Prof. (m)]]*ECF[[#This Row],[Ap (m²)]]</f>
        <v>16.933184402848983</v>
      </c>
      <c r="AI170" s="1">
        <f ca="1">IF(ECF[[#This Row],[nE]]=1,0,MAX(3*ECF[[#This Row],[Ø (cm)]],60))</f>
        <v>0</v>
      </c>
      <c r="AJ170" s="1">
        <f ca="1">IF(ECF[[#This Row],[nE]]=1,ECF[[#This Row],[Ø (cm)]]+2*10,MAX(1.5*ECF[[#This Row],[Ø (cm)]],ECF[[#This Row],[Ø (cm)]]+15))</f>
        <v>160</v>
      </c>
      <c r="AK170" s="1">
        <f ca="1">alturaUtil(ECF[[#This Row],[nE]],ECF[[#This Row],[Ø (cm)]],ECF[[#This Row],[e (cm)]],ECF[[#This Row],[ap,eq (cm)]])</f>
        <v>170</v>
      </c>
      <c r="AL170" s="1">
        <f ca="1">IFERROR(ECF[[#This Row],[d (cm)]]+arredondarParaCimaMultiplo5cm(MAX(5,SQRT(PI())/2*ECF[[#This Row],[Ø (cm)]]/5)),"N.S.")</f>
        <v>195</v>
      </c>
      <c r="AM170" s="5">
        <f ca="1">alpha(ECF[[#This Row],[nE]],ECF[[#This Row],[d (cm)]],ECF[[#This Row],[e (cm)]],ECF[[#This Row],[ap,eq (cm)]])</f>
        <v>90</v>
      </c>
      <c r="AN170" s="35">
        <f ca="1">IFERROR(ECF[[#This Row],[Nsd (kN)]]/(ECF[[#This Row],[Ap (cm²)]]*SIN(ECF[[#This Row],[α]])^2),"N.S.")</f>
        <v>1.0948037013095111</v>
      </c>
      <c r="AO170" s="35">
        <f ca="1">IFERROR(ECF[[#This Row],[Nsd (kN)]]/(ECF[[#This Row],[nE]]*PI()*ECF[[#This Row],[Ø (cm)]]^2/4*SIN(ECF[[#This Row],[α]])^2),"N.S.")</f>
        <v>0.14223952716629523</v>
      </c>
      <c r="AP170" s="4">
        <f ca="1">IFERROR(INDEX(grupoEstacas[],ECF[[#This Row],[nE]],MATCH("coef. Blévot",grupoEstacas[#Headers],0)),"N.S.")</f>
        <v>1</v>
      </c>
      <c r="AQ170" s="35">
        <f ca="1">IFERROR(ECF[[#This Row],[coef. Blévot]]*0.9*INDEX(tipoEstaca[],MATCH($D$2,tipoEstaca[TIPO DE ESTACA],0),MATCH("fcd (kN/cm²)",tipoEstaca[#Headers],0)),"N.S.")</f>
        <v>1</v>
      </c>
      <c r="AR170" s="1" t="str">
        <f ca="1">IF(AND(ECF[[#This Row],[cd,b,pil (kN/cm²)]]&lt;=ECF[[#This Row],[cd,b,lim (kN/cm²)]],ECF[[#This Row],[cd,b,est (kN/cm²)]]&lt;=ECF[[#This Row],[cd,b,lim (kN/cm²)]]),"OK","ERRO")</f>
        <v>ERRO</v>
      </c>
      <c r="AS170" s="4">
        <f ca="1">As_lado(ECF[[#This Row],[nE]],ECF[[#This Row],[Nsd (kN)]],ECF[[#This Row],[d (cm)]],ECF[[#This Row],[e (cm)]],ECF[[#This Row],[ap,eq (cm)]])</f>
        <v>10.0625</v>
      </c>
      <c r="AT170" s="4">
        <f ca="1">IF(ECF[[#This Row],[nE]]=1,ECF[[#This Row],[As,lado (cm²)]],IF(ECF[[#This Row],[nE]]=2,0.075*2*ECF[a (cm)],"N.A."))</f>
        <v>10.0625</v>
      </c>
      <c r="AU170" s="4" t="str">
        <f ca="1">IFERROR(IF(ECF[[#This Row],[nE]]=1,"N.A.",0.2*ECF[[#This Row],[As,lado (cm²)]]),"N.S.")</f>
        <v>N.A.</v>
      </c>
      <c r="AV170" s="4" t="str">
        <f ca="1">As_malha(ECF[[#This Row],[nE]],ECF[[#This Row],[As,lado (cm²)]],ECF[[#This Row],[Nsd (kN)]])</f>
        <v>N.A.</v>
      </c>
      <c r="AW170" s="4" t="str">
        <f ca="1">As_susp_tot(ECF[[#This Row],[nE]],ECF[[#This Row],[Nsd (kN)]])</f>
        <v>N.A.</v>
      </c>
      <c r="AX170" s="4" t="str">
        <f ca="1">Asp_face(ECF[[#This Row],[nE]],ECF[[#This Row],[As,lado (cm²)]])</f>
        <v>N.A.</v>
      </c>
      <c r="AY170" s="5">
        <f ca="1">acoBloco(ECF[[#This Row],[nE]],ECF[[#This Row],[e (cm)]],ECF[[#This Row],[a (cm)]],ECF[[#This Row],[h (cm)]],ECF[[#This Row],[As,lado (cm²)]],ECF[[#This Row],[Asp e Asw (cm²/m)]],ECF[[#This Row],[As,sup (cm²)]],ECF[[#This Row],[As,malha (cm²)]],ECF[[#This Row],[As,susp,tot (cm²)]],ECF[[#This Row],[Asp,face (cm²)]])</f>
        <v>162.7206875</v>
      </c>
      <c r="AZ170" s="4">
        <f ca="1">concretoBloco(ECF[[#This Row],[nE]],ECF[[#This Row],[e (cm)]],ECF[[#This Row],[a (cm)]],ECF[[#This Row],[h (cm)]])</f>
        <v>4.992</v>
      </c>
      <c r="BA170" s="5">
        <f ca="1">SUM(ECF[[#This Row],[Aço Est (kg)]],ECF[[#This Row],[Aço Bloco (kg)]])</f>
        <v>356.06686577253026</v>
      </c>
      <c r="BB170" s="4">
        <f>INDEX(composicoes[],MATCH(95580,composicoes[CÓDIGO],0),MATCH("CUSTO TOTAL",composicoes[#Headers],0))</f>
        <v>10.46</v>
      </c>
      <c r="BC170" s="4">
        <f ca="1">SUM(ECF[[#This Row],[Conc Est (m³)]],ECF[[#This Row],[Conc Bloco (m³)]])</f>
        <v>21.925184402848984</v>
      </c>
      <c r="BD170" s="4">
        <f>INDEX(composicoes[],MATCH(94966,composicoes[CÓDIGO],0),MATCH("CUSTO TOTAL",composicoes[#Headers],0))</f>
        <v>439.52</v>
      </c>
      <c r="BE170" s="38">
        <f ca="1">ECF[[#This Row],[Aço (kg)]]*ECF[[#This Row],[Aço (R$/kg)]]+ECF[[#This Row],[Conc (m³)]]*ECF[[#This Row],[Conc (R$/m³)]]</f>
        <v>13361.016464720853</v>
      </c>
      <c r="BF170" s="4" t="str">
        <f ca="1">IF(COUNTIF(ECF[#This Row],"N.S.")&gt;0,"lim.","OK")</f>
        <v>OK</v>
      </c>
      <c r="BG170" s="4" t="str">
        <f>IF(ECF[[#This Row],[Prof. (m)]]&lt;4,"lim.","OK")</f>
        <v>OK</v>
      </c>
      <c r="BH170" s="4" t="str">
        <f>IF(ECF[[#This Row],[Prof. (m)]]&gt;=8*ECF[[#This Row],[Ø (cm)]]/100,"OK","lim.")</f>
        <v>lim.</v>
      </c>
      <c r="BI170" s="4" t="str">
        <f>IF(AND(SPT!$F$3&lt;&gt;"",ECF[[#This Row],[Prof. (m)]]&gt;=SPT!$F$3-2),"lim.","OK")</f>
        <v>OK</v>
      </c>
      <c r="BJ170" s="4" t="str">
        <f ca="1">IF(ECF[[#This Row],[Verif. Biela]]="OK","OK","lim.")</f>
        <v>lim.</v>
      </c>
      <c r="BK170" s="4" t="str">
        <f ca="1">IF(COUNTA(ECF[[#This Row],[Nº Est.]:[Biela comp.]])=COUNTIF(ECF[[#This Row],[Nº Est.]:[Biela comp.]],"OK"),"OK","lim.")</f>
        <v>lim.</v>
      </c>
      <c r="BL170" s="4" t="str">
        <f ca="1">IF(ECF[[#This Row],[Controle]]="OK",ECF[[#This Row],[nE]]&amp;" Ø"&amp;ECF[[#This Row],[Ø (cm)]]&amp;"cm Prof. "&amp;ECF[[#This Row],[Prof. (m)]]&amp;" m","")</f>
        <v/>
      </c>
      <c r="BM170" s="4" t="str">
        <f ca="1">IF(ECF[[#This Row],[idDimensionamento]]="","",ECF[[#This Row],[idPilar]]&amp;ECF[[#This Row],[idDimensionamento]])</f>
        <v/>
      </c>
    </row>
    <row r="171" spans="2:65" x14ac:dyDescent="0.25">
      <c r="B171" s="12">
        <f>ROUNDUP((ROW(ECF[[#This Row],[idDiâmetro]])-ROW(ECF[[#Headers],[idDiâmetro]]))/(COUNT(SPT[Prof. (m)])*COUNT(PILARES[Pilar])),0)</f>
        <v>6</v>
      </c>
      <c r="C171" s="12">
        <f>IF(ECF[[#This Row],[idDiâmetro]]&lt;&gt;B170,1,IF(ECF[[#This Row],[Prof. (m)]]=0,C170+1,C170))</f>
        <v>2</v>
      </c>
      <c r="D171" s="1">
        <f>IFERROR(IF(D170=MAX(SPT[Prof. (m)]),0,D170+1),0)</f>
        <v>12</v>
      </c>
      <c r="E171" s="1">
        <f>INDEX(SPT[],MATCH(ECF[[#This Row],[Prof. (m)]],SPT[Prof. (m)],0),2)</f>
        <v>52</v>
      </c>
      <c r="F171" s="1" t="str">
        <f>INDEX(SPT[],MATCH(ECF[[#This Row],[Prof. (m)]],SPT[Prof. (m)],0),3)</f>
        <v>Areia siltosa</v>
      </c>
      <c r="G171" s="1">
        <f>INDEX(estacas[],ECF[[#This Row],[idDiâmetro]],MATCH($B$2,estacas[#Headers],0))</f>
        <v>140</v>
      </c>
      <c r="H171" s="1">
        <f>INDEX(estacas[],MATCH(ECF[[#This Row],[Ø (cm)]],estacas[Ø ECF (cm)],0),MATCH(ECF[[#Headers],[Pe ECF (kN)]],estacas[#Headers],0))</f>
        <v>6200</v>
      </c>
      <c r="I171" s="4">
        <f>INDEX(K_alpha_C[],MATCH(ECF[[#This Row],[Solo]],K_alpha_C[Solo],0),2)</f>
        <v>0.8</v>
      </c>
      <c r="J171" s="5">
        <f>INDEX(K_alpha_C[],MATCH(ECF[[#This Row],[Solo]],K_alpha_C[Solo],0),3)</f>
        <v>2</v>
      </c>
      <c r="K171" s="4">
        <f>INDEX(F1_F2[],MATCH($D$2,F1_F2[Tipo de estaca],0),2)</f>
        <v>3</v>
      </c>
      <c r="L171" s="4">
        <f>INDEX(F1_F2[],MATCH($D$2,F1_F2[Tipo de estaca],0),3)</f>
        <v>6</v>
      </c>
      <c r="M171" s="4">
        <f>PI()*(ECF[[#This Row],[Ø (cm)]]/100)^2/4</f>
        <v>1.5393804002589984</v>
      </c>
      <c r="N171" s="4">
        <f>PI()*ECF[[#This Row],[Ø (cm)]]/100</f>
        <v>4.3982297150257104</v>
      </c>
      <c r="O171" s="4">
        <f>IF(ECF[[#This Row],[Prof. (m)]]=0,0,ECF[[#This Row],[α (%)]]/100*ECF[[#This Row],[K (MPa)]]*1000*ECF[[#This Row],[NSPT]])</f>
        <v>832</v>
      </c>
      <c r="P171" s="4">
        <f>IF(ECF[[#This Row],[Prof. (m)]]=0,0,(ECF[[#This Row],[K (MPa)]]*1000*ECF[[#This Row],[NSPT]]/ECF[[#This Row],[F1]]*ECF[[#This Row],[Ap (m²)]]+ECF[[#This Row],[U (m)]]/ECF[[#This Row],[F2]]*SUMIFS(ECF[(α∙K∙NL∙ΔL)],ECF[Prof. (m)],"&lt;="&amp;ECF[[#This Row],[Prof. (m)]],ECF[idDiâmetro],ECF[[#This Row],[idDiâmetro]],ECF[idPilar],ECF[[#This Row],[idPilar]]))/'DADOS CAP. CARGA'!$D$2)</f>
        <v>11925.030182092081</v>
      </c>
      <c r="Q171" s="12">
        <f>INDEX(C_alpha_beta[],MATCH(ECF[[#This Row],[Solo]],C_alpha_beta[Solo],0),MATCH(ECF[[#Headers],[C (kPa)]],C_alpha_beta[#Headers],0))</f>
        <v>400</v>
      </c>
      <c r="R171" s="4">
        <f>INDEX(C_alpha_beta[],MATCH(ECF[[#This Row],[Solo]],C_alpha_beta[Solo],0),MATCH(ECF[[#Headers],[α ESF]],C_alpha_beta[#Headers],0))</f>
        <v>0.5</v>
      </c>
      <c r="S171" s="4">
        <f>INDEX(C_alpha_beta[],MATCH(ECF[[#This Row],[Solo]],C_alpha_beta[Solo],0),MATCH(ECF[[#Headers],[β ESF]],C_alpha_beta[#Headers],0))</f>
        <v>0.5</v>
      </c>
      <c r="T171" s="4">
        <f>IF(ECF[[#This Row],[Prof. (m)]]=0,0,10*(ECF[[#This Row],[NSPT]]/3+1))</f>
        <v>183.33333333333331</v>
      </c>
      <c r="U171" s="4">
        <f>(ECF[[#This Row],[α ESF]]*ECF[[#This Row],[C (kPa)]]*ECF[[#This Row],[NSPT]]*ECF[[#This Row],[Ap (m²)]])/'DADOS CAP. CARGA'!$Q$2+(ECF[[#This Row],[β ESF]]*SUMIFS(ECF[10∙(NL/3+1)],ECF[Prof. (m)],"&lt;="&amp;ECF[[#This Row],[Prof. (m)]],ECF[idDiâmetro],ECF[[#This Row],[idDiâmetro]],ECF[idPilar],ECF[[#This Row],[idPilar]])*ECF[[#This Row],[U (m)]])/'DADOS CAP. CARGA'!$S$2</f>
        <v>4951.6736208331113</v>
      </c>
      <c r="V171" s="4">
        <f>IF(SPT!$M$5=1,MIN(ECF[[#This Row],[Pe ECF (kN)]],ECF[[#This Row],[R_AV (kN)]]),IF(SPT!$M$5=2,MIN(ECF[[#This Row],[Pe ECF (kN)]],ECF[[#This Row],[R_DC (kN)]]),MIN(ECF[[#This Row],[Pe ECF (kN)]],ECF[[#This Row],[R_AV (kN)]],ECF[[#This Row],[R_DC (kN)]])))</f>
        <v>4951.6736208331113</v>
      </c>
      <c r="W171" s="4">
        <f>INDEX(PILARES[],ECF[[#This Row],[idPilar]],MATCH("Carga (kN)",PILARES[#Headers],0))*1.4</f>
        <v>1750</v>
      </c>
      <c r="X171" s="12">
        <f>INDEX(PILARES[],ECF[[#This Row],[idPilar]],MATCH(ECF[[#Headers],[ap (cm)]],PILARES[#Headers],0))</f>
        <v>50</v>
      </c>
      <c r="Y171" s="12">
        <f>INDEX(PILARES[],ECF[[#This Row],[idPilar]],MATCH(ECF[[#Headers],[bp (cm)]],PILARES[#Headers],0))</f>
        <v>40</v>
      </c>
      <c r="Z171" s="4">
        <f>SQRT(ECF[[#This Row],[ap (cm)]]*ECF[[#This Row],[bp (cm)]])</f>
        <v>44.721359549995796</v>
      </c>
      <c r="AA171" s="12">
        <f>ECF[[#This Row],[ap (cm)]]*ECF[[#This Row],[bp (cm)]]</f>
        <v>2000</v>
      </c>
      <c r="AB171" s="12">
        <f ca="1">IF(ECF[[#This Row],[Padm∙ε (kN)]]&gt;=ECF[[#This Row],[Padm (kN)]],ROUNDUP(1.05*ECF[[#This Row],[Nsd (kN)]]/ECF[[#This Row],[Padm (kN)]],0),ROUNDUP(1.05*ECF[[#This Row],[Nsd (kN)]]/ECF[[#This Row],[Padm (kN)]],0)+1)</f>
        <v>1</v>
      </c>
      <c r="AC171" s="4">
        <f ca="1">IFERROR(IF(ECF[[#This Row],[nE]]=1,ECF[[#This Row],[Padm (kN)]],ECF[[#This Row],[Padm (kN)]]*ECF[[#This Row],[nE]]*INDEX(grupoEstacas[],ECF[[#This Row],[nE]],MATCH("ε",grupoEstacas[#Headers],0))),"N.S.")</f>
        <v>4951.6736208331113</v>
      </c>
      <c r="AD171" s="4">
        <f ca="1">1.05*ECF[[#This Row],[Nsd (kN)]]/(ECF[[#This Row],[nE]]*PI()*ECF[[#This Row],[Ø (cm)]]^2/4)*10</f>
        <v>1.1936620731892149</v>
      </c>
      <c r="AE171" s="4">
        <f ca="1">IF(ECF[[#This Row],[σ (MPa)]]&lt;INDEX(tipoEstaca[],MATCH($D$2,tipoEstaca[TIPO DE ESTACA],0),MATCH("σmáx (MPa)",tipoEstaca[#Headers],0)),0.4%*PI()*ECF[[#This Row],[Ø (cm)]]^2/4,"N.S.")</f>
        <v>61.575216010359952</v>
      </c>
      <c r="AF171" s="1">
        <f>INDEX(tipoEstaca[],MATCH($D$2,tipoEstaca[TIPO DE ESTACA],0),MATCH(ECF[[#Headers],[Comprimento (m)]],tipoEstaca[#Headers],0))</f>
        <v>4</v>
      </c>
      <c r="AG171" s="5">
        <f ca="1">ECF[[#This Row],[As,mín (cm²)]]/100^2*ECF[[#This Row],[Comprimento (m)]]*7850</f>
        <v>193.34617827253024</v>
      </c>
      <c r="AH171" s="4">
        <f ca="1">ECF[[#This Row],[nE]]*ECF[[#This Row],[Prof. (m)]]*ECF[[#This Row],[Ap (m²)]]</f>
        <v>18.472564803107979</v>
      </c>
      <c r="AI171" s="1">
        <f ca="1">IF(ECF[[#This Row],[nE]]=1,0,MAX(3*ECF[[#This Row],[Ø (cm)]],60))</f>
        <v>0</v>
      </c>
      <c r="AJ171" s="1">
        <f ca="1">IF(ECF[[#This Row],[nE]]=1,ECF[[#This Row],[Ø (cm)]]+2*10,MAX(1.5*ECF[[#This Row],[Ø (cm)]],ECF[[#This Row],[Ø (cm)]]+15))</f>
        <v>160</v>
      </c>
      <c r="AK171" s="1">
        <f ca="1">alturaUtil(ECF[[#This Row],[nE]],ECF[[#This Row],[Ø (cm)]],ECF[[#This Row],[e (cm)]],ECF[[#This Row],[ap,eq (cm)]])</f>
        <v>170</v>
      </c>
      <c r="AL171" s="1">
        <f ca="1">IFERROR(ECF[[#This Row],[d (cm)]]+arredondarParaCimaMultiplo5cm(MAX(5,SQRT(PI())/2*ECF[[#This Row],[Ø (cm)]]/5)),"N.S.")</f>
        <v>195</v>
      </c>
      <c r="AM171" s="5">
        <f ca="1">alpha(ECF[[#This Row],[nE]],ECF[[#This Row],[d (cm)]],ECF[[#This Row],[e (cm)]],ECF[[#This Row],[ap,eq (cm)]])</f>
        <v>90</v>
      </c>
      <c r="AN171" s="35">
        <f ca="1">IFERROR(ECF[[#This Row],[Nsd (kN)]]/(ECF[[#This Row],[Ap (cm²)]]*SIN(ECF[[#This Row],[α]])^2),"N.S.")</f>
        <v>1.0948037013095111</v>
      </c>
      <c r="AO171" s="35">
        <f ca="1">IFERROR(ECF[[#This Row],[Nsd (kN)]]/(ECF[[#This Row],[nE]]*PI()*ECF[[#This Row],[Ø (cm)]]^2/4*SIN(ECF[[#This Row],[α]])^2),"N.S.")</f>
        <v>0.14223952716629523</v>
      </c>
      <c r="AP171" s="4">
        <f ca="1">IFERROR(INDEX(grupoEstacas[],ECF[[#This Row],[nE]],MATCH("coef. Blévot",grupoEstacas[#Headers],0)),"N.S.")</f>
        <v>1</v>
      </c>
      <c r="AQ171" s="35">
        <f ca="1">IFERROR(ECF[[#This Row],[coef. Blévot]]*0.9*INDEX(tipoEstaca[],MATCH($D$2,tipoEstaca[TIPO DE ESTACA],0),MATCH("fcd (kN/cm²)",tipoEstaca[#Headers],0)),"N.S.")</f>
        <v>1</v>
      </c>
      <c r="AR171" s="1" t="str">
        <f ca="1">IF(AND(ECF[[#This Row],[cd,b,pil (kN/cm²)]]&lt;=ECF[[#This Row],[cd,b,lim (kN/cm²)]],ECF[[#This Row],[cd,b,est (kN/cm²)]]&lt;=ECF[[#This Row],[cd,b,lim (kN/cm²)]]),"OK","ERRO")</f>
        <v>ERRO</v>
      </c>
      <c r="AS171" s="4">
        <f ca="1">As_lado(ECF[[#This Row],[nE]],ECF[[#This Row],[Nsd (kN)]],ECF[[#This Row],[d (cm)]],ECF[[#This Row],[e (cm)]],ECF[[#This Row],[ap,eq (cm)]])</f>
        <v>10.0625</v>
      </c>
      <c r="AT171" s="4">
        <f ca="1">IF(ECF[[#This Row],[nE]]=1,ECF[[#This Row],[As,lado (cm²)]],IF(ECF[[#This Row],[nE]]=2,0.075*2*ECF[a (cm)],"N.A."))</f>
        <v>10.0625</v>
      </c>
      <c r="AU171" s="4" t="str">
        <f ca="1">IFERROR(IF(ECF[[#This Row],[nE]]=1,"N.A.",0.2*ECF[[#This Row],[As,lado (cm²)]]),"N.S.")</f>
        <v>N.A.</v>
      </c>
      <c r="AV171" s="4" t="str">
        <f ca="1">As_malha(ECF[[#This Row],[nE]],ECF[[#This Row],[As,lado (cm²)]],ECF[[#This Row],[Nsd (kN)]])</f>
        <v>N.A.</v>
      </c>
      <c r="AW171" s="4" t="str">
        <f ca="1">As_susp_tot(ECF[[#This Row],[nE]],ECF[[#This Row],[Nsd (kN)]])</f>
        <v>N.A.</v>
      </c>
      <c r="AX171" s="4" t="str">
        <f ca="1">Asp_face(ECF[[#This Row],[nE]],ECF[[#This Row],[As,lado (cm²)]])</f>
        <v>N.A.</v>
      </c>
      <c r="AY171" s="5">
        <f ca="1">acoBloco(ECF[[#This Row],[nE]],ECF[[#This Row],[e (cm)]],ECF[[#This Row],[a (cm)]],ECF[[#This Row],[h (cm)]],ECF[[#This Row],[As,lado (cm²)]],ECF[[#This Row],[Asp e Asw (cm²/m)]],ECF[[#This Row],[As,sup (cm²)]],ECF[[#This Row],[As,malha (cm²)]],ECF[[#This Row],[As,susp,tot (cm²)]],ECF[[#This Row],[Asp,face (cm²)]])</f>
        <v>162.7206875</v>
      </c>
      <c r="AZ171" s="4">
        <f ca="1">concretoBloco(ECF[[#This Row],[nE]],ECF[[#This Row],[e (cm)]],ECF[[#This Row],[a (cm)]],ECF[[#This Row],[h (cm)]])</f>
        <v>4.992</v>
      </c>
      <c r="BA171" s="5">
        <f ca="1">SUM(ECF[[#This Row],[Aço Est (kg)]],ECF[[#This Row],[Aço Bloco (kg)]])</f>
        <v>356.06686577253026</v>
      </c>
      <c r="BB171" s="4">
        <f>INDEX(composicoes[],MATCH(95580,composicoes[CÓDIGO],0),MATCH("CUSTO TOTAL",composicoes[#Headers],0))</f>
        <v>10.46</v>
      </c>
      <c r="BC171" s="4">
        <f ca="1">SUM(ECF[[#This Row],[Conc Est (m³)]],ECF[[#This Row],[Conc Bloco (m³)]])</f>
        <v>23.464564803107979</v>
      </c>
      <c r="BD171" s="4">
        <f>INDEX(composicoes[],MATCH(94966,composicoes[CÓDIGO],0),MATCH("CUSTO TOTAL",composicoes[#Headers],0))</f>
        <v>439.52</v>
      </c>
      <c r="BE171" s="38">
        <f ca="1">ECF[[#This Row],[Aço (kg)]]*ECF[[#This Row],[Aço (R$/kg)]]+ECF[[#This Row],[Conc (m³)]]*ECF[[#This Row],[Conc (R$/m³)]]</f>
        <v>14037.604938242686</v>
      </c>
      <c r="BF171" s="4" t="str">
        <f ca="1">IF(COUNTIF(ECF[#This Row],"N.S.")&gt;0,"lim.","OK")</f>
        <v>OK</v>
      </c>
      <c r="BG171" s="4" t="str">
        <f>IF(ECF[[#This Row],[Prof. (m)]]&lt;4,"lim.","OK")</f>
        <v>OK</v>
      </c>
      <c r="BH171" s="4" t="str">
        <f>IF(ECF[[#This Row],[Prof. (m)]]&gt;=8*ECF[[#This Row],[Ø (cm)]]/100,"OK","lim.")</f>
        <v>OK</v>
      </c>
      <c r="BI171" s="4" t="str">
        <f>IF(AND(SPT!$F$3&lt;&gt;"",ECF[[#This Row],[Prof. (m)]]&gt;=SPT!$F$3-2),"lim.","OK")</f>
        <v>OK</v>
      </c>
      <c r="BJ171" s="4" t="str">
        <f ca="1">IF(ECF[[#This Row],[Verif. Biela]]="OK","OK","lim.")</f>
        <v>lim.</v>
      </c>
      <c r="BK171" s="4" t="str">
        <f ca="1">IF(COUNTA(ECF[[#This Row],[Nº Est.]:[Biela comp.]])=COUNTIF(ECF[[#This Row],[Nº Est.]:[Biela comp.]],"OK"),"OK","lim.")</f>
        <v>lim.</v>
      </c>
      <c r="BL171" s="4" t="str">
        <f ca="1">IF(ECF[[#This Row],[Controle]]="OK",ECF[[#This Row],[nE]]&amp;" Ø"&amp;ECF[[#This Row],[Ø (cm)]]&amp;"cm Prof. "&amp;ECF[[#This Row],[Prof. (m)]]&amp;" m","")</f>
        <v/>
      </c>
      <c r="BM171" s="4" t="str">
        <f ca="1">IF(ECF[[#This Row],[idDimensionamento]]="","",ECF[[#This Row],[idPilar]]&amp;ECF[[#This Row],[idDimensionamento]])</f>
        <v/>
      </c>
    </row>
    <row r="172" spans="2:65" x14ac:dyDescent="0.25">
      <c r="B172" s="12">
        <f>ROUNDUP((ROW(ECF[[#This Row],[idDiâmetro]])-ROW(ECF[[#Headers],[idDiâmetro]]))/(COUNT(SPT[Prof. (m)])*COUNT(PILARES[Pilar])),0)</f>
        <v>6</v>
      </c>
      <c r="C172" s="12">
        <f>IF(ECF[[#This Row],[idDiâmetro]]&lt;&gt;B171,1,IF(ECF[[#This Row],[Prof. (m)]]=0,C171+1,C171))</f>
        <v>2</v>
      </c>
      <c r="D172" s="1">
        <f>IFERROR(IF(D171=MAX(SPT[Prof. (m)]),0,D171+1),0)</f>
        <v>13</v>
      </c>
      <c r="E172" s="1">
        <f>INDEX(SPT[],MATCH(ECF[[#This Row],[Prof. (m)]],SPT[Prof. (m)],0),2)</f>
        <v>68</v>
      </c>
      <c r="F172" s="1" t="str">
        <f>INDEX(SPT[],MATCH(ECF[[#This Row],[Prof. (m)]],SPT[Prof. (m)],0),3)</f>
        <v>Areia siltosa</v>
      </c>
      <c r="G172" s="1">
        <f>INDEX(estacas[],ECF[[#This Row],[idDiâmetro]],MATCH($B$2,estacas[#Headers],0))</f>
        <v>140</v>
      </c>
      <c r="H172" s="1">
        <f>INDEX(estacas[],MATCH(ECF[[#This Row],[Ø (cm)]],estacas[Ø ECF (cm)],0),MATCH(ECF[[#Headers],[Pe ECF (kN)]],estacas[#Headers],0))</f>
        <v>6200</v>
      </c>
      <c r="I172" s="4">
        <f>INDEX(K_alpha_C[],MATCH(ECF[[#This Row],[Solo]],K_alpha_C[Solo],0),2)</f>
        <v>0.8</v>
      </c>
      <c r="J172" s="5">
        <f>INDEX(K_alpha_C[],MATCH(ECF[[#This Row],[Solo]],K_alpha_C[Solo],0),3)</f>
        <v>2</v>
      </c>
      <c r="K172" s="4">
        <f>INDEX(F1_F2[],MATCH($D$2,F1_F2[Tipo de estaca],0),2)</f>
        <v>3</v>
      </c>
      <c r="L172" s="4">
        <f>INDEX(F1_F2[],MATCH($D$2,F1_F2[Tipo de estaca],0),3)</f>
        <v>6</v>
      </c>
      <c r="M172" s="4">
        <f>PI()*(ECF[[#This Row],[Ø (cm)]]/100)^2/4</f>
        <v>1.5393804002589984</v>
      </c>
      <c r="N172" s="4">
        <f>PI()*ECF[[#This Row],[Ø (cm)]]/100</f>
        <v>4.3982297150257104</v>
      </c>
      <c r="O172" s="4">
        <f>IF(ECF[[#This Row],[Prof. (m)]]=0,0,ECF[[#This Row],[α (%)]]/100*ECF[[#This Row],[K (MPa)]]*1000*ECF[[#This Row],[NSPT]])</f>
        <v>1088</v>
      </c>
      <c r="P172" s="4">
        <f>IF(ECF[[#This Row],[Prof. (m)]]=0,0,(ECF[[#This Row],[K (MPa)]]*1000*ECF[[#This Row],[NSPT]]/ECF[[#This Row],[F1]]*ECF[[#This Row],[Ap (m²)]]+ECF[[#This Row],[U (m)]]/ECF[[#This Row],[F2]]*SUMIFS(ECF[(α∙K∙NL∙ΔL)],ECF[Prof. (m)],"&lt;="&amp;ECF[[#This Row],[Prof. (m)]],ECF[idDiâmetro],ECF[[#This Row],[idDiâmetro]],ECF[idPilar],ECF[[#This Row],[idPilar]]))/'DADOS CAP. CARGA'!$D$2)</f>
        <v>15607.814530140276</v>
      </c>
      <c r="Q172" s="12">
        <f>INDEX(C_alpha_beta[],MATCH(ECF[[#This Row],[Solo]],C_alpha_beta[Solo],0),MATCH(ECF[[#Headers],[C (kPa)]],C_alpha_beta[#Headers],0))</f>
        <v>400</v>
      </c>
      <c r="R172" s="4">
        <f>INDEX(C_alpha_beta[],MATCH(ECF[[#This Row],[Solo]],C_alpha_beta[Solo],0),MATCH(ECF[[#Headers],[α ESF]],C_alpha_beta[#Headers],0))</f>
        <v>0.5</v>
      </c>
      <c r="S172" s="4">
        <f>INDEX(C_alpha_beta[],MATCH(ECF[[#This Row],[Solo]],C_alpha_beta[Solo],0),MATCH(ECF[[#Headers],[β ESF]],C_alpha_beta[#Headers],0))</f>
        <v>0.5</v>
      </c>
      <c r="T172" s="4">
        <f>IF(ECF[[#This Row],[Prof. (m)]]=0,0,10*(ECF[[#This Row],[NSPT]]/3+1))</f>
        <v>236.66666666666669</v>
      </c>
      <c r="U172" s="4">
        <f>(ECF[[#This Row],[α ESF]]*ECF[[#This Row],[C (kPa)]]*ECF[[#This Row],[NSPT]]*ECF[[#This Row],[Ap (m²)]])/'DADOS CAP. CARGA'!$Q$2+(ECF[[#This Row],[β ESF]]*SUMIFS(ECF[10∙(NL/3+1)],ECF[Prof. (m)],"&lt;="&amp;ECF[[#This Row],[Prof. (m)]],ECF[idDiâmetro],ECF[[#This Row],[idDiâmetro]],ECF[idPilar],ECF[[#This Row],[idPilar]])*ECF[[#This Row],[U (m)]])/'DADOS CAP. CARGA'!$S$2</f>
        <v>6443.4065325126649</v>
      </c>
      <c r="V172" s="4">
        <f>IF(SPT!$M$5=1,MIN(ECF[[#This Row],[Pe ECF (kN)]],ECF[[#This Row],[R_AV (kN)]]),IF(SPT!$M$5=2,MIN(ECF[[#This Row],[Pe ECF (kN)]],ECF[[#This Row],[R_DC (kN)]]),MIN(ECF[[#This Row],[Pe ECF (kN)]],ECF[[#This Row],[R_AV (kN)]],ECF[[#This Row],[R_DC (kN)]])))</f>
        <v>6200</v>
      </c>
      <c r="W172" s="4">
        <f>INDEX(PILARES[],ECF[[#This Row],[idPilar]],MATCH("Carga (kN)",PILARES[#Headers],0))*1.4</f>
        <v>1750</v>
      </c>
      <c r="X172" s="12">
        <f>INDEX(PILARES[],ECF[[#This Row],[idPilar]],MATCH(ECF[[#Headers],[ap (cm)]],PILARES[#Headers],0))</f>
        <v>50</v>
      </c>
      <c r="Y172" s="12">
        <f>INDEX(PILARES[],ECF[[#This Row],[idPilar]],MATCH(ECF[[#Headers],[bp (cm)]],PILARES[#Headers],0))</f>
        <v>40</v>
      </c>
      <c r="Z172" s="4">
        <f>SQRT(ECF[[#This Row],[ap (cm)]]*ECF[[#This Row],[bp (cm)]])</f>
        <v>44.721359549995796</v>
      </c>
      <c r="AA172" s="12">
        <f>ECF[[#This Row],[ap (cm)]]*ECF[[#This Row],[bp (cm)]]</f>
        <v>2000</v>
      </c>
      <c r="AB172" s="12">
        <f ca="1">IF(ECF[[#This Row],[Padm∙ε (kN)]]&gt;=ECF[[#This Row],[Padm (kN)]],ROUNDUP(1.05*ECF[[#This Row],[Nsd (kN)]]/ECF[[#This Row],[Padm (kN)]],0),ROUNDUP(1.05*ECF[[#This Row],[Nsd (kN)]]/ECF[[#This Row],[Padm (kN)]],0)+1)</f>
        <v>1</v>
      </c>
      <c r="AC172" s="4">
        <f ca="1">IFERROR(IF(ECF[[#This Row],[nE]]=1,ECF[[#This Row],[Padm (kN)]],ECF[[#This Row],[Padm (kN)]]*ECF[[#This Row],[nE]]*INDEX(grupoEstacas[],ECF[[#This Row],[nE]],MATCH("ε",grupoEstacas[#Headers],0))),"N.S.")</f>
        <v>6200</v>
      </c>
      <c r="AD172" s="4">
        <f ca="1">1.05*ECF[[#This Row],[Nsd (kN)]]/(ECF[[#This Row],[nE]]*PI()*ECF[[#This Row],[Ø (cm)]]^2/4)*10</f>
        <v>1.1936620731892149</v>
      </c>
      <c r="AE172" s="4">
        <f ca="1">IF(ECF[[#This Row],[σ (MPa)]]&lt;INDEX(tipoEstaca[],MATCH($D$2,tipoEstaca[TIPO DE ESTACA],0),MATCH("σmáx (MPa)",tipoEstaca[#Headers],0)),0.4%*PI()*ECF[[#This Row],[Ø (cm)]]^2/4,"N.S.")</f>
        <v>61.575216010359952</v>
      </c>
      <c r="AF172" s="1">
        <f>INDEX(tipoEstaca[],MATCH($D$2,tipoEstaca[TIPO DE ESTACA],0),MATCH(ECF[[#Headers],[Comprimento (m)]],tipoEstaca[#Headers],0))</f>
        <v>4</v>
      </c>
      <c r="AG172" s="5">
        <f ca="1">ECF[[#This Row],[As,mín (cm²)]]/100^2*ECF[[#This Row],[Comprimento (m)]]*7850</f>
        <v>193.34617827253024</v>
      </c>
      <c r="AH172" s="4">
        <f ca="1">ECF[[#This Row],[nE]]*ECF[[#This Row],[Prof. (m)]]*ECF[[#This Row],[Ap (m²)]]</f>
        <v>20.011945203366977</v>
      </c>
      <c r="AI172" s="1">
        <f ca="1">IF(ECF[[#This Row],[nE]]=1,0,MAX(3*ECF[[#This Row],[Ø (cm)]],60))</f>
        <v>0</v>
      </c>
      <c r="AJ172" s="1">
        <f ca="1">IF(ECF[[#This Row],[nE]]=1,ECF[[#This Row],[Ø (cm)]]+2*10,MAX(1.5*ECF[[#This Row],[Ø (cm)]],ECF[[#This Row],[Ø (cm)]]+15))</f>
        <v>160</v>
      </c>
      <c r="AK172" s="1">
        <f ca="1">alturaUtil(ECF[[#This Row],[nE]],ECF[[#This Row],[Ø (cm)]],ECF[[#This Row],[e (cm)]],ECF[[#This Row],[ap,eq (cm)]])</f>
        <v>170</v>
      </c>
      <c r="AL172" s="1">
        <f ca="1">IFERROR(ECF[[#This Row],[d (cm)]]+arredondarParaCimaMultiplo5cm(MAX(5,SQRT(PI())/2*ECF[[#This Row],[Ø (cm)]]/5)),"N.S.")</f>
        <v>195</v>
      </c>
      <c r="AM172" s="5">
        <f ca="1">alpha(ECF[[#This Row],[nE]],ECF[[#This Row],[d (cm)]],ECF[[#This Row],[e (cm)]],ECF[[#This Row],[ap,eq (cm)]])</f>
        <v>90</v>
      </c>
      <c r="AN172" s="35">
        <f ca="1">IFERROR(ECF[[#This Row],[Nsd (kN)]]/(ECF[[#This Row],[Ap (cm²)]]*SIN(ECF[[#This Row],[α]])^2),"N.S.")</f>
        <v>1.0948037013095111</v>
      </c>
      <c r="AO172" s="35">
        <f ca="1">IFERROR(ECF[[#This Row],[Nsd (kN)]]/(ECF[[#This Row],[nE]]*PI()*ECF[[#This Row],[Ø (cm)]]^2/4*SIN(ECF[[#This Row],[α]])^2),"N.S.")</f>
        <v>0.14223952716629523</v>
      </c>
      <c r="AP172" s="4">
        <f ca="1">IFERROR(INDEX(grupoEstacas[],ECF[[#This Row],[nE]],MATCH("coef. Blévot",grupoEstacas[#Headers],0)),"N.S.")</f>
        <v>1</v>
      </c>
      <c r="AQ172" s="35">
        <f ca="1">IFERROR(ECF[[#This Row],[coef. Blévot]]*0.9*INDEX(tipoEstaca[],MATCH($D$2,tipoEstaca[TIPO DE ESTACA],0),MATCH("fcd (kN/cm²)",tipoEstaca[#Headers],0)),"N.S.")</f>
        <v>1</v>
      </c>
      <c r="AR172" s="1" t="str">
        <f ca="1">IF(AND(ECF[[#This Row],[cd,b,pil (kN/cm²)]]&lt;=ECF[[#This Row],[cd,b,lim (kN/cm²)]],ECF[[#This Row],[cd,b,est (kN/cm²)]]&lt;=ECF[[#This Row],[cd,b,lim (kN/cm²)]]),"OK","ERRO")</f>
        <v>ERRO</v>
      </c>
      <c r="AS172" s="4">
        <f ca="1">As_lado(ECF[[#This Row],[nE]],ECF[[#This Row],[Nsd (kN)]],ECF[[#This Row],[d (cm)]],ECF[[#This Row],[e (cm)]],ECF[[#This Row],[ap,eq (cm)]])</f>
        <v>10.0625</v>
      </c>
      <c r="AT172" s="4">
        <f ca="1">IF(ECF[[#This Row],[nE]]=1,ECF[[#This Row],[As,lado (cm²)]],IF(ECF[[#This Row],[nE]]=2,0.075*2*ECF[a (cm)],"N.A."))</f>
        <v>10.0625</v>
      </c>
      <c r="AU172" s="4" t="str">
        <f ca="1">IFERROR(IF(ECF[[#This Row],[nE]]=1,"N.A.",0.2*ECF[[#This Row],[As,lado (cm²)]]),"N.S.")</f>
        <v>N.A.</v>
      </c>
      <c r="AV172" s="4" t="str">
        <f ca="1">As_malha(ECF[[#This Row],[nE]],ECF[[#This Row],[As,lado (cm²)]],ECF[[#This Row],[Nsd (kN)]])</f>
        <v>N.A.</v>
      </c>
      <c r="AW172" s="4" t="str">
        <f ca="1">As_susp_tot(ECF[[#This Row],[nE]],ECF[[#This Row],[Nsd (kN)]])</f>
        <v>N.A.</v>
      </c>
      <c r="AX172" s="4" t="str">
        <f ca="1">Asp_face(ECF[[#This Row],[nE]],ECF[[#This Row],[As,lado (cm²)]])</f>
        <v>N.A.</v>
      </c>
      <c r="AY172" s="5">
        <f ca="1">acoBloco(ECF[[#This Row],[nE]],ECF[[#This Row],[e (cm)]],ECF[[#This Row],[a (cm)]],ECF[[#This Row],[h (cm)]],ECF[[#This Row],[As,lado (cm²)]],ECF[[#This Row],[Asp e Asw (cm²/m)]],ECF[[#This Row],[As,sup (cm²)]],ECF[[#This Row],[As,malha (cm²)]],ECF[[#This Row],[As,susp,tot (cm²)]],ECF[[#This Row],[Asp,face (cm²)]])</f>
        <v>162.7206875</v>
      </c>
      <c r="AZ172" s="4">
        <f ca="1">concretoBloco(ECF[[#This Row],[nE]],ECF[[#This Row],[e (cm)]],ECF[[#This Row],[a (cm)]],ECF[[#This Row],[h (cm)]])</f>
        <v>4.992</v>
      </c>
      <c r="BA172" s="5">
        <f ca="1">SUM(ECF[[#This Row],[Aço Est (kg)]],ECF[[#This Row],[Aço Bloco (kg)]])</f>
        <v>356.06686577253026</v>
      </c>
      <c r="BB172" s="4">
        <f>INDEX(composicoes[],MATCH(95580,composicoes[CÓDIGO],0),MATCH("CUSTO TOTAL",composicoes[#Headers],0))</f>
        <v>10.46</v>
      </c>
      <c r="BC172" s="4">
        <f ca="1">SUM(ECF[[#This Row],[Conc Est (m³)]],ECF[[#This Row],[Conc Bloco (m³)]])</f>
        <v>25.003945203366978</v>
      </c>
      <c r="BD172" s="4">
        <f>INDEX(composicoes[],MATCH(94966,composicoes[CÓDIGO],0),MATCH("CUSTO TOTAL",composicoes[#Headers],0))</f>
        <v>439.52</v>
      </c>
      <c r="BE172" s="38">
        <f ca="1">ECF[[#This Row],[Aço (kg)]]*ECF[[#This Row],[Aço (R$/kg)]]+ECF[[#This Row],[Conc (m³)]]*ECF[[#This Row],[Conc (R$/m³)]]</f>
        <v>14714.193411764521</v>
      </c>
      <c r="BF172" s="4" t="str">
        <f ca="1">IF(COUNTIF(ECF[#This Row],"N.S.")&gt;0,"lim.","OK")</f>
        <v>OK</v>
      </c>
      <c r="BG172" s="4" t="str">
        <f>IF(ECF[[#This Row],[Prof. (m)]]&lt;4,"lim.","OK")</f>
        <v>OK</v>
      </c>
      <c r="BH172" s="4" t="str">
        <f>IF(ECF[[#This Row],[Prof. (m)]]&gt;=8*ECF[[#This Row],[Ø (cm)]]/100,"OK","lim.")</f>
        <v>OK</v>
      </c>
      <c r="BI172" s="4" t="str">
        <f>IF(AND(SPT!$F$3&lt;&gt;"",ECF[[#This Row],[Prof. (m)]]&gt;=SPT!$F$3-2),"lim.","OK")</f>
        <v>OK</v>
      </c>
      <c r="BJ172" s="4" t="str">
        <f ca="1">IF(ECF[[#This Row],[Verif. Biela]]="OK","OK","lim.")</f>
        <v>lim.</v>
      </c>
      <c r="BK172" s="4" t="str">
        <f ca="1">IF(COUNTA(ECF[[#This Row],[Nº Est.]:[Biela comp.]])=COUNTIF(ECF[[#This Row],[Nº Est.]:[Biela comp.]],"OK"),"OK","lim.")</f>
        <v>lim.</v>
      </c>
      <c r="BL172" s="4" t="str">
        <f ca="1">IF(ECF[[#This Row],[Controle]]="OK",ECF[[#This Row],[nE]]&amp;" Ø"&amp;ECF[[#This Row],[Ø (cm)]]&amp;"cm Prof. "&amp;ECF[[#This Row],[Prof. (m)]]&amp;" m","")</f>
        <v/>
      </c>
      <c r="BM172" s="4" t="str">
        <f ca="1">IF(ECF[[#This Row],[idDimensionamento]]="","",ECF[[#This Row],[idPilar]]&amp;ECF[[#This Row],[idDimensionamento]])</f>
        <v/>
      </c>
    </row>
    <row r="173" spans="2:65" x14ac:dyDescent="0.25">
      <c r="B173" s="12">
        <f>ROUNDUP((ROW(ECF[[#This Row],[idDiâmetro]])-ROW(ECF[[#Headers],[idDiâmetro]]))/(COUNT(SPT[Prof. (m)])*COUNT(PILARES[Pilar])),0)</f>
        <v>7</v>
      </c>
      <c r="C173" s="12">
        <f>IF(ECF[[#This Row],[idDiâmetro]]&lt;&gt;B172,1,IF(ECF[[#This Row],[Prof. (m)]]=0,C172+1,C172))</f>
        <v>1</v>
      </c>
      <c r="D173" s="1">
        <f>IFERROR(IF(D172=MAX(SPT[Prof. (m)]),0,D172+1),0)</f>
        <v>0</v>
      </c>
      <c r="E173" s="1">
        <f>INDEX(SPT[],MATCH(ECF[[#This Row],[Prof. (m)]],SPT[Prof. (m)],0),2)</f>
        <v>0</v>
      </c>
      <c r="F173" s="1" t="str">
        <f>INDEX(SPT[],MATCH(ECF[[#This Row],[Prof. (m)]],SPT[Prof. (m)],0),3)</f>
        <v>Areia siltosa</v>
      </c>
      <c r="G173" s="1">
        <f>INDEX(estacas[],ECF[[#This Row],[idDiâmetro]],MATCH($B$2,estacas[#Headers],0))</f>
        <v>150</v>
      </c>
      <c r="H173" s="1">
        <f>INDEX(estacas[],MATCH(ECF[[#This Row],[Ø (cm)]],estacas[Ø ECF (cm)],0),MATCH(ECF[[#Headers],[Pe ECF (kN)]],estacas[#Headers],0))</f>
        <v>7100</v>
      </c>
      <c r="I173" s="4">
        <f>INDEX(K_alpha_C[],MATCH(ECF[[#This Row],[Solo]],K_alpha_C[Solo],0),2)</f>
        <v>0.8</v>
      </c>
      <c r="J173" s="5">
        <f>INDEX(K_alpha_C[],MATCH(ECF[[#This Row],[Solo]],K_alpha_C[Solo],0),3)</f>
        <v>2</v>
      </c>
      <c r="K173" s="4">
        <f>INDEX(F1_F2[],MATCH($D$2,F1_F2[Tipo de estaca],0),2)</f>
        <v>3</v>
      </c>
      <c r="L173" s="4">
        <f>INDEX(F1_F2[],MATCH($D$2,F1_F2[Tipo de estaca],0),3)</f>
        <v>6</v>
      </c>
      <c r="M173" s="4">
        <f>PI()*(ECF[[#This Row],[Ø (cm)]]/100)^2/4</f>
        <v>1.7671458676442586</v>
      </c>
      <c r="N173" s="4">
        <f>PI()*ECF[[#This Row],[Ø (cm)]]/100</f>
        <v>4.7123889803846897</v>
      </c>
      <c r="O173" s="4">
        <f>IF(ECF[[#This Row],[Prof. (m)]]=0,0,ECF[[#This Row],[α (%)]]/100*ECF[[#This Row],[K (MPa)]]*1000*ECF[[#This Row],[NSPT]])</f>
        <v>0</v>
      </c>
      <c r="P173" s="4">
        <f>IF(ECF[[#This Row],[Prof. (m)]]=0,0,(ECF[[#This Row],[K (MPa)]]*1000*ECF[[#This Row],[NSPT]]/ECF[[#This Row],[F1]]*ECF[[#This Row],[Ap (m²)]]+ECF[[#This Row],[U (m)]]/ECF[[#This Row],[F2]]*SUMIFS(ECF[(α∙K∙NL∙ΔL)],ECF[Prof. (m)],"&lt;="&amp;ECF[[#This Row],[Prof. (m)]],ECF[idDiâmetro],ECF[[#This Row],[idDiâmetro]],ECF[idPilar],ECF[[#This Row],[idPilar]]))/'DADOS CAP. CARGA'!$D$2)</f>
        <v>0</v>
      </c>
      <c r="Q173" s="12">
        <f>INDEX(C_alpha_beta[],MATCH(ECF[[#This Row],[Solo]],C_alpha_beta[Solo],0),MATCH(ECF[[#Headers],[C (kPa)]],C_alpha_beta[#Headers],0))</f>
        <v>400</v>
      </c>
      <c r="R173" s="4">
        <f>INDEX(C_alpha_beta[],MATCH(ECF[[#This Row],[Solo]],C_alpha_beta[Solo],0),MATCH(ECF[[#Headers],[α ESF]],C_alpha_beta[#Headers],0))</f>
        <v>0.5</v>
      </c>
      <c r="S173" s="4">
        <f>INDEX(C_alpha_beta[],MATCH(ECF[[#This Row],[Solo]],C_alpha_beta[Solo],0),MATCH(ECF[[#Headers],[β ESF]],C_alpha_beta[#Headers],0))</f>
        <v>0.5</v>
      </c>
      <c r="T173" s="4">
        <f>IF(ECF[[#This Row],[Prof. (m)]]=0,0,10*(ECF[[#This Row],[NSPT]]/3+1))</f>
        <v>0</v>
      </c>
      <c r="U173" s="4">
        <f>(ECF[[#This Row],[α ESF]]*ECF[[#This Row],[C (kPa)]]*ECF[[#This Row],[NSPT]]*ECF[[#This Row],[Ap (m²)]])/'DADOS CAP. CARGA'!$Q$2+(ECF[[#This Row],[β ESF]]*SUMIFS(ECF[10∙(NL/3+1)],ECF[Prof. (m)],"&lt;="&amp;ECF[[#This Row],[Prof. (m)]],ECF[idDiâmetro],ECF[[#This Row],[idDiâmetro]],ECF[idPilar],ECF[[#This Row],[idPilar]])*ECF[[#This Row],[U (m)]])/'DADOS CAP. CARGA'!$S$2</f>
        <v>0</v>
      </c>
      <c r="V173" s="4">
        <f>IF(SPT!$M$5=1,MIN(ECF[[#This Row],[Pe ECF (kN)]],ECF[[#This Row],[R_AV (kN)]]),IF(SPT!$M$5=2,MIN(ECF[[#This Row],[Pe ECF (kN)]],ECF[[#This Row],[R_DC (kN)]]),MIN(ECF[[#This Row],[Pe ECF (kN)]],ECF[[#This Row],[R_AV (kN)]],ECF[[#This Row],[R_DC (kN)]])))</f>
        <v>0</v>
      </c>
      <c r="W173" s="4">
        <f>INDEX(PILARES[],ECF[[#This Row],[idPilar]],MATCH("Carga (kN)",PILARES[#Headers],0))*1.4</f>
        <v>3500</v>
      </c>
      <c r="X173" s="12">
        <f>INDEX(PILARES[],ECF[[#This Row],[idPilar]],MATCH(ECF[[#Headers],[ap (cm)]],PILARES[#Headers],0))</f>
        <v>60</v>
      </c>
      <c r="Y173" s="12">
        <f>INDEX(PILARES[],ECF[[#This Row],[idPilar]],MATCH(ECF[[#Headers],[bp (cm)]],PILARES[#Headers],0))</f>
        <v>60</v>
      </c>
      <c r="Z173" s="4">
        <f>SQRT(ECF[[#This Row],[ap (cm)]]*ECF[[#This Row],[bp (cm)]])</f>
        <v>60</v>
      </c>
      <c r="AA173" s="12">
        <f>ECF[[#This Row],[ap (cm)]]*ECF[[#This Row],[bp (cm)]]</f>
        <v>3600</v>
      </c>
      <c r="AB173" s="12" t="e">
        <f ca="1">IF(ECF[[#This Row],[Padm∙ε (kN)]]&gt;=ECF[[#This Row],[Padm (kN)]],ROUNDUP(1.05*ECF[[#This Row],[Nsd (kN)]]/ECF[[#This Row],[Padm (kN)]],0),ROUNDUP(1.05*ECF[[#This Row],[Nsd (kN)]]/ECF[[#This Row],[Padm (kN)]],0)+1)</f>
        <v>#DIV/0!</v>
      </c>
      <c r="AC173" s="4" t="str">
        <f ca="1">IFERROR(IF(ECF[[#This Row],[nE]]=1,ECF[[#This Row],[Padm (kN)]],ECF[[#This Row],[Padm (kN)]]*ECF[[#This Row],[nE]]*INDEX(grupoEstacas[],ECF[[#This Row],[nE]],MATCH("ε",grupoEstacas[#Headers],0))),"N.S.")</f>
        <v>N.S.</v>
      </c>
      <c r="AD173" s="4" t="e">
        <f ca="1">1.05*ECF[[#This Row],[Nsd (kN)]]/(ECF[[#This Row],[nE]]*PI()*ECF[[#This Row],[Ø (cm)]]^2/4)*10</f>
        <v>#DIV/0!</v>
      </c>
      <c r="AE173" s="4" t="e">
        <f ca="1">IF(ECF[[#This Row],[σ (MPa)]]&lt;INDEX(tipoEstaca[],MATCH($D$2,tipoEstaca[TIPO DE ESTACA],0),MATCH("σmáx (MPa)",tipoEstaca[#Headers],0)),0.4%*PI()*ECF[[#This Row],[Ø (cm)]]^2/4,"N.S.")</f>
        <v>#DIV/0!</v>
      </c>
      <c r="AF173" s="1">
        <f>INDEX(tipoEstaca[],MATCH($D$2,tipoEstaca[TIPO DE ESTACA],0),MATCH(ECF[[#Headers],[Comprimento (m)]],tipoEstaca[#Headers],0))</f>
        <v>4</v>
      </c>
      <c r="AG173" s="5" t="e">
        <f ca="1">ECF[[#This Row],[As,mín (cm²)]]/100^2*ECF[[#This Row],[Comprimento (m)]]*7850</f>
        <v>#DIV/0!</v>
      </c>
      <c r="AH173" s="4" t="e">
        <f ca="1">ECF[[#This Row],[nE]]*ECF[[#This Row],[Prof. (m)]]*ECF[[#This Row],[Ap (m²)]]</f>
        <v>#DIV/0!</v>
      </c>
      <c r="AI173" s="1" t="e">
        <f ca="1">IF(ECF[[#This Row],[nE]]=1,0,MAX(3*ECF[[#This Row],[Ø (cm)]],60))</f>
        <v>#DIV/0!</v>
      </c>
      <c r="AJ173" s="1" t="e">
        <f ca="1">IF(ECF[[#This Row],[nE]]=1,ECF[[#This Row],[Ø (cm)]]+2*10,MAX(1.5*ECF[[#This Row],[Ø (cm)]],ECF[[#This Row],[Ø (cm)]]+15))</f>
        <v>#DIV/0!</v>
      </c>
      <c r="AK173" s="1" t="e">
        <f ca="1">alturaUtil(ECF[[#This Row],[nE]],ECF[[#This Row],[Ø (cm)]],ECF[[#This Row],[e (cm)]],ECF[[#This Row],[ap,eq (cm)]])</f>
        <v>#VALUE!</v>
      </c>
      <c r="AL173" s="1" t="str">
        <f ca="1">IFERROR(ECF[[#This Row],[d (cm)]]+arredondarParaCimaMultiplo5cm(MAX(5,SQRT(PI())/2*ECF[[#This Row],[Ø (cm)]]/5)),"N.S.")</f>
        <v>N.S.</v>
      </c>
      <c r="AM173" s="5" t="e">
        <f ca="1">alpha(ECF[[#This Row],[nE]],ECF[[#This Row],[d (cm)]],ECF[[#This Row],[e (cm)]],ECF[[#This Row],[ap,eq (cm)]])</f>
        <v>#VALUE!</v>
      </c>
      <c r="AN173" s="35" t="str">
        <f ca="1">IFERROR(ECF[[#This Row],[Nsd (kN)]]/(ECF[[#This Row],[Ap (cm²)]]*SIN(ECF[[#This Row],[α]])^2),"N.S.")</f>
        <v>N.S.</v>
      </c>
      <c r="AO173" s="35" t="str">
        <f ca="1">IFERROR(ECF[[#This Row],[Nsd (kN)]]/(ECF[[#This Row],[nE]]*PI()*ECF[[#This Row],[Ø (cm)]]^2/4*SIN(ECF[[#This Row],[α]])^2),"N.S.")</f>
        <v>N.S.</v>
      </c>
      <c r="AP173" s="4" t="str">
        <f ca="1">IFERROR(INDEX(grupoEstacas[],ECF[[#This Row],[nE]],MATCH("coef. Blévot",grupoEstacas[#Headers],0)),"N.S.")</f>
        <v>N.S.</v>
      </c>
      <c r="AQ173" s="35" t="str">
        <f ca="1">IFERROR(ECF[[#This Row],[coef. Blévot]]*0.9*INDEX(tipoEstaca[],MATCH($D$2,tipoEstaca[TIPO DE ESTACA],0),MATCH("fcd (kN/cm²)",tipoEstaca[#Headers],0)),"N.S.")</f>
        <v>N.S.</v>
      </c>
      <c r="AR173" s="1" t="str">
        <f ca="1">IF(AND(ECF[[#This Row],[cd,b,pil (kN/cm²)]]&lt;=ECF[[#This Row],[cd,b,lim (kN/cm²)]],ECF[[#This Row],[cd,b,est (kN/cm²)]]&lt;=ECF[[#This Row],[cd,b,lim (kN/cm²)]]),"OK","ERRO")</f>
        <v>OK</v>
      </c>
      <c r="AS173" s="4" t="e">
        <f ca="1">As_lado(ECF[[#This Row],[nE]],ECF[[#This Row],[Nsd (kN)]],ECF[[#This Row],[d (cm)]],ECF[[#This Row],[e (cm)]],ECF[[#This Row],[ap,eq (cm)]])</f>
        <v>#VALUE!</v>
      </c>
      <c r="AT173" s="4" t="e">
        <f ca="1">IF(ECF[[#This Row],[nE]]=1,ECF[[#This Row],[As,lado (cm²)]],IF(ECF[[#This Row],[nE]]=2,0.075*2*ECF[a (cm)],"N.A."))</f>
        <v>#DIV/0!</v>
      </c>
      <c r="AU173" s="4" t="str">
        <f ca="1">IFERROR(IF(ECF[[#This Row],[nE]]=1,"N.A.",0.2*ECF[[#This Row],[As,lado (cm²)]]),"N.S.")</f>
        <v>N.S.</v>
      </c>
      <c r="AV173" s="4" t="e">
        <f ca="1">As_malha(ECF[[#This Row],[nE]],ECF[[#This Row],[As,lado (cm²)]],ECF[[#This Row],[Nsd (kN)]])</f>
        <v>#VALUE!</v>
      </c>
      <c r="AW173" s="4" t="e">
        <f ca="1">As_susp_tot(ECF[[#This Row],[nE]],ECF[[#This Row],[Nsd (kN)]])</f>
        <v>#VALUE!</v>
      </c>
      <c r="AX173" s="4" t="e">
        <f ca="1">Asp_face(ECF[[#This Row],[nE]],ECF[[#This Row],[As,lado (cm²)]])</f>
        <v>#VALUE!</v>
      </c>
      <c r="AY173" s="5" t="e">
        <f ca="1">acoBloco(ECF[[#This Row],[nE]],ECF[[#This Row],[e (cm)]],ECF[[#This Row],[a (cm)]],ECF[[#This Row],[h (cm)]],ECF[[#This Row],[As,lado (cm²)]],ECF[[#This Row],[Asp e Asw (cm²/m)]],ECF[[#This Row],[As,sup (cm²)]],ECF[[#This Row],[As,malha (cm²)]],ECF[[#This Row],[As,susp,tot (cm²)]],ECF[[#This Row],[Asp,face (cm²)]])</f>
        <v>#VALUE!</v>
      </c>
      <c r="AZ173" s="4" t="e">
        <f ca="1">concretoBloco(ECF[[#This Row],[nE]],ECF[[#This Row],[e (cm)]],ECF[[#This Row],[a (cm)]],ECF[[#This Row],[h (cm)]])</f>
        <v>#VALUE!</v>
      </c>
      <c r="BA173" s="5" t="e">
        <f ca="1">SUM(ECF[[#This Row],[Aço Est (kg)]],ECF[[#This Row],[Aço Bloco (kg)]])</f>
        <v>#DIV/0!</v>
      </c>
      <c r="BB173" s="4">
        <f>INDEX(composicoes[],MATCH(95580,composicoes[CÓDIGO],0),MATCH("CUSTO TOTAL",composicoes[#Headers],0))</f>
        <v>10.46</v>
      </c>
      <c r="BC173" s="4" t="e">
        <f ca="1">SUM(ECF[[#This Row],[Conc Est (m³)]],ECF[[#This Row],[Conc Bloco (m³)]])</f>
        <v>#DIV/0!</v>
      </c>
      <c r="BD173" s="4">
        <f>INDEX(composicoes[],MATCH(94966,composicoes[CÓDIGO],0),MATCH("CUSTO TOTAL",composicoes[#Headers],0))</f>
        <v>439.52</v>
      </c>
      <c r="BE173" s="38" t="e">
        <f ca="1">ECF[[#This Row],[Aço (kg)]]*ECF[[#This Row],[Aço (R$/kg)]]+ECF[[#This Row],[Conc (m³)]]*ECF[[#This Row],[Conc (R$/m³)]]</f>
        <v>#DIV/0!</v>
      </c>
      <c r="BF173" s="4" t="str">
        <f ca="1">IF(COUNTIF(ECF[#This Row],"N.S.")&gt;0,"lim.","OK")</f>
        <v>lim.</v>
      </c>
      <c r="BG173" s="4" t="str">
        <f>IF(ECF[[#This Row],[Prof. (m)]]&lt;4,"lim.","OK")</f>
        <v>lim.</v>
      </c>
      <c r="BH173" s="4" t="str">
        <f>IF(ECF[[#This Row],[Prof. (m)]]&gt;=8*ECF[[#This Row],[Ø (cm)]]/100,"OK","lim.")</f>
        <v>lim.</v>
      </c>
      <c r="BI173" s="4" t="str">
        <f>IF(AND(SPT!$F$3&lt;&gt;"",ECF[[#This Row],[Prof. (m)]]&gt;=SPT!$F$3-2),"lim.","OK")</f>
        <v>OK</v>
      </c>
      <c r="BJ173" s="4" t="str">
        <f ca="1">IF(ECF[[#This Row],[Verif. Biela]]="OK","OK","lim.")</f>
        <v>OK</v>
      </c>
      <c r="BK173" s="4" t="str">
        <f ca="1">IF(COUNTA(ECF[[#This Row],[Nº Est.]:[Biela comp.]])=COUNTIF(ECF[[#This Row],[Nº Est.]:[Biela comp.]],"OK"),"OK","lim.")</f>
        <v>lim.</v>
      </c>
      <c r="BL173" s="4" t="str">
        <f ca="1">IF(ECF[[#This Row],[Controle]]="OK",ECF[[#This Row],[nE]]&amp;" Ø"&amp;ECF[[#This Row],[Ø (cm)]]&amp;"cm Prof. "&amp;ECF[[#This Row],[Prof. (m)]]&amp;" m","")</f>
        <v/>
      </c>
      <c r="BM173" s="4" t="str">
        <f ca="1">IF(ECF[[#This Row],[idDimensionamento]]="","",ECF[[#This Row],[idPilar]]&amp;ECF[[#This Row],[idDimensionamento]])</f>
        <v/>
      </c>
    </row>
    <row r="174" spans="2:65" x14ac:dyDescent="0.25">
      <c r="B174" s="12">
        <f>ROUNDUP((ROW(ECF[[#This Row],[idDiâmetro]])-ROW(ECF[[#Headers],[idDiâmetro]]))/(COUNT(SPT[Prof. (m)])*COUNT(PILARES[Pilar])),0)</f>
        <v>7</v>
      </c>
      <c r="C174" s="12">
        <f>IF(ECF[[#This Row],[idDiâmetro]]&lt;&gt;B173,1,IF(ECF[[#This Row],[Prof. (m)]]=0,C173+1,C173))</f>
        <v>1</v>
      </c>
      <c r="D174" s="1">
        <f>IFERROR(IF(D173=MAX(SPT[Prof. (m)]),0,D173+1),0)</f>
        <v>1</v>
      </c>
      <c r="E174" s="1">
        <f>INDEX(SPT[],MATCH(ECF[[#This Row],[Prof. (m)]],SPT[Prof. (m)],0),2)</f>
        <v>2</v>
      </c>
      <c r="F174" s="1" t="str">
        <f>INDEX(SPT[],MATCH(ECF[[#This Row],[Prof. (m)]],SPT[Prof. (m)],0),3)</f>
        <v>Areia siltosa</v>
      </c>
      <c r="G174" s="1">
        <f>INDEX(estacas[],ECF[[#This Row],[idDiâmetro]],MATCH($B$2,estacas[#Headers],0))</f>
        <v>150</v>
      </c>
      <c r="H174" s="1">
        <f>INDEX(estacas[],MATCH(ECF[[#This Row],[Ø (cm)]],estacas[Ø ECF (cm)],0),MATCH(ECF[[#Headers],[Pe ECF (kN)]],estacas[#Headers],0))</f>
        <v>7100</v>
      </c>
      <c r="I174" s="4">
        <f>INDEX(K_alpha_C[],MATCH(ECF[[#This Row],[Solo]],K_alpha_C[Solo],0),2)</f>
        <v>0.8</v>
      </c>
      <c r="J174" s="5">
        <f>INDEX(K_alpha_C[],MATCH(ECF[[#This Row],[Solo]],K_alpha_C[Solo],0),3)</f>
        <v>2</v>
      </c>
      <c r="K174" s="4">
        <f>INDEX(F1_F2[],MATCH($D$2,F1_F2[Tipo de estaca],0),2)</f>
        <v>3</v>
      </c>
      <c r="L174" s="4">
        <f>INDEX(F1_F2[],MATCH($D$2,F1_F2[Tipo de estaca],0),3)</f>
        <v>6</v>
      </c>
      <c r="M174" s="4">
        <f>PI()*(ECF[[#This Row],[Ø (cm)]]/100)^2/4</f>
        <v>1.7671458676442586</v>
      </c>
      <c r="N174" s="4">
        <f>PI()*ECF[[#This Row],[Ø (cm)]]/100</f>
        <v>4.7123889803846897</v>
      </c>
      <c r="O174" s="4">
        <f>IF(ECF[[#This Row],[Prof. (m)]]=0,0,ECF[[#This Row],[α (%)]]/100*ECF[[#This Row],[K (MPa)]]*1000*ECF[[#This Row],[NSPT]])</f>
        <v>32</v>
      </c>
      <c r="P174" s="4">
        <f>IF(ECF[[#This Row],[Prof. (m)]]=0,0,(ECF[[#This Row],[K (MPa)]]*1000*ECF[[#This Row],[NSPT]]/ECF[[#This Row],[F1]]*ECF[[#This Row],[Ap (m²)]]+ECF[[#This Row],[U (m)]]/ECF[[#This Row],[F2]]*SUMIFS(ECF[(α∙K∙NL∙ΔL)],ECF[Prof. (m)],"&lt;="&amp;ECF[[#This Row],[Prof. (m)]],ECF[idDiâmetro],ECF[[#This Row],[idDiâmetro]],ECF[idPilar],ECF[[#This Row],[idPilar]]))/'DADOS CAP. CARGA'!$D$2)</f>
        <v>483.8052686528282</v>
      </c>
      <c r="Q174" s="12">
        <f>INDEX(C_alpha_beta[],MATCH(ECF[[#This Row],[Solo]],C_alpha_beta[Solo],0),MATCH(ECF[[#Headers],[C (kPa)]],C_alpha_beta[#Headers],0))</f>
        <v>400</v>
      </c>
      <c r="R174" s="4">
        <f>INDEX(C_alpha_beta[],MATCH(ECF[[#This Row],[Solo]],C_alpha_beta[Solo],0),MATCH(ECF[[#Headers],[α ESF]],C_alpha_beta[#Headers],0))</f>
        <v>0.5</v>
      </c>
      <c r="S174" s="4">
        <f>INDEX(C_alpha_beta[],MATCH(ECF[[#This Row],[Solo]],C_alpha_beta[Solo],0),MATCH(ECF[[#Headers],[β ESF]],C_alpha_beta[#Headers],0))</f>
        <v>0.5</v>
      </c>
      <c r="T174" s="4">
        <f>IF(ECF[[#This Row],[Prof. (m)]]=0,0,10*(ECF[[#This Row],[NSPT]]/3+1))</f>
        <v>16.666666666666664</v>
      </c>
      <c r="U174" s="4">
        <f>(ECF[[#This Row],[α ESF]]*ECF[[#This Row],[C (kPa)]]*ECF[[#This Row],[NSPT]]*ECF[[#This Row],[Ap (m²)]])/'DADOS CAP. CARGA'!$Q$2+(ECF[[#This Row],[β ESF]]*SUMIFS(ECF[10∙(NL/3+1)],ECF[Prof. (m)],"&lt;="&amp;ECF[[#This Row],[Prof. (m)]],ECF[idDiâmetro],ECF[[#This Row],[idDiâmetro]],ECF[idPilar],ECF[[#This Row],[idPilar]])*ECF[[#This Row],[U (m)]])/'DADOS CAP. CARGA'!$S$2</f>
        <v>196.34954084936206</v>
      </c>
      <c r="V174" s="4">
        <f>IF(SPT!$M$5=1,MIN(ECF[[#This Row],[Pe ECF (kN)]],ECF[[#This Row],[R_AV (kN)]]),IF(SPT!$M$5=2,MIN(ECF[[#This Row],[Pe ECF (kN)]],ECF[[#This Row],[R_DC (kN)]]),MIN(ECF[[#This Row],[Pe ECF (kN)]],ECF[[#This Row],[R_AV (kN)]],ECF[[#This Row],[R_DC (kN)]])))</f>
        <v>196.34954084936206</v>
      </c>
      <c r="W174" s="4">
        <f>INDEX(PILARES[],ECF[[#This Row],[idPilar]],MATCH("Carga (kN)",PILARES[#Headers],0))*1.4</f>
        <v>3500</v>
      </c>
      <c r="X174" s="12">
        <f>INDEX(PILARES[],ECF[[#This Row],[idPilar]],MATCH(ECF[[#Headers],[ap (cm)]],PILARES[#Headers],0))</f>
        <v>60</v>
      </c>
      <c r="Y174" s="12">
        <f>INDEX(PILARES[],ECF[[#This Row],[idPilar]],MATCH(ECF[[#Headers],[bp (cm)]],PILARES[#Headers],0))</f>
        <v>60</v>
      </c>
      <c r="Z174" s="4">
        <f>SQRT(ECF[[#This Row],[ap (cm)]]*ECF[[#This Row],[bp (cm)]])</f>
        <v>60</v>
      </c>
      <c r="AA174" s="12">
        <f>ECF[[#This Row],[ap (cm)]]*ECF[[#This Row],[bp (cm)]]</f>
        <v>3600</v>
      </c>
      <c r="AB174" s="12">
        <f ca="1">IF(ECF[[#This Row],[Padm∙ε (kN)]]&gt;=ECF[[#This Row],[Padm (kN)]],ROUNDUP(1.05*ECF[[#This Row],[Nsd (kN)]]/ECF[[#This Row],[Padm (kN)]],0),ROUNDUP(1.05*ECF[[#This Row],[Nsd (kN)]]/ECF[[#This Row],[Padm (kN)]],0)+1)</f>
        <v>19</v>
      </c>
      <c r="AC174" s="4" t="str">
        <f ca="1">IFERROR(IF(ECF[[#This Row],[nE]]=1,ECF[[#This Row],[Padm (kN)]],ECF[[#This Row],[Padm (kN)]]*ECF[[#This Row],[nE]]*INDEX(grupoEstacas[],ECF[[#This Row],[nE]],MATCH("ε",grupoEstacas[#Headers],0))),"N.S.")</f>
        <v>N.S.</v>
      </c>
      <c r="AD174" s="4">
        <f ca="1">1.05*ECF[[#This Row],[Nsd (kN)]]/(ECF[[#This Row],[nE]]*PI()*ECF[[#This Row],[Ø (cm)]]^2/4)*10</f>
        <v>0.1094539257754789</v>
      </c>
      <c r="AE174" s="4">
        <f ca="1">IF(ECF[[#This Row],[σ (MPa)]]&lt;INDEX(tipoEstaca[],MATCH($D$2,tipoEstaca[TIPO DE ESTACA],0),MATCH("σmáx (MPa)",tipoEstaca[#Headers],0)),0.4%*PI()*ECF[[#This Row],[Ø (cm)]]^2/4,"N.S.")</f>
        <v>70.685834705770347</v>
      </c>
      <c r="AF174" s="1">
        <f>INDEX(tipoEstaca[],MATCH($D$2,tipoEstaca[TIPO DE ESTACA],0),MATCH(ECF[[#Headers],[Comprimento (m)]],tipoEstaca[#Headers],0))</f>
        <v>4</v>
      </c>
      <c r="AG174" s="5">
        <f ca="1">ECF[[#This Row],[As,mín (cm²)]]/100^2*ECF[[#This Row],[Comprimento (m)]]*7850</f>
        <v>221.95352097611888</v>
      </c>
      <c r="AH174" s="4">
        <f ca="1">ECF[[#This Row],[nE]]*ECF[[#This Row],[Prof. (m)]]*ECF[[#This Row],[Ap (m²)]]</f>
        <v>33.575771485240914</v>
      </c>
      <c r="AI174" s="1">
        <f ca="1">IF(ECF[[#This Row],[nE]]=1,0,MAX(3*ECF[[#This Row],[Ø (cm)]],60))</f>
        <v>450</v>
      </c>
      <c r="AJ174" s="1">
        <f ca="1">IF(ECF[[#This Row],[nE]]=1,ECF[[#This Row],[Ø (cm)]]+2*10,MAX(1.5*ECF[[#This Row],[Ø (cm)]],ECF[[#This Row],[Ø (cm)]]+15))</f>
        <v>225</v>
      </c>
      <c r="AK174" s="1" t="str">
        <f ca="1">alturaUtil(ECF[[#This Row],[nE]],ECF[[#This Row],[Ø (cm)]],ECF[[#This Row],[e (cm)]],ECF[[#This Row],[ap,eq (cm)]])</f>
        <v>N.S.</v>
      </c>
      <c r="AL174" s="1" t="str">
        <f ca="1">IFERROR(ECF[[#This Row],[d (cm)]]+arredondarParaCimaMultiplo5cm(MAX(5,SQRT(PI())/2*ECF[[#This Row],[Ø (cm)]]/5)),"N.S.")</f>
        <v>N.S.</v>
      </c>
      <c r="AM174" s="5" t="str">
        <f ca="1">alpha(ECF[[#This Row],[nE]],ECF[[#This Row],[d (cm)]],ECF[[#This Row],[e (cm)]],ECF[[#This Row],[ap,eq (cm)]])</f>
        <v>N.S.</v>
      </c>
      <c r="AN174" s="35" t="str">
        <f ca="1">IFERROR(ECF[[#This Row],[Nsd (kN)]]/(ECF[[#This Row],[Ap (cm²)]]*SIN(ECF[[#This Row],[α]])^2),"N.S.")</f>
        <v>N.S.</v>
      </c>
      <c r="AO174" s="35" t="str">
        <f ca="1">IFERROR(ECF[[#This Row],[Nsd (kN)]]/(ECF[[#This Row],[nE]]*PI()*ECF[[#This Row],[Ø (cm)]]^2/4*SIN(ECF[[#This Row],[α]])^2),"N.S.")</f>
        <v>N.S.</v>
      </c>
      <c r="AP174" s="4" t="str">
        <f ca="1">IFERROR(INDEX(grupoEstacas[],ECF[[#This Row],[nE]],MATCH("coef. Blévot",grupoEstacas[#Headers],0)),"N.S.")</f>
        <v>N.S.</v>
      </c>
      <c r="AQ174" s="35" t="str">
        <f ca="1">IFERROR(ECF[[#This Row],[coef. Blévot]]*0.9*INDEX(tipoEstaca[],MATCH($D$2,tipoEstaca[TIPO DE ESTACA],0),MATCH("fcd (kN/cm²)",tipoEstaca[#Headers],0)),"N.S.")</f>
        <v>N.S.</v>
      </c>
      <c r="AR174" s="1" t="str">
        <f ca="1">IF(AND(ECF[[#This Row],[cd,b,pil (kN/cm²)]]&lt;=ECF[[#This Row],[cd,b,lim (kN/cm²)]],ECF[[#This Row],[cd,b,est (kN/cm²)]]&lt;=ECF[[#This Row],[cd,b,lim (kN/cm²)]]),"OK","ERRO")</f>
        <v>OK</v>
      </c>
      <c r="AS174" s="4" t="str">
        <f ca="1">As_lado(ECF[[#This Row],[nE]],ECF[[#This Row],[Nsd (kN)]],ECF[[#This Row],[d (cm)]],ECF[[#This Row],[e (cm)]],ECF[[#This Row],[ap,eq (cm)]])</f>
        <v>N.S.</v>
      </c>
      <c r="AT174" s="4" t="str">
        <f ca="1">IF(ECF[[#This Row],[nE]]=1,ECF[[#This Row],[As,lado (cm²)]],IF(ECF[[#This Row],[nE]]=2,0.075*2*ECF[a (cm)],"N.A."))</f>
        <v>N.A.</v>
      </c>
      <c r="AU174" s="4" t="str">
        <f ca="1">IFERROR(IF(ECF[[#This Row],[nE]]=1,"N.A.",0.2*ECF[[#This Row],[As,lado (cm²)]]),"N.S.")</f>
        <v>N.S.</v>
      </c>
      <c r="AV174" s="4" t="str">
        <f ca="1">As_malha(ECF[[#This Row],[nE]],ECF[[#This Row],[As,lado (cm²)]],ECF[[#This Row],[Nsd (kN)]])</f>
        <v>N.S.</v>
      </c>
      <c r="AW174" s="4" t="str">
        <f ca="1">As_susp_tot(ECF[[#This Row],[nE]],ECF[[#This Row],[Nsd (kN)]])</f>
        <v>N.S.</v>
      </c>
      <c r="AX174" s="4" t="str">
        <f ca="1">Asp_face(ECF[[#This Row],[nE]],ECF[[#This Row],[As,lado (cm²)]])</f>
        <v>N.S.</v>
      </c>
      <c r="AY174" s="5" t="str">
        <f ca="1">acoBloco(ECF[[#This Row],[nE]],ECF[[#This Row],[e (cm)]],ECF[[#This Row],[a (cm)]],ECF[[#This Row],[h (cm)]],ECF[[#This Row],[As,lado (cm²)]],ECF[[#This Row],[Asp e Asw (cm²/m)]],ECF[[#This Row],[As,sup (cm²)]],ECF[[#This Row],[As,malha (cm²)]],ECF[[#This Row],[As,susp,tot (cm²)]],ECF[[#This Row],[Asp,face (cm²)]])</f>
        <v>N.S.</v>
      </c>
      <c r="AZ174" s="4" t="str">
        <f ca="1">concretoBloco(ECF[[#This Row],[nE]],ECF[[#This Row],[e (cm)]],ECF[[#This Row],[a (cm)]],ECF[[#This Row],[h (cm)]])</f>
        <v>N.S.</v>
      </c>
      <c r="BA174" s="5">
        <f ca="1">SUM(ECF[[#This Row],[Aço Est (kg)]],ECF[[#This Row],[Aço Bloco (kg)]])</f>
        <v>221.95352097611888</v>
      </c>
      <c r="BB174" s="4">
        <f>INDEX(composicoes[],MATCH(95580,composicoes[CÓDIGO],0),MATCH("CUSTO TOTAL",composicoes[#Headers],0))</f>
        <v>10.46</v>
      </c>
      <c r="BC174" s="4">
        <f ca="1">SUM(ECF[[#This Row],[Conc Est (m³)]],ECF[[#This Row],[Conc Bloco (m³)]])</f>
        <v>33.575771485240914</v>
      </c>
      <c r="BD174" s="4">
        <f>INDEX(composicoes[],MATCH(94966,composicoes[CÓDIGO],0),MATCH("CUSTO TOTAL",composicoes[#Headers],0))</f>
        <v>439.52</v>
      </c>
      <c r="BE174" s="38">
        <f ca="1">ECF[[#This Row],[Aço (kg)]]*ECF[[#This Row],[Aço (R$/kg)]]+ECF[[#This Row],[Conc (m³)]]*ECF[[#This Row],[Conc (R$/m³)]]</f>
        <v>17078.856912603289</v>
      </c>
      <c r="BF174" s="4" t="str">
        <f ca="1">IF(COUNTIF(ECF[#This Row],"N.S.")&gt;0,"lim.","OK")</f>
        <v>lim.</v>
      </c>
      <c r="BG174" s="4" t="str">
        <f>IF(ECF[[#This Row],[Prof. (m)]]&lt;4,"lim.","OK")</f>
        <v>lim.</v>
      </c>
      <c r="BH174" s="4" t="str">
        <f>IF(ECF[[#This Row],[Prof. (m)]]&gt;=8*ECF[[#This Row],[Ø (cm)]]/100,"OK","lim.")</f>
        <v>lim.</v>
      </c>
      <c r="BI174" s="4" t="str">
        <f>IF(AND(SPT!$F$3&lt;&gt;"",ECF[[#This Row],[Prof. (m)]]&gt;=SPT!$F$3-2),"lim.","OK")</f>
        <v>OK</v>
      </c>
      <c r="BJ174" s="4" t="str">
        <f ca="1">IF(ECF[[#This Row],[Verif. Biela]]="OK","OK","lim.")</f>
        <v>OK</v>
      </c>
      <c r="BK174" s="4" t="str">
        <f ca="1">IF(COUNTA(ECF[[#This Row],[Nº Est.]:[Biela comp.]])=COUNTIF(ECF[[#This Row],[Nº Est.]:[Biela comp.]],"OK"),"OK","lim.")</f>
        <v>lim.</v>
      </c>
      <c r="BL174" s="4" t="str">
        <f ca="1">IF(ECF[[#This Row],[Controle]]="OK",ECF[[#This Row],[nE]]&amp;" Ø"&amp;ECF[[#This Row],[Ø (cm)]]&amp;"cm Prof. "&amp;ECF[[#This Row],[Prof. (m)]]&amp;" m","")</f>
        <v/>
      </c>
      <c r="BM174" s="4" t="str">
        <f ca="1">IF(ECF[[#This Row],[idDimensionamento]]="","",ECF[[#This Row],[idPilar]]&amp;ECF[[#This Row],[idDimensionamento]])</f>
        <v/>
      </c>
    </row>
    <row r="175" spans="2:65" x14ac:dyDescent="0.25">
      <c r="B175" s="12">
        <f>ROUNDUP((ROW(ECF[[#This Row],[idDiâmetro]])-ROW(ECF[[#Headers],[idDiâmetro]]))/(COUNT(SPT[Prof. (m)])*COUNT(PILARES[Pilar])),0)</f>
        <v>7</v>
      </c>
      <c r="C175" s="12">
        <f>IF(ECF[[#This Row],[idDiâmetro]]&lt;&gt;B174,1,IF(ECF[[#This Row],[Prof. (m)]]=0,C174+1,C174))</f>
        <v>1</v>
      </c>
      <c r="D175" s="1">
        <f>IFERROR(IF(D174=MAX(SPT[Prof. (m)]),0,D174+1),0)</f>
        <v>2</v>
      </c>
      <c r="E175" s="1">
        <f>INDEX(SPT[],MATCH(ECF[[#This Row],[Prof. (m)]],SPT[Prof. (m)],0),2)</f>
        <v>2</v>
      </c>
      <c r="F175" s="1" t="str">
        <f>INDEX(SPT[],MATCH(ECF[[#This Row],[Prof. (m)]],SPT[Prof. (m)],0),3)</f>
        <v>Areia siltosa</v>
      </c>
      <c r="G175" s="1">
        <f>INDEX(estacas[],ECF[[#This Row],[idDiâmetro]],MATCH($B$2,estacas[#Headers],0))</f>
        <v>150</v>
      </c>
      <c r="H175" s="1">
        <f>INDEX(estacas[],MATCH(ECF[[#This Row],[Ø (cm)]],estacas[Ø ECF (cm)],0),MATCH(ECF[[#Headers],[Pe ECF (kN)]],estacas[#Headers],0))</f>
        <v>7100</v>
      </c>
      <c r="I175" s="4">
        <f>INDEX(K_alpha_C[],MATCH(ECF[[#This Row],[Solo]],K_alpha_C[Solo],0),2)</f>
        <v>0.8</v>
      </c>
      <c r="J175" s="5">
        <f>INDEX(K_alpha_C[],MATCH(ECF[[#This Row],[Solo]],K_alpha_C[Solo],0),3)</f>
        <v>2</v>
      </c>
      <c r="K175" s="4">
        <f>INDEX(F1_F2[],MATCH($D$2,F1_F2[Tipo de estaca],0),2)</f>
        <v>3</v>
      </c>
      <c r="L175" s="4">
        <f>INDEX(F1_F2[],MATCH($D$2,F1_F2[Tipo de estaca],0),3)</f>
        <v>6</v>
      </c>
      <c r="M175" s="4">
        <f>PI()*(ECF[[#This Row],[Ø (cm)]]/100)^2/4</f>
        <v>1.7671458676442586</v>
      </c>
      <c r="N175" s="4">
        <f>PI()*ECF[[#This Row],[Ø (cm)]]/100</f>
        <v>4.7123889803846897</v>
      </c>
      <c r="O175" s="4">
        <f>IF(ECF[[#This Row],[Prof. (m)]]=0,0,ECF[[#This Row],[α (%)]]/100*ECF[[#This Row],[K (MPa)]]*1000*ECF[[#This Row],[NSPT]])</f>
        <v>32</v>
      </c>
      <c r="P175" s="4">
        <f>IF(ECF[[#This Row],[Prof. (m)]]=0,0,(ECF[[#This Row],[K (MPa)]]*1000*ECF[[#This Row],[NSPT]]/ECF[[#This Row],[F1]]*ECF[[#This Row],[Ap (m²)]]+ECF[[#This Row],[U (m)]]/ECF[[#This Row],[F2]]*SUMIFS(ECF[(α∙K∙NL∙ΔL)],ECF[Prof. (m)],"&lt;="&amp;ECF[[#This Row],[Prof. (m)]],ECF[idDiâmetro],ECF[[#This Row],[idDiâmetro]],ECF[idPilar],ECF[[#This Row],[idPilar]]))/'DADOS CAP. CARGA'!$D$2)</f>
        <v>496.37163926718733</v>
      </c>
      <c r="Q175" s="12">
        <f>INDEX(C_alpha_beta[],MATCH(ECF[[#This Row],[Solo]],C_alpha_beta[Solo],0),MATCH(ECF[[#Headers],[C (kPa)]],C_alpha_beta[#Headers],0))</f>
        <v>400</v>
      </c>
      <c r="R175" s="4">
        <f>INDEX(C_alpha_beta[],MATCH(ECF[[#This Row],[Solo]],C_alpha_beta[Solo],0),MATCH(ECF[[#Headers],[α ESF]],C_alpha_beta[#Headers],0))</f>
        <v>0.5</v>
      </c>
      <c r="S175" s="4">
        <f>INDEX(C_alpha_beta[],MATCH(ECF[[#This Row],[Solo]],C_alpha_beta[Solo],0),MATCH(ECF[[#Headers],[β ESF]],C_alpha_beta[#Headers],0))</f>
        <v>0.5</v>
      </c>
      <c r="T175" s="4">
        <f>IF(ECF[[#This Row],[Prof. (m)]]=0,0,10*(ECF[[#This Row],[NSPT]]/3+1))</f>
        <v>16.666666666666664</v>
      </c>
      <c r="U175" s="4">
        <f>(ECF[[#This Row],[α ESF]]*ECF[[#This Row],[C (kPa)]]*ECF[[#This Row],[NSPT]]*ECF[[#This Row],[Ap (m²)]])/'DADOS CAP. CARGA'!$Q$2+(ECF[[#This Row],[β ESF]]*SUMIFS(ECF[10∙(NL/3+1)],ECF[Prof. (m)],"&lt;="&amp;ECF[[#This Row],[Prof. (m)]],ECF[idDiâmetro],ECF[[#This Row],[idDiâmetro]],ECF[idPilar],ECF[[#This Row],[idPilar]])*ECF[[#This Row],[U (m)]])/'DADOS CAP. CARGA'!$S$2</f>
        <v>215.98449493429825</v>
      </c>
      <c r="V175" s="4">
        <f>IF(SPT!$M$5=1,MIN(ECF[[#This Row],[Pe ECF (kN)]],ECF[[#This Row],[R_AV (kN)]]),IF(SPT!$M$5=2,MIN(ECF[[#This Row],[Pe ECF (kN)]],ECF[[#This Row],[R_DC (kN)]]),MIN(ECF[[#This Row],[Pe ECF (kN)]],ECF[[#This Row],[R_AV (kN)]],ECF[[#This Row],[R_DC (kN)]])))</f>
        <v>215.98449493429825</v>
      </c>
      <c r="W175" s="4">
        <f>INDEX(PILARES[],ECF[[#This Row],[idPilar]],MATCH("Carga (kN)",PILARES[#Headers],0))*1.4</f>
        <v>3500</v>
      </c>
      <c r="X175" s="12">
        <f>INDEX(PILARES[],ECF[[#This Row],[idPilar]],MATCH(ECF[[#Headers],[ap (cm)]],PILARES[#Headers],0))</f>
        <v>60</v>
      </c>
      <c r="Y175" s="12">
        <f>INDEX(PILARES[],ECF[[#This Row],[idPilar]],MATCH(ECF[[#Headers],[bp (cm)]],PILARES[#Headers],0))</f>
        <v>60</v>
      </c>
      <c r="Z175" s="4">
        <f>SQRT(ECF[[#This Row],[ap (cm)]]*ECF[[#This Row],[bp (cm)]])</f>
        <v>60</v>
      </c>
      <c r="AA175" s="12">
        <f>ECF[[#This Row],[ap (cm)]]*ECF[[#This Row],[bp (cm)]]</f>
        <v>3600</v>
      </c>
      <c r="AB175" s="12">
        <f ca="1">IF(ECF[[#This Row],[Padm∙ε (kN)]]&gt;=ECF[[#This Row],[Padm (kN)]],ROUNDUP(1.05*ECF[[#This Row],[Nsd (kN)]]/ECF[[#This Row],[Padm (kN)]],0),ROUNDUP(1.05*ECF[[#This Row],[Nsd (kN)]]/ECF[[#This Row],[Padm (kN)]],0)+1)</f>
        <v>18</v>
      </c>
      <c r="AC175" s="4" t="str">
        <f ca="1">IFERROR(IF(ECF[[#This Row],[nE]]=1,ECF[[#This Row],[Padm (kN)]],ECF[[#This Row],[Padm (kN)]]*ECF[[#This Row],[nE]]*INDEX(grupoEstacas[],ECF[[#This Row],[nE]],MATCH("ε",grupoEstacas[#Headers],0))),"N.S.")</f>
        <v>N.S.</v>
      </c>
      <c r="AD175" s="4">
        <f ca="1">1.05*ECF[[#This Row],[Nsd (kN)]]/(ECF[[#This Row],[nE]]*PI()*ECF[[#This Row],[Ø (cm)]]^2/4)*10</f>
        <v>0.11553469942967218</v>
      </c>
      <c r="AE175" s="4">
        <f ca="1">IF(ECF[[#This Row],[σ (MPa)]]&lt;INDEX(tipoEstaca[],MATCH($D$2,tipoEstaca[TIPO DE ESTACA],0),MATCH("σmáx (MPa)",tipoEstaca[#Headers],0)),0.4%*PI()*ECF[[#This Row],[Ø (cm)]]^2/4,"N.S.")</f>
        <v>70.685834705770347</v>
      </c>
      <c r="AF175" s="1">
        <f>INDEX(tipoEstaca[],MATCH($D$2,tipoEstaca[TIPO DE ESTACA],0),MATCH(ECF[[#Headers],[Comprimento (m)]],tipoEstaca[#Headers],0))</f>
        <v>4</v>
      </c>
      <c r="AG175" s="5">
        <f ca="1">ECF[[#This Row],[As,mín (cm²)]]/100^2*ECF[[#This Row],[Comprimento (m)]]*7850</f>
        <v>221.95352097611888</v>
      </c>
      <c r="AH175" s="4">
        <f ca="1">ECF[[#This Row],[nE]]*ECF[[#This Row],[Prof. (m)]]*ECF[[#This Row],[Ap (m²)]]</f>
        <v>63.617251235193308</v>
      </c>
      <c r="AI175" s="1">
        <f ca="1">IF(ECF[[#This Row],[nE]]=1,0,MAX(3*ECF[[#This Row],[Ø (cm)]],60))</f>
        <v>450</v>
      </c>
      <c r="AJ175" s="1">
        <f ca="1">IF(ECF[[#This Row],[nE]]=1,ECF[[#This Row],[Ø (cm)]]+2*10,MAX(1.5*ECF[[#This Row],[Ø (cm)]],ECF[[#This Row],[Ø (cm)]]+15))</f>
        <v>225</v>
      </c>
      <c r="AK175" s="1" t="str">
        <f ca="1">alturaUtil(ECF[[#This Row],[nE]],ECF[[#This Row],[Ø (cm)]],ECF[[#This Row],[e (cm)]],ECF[[#This Row],[ap,eq (cm)]])</f>
        <v>N.S.</v>
      </c>
      <c r="AL175" s="1" t="str">
        <f ca="1">IFERROR(ECF[[#This Row],[d (cm)]]+arredondarParaCimaMultiplo5cm(MAX(5,SQRT(PI())/2*ECF[[#This Row],[Ø (cm)]]/5)),"N.S.")</f>
        <v>N.S.</v>
      </c>
      <c r="AM175" s="5" t="str">
        <f ca="1">alpha(ECF[[#This Row],[nE]],ECF[[#This Row],[d (cm)]],ECF[[#This Row],[e (cm)]],ECF[[#This Row],[ap,eq (cm)]])</f>
        <v>N.S.</v>
      </c>
      <c r="AN175" s="35" t="str">
        <f ca="1">IFERROR(ECF[[#This Row],[Nsd (kN)]]/(ECF[[#This Row],[Ap (cm²)]]*SIN(ECF[[#This Row],[α]])^2),"N.S.")</f>
        <v>N.S.</v>
      </c>
      <c r="AO175" s="35" t="str">
        <f ca="1">IFERROR(ECF[[#This Row],[Nsd (kN)]]/(ECF[[#This Row],[nE]]*PI()*ECF[[#This Row],[Ø (cm)]]^2/4*SIN(ECF[[#This Row],[α]])^2),"N.S.")</f>
        <v>N.S.</v>
      </c>
      <c r="AP175" s="4" t="str">
        <f ca="1">IFERROR(INDEX(grupoEstacas[],ECF[[#This Row],[nE]],MATCH("coef. Blévot",grupoEstacas[#Headers],0)),"N.S.")</f>
        <v>N.S.</v>
      </c>
      <c r="AQ175" s="35" t="str">
        <f ca="1">IFERROR(ECF[[#This Row],[coef. Blévot]]*0.9*INDEX(tipoEstaca[],MATCH($D$2,tipoEstaca[TIPO DE ESTACA],0),MATCH("fcd (kN/cm²)",tipoEstaca[#Headers],0)),"N.S.")</f>
        <v>N.S.</v>
      </c>
      <c r="AR175" s="1" t="str">
        <f ca="1">IF(AND(ECF[[#This Row],[cd,b,pil (kN/cm²)]]&lt;=ECF[[#This Row],[cd,b,lim (kN/cm²)]],ECF[[#This Row],[cd,b,est (kN/cm²)]]&lt;=ECF[[#This Row],[cd,b,lim (kN/cm²)]]),"OK","ERRO")</f>
        <v>OK</v>
      </c>
      <c r="AS175" s="4" t="str">
        <f ca="1">As_lado(ECF[[#This Row],[nE]],ECF[[#This Row],[Nsd (kN)]],ECF[[#This Row],[d (cm)]],ECF[[#This Row],[e (cm)]],ECF[[#This Row],[ap,eq (cm)]])</f>
        <v>N.S.</v>
      </c>
      <c r="AT175" s="4" t="str">
        <f ca="1">IF(ECF[[#This Row],[nE]]=1,ECF[[#This Row],[As,lado (cm²)]],IF(ECF[[#This Row],[nE]]=2,0.075*2*ECF[a (cm)],"N.A."))</f>
        <v>N.A.</v>
      </c>
      <c r="AU175" s="4" t="str">
        <f ca="1">IFERROR(IF(ECF[[#This Row],[nE]]=1,"N.A.",0.2*ECF[[#This Row],[As,lado (cm²)]]),"N.S.")</f>
        <v>N.S.</v>
      </c>
      <c r="AV175" s="4" t="str">
        <f ca="1">As_malha(ECF[[#This Row],[nE]],ECF[[#This Row],[As,lado (cm²)]],ECF[[#This Row],[Nsd (kN)]])</f>
        <v>N.S.</v>
      </c>
      <c r="AW175" s="4" t="str">
        <f ca="1">As_susp_tot(ECF[[#This Row],[nE]],ECF[[#This Row],[Nsd (kN)]])</f>
        <v>N.S.</v>
      </c>
      <c r="AX175" s="4" t="str">
        <f ca="1">Asp_face(ECF[[#This Row],[nE]],ECF[[#This Row],[As,lado (cm²)]])</f>
        <v>N.S.</v>
      </c>
      <c r="AY175" s="5" t="str">
        <f ca="1">acoBloco(ECF[[#This Row],[nE]],ECF[[#This Row],[e (cm)]],ECF[[#This Row],[a (cm)]],ECF[[#This Row],[h (cm)]],ECF[[#This Row],[As,lado (cm²)]],ECF[[#This Row],[Asp e Asw (cm²/m)]],ECF[[#This Row],[As,sup (cm²)]],ECF[[#This Row],[As,malha (cm²)]],ECF[[#This Row],[As,susp,tot (cm²)]],ECF[[#This Row],[Asp,face (cm²)]])</f>
        <v>N.S.</v>
      </c>
      <c r="AZ175" s="4" t="str">
        <f ca="1">concretoBloco(ECF[[#This Row],[nE]],ECF[[#This Row],[e (cm)]],ECF[[#This Row],[a (cm)]],ECF[[#This Row],[h (cm)]])</f>
        <v>N.S.</v>
      </c>
      <c r="BA175" s="5">
        <f ca="1">SUM(ECF[[#This Row],[Aço Est (kg)]],ECF[[#This Row],[Aço Bloco (kg)]])</f>
        <v>221.95352097611888</v>
      </c>
      <c r="BB175" s="4">
        <f>INDEX(composicoes[],MATCH(95580,composicoes[CÓDIGO],0),MATCH("CUSTO TOTAL",composicoes[#Headers],0))</f>
        <v>10.46</v>
      </c>
      <c r="BC175" s="4">
        <f ca="1">SUM(ECF[[#This Row],[Conc Est (m³)]],ECF[[#This Row],[Conc Bloco (m³)]])</f>
        <v>63.617251235193308</v>
      </c>
      <c r="BD175" s="4">
        <f>INDEX(composicoes[],MATCH(94966,composicoes[CÓDIGO],0),MATCH("CUSTO TOTAL",composicoes[#Headers],0))</f>
        <v>439.52</v>
      </c>
      <c r="BE175" s="38">
        <f ca="1">ECF[[#This Row],[Aço (kg)]]*ECF[[#This Row],[Aço (R$/kg)]]+ECF[[#This Row],[Conc (m³)]]*ECF[[#This Row],[Conc (R$/m³)]]</f>
        <v>30282.688092302364</v>
      </c>
      <c r="BF175" s="4" t="str">
        <f ca="1">IF(COUNTIF(ECF[#This Row],"N.S.")&gt;0,"lim.","OK")</f>
        <v>lim.</v>
      </c>
      <c r="BG175" s="4" t="str">
        <f>IF(ECF[[#This Row],[Prof. (m)]]&lt;4,"lim.","OK")</f>
        <v>lim.</v>
      </c>
      <c r="BH175" s="4" t="str">
        <f>IF(ECF[[#This Row],[Prof. (m)]]&gt;=8*ECF[[#This Row],[Ø (cm)]]/100,"OK","lim.")</f>
        <v>lim.</v>
      </c>
      <c r="BI175" s="4" t="str">
        <f>IF(AND(SPT!$F$3&lt;&gt;"",ECF[[#This Row],[Prof. (m)]]&gt;=SPT!$F$3-2),"lim.","OK")</f>
        <v>OK</v>
      </c>
      <c r="BJ175" s="4" t="str">
        <f ca="1">IF(ECF[[#This Row],[Verif. Biela]]="OK","OK","lim.")</f>
        <v>OK</v>
      </c>
      <c r="BK175" s="4" t="str">
        <f ca="1">IF(COUNTA(ECF[[#This Row],[Nº Est.]:[Biela comp.]])=COUNTIF(ECF[[#This Row],[Nº Est.]:[Biela comp.]],"OK"),"OK","lim.")</f>
        <v>lim.</v>
      </c>
      <c r="BL175" s="4" t="str">
        <f ca="1">IF(ECF[[#This Row],[Controle]]="OK",ECF[[#This Row],[nE]]&amp;" Ø"&amp;ECF[[#This Row],[Ø (cm)]]&amp;"cm Prof. "&amp;ECF[[#This Row],[Prof. (m)]]&amp;" m","")</f>
        <v/>
      </c>
      <c r="BM175" s="4" t="str">
        <f ca="1">IF(ECF[[#This Row],[idDimensionamento]]="","",ECF[[#This Row],[idPilar]]&amp;ECF[[#This Row],[idDimensionamento]])</f>
        <v/>
      </c>
    </row>
    <row r="176" spans="2:65" x14ac:dyDescent="0.25">
      <c r="B176" s="12">
        <f>ROUNDUP((ROW(ECF[[#This Row],[idDiâmetro]])-ROW(ECF[[#Headers],[idDiâmetro]]))/(COUNT(SPT[Prof. (m)])*COUNT(PILARES[Pilar])),0)</f>
        <v>7</v>
      </c>
      <c r="C176" s="12">
        <f>IF(ECF[[#This Row],[idDiâmetro]]&lt;&gt;B175,1,IF(ECF[[#This Row],[Prof. (m)]]=0,C175+1,C175))</f>
        <v>1</v>
      </c>
      <c r="D176" s="1">
        <f>IFERROR(IF(D175=MAX(SPT[Prof. (m)]),0,D175+1),0)</f>
        <v>3</v>
      </c>
      <c r="E176" s="1">
        <f>INDEX(SPT[],MATCH(ECF[[#This Row],[Prof. (m)]],SPT[Prof. (m)],0),2)</f>
        <v>4</v>
      </c>
      <c r="F176" s="1" t="str">
        <f>INDEX(SPT[],MATCH(ECF[[#This Row],[Prof. (m)]],SPT[Prof. (m)],0),3)</f>
        <v>Areia siltosa</v>
      </c>
      <c r="G176" s="1">
        <f>INDEX(estacas[],ECF[[#This Row],[idDiâmetro]],MATCH($B$2,estacas[#Headers],0))</f>
        <v>150</v>
      </c>
      <c r="H176" s="1">
        <f>INDEX(estacas[],MATCH(ECF[[#This Row],[Ø (cm)]],estacas[Ø ECF (cm)],0),MATCH(ECF[[#Headers],[Pe ECF (kN)]],estacas[#Headers],0))</f>
        <v>7100</v>
      </c>
      <c r="I176" s="4">
        <f>INDEX(K_alpha_C[],MATCH(ECF[[#This Row],[Solo]],K_alpha_C[Solo],0),2)</f>
        <v>0.8</v>
      </c>
      <c r="J176" s="5">
        <f>INDEX(K_alpha_C[],MATCH(ECF[[#This Row],[Solo]],K_alpha_C[Solo],0),3)</f>
        <v>2</v>
      </c>
      <c r="K176" s="4">
        <f>INDEX(F1_F2[],MATCH($D$2,F1_F2[Tipo de estaca],0),2)</f>
        <v>3</v>
      </c>
      <c r="L176" s="4">
        <f>INDEX(F1_F2[],MATCH($D$2,F1_F2[Tipo de estaca],0),3)</f>
        <v>6</v>
      </c>
      <c r="M176" s="4">
        <f>PI()*(ECF[[#This Row],[Ø (cm)]]/100)^2/4</f>
        <v>1.7671458676442586</v>
      </c>
      <c r="N176" s="4">
        <f>PI()*ECF[[#This Row],[Ø (cm)]]/100</f>
        <v>4.7123889803846897</v>
      </c>
      <c r="O176" s="4">
        <f>IF(ECF[[#This Row],[Prof. (m)]]=0,0,ECF[[#This Row],[α (%)]]/100*ECF[[#This Row],[K (MPa)]]*1000*ECF[[#This Row],[NSPT]])</f>
        <v>64</v>
      </c>
      <c r="P176" s="4">
        <f>IF(ECF[[#This Row],[Prof. (m)]]=0,0,(ECF[[#This Row],[K (MPa)]]*1000*ECF[[#This Row],[NSPT]]/ECF[[#This Row],[F1]]*ECF[[#This Row],[Ap (m²)]]+ECF[[#This Row],[U (m)]]/ECF[[#This Row],[F2]]*SUMIFS(ECF[(α∙K∙NL∙ΔL)],ECF[Prof. (m)],"&lt;="&amp;ECF[[#This Row],[Prof. (m)]],ECF[idDiâmetro],ECF[[#This Row],[idDiâmetro]],ECF[idPilar],ECF[[#This Row],[idPilar]]))/'DADOS CAP. CARGA'!$D$2)</f>
        <v>992.74327853437467</v>
      </c>
      <c r="Q176" s="12">
        <f>INDEX(C_alpha_beta[],MATCH(ECF[[#This Row],[Solo]],C_alpha_beta[Solo],0),MATCH(ECF[[#Headers],[C (kPa)]],C_alpha_beta[#Headers],0))</f>
        <v>400</v>
      </c>
      <c r="R176" s="4">
        <f>INDEX(C_alpha_beta[],MATCH(ECF[[#This Row],[Solo]],C_alpha_beta[Solo],0),MATCH(ECF[[#Headers],[α ESF]],C_alpha_beta[#Headers],0))</f>
        <v>0.5</v>
      </c>
      <c r="S176" s="4">
        <f>INDEX(C_alpha_beta[],MATCH(ECF[[#This Row],[Solo]],C_alpha_beta[Solo],0),MATCH(ECF[[#Headers],[β ESF]],C_alpha_beta[#Headers],0))</f>
        <v>0.5</v>
      </c>
      <c r="T176" s="4">
        <f>IF(ECF[[#This Row],[Prof. (m)]]=0,0,10*(ECF[[#This Row],[NSPT]]/3+1))</f>
        <v>23.333333333333329</v>
      </c>
      <c r="U176" s="4">
        <f>(ECF[[#This Row],[α ESF]]*ECF[[#This Row],[C (kPa)]]*ECF[[#This Row],[NSPT]]*ECF[[#This Row],[Ap (m²)]])/'DADOS CAP. CARGA'!$Q$2+(ECF[[#This Row],[β ESF]]*SUMIFS(ECF[10∙(NL/3+1)],ECF[Prof. (m)],"&lt;="&amp;ECF[[#This Row],[Prof. (m)]],ECF[idDiâmetro],ECF[[#This Row],[idDiâmetro]],ECF[idPilar],ECF[[#This Row],[idPilar]])*ECF[[#This Row],[U (m)]])/'DADOS CAP. CARGA'!$S$2</f>
        <v>420.1880174176348</v>
      </c>
      <c r="V176" s="4">
        <f>IF(SPT!$M$5=1,MIN(ECF[[#This Row],[Pe ECF (kN)]],ECF[[#This Row],[R_AV (kN)]]),IF(SPT!$M$5=2,MIN(ECF[[#This Row],[Pe ECF (kN)]],ECF[[#This Row],[R_DC (kN)]]),MIN(ECF[[#This Row],[Pe ECF (kN)]],ECF[[#This Row],[R_AV (kN)]],ECF[[#This Row],[R_DC (kN)]])))</f>
        <v>420.1880174176348</v>
      </c>
      <c r="W176" s="4">
        <f>INDEX(PILARES[],ECF[[#This Row],[idPilar]],MATCH("Carga (kN)",PILARES[#Headers],0))*1.4</f>
        <v>3500</v>
      </c>
      <c r="X176" s="12">
        <f>INDEX(PILARES[],ECF[[#This Row],[idPilar]],MATCH(ECF[[#Headers],[ap (cm)]],PILARES[#Headers],0))</f>
        <v>60</v>
      </c>
      <c r="Y176" s="12">
        <f>INDEX(PILARES[],ECF[[#This Row],[idPilar]],MATCH(ECF[[#Headers],[bp (cm)]],PILARES[#Headers],0))</f>
        <v>60</v>
      </c>
      <c r="Z176" s="4">
        <f>SQRT(ECF[[#This Row],[ap (cm)]]*ECF[[#This Row],[bp (cm)]])</f>
        <v>60</v>
      </c>
      <c r="AA176" s="12">
        <f>ECF[[#This Row],[ap (cm)]]*ECF[[#This Row],[bp (cm)]]</f>
        <v>3600</v>
      </c>
      <c r="AB176" s="12">
        <f ca="1">IF(ECF[[#This Row],[Padm∙ε (kN)]]&gt;=ECF[[#This Row],[Padm (kN)]],ROUNDUP(1.05*ECF[[#This Row],[Nsd (kN)]]/ECF[[#This Row],[Padm (kN)]],0),ROUNDUP(1.05*ECF[[#This Row],[Nsd (kN)]]/ECF[[#This Row],[Padm (kN)]],0)+1)</f>
        <v>9</v>
      </c>
      <c r="AC176" s="4" t="str">
        <f ca="1">IFERROR(IF(ECF[[#This Row],[nE]]=1,ECF[[#This Row],[Padm (kN)]],ECF[[#This Row],[Padm (kN)]]*ECF[[#This Row],[nE]]*INDEX(grupoEstacas[],ECF[[#This Row],[nE]],MATCH("ε",grupoEstacas[#Headers],0))),"N.S.")</f>
        <v>N.S.</v>
      </c>
      <c r="AD176" s="4">
        <f ca="1">1.05*ECF[[#This Row],[Nsd (kN)]]/(ECF[[#This Row],[nE]]*PI()*ECF[[#This Row],[Ø (cm)]]^2/4)*10</f>
        <v>0.23106939885934435</v>
      </c>
      <c r="AE176" s="4">
        <f ca="1">IF(ECF[[#This Row],[σ (MPa)]]&lt;INDEX(tipoEstaca[],MATCH($D$2,tipoEstaca[TIPO DE ESTACA],0),MATCH("σmáx (MPa)",tipoEstaca[#Headers],0)),0.4%*PI()*ECF[[#This Row],[Ø (cm)]]^2/4,"N.S.")</f>
        <v>70.685834705770347</v>
      </c>
      <c r="AF176" s="1">
        <f>INDEX(tipoEstaca[],MATCH($D$2,tipoEstaca[TIPO DE ESTACA],0),MATCH(ECF[[#Headers],[Comprimento (m)]],tipoEstaca[#Headers],0))</f>
        <v>4</v>
      </c>
      <c r="AG176" s="5">
        <f ca="1">ECF[[#This Row],[As,mín (cm²)]]/100^2*ECF[[#This Row],[Comprimento (m)]]*7850</f>
        <v>221.95352097611888</v>
      </c>
      <c r="AH176" s="4">
        <f ca="1">ECF[[#This Row],[nE]]*ECF[[#This Row],[Prof. (m)]]*ECF[[#This Row],[Ap (m²)]]</f>
        <v>47.712938426394985</v>
      </c>
      <c r="AI176" s="1">
        <f ca="1">IF(ECF[[#This Row],[nE]]=1,0,MAX(3*ECF[[#This Row],[Ø (cm)]],60))</f>
        <v>450</v>
      </c>
      <c r="AJ176" s="1">
        <f ca="1">IF(ECF[[#This Row],[nE]]=1,ECF[[#This Row],[Ø (cm)]]+2*10,MAX(1.5*ECF[[#This Row],[Ø (cm)]],ECF[[#This Row],[Ø (cm)]]+15))</f>
        <v>225</v>
      </c>
      <c r="AK176" s="1" t="str">
        <f ca="1">alturaUtil(ECF[[#This Row],[nE]],ECF[[#This Row],[Ø (cm)]],ECF[[#This Row],[e (cm)]],ECF[[#This Row],[ap,eq (cm)]])</f>
        <v>N.S.</v>
      </c>
      <c r="AL176" s="1" t="str">
        <f ca="1">IFERROR(ECF[[#This Row],[d (cm)]]+arredondarParaCimaMultiplo5cm(MAX(5,SQRT(PI())/2*ECF[[#This Row],[Ø (cm)]]/5)),"N.S.")</f>
        <v>N.S.</v>
      </c>
      <c r="AM176" s="5" t="str">
        <f ca="1">alpha(ECF[[#This Row],[nE]],ECF[[#This Row],[d (cm)]],ECF[[#This Row],[e (cm)]],ECF[[#This Row],[ap,eq (cm)]])</f>
        <v>N.S.</v>
      </c>
      <c r="AN176" s="35" t="str">
        <f ca="1">IFERROR(ECF[[#This Row],[Nsd (kN)]]/(ECF[[#This Row],[Ap (cm²)]]*SIN(ECF[[#This Row],[α]])^2),"N.S.")</f>
        <v>N.S.</v>
      </c>
      <c r="AO176" s="35" t="str">
        <f ca="1">IFERROR(ECF[[#This Row],[Nsd (kN)]]/(ECF[[#This Row],[nE]]*PI()*ECF[[#This Row],[Ø (cm)]]^2/4*SIN(ECF[[#This Row],[α]])^2),"N.S.")</f>
        <v>N.S.</v>
      </c>
      <c r="AP176" s="4" t="str">
        <f ca="1">IFERROR(INDEX(grupoEstacas[],ECF[[#This Row],[nE]],MATCH("coef. Blévot",grupoEstacas[#Headers],0)),"N.S.")</f>
        <v>N.S.</v>
      </c>
      <c r="AQ176" s="35" t="str">
        <f ca="1">IFERROR(ECF[[#This Row],[coef. Blévot]]*0.9*INDEX(tipoEstaca[],MATCH($D$2,tipoEstaca[TIPO DE ESTACA],0),MATCH("fcd (kN/cm²)",tipoEstaca[#Headers],0)),"N.S.")</f>
        <v>N.S.</v>
      </c>
      <c r="AR176" s="1" t="str">
        <f ca="1">IF(AND(ECF[[#This Row],[cd,b,pil (kN/cm²)]]&lt;=ECF[[#This Row],[cd,b,lim (kN/cm²)]],ECF[[#This Row],[cd,b,est (kN/cm²)]]&lt;=ECF[[#This Row],[cd,b,lim (kN/cm²)]]),"OK","ERRO")</f>
        <v>OK</v>
      </c>
      <c r="AS176" s="4" t="str">
        <f ca="1">As_lado(ECF[[#This Row],[nE]],ECF[[#This Row],[Nsd (kN)]],ECF[[#This Row],[d (cm)]],ECF[[#This Row],[e (cm)]],ECF[[#This Row],[ap,eq (cm)]])</f>
        <v>N.S.</v>
      </c>
      <c r="AT176" s="4" t="str">
        <f ca="1">IF(ECF[[#This Row],[nE]]=1,ECF[[#This Row],[As,lado (cm²)]],IF(ECF[[#This Row],[nE]]=2,0.075*2*ECF[a (cm)],"N.A."))</f>
        <v>N.A.</v>
      </c>
      <c r="AU176" s="4" t="str">
        <f ca="1">IFERROR(IF(ECF[[#This Row],[nE]]=1,"N.A.",0.2*ECF[[#This Row],[As,lado (cm²)]]),"N.S.")</f>
        <v>N.S.</v>
      </c>
      <c r="AV176" s="4" t="str">
        <f ca="1">As_malha(ECF[[#This Row],[nE]],ECF[[#This Row],[As,lado (cm²)]],ECF[[#This Row],[Nsd (kN)]])</f>
        <v>N.S.</v>
      </c>
      <c r="AW176" s="4" t="str">
        <f ca="1">As_susp_tot(ECF[[#This Row],[nE]],ECF[[#This Row],[Nsd (kN)]])</f>
        <v>N.S.</v>
      </c>
      <c r="AX176" s="4" t="str">
        <f ca="1">Asp_face(ECF[[#This Row],[nE]],ECF[[#This Row],[As,lado (cm²)]])</f>
        <v>N.S.</v>
      </c>
      <c r="AY176" s="5" t="str">
        <f ca="1">acoBloco(ECF[[#This Row],[nE]],ECF[[#This Row],[e (cm)]],ECF[[#This Row],[a (cm)]],ECF[[#This Row],[h (cm)]],ECF[[#This Row],[As,lado (cm²)]],ECF[[#This Row],[Asp e Asw (cm²/m)]],ECF[[#This Row],[As,sup (cm²)]],ECF[[#This Row],[As,malha (cm²)]],ECF[[#This Row],[As,susp,tot (cm²)]],ECF[[#This Row],[Asp,face (cm²)]])</f>
        <v>N.S.</v>
      </c>
      <c r="AZ176" s="4" t="str">
        <f ca="1">concretoBloco(ECF[[#This Row],[nE]],ECF[[#This Row],[e (cm)]],ECF[[#This Row],[a (cm)]],ECF[[#This Row],[h (cm)]])</f>
        <v>N.S.</v>
      </c>
      <c r="BA176" s="5">
        <f ca="1">SUM(ECF[[#This Row],[Aço Est (kg)]],ECF[[#This Row],[Aço Bloco (kg)]])</f>
        <v>221.95352097611888</v>
      </c>
      <c r="BB176" s="4">
        <f>INDEX(composicoes[],MATCH(95580,composicoes[CÓDIGO],0),MATCH("CUSTO TOTAL",composicoes[#Headers],0))</f>
        <v>10.46</v>
      </c>
      <c r="BC176" s="4">
        <f ca="1">SUM(ECF[[#This Row],[Conc Est (m³)]],ECF[[#This Row],[Conc Bloco (m³)]])</f>
        <v>47.712938426394985</v>
      </c>
      <c r="BD176" s="4">
        <f>INDEX(composicoes[],MATCH(94966,composicoes[CÓDIGO],0),MATCH("CUSTO TOTAL",composicoes[#Headers],0))</f>
        <v>439.52</v>
      </c>
      <c r="BE176" s="38">
        <f ca="1">ECF[[#This Row],[Aço (kg)]]*ECF[[#This Row],[Aço (R$/kg)]]+ECF[[#This Row],[Conc (m³)]]*ECF[[#This Row],[Conc (R$/m³)]]</f>
        <v>23292.424526579325</v>
      </c>
      <c r="BF176" s="4" t="str">
        <f ca="1">IF(COUNTIF(ECF[#This Row],"N.S.")&gt;0,"lim.","OK")</f>
        <v>lim.</v>
      </c>
      <c r="BG176" s="4" t="str">
        <f>IF(ECF[[#This Row],[Prof. (m)]]&lt;4,"lim.","OK")</f>
        <v>lim.</v>
      </c>
      <c r="BH176" s="4" t="str">
        <f>IF(ECF[[#This Row],[Prof. (m)]]&gt;=8*ECF[[#This Row],[Ø (cm)]]/100,"OK","lim.")</f>
        <v>lim.</v>
      </c>
      <c r="BI176" s="4" t="str">
        <f>IF(AND(SPT!$F$3&lt;&gt;"",ECF[[#This Row],[Prof. (m)]]&gt;=SPT!$F$3-2),"lim.","OK")</f>
        <v>OK</v>
      </c>
      <c r="BJ176" s="4" t="str">
        <f ca="1">IF(ECF[[#This Row],[Verif. Biela]]="OK","OK","lim.")</f>
        <v>OK</v>
      </c>
      <c r="BK176" s="4" t="str">
        <f ca="1">IF(COUNTA(ECF[[#This Row],[Nº Est.]:[Biela comp.]])=COUNTIF(ECF[[#This Row],[Nº Est.]:[Biela comp.]],"OK"),"OK","lim.")</f>
        <v>lim.</v>
      </c>
      <c r="BL176" s="4" t="str">
        <f ca="1">IF(ECF[[#This Row],[Controle]]="OK",ECF[[#This Row],[nE]]&amp;" Ø"&amp;ECF[[#This Row],[Ø (cm)]]&amp;"cm Prof. "&amp;ECF[[#This Row],[Prof. (m)]]&amp;" m","")</f>
        <v/>
      </c>
      <c r="BM176" s="4" t="str">
        <f ca="1">IF(ECF[[#This Row],[idDimensionamento]]="","",ECF[[#This Row],[idPilar]]&amp;ECF[[#This Row],[idDimensionamento]])</f>
        <v/>
      </c>
    </row>
    <row r="177" spans="2:65" x14ac:dyDescent="0.25">
      <c r="B177" s="12">
        <f>ROUNDUP((ROW(ECF[[#This Row],[idDiâmetro]])-ROW(ECF[[#Headers],[idDiâmetro]]))/(COUNT(SPT[Prof. (m)])*COUNT(PILARES[Pilar])),0)</f>
        <v>7</v>
      </c>
      <c r="C177" s="12">
        <f>IF(ECF[[#This Row],[idDiâmetro]]&lt;&gt;B176,1,IF(ECF[[#This Row],[Prof. (m)]]=0,C176+1,C176))</f>
        <v>1</v>
      </c>
      <c r="D177" s="1">
        <f>IFERROR(IF(D176=MAX(SPT[Prof. (m)]),0,D176+1),0)</f>
        <v>4</v>
      </c>
      <c r="E177" s="1">
        <f>INDEX(SPT[],MATCH(ECF[[#This Row],[Prof. (m)]],SPT[Prof. (m)],0),2)</f>
        <v>8</v>
      </c>
      <c r="F177" s="1" t="str">
        <f>INDEX(SPT[],MATCH(ECF[[#This Row],[Prof. (m)]],SPT[Prof. (m)],0),3)</f>
        <v>Areia siltosa</v>
      </c>
      <c r="G177" s="1">
        <f>INDEX(estacas[],ECF[[#This Row],[idDiâmetro]],MATCH($B$2,estacas[#Headers],0))</f>
        <v>150</v>
      </c>
      <c r="H177" s="1">
        <f>INDEX(estacas[],MATCH(ECF[[#This Row],[Ø (cm)]],estacas[Ø ECF (cm)],0),MATCH(ECF[[#Headers],[Pe ECF (kN)]],estacas[#Headers],0))</f>
        <v>7100</v>
      </c>
      <c r="I177" s="4">
        <f>INDEX(K_alpha_C[],MATCH(ECF[[#This Row],[Solo]],K_alpha_C[Solo],0),2)</f>
        <v>0.8</v>
      </c>
      <c r="J177" s="5">
        <f>INDEX(K_alpha_C[],MATCH(ECF[[#This Row],[Solo]],K_alpha_C[Solo],0),3)</f>
        <v>2</v>
      </c>
      <c r="K177" s="4">
        <f>INDEX(F1_F2[],MATCH($D$2,F1_F2[Tipo de estaca],0),2)</f>
        <v>3</v>
      </c>
      <c r="L177" s="4">
        <f>INDEX(F1_F2[],MATCH($D$2,F1_F2[Tipo de estaca],0),3)</f>
        <v>6</v>
      </c>
      <c r="M177" s="4">
        <f>PI()*(ECF[[#This Row],[Ø (cm)]]/100)^2/4</f>
        <v>1.7671458676442586</v>
      </c>
      <c r="N177" s="4">
        <f>PI()*ECF[[#This Row],[Ø (cm)]]/100</f>
        <v>4.7123889803846897</v>
      </c>
      <c r="O177" s="4">
        <f>IF(ECF[[#This Row],[Prof. (m)]]=0,0,ECF[[#This Row],[α (%)]]/100*ECF[[#This Row],[K (MPa)]]*1000*ECF[[#This Row],[NSPT]])</f>
        <v>128</v>
      </c>
      <c r="P177" s="4">
        <f>IF(ECF[[#This Row],[Prof. (m)]]=0,0,(ECF[[#This Row],[K (MPa)]]*1000*ECF[[#This Row],[NSPT]]/ECF[[#This Row],[F1]]*ECF[[#This Row],[Ap (m²)]]+ECF[[#This Row],[U (m)]]/ECF[[#This Row],[F2]]*SUMIFS(ECF[(α∙K∙NL∙ΔL)],ECF[Prof. (m)],"&lt;="&amp;ECF[[#This Row],[Prof. (m)]],ECF[idDiâmetro],ECF[[#This Row],[idDiâmetro]],ECF[idPilar],ECF[[#This Row],[idPilar]]))/'DADOS CAP. CARGA'!$D$2)</f>
        <v>1985.4865570687493</v>
      </c>
      <c r="Q177" s="12">
        <f>INDEX(C_alpha_beta[],MATCH(ECF[[#This Row],[Solo]],C_alpha_beta[Solo],0),MATCH(ECF[[#Headers],[C (kPa)]],C_alpha_beta[#Headers],0))</f>
        <v>400</v>
      </c>
      <c r="R177" s="4">
        <f>INDEX(C_alpha_beta[],MATCH(ECF[[#This Row],[Solo]],C_alpha_beta[Solo],0),MATCH(ECF[[#Headers],[α ESF]],C_alpha_beta[#Headers],0))</f>
        <v>0.5</v>
      </c>
      <c r="S177" s="4">
        <f>INDEX(C_alpha_beta[],MATCH(ECF[[#This Row],[Solo]],C_alpha_beta[Solo],0),MATCH(ECF[[#Headers],[β ESF]],C_alpha_beta[#Headers],0))</f>
        <v>0.5</v>
      </c>
      <c r="T177" s="4">
        <f>IF(ECF[[#This Row],[Prof. (m)]]=0,0,10*(ECF[[#This Row],[NSPT]]/3+1))</f>
        <v>36.666666666666664</v>
      </c>
      <c r="U177" s="4">
        <f>(ECF[[#This Row],[α ESF]]*ECF[[#This Row],[C (kPa)]]*ECF[[#This Row],[NSPT]]*ECF[[#This Row],[Ap (m²)]])/'DADOS CAP. CARGA'!$Q$2+(ECF[[#This Row],[β ESF]]*SUMIFS(ECF[10∙(NL/3+1)],ECF[Prof. (m)],"&lt;="&amp;ECF[[#This Row],[Prof. (m)]],ECF[idDiâmetro],ECF[[#This Row],[idDiâmetro]],ECF[idPilar],ECF[[#This Row],[idPilar]])*ECF[[#This Row],[U (m)]])/'DADOS CAP. CARGA'!$S$2</f>
        <v>816.81408993334617</v>
      </c>
      <c r="V177" s="4">
        <f>IF(SPT!$M$5=1,MIN(ECF[[#This Row],[Pe ECF (kN)]],ECF[[#This Row],[R_AV (kN)]]),IF(SPT!$M$5=2,MIN(ECF[[#This Row],[Pe ECF (kN)]],ECF[[#This Row],[R_DC (kN)]]),MIN(ECF[[#This Row],[Pe ECF (kN)]],ECF[[#This Row],[R_AV (kN)]],ECF[[#This Row],[R_DC (kN)]])))</f>
        <v>816.81408993334617</v>
      </c>
      <c r="W177" s="4">
        <f>INDEX(PILARES[],ECF[[#This Row],[idPilar]],MATCH("Carga (kN)",PILARES[#Headers],0))*1.4</f>
        <v>3500</v>
      </c>
      <c r="X177" s="12">
        <f>INDEX(PILARES[],ECF[[#This Row],[idPilar]],MATCH(ECF[[#Headers],[ap (cm)]],PILARES[#Headers],0))</f>
        <v>60</v>
      </c>
      <c r="Y177" s="12">
        <f>INDEX(PILARES[],ECF[[#This Row],[idPilar]],MATCH(ECF[[#Headers],[bp (cm)]],PILARES[#Headers],0))</f>
        <v>60</v>
      </c>
      <c r="Z177" s="4">
        <f>SQRT(ECF[[#This Row],[ap (cm)]]*ECF[[#This Row],[bp (cm)]])</f>
        <v>60</v>
      </c>
      <c r="AA177" s="12">
        <f>ECF[[#This Row],[ap (cm)]]*ECF[[#This Row],[bp (cm)]]</f>
        <v>3600</v>
      </c>
      <c r="AB177" s="12">
        <f ca="1">IF(ECF[[#This Row],[Padm∙ε (kN)]]&gt;=ECF[[#This Row],[Padm (kN)]],ROUNDUP(1.05*ECF[[#This Row],[Nsd (kN)]]/ECF[[#This Row],[Padm (kN)]],0),ROUNDUP(1.05*ECF[[#This Row],[Nsd (kN)]]/ECF[[#This Row],[Padm (kN)]],0)+1)</f>
        <v>5</v>
      </c>
      <c r="AC177" s="4" t="str">
        <f ca="1">IFERROR(IF(ECF[[#This Row],[nE]]=1,ECF[[#This Row],[Padm (kN)]],ECF[[#This Row],[Padm (kN)]]*ECF[[#This Row],[nE]]*INDEX(grupoEstacas[],ECF[[#This Row],[nE]],MATCH("ε",grupoEstacas[#Headers],0))),"N.S.")</f>
        <v>N.S.</v>
      </c>
      <c r="AD177" s="4">
        <f ca="1">1.05*ECF[[#This Row],[Nsd (kN)]]/(ECF[[#This Row],[nE]]*PI()*ECF[[#This Row],[Ø (cm)]]^2/4)*10</f>
        <v>0.41592491794681985</v>
      </c>
      <c r="AE177" s="4">
        <f ca="1">IF(ECF[[#This Row],[σ (MPa)]]&lt;INDEX(tipoEstaca[],MATCH($D$2,tipoEstaca[TIPO DE ESTACA],0),MATCH("σmáx (MPa)",tipoEstaca[#Headers],0)),0.4%*PI()*ECF[[#This Row],[Ø (cm)]]^2/4,"N.S.")</f>
        <v>70.685834705770347</v>
      </c>
      <c r="AF177" s="1">
        <f>INDEX(tipoEstaca[],MATCH($D$2,tipoEstaca[TIPO DE ESTACA],0),MATCH(ECF[[#Headers],[Comprimento (m)]],tipoEstaca[#Headers],0))</f>
        <v>4</v>
      </c>
      <c r="AG177" s="5">
        <f ca="1">ECF[[#This Row],[As,mín (cm²)]]/100^2*ECF[[#This Row],[Comprimento (m)]]*7850</f>
        <v>221.95352097611888</v>
      </c>
      <c r="AH177" s="4">
        <f ca="1">ECF[[#This Row],[nE]]*ECF[[#This Row],[Prof. (m)]]*ECF[[#This Row],[Ap (m²)]]</f>
        <v>35.342917352885173</v>
      </c>
      <c r="AI177" s="1">
        <f ca="1">IF(ECF[[#This Row],[nE]]=1,0,MAX(3*ECF[[#This Row],[Ø (cm)]],60))</f>
        <v>450</v>
      </c>
      <c r="AJ177" s="1">
        <f ca="1">IF(ECF[[#This Row],[nE]]=1,ECF[[#This Row],[Ø (cm)]]+2*10,MAX(1.5*ECF[[#This Row],[Ø (cm)]],ECF[[#This Row],[Ø (cm)]]+15))</f>
        <v>225</v>
      </c>
      <c r="AK177" s="1" t="str">
        <f ca="1">alturaUtil(ECF[[#This Row],[nE]],ECF[[#This Row],[Ø (cm)]],ECF[[#This Row],[e (cm)]],ECF[[#This Row],[ap,eq (cm)]])</f>
        <v>N.S.</v>
      </c>
      <c r="AL177" s="1" t="str">
        <f ca="1">IFERROR(ECF[[#This Row],[d (cm)]]+arredondarParaCimaMultiplo5cm(MAX(5,SQRT(PI())/2*ECF[[#This Row],[Ø (cm)]]/5)),"N.S.")</f>
        <v>N.S.</v>
      </c>
      <c r="AM177" s="5" t="str">
        <f ca="1">alpha(ECF[[#This Row],[nE]],ECF[[#This Row],[d (cm)]],ECF[[#This Row],[e (cm)]],ECF[[#This Row],[ap,eq (cm)]])</f>
        <v>N.S.</v>
      </c>
      <c r="AN177" s="35" t="str">
        <f ca="1">IFERROR(ECF[[#This Row],[Nsd (kN)]]/(ECF[[#This Row],[Ap (cm²)]]*SIN(ECF[[#This Row],[α]])^2),"N.S.")</f>
        <v>N.S.</v>
      </c>
      <c r="AO177" s="35" t="str">
        <f ca="1">IFERROR(ECF[[#This Row],[Nsd (kN)]]/(ECF[[#This Row],[nE]]*PI()*ECF[[#This Row],[Ø (cm)]]^2/4*SIN(ECF[[#This Row],[α]])^2),"N.S.")</f>
        <v>N.S.</v>
      </c>
      <c r="AP177" s="4" t="str">
        <f ca="1">IFERROR(INDEX(grupoEstacas[],ECF[[#This Row],[nE]],MATCH("coef. Blévot",grupoEstacas[#Headers],0)),"N.S.")</f>
        <v>N.S.</v>
      </c>
      <c r="AQ177" s="35" t="str">
        <f ca="1">IFERROR(ECF[[#This Row],[coef. Blévot]]*0.9*INDEX(tipoEstaca[],MATCH($D$2,tipoEstaca[TIPO DE ESTACA],0),MATCH("fcd (kN/cm²)",tipoEstaca[#Headers],0)),"N.S.")</f>
        <v>N.S.</v>
      </c>
      <c r="AR177" s="1" t="str">
        <f ca="1">IF(AND(ECF[[#This Row],[cd,b,pil (kN/cm²)]]&lt;=ECF[[#This Row],[cd,b,lim (kN/cm²)]],ECF[[#This Row],[cd,b,est (kN/cm²)]]&lt;=ECF[[#This Row],[cd,b,lim (kN/cm²)]]),"OK","ERRO")</f>
        <v>OK</v>
      </c>
      <c r="AS177" s="4" t="str">
        <f ca="1">As_lado(ECF[[#This Row],[nE]],ECF[[#This Row],[Nsd (kN)]],ECF[[#This Row],[d (cm)]],ECF[[#This Row],[e (cm)]],ECF[[#This Row],[ap,eq (cm)]])</f>
        <v>N.S.</v>
      </c>
      <c r="AT177" s="4" t="str">
        <f ca="1">IF(ECF[[#This Row],[nE]]=1,ECF[[#This Row],[As,lado (cm²)]],IF(ECF[[#This Row],[nE]]=2,0.075*2*ECF[a (cm)],"N.A."))</f>
        <v>N.A.</v>
      </c>
      <c r="AU177" s="4" t="str">
        <f ca="1">IFERROR(IF(ECF[[#This Row],[nE]]=1,"N.A.",0.2*ECF[[#This Row],[As,lado (cm²)]]),"N.S.")</f>
        <v>N.S.</v>
      </c>
      <c r="AV177" s="4" t="str">
        <f ca="1">As_malha(ECF[[#This Row],[nE]],ECF[[#This Row],[As,lado (cm²)]],ECF[[#This Row],[Nsd (kN)]])</f>
        <v>N.S.</v>
      </c>
      <c r="AW177" s="4" t="str">
        <f ca="1">As_susp_tot(ECF[[#This Row],[nE]],ECF[[#This Row],[Nsd (kN)]])</f>
        <v>N.S.</v>
      </c>
      <c r="AX177" s="4" t="str">
        <f ca="1">Asp_face(ECF[[#This Row],[nE]],ECF[[#This Row],[As,lado (cm²)]])</f>
        <v>N.S.</v>
      </c>
      <c r="AY177" s="5" t="str">
        <f ca="1">acoBloco(ECF[[#This Row],[nE]],ECF[[#This Row],[e (cm)]],ECF[[#This Row],[a (cm)]],ECF[[#This Row],[h (cm)]],ECF[[#This Row],[As,lado (cm²)]],ECF[[#This Row],[Asp e Asw (cm²/m)]],ECF[[#This Row],[As,sup (cm²)]],ECF[[#This Row],[As,malha (cm²)]],ECF[[#This Row],[As,susp,tot (cm²)]],ECF[[#This Row],[Asp,face (cm²)]])</f>
        <v>N.S.</v>
      </c>
      <c r="AZ177" s="4" t="str">
        <f ca="1">concretoBloco(ECF[[#This Row],[nE]],ECF[[#This Row],[e (cm)]],ECF[[#This Row],[a (cm)]],ECF[[#This Row],[h (cm)]])</f>
        <v>N.S.</v>
      </c>
      <c r="BA177" s="5">
        <f ca="1">SUM(ECF[[#This Row],[Aço Est (kg)]],ECF[[#This Row],[Aço Bloco (kg)]])</f>
        <v>221.95352097611888</v>
      </c>
      <c r="BB177" s="4">
        <f>INDEX(composicoes[],MATCH(95580,composicoes[CÓDIGO],0),MATCH("CUSTO TOTAL",composicoes[#Headers],0))</f>
        <v>10.46</v>
      </c>
      <c r="BC177" s="4">
        <f ca="1">SUM(ECF[[#This Row],[Conc Est (m³)]],ECF[[#This Row],[Conc Bloco (m³)]])</f>
        <v>35.342917352885173</v>
      </c>
      <c r="BD177" s="4">
        <f>INDEX(composicoes[],MATCH(94966,composicoes[CÓDIGO],0),MATCH("CUSTO TOTAL",composicoes[#Headers],0))</f>
        <v>439.52</v>
      </c>
      <c r="BE177" s="38">
        <f ca="1">ECF[[#This Row],[Aço (kg)]]*ECF[[#This Row],[Aço (R$/kg)]]+ECF[[#This Row],[Conc (m³)]]*ECF[[#This Row],[Conc (R$/m³)]]</f>
        <v>17855.552864350295</v>
      </c>
      <c r="BF177" s="4" t="str">
        <f ca="1">IF(COUNTIF(ECF[#This Row],"N.S.")&gt;0,"lim.","OK")</f>
        <v>lim.</v>
      </c>
      <c r="BG177" s="4" t="str">
        <f>IF(ECF[[#This Row],[Prof. (m)]]&lt;4,"lim.","OK")</f>
        <v>OK</v>
      </c>
      <c r="BH177" s="4" t="str">
        <f>IF(ECF[[#This Row],[Prof. (m)]]&gt;=8*ECF[[#This Row],[Ø (cm)]]/100,"OK","lim.")</f>
        <v>lim.</v>
      </c>
      <c r="BI177" s="4" t="str">
        <f>IF(AND(SPT!$F$3&lt;&gt;"",ECF[[#This Row],[Prof. (m)]]&gt;=SPT!$F$3-2),"lim.","OK")</f>
        <v>OK</v>
      </c>
      <c r="BJ177" s="4" t="str">
        <f ca="1">IF(ECF[[#This Row],[Verif. Biela]]="OK","OK","lim.")</f>
        <v>OK</v>
      </c>
      <c r="BK177" s="4" t="str">
        <f ca="1">IF(COUNTA(ECF[[#This Row],[Nº Est.]:[Biela comp.]])=COUNTIF(ECF[[#This Row],[Nº Est.]:[Biela comp.]],"OK"),"OK","lim.")</f>
        <v>lim.</v>
      </c>
      <c r="BL177" s="4" t="str">
        <f ca="1">IF(ECF[[#This Row],[Controle]]="OK",ECF[[#This Row],[nE]]&amp;" Ø"&amp;ECF[[#This Row],[Ø (cm)]]&amp;"cm Prof. "&amp;ECF[[#This Row],[Prof. (m)]]&amp;" m","")</f>
        <v/>
      </c>
      <c r="BM177" s="4" t="str">
        <f ca="1">IF(ECF[[#This Row],[idDimensionamento]]="","",ECF[[#This Row],[idPilar]]&amp;ECF[[#This Row],[idDimensionamento]])</f>
        <v/>
      </c>
    </row>
    <row r="178" spans="2:65" x14ac:dyDescent="0.25">
      <c r="B178" s="12">
        <f>ROUNDUP((ROW(ECF[[#This Row],[idDiâmetro]])-ROW(ECF[[#Headers],[idDiâmetro]]))/(COUNT(SPT[Prof. (m)])*COUNT(PILARES[Pilar])),0)</f>
        <v>7</v>
      </c>
      <c r="C178" s="12">
        <f>IF(ECF[[#This Row],[idDiâmetro]]&lt;&gt;B177,1,IF(ECF[[#This Row],[Prof. (m)]]=0,C177+1,C177))</f>
        <v>1</v>
      </c>
      <c r="D178" s="1">
        <f>IFERROR(IF(D177=MAX(SPT[Prof. (m)]),0,D177+1),0)</f>
        <v>5</v>
      </c>
      <c r="E178" s="1">
        <f>INDEX(SPT[],MATCH(ECF[[#This Row],[Prof. (m)]],SPT[Prof. (m)],0),2)</f>
        <v>17</v>
      </c>
      <c r="F178" s="1" t="str">
        <f>INDEX(SPT[],MATCH(ECF[[#This Row],[Prof. (m)]],SPT[Prof. (m)],0),3)</f>
        <v>Areia siltosa</v>
      </c>
      <c r="G178" s="1">
        <f>INDEX(estacas[],ECF[[#This Row],[idDiâmetro]],MATCH($B$2,estacas[#Headers],0))</f>
        <v>150</v>
      </c>
      <c r="H178" s="1">
        <f>INDEX(estacas[],MATCH(ECF[[#This Row],[Ø (cm)]],estacas[Ø ECF (cm)],0),MATCH(ECF[[#Headers],[Pe ECF (kN)]],estacas[#Headers],0))</f>
        <v>7100</v>
      </c>
      <c r="I178" s="4">
        <f>INDEX(K_alpha_C[],MATCH(ECF[[#This Row],[Solo]],K_alpha_C[Solo],0),2)</f>
        <v>0.8</v>
      </c>
      <c r="J178" s="5">
        <f>INDEX(K_alpha_C[],MATCH(ECF[[#This Row],[Solo]],K_alpha_C[Solo],0),3)</f>
        <v>2</v>
      </c>
      <c r="K178" s="4">
        <f>INDEX(F1_F2[],MATCH($D$2,F1_F2[Tipo de estaca],0),2)</f>
        <v>3</v>
      </c>
      <c r="L178" s="4">
        <f>INDEX(F1_F2[],MATCH($D$2,F1_F2[Tipo de estaca],0),3)</f>
        <v>6</v>
      </c>
      <c r="M178" s="4">
        <f>PI()*(ECF[[#This Row],[Ø (cm)]]/100)^2/4</f>
        <v>1.7671458676442586</v>
      </c>
      <c r="N178" s="4">
        <f>PI()*ECF[[#This Row],[Ø (cm)]]/100</f>
        <v>4.7123889803846897</v>
      </c>
      <c r="O178" s="4">
        <f>IF(ECF[[#This Row],[Prof. (m)]]=0,0,ECF[[#This Row],[α (%)]]/100*ECF[[#This Row],[K (MPa)]]*1000*ECF[[#This Row],[NSPT]])</f>
        <v>272</v>
      </c>
      <c r="P178" s="4">
        <f>IF(ECF[[#This Row],[Prof. (m)]]=0,0,(ECF[[#This Row],[K (MPa)]]*1000*ECF[[#This Row],[NSPT]]/ECF[[#This Row],[F1]]*ECF[[#This Row],[Ap (m²)]]+ECF[[#This Row],[U (m)]]/ECF[[#This Row],[F2]]*SUMIFS(ECF[(α∙K∙NL∙ΔL)],ECF[Prof. (m)],"&lt;="&amp;ECF[[#This Row],[Prof. (m)]],ECF[idDiâmetro],ECF[[#This Row],[idDiâmetro]],ECF[idPilar],ECF[[#This Row],[idPilar]]))/'DADOS CAP. CARGA'!$D$2)</f>
        <v>4212.8757484639127</v>
      </c>
      <c r="Q178" s="12">
        <f>INDEX(C_alpha_beta[],MATCH(ECF[[#This Row],[Solo]],C_alpha_beta[Solo],0),MATCH(ECF[[#Headers],[C (kPa)]],C_alpha_beta[#Headers],0))</f>
        <v>400</v>
      </c>
      <c r="R178" s="4">
        <f>INDEX(C_alpha_beta[],MATCH(ECF[[#This Row],[Solo]],C_alpha_beta[Solo],0),MATCH(ECF[[#Headers],[α ESF]],C_alpha_beta[#Headers],0))</f>
        <v>0.5</v>
      </c>
      <c r="S178" s="4">
        <f>INDEX(C_alpha_beta[],MATCH(ECF[[#This Row],[Solo]],C_alpha_beta[Solo],0),MATCH(ECF[[#Headers],[β ESF]],C_alpha_beta[#Headers],0))</f>
        <v>0.5</v>
      </c>
      <c r="T178" s="4">
        <f>IF(ECF[[#This Row],[Prof. (m)]]=0,0,10*(ECF[[#This Row],[NSPT]]/3+1))</f>
        <v>66.666666666666671</v>
      </c>
      <c r="U178" s="4">
        <f>(ECF[[#This Row],[α ESF]]*ECF[[#This Row],[C (kPa)]]*ECF[[#This Row],[NSPT]]*ECF[[#This Row],[Ap (m²)]])/'DADOS CAP. CARGA'!$Q$2+(ECF[[#This Row],[β ESF]]*SUMIFS(ECF[10∙(NL/3+1)],ECF[Prof. (m)],"&lt;="&amp;ECF[[#This Row],[Prof. (m)]],ECF[idDiâmetro],ECF[[#This Row],[idDiâmetro]],ECF[idPilar],ECF[[#This Row],[idPilar]])*ECF[[#This Row],[U (m)]])/'DADOS CAP. CARGA'!$S$2</f>
        <v>1690.5695467130074</v>
      </c>
      <c r="V178" s="4">
        <f>IF(SPT!$M$5=1,MIN(ECF[[#This Row],[Pe ECF (kN)]],ECF[[#This Row],[R_AV (kN)]]),IF(SPT!$M$5=2,MIN(ECF[[#This Row],[Pe ECF (kN)]],ECF[[#This Row],[R_DC (kN)]]),MIN(ECF[[#This Row],[Pe ECF (kN)]],ECF[[#This Row],[R_AV (kN)]],ECF[[#This Row],[R_DC (kN)]])))</f>
        <v>1690.5695467130074</v>
      </c>
      <c r="W178" s="4">
        <f>INDEX(PILARES[],ECF[[#This Row],[idPilar]],MATCH("Carga (kN)",PILARES[#Headers],0))*1.4</f>
        <v>3500</v>
      </c>
      <c r="X178" s="12">
        <f>INDEX(PILARES[],ECF[[#This Row],[idPilar]],MATCH(ECF[[#Headers],[ap (cm)]],PILARES[#Headers],0))</f>
        <v>60</v>
      </c>
      <c r="Y178" s="12">
        <f>INDEX(PILARES[],ECF[[#This Row],[idPilar]],MATCH(ECF[[#Headers],[bp (cm)]],PILARES[#Headers],0))</f>
        <v>60</v>
      </c>
      <c r="Z178" s="4">
        <f>SQRT(ECF[[#This Row],[ap (cm)]]*ECF[[#This Row],[bp (cm)]])</f>
        <v>60</v>
      </c>
      <c r="AA178" s="12">
        <f>ECF[[#This Row],[ap (cm)]]*ECF[[#This Row],[bp (cm)]]</f>
        <v>3600</v>
      </c>
      <c r="AB178" s="12">
        <f ca="1">IF(ECF[[#This Row],[Padm∙ε (kN)]]&gt;=ECF[[#This Row],[Padm (kN)]],ROUNDUP(1.05*ECF[[#This Row],[Nsd (kN)]]/ECF[[#This Row],[Padm (kN)]],0),ROUNDUP(1.05*ECF[[#This Row],[Nsd (kN)]]/ECF[[#This Row],[Padm (kN)]],0)+1)</f>
        <v>3</v>
      </c>
      <c r="AC178" s="4">
        <f ca="1">IFERROR(IF(ECF[[#This Row],[nE]]=1,ECF[[#This Row],[Padm (kN)]],ECF[[#This Row],[Padm (kN)]]*ECF[[#This Row],[nE]]*INDEX(grupoEstacas[],ECF[[#This Row],[nE]],MATCH("ε",grupoEstacas[#Headers],0))),"N.S.")</f>
        <v>4437.7450601216442</v>
      </c>
      <c r="AD178" s="4">
        <f ca="1">1.05*ECF[[#This Row],[Nsd (kN)]]/(ECF[[#This Row],[nE]]*PI()*ECF[[#This Row],[Ø (cm)]]^2/4)*10</f>
        <v>0.69320819657803301</v>
      </c>
      <c r="AE178" s="4">
        <f ca="1">IF(ECF[[#This Row],[σ (MPa)]]&lt;INDEX(tipoEstaca[],MATCH($D$2,tipoEstaca[TIPO DE ESTACA],0),MATCH("σmáx (MPa)",tipoEstaca[#Headers],0)),0.4%*PI()*ECF[[#This Row],[Ø (cm)]]^2/4,"N.S.")</f>
        <v>70.685834705770347</v>
      </c>
      <c r="AF178" s="1">
        <f>INDEX(tipoEstaca[],MATCH($D$2,tipoEstaca[TIPO DE ESTACA],0),MATCH(ECF[[#Headers],[Comprimento (m)]],tipoEstaca[#Headers],0))</f>
        <v>4</v>
      </c>
      <c r="AG178" s="5">
        <f ca="1">ECF[[#This Row],[As,mín (cm²)]]/100^2*ECF[[#This Row],[Comprimento (m)]]*7850</f>
        <v>221.95352097611888</v>
      </c>
      <c r="AH178" s="4">
        <f ca="1">ECF[[#This Row],[nE]]*ECF[[#This Row],[Prof. (m)]]*ECF[[#This Row],[Ap (m²)]]</f>
        <v>26.507188014663878</v>
      </c>
      <c r="AI178" s="1">
        <f ca="1">IF(ECF[[#This Row],[nE]]=1,0,MAX(3*ECF[[#This Row],[Ø (cm)]],60))</f>
        <v>450</v>
      </c>
      <c r="AJ178" s="1">
        <f ca="1">IF(ECF[[#This Row],[nE]]=1,ECF[[#This Row],[Ø (cm)]]+2*10,MAX(1.5*ECF[[#This Row],[Ø (cm)]],ECF[[#This Row],[Ø (cm)]]+15))</f>
        <v>225</v>
      </c>
      <c r="AK178" s="1">
        <f ca="1">alturaUtil(ECF[[#This Row],[nE]],ECF[[#This Row],[Ø (cm)]],ECF[[#This Row],[e (cm)]],ECF[[#This Row],[ap,eq (cm)]])</f>
        <v>210</v>
      </c>
      <c r="AL178" s="1">
        <f ca="1">IFERROR(ECF[[#This Row],[d (cm)]]+arredondarParaCimaMultiplo5cm(MAX(5,SQRT(PI())/2*ECF[[#This Row],[Ø (cm)]]/5)),"N.S.")</f>
        <v>240</v>
      </c>
      <c r="AM178" s="5">
        <f ca="1">alpha(ECF[[#This Row],[nE]],ECF[[#This Row],[d (cm)]],ECF[[#This Row],[e (cm)]],ECF[[#This Row],[ap,eq (cm)]])</f>
        <v>45.412192741402322</v>
      </c>
      <c r="AN178" s="35">
        <f ca="1">IFERROR(ECF[[#This Row],[Nsd (kN)]]/(ECF[[#This Row],[Ap (cm²)]]*SIN(ECF[[#This Row],[α]])^2),"N.S.")</f>
        <v>0.99178213341277677</v>
      </c>
      <c r="AO178" s="35">
        <f ca="1">IFERROR(ECF[[#This Row],[Nsd (kN)]]/(ECF[[#This Row],[nE]]*PI()*ECF[[#This Row],[Ø (cm)]]^2/4*SIN(ECF[[#This Row],[α]])^2),"N.S.")</f>
        <v>6.7348065707890786E-2</v>
      </c>
      <c r="AP178" s="4">
        <f ca="1">IFERROR(INDEX(grupoEstacas[],ECF[[#This Row],[nE]],MATCH("coef. Blévot",grupoEstacas[#Headers],0)),"N.S.")</f>
        <v>1.75</v>
      </c>
      <c r="AQ178" s="35">
        <f ca="1">IFERROR(ECF[[#This Row],[coef. Blévot]]*0.9*INDEX(tipoEstaca[],MATCH($D$2,tipoEstaca[TIPO DE ESTACA],0),MATCH("fcd (kN/cm²)",tipoEstaca[#Headers],0)),"N.S.")</f>
        <v>1.75</v>
      </c>
      <c r="AR178" s="1" t="str">
        <f ca="1">IF(AND(ECF[[#This Row],[cd,b,pil (kN/cm²)]]&lt;=ECF[[#This Row],[cd,b,lim (kN/cm²)]],ECF[[#This Row],[cd,b,est (kN/cm²)]]&lt;=ECF[[#This Row],[cd,b,lim (kN/cm²)]]),"OK","ERRO")</f>
        <v>OK</v>
      </c>
      <c r="AS178" s="4">
        <f ca="1">As_lado(ECF[[#This Row],[nE]],ECF[[#This Row],[Nsd (kN)]],ECF[[#This Row],[d (cm)]],ECF[[#This Row],[e (cm)]],ECF[[#This Row],[ap,eq (cm)]])</f>
        <v>17.838761047530525</v>
      </c>
      <c r="AT178" s="4" t="str">
        <f ca="1">IF(ECF[[#This Row],[nE]]=1,ECF[[#This Row],[As,lado (cm²)]],IF(ECF[[#This Row],[nE]]=2,0.075*2*ECF[a (cm)],"N.A."))</f>
        <v>N.A.</v>
      </c>
      <c r="AU178" s="4">
        <f ca="1">IFERROR(IF(ECF[[#This Row],[nE]]=1,"N.A.",0.2*ECF[[#This Row],[As,lado (cm²)]]),"N.S.")</f>
        <v>3.5677522095061054</v>
      </c>
      <c r="AV178" s="4">
        <f ca="1">As_malha(ECF[[#This Row],[nE]],ECF[[#This Row],[As,lado (cm²)]],ECF[[#This Row],[Nsd (kN)]])</f>
        <v>5.9629629629629619</v>
      </c>
      <c r="AW178" s="4">
        <f ca="1">As_susp_tot(ECF[[#This Row],[nE]],ECF[[#This Row],[Nsd (kN)]])</f>
        <v>17.888888888888886</v>
      </c>
      <c r="AX178" s="4">
        <f ca="1">Asp_face(ECF[[#This Row],[nE]],ECF[[#This Row],[As,lado (cm²)]])</f>
        <v>6.6895353928239469</v>
      </c>
      <c r="AY178" s="5">
        <f ca="1">acoBloco(ECF[[#This Row],[nE]],ECF[[#This Row],[e (cm)]],ECF[[#This Row],[a (cm)]],ECF[[#This Row],[h (cm)]],ECF[[#This Row],[As,lado (cm²)]],ECF[[#This Row],[Asp e Asw (cm²/m)]],ECF[[#This Row],[As,sup (cm²)]],ECF[[#This Row],[As,malha (cm²)]],ECF[[#This Row],[As,susp,tot (cm²)]],ECF[[#This Row],[Asp,face (cm²)]])</f>
        <v>793.92931403056411</v>
      </c>
      <c r="AZ178" s="4">
        <f ca="1">concretoBloco(ECF[[#This Row],[nE]],ECF[[#This Row],[e (cm)]],ECF[[#This Row],[a (cm)]],ECF[[#This Row],[h (cm)]])</f>
        <v>136.03325193588557</v>
      </c>
      <c r="BA178" s="5">
        <f ca="1">SUM(ECF[[#This Row],[Aço Est (kg)]],ECF[[#This Row],[Aço Bloco (kg)]])</f>
        <v>1015.882835006683</v>
      </c>
      <c r="BB178" s="4">
        <f>INDEX(composicoes[],MATCH(95580,composicoes[CÓDIGO],0),MATCH("CUSTO TOTAL",composicoes[#Headers],0))</f>
        <v>10.46</v>
      </c>
      <c r="BC178" s="4">
        <f ca="1">SUM(ECF[[#This Row],[Conc Est (m³)]],ECF[[#This Row],[Conc Bloco (m³)]])</f>
        <v>162.54043995054946</v>
      </c>
      <c r="BD178" s="4">
        <f>INDEX(composicoes[],MATCH(94966,composicoes[CÓDIGO],0),MATCH("CUSTO TOTAL",composicoes[#Headers],0))</f>
        <v>439.52</v>
      </c>
      <c r="BE178" s="38">
        <f ca="1">ECF[[#This Row],[Aço (kg)]]*ECF[[#This Row],[Aço (R$/kg)]]+ECF[[#This Row],[Conc (m³)]]*ECF[[#This Row],[Conc (R$/m³)]]</f>
        <v>82065.908621235401</v>
      </c>
      <c r="BF178" s="4" t="str">
        <f ca="1">IF(COUNTIF(ECF[#This Row],"N.S.")&gt;0,"lim.","OK")</f>
        <v>OK</v>
      </c>
      <c r="BG178" s="4" t="str">
        <f>IF(ECF[[#This Row],[Prof. (m)]]&lt;4,"lim.","OK")</f>
        <v>OK</v>
      </c>
      <c r="BH178" s="4" t="str">
        <f>IF(ECF[[#This Row],[Prof. (m)]]&gt;=8*ECF[[#This Row],[Ø (cm)]]/100,"OK","lim.")</f>
        <v>lim.</v>
      </c>
      <c r="BI178" s="4" t="str">
        <f>IF(AND(SPT!$F$3&lt;&gt;"",ECF[[#This Row],[Prof. (m)]]&gt;=SPT!$F$3-2),"lim.","OK")</f>
        <v>OK</v>
      </c>
      <c r="BJ178" s="4" t="str">
        <f ca="1">IF(ECF[[#This Row],[Verif. Biela]]="OK","OK","lim.")</f>
        <v>OK</v>
      </c>
      <c r="BK178" s="4" t="str">
        <f ca="1">IF(COUNTA(ECF[[#This Row],[Nº Est.]:[Biela comp.]])=COUNTIF(ECF[[#This Row],[Nº Est.]:[Biela comp.]],"OK"),"OK","lim.")</f>
        <v>lim.</v>
      </c>
      <c r="BL178" s="4" t="str">
        <f ca="1">IF(ECF[[#This Row],[Controle]]="OK",ECF[[#This Row],[nE]]&amp;" Ø"&amp;ECF[[#This Row],[Ø (cm)]]&amp;"cm Prof. "&amp;ECF[[#This Row],[Prof. (m)]]&amp;" m","")</f>
        <v/>
      </c>
      <c r="BM178" s="4" t="str">
        <f ca="1">IF(ECF[[#This Row],[idDimensionamento]]="","",ECF[[#This Row],[idPilar]]&amp;ECF[[#This Row],[idDimensionamento]])</f>
        <v/>
      </c>
    </row>
    <row r="179" spans="2:65" x14ac:dyDescent="0.25">
      <c r="B179" s="12">
        <f>ROUNDUP((ROW(ECF[[#This Row],[idDiâmetro]])-ROW(ECF[[#Headers],[idDiâmetro]]))/(COUNT(SPT[Prof. (m)])*COUNT(PILARES[Pilar])),0)</f>
        <v>7</v>
      </c>
      <c r="C179" s="12">
        <f>IF(ECF[[#This Row],[idDiâmetro]]&lt;&gt;B178,1,IF(ECF[[#This Row],[Prof. (m)]]=0,C178+1,C178))</f>
        <v>1</v>
      </c>
      <c r="D179" s="1">
        <f>IFERROR(IF(D178=MAX(SPT[Prof. (m)]),0,D178+1),0)</f>
        <v>6</v>
      </c>
      <c r="E179" s="1">
        <f>INDEX(SPT[],MATCH(ECF[[#This Row],[Prof. (m)]],SPT[Prof. (m)],0),2)</f>
        <v>21</v>
      </c>
      <c r="F179" s="1" t="str">
        <f>INDEX(SPT[],MATCH(ECF[[#This Row],[Prof. (m)]],SPT[Prof. (m)],0),3)</f>
        <v>Silte arenoso</v>
      </c>
      <c r="G179" s="1">
        <f>INDEX(estacas[],ECF[[#This Row],[idDiâmetro]],MATCH($B$2,estacas[#Headers],0))</f>
        <v>150</v>
      </c>
      <c r="H179" s="1">
        <f>INDEX(estacas[],MATCH(ECF[[#This Row],[Ø (cm)]],estacas[Ø ECF (cm)],0),MATCH(ECF[[#Headers],[Pe ECF (kN)]],estacas[#Headers],0))</f>
        <v>7100</v>
      </c>
      <c r="I179" s="4">
        <f>INDEX(K_alpha_C[],MATCH(ECF[[#This Row],[Solo]],K_alpha_C[Solo],0),2)</f>
        <v>0.55000000000000004</v>
      </c>
      <c r="J179" s="5">
        <f>INDEX(K_alpha_C[],MATCH(ECF[[#This Row],[Solo]],K_alpha_C[Solo],0),3)</f>
        <v>2.2000000000000002</v>
      </c>
      <c r="K179" s="4">
        <f>INDEX(F1_F2[],MATCH($D$2,F1_F2[Tipo de estaca],0),2)</f>
        <v>3</v>
      </c>
      <c r="L179" s="4">
        <f>INDEX(F1_F2[],MATCH($D$2,F1_F2[Tipo de estaca],0),3)</f>
        <v>6</v>
      </c>
      <c r="M179" s="4">
        <f>PI()*(ECF[[#This Row],[Ø (cm)]]/100)^2/4</f>
        <v>1.7671458676442586</v>
      </c>
      <c r="N179" s="4">
        <f>PI()*ECF[[#This Row],[Ø (cm)]]/100</f>
        <v>4.7123889803846897</v>
      </c>
      <c r="O179" s="4">
        <f>IF(ECF[[#This Row],[Prof. (m)]]=0,0,ECF[[#This Row],[α (%)]]/100*ECF[[#This Row],[K (MPa)]]*1000*ECF[[#This Row],[NSPT]])</f>
        <v>254.10000000000002</v>
      </c>
      <c r="P179" s="4">
        <f>IF(ECF[[#This Row],[Prof. (m)]]=0,0,(ECF[[#This Row],[K (MPa)]]*1000*ECF[[#This Row],[NSPT]]/ECF[[#This Row],[F1]]*ECF[[#This Row],[Ap (m²)]]+ECF[[#This Row],[U (m)]]/ECF[[#This Row],[F2]]*SUMIFS(ECF[(α∙K∙NL∙ΔL)],ECF[Prof. (m)],"&lt;="&amp;ECF[[#This Row],[Prof. (m)]],ECF[idDiâmetro],ECF[[#This Row],[idDiâmetro]],ECF[idPilar],ECF[[#This Row],[idPilar]]))/'DADOS CAP. CARGA'!$D$2)</f>
        <v>3708.88574701177</v>
      </c>
      <c r="Q179" s="12">
        <f>INDEX(C_alpha_beta[],MATCH(ECF[[#This Row],[Solo]],C_alpha_beta[Solo],0),MATCH(ECF[[#Headers],[C (kPa)]],C_alpha_beta[#Headers],0))</f>
        <v>250</v>
      </c>
      <c r="R179" s="4">
        <f>INDEX(C_alpha_beta[],MATCH(ECF[[#This Row],[Solo]],C_alpha_beta[Solo],0),MATCH(ECF[[#Headers],[α ESF]],C_alpha_beta[#Headers],0))</f>
        <v>0.6</v>
      </c>
      <c r="S179" s="4">
        <f>INDEX(C_alpha_beta[],MATCH(ECF[[#This Row],[Solo]],C_alpha_beta[Solo],0),MATCH(ECF[[#Headers],[β ESF]],C_alpha_beta[#Headers],0))</f>
        <v>0.65</v>
      </c>
      <c r="T179" s="4">
        <f>IF(ECF[[#This Row],[Prof. (m)]]=0,0,10*(ECF[[#This Row],[NSPT]]/3+1))</f>
        <v>80</v>
      </c>
      <c r="U179" s="4">
        <f>(ECF[[#This Row],[α ESF]]*ECF[[#This Row],[C (kPa)]]*ECF[[#This Row],[NSPT]]*ECF[[#This Row],[Ap (m²)]])/'DADOS CAP. CARGA'!$Q$2+(ECF[[#This Row],[β ESF]]*SUMIFS(ECF[10∙(NL/3+1)],ECF[Prof. (m)],"&lt;="&amp;ECF[[#This Row],[Prof. (m)]],ECF[idDiâmetro],ECF[[#This Row],[idDiâmetro]],ECF[idPilar],ECF[[#This Row],[idPilar]])*ECF[[#This Row],[U (m)]])/'DADOS CAP. CARGA'!$S$2</f>
        <v>1759.1937112398596</v>
      </c>
      <c r="V179" s="4">
        <f>IF(SPT!$M$5=1,MIN(ECF[[#This Row],[Pe ECF (kN)]],ECF[[#This Row],[R_AV (kN)]]),IF(SPT!$M$5=2,MIN(ECF[[#This Row],[Pe ECF (kN)]],ECF[[#This Row],[R_DC (kN)]]),MIN(ECF[[#This Row],[Pe ECF (kN)]],ECF[[#This Row],[R_AV (kN)]],ECF[[#This Row],[R_DC (kN)]])))</f>
        <v>1759.1937112398596</v>
      </c>
      <c r="W179" s="4">
        <f>INDEX(PILARES[],ECF[[#This Row],[idPilar]],MATCH("Carga (kN)",PILARES[#Headers],0))*1.4</f>
        <v>3500</v>
      </c>
      <c r="X179" s="12">
        <f>INDEX(PILARES[],ECF[[#This Row],[idPilar]],MATCH(ECF[[#Headers],[ap (cm)]],PILARES[#Headers],0))</f>
        <v>60</v>
      </c>
      <c r="Y179" s="12">
        <f>INDEX(PILARES[],ECF[[#This Row],[idPilar]],MATCH(ECF[[#Headers],[bp (cm)]],PILARES[#Headers],0))</f>
        <v>60</v>
      </c>
      <c r="Z179" s="4">
        <f>SQRT(ECF[[#This Row],[ap (cm)]]*ECF[[#This Row],[bp (cm)]])</f>
        <v>60</v>
      </c>
      <c r="AA179" s="12">
        <f>ECF[[#This Row],[ap (cm)]]*ECF[[#This Row],[bp (cm)]]</f>
        <v>3600</v>
      </c>
      <c r="AB179" s="12">
        <f ca="1">IF(ECF[[#This Row],[Padm∙ε (kN)]]&gt;=ECF[[#This Row],[Padm (kN)]],ROUNDUP(1.05*ECF[[#This Row],[Nsd (kN)]]/ECF[[#This Row],[Padm (kN)]],0),ROUNDUP(1.05*ECF[[#This Row],[Nsd (kN)]]/ECF[[#This Row],[Padm (kN)]],0)+1)</f>
        <v>3</v>
      </c>
      <c r="AC179" s="4">
        <f ca="1">IFERROR(IF(ECF[[#This Row],[nE]]=1,ECF[[#This Row],[Padm (kN)]],ECF[[#This Row],[Padm (kN)]]*ECF[[#This Row],[nE]]*INDEX(grupoEstacas[],ECF[[#This Row],[nE]],MATCH("ε",grupoEstacas[#Headers],0))),"N.S.")</f>
        <v>4617.883492004632</v>
      </c>
      <c r="AD179" s="4">
        <f ca="1">1.05*ECF[[#This Row],[Nsd (kN)]]/(ECF[[#This Row],[nE]]*PI()*ECF[[#This Row],[Ø (cm)]]^2/4)*10</f>
        <v>0.69320819657803301</v>
      </c>
      <c r="AE179" s="4">
        <f ca="1">IF(ECF[[#This Row],[σ (MPa)]]&lt;INDEX(tipoEstaca[],MATCH($D$2,tipoEstaca[TIPO DE ESTACA],0),MATCH("σmáx (MPa)",tipoEstaca[#Headers],0)),0.4%*PI()*ECF[[#This Row],[Ø (cm)]]^2/4,"N.S.")</f>
        <v>70.685834705770347</v>
      </c>
      <c r="AF179" s="1">
        <f>INDEX(tipoEstaca[],MATCH($D$2,tipoEstaca[TIPO DE ESTACA],0),MATCH(ECF[[#Headers],[Comprimento (m)]],tipoEstaca[#Headers],0))</f>
        <v>4</v>
      </c>
      <c r="AG179" s="5">
        <f ca="1">ECF[[#This Row],[As,mín (cm²)]]/100^2*ECF[[#This Row],[Comprimento (m)]]*7850</f>
        <v>221.95352097611888</v>
      </c>
      <c r="AH179" s="4">
        <f ca="1">ECF[[#This Row],[nE]]*ECF[[#This Row],[Prof. (m)]]*ECF[[#This Row],[Ap (m²)]]</f>
        <v>31.808625617596654</v>
      </c>
      <c r="AI179" s="1">
        <f ca="1">IF(ECF[[#This Row],[nE]]=1,0,MAX(3*ECF[[#This Row],[Ø (cm)]],60))</f>
        <v>450</v>
      </c>
      <c r="AJ179" s="1">
        <f ca="1">IF(ECF[[#This Row],[nE]]=1,ECF[[#This Row],[Ø (cm)]]+2*10,MAX(1.5*ECF[[#This Row],[Ø (cm)]],ECF[[#This Row],[Ø (cm)]]+15))</f>
        <v>225</v>
      </c>
      <c r="AK179" s="1">
        <f ca="1">alturaUtil(ECF[[#This Row],[nE]],ECF[[#This Row],[Ø (cm)]],ECF[[#This Row],[e (cm)]],ECF[[#This Row],[ap,eq (cm)]])</f>
        <v>210</v>
      </c>
      <c r="AL179" s="1">
        <f ca="1">IFERROR(ECF[[#This Row],[d (cm)]]+arredondarParaCimaMultiplo5cm(MAX(5,SQRT(PI())/2*ECF[[#This Row],[Ø (cm)]]/5)),"N.S.")</f>
        <v>240</v>
      </c>
      <c r="AM179" s="5">
        <f ca="1">alpha(ECF[[#This Row],[nE]],ECF[[#This Row],[d (cm)]],ECF[[#This Row],[e (cm)]],ECF[[#This Row],[ap,eq (cm)]])</f>
        <v>45.412192741402322</v>
      </c>
      <c r="AN179" s="35">
        <f ca="1">IFERROR(ECF[[#This Row],[Nsd (kN)]]/(ECF[[#This Row],[Ap (cm²)]]*SIN(ECF[[#This Row],[α]])^2),"N.S.")</f>
        <v>0.99178213341277677</v>
      </c>
      <c r="AO179" s="35">
        <f ca="1">IFERROR(ECF[[#This Row],[Nsd (kN)]]/(ECF[[#This Row],[nE]]*PI()*ECF[[#This Row],[Ø (cm)]]^2/4*SIN(ECF[[#This Row],[α]])^2),"N.S.")</f>
        <v>6.7348065707890786E-2</v>
      </c>
      <c r="AP179" s="4">
        <f ca="1">IFERROR(INDEX(grupoEstacas[],ECF[[#This Row],[nE]],MATCH("coef. Blévot",grupoEstacas[#Headers],0)),"N.S.")</f>
        <v>1.75</v>
      </c>
      <c r="AQ179" s="35">
        <f ca="1">IFERROR(ECF[[#This Row],[coef. Blévot]]*0.9*INDEX(tipoEstaca[],MATCH($D$2,tipoEstaca[TIPO DE ESTACA],0),MATCH("fcd (kN/cm²)",tipoEstaca[#Headers],0)),"N.S.")</f>
        <v>1.75</v>
      </c>
      <c r="AR179" s="1" t="str">
        <f ca="1">IF(AND(ECF[[#This Row],[cd,b,pil (kN/cm²)]]&lt;=ECF[[#This Row],[cd,b,lim (kN/cm²)]],ECF[[#This Row],[cd,b,est (kN/cm²)]]&lt;=ECF[[#This Row],[cd,b,lim (kN/cm²)]]),"OK","ERRO")</f>
        <v>OK</v>
      </c>
      <c r="AS179" s="4">
        <f ca="1">As_lado(ECF[[#This Row],[nE]],ECF[[#This Row],[Nsd (kN)]],ECF[[#This Row],[d (cm)]],ECF[[#This Row],[e (cm)]],ECF[[#This Row],[ap,eq (cm)]])</f>
        <v>17.838761047530525</v>
      </c>
      <c r="AT179" s="4" t="str">
        <f ca="1">IF(ECF[[#This Row],[nE]]=1,ECF[[#This Row],[As,lado (cm²)]],IF(ECF[[#This Row],[nE]]=2,0.075*2*ECF[a (cm)],"N.A."))</f>
        <v>N.A.</v>
      </c>
      <c r="AU179" s="4">
        <f ca="1">IFERROR(IF(ECF[[#This Row],[nE]]=1,"N.A.",0.2*ECF[[#This Row],[As,lado (cm²)]]),"N.S.")</f>
        <v>3.5677522095061054</v>
      </c>
      <c r="AV179" s="4">
        <f ca="1">As_malha(ECF[[#This Row],[nE]],ECF[[#This Row],[As,lado (cm²)]],ECF[[#This Row],[Nsd (kN)]])</f>
        <v>5.9629629629629619</v>
      </c>
      <c r="AW179" s="4">
        <f ca="1">As_susp_tot(ECF[[#This Row],[nE]],ECF[[#This Row],[Nsd (kN)]])</f>
        <v>17.888888888888886</v>
      </c>
      <c r="AX179" s="4">
        <f ca="1">Asp_face(ECF[[#This Row],[nE]],ECF[[#This Row],[As,lado (cm²)]])</f>
        <v>6.6895353928239469</v>
      </c>
      <c r="AY179" s="5">
        <f ca="1">acoBloco(ECF[[#This Row],[nE]],ECF[[#This Row],[e (cm)]],ECF[[#This Row],[a (cm)]],ECF[[#This Row],[h (cm)]],ECF[[#This Row],[As,lado (cm²)]],ECF[[#This Row],[Asp e Asw (cm²/m)]],ECF[[#This Row],[As,sup (cm²)]],ECF[[#This Row],[As,malha (cm²)]],ECF[[#This Row],[As,susp,tot (cm²)]],ECF[[#This Row],[Asp,face (cm²)]])</f>
        <v>793.92931403056411</v>
      </c>
      <c r="AZ179" s="4">
        <f ca="1">concretoBloco(ECF[[#This Row],[nE]],ECF[[#This Row],[e (cm)]],ECF[[#This Row],[a (cm)]],ECF[[#This Row],[h (cm)]])</f>
        <v>136.03325193588557</v>
      </c>
      <c r="BA179" s="5">
        <f ca="1">SUM(ECF[[#This Row],[Aço Est (kg)]],ECF[[#This Row],[Aço Bloco (kg)]])</f>
        <v>1015.882835006683</v>
      </c>
      <c r="BB179" s="4">
        <f>INDEX(composicoes[],MATCH(95580,composicoes[CÓDIGO],0),MATCH("CUSTO TOTAL",composicoes[#Headers],0))</f>
        <v>10.46</v>
      </c>
      <c r="BC179" s="4">
        <f ca="1">SUM(ECF[[#This Row],[Conc Est (m³)]],ECF[[#This Row],[Conc Bloco (m³)]])</f>
        <v>167.84187755348222</v>
      </c>
      <c r="BD179" s="4">
        <f>INDEX(composicoes[],MATCH(94966,composicoes[CÓDIGO],0),MATCH("CUSTO TOTAL",composicoes[#Headers],0))</f>
        <v>439.52</v>
      </c>
      <c r="BE179" s="38">
        <f ca="1">ECF[[#This Row],[Aço (kg)]]*ECF[[#This Row],[Aço (R$/kg)]]+ECF[[#This Row],[Conc (m³)]]*ECF[[#This Row],[Conc (R$/m³)]]</f>
        <v>84395.996476476415</v>
      </c>
      <c r="BF179" s="4" t="str">
        <f ca="1">IF(COUNTIF(ECF[#This Row],"N.S.")&gt;0,"lim.","OK")</f>
        <v>OK</v>
      </c>
      <c r="BG179" s="4" t="str">
        <f>IF(ECF[[#This Row],[Prof. (m)]]&lt;4,"lim.","OK")</f>
        <v>OK</v>
      </c>
      <c r="BH179" s="4" t="str">
        <f>IF(ECF[[#This Row],[Prof. (m)]]&gt;=8*ECF[[#This Row],[Ø (cm)]]/100,"OK","lim.")</f>
        <v>lim.</v>
      </c>
      <c r="BI179" s="4" t="str">
        <f>IF(AND(SPT!$F$3&lt;&gt;"",ECF[[#This Row],[Prof. (m)]]&gt;=SPT!$F$3-2),"lim.","OK")</f>
        <v>OK</v>
      </c>
      <c r="BJ179" s="4" t="str">
        <f ca="1">IF(ECF[[#This Row],[Verif. Biela]]="OK","OK","lim.")</f>
        <v>OK</v>
      </c>
      <c r="BK179" s="4" t="str">
        <f ca="1">IF(COUNTA(ECF[[#This Row],[Nº Est.]:[Biela comp.]])=COUNTIF(ECF[[#This Row],[Nº Est.]:[Biela comp.]],"OK"),"OK","lim.")</f>
        <v>lim.</v>
      </c>
      <c r="BL179" s="4" t="str">
        <f ca="1">IF(ECF[[#This Row],[Controle]]="OK",ECF[[#This Row],[nE]]&amp;" Ø"&amp;ECF[[#This Row],[Ø (cm)]]&amp;"cm Prof. "&amp;ECF[[#This Row],[Prof. (m)]]&amp;" m","")</f>
        <v/>
      </c>
      <c r="BM179" s="4" t="str">
        <f ca="1">IF(ECF[[#This Row],[idDimensionamento]]="","",ECF[[#This Row],[idPilar]]&amp;ECF[[#This Row],[idDimensionamento]])</f>
        <v/>
      </c>
    </row>
    <row r="180" spans="2:65" x14ac:dyDescent="0.25">
      <c r="B180" s="12">
        <f>ROUNDUP((ROW(ECF[[#This Row],[idDiâmetro]])-ROW(ECF[[#Headers],[idDiâmetro]]))/(COUNT(SPT[Prof. (m)])*COUNT(PILARES[Pilar])),0)</f>
        <v>7</v>
      </c>
      <c r="C180" s="12">
        <f>IF(ECF[[#This Row],[idDiâmetro]]&lt;&gt;B179,1,IF(ECF[[#This Row],[Prof. (m)]]=0,C179+1,C179))</f>
        <v>1</v>
      </c>
      <c r="D180" s="1">
        <f>IFERROR(IF(D179=MAX(SPT[Prof. (m)]),0,D179+1),0)</f>
        <v>7</v>
      </c>
      <c r="E180" s="1">
        <f>INDEX(SPT[],MATCH(ECF[[#This Row],[Prof. (m)]],SPT[Prof. (m)],0),2)</f>
        <v>8</v>
      </c>
      <c r="F180" s="1" t="str">
        <f>INDEX(SPT[],MATCH(ECF[[#This Row],[Prof. (m)]],SPT[Prof. (m)],0),3)</f>
        <v>Silte arenoso</v>
      </c>
      <c r="G180" s="1">
        <f>INDEX(estacas[],ECF[[#This Row],[idDiâmetro]],MATCH($B$2,estacas[#Headers],0))</f>
        <v>150</v>
      </c>
      <c r="H180" s="1">
        <f>INDEX(estacas[],MATCH(ECF[[#This Row],[Ø (cm)]],estacas[Ø ECF (cm)],0),MATCH(ECF[[#Headers],[Pe ECF (kN)]],estacas[#Headers],0))</f>
        <v>7100</v>
      </c>
      <c r="I180" s="4">
        <f>INDEX(K_alpha_C[],MATCH(ECF[[#This Row],[Solo]],K_alpha_C[Solo],0),2)</f>
        <v>0.55000000000000004</v>
      </c>
      <c r="J180" s="5">
        <f>INDEX(K_alpha_C[],MATCH(ECF[[#This Row],[Solo]],K_alpha_C[Solo],0),3)</f>
        <v>2.2000000000000002</v>
      </c>
      <c r="K180" s="4">
        <f>INDEX(F1_F2[],MATCH($D$2,F1_F2[Tipo de estaca],0),2)</f>
        <v>3</v>
      </c>
      <c r="L180" s="4">
        <f>INDEX(F1_F2[],MATCH($D$2,F1_F2[Tipo de estaca],0),3)</f>
        <v>6</v>
      </c>
      <c r="M180" s="4">
        <f>PI()*(ECF[[#This Row],[Ø (cm)]]/100)^2/4</f>
        <v>1.7671458676442586</v>
      </c>
      <c r="N180" s="4">
        <f>PI()*ECF[[#This Row],[Ø (cm)]]/100</f>
        <v>4.7123889803846897</v>
      </c>
      <c r="O180" s="4">
        <f>IF(ECF[[#This Row],[Prof. (m)]]=0,0,ECF[[#This Row],[α (%)]]/100*ECF[[#This Row],[K (MPa)]]*1000*ECF[[#This Row],[NSPT]])</f>
        <v>96.800000000000011</v>
      </c>
      <c r="P180" s="4">
        <f>IF(ECF[[#This Row],[Prof. (m)]]=0,0,(ECF[[#This Row],[K (MPa)]]*1000*ECF[[#This Row],[NSPT]]/ECF[[#This Row],[F1]]*ECF[[#This Row],[Ap (m²)]]+ECF[[#This Row],[U (m)]]/ECF[[#This Row],[F2]]*SUMIFS(ECF[(α∙K∙NL∙ΔL)],ECF[Prof. (m)],"&lt;="&amp;ECF[[#This Row],[Prof. (m)]],ECF[idDiâmetro],ECF[[#This Row],[idDiâmetro]],ECF[idPilar],ECF[[#This Row],[idPilar]]))/'DADOS CAP. CARGA'!$D$2)</f>
        <v>1641.0501925107983</v>
      </c>
      <c r="Q180" s="12">
        <f>INDEX(C_alpha_beta[],MATCH(ECF[[#This Row],[Solo]],C_alpha_beta[Solo],0),MATCH(ECF[[#Headers],[C (kPa)]],C_alpha_beta[#Headers],0))</f>
        <v>250</v>
      </c>
      <c r="R180" s="4">
        <f>INDEX(C_alpha_beta[],MATCH(ECF[[#This Row],[Solo]],C_alpha_beta[Solo],0),MATCH(ECF[[#Headers],[α ESF]],C_alpha_beta[#Headers],0))</f>
        <v>0.6</v>
      </c>
      <c r="S180" s="4">
        <f>INDEX(C_alpha_beta[],MATCH(ECF[[#This Row],[Solo]],C_alpha_beta[Solo],0),MATCH(ECF[[#Headers],[β ESF]],C_alpha_beta[#Headers],0))</f>
        <v>0.65</v>
      </c>
      <c r="T180" s="4">
        <f>IF(ECF[[#This Row],[Prof. (m)]]=0,0,10*(ECF[[#This Row],[NSPT]]/3+1))</f>
        <v>36.666666666666664</v>
      </c>
      <c r="U180" s="4">
        <f>(ECF[[#This Row],[α ESF]]*ECF[[#This Row],[C (kPa)]]*ECF[[#This Row],[NSPT]]*ECF[[#This Row],[Ap (m²)]])/'DADOS CAP. CARGA'!$Q$2+(ECF[[#This Row],[β ESF]]*SUMIFS(ECF[10∙(NL/3+1)],ECF[Prof. (m)],"&lt;="&amp;ECF[[#This Row],[Prof. (m)]],ECF[idDiâmetro],ECF[[#This Row],[idDiâmetro]],ECF[idPilar],ECF[[#This Row],[idPilar]])*ECF[[#This Row],[U (m)]])/'DADOS CAP. CARGA'!$S$2</f>
        <v>953.86606944620098</v>
      </c>
      <c r="V180" s="4">
        <f>IF(SPT!$M$5=1,MIN(ECF[[#This Row],[Pe ECF (kN)]],ECF[[#This Row],[R_AV (kN)]]),IF(SPT!$M$5=2,MIN(ECF[[#This Row],[Pe ECF (kN)]],ECF[[#This Row],[R_DC (kN)]]),MIN(ECF[[#This Row],[Pe ECF (kN)]],ECF[[#This Row],[R_AV (kN)]],ECF[[#This Row],[R_DC (kN)]])))</f>
        <v>953.86606944620098</v>
      </c>
      <c r="W180" s="4">
        <f>INDEX(PILARES[],ECF[[#This Row],[idPilar]],MATCH("Carga (kN)",PILARES[#Headers],0))*1.4</f>
        <v>3500</v>
      </c>
      <c r="X180" s="12">
        <f>INDEX(PILARES[],ECF[[#This Row],[idPilar]],MATCH(ECF[[#Headers],[ap (cm)]],PILARES[#Headers],0))</f>
        <v>60</v>
      </c>
      <c r="Y180" s="12">
        <f>INDEX(PILARES[],ECF[[#This Row],[idPilar]],MATCH(ECF[[#Headers],[bp (cm)]],PILARES[#Headers],0))</f>
        <v>60</v>
      </c>
      <c r="Z180" s="4">
        <f>SQRT(ECF[[#This Row],[ap (cm)]]*ECF[[#This Row],[bp (cm)]])</f>
        <v>60</v>
      </c>
      <c r="AA180" s="12">
        <f>ECF[[#This Row],[ap (cm)]]*ECF[[#This Row],[bp (cm)]]</f>
        <v>3600</v>
      </c>
      <c r="AB180" s="12">
        <f ca="1">IF(ECF[[#This Row],[Padm∙ε (kN)]]&gt;=ECF[[#This Row],[Padm (kN)]],ROUNDUP(1.05*ECF[[#This Row],[Nsd (kN)]]/ECF[[#This Row],[Padm (kN)]],0),ROUNDUP(1.05*ECF[[#This Row],[Nsd (kN)]]/ECF[[#This Row],[Padm (kN)]],0)+1)</f>
        <v>4</v>
      </c>
      <c r="AC180" s="4">
        <f ca="1">IFERROR(IF(ECF[[#This Row],[nE]]=1,ECF[[#This Row],[Padm (kN)]],ECF[[#This Row],[Padm (kN)]]*ECF[[#This Row],[nE]]*INDEX(grupoEstacas[],ECF[[#This Row],[nE]],MATCH("ε",grupoEstacas[#Headers],0))),"N.S.")</f>
        <v>3100.0647257001533</v>
      </c>
      <c r="AD180" s="4">
        <f ca="1">1.05*ECF[[#This Row],[Nsd (kN)]]/(ECF[[#This Row],[nE]]*PI()*ECF[[#This Row],[Ø (cm)]]^2/4)*10</f>
        <v>0.5199061474335247</v>
      </c>
      <c r="AE180" s="4">
        <f ca="1">IF(ECF[[#This Row],[σ (MPa)]]&lt;INDEX(tipoEstaca[],MATCH($D$2,tipoEstaca[TIPO DE ESTACA],0),MATCH("σmáx (MPa)",tipoEstaca[#Headers],0)),0.4%*PI()*ECF[[#This Row],[Ø (cm)]]^2/4,"N.S.")</f>
        <v>70.685834705770347</v>
      </c>
      <c r="AF180" s="1">
        <f>INDEX(tipoEstaca[],MATCH($D$2,tipoEstaca[TIPO DE ESTACA],0),MATCH(ECF[[#Headers],[Comprimento (m)]],tipoEstaca[#Headers],0))</f>
        <v>4</v>
      </c>
      <c r="AG180" s="5">
        <f ca="1">ECF[[#This Row],[As,mín (cm²)]]/100^2*ECF[[#This Row],[Comprimento (m)]]*7850</f>
        <v>221.95352097611888</v>
      </c>
      <c r="AH180" s="4">
        <f ca="1">ECF[[#This Row],[nE]]*ECF[[#This Row],[Prof. (m)]]*ECF[[#This Row],[Ap (m²)]]</f>
        <v>49.480084294039244</v>
      </c>
      <c r="AI180" s="1">
        <f ca="1">IF(ECF[[#This Row],[nE]]=1,0,MAX(3*ECF[[#This Row],[Ø (cm)]],60))</f>
        <v>450</v>
      </c>
      <c r="AJ180" s="1">
        <f ca="1">IF(ECF[[#This Row],[nE]]=1,ECF[[#This Row],[Ø (cm)]]+2*10,MAX(1.5*ECF[[#This Row],[Ø (cm)]],ECF[[#This Row],[Ø (cm)]]+15))</f>
        <v>225</v>
      </c>
      <c r="AK180" s="1">
        <f ca="1">alturaUtil(ECF[[#This Row],[nE]],ECF[[#This Row],[Ø (cm)]],ECF[[#This Row],[e (cm)]],ECF[[#This Row],[ap,eq (cm)]])</f>
        <v>210</v>
      </c>
      <c r="AL180" s="1">
        <f ca="1">IFERROR(ECF[[#This Row],[d (cm)]]+arredondarParaCimaMultiplo5cm(MAX(5,SQRT(PI())/2*ECF[[#This Row],[Ø (cm)]]/5)),"N.S.")</f>
        <v>240</v>
      </c>
      <c r="AM180" s="5">
        <f ca="1">alpha(ECF[[#This Row],[nE]],ECF[[#This Row],[d (cm)]],ECF[[#This Row],[e (cm)]],ECF[[#This Row],[ap,eq (cm)]])</f>
        <v>45</v>
      </c>
      <c r="AN180" s="35">
        <f ca="1">IFERROR(ECF[[#This Row],[Nsd (kN)]]/(ECF[[#This Row],[Ap (cm²)]]*SIN(ECF[[#This Row],[α]])^2),"N.S.")</f>
        <v>1.3427801064714635</v>
      </c>
      <c r="AO180" s="35">
        <f ca="1">IFERROR(ECF[[#This Row],[Nsd (kN)]]/(ECF[[#This Row],[nE]]*PI()*ECF[[#This Row],[Ø (cm)]]^2/4*SIN(ECF[[#This Row],[α]])^2),"N.S.")</f>
        <v>6.8387229257726376E-2</v>
      </c>
      <c r="AP180" s="4">
        <f ca="1">IFERROR(INDEX(grupoEstacas[],ECF[[#This Row],[nE]],MATCH("coef. Blévot",grupoEstacas[#Headers],0)),"N.S.")</f>
        <v>2.1</v>
      </c>
      <c r="AQ180" s="35">
        <f ca="1">IFERROR(ECF[[#This Row],[coef. Blévot]]*0.9*INDEX(tipoEstaca[],MATCH($D$2,tipoEstaca[TIPO DE ESTACA],0),MATCH("fcd (kN/cm²)",tipoEstaca[#Headers],0)),"N.S.")</f>
        <v>2.1</v>
      </c>
      <c r="AR180" s="1" t="str">
        <f ca="1">IF(AND(ECF[[#This Row],[cd,b,pil (kN/cm²)]]&lt;=ECF[[#This Row],[cd,b,lim (kN/cm²)]],ECF[[#This Row],[cd,b,est (kN/cm²)]]&lt;=ECF[[#This Row],[cd,b,lim (kN/cm²)]]),"OK","ERRO")</f>
        <v>OK</v>
      </c>
      <c r="AS180" s="4">
        <f ca="1">As_lado(ECF[[#This Row],[nE]],ECF[[#This Row],[Nsd (kN)]],ECF[[#This Row],[d (cm)]],ECF[[#This Row],[e (cm)]],ECF[[#This Row],[ap,eq (cm)]])</f>
        <v>20.125</v>
      </c>
      <c r="AT180" s="4" t="str">
        <f ca="1">IF(ECF[[#This Row],[nE]]=1,ECF[[#This Row],[As,lado (cm²)]],IF(ECF[[#This Row],[nE]]=2,0.075*2*ECF[a (cm)],"N.A."))</f>
        <v>N.A.</v>
      </c>
      <c r="AU180" s="4">
        <f ca="1">IFERROR(IF(ECF[[#This Row],[nE]]=1,"N.A.",0.2*ECF[[#This Row],[As,lado (cm²)]]),"N.S.")</f>
        <v>4.0250000000000004</v>
      </c>
      <c r="AV180" s="4">
        <f ca="1">As_malha(ECF[[#This Row],[nE]],ECF[[#This Row],[As,lado (cm²)]],ECF[[#This Row],[Nsd (kN)]])</f>
        <v>4.0250000000000004</v>
      </c>
      <c r="AW180" s="4">
        <f ca="1">As_susp_tot(ECF[[#This Row],[nE]],ECF[[#This Row],[Nsd (kN)]])</f>
        <v>13.416666666666666</v>
      </c>
      <c r="AX180" s="4">
        <f ca="1">Asp_face(ECF[[#This Row],[nE]],ECF[[#This Row],[As,lado (cm²)]])</f>
        <v>10.0625</v>
      </c>
      <c r="AY180" s="5">
        <f ca="1">acoBloco(ECF[[#This Row],[nE]],ECF[[#This Row],[e (cm)]],ECF[[#This Row],[a (cm)]],ECF[[#This Row],[h (cm)]],ECF[[#This Row],[As,lado (cm²)]],ECF[[#This Row],[Asp e Asw (cm²/m)]],ECF[[#This Row],[As,sup (cm²)]],ECF[[#This Row],[As,malha (cm²)]],ECF[[#This Row],[As,susp,tot (cm²)]],ECF[[#This Row],[Asp,face (cm²)]])</f>
        <v>1048.9955</v>
      </c>
      <c r="AZ180" s="4">
        <f ca="1">concretoBloco(ECF[[#This Row],[nE]],ECF[[#This Row],[e (cm)]],ECF[[#This Row],[a (cm)]],ECF[[#This Row],[h (cm)]])</f>
        <v>194.4</v>
      </c>
      <c r="BA180" s="5">
        <f ca="1">SUM(ECF[[#This Row],[Aço Est (kg)]],ECF[[#This Row],[Aço Bloco (kg)]])</f>
        <v>1270.9490209761188</v>
      </c>
      <c r="BB180" s="4">
        <f>INDEX(composicoes[],MATCH(95580,composicoes[CÓDIGO],0),MATCH("CUSTO TOTAL",composicoes[#Headers],0))</f>
        <v>10.46</v>
      </c>
      <c r="BC180" s="4">
        <f ca="1">SUM(ECF[[#This Row],[Conc Est (m³)]],ECF[[#This Row],[Conc Bloco (m³)]])</f>
        <v>243.88008429403925</v>
      </c>
      <c r="BD180" s="4">
        <f>INDEX(composicoes[],MATCH(94966,composicoes[CÓDIGO],0),MATCH("CUSTO TOTAL",composicoes[#Headers],0))</f>
        <v>439.52</v>
      </c>
      <c r="BE180" s="38">
        <f ca="1">ECF[[#This Row],[Aço (kg)]]*ECF[[#This Row],[Aço (R$/kg)]]+ECF[[#This Row],[Conc (m³)]]*ECF[[#This Row],[Conc (R$/m³)]]</f>
        <v>120484.30140832634</v>
      </c>
      <c r="BF180" s="4" t="str">
        <f ca="1">IF(COUNTIF(ECF[#This Row],"N.S.")&gt;0,"lim.","OK")</f>
        <v>OK</v>
      </c>
      <c r="BG180" s="4" t="str">
        <f>IF(ECF[[#This Row],[Prof. (m)]]&lt;4,"lim.","OK")</f>
        <v>OK</v>
      </c>
      <c r="BH180" s="4" t="str">
        <f>IF(ECF[[#This Row],[Prof. (m)]]&gt;=8*ECF[[#This Row],[Ø (cm)]]/100,"OK","lim.")</f>
        <v>lim.</v>
      </c>
      <c r="BI180" s="4" t="str">
        <f>IF(AND(SPT!$F$3&lt;&gt;"",ECF[[#This Row],[Prof. (m)]]&gt;=SPT!$F$3-2),"lim.","OK")</f>
        <v>OK</v>
      </c>
      <c r="BJ180" s="4" t="str">
        <f ca="1">IF(ECF[[#This Row],[Verif. Biela]]="OK","OK","lim.")</f>
        <v>OK</v>
      </c>
      <c r="BK180" s="4" t="str">
        <f ca="1">IF(COUNTA(ECF[[#This Row],[Nº Est.]:[Biela comp.]])=COUNTIF(ECF[[#This Row],[Nº Est.]:[Biela comp.]],"OK"),"OK","lim.")</f>
        <v>lim.</v>
      </c>
      <c r="BL180" s="4" t="str">
        <f ca="1">IF(ECF[[#This Row],[Controle]]="OK",ECF[[#This Row],[nE]]&amp;" Ø"&amp;ECF[[#This Row],[Ø (cm)]]&amp;"cm Prof. "&amp;ECF[[#This Row],[Prof. (m)]]&amp;" m","")</f>
        <v/>
      </c>
      <c r="BM180" s="4" t="str">
        <f ca="1">IF(ECF[[#This Row],[idDimensionamento]]="","",ECF[[#This Row],[idPilar]]&amp;ECF[[#This Row],[idDimensionamento]])</f>
        <v/>
      </c>
    </row>
    <row r="181" spans="2:65" x14ac:dyDescent="0.25">
      <c r="B181" s="12">
        <f>ROUNDUP((ROW(ECF[[#This Row],[idDiâmetro]])-ROW(ECF[[#Headers],[idDiâmetro]]))/(COUNT(SPT[Prof. (m)])*COUNT(PILARES[Pilar])),0)</f>
        <v>7</v>
      </c>
      <c r="C181" s="12">
        <f>IF(ECF[[#This Row],[idDiâmetro]]&lt;&gt;B180,1,IF(ECF[[#This Row],[Prof. (m)]]=0,C180+1,C180))</f>
        <v>1</v>
      </c>
      <c r="D181" s="1">
        <f>IFERROR(IF(D180=MAX(SPT[Prof. (m)]),0,D180+1),0)</f>
        <v>8</v>
      </c>
      <c r="E181" s="1">
        <f>INDEX(SPT[],MATCH(ECF[[#This Row],[Prof. (m)]],SPT[Prof. (m)],0),2)</f>
        <v>10</v>
      </c>
      <c r="F181" s="1" t="str">
        <f>INDEX(SPT[],MATCH(ECF[[#This Row],[Prof. (m)]],SPT[Prof. (m)],0),3)</f>
        <v>Silte arenoso</v>
      </c>
      <c r="G181" s="1">
        <f>INDEX(estacas[],ECF[[#This Row],[idDiâmetro]],MATCH($B$2,estacas[#Headers],0))</f>
        <v>150</v>
      </c>
      <c r="H181" s="1">
        <f>INDEX(estacas[],MATCH(ECF[[#This Row],[Ø (cm)]],estacas[Ø ECF (cm)],0),MATCH(ECF[[#Headers],[Pe ECF (kN)]],estacas[#Headers],0))</f>
        <v>7100</v>
      </c>
      <c r="I181" s="4">
        <f>INDEX(K_alpha_C[],MATCH(ECF[[#This Row],[Solo]],K_alpha_C[Solo],0),2)</f>
        <v>0.55000000000000004</v>
      </c>
      <c r="J181" s="5">
        <f>INDEX(K_alpha_C[],MATCH(ECF[[#This Row],[Solo]],K_alpha_C[Solo],0),3)</f>
        <v>2.2000000000000002</v>
      </c>
      <c r="K181" s="4">
        <f>INDEX(F1_F2[],MATCH($D$2,F1_F2[Tipo de estaca],0),2)</f>
        <v>3</v>
      </c>
      <c r="L181" s="4">
        <f>INDEX(F1_F2[],MATCH($D$2,F1_F2[Tipo de estaca],0),3)</f>
        <v>6</v>
      </c>
      <c r="M181" s="4">
        <f>PI()*(ECF[[#This Row],[Ø (cm)]]/100)^2/4</f>
        <v>1.7671458676442586</v>
      </c>
      <c r="N181" s="4">
        <f>PI()*ECF[[#This Row],[Ø (cm)]]/100</f>
        <v>4.7123889803846897</v>
      </c>
      <c r="O181" s="4">
        <f>IF(ECF[[#This Row],[Prof. (m)]]=0,0,ECF[[#This Row],[α (%)]]/100*ECF[[#This Row],[K (MPa)]]*1000*ECF[[#This Row],[NSPT]])</f>
        <v>121.00000000000001</v>
      </c>
      <c r="P181" s="4">
        <f>IF(ECF[[#This Row],[Prof. (m)]]=0,0,(ECF[[#This Row],[K (MPa)]]*1000*ECF[[#This Row],[NSPT]]/ECF[[#This Row],[F1]]*ECF[[#This Row],[Ap (m²)]]+ECF[[#This Row],[U (m)]]/ECF[[#This Row],[F2]]*SUMIFS(ECF[(α∙K∙NL∙ΔL)],ECF[Prof. (m)],"&lt;="&amp;ECF[[#This Row],[Prof. (m)]],ECF[idDiâmetro],ECF[[#This Row],[idDiâmetro]],ECF[idPilar],ECF[[#This Row],[idPilar]]))/'DADOS CAP. CARGA'!$D$2)</f>
        <v>2012.5435237977913</v>
      </c>
      <c r="Q181" s="12">
        <f>INDEX(C_alpha_beta[],MATCH(ECF[[#This Row],[Solo]],C_alpha_beta[Solo],0),MATCH(ECF[[#Headers],[C (kPa)]],C_alpha_beta[#Headers],0))</f>
        <v>250</v>
      </c>
      <c r="R181" s="4">
        <f>INDEX(C_alpha_beta[],MATCH(ECF[[#This Row],[Solo]],C_alpha_beta[Solo],0),MATCH(ECF[[#Headers],[α ESF]],C_alpha_beta[#Headers],0))</f>
        <v>0.6</v>
      </c>
      <c r="S181" s="4">
        <f>INDEX(C_alpha_beta[],MATCH(ECF[[#This Row],[Solo]],C_alpha_beta[Solo],0),MATCH(ECF[[#Headers],[β ESF]],C_alpha_beta[#Headers],0))</f>
        <v>0.65</v>
      </c>
      <c r="T181" s="4">
        <f>IF(ECF[[#This Row],[Prof. (m)]]=0,0,10*(ECF[[#This Row],[NSPT]]/3+1))</f>
        <v>43.333333333333343</v>
      </c>
      <c r="U181" s="4">
        <f>(ECF[[#This Row],[α ESF]]*ECF[[#This Row],[C (kPa)]]*ECF[[#This Row],[NSPT]]*ECF[[#This Row],[Ap (m²)]])/'DADOS CAP. CARGA'!$Q$2+(ECF[[#This Row],[β ESF]]*SUMIFS(ECF[10∙(NL/3+1)],ECF[Prof. (m)],"&lt;="&amp;ECF[[#This Row],[Prof. (m)]],ECF[idDiâmetro],ECF[[#This Row],[idDiâmetro]],ECF[idPilar],ECF[[#This Row],[idPilar]])*ECF[[#This Row],[U (m)]])/'DADOS CAP. CARGA'!$S$2</f>
        <v>1152.7681543266046</v>
      </c>
      <c r="V181" s="4">
        <f>IF(SPT!$M$5=1,MIN(ECF[[#This Row],[Pe ECF (kN)]],ECF[[#This Row],[R_AV (kN)]]),IF(SPT!$M$5=2,MIN(ECF[[#This Row],[Pe ECF (kN)]],ECF[[#This Row],[R_DC (kN)]]),MIN(ECF[[#This Row],[Pe ECF (kN)]],ECF[[#This Row],[R_AV (kN)]],ECF[[#This Row],[R_DC (kN)]])))</f>
        <v>1152.7681543266046</v>
      </c>
      <c r="W181" s="4">
        <f>INDEX(PILARES[],ECF[[#This Row],[idPilar]],MATCH("Carga (kN)",PILARES[#Headers],0))*1.4</f>
        <v>3500</v>
      </c>
      <c r="X181" s="12">
        <f>INDEX(PILARES[],ECF[[#This Row],[idPilar]],MATCH(ECF[[#Headers],[ap (cm)]],PILARES[#Headers],0))</f>
        <v>60</v>
      </c>
      <c r="Y181" s="12">
        <f>INDEX(PILARES[],ECF[[#This Row],[idPilar]],MATCH(ECF[[#Headers],[bp (cm)]],PILARES[#Headers],0))</f>
        <v>60</v>
      </c>
      <c r="Z181" s="4">
        <f>SQRT(ECF[[#This Row],[ap (cm)]]*ECF[[#This Row],[bp (cm)]])</f>
        <v>60</v>
      </c>
      <c r="AA181" s="12">
        <f>ECF[[#This Row],[ap (cm)]]*ECF[[#This Row],[bp (cm)]]</f>
        <v>3600</v>
      </c>
      <c r="AB181" s="12">
        <f ca="1">IF(ECF[[#This Row],[Padm∙ε (kN)]]&gt;=ECF[[#This Row],[Padm (kN)]],ROUNDUP(1.05*ECF[[#This Row],[Nsd (kN)]]/ECF[[#This Row],[Padm (kN)]],0),ROUNDUP(1.05*ECF[[#This Row],[Nsd (kN)]]/ECF[[#This Row],[Padm (kN)]],0)+1)</f>
        <v>4</v>
      </c>
      <c r="AC181" s="4">
        <f ca="1">IFERROR(IF(ECF[[#This Row],[nE]]=1,ECF[[#This Row],[Padm (kN)]],ECF[[#This Row],[Padm (kN)]]*ECF[[#This Row],[nE]]*INDEX(grupoEstacas[],ECF[[#This Row],[nE]],MATCH("ε",grupoEstacas[#Headers],0))),"N.S.")</f>
        <v>3746.4965015614653</v>
      </c>
      <c r="AD181" s="4">
        <f ca="1">1.05*ECF[[#This Row],[Nsd (kN)]]/(ECF[[#This Row],[nE]]*PI()*ECF[[#This Row],[Ø (cm)]]^2/4)*10</f>
        <v>0.5199061474335247</v>
      </c>
      <c r="AE181" s="4">
        <f ca="1">IF(ECF[[#This Row],[σ (MPa)]]&lt;INDEX(tipoEstaca[],MATCH($D$2,tipoEstaca[TIPO DE ESTACA],0),MATCH("σmáx (MPa)",tipoEstaca[#Headers],0)),0.4%*PI()*ECF[[#This Row],[Ø (cm)]]^2/4,"N.S.")</f>
        <v>70.685834705770347</v>
      </c>
      <c r="AF181" s="1">
        <f>INDEX(tipoEstaca[],MATCH($D$2,tipoEstaca[TIPO DE ESTACA],0),MATCH(ECF[[#Headers],[Comprimento (m)]],tipoEstaca[#Headers],0))</f>
        <v>4</v>
      </c>
      <c r="AG181" s="5">
        <f ca="1">ECF[[#This Row],[As,mín (cm²)]]/100^2*ECF[[#This Row],[Comprimento (m)]]*7850</f>
        <v>221.95352097611888</v>
      </c>
      <c r="AH181" s="4">
        <f ca="1">ECF[[#This Row],[nE]]*ECF[[#This Row],[Prof. (m)]]*ECF[[#This Row],[Ap (m²)]]</f>
        <v>56.548667764616276</v>
      </c>
      <c r="AI181" s="1">
        <f ca="1">IF(ECF[[#This Row],[nE]]=1,0,MAX(3*ECF[[#This Row],[Ø (cm)]],60))</f>
        <v>450</v>
      </c>
      <c r="AJ181" s="1">
        <f ca="1">IF(ECF[[#This Row],[nE]]=1,ECF[[#This Row],[Ø (cm)]]+2*10,MAX(1.5*ECF[[#This Row],[Ø (cm)]],ECF[[#This Row],[Ø (cm)]]+15))</f>
        <v>225</v>
      </c>
      <c r="AK181" s="1">
        <f ca="1">alturaUtil(ECF[[#This Row],[nE]],ECF[[#This Row],[Ø (cm)]],ECF[[#This Row],[e (cm)]],ECF[[#This Row],[ap,eq (cm)]])</f>
        <v>210</v>
      </c>
      <c r="AL181" s="1">
        <f ca="1">IFERROR(ECF[[#This Row],[d (cm)]]+arredondarParaCimaMultiplo5cm(MAX(5,SQRT(PI())/2*ECF[[#This Row],[Ø (cm)]]/5)),"N.S.")</f>
        <v>240</v>
      </c>
      <c r="AM181" s="5">
        <f ca="1">alpha(ECF[[#This Row],[nE]],ECF[[#This Row],[d (cm)]],ECF[[#This Row],[e (cm)]],ECF[[#This Row],[ap,eq (cm)]])</f>
        <v>45</v>
      </c>
      <c r="AN181" s="35">
        <f ca="1">IFERROR(ECF[[#This Row],[Nsd (kN)]]/(ECF[[#This Row],[Ap (cm²)]]*SIN(ECF[[#This Row],[α]])^2),"N.S.")</f>
        <v>1.3427801064714635</v>
      </c>
      <c r="AO181" s="35">
        <f ca="1">IFERROR(ECF[[#This Row],[Nsd (kN)]]/(ECF[[#This Row],[nE]]*PI()*ECF[[#This Row],[Ø (cm)]]^2/4*SIN(ECF[[#This Row],[α]])^2),"N.S.")</f>
        <v>6.8387229257726376E-2</v>
      </c>
      <c r="AP181" s="4">
        <f ca="1">IFERROR(INDEX(grupoEstacas[],ECF[[#This Row],[nE]],MATCH("coef. Blévot",grupoEstacas[#Headers],0)),"N.S.")</f>
        <v>2.1</v>
      </c>
      <c r="AQ181" s="35">
        <f ca="1">IFERROR(ECF[[#This Row],[coef. Blévot]]*0.9*INDEX(tipoEstaca[],MATCH($D$2,tipoEstaca[TIPO DE ESTACA],0),MATCH("fcd (kN/cm²)",tipoEstaca[#Headers],0)),"N.S.")</f>
        <v>2.1</v>
      </c>
      <c r="AR181" s="1" t="str">
        <f ca="1">IF(AND(ECF[[#This Row],[cd,b,pil (kN/cm²)]]&lt;=ECF[[#This Row],[cd,b,lim (kN/cm²)]],ECF[[#This Row],[cd,b,est (kN/cm²)]]&lt;=ECF[[#This Row],[cd,b,lim (kN/cm²)]]),"OK","ERRO")</f>
        <v>OK</v>
      </c>
      <c r="AS181" s="4">
        <f ca="1">As_lado(ECF[[#This Row],[nE]],ECF[[#This Row],[Nsd (kN)]],ECF[[#This Row],[d (cm)]],ECF[[#This Row],[e (cm)]],ECF[[#This Row],[ap,eq (cm)]])</f>
        <v>20.125</v>
      </c>
      <c r="AT181" s="4" t="str">
        <f ca="1">IF(ECF[[#This Row],[nE]]=1,ECF[[#This Row],[As,lado (cm²)]],IF(ECF[[#This Row],[nE]]=2,0.075*2*ECF[a (cm)],"N.A."))</f>
        <v>N.A.</v>
      </c>
      <c r="AU181" s="4">
        <f ca="1">IFERROR(IF(ECF[[#This Row],[nE]]=1,"N.A.",0.2*ECF[[#This Row],[As,lado (cm²)]]),"N.S.")</f>
        <v>4.0250000000000004</v>
      </c>
      <c r="AV181" s="4">
        <f ca="1">As_malha(ECF[[#This Row],[nE]],ECF[[#This Row],[As,lado (cm²)]],ECF[[#This Row],[Nsd (kN)]])</f>
        <v>4.0250000000000004</v>
      </c>
      <c r="AW181" s="4">
        <f ca="1">As_susp_tot(ECF[[#This Row],[nE]],ECF[[#This Row],[Nsd (kN)]])</f>
        <v>13.416666666666666</v>
      </c>
      <c r="AX181" s="4">
        <f ca="1">Asp_face(ECF[[#This Row],[nE]],ECF[[#This Row],[As,lado (cm²)]])</f>
        <v>10.0625</v>
      </c>
      <c r="AY181" s="5">
        <f ca="1">acoBloco(ECF[[#This Row],[nE]],ECF[[#This Row],[e (cm)]],ECF[[#This Row],[a (cm)]],ECF[[#This Row],[h (cm)]],ECF[[#This Row],[As,lado (cm²)]],ECF[[#This Row],[Asp e Asw (cm²/m)]],ECF[[#This Row],[As,sup (cm²)]],ECF[[#This Row],[As,malha (cm²)]],ECF[[#This Row],[As,susp,tot (cm²)]],ECF[[#This Row],[Asp,face (cm²)]])</f>
        <v>1048.9955</v>
      </c>
      <c r="AZ181" s="4">
        <f ca="1">concretoBloco(ECF[[#This Row],[nE]],ECF[[#This Row],[e (cm)]],ECF[[#This Row],[a (cm)]],ECF[[#This Row],[h (cm)]])</f>
        <v>194.4</v>
      </c>
      <c r="BA181" s="5">
        <f ca="1">SUM(ECF[[#This Row],[Aço Est (kg)]],ECF[[#This Row],[Aço Bloco (kg)]])</f>
        <v>1270.9490209761188</v>
      </c>
      <c r="BB181" s="4">
        <f>INDEX(composicoes[],MATCH(95580,composicoes[CÓDIGO],0),MATCH("CUSTO TOTAL",composicoes[#Headers],0))</f>
        <v>10.46</v>
      </c>
      <c r="BC181" s="4">
        <f ca="1">SUM(ECF[[#This Row],[Conc Est (m³)]],ECF[[#This Row],[Conc Bloco (m³)]])</f>
        <v>250.94866776461629</v>
      </c>
      <c r="BD181" s="4">
        <f>INDEX(composicoes[],MATCH(94966,composicoes[CÓDIGO],0),MATCH("CUSTO TOTAL",composicoes[#Headers],0))</f>
        <v>439.52</v>
      </c>
      <c r="BE181" s="38">
        <f ca="1">ECF[[#This Row],[Aço (kg)]]*ECF[[#This Row],[Aço (R$/kg)]]+ECF[[#This Row],[Conc (m³)]]*ECF[[#This Row],[Conc (R$/m³)]]</f>
        <v>123591.08521531435</v>
      </c>
      <c r="BF181" s="4" t="str">
        <f ca="1">IF(COUNTIF(ECF[#This Row],"N.S.")&gt;0,"lim.","OK")</f>
        <v>OK</v>
      </c>
      <c r="BG181" s="4" t="str">
        <f>IF(ECF[[#This Row],[Prof. (m)]]&lt;4,"lim.","OK")</f>
        <v>OK</v>
      </c>
      <c r="BH181" s="4" t="str">
        <f>IF(ECF[[#This Row],[Prof. (m)]]&gt;=8*ECF[[#This Row],[Ø (cm)]]/100,"OK","lim.")</f>
        <v>lim.</v>
      </c>
      <c r="BI181" s="4" t="str">
        <f>IF(AND(SPT!$F$3&lt;&gt;"",ECF[[#This Row],[Prof. (m)]]&gt;=SPT!$F$3-2),"lim.","OK")</f>
        <v>OK</v>
      </c>
      <c r="BJ181" s="4" t="str">
        <f ca="1">IF(ECF[[#This Row],[Verif. Biela]]="OK","OK","lim.")</f>
        <v>OK</v>
      </c>
      <c r="BK181" s="4" t="str">
        <f ca="1">IF(COUNTA(ECF[[#This Row],[Nº Est.]:[Biela comp.]])=COUNTIF(ECF[[#This Row],[Nº Est.]:[Biela comp.]],"OK"),"OK","lim.")</f>
        <v>lim.</v>
      </c>
      <c r="BL181" s="4" t="str">
        <f ca="1">IF(ECF[[#This Row],[Controle]]="OK",ECF[[#This Row],[nE]]&amp;" Ø"&amp;ECF[[#This Row],[Ø (cm)]]&amp;"cm Prof. "&amp;ECF[[#This Row],[Prof. (m)]]&amp;" m","")</f>
        <v/>
      </c>
      <c r="BM181" s="4" t="str">
        <f ca="1">IF(ECF[[#This Row],[idDimensionamento]]="","",ECF[[#This Row],[idPilar]]&amp;ECF[[#This Row],[idDimensionamento]])</f>
        <v/>
      </c>
    </row>
    <row r="182" spans="2:65" x14ac:dyDescent="0.25">
      <c r="B182" s="12">
        <f>ROUNDUP((ROW(ECF[[#This Row],[idDiâmetro]])-ROW(ECF[[#Headers],[idDiâmetro]]))/(COUNT(SPT[Prof. (m)])*COUNT(PILARES[Pilar])),0)</f>
        <v>7</v>
      </c>
      <c r="C182" s="12">
        <f>IF(ECF[[#This Row],[idDiâmetro]]&lt;&gt;B181,1,IF(ECF[[#This Row],[Prof. (m)]]=0,C181+1,C181))</f>
        <v>1</v>
      </c>
      <c r="D182" s="1">
        <f>IFERROR(IF(D181=MAX(SPT[Prof. (m)]),0,D181+1),0)</f>
        <v>9</v>
      </c>
      <c r="E182" s="1">
        <f>INDEX(SPT[],MATCH(ECF[[#This Row],[Prof. (m)]],SPT[Prof. (m)],0),2)</f>
        <v>26</v>
      </c>
      <c r="F182" s="1" t="str">
        <f>INDEX(SPT[],MATCH(ECF[[#This Row],[Prof. (m)]],SPT[Prof. (m)],0),3)</f>
        <v>Areia siltosa</v>
      </c>
      <c r="G182" s="1">
        <f>INDEX(estacas[],ECF[[#This Row],[idDiâmetro]],MATCH($B$2,estacas[#Headers],0))</f>
        <v>150</v>
      </c>
      <c r="H182" s="1">
        <f>INDEX(estacas[],MATCH(ECF[[#This Row],[Ø (cm)]],estacas[Ø ECF (cm)],0),MATCH(ECF[[#Headers],[Pe ECF (kN)]],estacas[#Headers],0))</f>
        <v>7100</v>
      </c>
      <c r="I182" s="4">
        <f>INDEX(K_alpha_C[],MATCH(ECF[[#This Row],[Solo]],K_alpha_C[Solo],0),2)</f>
        <v>0.8</v>
      </c>
      <c r="J182" s="5">
        <f>INDEX(K_alpha_C[],MATCH(ECF[[#This Row],[Solo]],K_alpha_C[Solo],0),3)</f>
        <v>2</v>
      </c>
      <c r="K182" s="4">
        <f>INDEX(F1_F2[],MATCH($D$2,F1_F2[Tipo de estaca],0),2)</f>
        <v>3</v>
      </c>
      <c r="L182" s="4">
        <f>INDEX(F1_F2[],MATCH($D$2,F1_F2[Tipo de estaca],0),3)</f>
        <v>6</v>
      </c>
      <c r="M182" s="4">
        <f>PI()*(ECF[[#This Row],[Ø (cm)]]/100)^2/4</f>
        <v>1.7671458676442586</v>
      </c>
      <c r="N182" s="4">
        <f>PI()*ECF[[#This Row],[Ø (cm)]]/100</f>
        <v>4.7123889803846897</v>
      </c>
      <c r="O182" s="4">
        <f>IF(ECF[[#This Row],[Prof. (m)]]=0,0,ECF[[#This Row],[α (%)]]/100*ECF[[#This Row],[K (MPa)]]*1000*ECF[[#This Row],[NSPT]])</f>
        <v>416</v>
      </c>
      <c r="P182" s="4">
        <f>IF(ECF[[#This Row],[Prof. (m)]]=0,0,(ECF[[#This Row],[K (MPa)]]*1000*ECF[[#This Row],[NSPT]]/ECF[[#This Row],[F1]]*ECF[[#This Row],[Ap (m²)]]+ECF[[#This Row],[U (m)]]/ECF[[#This Row],[F2]]*SUMIFS(ECF[(α∙K∙NL∙ΔL)],ECF[Prof. (m)],"&lt;="&amp;ECF[[#This Row],[Prof. (m)]],ECF[idDiâmetro],ECF[[#This Row],[idDiâmetro]],ECF[idPilar],ECF[[#This Row],[idPilar]]))/'DADOS CAP. CARGA'!$D$2)</f>
        <v>6682.1283042773193</v>
      </c>
      <c r="Q182" s="12">
        <f>INDEX(C_alpha_beta[],MATCH(ECF[[#This Row],[Solo]],C_alpha_beta[Solo],0),MATCH(ECF[[#Headers],[C (kPa)]],C_alpha_beta[#Headers],0))</f>
        <v>400</v>
      </c>
      <c r="R182" s="4">
        <f>INDEX(C_alpha_beta[],MATCH(ECF[[#This Row],[Solo]],C_alpha_beta[Solo],0),MATCH(ECF[[#Headers],[α ESF]],C_alpha_beta[#Headers],0))</f>
        <v>0.5</v>
      </c>
      <c r="S182" s="4">
        <f>INDEX(C_alpha_beta[],MATCH(ECF[[#This Row],[Solo]],C_alpha_beta[Solo],0),MATCH(ECF[[#Headers],[β ESF]],C_alpha_beta[#Headers],0))</f>
        <v>0.5</v>
      </c>
      <c r="T182" s="4">
        <f>IF(ECF[[#This Row],[Prof. (m)]]=0,0,10*(ECF[[#This Row],[NSPT]]/3+1))</f>
        <v>96.666666666666657</v>
      </c>
      <c r="U182" s="4">
        <f>(ECF[[#This Row],[α ESF]]*ECF[[#This Row],[C (kPa)]]*ECF[[#This Row],[NSPT]]*ECF[[#This Row],[Ap (m²)]])/'DADOS CAP. CARGA'!$Q$2+(ECF[[#This Row],[β ESF]]*SUMIFS(ECF[10∙(NL/3+1)],ECF[Prof. (m)],"&lt;="&amp;ECF[[#This Row],[Prof. (m)]],ECF[idDiâmetro],ECF[[#This Row],[idDiâmetro]],ECF[idPilar],ECF[[#This Row],[idPilar]])*ECF[[#This Row],[U (m)]])/'DADOS CAP. CARGA'!$S$2</f>
        <v>2788.1634800609413</v>
      </c>
      <c r="V182" s="4">
        <f>IF(SPT!$M$5=1,MIN(ECF[[#This Row],[Pe ECF (kN)]],ECF[[#This Row],[R_AV (kN)]]),IF(SPT!$M$5=2,MIN(ECF[[#This Row],[Pe ECF (kN)]],ECF[[#This Row],[R_DC (kN)]]),MIN(ECF[[#This Row],[Pe ECF (kN)]],ECF[[#This Row],[R_AV (kN)]],ECF[[#This Row],[R_DC (kN)]])))</f>
        <v>2788.1634800609413</v>
      </c>
      <c r="W182" s="4">
        <f>INDEX(PILARES[],ECF[[#This Row],[idPilar]],MATCH("Carga (kN)",PILARES[#Headers],0))*1.4</f>
        <v>3500</v>
      </c>
      <c r="X182" s="12">
        <f>INDEX(PILARES[],ECF[[#This Row],[idPilar]],MATCH(ECF[[#Headers],[ap (cm)]],PILARES[#Headers],0))</f>
        <v>60</v>
      </c>
      <c r="Y182" s="12">
        <f>INDEX(PILARES[],ECF[[#This Row],[idPilar]],MATCH(ECF[[#Headers],[bp (cm)]],PILARES[#Headers],0))</f>
        <v>60</v>
      </c>
      <c r="Z182" s="4">
        <f>SQRT(ECF[[#This Row],[ap (cm)]]*ECF[[#This Row],[bp (cm)]])</f>
        <v>60</v>
      </c>
      <c r="AA182" s="12">
        <f>ECF[[#This Row],[ap (cm)]]*ECF[[#This Row],[bp (cm)]]</f>
        <v>3600</v>
      </c>
      <c r="AB182" s="12">
        <f ca="1">IF(ECF[[#This Row],[Padm∙ε (kN)]]&gt;=ECF[[#This Row],[Padm (kN)]],ROUNDUP(1.05*ECF[[#This Row],[Nsd (kN)]]/ECF[[#This Row],[Padm (kN)]],0),ROUNDUP(1.05*ECF[[#This Row],[Nsd (kN)]]/ECF[[#This Row],[Padm (kN)]],0)+1)</f>
        <v>2</v>
      </c>
      <c r="AC182" s="4">
        <f ca="1">IFERROR(IF(ECF[[#This Row],[nE]]=1,ECF[[#This Row],[Padm (kN)]],ECF[[#This Row],[Padm (kN)]]*ECF[[#This Row],[nE]]*INDEX(grupoEstacas[],ECF[[#This Row],[nE]],MATCH("ε",grupoEstacas[#Headers],0))),"N.S.")</f>
        <v>5227.8065251142652</v>
      </c>
      <c r="AD182" s="4">
        <f ca="1">1.05*ECF[[#This Row],[Nsd (kN)]]/(ECF[[#This Row],[nE]]*PI()*ECF[[#This Row],[Ø (cm)]]^2/4)*10</f>
        <v>1.0398122948670494</v>
      </c>
      <c r="AE182" s="4">
        <f ca="1">IF(ECF[[#This Row],[σ (MPa)]]&lt;INDEX(tipoEstaca[],MATCH($D$2,tipoEstaca[TIPO DE ESTACA],0),MATCH("σmáx (MPa)",tipoEstaca[#Headers],0)),0.4%*PI()*ECF[[#This Row],[Ø (cm)]]^2/4,"N.S.")</f>
        <v>70.685834705770347</v>
      </c>
      <c r="AF182" s="1">
        <f>INDEX(tipoEstaca[],MATCH($D$2,tipoEstaca[TIPO DE ESTACA],0),MATCH(ECF[[#Headers],[Comprimento (m)]],tipoEstaca[#Headers],0))</f>
        <v>4</v>
      </c>
      <c r="AG182" s="5">
        <f ca="1">ECF[[#This Row],[As,mín (cm²)]]/100^2*ECF[[#This Row],[Comprimento (m)]]*7850</f>
        <v>221.95352097611888</v>
      </c>
      <c r="AH182" s="4">
        <f ca="1">ECF[[#This Row],[nE]]*ECF[[#This Row],[Prof. (m)]]*ECF[[#This Row],[Ap (m²)]]</f>
        <v>31.808625617596654</v>
      </c>
      <c r="AI182" s="1">
        <f ca="1">IF(ECF[[#This Row],[nE]]=1,0,MAX(3*ECF[[#This Row],[Ø (cm)]],60))</f>
        <v>450</v>
      </c>
      <c r="AJ182" s="1">
        <f ca="1">IF(ECF[[#This Row],[nE]]=1,ECF[[#This Row],[Ø (cm)]]+2*10,MAX(1.5*ECF[[#This Row],[Ø (cm)]],ECF[[#This Row],[Ø (cm)]]+15))</f>
        <v>225</v>
      </c>
      <c r="AK182" s="1">
        <f ca="1">alturaUtil(ECF[[#This Row],[nE]],ECF[[#This Row],[Ø (cm)]],ECF[[#This Row],[e (cm)]],ECF[[#This Row],[ap,eq (cm)]])</f>
        <v>210</v>
      </c>
      <c r="AL182" s="1">
        <f ca="1">IFERROR(ECF[[#This Row],[d (cm)]]+arredondarParaCimaMultiplo5cm(MAX(5,SQRT(PI())/2*ECF[[#This Row],[Ø (cm)]]/5)),"N.S.")</f>
        <v>240</v>
      </c>
      <c r="AM182" s="5">
        <f ca="1">alpha(ECF[[#This Row],[nE]],ECF[[#This Row],[d (cm)]],ECF[[#This Row],[e (cm)]],ECF[[#This Row],[ap,eq (cm)]])</f>
        <v>45</v>
      </c>
      <c r="AN182" s="35">
        <f ca="1">IFERROR(ECF[[#This Row],[Nsd (kN)]]/(ECF[[#This Row],[Ap (cm²)]]*SIN(ECF[[#This Row],[α]])^2),"N.S.")</f>
        <v>1.3427801064714635</v>
      </c>
      <c r="AO182" s="35">
        <f ca="1">IFERROR(ECF[[#This Row],[Nsd (kN)]]/(ECF[[#This Row],[nE]]*PI()*ECF[[#This Row],[Ø (cm)]]^2/4*SIN(ECF[[#This Row],[α]])^2),"N.S.")</f>
        <v>0.13677445851545275</v>
      </c>
      <c r="AP182" s="4">
        <f ca="1">IFERROR(INDEX(grupoEstacas[],ECF[[#This Row],[nE]],MATCH("coef. Blévot",grupoEstacas[#Headers],0)),"N.S.")</f>
        <v>1.4</v>
      </c>
      <c r="AQ182" s="35">
        <f ca="1">IFERROR(ECF[[#This Row],[coef. Blévot]]*0.9*INDEX(tipoEstaca[],MATCH($D$2,tipoEstaca[TIPO DE ESTACA],0),MATCH("fcd (kN/cm²)",tipoEstaca[#Headers],0)),"N.S.")</f>
        <v>1.4000000000000001</v>
      </c>
      <c r="AR182" s="1" t="str">
        <f ca="1">IF(AND(ECF[[#This Row],[cd,b,pil (kN/cm²)]]&lt;=ECF[[#This Row],[cd,b,lim (kN/cm²)]],ECF[[#This Row],[cd,b,est (kN/cm²)]]&lt;=ECF[[#This Row],[cd,b,lim (kN/cm²)]]),"OK","ERRO")</f>
        <v>OK</v>
      </c>
      <c r="AS182" s="4">
        <f ca="1">As_lado(ECF[[#This Row],[nE]],ECF[[#This Row],[Nsd (kN)]],ECF[[#This Row],[d (cm)]],ECF[[#This Row],[e (cm)]],ECF[[#This Row],[ap,eq (cm)]])</f>
        <v>46.287499999999987</v>
      </c>
      <c r="AT182" s="4">
        <f ca="1">IF(ECF[[#This Row],[nE]]=1,ECF[[#This Row],[As,lado (cm²)]],IF(ECF[[#This Row],[nE]]=2,0.075*2*ECF[a (cm)],"N.A."))</f>
        <v>33.75</v>
      </c>
      <c r="AU182" s="4">
        <f ca="1">IFERROR(IF(ECF[[#This Row],[nE]]=1,"N.A.",0.2*ECF[[#This Row],[As,lado (cm²)]]),"N.S.")</f>
        <v>9.2574999999999985</v>
      </c>
      <c r="AV182" s="4" t="str">
        <f ca="1">As_malha(ECF[[#This Row],[nE]],ECF[[#This Row],[As,lado (cm²)]],ECF[[#This Row],[Nsd (kN)]])</f>
        <v>N.A.</v>
      </c>
      <c r="AW182" s="4" t="str">
        <f ca="1">As_susp_tot(ECF[[#This Row],[nE]],ECF[[#This Row],[Nsd (kN)]])</f>
        <v>N.A.</v>
      </c>
      <c r="AX182" s="4" t="str">
        <f ca="1">Asp_face(ECF[[#This Row],[nE]],ECF[[#This Row],[As,lado (cm²)]])</f>
        <v>N.A.</v>
      </c>
      <c r="AY182" s="5">
        <f ca="1">acoBloco(ECF[[#This Row],[nE]],ECF[[#This Row],[e (cm)]],ECF[[#This Row],[a (cm)]],ECF[[#This Row],[h (cm)]],ECF[[#This Row],[As,lado (cm²)]],ECF[[#This Row],[Asp e Asw (cm²/m)]],ECF[[#This Row],[As,sup (cm²)]],ECF[[#This Row],[As,malha (cm²)]],ECF[[#This Row],[As,susp,tot (cm²)]],ECF[[#This Row],[Asp,face (cm²)]])</f>
        <v>5399.7441749999998</v>
      </c>
      <c r="AZ182" s="4">
        <f ca="1">concretoBloco(ECF[[#This Row],[nE]],ECF[[#This Row],[e (cm)]],ECF[[#This Row],[a (cm)]],ECF[[#This Row],[h (cm)]])</f>
        <v>97.2</v>
      </c>
      <c r="BA182" s="5">
        <f ca="1">SUM(ECF[[#This Row],[Aço Est (kg)]],ECF[[#This Row],[Aço Bloco (kg)]])</f>
        <v>5621.6976959761187</v>
      </c>
      <c r="BB182" s="4">
        <f>INDEX(composicoes[],MATCH(95580,composicoes[CÓDIGO],0),MATCH("CUSTO TOTAL",composicoes[#Headers],0))</f>
        <v>10.46</v>
      </c>
      <c r="BC182" s="4">
        <f ca="1">SUM(ECF[[#This Row],[Conc Est (m³)]],ECF[[#This Row],[Conc Bloco (m³)]])</f>
        <v>129.00862561759666</v>
      </c>
      <c r="BD182" s="4">
        <f>INDEX(composicoes[],MATCH(94966,composicoes[CÓDIGO],0),MATCH("CUSTO TOTAL",composicoes[#Headers],0))</f>
        <v>439.52</v>
      </c>
      <c r="BE182" s="38">
        <f ca="1">ECF[[#This Row],[Aço (kg)]]*ECF[[#This Row],[Aço (R$/kg)]]+ECF[[#This Row],[Conc (m³)]]*ECF[[#This Row],[Conc (R$/m³)]]</f>
        <v>115504.82903135629</v>
      </c>
      <c r="BF182" s="4" t="str">
        <f ca="1">IF(COUNTIF(ECF[#This Row],"N.S.")&gt;0,"lim.","OK")</f>
        <v>OK</v>
      </c>
      <c r="BG182" s="4" t="str">
        <f>IF(ECF[[#This Row],[Prof. (m)]]&lt;4,"lim.","OK")</f>
        <v>OK</v>
      </c>
      <c r="BH182" s="4" t="str">
        <f>IF(ECF[[#This Row],[Prof. (m)]]&gt;=8*ECF[[#This Row],[Ø (cm)]]/100,"OK","lim.")</f>
        <v>lim.</v>
      </c>
      <c r="BI182" s="4" t="str">
        <f>IF(AND(SPT!$F$3&lt;&gt;"",ECF[[#This Row],[Prof. (m)]]&gt;=SPT!$F$3-2),"lim.","OK")</f>
        <v>OK</v>
      </c>
      <c r="BJ182" s="4" t="str">
        <f ca="1">IF(ECF[[#This Row],[Verif. Biela]]="OK","OK","lim.")</f>
        <v>OK</v>
      </c>
      <c r="BK182" s="4" t="str">
        <f ca="1">IF(COUNTA(ECF[[#This Row],[Nº Est.]:[Biela comp.]])=COUNTIF(ECF[[#This Row],[Nº Est.]:[Biela comp.]],"OK"),"OK","lim.")</f>
        <v>lim.</v>
      </c>
      <c r="BL182" s="4" t="str">
        <f ca="1">IF(ECF[[#This Row],[Controle]]="OK",ECF[[#This Row],[nE]]&amp;" Ø"&amp;ECF[[#This Row],[Ø (cm)]]&amp;"cm Prof. "&amp;ECF[[#This Row],[Prof. (m)]]&amp;" m","")</f>
        <v/>
      </c>
      <c r="BM182" s="4" t="str">
        <f ca="1">IF(ECF[[#This Row],[idDimensionamento]]="","",ECF[[#This Row],[idPilar]]&amp;ECF[[#This Row],[idDimensionamento]])</f>
        <v/>
      </c>
    </row>
    <row r="183" spans="2:65" x14ac:dyDescent="0.25">
      <c r="B183" s="12">
        <f>ROUNDUP((ROW(ECF[[#This Row],[idDiâmetro]])-ROW(ECF[[#Headers],[idDiâmetro]]))/(COUNT(SPT[Prof. (m)])*COUNT(PILARES[Pilar])),0)</f>
        <v>7</v>
      </c>
      <c r="C183" s="12">
        <f>IF(ECF[[#This Row],[idDiâmetro]]&lt;&gt;B182,1,IF(ECF[[#This Row],[Prof. (m)]]=0,C182+1,C182))</f>
        <v>1</v>
      </c>
      <c r="D183" s="1">
        <f>IFERROR(IF(D182=MAX(SPT[Prof. (m)]),0,D182+1),0)</f>
        <v>10</v>
      </c>
      <c r="E183" s="1">
        <f>INDEX(SPT[],MATCH(ECF[[#This Row],[Prof. (m)]],SPT[Prof. (m)],0),2)</f>
        <v>32</v>
      </c>
      <c r="F183" s="1" t="str">
        <f>INDEX(SPT[],MATCH(ECF[[#This Row],[Prof. (m)]],SPT[Prof. (m)],0),3)</f>
        <v>Areia siltosa</v>
      </c>
      <c r="G183" s="1">
        <f>INDEX(estacas[],ECF[[#This Row],[idDiâmetro]],MATCH($B$2,estacas[#Headers],0))</f>
        <v>150</v>
      </c>
      <c r="H183" s="1">
        <f>INDEX(estacas[],MATCH(ECF[[#This Row],[Ø (cm)]],estacas[Ø ECF (cm)],0),MATCH(ECF[[#Headers],[Pe ECF (kN)]],estacas[#Headers],0))</f>
        <v>7100</v>
      </c>
      <c r="I183" s="4">
        <f>INDEX(K_alpha_C[],MATCH(ECF[[#This Row],[Solo]],K_alpha_C[Solo],0),2)</f>
        <v>0.8</v>
      </c>
      <c r="J183" s="5">
        <f>INDEX(K_alpha_C[],MATCH(ECF[[#This Row],[Solo]],K_alpha_C[Solo],0),3)</f>
        <v>2</v>
      </c>
      <c r="K183" s="4">
        <f>INDEX(F1_F2[],MATCH($D$2,F1_F2[Tipo de estaca],0),2)</f>
        <v>3</v>
      </c>
      <c r="L183" s="4">
        <f>INDEX(F1_F2[],MATCH($D$2,F1_F2[Tipo de estaca],0),3)</f>
        <v>6</v>
      </c>
      <c r="M183" s="4">
        <f>PI()*(ECF[[#This Row],[Ø (cm)]]/100)^2/4</f>
        <v>1.7671458676442586</v>
      </c>
      <c r="N183" s="4">
        <f>PI()*ECF[[#This Row],[Ø (cm)]]/100</f>
        <v>4.7123889803846897</v>
      </c>
      <c r="O183" s="4">
        <f>IF(ECF[[#This Row],[Prof. (m)]]=0,0,ECF[[#This Row],[α (%)]]/100*ECF[[#This Row],[K (MPa)]]*1000*ECF[[#This Row],[NSPT]])</f>
        <v>512</v>
      </c>
      <c r="P183" s="4">
        <f>IF(ECF[[#This Row],[Prof. (m)]]=0,0,(ECF[[#This Row],[K (MPa)]]*1000*ECF[[#This Row],[NSPT]]/ECF[[#This Row],[F1]]*ECF[[#This Row],[Ap (m²)]]+ECF[[#This Row],[U (m)]]/ECF[[#This Row],[F2]]*SUMIFS(ECF[(α∙K∙NL∙ΔL)],ECF[Prof. (m)],"&lt;="&amp;ECF[[#This Row],[Prof. (m)]],ECF[idDiâmetro],ECF[[#This Row],[idDiâmetro]],ECF[idPilar],ECF[[#This Row],[idPilar]]))/'DADOS CAP. CARGA'!$D$2)</f>
        <v>8296.9069282224737</v>
      </c>
      <c r="Q183" s="12">
        <f>INDEX(C_alpha_beta[],MATCH(ECF[[#This Row],[Solo]],C_alpha_beta[Solo],0),MATCH(ECF[[#Headers],[C (kPa)]],C_alpha_beta[#Headers],0))</f>
        <v>400</v>
      </c>
      <c r="R183" s="4">
        <f>INDEX(C_alpha_beta[],MATCH(ECF[[#This Row],[Solo]],C_alpha_beta[Solo],0),MATCH(ECF[[#Headers],[α ESF]],C_alpha_beta[#Headers],0))</f>
        <v>0.5</v>
      </c>
      <c r="S183" s="4">
        <f>INDEX(C_alpha_beta[],MATCH(ECF[[#This Row],[Solo]],C_alpha_beta[Solo],0),MATCH(ECF[[#Headers],[β ESF]],C_alpha_beta[#Headers],0))</f>
        <v>0.5</v>
      </c>
      <c r="T183" s="4">
        <f>IF(ECF[[#This Row],[Prof. (m)]]=0,0,10*(ECF[[#This Row],[NSPT]]/3+1))</f>
        <v>116.66666666666666</v>
      </c>
      <c r="U183" s="4">
        <f>(ECF[[#This Row],[α ESF]]*ECF[[#This Row],[C (kPa)]]*ECF[[#This Row],[NSPT]]*ECF[[#This Row],[Ap (m²)]])/'DADOS CAP. CARGA'!$Q$2+(ECF[[#This Row],[β ESF]]*SUMIFS(ECF[10∙(NL/3+1)],ECF[Prof. (m)],"&lt;="&amp;ECF[[#This Row],[Prof. (m)]],ECF[idDiâmetro],ECF[[#This Row],[idDiâmetro]],ECF[idPilar],ECF[[#This Row],[idPilar]])*ECF[[#This Row],[U (m)]])/'DADOS CAP. CARGA'!$S$2</f>
        <v>3455.7519189487721</v>
      </c>
      <c r="V183" s="4">
        <f>IF(SPT!$M$5=1,MIN(ECF[[#This Row],[Pe ECF (kN)]],ECF[[#This Row],[R_AV (kN)]]),IF(SPT!$M$5=2,MIN(ECF[[#This Row],[Pe ECF (kN)]],ECF[[#This Row],[R_DC (kN)]]),MIN(ECF[[#This Row],[Pe ECF (kN)]],ECF[[#This Row],[R_AV (kN)]],ECF[[#This Row],[R_DC (kN)]])))</f>
        <v>3455.7519189487721</v>
      </c>
      <c r="W183" s="4">
        <f>INDEX(PILARES[],ECF[[#This Row],[idPilar]],MATCH("Carga (kN)",PILARES[#Headers],0))*1.4</f>
        <v>3500</v>
      </c>
      <c r="X183" s="12">
        <f>INDEX(PILARES[],ECF[[#This Row],[idPilar]],MATCH(ECF[[#Headers],[ap (cm)]],PILARES[#Headers],0))</f>
        <v>60</v>
      </c>
      <c r="Y183" s="12">
        <f>INDEX(PILARES[],ECF[[#This Row],[idPilar]],MATCH(ECF[[#Headers],[bp (cm)]],PILARES[#Headers],0))</f>
        <v>60</v>
      </c>
      <c r="Z183" s="4">
        <f>SQRT(ECF[[#This Row],[ap (cm)]]*ECF[[#This Row],[bp (cm)]])</f>
        <v>60</v>
      </c>
      <c r="AA183" s="12">
        <f>ECF[[#This Row],[ap (cm)]]*ECF[[#This Row],[bp (cm)]]</f>
        <v>3600</v>
      </c>
      <c r="AB183" s="12">
        <f ca="1">IF(ECF[[#This Row],[Padm∙ε (kN)]]&gt;=ECF[[#This Row],[Padm (kN)]],ROUNDUP(1.05*ECF[[#This Row],[Nsd (kN)]]/ECF[[#This Row],[Padm (kN)]],0),ROUNDUP(1.05*ECF[[#This Row],[Nsd (kN)]]/ECF[[#This Row],[Padm (kN)]],0)+1)</f>
        <v>2</v>
      </c>
      <c r="AC183" s="4">
        <f ca="1">IFERROR(IF(ECF[[#This Row],[nE]]=1,ECF[[#This Row],[Padm (kN)]],ECF[[#This Row],[Padm (kN)]]*ECF[[#This Row],[nE]]*INDEX(grupoEstacas[],ECF[[#This Row],[nE]],MATCH("ε",grupoEstacas[#Headers],0))),"N.S.")</f>
        <v>6479.5348480289476</v>
      </c>
      <c r="AD183" s="4">
        <f ca="1">1.05*ECF[[#This Row],[Nsd (kN)]]/(ECF[[#This Row],[nE]]*PI()*ECF[[#This Row],[Ø (cm)]]^2/4)*10</f>
        <v>1.0398122948670494</v>
      </c>
      <c r="AE183" s="4">
        <f ca="1">IF(ECF[[#This Row],[σ (MPa)]]&lt;INDEX(tipoEstaca[],MATCH($D$2,tipoEstaca[TIPO DE ESTACA],0),MATCH("σmáx (MPa)",tipoEstaca[#Headers],0)),0.4%*PI()*ECF[[#This Row],[Ø (cm)]]^2/4,"N.S.")</f>
        <v>70.685834705770347</v>
      </c>
      <c r="AF183" s="1">
        <f>INDEX(tipoEstaca[],MATCH($D$2,tipoEstaca[TIPO DE ESTACA],0),MATCH(ECF[[#Headers],[Comprimento (m)]],tipoEstaca[#Headers],0))</f>
        <v>4</v>
      </c>
      <c r="AG183" s="5">
        <f ca="1">ECF[[#This Row],[As,mín (cm²)]]/100^2*ECF[[#This Row],[Comprimento (m)]]*7850</f>
        <v>221.95352097611888</v>
      </c>
      <c r="AH183" s="4">
        <f ca="1">ECF[[#This Row],[nE]]*ECF[[#This Row],[Prof. (m)]]*ECF[[#This Row],[Ap (m²)]]</f>
        <v>35.342917352885173</v>
      </c>
      <c r="AI183" s="1">
        <f ca="1">IF(ECF[[#This Row],[nE]]=1,0,MAX(3*ECF[[#This Row],[Ø (cm)]],60))</f>
        <v>450</v>
      </c>
      <c r="AJ183" s="1">
        <f ca="1">IF(ECF[[#This Row],[nE]]=1,ECF[[#This Row],[Ø (cm)]]+2*10,MAX(1.5*ECF[[#This Row],[Ø (cm)]],ECF[[#This Row],[Ø (cm)]]+15))</f>
        <v>225</v>
      </c>
      <c r="AK183" s="1">
        <f ca="1">alturaUtil(ECF[[#This Row],[nE]],ECF[[#This Row],[Ø (cm)]],ECF[[#This Row],[e (cm)]],ECF[[#This Row],[ap,eq (cm)]])</f>
        <v>210</v>
      </c>
      <c r="AL183" s="1">
        <f ca="1">IFERROR(ECF[[#This Row],[d (cm)]]+arredondarParaCimaMultiplo5cm(MAX(5,SQRT(PI())/2*ECF[[#This Row],[Ø (cm)]]/5)),"N.S.")</f>
        <v>240</v>
      </c>
      <c r="AM183" s="5">
        <f ca="1">alpha(ECF[[#This Row],[nE]],ECF[[#This Row],[d (cm)]],ECF[[#This Row],[e (cm)]],ECF[[#This Row],[ap,eq (cm)]])</f>
        <v>45</v>
      </c>
      <c r="AN183" s="35">
        <f ca="1">IFERROR(ECF[[#This Row],[Nsd (kN)]]/(ECF[[#This Row],[Ap (cm²)]]*SIN(ECF[[#This Row],[α]])^2),"N.S.")</f>
        <v>1.3427801064714635</v>
      </c>
      <c r="AO183" s="35">
        <f ca="1">IFERROR(ECF[[#This Row],[Nsd (kN)]]/(ECF[[#This Row],[nE]]*PI()*ECF[[#This Row],[Ø (cm)]]^2/4*SIN(ECF[[#This Row],[α]])^2),"N.S.")</f>
        <v>0.13677445851545275</v>
      </c>
      <c r="AP183" s="4">
        <f ca="1">IFERROR(INDEX(grupoEstacas[],ECF[[#This Row],[nE]],MATCH("coef. Blévot",grupoEstacas[#Headers],0)),"N.S.")</f>
        <v>1.4</v>
      </c>
      <c r="AQ183" s="35">
        <f ca="1">IFERROR(ECF[[#This Row],[coef. Blévot]]*0.9*INDEX(tipoEstaca[],MATCH($D$2,tipoEstaca[TIPO DE ESTACA],0),MATCH("fcd (kN/cm²)",tipoEstaca[#Headers],0)),"N.S.")</f>
        <v>1.4000000000000001</v>
      </c>
      <c r="AR183" s="1" t="str">
        <f ca="1">IF(AND(ECF[[#This Row],[cd,b,pil (kN/cm²)]]&lt;=ECF[[#This Row],[cd,b,lim (kN/cm²)]],ECF[[#This Row],[cd,b,est (kN/cm²)]]&lt;=ECF[[#This Row],[cd,b,lim (kN/cm²)]]),"OK","ERRO")</f>
        <v>OK</v>
      </c>
      <c r="AS183" s="4">
        <f ca="1">As_lado(ECF[[#This Row],[nE]],ECF[[#This Row],[Nsd (kN)]],ECF[[#This Row],[d (cm)]],ECF[[#This Row],[e (cm)]],ECF[[#This Row],[ap,eq (cm)]])</f>
        <v>46.287499999999987</v>
      </c>
      <c r="AT183" s="4">
        <f ca="1">IF(ECF[[#This Row],[nE]]=1,ECF[[#This Row],[As,lado (cm²)]],IF(ECF[[#This Row],[nE]]=2,0.075*2*ECF[a (cm)],"N.A."))</f>
        <v>33.75</v>
      </c>
      <c r="AU183" s="4">
        <f ca="1">IFERROR(IF(ECF[[#This Row],[nE]]=1,"N.A.",0.2*ECF[[#This Row],[As,lado (cm²)]]),"N.S.")</f>
        <v>9.2574999999999985</v>
      </c>
      <c r="AV183" s="4" t="str">
        <f ca="1">As_malha(ECF[[#This Row],[nE]],ECF[[#This Row],[As,lado (cm²)]],ECF[[#This Row],[Nsd (kN)]])</f>
        <v>N.A.</v>
      </c>
      <c r="AW183" s="4" t="str">
        <f ca="1">As_susp_tot(ECF[[#This Row],[nE]],ECF[[#This Row],[Nsd (kN)]])</f>
        <v>N.A.</v>
      </c>
      <c r="AX183" s="4" t="str">
        <f ca="1">Asp_face(ECF[[#This Row],[nE]],ECF[[#This Row],[As,lado (cm²)]])</f>
        <v>N.A.</v>
      </c>
      <c r="AY183" s="5">
        <f ca="1">acoBloco(ECF[[#This Row],[nE]],ECF[[#This Row],[e (cm)]],ECF[[#This Row],[a (cm)]],ECF[[#This Row],[h (cm)]],ECF[[#This Row],[As,lado (cm²)]],ECF[[#This Row],[Asp e Asw (cm²/m)]],ECF[[#This Row],[As,sup (cm²)]],ECF[[#This Row],[As,malha (cm²)]],ECF[[#This Row],[As,susp,tot (cm²)]],ECF[[#This Row],[Asp,face (cm²)]])</f>
        <v>5399.7441749999998</v>
      </c>
      <c r="AZ183" s="4">
        <f ca="1">concretoBloco(ECF[[#This Row],[nE]],ECF[[#This Row],[e (cm)]],ECF[[#This Row],[a (cm)]],ECF[[#This Row],[h (cm)]])</f>
        <v>97.2</v>
      </c>
      <c r="BA183" s="5">
        <f ca="1">SUM(ECF[[#This Row],[Aço Est (kg)]],ECF[[#This Row],[Aço Bloco (kg)]])</f>
        <v>5621.6976959761187</v>
      </c>
      <c r="BB183" s="4">
        <f>INDEX(composicoes[],MATCH(95580,composicoes[CÓDIGO],0),MATCH("CUSTO TOTAL",composicoes[#Headers],0))</f>
        <v>10.46</v>
      </c>
      <c r="BC183" s="4">
        <f ca="1">SUM(ECF[[#This Row],[Conc Est (m³)]],ECF[[#This Row],[Conc Bloco (m³)]])</f>
        <v>132.54291735288518</v>
      </c>
      <c r="BD183" s="4">
        <f>INDEX(composicoes[],MATCH(94966,composicoes[CÓDIGO],0),MATCH("CUSTO TOTAL",composicoes[#Headers],0))</f>
        <v>439.52</v>
      </c>
      <c r="BE183" s="38">
        <f ca="1">ECF[[#This Row],[Aço (kg)]]*ECF[[#This Row],[Aço (R$/kg)]]+ECF[[#This Row],[Conc (m³)]]*ECF[[#This Row],[Conc (R$/m³)]]</f>
        <v>117058.22093485031</v>
      </c>
      <c r="BF183" s="4" t="str">
        <f ca="1">IF(COUNTIF(ECF[#This Row],"N.S.")&gt;0,"lim.","OK")</f>
        <v>OK</v>
      </c>
      <c r="BG183" s="4" t="str">
        <f>IF(ECF[[#This Row],[Prof. (m)]]&lt;4,"lim.","OK")</f>
        <v>OK</v>
      </c>
      <c r="BH183" s="4" t="str">
        <f>IF(ECF[[#This Row],[Prof. (m)]]&gt;=8*ECF[[#This Row],[Ø (cm)]]/100,"OK","lim.")</f>
        <v>lim.</v>
      </c>
      <c r="BI183" s="4" t="str">
        <f>IF(AND(SPT!$F$3&lt;&gt;"",ECF[[#This Row],[Prof. (m)]]&gt;=SPT!$F$3-2),"lim.","OK")</f>
        <v>OK</v>
      </c>
      <c r="BJ183" s="4" t="str">
        <f ca="1">IF(ECF[[#This Row],[Verif. Biela]]="OK","OK","lim.")</f>
        <v>OK</v>
      </c>
      <c r="BK183" s="4" t="str">
        <f ca="1">IF(COUNTA(ECF[[#This Row],[Nº Est.]:[Biela comp.]])=COUNTIF(ECF[[#This Row],[Nº Est.]:[Biela comp.]],"OK"),"OK","lim.")</f>
        <v>lim.</v>
      </c>
      <c r="BL183" s="4" t="str">
        <f ca="1">IF(ECF[[#This Row],[Controle]]="OK",ECF[[#This Row],[nE]]&amp;" Ø"&amp;ECF[[#This Row],[Ø (cm)]]&amp;"cm Prof. "&amp;ECF[[#This Row],[Prof. (m)]]&amp;" m","")</f>
        <v/>
      </c>
      <c r="BM183" s="4" t="str">
        <f ca="1">IF(ECF[[#This Row],[idDimensionamento]]="","",ECF[[#This Row],[idPilar]]&amp;ECF[[#This Row],[idDimensionamento]])</f>
        <v/>
      </c>
    </row>
    <row r="184" spans="2:65" x14ac:dyDescent="0.25">
      <c r="B184" s="12">
        <f>ROUNDUP((ROW(ECF[[#This Row],[idDiâmetro]])-ROW(ECF[[#Headers],[idDiâmetro]]))/(COUNT(SPT[Prof. (m)])*COUNT(PILARES[Pilar])),0)</f>
        <v>7</v>
      </c>
      <c r="C184" s="12">
        <f>IF(ECF[[#This Row],[idDiâmetro]]&lt;&gt;B183,1,IF(ECF[[#This Row],[Prof. (m)]]=0,C183+1,C183))</f>
        <v>1</v>
      </c>
      <c r="D184" s="1">
        <f>IFERROR(IF(D183=MAX(SPT[Prof. (m)]),0,D183+1),0)</f>
        <v>11</v>
      </c>
      <c r="E184" s="1">
        <f>INDEX(SPT[],MATCH(ECF[[#This Row],[Prof. (m)]],SPT[Prof. (m)],0),2)</f>
        <v>41</v>
      </c>
      <c r="F184" s="1" t="str">
        <f>INDEX(SPT[],MATCH(ECF[[#This Row],[Prof. (m)]],SPT[Prof. (m)],0),3)</f>
        <v>Areia siltosa</v>
      </c>
      <c r="G184" s="1">
        <f>INDEX(estacas[],ECF[[#This Row],[idDiâmetro]],MATCH($B$2,estacas[#Headers],0))</f>
        <v>150</v>
      </c>
      <c r="H184" s="1">
        <f>INDEX(estacas[],MATCH(ECF[[#This Row],[Ø (cm)]],estacas[Ø ECF (cm)],0),MATCH(ECF[[#Headers],[Pe ECF (kN)]],estacas[#Headers],0))</f>
        <v>7100</v>
      </c>
      <c r="I184" s="4">
        <f>INDEX(K_alpha_C[],MATCH(ECF[[#This Row],[Solo]],K_alpha_C[Solo],0),2)</f>
        <v>0.8</v>
      </c>
      <c r="J184" s="5">
        <f>INDEX(K_alpha_C[],MATCH(ECF[[#This Row],[Solo]],K_alpha_C[Solo],0),3)</f>
        <v>2</v>
      </c>
      <c r="K184" s="4">
        <f>INDEX(F1_F2[],MATCH($D$2,F1_F2[Tipo de estaca],0),2)</f>
        <v>3</v>
      </c>
      <c r="L184" s="4">
        <f>INDEX(F1_F2[],MATCH($D$2,F1_F2[Tipo de estaca],0),3)</f>
        <v>6</v>
      </c>
      <c r="M184" s="4">
        <f>PI()*(ECF[[#This Row],[Ø (cm)]]/100)^2/4</f>
        <v>1.7671458676442586</v>
      </c>
      <c r="N184" s="4">
        <f>PI()*ECF[[#This Row],[Ø (cm)]]/100</f>
        <v>4.7123889803846897</v>
      </c>
      <c r="O184" s="4">
        <f>IF(ECF[[#This Row],[Prof. (m)]]=0,0,ECF[[#This Row],[α (%)]]/100*ECF[[#This Row],[K (MPa)]]*1000*ECF[[#This Row],[NSPT]])</f>
        <v>656</v>
      </c>
      <c r="P184" s="4">
        <f>IF(ECF[[#This Row],[Prof. (m)]]=0,0,(ECF[[#This Row],[K (MPa)]]*1000*ECF[[#This Row],[NSPT]]/ECF[[#This Row],[F1]]*ECF[[#This Row],[Ap (m²)]]+ECF[[#This Row],[U (m)]]/ECF[[#This Row],[F2]]*SUMIFS(ECF[(α∙K∙NL∙ΔL)],ECF[Prof. (m)],"&lt;="&amp;ECF[[#This Row],[Prof. (m)]],ECF[idDiâmetro],ECF[[#This Row],[idDiâmetro]],ECF[idPilar],ECF[[#This Row],[idPilar]]))/'DADOS CAP. CARGA'!$D$2)</f>
        <v>10675.092566989948</v>
      </c>
      <c r="Q184" s="12">
        <f>INDEX(C_alpha_beta[],MATCH(ECF[[#This Row],[Solo]],C_alpha_beta[Solo],0),MATCH(ECF[[#Headers],[C (kPa)]],C_alpha_beta[#Headers],0))</f>
        <v>400</v>
      </c>
      <c r="R184" s="4">
        <f>INDEX(C_alpha_beta[],MATCH(ECF[[#This Row],[Solo]],C_alpha_beta[Solo],0),MATCH(ECF[[#Headers],[α ESF]],C_alpha_beta[#Headers],0))</f>
        <v>0.5</v>
      </c>
      <c r="S184" s="4">
        <f>INDEX(C_alpha_beta[],MATCH(ECF[[#This Row],[Solo]],C_alpha_beta[Solo],0),MATCH(ECF[[#Headers],[β ESF]],C_alpha_beta[#Headers],0))</f>
        <v>0.5</v>
      </c>
      <c r="T184" s="4">
        <f>IF(ECF[[#This Row],[Prof. (m)]]=0,0,10*(ECF[[#This Row],[NSPT]]/3+1))</f>
        <v>146.66666666666666</v>
      </c>
      <c r="U184" s="4">
        <f>(ECF[[#This Row],[α ESF]]*ECF[[#This Row],[C (kPa)]]*ECF[[#This Row],[NSPT]]*ECF[[#This Row],[Ap (m²)]])/'DADOS CAP. CARGA'!$Q$2+(ECF[[#This Row],[β ESF]]*SUMIFS(ECF[10∙(NL/3+1)],ECF[Prof. (m)],"&lt;="&amp;ECF[[#This Row],[Prof. (m)]],ECF[idDiâmetro],ECF[[#This Row],[idDiâmetro]],ECF[idPilar],ECF[[#This Row],[idPilar]])*ECF[[#This Row],[U (m)]])/'DADOS CAP. CARGA'!$S$2</f>
        <v>4423.7551553361272</v>
      </c>
      <c r="V184" s="4">
        <f>IF(SPT!$M$5=1,MIN(ECF[[#This Row],[Pe ECF (kN)]],ECF[[#This Row],[R_AV (kN)]]),IF(SPT!$M$5=2,MIN(ECF[[#This Row],[Pe ECF (kN)]],ECF[[#This Row],[R_DC (kN)]]),MIN(ECF[[#This Row],[Pe ECF (kN)]],ECF[[#This Row],[R_AV (kN)]],ECF[[#This Row],[R_DC (kN)]])))</f>
        <v>4423.7551553361272</v>
      </c>
      <c r="W184" s="4">
        <f>INDEX(PILARES[],ECF[[#This Row],[idPilar]],MATCH("Carga (kN)",PILARES[#Headers],0))*1.4</f>
        <v>3500</v>
      </c>
      <c r="X184" s="12">
        <f>INDEX(PILARES[],ECF[[#This Row],[idPilar]],MATCH(ECF[[#Headers],[ap (cm)]],PILARES[#Headers],0))</f>
        <v>60</v>
      </c>
      <c r="Y184" s="12">
        <f>INDEX(PILARES[],ECF[[#This Row],[idPilar]],MATCH(ECF[[#Headers],[bp (cm)]],PILARES[#Headers],0))</f>
        <v>60</v>
      </c>
      <c r="Z184" s="4">
        <f>SQRT(ECF[[#This Row],[ap (cm)]]*ECF[[#This Row],[bp (cm)]])</f>
        <v>60</v>
      </c>
      <c r="AA184" s="12">
        <f>ECF[[#This Row],[ap (cm)]]*ECF[[#This Row],[bp (cm)]]</f>
        <v>3600</v>
      </c>
      <c r="AB184" s="12">
        <f ca="1">IF(ECF[[#This Row],[Padm∙ε (kN)]]&gt;=ECF[[#This Row],[Padm (kN)]],ROUNDUP(1.05*ECF[[#This Row],[Nsd (kN)]]/ECF[[#This Row],[Padm (kN)]],0),ROUNDUP(1.05*ECF[[#This Row],[Nsd (kN)]]/ECF[[#This Row],[Padm (kN)]],0)+1)</f>
        <v>1</v>
      </c>
      <c r="AC184" s="4">
        <f ca="1">IFERROR(IF(ECF[[#This Row],[nE]]=1,ECF[[#This Row],[Padm (kN)]],ECF[[#This Row],[Padm (kN)]]*ECF[[#This Row],[nE]]*INDEX(grupoEstacas[],ECF[[#This Row],[nE]],MATCH("ε",grupoEstacas[#Headers],0))),"N.S.")</f>
        <v>4423.7551553361272</v>
      </c>
      <c r="AD184" s="4">
        <f ca="1">1.05*ECF[[#This Row],[Nsd (kN)]]/(ECF[[#This Row],[nE]]*PI()*ECF[[#This Row],[Ø (cm)]]^2/4)*10</f>
        <v>2.0796245897340988</v>
      </c>
      <c r="AE184" s="4">
        <f ca="1">IF(ECF[[#This Row],[σ (MPa)]]&lt;INDEX(tipoEstaca[],MATCH($D$2,tipoEstaca[TIPO DE ESTACA],0),MATCH("σmáx (MPa)",tipoEstaca[#Headers],0)),0.4%*PI()*ECF[[#This Row],[Ø (cm)]]^2/4,"N.S.")</f>
        <v>70.685834705770347</v>
      </c>
      <c r="AF184" s="1">
        <f>INDEX(tipoEstaca[],MATCH($D$2,tipoEstaca[TIPO DE ESTACA],0),MATCH(ECF[[#Headers],[Comprimento (m)]],tipoEstaca[#Headers],0))</f>
        <v>4</v>
      </c>
      <c r="AG184" s="5">
        <f ca="1">ECF[[#This Row],[As,mín (cm²)]]/100^2*ECF[[#This Row],[Comprimento (m)]]*7850</f>
        <v>221.95352097611888</v>
      </c>
      <c r="AH184" s="4">
        <f ca="1">ECF[[#This Row],[nE]]*ECF[[#This Row],[Prof. (m)]]*ECF[[#This Row],[Ap (m²)]]</f>
        <v>19.438604544086846</v>
      </c>
      <c r="AI184" s="1">
        <f ca="1">IF(ECF[[#This Row],[nE]]=1,0,MAX(3*ECF[[#This Row],[Ø (cm)]],60))</f>
        <v>0</v>
      </c>
      <c r="AJ184" s="1">
        <f ca="1">IF(ECF[[#This Row],[nE]]=1,ECF[[#This Row],[Ø (cm)]]+2*10,MAX(1.5*ECF[[#This Row],[Ø (cm)]],ECF[[#This Row],[Ø (cm)]]+15))</f>
        <v>170</v>
      </c>
      <c r="AK184" s="1">
        <f ca="1">alturaUtil(ECF[[#This Row],[nE]],ECF[[#This Row],[Ø (cm)]],ECF[[#This Row],[e (cm)]],ECF[[#This Row],[ap,eq (cm)]])</f>
        <v>180</v>
      </c>
      <c r="AL184" s="1">
        <f ca="1">IFERROR(ECF[[#This Row],[d (cm)]]+arredondarParaCimaMultiplo5cm(MAX(5,SQRT(PI())/2*ECF[[#This Row],[Ø (cm)]]/5)),"N.S.")</f>
        <v>210</v>
      </c>
      <c r="AM184" s="5">
        <f ca="1">alpha(ECF[[#This Row],[nE]],ECF[[#This Row],[d (cm)]],ECF[[#This Row],[e (cm)]],ECF[[#This Row],[ap,eq (cm)]])</f>
        <v>90</v>
      </c>
      <c r="AN184" s="35">
        <f ca="1">IFERROR(ECF[[#This Row],[Nsd (kN)]]/(ECF[[#This Row],[Ap (cm²)]]*SIN(ECF[[#This Row],[α]])^2),"N.S.")</f>
        <v>1.2164485570105679</v>
      </c>
      <c r="AO184" s="35">
        <f ca="1">IFERROR(ECF[[#This Row],[Nsd (kN)]]/(ECF[[#This Row],[nE]]*PI()*ECF[[#This Row],[Ø (cm)]]^2/4*SIN(ECF[[#This Row],[α]])^2),"N.S.")</f>
        <v>0.247812865107501</v>
      </c>
      <c r="AP184" s="4">
        <f ca="1">IFERROR(INDEX(grupoEstacas[],ECF[[#This Row],[nE]],MATCH("coef. Blévot",grupoEstacas[#Headers],0)),"N.S.")</f>
        <v>1</v>
      </c>
      <c r="AQ184" s="35">
        <f ca="1">IFERROR(ECF[[#This Row],[coef. Blévot]]*0.9*INDEX(tipoEstaca[],MATCH($D$2,tipoEstaca[TIPO DE ESTACA],0),MATCH("fcd (kN/cm²)",tipoEstaca[#Headers],0)),"N.S.")</f>
        <v>1</v>
      </c>
      <c r="AR184" s="1" t="str">
        <f ca="1">IF(AND(ECF[[#This Row],[cd,b,pil (kN/cm²)]]&lt;=ECF[[#This Row],[cd,b,lim (kN/cm²)]],ECF[[#This Row],[cd,b,est (kN/cm²)]]&lt;=ECF[[#This Row],[cd,b,lim (kN/cm²)]]),"OK","ERRO")</f>
        <v>ERRO</v>
      </c>
      <c r="AS184" s="4">
        <f ca="1">As_lado(ECF[[#This Row],[nE]],ECF[[#This Row],[Nsd (kN)]],ECF[[#This Row],[d (cm)]],ECF[[#This Row],[e (cm)]],ECF[[#This Row],[ap,eq (cm)]])</f>
        <v>20.125</v>
      </c>
      <c r="AT184" s="4">
        <f ca="1">IF(ECF[[#This Row],[nE]]=1,ECF[[#This Row],[As,lado (cm²)]],IF(ECF[[#This Row],[nE]]=2,0.075*2*ECF[a (cm)],"N.A."))</f>
        <v>20.125</v>
      </c>
      <c r="AU184" s="4" t="str">
        <f ca="1">IFERROR(IF(ECF[[#This Row],[nE]]=1,"N.A.",0.2*ECF[[#This Row],[As,lado (cm²)]]),"N.S.")</f>
        <v>N.A.</v>
      </c>
      <c r="AV184" s="4" t="str">
        <f ca="1">As_malha(ECF[[#This Row],[nE]],ECF[[#This Row],[As,lado (cm²)]],ECF[[#This Row],[Nsd (kN)]])</f>
        <v>N.A.</v>
      </c>
      <c r="AW184" s="4" t="str">
        <f ca="1">As_susp_tot(ECF[[#This Row],[nE]],ECF[[#This Row],[Nsd (kN)]])</f>
        <v>N.A.</v>
      </c>
      <c r="AX184" s="4" t="str">
        <f ca="1">Asp_face(ECF[[#This Row],[nE]],ECF[[#This Row],[As,lado (cm²)]])</f>
        <v>N.A.</v>
      </c>
      <c r="AY184" s="5">
        <f ca="1">acoBloco(ECF[[#This Row],[nE]],ECF[[#This Row],[e (cm)]],ECF[[#This Row],[a (cm)]],ECF[[#This Row],[h (cm)]],ECF[[#This Row],[As,lado (cm²)]],ECF[[#This Row],[Asp e Asw (cm²/m)]],ECF[[#This Row],[As,sup (cm²)]],ECF[[#This Row],[As,malha (cm²)]],ECF[[#This Row],[As,susp,tot (cm²)]],ECF[[#This Row],[Asp,face (cm²)]])</f>
        <v>347.55874999999997</v>
      </c>
      <c r="AZ184" s="4">
        <f ca="1">concretoBloco(ECF[[#This Row],[nE]],ECF[[#This Row],[e (cm)]],ECF[[#This Row],[a (cm)]],ECF[[#This Row],[h (cm)]])</f>
        <v>6.069</v>
      </c>
      <c r="BA184" s="5">
        <f ca="1">SUM(ECF[[#This Row],[Aço Est (kg)]],ECF[[#This Row],[Aço Bloco (kg)]])</f>
        <v>569.51227097611888</v>
      </c>
      <c r="BB184" s="4">
        <f>INDEX(composicoes[],MATCH(95580,composicoes[CÓDIGO],0),MATCH("CUSTO TOTAL",composicoes[#Headers],0))</f>
        <v>10.46</v>
      </c>
      <c r="BC184" s="4">
        <f ca="1">SUM(ECF[[#This Row],[Conc Est (m³)]],ECF[[#This Row],[Conc Bloco (m³)]])</f>
        <v>25.507604544086846</v>
      </c>
      <c r="BD184" s="4">
        <f>INDEX(composicoes[],MATCH(94966,composicoes[CÓDIGO],0),MATCH("CUSTO TOTAL",composicoes[#Headers],0))</f>
        <v>439.52</v>
      </c>
      <c r="BE184" s="38">
        <f ca="1">ECF[[#This Row],[Aço (kg)]]*ECF[[#This Row],[Aço (R$/kg)]]+ECF[[#This Row],[Conc (m³)]]*ECF[[#This Row],[Conc (R$/m³)]]</f>
        <v>17168.200703627255</v>
      </c>
      <c r="BF184" s="4" t="str">
        <f ca="1">IF(COUNTIF(ECF[#This Row],"N.S.")&gt;0,"lim.","OK")</f>
        <v>OK</v>
      </c>
      <c r="BG184" s="4" t="str">
        <f>IF(ECF[[#This Row],[Prof. (m)]]&lt;4,"lim.","OK")</f>
        <v>OK</v>
      </c>
      <c r="BH184" s="4" t="str">
        <f>IF(ECF[[#This Row],[Prof. (m)]]&gt;=8*ECF[[#This Row],[Ø (cm)]]/100,"OK","lim.")</f>
        <v>lim.</v>
      </c>
      <c r="BI184" s="4" t="str">
        <f>IF(AND(SPT!$F$3&lt;&gt;"",ECF[[#This Row],[Prof. (m)]]&gt;=SPT!$F$3-2),"lim.","OK")</f>
        <v>OK</v>
      </c>
      <c r="BJ184" s="4" t="str">
        <f ca="1">IF(ECF[[#This Row],[Verif. Biela]]="OK","OK","lim.")</f>
        <v>lim.</v>
      </c>
      <c r="BK184" s="4" t="str">
        <f ca="1">IF(COUNTA(ECF[[#This Row],[Nº Est.]:[Biela comp.]])=COUNTIF(ECF[[#This Row],[Nº Est.]:[Biela comp.]],"OK"),"OK","lim.")</f>
        <v>lim.</v>
      </c>
      <c r="BL184" s="4" t="str">
        <f ca="1">IF(ECF[[#This Row],[Controle]]="OK",ECF[[#This Row],[nE]]&amp;" Ø"&amp;ECF[[#This Row],[Ø (cm)]]&amp;"cm Prof. "&amp;ECF[[#This Row],[Prof. (m)]]&amp;" m","")</f>
        <v/>
      </c>
      <c r="BM184" s="4" t="str">
        <f ca="1">IF(ECF[[#This Row],[idDimensionamento]]="","",ECF[[#This Row],[idPilar]]&amp;ECF[[#This Row],[idDimensionamento]])</f>
        <v/>
      </c>
    </row>
    <row r="185" spans="2:65" x14ac:dyDescent="0.25">
      <c r="B185" s="12">
        <f>ROUNDUP((ROW(ECF[[#This Row],[idDiâmetro]])-ROW(ECF[[#Headers],[idDiâmetro]]))/(COUNT(SPT[Prof. (m)])*COUNT(PILARES[Pilar])),0)</f>
        <v>7</v>
      </c>
      <c r="C185" s="12">
        <f>IF(ECF[[#This Row],[idDiâmetro]]&lt;&gt;B184,1,IF(ECF[[#This Row],[Prof. (m)]]=0,C184+1,C184))</f>
        <v>1</v>
      </c>
      <c r="D185" s="1">
        <f>IFERROR(IF(D184=MAX(SPT[Prof. (m)]),0,D184+1),0)</f>
        <v>12</v>
      </c>
      <c r="E185" s="1">
        <f>INDEX(SPT[],MATCH(ECF[[#This Row],[Prof. (m)]],SPT[Prof. (m)],0),2)</f>
        <v>52</v>
      </c>
      <c r="F185" s="1" t="str">
        <f>INDEX(SPT[],MATCH(ECF[[#This Row],[Prof. (m)]],SPT[Prof. (m)],0),3)</f>
        <v>Areia siltosa</v>
      </c>
      <c r="G185" s="1">
        <f>INDEX(estacas[],ECF[[#This Row],[idDiâmetro]],MATCH($B$2,estacas[#Headers],0))</f>
        <v>150</v>
      </c>
      <c r="H185" s="1">
        <f>INDEX(estacas[],MATCH(ECF[[#This Row],[Ø (cm)]],estacas[Ø ECF (cm)],0),MATCH(ECF[[#Headers],[Pe ECF (kN)]],estacas[#Headers],0))</f>
        <v>7100</v>
      </c>
      <c r="I185" s="4">
        <f>INDEX(K_alpha_C[],MATCH(ECF[[#This Row],[Solo]],K_alpha_C[Solo],0),2)</f>
        <v>0.8</v>
      </c>
      <c r="J185" s="5">
        <f>INDEX(K_alpha_C[],MATCH(ECF[[#This Row],[Solo]],K_alpha_C[Solo],0),3)</f>
        <v>2</v>
      </c>
      <c r="K185" s="4">
        <f>INDEX(F1_F2[],MATCH($D$2,F1_F2[Tipo de estaca],0),2)</f>
        <v>3</v>
      </c>
      <c r="L185" s="4">
        <f>INDEX(F1_F2[],MATCH($D$2,F1_F2[Tipo de estaca],0),3)</f>
        <v>6</v>
      </c>
      <c r="M185" s="4">
        <f>PI()*(ECF[[#This Row],[Ø (cm)]]/100)^2/4</f>
        <v>1.7671458676442586</v>
      </c>
      <c r="N185" s="4">
        <f>PI()*ECF[[#This Row],[Ø (cm)]]/100</f>
        <v>4.7123889803846897</v>
      </c>
      <c r="O185" s="4">
        <f>IF(ECF[[#This Row],[Prof. (m)]]=0,0,ECF[[#This Row],[α (%)]]/100*ECF[[#This Row],[K (MPa)]]*1000*ECF[[#This Row],[NSPT]])</f>
        <v>832</v>
      </c>
      <c r="P185" s="4">
        <f>IF(ECF[[#This Row],[Prof. (m)]]=0,0,(ECF[[#This Row],[K (MPa)]]*1000*ECF[[#This Row],[NSPT]]/ECF[[#This Row],[F1]]*ECF[[#This Row],[Ap (m²)]]+ECF[[#This Row],[U (m)]]/ECF[[#This Row],[F2]]*SUMIFS(ECF[(α∙K∙NL∙ΔL)],ECF[Prof. (m)],"&lt;="&amp;ECF[[#This Row],[Prof. (m)]],ECF[idDiâmetro],ECF[[#This Row],[idDiâmetro]],ECF[idPilar],ECF[[#This Row],[idPilar]]))/'DADOS CAP. CARGA'!$D$2)</f>
        <v>13593.632142174863</v>
      </c>
      <c r="Q185" s="12">
        <f>INDEX(C_alpha_beta[],MATCH(ECF[[#This Row],[Solo]],C_alpha_beta[Solo],0),MATCH(ECF[[#Headers],[C (kPa)]],C_alpha_beta[#Headers],0))</f>
        <v>400</v>
      </c>
      <c r="R185" s="4">
        <f>INDEX(C_alpha_beta[],MATCH(ECF[[#This Row],[Solo]],C_alpha_beta[Solo],0),MATCH(ECF[[#Headers],[α ESF]],C_alpha_beta[#Headers],0))</f>
        <v>0.5</v>
      </c>
      <c r="S185" s="4">
        <f>INDEX(C_alpha_beta[],MATCH(ECF[[#This Row],[Solo]],C_alpha_beta[Solo],0),MATCH(ECF[[#Headers],[β ESF]],C_alpha_beta[#Headers],0))</f>
        <v>0.5</v>
      </c>
      <c r="T185" s="4">
        <f>IF(ECF[[#This Row],[Prof. (m)]]=0,0,10*(ECF[[#This Row],[NSPT]]/3+1))</f>
        <v>183.33333333333331</v>
      </c>
      <c r="U185" s="4">
        <f>(ECF[[#This Row],[α ESF]]*ECF[[#This Row],[C (kPa)]]*ECF[[#This Row],[NSPT]]*ECF[[#This Row],[Ap (m²)]])/'DADOS CAP. CARGA'!$Q$2+(ECF[[#This Row],[β ESF]]*SUMIFS(ECF[10∙(NL/3+1)],ECF[Prof. (m)],"&lt;="&amp;ECF[[#This Row],[Prof. (m)]],ECF[idDiâmetro],ECF[[#This Row],[idDiâmetro]],ECF[idPilar],ECF[[#This Row],[idPilar]])*ECF[[#This Row],[U (m)]])/'DADOS CAP. CARGA'!$S$2</f>
        <v>5611.6698774747683</v>
      </c>
      <c r="V185" s="4">
        <f>IF(SPT!$M$5=1,MIN(ECF[[#This Row],[Pe ECF (kN)]],ECF[[#This Row],[R_AV (kN)]]),IF(SPT!$M$5=2,MIN(ECF[[#This Row],[Pe ECF (kN)]],ECF[[#This Row],[R_DC (kN)]]),MIN(ECF[[#This Row],[Pe ECF (kN)]],ECF[[#This Row],[R_AV (kN)]],ECF[[#This Row],[R_DC (kN)]])))</f>
        <v>5611.6698774747683</v>
      </c>
      <c r="W185" s="4">
        <f>INDEX(PILARES[],ECF[[#This Row],[idPilar]],MATCH("Carga (kN)",PILARES[#Headers],0))*1.4</f>
        <v>3500</v>
      </c>
      <c r="X185" s="12">
        <f>INDEX(PILARES[],ECF[[#This Row],[idPilar]],MATCH(ECF[[#Headers],[ap (cm)]],PILARES[#Headers],0))</f>
        <v>60</v>
      </c>
      <c r="Y185" s="12">
        <f>INDEX(PILARES[],ECF[[#This Row],[idPilar]],MATCH(ECF[[#Headers],[bp (cm)]],PILARES[#Headers],0))</f>
        <v>60</v>
      </c>
      <c r="Z185" s="4">
        <f>SQRT(ECF[[#This Row],[ap (cm)]]*ECF[[#This Row],[bp (cm)]])</f>
        <v>60</v>
      </c>
      <c r="AA185" s="12">
        <f>ECF[[#This Row],[ap (cm)]]*ECF[[#This Row],[bp (cm)]]</f>
        <v>3600</v>
      </c>
      <c r="AB185" s="12">
        <f ca="1">IF(ECF[[#This Row],[Padm∙ε (kN)]]&gt;=ECF[[#This Row],[Padm (kN)]],ROUNDUP(1.05*ECF[[#This Row],[Nsd (kN)]]/ECF[[#This Row],[Padm (kN)]],0),ROUNDUP(1.05*ECF[[#This Row],[Nsd (kN)]]/ECF[[#This Row],[Padm (kN)]],0)+1)</f>
        <v>1</v>
      </c>
      <c r="AC185" s="4">
        <f ca="1">IFERROR(IF(ECF[[#This Row],[nE]]=1,ECF[[#This Row],[Padm (kN)]],ECF[[#This Row],[Padm (kN)]]*ECF[[#This Row],[nE]]*INDEX(grupoEstacas[],ECF[[#This Row],[nE]],MATCH("ε",grupoEstacas[#Headers],0))),"N.S.")</f>
        <v>5611.6698774747683</v>
      </c>
      <c r="AD185" s="4">
        <f ca="1">1.05*ECF[[#This Row],[Nsd (kN)]]/(ECF[[#This Row],[nE]]*PI()*ECF[[#This Row],[Ø (cm)]]^2/4)*10</f>
        <v>2.0796245897340988</v>
      </c>
      <c r="AE185" s="4">
        <f ca="1">IF(ECF[[#This Row],[σ (MPa)]]&lt;INDEX(tipoEstaca[],MATCH($D$2,tipoEstaca[TIPO DE ESTACA],0),MATCH("σmáx (MPa)",tipoEstaca[#Headers],0)),0.4%*PI()*ECF[[#This Row],[Ø (cm)]]^2/4,"N.S.")</f>
        <v>70.685834705770347</v>
      </c>
      <c r="AF185" s="1">
        <f>INDEX(tipoEstaca[],MATCH($D$2,tipoEstaca[TIPO DE ESTACA],0),MATCH(ECF[[#Headers],[Comprimento (m)]],tipoEstaca[#Headers],0))</f>
        <v>4</v>
      </c>
      <c r="AG185" s="5">
        <f ca="1">ECF[[#This Row],[As,mín (cm²)]]/100^2*ECF[[#This Row],[Comprimento (m)]]*7850</f>
        <v>221.95352097611888</v>
      </c>
      <c r="AH185" s="4">
        <f ca="1">ECF[[#This Row],[nE]]*ECF[[#This Row],[Prof. (m)]]*ECF[[#This Row],[Ap (m²)]]</f>
        <v>21.205750411731103</v>
      </c>
      <c r="AI185" s="1">
        <f ca="1">IF(ECF[[#This Row],[nE]]=1,0,MAX(3*ECF[[#This Row],[Ø (cm)]],60))</f>
        <v>0</v>
      </c>
      <c r="AJ185" s="1">
        <f ca="1">IF(ECF[[#This Row],[nE]]=1,ECF[[#This Row],[Ø (cm)]]+2*10,MAX(1.5*ECF[[#This Row],[Ø (cm)]],ECF[[#This Row],[Ø (cm)]]+15))</f>
        <v>170</v>
      </c>
      <c r="AK185" s="1">
        <f ca="1">alturaUtil(ECF[[#This Row],[nE]],ECF[[#This Row],[Ø (cm)]],ECF[[#This Row],[e (cm)]],ECF[[#This Row],[ap,eq (cm)]])</f>
        <v>180</v>
      </c>
      <c r="AL185" s="1">
        <f ca="1">IFERROR(ECF[[#This Row],[d (cm)]]+arredondarParaCimaMultiplo5cm(MAX(5,SQRT(PI())/2*ECF[[#This Row],[Ø (cm)]]/5)),"N.S.")</f>
        <v>210</v>
      </c>
      <c r="AM185" s="5">
        <f ca="1">alpha(ECF[[#This Row],[nE]],ECF[[#This Row],[d (cm)]],ECF[[#This Row],[e (cm)]],ECF[[#This Row],[ap,eq (cm)]])</f>
        <v>90</v>
      </c>
      <c r="AN185" s="35">
        <f ca="1">IFERROR(ECF[[#This Row],[Nsd (kN)]]/(ECF[[#This Row],[Ap (cm²)]]*SIN(ECF[[#This Row],[α]])^2),"N.S.")</f>
        <v>1.2164485570105679</v>
      </c>
      <c r="AO185" s="35">
        <f ca="1">IFERROR(ECF[[#This Row],[Nsd (kN)]]/(ECF[[#This Row],[nE]]*PI()*ECF[[#This Row],[Ø (cm)]]^2/4*SIN(ECF[[#This Row],[α]])^2),"N.S.")</f>
        <v>0.247812865107501</v>
      </c>
      <c r="AP185" s="4">
        <f ca="1">IFERROR(INDEX(grupoEstacas[],ECF[[#This Row],[nE]],MATCH("coef. Blévot",grupoEstacas[#Headers],0)),"N.S.")</f>
        <v>1</v>
      </c>
      <c r="AQ185" s="35">
        <f ca="1">IFERROR(ECF[[#This Row],[coef. Blévot]]*0.9*INDEX(tipoEstaca[],MATCH($D$2,tipoEstaca[TIPO DE ESTACA],0),MATCH("fcd (kN/cm²)",tipoEstaca[#Headers],0)),"N.S.")</f>
        <v>1</v>
      </c>
      <c r="AR185" s="1" t="str">
        <f ca="1">IF(AND(ECF[[#This Row],[cd,b,pil (kN/cm²)]]&lt;=ECF[[#This Row],[cd,b,lim (kN/cm²)]],ECF[[#This Row],[cd,b,est (kN/cm²)]]&lt;=ECF[[#This Row],[cd,b,lim (kN/cm²)]]),"OK","ERRO")</f>
        <v>ERRO</v>
      </c>
      <c r="AS185" s="4">
        <f ca="1">As_lado(ECF[[#This Row],[nE]],ECF[[#This Row],[Nsd (kN)]],ECF[[#This Row],[d (cm)]],ECF[[#This Row],[e (cm)]],ECF[[#This Row],[ap,eq (cm)]])</f>
        <v>20.125</v>
      </c>
      <c r="AT185" s="4">
        <f ca="1">IF(ECF[[#This Row],[nE]]=1,ECF[[#This Row],[As,lado (cm²)]],IF(ECF[[#This Row],[nE]]=2,0.075*2*ECF[a (cm)],"N.A."))</f>
        <v>20.125</v>
      </c>
      <c r="AU185" s="4" t="str">
        <f ca="1">IFERROR(IF(ECF[[#This Row],[nE]]=1,"N.A.",0.2*ECF[[#This Row],[As,lado (cm²)]]),"N.S.")</f>
        <v>N.A.</v>
      </c>
      <c r="AV185" s="4" t="str">
        <f ca="1">As_malha(ECF[[#This Row],[nE]],ECF[[#This Row],[As,lado (cm²)]],ECF[[#This Row],[Nsd (kN)]])</f>
        <v>N.A.</v>
      </c>
      <c r="AW185" s="4" t="str">
        <f ca="1">As_susp_tot(ECF[[#This Row],[nE]],ECF[[#This Row],[Nsd (kN)]])</f>
        <v>N.A.</v>
      </c>
      <c r="AX185" s="4" t="str">
        <f ca="1">Asp_face(ECF[[#This Row],[nE]],ECF[[#This Row],[As,lado (cm²)]])</f>
        <v>N.A.</v>
      </c>
      <c r="AY185" s="5">
        <f ca="1">acoBloco(ECF[[#This Row],[nE]],ECF[[#This Row],[e (cm)]],ECF[[#This Row],[a (cm)]],ECF[[#This Row],[h (cm)]],ECF[[#This Row],[As,lado (cm²)]],ECF[[#This Row],[Asp e Asw (cm²/m)]],ECF[[#This Row],[As,sup (cm²)]],ECF[[#This Row],[As,malha (cm²)]],ECF[[#This Row],[As,susp,tot (cm²)]],ECF[[#This Row],[Asp,face (cm²)]])</f>
        <v>347.55874999999997</v>
      </c>
      <c r="AZ185" s="4">
        <f ca="1">concretoBloco(ECF[[#This Row],[nE]],ECF[[#This Row],[e (cm)]],ECF[[#This Row],[a (cm)]],ECF[[#This Row],[h (cm)]])</f>
        <v>6.069</v>
      </c>
      <c r="BA185" s="5">
        <f ca="1">SUM(ECF[[#This Row],[Aço Est (kg)]],ECF[[#This Row],[Aço Bloco (kg)]])</f>
        <v>569.51227097611888</v>
      </c>
      <c r="BB185" s="4">
        <f>INDEX(composicoes[],MATCH(95580,composicoes[CÓDIGO],0),MATCH("CUSTO TOTAL",composicoes[#Headers],0))</f>
        <v>10.46</v>
      </c>
      <c r="BC185" s="4">
        <f ca="1">SUM(ECF[[#This Row],[Conc Est (m³)]],ECF[[#This Row],[Conc Bloco (m³)]])</f>
        <v>27.274750411731102</v>
      </c>
      <c r="BD185" s="4">
        <f>INDEX(composicoes[],MATCH(94966,composicoes[CÓDIGO],0),MATCH("CUSTO TOTAL",composicoes[#Headers],0))</f>
        <v>439.52</v>
      </c>
      <c r="BE185" s="38">
        <f ca="1">ECF[[#This Row],[Aço (kg)]]*ECF[[#This Row],[Aço (R$/kg)]]+ECF[[#This Row],[Conc (m³)]]*ECF[[#This Row],[Conc (R$/m³)]]</f>
        <v>17944.896655374258</v>
      </c>
      <c r="BF185" s="4" t="str">
        <f ca="1">IF(COUNTIF(ECF[#This Row],"N.S.")&gt;0,"lim.","OK")</f>
        <v>OK</v>
      </c>
      <c r="BG185" s="4" t="str">
        <f>IF(ECF[[#This Row],[Prof. (m)]]&lt;4,"lim.","OK")</f>
        <v>OK</v>
      </c>
      <c r="BH185" s="4" t="str">
        <f>IF(ECF[[#This Row],[Prof. (m)]]&gt;=8*ECF[[#This Row],[Ø (cm)]]/100,"OK","lim.")</f>
        <v>OK</v>
      </c>
      <c r="BI185" s="4" t="str">
        <f>IF(AND(SPT!$F$3&lt;&gt;"",ECF[[#This Row],[Prof. (m)]]&gt;=SPT!$F$3-2),"lim.","OK")</f>
        <v>OK</v>
      </c>
      <c r="BJ185" s="4" t="str">
        <f ca="1">IF(ECF[[#This Row],[Verif. Biela]]="OK","OK","lim.")</f>
        <v>lim.</v>
      </c>
      <c r="BK185" s="4" t="str">
        <f ca="1">IF(COUNTA(ECF[[#This Row],[Nº Est.]:[Biela comp.]])=COUNTIF(ECF[[#This Row],[Nº Est.]:[Biela comp.]],"OK"),"OK","lim.")</f>
        <v>lim.</v>
      </c>
      <c r="BL185" s="4" t="str">
        <f ca="1">IF(ECF[[#This Row],[Controle]]="OK",ECF[[#This Row],[nE]]&amp;" Ø"&amp;ECF[[#This Row],[Ø (cm)]]&amp;"cm Prof. "&amp;ECF[[#This Row],[Prof. (m)]]&amp;" m","")</f>
        <v/>
      </c>
      <c r="BM185" s="4" t="str">
        <f ca="1">IF(ECF[[#This Row],[idDimensionamento]]="","",ECF[[#This Row],[idPilar]]&amp;ECF[[#This Row],[idDimensionamento]])</f>
        <v/>
      </c>
    </row>
    <row r="186" spans="2:65" x14ac:dyDescent="0.25">
      <c r="B186" s="12">
        <f>ROUNDUP((ROW(ECF[[#This Row],[idDiâmetro]])-ROW(ECF[[#Headers],[idDiâmetro]]))/(COUNT(SPT[Prof. (m)])*COUNT(PILARES[Pilar])),0)</f>
        <v>7</v>
      </c>
      <c r="C186" s="12">
        <f>IF(ECF[[#This Row],[idDiâmetro]]&lt;&gt;B185,1,IF(ECF[[#This Row],[Prof. (m)]]=0,C185+1,C185))</f>
        <v>1</v>
      </c>
      <c r="D186" s="1">
        <f>IFERROR(IF(D185=MAX(SPT[Prof. (m)]),0,D185+1),0)</f>
        <v>13</v>
      </c>
      <c r="E186" s="1">
        <f>INDEX(SPT[],MATCH(ECF[[#This Row],[Prof. (m)]],SPT[Prof. (m)],0),2)</f>
        <v>68</v>
      </c>
      <c r="F186" s="1" t="str">
        <f>INDEX(SPT[],MATCH(ECF[[#This Row],[Prof. (m)]],SPT[Prof. (m)],0),3)</f>
        <v>Areia siltosa</v>
      </c>
      <c r="G186" s="1">
        <f>INDEX(estacas[],ECF[[#This Row],[idDiâmetro]],MATCH($B$2,estacas[#Headers],0))</f>
        <v>150</v>
      </c>
      <c r="H186" s="1">
        <f>INDEX(estacas[],MATCH(ECF[[#This Row],[Ø (cm)]],estacas[Ø ECF (cm)],0),MATCH(ECF[[#Headers],[Pe ECF (kN)]],estacas[#Headers],0))</f>
        <v>7100</v>
      </c>
      <c r="I186" s="4">
        <f>INDEX(K_alpha_C[],MATCH(ECF[[#This Row],[Solo]],K_alpha_C[Solo],0),2)</f>
        <v>0.8</v>
      </c>
      <c r="J186" s="5">
        <f>INDEX(K_alpha_C[],MATCH(ECF[[#This Row],[Solo]],K_alpha_C[Solo],0),3)</f>
        <v>2</v>
      </c>
      <c r="K186" s="4">
        <f>INDEX(F1_F2[],MATCH($D$2,F1_F2[Tipo de estaca],0),2)</f>
        <v>3</v>
      </c>
      <c r="L186" s="4">
        <f>INDEX(F1_F2[],MATCH($D$2,F1_F2[Tipo de estaca],0),3)</f>
        <v>6</v>
      </c>
      <c r="M186" s="4">
        <f>PI()*(ECF[[#This Row],[Ø (cm)]]/100)^2/4</f>
        <v>1.7671458676442586</v>
      </c>
      <c r="N186" s="4">
        <f>PI()*ECF[[#This Row],[Ø (cm)]]/100</f>
        <v>4.7123889803846897</v>
      </c>
      <c r="O186" s="4">
        <f>IF(ECF[[#This Row],[Prof. (m)]]=0,0,ECF[[#This Row],[α (%)]]/100*ECF[[#This Row],[K (MPa)]]*1000*ECF[[#This Row],[NSPT]])</f>
        <v>1088</v>
      </c>
      <c r="P186" s="4">
        <f>IF(ECF[[#This Row],[Prof. (m)]]=0,0,(ECF[[#This Row],[K (MPa)]]*1000*ECF[[#This Row],[NSPT]]/ECF[[#This Row],[F1]]*ECF[[#This Row],[Ap (m²)]]+ECF[[#This Row],[U (m)]]/ECF[[#This Row],[F2]]*SUMIFS(ECF[(α∙K∙NL∙ΔL)],ECF[Prof. (m)],"&lt;="&amp;ECF[[#This Row],[Prof. (m)]],ECF[idDiâmetro],ECF[[#This Row],[idDiâmetro]],ECF[idPilar],ECF[[#This Row],[idPilar]]))/'DADOS CAP. CARGA'!$D$2)</f>
        <v>17790.799927370826</v>
      </c>
      <c r="Q186" s="12">
        <f>INDEX(C_alpha_beta[],MATCH(ECF[[#This Row],[Solo]],C_alpha_beta[Solo],0),MATCH(ECF[[#Headers],[C (kPa)]],C_alpha_beta[#Headers],0))</f>
        <v>400</v>
      </c>
      <c r="R186" s="4">
        <f>INDEX(C_alpha_beta[],MATCH(ECF[[#This Row],[Solo]],C_alpha_beta[Solo],0),MATCH(ECF[[#Headers],[α ESF]],C_alpha_beta[#Headers],0))</f>
        <v>0.5</v>
      </c>
      <c r="S186" s="4">
        <f>INDEX(C_alpha_beta[],MATCH(ECF[[#This Row],[Solo]],C_alpha_beta[Solo],0),MATCH(ECF[[#Headers],[β ESF]],C_alpha_beta[#Headers],0))</f>
        <v>0.5</v>
      </c>
      <c r="T186" s="4">
        <f>IF(ECF[[#This Row],[Prof. (m)]]=0,0,10*(ECF[[#This Row],[NSPT]]/3+1))</f>
        <v>236.66666666666669</v>
      </c>
      <c r="U186" s="4">
        <f>(ECF[[#This Row],[α ESF]]*ECF[[#This Row],[C (kPa)]]*ECF[[#This Row],[NSPT]]*ECF[[#This Row],[Ap (m²)]])/'DADOS CAP. CARGA'!$Q$2+(ECF[[#This Row],[β ESF]]*SUMIFS(ECF[10∙(NL/3+1)],ECF[Prof. (m)],"&lt;="&amp;ECF[[#This Row],[Prof. (m)]],ECF[idDiâmetro],ECF[[#This Row],[idDiâmetro]],ECF[idPilar],ECF[[#This Row],[idPilar]])*ECF[[#This Row],[U (m)]])/'DADOS CAP. CARGA'!$S$2</f>
        <v>7304.2029195962687</v>
      </c>
      <c r="V186" s="4">
        <f>IF(SPT!$M$5=1,MIN(ECF[[#This Row],[Pe ECF (kN)]],ECF[[#This Row],[R_AV (kN)]]),IF(SPT!$M$5=2,MIN(ECF[[#This Row],[Pe ECF (kN)]],ECF[[#This Row],[R_DC (kN)]]),MIN(ECF[[#This Row],[Pe ECF (kN)]],ECF[[#This Row],[R_AV (kN)]],ECF[[#This Row],[R_DC (kN)]])))</f>
        <v>7100</v>
      </c>
      <c r="W186" s="4">
        <f>INDEX(PILARES[],ECF[[#This Row],[idPilar]],MATCH("Carga (kN)",PILARES[#Headers],0))*1.4</f>
        <v>3500</v>
      </c>
      <c r="X186" s="12">
        <f>INDEX(PILARES[],ECF[[#This Row],[idPilar]],MATCH(ECF[[#Headers],[ap (cm)]],PILARES[#Headers],0))</f>
        <v>60</v>
      </c>
      <c r="Y186" s="12">
        <f>INDEX(PILARES[],ECF[[#This Row],[idPilar]],MATCH(ECF[[#Headers],[bp (cm)]],PILARES[#Headers],0))</f>
        <v>60</v>
      </c>
      <c r="Z186" s="4">
        <f>SQRT(ECF[[#This Row],[ap (cm)]]*ECF[[#This Row],[bp (cm)]])</f>
        <v>60</v>
      </c>
      <c r="AA186" s="12">
        <f>ECF[[#This Row],[ap (cm)]]*ECF[[#This Row],[bp (cm)]]</f>
        <v>3600</v>
      </c>
      <c r="AB186" s="12">
        <f ca="1">IF(ECF[[#This Row],[Padm∙ε (kN)]]&gt;=ECF[[#This Row],[Padm (kN)]],ROUNDUP(1.05*ECF[[#This Row],[Nsd (kN)]]/ECF[[#This Row],[Padm (kN)]],0),ROUNDUP(1.05*ECF[[#This Row],[Nsd (kN)]]/ECF[[#This Row],[Padm (kN)]],0)+1)</f>
        <v>1</v>
      </c>
      <c r="AC186" s="4">
        <f ca="1">IFERROR(IF(ECF[[#This Row],[nE]]=1,ECF[[#This Row],[Padm (kN)]],ECF[[#This Row],[Padm (kN)]]*ECF[[#This Row],[nE]]*INDEX(grupoEstacas[],ECF[[#This Row],[nE]],MATCH("ε",grupoEstacas[#Headers],0))),"N.S.")</f>
        <v>7100</v>
      </c>
      <c r="AD186" s="4">
        <f ca="1">1.05*ECF[[#This Row],[Nsd (kN)]]/(ECF[[#This Row],[nE]]*PI()*ECF[[#This Row],[Ø (cm)]]^2/4)*10</f>
        <v>2.0796245897340988</v>
      </c>
      <c r="AE186" s="4">
        <f ca="1">IF(ECF[[#This Row],[σ (MPa)]]&lt;INDEX(tipoEstaca[],MATCH($D$2,tipoEstaca[TIPO DE ESTACA],0),MATCH("σmáx (MPa)",tipoEstaca[#Headers],0)),0.4%*PI()*ECF[[#This Row],[Ø (cm)]]^2/4,"N.S.")</f>
        <v>70.685834705770347</v>
      </c>
      <c r="AF186" s="1">
        <f>INDEX(tipoEstaca[],MATCH($D$2,tipoEstaca[TIPO DE ESTACA],0),MATCH(ECF[[#Headers],[Comprimento (m)]],tipoEstaca[#Headers],0))</f>
        <v>4</v>
      </c>
      <c r="AG186" s="5">
        <f ca="1">ECF[[#This Row],[As,mín (cm²)]]/100^2*ECF[[#This Row],[Comprimento (m)]]*7850</f>
        <v>221.95352097611888</v>
      </c>
      <c r="AH186" s="4">
        <f ca="1">ECF[[#This Row],[nE]]*ECF[[#This Row],[Prof. (m)]]*ECF[[#This Row],[Ap (m²)]]</f>
        <v>22.972896279375362</v>
      </c>
      <c r="AI186" s="1">
        <f ca="1">IF(ECF[[#This Row],[nE]]=1,0,MAX(3*ECF[[#This Row],[Ø (cm)]],60))</f>
        <v>0</v>
      </c>
      <c r="AJ186" s="1">
        <f ca="1">IF(ECF[[#This Row],[nE]]=1,ECF[[#This Row],[Ø (cm)]]+2*10,MAX(1.5*ECF[[#This Row],[Ø (cm)]],ECF[[#This Row],[Ø (cm)]]+15))</f>
        <v>170</v>
      </c>
      <c r="AK186" s="1">
        <f ca="1">alturaUtil(ECF[[#This Row],[nE]],ECF[[#This Row],[Ø (cm)]],ECF[[#This Row],[e (cm)]],ECF[[#This Row],[ap,eq (cm)]])</f>
        <v>180</v>
      </c>
      <c r="AL186" s="1">
        <f ca="1">IFERROR(ECF[[#This Row],[d (cm)]]+arredondarParaCimaMultiplo5cm(MAX(5,SQRT(PI())/2*ECF[[#This Row],[Ø (cm)]]/5)),"N.S.")</f>
        <v>210</v>
      </c>
      <c r="AM186" s="5">
        <f ca="1">alpha(ECF[[#This Row],[nE]],ECF[[#This Row],[d (cm)]],ECF[[#This Row],[e (cm)]],ECF[[#This Row],[ap,eq (cm)]])</f>
        <v>90</v>
      </c>
      <c r="AN186" s="35">
        <f ca="1">IFERROR(ECF[[#This Row],[Nsd (kN)]]/(ECF[[#This Row],[Ap (cm²)]]*SIN(ECF[[#This Row],[α]])^2),"N.S.")</f>
        <v>1.2164485570105679</v>
      </c>
      <c r="AO186" s="35">
        <f ca="1">IFERROR(ECF[[#This Row],[Nsd (kN)]]/(ECF[[#This Row],[nE]]*PI()*ECF[[#This Row],[Ø (cm)]]^2/4*SIN(ECF[[#This Row],[α]])^2),"N.S.")</f>
        <v>0.247812865107501</v>
      </c>
      <c r="AP186" s="4">
        <f ca="1">IFERROR(INDEX(grupoEstacas[],ECF[[#This Row],[nE]],MATCH("coef. Blévot",grupoEstacas[#Headers],0)),"N.S.")</f>
        <v>1</v>
      </c>
      <c r="AQ186" s="35">
        <f ca="1">IFERROR(ECF[[#This Row],[coef. Blévot]]*0.9*INDEX(tipoEstaca[],MATCH($D$2,tipoEstaca[TIPO DE ESTACA],0),MATCH("fcd (kN/cm²)",tipoEstaca[#Headers],0)),"N.S.")</f>
        <v>1</v>
      </c>
      <c r="AR186" s="1" t="str">
        <f ca="1">IF(AND(ECF[[#This Row],[cd,b,pil (kN/cm²)]]&lt;=ECF[[#This Row],[cd,b,lim (kN/cm²)]],ECF[[#This Row],[cd,b,est (kN/cm²)]]&lt;=ECF[[#This Row],[cd,b,lim (kN/cm²)]]),"OK","ERRO")</f>
        <v>ERRO</v>
      </c>
      <c r="AS186" s="4">
        <f ca="1">As_lado(ECF[[#This Row],[nE]],ECF[[#This Row],[Nsd (kN)]],ECF[[#This Row],[d (cm)]],ECF[[#This Row],[e (cm)]],ECF[[#This Row],[ap,eq (cm)]])</f>
        <v>20.125</v>
      </c>
      <c r="AT186" s="4">
        <f ca="1">IF(ECF[[#This Row],[nE]]=1,ECF[[#This Row],[As,lado (cm²)]],IF(ECF[[#This Row],[nE]]=2,0.075*2*ECF[a (cm)],"N.A."))</f>
        <v>20.125</v>
      </c>
      <c r="AU186" s="4" t="str">
        <f ca="1">IFERROR(IF(ECF[[#This Row],[nE]]=1,"N.A.",0.2*ECF[[#This Row],[As,lado (cm²)]]),"N.S.")</f>
        <v>N.A.</v>
      </c>
      <c r="AV186" s="4" t="str">
        <f ca="1">As_malha(ECF[[#This Row],[nE]],ECF[[#This Row],[As,lado (cm²)]],ECF[[#This Row],[Nsd (kN)]])</f>
        <v>N.A.</v>
      </c>
      <c r="AW186" s="4" t="str">
        <f ca="1">As_susp_tot(ECF[[#This Row],[nE]],ECF[[#This Row],[Nsd (kN)]])</f>
        <v>N.A.</v>
      </c>
      <c r="AX186" s="4" t="str">
        <f ca="1">Asp_face(ECF[[#This Row],[nE]],ECF[[#This Row],[As,lado (cm²)]])</f>
        <v>N.A.</v>
      </c>
      <c r="AY186" s="5">
        <f ca="1">acoBloco(ECF[[#This Row],[nE]],ECF[[#This Row],[e (cm)]],ECF[[#This Row],[a (cm)]],ECF[[#This Row],[h (cm)]],ECF[[#This Row],[As,lado (cm²)]],ECF[[#This Row],[Asp e Asw (cm²/m)]],ECF[[#This Row],[As,sup (cm²)]],ECF[[#This Row],[As,malha (cm²)]],ECF[[#This Row],[As,susp,tot (cm²)]],ECF[[#This Row],[Asp,face (cm²)]])</f>
        <v>347.55874999999997</v>
      </c>
      <c r="AZ186" s="4">
        <f ca="1">concretoBloco(ECF[[#This Row],[nE]],ECF[[#This Row],[e (cm)]],ECF[[#This Row],[a (cm)]],ECF[[#This Row],[h (cm)]])</f>
        <v>6.069</v>
      </c>
      <c r="BA186" s="5">
        <f ca="1">SUM(ECF[[#This Row],[Aço Est (kg)]],ECF[[#This Row],[Aço Bloco (kg)]])</f>
        <v>569.51227097611888</v>
      </c>
      <c r="BB186" s="4">
        <f>INDEX(composicoes[],MATCH(95580,composicoes[CÓDIGO],0),MATCH("CUSTO TOTAL",composicoes[#Headers],0))</f>
        <v>10.46</v>
      </c>
      <c r="BC186" s="4">
        <f ca="1">SUM(ECF[[#This Row],[Conc Est (m³)]],ECF[[#This Row],[Conc Bloco (m³)]])</f>
        <v>29.041896279375361</v>
      </c>
      <c r="BD186" s="4">
        <f>INDEX(composicoes[],MATCH(94966,composicoes[CÓDIGO],0),MATCH("CUSTO TOTAL",composicoes[#Headers],0))</f>
        <v>439.52</v>
      </c>
      <c r="BE186" s="38">
        <f ca="1">ECF[[#This Row],[Aço (kg)]]*ECF[[#This Row],[Aço (R$/kg)]]+ECF[[#This Row],[Conc (m³)]]*ECF[[#This Row],[Conc (R$/m³)]]</f>
        <v>18721.59260712126</v>
      </c>
      <c r="BF186" s="4" t="str">
        <f ca="1">IF(COUNTIF(ECF[#This Row],"N.S.")&gt;0,"lim.","OK")</f>
        <v>OK</v>
      </c>
      <c r="BG186" s="4" t="str">
        <f>IF(ECF[[#This Row],[Prof. (m)]]&lt;4,"lim.","OK")</f>
        <v>OK</v>
      </c>
      <c r="BH186" s="4" t="str">
        <f>IF(ECF[[#This Row],[Prof. (m)]]&gt;=8*ECF[[#This Row],[Ø (cm)]]/100,"OK","lim.")</f>
        <v>OK</v>
      </c>
      <c r="BI186" s="4" t="str">
        <f>IF(AND(SPT!$F$3&lt;&gt;"",ECF[[#This Row],[Prof. (m)]]&gt;=SPT!$F$3-2),"lim.","OK")</f>
        <v>OK</v>
      </c>
      <c r="BJ186" s="4" t="str">
        <f ca="1">IF(ECF[[#This Row],[Verif. Biela]]="OK","OK","lim.")</f>
        <v>lim.</v>
      </c>
      <c r="BK186" s="4" t="str">
        <f ca="1">IF(COUNTA(ECF[[#This Row],[Nº Est.]:[Biela comp.]])=COUNTIF(ECF[[#This Row],[Nº Est.]:[Biela comp.]],"OK"),"OK","lim.")</f>
        <v>lim.</v>
      </c>
      <c r="BL186" s="4" t="str">
        <f ca="1">IF(ECF[[#This Row],[Controle]]="OK",ECF[[#This Row],[nE]]&amp;" Ø"&amp;ECF[[#This Row],[Ø (cm)]]&amp;"cm Prof. "&amp;ECF[[#This Row],[Prof. (m)]]&amp;" m","")</f>
        <v/>
      </c>
      <c r="BM186" s="4" t="str">
        <f ca="1">IF(ECF[[#This Row],[idDimensionamento]]="","",ECF[[#This Row],[idPilar]]&amp;ECF[[#This Row],[idDimensionamento]])</f>
        <v/>
      </c>
    </row>
    <row r="187" spans="2:65" x14ac:dyDescent="0.25">
      <c r="B187" s="12">
        <f>ROUNDUP((ROW(ECF[[#This Row],[idDiâmetro]])-ROW(ECF[[#Headers],[idDiâmetro]]))/(COUNT(SPT[Prof. (m)])*COUNT(PILARES[Pilar])),0)</f>
        <v>7</v>
      </c>
      <c r="C187" s="12">
        <f>IF(ECF[[#This Row],[idDiâmetro]]&lt;&gt;B186,1,IF(ECF[[#This Row],[Prof. (m)]]=0,C186+1,C186))</f>
        <v>2</v>
      </c>
      <c r="D187" s="1">
        <f>IFERROR(IF(D186=MAX(SPT[Prof. (m)]),0,D186+1),0)</f>
        <v>0</v>
      </c>
      <c r="E187" s="1">
        <f>INDEX(SPT[],MATCH(ECF[[#This Row],[Prof. (m)]],SPT[Prof. (m)],0),2)</f>
        <v>0</v>
      </c>
      <c r="F187" s="1" t="str">
        <f>INDEX(SPT[],MATCH(ECF[[#This Row],[Prof. (m)]],SPT[Prof. (m)],0),3)</f>
        <v>Areia siltosa</v>
      </c>
      <c r="G187" s="1">
        <f>INDEX(estacas[],ECF[[#This Row],[idDiâmetro]],MATCH($B$2,estacas[#Headers],0))</f>
        <v>150</v>
      </c>
      <c r="H187" s="1">
        <f>INDEX(estacas[],MATCH(ECF[[#This Row],[Ø (cm)]],estacas[Ø ECF (cm)],0),MATCH(ECF[[#Headers],[Pe ECF (kN)]],estacas[#Headers],0))</f>
        <v>7100</v>
      </c>
      <c r="I187" s="4">
        <f>INDEX(K_alpha_C[],MATCH(ECF[[#This Row],[Solo]],K_alpha_C[Solo],0),2)</f>
        <v>0.8</v>
      </c>
      <c r="J187" s="5">
        <f>INDEX(K_alpha_C[],MATCH(ECF[[#This Row],[Solo]],K_alpha_C[Solo],0),3)</f>
        <v>2</v>
      </c>
      <c r="K187" s="4">
        <f>INDEX(F1_F2[],MATCH($D$2,F1_F2[Tipo de estaca],0),2)</f>
        <v>3</v>
      </c>
      <c r="L187" s="4">
        <f>INDEX(F1_F2[],MATCH($D$2,F1_F2[Tipo de estaca],0),3)</f>
        <v>6</v>
      </c>
      <c r="M187" s="4">
        <f>PI()*(ECF[[#This Row],[Ø (cm)]]/100)^2/4</f>
        <v>1.7671458676442586</v>
      </c>
      <c r="N187" s="4">
        <f>PI()*ECF[[#This Row],[Ø (cm)]]/100</f>
        <v>4.7123889803846897</v>
      </c>
      <c r="O187" s="4">
        <f>IF(ECF[[#This Row],[Prof. (m)]]=0,0,ECF[[#This Row],[α (%)]]/100*ECF[[#This Row],[K (MPa)]]*1000*ECF[[#This Row],[NSPT]])</f>
        <v>0</v>
      </c>
      <c r="P187" s="4">
        <f>IF(ECF[[#This Row],[Prof. (m)]]=0,0,(ECF[[#This Row],[K (MPa)]]*1000*ECF[[#This Row],[NSPT]]/ECF[[#This Row],[F1]]*ECF[[#This Row],[Ap (m²)]]+ECF[[#This Row],[U (m)]]/ECF[[#This Row],[F2]]*SUMIFS(ECF[(α∙K∙NL∙ΔL)],ECF[Prof. (m)],"&lt;="&amp;ECF[[#This Row],[Prof. (m)]],ECF[idDiâmetro],ECF[[#This Row],[idDiâmetro]],ECF[idPilar],ECF[[#This Row],[idPilar]]))/'DADOS CAP. CARGA'!$D$2)</f>
        <v>0</v>
      </c>
      <c r="Q187" s="12">
        <f>INDEX(C_alpha_beta[],MATCH(ECF[[#This Row],[Solo]],C_alpha_beta[Solo],0),MATCH(ECF[[#Headers],[C (kPa)]],C_alpha_beta[#Headers],0))</f>
        <v>400</v>
      </c>
      <c r="R187" s="4">
        <f>INDEX(C_alpha_beta[],MATCH(ECF[[#This Row],[Solo]],C_alpha_beta[Solo],0),MATCH(ECF[[#Headers],[α ESF]],C_alpha_beta[#Headers],0))</f>
        <v>0.5</v>
      </c>
      <c r="S187" s="4">
        <f>INDEX(C_alpha_beta[],MATCH(ECF[[#This Row],[Solo]],C_alpha_beta[Solo],0),MATCH(ECF[[#Headers],[β ESF]],C_alpha_beta[#Headers],0))</f>
        <v>0.5</v>
      </c>
      <c r="T187" s="4">
        <f>IF(ECF[[#This Row],[Prof. (m)]]=0,0,10*(ECF[[#This Row],[NSPT]]/3+1))</f>
        <v>0</v>
      </c>
      <c r="U187" s="4">
        <f>(ECF[[#This Row],[α ESF]]*ECF[[#This Row],[C (kPa)]]*ECF[[#This Row],[NSPT]]*ECF[[#This Row],[Ap (m²)]])/'DADOS CAP. CARGA'!$Q$2+(ECF[[#This Row],[β ESF]]*SUMIFS(ECF[10∙(NL/3+1)],ECF[Prof. (m)],"&lt;="&amp;ECF[[#This Row],[Prof. (m)]],ECF[idDiâmetro],ECF[[#This Row],[idDiâmetro]],ECF[idPilar],ECF[[#This Row],[idPilar]])*ECF[[#This Row],[U (m)]])/'DADOS CAP. CARGA'!$S$2</f>
        <v>0</v>
      </c>
      <c r="V187" s="4">
        <f>IF(SPT!$M$5=1,MIN(ECF[[#This Row],[Pe ECF (kN)]],ECF[[#This Row],[R_AV (kN)]]),IF(SPT!$M$5=2,MIN(ECF[[#This Row],[Pe ECF (kN)]],ECF[[#This Row],[R_DC (kN)]]),MIN(ECF[[#This Row],[Pe ECF (kN)]],ECF[[#This Row],[R_AV (kN)]],ECF[[#This Row],[R_DC (kN)]])))</f>
        <v>0</v>
      </c>
      <c r="W187" s="4">
        <f>INDEX(PILARES[],ECF[[#This Row],[idPilar]],MATCH("Carga (kN)",PILARES[#Headers],0))*1.4</f>
        <v>1750</v>
      </c>
      <c r="X187" s="12">
        <f>INDEX(PILARES[],ECF[[#This Row],[idPilar]],MATCH(ECF[[#Headers],[ap (cm)]],PILARES[#Headers],0))</f>
        <v>50</v>
      </c>
      <c r="Y187" s="12">
        <f>INDEX(PILARES[],ECF[[#This Row],[idPilar]],MATCH(ECF[[#Headers],[bp (cm)]],PILARES[#Headers],0))</f>
        <v>40</v>
      </c>
      <c r="Z187" s="4">
        <f>SQRT(ECF[[#This Row],[ap (cm)]]*ECF[[#This Row],[bp (cm)]])</f>
        <v>44.721359549995796</v>
      </c>
      <c r="AA187" s="12">
        <f>ECF[[#This Row],[ap (cm)]]*ECF[[#This Row],[bp (cm)]]</f>
        <v>2000</v>
      </c>
      <c r="AB187" s="12" t="e">
        <f ca="1">IF(ECF[[#This Row],[Padm∙ε (kN)]]&gt;=ECF[[#This Row],[Padm (kN)]],ROUNDUP(1.05*ECF[[#This Row],[Nsd (kN)]]/ECF[[#This Row],[Padm (kN)]],0),ROUNDUP(1.05*ECF[[#This Row],[Nsd (kN)]]/ECF[[#This Row],[Padm (kN)]],0)+1)</f>
        <v>#DIV/0!</v>
      </c>
      <c r="AC187" s="4" t="str">
        <f ca="1">IFERROR(IF(ECF[[#This Row],[nE]]=1,ECF[[#This Row],[Padm (kN)]],ECF[[#This Row],[Padm (kN)]]*ECF[[#This Row],[nE]]*INDEX(grupoEstacas[],ECF[[#This Row],[nE]],MATCH("ε",grupoEstacas[#Headers],0))),"N.S.")</f>
        <v>N.S.</v>
      </c>
      <c r="AD187" s="4" t="e">
        <f ca="1">1.05*ECF[[#This Row],[Nsd (kN)]]/(ECF[[#This Row],[nE]]*PI()*ECF[[#This Row],[Ø (cm)]]^2/4)*10</f>
        <v>#DIV/0!</v>
      </c>
      <c r="AE187" s="4" t="e">
        <f ca="1">IF(ECF[[#This Row],[σ (MPa)]]&lt;INDEX(tipoEstaca[],MATCH($D$2,tipoEstaca[TIPO DE ESTACA],0),MATCH("σmáx (MPa)",tipoEstaca[#Headers],0)),0.4%*PI()*ECF[[#This Row],[Ø (cm)]]^2/4,"N.S.")</f>
        <v>#DIV/0!</v>
      </c>
      <c r="AF187" s="1">
        <f>INDEX(tipoEstaca[],MATCH($D$2,tipoEstaca[TIPO DE ESTACA],0),MATCH(ECF[[#Headers],[Comprimento (m)]],tipoEstaca[#Headers],0))</f>
        <v>4</v>
      </c>
      <c r="AG187" s="5" t="e">
        <f ca="1">ECF[[#This Row],[As,mín (cm²)]]/100^2*ECF[[#This Row],[Comprimento (m)]]*7850</f>
        <v>#DIV/0!</v>
      </c>
      <c r="AH187" s="4" t="e">
        <f ca="1">ECF[[#This Row],[nE]]*ECF[[#This Row],[Prof. (m)]]*ECF[[#This Row],[Ap (m²)]]</f>
        <v>#DIV/0!</v>
      </c>
      <c r="AI187" s="1" t="e">
        <f ca="1">IF(ECF[[#This Row],[nE]]=1,0,MAX(3*ECF[[#This Row],[Ø (cm)]],60))</f>
        <v>#DIV/0!</v>
      </c>
      <c r="AJ187" s="1" t="e">
        <f ca="1">IF(ECF[[#This Row],[nE]]=1,ECF[[#This Row],[Ø (cm)]]+2*10,MAX(1.5*ECF[[#This Row],[Ø (cm)]],ECF[[#This Row],[Ø (cm)]]+15))</f>
        <v>#DIV/0!</v>
      </c>
      <c r="AK187" s="1" t="e">
        <f ca="1">alturaUtil(ECF[[#This Row],[nE]],ECF[[#This Row],[Ø (cm)]],ECF[[#This Row],[e (cm)]],ECF[[#This Row],[ap,eq (cm)]])</f>
        <v>#VALUE!</v>
      </c>
      <c r="AL187" s="1" t="str">
        <f ca="1">IFERROR(ECF[[#This Row],[d (cm)]]+arredondarParaCimaMultiplo5cm(MAX(5,SQRT(PI())/2*ECF[[#This Row],[Ø (cm)]]/5)),"N.S.")</f>
        <v>N.S.</v>
      </c>
      <c r="AM187" s="5" t="e">
        <f ca="1">alpha(ECF[[#This Row],[nE]],ECF[[#This Row],[d (cm)]],ECF[[#This Row],[e (cm)]],ECF[[#This Row],[ap,eq (cm)]])</f>
        <v>#VALUE!</v>
      </c>
      <c r="AN187" s="35" t="str">
        <f ca="1">IFERROR(ECF[[#This Row],[Nsd (kN)]]/(ECF[[#This Row],[Ap (cm²)]]*SIN(ECF[[#This Row],[α]])^2),"N.S.")</f>
        <v>N.S.</v>
      </c>
      <c r="AO187" s="35" t="str">
        <f ca="1">IFERROR(ECF[[#This Row],[Nsd (kN)]]/(ECF[[#This Row],[nE]]*PI()*ECF[[#This Row],[Ø (cm)]]^2/4*SIN(ECF[[#This Row],[α]])^2),"N.S.")</f>
        <v>N.S.</v>
      </c>
      <c r="AP187" s="4" t="str">
        <f ca="1">IFERROR(INDEX(grupoEstacas[],ECF[[#This Row],[nE]],MATCH("coef. Blévot",grupoEstacas[#Headers],0)),"N.S.")</f>
        <v>N.S.</v>
      </c>
      <c r="AQ187" s="35" t="str">
        <f ca="1">IFERROR(ECF[[#This Row],[coef. Blévot]]*0.9*INDEX(tipoEstaca[],MATCH($D$2,tipoEstaca[TIPO DE ESTACA],0),MATCH("fcd (kN/cm²)",tipoEstaca[#Headers],0)),"N.S.")</f>
        <v>N.S.</v>
      </c>
      <c r="AR187" s="1" t="str">
        <f ca="1">IF(AND(ECF[[#This Row],[cd,b,pil (kN/cm²)]]&lt;=ECF[[#This Row],[cd,b,lim (kN/cm²)]],ECF[[#This Row],[cd,b,est (kN/cm²)]]&lt;=ECF[[#This Row],[cd,b,lim (kN/cm²)]]),"OK","ERRO")</f>
        <v>OK</v>
      </c>
      <c r="AS187" s="4" t="e">
        <f ca="1">As_lado(ECF[[#This Row],[nE]],ECF[[#This Row],[Nsd (kN)]],ECF[[#This Row],[d (cm)]],ECF[[#This Row],[e (cm)]],ECF[[#This Row],[ap,eq (cm)]])</f>
        <v>#VALUE!</v>
      </c>
      <c r="AT187" s="4" t="e">
        <f ca="1">IF(ECF[[#This Row],[nE]]=1,ECF[[#This Row],[As,lado (cm²)]],IF(ECF[[#This Row],[nE]]=2,0.075*2*ECF[a (cm)],"N.A."))</f>
        <v>#DIV/0!</v>
      </c>
      <c r="AU187" s="4" t="str">
        <f ca="1">IFERROR(IF(ECF[[#This Row],[nE]]=1,"N.A.",0.2*ECF[[#This Row],[As,lado (cm²)]]),"N.S.")</f>
        <v>N.S.</v>
      </c>
      <c r="AV187" s="4" t="e">
        <f ca="1">As_malha(ECF[[#This Row],[nE]],ECF[[#This Row],[As,lado (cm²)]],ECF[[#This Row],[Nsd (kN)]])</f>
        <v>#VALUE!</v>
      </c>
      <c r="AW187" s="4" t="e">
        <f ca="1">As_susp_tot(ECF[[#This Row],[nE]],ECF[[#This Row],[Nsd (kN)]])</f>
        <v>#VALUE!</v>
      </c>
      <c r="AX187" s="4" t="e">
        <f ca="1">Asp_face(ECF[[#This Row],[nE]],ECF[[#This Row],[As,lado (cm²)]])</f>
        <v>#VALUE!</v>
      </c>
      <c r="AY187" s="5" t="e">
        <f ca="1">acoBloco(ECF[[#This Row],[nE]],ECF[[#This Row],[e (cm)]],ECF[[#This Row],[a (cm)]],ECF[[#This Row],[h (cm)]],ECF[[#This Row],[As,lado (cm²)]],ECF[[#This Row],[Asp e Asw (cm²/m)]],ECF[[#This Row],[As,sup (cm²)]],ECF[[#This Row],[As,malha (cm²)]],ECF[[#This Row],[As,susp,tot (cm²)]],ECF[[#This Row],[Asp,face (cm²)]])</f>
        <v>#VALUE!</v>
      </c>
      <c r="AZ187" s="4" t="e">
        <f ca="1">concretoBloco(ECF[[#This Row],[nE]],ECF[[#This Row],[e (cm)]],ECF[[#This Row],[a (cm)]],ECF[[#This Row],[h (cm)]])</f>
        <v>#VALUE!</v>
      </c>
      <c r="BA187" s="5" t="e">
        <f ca="1">SUM(ECF[[#This Row],[Aço Est (kg)]],ECF[[#This Row],[Aço Bloco (kg)]])</f>
        <v>#DIV/0!</v>
      </c>
      <c r="BB187" s="4">
        <f>INDEX(composicoes[],MATCH(95580,composicoes[CÓDIGO],0),MATCH("CUSTO TOTAL",composicoes[#Headers],0))</f>
        <v>10.46</v>
      </c>
      <c r="BC187" s="4" t="e">
        <f ca="1">SUM(ECF[[#This Row],[Conc Est (m³)]],ECF[[#This Row],[Conc Bloco (m³)]])</f>
        <v>#DIV/0!</v>
      </c>
      <c r="BD187" s="4">
        <f>INDEX(composicoes[],MATCH(94966,composicoes[CÓDIGO],0),MATCH("CUSTO TOTAL",composicoes[#Headers],0))</f>
        <v>439.52</v>
      </c>
      <c r="BE187" s="38" t="e">
        <f ca="1">ECF[[#This Row],[Aço (kg)]]*ECF[[#This Row],[Aço (R$/kg)]]+ECF[[#This Row],[Conc (m³)]]*ECF[[#This Row],[Conc (R$/m³)]]</f>
        <v>#DIV/0!</v>
      </c>
      <c r="BF187" s="4" t="str">
        <f ca="1">IF(COUNTIF(ECF[#This Row],"N.S.")&gt;0,"lim.","OK")</f>
        <v>lim.</v>
      </c>
      <c r="BG187" s="4" t="str">
        <f>IF(ECF[[#This Row],[Prof. (m)]]&lt;4,"lim.","OK")</f>
        <v>lim.</v>
      </c>
      <c r="BH187" s="4" t="str">
        <f>IF(ECF[[#This Row],[Prof. (m)]]&gt;=8*ECF[[#This Row],[Ø (cm)]]/100,"OK","lim.")</f>
        <v>lim.</v>
      </c>
      <c r="BI187" s="4" t="str">
        <f>IF(AND(SPT!$F$3&lt;&gt;"",ECF[[#This Row],[Prof. (m)]]&gt;=SPT!$F$3-2),"lim.","OK")</f>
        <v>OK</v>
      </c>
      <c r="BJ187" s="4" t="str">
        <f ca="1">IF(ECF[[#This Row],[Verif. Biela]]="OK","OK","lim.")</f>
        <v>OK</v>
      </c>
      <c r="BK187" s="4" t="str">
        <f ca="1">IF(COUNTA(ECF[[#This Row],[Nº Est.]:[Biela comp.]])=COUNTIF(ECF[[#This Row],[Nº Est.]:[Biela comp.]],"OK"),"OK","lim.")</f>
        <v>lim.</v>
      </c>
      <c r="BL187" s="4" t="str">
        <f ca="1">IF(ECF[[#This Row],[Controle]]="OK",ECF[[#This Row],[nE]]&amp;" Ø"&amp;ECF[[#This Row],[Ø (cm)]]&amp;"cm Prof. "&amp;ECF[[#This Row],[Prof. (m)]]&amp;" m","")</f>
        <v/>
      </c>
      <c r="BM187" s="4" t="str">
        <f ca="1">IF(ECF[[#This Row],[idDimensionamento]]="","",ECF[[#This Row],[idPilar]]&amp;ECF[[#This Row],[idDimensionamento]])</f>
        <v/>
      </c>
    </row>
    <row r="188" spans="2:65" x14ac:dyDescent="0.25">
      <c r="B188" s="12">
        <f>ROUNDUP((ROW(ECF[[#This Row],[idDiâmetro]])-ROW(ECF[[#Headers],[idDiâmetro]]))/(COUNT(SPT[Prof. (m)])*COUNT(PILARES[Pilar])),0)</f>
        <v>7</v>
      </c>
      <c r="C188" s="12">
        <f>IF(ECF[[#This Row],[idDiâmetro]]&lt;&gt;B187,1,IF(ECF[[#This Row],[Prof. (m)]]=0,C187+1,C187))</f>
        <v>2</v>
      </c>
      <c r="D188" s="1">
        <f>IFERROR(IF(D187=MAX(SPT[Prof. (m)]),0,D187+1),0)</f>
        <v>1</v>
      </c>
      <c r="E188" s="1">
        <f>INDEX(SPT[],MATCH(ECF[[#This Row],[Prof. (m)]],SPT[Prof. (m)],0),2)</f>
        <v>2</v>
      </c>
      <c r="F188" s="1" t="str">
        <f>INDEX(SPT[],MATCH(ECF[[#This Row],[Prof. (m)]],SPT[Prof. (m)],0),3)</f>
        <v>Areia siltosa</v>
      </c>
      <c r="G188" s="1">
        <f>INDEX(estacas[],ECF[[#This Row],[idDiâmetro]],MATCH($B$2,estacas[#Headers],0))</f>
        <v>150</v>
      </c>
      <c r="H188" s="1">
        <f>INDEX(estacas[],MATCH(ECF[[#This Row],[Ø (cm)]],estacas[Ø ECF (cm)],0),MATCH(ECF[[#Headers],[Pe ECF (kN)]],estacas[#Headers],0))</f>
        <v>7100</v>
      </c>
      <c r="I188" s="4">
        <f>INDEX(K_alpha_C[],MATCH(ECF[[#This Row],[Solo]],K_alpha_C[Solo],0),2)</f>
        <v>0.8</v>
      </c>
      <c r="J188" s="5">
        <f>INDEX(K_alpha_C[],MATCH(ECF[[#This Row],[Solo]],K_alpha_C[Solo],0),3)</f>
        <v>2</v>
      </c>
      <c r="K188" s="4">
        <f>INDEX(F1_F2[],MATCH($D$2,F1_F2[Tipo de estaca],0),2)</f>
        <v>3</v>
      </c>
      <c r="L188" s="4">
        <f>INDEX(F1_F2[],MATCH($D$2,F1_F2[Tipo de estaca],0),3)</f>
        <v>6</v>
      </c>
      <c r="M188" s="4">
        <f>PI()*(ECF[[#This Row],[Ø (cm)]]/100)^2/4</f>
        <v>1.7671458676442586</v>
      </c>
      <c r="N188" s="4">
        <f>PI()*ECF[[#This Row],[Ø (cm)]]/100</f>
        <v>4.7123889803846897</v>
      </c>
      <c r="O188" s="4">
        <f>IF(ECF[[#This Row],[Prof. (m)]]=0,0,ECF[[#This Row],[α (%)]]/100*ECF[[#This Row],[K (MPa)]]*1000*ECF[[#This Row],[NSPT]])</f>
        <v>32</v>
      </c>
      <c r="P188" s="4">
        <f>IF(ECF[[#This Row],[Prof. (m)]]=0,0,(ECF[[#This Row],[K (MPa)]]*1000*ECF[[#This Row],[NSPT]]/ECF[[#This Row],[F1]]*ECF[[#This Row],[Ap (m²)]]+ECF[[#This Row],[U (m)]]/ECF[[#This Row],[F2]]*SUMIFS(ECF[(α∙K∙NL∙ΔL)],ECF[Prof. (m)],"&lt;="&amp;ECF[[#This Row],[Prof. (m)]],ECF[idDiâmetro],ECF[[#This Row],[idDiâmetro]],ECF[idPilar],ECF[[#This Row],[idPilar]]))/'DADOS CAP. CARGA'!$D$2)</f>
        <v>483.8052686528282</v>
      </c>
      <c r="Q188" s="12">
        <f>INDEX(C_alpha_beta[],MATCH(ECF[[#This Row],[Solo]],C_alpha_beta[Solo],0),MATCH(ECF[[#Headers],[C (kPa)]],C_alpha_beta[#Headers],0))</f>
        <v>400</v>
      </c>
      <c r="R188" s="4">
        <f>INDEX(C_alpha_beta[],MATCH(ECF[[#This Row],[Solo]],C_alpha_beta[Solo],0),MATCH(ECF[[#Headers],[α ESF]],C_alpha_beta[#Headers],0))</f>
        <v>0.5</v>
      </c>
      <c r="S188" s="4">
        <f>INDEX(C_alpha_beta[],MATCH(ECF[[#This Row],[Solo]],C_alpha_beta[Solo],0),MATCH(ECF[[#Headers],[β ESF]],C_alpha_beta[#Headers],0))</f>
        <v>0.5</v>
      </c>
      <c r="T188" s="4">
        <f>IF(ECF[[#This Row],[Prof. (m)]]=0,0,10*(ECF[[#This Row],[NSPT]]/3+1))</f>
        <v>16.666666666666664</v>
      </c>
      <c r="U188" s="4">
        <f>(ECF[[#This Row],[α ESF]]*ECF[[#This Row],[C (kPa)]]*ECF[[#This Row],[NSPT]]*ECF[[#This Row],[Ap (m²)]])/'DADOS CAP. CARGA'!$Q$2+(ECF[[#This Row],[β ESF]]*SUMIFS(ECF[10∙(NL/3+1)],ECF[Prof. (m)],"&lt;="&amp;ECF[[#This Row],[Prof. (m)]],ECF[idDiâmetro],ECF[[#This Row],[idDiâmetro]],ECF[idPilar],ECF[[#This Row],[idPilar]])*ECF[[#This Row],[U (m)]])/'DADOS CAP. CARGA'!$S$2</f>
        <v>196.34954084936206</v>
      </c>
      <c r="V188" s="4">
        <f>IF(SPT!$M$5=1,MIN(ECF[[#This Row],[Pe ECF (kN)]],ECF[[#This Row],[R_AV (kN)]]),IF(SPT!$M$5=2,MIN(ECF[[#This Row],[Pe ECF (kN)]],ECF[[#This Row],[R_DC (kN)]]),MIN(ECF[[#This Row],[Pe ECF (kN)]],ECF[[#This Row],[R_AV (kN)]],ECF[[#This Row],[R_DC (kN)]])))</f>
        <v>196.34954084936206</v>
      </c>
      <c r="W188" s="4">
        <f>INDEX(PILARES[],ECF[[#This Row],[idPilar]],MATCH("Carga (kN)",PILARES[#Headers],0))*1.4</f>
        <v>1750</v>
      </c>
      <c r="X188" s="12">
        <f>INDEX(PILARES[],ECF[[#This Row],[idPilar]],MATCH(ECF[[#Headers],[ap (cm)]],PILARES[#Headers],0))</f>
        <v>50</v>
      </c>
      <c r="Y188" s="12">
        <f>INDEX(PILARES[],ECF[[#This Row],[idPilar]],MATCH(ECF[[#Headers],[bp (cm)]],PILARES[#Headers],0))</f>
        <v>40</v>
      </c>
      <c r="Z188" s="4">
        <f>SQRT(ECF[[#This Row],[ap (cm)]]*ECF[[#This Row],[bp (cm)]])</f>
        <v>44.721359549995796</v>
      </c>
      <c r="AA188" s="12">
        <f>ECF[[#This Row],[ap (cm)]]*ECF[[#This Row],[bp (cm)]]</f>
        <v>2000</v>
      </c>
      <c r="AB188" s="12">
        <f ca="1">IF(ECF[[#This Row],[Padm∙ε (kN)]]&gt;=ECF[[#This Row],[Padm (kN)]],ROUNDUP(1.05*ECF[[#This Row],[Nsd (kN)]]/ECF[[#This Row],[Padm (kN)]],0),ROUNDUP(1.05*ECF[[#This Row],[Nsd (kN)]]/ECF[[#This Row],[Padm (kN)]],0)+1)</f>
        <v>10</v>
      </c>
      <c r="AC188" s="4" t="str">
        <f ca="1">IFERROR(IF(ECF[[#This Row],[nE]]=1,ECF[[#This Row],[Padm (kN)]],ECF[[#This Row],[Padm (kN)]]*ECF[[#This Row],[nE]]*INDEX(grupoEstacas[],ECF[[#This Row],[nE]],MATCH("ε",grupoEstacas[#Headers],0))),"N.S.")</f>
        <v>N.S.</v>
      </c>
      <c r="AD188" s="4">
        <f ca="1">1.05*ECF[[#This Row],[Nsd (kN)]]/(ECF[[#This Row],[nE]]*PI()*ECF[[#This Row],[Ø (cm)]]^2/4)*10</f>
        <v>0.10398122948670496</v>
      </c>
      <c r="AE188" s="4">
        <f ca="1">IF(ECF[[#This Row],[σ (MPa)]]&lt;INDEX(tipoEstaca[],MATCH($D$2,tipoEstaca[TIPO DE ESTACA],0),MATCH("σmáx (MPa)",tipoEstaca[#Headers],0)),0.4%*PI()*ECF[[#This Row],[Ø (cm)]]^2/4,"N.S.")</f>
        <v>70.685834705770347</v>
      </c>
      <c r="AF188" s="1">
        <f>INDEX(tipoEstaca[],MATCH($D$2,tipoEstaca[TIPO DE ESTACA],0),MATCH(ECF[[#Headers],[Comprimento (m)]],tipoEstaca[#Headers],0))</f>
        <v>4</v>
      </c>
      <c r="AG188" s="5">
        <f ca="1">ECF[[#This Row],[As,mín (cm²)]]/100^2*ECF[[#This Row],[Comprimento (m)]]*7850</f>
        <v>221.95352097611888</v>
      </c>
      <c r="AH188" s="4">
        <f ca="1">ECF[[#This Row],[nE]]*ECF[[#This Row],[Prof. (m)]]*ECF[[#This Row],[Ap (m²)]]</f>
        <v>17.671458676442587</v>
      </c>
      <c r="AI188" s="1">
        <f ca="1">IF(ECF[[#This Row],[nE]]=1,0,MAX(3*ECF[[#This Row],[Ø (cm)]],60))</f>
        <v>450</v>
      </c>
      <c r="AJ188" s="1">
        <f ca="1">IF(ECF[[#This Row],[nE]]=1,ECF[[#This Row],[Ø (cm)]]+2*10,MAX(1.5*ECF[[#This Row],[Ø (cm)]],ECF[[#This Row],[Ø (cm)]]+15))</f>
        <v>225</v>
      </c>
      <c r="AK188" s="1" t="str">
        <f ca="1">alturaUtil(ECF[[#This Row],[nE]],ECF[[#This Row],[Ø (cm)]],ECF[[#This Row],[e (cm)]],ECF[[#This Row],[ap,eq (cm)]])</f>
        <v>N.S.</v>
      </c>
      <c r="AL188" s="1" t="str">
        <f ca="1">IFERROR(ECF[[#This Row],[d (cm)]]+arredondarParaCimaMultiplo5cm(MAX(5,SQRT(PI())/2*ECF[[#This Row],[Ø (cm)]]/5)),"N.S.")</f>
        <v>N.S.</v>
      </c>
      <c r="AM188" s="5" t="str">
        <f ca="1">alpha(ECF[[#This Row],[nE]],ECF[[#This Row],[d (cm)]],ECF[[#This Row],[e (cm)]],ECF[[#This Row],[ap,eq (cm)]])</f>
        <v>N.S.</v>
      </c>
      <c r="AN188" s="35" t="str">
        <f ca="1">IFERROR(ECF[[#This Row],[Nsd (kN)]]/(ECF[[#This Row],[Ap (cm²)]]*SIN(ECF[[#This Row],[α]])^2),"N.S.")</f>
        <v>N.S.</v>
      </c>
      <c r="AO188" s="35" t="str">
        <f ca="1">IFERROR(ECF[[#This Row],[Nsd (kN)]]/(ECF[[#This Row],[nE]]*PI()*ECF[[#This Row],[Ø (cm)]]^2/4*SIN(ECF[[#This Row],[α]])^2),"N.S.")</f>
        <v>N.S.</v>
      </c>
      <c r="AP188" s="4" t="str">
        <f ca="1">IFERROR(INDEX(grupoEstacas[],ECF[[#This Row],[nE]],MATCH("coef. Blévot",grupoEstacas[#Headers],0)),"N.S.")</f>
        <v>N.S.</v>
      </c>
      <c r="AQ188" s="35" t="str">
        <f ca="1">IFERROR(ECF[[#This Row],[coef. Blévot]]*0.9*INDEX(tipoEstaca[],MATCH($D$2,tipoEstaca[TIPO DE ESTACA],0),MATCH("fcd (kN/cm²)",tipoEstaca[#Headers],0)),"N.S.")</f>
        <v>N.S.</v>
      </c>
      <c r="AR188" s="1" t="str">
        <f ca="1">IF(AND(ECF[[#This Row],[cd,b,pil (kN/cm²)]]&lt;=ECF[[#This Row],[cd,b,lim (kN/cm²)]],ECF[[#This Row],[cd,b,est (kN/cm²)]]&lt;=ECF[[#This Row],[cd,b,lim (kN/cm²)]]),"OK","ERRO")</f>
        <v>OK</v>
      </c>
      <c r="AS188" s="4" t="str">
        <f ca="1">As_lado(ECF[[#This Row],[nE]],ECF[[#This Row],[Nsd (kN)]],ECF[[#This Row],[d (cm)]],ECF[[#This Row],[e (cm)]],ECF[[#This Row],[ap,eq (cm)]])</f>
        <v>N.S.</v>
      </c>
      <c r="AT188" s="4" t="str">
        <f ca="1">IF(ECF[[#This Row],[nE]]=1,ECF[[#This Row],[As,lado (cm²)]],IF(ECF[[#This Row],[nE]]=2,0.075*2*ECF[a (cm)],"N.A."))</f>
        <v>N.A.</v>
      </c>
      <c r="AU188" s="4" t="str">
        <f ca="1">IFERROR(IF(ECF[[#This Row],[nE]]=1,"N.A.",0.2*ECF[[#This Row],[As,lado (cm²)]]),"N.S.")</f>
        <v>N.S.</v>
      </c>
      <c r="AV188" s="4" t="str">
        <f ca="1">As_malha(ECF[[#This Row],[nE]],ECF[[#This Row],[As,lado (cm²)]],ECF[[#This Row],[Nsd (kN)]])</f>
        <v>N.S.</v>
      </c>
      <c r="AW188" s="4" t="str">
        <f ca="1">As_susp_tot(ECF[[#This Row],[nE]],ECF[[#This Row],[Nsd (kN)]])</f>
        <v>N.S.</v>
      </c>
      <c r="AX188" s="4" t="str">
        <f ca="1">Asp_face(ECF[[#This Row],[nE]],ECF[[#This Row],[As,lado (cm²)]])</f>
        <v>N.S.</v>
      </c>
      <c r="AY188" s="5" t="str">
        <f ca="1">acoBloco(ECF[[#This Row],[nE]],ECF[[#This Row],[e (cm)]],ECF[[#This Row],[a (cm)]],ECF[[#This Row],[h (cm)]],ECF[[#This Row],[As,lado (cm²)]],ECF[[#This Row],[Asp e Asw (cm²/m)]],ECF[[#This Row],[As,sup (cm²)]],ECF[[#This Row],[As,malha (cm²)]],ECF[[#This Row],[As,susp,tot (cm²)]],ECF[[#This Row],[Asp,face (cm²)]])</f>
        <v>N.S.</v>
      </c>
      <c r="AZ188" s="4" t="str">
        <f ca="1">concretoBloco(ECF[[#This Row],[nE]],ECF[[#This Row],[e (cm)]],ECF[[#This Row],[a (cm)]],ECF[[#This Row],[h (cm)]])</f>
        <v>N.S.</v>
      </c>
      <c r="BA188" s="5">
        <f ca="1">SUM(ECF[[#This Row],[Aço Est (kg)]],ECF[[#This Row],[Aço Bloco (kg)]])</f>
        <v>221.95352097611888</v>
      </c>
      <c r="BB188" s="4">
        <f>INDEX(composicoes[],MATCH(95580,composicoes[CÓDIGO],0),MATCH("CUSTO TOTAL",composicoes[#Headers],0))</f>
        <v>10.46</v>
      </c>
      <c r="BC188" s="4">
        <f ca="1">SUM(ECF[[#This Row],[Conc Est (m³)]],ECF[[#This Row],[Conc Bloco (m³)]])</f>
        <v>17.671458676442587</v>
      </c>
      <c r="BD188" s="4">
        <f>INDEX(composicoes[],MATCH(94966,composicoes[CÓDIGO],0),MATCH("CUSTO TOTAL",composicoes[#Headers],0))</f>
        <v>439.52</v>
      </c>
      <c r="BE188" s="38">
        <f ca="1">ECF[[#This Row],[Aço (kg)]]*ECF[[#This Row],[Aço (R$/kg)]]+ECF[[#This Row],[Conc (m³)]]*ECF[[#This Row],[Conc (R$/m³)]]</f>
        <v>10088.593346880249</v>
      </c>
      <c r="BF188" s="4" t="str">
        <f ca="1">IF(COUNTIF(ECF[#This Row],"N.S.")&gt;0,"lim.","OK")</f>
        <v>lim.</v>
      </c>
      <c r="BG188" s="4" t="str">
        <f>IF(ECF[[#This Row],[Prof. (m)]]&lt;4,"lim.","OK")</f>
        <v>lim.</v>
      </c>
      <c r="BH188" s="4" t="str">
        <f>IF(ECF[[#This Row],[Prof. (m)]]&gt;=8*ECF[[#This Row],[Ø (cm)]]/100,"OK","lim.")</f>
        <v>lim.</v>
      </c>
      <c r="BI188" s="4" t="str">
        <f>IF(AND(SPT!$F$3&lt;&gt;"",ECF[[#This Row],[Prof. (m)]]&gt;=SPT!$F$3-2),"lim.","OK")</f>
        <v>OK</v>
      </c>
      <c r="BJ188" s="4" t="str">
        <f ca="1">IF(ECF[[#This Row],[Verif. Biela]]="OK","OK","lim.")</f>
        <v>OK</v>
      </c>
      <c r="BK188" s="4" t="str">
        <f ca="1">IF(COUNTA(ECF[[#This Row],[Nº Est.]:[Biela comp.]])=COUNTIF(ECF[[#This Row],[Nº Est.]:[Biela comp.]],"OK"),"OK","lim.")</f>
        <v>lim.</v>
      </c>
      <c r="BL188" s="4" t="str">
        <f ca="1">IF(ECF[[#This Row],[Controle]]="OK",ECF[[#This Row],[nE]]&amp;" Ø"&amp;ECF[[#This Row],[Ø (cm)]]&amp;"cm Prof. "&amp;ECF[[#This Row],[Prof. (m)]]&amp;" m","")</f>
        <v/>
      </c>
      <c r="BM188" s="4" t="str">
        <f ca="1">IF(ECF[[#This Row],[idDimensionamento]]="","",ECF[[#This Row],[idPilar]]&amp;ECF[[#This Row],[idDimensionamento]])</f>
        <v/>
      </c>
    </row>
    <row r="189" spans="2:65" x14ac:dyDescent="0.25">
      <c r="B189" s="12">
        <f>ROUNDUP((ROW(ECF[[#This Row],[idDiâmetro]])-ROW(ECF[[#Headers],[idDiâmetro]]))/(COUNT(SPT[Prof. (m)])*COUNT(PILARES[Pilar])),0)</f>
        <v>7</v>
      </c>
      <c r="C189" s="12">
        <f>IF(ECF[[#This Row],[idDiâmetro]]&lt;&gt;B188,1,IF(ECF[[#This Row],[Prof. (m)]]=0,C188+1,C188))</f>
        <v>2</v>
      </c>
      <c r="D189" s="1">
        <f>IFERROR(IF(D188=MAX(SPT[Prof. (m)]),0,D188+1),0)</f>
        <v>2</v>
      </c>
      <c r="E189" s="1">
        <f>INDEX(SPT[],MATCH(ECF[[#This Row],[Prof. (m)]],SPT[Prof. (m)],0),2)</f>
        <v>2</v>
      </c>
      <c r="F189" s="1" t="str">
        <f>INDEX(SPT[],MATCH(ECF[[#This Row],[Prof. (m)]],SPT[Prof. (m)],0),3)</f>
        <v>Areia siltosa</v>
      </c>
      <c r="G189" s="1">
        <f>INDEX(estacas[],ECF[[#This Row],[idDiâmetro]],MATCH($B$2,estacas[#Headers],0))</f>
        <v>150</v>
      </c>
      <c r="H189" s="1">
        <f>INDEX(estacas[],MATCH(ECF[[#This Row],[Ø (cm)]],estacas[Ø ECF (cm)],0),MATCH(ECF[[#Headers],[Pe ECF (kN)]],estacas[#Headers],0))</f>
        <v>7100</v>
      </c>
      <c r="I189" s="4">
        <f>INDEX(K_alpha_C[],MATCH(ECF[[#This Row],[Solo]],K_alpha_C[Solo],0),2)</f>
        <v>0.8</v>
      </c>
      <c r="J189" s="5">
        <f>INDEX(K_alpha_C[],MATCH(ECF[[#This Row],[Solo]],K_alpha_C[Solo],0),3)</f>
        <v>2</v>
      </c>
      <c r="K189" s="4">
        <f>INDEX(F1_F2[],MATCH($D$2,F1_F2[Tipo de estaca],0),2)</f>
        <v>3</v>
      </c>
      <c r="L189" s="4">
        <f>INDEX(F1_F2[],MATCH($D$2,F1_F2[Tipo de estaca],0),3)</f>
        <v>6</v>
      </c>
      <c r="M189" s="4">
        <f>PI()*(ECF[[#This Row],[Ø (cm)]]/100)^2/4</f>
        <v>1.7671458676442586</v>
      </c>
      <c r="N189" s="4">
        <f>PI()*ECF[[#This Row],[Ø (cm)]]/100</f>
        <v>4.7123889803846897</v>
      </c>
      <c r="O189" s="4">
        <f>IF(ECF[[#This Row],[Prof. (m)]]=0,0,ECF[[#This Row],[α (%)]]/100*ECF[[#This Row],[K (MPa)]]*1000*ECF[[#This Row],[NSPT]])</f>
        <v>32</v>
      </c>
      <c r="P189" s="4">
        <f>IF(ECF[[#This Row],[Prof. (m)]]=0,0,(ECF[[#This Row],[K (MPa)]]*1000*ECF[[#This Row],[NSPT]]/ECF[[#This Row],[F1]]*ECF[[#This Row],[Ap (m²)]]+ECF[[#This Row],[U (m)]]/ECF[[#This Row],[F2]]*SUMIFS(ECF[(α∙K∙NL∙ΔL)],ECF[Prof. (m)],"&lt;="&amp;ECF[[#This Row],[Prof. (m)]],ECF[idDiâmetro],ECF[[#This Row],[idDiâmetro]],ECF[idPilar],ECF[[#This Row],[idPilar]]))/'DADOS CAP. CARGA'!$D$2)</f>
        <v>496.37163926718733</v>
      </c>
      <c r="Q189" s="12">
        <f>INDEX(C_alpha_beta[],MATCH(ECF[[#This Row],[Solo]],C_alpha_beta[Solo],0),MATCH(ECF[[#Headers],[C (kPa)]],C_alpha_beta[#Headers],0))</f>
        <v>400</v>
      </c>
      <c r="R189" s="4">
        <f>INDEX(C_alpha_beta[],MATCH(ECF[[#This Row],[Solo]],C_alpha_beta[Solo],0),MATCH(ECF[[#Headers],[α ESF]],C_alpha_beta[#Headers],0))</f>
        <v>0.5</v>
      </c>
      <c r="S189" s="4">
        <f>INDEX(C_alpha_beta[],MATCH(ECF[[#This Row],[Solo]],C_alpha_beta[Solo],0),MATCH(ECF[[#Headers],[β ESF]],C_alpha_beta[#Headers],0))</f>
        <v>0.5</v>
      </c>
      <c r="T189" s="4">
        <f>IF(ECF[[#This Row],[Prof. (m)]]=0,0,10*(ECF[[#This Row],[NSPT]]/3+1))</f>
        <v>16.666666666666664</v>
      </c>
      <c r="U189" s="4">
        <f>(ECF[[#This Row],[α ESF]]*ECF[[#This Row],[C (kPa)]]*ECF[[#This Row],[NSPT]]*ECF[[#This Row],[Ap (m²)]])/'DADOS CAP. CARGA'!$Q$2+(ECF[[#This Row],[β ESF]]*SUMIFS(ECF[10∙(NL/3+1)],ECF[Prof. (m)],"&lt;="&amp;ECF[[#This Row],[Prof. (m)]],ECF[idDiâmetro],ECF[[#This Row],[idDiâmetro]],ECF[idPilar],ECF[[#This Row],[idPilar]])*ECF[[#This Row],[U (m)]])/'DADOS CAP. CARGA'!$S$2</f>
        <v>215.98449493429825</v>
      </c>
      <c r="V189" s="4">
        <f>IF(SPT!$M$5=1,MIN(ECF[[#This Row],[Pe ECF (kN)]],ECF[[#This Row],[R_AV (kN)]]),IF(SPT!$M$5=2,MIN(ECF[[#This Row],[Pe ECF (kN)]],ECF[[#This Row],[R_DC (kN)]]),MIN(ECF[[#This Row],[Pe ECF (kN)]],ECF[[#This Row],[R_AV (kN)]],ECF[[#This Row],[R_DC (kN)]])))</f>
        <v>215.98449493429825</v>
      </c>
      <c r="W189" s="4">
        <f>INDEX(PILARES[],ECF[[#This Row],[idPilar]],MATCH("Carga (kN)",PILARES[#Headers],0))*1.4</f>
        <v>1750</v>
      </c>
      <c r="X189" s="12">
        <f>INDEX(PILARES[],ECF[[#This Row],[idPilar]],MATCH(ECF[[#Headers],[ap (cm)]],PILARES[#Headers],0))</f>
        <v>50</v>
      </c>
      <c r="Y189" s="12">
        <f>INDEX(PILARES[],ECF[[#This Row],[idPilar]],MATCH(ECF[[#Headers],[bp (cm)]],PILARES[#Headers],0))</f>
        <v>40</v>
      </c>
      <c r="Z189" s="4">
        <f>SQRT(ECF[[#This Row],[ap (cm)]]*ECF[[#This Row],[bp (cm)]])</f>
        <v>44.721359549995796</v>
      </c>
      <c r="AA189" s="12">
        <f>ECF[[#This Row],[ap (cm)]]*ECF[[#This Row],[bp (cm)]]</f>
        <v>2000</v>
      </c>
      <c r="AB189" s="12">
        <f ca="1">IF(ECF[[#This Row],[Padm∙ε (kN)]]&gt;=ECF[[#This Row],[Padm (kN)]],ROUNDUP(1.05*ECF[[#This Row],[Nsd (kN)]]/ECF[[#This Row],[Padm (kN)]],0),ROUNDUP(1.05*ECF[[#This Row],[Nsd (kN)]]/ECF[[#This Row],[Padm (kN)]],0)+1)</f>
        <v>9</v>
      </c>
      <c r="AC189" s="4" t="str">
        <f ca="1">IFERROR(IF(ECF[[#This Row],[nE]]=1,ECF[[#This Row],[Padm (kN)]],ECF[[#This Row],[Padm (kN)]]*ECF[[#This Row],[nE]]*INDEX(grupoEstacas[],ECF[[#This Row],[nE]],MATCH("ε",grupoEstacas[#Headers],0))),"N.S.")</f>
        <v>N.S.</v>
      </c>
      <c r="AD189" s="4">
        <f ca="1">1.05*ECF[[#This Row],[Nsd (kN)]]/(ECF[[#This Row],[nE]]*PI()*ECF[[#This Row],[Ø (cm)]]^2/4)*10</f>
        <v>0.11553469942967218</v>
      </c>
      <c r="AE189" s="4">
        <f ca="1">IF(ECF[[#This Row],[σ (MPa)]]&lt;INDEX(tipoEstaca[],MATCH($D$2,tipoEstaca[TIPO DE ESTACA],0),MATCH("σmáx (MPa)",tipoEstaca[#Headers],0)),0.4%*PI()*ECF[[#This Row],[Ø (cm)]]^2/4,"N.S.")</f>
        <v>70.685834705770347</v>
      </c>
      <c r="AF189" s="1">
        <f>INDEX(tipoEstaca[],MATCH($D$2,tipoEstaca[TIPO DE ESTACA],0),MATCH(ECF[[#Headers],[Comprimento (m)]],tipoEstaca[#Headers],0))</f>
        <v>4</v>
      </c>
      <c r="AG189" s="5">
        <f ca="1">ECF[[#This Row],[As,mín (cm²)]]/100^2*ECF[[#This Row],[Comprimento (m)]]*7850</f>
        <v>221.95352097611888</v>
      </c>
      <c r="AH189" s="4">
        <f ca="1">ECF[[#This Row],[nE]]*ECF[[#This Row],[Prof. (m)]]*ECF[[#This Row],[Ap (m²)]]</f>
        <v>31.808625617596654</v>
      </c>
      <c r="AI189" s="1">
        <f ca="1">IF(ECF[[#This Row],[nE]]=1,0,MAX(3*ECF[[#This Row],[Ø (cm)]],60))</f>
        <v>450</v>
      </c>
      <c r="AJ189" s="1">
        <f ca="1">IF(ECF[[#This Row],[nE]]=1,ECF[[#This Row],[Ø (cm)]]+2*10,MAX(1.5*ECF[[#This Row],[Ø (cm)]],ECF[[#This Row],[Ø (cm)]]+15))</f>
        <v>225</v>
      </c>
      <c r="AK189" s="1" t="str">
        <f ca="1">alturaUtil(ECF[[#This Row],[nE]],ECF[[#This Row],[Ø (cm)]],ECF[[#This Row],[e (cm)]],ECF[[#This Row],[ap,eq (cm)]])</f>
        <v>N.S.</v>
      </c>
      <c r="AL189" s="1" t="str">
        <f ca="1">IFERROR(ECF[[#This Row],[d (cm)]]+arredondarParaCimaMultiplo5cm(MAX(5,SQRT(PI())/2*ECF[[#This Row],[Ø (cm)]]/5)),"N.S.")</f>
        <v>N.S.</v>
      </c>
      <c r="AM189" s="5" t="str">
        <f ca="1">alpha(ECF[[#This Row],[nE]],ECF[[#This Row],[d (cm)]],ECF[[#This Row],[e (cm)]],ECF[[#This Row],[ap,eq (cm)]])</f>
        <v>N.S.</v>
      </c>
      <c r="AN189" s="35" t="str">
        <f ca="1">IFERROR(ECF[[#This Row],[Nsd (kN)]]/(ECF[[#This Row],[Ap (cm²)]]*SIN(ECF[[#This Row],[α]])^2),"N.S.")</f>
        <v>N.S.</v>
      </c>
      <c r="AO189" s="35" t="str">
        <f ca="1">IFERROR(ECF[[#This Row],[Nsd (kN)]]/(ECF[[#This Row],[nE]]*PI()*ECF[[#This Row],[Ø (cm)]]^2/4*SIN(ECF[[#This Row],[α]])^2),"N.S.")</f>
        <v>N.S.</v>
      </c>
      <c r="AP189" s="4" t="str">
        <f ca="1">IFERROR(INDEX(grupoEstacas[],ECF[[#This Row],[nE]],MATCH("coef. Blévot",grupoEstacas[#Headers],0)),"N.S.")</f>
        <v>N.S.</v>
      </c>
      <c r="AQ189" s="35" t="str">
        <f ca="1">IFERROR(ECF[[#This Row],[coef. Blévot]]*0.9*INDEX(tipoEstaca[],MATCH($D$2,tipoEstaca[TIPO DE ESTACA],0),MATCH("fcd (kN/cm²)",tipoEstaca[#Headers],0)),"N.S.")</f>
        <v>N.S.</v>
      </c>
      <c r="AR189" s="1" t="str">
        <f ca="1">IF(AND(ECF[[#This Row],[cd,b,pil (kN/cm²)]]&lt;=ECF[[#This Row],[cd,b,lim (kN/cm²)]],ECF[[#This Row],[cd,b,est (kN/cm²)]]&lt;=ECF[[#This Row],[cd,b,lim (kN/cm²)]]),"OK","ERRO")</f>
        <v>OK</v>
      </c>
      <c r="AS189" s="4" t="str">
        <f ca="1">As_lado(ECF[[#This Row],[nE]],ECF[[#This Row],[Nsd (kN)]],ECF[[#This Row],[d (cm)]],ECF[[#This Row],[e (cm)]],ECF[[#This Row],[ap,eq (cm)]])</f>
        <v>N.S.</v>
      </c>
      <c r="AT189" s="4" t="str">
        <f ca="1">IF(ECF[[#This Row],[nE]]=1,ECF[[#This Row],[As,lado (cm²)]],IF(ECF[[#This Row],[nE]]=2,0.075*2*ECF[a (cm)],"N.A."))</f>
        <v>N.A.</v>
      </c>
      <c r="AU189" s="4" t="str">
        <f ca="1">IFERROR(IF(ECF[[#This Row],[nE]]=1,"N.A.",0.2*ECF[[#This Row],[As,lado (cm²)]]),"N.S.")</f>
        <v>N.S.</v>
      </c>
      <c r="AV189" s="4" t="str">
        <f ca="1">As_malha(ECF[[#This Row],[nE]],ECF[[#This Row],[As,lado (cm²)]],ECF[[#This Row],[Nsd (kN)]])</f>
        <v>N.S.</v>
      </c>
      <c r="AW189" s="4" t="str">
        <f ca="1">As_susp_tot(ECF[[#This Row],[nE]],ECF[[#This Row],[Nsd (kN)]])</f>
        <v>N.S.</v>
      </c>
      <c r="AX189" s="4" t="str">
        <f ca="1">Asp_face(ECF[[#This Row],[nE]],ECF[[#This Row],[As,lado (cm²)]])</f>
        <v>N.S.</v>
      </c>
      <c r="AY189" s="5" t="str">
        <f ca="1">acoBloco(ECF[[#This Row],[nE]],ECF[[#This Row],[e (cm)]],ECF[[#This Row],[a (cm)]],ECF[[#This Row],[h (cm)]],ECF[[#This Row],[As,lado (cm²)]],ECF[[#This Row],[Asp e Asw (cm²/m)]],ECF[[#This Row],[As,sup (cm²)]],ECF[[#This Row],[As,malha (cm²)]],ECF[[#This Row],[As,susp,tot (cm²)]],ECF[[#This Row],[Asp,face (cm²)]])</f>
        <v>N.S.</v>
      </c>
      <c r="AZ189" s="4" t="str">
        <f ca="1">concretoBloco(ECF[[#This Row],[nE]],ECF[[#This Row],[e (cm)]],ECF[[#This Row],[a (cm)]],ECF[[#This Row],[h (cm)]])</f>
        <v>N.S.</v>
      </c>
      <c r="BA189" s="5">
        <f ca="1">SUM(ECF[[#This Row],[Aço Est (kg)]],ECF[[#This Row],[Aço Bloco (kg)]])</f>
        <v>221.95352097611888</v>
      </c>
      <c r="BB189" s="4">
        <f>INDEX(composicoes[],MATCH(95580,composicoes[CÓDIGO],0),MATCH("CUSTO TOTAL",composicoes[#Headers],0))</f>
        <v>10.46</v>
      </c>
      <c r="BC189" s="4">
        <f ca="1">SUM(ECF[[#This Row],[Conc Est (m³)]],ECF[[#This Row],[Conc Bloco (m³)]])</f>
        <v>31.808625617596654</v>
      </c>
      <c r="BD189" s="4">
        <f>INDEX(composicoes[],MATCH(94966,composicoes[CÓDIGO],0),MATCH("CUSTO TOTAL",composicoes[#Headers],0))</f>
        <v>439.52</v>
      </c>
      <c r="BE189" s="38">
        <f ca="1">ECF[[#This Row],[Aço (kg)]]*ECF[[#This Row],[Aço (R$/kg)]]+ECF[[#This Row],[Conc (m³)]]*ECF[[#This Row],[Conc (R$/m³)]]</f>
        <v>16302.160960856285</v>
      </c>
      <c r="BF189" s="4" t="str">
        <f ca="1">IF(COUNTIF(ECF[#This Row],"N.S.")&gt;0,"lim.","OK")</f>
        <v>lim.</v>
      </c>
      <c r="BG189" s="4" t="str">
        <f>IF(ECF[[#This Row],[Prof. (m)]]&lt;4,"lim.","OK")</f>
        <v>lim.</v>
      </c>
      <c r="BH189" s="4" t="str">
        <f>IF(ECF[[#This Row],[Prof. (m)]]&gt;=8*ECF[[#This Row],[Ø (cm)]]/100,"OK","lim.")</f>
        <v>lim.</v>
      </c>
      <c r="BI189" s="4" t="str">
        <f>IF(AND(SPT!$F$3&lt;&gt;"",ECF[[#This Row],[Prof. (m)]]&gt;=SPT!$F$3-2),"lim.","OK")</f>
        <v>OK</v>
      </c>
      <c r="BJ189" s="4" t="str">
        <f ca="1">IF(ECF[[#This Row],[Verif. Biela]]="OK","OK","lim.")</f>
        <v>OK</v>
      </c>
      <c r="BK189" s="4" t="str">
        <f ca="1">IF(COUNTA(ECF[[#This Row],[Nº Est.]:[Biela comp.]])=COUNTIF(ECF[[#This Row],[Nº Est.]:[Biela comp.]],"OK"),"OK","lim.")</f>
        <v>lim.</v>
      </c>
      <c r="BL189" s="4" t="str">
        <f ca="1">IF(ECF[[#This Row],[Controle]]="OK",ECF[[#This Row],[nE]]&amp;" Ø"&amp;ECF[[#This Row],[Ø (cm)]]&amp;"cm Prof. "&amp;ECF[[#This Row],[Prof. (m)]]&amp;" m","")</f>
        <v/>
      </c>
      <c r="BM189" s="4" t="str">
        <f ca="1">IF(ECF[[#This Row],[idDimensionamento]]="","",ECF[[#This Row],[idPilar]]&amp;ECF[[#This Row],[idDimensionamento]])</f>
        <v/>
      </c>
    </row>
    <row r="190" spans="2:65" x14ac:dyDescent="0.25">
      <c r="B190" s="12">
        <f>ROUNDUP((ROW(ECF[[#This Row],[idDiâmetro]])-ROW(ECF[[#Headers],[idDiâmetro]]))/(COUNT(SPT[Prof. (m)])*COUNT(PILARES[Pilar])),0)</f>
        <v>7</v>
      </c>
      <c r="C190" s="12">
        <f>IF(ECF[[#This Row],[idDiâmetro]]&lt;&gt;B189,1,IF(ECF[[#This Row],[Prof. (m)]]=0,C189+1,C189))</f>
        <v>2</v>
      </c>
      <c r="D190" s="1">
        <f>IFERROR(IF(D189=MAX(SPT[Prof. (m)]),0,D189+1),0)</f>
        <v>3</v>
      </c>
      <c r="E190" s="1">
        <f>INDEX(SPT[],MATCH(ECF[[#This Row],[Prof. (m)]],SPT[Prof. (m)],0),2)</f>
        <v>4</v>
      </c>
      <c r="F190" s="1" t="str">
        <f>INDEX(SPT[],MATCH(ECF[[#This Row],[Prof. (m)]],SPT[Prof. (m)],0),3)</f>
        <v>Areia siltosa</v>
      </c>
      <c r="G190" s="1">
        <f>INDEX(estacas[],ECF[[#This Row],[idDiâmetro]],MATCH($B$2,estacas[#Headers],0))</f>
        <v>150</v>
      </c>
      <c r="H190" s="1">
        <f>INDEX(estacas[],MATCH(ECF[[#This Row],[Ø (cm)]],estacas[Ø ECF (cm)],0),MATCH(ECF[[#Headers],[Pe ECF (kN)]],estacas[#Headers],0))</f>
        <v>7100</v>
      </c>
      <c r="I190" s="4">
        <f>INDEX(K_alpha_C[],MATCH(ECF[[#This Row],[Solo]],K_alpha_C[Solo],0),2)</f>
        <v>0.8</v>
      </c>
      <c r="J190" s="5">
        <f>INDEX(K_alpha_C[],MATCH(ECF[[#This Row],[Solo]],K_alpha_C[Solo],0),3)</f>
        <v>2</v>
      </c>
      <c r="K190" s="4">
        <f>INDEX(F1_F2[],MATCH($D$2,F1_F2[Tipo de estaca],0),2)</f>
        <v>3</v>
      </c>
      <c r="L190" s="4">
        <f>INDEX(F1_F2[],MATCH($D$2,F1_F2[Tipo de estaca],0),3)</f>
        <v>6</v>
      </c>
      <c r="M190" s="4">
        <f>PI()*(ECF[[#This Row],[Ø (cm)]]/100)^2/4</f>
        <v>1.7671458676442586</v>
      </c>
      <c r="N190" s="4">
        <f>PI()*ECF[[#This Row],[Ø (cm)]]/100</f>
        <v>4.7123889803846897</v>
      </c>
      <c r="O190" s="4">
        <f>IF(ECF[[#This Row],[Prof. (m)]]=0,0,ECF[[#This Row],[α (%)]]/100*ECF[[#This Row],[K (MPa)]]*1000*ECF[[#This Row],[NSPT]])</f>
        <v>64</v>
      </c>
      <c r="P190" s="4">
        <f>IF(ECF[[#This Row],[Prof. (m)]]=0,0,(ECF[[#This Row],[K (MPa)]]*1000*ECF[[#This Row],[NSPT]]/ECF[[#This Row],[F1]]*ECF[[#This Row],[Ap (m²)]]+ECF[[#This Row],[U (m)]]/ECF[[#This Row],[F2]]*SUMIFS(ECF[(α∙K∙NL∙ΔL)],ECF[Prof. (m)],"&lt;="&amp;ECF[[#This Row],[Prof. (m)]],ECF[idDiâmetro],ECF[[#This Row],[idDiâmetro]],ECF[idPilar],ECF[[#This Row],[idPilar]]))/'DADOS CAP. CARGA'!$D$2)</f>
        <v>992.74327853437467</v>
      </c>
      <c r="Q190" s="12">
        <f>INDEX(C_alpha_beta[],MATCH(ECF[[#This Row],[Solo]],C_alpha_beta[Solo],0),MATCH(ECF[[#Headers],[C (kPa)]],C_alpha_beta[#Headers],0))</f>
        <v>400</v>
      </c>
      <c r="R190" s="4">
        <f>INDEX(C_alpha_beta[],MATCH(ECF[[#This Row],[Solo]],C_alpha_beta[Solo],0),MATCH(ECF[[#Headers],[α ESF]],C_alpha_beta[#Headers],0))</f>
        <v>0.5</v>
      </c>
      <c r="S190" s="4">
        <f>INDEX(C_alpha_beta[],MATCH(ECF[[#This Row],[Solo]],C_alpha_beta[Solo],0),MATCH(ECF[[#Headers],[β ESF]],C_alpha_beta[#Headers],0))</f>
        <v>0.5</v>
      </c>
      <c r="T190" s="4">
        <f>IF(ECF[[#This Row],[Prof. (m)]]=0,0,10*(ECF[[#This Row],[NSPT]]/3+1))</f>
        <v>23.333333333333329</v>
      </c>
      <c r="U190" s="4">
        <f>(ECF[[#This Row],[α ESF]]*ECF[[#This Row],[C (kPa)]]*ECF[[#This Row],[NSPT]]*ECF[[#This Row],[Ap (m²)]])/'DADOS CAP. CARGA'!$Q$2+(ECF[[#This Row],[β ESF]]*SUMIFS(ECF[10∙(NL/3+1)],ECF[Prof. (m)],"&lt;="&amp;ECF[[#This Row],[Prof. (m)]],ECF[idDiâmetro],ECF[[#This Row],[idDiâmetro]],ECF[idPilar],ECF[[#This Row],[idPilar]])*ECF[[#This Row],[U (m)]])/'DADOS CAP. CARGA'!$S$2</f>
        <v>420.1880174176348</v>
      </c>
      <c r="V190" s="4">
        <f>IF(SPT!$M$5=1,MIN(ECF[[#This Row],[Pe ECF (kN)]],ECF[[#This Row],[R_AV (kN)]]),IF(SPT!$M$5=2,MIN(ECF[[#This Row],[Pe ECF (kN)]],ECF[[#This Row],[R_DC (kN)]]),MIN(ECF[[#This Row],[Pe ECF (kN)]],ECF[[#This Row],[R_AV (kN)]],ECF[[#This Row],[R_DC (kN)]])))</f>
        <v>420.1880174176348</v>
      </c>
      <c r="W190" s="4">
        <f>INDEX(PILARES[],ECF[[#This Row],[idPilar]],MATCH("Carga (kN)",PILARES[#Headers],0))*1.4</f>
        <v>1750</v>
      </c>
      <c r="X190" s="12">
        <f>INDEX(PILARES[],ECF[[#This Row],[idPilar]],MATCH(ECF[[#Headers],[ap (cm)]],PILARES[#Headers],0))</f>
        <v>50</v>
      </c>
      <c r="Y190" s="12">
        <f>INDEX(PILARES[],ECF[[#This Row],[idPilar]],MATCH(ECF[[#Headers],[bp (cm)]],PILARES[#Headers],0))</f>
        <v>40</v>
      </c>
      <c r="Z190" s="4">
        <f>SQRT(ECF[[#This Row],[ap (cm)]]*ECF[[#This Row],[bp (cm)]])</f>
        <v>44.721359549995796</v>
      </c>
      <c r="AA190" s="12">
        <f>ECF[[#This Row],[ap (cm)]]*ECF[[#This Row],[bp (cm)]]</f>
        <v>2000</v>
      </c>
      <c r="AB190" s="12">
        <f ca="1">IF(ECF[[#This Row],[Padm∙ε (kN)]]&gt;=ECF[[#This Row],[Padm (kN)]],ROUNDUP(1.05*ECF[[#This Row],[Nsd (kN)]]/ECF[[#This Row],[Padm (kN)]],0),ROUNDUP(1.05*ECF[[#This Row],[Nsd (kN)]]/ECF[[#This Row],[Padm (kN)]],0)+1)</f>
        <v>5</v>
      </c>
      <c r="AC190" s="4" t="str">
        <f ca="1">IFERROR(IF(ECF[[#This Row],[nE]]=1,ECF[[#This Row],[Padm (kN)]],ECF[[#This Row],[Padm (kN)]]*ECF[[#This Row],[nE]]*INDEX(grupoEstacas[],ECF[[#This Row],[nE]],MATCH("ε",grupoEstacas[#Headers],0))),"N.S.")</f>
        <v>N.S.</v>
      </c>
      <c r="AD190" s="4">
        <f ca="1">1.05*ECF[[#This Row],[Nsd (kN)]]/(ECF[[#This Row],[nE]]*PI()*ECF[[#This Row],[Ø (cm)]]^2/4)*10</f>
        <v>0.20796245897340992</v>
      </c>
      <c r="AE190" s="4">
        <f ca="1">IF(ECF[[#This Row],[σ (MPa)]]&lt;INDEX(tipoEstaca[],MATCH($D$2,tipoEstaca[TIPO DE ESTACA],0),MATCH("σmáx (MPa)",tipoEstaca[#Headers],0)),0.4%*PI()*ECF[[#This Row],[Ø (cm)]]^2/4,"N.S.")</f>
        <v>70.685834705770347</v>
      </c>
      <c r="AF190" s="1">
        <f>INDEX(tipoEstaca[],MATCH($D$2,tipoEstaca[TIPO DE ESTACA],0),MATCH(ECF[[#Headers],[Comprimento (m)]],tipoEstaca[#Headers],0))</f>
        <v>4</v>
      </c>
      <c r="AG190" s="5">
        <f ca="1">ECF[[#This Row],[As,mín (cm²)]]/100^2*ECF[[#This Row],[Comprimento (m)]]*7850</f>
        <v>221.95352097611888</v>
      </c>
      <c r="AH190" s="4">
        <f ca="1">ECF[[#This Row],[nE]]*ECF[[#This Row],[Prof. (m)]]*ECF[[#This Row],[Ap (m²)]]</f>
        <v>26.507188014663878</v>
      </c>
      <c r="AI190" s="1">
        <f ca="1">IF(ECF[[#This Row],[nE]]=1,0,MAX(3*ECF[[#This Row],[Ø (cm)]],60))</f>
        <v>450</v>
      </c>
      <c r="AJ190" s="1">
        <f ca="1">IF(ECF[[#This Row],[nE]]=1,ECF[[#This Row],[Ø (cm)]]+2*10,MAX(1.5*ECF[[#This Row],[Ø (cm)]],ECF[[#This Row],[Ø (cm)]]+15))</f>
        <v>225</v>
      </c>
      <c r="AK190" s="1" t="str">
        <f ca="1">alturaUtil(ECF[[#This Row],[nE]],ECF[[#This Row],[Ø (cm)]],ECF[[#This Row],[e (cm)]],ECF[[#This Row],[ap,eq (cm)]])</f>
        <v>N.S.</v>
      </c>
      <c r="AL190" s="1" t="str">
        <f ca="1">IFERROR(ECF[[#This Row],[d (cm)]]+arredondarParaCimaMultiplo5cm(MAX(5,SQRT(PI())/2*ECF[[#This Row],[Ø (cm)]]/5)),"N.S.")</f>
        <v>N.S.</v>
      </c>
      <c r="AM190" s="5" t="str">
        <f ca="1">alpha(ECF[[#This Row],[nE]],ECF[[#This Row],[d (cm)]],ECF[[#This Row],[e (cm)]],ECF[[#This Row],[ap,eq (cm)]])</f>
        <v>N.S.</v>
      </c>
      <c r="AN190" s="35" t="str">
        <f ca="1">IFERROR(ECF[[#This Row],[Nsd (kN)]]/(ECF[[#This Row],[Ap (cm²)]]*SIN(ECF[[#This Row],[α]])^2),"N.S.")</f>
        <v>N.S.</v>
      </c>
      <c r="AO190" s="35" t="str">
        <f ca="1">IFERROR(ECF[[#This Row],[Nsd (kN)]]/(ECF[[#This Row],[nE]]*PI()*ECF[[#This Row],[Ø (cm)]]^2/4*SIN(ECF[[#This Row],[α]])^2),"N.S.")</f>
        <v>N.S.</v>
      </c>
      <c r="AP190" s="4" t="str">
        <f ca="1">IFERROR(INDEX(grupoEstacas[],ECF[[#This Row],[nE]],MATCH("coef. Blévot",grupoEstacas[#Headers],0)),"N.S.")</f>
        <v>N.S.</v>
      </c>
      <c r="AQ190" s="35" t="str">
        <f ca="1">IFERROR(ECF[[#This Row],[coef. Blévot]]*0.9*INDEX(tipoEstaca[],MATCH($D$2,tipoEstaca[TIPO DE ESTACA],0),MATCH("fcd (kN/cm²)",tipoEstaca[#Headers],0)),"N.S.")</f>
        <v>N.S.</v>
      </c>
      <c r="AR190" s="1" t="str">
        <f ca="1">IF(AND(ECF[[#This Row],[cd,b,pil (kN/cm²)]]&lt;=ECF[[#This Row],[cd,b,lim (kN/cm²)]],ECF[[#This Row],[cd,b,est (kN/cm²)]]&lt;=ECF[[#This Row],[cd,b,lim (kN/cm²)]]),"OK","ERRO")</f>
        <v>OK</v>
      </c>
      <c r="AS190" s="4" t="str">
        <f ca="1">As_lado(ECF[[#This Row],[nE]],ECF[[#This Row],[Nsd (kN)]],ECF[[#This Row],[d (cm)]],ECF[[#This Row],[e (cm)]],ECF[[#This Row],[ap,eq (cm)]])</f>
        <v>N.S.</v>
      </c>
      <c r="AT190" s="4" t="str">
        <f ca="1">IF(ECF[[#This Row],[nE]]=1,ECF[[#This Row],[As,lado (cm²)]],IF(ECF[[#This Row],[nE]]=2,0.075*2*ECF[a (cm)],"N.A."))</f>
        <v>N.A.</v>
      </c>
      <c r="AU190" s="4" t="str">
        <f ca="1">IFERROR(IF(ECF[[#This Row],[nE]]=1,"N.A.",0.2*ECF[[#This Row],[As,lado (cm²)]]),"N.S.")</f>
        <v>N.S.</v>
      </c>
      <c r="AV190" s="4" t="str">
        <f ca="1">As_malha(ECF[[#This Row],[nE]],ECF[[#This Row],[As,lado (cm²)]],ECF[[#This Row],[Nsd (kN)]])</f>
        <v>N.S.</v>
      </c>
      <c r="AW190" s="4" t="str">
        <f ca="1">As_susp_tot(ECF[[#This Row],[nE]],ECF[[#This Row],[Nsd (kN)]])</f>
        <v>N.S.</v>
      </c>
      <c r="AX190" s="4" t="str">
        <f ca="1">Asp_face(ECF[[#This Row],[nE]],ECF[[#This Row],[As,lado (cm²)]])</f>
        <v>N.S.</v>
      </c>
      <c r="AY190" s="5" t="str">
        <f ca="1">acoBloco(ECF[[#This Row],[nE]],ECF[[#This Row],[e (cm)]],ECF[[#This Row],[a (cm)]],ECF[[#This Row],[h (cm)]],ECF[[#This Row],[As,lado (cm²)]],ECF[[#This Row],[Asp e Asw (cm²/m)]],ECF[[#This Row],[As,sup (cm²)]],ECF[[#This Row],[As,malha (cm²)]],ECF[[#This Row],[As,susp,tot (cm²)]],ECF[[#This Row],[Asp,face (cm²)]])</f>
        <v>N.S.</v>
      </c>
      <c r="AZ190" s="4" t="str">
        <f ca="1">concretoBloco(ECF[[#This Row],[nE]],ECF[[#This Row],[e (cm)]],ECF[[#This Row],[a (cm)]],ECF[[#This Row],[h (cm)]])</f>
        <v>N.S.</v>
      </c>
      <c r="BA190" s="5">
        <f ca="1">SUM(ECF[[#This Row],[Aço Est (kg)]],ECF[[#This Row],[Aço Bloco (kg)]])</f>
        <v>221.95352097611888</v>
      </c>
      <c r="BB190" s="4">
        <f>INDEX(composicoes[],MATCH(95580,composicoes[CÓDIGO],0),MATCH("CUSTO TOTAL",composicoes[#Headers],0))</f>
        <v>10.46</v>
      </c>
      <c r="BC190" s="4">
        <f ca="1">SUM(ECF[[#This Row],[Conc Est (m³)]],ECF[[#This Row],[Conc Bloco (m³)]])</f>
        <v>26.507188014663878</v>
      </c>
      <c r="BD190" s="4">
        <f>INDEX(composicoes[],MATCH(94966,composicoes[CÓDIGO],0),MATCH("CUSTO TOTAL",composicoes[#Headers],0))</f>
        <v>439.52</v>
      </c>
      <c r="BE190" s="38">
        <f ca="1">ECF[[#This Row],[Aço (kg)]]*ECF[[#This Row],[Aço (R$/kg)]]+ECF[[#This Row],[Conc (m³)]]*ECF[[#This Row],[Conc (R$/m³)]]</f>
        <v>13972.073105615271</v>
      </c>
      <c r="BF190" s="4" t="str">
        <f ca="1">IF(COUNTIF(ECF[#This Row],"N.S.")&gt;0,"lim.","OK")</f>
        <v>lim.</v>
      </c>
      <c r="BG190" s="4" t="str">
        <f>IF(ECF[[#This Row],[Prof. (m)]]&lt;4,"lim.","OK")</f>
        <v>lim.</v>
      </c>
      <c r="BH190" s="4" t="str">
        <f>IF(ECF[[#This Row],[Prof. (m)]]&gt;=8*ECF[[#This Row],[Ø (cm)]]/100,"OK","lim.")</f>
        <v>lim.</v>
      </c>
      <c r="BI190" s="4" t="str">
        <f>IF(AND(SPT!$F$3&lt;&gt;"",ECF[[#This Row],[Prof. (m)]]&gt;=SPT!$F$3-2),"lim.","OK")</f>
        <v>OK</v>
      </c>
      <c r="BJ190" s="4" t="str">
        <f ca="1">IF(ECF[[#This Row],[Verif. Biela]]="OK","OK","lim.")</f>
        <v>OK</v>
      </c>
      <c r="BK190" s="4" t="str">
        <f ca="1">IF(COUNTA(ECF[[#This Row],[Nº Est.]:[Biela comp.]])=COUNTIF(ECF[[#This Row],[Nº Est.]:[Biela comp.]],"OK"),"OK","lim.")</f>
        <v>lim.</v>
      </c>
      <c r="BL190" s="4" t="str">
        <f ca="1">IF(ECF[[#This Row],[Controle]]="OK",ECF[[#This Row],[nE]]&amp;" Ø"&amp;ECF[[#This Row],[Ø (cm)]]&amp;"cm Prof. "&amp;ECF[[#This Row],[Prof. (m)]]&amp;" m","")</f>
        <v/>
      </c>
      <c r="BM190" s="4" t="str">
        <f ca="1">IF(ECF[[#This Row],[idDimensionamento]]="","",ECF[[#This Row],[idPilar]]&amp;ECF[[#This Row],[idDimensionamento]])</f>
        <v/>
      </c>
    </row>
    <row r="191" spans="2:65" x14ac:dyDescent="0.25">
      <c r="B191" s="12">
        <f>ROUNDUP((ROW(ECF[[#This Row],[idDiâmetro]])-ROW(ECF[[#Headers],[idDiâmetro]]))/(COUNT(SPT[Prof. (m)])*COUNT(PILARES[Pilar])),0)</f>
        <v>7</v>
      </c>
      <c r="C191" s="12">
        <f>IF(ECF[[#This Row],[idDiâmetro]]&lt;&gt;B190,1,IF(ECF[[#This Row],[Prof. (m)]]=0,C190+1,C190))</f>
        <v>2</v>
      </c>
      <c r="D191" s="1">
        <f>IFERROR(IF(D190=MAX(SPT[Prof. (m)]),0,D190+1),0)</f>
        <v>4</v>
      </c>
      <c r="E191" s="1">
        <f>INDEX(SPT[],MATCH(ECF[[#This Row],[Prof. (m)]],SPT[Prof. (m)],0),2)</f>
        <v>8</v>
      </c>
      <c r="F191" s="1" t="str">
        <f>INDEX(SPT[],MATCH(ECF[[#This Row],[Prof. (m)]],SPT[Prof. (m)],0),3)</f>
        <v>Areia siltosa</v>
      </c>
      <c r="G191" s="1">
        <f>INDEX(estacas[],ECF[[#This Row],[idDiâmetro]],MATCH($B$2,estacas[#Headers],0))</f>
        <v>150</v>
      </c>
      <c r="H191" s="1">
        <f>INDEX(estacas[],MATCH(ECF[[#This Row],[Ø (cm)]],estacas[Ø ECF (cm)],0),MATCH(ECF[[#Headers],[Pe ECF (kN)]],estacas[#Headers],0))</f>
        <v>7100</v>
      </c>
      <c r="I191" s="4">
        <f>INDEX(K_alpha_C[],MATCH(ECF[[#This Row],[Solo]],K_alpha_C[Solo],0),2)</f>
        <v>0.8</v>
      </c>
      <c r="J191" s="5">
        <f>INDEX(K_alpha_C[],MATCH(ECF[[#This Row],[Solo]],K_alpha_C[Solo],0),3)</f>
        <v>2</v>
      </c>
      <c r="K191" s="4">
        <f>INDEX(F1_F2[],MATCH($D$2,F1_F2[Tipo de estaca],0),2)</f>
        <v>3</v>
      </c>
      <c r="L191" s="4">
        <f>INDEX(F1_F2[],MATCH($D$2,F1_F2[Tipo de estaca],0),3)</f>
        <v>6</v>
      </c>
      <c r="M191" s="4">
        <f>PI()*(ECF[[#This Row],[Ø (cm)]]/100)^2/4</f>
        <v>1.7671458676442586</v>
      </c>
      <c r="N191" s="4">
        <f>PI()*ECF[[#This Row],[Ø (cm)]]/100</f>
        <v>4.7123889803846897</v>
      </c>
      <c r="O191" s="4">
        <f>IF(ECF[[#This Row],[Prof. (m)]]=0,0,ECF[[#This Row],[α (%)]]/100*ECF[[#This Row],[K (MPa)]]*1000*ECF[[#This Row],[NSPT]])</f>
        <v>128</v>
      </c>
      <c r="P191" s="4">
        <f>IF(ECF[[#This Row],[Prof. (m)]]=0,0,(ECF[[#This Row],[K (MPa)]]*1000*ECF[[#This Row],[NSPT]]/ECF[[#This Row],[F1]]*ECF[[#This Row],[Ap (m²)]]+ECF[[#This Row],[U (m)]]/ECF[[#This Row],[F2]]*SUMIFS(ECF[(α∙K∙NL∙ΔL)],ECF[Prof. (m)],"&lt;="&amp;ECF[[#This Row],[Prof. (m)]],ECF[idDiâmetro],ECF[[#This Row],[idDiâmetro]],ECF[idPilar],ECF[[#This Row],[idPilar]]))/'DADOS CAP. CARGA'!$D$2)</f>
        <v>1985.4865570687493</v>
      </c>
      <c r="Q191" s="12">
        <f>INDEX(C_alpha_beta[],MATCH(ECF[[#This Row],[Solo]],C_alpha_beta[Solo],0),MATCH(ECF[[#Headers],[C (kPa)]],C_alpha_beta[#Headers],0))</f>
        <v>400</v>
      </c>
      <c r="R191" s="4">
        <f>INDEX(C_alpha_beta[],MATCH(ECF[[#This Row],[Solo]],C_alpha_beta[Solo],0),MATCH(ECF[[#Headers],[α ESF]],C_alpha_beta[#Headers],0))</f>
        <v>0.5</v>
      </c>
      <c r="S191" s="4">
        <f>INDEX(C_alpha_beta[],MATCH(ECF[[#This Row],[Solo]],C_alpha_beta[Solo],0),MATCH(ECF[[#Headers],[β ESF]],C_alpha_beta[#Headers],0))</f>
        <v>0.5</v>
      </c>
      <c r="T191" s="4">
        <f>IF(ECF[[#This Row],[Prof. (m)]]=0,0,10*(ECF[[#This Row],[NSPT]]/3+1))</f>
        <v>36.666666666666664</v>
      </c>
      <c r="U191" s="4">
        <f>(ECF[[#This Row],[α ESF]]*ECF[[#This Row],[C (kPa)]]*ECF[[#This Row],[NSPT]]*ECF[[#This Row],[Ap (m²)]])/'DADOS CAP. CARGA'!$Q$2+(ECF[[#This Row],[β ESF]]*SUMIFS(ECF[10∙(NL/3+1)],ECF[Prof. (m)],"&lt;="&amp;ECF[[#This Row],[Prof. (m)]],ECF[idDiâmetro],ECF[[#This Row],[idDiâmetro]],ECF[idPilar],ECF[[#This Row],[idPilar]])*ECF[[#This Row],[U (m)]])/'DADOS CAP. CARGA'!$S$2</f>
        <v>816.81408993334617</v>
      </c>
      <c r="V191" s="4">
        <f>IF(SPT!$M$5=1,MIN(ECF[[#This Row],[Pe ECF (kN)]],ECF[[#This Row],[R_AV (kN)]]),IF(SPT!$M$5=2,MIN(ECF[[#This Row],[Pe ECF (kN)]],ECF[[#This Row],[R_DC (kN)]]),MIN(ECF[[#This Row],[Pe ECF (kN)]],ECF[[#This Row],[R_AV (kN)]],ECF[[#This Row],[R_DC (kN)]])))</f>
        <v>816.81408993334617</v>
      </c>
      <c r="W191" s="4">
        <f>INDEX(PILARES[],ECF[[#This Row],[idPilar]],MATCH("Carga (kN)",PILARES[#Headers],0))*1.4</f>
        <v>1750</v>
      </c>
      <c r="X191" s="12">
        <f>INDEX(PILARES[],ECF[[#This Row],[idPilar]],MATCH(ECF[[#Headers],[ap (cm)]],PILARES[#Headers],0))</f>
        <v>50</v>
      </c>
      <c r="Y191" s="12">
        <f>INDEX(PILARES[],ECF[[#This Row],[idPilar]],MATCH(ECF[[#Headers],[bp (cm)]],PILARES[#Headers],0))</f>
        <v>40</v>
      </c>
      <c r="Z191" s="4">
        <f>SQRT(ECF[[#This Row],[ap (cm)]]*ECF[[#This Row],[bp (cm)]])</f>
        <v>44.721359549995796</v>
      </c>
      <c r="AA191" s="12">
        <f>ECF[[#This Row],[ap (cm)]]*ECF[[#This Row],[bp (cm)]]</f>
        <v>2000</v>
      </c>
      <c r="AB191" s="12">
        <f ca="1">IF(ECF[[#This Row],[Padm∙ε (kN)]]&gt;=ECF[[#This Row],[Padm (kN)]],ROUNDUP(1.05*ECF[[#This Row],[Nsd (kN)]]/ECF[[#This Row],[Padm (kN)]],0),ROUNDUP(1.05*ECF[[#This Row],[Nsd (kN)]]/ECF[[#This Row],[Padm (kN)]],0)+1)</f>
        <v>3</v>
      </c>
      <c r="AC191" s="4">
        <f ca="1">IFERROR(IF(ECF[[#This Row],[nE]]=1,ECF[[#This Row],[Padm (kN)]],ECF[[#This Row],[Padm (kN)]]*ECF[[#This Row],[nE]]*INDEX(grupoEstacas[],ECF[[#This Row],[nE]],MATCH("ε",grupoEstacas[#Headers],0))),"N.S.")</f>
        <v>2144.1369860750337</v>
      </c>
      <c r="AD191" s="4">
        <f ca="1">1.05*ECF[[#This Row],[Nsd (kN)]]/(ECF[[#This Row],[nE]]*PI()*ECF[[#This Row],[Ø (cm)]]^2/4)*10</f>
        <v>0.3466040982890165</v>
      </c>
      <c r="AE191" s="4">
        <f ca="1">IF(ECF[[#This Row],[σ (MPa)]]&lt;INDEX(tipoEstaca[],MATCH($D$2,tipoEstaca[TIPO DE ESTACA],0),MATCH("σmáx (MPa)",tipoEstaca[#Headers],0)),0.4%*PI()*ECF[[#This Row],[Ø (cm)]]^2/4,"N.S.")</f>
        <v>70.685834705770347</v>
      </c>
      <c r="AF191" s="1">
        <f>INDEX(tipoEstaca[],MATCH($D$2,tipoEstaca[TIPO DE ESTACA],0),MATCH(ECF[[#Headers],[Comprimento (m)]],tipoEstaca[#Headers],0))</f>
        <v>4</v>
      </c>
      <c r="AG191" s="5">
        <f ca="1">ECF[[#This Row],[As,mín (cm²)]]/100^2*ECF[[#This Row],[Comprimento (m)]]*7850</f>
        <v>221.95352097611888</v>
      </c>
      <c r="AH191" s="4">
        <f ca="1">ECF[[#This Row],[nE]]*ECF[[#This Row],[Prof. (m)]]*ECF[[#This Row],[Ap (m²)]]</f>
        <v>21.205750411731103</v>
      </c>
      <c r="AI191" s="1">
        <f ca="1">IF(ECF[[#This Row],[nE]]=1,0,MAX(3*ECF[[#This Row],[Ø (cm)]],60))</f>
        <v>450</v>
      </c>
      <c r="AJ191" s="1">
        <f ca="1">IF(ECF[[#This Row],[nE]]=1,ECF[[#This Row],[Ø (cm)]]+2*10,MAX(1.5*ECF[[#This Row],[Ø (cm)]],ECF[[#This Row],[Ø (cm)]]+15))</f>
        <v>225</v>
      </c>
      <c r="AK191" s="1">
        <f ca="1">alturaUtil(ECF[[#This Row],[nE]],ECF[[#This Row],[Ø (cm)]],ECF[[#This Row],[e (cm)]],ECF[[#This Row],[ap,eq (cm)]])</f>
        <v>215</v>
      </c>
      <c r="AL191" s="1">
        <f ca="1">IFERROR(ECF[[#This Row],[d (cm)]]+arredondarParaCimaMultiplo5cm(MAX(5,SQRT(PI())/2*ECF[[#This Row],[Ø (cm)]]/5)),"N.S.")</f>
        <v>245</v>
      </c>
      <c r="AM191" s="5">
        <f ca="1">alpha(ECF[[#This Row],[nE]],ECF[[#This Row],[d (cm)]],ECF[[#This Row],[e (cm)]],ECF[[#This Row],[ap,eq (cm)]])</f>
        <v>45.458858639817741</v>
      </c>
      <c r="AN191" s="35">
        <f ca="1">IFERROR(ECF[[#This Row],[Nsd (kN)]]/(ECF[[#This Row],[Ap (cm²)]]*SIN(ECF[[#This Row],[α]])^2),"N.S.")</f>
        <v>0.88281641205479899</v>
      </c>
      <c r="AO191" s="35">
        <f ca="1">IFERROR(ECF[[#This Row],[Nsd (kN)]]/(ECF[[#This Row],[nE]]*PI()*ECF[[#This Row],[Ø (cm)]]^2/4*SIN(ECF[[#This Row],[α]])^2),"N.S.")</f>
        <v>3.3304793083537246E-2</v>
      </c>
      <c r="AP191" s="4">
        <f ca="1">IFERROR(INDEX(grupoEstacas[],ECF[[#This Row],[nE]],MATCH("coef. Blévot",grupoEstacas[#Headers],0)),"N.S.")</f>
        <v>1.75</v>
      </c>
      <c r="AQ191" s="35">
        <f ca="1">IFERROR(ECF[[#This Row],[coef. Blévot]]*0.9*INDEX(tipoEstaca[],MATCH($D$2,tipoEstaca[TIPO DE ESTACA],0),MATCH("fcd (kN/cm²)",tipoEstaca[#Headers],0)),"N.S.")</f>
        <v>1.75</v>
      </c>
      <c r="AR191" s="1" t="str">
        <f ca="1">IF(AND(ECF[[#This Row],[cd,b,pil (kN/cm²)]]&lt;=ECF[[#This Row],[cd,b,lim (kN/cm²)]],ECF[[#This Row],[cd,b,est (kN/cm²)]]&lt;=ECF[[#This Row],[cd,b,lim (kN/cm²)]]),"OK","ERRO")</f>
        <v>OK</v>
      </c>
      <c r="AS191" s="4">
        <f ca="1">As_lado(ECF[[#This Row],[nE]],ECF[[#This Row],[Nsd (kN)]],ECF[[#This Row],[d (cm)]],ECF[[#This Row],[e (cm)]],ECF[[#This Row],[ap,eq (cm)]])</f>
        <v>8.8770927761710112</v>
      </c>
      <c r="AT191" s="4" t="str">
        <f ca="1">IF(ECF[[#This Row],[nE]]=1,ECF[[#This Row],[As,lado (cm²)]],IF(ECF[[#This Row],[nE]]=2,0.075*2*ECF[a (cm)],"N.A."))</f>
        <v>N.A.</v>
      </c>
      <c r="AU191" s="4">
        <f ca="1">IFERROR(IF(ECF[[#This Row],[nE]]=1,"N.A.",0.2*ECF[[#This Row],[As,lado (cm²)]]),"N.S.")</f>
        <v>1.7754185552342023</v>
      </c>
      <c r="AV191" s="4">
        <f ca="1">As_malha(ECF[[#This Row],[nE]],ECF[[#This Row],[As,lado (cm²)]],ECF[[#This Row],[Nsd (kN)]])</f>
        <v>2.981481481481481</v>
      </c>
      <c r="AW191" s="4">
        <f ca="1">As_susp_tot(ECF[[#This Row],[nE]],ECF[[#This Row],[Nsd (kN)]])</f>
        <v>8.9444444444444429</v>
      </c>
      <c r="AX191" s="4">
        <f ca="1">Asp_face(ECF[[#This Row],[nE]],ECF[[#This Row],[As,lado (cm²)]])</f>
        <v>3.3289097910641292</v>
      </c>
      <c r="AY191" s="5">
        <f ca="1">acoBloco(ECF[[#This Row],[nE]],ECF[[#This Row],[e (cm)]],ECF[[#This Row],[a (cm)]],ECF[[#This Row],[h (cm)]],ECF[[#This Row],[As,lado (cm²)]],ECF[[#This Row],[Asp e Asw (cm²/m)]],ECF[[#This Row],[As,sup (cm²)]],ECF[[#This Row],[As,malha (cm²)]],ECF[[#This Row],[As,susp,tot (cm²)]],ECF[[#This Row],[Asp,face (cm²)]])</f>
        <v>395.71563265101321</v>
      </c>
      <c r="AZ191" s="4">
        <f ca="1">concretoBloco(ECF[[#This Row],[nE]],ECF[[#This Row],[e (cm)]],ECF[[#This Row],[a (cm)]],ECF[[#This Row],[h (cm)]])</f>
        <v>138.86727801788319</v>
      </c>
      <c r="BA191" s="5">
        <f ca="1">SUM(ECF[[#This Row],[Aço Est (kg)]],ECF[[#This Row],[Aço Bloco (kg)]])</f>
        <v>617.66915362713212</v>
      </c>
      <c r="BB191" s="4">
        <f>INDEX(composicoes[],MATCH(95580,composicoes[CÓDIGO],0),MATCH("CUSTO TOTAL",composicoes[#Headers],0))</f>
        <v>10.46</v>
      </c>
      <c r="BC191" s="4">
        <f ca="1">SUM(ECF[[#This Row],[Conc Est (m³)]],ECF[[#This Row],[Conc Bloco (m³)]])</f>
        <v>160.07302842961428</v>
      </c>
      <c r="BD191" s="4">
        <f>INDEX(composicoes[],MATCH(94966,composicoes[CÓDIGO],0),MATCH("CUSTO TOTAL",composicoes[#Headers],0))</f>
        <v>439.52</v>
      </c>
      <c r="BE191" s="38">
        <f ca="1">ECF[[#This Row],[Aço (kg)]]*ECF[[#This Row],[Aço (R$/kg)]]+ECF[[#This Row],[Conc (m³)]]*ECF[[#This Row],[Conc (R$/m³)]]</f>
        <v>76816.116802323872</v>
      </c>
      <c r="BF191" s="4" t="str">
        <f ca="1">IF(COUNTIF(ECF[#This Row],"N.S.")&gt;0,"lim.","OK")</f>
        <v>OK</v>
      </c>
      <c r="BG191" s="4" t="str">
        <f>IF(ECF[[#This Row],[Prof. (m)]]&lt;4,"lim.","OK")</f>
        <v>OK</v>
      </c>
      <c r="BH191" s="4" t="str">
        <f>IF(ECF[[#This Row],[Prof. (m)]]&gt;=8*ECF[[#This Row],[Ø (cm)]]/100,"OK","lim.")</f>
        <v>lim.</v>
      </c>
      <c r="BI191" s="4" t="str">
        <f>IF(AND(SPT!$F$3&lt;&gt;"",ECF[[#This Row],[Prof. (m)]]&gt;=SPT!$F$3-2),"lim.","OK")</f>
        <v>OK</v>
      </c>
      <c r="BJ191" s="4" t="str">
        <f ca="1">IF(ECF[[#This Row],[Verif. Biela]]="OK","OK","lim.")</f>
        <v>OK</v>
      </c>
      <c r="BK191" s="4" t="str">
        <f ca="1">IF(COUNTA(ECF[[#This Row],[Nº Est.]:[Biela comp.]])=COUNTIF(ECF[[#This Row],[Nº Est.]:[Biela comp.]],"OK"),"OK","lim.")</f>
        <v>lim.</v>
      </c>
      <c r="BL191" s="4" t="str">
        <f ca="1">IF(ECF[[#This Row],[Controle]]="OK",ECF[[#This Row],[nE]]&amp;" Ø"&amp;ECF[[#This Row],[Ø (cm)]]&amp;"cm Prof. "&amp;ECF[[#This Row],[Prof. (m)]]&amp;" m","")</f>
        <v/>
      </c>
      <c r="BM191" s="4" t="str">
        <f ca="1">IF(ECF[[#This Row],[idDimensionamento]]="","",ECF[[#This Row],[idPilar]]&amp;ECF[[#This Row],[idDimensionamento]])</f>
        <v/>
      </c>
    </row>
    <row r="192" spans="2:65" x14ac:dyDescent="0.25">
      <c r="B192" s="12">
        <f>ROUNDUP((ROW(ECF[[#This Row],[idDiâmetro]])-ROW(ECF[[#Headers],[idDiâmetro]]))/(COUNT(SPT[Prof. (m)])*COUNT(PILARES[Pilar])),0)</f>
        <v>7</v>
      </c>
      <c r="C192" s="12">
        <f>IF(ECF[[#This Row],[idDiâmetro]]&lt;&gt;B191,1,IF(ECF[[#This Row],[Prof. (m)]]=0,C191+1,C191))</f>
        <v>2</v>
      </c>
      <c r="D192" s="1">
        <f>IFERROR(IF(D191=MAX(SPT[Prof. (m)]),0,D191+1),0)</f>
        <v>5</v>
      </c>
      <c r="E192" s="1">
        <f>INDEX(SPT[],MATCH(ECF[[#This Row],[Prof. (m)]],SPT[Prof. (m)],0),2)</f>
        <v>17</v>
      </c>
      <c r="F192" s="1" t="str">
        <f>INDEX(SPT[],MATCH(ECF[[#This Row],[Prof. (m)]],SPT[Prof. (m)],0),3)</f>
        <v>Areia siltosa</v>
      </c>
      <c r="G192" s="1">
        <f>INDEX(estacas[],ECF[[#This Row],[idDiâmetro]],MATCH($B$2,estacas[#Headers],0))</f>
        <v>150</v>
      </c>
      <c r="H192" s="1">
        <f>INDEX(estacas[],MATCH(ECF[[#This Row],[Ø (cm)]],estacas[Ø ECF (cm)],0),MATCH(ECF[[#Headers],[Pe ECF (kN)]],estacas[#Headers],0))</f>
        <v>7100</v>
      </c>
      <c r="I192" s="4">
        <f>INDEX(K_alpha_C[],MATCH(ECF[[#This Row],[Solo]],K_alpha_C[Solo],0),2)</f>
        <v>0.8</v>
      </c>
      <c r="J192" s="5">
        <f>INDEX(K_alpha_C[],MATCH(ECF[[#This Row],[Solo]],K_alpha_C[Solo],0),3)</f>
        <v>2</v>
      </c>
      <c r="K192" s="4">
        <f>INDEX(F1_F2[],MATCH($D$2,F1_F2[Tipo de estaca],0),2)</f>
        <v>3</v>
      </c>
      <c r="L192" s="4">
        <f>INDEX(F1_F2[],MATCH($D$2,F1_F2[Tipo de estaca],0),3)</f>
        <v>6</v>
      </c>
      <c r="M192" s="4">
        <f>PI()*(ECF[[#This Row],[Ø (cm)]]/100)^2/4</f>
        <v>1.7671458676442586</v>
      </c>
      <c r="N192" s="4">
        <f>PI()*ECF[[#This Row],[Ø (cm)]]/100</f>
        <v>4.7123889803846897</v>
      </c>
      <c r="O192" s="4">
        <f>IF(ECF[[#This Row],[Prof. (m)]]=0,0,ECF[[#This Row],[α (%)]]/100*ECF[[#This Row],[K (MPa)]]*1000*ECF[[#This Row],[NSPT]])</f>
        <v>272</v>
      </c>
      <c r="P192" s="4">
        <f>IF(ECF[[#This Row],[Prof. (m)]]=0,0,(ECF[[#This Row],[K (MPa)]]*1000*ECF[[#This Row],[NSPT]]/ECF[[#This Row],[F1]]*ECF[[#This Row],[Ap (m²)]]+ECF[[#This Row],[U (m)]]/ECF[[#This Row],[F2]]*SUMIFS(ECF[(α∙K∙NL∙ΔL)],ECF[Prof. (m)],"&lt;="&amp;ECF[[#This Row],[Prof. (m)]],ECF[idDiâmetro],ECF[[#This Row],[idDiâmetro]],ECF[idPilar],ECF[[#This Row],[idPilar]]))/'DADOS CAP. CARGA'!$D$2)</f>
        <v>4212.8757484639127</v>
      </c>
      <c r="Q192" s="12">
        <f>INDEX(C_alpha_beta[],MATCH(ECF[[#This Row],[Solo]],C_alpha_beta[Solo],0),MATCH(ECF[[#Headers],[C (kPa)]],C_alpha_beta[#Headers],0))</f>
        <v>400</v>
      </c>
      <c r="R192" s="4">
        <f>INDEX(C_alpha_beta[],MATCH(ECF[[#This Row],[Solo]],C_alpha_beta[Solo],0),MATCH(ECF[[#Headers],[α ESF]],C_alpha_beta[#Headers],0))</f>
        <v>0.5</v>
      </c>
      <c r="S192" s="4">
        <f>INDEX(C_alpha_beta[],MATCH(ECF[[#This Row],[Solo]],C_alpha_beta[Solo],0),MATCH(ECF[[#Headers],[β ESF]],C_alpha_beta[#Headers],0))</f>
        <v>0.5</v>
      </c>
      <c r="T192" s="4">
        <f>IF(ECF[[#This Row],[Prof. (m)]]=0,0,10*(ECF[[#This Row],[NSPT]]/3+1))</f>
        <v>66.666666666666671</v>
      </c>
      <c r="U192" s="4">
        <f>(ECF[[#This Row],[α ESF]]*ECF[[#This Row],[C (kPa)]]*ECF[[#This Row],[NSPT]]*ECF[[#This Row],[Ap (m²)]])/'DADOS CAP. CARGA'!$Q$2+(ECF[[#This Row],[β ESF]]*SUMIFS(ECF[10∙(NL/3+1)],ECF[Prof. (m)],"&lt;="&amp;ECF[[#This Row],[Prof. (m)]],ECF[idDiâmetro],ECF[[#This Row],[idDiâmetro]],ECF[idPilar],ECF[[#This Row],[idPilar]])*ECF[[#This Row],[U (m)]])/'DADOS CAP. CARGA'!$S$2</f>
        <v>1690.5695467130074</v>
      </c>
      <c r="V192" s="4">
        <f>IF(SPT!$M$5=1,MIN(ECF[[#This Row],[Pe ECF (kN)]],ECF[[#This Row],[R_AV (kN)]]),IF(SPT!$M$5=2,MIN(ECF[[#This Row],[Pe ECF (kN)]],ECF[[#This Row],[R_DC (kN)]]),MIN(ECF[[#This Row],[Pe ECF (kN)]],ECF[[#This Row],[R_AV (kN)]],ECF[[#This Row],[R_DC (kN)]])))</f>
        <v>1690.5695467130074</v>
      </c>
      <c r="W192" s="4">
        <f>INDEX(PILARES[],ECF[[#This Row],[idPilar]],MATCH("Carga (kN)",PILARES[#Headers],0))*1.4</f>
        <v>1750</v>
      </c>
      <c r="X192" s="12">
        <f>INDEX(PILARES[],ECF[[#This Row],[idPilar]],MATCH(ECF[[#Headers],[ap (cm)]],PILARES[#Headers],0))</f>
        <v>50</v>
      </c>
      <c r="Y192" s="12">
        <f>INDEX(PILARES[],ECF[[#This Row],[idPilar]],MATCH(ECF[[#Headers],[bp (cm)]],PILARES[#Headers],0))</f>
        <v>40</v>
      </c>
      <c r="Z192" s="4">
        <f>SQRT(ECF[[#This Row],[ap (cm)]]*ECF[[#This Row],[bp (cm)]])</f>
        <v>44.721359549995796</v>
      </c>
      <c r="AA192" s="12">
        <f>ECF[[#This Row],[ap (cm)]]*ECF[[#This Row],[bp (cm)]]</f>
        <v>2000</v>
      </c>
      <c r="AB192" s="12">
        <f ca="1">IF(ECF[[#This Row],[Padm∙ε (kN)]]&gt;=ECF[[#This Row],[Padm (kN)]],ROUNDUP(1.05*ECF[[#This Row],[Nsd (kN)]]/ECF[[#This Row],[Padm (kN)]],0),ROUNDUP(1.05*ECF[[#This Row],[Nsd (kN)]]/ECF[[#This Row],[Padm (kN)]],0)+1)</f>
        <v>2</v>
      </c>
      <c r="AC192" s="4">
        <f ca="1">IFERROR(IF(ECF[[#This Row],[nE]]=1,ECF[[#This Row],[Padm (kN)]],ECF[[#This Row],[Padm (kN)]]*ECF[[#This Row],[nE]]*INDEX(grupoEstacas[],ECF[[#This Row],[nE]],MATCH("ε",grupoEstacas[#Headers],0))),"N.S.")</f>
        <v>3169.817900086889</v>
      </c>
      <c r="AD192" s="4">
        <f ca="1">1.05*ECF[[#This Row],[Nsd (kN)]]/(ECF[[#This Row],[nE]]*PI()*ECF[[#This Row],[Ø (cm)]]^2/4)*10</f>
        <v>0.5199061474335247</v>
      </c>
      <c r="AE192" s="4">
        <f ca="1">IF(ECF[[#This Row],[σ (MPa)]]&lt;INDEX(tipoEstaca[],MATCH($D$2,tipoEstaca[TIPO DE ESTACA],0),MATCH("σmáx (MPa)",tipoEstaca[#Headers],0)),0.4%*PI()*ECF[[#This Row],[Ø (cm)]]^2/4,"N.S.")</f>
        <v>70.685834705770347</v>
      </c>
      <c r="AF192" s="1">
        <f>INDEX(tipoEstaca[],MATCH($D$2,tipoEstaca[TIPO DE ESTACA],0),MATCH(ECF[[#Headers],[Comprimento (m)]],tipoEstaca[#Headers],0))</f>
        <v>4</v>
      </c>
      <c r="AG192" s="5">
        <f ca="1">ECF[[#This Row],[As,mín (cm²)]]/100^2*ECF[[#This Row],[Comprimento (m)]]*7850</f>
        <v>221.95352097611888</v>
      </c>
      <c r="AH192" s="4">
        <f ca="1">ECF[[#This Row],[nE]]*ECF[[#This Row],[Prof. (m)]]*ECF[[#This Row],[Ap (m²)]]</f>
        <v>17.671458676442587</v>
      </c>
      <c r="AI192" s="1">
        <f ca="1">IF(ECF[[#This Row],[nE]]=1,0,MAX(3*ECF[[#This Row],[Ø (cm)]],60))</f>
        <v>450</v>
      </c>
      <c r="AJ192" s="1">
        <f ca="1">IF(ECF[[#This Row],[nE]]=1,ECF[[#This Row],[Ø (cm)]]+2*10,MAX(1.5*ECF[[#This Row],[Ø (cm)]],ECF[[#This Row],[Ø (cm)]]+15))</f>
        <v>225</v>
      </c>
      <c r="AK192" s="1">
        <f ca="1">alturaUtil(ECF[[#This Row],[nE]],ECF[[#This Row],[Ø (cm)]],ECF[[#This Row],[e (cm)]],ECF[[#This Row],[ap,eq (cm)]])</f>
        <v>215</v>
      </c>
      <c r="AL192" s="1">
        <f ca="1">IFERROR(ECF[[#This Row],[d (cm)]]+arredondarParaCimaMultiplo5cm(MAX(5,SQRT(PI())/2*ECF[[#This Row],[Ø (cm)]]/5)),"N.S.")</f>
        <v>245</v>
      </c>
      <c r="AM192" s="5">
        <f ca="1">alpha(ECF[[#This Row],[nE]],ECF[[#This Row],[d (cm)]],ECF[[#This Row],[e (cm)]],ECF[[#This Row],[ap,eq (cm)]])</f>
        <v>45.157708075076172</v>
      </c>
      <c r="AN192" s="35">
        <f ca="1">IFERROR(ECF[[#This Row],[Nsd (kN)]]/(ECF[[#This Row],[Ap (cm²)]]*SIN(ECF[[#This Row],[α]])^2),"N.S.")</f>
        <v>1.0274188359652998</v>
      </c>
      <c r="AO192" s="35">
        <f ca="1">IFERROR(ECF[[#This Row],[Nsd (kN)]]/(ECF[[#This Row],[nE]]*PI()*ECF[[#This Row],[Ø (cm)]]^2/4*SIN(ECF[[#This Row],[α]])^2),"N.S.")</f>
        <v>5.8140012931412847E-2</v>
      </c>
      <c r="AP192" s="4">
        <f ca="1">IFERROR(INDEX(grupoEstacas[],ECF[[#This Row],[nE]],MATCH("coef. Blévot",grupoEstacas[#Headers],0)),"N.S.")</f>
        <v>1.4</v>
      </c>
      <c r="AQ192" s="35">
        <f ca="1">IFERROR(ECF[[#This Row],[coef. Blévot]]*0.9*INDEX(tipoEstaca[],MATCH($D$2,tipoEstaca[TIPO DE ESTACA],0),MATCH("fcd (kN/cm²)",tipoEstaca[#Headers],0)),"N.S.")</f>
        <v>1.4000000000000001</v>
      </c>
      <c r="AR192" s="1" t="str">
        <f ca="1">IF(AND(ECF[[#This Row],[cd,b,pil (kN/cm²)]]&lt;=ECF[[#This Row],[cd,b,lim (kN/cm²)]],ECF[[#This Row],[cd,b,est (kN/cm²)]]&lt;=ECF[[#This Row],[cd,b,lim (kN/cm²)]]),"OK","ERRO")</f>
        <v>OK</v>
      </c>
      <c r="AS192" s="4">
        <f ca="1">As_lado(ECF[[#This Row],[nE]],ECF[[#This Row],[Nsd (kN)]],ECF[[#This Row],[d (cm)]],ECF[[#This Row],[e (cm)]],ECF[[#This Row],[ap,eq (cm)]])</f>
        <v>23.016691901063702</v>
      </c>
      <c r="AT192" s="4">
        <f ca="1">IF(ECF[[#This Row],[nE]]=1,ECF[[#This Row],[As,lado (cm²)]],IF(ECF[[#This Row],[nE]]=2,0.075*2*ECF[a (cm)],"N.A."))</f>
        <v>33.75</v>
      </c>
      <c r="AU192" s="4">
        <f ca="1">IFERROR(IF(ECF[[#This Row],[nE]]=1,"N.A.",0.2*ECF[[#This Row],[As,lado (cm²)]]),"N.S.")</f>
        <v>4.6033383802127403</v>
      </c>
      <c r="AV192" s="4" t="str">
        <f ca="1">As_malha(ECF[[#This Row],[nE]],ECF[[#This Row],[As,lado (cm²)]],ECF[[#This Row],[Nsd (kN)]])</f>
        <v>N.A.</v>
      </c>
      <c r="AW192" s="4" t="str">
        <f ca="1">As_susp_tot(ECF[[#This Row],[nE]],ECF[[#This Row],[Nsd (kN)]])</f>
        <v>N.A.</v>
      </c>
      <c r="AX192" s="4" t="str">
        <f ca="1">Asp_face(ECF[[#This Row],[nE]],ECF[[#This Row],[As,lado (cm²)]])</f>
        <v>N.A.</v>
      </c>
      <c r="AY192" s="5">
        <f ca="1">acoBloco(ECF[[#This Row],[nE]],ECF[[#This Row],[e (cm)]],ECF[[#This Row],[a (cm)]],ECF[[#This Row],[h (cm)]],ECF[[#This Row],[As,lado (cm²)]],ECF[[#This Row],[Asp e Asw (cm²/m)]],ECF[[#This Row],[As,sup (cm²)]],ECF[[#This Row],[As,malha (cm²)]],ECF[[#This Row],[As,susp,tot (cm²)]],ECF[[#This Row],[Asp,face (cm²)]])</f>
        <v>5262.065201437219</v>
      </c>
      <c r="AZ192" s="4">
        <f ca="1">concretoBloco(ECF[[#This Row],[nE]],ECF[[#This Row],[e (cm)]],ECF[[#This Row],[a (cm)]],ECF[[#This Row],[h (cm)]])</f>
        <v>99.224999999999994</v>
      </c>
      <c r="BA192" s="5">
        <f ca="1">SUM(ECF[[#This Row],[Aço Est (kg)]],ECF[[#This Row],[Aço Bloco (kg)]])</f>
        <v>5484.0187224133379</v>
      </c>
      <c r="BB192" s="4">
        <f>INDEX(composicoes[],MATCH(95580,composicoes[CÓDIGO],0),MATCH("CUSTO TOTAL",composicoes[#Headers],0))</f>
        <v>10.46</v>
      </c>
      <c r="BC192" s="4">
        <f ca="1">SUM(ECF[[#This Row],[Conc Est (m³)]],ECF[[#This Row],[Conc Bloco (m³)]])</f>
        <v>116.89645867644258</v>
      </c>
      <c r="BD192" s="4">
        <f>INDEX(composicoes[],MATCH(94966,composicoes[CÓDIGO],0),MATCH("CUSTO TOTAL",composicoes[#Headers],0))</f>
        <v>439.52</v>
      </c>
      <c r="BE192" s="38">
        <f ca="1">ECF[[#This Row],[Aço (kg)]]*ECF[[#This Row],[Aço (R$/kg)]]+ECF[[#This Row],[Conc (m³)]]*ECF[[#This Row],[Conc (R$/m³)]]</f>
        <v>108741.16735391357</v>
      </c>
      <c r="BF192" s="4" t="str">
        <f ca="1">IF(COUNTIF(ECF[#This Row],"N.S.")&gt;0,"lim.","OK")</f>
        <v>OK</v>
      </c>
      <c r="BG192" s="4" t="str">
        <f>IF(ECF[[#This Row],[Prof. (m)]]&lt;4,"lim.","OK")</f>
        <v>OK</v>
      </c>
      <c r="BH192" s="4" t="str">
        <f>IF(ECF[[#This Row],[Prof. (m)]]&gt;=8*ECF[[#This Row],[Ø (cm)]]/100,"OK","lim.")</f>
        <v>lim.</v>
      </c>
      <c r="BI192" s="4" t="str">
        <f>IF(AND(SPT!$F$3&lt;&gt;"",ECF[[#This Row],[Prof. (m)]]&gt;=SPT!$F$3-2),"lim.","OK")</f>
        <v>OK</v>
      </c>
      <c r="BJ192" s="4" t="str">
        <f ca="1">IF(ECF[[#This Row],[Verif. Biela]]="OK","OK","lim.")</f>
        <v>OK</v>
      </c>
      <c r="BK192" s="4" t="str">
        <f ca="1">IF(COUNTA(ECF[[#This Row],[Nº Est.]:[Biela comp.]])=COUNTIF(ECF[[#This Row],[Nº Est.]:[Biela comp.]],"OK"),"OK","lim.")</f>
        <v>lim.</v>
      </c>
      <c r="BL192" s="4" t="str">
        <f ca="1">IF(ECF[[#This Row],[Controle]]="OK",ECF[[#This Row],[nE]]&amp;" Ø"&amp;ECF[[#This Row],[Ø (cm)]]&amp;"cm Prof. "&amp;ECF[[#This Row],[Prof. (m)]]&amp;" m","")</f>
        <v/>
      </c>
      <c r="BM192" s="4" t="str">
        <f ca="1">IF(ECF[[#This Row],[idDimensionamento]]="","",ECF[[#This Row],[idPilar]]&amp;ECF[[#This Row],[idDimensionamento]])</f>
        <v/>
      </c>
    </row>
    <row r="193" spans="2:65" x14ac:dyDescent="0.25">
      <c r="B193" s="12">
        <f>ROUNDUP((ROW(ECF[[#This Row],[idDiâmetro]])-ROW(ECF[[#Headers],[idDiâmetro]]))/(COUNT(SPT[Prof. (m)])*COUNT(PILARES[Pilar])),0)</f>
        <v>7</v>
      </c>
      <c r="C193" s="12">
        <f>IF(ECF[[#This Row],[idDiâmetro]]&lt;&gt;B192,1,IF(ECF[[#This Row],[Prof. (m)]]=0,C192+1,C192))</f>
        <v>2</v>
      </c>
      <c r="D193" s="1">
        <f>IFERROR(IF(D192=MAX(SPT[Prof. (m)]),0,D192+1),0)</f>
        <v>6</v>
      </c>
      <c r="E193" s="1">
        <f>INDEX(SPT[],MATCH(ECF[[#This Row],[Prof. (m)]],SPT[Prof. (m)],0),2)</f>
        <v>21</v>
      </c>
      <c r="F193" s="1" t="str">
        <f>INDEX(SPT[],MATCH(ECF[[#This Row],[Prof. (m)]],SPT[Prof. (m)],0),3)</f>
        <v>Silte arenoso</v>
      </c>
      <c r="G193" s="1">
        <f>INDEX(estacas[],ECF[[#This Row],[idDiâmetro]],MATCH($B$2,estacas[#Headers],0))</f>
        <v>150</v>
      </c>
      <c r="H193" s="1">
        <f>INDEX(estacas[],MATCH(ECF[[#This Row],[Ø (cm)]],estacas[Ø ECF (cm)],0),MATCH(ECF[[#Headers],[Pe ECF (kN)]],estacas[#Headers],0))</f>
        <v>7100</v>
      </c>
      <c r="I193" s="4">
        <f>INDEX(K_alpha_C[],MATCH(ECF[[#This Row],[Solo]],K_alpha_C[Solo],0),2)</f>
        <v>0.55000000000000004</v>
      </c>
      <c r="J193" s="5">
        <f>INDEX(K_alpha_C[],MATCH(ECF[[#This Row],[Solo]],K_alpha_C[Solo],0),3)</f>
        <v>2.2000000000000002</v>
      </c>
      <c r="K193" s="4">
        <f>INDEX(F1_F2[],MATCH($D$2,F1_F2[Tipo de estaca],0),2)</f>
        <v>3</v>
      </c>
      <c r="L193" s="4">
        <f>INDEX(F1_F2[],MATCH($D$2,F1_F2[Tipo de estaca],0),3)</f>
        <v>6</v>
      </c>
      <c r="M193" s="4">
        <f>PI()*(ECF[[#This Row],[Ø (cm)]]/100)^2/4</f>
        <v>1.7671458676442586</v>
      </c>
      <c r="N193" s="4">
        <f>PI()*ECF[[#This Row],[Ø (cm)]]/100</f>
        <v>4.7123889803846897</v>
      </c>
      <c r="O193" s="4">
        <f>IF(ECF[[#This Row],[Prof. (m)]]=0,0,ECF[[#This Row],[α (%)]]/100*ECF[[#This Row],[K (MPa)]]*1000*ECF[[#This Row],[NSPT]])</f>
        <v>254.10000000000002</v>
      </c>
      <c r="P193" s="4">
        <f>IF(ECF[[#This Row],[Prof. (m)]]=0,0,(ECF[[#This Row],[K (MPa)]]*1000*ECF[[#This Row],[NSPT]]/ECF[[#This Row],[F1]]*ECF[[#This Row],[Ap (m²)]]+ECF[[#This Row],[U (m)]]/ECF[[#This Row],[F2]]*SUMIFS(ECF[(α∙K∙NL∙ΔL)],ECF[Prof. (m)],"&lt;="&amp;ECF[[#This Row],[Prof. (m)]],ECF[idDiâmetro],ECF[[#This Row],[idDiâmetro]],ECF[idPilar],ECF[[#This Row],[idPilar]]))/'DADOS CAP. CARGA'!$D$2)</f>
        <v>3708.88574701177</v>
      </c>
      <c r="Q193" s="12">
        <f>INDEX(C_alpha_beta[],MATCH(ECF[[#This Row],[Solo]],C_alpha_beta[Solo],0),MATCH(ECF[[#Headers],[C (kPa)]],C_alpha_beta[#Headers],0))</f>
        <v>250</v>
      </c>
      <c r="R193" s="4">
        <f>INDEX(C_alpha_beta[],MATCH(ECF[[#This Row],[Solo]],C_alpha_beta[Solo],0),MATCH(ECF[[#Headers],[α ESF]],C_alpha_beta[#Headers],0))</f>
        <v>0.6</v>
      </c>
      <c r="S193" s="4">
        <f>INDEX(C_alpha_beta[],MATCH(ECF[[#This Row],[Solo]],C_alpha_beta[Solo],0),MATCH(ECF[[#Headers],[β ESF]],C_alpha_beta[#Headers],0))</f>
        <v>0.65</v>
      </c>
      <c r="T193" s="4">
        <f>IF(ECF[[#This Row],[Prof. (m)]]=0,0,10*(ECF[[#This Row],[NSPT]]/3+1))</f>
        <v>80</v>
      </c>
      <c r="U193" s="4">
        <f>(ECF[[#This Row],[α ESF]]*ECF[[#This Row],[C (kPa)]]*ECF[[#This Row],[NSPT]]*ECF[[#This Row],[Ap (m²)]])/'DADOS CAP. CARGA'!$Q$2+(ECF[[#This Row],[β ESF]]*SUMIFS(ECF[10∙(NL/3+1)],ECF[Prof. (m)],"&lt;="&amp;ECF[[#This Row],[Prof. (m)]],ECF[idDiâmetro],ECF[[#This Row],[idDiâmetro]],ECF[idPilar],ECF[[#This Row],[idPilar]])*ECF[[#This Row],[U (m)]])/'DADOS CAP. CARGA'!$S$2</f>
        <v>1759.1937112398596</v>
      </c>
      <c r="V193" s="4">
        <f>IF(SPT!$M$5=1,MIN(ECF[[#This Row],[Pe ECF (kN)]],ECF[[#This Row],[R_AV (kN)]]),IF(SPT!$M$5=2,MIN(ECF[[#This Row],[Pe ECF (kN)]],ECF[[#This Row],[R_DC (kN)]]),MIN(ECF[[#This Row],[Pe ECF (kN)]],ECF[[#This Row],[R_AV (kN)]],ECF[[#This Row],[R_DC (kN)]])))</f>
        <v>1759.1937112398596</v>
      </c>
      <c r="W193" s="4">
        <f>INDEX(PILARES[],ECF[[#This Row],[idPilar]],MATCH("Carga (kN)",PILARES[#Headers],0))*1.4</f>
        <v>1750</v>
      </c>
      <c r="X193" s="12">
        <f>INDEX(PILARES[],ECF[[#This Row],[idPilar]],MATCH(ECF[[#Headers],[ap (cm)]],PILARES[#Headers],0))</f>
        <v>50</v>
      </c>
      <c r="Y193" s="12">
        <f>INDEX(PILARES[],ECF[[#This Row],[idPilar]],MATCH(ECF[[#Headers],[bp (cm)]],PILARES[#Headers],0))</f>
        <v>40</v>
      </c>
      <c r="Z193" s="4">
        <f>SQRT(ECF[[#This Row],[ap (cm)]]*ECF[[#This Row],[bp (cm)]])</f>
        <v>44.721359549995796</v>
      </c>
      <c r="AA193" s="12">
        <f>ECF[[#This Row],[ap (cm)]]*ECF[[#This Row],[bp (cm)]]</f>
        <v>2000</v>
      </c>
      <c r="AB193" s="12">
        <f ca="1">IF(ECF[[#This Row],[Padm∙ε (kN)]]&gt;=ECF[[#This Row],[Padm (kN)]],ROUNDUP(1.05*ECF[[#This Row],[Nsd (kN)]]/ECF[[#This Row],[Padm (kN)]],0),ROUNDUP(1.05*ECF[[#This Row],[Nsd (kN)]]/ECF[[#This Row],[Padm (kN)]],0)+1)</f>
        <v>2</v>
      </c>
      <c r="AC193" s="4">
        <f ca="1">IFERROR(IF(ECF[[#This Row],[nE]]=1,ECF[[#This Row],[Padm (kN)]],ECF[[#This Row],[Padm (kN)]]*ECF[[#This Row],[nE]]*INDEX(grupoEstacas[],ECF[[#This Row],[nE]],MATCH("ε",grupoEstacas[#Headers],0))),"N.S.")</f>
        <v>3298.4882085747367</v>
      </c>
      <c r="AD193" s="4">
        <f ca="1">1.05*ECF[[#This Row],[Nsd (kN)]]/(ECF[[#This Row],[nE]]*PI()*ECF[[#This Row],[Ø (cm)]]^2/4)*10</f>
        <v>0.5199061474335247</v>
      </c>
      <c r="AE193" s="4">
        <f ca="1">IF(ECF[[#This Row],[σ (MPa)]]&lt;INDEX(tipoEstaca[],MATCH($D$2,tipoEstaca[TIPO DE ESTACA],0),MATCH("σmáx (MPa)",tipoEstaca[#Headers],0)),0.4%*PI()*ECF[[#This Row],[Ø (cm)]]^2/4,"N.S.")</f>
        <v>70.685834705770347</v>
      </c>
      <c r="AF193" s="1">
        <f>INDEX(tipoEstaca[],MATCH($D$2,tipoEstaca[TIPO DE ESTACA],0),MATCH(ECF[[#Headers],[Comprimento (m)]],tipoEstaca[#Headers],0))</f>
        <v>4</v>
      </c>
      <c r="AG193" s="5">
        <f ca="1">ECF[[#This Row],[As,mín (cm²)]]/100^2*ECF[[#This Row],[Comprimento (m)]]*7850</f>
        <v>221.95352097611888</v>
      </c>
      <c r="AH193" s="4">
        <f ca="1">ECF[[#This Row],[nE]]*ECF[[#This Row],[Prof. (m)]]*ECF[[#This Row],[Ap (m²)]]</f>
        <v>21.205750411731103</v>
      </c>
      <c r="AI193" s="1">
        <f ca="1">IF(ECF[[#This Row],[nE]]=1,0,MAX(3*ECF[[#This Row],[Ø (cm)]],60))</f>
        <v>450</v>
      </c>
      <c r="AJ193" s="1">
        <f ca="1">IF(ECF[[#This Row],[nE]]=1,ECF[[#This Row],[Ø (cm)]]+2*10,MAX(1.5*ECF[[#This Row],[Ø (cm)]],ECF[[#This Row],[Ø (cm)]]+15))</f>
        <v>225</v>
      </c>
      <c r="AK193" s="1">
        <f ca="1">alturaUtil(ECF[[#This Row],[nE]],ECF[[#This Row],[Ø (cm)]],ECF[[#This Row],[e (cm)]],ECF[[#This Row],[ap,eq (cm)]])</f>
        <v>215</v>
      </c>
      <c r="AL193" s="1">
        <f ca="1">IFERROR(ECF[[#This Row],[d (cm)]]+arredondarParaCimaMultiplo5cm(MAX(5,SQRT(PI())/2*ECF[[#This Row],[Ø (cm)]]/5)),"N.S.")</f>
        <v>245</v>
      </c>
      <c r="AM193" s="5">
        <f ca="1">alpha(ECF[[#This Row],[nE]],ECF[[#This Row],[d (cm)]],ECF[[#This Row],[e (cm)]],ECF[[#This Row],[ap,eq (cm)]])</f>
        <v>45.157708075076172</v>
      </c>
      <c r="AN193" s="35">
        <f ca="1">IFERROR(ECF[[#This Row],[Nsd (kN)]]/(ECF[[#This Row],[Ap (cm²)]]*SIN(ECF[[#This Row],[α]])^2),"N.S.")</f>
        <v>1.0274188359652998</v>
      </c>
      <c r="AO193" s="35">
        <f ca="1">IFERROR(ECF[[#This Row],[Nsd (kN)]]/(ECF[[#This Row],[nE]]*PI()*ECF[[#This Row],[Ø (cm)]]^2/4*SIN(ECF[[#This Row],[α]])^2),"N.S.")</f>
        <v>5.8140012931412847E-2</v>
      </c>
      <c r="AP193" s="4">
        <f ca="1">IFERROR(INDEX(grupoEstacas[],ECF[[#This Row],[nE]],MATCH("coef. Blévot",grupoEstacas[#Headers],0)),"N.S.")</f>
        <v>1.4</v>
      </c>
      <c r="AQ193" s="35">
        <f ca="1">IFERROR(ECF[[#This Row],[coef. Blévot]]*0.9*INDEX(tipoEstaca[],MATCH($D$2,tipoEstaca[TIPO DE ESTACA],0),MATCH("fcd (kN/cm²)",tipoEstaca[#Headers],0)),"N.S.")</f>
        <v>1.4000000000000001</v>
      </c>
      <c r="AR193" s="1" t="str">
        <f ca="1">IF(AND(ECF[[#This Row],[cd,b,pil (kN/cm²)]]&lt;=ECF[[#This Row],[cd,b,lim (kN/cm²)]],ECF[[#This Row],[cd,b,est (kN/cm²)]]&lt;=ECF[[#This Row],[cd,b,lim (kN/cm²)]]),"OK","ERRO")</f>
        <v>OK</v>
      </c>
      <c r="AS193" s="4">
        <f ca="1">As_lado(ECF[[#This Row],[nE]],ECF[[#This Row],[Nsd (kN)]],ECF[[#This Row],[d (cm)]],ECF[[#This Row],[e (cm)]],ECF[[#This Row],[ap,eq (cm)]])</f>
        <v>23.016691901063702</v>
      </c>
      <c r="AT193" s="4">
        <f ca="1">IF(ECF[[#This Row],[nE]]=1,ECF[[#This Row],[As,lado (cm²)]],IF(ECF[[#This Row],[nE]]=2,0.075*2*ECF[a (cm)],"N.A."))</f>
        <v>33.75</v>
      </c>
      <c r="AU193" s="4">
        <f ca="1">IFERROR(IF(ECF[[#This Row],[nE]]=1,"N.A.",0.2*ECF[[#This Row],[As,lado (cm²)]]),"N.S.")</f>
        <v>4.6033383802127403</v>
      </c>
      <c r="AV193" s="4" t="str">
        <f ca="1">As_malha(ECF[[#This Row],[nE]],ECF[[#This Row],[As,lado (cm²)]],ECF[[#This Row],[Nsd (kN)]])</f>
        <v>N.A.</v>
      </c>
      <c r="AW193" s="4" t="str">
        <f ca="1">As_susp_tot(ECF[[#This Row],[nE]],ECF[[#This Row],[Nsd (kN)]])</f>
        <v>N.A.</v>
      </c>
      <c r="AX193" s="4" t="str">
        <f ca="1">Asp_face(ECF[[#This Row],[nE]],ECF[[#This Row],[As,lado (cm²)]])</f>
        <v>N.A.</v>
      </c>
      <c r="AY193" s="5">
        <f ca="1">acoBloco(ECF[[#This Row],[nE]],ECF[[#This Row],[e (cm)]],ECF[[#This Row],[a (cm)]],ECF[[#This Row],[h (cm)]],ECF[[#This Row],[As,lado (cm²)]],ECF[[#This Row],[Asp e Asw (cm²/m)]],ECF[[#This Row],[As,sup (cm²)]],ECF[[#This Row],[As,malha (cm²)]],ECF[[#This Row],[As,susp,tot (cm²)]],ECF[[#This Row],[Asp,face (cm²)]])</f>
        <v>5262.065201437219</v>
      </c>
      <c r="AZ193" s="4">
        <f ca="1">concretoBloco(ECF[[#This Row],[nE]],ECF[[#This Row],[e (cm)]],ECF[[#This Row],[a (cm)]],ECF[[#This Row],[h (cm)]])</f>
        <v>99.224999999999994</v>
      </c>
      <c r="BA193" s="5">
        <f ca="1">SUM(ECF[[#This Row],[Aço Est (kg)]],ECF[[#This Row],[Aço Bloco (kg)]])</f>
        <v>5484.0187224133379</v>
      </c>
      <c r="BB193" s="4">
        <f>INDEX(composicoes[],MATCH(95580,composicoes[CÓDIGO],0),MATCH("CUSTO TOTAL",composicoes[#Headers],0))</f>
        <v>10.46</v>
      </c>
      <c r="BC193" s="4">
        <f ca="1">SUM(ECF[[#This Row],[Conc Est (m³)]],ECF[[#This Row],[Conc Bloco (m³)]])</f>
        <v>120.4307504117311</v>
      </c>
      <c r="BD193" s="4">
        <f>INDEX(composicoes[],MATCH(94966,composicoes[CÓDIGO],0),MATCH("CUSTO TOTAL",composicoes[#Headers],0))</f>
        <v>439.52</v>
      </c>
      <c r="BE193" s="38">
        <f ca="1">ECF[[#This Row],[Aço (kg)]]*ECF[[#This Row],[Aço (R$/kg)]]+ECF[[#This Row],[Conc (m³)]]*ECF[[#This Row],[Conc (R$/m³)]]</f>
        <v>110294.55925740757</v>
      </c>
      <c r="BF193" s="4" t="str">
        <f ca="1">IF(COUNTIF(ECF[#This Row],"N.S.")&gt;0,"lim.","OK")</f>
        <v>OK</v>
      </c>
      <c r="BG193" s="4" t="str">
        <f>IF(ECF[[#This Row],[Prof. (m)]]&lt;4,"lim.","OK")</f>
        <v>OK</v>
      </c>
      <c r="BH193" s="4" t="str">
        <f>IF(ECF[[#This Row],[Prof. (m)]]&gt;=8*ECF[[#This Row],[Ø (cm)]]/100,"OK","lim.")</f>
        <v>lim.</v>
      </c>
      <c r="BI193" s="4" t="str">
        <f>IF(AND(SPT!$F$3&lt;&gt;"",ECF[[#This Row],[Prof. (m)]]&gt;=SPT!$F$3-2),"lim.","OK")</f>
        <v>OK</v>
      </c>
      <c r="BJ193" s="4" t="str">
        <f ca="1">IF(ECF[[#This Row],[Verif. Biela]]="OK","OK","lim.")</f>
        <v>OK</v>
      </c>
      <c r="BK193" s="4" t="str">
        <f ca="1">IF(COUNTA(ECF[[#This Row],[Nº Est.]:[Biela comp.]])=COUNTIF(ECF[[#This Row],[Nº Est.]:[Biela comp.]],"OK"),"OK","lim.")</f>
        <v>lim.</v>
      </c>
      <c r="BL193" s="4" t="str">
        <f ca="1">IF(ECF[[#This Row],[Controle]]="OK",ECF[[#This Row],[nE]]&amp;" Ø"&amp;ECF[[#This Row],[Ø (cm)]]&amp;"cm Prof. "&amp;ECF[[#This Row],[Prof. (m)]]&amp;" m","")</f>
        <v/>
      </c>
      <c r="BM193" s="4" t="str">
        <f ca="1">IF(ECF[[#This Row],[idDimensionamento]]="","",ECF[[#This Row],[idPilar]]&amp;ECF[[#This Row],[idDimensionamento]])</f>
        <v/>
      </c>
    </row>
    <row r="194" spans="2:65" x14ac:dyDescent="0.25">
      <c r="B194" s="12">
        <f>ROUNDUP((ROW(ECF[[#This Row],[idDiâmetro]])-ROW(ECF[[#Headers],[idDiâmetro]]))/(COUNT(SPT[Prof. (m)])*COUNT(PILARES[Pilar])),0)</f>
        <v>7</v>
      </c>
      <c r="C194" s="12">
        <f>IF(ECF[[#This Row],[idDiâmetro]]&lt;&gt;B193,1,IF(ECF[[#This Row],[Prof. (m)]]=0,C193+1,C193))</f>
        <v>2</v>
      </c>
      <c r="D194" s="1">
        <f>IFERROR(IF(D193=MAX(SPT[Prof. (m)]),0,D193+1),0)</f>
        <v>7</v>
      </c>
      <c r="E194" s="1">
        <f>INDEX(SPT[],MATCH(ECF[[#This Row],[Prof. (m)]],SPT[Prof. (m)],0),2)</f>
        <v>8</v>
      </c>
      <c r="F194" s="1" t="str">
        <f>INDEX(SPT[],MATCH(ECF[[#This Row],[Prof. (m)]],SPT[Prof. (m)],0),3)</f>
        <v>Silte arenoso</v>
      </c>
      <c r="G194" s="1">
        <f>INDEX(estacas[],ECF[[#This Row],[idDiâmetro]],MATCH($B$2,estacas[#Headers],0))</f>
        <v>150</v>
      </c>
      <c r="H194" s="1">
        <f>INDEX(estacas[],MATCH(ECF[[#This Row],[Ø (cm)]],estacas[Ø ECF (cm)],0),MATCH(ECF[[#Headers],[Pe ECF (kN)]],estacas[#Headers],0))</f>
        <v>7100</v>
      </c>
      <c r="I194" s="4">
        <f>INDEX(K_alpha_C[],MATCH(ECF[[#This Row],[Solo]],K_alpha_C[Solo],0),2)</f>
        <v>0.55000000000000004</v>
      </c>
      <c r="J194" s="5">
        <f>INDEX(K_alpha_C[],MATCH(ECF[[#This Row],[Solo]],K_alpha_C[Solo],0),3)</f>
        <v>2.2000000000000002</v>
      </c>
      <c r="K194" s="4">
        <f>INDEX(F1_F2[],MATCH($D$2,F1_F2[Tipo de estaca],0),2)</f>
        <v>3</v>
      </c>
      <c r="L194" s="4">
        <f>INDEX(F1_F2[],MATCH($D$2,F1_F2[Tipo de estaca],0),3)</f>
        <v>6</v>
      </c>
      <c r="M194" s="4">
        <f>PI()*(ECF[[#This Row],[Ø (cm)]]/100)^2/4</f>
        <v>1.7671458676442586</v>
      </c>
      <c r="N194" s="4">
        <f>PI()*ECF[[#This Row],[Ø (cm)]]/100</f>
        <v>4.7123889803846897</v>
      </c>
      <c r="O194" s="4">
        <f>IF(ECF[[#This Row],[Prof. (m)]]=0,0,ECF[[#This Row],[α (%)]]/100*ECF[[#This Row],[K (MPa)]]*1000*ECF[[#This Row],[NSPT]])</f>
        <v>96.800000000000011</v>
      </c>
      <c r="P194" s="4">
        <f>IF(ECF[[#This Row],[Prof. (m)]]=0,0,(ECF[[#This Row],[K (MPa)]]*1000*ECF[[#This Row],[NSPT]]/ECF[[#This Row],[F1]]*ECF[[#This Row],[Ap (m²)]]+ECF[[#This Row],[U (m)]]/ECF[[#This Row],[F2]]*SUMIFS(ECF[(α∙K∙NL∙ΔL)],ECF[Prof. (m)],"&lt;="&amp;ECF[[#This Row],[Prof. (m)]],ECF[idDiâmetro],ECF[[#This Row],[idDiâmetro]],ECF[idPilar],ECF[[#This Row],[idPilar]]))/'DADOS CAP. CARGA'!$D$2)</f>
        <v>1641.0501925107983</v>
      </c>
      <c r="Q194" s="12">
        <f>INDEX(C_alpha_beta[],MATCH(ECF[[#This Row],[Solo]],C_alpha_beta[Solo],0),MATCH(ECF[[#Headers],[C (kPa)]],C_alpha_beta[#Headers],0))</f>
        <v>250</v>
      </c>
      <c r="R194" s="4">
        <f>INDEX(C_alpha_beta[],MATCH(ECF[[#This Row],[Solo]],C_alpha_beta[Solo],0),MATCH(ECF[[#Headers],[α ESF]],C_alpha_beta[#Headers],0))</f>
        <v>0.6</v>
      </c>
      <c r="S194" s="4">
        <f>INDEX(C_alpha_beta[],MATCH(ECF[[#This Row],[Solo]],C_alpha_beta[Solo],0),MATCH(ECF[[#Headers],[β ESF]],C_alpha_beta[#Headers],0))</f>
        <v>0.65</v>
      </c>
      <c r="T194" s="4">
        <f>IF(ECF[[#This Row],[Prof. (m)]]=0,0,10*(ECF[[#This Row],[NSPT]]/3+1))</f>
        <v>36.666666666666664</v>
      </c>
      <c r="U194" s="4">
        <f>(ECF[[#This Row],[α ESF]]*ECF[[#This Row],[C (kPa)]]*ECF[[#This Row],[NSPT]]*ECF[[#This Row],[Ap (m²)]])/'DADOS CAP. CARGA'!$Q$2+(ECF[[#This Row],[β ESF]]*SUMIFS(ECF[10∙(NL/3+1)],ECF[Prof. (m)],"&lt;="&amp;ECF[[#This Row],[Prof. (m)]],ECF[idDiâmetro],ECF[[#This Row],[idDiâmetro]],ECF[idPilar],ECF[[#This Row],[idPilar]])*ECF[[#This Row],[U (m)]])/'DADOS CAP. CARGA'!$S$2</f>
        <v>953.86606944620098</v>
      </c>
      <c r="V194" s="4">
        <f>IF(SPT!$M$5=1,MIN(ECF[[#This Row],[Pe ECF (kN)]],ECF[[#This Row],[R_AV (kN)]]),IF(SPT!$M$5=2,MIN(ECF[[#This Row],[Pe ECF (kN)]],ECF[[#This Row],[R_DC (kN)]]),MIN(ECF[[#This Row],[Pe ECF (kN)]],ECF[[#This Row],[R_AV (kN)]],ECF[[#This Row],[R_DC (kN)]])))</f>
        <v>953.86606944620098</v>
      </c>
      <c r="W194" s="4">
        <f>INDEX(PILARES[],ECF[[#This Row],[idPilar]],MATCH("Carga (kN)",PILARES[#Headers],0))*1.4</f>
        <v>1750</v>
      </c>
      <c r="X194" s="12">
        <f>INDEX(PILARES[],ECF[[#This Row],[idPilar]],MATCH(ECF[[#Headers],[ap (cm)]],PILARES[#Headers],0))</f>
        <v>50</v>
      </c>
      <c r="Y194" s="12">
        <f>INDEX(PILARES[],ECF[[#This Row],[idPilar]],MATCH(ECF[[#Headers],[bp (cm)]],PILARES[#Headers],0))</f>
        <v>40</v>
      </c>
      <c r="Z194" s="4">
        <f>SQRT(ECF[[#This Row],[ap (cm)]]*ECF[[#This Row],[bp (cm)]])</f>
        <v>44.721359549995796</v>
      </c>
      <c r="AA194" s="12">
        <f>ECF[[#This Row],[ap (cm)]]*ECF[[#This Row],[bp (cm)]]</f>
        <v>2000</v>
      </c>
      <c r="AB194" s="12">
        <f ca="1">IF(ECF[[#This Row],[Padm∙ε (kN)]]&gt;=ECF[[#This Row],[Padm (kN)]],ROUNDUP(1.05*ECF[[#This Row],[Nsd (kN)]]/ECF[[#This Row],[Padm (kN)]],0),ROUNDUP(1.05*ECF[[#This Row],[Nsd (kN)]]/ECF[[#This Row],[Padm (kN)]],0)+1)</f>
        <v>2</v>
      </c>
      <c r="AC194" s="4">
        <f ca="1">IFERROR(IF(ECF[[#This Row],[nE]]=1,ECF[[#This Row],[Padm (kN)]],ECF[[#This Row],[Padm (kN)]]*ECF[[#This Row],[nE]]*INDEX(grupoEstacas[],ECF[[#This Row],[nE]],MATCH("ε",grupoEstacas[#Headers],0))),"N.S.")</f>
        <v>1788.4988802116268</v>
      </c>
      <c r="AD194" s="4">
        <f ca="1">1.05*ECF[[#This Row],[Nsd (kN)]]/(ECF[[#This Row],[nE]]*PI()*ECF[[#This Row],[Ø (cm)]]^2/4)*10</f>
        <v>0.5199061474335247</v>
      </c>
      <c r="AE194" s="4">
        <f ca="1">IF(ECF[[#This Row],[σ (MPa)]]&lt;INDEX(tipoEstaca[],MATCH($D$2,tipoEstaca[TIPO DE ESTACA],0),MATCH("σmáx (MPa)",tipoEstaca[#Headers],0)),0.4%*PI()*ECF[[#This Row],[Ø (cm)]]^2/4,"N.S.")</f>
        <v>70.685834705770347</v>
      </c>
      <c r="AF194" s="1">
        <f>INDEX(tipoEstaca[],MATCH($D$2,tipoEstaca[TIPO DE ESTACA],0),MATCH(ECF[[#Headers],[Comprimento (m)]],tipoEstaca[#Headers],0))</f>
        <v>4</v>
      </c>
      <c r="AG194" s="5">
        <f ca="1">ECF[[#This Row],[As,mín (cm²)]]/100^2*ECF[[#This Row],[Comprimento (m)]]*7850</f>
        <v>221.95352097611888</v>
      </c>
      <c r="AH194" s="4">
        <f ca="1">ECF[[#This Row],[nE]]*ECF[[#This Row],[Prof. (m)]]*ECF[[#This Row],[Ap (m²)]]</f>
        <v>24.740042147019622</v>
      </c>
      <c r="AI194" s="1">
        <f ca="1">IF(ECF[[#This Row],[nE]]=1,0,MAX(3*ECF[[#This Row],[Ø (cm)]],60))</f>
        <v>450</v>
      </c>
      <c r="AJ194" s="1">
        <f ca="1">IF(ECF[[#This Row],[nE]]=1,ECF[[#This Row],[Ø (cm)]]+2*10,MAX(1.5*ECF[[#This Row],[Ø (cm)]],ECF[[#This Row],[Ø (cm)]]+15))</f>
        <v>225</v>
      </c>
      <c r="AK194" s="1">
        <f ca="1">alturaUtil(ECF[[#This Row],[nE]],ECF[[#This Row],[Ø (cm)]],ECF[[#This Row],[e (cm)]],ECF[[#This Row],[ap,eq (cm)]])</f>
        <v>215</v>
      </c>
      <c r="AL194" s="1">
        <f ca="1">IFERROR(ECF[[#This Row],[d (cm)]]+arredondarParaCimaMultiplo5cm(MAX(5,SQRT(PI())/2*ECF[[#This Row],[Ø (cm)]]/5)),"N.S.")</f>
        <v>245</v>
      </c>
      <c r="AM194" s="5">
        <f ca="1">alpha(ECF[[#This Row],[nE]],ECF[[#This Row],[d (cm)]],ECF[[#This Row],[e (cm)]],ECF[[#This Row],[ap,eq (cm)]])</f>
        <v>45.157708075076172</v>
      </c>
      <c r="AN194" s="35">
        <f ca="1">IFERROR(ECF[[#This Row],[Nsd (kN)]]/(ECF[[#This Row],[Ap (cm²)]]*SIN(ECF[[#This Row],[α]])^2),"N.S.")</f>
        <v>1.0274188359652998</v>
      </c>
      <c r="AO194" s="35">
        <f ca="1">IFERROR(ECF[[#This Row],[Nsd (kN)]]/(ECF[[#This Row],[nE]]*PI()*ECF[[#This Row],[Ø (cm)]]^2/4*SIN(ECF[[#This Row],[α]])^2),"N.S.")</f>
        <v>5.8140012931412847E-2</v>
      </c>
      <c r="AP194" s="4">
        <f ca="1">IFERROR(INDEX(grupoEstacas[],ECF[[#This Row],[nE]],MATCH("coef. Blévot",grupoEstacas[#Headers],0)),"N.S.")</f>
        <v>1.4</v>
      </c>
      <c r="AQ194" s="35">
        <f ca="1">IFERROR(ECF[[#This Row],[coef. Blévot]]*0.9*INDEX(tipoEstaca[],MATCH($D$2,tipoEstaca[TIPO DE ESTACA],0),MATCH("fcd (kN/cm²)",tipoEstaca[#Headers],0)),"N.S.")</f>
        <v>1.4000000000000001</v>
      </c>
      <c r="AR194" s="1" t="str">
        <f ca="1">IF(AND(ECF[[#This Row],[cd,b,pil (kN/cm²)]]&lt;=ECF[[#This Row],[cd,b,lim (kN/cm²)]],ECF[[#This Row],[cd,b,est (kN/cm²)]]&lt;=ECF[[#This Row],[cd,b,lim (kN/cm²)]]),"OK","ERRO")</f>
        <v>OK</v>
      </c>
      <c r="AS194" s="4">
        <f ca="1">As_lado(ECF[[#This Row],[nE]],ECF[[#This Row],[Nsd (kN)]],ECF[[#This Row],[d (cm)]],ECF[[#This Row],[e (cm)]],ECF[[#This Row],[ap,eq (cm)]])</f>
        <v>23.016691901063702</v>
      </c>
      <c r="AT194" s="4">
        <f ca="1">IF(ECF[[#This Row],[nE]]=1,ECF[[#This Row],[As,lado (cm²)]],IF(ECF[[#This Row],[nE]]=2,0.075*2*ECF[a (cm)],"N.A."))</f>
        <v>33.75</v>
      </c>
      <c r="AU194" s="4">
        <f ca="1">IFERROR(IF(ECF[[#This Row],[nE]]=1,"N.A.",0.2*ECF[[#This Row],[As,lado (cm²)]]),"N.S.")</f>
        <v>4.6033383802127403</v>
      </c>
      <c r="AV194" s="4" t="str">
        <f ca="1">As_malha(ECF[[#This Row],[nE]],ECF[[#This Row],[As,lado (cm²)]],ECF[[#This Row],[Nsd (kN)]])</f>
        <v>N.A.</v>
      </c>
      <c r="AW194" s="4" t="str">
        <f ca="1">As_susp_tot(ECF[[#This Row],[nE]],ECF[[#This Row],[Nsd (kN)]])</f>
        <v>N.A.</v>
      </c>
      <c r="AX194" s="4" t="str">
        <f ca="1">Asp_face(ECF[[#This Row],[nE]],ECF[[#This Row],[As,lado (cm²)]])</f>
        <v>N.A.</v>
      </c>
      <c r="AY194" s="5">
        <f ca="1">acoBloco(ECF[[#This Row],[nE]],ECF[[#This Row],[e (cm)]],ECF[[#This Row],[a (cm)]],ECF[[#This Row],[h (cm)]],ECF[[#This Row],[As,lado (cm²)]],ECF[[#This Row],[Asp e Asw (cm²/m)]],ECF[[#This Row],[As,sup (cm²)]],ECF[[#This Row],[As,malha (cm²)]],ECF[[#This Row],[As,susp,tot (cm²)]],ECF[[#This Row],[Asp,face (cm²)]])</f>
        <v>5262.065201437219</v>
      </c>
      <c r="AZ194" s="4">
        <f ca="1">concretoBloco(ECF[[#This Row],[nE]],ECF[[#This Row],[e (cm)]],ECF[[#This Row],[a (cm)]],ECF[[#This Row],[h (cm)]])</f>
        <v>99.224999999999994</v>
      </c>
      <c r="BA194" s="5">
        <f ca="1">SUM(ECF[[#This Row],[Aço Est (kg)]],ECF[[#This Row],[Aço Bloco (kg)]])</f>
        <v>5484.0187224133379</v>
      </c>
      <c r="BB194" s="4">
        <f>INDEX(composicoes[],MATCH(95580,composicoes[CÓDIGO],0),MATCH("CUSTO TOTAL",composicoes[#Headers],0))</f>
        <v>10.46</v>
      </c>
      <c r="BC194" s="4">
        <f ca="1">SUM(ECF[[#This Row],[Conc Est (m³)]],ECF[[#This Row],[Conc Bloco (m³)]])</f>
        <v>123.96504214701962</v>
      </c>
      <c r="BD194" s="4">
        <f>INDEX(composicoes[],MATCH(94966,composicoes[CÓDIGO],0),MATCH("CUSTO TOTAL",composicoes[#Headers],0))</f>
        <v>439.52</v>
      </c>
      <c r="BE194" s="38">
        <f ca="1">ECF[[#This Row],[Aço (kg)]]*ECF[[#This Row],[Aço (R$/kg)]]+ECF[[#This Row],[Conc (m³)]]*ECF[[#This Row],[Conc (R$/m³)]]</f>
        <v>111847.95116090158</v>
      </c>
      <c r="BF194" s="4" t="str">
        <f ca="1">IF(COUNTIF(ECF[#This Row],"N.S.")&gt;0,"lim.","OK")</f>
        <v>OK</v>
      </c>
      <c r="BG194" s="4" t="str">
        <f>IF(ECF[[#This Row],[Prof. (m)]]&lt;4,"lim.","OK")</f>
        <v>OK</v>
      </c>
      <c r="BH194" s="4" t="str">
        <f>IF(ECF[[#This Row],[Prof. (m)]]&gt;=8*ECF[[#This Row],[Ø (cm)]]/100,"OK","lim.")</f>
        <v>lim.</v>
      </c>
      <c r="BI194" s="4" t="str">
        <f>IF(AND(SPT!$F$3&lt;&gt;"",ECF[[#This Row],[Prof. (m)]]&gt;=SPT!$F$3-2),"lim.","OK")</f>
        <v>OK</v>
      </c>
      <c r="BJ194" s="4" t="str">
        <f ca="1">IF(ECF[[#This Row],[Verif. Biela]]="OK","OK","lim.")</f>
        <v>OK</v>
      </c>
      <c r="BK194" s="4" t="str">
        <f ca="1">IF(COUNTA(ECF[[#This Row],[Nº Est.]:[Biela comp.]])=COUNTIF(ECF[[#This Row],[Nº Est.]:[Biela comp.]],"OK"),"OK","lim.")</f>
        <v>lim.</v>
      </c>
      <c r="BL194" s="4" t="str">
        <f ca="1">IF(ECF[[#This Row],[Controle]]="OK",ECF[[#This Row],[nE]]&amp;" Ø"&amp;ECF[[#This Row],[Ø (cm)]]&amp;"cm Prof. "&amp;ECF[[#This Row],[Prof. (m)]]&amp;" m","")</f>
        <v/>
      </c>
      <c r="BM194" s="4" t="str">
        <f ca="1">IF(ECF[[#This Row],[idDimensionamento]]="","",ECF[[#This Row],[idPilar]]&amp;ECF[[#This Row],[idDimensionamento]])</f>
        <v/>
      </c>
    </row>
    <row r="195" spans="2:65" x14ac:dyDescent="0.25">
      <c r="B195" s="12">
        <f>ROUNDUP((ROW(ECF[[#This Row],[idDiâmetro]])-ROW(ECF[[#Headers],[idDiâmetro]]))/(COUNT(SPT[Prof. (m)])*COUNT(PILARES[Pilar])),0)</f>
        <v>7</v>
      </c>
      <c r="C195" s="12">
        <f>IF(ECF[[#This Row],[idDiâmetro]]&lt;&gt;B194,1,IF(ECF[[#This Row],[Prof. (m)]]=0,C194+1,C194))</f>
        <v>2</v>
      </c>
      <c r="D195" s="1">
        <f>IFERROR(IF(D194=MAX(SPT[Prof. (m)]),0,D194+1),0)</f>
        <v>8</v>
      </c>
      <c r="E195" s="1">
        <f>INDEX(SPT[],MATCH(ECF[[#This Row],[Prof. (m)]],SPT[Prof. (m)],0),2)</f>
        <v>10</v>
      </c>
      <c r="F195" s="1" t="str">
        <f>INDEX(SPT[],MATCH(ECF[[#This Row],[Prof. (m)]],SPT[Prof. (m)],0),3)</f>
        <v>Silte arenoso</v>
      </c>
      <c r="G195" s="1">
        <f>INDEX(estacas[],ECF[[#This Row],[idDiâmetro]],MATCH($B$2,estacas[#Headers],0))</f>
        <v>150</v>
      </c>
      <c r="H195" s="1">
        <f>INDEX(estacas[],MATCH(ECF[[#This Row],[Ø (cm)]],estacas[Ø ECF (cm)],0),MATCH(ECF[[#Headers],[Pe ECF (kN)]],estacas[#Headers],0))</f>
        <v>7100</v>
      </c>
      <c r="I195" s="4">
        <f>INDEX(K_alpha_C[],MATCH(ECF[[#This Row],[Solo]],K_alpha_C[Solo],0),2)</f>
        <v>0.55000000000000004</v>
      </c>
      <c r="J195" s="5">
        <f>INDEX(K_alpha_C[],MATCH(ECF[[#This Row],[Solo]],K_alpha_C[Solo],0),3)</f>
        <v>2.2000000000000002</v>
      </c>
      <c r="K195" s="4">
        <f>INDEX(F1_F2[],MATCH($D$2,F1_F2[Tipo de estaca],0),2)</f>
        <v>3</v>
      </c>
      <c r="L195" s="4">
        <f>INDEX(F1_F2[],MATCH($D$2,F1_F2[Tipo de estaca],0),3)</f>
        <v>6</v>
      </c>
      <c r="M195" s="4">
        <f>PI()*(ECF[[#This Row],[Ø (cm)]]/100)^2/4</f>
        <v>1.7671458676442586</v>
      </c>
      <c r="N195" s="4">
        <f>PI()*ECF[[#This Row],[Ø (cm)]]/100</f>
        <v>4.7123889803846897</v>
      </c>
      <c r="O195" s="4">
        <f>IF(ECF[[#This Row],[Prof. (m)]]=0,0,ECF[[#This Row],[α (%)]]/100*ECF[[#This Row],[K (MPa)]]*1000*ECF[[#This Row],[NSPT]])</f>
        <v>121.00000000000001</v>
      </c>
      <c r="P195" s="4">
        <f>IF(ECF[[#This Row],[Prof. (m)]]=0,0,(ECF[[#This Row],[K (MPa)]]*1000*ECF[[#This Row],[NSPT]]/ECF[[#This Row],[F1]]*ECF[[#This Row],[Ap (m²)]]+ECF[[#This Row],[U (m)]]/ECF[[#This Row],[F2]]*SUMIFS(ECF[(α∙K∙NL∙ΔL)],ECF[Prof. (m)],"&lt;="&amp;ECF[[#This Row],[Prof. (m)]],ECF[idDiâmetro],ECF[[#This Row],[idDiâmetro]],ECF[idPilar],ECF[[#This Row],[idPilar]]))/'DADOS CAP. CARGA'!$D$2)</f>
        <v>2012.5435237977913</v>
      </c>
      <c r="Q195" s="12">
        <f>INDEX(C_alpha_beta[],MATCH(ECF[[#This Row],[Solo]],C_alpha_beta[Solo],0),MATCH(ECF[[#Headers],[C (kPa)]],C_alpha_beta[#Headers],0))</f>
        <v>250</v>
      </c>
      <c r="R195" s="4">
        <f>INDEX(C_alpha_beta[],MATCH(ECF[[#This Row],[Solo]],C_alpha_beta[Solo],0),MATCH(ECF[[#Headers],[α ESF]],C_alpha_beta[#Headers],0))</f>
        <v>0.6</v>
      </c>
      <c r="S195" s="4">
        <f>INDEX(C_alpha_beta[],MATCH(ECF[[#This Row],[Solo]],C_alpha_beta[Solo],0),MATCH(ECF[[#Headers],[β ESF]],C_alpha_beta[#Headers],0))</f>
        <v>0.65</v>
      </c>
      <c r="T195" s="4">
        <f>IF(ECF[[#This Row],[Prof. (m)]]=0,0,10*(ECF[[#This Row],[NSPT]]/3+1))</f>
        <v>43.333333333333343</v>
      </c>
      <c r="U195" s="4">
        <f>(ECF[[#This Row],[α ESF]]*ECF[[#This Row],[C (kPa)]]*ECF[[#This Row],[NSPT]]*ECF[[#This Row],[Ap (m²)]])/'DADOS CAP. CARGA'!$Q$2+(ECF[[#This Row],[β ESF]]*SUMIFS(ECF[10∙(NL/3+1)],ECF[Prof. (m)],"&lt;="&amp;ECF[[#This Row],[Prof. (m)]],ECF[idDiâmetro],ECF[[#This Row],[idDiâmetro]],ECF[idPilar],ECF[[#This Row],[idPilar]])*ECF[[#This Row],[U (m)]])/'DADOS CAP. CARGA'!$S$2</f>
        <v>1152.7681543266046</v>
      </c>
      <c r="V195" s="4">
        <f>IF(SPT!$M$5=1,MIN(ECF[[#This Row],[Pe ECF (kN)]],ECF[[#This Row],[R_AV (kN)]]),IF(SPT!$M$5=2,MIN(ECF[[#This Row],[Pe ECF (kN)]],ECF[[#This Row],[R_DC (kN)]]),MIN(ECF[[#This Row],[Pe ECF (kN)]],ECF[[#This Row],[R_AV (kN)]],ECF[[#This Row],[R_DC (kN)]])))</f>
        <v>1152.7681543266046</v>
      </c>
      <c r="W195" s="4">
        <f>INDEX(PILARES[],ECF[[#This Row],[idPilar]],MATCH("Carga (kN)",PILARES[#Headers],0))*1.4</f>
        <v>1750</v>
      </c>
      <c r="X195" s="12">
        <f>INDEX(PILARES[],ECF[[#This Row],[idPilar]],MATCH(ECF[[#Headers],[ap (cm)]],PILARES[#Headers],0))</f>
        <v>50</v>
      </c>
      <c r="Y195" s="12">
        <f>INDEX(PILARES[],ECF[[#This Row],[idPilar]],MATCH(ECF[[#Headers],[bp (cm)]],PILARES[#Headers],0))</f>
        <v>40</v>
      </c>
      <c r="Z195" s="4">
        <f>SQRT(ECF[[#This Row],[ap (cm)]]*ECF[[#This Row],[bp (cm)]])</f>
        <v>44.721359549995796</v>
      </c>
      <c r="AA195" s="12">
        <f>ECF[[#This Row],[ap (cm)]]*ECF[[#This Row],[bp (cm)]]</f>
        <v>2000</v>
      </c>
      <c r="AB195" s="12">
        <f ca="1">IF(ECF[[#This Row],[Padm∙ε (kN)]]&gt;=ECF[[#This Row],[Padm (kN)]],ROUNDUP(1.05*ECF[[#This Row],[Nsd (kN)]]/ECF[[#This Row],[Padm (kN)]],0),ROUNDUP(1.05*ECF[[#This Row],[Nsd (kN)]]/ECF[[#This Row],[Padm (kN)]],0)+1)</f>
        <v>2</v>
      </c>
      <c r="AC195" s="4">
        <f ca="1">IFERROR(IF(ECF[[#This Row],[nE]]=1,ECF[[#This Row],[Padm (kN)]],ECF[[#This Row],[Padm (kN)]]*ECF[[#This Row],[nE]]*INDEX(grupoEstacas[],ECF[[#This Row],[nE]],MATCH("ε",grupoEstacas[#Headers],0))),"N.S.")</f>
        <v>2161.4402893623837</v>
      </c>
      <c r="AD195" s="4">
        <f ca="1">1.05*ECF[[#This Row],[Nsd (kN)]]/(ECF[[#This Row],[nE]]*PI()*ECF[[#This Row],[Ø (cm)]]^2/4)*10</f>
        <v>0.5199061474335247</v>
      </c>
      <c r="AE195" s="4">
        <f ca="1">IF(ECF[[#This Row],[σ (MPa)]]&lt;INDEX(tipoEstaca[],MATCH($D$2,tipoEstaca[TIPO DE ESTACA],0),MATCH("σmáx (MPa)",tipoEstaca[#Headers],0)),0.4%*PI()*ECF[[#This Row],[Ø (cm)]]^2/4,"N.S.")</f>
        <v>70.685834705770347</v>
      </c>
      <c r="AF195" s="1">
        <f>INDEX(tipoEstaca[],MATCH($D$2,tipoEstaca[TIPO DE ESTACA],0),MATCH(ECF[[#Headers],[Comprimento (m)]],tipoEstaca[#Headers],0))</f>
        <v>4</v>
      </c>
      <c r="AG195" s="5">
        <f ca="1">ECF[[#This Row],[As,mín (cm²)]]/100^2*ECF[[#This Row],[Comprimento (m)]]*7850</f>
        <v>221.95352097611888</v>
      </c>
      <c r="AH195" s="4">
        <f ca="1">ECF[[#This Row],[nE]]*ECF[[#This Row],[Prof. (m)]]*ECF[[#This Row],[Ap (m²)]]</f>
        <v>28.274333882308138</v>
      </c>
      <c r="AI195" s="1">
        <f ca="1">IF(ECF[[#This Row],[nE]]=1,0,MAX(3*ECF[[#This Row],[Ø (cm)]],60))</f>
        <v>450</v>
      </c>
      <c r="AJ195" s="1">
        <f ca="1">IF(ECF[[#This Row],[nE]]=1,ECF[[#This Row],[Ø (cm)]]+2*10,MAX(1.5*ECF[[#This Row],[Ø (cm)]],ECF[[#This Row],[Ø (cm)]]+15))</f>
        <v>225</v>
      </c>
      <c r="AK195" s="1">
        <f ca="1">alturaUtil(ECF[[#This Row],[nE]],ECF[[#This Row],[Ø (cm)]],ECF[[#This Row],[e (cm)]],ECF[[#This Row],[ap,eq (cm)]])</f>
        <v>215</v>
      </c>
      <c r="AL195" s="1">
        <f ca="1">IFERROR(ECF[[#This Row],[d (cm)]]+arredondarParaCimaMultiplo5cm(MAX(5,SQRT(PI())/2*ECF[[#This Row],[Ø (cm)]]/5)),"N.S.")</f>
        <v>245</v>
      </c>
      <c r="AM195" s="5">
        <f ca="1">alpha(ECF[[#This Row],[nE]],ECF[[#This Row],[d (cm)]],ECF[[#This Row],[e (cm)]],ECF[[#This Row],[ap,eq (cm)]])</f>
        <v>45.157708075076172</v>
      </c>
      <c r="AN195" s="35">
        <f ca="1">IFERROR(ECF[[#This Row],[Nsd (kN)]]/(ECF[[#This Row],[Ap (cm²)]]*SIN(ECF[[#This Row],[α]])^2),"N.S.")</f>
        <v>1.0274188359652998</v>
      </c>
      <c r="AO195" s="35">
        <f ca="1">IFERROR(ECF[[#This Row],[Nsd (kN)]]/(ECF[[#This Row],[nE]]*PI()*ECF[[#This Row],[Ø (cm)]]^2/4*SIN(ECF[[#This Row],[α]])^2),"N.S.")</f>
        <v>5.8140012931412847E-2</v>
      </c>
      <c r="AP195" s="4">
        <f ca="1">IFERROR(INDEX(grupoEstacas[],ECF[[#This Row],[nE]],MATCH("coef. Blévot",grupoEstacas[#Headers],0)),"N.S.")</f>
        <v>1.4</v>
      </c>
      <c r="AQ195" s="35">
        <f ca="1">IFERROR(ECF[[#This Row],[coef. Blévot]]*0.9*INDEX(tipoEstaca[],MATCH($D$2,tipoEstaca[TIPO DE ESTACA],0),MATCH("fcd (kN/cm²)",tipoEstaca[#Headers],0)),"N.S.")</f>
        <v>1.4000000000000001</v>
      </c>
      <c r="AR195" s="1" t="str">
        <f ca="1">IF(AND(ECF[[#This Row],[cd,b,pil (kN/cm²)]]&lt;=ECF[[#This Row],[cd,b,lim (kN/cm²)]],ECF[[#This Row],[cd,b,est (kN/cm²)]]&lt;=ECF[[#This Row],[cd,b,lim (kN/cm²)]]),"OK","ERRO")</f>
        <v>OK</v>
      </c>
      <c r="AS195" s="4">
        <f ca="1">As_lado(ECF[[#This Row],[nE]],ECF[[#This Row],[Nsd (kN)]],ECF[[#This Row],[d (cm)]],ECF[[#This Row],[e (cm)]],ECF[[#This Row],[ap,eq (cm)]])</f>
        <v>23.016691901063702</v>
      </c>
      <c r="AT195" s="4">
        <f ca="1">IF(ECF[[#This Row],[nE]]=1,ECF[[#This Row],[As,lado (cm²)]],IF(ECF[[#This Row],[nE]]=2,0.075*2*ECF[a (cm)],"N.A."))</f>
        <v>33.75</v>
      </c>
      <c r="AU195" s="4">
        <f ca="1">IFERROR(IF(ECF[[#This Row],[nE]]=1,"N.A.",0.2*ECF[[#This Row],[As,lado (cm²)]]),"N.S.")</f>
        <v>4.6033383802127403</v>
      </c>
      <c r="AV195" s="4" t="str">
        <f ca="1">As_malha(ECF[[#This Row],[nE]],ECF[[#This Row],[As,lado (cm²)]],ECF[[#This Row],[Nsd (kN)]])</f>
        <v>N.A.</v>
      </c>
      <c r="AW195" s="4" t="str">
        <f ca="1">As_susp_tot(ECF[[#This Row],[nE]],ECF[[#This Row],[Nsd (kN)]])</f>
        <v>N.A.</v>
      </c>
      <c r="AX195" s="4" t="str">
        <f ca="1">Asp_face(ECF[[#This Row],[nE]],ECF[[#This Row],[As,lado (cm²)]])</f>
        <v>N.A.</v>
      </c>
      <c r="AY195" s="5">
        <f ca="1">acoBloco(ECF[[#This Row],[nE]],ECF[[#This Row],[e (cm)]],ECF[[#This Row],[a (cm)]],ECF[[#This Row],[h (cm)]],ECF[[#This Row],[As,lado (cm²)]],ECF[[#This Row],[Asp e Asw (cm²/m)]],ECF[[#This Row],[As,sup (cm²)]],ECF[[#This Row],[As,malha (cm²)]],ECF[[#This Row],[As,susp,tot (cm²)]],ECF[[#This Row],[Asp,face (cm²)]])</f>
        <v>5262.065201437219</v>
      </c>
      <c r="AZ195" s="4">
        <f ca="1">concretoBloco(ECF[[#This Row],[nE]],ECF[[#This Row],[e (cm)]],ECF[[#This Row],[a (cm)]],ECF[[#This Row],[h (cm)]])</f>
        <v>99.224999999999994</v>
      </c>
      <c r="BA195" s="5">
        <f ca="1">SUM(ECF[[#This Row],[Aço Est (kg)]],ECF[[#This Row],[Aço Bloco (kg)]])</f>
        <v>5484.0187224133379</v>
      </c>
      <c r="BB195" s="4">
        <f>INDEX(composicoes[],MATCH(95580,composicoes[CÓDIGO],0),MATCH("CUSTO TOTAL",composicoes[#Headers],0))</f>
        <v>10.46</v>
      </c>
      <c r="BC195" s="4">
        <f ca="1">SUM(ECF[[#This Row],[Conc Est (m³)]],ECF[[#This Row],[Conc Bloco (m³)]])</f>
        <v>127.49933388230814</v>
      </c>
      <c r="BD195" s="4">
        <f>INDEX(composicoes[],MATCH(94966,composicoes[CÓDIGO],0),MATCH("CUSTO TOTAL",composicoes[#Headers],0))</f>
        <v>439.52</v>
      </c>
      <c r="BE195" s="38">
        <f ca="1">ECF[[#This Row],[Aço (kg)]]*ECF[[#This Row],[Aço (R$/kg)]]+ECF[[#This Row],[Conc (m³)]]*ECF[[#This Row],[Conc (R$/m³)]]</f>
        <v>113401.34306439559</v>
      </c>
      <c r="BF195" s="4" t="str">
        <f ca="1">IF(COUNTIF(ECF[#This Row],"N.S.")&gt;0,"lim.","OK")</f>
        <v>OK</v>
      </c>
      <c r="BG195" s="4" t="str">
        <f>IF(ECF[[#This Row],[Prof. (m)]]&lt;4,"lim.","OK")</f>
        <v>OK</v>
      </c>
      <c r="BH195" s="4" t="str">
        <f>IF(ECF[[#This Row],[Prof. (m)]]&gt;=8*ECF[[#This Row],[Ø (cm)]]/100,"OK","lim.")</f>
        <v>lim.</v>
      </c>
      <c r="BI195" s="4" t="str">
        <f>IF(AND(SPT!$F$3&lt;&gt;"",ECF[[#This Row],[Prof. (m)]]&gt;=SPT!$F$3-2),"lim.","OK")</f>
        <v>OK</v>
      </c>
      <c r="BJ195" s="4" t="str">
        <f ca="1">IF(ECF[[#This Row],[Verif. Biela]]="OK","OK","lim.")</f>
        <v>OK</v>
      </c>
      <c r="BK195" s="4" t="str">
        <f ca="1">IF(COUNTA(ECF[[#This Row],[Nº Est.]:[Biela comp.]])=COUNTIF(ECF[[#This Row],[Nº Est.]:[Biela comp.]],"OK"),"OK","lim.")</f>
        <v>lim.</v>
      </c>
      <c r="BL195" s="4" t="str">
        <f ca="1">IF(ECF[[#This Row],[Controle]]="OK",ECF[[#This Row],[nE]]&amp;" Ø"&amp;ECF[[#This Row],[Ø (cm)]]&amp;"cm Prof. "&amp;ECF[[#This Row],[Prof. (m)]]&amp;" m","")</f>
        <v/>
      </c>
      <c r="BM195" s="4" t="str">
        <f ca="1">IF(ECF[[#This Row],[idDimensionamento]]="","",ECF[[#This Row],[idPilar]]&amp;ECF[[#This Row],[idDimensionamento]])</f>
        <v/>
      </c>
    </row>
    <row r="196" spans="2:65" x14ac:dyDescent="0.25">
      <c r="B196" s="12">
        <f>ROUNDUP((ROW(ECF[[#This Row],[idDiâmetro]])-ROW(ECF[[#Headers],[idDiâmetro]]))/(COUNT(SPT[Prof. (m)])*COUNT(PILARES[Pilar])),0)</f>
        <v>7</v>
      </c>
      <c r="C196" s="12">
        <f>IF(ECF[[#This Row],[idDiâmetro]]&lt;&gt;B195,1,IF(ECF[[#This Row],[Prof. (m)]]=0,C195+1,C195))</f>
        <v>2</v>
      </c>
      <c r="D196" s="1">
        <f>IFERROR(IF(D195=MAX(SPT[Prof. (m)]),0,D195+1),0)</f>
        <v>9</v>
      </c>
      <c r="E196" s="1">
        <f>INDEX(SPT[],MATCH(ECF[[#This Row],[Prof. (m)]],SPT[Prof. (m)],0),2)</f>
        <v>26</v>
      </c>
      <c r="F196" s="1" t="str">
        <f>INDEX(SPT[],MATCH(ECF[[#This Row],[Prof. (m)]],SPT[Prof. (m)],0),3)</f>
        <v>Areia siltosa</v>
      </c>
      <c r="G196" s="1">
        <f>INDEX(estacas[],ECF[[#This Row],[idDiâmetro]],MATCH($B$2,estacas[#Headers],0))</f>
        <v>150</v>
      </c>
      <c r="H196" s="1">
        <f>INDEX(estacas[],MATCH(ECF[[#This Row],[Ø (cm)]],estacas[Ø ECF (cm)],0),MATCH(ECF[[#Headers],[Pe ECF (kN)]],estacas[#Headers],0))</f>
        <v>7100</v>
      </c>
      <c r="I196" s="4">
        <f>INDEX(K_alpha_C[],MATCH(ECF[[#This Row],[Solo]],K_alpha_C[Solo],0),2)</f>
        <v>0.8</v>
      </c>
      <c r="J196" s="5">
        <f>INDEX(K_alpha_C[],MATCH(ECF[[#This Row],[Solo]],K_alpha_C[Solo],0),3)</f>
        <v>2</v>
      </c>
      <c r="K196" s="4">
        <f>INDEX(F1_F2[],MATCH($D$2,F1_F2[Tipo de estaca],0),2)</f>
        <v>3</v>
      </c>
      <c r="L196" s="4">
        <f>INDEX(F1_F2[],MATCH($D$2,F1_F2[Tipo de estaca],0),3)</f>
        <v>6</v>
      </c>
      <c r="M196" s="4">
        <f>PI()*(ECF[[#This Row],[Ø (cm)]]/100)^2/4</f>
        <v>1.7671458676442586</v>
      </c>
      <c r="N196" s="4">
        <f>PI()*ECF[[#This Row],[Ø (cm)]]/100</f>
        <v>4.7123889803846897</v>
      </c>
      <c r="O196" s="4">
        <f>IF(ECF[[#This Row],[Prof. (m)]]=0,0,ECF[[#This Row],[α (%)]]/100*ECF[[#This Row],[K (MPa)]]*1000*ECF[[#This Row],[NSPT]])</f>
        <v>416</v>
      </c>
      <c r="P196" s="4">
        <f>IF(ECF[[#This Row],[Prof. (m)]]=0,0,(ECF[[#This Row],[K (MPa)]]*1000*ECF[[#This Row],[NSPT]]/ECF[[#This Row],[F1]]*ECF[[#This Row],[Ap (m²)]]+ECF[[#This Row],[U (m)]]/ECF[[#This Row],[F2]]*SUMIFS(ECF[(α∙K∙NL∙ΔL)],ECF[Prof. (m)],"&lt;="&amp;ECF[[#This Row],[Prof. (m)]],ECF[idDiâmetro],ECF[[#This Row],[idDiâmetro]],ECF[idPilar],ECF[[#This Row],[idPilar]]))/'DADOS CAP. CARGA'!$D$2)</f>
        <v>6682.1283042773193</v>
      </c>
      <c r="Q196" s="12">
        <f>INDEX(C_alpha_beta[],MATCH(ECF[[#This Row],[Solo]],C_alpha_beta[Solo],0),MATCH(ECF[[#Headers],[C (kPa)]],C_alpha_beta[#Headers],0))</f>
        <v>400</v>
      </c>
      <c r="R196" s="4">
        <f>INDEX(C_alpha_beta[],MATCH(ECF[[#This Row],[Solo]],C_alpha_beta[Solo],0),MATCH(ECF[[#Headers],[α ESF]],C_alpha_beta[#Headers],0))</f>
        <v>0.5</v>
      </c>
      <c r="S196" s="4">
        <f>INDEX(C_alpha_beta[],MATCH(ECF[[#This Row],[Solo]],C_alpha_beta[Solo],0),MATCH(ECF[[#Headers],[β ESF]],C_alpha_beta[#Headers],0))</f>
        <v>0.5</v>
      </c>
      <c r="T196" s="4">
        <f>IF(ECF[[#This Row],[Prof. (m)]]=0,0,10*(ECF[[#This Row],[NSPT]]/3+1))</f>
        <v>96.666666666666657</v>
      </c>
      <c r="U196" s="4">
        <f>(ECF[[#This Row],[α ESF]]*ECF[[#This Row],[C (kPa)]]*ECF[[#This Row],[NSPT]]*ECF[[#This Row],[Ap (m²)]])/'DADOS CAP. CARGA'!$Q$2+(ECF[[#This Row],[β ESF]]*SUMIFS(ECF[10∙(NL/3+1)],ECF[Prof. (m)],"&lt;="&amp;ECF[[#This Row],[Prof. (m)]],ECF[idDiâmetro],ECF[[#This Row],[idDiâmetro]],ECF[idPilar],ECF[[#This Row],[idPilar]])*ECF[[#This Row],[U (m)]])/'DADOS CAP. CARGA'!$S$2</f>
        <v>2788.1634800609413</v>
      </c>
      <c r="V196" s="4">
        <f>IF(SPT!$M$5=1,MIN(ECF[[#This Row],[Pe ECF (kN)]],ECF[[#This Row],[R_AV (kN)]]),IF(SPT!$M$5=2,MIN(ECF[[#This Row],[Pe ECF (kN)]],ECF[[#This Row],[R_DC (kN)]]),MIN(ECF[[#This Row],[Pe ECF (kN)]],ECF[[#This Row],[R_AV (kN)]],ECF[[#This Row],[R_DC (kN)]])))</f>
        <v>2788.1634800609413</v>
      </c>
      <c r="W196" s="4">
        <f>INDEX(PILARES[],ECF[[#This Row],[idPilar]],MATCH("Carga (kN)",PILARES[#Headers],0))*1.4</f>
        <v>1750</v>
      </c>
      <c r="X196" s="12">
        <f>INDEX(PILARES[],ECF[[#This Row],[idPilar]],MATCH(ECF[[#Headers],[ap (cm)]],PILARES[#Headers],0))</f>
        <v>50</v>
      </c>
      <c r="Y196" s="12">
        <f>INDEX(PILARES[],ECF[[#This Row],[idPilar]],MATCH(ECF[[#Headers],[bp (cm)]],PILARES[#Headers],0))</f>
        <v>40</v>
      </c>
      <c r="Z196" s="4">
        <f>SQRT(ECF[[#This Row],[ap (cm)]]*ECF[[#This Row],[bp (cm)]])</f>
        <v>44.721359549995796</v>
      </c>
      <c r="AA196" s="12">
        <f>ECF[[#This Row],[ap (cm)]]*ECF[[#This Row],[bp (cm)]]</f>
        <v>2000</v>
      </c>
      <c r="AB196" s="12">
        <f ca="1">IF(ECF[[#This Row],[Padm∙ε (kN)]]&gt;=ECF[[#This Row],[Padm (kN)]],ROUNDUP(1.05*ECF[[#This Row],[Nsd (kN)]]/ECF[[#This Row],[Padm (kN)]],0),ROUNDUP(1.05*ECF[[#This Row],[Nsd (kN)]]/ECF[[#This Row],[Padm (kN)]],0)+1)</f>
        <v>1</v>
      </c>
      <c r="AC196" s="4">
        <f ca="1">IFERROR(IF(ECF[[#This Row],[nE]]=1,ECF[[#This Row],[Padm (kN)]],ECF[[#This Row],[Padm (kN)]]*ECF[[#This Row],[nE]]*INDEX(grupoEstacas[],ECF[[#This Row],[nE]],MATCH("ε",grupoEstacas[#Headers],0))),"N.S.")</f>
        <v>2788.1634800609413</v>
      </c>
      <c r="AD196" s="4">
        <f ca="1">1.05*ECF[[#This Row],[Nsd (kN)]]/(ECF[[#This Row],[nE]]*PI()*ECF[[#This Row],[Ø (cm)]]^2/4)*10</f>
        <v>1.0398122948670494</v>
      </c>
      <c r="AE196" s="4">
        <f ca="1">IF(ECF[[#This Row],[σ (MPa)]]&lt;INDEX(tipoEstaca[],MATCH($D$2,tipoEstaca[TIPO DE ESTACA],0),MATCH("σmáx (MPa)",tipoEstaca[#Headers],0)),0.4%*PI()*ECF[[#This Row],[Ø (cm)]]^2/4,"N.S.")</f>
        <v>70.685834705770347</v>
      </c>
      <c r="AF196" s="1">
        <f>INDEX(tipoEstaca[],MATCH($D$2,tipoEstaca[TIPO DE ESTACA],0),MATCH(ECF[[#Headers],[Comprimento (m)]],tipoEstaca[#Headers],0))</f>
        <v>4</v>
      </c>
      <c r="AG196" s="5">
        <f ca="1">ECF[[#This Row],[As,mín (cm²)]]/100^2*ECF[[#This Row],[Comprimento (m)]]*7850</f>
        <v>221.95352097611888</v>
      </c>
      <c r="AH196" s="4">
        <f ca="1">ECF[[#This Row],[nE]]*ECF[[#This Row],[Prof. (m)]]*ECF[[#This Row],[Ap (m²)]]</f>
        <v>15.904312808798327</v>
      </c>
      <c r="AI196" s="1">
        <f ca="1">IF(ECF[[#This Row],[nE]]=1,0,MAX(3*ECF[[#This Row],[Ø (cm)]],60))</f>
        <v>0</v>
      </c>
      <c r="AJ196" s="1">
        <f ca="1">IF(ECF[[#This Row],[nE]]=1,ECF[[#This Row],[Ø (cm)]]+2*10,MAX(1.5*ECF[[#This Row],[Ø (cm)]],ECF[[#This Row],[Ø (cm)]]+15))</f>
        <v>170</v>
      </c>
      <c r="AK196" s="1">
        <f ca="1">alturaUtil(ECF[[#This Row],[nE]],ECF[[#This Row],[Ø (cm)]],ECF[[#This Row],[e (cm)]],ECF[[#This Row],[ap,eq (cm)]])</f>
        <v>180</v>
      </c>
      <c r="AL196" s="1">
        <f ca="1">IFERROR(ECF[[#This Row],[d (cm)]]+arredondarParaCimaMultiplo5cm(MAX(5,SQRT(PI())/2*ECF[[#This Row],[Ø (cm)]]/5)),"N.S.")</f>
        <v>210</v>
      </c>
      <c r="AM196" s="5">
        <f ca="1">alpha(ECF[[#This Row],[nE]],ECF[[#This Row],[d (cm)]],ECF[[#This Row],[e (cm)]],ECF[[#This Row],[ap,eq (cm)]])</f>
        <v>90</v>
      </c>
      <c r="AN196" s="35">
        <f ca="1">IFERROR(ECF[[#This Row],[Nsd (kN)]]/(ECF[[#This Row],[Ap (cm²)]]*SIN(ECF[[#This Row],[α]])^2),"N.S.")</f>
        <v>1.0948037013095111</v>
      </c>
      <c r="AO196" s="35">
        <f ca="1">IFERROR(ECF[[#This Row],[Nsd (kN)]]/(ECF[[#This Row],[nE]]*PI()*ECF[[#This Row],[Ø (cm)]]^2/4*SIN(ECF[[#This Row],[α]])^2),"N.S.")</f>
        <v>0.1239064325537505</v>
      </c>
      <c r="AP196" s="4">
        <f ca="1">IFERROR(INDEX(grupoEstacas[],ECF[[#This Row],[nE]],MATCH("coef. Blévot",grupoEstacas[#Headers],0)),"N.S.")</f>
        <v>1</v>
      </c>
      <c r="AQ196" s="35">
        <f ca="1">IFERROR(ECF[[#This Row],[coef. Blévot]]*0.9*INDEX(tipoEstaca[],MATCH($D$2,tipoEstaca[TIPO DE ESTACA],0),MATCH("fcd (kN/cm²)",tipoEstaca[#Headers],0)),"N.S.")</f>
        <v>1</v>
      </c>
      <c r="AR196" s="1" t="str">
        <f ca="1">IF(AND(ECF[[#This Row],[cd,b,pil (kN/cm²)]]&lt;=ECF[[#This Row],[cd,b,lim (kN/cm²)]],ECF[[#This Row],[cd,b,est (kN/cm²)]]&lt;=ECF[[#This Row],[cd,b,lim (kN/cm²)]]),"OK","ERRO")</f>
        <v>ERRO</v>
      </c>
      <c r="AS196" s="4">
        <f ca="1">As_lado(ECF[[#This Row],[nE]],ECF[[#This Row],[Nsd (kN)]],ECF[[#This Row],[d (cm)]],ECF[[#This Row],[e (cm)]],ECF[[#This Row],[ap,eq (cm)]])</f>
        <v>10.0625</v>
      </c>
      <c r="AT196" s="4">
        <f ca="1">IF(ECF[[#This Row],[nE]]=1,ECF[[#This Row],[As,lado (cm²)]],IF(ECF[[#This Row],[nE]]=2,0.075*2*ECF[a (cm)],"N.A."))</f>
        <v>10.0625</v>
      </c>
      <c r="AU196" s="4" t="str">
        <f ca="1">IFERROR(IF(ECF[[#This Row],[nE]]=1,"N.A.",0.2*ECF[[#This Row],[As,lado (cm²)]]),"N.S.")</f>
        <v>N.A.</v>
      </c>
      <c r="AV196" s="4" t="str">
        <f ca="1">As_malha(ECF[[#This Row],[nE]],ECF[[#This Row],[As,lado (cm²)]],ECF[[#This Row],[Nsd (kN)]])</f>
        <v>N.A.</v>
      </c>
      <c r="AW196" s="4" t="str">
        <f ca="1">As_susp_tot(ECF[[#This Row],[nE]],ECF[[#This Row],[Nsd (kN)]])</f>
        <v>N.A.</v>
      </c>
      <c r="AX196" s="4" t="str">
        <f ca="1">Asp_face(ECF[[#This Row],[nE]],ECF[[#This Row],[As,lado (cm²)]])</f>
        <v>N.A.</v>
      </c>
      <c r="AY196" s="5">
        <f ca="1">acoBloco(ECF[[#This Row],[nE]],ECF[[#This Row],[e (cm)]],ECF[[#This Row],[a (cm)]],ECF[[#This Row],[h (cm)]],ECF[[#This Row],[As,lado (cm²)]],ECF[[#This Row],[Asp e Asw (cm²/m)]],ECF[[#This Row],[As,sup (cm²)]],ECF[[#This Row],[As,malha (cm²)]],ECF[[#This Row],[As,susp,tot (cm²)]],ECF[[#This Row],[Asp,face (cm²)]])</f>
        <v>173.77937499999999</v>
      </c>
      <c r="AZ196" s="4">
        <f ca="1">concretoBloco(ECF[[#This Row],[nE]],ECF[[#This Row],[e (cm)]],ECF[[#This Row],[a (cm)]],ECF[[#This Row],[h (cm)]])</f>
        <v>6.069</v>
      </c>
      <c r="BA196" s="5">
        <f ca="1">SUM(ECF[[#This Row],[Aço Est (kg)]],ECF[[#This Row],[Aço Bloco (kg)]])</f>
        <v>395.73289597611887</v>
      </c>
      <c r="BB196" s="4">
        <f>INDEX(composicoes[],MATCH(95580,composicoes[CÓDIGO],0),MATCH("CUSTO TOTAL",composicoes[#Headers],0))</f>
        <v>10.46</v>
      </c>
      <c r="BC196" s="4">
        <f ca="1">SUM(ECF[[#This Row],[Conc Est (m³)]],ECF[[#This Row],[Conc Bloco (m³)]])</f>
        <v>21.973312808798326</v>
      </c>
      <c r="BD196" s="4">
        <f>INDEX(composicoes[],MATCH(94966,composicoes[CÓDIGO],0),MATCH("CUSTO TOTAL",composicoes[#Headers],0))</f>
        <v>439.52</v>
      </c>
      <c r="BE196" s="38">
        <f ca="1">ECF[[#This Row],[Aço (kg)]]*ECF[[#This Row],[Aço (R$/kg)]]+ECF[[#This Row],[Conc (m³)]]*ECF[[#This Row],[Conc (R$/m³)]]</f>
        <v>13797.076537633244</v>
      </c>
      <c r="BF196" s="4" t="str">
        <f ca="1">IF(COUNTIF(ECF[#This Row],"N.S.")&gt;0,"lim.","OK")</f>
        <v>OK</v>
      </c>
      <c r="BG196" s="4" t="str">
        <f>IF(ECF[[#This Row],[Prof. (m)]]&lt;4,"lim.","OK")</f>
        <v>OK</v>
      </c>
      <c r="BH196" s="4" t="str">
        <f>IF(ECF[[#This Row],[Prof. (m)]]&gt;=8*ECF[[#This Row],[Ø (cm)]]/100,"OK","lim.")</f>
        <v>lim.</v>
      </c>
      <c r="BI196" s="4" t="str">
        <f>IF(AND(SPT!$F$3&lt;&gt;"",ECF[[#This Row],[Prof. (m)]]&gt;=SPT!$F$3-2),"lim.","OK")</f>
        <v>OK</v>
      </c>
      <c r="BJ196" s="4" t="str">
        <f ca="1">IF(ECF[[#This Row],[Verif. Biela]]="OK","OK","lim.")</f>
        <v>lim.</v>
      </c>
      <c r="BK196" s="4" t="str">
        <f ca="1">IF(COUNTA(ECF[[#This Row],[Nº Est.]:[Biela comp.]])=COUNTIF(ECF[[#This Row],[Nº Est.]:[Biela comp.]],"OK"),"OK","lim.")</f>
        <v>lim.</v>
      </c>
      <c r="BL196" s="4" t="str">
        <f ca="1">IF(ECF[[#This Row],[Controle]]="OK",ECF[[#This Row],[nE]]&amp;" Ø"&amp;ECF[[#This Row],[Ø (cm)]]&amp;"cm Prof. "&amp;ECF[[#This Row],[Prof. (m)]]&amp;" m","")</f>
        <v/>
      </c>
      <c r="BM196" s="4" t="str">
        <f ca="1">IF(ECF[[#This Row],[idDimensionamento]]="","",ECF[[#This Row],[idPilar]]&amp;ECF[[#This Row],[idDimensionamento]])</f>
        <v/>
      </c>
    </row>
    <row r="197" spans="2:65" x14ac:dyDescent="0.25">
      <c r="B197" s="12">
        <f>ROUNDUP((ROW(ECF[[#This Row],[idDiâmetro]])-ROW(ECF[[#Headers],[idDiâmetro]]))/(COUNT(SPT[Prof. (m)])*COUNT(PILARES[Pilar])),0)</f>
        <v>7</v>
      </c>
      <c r="C197" s="12">
        <f>IF(ECF[[#This Row],[idDiâmetro]]&lt;&gt;B196,1,IF(ECF[[#This Row],[Prof. (m)]]=0,C196+1,C196))</f>
        <v>2</v>
      </c>
      <c r="D197" s="1">
        <f>IFERROR(IF(D196=MAX(SPT[Prof. (m)]),0,D196+1),0)</f>
        <v>10</v>
      </c>
      <c r="E197" s="1">
        <f>INDEX(SPT[],MATCH(ECF[[#This Row],[Prof. (m)]],SPT[Prof. (m)],0),2)</f>
        <v>32</v>
      </c>
      <c r="F197" s="1" t="str">
        <f>INDEX(SPT[],MATCH(ECF[[#This Row],[Prof. (m)]],SPT[Prof. (m)],0),3)</f>
        <v>Areia siltosa</v>
      </c>
      <c r="G197" s="1">
        <f>INDEX(estacas[],ECF[[#This Row],[idDiâmetro]],MATCH($B$2,estacas[#Headers],0))</f>
        <v>150</v>
      </c>
      <c r="H197" s="1">
        <f>INDEX(estacas[],MATCH(ECF[[#This Row],[Ø (cm)]],estacas[Ø ECF (cm)],0),MATCH(ECF[[#Headers],[Pe ECF (kN)]],estacas[#Headers],0))</f>
        <v>7100</v>
      </c>
      <c r="I197" s="4">
        <f>INDEX(K_alpha_C[],MATCH(ECF[[#This Row],[Solo]],K_alpha_C[Solo],0),2)</f>
        <v>0.8</v>
      </c>
      <c r="J197" s="5">
        <f>INDEX(K_alpha_C[],MATCH(ECF[[#This Row],[Solo]],K_alpha_C[Solo],0),3)</f>
        <v>2</v>
      </c>
      <c r="K197" s="4">
        <f>INDEX(F1_F2[],MATCH($D$2,F1_F2[Tipo de estaca],0),2)</f>
        <v>3</v>
      </c>
      <c r="L197" s="4">
        <f>INDEX(F1_F2[],MATCH($D$2,F1_F2[Tipo de estaca],0),3)</f>
        <v>6</v>
      </c>
      <c r="M197" s="4">
        <f>PI()*(ECF[[#This Row],[Ø (cm)]]/100)^2/4</f>
        <v>1.7671458676442586</v>
      </c>
      <c r="N197" s="4">
        <f>PI()*ECF[[#This Row],[Ø (cm)]]/100</f>
        <v>4.7123889803846897</v>
      </c>
      <c r="O197" s="4">
        <f>IF(ECF[[#This Row],[Prof. (m)]]=0,0,ECF[[#This Row],[α (%)]]/100*ECF[[#This Row],[K (MPa)]]*1000*ECF[[#This Row],[NSPT]])</f>
        <v>512</v>
      </c>
      <c r="P197" s="4">
        <f>IF(ECF[[#This Row],[Prof. (m)]]=0,0,(ECF[[#This Row],[K (MPa)]]*1000*ECF[[#This Row],[NSPT]]/ECF[[#This Row],[F1]]*ECF[[#This Row],[Ap (m²)]]+ECF[[#This Row],[U (m)]]/ECF[[#This Row],[F2]]*SUMIFS(ECF[(α∙K∙NL∙ΔL)],ECF[Prof. (m)],"&lt;="&amp;ECF[[#This Row],[Prof. (m)]],ECF[idDiâmetro],ECF[[#This Row],[idDiâmetro]],ECF[idPilar],ECF[[#This Row],[idPilar]]))/'DADOS CAP. CARGA'!$D$2)</f>
        <v>8296.9069282224737</v>
      </c>
      <c r="Q197" s="12">
        <f>INDEX(C_alpha_beta[],MATCH(ECF[[#This Row],[Solo]],C_alpha_beta[Solo],0),MATCH(ECF[[#Headers],[C (kPa)]],C_alpha_beta[#Headers],0))</f>
        <v>400</v>
      </c>
      <c r="R197" s="4">
        <f>INDEX(C_alpha_beta[],MATCH(ECF[[#This Row],[Solo]],C_alpha_beta[Solo],0),MATCH(ECF[[#Headers],[α ESF]],C_alpha_beta[#Headers],0))</f>
        <v>0.5</v>
      </c>
      <c r="S197" s="4">
        <f>INDEX(C_alpha_beta[],MATCH(ECF[[#This Row],[Solo]],C_alpha_beta[Solo],0),MATCH(ECF[[#Headers],[β ESF]],C_alpha_beta[#Headers],0))</f>
        <v>0.5</v>
      </c>
      <c r="T197" s="4">
        <f>IF(ECF[[#This Row],[Prof. (m)]]=0,0,10*(ECF[[#This Row],[NSPT]]/3+1))</f>
        <v>116.66666666666666</v>
      </c>
      <c r="U197" s="4">
        <f>(ECF[[#This Row],[α ESF]]*ECF[[#This Row],[C (kPa)]]*ECF[[#This Row],[NSPT]]*ECF[[#This Row],[Ap (m²)]])/'DADOS CAP. CARGA'!$Q$2+(ECF[[#This Row],[β ESF]]*SUMIFS(ECF[10∙(NL/3+1)],ECF[Prof. (m)],"&lt;="&amp;ECF[[#This Row],[Prof. (m)]],ECF[idDiâmetro],ECF[[#This Row],[idDiâmetro]],ECF[idPilar],ECF[[#This Row],[idPilar]])*ECF[[#This Row],[U (m)]])/'DADOS CAP. CARGA'!$S$2</f>
        <v>3455.7519189487721</v>
      </c>
      <c r="V197" s="4">
        <f>IF(SPT!$M$5=1,MIN(ECF[[#This Row],[Pe ECF (kN)]],ECF[[#This Row],[R_AV (kN)]]),IF(SPT!$M$5=2,MIN(ECF[[#This Row],[Pe ECF (kN)]],ECF[[#This Row],[R_DC (kN)]]),MIN(ECF[[#This Row],[Pe ECF (kN)]],ECF[[#This Row],[R_AV (kN)]],ECF[[#This Row],[R_DC (kN)]])))</f>
        <v>3455.7519189487721</v>
      </c>
      <c r="W197" s="4">
        <f>INDEX(PILARES[],ECF[[#This Row],[idPilar]],MATCH("Carga (kN)",PILARES[#Headers],0))*1.4</f>
        <v>1750</v>
      </c>
      <c r="X197" s="12">
        <f>INDEX(PILARES[],ECF[[#This Row],[idPilar]],MATCH(ECF[[#Headers],[ap (cm)]],PILARES[#Headers],0))</f>
        <v>50</v>
      </c>
      <c r="Y197" s="12">
        <f>INDEX(PILARES[],ECF[[#This Row],[idPilar]],MATCH(ECF[[#Headers],[bp (cm)]],PILARES[#Headers],0))</f>
        <v>40</v>
      </c>
      <c r="Z197" s="4">
        <f>SQRT(ECF[[#This Row],[ap (cm)]]*ECF[[#This Row],[bp (cm)]])</f>
        <v>44.721359549995796</v>
      </c>
      <c r="AA197" s="12">
        <f>ECF[[#This Row],[ap (cm)]]*ECF[[#This Row],[bp (cm)]]</f>
        <v>2000</v>
      </c>
      <c r="AB197" s="12">
        <f ca="1">IF(ECF[[#This Row],[Padm∙ε (kN)]]&gt;=ECF[[#This Row],[Padm (kN)]],ROUNDUP(1.05*ECF[[#This Row],[Nsd (kN)]]/ECF[[#This Row],[Padm (kN)]],0),ROUNDUP(1.05*ECF[[#This Row],[Nsd (kN)]]/ECF[[#This Row],[Padm (kN)]],0)+1)</f>
        <v>1</v>
      </c>
      <c r="AC197" s="4">
        <f ca="1">IFERROR(IF(ECF[[#This Row],[nE]]=1,ECF[[#This Row],[Padm (kN)]],ECF[[#This Row],[Padm (kN)]]*ECF[[#This Row],[nE]]*INDEX(grupoEstacas[],ECF[[#This Row],[nE]],MATCH("ε",grupoEstacas[#Headers],0))),"N.S.")</f>
        <v>3455.7519189487721</v>
      </c>
      <c r="AD197" s="4">
        <f ca="1">1.05*ECF[[#This Row],[Nsd (kN)]]/(ECF[[#This Row],[nE]]*PI()*ECF[[#This Row],[Ø (cm)]]^2/4)*10</f>
        <v>1.0398122948670494</v>
      </c>
      <c r="AE197" s="4">
        <f ca="1">IF(ECF[[#This Row],[σ (MPa)]]&lt;INDEX(tipoEstaca[],MATCH($D$2,tipoEstaca[TIPO DE ESTACA],0),MATCH("σmáx (MPa)",tipoEstaca[#Headers],0)),0.4%*PI()*ECF[[#This Row],[Ø (cm)]]^2/4,"N.S.")</f>
        <v>70.685834705770347</v>
      </c>
      <c r="AF197" s="1">
        <f>INDEX(tipoEstaca[],MATCH($D$2,tipoEstaca[TIPO DE ESTACA],0),MATCH(ECF[[#Headers],[Comprimento (m)]],tipoEstaca[#Headers],0))</f>
        <v>4</v>
      </c>
      <c r="AG197" s="5">
        <f ca="1">ECF[[#This Row],[As,mín (cm²)]]/100^2*ECF[[#This Row],[Comprimento (m)]]*7850</f>
        <v>221.95352097611888</v>
      </c>
      <c r="AH197" s="4">
        <f ca="1">ECF[[#This Row],[nE]]*ECF[[#This Row],[Prof. (m)]]*ECF[[#This Row],[Ap (m²)]]</f>
        <v>17.671458676442587</v>
      </c>
      <c r="AI197" s="1">
        <f ca="1">IF(ECF[[#This Row],[nE]]=1,0,MAX(3*ECF[[#This Row],[Ø (cm)]],60))</f>
        <v>0</v>
      </c>
      <c r="AJ197" s="1">
        <f ca="1">IF(ECF[[#This Row],[nE]]=1,ECF[[#This Row],[Ø (cm)]]+2*10,MAX(1.5*ECF[[#This Row],[Ø (cm)]],ECF[[#This Row],[Ø (cm)]]+15))</f>
        <v>170</v>
      </c>
      <c r="AK197" s="1">
        <f ca="1">alturaUtil(ECF[[#This Row],[nE]],ECF[[#This Row],[Ø (cm)]],ECF[[#This Row],[e (cm)]],ECF[[#This Row],[ap,eq (cm)]])</f>
        <v>180</v>
      </c>
      <c r="AL197" s="1">
        <f ca="1">IFERROR(ECF[[#This Row],[d (cm)]]+arredondarParaCimaMultiplo5cm(MAX(5,SQRT(PI())/2*ECF[[#This Row],[Ø (cm)]]/5)),"N.S.")</f>
        <v>210</v>
      </c>
      <c r="AM197" s="5">
        <f ca="1">alpha(ECF[[#This Row],[nE]],ECF[[#This Row],[d (cm)]],ECF[[#This Row],[e (cm)]],ECF[[#This Row],[ap,eq (cm)]])</f>
        <v>90</v>
      </c>
      <c r="AN197" s="35">
        <f ca="1">IFERROR(ECF[[#This Row],[Nsd (kN)]]/(ECF[[#This Row],[Ap (cm²)]]*SIN(ECF[[#This Row],[α]])^2),"N.S.")</f>
        <v>1.0948037013095111</v>
      </c>
      <c r="AO197" s="35">
        <f ca="1">IFERROR(ECF[[#This Row],[Nsd (kN)]]/(ECF[[#This Row],[nE]]*PI()*ECF[[#This Row],[Ø (cm)]]^2/4*SIN(ECF[[#This Row],[α]])^2),"N.S.")</f>
        <v>0.1239064325537505</v>
      </c>
      <c r="AP197" s="4">
        <f ca="1">IFERROR(INDEX(grupoEstacas[],ECF[[#This Row],[nE]],MATCH("coef. Blévot",grupoEstacas[#Headers],0)),"N.S.")</f>
        <v>1</v>
      </c>
      <c r="AQ197" s="35">
        <f ca="1">IFERROR(ECF[[#This Row],[coef. Blévot]]*0.9*INDEX(tipoEstaca[],MATCH($D$2,tipoEstaca[TIPO DE ESTACA],0),MATCH("fcd (kN/cm²)",tipoEstaca[#Headers],0)),"N.S.")</f>
        <v>1</v>
      </c>
      <c r="AR197" s="1" t="str">
        <f ca="1">IF(AND(ECF[[#This Row],[cd,b,pil (kN/cm²)]]&lt;=ECF[[#This Row],[cd,b,lim (kN/cm²)]],ECF[[#This Row],[cd,b,est (kN/cm²)]]&lt;=ECF[[#This Row],[cd,b,lim (kN/cm²)]]),"OK","ERRO")</f>
        <v>ERRO</v>
      </c>
      <c r="AS197" s="4">
        <f ca="1">As_lado(ECF[[#This Row],[nE]],ECF[[#This Row],[Nsd (kN)]],ECF[[#This Row],[d (cm)]],ECF[[#This Row],[e (cm)]],ECF[[#This Row],[ap,eq (cm)]])</f>
        <v>10.0625</v>
      </c>
      <c r="AT197" s="4">
        <f ca="1">IF(ECF[[#This Row],[nE]]=1,ECF[[#This Row],[As,lado (cm²)]],IF(ECF[[#This Row],[nE]]=2,0.075*2*ECF[a (cm)],"N.A."))</f>
        <v>10.0625</v>
      </c>
      <c r="AU197" s="4" t="str">
        <f ca="1">IFERROR(IF(ECF[[#This Row],[nE]]=1,"N.A.",0.2*ECF[[#This Row],[As,lado (cm²)]]),"N.S.")</f>
        <v>N.A.</v>
      </c>
      <c r="AV197" s="4" t="str">
        <f ca="1">As_malha(ECF[[#This Row],[nE]],ECF[[#This Row],[As,lado (cm²)]],ECF[[#This Row],[Nsd (kN)]])</f>
        <v>N.A.</v>
      </c>
      <c r="AW197" s="4" t="str">
        <f ca="1">As_susp_tot(ECF[[#This Row],[nE]],ECF[[#This Row],[Nsd (kN)]])</f>
        <v>N.A.</v>
      </c>
      <c r="AX197" s="4" t="str">
        <f ca="1">Asp_face(ECF[[#This Row],[nE]],ECF[[#This Row],[As,lado (cm²)]])</f>
        <v>N.A.</v>
      </c>
      <c r="AY197" s="5">
        <f ca="1">acoBloco(ECF[[#This Row],[nE]],ECF[[#This Row],[e (cm)]],ECF[[#This Row],[a (cm)]],ECF[[#This Row],[h (cm)]],ECF[[#This Row],[As,lado (cm²)]],ECF[[#This Row],[Asp e Asw (cm²/m)]],ECF[[#This Row],[As,sup (cm²)]],ECF[[#This Row],[As,malha (cm²)]],ECF[[#This Row],[As,susp,tot (cm²)]],ECF[[#This Row],[Asp,face (cm²)]])</f>
        <v>173.77937499999999</v>
      </c>
      <c r="AZ197" s="4">
        <f ca="1">concretoBloco(ECF[[#This Row],[nE]],ECF[[#This Row],[e (cm)]],ECF[[#This Row],[a (cm)]],ECF[[#This Row],[h (cm)]])</f>
        <v>6.069</v>
      </c>
      <c r="BA197" s="5">
        <f ca="1">SUM(ECF[[#This Row],[Aço Est (kg)]],ECF[[#This Row],[Aço Bloco (kg)]])</f>
        <v>395.73289597611887</v>
      </c>
      <c r="BB197" s="4">
        <f>INDEX(composicoes[],MATCH(95580,composicoes[CÓDIGO],0),MATCH("CUSTO TOTAL",composicoes[#Headers],0))</f>
        <v>10.46</v>
      </c>
      <c r="BC197" s="4">
        <f ca="1">SUM(ECF[[#This Row],[Conc Est (m³)]],ECF[[#This Row],[Conc Bloco (m³)]])</f>
        <v>23.740458676442586</v>
      </c>
      <c r="BD197" s="4">
        <f>INDEX(composicoes[],MATCH(94966,composicoes[CÓDIGO],0),MATCH("CUSTO TOTAL",composicoes[#Headers],0))</f>
        <v>439.52</v>
      </c>
      <c r="BE197" s="38">
        <f ca="1">ECF[[#This Row],[Aço (kg)]]*ECF[[#This Row],[Aço (R$/kg)]]+ECF[[#This Row],[Conc (m³)]]*ECF[[#This Row],[Conc (R$/m³)]]</f>
        <v>14573.77248938025</v>
      </c>
      <c r="BF197" s="4" t="str">
        <f ca="1">IF(COUNTIF(ECF[#This Row],"N.S.")&gt;0,"lim.","OK")</f>
        <v>OK</v>
      </c>
      <c r="BG197" s="4" t="str">
        <f>IF(ECF[[#This Row],[Prof. (m)]]&lt;4,"lim.","OK")</f>
        <v>OK</v>
      </c>
      <c r="BH197" s="4" t="str">
        <f>IF(ECF[[#This Row],[Prof. (m)]]&gt;=8*ECF[[#This Row],[Ø (cm)]]/100,"OK","lim.")</f>
        <v>lim.</v>
      </c>
      <c r="BI197" s="4" t="str">
        <f>IF(AND(SPT!$F$3&lt;&gt;"",ECF[[#This Row],[Prof. (m)]]&gt;=SPT!$F$3-2),"lim.","OK")</f>
        <v>OK</v>
      </c>
      <c r="BJ197" s="4" t="str">
        <f ca="1">IF(ECF[[#This Row],[Verif. Biela]]="OK","OK","lim.")</f>
        <v>lim.</v>
      </c>
      <c r="BK197" s="4" t="str">
        <f ca="1">IF(COUNTA(ECF[[#This Row],[Nº Est.]:[Biela comp.]])=COUNTIF(ECF[[#This Row],[Nº Est.]:[Biela comp.]],"OK"),"OK","lim.")</f>
        <v>lim.</v>
      </c>
      <c r="BL197" s="4" t="str">
        <f ca="1">IF(ECF[[#This Row],[Controle]]="OK",ECF[[#This Row],[nE]]&amp;" Ø"&amp;ECF[[#This Row],[Ø (cm)]]&amp;"cm Prof. "&amp;ECF[[#This Row],[Prof. (m)]]&amp;" m","")</f>
        <v/>
      </c>
      <c r="BM197" s="4" t="str">
        <f ca="1">IF(ECF[[#This Row],[idDimensionamento]]="","",ECF[[#This Row],[idPilar]]&amp;ECF[[#This Row],[idDimensionamento]])</f>
        <v/>
      </c>
    </row>
    <row r="198" spans="2:65" x14ac:dyDescent="0.25">
      <c r="B198" s="12">
        <f>ROUNDUP((ROW(ECF[[#This Row],[idDiâmetro]])-ROW(ECF[[#Headers],[idDiâmetro]]))/(COUNT(SPT[Prof. (m)])*COUNT(PILARES[Pilar])),0)</f>
        <v>7</v>
      </c>
      <c r="C198" s="12">
        <f>IF(ECF[[#This Row],[idDiâmetro]]&lt;&gt;B197,1,IF(ECF[[#This Row],[Prof. (m)]]=0,C197+1,C197))</f>
        <v>2</v>
      </c>
      <c r="D198" s="1">
        <f>IFERROR(IF(D197=MAX(SPT[Prof. (m)]),0,D197+1),0)</f>
        <v>11</v>
      </c>
      <c r="E198" s="1">
        <f>INDEX(SPT[],MATCH(ECF[[#This Row],[Prof. (m)]],SPT[Prof. (m)],0),2)</f>
        <v>41</v>
      </c>
      <c r="F198" s="1" t="str">
        <f>INDEX(SPT[],MATCH(ECF[[#This Row],[Prof. (m)]],SPT[Prof. (m)],0),3)</f>
        <v>Areia siltosa</v>
      </c>
      <c r="G198" s="1">
        <f>INDEX(estacas[],ECF[[#This Row],[idDiâmetro]],MATCH($B$2,estacas[#Headers],0))</f>
        <v>150</v>
      </c>
      <c r="H198" s="1">
        <f>INDEX(estacas[],MATCH(ECF[[#This Row],[Ø (cm)]],estacas[Ø ECF (cm)],0),MATCH(ECF[[#Headers],[Pe ECF (kN)]],estacas[#Headers],0))</f>
        <v>7100</v>
      </c>
      <c r="I198" s="4">
        <f>INDEX(K_alpha_C[],MATCH(ECF[[#This Row],[Solo]],K_alpha_C[Solo],0),2)</f>
        <v>0.8</v>
      </c>
      <c r="J198" s="5">
        <f>INDEX(K_alpha_C[],MATCH(ECF[[#This Row],[Solo]],K_alpha_C[Solo],0),3)</f>
        <v>2</v>
      </c>
      <c r="K198" s="4">
        <f>INDEX(F1_F2[],MATCH($D$2,F1_F2[Tipo de estaca],0),2)</f>
        <v>3</v>
      </c>
      <c r="L198" s="4">
        <f>INDEX(F1_F2[],MATCH($D$2,F1_F2[Tipo de estaca],0),3)</f>
        <v>6</v>
      </c>
      <c r="M198" s="4">
        <f>PI()*(ECF[[#This Row],[Ø (cm)]]/100)^2/4</f>
        <v>1.7671458676442586</v>
      </c>
      <c r="N198" s="4">
        <f>PI()*ECF[[#This Row],[Ø (cm)]]/100</f>
        <v>4.7123889803846897</v>
      </c>
      <c r="O198" s="4">
        <f>IF(ECF[[#This Row],[Prof. (m)]]=0,0,ECF[[#This Row],[α (%)]]/100*ECF[[#This Row],[K (MPa)]]*1000*ECF[[#This Row],[NSPT]])</f>
        <v>656</v>
      </c>
      <c r="P198" s="4">
        <f>IF(ECF[[#This Row],[Prof. (m)]]=0,0,(ECF[[#This Row],[K (MPa)]]*1000*ECF[[#This Row],[NSPT]]/ECF[[#This Row],[F1]]*ECF[[#This Row],[Ap (m²)]]+ECF[[#This Row],[U (m)]]/ECF[[#This Row],[F2]]*SUMIFS(ECF[(α∙K∙NL∙ΔL)],ECF[Prof. (m)],"&lt;="&amp;ECF[[#This Row],[Prof. (m)]],ECF[idDiâmetro],ECF[[#This Row],[idDiâmetro]],ECF[idPilar],ECF[[#This Row],[idPilar]]))/'DADOS CAP. CARGA'!$D$2)</f>
        <v>10675.092566989948</v>
      </c>
      <c r="Q198" s="12">
        <f>INDEX(C_alpha_beta[],MATCH(ECF[[#This Row],[Solo]],C_alpha_beta[Solo],0),MATCH(ECF[[#Headers],[C (kPa)]],C_alpha_beta[#Headers],0))</f>
        <v>400</v>
      </c>
      <c r="R198" s="4">
        <f>INDEX(C_alpha_beta[],MATCH(ECF[[#This Row],[Solo]],C_alpha_beta[Solo],0),MATCH(ECF[[#Headers],[α ESF]],C_alpha_beta[#Headers],0))</f>
        <v>0.5</v>
      </c>
      <c r="S198" s="4">
        <f>INDEX(C_alpha_beta[],MATCH(ECF[[#This Row],[Solo]],C_alpha_beta[Solo],0),MATCH(ECF[[#Headers],[β ESF]],C_alpha_beta[#Headers],0))</f>
        <v>0.5</v>
      </c>
      <c r="T198" s="4">
        <f>IF(ECF[[#This Row],[Prof. (m)]]=0,0,10*(ECF[[#This Row],[NSPT]]/3+1))</f>
        <v>146.66666666666666</v>
      </c>
      <c r="U198" s="4">
        <f>(ECF[[#This Row],[α ESF]]*ECF[[#This Row],[C (kPa)]]*ECF[[#This Row],[NSPT]]*ECF[[#This Row],[Ap (m²)]])/'DADOS CAP. CARGA'!$Q$2+(ECF[[#This Row],[β ESF]]*SUMIFS(ECF[10∙(NL/3+1)],ECF[Prof. (m)],"&lt;="&amp;ECF[[#This Row],[Prof. (m)]],ECF[idDiâmetro],ECF[[#This Row],[idDiâmetro]],ECF[idPilar],ECF[[#This Row],[idPilar]])*ECF[[#This Row],[U (m)]])/'DADOS CAP. CARGA'!$S$2</f>
        <v>4423.7551553361272</v>
      </c>
      <c r="V198" s="4">
        <f>IF(SPT!$M$5=1,MIN(ECF[[#This Row],[Pe ECF (kN)]],ECF[[#This Row],[R_AV (kN)]]),IF(SPT!$M$5=2,MIN(ECF[[#This Row],[Pe ECF (kN)]],ECF[[#This Row],[R_DC (kN)]]),MIN(ECF[[#This Row],[Pe ECF (kN)]],ECF[[#This Row],[R_AV (kN)]],ECF[[#This Row],[R_DC (kN)]])))</f>
        <v>4423.7551553361272</v>
      </c>
      <c r="W198" s="4">
        <f>INDEX(PILARES[],ECF[[#This Row],[idPilar]],MATCH("Carga (kN)",PILARES[#Headers],0))*1.4</f>
        <v>1750</v>
      </c>
      <c r="X198" s="12">
        <f>INDEX(PILARES[],ECF[[#This Row],[idPilar]],MATCH(ECF[[#Headers],[ap (cm)]],PILARES[#Headers],0))</f>
        <v>50</v>
      </c>
      <c r="Y198" s="12">
        <f>INDEX(PILARES[],ECF[[#This Row],[idPilar]],MATCH(ECF[[#Headers],[bp (cm)]],PILARES[#Headers],0))</f>
        <v>40</v>
      </c>
      <c r="Z198" s="4">
        <f>SQRT(ECF[[#This Row],[ap (cm)]]*ECF[[#This Row],[bp (cm)]])</f>
        <v>44.721359549995796</v>
      </c>
      <c r="AA198" s="12">
        <f>ECF[[#This Row],[ap (cm)]]*ECF[[#This Row],[bp (cm)]]</f>
        <v>2000</v>
      </c>
      <c r="AB198" s="12">
        <f ca="1">IF(ECF[[#This Row],[Padm∙ε (kN)]]&gt;=ECF[[#This Row],[Padm (kN)]],ROUNDUP(1.05*ECF[[#This Row],[Nsd (kN)]]/ECF[[#This Row],[Padm (kN)]],0),ROUNDUP(1.05*ECF[[#This Row],[Nsd (kN)]]/ECF[[#This Row],[Padm (kN)]],0)+1)</f>
        <v>1</v>
      </c>
      <c r="AC198" s="4">
        <f ca="1">IFERROR(IF(ECF[[#This Row],[nE]]=1,ECF[[#This Row],[Padm (kN)]],ECF[[#This Row],[Padm (kN)]]*ECF[[#This Row],[nE]]*INDEX(grupoEstacas[],ECF[[#This Row],[nE]],MATCH("ε",grupoEstacas[#Headers],0))),"N.S.")</f>
        <v>4423.7551553361272</v>
      </c>
      <c r="AD198" s="4">
        <f ca="1">1.05*ECF[[#This Row],[Nsd (kN)]]/(ECF[[#This Row],[nE]]*PI()*ECF[[#This Row],[Ø (cm)]]^2/4)*10</f>
        <v>1.0398122948670494</v>
      </c>
      <c r="AE198" s="4">
        <f ca="1">IF(ECF[[#This Row],[σ (MPa)]]&lt;INDEX(tipoEstaca[],MATCH($D$2,tipoEstaca[TIPO DE ESTACA],0),MATCH("σmáx (MPa)",tipoEstaca[#Headers],0)),0.4%*PI()*ECF[[#This Row],[Ø (cm)]]^2/4,"N.S.")</f>
        <v>70.685834705770347</v>
      </c>
      <c r="AF198" s="1">
        <f>INDEX(tipoEstaca[],MATCH($D$2,tipoEstaca[TIPO DE ESTACA],0),MATCH(ECF[[#Headers],[Comprimento (m)]],tipoEstaca[#Headers],0))</f>
        <v>4</v>
      </c>
      <c r="AG198" s="5">
        <f ca="1">ECF[[#This Row],[As,mín (cm²)]]/100^2*ECF[[#This Row],[Comprimento (m)]]*7850</f>
        <v>221.95352097611888</v>
      </c>
      <c r="AH198" s="4">
        <f ca="1">ECF[[#This Row],[nE]]*ECF[[#This Row],[Prof. (m)]]*ECF[[#This Row],[Ap (m²)]]</f>
        <v>19.438604544086846</v>
      </c>
      <c r="AI198" s="1">
        <f ca="1">IF(ECF[[#This Row],[nE]]=1,0,MAX(3*ECF[[#This Row],[Ø (cm)]],60))</f>
        <v>0</v>
      </c>
      <c r="AJ198" s="1">
        <f ca="1">IF(ECF[[#This Row],[nE]]=1,ECF[[#This Row],[Ø (cm)]]+2*10,MAX(1.5*ECF[[#This Row],[Ø (cm)]],ECF[[#This Row],[Ø (cm)]]+15))</f>
        <v>170</v>
      </c>
      <c r="AK198" s="1">
        <f ca="1">alturaUtil(ECF[[#This Row],[nE]],ECF[[#This Row],[Ø (cm)]],ECF[[#This Row],[e (cm)]],ECF[[#This Row],[ap,eq (cm)]])</f>
        <v>180</v>
      </c>
      <c r="AL198" s="1">
        <f ca="1">IFERROR(ECF[[#This Row],[d (cm)]]+arredondarParaCimaMultiplo5cm(MAX(5,SQRT(PI())/2*ECF[[#This Row],[Ø (cm)]]/5)),"N.S.")</f>
        <v>210</v>
      </c>
      <c r="AM198" s="5">
        <f ca="1">alpha(ECF[[#This Row],[nE]],ECF[[#This Row],[d (cm)]],ECF[[#This Row],[e (cm)]],ECF[[#This Row],[ap,eq (cm)]])</f>
        <v>90</v>
      </c>
      <c r="AN198" s="35">
        <f ca="1">IFERROR(ECF[[#This Row],[Nsd (kN)]]/(ECF[[#This Row],[Ap (cm²)]]*SIN(ECF[[#This Row],[α]])^2),"N.S.")</f>
        <v>1.0948037013095111</v>
      </c>
      <c r="AO198" s="35">
        <f ca="1">IFERROR(ECF[[#This Row],[Nsd (kN)]]/(ECF[[#This Row],[nE]]*PI()*ECF[[#This Row],[Ø (cm)]]^2/4*SIN(ECF[[#This Row],[α]])^2),"N.S.")</f>
        <v>0.1239064325537505</v>
      </c>
      <c r="AP198" s="4">
        <f ca="1">IFERROR(INDEX(grupoEstacas[],ECF[[#This Row],[nE]],MATCH("coef. Blévot",grupoEstacas[#Headers],0)),"N.S.")</f>
        <v>1</v>
      </c>
      <c r="AQ198" s="35">
        <f ca="1">IFERROR(ECF[[#This Row],[coef. Blévot]]*0.9*INDEX(tipoEstaca[],MATCH($D$2,tipoEstaca[TIPO DE ESTACA],0),MATCH("fcd (kN/cm²)",tipoEstaca[#Headers],0)),"N.S.")</f>
        <v>1</v>
      </c>
      <c r="AR198" s="1" t="str">
        <f ca="1">IF(AND(ECF[[#This Row],[cd,b,pil (kN/cm²)]]&lt;=ECF[[#This Row],[cd,b,lim (kN/cm²)]],ECF[[#This Row],[cd,b,est (kN/cm²)]]&lt;=ECF[[#This Row],[cd,b,lim (kN/cm²)]]),"OK","ERRO")</f>
        <v>ERRO</v>
      </c>
      <c r="AS198" s="4">
        <f ca="1">As_lado(ECF[[#This Row],[nE]],ECF[[#This Row],[Nsd (kN)]],ECF[[#This Row],[d (cm)]],ECF[[#This Row],[e (cm)]],ECF[[#This Row],[ap,eq (cm)]])</f>
        <v>10.0625</v>
      </c>
      <c r="AT198" s="4">
        <f ca="1">IF(ECF[[#This Row],[nE]]=1,ECF[[#This Row],[As,lado (cm²)]],IF(ECF[[#This Row],[nE]]=2,0.075*2*ECF[a (cm)],"N.A."))</f>
        <v>10.0625</v>
      </c>
      <c r="AU198" s="4" t="str">
        <f ca="1">IFERROR(IF(ECF[[#This Row],[nE]]=1,"N.A.",0.2*ECF[[#This Row],[As,lado (cm²)]]),"N.S.")</f>
        <v>N.A.</v>
      </c>
      <c r="AV198" s="4" t="str">
        <f ca="1">As_malha(ECF[[#This Row],[nE]],ECF[[#This Row],[As,lado (cm²)]],ECF[[#This Row],[Nsd (kN)]])</f>
        <v>N.A.</v>
      </c>
      <c r="AW198" s="4" t="str">
        <f ca="1">As_susp_tot(ECF[[#This Row],[nE]],ECF[[#This Row],[Nsd (kN)]])</f>
        <v>N.A.</v>
      </c>
      <c r="AX198" s="4" t="str">
        <f ca="1">Asp_face(ECF[[#This Row],[nE]],ECF[[#This Row],[As,lado (cm²)]])</f>
        <v>N.A.</v>
      </c>
      <c r="AY198" s="5">
        <f ca="1">acoBloco(ECF[[#This Row],[nE]],ECF[[#This Row],[e (cm)]],ECF[[#This Row],[a (cm)]],ECF[[#This Row],[h (cm)]],ECF[[#This Row],[As,lado (cm²)]],ECF[[#This Row],[Asp e Asw (cm²/m)]],ECF[[#This Row],[As,sup (cm²)]],ECF[[#This Row],[As,malha (cm²)]],ECF[[#This Row],[As,susp,tot (cm²)]],ECF[[#This Row],[Asp,face (cm²)]])</f>
        <v>173.77937499999999</v>
      </c>
      <c r="AZ198" s="4">
        <f ca="1">concretoBloco(ECF[[#This Row],[nE]],ECF[[#This Row],[e (cm)]],ECF[[#This Row],[a (cm)]],ECF[[#This Row],[h (cm)]])</f>
        <v>6.069</v>
      </c>
      <c r="BA198" s="5">
        <f ca="1">SUM(ECF[[#This Row],[Aço Est (kg)]],ECF[[#This Row],[Aço Bloco (kg)]])</f>
        <v>395.73289597611887</v>
      </c>
      <c r="BB198" s="4">
        <f>INDEX(composicoes[],MATCH(95580,composicoes[CÓDIGO],0),MATCH("CUSTO TOTAL",composicoes[#Headers],0))</f>
        <v>10.46</v>
      </c>
      <c r="BC198" s="4">
        <f ca="1">SUM(ECF[[#This Row],[Conc Est (m³)]],ECF[[#This Row],[Conc Bloco (m³)]])</f>
        <v>25.507604544086846</v>
      </c>
      <c r="BD198" s="4">
        <f>INDEX(composicoes[],MATCH(94966,composicoes[CÓDIGO],0),MATCH("CUSTO TOTAL",composicoes[#Headers],0))</f>
        <v>439.52</v>
      </c>
      <c r="BE198" s="38">
        <f ca="1">ECF[[#This Row],[Aço (kg)]]*ECF[[#This Row],[Aço (R$/kg)]]+ECF[[#This Row],[Conc (m³)]]*ECF[[#This Row],[Conc (R$/m³)]]</f>
        <v>15350.468441127254</v>
      </c>
      <c r="BF198" s="4" t="str">
        <f ca="1">IF(COUNTIF(ECF[#This Row],"N.S.")&gt;0,"lim.","OK")</f>
        <v>OK</v>
      </c>
      <c r="BG198" s="4" t="str">
        <f>IF(ECF[[#This Row],[Prof. (m)]]&lt;4,"lim.","OK")</f>
        <v>OK</v>
      </c>
      <c r="BH198" s="4" t="str">
        <f>IF(ECF[[#This Row],[Prof. (m)]]&gt;=8*ECF[[#This Row],[Ø (cm)]]/100,"OK","lim.")</f>
        <v>lim.</v>
      </c>
      <c r="BI198" s="4" t="str">
        <f>IF(AND(SPT!$F$3&lt;&gt;"",ECF[[#This Row],[Prof. (m)]]&gt;=SPT!$F$3-2),"lim.","OK")</f>
        <v>OK</v>
      </c>
      <c r="BJ198" s="4" t="str">
        <f ca="1">IF(ECF[[#This Row],[Verif. Biela]]="OK","OK","lim.")</f>
        <v>lim.</v>
      </c>
      <c r="BK198" s="4" t="str">
        <f ca="1">IF(COUNTA(ECF[[#This Row],[Nº Est.]:[Biela comp.]])=COUNTIF(ECF[[#This Row],[Nº Est.]:[Biela comp.]],"OK"),"OK","lim.")</f>
        <v>lim.</v>
      </c>
      <c r="BL198" s="4" t="str">
        <f ca="1">IF(ECF[[#This Row],[Controle]]="OK",ECF[[#This Row],[nE]]&amp;" Ø"&amp;ECF[[#This Row],[Ø (cm)]]&amp;"cm Prof. "&amp;ECF[[#This Row],[Prof. (m)]]&amp;" m","")</f>
        <v/>
      </c>
      <c r="BM198" s="4" t="str">
        <f ca="1">IF(ECF[[#This Row],[idDimensionamento]]="","",ECF[[#This Row],[idPilar]]&amp;ECF[[#This Row],[idDimensionamento]])</f>
        <v/>
      </c>
    </row>
    <row r="199" spans="2:65" x14ac:dyDescent="0.25">
      <c r="B199" s="12">
        <f>ROUNDUP((ROW(ECF[[#This Row],[idDiâmetro]])-ROW(ECF[[#Headers],[idDiâmetro]]))/(COUNT(SPT[Prof. (m)])*COUNT(PILARES[Pilar])),0)</f>
        <v>7</v>
      </c>
      <c r="C199" s="12">
        <f>IF(ECF[[#This Row],[idDiâmetro]]&lt;&gt;B198,1,IF(ECF[[#This Row],[Prof. (m)]]=0,C198+1,C198))</f>
        <v>2</v>
      </c>
      <c r="D199" s="1">
        <f>IFERROR(IF(D198=MAX(SPT[Prof. (m)]),0,D198+1),0)</f>
        <v>12</v>
      </c>
      <c r="E199" s="1">
        <f>INDEX(SPT[],MATCH(ECF[[#This Row],[Prof. (m)]],SPT[Prof. (m)],0),2)</f>
        <v>52</v>
      </c>
      <c r="F199" s="1" t="str">
        <f>INDEX(SPT[],MATCH(ECF[[#This Row],[Prof. (m)]],SPT[Prof. (m)],0),3)</f>
        <v>Areia siltosa</v>
      </c>
      <c r="G199" s="1">
        <f>INDEX(estacas[],ECF[[#This Row],[idDiâmetro]],MATCH($B$2,estacas[#Headers],0))</f>
        <v>150</v>
      </c>
      <c r="H199" s="1">
        <f>INDEX(estacas[],MATCH(ECF[[#This Row],[Ø (cm)]],estacas[Ø ECF (cm)],0),MATCH(ECF[[#Headers],[Pe ECF (kN)]],estacas[#Headers],0))</f>
        <v>7100</v>
      </c>
      <c r="I199" s="4">
        <f>INDEX(K_alpha_C[],MATCH(ECF[[#This Row],[Solo]],K_alpha_C[Solo],0),2)</f>
        <v>0.8</v>
      </c>
      <c r="J199" s="5">
        <f>INDEX(K_alpha_C[],MATCH(ECF[[#This Row],[Solo]],K_alpha_C[Solo],0),3)</f>
        <v>2</v>
      </c>
      <c r="K199" s="4">
        <f>INDEX(F1_F2[],MATCH($D$2,F1_F2[Tipo de estaca],0),2)</f>
        <v>3</v>
      </c>
      <c r="L199" s="4">
        <f>INDEX(F1_F2[],MATCH($D$2,F1_F2[Tipo de estaca],0),3)</f>
        <v>6</v>
      </c>
      <c r="M199" s="4">
        <f>PI()*(ECF[[#This Row],[Ø (cm)]]/100)^2/4</f>
        <v>1.7671458676442586</v>
      </c>
      <c r="N199" s="4">
        <f>PI()*ECF[[#This Row],[Ø (cm)]]/100</f>
        <v>4.7123889803846897</v>
      </c>
      <c r="O199" s="4">
        <f>IF(ECF[[#This Row],[Prof. (m)]]=0,0,ECF[[#This Row],[α (%)]]/100*ECF[[#This Row],[K (MPa)]]*1000*ECF[[#This Row],[NSPT]])</f>
        <v>832</v>
      </c>
      <c r="P199" s="4">
        <f>IF(ECF[[#This Row],[Prof. (m)]]=0,0,(ECF[[#This Row],[K (MPa)]]*1000*ECF[[#This Row],[NSPT]]/ECF[[#This Row],[F1]]*ECF[[#This Row],[Ap (m²)]]+ECF[[#This Row],[U (m)]]/ECF[[#This Row],[F2]]*SUMIFS(ECF[(α∙K∙NL∙ΔL)],ECF[Prof. (m)],"&lt;="&amp;ECF[[#This Row],[Prof. (m)]],ECF[idDiâmetro],ECF[[#This Row],[idDiâmetro]],ECF[idPilar],ECF[[#This Row],[idPilar]]))/'DADOS CAP. CARGA'!$D$2)</f>
        <v>13593.632142174863</v>
      </c>
      <c r="Q199" s="12">
        <f>INDEX(C_alpha_beta[],MATCH(ECF[[#This Row],[Solo]],C_alpha_beta[Solo],0),MATCH(ECF[[#Headers],[C (kPa)]],C_alpha_beta[#Headers],0))</f>
        <v>400</v>
      </c>
      <c r="R199" s="4">
        <f>INDEX(C_alpha_beta[],MATCH(ECF[[#This Row],[Solo]],C_alpha_beta[Solo],0),MATCH(ECF[[#Headers],[α ESF]],C_alpha_beta[#Headers],0))</f>
        <v>0.5</v>
      </c>
      <c r="S199" s="4">
        <f>INDEX(C_alpha_beta[],MATCH(ECF[[#This Row],[Solo]],C_alpha_beta[Solo],0),MATCH(ECF[[#Headers],[β ESF]],C_alpha_beta[#Headers],0))</f>
        <v>0.5</v>
      </c>
      <c r="T199" s="4">
        <f>IF(ECF[[#This Row],[Prof. (m)]]=0,0,10*(ECF[[#This Row],[NSPT]]/3+1))</f>
        <v>183.33333333333331</v>
      </c>
      <c r="U199" s="4">
        <f>(ECF[[#This Row],[α ESF]]*ECF[[#This Row],[C (kPa)]]*ECF[[#This Row],[NSPT]]*ECF[[#This Row],[Ap (m²)]])/'DADOS CAP. CARGA'!$Q$2+(ECF[[#This Row],[β ESF]]*SUMIFS(ECF[10∙(NL/3+1)],ECF[Prof. (m)],"&lt;="&amp;ECF[[#This Row],[Prof. (m)]],ECF[idDiâmetro],ECF[[#This Row],[idDiâmetro]],ECF[idPilar],ECF[[#This Row],[idPilar]])*ECF[[#This Row],[U (m)]])/'DADOS CAP. CARGA'!$S$2</f>
        <v>5611.6698774747683</v>
      </c>
      <c r="V199" s="4">
        <f>IF(SPT!$M$5=1,MIN(ECF[[#This Row],[Pe ECF (kN)]],ECF[[#This Row],[R_AV (kN)]]),IF(SPT!$M$5=2,MIN(ECF[[#This Row],[Pe ECF (kN)]],ECF[[#This Row],[R_DC (kN)]]),MIN(ECF[[#This Row],[Pe ECF (kN)]],ECF[[#This Row],[R_AV (kN)]],ECF[[#This Row],[R_DC (kN)]])))</f>
        <v>5611.6698774747683</v>
      </c>
      <c r="W199" s="4">
        <f>INDEX(PILARES[],ECF[[#This Row],[idPilar]],MATCH("Carga (kN)",PILARES[#Headers],0))*1.4</f>
        <v>1750</v>
      </c>
      <c r="X199" s="12">
        <f>INDEX(PILARES[],ECF[[#This Row],[idPilar]],MATCH(ECF[[#Headers],[ap (cm)]],PILARES[#Headers],0))</f>
        <v>50</v>
      </c>
      <c r="Y199" s="12">
        <f>INDEX(PILARES[],ECF[[#This Row],[idPilar]],MATCH(ECF[[#Headers],[bp (cm)]],PILARES[#Headers],0))</f>
        <v>40</v>
      </c>
      <c r="Z199" s="4">
        <f>SQRT(ECF[[#This Row],[ap (cm)]]*ECF[[#This Row],[bp (cm)]])</f>
        <v>44.721359549995796</v>
      </c>
      <c r="AA199" s="12">
        <f>ECF[[#This Row],[ap (cm)]]*ECF[[#This Row],[bp (cm)]]</f>
        <v>2000</v>
      </c>
      <c r="AB199" s="12">
        <f ca="1">IF(ECF[[#This Row],[Padm∙ε (kN)]]&gt;=ECF[[#This Row],[Padm (kN)]],ROUNDUP(1.05*ECF[[#This Row],[Nsd (kN)]]/ECF[[#This Row],[Padm (kN)]],0),ROUNDUP(1.05*ECF[[#This Row],[Nsd (kN)]]/ECF[[#This Row],[Padm (kN)]],0)+1)</f>
        <v>1</v>
      </c>
      <c r="AC199" s="4">
        <f ca="1">IFERROR(IF(ECF[[#This Row],[nE]]=1,ECF[[#This Row],[Padm (kN)]],ECF[[#This Row],[Padm (kN)]]*ECF[[#This Row],[nE]]*INDEX(grupoEstacas[],ECF[[#This Row],[nE]],MATCH("ε",grupoEstacas[#Headers],0))),"N.S.")</f>
        <v>5611.6698774747683</v>
      </c>
      <c r="AD199" s="4">
        <f ca="1">1.05*ECF[[#This Row],[Nsd (kN)]]/(ECF[[#This Row],[nE]]*PI()*ECF[[#This Row],[Ø (cm)]]^2/4)*10</f>
        <v>1.0398122948670494</v>
      </c>
      <c r="AE199" s="4">
        <f ca="1">IF(ECF[[#This Row],[σ (MPa)]]&lt;INDEX(tipoEstaca[],MATCH($D$2,tipoEstaca[TIPO DE ESTACA],0),MATCH("σmáx (MPa)",tipoEstaca[#Headers],0)),0.4%*PI()*ECF[[#This Row],[Ø (cm)]]^2/4,"N.S.")</f>
        <v>70.685834705770347</v>
      </c>
      <c r="AF199" s="1">
        <f>INDEX(tipoEstaca[],MATCH($D$2,tipoEstaca[TIPO DE ESTACA],0),MATCH(ECF[[#Headers],[Comprimento (m)]],tipoEstaca[#Headers],0))</f>
        <v>4</v>
      </c>
      <c r="AG199" s="5">
        <f ca="1">ECF[[#This Row],[As,mín (cm²)]]/100^2*ECF[[#This Row],[Comprimento (m)]]*7850</f>
        <v>221.95352097611888</v>
      </c>
      <c r="AH199" s="4">
        <f ca="1">ECF[[#This Row],[nE]]*ECF[[#This Row],[Prof. (m)]]*ECF[[#This Row],[Ap (m²)]]</f>
        <v>21.205750411731103</v>
      </c>
      <c r="AI199" s="1">
        <f ca="1">IF(ECF[[#This Row],[nE]]=1,0,MAX(3*ECF[[#This Row],[Ø (cm)]],60))</f>
        <v>0</v>
      </c>
      <c r="AJ199" s="1">
        <f ca="1">IF(ECF[[#This Row],[nE]]=1,ECF[[#This Row],[Ø (cm)]]+2*10,MAX(1.5*ECF[[#This Row],[Ø (cm)]],ECF[[#This Row],[Ø (cm)]]+15))</f>
        <v>170</v>
      </c>
      <c r="AK199" s="1">
        <f ca="1">alturaUtil(ECF[[#This Row],[nE]],ECF[[#This Row],[Ø (cm)]],ECF[[#This Row],[e (cm)]],ECF[[#This Row],[ap,eq (cm)]])</f>
        <v>180</v>
      </c>
      <c r="AL199" s="1">
        <f ca="1">IFERROR(ECF[[#This Row],[d (cm)]]+arredondarParaCimaMultiplo5cm(MAX(5,SQRT(PI())/2*ECF[[#This Row],[Ø (cm)]]/5)),"N.S.")</f>
        <v>210</v>
      </c>
      <c r="AM199" s="5">
        <f ca="1">alpha(ECF[[#This Row],[nE]],ECF[[#This Row],[d (cm)]],ECF[[#This Row],[e (cm)]],ECF[[#This Row],[ap,eq (cm)]])</f>
        <v>90</v>
      </c>
      <c r="AN199" s="35">
        <f ca="1">IFERROR(ECF[[#This Row],[Nsd (kN)]]/(ECF[[#This Row],[Ap (cm²)]]*SIN(ECF[[#This Row],[α]])^2),"N.S.")</f>
        <v>1.0948037013095111</v>
      </c>
      <c r="AO199" s="35">
        <f ca="1">IFERROR(ECF[[#This Row],[Nsd (kN)]]/(ECF[[#This Row],[nE]]*PI()*ECF[[#This Row],[Ø (cm)]]^2/4*SIN(ECF[[#This Row],[α]])^2),"N.S.")</f>
        <v>0.1239064325537505</v>
      </c>
      <c r="AP199" s="4">
        <f ca="1">IFERROR(INDEX(grupoEstacas[],ECF[[#This Row],[nE]],MATCH("coef. Blévot",grupoEstacas[#Headers],0)),"N.S.")</f>
        <v>1</v>
      </c>
      <c r="AQ199" s="35">
        <f ca="1">IFERROR(ECF[[#This Row],[coef. Blévot]]*0.9*INDEX(tipoEstaca[],MATCH($D$2,tipoEstaca[TIPO DE ESTACA],0),MATCH("fcd (kN/cm²)",tipoEstaca[#Headers],0)),"N.S.")</f>
        <v>1</v>
      </c>
      <c r="AR199" s="1" t="str">
        <f ca="1">IF(AND(ECF[[#This Row],[cd,b,pil (kN/cm²)]]&lt;=ECF[[#This Row],[cd,b,lim (kN/cm²)]],ECF[[#This Row],[cd,b,est (kN/cm²)]]&lt;=ECF[[#This Row],[cd,b,lim (kN/cm²)]]),"OK","ERRO")</f>
        <v>ERRO</v>
      </c>
      <c r="AS199" s="4">
        <f ca="1">As_lado(ECF[[#This Row],[nE]],ECF[[#This Row],[Nsd (kN)]],ECF[[#This Row],[d (cm)]],ECF[[#This Row],[e (cm)]],ECF[[#This Row],[ap,eq (cm)]])</f>
        <v>10.0625</v>
      </c>
      <c r="AT199" s="4">
        <f ca="1">IF(ECF[[#This Row],[nE]]=1,ECF[[#This Row],[As,lado (cm²)]],IF(ECF[[#This Row],[nE]]=2,0.075*2*ECF[a (cm)],"N.A."))</f>
        <v>10.0625</v>
      </c>
      <c r="AU199" s="4" t="str">
        <f ca="1">IFERROR(IF(ECF[[#This Row],[nE]]=1,"N.A.",0.2*ECF[[#This Row],[As,lado (cm²)]]),"N.S.")</f>
        <v>N.A.</v>
      </c>
      <c r="AV199" s="4" t="str">
        <f ca="1">As_malha(ECF[[#This Row],[nE]],ECF[[#This Row],[As,lado (cm²)]],ECF[[#This Row],[Nsd (kN)]])</f>
        <v>N.A.</v>
      </c>
      <c r="AW199" s="4" t="str">
        <f ca="1">As_susp_tot(ECF[[#This Row],[nE]],ECF[[#This Row],[Nsd (kN)]])</f>
        <v>N.A.</v>
      </c>
      <c r="AX199" s="4" t="str">
        <f ca="1">Asp_face(ECF[[#This Row],[nE]],ECF[[#This Row],[As,lado (cm²)]])</f>
        <v>N.A.</v>
      </c>
      <c r="AY199" s="5">
        <f ca="1">acoBloco(ECF[[#This Row],[nE]],ECF[[#This Row],[e (cm)]],ECF[[#This Row],[a (cm)]],ECF[[#This Row],[h (cm)]],ECF[[#This Row],[As,lado (cm²)]],ECF[[#This Row],[Asp e Asw (cm²/m)]],ECF[[#This Row],[As,sup (cm²)]],ECF[[#This Row],[As,malha (cm²)]],ECF[[#This Row],[As,susp,tot (cm²)]],ECF[[#This Row],[Asp,face (cm²)]])</f>
        <v>173.77937499999999</v>
      </c>
      <c r="AZ199" s="4">
        <f ca="1">concretoBloco(ECF[[#This Row],[nE]],ECF[[#This Row],[e (cm)]],ECF[[#This Row],[a (cm)]],ECF[[#This Row],[h (cm)]])</f>
        <v>6.069</v>
      </c>
      <c r="BA199" s="5">
        <f ca="1">SUM(ECF[[#This Row],[Aço Est (kg)]],ECF[[#This Row],[Aço Bloco (kg)]])</f>
        <v>395.73289597611887</v>
      </c>
      <c r="BB199" s="4">
        <f>INDEX(composicoes[],MATCH(95580,composicoes[CÓDIGO],0),MATCH("CUSTO TOTAL",composicoes[#Headers],0))</f>
        <v>10.46</v>
      </c>
      <c r="BC199" s="4">
        <f ca="1">SUM(ECF[[#This Row],[Conc Est (m³)]],ECF[[#This Row],[Conc Bloco (m³)]])</f>
        <v>27.274750411731102</v>
      </c>
      <c r="BD199" s="4">
        <f>INDEX(composicoes[],MATCH(94966,composicoes[CÓDIGO],0),MATCH("CUSTO TOTAL",composicoes[#Headers],0))</f>
        <v>439.52</v>
      </c>
      <c r="BE199" s="38">
        <f ca="1">ECF[[#This Row],[Aço (kg)]]*ECF[[#This Row],[Aço (R$/kg)]]+ECF[[#This Row],[Conc (m³)]]*ECF[[#This Row],[Conc (R$/m³)]]</f>
        <v>16127.164392874258</v>
      </c>
      <c r="BF199" s="4" t="str">
        <f ca="1">IF(COUNTIF(ECF[#This Row],"N.S.")&gt;0,"lim.","OK")</f>
        <v>OK</v>
      </c>
      <c r="BG199" s="4" t="str">
        <f>IF(ECF[[#This Row],[Prof. (m)]]&lt;4,"lim.","OK")</f>
        <v>OK</v>
      </c>
      <c r="BH199" s="4" t="str">
        <f>IF(ECF[[#This Row],[Prof. (m)]]&gt;=8*ECF[[#This Row],[Ø (cm)]]/100,"OK","lim.")</f>
        <v>OK</v>
      </c>
      <c r="BI199" s="4" t="str">
        <f>IF(AND(SPT!$F$3&lt;&gt;"",ECF[[#This Row],[Prof. (m)]]&gt;=SPT!$F$3-2),"lim.","OK")</f>
        <v>OK</v>
      </c>
      <c r="BJ199" s="4" t="str">
        <f ca="1">IF(ECF[[#This Row],[Verif. Biela]]="OK","OK","lim.")</f>
        <v>lim.</v>
      </c>
      <c r="BK199" s="4" t="str">
        <f ca="1">IF(COUNTA(ECF[[#This Row],[Nº Est.]:[Biela comp.]])=COUNTIF(ECF[[#This Row],[Nº Est.]:[Biela comp.]],"OK"),"OK","lim.")</f>
        <v>lim.</v>
      </c>
      <c r="BL199" s="4" t="str">
        <f ca="1">IF(ECF[[#This Row],[Controle]]="OK",ECF[[#This Row],[nE]]&amp;" Ø"&amp;ECF[[#This Row],[Ø (cm)]]&amp;"cm Prof. "&amp;ECF[[#This Row],[Prof. (m)]]&amp;" m","")</f>
        <v/>
      </c>
      <c r="BM199" s="4" t="str">
        <f ca="1">IF(ECF[[#This Row],[idDimensionamento]]="","",ECF[[#This Row],[idPilar]]&amp;ECF[[#This Row],[idDimensionamento]])</f>
        <v/>
      </c>
    </row>
    <row r="200" spans="2:65" x14ac:dyDescent="0.25">
      <c r="B200" s="12">
        <f>ROUNDUP((ROW(ECF[[#This Row],[idDiâmetro]])-ROW(ECF[[#Headers],[idDiâmetro]]))/(COUNT(SPT[Prof. (m)])*COUNT(PILARES[Pilar])),0)</f>
        <v>7</v>
      </c>
      <c r="C200" s="12">
        <f>IF(ECF[[#This Row],[idDiâmetro]]&lt;&gt;B199,1,IF(ECF[[#This Row],[Prof. (m)]]=0,C199+1,C199))</f>
        <v>2</v>
      </c>
      <c r="D200" s="1">
        <f>IFERROR(IF(D199=MAX(SPT[Prof. (m)]),0,D199+1),0)</f>
        <v>13</v>
      </c>
      <c r="E200" s="1">
        <f>INDEX(SPT[],MATCH(ECF[[#This Row],[Prof. (m)]],SPT[Prof. (m)],0),2)</f>
        <v>68</v>
      </c>
      <c r="F200" s="1" t="str">
        <f>INDEX(SPT[],MATCH(ECF[[#This Row],[Prof. (m)]],SPT[Prof. (m)],0),3)</f>
        <v>Areia siltosa</v>
      </c>
      <c r="G200" s="1">
        <f>INDEX(estacas[],ECF[[#This Row],[idDiâmetro]],MATCH($B$2,estacas[#Headers],0))</f>
        <v>150</v>
      </c>
      <c r="H200" s="1">
        <f>INDEX(estacas[],MATCH(ECF[[#This Row],[Ø (cm)]],estacas[Ø ECF (cm)],0),MATCH(ECF[[#Headers],[Pe ECF (kN)]],estacas[#Headers],0))</f>
        <v>7100</v>
      </c>
      <c r="I200" s="4">
        <f>INDEX(K_alpha_C[],MATCH(ECF[[#This Row],[Solo]],K_alpha_C[Solo],0),2)</f>
        <v>0.8</v>
      </c>
      <c r="J200" s="5">
        <f>INDEX(K_alpha_C[],MATCH(ECF[[#This Row],[Solo]],K_alpha_C[Solo],0),3)</f>
        <v>2</v>
      </c>
      <c r="K200" s="4">
        <f>INDEX(F1_F2[],MATCH($D$2,F1_F2[Tipo de estaca],0),2)</f>
        <v>3</v>
      </c>
      <c r="L200" s="4">
        <f>INDEX(F1_F2[],MATCH($D$2,F1_F2[Tipo de estaca],0),3)</f>
        <v>6</v>
      </c>
      <c r="M200" s="4">
        <f>PI()*(ECF[[#This Row],[Ø (cm)]]/100)^2/4</f>
        <v>1.7671458676442586</v>
      </c>
      <c r="N200" s="4">
        <f>PI()*ECF[[#This Row],[Ø (cm)]]/100</f>
        <v>4.7123889803846897</v>
      </c>
      <c r="O200" s="4">
        <f>IF(ECF[[#This Row],[Prof. (m)]]=0,0,ECF[[#This Row],[α (%)]]/100*ECF[[#This Row],[K (MPa)]]*1000*ECF[[#This Row],[NSPT]])</f>
        <v>1088</v>
      </c>
      <c r="P200" s="4">
        <f>IF(ECF[[#This Row],[Prof. (m)]]=0,0,(ECF[[#This Row],[K (MPa)]]*1000*ECF[[#This Row],[NSPT]]/ECF[[#This Row],[F1]]*ECF[[#This Row],[Ap (m²)]]+ECF[[#This Row],[U (m)]]/ECF[[#This Row],[F2]]*SUMIFS(ECF[(α∙K∙NL∙ΔL)],ECF[Prof. (m)],"&lt;="&amp;ECF[[#This Row],[Prof. (m)]],ECF[idDiâmetro],ECF[[#This Row],[idDiâmetro]],ECF[idPilar],ECF[[#This Row],[idPilar]]))/'DADOS CAP. CARGA'!$D$2)</f>
        <v>17790.799927370826</v>
      </c>
      <c r="Q200" s="12">
        <f>INDEX(C_alpha_beta[],MATCH(ECF[[#This Row],[Solo]],C_alpha_beta[Solo],0),MATCH(ECF[[#Headers],[C (kPa)]],C_alpha_beta[#Headers],0))</f>
        <v>400</v>
      </c>
      <c r="R200" s="4">
        <f>INDEX(C_alpha_beta[],MATCH(ECF[[#This Row],[Solo]],C_alpha_beta[Solo],0),MATCH(ECF[[#Headers],[α ESF]],C_alpha_beta[#Headers],0))</f>
        <v>0.5</v>
      </c>
      <c r="S200" s="4">
        <f>INDEX(C_alpha_beta[],MATCH(ECF[[#This Row],[Solo]],C_alpha_beta[Solo],0),MATCH(ECF[[#Headers],[β ESF]],C_alpha_beta[#Headers],0))</f>
        <v>0.5</v>
      </c>
      <c r="T200" s="4">
        <f>IF(ECF[[#This Row],[Prof. (m)]]=0,0,10*(ECF[[#This Row],[NSPT]]/3+1))</f>
        <v>236.66666666666669</v>
      </c>
      <c r="U200" s="4">
        <f>(ECF[[#This Row],[α ESF]]*ECF[[#This Row],[C (kPa)]]*ECF[[#This Row],[NSPT]]*ECF[[#This Row],[Ap (m²)]])/'DADOS CAP. CARGA'!$Q$2+(ECF[[#This Row],[β ESF]]*SUMIFS(ECF[10∙(NL/3+1)],ECF[Prof. (m)],"&lt;="&amp;ECF[[#This Row],[Prof. (m)]],ECF[idDiâmetro],ECF[[#This Row],[idDiâmetro]],ECF[idPilar],ECF[[#This Row],[idPilar]])*ECF[[#This Row],[U (m)]])/'DADOS CAP. CARGA'!$S$2</f>
        <v>7304.2029195962687</v>
      </c>
      <c r="V200" s="4">
        <f>IF(SPT!$M$5=1,MIN(ECF[[#This Row],[Pe ECF (kN)]],ECF[[#This Row],[R_AV (kN)]]),IF(SPT!$M$5=2,MIN(ECF[[#This Row],[Pe ECF (kN)]],ECF[[#This Row],[R_DC (kN)]]),MIN(ECF[[#This Row],[Pe ECF (kN)]],ECF[[#This Row],[R_AV (kN)]],ECF[[#This Row],[R_DC (kN)]])))</f>
        <v>7100</v>
      </c>
      <c r="W200" s="4">
        <f>INDEX(PILARES[],ECF[[#This Row],[idPilar]],MATCH("Carga (kN)",PILARES[#Headers],0))*1.4</f>
        <v>1750</v>
      </c>
      <c r="X200" s="12">
        <f>INDEX(PILARES[],ECF[[#This Row],[idPilar]],MATCH(ECF[[#Headers],[ap (cm)]],PILARES[#Headers],0))</f>
        <v>50</v>
      </c>
      <c r="Y200" s="12">
        <f>INDEX(PILARES[],ECF[[#This Row],[idPilar]],MATCH(ECF[[#Headers],[bp (cm)]],PILARES[#Headers],0))</f>
        <v>40</v>
      </c>
      <c r="Z200" s="4">
        <f>SQRT(ECF[[#This Row],[ap (cm)]]*ECF[[#This Row],[bp (cm)]])</f>
        <v>44.721359549995796</v>
      </c>
      <c r="AA200" s="12">
        <f>ECF[[#This Row],[ap (cm)]]*ECF[[#This Row],[bp (cm)]]</f>
        <v>2000</v>
      </c>
      <c r="AB200" s="12">
        <f ca="1">IF(ECF[[#This Row],[Padm∙ε (kN)]]&gt;=ECF[[#This Row],[Padm (kN)]],ROUNDUP(1.05*ECF[[#This Row],[Nsd (kN)]]/ECF[[#This Row],[Padm (kN)]],0),ROUNDUP(1.05*ECF[[#This Row],[Nsd (kN)]]/ECF[[#This Row],[Padm (kN)]],0)+1)</f>
        <v>1</v>
      </c>
      <c r="AC200" s="4">
        <f ca="1">IFERROR(IF(ECF[[#This Row],[nE]]=1,ECF[[#This Row],[Padm (kN)]],ECF[[#This Row],[Padm (kN)]]*ECF[[#This Row],[nE]]*INDEX(grupoEstacas[],ECF[[#This Row],[nE]],MATCH("ε",grupoEstacas[#Headers],0))),"N.S.")</f>
        <v>7100</v>
      </c>
      <c r="AD200" s="4">
        <f ca="1">1.05*ECF[[#This Row],[Nsd (kN)]]/(ECF[[#This Row],[nE]]*PI()*ECF[[#This Row],[Ø (cm)]]^2/4)*10</f>
        <v>1.0398122948670494</v>
      </c>
      <c r="AE200" s="4">
        <f ca="1">IF(ECF[[#This Row],[σ (MPa)]]&lt;INDEX(tipoEstaca[],MATCH($D$2,tipoEstaca[TIPO DE ESTACA],0),MATCH("σmáx (MPa)",tipoEstaca[#Headers],0)),0.4%*PI()*ECF[[#This Row],[Ø (cm)]]^2/4,"N.S.")</f>
        <v>70.685834705770347</v>
      </c>
      <c r="AF200" s="1">
        <f>INDEX(tipoEstaca[],MATCH($D$2,tipoEstaca[TIPO DE ESTACA],0),MATCH(ECF[[#Headers],[Comprimento (m)]],tipoEstaca[#Headers],0))</f>
        <v>4</v>
      </c>
      <c r="AG200" s="5">
        <f ca="1">ECF[[#This Row],[As,mín (cm²)]]/100^2*ECF[[#This Row],[Comprimento (m)]]*7850</f>
        <v>221.95352097611888</v>
      </c>
      <c r="AH200" s="4">
        <f ca="1">ECF[[#This Row],[nE]]*ECF[[#This Row],[Prof. (m)]]*ECF[[#This Row],[Ap (m²)]]</f>
        <v>22.972896279375362</v>
      </c>
      <c r="AI200" s="1">
        <f ca="1">IF(ECF[[#This Row],[nE]]=1,0,MAX(3*ECF[[#This Row],[Ø (cm)]],60))</f>
        <v>0</v>
      </c>
      <c r="AJ200" s="1">
        <f ca="1">IF(ECF[[#This Row],[nE]]=1,ECF[[#This Row],[Ø (cm)]]+2*10,MAX(1.5*ECF[[#This Row],[Ø (cm)]],ECF[[#This Row],[Ø (cm)]]+15))</f>
        <v>170</v>
      </c>
      <c r="AK200" s="1">
        <f ca="1">alturaUtil(ECF[[#This Row],[nE]],ECF[[#This Row],[Ø (cm)]],ECF[[#This Row],[e (cm)]],ECF[[#This Row],[ap,eq (cm)]])</f>
        <v>180</v>
      </c>
      <c r="AL200" s="1">
        <f ca="1">IFERROR(ECF[[#This Row],[d (cm)]]+arredondarParaCimaMultiplo5cm(MAX(5,SQRT(PI())/2*ECF[[#This Row],[Ø (cm)]]/5)),"N.S.")</f>
        <v>210</v>
      </c>
      <c r="AM200" s="5">
        <f ca="1">alpha(ECF[[#This Row],[nE]],ECF[[#This Row],[d (cm)]],ECF[[#This Row],[e (cm)]],ECF[[#This Row],[ap,eq (cm)]])</f>
        <v>90</v>
      </c>
      <c r="AN200" s="35">
        <f ca="1">IFERROR(ECF[[#This Row],[Nsd (kN)]]/(ECF[[#This Row],[Ap (cm²)]]*SIN(ECF[[#This Row],[α]])^2),"N.S.")</f>
        <v>1.0948037013095111</v>
      </c>
      <c r="AO200" s="35">
        <f ca="1">IFERROR(ECF[[#This Row],[Nsd (kN)]]/(ECF[[#This Row],[nE]]*PI()*ECF[[#This Row],[Ø (cm)]]^2/4*SIN(ECF[[#This Row],[α]])^2),"N.S.")</f>
        <v>0.1239064325537505</v>
      </c>
      <c r="AP200" s="4">
        <f ca="1">IFERROR(INDEX(grupoEstacas[],ECF[[#This Row],[nE]],MATCH("coef. Blévot",grupoEstacas[#Headers],0)),"N.S.")</f>
        <v>1</v>
      </c>
      <c r="AQ200" s="35">
        <f ca="1">IFERROR(ECF[[#This Row],[coef. Blévot]]*0.9*INDEX(tipoEstaca[],MATCH($D$2,tipoEstaca[TIPO DE ESTACA],0),MATCH("fcd (kN/cm²)",tipoEstaca[#Headers],0)),"N.S.")</f>
        <v>1</v>
      </c>
      <c r="AR200" s="1" t="str">
        <f ca="1">IF(AND(ECF[[#This Row],[cd,b,pil (kN/cm²)]]&lt;=ECF[[#This Row],[cd,b,lim (kN/cm²)]],ECF[[#This Row],[cd,b,est (kN/cm²)]]&lt;=ECF[[#This Row],[cd,b,lim (kN/cm²)]]),"OK","ERRO")</f>
        <v>ERRO</v>
      </c>
      <c r="AS200" s="4">
        <f ca="1">As_lado(ECF[[#This Row],[nE]],ECF[[#This Row],[Nsd (kN)]],ECF[[#This Row],[d (cm)]],ECF[[#This Row],[e (cm)]],ECF[[#This Row],[ap,eq (cm)]])</f>
        <v>10.0625</v>
      </c>
      <c r="AT200" s="4">
        <f ca="1">IF(ECF[[#This Row],[nE]]=1,ECF[[#This Row],[As,lado (cm²)]],IF(ECF[[#This Row],[nE]]=2,0.075*2*ECF[a (cm)],"N.A."))</f>
        <v>10.0625</v>
      </c>
      <c r="AU200" s="4" t="str">
        <f ca="1">IFERROR(IF(ECF[[#This Row],[nE]]=1,"N.A.",0.2*ECF[[#This Row],[As,lado (cm²)]]),"N.S.")</f>
        <v>N.A.</v>
      </c>
      <c r="AV200" s="4" t="str">
        <f ca="1">As_malha(ECF[[#This Row],[nE]],ECF[[#This Row],[As,lado (cm²)]],ECF[[#This Row],[Nsd (kN)]])</f>
        <v>N.A.</v>
      </c>
      <c r="AW200" s="4" t="str">
        <f ca="1">As_susp_tot(ECF[[#This Row],[nE]],ECF[[#This Row],[Nsd (kN)]])</f>
        <v>N.A.</v>
      </c>
      <c r="AX200" s="4" t="str">
        <f ca="1">Asp_face(ECF[[#This Row],[nE]],ECF[[#This Row],[As,lado (cm²)]])</f>
        <v>N.A.</v>
      </c>
      <c r="AY200" s="5">
        <f ca="1">acoBloco(ECF[[#This Row],[nE]],ECF[[#This Row],[e (cm)]],ECF[[#This Row],[a (cm)]],ECF[[#This Row],[h (cm)]],ECF[[#This Row],[As,lado (cm²)]],ECF[[#This Row],[Asp e Asw (cm²/m)]],ECF[[#This Row],[As,sup (cm²)]],ECF[[#This Row],[As,malha (cm²)]],ECF[[#This Row],[As,susp,tot (cm²)]],ECF[[#This Row],[Asp,face (cm²)]])</f>
        <v>173.77937499999999</v>
      </c>
      <c r="AZ200" s="4">
        <f ca="1">concretoBloco(ECF[[#This Row],[nE]],ECF[[#This Row],[e (cm)]],ECF[[#This Row],[a (cm)]],ECF[[#This Row],[h (cm)]])</f>
        <v>6.069</v>
      </c>
      <c r="BA200" s="5">
        <f ca="1">SUM(ECF[[#This Row],[Aço Est (kg)]],ECF[[#This Row],[Aço Bloco (kg)]])</f>
        <v>395.73289597611887</v>
      </c>
      <c r="BB200" s="4">
        <f>INDEX(composicoes[],MATCH(95580,composicoes[CÓDIGO],0),MATCH("CUSTO TOTAL",composicoes[#Headers],0))</f>
        <v>10.46</v>
      </c>
      <c r="BC200" s="4">
        <f ca="1">SUM(ECF[[#This Row],[Conc Est (m³)]],ECF[[#This Row],[Conc Bloco (m³)]])</f>
        <v>29.041896279375361</v>
      </c>
      <c r="BD200" s="4">
        <f>INDEX(composicoes[],MATCH(94966,composicoes[CÓDIGO],0),MATCH("CUSTO TOTAL",composicoes[#Headers],0))</f>
        <v>439.52</v>
      </c>
      <c r="BE200" s="38">
        <f ca="1">ECF[[#This Row],[Aço (kg)]]*ECF[[#This Row],[Aço (R$/kg)]]+ECF[[#This Row],[Conc (m³)]]*ECF[[#This Row],[Conc (R$/m³)]]</f>
        <v>16903.860344621262</v>
      </c>
      <c r="BF200" s="4" t="str">
        <f ca="1">IF(COUNTIF(ECF[#This Row],"N.S.")&gt;0,"lim.","OK")</f>
        <v>OK</v>
      </c>
      <c r="BG200" s="4" t="str">
        <f>IF(ECF[[#This Row],[Prof. (m)]]&lt;4,"lim.","OK")</f>
        <v>OK</v>
      </c>
      <c r="BH200" s="4" t="str">
        <f>IF(ECF[[#This Row],[Prof. (m)]]&gt;=8*ECF[[#This Row],[Ø (cm)]]/100,"OK","lim.")</f>
        <v>OK</v>
      </c>
      <c r="BI200" s="4" t="str">
        <f>IF(AND(SPT!$F$3&lt;&gt;"",ECF[[#This Row],[Prof. (m)]]&gt;=SPT!$F$3-2),"lim.","OK")</f>
        <v>OK</v>
      </c>
      <c r="BJ200" s="4" t="str">
        <f ca="1">IF(ECF[[#This Row],[Verif. Biela]]="OK","OK","lim.")</f>
        <v>lim.</v>
      </c>
      <c r="BK200" s="4" t="str">
        <f ca="1">IF(COUNTA(ECF[[#This Row],[Nº Est.]:[Biela comp.]])=COUNTIF(ECF[[#This Row],[Nº Est.]:[Biela comp.]],"OK"),"OK","lim.")</f>
        <v>lim.</v>
      </c>
      <c r="BL200" s="4" t="str">
        <f ca="1">IF(ECF[[#This Row],[Controle]]="OK",ECF[[#This Row],[nE]]&amp;" Ø"&amp;ECF[[#This Row],[Ø (cm)]]&amp;"cm Prof. "&amp;ECF[[#This Row],[Prof. (m)]]&amp;" m","")</f>
        <v/>
      </c>
      <c r="BM200" s="4" t="str">
        <f ca="1">IF(ECF[[#This Row],[idDimensionamento]]="","",ECF[[#This Row],[idPilar]]&amp;ECF[[#This Row],[idDimensionamento]])</f>
        <v/>
      </c>
    </row>
    <row r="201" spans="2:65" x14ac:dyDescent="0.25">
      <c r="B201" s="12">
        <f>ROUNDUP((ROW(ECF[[#This Row],[idDiâmetro]])-ROW(ECF[[#Headers],[idDiâmetro]]))/(COUNT(SPT[Prof. (m)])*COUNT(PILARES[Pilar])),0)</f>
        <v>8</v>
      </c>
      <c r="C201" s="12">
        <f>IF(ECF[[#This Row],[idDiâmetro]]&lt;&gt;B200,1,IF(ECF[[#This Row],[Prof. (m)]]=0,C200+1,C200))</f>
        <v>1</v>
      </c>
      <c r="D201" s="1">
        <f>IFERROR(IF(D200=MAX(SPT[Prof. (m)]),0,D200+1),0)</f>
        <v>0</v>
      </c>
      <c r="E201" s="1">
        <f>INDEX(SPT[],MATCH(ECF[[#This Row],[Prof. (m)]],SPT[Prof. (m)],0),2)</f>
        <v>0</v>
      </c>
      <c r="F201" s="1" t="str">
        <f>INDEX(SPT[],MATCH(ECF[[#This Row],[Prof. (m)]],SPT[Prof. (m)],0),3)</f>
        <v>Areia siltosa</v>
      </c>
      <c r="G201" s="1">
        <f>INDEX(estacas[],ECF[[#This Row],[idDiâmetro]],MATCH($B$2,estacas[#Headers],0))</f>
        <v>160</v>
      </c>
      <c r="H201" s="1">
        <f>INDEX(estacas[],MATCH(ECF[[#This Row],[Ø (cm)]],estacas[Ø ECF (cm)],0),MATCH(ECF[[#Headers],[Pe ECF (kN)]],estacas[#Headers],0))</f>
        <v>8200</v>
      </c>
      <c r="I201" s="4">
        <f>INDEX(K_alpha_C[],MATCH(ECF[[#This Row],[Solo]],K_alpha_C[Solo],0),2)</f>
        <v>0.8</v>
      </c>
      <c r="J201" s="5">
        <f>INDEX(K_alpha_C[],MATCH(ECF[[#This Row],[Solo]],K_alpha_C[Solo],0),3)</f>
        <v>2</v>
      </c>
      <c r="K201" s="4">
        <f>INDEX(F1_F2[],MATCH($D$2,F1_F2[Tipo de estaca],0),2)</f>
        <v>3</v>
      </c>
      <c r="L201" s="4">
        <f>INDEX(F1_F2[],MATCH($D$2,F1_F2[Tipo de estaca],0),3)</f>
        <v>6</v>
      </c>
      <c r="M201" s="4">
        <f>PI()*(ECF[[#This Row],[Ø (cm)]]/100)^2/4</f>
        <v>2.0106192982974678</v>
      </c>
      <c r="N201" s="4">
        <f>PI()*ECF[[#This Row],[Ø (cm)]]/100</f>
        <v>5.026548245743669</v>
      </c>
      <c r="O201" s="4">
        <f>IF(ECF[[#This Row],[Prof. (m)]]=0,0,ECF[[#This Row],[α (%)]]/100*ECF[[#This Row],[K (MPa)]]*1000*ECF[[#This Row],[NSPT]])</f>
        <v>0</v>
      </c>
      <c r="P201" s="4">
        <f>IF(ECF[[#This Row],[Prof. (m)]]=0,0,(ECF[[#This Row],[K (MPa)]]*1000*ECF[[#This Row],[NSPT]]/ECF[[#This Row],[F1]]*ECF[[#This Row],[Ap (m²)]]+ECF[[#This Row],[U (m)]]/ECF[[#This Row],[F2]]*SUMIFS(ECF[(α∙K∙NL∙ΔL)],ECF[Prof. (m)],"&lt;="&amp;ECF[[#This Row],[Prof. (m)]],ECF[idDiâmetro],ECF[[#This Row],[idDiâmetro]],ECF[idPilar],ECF[[#This Row],[idPilar]]))/'DADOS CAP. CARGA'!$D$2)</f>
        <v>0</v>
      </c>
      <c r="Q201" s="12">
        <f>INDEX(C_alpha_beta[],MATCH(ECF[[#This Row],[Solo]],C_alpha_beta[Solo],0),MATCH(ECF[[#Headers],[C (kPa)]],C_alpha_beta[#Headers],0))</f>
        <v>400</v>
      </c>
      <c r="R201" s="4">
        <f>INDEX(C_alpha_beta[],MATCH(ECF[[#This Row],[Solo]],C_alpha_beta[Solo],0),MATCH(ECF[[#Headers],[α ESF]],C_alpha_beta[#Headers],0))</f>
        <v>0.5</v>
      </c>
      <c r="S201" s="4">
        <f>INDEX(C_alpha_beta[],MATCH(ECF[[#This Row],[Solo]],C_alpha_beta[Solo],0),MATCH(ECF[[#Headers],[β ESF]],C_alpha_beta[#Headers],0))</f>
        <v>0.5</v>
      </c>
      <c r="T201" s="4">
        <f>IF(ECF[[#This Row],[Prof. (m)]]=0,0,10*(ECF[[#This Row],[NSPT]]/3+1))</f>
        <v>0</v>
      </c>
      <c r="U201" s="4">
        <f>(ECF[[#This Row],[α ESF]]*ECF[[#This Row],[C (kPa)]]*ECF[[#This Row],[NSPT]]*ECF[[#This Row],[Ap (m²)]])/'DADOS CAP. CARGA'!$Q$2+(ECF[[#This Row],[β ESF]]*SUMIFS(ECF[10∙(NL/3+1)],ECF[Prof. (m)],"&lt;="&amp;ECF[[#This Row],[Prof. (m)]],ECF[idDiâmetro],ECF[[#This Row],[idDiâmetro]],ECF[idPilar],ECF[[#This Row],[idPilar]])*ECF[[#This Row],[U (m)]])/'DADOS CAP. CARGA'!$S$2</f>
        <v>0</v>
      </c>
      <c r="V201" s="4">
        <f>IF(SPT!$M$5=1,MIN(ECF[[#This Row],[Pe ECF (kN)]],ECF[[#This Row],[R_AV (kN)]]),IF(SPT!$M$5=2,MIN(ECF[[#This Row],[Pe ECF (kN)]],ECF[[#This Row],[R_DC (kN)]]),MIN(ECF[[#This Row],[Pe ECF (kN)]],ECF[[#This Row],[R_AV (kN)]],ECF[[#This Row],[R_DC (kN)]])))</f>
        <v>0</v>
      </c>
      <c r="W201" s="4">
        <f>INDEX(PILARES[],ECF[[#This Row],[idPilar]],MATCH("Carga (kN)",PILARES[#Headers],0))*1.4</f>
        <v>3500</v>
      </c>
      <c r="X201" s="12">
        <f>INDEX(PILARES[],ECF[[#This Row],[idPilar]],MATCH(ECF[[#Headers],[ap (cm)]],PILARES[#Headers],0))</f>
        <v>60</v>
      </c>
      <c r="Y201" s="12">
        <f>INDEX(PILARES[],ECF[[#This Row],[idPilar]],MATCH(ECF[[#Headers],[bp (cm)]],PILARES[#Headers],0))</f>
        <v>60</v>
      </c>
      <c r="Z201" s="4">
        <f>SQRT(ECF[[#This Row],[ap (cm)]]*ECF[[#This Row],[bp (cm)]])</f>
        <v>60</v>
      </c>
      <c r="AA201" s="12">
        <f>ECF[[#This Row],[ap (cm)]]*ECF[[#This Row],[bp (cm)]]</f>
        <v>3600</v>
      </c>
      <c r="AB201" s="12" t="e">
        <f ca="1">IF(ECF[[#This Row],[Padm∙ε (kN)]]&gt;=ECF[[#This Row],[Padm (kN)]],ROUNDUP(1.05*ECF[[#This Row],[Nsd (kN)]]/ECF[[#This Row],[Padm (kN)]],0),ROUNDUP(1.05*ECF[[#This Row],[Nsd (kN)]]/ECF[[#This Row],[Padm (kN)]],0)+1)</f>
        <v>#DIV/0!</v>
      </c>
      <c r="AC201" s="4" t="str">
        <f ca="1">IFERROR(IF(ECF[[#This Row],[nE]]=1,ECF[[#This Row],[Padm (kN)]],ECF[[#This Row],[Padm (kN)]]*ECF[[#This Row],[nE]]*INDEX(grupoEstacas[],ECF[[#This Row],[nE]],MATCH("ε",grupoEstacas[#Headers],0))),"N.S.")</f>
        <v>N.S.</v>
      </c>
      <c r="AD201" s="4" t="e">
        <f ca="1">1.05*ECF[[#This Row],[Nsd (kN)]]/(ECF[[#This Row],[nE]]*PI()*ECF[[#This Row],[Ø (cm)]]^2/4)*10</f>
        <v>#DIV/0!</v>
      </c>
      <c r="AE201" s="4" t="e">
        <f ca="1">IF(ECF[[#This Row],[σ (MPa)]]&lt;INDEX(tipoEstaca[],MATCH($D$2,tipoEstaca[TIPO DE ESTACA],0),MATCH("σmáx (MPa)",tipoEstaca[#Headers],0)),0.4%*PI()*ECF[[#This Row],[Ø (cm)]]^2/4,"N.S.")</f>
        <v>#DIV/0!</v>
      </c>
      <c r="AF201" s="1">
        <f>INDEX(tipoEstaca[],MATCH($D$2,tipoEstaca[TIPO DE ESTACA],0),MATCH(ECF[[#Headers],[Comprimento (m)]],tipoEstaca[#Headers],0))</f>
        <v>4</v>
      </c>
      <c r="AG201" s="5" t="e">
        <f ca="1">ECF[[#This Row],[As,mín (cm²)]]/100^2*ECF[[#This Row],[Comprimento (m)]]*7850</f>
        <v>#DIV/0!</v>
      </c>
      <c r="AH201" s="4" t="e">
        <f ca="1">ECF[[#This Row],[nE]]*ECF[[#This Row],[Prof. (m)]]*ECF[[#This Row],[Ap (m²)]]</f>
        <v>#DIV/0!</v>
      </c>
      <c r="AI201" s="1" t="e">
        <f ca="1">IF(ECF[[#This Row],[nE]]=1,0,MAX(3*ECF[[#This Row],[Ø (cm)]],60))</f>
        <v>#DIV/0!</v>
      </c>
      <c r="AJ201" s="1" t="e">
        <f ca="1">IF(ECF[[#This Row],[nE]]=1,ECF[[#This Row],[Ø (cm)]]+2*10,MAX(1.5*ECF[[#This Row],[Ø (cm)]],ECF[[#This Row],[Ø (cm)]]+15))</f>
        <v>#DIV/0!</v>
      </c>
      <c r="AK201" s="1" t="e">
        <f ca="1">alturaUtil(ECF[[#This Row],[nE]],ECF[[#This Row],[Ø (cm)]],ECF[[#This Row],[e (cm)]],ECF[[#This Row],[ap,eq (cm)]])</f>
        <v>#VALUE!</v>
      </c>
      <c r="AL201" s="1" t="str">
        <f ca="1">IFERROR(ECF[[#This Row],[d (cm)]]+arredondarParaCimaMultiplo5cm(MAX(5,SQRT(PI())/2*ECF[[#This Row],[Ø (cm)]]/5)),"N.S.")</f>
        <v>N.S.</v>
      </c>
      <c r="AM201" s="5" t="e">
        <f ca="1">alpha(ECF[[#This Row],[nE]],ECF[[#This Row],[d (cm)]],ECF[[#This Row],[e (cm)]],ECF[[#This Row],[ap,eq (cm)]])</f>
        <v>#VALUE!</v>
      </c>
      <c r="AN201" s="35" t="str">
        <f ca="1">IFERROR(ECF[[#This Row],[Nsd (kN)]]/(ECF[[#This Row],[Ap (cm²)]]*SIN(ECF[[#This Row],[α]])^2),"N.S.")</f>
        <v>N.S.</v>
      </c>
      <c r="AO201" s="35" t="str">
        <f ca="1">IFERROR(ECF[[#This Row],[Nsd (kN)]]/(ECF[[#This Row],[nE]]*PI()*ECF[[#This Row],[Ø (cm)]]^2/4*SIN(ECF[[#This Row],[α]])^2),"N.S.")</f>
        <v>N.S.</v>
      </c>
      <c r="AP201" s="4" t="str">
        <f ca="1">IFERROR(INDEX(grupoEstacas[],ECF[[#This Row],[nE]],MATCH("coef. Blévot",grupoEstacas[#Headers],0)),"N.S.")</f>
        <v>N.S.</v>
      </c>
      <c r="AQ201" s="35" t="str">
        <f ca="1">IFERROR(ECF[[#This Row],[coef. Blévot]]*0.9*INDEX(tipoEstaca[],MATCH($D$2,tipoEstaca[TIPO DE ESTACA],0),MATCH("fcd (kN/cm²)",tipoEstaca[#Headers],0)),"N.S.")</f>
        <v>N.S.</v>
      </c>
      <c r="AR201" s="1" t="str">
        <f ca="1">IF(AND(ECF[[#This Row],[cd,b,pil (kN/cm²)]]&lt;=ECF[[#This Row],[cd,b,lim (kN/cm²)]],ECF[[#This Row],[cd,b,est (kN/cm²)]]&lt;=ECF[[#This Row],[cd,b,lim (kN/cm²)]]),"OK","ERRO")</f>
        <v>OK</v>
      </c>
      <c r="AS201" s="4" t="e">
        <f ca="1">As_lado(ECF[[#This Row],[nE]],ECF[[#This Row],[Nsd (kN)]],ECF[[#This Row],[d (cm)]],ECF[[#This Row],[e (cm)]],ECF[[#This Row],[ap,eq (cm)]])</f>
        <v>#VALUE!</v>
      </c>
      <c r="AT201" s="4" t="e">
        <f ca="1">IF(ECF[[#This Row],[nE]]=1,ECF[[#This Row],[As,lado (cm²)]],IF(ECF[[#This Row],[nE]]=2,0.075*2*ECF[a (cm)],"N.A."))</f>
        <v>#DIV/0!</v>
      </c>
      <c r="AU201" s="4" t="str">
        <f ca="1">IFERROR(IF(ECF[[#This Row],[nE]]=1,"N.A.",0.2*ECF[[#This Row],[As,lado (cm²)]]),"N.S.")</f>
        <v>N.S.</v>
      </c>
      <c r="AV201" s="4" t="e">
        <f ca="1">As_malha(ECF[[#This Row],[nE]],ECF[[#This Row],[As,lado (cm²)]],ECF[[#This Row],[Nsd (kN)]])</f>
        <v>#VALUE!</v>
      </c>
      <c r="AW201" s="4" t="e">
        <f ca="1">As_susp_tot(ECF[[#This Row],[nE]],ECF[[#This Row],[Nsd (kN)]])</f>
        <v>#VALUE!</v>
      </c>
      <c r="AX201" s="4" t="e">
        <f ca="1">Asp_face(ECF[[#This Row],[nE]],ECF[[#This Row],[As,lado (cm²)]])</f>
        <v>#VALUE!</v>
      </c>
      <c r="AY201" s="5" t="e">
        <f ca="1">acoBloco(ECF[[#This Row],[nE]],ECF[[#This Row],[e (cm)]],ECF[[#This Row],[a (cm)]],ECF[[#This Row],[h (cm)]],ECF[[#This Row],[As,lado (cm²)]],ECF[[#This Row],[Asp e Asw (cm²/m)]],ECF[[#This Row],[As,sup (cm²)]],ECF[[#This Row],[As,malha (cm²)]],ECF[[#This Row],[As,susp,tot (cm²)]],ECF[[#This Row],[Asp,face (cm²)]])</f>
        <v>#VALUE!</v>
      </c>
      <c r="AZ201" s="4" t="e">
        <f ca="1">concretoBloco(ECF[[#This Row],[nE]],ECF[[#This Row],[e (cm)]],ECF[[#This Row],[a (cm)]],ECF[[#This Row],[h (cm)]])</f>
        <v>#VALUE!</v>
      </c>
      <c r="BA201" s="5" t="e">
        <f ca="1">SUM(ECF[[#This Row],[Aço Est (kg)]],ECF[[#This Row],[Aço Bloco (kg)]])</f>
        <v>#DIV/0!</v>
      </c>
      <c r="BB201" s="4">
        <f>INDEX(composicoes[],MATCH(95580,composicoes[CÓDIGO],0),MATCH("CUSTO TOTAL",composicoes[#Headers],0))</f>
        <v>10.46</v>
      </c>
      <c r="BC201" s="4" t="e">
        <f ca="1">SUM(ECF[[#This Row],[Conc Est (m³)]],ECF[[#This Row],[Conc Bloco (m³)]])</f>
        <v>#DIV/0!</v>
      </c>
      <c r="BD201" s="4">
        <f>INDEX(composicoes[],MATCH(94966,composicoes[CÓDIGO],0),MATCH("CUSTO TOTAL",composicoes[#Headers],0))</f>
        <v>439.52</v>
      </c>
      <c r="BE201" s="38" t="e">
        <f ca="1">ECF[[#This Row],[Aço (kg)]]*ECF[[#This Row],[Aço (R$/kg)]]+ECF[[#This Row],[Conc (m³)]]*ECF[[#This Row],[Conc (R$/m³)]]</f>
        <v>#DIV/0!</v>
      </c>
      <c r="BF201" s="4" t="str">
        <f ca="1">IF(COUNTIF(ECF[#This Row],"N.S.")&gt;0,"lim.","OK")</f>
        <v>lim.</v>
      </c>
      <c r="BG201" s="4" t="str">
        <f>IF(ECF[[#This Row],[Prof. (m)]]&lt;4,"lim.","OK")</f>
        <v>lim.</v>
      </c>
      <c r="BH201" s="4" t="str">
        <f>IF(ECF[[#This Row],[Prof. (m)]]&gt;=8*ECF[[#This Row],[Ø (cm)]]/100,"OK","lim.")</f>
        <v>lim.</v>
      </c>
      <c r="BI201" s="4" t="str">
        <f>IF(AND(SPT!$F$3&lt;&gt;"",ECF[[#This Row],[Prof. (m)]]&gt;=SPT!$F$3-2),"lim.","OK")</f>
        <v>OK</v>
      </c>
      <c r="BJ201" s="4" t="str">
        <f ca="1">IF(ECF[[#This Row],[Verif. Biela]]="OK","OK","lim.")</f>
        <v>OK</v>
      </c>
      <c r="BK201" s="4" t="str">
        <f ca="1">IF(COUNTA(ECF[[#This Row],[Nº Est.]:[Biela comp.]])=COUNTIF(ECF[[#This Row],[Nº Est.]:[Biela comp.]],"OK"),"OK","lim.")</f>
        <v>lim.</v>
      </c>
      <c r="BL201" s="4" t="str">
        <f ca="1">IF(ECF[[#This Row],[Controle]]="OK",ECF[[#This Row],[nE]]&amp;" Ø"&amp;ECF[[#This Row],[Ø (cm)]]&amp;"cm Prof. "&amp;ECF[[#This Row],[Prof. (m)]]&amp;" m","")</f>
        <v/>
      </c>
      <c r="BM201" s="4" t="str">
        <f ca="1">IF(ECF[[#This Row],[idDimensionamento]]="","",ECF[[#This Row],[idPilar]]&amp;ECF[[#This Row],[idDimensionamento]])</f>
        <v/>
      </c>
    </row>
    <row r="202" spans="2:65" x14ac:dyDescent="0.25">
      <c r="B202" s="12">
        <f>ROUNDUP((ROW(ECF[[#This Row],[idDiâmetro]])-ROW(ECF[[#Headers],[idDiâmetro]]))/(COUNT(SPT[Prof. (m)])*COUNT(PILARES[Pilar])),0)</f>
        <v>8</v>
      </c>
      <c r="C202" s="12">
        <f>IF(ECF[[#This Row],[idDiâmetro]]&lt;&gt;B201,1,IF(ECF[[#This Row],[Prof. (m)]]=0,C201+1,C201))</f>
        <v>1</v>
      </c>
      <c r="D202" s="1">
        <f>IFERROR(IF(D201=MAX(SPT[Prof. (m)]),0,D201+1),0)</f>
        <v>1</v>
      </c>
      <c r="E202" s="1">
        <f>INDEX(SPT[],MATCH(ECF[[#This Row],[Prof. (m)]],SPT[Prof. (m)],0),2)</f>
        <v>2</v>
      </c>
      <c r="F202" s="1" t="str">
        <f>INDEX(SPT[],MATCH(ECF[[#This Row],[Prof. (m)]],SPT[Prof. (m)],0),3)</f>
        <v>Areia siltosa</v>
      </c>
      <c r="G202" s="1">
        <f>INDEX(estacas[],ECF[[#This Row],[idDiâmetro]],MATCH($B$2,estacas[#Headers],0))</f>
        <v>160</v>
      </c>
      <c r="H202" s="1">
        <f>INDEX(estacas[],MATCH(ECF[[#This Row],[Ø (cm)]],estacas[Ø ECF (cm)],0),MATCH(ECF[[#Headers],[Pe ECF (kN)]],estacas[#Headers],0))</f>
        <v>8200</v>
      </c>
      <c r="I202" s="4">
        <f>INDEX(K_alpha_C[],MATCH(ECF[[#This Row],[Solo]],K_alpha_C[Solo],0),2)</f>
        <v>0.8</v>
      </c>
      <c r="J202" s="5">
        <f>INDEX(K_alpha_C[],MATCH(ECF[[#This Row],[Solo]],K_alpha_C[Solo],0),3)</f>
        <v>2</v>
      </c>
      <c r="K202" s="4">
        <f>INDEX(F1_F2[],MATCH($D$2,F1_F2[Tipo de estaca],0),2)</f>
        <v>3</v>
      </c>
      <c r="L202" s="4">
        <f>INDEX(F1_F2[],MATCH($D$2,F1_F2[Tipo de estaca],0),3)</f>
        <v>6</v>
      </c>
      <c r="M202" s="4">
        <f>PI()*(ECF[[#This Row],[Ø (cm)]]/100)^2/4</f>
        <v>2.0106192982974678</v>
      </c>
      <c r="N202" s="4">
        <f>PI()*ECF[[#This Row],[Ø (cm)]]/100</f>
        <v>5.026548245743669</v>
      </c>
      <c r="O202" s="4">
        <f>IF(ECF[[#This Row],[Prof. (m)]]=0,0,ECF[[#This Row],[α (%)]]/100*ECF[[#This Row],[K (MPa)]]*1000*ECF[[#This Row],[NSPT]])</f>
        <v>32</v>
      </c>
      <c r="P202" s="4">
        <f>IF(ECF[[#This Row],[Prof. (m)]]=0,0,(ECF[[#This Row],[K (MPa)]]*1000*ECF[[#This Row],[NSPT]]/ECF[[#This Row],[F1]]*ECF[[#This Row],[Ap (m²)]]+ECF[[#This Row],[U (m)]]/ECF[[#This Row],[F2]]*SUMIFS(ECF[(α∙K∙NL∙ΔL)],ECF[Prof. (m)],"&lt;="&amp;ECF[[#This Row],[Prof. (m)]],ECF[idDiâmetro],ECF[[#This Row],[idDiâmetro]],ECF[idPilar],ECF[[#This Row],[idPilar]]))/'DADOS CAP. CARGA'!$D$2)</f>
        <v>549.56927486797451</v>
      </c>
      <c r="Q202" s="12">
        <f>INDEX(C_alpha_beta[],MATCH(ECF[[#This Row],[Solo]],C_alpha_beta[Solo],0),MATCH(ECF[[#Headers],[C (kPa)]],C_alpha_beta[#Headers],0))</f>
        <v>400</v>
      </c>
      <c r="R202" s="4">
        <f>INDEX(C_alpha_beta[],MATCH(ECF[[#This Row],[Solo]],C_alpha_beta[Solo],0),MATCH(ECF[[#Headers],[α ESF]],C_alpha_beta[#Headers],0))</f>
        <v>0.5</v>
      </c>
      <c r="S202" s="4">
        <f>INDEX(C_alpha_beta[],MATCH(ECF[[#This Row],[Solo]],C_alpha_beta[Solo],0),MATCH(ECF[[#Headers],[β ESF]],C_alpha_beta[#Headers],0))</f>
        <v>0.5</v>
      </c>
      <c r="T202" s="4">
        <f>IF(ECF[[#This Row],[Prof. (m)]]=0,0,10*(ECF[[#This Row],[NSPT]]/3+1))</f>
        <v>16.666666666666664</v>
      </c>
      <c r="U202" s="4">
        <f>(ECF[[#This Row],[α ESF]]*ECF[[#This Row],[C (kPa)]]*ECF[[#This Row],[NSPT]]*ECF[[#This Row],[Ap (m²)]])/'DADOS CAP. CARGA'!$Q$2+(ECF[[#This Row],[β ESF]]*SUMIFS(ECF[10∙(NL/3+1)],ECF[Prof. (m)],"&lt;="&amp;ECF[[#This Row],[Prof. (m)]],ECF[idDiâmetro],ECF[[#This Row],[idDiâmetro]],ECF[idPilar],ECF[[#This Row],[idPilar]])*ECF[[#This Row],[U (m)]])/'DADOS CAP. CARGA'!$S$2</f>
        <v>222.00588085367875</v>
      </c>
      <c r="V202" s="4">
        <f>IF(SPT!$M$5=1,MIN(ECF[[#This Row],[Pe ECF (kN)]],ECF[[#This Row],[R_AV (kN)]]),IF(SPT!$M$5=2,MIN(ECF[[#This Row],[Pe ECF (kN)]],ECF[[#This Row],[R_DC (kN)]]),MIN(ECF[[#This Row],[Pe ECF (kN)]],ECF[[#This Row],[R_AV (kN)]],ECF[[#This Row],[R_DC (kN)]])))</f>
        <v>222.00588085367875</v>
      </c>
      <c r="W202" s="4">
        <f>INDEX(PILARES[],ECF[[#This Row],[idPilar]],MATCH("Carga (kN)",PILARES[#Headers],0))*1.4</f>
        <v>3500</v>
      </c>
      <c r="X202" s="12">
        <f>INDEX(PILARES[],ECF[[#This Row],[idPilar]],MATCH(ECF[[#Headers],[ap (cm)]],PILARES[#Headers],0))</f>
        <v>60</v>
      </c>
      <c r="Y202" s="12">
        <f>INDEX(PILARES[],ECF[[#This Row],[idPilar]],MATCH(ECF[[#Headers],[bp (cm)]],PILARES[#Headers],0))</f>
        <v>60</v>
      </c>
      <c r="Z202" s="4">
        <f>SQRT(ECF[[#This Row],[ap (cm)]]*ECF[[#This Row],[bp (cm)]])</f>
        <v>60</v>
      </c>
      <c r="AA202" s="12">
        <f>ECF[[#This Row],[ap (cm)]]*ECF[[#This Row],[bp (cm)]]</f>
        <v>3600</v>
      </c>
      <c r="AB202" s="12">
        <f ca="1">IF(ECF[[#This Row],[Padm∙ε (kN)]]&gt;=ECF[[#This Row],[Padm (kN)]],ROUNDUP(1.05*ECF[[#This Row],[Nsd (kN)]]/ECF[[#This Row],[Padm (kN)]],0),ROUNDUP(1.05*ECF[[#This Row],[Nsd (kN)]]/ECF[[#This Row],[Padm (kN)]],0)+1)</f>
        <v>17</v>
      </c>
      <c r="AC202" s="4" t="str">
        <f ca="1">IFERROR(IF(ECF[[#This Row],[nE]]=1,ECF[[#This Row],[Padm (kN)]],ECF[[#This Row],[Padm (kN)]]*ECF[[#This Row],[nE]]*INDEX(grupoEstacas[],ECF[[#This Row],[nE]],MATCH("ε",grupoEstacas[#Headers],0))),"N.S.")</f>
        <v>N.S.</v>
      </c>
      <c r="AD202" s="4">
        <f ca="1">1.05*ECF[[#This Row],[Nsd (kN)]]/(ECF[[#This Row],[nE]]*PI()*ECF[[#This Row],[Ø (cm)]]^2/4)*10</f>
        <v>0.10751735585711679</v>
      </c>
      <c r="AE202" s="4">
        <f ca="1">IF(ECF[[#This Row],[σ (MPa)]]&lt;INDEX(tipoEstaca[],MATCH($D$2,tipoEstaca[TIPO DE ESTACA],0),MATCH("σmáx (MPa)",tipoEstaca[#Headers],0)),0.4%*PI()*ECF[[#This Row],[Ø (cm)]]^2/4,"N.S.")</f>
        <v>80.424771931898704</v>
      </c>
      <c r="AF202" s="1">
        <f>INDEX(tipoEstaca[],MATCH($D$2,tipoEstaca[TIPO DE ESTACA],0),MATCH(ECF[[#Headers],[Comprimento (m)]],tipoEstaca[#Headers],0))</f>
        <v>4</v>
      </c>
      <c r="AG202" s="5">
        <f ca="1">ECF[[#This Row],[As,mín (cm²)]]/100^2*ECF[[#This Row],[Comprimento (m)]]*7850</f>
        <v>252.53378386616191</v>
      </c>
      <c r="AH202" s="4">
        <f ca="1">ECF[[#This Row],[nE]]*ECF[[#This Row],[Prof. (m)]]*ECF[[#This Row],[Ap (m²)]]</f>
        <v>34.180528071056955</v>
      </c>
      <c r="AI202" s="1">
        <f ca="1">IF(ECF[[#This Row],[nE]]=1,0,MAX(3*ECF[[#This Row],[Ø (cm)]],60))</f>
        <v>480</v>
      </c>
      <c r="AJ202" s="1">
        <f ca="1">IF(ECF[[#This Row],[nE]]=1,ECF[[#This Row],[Ø (cm)]]+2*10,MAX(1.5*ECF[[#This Row],[Ø (cm)]],ECF[[#This Row],[Ø (cm)]]+15))</f>
        <v>240</v>
      </c>
      <c r="AK202" s="1" t="str">
        <f ca="1">alturaUtil(ECF[[#This Row],[nE]],ECF[[#This Row],[Ø (cm)]],ECF[[#This Row],[e (cm)]],ECF[[#This Row],[ap,eq (cm)]])</f>
        <v>N.S.</v>
      </c>
      <c r="AL202" s="1" t="str">
        <f ca="1">IFERROR(ECF[[#This Row],[d (cm)]]+arredondarParaCimaMultiplo5cm(MAX(5,SQRT(PI())/2*ECF[[#This Row],[Ø (cm)]]/5)),"N.S.")</f>
        <v>N.S.</v>
      </c>
      <c r="AM202" s="5" t="str">
        <f ca="1">alpha(ECF[[#This Row],[nE]],ECF[[#This Row],[d (cm)]],ECF[[#This Row],[e (cm)]],ECF[[#This Row],[ap,eq (cm)]])</f>
        <v>N.S.</v>
      </c>
      <c r="AN202" s="35" t="str">
        <f ca="1">IFERROR(ECF[[#This Row],[Nsd (kN)]]/(ECF[[#This Row],[Ap (cm²)]]*SIN(ECF[[#This Row],[α]])^2),"N.S.")</f>
        <v>N.S.</v>
      </c>
      <c r="AO202" s="35" t="str">
        <f ca="1">IFERROR(ECF[[#This Row],[Nsd (kN)]]/(ECF[[#This Row],[nE]]*PI()*ECF[[#This Row],[Ø (cm)]]^2/4*SIN(ECF[[#This Row],[α]])^2),"N.S.")</f>
        <v>N.S.</v>
      </c>
      <c r="AP202" s="4" t="str">
        <f ca="1">IFERROR(INDEX(grupoEstacas[],ECF[[#This Row],[nE]],MATCH("coef. Blévot",grupoEstacas[#Headers],0)),"N.S.")</f>
        <v>N.S.</v>
      </c>
      <c r="AQ202" s="35" t="str">
        <f ca="1">IFERROR(ECF[[#This Row],[coef. Blévot]]*0.9*INDEX(tipoEstaca[],MATCH($D$2,tipoEstaca[TIPO DE ESTACA],0),MATCH("fcd (kN/cm²)",tipoEstaca[#Headers],0)),"N.S.")</f>
        <v>N.S.</v>
      </c>
      <c r="AR202" s="1" t="str">
        <f ca="1">IF(AND(ECF[[#This Row],[cd,b,pil (kN/cm²)]]&lt;=ECF[[#This Row],[cd,b,lim (kN/cm²)]],ECF[[#This Row],[cd,b,est (kN/cm²)]]&lt;=ECF[[#This Row],[cd,b,lim (kN/cm²)]]),"OK","ERRO")</f>
        <v>OK</v>
      </c>
      <c r="AS202" s="4" t="str">
        <f ca="1">As_lado(ECF[[#This Row],[nE]],ECF[[#This Row],[Nsd (kN)]],ECF[[#This Row],[d (cm)]],ECF[[#This Row],[e (cm)]],ECF[[#This Row],[ap,eq (cm)]])</f>
        <v>N.S.</v>
      </c>
      <c r="AT202" s="4" t="str">
        <f ca="1">IF(ECF[[#This Row],[nE]]=1,ECF[[#This Row],[As,lado (cm²)]],IF(ECF[[#This Row],[nE]]=2,0.075*2*ECF[a (cm)],"N.A."))</f>
        <v>N.A.</v>
      </c>
      <c r="AU202" s="4" t="str">
        <f ca="1">IFERROR(IF(ECF[[#This Row],[nE]]=1,"N.A.",0.2*ECF[[#This Row],[As,lado (cm²)]]),"N.S.")</f>
        <v>N.S.</v>
      </c>
      <c r="AV202" s="4" t="str">
        <f ca="1">As_malha(ECF[[#This Row],[nE]],ECF[[#This Row],[As,lado (cm²)]],ECF[[#This Row],[Nsd (kN)]])</f>
        <v>N.S.</v>
      </c>
      <c r="AW202" s="4" t="str">
        <f ca="1">As_susp_tot(ECF[[#This Row],[nE]],ECF[[#This Row],[Nsd (kN)]])</f>
        <v>N.S.</v>
      </c>
      <c r="AX202" s="4" t="str">
        <f ca="1">Asp_face(ECF[[#This Row],[nE]],ECF[[#This Row],[As,lado (cm²)]])</f>
        <v>N.S.</v>
      </c>
      <c r="AY202" s="5" t="str">
        <f ca="1">acoBloco(ECF[[#This Row],[nE]],ECF[[#This Row],[e (cm)]],ECF[[#This Row],[a (cm)]],ECF[[#This Row],[h (cm)]],ECF[[#This Row],[As,lado (cm²)]],ECF[[#This Row],[Asp e Asw (cm²/m)]],ECF[[#This Row],[As,sup (cm²)]],ECF[[#This Row],[As,malha (cm²)]],ECF[[#This Row],[As,susp,tot (cm²)]],ECF[[#This Row],[Asp,face (cm²)]])</f>
        <v>N.S.</v>
      </c>
      <c r="AZ202" s="4" t="str">
        <f ca="1">concretoBloco(ECF[[#This Row],[nE]],ECF[[#This Row],[e (cm)]],ECF[[#This Row],[a (cm)]],ECF[[#This Row],[h (cm)]])</f>
        <v>N.S.</v>
      </c>
      <c r="BA202" s="5">
        <f ca="1">SUM(ECF[[#This Row],[Aço Est (kg)]],ECF[[#This Row],[Aço Bloco (kg)]])</f>
        <v>252.53378386616191</v>
      </c>
      <c r="BB202" s="4">
        <f>INDEX(composicoes[],MATCH(95580,composicoes[CÓDIGO],0),MATCH("CUSTO TOTAL",composicoes[#Headers],0))</f>
        <v>10.46</v>
      </c>
      <c r="BC202" s="4">
        <f ca="1">SUM(ECF[[#This Row],[Conc Est (m³)]],ECF[[#This Row],[Conc Bloco (m³)]])</f>
        <v>34.180528071056955</v>
      </c>
      <c r="BD202" s="4">
        <f>INDEX(composicoes[],MATCH(94966,composicoes[CÓDIGO],0),MATCH("CUSTO TOTAL",composicoes[#Headers],0))</f>
        <v>439.52</v>
      </c>
      <c r="BE202" s="38">
        <f ca="1">ECF[[#This Row],[Aço (kg)]]*ECF[[#This Row],[Aço (R$/kg)]]+ECF[[#This Row],[Conc (m³)]]*ECF[[#This Row],[Conc (R$/m³)]]</f>
        <v>17664.529077031006</v>
      </c>
      <c r="BF202" s="4" t="str">
        <f ca="1">IF(COUNTIF(ECF[#This Row],"N.S.")&gt;0,"lim.","OK")</f>
        <v>lim.</v>
      </c>
      <c r="BG202" s="4" t="str">
        <f>IF(ECF[[#This Row],[Prof. (m)]]&lt;4,"lim.","OK")</f>
        <v>lim.</v>
      </c>
      <c r="BH202" s="4" t="str">
        <f>IF(ECF[[#This Row],[Prof. (m)]]&gt;=8*ECF[[#This Row],[Ø (cm)]]/100,"OK","lim.")</f>
        <v>lim.</v>
      </c>
      <c r="BI202" s="4" t="str">
        <f>IF(AND(SPT!$F$3&lt;&gt;"",ECF[[#This Row],[Prof. (m)]]&gt;=SPT!$F$3-2),"lim.","OK")</f>
        <v>OK</v>
      </c>
      <c r="BJ202" s="4" t="str">
        <f ca="1">IF(ECF[[#This Row],[Verif. Biela]]="OK","OK","lim.")</f>
        <v>OK</v>
      </c>
      <c r="BK202" s="4" t="str">
        <f ca="1">IF(COUNTA(ECF[[#This Row],[Nº Est.]:[Biela comp.]])=COUNTIF(ECF[[#This Row],[Nº Est.]:[Biela comp.]],"OK"),"OK","lim.")</f>
        <v>lim.</v>
      </c>
      <c r="BL202" s="4" t="str">
        <f ca="1">IF(ECF[[#This Row],[Controle]]="OK",ECF[[#This Row],[nE]]&amp;" Ø"&amp;ECF[[#This Row],[Ø (cm)]]&amp;"cm Prof. "&amp;ECF[[#This Row],[Prof. (m)]]&amp;" m","")</f>
        <v/>
      </c>
      <c r="BM202" s="4" t="str">
        <f ca="1">IF(ECF[[#This Row],[idDimensionamento]]="","",ECF[[#This Row],[idPilar]]&amp;ECF[[#This Row],[idDimensionamento]])</f>
        <v/>
      </c>
    </row>
    <row r="203" spans="2:65" x14ac:dyDescent="0.25">
      <c r="B203" s="12">
        <f>ROUNDUP((ROW(ECF[[#This Row],[idDiâmetro]])-ROW(ECF[[#Headers],[idDiâmetro]]))/(COUNT(SPT[Prof. (m)])*COUNT(PILARES[Pilar])),0)</f>
        <v>8</v>
      </c>
      <c r="C203" s="12">
        <f>IF(ECF[[#This Row],[idDiâmetro]]&lt;&gt;B202,1,IF(ECF[[#This Row],[Prof. (m)]]=0,C202+1,C202))</f>
        <v>1</v>
      </c>
      <c r="D203" s="1">
        <f>IFERROR(IF(D202=MAX(SPT[Prof. (m)]),0,D202+1),0)</f>
        <v>2</v>
      </c>
      <c r="E203" s="1">
        <f>INDEX(SPT[],MATCH(ECF[[#This Row],[Prof. (m)]],SPT[Prof. (m)],0),2)</f>
        <v>2</v>
      </c>
      <c r="F203" s="1" t="str">
        <f>INDEX(SPT[],MATCH(ECF[[#This Row],[Prof. (m)]],SPT[Prof. (m)],0),3)</f>
        <v>Areia siltosa</v>
      </c>
      <c r="G203" s="1">
        <f>INDEX(estacas[],ECF[[#This Row],[idDiâmetro]],MATCH($B$2,estacas[#Headers],0))</f>
        <v>160</v>
      </c>
      <c r="H203" s="1">
        <f>INDEX(estacas[],MATCH(ECF[[#This Row],[Ø (cm)]],estacas[Ø ECF (cm)],0),MATCH(ECF[[#Headers],[Pe ECF (kN)]],estacas[#Headers],0))</f>
        <v>8200</v>
      </c>
      <c r="I203" s="4">
        <f>INDEX(K_alpha_C[],MATCH(ECF[[#This Row],[Solo]],K_alpha_C[Solo],0),2)</f>
        <v>0.8</v>
      </c>
      <c r="J203" s="5">
        <f>INDEX(K_alpha_C[],MATCH(ECF[[#This Row],[Solo]],K_alpha_C[Solo],0),3)</f>
        <v>2</v>
      </c>
      <c r="K203" s="4">
        <f>INDEX(F1_F2[],MATCH($D$2,F1_F2[Tipo de estaca],0),2)</f>
        <v>3</v>
      </c>
      <c r="L203" s="4">
        <f>INDEX(F1_F2[],MATCH($D$2,F1_F2[Tipo de estaca],0),3)</f>
        <v>6</v>
      </c>
      <c r="M203" s="4">
        <f>PI()*(ECF[[#This Row],[Ø (cm)]]/100)^2/4</f>
        <v>2.0106192982974678</v>
      </c>
      <c r="N203" s="4">
        <f>PI()*ECF[[#This Row],[Ø (cm)]]/100</f>
        <v>5.026548245743669</v>
      </c>
      <c r="O203" s="4">
        <f>IF(ECF[[#This Row],[Prof. (m)]]=0,0,ECF[[#This Row],[α (%)]]/100*ECF[[#This Row],[K (MPa)]]*1000*ECF[[#This Row],[NSPT]])</f>
        <v>32</v>
      </c>
      <c r="P203" s="4">
        <f>IF(ECF[[#This Row],[Prof. (m)]]=0,0,(ECF[[#This Row],[K (MPa)]]*1000*ECF[[#This Row],[NSPT]]/ECF[[#This Row],[F1]]*ECF[[#This Row],[Ap (m²)]]+ECF[[#This Row],[U (m)]]/ECF[[#This Row],[F2]]*SUMIFS(ECF[(α∙K∙NL∙ΔL)],ECF[Prof. (m)],"&lt;="&amp;ECF[[#This Row],[Prof. (m)]],ECF[idDiâmetro],ECF[[#This Row],[idDiâmetro]],ECF[idPilar],ECF[[#This Row],[idPilar]]))/'DADOS CAP. CARGA'!$D$2)</f>
        <v>562.97340352329104</v>
      </c>
      <c r="Q203" s="12">
        <f>INDEX(C_alpha_beta[],MATCH(ECF[[#This Row],[Solo]],C_alpha_beta[Solo],0),MATCH(ECF[[#Headers],[C (kPa)]],C_alpha_beta[#Headers],0))</f>
        <v>400</v>
      </c>
      <c r="R203" s="4">
        <f>INDEX(C_alpha_beta[],MATCH(ECF[[#This Row],[Solo]],C_alpha_beta[Solo],0),MATCH(ECF[[#Headers],[α ESF]],C_alpha_beta[#Headers],0))</f>
        <v>0.5</v>
      </c>
      <c r="S203" s="4">
        <f>INDEX(C_alpha_beta[],MATCH(ECF[[#This Row],[Solo]],C_alpha_beta[Solo],0),MATCH(ECF[[#Headers],[β ESF]],C_alpha_beta[#Headers],0))</f>
        <v>0.5</v>
      </c>
      <c r="T203" s="4">
        <f>IF(ECF[[#This Row],[Prof. (m)]]=0,0,10*(ECF[[#This Row],[NSPT]]/3+1))</f>
        <v>16.666666666666664</v>
      </c>
      <c r="U203" s="4">
        <f>(ECF[[#This Row],[α ESF]]*ECF[[#This Row],[C (kPa)]]*ECF[[#This Row],[NSPT]]*ECF[[#This Row],[Ap (m²)]])/'DADOS CAP. CARGA'!$Q$2+(ECF[[#This Row],[β ESF]]*SUMIFS(ECF[10∙(NL/3+1)],ECF[Prof. (m)],"&lt;="&amp;ECF[[#This Row],[Prof. (m)]],ECF[idDiâmetro],ECF[[#This Row],[idDiâmetro]],ECF[idPilar],ECF[[#This Row],[idPilar]])*ECF[[#This Row],[U (m)]])/'DADOS CAP. CARGA'!$S$2</f>
        <v>242.94983187761068</v>
      </c>
      <c r="V203" s="4">
        <f>IF(SPT!$M$5=1,MIN(ECF[[#This Row],[Pe ECF (kN)]],ECF[[#This Row],[R_AV (kN)]]),IF(SPT!$M$5=2,MIN(ECF[[#This Row],[Pe ECF (kN)]],ECF[[#This Row],[R_DC (kN)]]),MIN(ECF[[#This Row],[Pe ECF (kN)]],ECF[[#This Row],[R_AV (kN)]],ECF[[#This Row],[R_DC (kN)]])))</f>
        <v>242.94983187761068</v>
      </c>
      <c r="W203" s="4">
        <f>INDEX(PILARES[],ECF[[#This Row],[idPilar]],MATCH("Carga (kN)",PILARES[#Headers],0))*1.4</f>
        <v>3500</v>
      </c>
      <c r="X203" s="12">
        <f>INDEX(PILARES[],ECF[[#This Row],[idPilar]],MATCH(ECF[[#Headers],[ap (cm)]],PILARES[#Headers],0))</f>
        <v>60</v>
      </c>
      <c r="Y203" s="12">
        <f>INDEX(PILARES[],ECF[[#This Row],[idPilar]],MATCH(ECF[[#Headers],[bp (cm)]],PILARES[#Headers],0))</f>
        <v>60</v>
      </c>
      <c r="Z203" s="4">
        <f>SQRT(ECF[[#This Row],[ap (cm)]]*ECF[[#This Row],[bp (cm)]])</f>
        <v>60</v>
      </c>
      <c r="AA203" s="12">
        <f>ECF[[#This Row],[ap (cm)]]*ECF[[#This Row],[bp (cm)]]</f>
        <v>3600</v>
      </c>
      <c r="AB203" s="12">
        <f ca="1">IF(ECF[[#This Row],[Padm∙ε (kN)]]&gt;=ECF[[#This Row],[Padm (kN)]],ROUNDUP(1.05*ECF[[#This Row],[Nsd (kN)]]/ECF[[#This Row],[Padm (kN)]],0),ROUNDUP(1.05*ECF[[#This Row],[Nsd (kN)]]/ECF[[#This Row],[Padm (kN)]],0)+1)</f>
        <v>16</v>
      </c>
      <c r="AC203" s="4" t="str">
        <f ca="1">IFERROR(IF(ECF[[#This Row],[nE]]=1,ECF[[#This Row],[Padm (kN)]],ECF[[#This Row],[Padm (kN)]]*ECF[[#This Row],[nE]]*INDEX(grupoEstacas[],ECF[[#This Row],[nE]],MATCH("ε",grupoEstacas[#Headers],0))),"N.S.")</f>
        <v>N.S.</v>
      </c>
      <c r="AD203" s="4">
        <f ca="1">1.05*ECF[[#This Row],[Nsd (kN)]]/(ECF[[#This Row],[nE]]*PI()*ECF[[#This Row],[Ø (cm)]]^2/4)*10</f>
        <v>0.1142371905981866</v>
      </c>
      <c r="AE203" s="4">
        <f ca="1">IF(ECF[[#This Row],[σ (MPa)]]&lt;INDEX(tipoEstaca[],MATCH($D$2,tipoEstaca[TIPO DE ESTACA],0),MATCH("σmáx (MPa)",tipoEstaca[#Headers],0)),0.4%*PI()*ECF[[#This Row],[Ø (cm)]]^2/4,"N.S.")</f>
        <v>80.424771931898704</v>
      </c>
      <c r="AF203" s="1">
        <f>INDEX(tipoEstaca[],MATCH($D$2,tipoEstaca[TIPO DE ESTACA],0),MATCH(ECF[[#Headers],[Comprimento (m)]],tipoEstaca[#Headers],0))</f>
        <v>4</v>
      </c>
      <c r="AG203" s="5">
        <f ca="1">ECF[[#This Row],[As,mín (cm²)]]/100^2*ECF[[#This Row],[Comprimento (m)]]*7850</f>
        <v>252.53378386616191</v>
      </c>
      <c r="AH203" s="4">
        <f ca="1">ECF[[#This Row],[nE]]*ECF[[#This Row],[Prof. (m)]]*ECF[[#This Row],[Ap (m²)]]</f>
        <v>64.339817545518969</v>
      </c>
      <c r="AI203" s="1">
        <f ca="1">IF(ECF[[#This Row],[nE]]=1,0,MAX(3*ECF[[#This Row],[Ø (cm)]],60))</f>
        <v>480</v>
      </c>
      <c r="AJ203" s="1">
        <f ca="1">IF(ECF[[#This Row],[nE]]=1,ECF[[#This Row],[Ø (cm)]]+2*10,MAX(1.5*ECF[[#This Row],[Ø (cm)]],ECF[[#This Row],[Ø (cm)]]+15))</f>
        <v>240</v>
      </c>
      <c r="AK203" s="1" t="str">
        <f ca="1">alturaUtil(ECF[[#This Row],[nE]],ECF[[#This Row],[Ø (cm)]],ECF[[#This Row],[e (cm)]],ECF[[#This Row],[ap,eq (cm)]])</f>
        <v>N.S.</v>
      </c>
      <c r="AL203" s="1" t="str">
        <f ca="1">IFERROR(ECF[[#This Row],[d (cm)]]+arredondarParaCimaMultiplo5cm(MAX(5,SQRT(PI())/2*ECF[[#This Row],[Ø (cm)]]/5)),"N.S.")</f>
        <v>N.S.</v>
      </c>
      <c r="AM203" s="5" t="str">
        <f ca="1">alpha(ECF[[#This Row],[nE]],ECF[[#This Row],[d (cm)]],ECF[[#This Row],[e (cm)]],ECF[[#This Row],[ap,eq (cm)]])</f>
        <v>N.S.</v>
      </c>
      <c r="AN203" s="35" t="str">
        <f ca="1">IFERROR(ECF[[#This Row],[Nsd (kN)]]/(ECF[[#This Row],[Ap (cm²)]]*SIN(ECF[[#This Row],[α]])^2),"N.S.")</f>
        <v>N.S.</v>
      </c>
      <c r="AO203" s="35" t="str">
        <f ca="1">IFERROR(ECF[[#This Row],[Nsd (kN)]]/(ECF[[#This Row],[nE]]*PI()*ECF[[#This Row],[Ø (cm)]]^2/4*SIN(ECF[[#This Row],[α]])^2),"N.S.")</f>
        <v>N.S.</v>
      </c>
      <c r="AP203" s="4" t="str">
        <f ca="1">IFERROR(INDEX(grupoEstacas[],ECF[[#This Row],[nE]],MATCH("coef. Blévot",grupoEstacas[#Headers],0)),"N.S.")</f>
        <v>N.S.</v>
      </c>
      <c r="AQ203" s="35" t="str">
        <f ca="1">IFERROR(ECF[[#This Row],[coef. Blévot]]*0.9*INDEX(tipoEstaca[],MATCH($D$2,tipoEstaca[TIPO DE ESTACA],0),MATCH("fcd (kN/cm²)",tipoEstaca[#Headers],0)),"N.S.")</f>
        <v>N.S.</v>
      </c>
      <c r="AR203" s="1" t="str">
        <f ca="1">IF(AND(ECF[[#This Row],[cd,b,pil (kN/cm²)]]&lt;=ECF[[#This Row],[cd,b,lim (kN/cm²)]],ECF[[#This Row],[cd,b,est (kN/cm²)]]&lt;=ECF[[#This Row],[cd,b,lim (kN/cm²)]]),"OK","ERRO")</f>
        <v>OK</v>
      </c>
      <c r="AS203" s="4" t="str">
        <f ca="1">As_lado(ECF[[#This Row],[nE]],ECF[[#This Row],[Nsd (kN)]],ECF[[#This Row],[d (cm)]],ECF[[#This Row],[e (cm)]],ECF[[#This Row],[ap,eq (cm)]])</f>
        <v>N.S.</v>
      </c>
      <c r="AT203" s="4" t="str">
        <f ca="1">IF(ECF[[#This Row],[nE]]=1,ECF[[#This Row],[As,lado (cm²)]],IF(ECF[[#This Row],[nE]]=2,0.075*2*ECF[a (cm)],"N.A."))</f>
        <v>N.A.</v>
      </c>
      <c r="AU203" s="4" t="str">
        <f ca="1">IFERROR(IF(ECF[[#This Row],[nE]]=1,"N.A.",0.2*ECF[[#This Row],[As,lado (cm²)]]),"N.S.")</f>
        <v>N.S.</v>
      </c>
      <c r="AV203" s="4" t="str">
        <f ca="1">As_malha(ECF[[#This Row],[nE]],ECF[[#This Row],[As,lado (cm²)]],ECF[[#This Row],[Nsd (kN)]])</f>
        <v>N.S.</v>
      </c>
      <c r="AW203" s="4" t="str">
        <f ca="1">As_susp_tot(ECF[[#This Row],[nE]],ECF[[#This Row],[Nsd (kN)]])</f>
        <v>N.S.</v>
      </c>
      <c r="AX203" s="4" t="str">
        <f ca="1">Asp_face(ECF[[#This Row],[nE]],ECF[[#This Row],[As,lado (cm²)]])</f>
        <v>N.S.</v>
      </c>
      <c r="AY203" s="5" t="str">
        <f ca="1">acoBloco(ECF[[#This Row],[nE]],ECF[[#This Row],[e (cm)]],ECF[[#This Row],[a (cm)]],ECF[[#This Row],[h (cm)]],ECF[[#This Row],[As,lado (cm²)]],ECF[[#This Row],[Asp e Asw (cm²/m)]],ECF[[#This Row],[As,sup (cm²)]],ECF[[#This Row],[As,malha (cm²)]],ECF[[#This Row],[As,susp,tot (cm²)]],ECF[[#This Row],[Asp,face (cm²)]])</f>
        <v>N.S.</v>
      </c>
      <c r="AZ203" s="4" t="str">
        <f ca="1">concretoBloco(ECF[[#This Row],[nE]],ECF[[#This Row],[e (cm)]],ECF[[#This Row],[a (cm)]],ECF[[#This Row],[h (cm)]])</f>
        <v>N.S.</v>
      </c>
      <c r="BA203" s="5">
        <f ca="1">SUM(ECF[[#This Row],[Aço Est (kg)]],ECF[[#This Row],[Aço Bloco (kg)]])</f>
        <v>252.53378386616191</v>
      </c>
      <c r="BB203" s="4">
        <f>INDEX(composicoes[],MATCH(95580,composicoes[CÓDIGO],0),MATCH("CUSTO TOTAL",composicoes[#Headers],0))</f>
        <v>10.46</v>
      </c>
      <c r="BC203" s="4">
        <f ca="1">SUM(ECF[[#This Row],[Conc Est (m³)]],ECF[[#This Row],[Conc Bloco (m³)]])</f>
        <v>64.339817545518969</v>
      </c>
      <c r="BD203" s="4">
        <f>INDEX(composicoes[],MATCH(94966,composicoes[CÓDIGO],0),MATCH("CUSTO TOTAL",composicoes[#Headers],0))</f>
        <v>439.52</v>
      </c>
      <c r="BE203" s="38">
        <f ca="1">ECF[[#This Row],[Aço (kg)]]*ECF[[#This Row],[Aço (R$/kg)]]+ECF[[#This Row],[Conc (m³)]]*ECF[[#This Row],[Conc (R$/m³)]]</f>
        <v>30920.139986846549</v>
      </c>
      <c r="BF203" s="4" t="str">
        <f ca="1">IF(COUNTIF(ECF[#This Row],"N.S.")&gt;0,"lim.","OK")</f>
        <v>lim.</v>
      </c>
      <c r="BG203" s="4" t="str">
        <f>IF(ECF[[#This Row],[Prof. (m)]]&lt;4,"lim.","OK")</f>
        <v>lim.</v>
      </c>
      <c r="BH203" s="4" t="str">
        <f>IF(ECF[[#This Row],[Prof. (m)]]&gt;=8*ECF[[#This Row],[Ø (cm)]]/100,"OK","lim.")</f>
        <v>lim.</v>
      </c>
      <c r="BI203" s="4" t="str">
        <f>IF(AND(SPT!$F$3&lt;&gt;"",ECF[[#This Row],[Prof. (m)]]&gt;=SPT!$F$3-2),"lim.","OK")</f>
        <v>OK</v>
      </c>
      <c r="BJ203" s="4" t="str">
        <f ca="1">IF(ECF[[#This Row],[Verif. Biela]]="OK","OK","lim.")</f>
        <v>OK</v>
      </c>
      <c r="BK203" s="4" t="str">
        <f ca="1">IF(COUNTA(ECF[[#This Row],[Nº Est.]:[Biela comp.]])=COUNTIF(ECF[[#This Row],[Nº Est.]:[Biela comp.]],"OK"),"OK","lim.")</f>
        <v>lim.</v>
      </c>
      <c r="BL203" s="4" t="str">
        <f ca="1">IF(ECF[[#This Row],[Controle]]="OK",ECF[[#This Row],[nE]]&amp;" Ø"&amp;ECF[[#This Row],[Ø (cm)]]&amp;"cm Prof. "&amp;ECF[[#This Row],[Prof. (m)]]&amp;" m","")</f>
        <v/>
      </c>
      <c r="BM203" s="4" t="str">
        <f ca="1">IF(ECF[[#This Row],[idDimensionamento]]="","",ECF[[#This Row],[idPilar]]&amp;ECF[[#This Row],[idDimensionamento]])</f>
        <v/>
      </c>
    </row>
    <row r="204" spans="2:65" x14ac:dyDescent="0.25">
      <c r="B204" s="12">
        <f>ROUNDUP((ROW(ECF[[#This Row],[idDiâmetro]])-ROW(ECF[[#Headers],[idDiâmetro]]))/(COUNT(SPT[Prof. (m)])*COUNT(PILARES[Pilar])),0)</f>
        <v>8</v>
      </c>
      <c r="C204" s="12">
        <f>IF(ECF[[#This Row],[idDiâmetro]]&lt;&gt;B203,1,IF(ECF[[#This Row],[Prof. (m)]]=0,C203+1,C203))</f>
        <v>1</v>
      </c>
      <c r="D204" s="1">
        <f>IFERROR(IF(D203=MAX(SPT[Prof. (m)]),0,D203+1),0)</f>
        <v>3</v>
      </c>
      <c r="E204" s="1">
        <f>INDEX(SPT[],MATCH(ECF[[#This Row],[Prof. (m)]],SPT[Prof. (m)],0),2)</f>
        <v>4</v>
      </c>
      <c r="F204" s="1" t="str">
        <f>INDEX(SPT[],MATCH(ECF[[#This Row],[Prof. (m)]],SPT[Prof. (m)],0),3)</f>
        <v>Areia siltosa</v>
      </c>
      <c r="G204" s="1">
        <f>INDEX(estacas[],ECF[[#This Row],[idDiâmetro]],MATCH($B$2,estacas[#Headers],0))</f>
        <v>160</v>
      </c>
      <c r="H204" s="1">
        <f>INDEX(estacas[],MATCH(ECF[[#This Row],[Ø (cm)]],estacas[Ø ECF (cm)],0),MATCH(ECF[[#Headers],[Pe ECF (kN)]],estacas[#Headers],0))</f>
        <v>8200</v>
      </c>
      <c r="I204" s="4">
        <f>INDEX(K_alpha_C[],MATCH(ECF[[#This Row],[Solo]],K_alpha_C[Solo],0),2)</f>
        <v>0.8</v>
      </c>
      <c r="J204" s="5">
        <f>INDEX(K_alpha_C[],MATCH(ECF[[#This Row],[Solo]],K_alpha_C[Solo],0),3)</f>
        <v>2</v>
      </c>
      <c r="K204" s="4">
        <f>INDEX(F1_F2[],MATCH($D$2,F1_F2[Tipo de estaca],0),2)</f>
        <v>3</v>
      </c>
      <c r="L204" s="4">
        <f>INDEX(F1_F2[],MATCH($D$2,F1_F2[Tipo de estaca],0),3)</f>
        <v>6</v>
      </c>
      <c r="M204" s="4">
        <f>PI()*(ECF[[#This Row],[Ø (cm)]]/100)^2/4</f>
        <v>2.0106192982974678</v>
      </c>
      <c r="N204" s="4">
        <f>PI()*ECF[[#This Row],[Ø (cm)]]/100</f>
        <v>5.026548245743669</v>
      </c>
      <c r="O204" s="4">
        <f>IF(ECF[[#This Row],[Prof. (m)]]=0,0,ECF[[#This Row],[α (%)]]/100*ECF[[#This Row],[K (MPa)]]*1000*ECF[[#This Row],[NSPT]])</f>
        <v>64</v>
      </c>
      <c r="P204" s="4">
        <f>IF(ECF[[#This Row],[Prof. (m)]]=0,0,(ECF[[#This Row],[K (MPa)]]*1000*ECF[[#This Row],[NSPT]]/ECF[[#This Row],[F1]]*ECF[[#This Row],[Ap (m²)]]+ECF[[#This Row],[U (m)]]/ECF[[#This Row],[F2]]*SUMIFS(ECF[(α∙K∙NL∙ΔL)],ECF[Prof. (m)],"&lt;="&amp;ECF[[#This Row],[Prof. (m)]],ECF[idDiâmetro],ECF[[#This Row],[idDiâmetro]],ECF[idPilar],ECF[[#This Row],[idPilar]]))/'DADOS CAP. CARGA'!$D$2)</f>
        <v>1125.9468070465821</v>
      </c>
      <c r="Q204" s="12">
        <f>INDEX(C_alpha_beta[],MATCH(ECF[[#This Row],[Solo]],C_alpha_beta[Solo],0),MATCH(ECF[[#Headers],[C (kPa)]],C_alpha_beta[#Headers],0))</f>
        <v>400</v>
      </c>
      <c r="R204" s="4">
        <f>INDEX(C_alpha_beta[],MATCH(ECF[[#This Row],[Solo]],C_alpha_beta[Solo],0),MATCH(ECF[[#Headers],[α ESF]],C_alpha_beta[#Headers],0))</f>
        <v>0.5</v>
      </c>
      <c r="S204" s="4">
        <f>INDEX(C_alpha_beta[],MATCH(ECF[[#This Row],[Solo]],C_alpha_beta[Solo],0),MATCH(ECF[[#Headers],[β ESF]],C_alpha_beta[#Headers],0))</f>
        <v>0.5</v>
      </c>
      <c r="T204" s="4">
        <f>IF(ECF[[#This Row],[Prof. (m)]]=0,0,10*(ECF[[#This Row],[NSPT]]/3+1))</f>
        <v>23.333333333333329</v>
      </c>
      <c r="U204" s="4">
        <f>(ECF[[#This Row],[α ESF]]*ECF[[#This Row],[C (kPa)]]*ECF[[#This Row],[NSPT]]*ECF[[#This Row],[Ap (m²)]])/'DADOS CAP. CARGA'!$Q$2+(ECF[[#This Row],[β ESF]]*SUMIFS(ECF[10∙(NL/3+1)],ECF[Prof. (m)],"&lt;="&amp;ECF[[#This Row],[Prof. (m)]],ECF[idDiâmetro],ECF[[#This Row],[idDiâmetro]],ECF[idPilar],ECF[[#This Row],[idPilar]])*ECF[[#This Row],[U (m)]])/'DADOS CAP. CARGA'!$S$2</f>
        <v>473.33329314086222</v>
      </c>
      <c r="V204" s="4">
        <f>IF(SPT!$M$5=1,MIN(ECF[[#This Row],[Pe ECF (kN)]],ECF[[#This Row],[R_AV (kN)]]),IF(SPT!$M$5=2,MIN(ECF[[#This Row],[Pe ECF (kN)]],ECF[[#This Row],[R_DC (kN)]]),MIN(ECF[[#This Row],[Pe ECF (kN)]],ECF[[#This Row],[R_AV (kN)]],ECF[[#This Row],[R_DC (kN)]])))</f>
        <v>473.33329314086222</v>
      </c>
      <c r="W204" s="4">
        <f>INDEX(PILARES[],ECF[[#This Row],[idPilar]],MATCH("Carga (kN)",PILARES[#Headers],0))*1.4</f>
        <v>3500</v>
      </c>
      <c r="X204" s="12">
        <f>INDEX(PILARES[],ECF[[#This Row],[idPilar]],MATCH(ECF[[#Headers],[ap (cm)]],PILARES[#Headers],0))</f>
        <v>60</v>
      </c>
      <c r="Y204" s="12">
        <f>INDEX(PILARES[],ECF[[#This Row],[idPilar]],MATCH(ECF[[#Headers],[bp (cm)]],PILARES[#Headers],0))</f>
        <v>60</v>
      </c>
      <c r="Z204" s="4">
        <f>SQRT(ECF[[#This Row],[ap (cm)]]*ECF[[#This Row],[bp (cm)]])</f>
        <v>60</v>
      </c>
      <c r="AA204" s="12">
        <f>ECF[[#This Row],[ap (cm)]]*ECF[[#This Row],[bp (cm)]]</f>
        <v>3600</v>
      </c>
      <c r="AB204" s="12">
        <f ca="1">IF(ECF[[#This Row],[Padm∙ε (kN)]]&gt;=ECF[[#This Row],[Padm (kN)]],ROUNDUP(1.05*ECF[[#This Row],[Nsd (kN)]]/ECF[[#This Row],[Padm (kN)]],0),ROUNDUP(1.05*ECF[[#This Row],[Nsd (kN)]]/ECF[[#This Row],[Padm (kN)]],0)+1)</f>
        <v>8</v>
      </c>
      <c r="AC204" s="4" t="str">
        <f ca="1">IFERROR(IF(ECF[[#This Row],[nE]]=1,ECF[[#This Row],[Padm (kN)]],ECF[[#This Row],[Padm (kN)]]*ECF[[#This Row],[nE]]*INDEX(grupoEstacas[],ECF[[#This Row],[nE]],MATCH("ε",grupoEstacas[#Headers],0))),"N.S.")</f>
        <v>N.S.</v>
      </c>
      <c r="AD204" s="4">
        <f ca="1">1.05*ECF[[#This Row],[Nsd (kN)]]/(ECF[[#This Row],[nE]]*PI()*ECF[[#This Row],[Ø (cm)]]^2/4)*10</f>
        <v>0.2284743811963732</v>
      </c>
      <c r="AE204" s="4">
        <f ca="1">IF(ECF[[#This Row],[σ (MPa)]]&lt;INDEX(tipoEstaca[],MATCH($D$2,tipoEstaca[TIPO DE ESTACA],0),MATCH("σmáx (MPa)",tipoEstaca[#Headers],0)),0.4%*PI()*ECF[[#This Row],[Ø (cm)]]^2/4,"N.S.")</f>
        <v>80.424771931898704</v>
      </c>
      <c r="AF204" s="1">
        <f>INDEX(tipoEstaca[],MATCH($D$2,tipoEstaca[TIPO DE ESTACA],0),MATCH(ECF[[#Headers],[Comprimento (m)]],tipoEstaca[#Headers],0))</f>
        <v>4</v>
      </c>
      <c r="AG204" s="5">
        <f ca="1">ECF[[#This Row],[As,mín (cm²)]]/100^2*ECF[[#This Row],[Comprimento (m)]]*7850</f>
        <v>252.53378386616191</v>
      </c>
      <c r="AH204" s="4">
        <f ca="1">ECF[[#This Row],[nE]]*ECF[[#This Row],[Prof. (m)]]*ECF[[#This Row],[Ap (m²)]]</f>
        <v>48.254863159139227</v>
      </c>
      <c r="AI204" s="1">
        <f ca="1">IF(ECF[[#This Row],[nE]]=1,0,MAX(3*ECF[[#This Row],[Ø (cm)]],60))</f>
        <v>480</v>
      </c>
      <c r="AJ204" s="1">
        <f ca="1">IF(ECF[[#This Row],[nE]]=1,ECF[[#This Row],[Ø (cm)]]+2*10,MAX(1.5*ECF[[#This Row],[Ø (cm)]],ECF[[#This Row],[Ø (cm)]]+15))</f>
        <v>240</v>
      </c>
      <c r="AK204" s="1" t="str">
        <f ca="1">alturaUtil(ECF[[#This Row],[nE]],ECF[[#This Row],[Ø (cm)]],ECF[[#This Row],[e (cm)]],ECF[[#This Row],[ap,eq (cm)]])</f>
        <v>N.S.</v>
      </c>
      <c r="AL204" s="1" t="str">
        <f ca="1">IFERROR(ECF[[#This Row],[d (cm)]]+arredondarParaCimaMultiplo5cm(MAX(5,SQRT(PI())/2*ECF[[#This Row],[Ø (cm)]]/5)),"N.S.")</f>
        <v>N.S.</v>
      </c>
      <c r="AM204" s="5" t="str">
        <f ca="1">alpha(ECF[[#This Row],[nE]],ECF[[#This Row],[d (cm)]],ECF[[#This Row],[e (cm)]],ECF[[#This Row],[ap,eq (cm)]])</f>
        <v>N.S.</v>
      </c>
      <c r="AN204" s="35" t="str">
        <f ca="1">IFERROR(ECF[[#This Row],[Nsd (kN)]]/(ECF[[#This Row],[Ap (cm²)]]*SIN(ECF[[#This Row],[α]])^2),"N.S.")</f>
        <v>N.S.</v>
      </c>
      <c r="AO204" s="35" t="str">
        <f ca="1">IFERROR(ECF[[#This Row],[Nsd (kN)]]/(ECF[[#This Row],[nE]]*PI()*ECF[[#This Row],[Ø (cm)]]^2/4*SIN(ECF[[#This Row],[α]])^2),"N.S.")</f>
        <v>N.S.</v>
      </c>
      <c r="AP204" s="4" t="str">
        <f ca="1">IFERROR(INDEX(grupoEstacas[],ECF[[#This Row],[nE]],MATCH("coef. Blévot",grupoEstacas[#Headers],0)),"N.S.")</f>
        <v>N.S.</v>
      </c>
      <c r="AQ204" s="35" t="str">
        <f ca="1">IFERROR(ECF[[#This Row],[coef. Blévot]]*0.9*INDEX(tipoEstaca[],MATCH($D$2,tipoEstaca[TIPO DE ESTACA],0),MATCH("fcd (kN/cm²)",tipoEstaca[#Headers],0)),"N.S.")</f>
        <v>N.S.</v>
      </c>
      <c r="AR204" s="1" t="str">
        <f ca="1">IF(AND(ECF[[#This Row],[cd,b,pil (kN/cm²)]]&lt;=ECF[[#This Row],[cd,b,lim (kN/cm²)]],ECF[[#This Row],[cd,b,est (kN/cm²)]]&lt;=ECF[[#This Row],[cd,b,lim (kN/cm²)]]),"OK","ERRO")</f>
        <v>OK</v>
      </c>
      <c r="AS204" s="4" t="str">
        <f ca="1">As_lado(ECF[[#This Row],[nE]],ECF[[#This Row],[Nsd (kN)]],ECF[[#This Row],[d (cm)]],ECF[[#This Row],[e (cm)]],ECF[[#This Row],[ap,eq (cm)]])</f>
        <v>N.S.</v>
      </c>
      <c r="AT204" s="4" t="str">
        <f ca="1">IF(ECF[[#This Row],[nE]]=1,ECF[[#This Row],[As,lado (cm²)]],IF(ECF[[#This Row],[nE]]=2,0.075*2*ECF[a (cm)],"N.A."))</f>
        <v>N.A.</v>
      </c>
      <c r="AU204" s="4" t="str">
        <f ca="1">IFERROR(IF(ECF[[#This Row],[nE]]=1,"N.A.",0.2*ECF[[#This Row],[As,lado (cm²)]]),"N.S.")</f>
        <v>N.S.</v>
      </c>
      <c r="AV204" s="4" t="str">
        <f ca="1">As_malha(ECF[[#This Row],[nE]],ECF[[#This Row],[As,lado (cm²)]],ECF[[#This Row],[Nsd (kN)]])</f>
        <v>N.S.</v>
      </c>
      <c r="AW204" s="4" t="str">
        <f ca="1">As_susp_tot(ECF[[#This Row],[nE]],ECF[[#This Row],[Nsd (kN)]])</f>
        <v>N.S.</v>
      </c>
      <c r="AX204" s="4" t="str">
        <f ca="1">Asp_face(ECF[[#This Row],[nE]],ECF[[#This Row],[As,lado (cm²)]])</f>
        <v>N.S.</v>
      </c>
      <c r="AY204" s="5" t="str">
        <f ca="1">acoBloco(ECF[[#This Row],[nE]],ECF[[#This Row],[e (cm)]],ECF[[#This Row],[a (cm)]],ECF[[#This Row],[h (cm)]],ECF[[#This Row],[As,lado (cm²)]],ECF[[#This Row],[Asp e Asw (cm²/m)]],ECF[[#This Row],[As,sup (cm²)]],ECF[[#This Row],[As,malha (cm²)]],ECF[[#This Row],[As,susp,tot (cm²)]],ECF[[#This Row],[Asp,face (cm²)]])</f>
        <v>N.S.</v>
      </c>
      <c r="AZ204" s="4" t="str">
        <f ca="1">concretoBloco(ECF[[#This Row],[nE]],ECF[[#This Row],[e (cm)]],ECF[[#This Row],[a (cm)]],ECF[[#This Row],[h (cm)]])</f>
        <v>N.S.</v>
      </c>
      <c r="BA204" s="5">
        <f ca="1">SUM(ECF[[#This Row],[Aço Est (kg)]],ECF[[#This Row],[Aço Bloco (kg)]])</f>
        <v>252.53378386616191</v>
      </c>
      <c r="BB204" s="4">
        <f>INDEX(composicoes[],MATCH(95580,composicoes[CÓDIGO],0),MATCH("CUSTO TOTAL",composicoes[#Headers],0))</f>
        <v>10.46</v>
      </c>
      <c r="BC204" s="4">
        <f ca="1">SUM(ECF[[#This Row],[Conc Est (m³)]],ECF[[#This Row],[Conc Bloco (m³)]])</f>
        <v>48.254863159139227</v>
      </c>
      <c r="BD204" s="4">
        <f>INDEX(composicoes[],MATCH(94966,composicoes[CÓDIGO],0),MATCH("CUSTO TOTAL",composicoes[#Headers],0))</f>
        <v>439.52</v>
      </c>
      <c r="BE204" s="38">
        <f ca="1">ECF[[#This Row],[Aço (kg)]]*ECF[[#This Row],[Aço (R$/kg)]]+ECF[[#This Row],[Conc (m³)]]*ECF[[#This Row],[Conc (R$/m³)]]</f>
        <v>23850.480834944927</v>
      </c>
      <c r="BF204" s="4" t="str">
        <f ca="1">IF(COUNTIF(ECF[#This Row],"N.S.")&gt;0,"lim.","OK")</f>
        <v>lim.</v>
      </c>
      <c r="BG204" s="4" t="str">
        <f>IF(ECF[[#This Row],[Prof. (m)]]&lt;4,"lim.","OK")</f>
        <v>lim.</v>
      </c>
      <c r="BH204" s="4" t="str">
        <f>IF(ECF[[#This Row],[Prof. (m)]]&gt;=8*ECF[[#This Row],[Ø (cm)]]/100,"OK","lim.")</f>
        <v>lim.</v>
      </c>
      <c r="BI204" s="4" t="str">
        <f>IF(AND(SPT!$F$3&lt;&gt;"",ECF[[#This Row],[Prof. (m)]]&gt;=SPT!$F$3-2),"lim.","OK")</f>
        <v>OK</v>
      </c>
      <c r="BJ204" s="4" t="str">
        <f ca="1">IF(ECF[[#This Row],[Verif. Biela]]="OK","OK","lim.")</f>
        <v>OK</v>
      </c>
      <c r="BK204" s="4" t="str">
        <f ca="1">IF(COUNTA(ECF[[#This Row],[Nº Est.]:[Biela comp.]])=COUNTIF(ECF[[#This Row],[Nº Est.]:[Biela comp.]],"OK"),"OK","lim.")</f>
        <v>lim.</v>
      </c>
      <c r="BL204" s="4" t="str">
        <f ca="1">IF(ECF[[#This Row],[Controle]]="OK",ECF[[#This Row],[nE]]&amp;" Ø"&amp;ECF[[#This Row],[Ø (cm)]]&amp;"cm Prof. "&amp;ECF[[#This Row],[Prof. (m)]]&amp;" m","")</f>
        <v/>
      </c>
      <c r="BM204" s="4" t="str">
        <f ca="1">IF(ECF[[#This Row],[idDimensionamento]]="","",ECF[[#This Row],[idPilar]]&amp;ECF[[#This Row],[idDimensionamento]])</f>
        <v/>
      </c>
    </row>
    <row r="205" spans="2:65" x14ac:dyDescent="0.25">
      <c r="B205" s="12">
        <f>ROUNDUP((ROW(ECF[[#This Row],[idDiâmetro]])-ROW(ECF[[#Headers],[idDiâmetro]]))/(COUNT(SPT[Prof. (m)])*COUNT(PILARES[Pilar])),0)</f>
        <v>8</v>
      </c>
      <c r="C205" s="12">
        <f>IF(ECF[[#This Row],[idDiâmetro]]&lt;&gt;B204,1,IF(ECF[[#This Row],[Prof. (m)]]=0,C204+1,C204))</f>
        <v>1</v>
      </c>
      <c r="D205" s="1">
        <f>IFERROR(IF(D204=MAX(SPT[Prof. (m)]),0,D204+1),0)</f>
        <v>4</v>
      </c>
      <c r="E205" s="1">
        <f>INDEX(SPT[],MATCH(ECF[[#This Row],[Prof. (m)]],SPT[Prof. (m)],0),2)</f>
        <v>8</v>
      </c>
      <c r="F205" s="1" t="str">
        <f>INDEX(SPT[],MATCH(ECF[[#This Row],[Prof. (m)]],SPT[Prof. (m)],0),3)</f>
        <v>Areia siltosa</v>
      </c>
      <c r="G205" s="1">
        <f>INDEX(estacas[],ECF[[#This Row],[idDiâmetro]],MATCH($B$2,estacas[#Headers],0))</f>
        <v>160</v>
      </c>
      <c r="H205" s="1">
        <f>INDEX(estacas[],MATCH(ECF[[#This Row],[Ø (cm)]],estacas[Ø ECF (cm)],0),MATCH(ECF[[#Headers],[Pe ECF (kN)]],estacas[#Headers],0))</f>
        <v>8200</v>
      </c>
      <c r="I205" s="4">
        <f>INDEX(K_alpha_C[],MATCH(ECF[[#This Row],[Solo]],K_alpha_C[Solo],0),2)</f>
        <v>0.8</v>
      </c>
      <c r="J205" s="5">
        <f>INDEX(K_alpha_C[],MATCH(ECF[[#This Row],[Solo]],K_alpha_C[Solo],0),3)</f>
        <v>2</v>
      </c>
      <c r="K205" s="4">
        <f>INDEX(F1_F2[],MATCH($D$2,F1_F2[Tipo de estaca],0),2)</f>
        <v>3</v>
      </c>
      <c r="L205" s="4">
        <f>INDEX(F1_F2[],MATCH($D$2,F1_F2[Tipo de estaca],0),3)</f>
        <v>6</v>
      </c>
      <c r="M205" s="4">
        <f>PI()*(ECF[[#This Row],[Ø (cm)]]/100)^2/4</f>
        <v>2.0106192982974678</v>
      </c>
      <c r="N205" s="4">
        <f>PI()*ECF[[#This Row],[Ø (cm)]]/100</f>
        <v>5.026548245743669</v>
      </c>
      <c r="O205" s="4">
        <f>IF(ECF[[#This Row],[Prof. (m)]]=0,0,ECF[[#This Row],[α (%)]]/100*ECF[[#This Row],[K (MPa)]]*1000*ECF[[#This Row],[NSPT]])</f>
        <v>128</v>
      </c>
      <c r="P205" s="4">
        <f>IF(ECF[[#This Row],[Prof. (m)]]=0,0,(ECF[[#This Row],[K (MPa)]]*1000*ECF[[#This Row],[NSPT]]/ECF[[#This Row],[F1]]*ECF[[#This Row],[Ap (m²)]]+ECF[[#This Row],[U (m)]]/ECF[[#This Row],[F2]]*SUMIFS(ECF[(α∙K∙NL∙ΔL)],ECF[Prof. (m)],"&lt;="&amp;ECF[[#This Row],[Prof. (m)]],ECF[idDiâmetro],ECF[[#This Row],[idDiâmetro]],ECF[idPilar],ECF[[#This Row],[idPilar]]))/'DADOS CAP. CARGA'!$D$2)</f>
        <v>2251.8936140931642</v>
      </c>
      <c r="Q205" s="12">
        <f>INDEX(C_alpha_beta[],MATCH(ECF[[#This Row],[Solo]],C_alpha_beta[Solo],0),MATCH(ECF[[#Headers],[C (kPa)]],C_alpha_beta[#Headers],0))</f>
        <v>400</v>
      </c>
      <c r="R205" s="4">
        <f>INDEX(C_alpha_beta[],MATCH(ECF[[#This Row],[Solo]],C_alpha_beta[Solo],0),MATCH(ECF[[#Headers],[α ESF]],C_alpha_beta[#Headers],0))</f>
        <v>0.5</v>
      </c>
      <c r="S205" s="4">
        <f>INDEX(C_alpha_beta[],MATCH(ECF[[#This Row],[Solo]],C_alpha_beta[Solo],0),MATCH(ECF[[#Headers],[β ESF]],C_alpha_beta[#Headers],0))</f>
        <v>0.5</v>
      </c>
      <c r="T205" s="4">
        <f>IF(ECF[[#This Row],[Prof. (m)]]=0,0,10*(ECF[[#This Row],[NSPT]]/3+1))</f>
        <v>36.666666666666664</v>
      </c>
      <c r="U205" s="4">
        <f>(ECF[[#This Row],[α ESF]]*ECF[[#This Row],[C (kPa)]]*ECF[[#This Row],[NSPT]]*ECF[[#This Row],[Ap (m²)]])/'DADOS CAP. CARGA'!$Q$2+(ECF[[#This Row],[β ESF]]*SUMIFS(ECF[10∙(NL/3+1)],ECF[Prof. (m)],"&lt;="&amp;ECF[[#This Row],[Prof. (m)]],ECF[idDiâmetro],ECF[[#This Row],[idDiâmetro]],ECF[idPilar],ECF[[#This Row],[idPilar]])*ECF[[#This Row],[U (m)]])/'DADOS CAP. CARGA'!$S$2</f>
        <v>921.53384505300608</v>
      </c>
      <c r="V205" s="4">
        <f>IF(SPT!$M$5=1,MIN(ECF[[#This Row],[Pe ECF (kN)]],ECF[[#This Row],[R_AV (kN)]]),IF(SPT!$M$5=2,MIN(ECF[[#This Row],[Pe ECF (kN)]],ECF[[#This Row],[R_DC (kN)]]),MIN(ECF[[#This Row],[Pe ECF (kN)]],ECF[[#This Row],[R_AV (kN)]],ECF[[#This Row],[R_DC (kN)]])))</f>
        <v>921.53384505300608</v>
      </c>
      <c r="W205" s="4">
        <f>INDEX(PILARES[],ECF[[#This Row],[idPilar]],MATCH("Carga (kN)",PILARES[#Headers],0))*1.4</f>
        <v>3500</v>
      </c>
      <c r="X205" s="12">
        <f>INDEX(PILARES[],ECF[[#This Row],[idPilar]],MATCH(ECF[[#Headers],[ap (cm)]],PILARES[#Headers],0))</f>
        <v>60</v>
      </c>
      <c r="Y205" s="12">
        <f>INDEX(PILARES[],ECF[[#This Row],[idPilar]],MATCH(ECF[[#Headers],[bp (cm)]],PILARES[#Headers],0))</f>
        <v>60</v>
      </c>
      <c r="Z205" s="4">
        <f>SQRT(ECF[[#This Row],[ap (cm)]]*ECF[[#This Row],[bp (cm)]])</f>
        <v>60</v>
      </c>
      <c r="AA205" s="12">
        <f>ECF[[#This Row],[ap (cm)]]*ECF[[#This Row],[bp (cm)]]</f>
        <v>3600</v>
      </c>
      <c r="AB205" s="12">
        <f ca="1">IF(ECF[[#This Row],[Padm∙ε (kN)]]&gt;=ECF[[#This Row],[Padm (kN)]],ROUNDUP(1.05*ECF[[#This Row],[Nsd (kN)]]/ECF[[#This Row],[Padm (kN)]],0),ROUNDUP(1.05*ECF[[#This Row],[Nsd (kN)]]/ECF[[#This Row],[Padm (kN)]],0)+1)</f>
        <v>4</v>
      </c>
      <c r="AC205" s="4">
        <f ca="1">IFERROR(IF(ECF[[#This Row],[nE]]=1,ECF[[#This Row],[Padm (kN)]],ECF[[#This Row],[Padm (kN)]]*ECF[[#This Row],[nE]]*INDEX(grupoEstacas[],ECF[[#This Row],[nE]],MATCH("ε",grupoEstacas[#Headers],0))),"N.S.")</f>
        <v>2994.9849964222699</v>
      </c>
      <c r="AD205" s="4">
        <f ca="1">1.05*ECF[[#This Row],[Nsd (kN)]]/(ECF[[#This Row],[nE]]*PI()*ECF[[#This Row],[Ø (cm)]]^2/4)*10</f>
        <v>0.4569487623927464</v>
      </c>
      <c r="AE205" s="4">
        <f ca="1">IF(ECF[[#This Row],[σ (MPa)]]&lt;INDEX(tipoEstaca[],MATCH($D$2,tipoEstaca[TIPO DE ESTACA],0),MATCH("σmáx (MPa)",tipoEstaca[#Headers],0)),0.4%*PI()*ECF[[#This Row],[Ø (cm)]]^2/4,"N.S.")</f>
        <v>80.424771931898704</v>
      </c>
      <c r="AF205" s="1">
        <f>INDEX(tipoEstaca[],MATCH($D$2,tipoEstaca[TIPO DE ESTACA],0),MATCH(ECF[[#Headers],[Comprimento (m)]],tipoEstaca[#Headers],0))</f>
        <v>4</v>
      </c>
      <c r="AG205" s="5">
        <f ca="1">ECF[[#This Row],[As,mín (cm²)]]/100^2*ECF[[#This Row],[Comprimento (m)]]*7850</f>
        <v>252.53378386616191</v>
      </c>
      <c r="AH205" s="4">
        <f ca="1">ECF[[#This Row],[nE]]*ECF[[#This Row],[Prof. (m)]]*ECF[[#This Row],[Ap (m²)]]</f>
        <v>32.169908772759484</v>
      </c>
      <c r="AI205" s="1">
        <f ca="1">IF(ECF[[#This Row],[nE]]=1,0,MAX(3*ECF[[#This Row],[Ø (cm)]],60))</f>
        <v>480</v>
      </c>
      <c r="AJ205" s="1">
        <f ca="1">IF(ECF[[#This Row],[nE]]=1,ECF[[#This Row],[Ø (cm)]]+2*10,MAX(1.5*ECF[[#This Row],[Ø (cm)]],ECF[[#This Row],[Ø (cm)]]+15))</f>
        <v>240</v>
      </c>
      <c r="AK205" s="1">
        <f ca="1">alturaUtil(ECF[[#This Row],[nE]],ECF[[#This Row],[Ø (cm)]],ECF[[#This Row],[e (cm)]],ECF[[#This Row],[ap,eq (cm)]])</f>
        <v>225</v>
      </c>
      <c r="AL205" s="1">
        <f ca="1">IFERROR(ECF[[#This Row],[d (cm)]]+arredondarParaCimaMultiplo5cm(MAX(5,SQRT(PI())/2*ECF[[#This Row],[Ø (cm)]]/5)),"N.S.")</f>
        <v>255</v>
      </c>
      <c r="AM205" s="5">
        <f ca="1">alpha(ECF[[#This Row],[nE]],ECF[[#This Row],[d (cm)]],ECF[[#This Row],[e (cm)]],ECF[[#This Row],[ap,eq (cm)]])</f>
        <v>45</v>
      </c>
      <c r="AN205" s="35">
        <f ca="1">IFERROR(ECF[[#This Row],[Nsd (kN)]]/(ECF[[#This Row],[Ap (cm²)]]*SIN(ECF[[#This Row],[α]])^2),"N.S.")</f>
        <v>1.3427801064714635</v>
      </c>
      <c r="AO205" s="35">
        <f ca="1">IFERROR(ECF[[#This Row],[Nsd (kN)]]/(ECF[[#This Row],[nE]]*PI()*ECF[[#This Row],[Ø (cm)]]^2/4*SIN(ECF[[#This Row],[α]])^2),"N.S.")</f>
        <v>6.010596321479858E-2</v>
      </c>
      <c r="AP205" s="4">
        <f ca="1">IFERROR(INDEX(grupoEstacas[],ECF[[#This Row],[nE]],MATCH("coef. Blévot",grupoEstacas[#Headers],0)),"N.S.")</f>
        <v>2.1</v>
      </c>
      <c r="AQ205" s="35">
        <f ca="1">IFERROR(ECF[[#This Row],[coef. Blévot]]*0.9*INDEX(tipoEstaca[],MATCH($D$2,tipoEstaca[TIPO DE ESTACA],0),MATCH("fcd (kN/cm²)",tipoEstaca[#Headers],0)),"N.S.")</f>
        <v>2.1</v>
      </c>
      <c r="AR205" s="1" t="str">
        <f ca="1">IF(AND(ECF[[#This Row],[cd,b,pil (kN/cm²)]]&lt;=ECF[[#This Row],[cd,b,lim (kN/cm²)]],ECF[[#This Row],[cd,b,est (kN/cm²)]]&lt;=ECF[[#This Row],[cd,b,lim (kN/cm²)]]),"OK","ERRO")</f>
        <v>OK</v>
      </c>
      <c r="AS205" s="4">
        <f ca="1">As_lado(ECF[[#This Row],[nE]],ECF[[#This Row],[Nsd (kN)]],ECF[[#This Row],[d (cm)]],ECF[[#This Row],[e (cm)]],ECF[[#This Row],[ap,eq (cm)]])</f>
        <v>20.125</v>
      </c>
      <c r="AT205" s="4" t="str">
        <f ca="1">IF(ECF[[#This Row],[nE]]=1,ECF[[#This Row],[As,lado (cm²)]],IF(ECF[[#This Row],[nE]]=2,0.075*2*ECF[a (cm)],"N.A."))</f>
        <v>N.A.</v>
      </c>
      <c r="AU205" s="4">
        <f ca="1">IFERROR(IF(ECF[[#This Row],[nE]]=1,"N.A.",0.2*ECF[[#This Row],[As,lado (cm²)]]),"N.S.")</f>
        <v>4.0250000000000004</v>
      </c>
      <c r="AV205" s="4">
        <f ca="1">As_malha(ECF[[#This Row],[nE]],ECF[[#This Row],[As,lado (cm²)]],ECF[[#This Row],[Nsd (kN)]])</f>
        <v>4.0250000000000004</v>
      </c>
      <c r="AW205" s="4">
        <f ca="1">As_susp_tot(ECF[[#This Row],[nE]],ECF[[#This Row],[Nsd (kN)]])</f>
        <v>13.416666666666666</v>
      </c>
      <c r="AX205" s="4">
        <f ca="1">Asp_face(ECF[[#This Row],[nE]],ECF[[#This Row],[As,lado (cm²)]])</f>
        <v>10.0625</v>
      </c>
      <c r="AY205" s="5">
        <f ca="1">acoBloco(ECF[[#This Row],[nE]],ECF[[#This Row],[e (cm)]],ECF[[#This Row],[a (cm)]],ECF[[#This Row],[h (cm)]],ECF[[#This Row],[As,lado (cm²)]],ECF[[#This Row],[Asp e Asw (cm²/m)]],ECF[[#This Row],[As,sup (cm²)]],ECF[[#This Row],[As,malha (cm²)]],ECF[[#This Row],[As,susp,tot (cm²)]],ECF[[#This Row],[Asp,face (cm²)]])</f>
        <v>1118.8232125</v>
      </c>
      <c r="AZ205" s="4">
        <f ca="1">concretoBloco(ECF[[#This Row],[nE]],ECF[[#This Row],[e (cm)]],ECF[[#This Row],[a (cm)]],ECF[[#This Row],[h (cm)]])</f>
        <v>235.00800000000001</v>
      </c>
      <c r="BA205" s="5">
        <f ca="1">SUM(ECF[[#This Row],[Aço Est (kg)]],ECF[[#This Row],[Aço Bloco (kg)]])</f>
        <v>1371.3569963661619</v>
      </c>
      <c r="BB205" s="4">
        <f>INDEX(composicoes[],MATCH(95580,composicoes[CÓDIGO],0),MATCH("CUSTO TOTAL",composicoes[#Headers],0))</f>
        <v>10.46</v>
      </c>
      <c r="BC205" s="4">
        <f ca="1">SUM(ECF[[#This Row],[Conc Est (m³)]],ECF[[#This Row],[Conc Bloco (m³)]])</f>
        <v>267.17790877275951</v>
      </c>
      <c r="BD205" s="4">
        <f>INDEX(composicoes[],MATCH(94966,composicoes[CÓDIGO],0),MATCH("CUSTO TOTAL",composicoes[#Headers],0))</f>
        <v>439.52</v>
      </c>
      <c r="BE205" s="38">
        <f ca="1">ECF[[#This Row],[Aço (kg)]]*ECF[[#This Row],[Aço (R$/kg)]]+ECF[[#This Row],[Conc (m³)]]*ECF[[#This Row],[Conc (R$/m³)]]</f>
        <v>131774.42864579332</v>
      </c>
      <c r="BF205" s="4" t="str">
        <f ca="1">IF(COUNTIF(ECF[#This Row],"N.S.")&gt;0,"lim.","OK")</f>
        <v>OK</v>
      </c>
      <c r="BG205" s="4" t="str">
        <f>IF(ECF[[#This Row],[Prof. (m)]]&lt;4,"lim.","OK")</f>
        <v>OK</v>
      </c>
      <c r="BH205" s="4" t="str">
        <f>IF(ECF[[#This Row],[Prof. (m)]]&gt;=8*ECF[[#This Row],[Ø (cm)]]/100,"OK","lim.")</f>
        <v>lim.</v>
      </c>
      <c r="BI205" s="4" t="str">
        <f>IF(AND(SPT!$F$3&lt;&gt;"",ECF[[#This Row],[Prof. (m)]]&gt;=SPT!$F$3-2),"lim.","OK")</f>
        <v>OK</v>
      </c>
      <c r="BJ205" s="4" t="str">
        <f ca="1">IF(ECF[[#This Row],[Verif. Biela]]="OK","OK","lim.")</f>
        <v>OK</v>
      </c>
      <c r="BK205" s="4" t="str">
        <f ca="1">IF(COUNTA(ECF[[#This Row],[Nº Est.]:[Biela comp.]])=COUNTIF(ECF[[#This Row],[Nº Est.]:[Biela comp.]],"OK"),"OK","lim.")</f>
        <v>lim.</v>
      </c>
      <c r="BL205" s="4" t="str">
        <f ca="1">IF(ECF[[#This Row],[Controle]]="OK",ECF[[#This Row],[nE]]&amp;" Ø"&amp;ECF[[#This Row],[Ø (cm)]]&amp;"cm Prof. "&amp;ECF[[#This Row],[Prof. (m)]]&amp;" m","")</f>
        <v/>
      </c>
      <c r="BM205" s="4" t="str">
        <f ca="1">IF(ECF[[#This Row],[idDimensionamento]]="","",ECF[[#This Row],[idPilar]]&amp;ECF[[#This Row],[idDimensionamento]])</f>
        <v/>
      </c>
    </row>
    <row r="206" spans="2:65" x14ac:dyDescent="0.25">
      <c r="B206" s="12">
        <f>ROUNDUP((ROW(ECF[[#This Row],[idDiâmetro]])-ROW(ECF[[#Headers],[idDiâmetro]]))/(COUNT(SPT[Prof. (m)])*COUNT(PILARES[Pilar])),0)</f>
        <v>8</v>
      </c>
      <c r="C206" s="12">
        <f>IF(ECF[[#This Row],[idDiâmetro]]&lt;&gt;B205,1,IF(ECF[[#This Row],[Prof. (m)]]=0,C205+1,C205))</f>
        <v>1</v>
      </c>
      <c r="D206" s="1">
        <f>IFERROR(IF(D205=MAX(SPT[Prof. (m)]),0,D205+1),0)</f>
        <v>5</v>
      </c>
      <c r="E206" s="1">
        <f>INDEX(SPT[],MATCH(ECF[[#This Row],[Prof. (m)]],SPT[Prof. (m)],0),2)</f>
        <v>17</v>
      </c>
      <c r="F206" s="1" t="str">
        <f>INDEX(SPT[],MATCH(ECF[[#This Row],[Prof. (m)]],SPT[Prof. (m)],0),3)</f>
        <v>Areia siltosa</v>
      </c>
      <c r="G206" s="1">
        <f>INDEX(estacas[],ECF[[#This Row],[idDiâmetro]],MATCH($B$2,estacas[#Headers],0))</f>
        <v>160</v>
      </c>
      <c r="H206" s="1">
        <f>INDEX(estacas[],MATCH(ECF[[#This Row],[Ø (cm)]],estacas[Ø ECF (cm)],0),MATCH(ECF[[#Headers],[Pe ECF (kN)]],estacas[#Headers],0))</f>
        <v>8200</v>
      </c>
      <c r="I206" s="4">
        <f>INDEX(K_alpha_C[],MATCH(ECF[[#This Row],[Solo]],K_alpha_C[Solo],0),2)</f>
        <v>0.8</v>
      </c>
      <c r="J206" s="5">
        <f>INDEX(K_alpha_C[],MATCH(ECF[[#This Row],[Solo]],K_alpha_C[Solo],0),3)</f>
        <v>2</v>
      </c>
      <c r="K206" s="4">
        <f>INDEX(F1_F2[],MATCH($D$2,F1_F2[Tipo de estaca],0),2)</f>
        <v>3</v>
      </c>
      <c r="L206" s="4">
        <f>INDEX(F1_F2[],MATCH($D$2,F1_F2[Tipo de estaca],0),3)</f>
        <v>6</v>
      </c>
      <c r="M206" s="4">
        <f>PI()*(ECF[[#This Row],[Ø (cm)]]/100)^2/4</f>
        <v>2.0106192982974678</v>
      </c>
      <c r="N206" s="4">
        <f>PI()*ECF[[#This Row],[Ø (cm)]]/100</f>
        <v>5.026548245743669</v>
      </c>
      <c r="O206" s="4">
        <f>IF(ECF[[#This Row],[Prof. (m)]]=0,0,ECF[[#This Row],[α (%)]]/100*ECF[[#This Row],[K (MPa)]]*1000*ECF[[#This Row],[NSPT]])</f>
        <v>272</v>
      </c>
      <c r="P206" s="4">
        <f>IF(ECF[[#This Row],[Prof. (m)]]=0,0,(ECF[[#This Row],[K (MPa)]]*1000*ECF[[#This Row],[NSPT]]/ECF[[#This Row],[F1]]*ECF[[#This Row],[Ap (m²)]]+ECF[[#This Row],[U (m)]]/ECF[[#This Row],[F2]]*SUMIFS(ECF[(α∙K∙NL∙ΔL)],ECF[Prof. (m)],"&lt;="&amp;ECF[[#This Row],[Prof. (m)]],ECF[idDiâmetro],ECF[[#This Row],[idDiâmetro]],ECF[idPilar],ECF[[#This Row],[idPilar]]))/'DADOS CAP. CARGA'!$D$2)</f>
        <v>4778.5718656203153</v>
      </c>
      <c r="Q206" s="12">
        <f>INDEX(C_alpha_beta[],MATCH(ECF[[#This Row],[Solo]],C_alpha_beta[Solo],0),MATCH(ECF[[#Headers],[C (kPa)]],C_alpha_beta[#Headers],0))</f>
        <v>400</v>
      </c>
      <c r="R206" s="4">
        <f>INDEX(C_alpha_beta[],MATCH(ECF[[#This Row],[Solo]],C_alpha_beta[Solo],0),MATCH(ECF[[#Headers],[α ESF]],C_alpha_beta[#Headers],0))</f>
        <v>0.5</v>
      </c>
      <c r="S206" s="4">
        <f>INDEX(C_alpha_beta[],MATCH(ECF[[#This Row],[Solo]],C_alpha_beta[Solo],0),MATCH(ECF[[#Headers],[β ESF]],C_alpha_beta[#Headers],0))</f>
        <v>0.5</v>
      </c>
      <c r="T206" s="4">
        <f>IF(ECF[[#This Row],[Prof. (m)]]=0,0,10*(ECF[[#This Row],[NSPT]]/3+1))</f>
        <v>66.666666666666671</v>
      </c>
      <c r="U206" s="4">
        <f>(ECF[[#This Row],[α ESF]]*ECF[[#This Row],[C (kPa)]]*ECF[[#This Row],[NSPT]]*ECF[[#This Row],[Ap (m²)]])/'DADOS CAP. CARGA'!$Q$2+(ECF[[#This Row],[β ESF]]*SUMIFS(ECF[10∙(NL/3+1)],ECF[Prof. (m)],"&lt;="&amp;ECF[[#This Row],[Prof. (m)]],ECF[idDiâmetro],ECF[[#This Row],[idDiâmetro]],ECF[idPilar],ECF[[#This Row],[idPilar]])*ECF[[#This Row],[U (m)]])/'DADOS CAP. CARGA'!$S$2</f>
        <v>1910.0883333825943</v>
      </c>
      <c r="V206" s="4">
        <f>IF(SPT!$M$5=1,MIN(ECF[[#This Row],[Pe ECF (kN)]],ECF[[#This Row],[R_AV (kN)]]),IF(SPT!$M$5=2,MIN(ECF[[#This Row],[Pe ECF (kN)]],ECF[[#This Row],[R_DC (kN)]]),MIN(ECF[[#This Row],[Pe ECF (kN)]],ECF[[#This Row],[R_AV (kN)]],ECF[[#This Row],[R_DC (kN)]])))</f>
        <v>1910.0883333825943</v>
      </c>
      <c r="W206" s="4">
        <f>INDEX(PILARES[],ECF[[#This Row],[idPilar]],MATCH("Carga (kN)",PILARES[#Headers],0))*1.4</f>
        <v>3500</v>
      </c>
      <c r="X206" s="12">
        <f>INDEX(PILARES[],ECF[[#This Row],[idPilar]],MATCH(ECF[[#Headers],[ap (cm)]],PILARES[#Headers],0))</f>
        <v>60</v>
      </c>
      <c r="Y206" s="12">
        <f>INDEX(PILARES[],ECF[[#This Row],[idPilar]],MATCH(ECF[[#Headers],[bp (cm)]],PILARES[#Headers],0))</f>
        <v>60</v>
      </c>
      <c r="Z206" s="4">
        <f>SQRT(ECF[[#This Row],[ap (cm)]]*ECF[[#This Row],[bp (cm)]])</f>
        <v>60</v>
      </c>
      <c r="AA206" s="12">
        <f>ECF[[#This Row],[ap (cm)]]*ECF[[#This Row],[bp (cm)]]</f>
        <v>3600</v>
      </c>
      <c r="AB206" s="12">
        <f ca="1">IF(ECF[[#This Row],[Padm∙ε (kN)]]&gt;=ECF[[#This Row],[Padm (kN)]],ROUNDUP(1.05*ECF[[#This Row],[Nsd (kN)]]/ECF[[#This Row],[Padm (kN)]],0),ROUNDUP(1.05*ECF[[#This Row],[Nsd (kN)]]/ECF[[#This Row],[Padm (kN)]],0)+1)</f>
        <v>2</v>
      </c>
      <c r="AC206" s="4">
        <f ca="1">IFERROR(IF(ECF[[#This Row],[nE]]=1,ECF[[#This Row],[Padm (kN)]],ECF[[#This Row],[Padm (kN)]]*ECF[[#This Row],[nE]]*INDEX(grupoEstacas[],ECF[[#This Row],[nE]],MATCH("ε",grupoEstacas[#Headers],0))),"N.S.")</f>
        <v>3581.4156250923643</v>
      </c>
      <c r="AD206" s="4">
        <f ca="1">1.05*ECF[[#This Row],[Nsd (kN)]]/(ECF[[#This Row],[nE]]*PI()*ECF[[#This Row],[Ø (cm)]]^2/4)*10</f>
        <v>0.9138975247854928</v>
      </c>
      <c r="AE206" s="4">
        <f ca="1">IF(ECF[[#This Row],[σ (MPa)]]&lt;INDEX(tipoEstaca[],MATCH($D$2,tipoEstaca[TIPO DE ESTACA],0),MATCH("σmáx (MPa)",tipoEstaca[#Headers],0)),0.4%*PI()*ECF[[#This Row],[Ø (cm)]]^2/4,"N.S.")</f>
        <v>80.424771931898704</v>
      </c>
      <c r="AF206" s="1">
        <f>INDEX(tipoEstaca[],MATCH($D$2,tipoEstaca[TIPO DE ESTACA],0),MATCH(ECF[[#Headers],[Comprimento (m)]],tipoEstaca[#Headers],0))</f>
        <v>4</v>
      </c>
      <c r="AG206" s="5">
        <f ca="1">ECF[[#This Row],[As,mín (cm²)]]/100^2*ECF[[#This Row],[Comprimento (m)]]*7850</f>
        <v>252.53378386616191</v>
      </c>
      <c r="AH206" s="4">
        <f ca="1">ECF[[#This Row],[nE]]*ECF[[#This Row],[Prof. (m)]]*ECF[[#This Row],[Ap (m²)]]</f>
        <v>20.106192982974676</v>
      </c>
      <c r="AI206" s="1">
        <f ca="1">IF(ECF[[#This Row],[nE]]=1,0,MAX(3*ECF[[#This Row],[Ø (cm)]],60))</f>
        <v>480</v>
      </c>
      <c r="AJ206" s="1">
        <f ca="1">IF(ECF[[#This Row],[nE]]=1,ECF[[#This Row],[Ø (cm)]]+2*10,MAX(1.5*ECF[[#This Row],[Ø (cm)]],ECF[[#This Row],[Ø (cm)]]+15))</f>
        <v>240</v>
      </c>
      <c r="AK206" s="1">
        <f ca="1">alturaUtil(ECF[[#This Row],[nE]],ECF[[#This Row],[Ø (cm)]],ECF[[#This Row],[e (cm)]],ECF[[#This Row],[ap,eq (cm)]])</f>
        <v>225</v>
      </c>
      <c r="AL206" s="1">
        <f ca="1">IFERROR(ECF[[#This Row],[d (cm)]]+arredondarParaCimaMultiplo5cm(MAX(5,SQRT(PI())/2*ECF[[#This Row],[Ø (cm)]]/5)),"N.S.")</f>
        <v>255</v>
      </c>
      <c r="AM206" s="5">
        <f ca="1">alpha(ECF[[#This Row],[nE]],ECF[[#This Row],[d (cm)]],ECF[[#This Row],[e (cm)]],ECF[[#This Row],[ap,eq (cm)]])</f>
        <v>45</v>
      </c>
      <c r="AN206" s="35">
        <f ca="1">IFERROR(ECF[[#This Row],[Nsd (kN)]]/(ECF[[#This Row],[Ap (cm²)]]*SIN(ECF[[#This Row],[α]])^2),"N.S.")</f>
        <v>1.3427801064714635</v>
      </c>
      <c r="AO206" s="35">
        <f ca="1">IFERROR(ECF[[#This Row],[Nsd (kN)]]/(ECF[[#This Row],[nE]]*PI()*ECF[[#This Row],[Ø (cm)]]^2/4*SIN(ECF[[#This Row],[α]])^2),"N.S.")</f>
        <v>0.12021192642959716</v>
      </c>
      <c r="AP206" s="4">
        <f ca="1">IFERROR(INDEX(grupoEstacas[],ECF[[#This Row],[nE]],MATCH("coef. Blévot",grupoEstacas[#Headers],0)),"N.S.")</f>
        <v>1.4</v>
      </c>
      <c r="AQ206" s="35">
        <f ca="1">IFERROR(ECF[[#This Row],[coef. Blévot]]*0.9*INDEX(tipoEstaca[],MATCH($D$2,tipoEstaca[TIPO DE ESTACA],0),MATCH("fcd (kN/cm²)",tipoEstaca[#Headers],0)),"N.S.")</f>
        <v>1.4000000000000001</v>
      </c>
      <c r="AR206" s="1" t="str">
        <f ca="1">IF(AND(ECF[[#This Row],[cd,b,pil (kN/cm²)]]&lt;=ECF[[#This Row],[cd,b,lim (kN/cm²)]],ECF[[#This Row],[cd,b,est (kN/cm²)]]&lt;=ECF[[#This Row],[cd,b,lim (kN/cm²)]]),"OK","ERRO")</f>
        <v>OK</v>
      </c>
      <c r="AS206" s="4">
        <f ca="1">As_lado(ECF[[#This Row],[nE]],ECF[[#This Row],[Nsd (kN)]],ECF[[#This Row],[d (cm)]],ECF[[#This Row],[e (cm)]],ECF[[#This Row],[ap,eq (cm)]])</f>
        <v>46.287499999999994</v>
      </c>
      <c r="AT206" s="4">
        <f ca="1">IF(ECF[[#This Row],[nE]]=1,ECF[[#This Row],[As,lado (cm²)]],IF(ECF[[#This Row],[nE]]=2,0.075*2*ECF[a (cm)],"N.A."))</f>
        <v>36</v>
      </c>
      <c r="AU206" s="4">
        <f ca="1">IFERROR(IF(ECF[[#This Row],[nE]]=1,"N.A.",0.2*ECF[[#This Row],[As,lado (cm²)]]),"N.S.")</f>
        <v>9.2574999999999985</v>
      </c>
      <c r="AV206" s="4" t="str">
        <f ca="1">As_malha(ECF[[#This Row],[nE]],ECF[[#This Row],[As,lado (cm²)]],ECF[[#This Row],[Nsd (kN)]])</f>
        <v>N.A.</v>
      </c>
      <c r="AW206" s="4" t="str">
        <f ca="1">As_susp_tot(ECF[[#This Row],[nE]],ECF[[#This Row],[Nsd (kN)]])</f>
        <v>N.A.</v>
      </c>
      <c r="AX206" s="4" t="str">
        <f ca="1">Asp_face(ECF[[#This Row],[nE]],ECF[[#This Row],[As,lado (cm²)]])</f>
        <v>N.A.</v>
      </c>
      <c r="AY206" s="5">
        <f ca="1">acoBloco(ECF[[#This Row],[nE]],ECF[[#This Row],[e (cm)]],ECF[[#This Row],[a (cm)]],ECF[[#This Row],[h (cm)]],ECF[[#This Row],[As,lado (cm²)]],ECF[[#This Row],[Asp e Asw (cm²/m)]],ECF[[#This Row],[As,sup (cm²)]],ECF[[#This Row],[As,malha (cm²)]],ECF[[#This Row],[As,susp,tot (cm²)]],ECF[[#This Row],[Asp,face (cm²)]])</f>
        <v>6482.0527199999997</v>
      </c>
      <c r="AZ206" s="4">
        <f ca="1">concretoBloco(ECF[[#This Row],[nE]],ECF[[#This Row],[e (cm)]],ECF[[#This Row],[a (cm)]],ECF[[#This Row],[h (cm)]])</f>
        <v>117.504</v>
      </c>
      <c r="BA206" s="5">
        <f ca="1">SUM(ECF[[#This Row],[Aço Est (kg)]],ECF[[#This Row],[Aço Bloco (kg)]])</f>
        <v>6734.5865038661614</v>
      </c>
      <c r="BB206" s="4">
        <f>INDEX(composicoes[],MATCH(95580,composicoes[CÓDIGO],0),MATCH("CUSTO TOTAL",composicoes[#Headers],0))</f>
        <v>10.46</v>
      </c>
      <c r="BC206" s="4">
        <f ca="1">SUM(ECF[[#This Row],[Conc Est (m³)]],ECF[[#This Row],[Conc Bloco (m³)]])</f>
        <v>137.6101929829747</v>
      </c>
      <c r="BD206" s="4">
        <f>INDEX(composicoes[],MATCH(94966,composicoes[CÓDIGO],0),MATCH("CUSTO TOTAL",composicoes[#Headers],0))</f>
        <v>439.52</v>
      </c>
      <c r="BE206" s="38">
        <f ca="1">ECF[[#This Row],[Aço (kg)]]*ECF[[#This Row],[Aço (R$/kg)]]+ECF[[#This Row],[Conc (m³)]]*ECF[[#This Row],[Conc (R$/m³)]]</f>
        <v>130926.2068503171</v>
      </c>
      <c r="BF206" s="4" t="str">
        <f ca="1">IF(COUNTIF(ECF[#This Row],"N.S.")&gt;0,"lim.","OK")</f>
        <v>OK</v>
      </c>
      <c r="BG206" s="4" t="str">
        <f>IF(ECF[[#This Row],[Prof. (m)]]&lt;4,"lim.","OK")</f>
        <v>OK</v>
      </c>
      <c r="BH206" s="4" t="str">
        <f>IF(ECF[[#This Row],[Prof. (m)]]&gt;=8*ECF[[#This Row],[Ø (cm)]]/100,"OK","lim.")</f>
        <v>lim.</v>
      </c>
      <c r="BI206" s="4" t="str">
        <f>IF(AND(SPT!$F$3&lt;&gt;"",ECF[[#This Row],[Prof. (m)]]&gt;=SPT!$F$3-2),"lim.","OK")</f>
        <v>OK</v>
      </c>
      <c r="BJ206" s="4" t="str">
        <f ca="1">IF(ECF[[#This Row],[Verif. Biela]]="OK","OK","lim.")</f>
        <v>OK</v>
      </c>
      <c r="BK206" s="4" t="str">
        <f ca="1">IF(COUNTA(ECF[[#This Row],[Nº Est.]:[Biela comp.]])=COUNTIF(ECF[[#This Row],[Nº Est.]:[Biela comp.]],"OK"),"OK","lim.")</f>
        <v>lim.</v>
      </c>
      <c r="BL206" s="4" t="str">
        <f ca="1">IF(ECF[[#This Row],[Controle]]="OK",ECF[[#This Row],[nE]]&amp;" Ø"&amp;ECF[[#This Row],[Ø (cm)]]&amp;"cm Prof. "&amp;ECF[[#This Row],[Prof. (m)]]&amp;" m","")</f>
        <v/>
      </c>
      <c r="BM206" s="4" t="str">
        <f ca="1">IF(ECF[[#This Row],[idDimensionamento]]="","",ECF[[#This Row],[idPilar]]&amp;ECF[[#This Row],[idDimensionamento]])</f>
        <v/>
      </c>
    </row>
    <row r="207" spans="2:65" x14ac:dyDescent="0.25">
      <c r="B207" s="12">
        <f>ROUNDUP((ROW(ECF[[#This Row],[idDiâmetro]])-ROW(ECF[[#Headers],[idDiâmetro]]))/(COUNT(SPT[Prof. (m)])*COUNT(PILARES[Pilar])),0)</f>
        <v>8</v>
      </c>
      <c r="C207" s="12">
        <f>IF(ECF[[#This Row],[idDiâmetro]]&lt;&gt;B206,1,IF(ECF[[#This Row],[Prof. (m)]]=0,C206+1,C206))</f>
        <v>1</v>
      </c>
      <c r="D207" s="1">
        <f>IFERROR(IF(D206=MAX(SPT[Prof. (m)]),0,D206+1),0)</f>
        <v>6</v>
      </c>
      <c r="E207" s="1">
        <f>INDEX(SPT[],MATCH(ECF[[#This Row],[Prof. (m)]],SPT[Prof. (m)],0),2)</f>
        <v>21</v>
      </c>
      <c r="F207" s="1" t="str">
        <f>INDEX(SPT[],MATCH(ECF[[#This Row],[Prof. (m)]],SPT[Prof. (m)],0),3)</f>
        <v>Silte arenoso</v>
      </c>
      <c r="G207" s="1">
        <f>INDEX(estacas[],ECF[[#This Row],[idDiâmetro]],MATCH($B$2,estacas[#Headers],0))</f>
        <v>160</v>
      </c>
      <c r="H207" s="1">
        <f>INDEX(estacas[],MATCH(ECF[[#This Row],[Ø (cm)]],estacas[Ø ECF (cm)],0),MATCH(ECF[[#Headers],[Pe ECF (kN)]],estacas[#Headers],0))</f>
        <v>8200</v>
      </c>
      <c r="I207" s="4">
        <f>INDEX(K_alpha_C[],MATCH(ECF[[#This Row],[Solo]],K_alpha_C[Solo],0),2)</f>
        <v>0.55000000000000004</v>
      </c>
      <c r="J207" s="5">
        <f>INDEX(K_alpha_C[],MATCH(ECF[[#This Row],[Solo]],K_alpha_C[Solo],0),3)</f>
        <v>2.2000000000000002</v>
      </c>
      <c r="K207" s="4">
        <f>INDEX(F1_F2[],MATCH($D$2,F1_F2[Tipo de estaca],0),2)</f>
        <v>3</v>
      </c>
      <c r="L207" s="4">
        <f>INDEX(F1_F2[],MATCH($D$2,F1_F2[Tipo de estaca],0),3)</f>
        <v>6</v>
      </c>
      <c r="M207" s="4">
        <f>PI()*(ECF[[#This Row],[Ø (cm)]]/100)^2/4</f>
        <v>2.0106192982974678</v>
      </c>
      <c r="N207" s="4">
        <f>PI()*ECF[[#This Row],[Ø (cm)]]/100</f>
        <v>5.026548245743669</v>
      </c>
      <c r="O207" s="4">
        <f>IF(ECF[[#This Row],[Prof. (m)]]=0,0,ECF[[#This Row],[α (%)]]/100*ECF[[#This Row],[K (MPa)]]*1000*ECF[[#This Row],[NSPT]])</f>
        <v>254.10000000000002</v>
      </c>
      <c r="P207" s="4">
        <f>IF(ECF[[#This Row],[Prof. (m)]]=0,0,(ECF[[#This Row],[K (MPa)]]*1000*ECF[[#This Row],[NSPT]]/ECF[[#This Row],[F1]]*ECF[[#This Row],[Ap (m²)]]+ECF[[#This Row],[U (m)]]/ECF[[#This Row],[F2]]*SUMIFS(ECF[(α∙K∙NL∙ΔL)],ECF[Prof. (m)],"&lt;="&amp;ECF[[#This Row],[Prof. (m)]],ECF[idDiâmetro],ECF[[#This Row],[idDiâmetro]],ECF[idPilar],ECF[[#This Row],[idPilar]]))/'DADOS CAP. CARGA'!$D$2)</f>
        <v>4198.0474311389689</v>
      </c>
      <c r="Q207" s="12">
        <f>INDEX(C_alpha_beta[],MATCH(ECF[[#This Row],[Solo]],C_alpha_beta[Solo],0),MATCH(ECF[[#Headers],[C (kPa)]],C_alpha_beta[#Headers],0))</f>
        <v>250</v>
      </c>
      <c r="R207" s="4">
        <f>INDEX(C_alpha_beta[],MATCH(ECF[[#This Row],[Solo]],C_alpha_beta[Solo],0),MATCH(ECF[[#Headers],[α ESF]],C_alpha_beta[#Headers],0))</f>
        <v>0.6</v>
      </c>
      <c r="S207" s="4">
        <f>INDEX(C_alpha_beta[],MATCH(ECF[[#This Row],[Solo]],C_alpha_beta[Solo],0),MATCH(ECF[[#Headers],[β ESF]],C_alpha_beta[#Headers],0))</f>
        <v>0.65</v>
      </c>
      <c r="T207" s="4">
        <f>IF(ECF[[#This Row],[Prof. (m)]]=0,0,10*(ECF[[#This Row],[NSPT]]/3+1))</f>
        <v>80</v>
      </c>
      <c r="U207" s="4">
        <f>(ECF[[#This Row],[α ESF]]*ECF[[#This Row],[C (kPa)]]*ECF[[#This Row],[NSPT]]*ECF[[#This Row],[Ap (m²)]])/'DADOS CAP. CARGA'!$Q$2+(ECF[[#This Row],[β ESF]]*SUMIFS(ECF[10∙(NL/3+1)],ECF[Prof. (m)],"&lt;="&amp;ECF[[#This Row],[Prof. (m)]],ECF[idDiâmetro],ECF[[#This Row],[idDiâmetro]],ECF[idPilar],ECF[[#This Row],[idPilar]])*ECF[[#This Row],[U (m)]])/'DADOS CAP. CARGA'!$S$2</f>
        <v>1975.4334605772619</v>
      </c>
      <c r="V207" s="4">
        <f>IF(SPT!$M$5=1,MIN(ECF[[#This Row],[Pe ECF (kN)]],ECF[[#This Row],[R_AV (kN)]]),IF(SPT!$M$5=2,MIN(ECF[[#This Row],[Pe ECF (kN)]],ECF[[#This Row],[R_DC (kN)]]),MIN(ECF[[#This Row],[Pe ECF (kN)]],ECF[[#This Row],[R_AV (kN)]],ECF[[#This Row],[R_DC (kN)]])))</f>
        <v>1975.4334605772619</v>
      </c>
      <c r="W207" s="4">
        <f>INDEX(PILARES[],ECF[[#This Row],[idPilar]],MATCH("Carga (kN)",PILARES[#Headers],0))*1.4</f>
        <v>3500</v>
      </c>
      <c r="X207" s="12">
        <f>INDEX(PILARES[],ECF[[#This Row],[idPilar]],MATCH(ECF[[#Headers],[ap (cm)]],PILARES[#Headers],0))</f>
        <v>60</v>
      </c>
      <c r="Y207" s="12">
        <f>INDEX(PILARES[],ECF[[#This Row],[idPilar]],MATCH(ECF[[#Headers],[bp (cm)]],PILARES[#Headers],0))</f>
        <v>60</v>
      </c>
      <c r="Z207" s="4">
        <f>SQRT(ECF[[#This Row],[ap (cm)]]*ECF[[#This Row],[bp (cm)]])</f>
        <v>60</v>
      </c>
      <c r="AA207" s="12">
        <f>ECF[[#This Row],[ap (cm)]]*ECF[[#This Row],[bp (cm)]]</f>
        <v>3600</v>
      </c>
      <c r="AB207" s="12">
        <f ca="1">IF(ECF[[#This Row],[Padm∙ε (kN)]]&gt;=ECF[[#This Row],[Padm (kN)]],ROUNDUP(1.05*ECF[[#This Row],[Nsd (kN)]]/ECF[[#This Row],[Padm (kN)]],0),ROUNDUP(1.05*ECF[[#This Row],[Nsd (kN)]]/ECF[[#This Row],[Padm (kN)]],0)+1)</f>
        <v>2</v>
      </c>
      <c r="AC207" s="4">
        <f ca="1">IFERROR(IF(ECF[[#This Row],[nE]]=1,ECF[[#This Row],[Padm (kN)]],ECF[[#This Row],[Padm (kN)]]*ECF[[#This Row],[nE]]*INDEX(grupoEstacas[],ECF[[#This Row],[nE]],MATCH("ε",grupoEstacas[#Headers],0))),"N.S.")</f>
        <v>3703.9377385823664</v>
      </c>
      <c r="AD207" s="4">
        <f ca="1">1.05*ECF[[#This Row],[Nsd (kN)]]/(ECF[[#This Row],[nE]]*PI()*ECF[[#This Row],[Ø (cm)]]^2/4)*10</f>
        <v>0.9138975247854928</v>
      </c>
      <c r="AE207" s="4">
        <f ca="1">IF(ECF[[#This Row],[σ (MPa)]]&lt;INDEX(tipoEstaca[],MATCH($D$2,tipoEstaca[TIPO DE ESTACA],0),MATCH("σmáx (MPa)",tipoEstaca[#Headers],0)),0.4%*PI()*ECF[[#This Row],[Ø (cm)]]^2/4,"N.S.")</f>
        <v>80.424771931898704</v>
      </c>
      <c r="AF207" s="1">
        <f>INDEX(tipoEstaca[],MATCH($D$2,tipoEstaca[TIPO DE ESTACA],0),MATCH(ECF[[#Headers],[Comprimento (m)]],tipoEstaca[#Headers],0))</f>
        <v>4</v>
      </c>
      <c r="AG207" s="5">
        <f ca="1">ECF[[#This Row],[As,mín (cm²)]]/100^2*ECF[[#This Row],[Comprimento (m)]]*7850</f>
        <v>252.53378386616191</v>
      </c>
      <c r="AH207" s="4">
        <f ca="1">ECF[[#This Row],[nE]]*ECF[[#This Row],[Prof. (m)]]*ECF[[#This Row],[Ap (m²)]]</f>
        <v>24.127431579569613</v>
      </c>
      <c r="AI207" s="1">
        <f ca="1">IF(ECF[[#This Row],[nE]]=1,0,MAX(3*ECF[[#This Row],[Ø (cm)]],60))</f>
        <v>480</v>
      </c>
      <c r="AJ207" s="1">
        <f ca="1">IF(ECF[[#This Row],[nE]]=1,ECF[[#This Row],[Ø (cm)]]+2*10,MAX(1.5*ECF[[#This Row],[Ø (cm)]],ECF[[#This Row],[Ø (cm)]]+15))</f>
        <v>240</v>
      </c>
      <c r="AK207" s="1">
        <f ca="1">alturaUtil(ECF[[#This Row],[nE]],ECF[[#This Row],[Ø (cm)]],ECF[[#This Row],[e (cm)]],ECF[[#This Row],[ap,eq (cm)]])</f>
        <v>225</v>
      </c>
      <c r="AL207" s="1">
        <f ca="1">IFERROR(ECF[[#This Row],[d (cm)]]+arredondarParaCimaMultiplo5cm(MAX(5,SQRT(PI())/2*ECF[[#This Row],[Ø (cm)]]/5)),"N.S.")</f>
        <v>255</v>
      </c>
      <c r="AM207" s="5">
        <f ca="1">alpha(ECF[[#This Row],[nE]],ECF[[#This Row],[d (cm)]],ECF[[#This Row],[e (cm)]],ECF[[#This Row],[ap,eq (cm)]])</f>
        <v>45</v>
      </c>
      <c r="AN207" s="35">
        <f ca="1">IFERROR(ECF[[#This Row],[Nsd (kN)]]/(ECF[[#This Row],[Ap (cm²)]]*SIN(ECF[[#This Row],[α]])^2),"N.S.")</f>
        <v>1.3427801064714635</v>
      </c>
      <c r="AO207" s="35">
        <f ca="1">IFERROR(ECF[[#This Row],[Nsd (kN)]]/(ECF[[#This Row],[nE]]*PI()*ECF[[#This Row],[Ø (cm)]]^2/4*SIN(ECF[[#This Row],[α]])^2),"N.S.")</f>
        <v>0.12021192642959716</v>
      </c>
      <c r="AP207" s="4">
        <f ca="1">IFERROR(INDEX(grupoEstacas[],ECF[[#This Row],[nE]],MATCH("coef. Blévot",grupoEstacas[#Headers],0)),"N.S.")</f>
        <v>1.4</v>
      </c>
      <c r="AQ207" s="35">
        <f ca="1">IFERROR(ECF[[#This Row],[coef. Blévot]]*0.9*INDEX(tipoEstaca[],MATCH($D$2,tipoEstaca[TIPO DE ESTACA],0),MATCH("fcd (kN/cm²)",tipoEstaca[#Headers],0)),"N.S.")</f>
        <v>1.4000000000000001</v>
      </c>
      <c r="AR207" s="1" t="str">
        <f ca="1">IF(AND(ECF[[#This Row],[cd,b,pil (kN/cm²)]]&lt;=ECF[[#This Row],[cd,b,lim (kN/cm²)]],ECF[[#This Row],[cd,b,est (kN/cm²)]]&lt;=ECF[[#This Row],[cd,b,lim (kN/cm²)]]),"OK","ERRO")</f>
        <v>OK</v>
      </c>
      <c r="AS207" s="4">
        <f ca="1">As_lado(ECF[[#This Row],[nE]],ECF[[#This Row],[Nsd (kN)]],ECF[[#This Row],[d (cm)]],ECF[[#This Row],[e (cm)]],ECF[[#This Row],[ap,eq (cm)]])</f>
        <v>46.287499999999994</v>
      </c>
      <c r="AT207" s="4">
        <f ca="1">IF(ECF[[#This Row],[nE]]=1,ECF[[#This Row],[As,lado (cm²)]],IF(ECF[[#This Row],[nE]]=2,0.075*2*ECF[a (cm)],"N.A."))</f>
        <v>36</v>
      </c>
      <c r="AU207" s="4">
        <f ca="1">IFERROR(IF(ECF[[#This Row],[nE]]=1,"N.A.",0.2*ECF[[#This Row],[As,lado (cm²)]]),"N.S.")</f>
        <v>9.2574999999999985</v>
      </c>
      <c r="AV207" s="4" t="str">
        <f ca="1">As_malha(ECF[[#This Row],[nE]],ECF[[#This Row],[As,lado (cm²)]],ECF[[#This Row],[Nsd (kN)]])</f>
        <v>N.A.</v>
      </c>
      <c r="AW207" s="4" t="str">
        <f ca="1">As_susp_tot(ECF[[#This Row],[nE]],ECF[[#This Row],[Nsd (kN)]])</f>
        <v>N.A.</v>
      </c>
      <c r="AX207" s="4" t="str">
        <f ca="1">Asp_face(ECF[[#This Row],[nE]],ECF[[#This Row],[As,lado (cm²)]])</f>
        <v>N.A.</v>
      </c>
      <c r="AY207" s="5">
        <f ca="1">acoBloco(ECF[[#This Row],[nE]],ECF[[#This Row],[e (cm)]],ECF[[#This Row],[a (cm)]],ECF[[#This Row],[h (cm)]],ECF[[#This Row],[As,lado (cm²)]],ECF[[#This Row],[Asp e Asw (cm²/m)]],ECF[[#This Row],[As,sup (cm²)]],ECF[[#This Row],[As,malha (cm²)]],ECF[[#This Row],[As,susp,tot (cm²)]],ECF[[#This Row],[Asp,face (cm²)]])</f>
        <v>6482.0527199999997</v>
      </c>
      <c r="AZ207" s="4">
        <f ca="1">concretoBloco(ECF[[#This Row],[nE]],ECF[[#This Row],[e (cm)]],ECF[[#This Row],[a (cm)]],ECF[[#This Row],[h (cm)]])</f>
        <v>117.504</v>
      </c>
      <c r="BA207" s="5">
        <f ca="1">SUM(ECF[[#This Row],[Aço Est (kg)]],ECF[[#This Row],[Aço Bloco (kg)]])</f>
        <v>6734.5865038661614</v>
      </c>
      <c r="BB207" s="4">
        <f>INDEX(composicoes[],MATCH(95580,composicoes[CÓDIGO],0),MATCH("CUSTO TOTAL",composicoes[#Headers],0))</f>
        <v>10.46</v>
      </c>
      <c r="BC207" s="4">
        <f ca="1">SUM(ECF[[#This Row],[Conc Est (m³)]],ECF[[#This Row],[Conc Bloco (m³)]])</f>
        <v>141.63143157956961</v>
      </c>
      <c r="BD207" s="4">
        <f>INDEX(composicoes[],MATCH(94966,composicoes[CÓDIGO],0),MATCH("CUSTO TOTAL",composicoes[#Headers],0))</f>
        <v>439.52</v>
      </c>
      <c r="BE207" s="38">
        <f ca="1">ECF[[#This Row],[Aço (kg)]]*ECF[[#This Row],[Aço (R$/kg)]]+ECF[[#This Row],[Conc (m³)]]*ECF[[#This Row],[Conc (R$/m³)]]</f>
        <v>132693.6216382925</v>
      </c>
      <c r="BF207" s="4" t="str">
        <f ca="1">IF(COUNTIF(ECF[#This Row],"N.S.")&gt;0,"lim.","OK")</f>
        <v>OK</v>
      </c>
      <c r="BG207" s="4" t="str">
        <f>IF(ECF[[#This Row],[Prof. (m)]]&lt;4,"lim.","OK")</f>
        <v>OK</v>
      </c>
      <c r="BH207" s="4" t="str">
        <f>IF(ECF[[#This Row],[Prof. (m)]]&gt;=8*ECF[[#This Row],[Ø (cm)]]/100,"OK","lim.")</f>
        <v>lim.</v>
      </c>
      <c r="BI207" s="4" t="str">
        <f>IF(AND(SPT!$F$3&lt;&gt;"",ECF[[#This Row],[Prof. (m)]]&gt;=SPT!$F$3-2),"lim.","OK")</f>
        <v>OK</v>
      </c>
      <c r="BJ207" s="4" t="str">
        <f ca="1">IF(ECF[[#This Row],[Verif. Biela]]="OK","OK","lim.")</f>
        <v>OK</v>
      </c>
      <c r="BK207" s="4" t="str">
        <f ca="1">IF(COUNTA(ECF[[#This Row],[Nº Est.]:[Biela comp.]])=COUNTIF(ECF[[#This Row],[Nº Est.]:[Biela comp.]],"OK"),"OK","lim.")</f>
        <v>lim.</v>
      </c>
      <c r="BL207" s="4" t="str">
        <f ca="1">IF(ECF[[#This Row],[Controle]]="OK",ECF[[#This Row],[nE]]&amp;" Ø"&amp;ECF[[#This Row],[Ø (cm)]]&amp;"cm Prof. "&amp;ECF[[#This Row],[Prof. (m)]]&amp;" m","")</f>
        <v/>
      </c>
      <c r="BM207" s="4" t="str">
        <f ca="1">IF(ECF[[#This Row],[idDimensionamento]]="","",ECF[[#This Row],[idPilar]]&amp;ECF[[#This Row],[idDimensionamento]])</f>
        <v/>
      </c>
    </row>
    <row r="208" spans="2:65" x14ac:dyDescent="0.25">
      <c r="B208" s="12">
        <f>ROUNDUP((ROW(ECF[[#This Row],[idDiâmetro]])-ROW(ECF[[#Headers],[idDiâmetro]]))/(COUNT(SPT[Prof. (m)])*COUNT(PILARES[Pilar])),0)</f>
        <v>8</v>
      </c>
      <c r="C208" s="12">
        <f>IF(ECF[[#This Row],[idDiâmetro]]&lt;&gt;B207,1,IF(ECF[[#This Row],[Prof. (m)]]=0,C207+1,C207))</f>
        <v>1</v>
      </c>
      <c r="D208" s="1">
        <f>IFERROR(IF(D207=MAX(SPT[Prof. (m)]),0,D207+1),0)</f>
        <v>7</v>
      </c>
      <c r="E208" s="1">
        <f>INDEX(SPT[],MATCH(ECF[[#This Row],[Prof. (m)]],SPT[Prof. (m)],0),2)</f>
        <v>8</v>
      </c>
      <c r="F208" s="1" t="str">
        <f>INDEX(SPT[],MATCH(ECF[[#This Row],[Prof. (m)]],SPT[Prof. (m)],0),3)</f>
        <v>Silte arenoso</v>
      </c>
      <c r="G208" s="1">
        <f>INDEX(estacas[],ECF[[#This Row],[idDiâmetro]],MATCH($B$2,estacas[#Headers],0))</f>
        <v>160</v>
      </c>
      <c r="H208" s="1">
        <f>INDEX(estacas[],MATCH(ECF[[#This Row],[Ø (cm)]],estacas[Ø ECF (cm)],0),MATCH(ECF[[#Headers],[Pe ECF (kN)]],estacas[#Headers],0))</f>
        <v>8200</v>
      </c>
      <c r="I208" s="4">
        <f>INDEX(K_alpha_C[],MATCH(ECF[[#This Row],[Solo]],K_alpha_C[Solo],0),2)</f>
        <v>0.55000000000000004</v>
      </c>
      <c r="J208" s="5">
        <f>INDEX(K_alpha_C[],MATCH(ECF[[#This Row],[Solo]],K_alpha_C[Solo],0),3)</f>
        <v>2.2000000000000002</v>
      </c>
      <c r="K208" s="4">
        <f>INDEX(F1_F2[],MATCH($D$2,F1_F2[Tipo de estaca],0),2)</f>
        <v>3</v>
      </c>
      <c r="L208" s="4">
        <f>INDEX(F1_F2[],MATCH($D$2,F1_F2[Tipo de estaca],0),3)</f>
        <v>6</v>
      </c>
      <c r="M208" s="4">
        <f>PI()*(ECF[[#This Row],[Ø (cm)]]/100)^2/4</f>
        <v>2.0106192982974678</v>
      </c>
      <c r="N208" s="4">
        <f>PI()*ECF[[#This Row],[Ø (cm)]]/100</f>
        <v>5.026548245743669</v>
      </c>
      <c r="O208" s="4">
        <f>IF(ECF[[#This Row],[Prof. (m)]]=0,0,ECF[[#This Row],[α (%)]]/100*ECF[[#This Row],[K (MPa)]]*1000*ECF[[#This Row],[NSPT]])</f>
        <v>96.800000000000011</v>
      </c>
      <c r="P208" s="4">
        <f>IF(ECF[[#This Row],[Prof. (m)]]=0,0,(ECF[[#This Row],[K (MPa)]]*1000*ECF[[#This Row],[NSPT]]/ECF[[#This Row],[F1]]*ECF[[#This Row],[Ap (m²)]]+ECF[[#This Row],[U (m)]]/ECF[[#This Row],[F2]]*SUMIFS(ECF[(α∙K∙NL∙ΔL)],ECF[Prof. (m)],"&lt;="&amp;ECF[[#This Row],[Prof. (m)]],ECF[idDiâmetro],ECF[[#This Row],[idDiâmetro]],ECF[idPilar],ECF[[#This Row],[idPilar]]))/'DADOS CAP. CARGA'!$D$2)</f>
        <v>1842.6069231834856</v>
      </c>
      <c r="Q208" s="12">
        <f>INDEX(C_alpha_beta[],MATCH(ECF[[#This Row],[Solo]],C_alpha_beta[Solo],0),MATCH(ECF[[#Headers],[C (kPa)]],C_alpha_beta[#Headers],0))</f>
        <v>250</v>
      </c>
      <c r="R208" s="4">
        <f>INDEX(C_alpha_beta[],MATCH(ECF[[#This Row],[Solo]],C_alpha_beta[Solo],0),MATCH(ECF[[#Headers],[α ESF]],C_alpha_beta[#Headers],0))</f>
        <v>0.6</v>
      </c>
      <c r="S208" s="4">
        <f>INDEX(C_alpha_beta[],MATCH(ECF[[#This Row],[Solo]],C_alpha_beta[Solo],0),MATCH(ECF[[#Headers],[β ESF]],C_alpha_beta[#Headers],0))</f>
        <v>0.65</v>
      </c>
      <c r="T208" s="4">
        <f>IF(ECF[[#This Row],[Prof. (m)]]=0,0,10*(ECF[[#This Row],[NSPT]]/3+1))</f>
        <v>36.666666666666664</v>
      </c>
      <c r="U208" s="4">
        <f>(ECF[[#This Row],[α ESF]]*ECF[[#This Row],[C (kPa)]]*ECF[[#This Row],[NSPT]]*ECF[[#This Row],[Ap (m²)]])/'DADOS CAP. CARGA'!$Q$2+(ECF[[#This Row],[β ESF]]*SUMIFS(ECF[10∙(NL/3+1)],ECF[Prof. (m)],"&lt;="&amp;ECF[[#This Row],[Prof. (m)]],ECF[idDiâmetro],ECF[[#This Row],[idDiâmetro]],ECF[idPilar],ECF[[#This Row],[idPilar]])*ECF[[#This Row],[U (m)]])/'DADOS CAP. CARGA'!$S$2</f>
        <v>1055.1562525856918</v>
      </c>
      <c r="V208" s="4">
        <f>IF(SPT!$M$5=1,MIN(ECF[[#This Row],[Pe ECF (kN)]],ECF[[#This Row],[R_AV (kN)]]),IF(SPT!$M$5=2,MIN(ECF[[#This Row],[Pe ECF (kN)]],ECF[[#This Row],[R_DC (kN)]]),MIN(ECF[[#This Row],[Pe ECF (kN)]],ECF[[#This Row],[R_AV (kN)]],ECF[[#This Row],[R_DC (kN)]])))</f>
        <v>1055.1562525856918</v>
      </c>
      <c r="W208" s="4">
        <f>INDEX(PILARES[],ECF[[#This Row],[idPilar]],MATCH("Carga (kN)",PILARES[#Headers],0))*1.4</f>
        <v>3500</v>
      </c>
      <c r="X208" s="12">
        <f>INDEX(PILARES[],ECF[[#This Row],[idPilar]],MATCH(ECF[[#Headers],[ap (cm)]],PILARES[#Headers],0))</f>
        <v>60</v>
      </c>
      <c r="Y208" s="12">
        <f>INDEX(PILARES[],ECF[[#This Row],[idPilar]],MATCH(ECF[[#Headers],[bp (cm)]],PILARES[#Headers],0))</f>
        <v>60</v>
      </c>
      <c r="Z208" s="4">
        <f>SQRT(ECF[[#This Row],[ap (cm)]]*ECF[[#This Row],[bp (cm)]])</f>
        <v>60</v>
      </c>
      <c r="AA208" s="12">
        <f>ECF[[#This Row],[ap (cm)]]*ECF[[#This Row],[bp (cm)]]</f>
        <v>3600</v>
      </c>
      <c r="AB208" s="12">
        <f ca="1">IF(ECF[[#This Row],[Padm∙ε (kN)]]&gt;=ECF[[#This Row],[Padm (kN)]],ROUNDUP(1.05*ECF[[#This Row],[Nsd (kN)]]/ECF[[#This Row],[Padm (kN)]],0),ROUNDUP(1.05*ECF[[#This Row],[Nsd (kN)]]/ECF[[#This Row],[Padm (kN)]],0)+1)</f>
        <v>4</v>
      </c>
      <c r="AC208" s="4">
        <f ca="1">IFERROR(IF(ECF[[#This Row],[nE]]=1,ECF[[#This Row],[Padm (kN)]],ECF[[#This Row],[Padm (kN)]]*ECF[[#This Row],[nE]]*INDEX(grupoEstacas[],ECF[[#This Row],[nE]],MATCH("ε",grupoEstacas[#Headers],0))),"N.S.")</f>
        <v>3429.2578209034987</v>
      </c>
      <c r="AD208" s="4">
        <f ca="1">1.05*ECF[[#This Row],[Nsd (kN)]]/(ECF[[#This Row],[nE]]*PI()*ECF[[#This Row],[Ø (cm)]]^2/4)*10</f>
        <v>0.4569487623927464</v>
      </c>
      <c r="AE208" s="4">
        <f ca="1">IF(ECF[[#This Row],[σ (MPa)]]&lt;INDEX(tipoEstaca[],MATCH($D$2,tipoEstaca[TIPO DE ESTACA],0),MATCH("σmáx (MPa)",tipoEstaca[#Headers],0)),0.4%*PI()*ECF[[#This Row],[Ø (cm)]]^2/4,"N.S.")</f>
        <v>80.424771931898704</v>
      </c>
      <c r="AF208" s="1">
        <f>INDEX(tipoEstaca[],MATCH($D$2,tipoEstaca[TIPO DE ESTACA],0),MATCH(ECF[[#Headers],[Comprimento (m)]],tipoEstaca[#Headers],0))</f>
        <v>4</v>
      </c>
      <c r="AG208" s="5">
        <f ca="1">ECF[[#This Row],[As,mín (cm²)]]/100^2*ECF[[#This Row],[Comprimento (m)]]*7850</f>
        <v>252.53378386616191</v>
      </c>
      <c r="AH208" s="4">
        <f ca="1">ECF[[#This Row],[nE]]*ECF[[#This Row],[Prof. (m)]]*ECF[[#This Row],[Ap (m²)]]</f>
        <v>56.297340352329101</v>
      </c>
      <c r="AI208" s="1">
        <f ca="1">IF(ECF[[#This Row],[nE]]=1,0,MAX(3*ECF[[#This Row],[Ø (cm)]],60))</f>
        <v>480</v>
      </c>
      <c r="AJ208" s="1">
        <f ca="1">IF(ECF[[#This Row],[nE]]=1,ECF[[#This Row],[Ø (cm)]]+2*10,MAX(1.5*ECF[[#This Row],[Ø (cm)]],ECF[[#This Row],[Ø (cm)]]+15))</f>
        <v>240</v>
      </c>
      <c r="AK208" s="1">
        <f ca="1">alturaUtil(ECF[[#This Row],[nE]],ECF[[#This Row],[Ø (cm)]],ECF[[#This Row],[e (cm)]],ECF[[#This Row],[ap,eq (cm)]])</f>
        <v>225</v>
      </c>
      <c r="AL208" s="1">
        <f ca="1">IFERROR(ECF[[#This Row],[d (cm)]]+arredondarParaCimaMultiplo5cm(MAX(5,SQRT(PI())/2*ECF[[#This Row],[Ø (cm)]]/5)),"N.S.")</f>
        <v>255</v>
      </c>
      <c r="AM208" s="5">
        <f ca="1">alpha(ECF[[#This Row],[nE]],ECF[[#This Row],[d (cm)]],ECF[[#This Row],[e (cm)]],ECF[[#This Row],[ap,eq (cm)]])</f>
        <v>45</v>
      </c>
      <c r="AN208" s="35">
        <f ca="1">IFERROR(ECF[[#This Row],[Nsd (kN)]]/(ECF[[#This Row],[Ap (cm²)]]*SIN(ECF[[#This Row],[α]])^2),"N.S.")</f>
        <v>1.3427801064714635</v>
      </c>
      <c r="AO208" s="35">
        <f ca="1">IFERROR(ECF[[#This Row],[Nsd (kN)]]/(ECF[[#This Row],[nE]]*PI()*ECF[[#This Row],[Ø (cm)]]^2/4*SIN(ECF[[#This Row],[α]])^2),"N.S.")</f>
        <v>6.010596321479858E-2</v>
      </c>
      <c r="AP208" s="4">
        <f ca="1">IFERROR(INDEX(grupoEstacas[],ECF[[#This Row],[nE]],MATCH("coef. Blévot",grupoEstacas[#Headers],0)),"N.S.")</f>
        <v>2.1</v>
      </c>
      <c r="AQ208" s="35">
        <f ca="1">IFERROR(ECF[[#This Row],[coef. Blévot]]*0.9*INDEX(tipoEstaca[],MATCH($D$2,tipoEstaca[TIPO DE ESTACA],0),MATCH("fcd (kN/cm²)",tipoEstaca[#Headers],0)),"N.S.")</f>
        <v>2.1</v>
      </c>
      <c r="AR208" s="1" t="str">
        <f ca="1">IF(AND(ECF[[#This Row],[cd,b,pil (kN/cm²)]]&lt;=ECF[[#This Row],[cd,b,lim (kN/cm²)]],ECF[[#This Row],[cd,b,est (kN/cm²)]]&lt;=ECF[[#This Row],[cd,b,lim (kN/cm²)]]),"OK","ERRO")</f>
        <v>OK</v>
      </c>
      <c r="AS208" s="4">
        <f ca="1">As_lado(ECF[[#This Row],[nE]],ECF[[#This Row],[Nsd (kN)]],ECF[[#This Row],[d (cm)]],ECF[[#This Row],[e (cm)]],ECF[[#This Row],[ap,eq (cm)]])</f>
        <v>20.125</v>
      </c>
      <c r="AT208" s="4" t="str">
        <f ca="1">IF(ECF[[#This Row],[nE]]=1,ECF[[#This Row],[As,lado (cm²)]],IF(ECF[[#This Row],[nE]]=2,0.075*2*ECF[a (cm)],"N.A."))</f>
        <v>N.A.</v>
      </c>
      <c r="AU208" s="4">
        <f ca="1">IFERROR(IF(ECF[[#This Row],[nE]]=1,"N.A.",0.2*ECF[[#This Row],[As,lado (cm²)]]),"N.S.")</f>
        <v>4.0250000000000004</v>
      </c>
      <c r="AV208" s="4">
        <f ca="1">As_malha(ECF[[#This Row],[nE]],ECF[[#This Row],[As,lado (cm²)]],ECF[[#This Row],[Nsd (kN)]])</f>
        <v>4.0250000000000004</v>
      </c>
      <c r="AW208" s="4">
        <f ca="1">As_susp_tot(ECF[[#This Row],[nE]],ECF[[#This Row],[Nsd (kN)]])</f>
        <v>13.416666666666666</v>
      </c>
      <c r="AX208" s="4">
        <f ca="1">Asp_face(ECF[[#This Row],[nE]],ECF[[#This Row],[As,lado (cm²)]])</f>
        <v>10.0625</v>
      </c>
      <c r="AY208" s="5">
        <f ca="1">acoBloco(ECF[[#This Row],[nE]],ECF[[#This Row],[e (cm)]],ECF[[#This Row],[a (cm)]],ECF[[#This Row],[h (cm)]],ECF[[#This Row],[As,lado (cm²)]],ECF[[#This Row],[Asp e Asw (cm²/m)]],ECF[[#This Row],[As,sup (cm²)]],ECF[[#This Row],[As,malha (cm²)]],ECF[[#This Row],[As,susp,tot (cm²)]],ECF[[#This Row],[Asp,face (cm²)]])</f>
        <v>1118.8232125</v>
      </c>
      <c r="AZ208" s="4">
        <f ca="1">concretoBloco(ECF[[#This Row],[nE]],ECF[[#This Row],[e (cm)]],ECF[[#This Row],[a (cm)]],ECF[[#This Row],[h (cm)]])</f>
        <v>235.00800000000001</v>
      </c>
      <c r="BA208" s="5">
        <f ca="1">SUM(ECF[[#This Row],[Aço Est (kg)]],ECF[[#This Row],[Aço Bloco (kg)]])</f>
        <v>1371.3569963661619</v>
      </c>
      <c r="BB208" s="4">
        <f>INDEX(composicoes[],MATCH(95580,composicoes[CÓDIGO],0),MATCH("CUSTO TOTAL",composicoes[#Headers],0))</f>
        <v>10.46</v>
      </c>
      <c r="BC208" s="4">
        <f ca="1">SUM(ECF[[#This Row],[Conc Est (m³)]],ECF[[#This Row],[Conc Bloco (m³)]])</f>
        <v>291.3053403523291</v>
      </c>
      <c r="BD208" s="4">
        <f>INDEX(composicoes[],MATCH(94966,composicoes[CÓDIGO],0),MATCH("CUSTO TOTAL",composicoes[#Headers],0))</f>
        <v>439.52</v>
      </c>
      <c r="BE208" s="38">
        <f ca="1">ECF[[#This Row],[Aço (kg)]]*ECF[[#This Row],[Aço (R$/kg)]]+ECF[[#This Row],[Conc (m³)]]*ECF[[#This Row],[Conc (R$/m³)]]</f>
        <v>142378.91737364573</v>
      </c>
      <c r="BF208" s="4" t="str">
        <f ca="1">IF(COUNTIF(ECF[#This Row],"N.S.")&gt;0,"lim.","OK")</f>
        <v>OK</v>
      </c>
      <c r="BG208" s="4" t="str">
        <f>IF(ECF[[#This Row],[Prof. (m)]]&lt;4,"lim.","OK")</f>
        <v>OK</v>
      </c>
      <c r="BH208" s="4" t="str">
        <f>IF(ECF[[#This Row],[Prof. (m)]]&gt;=8*ECF[[#This Row],[Ø (cm)]]/100,"OK","lim.")</f>
        <v>lim.</v>
      </c>
      <c r="BI208" s="4" t="str">
        <f>IF(AND(SPT!$F$3&lt;&gt;"",ECF[[#This Row],[Prof. (m)]]&gt;=SPT!$F$3-2),"lim.","OK")</f>
        <v>OK</v>
      </c>
      <c r="BJ208" s="4" t="str">
        <f ca="1">IF(ECF[[#This Row],[Verif. Biela]]="OK","OK","lim.")</f>
        <v>OK</v>
      </c>
      <c r="BK208" s="4" t="str">
        <f ca="1">IF(COUNTA(ECF[[#This Row],[Nº Est.]:[Biela comp.]])=COUNTIF(ECF[[#This Row],[Nº Est.]:[Biela comp.]],"OK"),"OK","lim.")</f>
        <v>lim.</v>
      </c>
      <c r="BL208" s="4" t="str">
        <f ca="1">IF(ECF[[#This Row],[Controle]]="OK",ECF[[#This Row],[nE]]&amp;" Ø"&amp;ECF[[#This Row],[Ø (cm)]]&amp;"cm Prof. "&amp;ECF[[#This Row],[Prof. (m)]]&amp;" m","")</f>
        <v/>
      </c>
      <c r="BM208" s="4" t="str">
        <f ca="1">IF(ECF[[#This Row],[idDimensionamento]]="","",ECF[[#This Row],[idPilar]]&amp;ECF[[#This Row],[idDimensionamento]])</f>
        <v/>
      </c>
    </row>
    <row r="209" spans="2:65" x14ac:dyDescent="0.25">
      <c r="B209" s="12">
        <f>ROUNDUP((ROW(ECF[[#This Row],[idDiâmetro]])-ROW(ECF[[#Headers],[idDiâmetro]]))/(COUNT(SPT[Prof. (m)])*COUNT(PILARES[Pilar])),0)</f>
        <v>8</v>
      </c>
      <c r="C209" s="12">
        <f>IF(ECF[[#This Row],[idDiâmetro]]&lt;&gt;B208,1,IF(ECF[[#This Row],[Prof. (m)]]=0,C208+1,C208))</f>
        <v>1</v>
      </c>
      <c r="D209" s="1">
        <f>IFERROR(IF(D208=MAX(SPT[Prof. (m)]),0,D208+1),0)</f>
        <v>8</v>
      </c>
      <c r="E209" s="1">
        <f>INDEX(SPT[],MATCH(ECF[[#This Row],[Prof. (m)]],SPT[Prof. (m)],0),2)</f>
        <v>10</v>
      </c>
      <c r="F209" s="1" t="str">
        <f>INDEX(SPT[],MATCH(ECF[[#This Row],[Prof. (m)]],SPT[Prof. (m)],0),3)</f>
        <v>Silte arenoso</v>
      </c>
      <c r="G209" s="1">
        <f>INDEX(estacas[],ECF[[#This Row],[idDiâmetro]],MATCH($B$2,estacas[#Headers],0))</f>
        <v>160</v>
      </c>
      <c r="H209" s="1">
        <f>INDEX(estacas[],MATCH(ECF[[#This Row],[Ø (cm)]],estacas[Ø ECF (cm)],0),MATCH(ECF[[#Headers],[Pe ECF (kN)]],estacas[#Headers],0))</f>
        <v>8200</v>
      </c>
      <c r="I209" s="4">
        <f>INDEX(K_alpha_C[],MATCH(ECF[[#This Row],[Solo]],K_alpha_C[Solo],0),2)</f>
        <v>0.55000000000000004</v>
      </c>
      <c r="J209" s="5">
        <f>INDEX(K_alpha_C[],MATCH(ECF[[#This Row],[Solo]],K_alpha_C[Solo],0),3)</f>
        <v>2.2000000000000002</v>
      </c>
      <c r="K209" s="4">
        <f>INDEX(F1_F2[],MATCH($D$2,F1_F2[Tipo de estaca],0),2)</f>
        <v>3</v>
      </c>
      <c r="L209" s="4">
        <f>INDEX(F1_F2[],MATCH($D$2,F1_F2[Tipo de estaca],0),3)</f>
        <v>6</v>
      </c>
      <c r="M209" s="4">
        <f>PI()*(ECF[[#This Row],[Ø (cm)]]/100)^2/4</f>
        <v>2.0106192982974678</v>
      </c>
      <c r="N209" s="4">
        <f>PI()*ECF[[#This Row],[Ø (cm)]]/100</f>
        <v>5.026548245743669</v>
      </c>
      <c r="O209" s="4">
        <f>IF(ECF[[#This Row],[Prof. (m)]]=0,0,ECF[[#This Row],[α (%)]]/100*ECF[[#This Row],[K (MPa)]]*1000*ECF[[#This Row],[NSPT]])</f>
        <v>121.00000000000001</v>
      </c>
      <c r="P209" s="4">
        <f>IF(ECF[[#This Row],[Prof. (m)]]=0,0,(ECF[[#This Row],[K (MPa)]]*1000*ECF[[#This Row],[NSPT]]/ECF[[#This Row],[F1]]*ECF[[#This Row],[Ap (m²)]]+ECF[[#This Row],[U (m)]]/ECF[[#This Row],[F2]]*SUMIFS(ECF[(α∙K∙NL∙ΔL)],ECF[Prof. (m)],"&lt;="&amp;ECF[[#This Row],[Prof. (m)]],ECF[idDiâmetro],ECF[[#This Row],[idDiâmetro]],ECF[idPilar],ECF[[#This Row],[idPilar]]))/'DADOS CAP. CARGA'!$D$2)</f>
        <v>2261.9048226826035</v>
      </c>
      <c r="Q209" s="12">
        <f>INDEX(C_alpha_beta[],MATCH(ECF[[#This Row],[Solo]],C_alpha_beta[Solo],0),MATCH(ECF[[#Headers],[C (kPa)]],C_alpha_beta[#Headers],0))</f>
        <v>250</v>
      </c>
      <c r="R209" s="4">
        <f>INDEX(C_alpha_beta[],MATCH(ECF[[#This Row],[Solo]],C_alpha_beta[Solo],0),MATCH(ECF[[#Headers],[α ESF]],C_alpha_beta[#Headers],0))</f>
        <v>0.6</v>
      </c>
      <c r="S209" s="4">
        <f>INDEX(C_alpha_beta[],MATCH(ECF[[#This Row],[Solo]],C_alpha_beta[Solo],0),MATCH(ECF[[#Headers],[β ESF]],C_alpha_beta[#Headers],0))</f>
        <v>0.65</v>
      </c>
      <c r="T209" s="4">
        <f>IF(ECF[[#This Row],[Prof. (m)]]=0,0,10*(ECF[[#This Row],[NSPT]]/3+1))</f>
        <v>43.333333333333343</v>
      </c>
      <c r="U209" s="4">
        <f>(ECF[[#This Row],[α ESF]]*ECF[[#This Row],[C (kPa)]]*ECF[[#This Row],[NSPT]]*ECF[[#This Row],[Ap (m²)]])/'DADOS CAP. CARGA'!$Q$2+(ECF[[#This Row],[β ESF]]*SUMIFS(ECF[10∙(NL/3+1)],ECF[Prof. (m)],"&lt;="&amp;ECF[[#This Row],[Prof. (m)]],ECF[idDiâmetro],ECF[[#This Row],[idDiâmetro]],ECF[idPilar],ECF[[#This Row],[idPilar]])*ECF[[#This Row],[U (m)]])/'DADOS CAP. CARGA'!$S$2</f>
        <v>1276.7432544188919</v>
      </c>
      <c r="V209" s="4">
        <f>IF(SPT!$M$5=1,MIN(ECF[[#This Row],[Pe ECF (kN)]],ECF[[#This Row],[R_AV (kN)]]),IF(SPT!$M$5=2,MIN(ECF[[#This Row],[Pe ECF (kN)]],ECF[[#This Row],[R_DC (kN)]]),MIN(ECF[[#This Row],[Pe ECF (kN)]],ECF[[#This Row],[R_AV (kN)]],ECF[[#This Row],[R_DC (kN)]])))</f>
        <v>1276.7432544188919</v>
      </c>
      <c r="W209" s="4">
        <f>INDEX(PILARES[],ECF[[#This Row],[idPilar]],MATCH("Carga (kN)",PILARES[#Headers],0))*1.4</f>
        <v>3500</v>
      </c>
      <c r="X209" s="12">
        <f>INDEX(PILARES[],ECF[[#This Row],[idPilar]],MATCH(ECF[[#Headers],[ap (cm)]],PILARES[#Headers],0))</f>
        <v>60</v>
      </c>
      <c r="Y209" s="12">
        <f>INDEX(PILARES[],ECF[[#This Row],[idPilar]],MATCH(ECF[[#Headers],[bp (cm)]],PILARES[#Headers],0))</f>
        <v>60</v>
      </c>
      <c r="Z209" s="4">
        <f>SQRT(ECF[[#This Row],[ap (cm)]]*ECF[[#This Row],[bp (cm)]])</f>
        <v>60</v>
      </c>
      <c r="AA209" s="12">
        <f>ECF[[#This Row],[ap (cm)]]*ECF[[#This Row],[bp (cm)]]</f>
        <v>3600</v>
      </c>
      <c r="AB209" s="12">
        <f ca="1">IF(ECF[[#This Row],[Padm∙ε (kN)]]&gt;=ECF[[#This Row],[Padm (kN)]],ROUNDUP(1.05*ECF[[#This Row],[Nsd (kN)]]/ECF[[#This Row],[Padm (kN)]],0),ROUNDUP(1.05*ECF[[#This Row],[Nsd (kN)]]/ECF[[#This Row],[Padm (kN)]],0)+1)</f>
        <v>3</v>
      </c>
      <c r="AC209" s="4">
        <f ca="1">IFERROR(IF(ECF[[#This Row],[nE]]=1,ECF[[#This Row],[Padm (kN)]],ECF[[#This Row],[Padm (kN)]]*ECF[[#This Row],[nE]]*INDEX(grupoEstacas[],ECF[[#This Row],[nE]],MATCH("ε",grupoEstacas[#Headers],0))),"N.S.")</f>
        <v>3351.451042849591</v>
      </c>
      <c r="AD209" s="4">
        <f ca="1">1.05*ECF[[#This Row],[Nsd (kN)]]/(ECF[[#This Row],[nE]]*PI()*ECF[[#This Row],[Ø (cm)]]^2/4)*10</f>
        <v>0.60926501652366194</v>
      </c>
      <c r="AE209" s="4">
        <f ca="1">IF(ECF[[#This Row],[σ (MPa)]]&lt;INDEX(tipoEstaca[],MATCH($D$2,tipoEstaca[TIPO DE ESTACA],0),MATCH("σmáx (MPa)",tipoEstaca[#Headers],0)),0.4%*PI()*ECF[[#This Row],[Ø (cm)]]^2/4,"N.S.")</f>
        <v>80.424771931898704</v>
      </c>
      <c r="AF209" s="1">
        <f>INDEX(tipoEstaca[],MATCH($D$2,tipoEstaca[TIPO DE ESTACA],0),MATCH(ECF[[#Headers],[Comprimento (m)]],tipoEstaca[#Headers],0))</f>
        <v>4</v>
      </c>
      <c r="AG209" s="5">
        <f ca="1">ECF[[#This Row],[As,mín (cm²)]]/100^2*ECF[[#This Row],[Comprimento (m)]]*7850</f>
        <v>252.53378386616191</v>
      </c>
      <c r="AH209" s="4">
        <f ca="1">ECF[[#This Row],[nE]]*ECF[[#This Row],[Prof. (m)]]*ECF[[#This Row],[Ap (m²)]]</f>
        <v>48.254863159139227</v>
      </c>
      <c r="AI209" s="1">
        <f ca="1">IF(ECF[[#This Row],[nE]]=1,0,MAX(3*ECF[[#This Row],[Ø (cm)]],60))</f>
        <v>480</v>
      </c>
      <c r="AJ209" s="1">
        <f ca="1">IF(ECF[[#This Row],[nE]]=1,ECF[[#This Row],[Ø (cm)]]+2*10,MAX(1.5*ECF[[#This Row],[Ø (cm)]],ECF[[#This Row],[Ø (cm)]]+15))</f>
        <v>240</v>
      </c>
      <c r="AK209" s="1">
        <f ca="1">alturaUtil(ECF[[#This Row],[nE]],ECF[[#This Row],[Ø (cm)]],ECF[[#This Row],[e (cm)]],ECF[[#This Row],[ap,eq (cm)]])</f>
        <v>225</v>
      </c>
      <c r="AL209" s="1">
        <f ca="1">IFERROR(ECF[[#This Row],[d (cm)]]+arredondarParaCimaMultiplo5cm(MAX(5,SQRT(PI())/2*ECF[[#This Row],[Ø (cm)]]/5)),"N.S.")</f>
        <v>255</v>
      </c>
      <c r="AM209" s="5">
        <f ca="1">alpha(ECF[[#This Row],[nE]],ECF[[#This Row],[d (cm)]],ECF[[#This Row],[e (cm)]],ECF[[#This Row],[ap,eq (cm)]])</f>
        <v>45.384529659584508</v>
      </c>
      <c r="AN209" s="35">
        <f ca="1">IFERROR(ECF[[#This Row],[Nsd (kN)]]/(ECF[[#This Row],[Ap (cm²)]]*SIN(ECF[[#This Row],[α]])^2),"N.S.")</f>
        <v>1.0003785406002175</v>
      </c>
      <c r="AO209" s="35">
        <f ca="1">IFERROR(ECF[[#This Row],[Nsd (kN)]]/(ECF[[#This Row],[nE]]*PI()*ECF[[#This Row],[Ø (cm)]]^2/4*SIN(ECF[[#This Row],[α]])^2),"N.S.")</f>
        <v>5.9705696137342841E-2</v>
      </c>
      <c r="AP209" s="4">
        <f ca="1">IFERROR(INDEX(grupoEstacas[],ECF[[#This Row],[nE]],MATCH("coef. Blévot",grupoEstacas[#Headers],0)),"N.S.")</f>
        <v>1.75</v>
      </c>
      <c r="AQ209" s="35">
        <f ca="1">IFERROR(ECF[[#This Row],[coef. Blévot]]*0.9*INDEX(tipoEstaca[],MATCH($D$2,tipoEstaca[TIPO DE ESTACA],0),MATCH("fcd (kN/cm²)",tipoEstaca[#Headers],0)),"N.S.")</f>
        <v>1.75</v>
      </c>
      <c r="AR209" s="1" t="str">
        <f ca="1">IF(AND(ECF[[#This Row],[cd,b,pil (kN/cm²)]]&lt;=ECF[[#This Row],[cd,b,lim (kN/cm²)]],ECF[[#This Row],[cd,b,est (kN/cm²)]]&lt;=ECF[[#This Row],[cd,b,lim (kN/cm²)]]),"OK","ERRO")</f>
        <v>OK</v>
      </c>
      <c r="AS209" s="4">
        <f ca="1">As_lado(ECF[[#This Row],[nE]],ECF[[#This Row],[Nsd (kN)]],ECF[[#This Row],[d (cm)]],ECF[[#This Row],[e (cm)]],ECF[[#This Row],[ap,eq (cm)]])</f>
        <v>17.842102903621079</v>
      </c>
      <c r="AT209" s="4" t="str">
        <f ca="1">IF(ECF[[#This Row],[nE]]=1,ECF[[#This Row],[As,lado (cm²)]],IF(ECF[[#This Row],[nE]]=2,0.075*2*ECF[a (cm)],"N.A."))</f>
        <v>N.A.</v>
      </c>
      <c r="AU209" s="4">
        <f ca="1">IFERROR(IF(ECF[[#This Row],[nE]]=1,"N.A.",0.2*ECF[[#This Row],[As,lado (cm²)]]),"N.S.")</f>
        <v>3.568420580724216</v>
      </c>
      <c r="AV209" s="4">
        <f ca="1">As_malha(ECF[[#This Row],[nE]],ECF[[#This Row],[As,lado (cm²)]],ECF[[#This Row],[Nsd (kN)]])</f>
        <v>5.9629629629629619</v>
      </c>
      <c r="AW209" s="4">
        <f ca="1">As_susp_tot(ECF[[#This Row],[nE]],ECF[[#This Row],[Nsd (kN)]])</f>
        <v>17.888888888888886</v>
      </c>
      <c r="AX209" s="4">
        <f ca="1">Asp_face(ECF[[#This Row],[nE]],ECF[[#This Row],[As,lado (cm²)]])</f>
        <v>6.6907885888579042</v>
      </c>
      <c r="AY209" s="5">
        <f ca="1">acoBloco(ECF[[#This Row],[nE]],ECF[[#This Row],[e (cm)]],ECF[[#This Row],[a (cm)]],ECF[[#This Row],[h (cm)]],ECF[[#This Row],[As,lado (cm²)]],ECF[[#This Row],[Asp e Asw (cm²/m)]],ECF[[#This Row],[As,sup (cm²)]],ECF[[#This Row],[As,malha (cm²)]],ECF[[#This Row],[As,susp,tot (cm²)]],ECF[[#This Row],[Asp,face (cm²)]])</f>
        <v>846.85238712653018</v>
      </c>
      <c r="AZ209" s="4">
        <f ca="1">concretoBloco(ECF[[#This Row],[nE]],ECF[[#This Row],[e (cm)]],ECF[[#This Row],[a (cm)]],ECF[[#This Row],[h (cm)]])</f>
        <v>164.44908678471501</v>
      </c>
      <c r="BA209" s="5">
        <f ca="1">SUM(ECF[[#This Row],[Aço Est (kg)]],ECF[[#This Row],[Aço Bloco (kg)]])</f>
        <v>1099.3861709926921</v>
      </c>
      <c r="BB209" s="4">
        <f>INDEX(composicoes[],MATCH(95580,composicoes[CÓDIGO],0),MATCH("CUSTO TOTAL",composicoes[#Headers],0))</f>
        <v>10.46</v>
      </c>
      <c r="BC209" s="4">
        <f ca="1">SUM(ECF[[#This Row],[Conc Est (m³)]],ECF[[#This Row],[Conc Bloco (m³)]])</f>
        <v>212.70394994385424</v>
      </c>
      <c r="BD209" s="4">
        <f>INDEX(composicoes[],MATCH(94966,composicoes[CÓDIGO],0),MATCH("CUSTO TOTAL",composicoes[#Headers],0))</f>
        <v>439.52</v>
      </c>
      <c r="BE209" s="38">
        <f ca="1">ECF[[#This Row],[Aço (kg)]]*ECF[[#This Row],[Aço (R$/kg)]]+ECF[[#This Row],[Conc (m³)]]*ECF[[#This Row],[Conc (R$/m³)]]</f>
        <v>104987.21942790637</v>
      </c>
      <c r="BF209" s="4" t="str">
        <f ca="1">IF(COUNTIF(ECF[#This Row],"N.S.")&gt;0,"lim.","OK")</f>
        <v>OK</v>
      </c>
      <c r="BG209" s="4" t="str">
        <f>IF(ECF[[#This Row],[Prof. (m)]]&lt;4,"lim.","OK")</f>
        <v>OK</v>
      </c>
      <c r="BH209" s="4" t="str">
        <f>IF(ECF[[#This Row],[Prof. (m)]]&gt;=8*ECF[[#This Row],[Ø (cm)]]/100,"OK","lim.")</f>
        <v>lim.</v>
      </c>
      <c r="BI209" s="4" t="str">
        <f>IF(AND(SPT!$F$3&lt;&gt;"",ECF[[#This Row],[Prof. (m)]]&gt;=SPT!$F$3-2),"lim.","OK")</f>
        <v>OK</v>
      </c>
      <c r="BJ209" s="4" t="str">
        <f ca="1">IF(ECF[[#This Row],[Verif. Biela]]="OK","OK","lim.")</f>
        <v>OK</v>
      </c>
      <c r="BK209" s="4" t="str">
        <f ca="1">IF(COUNTA(ECF[[#This Row],[Nº Est.]:[Biela comp.]])=COUNTIF(ECF[[#This Row],[Nº Est.]:[Biela comp.]],"OK"),"OK","lim.")</f>
        <v>lim.</v>
      </c>
      <c r="BL209" s="4" t="str">
        <f ca="1">IF(ECF[[#This Row],[Controle]]="OK",ECF[[#This Row],[nE]]&amp;" Ø"&amp;ECF[[#This Row],[Ø (cm)]]&amp;"cm Prof. "&amp;ECF[[#This Row],[Prof. (m)]]&amp;" m","")</f>
        <v/>
      </c>
      <c r="BM209" s="4" t="str">
        <f ca="1">IF(ECF[[#This Row],[idDimensionamento]]="","",ECF[[#This Row],[idPilar]]&amp;ECF[[#This Row],[idDimensionamento]])</f>
        <v/>
      </c>
    </row>
    <row r="210" spans="2:65" x14ac:dyDescent="0.25">
      <c r="B210" s="12">
        <f>ROUNDUP((ROW(ECF[[#This Row],[idDiâmetro]])-ROW(ECF[[#Headers],[idDiâmetro]]))/(COUNT(SPT[Prof. (m)])*COUNT(PILARES[Pilar])),0)</f>
        <v>8</v>
      </c>
      <c r="C210" s="12">
        <f>IF(ECF[[#This Row],[idDiâmetro]]&lt;&gt;B209,1,IF(ECF[[#This Row],[Prof. (m)]]=0,C209+1,C209))</f>
        <v>1</v>
      </c>
      <c r="D210" s="1">
        <f>IFERROR(IF(D209=MAX(SPT[Prof. (m)]),0,D209+1),0)</f>
        <v>9</v>
      </c>
      <c r="E210" s="1">
        <f>INDEX(SPT[],MATCH(ECF[[#This Row],[Prof. (m)]],SPT[Prof. (m)],0),2)</f>
        <v>26</v>
      </c>
      <c r="F210" s="1" t="str">
        <f>INDEX(SPT[],MATCH(ECF[[#This Row],[Prof. (m)]],SPT[Prof. (m)],0),3)</f>
        <v>Areia siltosa</v>
      </c>
      <c r="G210" s="1">
        <f>INDEX(estacas[],ECF[[#This Row],[idDiâmetro]],MATCH($B$2,estacas[#Headers],0))</f>
        <v>160</v>
      </c>
      <c r="H210" s="1">
        <f>INDEX(estacas[],MATCH(ECF[[#This Row],[Ø (cm)]],estacas[Ø ECF (cm)],0),MATCH(ECF[[#Headers],[Pe ECF (kN)]],estacas[#Headers],0))</f>
        <v>8200</v>
      </c>
      <c r="I210" s="4">
        <f>INDEX(K_alpha_C[],MATCH(ECF[[#This Row],[Solo]],K_alpha_C[Solo],0),2)</f>
        <v>0.8</v>
      </c>
      <c r="J210" s="5">
        <f>INDEX(K_alpha_C[],MATCH(ECF[[#This Row],[Solo]],K_alpha_C[Solo],0),3)</f>
        <v>2</v>
      </c>
      <c r="K210" s="4">
        <f>INDEX(F1_F2[],MATCH($D$2,F1_F2[Tipo de estaca],0),2)</f>
        <v>3</v>
      </c>
      <c r="L210" s="4">
        <f>INDEX(F1_F2[],MATCH($D$2,F1_F2[Tipo de estaca],0),3)</f>
        <v>6</v>
      </c>
      <c r="M210" s="4">
        <f>PI()*(ECF[[#This Row],[Ø (cm)]]/100)^2/4</f>
        <v>2.0106192982974678</v>
      </c>
      <c r="N210" s="4">
        <f>PI()*ECF[[#This Row],[Ø (cm)]]/100</f>
        <v>5.026548245743669</v>
      </c>
      <c r="O210" s="4">
        <f>IF(ECF[[#This Row],[Prof. (m)]]=0,0,ECF[[#This Row],[α (%)]]/100*ECF[[#This Row],[K (MPa)]]*1000*ECF[[#This Row],[NSPT]])</f>
        <v>416</v>
      </c>
      <c r="P210" s="4">
        <f>IF(ECF[[#This Row],[Prof. (m)]]=0,0,(ECF[[#This Row],[K (MPa)]]*1000*ECF[[#This Row],[NSPT]]/ECF[[#This Row],[F1]]*ECF[[#This Row],[Ap (m²)]]+ECF[[#This Row],[U (m)]]/ECF[[#This Row],[F2]]*SUMIFS(ECF[(α∙K∙NL∙ΔL)],ECF[Prof. (m)],"&lt;="&amp;ECF[[#This Row],[Prof. (m)]],ECF[idDiâmetro],ECF[[#This Row],[idDiâmetro]],ECF[idPilar],ECF[[#This Row],[idPilar]]))/'DADOS CAP. CARGA'!$D$2)</f>
        <v>7563.2377058602597</v>
      </c>
      <c r="Q210" s="12">
        <f>INDEX(C_alpha_beta[],MATCH(ECF[[#This Row],[Solo]],C_alpha_beta[Solo],0),MATCH(ECF[[#Headers],[C (kPa)]],C_alpha_beta[#Headers],0))</f>
        <v>400</v>
      </c>
      <c r="R210" s="4">
        <f>INDEX(C_alpha_beta[],MATCH(ECF[[#This Row],[Solo]],C_alpha_beta[Solo],0),MATCH(ECF[[#Headers],[α ESF]],C_alpha_beta[#Headers],0))</f>
        <v>0.5</v>
      </c>
      <c r="S210" s="4">
        <f>INDEX(C_alpha_beta[],MATCH(ECF[[#This Row],[Solo]],C_alpha_beta[Solo],0),MATCH(ECF[[#Headers],[β ESF]],C_alpha_beta[#Headers],0))</f>
        <v>0.5</v>
      </c>
      <c r="T210" s="4">
        <f>IF(ECF[[#This Row],[Prof. (m)]]=0,0,10*(ECF[[#This Row],[NSPT]]/3+1))</f>
        <v>96.666666666666657</v>
      </c>
      <c r="U210" s="4">
        <f>(ECF[[#This Row],[α ESF]]*ECF[[#This Row],[C (kPa)]]*ECF[[#This Row],[NSPT]]*ECF[[#This Row],[Ap (m²)]])/'DADOS CAP. CARGA'!$Q$2+(ECF[[#This Row],[β ESF]]*SUMIFS(ECF[10∙(NL/3+1)],ECF[Prof. (m)],"&lt;="&amp;ECF[[#This Row],[Prof. (m)]],ECF[idDiâmetro],ECF[[#This Row],[idDiâmetro]],ECF[idPilar],ECF[[#This Row],[idPilar]])*ECF[[#This Row],[U (m)]])/'DADOS CAP. CARGA'!$S$2</f>
        <v>3137.4038633850068</v>
      </c>
      <c r="V210" s="4">
        <f>IF(SPT!$M$5=1,MIN(ECF[[#This Row],[Pe ECF (kN)]],ECF[[#This Row],[R_AV (kN)]]),IF(SPT!$M$5=2,MIN(ECF[[#This Row],[Pe ECF (kN)]],ECF[[#This Row],[R_DC (kN)]]),MIN(ECF[[#This Row],[Pe ECF (kN)]],ECF[[#This Row],[R_AV (kN)]],ECF[[#This Row],[R_DC (kN)]])))</f>
        <v>3137.4038633850068</v>
      </c>
      <c r="W210" s="4">
        <f>INDEX(PILARES[],ECF[[#This Row],[idPilar]],MATCH("Carga (kN)",PILARES[#Headers],0))*1.4</f>
        <v>3500</v>
      </c>
      <c r="X210" s="12">
        <f>INDEX(PILARES[],ECF[[#This Row],[idPilar]],MATCH(ECF[[#Headers],[ap (cm)]],PILARES[#Headers],0))</f>
        <v>60</v>
      </c>
      <c r="Y210" s="12">
        <f>INDEX(PILARES[],ECF[[#This Row],[idPilar]],MATCH(ECF[[#Headers],[bp (cm)]],PILARES[#Headers],0))</f>
        <v>60</v>
      </c>
      <c r="Z210" s="4">
        <f>SQRT(ECF[[#This Row],[ap (cm)]]*ECF[[#This Row],[bp (cm)]])</f>
        <v>60</v>
      </c>
      <c r="AA210" s="12">
        <f>ECF[[#This Row],[ap (cm)]]*ECF[[#This Row],[bp (cm)]]</f>
        <v>3600</v>
      </c>
      <c r="AB210" s="12">
        <f ca="1">IF(ECF[[#This Row],[Padm∙ε (kN)]]&gt;=ECF[[#This Row],[Padm (kN)]],ROUNDUP(1.05*ECF[[#This Row],[Nsd (kN)]]/ECF[[#This Row],[Padm (kN)]],0),ROUNDUP(1.05*ECF[[#This Row],[Nsd (kN)]]/ECF[[#This Row],[Padm (kN)]],0)+1)</f>
        <v>2</v>
      </c>
      <c r="AC210" s="4">
        <f ca="1">IFERROR(IF(ECF[[#This Row],[nE]]=1,ECF[[#This Row],[Padm (kN)]],ECF[[#This Row],[Padm (kN)]]*ECF[[#This Row],[nE]]*INDEX(grupoEstacas[],ECF[[#This Row],[nE]],MATCH("ε",grupoEstacas[#Headers],0))),"N.S.")</f>
        <v>5882.6322438468878</v>
      </c>
      <c r="AD210" s="4">
        <f ca="1">1.05*ECF[[#This Row],[Nsd (kN)]]/(ECF[[#This Row],[nE]]*PI()*ECF[[#This Row],[Ø (cm)]]^2/4)*10</f>
        <v>0.9138975247854928</v>
      </c>
      <c r="AE210" s="4">
        <f ca="1">IF(ECF[[#This Row],[σ (MPa)]]&lt;INDEX(tipoEstaca[],MATCH($D$2,tipoEstaca[TIPO DE ESTACA],0),MATCH("σmáx (MPa)",tipoEstaca[#Headers],0)),0.4%*PI()*ECF[[#This Row],[Ø (cm)]]^2/4,"N.S.")</f>
        <v>80.424771931898704</v>
      </c>
      <c r="AF210" s="1">
        <f>INDEX(tipoEstaca[],MATCH($D$2,tipoEstaca[TIPO DE ESTACA],0),MATCH(ECF[[#Headers],[Comprimento (m)]],tipoEstaca[#Headers],0))</f>
        <v>4</v>
      </c>
      <c r="AG210" s="5">
        <f ca="1">ECF[[#This Row],[As,mín (cm²)]]/100^2*ECF[[#This Row],[Comprimento (m)]]*7850</f>
        <v>252.53378386616191</v>
      </c>
      <c r="AH210" s="4">
        <f ca="1">ECF[[#This Row],[nE]]*ECF[[#This Row],[Prof. (m)]]*ECF[[#This Row],[Ap (m²)]]</f>
        <v>36.191147369354418</v>
      </c>
      <c r="AI210" s="1">
        <f ca="1">IF(ECF[[#This Row],[nE]]=1,0,MAX(3*ECF[[#This Row],[Ø (cm)]],60))</f>
        <v>480</v>
      </c>
      <c r="AJ210" s="1">
        <f ca="1">IF(ECF[[#This Row],[nE]]=1,ECF[[#This Row],[Ø (cm)]]+2*10,MAX(1.5*ECF[[#This Row],[Ø (cm)]],ECF[[#This Row],[Ø (cm)]]+15))</f>
        <v>240</v>
      </c>
      <c r="AK210" s="1">
        <f ca="1">alturaUtil(ECF[[#This Row],[nE]],ECF[[#This Row],[Ø (cm)]],ECF[[#This Row],[e (cm)]],ECF[[#This Row],[ap,eq (cm)]])</f>
        <v>225</v>
      </c>
      <c r="AL210" s="1">
        <f ca="1">IFERROR(ECF[[#This Row],[d (cm)]]+arredondarParaCimaMultiplo5cm(MAX(5,SQRT(PI())/2*ECF[[#This Row],[Ø (cm)]]/5)),"N.S.")</f>
        <v>255</v>
      </c>
      <c r="AM210" s="5">
        <f ca="1">alpha(ECF[[#This Row],[nE]],ECF[[#This Row],[d (cm)]],ECF[[#This Row],[e (cm)]],ECF[[#This Row],[ap,eq (cm)]])</f>
        <v>45</v>
      </c>
      <c r="AN210" s="35">
        <f ca="1">IFERROR(ECF[[#This Row],[Nsd (kN)]]/(ECF[[#This Row],[Ap (cm²)]]*SIN(ECF[[#This Row],[α]])^2),"N.S.")</f>
        <v>1.3427801064714635</v>
      </c>
      <c r="AO210" s="35">
        <f ca="1">IFERROR(ECF[[#This Row],[Nsd (kN)]]/(ECF[[#This Row],[nE]]*PI()*ECF[[#This Row],[Ø (cm)]]^2/4*SIN(ECF[[#This Row],[α]])^2),"N.S.")</f>
        <v>0.12021192642959716</v>
      </c>
      <c r="AP210" s="4">
        <f ca="1">IFERROR(INDEX(grupoEstacas[],ECF[[#This Row],[nE]],MATCH("coef. Blévot",grupoEstacas[#Headers],0)),"N.S.")</f>
        <v>1.4</v>
      </c>
      <c r="AQ210" s="35">
        <f ca="1">IFERROR(ECF[[#This Row],[coef. Blévot]]*0.9*INDEX(tipoEstaca[],MATCH($D$2,tipoEstaca[TIPO DE ESTACA],0),MATCH("fcd (kN/cm²)",tipoEstaca[#Headers],0)),"N.S.")</f>
        <v>1.4000000000000001</v>
      </c>
      <c r="AR210" s="1" t="str">
        <f ca="1">IF(AND(ECF[[#This Row],[cd,b,pil (kN/cm²)]]&lt;=ECF[[#This Row],[cd,b,lim (kN/cm²)]],ECF[[#This Row],[cd,b,est (kN/cm²)]]&lt;=ECF[[#This Row],[cd,b,lim (kN/cm²)]]),"OK","ERRO")</f>
        <v>OK</v>
      </c>
      <c r="AS210" s="4">
        <f ca="1">As_lado(ECF[[#This Row],[nE]],ECF[[#This Row],[Nsd (kN)]],ECF[[#This Row],[d (cm)]],ECF[[#This Row],[e (cm)]],ECF[[#This Row],[ap,eq (cm)]])</f>
        <v>46.287499999999994</v>
      </c>
      <c r="AT210" s="4">
        <f ca="1">IF(ECF[[#This Row],[nE]]=1,ECF[[#This Row],[As,lado (cm²)]],IF(ECF[[#This Row],[nE]]=2,0.075*2*ECF[a (cm)],"N.A."))</f>
        <v>36</v>
      </c>
      <c r="AU210" s="4">
        <f ca="1">IFERROR(IF(ECF[[#This Row],[nE]]=1,"N.A.",0.2*ECF[[#This Row],[As,lado (cm²)]]),"N.S.")</f>
        <v>9.2574999999999985</v>
      </c>
      <c r="AV210" s="4" t="str">
        <f ca="1">As_malha(ECF[[#This Row],[nE]],ECF[[#This Row],[As,lado (cm²)]],ECF[[#This Row],[Nsd (kN)]])</f>
        <v>N.A.</v>
      </c>
      <c r="AW210" s="4" t="str">
        <f ca="1">As_susp_tot(ECF[[#This Row],[nE]],ECF[[#This Row],[Nsd (kN)]])</f>
        <v>N.A.</v>
      </c>
      <c r="AX210" s="4" t="str">
        <f ca="1">Asp_face(ECF[[#This Row],[nE]],ECF[[#This Row],[As,lado (cm²)]])</f>
        <v>N.A.</v>
      </c>
      <c r="AY210" s="5">
        <f ca="1">acoBloco(ECF[[#This Row],[nE]],ECF[[#This Row],[e (cm)]],ECF[[#This Row],[a (cm)]],ECF[[#This Row],[h (cm)]],ECF[[#This Row],[As,lado (cm²)]],ECF[[#This Row],[Asp e Asw (cm²/m)]],ECF[[#This Row],[As,sup (cm²)]],ECF[[#This Row],[As,malha (cm²)]],ECF[[#This Row],[As,susp,tot (cm²)]],ECF[[#This Row],[Asp,face (cm²)]])</f>
        <v>6482.0527199999997</v>
      </c>
      <c r="AZ210" s="4">
        <f ca="1">concretoBloco(ECF[[#This Row],[nE]],ECF[[#This Row],[e (cm)]],ECF[[#This Row],[a (cm)]],ECF[[#This Row],[h (cm)]])</f>
        <v>117.504</v>
      </c>
      <c r="BA210" s="5">
        <f ca="1">SUM(ECF[[#This Row],[Aço Est (kg)]],ECF[[#This Row],[Aço Bloco (kg)]])</f>
        <v>6734.5865038661614</v>
      </c>
      <c r="BB210" s="4">
        <f>INDEX(composicoes[],MATCH(95580,composicoes[CÓDIGO],0),MATCH("CUSTO TOTAL",composicoes[#Headers],0))</f>
        <v>10.46</v>
      </c>
      <c r="BC210" s="4">
        <f ca="1">SUM(ECF[[#This Row],[Conc Est (m³)]],ECF[[#This Row],[Conc Bloco (m³)]])</f>
        <v>153.69514736935443</v>
      </c>
      <c r="BD210" s="4">
        <f>INDEX(composicoes[],MATCH(94966,composicoes[CÓDIGO],0),MATCH("CUSTO TOTAL",composicoes[#Headers],0))</f>
        <v>439.52</v>
      </c>
      <c r="BE210" s="38">
        <f ca="1">ECF[[#This Row],[Aço (kg)]]*ECF[[#This Row],[Aço (R$/kg)]]+ECF[[#This Row],[Conc (m³)]]*ECF[[#This Row],[Conc (R$/m³)]]</f>
        <v>137995.86600221871</v>
      </c>
      <c r="BF210" s="4" t="str">
        <f ca="1">IF(COUNTIF(ECF[#This Row],"N.S.")&gt;0,"lim.","OK")</f>
        <v>OK</v>
      </c>
      <c r="BG210" s="4" t="str">
        <f>IF(ECF[[#This Row],[Prof. (m)]]&lt;4,"lim.","OK")</f>
        <v>OK</v>
      </c>
      <c r="BH210" s="4" t="str">
        <f>IF(ECF[[#This Row],[Prof. (m)]]&gt;=8*ECF[[#This Row],[Ø (cm)]]/100,"OK","lim.")</f>
        <v>lim.</v>
      </c>
      <c r="BI210" s="4" t="str">
        <f>IF(AND(SPT!$F$3&lt;&gt;"",ECF[[#This Row],[Prof. (m)]]&gt;=SPT!$F$3-2),"lim.","OK")</f>
        <v>OK</v>
      </c>
      <c r="BJ210" s="4" t="str">
        <f ca="1">IF(ECF[[#This Row],[Verif. Biela]]="OK","OK","lim.")</f>
        <v>OK</v>
      </c>
      <c r="BK210" s="4" t="str">
        <f ca="1">IF(COUNTA(ECF[[#This Row],[Nº Est.]:[Biela comp.]])=COUNTIF(ECF[[#This Row],[Nº Est.]:[Biela comp.]],"OK"),"OK","lim.")</f>
        <v>lim.</v>
      </c>
      <c r="BL210" s="4" t="str">
        <f ca="1">IF(ECF[[#This Row],[Controle]]="OK",ECF[[#This Row],[nE]]&amp;" Ø"&amp;ECF[[#This Row],[Ø (cm)]]&amp;"cm Prof. "&amp;ECF[[#This Row],[Prof. (m)]]&amp;" m","")</f>
        <v/>
      </c>
      <c r="BM210" s="4" t="str">
        <f ca="1">IF(ECF[[#This Row],[idDimensionamento]]="","",ECF[[#This Row],[idPilar]]&amp;ECF[[#This Row],[idDimensionamento]])</f>
        <v/>
      </c>
    </row>
    <row r="211" spans="2:65" x14ac:dyDescent="0.25">
      <c r="B211" s="12">
        <f>ROUNDUP((ROW(ECF[[#This Row],[idDiâmetro]])-ROW(ECF[[#Headers],[idDiâmetro]]))/(COUNT(SPT[Prof. (m)])*COUNT(PILARES[Pilar])),0)</f>
        <v>8</v>
      </c>
      <c r="C211" s="12">
        <f>IF(ECF[[#This Row],[idDiâmetro]]&lt;&gt;B210,1,IF(ECF[[#This Row],[Prof. (m)]]=0,C210+1,C210))</f>
        <v>1</v>
      </c>
      <c r="D211" s="1">
        <f>IFERROR(IF(D210=MAX(SPT[Prof. (m)]),0,D210+1),0)</f>
        <v>10</v>
      </c>
      <c r="E211" s="1">
        <f>INDEX(SPT[],MATCH(ECF[[#This Row],[Prof. (m)]],SPT[Prof. (m)],0),2)</f>
        <v>32</v>
      </c>
      <c r="F211" s="1" t="str">
        <f>INDEX(SPT[],MATCH(ECF[[#This Row],[Prof. (m)]],SPT[Prof. (m)],0),3)</f>
        <v>Areia siltosa</v>
      </c>
      <c r="G211" s="1">
        <f>INDEX(estacas[],ECF[[#This Row],[idDiâmetro]],MATCH($B$2,estacas[#Headers],0))</f>
        <v>160</v>
      </c>
      <c r="H211" s="1">
        <f>INDEX(estacas[],MATCH(ECF[[#This Row],[Ø (cm)]],estacas[Ø ECF (cm)],0),MATCH(ECF[[#Headers],[Pe ECF (kN)]],estacas[#Headers],0))</f>
        <v>8200</v>
      </c>
      <c r="I211" s="4">
        <f>INDEX(K_alpha_C[],MATCH(ECF[[#This Row],[Solo]],K_alpha_C[Solo],0),2)</f>
        <v>0.8</v>
      </c>
      <c r="J211" s="5">
        <f>INDEX(K_alpha_C[],MATCH(ECF[[#This Row],[Solo]],K_alpha_C[Solo],0),3)</f>
        <v>2</v>
      </c>
      <c r="K211" s="4">
        <f>INDEX(F1_F2[],MATCH($D$2,F1_F2[Tipo de estaca],0),2)</f>
        <v>3</v>
      </c>
      <c r="L211" s="4">
        <f>INDEX(F1_F2[],MATCH($D$2,F1_F2[Tipo de estaca],0),3)</f>
        <v>6</v>
      </c>
      <c r="M211" s="4">
        <f>PI()*(ECF[[#This Row],[Ø (cm)]]/100)^2/4</f>
        <v>2.0106192982974678</v>
      </c>
      <c r="N211" s="4">
        <f>PI()*ECF[[#This Row],[Ø (cm)]]/100</f>
        <v>5.026548245743669</v>
      </c>
      <c r="O211" s="4">
        <f>IF(ECF[[#This Row],[Prof. (m)]]=0,0,ECF[[#This Row],[α (%)]]/100*ECF[[#This Row],[K (MPa)]]*1000*ECF[[#This Row],[NSPT]])</f>
        <v>512</v>
      </c>
      <c r="P211" s="4">
        <f>IF(ECF[[#This Row],[Prof. (m)]]=0,0,(ECF[[#This Row],[K (MPa)]]*1000*ECF[[#This Row],[NSPT]]/ECF[[#This Row],[F1]]*ECF[[#This Row],[Ap (m²)]]+ECF[[#This Row],[U (m)]]/ECF[[#This Row],[F2]]*SUMIFS(ECF[(α∙K∙NL∙ΔL)],ECF[Prof. (m)],"&lt;="&amp;ECF[[#This Row],[Prof. (m)]],ECF[idDiâmetro],ECF[[#This Row],[idDiâmetro]],ECF[idPilar],ECF[[#This Row],[idPilar]]))/'DADOS CAP. CARGA'!$D$2)</f>
        <v>9386.1992029832982</v>
      </c>
      <c r="Q211" s="12">
        <f>INDEX(C_alpha_beta[],MATCH(ECF[[#This Row],[Solo]],C_alpha_beta[Solo],0),MATCH(ECF[[#Headers],[C (kPa)]],C_alpha_beta[#Headers],0))</f>
        <v>400</v>
      </c>
      <c r="R211" s="4">
        <f>INDEX(C_alpha_beta[],MATCH(ECF[[#This Row],[Solo]],C_alpha_beta[Solo],0),MATCH(ECF[[#Headers],[α ESF]],C_alpha_beta[#Headers],0))</f>
        <v>0.5</v>
      </c>
      <c r="S211" s="4">
        <f>INDEX(C_alpha_beta[],MATCH(ECF[[#This Row],[Solo]],C_alpha_beta[Solo],0),MATCH(ECF[[#Headers],[β ESF]],C_alpha_beta[#Headers],0))</f>
        <v>0.5</v>
      </c>
      <c r="T211" s="4">
        <f>IF(ECF[[#This Row],[Prof. (m)]]=0,0,10*(ECF[[#This Row],[NSPT]]/3+1))</f>
        <v>116.66666666666666</v>
      </c>
      <c r="U211" s="4">
        <f>(ECF[[#This Row],[α ESF]]*ECF[[#This Row],[C (kPa)]]*ECF[[#This Row],[NSPT]]*ECF[[#This Row],[Ap (m²)]])/'DADOS CAP. CARGA'!$Q$2+(ECF[[#This Row],[β ESF]]*SUMIFS(ECF[10∙(NL/3+1)],ECF[Prof. (m)],"&lt;="&amp;ECF[[#This Row],[Prof. (m)]],ECF[idDiâmetro],ECF[[#This Row],[idDiâmetro]],ECF[idPilar],ECF[[#This Row],[idPilar]])*ECF[[#This Row],[U (m)]])/'DADOS CAP. CARGA'!$S$2</f>
        <v>3887.1973100417708</v>
      </c>
      <c r="V211" s="4">
        <f>IF(SPT!$M$5=1,MIN(ECF[[#This Row],[Pe ECF (kN)]],ECF[[#This Row],[R_AV (kN)]]),IF(SPT!$M$5=2,MIN(ECF[[#This Row],[Pe ECF (kN)]],ECF[[#This Row],[R_DC (kN)]]),MIN(ECF[[#This Row],[Pe ECF (kN)]],ECF[[#This Row],[R_AV (kN)]],ECF[[#This Row],[R_DC (kN)]])))</f>
        <v>3887.1973100417708</v>
      </c>
      <c r="W211" s="4">
        <f>INDEX(PILARES[],ECF[[#This Row],[idPilar]],MATCH("Carga (kN)",PILARES[#Headers],0))*1.4</f>
        <v>3500</v>
      </c>
      <c r="X211" s="12">
        <f>INDEX(PILARES[],ECF[[#This Row],[idPilar]],MATCH(ECF[[#Headers],[ap (cm)]],PILARES[#Headers],0))</f>
        <v>60</v>
      </c>
      <c r="Y211" s="12">
        <f>INDEX(PILARES[],ECF[[#This Row],[idPilar]],MATCH(ECF[[#Headers],[bp (cm)]],PILARES[#Headers],0))</f>
        <v>60</v>
      </c>
      <c r="Z211" s="4">
        <f>SQRT(ECF[[#This Row],[ap (cm)]]*ECF[[#This Row],[bp (cm)]])</f>
        <v>60</v>
      </c>
      <c r="AA211" s="12">
        <f>ECF[[#This Row],[ap (cm)]]*ECF[[#This Row],[bp (cm)]]</f>
        <v>3600</v>
      </c>
      <c r="AB211" s="12">
        <f ca="1">IF(ECF[[#This Row],[Padm∙ε (kN)]]&gt;=ECF[[#This Row],[Padm (kN)]],ROUNDUP(1.05*ECF[[#This Row],[Nsd (kN)]]/ECF[[#This Row],[Padm (kN)]],0),ROUNDUP(1.05*ECF[[#This Row],[Nsd (kN)]]/ECF[[#This Row],[Padm (kN)]],0)+1)</f>
        <v>1</v>
      </c>
      <c r="AC211" s="4">
        <f ca="1">IFERROR(IF(ECF[[#This Row],[nE]]=1,ECF[[#This Row],[Padm (kN)]],ECF[[#This Row],[Padm (kN)]]*ECF[[#This Row],[nE]]*INDEX(grupoEstacas[],ECF[[#This Row],[nE]],MATCH("ε",grupoEstacas[#Headers],0))),"N.S.")</f>
        <v>3887.1973100417708</v>
      </c>
      <c r="AD211" s="4">
        <f ca="1">1.05*ECF[[#This Row],[Nsd (kN)]]/(ECF[[#This Row],[nE]]*PI()*ECF[[#This Row],[Ø (cm)]]^2/4)*10</f>
        <v>1.8277950495709856</v>
      </c>
      <c r="AE211" s="4">
        <f ca="1">IF(ECF[[#This Row],[σ (MPa)]]&lt;INDEX(tipoEstaca[],MATCH($D$2,tipoEstaca[TIPO DE ESTACA],0),MATCH("σmáx (MPa)",tipoEstaca[#Headers],0)),0.4%*PI()*ECF[[#This Row],[Ø (cm)]]^2/4,"N.S.")</f>
        <v>80.424771931898704</v>
      </c>
      <c r="AF211" s="1">
        <f>INDEX(tipoEstaca[],MATCH($D$2,tipoEstaca[TIPO DE ESTACA],0),MATCH(ECF[[#Headers],[Comprimento (m)]],tipoEstaca[#Headers],0))</f>
        <v>4</v>
      </c>
      <c r="AG211" s="5">
        <f ca="1">ECF[[#This Row],[As,mín (cm²)]]/100^2*ECF[[#This Row],[Comprimento (m)]]*7850</f>
        <v>252.53378386616191</v>
      </c>
      <c r="AH211" s="4">
        <f ca="1">ECF[[#This Row],[nE]]*ECF[[#This Row],[Prof. (m)]]*ECF[[#This Row],[Ap (m²)]]</f>
        <v>20.106192982974676</v>
      </c>
      <c r="AI211" s="1">
        <f ca="1">IF(ECF[[#This Row],[nE]]=1,0,MAX(3*ECF[[#This Row],[Ø (cm)]],60))</f>
        <v>0</v>
      </c>
      <c r="AJ211" s="1">
        <f ca="1">IF(ECF[[#This Row],[nE]]=1,ECF[[#This Row],[Ø (cm)]]+2*10,MAX(1.5*ECF[[#This Row],[Ø (cm)]],ECF[[#This Row],[Ø (cm)]]+15))</f>
        <v>180</v>
      </c>
      <c r="AK211" s="1">
        <f ca="1">alturaUtil(ECF[[#This Row],[nE]],ECF[[#This Row],[Ø (cm)]],ECF[[#This Row],[e (cm)]],ECF[[#This Row],[ap,eq (cm)]])</f>
        <v>195</v>
      </c>
      <c r="AL211" s="1">
        <f ca="1">IFERROR(ECF[[#This Row],[d (cm)]]+arredondarParaCimaMultiplo5cm(MAX(5,SQRT(PI())/2*ECF[[#This Row],[Ø (cm)]]/5)),"N.S.")</f>
        <v>225</v>
      </c>
      <c r="AM211" s="5">
        <f ca="1">alpha(ECF[[#This Row],[nE]],ECF[[#This Row],[d (cm)]],ECF[[#This Row],[e (cm)]],ECF[[#This Row],[ap,eq (cm)]])</f>
        <v>90</v>
      </c>
      <c r="AN211" s="35">
        <f ca="1">IFERROR(ECF[[#This Row],[Nsd (kN)]]/(ECF[[#This Row],[Ap (cm²)]]*SIN(ECF[[#This Row],[α]])^2),"N.S.")</f>
        <v>1.2164485570105679</v>
      </c>
      <c r="AO211" s="35">
        <f ca="1">IFERROR(ECF[[#This Row],[Nsd (kN)]]/(ECF[[#This Row],[nE]]*PI()*ECF[[#This Row],[Ø (cm)]]^2/4*SIN(ECF[[#This Row],[α]])^2),"N.S.")</f>
        <v>0.21780427597338956</v>
      </c>
      <c r="AP211" s="4">
        <f ca="1">IFERROR(INDEX(grupoEstacas[],ECF[[#This Row],[nE]],MATCH("coef. Blévot",grupoEstacas[#Headers],0)),"N.S.")</f>
        <v>1</v>
      </c>
      <c r="AQ211" s="35">
        <f ca="1">IFERROR(ECF[[#This Row],[coef. Blévot]]*0.9*INDEX(tipoEstaca[],MATCH($D$2,tipoEstaca[TIPO DE ESTACA],0),MATCH("fcd (kN/cm²)",tipoEstaca[#Headers],0)),"N.S.")</f>
        <v>1</v>
      </c>
      <c r="AR211" s="1" t="str">
        <f ca="1">IF(AND(ECF[[#This Row],[cd,b,pil (kN/cm²)]]&lt;=ECF[[#This Row],[cd,b,lim (kN/cm²)]],ECF[[#This Row],[cd,b,est (kN/cm²)]]&lt;=ECF[[#This Row],[cd,b,lim (kN/cm²)]]),"OK","ERRO")</f>
        <v>ERRO</v>
      </c>
      <c r="AS211" s="4">
        <f ca="1">As_lado(ECF[[#This Row],[nE]],ECF[[#This Row],[Nsd (kN)]],ECF[[#This Row],[d (cm)]],ECF[[#This Row],[e (cm)]],ECF[[#This Row],[ap,eq (cm)]])</f>
        <v>20.125</v>
      </c>
      <c r="AT211" s="4">
        <f ca="1">IF(ECF[[#This Row],[nE]]=1,ECF[[#This Row],[As,lado (cm²)]],IF(ECF[[#This Row],[nE]]=2,0.075*2*ECF[a (cm)],"N.A."))</f>
        <v>20.125</v>
      </c>
      <c r="AU211" s="4" t="str">
        <f ca="1">IFERROR(IF(ECF[[#This Row],[nE]]=1,"N.A.",0.2*ECF[[#This Row],[As,lado (cm²)]]),"N.S.")</f>
        <v>N.A.</v>
      </c>
      <c r="AV211" s="4" t="str">
        <f ca="1">As_malha(ECF[[#This Row],[nE]],ECF[[#This Row],[As,lado (cm²)]],ECF[[#This Row],[Nsd (kN)]])</f>
        <v>N.A.</v>
      </c>
      <c r="AW211" s="4" t="str">
        <f ca="1">As_susp_tot(ECF[[#This Row],[nE]],ECF[[#This Row],[Nsd (kN)]])</f>
        <v>N.A.</v>
      </c>
      <c r="AX211" s="4" t="str">
        <f ca="1">Asp_face(ECF[[#This Row],[nE]],ECF[[#This Row],[As,lado (cm²)]])</f>
        <v>N.A.</v>
      </c>
      <c r="AY211" s="5">
        <f ca="1">acoBloco(ECF[[#This Row],[nE]],ECF[[#This Row],[e (cm)]],ECF[[#This Row],[a (cm)]],ECF[[#This Row],[h (cm)]],ECF[[#This Row],[As,lado (cm²)]],ECF[[#This Row],[Asp e Asw (cm²/m)]],ECF[[#This Row],[As,sup (cm²)]],ECF[[#This Row],[As,malha (cm²)]],ECF[[#This Row],[As,susp,tot (cm²)]],ECF[[#This Row],[Asp,face (cm²)]])</f>
        <v>369.67612500000001</v>
      </c>
      <c r="AZ211" s="4">
        <f ca="1">concretoBloco(ECF[[#This Row],[nE]],ECF[[#This Row],[e (cm)]],ECF[[#This Row],[a (cm)]],ECF[[#This Row],[h (cm)]])</f>
        <v>7.29</v>
      </c>
      <c r="BA211" s="5">
        <f ca="1">SUM(ECF[[#This Row],[Aço Est (kg)]],ECF[[#This Row],[Aço Bloco (kg)]])</f>
        <v>622.20990886616187</v>
      </c>
      <c r="BB211" s="4">
        <f>INDEX(composicoes[],MATCH(95580,composicoes[CÓDIGO],0),MATCH("CUSTO TOTAL",composicoes[#Headers],0))</f>
        <v>10.46</v>
      </c>
      <c r="BC211" s="4">
        <f ca="1">SUM(ECF[[#This Row],[Conc Est (m³)]],ECF[[#This Row],[Conc Bloco (m³)]])</f>
        <v>27.396192982974675</v>
      </c>
      <c r="BD211" s="4">
        <f>INDEX(composicoes[],MATCH(94966,composicoes[CÓDIGO],0),MATCH("CUSTO TOTAL",composicoes[#Headers],0))</f>
        <v>439.52</v>
      </c>
      <c r="BE211" s="38">
        <f ca="1">ECF[[#This Row],[Aço (kg)]]*ECF[[#This Row],[Aço (R$/kg)]]+ECF[[#This Row],[Conc (m³)]]*ECF[[#This Row],[Conc (R$/m³)]]</f>
        <v>18549.490386617083</v>
      </c>
      <c r="BF211" s="4" t="str">
        <f ca="1">IF(COUNTIF(ECF[#This Row],"N.S.")&gt;0,"lim.","OK")</f>
        <v>OK</v>
      </c>
      <c r="BG211" s="4" t="str">
        <f>IF(ECF[[#This Row],[Prof. (m)]]&lt;4,"lim.","OK")</f>
        <v>OK</v>
      </c>
      <c r="BH211" s="4" t="str">
        <f>IF(ECF[[#This Row],[Prof. (m)]]&gt;=8*ECF[[#This Row],[Ø (cm)]]/100,"OK","lim.")</f>
        <v>lim.</v>
      </c>
      <c r="BI211" s="4" t="str">
        <f>IF(AND(SPT!$F$3&lt;&gt;"",ECF[[#This Row],[Prof. (m)]]&gt;=SPT!$F$3-2),"lim.","OK")</f>
        <v>OK</v>
      </c>
      <c r="BJ211" s="4" t="str">
        <f ca="1">IF(ECF[[#This Row],[Verif. Biela]]="OK","OK","lim.")</f>
        <v>lim.</v>
      </c>
      <c r="BK211" s="4" t="str">
        <f ca="1">IF(COUNTA(ECF[[#This Row],[Nº Est.]:[Biela comp.]])=COUNTIF(ECF[[#This Row],[Nº Est.]:[Biela comp.]],"OK"),"OK","lim.")</f>
        <v>lim.</v>
      </c>
      <c r="BL211" s="4" t="str">
        <f ca="1">IF(ECF[[#This Row],[Controle]]="OK",ECF[[#This Row],[nE]]&amp;" Ø"&amp;ECF[[#This Row],[Ø (cm)]]&amp;"cm Prof. "&amp;ECF[[#This Row],[Prof. (m)]]&amp;" m","")</f>
        <v/>
      </c>
      <c r="BM211" s="4" t="str">
        <f ca="1">IF(ECF[[#This Row],[idDimensionamento]]="","",ECF[[#This Row],[idPilar]]&amp;ECF[[#This Row],[idDimensionamento]])</f>
        <v/>
      </c>
    </row>
    <row r="212" spans="2:65" x14ac:dyDescent="0.25">
      <c r="B212" s="12">
        <f>ROUNDUP((ROW(ECF[[#This Row],[idDiâmetro]])-ROW(ECF[[#Headers],[idDiâmetro]]))/(COUNT(SPT[Prof. (m)])*COUNT(PILARES[Pilar])),0)</f>
        <v>8</v>
      </c>
      <c r="C212" s="12">
        <f>IF(ECF[[#This Row],[idDiâmetro]]&lt;&gt;B211,1,IF(ECF[[#This Row],[Prof. (m)]]=0,C211+1,C211))</f>
        <v>1</v>
      </c>
      <c r="D212" s="1">
        <f>IFERROR(IF(D211=MAX(SPT[Prof. (m)]),0,D211+1),0)</f>
        <v>11</v>
      </c>
      <c r="E212" s="1">
        <f>INDEX(SPT[],MATCH(ECF[[#This Row],[Prof. (m)]],SPT[Prof. (m)],0),2)</f>
        <v>41</v>
      </c>
      <c r="F212" s="1" t="str">
        <f>INDEX(SPT[],MATCH(ECF[[#This Row],[Prof. (m)]],SPT[Prof. (m)],0),3)</f>
        <v>Areia siltosa</v>
      </c>
      <c r="G212" s="1">
        <f>INDEX(estacas[],ECF[[#This Row],[idDiâmetro]],MATCH($B$2,estacas[#Headers],0))</f>
        <v>160</v>
      </c>
      <c r="H212" s="1">
        <f>INDEX(estacas[],MATCH(ECF[[#This Row],[Ø (cm)]],estacas[Ø ECF (cm)],0),MATCH(ECF[[#Headers],[Pe ECF (kN)]],estacas[#Headers],0))</f>
        <v>8200</v>
      </c>
      <c r="I212" s="4">
        <f>INDEX(K_alpha_C[],MATCH(ECF[[#This Row],[Solo]],K_alpha_C[Solo],0),2)</f>
        <v>0.8</v>
      </c>
      <c r="J212" s="5">
        <f>INDEX(K_alpha_C[],MATCH(ECF[[#This Row],[Solo]],K_alpha_C[Solo],0),3)</f>
        <v>2</v>
      </c>
      <c r="K212" s="4">
        <f>INDEX(F1_F2[],MATCH($D$2,F1_F2[Tipo de estaca],0),2)</f>
        <v>3</v>
      </c>
      <c r="L212" s="4">
        <f>INDEX(F1_F2[],MATCH($D$2,F1_F2[Tipo de estaca],0),3)</f>
        <v>6</v>
      </c>
      <c r="M212" s="4">
        <f>PI()*(ECF[[#This Row],[Ø (cm)]]/100)^2/4</f>
        <v>2.0106192982974678</v>
      </c>
      <c r="N212" s="4">
        <f>PI()*ECF[[#This Row],[Ø (cm)]]/100</f>
        <v>5.026548245743669</v>
      </c>
      <c r="O212" s="4">
        <f>IF(ECF[[#This Row],[Prof. (m)]]=0,0,ECF[[#This Row],[α (%)]]/100*ECF[[#This Row],[K (MPa)]]*1000*ECF[[#This Row],[NSPT]])</f>
        <v>656</v>
      </c>
      <c r="P212" s="4">
        <f>IF(ECF[[#This Row],[Prof. (m)]]=0,0,(ECF[[#This Row],[K (MPa)]]*1000*ECF[[#This Row],[NSPT]]/ECF[[#This Row],[F1]]*ECF[[#This Row],[Ap (m²)]]+ECF[[#This Row],[U (m)]]/ECF[[#This Row],[F2]]*SUMIFS(ECF[(α∙K∙NL∙ΔL)],ECF[Prof. (m)],"&lt;="&amp;ECF[[#This Row],[Prof. (m)]],ECF[idDiâmetro],ECF[[#This Row],[idDiâmetro]],ECF[idPilar],ECF[[#This Row],[idPilar]]))/'DADOS CAP. CARGA'!$D$2)</f>
        <v>12073.726998374248</v>
      </c>
      <c r="Q212" s="12">
        <f>INDEX(C_alpha_beta[],MATCH(ECF[[#This Row],[Solo]],C_alpha_beta[Solo],0),MATCH(ECF[[#Headers],[C (kPa)]],C_alpha_beta[#Headers],0))</f>
        <v>400</v>
      </c>
      <c r="R212" s="4">
        <f>INDEX(C_alpha_beta[],MATCH(ECF[[#This Row],[Solo]],C_alpha_beta[Solo],0),MATCH(ECF[[#Headers],[α ESF]],C_alpha_beta[#Headers],0))</f>
        <v>0.5</v>
      </c>
      <c r="S212" s="4">
        <f>INDEX(C_alpha_beta[],MATCH(ECF[[#This Row],[Solo]],C_alpha_beta[Solo],0),MATCH(ECF[[#Headers],[β ESF]],C_alpha_beta[#Headers],0))</f>
        <v>0.5</v>
      </c>
      <c r="T212" s="4">
        <f>IF(ECF[[#This Row],[Prof. (m)]]=0,0,10*(ECF[[#This Row],[NSPT]]/3+1))</f>
        <v>146.66666666666666</v>
      </c>
      <c r="U212" s="4">
        <f>(ECF[[#This Row],[α ESF]]*ECF[[#This Row],[C (kPa)]]*ECF[[#This Row],[NSPT]]*ECF[[#This Row],[Ap (m²)]])/'DADOS CAP. CARGA'!$Q$2+(ECF[[#This Row],[β ESF]]*SUMIFS(ECF[10∙(NL/3+1)],ECF[Prof. (m)],"&lt;="&amp;ECF[[#This Row],[Prof. (m)]],ECF[idDiâmetro],ECF[[#This Row],[idDiâmetro]],ECF[idPilar],ECF[[#This Row],[idPilar]])*ECF[[#This Row],[U (m)]])/'DADOS CAP. CARGA'!$S$2</f>
        <v>4976.2827632862327</v>
      </c>
      <c r="V212" s="4">
        <f>IF(SPT!$M$5=1,MIN(ECF[[#This Row],[Pe ECF (kN)]],ECF[[#This Row],[R_AV (kN)]]),IF(SPT!$M$5=2,MIN(ECF[[#This Row],[Pe ECF (kN)]],ECF[[#This Row],[R_DC (kN)]]),MIN(ECF[[#This Row],[Pe ECF (kN)]],ECF[[#This Row],[R_AV (kN)]],ECF[[#This Row],[R_DC (kN)]])))</f>
        <v>4976.2827632862327</v>
      </c>
      <c r="W212" s="4">
        <f>INDEX(PILARES[],ECF[[#This Row],[idPilar]],MATCH("Carga (kN)",PILARES[#Headers],0))*1.4</f>
        <v>3500</v>
      </c>
      <c r="X212" s="12">
        <f>INDEX(PILARES[],ECF[[#This Row],[idPilar]],MATCH(ECF[[#Headers],[ap (cm)]],PILARES[#Headers],0))</f>
        <v>60</v>
      </c>
      <c r="Y212" s="12">
        <f>INDEX(PILARES[],ECF[[#This Row],[idPilar]],MATCH(ECF[[#Headers],[bp (cm)]],PILARES[#Headers],0))</f>
        <v>60</v>
      </c>
      <c r="Z212" s="4">
        <f>SQRT(ECF[[#This Row],[ap (cm)]]*ECF[[#This Row],[bp (cm)]])</f>
        <v>60</v>
      </c>
      <c r="AA212" s="12">
        <f>ECF[[#This Row],[ap (cm)]]*ECF[[#This Row],[bp (cm)]]</f>
        <v>3600</v>
      </c>
      <c r="AB212" s="12">
        <f ca="1">IF(ECF[[#This Row],[Padm∙ε (kN)]]&gt;=ECF[[#This Row],[Padm (kN)]],ROUNDUP(1.05*ECF[[#This Row],[Nsd (kN)]]/ECF[[#This Row],[Padm (kN)]],0),ROUNDUP(1.05*ECF[[#This Row],[Nsd (kN)]]/ECF[[#This Row],[Padm (kN)]],0)+1)</f>
        <v>1</v>
      </c>
      <c r="AC212" s="4">
        <f ca="1">IFERROR(IF(ECF[[#This Row],[nE]]=1,ECF[[#This Row],[Padm (kN)]],ECF[[#This Row],[Padm (kN)]]*ECF[[#This Row],[nE]]*INDEX(grupoEstacas[],ECF[[#This Row],[nE]],MATCH("ε",grupoEstacas[#Headers],0))),"N.S.")</f>
        <v>4976.2827632862327</v>
      </c>
      <c r="AD212" s="4">
        <f ca="1">1.05*ECF[[#This Row],[Nsd (kN)]]/(ECF[[#This Row],[nE]]*PI()*ECF[[#This Row],[Ø (cm)]]^2/4)*10</f>
        <v>1.8277950495709856</v>
      </c>
      <c r="AE212" s="4">
        <f ca="1">IF(ECF[[#This Row],[σ (MPa)]]&lt;INDEX(tipoEstaca[],MATCH($D$2,tipoEstaca[TIPO DE ESTACA],0),MATCH("σmáx (MPa)",tipoEstaca[#Headers],0)),0.4%*PI()*ECF[[#This Row],[Ø (cm)]]^2/4,"N.S.")</f>
        <v>80.424771931898704</v>
      </c>
      <c r="AF212" s="1">
        <f>INDEX(tipoEstaca[],MATCH($D$2,tipoEstaca[TIPO DE ESTACA],0),MATCH(ECF[[#Headers],[Comprimento (m)]],tipoEstaca[#Headers],0))</f>
        <v>4</v>
      </c>
      <c r="AG212" s="5">
        <f ca="1">ECF[[#This Row],[As,mín (cm²)]]/100^2*ECF[[#This Row],[Comprimento (m)]]*7850</f>
        <v>252.53378386616191</v>
      </c>
      <c r="AH212" s="4">
        <f ca="1">ECF[[#This Row],[nE]]*ECF[[#This Row],[Prof. (m)]]*ECF[[#This Row],[Ap (m²)]]</f>
        <v>22.116812281272146</v>
      </c>
      <c r="AI212" s="1">
        <f ca="1">IF(ECF[[#This Row],[nE]]=1,0,MAX(3*ECF[[#This Row],[Ø (cm)]],60))</f>
        <v>0</v>
      </c>
      <c r="AJ212" s="1">
        <f ca="1">IF(ECF[[#This Row],[nE]]=1,ECF[[#This Row],[Ø (cm)]]+2*10,MAX(1.5*ECF[[#This Row],[Ø (cm)]],ECF[[#This Row],[Ø (cm)]]+15))</f>
        <v>180</v>
      </c>
      <c r="AK212" s="1">
        <f ca="1">alturaUtil(ECF[[#This Row],[nE]],ECF[[#This Row],[Ø (cm)]],ECF[[#This Row],[e (cm)]],ECF[[#This Row],[ap,eq (cm)]])</f>
        <v>195</v>
      </c>
      <c r="AL212" s="1">
        <f ca="1">IFERROR(ECF[[#This Row],[d (cm)]]+arredondarParaCimaMultiplo5cm(MAX(5,SQRT(PI())/2*ECF[[#This Row],[Ø (cm)]]/5)),"N.S.")</f>
        <v>225</v>
      </c>
      <c r="AM212" s="5">
        <f ca="1">alpha(ECF[[#This Row],[nE]],ECF[[#This Row],[d (cm)]],ECF[[#This Row],[e (cm)]],ECF[[#This Row],[ap,eq (cm)]])</f>
        <v>90</v>
      </c>
      <c r="AN212" s="35">
        <f ca="1">IFERROR(ECF[[#This Row],[Nsd (kN)]]/(ECF[[#This Row],[Ap (cm²)]]*SIN(ECF[[#This Row],[α]])^2),"N.S.")</f>
        <v>1.2164485570105679</v>
      </c>
      <c r="AO212" s="35">
        <f ca="1">IFERROR(ECF[[#This Row],[Nsd (kN)]]/(ECF[[#This Row],[nE]]*PI()*ECF[[#This Row],[Ø (cm)]]^2/4*SIN(ECF[[#This Row],[α]])^2),"N.S.")</f>
        <v>0.21780427597338956</v>
      </c>
      <c r="AP212" s="4">
        <f ca="1">IFERROR(INDEX(grupoEstacas[],ECF[[#This Row],[nE]],MATCH("coef. Blévot",grupoEstacas[#Headers],0)),"N.S.")</f>
        <v>1</v>
      </c>
      <c r="AQ212" s="35">
        <f ca="1">IFERROR(ECF[[#This Row],[coef. Blévot]]*0.9*INDEX(tipoEstaca[],MATCH($D$2,tipoEstaca[TIPO DE ESTACA],0),MATCH("fcd (kN/cm²)",tipoEstaca[#Headers],0)),"N.S.")</f>
        <v>1</v>
      </c>
      <c r="AR212" s="1" t="str">
        <f ca="1">IF(AND(ECF[[#This Row],[cd,b,pil (kN/cm²)]]&lt;=ECF[[#This Row],[cd,b,lim (kN/cm²)]],ECF[[#This Row],[cd,b,est (kN/cm²)]]&lt;=ECF[[#This Row],[cd,b,lim (kN/cm²)]]),"OK","ERRO")</f>
        <v>ERRO</v>
      </c>
      <c r="AS212" s="4">
        <f ca="1">As_lado(ECF[[#This Row],[nE]],ECF[[#This Row],[Nsd (kN)]],ECF[[#This Row],[d (cm)]],ECF[[#This Row],[e (cm)]],ECF[[#This Row],[ap,eq (cm)]])</f>
        <v>20.125</v>
      </c>
      <c r="AT212" s="4">
        <f ca="1">IF(ECF[[#This Row],[nE]]=1,ECF[[#This Row],[As,lado (cm²)]],IF(ECF[[#This Row],[nE]]=2,0.075*2*ECF[a (cm)],"N.A."))</f>
        <v>20.125</v>
      </c>
      <c r="AU212" s="4" t="str">
        <f ca="1">IFERROR(IF(ECF[[#This Row],[nE]]=1,"N.A.",0.2*ECF[[#This Row],[As,lado (cm²)]]),"N.S.")</f>
        <v>N.A.</v>
      </c>
      <c r="AV212" s="4" t="str">
        <f ca="1">As_malha(ECF[[#This Row],[nE]],ECF[[#This Row],[As,lado (cm²)]],ECF[[#This Row],[Nsd (kN)]])</f>
        <v>N.A.</v>
      </c>
      <c r="AW212" s="4" t="str">
        <f ca="1">As_susp_tot(ECF[[#This Row],[nE]],ECF[[#This Row],[Nsd (kN)]])</f>
        <v>N.A.</v>
      </c>
      <c r="AX212" s="4" t="str">
        <f ca="1">Asp_face(ECF[[#This Row],[nE]],ECF[[#This Row],[As,lado (cm²)]])</f>
        <v>N.A.</v>
      </c>
      <c r="AY212" s="5">
        <f ca="1">acoBloco(ECF[[#This Row],[nE]],ECF[[#This Row],[e (cm)]],ECF[[#This Row],[a (cm)]],ECF[[#This Row],[h (cm)]],ECF[[#This Row],[As,lado (cm²)]],ECF[[#This Row],[Asp e Asw (cm²/m)]],ECF[[#This Row],[As,sup (cm²)]],ECF[[#This Row],[As,malha (cm²)]],ECF[[#This Row],[As,susp,tot (cm²)]],ECF[[#This Row],[Asp,face (cm²)]])</f>
        <v>369.67612500000001</v>
      </c>
      <c r="AZ212" s="4">
        <f ca="1">concretoBloco(ECF[[#This Row],[nE]],ECF[[#This Row],[e (cm)]],ECF[[#This Row],[a (cm)]],ECF[[#This Row],[h (cm)]])</f>
        <v>7.29</v>
      </c>
      <c r="BA212" s="5">
        <f ca="1">SUM(ECF[[#This Row],[Aço Est (kg)]],ECF[[#This Row],[Aço Bloco (kg)]])</f>
        <v>622.20990886616187</v>
      </c>
      <c r="BB212" s="4">
        <f>INDEX(composicoes[],MATCH(95580,composicoes[CÓDIGO],0),MATCH("CUSTO TOTAL",composicoes[#Headers],0))</f>
        <v>10.46</v>
      </c>
      <c r="BC212" s="4">
        <f ca="1">SUM(ECF[[#This Row],[Conc Est (m³)]],ECF[[#This Row],[Conc Bloco (m³)]])</f>
        <v>29.406812281272146</v>
      </c>
      <c r="BD212" s="4">
        <f>INDEX(composicoes[],MATCH(94966,composicoes[CÓDIGO],0),MATCH("CUSTO TOTAL",composicoes[#Headers],0))</f>
        <v>439.52</v>
      </c>
      <c r="BE212" s="38">
        <f ca="1">ECF[[#This Row],[Aço (kg)]]*ECF[[#This Row],[Aço (R$/kg)]]+ECF[[#This Row],[Conc (m³)]]*ECF[[#This Row],[Conc (R$/m³)]]</f>
        <v>19433.197780604787</v>
      </c>
      <c r="BF212" s="4" t="str">
        <f ca="1">IF(COUNTIF(ECF[#This Row],"N.S.")&gt;0,"lim.","OK")</f>
        <v>OK</v>
      </c>
      <c r="BG212" s="4" t="str">
        <f>IF(ECF[[#This Row],[Prof. (m)]]&lt;4,"lim.","OK")</f>
        <v>OK</v>
      </c>
      <c r="BH212" s="4" t="str">
        <f>IF(ECF[[#This Row],[Prof. (m)]]&gt;=8*ECF[[#This Row],[Ø (cm)]]/100,"OK","lim.")</f>
        <v>lim.</v>
      </c>
      <c r="BI212" s="4" t="str">
        <f>IF(AND(SPT!$F$3&lt;&gt;"",ECF[[#This Row],[Prof. (m)]]&gt;=SPT!$F$3-2),"lim.","OK")</f>
        <v>OK</v>
      </c>
      <c r="BJ212" s="4" t="str">
        <f ca="1">IF(ECF[[#This Row],[Verif. Biela]]="OK","OK","lim.")</f>
        <v>lim.</v>
      </c>
      <c r="BK212" s="4" t="str">
        <f ca="1">IF(COUNTA(ECF[[#This Row],[Nº Est.]:[Biela comp.]])=COUNTIF(ECF[[#This Row],[Nº Est.]:[Biela comp.]],"OK"),"OK","lim.")</f>
        <v>lim.</v>
      </c>
      <c r="BL212" s="4" t="str">
        <f ca="1">IF(ECF[[#This Row],[Controle]]="OK",ECF[[#This Row],[nE]]&amp;" Ø"&amp;ECF[[#This Row],[Ø (cm)]]&amp;"cm Prof. "&amp;ECF[[#This Row],[Prof. (m)]]&amp;" m","")</f>
        <v/>
      </c>
      <c r="BM212" s="4" t="str">
        <f ca="1">IF(ECF[[#This Row],[idDimensionamento]]="","",ECF[[#This Row],[idPilar]]&amp;ECF[[#This Row],[idDimensionamento]])</f>
        <v/>
      </c>
    </row>
    <row r="213" spans="2:65" x14ac:dyDescent="0.25">
      <c r="B213" s="12">
        <f>ROUNDUP((ROW(ECF[[#This Row],[idDiâmetro]])-ROW(ECF[[#Headers],[idDiâmetro]]))/(COUNT(SPT[Prof. (m)])*COUNT(PILARES[Pilar])),0)</f>
        <v>8</v>
      </c>
      <c r="C213" s="12">
        <f>IF(ECF[[#This Row],[idDiâmetro]]&lt;&gt;B212,1,IF(ECF[[#This Row],[Prof. (m)]]=0,C212+1,C212))</f>
        <v>1</v>
      </c>
      <c r="D213" s="1">
        <f>IFERROR(IF(D212=MAX(SPT[Prof. (m)]),0,D212+1),0)</f>
        <v>12</v>
      </c>
      <c r="E213" s="1">
        <f>INDEX(SPT[],MATCH(ECF[[#This Row],[Prof. (m)]],SPT[Prof. (m)],0),2)</f>
        <v>52</v>
      </c>
      <c r="F213" s="1" t="str">
        <f>INDEX(SPT[],MATCH(ECF[[#This Row],[Prof. (m)]],SPT[Prof. (m)],0),3)</f>
        <v>Areia siltosa</v>
      </c>
      <c r="G213" s="1">
        <f>INDEX(estacas[],ECF[[#This Row],[idDiâmetro]],MATCH($B$2,estacas[#Headers],0))</f>
        <v>160</v>
      </c>
      <c r="H213" s="1">
        <f>INDEX(estacas[],MATCH(ECF[[#This Row],[Ø (cm)]],estacas[Ø ECF (cm)],0),MATCH(ECF[[#Headers],[Pe ECF (kN)]],estacas[#Headers],0))</f>
        <v>8200</v>
      </c>
      <c r="I213" s="4">
        <f>INDEX(K_alpha_C[],MATCH(ECF[[#This Row],[Solo]],K_alpha_C[Solo],0),2)</f>
        <v>0.8</v>
      </c>
      <c r="J213" s="5">
        <f>INDEX(K_alpha_C[],MATCH(ECF[[#This Row],[Solo]],K_alpha_C[Solo],0),3)</f>
        <v>2</v>
      </c>
      <c r="K213" s="4">
        <f>INDEX(F1_F2[],MATCH($D$2,F1_F2[Tipo de estaca],0),2)</f>
        <v>3</v>
      </c>
      <c r="L213" s="4">
        <f>INDEX(F1_F2[],MATCH($D$2,F1_F2[Tipo de estaca],0),3)</f>
        <v>6</v>
      </c>
      <c r="M213" s="4">
        <f>PI()*(ECF[[#This Row],[Ø (cm)]]/100)^2/4</f>
        <v>2.0106192982974678</v>
      </c>
      <c r="N213" s="4">
        <f>PI()*ECF[[#This Row],[Ø (cm)]]/100</f>
        <v>5.026548245743669</v>
      </c>
      <c r="O213" s="4">
        <f>IF(ECF[[#This Row],[Prof. (m)]]=0,0,ECF[[#This Row],[α (%)]]/100*ECF[[#This Row],[K (MPa)]]*1000*ECF[[#This Row],[NSPT]])</f>
        <v>832</v>
      </c>
      <c r="P213" s="4">
        <f>IF(ECF[[#This Row],[Prof. (m)]]=0,0,(ECF[[#This Row],[K (MPa)]]*1000*ECF[[#This Row],[NSPT]]/ECF[[#This Row],[F1]]*ECF[[#This Row],[Ap (m²)]]+ECF[[#This Row],[U (m)]]/ECF[[#This Row],[F2]]*SUMIFS(ECF[(α∙K∙NL∙ΔL)],ECF[Prof. (m)],"&lt;="&amp;ECF[[#This Row],[Prof. (m)]],ECF[idDiâmetro],ECF[[#This Row],[idDiâmetro]],ECF[idPilar],ECF[[#This Row],[idPilar]]))/'DADOS CAP. CARGA'!$D$2)</f>
        <v>15371.142647582092</v>
      </c>
      <c r="Q213" s="12">
        <f>INDEX(C_alpha_beta[],MATCH(ECF[[#This Row],[Solo]],C_alpha_beta[Solo],0),MATCH(ECF[[#Headers],[C (kPa)]],C_alpha_beta[#Headers],0))</f>
        <v>400</v>
      </c>
      <c r="R213" s="4">
        <f>INDEX(C_alpha_beta[],MATCH(ECF[[#This Row],[Solo]],C_alpha_beta[Solo],0),MATCH(ECF[[#Headers],[α ESF]],C_alpha_beta[#Headers],0))</f>
        <v>0.5</v>
      </c>
      <c r="S213" s="4">
        <f>INDEX(C_alpha_beta[],MATCH(ECF[[#This Row],[Solo]],C_alpha_beta[Solo],0),MATCH(ECF[[#Headers],[β ESF]],C_alpha_beta[#Headers],0))</f>
        <v>0.5</v>
      </c>
      <c r="T213" s="4">
        <f>IF(ECF[[#This Row],[Prof. (m)]]=0,0,10*(ECF[[#This Row],[NSPT]]/3+1))</f>
        <v>183.33333333333331</v>
      </c>
      <c r="U213" s="4">
        <f>(ECF[[#This Row],[α ESF]]*ECF[[#This Row],[C (kPa)]]*ECF[[#This Row],[NSPT]]*ECF[[#This Row],[Ap (m²)]])/'DADOS CAP. CARGA'!$Q$2+(ECF[[#This Row],[β ESF]]*SUMIFS(ECF[10∙(NL/3+1)],ECF[Prof. (m)],"&lt;="&amp;ECF[[#This Row],[Prof. (m)]],ECF[idDiâmetro],ECF[[#This Row],[idDiâmetro]],ECF[idPilar],ECF[[#This Row],[idPilar]])*ECF[[#This Row],[U (m)]])/'DADOS CAP. CARGA'!$S$2</f>
        <v>6312.5068386130915</v>
      </c>
      <c r="V213" s="4">
        <f>IF(SPT!$M$5=1,MIN(ECF[[#This Row],[Pe ECF (kN)]],ECF[[#This Row],[R_AV (kN)]]),IF(SPT!$M$5=2,MIN(ECF[[#This Row],[Pe ECF (kN)]],ECF[[#This Row],[R_DC (kN)]]),MIN(ECF[[#This Row],[Pe ECF (kN)]],ECF[[#This Row],[R_AV (kN)]],ECF[[#This Row],[R_DC (kN)]])))</f>
        <v>6312.5068386130915</v>
      </c>
      <c r="W213" s="4">
        <f>INDEX(PILARES[],ECF[[#This Row],[idPilar]],MATCH("Carga (kN)",PILARES[#Headers],0))*1.4</f>
        <v>3500</v>
      </c>
      <c r="X213" s="12">
        <f>INDEX(PILARES[],ECF[[#This Row],[idPilar]],MATCH(ECF[[#Headers],[ap (cm)]],PILARES[#Headers],0))</f>
        <v>60</v>
      </c>
      <c r="Y213" s="12">
        <f>INDEX(PILARES[],ECF[[#This Row],[idPilar]],MATCH(ECF[[#Headers],[bp (cm)]],PILARES[#Headers],0))</f>
        <v>60</v>
      </c>
      <c r="Z213" s="4">
        <f>SQRT(ECF[[#This Row],[ap (cm)]]*ECF[[#This Row],[bp (cm)]])</f>
        <v>60</v>
      </c>
      <c r="AA213" s="12">
        <f>ECF[[#This Row],[ap (cm)]]*ECF[[#This Row],[bp (cm)]]</f>
        <v>3600</v>
      </c>
      <c r="AB213" s="12">
        <f ca="1">IF(ECF[[#This Row],[Padm∙ε (kN)]]&gt;=ECF[[#This Row],[Padm (kN)]],ROUNDUP(1.05*ECF[[#This Row],[Nsd (kN)]]/ECF[[#This Row],[Padm (kN)]],0),ROUNDUP(1.05*ECF[[#This Row],[Nsd (kN)]]/ECF[[#This Row],[Padm (kN)]],0)+1)</f>
        <v>1</v>
      </c>
      <c r="AC213" s="4">
        <f ca="1">IFERROR(IF(ECF[[#This Row],[nE]]=1,ECF[[#This Row],[Padm (kN)]],ECF[[#This Row],[Padm (kN)]]*ECF[[#This Row],[nE]]*INDEX(grupoEstacas[],ECF[[#This Row],[nE]],MATCH("ε",grupoEstacas[#Headers],0))),"N.S.")</f>
        <v>6312.5068386130915</v>
      </c>
      <c r="AD213" s="4">
        <f ca="1">1.05*ECF[[#This Row],[Nsd (kN)]]/(ECF[[#This Row],[nE]]*PI()*ECF[[#This Row],[Ø (cm)]]^2/4)*10</f>
        <v>1.8277950495709856</v>
      </c>
      <c r="AE213" s="4">
        <f ca="1">IF(ECF[[#This Row],[σ (MPa)]]&lt;INDEX(tipoEstaca[],MATCH($D$2,tipoEstaca[TIPO DE ESTACA],0),MATCH("σmáx (MPa)",tipoEstaca[#Headers],0)),0.4%*PI()*ECF[[#This Row],[Ø (cm)]]^2/4,"N.S.")</f>
        <v>80.424771931898704</v>
      </c>
      <c r="AF213" s="1">
        <f>INDEX(tipoEstaca[],MATCH($D$2,tipoEstaca[TIPO DE ESTACA],0),MATCH(ECF[[#Headers],[Comprimento (m)]],tipoEstaca[#Headers],0))</f>
        <v>4</v>
      </c>
      <c r="AG213" s="5">
        <f ca="1">ECF[[#This Row],[As,mín (cm²)]]/100^2*ECF[[#This Row],[Comprimento (m)]]*7850</f>
        <v>252.53378386616191</v>
      </c>
      <c r="AH213" s="4">
        <f ca="1">ECF[[#This Row],[nE]]*ECF[[#This Row],[Prof. (m)]]*ECF[[#This Row],[Ap (m²)]]</f>
        <v>24.127431579569613</v>
      </c>
      <c r="AI213" s="1">
        <f ca="1">IF(ECF[[#This Row],[nE]]=1,0,MAX(3*ECF[[#This Row],[Ø (cm)]],60))</f>
        <v>0</v>
      </c>
      <c r="AJ213" s="1">
        <f ca="1">IF(ECF[[#This Row],[nE]]=1,ECF[[#This Row],[Ø (cm)]]+2*10,MAX(1.5*ECF[[#This Row],[Ø (cm)]],ECF[[#This Row],[Ø (cm)]]+15))</f>
        <v>180</v>
      </c>
      <c r="AK213" s="1">
        <f ca="1">alturaUtil(ECF[[#This Row],[nE]],ECF[[#This Row],[Ø (cm)]],ECF[[#This Row],[e (cm)]],ECF[[#This Row],[ap,eq (cm)]])</f>
        <v>195</v>
      </c>
      <c r="AL213" s="1">
        <f ca="1">IFERROR(ECF[[#This Row],[d (cm)]]+arredondarParaCimaMultiplo5cm(MAX(5,SQRT(PI())/2*ECF[[#This Row],[Ø (cm)]]/5)),"N.S.")</f>
        <v>225</v>
      </c>
      <c r="AM213" s="5">
        <f ca="1">alpha(ECF[[#This Row],[nE]],ECF[[#This Row],[d (cm)]],ECF[[#This Row],[e (cm)]],ECF[[#This Row],[ap,eq (cm)]])</f>
        <v>90</v>
      </c>
      <c r="AN213" s="35">
        <f ca="1">IFERROR(ECF[[#This Row],[Nsd (kN)]]/(ECF[[#This Row],[Ap (cm²)]]*SIN(ECF[[#This Row],[α]])^2),"N.S.")</f>
        <v>1.2164485570105679</v>
      </c>
      <c r="AO213" s="35">
        <f ca="1">IFERROR(ECF[[#This Row],[Nsd (kN)]]/(ECF[[#This Row],[nE]]*PI()*ECF[[#This Row],[Ø (cm)]]^2/4*SIN(ECF[[#This Row],[α]])^2),"N.S.")</f>
        <v>0.21780427597338956</v>
      </c>
      <c r="AP213" s="4">
        <f ca="1">IFERROR(INDEX(grupoEstacas[],ECF[[#This Row],[nE]],MATCH("coef. Blévot",grupoEstacas[#Headers],0)),"N.S.")</f>
        <v>1</v>
      </c>
      <c r="AQ213" s="35">
        <f ca="1">IFERROR(ECF[[#This Row],[coef. Blévot]]*0.9*INDEX(tipoEstaca[],MATCH($D$2,tipoEstaca[TIPO DE ESTACA],0),MATCH("fcd (kN/cm²)",tipoEstaca[#Headers],0)),"N.S.")</f>
        <v>1</v>
      </c>
      <c r="AR213" s="1" t="str">
        <f ca="1">IF(AND(ECF[[#This Row],[cd,b,pil (kN/cm²)]]&lt;=ECF[[#This Row],[cd,b,lim (kN/cm²)]],ECF[[#This Row],[cd,b,est (kN/cm²)]]&lt;=ECF[[#This Row],[cd,b,lim (kN/cm²)]]),"OK","ERRO")</f>
        <v>ERRO</v>
      </c>
      <c r="AS213" s="4">
        <f ca="1">As_lado(ECF[[#This Row],[nE]],ECF[[#This Row],[Nsd (kN)]],ECF[[#This Row],[d (cm)]],ECF[[#This Row],[e (cm)]],ECF[[#This Row],[ap,eq (cm)]])</f>
        <v>20.125</v>
      </c>
      <c r="AT213" s="4">
        <f ca="1">IF(ECF[[#This Row],[nE]]=1,ECF[[#This Row],[As,lado (cm²)]],IF(ECF[[#This Row],[nE]]=2,0.075*2*ECF[a (cm)],"N.A."))</f>
        <v>20.125</v>
      </c>
      <c r="AU213" s="4" t="str">
        <f ca="1">IFERROR(IF(ECF[[#This Row],[nE]]=1,"N.A.",0.2*ECF[[#This Row],[As,lado (cm²)]]),"N.S.")</f>
        <v>N.A.</v>
      </c>
      <c r="AV213" s="4" t="str">
        <f ca="1">As_malha(ECF[[#This Row],[nE]],ECF[[#This Row],[As,lado (cm²)]],ECF[[#This Row],[Nsd (kN)]])</f>
        <v>N.A.</v>
      </c>
      <c r="AW213" s="4" t="str">
        <f ca="1">As_susp_tot(ECF[[#This Row],[nE]],ECF[[#This Row],[Nsd (kN)]])</f>
        <v>N.A.</v>
      </c>
      <c r="AX213" s="4" t="str">
        <f ca="1">Asp_face(ECF[[#This Row],[nE]],ECF[[#This Row],[As,lado (cm²)]])</f>
        <v>N.A.</v>
      </c>
      <c r="AY213" s="5">
        <f ca="1">acoBloco(ECF[[#This Row],[nE]],ECF[[#This Row],[e (cm)]],ECF[[#This Row],[a (cm)]],ECF[[#This Row],[h (cm)]],ECF[[#This Row],[As,lado (cm²)]],ECF[[#This Row],[Asp e Asw (cm²/m)]],ECF[[#This Row],[As,sup (cm²)]],ECF[[#This Row],[As,malha (cm²)]],ECF[[#This Row],[As,susp,tot (cm²)]],ECF[[#This Row],[Asp,face (cm²)]])</f>
        <v>369.67612500000001</v>
      </c>
      <c r="AZ213" s="4">
        <f ca="1">concretoBloco(ECF[[#This Row],[nE]],ECF[[#This Row],[e (cm)]],ECF[[#This Row],[a (cm)]],ECF[[#This Row],[h (cm)]])</f>
        <v>7.29</v>
      </c>
      <c r="BA213" s="5">
        <f ca="1">SUM(ECF[[#This Row],[Aço Est (kg)]],ECF[[#This Row],[Aço Bloco (kg)]])</f>
        <v>622.20990886616187</v>
      </c>
      <c r="BB213" s="4">
        <f>INDEX(composicoes[],MATCH(95580,composicoes[CÓDIGO],0),MATCH("CUSTO TOTAL",composicoes[#Headers],0))</f>
        <v>10.46</v>
      </c>
      <c r="BC213" s="4">
        <f ca="1">SUM(ECF[[#This Row],[Conc Est (m³)]],ECF[[#This Row],[Conc Bloco (m³)]])</f>
        <v>31.417431579569612</v>
      </c>
      <c r="BD213" s="4">
        <f>INDEX(composicoes[],MATCH(94966,composicoes[CÓDIGO],0),MATCH("CUSTO TOTAL",composicoes[#Headers],0))</f>
        <v>439.52</v>
      </c>
      <c r="BE213" s="38">
        <f ca="1">ECF[[#This Row],[Aço (kg)]]*ECF[[#This Row],[Aço (R$/kg)]]+ECF[[#This Row],[Conc (m³)]]*ECF[[#This Row],[Conc (R$/m³)]]</f>
        <v>20316.905174592488</v>
      </c>
      <c r="BF213" s="4" t="str">
        <f ca="1">IF(COUNTIF(ECF[#This Row],"N.S.")&gt;0,"lim.","OK")</f>
        <v>OK</v>
      </c>
      <c r="BG213" s="4" t="str">
        <f>IF(ECF[[#This Row],[Prof. (m)]]&lt;4,"lim.","OK")</f>
        <v>OK</v>
      </c>
      <c r="BH213" s="4" t="str">
        <f>IF(ECF[[#This Row],[Prof. (m)]]&gt;=8*ECF[[#This Row],[Ø (cm)]]/100,"OK","lim.")</f>
        <v>lim.</v>
      </c>
      <c r="BI213" s="4" t="str">
        <f>IF(AND(SPT!$F$3&lt;&gt;"",ECF[[#This Row],[Prof. (m)]]&gt;=SPT!$F$3-2),"lim.","OK")</f>
        <v>OK</v>
      </c>
      <c r="BJ213" s="4" t="str">
        <f ca="1">IF(ECF[[#This Row],[Verif. Biela]]="OK","OK","lim.")</f>
        <v>lim.</v>
      </c>
      <c r="BK213" s="4" t="str">
        <f ca="1">IF(COUNTA(ECF[[#This Row],[Nº Est.]:[Biela comp.]])=COUNTIF(ECF[[#This Row],[Nº Est.]:[Biela comp.]],"OK"),"OK","lim.")</f>
        <v>lim.</v>
      </c>
      <c r="BL213" s="4" t="str">
        <f ca="1">IF(ECF[[#This Row],[Controle]]="OK",ECF[[#This Row],[nE]]&amp;" Ø"&amp;ECF[[#This Row],[Ø (cm)]]&amp;"cm Prof. "&amp;ECF[[#This Row],[Prof. (m)]]&amp;" m","")</f>
        <v/>
      </c>
      <c r="BM213" s="4" t="str">
        <f ca="1">IF(ECF[[#This Row],[idDimensionamento]]="","",ECF[[#This Row],[idPilar]]&amp;ECF[[#This Row],[idDimensionamento]])</f>
        <v/>
      </c>
    </row>
    <row r="214" spans="2:65" x14ac:dyDescent="0.25">
      <c r="B214" s="12">
        <f>ROUNDUP((ROW(ECF[[#This Row],[idDiâmetro]])-ROW(ECF[[#Headers],[idDiâmetro]]))/(COUNT(SPT[Prof. (m)])*COUNT(PILARES[Pilar])),0)</f>
        <v>8</v>
      </c>
      <c r="C214" s="12">
        <f>IF(ECF[[#This Row],[idDiâmetro]]&lt;&gt;B213,1,IF(ECF[[#This Row],[Prof. (m)]]=0,C213+1,C213))</f>
        <v>1</v>
      </c>
      <c r="D214" s="1">
        <f>IFERROR(IF(D213=MAX(SPT[Prof. (m)]),0,D213+1),0)</f>
        <v>13</v>
      </c>
      <c r="E214" s="1">
        <f>INDEX(SPT[],MATCH(ECF[[#This Row],[Prof. (m)]],SPT[Prof. (m)],0),2)</f>
        <v>68</v>
      </c>
      <c r="F214" s="1" t="str">
        <f>INDEX(SPT[],MATCH(ECF[[#This Row],[Prof. (m)]],SPT[Prof. (m)],0),3)</f>
        <v>Areia siltosa</v>
      </c>
      <c r="G214" s="1">
        <f>INDEX(estacas[],ECF[[#This Row],[idDiâmetro]],MATCH($B$2,estacas[#Headers],0))</f>
        <v>160</v>
      </c>
      <c r="H214" s="1">
        <f>INDEX(estacas[],MATCH(ECF[[#This Row],[Ø (cm)]],estacas[Ø ECF (cm)],0),MATCH(ECF[[#Headers],[Pe ECF (kN)]],estacas[#Headers],0))</f>
        <v>8200</v>
      </c>
      <c r="I214" s="4">
        <f>INDEX(K_alpha_C[],MATCH(ECF[[#This Row],[Solo]],K_alpha_C[Solo],0),2)</f>
        <v>0.8</v>
      </c>
      <c r="J214" s="5">
        <f>INDEX(K_alpha_C[],MATCH(ECF[[#This Row],[Solo]],K_alpha_C[Solo],0),3)</f>
        <v>2</v>
      </c>
      <c r="K214" s="4">
        <f>INDEX(F1_F2[],MATCH($D$2,F1_F2[Tipo de estaca],0),2)</f>
        <v>3</v>
      </c>
      <c r="L214" s="4">
        <f>INDEX(F1_F2[],MATCH($D$2,F1_F2[Tipo de estaca],0),3)</f>
        <v>6</v>
      </c>
      <c r="M214" s="4">
        <f>PI()*(ECF[[#This Row],[Ø (cm)]]/100)^2/4</f>
        <v>2.0106192982974678</v>
      </c>
      <c r="N214" s="4">
        <f>PI()*ECF[[#This Row],[Ø (cm)]]/100</f>
        <v>5.026548245743669</v>
      </c>
      <c r="O214" s="4">
        <f>IF(ECF[[#This Row],[Prof. (m)]]=0,0,ECF[[#This Row],[α (%)]]/100*ECF[[#This Row],[K (MPa)]]*1000*ECF[[#This Row],[NSPT]])</f>
        <v>1088</v>
      </c>
      <c r="P214" s="4">
        <f>IF(ECF[[#This Row],[Prof. (m)]]=0,0,(ECF[[#This Row],[K (MPa)]]*1000*ECF[[#This Row],[NSPT]]/ECF[[#This Row],[F1]]*ECF[[#This Row],[Ap (m²)]]+ECF[[#This Row],[U (m)]]/ECF[[#This Row],[F2]]*SUMIFS(ECF[(α∙K∙NL∙ΔL)],ECF[Prof. (m)],"&lt;="&amp;ECF[[#This Row],[Prof. (m)]],ECF[idDiâmetro],ECF[[#This Row],[idDiâmetro]],ECF[idPilar],ECF[[#This Row],[idPilar]]))/'DADOS CAP. CARGA'!$D$2)</f>
        <v>20116.204191564117</v>
      </c>
      <c r="Q214" s="12">
        <f>INDEX(C_alpha_beta[],MATCH(ECF[[#This Row],[Solo]],C_alpha_beta[Solo],0),MATCH(ECF[[#Headers],[C (kPa)]],C_alpha_beta[#Headers],0))</f>
        <v>400</v>
      </c>
      <c r="R214" s="4">
        <f>INDEX(C_alpha_beta[],MATCH(ECF[[#This Row],[Solo]],C_alpha_beta[Solo],0),MATCH(ECF[[#Headers],[α ESF]],C_alpha_beta[#Headers],0))</f>
        <v>0.5</v>
      </c>
      <c r="S214" s="4">
        <f>INDEX(C_alpha_beta[],MATCH(ECF[[#This Row],[Solo]],C_alpha_beta[Solo],0),MATCH(ECF[[#Headers],[β ESF]],C_alpha_beta[#Headers],0))</f>
        <v>0.5</v>
      </c>
      <c r="T214" s="4">
        <f>IF(ECF[[#This Row],[Prof. (m)]]=0,0,10*(ECF[[#This Row],[NSPT]]/3+1))</f>
        <v>236.66666666666669</v>
      </c>
      <c r="U214" s="4">
        <f>(ECF[[#This Row],[α ESF]]*ECF[[#This Row],[C (kPa)]]*ECF[[#This Row],[NSPT]]*ECF[[#This Row],[Ap (m²)]])/'DADOS CAP. CARGA'!$Q$2+(ECF[[#This Row],[β ESF]]*SUMIFS(ECF[10∙(NL/3+1)],ECF[Prof. (m)],"&lt;="&amp;ECF[[#This Row],[Prof. (m)]],ECF[idDiâmetro],ECF[[#This Row],[idDiâmetro]],ECF[idPilar],ECF[[#This Row],[idPilar]])*ECF[[#This Row],[U (m)]])/'DADOS CAP. CARGA'!$S$2</f>
        <v>8218.4063817908991</v>
      </c>
      <c r="V214" s="4">
        <f>IF(SPT!$M$5=1,MIN(ECF[[#This Row],[Pe ECF (kN)]],ECF[[#This Row],[R_AV (kN)]]),IF(SPT!$M$5=2,MIN(ECF[[#This Row],[Pe ECF (kN)]],ECF[[#This Row],[R_DC (kN)]]),MIN(ECF[[#This Row],[Pe ECF (kN)]],ECF[[#This Row],[R_AV (kN)]],ECF[[#This Row],[R_DC (kN)]])))</f>
        <v>8200</v>
      </c>
      <c r="W214" s="4">
        <f>INDEX(PILARES[],ECF[[#This Row],[idPilar]],MATCH("Carga (kN)",PILARES[#Headers],0))*1.4</f>
        <v>3500</v>
      </c>
      <c r="X214" s="12">
        <f>INDEX(PILARES[],ECF[[#This Row],[idPilar]],MATCH(ECF[[#Headers],[ap (cm)]],PILARES[#Headers],0))</f>
        <v>60</v>
      </c>
      <c r="Y214" s="12">
        <f>INDEX(PILARES[],ECF[[#This Row],[idPilar]],MATCH(ECF[[#Headers],[bp (cm)]],PILARES[#Headers],0))</f>
        <v>60</v>
      </c>
      <c r="Z214" s="4">
        <f>SQRT(ECF[[#This Row],[ap (cm)]]*ECF[[#This Row],[bp (cm)]])</f>
        <v>60</v>
      </c>
      <c r="AA214" s="12">
        <f>ECF[[#This Row],[ap (cm)]]*ECF[[#This Row],[bp (cm)]]</f>
        <v>3600</v>
      </c>
      <c r="AB214" s="12">
        <f ca="1">IF(ECF[[#This Row],[Padm∙ε (kN)]]&gt;=ECF[[#This Row],[Padm (kN)]],ROUNDUP(1.05*ECF[[#This Row],[Nsd (kN)]]/ECF[[#This Row],[Padm (kN)]],0),ROUNDUP(1.05*ECF[[#This Row],[Nsd (kN)]]/ECF[[#This Row],[Padm (kN)]],0)+1)</f>
        <v>1</v>
      </c>
      <c r="AC214" s="4">
        <f ca="1">IFERROR(IF(ECF[[#This Row],[nE]]=1,ECF[[#This Row],[Padm (kN)]],ECF[[#This Row],[Padm (kN)]]*ECF[[#This Row],[nE]]*INDEX(grupoEstacas[],ECF[[#This Row],[nE]],MATCH("ε",grupoEstacas[#Headers],0))),"N.S.")</f>
        <v>8200</v>
      </c>
      <c r="AD214" s="4">
        <f ca="1">1.05*ECF[[#This Row],[Nsd (kN)]]/(ECF[[#This Row],[nE]]*PI()*ECF[[#This Row],[Ø (cm)]]^2/4)*10</f>
        <v>1.8277950495709856</v>
      </c>
      <c r="AE214" s="4">
        <f ca="1">IF(ECF[[#This Row],[σ (MPa)]]&lt;INDEX(tipoEstaca[],MATCH($D$2,tipoEstaca[TIPO DE ESTACA],0),MATCH("σmáx (MPa)",tipoEstaca[#Headers],0)),0.4%*PI()*ECF[[#This Row],[Ø (cm)]]^2/4,"N.S.")</f>
        <v>80.424771931898704</v>
      </c>
      <c r="AF214" s="1">
        <f>INDEX(tipoEstaca[],MATCH($D$2,tipoEstaca[TIPO DE ESTACA],0),MATCH(ECF[[#Headers],[Comprimento (m)]],tipoEstaca[#Headers],0))</f>
        <v>4</v>
      </c>
      <c r="AG214" s="5">
        <f ca="1">ECF[[#This Row],[As,mín (cm²)]]/100^2*ECF[[#This Row],[Comprimento (m)]]*7850</f>
        <v>252.53378386616191</v>
      </c>
      <c r="AH214" s="4">
        <f ca="1">ECF[[#This Row],[nE]]*ECF[[#This Row],[Prof. (m)]]*ECF[[#This Row],[Ap (m²)]]</f>
        <v>26.13805087786708</v>
      </c>
      <c r="AI214" s="1">
        <f ca="1">IF(ECF[[#This Row],[nE]]=1,0,MAX(3*ECF[[#This Row],[Ø (cm)]],60))</f>
        <v>0</v>
      </c>
      <c r="AJ214" s="1">
        <f ca="1">IF(ECF[[#This Row],[nE]]=1,ECF[[#This Row],[Ø (cm)]]+2*10,MAX(1.5*ECF[[#This Row],[Ø (cm)]],ECF[[#This Row],[Ø (cm)]]+15))</f>
        <v>180</v>
      </c>
      <c r="AK214" s="1">
        <f ca="1">alturaUtil(ECF[[#This Row],[nE]],ECF[[#This Row],[Ø (cm)]],ECF[[#This Row],[e (cm)]],ECF[[#This Row],[ap,eq (cm)]])</f>
        <v>195</v>
      </c>
      <c r="AL214" s="1">
        <f ca="1">IFERROR(ECF[[#This Row],[d (cm)]]+arredondarParaCimaMultiplo5cm(MAX(5,SQRT(PI())/2*ECF[[#This Row],[Ø (cm)]]/5)),"N.S.")</f>
        <v>225</v>
      </c>
      <c r="AM214" s="5">
        <f ca="1">alpha(ECF[[#This Row],[nE]],ECF[[#This Row],[d (cm)]],ECF[[#This Row],[e (cm)]],ECF[[#This Row],[ap,eq (cm)]])</f>
        <v>90</v>
      </c>
      <c r="AN214" s="35">
        <f ca="1">IFERROR(ECF[[#This Row],[Nsd (kN)]]/(ECF[[#This Row],[Ap (cm²)]]*SIN(ECF[[#This Row],[α]])^2),"N.S.")</f>
        <v>1.2164485570105679</v>
      </c>
      <c r="AO214" s="35">
        <f ca="1">IFERROR(ECF[[#This Row],[Nsd (kN)]]/(ECF[[#This Row],[nE]]*PI()*ECF[[#This Row],[Ø (cm)]]^2/4*SIN(ECF[[#This Row],[α]])^2),"N.S.")</f>
        <v>0.21780427597338956</v>
      </c>
      <c r="AP214" s="4">
        <f ca="1">IFERROR(INDEX(grupoEstacas[],ECF[[#This Row],[nE]],MATCH("coef. Blévot",grupoEstacas[#Headers],0)),"N.S.")</f>
        <v>1</v>
      </c>
      <c r="AQ214" s="35">
        <f ca="1">IFERROR(ECF[[#This Row],[coef. Blévot]]*0.9*INDEX(tipoEstaca[],MATCH($D$2,tipoEstaca[TIPO DE ESTACA],0),MATCH("fcd (kN/cm²)",tipoEstaca[#Headers],0)),"N.S.")</f>
        <v>1</v>
      </c>
      <c r="AR214" s="1" t="str">
        <f ca="1">IF(AND(ECF[[#This Row],[cd,b,pil (kN/cm²)]]&lt;=ECF[[#This Row],[cd,b,lim (kN/cm²)]],ECF[[#This Row],[cd,b,est (kN/cm²)]]&lt;=ECF[[#This Row],[cd,b,lim (kN/cm²)]]),"OK","ERRO")</f>
        <v>ERRO</v>
      </c>
      <c r="AS214" s="4">
        <f ca="1">As_lado(ECF[[#This Row],[nE]],ECF[[#This Row],[Nsd (kN)]],ECF[[#This Row],[d (cm)]],ECF[[#This Row],[e (cm)]],ECF[[#This Row],[ap,eq (cm)]])</f>
        <v>20.125</v>
      </c>
      <c r="AT214" s="4">
        <f ca="1">IF(ECF[[#This Row],[nE]]=1,ECF[[#This Row],[As,lado (cm²)]],IF(ECF[[#This Row],[nE]]=2,0.075*2*ECF[a (cm)],"N.A."))</f>
        <v>20.125</v>
      </c>
      <c r="AU214" s="4" t="str">
        <f ca="1">IFERROR(IF(ECF[[#This Row],[nE]]=1,"N.A.",0.2*ECF[[#This Row],[As,lado (cm²)]]),"N.S.")</f>
        <v>N.A.</v>
      </c>
      <c r="AV214" s="4" t="str">
        <f ca="1">As_malha(ECF[[#This Row],[nE]],ECF[[#This Row],[As,lado (cm²)]],ECF[[#This Row],[Nsd (kN)]])</f>
        <v>N.A.</v>
      </c>
      <c r="AW214" s="4" t="str">
        <f ca="1">As_susp_tot(ECF[[#This Row],[nE]],ECF[[#This Row],[Nsd (kN)]])</f>
        <v>N.A.</v>
      </c>
      <c r="AX214" s="4" t="str">
        <f ca="1">Asp_face(ECF[[#This Row],[nE]],ECF[[#This Row],[As,lado (cm²)]])</f>
        <v>N.A.</v>
      </c>
      <c r="AY214" s="5">
        <f ca="1">acoBloco(ECF[[#This Row],[nE]],ECF[[#This Row],[e (cm)]],ECF[[#This Row],[a (cm)]],ECF[[#This Row],[h (cm)]],ECF[[#This Row],[As,lado (cm²)]],ECF[[#This Row],[Asp e Asw (cm²/m)]],ECF[[#This Row],[As,sup (cm²)]],ECF[[#This Row],[As,malha (cm²)]],ECF[[#This Row],[As,susp,tot (cm²)]],ECF[[#This Row],[Asp,face (cm²)]])</f>
        <v>369.67612500000001</v>
      </c>
      <c r="AZ214" s="4">
        <f ca="1">concretoBloco(ECF[[#This Row],[nE]],ECF[[#This Row],[e (cm)]],ECF[[#This Row],[a (cm)]],ECF[[#This Row],[h (cm)]])</f>
        <v>7.29</v>
      </c>
      <c r="BA214" s="5">
        <f ca="1">SUM(ECF[[#This Row],[Aço Est (kg)]],ECF[[#This Row],[Aço Bloco (kg)]])</f>
        <v>622.20990886616187</v>
      </c>
      <c r="BB214" s="4">
        <f>INDEX(composicoes[],MATCH(95580,composicoes[CÓDIGO],0),MATCH("CUSTO TOTAL",composicoes[#Headers],0))</f>
        <v>10.46</v>
      </c>
      <c r="BC214" s="4">
        <f ca="1">SUM(ECF[[#This Row],[Conc Est (m³)]],ECF[[#This Row],[Conc Bloco (m³)]])</f>
        <v>33.428050877867079</v>
      </c>
      <c r="BD214" s="4">
        <f>INDEX(composicoes[],MATCH(94966,composicoes[CÓDIGO],0),MATCH("CUSTO TOTAL",composicoes[#Headers],0))</f>
        <v>439.52</v>
      </c>
      <c r="BE214" s="38">
        <f ca="1">ECF[[#This Row],[Aço (kg)]]*ECF[[#This Row],[Aço (R$/kg)]]+ECF[[#This Row],[Conc (m³)]]*ECF[[#This Row],[Conc (R$/m³)]]</f>
        <v>21200.612568580193</v>
      </c>
      <c r="BF214" s="4" t="str">
        <f ca="1">IF(COUNTIF(ECF[#This Row],"N.S.")&gt;0,"lim.","OK")</f>
        <v>OK</v>
      </c>
      <c r="BG214" s="4" t="str">
        <f>IF(ECF[[#This Row],[Prof. (m)]]&lt;4,"lim.","OK")</f>
        <v>OK</v>
      </c>
      <c r="BH214" s="4" t="str">
        <f>IF(ECF[[#This Row],[Prof. (m)]]&gt;=8*ECF[[#This Row],[Ø (cm)]]/100,"OK","lim.")</f>
        <v>OK</v>
      </c>
      <c r="BI214" s="4" t="str">
        <f>IF(AND(SPT!$F$3&lt;&gt;"",ECF[[#This Row],[Prof. (m)]]&gt;=SPT!$F$3-2),"lim.","OK")</f>
        <v>OK</v>
      </c>
      <c r="BJ214" s="4" t="str">
        <f ca="1">IF(ECF[[#This Row],[Verif. Biela]]="OK","OK","lim.")</f>
        <v>lim.</v>
      </c>
      <c r="BK214" s="4" t="str">
        <f ca="1">IF(COUNTA(ECF[[#This Row],[Nº Est.]:[Biela comp.]])=COUNTIF(ECF[[#This Row],[Nº Est.]:[Biela comp.]],"OK"),"OK","lim.")</f>
        <v>lim.</v>
      </c>
      <c r="BL214" s="4" t="str">
        <f ca="1">IF(ECF[[#This Row],[Controle]]="OK",ECF[[#This Row],[nE]]&amp;" Ø"&amp;ECF[[#This Row],[Ø (cm)]]&amp;"cm Prof. "&amp;ECF[[#This Row],[Prof. (m)]]&amp;" m","")</f>
        <v/>
      </c>
      <c r="BM214" s="4" t="str">
        <f ca="1">IF(ECF[[#This Row],[idDimensionamento]]="","",ECF[[#This Row],[idPilar]]&amp;ECF[[#This Row],[idDimensionamento]])</f>
        <v/>
      </c>
    </row>
    <row r="215" spans="2:65" x14ac:dyDescent="0.25">
      <c r="B215" s="12">
        <f>ROUNDUP((ROW(ECF[[#This Row],[idDiâmetro]])-ROW(ECF[[#Headers],[idDiâmetro]]))/(COUNT(SPT[Prof. (m)])*COUNT(PILARES[Pilar])),0)</f>
        <v>8</v>
      </c>
      <c r="C215" s="12">
        <f>IF(ECF[[#This Row],[idDiâmetro]]&lt;&gt;B214,1,IF(ECF[[#This Row],[Prof. (m)]]=0,C214+1,C214))</f>
        <v>2</v>
      </c>
      <c r="D215" s="1">
        <f>IFERROR(IF(D214=MAX(SPT[Prof. (m)]),0,D214+1),0)</f>
        <v>0</v>
      </c>
      <c r="E215" s="1">
        <f>INDEX(SPT[],MATCH(ECF[[#This Row],[Prof. (m)]],SPT[Prof. (m)],0),2)</f>
        <v>0</v>
      </c>
      <c r="F215" s="1" t="str">
        <f>INDEX(SPT[],MATCH(ECF[[#This Row],[Prof. (m)]],SPT[Prof. (m)],0),3)</f>
        <v>Areia siltosa</v>
      </c>
      <c r="G215" s="1">
        <f>INDEX(estacas[],ECF[[#This Row],[idDiâmetro]],MATCH($B$2,estacas[#Headers],0))</f>
        <v>160</v>
      </c>
      <c r="H215" s="1">
        <f>INDEX(estacas[],MATCH(ECF[[#This Row],[Ø (cm)]],estacas[Ø ECF (cm)],0),MATCH(ECF[[#Headers],[Pe ECF (kN)]],estacas[#Headers],0))</f>
        <v>8200</v>
      </c>
      <c r="I215" s="4">
        <f>INDEX(K_alpha_C[],MATCH(ECF[[#This Row],[Solo]],K_alpha_C[Solo],0),2)</f>
        <v>0.8</v>
      </c>
      <c r="J215" s="5">
        <f>INDEX(K_alpha_C[],MATCH(ECF[[#This Row],[Solo]],K_alpha_C[Solo],0),3)</f>
        <v>2</v>
      </c>
      <c r="K215" s="4">
        <f>INDEX(F1_F2[],MATCH($D$2,F1_F2[Tipo de estaca],0),2)</f>
        <v>3</v>
      </c>
      <c r="L215" s="4">
        <f>INDEX(F1_F2[],MATCH($D$2,F1_F2[Tipo de estaca],0),3)</f>
        <v>6</v>
      </c>
      <c r="M215" s="4">
        <f>PI()*(ECF[[#This Row],[Ø (cm)]]/100)^2/4</f>
        <v>2.0106192982974678</v>
      </c>
      <c r="N215" s="4">
        <f>PI()*ECF[[#This Row],[Ø (cm)]]/100</f>
        <v>5.026548245743669</v>
      </c>
      <c r="O215" s="4">
        <f>IF(ECF[[#This Row],[Prof. (m)]]=0,0,ECF[[#This Row],[α (%)]]/100*ECF[[#This Row],[K (MPa)]]*1000*ECF[[#This Row],[NSPT]])</f>
        <v>0</v>
      </c>
      <c r="P215" s="4">
        <f>IF(ECF[[#This Row],[Prof. (m)]]=0,0,(ECF[[#This Row],[K (MPa)]]*1000*ECF[[#This Row],[NSPT]]/ECF[[#This Row],[F1]]*ECF[[#This Row],[Ap (m²)]]+ECF[[#This Row],[U (m)]]/ECF[[#This Row],[F2]]*SUMIFS(ECF[(α∙K∙NL∙ΔL)],ECF[Prof. (m)],"&lt;="&amp;ECF[[#This Row],[Prof. (m)]],ECF[idDiâmetro],ECF[[#This Row],[idDiâmetro]],ECF[idPilar],ECF[[#This Row],[idPilar]]))/'DADOS CAP. CARGA'!$D$2)</f>
        <v>0</v>
      </c>
      <c r="Q215" s="12">
        <f>INDEX(C_alpha_beta[],MATCH(ECF[[#This Row],[Solo]],C_alpha_beta[Solo],0),MATCH(ECF[[#Headers],[C (kPa)]],C_alpha_beta[#Headers],0))</f>
        <v>400</v>
      </c>
      <c r="R215" s="4">
        <f>INDEX(C_alpha_beta[],MATCH(ECF[[#This Row],[Solo]],C_alpha_beta[Solo],0),MATCH(ECF[[#Headers],[α ESF]],C_alpha_beta[#Headers],0))</f>
        <v>0.5</v>
      </c>
      <c r="S215" s="4">
        <f>INDEX(C_alpha_beta[],MATCH(ECF[[#This Row],[Solo]],C_alpha_beta[Solo],0),MATCH(ECF[[#Headers],[β ESF]],C_alpha_beta[#Headers],0))</f>
        <v>0.5</v>
      </c>
      <c r="T215" s="4">
        <f>IF(ECF[[#This Row],[Prof. (m)]]=0,0,10*(ECF[[#This Row],[NSPT]]/3+1))</f>
        <v>0</v>
      </c>
      <c r="U215" s="4">
        <f>(ECF[[#This Row],[α ESF]]*ECF[[#This Row],[C (kPa)]]*ECF[[#This Row],[NSPT]]*ECF[[#This Row],[Ap (m²)]])/'DADOS CAP. CARGA'!$Q$2+(ECF[[#This Row],[β ESF]]*SUMIFS(ECF[10∙(NL/3+1)],ECF[Prof. (m)],"&lt;="&amp;ECF[[#This Row],[Prof. (m)]],ECF[idDiâmetro],ECF[[#This Row],[idDiâmetro]],ECF[idPilar],ECF[[#This Row],[idPilar]])*ECF[[#This Row],[U (m)]])/'DADOS CAP. CARGA'!$S$2</f>
        <v>0</v>
      </c>
      <c r="V215" s="4">
        <f>IF(SPT!$M$5=1,MIN(ECF[[#This Row],[Pe ECF (kN)]],ECF[[#This Row],[R_AV (kN)]]),IF(SPT!$M$5=2,MIN(ECF[[#This Row],[Pe ECF (kN)]],ECF[[#This Row],[R_DC (kN)]]),MIN(ECF[[#This Row],[Pe ECF (kN)]],ECF[[#This Row],[R_AV (kN)]],ECF[[#This Row],[R_DC (kN)]])))</f>
        <v>0</v>
      </c>
      <c r="W215" s="4">
        <f>INDEX(PILARES[],ECF[[#This Row],[idPilar]],MATCH("Carga (kN)",PILARES[#Headers],0))*1.4</f>
        <v>1750</v>
      </c>
      <c r="X215" s="12">
        <f>INDEX(PILARES[],ECF[[#This Row],[idPilar]],MATCH(ECF[[#Headers],[ap (cm)]],PILARES[#Headers],0))</f>
        <v>50</v>
      </c>
      <c r="Y215" s="12">
        <f>INDEX(PILARES[],ECF[[#This Row],[idPilar]],MATCH(ECF[[#Headers],[bp (cm)]],PILARES[#Headers],0))</f>
        <v>40</v>
      </c>
      <c r="Z215" s="4">
        <f>SQRT(ECF[[#This Row],[ap (cm)]]*ECF[[#This Row],[bp (cm)]])</f>
        <v>44.721359549995796</v>
      </c>
      <c r="AA215" s="12">
        <f>ECF[[#This Row],[ap (cm)]]*ECF[[#This Row],[bp (cm)]]</f>
        <v>2000</v>
      </c>
      <c r="AB215" s="12" t="e">
        <f ca="1">IF(ECF[[#This Row],[Padm∙ε (kN)]]&gt;=ECF[[#This Row],[Padm (kN)]],ROUNDUP(1.05*ECF[[#This Row],[Nsd (kN)]]/ECF[[#This Row],[Padm (kN)]],0),ROUNDUP(1.05*ECF[[#This Row],[Nsd (kN)]]/ECF[[#This Row],[Padm (kN)]],0)+1)</f>
        <v>#DIV/0!</v>
      </c>
      <c r="AC215" s="4" t="str">
        <f ca="1">IFERROR(IF(ECF[[#This Row],[nE]]=1,ECF[[#This Row],[Padm (kN)]],ECF[[#This Row],[Padm (kN)]]*ECF[[#This Row],[nE]]*INDEX(grupoEstacas[],ECF[[#This Row],[nE]],MATCH("ε",grupoEstacas[#Headers],0))),"N.S.")</f>
        <v>N.S.</v>
      </c>
      <c r="AD215" s="4" t="e">
        <f ca="1">1.05*ECF[[#This Row],[Nsd (kN)]]/(ECF[[#This Row],[nE]]*PI()*ECF[[#This Row],[Ø (cm)]]^2/4)*10</f>
        <v>#DIV/0!</v>
      </c>
      <c r="AE215" s="4" t="e">
        <f ca="1">IF(ECF[[#This Row],[σ (MPa)]]&lt;INDEX(tipoEstaca[],MATCH($D$2,tipoEstaca[TIPO DE ESTACA],0),MATCH("σmáx (MPa)",tipoEstaca[#Headers],0)),0.4%*PI()*ECF[[#This Row],[Ø (cm)]]^2/4,"N.S.")</f>
        <v>#DIV/0!</v>
      </c>
      <c r="AF215" s="1">
        <f>INDEX(tipoEstaca[],MATCH($D$2,tipoEstaca[TIPO DE ESTACA],0),MATCH(ECF[[#Headers],[Comprimento (m)]],tipoEstaca[#Headers],0))</f>
        <v>4</v>
      </c>
      <c r="AG215" s="5" t="e">
        <f ca="1">ECF[[#This Row],[As,mín (cm²)]]/100^2*ECF[[#This Row],[Comprimento (m)]]*7850</f>
        <v>#DIV/0!</v>
      </c>
      <c r="AH215" s="4" t="e">
        <f ca="1">ECF[[#This Row],[nE]]*ECF[[#This Row],[Prof. (m)]]*ECF[[#This Row],[Ap (m²)]]</f>
        <v>#DIV/0!</v>
      </c>
      <c r="AI215" s="1" t="e">
        <f ca="1">IF(ECF[[#This Row],[nE]]=1,0,MAX(3*ECF[[#This Row],[Ø (cm)]],60))</f>
        <v>#DIV/0!</v>
      </c>
      <c r="AJ215" s="1" t="e">
        <f ca="1">IF(ECF[[#This Row],[nE]]=1,ECF[[#This Row],[Ø (cm)]]+2*10,MAX(1.5*ECF[[#This Row],[Ø (cm)]],ECF[[#This Row],[Ø (cm)]]+15))</f>
        <v>#DIV/0!</v>
      </c>
      <c r="AK215" s="1" t="e">
        <f ca="1">alturaUtil(ECF[[#This Row],[nE]],ECF[[#This Row],[Ø (cm)]],ECF[[#This Row],[e (cm)]],ECF[[#This Row],[ap,eq (cm)]])</f>
        <v>#VALUE!</v>
      </c>
      <c r="AL215" s="1" t="str">
        <f ca="1">IFERROR(ECF[[#This Row],[d (cm)]]+arredondarParaCimaMultiplo5cm(MAX(5,SQRT(PI())/2*ECF[[#This Row],[Ø (cm)]]/5)),"N.S.")</f>
        <v>N.S.</v>
      </c>
      <c r="AM215" s="5" t="e">
        <f ca="1">alpha(ECF[[#This Row],[nE]],ECF[[#This Row],[d (cm)]],ECF[[#This Row],[e (cm)]],ECF[[#This Row],[ap,eq (cm)]])</f>
        <v>#VALUE!</v>
      </c>
      <c r="AN215" s="35" t="str">
        <f ca="1">IFERROR(ECF[[#This Row],[Nsd (kN)]]/(ECF[[#This Row],[Ap (cm²)]]*SIN(ECF[[#This Row],[α]])^2),"N.S.")</f>
        <v>N.S.</v>
      </c>
      <c r="AO215" s="35" t="str">
        <f ca="1">IFERROR(ECF[[#This Row],[Nsd (kN)]]/(ECF[[#This Row],[nE]]*PI()*ECF[[#This Row],[Ø (cm)]]^2/4*SIN(ECF[[#This Row],[α]])^2),"N.S.")</f>
        <v>N.S.</v>
      </c>
      <c r="AP215" s="4" t="str">
        <f ca="1">IFERROR(INDEX(grupoEstacas[],ECF[[#This Row],[nE]],MATCH("coef. Blévot",grupoEstacas[#Headers],0)),"N.S.")</f>
        <v>N.S.</v>
      </c>
      <c r="AQ215" s="35" t="str">
        <f ca="1">IFERROR(ECF[[#This Row],[coef. Blévot]]*0.9*INDEX(tipoEstaca[],MATCH($D$2,tipoEstaca[TIPO DE ESTACA],0),MATCH("fcd (kN/cm²)",tipoEstaca[#Headers],0)),"N.S.")</f>
        <v>N.S.</v>
      </c>
      <c r="AR215" s="1" t="str">
        <f ca="1">IF(AND(ECF[[#This Row],[cd,b,pil (kN/cm²)]]&lt;=ECF[[#This Row],[cd,b,lim (kN/cm²)]],ECF[[#This Row],[cd,b,est (kN/cm²)]]&lt;=ECF[[#This Row],[cd,b,lim (kN/cm²)]]),"OK","ERRO")</f>
        <v>OK</v>
      </c>
      <c r="AS215" s="4" t="e">
        <f ca="1">As_lado(ECF[[#This Row],[nE]],ECF[[#This Row],[Nsd (kN)]],ECF[[#This Row],[d (cm)]],ECF[[#This Row],[e (cm)]],ECF[[#This Row],[ap,eq (cm)]])</f>
        <v>#VALUE!</v>
      </c>
      <c r="AT215" s="4" t="e">
        <f ca="1">IF(ECF[[#This Row],[nE]]=1,ECF[[#This Row],[As,lado (cm²)]],IF(ECF[[#This Row],[nE]]=2,0.075*2*ECF[a (cm)],"N.A."))</f>
        <v>#DIV/0!</v>
      </c>
      <c r="AU215" s="4" t="str">
        <f ca="1">IFERROR(IF(ECF[[#This Row],[nE]]=1,"N.A.",0.2*ECF[[#This Row],[As,lado (cm²)]]),"N.S.")</f>
        <v>N.S.</v>
      </c>
      <c r="AV215" s="4" t="e">
        <f ca="1">As_malha(ECF[[#This Row],[nE]],ECF[[#This Row],[As,lado (cm²)]],ECF[[#This Row],[Nsd (kN)]])</f>
        <v>#VALUE!</v>
      </c>
      <c r="AW215" s="4" t="e">
        <f ca="1">As_susp_tot(ECF[[#This Row],[nE]],ECF[[#This Row],[Nsd (kN)]])</f>
        <v>#VALUE!</v>
      </c>
      <c r="AX215" s="4" t="e">
        <f ca="1">Asp_face(ECF[[#This Row],[nE]],ECF[[#This Row],[As,lado (cm²)]])</f>
        <v>#VALUE!</v>
      </c>
      <c r="AY215" s="5" t="e">
        <f ca="1">acoBloco(ECF[[#This Row],[nE]],ECF[[#This Row],[e (cm)]],ECF[[#This Row],[a (cm)]],ECF[[#This Row],[h (cm)]],ECF[[#This Row],[As,lado (cm²)]],ECF[[#This Row],[Asp e Asw (cm²/m)]],ECF[[#This Row],[As,sup (cm²)]],ECF[[#This Row],[As,malha (cm²)]],ECF[[#This Row],[As,susp,tot (cm²)]],ECF[[#This Row],[Asp,face (cm²)]])</f>
        <v>#VALUE!</v>
      </c>
      <c r="AZ215" s="4" t="e">
        <f ca="1">concretoBloco(ECF[[#This Row],[nE]],ECF[[#This Row],[e (cm)]],ECF[[#This Row],[a (cm)]],ECF[[#This Row],[h (cm)]])</f>
        <v>#VALUE!</v>
      </c>
      <c r="BA215" s="5" t="e">
        <f ca="1">SUM(ECF[[#This Row],[Aço Est (kg)]],ECF[[#This Row],[Aço Bloco (kg)]])</f>
        <v>#DIV/0!</v>
      </c>
      <c r="BB215" s="4">
        <f>INDEX(composicoes[],MATCH(95580,composicoes[CÓDIGO],0),MATCH("CUSTO TOTAL",composicoes[#Headers],0))</f>
        <v>10.46</v>
      </c>
      <c r="BC215" s="4" t="e">
        <f ca="1">SUM(ECF[[#This Row],[Conc Est (m³)]],ECF[[#This Row],[Conc Bloco (m³)]])</f>
        <v>#DIV/0!</v>
      </c>
      <c r="BD215" s="4">
        <f>INDEX(composicoes[],MATCH(94966,composicoes[CÓDIGO],0),MATCH("CUSTO TOTAL",composicoes[#Headers],0))</f>
        <v>439.52</v>
      </c>
      <c r="BE215" s="38" t="e">
        <f ca="1">ECF[[#This Row],[Aço (kg)]]*ECF[[#This Row],[Aço (R$/kg)]]+ECF[[#This Row],[Conc (m³)]]*ECF[[#This Row],[Conc (R$/m³)]]</f>
        <v>#DIV/0!</v>
      </c>
      <c r="BF215" s="4" t="str">
        <f ca="1">IF(COUNTIF(ECF[#This Row],"N.S.")&gt;0,"lim.","OK")</f>
        <v>lim.</v>
      </c>
      <c r="BG215" s="4" t="str">
        <f>IF(ECF[[#This Row],[Prof. (m)]]&lt;4,"lim.","OK")</f>
        <v>lim.</v>
      </c>
      <c r="BH215" s="4" t="str">
        <f>IF(ECF[[#This Row],[Prof. (m)]]&gt;=8*ECF[[#This Row],[Ø (cm)]]/100,"OK","lim.")</f>
        <v>lim.</v>
      </c>
      <c r="BI215" s="4" t="str">
        <f>IF(AND(SPT!$F$3&lt;&gt;"",ECF[[#This Row],[Prof. (m)]]&gt;=SPT!$F$3-2),"lim.","OK")</f>
        <v>OK</v>
      </c>
      <c r="BJ215" s="4" t="str">
        <f ca="1">IF(ECF[[#This Row],[Verif. Biela]]="OK","OK","lim.")</f>
        <v>OK</v>
      </c>
      <c r="BK215" s="4" t="str">
        <f ca="1">IF(COUNTA(ECF[[#This Row],[Nº Est.]:[Biela comp.]])=COUNTIF(ECF[[#This Row],[Nº Est.]:[Biela comp.]],"OK"),"OK","lim.")</f>
        <v>lim.</v>
      </c>
      <c r="BL215" s="4" t="str">
        <f ca="1">IF(ECF[[#This Row],[Controle]]="OK",ECF[[#This Row],[nE]]&amp;" Ø"&amp;ECF[[#This Row],[Ø (cm)]]&amp;"cm Prof. "&amp;ECF[[#This Row],[Prof. (m)]]&amp;" m","")</f>
        <v/>
      </c>
      <c r="BM215" s="4" t="str">
        <f ca="1">IF(ECF[[#This Row],[idDimensionamento]]="","",ECF[[#This Row],[idPilar]]&amp;ECF[[#This Row],[idDimensionamento]])</f>
        <v/>
      </c>
    </row>
    <row r="216" spans="2:65" x14ac:dyDescent="0.25">
      <c r="B216" s="12">
        <f>ROUNDUP((ROW(ECF[[#This Row],[idDiâmetro]])-ROW(ECF[[#Headers],[idDiâmetro]]))/(COUNT(SPT[Prof. (m)])*COUNT(PILARES[Pilar])),0)</f>
        <v>8</v>
      </c>
      <c r="C216" s="12">
        <f>IF(ECF[[#This Row],[idDiâmetro]]&lt;&gt;B215,1,IF(ECF[[#This Row],[Prof. (m)]]=0,C215+1,C215))</f>
        <v>2</v>
      </c>
      <c r="D216" s="1">
        <f>IFERROR(IF(D215=MAX(SPT[Prof. (m)]),0,D215+1),0)</f>
        <v>1</v>
      </c>
      <c r="E216" s="1">
        <f>INDEX(SPT[],MATCH(ECF[[#This Row],[Prof. (m)]],SPT[Prof. (m)],0),2)</f>
        <v>2</v>
      </c>
      <c r="F216" s="1" t="str">
        <f>INDEX(SPT[],MATCH(ECF[[#This Row],[Prof. (m)]],SPT[Prof. (m)],0),3)</f>
        <v>Areia siltosa</v>
      </c>
      <c r="G216" s="1">
        <f>INDEX(estacas[],ECF[[#This Row],[idDiâmetro]],MATCH($B$2,estacas[#Headers],0))</f>
        <v>160</v>
      </c>
      <c r="H216" s="1">
        <f>INDEX(estacas[],MATCH(ECF[[#This Row],[Ø (cm)]],estacas[Ø ECF (cm)],0),MATCH(ECF[[#Headers],[Pe ECF (kN)]],estacas[#Headers],0))</f>
        <v>8200</v>
      </c>
      <c r="I216" s="4">
        <f>INDEX(K_alpha_C[],MATCH(ECF[[#This Row],[Solo]],K_alpha_C[Solo],0),2)</f>
        <v>0.8</v>
      </c>
      <c r="J216" s="5">
        <f>INDEX(K_alpha_C[],MATCH(ECF[[#This Row],[Solo]],K_alpha_C[Solo],0),3)</f>
        <v>2</v>
      </c>
      <c r="K216" s="4">
        <f>INDEX(F1_F2[],MATCH($D$2,F1_F2[Tipo de estaca],0),2)</f>
        <v>3</v>
      </c>
      <c r="L216" s="4">
        <f>INDEX(F1_F2[],MATCH($D$2,F1_F2[Tipo de estaca],0),3)</f>
        <v>6</v>
      </c>
      <c r="M216" s="4">
        <f>PI()*(ECF[[#This Row],[Ø (cm)]]/100)^2/4</f>
        <v>2.0106192982974678</v>
      </c>
      <c r="N216" s="4">
        <f>PI()*ECF[[#This Row],[Ø (cm)]]/100</f>
        <v>5.026548245743669</v>
      </c>
      <c r="O216" s="4">
        <f>IF(ECF[[#This Row],[Prof. (m)]]=0,0,ECF[[#This Row],[α (%)]]/100*ECF[[#This Row],[K (MPa)]]*1000*ECF[[#This Row],[NSPT]])</f>
        <v>32</v>
      </c>
      <c r="P216" s="4">
        <f>IF(ECF[[#This Row],[Prof. (m)]]=0,0,(ECF[[#This Row],[K (MPa)]]*1000*ECF[[#This Row],[NSPT]]/ECF[[#This Row],[F1]]*ECF[[#This Row],[Ap (m²)]]+ECF[[#This Row],[U (m)]]/ECF[[#This Row],[F2]]*SUMIFS(ECF[(α∙K∙NL∙ΔL)],ECF[Prof. (m)],"&lt;="&amp;ECF[[#This Row],[Prof. (m)]],ECF[idDiâmetro],ECF[[#This Row],[idDiâmetro]],ECF[idPilar],ECF[[#This Row],[idPilar]]))/'DADOS CAP. CARGA'!$D$2)</f>
        <v>549.56927486797451</v>
      </c>
      <c r="Q216" s="12">
        <f>INDEX(C_alpha_beta[],MATCH(ECF[[#This Row],[Solo]],C_alpha_beta[Solo],0),MATCH(ECF[[#Headers],[C (kPa)]],C_alpha_beta[#Headers],0))</f>
        <v>400</v>
      </c>
      <c r="R216" s="4">
        <f>INDEX(C_alpha_beta[],MATCH(ECF[[#This Row],[Solo]],C_alpha_beta[Solo],0),MATCH(ECF[[#Headers],[α ESF]],C_alpha_beta[#Headers],0))</f>
        <v>0.5</v>
      </c>
      <c r="S216" s="4">
        <f>INDEX(C_alpha_beta[],MATCH(ECF[[#This Row],[Solo]],C_alpha_beta[Solo],0),MATCH(ECF[[#Headers],[β ESF]],C_alpha_beta[#Headers],0))</f>
        <v>0.5</v>
      </c>
      <c r="T216" s="4">
        <f>IF(ECF[[#This Row],[Prof. (m)]]=0,0,10*(ECF[[#This Row],[NSPT]]/3+1))</f>
        <v>16.666666666666664</v>
      </c>
      <c r="U216" s="4">
        <f>(ECF[[#This Row],[α ESF]]*ECF[[#This Row],[C (kPa)]]*ECF[[#This Row],[NSPT]]*ECF[[#This Row],[Ap (m²)]])/'DADOS CAP. CARGA'!$Q$2+(ECF[[#This Row],[β ESF]]*SUMIFS(ECF[10∙(NL/3+1)],ECF[Prof. (m)],"&lt;="&amp;ECF[[#This Row],[Prof. (m)]],ECF[idDiâmetro],ECF[[#This Row],[idDiâmetro]],ECF[idPilar],ECF[[#This Row],[idPilar]])*ECF[[#This Row],[U (m)]])/'DADOS CAP. CARGA'!$S$2</f>
        <v>222.00588085367875</v>
      </c>
      <c r="V216" s="4">
        <f>IF(SPT!$M$5=1,MIN(ECF[[#This Row],[Pe ECF (kN)]],ECF[[#This Row],[R_AV (kN)]]),IF(SPT!$M$5=2,MIN(ECF[[#This Row],[Pe ECF (kN)]],ECF[[#This Row],[R_DC (kN)]]),MIN(ECF[[#This Row],[Pe ECF (kN)]],ECF[[#This Row],[R_AV (kN)]],ECF[[#This Row],[R_DC (kN)]])))</f>
        <v>222.00588085367875</v>
      </c>
      <c r="W216" s="4">
        <f>INDEX(PILARES[],ECF[[#This Row],[idPilar]],MATCH("Carga (kN)",PILARES[#Headers],0))*1.4</f>
        <v>1750</v>
      </c>
      <c r="X216" s="12">
        <f>INDEX(PILARES[],ECF[[#This Row],[idPilar]],MATCH(ECF[[#Headers],[ap (cm)]],PILARES[#Headers],0))</f>
        <v>50</v>
      </c>
      <c r="Y216" s="12">
        <f>INDEX(PILARES[],ECF[[#This Row],[idPilar]],MATCH(ECF[[#Headers],[bp (cm)]],PILARES[#Headers],0))</f>
        <v>40</v>
      </c>
      <c r="Z216" s="4">
        <f>SQRT(ECF[[#This Row],[ap (cm)]]*ECF[[#This Row],[bp (cm)]])</f>
        <v>44.721359549995796</v>
      </c>
      <c r="AA216" s="12">
        <f>ECF[[#This Row],[ap (cm)]]*ECF[[#This Row],[bp (cm)]]</f>
        <v>2000</v>
      </c>
      <c r="AB216" s="12">
        <f ca="1">IF(ECF[[#This Row],[Padm∙ε (kN)]]&gt;=ECF[[#This Row],[Padm (kN)]],ROUNDUP(1.05*ECF[[#This Row],[Nsd (kN)]]/ECF[[#This Row],[Padm (kN)]],0),ROUNDUP(1.05*ECF[[#This Row],[Nsd (kN)]]/ECF[[#This Row],[Padm (kN)]],0)+1)</f>
        <v>9</v>
      </c>
      <c r="AC216" s="4" t="str">
        <f ca="1">IFERROR(IF(ECF[[#This Row],[nE]]=1,ECF[[#This Row],[Padm (kN)]],ECF[[#This Row],[Padm (kN)]]*ECF[[#This Row],[nE]]*INDEX(grupoEstacas[],ECF[[#This Row],[nE]],MATCH("ε",grupoEstacas[#Headers],0))),"N.S.")</f>
        <v>N.S.</v>
      </c>
      <c r="AD216" s="4">
        <f ca="1">1.05*ECF[[#This Row],[Nsd (kN)]]/(ECF[[#This Row],[nE]]*PI()*ECF[[#This Row],[Ø (cm)]]^2/4)*10</f>
        <v>0.10154416942061031</v>
      </c>
      <c r="AE216" s="4">
        <f ca="1">IF(ECF[[#This Row],[σ (MPa)]]&lt;INDEX(tipoEstaca[],MATCH($D$2,tipoEstaca[TIPO DE ESTACA],0),MATCH("σmáx (MPa)",tipoEstaca[#Headers],0)),0.4%*PI()*ECF[[#This Row],[Ø (cm)]]^2/4,"N.S.")</f>
        <v>80.424771931898704</v>
      </c>
      <c r="AF216" s="1">
        <f>INDEX(tipoEstaca[],MATCH($D$2,tipoEstaca[TIPO DE ESTACA],0),MATCH(ECF[[#Headers],[Comprimento (m)]],tipoEstaca[#Headers],0))</f>
        <v>4</v>
      </c>
      <c r="AG216" s="5">
        <f ca="1">ECF[[#This Row],[As,mín (cm²)]]/100^2*ECF[[#This Row],[Comprimento (m)]]*7850</f>
        <v>252.53378386616191</v>
      </c>
      <c r="AH216" s="4">
        <f ca="1">ECF[[#This Row],[nE]]*ECF[[#This Row],[Prof. (m)]]*ECF[[#This Row],[Ap (m²)]]</f>
        <v>18.095573684677209</v>
      </c>
      <c r="AI216" s="1">
        <f ca="1">IF(ECF[[#This Row],[nE]]=1,0,MAX(3*ECF[[#This Row],[Ø (cm)]],60))</f>
        <v>480</v>
      </c>
      <c r="AJ216" s="1">
        <f ca="1">IF(ECF[[#This Row],[nE]]=1,ECF[[#This Row],[Ø (cm)]]+2*10,MAX(1.5*ECF[[#This Row],[Ø (cm)]],ECF[[#This Row],[Ø (cm)]]+15))</f>
        <v>240</v>
      </c>
      <c r="AK216" s="1" t="str">
        <f ca="1">alturaUtil(ECF[[#This Row],[nE]],ECF[[#This Row],[Ø (cm)]],ECF[[#This Row],[e (cm)]],ECF[[#This Row],[ap,eq (cm)]])</f>
        <v>N.S.</v>
      </c>
      <c r="AL216" s="1" t="str">
        <f ca="1">IFERROR(ECF[[#This Row],[d (cm)]]+arredondarParaCimaMultiplo5cm(MAX(5,SQRT(PI())/2*ECF[[#This Row],[Ø (cm)]]/5)),"N.S.")</f>
        <v>N.S.</v>
      </c>
      <c r="AM216" s="5" t="str">
        <f ca="1">alpha(ECF[[#This Row],[nE]],ECF[[#This Row],[d (cm)]],ECF[[#This Row],[e (cm)]],ECF[[#This Row],[ap,eq (cm)]])</f>
        <v>N.S.</v>
      </c>
      <c r="AN216" s="35" t="str">
        <f ca="1">IFERROR(ECF[[#This Row],[Nsd (kN)]]/(ECF[[#This Row],[Ap (cm²)]]*SIN(ECF[[#This Row],[α]])^2),"N.S.")</f>
        <v>N.S.</v>
      </c>
      <c r="AO216" s="35" t="str">
        <f ca="1">IFERROR(ECF[[#This Row],[Nsd (kN)]]/(ECF[[#This Row],[nE]]*PI()*ECF[[#This Row],[Ø (cm)]]^2/4*SIN(ECF[[#This Row],[α]])^2),"N.S.")</f>
        <v>N.S.</v>
      </c>
      <c r="AP216" s="4" t="str">
        <f ca="1">IFERROR(INDEX(grupoEstacas[],ECF[[#This Row],[nE]],MATCH("coef. Blévot",grupoEstacas[#Headers],0)),"N.S.")</f>
        <v>N.S.</v>
      </c>
      <c r="AQ216" s="35" t="str">
        <f ca="1">IFERROR(ECF[[#This Row],[coef. Blévot]]*0.9*INDEX(tipoEstaca[],MATCH($D$2,tipoEstaca[TIPO DE ESTACA],0),MATCH("fcd (kN/cm²)",tipoEstaca[#Headers],0)),"N.S.")</f>
        <v>N.S.</v>
      </c>
      <c r="AR216" s="1" t="str">
        <f ca="1">IF(AND(ECF[[#This Row],[cd,b,pil (kN/cm²)]]&lt;=ECF[[#This Row],[cd,b,lim (kN/cm²)]],ECF[[#This Row],[cd,b,est (kN/cm²)]]&lt;=ECF[[#This Row],[cd,b,lim (kN/cm²)]]),"OK","ERRO")</f>
        <v>OK</v>
      </c>
      <c r="AS216" s="4" t="str">
        <f ca="1">As_lado(ECF[[#This Row],[nE]],ECF[[#This Row],[Nsd (kN)]],ECF[[#This Row],[d (cm)]],ECF[[#This Row],[e (cm)]],ECF[[#This Row],[ap,eq (cm)]])</f>
        <v>N.S.</v>
      </c>
      <c r="AT216" s="4" t="str">
        <f ca="1">IF(ECF[[#This Row],[nE]]=1,ECF[[#This Row],[As,lado (cm²)]],IF(ECF[[#This Row],[nE]]=2,0.075*2*ECF[a (cm)],"N.A."))</f>
        <v>N.A.</v>
      </c>
      <c r="AU216" s="4" t="str">
        <f ca="1">IFERROR(IF(ECF[[#This Row],[nE]]=1,"N.A.",0.2*ECF[[#This Row],[As,lado (cm²)]]),"N.S.")</f>
        <v>N.S.</v>
      </c>
      <c r="AV216" s="4" t="str">
        <f ca="1">As_malha(ECF[[#This Row],[nE]],ECF[[#This Row],[As,lado (cm²)]],ECF[[#This Row],[Nsd (kN)]])</f>
        <v>N.S.</v>
      </c>
      <c r="AW216" s="4" t="str">
        <f ca="1">As_susp_tot(ECF[[#This Row],[nE]],ECF[[#This Row],[Nsd (kN)]])</f>
        <v>N.S.</v>
      </c>
      <c r="AX216" s="4" t="str">
        <f ca="1">Asp_face(ECF[[#This Row],[nE]],ECF[[#This Row],[As,lado (cm²)]])</f>
        <v>N.S.</v>
      </c>
      <c r="AY216" s="5" t="str">
        <f ca="1">acoBloco(ECF[[#This Row],[nE]],ECF[[#This Row],[e (cm)]],ECF[[#This Row],[a (cm)]],ECF[[#This Row],[h (cm)]],ECF[[#This Row],[As,lado (cm²)]],ECF[[#This Row],[Asp e Asw (cm²/m)]],ECF[[#This Row],[As,sup (cm²)]],ECF[[#This Row],[As,malha (cm²)]],ECF[[#This Row],[As,susp,tot (cm²)]],ECF[[#This Row],[Asp,face (cm²)]])</f>
        <v>N.S.</v>
      </c>
      <c r="AZ216" s="4" t="str">
        <f ca="1">concretoBloco(ECF[[#This Row],[nE]],ECF[[#This Row],[e (cm)]],ECF[[#This Row],[a (cm)]],ECF[[#This Row],[h (cm)]])</f>
        <v>N.S.</v>
      </c>
      <c r="BA216" s="5">
        <f ca="1">SUM(ECF[[#This Row],[Aço Est (kg)]],ECF[[#This Row],[Aço Bloco (kg)]])</f>
        <v>252.53378386616191</v>
      </c>
      <c r="BB216" s="4">
        <f>INDEX(composicoes[],MATCH(95580,composicoes[CÓDIGO],0),MATCH("CUSTO TOTAL",composicoes[#Headers],0))</f>
        <v>10.46</v>
      </c>
      <c r="BC216" s="4">
        <f ca="1">SUM(ECF[[#This Row],[Conc Est (m³)]],ECF[[#This Row],[Conc Bloco (m³)]])</f>
        <v>18.095573684677209</v>
      </c>
      <c r="BD216" s="4">
        <f>INDEX(composicoes[],MATCH(94966,composicoes[CÓDIGO],0),MATCH("CUSTO TOTAL",composicoes[#Headers],0))</f>
        <v>439.52</v>
      </c>
      <c r="BE216" s="38">
        <f ca="1">ECF[[#This Row],[Aço (kg)]]*ECF[[#This Row],[Aço (R$/kg)]]+ECF[[#This Row],[Conc (m³)]]*ECF[[#This Row],[Conc (R$/m³)]]</f>
        <v>10594.86992512938</v>
      </c>
      <c r="BF216" s="4" t="str">
        <f ca="1">IF(COUNTIF(ECF[#This Row],"N.S.")&gt;0,"lim.","OK")</f>
        <v>lim.</v>
      </c>
      <c r="BG216" s="4" t="str">
        <f>IF(ECF[[#This Row],[Prof. (m)]]&lt;4,"lim.","OK")</f>
        <v>lim.</v>
      </c>
      <c r="BH216" s="4" t="str">
        <f>IF(ECF[[#This Row],[Prof. (m)]]&gt;=8*ECF[[#This Row],[Ø (cm)]]/100,"OK","lim.")</f>
        <v>lim.</v>
      </c>
      <c r="BI216" s="4" t="str">
        <f>IF(AND(SPT!$F$3&lt;&gt;"",ECF[[#This Row],[Prof. (m)]]&gt;=SPT!$F$3-2),"lim.","OK")</f>
        <v>OK</v>
      </c>
      <c r="BJ216" s="4" t="str">
        <f ca="1">IF(ECF[[#This Row],[Verif. Biela]]="OK","OK","lim.")</f>
        <v>OK</v>
      </c>
      <c r="BK216" s="4" t="str">
        <f ca="1">IF(COUNTA(ECF[[#This Row],[Nº Est.]:[Biela comp.]])=COUNTIF(ECF[[#This Row],[Nº Est.]:[Biela comp.]],"OK"),"OK","lim.")</f>
        <v>lim.</v>
      </c>
      <c r="BL216" s="4" t="str">
        <f ca="1">IF(ECF[[#This Row],[Controle]]="OK",ECF[[#This Row],[nE]]&amp;" Ø"&amp;ECF[[#This Row],[Ø (cm)]]&amp;"cm Prof. "&amp;ECF[[#This Row],[Prof. (m)]]&amp;" m","")</f>
        <v/>
      </c>
      <c r="BM216" s="4" t="str">
        <f ca="1">IF(ECF[[#This Row],[idDimensionamento]]="","",ECF[[#This Row],[idPilar]]&amp;ECF[[#This Row],[idDimensionamento]])</f>
        <v/>
      </c>
    </row>
    <row r="217" spans="2:65" x14ac:dyDescent="0.25">
      <c r="B217" s="12">
        <f>ROUNDUP((ROW(ECF[[#This Row],[idDiâmetro]])-ROW(ECF[[#Headers],[idDiâmetro]]))/(COUNT(SPT[Prof. (m)])*COUNT(PILARES[Pilar])),0)</f>
        <v>8</v>
      </c>
      <c r="C217" s="12">
        <f>IF(ECF[[#This Row],[idDiâmetro]]&lt;&gt;B216,1,IF(ECF[[#This Row],[Prof. (m)]]=0,C216+1,C216))</f>
        <v>2</v>
      </c>
      <c r="D217" s="1">
        <f>IFERROR(IF(D216=MAX(SPT[Prof. (m)]),0,D216+1),0)</f>
        <v>2</v>
      </c>
      <c r="E217" s="1">
        <f>INDEX(SPT[],MATCH(ECF[[#This Row],[Prof. (m)]],SPT[Prof. (m)],0),2)</f>
        <v>2</v>
      </c>
      <c r="F217" s="1" t="str">
        <f>INDEX(SPT[],MATCH(ECF[[#This Row],[Prof. (m)]],SPT[Prof. (m)],0),3)</f>
        <v>Areia siltosa</v>
      </c>
      <c r="G217" s="1">
        <f>INDEX(estacas[],ECF[[#This Row],[idDiâmetro]],MATCH($B$2,estacas[#Headers],0))</f>
        <v>160</v>
      </c>
      <c r="H217" s="1">
        <f>INDEX(estacas[],MATCH(ECF[[#This Row],[Ø (cm)]],estacas[Ø ECF (cm)],0),MATCH(ECF[[#Headers],[Pe ECF (kN)]],estacas[#Headers],0))</f>
        <v>8200</v>
      </c>
      <c r="I217" s="4">
        <f>INDEX(K_alpha_C[],MATCH(ECF[[#This Row],[Solo]],K_alpha_C[Solo],0),2)</f>
        <v>0.8</v>
      </c>
      <c r="J217" s="5">
        <f>INDEX(K_alpha_C[],MATCH(ECF[[#This Row],[Solo]],K_alpha_C[Solo],0),3)</f>
        <v>2</v>
      </c>
      <c r="K217" s="4">
        <f>INDEX(F1_F2[],MATCH($D$2,F1_F2[Tipo de estaca],0),2)</f>
        <v>3</v>
      </c>
      <c r="L217" s="4">
        <f>INDEX(F1_F2[],MATCH($D$2,F1_F2[Tipo de estaca],0),3)</f>
        <v>6</v>
      </c>
      <c r="M217" s="4">
        <f>PI()*(ECF[[#This Row],[Ø (cm)]]/100)^2/4</f>
        <v>2.0106192982974678</v>
      </c>
      <c r="N217" s="4">
        <f>PI()*ECF[[#This Row],[Ø (cm)]]/100</f>
        <v>5.026548245743669</v>
      </c>
      <c r="O217" s="4">
        <f>IF(ECF[[#This Row],[Prof. (m)]]=0,0,ECF[[#This Row],[α (%)]]/100*ECF[[#This Row],[K (MPa)]]*1000*ECF[[#This Row],[NSPT]])</f>
        <v>32</v>
      </c>
      <c r="P217" s="4">
        <f>IF(ECF[[#This Row],[Prof. (m)]]=0,0,(ECF[[#This Row],[K (MPa)]]*1000*ECF[[#This Row],[NSPT]]/ECF[[#This Row],[F1]]*ECF[[#This Row],[Ap (m²)]]+ECF[[#This Row],[U (m)]]/ECF[[#This Row],[F2]]*SUMIFS(ECF[(α∙K∙NL∙ΔL)],ECF[Prof. (m)],"&lt;="&amp;ECF[[#This Row],[Prof. (m)]],ECF[idDiâmetro],ECF[[#This Row],[idDiâmetro]],ECF[idPilar],ECF[[#This Row],[idPilar]]))/'DADOS CAP. CARGA'!$D$2)</f>
        <v>562.97340352329104</v>
      </c>
      <c r="Q217" s="12">
        <f>INDEX(C_alpha_beta[],MATCH(ECF[[#This Row],[Solo]],C_alpha_beta[Solo],0),MATCH(ECF[[#Headers],[C (kPa)]],C_alpha_beta[#Headers],0))</f>
        <v>400</v>
      </c>
      <c r="R217" s="4">
        <f>INDEX(C_alpha_beta[],MATCH(ECF[[#This Row],[Solo]],C_alpha_beta[Solo],0),MATCH(ECF[[#Headers],[α ESF]],C_alpha_beta[#Headers],0))</f>
        <v>0.5</v>
      </c>
      <c r="S217" s="4">
        <f>INDEX(C_alpha_beta[],MATCH(ECF[[#This Row],[Solo]],C_alpha_beta[Solo],0),MATCH(ECF[[#Headers],[β ESF]],C_alpha_beta[#Headers],0))</f>
        <v>0.5</v>
      </c>
      <c r="T217" s="4">
        <f>IF(ECF[[#This Row],[Prof. (m)]]=0,0,10*(ECF[[#This Row],[NSPT]]/3+1))</f>
        <v>16.666666666666664</v>
      </c>
      <c r="U217" s="4">
        <f>(ECF[[#This Row],[α ESF]]*ECF[[#This Row],[C (kPa)]]*ECF[[#This Row],[NSPT]]*ECF[[#This Row],[Ap (m²)]])/'DADOS CAP. CARGA'!$Q$2+(ECF[[#This Row],[β ESF]]*SUMIFS(ECF[10∙(NL/3+1)],ECF[Prof. (m)],"&lt;="&amp;ECF[[#This Row],[Prof. (m)]],ECF[idDiâmetro],ECF[[#This Row],[idDiâmetro]],ECF[idPilar],ECF[[#This Row],[idPilar]])*ECF[[#This Row],[U (m)]])/'DADOS CAP. CARGA'!$S$2</f>
        <v>242.94983187761068</v>
      </c>
      <c r="V217" s="4">
        <f>IF(SPT!$M$5=1,MIN(ECF[[#This Row],[Pe ECF (kN)]],ECF[[#This Row],[R_AV (kN)]]),IF(SPT!$M$5=2,MIN(ECF[[#This Row],[Pe ECF (kN)]],ECF[[#This Row],[R_DC (kN)]]),MIN(ECF[[#This Row],[Pe ECF (kN)]],ECF[[#This Row],[R_AV (kN)]],ECF[[#This Row],[R_DC (kN)]])))</f>
        <v>242.94983187761068</v>
      </c>
      <c r="W217" s="4">
        <f>INDEX(PILARES[],ECF[[#This Row],[idPilar]],MATCH("Carga (kN)",PILARES[#Headers],0))*1.4</f>
        <v>1750</v>
      </c>
      <c r="X217" s="12">
        <f>INDEX(PILARES[],ECF[[#This Row],[idPilar]],MATCH(ECF[[#Headers],[ap (cm)]],PILARES[#Headers],0))</f>
        <v>50</v>
      </c>
      <c r="Y217" s="12">
        <f>INDEX(PILARES[],ECF[[#This Row],[idPilar]],MATCH(ECF[[#Headers],[bp (cm)]],PILARES[#Headers],0))</f>
        <v>40</v>
      </c>
      <c r="Z217" s="4">
        <f>SQRT(ECF[[#This Row],[ap (cm)]]*ECF[[#This Row],[bp (cm)]])</f>
        <v>44.721359549995796</v>
      </c>
      <c r="AA217" s="12">
        <f>ECF[[#This Row],[ap (cm)]]*ECF[[#This Row],[bp (cm)]]</f>
        <v>2000</v>
      </c>
      <c r="AB217" s="12">
        <f ca="1">IF(ECF[[#This Row],[Padm∙ε (kN)]]&gt;=ECF[[#This Row],[Padm (kN)]],ROUNDUP(1.05*ECF[[#This Row],[Nsd (kN)]]/ECF[[#This Row],[Padm (kN)]],0),ROUNDUP(1.05*ECF[[#This Row],[Nsd (kN)]]/ECF[[#This Row],[Padm (kN)]],0)+1)</f>
        <v>8</v>
      </c>
      <c r="AC217" s="4" t="str">
        <f ca="1">IFERROR(IF(ECF[[#This Row],[nE]]=1,ECF[[#This Row],[Padm (kN)]],ECF[[#This Row],[Padm (kN)]]*ECF[[#This Row],[nE]]*INDEX(grupoEstacas[],ECF[[#This Row],[nE]],MATCH("ε",grupoEstacas[#Headers],0))),"N.S.")</f>
        <v>N.S.</v>
      </c>
      <c r="AD217" s="4">
        <f ca="1">1.05*ECF[[#This Row],[Nsd (kN)]]/(ECF[[#This Row],[nE]]*PI()*ECF[[#This Row],[Ø (cm)]]^2/4)*10</f>
        <v>0.1142371905981866</v>
      </c>
      <c r="AE217" s="4">
        <f ca="1">IF(ECF[[#This Row],[σ (MPa)]]&lt;INDEX(tipoEstaca[],MATCH($D$2,tipoEstaca[TIPO DE ESTACA],0),MATCH("σmáx (MPa)",tipoEstaca[#Headers],0)),0.4%*PI()*ECF[[#This Row],[Ø (cm)]]^2/4,"N.S.")</f>
        <v>80.424771931898704</v>
      </c>
      <c r="AF217" s="1">
        <f>INDEX(tipoEstaca[],MATCH($D$2,tipoEstaca[TIPO DE ESTACA],0),MATCH(ECF[[#Headers],[Comprimento (m)]],tipoEstaca[#Headers],0))</f>
        <v>4</v>
      </c>
      <c r="AG217" s="5">
        <f ca="1">ECF[[#This Row],[As,mín (cm²)]]/100^2*ECF[[#This Row],[Comprimento (m)]]*7850</f>
        <v>252.53378386616191</v>
      </c>
      <c r="AH217" s="4">
        <f ca="1">ECF[[#This Row],[nE]]*ECF[[#This Row],[Prof. (m)]]*ECF[[#This Row],[Ap (m²)]]</f>
        <v>32.169908772759484</v>
      </c>
      <c r="AI217" s="1">
        <f ca="1">IF(ECF[[#This Row],[nE]]=1,0,MAX(3*ECF[[#This Row],[Ø (cm)]],60))</f>
        <v>480</v>
      </c>
      <c r="AJ217" s="1">
        <f ca="1">IF(ECF[[#This Row],[nE]]=1,ECF[[#This Row],[Ø (cm)]]+2*10,MAX(1.5*ECF[[#This Row],[Ø (cm)]],ECF[[#This Row],[Ø (cm)]]+15))</f>
        <v>240</v>
      </c>
      <c r="AK217" s="1" t="str">
        <f ca="1">alturaUtil(ECF[[#This Row],[nE]],ECF[[#This Row],[Ø (cm)]],ECF[[#This Row],[e (cm)]],ECF[[#This Row],[ap,eq (cm)]])</f>
        <v>N.S.</v>
      </c>
      <c r="AL217" s="1" t="str">
        <f ca="1">IFERROR(ECF[[#This Row],[d (cm)]]+arredondarParaCimaMultiplo5cm(MAX(5,SQRT(PI())/2*ECF[[#This Row],[Ø (cm)]]/5)),"N.S.")</f>
        <v>N.S.</v>
      </c>
      <c r="AM217" s="5" t="str">
        <f ca="1">alpha(ECF[[#This Row],[nE]],ECF[[#This Row],[d (cm)]],ECF[[#This Row],[e (cm)]],ECF[[#This Row],[ap,eq (cm)]])</f>
        <v>N.S.</v>
      </c>
      <c r="AN217" s="35" t="str">
        <f ca="1">IFERROR(ECF[[#This Row],[Nsd (kN)]]/(ECF[[#This Row],[Ap (cm²)]]*SIN(ECF[[#This Row],[α]])^2),"N.S.")</f>
        <v>N.S.</v>
      </c>
      <c r="AO217" s="35" t="str">
        <f ca="1">IFERROR(ECF[[#This Row],[Nsd (kN)]]/(ECF[[#This Row],[nE]]*PI()*ECF[[#This Row],[Ø (cm)]]^2/4*SIN(ECF[[#This Row],[α]])^2),"N.S.")</f>
        <v>N.S.</v>
      </c>
      <c r="AP217" s="4" t="str">
        <f ca="1">IFERROR(INDEX(grupoEstacas[],ECF[[#This Row],[nE]],MATCH("coef. Blévot",grupoEstacas[#Headers],0)),"N.S.")</f>
        <v>N.S.</v>
      </c>
      <c r="AQ217" s="35" t="str">
        <f ca="1">IFERROR(ECF[[#This Row],[coef. Blévot]]*0.9*INDEX(tipoEstaca[],MATCH($D$2,tipoEstaca[TIPO DE ESTACA],0),MATCH("fcd (kN/cm²)",tipoEstaca[#Headers],0)),"N.S.")</f>
        <v>N.S.</v>
      </c>
      <c r="AR217" s="1" t="str">
        <f ca="1">IF(AND(ECF[[#This Row],[cd,b,pil (kN/cm²)]]&lt;=ECF[[#This Row],[cd,b,lim (kN/cm²)]],ECF[[#This Row],[cd,b,est (kN/cm²)]]&lt;=ECF[[#This Row],[cd,b,lim (kN/cm²)]]),"OK","ERRO")</f>
        <v>OK</v>
      </c>
      <c r="AS217" s="4" t="str">
        <f ca="1">As_lado(ECF[[#This Row],[nE]],ECF[[#This Row],[Nsd (kN)]],ECF[[#This Row],[d (cm)]],ECF[[#This Row],[e (cm)]],ECF[[#This Row],[ap,eq (cm)]])</f>
        <v>N.S.</v>
      </c>
      <c r="AT217" s="4" t="str">
        <f ca="1">IF(ECF[[#This Row],[nE]]=1,ECF[[#This Row],[As,lado (cm²)]],IF(ECF[[#This Row],[nE]]=2,0.075*2*ECF[a (cm)],"N.A."))</f>
        <v>N.A.</v>
      </c>
      <c r="AU217" s="4" t="str">
        <f ca="1">IFERROR(IF(ECF[[#This Row],[nE]]=1,"N.A.",0.2*ECF[[#This Row],[As,lado (cm²)]]),"N.S.")</f>
        <v>N.S.</v>
      </c>
      <c r="AV217" s="4" t="str">
        <f ca="1">As_malha(ECF[[#This Row],[nE]],ECF[[#This Row],[As,lado (cm²)]],ECF[[#This Row],[Nsd (kN)]])</f>
        <v>N.S.</v>
      </c>
      <c r="AW217" s="4" t="str">
        <f ca="1">As_susp_tot(ECF[[#This Row],[nE]],ECF[[#This Row],[Nsd (kN)]])</f>
        <v>N.S.</v>
      </c>
      <c r="AX217" s="4" t="str">
        <f ca="1">Asp_face(ECF[[#This Row],[nE]],ECF[[#This Row],[As,lado (cm²)]])</f>
        <v>N.S.</v>
      </c>
      <c r="AY217" s="5" t="str">
        <f ca="1">acoBloco(ECF[[#This Row],[nE]],ECF[[#This Row],[e (cm)]],ECF[[#This Row],[a (cm)]],ECF[[#This Row],[h (cm)]],ECF[[#This Row],[As,lado (cm²)]],ECF[[#This Row],[Asp e Asw (cm²/m)]],ECF[[#This Row],[As,sup (cm²)]],ECF[[#This Row],[As,malha (cm²)]],ECF[[#This Row],[As,susp,tot (cm²)]],ECF[[#This Row],[Asp,face (cm²)]])</f>
        <v>N.S.</v>
      </c>
      <c r="AZ217" s="4" t="str">
        <f ca="1">concretoBloco(ECF[[#This Row],[nE]],ECF[[#This Row],[e (cm)]],ECF[[#This Row],[a (cm)]],ECF[[#This Row],[h (cm)]])</f>
        <v>N.S.</v>
      </c>
      <c r="BA217" s="5">
        <f ca="1">SUM(ECF[[#This Row],[Aço Est (kg)]],ECF[[#This Row],[Aço Bloco (kg)]])</f>
        <v>252.53378386616191</v>
      </c>
      <c r="BB217" s="4">
        <f>INDEX(composicoes[],MATCH(95580,composicoes[CÓDIGO],0),MATCH("CUSTO TOTAL",composicoes[#Headers],0))</f>
        <v>10.46</v>
      </c>
      <c r="BC217" s="4">
        <f ca="1">SUM(ECF[[#This Row],[Conc Est (m³)]],ECF[[#This Row],[Conc Bloco (m³)]])</f>
        <v>32.169908772759484</v>
      </c>
      <c r="BD217" s="4">
        <f>INDEX(composicoes[],MATCH(94966,composicoes[CÓDIGO],0),MATCH("CUSTO TOTAL",composicoes[#Headers],0))</f>
        <v>439.52</v>
      </c>
      <c r="BE217" s="38">
        <f ca="1">ECF[[#This Row],[Aço (kg)]]*ECF[[#This Row],[Aço (R$/kg)]]+ECF[[#This Row],[Conc (m³)]]*ECF[[#This Row],[Conc (R$/m³)]]</f>
        <v>16780.821683043301</v>
      </c>
      <c r="BF217" s="4" t="str">
        <f ca="1">IF(COUNTIF(ECF[#This Row],"N.S.")&gt;0,"lim.","OK")</f>
        <v>lim.</v>
      </c>
      <c r="BG217" s="4" t="str">
        <f>IF(ECF[[#This Row],[Prof. (m)]]&lt;4,"lim.","OK")</f>
        <v>lim.</v>
      </c>
      <c r="BH217" s="4" t="str">
        <f>IF(ECF[[#This Row],[Prof. (m)]]&gt;=8*ECF[[#This Row],[Ø (cm)]]/100,"OK","lim.")</f>
        <v>lim.</v>
      </c>
      <c r="BI217" s="4" t="str">
        <f>IF(AND(SPT!$F$3&lt;&gt;"",ECF[[#This Row],[Prof. (m)]]&gt;=SPT!$F$3-2),"lim.","OK")</f>
        <v>OK</v>
      </c>
      <c r="BJ217" s="4" t="str">
        <f ca="1">IF(ECF[[#This Row],[Verif. Biela]]="OK","OK","lim.")</f>
        <v>OK</v>
      </c>
      <c r="BK217" s="4" t="str">
        <f ca="1">IF(COUNTA(ECF[[#This Row],[Nº Est.]:[Biela comp.]])=COUNTIF(ECF[[#This Row],[Nº Est.]:[Biela comp.]],"OK"),"OK","lim.")</f>
        <v>lim.</v>
      </c>
      <c r="BL217" s="4" t="str">
        <f ca="1">IF(ECF[[#This Row],[Controle]]="OK",ECF[[#This Row],[nE]]&amp;" Ø"&amp;ECF[[#This Row],[Ø (cm)]]&amp;"cm Prof. "&amp;ECF[[#This Row],[Prof. (m)]]&amp;" m","")</f>
        <v/>
      </c>
      <c r="BM217" s="4" t="str">
        <f ca="1">IF(ECF[[#This Row],[idDimensionamento]]="","",ECF[[#This Row],[idPilar]]&amp;ECF[[#This Row],[idDimensionamento]])</f>
        <v/>
      </c>
    </row>
    <row r="218" spans="2:65" x14ac:dyDescent="0.25">
      <c r="B218" s="12">
        <f>ROUNDUP((ROW(ECF[[#This Row],[idDiâmetro]])-ROW(ECF[[#Headers],[idDiâmetro]]))/(COUNT(SPT[Prof. (m)])*COUNT(PILARES[Pilar])),0)</f>
        <v>8</v>
      </c>
      <c r="C218" s="12">
        <f>IF(ECF[[#This Row],[idDiâmetro]]&lt;&gt;B217,1,IF(ECF[[#This Row],[Prof. (m)]]=0,C217+1,C217))</f>
        <v>2</v>
      </c>
      <c r="D218" s="1">
        <f>IFERROR(IF(D217=MAX(SPT[Prof. (m)]),0,D217+1),0)</f>
        <v>3</v>
      </c>
      <c r="E218" s="1">
        <f>INDEX(SPT[],MATCH(ECF[[#This Row],[Prof. (m)]],SPT[Prof. (m)],0),2)</f>
        <v>4</v>
      </c>
      <c r="F218" s="1" t="str">
        <f>INDEX(SPT[],MATCH(ECF[[#This Row],[Prof. (m)]],SPT[Prof. (m)],0),3)</f>
        <v>Areia siltosa</v>
      </c>
      <c r="G218" s="1">
        <f>INDEX(estacas[],ECF[[#This Row],[idDiâmetro]],MATCH($B$2,estacas[#Headers],0))</f>
        <v>160</v>
      </c>
      <c r="H218" s="1">
        <f>INDEX(estacas[],MATCH(ECF[[#This Row],[Ø (cm)]],estacas[Ø ECF (cm)],0),MATCH(ECF[[#Headers],[Pe ECF (kN)]],estacas[#Headers],0))</f>
        <v>8200</v>
      </c>
      <c r="I218" s="4">
        <f>INDEX(K_alpha_C[],MATCH(ECF[[#This Row],[Solo]],K_alpha_C[Solo],0),2)</f>
        <v>0.8</v>
      </c>
      <c r="J218" s="5">
        <f>INDEX(K_alpha_C[],MATCH(ECF[[#This Row],[Solo]],K_alpha_C[Solo],0),3)</f>
        <v>2</v>
      </c>
      <c r="K218" s="4">
        <f>INDEX(F1_F2[],MATCH($D$2,F1_F2[Tipo de estaca],0),2)</f>
        <v>3</v>
      </c>
      <c r="L218" s="4">
        <f>INDEX(F1_F2[],MATCH($D$2,F1_F2[Tipo de estaca],0),3)</f>
        <v>6</v>
      </c>
      <c r="M218" s="4">
        <f>PI()*(ECF[[#This Row],[Ø (cm)]]/100)^2/4</f>
        <v>2.0106192982974678</v>
      </c>
      <c r="N218" s="4">
        <f>PI()*ECF[[#This Row],[Ø (cm)]]/100</f>
        <v>5.026548245743669</v>
      </c>
      <c r="O218" s="4">
        <f>IF(ECF[[#This Row],[Prof. (m)]]=0,0,ECF[[#This Row],[α (%)]]/100*ECF[[#This Row],[K (MPa)]]*1000*ECF[[#This Row],[NSPT]])</f>
        <v>64</v>
      </c>
      <c r="P218" s="4">
        <f>IF(ECF[[#This Row],[Prof. (m)]]=0,0,(ECF[[#This Row],[K (MPa)]]*1000*ECF[[#This Row],[NSPT]]/ECF[[#This Row],[F1]]*ECF[[#This Row],[Ap (m²)]]+ECF[[#This Row],[U (m)]]/ECF[[#This Row],[F2]]*SUMIFS(ECF[(α∙K∙NL∙ΔL)],ECF[Prof. (m)],"&lt;="&amp;ECF[[#This Row],[Prof. (m)]],ECF[idDiâmetro],ECF[[#This Row],[idDiâmetro]],ECF[idPilar],ECF[[#This Row],[idPilar]]))/'DADOS CAP. CARGA'!$D$2)</f>
        <v>1125.9468070465821</v>
      </c>
      <c r="Q218" s="12">
        <f>INDEX(C_alpha_beta[],MATCH(ECF[[#This Row],[Solo]],C_alpha_beta[Solo],0),MATCH(ECF[[#Headers],[C (kPa)]],C_alpha_beta[#Headers],0))</f>
        <v>400</v>
      </c>
      <c r="R218" s="4">
        <f>INDEX(C_alpha_beta[],MATCH(ECF[[#This Row],[Solo]],C_alpha_beta[Solo],0),MATCH(ECF[[#Headers],[α ESF]],C_alpha_beta[#Headers],0))</f>
        <v>0.5</v>
      </c>
      <c r="S218" s="4">
        <f>INDEX(C_alpha_beta[],MATCH(ECF[[#This Row],[Solo]],C_alpha_beta[Solo],0),MATCH(ECF[[#Headers],[β ESF]],C_alpha_beta[#Headers],0))</f>
        <v>0.5</v>
      </c>
      <c r="T218" s="4">
        <f>IF(ECF[[#This Row],[Prof. (m)]]=0,0,10*(ECF[[#This Row],[NSPT]]/3+1))</f>
        <v>23.333333333333329</v>
      </c>
      <c r="U218" s="4">
        <f>(ECF[[#This Row],[α ESF]]*ECF[[#This Row],[C (kPa)]]*ECF[[#This Row],[NSPT]]*ECF[[#This Row],[Ap (m²)]])/'DADOS CAP. CARGA'!$Q$2+(ECF[[#This Row],[β ESF]]*SUMIFS(ECF[10∙(NL/3+1)],ECF[Prof. (m)],"&lt;="&amp;ECF[[#This Row],[Prof. (m)]],ECF[idDiâmetro],ECF[[#This Row],[idDiâmetro]],ECF[idPilar],ECF[[#This Row],[idPilar]])*ECF[[#This Row],[U (m)]])/'DADOS CAP. CARGA'!$S$2</f>
        <v>473.33329314086222</v>
      </c>
      <c r="V218" s="4">
        <f>IF(SPT!$M$5=1,MIN(ECF[[#This Row],[Pe ECF (kN)]],ECF[[#This Row],[R_AV (kN)]]),IF(SPT!$M$5=2,MIN(ECF[[#This Row],[Pe ECF (kN)]],ECF[[#This Row],[R_DC (kN)]]),MIN(ECF[[#This Row],[Pe ECF (kN)]],ECF[[#This Row],[R_AV (kN)]],ECF[[#This Row],[R_DC (kN)]])))</f>
        <v>473.33329314086222</v>
      </c>
      <c r="W218" s="4">
        <f>INDEX(PILARES[],ECF[[#This Row],[idPilar]],MATCH("Carga (kN)",PILARES[#Headers],0))*1.4</f>
        <v>1750</v>
      </c>
      <c r="X218" s="12">
        <f>INDEX(PILARES[],ECF[[#This Row],[idPilar]],MATCH(ECF[[#Headers],[ap (cm)]],PILARES[#Headers],0))</f>
        <v>50</v>
      </c>
      <c r="Y218" s="12">
        <f>INDEX(PILARES[],ECF[[#This Row],[idPilar]],MATCH(ECF[[#Headers],[bp (cm)]],PILARES[#Headers],0))</f>
        <v>40</v>
      </c>
      <c r="Z218" s="4">
        <f>SQRT(ECF[[#This Row],[ap (cm)]]*ECF[[#This Row],[bp (cm)]])</f>
        <v>44.721359549995796</v>
      </c>
      <c r="AA218" s="12">
        <f>ECF[[#This Row],[ap (cm)]]*ECF[[#This Row],[bp (cm)]]</f>
        <v>2000</v>
      </c>
      <c r="AB218" s="12">
        <f ca="1">IF(ECF[[#This Row],[Padm∙ε (kN)]]&gt;=ECF[[#This Row],[Padm (kN)]],ROUNDUP(1.05*ECF[[#This Row],[Nsd (kN)]]/ECF[[#This Row],[Padm (kN)]],0),ROUNDUP(1.05*ECF[[#This Row],[Nsd (kN)]]/ECF[[#This Row],[Padm (kN)]],0)+1)</f>
        <v>4</v>
      </c>
      <c r="AC218" s="4">
        <f ca="1">IFERROR(IF(ECF[[#This Row],[nE]]=1,ECF[[#This Row],[Padm (kN)]],ECF[[#This Row],[Padm (kN)]]*ECF[[#This Row],[nE]]*INDEX(grupoEstacas[],ECF[[#This Row],[nE]],MATCH("ε",grupoEstacas[#Headers],0))),"N.S.")</f>
        <v>1538.3332027078022</v>
      </c>
      <c r="AD218" s="4">
        <f ca="1">1.05*ECF[[#This Row],[Nsd (kN)]]/(ECF[[#This Row],[nE]]*PI()*ECF[[#This Row],[Ø (cm)]]^2/4)*10</f>
        <v>0.2284743811963732</v>
      </c>
      <c r="AE218" s="4">
        <f ca="1">IF(ECF[[#This Row],[σ (MPa)]]&lt;INDEX(tipoEstaca[],MATCH($D$2,tipoEstaca[TIPO DE ESTACA],0),MATCH("σmáx (MPa)",tipoEstaca[#Headers],0)),0.4%*PI()*ECF[[#This Row],[Ø (cm)]]^2/4,"N.S.")</f>
        <v>80.424771931898704</v>
      </c>
      <c r="AF218" s="1">
        <f>INDEX(tipoEstaca[],MATCH($D$2,tipoEstaca[TIPO DE ESTACA],0),MATCH(ECF[[#Headers],[Comprimento (m)]],tipoEstaca[#Headers],0))</f>
        <v>4</v>
      </c>
      <c r="AG218" s="5">
        <f ca="1">ECF[[#This Row],[As,mín (cm²)]]/100^2*ECF[[#This Row],[Comprimento (m)]]*7850</f>
        <v>252.53378386616191</v>
      </c>
      <c r="AH218" s="4">
        <f ca="1">ECF[[#This Row],[nE]]*ECF[[#This Row],[Prof. (m)]]*ECF[[#This Row],[Ap (m²)]]</f>
        <v>24.127431579569613</v>
      </c>
      <c r="AI218" s="1">
        <f ca="1">IF(ECF[[#This Row],[nE]]=1,0,MAX(3*ECF[[#This Row],[Ø (cm)]],60))</f>
        <v>480</v>
      </c>
      <c r="AJ218" s="1">
        <f ca="1">IF(ECF[[#This Row],[nE]]=1,ECF[[#This Row],[Ø (cm)]]+2*10,MAX(1.5*ECF[[#This Row],[Ø (cm)]],ECF[[#This Row],[Ø (cm)]]+15))</f>
        <v>240</v>
      </c>
      <c r="AK218" s="1">
        <f ca="1">alturaUtil(ECF[[#This Row],[nE]],ECF[[#This Row],[Ø (cm)]],ECF[[#This Row],[e (cm)]],ECF[[#This Row],[ap,eq (cm)]])</f>
        <v>230</v>
      </c>
      <c r="AL218" s="1">
        <f ca="1">IFERROR(ECF[[#This Row],[d (cm)]]+arredondarParaCimaMultiplo5cm(MAX(5,SQRT(PI())/2*ECF[[#This Row],[Ø (cm)]]/5)),"N.S.")</f>
        <v>260</v>
      </c>
      <c r="AM218" s="5">
        <f ca="1">alpha(ECF[[#This Row],[nE]],ECF[[#This Row],[d (cm)]],ECF[[#This Row],[e (cm)]],ECF[[#This Row],[ap,eq (cm)]])</f>
        <v>45.147396353371242</v>
      </c>
      <c r="AN218" s="35">
        <f ca="1">IFERROR(ECF[[#This Row],[Nsd (kN)]]/(ECF[[#This Row],[Ap (cm²)]]*SIN(ECF[[#This Row],[α]])^2),"N.S.")</f>
        <v>1.0364302707547399</v>
      </c>
      <c r="AO218" s="35">
        <f ca="1">IFERROR(ECF[[#This Row],[Nsd (kN)]]/(ECF[[#This Row],[nE]]*PI()*ECF[[#This Row],[Ø (cm)]]^2/4*SIN(ECF[[#This Row],[α]])^2),"N.S.")</f>
        <v>2.5773906368857548E-2</v>
      </c>
      <c r="AP218" s="4">
        <f ca="1">IFERROR(INDEX(grupoEstacas[],ECF[[#This Row],[nE]],MATCH("coef. Blévot",grupoEstacas[#Headers],0)),"N.S.")</f>
        <v>2.1</v>
      </c>
      <c r="AQ218" s="35">
        <f ca="1">IFERROR(ECF[[#This Row],[coef. Blévot]]*0.9*INDEX(tipoEstaca[],MATCH($D$2,tipoEstaca[TIPO DE ESTACA],0),MATCH("fcd (kN/cm²)",tipoEstaca[#Headers],0)),"N.S.")</f>
        <v>2.1</v>
      </c>
      <c r="AR218" s="1" t="str">
        <f ca="1">IF(AND(ECF[[#This Row],[cd,b,pil (kN/cm²)]]&lt;=ECF[[#This Row],[cd,b,lim (kN/cm²)]],ECF[[#This Row],[cd,b,est (kN/cm²)]]&lt;=ECF[[#This Row],[cd,b,lim (kN/cm²)]]),"OK","ERRO")</f>
        <v>OK</v>
      </c>
      <c r="AS218" s="4">
        <f ca="1">As_lado(ECF[[#This Row],[nE]],ECF[[#This Row],[Nsd (kN)]],ECF[[#This Row],[d (cm)]],ECF[[#This Row],[e (cm)]],ECF[[#This Row],[ap,eq (cm)]])</f>
        <v>10.010860129921921</v>
      </c>
      <c r="AT218" s="4" t="str">
        <f ca="1">IF(ECF[[#This Row],[nE]]=1,ECF[[#This Row],[As,lado (cm²)]],IF(ECF[[#This Row],[nE]]=2,0.075*2*ECF[a (cm)],"N.A."))</f>
        <v>N.A.</v>
      </c>
      <c r="AU218" s="4">
        <f ca="1">IFERROR(IF(ECF[[#This Row],[nE]]=1,"N.A.",0.2*ECF[[#This Row],[As,lado (cm²)]]),"N.S.")</f>
        <v>2.0021720259843843</v>
      </c>
      <c r="AV218" s="4">
        <f ca="1">As_malha(ECF[[#This Row],[nE]],ECF[[#This Row],[As,lado (cm²)]],ECF[[#This Row],[Nsd (kN)]])</f>
        <v>2.0021720259843843</v>
      </c>
      <c r="AW218" s="4">
        <f ca="1">As_susp_tot(ECF[[#This Row],[nE]],ECF[[#This Row],[Nsd (kN)]])</f>
        <v>6.708333333333333</v>
      </c>
      <c r="AX218" s="4">
        <f ca="1">Asp_face(ECF[[#This Row],[nE]],ECF[[#This Row],[As,lado (cm²)]])</f>
        <v>5.0054300649609607</v>
      </c>
      <c r="AY218" s="5">
        <f ca="1">acoBloco(ECF[[#This Row],[nE]],ECF[[#This Row],[e (cm)]],ECF[[#This Row],[a (cm)]],ECF[[#This Row],[h (cm)]],ECF[[#This Row],[As,lado (cm²)]],ECF[[#This Row],[Asp e Asw (cm²/m)]],ECF[[#This Row],[As,sup (cm²)]],ECF[[#This Row],[As,malha (cm²)]],ECF[[#This Row],[As,susp,tot (cm²)]],ECF[[#This Row],[Asp,face (cm²)]])</f>
        <v>556.87297029479294</v>
      </c>
      <c r="AZ218" s="4">
        <f ca="1">concretoBloco(ECF[[#This Row],[nE]],ECF[[#This Row],[e (cm)]],ECF[[#This Row],[a (cm)]],ECF[[#This Row],[h (cm)]])</f>
        <v>239.61600000000001</v>
      </c>
      <c r="BA218" s="5">
        <f ca="1">SUM(ECF[[#This Row],[Aço Est (kg)]],ECF[[#This Row],[Aço Bloco (kg)]])</f>
        <v>809.40675416095485</v>
      </c>
      <c r="BB218" s="4">
        <f>INDEX(composicoes[],MATCH(95580,composicoes[CÓDIGO],0),MATCH("CUSTO TOTAL",composicoes[#Headers],0))</f>
        <v>10.46</v>
      </c>
      <c r="BC218" s="4">
        <f ca="1">SUM(ECF[[#This Row],[Conc Est (m³)]],ECF[[#This Row],[Conc Bloco (m³)]])</f>
        <v>263.74343157956963</v>
      </c>
      <c r="BD218" s="4">
        <f>INDEX(composicoes[],MATCH(94966,composicoes[CÓDIGO],0),MATCH("CUSTO TOTAL",composicoes[#Headers],0))</f>
        <v>439.52</v>
      </c>
      <c r="BE218" s="38">
        <f ca="1">ECF[[#This Row],[Aço (kg)]]*ECF[[#This Row],[Aço (R$/kg)]]+ECF[[#This Row],[Conc (m³)]]*ECF[[#This Row],[Conc (R$/m³)]]</f>
        <v>124386.90769637603</v>
      </c>
      <c r="BF218" s="4" t="str">
        <f ca="1">IF(COUNTIF(ECF[#This Row],"N.S.")&gt;0,"lim.","OK")</f>
        <v>OK</v>
      </c>
      <c r="BG218" s="4" t="str">
        <f>IF(ECF[[#This Row],[Prof. (m)]]&lt;4,"lim.","OK")</f>
        <v>lim.</v>
      </c>
      <c r="BH218" s="4" t="str">
        <f>IF(ECF[[#This Row],[Prof. (m)]]&gt;=8*ECF[[#This Row],[Ø (cm)]]/100,"OK","lim.")</f>
        <v>lim.</v>
      </c>
      <c r="BI218" s="4" t="str">
        <f>IF(AND(SPT!$F$3&lt;&gt;"",ECF[[#This Row],[Prof. (m)]]&gt;=SPT!$F$3-2),"lim.","OK")</f>
        <v>OK</v>
      </c>
      <c r="BJ218" s="4" t="str">
        <f ca="1">IF(ECF[[#This Row],[Verif. Biela]]="OK","OK","lim.")</f>
        <v>OK</v>
      </c>
      <c r="BK218" s="4" t="str">
        <f ca="1">IF(COUNTA(ECF[[#This Row],[Nº Est.]:[Biela comp.]])=COUNTIF(ECF[[#This Row],[Nº Est.]:[Biela comp.]],"OK"),"OK","lim.")</f>
        <v>lim.</v>
      </c>
      <c r="BL218" s="4" t="str">
        <f ca="1">IF(ECF[[#This Row],[Controle]]="OK",ECF[[#This Row],[nE]]&amp;" Ø"&amp;ECF[[#This Row],[Ø (cm)]]&amp;"cm Prof. "&amp;ECF[[#This Row],[Prof. (m)]]&amp;" m","")</f>
        <v/>
      </c>
      <c r="BM218" s="4" t="str">
        <f ca="1">IF(ECF[[#This Row],[idDimensionamento]]="","",ECF[[#This Row],[idPilar]]&amp;ECF[[#This Row],[idDimensionamento]])</f>
        <v/>
      </c>
    </row>
    <row r="219" spans="2:65" x14ac:dyDescent="0.25">
      <c r="B219" s="12">
        <f>ROUNDUP((ROW(ECF[[#This Row],[idDiâmetro]])-ROW(ECF[[#Headers],[idDiâmetro]]))/(COUNT(SPT[Prof. (m)])*COUNT(PILARES[Pilar])),0)</f>
        <v>8</v>
      </c>
      <c r="C219" s="12">
        <f>IF(ECF[[#This Row],[idDiâmetro]]&lt;&gt;B218,1,IF(ECF[[#This Row],[Prof. (m)]]=0,C218+1,C218))</f>
        <v>2</v>
      </c>
      <c r="D219" s="1">
        <f>IFERROR(IF(D218=MAX(SPT[Prof. (m)]),0,D218+1),0)</f>
        <v>4</v>
      </c>
      <c r="E219" s="1">
        <f>INDEX(SPT[],MATCH(ECF[[#This Row],[Prof. (m)]],SPT[Prof. (m)],0),2)</f>
        <v>8</v>
      </c>
      <c r="F219" s="1" t="str">
        <f>INDEX(SPT[],MATCH(ECF[[#This Row],[Prof. (m)]],SPT[Prof. (m)],0),3)</f>
        <v>Areia siltosa</v>
      </c>
      <c r="G219" s="1">
        <f>INDEX(estacas[],ECF[[#This Row],[idDiâmetro]],MATCH($B$2,estacas[#Headers],0))</f>
        <v>160</v>
      </c>
      <c r="H219" s="1">
        <f>INDEX(estacas[],MATCH(ECF[[#This Row],[Ø (cm)]],estacas[Ø ECF (cm)],0),MATCH(ECF[[#Headers],[Pe ECF (kN)]],estacas[#Headers],0))</f>
        <v>8200</v>
      </c>
      <c r="I219" s="4">
        <f>INDEX(K_alpha_C[],MATCH(ECF[[#This Row],[Solo]],K_alpha_C[Solo],0),2)</f>
        <v>0.8</v>
      </c>
      <c r="J219" s="5">
        <f>INDEX(K_alpha_C[],MATCH(ECF[[#This Row],[Solo]],K_alpha_C[Solo],0),3)</f>
        <v>2</v>
      </c>
      <c r="K219" s="4">
        <f>INDEX(F1_F2[],MATCH($D$2,F1_F2[Tipo de estaca],0),2)</f>
        <v>3</v>
      </c>
      <c r="L219" s="4">
        <f>INDEX(F1_F2[],MATCH($D$2,F1_F2[Tipo de estaca],0),3)</f>
        <v>6</v>
      </c>
      <c r="M219" s="4">
        <f>PI()*(ECF[[#This Row],[Ø (cm)]]/100)^2/4</f>
        <v>2.0106192982974678</v>
      </c>
      <c r="N219" s="4">
        <f>PI()*ECF[[#This Row],[Ø (cm)]]/100</f>
        <v>5.026548245743669</v>
      </c>
      <c r="O219" s="4">
        <f>IF(ECF[[#This Row],[Prof. (m)]]=0,0,ECF[[#This Row],[α (%)]]/100*ECF[[#This Row],[K (MPa)]]*1000*ECF[[#This Row],[NSPT]])</f>
        <v>128</v>
      </c>
      <c r="P219" s="4">
        <f>IF(ECF[[#This Row],[Prof. (m)]]=0,0,(ECF[[#This Row],[K (MPa)]]*1000*ECF[[#This Row],[NSPT]]/ECF[[#This Row],[F1]]*ECF[[#This Row],[Ap (m²)]]+ECF[[#This Row],[U (m)]]/ECF[[#This Row],[F2]]*SUMIFS(ECF[(α∙K∙NL∙ΔL)],ECF[Prof. (m)],"&lt;="&amp;ECF[[#This Row],[Prof. (m)]],ECF[idDiâmetro],ECF[[#This Row],[idDiâmetro]],ECF[idPilar],ECF[[#This Row],[idPilar]]))/'DADOS CAP. CARGA'!$D$2)</f>
        <v>2251.8936140931642</v>
      </c>
      <c r="Q219" s="12">
        <f>INDEX(C_alpha_beta[],MATCH(ECF[[#This Row],[Solo]],C_alpha_beta[Solo],0),MATCH(ECF[[#Headers],[C (kPa)]],C_alpha_beta[#Headers],0))</f>
        <v>400</v>
      </c>
      <c r="R219" s="4">
        <f>INDEX(C_alpha_beta[],MATCH(ECF[[#This Row],[Solo]],C_alpha_beta[Solo],0),MATCH(ECF[[#Headers],[α ESF]],C_alpha_beta[#Headers],0))</f>
        <v>0.5</v>
      </c>
      <c r="S219" s="4">
        <f>INDEX(C_alpha_beta[],MATCH(ECF[[#This Row],[Solo]],C_alpha_beta[Solo],0),MATCH(ECF[[#Headers],[β ESF]],C_alpha_beta[#Headers],0))</f>
        <v>0.5</v>
      </c>
      <c r="T219" s="4">
        <f>IF(ECF[[#This Row],[Prof. (m)]]=0,0,10*(ECF[[#This Row],[NSPT]]/3+1))</f>
        <v>36.666666666666664</v>
      </c>
      <c r="U219" s="4">
        <f>(ECF[[#This Row],[α ESF]]*ECF[[#This Row],[C (kPa)]]*ECF[[#This Row],[NSPT]]*ECF[[#This Row],[Ap (m²)]])/'DADOS CAP. CARGA'!$Q$2+(ECF[[#This Row],[β ESF]]*SUMIFS(ECF[10∙(NL/3+1)],ECF[Prof. (m)],"&lt;="&amp;ECF[[#This Row],[Prof. (m)]],ECF[idDiâmetro],ECF[[#This Row],[idDiâmetro]],ECF[idPilar],ECF[[#This Row],[idPilar]])*ECF[[#This Row],[U (m)]])/'DADOS CAP. CARGA'!$S$2</f>
        <v>921.53384505300608</v>
      </c>
      <c r="V219" s="4">
        <f>IF(SPT!$M$5=1,MIN(ECF[[#This Row],[Pe ECF (kN)]],ECF[[#This Row],[R_AV (kN)]]),IF(SPT!$M$5=2,MIN(ECF[[#This Row],[Pe ECF (kN)]],ECF[[#This Row],[R_DC (kN)]]),MIN(ECF[[#This Row],[Pe ECF (kN)]],ECF[[#This Row],[R_AV (kN)]],ECF[[#This Row],[R_DC (kN)]])))</f>
        <v>921.53384505300608</v>
      </c>
      <c r="W219" s="4">
        <f>INDEX(PILARES[],ECF[[#This Row],[idPilar]],MATCH("Carga (kN)",PILARES[#Headers],0))*1.4</f>
        <v>1750</v>
      </c>
      <c r="X219" s="12">
        <f>INDEX(PILARES[],ECF[[#This Row],[idPilar]],MATCH(ECF[[#Headers],[ap (cm)]],PILARES[#Headers],0))</f>
        <v>50</v>
      </c>
      <c r="Y219" s="12">
        <f>INDEX(PILARES[],ECF[[#This Row],[idPilar]],MATCH(ECF[[#Headers],[bp (cm)]],PILARES[#Headers],0))</f>
        <v>40</v>
      </c>
      <c r="Z219" s="4">
        <f>SQRT(ECF[[#This Row],[ap (cm)]]*ECF[[#This Row],[bp (cm)]])</f>
        <v>44.721359549995796</v>
      </c>
      <c r="AA219" s="12">
        <f>ECF[[#This Row],[ap (cm)]]*ECF[[#This Row],[bp (cm)]]</f>
        <v>2000</v>
      </c>
      <c r="AB219" s="12">
        <f ca="1">IF(ECF[[#This Row],[Padm∙ε (kN)]]&gt;=ECF[[#This Row],[Padm (kN)]],ROUNDUP(1.05*ECF[[#This Row],[Nsd (kN)]]/ECF[[#This Row],[Padm (kN)]],0),ROUNDUP(1.05*ECF[[#This Row],[Nsd (kN)]]/ECF[[#This Row],[Padm (kN)]],0)+1)</f>
        <v>2</v>
      </c>
      <c r="AC219" s="4">
        <f ca="1">IFERROR(IF(ECF[[#This Row],[nE]]=1,ECF[[#This Row],[Padm (kN)]],ECF[[#This Row],[Padm (kN)]]*ECF[[#This Row],[nE]]*INDEX(grupoEstacas[],ECF[[#This Row],[nE]],MATCH("ε",grupoEstacas[#Headers],0))),"N.S.")</f>
        <v>1727.8759594743865</v>
      </c>
      <c r="AD219" s="4">
        <f ca="1">1.05*ECF[[#This Row],[Nsd (kN)]]/(ECF[[#This Row],[nE]]*PI()*ECF[[#This Row],[Ø (cm)]]^2/4)*10</f>
        <v>0.4569487623927464</v>
      </c>
      <c r="AE219" s="4">
        <f ca="1">IF(ECF[[#This Row],[σ (MPa)]]&lt;INDEX(tipoEstaca[],MATCH($D$2,tipoEstaca[TIPO DE ESTACA],0),MATCH("σmáx (MPa)",tipoEstaca[#Headers],0)),0.4%*PI()*ECF[[#This Row],[Ø (cm)]]^2/4,"N.S.")</f>
        <v>80.424771931898704</v>
      </c>
      <c r="AF219" s="1">
        <f>INDEX(tipoEstaca[],MATCH($D$2,tipoEstaca[TIPO DE ESTACA],0),MATCH(ECF[[#Headers],[Comprimento (m)]],tipoEstaca[#Headers],0))</f>
        <v>4</v>
      </c>
      <c r="AG219" s="5">
        <f ca="1">ECF[[#This Row],[As,mín (cm²)]]/100^2*ECF[[#This Row],[Comprimento (m)]]*7850</f>
        <v>252.53378386616191</v>
      </c>
      <c r="AH219" s="4">
        <f ca="1">ECF[[#This Row],[nE]]*ECF[[#This Row],[Prof. (m)]]*ECF[[#This Row],[Ap (m²)]]</f>
        <v>16.084954386379742</v>
      </c>
      <c r="AI219" s="1">
        <f ca="1">IF(ECF[[#This Row],[nE]]=1,0,MAX(3*ECF[[#This Row],[Ø (cm)]],60))</f>
        <v>480</v>
      </c>
      <c r="AJ219" s="1">
        <f ca="1">IF(ECF[[#This Row],[nE]]=1,ECF[[#This Row],[Ø (cm)]]+2*10,MAX(1.5*ECF[[#This Row],[Ø (cm)]],ECF[[#This Row],[Ø (cm)]]+15))</f>
        <v>240</v>
      </c>
      <c r="AK219" s="1">
        <f ca="1">alturaUtil(ECF[[#This Row],[nE]],ECF[[#This Row],[Ø (cm)]],ECF[[#This Row],[e (cm)]],ECF[[#This Row],[ap,eq (cm)]])</f>
        <v>230</v>
      </c>
      <c r="AL219" s="1">
        <f ca="1">IFERROR(ECF[[#This Row],[d (cm)]]+arredondarParaCimaMultiplo5cm(MAX(5,SQRT(PI())/2*ECF[[#This Row],[Ø (cm)]]/5)),"N.S.")</f>
        <v>260</v>
      </c>
      <c r="AM219" s="5">
        <f ca="1">alpha(ECF[[#This Row],[nE]],ECF[[#This Row],[d (cm)]],ECF[[#This Row],[e (cm)]],ECF[[#This Row],[ap,eq (cm)]])</f>
        <v>45.147396353371242</v>
      </c>
      <c r="AN219" s="35">
        <f ca="1">IFERROR(ECF[[#This Row],[Nsd (kN)]]/(ECF[[#This Row],[Ap (cm²)]]*SIN(ECF[[#This Row],[α]])^2),"N.S.")</f>
        <v>1.0364302707547399</v>
      </c>
      <c r="AO219" s="35">
        <f ca="1">IFERROR(ECF[[#This Row],[Nsd (kN)]]/(ECF[[#This Row],[nE]]*PI()*ECF[[#This Row],[Ø (cm)]]^2/4*SIN(ECF[[#This Row],[α]])^2),"N.S.")</f>
        <v>5.1547812737715096E-2</v>
      </c>
      <c r="AP219" s="4">
        <f ca="1">IFERROR(INDEX(grupoEstacas[],ECF[[#This Row],[nE]],MATCH("coef. Blévot",grupoEstacas[#Headers],0)),"N.S.")</f>
        <v>1.4</v>
      </c>
      <c r="AQ219" s="35">
        <f ca="1">IFERROR(ECF[[#This Row],[coef. Blévot]]*0.9*INDEX(tipoEstaca[],MATCH($D$2,tipoEstaca[TIPO DE ESTACA],0),MATCH("fcd (kN/cm²)",tipoEstaca[#Headers],0)),"N.S.")</f>
        <v>1.4000000000000001</v>
      </c>
      <c r="AR219" s="1" t="str">
        <f ca="1">IF(AND(ECF[[#This Row],[cd,b,pil (kN/cm²)]]&lt;=ECF[[#This Row],[cd,b,lim (kN/cm²)]],ECF[[#This Row],[cd,b,est (kN/cm²)]]&lt;=ECF[[#This Row],[cd,b,lim (kN/cm²)]]),"OK","ERRO")</f>
        <v>OK</v>
      </c>
      <c r="AS219" s="4">
        <f ca="1">As_lado(ECF[[#This Row],[nE]],ECF[[#This Row],[Nsd (kN)]],ECF[[#This Row],[d (cm)]],ECF[[#This Row],[e (cm)]],ECF[[#This Row],[ap,eq (cm)]])</f>
        <v>23.024978298820418</v>
      </c>
      <c r="AT219" s="4">
        <f ca="1">IF(ECF[[#This Row],[nE]]=1,ECF[[#This Row],[As,lado (cm²)]],IF(ECF[[#This Row],[nE]]=2,0.075*2*ECF[a (cm)],"N.A."))</f>
        <v>36</v>
      </c>
      <c r="AU219" s="4">
        <f ca="1">IFERROR(IF(ECF[[#This Row],[nE]]=1,"N.A.",0.2*ECF[[#This Row],[As,lado (cm²)]]),"N.S.")</f>
        <v>4.604995659764084</v>
      </c>
      <c r="AV219" s="4" t="str">
        <f ca="1">As_malha(ECF[[#This Row],[nE]],ECF[[#This Row],[As,lado (cm²)]],ECF[[#This Row],[Nsd (kN)]])</f>
        <v>N.A.</v>
      </c>
      <c r="AW219" s="4" t="str">
        <f ca="1">As_susp_tot(ECF[[#This Row],[nE]],ECF[[#This Row],[Nsd (kN)]])</f>
        <v>N.A.</v>
      </c>
      <c r="AX219" s="4" t="str">
        <f ca="1">Asp_face(ECF[[#This Row],[nE]],ECF[[#This Row],[As,lado (cm²)]])</f>
        <v>N.A.</v>
      </c>
      <c r="AY219" s="5">
        <f ca="1">acoBloco(ECF[[#This Row],[nE]],ECF[[#This Row],[e (cm)]],ECF[[#This Row],[a (cm)]],ECF[[#This Row],[h (cm)]],ECF[[#This Row],[As,lado (cm²)]],ECF[[#This Row],[Asp e Asw (cm²/m)]],ECF[[#This Row],[As,sup (cm²)]],ECF[[#This Row],[As,malha (cm²)]],ECF[[#This Row],[As,susp,tot (cm²)]],ECF[[#This Row],[Asp,face (cm²)]])</f>
        <v>6339.5090837518928</v>
      </c>
      <c r="AZ219" s="4">
        <f ca="1">concretoBloco(ECF[[#This Row],[nE]],ECF[[#This Row],[e (cm)]],ECF[[#This Row],[a (cm)]],ECF[[#This Row],[h (cm)]])</f>
        <v>119.80800000000001</v>
      </c>
      <c r="BA219" s="5">
        <f ca="1">SUM(ECF[[#This Row],[Aço Est (kg)]],ECF[[#This Row],[Aço Bloco (kg)]])</f>
        <v>6592.0428676180545</v>
      </c>
      <c r="BB219" s="4">
        <f>INDEX(composicoes[],MATCH(95580,composicoes[CÓDIGO],0),MATCH("CUSTO TOTAL",composicoes[#Headers],0))</f>
        <v>10.46</v>
      </c>
      <c r="BC219" s="4">
        <f ca="1">SUM(ECF[[#This Row],[Conc Est (m³)]],ECF[[#This Row],[Conc Bloco (m³)]])</f>
        <v>135.89295438637976</v>
      </c>
      <c r="BD219" s="4">
        <f>INDEX(composicoes[],MATCH(94966,composicoes[CÓDIGO],0),MATCH("CUSTO TOTAL",composicoes[#Headers],0))</f>
        <v>439.52</v>
      </c>
      <c r="BE219" s="38">
        <f ca="1">ECF[[#This Row],[Aço (kg)]]*ECF[[#This Row],[Aço (R$/kg)]]+ECF[[#This Row],[Conc (m³)]]*ECF[[#This Row],[Conc (R$/m³)]]</f>
        <v>128680.43970718648</v>
      </c>
      <c r="BF219" s="4" t="str">
        <f ca="1">IF(COUNTIF(ECF[#This Row],"N.S.")&gt;0,"lim.","OK")</f>
        <v>OK</v>
      </c>
      <c r="BG219" s="4" t="str">
        <f>IF(ECF[[#This Row],[Prof. (m)]]&lt;4,"lim.","OK")</f>
        <v>OK</v>
      </c>
      <c r="BH219" s="4" t="str">
        <f>IF(ECF[[#This Row],[Prof. (m)]]&gt;=8*ECF[[#This Row],[Ø (cm)]]/100,"OK","lim.")</f>
        <v>lim.</v>
      </c>
      <c r="BI219" s="4" t="str">
        <f>IF(AND(SPT!$F$3&lt;&gt;"",ECF[[#This Row],[Prof. (m)]]&gt;=SPT!$F$3-2),"lim.","OK")</f>
        <v>OK</v>
      </c>
      <c r="BJ219" s="4" t="str">
        <f ca="1">IF(ECF[[#This Row],[Verif. Biela]]="OK","OK","lim.")</f>
        <v>OK</v>
      </c>
      <c r="BK219" s="4" t="str">
        <f ca="1">IF(COUNTA(ECF[[#This Row],[Nº Est.]:[Biela comp.]])=COUNTIF(ECF[[#This Row],[Nº Est.]:[Biela comp.]],"OK"),"OK","lim.")</f>
        <v>lim.</v>
      </c>
      <c r="BL219" s="4" t="str">
        <f ca="1">IF(ECF[[#This Row],[Controle]]="OK",ECF[[#This Row],[nE]]&amp;" Ø"&amp;ECF[[#This Row],[Ø (cm)]]&amp;"cm Prof. "&amp;ECF[[#This Row],[Prof. (m)]]&amp;" m","")</f>
        <v/>
      </c>
      <c r="BM219" s="4" t="str">
        <f ca="1">IF(ECF[[#This Row],[idDimensionamento]]="","",ECF[[#This Row],[idPilar]]&amp;ECF[[#This Row],[idDimensionamento]])</f>
        <v/>
      </c>
    </row>
    <row r="220" spans="2:65" x14ac:dyDescent="0.25">
      <c r="B220" s="12">
        <f>ROUNDUP((ROW(ECF[[#This Row],[idDiâmetro]])-ROW(ECF[[#Headers],[idDiâmetro]]))/(COUNT(SPT[Prof. (m)])*COUNT(PILARES[Pilar])),0)</f>
        <v>8</v>
      </c>
      <c r="C220" s="12">
        <f>IF(ECF[[#This Row],[idDiâmetro]]&lt;&gt;B219,1,IF(ECF[[#This Row],[Prof. (m)]]=0,C219+1,C219))</f>
        <v>2</v>
      </c>
      <c r="D220" s="1">
        <f>IFERROR(IF(D219=MAX(SPT[Prof. (m)]),0,D219+1),0)</f>
        <v>5</v>
      </c>
      <c r="E220" s="1">
        <f>INDEX(SPT[],MATCH(ECF[[#This Row],[Prof. (m)]],SPT[Prof. (m)],0),2)</f>
        <v>17</v>
      </c>
      <c r="F220" s="1" t="str">
        <f>INDEX(SPT[],MATCH(ECF[[#This Row],[Prof. (m)]],SPT[Prof. (m)],0),3)</f>
        <v>Areia siltosa</v>
      </c>
      <c r="G220" s="1">
        <f>INDEX(estacas[],ECF[[#This Row],[idDiâmetro]],MATCH($B$2,estacas[#Headers],0))</f>
        <v>160</v>
      </c>
      <c r="H220" s="1">
        <f>INDEX(estacas[],MATCH(ECF[[#This Row],[Ø (cm)]],estacas[Ø ECF (cm)],0),MATCH(ECF[[#Headers],[Pe ECF (kN)]],estacas[#Headers],0))</f>
        <v>8200</v>
      </c>
      <c r="I220" s="4">
        <f>INDEX(K_alpha_C[],MATCH(ECF[[#This Row],[Solo]],K_alpha_C[Solo],0),2)</f>
        <v>0.8</v>
      </c>
      <c r="J220" s="5">
        <f>INDEX(K_alpha_C[],MATCH(ECF[[#This Row],[Solo]],K_alpha_C[Solo],0),3)</f>
        <v>2</v>
      </c>
      <c r="K220" s="4">
        <f>INDEX(F1_F2[],MATCH($D$2,F1_F2[Tipo de estaca],0),2)</f>
        <v>3</v>
      </c>
      <c r="L220" s="4">
        <f>INDEX(F1_F2[],MATCH($D$2,F1_F2[Tipo de estaca],0),3)</f>
        <v>6</v>
      </c>
      <c r="M220" s="4">
        <f>PI()*(ECF[[#This Row],[Ø (cm)]]/100)^2/4</f>
        <v>2.0106192982974678</v>
      </c>
      <c r="N220" s="4">
        <f>PI()*ECF[[#This Row],[Ø (cm)]]/100</f>
        <v>5.026548245743669</v>
      </c>
      <c r="O220" s="4">
        <f>IF(ECF[[#This Row],[Prof. (m)]]=0,0,ECF[[#This Row],[α (%)]]/100*ECF[[#This Row],[K (MPa)]]*1000*ECF[[#This Row],[NSPT]])</f>
        <v>272</v>
      </c>
      <c r="P220" s="4">
        <f>IF(ECF[[#This Row],[Prof. (m)]]=0,0,(ECF[[#This Row],[K (MPa)]]*1000*ECF[[#This Row],[NSPT]]/ECF[[#This Row],[F1]]*ECF[[#This Row],[Ap (m²)]]+ECF[[#This Row],[U (m)]]/ECF[[#This Row],[F2]]*SUMIFS(ECF[(α∙K∙NL∙ΔL)],ECF[Prof. (m)],"&lt;="&amp;ECF[[#This Row],[Prof. (m)]],ECF[idDiâmetro],ECF[[#This Row],[idDiâmetro]],ECF[idPilar],ECF[[#This Row],[idPilar]]))/'DADOS CAP. CARGA'!$D$2)</f>
        <v>4778.5718656203153</v>
      </c>
      <c r="Q220" s="12">
        <f>INDEX(C_alpha_beta[],MATCH(ECF[[#This Row],[Solo]],C_alpha_beta[Solo],0),MATCH(ECF[[#Headers],[C (kPa)]],C_alpha_beta[#Headers],0))</f>
        <v>400</v>
      </c>
      <c r="R220" s="4">
        <f>INDEX(C_alpha_beta[],MATCH(ECF[[#This Row],[Solo]],C_alpha_beta[Solo],0),MATCH(ECF[[#Headers],[α ESF]],C_alpha_beta[#Headers],0))</f>
        <v>0.5</v>
      </c>
      <c r="S220" s="4">
        <f>INDEX(C_alpha_beta[],MATCH(ECF[[#This Row],[Solo]],C_alpha_beta[Solo],0),MATCH(ECF[[#Headers],[β ESF]],C_alpha_beta[#Headers],0))</f>
        <v>0.5</v>
      </c>
      <c r="T220" s="4">
        <f>IF(ECF[[#This Row],[Prof. (m)]]=0,0,10*(ECF[[#This Row],[NSPT]]/3+1))</f>
        <v>66.666666666666671</v>
      </c>
      <c r="U220" s="4">
        <f>(ECF[[#This Row],[α ESF]]*ECF[[#This Row],[C (kPa)]]*ECF[[#This Row],[NSPT]]*ECF[[#This Row],[Ap (m²)]])/'DADOS CAP. CARGA'!$Q$2+(ECF[[#This Row],[β ESF]]*SUMIFS(ECF[10∙(NL/3+1)],ECF[Prof. (m)],"&lt;="&amp;ECF[[#This Row],[Prof. (m)]],ECF[idDiâmetro],ECF[[#This Row],[idDiâmetro]],ECF[idPilar],ECF[[#This Row],[idPilar]])*ECF[[#This Row],[U (m)]])/'DADOS CAP. CARGA'!$S$2</f>
        <v>1910.0883333825943</v>
      </c>
      <c r="V220" s="4">
        <f>IF(SPT!$M$5=1,MIN(ECF[[#This Row],[Pe ECF (kN)]],ECF[[#This Row],[R_AV (kN)]]),IF(SPT!$M$5=2,MIN(ECF[[#This Row],[Pe ECF (kN)]],ECF[[#This Row],[R_DC (kN)]]),MIN(ECF[[#This Row],[Pe ECF (kN)]],ECF[[#This Row],[R_AV (kN)]],ECF[[#This Row],[R_DC (kN)]])))</f>
        <v>1910.0883333825943</v>
      </c>
      <c r="W220" s="4">
        <f>INDEX(PILARES[],ECF[[#This Row],[idPilar]],MATCH("Carga (kN)",PILARES[#Headers],0))*1.4</f>
        <v>1750</v>
      </c>
      <c r="X220" s="12">
        <f>INDEX(PILARES[],ECF[[#This Row],[idPilar]],MATCH(ECF[[#Headers],[ap (cm)]],PILARES[#Headers],0))</f>
        <v>50</v>
      </c>
      <c r="Y220" s="12">
        <f>INDEX(PILARES[],ECF[[#This Row],[idPilar]],MATCH(ECF[[#Headers],[bp (cm)]],PILARES[#Headers],0))</f>
        <v>40</v>
      </c>
      <c r="Z220" s="4">
        <f>SQRT(ECF[[#This Row],[ap (cm)]]*ECF[[#This Row],[bp (cm)]])</f>
        <v>44.721359549995796</v>
      </c>
      <c r="AA220" s="12">
        <f>ECF[[#This Row],[ap (cm)]]*ECF[[#This Row],[bp (cm)]]</f>
        <v>2000</v>
      </c>
      <c r="AB220" s="12">
        <f ca="1">IF(ECF[[#This Row],[Padm∙ε (kN)]]&gt;=ECF[[#This Row],[Padm (kN)]],ROUNDUP(1.05*ECF[[#This Row],[Nsd (kN)]]/ECF[[#This Row],[Padm (kN)]],0),ROUNDUP(1.05*ECF[[#This Row],[Nsd (kN)]]/ECF[[#This Row],[Padm (kN)]],0)+1)</f>
        <v>1</v>
      </c>
      <c r="AC220" s="4">
        <f ca="1">IFERROR(IF(ECF[[#This Row],[nE]]=1,ECF[[#This Row],[Padm (kN)]],ECF[[#This Row],[Padm (kN)]]*ECF[[#This Row],[nE]]*INDEX(grupoEstacas[],ECF[[#This Row],[nE]],MATCH("ε",grupoEstacas[#Headers],0))),"N.S.")</f>
        <v>1910.0883333825943</v>
      </c>
      <c r="AD220" s="4">
        <f ca="1">1.05*ECF[[#This Row],[Nsd (kN)]]/(ECF[[#This Row],[nE]]*PI()*ECF[[#This Row],[Ø (cm)]]^2/4)*10</f>
        <v>0.9138975247854928</v>
      </c>
      <c r="AE220" s="4">
        <f ca="1">IF(ECF[[#This Row],[σ (MPa)]]&lt;INDEX(tipoEstaca[],MATCH($D$2,tipoEstaca[TIPO DE ESTACA],0),MATCH("σmáx (MPa)",tipoEstaca[#Headers],0)),0.4%*PI()*ECF[[#This Row],[Ø (cm)]]^2/4,"N.S.")</f>
        <v>80.424771931898704</v>
      </c>
      <c r="AF220" s="1">
        <f>INDEX(tipoEstaca[],MATCH($D$2,tipoEstaca[TIPO DE ESTACA],0),MATCH(ECF[[#Headers],[Comprimento (m)]],tipoEstaca[#Headers],0))</f>
        <v>4</v>
      </c>
      <c r="AG220" s="5">
        <f ca="1">ECF[[#This Row],[As,mín (cm²)]]/100^2*ECF[[#This Row],[Comprimento (m)]]*7850</f>
        <v>252.53378386616191</v>
      </c>
      <c r="AH220" s="4">
        <f ca="1">ECF[[#This Row],[nE]]*ECF[[#This Row],[Prof. (m)]]*ECF[[#This Row],[Ap (m²)]]</f>
        <v>10.053096491487338</v>
      </c>
      <c r="AI220" s="1">
        <f ca="1">IF(ECF[[#This Row],[nE]]=1,0,MAX(3*ECF[[#This Row],[Ø (cm)]],60))</f>
        <v>0</v>
      </c>
      <c r="AJ220" s="1">
        <f ca="1">IF(ECF[[#This Row],[nE]]=1,ECF[[#This Row],[Ø (cm)]]+2*10,MAX(1.5*ECF[[#This Row],[Ø (cm)]],ECF[[#This Row],[Ø (cm)]]+15))</f>
        <v>180</v>
      </c>
      <c r="AK220" s="1">
        <f ca="1">alturaUtil(ECF[[#This Row],[nE]],ECF[[#This Row],[Ø (cm)]],ECF[[#This Row],[e (cm)]],ECF[[#This Row],[ap,eq (cm)]])</f>
        <v>195</v>
      </c>
      <c r="AL220" s="1">
        <f ca="1">IFERROR(ECF[[#This Row],[d (cm)]]+arredondarParaCimaMultiplo5cm(MAX(5,SQRT(PI())/2*ECF[[#This Row],[Ø (cm)]]/5)),"N.S.")</f>
        <v>225</v>
      </c>
      <c r="AM220" s="5">
        <f ca="1">alpha(ECF[[#This Row],[nE]],ECF[[#This Row],[d (cm)]],ECF[[#This Row],[e (cm)]],ECF[[#This Row],[ap,eq (cm)]])</f>
        <v>90</v>
      </c>
      <c r="AN220" s="35">
        <f ca="1">IFERROR(ECF[[#This Row],[Nsd (kN)]]/(ECF[[#This Row],[Ap (cm²)]]*SIN(ECF[[#This Row],[α]])^2),"N.S.")</f>
        <v>1.0948037013095111</v>
      </c>
      <c r="AO220" s="35">
        <f ca="1">IFERROR(ECF[[#This Row],[Nsd (kN)]]/(ECF[[#This Row],[nE]]*PI()*ECF[[#This Row],[Ø (cm)]]^2/4*SIN(ECF[[#This Row],[α]])^2),"N.S.")</f>
        <v>0.10890213798669478</v>
      </c>
      <c r="AP220" s="4">
        <f ca="1">IFERROR(INDEX(grupoEstacas[],ECF[[#This Row],[nE]],MATCH("coef. Blévot",grupoEstacas[#Headers],0)),"N.S.")</f>
        <v>1</v>
      </c>
      <c r="AQ220" s="35">
        <f ca="1">IFERROR(ECF[[#This Row],[coef. Blévot]]*0.9*INDEX(tipoEstaca[],MATCH($D$2,tipoEstaca[TIPO DE ESTACA],0),MATCH("fcd (kN/cm²)",tipoEstaca[#Headers],0)),"N.S.")</f>
        <v>1</v>
      </c>
      <c r="AR220" s="1" t="str">
        <f ca="1">IF(AND(ECF[[#This Row],[cd,b,pil (kN/cm²)]]&lt;=ECF[[#This Row],[cd,b,lim (kN/cm²)]],ECF[[#This Row],[cd,b,est (kN/cm²)]]&lt;=ECF[[#This Row],[cd,b,lim (kN/cm²)]]),"OK","ERRO")</f>
        <v>ERRO</v>
      </c>
      <c r="AS220" s="4">
        <f ca="1">As_lado(ECF[[#This Row],[nE]],ECF[[#This Row],[Nsd (kN)]],ECF[[#This Row],[d (cm)]],ECF[[#This Row],[e (cm)]],ECF[[#This Row],[ap,eq (cm)]])</f>
        <v>10.0625</v>
      </c>
      <c r="AT220" s="4">
        <f ca="1">IF(ECF[[#This Row],[nE]]=1,ECF[[#This Row],[As,lado (cm²)]],IF(ECF[[#This Row],[nE]]=2,0.075*2*ECF[a (cm)],"N.A."))</f>
        <v>10.0625</v>
      </c>
      <c r="AU220" s="4" t="str">
        <f ca="1">IFERROR(IF(ECF[[#This Row],[nE]]=1,"N.A.",0.2*ECF[[#This Row],[As,lado (cm²)]]),"N.S.")</f>
        <v>N.A.</v>
      </c>
      <c r="AV220" s="4" t="str">
        <f ca="1">As_malha(ECF[[#This Row],[nE]],ECF[[#This Row],[As,lado (cm²)]],ECF[[#This Row],[Nsd (kN)]])</f>
        <v>N.A.</v>
      </c>
      <c r="AW220" s="4" t="str">
        <f ca="1">As_susp_tot(ECF[[#This Row],[nE]],ECF[[#This Row],[Nsd (kN)]])</f>
        <v>N.A.</v>
      </c>
      <c r="AX220" s="4" t="str">
        <f ca="1">Asp_face(ECF[[#This Row],[nE]],ECF[[#This Row],[As,lado (cm²)]])</f>
        <v>N.A.</v>
      </c>
      <c r="AY220" s="5">
        <f ca="1">acoBloco(ECF[[#This Row],[nE]],ECF[[#This Row],[e (cm)]],ECF[[#This Row],[a (cm)]],ECF[[#This Row],[h (cm)]],ECF[[#This Row],[As,lado (cm²)]],ECF[[#This Row],[Asp e Asw (cm²/m)]],ECF[[#This Row],[As,sup (cm²)]],ECF[[#This Row],[As,malha (cm²)]],ECF[[#This Row],[As,susp,tot (cm²)]],ECF[[#This Row],[Asp,face (cm²)]])</f>
        <v>184.83806250000001</v>
      </c>
      <c r="AZ220" s="4">
        <f ca="1">concretoBloco(ECF[[#This Row],[nE]],ECF[[#This Row],[e (cm)]],ECF[[#This Row],[a (cm)]],ECF[[#This Row],[h (cm)]])</f>
        <v>7.29</v>
      </c>
      <c r="BA220" s="5">
        <f ca="1">SUM(ECF[[#This Row],[Aço Est (kg)]],ECF[[#This Row],[Aço Bloco (kg)]])</f>
        <v>437.37184636616189</v>
      </c>
      <c r="BB220" s="4">
        <f>INDEX(composicoes[],MATCH(95580,composicoes[CÓDIGO],0),MATCH("CUSTO TOTAL",composicoes[#Headers],0))</f>
        <v>10.46</v>
      </c>
      <c r="BC220" s="4">
        <f ca="1">SUM(ECF[[#This Row],[Conc Est (m³)]],ECF[[#This Row],[Conc Bloco (m³)]])</f>
        <v>17.343096491487337</v>
      </c>
      <c r="BD220" s="4">
        <f>INDEX(composicoes[],MATCH(94966,composicoes[CÓDIGO],0),MATCH("CUSTO TOTAL",composicoes[#Headers],0))</f>
        <v>439.52</v>
      </c>
      <c r="BE220" s="38">
        <f ca="1">ECF[[#This Row],[Aço (kg)]]*ECF[[#This Row],[Aço (R$/kg)]]+ECF[[#This Row],[Conc (m³)]]*ECF[[#This Row],[Conc (R$/m³)]]</f>
        <v>12197.547282928568</v>
      </c>
      <c r="BF220" s="4" t="str">
        <f ca="1">IF(COUNTIF(ECF[#This Row],"N.S.")&gt;0,"lim.","OK")</f>
        <v>OK</v>
      </c>
      <c r="BG220" s="4" t="str">
        <f>IF(ECF[[#This Row],[Prof. (m)]]&lt;4,"lim.","OK")</f>
        <v>OK</v>
      </c>
      <c r="BH220" s="4" t="str">
        <f>IF(ECF[[#This Row],[Prof. (m)]]&gt;=8*ECF[[#This Row],[Ø (cm)]]/100,"OK","lim.")</f>
        <v>lim.</v>
      </c>
      <c r="BI220" s="4" t="str">
        <f>IF(AND(SPT!$F$3&lt;&gt;"",ECF[[#This Row],[Prof. (m)]]&gt;=SPT!$F$3-2),"lim.","OK")</f>
        <v>OK</v>
      </c>
      <c r="BJ220" s="4" t="str">
        <f ca="1">IF(ECF[[#This Row],[Verif. Biela]]="OK","OK","lim.")</f>
        <v>lim.</v>
      </c>
      <c r="BK220" s="4" t="str">
        <f ca="1">IF(COUNTA(ECF[[#This Row],[Nº Est.]:[Biela comp.]])=COUNTIF(ECF[[#This Row],[Nº Est.]:[Biela comp.]],"OK"),"OK","lim.")</f>
        <v>lim.</v>
      </c>
      <c r="BL220" s="4" t="str">
        <f ca="1">IF(ECF[[#This Row],[Controle]]="OK",ECF[[#This Row],[nE]]&amp;" Ø"&amp;ECF[[#This Row],[Ø (cm)]]&amp;"cm Prof. "&amp;ECF[[#This Row],[Prof. (m)]]&amp;" m","")</f>
        <v/>
      </c>
      <c r="BM220" s="4" t="str">
        <f ca="1">IF(ECF[[#This Row],[idDimensionamento]]="","",ECF[[#This Row],[idPilar]]&amp;ECF[[#This Row],[idDimensionamento]])</f>
        <v/>
      </c>
    </row>
    <row r="221" spans="2:65" x14ac:dyDescent="0.25">
      <c r="B221" s="12">
        <f>ROUNDUP((ROW(ECF[[#This Row],[idDiâmetro]])-ROW(ECF[[#Headers],[idDiâmetro]]))/(COUNT(SPT[Prof. (m)])*COUNT(PILARES[Pilar])),0)</f>
        <v>8</v>
      </c>
      <c r="C221" s="12">
        <f>IF(ECF[[#This Row],[idDiâmetro]]&lt;&gt;B220,1,IF(ECF[[#This Row],[Prof. (m)]]=0,C220+1,C220))</f>
        <v>2</v>
      </c>
      <c r="D221" s="1">
        <f>IFERROR(IF(D220=MAX(SPT[Prof. (m)]),0,D220+1),0)</f>
        <v>6</v>
      </c>
      <c r="E221" s="1">
        <f>INDEX(SPT[],MATCH(ECF[[#This Row],[Prof. (m)]],SPT[Prof. (m)],0),2)</f>
        <v>21</v>
      </c>
      <c r="F221" s="1" t="str">
        <f>INDEX(SPT[],MATCH(ECF[[#This Row],[Prof. (m)]],SPT[Prof. (m)],0),3)</f>
        <v>Silte arenoso</v>
      </c>
      <c r="G221" s="1">
        <f>INDEX(estacas[],ECF[[#This Row],[idDiâmetro]],MATCH($B$2,estacas[#Headers],0))</f>
        <v>160</v>
      </c>
      <c r="H221" s="1">
        <f>INDEX(estacas[],MATCH(ECF[[#This Row],[Ø (cm)]],estacas[Ø ECF (cm)],0),MATCH(ECF[[#Headers],[Pe ECF (kN)]],estacas[#Headers],0))</f>
        <v>8200</v>
      </c>
      <c r="I221" s="4">
        <f>INDEX(K_alpha_C[],MATCH(ECF[[#This Row],[Solo]],K_alpha_C[Solo],0),2)</f>
        <v>0.55000000000000004</v>
      </c>
      <c r="J221" s="5">
        <f>INDEX(K_alpha_C[],MATCH(ECF[[#This Row],[Solo]],K_alpha_C[Solo],0),3)</f>
        <v>2.2000000000000002</v>
      </c>
      <c r="K221" s="4">
        <f>INDEX(F1_F2[],MATCH($D$2,F1_F2[Tipo de estaca],0),2)</f>
        <v>3</v>
      </c>
      <c r="L221" s="4">
        <f>INDEX(F1_F2[],MATCH($D$2,F1_F2[Tipo de estaca],0),3)</f>
        <v>6</v>
      </c>
      <c r="M221" s="4">
        <f>PI()*(ECF[[#This Row],[Ø (cm)]]/100)^2/4</f>
        <v>2.0106192982974678</v>
      </c>
      <c r="N221" s="4">
        <f>PI()*ECF[[#This Row],[Ø (cm)]]/100</f>
        <v>5.026548245743669</v>
      </c>
      <c r="O221" s="4">
        <f>IF(ECF[[#This Row],[Prof. (m)]]=0,0,ECF[[#This Row],[α (%)]]/100*ECF[[#This Row],[K (MPa)]]*1000*ECF[[#This Row],[NSPT]])</f>
        <v>254.10000000000002</v>
      </c>
      <c r="P221" s="4">
        <f>IF(ECF[[#This Row],[Prof. (m)]]=0,0,(ECF[[#This Row],[K (MPa)]]*1000*ECF[[#This Row],[NSPT]]/ECF[[#This Row],[F1]]*ECF[[#This Row],[Ap (m²)]]+ECF[[#This Row],[U (m)]]/ECF[[#This Row],[F2]]*SUMIFS(ECF[(α∙K∙NL∙ΔL)],ECF[Prof. (m)],"&lt;="&amp;ECF[[#This Row],[Prof. (m)]],ECF[idDiâmetro],ECF[[#This Row],[idDiâmetro]],ECF[idPilar],ECF[[#This Row],[idPilar]]))/'DADOS CAP. CARGA'!$D$2)</f>
        <v>4198.0474311389689</v>
      </c>
      <c r="Q221" s="12">
        <f>INDEX(C_alpha_beta[],MATCH(ECF[[#This Row],[Solo]],C_alpha_beta[Solo],0),MATCH(ECF[[#Headers],[C (kPa)]],C_alpha_beta[#Headers],0))</f>
        <v>250</v>
      </c>
      <c r="R221" s="4">
        <f>INDEX(C_alpha_beta[],MATCH(ECF[[#This Row],[Solo]],C_alpha_beta[Solo],0),MATCH(ECF[[#Headers],[α ESF]],C_alpha_beta[#Headers],0))</f>
        <v>0.6</v>
      </c>
      <c r="S221" s="4">
        <f>INDEX(C_alpha_beta[],MATCH(ECF[[#This Row],[Solo]],C_alpha_beta[Solo],0),MATCH(ECF[[#Headers],[β ESF]],C_alpha_beta[#Headers],0))</f>
        <v>0.65</v>
      </c>
      <c r="T221" s="4">
        <f>IF(ECF[[#This Row],[Prof. (m)]]=0,0,10*(ECF[[#This Row],[NSPT]]/3+1))</f>
        <v>80</v>
      </c>
      <c r="U221" s="4">
        <f>(ECF[[#This Row],[α ESF]]*ECF[[#This Row],[C (kPa)]]*ECF[[#This Row],[NSPT]]*ECF[[#This Row],[Ap (m²)]])/'DADOS CAP. CARGA'!$Q$2+(ECF[[#This Row],[β ESF]]*SUMIFS(ECF[10∙(NL/3+1)],ECF[Prof. (m)],"&lt;="&amp;ECF[[#This Row],[Prof. (m)]],ECF[idDiâmetro],ECF[[#This Row],[idDiâmetro]],ECF[idPilar],ECF[[#This Row],[idPilar]])*ECF[[#This Row],[U (m)]])/'DADOS CAP. CARGA'!$S$2</f>
        <v>1975.4334605772619</v>
      </c>
      <c r="V221" s="4">
        <f>IF(SPT!$M$5=1,MIN(ECF[[#This Row],[Pe ECF (kN)]],ECF[[#This Row],[R_AV (kN)]]),IF(SPT!$M$5=2,MIN(ECF[[#This Row],[Pe ECF (kN)]],ECF[[#This Row],[R_DC (kN)]]),MIN(ECF[[#This Row],[Pe ECF (kN)]],ECF[[#This Row],[R_AV (kN)]],ECF[[#This Row],[R_DC (kN)]])))</f>
        <v>1975.4334605772619</v>
      </c>
      <c r="W221" s="4">
        <f>INDEX(PILARES[],ECF[[#This Row],[idPilar]],MATCH("Carga (kN)",PILARES[#Headers],0))*1.4</f>
        <v>1750</v>
      </c>
      <c r="X221" s="12">
        <f>INDEX(PILARES[],ECF[[#This Row],[idPilar]],MATCH(ECF[[#Headers],[ap (cm)]],PILARES[#Headers],0))</f>
        <v>50</v>
      </c>
      <c r="Y221" s="12">
        <f>INDEX(PILARES[],ECF[[#This Row],[idPilar]],MATCH(ECF[[#Headers],[bp (cm)]],PILARES[#Headers],0))</f>
        <v>40</v>
      </c>
      <c r="Z221" s="4">
        <f>SQRT(ECF[[#This Row],[ap (cm)]]*ECF[[#This Row],[bp (cm)]])</f>
        <v>44.721359549995796</v>
      </c>
      <c r="AA221" s="12">
        <f>ECF[[#This Row],[ap (cm)]]*ECF[[#This Row],[bp (cm)]]</f>
        <v>2000</v>
      </c>
      <c r="AB221" s="12">
        <f ca="1">IF(ECF[[#This Row],[Padm∙ε (kN)]]&gt;=ECF[[#This Row],[Padm (kN)]],ROUNDUP(1.05*ECF[[#This Row],[Nsd (kN)]]/ECF[[#This Row],[Padm (kN)]],0),ROUNDUP(1.05*ECF[[#This Row],[Nsd (kN)]]/ECF[[#This Row],[Padm (kN)]],0)+1)</f>
        <v>1</v>
      </c>
      <c r="AC221" s="4">
        <f ca="1">IFERROR(IF(ECF[[#This Row],[nE]]=1,ECF[[#This Row],[Padm (kN)]],ECF[[#This Row],[Padm (kN)]]*ECF[[#This Row],[nE]]*INDEX(grupoEstacas[],ECF[[#This Row],[nE]],MATCH("ε",grupoEstacas[#Headers],0))),"N.S.")</f>
        <v>1975.4334605772619</v>
      </c>
      <c r="AD221" s="4">
        <f ca="1">1.05*ECF[[#This Row],[Nsd (kN)]]/(ECF[[#This Row],[nE]]*PI()*ECF[[#This Row],[Ø (cm)]]^2/4)*10</f>
        <v>0.9138975247854928</v>
      </c>
      <c r="AE221" s="4">
        <f ca="1">IF(ECF[[#This Row],[σ (MPa)]]&lt;INDEX(tipoEstaca[],MATCH($D$2,tipoEstaca[TIPO DE ESTACA],0),MATCH("σmáx (MPa)",tipoEstaca[#Headers],0)),0.4%*PI()*ECF[[#This Row],[Ø (cm)]]^2/4,"N.S.")</f>
        <v>80.424771931898704</v>
      </c>
      <c r="AF221" s="1">
        <f>INDEX(tipoEstaca[],MATCH($D$2,tipoEstaca[TIPO DE ESTACA],0),MATCH(ECF[[#Headers],[Comprimento (m)]],tipoEstaca[#Headers],0))</f>
        <v>4</v>
      </c>
      <c r="AG221" s="5">
        <f ca="1">ECF[[#This Row],[As,mín (cm²)]]/100^2*ECF[[#This Row],[Comprimento (m)]]*7850</f>
        <v>252.53378386616191</v>
      </c>
      <c r="AH221" s="4">
        <f ca="1">ECF[[#This Row],[nE]]*ECF[[#This Row],[Prof. (m)]]*ECF[[#This Row],[Ap (m²)]]</f>
        <v>12.063715789784807</v>
      </c>
      <c r="AI221" s="1">
        <f ca="1">IF(ECF[[#This Row],[nE]]=1,0,MAX(3*ECF[[#This Row],[Ø (cm)]],60))</f>
        <v>0</v>
      </c>
      <c r="AJ221" s="1">
        <f ca="1">IF(ECF[[#This Row],[nE]]=1,ECF[[#This Row],[Ø (cm)]]+2*10,MAX(1.5*ECF[[#This Row],[Ø (cm)]],ECF[[#This Row],[Ø (cm)]]+15))</f>
        <v>180</v>
      </c>
      <c r="AK221" s="1">
        <f ca="1">alturaUtil(ECF[[#This Row],[nE]],ECF[[#This Row],[Ø (cm)]],ECF[[#This Row],[e (cm)]],ECF[[#This Row],[ap,eq (cm)]])</f>
        <v>195</v>
      </c>
      <c r="AL221" s="1">
        <f ca="1">IFERROR(ECF[[#This Row],[d (cm)]]+arredondarParaCimaMultiplo5cm(MAX(5,SQRT(PI())/2*ECF[[#This Row],[Ø (cm)]]/5)),"N.S.")</f>
        <v>225</v>
      </c>
      <c r="AM221" s="5">
        <f ca="1">alpha(ECF[[#This Row],[nE]],ECF[[#This Row],[d (cm)]],ECF[[#This Row],[e (cm)]],ECF[[#This Row],[ap,eq (cm)]])</f>
        <v>90</v>
      </c>
      <c r="AN221" s="35">
        <f ca="1">IFERROR(ECF[[#This Row],[Nsd (kN)]]/(ECF[[#This Row],[Ap (cm²)]]*SIN(ECF[[#This Row],[α]])^2),"N.S.")</f>
        <v>1.0948037013095111</v>
      </c>
      <c r="AO221" s="35">
        <f ca="1">IFERROR(ECF[[#This Row],[Nsd (kN)]]/(ECF[[#This Row],[nE]]*PI()*ECF[[#This Row],[Ø (cm)]]^2/4*SIN(ECF[[#This Row],[α]])^2),"N.S.")</f>
        <v>0.10890213798669478</v>
      </c>
      <c r="AP221" s="4">
        <f ca="1">IFERROR(INDEX(grupoEstacas[],ECF[[#This Row],[nE]],MATCH("coef. Blévot",grupoEstacas[#Headers],0)),"N.S.")</f>
        <v>1</v>
      </c>
      <c r="AQ221" s="35">
        <f ca="1">IFERROR(ECF[[#This Row],[coef. Blévot]]*0.9*INDEX(tipoEstaca[],MATCH($D$2,tipoEstaca[TIPO DE ESTACA],0),MATCH("fcd (kN/cm²)",tipoEstaca[#Headers],0)),"N.S.")</f>
        <v>1</v>
      </c>
      <c r="AR221" s="1" t="str">
        <f ca="1">IF(AND(ECF[[#This Row],[cd,b,pil (kN/cm²)]]&lt;=ECF[[#This Row],[cd,b,lim (kN/cm²)]],ECF[[#This Row],[cd,b,est (kN/cm²)]]&lt;=ECF[[#This Row],[cd,b,lim (kN/cm²)]]),"OK","ERRO")</f>
        <v>ERRO</v>
      </c>
      <c r="AS221" s="4">
        <f ca="1">As_lado(ECF[[#This Row],[nE]],ECF[[#This Row],[Nsd (kN)]],ECF[[#This Row],[d (cm)]],ECF[[#This Row],[e (cm)]],ECF[[#This Row],[ap,eq (cm)]])</f>
        <v>10.0625</v>
      </c>
      <c r="AT221" s="4">
        <f ca="1">IF(ECF[[#This Row],[nE]]=1,ECF[[#This Row],[As,lado (cm²)]],IF(ECF[[#This Row],[nE]]=2,0.075*2*ECF[a (cm)],"N.A."))</f>
        <v>10.0625</v>
      </c>
      <c r="AU221" s="4" t="str">
        <f ca="1">IFERROR(IF(ECF[[#This Row],[nE]]=1,"N.A.",0.2*ECF[[#This Row],[As,lado (cm²)]]),"N.S.")</f>
        <v>N.A.</v>
      </c>
      <c r="AV221" s="4" t="str">
        <f ca="1">As_malha(ECF[[#This Row],[nE]],ECF[[#This Row],[As,lado (cm²)]],ECF[[#This Row],[Nsd (kN)]])</f>
        <v>N.A.</v>
      </c>
      <c r="AW221" s="4" t="str">
        <f ca="1">As_susp_tot(ECF[[#This Row],[nE]],ECF[[#This Row],[Nsd (kN)]])</f>
        <v>N.A.</v>
      </c>
      <c r="AX221" s="4" t="str">
        <f ca="1">Asp_face(ECF[[#This Row],[nE]],ECF[[#This Row],[As,lado (cm²)]])</f>
        <v>N.A.</v>
      </c>
      <c r="AY221" s="5">
        <f ca="1">acoBloco(ECF[[#This Row],[nE]],ECF[[#This Row],[e (cm)]],ECF[[#This Row],[a (cm)]],ECF[[#This Row],[h (cm)]],ECF[[#This Row],[As,lado (cm²)]],ECF[[#This Row],[Asp e Asw (cm²/m)]],ECF[[#This Row],[As,sup (cm²)]],ECF[[#This Row],[As,malha (cm²)]],ECF[[#This Row],[As,susp,tot (cm²)]],ECF[[#This Row],[Asp,face (cm²)]])</f>
        <v>184.83806250000001</v>
      </c>
      <c r="AZ221" s="4">
        <f ca="1">concretoBloco(ECF[[#This Row],[nE]],ECF[[#This Row],[e (cm)]],ECF[[#This Row],[a (cm)]],ECF[[#This Row],[h (cm)]])</f>
        <v>7.29</v>
      </c>
      <c r="BA221" s="5">
        <f ca="1">SUM(ECF[[#This Row],[Aço Est (kg)]],ECF[[#This Row],[Aço Bloco (kg)]])</f>
        <v>437.37184636616189</v>
      </c>
      <c r="BB221" s="4">
        <f>INDEX(composicoes[],MATCH(95580,composicoes[CÓDIGO],0),MATCH("CUSTO TOTAL",composicoes[#Headers],0))</f>
        <v>10.46</v>
      </c>
      <c r="BC221" s="4">
        <f ca="1">SUM(ECF[[#This Row],[Conc Est (m³)]],ECF[[#This Row],[Conc Bloco (m³)]])</f>
        <v>19.353715789784808</v>
      </c>
      <c r="BD221" s="4">
        <f>INDEX(composicoes[],MATCH(94966,composicoes[CÓDIGO],0),MATCH("CUSTO TOTAL",composicoes[#Headers],0))</f>
        <v>439.52</v>
      </c>
      <c r="BE221" s="38">
        <f ca="1">ECF[[#This Row],[Aço (kg)]]*ECF[[#This Row],[Aço (R$/kg)]]+ECF[[#This Row],[Conc (m³)]]*ECF[[#This Row],[Conc (R$/m³)]]</f>
        <v>13081.254676916273</v>
      </c>
      <c r="BF221" s="4" t="str">
        <f ca="1">IF(COUNTIF(ECF[#This Row],"N.S.")&gt;0,"lim.","OK")</f>
        <v>OK</v>
      </c>
      <c r="BG221" s="4" t="str">
        <f>IF(ECF[[#This Row],[Prof. (m)]]&lt;4,"lim.","OK")</f>
        <v>OK</v>
      </c>
      <c r="BH221" s="4" t="str">
        <f>IF(ECF[[#This Row],[Prof. (m)]]&gt;=8*ECF[[#This Row],[Ø (cm)]]/100,"OK","lim.")</f>
        <v>lim.</v>
      </c>
      <c r="BI221" s="4" t="str">
        <f>IF(AND(SPT!$F$3&lt;&gt;"",ECF[[#This Row],[Prof. (m)]]&gt;=SPT!$F$3-2),"lim.","OK")</f>
        <v>OK</v>
      </c>
      <c r="BJ221" s="4" t="str">
        <f ca="1">IF(ECF[[#This Row],[Verif. Biela]]="OK","OK","lim.")</f>
        <v>lim.</v>
      </c>
      <c r="BK221" s="4" t="str">
        <f ca="1">IF(COUNTA(ECF[[#This Row],[Nº Est.]:[Biela comp.]])=COUNTIF(ECF[[#This Row],[Nº Est.]:[Biela comp.]],"OK"),"OK","lim.")</f>
        <v>lim.</v>
      </c>
      <c r="BL221" s="4" t="str">
        <f ca="1">IF(ECF[[#This Row],[Controle]]="OK",ECF[[#This Row],[nE]]&amp;" Ø"&amp;ECF[[#This Row],[Ø (cm)]]&amp;"cm Prof. "&amp;ECF[[#This Row],[Prof. (m)]]&amp;" m","")</f>
        <v/>
      </c>
      <c r="BM221" s="4" t="str">
        <f ca="1">IF(ECF[[#This Row],[idDimensionamento]]="","",ECF[[#This Row],[idPilar]]&amp;ECF[[#This Row],[idDimensionamento]])</f>
        <v/>
      </c>
    </row>
    <row r="222" spans="2:65" x14ac:dyDescent="0.25">
      <c r="B222" s="12">
        <f>ROUNDUP((ROW(ECF[[#This Row],[idDiâmetro]])-ROW(ECF[[#Headers],[idDiâmetro]]))/(COUNT(SPT[Prof. (m)])*COUNT(PILARES[Pilar])),0)</f>
        <v>8</v>
      </c>
      <c r="C222" s="12">
        <f>IF(ECF[[#This Row],[idDiâmetro]]&lt;&gt;B221,1,IF(ECF[[#This Row],[Prof. (m)]]=0,C221+1,C221))</f>
        <v>2</v>
      </c>
      <c r="D222" s="1">
        <f>IFERROR(IF(D221=MAX(SPT[Prof. (m)]),0,D221+1),0)</f>
        <v>7</v>
      </c>
      <c r="E222" s="1">
        <f>INDEX(SPT[],MATCH(ECF[[#This Row],[Prof. (m)]],SPT[Prof. (m)],0),2)</f>
        <v>8</v>
      </c>
      <c r="F222" s="1" t="str">
        <f>INDEX(SPT[],MATCH(ECF[[#This Row],[Prof. (m)]],SPT[Prof. (m)],0),3)</f>
        <v>Silte arenoso</v>
      </c>
      <c r="G222" s="1">
        <f>INDEX(estacas[],ECF[[#This Row],[idDiâmetro]],MATCH($B$2,estacas[#Headers],0))</f>
        <v>160</v>
      </c>
      <c r="H222" s="1">
        <f>INDEX(estacas[],MATCH(ECF[[#This Row],[Ø (cm)]],estacas[Ø ECF (cm)],0),MATCH(ECF[[#Headers],[Pe ECF (kN)]],estacas[#Headers],0))</f>
        <v>8200</v>
      </c>
      <c r="I222" s="4">
        <f>INDEX(K_alpha_C[],MATCH(ECF[[#This Row],[Solo]],K_alpha_C[Solo],0),2)</f>
        <v>0.55000000000000004</v>
      </c>
      <c r="J222" s="5">
        <f>INDEX(K_alpha_C[],MATCH(ECF[[#This Row],[Solo]],K_alpha_C[Solo],0),3)</f>
        <v>2.2000000000000002</v>
      </c>
      <c r="K222" s="4">
        <f>INDEX(F1_F2[],MATCH($D$2,F1_F2[Tipo de estaca],0),2)</f>
        <v>3</v>
      </c>
      <c r="L222" s="4">
        <f>INDEX(F1_F2[],MATCH($D$2,F1_F2[Tipo de estaca],0),3)</f>
        <v>6</v>
      </c>
      <c r="M222" s="4">
        <f>PI()*(ECF[[#This Row],[Ø (cm)]]/100)^2/4</f>
        <v>2.0106192982974678</v>
      </c>
      <c r="N222" s="4">
        <f>PI()*ECF[[#This Row],[Ø (cm)]]/100</f>
        <v>5.026548245743669</v>
      </c>
      <c r="O222" s="4">
        <f>IF(ECF[[#This Row],[Prof. (m)]]=0,0,ECF[[#This Row],[α (%)]]/100*ECF[[#This Row],[K (MPa)]]*1000*ECF[[#This Row],[NSPT]])</f>
        <v>96.800000000000011</v>
      </c>
      <c r="P222" s="4">
        <f>IF(ECF[[#This Row],[Prof. (m)]]=0,0,(ECF[[#This Row],[K (MPa)]]*1000*ECF[[#This Row],[NSPT]]/ECF[[#This Row],[F1]]*ECF[[#This Row],[Ap (m²)]]+ECF[[#This Row],[U (m)]]/ECF[[#This Row],[F2]]*SUMIFS(ECF[(α∙K∙NL∙ΔL)],ECF[Prof. (m)],"&lt;="&amp;ECF[[#This Row],[Prof. (m)]],ECF[idDiâmetro],ECF[[#This Row],[idDiâmetro]],ECF[idPilar],ECF[[#This Row],[idPilar]]))/'DADOS CAP. CARGA'!$D$2)</f>
        <v>1842.6069231834856</v>
      </c>
      <c r="Q222" s="12">
        <f>INDEX(C_alpha_beta[],MATCH(ECF[[#This Row],[Solo]],C_alpha_beta[Solo],0),MATCH(ECF[[#Headers],[C (kPa)]],C_alpha_beta[#Headers],0))</f>
        <v>250</v>
      </c>
      <c r="R222" s="4">
        <f>INDEX(C_alpha_beta[],MATCH(ECF[[#This Row],[Solo]],C_alpha_beta[Solo],0),MATCH(ECF[[#Headers],[α ESF]],C_alpha_beta[#Headers],0))</f>
        <v>0.6</v>
      </c>
      <c r="S222" s="4">
        <f>INDEX(C_alpha_beta[],MATCH(ECF[[#This Row],[Solo]],C_alpha_beta[Solo],0),MATCH(ECF[[#Headers],[β ESF]],C_alpha_beta[#Headers],0))</f>
        <v>0.65</v>
      </c>
      <c r="T222" s="4">
        <f>IF(ECF[[#This Row],[Prof. (m)]]=0,0,10*(ECF[[#This Row],[NSPT]]/3+1))</f>
        <v>36.666666666666664</v>
      </c>
      <c r="U222" s="4">
        <f>(ECF[[#This Row],[α ESF]]*ECF[[#This Row],[C (kPa)]]*ECF[[#This Row],[NSPT]]*ECF[[#This Row],[Ap (m²)]])/'DADOS CAP. CARGA'!$Q$2+(ECF[[#This Row],[β ESF]]*SUMIFS(ECF[10∙(NL/3+1)],ECF[Prof. (m)],"&lt;="&amp;ECF[[#This Row],[Prof. (m)]],ECF[idDiâmetro],ECF[[#This Row],[idDiâmetro]],ECF[idPilar],ECF[[#This Row],[idPilar]])*ECF[[#This Row],[U (m)]])/'DADOS CAP. CARGA'!$S$2</f>
        <v>1055.1562525856918</v>
      </c>
      <c r="V222" s="4">
        <f>IF(SPT!$M$5=1,MIN(ECF[[#This Row],[Pe ECF (kN)]],ECF[[#This Row],[R_AV (kN)]]),IF(SPT!$M$5=2,MIN(ECF[[#This Row],[Pe ECF (kN)]],ECF[[#This Row],[R_DC (kN)]]),MIN(ECF[[#This Row],[Pe ECF (kN)]],ECF[[#This Row],[R_AV (kN)]],ECF[[#This Row],[R_DC (kN)]])))</f>
        <v>1055.1562525856918</v>
      </c>
      <c r="W222" s="4">
        <f>INDEX(PILARES[],ECF[[#This Row],[idPilar]],MATCH("Carga (kN)",PILARES[#Headers],0))*1.4</f>
        <v>1750</v>
      </c>
      <c r="X222" s="12">
        <f>INDEX(PILARES[],ECF[[#This Row],[idPilar]],MATCH(ECF[[#Headers],[ap (cm)]],PILARES[#Headers],0))</f>
        <v>50</v>
      </c>
      <c r="Y222" s="12">
        <f>INDEX(PILARES[],ECF[[#This Row],[idPilar]],MATCH(ECF[[#Headers],[bp (cm)]],PILARES[#Headers],0))</f>
        <v>40</v>
      </c>
      <c r="Z222" s="4">
        <f>SQRT(ECF[[#This Row],[ap (cm)]]*ECF[[#This Row],[bp (cm)]])</f>
        <v>44.721359549995796</v>
      </c>
      <c r="AA222" s="12">
        <f>ECF[[#This Row],[ap (cm)]]*ECF[[#This Row],[bp (cm)]]</f>
        <v>2000</v>
      </c>
      <c r="AB222" s="12">
        <f ca="1">IF(ECF[[#This Row],[Padm∙ε (kN)]]&gt;=ECF[[#This Row],[Padm (kN)]],ROUNDUP(1.05*ECF[[#This Row],[Nsd (kN)]]/ECF[[#This Row],[Padm (kN)]],0),ROUNDUP(1.05*ECF[[#This Row],[Nsd (kN)]]/ECF[[#This Row],[Padm (kN)]],0)+1)</f>
        <v>2</v>
      </c>
      <c r="AC222" s="4">
        <f ca="1">IFERROR(IF(ECF[[#This Row],[nE]]=1,ECF[[#This Row],[Padm (kN)]],ECF[[#This Row],[Padm (kN)]]*ECF[[#This Row],[nE]]*INDEX(grupoEstacas[],ECF[[#This Row],[nE]],MATCH("ε",grupoEstacas[#Headers],0))),"N.S.")</f>
        <v>1978.4179735981722</v>
      </c>
      <c r="AD222" s="4">
        <f ca="1">1.05*ECF[[#This Row],[Nsd (kN)]]/(ECF[[#This Row],[nE]]*PI()*ECF[[#This Row],[Ø (cm)]]^2/4)*10</f>
        <v>0.4569487623927464</v>
      </c>
      <c r="AE222" s="4">
        <f ca="1">IF(ECF[[#This Row],[σ (MPa)]]&lt;INDEX(tipoEstaca[],MATCH($D$2,tipoEstaca[TIPO DE ESTACA],0),MATCH("σmáx (MPa)",tipoEstaca[#Headers],0)),0.4%*PI()*ECF[[#This Row],[Ø (cm)]]^2/4,"N.S.")</f>
        <v>80.424771931898704</v>
      </c>
      <c r="AF222" s="1">
        <f>INDEX(tipoEstaca[],MATCH($D$2,tipoEstaca[TIPO DE ESTACA],0),MATCH(ECF[[#Headers],[Comprimento (m)]],tipoEstaca[#Headers],0))</f>
        <v>4</v>
      </c>
      <c r="AG222" s="5">
        <f ca="1">ECF[[#This Row],[As,mín (cm²)]]/100^2*ECF[[#This Row],[Comprimento (m)]]*7850</f>
        <v>252.53378386616191</v>
      </c>
      <c r="AH222" s="4">
        <f ca="1">ECF[[#This Row],[nE]]*ECF[[#This Row],[Prof. (m)]]*ECF[[#This Row],[Ap (m²)]]</f>
        <v>28.148670176164551</v>
      </c>
      <c r="AI222" s="1">
        <f ca="1">IF(ECF[[#This Row],[nE]]=1,0,MAX(3*ECF[[#This Row],[Ø (cm)]],60))</f>
        <v>480</v>
      </c>
      <c r="AJ222" s="1">
        <f ca="1">IF(ECF[[#This Row],[nE]]=1,ECF[[#This Row],[Ø (cm)]]+2*10,MAX(1.5*ECF[[#This Row],[Ø (cm)]],ECF[[#This Row],[Ø (cm)]]+15))</f>
        <v>240</v>
      </c>
      <c r="AK222" s="1">
        <f ca="1">alturaUtil(ECF[[#This Row],[nE]],ECF[[#This Row],[Ø (cm)]],ECF[[#This Row],[e (cm)]],ECF[[#This Row],[ap,eq (cm)]])</f>
        <v>230</v>
      </c>
      <c r="AL222" s="1">
        <f ca="1">IFERROR(ECF[[#This Row],[d (cm)]]+arredondarParaCimaMultiplo5cm(MAX(5,SQRT(PI())/2*ECF[[#This Row],[Ø (cm)]]/5)),"N.S.")</f>
        <v>260</v>
      </c>
      <c r="AM222" s="5">
        <f ca="1">alpha(ECF[[#This Row],[nE]],ECF[[#This Row],[d (cm)]],ECF[[#This Row],[e (cm)]],ECF[[#This Row],[ap,eq (cm)]])</f>
        <v>45.147396353371242</v>
      </c>
      <c r="AN222" s="35">
        <f ca="1">IFERROR(ECF[[#This Row],[Nsd (kN)]]/(ECF[[#This Row],[Ap (cm²)]]*SIN(ECF[[#This Row],[α]])^2),"N.S.")</f>
        <v>1.0364302707547399</v>
      </c>
      <c r="AO222" s="35">
        <f ca="1">IFERROR(ECF[[#This Row],[Nsd (kN)]]/(ECF[[#This Row],[nE]]*PI()*ECF[[#This Row],[Ø (cm)]]^2/4*SIN(ECF[[#This Row],[α]])^2),"N.S.")</f>
        <v>5.1547812737715096E-2</v>
      </c>
      <c r="AP222" s="4">
        <f ca="1">IFERROR(INDEX(grupoEstacas[],ECF[[#This Row],[nE]],MATCH("coef. Blévot",grupoEstacas[#Headers],0)),"N.S.")</f>
        <v>1.4</v>
      </c>
      <c r="AQ222" s="35">
        <f ca="1">IFERROR(ECF[[#This Row],[coef. Blévot]]*0.9*INDEX(tipoEstaca[],MATCH($D$2,tipoEstaca[TIPO DE ESTACA],0),MATCH("fcd (kN/cm²)",tipoEstaca[#Headers],0)),"N.S.")</f>
        <v>1.4000000000000001</v>
      </c>
      <c r="AR222" s="1" t="str">
        <f ca="1">IF(AND(ECF[[#This Row],[cd,b,pil (kN/cm²)]]&lt;=ECF[[#This Row],[cd,b,lim (kN/cm²)]],ECF[[#This Row],[cd,b,est (kN/cm²)]]&lt;=ECF[[#This Row],[cd,b,lim (kN/cm²)]]),"OK","ERRO")</f>
        <v>OK</v>
      </c>
      <c r="AS222" s="4">
        <f ca="1">As_lado(ECF[[#This Row],[nE]],ECF[[#This Row],[Nsd (kN)]],ECF[[#This Row],[d (cm)]],ECF[[#This Row],[e (cm)]],ECF[[#This Row],[ap,eq (cm)]])</f>
        <v>23.024978298820418</v>
      </c>
      <c r="AT222" s="4">
        <f ca="1">IF(ECF[[#This Row],[nE]]=1,ECF[[#This Row],[As,lado (cm²)]],IF(ECF[[#This Row],[nE]]=2,0.075*2*ECF[a (cm)],"N.A."))</f>
        <v>36</v>
      </c>
      <c r="AU222" s="4">
        <f ca="1">IFERROR(IF(ECF[[#This Row],[nE]]=1,"N.A.",0.2*ECF[[#This Row],[As,lado (cm²)]]),"N.S.")</f>
        <v>4.604995659764084</v>
      </c>
      <c r="AV222" s="4" t="str">
        <f ca="1">As_malha(ECF[[#This Row],[nE]],ECF[[#This Row],[As,lado (cm²)]],ECF[[#This Row],[Nsd (kN)]])</f>
        <v>N.A.</v>
      </c>
      <c r="AW222" s="4" t="str">
        <f ca="1">As_susp_tot(ECF[[#This Row],[nE]],ECF[[#This Row],[Nsd (kN)]])</f>
        <v>N.A.</v>
      </c>
      <c r="AX222" s="4" t="str">
        <f ca="1">Asp_face(ECF[[#This Row],[nE]],ECF[[#This Row],[As,lado (cm²)]])</f>
        <v>N.A.</v>
      </c>
      <c r="AY222" s="5">
        <f ca="1">acoBloco(ECF[[#This Row],[nE]],ECF[[#This Row],[e (cm)]],ECF[[#This Row],[a (cm)]],ECF[[#This Row],[h (cm)]],ECF[[#This Row],[As,lado (cm²)]],ECF[[#This Row],[Asp e Asw (cm²/m)]],ECF[[#This Row],[As,sup (cm²)]],ECF[[#This Row],[As,malha (cm²)]],ECF[[#This Row],[As,susp,tot (cm²)]],ECF[[#This Row],[Asp,face (cm²)]])</f>
        <v>6339.5090837518928</v>
      </c>
      <c r="AZ222" s="4">
        <f ca="1">concretoBloco(ECF[[#This Row],[nE]],ECF[[#This Row],[e (cm)]],ECF[[#This Row],[a (cm)]],ECF[[#This Row],[h (cm)]])</f>
        <v>119.80800000000001</v>
      </c>
      <c r="BA222" s="5">
        <f ca="1">SUM(ECF[[#This Row],[Aço Est (kg)]],ECF[[#This Row],[Aço Bloco (kg)]])</f>
        <v>6592.0428676180545</v>
      </c>
      <c r="BB222" s="4">
        <f>INDEX(composicoes[],MATCH(95580,composicoes[CÓDIGO],0),MATCH("CUSTO TOTAL",composicoes[#Headers],0))</f>
        <v>10.46</v>
      </c>
      <c r="BC222" s="4">
        <f ca="1">SUM(ECF[[#This Row],[Conc Est (m³)]],ECF[[#This Row],[Conc Bloco (m³)]])</f>
        <v>147.95667017616455</v>
      </c>
      <c r="BD222" s="4">
        <f>INDEX(composicoes[],MATCH(94966,composicoes[CÓDIGO],0),MATCH("CUSTO TOTAL",composicoes[#Headers],0))</f>
        <v>439.52</v>
      </c>
      <c r="BE222" s="38">
        <f ca="1">ECF[[#This Row],[Aço (kg)]]*ECF[[#This Row],[Aço (R$/kg)]]+ECF[[#This Row],[Conc (m³)]]*ECF[[#This Row],[Conc (R$/m³)]]</f>
        <v>133982.68407111272</v>
      </c>
      <c r="BF222" s="4" t="str">
        <f ca="1">IF(COUNTIF(ECF[#This Row],"N.S.")&gt;0,"lim.","OK")</f>
        <v>OK</v>
      </c>
      <c r="BG222" s="4" t="str">
        <f>IF(ECF[[#This Row],[Prof. (m)]]&lt;4,"lim.","OK")</f>
        <v>OK</v>
      </c>
      <c r="BH222" s="4" t="str">
        <f>IF(ECF[[#This Row],[Prof. (m)]]&gt;=8*ECF[[#This Row],[Ø (cm)]]/100,"OK","lim.")</f>
        <v>lim.</v>
      </c>
      <c r="BI222" s="4" t="str">
        <f>IF(AND(SPT!$F$3&lt;&gt;"",ECF[[#This Row],[Prof. (m)]]&gt;=SPT!$F$3-2),"lim.","OK")</f>
        <v>OK</v>
      </c>
      <c r="BJ222" s="4" t="str">
        <f ca="1">IF(ECF[[#This Row],[Verif. Biela]]="OK","OK","lim.")</f>
        <v>OK</v>
      </c>
      <c r="BK222" s="4" t="str">
        <f ca="1">IF(COUNTA(ECF[[#This Row],[Nº Est.]:[Biela comp.]])=COUNTIF(ECF[[#This Row],[Nº Est.]:[Biela comp.]],"OK"),"OK","lim.")</f>
        <v>lim.</v>
      </c>
      <c r="BL222" s="4" t="str">
        <f ca="1">IF(ECF[[#This Row],[Controle]]="OK",ECF[[#This Row],[nE]]&amp;" Ø"&amp;ECF[[#This Row],[Ø (cm)]]&amp;"cm Prof. "&amp;ECF[[#This Row],[Prof. (m)]]&amp;" m","")</f>
        <v/>
      </c>
      <c r="BM222" s="4" t="str">
        <f ca="1">IF(ECF[[#This Row],[idDimensionamento]]="","",ECF[[#This Row],[idPilar]]&amp;ECF[[#This Row],[idDimensionamento]])</f>
        <v/>
      </c>
    </row>
    <row r="223" spans="2:65" x14ac:dyDescent="0.25">
      <c r="B223" s="12">
        <f>ROUNDUP((ROW(ECF[[#This Row],[idDiâmetro]])-ROW(ECF[[#Headers],[idDiâmetro]]))/(COUNT(SPT[Prof. (m)])*COUNT(PILARES[Pilar])),0)</f>
        <v>8</v>
      </c>
      <c r="C223" s="12">
        <f>IF(ECF[[#This Row],[idDiâmetro]]&lt;&gt;B222,1,IF(ECF[[#This Row],[Prof. (m)]]=0,C222+1,C222))</f>
        <v>2</v>
      </c>
      <c r="D223" s="1">
        <f>IFERROR(IF(D222=MAX(SPT[Prof. (m)]),0,D222+1),0)</f>
        <v>8</v>
      </c>
      <c r="E223" s="1">
        <f>INDEX(SPT[],MATCH(ECF[[#This Row],[Prof. (m)]],SPT[Prof. (m)],0),2)</f>
        <v>10</v>
      </c>
      <c r="F223" s="1" t="str">
        <f>INDEX(SPT[],MATCH(ECF[[#This Row],[Prof. (m)]],SPT[Prof. (m)],0),3)</f>
        <v>Silte arenoso</v>
      </c>
      <c r="G223" s="1">
        <f>INDEX(estacas[],ECF[[#This Row],[idDiâmetro]],MATCH($B$2,estacas[#Headers],0))</f>
        <v>160</v>
      </c>
      <c r="H223" s="1">
        <f>INDEX(estacas[],MATCH(ECF[[#This Row],[Ø (cm)]],estacas[Ø ECF (cm)],0),MATCH(ECF[[#Headers],[Pe ECF (kN)]],estacas[#Headers],0))</f>
        <v>8200</v>
      </c>
      <c r="I223" s="4">
        <f>INDEX(K_alpha_C[],MATCH(ECF[[#This Row],[Solo]],K_alpha_C[Solo],0),2)</f>
        <v>0.55000000000000004</v>
      </c>
      <c r="J223" s="5">
        <f>INDEX(K_alpha_C[],MATCH(ECF[[#This Row],[Solo]],K_alpha_C[Solo],0),3)</f>
        <v>2.2000000000000002</v>
      </c>
      <c r="K223" s="4">
        <f>INDEX(F1_F2[],MATCH($D$2,F1_F2[Tipo de estaca],0),2)</f>
        <v>3</v>
      </c>
      <c r="L223" s="4">
        <f>INDEX(F1_F2[],MATCH($D$2,F1_F2[Tipo de estaca],0),3)</f>
        <v>6</v>
      </c>
      <c r="M223" s="4">
        <f>PI()*(ECF[[#This Row],[Ø (cm)]]/100)^2/4</f>
        <v>2.0106192982974678</v>
      </c>
      <c r="N223" s="4">
        <f>PI()*ECF[[#This Row],[Ø (cm)]]/100</f>
        <v>5.026548245743669</v>
      </c>
      <c r="O223" s="4">
        <f>IF(ECF[[#This Row],[Prof. (m)]]=0,0,ECF[[#This Row],[α (%)]]/100*ECF[[#This Row],[K (MPa)]]*1000*ECF[[#This Row],[NSPT]])</f>
        <v>121.00000000000001</v>
      </c>
      <c r="P223" s="4">
        <f>IF(ECF[[#This Row],[Prof. (m)]]=0,0,(ECF[[#This Row],[K (MPa)]]*1000*ECF[[#This Row],[NSPT]]/ECF[[#This Row],[F1]]*ECF[[#This Row],[Ap (m²)]]+ECF[[#This Row],[U (m)]]/ECF[[#This Row],[F2]]*SUMIFS(ECF[(α∙K∙NL∙ΔL)],ECF[Prof. (m)],"&lt;="&amp;ECF[[#This Row],[Prof. (m)]],ECF[idDiâmetro],ECF[[#This Row],[idDiâmetro]],ECF[idPilar],ECF[[#This Row],[idPilar]]))/'DADOS CAP. CARGA'!$D$2)</f>
        <v>2261.9048226826035</v>
      </c>
      <c r="Q223" s="12">
        <f>INDEX(C_alpha_beta[],MATCH(ECF[[#This Row],[Solo]],C_alpha_beta[Solo],0),MATCH(ECF[[#Headers],[C (kPa)]],C_alpha_beta[#Headers],0))</f>
        <v>250</v>
      </c>
      <c r="R223" s="4">
        <f>INDEX(C_alpha_beta[],MATCH(ECF[[#This Row],[Solo]],C_alpha_beta[Solo],0),MATCH(ECF[[#Headers],[α ESF]],C_alpha_beta[#Headers],0))</f>
        <v>0.6</v>
      </c>
      <c r="S223" s="4">
        <f>INDEX(C_alpha_beta[],MATCH(ECF[[#This Row],[Solo]],C_alpha_beta[Solo],0),MATCH(ECF[[#Headers],[β ESF]],C_alpha_beta[#Headers],0))</f>
        <v>0.65</v>
      </c>
      <c r="T223" s="4">
        <f>IF(ECF[[#This Row],[Prof. (m)]]=0,0,10*(ECF[[#This Row],[NSPT]]/3+1))</f>
        <v>43.333333333333343</v>
      </c>
      <c r="U223" s="4">
        <f>(ECF[[#This Row],[α ESF]]*ECF[[#This Row],[C (kPa)]]*ECF[[#This Row],[NSPT]]*ECF[[#This Row],[Ap (m²)]])/'DADOS CAP. CARGA'!$Q$2+(ECF[[#This Row],[β ESF]]*SUMIFS(ECF[10∙(NL/3+1)],ECF[Prof. (m)],"&lt;="&amp;ECF[[#This Row],[Prof. (m)]],ECF[idDiâmetro],ECF[[#This Row],[idDiâmetro]],ECF[idPilar],ECF[[#This Row],[idPilar]])*ECF[[#This Row],[U (m)]])/'DADOS CAP. CARGA'!$S$2</f>
        <v>1276.7432544188919</v>
      </c>
      <c r="V223" s="4">
        <f>IF(SPT!$M$5=1,MIN(ECF[[#This Row],[Pe ECF (kN)]],ECF[[#This Row],[R_AV (kN)]]),IF(SPT!$M$5=2,MIN(ECF[[#This Row],[Pe ECF (kN)]],ECF[[#This Row],[R_DC (kN)]]),MIN(ECF[[#This Row],[Pe ECF (kN)]],ECF[[#This Row],[R_AV (kN)]],ECF[[#This Row],[R_DC (kN)]])))</f>
        <v>1276.7432544188919</v>
      </c>
      <c r="W223" s="4">
        <f>INDEX(PILARES[],ECF[[#This Row],[idPilar]],MATCH("Carga (kN)",PILARES[#Headers],0))*1.4</f>
        <v>1750</v>
      </c>
      <c r="X223" s="12">
        <f>INDEX(PILARES[],ECF[[#This Row],[idPilar]],MATCH(ECF[[#Headers],[ap (cm)]],PILARES[#Headers],0))</f>
        <v>50</v>
      </c>
      <c r="Y223" s="12">
        <f>INDEX(PILARES[],ECF[[#This Row],[idPilar]],MATCH(ECF[[#Headers],[bp (cm)]],PILARES[#Headers],0))</f>
        <v>40</v>
      </c>
      <c r="Z223" s="4">
        <f>SQRT(ECF[[#This Row],[ap (cm)]]*ECF[[#This Row],[bp (cm)]])</f>
        <v>44.721359549995796</v>
      </c>
      <c r="AA223" s="12">
        <f>ECF[[#This Row],[ap (cm)]]*ECF[[#This Row],[bp (cm)]]</f>
        <v>2000</v>
      </c>
      <c r="AB223" s="12">
        <f ca="1">IF(ECF[[#This Row],[Padm∙ε (kN)]]&gt;=ECF[[#This Row],[Padm (kN)]],ROUNDUP(1.05*ECF[[#This Row],[Nsd (kN)]]/ECF[[#This Row],[Padm (kN)]],0),ROUNDUP(1.05*ECF[[#This Row],[Nsd (kN)]]/ECF[[#This Row],[Padm (kN)]],0)+1)</f>
        <v>2</v>
      </c>
      <c r="AC223" s="4">
        <f ca="1">IFERROR(IF(ECF[[#This Row],[nE]]=1,ECF[[#This Row],[Padm (kN)]],ECF[[#This Row],[Padm (kN)]]*ECF[[#This Row],[nE]]*INDEX(grupoEstacas[],ECF[[#This Row],[nE]],MATCH("ε",grupoEstacas[#Headers],0))),"N.S.")</f>
        <v>2393.8936020354222</v>
      </c>
      <c r="AD223" s="4">
        <f ca="1">1.05*ECF[[#This Row],[Nsd (kN)]]/(ECF[[#This Row],[nE]]*PI()*ECF[[#This Row],[Ø (cm)]]^2/4)*10</f>
        <v>0.4569487623927464</v>
      </c>
      <c r="AE223" s="4">
        <f ca="1">IF(ECF[[#This Row],[σ (MPa)]]&lt;INDEX(tipoEstaca[],MATCH($D$2,tipoEstaca[TIPO DE ESTACA],0),MATCH("σmáx (MPa)",tipoEstaca[#Headers],0)),0.4%*PI()*ECF[[#This Row],[Ø (cm)]]^2/4,"N.S.")</f>
        <v>80.424771931898704</v>
      </c>
      <c r="AF223" s="1">
        <f>INDEX(tipoEstaca[],MATCH($D$2,tipoEstaca[TIPO DE ESTACA],0),MATCH(ECF[[#Headers],[Comprimento (m)]],tipoEstaca[#Headers],0))</f>
        <v>4</v>
      </c>
      <c r="AG223" s="5">
        <f ca="1">ECF[[#This Row],[As,mín (cm²)]]/100^2*ECF[[#This Row],[Comprimento (m)]]*7850</f>
        <v>252.53378386616191</v>
      </c>
      <c r="AH223" s="4">
        <f ca="1">ECF[[#This Row],[nE]]*ECF[[#This Row],[Prof. (m)]]*ECF[[#This Row],[Ap (m²)]]</f>
        <v>32.169908772759484</v>
      </c>
      <c r="AI223" s="1">
        <f ca="1">IF(ECF[[#This Row],[nE]]=1,0,MAX(3*ECF[[#This Row],[Ø (cm)]],60))</f>
        <v>480</v>
      </c>
      <c r="AJ223" s="1">
        <f ca="1">IF(ECF[[#This Row],[nE]]=1,ECF[[#This Row],[Ø (cm)]]+2*10,MAX(1.5*ECF[[#This Row],[Ø (cm)]],ECF[[#This Row],[Ø (cm)]]+15))</f>
        <v>240</v>
      </c>
      <c r="AK223" s="1">
        <f ca="1">alturaUtil(ECF[[#This Row],[nE]],ECF[[#This Row],[Ø (cm)]],ECF[[#This Row],[e (cm)]],ECF[[#This Row],[ap,eq (cm)]])</f>
        <v>230</v>
      </c>
      <c r="AL223" s="1">
        <f ca="1">IFERROR(ECF[[#This Row],[d (cm)]]+arredondarParaCimaMultiplo5cm(MAX(5,SQRT(PI())/2*ECF[[#This Row],[Ø (cm)]]/5)),"N.S.")</f>
        <v>260</v>
      </c>
      <c r="AM223" s="5">
        <f ca="1">alpha(ECF[[#This Row],[nE]],ECF[[#This Row],[d (cm)]],ECF[[#This Row],[e (cm)]],ECF[[#This Row],[ap,eq (cm)]])</f>
        <v>45.147396353371242</v>
      </c>
      <c r="AN223" s="35">
        <f ca="1">IFERROR(ECF[[#This Row],[Nsd (kN)]]/(ECF[[#This Row],[Ap (cm²)]]*SIN(ECF[[#This Row],[α]])^2),"N.S.")</f>
        <v>1.0364302707547399</v>
      </c>
      <c r="AO223" s="35">
        <f ca="1">IFERROR(ECF[[#This Row],[Nsd (kN)]]/(ECF[[#This Row],[nE]]*PI()*ECF[[#This Row],[Ø (cm)]]^2/4*SIN(ECF[[#This Row],[α]])^2),"N.S.")</f>
        <v>5.1547812737715096E-2</v>
      </c>
      <c r="AP223" s="4">
        <f ca="1">IFERROR(INDEX(grupoEstacas[],ECF[[#This Row],[nE]],MATCH("coef. Blévot",grupoEstacas[#Headers],0)),"N.S.")</f>
        <v>1.4</v>
      </c>
      <c r="AQ223" s="35">
        <f ca="1">IFERROR(ECF[[#This Row],[coef. Blévot]]*0.9*INDEX(tipoEstaca[],MATCH($D$2,tipoEstaca[TIPO DE ESTACA],0),MATCH("fcd (kN/cm²)",tipoEstaca[#Headers],0)),"N.S.")</f>
        <v>1.4000000000000001</v>
      </c>
      <c r="AR223" s="1" t="str">
        <f ca="1">IF(AND(ECF[[#This Row],[cd,b,pil (kN/cm²)]]&lt;=ECF[[#This Row],[cd,b,lim (kN/cm²)]],ECF[[#This Row],[cd,b,est (kN/cm²)]]&lt;=ECF[[#This Row],[cd,b,lim (kN/cm²)]]),"OK","ERRO")</f>
        <v>OK</v>
      </c>
      <c r="AS223" s="4">
        <f ca="1">As_lado(ECF[[#This Row],[nE]],ECF[[#This Row],[Nsd (kN)]],ECF[[#This Row],[d (cm)]],ECF[[#This Row],[e (cm)]],ECF[[#This Row],[ap,eq (cm)]])</f>
        <v>23.024978298820418</v>
      </c>
      <c r="AT223" s="4">
        <f ca="1">IF(ECF[[#This Row],[nE]]=1,ECF[[#This Row],[As,lado (cm²)]],IF(ECF[[#This Row],[nE]]=2,0.075*2*ECF[a (cm)],"N.A."))</f>
        <v>36</v>
      </c>
      <c r="AU223" s="4">
        <f ca="1">IFERROR(IF(ECF[[#This Row],[nE]]=1,"N.A.",0.2*ECF[[#This Row],[As,lado (cm²)]]),"N.S.")</f>
        <v>4.604995659764084</v>
      </c>
      <c r="AV223" s="4" t="str">
        <f ca="1">As_malha(ECF[[#This Row],[nE]],ECF[[#This Row],[As,lado (cm²)]],ECF[[#This Row],[Nsd (kN)]])</f>
        <v>N.A.</v>
      </c>
      <c r="AW223" s="4" t="str">
        <f ca="1">As_susp_tot(ECF[[#This Row],[nE]],ECF[[#This Row],[Nsd (kN)]])</f>
        <v>N.A.</v>
      </c>
      <c r="AX223" s="4" t="str">
        <f ca="1">Asp_face(ECF[[#This Row],[nE]],ECF[[#This Row],[As,lado (cm²)]])</f>
        <v>N.A.</v>
      </c>
      <c r="AY223" s="5">
        <f ca="1">acoBloco(ECF[[#This Row],[nE]],ECF[[#This Row],[e (cm)]],ECF[[#This Row],[a (cm)]],ECF[[#This Row],[h (cm)]],ECF[[#This Row],[As,lado (cm²)]],ECF[[#This Row],[Asp e Asw (cm²/m)]],ECF[[#This Row],[As,sup (cm²)]],ECF[[#This Row],[As,malha (cm²)]],ECF[[#This Row],[As,susp,tot (cm²)]],ECF[[#This Row],[Asp,face (cm²)]])</f>
        <v>6339.5090837518928</v>
      </c>
      <c r="AZ223" s="4">
        <f ca="1">concretoBloco(ECF[[#This Row],[nE]],ECF[[#This Row],[e (cm)]],ECF[[#This Row],[a (cm)]],ECF[[#This Row],[h (cm)]])</f>
        <v>119.80800000000001</v>
      </c>
      <c r="BA223" s="5">
        <f ca="1">SUM(ECF[[#This Row],[Aço Est (kg)]],ECF[[#This Row],[Aço Bloco (kg)]])</f>
        <v>6592.0428676180545</v>
      </c>
      <c r="BB223" s="4">
        <f>INDEX(composicoes[],MATCH(95580,composicoes[CÓDIGO],0),MATCH("CUSTO TOTAL",composicoes[#Headers],0))</f>
        <v>10.46</v>
      </c>
      <c r="BC223" s="4">
        <f ca="1">SUM(ECF[[#This Row],[Conc Est (m³)]],ECF[[#This Row],[Conc Bloco (m³)]])</f>
        <v>151.97790877275949</v>
      </c>
      <c r="BD223" s="4">
        <f>INDEX(composicoes[],MATCH(94966,composicoes[CÓDIGO],0),MATCH("CUSTO TOTAL",composicoes[#Headers],0))</f>
        <v>439.52</v>
      </c>
      <c r="BE223" s="38">
        <f ca="1">ECF[[#This Row],[Aço (kg)]]*ECF[[#This Row],[Aço (R$/kg)]]+ECF[[#This Row],[Conc (m³)]]*ECF[[#This Row],[Conc (R$/m³)]]</f>
        <v>135750.09885908809</v>
      </c>
      <c r="BF223" s="4" t="str">
        <f ca="1">IF(COUNTIF(ECF[#This Row],"N.S.")&gt;0,"lim.","OK")</f>
        <v>OK</v>
      </c>
      <c r="BG223" s="4" t="str">
        <f>IF(ECF[[#This Row],[Prof. (m)]]&lt;4,"lim.","OK")</f>
        <v>OK</v>
      </c>
      <c r="BH223" s="4" t="str">
        <f>IF(ECF[[#This Row],[Prof. (m)]]&gt;=8*ECF[[#This Row],[Ø (cm)]]/100,"OK","lim.")</f>
        <v>lim.</v>
      </c>
      <c r="BI223" s="4" t="str">
        <f>IF(AND(SPT!$F$3&lt;&gt;"",ECF[[#This Row],[Prof. (m)]]&gt;=SPT!$F$3-2),"lim.","OK")</f>
        <v>OK</v>
      </c>
      <c r="BJ223" s="4" t="str">
        <f ca="1">IF(ECF[[#This Row],[Verif. Biela]]="OK","OK","lim.")</f>
        <v>OK</v>
      </c>
      <c r="BK223" s="4" t="str">
        <f ca="1">IF(COUNTA(ECF[[#This Row],[Nº Est.]:[Biela comp.]])=COUNTIF(ECF[[#This Row],[Nº Est.]:[Biela comp.]],"OK"),"OK","lim.")</f>
        <v>lim.</v>
      </c>
      <c r="BL223" s="4" t="str">
        <f ca="1">IF(ECF[[#This Row],[Controle]]="OK",ECF[[#This Row],[nE]]&amp;" Ø"&amp;ECF[[#This Row],[Ø (cm)]]&amp;"cm Prof. "&amp;ECF[[#This Row],[Prof. (m)]]&amp;" m","")</f>
        <v/>
      </c>
      <c r="BM223" s="4" t="str">
        <f ca="1">IF(ECF[[#This Row],[idDimensionamento]]="","",ECF[[#This Row],[idPilar]]&amp;ECF[[#This Row],[idDimensionamento]])</f>
        <v/>
      </c>
    </row>
    <row r="224" spans="2:65" x14ac:dyDescent="0.25">
      <c r="B224" s="12">
        <f>ROUNDUP((ROW(ECF[[#This Row],[idDiâmetro]])-ROW(ECF[[#Headers],[idDiâmetro]]))/(COUNT(SPT[Prof. (m)])*COUNT(PILARES[Pilar])),0)</f>
        <v>8</v>
      </c>
      <c r="C224" s="12">
        <f>IF(ECF[[#This Row],[idDiâmetro]]&lt;&gt;B223,1,IF(ECF[[#This Row],[Prof. (m)]]=0,C223+1,C223))</f>
        <v>2</v>
      </c>
      <c r="D224" s="1">
        <f>IFERROR(IF(D223=MAX(SPT[Prof. (m)]),0,D223+1),0)</f>
        <v>9</v>
      </c>
      <c r="E224" s="1">
        <f>INDEX(SPT[],MATCH(ECF[[#This Row],[Prof. (m)]],SPT[Prof. (m)],0),2)</f>
        <v>26</v>
      </c>
      <c r="F224" s="1" t="str">
        <f>INDEX(SPT[],MATCH(ECF[[#This Row],[Prof. (m)]],SPT[Prof. (m)],0),3)</f>
        <v>Areia siltosa</v>
      </c>
      <c r="G224" s="1">
        <f>INDEX(estacas[],ECF[[#This Row],[idDiâmetro]],MATCH($B$2,estacas[#Headers],0))</f>
        <v>160</v>
      </c>
      <c r="H224" s="1">
        <f>INDEX(estacas[],MATCH(ECF[[#This Row],[Ø (cm)]],estacas[Ø ECF (cm)],0),MATCH(ECF[[#Headers],[Pe ECF (kN)]],estacas[#Headers],0))</f>
        <v>8200</v>
      </c>
      <c r="I224" s="4">
        <f>INDEX(K_alpha_C[],MATCH(ECF[[#This Row],[Solo]],K_alpha_C[Solo],0),2)</f>
        <v>0.8</v>
      </c>
      <c r="J224" s="5">
        <f>INDEX(K_alpha_C[],MATCH(ECF[[#This Row],[Solo]],K_alpha_C[Solo],0),3)</f>
        <v>2</v>
      </c>
      <c r="K224" s="4">
        <f>INDEX(F1_F2[],MATCH($D$2,F1_F2[Tipo de estaca],0),2)</f>
        <v>3</v>
      </c>
      <c r="L224" s="4">
        <f>INDEX(F1_F2[],MATCH($D$2,F1_F2[Tipo de estaca],0),3)</f>
        <v>6</v>
      </c>
      <c r="M224" s="4">
        <f>PI()*(ECF[[#This Row],[Ø (cm)]]/100)^2/4</f>
        <v>2.0106192982974678</v>
      </c>
      <c r="N224" s="4">
        <f>PI()*ECF[[#This Row],[Ø (cm)]]/100</f>
        <v>5.026548245743669</v>
      </c>
      <c r="O224" s="4">
        <f>IF(ECF[[#This Row],[Prof. (m)]]=0,0,ECF[[#This Row],[α (%)]]/100*ECF[[#This Row],[K (MPa)]]*1000*ECF[[#This Row],[NSPT]])</f>
        <v>416</v>
      </c>
      <c r="P224" s="4">
        <f>IF(ECF[[#This Row],[Prof. (m)]]=0,0,(ECF[[#This Row],[K (MPa)]]*1000*ECF[[#This Row],[NSPT]]/ECF[[#This Row],[F1]]*ECF[[#This Row],[Ap (m²)]]+ECF[[#This Row],[U (m)]]/ECF[[#This Row],[F2]]*SUMIFS(ECF[(α∙K∙NL∙ΔL)],ECF[Prof. (m)],"&lt;="&amp;ECF[[#This Row],[Prof. (m)]],ECF[idDiâmetro],ECF[[#This Row],[idDiâmetro]],ECF[idPilar],ECF[[#This Row],[idPilar]]))/'DADOS CAP. CARGA'!$D$2)</f>
        <v>7563.2377058602597</v>
      </c>
      <c r="Q224" s="12">
        <f>INDEX(C_alpha_beta[],MATCH(ECF[[#This Row],[Solo]],C_alpha_beta[Solo],0),MATCH(ECF[[#Headers],[C (kPa)]],C_alpha_beta[#Headers],0))</f>
        <v>400</v>
      </c>
      <c r="R224" s="4">
        <f>INDEX(C_alpha_beta[],MATCH(ECF[[#This Row],[Solo]],C_alpha_beta[Solo],0),MATCH(ECF[[#Headers],[α ESF]],C_alpha_beta[#Headers],0))</f>
        <v>0.5</v>
      </c>
      <c r="S224" s="4">
        <f>INDEX(C_alpha_beta[],MATCH(ECF[[#This Row],[Solo]],C_alpha_beta[Solo],0),MATCH(ECF[[#Headers],[β ESF]],C_alpha_beta[#Headers],0))</f>
        <v>0.5</v>
      </c>
      <c r="T224" s="4">
        <f>IF(ECF[[#This Row],[Prof. (m)]]=0,0,10*(ECF[[#This Row],[NSPT]]/3+1))</f>
        <v>96.666666666666657</v>
      </c>
      <c r="U224" s="4">
        <f>(ECF[[#This Row],[α ESF]]*ECF[[#This Row],[C (kPa)]]*ECF[[#This Row],[NSPT]]*ECF[[#This Row],[Ap (m²)]])/'DADOS CAP. CARGA'!$Q$2+(ECF[[#This Row],[β ESF]]*SUMIFS(ECF[10∙(NL/3+1)],ECF[Prof. (m)],"&lt;="&amp;ECF[[#This Row],[Prof. (m)]],ECF[idDiâmetro],ECF[[#This Row],[idDiâmetro]],ECF[idPilar],ECF[[#This Row],[idPilar]])*ECF[[#This Row],[U (m)]])/'DADOS CAP. CARGA'!$S$2</f>
        <v>3137.4038633850068</v>
      </c>
      <c r="V224" s="4">
        <f>IF(SPT!$M$5=1,MIN(ECF[[#This Row],[Pe ECF (kN)]],ECF[[#This Row],[R_AV (kN)]]),IF(SPT!$M$5=2,MIN(ECF[[#This Row],[Pe ECF (kN)]],ECF[[#This Row],[R_DC (kN)]]),MIN(ECF[[#This Row],[Pe ECF (kN)]],ECF[[#This Row],[R_AV (kN)]],ECF[[#This Row],[R_DC (kN)]])))</f>
        <v>3137.4038633850068</v>
      </c>
      <c r="W224" s="4">
        <f>INDEX(PILARES[],ECF[[#This Row],[idPilar]],MATCH("Carga (kN)",PILARES[#Headers],0))*1.4</f>
        <v>1750</v>
      </c>
      <c r="X224" s="12">
        <f>INDEX(PILARES[],ECF[[#This Row],[idPilar]],MATCH(ECF[[#Headers],[ap (cm)]],PILARES[#Headers],0))</f>
        <v>50</v>
      </c>
      <c r="Y224" s="12">
        <f>INDEX(PILARES[],ECF[[#This Row],[idPilar]],MATCH(ECF[[#Headers],[bp (cm)]],PILARES[#Headers],0))</f>
        <v>40</v>
      </c>
      <c r="Z224" s="4">
        <f>SQRT(ECF[[#This Row],[ap (cm)]]*ECF[[#This Row],[bp (cm)]])</f>
        <v>44.721359549995796</v>
      </c>
      <c r="AA224" s="12">
        <f>ECF[[#This Row],[ap (cm)]]*ECF[[#This Row],[bp (cm)]]</f>
        <v>2000</v>
      </c>
      <c r="AB224" s="12">
        <f ca="1">IF(ECF[[#This Row],[Padm∙ε (kN)]]&gt;=ECF[[#This Row],[Padm (kN)]],ROUNDUP(1.05*ECF[[#This Row],[Nsd (kN)]]/ECF[[#This Row],[Padm (kN)]],0),ROUNDUP(1.05*ECF[[#This Row],[Nsd (kN)]]/ECF[[#This Row],[Padm (kN)]],0)+1)</f>
        <v>1</v>
      </c>
      <c r="AC224" s="4">
        <f ca="1">IFERROR(IF(ECF[[#This Row],[nE]]=1,ECF[[#This Row],[Padm (kN)]],ECF[[#This Row],[Padm (kN)]]*ECF[[#This Row],[nE]]*INDEX(grupoEstacas[],ECF[[#This Row],[nE]],MATCH("ε",grupoEstacas[#Headers],0))),"N.S.")</f>
        <v>3137.4038633850068</v>
      </c>
      <c r="AD224" s="4">
        <f ca="1">1.05*ECF[[#This Row],[Nsd (kN)]]/(ECF[[#This Row],[nE]]*PI()*ECF[[#This Row],[Ø (cm)]]^2/4)*10</f>
        <v>0.9138975247854928</v>
      </c>
      <c r="AE224" s="4">
        <f ca="1">IF(ECF[[#This Row],[σ (MPa)]]&lt;INDEX(tipoEstaca[],MATCH($D$2,tipoEstaca[TIPO DE ESTACA],0),MATCH("σmáx (MPa)",tipoEstaca[#Headers],0)),0.4%*PI()*ECF[[#This Row],[Ø (cm)]]^2/4,"N.S.")</f>
        <v>80.424771931898704</v>
      </c>
      <c r="AF224" s="1">
        <f>INDEX(tipoEstaca[],MATCH($D$2,tipoEstaca[TIPO DE ESTACA],0),MATCH(ECF[[#Headers],[Comprimento (m)]],tipoEstaca[#Headers],0))</f>
        <v>4</v>
      </c>
      <c r="AG224" s="5">
        <f ca="1">ECF[[#This Row],[As,mín (cm²)]]/100^2*ECF[[#This Row],[Comprimento (m)]]*7850</f>
        <v>252.53378386616191</v>
      </c>
      <c r="AH224" s="4">
        <f ca="1">ECF[[#This Row],[nE]]*ECF[[#This Row],[Prof. (m)]]*ECF[[#This Row],[Ap (m²)]]</f>
        <v>18.095573684677209</v>
      </c>
      <c r="AI224" s="1">
        <f ca="1">IF(ECF[[#This Row],[nE]]=1,0,MAX(3*ECF[[#This Row],[Ø (cm)]],60))</f>
        <v>0</v>
      </c>
      <c r="AJ224" s="1">
        <f ca="1">IF(ECF[[#This Row],[nE]]=1,ECF[[#This Row],[Ø (cm)]]+2*10,MAX(1.5*ECF[[#This Row],[Ø (cm)]],ECF[[#This Row],[Ø (cm)]]+15))</f>
        <v>180</v>
      </c>
      <c r="AK224" s="1">
        <f ca="1">alturaUtil(ECF[[#This Row],[nE]],ECF[[#This Row],[Ø (cm)]],ECF[[#This Row],[e (cm)]],ECF[[#This Row],[ap,eq (cm)]])</f>
        <v>195</v>
      </c>
      <c r="AL224" s="1">
        <f ca="1">IFERROR(ECF[[#This Row],[d (cm)]]+arredondarParaCimaMultiplo5cm(MAX(5,SQRT(PI())/2*ECF[[#This Row],[Ø (cm)]]/5)),"N.S.")</f>
        <v>225</v>
      </c>
      <c r="AM224" s="5">
        <f ca="1">alpha(ECF[[#This Row],[nE]],ECF[[#This Row],[d (cm)]],ECF[[#This Row],[e (cm)]],ECF[[#This Row],[ap,eq (cm)]])</f>
        <v>90</v>
      </c>
      <c r="AN224" s="35">
        <f ca="1">IFERROR(ECF[[#This Row],[Nsd (kN)]]/(ECF[[#This Row],[Ap (cm²)]]*SIN(ECF[[#This Row],[α]])^2),"N.S.")</f>
        <v>1.0948037013095111</v>
      </c>
      <c r="AO224" s="35">
        <f ca="1">IFERROR(ECF[[#This Row],[Nsd (kN)]]/(ECF[[#This Row],[nE]]*PI()*ECF[[#This Row],[Ø (cm)]]^2/4*SIN(ECF[[#This Row],[α]])^2),"N.S.")</f>
        <v>0.10890213798669478</v>
      </c>
      <c r="AP224" s="4">
        <f ca="1">IFERROR(INDEX(grupoEstacas[],ECF[[#This Row],[nE]],MATCH("coef. Blévot",grupoEstacas[#Headers],0)),"N.S.")</f>
        <v>1</v>
      </c>
      <c r="AQ224" s="35">
        <f ca="1">IFERROR(ECF[[#This Row],[coef. Blévot]]*0.9*INDEX(tipoEstaca[],MATCH($D$2,tipoEstaca[TIPO DE ESTACA],0),MATCH("fcd (kN/cm²)",tipoEstaca[#Headers],0)),"N.S.")</f>
        <v>1</v>
      </c>
      <c r="AR224" s="1" t="str">
        <f ca="1">IF(AND(ECF[[#This Row],[cd,b,pil (kN/cm²)]]&lt;=ECF[[#This Row],[cd,b,lim (kN/cm²)]],ECF[[#This Row],[cd,b,est (kN/cm²)]]&lt;=ECF[[#This Row],[cd,b,lim (kN/cm²)]]),"OK","ERRO")</f>
        <v>ERRO</v>
      </c>
      <c r="AS224" s="4">
        <f ca="1">As_lado(ECF[[#This Row],[nE]],ECF[[#This Row],[Nsd (kN)]],ECF[[#This Row],[d (cm)]],ECF[[#This Row],[e (cm)]],ECF[[#This Row],[ap,eq (cm)]])</f>
        <v>10.0625</v>
      </c>
      <c r="AT224" s="4">
        <f ca="1">IF(ECF[[#This Row],[nE]]=1,ECF[[#This Row],[As,lado (cm²)]],IF(ECF[[#This Row],[nE]]=2,0.075*2*ECF[a (cm)],"N.A."))</f>
        <v>10.0625</v>
      </c>
      <c r="AU224" s="4" t="str">
        <f ca="1">IFERROR(IF(ECF[[#This Row],[nE]]=1,"N.A.",0.2*ECF[[#This Row],[As,lado (cm²)]]),"N.S.")</f>
        <v>N.A.</v>
      </c>
      <c r="AV224" s="4" t="str">
        <f ca="1">As_malha(ECF[[#This Row],[nE]],ECF[[#This Row],[As,lado (cm²)]],ECF[[#This Row],[Nsd (kN)]])</f>
        <v>N.A.</v>
      </c>
      <c r="AW224" s="4" t="str">
        <f ca="1">As_susp_tot(ECF[[#This Row],[nE]],ECF[[#This Row],[Nsd (kN)]])</f>
        <v>N.A.</v>
      </c>
      <c r="AX224" s="4" t="str">
        <f ca="1">Asp_face(ECF[[#This Row],[nE]],ECF[[#This Row],[As,lado (cm²)]])</f>
        <v>N.A.</v>
      </c>
      <c r="AY224" s="5">
        <f ca="1">acoBloco(ECF[[#This Row],[nE]],ECF[[#This Row],[e (cm)]],ECF[[#This Row],[a (cm)]],ECF[[#This Row],[h (cm)]],ECF[[#This Row],[As,lado (cm²)]],ECF[[#This Row],[Asp e Asw (cm²/m)]],ECF[[#This Row],[As,sup (cm²)]],ECF[[#This Row],[As,malha (cm²)]],ECF[[#This Row],[As,susp,tot (cm²)]],ECF[[#This Row],[Asp,face (cm²)]])</f>
        <v>184.83806250000001</v>
      </c>
      <c r="AZ224" s="4">
        <f ca="1">concretoBloco(ECF[[#This Row],[nE]],ECF[[#This Row],[e (cm)]],ECF[[#This Row],[a (cm)]],ECF[[#This Row],[h (cm)]])</f>
        <v>7.29</v>
      </c>
      <c r="BA224" s="5">
        <f ca="1">SUM(ECF[[#This Row],[Aço Est (kg)]],ECF[[#This Row],[Aço Bloco (kg)]])</f>
        <v>437.37184636616189</v>
      </c>
      <c r="BB224" s="4">
        <f>INDEX(composicoes[],MATCH(95580,composicoes[CÓDIGO],0),MATCH("CUSTO TOTAL",composicoes[#Headers],0))</f>
        <v>10.46</v>
      </c>
      <c r="BC224" s="4">
        <f ca="1">SUM(ECF[[#This Row],[Conc Est (m³)]],ECF[[#This Row],[Conc Bloco (m³)]])</f>
        <v>25.385573684677208</v>
      </c>
      <c r="BD224" s="4">
        <f>INDEX(composicoes[],MATCH(94966,composicoes[CÓDIGO],0),MATCH("CUSTO TOTAL",composicoes[#Headers],0))</f>
        <v>439.52</v>
      </c>
      <c r="BE224" s="38">
        <f ca="1">ECF[[#This Row],[Aço (kg)]]*ECF[[#This Row],[Aço (R$/kg)]]+ECF[[#This Row],[Conc (m³)]]*ECF[[#This Row],[Conc (R$/m³)]]</f>
        <v>15732.376858879379</v>
      </c>
      <c r="BF224" s="4" t="str">
        <f ca="1">IF(COUNTIF(ECF[#This Row],"N.S.")&gt;0,"lim.","OK")</f>
        <v>OK</v>
      </c>
      <c r="BG224" s="4" t="str">
        <f>IF(ECF[[#This Row],[Prof. (m)]]&lt;4,"lim.","OK")</f>
        <v>OK</v>
      </c>
      <c r="BH224" s="4" t="str">
        <f>IF(ECF[[#This Row],[Prof. (m)]]&gt;=8*ECF[[#This Row],[Ø (cm)]]/100,"OK","lim.")</f>
        <v>lim.</v>
      </c>
      <c r="BI224" s="4" t="str">
        <f>IF(AND(SPT!$F$3&lt;&gt;"",ECF[[#This Row],[Prof. (m)]]&gt;=SPT!$F$3-2),"lim.","OK")</f>
        <v>OK</v>
      </c>
      <c r="BJ224" s="4" t="str">
        <f ca="1">IF(ECF[[#This Row],[Verif. Biela]]="OK","OK","lim.")</f>
        <v>lim.</v>
      </c>
      <c r="BK224" s="4" t="str">
        <f ca="1">IF(COUNTA(ECF[[#This Row],[Nº Est.]:[Biela comp.]])=COUNTIF(ECF[[#This Row],[Nº Est.]:[Biela comp.]],"OK"),"OK","lim.")</f>
        <v>lim.</v>
      </c>
      <c r="BL224" s="4" t="str">
        <f ca="1">IF(ECF[[#This Row],[Controle]]="OK",ECF[[#This Row],[nE]]&amp;" Ø"&amp;ECF[[#This Row],[Ø (cm)]]&amp;"cm Prof. "&amp;ECF[[#This Row],[Prof. (m)]]&amp;" m","")</f>
        <v/>
      </c>
      <c r="BM224" s="4" t="str">
        <f ca="1">IF(ECF[[#This Row],[idDimensionamento]]="","",ECF[[#This Row],[idPilar]]&amp;ECF[[#This Row],[idDimensionamento]])</f>
        <v/>
      </c>
    </row>
    <row r="225" spans="2:65" x14ac:dyDescent="0.25">
      <c r="B225" s="12">
        <f>ROUNDUP((ROW(ECF[[#This Row],[idDiâmetro]])-ROW(ECF[[#Headers],[idDiâmetro]]))/(COUNT(SPT[Prof. (m)])*COUNT(PILARES[Pilar])),0)</f>
        <v>8</v>
      </c>
      <c r="C225" s="12">
        <f>IF(ECF[[#This Row],[idDiâmetro]]&lt;&gt;B224,1,IF(ECF[[#This Row],[Prof. (m)]]=0,C224+1,C224))</f>
        <v>2</v>
      </c>
      <c r="D225" s="82">
        <f>IFERROR(IF(D224=MAX(SPT[Prof. (m)]),0,D224+1),0)</f>
        <v>10</v>
      </c>
      <c r="E225" s="82">
        <f>INDEX(SPT[],MATCH(ECF[[#This Row],[Prof. (m)]],SPT[Prof. (m)],0),2)</f>
        <v>32</v>
      </c>
      <c r="F225" s="82" t="str">
        <f>INDEX(SPT[],MATCH(ECF[[#This Row],[Prof. (m)]],SPT[Prof. (m)],0),3)</f>
        <v>Areia siltosa</v>
      </c>
      <c r="G225" s="82">
        <f>INDEX(estacas[],ECF[[#This Row],[idDiâmetro]],MATCH($B$2,estacas[#Headers],0))</f>
        <v>160</v>
      </c>
      <c r="H225" s="82">
        <f>INDEX(estacas[],MATCH(ECF[[#This Row],[Ø (cm)]],estacas[Ø ECF (cm)],0),MATCH(ECF[[#Headers],[Pe ECF (kN)]],estacas[#Headers],0))</f>
        <v>8200</v>
      </c>
      <c r="I225" s="4">
        <f>INDEX(K_alpha_C[],MATCH(ECF[[#This Row],[Solo]],K_alpha_C[Solo],0),2)</f>
        <v>0.8</v>
      </c>
      <c r="J225" s="5">
        <f>INDEX(K_alpha_C[],MATCH(ECF[[#This Row],[Solo]],K_alpha_C[Solo],0),3)</f>
        <v>2</v>
      </c>
      <c r="K225" s="4">
        <f>INDEX(F1_F2[],MATCH($D$2,F1_F2[Tipo de estaca],0),2)</f>
        <v>3</v>
      </c>
      <c r="L225" s="4">
        <f>INDEX(F1_F2[],MATCH($D$2,F1_F2[Tipo de estaca],0),3)</f>
        <v>6</v>
      </c>
      <c r="M225" s="4">
        <f>PI()*(ECF[[#This Row],[Ø (cm)]]/100)^2/4</f>
        <v>2.0106192982974678</v>
      </c>
      <c r="N225" s="4">
        <f>PI()*ECF[[#This Row],[Ø (cm)]]/100</f>
        <v>5.026548245743669</v>
      </c>
      <c r="O225" s="4">
        <f>IF(ECF[[#This Row],[Prof. (m)]]=0,0,ECF[[#This Row],[α (%)]]/100*ECF[[#This Row],[K (MPa)]]*1000*ECF[[#This Row],[NSPT]])</f>
        <v>512</v>
      </c>
      <c r="P225" s="4">
        <f>IF(ECF[[#This Row],[Prof. (m)]]=0,0,(ECF[[#This Row],[K (MPa)]]*1000*ECF[[#This Row],[NSPT]]/ECF[[#This Row],[F1]]*ECF[[#This Row],[Ap (m²)]]+ECF[[#This Row],[U (m)]]/ECF[[#This Row],[F2]]*SUMIFS(ECF[(α∙K∙NL∙ΔL)],ECF[Prof. (m)],"&lt;="&amp;ECF[[#This Row],[Prof. (m)]],ECF[idDiâmetro],ECF[[#This Row],[idDiâmetro]],ECF[idPilar],ECF[[#This Row],[idPilar]]))/'DADOS CAP. CARGA'!$D$2)</f>
        <v>9386.1992029832982</v>
      </c>
      <c r="Q225" s="12">
        <f>INDEX(C_alpha_beta[],MATCH(ECF[[#This Row],[Solo]],C_alpha_beta[Solo],0),MATCH(ECF[[#Headers],[C (kPa)]],C_alpha_beta[#Headers],0))</f>
        <v>400</v>
      </c>
      <c r="R225" s="4">
        <f>INDEX(C_alpha_beta[],MATCH(ECF[[#This Row],[Solo]],C_alpha_beta[Solo],0),MATCH(ECF[[#Headers],[α ESF]],C_alpha_beta[#Headers],0))</f>
        <v>0.5</v>
      </c>
      <c r="S225" s="4">
        <f>INDEX(C_alpha_beta[],MATCH(ECF[[#This Row],[Solo]],C_alpha_beta[Solo],0),MATCH(ECF[[#Headers],[β ESF]],C_alpha_beta[#Headers],0))</f>
        <v>0.5</v>
      </c>
      <c r="T225" s="4">
        <f>IF(ECF[[#This Row],[Prof. (m)]]=0,0,10*(ECF[[#This Row],[NSPT]]/3+1))</f>
        <v>116.66666666666666</v>
      </c>
      <c r="U225" s="4">
        <f>(ECF[[#This Row],[α ESF]]*ECF[[#This Row],[C (kPa)]]*ECF[[#This Row],[NSPT]]*ECF[[#This Row],[Ap (m²)]])/'DADOS CAP. CARGA'!$Q$2+(ECF[[#This Row],[β ESF]]*SUMIFS(ECF[10∙(NL/3+1)],ECF[Prof. (m)],"&lt;="&amp;ECF[[#This Row],[Prof. (m)]],ECF[idDiâmetro],ECF[[#This Row],[idDiâmetro]],ECF[idPilar],ECF[[#This Row],[idPilar]])*ECF[[#This Row],[U (m)]])/'DADOS CAP. CARGA'!$S$2</f>
        <v>3887.1973100417708</v>
      </c>
      <c r="V225" s="4">
        <f>IF(SPT!$M$5=1,MIN(ECF[[#This Row],[Pe ECF (kN)]],ECF[[#This Row],[R_AV (kN)]]),IF(SPT!$M$5=2,MIN(ECF[[#This Row],[Pe ECF (kN)]],ECF[[#This Row],[R_DC (kN)]]),MIN(ECF[[#This Row],[Pe ECF (kN)]],ECF[[#This Row],[R_AV (kN)]],ECF[[#This Row],[R_DC (kN)]])))</f>
        <v>3887.1973100417708</v>
      </c>
      <c r="W225" s="4">
        <f>INDEX(PILARES[],ECF[[#This Row],[idPilar]],MATCH("Carga (kN)",PILARES[#Headers],0))*1.4</f>
        <v>1750</v>
      </c>
      <c r="X225" s="12">
        <f>INDEX(PILARES[],ECF[[#This Row],[idPilar]],MATCH(ECF[[#Headers],[ap (cm)]],PILARES[#Headers],0))</f>
        <v>50</v>
      </c>
      <c r="Y225" s="12">
        <f>INDEX(PILARES[],ECF[[#This Row],[idPilar]],MATCH(ECF[[#Headers],[bp (cm)]],PILARES[#Headers],0))</f>
        <v>40</v>
      </c>
      <c r="Z225" s="4">
        <f>SQRT(ECF[[#This Row],[ap (cm)]]*ECF[[#This Row],[bp (cm)]])</f>
        <v>44.721359549995796</v>
      </c>
      <c r="AA225" s="12">
        <f>ECF[[#This Row],[ap (cm)]]*ECF[[#This Row],[bp (cm)]]</f>
        <v>2000</v>
      </c>
      <c r="AB225" s="12">
        <f ca="1">IF(ECF[[#This Row],[Padm∙ε (kN)]]&gt;=ECF[[#This Row],[Padm (kN)]],ROUNDUP(1.05*ECF[[#This Row],[Nsd (kN)]]/ECF[[#This Row],[Padm (kN)]],0),ROUNDUP(1.05*ECF[[#This Row],[Nsd (kN)]]/ECF[[#This Row],[Padm (kN)]],0)+1)</f>
        <v>1</v>
      </c>
      <c r="AC225" s="4">
        <f ca="1">IFERROR(IF(ECF[[#This Row],[nE]]=1,ECF[[#This Row],[Padm (kN)]],ECF[[#This Row],[Padm (kN)]]*ECF[[#This Row],[nE]]*INDEX(grupoEstacas[],ECF[[#This Row],[nE]],MATCH("ε",grupoEstacas[#Headers],0))),"N.S.")</f>
        <v>3887.1973100417708</v>
      </c>
      <c r="AD225" s="4">
        <f ca="1">1.05*ECF[[#This Row],[Nsd (kN)]]/(ECF[[#This Row],[nE]]*PI()*ECF[[#This Row],[Ø (cm)]]^2/4)*10</f>
        <v>0.9138975247854928</v>
      </c>
      <c r="AE225" s="4">
        <f ca="1">IF(ECF[[#This Row],[σ (MPa)]]&lt;INDEX(tipoEstaca[],MATCH($D$2,tipoEstaca[TIPO DE ESTACA],0),MATCH("σmáx (MPa)",tipoEstaca[#Headers],0)),0.4%*PI()*ECF[[#This Row],[Ø (cm)]]^2/4,"N.S.")</f>
        <v>80.424771931898704</v>
      </c>
      <c r="AF225" s="82">
        <f>INDEX(tipoEstaca[],MATCH($D$2,tipoEstaca[TIPO DE ESTACA],0),MATCH(ECF[[#Headers],[Comprimento (m)]],tipoEstaca[#Headers],0))</f>
        <v>4</v>
      </c>
      <c r="AG225" s="5">
        <f ca="1">ECF[[#This Row],[As,mín (cm²)]]/100^2*ECF[[#This Row],[Comprimento (m)]]*7850</f>
        <v>252.53378386616191</v>
      </c>
      <c r="AH225" s="4">
        <f ca="1">ECF[[#This Row],[nE]]*ECF[[#This Row],[Prof. (m)]]*ECF[[#This Row],[Ap (m²)]]</f>
        <v>20.106192982974676</v>
      </c>
      <c r="AI225" s="82">
        <f ca="1">IF(ECF[[#This Row],[nE]]=1,0,MAX(3*ECF[[#This Row],[Ø (cm)]],60))</f>
        <v>0</v>
      </c>
      <c r="AJ225" s="82">
        <f ca="1">IF(ECF[[#This Row],[nE]]=1,ECF[[#This Row],[Ø (cm)]]+2*10,MAX(1.5*ECF[[#This Row],[Ø (cm)]],ECF[[#This Row],[Ø (cm)]]+15))</f>
        <v>180</v>
      </c>
      <c r="AK225" s="82">
        <f ca="1">alturaUtil(ECF[[#This Row],[nE]],ECF[[#This Row],[Ø (cm)]],ECF[[#This Row],[e (cm)]],ECF[[#This Row],[ap,eq (cm)]])</f>
        <v>195</v>
      </c>
      <c r="AL225" s="82">
        <f ca="1">IFERROR(ECF[[#This Row],[d (cm)]]+arredondarParaCimaMultiplo5cm(MAX(5,SQRT(PI())/2*ECF[[#This Row],[Ø (cm)]]/5)),"N.S.")</f>
        <v>225</v>
      </c>
      <c r="AM225" s="5">
        <f ca="1">alpha(ECF[[#This Row],[nE]],ECF[[#This Row],[d (cm)]],ECF[[#This Row],[e (cm)]],ECF[[#This Row],[ap,eq (cm)]])</f>
        <v>90</v>
      </c>
      <c r="AN225" s="35">
        <f ca="1">IFERROR(ECF[[#This Row],[Nsd (kN)]]/(ECF[[#This Row],[Ap (cm²)]]*SIN(ECF[[#This Row],[α]])^2),"N.S.")</f>
        <v>1.0948037013095111</v>
      </c>
      <c r="AO225" s="35">
        <f ca="1">IFERROR(ECF[[#This Row],[Nsd (kN)]]/(ECF[[#This Row],[nE]]*PI()*ECF[[#This Row],[Ø (cm)]]^2/4*SIN(ECF[[#This Row],[α]])^2),"N.S.")</f>
        <v>0.10890213798669478</v>
      </c>
      <c r="AP225" s="4">
        <f ca="1">IFERROR(INDEX(grupoEstacas[],ECF[[#This Row],[nE]],MATCH("coef. Blévot",grupoEstacas[#Headers],0)),"N.S.")</f>
        <v>1</v>
      </c>
      <c r="AQ225" s="35">
        <f ca="1">IFERROR(ECF[[#This Row],[coef. Blévot]]*0.9*INDEX(tipoEstaca[],MATCH($D$2,tipoEstaca[TIPO DE ESTACA],0),MATCH("fcd (kN/cm²)",tipoEstaca[#Headers],0)),"N.S.")</f>
        <v>1</v>
      </c>
      <c r="AR225" s="82" t="str">
        <f ca="1">IF(AND(ECF[[#This Row],[cd,b,pil (kN/cm²)]]&lt;=ECF[[#This Row],[cd,b,lim (kN/cm²)]],ECF[[#This Row],[cd,b,est (kN/cm²)]]&lt;=ECF[[#This Row],[cd,b,lim (kN/cm²)]]),"OK","ERRO")</f>
        <v>ERRO</v>
      </c>
      <c r="AS225" s="4">
        <f ca="1">As_lado(ECF[[#This Row],[nE]],ECF[[#This Row],[Nsd (kN)]],ECF[[#This Row],[d (cm)]],ECF[[#This Row],[e (cm)]],ECF[[#This Row],[ap,eq (cm)]])</f>
        <v>10.0625</v>
      </c>
      <c r="AT225" s="4">
        <f ca="1">IF(ECF[[#This Row],[nE]]=1,ECF[[#This Row],[As,lado (cm²)]],IF(ECF[[#This Row],[nE]]=2,0.075*2*ECF[a (cm)],"N.A."))</f>
        <v>10.0625</v>
      </c>
      <c r="AU225" s="4" t="str">
        <f ca="1">IFERROR(IF(ECF[[#This Row],[nE]]=1,"N.A.",0.2*ECF[[#This Row],[As,lado (cm²)]]),"N.S.")</f>
        <v>N.A.</v>
      </c>
      <c r="AV225" s="4" t="str">
        <f ca="1">As_malha(ECF[[#This Row],[nE]],ECF[[#This Row],[As,lado (cm²)]],ECF[[#This Row],[Nsd (kN)]])</f>
        <v>N.A.</v>
      </c>
      <c r="AW225" s="4" t="str">
        <f ca="1">As_susp_tot(ECF[[#This Row],[nE]],ECF[[#This Row],[Nsd (kN)]])</f>
        <v>N.A.</v>
      </c>
      <c r="AX225" s="4" t="str">
        <f ca="1">Asp_face(ECF[[#This Row],[nE]],ECF[[#This Row],[As,lado (cm²)]])</f>
        <v>N.A.</v>
      </c>
      <c r="AY225" s="5">
        <f ca="1">acoBloco(ECF[[#This Row],[nE]],ECF[[#This Row],[e (cm)]],ECF[[#This Row],[a (cm)]],ECF[[#This Row],[h (cm)]],ECF[[#This Row],[As,lado (cm²)]],ECF[[#This Row],[Asp e Asw (cm²/m)]],ECF[[#This Row],[As,sup (cm²)]],ECF[[#This Row],[As,malha (cm²)]],ECF[[#This Row],[As,susp,tot (cm²)]],ECF[[#This Row],[Asp,face (cm²)]])</f>
        <v>184.83806250000001</v>
      </c>
      <c r="AZ225" s="4">
        <f ca="1">concretoBloco(ECF[[#This Row],[nE]],ECF[[#This Row],[e (cm)]],ECF[[#This Row],[a (cm)]],ECF[[#This Row],[h (cm)]])</f>
        <v>7.29</v>
      </c>
      <c r="BA225" s="5">
        <f ca="1">SUM(ECF[[#This Row],[Aço Est (kg)]],ECF[[#This Row],[Aço Bloco (kg)]])</f>
        <v>437.37184636616189</v>
      </c>
      <c r="BB225" s="4">
        <f>INDEX(composicoes[],MATCH(95580,composicoes[CÓDIGO],0),MATCH("CUSTO TOTAL",composicoes[#Headers],0))</f>
        <v>10.46</v>
      </c>
      <c r="BC225" s="4">
        <f ca="1">SUM(ECF[[#This Row],[Conc Est (m³)]],ECF[[#This Row],[Conc Bloco (m³)]])</f>
        <v>27.396192982974675</v>
      </c>
      <c r="BD225" s="4">
        <f>INDEX(composicoes[],MATCH(94966,composicoes[CÓDIGO],0),MATCH("CUSTO TOTAL",composicoes[#Headers],0))</f>
        <v>439.52</v>
      </c>
      <c r="BE225" s="38">
        <f ca="1">ECF[[#This Row],[Aço (kg)]]*ECF[[#This Row],[Aço (R$/kg)]]+ECF[[#This Row],[Conc (m³)]]*ECF[[#This Row],[Conc (R$/m³)]]</f>
        <v>16616.084252867084</v>
      </c>
      <c r="BF225" s="4" t="str">
        <f ca="1">IF(COUNTIF(ECF[#This Row],"N.S.")&gt;0,"lim.","OK")</f>
        <v>OK</v>
      </c>
      <c r="BG225" s="4" t="str">
        <f>IF(ECF[[#This Row],[Prof. (m)]]&lt;4,"lim.","OK")</f>
        <v>OK</v>
      </c>
      <c r="BH225" s="4" t="str">
        <f>IF(ECF[[#This Row],[Prof. (m)]]&gt;=8*ECF[[#This Row],[Ø (cm)]]/100,"OK","lim.")</f>
        <v>lim.</v>
      </c>
      <c r="BI225" s="4" t="str">
        <f>IF(AND(SPT!$F$3&lt;&gt;"",ECF[[#This Row],[Prof. (m)]]&gt;=SPT!$F$3-2),"lim.","OK")</f>
        <v>OK</v>
      </c>
      <c r="BJ225" s="4" t="str">
        <f ca="1">IF(ECF[[#This Row],[Verif. Biela]]="OK","OK","lim.")</f>
        <v>lim.</v>
      </c>
      <c r="BK225" s="4" t="str">
        <f ca="1">IF(COUNTA(ECF[[#This Row],[Nº Est.]:[Biela comp.]])=COUNTIF(ECF[[#This Row],[Nº Est.]:[Biela comp.]],"OK"),"OK","lim.")</f>
        <v>lim.</v>
      </c>
      <c r="BL225" s="4" t="str">
        <f ca="1">IF(ECF[[#This Row],[Controle]]="OK",ECF[[#This Row],[nE]]&amp;" Ø "&amp;ECF[[#This Row],[Ø (cm)]]&amp;" cm, Prof. "&amp;ECF[[#This Row],[Prof. (m)]]&amp;" m","")</f>
        <v/>
      </c>
      <c r="BM225" s="4" t="str">
        <f ca="1">IF(ECF[[#This Row],[idDimensionamento]]="","",ECF[[#This Row],[idPilar]]&amp;ECF[[#This Row],[idDimensionamento]])</f>
        <v/>
      </c>
    </row>
    <row r="226" spans="2:65" x14ac:dyDescent="0.25">
      <c r="B226" s="12">
        <f>ROUNDUP((ROW(ECF[[#This Row],[idDiâmetro]])-ROW(ECF[[#Headers],[idDiâmetro]]))/(COUNT(SPT[Prof. (m)])*COUNT(PILARES[Pilar])),0)</f>
        <v>8</v>
      </c>
      <c r="C226" s="12">
        <f>IF(ECF[[#This Row],[idDiâmetro]]&lt;&gt;B225,1,IF(ECF[[#This Row],[Prof. (m)]]=0,C225+1,C225))</f>
        <v>2</v>
      </c>
      <c r="D226" s="82">
        <f>IFERROR(IF(D225=MAX(SPT[Prof. (m)]),0,D225+1),0)</f>
        <v>11</v>
      </c>
      <c r="E226" s="82">
        <f>INDEX(SPT[],MATCH(ECF[[#This Row],[Prof. (m)]],SPT[Prof. (m)],0),2)</f>
        <v>41</v>
      </c>
      <c r="F226" s="82" t="str">
        <f>INDEX(SPT[],MATCH(ECF[[#This Row],[Prof. (m)]],SPT[Prof. (m)],0),3)</f>
        <v>Areia siltosa</v>
      </c>
      <c r="G226" s="82">
        <f>INDEX(estacas[],ECF[[#This Row],[idDiâmetro]],MATCH($B$2,estacas[#Headers],0))</f>
        <v>160</v>
      </c>
      <c r="H226" s="82">
        <f>INDEX(estacas[],MATCH(ECF[[#This Row],[Ø (cm)]],estacas[Ø ECF (cm)],0),MATCH(ECF[[#Headers],[Pe ECF (kN)]],estacas[#Headers],0))</f>
        <v>8200</v>
      </c>
      <c r="I226" s="4">
        <f>INDEX(K_alpha_C[],MATCH(ECF[[#This Row],[Solo]],K_alpha_C[Solo],0),2)</f>
        <v>0.8</v>
      </c>
      <c r="J226" s="5">
        <f>INDEX(K_alpha_C[],MATCH(ECF[[#This Row],[Solo]],K_alpha_C[Solo],0),3)</f>
        <v>2</v>
      </c>
      <c r="K226" s="4">
        <f>INDEX(F1_F2[],MATCH($D$2,F1_F2[Tipo de estaca],0),2)</f>
        <v>3</v>
      </c>
      <c r="L226" s="4">
        <f>INDEX(F1_F2[],MATCH($D$2,F1_F2[Tipo de estaca],0),3)</f>
        <v>6</v>
      </c>
      <c r="M226" s="4">
        <f>PI()*(ECF[[#This Row],[Ø (cm)]]/100)^2/4</f>
        <v>2.0106192982974678</v>
      </c>
      <c r="N226" s="4">
        <f>PI()*ECF[[#This Row],[Ø (cm)]]/100</f>
        <v>5.026548245743669</v>
      </c>
      <c r="O226" s="4">
        <f>IF(ECF[[#This Row],[Prof. (m)]]=0,0,ECF[[#This Row],[α (%)]]/100*ECF[[#This Row],[K (MPa)]]*1000*ECF[[#This Row],[NSPT]])</f>
        <v>656</v>
      </c>
      <c r="P226" s="4">
        <f>IF(ECF[[#This Row],[Prof. (m)]]=0,0,(ECF[[#This Row],[K (MPa)]]*1000*ECF[[#This Row],[NSPT]]/ECF[[#This Row],[F1]]*ECF[[#This Row],[Ap (m²)]]+ECF[[#This Row],[U (m)]]/ECF[[#This Row],[F2]]*SUMIFS(ECF[(α∙K∙NL∙ΔL)],ECF[Prof. (m)],"&lt;="&amp;ECF[[#This Row],[Prof. (m)]],ECF[idDiâmetro],ECF[[#This Row],[idDiâmetro]],ECF[idPilar],ECF[[#This Row],[idPilar]]))/'DADOS CAP. CARGA'!$D$2)</f>
        <v>12073.726998374248</v>
      </c>
      <c r="Q226" s="12">
        <f>INDEX(C_alpha_beta[],MATCH(ECF[[#This Row],[Solo]],C_alpha_beta[Solo],0),MATCH(ECF[[#Headers],[C (kPa)]],C_alpha_beta[#Headers],0))</f>
        <v>400</v>
      </c>
      <c r="R226" s="4">
        <f>INDEX(C_alpha_beta[],MATCH(ECF[[#This Row],[Solo]],C_alpha_beta[Solo],0),MATCH(ECF[[#Headers],[α ESF]],C_alpha_beta[#Headers],0))</f>
        <v>0.5</v>
      </c>
      <c r="S226" s="4">
        <f>INDEX(C_alpha_beta[],MATCH(ECF[[#This Row],[Solo]],C_alpha_beta[Solo],0),MATCH(ECF[[#Headers],[β ESF]],C_alpha_beta[#Headers],0))</f>
        <v>0.5</v>
      </c>
      <c r="T226" s="4">
        <f>IF(ECF[[#This Row],[Prof. (m)]]=0,0,10*(ECF[[#This Row],[NSPT]]/3+1))</f>
        <v>146.66666666666666</v>
      </c>
      <c r="U226" s="4">
        <f>(ECF[[#This Row],[α ESF]]*ECF[[#This Row],[C (kPa)]]*ECF[[#This Row],[NSPT]]*ECF[[#This Row],[Ap (m²)]])/'DADOS CAP. CARGA'!$Q$2+(ECF[[#This Row],[β ESF]]*SUMIFS(ECF[10∙(NL/3+1)],ECF[Prof. (m)],"&lt;="&amp;ECF[[#This Row],[Prof. (m)]],ECF[idDiâmetro],ECF[[#This Row],[idDiâmetro]],ECF[idPilar],ECF[[#This Row],[idPilar]])*ECF[[#This Row],[U (m)]])/'DADOS CAP. CARGA'!$S$2</f>
        <v>4976.2827632862327</v>
      </c>
      <c r="V226" s="4">
        <f>IF(SPT!$M$5=1,MIN(ECF[[#This Row],[Pe ECF (kN)]],ECF[[#This Row],[R_AV (kN)]]),IF(SPT!$M$5=2,MIN(ECF[[#This Row],[Pe ECF (kN)]],ECF[[#This Row],[R_DC (kN)]]),MIN(ECF[[#This Row],[Pe ECF (kN)]],ECF[[#This Row],[R_AV (kN)]],ECF[[#This Row],[R_DC (kN)]])))</f>
        <v>4976.2827632862327</v>
      </c>
      <c r="W226" s="4">
        <f>INDEX(PILARES[],ECF[[#This Row],[idPilar]],MATCH("Carga (kN)",PILARES[#Headers],0))*1.4</f>
        <v>1750</v>
      </c>
      <c r="X226" s="12">
        <f>INDEX(PILARES[],ECF[[#This Row],[idPilar]],MATCH(ECF[[#Headers],[ap (cm)]],PILARES[#Headers],0))</f>
        <v>50</v>
      </c>
      <c r="Y226" s="12">
        <f>INDEX(PILARES[],ECF[[#This Row],[idPilar]],MATCH(ECF[[#Headers],[bp (cm)]],PILARES[#Headers],0))</f>
        <v>40</v>
      </c>
      <c r="Z226" s="4">
        <f>SQRT(ECF[[#This Row],[ap (cm)]]*ECF[[#This Row],[bp (cm)]])</f>
        <v>44.721359549995796</v>
      </c>
      <c r="AA226" s="12">
        <f>ECF[[#This Row],[ap (cm)]]*ECF[[#This Row],[bp (cm)]]</f>
        <v>2000</v>
      </c>
      <c r="AB226" s="12">
        <f ca="1">IF(ECF[[#This Row],[Padm∙ε (kN)]]&gt;=ECF[[#This Row],[Padm (kN)]],ROUNDUP(1.05*ECF[[#This Row],[Nsd (kN)]]/ECF[[#This Row],[Padm (kN)]],0),ROUNDUP(1.05*ECF[[#This Row],[Nsd (kN)]]/ECF[[#This Row],[Padm (kN)]],0)+1)</f>
        <v>1</v>
      </c>
      <c r="AC226" s="4">
        <f ca="1">IFERROR(IF(ECF[[#This Row],[nE]]=1,ECF[[#This Row],[Padm (kN)]],ECF[[#This Row],[Padm (kN)]]*ECF[[#This Row],[nE]]*INDEX(grupoEstacas[],ECF[[#This Row],[nE]],MATCH("ε",grupoEstacas[#Headers],0))),"N.S.")</f>
        <v>4976.2827632862327</v>
      </c>
      <c r="AD226" s="4">
        <f ca="1">1.05*ECF[[#This Row],[Nsd (kN)]]/(ECF[[#This Row],[nE]]*PI()*ECF[[#This Row],[Ø (cm)]]^2/4)*10</f>
        <v>0.9138975247854928</v>
      </c>
      <c r="AE226" s="4">
        <f ca="1">IF(ECF[[#This Row],[σ (MPa)]]&lt;INDEX(tipoEstaca[],MATCH($D$2,tipoEstaca[TIPO DE ESTACA],0),MATCH("σmáx (MPa)",tipoEstaca[#Headers],0)),0.4%*PI()*ECF[[#This Row],[Ø (cm)]]^2/4,"N.S.")</f>
        <v>80.424771931898704</v>
      </c>
      <c r="AF226" s="82">
        <f>INDEX(tipoEstaca[],MATCH($D$2,tipoEstaca[TIPO DE ESTACA],0),MATCH(ECF[[#Headers],[Comprimento (m)]],tipoEstaca[#Headers],0))</f>
        <v>4</v>
      </c>
      <c r="AG226" s="5">
        <f ca="1">ECF[[#This Row],[As,mín (cm²)]]/100^2*ECF[[#This Row],[Comprimento (m)]]*7850</f>
        <v>252.53378386616191</v>
      </c>
      <c r="AH226" s="4">
        <f ca="1">ECF[[#This Row],[nE]]*ECF[[#This Row],[Prof. (m)]]*ECF[[#This Row],[Ap (m²)]]</f>
        <v>22.116812281272146</v>
      </c>
      <c r="AI226" s="82">
        <f ca="1">IF(ECF[[#This Row],[nE]]=1,0,MAX(3*ECF[[#This Row],[Ø (cm)]],60))</f>
        <v>0</v>
      </c>
      <c r="AJ226" s="82">
        <f ca="1">IF(ECF[[#This Row],[nE]]=1,ECF[[#This Row],[Ø (cm)]]+2*10,MAX(1.5*ECF[[#This Row],[Ø (cm)]],ECF[[#This Row],[Ø (cm)]]+15))</f>
        <v>180</v>
      </c>
      <c r="AK226" s="82">
        <f ca="1">alturaUtil(ECF[[#This Row],[nE]],ECF[[#This Row],[Ø (cm)]],ECF[[#This Row],[e (cm)]],ECF[[#This Row],[ap,eq (cm)]])</f>
        <v>195</v>
      </c>
      <c r="AL226" s="82">
        <f ca="1">IFERROR(ECF[[#This Row],[d (cm)]]+arredondarParaCimaMultiplo5cm(MAX(5,SQRT(PI())/2*ECF[[#This Row],[Ø (cm)]]/5)),"N.S.")</f>
        <v>225</v>
      </c>
      <c r="AM226" s="5">
        <f ca="1">alpha(ECF[[#This Row],[nE]],ECF[[#This Row],[d (cm)]],ECF[[#This Row],[e (cm)]],ECF[[#This Row],[ap,eq (cm)]])</f>
        <v>90</v>
      </c>
      <c r="AN226" s="35">
        <f ca="1">IFERROR(ECF[[#This Row],[Nsd (kN)]]/(ECF[[#This Row],[Ap (cm²)]]*SIN(ECF[[#This Row],[α]])^2),"N.S.")</f>
        <v>1.0948037013095111</v>
      </c>
      <c r="AO226" s="35">
        <f ca="1">IFERROR(ECF[[#This Row],[Nsd (kN)]]/(ECF[[#This Row],[nE]]*PI()*ECF[[#This Row],[Ø (cm)]]^2/4*SIN(ECF[[#This Row],[α]])^2),"N.S.")</f>
        <v>0.10890213798669478</v>
      </c>
      <c r="AP226" s="4">
        <f ca="1">IFERROR(INDEX(grupoEstacas[],ECF[[#This Row],[nE]],MATCH("coef. Blévot",grupoEstacas[#Headers],0)),"N.S.")</f>
        <v>1</v>
      </c>
      <c r="AQ226" s="35">
        <f ca="1">IFERROR(ECF[[#This Row],[coef. Blévot]]*0.9*INDEX(tipoEstaca[],MATCH($D$2,tipoEstaca[TIPO DE ESTACA],0),MATCH("fcd (kN/cm²)",tipoEstaca[#Headers],0)),"N.S.")</f>
        <v>1</v>
      </c>
      <c r="AR226" s="82" t="str">
        <f ca="1">IF(AND(ECF[[#This Row],[cd,b,pil (kN/cm²)]]&lt;=ECF[[#This Row],[cd,b,lim (kN/cm²)]],ECF[[#This Row],[cd,b,est (kN/cm²)]]&lt;=ECF[[#This Row],[cd,b,lim (kN/cm²)]]),"OK","ERRO")</f>
        <v>ERRO</v>
      </c>
      <c r="AS226" s="4">
        <f ca="1">As_lado(ECF[[#This Row],[nE]],ECF[[#This Row],[Nsd (kN)]],ECF[[#This Row],[d (cm)]],ECF[[#This Row],[e (cm)]],ECF[[#This Row],[ap,eq (cm)]])</f>
        <v>10.0625</v>
      </c>
      <c r="AT226" s="4">
        <f ca="1">IF(ECF[[#This Row],[nE]]=1,ECF[[#This Row],[As,lado (cm²)]],IF(ECF[[#This Row],[nE]]=2,0.075*2*ECF[a (cm)],"N.A."))</f>
        <v>10.0625</v>
      </c>
      <c r="AU226" s="4" t="str">
        <f ca="1">IFERROR(IF(ECF[[#This Row],[nE]]=1,"N.A.",0.2*ECF[[#This Row],[As,lado (cm²)]]),"N.S.")</f>
        <v>N.A.</v>
      </c>
      <c r="AV226" s="4" t="str">
        <f ca="1">As_malha(ECF[[#This Row],[nE]],ECF[[#This Row],[As,lado (cm²)]],ECF[[#This Row],[Nsd (kN)]])</f>
        <v>N.A.</v>
      </c>
      <c r="AW226" s="4" t="str">
        <f ca="1">As_susp_tot(ECF[[#This Row],[nE]],ECF[[#This Row],[Nsd (kN)]])</f>
        <v>N.A.</v>
      </c>
      <c r="AX226" s="4" t="str">
        <f ca="1">Asp_face(ECF[[#This Row],[nE]],ECF[[#This Row],[As,lado (cm²)]])</f>
        <v>N.A.</v>
      </c>
      <c r="AY226" s="5">
        <f ca="1">acoBloco(ECF[[#This Row],[nE]],ECF[[#This Row],[e (cm)]],ECF[[#This Row],[a (cm)]],ECF[[#This Row],[h (cm)]],ECF[[#This Row],[As,lado (cm²)]],ECF[[#This Row],[Asp e Asw (cm²/m)]],ECF[[#This Row],[As,sup (cm²)]],ECF[[#This Row],[As,malha (cm²)]],ECF[[#This Row],[As,susp,tot (cm²)]],ECF[[#This Row],[Asp,face (cm²)]])</f>
        <v>184.83806250000001</v>
      </c>
      <c r="AZ226" s="4">
        <f ca="1">concretoBloco(ECF[[#This Row],[nE]],ECF[[#This Row],[e (cm)]],ECF[[#This Row],[a (cm)]],ECF[[#This Row],[h (cm)]])</f>
        <v>7.29</v>
      </c>
      <c r="BA226" s="5">
        <f ca="1">SUM(ECF[[#This Row],[Aço Est (kg)]],ECF[[#This Row],[Aço Bloco (kg)]])</f>
        <v>437.37184636616189</v>
      </c>
      <c r="BB226" s="4">
        <f>INDEX(composicoes[],MATCH(95580,composicoes[CÓDIGO],0),MATCH("CUSTO TOTAL",composicoes[#Headers],0))</f>
        <v>10.46</v>
      </c>
      <c r="BC226" s="4">
        <f ca="1">SUM(ECF[[#This Row],[Conc Est (m³)]],ECF[[#This Row],[Conc Bloco (m³)]])</f>
        <v>29.406812281272146</v>
      </c>
      <c r="BD226" s="4">
        <f>INDEX(composicoes[],MATCH(94966,composicoes[CÓDIGO],0),MATCH("CUSTO TOTAL",composicoes[#Headers],0))</f>
        <v>439.52</v>
      </c>
      <c r="BE226" s="38">
        <f ca="1">ECF[[#This Row],[Aço (kg)]]*ECF[[#This Row],[Aço (R$/kg)]]+ECF[[#This Row],[Conc (m³)]]*ECF[[#This Row],[Conc (R$/m³)]]</f>
        <v>17499.791646854785</v>
      </c>
      <c r="BF226" s="4" t="str">
        <f ca="1">IF(COUNTIF(ECF[#This Row],"N.S.")&gt;0,"lim.","OK")</f>
        <v>OK</v>
      </c>
      <c r="BG226" s="4" t="str">
        <f>IF(ECF[[#This Row],[Prof. (m)]]&lt;4,"lim.","OK")</f>
        <v>OK</v>
      </c>
      <c r="BH226" s="4" t="str">
        <f>IF(ECF[[#This Row],[Prof. (m)]]&gt;=8*ECF[[#This Row],[Ø (cm)]]/100,"OK","lim.")</f>
        <v>lim.</v>
      </c>
      <c r="BI226" s="4" t="str">
        <f>IF(AND(SPT!$F$3&lt;&gt;"",ECF[[#This Row],[Prof. (m)]]&gt;=SPT!$F$3-2),"lim.","OK")</f>
        <v>OK</v>
      </c>
      <c r="BJ226" s="4" t="str">
        <f ca="1">IF(ECF[[#This Row],[Verif. Biela]]="OK","OK","lim.")</f>
        <v>lim.</v>
      </c>
      <c r="BK226" s="4" t="str">
        <f ca="1">IF(COUNTA(ECF[[#This Row],[Nº Est.]:[Biela comp.]])=COUNTIF(ECF[[#This Row],[Nº Est.]:[Biela comp.]],"OK"),"OK","lim.")</f>
        <v>lim.</v>
      </c>
      <c r="BL226" s="4" t="str">
        <f ca="1">IF(ECF[[#This Row],[Controle]]="OK",ECF[[#This Row],[nE]]&amp;" Ø "&amp;ECF[[#This Row],[Ø (cm)]]&amp;" cm, Prof. "&amp;ECF[[#This Row],[Prof. (m)]]&amp;" m","")</f>
        <v/>
      </c>
      <c r="BM226" s="4" t="str">
        <f ca="1">IF(ECF[[#This Row],[idDimensionamento]]="","",ECF[[#This Row],[idPilar]]&amp;ECF[[#This Row],[idDimensionamento]])</f>
        <v/>
      </c>
    </row>
    <row r="227" spans="2:65" x14ac:dyDescent="0.25">
      <c r="B227" s="12">
        <f>ROUNDUP((ROW(ECF[[#This Row],[idDiâmetro]])-ROW(ECF[[#Headers],[idDiâmetro]]))/(COUNT(SPT[Prof. (m)])*COUNT(PILARES[Pilar])),0)</f>
        <v>8</v>
      </c>
      <c r="C227" s="12">
        <f>IF(ECF[[#This Row],[idDiâmetro]]&lt;&gt;B226,1,IF(ECF[[#This Row],[Prof. (m)]]=0,C226+1,C226))</f>
        <v>2</v>
      </c>
      <c r="D227" s="82">
        <f>IFERROR(IF(D226=MAX(SPT[Prof. (m)]),0,D226+1),0)</f>
        <v>12</v>
      </c>
      <c r="E227" s="82">
        <f>INDEX(SPT[],MATCH(ECF[[#This Row],[Prof. (m)]],SPT[Prof. (m)],0),2)</f>
        <v>52</v>
      </c>
      <c r="F227" s="82" t="str">
        <f>INDEX(SPT[],MATCH(ECF[[#This Row],[Prof. (m)]],SPT[Prof. (m)],0),3)</f>
        <v>Areia siltosa</v>
      </c>
      <c r="G227" s="82">
        <f>INDEX(estacas[],ECF[[#This Row],[idDiâmetro]],MATCH($B$2,estacas[#Headers],0))</f>
        <v>160</v>
      </c>
      <c r="H227" s="82">
        <f>INDEX(estacas[],MATCH(ECF[[#This Row],[Ø (cm)]],estacas[Ø ECF (cm)],0),MATCH(ECF[[#Headers],[Pe ECF (kN)]],estacas[#Headers],0))</f>
        <v>8200</v>
      </c>
      <c r="I227" s="4">
        <f>INDEX(K_alpha_C[],MATCH(ECF[[#This Row],[Solo]],K_alpha_C[Solo],0),2)</f>
        <v>0.8</v>
      </c>
      <c r="J227" s="5">
        <f>INDEX(K_alpha_C[],MATCH(ECF[[#This Row],[Solo]],K_alpha_C[Solo],0),3)</f>
        <v>2</v>
      </c>
      <c r="K227" s="4">
        <f>INDEX(F1_F2[],MATCH($D$2,F1_F2[Tipo de estaca],0),2)</f>
        <v>3</v>
      </c>
      <c r="L227" s="4">
        <f>INDEX(F1_F2[],MATCH($D$2,F1_F2[Tipo de estaca],0),3)</f>
        <v>6</v>
      </c>
      <c r="M227" s="4">
        <f>PI()*(ECF[[#This Row],[Ø (cm)]]/100)^2/4</f>
        <v>2.0106192982974678</v>
      </c>
      <c r="N227" s="4">
        <f>PI()*ECF[[#This Row],[Ø (cm)]]/100</f>
        <v>5.026548245743669</v>
      </c>
      <c r="O227" s="4">
        <f>IF(ECF[[#This Row],[Prof. (m)]]=0,0,ECF[[#This Row],[α (%)]]/100*ECF[[#This Row],[K (MPa)]]*1000*ECF[[#This Row],[NSPT]])</f>
        <v>832</v>
      </c>
      <c r="P227" s="4">
        <f>IF(ECF[[#This Row],[Prof. (m)]]=0,0,(ECF[[#This Row],[K (MPa)]]*1000*ECF[[#This Row],[NSPT]]/ECF[[#This Row],[F1]]*ECF[[#This Row],[Ap (m²)]]+ECF[[#This Row],[U (m)]]/ECF[[#This Row],[F2]]*SUMIFS(ECF[(α∙K∙NL∙ΔL)],ECF[Prof. (m)],"&lt;="&amp;ECF[[#This Row],[Prof. (m)]],ECF[idDiâmetro],ECF[[#This Row],[idDiâmetro]],ECF[idPilar],ECF[[#This Row],[idPilar]]))/'DADOS CAP. CARGA'!$D$2)</f>
        <v>15371.142647582092</v>
      </c>
      <c r="Q227" s="12">
        <f>INDEX(C_alpha_beta[],MATCH(ECF[[#This Row],[Solo]],C_alpha_beta[Solo],0),MATCH(ECF[[#Headers],[C (kPa)]],C_alpha_beta[#Headers],0))</f>
        <v>400</v>
      </c>
      <c r="R227" s="4">
        <f>INDEX(C_alpha_beta[],MATCH(ECF[[#This Row],[Solo]],C_alpha_beta[Solo],0),MATCH(ECF[[#Headers],[α ESF]],C_alpha_beta[#Headers],0))</f>
        <v>0.5</v>
      </c>
      <c r="S227" s="4">
        <f>INDEX(C_alpha_beta[],MATCH(ECF[[#This Row],[Solo]],C_alpha_beta[Solo],0),MATCH(ECF[[#Headers],[β ESF]],C_alpha_beta[#Headers],0))</f>
        <v>0.5</v>
      </c>
      <c r="T227" s="4">
        <f>IF(ECF[[#This Row],[Prof. (m)]]=0,0,10*(ECF[[#This Row],[NSPT]]/3+1))</f>
        <v>183.33333333333331</v>
      </c>
      <c r="U227" s="4">
        <f>(ECF[[#This Row],[α ESF]]*ECF[[#This Row],[C (kPa)]]*ECF[[#This Row],[NSPT]]*ECF[[#This Row],[Ap (m²)]])/'DADOS CAP. CARGA'!$Q$2+(ECF[[#This Row],[β ESF]]*SUMIFS(ECF[10∙(NL/3+1)],ECF[Prof. (m)],"&lt;="&amp;ECF[[#This Row],[Prof. (m)]],ECF[idDiâmetro],ECF[[#This Row],[idDiâmetro]],ECF[idPilar],ECF[[#This Row],[idPilar]])*ECF[[#This Row],[U (m)]])/'DADOS CAP. CARGA'!$S$2</f>
        <v>6312.5068386130915</v>
      </c>
      <c r="V227" s="4">
        <f>IF(SPT!$M$5=1,MIN(ECF[[#This Row],[Pe ECF (kN)]],ECF[[#This Row],[R_AV (kN)]]),IF(SPT!$M$5=2,MIN(ECF[[#This Row],[Pe ECF (kN)]],ECF[[#This Row],[R_DC (kN)]]),MIN(ECF[[#This Row],[Pe ECF (kN)]],ECF[[#This Row],[R_AV (kN)]],ECF[[#This Row],[R_DC (kN)]])))</f>
        <v>6312.5068386130915</v>
      </c>
      <c r="W227" s="4">
        <f>INDEX(PILARES[],ECF[[#This Row],[idPilar]],MATCH("Carga (kN)",PILARES[#Headers],0))*1.4</f>
        <v>1750</v>
      </c>
      <c r="X227" s="12">
        <f>INDEX(PILARES[],ECF[[#This Row],[idPilar]],MATCH(ECF[[#Headers],[ap (cm)]],PILARES[#Headers],0))</f>
        <v>50</v>
      </c>
      <c r="Y227" s="12">
        <f>INDEX(PILARES[],ECF[[#This Row],[idPilar]],MATCH(ECF[[#Headers],[bp (cm)]],PILARES[#Headers],0))</f>
        <v>40</v>
      </c>
      <c r="Z227" s="4">
        <f>SQRT(ECF[[#This Row],[ap (cm)]]*ECF[[#This Row],[bp (cm)]])</f>
        <v>44.721359549995796</v>
      </c>
      <c r="AA227" s="12">
        <f>ECF[[#This Row],[ap (cm)]]*ECF[[#This Row],[bp (cm)]]</f>
        <v>2000</v>
      </c>
      <c r="AB227" s="12">
        <f ca="1">IF(ECF[[#This Row],[Padm∙ε (kN)]]&gt;=ECF[[#This Row],[Padm (kN)]],ROUNDUP(1.05*ECF[[#This Row],[Nsd (kN)]]/ECF[[#This Row],[Padm (kN)]],0),ROUNDUP(1.05*ECF[[#This Row],[Nsd (kN)]]/ECF[[#This Row],[Padm (kN)]],0)+1)</f>
        <v>1</v>
      </c>
      <c r="AC227" s="4">
        <f ca="1">IFERROR(IF(ECF[[#This Row],[nE]]=1,ECF[[#This Row],[Padm (kN)]],ECF[[#This Row],[Padm (kN)]]*ECF[[#This Row],[nE]]*INDEX(grupoEstacas[],ECF[[#This Row],[nE]],MATCH("ε",grupoEstacas[#Headers],0))),"N.S.")</f>
        <v>6312.5068386130915</v>
      </c>
      <c r="AD227" s="4">
        <f ca="1">1.05*ECF[[#This Row],[Nsd (kN)]]/(ECF[[#This Row],[nE]]*PI()*ECF[[#This Row],[Ø (cm)]]^2/4)*10</f>
        <v>0.9138975247854928</v>
      </c>
      <c r="AE227" s="4">
        <f ca="1">IF(ECF[[#This Row],[σ (MPa)]]&lt;INDEX(tipoEstaca[],MATCH($D$2,tipoEstaca[TIPO DE ESTACA],0),MATCH("σmáx (MPa)",tipoEstaca[#Headers],0)),0.4%*PI()*ECF[[#This Row],[Ø (cm)]]^2/4,"N.S.")</f>
        <v>80.424771931898704</v>
      </c>
      <c r="AF227" s="82">
        <f>INDEX(tipoEstaca[],MATCH($D$2,tipoEstaca[TIPO DE ESTACA],0),MATCH(ECF[[#Headers],[Comprimento (m)]],tipoEstaca[#Headers],0))</f>
        <v>4</v>
      </c>
      <c r="AG227" s="5">
        <f ca="1">ECF[[#This Row],[As,mín (cm²)]]/100^2*ECF[[#This Row],[Comprimento (m)]]*7850</f>
        <v>252.53378386616191</v>
      </c>
      <c r="AH227" s="4">
        <f ca="1">ECF[[#This Row],[nE]]*ECF[[#This Row],[Prof. (m)]]*ECF[[#This Row],[Ap (m²)]]</f>
        <v>24.127431579569613</v>
      </c>
      <c r="AI227" s="82">
        <f ca="1">IF(ECF[[#This Row],[nE]]=1,0,MAX(3*ECF[[#This Row],[Ø (cm)]],60))</f>
        <v>0</v>
      </c>
      <c r="AJ227" s="82">
        <f ca="1">IF(ECF[[#This Row],[nE]]=1,ECF[[#This Row],[Ø (cm)]]+2*10,MAX(1.5*ECF[[#This Row],[Ø (cm)]],ECF[[#This Row],[Ø (cm)]]+15))</f>
        <v>180</v>
      </c>
      <c r="AK227" s="82">
        <f ca="1">alturaUtil(ECF[[#This Row],[nE]],ECF[[#This Row],[Ø (cm)]],ECF[[#This Row],[e (cm)]],ECF[[#This Row],[ap,eq (cm)]])</f>
        <v>195</v>
      </c>
      <c r="AL227" s="82">
        <f ca="1">IFERROR(ECF[[#This Row],[d (cm)]]+arredondarParaCimaMultiplo5cm(MAX(5,SQRT(PI())/2*ECF[[#This Row],[Ø (cm)]]/5)),"N.S.")</f>
        <v>225</v>
      </c>
      <c r="AM227" s="5">
        <f ca="1">alpha(ECF[[#This Row],[nE]],ECF[[#This Row],[d (cm)]],ECF[[#This Row],[e (cm)]],ECF[[#This Row],[ap,eq (cm)]])</f>
        <v>90</v>
      </c>
      <c r="AN227" s="35">
        <f ca="1">IFERROR(ECF[[#This Row],[Nsd (kN)]]/(ECF[[#This Row],[Ap (cm²)]]*SIN(ECF[[#This Row],[α]])^2),"N.S.")</f>
        <v>1.0948037013095111</v>
      </c>
      <c r="AO227" s="35">
        <f ca="1">IFERROR(ECF[[#This Row],[Nsd (kN)]]/(ECF[[#This Row],[nE]]*PI()*ECF[[#This Row],[Ø (cm)]]^2/4*SIN(ECF[[#This Row],[α]])^2),"N.S.")</f>
        <v>0.10890213798669478</v>
      </c>
      <c r="AP227" s="4">
        <f ca="1">IFERROR(INDEX(grupoEstacas[],ECF[[#This Row],[nE]],MATCH("coef. Blévot",grupoEstacas[#Headers],0)),"N.S.")</f>
        <v>1</v>
      </c>
      <c r="AQ227" s="35">
        <f ca="1">IFERROR(ECF[[#This Row],[coef. Blévot]]*0.9*INDEX(tipoEstaca[],MATCH($D$2,tipoEstaca[TIPO DE ESTACA],0),MATCH("fcd (kN/cm²)",tipoEstaca[#Headers],0)),"N.S.")</f>
        <v>1</v>
      </c>
      <c r="AR227" s="82" t="str">
        <f ca="1">IF(AND(ECF[[#This Row],[cd,b,pil (kN/cm²)]]&lt;=ECF[[#This Row],[cd,b,lim (kN/cm²)]],ECF[[#This Row],[cd,b,est (kN/cm²)]]&lt;=ECF[[#This Row],[cd,b,lim (kN/cm²)]]),"OK","ERRO")</f>
        <v>ERRO</v>
      </c>
      <c r="AS227" s="4">
        <f ca="1">As_lado(ECF[[#This Row],[nE]],ECF[[#This Row],[Nsd (kN)]],ECF[[#This Row],[d (cm)]],ECF[[#This Row],[e (cm)]],ECF[[#This Row],[ap,eq (cm)]])</f>
        <v>10.0625</v>
      </c>
      <c r="AT227" s="4">
        <f ca="1">IF(ECF[[#This Row],[nE]]=1,ECF[[#This Row],[As,lado (cm²)]],IF(ECF[[#This Row],[nE]]=2,0.075*2*ECF[a (cm)],"N.A."))</f>
        <v>10.0625</v>
      </c>
      <c r="AU227" s="4" t="str">
        <f ca="1">IFERROR(IF(ECF[[#This Row],[nE]]=1,"N.A.",0.2*ECF[[#This Row],[As,lado (cm²)]]),"N.S.")</f>
        <v>N.A.</v>
      </c>
      <c r="AV227" s="4" t="str">
        <f ca="1">As_malha(ECF[[#This Row],[nE]],ECF[[#This Row],[As,lado (cm²)]],ECF[[#This Row],[Nsd (kN)]])</f>
        <v>N.A.</v>
      </c>
      <c r="AW227" s="4" t="str">
        <f ca="1">As_susp_tot(ECF[[#This Row],[nE]],ECF[[#This Row],[Nsd (kN)]])</f>
        <v>N.A.</v>
      </c>
      <c r="AX227" s="4" t="str">
        <f ca="1">Asp_face(ECF[[#This Row],[nE]],ECF[[#This Row],[As,lado (cm²)]])</f>
        <v>N.A.</v>
      </c>
      <c r="AY227" s="5">
        <f ca="1">acoBloco(ECF[[#This Row],[nE]],ECF[[#This Row],[e (cm)]],ECF[[#This Row],[a (cm)]],ECF[[#This Row],[h (cm)]],ECF[[#This Row],[As,lado (cm²)]],ECF[[#This Row],[Asp e Asw (cm²/m)]],ECF[[#This Row],[As,sup (cm²)]],ECF[[#This Row],[As,malha (cm²)]],ECF[[#This Row],[As,susp,tot (cm²)]],ECF[[#This Row],[Asp,face (cm²)]])</f>
        <v>184.83806250000001</v>
      </c>
      <c r="AZ227" s="4">
        <f ca="1">concretoBloco(ECF[[#This Row],[nE]],ECF[[#This Row],[e (cm)]],ECF[[#This Row],[a (cm)]],ECF[[#This Row],[h (cm)]])</f>
        <v>7.29</v>
      </c>
      <c r="BA227" s="5">
        <f ca="1">SUM(ECF[[#This Row],[Aço Est (kg)]],ECF[[#This Row],[Aço Bloco (kg)]])</f>
        <v>437.37184636616189</v>
      </c>
      <c r="BB227" s="4">
        <f>INDEX(composicoes[],MATCH(95580,composicoes[CÓDIGO],0),MATCH("CUSTO TOTAL",composicoes[#Headers],0))</f>
        <v>10.46</v>
      </c>
      <c r="BC227" s="4">
        <f ca="1">SUM(ECF[[#This Row],[Conc Est (m³)]],ECF[[#This Row],[Conc Bloco (m³)]])</f>
        <v>31.417431579569612</v>
      </c>
      <c r="BD227" s="4">
        <f>INDEX(composicoes[],MATCH(94966,composicoes[CÓDIGO],0),MATCH("CUSTO TOTAL",composicoes[#Headers],0))</f>
        <v>439.52</v>
      </c>
      <c r="BE227" s="38">
        <f ca="1">ECF[[#This Row],[Aço (kg)]]*ECF[[#This Row],[Aço (R$/kg)]]+ECF[[#This Row],[Conc (m³)]]*ECF[[#This Row],[Conc (R$/m³)]]</f>
        <v>18383.499040842489</v>
      </c>
      <c r="BF227" s="4" t="str">
        <f ca="1">IF(COUNTIF(ECF[#This Row],"N.S.")&gt;0,"lim.","OK")</f>
        <v>OK</v>
      </c>
      <c r="BG227" s="4" t="str">
        <f>IF(ECF[[#This Row],[Prof. (m)]]&lt;4,"lim.","OK")</f>
        <v>OK</v>
      </c>
      <c r="BH227" s="4" t="str">
        <f>IF(ECF[[#This Row],[Prof. (m)]]&gt;=8*ECF[[#This Row],[Ø (cm)]]/100,"OK","lim.")</f>
        <v>lim.</v>
      </c>
      <c r="BI227" s="4" t="str">
        <f>IF(AND(SPT!$F$3&lt;&gt;"",ECF[[#This Row],[Prof. (m)]]&gt;=SPT!$F$3-2),"lim.","OK")</f>
        <v>OK</v>
      </c>
      <c r="BJ227" s="4" t="str">
        <f ca="1">IF(ECF[[#This Row],[Verif. Biela]]="OK","OK","lim.")</f>
        <v>lim.</v>
      </c>
      <c r="BK227" s="4" t="str">
        <f ca="1">IF(COUNTA(ECF[[#This Row],[Nº Est.]:[Biela comp.]])=COUNTIF(ECF[[#This Row],[Nº Est.]:[Biela comp.]],"OK"),"OK","lim.")</f>
        <v>lim.</v>
      </c>
      <c r="BL227" s="4" t="str">
        <f ca="1">IF(ECF[[#This Row],[Controle]]="OK",ECF[[#This Row],[nE]]&amp;" Ø "&amp;ECF[[#This Row],[Ø (cm)]]&amp;" cm, Prof. "&amp;ECF[[#This Row],[Prof. (m)]]&amp;" m","")</f>
        <v/>
      </c>
      <c r="BM227" s="4" t="str">
        <f ca="1">IF(ECF[[#This Row],[idDimensionamento]]="","",ECF[[#This Row],[idPilar]]&amp;ECF[[#This Row],[idDimensionamento]])</f>
        <v/>
      </c>
    </row>
    <row r="228" spans="2:65" x14ac:dyDescent="0.25">
      <c r="B228" s="12">
        <f>ROUNDUP((ROW(ECF[[#This Row],[idDiâmetro]])-ROW(ECF[[#Headers],[idDiâmetro]]))/(COUNT(SPT[Prof. (m)])*COUNT(PILARES[Pilar])),0)</f>
        <v>8</v>
      </c>
      <c r="C228" s="12">
        <f>IF(ECF[[#This Row],[idDiâmetro]]&lt;&gt;B227,1,IF(ECF[[#This Row],[Prof. (m)]]=0,C227+1,C227))</f>
        <v>2</v>
      </c>
      <c r="D228" s="82">
        <f>IFERROR(IF(D227=MAX(SPT[Prof. (m)]),0,D227+1),0)</f>
        <v>13</v>
      </c>
      <c r="E228" s="82">
        <f>INDEX(SPT[],MATCH(ECF[[#This Row],[Prof. (m)]],SPT[Prof. (m)],0),2)</f>
        <v>68</v>
      </c>
      <c r="F228" s="82" t="str">
        <f>INDEX(SPT[],MATCH(ECF[[#This Row],[Prof. (m)]],SPT[Prof. (m)],0),3)</f>
        <v>Areia siltosa</v>
      </c>
      <c r="G228" s="82">
        <f>INDEX(estacas[],ECF[[#This Row],[idDiâmetro]],MATCH($B$2,estacas[#Headers],0))</f>
        <v>160</v>
      </c>
      <c r="H228" s="82">
        <f>INDEX(estacas[],MATCH(ECF[[#This Row],[Ø (cm)]],estacas[Ø ECF (cm)],0),MATCH(ECF[[#Headers],[Pe ECF (kN)]],estacas[#Headers],0))</f>
        <v>8200</v>
      </c>
      <c r="I228" s="4">
        <f>INDEX(K_alpha_C[],MATCH(ECF[[#This Row],[Solo]],K_alpha_C[Solo],0),2)</f>
        <v>0.8</v>
      </c>
      <c r="J228" s="5">
        <f>INDEX(K_alpha_C[],MATCH(ECF[[#This Row],[Solo]],K_alpha_C[Solo],0),3)</f>
        <v>2</v>
      </c>
      <c r="K228" s="4">
        <f>INDEX(F1_F2[],MATCH($D$2,F1_F2[Tipo de estaca],0),2)</f>
        <v>3</v>
      </c>
      <c r="L228" s="4">
        <f>INDEX(F1_F2[],MATCH($D$2,F1_F2[Tipo de estaca],0),3)</f>
        <v>6</v>
      </c>
      <c r="M228" s="4">
        <f>PI()*(ECF[[#This Row],[Ø (cm)]]/100)^2/4</f>
        <v>2.0106192982974678</v>
      </c>
      <c r="N228" s="4">
        <f>PI()*ECF[[#This Row],[Ø (cm)]]/100</f>
        <v>5.026548245743669</v>
      </c>
      <c r="O228" s="4">
        <f>IF(ECF[[#This Row],[Prof. (m)]]=0,0,ECF[[#This Row],[α (%)]]/100*ECF[[#This Row],[K (MPa)]]*1000*ECF[[#This Row],[NSPT]])</f>
        <v>1088</v>
      </c>
      <c r="P228" s="4">
        <f>IF(ECF[[#This Row],[Prof. (m)]]=0,0,(ECF[[#This Row],[K (MPa)]]*1000*ECF[[#This Row],[NSPT]]/ECF[[#This Row],[F1]]*ECF[[#This Row],[Ap (m²)]]+ECF[[#This Row],[U (m)]]/ECF[[#This Row],[F2]]*SUMIFS(ECF[(α∙K∙NL∙ΔL)],ECF[Prof. (m)],"&lt;="&amp;ECF[[#This Row],[Prof. (m)]],ECF[idDiâmetro],ECF[[#This Row],[idDiâmetro]],ECF[idPilar],ECF[[#This Row],[idPilar]]))/'DADOS CAP. CARGA'!$D$2)</f>
        <v>20116.204191564117</v>
      </c>
      <c r="Q228" s="12">
        <f>INDEX(C_alpha_beta[],MATCH(ECF[[#This Row],[Solo]],C_alpha_beta[Solo],0),MATCH(ECF[[#Headers],[C (kPa)]],C_alpha_beta[#Headers],0))</f>
        <v>400</v>
      </c>
      <c r="R228" s="4">
        <f>INDEX(C_alpha_beta[],MATCH(ECF[[#This Row],[Solo]],C_alpha_beta[Solo],0),MATCH(ECF[[#Headers],[α ESF]],C_alpha_beta[#Headers],0))</f>
        <v>0.5</v>
      </c>
      <c r="S228" s="4">
        <f>INDEX(C_alpha_beta[],MATCH(ECF[[#This Row],[Solo]],C_alpha_beta[Solo],0),MATCH(ECF[[#Headers],[β ESF]],C_alpha_beta[#Headers],0))</f>
        <v>0.5</v>
      </c>
      <c r="T228" s="4">
        <f>IF(ECF[[#This Row],[Prof. (m)]]=0,0,10*(ECF[[#This Row],[NSPT]]/3+1))</f>
        <v>236.66666666666669</v>
      </c>
      <c r="U228" s="4">
        <f>(ECF[[#This Row],[α ESF]]*ECF[[#This Row],[C (kPa)]]*ECF[[#This Row],[NSPT]]*ECF[[#This Row],[Ap (m²)]])/'DADOS CAP. CARGA'!$Q$2+(ECF[[#This Row],[β ESF]]*SUMIFS(ECF[10∙(NL/3+1)],ECF[Prof. (m)],"&lt;="&amp;ECF[[#This Row],[Prof. (m)]],ECF[idDiâmetro],ECF[[#This Row],[idDiâmetro]],ECF[idPilar],ECF[[#This Row],[idPilar]])*ECF[[#This Row],[U (m)]])/'DADOS CAP. CARGA'!$S$2</f>
        <v>8218.4063817908991</v>
      </c>
      <c r="V228" s="4">
        <f>IF(SPT!$M$5=1,MIN(ECF[[#This Row],[Pe ECF (kN)]],ECF[[#This Row],[R_AV (kN)]]),IF(SPT!$M$5=2,MIN(ECF[[#This Row],[Pe ECF (kN)]],ECF[[#This Row],[R_DC (kN)]]),MIN(ECF[[#This Row],[Pe ECF (kN)]],ECF[[#This Row],[R_AV (kN)]],ECF[[#This Row],[R_DC (kN)]])))</f>
        <v>8200</v>
      </c>
      <c r="W228" s="4">
        <f>INDEX(PILARES[],ECF[[#This Row],[idPilar]],MATCH("Carga (kN)",PILARES[#Headers],0))*1.4</f>
        <v>1750</v>
      </c>
      <c r="X228" s="12">
        <f>INDEX(PILARES[],ECF[[#This Row],[idPilar]],MATCH(ECF[[#Headers],[ap (cm)]],PILARES[#Headers],0))</f>
        <v>50</v>
      </c>
      <c r="Y228" s="12">
        <f>INDEX(PILARES[],ECF[[#This Row],[idPilar]],MATCH(ECF[[#Headers],[bp (cm)]],PILARES[#Headers],0))</f>
        <v>40</v>
      </c>
      <c r="Z228" s="4">
        <f>SQRT(ECF[[#This Row],[ap (cm)]]*ECF[[#This Row],[bp (cm)]])</f>
        <v>44.721359549995796</v>
      </c>
      <c r="AA228" s="12">
        <f>ECF[[#This Row],[ap (cm)]]*ECF[[#This Row],[bp (cm)]]</f>
        <v>2000</v>
      </c>
      <c r="AB228" s="12">
        <f ca="1">IF(ECF[[#This Row],[Padm∙ε (kN)]]&gt;=ECF[[#This Row],[Padm (kN)]],ROUNDUP(1.05*ECF[[#This Row],[Nsd (kN)]]/ECF[[#This Row],[Padm (kN)]],0),ROUNDUP(1.05*ECF[[#This Row],[Nsd (kN)]]/ECF[[#This Row],[Padm (kN)]],0)+1)</f>
        <v>1</v>
      </c>
      <c r="AC228" s="4">
        <f ca="1">IFERROR(IF(ECF[[#This Row],[nE]]=1,ECF[[#This Row],[Padm (kN)]],ECF[[#This Row],[Padm (kN)]]*ECF[[#This Row],[nE]]*INDEX(grupoEstacas[],ECF[[#This Row],[nE]],MATCH("ε",grupoEstacas[#Headers],0))),"N.S.")</f>
        <v>8200</v>
      </c>
      <c r="AD228" s="4">
        <f ca="1">1.05*ECF[[#This Row],[Nsd (kN)]]/(ECF[[#This Row],[nE]]*PI()*ECF[[#This Row],[Ø (cm)]]^2/4)*10</f>
        <v>0.9138975247854928</v>
      </c>
      <c r="AE228" s="4">
        <f ca="1">IF(ECF[[#This Row],[σ (MPa)]]&lt;INDEX(tipoEstaca[],MATCH($D$2,tipoEstaca[TIPO DE ESTACA],0),MATCH("σmáx (MPa)",tipoEstaca[#Headers],0)),0.4%*PI()*ECF[[#This Row],[Ø (cm)]]^2/4,"N.S.")</f>
        <v>80.424771931898704</v>
      </c>
      <c r="AF228" s="82">
        <f>INDEX(tipoEstaca[],MATCH($D$2,tipoEstaca[TIPO DE ESTACA],0),MATCH(ECF[[#Headers],[Comprimento (m)]],tipoEstaca[#Headers],0))</f>
        <v>4</v>
      </c>
      <c r="AG228" s="5">
        <f ca="1">ECF[[#This Row],[As,mín (cm²)]]/100^2*ECF[[#This Row],[Comprimento (m)]]*7850</f>
        <v>252.53378386616191</v>
      </c>
      <c r="AH228" s="4">
        <f ca="1">ECF[[#This Row],[nE]]*ECF[[#This Row],[Prof. (m)]]*ECF[[#This Row],[Ap (m²)]]</f>
        <v>26.13805087786708</v>
      </c>
      <c r="AI228" s="82">
        <f ca="1">IF(ECF[[#This Row],[nE]]=1,0,MAX(3*ECF[[#This Row],[Ø (cm)]],60))</f>
        <v>0</v>
      </c>
      <c r="AJ228" s="82">
        <f ca="1">IF(ECF[[#This Row],[nE]]=1,ECF[[#This Row],[Ø (cm)]]+2*10,MAX(1.5*ECF[[#This Row],[Ø (cm)]],ECF[[#This Row],[Ø (cm)]]+15))</f>
        <v>180</v>
      </c>
      <c r="AK228" s="82">
        <f ca="1">alturaUtil(ECF[[#This Row],[nE]],ECF[[#This Row],[Ø (cm)]],ECF[[#This Row],[e (cm)]],ECF[[#This Row],[ap,eq (cm)]])</f>
        <v>195</v>
      </c>
      <c r="AL228" s="82">
        <f ca="1">IFERROR(ECF[[#This Row],[d (cm)]]+arredondarParaCimaMultiplo5cm(MAX(5,SQRT(PI())/2*ECF[[#This Row],[Ø (cm)]]/5)),"N.S.")</f>
        <v>225</v>
      </c>
      <c r="AM228" s="5">
        <f ca="1">alpha(ECF[[#This Row],[nE]],ECF[[#This Row],[d (cm)]],ECF[[#This Row],[e (cm)]],ECF[[#This Row],[ap,eq (cm)]])</f>
        <v>90</v>
      </c>
      <c r="AN228" s="35">
        <f ca="1">IFERROR(ECF[[#This Row],[Nsd (kN)]]/(ECF[[#This Row],[Ap (cm²)]]*SIN(ECF[[#This Row],[α]])^2),"N.S.")</f>
        <v>1.0948037013095111</v>
      </c>
      <c r="AO228" s="35">
        <f ca="1">IFERROR(ECF[[#This Row],[Nsd (kN)]]/(ECF[[#This Row],[nE]]*PI()*ECF[[#This Row],[Ø (cm)]]^2/4*SIN(ECF[[#This Row],[α]])^2),"N.S.")</f>
        <v>0.10890213798669478</v>
      </c>
      <c r="AP228" s="4">
        <f ca="1">IFERROR(INDEX(grupoEstacas[],ECF[[#This Row],[nE]],MATCH("coef. Blévot",grupoEstacas[#Headers],0)),"N.S.")</f>
        <v>1</v>
      </c>
      <c r="AQ228" s="35">
        <f ca="1">IFERROR(ECF[[#This Row],[coef. Blévot]]*0.9*INDEX(tipoEstaca[],MATCH($D$2,tipoEstaca[TIPO DE ESTACA],0),MATCH("fcd (kN/cm²)",tipoEstaca[#Headers],0)),"N.S.")</f>
        <v>1</v>
      </c>
      <c r="AR228" s="82" t="str">
        <f ca="1">IF(AND(ECF[[#This Row],[cd,b,pil (kN/cm²)]]&lt;=ECF[[#This Row],[cd,b,lim (kN/cm²)]],ECF[[#This Row],[cd,b,est (kN/cm²)]]&lt;=ECF[[#This Row],[cd,b,lim (kN/cm²)]]),"OK","ERRO")</f>
        <v>ERRO</v>
      </c>
      <c r="AS228" s="4">
        <f ca="1">As_lado(ECF[[#This Row],[nE]],ECF[[#This Row],[Nsd (kN)]],ECF[[#This Row],[d (cm)]],ECF[[#This Row],[e (cm)]],ECF[[#This Row],[ap,eq (cm)]])</f>
        <v>10.0625</v>
      </c>
      <c r="AT228" s="4">
        <f ca="1">IF(ECF[[#This Row],[nE]]=1,ECF[[#This Row],[As,lado (cm²)]],IF(ECF[[#This Row],[nE]]=2,0.075*2*ECF[a (cm)],"N.A."))</f>
        <v>10.0625</v>
      </c>
      <c r="AU228" s="4" t="str">
        <f ca="1">IFERROR(IF(ECF[[#This Row],[nE]]=1,"N.A.",0.2*ECF[[#This Row],[As,lado (cm²)]]),"N.S.")</f>
        <v>N.A.</v>
      </c>
      <c r="AV228" s="4" t="str">
        <f ca="1">As_malha(ECF[[#This Row],[nE]],ECF[[#This Row],[As,lado (cm²)]],ECF[[#This Row],[Nsd (kN)]])</f>
        <v>N.A.</v>
      </c>
      <c r="AW228" s="4" t="str">
        <f ca="1">As_susp_tot(ECF[[#This Row],[nE]],ECF[[#This Row],[Nsd (kN)]])</f>
        <v>N.A.</v>
      </c>
      <c r="AX228" s="4" t="str">
        <f ca="1">Asp_face(ECF[[#This Row],[nE]],ECF[[#This Row],[As,lado (cm²)]])</f>
        <v>N.A.</v>
      </c>
      <c r="AY228" s="5">
        <f ca="1">acoBloco(ECF[[#This Row],[nE]],ECF[[#This Row],[e (cm)]],ECF[[#This Row],[a (cm)]],ECF[[#This Row],[h (cm)]],ECF[[#This Row],[As,lado (cm²)]],ECF[[#This Row],[Asp e Asw (cm²/m)]],ECF[[#This Row],[As,sup (cm²)]],ECF[[#This Row],[As,malha (cm²)]],ECF[[#This Row],[As,susp,tot (cm²)]],ECF[[#This Row],[Asp,face (cm²)]])</f>
        <v>184.83806250000001</v>
      </c>
      <c r="AZ228" s="4">
        <f ca="1">concretoBloco(ECF[[#This Row],[nE]],ECF[[#This Row],[e (cm)]],ECF[[#This Row],[a (cm)]],ECF[[#This Row],[h (cm)]])</f>
        <v>7.29</v>
      </c>
      <c r="BA228" s="5">
        <f ca="1">SUM(ECF[[#This Row],[Aço Est (kg)]],ECF[[#This Row],[Aço Bloco (kg)]])</f>
        <v>437.37184636616189</v>
      </c>
      <c r="BB228" s="4">
        <f>INDEX(composicoes[],MATCH(95580,composicoes[CÓDIGO],0),MATCH("CUSTO TOTAL",composicoes[#Headers],0))</f>
        <v>10.46</v>
      </c>
      <c r="BC228" s="4">
        <f ca="1">SUM(ECF[[#This Row],[Conc Est (m³)]],ECF[[#This Row],[Conc Bloco (m³)]])</f>
        <v>33.428050877867079</v>
      </c>
      <c r="BD228" s="4">
        <f>INDEX(composicoes[],MATCH(94966,composicoes[CÓDIGO],0),MATCH("CUSTO TOTAL",composicoes[#Headers],0))</f>
        <v>439.52</v>
      </c>
      <c r="BE228" s="38">
        <f ca="1">ECF[[#This Row],[Aço (kg)]]*ECF[[#This Row],[Aço (R$/kg)]]+ECF[[#This Row],[Conc (m³)]]*ECF[[#This Row],[Conc (R$/m³)]]</f>
        <v>19267.20643483019</v>
      </c>
      <c r="BF228" s="4" t="str">
        <f ca="1">IF(COUNTIF(ECF[#This Row],"N.S.")&gt;0,"lim.","OK")</f>
        <v>OK</v>
      </c>
      <c r="BG228" s="4" t="str">
        <f>IF(ECF[[#This Row],[Prof. (m)]]&lt;4,"lim.","OK")</f>
        <v>OK</v>
      </c>
      <c r="BH228" s="4" t="str">
        <f>IF(ECF[[#This Row],[Prof. (m)]]&gt;=8*ECF[[#This Row],[Ø (cm)]]/100,"OK","lim.")</f>
        <v>OK</v>
      </c>
      <c r="BI228" s="4" t="str">
        <f>IF(AND(SPT!$F$3&lt;&gt;"",ECF[[#This Row],[Prof. (m)]]&gt;=SPT!$F$3-2),"lim.","OK")</f>
        <v>OK</v>
      </c>
      <c r="BJ228" s="4" t="str">
        <f ca="1">IF(ECF[[#This Row],[Verif. Biela]]="OK","OK","lim.")</f>
        <v>lim.</v>
      </c>
      <c r="BK228" s="4" t="str">
        <f ca="1">IF(COUNTA(ECF[[#This Row],[Nº Est.]:[Biela comp.]])=COUNTIF(ECF[[#This Row],[Nº Est.]:[Biela comp.]],"OK"),"OK","lim.")</f>
        <v>lim.</v>
      </c>
      <c r="BL228" s="4" t="str">
        <f ca="1">IF(ECF[[#This Row],[Controle]]="OK",ECF[[#This Row],[nE]]&amp;" Ø "&amp;ECF[[#This Row],[Ø (cm)]]&amp;" cm, Prof. "&amp;ECF[[#This Row],[Prof. (m)]]&amp;" m","")</f>
        <v/>
      </c>
      <c r="BM228" s="4" t="str">
        <f ca="1">IF(ECF[[#This Row],[idDimensionamento]]="","",ECF[[#This Row],[idPilar]]&amp;ECF[[#This Row],[idDimensionamento]])</f>
        <v/>
      </c>
    </row>
    <row r="229" spans="2:65" x14ac:dyDescent="0.25">
      <c r="B229" s="12">
        <f>ROUNDUP((ROW(ECF[[#This Row],[idDiâmetro]])-ROW(ECF[[#Headers],[idDiâmetro]]))/(COUNT(SPT[Prof. (m)])*COUNT(PILARES[Pilar])),0)</f>
        <v>9</v>
      </c>
      <c r="C229" s="12">
        <f>IF(ECF[[#This Row],[idDiâmetro]]&lt;&gt;B228,1,IF(ECF[[#This Row],[Prof. (m)]]=0,C228+1,C228))</f>
        <v>1</v>
      </c>
      <c r="D229" s="82">
        <f>IFERROR(IF(D228=MAX(SPT[Prof. (m)]),0,D228+1),0)</f>
        <v>0</v>
      </c>
      <c r="E229" s="82">
        <f>INDEX(SPT[],MATCH(ECF[[#This Row],[Prof. (m)]],SPT[Prof. (m)],0),2)</f>
        <v>0</v>
      </c>
      <c r="F229" s="82" t="str">
        <f>INDEX(SPT[],MATCH(ECF[[#This Row],[Prof. (m)]],SPT[Prof. (m)],0),3)</f>
        <v>Areia siltosa</v>
      </c>
      <c r="G229" s="82">
        <f>INDEX(estacas[],ECF[[#This Row],[idDiâmetro]],MATCH($B$2,estacas[#Headers],0))</f>
        <v>180</v>
      </c>
      <c r="H229" s="82">
        <f>INDEX(estacas[],MATCH(ECF[[#This Row],[Ø (cm)]],estacas[Ø ECF (cm)],0),MATCH(ECF[[#Headers],[Pe ECF (kN)]],estacas[#Headers],0))</f>
        <v>10100</v>
      </c>
      <c r="I229" s="4">
        <f>INDEX(K_alpha_C[],MATCH(ECF[[#This Row],[Solo]],K_alpha_C[Solo],0),2)</f>
        <v>0.8</v>
      </c>
      <c r="J229" s="5">
        <f>INDEX(K_alpha_C[],MATCH(ECF[[#This Row],[Solo]],K_alpha_C[Solo],0),3)</f>
        <v>2</v>
      </c>
      <c r="K229" s="4">
        <f>INDEX(F1_F2[],MATCH($D$2,F1_F2[Tipo de estaca],0),2)</f>
        <v>3</v>
      </c>
      <c r="L229" s="4">
        <f>INDEX(F1_F2[],MATCH($D$2,F1_F2[Tipo de estaca],0),3)</f>
        <v>6</v>
      </c>
      <c r="M229" s="4">
        <f>PI()*(ECF[[#This Row],[Ø (cm)]]/100)^2/4</f>
        <v>2.5446900494077327</v>
      </c>
      <c r="N229" s="4">
        <f>PI()*ECF[[#This Row],[Ø (cm)]]/100</f>
        <v>5.6548667764616276</v>
      </c>
      <c r="O229" s="4">
        <f>IF(ECF[[#This Row],[Prof. (m)]]=0,0,ECF[[#This Row],[α (%)]]/100*ECF[[#This Row],[K (MPa)]]*1000*ECF[[#This Row],[NSPT]])</f>
        <v>0</v>
      </c>
      <c r="P229" s="4">
        <f>IF(ECF[[#This Row],[Prof. (m)]]=0,0,(ECF[[#This Row],[K (MPa)]]*1000*ECF[[#This Row],[NSPT]]/ECF[[#This Row],[F1]]*ECF[[#This Row],[Ap (m²)]]+ECF[[#This Row],[U (m)]]/ECF[[#This Row],[F2]]*SUMIFS(ECF[(α∙K∙NL∙ΔL)],ECF[Prof. (m)],"&lt;="&amp;ECF[[#This Row],[Prof. (m)]],ECF[idDiâmetro],ECF[[#This Row],[idDiâmetro]],ECF[idPilar],ECF[[#This Row],[idPilar]]))/'DADOS CAP. CARGA'!$D$2)</f>
        <v>0</v>
      </c>
      <c r="Q229" s="12">
        <f>INDEX(C_alpha_beta[],MATCH(ECF[[#This Row],[Solo]],C_alpha_beta[Solo],0),MATCH(ECF[[#Headers],[C (kPa)]],C_alpha_beta[#Headers],0))</f>
        <v>400</v>
      </c>
      <c r="R229" s="4">
        <f>INDEX(C_alpha_beta[],MATCH(ECF[[#This Row],[Solo]],C_alpha_beta[Solo],0),MATCH(ECF[[#Headers],[α ESF]],C_alpha_beta[#Headers],0))</f>
        <v>0.5</v>
      </c>
      <c r="S229" s="4">
        <f>INDEX(C_alpha_beta[],MATCH(ECF[[#This Row],[Solo]],C_alpha_beta[Solo],0),MATCH(ECF[[#Headers],[β ESF]],C_alpha_beta[#Headers],0))</f>
        <v>0.5</v>
      </c>
      <c r="T229" s="4">
        <f>IF(ECF[[#This Row],[Prof. (m)]]=0,0,10*(ECF[[#This Row],[NSPT]]/3+1))</f>
        <v>0</v>
      </c>
      <c r="U229" s="4">
        <f>(ECF[[#This Row],[α ESF]]*ECF[[#This Row],[C (kPa)]]*ECF[[#This Row],[NSPT]]*ECF[[#This Row],[Ap (m²)]])/'DADOS CAP. CARGA'!$Q$2+(ECF[[#This Row],[β ESF]]*SUMIFS(ECF[10∙(NL/3+1)],ECF[Prof. (m)],"&lt;="&amp;ECF[[#This Row],[Prof. (m)]],ECF[idDiâmetro],ECF[[#This Row],[idDiâmetro]],ECF[idPilar],ECF[[#This Row],[idPilar]])*ECF[[#This Row],[U (m)]])/'DADOS CAP. CARGA'!$S$2</f>
        <v>0</v>
      </c>
      <c r="V229" s="4">
        <f>IF(SPT!$M$5=1,MIN(ECF[[#This Row],[Pe ECF (kN)]],ECF[[#This Row],[R_AV (kN)]]),IF(SPT!$M$5=2,MIN(ECF[[#This Row],[Pe ECF (kN)]],ECF[[#This Row],[R_DC (kN)]]),MIN(ECF[[#This Row],[Pe ECF (kN)]],ECF[[#This Row],[R_AV (kN)]],ECF[[#This Row],[R_DC (kN)]])))</f>
        <v>0</v>
      </c>
      <c r="W229" s="4">
        <f>INDEX(PILARES[],ECF[[#This Row],[idPilar]],MATCH("Carga (kN)",PILARES[#Headers],0))*1.4</f>
        <v>3500</v>
      </c>
      <c r="X229" s="12">
        <f>INDEX(PILARES[],ECF[[#This Row],[idPilar]],MATCH(ECF[[#Headers],[ap (cm)]],PILARES[#Headers],0))</f>
        <v>60</v>
      </c>
      <c r="Y229" s="12">
        <f>INDEX(PILARES[],ECF[[#This Row],[idPilar]],MATCH(ECF[[#Headers],[bp (cm)]],PILARES[#Headers],0))</f>
        <v>60</v>
      </c>
      <c r="Z229" s="4">
        <f>SQRT(ECF[[#This Row],[ap (cm)]]*ECF[[#This Row],[bp (cm)]])</f>
        <v>60</v>
      </c>
      <c r="AA229" s="12">
        <f>ECF[[#This Row],[ap (cm)]]*ECF[[#This Row],[bp (cm)]]</f>
        <v>3600</v>
      </c>
      <c r="AB229" s="12" t="e">
        <f ca="1">IF(ECF[[#This Row],[Padm∙ε (kN)]]&gt;=ECF[[#This Row],[Padm (kN)]],ROUNDUP(1.05*ECF[[#This Row],[Nsd (kN)]]/ECF[[#This Row],[Padm (kN)]],0),ROUNDUP(1.05*ECF[[#This Row],[Nsd (kN)]]/ECF[[#This Row],[Padm (kN)]],0)+1)</f>
        <v>#DIV/0!</v>
      </c>
      <c r="AC229" s="4" t="str">
        <f ca="1">IFERROR(IF(ECF[[#This Row],[nE]]=1,ECF[[#This Row],[Padm (kN)]],ECF[[#This Row],[Padm (kN)]]*ECF[[#This Row],[nE]]*INDEX(grupoEstacas[],ECF[[#This Row],[nE]],MATCH("ε",grupoEstacas[#Headers],0))),"N.S.")</f>
        <v>N.S.</v>
      </c>
      <c r="AD229" s="4" t="e">
        <f ca="1">1.05*ECF[[#This Row],[Nsd (kN)]]/(ECF[[#This Row],[nE]]*PI()*ECF[[#This Row],[Ø (cm)]]^2/4)*10</f>
        <v>#DIV/0!</v>
      </c>
      <c r="AE229" s="4" t="e">
        <f ca="1">IF(ECF[[#This Row],[σ (MPa)]]&lt;INDEX(tipoEstaca[],MATCH($D$2,tipoEstaca[TIPO DE ESTACA],0),MATCH("σmáx (MPa)",tipoEstaca[#Headers],0)),0.4%*PI()*ECF[[#This Row],[Ø (cm)]]^2/4,"N.S.")</f>
        <v>#DIV/0!</v>
      </c>
      <c r="AF229" s="82">
        <f>INDEX(tipoEstaca[],MATCH($D$2,tipoEstaca[TIPO DE ESTACA],0),MATCH(ECF[[#Headers],[Comprimento (m)]],tipoEstaca[#Headers],0))</f>
        <v>4</v>
      </c>
      <c r="AG229" s="5" t="e">
        <f ca="1">ECF[[#This Row],[As,mín (cm²)]]/100^2*ECF[[#This Row],[Comprimento (m)]]*7850</f>
        <v>#DIV/0!</v>
      </c>
      <c r="AH229" s="4" t="e">
        <f ca="1">ECF[[#This Row],[nE]]*ECF[[#This Row],[Prof. (m)]]*ECF[[#This Row],[Ap (m²)]]</f>
        <v>#DIV/0!</v>
      </c>
      <c r="AI229" s="82" t="e">
        <f ca="1">IF(ECF[[#This Row],[nE]]=1,0,MAX(3*ECF[[#This Row],[Ø (cm)]],60))</f>
        <v>#DIV/0!</v>
      </c>
      <c r="AJ229" s="82" t="e">
        <f ca="1">IF(ECF[[#This Row],[nE]]=1,ECF[[#This Row],[Ø (cm)]]+2*10,MAX(1.5*ECF[[#This Row],[Ø (cm)]],ECF[[#This Row],[Ø (cm)]]+15))</f>
        <v>#DIV/0!</v>
      </c>
      <c r="AK229" s="82" t="e">
        <f ca="1">alturaUtil(ECF[[#This Row],[nE]],ECF[[#This Row],[Ø (cm)]],ECF[[#This Row],[e (cm)]],ECF[[#This Row],[ap,eq (cm)]])</f>
        <v>#VALUE!</v>
      </c>
      <c r="AL229" s="82" t="str">
        <f ca="1">IFERROR(ECF[[#This Row],[d (cm)]]+arredondarParaCimaMultiplo5cm(MAX(5,SQRT(PI())/2*ECF[[#This Row],[Ø (cm)]]/5)),"N.S.")</f>
        <v>N.S.</v>
      </c>
      <c r="AM229" s="5" t="e">
        <f ca="1">alpha(ECF[[#This Row],[nE]],ECF[[#This Row],[d (cm)]],ECF[[#This Row],[e (cm)]],ECF[[#This Row],[ap,eq (cm)]])</f>
        <v>#VALUE!</v>
      </c>
      <c r="AN229" s="35" t="str">
        <f ca="1">IFERROR(ECF[[#This Row],[Nsd (kN)]]/(ECF[[#This Row],[Ap (cm²)]]*SIN(ECF[[#This Row],[α]])^2),"N.S.")</f>
        <v>N.S.</v>
      </c>
      <c r="AO229" s="35" t="str">
        <f ca="1">IFERROR(ECF[[#This Row],[Nsd (kN)]]/(ECF[[#This Row],[nE]]*PI()*ECF[[#This Row],[Ø (cm)]]^2/4*SIN(ECF[[#This Row],[α]])^2),"N.S.")</f>
        <v>N.S.</v>
      </c>
      <c r="AP229" s="4" t="str">
        <f ca="1">IFERROR(INDEX(grupoEstacas[],ECF[[#This Row],[nE]],MATCH("coef. Blévot",grupoEstacas[#Headers],0)),"N.S.")</f>
        <v>N.S.</v>
      </c>
      <c r="AQ229" s="35" t="str">
        <f ca="1">IFERROR(ECF[[#This Row],[coef. Blévot]]*0.9*INDEX(tipoEstaca[],MATCH($D$2,tipoEstaca[TIPO DE ESTACA],0),MATCH("fcd (kN/cm²)",tipoEstaca[#Headers],0)),"N.S.")</f>
        <v>N.S.</v>
      </c>
      <c r="AR229" s="82" t="str">
        <f ca="1">IF(AND(ECF[[#This Row],[cd,b,pil (kN/cm²)]]&lt;=ECF[[#This Row],[cd,b,lim (kN/cm²)]],ECF[[#This Row],[cd,b,est (kN/cm²)]]&lt;=ECF[[#This Row],[cd,b,lim (kN/cm²)]]),"OK","ERRO")</f>
        <v>OK</v>
      </c>
      <c r="AS229" s="4" t="e">
        <f ca="1">As_lado(ECF[[#This Row],[nE]],ECF[[#This Row],[Nsd (kN)]],ECF[[#This Row],[d (cm)]],ECF[[#This Row],[e (cm)]],ECF[[#This Row],[ap,eq (cm)]])</f>
        <v>#VALUE!</v>
      </c>
      <c r="AT229" s="4" t="e">
        <f ca="1">IF(ECF[[#This Row],[nE]]=1,ECF[[#This Row],[As,lado (cm²)]],IF(ECF[[#This Row],[nE]]=2,0.075*2*ECF[a (cm)],"N.A."))</f>
        <v>#DIV/0!</v>
      </c>
      <c r="AU229" s="4" t="str">
        <f ca="1">IFERROR(IF(ECF[[#This Row],[nE]]=1,"N.A.",0.2*ECF[[#This Row],[As,lado (cm²)]]),"N.S.")</f>
        <v>N.S.</v>
      </c>
      <c r="AV229" s="4" t="e">
        <f ca="1">As_malha(ECF[[#This Row],[nE]],ECF[[#This Row],[As,lado (cm²)]],ECF[[#This Row],[Nsd (kN)]])</f>
        <v>#VALUE!</v>
      </c>
      <c r="AW229" s="4" t="e">
        <f ca="1">As_susp_tot(ECF[[#This Row],[nE]],ECF[[#This Row],[Nsd (kN)]])</f>
        <v>#VALUE!</v>
      </c>
      <c r="AX229" s="4" t="e">
        <f ca="1">Asp_face(ECF[[#This Row],[nE]],ECF[[#This Row],[As,lado (cm²)]])</f>
        <v>#VALUE!</v>
      </c>
      <c r="AY229" s="5" t="e">
        <f ca="1">acoBloco(ECF[[#This Row],[nE]],ECF[[#This Row],[e (cm)]],ECF[[#This Row],[a (cm)]],ECF[[#This Row],[h (cm)]],ECF[[#This Row],[As,lado (cm²)]],ECF[[#This Row],[Asp e Asw (cm²/m)]],ECF[[#This Row],[As,sup (cm²)]],ECF[[#This Row],[As,malha (cm²)]],ECF[[#This Row],[As,susp,tot (cm²)]],ECF[[#This Row],[Asp,face (cm²)]])</f>
        <v>#VALUE!</v>
      </c>
      <c r="AZ229" s="4" t="e">
        <f ca="1">concretoBloco(ECF[[#This Row],[nE]],ECF[[#This Row],[e (cm)]],ECF[[#This Row],[a (cm)]],ECF[[#This Row],[h (cm)]])</f>
        <v>#VALUE!</v>
      </c>
      <c r="BA229" s="5" t="e">
        <f ca="1">SUM(ECF[[#This Row],[Aço Est (kg)]],ECF[[#This Row],[Aço Bloco (kg)]])</f>
        <v>#DIV/0!</v>
      </c>
      <c r="BB229" s="4">
        <f>INDEX(composicoes[],MATCH(95580,composicoes[CÓDIGO],0),MATCH("CUSTO TOTAL",composicoes[#Headers],0))</f>
        <v>10.46</v>
      </c>
      <c r="BC229" s="4" t="e">
        <f ca="1">SUM(ECF[[#This Row],[Conc Est (m³)]],ECF[[#This Row],[Conc Bloco (m³)]])</f>
        <v>#DIV/0!</v>
      </c>
      <c r="BD229" s="4">
        <f>INDEX(composicoes[],MATCH(94966,composicoes[CÓDIGO],0),MATCH("CUSTO TOTAL",composicoes[#Headers],0))</f>
        <v>439.52</v>
      </c>
      <c r="BE229" s="38" t="e">
        <f ca="1">ECF[[#This Row],[Aço (kg)]]*ECF[[#This Row],[Aço (R$/kg)]]+ECF[[#This Row],[Conc (m³)]]*ECF[[#This Row],[Conc (R$/m³)]]</f>
        <v>#DIV/0!</v>
      </c>
      <c r="BF229" s="4" t="str">
        <f ca="1">IF(COUNTIF(ECF[#This Row],"N.S.")&gt;0,"lim.","OK")</f>
        <v>lim.</v>
      </c>
      <c r="BG229" s="4" t="str">
        <f>IF(ECF[[#This Row],[Prof. (m)]]&lt;4,"lim.","OK")</f>
        <v>lim.</v>
      </c>
      <c r="BH229" s="4" t="str">
        <f>IF(ECF[[#This Row],[Prof. (m)]]&gt;=8*ECF[[#This Row],[Ø (cm)]]/100,"OK","lim.")</f>
        <v>lim.</v>
      </c>
      <c r="BI229" s="4" t="str">
        <f>IF(AND(SPT!$F$3&lt;&gt;"",ECF[[#This Row],[Prof. (m)]]&gt;=SPT!$F$3-2),"lim.","OK")</f>
        <v>OK</v>
      </c>
      <c r="BJ229" s="4" t="str">
        <f ca="1">IF(ECF[[#This Row],[Verif. Biela]]="OK","OK","lim.")</f>
        <v>OK</v>
      </c>
      <c r="BK229" s="4" t="str">
        <f ca="1">IF(COUNTA(ECF[[#This Row],[Nº Est.]:[Biela comp.]])=COUNTIF(ECF[[#This Row],[Nº Est.]:[Biela comp.]],"OK"),"OK","lim.")</f>
        <v>lim.</v>
      </c>
      <c r="BL229" s="4" t="str">
        <f ca="1">IF(ECF[[#This Row],[Controle]]="OK",ECF[[#This Row],[nE]]&amp;" Ø "&amp;ECF[[#This Row],[Ø (cm)]]&amp;" cm, Prof. "&amp;ECF[[#This Row],[Prof. (m)]]&amp;" m","")</f>
        <v/>
      </c>
      <c r="BM229" s="4" t="str">
        <f ca="1">IF(ECF[[#This Row],[idDimensionamento]]="","",ECF[[#This Row],[idPilar]]&amp;ECF[[#This Row],[idDimensionamento]])</f>
        <v/>
      </c>
    </row>
    <row r="230" spans="2:65" x14ac:dyDescent="0.25">
      <c r="B230" s="12">
        <f>ROUNDUP((ROW(ECF[[#This Row],[idDiâmetro]])-ROW(ECF[[#Headers],[idDiâmetro]]))/(COUNT(SPT[Prof. (m)])*COUNT(PILARES[Pilar])),0)</f>
        <v>9</v>
      </c>
      <c r="C230" s="12">
        <f>IF(ECF[[#This Row],[idDiâmetro]]&lt;&gt;B229,1,IF(ECF[[#This Row],[Prof. (m)]]=0,C229+1,C229))</f>
        <v>1</v>
      </c>
      <c r="D230" s="82">
        <f>IFERROR(IF(D229=MAX(SPT[Prof. (m)]),0,D229+1),0)</f>
        <v>1</v>
      </c>
      <c r="E230" s="82">
        <f>INDEX(SPT[],MATCH(ECF[[#This Row],[Prof. (m)]],SPT[Prof. (m)],0),2)</f>
        <v>2</v>
      </c>
      <c r="F230" s="82" t="str">
        <f>INDEX(SPT[],MATCH(ECF[[#This Row],[Prof. (m)]],SPT[Prof. (m)],0),3)</f>
        <v>Areia siltosa</v>
      </c>
      <c r="G230" s="82">
        <f>INDEX(estacas[],ECF[[#This Row],[idDiâmetro]],MATCH($B$2,estacas[#Headers],0))</f>
        <v>180</v>
      </c>
      <c r="H230" s="82">
        <f>INDEX(estacas[],MATCH(ECF[[#This Row],[Ø (cm)]],estacas[Ø ECF (cm)],0),MATCH(ECF[[#Headers],[Pe ECF (kN)]],estacas[#Headers],0))</f>
        <v>10100</v>
      </c>
      <c r="I230" s="4">
        <f>INDEX(K_alpha_C[],MATCH(ECF[[#This Row],[Solo]],K_alpha_C[Solo],0),2)</f>
        <v>0.8</v>
      </c>
      <c r="J230" s="5">
        <f>INDEX(K_alpha_C[],MATCH(ECF[[#This Row],[Solo]],K_alpha_C[Solo],0),3)</f>
        <v>2</v>
      </c>
      <c r="K230" s="4">
        <f>INDEX(F1_F2[],MATCH($D$2,F1_F2[Tipo de estaca],0),2)</f>
        <v>3</v>
      </c>
      <c r="L230" s="4">
        <f>INDEX(F1_F2[],MATCH($D$2,F1_F2[Tipo de estaca],0),3)</f>
        <v>6</v>
      </c>
      <c r="M230" s="4">
        <f>PI()*(ECF[[#This Row],[Ø (cm)]]/100)^2/4</f>
        <v>2.5446900494077327</v>
      </c>
      <c r="N230" s="4">
        <f>PI()*ECF[[#This Row],[Ø (cm)]]/100</f>
        <v>5.6548667764616276</v>
      </c>
      <c r="O230" s="4">
        <f>IF(ECF[[#This Row],[Prof. (m)]]=0,0,ECF[[#This Row],[α (%)]]/100*ECF[[#This Row],[K (MPa)]]*1000*ECF[[#This Row],[NSPT]])</f>
        <v>32</v>
      </c>
      <c r="P230" s="4">
        <f>IF(ECF[[#This Row],[Prof. (m)]]=0,0,(ECF[[#This Row],[K (MPa)]]*1000*ECF[[#This Row],[NSPT]]/ECF[[#This Row],[F1]]*ECF[[#This Row],[Ap (m²)]]+ECF[[#This Row],[U (m)]]/ECF[[#This Row],[F2]]*SUMIFS(ECF[(α∙K∙NL∙ΔL)],ECF[Prof. (m)],"&lt;="&amp;ECF[[#This Row],[Prof. (m)]],ECF[idDiâmetro],ECF[[#This Row],[idDiâmetro]],ECF[idPilar],ECF[[#This Row],[idPilar]]))/'DADOS CAP. CARGA'!$D$2)</f>
        <v>693.66365791262638</v>
      </c>
      <c r="Q230" s="12">
        <f>INDEX(C_alpha_beta[],MATCH(ECF[[#This Row],[Solo]],C_alpha_beta[Solo],0),MATCH(ECF[[#Headers],[C (kPa)]],C_alpha_beta[#Headers],0))</f>
        <v>400</v>
      </c>
      <c r="R230" s="4">
        <f>INDEX(C_alpha_beta[],MATCH(ECF[[#This Row],[Solo]],C_alpha_beta[Solo],0),MATCH(ECF[[#Headers],[α ESF]],C_alpha_beta[#Headers],0))</f>
        <v>0.5</v>
      </c>
      <c r="S230" s="4">
        <f>INDEX(C_alpha_beta[],MATCH(ECF[[#This Row],[Solo]],C_alpha_beta[Solo],0),MATCH(ECF[[#Headers],[β ESF]],C_alpha_beta[#Headers],0))</f>
        <v>0.5</v>
      </c>
      <c r="T230" s="4">
        <f>IF(ECF[[#This Row],[Prof. (m)]]=0,0,10*(ECF[[#This Row],[NSPT]]/3+1))</f>
        <v>16.666666666666664</v>
      </c>
      <c r="U230" s="4">
        <f>(ECF[[#This Row],[α ESF]]*ECF[[#This Row],[C (kPa)]]*ECF[[#This Row],[NSPT]]*ECF[[#This Row],[Ap (m²)]])/'DADOS CAP. CARGA'!$Q$2+(ECF[[#This Row],[β ESF]]*SUMIFS(ECF[10∙(NL/3+1)],ECF[Prof. (m)],"&lt;="&amp;ECF[[#This Row],[Prof. (m)]],ECF[idDiâmetro],ECF[[#This Row],[idDiâmetro]],ECF[idPilar],ECF[[#This Row],[idPilar]])*ECF[[#This Row],[U (m)]])/'DADOS CAP. CARGA'!$S$2</f>
        <v>278.03094984269671</v>
      </c>
      <c r="V230" s="4">
        <f>IF(SPT!$M$5=1,MIN(ECF[[#This Row],[Pe ECF (kN)]],ECF[[#This Row],[R_AV (kN)]]),IF(SPT!$M$5=2,MIN(ECF[[#This Row],[Pe ECF (kN)]],ECF[[#This Row],[R_DC (kN)]]),MIN(ECF[[#This Row],[Pe ECF (kN)]],ECF[[#This Row],[R_AV (kN)]],ECF[[#This Row],[R_DC (kN)]])))</f>
        <v>278.03094984269671</v>
      </c>
      <c r="W230" s="4">
        <f>INDEX(PILARES[],ECF[[#This Row],[idPilar]],MATCH("Carga (kN)",PILARES[#Headers],0))*1.4</f>
        <v>3500</v>
      </c>
      <c r="X230" s="12">
        <f>INDEX(PILARES[],ECF[[#This Row],[idPilar]],MATCH(ECF[[#Headers],[ap (cm)]],PILARES[#Headers],0))</f>
        <v>60</v>
      </c>
      <c r="Y230" s="12">
        <f>INDEX(PILARES[],ECF[[#This Row],[idPilar]],MATCH(ECF[[#Headers],[bp (cm)]],PILARES[#Headers],0))</f>
        <v>60</v>
      </c>
      <c r="Z230" s="4">
        <f>SQRT(ECF[[#This Row],[ap (cm)]]*ECF[[#This Row],[bp (cm)]])</f>
        <v>60</v>
      </c>
      <c r="AA230" s="12">
        <f>ECF[[#This Row],[ap (cm)]]*ECF[[#This Row],[bp (cm)]]</f>
        <v>3600</v>
      </c>
      <c r="AB230" s="12">
        <f ca="1">IF(ECF[[#This Row],[Padm∙ε (kN)]]&gt;=ECF[[#This Row],[Padm (kN)]],ROUNDUP(1.05*ECF[[#This Row],[Nsd (kN)]]/ECF[[#This Row],[Padm (kN)]],0),ROUNDUP(1.05*ECF[[#This Row],[Nsd (kN)]]/ECF[[#This Row],[Padm (kN)]],0)+1)</f>
        <v>14</v>
      </c>
      <c r="AC230" s="4" t="str">
        <f ca="1">IFERROR(IF(ECF[[#This Row],[nE]]=1,ECF[[#This Row],[Padm (kN)]],ECF[[#This Row],[Padm (kN)]]*ECF[[#This Row],[nE]]*INDEX(grupoEstacas[],ECF[[#This Row],[nE]],MATCH("ε",grupoEstacas[#Headers],0))),"N.S.")</f>
        <v>N.S.</v>
      </c>
      <c r="AD230" s="4">
        <f ca="1">1.05*ECF[[#This Row],[Nsd (kN)]]/(ECF[[#This Row],[nE]]*PI()*ECF[[#This Row],[Ø (cm)]]^2/4)*10</f>
        <v>0.10315598163363587</v>
      </c>
      <c r="AE230" s="4">
        <f ca="1">IF(ECF[[#This Row],[σ (MPa)]]&lt;INDEX(tipoEstaca[],MATCH($D$2,tipoEstaca[TIPO DE ESTACA],0),MATCH("σmáx (MPa)",tipoEstaca[#Headers],0)),0.4%*PI()*ECF[[#This Row],[Ø (cm)]]^2/4,"N.S.")</f>
        <v>101.7876019763093</v>
      </c>
      <c r="AF230" s="82">
        <f>INDEX(tipoEstaca[],MATCH($D$2,tipoEstaca[TIPO DE ESTACA],0),MATCH(ECF[[#Headers],[Comprimento (m)]],tipoEstaca[#Headers],0))</f>
        <v>4</v>
      </c>
      <c r="AG230" s="5">
        <f ca="1">ECF[[#This Row],[As,mín (cm²)]]/100^2*ECF[[#This Row],[Comprimento (m)]]*7850</f>
        <v>319.61307020561122</v>
      </c>
      <c r="AH230" s="4">
        <f ca="1">ECF[[#This Row],[nE]]*ECF[[#This Row],[Prof. (m)]]*ECF[[#This Row],[Ap (m²)]]</f>
        <v>35.625660691708255</v>
      </c>
      <c r="AI230" s="82">
        <f ca="1">IF(ECF[[#This Row],[nE]]=1,0,MAX(3*ECF[[#This Row],[Ø (cm)]],60))</f>
        <v>540</v>
      </c>
      <c r="AJ230" s="82">
        <f ca="1">IF(ECF[[#This Row],[nE]]=1,ECF[[#This Row],[Ø (cm)]]+2*10,MAX(1.5*ECF[[#This Row],[Ø (cm)]],ECF[[#This Row],[Ø (cm)]]+15))</f>
        <v>270</v>
      </c>
      <c r="AK230" s="82" t="str">
        <f ca="1">alturaUtil(ECF[[#This Row],[nE]],ECF[[#This Row],[Ø (cm)]],ECF[[#This Row],[e (cm)]],ECF[[#This Row],[ap,eq (cm)]])</f>
        <v>N.S.</v>
      </c>
      <c r="AL230" s="82" t="str">
        <f ca="1">IFERROR(ECF[[#This Row],[d (cm)]]+arredondarParaCimaMultiplo5cm(MAX(5,SQRT(PI())/2*ECF[[#This Row],[Ø (cm)]]/5)),"N.S.")</f>
        <v>N.S.</v>
      </c>
      <c r="AM230" s="5" t="str">
        <f ca="1">alpha(ECF[[#This Row],[nE]],ECF[[#This Row],[d (cm)]],ECF[[#This Row],[e (cm)]],ECF[[#This Row],[ap,eq (cm)]])</f>
        <v>N.S.</v>
      </c>
      <c r="AN230" s="35" t="str">
        <f ca="1">IFERROR(ECF[[#This Row],[Nsd (kN)]]/(ECF[[#This Row],[Ap (cm²)]]*SIN(ECF[[#This Row],[α]])^2),"N.S.")</f>
        <v>N.S.</v>
      </c>
      <c r="AO230" s="35" t="str">
        <f ca="1">IFERROR(ECF[[#This Row],[Nsd (kN)]]/(ECF[[#This Row],[nE]]*PI()*ECF[[#This Row],[Ø (cm)]]^2/4*SIN(ECF[[#This Row],[α]])^2),"N.S.")</f>
        <v>N.S.</v>
      </c>
      <c r="AP230" s="4" t="str">
        <f ca="1">IFERROR(INDEX(grupoEstacas[],ECF[[#This Row],[nE]],MATCH("coef. Blévot",grupoEstacas[#Headers],0)),"N.S.")</f>
        <v>N.S.</v>
      </c>
      <c r="AQ230" s="35" t="str">
        <f ca="1">IFERROR(ECF[[#This Row],[coef. Blévot]]*0.9*INDEX(tipoEstaca[],MATCH($D$2,tipoEstaca[TIPO DE ESTACA],0),MATCH("fcd (kN/cm²)",tipoEstaca[#Headers],0)),"N.S.")</f>
        <v>N.S.</v>
      </c>
      <c r="AR230" s="82" t="str">
        <f ca="1">IF(AND(ECF[[#This Row],[cd,b,pil (kN/cm²)]]&lt;=ECF[[#This Row],[cd,b,lim (kN/cm²)]],ECF[[#This Row],[cd,b,est (kN/cm²)]]&lt;=ECF[[#This Row],[cd,b,lim (kN/cm²)]]),"OK","ERRO")</f>
        <v>OK</v>
      </c>
      <c r="AS230" s="4" t="str">
        <f ca="1">As_lado(ECF[[#This Row],[nE]],ECF[[#This Row],[Nsd (kN)]],ECF[[#This Row],[d (cm)]],ECF[[#This Row],[e (cm)]],ECF[[#This Row],[ap,eq (cm)]])</f>
        <v>N.S.</v>
      </c>
      <c r="AT230" s="4" t="str">
        <f ca="1">IF(ECF[[#This Row],[nE]]=1,ECF[[#This Row],[As,lado (cm²)]],IF(ECF[[#This Row],[nE]]=2,0.075*2*ECF[a (cm)],"N.A."))</f>
        <v>N.A.</v>
      </c>
      <c r="AU230" s="4" t="str">
        <f ca="1">IFERROR(IF(ECF[[#This Row],[nE]]=1,"N.A.",0.2*ECF[[#This Row],[As,lado (cm²)]]),"N.S.")</f>
        <v>N.S.</v>
      </c>
      <c r="AV230" s="4" t="str">
        <f ca="1">As_malha(ECF[[#This Row],[nE]],ECF[[#This Row],[As,lado (cm²)]],ECF[[#This Row],[Nsd (kN)]])</f>
        <v>N.S.</v>
      </c>
      <c r="AW230" s="4" t="str">
        <f ca="1">As_susp_tot(ECF[[#This Row],[nE]],ECF[[#This Row],[Nsd (kN)]])</f>
        <v>N.S.</v>
      </c>
      <c r="AX230" s="4" t="str">
        <f ca="1">Asp_face(ECF[[#This Row],[nE]],ECF[[#This Row],[As,lado (cm²)]])</f>
        <v>N.S.</v>
      </c>
      <c r="AY230" s="5" t="str">
        <f ca="1">acoBloco(ECF[[#This Row],[nE]],ECF[[#This Row],[e (cm)]],ECF[[#This Row],[a (cm)]],ECF[[#This Row],[h (cm)]],ECF[[#This Row],[As,lado (cm²)]],ECF[[#This Row],[Asp e Asw (cm²/m)]],ECF[[#This Row],[As,sup (cm²)]],ECF[[#This Row],[As,malha (cm²)]],ECF[[#This Row],[As,susp,tot (cm²)]],ECF[[#This Row],[Asp,face (cm²)]])</f>
        <v>N.S.</v>
      </c>
      <c r="AZ230" s="4" t="str">
        <f ca="1">concretoBloco(ECF[[#This Row],[nE]],ECF[[#This Row],[e (cm)]],ECF[[#This Row],[a (cm)]],ECF[[#This Row],[h (cm)]])</f>
        <v>N.S.</v>
      </c>
      <c r="BA230" s="5">
        <f ca="1">SUM(ECF[[#This Row],[Aço Est (kg)]],ECF[[#This Row],[Aço Bloco (kg)]])</f>
        <v>319.61307020561122</v>
      </c>
      <c r="BB230" s="4">
        <f>INDEX(composicoes[],MATCH(95580,composicoes[CÓDIGO],0),MATCH("CUSTO TOTAL",composicoes[#Headers],0))</f>
        <v>10.46</v>
      </c>
      <c r="BC230" s="4">
        <f ca="1">SUM(ECF[[#This Row],[Conc Est (m³)]],ECF[[#This Row],[Conc Bloco (m³)]])</f>
        <v>35.625660691708255</v>
      </c>
      <c r="BD230" s="4">
        <f>INDEX(composicoes[],MATCH(94966,composicoes[CÓDIGO],0),MATCH("CUSTO TOTAL",composicoes[#Headers],0))</f>
        <v>439.52</v>
      </c>
      <c r="BE230" s="38">
        <f ca="1">ECF[[#This Row],[Aço (kg)]]*ECF[[#This Row],[Aço (R$/kg)]]+ECF[[#This Row],[Conc (m³)]]*ECF[[#This Row],[Conc (R$/m³)]]</f>
        <v>19001.343101570303</v>
      </c>
      <c r="BF230" s="4" t="str">
        <f ca="1">IF(COUNTIF(ECF[#This Row],"N.S.")&gt;0,"lim.","OK")</f>
        <v>lim.</v>
      </c>
      <c r="BG230" s="4" t="str">
        <f>IF(ECF[[#This Row],[Prof. (m)]]&lt;4,"lim.","OK")</f>
        <v>lim.</v>
      </c>
      <c r="BH230" s="4" t="str">
        <f>IF(ECF[[#This Row],[Prof. (m)]]&gt;=8*ECF[[#This Row],[Ø (cm)]]/100,"OK","lim.")</f>
        <v>lim.</v>
      </c>
      <c r="BI230" s="4" t="str">
        <f>IF(AND(SPT!$F$3&lt;&gt;"",ECF[[#This Row],[Prof. (m)]]&gt;=SPT!$F$3-2),"lim.","OK")</f>
        <v>OK</v>
      </c>
      <c r="BJ230" s="4" t="str">
        <f ca="1">IF(ECF[[#This Row],[Verif. Biela]]="OK","OK","lim.")</f>
        <v>OK</v>
      </c>
      <c r="BK230" s="4" t="str">
        <f ca="1">IF(COUNTA(ECF[[#This Row],[Nº Est.]:[Biela comp.]])=COUNTIF(ECF[[#This Row],[Nº Est.]:[Biela comp.]],"OK"),"OK","lim.")</f>
        <v>lim.</v>
      </c>
      <c r="BL230" s="4" t="str">
        <f ca="1">IF(ECF[[#This Row],[Controle]]="OK",ECF[[#This Row],[nE]]&amp;" Ø "&amp;ECF[[#This Row],[Ø (cm)]]&amp;" cm, Prof. "&amp;ECF[[#This Row],[Prof. (m)]]&amp;" m","")</f>
        <v/>
      </c>
      <c r="BM230" s="4" t="str">
        <f ca="1">IF(ECF[[#This Row],[idDimensionamento]]="","",ECF[[#This Row],[idPilar]]&amp;ECF[[#This Row],[idDimensionamento]])</f>
        <v/>
      </c>
    </row>
    <row r="231" spans="2:65" x14ac:dyDescent="0.25">
      <c r="B231" s="12">
        <f>ROUNDUP((ROW(ECF[[#This Row],[idDiâmetro]])-ROW(ECF[[#Headers],[idDiâmetro]]))/(COUNT(SPT[Prof. (m)])*COUNT(PILARES[Pilar])),0)</f>
        <v>9</v>
      </c>
      <c r="C231" s="12">
        <f>IF(ECF[[#This Row],[idDiâmetro]]&lt;&gt;B230,1,IF(ECF[[#This Row],[Prof. (m)]]=0,C230+1,C230))</f>
        <v>1</v>
      </c>
      <c r="D231" s="82">
        <f>IFERROR(IF(D230=MAX(SPT[Prof. (m)]),0,D230+1),0)</f>
        <v>2</v>
      </c>
      <c r="E231" s="82">
        <f>INDEX(SPT[],MATCH(ECF[[#This Row],[Prof. (m)]],SPT[Prof. (m)],0),2)</f>
        <v>2</v>
      </c>
      <c r="F231" s="82" t="str">
        <f>INDEX(SPT[],MATCH(ECF[[#This Row],[Prof. (m)]],SPT[Prof. (m)],0),3)</f>
        <v>Areia siltosa</v>
      </c>
      <c r="G231" s="82">
        <f>INDEX(estacas[],ECF[[#This Row],[idDiâmetro]],MATCH($B$2,estacas[#Headers],0))</f>
        <v>180</v>
      </c>
      <c r="H231" s="82">
        <f>INDEX(estacas[],MATCH(ECF[[#This Row],[Ø (cm)]],estacas[Ø ECF (cm)],0),MATCH(ECF[[#Headers],[Pe ECF (kN)]],estacas[#Headers],0))</f>
        <v>10100</v>
      </c>
      <c r="I231" s="4">
        <f>INDEX(K_alpha_C[],MATCH(ECF[[#This Row],[Solo]],K_alpha_C[Solo],0),2)</f>
        <v>0.8</v>
      </c>
      <c r="J231" s="5">
        <f>INDEX(K_alpha_C[],MATCH(ECF[[#This Row],[Solo]],K_alpha_C[Solo],0),3)</f>
        <v>2</v>
      </c>
      <c r="K231" s="4">
        <f>INDEX(F1_F2[],MATCH($D$2,F1_F2[Tipo de estaca],0),2)</f>
        <v>3</v>
      </c>
      <c r="L231" s="4">
        <f>INDEX(F1_F2[],MATCH($D$2,F1_F2[Tipo de estaca],0),3)</f>
        <v>6</v>
      </c>
      <c r="M231" s="4">
        <f>PI()*(ECF[[#This Row],[Ø (cm)]]/100)^2/4</f>
        <v>2.5446900494077327</v>
      </c>
      <c r="N231" s="4">
        <f>PI()*ECF[[#This Row],[Ø (cm)]]/100</f>
        <v>5.6548667764616276</v>
      </c>
      <c r="O231" s="4">
        <f>IF(ECF[[#This Row],[Prof. (m)]]=0,0,ECF[[#This Row],[α (%)]]/100*ECF[[#This Row],[K (MPa)]]*1000*ECF[[#This Row],[NSPT]])</f>
        <v>32</v>
      </c>
      <c r="P231" s="4">
        <f>IF(ECF[[#This Row],[Prof. (m)]]=0,0,(ECF[[#This Row],[K (MPa)]]*1000*ECF[[#This Row],[NSPT]]/ECF[[#This Row],[F1]]*ECF[[#This Row],[Ap (m²)]]+ECF[[#This Row],[U (m)]]/ECF[[#This Row],[F2]]*SUMIFS(ECF[(α∙K∙NL∙ΔL)],ECF[Prof. (m)],"&lt;="&amp;ECF[[#This Row],[Prof. (m)]],ECF[idDiâmetro],ECF[[#This Row],[idDiâmetro]],ECF[idPilar],ECF[[#This Row],[idPilar]]))/'DADOS CAP. CARGA'!$D$2)</f>
        <v>708.74330264985747</v>
      </c>
      <c r="Q231" s="12">
        <f>INDEX(C_alpha_beta[],MATCH(ECF[[#This Row],[Solo]],C_alpha_beta[Solo],0),MATCH(ECF[[#Headers],[C (kPa)]],C_alpha_beta[#Headers],0))</f>
        <v>400</v>
      </c>
      <c r="R231" s="4">
        <f>INDEX(C_alpha_beta[],MATCH(ECF[[#This Row],[Solo]],C_alpha_beta[Solo],0),MATCH(ECF[[#Headers],[α ESF]],C_alpha_beta[#Headers],0))</f>
        <v>0.5</v>
      </c>
      <c r="S231" s="4">
        <f>INDEX(C_alpha_beta[],MATCH(ECF[[#This Row],[Solo]],C_alpha_beta[Solo],0),MATCH(ECF[[#Headers],[β ESF]],C_alpha_beta[#Headers],0))</f>
        <v>0.5</v>
      </c>
      <c r="T231" s="4">
        <f>IF(ECF[[#This Row],[Prof. (m)]]=0,0,10*(ECF[[#This Row],[NSPT]]/3+1))</f>
        <v>16.666666666666664</v>
      </c>
      <c r="U231" s="4">
        <f>(ECF[[#This Row],[α ESF]]*ECF[[#This Row],[C (kPa)]]*ECF[[#This Row],[NSPT]]*ECF[[#This Row],[Ap (m²)]])/'DADOS CAP. CARGA'!$Q$2+(ECF[[#This Row],[β ESF]]*SUMIFS(ECF[10∙(NL/3+1)],ECF[Prof. (m)],"&lt;="&amp;ECF[[#This Row],[Prof. (m)]],ECF[idDiâmetro],ECF[[#This Row],[idDiâmetro]],ECF[idPilar],ECF[[#This Row],[idPilar]])*ECF[[#This Row],[U (m)]])/'DADOS CAP. CARGA'!$S$2</f>
        <v>301.59289474462014</v>
      </c>
      <c r="V231" s="4">
        <f>IF(SPT!$M$5=1,MIN(ECF[[#This Row],[Pe ECF (kN)]],ECF[[#This Row],[R_AV (kN)]]),IF(SPT!$M$5=2,MIN(ECF[[#This Row],[Pe ECF (kN)]],ECF[[#This Row],[R_DC (kN)]]),MIN(ECF[[#This Row],[Pe ECF (kN)]],ECF[[#This Row],[R_AV (kN)]],ECF[[#This Row],[R_DC (kN)]])))</f>
        <v>301.59289474462014</v>
      </c>
      <c r="W231" s="4">
        <f>INDEX(PILARES[],ECF[[#This Row],[idPilar]],MATCH("Carga (kN)",PILARES[#Headers],0))*1.4</f>
        <v>3500</v>
      </c>
      <c r="X231" s="12">
        <f>INDEX(PILARES[],ECF[[#This Row],[idPilar]],MATCH(ECF[[#Headers],[ap (cm)]],PILARES[#Headers],0))</f>
        <v>60</v>
      </c>
      <c r="Y231" s="12">
        <f>INDEX(PILARES[],ECF[[#This Row],[idPilar]],MATCH(ECF[[#Headers],[bp (cm)]],PILARES[#Headers],0))</f>
        <v>60</v>
      </c>
      <c r="Z231" s="4">
        <f>SQRT(ECF[[#This Row],[ap (cm)]]*ECF[[#This Row],[bp (cm)]])</f>
        <v>60</v>
      </c>
      <c r="AA231" s="12">
        <f>ECF[[#This Row],[ap (cm)]]*ECF[[#This Row],[bp (cm)]]</f>
        <v>3600</v>
      </c>
      <c r="AB231" s="12">
        <f ca="1">IF(ECF[[#This Row],[Padm∙ε (kN)]]&gt;=ECF[[#This Row],[Padm (kN)]],ROUNDUP(1.05*ECF[[#This Row],[Nsd (kN)]]/ECF[[#This Row],[Padm (kN)]],0),ROUNDUP(1.05*ECF[[#This Row],[Nsd (kN)]]/ECF[[#This Row],[Padm (kN)]],0)+1)</f>
        <v>13</v>
      </c>
      <c r="AC231" s="4" t="str">
        <f ca="1">IFERROR(IF(ECF[[#This Row],[nE]]=1,ECF[[#This Row],[Padm (kN)]],ECF[[#This Row],[Padm (kN)]]*ECF[[#This Row],[nE]]*INDEX(grupoEstacas[],ECF[[#This Row],[nE]],MATCH("ε",grupoEstacas[#Headers],0))),"N.S.")</f>
        <v>N.S.</v>
      </c>
      <c r="AD231" s="4">
        <f ca="1">1.05*ECF[[#This Row],[Nsd (kN)]]/(ECF[[#This Row],[nE]]*PI()*ECF[[#This Row],[Ø (cm)]]^2/4)*10</f>
        <v>0.11109105714391554</v>
      </c>
      <c r="AE231" s="4">
        <f ca="1">IF(ECF[[#This Row],[σ (MPa)]]&lt;INDEX(tipoEstaca[],MATCH($D$2,tipoEstaca[TIPO DE ESTACA],0),MATCH("σmáx (MPa)",tipoEstaca[#Headers],0)),0.4%*PI()*ECF[[#This Row],[Ø (cm)]]^2/4,"N.S.")</f>
        <v>101.7876019763093</v>
      </c>
      <c r="AF231" s="82">
        <f>INDEX(tipoEstaca[],MATCH($D$2,tipoEstaca[TIPO DE ESTACA],0),MATCH(ECF[[#Headers],[Comprimento (m)]],tipoEstaca[#Headers],0))</f>
        <v>4</v>
      </c>
      <c r="AG231" s="5">
        <f ca="1">ECF[[#This Row],[As,mín (cm²)]]/100^2*ECF[[#This Row],[Comprimento (m)]]*7850</f>
        <v>319.61307020561122</v>
      </c>
      <c r="AH231" s="4">
        <f ca="1">ECF[[#This Row],[nE]]*ECF[[#This Row],[Prof. (m)]]*ECF[[#This Row],[Ap (m²)]]</f>
        <v>66.161941284601056</v>
      </c>
      <c r="AI231" s="82">
        <f ca="1">IF(ECF[[#This Row],[nE]]=1,0,MAX(3*ECF[[#This Row],[Ø (cm)]],60))</f>
        <v>540</v>
      </c>
      <c r="AJ231" s="82">
        <f ca="1">IF(ECF[[#This Row],[nE]]=1,ECF[[#This Row],[Ø (cm)]]+2*10,MAX(1.5*ECF[[#This Row],[Ø (cm)]],ECF[[#This Row],[Ø (cm)]]+15))</f>
        <v>270</v>
      </c>
      <c r="AK231" s="82" t="str">
        <f ca="1">alturaUtil(ECF[[#This Row],[nE]],ECF[[#This Row],[Ø (cm)]],ECF[[#This Row],[e (cm)]],ECF[[#This Row],[ap,eq (cm)]])</f>
        <v>N.S.</v>
      </c>
      <c r="AL231" s="82" t="str">
        <f ca="1">IFERROR(ECF[[#This Row],[d (cm)]]+arredondarParaCimaMultiplo5cm(MAX(5,SQRT(PI())/2*ECF[[#This Row],[Ø (cm)]]/5)),"N.S.")</f>
        <v>N.S.</v>
      </c>
      <c r="AM231" s="5" t="str">
        <f ca="1">alpha(ECF[[#This Row],[nE]],ECF[[#This Row],[d (cm)]],ECF[[#This Row],[e (cm)]],ECF[[#This Row],[ap,eq (cm)]])</f>
        <v>N.S.</v>
      </c>
      <c r="AN231" s="35" t="str">
        <f ca="1">IFERROR(ECF[[#This Row],[Nsd (kN)]]/(ECF[[#This Row],[Ap (cm²)]]*SIN(ECF[[#This Row],[α]])^2),"N.S.")</f>
        <v>N.S.</v>
      </c>
      <c r="AO231" s="35" t="str">
        <f ca="1">IFERROR(ECF[[#This Row],[Nsd (kN)]]/(ECF[[#This Row],[nE]]*PI()*ECF[[#This Row],[Ø (cm)]]^2/4*SIN(ECF[[#This Row],[α]])^2),"N.S.")</f>
        <v>N.S.</v>
      </c>
      <c r="AP231" s="4" t="str">
        <f ca="1">IFERROR(INDEX(grupoEstacas[],ECF[[#This Row],[nE]],MATCH("coef. Blévot",grupoEstacas[#Headers],0)),"N.S.")</f>
        <v>N.S.</v>
      </c>
      <c r="AQ231" s="35" t="str">
        <f ca="1">IFERROR(ECF[[#This Row],[coef. Blévot]]*0.9*INDEX(tipoEstaca[],MATCH($D$2,tipoEstaca[TIPO DE ESTACA],0),MATCH("fcd (kN/cm²)",tipoEstaca[#Headers],0)),"N.S.")</f>
        <v>N.S.</v>
      </c>
      <c r="AR231" s="82" t="str">
        <f ca="1">IF(AND(ECF[[#This Row],[cd,b,pil (kN/cm²)]]&lt;=ECF[[#This Row],[cd,b,lim (kN/cm²)]],ECF[[#This Row],[cd,b,est (kN/cm²)]]&lt;=ECF[[#This Row],[cd,b,lim (kN/cm²)]]),"OK","ERRO")</f>
        <v>OK</v>
      </c>
      <c r="AS231" s="4" t="str">
        <f ca="1">As_lado(ECF[[#This Row],[nE]],ECF[[#This Row],[Nsd (kN)]],ECF[[#This Row],[d (cm)]],ECF[[#This Row],[e (cm)]],ECF[[#This Row],[ap,eq (cm)]])</f>
        <v>N.S.</v>
      </c>
      <c r="AT231" s="4" t="str">
        <f ca="1">IF(ECF[[#This Row],[nE]]=1,ECF[[#This Row],[As,lado (cm²)]],IF(ECF[[#This Row],[nE]]=2,0.075*2*ECF[a (cm)],"N.A."))</f>
        <v>N.A.</v>
      </c>
      <c r="AU231" s="4" t="str">
        <f ca="1">IFERROR(IF(ECF[[#This Row],[nE]]=1,"N.A.",0.2*ECF[[#This Row],[As,lado (cm²)]]),"N.S.")</f>
        <v>N.S.</v>
      </c>
      <c r="AV231" s="4" t="str">
        <f ca="1">As_malha(ECF[[#This Row],[nE]],ECF[[#This Row],[As,lado (cm²)]],ECF[[#This Row],[Nsd (kN)]])</f>
        <v>N.S.</v>
      </c>
      <c r="AW231" s="4" t="str">
        <f ca="1">As_susp_tot(ECF[[#This Row],[nE]],ECF[[#This Row],[Nsd (kN)]])</f>
        <v>N.S.</v>
      </c>
      <c r="AX231" s="4" t="str">
        <f ca="1">Asp_face(ECF[[#This Row],[nE]],ECF[[#This Row],[As,lado (cm²)]])</f>
        <v>N.S.</v>
      </c>
      <c r="AY231" s="5" t="str">
        <f ca="1">acoBloco(ECF[[#This Row],[nE]],ECF[[#This Row],[e (cm)]],ECF[[#This Row],[a (cm)]],ECF[[#This Row],[h (cm)]],ECF[[#This Row],[As,lado (cm²)]],ECF[[#This Row],[Asp e Asw (cm²/m)]],ECF[[#This Row],[As,sup (cm²)]],ECF[[#This Row],[As,malha (cm²)]],ECF[[#This Row],[As,susp,tot (cm²)]],ECF[[#This Row],[Asp,face (cm²)]])</f>
        <v>N.S.</v>
      </c>
      <c r="AZ231" s="4" t="str">
        <f ca="1">concretoBloco(ECF[[#This Row],[nE]],ECF[[#This Row],[e (cm)]],ECF[[#This Row],[a (cm)]],ECF[[#This Row],[h (cm)]])</f>
        <v>N.S.</v>
      </c>
      <c r="BA231" s="5">
        <f ca="1">SUM(ECF[[#This Row],[Aço Est (kg)]],ECF[[#This Row],[Aço Bloco (kg)]])</f>
        <v>319.61307020561122</v>
      </c>
      <c r="BB231" s="4">
        <f>INDEX(composicoes[],MATCH(95580,composicoes[CÓDIGO],0),MATCH("CUSTO TOTAL",composicoes[#Headers],0))</f>
        <v>10.46</v>
      </c>
      <c r="BC231" s="4">
        <f ca="1">SUM(ECF[[#This Row],[Conc Est (m³)]],ECF[[#This Row],[Conc Bloco (m³)]])</f>
        <v>66.161941284601056</v>
      </c>
      <c r="BD231" s="4">
        <f>INDEX(composicoes[],MATCH(94966,composicoes[CÓDIGO],0),MATCH("CUSTO TOTAL",composicoes[#Headers],0))</f>
        <v>439.52</v>
      </c>
      <c r="BE231" s="38">
        <f ca="1">ECF[[#This Row],[Aço (kg)]]*ECF[[#This Row],[Aço (R$/kg)]]+ECF[[#This Row],[Conc (m³)]]*ECF[[#This Row],[Conc (R$/m³)]]</f>
        <v>32422.649147758548</v>
      </c>
      <c r="BF231" s="4" t="str">
        <f ca="1">IF(COUNTIF(ECF[#This Row],"N.S.")&gt;0,"lim.","OK")</f>
        <v>lim.</v>
      </c>
      <c r="BG231" s="4" t="str">
        <f>IF(ECF[[#This Row],[Prof. (m)]]&lt;4,"lim.","OK")</f>
        <v>lim.</v>
      </c>
      <c r="BH231" s="4" t="str">
        <f>IF(ECF[[#This Row],[Prof. (m)]]&gt;=8*ECF[[#This Row],[Ø (cm)]]/100,"OK","lim.")</f>
        <v>lim.</v>
      </c>
      <c r="BI231" s="4" t="str">
        <f>IF(AND(SPT!$F$3&lt;&gt;"",ECF[[#This Row],[Prof. (m)]]&gt;=SPT!$F$3-2),"lim.","OK")</f>
        <v>OK</v>
      </c>
      <c r="BJ231" s="4" t="str">
        <f ca="1">IF(ECF[[#This Row],[Verif. Biela]]="OK","OK","lim.")</f>
        <v>OK</v>
      </c>
      <c r="BK231" s="4" t="str">
        <f ca="1">IF(COUNTA(ECF[[#This Row],[Nº Est.]:[Biela comp.]])=COUNTIF(ECF[[#This Row],[Nº Est.]:[Biela comp.]],"OK"),"OK","lim.")</f>
        <v>lim.</v>
      </c>
      <c r="BL231" s="4" t="str">
        <f ca="1">IF(ECF[[#This Row],[Controle]]="OK",ECF[[#This Row],[nE]]&amp;" Ø "&amp;ECF[[#This Row],[Ø (cm)]]&amp;" cm, Prof. "&amp;ECF[[#This Row],[Prof. (m)]]&amp;" m","")</f>
        <v/>
      </c>
      <c r="BM231" s="4" t="str">
        <f ca="1">IF(ECF[[#This Row],[idDimensionamento]]="","",ECF[[#This Row],[idPilar]]&amp;ECF[[#This Row],[idDimensionamento]])</f>
        <v/>
      </c>
    </row>
    <row r="232" spans="2:65" x14ac:dyDescent="0.25">
      <c r="B232" s="12">
        <f>ROUNDUP((ROW(ECF[[#This Row],[idDiâmetro]])-ROW(ECF[[#Headers],[idDiâmetro]]))/(COUNT(SPT[Prof. (m)])*COUNT(PILARES[Pilar])),0)</f>
        <v>9</v>
      </c>
      <c r="C232" s="12">
        <f>IF(ECF[[#This Row],[idDiâmetro]]&lt;&gt;B231,1,IF(ECF[[#This Row],[Prof. (m)]]=0,C231+1,C231))</f>
        <v>1</v>
      </c>
      <c r="D232" s="82">
        <f>IFERROR(IF(D231=MAX(SPT[Prof. (m)]),0,D231+1),0)</f>
        <v>3</v>
      </c>
      <c r="E232" s="82">
        <f>INDEX(SPT[],MATCH(ECF[[#This Row],[Prof. (m)]],SPT[Prof. (m)],0),2)</f>
        <v>4</v>
      </c>
      <c r="F232" s="82" t="str">
        <f>INDEX(SPT[],MATCH(ECF[[#This Row],[Prof. (m)]],SPT[Prof. (m)],0),3)</f>
        <v>Areia siltosa</v>
      </c>
      <c r="G232" s="82">
        <f>INDEX(estacas[],ECF[[#This Row],[idDiâmetro]],MATCH($B$2,estacas[#Headers],0))</f>
        <v>180</v>
      </c>
      <c r="H232" s="82">
        <f>INDEX(estacas[],MATCH(ECF[[#This Row],[Ø (cm)]],estacas[Ø ECF (cm)],0),MATCH(ECF[[#Headers],[Pe ECF (kN)]],estacas[#Headers],0))</f>
        <v>10100</v>
      </c>
      <c r="I232" s="4">
        <f>INDEX(K_alpha_C[],MATCH(ECF[[#This Row],[Solo]],K_alpha_C[Solo],0),2)</f>
        <v>0.8</v>
      </c>
      <c r="J232" s="5">
        <f>INDEX(K_alpha_C[],MATCH(ECF[[#This Row],[Solo]],K_alpha_C[Solo],0),3)</f>
        <v>2</v>
      </c>
      <c r="K232" s="4">
        <f>INDEX(F1_F2[],MATCH($D$2,F1_F2[Tipo de estaca],0),2)</f>
        <v>3</v>
      </c>
      <c r="L232" s="4">
        <f>INDEX(F1_F2[],MATCH($D$2,F1_F2[Tipo de estaca],0),3)</f>
        <v>6</v>
      </c>
      <c r="M232" s="4">
        <f>PI()*(ECF[[#This Row],[Ø (cm)]]/100)^2/4</f>
        <v>2.5446900494077327</v>
      </c>
      <c r="N232" s="4">
        <f>PI()*ECF[[#This Row],[Ø (cm)]]/100</f>
        <v>5.6548667764616276</v>
      </c>
      <c r="O232" s="4">
        <f>IF(ECF[[#This Row],[Prof. (m)]]=0,0,ECF[[#This Row],[α (%)]]/100*ECF[[#This Row],[K (MPa)]]*1000*ECF[[#This Row],[NSPT]])</f>
        <v>64</v>
      </c>
      <c r="P232" s="4">
        <f>IF(ECF[[#This Row],[Prof. (m)]]=0,0,(ECF[[#This Row],[K (MPa)]]*1000*ECF[[#This Row],[NSPT]]/ECF[[#This Row],[F1]]*ECF[[#This Row],[Ap (m²)]]+ECF[[#This Row],[U (m)]]/ECF[[#This Row],[F2]]*SUMIFS(ECF[(α∙K∙NL∙ΔL)],ECF[Prof. (m)],"&lt;="&amp;ECF[[#This Row],[Prof. (m)]],ECF[idDiâmetro],ECF[[#This Row],[idDiâmetro]],ECF[idPilar],ECF[[#This Row],[idPilar]]))/'DADOS CAP. CARGA'!$D$2)</f>
        <v>1417.4866052997149</v>
      </c>
      <c r="Q232" s="12">
        <f>INDEX(C_alpha_beta[],MATCH(ECF[[#This Row],[Solo]],C_alpha_beta[Solo],0),MATCH(ECF[[#Headers],[C (kPa)]],C_alpha_beta[#Headers],0))</f>
        <v>400</v>
      </c>
      <c r="R232" s="4">
        <f>INDEX(C_alpha_beta[],MATCH(ECF[[#This Row],[Solo]],C_alpha_beta[Solo],0),MATCH(ECF[[#Headers],[α ESF]],C_alpha_beta[#Headers],0))</f>
        <v>0.5</v>
      </c>
      <c r="S232" s="4">
        <f>INDEX(C_alpha_beta[],MATCH(ECF[[#This Row],[Solo]],C_alpha_beta[Solo],0),MATCH(ECF[[#Headers],[β ESF]],C_alpha_beta[#Headers],0))</f>
        <v>0.5</v>
      </c>
      <c r="T232" s="4">
        <f>IF(ECF[[#This Row],[Prof. (m)]]=0,0,10*(ECF[[#This Row],[NSPT]]/3+1))</f>
        <v>23.333333333333329</v>
      </c>
      <c r="U232" s="4">
        <f>(ECF[[#This Row],[α ESF]]*ECF[[#This Row],[C (kPa)]]*ECF[[#This Row],[NSPT]]*ECF[[#This Row],[Ap (m²)]])/'DADOS CAP. CARGA'!$Q$2+(ECF[[#This Row],[β ESF]]*SUMIFS(ECF[10∙(NL/3+1)],ECF[Prof. (m)],"&lt;="&amp;ECF[[#This Row],[Prof. (m)]],ECF[idDiâmetro],ECF[[#This Row],[idDiâmetro]],ECF[idPilar],ECF[[#This Row],[idPilar]])*ECF[[#This Row],[U (m)]])/'DADOS CAP. CARGA'!$S$2</f>
        <v>589.0486225480862</v>
      </c>
      <c r="V232" s="4">
        <f>IF(SPT!$M$5=1,MIN(ECF[[#This Row],[Pe ECF (kN)]],ECF[[#This Row],[R_AV (kN)]]),IF(SPT!$M$5=2,MIN(ECF[[#This Row],[Pe ECF (kN)]],ECF[[#This Row],[R_DC (kN)]]),MIN(ECF[[#This Row],[Pe ECF (kN)]],ECF[[#This Row],[R_AV (kN)]],ECF[[#This Row],[R_DC (kN)]])))</f>
        <v>589.0486225480862</v>
      </c>
      <c r="W232" s="4">
        <f>INDEX(PILARES[],ECF[[#This Row],[idPilar]],MATCH("Carga (kN)",PILARES[#Headers],0))*1.4</f>
        <v>3500</v>
      </c>
      <c r="X232" s="12">
        <f>INDEX(PILARES[],ECF[[#This Row],[idPilar]],MATCH(ECF[[#Headers],[ap (cm)]],PILARES[#Headers],0))</f>
        <v>60</v>
      </c>
      <c r="Y232" s="12">
        <f>INDEX(PILARES[],ECF[[#This Row],[idPilar]],MATCH(ECF[[#Headers],[bp (cm)]],PILARES[#Headers],0))</f>
        <v>60</v>
      </c>
      <c r="Z232" s="4">
        <f>SQRT(ECF[[#This Row],[ap (cm)]]*ECF[[#This Row],[bp (cm)]])</f>
        <v>60</v>
      </c>
      <c r="AA232" s="12">
        <f>ECF[[#This Row],[ap (cm)]]*ECF[[#This Row],[bp (cm)]]</f>
        <v>3600</v>
      </c>
      <c r="AB232" s="12">
        <f ca="1">IF(ECF[[#This Row],[Padm∙ε (kN)]]&gt;=ECF[[#This Row],[Padm (kN)]],ROUNDUP(1.05*ECF[[#This Row],[Nsd (kN)]]/ECF[[#This Row],[Padm (kN)]],0),ROUNDUP(1.05*ECF[[#This Row],[Nsd (kN)]]/ECF[[#This Row],[Padm (kN)]],0)+1)</f>
        <v>7</v>
      </c>
      <c r="AC232" s="4" t="str">
        <f ca="1">IFERROR(IF(ECF[[#This Row],[nE]]=1,ECF[[#This Row],[Padm (kN)]],ECF[[#This Row],[Padm (kN)]]*ECF[[#This Row],[nE]]*INDEX(grupoEstacas[],ECF[[#This Row],[nE]],MATCH("ε",grupoEstacas[#Headers],0))),"N.S.")</f>
        <v>N.S.</v>
      </c>
      <c r="AD232" s="4">
        <f ca="1">1.05*ECF[[#This Row],[Nsd (kN)]]/(ECF[[#This Row],[nE]]*PI()*ECF[[#This Row],[Ø (cm)]]^2/4)*10</f>
        <v>0.20631196326727175</v>
      </c>
      <c r="AE232" s="4">
        <f ca="1">IF(ECF[[#This Row],[σ (MPa)]]&lt;INDEX(tipoEstaca[],MATCH($D$2,tipoEstaca[TIPO DE ESTACA],0),MATCH("σmáx (MPa)",tipoEstaca[#Headers],0)),0.4%*PI()*ECF[[#This Row],[Ø (cm)]]^2/4,"N.S.")</f>
        <v>101.7876019763093</v>
      </c>
      <c r="AF232" s="82">
        <f>INDEX(tipoEstaca[],MATCH($D$2,tipoEstaca[TIPO DE ESTACA],0),MATCH(ECF[[#Headers],[Comprimento (m)]],tipoEstaca[#Headers],0))</f>
        <v>4</v>
      </c>
      <c r="AG232" s="5">
        <f ca="1">ECF[[#This Row],[As,mín (cm²)]]/100^2*ECF[[#This Row],[Comprimento (m)]]*7850</f>
        <v>319.61307020561122</v>
      </c>
      <c r="AH232" s="4">
        <f ca="1">ECF[[#This Row],[nE]]*ECF[[#This Row],[Prof. (m)]]*ECF[[#This Row],[Ap (m²)]]</f>
        <v>53.438491037562386</v>
      </c>
      <c r="AI232" s="82">
        <f ca="1">IF(ECF[[#This Row],[nE]]=1,0,MAX(3*ECF[[#This Row],[Ø (cm)]],60))</f>
        <v>540</v>
      </c>
      <c r="AJ232" s="82">
        <f ca="1">IF(ECF[[#This Row],[nE]]=1,ECF[[#This Row],[Ø (cm)]]+2*10,MAX(1.5*ECF[[#This Row],[Ø (cm)]],ECF[[#This Row],[Ø (cm)]]+15))</f>
        <v>270</v>
      </c>
      <c r="AK232" s="82" t="str">
        <f ca="1">alturaUtil(ECF[[#This Row],[nE]],ECF[[#This Row],[Ø (cm)]],ECF[[#This Row],[e (cm)]],ECF[[#This Row],[ap,eq (cm)]])</f>
        <v>N.S.</v>
      </c>
      <c r="AL232" s="82" t="str">
        <f ca="1">IFERROR(ECF[[#This Row],[d (cm)]]+arredondarParaCimaMultiplo5cm(MAX(5,SQRT(PI())/2*ECF[[#This Row],[Ø (cm)]]/5)),"N.S.")</f>
        <v>N.S.</v>
      </c>
      <c r="AM232" s="5" t="str">
        <f ca="1">alpha(ECF[[#This Row],[nE]],ECF[[#This Row],[d (cm)]],ECF[[#This Row],[e (cm)]],ECF[[#This Row],[ap,eq (cm)]])</f>
        <v>N.S.</v>
      </c>
      <c r="AN232" s="35" t="str">
        <f ca="1">IFERROR(ECF[[#This Row],[Nsd (kN)]]/(ECF[[#This Row],[Ap (cm²)]]*SIN(ECF[[#This Row],[α]])^2),"N.S.")</f>
        <v>N.S.</v>
      </c>
      <c r="AO232" s="35" t="str">
        <f ca="1">IFERROR(ECF[[#This Row],[Nsd (kN)]]/(ECF[[#This Row],[nE]]*PI()*ECF[[#This Row],[Ø (cm)]]^2/4*SIN(ECF[[#This Row],[α]])^2),"N.S.")</f>
        <v>N.S.</v>
      </c>
      <c r="AP232" s="4" t="str">
        <f ca="1">IFERROR(INDEX(grupoEstacas[],ECF[[#This Row],[nE]],MATCH("coef. Blévot",grupoEstacas[#Headers],0)),"N.S.")</f>
        <v>N.S.</v>
      </c>
      <c r="AQ232" s="35" t="str">
        <f ca="1">IFERROR(ECF[[#This Row],[coef. Blévot]]*0.9*INDEX(tipoEstaca[],MATCH($D$2,tipoEstaca[TIPO DE ESTACA],0),MATCH("fcd (kN/cm²)",tipoEstaca[#Headers],0)),"N.S.")</f>
        <v>N.S.</v>
      </c>
      <c r="AR232" s="82" t="str">
        <f ca="1">IF(AND(ECF[[#This Row],[cd,b,pil (kN/cm²)]]&lt;=ECF[[#This Row],[cd,b,lim (kN/cm²)]],ECF[[#This Row],[cd,b,est (kN/cm²)]]&lt;=ECF[[#This Row],[cd,b,lim (kN/cm²)]]),"OK","ERRO")</f>
        <v>OK</v>
      </c>
      <c r="AS232" s="4" t="str">
        <f ca="1">As_lado(ECF[[#This Row],[nE]],ECF[[#This Row],[Nsd (kN)]],ECF[[#This Row],[d (cm)]],ECF[[#This Row],[e (cm)]],ECF[[#This Row],[ap,eq (cm)]])</f>
        <v>N.S.</v>
      </c>
      <c r="AT232" s="4" t="str">
        <f ca="1">IF(ECF[[#This Row],[nE]]=1,ECF[[#This Row],[As,lado (cm²)]],IF(ECF[[#This Row],[nE]]=2,0.075*2*ECF[a (cm)],"N.A."))</f>
        <v>N.A.</v>
      </c>
      <c r="AU232" s="4" t="str">
        <f ca="1">IFERROR(IF(ECF[[#This Row],[nE]]=1,"N.A.",0.2*ECF[[#This Row],[As,lado (cm²)]]),"N.S.")</f>
        <v>N.S.</v>
      </c>
      <c r="AV232" s="4" t="str">
        <f ca="1">As_malha(ECF[[#This Row],[nE]],ECF[[#This Row],[As,lado (cm²)]],ECF[[#This Row],[Nsd (kN)]])</f>
        <v>N.S.</v>
      </c>
      <c r="AW232" s="4" t="str">
        <f ca="1">As_susp_tot(ECF[[#This Row],[nE]],ECF[[#This Row],[Nsd (kN)]])</f>
        <v>N.S.</v>
      </c>
      <c r="AX232" s="4" t="str">
        <f ca="1">Asp_face(ECF[[#This Row],[nE]],ECF[[#This Row],[As,lado (cm²)]])</f>
        <v>N.S.</v>
      </c>
      <c r="AY232" s="5" t="str">
        <f ca="1">acoBloco(ECF[[#This Row],[nE]],ECF[[#This Row],[e (cm)]],ECF[[#This Row],[a (cm)]],ECF[[#This Row],[h (cm)]],ECF[[#This Row],[As,lado (cm²)]],ECF[[#This Row],[Asp e Asw (cm²/m)]],ECF[[#This Row],[As,sup (cm²)]],ECF[[#This Row],[As,malha (cm²)]],ECF[[#This Row],[As,susp,tot (cm²)]],ECF[[#This Row],[Asp,face (cm²)]])</f>
        <v>N.S.</v>
      </c>
      <c r="AZ232" s="4" t="str">
        <f ca="1">concretoBloco(ECF[[#This Row],[nE]],ECF[[#This Row],[e (cm)]],ECF[[#This Row],[a (cm)]],ECF[[#This Row],[h (cm)]])</f>
        <v>N.S.</v>
      </c>
      <c r="BA232" s="5">
        <f ca="1">SUM(ECF[[#This Row],[Aço Est (kg)]],ECF[[#This Row],[Aço Bloco (kg)]])</f>
        <v>319.61307020561122</v>
      </c>
      <c r="BB232" s="4">
        <f>INDEX(composicoes[],MATCH(95580,composicoes[CÓDIGO],0),MATCH("CUSTO TOTAL",composicoes[#Headers],0))</f>
        <v>10.46</v>
      </c>
      <c r="BC232" s="4">
        <f ca="1">SUM(ECF[[#This Row],[Conc Est (m³)]],ECF[[#This Row],[Conc Bloco (m³)]])</f>
        <v>53.438491037562386</v>
      </c>
      <c r="BD232" s="4">
        <f>INDEX(composicoes[],MATCH(94966,composicoes[CÓDIGO],0),MATCH("CUSTO TOTAL",composicoes[#Headers],0))</f>
        <v>439.52</v>
      </c>
      <c r="BE232" s="38">
        <f ca="1">ECF[[#This Row],[Aço (kg)]]*ECF[[#This Row],[Aço (R$/kg)]]+ECF[[#This Row],[Conc (m³)]]*ECF[[#This Row],[Conc (R$/m³)]]</f>
        <v>26830.438295180113</v>
      </c>
      <c r="BF232" s="4" t="str">
        <f ca="1">IF(COUNTIF(ECF[#This Row],"N.S.")&gt;0,"lim.","OK")</f>
        <v>lim.</v>
      </c>
      <c r="BG232" s="4" t="str">
        <f>IF(ECF[[#This Row],[Prof. (m)]]&lt;4,"lim.","OK")</f>
        <v>lim.</v>
      </c>
      <c r="BH232" s="4" t="str">
        <f>IF(ECF[[#This Row],[Prof. (m)]]&gt;=8*ECF[[#This Row],[Ø (cm)]]/100,"OK","lim.")</f>
        <v>lim.</v>
      </c>
      <c r="BI232" s="4" t="str">
        <f>IF(AND(SPT!$F$3&lt;&gt;"",ECF[[#This Row],[Prof. (m)]]&gt;=SPT!$F$3-2),"lim.","OK")</f>
        <v>OK</v>
      </c>
      <c r="BJ232" s="4" t="str">
        <f ca="1">IF(ECF[[#This Row],[Verif. Biela]]="OK","OK","lim.")</f>
        <v>OK</v>
      </c>
      <c r="BK232" s="4" t="str">
        <f ca="1">IF(COUNTA(ECF[[#This Row],[Nº Est.]:[Biela comp.]])=COUNTIF(ECF[[#This Row],[Nº Est.]:[Biela comp.]],"OK"),"OK","lim.")</f>
        <v>lim.</v>
      </c>
      <c r="BL232" s="4" t="str">
        <f ca="1">IF(ECF[[#This Row],[Controle]]="OK",ECF[[#This Row],[nE]]&amp;" Ø "&amp;ECF[[#This Row],[Ø (cm)]]&amp;" cm, Prof. "&amp;ECF[[#This Row],[Prof. (m)]]&amp;" m","")</f>
        <v/>
      </c>
      <c r="BM232" s="4" t="str">
        <f ca="1">IF(ECF[[#This Row],[idDimensionamento]]="","",ECF[[#This Row],[idPilar]]&amp;ECF[[#This Row],[idDimensionamento]])</f>
        <v/>
      </c>
    </row>
    <row r="233" spans="2:65" x14ac:dyDescent="0.25">
      <c r="B233" s="12">
        <f>ROUNDUP((ROW(ECF[[#This Row],[idDiâmetro]])-ROW(ECF[[#Headers],[idDiâmetro]]))/(COUNT(SPT[Prof. (m)])*COUNT(PILARES[Pilar])),0)</f>
        <v>9</v>
      </c>
      <c r="C233" s="12">
        <f>IF(ECF[[#This Row],[idDiâmetro]]&lt;&gt;B232,1,IF(ECF[[#This Row],[Prof. (m)]]=0,C232+1,C232))</f>
        <v>1</v>
      </c>
      <c r="D233" s="82">
        <f>IFERROR(IF(D232=MAX(SPT[Prof. (m)]),0,D232+1),0)</f>
        <v>4</v>
      </c>
      <c r="E233" s="82">
        <f>INDEX(SPT[],MATCH(ECF[[#This Row],[Prof. (m)]],SPT[Prof. (m)],0),2)</f>
        <v>8</v>
      </c>
      <c r="F233" s="82" t="str">
        <f>INDEX(SPT[],MATCH(ECF[[#This Row],[Prof. (m)]],SPT[Prof. (m)],0),3)</f>
        <v>Areia siltosa</v>
      </c>
      <c r="G233" s="82">
        <f>INDEX(estacas[],ECF[[#This Row],[idDiâmetro]],MATCH($B$2,estacas[#Headers],0))</f>
        <v>180</v>
      </c>
      <c r="H233" s="82">
        <f>INDEX(estacas[],MATCH(ECF[[#This Row],[Ø (cm)]],estacas[Ø ECF (cm)],0),MATCH(ECF[[#Headers],[Pe ECF (kN)]],estacas[#Headers],0))</f>
        <v>10100</v>
      </c>
      <c r="I233" s="4">
        <f>INDEX(K_alpha_C[],MATCH(ECF[[#This Row],[Solo]],K_alpha_C[Solo],0),2)</f>
        <v>0.8</v>
      </c>
      <c r="J233" s="5">
        <f>INDEX(K_alpha_C[],MATCH(ECF[[#This Row],[Solo]],K_alpha_C[Solo],0),3)</f>
        <v>2</v>
      </c>
      <c r="K233" s="4">
        <f>INDEX(F1_F2[],MATCH($D$2,F1_F2[Tipo de estaca],0),2)</f>
        <v>3</v>
      </c>
      <c r="L233" s="4">
        <f>INDEX(F1_F2[],MATCH($D$2,F1_F2[Tipo de estaca],0),3)</f>
        <v>6</v>
      </c>
      <c r="M233" s="4">
        <f>PI()*(ECF[[#This Row],[Ø (cm)]]/100)^2/4</f>
        <v>2.5446900494077327</v>
      </c>
      <c r="N233" s="4">
        <f>PI()*ECF[[#This Row],[Ø (cm)]]/100</f>
        <v>5.6548667764616276</v>
      </c>
      <c r="O233" s="4">
        <f>IF(ECF[[#This Row],[Prof. (m)]]=0,0,ECF[[#This Row],[α (%)]]/100*ECF[[#This Row],[K (MPa)]]*1000*ECF[[#This Row],[NSPT]])</f>
        <v>128</v>
      </c>
      <c r="P233" s="4">
        <f>IF(ECF[[#This Row],[Prof. (m)]]=0,0,(ECF[[#This Row],[K (MPa)]]*1000*ECF[[#This Row],[NSPT]]/ECF[[#This Row],[F1]]*ECF[[#This Row],[Ap (m²)]]+ECF[[#This Row],[U (m)]]/ECF[[#This Row],[F2]]*SUMIFS(ECF[(α∙K∙NL∙ΔL)],ECF[Prof. (m)],"&lt;="&amp;ECF[[#This Row],[Prof. (m)]],ECF[idDiâmetro],ECF[[#This Row],[idDiâmetro]],ECF[idPilar],ECF[[#This Row],[idPilar]]))/'DADOS CAP. CARGA'!$D$2)</f>
        <v>2834.9732105994299</v>
      </c>
      <c r="Q233" s="12">
        <f>INDEX(C_alpha_beta[],MATCH(ECF[[#This Row],[Solo]],C_alpha_beta[Solo],0),MATCH(ECF[[#Headers],[C (kPa)]],C_alpha_beta[#Headers],0))</f>
        <v>400</v>
      </c>
      <c r="R233" s="4">
        <f>INDEX(C_alpha_beta[],MATCH(ECF[[#This Row],[Solo]],C_alpha_beta[Solo],0),MATCH(ECF[[#Headers],[α ESF]],C_alpha_beta[#Headers],0))</f>
        <v>0.5</v>
      </c>
      <c r="S233" s="4">
        <f>INDEX(C_alpha_beta[],MATCH(ECF[[#This Row],[Solo]],C_alpha_beta[Solo],0),MATCH(ECF[[#Headers],[β ESF]],C_alpha_beta[#Headers],0))</f>
        <v>0.5</v>
      </c>
      <c r="T233" s="4">
        <f>IF(ECF[[#This Row],[Prof. (m)]]=0,0,10*(ECF[[#This Row],[NSPT]]/3+1))</f>
        <v>36.666666666666664</v>
      </c>
      <c r="U233" s="4">
        <f>(ECF[[#This Row],[α ESF]]*ECF[[#This Row],[C (kPa)]]*ECF[[#This Row],[NSPT]]*ECF[[#This Row],[Ap (m²)]])/'DADOS CAP. CARGA'!$Q$2+(ECF[[#This Row],[β ESF]]*SUMIFS(ECF[10∙(NL/3+1)],ECF[Prof. (m)],"&lt;="&amp;ECF[[#This Row],[Prof. (m)]],ECF[idDiâmetro],ECF[[#This Row],[idDiâmetro]],ECF[idPilar],ECF[[#This Row],[idPilar]])*ECF[[#This Row],[U (m)]])/'DADOS CAP. CARGA'!$S$2</f>
        <v>1149.8229112138642</v>
      </c>
      <c r="V233" s="4">
        <f>IF(SPT!$M$5=1,MIN(ECF[[#This Row],[Pe ECF (kN)]],ECF[[#This Row],[R_AV (kN)]]),IF(SPT!$M$5=2,MIN(ECF[[#This Row],[Pe ECF (kN)]],ECF[[#This Row],[R_DC (kN)]]),MIN(ECF[[#This Row],[Pe ECF (kN)]],ECF[[#This Row],[R_AV (kN)]],ECF[[#This Row],[R_DC (kN)]])))</f>
        <v>1149.8229112138642</v>
      </c>
      <c r="W233" s="4">
        <f>INDEX(PILARES[],ECF[[#This Row],[idPilar]],MATCH("Carga (kN)",PILARES[#Headers],0))*1.4</f>
        <v>3500</v>
      </c>
      <c r="X233" s="12">
        <f>INDEX(PILARES[],ECF[[#This Row],[idPilar]],MATCH(ECF[[#Headers],[ap (cm)]],PILARES[#Headers],0))</f>
        <v>60</v>
      </c>
      <c r="Y233" s="12">
        <f>INDEX(PILARES[],ECF[[#This Row],[idPilar]],MATCH(ECF[[#Headers],[bp (cm)]],PILARES[#Headers],0))</f>
        <v>60</v>
      </c>
      <c r="Z233" s="4">
        <f>SQRT(ECF[[#This Row],[ap (cm)]]*ECF[[#This Row],[bp (cm)]])</f>
        <v>60</v>
      </c>
      <c r="AA233" s="12">
        <f>ECF[[#This Row],[ap (cm)]]*ECF[[#This Row],[bp (cm)]]</f>
        <v>3600</v>
      </c>
      <c r="AB233" s="12">
        <f ca="1">IF(ECF[[#This Row],[Padm∙ε (kN)]]&gt;=ECF[[#This Row],[Padm (kN)]],ROUNDUP(1.05*ECF[[#This Row],[Nsd (kN)]]/ECF[[#This Row],[Padm (kN)]],0),ROUNDUP(1.05*ECF[[#This Row],[Nsd (kN)]]/ECF[[#This Row],[Padm (kN)]],0)+1)</f>
        <v>4</v>
      </c>
      <c r="AC233" s="4">
        <f ca="1">IFERROR(IF(ECF[[#This Row],[nE]]=1,ECF[[#This Row],[Padm (kN)]],ECF[[#This Row],[Padm (kN)]]*ECF[[#This Row],[nE]]*INDEX(grupoEstacas[],ECF[[#This Row],[nE]],MATCH("ε",grupoEstacas[#Headers],0))),"N.S.")</f>
        <v>3736.924461445059</v>
      </c>
      <c r="AD233" s="4">
        <f ca="1">1.05*ECF[[#This Row],[Nsd (kN)]]/(ECF[[#This Row],[nE]]*PI()*ECF[[#This Row],[Ø (cm)]]^2/4)*10</f>
        <v>0.36104593571772559</v>
      </c>
      <c r="AE233" s="4">
        <f ca="1">IF(ECF[[#This Row],[σ (MPa)]]&lt;INDEX(tipoEstaca[],MATCH($D$2,tipoEstaca[TIPO DE ESTACA],0),MATCH("σmáx (MPa)",tipoEstaca[#Headers],0)),0.4%*PI()*ECF[[#This Row],[Ø (cm)]]^2/4,"N.S.")</f>
        <v>101.7876019763093</v>
      </c>
      <c r="AF233" s="82">
        <f>INDEX(tipoEstaca[],MATCH($D$2,tipoEstaca[TIPO DE ESTACA],0),MATCH(ECF[[#Headers],[Comprimento (m)]],tipoEstaca[#Headers],0))</f>
        <v>4</v>
      </c>
      <c r="AG233" s="5">
        <f ca="1">ECF[[#This Row],[As,mín (cm²)]]/100^2*ECF[[#This Row],[Comprimento (m)]]*7850</f>
        <v>319.61307020561122</v>
      </c>
      <c r="AH233" s="4">
        <f ca="1">ECF[[#This Row],[nE]]*ECF[[#This Row],[Prof. (m)]]*ECF[[#This Row],[Ap (m²)]]</f>
        <v>40.715040790523723</v>
      </c>
      <c r="AI233" s="82">
        <f ca="1">IF(ECF[[#This Row],[nE]]=1,0,MAX(3*ECF[[#This Row],[Ø (cm)]],60))</f>
        <v>540</v>
      </c>
      <c r="AJ233" s="82">
        <f ca="1">IF(ECF[[#This Row],[nE]]=1,ECF[[#This Row],[Ø (cm)]]+2*10,MAX(1.5*ECF[[#This Row],[Ø (cm)]],ECF[[#This Row],[Ø (cm)]]+15))</f>
        <v>270</v>
      </c>
      <c r="AK233" s="82">
        <f ca="1">alturaUtil(ECF[[#This Row],[nE]],ECF[[#This Row],[Ø (cm)]],ECF[[#This Row],[e (cm)]],ECF[[#This Row],[ap,eq (cm)]])</f>
        <v>255</v>
      </c>
      <c r="AL233" s="82">
        <f ca="1">IFERROR(ECF[[#This Row],[d (cm)]]+arredondarParaCimaMultiplo5cm(MAX(5,SQRT(PI())/2*ECF[[#This Row],[Ø (cm)]]/5)),"N.S.")</f>
        <v>290</v>
      </c>
      <c r="AM233" s="5">
        <f ca="1">alpha(ECF[[#This Row],[nE]],ECF[[#This Row],[d (cm)]],ECF[[#This Row],[e (cm)]],ECF[[#This Row],[ap,eq (cm)]])</f>
        <v>45</v>
      </c>
      <c r="AN233" s="35">
        <f ca="1">IFERROR(ECF[[#This Row],[Nsd (kN)]]/(ECF[[#This Row],[Ap (cm²)]]*SIN(ECF[[#This Row],[α]])^2),"N.S.")</f>
        <v>1.3427801064714635</v>
      </c>
      <c r="AO233" s="35">
        <f ca="1">IFERROR(ECF[[#This Row],[Nsd (kN)]]/(ECF[[#This Row],[nE]]*PI()*ECF[[#This Row],[Ø (cm)]]^2/4*SIN(ECF[[#This Row],[α]])^2),"N.S.")</f>
        <v>4.7491131428976659E-2</v>
      </c>
      <c r="AP233" s="4">
        <f ca="1">IFERROR(INDEX(grupoEstacas[],ECF[[#This Row],[nE]],MATCH("coef. Blévot",grupoEstacas[#Headers],0)),"N.S.")</f>
        <v>2.1</v>
      </c>
      <c r="AQ233" s="35">
        <f ca="1">IFERROR(ECF[[#This Row],[coef. Blévot]]*0.9*INDEX(tipoEstaca[],MATCH($D$2,tipoEstaca[TIPO DE ESTACA],0),MATCH("fcd (kN/cm²)",tipoEstaca[#Headers],0)),"N.S.")</f>
        <v>2.1</v>
      </c>
      <c r="AR233" s="82" t="str">
        <f ca="1">IF(AND(ECF[[#This Row],[cd,b,pil (kN/cm²)]]&lt;=ECF[[#This Row],[cd,b,lim (kN/cm²)]],ECF[[#This Row],[cd,b,est (kN/cm²)]]&lt;=ECF[[#This Row],[cd,b,lim (kN/cm²)]]),"OK","ERRO")</f>
        <v>OK</v>
      </c>
      <c r="AS233" s="4">
        <f ca="1">As_lado(ECF[[#This Row],[nE]],ECF[[#This Row],[Nsd (kN)]],ECF[[#This Row],[d (cm)]],ECF[[#This Row],[e (cm)]],ECF[[#This Row],[ap,eq (cm)]])</f>
        <v>20.125</v>
      </c>
      <c r="AT233" s="4" t="str">
        <f ca="1">IF(ECF[[#This Row],[nE]]=1,ECF[[#This Row],[As,lado (cm²)]],IF(ECF[[#This Row],[nE]]=2,0.075*2*ECF[a (cm)],"N.A."))</f>
        <v>N.A.</v>
      </c>
      <c r="AU233" s="4">
        <f ca="1">IFERROR(IF(ECF[[#This Row],[nE]]=1,"N.A.",0.2*ECF[[#This Row],[As,lado (cm²)]]),"N.S.")</f>
        <v>4.0250000000000004</v>
      </c>
      <c r="AV233" s="4">
        <f ca="1">As_malha(ECF[[#This Row],[nE]],ECF[[#This Row],[As,lado (cm²)]],ECF[[#This Row],[Nsd (kN)]])</f>
        <v>4.0250000000000004</v>
      </c>
      <c r="AW233" s="4">
        <f ca="1">As_susp_tot(ECF[[#This Row],[nE]],ECF[[#This Row],[Nsd (kN)]])</f>
        <v>13.416666666666666</v>
      </c>
      <c r="AX233" s="4">
        <f ca="1">Asp_face(ECF[[#This Row],[nE]],ECF[[#This Row],[As,lado (cm²)]])</f>
        <v>10.0625</v>
      </c>
      <c r="AY233" s="5">
        <f ca="1">acoBloco(ECF[[#This Row],[nE]],ECF[[#This Row],[e (cm)]],ECF[[#This Row],[a (cm)]],ECF[[#This Row],[h (cm)]],ECF[[#This Row],[As,lado (cm²)]],ECF[[#This Row],[Asp e Asw (cm²/m)]],ECF[[#This Row],[As,sup (cm²)]],ECF[[#This Row],[As,malha (cm²)]],ECF[[#This Row],[As,susp,tot (cm²)]],ECF[[#This Row],[Asp,face (cm²)]])</f>
        <v>1259.0052416666665</v>
      </c>
      <c r="AZ233" s="4">
        <f ca="1">concretoBloco(ECF[[#This Row],[nE]],ECF[[#This Row],[e (cm)]],ECF[[#This Row],[a (cm)]],ECF[[#This Row],[h (cm)]])</f>
        <v>338.25599999999997</v>
      </c>
      <c r="BA233" s="5">
        <f ca="1">SUM(ECF[[#This Row],[Aço Est (kg)]],ECF[[#This Row],[Aço Bloco (kg)]])</f>
        <v>1578.6183118722777</v>
      </c>
      <c r="BB233" s="4">
        <f>INDEX(composicoes[],MATCH(95580,composicoes[CÓDIGO],0),MATCH("CUSTO TOTAL",composicoes[#Headers],0))</f>
        <v>10.46</v>
      </c>
      <c r="BC233" s="4">
        <f ca="1">SUM(ECF[[#This Row],[Conc Est (m³)]],ECF[[#This Row],[Conc Bloco (m³)]])</f>
        <v>378.97104079052372</v>
      </c>
      <c r="BD233" s="4">
        <f>INDEX(composicoes[],MATCH(94966,composicoes[CÓDIGO],0),MATCH("CUSTO TOTAL",composicoes[#Headers],0))</f>
        <v>439.52</v>
      </c>
      <c r="BE233" s="38">
        <f ca="1">ECF[[#This Row],[Aço (kg)]]*ECF[[#This Row],[Aço (R$/kg)]]+ECF[[#This Row],[Conc (m³)]]*ECF[[#This Row],[Conc (R$/m³)]]</f>
        <v>183077.69939043501</v>
      </c>
      <c r="BF233" s="4" t="str">
        <f ca="1">IF(COUNTIF(ECF[#This Row],"N.S.")&gt;0,"lim.","OK")</f>
        <v>OK</v>
      </c>
      <c r="BG233" s="4" t="str">
        <f>IF(ECF[[#This Row],[Prof. (m)]]&lt;4,"lim.","OK")</f>
        <v>OK</v>
      </c>
      <c r="BH233" s="4" t="str">
        <f>IF(ECF[[#This Row],[Prof. (m)]]&gt;=8*ECF[[#This Row],[Ø (cm)]]/100,"OK","lim.")</f>
        <v>lim.</v>
      </c>
      <c r="BI233" s="4" t="str">
        <f>IF(AND(SPT!$F$3&lt;&gt;"",ECF[[#This Row],[Prof. (m)]]&gt;=SPT!$F$3-2),"lim.","OK")</f>
        <v>OK</v>
      </c>
      <c r="BJ233" s="4" t="str">
        <f ca="1">IF(ECF[[#This Row],[Verif. Biela]]="OK","OK","lim.")</f>
        <v>OK</v>
      </c>
      <c r="BK233" s="4" t="str">
        <f ca="1">IF(COUNTA(ECF[[#This Row],[Nº Est.]:[Biela comp.]])=COUNTIF(ECF[[#This Row],[Nº Est.]:[Biela comp.]],"OK"),"OK","lim.")</f>
        <v>lim.</v>
      </c>
      <c r="BL233" s="4" t="str">
        <f ca="1">IF(ECF[[#This Row],[Controle]]="OK",ECF[[#This Row],[nE]]&amp;" Ø "&amp;ECF[[#This Row],[Ø (cm)]]&amp;" cm, Prof. "&amp;ECF[[#This Row],[Prof. (m)]]&amp;" m","")</f>
        <v/>
      </c>
      <c r="BM233" s="4" t="str">
        <f ca="1">IF(ECF[[#This Row],[idDimensionamento]]="","",ECF[[#This Row],[idPilar]]&amp;ECF[[#This Row],[idDimensionamento]])</f>
        <v/>
      </c>
    </row>
    <row r="234" spans="2:65" x14ac:dyDescent="0.25">
      <c r="B234" s="12">
        <f>ROUNDUP((ROW(ECF[[#This Row],[idDiâmetro]])-ROW(ECF[[#Headers],[idDiâmetro]]))/(COUNT(SPT[Prof. (m)])*COUNT(PILARES[Pilar])),0)</f>
        <v>9</v>
      </c>
      <c r="C234" s="12">
        <f>IF(ECF[[#This Row],[idDiâmetro]]&lt;&gt;B233,1,IF(ECF[[#This Row],[Prof. (m)]]=0,C233+1,C233))</f>
        <v>1</v>
      </c>
      <c r="D234" s="82">
        <f>IFERROR(IF(D233=MAX(SPT[Prof. (m)]),0,D233+1),0)</f>
        <v>5</v>
      </c>
      <c r="E234" s="82">
        <f>INDEX(SPT[],MATCH(ECF[[#This Row],[Prof. (m)]],SPT[Prof. (m)],0),2)</f>
        <v>17</v>
      </c>
      <c r="F234" s="82" t="str">
        <f>INDEX(SPT[],MATCH(ECF[[#This Row],[Prof. (m)]],SPT[Prof. (m)],0),3)</f>
        <v>Areia siltosa</v>
      </c>
      <c r="G234" s="82">
        <f>INDEX(estacas[],ECF[[#This Row],[idDiâmetro]],MATCH($B$2,estacas[#Headers],0))</f>
        <v>180</v>
      </c>
      <c r="H234" s="82">
        <f>INDEX(estacas[],MATCH(ECF[[#This Row],[Ø (cm)]],estacas[Ø ECF (cm)],0),MATCH(ECF[[#Headers],[Pe ECF (kN)]],estacas[#Headers],0))</f>
        <v>10100</v>
      </c>
      <c r="I234" s="4">
        <f>INDEX(K_alpha_C[],MATCH(ECF[[#This Row],[Solo]],K_alpha_C[Solo],0),2)</f>
        <v>0.8</v>
      </c>
      <c r="J234" s="5">
        <f>INDEX(K_alpha_C[],MATCH(ECF[[#This Row],[Solo]],K_alpha_C[Solo],0),3)</f>
        <v>2</v>
      </c>
      <c r="K234" s="4">
        <f>INDEX(F1_F2[],MATCH($D$2,F1_F2[Tipo de estaca],0),2)</f>
        <v>3</v>
      </c>
      <c r="L234" s="4">
        <f>INDEX(F1_F2[],MATCH($D$2,F1_F2[Tipo de estaca],0),3)</f>
        <v>6</v>
      </c>
      <c r="M234" s="4">
        <f>PI()*(ECF[[#This Row],[Ø (cm)]]/100)^2/4</f>
        <v>2.5446900494077327</v>
      </c>
      <c r="N234" s="4">
        <f>PI()*ECF[[#This Row],[Ø (cm)]]/100</f>
        <v>5.6548667764616276</v>
      </c>
      <c r="O234" s="4">
        <f>IF(ECF[[#This Row],[Prof. (m)]]=0,0,ECF[[#This Row],[α (%)]]/100*ECF[[#This Row],[K (MPa)]]*1000*ECF[[#This Row],[NSPT]])</f>
        <v>272</v>
      </c>
      <c r="P234" s="4">
        <f>IF(ECF[[#This Row],[Prof. (m)]]=0,0,(ECF[[#This Row],[K (MPa)]]*1000*ECF[[#This Row],[NSPT]]/ECF[[#This Row],[F1]]*ECF[[#This Row],[Ap (m²)]]+ECF[[#This Row],[U (m)]]/ECF[[#This Row],[F2]]*SUMIFS(ECF[(α∙K∙NL∙ΔL)],ECF[Prof. (m)],"&lt;="&amp;ECF[[#This Row],[Prof. (m)]],ECF[idDiâmetro],ECF[[#This Row],[idDiâmetro]],ECF[idPilar],ECF[[#This Row],[idPilar]]))/'DADOS CAP. CARGA'!$D$2)</f>
        <v>6016.7782501551719</v>
      </c>
      <c r="Q234" s="12">
        <f>INDEX(C_alpha_beta[],MATCH(ECF[[#This Row],[Solo]],C_alpha_beta[Solo],0),MATCH(ECF[[#Headers],[C (kPa)]],C_alpha_beta[#Headers],0))</f>
        <v>400</v>
      </c>
      <c r="R234" s="4">
        <f>INDEX(C_alpha_beta[],MATCH(ECF[[#This Row],[Solo]],C_alpha_beta[Solo],0),MATCH(ECF[[#Headers],[α ESF]],C_alpha_beta[#Headers],0))</f>
        <v>0.5</v>
      </c>
      <c r="S234" s="4">
        <f>INDEX(C_alpha_beta[],MATCH(ECF[[#This Row],[Solo]],C_alpha_beta[Solo],0),MATCH(ECF[[#Headers],[β ESF]],C_alpha_beta[#Headers],0))</f>
        <v>0.5</v>
      </c>
      <c r="T234" s="4">
        <f>IF(ECF[[#This Row],[Prof. (m)]]=0,0,10*(ECF[[#This Row],[NSPT]]/3+1))</f>
        <v>66.666666666666671</v>
      </c>
      <c r="U234" s="4">
        <f>(ECF[[#This Row],[α ESF]]*ECF[[#This Row],[C (kPa)]]*ECF[[#This Row],[NSPT]]*ECF[[#This Row],[Ap (m²)]])/'DADOS CAP. CARGA'!$Q$2+(ECF[[#This Row],[β ESF]]*SUMIFS(ECF[10∙(NL/3+1)],ECF[Prof. (m)],"&lt;="&amp;ECF[[#This Row],[Prof. (m)]],ECF[idDiâmetro],ECF[[#This Row],[idDiâmetro]],ECF[idPilar],ECF[[#This Row],[idPilar]])*ECF[[#This Row],[U (m)]])/'DADOS CAP. CARGA'!$S$2</f>
        <v>2389.1812130550379</v>
      </c>
      <c r="V234" s="4">
        <f>IF(SPT!$M$5=1,MIN(ECF[[#This Row],[Pe ECF (kN)]],ECF[[#This Row],[R_AV (kN)]]),IF(SPT!$M$5=2,MIN(ECF[[#This Row],[Pe ECF (kN)]],ECF[[#This Row],[R_DC (kN)]]),MIN(ECF[[#This Row],[Pe ECF (kN)]],ECF[[#This Row],[R_AV (kN)]],ECF[[#This Row],[R_DC (kN)]])))</f>
        <v>2389.1812130550379</v>
      </c>
      <c r="W234" s="4">
        <f>INDEX(PILARES[],ECF[[#This Row],[idPilar]],MATCH("Carga (kN)",PILARES[#Headers],0))*1.4</f>
        <v>3500</v>
      </c>
      <c r="X234" s="12">
        <f>INDEX(PILARES[],ECF[[#This Row],[idPilar]],MATCH(ECF[[#Headers],[ap (cm)]],PILARES[#Headers],0))</f>
        <v>60</v>
      </c>
      <c r="Y234" s="12">
        <f>INDEX(PILARES[],ECF[[#This Row],[idPilar]],MATCH(ECF[[#Headers],[bp (cm)]],PILARES[#Headers],0))</f>
        <v>60</v>
      </c>
      <c r="Z234" s="4">
        <f>SQRT(ECF[[#This Row],[ap (cm)]]*ECF[[#This Row],[bp (cm)]])</f>
        <v>60</v>
      </c>
      <c r="AA234" s="12">
        <f>ECF[[#This Row],[ap (cm)]]*ECF[[#This Row],[bp (cm)]]</f>
        <v>3600</v>
      </c>
      <c r="AB234" s="12">
        <f ca="1">IF(ECF[[#This Row],[Padm∙ε (kN)]]&gt;=ECF[[#This Row],[Padm (kN)]],ROUNDUP(1.05*ECF[[#This Row],[Nsd (kN)]]/ECF[[#This Row],[Padm (kN)]],0),ROUNDUP(1.05*ECF[[#This Row],[Nsd (kN)]]/ECF[[#This Row],[Padm (kN)]],0)+1)</f>
        <v>2</v>
      </c>
      <c r="AC234" s="4">
        <f ca="1">IFERROR(IF(ECF[[#This Row],[nE]]=1,ECF[[#This Row],[Padm (kN)]],ECF[[#This Row],[Padm (kN)]]*ECF[[#This Row],[nE]]*INDEX(grupoEstacas[],ECF[[#This Row],[nE]],MATCH("ε",grupoEstacas[#Headers],0))),"N.S.")</f>
        <v>4479.714774478196</v>
      </c>
      <c r="AD234" s="4">
        <f ca="1">1.05*ECF[[#This Row],[Nsd (kN)]]/(ECF[[#This Row],[nE]]*PI()*ECF[[#This Row],[Ø (cm)]]^2/4)*10</f>
        <v>0.72209187143545117</v>
      </c>
      <c r="AE234" s="4">
        <f ca="1">IF(ECF[[#This Row],[σ (MPa)]]&lt;INDEX(tipoEstaca[],MATCH($D$2,tipoEstaca[TIPO DE ESTACA],0),MATCH("σmáx (MPa)",tipoEstaca[#Headers],0)),0.4%*PI()*ECF[[#This Row],[Ø (cm)]]^2/4,"N.S.")</f>
        <v>101.7876019763093</v>
      </c>
      <c r="AF234" s="82">
        <f>INDEX(tipoEstaca[],MATCH($D$2,tipoEstaca[TIPO DE ESTACA],0),MATCH(ECF[[#Headers],[Comprimento (m)]],tipoEstaca[#Headers],0))</f>
        <v>4</v>
      </c>
      <c r="AG234" s="5">
        <f ca="1">ECF[[#This Row],[As,mín (cm²)]]/100^2*ECF[[#This Row],[Comprimento (m)]]*7850</f>
        <v>319.61307020561122</v>
      </c>
      <c r="AH234" s="4">
        <f ca="1">ECF[[#This Row],[nE]]*ECF[[#This Row],[Prof. (m)]]*ECF[[#This Row],[Ap (m²)]]</f>
        <v>25.446900494077326</v>
      </c>
      <c r="AI234" s="82">
        <f ca="1">IF(ECF[[#This Row],[nE]]=1,0,MAX(3*ECF[[#This Row],[Ø (cm)]],60))</f>
        <v>540</v>
      </c>
      <c r="AJ234" s="82">
        <f ca="1">IF(ECF[[#This Row],[nE]]=1,ECF[[#This Row],[Ø (cm)]]+2*10,MAX(1.5*ECF[[#This Row],[Ø (cm)]],ECF[[#This Row],[Ø (cm)]]+15))</f>
        <v>270</v>
      </c>
      <c r="AK234" s="82">
        <f ca="1">alturaUtil(ECF[[#This Row],[nE]],ECF[[#This Row],[Ø (cm)]],ECF[[#This Row],[e (cm)]],ECF[[#This Row],[ap,eq (cm)]])</f>
        <v>255</v>
      </c>
      <c r="AL234" s="82">
        <f ca="1">IFERROR(ECF[[#This Row],[d (cm)]]+arredondarParaCimaMultiplo5cm(MAX(5,SQRT(PI())/2*ECF[[#This Row],[Ø (cm)]]/5)),"N.S.")</f>
        <v>290</v>
      </c>
      <c r="AM234" s="5">
        <f ca="1">alpha(ECF[[#This Row],[nE]],ECF[[#This Row],[d (cm)]],ECF[[#This Row],[e (cm)]],ECF[[#This Row],[ap,eq (cm)]])</f>
        <v>45</v>
      </c>
      <c r="AN234" s="35">
        <f ca="1">IFERROR(ECF[[#This Row],[Nsd (kN)]]/(ECF[[#This Row],[Ap (cm²)]]*SIN(ECF[[#This Row],[α]])^2),"N.S.")</f>
        <v>1.3427801064714635</v>
      </c>
      <c r="AO234" s="35">
        <f ca="1">IFERROR(ECF[[#This Row],[Nsd (kN)]]/(ECF[[#This Row],[nE]]*PI()*ECF[[#This Row],[Ø (cm)]]^2/4*SIN(ECF[[#This Row],[α]])^2),"N.S.")</f>
        <v>9.4982262857953317E-2</v>
      </c>
      <c r="AP234" s="4">
        <f ca="1">IFERROR(INDEX(grupoEstacas[],ECF[[#This Row],[nE]],MATCH("coef. Blévot",grupoEstacas[#Headers],0)),"N.S.")</f>
        <v>1.4</v>
      </c>
      <c r="AQ234" s="35">
        <f ca="1">IFERROR(ECF[[#This Row],[coef. Blévot]]*0.9*INDEX(tipoEstaca[],MATCH($D$2,tipoEstaca[TIPO DE ESTACA],0),MATCH("fcd (kN/cm²)",tipoEstaca[#Headers],0)),"N.S.")</f>
        <v>1.4000000000000001</v>
      </c>
      <c r="AR234" s="82" t="str">
        <f ca="1">IF(AND(ECF[[#This Row],[cd,b,pil (kN/cm²)]]&lt;=ECF[[#This Row],[cd,b,lim (kN/cm²)]],ECF[[#This Row],[cd,b,est (kN/cm²)]]&lt;=ECF[[#This Row],[cd,b,lim (kN/cm²)]]),"OK","ERRO")</f>
        <v>OK</v>
      </c>
      <c r="AS234" s="4">
        <f ca="1">As_lado(ECF[[#This Row],[nE]],ECF[[#This Row],[Nsd (kN)]],ECF[[#This Row],[d (cm)]],ECF[[#This Row],[e (cm)]],ECF[[#This Row],[ap,eq (cm)]])</f>
        <v>46.287500000000001</v>
      </c>
      <c r="AT234" s="4">
        <f ca="1">IF(ECF[[#This Row],[nE]]=1,ECF[[#This Row],[As,lado (cm²)]],IF(ECF[[#This Row],[nE]]=2,0.075*2*ECF[a (cm)],"N.A."))</f>
        <v>40.5</v>
      </c>
      <c r="AU234" s="4">
        <f ca="1">IFERROR(IF(ECF[[#This Row],[nE]]=1,"N.A.",0.2*ECF[[#This Row],[As,lado (cm²)]]),"N.S.")</f>
        <v>9.2575000000000003</v>
      </c>
      <c r="AV234" s="4" t="str">
        <f ca="1">As_malha(ECF[[#This Row],[nE]],ECF[[#This Row],[As,lado (cm²)]],ECF[[#This Row],[Nsd (kN)]])</f>
        <v>N.A.</v>
      </c>
      <c r="AW234" s="4" t="str">
        <f ca="1">As_susp_tot(ECF[[#This Row],[nE]],ECF[[#This Row],[Nsd (kN)]])</f>
        <v>N.A.</v>
      </c>
      <c r="AX234" s="4" t="str">
        <f ca="1">Asp_face(ECF[[#This Row],[nE]],ECF[[#This Row],[As,lado (cm²)]])</f>
        <v>N.A.</v>
      </c>
      <c r="AY234" s="5">
        <f ca="1">acoBloco(ECF[[#This Row],[nE]],ECF[[#This Row],[e (cm)]],ECF[[#This Row],[a (cm)]],ECF[[#This Row],[h (cm)]],ECF[[#This Row],[As,lado (cm²)]],ECF[[#This Row],[Asp e Asw (cm²/m)]],ECF[[#This Row],[As,sup (cm²)]],ECF[[#This Row],[As,malha (cm²)]],ECF[[#This Row],[As,susp,tot (cm²)]],ECF[[#This Row],[Asp,face (cm²)]])</f>
        <v>9157.8932100000002</v>
      </c>
      <c r="AZ234" s="4">
        <f ca="1">concretoBloco(ECF[[#This Row],[nE]],ECF[[#This Row],[e (cm)]],ECF[[#This Row],[a (cm)]],ECF[[#This Row],[h (cm)]])</f>
        <v>169.12799999999999</v>
      </c>
      <c r="BA234" s="5">
        <f ca="1">SUM(ECF[[#This Row],[Aço Est (kg)]],ECF[[#This Row],[Aço Bloco (kg)]])</f>
        <v>9477.5062802056109</v>
      </c>
      <c r="BB234" s="4">
        <f>INDEX(composicoes[],MATCH(95580,composicoes[CÓDIGO],0),MATCH("CUSTO TOTAL",composicoes[#Headers],0))</f>
        <v>10.46</v>
      </c>
      <c r="BC234" s="4">
        <f ca="1">SUM(ECF[[#This Row],[Conc Est (m³)]],ECF[[#This Row],[Conc Bloco (m³)]])</f>
        <v>194.57490049407733</v>
      </c>
      <c r="BD234" s="4">
        <f>INDEX(composicoes[],MATCH(94966,composicoes[CÓDIGO],0),MATCH("CUSTO TOTAL",composicoes[#Headers],0))</f>
        <v>439.52</v>
      </c>
      <c r="BE234" s="38">
        <f ca="1">ECF[[#This Row],[Aço (kg)]]*ECF[[#This Row],[Aço (R$/kg)]]+ECF[[#This Row],[Conc (m³)]]*ECF[[#This Row],[Conc (R$/m³)]]</f>
        <v>184654.27595610757</v>
      </c>
      <c r="BF234" s="4" t="str">
        <f ca="1">IF(COUNTIF(ECF[#This Row],"N.S.")&gt;0,"lim.","OK")</f>
        <v>OK</v>
      </c>
      <c r="BG234" s="4" t="str">
        <f>IF(ECF[[#This Row],[Prof. (m)]]&lt;4,"lim.","OK")</f>
        <v>OK</v>
      </c>
      <c r="BH234" s="4" t="str">
        <f>IF(ECF[[#This Row],[Prof. (m)]]&gt;=8*ECF[[#This Row],[Ø (cm)]]/100,"OK","lim.")</f>
        <v>lim.</v>
      </c>
      <c r="BI234" s="4" t="str">
        <f>IF(AND(SPT!$F$3&lt;&gt;"",ECF[[#This Row],[Prof. (m)]]&gt;=SPT!$F$3-2),"lim.","OK")</f>
        <v>OK</v>
      </c>
      <c r="BJ234" s="4" t="str">
        <f ca="1">IF(ECF[[#This Row],[Verif. Biela]]="OK","OK","lim.")</f>
        <v>OK</v>
      </c>
      <c r="BK234" s="4" t="str">
        <f ca="1">IF(COUNTA(ECF[[#This Row],[Nº Est.]:[Biela comp.]])=COUNTIF(ECF[[#This Row],[Nº Est.]:[Biela comp.]],"OK"),"OK","lim.")</f>
        <v>lim.</v>
      </c>
      <c r="BL234" s="4" t="str">
        <f ca="1">IF(ECF[[#This Row],[Controle]]="OK",ECF[[#This Row],[nE]]&amp;" Ø "&amp;ECF[[#This Row],[Ø (cm)]]&amp;" cm, Prof. "&amp;ECF[[#This Row],[Prof. (m)]]&amp;" m","")</f>
        <v/>
      </c>
      <c r="BM234" s="4" t="str">
        <f ca="1">IF(ECF[[#This Row],[idDimensionamento]]="","",ECF[[#This Row],[idPilar]]&amp;ECF[[#This Row],[idDimensionamento]])</f>
        <v/>
      </c>
    </row>
    <row r="235" spans="2:65" x14ac:dyDescent="0.25">
      <c r="B235" s="12">
        <f>ROUNDUP((ROW(ECF[[#This Row],[idDiâmetro]])-ROW(ECF[[#Headers],[idDiâmetro]]))/(COUNT(SPT[Prof. (m)])*COUNT(PILARES[Pilar])),0)</f>
        <v>9</v>
      </c>
      <c r="C235" s="12">
        <f>IF(ECF[[#This Row],[idDiâmetro]]&lt;&gt;B234,1,IF(ECF[[#This Row],[Prof. (m)]]=0,C234+1,C234))</f>
        <v>1</v>
      </c>
      <c r="D235" s="82">
        <f>IFERROR(IF(D234=MAX(SPT[Prof. (m)]),0,D234+1),0)</f>
        <v>6</v>
      </c>
      <c r="E235" s="82">
        <f>INDEX(SPT[],MATCH(ECF[[#This Row],[Prof. (m)]],SPT[Prof. (m)],0),2)</f>
        <v>21</v>
      </c>
      <c r="F235" s="82" t="str">
        <f>INDEX(SPT[],MATCH(ECF[[#This Row],[Prof. (m)]],SPT[Prof. (m)],0),3)</f>
        <v>Silte arenoso</v>
      </c>
      <c r="G235" s="82">
        <f>INDEX(estacas[],ECF[[#This Row],[idDiâmetro]],MATCH($B$2,estacas[#Headers],0))</f>
        <v>180</v>
      </c>
      <c r="H235" s="82">
        <f>INDEX(estacas[],MATCH(ECF[[#This Row],[Ø (cm)]],estacas[Ø ECF (cm)],0),MATCH(ECF[[#Headers],[Pe ECF (kN)]],estacas[#Headers],0))</f>
        <v>10100</v>
      </c>
      <c r="I235" s="4">
        <f>INDEX(K_alpha_C[],MATCH(ECF[[#This Row],[Solo]],K_alpha_C[Solo],0),2)</f>
        <v>0.55000000000000004</v>
      </c>
      <c r="J235" s="5">
        <f>INDEX(K_alpha_C[],MATCH(ECF[[#This Row],[Solo]],K_alpha_C[Solo],0),3)</f>
        <v>2.2000000000000002</v>
      </c>
      <c r="K235" s="4">
        <f>INDEX(F1_F2[],MATCH($D$2,F1_F2[Tipo de estaca],0),2)</f>
        <v>3</v>
      </c>
      <c r="L235" s="4">
        <f>INDEX(F1_F2[],MATCH($D$2,F1_F2[Tipo de estaca],0),3)</f>
        <v>6</v>
      </c>
      <c r="M235" s="4">
        <f>PI()*(ECF[[#This Row],[Ø (cm)]]/100)^2/4</f>
        <v>2.5446900494077327</v>
      </c>
      <c r="N235" s="4">
        <f>PI()*ECF[[#This Row],[Ø (cm)]]/100</f>
        <v>5.6548667764616276</v>
      </c>
      <c r="O235" s="4">
        <f>IF(ECF[[#This Row],[Prof. (m)]]=0,0,ECF[[#This Row],[α (%)]]/100*ECF[[#This Row],[K (MPa)]]*1000*ECF[[#This Row],[NSPT]])</f>
        <v>254.10000000000002</v>
      </c>
      <c r="P235" s="4">
        <f>IF(ECF[[#This Row],[Prof. (m)]]=0,0,(ECF[[#This Row],[K (MPa)]]*1000*ECF[[#This Row],[NSPT]]/ECF[[#This Row],[F1]]*ECF[[#This Row],[Ap (m²)]]+ECF[[#This Row],[U (m)]]/ECF[[#This Row],[F2]]*SUMIFS(ECF[(α∙K∙NL∙ΔL)],ECF[Prof. (m)],"&lt;="&amp;ECF[[#This Row],[Prof. (m)]],ECF[idDiâmetro],ECF[[#This Row],[idDiâmetro]],ECF[idPilar],ECF[[#This Row],[idPilar]]))/'DADOS CAP. CARGA'!$D$2)</f>
        <v>5267.0842872657722</v>
      </c>
      <c r="Q235" s="12">
        <f>INDEX(C_alpha_beta[],MATCH(ECF[[#This Row],[Solo]],C_alpha_beta[Solo],0),MATCH(ECF[[#Headers],[C (kPa)]],C_alpha_beta[#Headers],0))</f>
        <v>250</v>
      </c>
      <c r="R235" s="4">
        <f>INDEX(C_alpha_beta[],MATCH(ECF[[#This Row],[Solo]],C_alpha_beta[Solo],0),MATCH(ECF[[#Headers],[α ESF]],C_alpha_beta[#Headers],0))</f>
        <v>0.6</v>
      </c>
      <c r="S235" s="4">
        <f>INDEX(C_alpha_beta[],MATCH(ECF[[#This Row],[Solo]],C_alpha_beta[Solo],0),MATCH(ECF[[#Headers],[β ESF]],C_alpha_beta[#Headers],0))</f>
        <v>0.65</v>
      </c>
      <c r="T235" s="4">
        <f>IF(ECF[[#This Row],[Prof. (m)]]=0,0,10*(ECF[[#This Row],[NSPT]]/3+1))</f>
        <v>80</v>
      </c>
      <c r="U235" s="4">
        <f>(ECF[[#This Row],[α ESF]]*ECF[[#This Row],[C (kPa)]]*ECF[[#This Row],[NSPT]]*ECF[[#This Row],[Ap (m²)]])/'DADOS CAP. CARGA'!$Q$2+(ECF[[#This Row],[β ESF]]*SUMIFS(ECF[10∙(NL/3+1)],ECF[Prof. (m)],"&lt;="&amp;ECF[[#This Row],[Prof. (m)]],ECF[idDiâmetro],ECF[[#This Row],[idDiâmetro]],ECF[idPilar],ECF[[#This Row],[idPilar]])*ECF[[#This Row],[U (m)]])/'DADOS CAP. CARGA'!$S$2</f>
        <v>2445.0230224725965</v>
      </c>
      <c r="V235" s="4">
        <f>IF(SPT!$M$5=1,MIN(ECF[[#This Row],[Pe ECF (kN)]],ECF[[#This Row],[R_AV (kN)]]),IF(SPT!$M$5=2,MIN(ECF[[#This Row],[Pe ECF (kN)]],ECF[[#This Row],[R_DC (kN)]]),MIN(ECF[[#This Row],[Pe ECF (kN)]],ECF[[#This Row],[R_AV (kN)]],ECF[[#This Row],[R_DC (kN)]])))</f>
        <v>2445.0230224725965</v>
      </c>
      <c r="W235" s="4">
        <f>INDEX(PILARES[],ECF[[#This Row],[idPilar]],MATCH("Carga (kN)",PILARES[#Headers],0))*1.4</f>
        <v>3500</v>
      </c>
      <c r="X235" s="12">
        <f>INDEX(PILARES[],ECF[[#This Row],[idPilar]],MATCH(ECF[[#Headers],[ap (cm)]],PILARES[#Headers],0))</f>
        <v>60</v>
      </c>
      <c r="Y235" s="12">
        <f>INDEX(PILARES[],ECF[[#This Row],[idPilar]],MATCH(ECF[[#Headers],[bp (cm)]],PILARES[#Headers],0))</f>
        <v>60</v>
      </c>
      <c r="Z235" s="4">
        <f>SQRT(ECF[[#This Row],[ap (cm)]]*ECF[[#This Row],[bp (cm)]])</f>
        <v>60</v>
      </c>
      <c r="AA235" s="12">
        <f>ECF[[#This Row],[ap (cm)]]*ECF[[#This Row],[bp (cm)]]</f>
        <v>3600</v>
      </c>
      <c r="AB235" s="12">
        <f ca="1">IF(ECF[[#This Row],[Padm∙ε (kN)]]&gt;=ECF[[#This Row],[Padm (kN)]],ROUNDUP(1.05*ECF[[#This Row],[Nsd (kN)]]/ECF[[#This Row],[Padm (kN)]],0),ROUNDUP(1.05*ECF[[#This Row],[Nsd (kN)]]/ECF[[#This Row],[Padm (kN)]],0)+1)</f>
        <v>2</v>
      </c>
      <c r="AC235" s="4">
        <f ca="1">IFERROR(IF(ECF[[#This Row],[nE]]=1,ECF[[#This Row],[Padm (kN)]],ECF[[#This Row],[Padm (kN)]]*ECF[[#This Row],[nE]]*INDEX(grupoEstacas[],ECF[[#This Row],[nE]],MATCH("ε",grupoEstacas[#Headers],0))),"N.S.")</f>
        <v>4584.4181671361184</v>
      </c>
      <c r="AD235" s="4">
        <f ca="1">1.05*ECF[[#This Row],[Nsd (kN)]]/(ECF[[#This Row],[nE]]*PI()*ECF[[#This Row],[Ø (cm)]]^2/4)*10</f>
        <v>0.72209187143545117</v>
      </c>
      <c r="AE235" s="4">
        <f ca="1">IF(ECF[[#This Row],[σ (MPa)]]&lt;INDEX(tipoEstaca[],MATCH($D$2,tipoEstaca[TIPO DE ESTACA],0),MATCH("σmáx (MPa)",tipoEstaca[#Headers],0)),0.4%*PI()*ECF[[#This Row],[Ø (cm)]]^2/4,"N.S.")</f>
        <v>101.7876019763093</v>
      </c>
      <c r="AF235" s="82">
        <f>INDEX(tipoEstaca[],MATCH($D$2,tipoEstaca[TIPO DE ESTACA],0),MATCH(ECF[[#Headers],[Comprimento (m)]],tipoEstaca[#Headers],0))</f>
        <v>4</v>
      </c>
      <c r="AG235" s="5">
        <f ca="1">ECF[[#This Row],[As,mín (cm²)]]/100^2*ECF[[#This Row],[Comprimento (m)]]*7850</f>
        <v>319.61307020561122</v>
      </c>
      <c r="AH235" s="4">
        <f ca="1">ECF[[#This Row],[nE]]*ECF[[#This Row],[Prof. (m)]]*ECF[[#This Row],[Ap (m²)]]</f>
        <v>30.536280592892794</v>
      </c>
      <c r="AI235" s="82">
        <f ca="1">IF(ECF[[#This Row],[nE]]=1,0,MAX(3*ECF[[#This Row],[Ø (cm)]],60))</f>
        <v>540</v>
      </c>
      <c r="AJ235" s="82">
        <f ca="1">IF(ECF[[#This Row],[nE]]=1,ECF[[#This Row],[Ø (cm)]]+2*10,MAX(1.5*ECF[[#This Row],[Ø (cm)]],ECF[[#This Row],[Ø (cm)]]+15))</f>
        <v>270</v>
      </c>
      <c r="AK235" s="82">
        <f ca="1">alturaUtil(ECF[[#This Row],[nE]],ECF[[#This Row],[Ø (cm)]],ECF[[#This Row],[e (cm)]],ECF[[#This Row],[ap,eq (cm)]])</f>
        <v>255</v>
      </c>
      <c r="AL235" s="82">
        <f ca="1">IFERROR(ECF[[#This Row],[d (cm)]]+arredondarParaCimaMultiplo5cm(MAX(5,SQRT(PI())/2*ECF[[#This Row],[Ø (cm)]]/5)),"N.S.")</f>
        <v>290</v>
      </c>
      <c r="AM235" s="5">
        <f ca="1">alpha(ECF[[#This Row],[nE]],ECF[[#This Row],[d (cm)]],ECF[[#This Row],[e (cm)]],ECF[[#This Row],[ap,eq (cm)]])</f>
        <v>45</v>
      </c>
      <c r="AN235" s="35">
        <f ca="1">IFERROR(ECF[[#This Row],[Nsd (kN)]]/(ECF[[#This Row],[Ap (cm²)]]*SIN(ECF[[#This Row],[α]])^2),"N.S.")</f>
        <v>1.3427801064714635</v>
      </c>
      <c r="AO235" s="35">
        <f ca="1">IFERROR(ECF[[#This Row],[Nsd (kN)]]/(ECF[[#This Row],[nE]]*PI()*ECF[[#This Row],[Ø (cm)]]^2/4*SIN(ECF[[#This Row],[α]])^2),"N.S.")</f>
        <v>9.4982262857953317E-2</v>
      </c>
      <c r="AP235" s="4">
        <f ca="1">IFERROR(INDEX(grupoEstacas[],ECF[[#This Row],[nE]],MATCH("coef. Blévot",grupoEstacas[#Headers],0)),"N.S.")</f>
        <v>1.4</v>
      </c>
      <c r="AQ235" s="35">
        <f ca="1">IFERROR(ECF[[#This Row],[coef. Blévot]]*0.9*INDEX(tipoEstaca[],MATCH($D$2,tipoEstaca[TIPO DE ESTACA],0),MATCH("fcd (kN/cm²)",tipoEstaca[#Headers],0)),"N.S.")</f>
        <v>1.4000000000000001</v>
      </c>
      <c r="AR235" s="82" t="str">
        <f ca="1">IF(AND(ECF[[#This Row],[cd,b,pil (kN/cm²)]]&lt;=ECF[[#This Row],[cd,b,lim (kN/cm²)]],ECF[[#This Row],[cd,b,est (kN/cm²)]]&lt;=ECF[[#This Row],[cd,b,lim (kN/cm²)]]),"OK","ERRO")</f>
        <v>OK</v>
      </c>
      <c r="AS235" s="4">
        <f ca="1">As_lado(ECF[[#This Row],[nE]],ECF[[#This Row],[Nsd (kN)]],ECF[[#This Row],[d (cm)]],ECF[[#This Row],[e (cm)]],ECF[[#This Row],[ap,eq (cm)]])</f>
        <v>46.287500000000001</v>
      </c>
      <c r="AT235" s="4">
        <f ca="1">IF(ECF[[#This Row],[nE]]=1,ECF[[#This Row],[As,lado (cm²)]],IF(ECF[[#This Row],[nE]]=2,0.075*2*ECF[a (cm)],"N.A."))</f>
        <v>40.5</v>
      </c>
      <c r="AU235" s="4">
        <f ca="1">IFERROR(IF(ECF[[#This Row],[nE]]=1,"N.A.",0.2*ECF[[#This Row],[As,lado (cm²)]]),"N.S.")</f>
        <v>9.2575000000000003</v>
      </c>
      <c r="AV235" s="4" t="str">
        <f ca="1">As_malha(ECF[[#This Row],[nE]],ECF[[#This Row],[As,lado (cm²)]],ECF[[#This Row],[Nsd (kN)]])</f>
        <v>N.A.</v>
      </c>
      <c r="AW235" s="4" t="str">
        <f ca="1">As_susp_tot(ECF[[#This Row],[nE]],ECF[[#This Row],[Nsd (kN)]])</f>
        <v>N.A.</v>
      </c>
      <c r="AX235" s="4" t="str">
        <f ca="1">Asp_face(ECF[[#This Row],[nE]],ECF[[#This Row],[As,lado (cm²)]])</f>
        <v>N.A.</v>
      </c>
      <c r="AY235" s="5">
        <f ca="1">acoBloco(ECF[[#This Row],[nE]],ECF[[#This Row],[e (cm)]],ECF[[#This Row],[a (cm)]],ECF[[#This Row],[h (cm)]],ECF[[#This Row],[As,lado (cm²)]],ECF[[#This Row],[Asp e Asw (cm²/m)]],ECF[[#This Row],[As,sup (cm²)]],ECF[[#This Row],[As,malha (cm²)]],ECF[[#This Row],[As,susp,tot (cm²)]],ECF[[#This Row],[Asp,face (cm²)]])</f>
        <v>9157.8932100000002</v>
      </c>
      <c r="AZ235" s="4">
        <f ca="1">concretoBloco(ECF[[#This Row],[nE]],ECF[[#This Row],[e (cm)]],ECF[[#This Row],[a (cm)]],ECF[[#This Row],[h (cm)]])</f>
        <v>169.12799999999999</v>
      </c>
      <c r="BA235" s="5">
        <f ca="1">SUM(ECF[[#This Row],[Aço Est (kg)]],ECF[[#This Row],[Aço Bloco (kg)]])</f>
        <v>9477.5062802056109</v>
      </c>
      <c r="BB235" s="4">
        <f>INDEX(composicoes[],MATCH(95580,composicoes[CÓDIGO],0),MATCH("CUSTO TOTAL",composicoes[#Headers],0))</f>
        <v>10.46</v>
      </c>
      <c r="BC235" s="4">
        <f ca="1">SUM(ECF[[#This Row],[Conc Est (m³)]],ECF[[#This Row],[Conc Bloco (m³)]])</f>
        <v>199.66428059289279</v>
      </c>
      <c r="BD235" s="4">
        <f>INDEX(composicoes[],MATCH(94966,composicoes[CÓDIGO],0),MATCH("CUSTO TOTAL",composicoes[#Headers],0))</f>
        <v>439.52</v>
      </c>
      <c r="BE235" s="38">
        <f ca="1">ECF[[#This Row],[Aço (kg)]]*ECF[[#This Row],[Aço (R$/kg)]]+ECF[[#This Row],[Conc (m³)]]*ECF[[#This Row],[Conc (R$/m³)]]</f>
        <v>186891.16029713894</v>
      </c>
      <c r="BF235" s="4" t="str">
        <f ca="1">IF(COUNTIF(ECF[#This Row],"N.S.")&gt;0,"lim.","OK")</f>
        <v>OK</v>
      </c>
      <c r="BG235" s="4" t="str">
        <f>IF(ECF[[#This Row],[Prof. (m)]]&lt;4,"lim.","OK")</f>
        <v>OK</v>
      </c>
      <c r="BH235" s="4" t="str">
        <f>IF(ECF[[#This Row],[Prof. (m)]]&gt;=8*ECF[[#This Row],[Ø (cm)]]/100,"OK","lim.")</f>
        <v>lim.</v>
      </c>
      <c r="BI235" s="4" t="str">
        <f>IF(AND(SPT!$F$3&lt;&gt;"",ECF[[#This Row],[Prof. (m)]]&gt;=SPT!$F$3-2),"lim.","OK")</f>
        <v>OK</v>
      </c>
      <c r="BJ235" s="4" t="str">
        <f ca="1">IF(ECF[[#This Row],[Verif. Biela]]="OK","OK","lim.")</f>
        <v>OK</v>
      </c>
      <c r="BK235" s="4" t="str">
        <f ca="1">IF(COUNTA(ECF[[#This Row],[Nº Est.]:[Biela comp.]])=COUNTIF(ECF[[#This Row],[Nº Est.]:[Biela comp.]],"OK"),"OK","lim.")</f>
        <v>lim.</v>
      </c>
      <c r="BL235" s="4" t="str">
        <f ca="1">IF(ECF[[#This Row],[Controle]]="OK",ECF[[#This Row],[nE]]&amp;" Ø "&amp;ECF[[#This Row],[Ø (cm)]]&amp;" cm, Prof. "&amp;ECF[[#This Row],[Prof. (m)]]&amp;" m","")</f>
        <v/>
      </c>
      <c r="BM235" s="4" t="str">
        <f ca="1">IF(ECF[[#This Row],[idDimensionamento]]="","",ECF[[#This Row],[idPilar]]&amp;ECF[[#This Row],[idDimensionamento]])</f>
        <v/>
      </c>
    </row>
    <row r="236" spans="2:65" x14ac:dyDescent="0.25">
      <c r="B236" s="12">
        <f>ROUNDUP((ROW(ECF[[#This Row],[idDiâmetro]])-ROW(ECF[[#Headers],[idDiâmetro]]))/(COUNT(SPT[Prof. (m)])*COUNT(PILARES[Pilar])),0)</f>
        <v>9</v>
      </c>
      <c r="C236" s="12">
        <f>IF(ECF[[#This Row],[idDiâmetro]]&lt;&gt;B235,1,IF(ECF[[#This Row],[Prof. (m)]]=0,C235+1,C235))</f>
        <v>1</v>
      </c>
      <c r="D236" s="82">
        <f>IFERROR(IF(D235=MAX(SPT[Prof. (m)]),0,D235+1),0)</f>
        <v>7</v>
      </c>
      <c r="E236" s="82">
        <f>INDEX(SPT[],MATCH(ECF[[#This Row],[Prof. (m)]],SPT[Prof. (m)],0),2)</f>
        <v>8</v>
      </c>
      <c r="F236" s="82" t="str">
        <f>INDEX(SPT[],MATCH(ECF[[#This Row],[Prof. (m)]],SPT[Prof. (m)],0),3)</f>
        <v>Silte arenoso</v>
      </c>
      <c r="G236" s="82">
        <f>INDEX(estacas[],ECF[[#This Row],[idDiâmetro]],MATCH($B$2,estacas[#Headers],0))</f>
        <v>180</v>
      </c>
      <c r="H236" s="82">
        <f>INDEX(estacas[],MATCH(ECF[[#This Row],[Ø (cm)]],estacas[Ø ECF (cm)],0),MATCH(ECF[[#Headers],[Pe ECF (kN)]],estacas[#Headers],0))</f>
        <v>10100</v>
      </c>
      <c r="I236" s="4">
        <f>INDEX(K_alpha_C[],MATCH(ECF[[#This Row],[Solo]],K_alpha_C[Solo],0),2)</f>
        <v>0.55000000000000004</v>
      </c>
      <c r="J236" s="5">
        <f>INDEX(K_alpha_C[],MATCH(ECF[[#This Row],[Solo]],K_alpha_C[Solo],0),3)</f>
        <v>2.2000000000000002</v>
      </c>
      <c r="K236" s="4">
        <f>INDEX(F1_F2[],MATCH($D$2,F1_F2[Tipo de estaca],0),2)</f>
        <v>3</v>
      </c>
      <c r="L236" s="4">
        <f>INDEX(F1_F2[],MATCH($D$2,F1_F2[Tipo de estaca],0),3)</f>
        <v>6</v>
      </c>
      <c r="M236" s="4">
        <f>PI()*(ECF[[#This Row],[Ø (cm)]]/100)^2/4</f>
        <v>2.5446900494077327</v>
      </c>
      <c r="N236" s="4">
        <f>PI()*ECF[[#This Row],[Ø (cm)]]/100</f>
        <v>5.6548667764616276</v>
      </c>
      <c r="O236" s="4">
        <f>IF(ECF[[#This Row],[Prof. (m)]]=0,0,ECF[[#This Row],[α (%)]]/100*ECF[[#This Row],[K (MPa)]]*1000*ECF[[#This Row],[NSPT]])</f>
        <v>96.800000000000011</v>
      </c>
      <c r="P236" s="4">
        <f>IF(ECF[[#This Row],[Prof. (m)]]=0,0,(ECF[[#This Row],[K (MPa)]]*1000*ECF[[#This Row],[NSPT]]/ECF[[#This Row],[F1]]*ECF[[#This Row],[Ap (m²)]]+ECF[[#This Row],[U (m)]]/ECF[[#This Row],[F2]]*SUMIFS(ECF[(α∙K∙NL∙ΔL)],ECF[Prof. (m)],"&lt;="&amp;ECF[[#This Row],[Prof. (m)]],ECF[idDiâmetro],ECF[[#This Row],[idDiâmetro]],ECF[idPilar],ECF[[#This Row],[idPilar]]))/'DADOS CAP. CARGA'!$D$2)</f>
        <v>2280.2779037183477</v>
      </c>
      <c r="Q236" s="12">
        <f>INDEX(C_alpha_beta[],MATCH(ECF[[#This Row],[Solo]],C_alpha_beta[Solo],0),MATCH(ECF[[#Headers],[C (kPa)]],C_alpha_beta[#Headers],0))</f>
        <v>250</v>
      </c>
      <c r="R236" s="4">
        <f>INDEX(C_alpha_beta[],MATCH(ECF[[#This Row],[Solo]],C_alpha_beta[Solo],0),MATCH(ECF[[#Headers],[α ESF]],C_alpha_beta[#Headers],0))</f>
        <v>0.6</v>
      </c>
      <c r="S236" s="4">
        <f>INDEX(C_alpha_beta[],MATCH(ECF[[#This Row],[Solo]],C_alpha_beta[Solo],0),MATCH(ECF[[#Headers],[β ESF]],C_alpha_beta[#Headers],0))</f>
        <v>0.65</v>
      </c>
      <c r="T236" s="4">
        <f>IF(ECF[[#This Row],[Prof. (m)]]=0,0,10*(ECF[[#This Row],[NSPT]]/3+1))</f>
        <v>36.666666666666664</v>
      </c>
      <c r="U236" s="4">
        <f>(ECF[[#This Row],[α ESF]]*ECF[[#This Row],[C (kPa)]]*ECF[[#This Row],[NSPT]]*ECF[[#This Row],[Ap (m²)]])/'DADOS CAP. CARGA'!$Q$2+(ECF[[#This Row],[β ESF]]*SUMIFS(ECF[10∙(NL/3+1)],ECF[Prof. (m)],"&lt;="&amp;ECF[[#This Row],[Prof. (m)]],ECF[idDiâmetro],ECF[[#This Row],[idDiâmetro]],ECF[idPilar],ECF[[#This Row],[idPilar]])*ECF[[#This Row],[U (m)]])/'DADOS CAP. CARGA'!$S$2</f>
        <v>1271.8737858058278</v>
      </c>
      <c r="V236" s="4">
        <f>IF(SPT!$M$5=1,MIN(ECF[[#This Row],[Pe ECF (kN)]],ECF[[#This Row],[R_AV (kN)]]),IF(SPT!$M$5=2,MIN(ECF[[#This Row],[Pe ECF (kN)]],ECF[[#This Row],[R_DC (kN)]]),MIN(ECF[[#This Row],[Pe ECF (kN)]],ECF[[#This Row],[R_AV (kN)]],ECF[[#This Row],[R_DC (kN)]])))</f>
        <v>1271.8737858058278</v>
      </c>
      <c r="W236" s="4">
        <f>INDEX(PILARES[],ECF[[#This Row],[idPilar]],MATCH("Carga (kN)",PILARES[#Headers],0))*1.4</f>
        <v>3500</v>
      </c>
      <c r="X236" s="12">
        <f>INDEX(PILARES[],ECF[[#This Row],[idPilar]],MATCH(ECF[[#Headers],[ap (cm)]],PILARES[#Headers],0))</f>
        <v>60</v>
      </c>
      <c r="Y236" s="12">
        <f>INDEX(PILARES[],ECF[[#This Row],[idPilar]],MATCH(ECF[[#Headers],[bp (cm)]],PILARES[#Headers],0))</f>
        <v>60</v>
      </c>
      <c r="Z236" s="4">
        <f>SQRT(ECF[[#This Row],[ap (cm)]]*ECF[[#This Row],[bp (cm)]])</f>
        <v>60</v>
      </c>
      <c r="AA236" s="12">
        <f>ECF[[#This Row],[ap (cm)]]*ECF[[#This Row],[bp (cm)]]</f>
        <v>3600</v>
      </c>
      <c r="AB236" s="12">
        <f ca="1">IF(ECF[[#This Row],[Padm∙ε (kN)]]&gt;=ECF[[#This Row],[Padm (kN)]],ROUNDUP(1.05*ECF[[#This Row],[Nsd (kN)]]/ECF[[#This Row],[Padm (kN)]],0),ROUNDUP(1.05*ECF[[#This Row],[Nsd (kN)]]/ECF[[#This Row],[Padm (kN)]],0)+1)</f>
        <v>3</v>
      </c>
      <c r="AC236" s="4">
        <f ca="1">IFERROR(IF(ECF[[#This Row],[nE]]=1,ECF[[#This Row],[Padm (kN)]],ECF[[#This Row],[Padm (kN)]]*ECF[[#This Row],[nE]]*INDEX(grupoEstacas[],ECF[[#This Row],[nE]],MATCH("ε",grupoEstacas[#Headers],0))),"N.S.")</f>
        <v>3338.6686877402981</v>
      </c>
      <c r="AD236" s="4">
        <f ca="1">1.05*ECF[[#This Row],[Nsd (kN)]]/(ECF[[#This Row],[nE]]*PI()*ECF[[#This Row],[Ø (cm)]]^2/4)*10</f>
        <v>0.48139458095696741</v>
      </c>
      <c r="AE236" s="4">
        <f ca="1">IF(ECF[[#This Row],[σ (MPa)]]&lt;INDEX(tipoEstaca[],MATCH($D$2,tipoEstaca[TIPO DE ESTACA],0),MATCH("σmáx (MPa)",tipoEstaca[#Headers],0)),0.4%*PI()*ECF[[#This Row],[Ø (cm)]]^2/4,"N.S.")</f>
        <v>101.7876019763093</v>
      </c>
      <c r="AF236" s="82">
        <f>INDEX(tipoEstaca[],MATCH($D$2,tipoEstaca[TIPO DE ESTACA],0),MATCH(ECF[[#Headers],[Comprimento (m)]],tipoEstaca[#Headers],0))</f>
        <v>4</v>
      </c>
      <c r="AG236" s="5">
        <f ca="1">ECF[[#This Row],[As,mín (cm²)]]/100^2*ECF[[#This Row],[Comprimento (m)]]*7850</f>
        <v>319.61307020561122</v>
      </c>
      <c r="AH236" s="4">
        <f ca="1">ECF[[#This Row],[nE]]*ECF[[#This Row],[Prof. (m)]]*ECF[[#This Row],[Ap (m²)]]</f>
        <v>53.438491037562386</v>
      </c>
      <c r="AI236" s="82">
        <f ca="1">IF(ECF[[#This Row],[nE]]=1,0,MAX(3*ECF[[#This Row],[Ø (cm)]],60))</f>
        <v>540</v>
      </c>
      <c r="AJ236" s="82">
        <f ca="1">IF(ECF[[#This Row],[nE]]=1,ECF[[#This Row],[Ø (cm)]]+2*10,MAX(1.5*ECF[[#This Row],[Ø (cm)]],ECF[[#This Row],[Ø (cm)]]+15))</f>
        <v>270</v>
      </c>
      <c r="AK236" s="82">
        <f ca="1">alturaUtil(ECF[[#This Row],[nE]],ECF[[#This Row],[Ø (cm)]],ECF[[#This Row],[e (cm)]],ECF[[#This Row],[ap,eq (cm)]])</f>
        <v>255</v>
      </c>
      <c r="AL236" s="82">
        <f ca="1">IFERROR(ECF[[#This Row],[d (cm)]]+arredondarParaCimaMultiplo5cm(MAX(5,SQRT(PI())/2*ECF[[#This Row],[Ø (cm)]]/5)),"N.S.")</f>
        <v>290</v>
      </c>
      <c r="AM236" s="5">
        <f ca="1">alpha(ECF[[#This Row],[nE]],ECF[[#This Row],[d (cm)]],ECF[[#This Row],[e (cm)]],ECF[[#This Row],[ap,eq (cm)]])</f>
        <v>45.339024324451451</v>
      </c>
      <c r="AN236" s="35">
        <f ca="1">IFERROR(ECF[[#This Row],[Nsd (kN)]]/(ECF[[#This Row],[Ap (cm²)]]*SIN(ECF[[#This Row],[α]])^2),"N.S.")</f>
        <v>1.0181722011788354</v>
      </c>
      <c r="AO236" s="35">
        <f ca="1">IFERROR(ECF[[#This Row],[Nsd (kN)]]/(ECF[[#This Row],[nE]]*PI()*ECF[[#This Row],[Ø (cm)]]^2/4*SIN(ECF[[#This Row],[α]])^2),"N.S.")</f>
        <v>4.8013967032997734E-2</v>
      </c>
      <c r="AP236" s="4">
        <f ca="1">IFERROR(INDEX(grupoEstacas[],ECF[[#This Row],[nE]],MATCH("coef. Blévot",grupoEstacas[#Headers],0)),"N.S.")</f>
        <v>1.75</v>
      </c>
      <c r="AQ236" s="35">
        <f ca="1">IFERROR(ECF[[#This Row],[coef. Blévot]]*0.9*INDEX(tipoEstaca[],MATCH($D$2,tipoEstaca[TIPO DE ESTACA],0),MATCH("fcd (kN/cm²)",tipoEstaca[#Headers],0)),"N.S.")</f>
        <v>1.75</v>
      </c>
      <c r="AR236" s="82" t="str">
        <f ca="1">IF(AND(ECF[[#This Row],[cd,b,pil (kN/cm²)]]&lt;=ECF[[#This Row],[cd,b,lim (kN/cm²)]],ECF[[#This Row],[cd,b,est (kN/cm²)]]&lt;=ECF[[#This Row],[cd,b,lim (kN/cm²)]]),"OK","ERRO")</f>
        <v>OK</v>
      </c>
      <c r="AS236" s="4">
        <f ca="1">As_lado(ECF[[#This Row],[nE]],ECF[[#This Row],[Nsd (kN)]],ECF[[#This Row],[d (cm)]],ECF[[#This Row],[e (cm)]],ECF[[#This Row],[ap,eq (cm)]])</f>
        <v>17.847607137181996</v>
      </c>
      <c r="AT236" s="4" t="str">
        <f ca="1">IF(ECF[[#This Row],[nE]]=1,ECF[[#This Row],[As,lado (cm²)]],IF(ECF[[#This Row],[nE]]=2,0.075*2*ECF[a (cm)],"N.A."))</f>
        <v>N.A.</v>
      </c>
      <c r="AU236" s="4">
        <f ca="1">IFERROR(IF(ECF[[#This Row],[nE]]=1,"N.A.",0.2*ECF[[#This Row],[As,lado (cm²)]]),"N.S.")</f>
        <v>3.5695214274363991</v>
      </c>
      <c r="AV236" s="4">
        <f ca="1">As_malha(ECF[[#This Row],[nE]],ECF[[#This Row],[As,lado (cm²)]],ECF[[#This Row],[Nsd (kN)]])</f>
        <v>5.9629629629629619</v>
      </c>
      <c r="AW236" s="4">
        <f ca="1">As_susp_tot(ECF[[#This Row],[nE]],ECF[[#This Row],[Nsd (kN)]])</f>
        <v>17.888888888888886</v>
      </c>
      <c r="AX236" s="4">
        <f ca="1">Asp_face(ECF[[#This Row],[nE]],ECF[[#This Row],[As,lado (cm²)]])</f>
        <v>6.6928526764432483</v>
      </c>
      <c r="AY236" s="5">
        <f ca="1">acoBloco(ECF[[#This Row],[nE]],ECF[[#This Row],[e (cm)]],ECF[[#This Row],[a (cm)]],ECF[[#This Row],[h (cm)]],ECF[[#This Row],[As,lado (cm²)]],ECF[[#This Row],[Asp e Asw (cm²/m)]],ECF[[#This Row],[As,sup (cm²)]],ECF[[#This Row],[As,malha (cm²)]],ECF[[#This Row],[As,susp,tot (cm²)]],ECF[[#This Row],[Asp,face (cm²)]])</f>
        <v>953.39769691459355</v>
      </c>
      <c r="AZ236" s="4">
        <f ca="1">concretoBloco(ECF[[#This Row],[nE]],ECF[[#This Row],[e (cm)]],ECF[[#This Row],[a (cm)]],ECF[[#This Row],[h (cm)]])</f>
        <v>236.69785836844088</v>
      </c>
      <c r="BA236" s="5">
        <f ca="1">SUM(ECF[[#This Row],[Aço Est (kg)]],ECF[[#This Row],[Aço Bloco (kg)]])</f>
        <v>1273.0107671202047</v>
      </c>
      <c r="BB236" s="4">
        <f>INDEX(composicoes[],MATCH(95580,composicoes[CÓDIGO],0),MATCH("CUSTO TOTAL",composicoes[#Headers],0))</f>
        <v>10.46</v>
      </c>
      <c r="BC236" s="4">
        <f ca="1">SUM(ECF[[#This Row],[Conc Est (m³)]],ECF[[#This Row],[Conc Bloco (m³)]])</f>
        <v>290.13634940600326</v>
      </c>
      <c r="BD236" s="4">
        <f>INDEX(composicoes[],MATCH(94966,composicoes[CÓDIGO],0),MATCH("CUSTO TOTAL",composicoes[#Headers],0))</f>
        <v>439.52</v>
      </c>
      <c r="BE236" s="38">
        <f ca="1">ECF[[#This Row],[Aço (kg)]]*ECF[[#This Row],[Aço (R$/kg)]]+ECF[[#This Row],[Conc (m³)]]*ECF[[#This Row],[Conc (R$/m³)]]</f>
        <v>140836.4209150039</v>
      </c>
      <c r="BF236" s="4" t="str">
        <f ca="1">IF(COUNTIF(ECF[#This Row],"N.S.")&gt;0,"lim.","OK")</f>
        <v>OK</v>
      </c>
      <c r="BG236" s="4" t="str">
        <f>IF(ECF[[#This Row],[Prof. (m)]]&lt;4,"lim.","OK")</f>
        <v>OK</v>
      </c>
      <c r="BH236" s="4" t="str">
        <f>IF(ECF[[#This Row],[Prof. (m)]]&gt;=8*ECF[[#This Row],[Ø (cm)]]/100,"OK","lim.")</f>
        <v>lim.</v>
      </c>
      <c r="BI236" s="4" t="str">
        <f>IF(AND(SPT!$F$3&lt;&gt;"",ECF[[#This Row],[Prof. (m)]]&gt;=SPT!$F$3-2),"lim.","OK")</f>
        <v>OK</v>
      </c>
      <c r="BJ236" s="4" t="str">
        <f ca="1">IF(ECF[[#This Row],[Verif. Biela]]="OK","OK","lim.")</f>
        <v>OK</v>
      </c>
      <c r="BK236" s="4" t="str">
        <f ca="1">IF(COUNTA(ECF[[#This Row],[Nº Est.]:[Biela comp.]])=COUNTIF(ECF[[#This Row],[Nº Est.]:[Biela comp.]],"OK"),"OK","lim.")</f>
        <v>lim.</v>
      </c>
      <c r="BL236" s="4" t="str">
        <f ca="1">IF(ECF[[#This Row],[Controle]]="OK",ECF[[#This Row],[nE]]&amp;" Ø "&amp;ECF[[#This Row],[Ø (cm)]]&amp;" cm, Prof. "&amp;ECF[[#This Row],[Prof. (m)]]&amp;" m","")</f>
        <v/>
      </c>
      <c r="BM236" s="4" t="str">
        <f ca="1">IF(ECF[[#This Row],[idDimensionamento]]="","",ECF[[#This Row],[idPilar]]&amp;ECF[[#This Row],[idDimensionamento]])</f>
        <v/>
      </c>
    </row>
    <row r="237" spans="2:65" x14ac:dyDescent="0.25">
      <c r="B237" s="12">
        <f>ROUNDUP((ROW(ECF[[#This Row],[idDiâmetro]])-ROW(ECF[[#Headers],[idDiâmetro]]))/(COUNT(SPT[Prof. (m)])*COUNT(PILARES[Pilar])),0)</f>
        <v>9</v>
      </c>
      <c r="C237" s="12">
        <f>IF(ECF[[#This Row],[idDiâmetro]]&lt;&gt;B236,1,IF(ECF[[#This Row],[Prof. (m)]]=0,C236+1,C236))</f>
        <v>1</v>
      </c>
      <c r="D237" s="82">
        <f>IFERROR(IF(D236=MAX(SPT[Prof. (m)]),0,D236+1),0)</f>
        <v>8</v>
      </c>
      <c r="E237" s="82">
        <f>INDEX(SPT[],MATCH(ECF[[#This Row],[Prof. (m)]],SPT[Prof. (m)],0),2)</f>
        <v>10</v>
      </c>
      <c r="F237" s="82" t="str">
        <f>INDEX(SPT[],MATCH(ECF[[#This Row],[Prof. (m)]],SPT[Prof. (m)],0),3)</f>
        <v>Silte arenoso</v>
      </c>
      <c r="G237" s="82">
        <f>INDEX(estacas[],ECF[[#This Row],[idDiâmetro]],MATCH($B$2,estacas[#Headers],0))</f>
        <v>180</v>
      </c>
      <c r="H237" s="82">
        <f>INDEX(estacas[],MATCH(ECF[[#This Row],[Ø (cm)]],estacas[Ø ECF (cm)],0),MATCH(ECF[[#Headers],[Pe ECF (kN)]],estacas[#Headers],0))</f>
        <v>10100</v>
      </c>
      <c r="I237" s="4">
        <f>INDEX(K_alpha_C[],MATCH(ECF[[#This Row],[Solo]],K_alpha_C[Solo],0),2)</f>
        <v>0.55000000000000004</v>
      </c>
      <c r="J237" s="5">
        <f>INDEX(K_alpha_C[],MATCH(ECF[[#This Row],[Solo]],K_alpha_C[Solo],0),3)</f>
        <v>2.2000000000000002</v>
      </c>
      <c r="K237" s="4">
        <f>INDEX(F1_F2[],MATCH($D$2,F1_F2[Tipo de estaca],0),2)</f>
        <v>3</v>
      </c>
      <c r="L237" s="4">
        <f>INDEX(F1_F2[],MATCH($D$2,F1_F2[Tipo de estaca],0),3)</f>
        <v>6</v>
      </c>
      <c r="M237" s="4">
        <f>PI()*(ECF[[#This Row],[Ø (cm)]]/100)^2/4</f>
        <v>2.5446900494077327</v>
      </c>
      <c r="N237" s="4">
        <f>PI()*ECF[[#This Row],[Ø (cm)]]/100</f>
        <v>5.6548667764616276</v>
      </c>
      <c r="O237" s="4">
        <f>IF(ECF[[#This Row],[Prof. (m)]]=0,0,ECF[[#This Row],[α (%)]]/100*ECF[[#This Row],[K (MPa)]]*1000*ECF[[#This Row],[NSPT]])</f>
        <v>121.00000000000001</v>
      </c>
      <c r="P237" s="4">
        <f>IF(ECF[[#This Row],[Prof. (m)]]=0,0,(ECF[[#This Row],[K (MPa)]]*1000*ECF[[#This Row],[NSPT]]/ECF[[#This Row],[F1]]*ECF[[#This Row],[Ap (m²)]]+ECF[[#This Row],[U (m)]]/ECF[[#This Row],[F2]]*SUMIFS(ECF[(α∙K∙NL∙ΔL)],ECF[Prof. (m)],"&lt;="&amp;ECF[[#This Row],[Prof. (m)]],ECF[idDiâmetro],ECF[[#This Row],[idDiâmetro]],ECF[idPilar],ECF[[#This Row],[idPilar]]))/'DADOS CAP. CARGA'!$D$2)</f>
        <v>2803.8243194390866</v>
      </c>
      <c r="Q237" s="12">
        <f>INDEX(C_alpha_beta[],MATCH(ECF[[#This Row],[Solo]],C_alpha_beta[Solo],0),MATCH(ECF[[#Headers],[C (kPa)]],C_alpha_beta[#Headers],0))</f>
        <v>250</v>
      </c>
      <c r="R237" s="4">
        <f>INDEX(C_alpha_beta[],MATCH(ECF[[#This Row],[Solo]],C_alpha_beta[Solo],0),MATCH(ECF[[#Headers],[α ESF]],C_alpha_beta[#Headers],0))</f>
        <v>0.6</v>
      </c>
      <c r="S237" s="4">
        <f>INDEX(C_alpha_beta[],MATCH(ECF[[#This Row],[Solo]],C_alpha_beta[Solo],0),MATCH(ECF[[#Headers],[β ESF]],C_alpha_beta[#Headers],0))</f>
        <v>0.65</v>
      </c>
      <c r="T237" s="4">
        <f>IF(ECF[[#This Row],[Prof. (m)]]=0,0,10*(ECF[[#This Row],[NSPT]]/3+1))</f>
        <v>43.333333333333343</v>
      </c>
      <c r="U237" s="4">
        <f>(ECF[[#This Row],[α ESF]]*ECF[[#This Row],[C (kPa)]]*ECF[[#This Row],[NSPT]]*ECF[[#This Row],[Ap (m²)]])/'DADOS CAP. CARGA'!$Q$2+(ECF[[#This Row],[β ESF]]*SUMIFS(ECF[10∙(NL/3+1)],ECF[Prof. (m)],"&lt;="&amp;ECF[[#This Row],[Prof. (m)]],ECF[idDiâmetro],ECF[[#This Row],[idDiâmetro]],ECF[idPilar],ECF[[#This Row],[idPilar]])*ECF[[#This Row],[U (m)]])/'DADOS CAP. CARGA'!$S$2</f>
        <v>1542.3649132799092</v>
      </c>
      <c r="V237" s="4">
        <f>IF(SPT!$M$5=1,MIN(ECF[[#This Row],[Pe ECF (kN)]],ECF[[#This Row],[R_AV (kN)]]),IF(SPT!$M$5=2,MIN(ECF[[#This Row],[Pe ECF (kN)]],ECF[[#This Row],[R_DC (kN)]]),MIN(ECF[[#This Row],[Pe ECF (kN)]],ECF[[#This Row],[R_AV (kN)]],ECF[[#This Row],[R_DC (kN)]])))</f>
        <v>1542.3649132799092</v>
      </c>
      <c r="W237" s="4">
        <f>INDEX(PILARES[],ECF[[#This Row],[idPilar]],MATCH("Carga (kN)",PILARES[#Headers],0))*1.4</f>
        <v>3500</v>
      </c>
      <c r="X237" s="12">
        <f>INDEX(PILARES[],ECF[[#This Row],[idPilar]],MATCH(ECF[[#Headers],[ap (cm)]],PILARES[#Headers],0))</f>
        <v>60</v>
      </c>
      <c r="Y237" s="12">
        <f>INDEX(PILARES[],ECF[[#This Row],[idPilar]],MATCH(ECF[[#Headers],[bp (cm)]],PILARES[#Headers],0))</f>
        <v>60</v>
      </c>
      <c r="Z237" s="4">
        <f>SQRT(ECF[[#This Row],[ap (cm)]]*ECF[[#This Row],[bp (cm)]])</f>
        <v>60</v>
      </c>
      <c r="AA237" s="12">
        <f>ECF[[#This Row],[ap (cm)]]*ECF[[#This Row],[bp (cm)]]</f>
        <v>3600</v>
      </c>
      <c r="AB237" s="12">
        <f ca="1">IF(ECF[[#This Row],[Padm∙ε (kN)]]&gt;=ECF[[#This Row],[Padm (kN)]],ROUNDUP(1.05*ECF[[#This Row],[Nsd (kN)]]/ECF[[#This Row],[Padm (kN)]],0),ROUNDUP(1.05*ECF[[#This Row],[Nsd (kN)]]/ECF[[#This Row],[Padm (kN)]],0)+1)</f>
        <v>3</v>
      </c>
      <c r="AC237" s="4">
        <f ca="1">IFERROR(IF(ECF[[#This Row],[nE]]=1,ECF[[#This Row],[Padm (kN)]],ECF[[#This Row],[Padm (kN)]]*ECF[[#This Row],[nE]]*INDEX(grupoEstacas[],ECF[[#This Row],[nE]],MATCH("ε",grupoEstacas[#Headers],0))),"N.S.")</f>
        <v>4048.7078973597618</v>
      </c>
      <c r="AD237" s="4">
        <f ca="1">1.05*ECF[[#This Row],[Nsd (kN)]]/(ECF[[#This Row],[nE]]*PI()*ECF[[#This Row],[Ø (cm)]]^2/4)*10</f>
        <v>0.48139458095696741</v>
      </c>
      <c r="AE237" s="4">
        <f ca="1">IF(ECF[[#This Row],[σ (MPa)]]&lt;INDEX(tipoEstaca[],MATCH($D$2,tipoEstaca[TIPO DE ESTACA],0),MATCH("σmáx (MPa)",tipoEstaca[#Headers],0)),0.4%*PI()*ECF[[#This Row],[Ø (cm)]]^2/4,"N.S.")</f>
        <v>101.7876019763093</v>
      </c>
      <c r="AF237" s="82">
        <f>INDEX(tipoEstaca[],MATCH($D$2,tipoEstaca[TIPO DE ESTACA],0),MATCH(ECF[[#Headers],[Comprimento (m)]],tipoEstaca[#Headers],0))</f>
        <v>4</v>
      </c>
      <c r="AG237" s="5">
        <f ca="1">ECF[[#This Row],[As,mín (cm²)]]/100^2*ECF[[#This Row],[Comprimento (m)]]*7850</f>
        <v>319.61307020561122</v>
      </c>
      <c r="AH237" s="4">
        <f ca="1">ECF[[#This Row],[nE]]*ECF[[#This Row],[Prof. (m)]]*ECF[[#This Row],[Ap (m²)]]</f>
        <v>61.072561185785588</v>
      </c>
      <c r="AI237" s="82">
        <f ca="1">IF(ECF[[#This Row],[nE]]=1,0,MAX(3*ECF[[#This Row],[Ø (cm)]],60))</f>
        <v>540</v>
      </c>
      <c r="AJ237" s="82">
        <f ca="1">IF(ECF[[#This Row],[nE]]=1,ECF[[#This Row],[Ø (cm)]]+2*10,MAX(1.5*ECF[[#This Row],[Ø (cm)]],ECF[[#This Row],[Ø (cm)]]+15))</f>
        <v>270</v>
      </c>
      <c r="AK237" s="82">
        <f ca="1">alturaUtil(ECF[[#This Row],[nE]],ECF[[#This Row],[Ø (cm)]],ECF[[#This Row],[e (cm)]],ECF[[#This Row],[ap,eq (cm)]])</f>
        <v>255</v>
      </c>
      <c r="AL237" s="82">
        <f ca="1">IFERROR(ECF[[#This Row],[d (cm)]]+arredondarParaCimaMultiplo5cm(MAX(5,SQRT(PI())/2*ECF[[#This Row],[Ø (cm)]]/5)),"N.S.")</f>
        <v>290</v>
      </c>
      <c r="AM237" s="5">
        <f ca="1">alpha(ECF[[#This Row],[nE]],ECF[[#This Row],[d (cm)]],ECF[[#This Row],[e (cm)]],ECF[[#This Row],[ap,eq (cm)]])</f>
        <v>45.339024324451451</v>
      </c>
      <c r="AN237" s="35">
        <f ca="1">IFERROR(ECF[[#This Row],[Nsd (kN)]]/(ECF[[#This Row],[Ap (cm²)]]*SIN(ECF[[#This Row],[α]])^2),"N.S.")</f>
        <v>1.0181722011788354</v>
      </c>
      <c r="AO237" s="35">
        <f ca="1">IFERROR(ECF[[#This Row],[Nsd (kN)]]/(ECF[[#This Row],[nE]]*PI()*ECF[[#This Row],[Ø (cm)]]^2/4*SIN(ECF[[#This Row],[α]])^2),"N.S.")</f>
        <v>4.8013967032997734E-2</v>
      </c>
      <c r="AP237" s="4">
        <f ca="1">IFERROR(INDEX(grupoEstacas[],ECF[[#This Row],[nE]],MATCH("coef. Blévot",grupoEstacas[#Headers],0)),"N.S.")</f>
        <v>1.75</v>
      </c>
      <c r="AQ237" s="35">
        <f ca="1">IFERROR(ECF[[#This Row],[coef. Blévot]]*0.9*INDEX(tipoEstaca[],MATCH($D$2,tipoEstaca[TIPO DE ESTACA],0),MATCH("fcd (kN/cm²)",tipoEstaca[#Headers],0)),"N.S.")</f>
        <v>1.75</v>
      </c>
      <c r="AR237" s="82" t="str">
        <f ca="1">IF(AND(ECF[[#This Row],[cd,b,pil (kN/cm²)]]&lt;=ECF[[#This Row],[cd,b,lim (kN/cm²)]],ECF[[#This Row],[cd,b,est (kN/cm²)]]&lt;=ECF[[#This Row],[cd,b,lim (kN/cm²)]]),"OK","ERRO")</f>
        <v>OK</v>
      </c>
      <c r="AS237" s="4">
        <f ca="1">As_lado(ECF[[#This Row],[nE]],ECF[[#This Row],[Nsd (kN)]],ECF[[#This Row],[d (cm)]],ECF[[#This Row],[e (cm)]],ECF[[#This Row],[ap,eq (cm)]])</f>
        <v>17.847607137181996</v>
      </c>
      <c r="AT237" s="4" t="str">
        <f ca="1">IF(ECF[[#This Row],[nE]]=1,ECF[[#This Row],[As,lado (cm²)]],IF(ECF[[#This Row],[nE]]=2,0.075*2*ECF[a (cm)],"N.A."))</f>
        <v>N.A.</v>
      </c>
      <c r="AU237" s="4">
        <f ca="1">IFERROR(IF(ECF[[#This Row],[nE]]=1,"N.A.",0.2*ECF[[#This Row],[As,lado (cm²)]]),"N.S.")</f>
        <v>3.5695214274363991</v>
      </c>
      <c r="AV237" s="4">
        <f ca="1">As_malha(ECF[[#This Row],[nE]],ECF[[#This Row],[As,lado (cm²)]],ECF[[#This Row],[Nsd (kN)]])</f>
        <v>5.9629629629629619</v>
      </c>
      <c r="AW237" s="4">
        <f ca="1">As_susp_tot(ECF[[#This Row],[nE]],ECF[[#This Row],[Nsd (kN)]])</f>
        <v>17.888888888888886</v>
      </c>
      <c r="AX237" s="4">
        <f ca="1">Asp_face(ECF[[#This Row],[nE]],ECF[[#This Row],[As,lado (cm²)]])</f>
        <v>6.6928526764432483</v>
      </c>
      <c r="AY237" s="5">
        <f ca="1">acoBloco(ECF[[#This Row],[nE]],ECF[[#This Row],[e (cm)]],ECF[[#This Row],[a (cm)]],ECF[[#This Row],[h (cm)]],ECF[[#This Row],[As,lado (cm²)]],ECF[[#This Row],[Asp e Asw (cm²/m)]],ECF[[#This Row],[As,sup (cm²)]],ECF[[#This Row],[As,malha (cm²)]],ECF[[#This Row],[As,susp,tot (cm²)]],ECF[[#This Row],[Asp,face (cm²)]])</f>
        <v>953.39769691459355</v>
      </c>
      <c r="AZ237" s="4">
        <f ca="1">concretoBloco(ECF[[#This Row],[nE]],ECF[[#This Row],[e (cm)]],ECF[[#This Row],[a (cm)]],ECF[[#This Row],[h (cm)]])</f>
        <v>236.69785836844088</v>
      </c>
      <c r="BA237" s="5">
        <f ca="1">SUM(ECF[[#This Row],[Aço Est (kg)]],ECF[[#This Row],[Aço Bloco (kg)]])</f>
        <v>1273.0107671202047</v>
      </c>
      <c r="BB237" s="4">
        <f>INDEX(composicoes[],MATCH(95580,composicoes[CÓDIGO],0),MATCH("CUSTO TOTAL",composicoes[#Headers],0))</f>
        <v>10.46</v>
      </c>
      <c r="BC237" s="4">
        <f ca="1">SUM(ECF[[#This Row],[Conc Est (m³)]],ECF[[#This Row],[Conc Bloco (m³)]])</f>
        <v>297.77041955422646</v>
      </c>
      <c r="BD237" s="4">
        <f>INDEX(composicoes[],MATCH(94966,composicoes[CÓDIGO],0),MATCH("CUSTO TOTAL",composicoes[#Headers],0))</f>
        <v>439.52</v>
      </c>
      <c r="BE237" s="38">
        <f ca="1">ECF[[#This Row],[Aço (kg)]]*ECF[[#This Row],[Aço (R$/kg)]]+ECF[[#This Row],[Conc (m³)]]*ECF[[#This Row],[Conc (R$/m³)]]</f>
        <v>144191.74742655095</v>
      </c>
      <c r="BF237" s="4" t="str">
        <f ca="1">IF(COUNTIF(ECF[#This Row],"N.S.")&gt;0,"lim.","OK")</f>
        <v>OK</v>
      </c>
      <c r="BG237" s="4" t="str">
        <f>IF(ECF[[#This Row],[Prof. (m)]]&lt;4,"lim.","OK")</f>
        <v>OK</v>
      </c>
      <c r="BH237" s="4" t="str">
        <f>IF(ECF[[#This Row],[Prof. (m)]]&gt;=8*ECF[[#This Row],[Ø (cm)]]/100,"OK","lim.")</f>
        <v>lim.</v>
      </c>
      <c r="BI237" s="4" t="str">
        <f>IF(AND(SPT!$F$3&lt;&gt;"",ECF[[#This Row],[Prof. (m)]]&gt;=SPT!$F$3-2),"lim.","OK")</f>
        <v>OK</v>
      </c>
      <c r="BJ237" s="4" t="str">
        <f ca="1">IF(ECF[[#This Row],[Verif. Biela]]="OK","OK","lim.")</f>
        <v>OK</v>
      </c>
      <c r="BK237" s="4" t="str">
        <f ca="1">IF(COUNTA(ECF[[#This Row],[Nº Est.]:[Biela comp.]])=COUNTIF(ECF[[#This Row],[Nº Est.]:[Biela comp.]],"OK"),"OK","lim.")</f>
        <v>lim.</v>
      </c>
      <c r="BL237" s="4" t="str">
        <f ca="1">IF(ECF[[#This Row],[Controle]]="OK",ECF[[#This Row],[nE]]&amp;" Ø "&amp;ECF[[#This Row],[Ø (cm)]]&amp;" cm, Prof. "&amp;ECF[[#This Row],[Prof. (m)]]&amp;" m","")</f>
        <v/>
      </c>
      <c r="BM237" s="4" t="str">
        <f ca="1">IF(ECF[[#This Row],[idDimensionamento]]="","",ECF[[#This Row],[idPilar]]&amp;ECF[[#This Row],[idDimensionamento]])</f>
        <v/>
      </c>
    </row>
    <row r="238" spans="2:65" x14ac:dyDescent="0.25">
      <c r="B238" s="12">
        <f>ROUNDUP((ROW(ECF[[#This Row],[idDiâmetro]])-ROW(ECF[[#Headers],[idDiâmetro]]))/(COUNT(SPT[Prof. (m)])*COUNT(PILARES[Pilar])),0)</f>
        <v>9</v>
      </c>
      <c r="C238" s="12">
        <f>IF(ECF[[#This Row],[idDiâmetro]]&lt;&gt;B237,1,IF(ECF[[#This Row],[Prof. (m)]]=0,C237+1,C237))</f>
        <v>1</v>
      </c>
      <c r="D238" s="82">
        <f>IFERROR(IF(D237=MAX(SPT[Prof. (m)]),0,D237+1),0)</f>
        <v>9</v>
      </c>
      <c r="E238" s="82">
        <f>INDEX(SPT[],MATCH(ECF[[#This Row],[Prof. (m)]],SPT[Prof. (m)],0),2)</f>
        <v>26</v>
      </c>
      <c r="F238" s="82" t="str">
        <f>INDEX(SPT[],MATCH(ECF[[#This Row],[Prof. (m)]],SPT[Prof. (m)],0),3)</f>
        <v>Areia siltosa</v>
      </c>
      <c r="G238" s="82">
        <f>INDEX(estacas[],ECF[[#This Row],[idDiâmetro]],MATCH($B$2,estacas[#Headers],0))</f>
        <v>180</v>
      </c>
      <c r="H238" s="82">
        <f>INDEX(estacas[],MATCH(ECF[[#This Row],[Ø (cm)]],estacas[Ø ECF (cm)],0),MATCH(ECF[[#Headers],[Pe ECF (kN)]],estacas[#Headers],0))</f>
        <v>10100</v>
      </c>
      <c r="I238" s="4">
        <f>INDEX(K_alpha_C[],MATCH(ECF[[#This Row],[Solo]],K_alpha_C[Solo],0),2)</f>
        <v>0.8</v>
      </c>
      <c r="J238" s="5">
        <f>INDEX(K_alpha_C[],MATCH(ECF[[#This Row],[Solo]],K_alpha_C[Solo],0),3)</f>
        <v>2</v>
      </c>
      <c r="K238" s="4">
        <f>INDEX(F1_F2[],MATCH($D$2,F1_F2[Tipo de estaca],0),2)</f>
        <v>3</v>
      </c>
      <c r="L238" s="4">
        <f>INDEX(F1_F2[],MATCH($D$2,F1_F2[Tipo de estaca],0),3)</f>
        <v>6</v>
      </c>
      <c r="M238" s="4">
        <f>PI()*(ECF[[#This Row],[Ø (cm)]]/100)^2/4</f>
        <v>2.5446900494077327</v>
      </c>
      <c r="N238" s="4">
        <f>PI()*ECF[[#This Row],[Ø (cm)]]/100</f>
        <v>5.6548667764616276</v>
      </c>
      <c r="O238" s="4">
        <f>IF(ECF[[#This Row],[Prof. (m)]]=0,0,ECF[[#This Row],[α (%)]]/100*ECF[[#This Row],[K (MPa)]]*1000*ECF[[#This Row],[NSPT]])</f>
        <v>416</v>
      </c>
      <c r="P238" s="4">
        <f>IF(ECF[[#This Row],[Prof. (m)]]=0,0,(ECF[[#This Row],[K (MPa)]]*1000*ECF[[#This Row],[NSPT]]/ECF[[#This Row],[F1]]*ECF[[#This Row],[Ap (m²)]]+ECF[[#This Row],[U (m)]]/ECF[[#This Row],[F2]]*SUMIFS(ECF[(α∙K∙NL∙ΔL)],ECF[Prof. (m)],"&lt;="&amp;ECF[[#This Row],[Prof. (m)]],ECF[idDiâmetro],ECF[[#This Row],[idDiâmetro]],ECF[idPilar],ECF[[#This Row],[idPilar]]))/'DADOS CAP. CARGA'!$D$2)</f>
        <v>9488.8193270128068</v>
      </c>
      <c r="Q238" s="12">
        <f>INDEX(C_alpha_beta[],MATCH(ECF[[#This Row],[Solo]],C_alpha_beta[Solo],0),MATCH(ECF[[#Headers],[C (kPa)]],C_alpha_beta[#Headers],0))</f>
        <v>400</v>
      </c>
      <c r="R238" s="4">
        <f>INDEX(C_alpha_beta[],MATCH(ECF[[#This Row],[Solo]],C_alpha_beta[Solo],0),MATCH(ECF[[#Headers],[α ESF]],C_alpha_beta[#Headers],0))</f>
        <v>0.5</v>
      </c>
      <c r="S238" s="4">
        <f>INDEX(C_alpha_beta[],MATCH(ECF[[#This Row],[Solo]],C_alpha_beta[Solo],0),MATCH(ECF[[#Headers],[β ESF]],C_alpha_beta[#Headers],0))</f>
        <v>0.5</v>
      </c>
      <c r="T238" s="4">
        <f>IF(ECF[[#This Row],[Prof. (m)]]=0,0,10*(ECF[[#This Row],[NSPT]]/3+1))</f>
        <v>96.666666666666657</v>
      </c>
      <c r="U238" s="4">
        <f>(ECF[[#This Row],[α ESF]]*ECF[[#This Row],[C (kPa)]]*ECF[[#This Row],[NSPT]]*ECF[[#This Row],[Ap (m²)]])/'DADOS CAP. CARGA'!$Q$2+(ECF[[#This Row],[β ESF]]*SUMIFS(ECF[10∙(NL/3+1)],ECF[Prof. (m)],"&lt;="&amp;ECF[[#This Row],[Prof. (m)]],ECF[idDiâmetro],ECF[[#This Row],[idDiâmetro]],ECF[idPilar],ECF[[#This Row],[idPilar]])*ECF[[#This Row],[U (m)]])/'DADOS CAP. CARGA'!$S$2</f>
        <v>3897.145686778139</v>
      </c>
      <c r="V238" s="4">
        <f>IF(SPT!$M$5=1,MIN(ECF[[#This Row],[Pe ECF (kN)]],ECF[[#This Row],[R_AV (kN)]]),IF(SPT!$M$5=2,MIN(ECF[[#This Row],[Pe ECF (kN)]],ECF[[#This Row],[R_DC (kN)]]),MIN(ECF[[#This Row],[Pe ECF (kN)]],ECF[[#This Row],[R_AV (kN)]],ECF[[#This Row],[R_DC (kN)]])))</f>
        <v>3897.145686778139</v>
      </c>
      <c r="W238" s="4">
        <f>INDEX(PILARES[],ECF[[#This Row],[idPilar]],MATCH("Carga (kN)",PILARES[#Headers],0))*1.4</f>
        <v>3500</v>
      </c>
      <c r="X238" s="12">
        <f>INDEX(PILARES[],ECF[[#This Row],[idPilar]],MATCH(ECF[[#Headers],[ap (cm)]],PILARES[#Headers],0))</f>
        <v>60</v>
      </c>
      <c r="Y238" s="12">
        <f>INDEX(PILARES[],ECF[[#This Row],[idPilar]],MATCH(ECF[[#Headers],[bp (cm)]],PILARES[#Headers],0))</f>
        <v>60</v>
      </c>
      <c r="Z238" s="4">
        <f>SQRT(ECF[[#This Row],[ap (cm)]]*ECF[[#This Row],[bp (cm)]])</f>
        <v>60</v>
      </c>
      <c r="AA238" s="12">
        <f>ECF[[#This Row],[ap (cm)]]*ECF[[#This Row],[bp (cm)]]</f>
        <v>3600</v>
      </c>
      <c r="AB238" s="12">
        <f ca="1">IF(ECF[[#This Row],[Padm∙ε (kN)]]&gt;=ECF[[#This Row],[Padm (kN)]],ROUNDUP(1.05*ECF[[#This Row],[Nsd (kN)]]/ECF[[#This Row],[Padm (kN)]],0),ROUNDUP(1.05*ECF[[#This Row],[Nsd (kN)]]/ECF[[#This Row],[Padm (kN)]],0)+1)</f>
        <v>1</v>
      </c>
      <c r="AC238" s="4">
        <f ca="1">IFERROR(IF(ECF[[#This Row],[nE]]=1,ECF[[#This Row],[Padm (kN)]],ECF[[#This Row],[Padm (kN)]]*ECF[[#This Row],[nE]]*INDEX(grupoEstacas[],ECF[[#This Row],[nE]],MATCH("ε",grupoEstacas[#Headers],0))),"N.S.")</f>
        <v>3897.145686778139</v>
      </c>
      <c r="AD238" s="4">
        <f ca="1">1.05*ECF[[#This Row],[Nsd (kN)]]/(ECF[[#This Row],[nE]]*PI()*ECF[[#This Row],[Ø (cm)]]^2/4)*10</f>
        <v>1.4441837428709023</v>
      </c>
      <c r="AE238" s="4">
        <f ca="1">IF(ECF[[#This Row],[σ (MPa)]]&lt;INDEX(tipoEstaca[],MATCH($D$2,tipoEstaca[TIPO DE ESTACA],0),MATCH("σmáx (MPa)",tipoEstaca[#Headers],0)),0.4%*PI()*ECF[[#This Row],[Ø (cm)]]^2/4,"N.S.")</f>
        <v>101.7876019763093</v>
      </c>
      <c r="AF238" s="82">
        <f>INDEX(tipoEstaca[],MATCH($D$2,tipoEstaca[TIPO DE ESTACA],0),MATCH(ECF[[#Headers],[Comprimento (m)]],tipoEstaca[#Headers],0))</f>
        <v>4</v>
      </c>
      <c r="AG238" s="5">
        <f ca="1">ECF[[#This Row],[As,mín (cm²)]]/100^2*ECF[[#This Row],[Comprimento (m)]]*7850</f>
        <v>319.61307020561122</v>
      </c>
      <c r="AH238" s="4">
        <f ca="1">ECF[[#This Row],[nE]]*ECF[[#This Row],[Prof. (m)]]*ECF[[#This Row],[Ap (m²)]]</f>
        <v>22.902210444669596</v>
      </c>
      <c r="AI238" s="82">
        <f ca="1">IF(ECF[[#This Row],[nE]]=1,0,MAX(3*ECF[[#This Row],[Ø (cm)]],60))</f>
        <v>0</v>
      </c>
      <c r="AJ238" s="82">
        <f ca="1">IF(ECF[[#This Row],[nE]]=1,ECF[[#This Row],[Ø (cm)]]+2*10,MAX(1.5*ECF[[#This Row],[Ø (cm)]],ECF[[#This Row],[Ø (cm)]]+15))</f>
        <v>200</v>
      </c>
      <c r="AK238" s="82">
        <f ca="1">alturaUtil(ECF[[#This Row],[nE]],ECF[[#This Row],[Ø (cm)]],ECF[[#This Row],[e (cm)]],ECF[[#This Row],[ap,eq (cm)]])</f>
        <v>220</v>
      </c>
      <c r="AL238" s="82">
        <f ca="1">IFERROR(ECF[[#This Row],[d (cm)]]+arredondarParaCimaMultiplo5cm(MAX(5,SQRT(PI())/2*ECF[[#This Row],[Ø (cm)]]/5)),"N.S.")</f>
        <v>255</v>
      </c>
      <c r="AM238" s="5">
        <f ca="1">alpha(ECF[[#This Row],[nE]],ECF[[#This Row],[d (cm)]],ECF[[#This Row],[e (cm)]],ECF[[#This Row],[ap,eq (cm)]])</f>
        <v>90</v>
      </c>
      <c r="AN238" s="35">
        <f ca="1">IFERROR(ECF[[#This Row],[Nsd (kN)]]/(ECF[[#This Row],[Ap (cm²)]]*SIN(ECF[[#This Row],[α]])^2),"N.S.")</f>
        <v>1.2164485570105679</v>
      </c>
      <c r="AO238" s="35">
        <f ca="1">IFERROR(ECF[[#This Row],[Nsd (kN)]]/(ECF[[#This Row],[nE]]*PI()*ECF[[#This Row],[Ø (cm)]]^2/4*SIN(ECF[[#This Row],[α]])^2),"N.S.")</f>
        <v>0.17209226743576458</v>
      </c>
      <c r="AP238" s="4">
        <f ca="1">IFERROR(INDEX(grupoEstacas[],ECF[[#This Row],[nE]],MATCH("coef. Blévot",grupoEstacas[#Headers],0)),"N.S.")</f>
        <v>1</v>
      </c>
      <c r="AQ238" s="35">
        <f ca="1">IFERROR(ECF[[#This Row],[coef. Blévot]]*0.9*INDEX(tipoEstaca[],MATCH($D$2,tipoEstaca[TIPO DE ESTACA],0),MATCH("fcd (kN/cm²)",tipoEstaca[#Headers],0)),"N.S.")</f>
        <v>1</v>
      </c>
      <c r="AR238" s="82" t="str">
        <f ca="1">IF(AND(ECF[[#This Row],[cd,b,pil (kN/cm²)]]&lt;=ECF[[#This Row],[cd,b,lim (kN/cm²)]],ECF[[#This Row],[cd,b,est (kN/cm²)]]&lt;=ECF[[#This Row],[cd,b,lim (kN/cm²)]]),"OK","ERRO")</f>
        <v>ERRO</v>
      </c>
      <c r="AS238" s="4">
        <f ca="1">As_lado(ECF[[#This Row],[nE]],ECF[[#This Row],[Nsd (kN)]],ECF[[#This Row],[d (cm)]],ECF[[#This Row],[e (cm)]],ECF[[#This Row],[ap,eq (cm)]])</f>
        <v>20.125</v>
      </c>
      <c r="AT238" s="4">
        <f ca="1">IF(ECF[[#This Row],[nE]]=1,ECF[[#This Row],[As,lado (cm²)]],IF(ECF[[#This Row],[nE]]=2,0.075*2*ECF[a (cm)],"N.A."))</f>
        <v>20.125</v>
      </c>
      <c r="AU238" s="4" t="str">
        <f ca="1">IFERROR(IF(ECF[[#This Row],[nE]]=1,"N.A.",0.2*ECF[[#This Row],[As,lado (cm²)]]),"N.S.")</f>
        <v>N.A.</v>
      </c>
      <c r="AV238" s="4" t="str">
        <f ca="1">As_malha(ECF[[#This Row],[nE]],ECF[[#This Row],[As,lado (cm²)]],ECF[[#This Row],[Nsd (kN)]])</f>
        <v>N.A.</v>
      </c>
      <c r="AW238" s="4" t="str">
        <f ca="1">As_susp_tot(ECF[[#This Row],[nE]],ECF[[#This Row],[Nsd (kN)]])</f>
        <v>N.A.</v>
      </c>
      <c r="AX238" s="4" t="str">
        <f ca="1">Asp_face(ECF[[#This Row],[nE]],ECF[[#This Row],[As,lado (cm²)]])</f>
        <v>N.A.</v>
      </c>
      <c r="AY238" s="5">
        <f ca="1">acoBloco(ECF[[#This Row],[nE]],ECF[[#This Row],[e (cm)]],ECF[[#This Row],[a (cm)]],ECF[[#This Row],[h (cm)]],ECF[[#This Row],[As,lado (cm²)]],ECF[[#This Row],[Asp e Asw (cm²/m)]],ECF[[#This Row],[As,sup (cm²)]],ECF[[#This Row],[As,malha (cm²)]],ECF[[#This Row],[As,susp,tot (cm²)]],ECF[[#This Row],[Asp,face (cm²)]])</f>
        <v>413.91087499999998</v>
      </c>
      <c r="AZ238" s="4">
        <f ca="1">concretoBloco(ECF[[#This Row],[nE]],ECF[[#This Row],[e (cm)]],ECF[[#This Row],[a (cm)]],ECF[[#This Row],[h (cm)]])</f>
        <v>10.199999999999999</v>
      </c>
      <c r="BA238" s="5">
        <f ca="1">SUM(ECF[[#This Row],[Aço Est (kg)]],ECF[[#This Row],[Aço Bloco (kg)]])</f>
        <v>733.5239452056112</v>
      </c>
      <c r="BB238" s="4">
        <f>INDEX(composicoes[],MATCH(95580,composicoes[CÓDIGO],0),MATCH("CUSTO TOTAL",composicoes[#Headers],0))</f>
        <v>10.46</v>
      </c>
      <c r="BC238" s="4">
        <f ca="1">SUM(ECF[[#This Row],[Conc Est (m³)]],ECF[[#This Row],[Conc Bloco (m³)]])</f>
        <v>33.102210444669595</v>
      </c>
      <c r="BD238" s="4">
        <f>INDEX(composicoes[],MATCH(94966,composicoes[CÓDIGO],0),MATCH("CUSTO TOTAL",composicoes[#Headers],0))</f>
        <v>439.52</v>
      </c>
      <c r="BE238" s="38">
        <f ca="1">ECF[[#This Row],[Aço (kg)]]*ECF[[#This Row],[Aço (R$/kg)]]+ECF[[#This Row],[Conc (m³)]]*ECF[[#This Row],[Conc (R$/m³)]]</f>
        <v>22221.744001491876</v>
      </c>
      <c r="BF238" s="4" t="str">
        <f ca="1">IF(COUNTIF(ECF[#This Row],"N.S.")&gt;0,"lim.","OK")</f>
        <v>OK</v>
      </c>
      <c r="BG238" s="4" t="str">
        <f>IF(ECF[[#This Row],[Prof. (m)]]&lt;4,"lim.","OK")</f>
        <v>OK</v>
      </c>
      <c r="BH238" s="4" t="str">
        <f>IF(ECF[[#This Row],[Prof. (m)]]&gt;=8*ECF[[#This Row],[Ø (cm)]]/100,"OK","lim.")</f>
        <v>lim.</v>
      </c>
      <c r="BI238" s="4" t="str">
        <f>IF(AND(SPT!$F$3&lt;&gt;"",ECF[[#This Row],[Prof. (m)]]&gt;=SPT!$F$3-2),"lim.","OK")</f>
        <v>OK</v>
      </c>
      <c r="BJ238" s="4" t="str">
        <f ca="1">IF(ECF[[#This Row],[Verif. Biela]]="OK","OK","lim.")</f>
        <v>lim.</v>
      </c>
      <c r="BK238" s="4" t="str">
        <f ca="1">IF(COUNTA(ECF[[#This Row],[Nº Est.]:[Biela comp.]])=COUNTIF(ECF[[#This Row],[Nº Est.]:[Biela comp.]],"OK"),"OK","lim.")</f>
        <v>lim.</v>
      </c>
      <c r="BL238" s="4" t="str">
        <f ca="1">IF(ECF[[#This Row],[Controle]]="OK",ECF[[#This Row],[nE]]&amp;" Ø "&amp;ECF[[#This Row],[Ø (cm)]]&amp;" cm, Prof. "&amp;ECF[[#This Row],[Prof. (m)]]&amp;" m","")</f>
        <v/>
      </c>
      <c r="BM238" s="4" t="str">
        <f ca="1">IF(ECF[[#This Row],[idDimensionamento]]="","",ECF[[#This Row],[idPilar]]&amp;ECF[[#This Row],[idDimensionamento]])</f>
        <v/>
      </c>
    </row>
    <row r="239" spans="2:65" x14ac:dyDescent="0.25">
      <c r="B239" s="12">
        <f>ROUNDUP((ROW(ECF[[#This Row],[idDiâmetro]])-ROW(ECF[[#Headers],[idDiâmetro]]))/(COUNT(SPT[Prof. (m)])*COUNT(PILARES[Pilar])),0)</f>
        <v>9</v>
      </c>
      <c r="C239" s="12">
        <f>IF(ECF[[#This Row],[idDiâmetro]]&lt;&gt;B238,1,IF(ECF[[#This Row],[Prof. (m)]]=0,C238+1,C238))</f>
        <v>1</v>
      </c>
      <c r="D239" s="82">
        <f>IFERROR(IF(D238=MAX(SPT[Prof. (m)]),0,D238+1),0)</f>
        <v>10</v>
      </c>
      <c r="E239" s="82">
        <f>INDEX(SPT[],MATCH(ECF[[#This Row],[Prof. (m)]],SPT[Prof. (m)],0),2)</f>
        <v>32</v>
      </c>
      <c r="F239" s="82" t="str">
        <f>INDEX(SPT[],MATCH(ECF[[#This Row],[Prof. (m)]],SPT[Prof. (m)],0),3)</f>
        <v>Areia siltosa</v>
      </c>
      <c r="G239" s="82">
        <f>INDEX(estacas[],ECF[[#This Row],[idDiâmetro]],MATCH($B$2,estacas[#Headers],0))</f>
        <v>180</v>
      </c>
      <c r="H239" s="82">
        <f>INDEX(estacas[],MATCH(ECF[[#This Row],[Ø (cm)]],estacas[Ø ECF (cm)],0),MATCH(ECF[[#Headers],[Pe ECF (kN)]],estacas[#Headers],0))</f>
        <v>10100</v>
      </c>
      <c r="I239" s="4">
        <f>INDEX(K_alpha_C[],MATCH(ECF[[#This Row],[Solo]],K_alpha_C[Solo],0),2)</f>
        <v>0.8</v>
      </c>
      <c r="J239" s="5">
        <f>INDEX(K_alpha_C[],MATCH(ECF[[#This Row],[Solo]],K_alpha_C[Solo],0),3)</f>
        <v>2</v>
      </c>
      <c r="K239" s="4">
        <f>INDEX(F1_F2[],MATCH($D$2,F1_F2[Tipo de estaca],0),2)</f>
        <v>3</v>
      </c>
      <c r="L239" s="4">
        <f>INDEX(F1_F2[],MATCH($D$2,F1_F2[Tipo de estaca],0),3)</f>
        <v>6</v>
      </c>
      <c r="M239" s="4">
        <f>PI()*(ECF[[#This Row],[Ø (cm)]]/100)^2/4</f>
        <v>2.5446900494077327</v>
      </c>
      <c r="N239" s="4">
        <f>PI()*ECF[[#This Row],[Ø (cm)]]/100</f>
        <v>5.6548667764616276</v>
      </c>
      <c r="O239" s="4">
        <f>IF(ECF[[#This Row],[Prof. (m)]]=0,0,ECF[[#This Row],[α (%)]]/100*ECF[[#This Row],[K (MPa)]]*1000*ECF[[#This Row],[NSPT]])</f>
        <v>512</v>
      </c>
      <c r="P239" s="4">
        <f>IF(ECF[[#This Row],[Prof. (m)]]=0,0,(ECF[[#This Row],[K (MPa)]]*1000*ECF[[#This Row],[NSPT]]/ECF[[#This Row],[F1]]*ECF[[#This Row],[Ap (m²)]]+ECF[[#This Row],[U (m)]]/ECF[[#This Row],[F2]]*SUMIFS(ECF[(α∙K∙NL∙ΔL)],ECF[Prof. (m)],"&lt;="&amp;ECF[[#This Row],[Prof. (m)]],ECF[idDiâmetro],ECF[[#This Row],[idDiâmetro]],ECF[idPilar],ECF[[#This Row],[idPilar]]))/'DADOS CAP. CARGA'!$D$2)</f>
        <v>11765.845682334691</v>
      </c>
      <c r="Q239" s="12">
        <f>INDEX(C_alpha_beta[],MATCH(ECF[[#This Row],[Solo]],C_alpha_beta[Solo],0),MATCH(ECF[[#Headers],[C (kPa)]],C_alpha_beta[#Headers],0))</f>
        <v>400</v>
      </c>
      <c r="R239" s="4">
        <f>INDEX(C_alpha_beta[],MATCH(ECF[[#This Row],[Solo]],C_alpha_beta[Solo],0),MATCH(ECF[[#Headers],[α ESF]],C_alpha_beta[#Headers],0))</f>
        <v>0.5</v>
      </c>
      <c r="S239" s="4">
        <f>INDEX(C_alpha_beta[],MATCH(ECF[[#This Row],[Solo]],C_alpha_beta[Solo],0),MATCH(ECF[[#Headers],[β ESF]],C_alpha_beta[#Headers],0))</f>
        <v>0.5</v>
      </c>
      <c r="T239" s="4">
        <f>IF(ECF[[#This Row],[Prof. (m)]]=0,0,10*(ECF[[#This Row],[NSPT]]/3+1))</f>
        <v>116.66666666666666</v>
      </c>
      <c r="U239" s="4">
        <f>(ECF[[#This Row],[α ESF]]*ECF[[#This Row],[C (kPa)]]*ECF[[#This Row],[NSPT]]*ECF[[#This Row],[Ap (m²)]])/'DADOS CAP. CARGA'!$Q$2+(ECF[[#This Row],[β ESF]]*SUMIFS(ECF[10∙(NL/3+1)],ECF[Prof. (m)],"&lt;="&amp;ECF[[#This Row],[Prof. (m)]],ECF[idDiâmetro],ECF[[#This Row],[idDiâmetro]],ECF[idPilar],ECF[[#This Row],[idPilar]])*ECF[[#This Row],[U (m)]])/'DADOS CAP. CARGA'!$S$2</f>
        <v>4825.4863159139222</v>
      </c>
      <c r="V239" s="4">
        <f>IF(SPT!$M$5=1,MIN(ECF[[#This Row],[Pe ECF (kN)]],ECF[[#This Row],[R_AV (kN)]]),IF(SPT!$M$5=2,MIN(ECF[[#This Row],[Pe ECF (kN)]],ECF[[#This Row],[R_DC (kN)]]),MIN(ECF[[#This Row],[Pe ECF (kN)]],ECF[[#This Row],[R_AV (kN)]],ECF[[#This Row],[R_DC (kN)]])))</f>
        <v>4825.4863159139222</v>
      </c>
      <c r="W239" s="4">
        <f>INDEX(PILARES[],ECF[[#This Row],[idPilar]],MATCH("Carga (kN)",PILARES[#Headers],0))*1.4</f>
        <v>3500</v>
      </c>
      <c r="X239" s="12">
        <f>INDEX(PILARES[],ECF[[#This Row],[idPilar]],MATCH(ECF[[#Headers],[ap (cm)]],PILARES[#Headers],0))</f>
        <v>60</v>
      </c>
      <c r="Y239" s="12">
        <f>INDEX(PILARES[],ECF[[#This Row],[idPilar]],MATCH(ECF[[#Headers],[bp (cm)]],PILARES[#Headers],0))</f>
        <v>60</v>
      </c>
      <c r="Z239" s="4">
        <f>SQRT(ECF[[#This Row],[ap (cm)]]*ECF[[#This Row],[bp (cm)]])</f>
        <v>60</v>
      </c>
      <c r="AA239" s="12">
        <f>ECF[[#This Row],[ap (cm)]]*ECF[[#This Row],[bp (cm)]]</f>
        <v>3600</v>
      </c>
      <c r="AB239" s="12">
        <f ca="1">IF(ECF[[#This Row],[Padm∙ε (kN)]]&gt;=ECF[[#This Row],[Padm (kN)]],ROUNDUP(1.05*ECF[[#This Row],[Nsd (kN)]]/ECF[[#This Row],[Padm (kN)]],0),ROUNDUP(1.05*ECF[[#This Row],[Nsd (kN)]]/ECF[[#This Row],[Padm (kN)]],0)+1)</f>
        <v>1</v>
      </c>
      <c r="AC239" s="4">
        <f ca="1">IFERROR(IF(ECF[[#This Row],[nE]]=1,ECF[[#This Row],[Padm (kN)]],ECF[[#This Row],[Padm (kN)]]*ECF[[#This Row],[nE]]*INDEX(grupoEstacas[],ECF[[#This Row],[nE]],MATCH("ε",grupoEstacas[#Headers],0))),"N.S.")</f>
        <v>4825.4863159139222</v>
      </c>
      <c r="AD239" s="4">
        <f ca="1">1.05*ECF[[#This Row],[Nsd (kN)]]/(ECF[[#This Row],[nE]]*PI()*ECF[[#This Row],[Ø (cm)]]^2/4)*10</f>
        <v>1.4441837428709023</v>
      </c>
      <c r="AE239" s="4">
        <f ca="1">IF(ECF[[#This Row],[σ (MPa)]]&lt;INDEX(tipoEstaca[],MATCH($D$2,tipoEstaca[TIPO DE ESTACA],0),MATCH("σmáx (MPa)",tipoEstaca[#Headers],0)),0.4%*PI()*ECF[[#This Row],[Ø (cm)]]^2/4,"N.S.")</f>
        <v>101.7876019763093</v>
      </c>
      <c r="AF239" s="82">
        <f>INDEX(tipoEstaca[],MATCH($D$2,tipoEstaca[TIPO DE ESTACA],0),MATCH(ECF[[#Headers],[Comprimento (m)]],tipoEstaca[#Headers],0))</f>
        <v>4</v>
      </c>
      <c r="AG239" s="5">
        <f ca="1">ECF[[#This Row],[As,mín (cm²)]]/100^2*ECF[[#This Row],[Comprimento (m)]]*7850</f>
        <v>319.61307020561122</v>
      </c>
      <c r="AH239" s="4">
        <f ca="1">ECF[[#This Row],[nE]]*ECF[[#This Row],[Prof. (m)]]*ECF[[#This Row],[Ap (m²)]]</f>
        <v>25.446900494077326</v>
      </c>
      <c r="AI239" s="82">
        <f ca="1">IF(ECF[[#This Row],[nE]]=1,0,MAX(3*ECF[[#This Row],[Ø (cm)]],60))</f>
        <v>0</v>
      </c>
      <c r="AJ239" s="82">
        <f ca="1">IF(ECF[[#This Row],[nE]]=1,ECF[[#This Row],[Ø (cm)]]+2*10,MAX(1.5*ECF[[#This Row],[Ø (cm)]],ECF[[#This Row],[Ø (cm)]]+15))</f>
        <v>200</v>
      </c>
      <c r="AK239" s="82">
        <f ca="1">alturaUtil(ECF[[#This Row],[nE]],ECF[[#This Row],[Ø (cm)]],ECF[[#This Row],[e (cm)]],ECF[[#This Row],[ap,eq (cm)]])</f>
        <v>220</v>
      </c>
      <c r="AL239" s="82">
        <f ca="1">IFERROR(ECF[[#This Row],[d (cm)]]+arredondarParaCimaMultiplo5cm(MAX(5,SQRT(PI())/2*ECF[[#This Row],[Ø (cm)]]/5)),"N.S.")</f>
        <v>255</v>
      </c>
      <c r="AM239" s="5">
        <f ca="1">alpha(ECF[[#This Row],[nE]],ECF[[#This Row],[d (cm)]],ECF[[#This Row],[e (cm)]],ECF[[#This Row],[ap,eq (cm)]])</f>
        <v>90</v>
      </c>
      <c r="AN239" s="35">
        <f ca="1">IFERROR(ECF[[#This Row],[Nsd (kN)]]/(ECF[[#This Row],[Ap (cm²)]]*SIN(ECF[[#This Row],[α]])^2),"N.S.")</f>
        <v>1.2164485570105679</v>
      </c>
      <c r="AO239" s="35">
        <f ca="1">IFERROR(ECF[[#This Row],[Nsd (kN)]]/(ECF[[#This Row],[nE]]*PI()*ECF[[#This Row],[Ø (cm)]]^2/4*SIN(ECF[[#This Row],[α]])^2),"N.S.")</f>
        <v>0.17209226743576458</v>
      </c>
      <c r="AP239" s="4">
        <f ca="1">IFERROR(INDEX(grupoEstacas[],ECF[[#This Row],[nE]],MATCH("coef. Blévot",grupoEstacas[#Headers],0)),"N.S.")</f>
        <v>1</v>
      </c>
      <c r="AQ239" s="35">
        <f ca="1">IFERROR(ECF[[#This Row],[coef. Blévot]]*0.9*INDEX(tipoEstaca[],MATCH($D$2,tipoEstaca[TIPO DE ESTACA],0),MATCH("fcd (kN/cm²)",tipoEstaca[#Headers],0)),"N.S.")</f>
        <v>1</v>
      </c>
      <c r="AR239" s="82" t="str">
        <f ca="1">IF(AND(ECF[[#This Row],[cd,b,pil (kN/cm²)]]&lt;=ECF[[#This Row],[cd,b,lim (kN/cm²)]],ECF[[#This Row],[cd,b,est (kN/cm²)]]&lt;=ECF[[#This Row],[cd,b,lim (kN/cm²)]]),"OK","ERRO")</f>
        <v>ERRO</v>
      </c>
      <c r="AS239" s="4">
        <f ca="1">As_lado(ECF[[#This Row],[nE]],ECF[[#This Row],[Nsd (kN)]],ECF[[#This Row],[d (cm)]],ECF[[#This Row],[e (cm)]],ECF[[#This Row],[ap,eq (cm)]])</f>
        <v>20.125</v>
      </c>
      <c r="AT239" s="4">
        <f ca="1">IF(ECF[[#This Row],[nE]]=1,ECF[[#This Row],[As,lado (cm²)]],IF(ECF[[#This Row],[nE]]=2,0.075*2*ECF[a (cm)],"N.A."))</f>
        <v>20.125</v>
      </c>
      <c r="AU239" s="4" t="str">
        <f ca="1">IFERROR(IF(ECF[[#This Row],[nE]]=1,"N.A.",0.2*ECF[[#This Row],[As,lado (cm²)]]),"N.S.")</f>
        <v>N.A.</v>
      </c>
      <c r="AV239" s="4" t="str">
        <f ca="1">As_malha(ECF[[#This Row],[nE]],ECF[[#This Row],[As,lado (cm²)]],ECF[[#This Row],[Nsd (kN)]])</f>
        <v>N.A.</v>
      </c>
      <c r="AW239" s="4" t="str">
        <f ca="1">As_susp_tot(ECF[[#This Row],[nE]],ECF[[#This Row],[Nsd (kN)]])</f>
        <v>N.A.</v>
      </c>
      <c r="AX239" s="4" t="str">
        <f ca="1">Asp_face(ECF[[#This Row],[nE]],ECF[[#This Row],[As,lado (cm²)]])</f>
        <v>N.A.</v>
      </c>
      <c r="AY239" s="5">
        <f ca="1">acoBloco(ECF[[#This Row],[nE]],ECF[[#This Row],[e (cm)]],ECF[[#This Row],[a (cm)]],ECF[[#This Row],[h (cm)]],ECF[[#This Row],[As,lado (cm²)]],ECF[[#This Row],[Asp e Asw (cm²/m)]],ECF[[#This Row],[As,sup (cm²)]],ECF[[#This Row],[As,malha (cm²)]],ECF[[#This Row],[As,susp,tot (cm²)]],ECF[[#This Row],[Asp,face (cm²)]])</f>
        <v>413.91087499999998</v>
      </c>
      <c r="AZ239" s="4">
        <f ca="1">concretoBloco(ECF[[#This Row],[nE]],ECF[[#This Row],[e (cm)]],ECF[[#This Row],[a (cm)]],ECF[[#This Row],[h (cm)]])</f>
        <v>10.199999999999999</v>
      </c>
      <c r="BA239" s="5">
        <f ca="1">SUM(ECF[[#This Row],[Aço Est (kg)]],ECF[[#This Row],[Aço Bloco (kg)]])</f>
        <v>733.5239452056112</v>
      </c>
      <c r="BB239" s="4">
        <f>INDEX(composicoes[],MATCH(95580,composicoes[CÓDIGO],0),MATCH("CUSTO TOTAL",composicoes[#Headers],0))</f>
        <v>10.46</v>
      </c>
      <c r="BC239" s="4">
        <f ca="1">SUM(ECF[[#This Row],[Conc Est (m³)]],ECF[[#This Row],[Conc Bloco (m³)]])</f>
        <v>35.646900494077329</v>
      </c>
      <c r="BD239" s="4">
        <f>INDEX(composicoes[],MATCH(94966,composicoes[CÓDIGO],0),MATCH("CUSTO TOTAL",composicoes[#Headers],0))</f>
        <v>439.52</v>
      </c>
      <c r="BE239" s="38">
        <f ca="1">ECF[[#This Row],[Aço (kg)]]*ECF[[#This Row],[Aço (R$/kg)]]+ECF[[#This Row],[Conc (m³)]]*ECF[[#This Row],[Conc (R$/m³)]]</f>
        <v>23340.186172007561</v>
      </c>
      <c r="BF239" s="4" t="str">
        <f ca="1">IF(COUNTIF(ECF[#This Row],"N.S.")&gt;0,"lim.","OK")</f>
        <v>OK</v>
      </c>
      <c r="BG239" s="4" t="str">
        <f>IF(ECF[[#This Row],[Prof. (m)]]&lt;4,"lim.","OK")</f>
        <v>OK</v>
      </c>
      <c r="BH239" s="4" t="str">
        <f>IF(ECF[[#This Row],[Prof. (m)]]&gt;=8*ECF[[#This Row],[Ø (cm)]]/100,"OK","lim.")</f>
        <v>lim.</v>
      </c>
      <c r="BI239" s="4" t="str">
        <f>IF(AND(SPT!$F$3&lt;&gt;"",ECF[[#This Row],[Prof. (m)]]&gt;=SPT!$F$3-2),"lim.","OK")</f>
        <v>OK</v>
      </c>
      <c r="BJ239" s="4" t="str">
        <f ca="1">IF(ECF[[#This Row],[Verif. Biela]]="OK","OK","lim.")</f>
        <v>lim.</v>
      </c>
      <c r="BK239" s="4" t="str">
        <f ca="1">IF(COUNTA(ECF[[#This Row],[Nº Est.]:[Biela comp.]])=COUNTIF(ECF[[#This Row],[Nº Est.]:[Biela comp.]],"OK"),"OK","lim.")</f>
        <v>lim.</v>
      </c>
      <c r="BL239" s="4" t="str">
        <f ca="1">IF(ECF[[#This Row],[Controle]]="OK",ECF[[#This Row],[nE]]&amp;" Ø "&amp;ECF[[#This Row],[Ø (cm)]]&amp;" cm, Prof. "&amp;ECF[[#This Row],[Prof. (m)]]&amp;" m","")</f>
        <v/>
      </c>
      <c r="BM239" s="4" t="str">
        <f ca="1">IF(ECF[[#This Row],[idDimensionamento]]="","",ECF[[#This Row],[idPilar]]&amp;ECF[[#This Row],[idDimensionamento]])</f>
        <v/>
      </c>
    </row>
    <row r="240" spans="2:65" x14ac:dyDescent="0.25">
      <c r="B240" s="12">
        <f>ROUNDUP((ROW(ECF[[#This Row],[idDiâmetro]])-ROW(ECF[[#Headers],[idDiâmetro]]))/(COUNT(SPT[Prof. (m)])*COUNT(PILARES[Pilar])),0)</f>
        <v>9</v>
      </c>
      <c r="C240" s="12">
        <f>IF(ECF[[#This Row],[idDiâmetro]]&lt;&gt;B239,1,IF(ECF[[#This Row],[Prof. (m)]]=0,C239+1,C239))</f>
        <v>1</v>
      </c>
      <c r="D240" s="82">
        <f>IFERROR(IF(D239=MAX(SPT[Prof. (m)]),0,D239+1),0)</f>
        <v>11</v>
      </c>
      <c r="E240" s="82">
        <f>INDEX(SPT[],MATCH(ECF[[#This Row],[Prof. (m)]],SPT[Prof. (m)],0),2)</f>
        <v>41</v>
      </c>
      <c r="F240" s="82" t="str">
        <f>INDEX(SPT[],MATCH(ECF[[#This Row],[Prof. (m)]],SPT[Prof. (m)],0),3)</f>
        <v>Areia siltosa</v>
      </c>
      <c r="G240" s="82">
        <f>INDEX(estacas[],ECF[[#This Row],[idDiâmetro]],MATCH($B$2,estacas[#Headers],0))</f>
        <v>180</v>
      </c>
      <c r="H240" s="82">
        <f>INDEX(estacas[],MATCH(ECF[[#This Row],[Ø (cm)]],estacas[Ø ECF (cm)],0),MATCH(ECF[[#Headers],[Pe ECF (kN)]],estacas[#Headers],0))</f>
        <v>10100</v>
      </c>
      <c r="I240" s="4">
        <f>INDEX(K_alpha_C[],MATCH(ECF[[#This Row],[Solo]],K_alpha_C[Solo],0),2)</f>
        <v>0.8</v>
      </c>
      <c r="J240" s="5">
        <f>INDEX(K_alpha_C[],MATCH(ECF[[#This Row],[Solo]],K_alpha_C[Solo],0),3)</f>
        <v>2</v>
      </c>
      <c r="K240" s="4">
        <f>INDEX(F1_F2[],MATCH($D$2,F1_F2[Tipo de estaca],0),2)</f>
        <v>3</v>
      </c>
      <c r="L240" s="4">
        <f>INDEX(F1_F2[],MATCH($D$2,F1_F2[Tipo de estaca],0),3)</f>
        <v>6</v>
      </c>
      <c r="M240" s="4">
        <f>PI()*(ECF[[#This Row],[Ø (cm)]]/100)^2/4</f>
        <v>2.5446900494077327</v>
      </c>
      <c r="N240" s="4">
        <f>PI()*ECF[[#This Row],[Ø (cm)]]/100</f>
        <v>5.6548667764616276</v>
      </c>
      <c r="O240" s="4">
        <f>IF(ECF[[#This Row],[Prof. (m)]]=0,0,ECF[[#This Row],[α (%)]]/100*ECF[[#This Row],[K (MPa)]]*1000*ECF[[#This Row],[NSPT]])</f>
        <v>656</v>
      </c>
      <c r="P240" s="4">
        <f>IF(ECF[[#This Row],[Prof. (m)]]=0,0,(ECF[[#This Row],[K (MPa)]]*1000*ECF[[#This Row],[NSPT]]/ECF[[#This Row],[F1]]*ECF[[#This Row],[Ap (m²)]]+ECF[[#This Row],[U (m)]]/ECF[[#This Row],[F2]]*SUMIFS(ECF[(α∙K∙NL∙ΔL)],ECF[Prof. (m)],"&lt;="&amp;ECF[[#This Row],[Prof. (m)]],ECF[idDiâmetro],ECF[[#This Row],[idDiâmetro]],ECF[idPilar],ECF[[#This Row],[idPilar]]))/'DADOS CAP. CARGA'!$D$2)</f>
        <v>15128.606458737206</v>
      </c>
      <c r="Q240" s="12">
        <f>INDEX(C_alpha_beta[],MATCH(ECF[[#This Row],[Solo]],C_alpha_beta[Solo],0),MATCH(ECF[[#Headers],[C (kPa)]],C_alpha_beta[#Headers],0))</f>
        <v>400</v>
      </c>
      <c r="R240" s="4">
        <f>INDEX(C_alpha_beta[],MATCH(ECF[[#This Row],[Solo]],C_alpha_beta[Solo],0),MATCH(ECF[[#Headers],[α ESF]],C_alpha_beta[#Headers],0))</f>
        <v>0.5</v>
      </c>
      <c r="S240" s="4">
        <f>INDEX(C_alpha_beta[],MATCH(ECF[[#This Row],[Solo]],C_alpha_beta[Solo],0),MATCH(ECF[[#Headers],[β ESF]],C_alpha_beta[#Headers],0))</f>
        <v>0.5</v>
      </c>
      <c r="T240" s="4">
        <f>IF(ECF[[#This Row],[Prof. (m)]]=0,0,10*(ECF[[#This Row],[NSPT]]/3+1))</f>
        <v>146.66666666666666</v>
      </c>
      <c r="U240" s="4">
        <f>(ECF[[#This Row],[α ESF]]*ECF[[#This Row],[C (kPa)]]*ECF[[#This Row],[NSPT]]*ECF[[#This Row],[Ap (m²)]])/'DADOS CAP. CARGA'!$Q$2+(ECF[[#This Row],[β ESF]]*SUMIFS(ECF[10∙(NL/3+1)],ECF[Prof. (m)],"&lt;="&amp;ECF[[#This Row],[Prof. (m)]],ECF[idDiâmetro],ECF[[#This Row],[idDiâmetro]],ECF[idPilar],ECF[[#This Row],[idPilar]])*ECF[[#This Row],[U (m)]])/'DADOS CAP. CARGA'!$S$2</f>
        <v>6177.9419532843285</v>
      </c>
      <c r="V240" s="4">
        <f>IF(SPT!$M$5=1,MIN(ECF[[#This Row],[Pe ECF (kN)]],ECF[[#This Row],[R_AV (kN)]]),IF(SPT!$M$5=2,MIN(ECF[[#This Row],[Pe ECF (kN)]],ECF[[#This Row],[R_DC (kN)]]),MIN(ECF[[#This Row],[Pe ECF (kN)]],ECF[[#This Row],[R_AV (kN)]],ECF[[#This Row],[R_DC (kN)]])))</f>
        <v>6177.9419532843285</v>
      </c>
      <c r="W240" s="4">
        <f>INDEX(PILARES[],ECF[[#This Row],[idPilar]],MATCH("Carga (kN)",PILARES[#Headers],0))*1.4</f>
        <v>3500</v>
      </c>
      <c r="X240" s="12">
        <f>INDEX(PILARES[],ECF[[#This Row],[idPilar]],MATCH(ECF[[#Headers],[ap (cm)]],PILARES[#Headers],0))</f>
        <v>60</v>
      </c>
      <c r="Y240" s="12">
        <f>INDEX(PILARES[],ECF[[#This Row],[idPilar]],MATCH(ECF[[#Headers],[bp (cm)]],PILARES[#Headers],0))</f>
        <v>60</v>
      </c>
      <c r="Z240" s="4">
        <f>SQRT(ECF[[#This Row],[ap (cm)]]*ECF[[#This Row],[bp (cm)]])</f>
        <v>60</v>
      </c>
      <c r="AA240" s="12">
        <f>ECF[[#This Row],[ap (cm)]]*ECF[[#This Row],[bp (cm)]]</f>
        <v>3600</v>
      </c>
      <c r="AB240" s="12">
        <f ca="1">IF(ECF[[#This Row],[Padm∙ε (kN)]]&gt;=ECF[[#This Row],[Padm (kN)]],ROUNDUP(1.05*ECF[[#This Row],[Nsd (kN)]]/ECF[[#This Row],[Padm (kN)]],0),ROUNDUP(1.05*ECF[[#This Row],[Nsd (kN)]]/ECF[[#This Row],[Padm (kN)]],0)+1)</f>
        <v>1</v>
      </c>
      <c r="AC240" s="4">
        <f ca="1">IFERROR(IF(ECF[[#This Row],[nE]]=1,ECF[[#This Row],[Padm (kN)]],ECF[[#This Row],[Padm (kN)]]*ECF[[#This Row],[nE]]*INDEX(grupoEstacas[],ECF[[#This Row],[nE]],MATCH("ε",grupoEstacas[#Headers],0))),"N.S.")</f>
        <v>6177.9419532843285</v>
      </c>
      <c r="AD240" s="4">
        <f ca="1">1.05*ECF[[#This Row],[Nsd (kN)]]/(ECF[[#This Row],[nE]]*PI()*ECF[[#This Row],[Ø (cm)]]^2/4)*10</f>
        <v>1.4441837428709023</v>
      </c>
      <c r="AE240" s="4">
        <f ca="1">IF(ECF[[#This Row],[σ (MPa)]]&lt;INDEX(tipoEstaca[],MATCH($D$2,tipoEstaca[TIPO DE ESTACA],0),MATCH("σmáx (MPa)",tipoEstaca[#Headers],0)),0.4%*PI()*ECF[[#This Row],[Ø (cm)]]^2/4,"N.S.")</f>
        <v>101.7876019763093</v>
      </c>
      <c r="AF240" s="82">
        <f>INDEX(tipoEstaca[],MATCH($D$2,tipoEstaca[TIPO DE ESTACA],0),MATCH(ECF[[#Headers],[Comprimento (m)]],tipoEstaca[#Headers],0))</f>
        <v>4</v>
      </c>
      <c r="AG240" s="5">
        <f ca="1">ECF[[#This Row],[As,mín (cm²)]]/100^2*ECF[[#This Row],[Comprimento (m)]]*7850</f>
        <v>319.61307020561122</v>
      </c>
      <c r="AH240" s="4">
        <f ca="1">ECF[[#This Row],[nE]]*ECF[[#This Row],[Prof. (m)]]*ECF[[#This Row],[Ap (m²)]]</f>
        <v>27.99159054348506</v>
      </c>
      <c r="AI240" s="82">
        <f ca="1">IF(ECF[[#This Row],[nE]]=1,0,MAX(3*ECF[[#This Row],[Ø (cm)]],60))</f>
        <v>0</v>
      </c>
      <c r="AJ240" s="82">
        <f ca="1">IF(ECF[[#This Row],[nE]]=1,ECF[[#This Row],[Ø (cm)]]+2*10,MAX(1.5*ECF[[#This Row],[Ø (cm)]],ECF[[#This Row],[Ø (cm)]]+15))</f>
        <v>200</v>
      </c>
      <c r="AK240" s="82">
        <f ca="1">alturaUtil(ECF[[#This Row],[nE]],ECF[[#This Row],[Ø (cm)]],ECF[[#This Row],[e (cm)]],ECF[[#This Row],[ap,eq (cm)]])</f>
        <v>220</v>
      </c>
      <c r="AL240" s="82">
        <f ca="1">IFERROR(ECF[[#This Row],[d (cm)]]+arredondarParaCimaMultiplo5cm(MAX(5,SQRT(PI())/2*ECF[[#This Row],[Ø (cm)]]/5)),"N.S.")</f>
        <v>255</v>
      </c>
      <c r="AM240" s="5">
        <f ca="1">alpha(ECF[[#This Row],[nE]],ECF[[#This Row],[d (cm)]],ECF[[#This Row],[e (cm)]],ECF[[#This Row],[ap,eq (cm)]])</f>
        <v>90</v>
      </c>
      <c r="AN240" s="35">
        <f ca="1">IFERROR(ECF[[#This Row],[Nsd (kN)]]/(ECF[[#This Row],[Ap (cm²)]]*SIN(ECF[[#This Row],[α]])^2),"N.S.")</f>
        <v>1.2164485570105679</v>
      </c>
      <c r="AO240" s="35">
        <f ca="1">IFERROR(ECF[[#This Row],[Nsd (kN)]]/(ECF[[#This Row],[nE]]*PI()*ECF[[#This Row],[Ø (cm)]]^2/4*SIN(ECF[[#This Row],[α]])^2),"N.S.")</f>
        <v>0.17209226743576458</v>
      </c>
      <c r="AP240" s="4">
        <f ca="1">IFERROR(INDEX(grupoEstacas[],ECF[[#This Row],[nE]],MATCH("coef. Blévot",grupoEstacas[#Headers],0)),"N.S.")</f>
        <v>1</v>
      </c>
      <c r="AQ240" s="35">
        <f ca="1">IFERROR(ECF[[#This Row],[coef. Blévot]]*0.9*INDEX(tipoEstaca[],MATCH($D$2,tipoEstaca[TIPO DE ESTACA],0),MATCH("fcd (kN/cm²)",tipoEstaca[#Headers],0)),"N.S.")</f>
        <v>1</v>
      </c>
      <c r="AR240" s="82" t="str">
        <f ca="1">IF(AND(ECF[[#This Row],[cd,b,pil (kN/cm²)]]&lt;=ECF[[#This Row],[cd,b,lim (kN/cm²)]],ECF[[#This Row],[cd,b,est (kN/cm²)]]&lt;=ECF[[#This Row],[cd,b,lim (kN/cm²)]]),"OK","ERRO")</f>
        <v>ERRO</v>
      </c>
      <c r="AS240" s="4">
        <f ca="1">As_lado(ECF[[#This Row],[nE]],ECF[[#This Row],[Nsd (kN)]],ECF[[#This Row],[d (cm)]],ECF[[#This Row],[e (cm)]],ECF[[#This Row],[ap,eq (cm)]])</f>
        <v>20.125</v>
      </c>
      <c r="AT240" s="4">
        <f ca="1">IF(ECF[[#This Row],[nE]]=1,ECF[[#This Row],[As,lado (cm²)]],IF(ECF[[#This Row],[nE]]=2,0.075*2*ECF[a (cm)],"N.A."))</f>
        <v>20.125</v>
      </c>
      <c r="AU240" s="4" t="str">
        <f ca="1">IFERROR(IF(ECF[[#This Row],[nE]]=1,"N.A.",0.2*ECF[[#This Row],[As,lado (cm²)]]),"N.S.")</f>
        <v>N.A.</v>
      </c>
      <c r="AV240" s="4" t="str">
        <f ca="1">As_malha(ECF[[#This Row],[nE]],ECF[[#This Row],[As,lado (cm²)]],ECF[[#This Row],[Nsd (kN)]])</f>
        <v>N.A.</v>
      </c>
      <c r="AW240" s="4" t="str">
        <f ca="1">As_susp_tot(ECF[[#This Row],[nE]],ECF[[#This Row],[Nsd (kN)]])</f>
        <v>N.A.</v>
      </c>
      <c r="AX240" s="4" t="str">
        <f ca="1">Asp_face(ECF[[#This Row],[nE]],ECF[[#This Row],[As,lado (cm²)]])</f>
        <v>N.A.</v>
      </c>
      <c r="AY240" s="5">
        <f ca="1">acoBloco(ECF[[#This Row],[nE]],ECF[[#This Row],[e (cm)]],ECF[[#This Row],[a (cm)]],ECF[[#This Row],[h (cm)]],ECF[[#This Row],[As,lado (cm²)]],ECF[[#This Row],[Asp e Asw (cm²/m)]],ECF[[#This Row],[As,sup (cm²)]],ECF[[#This Row],[As,malha (cm²)]],ECF[[#This Row],[As,susp,tot (cm²)]],ECF[[#This Row],[Asp,face (cm²)]])</f>
        <v>413.91087499999998</v>
      </c>
      <c r="AZ240" s="4">
        <f ca="1">concretoBloco(ECF[[#This Row],[nE]],ECF[[#This Row],[e (cm)]],ECF[[#This Row],[a (cm)]],ECF[[#This Row],[h (cm)]])</f>
        <v>10.199999999999999</v>
      </c>
      <c r="BA240" s="5">
        <f ca="1">SUM(ECF[[#This Row],[Aço Est (kg)]],ECF[[#This Row],[Aço Bloco (kg)]])</f>
        <v>733.5239452056112</v>
      </c>
      <c r="BB240" s="4">
        <f>INDEX(composicoes[],MATCH(95580,composicoes[CÓDIGO],0),MATCH("CUSTO TOTAL",composicoes[#Headers],0))</f>
        <v>10.46</v>
      </c>
      <c r="BC240" s="4">
        <f ca="1">SUM(ECF[[#This Row],[Conc Est (m³)]],ECF[[#This Row],[Conc Bloco (m³)]])</f>
        <v>38.191590543485063</v>
      </c>
      <c r="BD240" s="4">
        <f>INDEX(composicoes[],MATCH(94966,composicoes[CÓDIGO],0),MATCH("CUSTO TOTAL",composicoes[#Headers],0))</f>
        <v>439.52</v>
      </c>
      <c r="BE240" s="38">
        <f ca="1">ECF[[#This Row],[Aço (kg)]]*ECF[[#This Row],[Aço (R$/kg)]]+ECF[[#This Row],[Conc (m³)]]*ECF[[#This Row],[Conc (R$/m³)]]</f>
        <v>24458.628342523247</v>
      </c>
      <c r="BF240" s="4" t="str">
        <f ca="1">IF(COUNTIF(ECF[#This Row],"N.S.")&gt;0,"lim.","OK")</f>
        <v>OK</v>
      </c>
      <c r="BG240" s="4" t="str">
        <f>IF(ECF[[#This Row],[Prof. (m)]]&lt;4,"lim.","OK")</f>
        <v>OK</v>
      </c>
      <c r="BH240" s="4" t="str">
        <f>IF(ECF[[#This Row],[Prof. (m)]]&gt;=8*ECF[[#This Row],[Ø (cm)]]/100,"OK","lim.")</f>
        <v>lim.</v>
      </c>
      <c r="BI240" s="4" t="str">
        <f>IF(AND(SPT!$F$3&lt;&gt;"",ECF[[#This Row],[Prof. (m)]]&gt;=SPT!$F$3-2),"lim.","OK")</f>
        <v>OK</v>
      </c>
      <c r="BJ240" s="4" t="str">
        <f ca="1">IF(ECF[[#This Row],[Verif. Biela]]="OK","OK","lim.")</f>
        <v>lim.</v>
      </c>
      <c r="BK240" s="4" t="str">
        <f ca="1">IF(COUNTA(ECF[[#This Row],[Nº Est.]:[Biela comp.]])=COUNTIF(ECF[[#This Row],[Nº Est.]:[Biela comp.]],"OK"),"OK","lim.")</f>
        <v>lim.</v>
      </c>
      <c r="BL240" s="4" t="str">
        <f ca="1">IF(ECF[[#This Row],[Controle]]="OK",ECF[[#This Row],[nE]]&amp;" Ø "&amp;ECF[[#This Row],[Ø (cm)]]&amp;" cm, Prof. "&amp;ECF[[#This Row],[Prof. (m)]]&amp;" m","")</f>
        <v/>
      </c>
      <c r="BM240" s="4" t="str">
        <f ca="1">IF(ECF[[#This Row],[idDimensionamento]]="","",ECF[[#This Row],[idPilar]]&amp;ECF[[#This Row],[idDimensionamento]])</f>
        <v/>
      </c>
    </row>
    <row r="241" spans="2:65" x14ac:dyDescent="0.25">
      <c r="B241" s="12">
        <f>ROUNDUP((ROW(ECF[[#This Row],[idDiâmetro]])-ROW(ECF[[#Headers],[idDiâmetro]]))/(COUNT(SPT[Prof. (m)])*COUNT(PILARES[Pilar])),0)</f>
        <v>9</v>
      </c>
      <c r="C241" s="12">
        <f>IF(ECF[[#This Row],[idDiâmetro]]&lt;&gt;B240,1,IF(ECF[[#This Row],[Prof. (m)]]=0,C240+1,C240))</f>
        <v>1</v>
      </c>
      <c r="D241" s="82">
        <f>IFERROR(IF(D240=MAX(SPT[Prof. (m)]),0,D240+1),0)</f>
        <v>12</v>
      </c>
      <c r="E241" s="82">
        <f>INDEX(SPT[],MATCH(ECF[[#This Row],[Prof. (m)]],SPT[Prof. (m)],0),2)</f>
        <v>52</v>
      </c>
      <c r="F241" s="82" t="str">
        <f>INDEX(SPT[],MATCH(ECF[[#This Row],[Prof. (m)]],SPT[Prof. (m)],0),3)</f>
        <v>Areia siltosa</v>
      </c>
      <c r="G241" s="82">
        <f>INDEX(estacas[],ECF[[#This Row],[idDiâmetro]],MATCH($B$2,estacas[#Headers],0))</f>
        <v>180</v>
      </c>
      <c r="H241" s="82">
        <f>INDEX(estacas[],MATCH(ECF[[#This Row],[Ø (cm)]],estacas[Ø ECF (cm)],0),MATCH(ECF[[#Headers],[Pe ECF (kN)]],estacas[#Headers],0))</f>
        <v>10100</v>
      </c>
      <c r="I241" s="4">
        <f>INDEX(K_alpha_C[],MATCH(ECF[[#This Row],[Solo]],K_alpha_C[Solo],0),2)</f>
        <v>0.8</v>
      </c>
      <c r="J241" s="5">
        <f>INDEX(K_alpha_C[],MATCH(ECF[[#This Row],[Solo]],K_alpha_C[Solo],0),3)</f>
        <v>2</v>
      </c>
      <c r="K241" s="4">
        <f>INDEX(F1_F2[],MATCH($D$2,F1_F2[Tipo de estaca],0),2)</f>
        <v>3</v>
      </c>
      <c r="L241" s="4">
        <f>INDEX(F1_F2[],MATCH($D$2,F1_F2[Tipo de estaca],0),3)</f>
        <v>6</v>
      </c>
      <c r="M241" s="4">
        <f>PI()*(ECF[[#This Row],[Ø (cm)]]/100)^2/4</f>
        <v>2.5446900494077327</v>
      </c>
      <c r="N241" s="4">
        <f>PI()*ECF[[#This Row],[Ø (cm)]]/100</f>
        <v>5.6548667764616276</v>
      </c>
      <c r="O241" s="4">
        <f>IF(ECF[[#This Row],[Prof. (m)]]=0,0,ECF[[#This Row],[α (%)]]/100*ECF[[#This Row],[K (MPa)]]*1000*ECF[[#This Row],[NSPT]])</f>
        <v>832</v>
      </c>
      <c r="P241" s="4">
        <f>IF(ECF[[#This Row],[Prof. (m)]]=0,0,(ECF[[#This Row],[K (MPa)]]*1000*ECF[[#This Row],[NSPT]]/ECF[[#This Row],[F1]]*ECF[[#This Row],[Ap (m²)]]+ECF[[#This Row],[U (m)]]/ECF[[#This Row],[F2]]*SUMIFS(ECF[(α∙K∙NL∙ΔL)],ECF[Prof. (m)],"&lt;="&amp;ECF[[#This Row],[Prof. (m)]],ECF[idDiâmetro],ECF[[#This Row],[idDiâmetro]],ECF[idPilar],ECF[[#This Row],[idPilar]]))/'DADOS CAP. CARGA'!$D$2)</f>
        <v>19252.889294369885</v>
      </c>
      <c r="Q241" s="12">
        <f>INDEX(C_alpha_beta[],MATCH(ECF[[#This Row],[Solo]],C_alpha_beta[Solo],0),MATCH(ECF[[#Headers],[C (kPa)]],C_alpha_beta[#Headers],0))</f>
        <v>400</v>
      </c>
      <c r="R241" s="4">
        <f>INDEX(C_alpha_beta[],MATCH(ECF[[#This Row],[Solo]],C_alpha_beta[Solo],0),MATCH(ECF[[#Headers],[α ESF]],C_alpha_beta[#Headers],0))</f>
        <v>0.5</v>
      </c>
      <c r="S241" s="4">
        <f>INDEX(C_alpha_beta[],MATCH(ECF[[#This Row],[Solo]],C_alpha_beta[Solo],0),MATCH(ECF[[#Headers],[β ESF]],C_alpha_beta[#Headers],0))</f>
        <v>0.5</v>
      </c>
      <c r="T241" s="4">
        <f>IF(ECF[[#This Row],[Prof. (m)]]=0,0,10*(ECF[[#This Row],[NSPT]]/3+1))</f>
        <v>183.33333333333331</v>
      </c>
      <c r="U241" s="4">
        <f>(ECF[[#This Row],[α ESF]]*ECF[[#This Row],[C (kPa)]]*ECF[[#This Row],[NSPT]]*ECF[[#This Row],[Ap (m²)]])/'DADOS CAP. CARGA'!$Q$2+(ECF[[#This Row],[β ESF]]*SUMIFS(ECF[10∙(NL/3+1)],ECF[Prof. (m)],"&lt;="&amp;ECF[[#This Row],[Prof. (m)]],ECF[idDiâmetro],ECF[[#This Row],[idDiâmetro]],ECF[idPilar],ECF[[#This Row],[idPilar]])*ECF[[#This Row],[U (m)]])/'DADOS CAP. CARGA'!$S$2</f>
        <v>7836.70287437974</v>
      </c>
      <c r="V241" s="4">
        <f>IF(SPT!$M$5=1,MIN(ECF[[#This Row],[Pe ECF (kN)]],ECF[[#This Row],[R_AV (kN)]]),IF(SPT!$M$5=2,MIN(ECF[[#This Row],[Pe ECF (kN)]],ECF[[#This Row],[R_DC (kN)]]),MIN(ECF[[#This Row],[Pe ECF (kN)]],ECF[[#This Row],[R_AV (kN)]],ECF[[#This Row],[R_DC (kN)]])))</f>
        <v>7836.70287437974</v>
      </c>
      <c r="W241" s="4">
        <f>INDEX(PILARES[],ECF[[#This Row],[idPilar]],MATCH("Carga (kN)",PILARES[#Headers],0))*1.4</f>
        <v>3500</v>
      </c>
      <c r="X241" s="12">
        <f>INDEX(PILARES[],ECF[[#This Row],[idPilar]],MATCH(ECF[[#Headers],[ap (cm)]],PILARES[#Headers],0))</f>
        <v>60</v>
      </c>
      <c r="Y241" s="12">
        <f>INDEX(PILARES[],ECF[[#This Row],[idPilar]],MATCH(ECF[[#Headers],[bp (cm)]],PILARES[#Headers],0))</f>
        <v>60</v>
      </c>
      <c r="Z241" s="4">
        <f>SQRT(ECF[[#This Row],[ap (cm)]]*ECF[[#This Row],[bp (cm)]])</f>
        <v>60</v>
      </c>
      <c r="AA241" s="12">
        <f>ECF[[#This Row],[ap (cm)]]*ECF[[#This Row],[bp (cm)]]</f>
        <v>3600</v>
      </c>
      <c r="AB241" s="12">
        <f ca="1">IF(ECF[[#This Row],[Padm∙ε (kN)]]&gt;=ECF[[#This Row],[Padm (kN)]],ROUNDUP(1.05*ECF[[#This Row],[Nsd (kN)]]/ECF[[#This Row],[Padm (kN)]],0),ROUNDUP(1.05*ECF[[#This Row],[Nsd (kN)]]/ECF[[#This Row],[Padm (kN)]],0)+1)</f>
        <v>1</v>
      </c>
      <c r="AC241" s="4">
        <f ca="1">IFERROR(IF(ECF[[#This Row],[nE]]=1,ECF[[#This Row],[Padm (kN)]],ECF[[#This Row],[Padm (kN)]]*ECF[[#This Row],[nE]]*INDEX(grupoEstacas[],ECF[[#This Row],[nE]],MATCH("ε",grupoEstacas[#Headers],0))),"N.S.")</f>
        <v>7836.70287437974</v>
      </c>
      <c r="AD241" s="4">
        <f ca="1">1.05*ECF[[#This Row],[Nsd (kN)]]/(ECF[[#This Row],[nE]]*PI()*ECF[[#This Row],[Ø (cm)]]^2/4)*10</f>
        <v>1.4441837428709023</v>
      </c>
      <c r="AE241" s="4">
        <f ca="1">IF(ECF[[#This Row],[σ (MPa)]]&lt;INDEX(tipoEstaca[],MATCH($D$2,tipoEstaca[TIPO DE ESTACA],0),MATCH("σmáx (MPa)",tipoEstaca[#Headers],0)),0.4%*PI()*ECF[[#This Row],[Ø (cm)]]^2/4,"N.S.")</f>
        <v>101.7876019763093</v>
      </c>
      <c r="AF241" s="82">
        <f>INDEX(tipoEstaca[],MATCH($D$2,tipoEstaca[TIPO DE ESTACA],0),MATCH(ECF[[#Headers],[Comprimento (m)]],tipoEstaca[#Headers],0))</f>
        <v>4</v>
      </c>
      <c r="AG241" s="5">
        <f ca="1">ECF[[#This Row],[As,mín (cm²)]]/100^2*ECF[[#This Row],[Comprimento (m)]]*7850</f>
        <v>319.61307020561122</v>
      </c>
      <c r="AH241" s="4">
        <f ca="1">ECF[[#This Row],[nE]]*ECF[[#This Row],[Prof. (m)]]*ECF[[#This Row],[Ap (m²)]]</f>
        <v>30.536280592892794</v>
      </c>
      <c r="AI241" s="82">
        <f ca="1">IF(ECF[[#This Row],[nE]]=1,0,MAX(3*ECF[[#This Row],[Ø (cm)]],60))</f>
        <v>0</v>
      </c>
      <c r="AJ241" s="82">
        <f ca="1">IF(ECF[[#This Row],[nE]]=1,ECF[[#This Row],[Ø (cm)]]+2*10,MAX(1.5*ECF[[#This Row],[Ø (cm)]],ECF[[#This Row],[Ø (cm)]]+15))</f>
        <v>200</v>
      </c>
      <c r="AK241" s="82">
        <f ca="1">alturaUtil(ECF[[#This Row],[nE]],ECF[[#This Row],[Ø (cm)]],ECF[[#This Row],[e (cm)]],ECF[[#This Row],[ap,eq (cm)]])</f>
        <v>220</v>
      </c>
      <c r="AL241" s="82">
        <f ca="1">IFERROR(ECF[[#This Row],[d (cm)]]+arredondarParaCimaMultiplo5cm(MAX(5,SQRT(PI())/2*ECF[[#This Row],[Ø (cm)]]/5)),"N.S.")</f>
        <v>255</v>
      </c>
      <c r="AM241" s="5">
        <f ca="1">alpha(ECF[[#This Row],[nE]],ECF[[#This Row],[d (cm)]],ECF[[#This Row],[e (cm)]],ECF[[#This Row],[ap,eq (cm)]])</f>
        <v>90</v>
      </c>
      <c r="AN241" s="35">
        <f ca="1">IFERROR(ECF[[#This Row],[Nsd (kN)]]/(ECF[[#This Row],[Ap (cm²)]]*SIN(ECF[[#This Row],[α]])^2),"N.S.")</f>
        <v>1.2164485570105679</v>
      </c>
      <c r="AO241" s="35">
        <f ca="1">IFERROR(ECF[[#This Row],[Nsd (kN)]]/(ECF[[#This Row],[nE]]*PI()*ECF[[#This Row],[Ø (cm)]]^2/4*SIN(ECF[[#This Row],[α]])^2),"N.S.")</f>
        <v>0.17209226743576458</v>
      </c>
      <c r="AP241" s="4">
        <f ca="1">IFERROR(INDEX(grupoEstacas[],ECF[[#This Row],[nE]],MATCH("coef. Blévot",grupoEstacas[#Headers],0)),"N.S.")</f>
        <v>1</v>
      </c>
      <c r="AQ241" s="35">
        <f ca="1">IFERROR(ECF[[#This Row],[coef. Blévot]]*0.9*INDEX(tipoEstaca[],MATCH($D$2,tipoEstaca[TIPO DE ESTACA],0),MATCH("fcd (kN/cm²)",tipoEstaca[#Headers],0)),"N.S.")</f>
        <v>1</v>
      </c>
      <c r="AR241" s="82" t="str">
        <f ca="1">IF(AND(ECF[[#This Row],[cd,b,pil (kN/cm²)]]&lt;=ECF[[#This Row],[cd,b,lim (kN/cm²)]],ECF[[#This Row],[cd,b,est (kN/cm²)]]&lt;=ECF[[#This Row],[cd,b,lim (kN/cm²)]]),"OK","ERRO")</f>
        <v>ERRO</v>
      </c>
      <c r="AS241" s="4">
        <f ca="1">As_lado(ECF[[#This Row],[nE]],ECF[[#This Row],[Nsd (kN)]],ECF[[#This Row],[d (cm)]],ECF[[#This Row],[e (cm)]],ECF[[#This Row],[ap,eq (cm)]])</f>
        <v>20.125</v>
      </c>
      <c r="AT241" s="4">
        <f ca="1">IF(ECF[[#This Row],[nE]]=1,ECF[[#This Row],[As,lado (cm²)]],IF(ECF[[#This Row],[nE]]=2,0.075*2*ECF[a (cm)],"N.A."))</f>
        <v>20.125</v>
      </c>
      <c r="AU241" s="4" t="str">
        <f ca="1">IFERROR(IF(ECF[[#This Row],[nE]]=1,"N.A.",0.2*ECF[[#This Row],[As,lado (cm²)]]),"N.S.")</f>
        <v>N.A.</v>
      </c>
      <c r="AV241" s="4" t="str">
        <f ca="1">As_malha(ECF[[#This Row],[nE]],ECF[[#This Row],[As,lado (cm²)]],ECF[[#This Row],[Nsd (kN)]])</f>
        <v>N.A.</v>
      </c>
      <c r="AW241" s="4" t="str">
        <f ca="1">As_susp_tot(ECF[[#This Row],[nE]],ECF[[#This Row],[Nsd (kN)]])</f>
        <v>N.A.</v>
      </c>
      <c r="AX241" s="4" t="str">
        <f ca="1">Asp_face(ECF[[#This Row],[nE]],ECF[[#This Row],[As,lado (cm²)]])</f>
        <v>N.A.</v>
      </c>
      <c r="AY241" s="5">
        <f ca="1">acoBloco(ECF[[#This Row],[nE]],ECF[[#This Row],[e (cm)]],ECF[[#This Row],[a (cm)]],ECF[[#This Row],[h (cm)]],ECF[[#This Row],[As,lado (cm²)]],ECF[[#This Row],[Asp e Asw (cm²/m)]],ECF[[#This Row],[As,sup (cm²)]],ECF[[#This Row],[As,malha (cm²)]],ECF[[#This Row],[As,susp,tot (cm²)]],ECF[[#This Row],[Asp,face (cm²)]])</f>
        <v>413.91087499999998</v>
      </c>
      <c r="AZ241" s="4">
        <f ca="1">concretoBloco(ECF[[#This Row],[nE]],ECF[[#This Row],[e (cm)]],ECF[[#This Row],[a (cm)]],ECF[[#This Row],[h (cm)]])</f>
        <v>10.199999999999999</v>
      </c>
      <c r="BA241" s="5">
        <f ca="1">SUM(ECF[[#This Row],[Aço Est (kg)]],ECF[[#This Row],[Aço Bloco (kg)]])</f>
        <v>733.5239452056112</v>
      </c>
      <c r="BB241" s="4">
        <f>INDEX(composicoes[],MATCH(95580,composicoes[CÓDIGO],0),MATCH("CUSTO TOTAL",composicoes[#Headers],0))</f>
        <v>10.46</v>
      </c>
      <c r="BC241" s="4">
        <f ca="1">SUM(ECF[[#This Row],[Conc Est (m³)]],ECF[[#This Row],[Conc Bloco (m³)]])</f>
        <v>40.736280592892797</v>
      </c>
      <c r="BD241" s="4">
        <f>INDEX(composicoes[],MATCH(94966,composicoes[CÓDIGO],0),MATCH("CUSTO TOTAL",composicoes[#Headers],0))</f>
        <v>439.52</v>
      </c>
      <c r="BE241" s="38">
        <f ca="1">ECF[[#This Row],[Aço (kg)]]*ECF[[#This Row],[Aço (R$/kg)]]+ECF[[#This Row],[Conc (m³)]]*ECF[[#This Row],[Conc (R$/m³)]]</f>
        <v>25577.070513038932</v>
      </c>
      <c r="BF241" s="4" t="str">
        <f ca="1">IF(COUNTIF(ECF[#This Row],"N.S.")&gt;0,"lim.","OK")</f>
        <v>OK</v>
      </c>
      <c r="BG241" s="4" t="str">
        <f>IF(ECF[[#This Row],[Prof. (m)]]&lt;4,"lim.","OK")</f>
        <v>OK</v>
      </c>
      <c r="BH241" s="4" t="str">
        <f>IF(ECF[[#This Row],[Prof. (m)]]&gt;=8*ECF[[#This Row],[Ø (cm)]]/100,"OK","lim.")</f>
        <v>lim.</v>
      </c>
      <c r="BI241" s="4" t="str">
        <f>IF(AND(SPT!$F$3&lt;&gt;"",ECF[[#This Row],[Prof. (m)]]&gt;=SPT!$F$3-2),"lim.","OK")</f>
        <v>OK</v>
      </c>
      <c r="BJ241" s="4" t="str">
        <f ca="1">IF(ECF[[#This Row],[Verif. Biela]]="OK","OK","lim.")</f>
        <v>lim.</v>
      </c>
      <c r="BK241" s="4" t="str">
        <f ca="1">IF(COUNTA(ECF[[#This Row],[Nº Est.]:[Biela comp.]])=COUNTIF(ECF[[#This Row],[Nº Est.]:[Biela comp.]],"OK"),"OK","lim.")</f>
        <v>lim.</v>
      </c>
      <c r="BL241" s="4" t="str">
        <f ca="1">IF(ECF[[#This Row],[Controle]]="OK",ECF[[#This Row],[nE]]&amp;" Ø "&amp;ECF[[#This Row],[Ø (cm)]]&amp;" cm, Prof. "&amp;ECF[[#This Row],[Prof. (m)]]&amp;" m","")</f>
        <v/>
      </c>
      <c r="BM241" s="4" t="str">
        <f ca="1">IF(ECF[[#This Row],[idDimensionamento]]="","",ECF[[#This Row],[idPilar]]&amp;ECF[[#This Row],[idDimensionamento]])</f>
        <v/>
      </c>
    </row>
    <row r="242" spans="2:65" x14ac:dyDescent="0.25">
      <c r="B242" s="12">
        <f>ROUNDUP((ROW(ECF[[#This Row],[idDiâmetro]])-ROW(ECF[[#Headers],[idDiâmetro]]))/(COUNT(SPT[Prof. (m)])*COUNT(PILARES[Pilar])),0)</f>
        <v>9</v>
      </c>
      <c r="C242" s="12">
        <f>IF(ECF[[#This Row],[idDiâmetro]]&lt;&gt;B241,1,IF(ECF[[#This Row],[Prof. (m)]]=0,C241+1,C241))</f>
        <v>1</v>
      </c>
      <c r="D242" s="82">
        <f>IFERROR(IF(D241=MAX(SPT[Prof. (m)]),0,D241+1),0)</f>
        <v>13</v>
      </c>
      <c r="E242" s="82">
        <f>INDEX(SPT[],MATCH(ECF[[#This Row],[Prof. (m)]],SPT[Prof. (m)],0),2)</f>
        <v>68</v>
      </c>
      <c r="F242" s="82" t="str">
        <f>INDEX(SPT[],MATCH(ECF[[#This Row],[Prof. (m)]],SPT[Prof. (m)],0),3)</f>
        <v>Areia siltosa</v>
      </c>
      <c r="G242" s="82">
        <f>INDEX(estacas[],ECF[[#This Row],[idDiâmetro]],MATCH($B$2,estacas[#Headers],0))</f>
        <v>180</v>
      </c>
      <c r="H242" s="82">
        <f>INDEX(estacas[],MATCH(ECF[[#This Row],[Ø (cm)]],estacas[Ø ECF (cm)],0),MATCH(ECF[[#Headers],[Pe ECF (kN)]],estacas[#Headers],0))</f>
        <v>10100</v>
      </c>
      <c r="I242" s="4">
        <f>INDEX(K_alpha_C[],MATCH(ECF[[#This Row],[Solo]],K_alpha_C[Solo],0),2)</f>
        <v>0.8</v>
      </c>
      <c r="J242" s="5">
        <f>INDEX(K_alpha_C[],MATCH(ECF[[#This Row],[Solo]],K_alpha_C[Solo],0),3)</f>
        <v>2</v>
      </c>
      <c r="K242" s="4">
        <f>INDEX(F1_F2[],MATCH($D$2,F1_F2[Tipo de estaca],0),2)</f>
        <v>3</v>
      </c>
      <c r="L242" s="4">
        <f>INDEX(F1_F2[],MATCH($D$2,F1_F2[Tipo de estaca],0),3)</f>
        <v>6</v>
      </c>
      <c r="M242" s="4">
        <f>PI()*(ECF[[#This Row],[Ø (cm)]]/100)^2/4</f>
        <v>2.5446900494077327</v>
      </c>
      <c r="N242" s="4">
        <f>PI()*ECF[[#This Row],[Ø (cm)]]/100</f>
        <v>5.6548667764616276</v>
      </c>
      <c r="O242" s="4">
        <f>IF(ECF[[#This Row],[Prof. (m)]]=0,0,ECF[[#This Row],[α (%)]]/100*ECF[[#This Row],[K (MPa)]]*1000*ECF[[#This Row],[NSPT]])</f>
        <v>1088</v>
      </c>
      <c r="P242" s="4">
        <f>IF(ECF[[#This Row],[Prof. (m)]]=0,0,(ECF[[#This Row],[K (MPa)]]*1000*ECF[[#This Row],[NSPT]]/ECF[[#This Row],[F1]]*ECF[[#This Row],[Ap (m²)]]+ECF[[#This Row],[U (m)]]/ECF[[#This Row],[F2]]*SUMIFS(ECF[(α∙K∙NL∙ΔL)],ECF[Prof. (m)],"&lt;="&amp;ECF[[#This Row],[Prof. (m)]],ECF[idDiâmetro],ECF[[#This Row],[idDiâmetro]],ECF[idPilar],ECF[[#This Row],[idPilar]]))/'DADOS CAP. CARGA'!$D$2)</f>
        <v>25194.269320838903</v>
      </c>
      <c r="Q242" s="12">
        <f>INDEX(C_alpha_beta[],MATCH(ECF[[#This Row],[Solo]],C_alpha_beta[Solo],0),MATCH(ECF[[#Headers],[C (kPa)]],C_alpha_beta[#Headers],0))</f>
        <v>400</v>
      </c>
      <c r="R242" s="4">
        <f>INDEX(C_alpha_beta[],MATCH(ECF[[#This Row],[Solo]],C_alpha_beta[Solo],0),MATCH(ECF[[#Headers],[α ESF]],C_alpha_beta[#Headers],0))</f>
        <v>0.5</v>
      </c>
      <c r="S242" s="4">
        <f>INDEX(C_alpha_beta[],MATCH(ECF[[#This Row],[Solo]],C_alpha_beta[Solo],0),MATCH(ECF[[#Headers],[β ESF]],C_alpha_beta[#Headers],0))</f>
        <v>0.5</v>
      </c>
      <c r="T242" s="4">
        <f>IF(ECF[[#This Row],[Prof. (m)]]=0,0,10*(ECF[[#This Row],[NSPT]]/3+1))</f>
        <v>236.66666666666669</v>
      </c>
      <c r="U242" s="4">
        <f>(ECF[[#This Row],[α ESF]]*ECF[[#This Row],[C (kPa)]]*ECF[[#This Row],[NSPT]]*ECF[[#This Row],[Ap (m²)]])/'DADOS CAP. CARGA'!$Q$2+(ECF[[#This Row],[β ESF]]*SUMIFS(ECF[10∙(NL/3+1)],ECF[Prof. (m)],"&lt;="&amp;ECF[[#This Row],[Prof. (m)]],ECF[idDiâmetro],ECF[[#This Row],[idDiâmetro]],ECF[idPilar],ECF[[#This Row],[idPilar]])*ECF[[#This Row],[U (m)]])/'DADOS CAP. CARGA'!$S$2</f>
        <v>10207.034531513238</v>
      </c>
      <c r="V242" s="4">
        <f>IF(SPT!$M$5=1,MIN(ECF[[#This Row],[Pe ECF (kN)]],ECF[[#This Row],[R_AV (kN)]]),IF(SPT!$M$5=2,MIN(ECF[[#This Row],[Pe ECF (kN)]],ECF[[#This Row],[R_DC (kN)]]),MIN(ECF[[#This Row],[Pe ECF (kN)]],ECF[[#This Row],[R_AV (kN)]],ECF[[#This Row],[R_DC (kN)]])))</f>
        <v>10100</v>
      </c>
      <c r="W242" s="4">
        <f>INDEX(PILARES[],ECF[[#This Row],[idPilar]],MATCH("Carga (kN)",PILARES[#Headers],0))*1.4</f>
        <v>3500</v>
      </c>
      <c r="X242" s="12">
        <f>INDEX(PILARES[],ECF[[#This Row],[idPilar]],MATCH(ECF[[#Headers],[ap (cm)]],PILARES[#Headers],0))</f>
        <v>60</v>
      </c>
      <c r="Y242" s="12">
        <f>INDEX(PILARES[],ECF[[#This Row],[idPilar]],MATCH(ECF[[#Headers],[bp (cm)]],PILARES[#Headers],0))</f>
        <v>60</v>
      </c>
      <c r="Z242" s="4">
        <f>SQRT(ECF[[#This Row],[ap (cm)]]*ECF[[#This Row],[bp (cm)]])</f>
        <v>60</v>
      </c>
      <c r="AA242" s="12">
        <f>ECF[[#This Row],[ap (cm)]]*ECF[[#This Row],[bp (cm)]]</f>
        <v>3600</v>
      </c>
      <c r="AB242" s="12">
        <f ca="1">IF(ECF[[#This Row],[Padm∙ε (kN)]]&gt;=ECF[[#This Row],[Padm (kN)]],ROUNDUP(1.05*ECF[[#This Row],[Nsd (kN)]]/ECF[[#This Row],[Padm (kN)]],0),ROUNDUP(1.05*ECF[[#This Row],[Nsd (kN)]]/ECF[[#This Row],[Padm (kN)]],0)+1)</f>
        <v>1</v>
      </c>
      <c r="AC242" s="4">
        <f ca="1">IFERROR(IF(ECF[[#This Row],[nE]]=1,ECF[[#This Row],[Padm (kN)]],ECF[[#This Row],[Padm (kN)]]*ECF[[#This Row],[nE]]*INDEX(grupoEstacas[],ECF[[#This Row],[nE]],MATCH("ε",grupoEstacas[#Headers],0))),"N.S.")</f>
        <v>10100</v>
      </c>
      <c r="AD242" s="4">
        <f ca="1">1.05*ECF[[#This Row],[Nsd (kN)]]/(ECF[[#This Row],[nE]]*PI()*ECF[[#This Row],[Ø (cm)]]^2/4)*10</f>
        <v>1.4441837428709023</v>
      </c>
      <c r="AE242" s="4">
        <f ca="1">IF(ECF[[#This Row],[σ (MPa)]]&lt;INDEX(tipoEstaca[],MATCH($D$2,tipoEstaca[TIPO DE ESTACA],0),MATCH("σmáx (MPa)",tipoEstaca[#Headers],0)),0.4%*PI()*ECF[[#This Row],[Ø (cm)]]^2/4,"N.S.")</f>
        <v>101.7876019763093</v>
      </c>
      <c r="AF242" s="82">
        <f>INDEX(tipoEstaca[],MATCH($D$2,tipoEstaca[TIPO DE ESTACA],0),MATCH(ECF[[#Headers],[Comprimento (m)]],tipoEstaca[#Headers],0))</f>
        <v>4</v>
      </c>
      <c r="AG242" s="5">
        <f ca="1">ECF[[#This Row],[As,mín (cm²)]]/100^2*ECF[[#This Row],[Comprimento (m)]]*7850</f>
        <v>319.61307020561122</v>
      </c>
      <c r="AH242" s="4">
        <f ca="1">ECF[[#This Row],[nE]]*ECF[[#This Row],[Prof. (m)]]*ECF[[#This Row],[Ap (m²)]]</f>
        <v>33.080970642300528</v>
      </c>
      <c r="AI242" s="82">
        <f ca="1">IF(ECF[[#This Row],[nE]]=1,0,MAX(3*ECF[[#This Row],[Ø (cm)]],60))</f>
        <v>0</v>
      </c>
      <c r="AJ242" s="82">
        <f ca="1">IF(ECF[[#This Row],[nE]]=1,ECF[[#This Row],[Ø (cm)]]+2*10,MAX(1.5*ECF[[#This Row],[Ø (cm)]],ECF[[#This Row],[Ø (cm)]]+15))</f>
        <v>200</v>
      </c>
      <c r="AK242" s="82">
        <f ca="1">alturaUtil(ECF[[#This Row],[nE]],ECF[[#This Row],[Ø (cm)]],ECF[[#This Row],[e (cm)]],ECF[[#This Row],[ap,eq (cm)]])</f>
        <v>220</v>
      </c>
      <c r="AL242" s="82">
        <f ca="1">IFERROR(ECF[[#This Row],[d (cm)]]+arredondarParaCimaMultiplo5cm(MAX(5,SQRT(PI())/2*ECF[[#This Row],[Ø (cm)]]/5)),"N.S.")</f>
        <v>255</v>
      </c>
      <c r="AM242" s="5">
        <f ca="1">alpha(ECF[[#This Row],[nE]],ECF[[#This Row],[d (cm)]],ECF[[#This Row],[e (cm)]],ECF[[#This Row],[ap,eq (cm)]])</f>
        <v>90</v>
      </c>
      <c r="AN242" s="35">
        <f ca="1">IFERROR(ECF[[#This Row],[Nsd (kN)]]/(ECF[[#This Row],[Ap (cm²)]]*SIN(ECF[[#This Row],[α]])^2),"N.S.")</f>
        <v>1.2164485570105679</v>
      </c>
      <c r="AO242" s="35">
        <f ca="1">IFERROR(ECF[[#This Row],[Nsd (kN)]]/(ECF[[#This Row],[nE]]*PI()*ECF[[#This Row],[Ø (cm)]]^2/4*SIN(ECF[[#This Row],[α]])^2),"N.S.")</f>
        <v>0.17209226743576458</v>
      </c>
      <c r="AP242" s="4">
        <f ca="1">IFERROR(INDEX(grupoEstacas[],ECF[[#This Row],[nE]],MATCH("coef. Blévot",grupoEstacas[#Headers],0)),"N.S.")</f>
        <v>1</v>
      </c>
      <c r="AQ242" s="35">
        <f ca="1">IFERROR(ECF[[#This Row],[coef. Blévot]]*0.9*INDEX(tipoEstaca[],MATCH($D$2,tipoEstaca[TIPO DE ESTACA],0),MATCH("fcd (kN/cm²)",tipoEstaca[#Headers],0)),"N.S.")</f>
        <v>1</v>
      </c>
      <c r="AR242" s="82" t="str">
        <f ca="1">IF(AND(ECF[[#This Row],[cd,b,pil (kN/cm²)]]&lt;=ECF[[#This Row],[cd,b,lim (kN/cm²)]],ECF[[#This Row],[cd,b,est (kN/cm²)]]&lt;=ECF[[#This Row],[cd,b,lim (kN/cm²)]]),"OK","ERRO")</f>
        <v>ERRO</v>
      </c>
      <c r="AS242" s="4">
        <f ca="1">As_lado(ECF[[#This Row],[nE]],ECF[[#This Row],[Nsd (kN)]],ECF[[#This Row],[d (cm)]],ECF[[#This Row],[e (cm)]],ECF[[#This Row],[ap,eq (cm)]])</f>
        <v>20.125</v>
      </c>
      <c r="AT242" s="4">
        <f ca="1">IF(ECF[[#This Row],[nE]]=1,ECF[[#This Row],[As,lado (cm²)]],IF(ECF[[#This Row],[nE]]=2,0.075*2*ECF[a (cm)],"N.A."))</f>
        <v>20.125</v>
      </c>
      <c r="AU242" s="4" t="str">
        <f ca="1">IFERROR(IF(ECF[[#This Row],[nE]]=1,"N.A.",0.2*ECF[[#This Row],[As,lado (cm²)]]),"N.S.")</f>
        <v>N.A.</v>
      </c>
      <c r="AV242" s="4" t="str">
        <f ca="1">As_malha(ECF[[#This Row],[nE]],ECF[[#This Row],[As,lado (cm²)]],ECF[[#This Row],[Nsd (kN)]])</f>
        <v>N.A.</v>
      </c>
      <c r="AW242" s="4" t="str">
        <f ca="1">As_susp_tot(ECF[[#This Row],[nE]],ECF[[#This Row],[Nsd (kN)]])</f>
        <v>N.A.</v>
      </c>
      <c r="AX242" s="4" t="str">
        <f ca="1">Asp_face(ECF[[#This Row],[nE]],ECF[[#This Row],[As,lado (cm²)]])</f>
        <v>N.A.</v>
      </c>
      <c r="AY242" s="5">
        <f ca="1">acoBloco(ECF[[#This Row],[nE]],ECF[[#This Row],[e (cm)]],ECF[[#This Row],[a (cm)]],ECF[[#This Row],[h (cm)]],ECF[[#This Row],[As,lado (cm²)]],ECF[[#This Row],[Asp e Asw (cm²/m)]],ECF[[#This Row],[As,sup (cm²)]],ECF[[#This Row],[As,malha (cm²)]],ECF[[#This Row],[As,susp,tot (cm²)]],ECF[[#This Row],[Asp,face (cm²)]])</f>
        <v>413.91087499999998</v>
      </c>
      <c r="AZ242" s="4">
        <f ca="1">concretoBloco(ECF[[#This Row],[nE]],ECF[[#This Row],[e (cm)]],ECF[[#This Row],[a (cm)]],ECF[[#This Row],[h (cm)]])</f>
        <v>10.199999999999999</v>
      </c>
      <c r="BA242" s="5">
        <f ca="1">SUM(ECF[[#This Row],[Aço Est (kg)]],ECF[[#This Row],[Aço Bloco (kg)]])</f>
        <v>733.5239452056112</v>
      </c>
      <c r="BB242" s="4">
        <f>INDEX(composicoes[],MATCH(95580,composicoes[CÓDIGO],0),MATCH("CUSTO TOTAL",composicoes[#Headers],0))</f>
        <v>10.46</v>
      </c>
      <c r="BC242" s="4">
        <f ca="1">SUM(ECF[[#This Row],[Conc Est (m³)]],ECF[[#This Row],[Conc Bloco (m³)]])</f>
        <v>43.280970642300531</v>
      </c>
      <c r="BD242" s="4">
        <f>INDEX(composicoes[],MATCH(94966,composicoes[CÓDIGO],0),MATCH("CUSTO TOTAL",composicoes[#Headers],0))</f>
        <v>439.52</v>
      </c>
      <c r="BE242" s="38">
        <f ca="1">ECF[[#This Row],[Aço (kg)]]*ECF[[#This Row],[Aço (R$/kg)]]+ECF[[#This Row],[Conc (m³)]]*ECF[[#This Row],[Conc (R$/m³)]]</f>
        <v>26695.512683554625</v>
      </c>
      <c r="BF242" s="4" t="str">
        <f ca="1">IF(COUNTIF(ECF[#This Row],"N.S.")&gt;0,"lim.","OK")</f>
        <v>OK</v>
      </c>
      <c r="BG242" s="4" t="str">
        <f>IF(ECF[[#This Row],[Prof. (m)]]&lt;4,"lim.","OK")</f>
        <v>OK</v>
      </c>
      <c r="BH242" s="4" t="str">
        <f>IF(ECF[[#This Row],[Prof. (m)]]&gt;=8*ECF[[#This Row],[Ø (cm)]]/100,"OK","lim.")</f>
        <v>lim.</v>
      </c>
      <c r="BI242" s="4" t="str">
        <f>IF(AND(SPT!$F$3&lt;&gt;"",ECF[[#This Row],[Prof. (m)]]&gt;=SPT!$F$3-2),"lim.","OK")</f>
        <v>OK</v>
      </c>
      <c r="BJ242" s="4" t="str">
        <f ca="1">IF(ECF[[#This Row],[Verif. Biela]]="OK","OK","lim.")</f>
        <v>lim.</v>
      </c>
      <c r="BK242" s="4" t="str">
        <f ca="1">IF(COUNTA(ECF[[#This Row],[Nº Est.]:[Biela comp.]])=COUNTIF(ECF[[#This Row],[Nº Est.]:[Biela comp.]],"OK"),"OK","lim.")</f>
        <v>lim.</v>
      </c>
      <c r="BL242" s="4" t="str">
        <f ca="1">IF(ECF[[#This Row],[Controle]]="OK",ECF[[#This Row],[nE]]&amp;" Ø "&amp;ECF[[#This Row],[Ø (cm)]]&amp;" cm, Prof. "&amp;ECF[[#This Row],[Prof. (m)]]&amp;" m","")</f>
        <v/>
      </c>
      <c r="BM242" s="4" t="str">
        <f ca="1">IF(ECF[[#This Row],[idDimensionamento]]="","",ECF[[#This Row],[idPilar]]&amp;ECF[[#This Row],[idDimensionamento]])</f>
        <v/>
      </c>
    </row>
    <row r="243" spans="2:65" x14ac:dyDescent="0.25">
      <c r="B243" s="12">
        <f>ROUNDUP((ROW(ECF[[#This Row],[idDiâmetro]])-ROW(ECF[[#Headers],[idDiâmetro]]))/(COUNT(SPT[Prof. (m)])*COUNT(PILARES[Pilar])),0)</f>
        <v>9</v>
      </c>
      <c r="C243" s="12">
        <f>IF(ECF[[#This Row],[idDiâmetro]]&lt;&gt;B242,1,IF(ECF[[#This Row],[Prof. (m)]]=0,C242+1,C242))</f>
        <v>2</v>
      </c>
      <c r="D243" s="82">
        <f>IFERROR(IF(D242=MAX(SPT[Prof. (m)]),0,D242+1),0)</f>
        <v>0</v>
      </c>
      <c r="E243" s="82">
        <f>INDEX(SPT[],MATCH(ECF[[#This Row],[Prof. (m)]],SPT[Prof. (m)],0),2)</f>
        <v>0</v>
      </c>
      <c r="F243" s="82" t="str">
        <f>INDEX(SPT[],MATCH(ECF[[#This Row],[Prof. (m)]],SPT[Prof. (m)],0),3)</f>
        <v>Areia siltosa</v>
      </c>
      <c r="G243" s="82">
        <f>INDEX(estacas[],ECF[[#This Row],[idDiâmetro]],MATCH($B$2,estacas[#Headers],0))</f>
        <v>180</v>
      </c>
      <c r="H243" s="82">
        <f>INDEX(estacas[],MATCH(ECF[[#This Row],[Ø (cm)]],estacas[Ø ECF (cm)],0),MATCH(ECF[[#Headers],[Pe ECF (kN)]],estacas[#Headers],0))</f>
        <v>10100</v>
      </c>
      <c r="I243" s="4">
        <f>INDEX(K_alpha_C[],MATCH(ECF[[#This Row],[Solo]],K_alpha_C[Solo],0),2)</f>
        <v>0.8</v>
      </c>
      <c r="J243" s="5">
        <f>INDEX(K_alpha_C[],MATCH(ECF[[#This Row],[Solo]],K_alpha_C[Solo],0),3)</f>
        <v>2</v>
      </c>
      <c r="K243" s="4">
        <f>INDEX(F1_F2[],MATCH($D$2,F1_F2[Tipo de estaca],0),2)</f>
        <v>3</v>
      </c>
      <c r="L243" s="4">
        <f>INDEX(F1_F2[],MATCH($D$2,F1_F2[Tipo de estaca],0),3)</f>
        <v>6</v>
      </c>
      <c r="M243" s="4">
        <f>PI()*(ECF[[#This Row],[Ø (cm)]]/100)^2/4</f>
        <v>2.5446900494077327</v>
      </c>
      <c r="N243" s="4">
        <f>PI()*ECF[[#This Row],[Ø (cm)]]/100</f>
        <v>5.6548667764616276</v>
      </c>
      <c r="O243" s="4">
        <f>IF(ECF[[#This Row],[Prof. (m)]]=0,0,ECF[[#This Row],[α (%)]]/100*ECF[[#This Row],[K (MPa)]]*1000*ECF[[#This Row],[NSPT]])</f>
        <v>0</v>
      </c>
      <c r="P243" s="4">
        <f>IF(ECF[[#This Row],[Prof. (m)]]=0,0,(ECF[[#This Row],[K (MPa)]]*1000*ECF[[#This Row],[NSPT]]/ECF[[#This Row],[F1]]*ECF[[#This Row],[Ap (m²)]]+ECF[[#This Row],[U (m)]]/ECF[[#This Row],[F2]]*SUMIFS(ECF[(α∙K∙NL∙ΔL)],ECF[Prof. (m)],"&lt;="&amp;ECF[[#This Row],[Prof. (m)]],ECF[idDiâmetro],ECF[[#This Row],[idDiâmetro]],ECF[idPilar],ECF[[#This Row],[idPilar]]))/'DADOS CAP. CARGA'!$D$2)</f>
        <v>0</v>
      </c>
      <c r="Q243" s="12">
        <f>INDEX(C_alpha_beta[],MATCH(ECF[[#This Row],[Solo]],C_alpha_beta[Solo],0),MATCH(ECF[[#Headers],[C (kPa)]],C_alpha_beta[#Headers],0))</f>
        <v>400</v>
      </c>
      <c r="R243" s="4">
        <f>INDEX(C_alpha_beta[],MATCH(ECF[[#This Row],[Solo]],C_alpha_beta[Solo],0),MATCH(ECF[[#Headers],[α ESF]],C_alpha_beta[#Headers],0))</f>
        <v>0.5</v>
      </c>
      <c r="S243" s="4">
        <f>INDEX(C_alpha_beta[],MATCH(ECF[[#This Row],[Solo]],C_alpha_beta[Solo],0),MATCH(ECF[[#Headers],[β ESF]],C_alpha_beta[#Headers],0))</f>
        <v>0.5</v>
      </c>
      <c r="T243" s="4">
        <f>IF(ECF[[#This Row],[Prof. (m)]]=0,0,10*(ECF[[#This Row],[NSPT]]/3+1))</f>
        <v>0</v>
      </c>
      <c r="U243" s="4">
        <f>(ECF[[#This Row],[α ESF]]*ECF[[#This Row],[C (kPa)]]*ECF[[#This Row],[NSPT]]*ECF[[#This Row],[Ap (m²)]])/'DADOS CAP. CARGA'!$Q$2+(ECF[[#This Row],[β ESF]]*SUMIFS(ECF[10∙(NL/3+1)],ECF[Prof. (m)],"&lt;="&amp;ECF[[#This Row],[Prof. (m)]],ECF[idDiâmetro],ECF[[#This Row],[idDiâmetro]],ECF[idPilar],ECF[[#This Row],[idPilar]])*ECF[[#This Row],[U (m)]])/'DADOS CAP. CARGA'!$S$2</f>
        <v>0</v>
      </c>
      <c r="V243" s="4">
        <f>IF(SPT!$M$5=1,MIN(ECF[[#This Row],[Pe ECF (kN)]],ECF[[#This Row],[R_AV (kN)]]),IF(SPT!$M$5=2,MIN(ECF[[#This Row],[Pe ECF (kN)]],ECF[[#This Row],[R_DC (kN)]]),MIN(ECF[[#This Row],[Pe ECF (kN)]],ECF[[#This Row],[R_AV (kN)]],ECF[[#This Row],[R_DC (kN)]])))</f>
        <v>0</v>
      </c>
      <c r="W243" s="4">
        <f>INDEX(PILARES[],ECF[[#This Row],[idPilar]],MATCH("Carga (kN)",PILARES[#Headers],0))*1.4</f>
        <v>1750</v>
      </c>
      <c r="X243" s="12">
        <f>INDEX(PILARES[],ECF[[#This Row],[idPilar]],MATCH(ECF[[#Headers],[ap (cm)]],PILARES[#Headers],0))</f>
        <v>50</v>
      </c>
      <c r="Y243" s="12">
        <f>INDEX(PILARES[],ECF[[#This Row],[idPilar]],MATCH(ECF[[#Headers],[bp (cm)]],PILARES[#Headers],0))</f>
        <v>40</v>
      </c>
      <c r="Z243" s="4">
        <f>SQRT(ECF[[#This Row],[ap (cm)]]*ECF[[#This Row],[bp (cm)]])</f>
        <v>44.721359549995796</v>
      </c>
      <c r="AA243" s="12">
        <f>ECF[[#This Row],[ap (cm)]]*ECF[[#This Row],[bp (cm)]]</f>
        <v>2000</v>
      </c>
      <c r="AB243" s="12" t="e">
        <f ca="1">IF(ECF[[#This Row],[Padm∙ε (kN)]]&gt;=ECF[[#This Row],[Padm (kN)]],ROUNDUP(1.05*ECF[[#This Row],[Nsd (kN)]]/ECF[[#This Row],[Padm (kN)]],0),ROUNDUP(1.05*ECF[[#This Row],[Nsd (kN)]]/ECF[[#This Row],[Padm (kN)]],0)+1)</f>
        <v>#DIV/0!</v>
      </c>
      <c r="AC243" s="4" t="str">
        <f ca="1">IFERROR(IF(ECF[[#This Row],[nE]]=1,ECF[[#This Row],[Padm (kN)]],ECF[[#This Row],[Padm (kN)]]*ECF[[#This Row],[nE]]*INDEX(grupoEstacas[],ECF[[#This Row],[nE]],MATCH("ε",grupoEstacas[#Headers],0))),"N.S.")</f>
        <v>N.S.</v>
      </c>
      <c r="AD243" s="4" t="e">
        <f ca="1">1.05*ECF[[#This Row],[Nsd (kN)]]/(ECF[[#This Row],[nE]]*PI()*ECF[[#This Row],[Ø (cm)]]^2/4)*10</f>
        <v>#DIV/0!</v>
      </c>
      <c r="AE243" s="4" t="e">
        <f ca="1">IF(ECF[[#This Row],[σ (MPa)]]&lt;INDEX(tipoEstaca[],MATCH($D$2,tipoEstaca[TIPO DE ESTACA],0),MATCH("σmáx (MPa)",tipoEstaca[#Headers],0)),0.4%*PI()*ECF[[#This Row],[Ø (cm)]]^2/4,"N.S.")</f>
        <v>#DIV/0!</v>
      </c>
      <c r="AF243" s="82">
        <f>INDEX(tipoEstaca[],MATCH($D$2,tipoEstaca[TIPO DE ESTACA],0),MATCH(ECF[[#Headers],[Comprimento (m)]],tipoEstaca[#Headers],0))</f>
        <v>4</v>
      </c>
      <c r="AG243" s="5" t="e">
        <f ca="1">ECF[[#This Row],[As,mín (cm²)]]/100^2*ECF[[#This Row],[Comprimento (m)]]*7850</f>
        <v>#DIV/0!</v>
      </c>
      <c r="AH243" s="4" t="e">
        <f ca="1">ECF[[#This Row],[nE]]*ECF[[#This Row],[Prof. (m)]]*ECF[[#This Row],[Ap (m²)]]</f>
        <v>#DIV/0!</v>
      </c>
      <c r="AI243" s="82" t="e">
        <f ca="1">IF(ECF[[#This Row],[nE]]=1,0,MAX(3*ECF[[#This Row],[Ø (cm)]],60))</f>
        <v>#DIV/0!</v>
      </c>
      <c r="AJ243" s="82" t="e">
        <f ca="1">IF(ECF[[#This Row],[nE]]=1,ECF[[#This Row],[Ø (cm)]]+2*10,MAX(1.5*ECF[[#This Row],[Ø (cm)]],ECF[[#This Row],[Ø (cm)]]+15))</f>
        <v>#DIV/0!</v>
      </c>
      <c r="AK243" s="82" t="e">
        <f ca="1">alturaUtil(ECF[[#This Row],[nE]],ECF[[#This Row],[Ø (cm)]],ECF[[#This Row],[e (cm)]],ECF[[#This Row],[ap,eq (cm)]])</f>
        <v>#VALUE!</v>
      </c>
      <c r="AL243" s="82" t="str">
        <f ca="1">IFERROR(ECF[[#This Row],[d (cm)]]+arredondarParaCimaMultiplo5cm(MAX(5,SQRT(PI())/2*ECF[[#This Row],[Ø (cm)]]/5)),"N.S.")</f>
        <v>N.S.</v>
      </c>
      <c r="AM243" s="5" t="e">
        <f ca="1">alpha(ECF[[#This Row],[nE]],ECF[[#This Row],[d (cm)]],ECF[[#This Row],[e (cm)]],ECF[[#This Row],[ap,eq (cm)]])</f>
        <v>#VALUE!</v>
      </c>
      <c r="AN243" s="35" t="str">
        <f ca="1">IFERROR(ECF[[#This Row],[Nsd (kN)]]/(ECF[[#This Row],[Ap (cm²)]]*SIN(ECF[[#This Row],[α]])^2),"N.S.")</f>
        <v>N.S.</v>
      </c>
      <c r="AO243" s="35" t="str">
        <f ca="1">IFERROR(ECF[[#This Row],[Nsd (kN)]]/(ECF[[#This Row],[nE]]*PI()*ECF[[#This Row],[Ø (cm)]]^2/4*SIN(ECF[[#This Row],[α]])^2),"N.S.")</f>
        <v>N.S.</v>
      </c>
      <c r="AP243" s="4" t="str">
        <f ca="1">IFERROR(INDEX(grupoEstacas[],ECF[[#This Row],[nE]],MATCH("coef. Blévot",grupoEstacas[#Headers],0)),"N.S.")</f>
        <v>N.S.</v>
      </c>
      <c r="AQ243" s="35" t="str">
        <f ca="1">IFERROR(ECF[[#This Row],[coef. Blévot]]*0.9*INDEX(tipoEstaca[],MATCH($D$2,tipoEstaca[TIPO DE ESTACA],0),MATCH("fcd (kN/cm²)",tipoEstaca[#Headers],0)),"N.S.")</f>
        <v>N.S.</v>
      </c>
      <c r="AR243" s="82" t="str">
        <f ca="1">IF(AND(ECF[[#This Row],[cd,b,pil (kN/cm²)]]&lt;=ECF[[#This Row],[cd,b,lim (kN/cm²)]],ECF[[#This Row],[cd,b,est (kN/cm²)]]&lt;=ECF[[#This Row],[cd,b,lim (kN/cm²)]]),"OK","ERRO")</f>
        <v>OK</v>
      </c>
      <c r="AS243" s="4" t="e">
        <f ca="1">As_lado(ECF[[#This Row],[nE]],ECF[[#This Row],[Nsd (kN)]],ECF[[#This Row],[d (cm)]],ECF[[#This Row],[e (cm)]],ECF[[#This Row],[ap,eq (cm)]])</f>
        <v>#VALUE!</v>
      </c>
      <c r="AT243" s="4" t="e">
        <f ca="1">IF(ECF[[#This Row],[nE]]=1,ECF[[#This Row],[As,lado (cm²)]],IF(ECF[[#This Row],[nE]]=2,0.075*2*ECF[a (cm)],"N.A."))</f>
        <v>#DIV/0!</v>
      </c>
      <c r="AU243" s="4" t="str">
        <f ca="1">IFERROR(IF(ECF[[#This Row],[nE]]=1,"N.A.",0.2*ECF[[#This Row],[As,lado (cm²)]]),"N.S.")</f>
        <v>N.S.</v>
      </c>
      <c r="AV243" s="4" t="e">
        <f ca="1">As_malha(ECF[[#This Row],[nE]],ECF[[#This Row],[As,lado (cm²)]],ECF[[#This Row],[Nsd (kN)]])</f>
        <v>#VALUE!</v>
      </c>
      <c r="AW243" s="4" t="e">
        <f ca="1">As_susp_tot(ECF[[#This Row],[nE]],ECF[[#This Row],[Nsd (kN)]])</f>
        <v>#VALUE!</v>
      </c>
      <c r="AX243" s="4" t="e">
        <f ca="1">Asp_face(ECF[[#This Row],[nE]],ECF[[#This Row],[As,lado (cm²)]])</f>
        <v>#VALUE!</v>
      </c>
      <c r="AY243" s="5" t="e">
        <f ca="1">acoBloco(ECF[[#This Row],[nE]],ECF[[#This Row],[e (cm)]],ECF[[#This Row],[a (cm)]],ECF[[#This Row],[h (cm)]],ECF[[#This Row],[As,lado (cm²)]],ECF[[#This Row],[Asp e Asw (cm²/m)]],ECF[[#This Row],[As,sup (cm²)]],ECF[[#This Row],[As,malha (cm²)]],ECF[[#This Row],[As,susp,tot (cm²)]],ECF[[#This Row],[Asp,face (cm²)]])</f>
        <v>#VALUE!</v>
      </c>
      <c r="AZ243" s="4" t="e">
        <f ca="1">concretoBloco(ECF[[#This Row],[nE]],ECF[[#This Row],[e (cm)]],ECF[[#This Row],[a (cm)]],ECF[[#This Row],[h (cm)]])</f>
        <v>#VALUE!</v>
      </c>
      <c r="BA243" s="5" t="e">
        <f ca="1">SUM(ECF[[#This Row],[Aço Est (kg)]],ECF[[#This Row],[Aço Bloco (kg)]])</f>
        <v>#DIV/0!</v>
      </c>
      <c r="BB243" s="4">
        <f>INDEX(composicoes[],MATCH(95580,composicoes[CÓDIGO],0),MATCH("CUSTO TOTAL",composicoes[#Headers],0))</f>
        <v>10.46</v>
      </c>
      <c r="BC243" s="4" t="e">
        <f ca="1">SUM(ECF[[#This Row],[Conc Est (m³)]],ECF[[#This Row],[Conc Bloco (m³)]])</f>
        <v>#DIV/0!</v>
      </c>
      <c r="BD243" s="4">
        <f>INDEX(composicoes[],MATCH(94966,composicoes[CÓDIGO],0),MATCH("CUSTO TOTAL",composicoes[#Headers],0))</f>
        <v>439.52</v>
      </c>
      <c r="BE243" s="38" t="e">
        <f ca="1">ECF[[#This Row],[Aço (kg)]]*ECF[[#This Row],[Aço (R$/kg)]]+ECF[[#This Row],[Conc (m³)]]*ECF[[#This Row],[Conc (R$/m³)]]</f>
        <v>#DIV/0!</v>
      </c>
      <c r="BF243" s="4" t="str">
        <f ca="1">IF(COUNTIF(ECF[#This Row],"N.S.")&gt;0,"lim.","OK")</f>
        <v>lim.</v>
      </c>
      <c r="BG243" s="4" t="str">
        <f>IF(ECF[[#This Row],[Prof. (m)]]&lt;4,"lim.","OK")</f>
        <v>lim.</v>
      </c>
      <c r="BH243" s="4" t="str">
        <f>IF(ECF[[#This Row],[Prof. (m)]]&gt;=8*ECF[[#This Row],[Ø (cm)]]/100,"OK","lim.")</f>
        <v>lim.</v>
      </c>
      <c r="BI243" s="4" t="str">
        <f>IF(AND(SPT!$F$3&lt;&gt;"",ECF[[#This Row],[Prof. (m)]]&gt;=SPT!$F$3-2),"lim.","OK")</f>
        <v>OK</v>
      </c>
      <c r="BJ243" s="4" t="str">
        <f ca="1">IF(ECF[[#This Row],[Verif. Biela]]="OK","OK","lim.")</f>
        <v>OK</v>
      </c>
      <c r="BK243" s="4" t="str">
        <f ca="1">IF(COUNTA(ECF[[#This Row],[Nº Est.]:[Biela comp.]])=COUNTIF(ECF[[#This Row],[Nº Est.]:[Biela comp.]],"OK"),"OK","lim.")</f>
        <v>lim.</v>
      </c>
      <c r="BL243" s="4" t="str">
        <f ca="1">IF(ECF[[#This Row],[Controle]]="OK",ECF[[#This Row],[nE]]&amp;" Ø "&amp;ECF[[#This Row],[Ø (cm)]]&amp;" cm, Prof. "&amp;ECF[[#This Row],[Prof. (m)]]&amp;" m","")</f>
        <v/>
      </c>
      <c r="BM243" s="4" t="str">
        <f ca="1">IF(ECF[[#This Row],[idDimensionamento]]="","",ECF[[#This Row],[idPilar]]&amp;ECF[[#This Row],[idDimensionamento]])</f>
        <v/>
      </c>
    </row>
    <row r="244" spans="2:65" x14ac:dyDescent="0.25">
      <c r="B244" s="12">
        <f>ROUNDUP((ROW(ECF[[#This Row],[idDiâmetro]])-ROW(ECF[[#Headers],[idDiâmetro]]))/(COUNT(SPT[Prof. (m)])*COUNT(PILARES[Pilar])),0)</f>
        <v>9</v>
      </c>
      <c r="C244" s="12">
        <f>IF(ECF[[#This Row],[idDiâmetro]]&lt;&gt;B243,1,IF(ECF[[#This Row],[Prof. (m)]]=0,C243+1,C243))</f>
        <v>2</v>
      </c>
      <c r="D244" s="82">
        <f>IFERROR(IF(D243=MAX(SPT[Prof. (m)]),0,D243+1),0)</f>
        <v>1</v>
      </c>
      <c r="E244" s="82">
        <f>INDEX(SPT[],MATCH(ECF[[#This Row],[Prof. (m)]],SPT[Prof. (m)],0),2)</f>
        <v>2</v>
      </c>
      <c r="F244" s="82" t="str">
        <f>INDEX(SPT[],MATCH(ECF[[#This Row],[Prof. (m)]],SPT[Prof. (m)],0),3)</f>
        <v>Areia siltosa</v>
      </c>
      <c r="G244" s="82">
        <f>INDEX(estacas[],ECF[[#This Row],[idDiâmetro]],MATCH($B$2,estacas[#Headers],0))</f>
        <v>180</v>
      </c>
      <c r="H244" s="82">
        <f>INDEX(estacas[],MATCH(ECF[[#This Row],[Ø (cm)]],estacas[Ø ECF (cm)],0),MATCH(ECF[[#Headers],[Pe ECF (kN)]],estacas[#Headers],0))</f>
        <v>10100</v>
      </c>
      <c r="I244" s="4">
        <f>INDEX(K_alpha_C[],MATCH(ECF[[#This Row],[Solo]],K_alpha_C[Solo],0),2)</f>
        <v>0.8</v>
      </c>
      <c r="J244" s="5">
        <f>INDEX(K_alpha_C[],MATCH(ECF[[#This Row],[Solo]],K_alpha_C[Solo],0),3)</f>
        <v>2</v>
      </c>
      <c r="K244" s="4">
        <f>INDEX(F1_F2[],MATCH($D$2,F1_F2[Tipo de estaca],0),2)</f>
        <v>3</v>
      </c>
      <c r="L244" s="4">
        <f>INDEX(F1_F2[],MATCH($D$2,F1_F2[Tipo de estaca],0),3)</f>
        <v>6</v>
      </c>
      <c r="M244" s="4">
        <f>PI()*(ECF[[#This Row],[Ø (cm)]]/100)^2/4</f>
        <v>2.5446900494077327</v>
      </c>
      <c r="N244" s="4">
        <f>PI()*ECF[[#This Row],[Ø (cm)]]/100</f>
        <v>5.6548667764616276</v>
      </c>
      <c r="O244" s="4">
        <f>IF(ECF[[#This Row],[Prof. (m)]]=0,0,ECF[[#This Row],[α (%)]]/100*ECF[[#This Row],[K (MPa)]]*1000*ECF[[#This Row],[NSPT]])</f>
        <v>32</v>
      </c>
      <c r="P244" s="4">
        <f>IF(ECF[[#This Row],[Prof. (m)]]=0,0,(ECF[[#This Row],[K (MPa)]]*1000*ECF[[#This Row],[NSPT]]/ECF[[#This Row],[F1]]*ECF[[#This Row],[Ap (m²)]]+ECF[[#This Row],[U (m)]]/ECF[[#This Row],[F2]]*SUMIFS(ECF[(α∙K∙NL∙ΔL)],ECF[Prof. (m)],"&lt;="&amp;ECF[[#This Row],[Prof. (m)]],ECF[idDiâmetro],ECF[[#This Row],[idDiâmetro]],ECF[idPilar],ECF[[#This Row],[idPilar]]))/'DADOS CAP. CARGA'!$D$2)</f>
        <v>693.66365791262638</v>
      </c>
      <c r="Q244" s="12">
        <f>INDEX(C_alpha_beta[],MATCH(ECF[[#This Row],[Solo]],C_alpha_beta[Solo],0),MATCH(ECF[[#Headers],[C (kPa)]],C_alpha_beta[#Headers],0))</f>
        <v>400</v>
      </c>
      <c r="R244" s="4">
        <f>INDEX(C_alpha_beta[],MATCH(ECF[[#This Row],[Solo]],C_alpha_beta[Solo],0),MATCH(ECF[[#Headers],[α ESF]],C_alpha_beta[#Headers],0))</f>
        <v>0.5</v>
      </c>
      <c r="S244" s="4">
        <f>INDEX(C_alpha_beta[],MATCH(ECF[[#This Row],[Solo]],C_alpha_beta[Solo],0),MATCH(ECF[[#Headers],[β ESF]],C_alpha_beta[#Headers],0))</f>
        <v>0.5</v>
      </c>
      <c r="T244" s="4">
        <f>IF(ECF[[#This Row],[Prof. (m)]]=0,0,10*(ECF[[#This Row],[NSPT]]/3+1))</f>
        <v>16.666666666666664</v>
      </c>
      <c r="U244" s="4">
        <f>(ECF[[#This Row],[α ESF]]*ECF[[#This Row],[C (kPa)]]*ECF[[#This Row],[NSPT]]*ECF[[#This Row],[Ap (m²)]])/'DADOS CAP. CARGA'!$Q$2+(ECF[[#This Row],[β ESF]]*SUMIFS(ECF[10∙(NL/3+1)],ECF[Prof. (m)],"&lt;="&amp;ECF[[#This Row],[Prof. (m)]],ECF[idDiâmetro],ECF[[#This Row],[idDiâmetro]],ECF[idPilar],ECF[[#This Row],[idPilar]])*ECF[[#This Row],[U (m)]])/'DADOS CAP. CARGA'!$S$2</f>
        <v>278.03094984269671</v>
      </c>
      <c r="V244" s="4">
        <f>IF(SPT!$M$5=1,MIN(ECF[[#This Row],[Pe ECF (kN)]],ECF[[#This Row],[R_AV (kN)]]),IF(SPT!$M$5=2,MIN(ECF[[#This Row],[Pe ECF (kN)]],ECF[[#This Row],[R_DC (kN)]]),MIN(ECF[[#This Row],[Pe ECF (kN)]],ECF[[#This Row],[R_AV (kN)]],ECF[[#This Row],[R_DC (kN)]])))</f>
        <v>278.03094984269671</v>
      </c>
      <c r="W244" s="4">
        <f>INDEX(PILARES[],ECF[[#This Row],[idPilar]],MATCH("Carga (kN)",PILARES[#Headers],0))*1.4</f>
        <v>1750</v>
      </c>
      <c r="X244" s="12">
        <f>INDEX(PILARES[],ECF[[#This Row],[idPilar]],MATCH(ECF[[#Headers],[ap (cm)]],PILARES[#Headers],0))</f>
        <v>50</v>
      </c>
      <c r="Y244" s="12">
        <f>INDEX(PILARES[],ECF[[#This Row],[idPilar]],MATCH(ECF[[#Headers],[bp (cm)]],PILARES[#Headers],0))</f>
        <v>40</v>
      </c>
      <c r="Z244" s="4">
        <f>SQRT(ECF[[#This Row],[ap (cm)]]*ECF[[#This Row],[bp (cm)]])</f>
        <v>44.721359549995796</v>
      </c>
      <c r="AA244" s="12">
        <f>ECF[[#This Row],[ap (cm)]]*ECF[[#This Row],[bp (cm)]]</f>
        <v>2000</v>
      </c>
      <c r="AB244" s="12">
        <f ca="1">IF(ECF[[#This Row],[Padm∙ε (kN)]]&gt;=ECF[[#This Row],[Padm (kN)]],ROUNDUP(1.05*ECF[[#This Row],[Nsd (kN)]]/ECF[[#This Row],[Padm (kN)]],0),ROUNDUP(1.05*ECF[[#This Row],[Nsd (kN)]]/ECF[[#This Row],[Padm (kN)]],0)+1)</f>
        <v>7</v>
      </c>
      <c r="AC244" s="4" t="str">
        <f ca="1">IFERROR(IF(ECF[[#This Row],[nE]]=1,ECF[[#This Row],[Padm (kN)]],ECF[[#This Row],[Padm (kN)]]*ECF[[#This Row],[nE]]*INDEX(grupoEstacas[],ECF[[#This Row],[nE]],MATCH("ε",grupoEstacas[#Headers],0))),"N.S.")</f>
        <v>N.S.</v>
      </c>
      <c r="AD244" s="4">
        <f ca="1">1.05*ECF[[#This Row],[Nsd (kN)]]/(ECF[[#This Row],[nE]]*PI()*ECF[[#This Row],[Ø (cm)]]^2/4)*10</f>
        <v>0.10315598163363587</v>
      </c>
      <c r="AE244" s="4">
        <f ca="1">IF(ECF[[#This Row],[σ (MPa)]]&lt;INDEX(tipoEstaca[],MATCH($D$2,tipoEstaca[TIPO DE ESTACA],0),MATCH("σmáx (MPa)",tipoEstaca[#Headers],0)),0.4%*PI()*ECF[[#This Row],[Ø (cm)]]^2/4,"N.S.")</f>
        <v>101.7876019763093</v>
      </c>
      <c r="AF244" s="82">
        <f>INDEX(tipoEstaca[],MATCH($D$2,tipoEstaca[TIPO DE ESTACA],0),MATCH(ECF[[#Headers],[Comprimento (m)]],tipoEstaca[#Headers],0))</f>
        <v>4</v>
      </c>
      <c r="AG244" s="5">
        <f ca="1">ECF[[#This Row],[As,mín (cm²)]]/100^2*ECF[[#This Row],[Comprimento (m)]]*7850</f>
        <v>319.61307020561122</v>
      </c>
      <c r="AH244" s="4">
        <f ca="1">ECF[[#This Row],[nE]]*ECF[[#This Row],[Prof. (m)]]*ECF[[#This Row],[Ap (m²)]]</f>
        <v>17.812830345854128</v>
      </c>
      <c r="AI244" s="82">
        <f ca="1">IF(ECF[[#This Row],[nE]]=1,0,MAX(3*ECF[[#This Row],[Ø (cm)]],60))</f>
        <v>540</v>
      </c>
      <c r="AJ244" s="82">
        <f ca="1">IF(ECF[[#This Row],[nE]]=1,ECF[[#This Row],[Ø (cm)]]+2*10,MAX(1.5*ECF[[#This Row],[Ø (cm)]],ECF[[#This Row],[Ø (cm)]]+15))</f>
        <v>270</v>
      </c>
      <c r="AK244" s="82" t="str">
        <f ca="1">alturaUtil(ECF[[#This Row],[nE]],ECF[[#This Row],[Ø (cm)]],ECF[[#This Row],[e (cm)]],ECF[[#This Row],[ap,eq (cm)]])</f>
        <v>N.S.</v>
      </c>
      <c r="AL244" s="82" t="str">
        <f ca="1">IFERROR(ECF[[#This Row],[d (cm)]]+arredondarParaCimaMultiplo5cm(MAX(5,SQRT(PI())/2*ECF[[#This Row],[Ø (cm)]]/5)),"N.S.")</f>
        <v>N.S.</v>
      </c>
      <c r="AM244" s="5" t="str">
        <f ca="1">alpha(ECF[[#This Row],[nE]],ECF[[#This Row],[d (cm)]],ECF[[#This Row],[e (cm)]],ECF[[#This Row],[ap,eq (cm)]])</f>
        <v>N.S.</v>
      </c>
      <c r="AN244" s="35" t="str">
        <f ca="1">IFERROR(ECF[[#This Row],[Nsd (kN)]]/(ECF[[#This Row],[Ap (cm²)]]*SIN(ECF[[#This Row],[α]])^2),"N.S.")</f>
        <v>N.S.</v>
      </c>
      <c r="AO244" s="35" t="str">
        <f ca="1">IFERROR(ECF[[#This Row],[Nsd (kN)]]/(ECF[[#This Row],[nE]]*PI()*ECF[[#This Row],[Ø (cm)]]^2/4*SIN(ECF[[#This Row],[α]])^2),"N.S.")</f>
        <v>N.S.</v>
      </c>
      <c r="AP244" s="4" t="str">
        <f ca="1">IFERROR(INDEX(grupoEstacas[],ECF[[#This Row],[nE]],MATCH("coef. Blévot",grupoEstacas[#Headers],0)),"N.S.")</f>
        <v>N.S.</v>
      </c>
      <c r="AQ244" s="35" t="str">
        <f ca="1">IFERROR(ECF[[#This Row],[coef. Blévot]]*0.9*INDEX(tipoEstaca[],MATCH($D$2,tipoEstaca[TIPO DE ESTACA],0),MATCH("fcd (kN/cm²)",tipoEstaca[#Headers],0)),"N.S.")</f>
        <v>N.S.</v>
      </c>
      <c r="AR244" s="82" t="str">
        <f ca="1">IF(AND(ECF[[#This Row],[cd,b,pil (kN/cm²)]]&lt;=ECF[[#This Row],[cd,b,lim (kN/cm²)]],ECF[[#This Row],[cd,b,est (kN/cm²)]]&lt;=ECF[[#This Row],[cd,b,lim (kN/cm²)]]),"OK","ERRO")</f>
        <v>OK</v>
      </c>
      <c r="AS244" s="4" t="str">
        <f ca="1">As_lado(ECF[[#This Row],[nE]],ECF[[#This Row],[Nsd (kN)]],ECF[[#This Row],[d (cm)]],ECF[[#This Row],[e (cm)]],ECF[[#This Row],[ap,eq (cm)]])</f>
        <v>N.S.</v>
      </c>
      <c r="AT244" s="4" t="str">
        <f ca="1">IF(ECF[[#This Row],[nE]]=1,ECF[[#This Row],[As,lado (cm²)]],IF(ECF[[#This Row],[nE]]=2,0.075*2*ECF[a (cm)],"N.A."))</f>
        <v>N.A.</v>
      </c>
      <c r="AU244" s="4" t="str">
        <f ca="1">IFERROR(IF(ECF[[#This Row],[nE]]=1,"N.A.",0.2*ECF[[#This Row],[As,lado (cm²)]]),"N.S.")</f>
        <v>N.S.</v>
      </c>
      <c r="AV244" s="4" t="str">
        <f ca="1">As_malha(ECF[[#This Row],[nE]],ECF[[#This Row],[As,lado (cm²)]],ECF[[#This Row],[Nsd (kN)]])</f>
        <v>N.S.</v>
      </c>
      <c r="AW244" s="4" t="str">
        <f ca="1">As_susp_tot(ECF[[#This Row],[nE]],ECF[[#This Row],[Nsd (kN)]])</f>
        <v>N.S.</v>
      </c>
      <c r="AX244" s="4" t="str">
        <f ca="1">Asp_face(ECF[[#This Row],[nE]],ECF[[#This Row],[As,lado (cm²)]])</f>
        <v>N.S.</v>
      </c>
      <c r="AY244" s="5" t="str">
        <f ca="1">acoBloco(ECF[[#This Row],[nE]],ECF[[#This Row],[e (cm)]],ECF[[#This Row],[a (cm)]],ECF[[#This Row],[h (cm)]],ECF[[#This Row],[As,lado (cm²)]],ECF[[#This Row],[Asp e Asw (cm²/m)]],ECF[[#This Row],[As,sup (cm²)]],ECF[[#This Row],[As,malha (cm²)]],ECF[[#This Row],[As,susp,tot (cm²)]],ECF[[#This Row],[Asp,face (cm²)]])</f>
        <v>N.S.</v>
      </c>
      <c r="AZ244" s="4" t="str">
        <f ca="1">concretoBloco(ECF[[#This Row],[nE]],ECF[[#This Row],[e (cm)]],ECF[[#This Row],[a (cm)]],ECF[[#This Row],[h (cm)]])</f>
        <v>N.S.</v>
      </c>
      <c r="BA244" s="5">
        <f ca="1">SUM(ECF[[#This Row],[Aço Est (kg)]],ECF[[#This Row],[Aço Bloco (kg)]])</f>
        <v>319.61307020561122</v>
      </c>
      <c r="BB244" s="4">
        <f>INDEX(composicoes[],MATCH(95580,composicoes[CÓDIGO],0),MATCH("CUSTO TOTAL",composicoes[#Headers],0))</f>
        <v>10.46</v>
      </c>
      <c r="BC244" s="4">
        <f ca="1">SUM(ECF[[#This Row],[Conc Est (m³)]],ECF[[#This Row],[Conc Bloco (m³)]])</f>
        <v>17.812830345854128</v>
      </c>
      <c r="BD244" s="4">
        <f>INDEX(composicoes[],MATCH(94966,composicoes[CÓDIGO],0),MATCH("CUSTO TOTAL",composicoes[#Headers],0))</f>
        <v>439.52</v>
      </c>
      <c r="BE244" s="38">
        <f ca="1">ECF[[#This Row],[Aço (kg)]]*ECF[[#This Row],[Aço (R$/kg)]]+ECF[[#This Row],[Conc (m³)]]*ECF[[#This Row],[Conc (R$/m³)]]</f>
        <v>11172.2479079605</v>
      </c>
      <c r="BF244" s="4" t="str">
        <f ca="1">IF(COUNTIF(ECF[#This Row],"N.S.")&gt;0,"lim.","OK")</f>
        <v>lim.</v>
      </c>
      <c r="BG244" s="4" t="str">
        <f>IF(ECF[[#This Row],[Prof. (m)]]&lt;4,"lim.","OK")</f>
        <v>lim.</v>
      </c>
      <c r="BH244" s="4" t="str">
        <f>IF(ECF[[#This Row],[Prof. (m)]]&gt;=8*ECF[[#This Row],[Ø (cm)]]/100,"OK","lim.")</f>
        <v>lim.</v>
      </c>
      <c r="BI244" s="4" t="str">
        <f>IF(AND(SPT!$F$3&lt;&gt;"",ECF[[#This Row],[Prof. (m)]]&gt;=SPT!$F$3-2),"lim.","OK")</f>
        <v>OK</v>
      </c>
      <c r="BJ244" s="4" t="str">
        <f ca="1">IF(ECF[[#This Row],[Verif. Biela]]="OK","OK","lim.")</f>
        <v>OK</v>
      </c>
      <c r="BK244" s="4" t="str">
        <f ca="1">IF(COUNTA(ECF[[#This Row],[Nº Est.]:[Biela comp.]])=COUNTIF(ECF[[#This Row],[Nº Est.]:[Biela comp.]],"OK"),"OK","lim.")</f>
        <v>lim.</v>
      </c>
      <c r="BL244" s="4" t="str">
        <f ca="1">IF(ECF[[#This Row],[Controle]]="OK",ECF[[#This Row],[nE]]&amp;" Ø "&amp;ECF[[#This Row],[Ø (cm)]]&amp;" cm, Prof. "&amp;ECF[[#This Row],[Prof. (m)]]&amp;" m","")</f>
        <v/>
      </c>
      <c r="BM244" s="4" t="str">
        <f ca="1">IF(ECF[[#This Row],[idDimensionamento]]="","",ECF[[#This Row],[idPilar]]&amp;ECF[[#This Row],[idDimensionamento]])</f>
        <v/>
      </c>
    </row>
    <row r="245" spans="2:65" x14ac:dyDescent="0.25">
      <c r="B245" s="12">
        <f>ROUNDUP((ROW(ECF[[#This Row],[idDiâmetro]])-ROW(ECF[[#Headers],[idDiâmetro]]))/(COUNT(SPT[Prof. (m)])*COUNT(PILARES[Pilar])),0)</f>
        <v>9</v>
      </c>
      <c r="C245" s="12">
        <f>IF(ECF[[#This Row],[idDiâmetro]]&lt;&gt;B244,1,IF(ECF[[#This Row],[Prof. (m)]]=0,C244+1,C244))</f>
        <v>2</v>
      </c>
      <c r="D245" s="82">
        <f>IFERROR(IF(D244=MAX(SPT[Prof. (m)]),0,D244+1),0)</f>
        <v>2</v>
      </c>
      <c r="E245" s="82">
        <f>INDEX(SPT[],MATCH(ECF[[#This Row],[Prof. (m)]],SPT[Prof. (m)],0),2)</f>
        <v>2</v>
      </c>
      <c r="F245" s="82" t="str">
        <f>INDEX(SPT[],MATCH(ECF[[#This Row],[Prof. (m)]],SPT[Prof. (m)],0),3)</f>
        <v>Areia siltosa</v>
      </c>
      <c r="G245" s="82">
        <f>INDEX(estacas[],ECF[[#This Row],[idDiâmetro]],MATCH($B$2,estacas[#Headers],0))</f>
        <v>180</v>
      </c>
      <c r="H245" s="82">
        <f>INDEX(estacas[],MATCH(ECF[[#This Row],[Ø (cm)]],estacas[Ø ECF (cm)],0),MATCH(ECF[[#Headers],[Pe ECF (kN)]],estacas[#Headers],0))</f>
        <v>10100</v>
      </c>
      <c r="I245" s="4">
        <f>INDEX(K_alpha_C[],MATCH(ECF[[#This Row],[Solo]],K_alpha_C[Solo],0),2)</f>
        <v>0.8</v>
      </c>
      <c r="J245" s="5">
        <f>INDEX(K_alpha_C[],MATCH(ECF[[#This Row],[Solo]],K_alpha_C[Solo],0),3)</f>
        <v>2</v>
      </c>
      <c r="K245" s="4">
        <f>INDEX(F1_F2[],MATCH($D$2,F1_F2[Tipo de estaca],0),2)</f>
        <v>3</v>
      </c>
      <c r="L245" s="4">
        <f>INDEX(F1_F2[],MATCH($D$2,F1_F2[Tipo de estaca],0),3)</f>
        <v>6</v>
      </c>
      <c r="M245" s="4">
        <f>PI()*(ECF[[#This Row],[Ø (cm)]]/100)^2/4</f>
        <v>2.5446900494077327</v>
      </c>
      <c r="N245" s="4">
        <f>PI()*ECF[[#This Row],[Ø (cm)]]/100</f>
        <v>5.6548667764616276</v>
      </c>
      <c r="O245" s="4">
        <f>IF(ECF[[#This Row],[Prof. (m)]]=0,0,ECF[[#This Row],[α (%)]]/100*ECF[[#This Row],[K (MPa)]]*1000*ECF[[#This Row],[NSPT]])</f>
        <v>32</v>
      </c>
      <c r="P245" s="4">
        <f>IF(ECF[[#This Row],[Prof. (m)]]=0,0,(ECF[[#This Row],[K (MPa)]]*1000*ECF[[#This Row],[NSPT]]/ECF[[#This Row],[F1]]*ECF[[#This Row],[Ap (m²)]]+ECF[[#This Row],[U (m)]]/ECF[[#This Row],[F2]]*SUMIFS(ECF[(α∙K∙NL∙ΔL)],ECF[Prof. (m)],"&lt;="&amp;ECF[[#This Row],[Prof. (m)]],ECF[idDiâmetro],ECF[[#This Row],[idDiâmetro]],ECF[idPilar],ECF[[#This Row],[idPilar]]))/'DADOS CAP. CARGA'!$D$2)</f>
        <v>708.74330264985747</v>
      </c>
      <c r="Q245" s="12">
        <f>INDEX(C_alpha_beta[],MATCH(ECF[[#This Row],[Solo]],C_alpha_beta[Solo],0),MATCH(ECF[[#Headers],[C (kPa)]],C_alpha_beta[#Headers],0))</f>
        <v>400</v>
      </c>
      <c r="R245" s="4">
        <f>INDEX(C_alpha_beta[],MATCH(ECF[[#This Row],[Solo]],C_alpha_beta[Solo],0),MATCH(ECF[[#Headers],[α ESF]],C_alpha_beta[#Headers],0))</f>
        <v>0.5</v>
      </c>
      <c r="S245" s="4">
        <f>INDEX(C_alpha_beta[],MATCH(ECF[[#This Row],[Solo]],C_alpha_beta[Solo],0),MATCH(ECF[[#Headers],[β ESF]],C_alpha_beta[#Headers],0))</f>
        <v>0.5</v>
      </c>
      <c r="T245" s="4">
        <f>IF(ECF[[#This Row],[Prof. (m)]]=0,0,10*(ECF[[#This Row],[NSPT]]/3+1))</f>
        <v>16.666666666666664</v>
      </c>
      <c r="U245" s="4">
        <f>(ECF[[#This Row],[α ESF]]*ECF[[#This Row],[C (kPa)]]*ECF[[#This Row],[NSPT]]*ECF[[#This Row],[Ap (m²)]])/'DADOS CAP. CARGA'!$Q$2+(ECF[[#This Row],[β ESF]]*SUMIFS(ECF[10∙(NL/3+1)],ECF[Prof. (m)],"&lt;="&amp;ECF[[#This Row],[Prof. (m)]],ECF[idDiâmetro],ECF[[#This Row],[idDiâmetro]],ECF[idPilar],ECF[[#This Row],[idPilar]])*ECF[[#This Row],[U (m)]])/'DADOS CAP. CARGA'!$S$2</f>
        <v>301.59289474462014</v>
      </c>
      <c r="V245" s="4">
        <f>IF(SPT!$M$5=1,MIN(ECF[[#This Row],[Pe ECF (kN)]],ECF[[#This Row],[R_AV (kN)]]),IF(SPT!$M$5=2,MIN(ECF[[#This Row],[Pe ECF (kN)]],ECF[[#This Row],[R_DC (kN)]]),MIN(ECF[[#This Row],[Pe ECF (kN)]],ECF[[#This Row],[R_AV (kN)]],ECF[[#This Row],[R_DC (kN)]])))</f>
        <v>301.59289474462014</v>
      </c>
      <c r="W245" s="4">
        <f>INDEX(PILARES[],ECF[[#This Row],[idPilar]],MATCH("Carga (kN)",PILARES[#Headers],0))*1.4</f>
        <v>1750</v>
      </c>
      <c r="X245" s="12">
        <f>INDEX(PILARES[],ECF[[#This Row],[idPilar]],MATCH(ECF[[#Headers],[ap (cm)]],PILARES[#Headers],0))</f>
        <v>50</v>
      </c>
      <c r="Y245" s="12">
        <f>INDEX(PILARES[],ECF[[#This Row],[idPilar]],MATCH(ECF[[#Headers],[bp (cm)]],PILARES[#Headers],0))</f>
        <v>40</v>
      </c>
      <c r="Z245" s="4">
        <f>SQRT(ECF[[#This Row],[ap (cm)]]*ECF[[#This Row],[bp (cm)]])</f>
        <v>44.721359549995796</v>
      </c>
      <c r="AA245" s="12">
        <f>ECF[[#This Row],[ap (cm)]]*ECF[[#This Row],[bp (cm)]]</f>
        <v>2000</v>
      </c>
      <c r="AB245" s="12">
        <f ca="1">IF(ECF[[#This Row],[Padm∙ε (kN)]]&gt;=ECF[[#This Row],[Padm (kN)]],ROUNDUP(1.05*ECF[[#This Row],[Nsd (kN)]]/ECF[[#This Row],[Padm (kN)]],0),ROUNDUP(1.05*ECF[[#This Row],[Nsd (kN)]]/ECF[[#This Row],[Padm (kN)]],0)+1)</f>
        <v>7</v>
      </c>
      <c r="AC245" s="4" t="str">
        <f ca="1">IFERROR(IF(ECF[[#This Row],[nE]]=1,ECF[[#This Row],[Padm (kN)]],ECF[[#This Row],[Padm (kN)]]*ECF[[#This Row],[nE]]*INDEX(grupoEstacas[],ECF[[#This Row],[nE]],MATCH("ε",grupoEstacas[#Headers],0))),"N.S.")</f>
        <v>N.S.</v>
      </c>
      <c r="AD245" s="4">
        <f ca="1">1.05*ECF[[#This Row],[Nsd (kN)]]/(ECF[[#This Row],[nE]]*PI()*ECF[[#This Row],[Ø (cm)]]^2/4)*10</f>
        <v>0.10315598163363587</v>
      </c>
      <c r="AE245" s="4">
        <f ca="1">IF(ECF[[#This Row],[σ (MPa)]]&lt;INDEX(tipoEstaca[],MATCH($D$2,tipoEstaca[TIPO DE ESTACA],0),MATCH("σmáx (MPa)",tipoEstaca[#Headers],0)),0.4%*PI()*ECF[[#This Row],[Ø (cm)]]^2/4,"N.S.")</f>
        <v>101.7876019763093</v>
      </c>
      <c r="AF245" s="82">
        <f>INDEX(tipoEstaca[],MATCH($D$2,tipoEstaca[TIPO DE ESTACA],0),MATCH(ECF[[#Headers],[Comprimento (m)]],tipoEstaca[#Headers],0))</f>
        <v>4</v>
      </c>
      <c r="AG245" s="5">
        <f ca="1">ECF[[#This Row],[As,mín (cm²)]]/100^2*ECF[[#This Row],[Comprimento (m)]]*7850</f>
        <v>319.61307020561122</v>
      </c>
      <c r="AH245" s="4">
        <f ca="1">ECF[[#This Row],[nE]]*ECF[[#This Row],[Prof. (m)]]*ECF[[#This Row],[Ap (m²)]]</f>
        <v>35.625660691708255</v>
      </c>
      <c r="AI245" s="82">
        <f ca="1">IF(ECF[[#This Row],[nE]]=1,0,MAX(3*ECF[[#This Row],[Ø (cm)]],60))</f>
        <v>540</v>
      </c>
      <c r="AJ245" s="82">
        <f ca="1">IF(ECF[[#This Row],[nE]]=1,ECF[[#This Row],[Ø (cm)]]+2*10,MAX(1.5*ECF[[#This Row],[Ø (cm)]],ECF[[#This Row],[Ø (cm)]]+15))</f>
        <v>270</v>
      </c>
      <c r="AK245" s="82" t="str">
        <f ca="1">alturaUtil(ECF[[#This Row],[nE]],ECF[[#This Row],[Ø (cm)]],ECF[[#This Row],[e (cm)]],ECF[[#This Row],[ap,eq (cm)]])</f>
        <v>N.S.</v>
      </c>
      <c r="AL245" s="82" t="str">
        <f ca="1">IFERROR(ECF[[#This Row],[d (cm)]]+arredondarParaCimaMultiplo5cm(MAX(5,SQRT(PI())/2*ECF[[#This Row],[Ø (cm)]]/5)),"N.S.")</f>
        <v>N.S.</v>
      </c>
      <c r="AM245" s="5" t="str">
        <f ca="1">alpha(ECF[[#This Row],[nE]],ECF[[#This Row],[d (cm)]],ECF[[#This Row],[e (cm)]],ECF[[#This Row],[ap,eq (cm)]])</f>
        <v>N.S.</v>
      </c>
      <c r="AN245" s="35" t="str">
        <f ca="1">IFERROR(ECF[[#This Row],[Nsd (kN)]]/(ECF[[#This Row],[Ap (cm²)]]*SIN(ECF[[#This Row],[α]])^2),"N.S.")</f>
        <v>N.S.</v>
      </c>
      <c r="AO245" s="35" t="str">
        <f ca="1">IFERROR(ECF[[#This Row],[Nsd (kN)]]/(ECF[[#This Row],[nE]]*PI()*ECF[[#This Row],[Ø (cm)]]^2/4*SIN(ECF[[#This Row],[α]])^2),"N.S.")</f>
        <v>N.S.</v>
      </c>
      <c r="AP245" s="4" t="str">
        <f ca="1">IFERROR(INDEX(grupoEstacas[],ECF[[#This Row],[nE]],MATCH("coef. Blévot",grupoEstacas[#Headers],0)),"N.S.")</f>
        <v>N.S.</v>
      </c>
      <c r="AQ245" s="35" t="str">
        <f ca="1">IFERROR(ECF[[#This Row],[coef. Blévot]]*0.9*INDEX(tipoEstaca[],MATCH($D$2,tipoEstaca[TIPO DE ESTACA],0),MATCH("fcd (kN/cm²)",tipoEstaca[#Headers],0)),"N.S.")</f>
        <v>N.S.</v>
      </c>
      <c r="AR245" s="82" t="str">
        <f ca="1">IF(AND(ECF[[#This Row],[cd,b,pil (kN/cm²)]]&lt;=ECF[[#This Row],[cd,b,lim (kN/cm²)]],ECF[[#This Row],[cd,b,est (kN/cm²)]]&lt;=ECF[[#This Row],[cd,b,lim (kN/cm²)]]),"OK","ERRO")</f>
        <v>OK</v>
      </c>
      <c r="AS245" s="4" t="str">
        <f ca="1">As_lado(ECF[[#This Row],[nE]],ECF[[#This Row],[Nsd (kN)]],ECF[[#This Row],[d (cm)]],ECF[[#This Row],[e (cm)]],ECF[[#This Row],[ap,eq (cm)]])</f>
        <v>N.S.</v>
      </c>
      <c r="AT245" s="4" t="str">
        <f ca="1">IF(ECF[[#This Row],[nE]]=1,ECF[[#This Row],[As,lado (cm²)]],IF(ECF[[#This Row],[nE]]=2,0.075*2*ECF[a (cm)],"N.A."))</f>
        <v>N.A.</v>
      </c>
      <c r="AU245" s="4" t="str">
        <f ca="1">IFERROR(IF(ECF[[#This Row],[nE]]=1,"N.A.",0.2*ECF[[#This Row],[As,lado (cm²)]]),"N.S.")</f>
        <v>N.S.</v>
      </c>
      <c r="AV245" s="4" t="str">
        <f ca="1">As_malha(ECF[[#This Row],[nE]],ECF[[#This Row],[As,lado (cm²)]],ECF[[#This Row],[Nsd (kN)]])</f>
        <v>N.S.</v>
      </c>
      <c r="AW245" s="4" t="str">
        <f ca="1">As_susp_tot(ECF[[#This Row],[nE]],ECF[[#This Row],[Nsd (kN)]])</f>
        <v>N.S.</v>
      </c>
      <c r="AX245" s="4" t="str">
        <f ca="1">Asp_face(ECF[[#This Row],[nE]],ECF[[#This Row],[As,lado (cm²)]])</f>
        <v>N.S.</v>
      </c>
      <c r="AY245" s="5" t="str">
        <f ca="1">acoBloco(ECF[[#This Row],[nE]],ECF[[#This Row],[e (cm)]],ECF[[#This Row],[a (cm)]],ECF[[#This Row],[h (cm)]],ECF[[#This Row],[As,lado (cm²)]],ECF[[#This Row],[Asp e Asw (cm²/m)]],ECF[[#This Row],[As,sup (cm²)]],ECF[[#This Row],[As,malha (cm²)]],ECF[[#This Row],[As,susp,tot (cm²)]],ECF[[#This Row],[Asp,face (cm²)]])</f>
        <v>N.S.</v>
      </c>
      <c r="AZ245" s="4" t="str">
        <f ca="1">concretoBloco(ECF[[#This Row],[nE]],ECF[[#This Row],[e (cm)]],ECF[[#This Row],[a (cm)]],ECF[[#This Row],[h (cm)]])</f>
        <v>N.S.</v>
      </c>
      <c r="BA245" s="5">
        <f ca="1">SUM(ECF[[#This Row],[Aço Est (kg)]],ECF[[#This Row],[Aço Bloco (kg)]])</f>
        <v>319.61307020561122</v>
      </c>
      <c r="BB245" s="4">
        <f>INDEX(composicoes[],MATCH(95580,composicoes[CÓDIGO],0),MATCH("CUSTO TOTAL",composicoes[#Headers],0))</f>
        <v>10.46</v>
      </c>
      <c r="BC245" s="4">
        <f ca="1">SUM(ECF[[#This Row],[Conc Est (m³)]],ECF[[#This Row],[Conc Bloco (m³)]])</f>
        <v>35.625660691708255</v>
      </c>
      <c r="BD245" s="4">
        <f>INDEX(composicoes[],MATCH(94966,composicoes[CÓDIGO],0),MATCH("CUSTO TOTAL",composicoes[#Headers],0))</f>
        <v>439.52</v>
      </c>
      <c r="BE245" s="38">
        <f ca="1">ECF[[#This Row],[Aço (kg)]]*ECF[[#This Row],[Aço (R$/kg)]]+ECF[[#This Row],[Conc (m³)]]*ECF[[#This Row],[Conc (R$/m³)]]</f>
        <v>19001.343101570303</v>
      </c>
      <c r="BF245" s="4" t="str">
        <f ca="1">IF(COUNTIF(ECF[#This Row],"N.S.")&gt;0,"lim.","OK")</f>
        <v>lim.</v>
      </c>
      <c r="BG245" s="4" t="str">
        <f>IF(ECF[[#This Row],[Prof. (m)]]&lt;4,"lim.","OK")</f>
        <v>lim.</v>
      </c>
      <c r="BH245" s="4" t="str">
        <f>IF(ECF[[#This Row],[Prof. (m)]]&gt;=8*ECF[[#This Row],[Ø (cm)]]/100,"OK","lim.")</f>
        <v>lim.</v>
      </c>
      <c r="BI245" s="4" t="str">
        <f>IF(AND(SPT!$F$3&lt;&gt;"",ECF[[#This Row],[Prof. (m)]]&gt;=SPT!$F$3-2),"lim.","OK")</f>
        <v>OK</v>
      </c>
      <c r="BJ245" s="4" t="str">
        <f ca="1">IF(ECF[[#This Row],[Verif. Biela]]="OK","OK","lim.")</f>
        <v>OK</v>
      </c>
      <c r="BK245" s="4" t="str">
        <f ca="1">IF(COUNTA(ECF[[#This Row],[Nº Est.]:[Biela comp.]])=COUNTIF(ECF[[#This Row],[Nº Est.]:[Biela comp.]],"OK"),"OK","lim.")</f>
        <v>lim.</v>
      </c>
      <c r="BL245" s="4" t="str">
        <f ca="1">IF(ECF[[#This Row],[Controle]]="OK",ECF[[#This Row],[nE]]&amp;" Ø "&amp;ECF[[#This Row],[Ø (cm)]]&amp;" cm, Prof. "&amp;ECF[[#This Row],[Prof. (m)]]&amp;" m","")</f>
        <v/>
      </c>
      <c r="BM245" s="4" t="str">
        <f ca="1">IF(ECF[[#This Row],[idDimensionamento]]="","",ECF[[#This Row],[idPilar]]&amp;ECF[[#This Row],[idDimensionamento]])</f>
        <v/>
      </c>
    </row>
    <row r="246" spans="2:65" x14ac:dyDescent="0.25">
      <c r="B246" s="12">
        <f>ROUNDUP((ROW(ECF[[#This Row],[idDiâmetro]])-ROW(ECF[[#Headers],[idDiâmetro]]))/(COUNT(SPT[Prof. (m)])*COUNT(PILARES[Pilar])),0)</f>
        <v>9</v>
      </c>
      <c r="C246" s="12">
        <f>IF(ECF[[#This Row],[idDiâmetro]]&lt;&gt;B245,1,IF(ECF[[#This Row],[Prof. (m)]]=0,C245+1,C245))</f>
        <v>2</v>
      </c>
      <c r="D246" s="82">
        <f>IFERROR(IF(D245=MAX(SPT[Prof. (m)]),0,D245+1),0)</f>
        <v>3</v>
      </c>
      <c r="E246" s="82">
        <f>INDEX(SPT[],MATCH(ECF[[#This Row],[Prof. (m)]],SPT[Prof. (m)],0),2)</f>
        <v>4</v>
      </c>
      <c r="F246" s="82" t="str">
        <f>INDEX(SPT[],MATCH(ECF[[#This Row],[Prof. (m)]],SPT[Prof. (m)],0),3)</f>
        <v>Areia siltosa</v>
      </c>
      <c r="G246" s="82">
        <f>INDEX(estacas[],ECF[[#This Row],[idDiâmetro]],MATCH($B$2,estacas[#Headers],0))</f>
        <v>180</v>
      </c>
      <c r="H246" s="82">
        <f>INDEX(estacas[],MATCH(ECF[[#This Row],[Ø (cm)]],estacas[Ø ECF (cm)],0),MATCH(ECF[[#Headers],[Pe ECF (kN)]],estacas[#Headers],0))</f>
        <v>10100</v>
      </c>
      <c r="I246" s="4">
        <f>INDEX(K_alpha_C[],MATCH(ECF[[#This Row],[Solo]],K_alpha_C[Solo],0),2)</f>
        <v>0.8</v>
      </c>
      <c r="J246" s="5">
        <f>INDEX(K_alpha_C[],MATCH(ECF[[#This Row],[Solo]],K_alpha_C[Solo],0),3)</f>
        <v>2</v>
      </c>
      <c r="K246" s="4">
        <f>INDEX(F1_F2[],MATCH($D$2,F1_F2[Tipo de estaca],0),2)</f>
        <v>3</v>
      </c>
      <c r="L246" s="4">
        <f>INDEX(F1_F2[],MATCH($D$2,F1_F2[Tipo de estaca],0),3)</f>
        <v>6</v>
      </c>
      <c r="M246" s="4">
        <f>PI()*(ECF[[#This Row],[Ø (cm)]]/100)^2/4</f>
        <v>2.5446900494077327</v>
      </c>
      <c r="N246" s="4">
        <f>PI()*ECF[[#This Row],[Ø (cm)]]/100</f>
        <v>5.6548667764616276</v>
      </c>
      <c r="O246" s="4">
        <f>IF(ECF[[#This Row],[Prof. (m)]]=0,0,ECF[[#This Row],[α (%)]]/100*ECF[[#This Row],[K (MPa)]]*1000*ECF[[#This Row],[NSPT]])</f>
        <v>64</v>
      </c>
      <c r="P246" s="4">
        <f>IF(ECF[[#This Row],[Prof. (m)]]=0,0,(ECF[[#This Row],[K (MPa)]]*1000*ECF[[#This Row],[NSPT]]/ECF[[#This Row],[F1]]*ECF[[#This Row],[Ap (m²)]]+ECF[[#This Row],[U (m)]]/ECF[[#This Row],[F2]]*SUMIFS(ECF[(α∙K∙NL∙ΔL)],ECF[Prof. (m)],"&lt;="&amp;ECF[[#This Row],[Prof. (m)]],ECF[idDiâmetro],ECF[[#This Row],[idDiâmetro]],ECF[idPilar],ECF[[#This Row],[idPilar]]))/'DADOS CAP. CARGA'!$D$2)</f>
        <v>1417.4866052997149</v>
      </c>
      <c r="Q246" s="12">
        <f>INDEX(C_alpha_beta[],MATCH(ECF[[#This Row],[Solo]],C_alpha_beta[Solo],0),MATCH(ECF[[#Headers],[C (kPa)]],C_alpha_beta[#Headers],0))</f>
        <v>400</v>
      </c>
      <c r="R246" s="4">
        <f>INDEX(C_alpha_beta[],MATCH(ECF[[#This Row],[Solo]],C_alpha_beta[Solo],0),MATCH(ECF[[#Headers],[α ESF]],C_alpha_beta[#Headers],0))</f>
        <v>0.5</v>
      </c>
      <c r="S246" s="4">
        <f>INDEX(C_alpha_beta[],MATCH(ECF[[#This Row],[Solo]],C_alpha_beta[Solo],0),MATCH(ECF[[#Headers],[β ESF]],C_alpha_beta[#Headers],0))</f>
        <v>0.5</v>
      </c>
      <c r="T246" s="4">
        <f>IF(ECF[[#This Row],[Prof. (m)]]=0,0,10*(ECF[[#This Row],[NSPT]]/3+1))</f>
        <v>23.333333333333329</v>
      </c>
      <c r="U246" s="4">
        <f>(ECF[[#This Row],[α ESF]]*ECF[[#This Row],[C (kPa)]]*ECF[[#This Row],[NSPT]]*ECF[[#This Row],[Ap (m²)]])/'DADOS CAP. CARGA'!$Q$2+(ECF[[#This Row],[β ESF]]*SUMIFS(ECF[10∙(NL/3+1)],ECF[Prof. (m)],"&lt;="&amp;ECF[[#This Row],[Prof. (m)]],ECF[idDiâmetro],ECF[[#This Row],[idDiâmetro]],ECF[idPilar],ECF[[#This Row],[idPilar]])*ECF[[#This Row],[U (m)]])/'DADOS CAP. CARGA'!$S$2</f>
        <v>589.0486225480862</v>
      </c>
      <c r="V246" s="4">
        <f>IF(SPT!$M$5=1,MIN(ECF[[#This Row],[Pe ECF (kN)]],ECF[[#This Row],[R_AV (kN)]]),IF(SPT!$M$5=2,MIN(ECF[[#This Row],[Pe ECF (kN)]],ECF[[#This Row],[R_DC (kN)]]),MIN(ECF[[#This Row],[Pe ECF (kN)]],ECF[[#This Row],[R_AV (kN)]],ECF[[#This Row],[R_DC (kN)]])))</f>
        <v>589.0486225480862</v>
      </c>
      <c r="W246" s="4">
        <f>INDEX(PILARES[],ECF[[#This Row],[idPilar]],MATCH("Carga (kN)",PILARES[#Headers],0))*1.4</f>
        <v>1750</v>
      </c>
      <c r="X246" s="12">
        <f>INDEX(PILARES[],ECF[[#This Row],[idPilar]],MATCH(ECF[[#Headers],[ap (cm)]],PILARES[#Headers],0))</f>
        <v>50</v>
      </c>
      <c r="Y246" s="12">
        <f>INDEX(PILARES[],ECF[[#This Row],[idPilar]],MATCH(ECF[[#Headers],[bp (cm)]],PILARES[#Headers],0))</f>
        <v>40</v>
      </c>
      <c r="Z246" s="4">
        <f>SQRT(ECF[[#This Row],[ap (cm)]]*ECF[[#This Row],[bp (cm)]])</f>
        <v>44.721359549995796</v>
      </c>
      <c r="AA246" s="12">
        <f>ECF[[#This Row],[ap (cm)]]*ECF[[#This Row],[bp (cm)]]</f>
        <v>2000</v>
      </c>
      <c r="AB246" s="12">
        <f ca="1">IF(ECF[[#This Row],[Padm∙ε (kN)]]&gt;=ECF[[#This Row],[Padm (kN)]],ROUNDUP(1.05*ECF[[#This Row],[Nsd (kN)]]/ECF[[#This Row],[Padm (kN)]],0),ROUNDUP(1.05*ECF[[#This Row],[Nsd (kN)]]/ECF[[#This Row],[Padm (kN)]],0)+1)</f>
        <v>4</v>
      </c>
      <c r="AC246" s="4">
        <f ca="1">IFERROR(IF(ECF[[#This Row],[nE]]=1,ECF[[#This Row],[Padm (kN)]],ECF[[#This Row],[Padm (kN)]]*ECF[[#This Row],[nE]]*INDEX(grupoEstacas[],ECF[[#This Row],[nE]],MATCH("ε",grupoEstacas[#Headers],0))),"N.S.")</f>
        <v>1914.4080232812801</v>
      </c>
      <c r="AD246" s="4">
        <f ca="1">1.05*ECF[[#This Row],[Nsd (kN)]]/(ECF[[#This Row],[nE]]*PI()*ECF[[#This Row],[Ø (cm)]]^2/4)*10</f>
        <v>0.18052296785886279</v>
      </c>
      <c r="AE246" s="4">
        <f ca="1">IF(ECF[[#This Row],[σ (MPa)]]&lt;INDEX(tipoEstaca[],MATCH($D$2,tipoEstaca[TIPO DE ESTACA],0),MATCH("σmáx (MPa)",tipoEstaca[#Headers],0)),0.4%*PI()*ECF[[#This Row],[Ø (cm)]]^2/4,"N.S.")</f>
        <v>101.7876019763093</v>
      </c>
      <c r="AF246" s="82">
        <f>INDEX(tipoEstaca[],MATCH($D$2,tipoEstaca[TIPO DE ESTACA],0),MATCH(ECF[[#Headers],[Comprimento (m)]],tipoEstaca[#Headers],0))</f>
        <v>4</v>
      </c>
      <c r="AG246" s="5">
        <f ca="1">ECF[[#This Row],[As,mín (cm²)]]/100^2*ECF[[#This Row],[Comprimento (m)]]*7850</f>
        <v>319.61307020561122</v>
      </c>
      <c r="AH246" s="4">
        <f ca="1">ECF[[#This Row],[nE]]*ECF[[#This Row],[Prof. (m)]]*ECF[[#This Row],[Ap (m²)]]</f>
        <v>30.536280592892794</v>
      </c>
      <c r="AI246" s="82">
        <f ca="1">IF(ECF[[#This Row],[nE]]=1,0,MAX(3*ECF[[#This Row],[Ø (cm)]],60))</f>
        <v>540</v>
      </c>
      <c r="AJ246" s="82">
        <f ca="1">IF(ECF[[#This Row],[nE]]=1,ECF[[#This Row],[Ø (cm)]]+2*10,MAX(1.5*ECF[[#This Row],[Ø (cm)]],ECF[[#This Row],[Ø (cm)]]+15))</f>
        <v>270</v>
      </c>
      <c r="AK246" s="82">
        <f ca="1">alturaUtil(ECF[[#This Row],[nE]],ECF[[#This Row],[Ø (cm)]],ECF[[#This Row],[e (cm)]],ECF[[#This Row],[ap,eq (cm)]])</f>
        <v>260</v>
      </c>
      <c r="AL246" s="82">
        <f ca="1">IFERROR(ECF[[#This Row],[d (cm)]]+arredondarParaCimaMultiplo5cm(MAX(5,SQRT(PI())/2*ECF[[#This Row],[Ø (cm)]]/5)),"N.S.")</f>
        <v>295</v>
      </c>
      <c r="AM246" s="5">
        <f ca="1">alpha(ECF[[#This Row],[nE]],ECF[[#This Row],[d (cm)]],ECF[[#This Row],[e (cm)]],ECF[[#This Row],[ap,eq (cm)]])</f>
        <v>45.130350452124574</v>
      </c>
      <c r="AN246" s="35">
        <f ca="1">IFERROR(ECF[[#This Row],[Nsd (kN)]]/(ECF[[#This Row],[Ap (cm²)]]*SIN(ECF[[#This Row],[α]])^2),"N.S.")</f>
        <v>1.0520825008243508</v>
      </c>
      <c r="AO246" s="35">
        <f ca="1">IFERROR(ECF[[#This Row],[Nsd (kN)]]/(ECF[[#This Row],[nE]]*PI()*ECF[[#This Row],[Ø (cm)]]^2/4*SIN(ECF[[#This Row],[α]])^2),"N.S.")</f>
        <v>2.0672114882305987E-2</v>
      </c>
      <c r="AP246" s="4">
        <f ca="1">IFERROR(INDEX(grupoEstacas[],ECF[[#This Row],[nE]],MATCH("coef. Blévot",grupoEstacas[#Headers],0)),"N.S.")</f>
        <v>2.1</v>
      </c>
      <c r="AQ246" s="35">
        <f ca="1">IFERROR(ECF[[#This Row],[coef. Blévot]]*0.9*INDEX(tipoEstaca[],MATCH($D$2,tipoEstaca[TIPO DE ESTACA],0),MATCH("fcd (kN/cm²)",tipoEstaca[#Headers],0)),"N.S.")</f>
        <v>2.1</v>
      </c>
      <c r="AR246" s="82" t="str">
        <f ca="1">IF(AND(ECF[[#This Row],[cd,b,pil (kN/cm²)]]&lt;=ECF[[#This Row],[cd,b,lim (kN/cm²)]],ECF[[#This Row],[cd,b,est (kN/cm²)]]&lt;=ECF[[#This Row],[cd,b,lim (kN/cm²)]]),"OK","ERRO")</f>
        <v>OK</v>
      </c>
      <c r="AS246" s="4">
        <f ca="1">As_lado(ECF[[#This Row],[nE]],ECF[[#This Row],[Nsd (kN)]],ECF[[#This Row],[d (cm)]],ECF[[#This Row],[e (cm)]],ECF[[#This Row],[ap,eq (cm)]])</f>
        <v>10.01681857646939</v>
      </c>
      <c r="AT246" s="4" t="str">
        <f ca="1">IF(ECF[[#This Row],[nE]]=1,ECF[[#This Row],[As,lado (cm²)]],IF(ECF[[#This Row],[nE]]=2,0.075*2*ECF[a (cm)],"N.A."))</f>
        <v>N.A.</v>
      </c>
      <c r="AU246" s="4">
        <f ca="1">IFERROR(IF(ECF[[#This Row],[nE]]=1,"N.A.",0.2*ECF[[#This Row],[As,lado (cm²)]]),"N.S.")</f>
        <v>2.0033637152938781</v>
      </c>
      <c r="AV246" s="4">
        <f ca="1">As_malha(ECF[[#This Row],[nE]],ECF[[#This Row],[As,lado (cm²)]],ECF[[#This Row],[Nsd (kN)]])</f>
        <v>2.0033637152938781</v>
      </c>
      <c r="AW246" s="4">
        <f ca="1">As_susp_tot(ECF[[#This Row],[nE]],ECF[[#This Row],[Nsd (kN)]])</f>
        <v>6.708333333333333</v>
      </c>
      <c r="AX246" s="4">
        <f ca="1">Asp_face(ECF[[#This Row],[nE]],ECF[[#This Row],[As,lado (cm²)]])</f>
        <v>5.0084092882346951</v>
      </c>
      <c r="AY246" s="5">
        <f ca="1">acoBloco(ECF[[#This Row],[nE]],ECF[[#This Row],[e (cm)]],ECF[[#This Row],[a (cm)]],ECF[[#This Row],[h (cm)]],ECF[[#This Row],[As,lado (cm²)]],ECF[[#This Row],[Asp e Asw (cm²/m)]],ECF[[#This Row],[As,sup (cm²)]],ECF[[#This Row],[As,malha (cm²)]],ECF[[#This Row],[As,susp,tot (cm²)]],ECF[[#This Row],[Asp,face (cm²)]])</f>
        <v>626.97745573408065</v>
      </c>
      <c r="AZ246" s="4">
        <f ca="1">concretoBloco(ECF[[#This Row],[nE]],ECF[[#This Row],[e (cm)]],ECF[[#This Row],[a (cm)]],ECF[[#This Row],[h (cm)]])</f>
        <v>344.08800000000002</v>
      </c>
      <c r="BA246" s="5">
        <f ca="1">SUM(ECF[[#This Row],[Aço Est (kg)]],ECF[[#This Row],[Aço Bloco (kg)]])</f>
        <v>946.59052593969182</v>
      </c>
      <c r="BB246" s="4">
        <f>INDEX(composicoes[],MATCH(95580,composicoes[CÓDIGO],0),MATCH("CUSTO TOTAL",composicoes[#Headers],0))</f>
        <v>10.46</v>
      </c>
      <c r="BC246" s="4">
        <f ca="1">SUM(ECF[[#This Row],[Conc Est (m³)]],ECF[[#This Row],[Conc Bloco (m³)]])</f>
        <v>374.62428059289283</v>
      </c>
      <c r="BD246" s="4">
        <f>INDEX(composicoes[],MATCH(94966,composicoes[CÓDIGO],0),MATCH("CUSTO TOTAL",composicoes[#Headers],0))</f>
        <v>439.52</v>
      </c>
      <c r="BE246" s="38">
        <f ca="1">ECF[[#This Row],[Aço (kg)]]*ECF[[#This Row],[Aço (R$/kg)]]+ECF[[#This Row],[Conc (m³)]]*ECF[[#This Row],[Conc (R$/m³)]]</f>
        <v>174556.20070751742</v>
      </c>
      <c r="BF246" s="4" t="str">
        <f ca="1">IF(COUNTIF(ECF[#This Row],"N.S.")&gt;0,"lim.","OK")</f>
        <v>OK</v>
      </c>
      <c r="BG246" s="4" t="str">
        <f>IF(ECF[[#This Row],[Prof. (m)]]&lt;4,"lim.","OK")</f>
        <v>lim.</v>
      </c>
      <c r="BH246" s="4" t="str">
        <f>IF(ECF[[#This Row],[Prof. (m)]]&gt;=8*ECF[[#This Row],[Ø (cm)]]/100,"OK","lim.")</f>
        <v>lim.</v>
      </c>
      <c r="BI246" s="4" t="str">
        <f>IF(AND(SPT!$F$3&lt;&gt;"",ECF[[#This Row],[Prof. (m)]]&gt;=SPT!$F$3-2),"lim.","OK")</f>
        <v>OK</v>
      </c>
      <c r="BJ246" s="4" t="str">
        <f ca="1">IF(ECF[[#This Row],[Verif. Biela]]="OK","OK","lim.")</f>
        <v>OK</v>
      </c>
      <c r="BK246" s="4" t="str">
        <f ca="1">IF(COUNTA(ECF[[#This Row],[Nº Est.]:[Biela comp.]])=COUNTIF(ECF[[#This Row],[Nº Est.]:[Biela comp.]],"OK"),"OK","lim.")</f>
        <v>lim.</v>
      </c>
      <c r="BL246" s="4" t="str">
        <f ca="1">IF(ECF[[#This Row],[Controle]]="OK",ECF[[#This Row],[nE]]&amp;" Ø "&amp;ECF[[#This Row],[Ø (cm)]]&amp;" cm, Prof. "&amp;ECF[[#This Row],[Prof. (m)]]&amp;" m","")</f>
        <v/>
      </c>
      <c r="BM246" s="4" t="str">
        <f ca="1">IF(ECF[[#This Row],[idDimensionamento]]="","",ECF[[#This Row],[idPilar]]&amp;ECF[[#This Row],[idDimensionamento]])</f>
        <v/>
      </c>
    </row>
    <row r="247" spans="2:65" x14ac:dyDescent="0.25">
      <c r="B247" s="12">
        <f>ROUNDUP((ROW(ECF[[#This Row],[idDiâmetro]])-ROW(ECF[[#Headers],[idDiâmetro]]))/(COUNT(SPT[Prof. (m)])*COUNT(PILARES[Pilar])),0)</f>
        <v>9</v>
      </c>
      <c r="C247" s="12">
        <f>IF(ECF[[#This Row],[idDiâmetro]]&lt;&gt;B246,1,IF(ECF[[#This Row],[Prof. (m)]]=0,C246+1,C246))</f>
        <v>2</v>
      </c>
      <c r="D247" s="82">
        <f>IFERROR(IF(D246=MAX(SPT[Prof. (m)]),0,D246+1),0)</f>
        <v>4</v>
      </c>
      <c r="E247" s="82">
        <f>INDEX(SPT[],MATCH(ECF[[#This Row],[Prof. (m)]],SPT[Prof. (m)],0),2)</f>
        <v>8</v>
      </c>
      <c r="F247" s="82" t="str">
        <f>INDEX(SPT[],MATCH(ECF[[#This Row],[Prof. (m)]],SPT[Prof. (m)],0),3)</f>
        <v>Areia siltosa</v>
      </c>
      <c r="G247" s="82">
        <f>INDEX(estacas[],ECF[[#This Row],[idDiâmetro]],MATCH($B$2,estacas[#Headers],0))</f>
        <v>180</v>
      </c>
      <c r="H247" s="82">
        <f>INDEX(estacas[],MATCH(ECF[[#This Row],[Ø (cm)]],estacas[Ø ECF (cm)],0),MATCH(ECF[[#Headers],[Pe ECF (kN)]],estacas[#Headers],0))</f>
        <v>10100</v>
      </c>
      <c r="I247" s="4">
        <f>INDEX(K_alpha_C[],MATCH(ECF[[#This Row],[Solo]],K_alpha_C[Solo],0),2)</f>
        <v>0.8</v>
      </c>
      <c r="J247" s="5">
        <f>INDEX(K_alpha_C[],MATCH(ECF[[#This Row],[Solo]],K_alpha_C[Solo],0),3)</f>
        <v>2</v>
      </c>
      <c r="K247" s="4">
        <f>INDEX(F1_F2[],MATCH($D$2,F1_F2[Tipo de estaca],0),2)</f>
        <v>3</v>
      </c>
      <c r="L247" s="4">
        <f>INDEX(F1_F2[],MATCH($D$2,F1_F2[Tipo de estaca],0),3)</f>
        <v>6</v>
      </c>
      <c r="M247" s="4">
        <f>PI()*(ECF[[#This Row],[Ø (cm)]]/100)^2/4</f>
        <v>2.5446900494077327</v>
      </c>
      <c r="N247" s="4">
        <f>PI()*ECF[[#This Row],[Ø (cm)]]/100</f>
        <v>5.6548667764616276</v>
      </c>
      <c r="O247" s="4">
        <f>IF(ECF[[#This Row],[Prof. (m)]]=0,0,ECF[[#This Row],[α (%)]]/100*ECF[[#This Row],[K (MPa)]]*1000*ECF[[#This Row],[NSPT]])</f>
        <v>128</v>
      </c>
      <c r="P247" s="4">
        <f>IF(ECF[[#This Row],[Prof. (m)]]=0,0,(ECF[[#This Row],[K (MPa)]]*1000*ECF[[#This Row],[NSPT]]/ECF[[#This Row],[F1]]*ECF[[#This Row],[Ap (m²)]]+ECF[[#This Row],[U (m)]]/ECF[[#This Row],[F2]]*SUMIFS(ECF[(α∙K∙NL∙ΔL)],ECF[Prof. (m)],"&lt;="&amp;ECF[[#This Row],[Prof. (m)]],ECF[idDiâmetro],ECF[[#This Row],[idDiâmetro]],ECF[idPilar],ECF[[#This Row],[idPilar]]))/'DADOS CAP. CARGA'!$D$2)</f>
        <v>2834.9732105994299</v>
      </c>
      <c r="Q247" s="12">
        <f>INDEX(C_alpha_beta[],MATCH(ECF[[#This Row],[Solo]],C_alpha_beta[Solo],0),MATCH(ECF[[#Headers],[C (kPa)]],C_alpha_beta[#Headers],0))</f>
        <v>400</v>
      </c>
      <c r="R247" s="4">
        <f>INDEX(C_alpha_beta[],MATCH(ECF[[#This Row],[Solo]],C_alpha_beta[Solo],0),MATCH(ECF[[#Headers],[α ESF]],C_alpha_beta[#Headers],0))</f>
        <v>0.5</v>
      </c>
      <c r="S247" s="4">
        <f>INDEX(C_alpha_beta[],MATCH(ECF[[#This Row],[Solo]],C_alpha_beta[Solo],0),MATCH(ECF[[#Headers],[β ESF]],C_alpha_beta[#Headers],0))</f>
        <v>0.5</v>
      </c>
      <c r="T247" s="4">
        <f>IF(ECF[[#This Row],[Prof. (m)]]=0,0,10*(ECF[[#This Row],[NSPT]]/3+1))</f>
        <v>36.666666666666664</v>
      </c>
      <c r="U247" s="4">
        <f>(ECF[[#This Row],[α ESF]]*ECF[[#This Row],[C (kPa)]]*ECF[[#This Row],[NSPT]]*ECF[[#This Row],[Ap (m²)]])/'DADOS CAP. CARGA'!$Q$2+(ECF[[#This Row],[β ESF]]*SUMIFS(ECF[10∙(NL/3+1)],ECF[Prof. (m)],"&lt;="&amp;ECF[[#This Row],[Prof. (m)]],ECF[idDiâmetro],ECF[[#This Row],[idDiâmetro]],ECF[idPilar],ECF[[#This Row],[idPilar]])*ECF[[#This Row],[U (m)]])/'DADOS CAP. CARGA'!$S$2</f>
        <v>1149.8229112138642</v>
      </c>
      <c r="V247" s="4">
        <f>IF(SPT!$M$5=1,MIN(ECF[[#This Row],[Pe ECF (kN)]],ECF[[#This Row],[R_AV (kN)]]),IF(SPT!$M$5=2,MIN(ECF[[#This Row],[Pe ECF (kN)]],ECF[[#This Row],[R_DC (kN)]]),MIN(ECF[[#This Row],[Pe ECF (kN)]],ECF[[#This Row],[R_AV (kN)]],ECF[[#This Row],[R_DC (kN)]])))</f>
        <v>1149.8229112138642</v>
      </c>
      <c r="W247" s="4">
        <f>INDEX(PILARES[],ECF[[#This Row],[idPilar]],MATCH("Carga (kN)",PILARES[#Headers],0))*1.4</f>
        <v>1750</v>
      </c>
      <c r="X247" s="12">
        <f>INDEX(PILARES[],ECF[[#This Row],[idPilar]],MATCH(ECF[[#Headers],[ap (cm)]],PILARES[#Headers],0))</f>
        <v>50</v>
      </c>
      <c r="Y247" s="12">
        <f>INDEX(PILARES[],ECF[[#This Row],[idPilar]],MATCH(ECF[[#Headers],[bp (cm)]],PILARES[#Headers],0))</f>
        <v>40</v>
      </c>
      <c r="Z247" s="4">
        <f>SQRT(ECF[[#This Row],[ap (cm)]]*ECF[[#This Row],[bp (cm)]])</f>
        <v>44.721359549995796</v>
      </c>
      <c r="AA247" s="12">
        <f>ECF[[#This Row],[ap (cm)]]*ECF[[#This Row],[bp (cm)]]</f>
        <v>2000</v>
      </c>
      <c r="AB247" s="12">
        <f ca="1">IF(ECF[[#This Row],[Padm∙ε (kN)]]&gt;=ECF[[#This Row],[Padm (kN)]],ROUNDUP(1.05*ECF[[#This Row],[Nsd (kN)]]/ECF[[#This Row],[Padm (kN)]],0),ROUNDUP(1.05*ECF[[#This Row],[Nsd (kN)]]/ECF[[#This Row],[Padm (kN)]],0)+1)</f>
        <v>2</v>
      </c>
      <c r="AC247" s="4">
        <f ca="1">IFERROR(IF(ECF[[#This Row],[nE]]=1,ECF[[#This Row],[Padm (kN)]],ECF[[#This Row],[Padm (kN)]]*ECF[[#This Row],[nE]]*INDEX(grupoEstacas[],ECF[[#This Row],[nE]],MATCH("ε",grupoEstacas[#Headers],0))),"N.S.")</f>
        <v>2155.9179585259953</v>
      </c>
      <c r="AD247" s="4">
        <f ca="1">1.05*ECF[[#This Row],[Nsd (kN)]]/(ECF[[#This Row],[nE]]*PI()*ECF[[#This Row],[Ø (cm)]]^2/4)*10</f>
        <v>0.36104593571772559</v>
      </c>
      <c r="AE247" s="4">
        <f ca="1">IF(ECF[[#This Row],[σ (MPa)]]&lt;INDEX(tipoEstaca[],MATCH($D$2,tipoEstaca[TIPO DE ESTACA],0),MATCH("σmáx (MPa)",tipoEstaca[#Headers],0)),0.4%*PI()*ECF[[#This Row],[Ø (cm)]]^2/4,"N.S.")</f>
        <v>101.7876019763093</v>
      </c>
      <c r="AF247" s="82">
        <f>INDEX(tipoEstaca[],MATCH($D$2,tipoEstaca[TIPO DE ESTACA],0),MATCH(ECF[[#Headers],[Comprimento (m)]],tipoEstaca[#Headers],0))</f>
        <v>4</v>
      </c>
      <c r="AG247" s="5">
        <f ca="1">ECF[[#This Row],[As,mín (cm²)]]/100^2*ECF[[#This Row],[Comprimento (m)]]*7850</f>
        <v>319.61307020561122</v>
      </c>
      <c r="AH247" s="4">
        <f ca="1">ECF[[#This Row],[nE]]*ECF[[#This Row],[Prof. (m)]]*ECF[[#This Row],[Ap (m²)]]</f>
        <v>20.357520395261862</v>
      </c>
      <c r="AI247" s="82">
        <f ca="1">IF(ECF[[#This Row],[nE]]=1,0,MAX(3*ECF[[#This Row],[Ø (cm)]],60))</f>
        <v>540</v>
      </c>
      <c r="AJ247" s="82">
        <f ca="1">IF(ECF[[#This Row],[nE]]=1,ECF[[#This Row],[Ø (cm)]]+2*10,MAX(1.5*ECF[[#This Row],[Ø (cm)]],ECF[[#This Row],[Ø (cm)]]+15))</f>
        <v>270</v>
      </c>
      <c r="AK247" s="82">
        <f ca="1">alturaUtil(ECF[[#This Row],[nE]],ECF[[#This Row],[Ø (cm)]],ECF[[#This Row],[e (cm)]],ECF[[#This Row],[ap,eq (cm)]])</f>
        <v>260</v>
      </c>
      <c r="AL247" s="82">
        <f ca="1">IFERROR(ECF[[#This Row],[d (cm)]]+arredondarParaCimaMultiplo5cm(MAX(5,SQRT(PI())/2*ECF[[#This Row],[Ø (cm)]]/5)),"N.S.")</f>
        <v>295</v>
      </c>
      <c r="AM247" s="5">
        <f ca="1">alpha(ECF[[#This Row],[nE]],ECF[[#This Row],[d (cm)]],ECF[[#This Row],[e (cm)]],ECF[[#This Row],[ap,eq (cm)]])</f>
        <v>45.130350452124574</v>
      </c>
      <c r="AN247" s="35">
        <f ca="1">IFERROR(ECF[[#This Row],[Nsd (kN)]]/(ECF[[#This Row],[Ap (cm²)]]*SIN(ECF[[#This Row],[α]])^2),"N.S.")</f>
        <v>1.0520825008243508</v>
      </c>
      <c r="AO247" s="35">
        <f ca="1">IFERROR(ECF[[#This Row],[Nsd (kN)]]/(ECF[[#This Row],[nE]]*PI()*ECF[[#This Row],[Ø (cm)]]^2/4*SIN(ECF[[#This Row],[α]])^2),"N.S.")</f>
        <v>4.1344229764611974E-2</v>
      </c>
      <c r="AP247" s="4">
        <f ca="1">IFERROR(INDEX(grupoEstacas[],ECF[[#This Row],[nE]],MATCH("coef. Blévot",grupoEstacas[#Headers],0)),"N.S.")</f>
        <v>1.4</v>
      </c>
      <c r="AQ247" s="35">
        <f ca="1">IFERROR(ECF[[#This Row],[coef. Blévot]]*0.9*INDEX(tipoEstaca[],MATCH($D$2,tipoEstaca[TIPO DE ESTACA],0),MATCH("fcd (kN/cm²)",tipoEstaca[#Headers],0)),"N.S.")</f>
        <v>1.4000000000000001</v>
      </c>
      <c r="AR247" s="82" t="str">
        <f ca="1">IF(AND(ECF[[#This Row],[cd,b,pil (kN/cm²)]]&lt;=ECF[[#This Row],[cd,b,lim (kN/cm²)]],ECF[[#This Row],[cd,b,est (kN/cm²)]]&lt;=ECF[[#This Row],[cd,b,lim (kN/cm²)]]),"OK","ERRO")</f>
        <v>OK</v>
      </c>
      <c r="AS247" s="4">
        <f ca="1">As_lado(ECF[[#This Row],[nE]],ECF[[#This Row],[Nsd (kN)]],ECF[[#This Row],[d (cm)]],ECF[[#This Row],[e (cm)]],ECF[[#This Row],[ap,eq (cm)]])</f>
        <v>23.0386827258796</v>
      </c>
      <c r="AT247" s="4">
        <f ca="1">IF(ECF[[#This Row],[nE]]=1,ECF[[#This Row],[As,lado (cm²)]],IF(ECF[[#This Row],[nE]]=2,0.075*2*ECF[a (cm)],"N.A."))</f>
        <v>40.5</v>
      </c>
      <c r="AU247" s="4">
        <f ca="1">IFERROR(IF(ECF[[#This Row],[nE]]=1,"N.A.",0.2*ECF[[#This Row],[As,lado (cm²)]]),"N.S.")</f>
        <v>4.6077365451759205</v>
      </c>
      <c r="AV247" s="4" t="str">
        <f ca="1">As_malha(ECF[[#This Row],[nE]],ECF[[#This Row],[As,lado (cm²)]],ECF[[#This Row],[Nsd (kN)]])</f>
        <v>N.A.</v>
      </c>
      <c r="AW247" s="4" t="str">
        <f ca="1">As_susp_tot(ECF[[#This Row],[nE]],ECF[[#This Row],[Nsd (kN)]])</f>
        <v>N.A.</v>
      </c>
      <c r="AX247" s="4" t="str">
        <f ca="1">Asp_face(ECF[[#This Row],[nE]],ECF[[#This Row],[As,lado (cm²)]])</f>
        <v>N.A.</v>
      </c>
      <c r="AY247" s="5">
        <f ca="1">acoBloco(ECF[[#This Row],[nE]],ECF[[#This Row],[e (cm)]],ECF[[#This Row],[a (cm)]],ECF[[#This Row],[h (cm)]],ECF[[#This Row],[As,lado (cm²)]],ECF[[#This Row],[Asp e Asw (cm²/m)]],ECF[[#This Row],[As,sup (cm²)]],ECF[[#This Row],[As,malha (cm²)]],ECF[[#This Row],[As,susp,tot (cm²)]],ECF[[#This Row],[Asp,face (cm²)]])</f>
        <v>9007.2087925800079</v>
      </c>
      <c r="AZ247" s="4">
        <f ca="1">concretoBloco(ECF[[#This Row],[nE]],ECF[[#This Row],[e (cm)]],ECF[[#This Row],[a (cm)]],ECF[[#This Row],[h (cm)]])</f>
        <v>172.04400000000001</v>
      </c>
      <c r="BA247" s="5">
        <f ca="1">SUM(ECF[[#This Row],[Aço Est (kg)]],ECF[[#This Row],[Aço Bloco (kg)]])</f>
        <v>9326.8218627856186</v>
      </c>
      <c r="BB247" s="4">
        <f>INDEX(composicoes[],MATCH(95580,composicoes[CÓDIGO],0),MATCH("CUSTO TOTAL",composicoes[#Headers],0))</f>
        <v>10.46</v>
      </c>
      <c r="BC247" s="4">
        <f ca="1">SUM(ECF[[#This Row],[Conc Est (m³)]],ECF[[#This Row],[Conc Bloco (m³)]])</f>
        <v>192.40152039526188</v>
      </c>
      <c r="BD247" s="4">
        <f>INDEX(composicoes[],MATCH(94966,composicoes[CÓDIGO],0),MATCH("CUSTO TOTAL",composicoes[#Headers],0))</f>
        <v>439.52</v>
      </c>
      <c r="BE247" s="38">
        <f ca="1">ECF[[#This Row],[Aço (kg)]]*ECF[[#This Row],[Aço (R$/kg)]]+ECF[[#This Row],[Conc (m³)]]*ECF[[#This Row],[Conc (R$/m³)]]</f>
        <v>182122.87292886307</v>
      </c>
      <c r="BF247" s="4" t="str">
        <f ca="1">IF(COUNTIF(ECF[#This Row],"N.S.")&gt;0,"lim.","OK")</f>
        <v>OK</v>
      </c>
      <c r="BG247" s="4" t="str">
        <f>IF(ECF[[#This Row],[Prof. (m)]]&lt;4,"lim.","OK")</f>
        <v>OK</v>
      </c>
      <c r="BH247" s="4" t="str">
        <f>IF(ECF[[#This Row],[Prof. (m)]]&gt;=8*ECF[[#This Row],[Ø (cm)]]/100,"OK","lim.")</f>
        <v>lim.</v>
      </c>
      <c r="BI247" s="4" t="str">
        <f>IF(AND(SPT!$F$3&lt;&gt;"",ECF[[#This Row],[Prof. (m)]]&gt;=SPT!$F$3-2),"lim.","OK")</f>
        <v>OK</v>
      </c>
      <c r="BJ247" s="4" t="str">
        <f ca="1">IF(ECF[[#This Row],[Verif. Biela]]="OK","OK","lim.")</f>
        <v>OK</v>
      </c>
      <c r="BK247" s="4" t="str">
        <f ca="1">IF(COUNTA(ECF[[#This Row],[Nº Est.]:[Biela comp.]])=COUNTIF(ECF[[#This Row],[Nº Est.]:[Biela comp.]],"OK"),"OK","lim.")</f>
        <v>lim.</v>
      </c>
      <c r="BL247" s="4" t="str">
        <f ca="1">IF(ECF[[#This Row],[Controle]]="OK",ECF[[#This Row],[nE]]&amp;" Ø "&amp;ECF[[#This Row],[Ø (cm)]]&amp;" cm, Prof. "&amp;ECF[[#This Row],[Prof. (m)]]&amp;" m","")</f>
        <v/>
      </c>
      <c r="BM247" s="4" t="str">
        <f ca="1">IF(ECF[[#This Row],[idDimensionamento]]="","",ECF[[#This Row],[idPilar]]&amp;ECF[[#This Row],[idDimensionamento]])</f>
        <v/>
      </c>
    </row>
    <row r="248" spans="2:65" x14ac:dyDescent="0.25">
      <c r="B248" s="12">
        <f>ROUNDUP((ROW(ECF[[#This Row],[idDiâmetro]])-ROW(ECF[[#Headers],[idDiâmetro]]))/(COUNT(SPT[Prof. (m)])*COUNT(PILARES[Pilar])),0)</f>
        <v>9</v>
      </c>
      <c r="C248" s="12">
        <f>IF(ECF[[#This Row],[idDiâmetro]]&lt;&gt;B247,1,IF(ECF[[#This Row],[Prof. (m)]]=0,C247+1,C247))</f>
        <v>2</v>
      </c>
      <c r="D248" s="82">
        <f>IFERROR(IF(D247=MAX(SPT[Prof. (m)]),0,D247+1),0)</f>
        <v>5</v>
      </c>
      <c r="E248" s="82">
        <f>INDEX(SPT[],MATCH(ECF[[#This Row],[Prof. (m)]],SPT[Prof. (m)],0),2)</f>
        <v>17</v>
      </c>
      <c r="F248" s="82" t="str">
        <f>INDEX(SPT[],MATCH(ECF[[#This Row],[Prof. (m)]],SPT[Prof. (m)],0),3)</f>
        <v>Areia siltosa</v>
      </c>
      <c r="G248" s="82">
        <f>INDEX(estacas[],ECF[[#This Row],[idDiâmetro]],MATCH($B$2,estacas[#Headers],0))</f>
        <v>180</v>
      </c>
      <c r="H248" s="82">
        <f>INDEX(estacas[],MATCH(ECF[[#This Row],[Ø (cm)]],estacas[Ø ECF (cm)],0),MATCH(ECF[[#Headers],[Pe ECF (kN)]],estacas[#Headers],0))</f>
        <v>10100</v>
      </c>
      <c r="I248" s="4">
        <f>INDEX(K_alpha_C[],MATCH(ECF[[#This Row],[Solo]],K_alpha_C[Solo],0),2)</f>
        <v>0.8</v>
      </c>
      <c r="J248" s="5">
        <f>INDEX(K_alpha_C[],MATCH(ECF[[#This Row],[Solo]],K_alpha_C[Solo],0),3)</f>
        <v>2</v>
      </c>
      <c r="K248" s="4">
        <f>INDEX(F1_F2[],MATCH($D$2,F1_F2[Tipo de estaca],0),2)</f>
        <v>3</v>
      </c>
      <c r="L248" s="4">
        <f>INDEX(F1_F2[],MATCH($D$2,F1_F2[Tipo de estaca],0),3)</f>
        <v>6</v>
      </c>
      <c r="M248" s="4">
        <f>PI()*(ECF[[#This Row],[Ø (cm)]]/100)^2/4</f>
        <v>2.5446900494077327</v>
      </c>
      <c r="N248" s="4">
        <f>PI()*ECF[[#This Row],[Ø (cm)]]/100</f>
        <v>5.6548667764616276</v>
      </c>
      <c r="O248" s="4">
        <f>IF(ECF[[#This Row],[Prof. (m)]]=0,0,ECF[[#This Row],[α (%)]]/100*ECF[[#This Row],[K (MPa)]]*1000*ECF[[#This Row],[NSPT]])</f>
        <v>272</v>
      </c>
      <c r="P248" s="4">
        <f>IF(ECF[[#This Row],[Prof. (m)]]=0,0,(ECF[[#This Row],[K (MPa)]]*1000*ECF[[#This Row],[NSPT]]/ECF[[#This Row],[F1]]*ECF[[#This Row],[Ap (m²)]]+ECF[[#This Row],[U (m)]]/ECF[[#This Row],[F2]]*SUMIFS(ECF[(α∙K∙NL∙ΔL)],ECF[Prof. (m)],"&lt;="&amp;ECF[[#This Row],[Prof. (m)]],ECF[idDiâmetro],ECF[[#This Row],[idDiâmetro]],ECF[idPilar],ECF[[#This Row],[idPilar]]))/'DADOS CAP. CARGA'!$D$2)</f>
        <v>6016.7782501551719</v>
      </c>
      <c r="Q248" s="12">
        <f>INDEX(C_alpha_beta[],MATCH(ECF[[#This Row],[Solo]],C_alpha_beta[Solo],0),MATCH(ECF[[#Headers],[C (kPa)]],C_alpha_beta[#Headers],0))</f>
        <v>400</v>
      </c>
      <c r="R248" s="4">
        <f>INDEX(C_alpha_beta[],MATCH(ECF[[#This Row],[Solo]],C_alpha_beta[Solo],0),MATCH(ECF[[#Headers],[α ESF]],C_alpha_beta[#Headers],0))</f>
        <v>0.5</v>
      </c>
      <c r="S248" s="4">
        <f>INDEX(C_alpha_beta[],MATCH(ECF[[#This Row],[Solo]],C_alpha_beta[Solo],0),MATCH(ECF[[#Headers],[β ESF]],C_alpha_beta[#Headers],0))</f>
        <v>0.5</v>
      </c>
      <c r="T248" s="4">
        <f>IF(ECF[[#This Row],[Prof. (m)]]=0,0,10*(ECF[[#This Row],[NSPT]]/3+1))</f>
        <v>66.666666666666671</v>
      </c>
      <c r="U248" s="4">
        <f>(ECF[[#This Row],[α ESF]]*ECF[[#This Row],[C (kPa)]]*ECF[[#This Row],[NSPT]]*ECF[[#This Row],[Ap (m²)]])/'DADOS CAP. CARGA'!$Q$2+(ECF[[#This Row],[β ESF]]*SUMIFS(ECF[10∙(NL/3+1)],ECF[Prof. (m)],"&lt;="&amp;ECF[[#This Row],[Prof. (m)]],ECF[idDiâmetro],ECF[[#This Row],[idDiâmetro]],ECF[idPilar],ECF[[#This Row],[idPilar]])*ECF[[#This Row],[U (m)]])/'DADOS CAP. CARGA'!$S$2</f>
        <v>2389.1812130550379</v>
      </c>
      <c r="V248" s="4">
        <f>IF(SPT!$M$5=1,MIN(ECF[[#This Row],[Pe ECF (kN)]],ECF[[#This Row],[R_AV (kN)]]),IF(SPT!$M$5=2,MIN(ECF[[#This Row],[Pe ECF (kN)]],ECF[[#This Row],[R_DC (kN)]]),MIN(ECF[[#This Row],[Pe ECF (kN)]],ECF[[#This Row],[R_AV (kN)]],ECF[[#This Row],[R_DC (kN)]])))</f>
        <v>2389.1812130550379</v>
      </c>
      <c r="W248" s="4">
        <f>INDEX(PILARES[],ECF[[#This Row],[idPilar]],MATCH("Carga (kN)",PILARES[#Headers],0))*1.4</f>
        <v>1750</v>
      </c>
      <c r="X248" s="12">
        <f>INDEX(PILARES[],ECF[[#This Row],[idPilar]],MATCH(ECF[[#Headers],[ap (cm)]],PILARES[#Headers],0))</f>
        <v>50</v>
      </c>
      <c r="Y248" s="12">
        <f>INDEX(PILARES[],ECF[[#This Row],[idPilar]],MATCH(ECF[[#Headers],[bp (cm)]],PILARES[#Headers],0))</f>
        <v>40</v>
      </c>
      <c r="Z248" s="4">
        <f>SQRT(ECF[[#This Row],[ap (cm)]]*ECF[[#This Row],[bp (cm)]])</f>
        <v>44.721359549995796</v>
      </c>
      <c r="AA248" s="12">
        <f>ECF[[#This Row],[ap (cm)]]*ECF[[#This Row],[bp (cm)]]</f>
        <v>2000</v>
      </c>
      <c r="AB248" s="12">
        <f ca="1">IF(ECF[[#This Row],[Padm∙ε (kN)]]&gt;=ECF[[#This Row],[Padm (kN)]],ROUNDUP(1.05*ECF[[#This Row],[Nsd (kN)]]/ECF[[#This Row],[Padm (kN)]],0),ROUNDUP(1.05*ECF[[#This Row],[Nsd (kN)]]/ECF[[#This Row],[Padm (kN)]],0)+1)</f>
        <v>1</v>
      </c>
      <c r="AC248" s="4">
        <f ca="1">IFERROR(IF(ECF[[#This Row],[nE]]=1,ECF[[#This Row],[Padm (kN)]],ECF[[#This Row],[Padm (kN)]]*ECF[[#This Row],[nE]]*INDEX(grupoEstacas[],ECF[[#This Row],[nE]],MATCH("ε",grupoEstacas[#Headers],0))),"N.S.")</f>
        <v>2389.1812130550379</v>
      </c>
      <c r="AD248" s="4">
        <f ca="1">1.05*ECF[[#This Row],[Nsd (kN)]]/(ECF[[#This Row],[nE]]*PI()*ECF[[#This Row],[Ø (cm)]]^2/4)*10</f>
        <v>0.72209187143545117</v>
      </c>
      <c r="AE248" s="4">
        <f ca="1">IF(ECF[[#This Row],[σ (MPa)]]&lt;INDEX(tipoEstaca[],MATCH($D$2,tipoEstaca[TIPO DE ESTACA],0),MATCH("σmáx (MPa)",tipoEstaca[#Headers],0)),0.4%*PI()*ECF[[#This Row],[Ø (cm)]]^2/4,"N.S.")</f>
        <v>101.7876019763093</v>
      </c>
      <c r="AF248" s="82">
        <f>INDEX(tipoEstaca[],MATCH($D$2,tipoEstaca[TIPO DE ESTACA],0),MATCH(ECF[[#Headers],[Comprimento (m)]],tipoEstaca[#Headers],0))</f>
        <v>4</v>
      </c>
      <c r="AG248" s="5">
        <f ca="1">ECF[[#This Row],[As,mín (cm²)]]/100^2*ECF[[#This Row],[Comprimento (m)]]*7850</f>
        <v>319.61307020561122</v>
      </c>
      <c r="AH248" s="4">
        <f ca="1">ECF[[#This Row],[nE]]*ECF[[#This Row],[Prof. (m)]]*ECF[[#This Row],[Ap (m²)]]</f>
        <v>12.723450247038663</v>
      </c>
      <c r="AI248" s="82">
        <f ca="1">IF(ECF[[#This Row],[nE]]=1,0,MAX(3*ECF[[#This Row],[Ø (cm)]],60))</f>
        <v>0</v>
      </c>
      <c r="AJ248" s="82">
        <f ca="1">IF(ECF[[#This Row],[nE]]=1,ECF[[#This Row],[Ø (cm)]]+2*10,MAX(1.5*ECF[[#This Row],[Ø (cm)]],ECF[[#This Row],[Ø (cm)]]+15))</f>
        <v>200</v>
      </c>
      <c r="AK248" s="82">
        <f ca="1">alturaUtil(ECF[[#This Row],[nE]],ECF[[#This Row],[Ø (cm)]],ECF[[#This Row],[e (cm)]],ECF[[#This Row],[ap,eq (cm)]])</f>
        <v>220</v>
      </c>
      <c r="AL248" s="82">
        <f ca="1">IFERROR(ECF[[#This Row],[d (cm)]]+arredondarParaCimaMultiplo5cm(MAX(5,SQRT(PI())/2*ECF[[#This Row],[Ø (cm)]]/5)),"N.S.")</f>
        <v>255</v>
      </c>
      <c r="AM248" s="5">
        <f ca="1">alpha(ECF[[#This Row],[nE]],ECF[[#This Row],[d (cm)]],ECF[[#This Row],[e (cm)]],ECF[[#This Row],[ap,eq (cm)]])</f>
        <v>90</v>
      </c>
      <c r="AN248" s="35">
        <f ca="1">IFERROR(ECF[[#This Row],[Nsd (kN)]]/(ECF[[#This Row],[Ap (cm²)]]*SIN(ECF[[#This Row],[α]])^2),"N.S.")</f>
        <v>1.0948037013095111</v>
      </c>
      <c r="AO248" s="35">
        <f ca="1">IFERROR(ECF[[#This Row],[Nsd (kN)]]/(ECF[[#This Row],[nE]]*PI()*ECF[[#This Row],[Ø (cm)]]^2/4*SIN(ECF[[#This Row],[α]])^2),"N.S.")</f>
        <v>8.6046133717882292E-2</v>
      </c>
      <c r="AP248" s="4">
        <f ca="1">IFERROR(INDEX(grupoEstacas[],ECF[[#This Row],[nE]],MATCH("coef. Blévot",grupoEstacas[#Headers],0)),"N.S.")</f>
        <v>1</v>
      </c>
      <c r="AQ248" s="35">
        <f ca="1">IFERROR(ECF[[#This Row],[coef. Blévot]]*0.9*INDEX(tipoEstaca[],MATCH($D$2,tipoEstaca[TIPO DE ESTACA],0),MATCH("fcd (kN/cm²)",tipoEstaca[#Headers],0)),"N.S.")</f>
        <v>1</v>
      </c>
      <c r="AR248" s="82" t="str">
        <f ca="1">IF(AND(ECF[[#This Row],[cd,b,pil (kN/cm²)]]&lt;=ECF[[#This Row],[cd,b,lim (kN/cm²)]],ECF[[#This Row],[cd,b,est (kN/cm²)]]&lt;=ECF[[#This Row],[cd,b,lim (kN/cm²)]]),"OK","ERRO")</f>
        <v>ERRO</v>
      </c>
      <c r="AS248" s="4">
        <f ca="1">As_lado(ECF[[#This Row],[nE]],ECF[[#This Row],[Nsd (kN)]],ECF[[#This Row],[d (cm)]],ECF[[#This Row],[e (cm)]],ECF[[#This Row],[ap,eq (cm)]])</f>
        <v>10.0625</v>
      </c>
      <c r="AT248" s="4">
        <f ca="1">IF(ECF[[#This Row],[nE]]=1,ECF[[#This Row],[As,lado (cm²)]],IF(ECF[[#This Row],[nE]]=2,0.075*2*ECF[a (cm)],"N.A."))</f>
        <v>10.0625</v>
      </c>
      <c r="AU248" s="4" t="str">
        <f ca="1">IFERROR(IF(ECF[[#This Row],[nE]]=1,"N.A.",0.2*ECF[[#This Row],[As,lado (cm²)]]),"N.S.")</f>
        <v>N.A.</v>
      </c>
      <c r="AV248" s="4" t="str">
        <f ca="1">As_malha(ECF[[#This Row],[nE]],ECF[[#This Row],[As,lado (cm²)]],ECF[[#This Row],[Nsd (kN)]])</f>
        <v>N.A.</v>
      </c>
      <c r="AW248" s="4" t="str">
        <f ca="1">As_susp_tot(ECF[[#This Row],[nE]],ECF[[#This Row],[Nsd (kN)]])</f>
        <v>N.A.</v>
      </c>
      <c r="AX248" s="4" t="str">
        <f ca="1">Asp_face(ECF[[#This Row],[nE]],ECF[[#This Row],[As,lado (cm²)]])</f>
        <v>N.A.</v>
      </c>
      <c r="AY248" s="5">
        <f ca="1">acoBloco(ECF[[#This Row],[nE]],ECF[[#This Row],[e (cm)]],ECF[[#This Row],[a (cm)]],ECF[[#This Row],[h (cm)]],ECF[[#This Row],[As,lado (cm²)]],ECF[[#This Row],[Asp e Asw (cm²/m)]],ECF[[#This Row],[As,sup (cm²)]],ECF[[#This Row],[As,malha (cm²)]],ECF[[#This Row],[As,susp,tot (cm²)]],ECF[[#This Row],[Asp,face (cm²)]])</f>
        <v>206.95543749999999</v>
      </c>
      <c r="AZ248" s="4">
        <f ca="1">concretoBloco(ECF[[#This Row],[nE]],ECF[[#This Row],[e (cm)]],ECF[[#This Row],[a (cm)]],ECF[[#This Row],[h (cm)]])</f>
        <v>10.199999999999999</v>
      </c>
      <c r="BA248" s="5">
        <f ca="1">SUM(ECF[[#This Row],[Aço Est (kg)]],ECF[[#This Row],[Aço Bloco (kg)]])</f>
        <v>526.56850770561118</v>
      </c>
      <c r="BB248" s="4">
        <f>INDEX(composicoes[],MATCH(95580,composicoes[CÓDIGO],0),MATCH("CUSTO TOTAL",composicoes[#Headers],0))</f>
        <v>10.46</v>
      </c>
      <c r="BC248" s="4">
        <f ca="1">SUM(ECF[[#This Row],[Conc Est (m³)]],ECF[[#This Row],[Conc Bloco (m³)]])</f>
        <v>22.923450247038662</v>
      </c>
      <c r="BD248" s="4">
        <f>INDEX(composicoes[],MATCH(94966,composicoes[CÓDIGO],0),MATCH("CUSTO TOTAL",composicoes[#Headers],0))</f>
        <v>439.52</v>
      </c>
      <c r="BE248" s="38">
        <f ca="1">ECF[[#This Row],[Aço (kg)]]*ECF[[#This Row],[Aço (R$/kg)]]+ECF[[#This Row],[Conc (m³)]]*ECF[[#This Row],[Conc (R$/m³)]]</f>
        <v>15583.221443179125</v>
      </c>
      <c r="BF248" s="4" t="str">
        <f ca="1">IF(COUNTIF(ECF[#This Row],"N.S.")&gt;0,"lim.","OK")</f>
        <v>OK</v>
      </c>
      <c r="BG248" s="4" t="str">
        <f>IF(ECF[[#This Row],[Prof. (m)]]&lt;4,"lim.","OK")</f>
        <v>OK</v>
      </c>
      <c r="BH248" s="4" t="str">
        <f>IF(ECF[[#This Row],[Prof. (m)]]&gt;=8*ECF[[#This Row],[Ø (cm)]]/100,"OK","lim.")</f>
        <v>lim.</v>
      </c>
      <c r="BI248" s="4" t="str">
        <f>IF(AND(SPT!$F$3&lt;&gt;"",ECF[[#This Row],[Prof. (m)]]&gt;=SPT!$F$3-2),"lim.","OK")</f>
        <v>OK</v>
      </c>
      <c r="BJ248" s="4" t="str">
        <f ca="1">IF(ECF[[#This Row],[Verif. Biela]]="OK","OK","lim.")</f>
        <v>lim.</v>
      </c>
      <c r="BK248" s="4" t="str">
        <f ca="1">IF(COUNTA(ECF[[#This Row],[Nº Est.]:[Biela comp.]])=COUNTIF(ECF[[#This Row],[Nº Est.]:[Biela comp.]],"OK"),"OK","lim.")</f>
        <v>lim.</v>
      </c>
      <c r="BL248" s="4" t="str">
        <f ca="1">IF(ECF[[#This Row],[Controle]]="OK",ECF[[#This Row],[nE]]&amp;" Ø "&amp;ECF[[#This Row],[Ø (cm)]]&amp;" cm, Prof. "&amp;ECF[[#This Row],[Prof. (m)]]&amp;" m","")</f>
        <v/>
      </c>
      <c r="BM248" s="4" t="str">
        <f ca="1">IF(ECF[[#This Row],[idDimensionamento]]="","",ECF[[#This Row],[idPilar]]&amp;ECF[[#This Row],[idDimensionamento]])</f>
        <v/>
      </c>
    </row>
    <row r="249" spans="2:65" x14ac:dyDescent="0.25">
      <c r="B249" s="12">
        <f>ROUNDUP((ROW(ECF[[#This Row],[idDiâmetro]])-ROW(ECF[[#Headers],[idDiâmetro]]))/(COUNT(SPT[Prof. (m)])*COUNT(PILARES[Pilar])),0)</f>
        <v>9</v>
      </c>
      <c r="C249" s="12">
        <f>IF(ECF[[#This Row],[idDiâmetro]]&lt;&gt;B248,1,IF(ECF[[#This Row],[Prof. (m)]]=0,C248+1,C248))</f>
        <v>2</v>
      </c>
      <c r="D249" s="82">
        <f>IFERROR(IF(D248=MAX(SPT[Prof. (m)]),0,D248+1),0)</f>
        <v>6</v>
      </c>
      <c r="E249" s="82">
        <f>INDEX(SPT[],MATCH(ECF[[#This Row],[Prof. (m)]],SPT[Prof. (m)],0),2)</f>
        <v>21</v>
      </c>
      <c r="F249" s="82" t="str">
        <f>INDEX(SPT[],MATCH(ECF[[#This Row],[Prof. (m)]],SPT[Prof. (m)],0),3)</f>
        <v>Silte arenoso</v>
      </c>
      <c r="G249" s="82">
        <f>INDEX(estacas[],ECF[[#This Row],[idDiâmetro]],MATCH($B$2,estacas[#Headers],0))</f>
        <v>180</v>
      </c>
      <c r="H249" s="82">
        <f>INDEX(estacas[],MATCH(ECF[[#This Row],[Ø (cm)]],estacas[Ø ECF (cm)],0),MATCH(ECF[[#Headers],[Pe ECF (kN)]],estacas[#Headers],0))</f>
        <v>10100</v>
      </c>
      <c r="I249" s="4">
        <f>INDEX(K_alpha_C[],MATCH(ECF[[#This Row],[Solo]],K_alpha_C[Solo],0),2)</f>
        <v>0.55000000000000004</v>
      </c>
      <c r="J249" s="5">
        <f>INDEX(K_alpha_C[],MATCH(ECF[[#This Row],[Solo]],K_alpha_C[Solo],0),3)</f>
        <v>2.2000000000000002</v>
      </c>
      <c r="K249" s="4">
        <f>INDEX(F1_F2[],MATCH($D$2,F1_F2[Tipo de estaca],0),2)</f>
        <v>3</v>
      </c>
      <c r="L249" s="4">
        <f>INDEX(F1_F2[],MATCH($D$2,F1_F2[Tipo de estaca],0),3)</f>
        <v>6</v>
      </c>
      <c r="M249" s="4">
        <f>PI()*(ECF[[#This Row],[Ø (cm)]]/100)^2/4</f>
        <v>2.5446900494077327</v>
      </c>
      <c r="N249" s="4">
        <f>PI()*ECF[[#This Row],[Ø (cm)]]/100</f>
        <v>5.6548667764616276</v>
      </c>
      <c r="O249" s="4">
        <f>IF(ECF[[#This Row],[Prof. (m)]]=0,0,ECF[[#This Row],[α (%)]]/100*ECF[[#This Row],[K (MPa)]]*1000*ECF[[#This Row],[NSPT]])</f>
        <v>254.10000000000002</v>
      </c>
      <c r="P249" s="4">
        <f>IF(ECF[[#This Row],[Prof. (m)]]=0,0,(ECF[[#This Row],[K (MPa)]]*1000*ECF[[#This Row],[NSPT]]/ECF[[#This Row],[F1]]*ECF[[#This Row],[Ap (m²)]]+ECF[[#This Row],[U (m)]]/ECF[[#This Row],[F2]]*SUMIFS(ECF[(α∙K∙NL∙ΔL)],ECF[Prof. (m)],"&lt;="&amp;ECF[[#This Row],[Prof. (m)]],ECF[idDiâmetro],ECF[[#This Row],[idDiâmetro]],ECF[idPilar],ECF[[#This Row],[idPilar]]))/'DADOS CAP. CARGA'!$D$2)</f>
        <v>5267.0842872657722</v>
      </c>
      <c r="Q249" s="12">
        <f>INDEX(C_alpha_beta[],MATCH(ECF[[#This Row],[Solo]],C_alpha_beta[Solo],0),MATCH(ECF[[#Headers],[C (kPa)]],C_alpha_beta[#Headers],0))</f>
        <v>250</v>
      </c>
      <c r="R249" s="4">
        <f>INDEX(C_alpha_beta[],MATCH(ECF[[#This Row],[Solo]],C_alpha_beta[Solo],0),MATCH(ECF[[#Headers],[α ESF]],C_alpha_beta[#Headers],0))</f>
        <v>0.6</v>
      </c>
      <c r="S249" s="4">
        <f>INDEX(C_alpha_beta[],MATCH(ECF[[#This Row],[Solo]],C_alpha_beta[Solo],0),MATCH(ECF[[#Headers],[β ESF]],C_alpha_beta[#Headers],0))</f>
        <v>0.65</v>
      </c>
      <c r="T249" s="4">
        <f>IF(ECF[[#This Row],[Prof. (m)]]=0,0,10*(ECF[[#This Row],[NSPT]]/3+1))</f>
        <v>80</v>
      </c>
      <c r="U249" s="4">
        <f>(ECF[[#This Row],[α ESF]]*ECF[[#This Row],[C (kPa)]]*ECF[[#This Row],[NSPT]]*ECF[[#This Row],[Ap (m²)]])/'DADOS CAP. CARGA'!$Q$2+(ECF[[#This Row],[β ESF]]*SUMIFS(ECF[10∙(NL/3+1)],ECF[Prof. (m)],"&lt;="&amp;ECF[[#This Row],[Prof. (m)]],ECF[idDiâmetro],ECF[[#This Row],[idDiâmetro]],ECF[idPilar],ECF[[#This Row],[idPilar]])*ECF[[#This Row],[U (m)]])/'DADOS CAP. CARGA'!$S$2</f>
        <v>2445.0230224725965</v>
      </c>
      <c r="V249" s="4">
        <f>IF(SPT!$M$5=1,MIN(ECF[[#This Row],[Pe ECF (kN)]],ECF[[#This Row],[R_AV (kN)]]),IF(SPT!$M$5=2,MIN(ECF[[#This Row],[Pe ECF (kN)]],ECF[[#This Row],[R_DC (kN)]]),MIN(ECF[[#This Row],[Pe ECF (kN)]],ECF[[#This Row],[R_AV (kN)]],ECF[[#This Row],[R_DC (kN)]])))</f>
        <v>2445.0230224725965</v>
      </c>
      <c r="W249" s="4">
        <f>INDEX(PILARES[],ECF[[#This Row],[idPilar]],MATCH("Carga (kN)",PILARES[#Headers],0))*1.4</f>
        <v>1750</v>
      </c>
      <c r="X249" s="12">
        <f>INDEX(PILARES[],ECF[[#This Row],[idPilar]],MATCH(ECF[[#Headers],[ap (cm)]],PILARES[#Headers],0))</f>
        <v>50</v>
      </c>
      <c r="Y249" s="12">
        <f>INDEX(PILARES[],ECF[[#This Row],[idPilar]],MATCH(ECF[[#Headers],[bp (cm)]],PILARES[#Headers],0))</f>
        <v>40</v>
      </c>
      <c r="Z249" s="4">
        <f>SQRT(ECF[[#This Row],[ap (cm)]]*ECF[[#This Row],[bp (cm)]])</f>
        <v>44.721359549995796</v>
      </c>
      <c r="AA249" s="12">
        <f>ECF[[#This Row],[ap (cm)]]*ECF[[#This Row],[bp (cm)]]</f>
        <v>2000</v>
      </c>
      <c r="AB249" s="12">
        <f ca="1">IF(ECF[[#This Row],[Padm∙ε (kN)]]&gt;=ECF[[#This Row],[Padm (kN)]],ROUNDUP(1.05*ECF[[#This Row],[Nsd (kN)]]/ECF[[#This Row],[Padm (kN)]],0),ROUNDUP(1.05*ECF[[#This Row],[Nsd (kN)]]/ECF[[#This Row],[Padm (kN)]],0)+1)</f>
        <v>1</v>
      </c>
      <c r="AC249" s="4">
        <f ca="1">IFERROR(IF(ECF[[#This Row],[nE]]=1,ECF[[#This Row],[Padm (kN)]],ECF[[#This Row],[Padm (kN)]]*ECF[[#This Row],[nE]]*INDEX(grupoEstacas[],ECF[[#This Row],[nE]],MATCH("ε",grupoEstacas[#Headers],0))),"N.S.")</f>
        <v>2445.0230224725965</v>
      </c>
      <c r="AD249" s="4">
        <f ca="1">1.05*ECF[[#This Row],[Nsd (kN)]]/(ECF[[#This Row],[nE]]*PI()*ECF[[#This Row],[Ø (cm)]]^2/4)*10</f>
        <v>0.72209187143545117</v>
      </c>
      <c r="AE249" s="4">
        <f ca="1">IF(ECF[[#This Row],[σ (MPa)]]&lt;INDEX(tipoEstaca[],MATCH($D$2,tipoEstaca[TIPO DE ESTACA],0),MATCH("σmáx (MPa)",tipoEstaca[#Headers],0)),0.4%*PI()*ECF[[#This Row],[Ø (cm)]]^2/4,"N.S.")</f>
        <v>101.7876019763093</v>
      </c>
      <c r="AF249" s="82">
        <f>INDEX(tipoEstaca[],MATCH($D$2,tipoEstaca[TIPO DE ESTACA],0),MATCH(ECF[[#Headers],[Comprimento (m)]],tipoEstaca[#Headers],0))</f>
        <v>4</v>
      </c>
      <c r="AG249" s="5">
        <f ca="1">ECF[[#This Row],[As,mín (cm²)]]/100^2*ECF[[#This Row],[Comprimento (m)]]*7850</f>
        <v>319.61307020561122</v>
      </c>
      <c r="AH249" s="4">
        <f ca="1">ECF[[#This Row],[nE]]*ECF[[#This Row],[Prof. (m)]]*ECF[[#This Row],[Ap (m²)]]</f>
        <v>15.268140296446397</v>
      </c>
      <c r="AI249" s="82">
        <f ca="1">IF(ECF[[#This Row],[nE]]=1,0,MAX(3*ECF[[#This Row],[Ø (cm)]],60))</f>
        <v>0</v>
      </c>
      <c r="AJ249" s="82">
        <f ca="1">IF(ECF[[#This Row],[nE]]=1,ECF[[#This Row],[Ø (cm)]]+2*10,MAX(1.5*ECF[[#This Row],[Ø (cm)]],ECF[[#This Row],[Ø (cm)]]+15))</f>
        <v>200</v>
      </c>
      <c r="AK249" s="82">
        <f ca="1">alturaUtil(ECF[[#This Row],[nE]],ECF[[#This Row],[Ø (cm)]],ECF[[#This Row],[e (cm)]],ECF[[#This Row],[ap,eq (cm)]])</f>
        <v>220</v>
      </c>
      <c r="AL249" s="82">
        <f ca="1">IFERROR(ECF[[#This Row],[d (cm)]]+arredondarParaCimaMultiplo5cm(MAX(5,SQRT(PI())/2*ECF[[#This Row],[Ø (cm)]]/5)),"N.S.")</f>
        <v>255</v>
      </c>
      <c r="AM249" s="5">
        <f ca="1">alpha(ECF[[#This Row],[nE]],ECF[[#This Row],[d (cm)]],ECF[[#This Row],[e (cm)]],ECF[[#This Row],[ap,eq (cm)]])</f>
        <v>90</v>
      </c>
      <c r="AN249" s="35">
        <f ca="1">IFERROR(ECF[[#This Row],[Nsd (kN)]]/(ECF[[#This Row],[Ap (cm²)]]*SIN(ECF[[#This Row],[α]])^2),"N.S.")</f>
        <v>1.0948037013095111</v>
      </c>
      <c r="AO249" s="35">
        <f ca="1">IFERROR(ECF[[#This Row],[Nsd (kN)]]/(ECF[[#This Row],[nE]]*PI()*ECF[[#This Row],[Ø (cm)]]^2/4*SIN(ECF[[#This Row],[α]])^2),"N.S.")</f>
        <v>8.6046133717882292E-2</v>
      </c>
      <c r="AP249" s="4">
        <f ca="1">IFERROR(INDEX(grupoEstacas[],ECF[[#This Row],[nE]],MATCH("coef. Blévot",grupoEstacas[#Headers],0)),"N.S.")</f>
        <v>1</v>
      </c>
      <c r="AQ249" s="35">
        <f ca="1">IFERROR(ECF[[#This Row],[coef. Blévot]]*0.9*INDEX(tipoEstaca[],MATCH($D$2,tipoEstaca[TIPO DE ESTACA],0),MATCH("fcd (kN/cm²)",tipoEstaca[#Headers],0)),"N.S.")</f>
        <v>1</v>
      </c>
      <c r="AR249" s="82" t="str">
        <f ca="1">IF(AND(ECF[[#This Row],[cd,b,pil (kN/cm²)]]&lt;=ECF[[#This Row],[cd,b,lim (kN/cm²)]],ECF[[#This Row],[cd,b,est (kN/cm²)]]&lt;=ECF[[#This Row],[cd,b,lim (kN/cm²)]]),"OK","ERRO")</f>
        <v>ERRO</v>
      </c>
      <c r="AS249" s="4">
        <f ca="1">As_lado(ECF[[#This Row],[nE]],ECF[[#This Row],[Nsd (kN)]],ECF[[#This Row],[d (cm)]],ECF[[#This Row],[e (cm)]],ECF[[#This Row],[ap,eq (cm)]])</f>
        <v>10.0625</v>
      </c>
      <c r="AT249" s="4">
        <f ca="1">IF(ECF[[#This Row],[nE]]=1,ECF[[#This Row],[As,lado (cm²)]],IF(ECF[[#This Row],[nE]]=2,0.075*2*ECF[a (cm)],"N.A."))</f>
        <v>10.0625</v>
      </c>
      <c r="AU249" s="4" t="str">
        <f ca="1">IFERROR(IF(ECF[[#This Row],[nE]]=1,"N.A.",0.2*ECF[[#This Row],[As,lado (cm²)]]),"N.S.")</f>
        <v>N.A.</v>
      </c>
      <c r="AV249" s="4" t="str">
        <f ca="1">As_malha(ECF[[#This Row],[nE]],ECF[[#This Row],[As,lado (cm²)]],ECF[[#This Row],[Nsd (kN)]])</f>
        <v>N.A.</v>
      </c>
      <c r="AW249" s="4" t="str">
        <f ca="1">As_susp_tot(ECF[[#This Row],[nE]],ECF[[#This Row],[Nsd (kN)]])</f>
        <v>N.A.</v>
      </c>
      <c r="AX249" s="4" t="str">
        <f ca="1">Asp_face(ECF[[#This Row],[nE]],ECF[[#This Row],[As,lado (cm²)]])</f>
        <v>N.A.</v>
      </c>
      <c r="AY249" s="5">
        <f ca="1">acoBloco(ECF[[#This Row],[nE]],ECF[[#This Row],[e (cm)]],ECF[[#This Row],[a (cm)]],ECF[[#This Row],[h (cm)]],ECF[[#This Row],[As,lado (cm²)]],ECF[[#This Row],[Asp e Asw (cm²/m)]],ECF[[#This Row],[As,sup (cm²)]],ECF[[#This Row],[As,malha (cm²)]],ECF[[#This Row],[As,susp,tot (cm²)]],ECF[[#This Row],[Asp,face (cm²)]])</f>
        <v>206.95543749999999</v>
      </c>
      <c r="AZ249" s="4">
        <f ca="1">concretoBloco(ECF[[#This Row],[nE]],ECF[[#This Row],[e (cm)]],ECF[[#This Row],[a (cm)]],ECF[[#This Row],[h (cm)]])</f>
        <v>10.199999999999999</v>
      </c>
      <c r="BA249" s="5">
        <f ca="1">SUM(ECF[[#This Row],[Aço Est (kg)]],ECF[[#This Row],[Aço Bloco (kg)]])</f>
        <v>526.56850770561118</v>
      </c>
      <c r="BB249" s="4">
        <f>INDEX(composicoes[],MATCH(95580,composicoes[CÓDIGO],0),MATCH("CUSTO TOTAL",composicoes[#Headers],0))</f>
        <v>10.46</v>
      </c>
      <c r="BC249" s="4">
        <f ca="1">SUM(ECF[[#This Row],[Conc Est (m³)]],ECF[[#This Row],[Conc Bloco (m³)]])</f>
        <v>25.468140296446396</v>
      </c>
      <c r="BD249" s="4">
        <f>INDEX(composicoes[],MATCH(94966,composicoes[CÓDIGO],0),MATCH("CUSTO TOTAL",composicoes[#Headers],0))</f>
        <v>439.52</v>
      </c>
      <c r="BE249" s="38">
        <f ca="1">ECF[[#This Row],[Aço (kg)]]*ECF[[#This Row],[Aço (R$/kg)]]+ECF[[#This Row],[Conc (m³)]]*ECF[[#This Row],[Conc (R$/m³)]]</f>
        <v>16701.663613694815</v>
      </c>
      <c r="BF249" s="4" t="str">
        <f ca="1">IF(COUNTIF(ECF[#This Row],"N.S.")&gt;0,"lim.","OK")</f>
        <v>OK</v>
      </c>
      <c r="BG249" s="4" t="str">
        <f>IF(ECF[[#This Row],[Prof. (m)]]&lt;4,"lim.","OK")</f>
        <v>OK</v>
      </c>
      <c r="BH249" s="4" t="str">
        <f>IF(ECF[[#This Row],[Prof. (m)]]&gt;=8*ECF[[#This Row],[Ø (cm)]]/100,"OK","lim.")</f>
        <v>lim.</v>
      </c>
      <c r="BI249" s="4" t="str">
        <f>IF(AND(SPT!$F$3&lt;&gt;"",ECF[[#This Row],[Prof. (m)]]&gt;=SPT!$F$3-2),"lim.","OK")</f>
        <v>OK</v>
      </c>
      <c r="BJ249" s="4" t="str">
        <f ca="1">IF(ECF[[#This Row],[Verif. Biela]]="OK","OK","lim.")</f>
        <v>lim.</v>
      </c>
      <c r="BK249" s="4" t="str">
        <f ca="1">IF(COUNTA(ECF[[#This Row],[Nº Est.]:[Biela comp.]])=COUNTIF(ECF[[#This Row],[Nº Est.]:[Biela comp.]],"OK"),"OK","lim.")</f>
        <v>lim.</v>
      </c>
      <c r="BL249" s="4" t="str">
        <f ca="1">IF(ECF[[#This Row],[Controle]]="OK",ECF[[#This Row],[nE]]&amp;" Ø "&amp;ECF[[#This Row],[Ø (cm)]]&amp;" cm, Prof. "&amp;ECF[[#This Row],[Prof. (m)]]&amp;" m","")</f>
        <v/>
      </c>
      <c r="BM249" s="4" t="str">
        <f ca="1">IF(ECF[[#This Row],[idDimensionamento]]="","",ECF[[#This Row],[idPilar]]&amp;ECF[[#This Row],[idDimensionamento]])</f>
        <v/>
      </c>
    </row>
    <row r="250" spans="2:65" x14ac:dyDescent="0.25">
      <c r="B250" s="12">
        <f>ROUNDUP((ROW(ECF[[#This Row],[idDiâmetro]])-ROW(ECF[[#Headers],[idDiâmetro]]))/(COUNT(SPT[Prof. (m)])*COUNT(PILARES[Pilar])),0)</f>
        <v>9</v>
      </c>
      <c r="C250" s="12">
        <f>IF(ECF[[#This Row],[idDiâmetro]]&lt;&gt;B249,1,IF(ECF[[#This Row],[Prof. (m)]]=0,C249+1,C249))</f>
        <v>2</v>
      </c>
      <c r="D250" s="82">
        <f>IFERROR(IF(D249=MAX(SPT[Prof. (m)]),0,D249+1),0)</f>
        <v>7</v>
      </c>
      <c r="E250" s="82">
        <f>INDEX(SPT[],MATCH(ECF[[#This Row],[Prof. (m)]],SPT[Prof. (m)],0),2)</f>
        <v>8</v>
      </c>
      <c r="F250" s="82" t="str">
        <f>INDEX(SPT[],MATCH(ECF[[#This Row],[Prof. (m)]],SPT[Prof. (m)],0),3)</f>
        <v>Silte arenoso</v>
      </c>
      <c r="G250" s="82">
        <f>INDEX(estacas[],ECF[[#This Row],[idDiâmetro]],MATCH($B$2,estacas[#Headers],0))</f>
        <v>180</v>
      </c>
      <c r="H250" s="82">
        <f>INDEX(estacas[],MATCH(ECF[[#This Row],[Ø (cm)]],estacas[Ø ECF (cm)],0),MATCH(ECF[[#Headers],[Pe ECF (kN)]],estacas[#Headers],0))</f>
        <v>10100</v>
      </c>
      <c r="I250" s="4">
        <f>INDEX(K_alpha_C[],MATCH(ECF[[#This Row],[Solo]],K_alpha_C[Solo],0),2)</f>
        <v>0.55000000000000004</v>
      </c>
      <c r="J250" s="5">
        <f>INDEX(K_alpha_C[],MATCH(ECF[[#This Row],[Solo]],K_alpha_C[Solo],0),3)</f>
        <v>2.2000000000000002</v>
      </c>
      <c r="K250" s="4">
        <f>INDEX(F1_F2[],MATCH($D$2,F1_F2[Tipo de estaca],0),2)</f>
        <v>3</v>
      </c>
      <c r="L250" s="4">
        <f>INDEX(F1_F2[],MATCH($D$2,F1_F2[Tipo de estaca],0),3)</f>
        <v>6</v>
      </c>
      <c r="M250" s="4">
        <f>PI()*(ECF[[#This Row],[Ø (cm)]]/100)^2/4</f>
        <v>2.5446900494077327</v>
      </c>
      <c r="N250" s="4">
        <f>PI()*ECF[[#This Row],[Ø (cm)]]/100</f>
        <v>5.6548667764616276</v>
      </c>
      <c r="O250" s="4">
        <f>IF(ECF[[#This Row],[Prof. (m)]]=0,0,ECF[[#This Row],[α (%)]]/100*ECF[[#This Row],[K (MPa)]]*1000*ECF[[#This Row],[NSPT]])</f>
        <v>96.800000000000011</v>
      </c>
      <c r="P250" s="4">
        <f>IF(ECF[[#This Row],[Prof. (m)]]=0,0,(ECF[[#This Row],[K (MPa)]]*1000*ECF[[#This Row],[NSPT]]/ECF[[#This Row],[F1]]*ECF[[#This Row],[Ap (m²)]]+ECF[[#This Row],[U (m)]]/ECF[[#This Row],[F2]]*SUMIFS(ECF[(α∙K∙NL∙ΔL)],ECF[Prof. (m)],"&lt;="&amp;ECF[[#This Row],[Prof. (m)]],ECF[idDiâmetro],ECF[[#This Row],[idDiâmetro]],ECF[idPilar],ECF[[#This Row],[idPilar]]))/'DADOS CAP. CARGA'!$D$2)</f>
        <v>2280.2779037183477</v>
      </c>
      <c r="Q250" s="12">
        <f>INDEX(C_alpha_beta[],MATCH(ECF[[#This Row],[Solo]],C_alpha_beta[Solo],0),MATCH(ECF[[#Headers],[C (kPa)]],C_alpha_beta[#Headers],0))</f>
        <v>250</v>
      </c>
      <c r="R250" s="4">
        <f>INDEX(C_alpha_beta[],MATCH(ECF[[#This Row],[Solo]],C_alpha_beta[Solo],0),MATCH(ECF[[#Headers],[α ESF]],C_alpha_beta[#Headers],0))</f>
        <v>0.6</v>
      </c>
      <c r="S250" s="4">
        <f>INDEX(C_alpha_beta[],MATCH(ECF[[#This Row],[Solo]],C_alpha_beta[Solo],0),MATCH(ECF[[#Headers],[β ESF]],C_alpha_beta[#Headers],0))</f>
        <v>0.65</v>
      </c>
      <c r="T250" s="4">
        <f>IF(ECF[[#This Row],[Prof. (m)]]=0,0,10*(ECF[[#This Row],[NSPT]]/3+1))</f>
        <v>36.666666666666664</v>
      </c>
      <c r="U250" s="4">
        <f>(ECF[[#This Row],[α ESF]]*ECF[[#This Row],[C (kPa)]]*ECF[[#This Row],[NSPT]]*ECF[[#This Row],[Ap (m²)]])/'DADOS CAP. CARGA'!$Q$2+(ECF[[#This Row],[β ESF]]*SUMIFS(ECF[10∙(NL/3+1)],ECF[Prof. (m)],"&lt;="&amp;ECF[[#This Row],[Prof. (m)]],ECF[idDiâmetro],ECF[[#This Row],[idDiâmetro]],ECF[idPilar],ECF[[#This Row],[idPilar]])*ECF[[#This Row],[U (m)]])/'DADOS CAP. CARGA'!$S$2</f>
        <v>1271.8737858058278</v>
      </c>
      <c r="V250" s="4">
        <f>IF(SPT!$M$5=1,MIN(ECF[[#This Row],[Pe ECF (kN)]],ECF[[#This Row],[R_AV (kN)]]),IF(SPT!$M$5=2,MIN(ECF[[#This Row],[Pe ECF (kN)]],ECF[[#This Row],[R_DC (kN)]]),MIN(ECF[[#This Row],[Pe ECF (kN)]],ECF[[#This Row],[R_AV (kN)]],ECF[[#This Row],[R_DC (kN)]])))</f>
        <v>1271.8737858058278</v>
      </c>
      <c r="W250" s="4">
        <f>INDEX(PILARES[],ECF[[#This Row],[idPilar]],MATCH("Carga (kN)",PILARES[#Headers],0))*1.4</f>
        <v>1750</v>
      </c>
      <c r="X250" s="12">
        <f>INDEX(PILARES[],ECF[[#This Row],[idPilar]],MATCH(ECF[[#Headers],[ap (cm)]],PILARES[#Headers],0))</f>
        <v>50</v>
      </c>
      <c r="Y250" s="12">
        <f>INDEX(PILARES[],ECF[[#This Row],[idPilar]],MATCH(ECF[[#Headers],[bp (cm)]],PILARES[#Headers],0))</f>
        <v>40</v>
      </c>
      <c r="Z250" s="4">
        <f>SQRT(ECF[[#This Row],[ap (cm)]]*ECF[[#This Row],[bp (cm)]])</f>
        <v>44.721359549995796</v>
      </c>
      <c r="AA250" s="12">
        <f>ECF[[#This Row],[ap (cm)]]*ECF[[#This Row],[bp (cm)]]</f>
        <v>2000</v>
      </c>
      <c r="AB250" s="12">
        <f ca="1">IF(ECF[[#This Row],[Padm∙ε (kN)]]&gt;=ECF[[#This Row],[Padm (kN)]],ROUNDUP(1.05*ECF[[#This Row],[Nsd (kN)]]/ECF[[#This Row],[Padm (kN)]],0),ROUNDUP(1.05*ECF[[#This Row],[Nsd (kN)]]/ECF[[#This Row],[Padm (kN)]],0)+1)</f>
        <v>2</v>
      </c>
      <c r="AC250" s="4">
        <f ca="1">IFERROR(IF(ECF[[#This Row],[nE]]=1,ECF[[#This Row],[Padm (kN)]],ECF[[#This Row],[Padm (kN)]]*ECF[[#This Row],[nE]]*INDEX(grupoEstacas[],ECF[[#This Row],[nE]],MATCH("ε",grupoEstacas[#Headers],0))),"N.S.")</f>
        <v>2384.7633483859272</v>
      </c>
      <c r="AD250" s="4">
        <f ca="1">1.05*ECF[[#This Row],[Nsd (kN)]]/(ECF[[#This Row],[nE]]*PI()*ECF[[#This Row],[Ø (cm)]]^2/4)*10</f>
        <v>0.36104593571772559</v>
      </c>
      <c r="AE250" s="4">
        <f ca="1">IF(ECF[[#This Row],[σ (MPa)]]&lt;INDEX(tipoEstaca[],MATCH($D$2,tipoEstaca[TIPO DE ESTACA],0),MATCH("σmáx (MPa)",tipoEstaca[#Headers],0)),0.4%*PI()*ECF[[#This Row],[Ø (cm)]]^2/4,"N.S.")</f>
        <v>101.7876019763093</v>
      </c>
      <c r="AF250" s="82">
        <f>INDEX(tipoEstaca[],MATCH($D$2,tipoEstaca[TIPO DE ESTACA],0),MATCH(ECF[[#Headers],[Comprimento (m)]],tipoEstaca[#Headers],0))</f>
        <v>4</v>
      </c>
      <c r="AG250" s="5">
        <f ca="1">ECF[[#This Row],[As,mín (cm²)]]/100^2*ECF[[#This Row],[Comprimento (m)]]*7850</f>
        <v>319.61307020561122</v>
      </c>
      <c r="AH250" s="4">
        <f ca="1">ECF[[#This Row],[nE]]*ECF[[#This Row],[Prof. (m)]]*ECF[[#This Row],[Ap (m²)]]</f>
        <v>35.625660691708255</v>
      </c>
      <c r="AI250" s="82">
        <f ca="1">IF(ECF[[#This Row],[nE]]=1,0,MAX(3*ECF[[#This Row],[Ø (cm)]],60))</f>
        <v>540</v>
      </c>
      <c r="AJ250" s="82">
        <f ca="1">IF(ECF[[#This Row],[nE]]=1,ECF[[#This Row],[Ø (cm)]]+2*10,MAX(1.5*ECF[[#This Row],[Ø (cm)]],ECF[[#This Row],[Ø (cm)]]+15))</f>
        <v>270</v>
      </c>
      <c r="AK250" s="82">
        <f ca="1">alturaUtil(ECF[[#This Row],[nE]],ECF[[#This Row],[Ø (cm)]],ECF[[#This Row],[e (cm)]],ECF[[#This Row],[ap,eq (cm)]])</f>
        <v>260</v>
      </c>
      <c r="AL250" s="82">
        <f ca="1">IFERROR(ECF[[#This Row],[d (cm)]]+arredondarParaCimaMultiplo5cm(MAX(5,SQRT(PI())/2*ECF[[#This Row],[Ø (cm)]]/5)),"N.S.")</f>
        <v>295</v>
      </c>
      <c r="AM250" s="5">
        <f ca="1">alpha(ECF[[#This Row],[nE]],ECF[[#This Row],[d (cm)]],ECF[[#This Row],[e (cm)]],ECF[[#This Row],[ap,eq (cm)]])</f>
        <v>45.130350452124574</v>
      </c>
      <c r="AN250" s="35">
        <f ca="1">IFERROR(ECF[[#This Row],[Nsd (kN)]]/(ECF[[#This Row],[Ap (cm²)]]*SIN(ECF[[#This Row],[α]])^2),"N.S.")</f>
        <v>1.0520825008243508</v>
      </c>
      <c r="AO250" s="35">
        <f ca="1">IFERROR(ECF[[#This Row],[Nsd (kN)]]/(ECF[[#This Row],[nE]]*PI()*ECF[[#This Row],[Ø (cm)]]^2/4*SIN(ECF[[#This Row],[α]])^2),"N.S.")</f>
        <v>4.1344229764611974E-2</v>
      </c>
      <c r="AP250" s="4">
        <f ca="1">IFERROR(INDEX(grupoEstacas[],ECF[[#This Row],[nE]],MATCH("coef. Blévot",grupoEstacas[#Headers],0)),"N.S.")</f>
        <v>1.4</v>
      </c>
      <c r="AQ250" s="35">
        <f ca="1">IFERROR(ECF[[#This Row],[coef. Blévot]]*0.9*INDEX(tipoEstaca[],MATCH($D$2,tipoEstaca[TIPO DE ESTACA],0),MATCH("fcd (kN/cm²)",tipoEstaca[#Headers],0)),"N.S.")</f>
        <v>1.4000000000000001</v>
      </c>
      <c r="AR250" s="82" t="str">
        <f ca="1">IF(AND(ECF[[#This Row],[cd,b,pil (kN/cm²)]]&lt;=ECF[[#This Row],[cd,b,lim (kN/cm²)]],ECF[[#This Row],[cd,b,est (kN/cm²)]]&lt;=ECF[[#This Row],[cd,b,lim (kN/cm²)]]),"OK","ERRO")</f>
        <v>OK</v>
      </c>
      <c r="AS250" s="4">
        <f ca="1">As_lado(ECF[[#This Row],[nE]],ECF[[#This Row],[Nsd (kN)]],ECF[[#This Row],[d (cm)]],ECF[[#This Row],[e (cm)]],ECF[[#This Row],[ap,eq (cm)]])</f>
        <v>23.0386827258796</v>
      </c>
      <c r="AT250" s="4">
        <f ca="1">IF(ECF[[#This Row],[nE]]=1,ECF[[#This Row],[As,lado (cm²)]],IF(ECF[[#This Row],[nE]]=2,0.075*2*ECF[a (cm)],"N.A."))</f>
        <v>40.5</v>
      </c>
      <c r="AU250" s="4">
        <f ca="1">IFERROR(IF(ECF[[#This Row],[nE]]=1,"N.A.",0.2*ECF[[#This Row],[As,lado (cm²)]]),"N.S.")</f>
        <v>4.6077365451759205</v>
      </c>
      <c r="AV250" s="4" t="str">
        <f ca="1">As_malha(ECF[[#This Row],[nE]],ECF[[#This Row],[As,lado (cm²)]],ECF[[#This Row],[Nsd (kN)]])</f>
        <v>N.A.</v>
      </c>
      <c r="AW250" s="4" t="str">
        <f ca="1">As_susp_tot(ECF[[#This Row],[nE]],ECF[[#This Row],[Nsd (kN)]])</f>
        <v>N.A.</v>
      </c>
      <c r="AX250" s="4" t="str">
        <f ca="1">Asp_face(ECF[[#This Row],[nE]],ECF[[#This Row],[As,lado (cm²)]])</f>
        <v>N.A.</v>
      </c>
      <c r="AY250" s="5">
        <f ca="1">acoBloco(ECF[[#This Row],[nE]],ECF[[#This Row],[e (cm)]],ECF[[#This Row],[a (cm)]],ECF[[#This Row],[h (cm)]],ECF[[#This Row],[As,lado (cm²)]],ECF[[#This Row],[Asp e Asw (cm²/m)]],ECF[[#This Row],[As,sup (cm²)]],ECF[[#This Row],[As,malha (cm²)]],ECF[[#This Row],[As,susp,tot (cm²)]],ECF[[#This Row],[Asp,face (cm²)]])</f>
        <v>9007.2087925800079</v>
      </c>
      <c r="AZ250" s="4">
        <f ca="1">concretoBloco(ECF[[#This Row],[nE]],ECF[[#This Row],[e (cm)]],ECF[[#This Row],[a (cm)]],ECF[[#This Row],[h (cm)]])</f>
        <v>172.04400000000001</v>
      </c>
      <c r="BA250" s="5">
        <f ca="1">SUM(ECF[[#This Row],[Aço Est (kg)]],ECF[[#This Row],[Aço Bloco (kg)]])</f>
        <v>9326.8218627856186</v>
      </c>
      <c r="BB250" s="4">
        <f>INDEX(composicoes[],MATCH(95580,composicoes[CÓDIGO],0),MATCH("CUSTO TOTAL",composicoes[#Headers],0))</f>
        <v>10.46</v>
      </c>
      <c r="BC250" s="4">
        <f ca="1">SUM(ECF[[#This Row],[Conc Est (m³)]],ECF[[#This Row],[Conc Bloco (m³)]])</f>
        <v>207.66966069170826</v>
      </c>
      <c r="BD250" s="4">
        <f>INDEX(composicoes[],MATCH(94966,composicoes[CÓDIGO],0),MATCH("CUSTO TOTAL",composicoes[#Headers],0))</f>
        <v>439.52</v>
      </c>
      <c r="BE250" s="38">
        <f ca="1">ECF[[#This Row],[Aço (kg)]]*ECF[[#This Row],[Aço (R$/kg)]]+ECF[[#This Row],[Conc (m³)]]*ECF[[#This Row],[Conc (R$/m³)]]</f>
        <v>188833.52595195718</v>
      </c>
      <c r="BF250" s="4" t="str">
        <f ca="1">IF(COUNTIF(ECF[#This Row],"N.S.")&gt;0,"lim.","OK")</f>
        <v>OK</v>
      </c>
      <c r="BG250" s="4" t="str">
        <f>IF(ECF[[#This Row],[Prof. (m)]]&lt;4,"lim.","OK")</f>
        <v>OK</v>
      </c>
      <c r="BH250" s="4" t="str">
        <f>IF(ECF[[#This Row],[Prof. (m)]]&gt;=8*ECF[[#This Row],[Ø (cm)]]/100,"OK","lim.")</f>
        <v>lim.</v>
      </c>
      <c r="BI250" s="4" t="str">
        <f>IF(AND(SPT!$F$3&lt;&gt;"",ECF[[#This Row],[Prof. (m)]]&gt;=SPT!$F$3-2),"lim.","OK")</f>
        <v>OK</v>
      </c>
      <c r="BJ250" s="4" t="str">
        <f ca="1">IF(ECF[[#This Row],[Verif. Biela]]="OK","OK","lim.")</f>
        <v>OK</v>
      </c>
      <c r="BK250" s="4" t="str">
        <f ca="1">IF(COUNTA(ECF[[#This Row],[Nº Est.]:[Biela comp.]])=COUNTIF(ECF[[#This Row],[Nº Est.]:[Biela comp.]],"OK"),"OK","lim.")</f>
        <v>lim.</v>
      </c>
      <c r="BL250" s="4" t="str">
        <f ca="1">IF(ECF[[#This Row],[Controle]]="OK",ECF[[#This Row],[nE]]&amp;" Ø "&amp;ECF[[#This Row],[Ø (cm)]]&amp;" cm, Prof. "&amp;ECF[[#This Row],[Prof. (m)]]&amp;" m","")</f>
        <v/>
      </c>
      <c r="BM250" s="4" t="str">
        <f ca="1">IF(ECF[[#This Row],[idDimensionamento]]="","",ECF[[#This Row],[idPilar]]&amp;ECF[[#This Row],[idDimensionamento]])</f>
        <v/>
      </c>
    </row>
    <row r="251" spans="2:65" x14ac:dyDescent="0.25">
      <c r="B251" s="12">
        <f>ROUNDUP((ROW(ECF[[#This Row],[idDiâmetro]])-ROW(ECF[[#Headers],[idDiâmetro]]))/(COUNT(SPT[Prof. (m)])*COUNT(PILARES[Pilar])),0)</f>
        <v>9</v>
      </c>
      <c r="C251" s="12">
        <f>IF(ECF[[#This Row],[idDiâmetro]]&lt;&gt;B250,1,IF(ECF[[#This Row],[Prof. (m)]]=0,C250+1,C250))</f>
        <v>2</v>
      </c>
      <c r="D251" s="82">
        <f>IFERROR(IF(D250=MAX(SPT[Prof. (m)]),0,D250+1),0)</f>
        <v>8</v>
      </c>
      <c r="E251" s="82">
        <f>INDEX(SPT[],MATCH(ECF[[#This Row],[Prof. (m)]],SPT[Prof. (m)],0),2)</f>
        <v>10</v>
      </c>
      <c r="F251" s="82" t="str">
        <f>INDEX(SPT[],MATCH(ECF[[#This Row],[Prof. (m)]],SPT[Prof. (m)],0),3)</f>
        <v>Silte arenoso</v>
      </c>
      <c r="G251" s="82">
        <f>INDEX(estacas[],ECF[[#This Row],[idDiâmetro]],MATCH($B$2,estacas[#Headers],0))</f>
        <v>180</v>
      </c>
      <c r="H251" s="82">
        <f>INDEX(estacas[],MATCH(ECF[[#This Row],[Ø (cm)]],estacas[Ø ECF (cm)],0),MATCH(ECF[[#Headers],[Pe ECF (kN)]],estacas[#Headers],0))</f>
        <v>10100</v>
      </c>
      <c r="I251" s="4">
        <f>INDEX(K_alpha_C[],MATCH(ECF[[#This Row],[Solo]],K_alpha_C[Solo],0),2)</f>
        <v>0.55000000000000004</v>
      </c>
      <c r="J251" s="5">
        <f>INDEX(K_alpha_C[],MATCH(ECF[[#This Row],[Solo]],K_alpha_C[Solo],0),3)</f>
        <v>2.2000000000000002</v>
      </c>
      <c r="K251" s="4">
        <f>INDEX(F1_F2[],MATCH($D$2,F1_F2[Tipo de estaca],0),2)</f>
        <v>3</v>
      </c>
      <c r="L251" s="4">
        <f>INDEX(F1_F2[],MATCH($D$2,F1_F2[Tipo de estaca],0),3)</f>
        <v>6</v>
      </c>
      <c r="M251" s="4">
        <f>PI()*(ECF[[#This Row],[Ø (cm)]]/100)^2/4</f>
        <v>2.5446900494077327</v>
      </c>
      <c r="N251" s="4">
        <f>PI()*ECF[[#This Row],[Ø (cm)]]/100</f>
        <v>5.6548667764616276</v>
      </c>
      <c r="O251" s="4">
        <f>IF(ECF[[#This Row],[Prof. (m)]]=0,0,ECF[[#This Row],[α (%)]]/100*ECF[[#This Row],[K (MPa)]]*1000*ECF[[#This Row],[NSPT]])</f>
        <v>121.00000000000001</v>
      </c>
      <c r="P251" s="4">
        <f>IF(ECF[[#This Row],[Prof. (m)]]=0,0,(ECF[[#This Row],[K (MPa)]]*1000*ECF[[#This Row],[NSPT]]/ECF[[#This Row],[F1]]*ECF[[#This Row],[Ap (m²)]]+ECF[[#This Row],[U (m)]]/ECF[[#This Row],[F2]]*SUMIFS(ECF[(α∙K∙NL∙ΔL)],ECF[Prof. (m)],"&lt;="&amp;ECF[[#This Row],[Prof. (m)]],ECF[idDiâmetro],ECF[[#This Row],[idDiâmetro]],ECF[idPilar],ECF[[#This Row],[idPilar]]))/'DADOS CAP. CARGA'!$D$2)</f>
        <v>2803.8243194390866</v>
      </c>
      <c r="Q251" s="12">
        <f>INDEX(C_alpha_beta[],MATCH(ECF[[#This Row],[Solo]],C_alpha_beta[Solo],0),MATCH(ECF[[#Headers],[C (kPa)]],C_alpha_beta[#Headers],0))</f>
        <v>250</v>
      </c>
      <c r="R251" s="4">
        <f>INDEX(C_alpha_beta[],MATCH(ECF[[#This Row],[Solo]],C_alpha_beta[Solo],0),MATCH(ECF[[#Headers],[α ESF]],C_alpha_beta[#Headers],0))</f>
        <v>0.6</v>
      </c>
      <c r="S251" s="4">
        <f>INDEX(C_alpha_beta[],MATCH(ECF[[#This Row],[Solo]],C_alpha_beta[Solo],0),MATCH(ECF[[#Headers],[β ESF]],C_alpha_beta[#Headers],0))</f>
        <v>0.65</v>
      </c>
      <c r="T251" s="4">
        <f>IF(ECF[[#This Row],[Prof. (m)]]=0,0,10*(ECF[[#This Row],[NSPT]]/3+1))</f>
        <v>43.333333333333343</v>
      </c>
      <c r="U251" s="4">
        <f>(ECF[[#This Row],[α ESF]]*ECF[[#This Row],[C (kPa)]]*ECF[[#This Row],[NSPT]]*ECF[[#This Row],[Ap (m²)]])/'DADOS CAP. CARGA'!$Q$2+(ECF[[#This Row],[β ESF]]*SUMIFS(ECF[10∙(NL/3+1)],ECF[Prof. (m)],"&lt;="&amp;ECF[[#This Row],[Prof. (m)]],ECF[idDiâmetro],ECF[[#This Row],[idDiâmetro]],ECF[idPilar],ECF[[#This Row],[idPilar]])*ECF[[#This Row],[U (m)]])/'DADOS CAP. CARGA'!$S$2</f>
        <v>1542.3649132799092</v>
      </c>
      <c r="V251" s="4">
        <f>IF(SPT!$M$5=1,MIN(ECF[[#This Row],[Pe ECF (kN)]],ECF[[#This Row],[R_AV (kN)]]),IF(SPT!$M$5=2,MIN(ECF[[#This Row],[Pe ECF (kN)]],ECF[[#This Row],[R_DC (kN)]]),MIN(ECF[[#This Row],[Pe ECF (kN)]],ECF[[#This Row],[R_AV (kN)]],ECF[[#This Row],[R_DC (kN)]])))</f>
        <v>1542.3649132799092</v>
      </c>
      <c r="W251" s="4">
        <f>INDEX(PILARES[],ECF[[#This Row],[idPilar]],MATCH("Carga (kN)",PILARES[#Headers],0))*1.4</f>
        <v>1750</v>
      </c>
      <c r="X251" s="12">
        <f>INDEX(PILARES[],ECF[[#This Row],[idPilar]],MATCH(ECF[[#Headers],[ap (cm)]],PILARES[#Headers],0))</f>
        <v>50</v>
      </c>
      <c r="Y251" s="12">
        <f>INDEX(PILARES[],ECF[[#This Row],[idPilar]],MATCH(ECF[[#Headers],[bp (cm)]],PILARES[#Headers],0))</f>
        <v>40</v>
      </c>
      <c r="Z251" s="4">
        <f>SQRT(ECF[[#This Row],[ap (cm)]]*ECF[[#This Row],[bp (cm)]])</f>
        <v>44.721359549995796</v>
      </c>
      <c r="AA251" s="12">
        <f>ECF[[#This Row],[ap (cm)]]*ECF[[#This Row],[bp (cm)]]</f>
        <v>2000</v>
      </c>
      <c r="AB251" s="12">
        <f ca="1">IF(ECF[[#This Row],[Padm∙ε (kN)]]&gt;=ECF[[#This Row],[Padm (kN)]],ROUNDUP(1.05*ECF[[#This Row],[Nsd (kN)]]/ECF[[#This Row],[Padm (kN)]],0),ROUNDUP(1.05*ECF[[#This Row],[Nsd (kN)]]/ECF[[#This Row],[Padm (kN)]],0)+1)</f>
        <v>2</v>
      </c>
      <c r="AC251" s="4">
        <f ca="1">IFERROR(IF(ECF[[#This Row],[nE]]=1,ECF[[#This Row],[Padm (kN)]],ECF[[#This Row],[Padm (kN)]]*ECF[[#This Row],[nE]]*INDEX(grupoEstacas[],ECF[[#This Row],[nE]],MATCH("ε",grupoEstacas[#Headers],0))),"N.S.")</f>
        <v>2891.9342123998294</v>
      </c>
      <c r="AD251" s="4">
        <f ca="1">1.05*ECF[[#This Row],[Nsd (kN)]]/(ECF[[#This Row],[nE]]*PI()*ECF[[#This Row],[Ø (cm)]]^2/4)*10</f>
        <v>0.36104593571772559</v>
      </c>
      <c r="AE251" s="4">
        <f ca="1">IF(ECF[[#This Row],[σ (MPa)]]&lt;INDEX(tipoEstaca[],MATCH($D$2,tipoEstaca[TIPO DE ESTACA],0),MATCH("σmáx (MPa)",tipoEstaca[#Headers],0)),0.4%*PI()*ECF[[#This Row],[Ø (cm)]]^2/4,"N.S.")</f>
        <v>101.7876019763093</v>
      </c>
      <c r="AF251" s="82">
        <f>INDEX(tipoEstaca[],MATCH($D$2,tipoEstaca[TIPO DE ESTACA],0),MATCH(ECF[[#Headers],[Comprimento (m)]],tipoEstaca[#Headers],0))</f>
        <v>4</v>
      </c>
      <c r="AG251" s="5">
        <f ca="1">ECF[[#This Row],[As,mín (cm²)]]/100^2*ECF[[#This Row],[Comprimento (m)]]*7850</f>
        <v>319.61307020561122</v>
      </c>
      <c r="AH251" s="4">
        <f ca="1">ECF[[#This Row],[nE]]*ECF[[#This Row],[Prof. (m)]]*ECF[[#This Row],[Ap (m²)]]</f>
        <v>40.715040790523723</v>
      </c>
      <c r="AI251" s="82">
        <f ca="1">IF(ECF[[#This Row],[nE]]=1,0,MAX(3*ECF[[#This Row],[Ø (cm)]],60))</f>
        <v>540</v>
      </c>
      <c r="AJ251" s="82">
        <f ca="1">IF(ECF[[#This Row],[nE]]=1,ECF[[#This Row],[Ø (cm)]]+2*10,MAX(1.5*ECF[[#This Row],[Ø (cm)]],ECF[[#This Row],[Ø (cm)]]+15))</f>
        <v>270</v>
      </c>
      <c r="AK251" s="82">
        <f ca="1">alturaUtil(ECF[[#This Row],[nE]],ECF[[#This Row],[Ø (cm)]],ECF[[#This Row],[e (cm)]],ECF[[#This Row],[ap,eq (cm)]])</f>
        <v>260</v>
      </c>
      <c r="AL251" s="82">
        <f ca="1">IFERROR(ECF[[#This Row],[d (cm)]]+arredondarParaCimaMultiplo5cm(MAX(5,SQRT(PI())/2*ECF[[#This Row],[Ø (cm)]]/5)),"N.S.")</f>
        <v>295</v>
      </c>
      <c r="AM251" s="5">
        <f ca="1">alpha(ECF[[#This Row],[nE]],ECF[[#This Row],[d (cm)]],ECF[[#This Row],[e (cm)]],ECF[[#This Row],[ap,eq (cm)]])</f>
        <v>45.130350452124574</v>
      </c>
      <c r="AN251" s="35">
        <f ca="1">IFERROR(ECF[[#This Row],[Nsd (kN)]]/(ECF[[#This Row],[Ap (cm²)]]*SIN(ECF[[#This Row],[α]])^2),"N.S.")</f>
        <v>1.0520825008243508</v>
      </c>
      <c r="AO251" s="35">
        <f ca="1">IFERROR(ECF[[#This Row],[Nsd (kN)]]/(ECF[[#This Row],[nE]]*PI()*ECF[[#This Row],[Ø (cm)]]^2/4*SIN(ECF[[#This Row],[α]])^2),"N.S.")</f>
        <v>4.1344229764611974E-2</v>
      </c>
      <c r="AP251" s="4">
        <f ca="1">IFERROR(INDEX(grupoEstacas[],ECF[[#This Row],[nE]],MATCH("coef. Blévot",grupoEstacas[#Headers],0)),"N.S.")</f>
        <v>1.4</v>
      </c>
      <c r="AQ251" s="35">
        <f ca="1">IFERROR(ECF[[#This Row],[coef. Blévot]]*0.9*INDEX(tipoEstaca[],MATCH($D$2,tipoEstaca[TIPO DE ESTACA],0),MATCH("fcd (kN/cm²)",tipoEstaca[#Headers],0)),"N.S.")</f>
        <v>1.4000000000000001</v>
      </c>
      <c r="AR251" s="82" t="str">
        <f ca="1">IF(AND(ECF[[#This Row],[cd,b,pil (kN/cm²)]]&lt;=ECF[[#This Row],[cd,b,lim (kN/cm²)]],ECF[[#This Row],[cd,b,est (kN/cm²)]]&lt;=ECF[[#This Row],[cd,b,lim (kN/cm²)]]),"OK","ERRO")</f>
        <v>OK</v>
      </c>
      <c r="AS251" s="4">
        <f ca="1">As_lado(ECF[[#This Row],[nE]],ECF[[#This Row],[Nsd (kN)]],ECF[[#This Row],[d (cm)]],ECF[[#This Row],[e (cm)]],ECF[[#This Row],[ap,eq (cm)]])</f>
        <v>23.0386827258796</v>
      </c>
      <c r="AT251" s="4">
        <f ca="1">IF(ECF[[#This Row],[nE]]=1,ECF[[#This Row],[As,lado (cm²)]],IF(ECF[[#This Row],[nE]]=2,0.075*2*ECF[a (cm)],"N.A."))</f>
        <v>40.5</v>
      </c>
      <c r="AU251" s="4">
        <f ca="1">IFERROR(IF(ECF[[#This Row],[nE]]=1,"N.A.",0.2*ECF[[#This Row],[As,lado (cm²)]]),"N.S.")</f>
        <v>4.6077365451759205</v>
      </c>
      <c r="AV251" s="4" t="str">
        <f ca="1">As_malha(ECF[[#This Row],[nE]],ECF[[#This Row],[As,lado (cm²)]],ECF[[#This Row],[Nsd (kN)]])</f>
        <v>N.A.</v>
      </c>
      <c r="AW251" s="4" t="str">
        <f ca="1">As_susp_tot(ECF[[#This Row],[nE]],ECF[[#This Row],[Nsd (kN)]])</f>
        <v>N.A.</v>
      </c>
      <c r="AX251" s="4" t="str">
        <f ca="1">Asp_face(ECF[[#This Row],[nE]],ECF[[#This Row],[As,lado (cm²)]])</f>
        <v>N.A.</v>
      </c>
      <c r="AY251" s="5">
        <f ca="1">acoBloco(ECF[[#This Row],[nE]],ECF[[#This Row],[e (cm)]],ECF[[#This Row],[a (cm)]],ECF[[#This Row],[h (cm)]],ECF[[#This Row],[As,lado (cm²)]],ECF[[#This Row],[Asp e Asw (cm²/m)]],ECF[[#This Row],[As,sup (cm²)]],ECF[[#This Row],[As,malha (cm²)]],ECF[[#This Row],[As,susp,tot (cm²)]],ECF[[#This Row],[Asp,face (cm²)]])</f>
        <v>9007.2087925800079</v>
      </c>
      <c r="AZ251" s="4">
        <f ca="1">concretoBloco(ECF[[#This Row],[nE]],ECF[[#This Row],[e (cm)]],ECF[[#This Row],[a (cm)]],ECF[[#This Row],[h (cm)]])</f>
        <v>172.04400000000001</v>
      </c>
      <c r="BA251" s="5">
        <f ca="1">SUM(ECF[[#This Row],[Aço Est (kg)]],ECF[[#This Row],[Aço Bloco (kg)]])</f>
        <v>9326.8218627856186</v>
      </c>
      <c r="BB251" s="4">
        <f>INDEX(composicoes[],MATCH(95580,composicoes[CÓDIGO],0),MATCH("CUSTO TOTAL",composicoes[#Headers],0))</f>
        <v>10.46</v>
      </c>
      <c r="BC251" s="4">
        <f ca="1">SUM(ECF[[#This Row],[Conc Est (m³)]],ECF[[#This Row],[Conc Bloco (m³)]])</f>
        <v>212.75904079052373</v>
      </c>
      <c r="BD251" s="4">
        <f>INDEX(composicoes[],MATCH(94966,composicoes[CÓDIGO],0),MATCH("CUSTO TOTAL",composicoes[#Headers],0))</f>
        <v>439.52</v>
      </c>
      <c r="BE251" s="38">
        <f ca="1">ECF[[#This Row],[Aço (kg)]]*ECF[[#This Row],[Aço (R$/kg)]]+ECF[[#This Row],[Conc (m³)]]*ECF[[#This Row],[Conc (R$/m³)]]</f>
        <v>191070.41029298856</v>
      </c>
      <c r="BF251" s="4" t="str">
        <f ca="1">IF(COUNTIF(ECF[#This Row],"N.S.")&gt;0,"lim.","OK")</f>
        <v>OK</v>
      </c>
      <c r="BG251" s="4" t="str">
        <f>IF(ECF[[#This Row],[Prof. (m)]]&lt;4,"lim.","OK")</f>
        <v>OK</v>
      </c>
      <c r="BH251" s="4" t="str">
        <f>IF(ECF[[#This Row],[Prof. (m)]]&gt;=8*ECF[[#This Row],[Ø (cm)]]/100,"OK","lim.")</f>
        <v>lim.</v>
      </c>
      <c r="BI251" s="4" t="str">
        <f>IF(AND(SPT!$F$3&lt;&gt;"",ECF[[#This Row],[Prof. (m)]]&gt;=SPT!$F$3-2),"lim.","OK")</f>
        <v>OK</v>
      </c>
      <c r="BJ251" s="4" t="str">
        <f ca="1">IF(ECF[[#This Row],[Verif. Biela]]="OK","OK","lim.")</f>
        <v>OK</v>
      </c>
      <c r="BK251" s="4" t="str">
        <f ca="1">IF(COUNTA(ECF[[#This Row],[Nº Est.]:[Biela comp.]])=COUNTIF(ECF[[#This Row],[Nº Est.]:[Biela comp.]],"OK"),"OK","lim.")</f>
        <v>lim.</v>
      </c>
      <c r="BL251" s="4" t="str">
        <f ca="1">IF(ECF[[#This Row],[Controle]]="OK",ECF[[#This Row],[nE]]&amp;" Ø "&amp;ECF[[#This Row],[Ø (cm)]]&amp;" cm, Prof. "&amp;ECF[[#This Row],[Prof. (m)]]&amp;" m","")</f>
        <v/>
      </c>
      <c r="BM251" s="4" t="str">
        <f ca="1">IF(ECF[[#This Row],[idDimensionamento]]="","",ECF[[#This Row],[idPilar]]&amp;ECF[[#This Row],[idDimensionamento]])</f>
        <v/>
      </c>
    </row>
    <row r="252" spans="2:65" x14ac:dyDescent="0.25">
      <c r="B252" s="12">
        <f>ROUNDUP((ROW(ECF[[#This Row],[idDiâmetro]])-ROW(ECF[[#Headers],[idDiâmetro]]))/(COUNT(SPT[Prof. (m)])*COUNT(PILARES[Pilar])),0)</f>
        <v>9</v>
      </c>
      <c r="C252" s="12">
        <f>IF(ECF[[#This Row],[idDiâmetro]]&lt;&gt;B251,1,IF(ECF[[#This Row],[Prof. (m)]]=0,C251+1,C251))</f>
        <v>2</v>
      </c>
      <c r="D252" s="82">
        <f>IFERROR(IF(D251=MAX(SPT[Prof. (m)]),0,D251+1),0)</f>
        <v>9</v>
      </c>
      <c r="E252" s="82">
        <f>INDEX(SPT[],MATCH(ECF[[#This Row],[Prof. (m)]],SPT[Prof. (m)],0),2)</f>
        <v>26</v>
      </c>
      <c r="F252" s="82" t="str">
        <f>INDEX(SPT[],MATCH(ECF[[#This Row],[Prof. (m)]],SPT[Prof. (m)],0),3)</f>
        <v>Areia siltosa</v>
      </c>
      <c r="G252" s="82">
        <f>INDEX(estacas[],ECF[[#This Row],[idDiâmetro]],MATCH($B$2,estacas[#Headers],0))</f>
        <v>180</v>
      </c>
      <c r="H252" s="82">
        <f>INDEX(estacas[],MATCH(ECF[[#This Row],[Ø (cm)]],estacas[Ø ECF (cm)],0),MATCH(ECF[[#Headers],[Pe ECF (kN)]],estacas[#Headers],0))</f>
        <v>10100</v>
      </c>
      <c r="I252" s="4">
        <f>INDEX(K_alpha_C[],MATCH(ECF[[#This Row],[Solo]],K_alpha_C[Solo],0),2)</f>
        <v>0.8</v>
      </c>
      <c r="J252" s="5">
        <f>INDEX(K_alpha_C[],MATCH(ECF[[#This Row],[Solo]],K_alpha_C[Solo],0),3)</f>
        <v>2</v>
      </c>
      <c r="K252" s="4">
        <f>INDEX(F1_F2[],MATCH($D$2,F1_F2[Tipo de estaca],0),2)</f>
        <v>3</v>
      </c>
      <c r="L252" s="4">
        <f>INDEX(F1_F2[],MATCH($D$2,F1_F2[Tipo de estaca],0),3)</f>
        <v>6</v>
      </c>
      <c r="M252" s="4">
        <f>PI()*(ECF[[#This Row],[Ø (cm)]]/100)^2/4</f>
        <v>2.5446900494077327</v>
      </c>
      <c r="N252" s="4">
        <f>PI()*ECF[[#This Row],[Ø (cm)]]/100</f>
        <v>5.6548667764616276</v>
      </c>
      <c r="O252" s="4">
        <f>IF(ECF[[#This Row],[Prof. (m)]]=0,0,ECF[[#This Row],[α (%)]]/100*ECF[[#This Row],[K (MPa)]]*1000*ECF[[#This Row],[NSPT]])</f>
        <v>416</v>
      </c>
      <c r="P252" s="4">
        <f>IF(ECF[[#This Row],[Prof. (m)]]=0,0,(ECF[[#This Row],[K (MPa)]]*1000*ECF[[#This Row],[NSPT]]/ECF[[#This Row],[F1]]*ECF[[#This Row],[Ap (m²)]]+ECF[[#This Row],[U (m)]]/ECF[[#This Row],[F2]]*SUMIFS(ECF[(α∙K∙NL∙ΔL)],ECF[Prof. (m)],"&lt;="&amp;ECF[[#This Row],[Prof. (m)]],ECF[idDiâmetro],ECF[[#This Row],[idDiâmetro]],ECF[idPilar],ECF[[#This Row],[idPilar]]))/'DADOS CAP. CARGA'!$D$2)</f>
        <v>9488.8193270128068</v>
      </c>
      <c r="Q252" s="12">
        <f>INDEX(C_alpha_beta[],MATCH(ECF[[#This Row],[Solo]],C_alpha_beta[Solo],0),MATCH(ECF[[#Headers],[C (kPa)]],C_alpha_beta[#Headers],0))</f>
        <v>400</v>
      </c>
      <c r="R252" s="4">
        <f>INDEX(C_alpha_beta[],MATCH(ECF[[#This Row],[Solo]],C_alpha_beta[Solo],0),MATCH(ECF[[#Headers],[α ESF]],C_alpha_beta[#Headers],0))</f>
        <v>0.5</v>
      </c>
      <c r="S252" s="4">
        <f>INDEX(C_alpha_beta[],MATCH(ECF[[#This Row],[Solo]],C_alpha_beta[Solo],0),MATCH(ECF[[#Headers],[β ESF]],C_alpha_beta[#Headers],0))</f>
        <v>0.5</v>
      </c>
      <c r="T252" s="4">
        <f>IF(ECF[[#This Row],[Prof. (m)]]=0,0,10*(ECF[[#This Row],[NSPT]]/3+1))</f>
        <v>96.666666666666657</v>
      </c>
      <c r="U252" s="4">
        <f>(ECF[[#This Row],[α ESF]]*ECF[[#This Row],[C (kPa)]]*ECF[[#This Row],[NSPT]]*ECF[[#This Row],[Ap (m²)]])/'DADOS CAP. CARGA'!$Q$2+(ECF[[#This Row],[β ESF]]*SUMIFS(ECF[10∙(NL/3+1)],ECF[Prof. (m)],"&lt;="&amp;ECF[[#This Row],[Prof. (m)]],ECF[idDiâmetro],ECF[[#This Row],[idDiâmetro]],ECF[idPilar],ECF[[#This Row],[idPilar]])*ECF[[#This Row],[U (m)]])/'DADOS CAP. CARGA'!$S$2</f>
        <v>3897.145686778139</v>
      </c>
      <c r="V252" s="4">
        <f>IF(SPT!$M$5=1,MIN(ECF[[#This Row],[Pe ECF (kN)]],ECF[[#This Row],[R_AV (kN)]]),IF(SPT!$M$5=2,MIN(ECF[[#This Row],[Pe ECF (kN)]],ECF[[#This Row],[R_DC (kN)]]),MIN(ECF[[#This Row],[Pe ECF (kN)]],ECF[[#This Row],[R_AV (kN)]],ECF[[#This Row],[R_DC (kN)]])))</f>
        <v>3897.145686778139</v>
      </c>
      <c r="W252" s="4">
        <f>INDEX(PILARES[],ECF[[#This Row],[idPilar]],MATCH("Carga (kN)",PILARES[#Headers],0))*1.4</f>
        <v>1750</v>
      </c>
      <c r="X252" s="12">
        <f>INDEX(PILARES[],ECF[[#This Row],[idPilar]],MATCH(ECF[[#Headers],[ap (cm)]],PILARES[#Headers],0))</f>
        <v>50</v>
      </c>
      <c r="Y252" s="12">
        <f>INDEX(PILARES[],ECF[[#This Row],[idPilar]],MATCH(ECF[[#Headers],[bp (cm)]],PILARES[#Headers],0))</f>
        <v>40</v>
      </c>
      <c r="Z252" s="4">
        <f>SQRT(ECF[[#This Row],[ap (cm)]]*ECF[[#This Row],[bp (cm)]])</f>
        <v>44.721359549995796</v>
      </c>
      <c r="AA252" s="12">
        <f>ECF[[#This Row],[ap (cm)]]*ECF[[#This Row],[bp (cm)]]</f>
        <v>2000</v>
      </c>
      <c r="AB252" s="12">
        <f ca="1">IF(ECF[[#This Row],[Padm∙ε (kN)]]&gt;=ECF[[#This Row],[Padm (kN)]],ROUNDUP(1.05*ECF[[#This Row],[Nsd (kN)]]/ECF[[#This Row],[Padm (kN)]],0),ROUNDUP(1.05*ECF[[#This Row],[Nsd (kN)]]/ECF[[#This Row],[Padm (kN)]],0)+1)</f>
        <v>1</v>
      </c>
      <c r="AC252" s="4">
        <f ca="1">IFERROR(IF(ECF[[#This Row],[nE]]=1,ECF[[#This Row],[Padm (kN)]],ECF[[#This Row],[Padm (kN)]]*ECF[[#This Row],[nE]]*INDEX(grupoEstacas[],ECF[[#This Row],[nE]],MATCH("ε",grupoEstacas[#Headers],0))),"N.S.")</f>
        <v>3897.145686778139</v>
      </c>
      <c r="AD252" s="4">
        <f ca="1">1.05*ECF[[#This Row],[Nsd (kN)]]/(ECF[[#This Row],[nE]]*PI()*ECF[[#This Row],[Ø (cm)]]^2/4)*10</f>
        <v>0.72209187143545117</v>
      </c>
      <c r="AE252" s="4">
        <f ca="1">IF(ECF[[#This Row],[σ (MPa)]]&lt;INDEX(tipoEstaca[],MATCH($D$2,tipoEstaca[TIPO DE ESTACA],0),MATCH("σmáx (MPa)",tipoEstaca[#Headers],0)),0.4%*PI()*ECF[[#This Row],[Ø (cm)]]^2/4,"N.S.")</f>
        <v>101.7876019763093</v>
      </c>
      <c r="AF252" s="82">
        <f>INDEX(tipoEstaca[],MATCH($D$2,tipoEstaca[TIPO DE ESTACA],0),MATCH(ECF[[#Headers],[Comprimento (m)]],tipoEstaca[#Headers],0))</f>
        <v>4</v>
      </c>
      <c r="AG252" s="5">
        <f ca="1">ECF[[#This Row],[As,mín (cm²)]]/100^2*ECF[[#This Row],[Comprimento (m)]]*7850</f>
        <v>319.61307020561122</v>
      </c>
      <c r="AH252" s="4">
        <f ca="1">ECF[[#This Row],[nE]]*ECF[[#This Row],[Prof. (m)]]*ECF[[#This Row],[Ap (m²)]]</f>
        <v>22.902210444669596</v>
      </c>
      <c r="AI252" s="82">
        <f ca="1">IF(ECF[[#This Row],[nE]]=1,0,MAX(3*ECF[[#This Row],[Ø (cm)]],60))</f>
        <v>0</v>
      </c>
      <c r="AJ252" s="82">
        <f ca="1">IF(ECF[[#This Row],[nE]]=1,ECF[[#This Row],[Ø (cm)]]+2*10,MAX(1.5*ECF[[#This Row],[Ø (cm)]],ECF[[#This Row],[Ø (cm)]]+15))</f>
        <v>200</v>
      </c>
      <c r="AK252" s="82">
        <f ca="1">alturaUtil(ECF[[#This Row],[nE]],ECF[[#This Row],[Ø (cm)]],ECF[[#This Row],[e (cm)]],ECF[[#This Row],[ap,eq (cm)]])</f>
        <v>220</v>
      </c>
      <c r="AL252" s="82">
        <f ca="1">IFERROR(ECF[[#This Row],[d (cm)]]+arredondarParaCimaMultiplo5cm(MAX(5,SQRT(PI())/2*ECF[[#This Row],[Ø (cm)]]/5)),"N.S.")</f>
        <v>255</v>
      </c>
      <c r="AM252" s="5">
        <f ca="1">alpha(ECF[[#This Row],[nE]],ECF[[#This Row],[d (cm)]],ECF[[#This Row],[e (cm)]],ECF[[#This Row],[ap,eq (cm)]])</f>
        <v>90</v>
      </c>
      <c r="AN252" s="35">
        <f ca="1">IFERROR(ECF[[#This Row],[Nsd (kN)]]/(ECF[[#This Row],[Ap (cm²)]]*SIN(ECF[[#This Row],[α]])^2),"N.S.")</f>
        <v>1.0948037013095111</v>
      </c>
      <c r="AO252" s="35">
        <f ca="1">IFERROR(ECF[[#This Row],[Nsd (kN)]]/(ECF[[#This Row],[nE]]*PI()*ECF[[#This Row],[Ø (cm)]]^2/4*SIN(ECF[[#This Row],[α]])^2),"N.S.")</f>
        <v>8.6046133717882292E-2</v>
      </c>
      <c r="AP252" s="4">
        <f ca="1">IFERROR(INDEX(grupoEstacas[],ECF[[#This Row],[nE]],MATCH("coef. Blévot",grupoEstacas[#Headers],0)),"N.S.")</f>
        <v>1</v>
      </c>
      <c r="AQ252" s="35">
        <f ca="1">IFERROR(ECF[[#This Row],[coef. Blévot]]*0.9*INDEX(tipoEstaca[],MATCH($D$2,tipoEstaca[TIPO DE ESTACA],0),MATCH("fcd (kN/cm²)",tipoEstaca[#Headers],0)),"N.S.")</f>
        <v>1</v>
      </c>
      <c r="AR252" s="82" t="str">
        <f ca="1">IF(AND(ECF[[#This Row],[cd,b,pil (kN/cm²)]]&lt;=ECF[[#This Row],[cd,b,lim (kN/cm²)]],ECF[[#This Row],[cd,b,est (kN/cm²)]]&lt;=ECF[[#This Row],[cd,b,lim (kN/cm²)]]),"OK","ERRO")</f>
        <v>ERRO</v>
      </c>
      <c r="AS252" s="4">
        <f ca="1">As_lado(ECF[[#This Row],[nE]],ECF[[#This Row],[Nsd (kN)]],ECF[[#This Row],[d (cm)]],ECF[[#This Row],[e (cm)]],ECF[[#This Row],[ap,eq (cm)]])</f>
        <v>10.0625</v>
      </c>
      <c r="AT252" s="4">
        <f ca="1">IF(ECF[[#This Row],[nE]]=1,ECF[[#This Row],[As,lado (cm²)]],IF(ECF[[#This Row],[nE]]=2,0.075*2*ECF[a (cm)],"N.A."))</f>
        <v>10.0625</v>
      </c>
      <c r="AU252" s="4" t="str">
        <f ca="1">IFERROR(IF(ECF[[#This Row],[nE]]=1,"N.A.",0.2*ECF[[#This Row],[As,lado (cm²)]]),"N.S.")</f>
        <v>N.A.</v>
      </c>
      <c r="AV252" s="4" t="str">
        <f ca="1">As_malha(ECF[[#This Row],[nE]],ECF[[#This Row],[As,lado (cm²)]],ECF[[#This Row],[Nsd (kN)]])</f>
        <v>N.A.</v>
      </c>
      <c r="AW252" s="4" t="str">
        <f ca="1">As_susp_tot(ECF[[#This Row],[nE]],ECF[[#This Row],[Nsd (kN)]])</f>
        <v>N.A.</v>
      </c>
      <c r="AX252" s="4" t="str">
        <f ca="1">Asp_face(ECF[[#This Row],[nE]],ECF[[#This Row],[As,lado (cm²)]])</f>
        <v>N.A.</v>
      </c>
      <c r="AY252" s="5">
        <f ca="1">acoBloco(ECF[[#This Row],[nE]],ECF[[#This Row],[e (cm)]],ECF[[#This Row],[a (cm)]],ECF[[#This Row],[h (cm)]],ECF[[#This Row],[As,lado (cm²)]],ECF[[#This Row],[Asp e Asw (cm²/m)]],ECF[[#This Row],[As,sup (cm²)]],ECF[[#This Row],[As,malha (cm²)]],ECF[[#This Row],[As,susp,tot (cm²)]],ECF[[#This Row],[Asp,face (cm²)]])</f>
        <v>206.95543749999999</v>
      </c>
      <c r="AZ252" s="4">
        <f ca="1">concretoBloco(ECF[[#This Row],[nE]],ECF[[#This Row],[e (cm)]],ECF[[#This Row],[a (cm)]],ECF[[#This Row],[h (cm)]])</f>
        <v>10.199999999999999</v>
      </c>
      <c r="BA252" s="5">
        <f ca="1">SUM(ECF[[#This Row],[Aço Est (kg)]],ECF[[#This Row],[Aço Bloco (kg)]])</f>
        <v>526.56850770561118</v>
      </c>
      <c r="BB252" s="4">
        <f>INDEX(composicoes[],MATCH(95580,composicoes[CÓDIGO],0),MATCH("CUSTO TOTAL",composicoes[#Headers],0))</f>
        <v>10.46</v>
      </c>
      <c r="BC252" s="4">
        <f ca="1">SUM(ECF[[#This Row],[Conc Est (m³)]],ECF[[#This Row],[Conc Bloco (m³)]])</f>
        <v>33.102210444669595</v>
      </c>
      <c r="BD252" s="4">
        <f>INDEX(composicoes[],MATCH(94966,composicoes[CÓDIGO],0),MATCH("CUSTO TOTAL",composicoes[#Headers],0))</f>
        <v>439.52</v>
      </c>
      <c r="BE252" s="38">
        <f ca="1">ECF[[#This Row],[Aço (kg)]]*ECF[[#This Row],[Aço (R$/kg)]]+ECF[[#This Row],[Conc (m³)]]*ECF[[#This Row],[Conc (R$/m³)]]</f>
        <v>20056.990125241875</v>
      </c>
      <c r="BF252" s="4" t="str">
        <f ca="1">IF(COUNTIF(ECF[#This Row],"N.S.")&gt;0,"lim.","OK")</f>
        <v>OK</v>
      </c>
      <c r="BG252" s="4" t="str">
        <f>IF(ECF[[#This Row],[Prof. (m)]]&lt;4,"lim.","OK")</f>
        <v>OK</v>
      </c>
      <c r="BH252" s="4" t="str">
        <f>IF(ECF[[#This Row],[Prof. (m)]]&gt;=8*ECF[[#This Row],[Ø (cm)]]/100,"OK","lim.")</f>
        <v>lim.</v>
      </c>
      <c r="BI252" s="4" t="str">
        <f>IF(AND(SPT!$F$3&lt;&gt;"",ECF[[#This Row],[Prof. (m)]]&gt;=SPT!$F$3-2),"lim.","OK")</f>
        <v>OK</v>
      </c>
      <c r="BJ252" s="4" t="str">
        <f ca="1">IF(ECF[[#This Row],[Verif. Biela]]="OK","OK","lim.")</f>
        <v>lim.</v>
      </c>
      <c r="BK252" s="4" t="str">
        <f ca="1">IF(COUNTA(ECF[[#This Row],[Nº Est.]:[Biela comp.]])=COUNTIF(ECF[[#This Row],[Nº Est.]:[Biela comp.]],"OK"),"OK","lim.")</f>
        <v>lim.</v>
      </c>
      <c r="BL252" s="4" t="str">
        <f ca="1">IF(ECF[[#This Row],[Controle]]="OK",ECF[[#This Row],[nE]]&amp;" Ø "&amp;ECF[[#This Row],[Ø (cm)]]&amp;" cm, Prof. "&amp;ECF[[#This Row],[Prof. (m)]]&amp;" m","")</f>
        <v/>
      </c>
      <c r="BM252" s="4" t="str">
        <f ca="1">IF(ECF[[#This Row],[idDimensionamento]]="","",ECF[[#This Row],[idPilar]]&amp;ECF[[#This Row],[idDimensionamento]])</f>
        <v/>
      </c>
    </row>
    <row r="253" spans="2:65" x14ac:dyDescent="0.25">
      <c r="B253" s="12">
        <f>ROUNDUP((ROW(ECF[[#This Row],[idDiâmetro]])-ROW(ECF[[#Headers],[idDiâmetro]]))/(COUNT(SPT[Prof. (m)])*COUNT(PILARES[Pilar])),0)</f>
        <v>9</v>
      </c>
      <c r="C253" s="12">
        <f>IF(ECF[[#This Row],[idDiâmetro]]&lt;&gt;B252,1,IF(ECF[[#This Row],[Prof. (m)]]=0,C252+1,C252))</f>
        <v>2</v>
      </c>
      <c r="D253" s="82">
        <f>IFERROR(IF(D252=MAX(SPT[Prof. (m)]),0,D252+1),0)</f>
        <v>10</v>
      </c>
      <c r="E253" s="82">
        <f>INDEX(SPT[],MATCH(ECF[[#This Row],[Prof. (m)]],SPT[Prof. (m)],0),2)</f>
        <v>32</v>
      </c>
      <c r="F253" s="82" t="str">
        <f>INDEX(SPT[],MATCH(ECF[[#This Row],[Prof. (m)]],SPT[Prof. (m)],0),3)</f>
        <v>Areia siltosa</v>
      </c>
      <c r="G253" s="82">
        <f>INDEX(estacas[],ECF[[#This Row],[idDiâmetro]],MATCH($B$2,estacas[#Headers],0))</f>
        <v>180</v>
      </c>
      <c r="H253" s="82">
        <f>INDEX(estacas[],MATCH(ECF[[#This Row],[Ø (cm)]],estacas[Ø ECF (cm)],0),MATCH(ECF[[#Headers],[Pe ECF (kN)]],estacas[#Headers],0))</f>
        <v>10100</v>
      </c>
      <c r="I253" s="4">
        <f>INDEX(K_alpha_C[],MATCH(ECF[[#This Row],[Solo]],K_alpha_C[Solo],0),2)</f>
        <v>0.8</v>
      </c>
      <c r="J253" s="5">
        <f>INDEX(K_alpha_C[],MATCH(ECF[[#This Row],[Solo]],K_alpha_C[Solo],0),3)</f>
        <v>2</v>
      </c>
      <c r="K253" s="4">
        <f>INDEX(F1_F2[],MATCH($D$2,F1_F2[Tipo de estaca],0),2)</f>
        <v>3</v>
      </c>
      <c r="L253" s="4">
        <f>INDEX(F1_F2[],MATCH($D$2,F1_F2[Tipo de estaca],0),3)</f>
        <v>6</v>
      </c>
      <c r="M253" s="4">
        <f>PI()*(ECF[[#This Row],[Ø (cm)]]/100)^2/4</f>
        <v>2.5446900494077327</v>
      </c>
      <c r="N253" s="4">
        <f>PI()*ECF[[#This Row],[Ø (cm)]]/100</f>
        <v>5.6548667764616276</v>
      </c>
      <c r="O253" s="4">
        <f>IF(ECF[[#This Row],[Prof. (m)]]=0,0,ECF[[#This Row],[α (%)]]/100*ECF[[#This Row],[K (MPa)]]*1000*ECF[[#This Row],[NSPT]])</f>
        <v>512</v>
      </c>
      <c r="P253" s="4">
        <f>IF(ECF[[#This Row],[Prof. (m)]]=0,0,(ECF[[#This Row],[K (MPa)]]*1000*ECF[[#This Row],[NSPT]]/ECF[[#This Row],[F1]]*ECF[[#This Row],[Ap (m²)]]+ECF[[#This Row],[U (m)]]/ECF[[#This Row],[F2]]*SUMIFS(ECF[(α∙K∙NL∙ΔL)],ECF[Prof. (m)],"&lt;="&amp;ECF[[#This Row],[Prof. (m)]],ECF[idDiâmetro],ECF[[#This Row],[idDiâmetro]],ECF[idPilar],ECF[[#This Row],[idPilar]]))/'DADOS CAP. CARGA'!$D$2)</f>
        <v>11765.845682334691</v>
      </c>
      <c r="Q253" s="12">
        <f>INDEX(C_alpha_beta[],MATCH(ECF[[#This Row],[Solo]],C_alpha_beta[Solo],0),MATCH(ECF[[#Headers],[C (kPa)]],C_alpha_beta[#Headers],0))</f>
        <v>400</v>
      </c>
      <c r="R253" s="4">
        <f>INDEX(C_alpha_beta[],MATCH(ECF[[#This Row],[Solo]],C_alpha_beta[Solo],0),MATCH(ECF[[#Headers],[α ESF]],C_alpha_beta[#Headers],0))</f>
        <v>0.5</v>
      </c>
      <c r="S253" s="4">
        <f>INDEX(C_alpha_beta[],MATCH(ECF[[#This Row],[Solo]],C_alpha_beta[Solo],0),MATCH(ECF[[#Headers],[β ESF]],C_alpha_beta[#Headers],0))</f>
        <v>0.5</v>
      </c>
      <c r="T253" s="4">
        <f>IF(ECF[[#This Row],[Prof. (m)]]=0,0,10*(ECF[[#This Row],[NSPT]]/3+1))</f>
        <v>116.66666666666666</v>
      </c>
      <c r="U253" s="4">
        <f>(ECF[[#This Row],[α ESF]]*ECF[[#This Row],[C (kPa)]]*ECF[[#This Row],[NSPT]]*ECF[[#This Row],[Ap (m²)]])/'DADOS CAP. CARGA'!$Q$2+(ECF[[#This Row],[β ESF]]*SUMIFS(ECF[10∙(NL/3+1)],ECF[Prof. (m)],"&lt;="&amp;ECF[[#This Row],[Prof. (m)]],ECF[idDiâmetro],ECF[[#This Row],[idDiâmetro]],ECF[idPilar],ECF[[#This Row],[idPilar]])*ECF[[#This Row],[U (m)]])/'DADOS CAP. CARGA'!$S$2</f>
        <v>4825.4863159139222</v>
      </c>
      <c r="V253" s="4">
        <f>IF(SPT!$M$5=1,MIN(ECF[[#This Row],[Pe ECF (kN)]],ECF[[#This Row],[R_AV (kN)]]),IF(SPT!$M$5=2,MIN(ECF[[#This Row],[Pe ECF (kN)]],ECF[[#This Row],[R_DC (kN)]]),MIN(ECF[[#This Row],[Pe ECF (kN)]],ECF[[#This Row],[R_AV (kN)]],ECF[[#This Row],[R_DC (kN)]])))</f>
        <v>4825.4863159139222</v>
      </c>
      <c r="W253" s="4">
        <f>INDEX(PILARES[],ECF[[#This Row],[idPilar]],MATCH("Carga (kN)",PILARES[#Headers],0))*1.4</f>
        <v>1750</v>
      </c>
      <c r="X253" s="12">
        <f>INDEX(PILARES[],ECF[[#This Row],[idPilar]],MATCH(ECF[[#Headers],[ap (cm)]],PILARES[#Headers],0))</f>
        <v>50</v>
      </c>
      <c r="Y253" s="12">
        <f>INDEX(PILARES[],ECF[[#This Row],[idPilar]],MATCH(ECF[[#Headers],[bp (cm)]],PILARES[#Headers],0))</f>
        <v>40</v>
      </c>
      <c r="Z253" s="4">
        <f>SQRT(ECF[[#This Row],[ap (cm)]]*ECF[[#This Row],[bp (cm)]])</f>
        <v>44.721359549995796</v>
      </c>
      <c r="AA253" s="12">
        <f>ECF[[#This Row],[ap (cm)]]*ECF[[#This Row],[bp (cm)]]</f>
        <v>2000</v>
      </c>
      <c r="AB253" s="12">
        <f ca="1">IF(ECF[[#This Row],[Padm∙ε (kN)]]&gt;=ECF[[#This Row],[Padm (kN)]],ROUNDUP(1.05*ECF[[#This Row],[Nsd (kN)]]/ECF[[#This Row],[Padm (kN)]],0),ROUNDUP(1.05*ECF[[#This Row],[Nsd (kN)]]/ECF[[#This Row],[Padm (kN)]],0)+1)</f>
        <v>1</v>
      </c>
      <c r="AC253" s="4">
        <f ca="1">IFERROR(IF(ECF[[#This Row],[nE]]=1,ECF[[#This Row],[Padm (kN)]],ECF[[#This Row],[Padm (kN)]]*ECF[[#This Row],[nE]]*INDEX(grupoEstacas[],ECF[[#This Row],[nE]],MATCH("ε",grupoEstacas[#Headers],0))),"N.S.")</f>
        <v>4825.4863159139222</v>
      </c>
      <c r="AD253" s="4">
        <f ca="1">1.05*ECF[[#This Row],[Nsd (kN)]]/(ECF[[#This Row],[nE]]*PI()*ECF[[#This Row],[Ø (cm)]]^2/4)*10</f>
        <v>0.72209187143545117</v>
      </c>
      <c r="AE253" s="4">
        <f ca="1">IF(ECF[[#This Row],[σ (MPa)]]&lt;INDEX(tipoEstaca[],MATCH($D$2,tipoEstaca[TIPO DE ESTACA],0),MATCH("σmáx (MPa)",tipoEstaca[#Headers],0)),0.4%*PI()*ECF[[#This Row],[Ø (cm)]]^2/4,"N.S.")</f>
        <v>101.7876019763093</v>
      </c>
      <c r="AF253" s="82">
        <f>INDEX(tipoEstaca[],MATCH($D$2,tipoEstaca[TIPO DE ESTACA],0),MATCH(ECF[[#Headers],[Comprimento (m)]],tipoEstaca[#Headers],0))</f>
        <v>4</v>
      </c>
      <c r="AG253" s="5">
        <f ca="1">ECF[[#This Row],[As,mín (cm²)]]/100^2*ECF[[#This Row],[Comprimento (m)]]*7850</f>
        <v>319.61307020561122</v>
      </c>
      <c r="AH253" s="4">
        <f ca="1">ECF[[#This Row],[nE]]*ECF[[#This Row],[Prof. (m)]]*ECF[[#This Row],[Ap (m²)]]</f>
        <v>25.446900494077326</v>
      </c>
      <c r="AI253" s="82">
        <f ca="1">IF(ECF[[#This Row],[nE]]=1,0,MAX(3*ECF[[#This Row],[Ø (cm)]],60))</f>
        <v>0</v>
      </c>
      <c r="AJ253" s="82">
        <f ca="1">IF(ECF[[#This Row],[nE]]=1,ECF[[#This Row],[Ø (cm)]]+2*10,MAX(1.5*ECF[[#This Row],[Ø (cm)]],ECF[[#This Row],[Ø (cm)]]+15))</f>
        <v>200</v>
      </c>
      <c r="AK253" s="82">
        <f ca="1">alturaUtil(ECF[[#This Row],[nE]],ECF[[#This Row],[Ø (cm)]],ECF[[#This Row],[e (cm)]],ECF[[#This Row],[ap,eq (cm)]])</f>
        <v>220</v>
      </c>
      <c r="AL253" s="82">
        <f ca="1">IFERROR(ECF[[#This Row],[d (cm)]]+arredondarParaCimaMultiplo5cm(MAX(5,SQRT(PI())/2*ECF[[#This Row],[Ø (cm)]]/5)),"N.S.")</f>
        <v>255</v>
      </c>
      <c r="AM253" s="5">
        <f ca="1">alpha(ECF[[#This Row],[nE]],ECF[[#This Row],[d (cm)]],ECF[[#This Row],[e (cm)]],ECF[[#This Row],[ap,eq (cm)]])</f>
        <v>90</v>
      </c>
      <c r="AN253" s="35">
        <f ca="1">IFERROR(ECF[[#This Row],[Nsd (kN)]]/(ECF[[#This Row],[Ap (cm²)]]*SIN(ECF[[#This Row],[α]])^2),"N.S.")</f>
        <v>1.0948037013095111</v>
      </c>
      <c r="AO253" s="35">
        <f ca="1">IFERROR(ECF[[#This Row],[Nsd (kN)]]/(ECF[[#This Row],[nE]]*PI()*ECF[[#This Row],[Ø (cm)]]^2/4*SIN(ECF[[#This Row],[α]])^2),"N.S.")</f>
        <v>8.6046133717882292E-2</v>
      </c>
      <c r="AP253" s="4">
        <f ca="1">IFERROR(INDEX(grupoEstacas[],ECF[[#This Row],[nE]],MATCH("coef. Blévot",grupoEstacas[#Headers],0)),"N.S.")</f>
        <v>1</v>
      </c>
      <c r="AQ253" s="35">
        <f ca="1">IFERROR(ECF[[#This Row],[coef. Blévot]]*0.9*INDEX(tipoEstaca[],MATCH($D$2,tipoEstaca[TIPO DE ESTACA],0),MATCH("fcd (kN/cm²)",tipoEstaca[#Headers],0)),"N.S.")</f>
        <v>1</v>
      </c>
      <c r="AR253" s="82" t="str">
        <f ca="1">IF(AND(ECF[[#This Row],[cd,b,pil (kN/cm²)]]&lt;=ECF[[#This Row],[cd,b,lim (kN/cm²)]],ECF[[#This Row],[cd,b,est (kN/cm²)]]&lt;=ECF[[#This Row],[cd,b,lim (kN/cm²)]]),"OK","ERRO")</f>
        <v>ERRO</v>
      </c>
      <c r="AS253" s="4">
        <f ca="1">As_lado(ECF[[#This Row],[nE]],ECF[[#This Row],[Nsd (kN)]],ECF[[#This Row],[d (cm)]],ECF[[#This Row],[e (cm)]],ECF[[#This Row],[ap,eq (cm)]])</f>
        <v>10.0625</v>
      </c>
      <c r="AT253" s="4">
        <f ca="1">IF(ECF[[#This Row],[nE]]=1,ECF[[#This Row],[As,lado (cm²)]],IF(ECF[[#This Row],[nE]]=2,0.075*2*ECF[a (cm)],"N.A."))</f>
        <v>10.0625</v>
      </c>
      <c r="AU253" s="4" t="str">
        <f ca="1">IFERROR(IF(ECF[[#This Row],[nE]]=1,"N.A.",0.2*ECF[[#This Row],[As,lado (cm²)]]),"N.S.")</f>
        <v>N.A.</v>
      </c>
      <c r="AV253" s="4" t="str">
        <f ca="1">As_malha(ECF[[#This Row],[nE]],ECF[[#This Row],[As,lado (cm²)]],ECF[[#This Row],[Nsd (kN)]])</f>
        <v>N.A.</v>
      </c>
      <c r="AW253" s="4" t="str">
        <f ca="1">As_susp_tot(ECF[[#This Row],[nE]],ECF[[#This Row],[Nsd (kN)]])</f>
        <v>N.A.</v>
      </c>
      <c r="AX253" s="4" t="str">
        <f ca="1">Asp_face(ECF[[#This Row],[nE]],ECF[[#This Row],[As,lado (cm²)]])</f>
        <v>N.A.</v>
      </c>
      <c r="AY253" s="5">
        <f ca="1">acoBloco(ECF[[#This Row],[nE]],ECF[[#This Row],[e (cm)]],ECF[[#This Row],[a (cm)]],ECF[[#This Row],[h (cm)]],ECF[[#This Row],[As,lado (cm²)]],ECF[[#This Row],[Asp e Asw (cm²/m)]],ECF[[#This Row],[As,sup (cm²)]],ECF[[#This Row],[As,malha (cm²)]],ECF[[#This Row],[As,susp,tot (cm²)]],ECF[[#This Row],[Asp,face (cm²)]])</f>
        <v>206.95543749999999</v>
      </c>
      <c r="AZ253" s="4">
        <f ca="1">concretoBloco(ECF[[#This Row],[nE]],ECF[[#This Row],[e (cm)]],ECF[[#This Row],[a (cm)]],ECF[[#This Row],[h (cm)]])</f>
        <v>10.199999999999999</v>
      </c>
      <c r="BA253" s="5">
        <f ca="1">SUM(ECF[[#This Row],[Aço Est (kg)]],ECF[[#This Row],[Aço Bloco (kg)]])</f>
        <v>526.56850770561118</v>
      </c>
      <c r="BB253" s="4">
        <f>INDEX(composicoes[],MATCH(95580,composicoes[CÓDIGO],0),MATCH("CUSTO TOTAL",composicoes[#Headers],0))</f>
        <v>10.46</v>
      </c>
      <c r="BC253" s="4">
        <f ca="1">SUM(ECF[[#This Row],[Conc Est (m³)]],ECF[[#This Row],[Conc Bloco (m³)]])</f>
        <v>35.646900494077329</v>
      </c>
      <c r="BD253" s="4">
        <f>INDEX(composicoes[],MATCH(94966,composicoes[CÓDIGO],0),MATCH("CUSTO TOTAL",composicoes[#Headers],0))</f>
        <v>439.52</v>
      </c>
      <c r="BE253" s="38">
        <f ca="1">ECF[[#This Row],[Aço (kg)]]*ECF[[#This Row],[Aço (R$/kg)]]+ECF[[#This Row],[Conc (m³)]]*ECF[[#This Row],[Conc (R$/m³)]]</f>
        <v>21175.43229575756</v>
      </c>
      <c r="BF253" s="4" t="str">
        <f ca="1">IF(COUNTIF(ECF[#This Row],"N.S.")&gt;0,"lim.","OK")</f>
        <v>OK</v>
      </c>
      <c r="BG253" s="4" t="str">
        <f>IF(ECF[[#This Row],[Prof. (m)]]&lt;4,"lim.","OK")</f>
        <v>OK</v>
      </c>
      <c r="BH253" s="4" t="str">
        <f>IF(ECF[[#This Row],[Prof. (m)]]&gt;=8*ECF[[#This Row],[Ø (cm)]]/100,"OK","lim.")</f>
        <v>lim.</v>
      </c>
      <c r="BI253" s="4" t="str">
        <f>IF(AND(SPT!$F$3&lt;&gt;"",ECF[[#This Row],[Prof. (m)]]&gt;=SPT!$F$3-2),"lim.","OK")</f>
        <v>OK</v>
      </c>
      <c r="BJ253" s="4" t="str">
        <f ca="1">IF(ECF[[#This Row],[Verif. Biela]]="OK","OK","lim.")</f>
        <v>lim.</v>
      </c>
      <c r="BK253" s="4" t="str">
        <f ca="1">IF(COUNTA(ECF[[#This Row],[Nº Est.]:[Biela comp.]])=COUNTIF(ECF[[#This Row],[Nº Est.]:[Biela comp.]],"OK"),"OK","lim.")</f>
        <v>lim.</v>
      </c>
      <c r="BL253" s="4" t="str">
        <f ca="1">IF(ECF[[#This Row],[Controle]]="OK",ECF[[#This Row],[nE]]&amp;" Ø "&amp;ECF[[#This Row],[Ø (cm)]]&amp;" cm, Prof. "&amp;ECF[[#This Row],[Prof. (m)]]&amp;" m","")</f>
        <v/>
      </c>
      <c r="BM253" s="4" t="str">
        <f ca="1">IF(ECF[[#This Row],[idDimensionamento]]="","",ECF[[#This Row],[idPilar]]&amp;ECF[[#This Row],[idDimensionamento]])</f>
        <v/>
      </c>
    </row>
    <row r="254" spans="2:65" x14ac:dyDescent="0.25">
      <c r="B254" s="12">
        <f>ROUNDUP((ROW(ECF[[#This Row],[idDiâmetro]])-ROW(ECF[[#Headers],[idDiâmetro]]))/(COUNT(SPT[Prof. (m)])*COUNT(PILARES[Pilar])),0)</f>
        <v>9</v>
      </c>
      <c r="C254" s="12">
        <f>IF(ECF[[#This Row],[idDiâmetro]]&lt;&gt;B253,1,IF(ECF[[#This Row],[Prof. (m)]]=0,C253+1,C253))</f>
        <v>2</v>
      </c>
      <c r="D254" s="82">
        <f>IFERROR(IF(D253=MAX(SPT[Prof. (m)]),0,D253+1),0)</f>
        <v>11</v>
      </c>
      <c r="E254" s="82">
        <f>INDEX(SPT[],MATCH(ECF[[#This Row],[Prof. (m)]],SPT[Prof. (m)],0),2)</f>
        <v>41</v>
      </c>
      <c r="F254" s="82" t="str">
        <f>INDEX(SPT[],MATCH(ECF[[#This Row],[Prof. (m)]],SPT[Prof. (m)],0),3)</f>
        <v>Areia siltosa</v>
      </c>
      <c r="G254" s="82">
        <f>INDEX(estacas[],ECF[[#This Row],[idDiâmetro]],MATCH($B$2,estacas[#Headers],0))</f>
        <v>180</v>
      </c>
      <c r="H254" s="82">
        <f>INDEX(estacas[],MATCH(ECF[[#This Row],[Ø (cm)]],estacas[Ø ECF (cm)],0),MATCH(ECF[[#Headers],[Pe ECF (kN)]],estacas[#Headers],0))</f>
        <v>10100</v>
      </c>
      <c r="I254" s="4">
        <f>INDEX(K_alpha_C[],MATCH(ECF[[#This Row],[Solo]],K_alpha_C[Solo],0),2)</f>
        <v>0.8</v>
      </c>
      <c r="J254" s="5">
        <f>INDEX(K_alpha_C[],MATCH(ECF[[#This Row],[Solo]],K_alpha_C[Solo],0),3)</f>
        <v>2</v>
      </c>
      <c r="K254" s="4">
        <f>INDEX(F1_F2[],MATCH($D$2,F1_F2[Tipo de estaca],0),2)</f>
        <v>3</v>
      </c>
      <c r="L254" s="4">
        <f>INDEX(F1_F2[],MATCH($D$2,F1_F2[Tipo de estaca],0),3)</f>
        <v>6</v>
      </c>
      <c r="M254" s="4">
        <f>PI()*(ECF[[#This Row],[Ø (cm)]]/100)^2/4</f>
        <v>2.5446900494077327</v>
      </c>
      <c r="N254" s="4">
        <f>PI()*ECF[[#This Row],[Ø (cm)]]/100</f>
        <v>5.6548667764616276</v>
      </c>
      <c r="O254" s="4">
        <f>IF(ECF[[#This Row],[Prof. (m)]]=0,0,ECF[[#This Row],[α (%)]]/100*ECF[[#This Row],[K (MPa)]]*1000*ECF[[#This Row],[NSPT]])</f>
        <v>656</v>
      </c>
      <c r="P254" s="4">
        <f>IF(ECF[[#This Row],[Prof. (m)]]=0,0,(ECF[[#This Row],[K (MPa)]]*1000*ECF[[#This Row],[NSPT]]/ECF[[#This Row],[F1]]*ECF[[#This Row],[Ap (m²)]]+ECF[[#This Row],[U (m)]]/ECF[[#This Row],[F2]]*SUMIFS(ECF[(α∙K∙NL∙ΔL)],ECF[Prof. (m)],"&lt;="&amp;ECF[[#This Row],[Prof. (m)]],ECF[idDiâmetro],ECF[[#This Row],[idDiâmetro]],ECF[idPilar],ECF[[#This Row],[idPilar]]))/'DADOS CAP. CARGA'!$D$2)</f>
        <v>15128.606458737206</v>
      </c>
      <c r="Q254" s="12">
        <f>INDEX(C_alpha_beta[],MATCH(ECF[[#This Row],[Solo]],C_alpha_beta[Solo],0),MATCH(ECF[[#Headers],[C (kPa)]],C_alpha_beta[#Headers],0))</f>
        <v>400</v>
      </c>
      <c r="R254" s="4">
        <f>INDEX(C_alpha_beta[],MATCH(ECF[[#This Row],[Solo]],C_alpha_beta[Solo],0),MATCH(ECF[[#Headers],[α ESF]],C_alpha_beta[#Headers],0))</f>
        <v>0.5</v>
      </c>
      <c r="S254" s="4">
        <f>INDEX(C_alpha_beta[],MATCH(ECF[[#This Row],[Solo]],C_alpha_beta[Solo],0),MATCH(ECF[[#Headers],[β ESF]],C_alpha_beta[#Headers],0))</f>
        <v>0.5</v>
      </c>
      <c r="T254" s="4">
        <f>IF(ECF[[#This Row],[Prof. (m)]]=0,0,10*(ECF[[#This Row],[NSPT]]/3+1))</f>
        <v>146.66666666666666</v>
      </c>
      <c r="U254" s="4">
        <f>(ECF[[#This Row],[α ESF]]*ECF[[#This Row],[C (kPa)]]*ECF[[#This Row],[NSPT]]*ECF[[#This Row],[Ap (m²)]])/'DADOS CAP. CARGA'!$Q$2+(ECF[[#This Row],[β ESF]]*SUMIFS(ECF[10∙(NL/3+1)],ECF[Prof. (m)],"&lt;="&amp;ECF[[#This Row],[Prof. (m)]],ECF[idDiâmetro],ECF[[#This Row],[idDiâmetro]],ECF[idPilar],ECF[[#This Row],[idPilar]])*ECF[[#This Row],[U (m)]])/'DADOS CAP. CARGA'!$S$2</f>
        <v>6177.9419532843285</v>
      </c>
      <c r="V254" s="4">
        <f>IF(SPT!$M$5=1,MIN(ECF[[#This Row],[Pe ECF (kN)]],ECF[[#This Row],[R_AV (kN)]]),IF(SPT!$M$5=2,MIN(ECF[[#This Row],[Pe ECF (kN)]],ECF[[#This Row],[R_DC (kN)]]),MIN(ECF[[#This Row],[Pe ECF (kN)]],ECF[[#This Row],[R_AV (kN)]],ECF[[#This Row],[R_DC (kN)]])))</f>
        <v>6177.9419532843285</v>
      </c>
      <c r="W254" s="4">
        <f>INDEX(PILARES[],ECF[[#This Row],[idPilar]],MATCH("Carga (kN)",PILARES[#Headers],0))*1.4</f>
        <v>1750</v>
      </c>
      <c r="X254" s="12">
        <f>INDEX(PILARES[],ECF[[#This Row],[idPilar]],MATCH(ECF[[#Headers],[ap (cm)]],PILARES[#Headers],0))</f>
        <v>50</v>
      </c>
      <c r="Y254" s="12">
        <f>INDEX(PILARES[],ECF[[#This Row],[idPilar]],MATCH(ECF[[#Headers],[bp (cm)]],PILARES[#Headers],0))</f>
        <v>40</v>
      </c>
      <c r="Z254" s="4">
        <f>SQRT(ECF[[#This Row],[ap (cm)]]*ECF[[#This Row],[bp (cm)]])</f>
        <v>44.721359549995796</v>
      </c>
      <c r="AA254" s="12">
        <f>ECF[[#This Row],[ap (cm)]]*ECF[[#This Row],[bp (cm)]]</f>
        <v>2000</v>
      </c>
      <c r="AB254" s="12">
        <f ca="1">IF(ECF[[#This Row],[Padm∙ε (kN)]]&gt;=ECF[[#This Row],[Padm (kN)]],ROUNDUP(1.05*ECF[[#This Row],[Nsd (kN)]]/ECF[[#This Row],[Padm (kN)]],0),ROUNDUP(1.05*ECF[[#This Row],[Nsd (kN)]]/ECF[[#This Row],[Padm (kN)]],0)+1)</f>
        <v>1</v>
      </c>
      <c r="AC254" s="4">
        <f ca="1">IFERROR(IF(ECF[[#This Row],[nE]]=1,ECF[[#This Row],[Padm (kN)]],ECF[[#This Row],[Padm (kN)]]*ECF[[#This Row],[nE]]*INDEX(grupoEstacas[],ECF[[#This Row],[nE]],MATCH("ε",grupoEstacas[#Headers],0))),"N.S.")</f>
        <v>6177.9419532843285</v>
      </c>
      <c r="AD254" s="4">
        <f ca="1">1.05*ECF[[#This Row],[Nsd (kN)]]/(ECF[[#This Row],[nE]]*PI()*ECF[[#This Row],[Ø (cm)]]^2/4)*10</f>
        <v>0.72209187143545117</v>
      </c>
      <c r="AE254" s="4">
        <f ca="1">IF(ECF[[#This Row],[σ (MPa)]]&lt;INDEX(tipoEstaca[],MATCH($D$2,tipoEstaca[TIPO DE ESTACA],0),MATCH("σmáx (MPa)",tipoEstaca[#Headers],0)),0.4%*PI()*ECF[[#This Row],[Ø (cm)]]^2/4,"N.S.")</f>
        <v>101.7876019763093</v>
      </c>
      <c r="AF254" s="82">
        <f>INDEX(tipoEstaca[],MATCH($D$2,tipoEstaca[TIPO DE ESTACA],0),MATCH(ECF[[#Headers],[Comprimento (m)]],tipoEstaca[#Headers],0))</f>
        <v>4</v>
      </c>
      <c r="AG254" s="5">
        <f ca="1">ECF[[#This Row],[As,mín (cm²)]]/100^2*ECF[[#This Row],[Comprimento (m)]]*7850</f>
        <v>319.61307020561122</v>
      </c>
      <c r="AH254" s="4">
        <f ca="1">ECF[[#This Row],[nE]]*ECF[[#This Row],[Prof. (m)]]*ECF[[#This Row],[Ap (m²)]]</f>
        <v>27.99159054348506</v>
      </c>
      <c r="AI254" s="82">
        <f ca="1">IF(ECF[[#This Row],[nE]]=1,0,MAX(3*ECF[[#This Row],[Ø (cm)]],60))</f>
        <v>0</v>
      </c>
      <c r="AJ254" s="82">
        <f ca="1">IF(ECF[[#This Row],[nE]]=1,ECF[[#This Row],[Ø (cm)]]+2*10,MAX(1.5*ECF[[#This Row],[Ø (cm)]],ECF[[#This Row],[Ø (cm)]]+15))</f>
        <v>200</v>
      </c>
      <c r="AK254" s="82">
        <f ca="1">alturaUtil(ECF[[#This Row],[nE]],ECF[[#This Row],[Ø (cm)]],ECF[[#This Row],[e (cm)]],ECF[[#This Row],[ap,eq (cm)]])</f>
        <v>220</v>
      </c>
      <c r="AL254" s="82">
        <f ca="1">IFERROR(ECF[[#This Row],[d (cm)]]+arredondarParaCimaMultiplo5cm(MAX(5,SQRT(PI())/2*ECF[[#This Row],[Ø (cm)]]/5)),"N.S.")</f>
        <v>255</v>
      </c>
      <c r="AM254" s="5">
        <f ca="1">alpha(ECF[[#This Row],[nE]],ECF[[#This Row],[d (cm)]],ECF[[#This Row],[e (cm)]],ECF[[#This Row],[ap,eq (cm)]])</f>
        <v>90</v>
      </c>
      <c r="AN254" s="35">
        <f ca="1">IFERROR(ECF[[#This Row],[Nsd (kN)]]/(ECF[[#This Row],[Ap (cm²)]]*SIN(ECF[[#This Row],[α]])^2),"N.S.")</f>
        <v>1.0948037013095111</v>
      </c>
      <c r="AO254" s="35">
        <f ca="1">IFERROR(ECF[[#This Row],[Nsd (kN)]]/(ECF[[#This Row],[nE]]*PI()*ECF[[#This Row],[Ø (cm)]]^2/4*SIN(ECF[[#This Row],[α]])^2),"N.S.")</f>
        <v>8.6046133717882292E-2</v>
      </c>
      <c r="AP254" s="4">
        <f ca="1">IFERROR(INDEX(grupoEstacas[],ECF[[#This Row],[nE]],MATCH("coef. Blévot",grupoEstacas[#Headers],0)),"N.S.")</f>
        <v>1</v>
      </c>
      <c r="AQ254" s="35">
        <f ca="1">IFERROR(ECF[[#This Row],[coef. Blévot]]*0.9*INDEX(tipoEstaca[],MATCH($D$2,tipoEstaca[TIPO DE ESTACA],0),MATCH("fcd (kN/cm²)",tipoEstaca[#Headers],0)),"N.S.")</f>
        <v>1</v>
      </c>
      <c r="AR254" s="82" t="str">
        <f ca="1">IF(AND(ECF[[#This Row],[cd,b,pil (kN/cm²)]]&lt;=ECF[[#This Row],[cd,b,lim (kN/cm²)]],ECF[[#This Row],[cd,b,est (kN/cm²)]]&lt;=ECF[[#This Row],[cd,b,lim (kN/cm²)]]),"OK","ERRO")</f>
        <v>ERRO</v>
      </c>
      <c r="AS254" s="4">
        <f ca="1">As_lado(ECF[[#This Row],[nE]],ECF[[#This Row],[Nsd (kN)]],ECF[[#This Row],[d (cm)]],ECF[[#This Row],[e (cm)]],ECF[[#This Row],[ap,eq (cm)]])</f>
        <v>10.0625</v>
      </c>
      <c r="AT254" s="4">
        <f ca="1">IF(ECF[[#This Row],[nE]]=1,ECF[[#This Row],[As,lado (cm²)]],IF(ECF[[#This Row],[nE]]=2,0.075*2*ECF[a (cm)],"N.A."))</f>
        <v>10.0625</v>
      </c>
      <c r="AU254" s="4" t="str">
        <f ca="1">IFERROR(IF(ECF[[#This Row],[nE]]=1,"N.A.",0.2*ECF[[#This Row],[As,lado (cm²)]]),"N.S.")</f>
        <v>N.A.</v>
      </c>
      <c r="AV254" s="4" t="str">
        <f ca="1">As_malha(ECF[[#This Row],[nE]],ECF[[#This Row],[As,lado (cm²)]],ECF[[#This Row],[Nsd (kN)]])</f>
        <v>N.A.</v>
      </c>
      <c r="AW254" s="4" t="str">
        <f ca="1">As_susp_tot(ECF[[#This Row],[nE]],ECF[[#This Row],[Nsd (kN)]])</f>
        <v>N.A.</v>
      </c>
      <c r="AX254" s="4" t="str">
        <f ca="1">Asp_face(ECF[[#This Row],[nE]],ECF[[#This Row],[As,lado (cm²)]])</f>
        <v>N.A.</v>
      </c>
      <c r="AY254" s="5">
        <f ca="1">acoBloco(ECF[[#This Row],[nE]],ECF[[#This Row],[e (cm)]],ECF[[#This Row],[a (cm)]],ECF[[#This Row],[h (cm)]],ECF[[#This Row],[As,lado (cm²)]],ECF[[#This Row],[Asp e Asw (cm²/m)]],ECF[[#This Row],[As,sup (cm²)]],ECF[[#This Row],[As,malha (cm²)]],ECF[[#This Row],[As,susp,tot (cm²)]],ECF[[#This Row],[Asp,face (cm²)]])</f>
        <v>206.95543749999999</v>
      </c>
      <c r="AZ254" s="4">
        <f ca="1">concretoBloco(ECF[[#This Row],[nE]],ECF[[#This Row],[e (cm)]],ECF[[#This Row],[a (cm)]],ECF[[#This Row],[h (cm)]])</f>
        <v>10.199999999999999</v>
      </c>
      <c r="BA254" s="5">
        <f ca="1">SUM(ECF[[#This Row],[Aço Est (kg)]],ECF[[#This Row],[Aço Bloco (kg)]])</f>
        <v>526.56850770561118</v>
      </c>
      <c r="BB254" s="4">
        <f>INDEX(composicoes[],MATCH(95580,composicoes[CÓDIGO],0),MATCH("CUSTO TOTAL",composicoes[#Headers],0))</f>
        <v>10.46</v>
      </c>
      <c r="BC254" s="4">
        <f ca="1">SUM(ECF[[#This Row],[Conc Est (m³)]],ECF[[#This Row],[Conc Bloco (m³)]])</f>
        <v>38.191590543485063</v>
      </c>
      <c r="BD254" s="4">
        <f>INDEX(composicoes[],MATCH(94966,composicoes[CÓDIGO],0),MATCH("CUSTO TOTAL",composicoes[#Headers],0))</f>
        <v>439.52</v>
      </c>
      <c r="BE254" s="38">
        <f ca="1">ECF[[#This Row],[Aço (kg)]]*ECF[[#This Row],[Aço (R$/kg)]]+ECF[[#This Row],[Conc (m³)]]*ECF[[#This Row],[Conc (R$/m³)]]</f>
        <v>22293.87446627325</v>
      </c>
      <c r="BF254" s="4" t="str">
        <f ca="1">IF(COUNTIF(ECF[#This Row],"N.S.")&gt;0,"lim.","OK")</f>
        <v>OK</v>
      </c>
      <c r="BG254" s="4" t="str">
        <f>IF(ECF[[#This Row],[Prof. (m)]]&lt;4,"lim.","OK")</f>
        <v>OK</v>
      </c>
      <c r="BH254" s="4" t="str">
        <f>IF(ECF[[#This Row],[Prof. (m)]]&gt;=8*ECF[[#This Row],[Ø (cm)]]/100,"OK","lim.")</f>
        <v>lim.</v>
      </c>
      <c r="BI254" s="4" t="str">
        <f>IF(AND(SPT!$F$3&lt;&gt;"",ECF[[#This Row],[Prof. (m)]]&gt;=SPT!$F$3-2),"lim.","OK")</f>
        <v>OK</v>
      </c>
      <c r="BJ254" s="4" t="str">
        <f ca="1">IF(ECF[[#This Row],[Verif. Biela]]="OK","OK","lim.")</f>
        <v>lim.</v>
      </c>
      <c r="BK254" s="4" t="str">
        <f ca="1">IF(COUNTA(ECF[[#This Row],[Nº Est.]:[Biela comp.]])=COUNTIF(ECF[[#This Row],[Nº Est.]:[Biela comp.]],"OK"),"OK","lim.")</f>
        <v>lim.</v>
      </c>
      <c r="BL254" s="4" t="str">
        <f ca="1">IF(ECF[[#This Row],[Controle]]="OK",ECF[[#This Row],[nE]]&amp;" Ø "&amp;ECF[[#This Row],[Ø (cm)]]&amp;" cm, Prof. "&amp;ECF[[#This Row],[Prof. (m)]]&amp;" m","")</f>
        <v/>
      </c>
      <c r="BM254" s="4" t="str">
        <f ca="1">IF(ECF[[#This Row],[idDimensionamento]]="","",ECF[[#This Row],[idPilar]]&amp;ECF[[#This Row],[idDimensionamento]])</f>
        <v/>
      </c>
    </row>
    <row r="255" spans="2:65" x14ac:dyDescent="0.25">
      <c r="B255" s="12">
        <f>ROUNDUP((ROW(ECF[[#This Row],[idDiâmetro]])-ROW(ECF[[#Headers],[idDiâmetro]]))/(COUNT(SPT[Prof. (m)])*COUNT(PILARES[Pilar])),0)</f>
        <v>9</v>
      </c>
      <c r="C255" s="12">
        <f>IF(ECF[[#This Row],[idDiâmetro]]&lt;&gt;B254,1,IF(ECF[[#This Row],[Prof. (m)]]=0,C254+1,C254))</f>
        <v>2</v>
      </c>
      <c r="D255" s="82">
        <f>IFERROR(IF(D254=MAX(SPT[Prof. (m)]),0,D254+1),0)</f>
        <v>12</v>
      </c>
      <c r="E255" s="82">
        <f>INDEX(SPT[],MATCH(ECF[[#This Row],[Prof. (m)]],SPT[Prof. (m)],0),2)</f>
        <v>52</v>
      </c>
      <c r="F255" s="82" t="str">
        <f>INDEX(SPT[],MATCH(ECF[[#This Row],[Prof. (m)]],SPT[Prof. (m)],0),3)</f>
        <v>Areia siltosa</v>
      </c>
      <c r="G255" s="82">
        <f>INDEX(estacas[],ECF[[#This Row],[idDiâmetro]],MATCH($B$2,estacas[#Headers],0))</f>
        <v>180</v>
      </c>
      <c r="H255" s="82">
        <f>INDEX(estacas[],MATCH(ECF[[#This Row],[Ø (cm)]],estacas[Ø ECF (cm)],0),MATCH(ECF[[#Headers],[Pe ECF (kN)]],estacas[#Headers],0))</f>
        <v>10100</v>
      </c>
      <c r="I255" s="4">
        <f>INDEX(K_alpha_C[],MATCH(ECF[[#This Row],[Solo]],K_alpha_C[Solo],0),2)</f>
        <v>0.8</v>
      </c>
      <c r="J255" s="5">
        <f>INDEX(K_alpha_C[],MATCH(ECF[[#This Row],[Solo]],K_alpha_C[Solo],0),3)</f>
        <v>2</v>
      </c>
      <c r="K255" s="4">
        <f>INDEX(F1_F2[],MATCH($D$2,F1_F2[Tipo de estaca],0),2)</f>
        <v>3</v>
      </c>
      <c r="L255" s="4">
        <f>INDEX(F1_F2[],MATCH($D$2,F1_F2[Tipo de estaca],0),3)</f>
        <v>6</v>
      </c>
      <c r="M255" s="4">
        <f>PI()*(ECF[[#This Row],[Ø (cm)]]/100)^2/4</f>
        <v>2.5446900494077327</v>
      </c>
      <c r="N255" s="4">
        <f>PI()*ECF[[#This Row],[Ø (cm)]]/100</f>
        <v>5.6548667764616276</v>
      </c>
      <c r="O255" s="4">
        <f>IF(ECF[[#This Row],[Prof. (m)]]=0,0,ECF[[#This Row],[α (%)]]/100*ECF[[#This Row],[K (MPa)]]*1000*ECF[[#This Row],[NSPT]])</f>
        <v>832</v>
      </c>
      <c r="P255" s="4">
        <f>IF(ECF[[#This Row],[Prof. (m)]]=0,0,(ECF[[#This Row],[K (MPa)]]*1000*ECF[[#This Row],[NSPT]]/ECF[[#This Row],[F1]]*ECF[[#This Row],[Ap (m²)]]+ECF[[#This Row],[U (m)]]/ECF[[#This Row],[F2]]*SUMIFS(ECF[(α∙K∙NL∙ΔL)],ECF[Prof. (m)],"&lt;="&amp;ECF[[#This Row],[Prof. (m)]],ECF[idDiâmetro],ECF[[#This Row],[idDiâmetro]],ECF[idPilar],ECF[[#This Row],[idPilar]]))/'DADOS CAP. CARGA'!$D$2)</f>
        <v>19252.889294369885</v>
      </c>
      <c r="Q255" s="12">
        <f>INDEX(C_alpha_beta[],MATCH(ECF[[#This Row],[Solo]],C_alpha_beta[Solo],0),MATCH(ECF[[#Headers],[C (kPa)]],C_alpha_beta[#Headers],0))</f>
        <v>400</v>
      </c>
      <c r="R255" s="4">
        <f>INDEX(C_alpha_beta[],MATCH(ECF[[#This Row],[Solo]],C_alpha_beta[Solo],0),MATCH(ECF[[#Headers],[α ESF]],C_alpha_beta[#Headers],0))</f>
        <v>0.5</v>
      </c>
      <c r="S255" s="4">
        <f>INDEX(C_alpha_beta[],MATCH(ECF[[#This Row],[Solo]],C_alpha_beta[Solo],0),MATCH(ECF[[#Headers],[β ESF]],C_alpha_beta[#Headers],0))</f>
        <v>0.5</v>
      </c>
      <c r="T255" s="4">
        <f>IF(ECF[[#This Row],[Prof. (m)]]=0,0,10*(ECF[[#This Row],[NSPT]]/3+1))</f>
        <v>183.33333333333331</v>
      </c>
      <c r="U255" s="4">
        <f>(ECF[[#This Row],[α ESF]]*ECF[[#This Row],[C (kPa)]]*ECF[[#This Row],[NSPT]]*ECF[[#This Row],[Ap (m²)]])/'DADOS CAP. CARGA'!$Q$2+(ECF[[#This Row],[β ESF]]*SUMIFS(ECF[10∙(NL/3+1)],ECF[Prof. (m)],"&lt;="&amp;ECF[[#This Row],[Prof. (m)]],ECF[idDiâmetro],ECF[[#This Row],[idDiâmetro]],ECF[idPilar],ECF[[#This Row],[idPilar]])*ECF[[#This Row],[U (m)]])/'DADOS CAP. CARGA'!$S$2</f>
        <v>7836.70287437974</v>
      </c>
      <c r="V255" s="4">
        <f>IF(SPT!$M$5=1,MIN(ECF[[#This Row],[Pe ECF (kN)]],ECF[[#This Row],[R_AV (kN)]]),IF(SPT!$M$5=2,MIN(ECF[[#This Row],[Pe ECF (kN)]],ECF[[#This Row],[R_DC (kN)]]),MIN(ECF[[#This Row],[Pe ECF (kN)]],ECF[[#This Row],[R_AV (kN)]],ECF[[#This Row],[R_DC (kN)]])))</f>
        <v>7836.70287437974</v>
      </c>
      <c r="W255" s="4">
        <f>INDEX(PILARES[],ECF[[#This Row],[idPilar]],MATCH("Carga (kN)",PILARES[#Headers],0))*1.4</f>
        <v>1750</v>
      </c>
      <c r="X255" s="12">
        <f>INDEX(PILARES[],ECF[[#This Row],[idPilar]],MATCH(ECF[[#Headers],[ap (cm)]],PILARES[#Headers],0))</f>
        <v>50</v>
      </c>
      <c r="Y255" s="12">
        <f>INDEX(PILARES[],ECF[[#This Row],[idPilar]],MATCH(ECF[[#Headers],[bp (cm)]],PILARES[#Headers],0))</f>
        <v>40</v>
      </c>
      <c r="Z255" s="4">
        <f>SQRT(ECF[[#This Row],[ap (cm)]]*ECF[[#This Row],[bp (cm)]])</f>
        <v>44.721359549995796</v>
      </c>
      <c r="AA255" s="12">
        <f>ECF[[#This Row],[ap (cm)]]*ECF[[#This Row],[bp (cm)]]</f>
        <v>2000</v>
      </c>
      <c r="AB255" s="12">
        <f ca="1">IF(ECF[[#This Row],[Padm∙ε (kN)]]&gt;=ECF[[#This Row],[Padm (kN)]],ROUNDUP(1.05*ECF[[#This Row],[Nsd (kN)]]/ECF[[#This Row],[Padm (kN)]],0),ROUNDUP(1.05*ECF[[#This Row],[Nsd (kN)]]/ECF[[#This Row],[Padm (kN)]],0)+1)</f>
        <v>1</v>
      </c>
      <c r="AC255" s="4">
        <f ca="1">IFERROR(IF(ECF[[#This Row],[nE]]=1,ECF[[#This Row],[Padm (kN)]],ECF[[#This Row],[Padm (kN)]]*ECF[[#This Row],[nE]]*INDEX(grupoEstacas[],ECF[[#This Row],[nE]],MATCH("ε",grupoEstacas[#Headers],0))),"N.S.")</f>
        <v>7836.70287437974</v>
      </c>
      <c r="AD255" s="4">
        <f ca="1">1.05*ECF[[#This Row],[Nsd (kN)]]/(ECF[[#This Row],[nE]]*PI()*ECF[[#This Row],[Ø (cm)]]^2/4)*10</f>
        <v>0.72209187143545117</v>
      </c>
      <c r="AE255" s="4">
        <f ca="1">IF(ECF[[#This Row],[σ (MPa)]]&lt;INDEX(tipoEstaca[],MATCH($D$2,tipoEstaca[TIPO DE ESTACA],0),MATCH("σmáx (MPa)",tipoEstaca[#Headers],0)),0.4%*PI()*ECF[[#This Row],[Ø (cm)]]^2/4,"N.S.")</f>
        <v>101.7876019763093</v>
      </c>
      <c r="AF255" s="82">
        <f>INDEX(tipoEstaca[],MATCH($D$2,tipoEstaca[TIPO DE ESTACA],0),MATCH(ECF[[#Headers],[Comprimento (m)]],tipoEstaca[#Headers],0))</f>
        <v>4</v>
      </c>
      <c r="AG255" s="5">
        <f ca="1">ECF[[#This Row],[As,mín (cm²)]]/100^2*ECF[[#This Row],[Comprimento (m)]]*7850</f>
        <v>319.61307020561122</v>
      </c>
      <c r="AH255" s="4">
        <f ca="1">ECF[[#This Row],[nE]]*ECF[[#This Row],[Prof. (m)]]*ECF[[#This Row],[Ap (m²)]]</f>
        <v>30.536280592892794</v>
      </c>
      <c r="AI255" s="82">
        <f ca="1">IF(ECF[[#This Row],[nE]]=1,0,MAX(3*ECF[[#This Row],[Ø (cm)]],60))</f>
        <v>0</v>
      </c>
      <c r="AJ255" s="82">
        <f ca="1">IF(ECF[[#This Row],[nE]]=1,ECF[[#This Row],[Ø (cm)]]+2*10,MAX(1.5*ECF[[#This Row],[Ø (cm)]],ECF[[#This Row],[Ø (cm)]]+15))</f>
        <v>200</v>
      </c>
      <c r="AK255" s="82">
        <f ca="1">alturaUtil(ECF[[#This Row],[nE]],ECF[[#This Row],[Ø (cm)]],ECF[[#This Row],[e (cm)]],ECF[[#This Row],[ap,eq (cm)]])</f>
        <v>220</v>
      </c>
      <c r="AL255" s="82">
        <f ca="1">IFERROR(ECF[[#This Row],[d (cm)]]+arredondarParaCimaMultiplo5cm(MAX(5,SQRT(PI())/2*ECF[[#This Row],[Ø (cm)]]/5)),"N.S.")</f>
        <v>255</v>
      </c>
      <c r="AM255" s="5">
        <f ca="1">alpha(ECF[[#This Row],[nE]],ECF[[#This Row],[d (cm)]],ECF[[#This Row],[e (cm)]],ECF[[#This Row],[ap,eq (cm)]])</f>
        <v>90</v>
      </c>
      <c r="AN255" s="35">
        <f ca="1">IFERROR(ECF[[#This Row],[Nsd (kN)]]/(ECF[[#This Row],[Ap (cm²)]]*SIN(ECF[[#This Row],[α]])^2),"N.S.")</f>
        <v>1.0948037013095111</v>
      </c>
      <c r="AO255" s="35">
        <f ca="1">IFERROR(ECF[[#This Row],[Nsd (kN)]]/(ECF[[#This Row],[nE]]*PI()*ECF[[#This Row],[Ø (cm)]]^2/4*SIN(ECF[[#This Row],[α]])^2),"N.S.")</f>
        <v>8.6046133717882292E-2</v>
      </c>
      <c r="AP255" s="4">
        <f ca="1">IFERROR(INDEX(grupoEstacas[],ECF[[#This Row],[nE]],MATCH("coef. Blévot",grupoEstacas[#Headers],0)),"N.S.")</f>
        <v>1</v>
      </c>
      <c r="AQ255" s="35">
        <f ca="1">IFERROR(ECF[[#This Row],[coef. Blévot]]*0.9*INDEX(tipoEstaca[],MATCH($D$2,tipoEstaca[TIPO DE ESTACA],0),MATCH("fcd (kN/cm²)",tipoEstaca[#Headers],0)),"N.S.")</f>
        <v>1</v>
      </c>
      <c r="AR255" s="82" t="str">
        <f ca="1">IF(AND(ECF[[#This Row],[cd,b,pil (kN/cm²)]]&lt;=ECF[[#This Row],[cd,b,lim (kN/cm²)]],ECF[[#This Row],[cd,b,est (kN/cm²)]]&lt;=ECF[[#This Row],[cd,b,lim (kN/cm²)]]),"OK","ERRO")</f>
        <v>ERRO</v>
      </c>
      <c r="AS255" s="4">
        <f ca="1">As_lado(ECF[[#This Row],[nE]],ECF[[#This Row],[Nsd (kN)]],ECF[[#This Row],[d (cm)]],ECF[[#This Row],[e (cm)]],ECF[[#This Row],[ap,eq (cm)]])</f>
        <v>10.0625</v>
      </c>
      <c r="AT255" s="4">
        <f ca="1">IF(ECF[[#This Row],[nE]]=1,ECF[[#This Row],[As,lado (cm²)]],IF(ECF[[#This Row],[nE]]=2,0.075*2*ECF[a (cm)],"N.A."))</f>
        <v>10.0625</v>
      </c>
      <c r="AU255" s="4" t="str">
        <f ca="1">IFERROR(IF(ECF[[#This Row],[nE]]=1,"N.A.",0.2*ECF[[#This Row],[As,lado (cm²)]]),"N.S.")</f>
        <v>N.A.</v>
      </c>
      <c r="AV255" s="4" t="str">
        <f ca="1">As_malha(ECF[[#This Row],[nE]],ECF[[#This Row],[As,lado (cm²)]],ECF[[#This Row],[Nsd (kN)]])</f>
        <v>N.A.</v>
      </c>
      <c r="AW255" s="4" t="str">
        <f ca="1">As_susp_tot(ECF[[#This Row],[nE]],ECF[[#This Row],[Nsd (kN)]])</f>
        <v>N.A.</v>
      </c>
      <c r="AX255" s="4" t="str">
        <f ca="1">Asp_face(ECF[[#This Row],[nE]],ECF[[#This Row],[As,lado (cm²)]])</f>
        <v>N.A.</v>
      </c>
      <c r="AY255" s="5">
        <f ca="1">acoBloco(ECF[[#This Row],[nE]],ECF[[#This Row],[e (cm)]],ECF[[#This Row],[a (cm)]],ECF[[#This Row],[h (cm)]],ECF[[#This Row],[As,lado (cm²)]],ECF[[#This Row],[Asp e Asw (cm²/m)]],ECF[[#This Row],[As,sup (cm²)]],ECF[[#This Row],[As,malha (cm²)]],ECF[[#This Row],[As,susp,tot (cm²)]],ECF[[#This Row],[Asp,face (cm²)]])</f>
        <v>206.95543749999999</v>
      </c>
      <c r="AZ255" s="4">
        <f ca="1">concretoBloco(ECF[[#This Row],[nE]],ECF[[#This Row],[e (cm)]],ECF[[#This Row],[a (cm)]],ECF[[#This Row],[h (cm)]])</f>
        <v>10.199999999999999</v>
      </c>
      <c r="BA255" s="5">
        <f ca="1">SUM(ECF[[#This Row],[Aço Est (kg)]],ECF[[#This Row],[Aço Bloco (kg)]])</f>
        <v>526.56850770561118</v>
      </c>
      <c r="BB255" s="4">
        <f>INDEX(composicoes[],MATCH(95580,composicoes[CÓDIGO],0),MATCH("CUSTO TOTAL",composicoes[#Headers],0))</f>
        <v>10.46</v>
      </c>
      <c r="BC255" s="4">
        <f ca="1">SUM(ECF[[#This Row],[Conc Est (m³)]],ECF[[#This Row],[Conc Bloco (m³)]])</f>
        <v>40.736280592892797</v>
      </c>
      <c r="BD255" s="4">
        <f>INDEX(composicoes[],MATCH(94966,composicoes[CÓDIGO],0),MATCH("CUSTO TOTAL",composicoes[#Headers],0))</f>
        <v>439.52</v>
      </c>
      <c r="BE255" s="38">
        <f ca="1">ECF[[#This Row],[Aço (kg)]]*ECF[[#This Row],[Aço (R$/kg)]]+ECF[[#This Row],[Conc (m³)]]*ECF[[#This Row],[Conc (R$/m³)]]</f>
        <v>23412.316636788935</v>
      </c>
      <c r="BF255" s="4" t="str">
        <f ca="1">IF(COUNTIF(ECF[#This Row],"N.S.")&gt;0,"lim.","OK")</f>
        <v>OK</v>
      </c>
      <c r="BG255" s="4" t="str">
        <f>IF(ECF[[#This Row],[Prof. (m)]]&lt;4,"lim.","OK")</f>
        <v>OK</v>
      </c>
      <c r="BH255" s="4" t="str">
        <f>IF(ECF[[#This Row],[Prof. (m)]]&gt;=8*ECF[[#This Row],[Ø (cm)]]/100,"OK","lim.")</f>
        <v>lim.</v>
      </c>
      <c r="BI255" s="4" t="str">
        <f>IF(AND(SPT!$F$3&lt;&gt;"",ECF[[#This Row],[Prof. (m)]]&gt;=SPT!$F$3-2),"lim.","OK")</f>
        <v>OK</v>
      </c>
      <c r="BJ255" s="4" t="str">
        <f ca="1">IF(ECF[[#This Row],[Verif. Biela]]="OK","OK","lim.")</f>
        <v>lim.</v>
      </c>
      <c r="BK255" s="4" t="str">
        <f ca="1">IF(COUNTA(ECF[[#This Row],[Nº Est.]:[Biela comp.]])=COUNTIF(ECF[[#This Row],[Nº Est.]:[Biela comp.]],"OK"),"OK","lim.")</f>
        <v>lim.</v>
      </c>
      <c r="BL255" s="4" t="str">
        <f ca="1">IF(ECF[[#This Row],[Controle]]="OK",ECF[[#This Row],[nE]]&amp;" Ø "&amp;ECF[[#This Row],[Ø (cm)]]&amp;" cm, Prof. "&amp;ECF[[#This Row],[Prof. (m)]]&amp;" m","")</f>
        <v/>
      </c>
      <c r="BM255" s="4" t="str">
        <f ca="1">IF(ECF[[#This Row],[idDimensionamento]]="","",ECF[[#This Row],[idPilar]]&amp;ECF[[#This Row],[idDimensionamento]])</f>
        <v/>
      </c>
    </row>
    <row r="256" spans="2:65" x14ac:dyDescent="0.25">
      <c r="B256" s="12">
        <f>ROUNDUP((ROW(ECF[[#This Row],[idDiâmetro]])-ROW(ECF[[#Headers],[idDiâmetro]]))/(COUNT(SPT[Prof. (m)])*COUNT(PILARES[Pilar])),0)</f>
        <v>9</v>
      </c>
      <c r="C256" s="12">
        <f>IF(ECF[[#This Row],[idDiâmetro]]&lt;&gt;B255,1,IF(ECF[[#This Row],[Prof. (m)]]=0,C255+1,C255))</f>
        <v>2</v>
      </c>
      <c r="D256" s="82">
        <f>IFERROR(IF(D255=MAX(SPT[Prof. (m)]),0,D255+1),0)</f>
        <v>13</v>
      </c>
      <c r="E256" s="82">
        <f>INDEX(SPT[],MATCH(ECF[[#This Row],[Prof. (m)]],SPT[Prof. (m)],0),2)</f>
        <v>68</v>
      </c>
      <c r="F256" s="82" t="str">
        <f>INDEX(SPT[],MATCH(ECF[[#This Row],[Prof. (m)]],SPT[Prof. (m)],0),3)</f>
        <v>Areia siltosa</v>
      </c>
      <c r="G256" s="82">
        <f>INDEX(estacas[],ECF[[#This Row],[idDiâmetro]],MATCH($B$2,estacas[#Headers],0))</f>
        <v>180</v>
      </c>
      <c r="H256" s="82">
        <f>INDEX(estacas[],MATCH(ECF[[#This Row],[Ø (cm)]],estacas[Ø ECF (cm)],0),MATCH(ECF[[#Headers],[Pe ECF (kN)]],estacas[#Headers],0))</f>
        <v>10100</v>
      </c>
      <c r="I256" s="4">
        <f>INDEX(K_alpha_C[],MATCH(ECF[[#This Row],[Solo]],K_alpha_C[Solo],0),2)</f>
        <v>0.8</v>
      </c>
      <c r="J256" s="5">
        <f>INDEX(K_alpha_C[],MATCH(ECF[[#This Row],[Solo]],K_alpha_C[Solo],0),3)</f>
        <v>2</v>
      </c>
      <c r="K256" s="4">
        <f>INDEX(F1_F2[],MATCH($D$2,F1_F2[Tipo de estaca],0),2)</f>
        <v>3</v>
      </c>
      <c r="L256" s="4">
        <f>INDEX(F1_F2[],MATCH($D$2,F1_F2[Tipo de estaca],0),3)</f>
        <v>6</v>
      </c>
      <c r="M256" s="4">
        <f>PI()*(ECF[[#This Row],[Ø (cm)]]/100)^2/4</f>
        <v>2.5446900494077327</v>
      </c>
      <c r="N256" s="4">
        <f>PI()*ECF[[#This Row],[Ø (cm)]]/100</f>
        <v>5.6548667764616276</v>
      </c>
      <c r="O256" s="4">
        <f>IF(ECF[[#This Row],[Prof. (m)]]=0,0,ECF[[#This Row],[α (%)]]/100*ECF[[#This Row],[K (MPa)]]*1000*ECF[[#This Row],[NSPT]])</f>
        <v>1088</v>
      </c>
      <c r="P256" s="4">
        <f>IF(ECF[[#This Row],[Prof. (m)]]=0,0,(ECF[[#This Row],[K (MPa)]]*1000*ECF[[#This Row],[NSPT]]/ECF[[#This Row],[F1]]*ECF[[#This Row],[Ap (m²)]]+ECF[[#This Row],[U (m)]]/ECF[[#This Row],[F2]]*SUMIFS(ECF[(α∙K∙NL∙ΔL)],ECF[Prof. (m)],"&lt;="&amp;ECF[[#This Row],[Prof. (m)]],ECF[idDiâmetro],ECF[[#This Row],[idDiâmetro]],ECF[idPilar],ECF[[#This Row],[idPilar]]))/'DADOS CAP. CARGA'!$D$2)</f>
        <v>25194.269320838903</v>
      </c>
      <c r="Q256" s="12">
        <f>INDEX(C_alpha_beta[],MATCH(ECF[[#This Row],[Solo]],C_alpha_beta[Solo],0),MATCH(ECF[[#Headers],[C (kPa)]],C_alpha_beta[#Headers],0))</f>
        <v>400</v>
      </c>
      <c r="R256" s="4">
        <f>INDEX(C_alpha_beta[],MATCH(ECF[[#This Row],[Solo]],C_alpha_beta[Solo],0),MATCH(ECF[[#Headers],[α ESF]],C_alpha_beta[#Headers],0))</f>
        <v>0.5</v>
      </c>
      <c r="S256" s="4">
        <f>INDEX(C_alpha_beta[],MATCH(ECF[[#This Row],[Solo]],C_alpha_beta[Solo],0),MATCH(ECF[[#Headers],[β ESF]],C_alpha_beta[#Headers],0))</f>
        <v>0.5</v>
      </c>
      <c r="T256" s="4">
        <f>IF(ECF[[#This Row],[Prof. (m)]]=0,0,10*(ECF[[#This Row],[NSPT]]/3+1))</f>
        <v>236.66666666666669</v>
      </c>
      <c r="U256" s="4">
        <f>(ECF[[#This Row],[α ESF]]*ECF[[#This Row],[C (kPa)]]*ECF[[#This Row],[NSPT]]*ECF[[#This Row],[Ap (m²)]])/'DADOS CAP. CARGA'!$Q$2+(ECF[[#This Row],[β ESF]]*SUMIFS(ECF[10∙(NL/3+1)],ECF[Prof. (m)],"&lt;="&amp;ECF[[#This Row],[Prof. (m)]],ECF[idDiâmetro],ECF[[#This Row],[idDiâmetro]],ECF[idPilar],ECF[[#This Row],[idPilar]])*ECF[[#This Row],[U (m)]])/'DADOS CAP. CARGA'!$S$2</f>
        <v>10207.034531513238</v>
      </c>
      <c r="V256" s="4">
        <f>IF(SPT!$M$5=1,MIN(ECF[[#This Row],[Pe ECF (kN)]],ECF[[#This Row],[R_AV (kN)]]),IF(SPT!$M$5=2,MIN(ECF[[#This Row],[Pe ECF (kN)]],ECF[[#This Row],[R_DC (kN)]]),MIN(ECF[[#This Row],[Pe ECF (kN)]],ECF[[#This Row],[R_AV (kN)]],ECF[[#This Row],[R_DC (kN)]])))</f>
        <v>10100</v>
      </c>
      <c r="W256" s="4">
        <f>INDEX(PILARES[],ECF[[#This Row],[idPilar]],MATCH("Carga (kN)",PILARES[#Headers],0))*1.4</f>
        <v>1750</v>
      </c>
      <c r="X256" s="12">
        <f>INDEX(PILARES[],ECF[[#This Row],[idPilar]],MATCH(ECF[[#Headers],[ap (cm)]],PILARES[#Headers],0))</f>
        <v>50</v>
      </c>
      <c r="Y256" s="12">
        <f>INDEX(PILARES[],ECF[[#This Row],[idPilar]],MATCH(ECF[[#Headers],[bp (cm)]],PILARES[#Headers],0))</f>
        <v>40</v>
      </c>
      <c r="Z256" s="4">
        <f>SQRT(ECF[[#This Row],[ap (cm)]]*ECF[[#This Row],[bp (cm)]])</f>
        <v>44.721359549995796</v>
      </c>
      <c r="AA256" s="12">
        <f>ECF[[#This Row],[ap (cm)]]*ECF[[#This Row],[bp (cm)]]</f>
        <v>2000</v>
      </c>
      <c r="AB256" s="12">
        <f ca="1">IF(ECF[[#This Row],[Padm∙ε (kN)]]&gt;=ECF[[#This Row],[Padm (kN)]],ROUNDUP(1.05*ECF[[#This Row],[Nsd (kN)]]/ECF[[#This Row],[Padm (kN)]],0),ROUNDUP(1.05*ECF[[#This Row],[Nsd (kN)]]/ECF[[#This Row],[Padm (kN)]],0)+1)</f>
        <v>1</v>
      </c>
      <c r="AC256" s="4">
        <f ca="1">IFERROR(IF(ECF[[#This Row],[nE]]=1,ECF[[#This Row],[Padm (kN)]],ECF[[#This Row],[Padm (kN)]]*ECF[[#This Row],[nE]]*INDEX(grupoEstacas[],ECF[[#This Row],[nE]],MATCH("ε",grupoEstacas[#Headers],0))),"N.S.")</f>
        <v>10100</v>
      </c>
      <c r="AD256" s="4">
        <f ca="1">1.05*ECF[[#This Row],[Nsd (kN)]]/(ECF[[#This Row],[nE]]*PI()*ECF[[#This Row],[Ø (cm)]]^2/4)*10</f>
        <v>0.72209187143545117</v>
      </c>
      <c r="AE256" s="4">
        <f ca="1">IF(ECF[[#This Row],[σ (MPa)]]&lt;INDEX(tipoEstaca[],MATCH($D$2,tipoEstaca[TIPO DE ESTACA],0),MATCH("σmáx (MPa)",tipoEstaca[#Headers],0)),0.4%*PI()*ECF[[#This Row],[Ø (cm)]]^2/4,"N.S.")</f>
        <v>101.7876019763093</v>
      </c>
      <c r="AF256" s="82">
        <f>INDEX(tipoEstaca[],MATCH($D$2,tipoEstaca[TIPO DE ESTACA],0),MATCH(ECF[[#Headers],[Comprimento (m)]],tipoEstaca[#Headers],0))</f>
        <v>4</v>
      </c>
      <c r="AG256" s="5">
        <f ca="1">ECF[[#This Row],[As,mín (cm²)]]/100^2*ECF[[#This Row],[Comprimento (m)]]*7850</f>
        <v>319.61307020561122</v>
      </c>
      <c r="AH256" s="4">
        <f ca="1">ECF[[#This Row],[nE]]*ECF[[#This Row],[Prof. (m)]]*ECF[[#This Row],[Ap (m²)]]</f>
        <v>33.080970642300528</v>
      </c>
      <c r="AI256" s="82">
        <f ca="1">IF(ECF[[#This Row],[nE]]=1,0,MAX(3*ECF[[#This Row],[Ø (cm)]],60))</f>
        <v>0</v>
      </c>
      <c r="AJ256" s="82">
        <f ca="1">IF(ECF[[#This Row],[nE]]=1,ECF[[#This Row],[Ø (cm)]]+2*10,MAX(1.5*ECF[[#This Row],[Ø (cm)]],ECF[[#This Row],[Ø (cm)]]+15))</f>
        <v>200</v>
      </c>
      <c r="AK256" s="82">
        <f ca="1">alturaUtil(ECF[[#This Row],[nE]],ECF[[#This Row],[Ø (cm)]],ECF[[#This Row],[e (cm)]],ECF[[#This Row],[ap,eq (cm)]])</f>
        <v>220</v>
      </c>
      <c r="AL256" s="82">
        <f ca="1">IFERROR(ECF[[#This Row],[d (cm)]]+arredondarParaCimaMultiplo5cm(MAX(5,SQRT(PI())/2*ECF[[#This Row],[Ø (cm)]]/5)),"N.S.")</f>
        <v>255</v>
      </c>
      <c r="AM256" s="5">
        <f ca="1">alpha(ECF[[#This Row],[nE]],ECF[[#This Row],[d (cm)]],ECF[[#This Row],[e (cm)]],ECF[[#This Row],[ap,eq (cm)]])</f>
        <v>90</v>
      </c>
      <c r="AN256" s="35">
        <f ca="1">IFERROR(ECF[[#This Row],[Nsd (kN)]]/(ECF[[#This Row],[Ap (cm²)]]*SIN(ECF[[#This Row],[α]])^2),"N.S.")</f>
        <v>1.0948037013095111</v>
      </c>
      <c r="AO256" s="35">
        <f ca="1">IFERROR(ECF[[#This Row],[Nsd (kN)]]/(ECF[[#This Row],[nE]]*PI()*ECF[[#This Row],[Ø (cm)]]^2/4*SIN(ECF[[#This Row],[α]])^2),"N.S.")</f>
        <v>8.6046133717882292E-2</v>
      </c>
      <c r="AP256" s="4">
        <f ca="1">IFERROR(INDEX(grupoEstacas[],ECF[[#This Row],[nE]],MATCH("coef. Blévot",grupoEstacas[#Headers],0)),"N.S.")</f>
        <v>1</v>
      </c>
      <c r="AQ256" s="35">
        <f ca="1">IFERROR(ECF[[#This Row],[coef. Blévot]]*0.9*INDEX(tipoEstaca[],MATCH($D$2,tipoEstaca[TIPO DE ESTACA],0),MATCH("fcd (kN/cm²)",tipoEstaca[#Headers],0)),"N.S.")</f>
        <v>1</v>
      </c>
      <c r="AR256" s="82" t="str">
        <f ca="1">IF(AND(ECF[[#This Row],[cd,b,pil (kN/cm²)]]&lt;=ECF[[#This Row],[cd,b,lim (kN/cm²)]],ECF[[#This Row],[cd,b,est (kN/cm²)]]&lt;=ECF[[#This Row],[cd,b,lim (kN/cm²)]]),"OK","ERRO")</f>
        <v>ERRO</v>
      </c>
      <c r="AS256" s="4">
        <f ca="1">As_lado(ECF[[#This Row],[nE]],ECF[[#This Row],[Nsd (kN)]],ECF[[#This Row],[d (cm)]],ECF[[#This Row],[e (cm)]],ECF[[#This Row],[ap,eq (cm)]])</f>
        <v>10.0625</v>
      </c>
      <c r="AT256" s="4">
        <f ca="1">IF(ECF[[#This Row],[nE]]=1,ECF[[#This Row],[As,lado (cm²)]],IF(ECF[[#This Row],[nE]]=2,0.075*2*ECF[a (cm)],"N.A."))</f>
        <v>10.0625</v>
      </c>
      <c r="AU256" s="4" t="str">
        <f ca="1">IFERROR(IF(ECF[[#This Row],[nE]]=1,"N.A.",0.2*ECF[[#This Row],[As,lado (cm²)]]),"N.S.")</f>
        <v>N.A.</v>
      </c>
      <c r="AV256" s="4" t="str">
        <f ca="1">As_malha(ECF[[#This Row],[nE]],ECF[[#This Row],[As,lado (cm²)]],ECF[[#This Row],[Nsd (kN)]])</f>
        <v>N.A.</v>
      </c>
      <c r="AW256" s="4" t="str">
        <f ca="1">As_susp_tot(ECF[[#This Row],[nE]],ECF[[#This Row],[Nsd (kN)]])</f>
        <v>N.A.</v>
      </c>
      <c r="AX256" s="4" t="str">
        <f ca="1">Asp_face(ECF[[#This Row],[nE]],ECF[[#This Row],[As,lado (cm²)]])</f>
        <v>N.A.</v>
      </c>
      <c r="AY256" s="5">
        <f ca="1">acoBloco(ECF[[#This Row],[nE]],ECF[[#This Row],[e (cm)]],ECF[[#This Row],[a (cm)]],ECF[[#This Row],[h (cm)]],ECF[[#This Row],[As,lado (cm²)]],ECF[[#This Row],[Asp e Asw (cm²/m)]],ECF[[#This Row],[As,sup (cm²)]],ECF[[#This Row],[As,malha (cm²)]],ECF[[#This Row],[As,susp,tot (cm²)]],ECF[[#This Row],[Asp,face (cm²)]])</f>
        <v>206.95543749999999</v>
      </c>
      <c r="AZ256" s="4">
        <f ca="1">concretoBloco(ECF[[#This Row],[nE]],ECF[[#This Row],[e (cm)]],ECF[[#This Row],[a (cm)]],ECF[[#This Row],[h (cm)]])</f>
        <v>10.199999999999999</v>
      </c>
      <c r="BA256" s="5">
        <f ca="1">SUM(ECF[[#This Row],[Aço Est (kg)]],ECF[[#This Row],[Aço Bloco (kg)]])</f>
        <v>526.56850770561118</v>
      </c>
      <c r="BB256" s="4">
        <f>INDEX(composicoes[],MATCH(95580,composicoes[CÓDIGO],0),MATCH("CUSTO TOTAL",composicoes[#Headers],0))</f>
        <v>10.46</v>
      </c>
      <c r="BC256" s="4">
        <f ca="1">SUM(ECF[[#This Row],[Conc Est (m³)]],ECF[[#This Row],[Conc Bloco (m³)]])</f>
        <v>43.280970642300531</v>
      </c>
      <c r="BD256" s="4">
        <f>INDEX(composicoes[],MATCH(94966,composicoes[CÓDIGO],0),MATCH("CUSTO TOTAL",composicoes[#Headers],0))</f>
        <v>439.52</v>
      </c>
      <c r="BE256" s="38">
        <f ca="1">ECF[[#This Row],[Aço (kg)]]*ECF[[#This Row],[Aço (R$/kg)]]+ECF[[#This Row],[Conc (m³)]]*ECF[[#This Row],[Conc (R$/m³)]]</f>
        <v>24530.758807304624</v>
      </c>
      <c r="BF256" s="4" t="str">
        <f ca="1">IF(COUNTIF(ECF[#This Row],"N.S.")&gt;0,"lim.","OK")</f>
        <v>OK</v>
      </c>
      <c r="BG256" s="4" t="str">
        <f>IF(ECF[[#This Row],[Prof. (m)]]&lt;4,"lim.","OK")</f>
        <v>OK</v>
      </c>
      <c r="BH256" s="4" t="str">
        <f>IF(ECF[[#This Row],[Prof. (m)]]&gt;=8*ECF[[#This Row],[Ø (cm)]]/100,"OK","lim.")</f>
        <v>lim.</v>
      </c>
      <c r="BI256" s="4" t="str">
        <f>IF(AND(SPT!$F$3&lt;&gt;"",ECF[[#This Row],[Prof. (m)]]&gt;=SPT!$F$3-2),"lim.","OK")</f>
        <v>OK</v>
      </c>
      <c r="BJ256" s="4" t="str">
        <f ca="1">IF(ECF[[#This Row],[Verif. Biela]]="OK","OK","lim.")</f>
        <v>lim.</v>
      </c>
      <c r="BK256" s="4" t="str">
        <f ca="1">IF(COUNTA(ECF[[#This Row],[Nº Est.]:[Biela comp.]])=COUNTIF(ECF[[#This Row],[Nº Est.]:[Biela comp.]],"OK"),"OK","lim.")</f>
        <v>lim.</v>
      </c>
      <c r="BL256" s="4" t="str">
        <f ca="1">IF(ECF[[#This Row],[Controle]]="OK",ECF[[#This Row],[nE]]&amp;" Ø "&amp;ECF[[#This Row],[Ø (cm)]]&amp;" cm, Prof. "&amp;ECF[[#This Row],[Prof. (m)]]&amp;" m","")</f>
        <v/>
      </c>
      <c r="BM256" s="4" t="str">
        <f ca="1">IF(ECF[[#This Row],[idDimensionamento]]="","",ECF[[#This Row],[idPilar]]&amp;ECF[[#This Row],[idDimensionamento]])</f>
        <v/>
      </c>
    </row>
    <row r="257" spans="2:65" x14ac:dyDescent="0.25">
      <c r="B257" s="12">
        <f>ROUNDUP((ROW(ECF[[#This Row],[idDiâmetro]])-ROW(ECF[[#Headers],[idDiâmetro]]))/(COUNT(SPT[Prof. (m)])*COUNT(PILARES[Pilar])),0)</f>
        <v>10</v>
      </c>
      <c r="C257" s="12">
        <f>IF(ECF[[#This Row],[idDiâmetro]]&lt;&gt;B256,1,IF(ECF[[#This Row],[Prof. (m)]]=0,C256+1,C256))</f>
        <v>1</v>
      </c>
      <c r="D257" s="82">
        <f>IFERROR(IF(D256=MAX(SPT[Prof. (m)]),0,D256+1),0)</f>
        <v>0</v>
      </c>
      <c r="E257" s="82">
        <f>INDEX(SPT[],MATCH(ECF[[#This Row],[Prof. (m)]],SPT[Prof. (m)],0),2)</f>
        <v>0</v>
      </c>
      <c r="F257" s="82" t="str">
        <f>INDEX(SPT[],MATCH(ECF[[#This Row],[Prof. (m)]],SPT[Prof. (m)],0),3)</f>
        <v>Areia siltosa</v>
      </c>
      <c r="G257" s="82">
        <f>INDEX(estacas[],ECF[[#This Row],[idDiâmetro]],MATCH($B$2,estacas[#Headers],0))</f>
        <v>200</v>
      </c>
      <c r="H257" s="82">
        <f>INDEX(estacas[],MATCH(ECF[[#This Row],[Ø (cm)]],estacas[Ø ECF (cm)],0),MATCH(ECF[[#Headers],[Pe ECF (kN)]],estacas[#Headers],0))</f>
        <v>12500</v>
      </c>
      <c r="I257" s="4">
        <f>INDEX(K_alpha_C[],MATCH(ECF[[#This Row],[Solo]],K_alpha_C[Solo],0),2)</f>
        <v>0.8</v>
      </c>
      <c r="J257" s="5">
        <f>INDEX(K_alpha_C[],MATCH(ECF[[#This Row],[Solo]],K_alpha_C[Solo],0),3)</f>
        <v>2</v>
      </c>
      <c r="K257" s="4">
        <f>INDEX(F1_F2[],MATCH($D$2,F1_F2[Tipo de estaca],0),2)</f>
        <v>3</v>
      </c>
      <c r="L257" s="4">
        <f>INDEX(F1_F2[],MATCH($D$2,F1_F2[Tipo de estaca],0),3)</f>
        <v>6</v>
      </c>
      <c r="M257" s="4">
        <f>PI()*(ECF[[#This Row],[Ø (cm)]]/100)^2/4</f>
        <v>3.1415926535897931</v>
      </c>
      <c r="N257" s="4">
        <f>PI()*ECF[[#This Row],[Ø (cm)]]/100</f>
        <v>6.2831853071795862</v>
      </c>
      <c r="O257" s="4">
        <f>IF(ECF[[#This Row],[Prof. (m)]]=0,0,ECF[[#This Row],[α (%)]]/100*ECF[[#This Row],[K (MPa)]]*1000*ECF[[#This Row],[NSPT]])</f>
        <v>0</v>
      </c>
      <c r="P257" s="4">
        <f>IF(ECF[[#This Row],[Prof. (m)]]=0,0,(ECF[[#This Row],[K (MPa)]]*1000*ECF[[#This Row],[NSPT]]/ECF[[#This Row],[F1]]*ECF[[#This Row],[Ap (m²)]]+ECF[[#This Row],[U (m)]]/ECF[[#This Row],[F2]]*SUMIFS(ECF[(α∙K∙NL∙ΔL)],ECF[Prof. (m)],"&lt;="&amp;ECF[[#This Row],[Prof. (m)]],ECF[idDiâmetro],ECF[[#This Row],[idDiâmetro]],ECF[idPilar],ECF[[#This Row],[idPilar]]))/'DADOS CAP. CARGA'!$D$2)</f>
        <v>0</v>
      </c>
      <c r="Q257" s="12">
        <f>INDEX(C_alpha_beta[],MATCH(ECF[[#This Row],[Solo]],C_alpha_beta[Solo],0),MATCH(ECF[[#Headers],[C (kPa)]],C_alpha_beta[#Headers],0))</f>
        <v>400</v>
      </c>
      <c r="R257" s="4">
        <f>INDEX(C_alpha_beta[],MATCH(ECF[[#This Row],[Solo]],C_alpha_beta[Solo],0),MATCH(ECF[[#Headers],[α ESF]],C_alpha_beta[#Headers],0))</f>
        <v>0.5</v>
      </c>
      <c r="S257" s="4">
        <f>INDEX(C_alpha_beta[],MATCH(ECF[[#This Row],[Solo]],C_alpha_beta[Solo],0),MATCH(ECF[[#Headers],[β ESF]],C_alpha_beta[#Headers],0))</f>
        <v>0.5</v>
      </c>
      <c r="T257" s="4">
        <f>IF(ECF[[#This Row],[Prof. (m)]]=0,0,10*(ECF[[#This Row],[NSPT]]/3+1))</f>
        <v>0</v>
      </c>
      <c r="U257" s="4">
        <f>(ECF[[#This Row],[α ESF]]*ECF[[#This Row],[C (kPa)]]*ECF[[#This Row],[NSPT]]*ECF[[#This Row],[Ap (m²)]])/'DADOS CAP. CARGA'!$Q$2+(ECF[[#This Row],[β ESF]]*SUMIFS(ECF[10∙(NL/3+1)],ECF[Prof. (m)],"&lt;="&amp;ECF[[#This Row],[Prof. (m)]],ECF[idDiâmetro],ECF[[#This Row],[idDiâmetro]],ECF[idPilar],ECF[[#This Row],[idPilar]])*ECF[[#This Row],[U (m)]])/'DADOS CAP. CARGA'!$S$2</f>
        <v>0</v>
      </c>
      <c r="V257" s="4">
        <f>IF(SPT!$M$5=1,MIN(ECF[[#This Row],[Pe ECF (kN)]],ECF[[#This Row],[R_AV (kN)]]),IF(SPT!$M$5=2,MIN(ECF[[#This Row],[Pe ECF (kN)]],ECF[[#This Row],[R_DC (kN)]]),MIN(ECF[[#This Row],[Pe ECF (kN)]],ECF[[#This Row],[R_AV (kN)]],ECF[[#This Row],[R_DC (kN)]])))</f>
        <v>0</v>
      </c>
      <c r="W257" s="4">
        <f>INDEX(PILARES[],ECF[[#This Row],[idPilar]],MATCH("Carga (kN)",PILARES[#Headers],0))*1.4</f>
        <v>3500</v>
      </c>
      <c r="X257" s="12">
        <f>INDEX(PILARES[],ECF[[#This Row],[idPilar]],MATCH(ECF[[#Headers],[ap (cm)]],PILARES[#Headers],0))</f>
        <v>60</v>
      </c>
      <c r="Y257" s="12">
        <f>INDEX(PILARES[],ECF[[#This Row],[idPilar]],MATCH(ECF[[#Headers],[bp (cm)]],PILARES[#Headers],0))</f>
        <v>60</v>
      </c>
      <c r="Z257" s="4">
        <f>SQRT(ECF[[#This Row],[ap (cm)]]*ECF[[#This Row],[bp (cm)]])</f>
        <v>60</v>
      </c>
      <c r="AA257" s="12">
        <f>ECF[[#This Row],[ap (cm)]]*ECF[[#This Row],[bp (cm)]]</f>
        <v>3600</v>
      </c>
      <c r="AB257" s="12" t="e">
        <f ca="1">IF(ECF[[#This Row],[Padm∙ε (kN)]]&gt;=ECF[[#This Row],[Padm (kN)]],ROUNDUP(1.05*ECF[[#This Row],[Nsd (kN)]]/ECF[[#This Row],[Padm (kN)]],0),ROUNDUP(1.05*ECF[[#This Row],[Nsd (kN)]]/ECF[[#This Row],[Padm (kN)]],0)+1)</f>
        <v>#DIV/0!</v>
      </c>
      <c r="AC257" s="4" t="str">
        <f ca="1">IFERROR(IF(ECF[[#This Row],[nE]]=1,ECF[[#This Row],[Padm (kN)]],ECF[[#This Row],[Padm (kN)]]*ECF[[#This Row],[nE]]*INDEX(grupoEstacas[],ECF[[#This Row],[nE]],MATCH("ε",grupoEstacas[#Headers],0))),"N.S.")</f>
        <v>N.S.</v>
      </c>
      <c r="AD257" s="4" t="e">
        <f ca="1">1.05*ECF[[#This Row],[Nsd (kN)]]/(ECF[[#This Row],[nE]]*PI()*ECF[[#This Row],[Ø (cm)]]^2/4)*10</f>
        <v>#DIV/0!</v>
      </c>
      <c r="AE257" s="4" t="e">
        <f ca="1">IF(ECF[[#This Row],[σ (MPa)]]&lt;INDEX(tipoEstaca[],MATCH($D$2,tipoEstaca[TIPO DE ESTACA],0),MATCH("σmáx (MPa)",tipoEstaca[#Headers],0)),0.4%*PI()*ECF[[#This Row],[Ø (cm)]]^2/4,"N.S.")</f>
        <v>#DIV/0!</v>
      </c>
      <c r="AF257" s="82">
        <f>INDEX(tipoEstaca[],MATCH($D$2,tipoEstaca[TIPO DE ESTACA],0),MATCH(ECF[[#Headers],[Comprimento (m)]],tipoEstaca[#Headers],0))</f>
        <v>4</v>
      </c>
      <c r="AG257" s="5" t="e">
        <f ca="1">ECF[[#This Row],[As,mín (cm²)]]/100^2*ECF[[#This Row],[Comprimento (m)]]*7850</f>
        <v>#DIV/0!</v>
      </c>
      <c r="AH257" s="4" t="e">
        <f ca="1">ECF[[#This Row],[nE]]*ECF[[#This Row],[Prof. (m)]]*ECF[[#This Row],[Ap (m²)]]</f>
        <v>#DIV/0!</v>
      </c>
      <c r="AI257" s="82" t="e">
        <f ca="1">IF(ECF[[#This Row],[nE]]=1,0,MAX(3*ECF[[#This Row],[Ø (cm)]],60))</f>
        <v>#DIV/0!</v>
      </c>
      <c r="AJ257" s="82" t="e">
        <f ca="1">IF(ECF[[#This Row],[nE]]=1,ECF[[#This Row],[Ø (cm)]]+2*10,MAX(1.5*ECF[[#This Row],[Ø (cm)]],ECF[[#This Row],[Ø (cm)]]+15))</f>
        <v>#DIV/0!</v>
      </c>
      <c r="AK257" s="82" t="e">
        <f ca="1">alturaUtil(ECF[[#This Row],[nE]],ECF[[#This Row],[Ø (cm)]],ECF[[#This Row],[e (cm)]],ECF[[#This Row],[ap,eq (cm)]])</f>
        <v>#VALUE!</v>
      </c>
      <c r="AL257" s="82" t="str">
        <f ca="1">IFERROR(ECF[[#This Row],[d (cm)]]+arredondarParaCimaMultiplo5cm(MAX(5,SQRT(PI())/2*ECF[[#This Row],[Ø (cm)]]/5)),"N.S.")</f>
        <v>N.S.</v>
      </c>
      <c r="AM257" s="5" t="e">
        <f ca="1">alpha(ECF[[#This Row],[nE]],ECF[[#This Row],[d (cm)]],ECF[[#This Row],[e (cm)]],ECF[[#This Row],[ap,eq (cm)]])</f>
        <v>#VALUE!</v>
      </c>
      <c r="AN257" s="35" t="str">
        <f ca="1">IFERROR(ECF[[#This Row],[Nsd (kN)]]/(ECF[[#This Row],[Ap (cm²)]]*SIN(ECF[[#This Row],[α]])^2),"N.S.")</f>
        <v>N.S.</v>
      </c>
      <c r="AO257" s="35" t="str">
        <f ca="1">IFERROR(ECF[[#This Row],[Nsd (kN)]]/(ECF[[#This Row],[nE]]*PI()*ECF[[#This Row],[Ø (cm)]]^2/4*SIN(ECF[[#This Row],[α]])^2),"N.S.")</f>
        <v>N.S.</v>
      </c>
      <c r="AP257" s="4" t="str">
        <f ca="1">IFERROR(INDEX(grupoEstacas[],ECF[[#This Row],[nE]],MATCH("coef. Blévot",grupoEstacas[#Headers],0)),"N.S.")</f>
        <v>N.S.</v>
      </c>
      <c r="AQ257" s="35" t="str">
        <f ca="1">IFERROR(ECF[[#This Row],[coef. Blévot]]*0.9*INDEX(tipoEstaca[],MATCH($D$2,tipoEstaca[TIPO DE ESTACA],0),MATCH("fcd (kN/cm²)",tipoEstaca[#Headers],0)),"N.S.")</f>
        <v>N.S.</v>
      </c>
      <c r="AR257" s="82" t="str">
        <f ca="1">IF(AND(ECF[[#This Row],[cd,b,pil (kN/cm²)]]&lt;=ECF[[#This Row],[cd,b,lim (kN/cm²)]],ECF[[#This Row],[cd,b,est (kN/cm²)]]&lt;=ECF[[#This Row],[cd,b,lim (kN/cm²)]]),"OK","ERRO")</f>
        <v>OK</v>
      </c>
      <c r="AS257" s="4" t="e">
        <f ca="1">As_lado(ECF[[#This Row],[nE]],ECF[[#This Row],[Nsd (kN)]],ECF[[#This Row],[d (cm)]],ECF[[#This Row],[e (cm)]],ECF[[#This Row],[ap,eq (cm)]])</f>
        <v>#VALUE!</v>
      </c>
      <c r="AT257" s="4" t="e">
        <f ca="1">IF(ECF[[#This Row],[nE]]=1,ECF[[#This Row],[As,lado (cm²)]],IF(ECF[[#This Row],[nE]]=2,0.075*2*ECF[a (cm)],"N.A."))</f>
        <v>#DIV/0!</v>
      </c>
      <c r="AU257" s="4" t="str">
        <f ca="1">IFERROR(IF(ECF[[#This Row],[nE]]=1,"N.A.",0.2*ECF[[#This Row],[As,lado (cm²)]]),"N.S.")</f>
        <v>N.S.</v>
      </c>
      <c r="AV257" s="4" t="e">
        <f ca="1">As_malha(ECF[[#This Row],[nE]],ECF[[#This Row],[As,lado (cm²)]],ECF[[#This Row],[Nsd (kN)]])</f>
        <v>#VALUE!</v>
      </c>
      <c r="AW257" s="4" t="e">
        <f ca="1">As_susp_tot(ECF[[#This Row],[nE]],ECF[[#This Row],[Nsd (kN)]])</f>
        <v>#VALUE!</v>
      </c>
      <c r="AX257" s="4" t="e">
        <f ca="1">Asp_face(ECF[[#This Row],[nE]],ECF[[#This Row],[As,lado (cm²)]])</f>
        <v>#VALUE!</v>
      </c>
      <c r="AY257" s="5" t="e">
        <f ca="1">acoBloco(ECF[[#This Row],[nE]],ECF[[#This Row],[e (cm)]],ECF[[#This Row],[a (cm)]],ECF[[#This Row],[h (cm)]],ECF[[#This Row],[As,lado (cm²)]],ECF[[#This Row],[Asp e Asw (cm²/m)]],ECF[[#This Row],[As,sup (cm²)]],ECF[[#This Row],[As,malha (cm²)]],ECF[[#This Row],[As,susp,tot (cm²)]],ECF[[#This Row],[Asp,face (cm²)]])</f>
        <v>#VALUE!</v>
      </c>
      <c r="AZ257" s="4" t="e">
        <f ca="1">concretoBloco(ECF[[#This Row],[nE]],ECF[[#This Row],[e (cm)]],ECF[[#This Row],[a (cm)]],ECF[[#This Row],[h (cm)]])</f>
        <v>#VALUE!</v>
      </c>
      <c r="BA257" s="5" t="e">
        <f ca="1">SUM(ECF[[#This Row],[Aço Est (kg)]],ECF[[#This Row],[Aço Bloco (kg)]])</f>
        <v>#DIV/0!</v>
      </c>
      <c r="BB257" s="4">
        <f>INDEX(composicoes[],MATCH(95580,composicoes[CÓDIGO],0),MATCH("CUSTO TOTAL",composicoes[#Headers],0))</f>
        <v>10.46</v>
      </c>
      <c r="BC257" s="4" t="e">
        <f ca="1">SUM(ECF[[#This Row],[Conc Est (m³)]],ECF[[#This Row],[Conc Bloco (m³)]])</f>
        <v>#DIV/0!</v>
      </c>
      <c r="BD257" s="4">
        <f>INDEX(composicoes[],MATCH(94966,composicoes[CÓDIGO],0),MATCH("CUSTO TOTAL",composicoes[#Headers],0))</f>
        <v>439.52</v>
      </c>
      <c r="BE257" s="38" t="e">
        <f ca="1">ECF[[#This Row],[Aço (kg)]]*ECF[[#This Row],[Aço (R$/kg)]]+ECF[[#This Row],[Conc (m³)]]*ECF[[#This Row],[Conc (R$/m³)]]</f>
        <v>#DIV/0!</v>
      </c>
      <c r="BF257" s="4" t="str">
        <f ca="1">IF(COUNTIF(ECF[#This Row],"N.S.")&gt;0,"lim.","OK")</f>
        <v>lim.</v>
      </c>
      <c r="BG257" s="4" t="str">
        <f>IF(ECF[[#This Row],[Prof. (m)]]&lt;4,"lim.","OK")</f>
        <v>lim.</v>
      </c>
      <c r="BH257" s="4" t="str">
        <f>IF(ECF[[#This Row],[Prof. (m)]]&gt;=8*ECF[[#This Row],[Ø (cm)]]/100,"OK","lim.")</f>
        <v>lim.</v>
      </c>
      <c r="BI257" s="4" t="str">
        <f>IF(AND(SPT!$F$3&lt;&gt;"",ECF[[#This Row],[Prof. (m)]]&gt;=SPT!$F$3-2),"lim.","OK")</f>
        <v>OK</v>
      </c>
      <c r="BJ257" s="4" t="str">
        <f ca="1">IF(ECF[[#This Row],[Verif. Biela]]="OK","OK","lim.")</f>
        <v>OK</v>
      </c>
      <c r="BK257" s="4" t="str">
        <f ca="1">IF(COUNTA(ECF[[#This Row],[Nº Est.]:[Biela comp.]])=COUNTIF(ECF[[#This Row],[Nº Est.]:[Biela comp.]],"OK"),"OK","lim.")</f>
        <v>lim.</v>
      </c>
      <c r="BL257" s="4" t="str">
        <f ca="1">IF(ECF[[#This Row],[Controle]]="OK",ECF[[#This Row],[nE]]&amp;" Ø "&amp;ECF[[#This Row],[Ø (cm)]]&amp;" cm, Prof. "&amp;ECF[[#This Row],[Prof. (m)]]&amp;" m","")</f>
        <v/>
      </c>
      <c r="BM257" s="4" t="str">
        <f ca="1">IF(ECF[[#This Row],[idDimensionamento]]="","",ECF[[#This Row],[idPilar]]&amp;ECF[[#This Row],[idDimensionamento]])</f>
        <v/>
      </c>
    </row>
    <row r="258" spans="2:65" x14ac:dyDescent="0.25">
      <c r="B258" s="12">
        <f>ROUNDUP((ROW(ECF[[#This Row],[idDiâmetro]])-ROW(ECF[[#Headers],[idDiâmetro]]))/(COUNT(SPT[Prof. (m)])*COUNT(PILARES[Pilar])),0)</f>
        <v>10</v>
      </c>
      <c r="C258" s="12">
        <f>IF(ECF[[#This Row],[idDiâmetro]]&lt;&gt;B257,1,IF(ECF[[#This Row],[Prof. (m)]]=0,C257+1,C257))</f>
        <v>1</v>
      </c>
      <c r="D258" s="82">
        <f>IFERROR(IF(D257=MAX(SPT[Prof. (m)]),0,D257+1),0)</f>
        <v>1</v>
      </c>
      <c r="E258" s="82">
        <f>INDEX(SPT[],MATCH(ECF[[#This Row],[Prof. (m)]],SPT[Prof. (m)],0),2)</f>
        <v>2</v>
      </c>
      <c r="F258" s="82" t="str">
        <f>INDEX(SPT[],MATCH(ECF[[#This Row],[Prof. (m)]],SPT[Prof. (m)],0),3)</f>
        <v>Areia siltosa</v>
      </c>
      <c r="G258" s="82">
        <f>INDEX(estacas[],ECF[[#This Row],[idDiâmetro]],MATCH($B$2,estacas[#Headers],0))</f>
        <v>200</v>
      </c>
      <c r="H258" s="82">
        <f>INDEX(estacas[],MATCH(ECF[[#This Row],[Ø (cm)]],estacas[Ø ECF (cm)],0),MATCH(ECF[[#Headers],[Pe ECF (kN)]],estacas[#Headers],0))</f>
        <v>12500</v>
      </c>
      <c r="I258" s="4">
        <f>INDEX(K_alpha_C[],MATCH(ECF[[#This Row],[Solo]],K_alpha_C[Solo],0),2)</f>
        <v>0.8</v>
      </c>
      <c r="J258" s="5">
        <f>INDEX(K_alpha_C[],MATCH(ECF[[#This Row],[Solo]],K_alpha_C[Solo],0),3)</f>
        <v>2</v>
      </c>
      <c r="K258" s="4">
        <f>INDEX(F1_F2[],MATCH($D$2,F1_F2[Tipo de estaca],0),2)</f>
        <v>3</v>
      </c>
      <c r="L258" s="4">
        <f>INDEX(F1_F2[],MATCH($D$2,F1_F2[Tipo de estaca],0),3)</f>
        <v>6</v>
      </c>
      <c r="M258" s="4">
        <f>PI()*(ECF[[#This Row],[Ø (cm)]]/100)^2/4</f>
        <v>3.1415926535897931</v>
      </c>
      <c r="N258" s="4">
        <f>PI()*ECF[[#This Row],[Ø (cm)]]/100</f>
        <v>6.2831853071795862</v>
      </c>
      <c r="O258" s="4">
        <f>IF(ECF[[#This Row],[Prof. (m)]]=0,0,ECF[[#This Row],[α (%)]]/100*ECF[[#This Row],[K (MPa)]]*1000*ECF[[#This Row],[NSPT]])</f>
        <v>32</v>
      </c>
      <c r="P258" s="4">
        <f>IF(ECF[[#This Row],[Prof. (m)]]=0,0,(ECF[[#This Row],[K (MPa)]]*1000*ECF[[#This Row],[NSPT]]/ECF[[#This Row],[F1]]*ECF[[#This Row],[Ap (m²)]]+ECF[[#This Row],[U (m)]]/ECF[[#This Row],[F2]]*SUMIFS(ECF[(α∙K∙NL∙ΔL)],ECF[Prof. (m)],"&lt;="&amp;ECF[[#This Row],[Prof. (m)]],ECF[idDiâmetro],ECF[[#This Row],[idDiâmetro]],ECF[idPilar],ECF[[#This Row],[idPilar]]))/'DADOS CAP. CARGA'!$D$2)</f>
        <v>854.51320177642378</v>
      </c>
      <c r="Q258" s="12">
        <f>INDEX(C_alpha_beta[],MATCH(ECF[[#This Row],[Solo]],C_alpha_beta[Solo],0),MATCH(ECF[[#Headers],[C (kPa)]],C_alpha_beta[#Headers],0))</f>
        <v>400</v>
      </c>
      <c r="R258" s="4">
        <f>INDEX(C_alpha_beta[],MATCH(ECF[[#This Row],[Solo]],C_alpha_beta[Solo],0),MATCH(ECF[[#Headers],[α ESF]],C_alpha_beta[#Headers],0))</f>
        <v>0.5</v>
      </c>
      <c r="S258" s="4">
        <f>INDEX(C_alpha_beta[],MATCH(ECF[[#This Row],[Solo]],C_alpha_beta[Solo],0),MATCH(ECF[[#Headers],[β ESF]],C_alpha_beta[#Headers],0))</f>
        <v>0.5</v>
      </c>
      <c r="T258" s="4">
        <f>IF(ECF[[#This Row],[Prof. (m)]]=0,0,10*(ECF[[#This Row],[NSPT]]/3+1))</f>
        <v>16.666666666666664</v>
      </c>
      <c r="U258" s="4">
        <f>(ECF[[#This Row],[α ESF]]*ECF[[#This Row],[C (kPa)]]*ECF[[#This Row],[NSPT]]*ECF[[#This Row],[Ap (m²)]])/'DADOS CAP. CARGA'!$Q$2+(ECF[[#This Row],[β ESF]]*SUMIFS(ECF[10∙(NL/3+1)],ECF[Prof. (m)],"&lt;="&amp;ECF[[#This Row],[Prof. (m)]],ECF[idDiâmetro],ECF[[#This Row],[idDiâmetro]],ECF[idPilar],ECF[[#This Row],[idPilar]])*ECF[[#This Row],[U (m)]])/'DADOS CAP. CARGA'!$S$2</f>
        <v>340.33920413889427</v>
      </c>
      <c r="V258" s="4">
        <f>IF(SPT!$M$5=1,MIN(ECF[[#This Row],[Pe ECF (kN)]],ECF[[#This Row],[R_AV (kN)]]),IF(SPT!$M$5=2,MIN(ECF[[#This Row],[Pe ECF (kN)]],ECF[[#This Row],[R_DC (kN)]]),MIN(ECF[[#This Row],[Pe ECF (kN)]],ECF[[#This Row],[R_AV (kN)]],ECF[[#This Row],[R_DC (kN)]])))</f>
        <v>340.33920413889427</v>
      </c>
      <c r="W258" s="4">
        <f>INDEX(PILARES[],ECF[[#This Row],[idPilar]],MATCH("Carga (kN)",PILARES[#Headers],0))*1.4</f>
        <v>3500</v>
      </c>
      <c r="X258" s="12">
        <f>INDEX(PILARES[],ECF[[#This Row],[idPilar]],MATCH(ECF[[#Headers],[ap (cm)]],PILARES[#Headers],0))</f>
        <v>60</v>
      </c>
      <c r="Y258" s="12">
        <f>INDEX(PILARES[],ECF[[#This Row],[idPilar]],MATCH(ECF[[#Headers],[bp (cm)]],PILARES[#Headers],0))</f>
        <v>60</v>
      </c>
      <c r="Z258" s="4">
        <f>SQRT(ECF[[#This Row],[ap (cm)]]*ECF[[#This Row],[bp (cm)]])</f>
        <v>60</v>
      </c>
      <c r="AA258" s="12">
        <f>ECF[[#This Row],[ap (cm)]]*ECF[[#This Row],[bp (cm)]]</f>
        <v>3600</v>
      </c>
      <c r="AB258" s="12">
        <f ca="1">IF(ECF[[#This Row],[Padm∙ε (kN)]]&gt;=ECF[[#This Row],[Padm (kN)]],ROUNDUP(1.05*ECF[[#This Row],[Nsd (kN)]]/ECF[[#This Row],[Padm (kN)]],0),ROUNDUP(1.05*ECF[[#This Row],[Nsd (kN)]]/ECF[[#This Row],[Padm (kN)]],0)+1)</f>
        <v>11</v>
      </c>
      <c r="AC258" s="4" t="str">
        <f ca="1">IFERROR(IF(ECF[[#This Row],[nE]]=1,ECF[[#This Row],[Padm (kN)]],ECF[[#This Row],[Padm (kN)]]*ECF[[#This Row],[nE]]*INDEX(grupoEstacas[],ECF[[#This Row],[nE]],MATCH("ε",grupoEstacas[#Headers],0))),"N.S.")</f>
        <v>N.S.</v>
      </c>
      <c r="AD258" s="4">
        <f ca="1">1.05*ECF[[#This Row],[Nsd (kN)]]/(ECF[[#This Row],[nE]]*PI()*ECF[[#This Row],[Ø (cm)]]^2/4)*10</f>
        <v>0.10634443924776643</v>
      </c>
      <c r="AE258" s="4">
        <f ca="1">IF(ECF[[#This Row],[σ (MPa)]]&lt;INDEX(tipoEstaca[],MATCH($D$2,tipoEstaca[TIPO DE ESTACA],0),MATCH("σmáx (MPa)",tipoEstaca[#Headers],0)),0.4%*PI()*ECF[[#This Row],[Ø (cm)]]^2/4,"N.S.")</f>
        <v>125.66370614359174</v>
      </c>
      <c r="AF258" s="82">
        <f>INDEX(tipoEstaca[],MATCH($D$2,tipoEstaca[TIPO DE ESTACA],0),MATCH(ECF[[#Headers],[Comprimento (m)]],tipoEstaca[#Headers],0))</f>
        <v>4</v>
      </c>
      <c r="AG258" s="5">
        <f ca="1">ECF[[#This Row],[As,mín (cm²)]]/100^2*ECF[[#This Row],[Comprimento (m)]]*7850</f>
        <v>394.58403729087803</v>
      </c>
      <c r="AH258" s="4">
        <f ca="1">ECF[[#This Row],[nE]]*ECF[[#This Row],[Prof. (m)]]*ECF[[#This Row],[Ap (m²)]]</f>
        <v>34.557519189487721</v>
      </c>
      <c r="AI258" s="82">
        <f ca="1">IF(ECF[[#This Row],[nE]]=1,0,MAX(3*ECF[[#This Row],[Ø (cm)]],60))</f>
        <v>600</v>
      </c>
      <c r="AJ258" s="82">
        <f ca="1">IF(ECF[[#This Row],[nE]]=1,ECF[[#This Row],[Ø (cm)]]+2*10,MAX(1.5*ECF[[#This Row],[Ø (cm)]],ECF[[#This Row],[Ø (cm)]]+15))</f>
        <v>300</v>
      </c>
      <c r="AK258" s="82" t="str">
        <f ca="1">alturaUtil(ECF[[#This Row],[nE]],ECF[[#This Row],[Ø (cm)]],ECF[[#This Row],[e (cm)]],ECF[[#This Row],[ap,eq (cm)]])</f>
        <v>N.S.</v>
      </c>
      <c r="AL258" s="82" t="str">
        <f ca="1">IFERROR(ECF[[#This Row],[d (cm)]]+arredondarParaCimaMultiplo5cm(MAX(5,SQRT(PI())/2*ECF[[#This Row],[Ø (cm)]]/5)),"N.S.")</f>
        <v>N.S.</v>
      </c>
      <c r="AM258" s="5" t="str">
        <f ca="1">alpha(ECF[[#This Row],[nE]],ECF[[#This Row],[d (cm)]],ECF[[#This Row],[e (cm)]],ECF[[#This Row],[ap,eq (cm)]])</f>
        <v>N.S.</v>
      </c>
      <c r="AN258" s="35" t="str">
        <f ca="1">IFERROR(ECF[[#This Row],[Nsd (kN)]]/(ECF[[#This Row],[Ap (cm²)]]*SIN(ECF[[#This Row],[α]])^2),"N.S.")</f>
        <v>N.S.</v>
      </c>
      <c r="AO258" s="35" t="str">
        <f ca="1">IFERROR(ECF[[#This Row],[Nsd (kN)]]/(ECF[[#This Row],[nE]]*PI()*ECF[[#This Row],[Ø (cm)]]^2/4*SIN(ECF[[#This Row],[α]])^2),"N.S.")</f>
        <v>N.S.</v>
      </c>
      <c r="AP258" s="4" t="str">
        <f ca="1">IFERROR(INDEX(grupoEstacas[],ECF[[#This Row],[nE]],MATCH("coef. Blévot",grupoEstacas[#Headers],0)),"N.S.")</f>
        <v>N.S.</v>
      </c>
      <c r="AQ258" s="35" t="str">
        <f ca="1">IFERROR(ECF[[#This Row],[coef. Blévot]]*0.9*INDEX(tipoEstaca[],MATCH($D$2,tipoEstaca[TIPO DE ESTACA],0),MATCH("fcd (kN/cm²)",tipoEstaca[#Headers],0)),"N.S.")</f>
        <v>N.S.</v>
      </c>
      <c r="AR258" s="82" t="str">
        <f ca="1">IF(AND(ECF[[#This Row],[cd,b,pil (kN/cm²)]]&lt;=ECF[[#This Row],[cd,b,lim (kN/cm²)]],ECF[[#This Row],[cd,b,est (kN/cm²)]]&lt;=ECF[[#This Row],[cd,b,lim (kN/cm²)]]),"OK","ERRO")</f>
        <v>OK</v>
      </c>
      <c r="AS258" s="4" t="str">
        <f ca="1">As_lado(ECF[[#This Row],[nE]],ECF[[#This Row],[Nsd (kN)]],ECF[[#This Row],[d (cm)]],ECF[[#This Row],[e (cm)]],ECF[[#This Row],[ap,eq (cm)]])</f>
        <v>N.S.</v>
      </c>
      <c r="AT258" s="4" t="str">
        <f ca="1">IF(ECF[[#This Row],[nE]]=1,ECF[[#This Row],[As,lado (cm²)]],IF(ECF[[#This Row],[nE]]=2,0.075*2*ECF[a (cm)],"N.A."))</f>
        <v>N.A.</v>
      </c>
      <c r="AU258" s="4" t="str">
        <f ca="1">IFERROR(IF(ECF[[#This Row],[nE]]=1,"N.A.",0.2*ECF[[#This Row],[As,lado (cm²)]]),"N.S.")</f>
        <v>N.S.</v>
      </c>
      <c r="AV258" s="4" t="str">
        <f ca="1">As_malha(ECF[[#This Row],[nE]],ECF[[#This Row],[As,lado (cm²)]],ECF[[#This Row],[Nsd (kN)]])</f>
        <v>N.S.</v>
      </c>
      <c r="AW258" s="4" t="str">
        <f ca="1">As_susp_tot(ECF[[#This Row],[nE]],ECF[[#This Row],[Nsd (kN)]])</f>
        <v>N.S.</v>
      </c>
      <c r="AX258" s="4" t="str">
        <f ca="1">Asp_face(ECF[[#This Row],[nE]],ECF[[#This Row],[As,lado (cm²)]])</f>
        <v>N.S.</v>
      </c>
      <c r="AY258" s="5" t="str">
        <f ca="1">acoBloco(ECF[[#This Row],[nE]],ECF[[#This Row],[e (cm)]],ECF[[#This Row],[a (cm)]],ECF[[#This Row],[h (cm)]],ECF[[#This Row],[As,lado (cm²)]],ECF[[#This Row],[Asp e Asw (cm²/m)]],ECF[[#This Row],[As,sup (cm²)]],ECF[[#This Row],[As,malha (cm²)]],ECF[[#This Row],[As,susp,tot (cm²)]],ECF[[#This Row],[Asp,face (cm²)]])</f>
        <v>N.S.</v>
      </c>
      <c r="AZ258" s="4" t="str">
        <f ca="1">concretoBloco(ECF[[#This Row],[nE]],ECF[[#This Row],[e (cm)]],ECF[[#This Row],[a (cm)]],ECF[[#This Row],[h (cm)]])</f>
        <v>N.S.</v>
      </c>
      <c r="BA258" s="5">
        <f ca="1">SUM(ECF[[#This Row],[Aço Est (kg)]],ECF[[#This Row],[Aço Bloco (kg)]])</f>
        <v>394.58403729087803</v>
      </c>
      <c r="BB258" s="4">
        <f>INDEX(composicoes[],MATCH(95580,composicoes[CÓDIGO],0),MATCH("CUSTO TOTAL",composicoes[#Headers],0))</f>
        <v>10.46</v>
      </c>
      <c r="BC258" s="4">
        <f ca="1">SUM(ECF[[#This Row],[Conc Est (m³)]],ECF[[#This Row],[Conc Bloco (m³)]])</f>
        <v>34.557519189487721</v>
      </c>
      <c r="BD258" s="4">
        <f>INDEX(composicoes[],MATCH(94966,composicoes[CÓDIGO],0),MATCH("CUSTO TOTAL",composicoes[#Headers],0))</f>
        <v>439.52</v>
      </c>
      <c r="BE258" s="38">
        <f ca="1">ECF[[#This Row],[Aço (kg)]]*ECF[[#This Row],[Aço (R$/kg)]]+ECF[[#This Row],[Conc (m³)]]*ECF[[#This Row],[Conc (R$/m³)]]</f>
        <v>19316.069864226225</v>
      </c>
      <c r="BF258" s="4" t="str">
        <f ca="1">IF(COUNTIF(ECF[#This Row],"N.S.")&gt;0,"lim.","OK")</f>
        <v>lim.</v>
      </c>
      <c r="BG258" s="4" t="str">
        <f>IF(ECF[[#This Row],[Prof. (m)]]&lt;4,"lim.","OK")</f>
        <v>lim.</v>
      </c>
      <c r="BH258" s="4" t="str">
        <f>IF(ECF[[#This Row],[Prof. (m)]]&gt;=8*ECF[[#This Row],[Ø (cm)]]/100,"OK","lim.")</f>
        <v>lim.</v>
      </c>
      <c r="BI258" s="4" t="str">
        <f>IF(AND(SPT!$F$3&lt;&gt;"",ECF[[#This Row],[Prof. (m)]]&gt;=SPT!$F$3-2),"lim.","OK")</f>
        <v>OK</v>
      </c>
      <c r="BJ258" s="4" t="str">
        <f ca="1">IF(ECF[[#This Row],[Verif. Biela]]="OK","OK","lim.")</f>
        <v>OK</v>
      </c>
      <c r="BK258" s="4" t="str">
        <f ca="1">IF(COUNTA(ECF[[#This Row],[Nº Est.]:[Biela comp.]])=COUNTIF(ECF[[#This Row],[Nº Est.]:[Biela comp.]],"OK"),"OK","lim.")</f>
        <v>lim.</v>
      </c>
      <c r="BL258" s="4" t="str">
        <f ca="1">IF(ECF[[#This Row],[Controle]]="OK",ECF[[#This Row],[nE]]&amp;" Ø "&amp;ECF[[#This Row],[Ø (cm)]]&amp;" cm, Prof. "&amp;ECF[[#This Row],[Prof. (m)]]&amp;" m","")</f>
        <v/>
      </c>
      <c r="BM258" s="4" t="str">
        <f ca="1">IF(ECF[[#This Row],[idDimensionamento]]="","",ECF[[#This Row],[idPilar]]&amp;ECF[[#This Row],[idDimensionamento]])</f>
        <v/>
      </c>
    </row>
    <row r="259" spans="2:65" x14ac:dyDescent="0.25">
      <c r="B259" s="12">
        <f>ROUNDUP((ROW(ECF[[#This Row],[idDiâmetro]])-ROW(ECF[[#Headers],[idDiâmetro]]))/(COUNT(SPT[Prof. (m)])*COUNT(PILARES[Pilar])),0)</f>
        <v>10</v>
      </c>
      <c r="C259" s="12">
        <f>IF(ECF[[#This Row],[idDiâmetro]]&lt;&gt;B258,1,IF(ECF[[#This Row],[Prof. (m)]]=0,C258+1,C258))</f>
        <v>1</v>
      </c>
      <c r="D259" s="82">
        <f>IFERROR(IF(D258=MAX(SPT[Prof. (m)]),0,D258+1),0)</f>
        <v>2</v>
      </c>
      <c r="E259" s="82">
        <f>INDEX(SPT[],MATCH(ECF[[#This Row],[Prof. (m)]],SPT[Prof. (m)],0),2)</f>
        <v>2</v>
      </c>
      <c r="F259" s="82" t="str">
        <f>INDEX(SPT[],MATCH(ECF[[#This Row],[Prof. (m)]],SPT[Prof. (m)],0),3)</f>
        <v>Areia siltosa</v>
      </c>
      <c r="G259" s="82">
        <f>INDEX(estacas[],ECF[[#This Row],[idDiâmetro]],MATCH($B$2,estacas[#Headers],0))</f>
        <v>200</v>
      </c>
      <c r="H259" s="82">
        <f>INDEX(estacas[],MATCH(ECF[[#This Row],[Ø (cm)]],estacas[Ø ECF (cm)],0),MATCH(ECF[[#Headers],[Pe ECF (kN)]],estacas[#Headers],0))</f>
        <v>12500</v>
      </c>
      <c r="I259" s="4">
        <f>INDEX(K_alpha_C[],MATCH(ECF[[#This Row],[Solo]],K_alpha_C[Solo],0),2)</f>
        <v>0.8</v>
      </c>
      <c r="J259" s="5">
        <f>INDEX(K_alpha_C[],MATCH(ECF[[#This Row],[Solo]],K_alpha_C[Solo],0),3)</f>
        <v>2</v>
      </c>
      <c r="K259" s="4">
        <f>INDEX(F1_F2[],MATCH($D$2,F1_F2[Tipo de estaca],0),2)</f>
        <v>3</v>
      </c>
      <c r="L259" s="4">
        <f>INDEX(F1_F2[],MATCH($D$2,F1_F2[Tipo de estaca],0),3)</f>
        <v>6</v>
      </c>
      <c r="M259" s="4">
        <f>PI()*(ECF[[#This Row],[Ø (cm)]]/100)^2/4</f>
        <v>3.1415926535897931</v>
      </c>
      <c r="N259" s="4">
        <f>PI()*ECF[[#This Row],[Ø (cm)]]/100</f>
        <v>6.2831853071795862</v>
      </c>
      <c r="O259" s="4">
        <f>IF(ECF[[#This Row],[Prof. (m)]]=0,0,ECF[[#This Row],[α (%)]]/100*ECF[[#This Row],[K (MPa)]]*1000*ECF[[#This Row],[NSPT]])</f>
        <v>32</v>
      </c>
      <c r="P259" s="4">
        <f>IF(ECF[[#This Row],[Prof. (m)]]=0,0,(ECF[[#This Row],[K (MPa)]]*1000*ECF[[#This Row],[NSPT]]/ECF[[#This Row],[F1]]*ECF[[#This Row],[Ap (m²)]]+ECF[[#This Row],[U (m)]]/ECF[[#This Row],[F2]]*SUMIFS(ECF[(α∙K∙NL∙ΔL)],ECF[Prof. (m)],"&lt;="&amp;ECF[[#This Row],[Prof. (m)]],ECF[idDiâmetro],ECF[[#This Row],[idDiâmetro]],ECF[idPilar],ECF[[#This Row],[idPilar]]))/'DADOS CAP. CARGA'!$D$2)</f>
        <v>871.26836259556933</v>
      </c>
      <c r="Q259" s="12">
        <f>INDEX(C_alpha_beta[],MATCH(ECF[[#This Row],[Solo]],C_alpha_beta[Solo],0),MATCH(ECF[[#Headers],[C (kPa)]],C_alpha_beta[#Headers],0))</f>
        <v>400</v>
      </c>
      <c r="R259" s="4">
        <f>INDEX(C_alpha_beta[],MATCH(ECF[[#This Row],[Solo]],C_alpha_beta[Solo],0),MATCH(ECF[[#Headers],[α ESF]],C_alpha_beta[#Headers],0))</f>
        <v>0.5</v>
      </c>
      <c r="S259" s="4">
        <f>INDEX(C_alpha_beta[],MATCH(ECF[[#This Row],[Solo]],C_alpha_beta[Solo],0),MATCH(ECF[[#Headers],[β ESF]],C_alpha_beta[#Headers],0))</f>
        <v>0.5</v>
      </c>
      <c r="T259" s="4">
        <f>IF(ECF[[#This Row],[Prof. (m)]]=0,0,10*(ECF[[#This Row],[NSPT]]/3+1))</f>
        <v>16.666666666666664</v>
      </c>
      <c r="U259" s="4">
        <f>(ECF[[#This Row],[α ESF]]*ECF[[#This Row],[C (kPa)]]*ECF[[#This Row],[NSPT]]*ECF[[#This Row],[Ap (m²)]])/'DADOS CAP. CARGA'!$Q$2+(ECF[[#This Row],[β ESF]]*SUMIFS(ECF[10∙(NL/3+1)],ECF[Prof. (m)],"&lt;="&amp;ECF[[#This Row],[Prof. (m)]],ECF[idDiâmetro],ECF[[#This Row],[idDiâmetro]],ECF[idPilar],ECF[[#This Row],[idPilar]])*ECF[[#This Row],[U (m)]])/'DADOS CAP. CARGA'!$S$2</f>
        <v>366.51914291880922</v>
      </c>
      <c r="V259" s="4">
        <f>IF(SPT!$M$5=1,MIN(ECF[[#This Row],[Pe ECF (kN)]],ECF[[#This Row],[R_AV (kN)]]),IF(SPT!$M$5=2,MIN(ECF[[#This Row],[Pe ECF (kN)]],ECF[[#This Row],[R_DC (kN)]]),MIN(ECF[[#This Row],[Pe ECF (kN)]],ECF[[#This Row],[R_AV (kN)]],ECF[[#This Row],[R_DC (kN)]])))</f>
        <v>366.51914291880922</v>
      </c>
      <c r="W259" s="4">
        <f>INDEX(PILARES[],ECF[[#This Row],[idPilar]],MATCH("Carga (kN)",PILARES[#Headers],0))*1.4</f>
        <v>3500</v>
      </c>
      <c r="X259" s="12">
        <f>INDEX(PILARES[],ECF[[#This Row],[idPilar]],MATCH(ECF[[#Headers],[ap (cm)]],PILARES[#Headers],0))</f>
        <v>60</v>
      </c>
      <c r="Y259" s="12">
        <f>INDEX(PILARES[],ECF[[#This Row],[idPilar]],MATCH(ECF[[#Headers],[bp (cm)]],PILARES[#Headers],0))</f>
        <v>60</v>
      </c>
      <c r="Z259" s="4">
        <f>SQRT(ECF[[#This Row],[ap (cm)]]*ECF[[#This Row],[bp (cm)]])</f>
        <v>60</v>
      </c>
      <c r="AA259" s="12">
        <f>ECF[[#This Row],[ap (cm)]]*ECF[[#This Row],[bp (cm)]]</f>
        <v>3600</v>
      </c>
      <c r="AB259" s="12">
        <f ca="1">IF(ECF[[#This Row],[Padm∙ε (kN)]]&gt;=ECF[[#This Row],[Padm (kN)]],ROUNDUP(1.05*ECF[[#This Row],[Nsd (kN)]]/ECF[[#This Row],[Padm (kN)]],0),ROUNDUP(1.05*ECF[[#This Row],[Nsd (kN)]]/ECF[[#This Row],[Padm (kN)]],0)+1)</f>
        <v>11</v>
      </c>
      <c r="AC259" s="4" t="str">
        <f ca="1">IFERROR(IF(ECF[[#This Row],[nE]]=1,ECF[[#This Row],[Padm (kN)]],ECF[[#This Row],[Padm (kN)]]*ECF[[#This Row],[nE]]*INDEX(grupoEstacas[],ECF[[#This Row],[nE]],MATCH("ε",grupoEstacas[#Headers],0))),"N.S.")</f>
        <v>N.S.</v>
      </c>
      <c r="AD259" s="4">
        <f ca="1">1.05*ECF[[#This Row],[Nsd (kN)]]/(ECF[[#This Row],[nE]]*PI()*ECF[[#This Row],[Ø (cm)]]^2/4)*10</f>
        <v>0.10634443924776643</v>
      </c>
      <c r="AE259" s="4">
        <f ca="1">IF(ECF[[#This Row],[σ (MPa)]]&lt;INDEX(tipoEstaca[],MATCH($D$2,tipoEstaca[TIPO DE ESTACA],0),MATCH("σmáx (MPa)",tipoEstaca[#Headers],0)),0.4%*PI()*ECF[[#This Row],[Ø (cm)]]^2/4,"N.S.")</f>
        <v>125.66370614359174</v>
      </c>
      <c r="AF259" s="82">
        <f>INDEX(tipoEstaca[],MATCH($D$2,tipoEstaca[TIPO DE ESTACA],0),MATCH(ECF[[#Headers],[Comprimento (m)]],tipoEstaca[#Headers],0))</f>
        <v>4</v>
      </c>
      <c r="AG259" s="5">
        <f ca="1">ECF[[#This Row],[As,mín (cm²)]]/100^2*ECF[[#This Row],[Comprimento (m)]]*7850</f>
        <v>394.58403729087803</v>
      </c>
      <c r="AH259" s="4">
        <f ca="1">ECF[[#This Row],[nE]]*ECF[[#This Row],[Prof. (m)]]*ECF[[#This Row],[Ap (m²)]]</f>
        <v>69.115038378975441</v>
      </c>
      <c r="AI259" s="82">
        <f ca="1">IF(ECF[[#This Row],[nE]]=1,0,MAX(3*ECF[[#This Row],[Ø (cm)]],60))</f>
        <v>600</v>
      </c>
      <c r="AJ259" s="82">
        <f ca="1">IF(ECF[[#This Row],[nE]]=1,ECF[[#This Row],[Ø (cm)]]+2*10,MAX(1.5*ECF[[#This Row],[Ø (cm)]],ECF[[#This Row],[Ø (cm)]]+15))</f>
        <v>300</v>
      </c>
      <c r="AK259" s="82" t="str">
        <f ca="1">alturaUtil(ECF[[#This Row],[nE]],ECF[[#This Row],[Ø (cm)]],ECF[[#This Row],[e (cm)]],ECF[[#This Row],[ap,eq (cm)]])</f>
        <v>N.S.</v>
      </c>
      <c r="AL259" s="82" t="str">
        <f ca="1">IFERROR(ECF[[#This Row],[d (cm)]]+arredondarParaCimaMultiplo5cm(MAX(5,SQRT(PI())/2*ECF[[#This Row],[Ø (cm)]]/5)),"N.S.")</f>
        <v>N.S.</v>
      </c>
      <c r="AM259" s="5" t="str">
        <f ca="1">alpha(ECF[[#This Row],[nE]],ECF[[#This Row],[d (cm)]],ECF[[#This Row],[e (cm)]],ECF[[#This Row],[ap,eq (cm)]])</f>
        <v>N.S.</v>
      </c>
      <c r="AN259" s="35" t="str">
        <f ca="1">IFERROR(ECF[[#This Row],[Nsd (kN)]]/(ECF[[#This Row],[Ap (cm²)]]*SIN(ECF[[#This Row],[α]])^2),"N.S.")</f>
        <v>N.S.</v>
      </c>
      <c r="AO259" s="35" t="str">
        <f ca="1">IFERROR(ECF[[#This Row],[Nsd (kN)]]/(ECF[[#This Row],[nE]]*PI()*ECF[[#This Row],[Ø (cm)]]^2/4*SIN(ECF[[#This Row],[α]])^2),"N.S.")</f>
        <v>N.S.</v>
      </c>
      <c r="AP259" s="4" t="str">
        <f ca="1">IFERROR(INDEX(grupoEstacas[],ECF[[#This Row],[nE]],MATCH("coef. Blévot",grupoEstacas[#Headers],0)),"N.S.")</f>
        <v>N.S.</v>
      </c>
      <c r="AQ259" s="35" t="str">
        <f ca="1">IFERROR(ECF[[#This Row],[coef. Blévot]]*0.9*INDEX(tipoEstaca[],MATCH($D$2,tipoEstaca[TIPO DE ESTACA],0),MATCH("fcd (kN/cm²)",tipoEstaca[#Headers],0)),"N.S.")</f>
        <v>N.S.</v>
      </c>
      <c r="AR259" s="82" t="str">
        <f ca="1">IF(AND(ECF[[#This Row],[cd,b,pil (kN/cm²)]]&lt;=ECF[[#This Row],[cd,b,lim (kN/cm²)]],ECF[[#This Row],[cd,b,est (kN/cm²)]]&lt;=ECF[[#This Row],[cd,b,lim (kN/cm²)]]),"OK","ERRO")</f>
        <v>OK</v>
      </c>
      <c r="AS259" s="4" t="str">
        <f ca="1">As_lado(ECF[[#This Row],[nE]],ECF[[#This Row],[Nsd (kN)]],ECF[[#This Row],[d (cm)]],ECF[[#This Row],[e (cm)]],ECF[[#This Row],[ap,eq (cm)]])</f>
        <v>N.S.</v>
      </c>
      <c r="AT259" s="4" t="str">
        <f ca="1">IF(ECF[[#This Row],[nE]]=1,ECF[[#This Row],[As,lado (cm²)]],IF(ECF[[#This Row],[nE]]=2,0.075*2*ECF[a (cm)],"N.A."))</f>
        <v>N.A.</v>
      </c>
      <c r="AU259" s="4" t="str">
        <f ca="1">IFERROR(IF(ECF[[#This Row],[nE]]=1,"N.A.",0.2*ECF[[#This Row],[As,lado (cm²)]]),"N.S.")</f>
        <v>N.S.</v>
      </c>
      <c r="AV259" s="4" t="str">
        <f ca="1">As_malha(ECF[[#This Row],[nE]],ECF[[#This Row],[As,lado (cm²)]],ECF[[#This Row],[Nsd (kN)]])</f>
        <v>N.S.</v>
      </c>
      <c r="AW259" s="4" t="str">
        <f ca="1">As_susp_tot(ECF[[#This Row],[nE]],ECF[[#This Row],[Nsd (kN)]])</f>
        <v>N.S.</v>
      </c>
      <c r="AX259" s="4" t="str">
        <f ca="1">Asp_face(ECF[[#This Row],[nE]],ECF[[#This Row],[As,lado (cm²)]])</f>
        <v>N.S.</v>
      </c>
      <c r="AY259" s="5" t="str">
        <f ca="1">acoBloco(ECF[[#This Row],[nE]],ECF[[#This Row],[e (cm)]],ECF[[#This Row],[a (cm)]],ECF[[#This Row],[h (cm)]],ECF[[#This Row],[As,lado (cm²)]],ECF[[#This Row],[Asp e Asw (cm²/m)]],ECF[[#This Row],[As,sup (cm²)]],ECF[[#This Row],[As,malha (cm²)]],ECF[[#This Row],[As,susp,tot (cm²)]],ECF[[#This Row],[Asp,face (cm²)]])</f>
        <v>N.S.</v>
      </c>
      <c r="AZ259" s="4" t="str">
        <f ca="1">concretoBloco(ECF[[#This Row],[nE]],ECF[[#This Row],[e (cm)]],ECF[[#This Row],[a (cm)]],ECF[[#This Row],[h (cm)]])</f>
        <v>N.S.</v>
      </c>
      <c r="BA259" s="5">
        <f ca="1">SUM(ECF[[#This Row],[Aço Est (kg)]],ECF[[#This Row],[Aço Bloco (kg)]])</f>
        <v>394.58403729087803</v>
      </c>
      <c r="BB259" s="4">
        <f>INDEX(composicoes[],MATCH(95580,composicoes[CÓDIGO],0),MATCH("CUSTO TOTAL",composicoes[#Headers],0))</f>
        <v>10.46</v>
      </c>
      <c r="BC259" s="4">
        <f ca="1">SUM(ECF[[#This Row],[Conc Est (m³)]],ECF[[#This Row],[Conc Bloco (m³)]])</f>
        <v>69.115038378975441</v>
      </c>
      <c r="BD259" s="4">
        <f>INDEX(composicoes[],MATCH(94966,composicoes[CÓDIGO],0),MATCH("CUSTO TOTAL",composicoes[#Headers],0))</f>
        <v>439.52</v>
      </c>
      <c r="BE259" s="38">
        <f ca="1">ECF[[#This Row],[Aço (kg)]]*ECF[[#This Row],[Aço (R$/kg)]]+ECF[[#This Row],[Conc (m³)]]*ECF[[#This Row],[Conc (R$/m³)]]</f>
        <v>34504.790698389865</v>
      </c>
      <c r="BF259" s="4" t="str">
        <f ca="1">IF(COUNTIF(ECF[#This Row],"N.S.")&gt;0,"lim.","OK")</f>
        <v>lim.</v>
      </c>
      <c r="BG259" s="4" t="str">
        <f>IF(ECF[[#This Row],[Prof. (m)]]&lt;4,"lim.","OK")</f>
        <v>lim.</v>
      </c>
      <c r="BH259" s="4" t="str">
        <f>IF(ECF[[#This Row],[Prof. (m)]]&gt;=8*ECF[[#This Row],[Ø (cm)]]/100,"OK","lim.")</f>
        <v>lim.</v>
      </c>
      <c r="BI259" s="4" t="str">
        <f>IF(AND(SPT!$F$3&lt;&gt;"",ECF[[#This Row],[Prof. (m)]]&gt;=SPT!$F$3-2),"lim.","OK")</f>
        <v>OK</v>
      </c>
      <c r="BJ259" s="4" t="str">
        <f ca="1">IF(ECF[[#This Row],[Verif. Biela]]="OK","OK","lim.")</f>
        <v>OK</v>
      </c>
      <c r="BK259" s="4" t="str">
        <f ca="1">IF(COUNTA(ECF[[#This Row],[Nº Est.]:[Biela comp.]])=COUNTIF(ECF[[#This Row],[Nº Est.]:[Biela comp.]],"OK"),"OK","lim.")</f>
        <v>lim.</v>
      </c>
      <c r="BL259" s="4" t="str">
        <f ca="1">IF(ECF[[#This Row],[Controle]]="OK",ECF[[#This Row],[nE]]&amp;" Ø "&amp;ECF[[#This Row],[Ø (cm)]]&amp;" cm, Prof. "&amp;ECF[[#This Row],[Prof. (m)]]&amp;" m","")</f>
        <v/>
      </c>
      <c r="BM259" s="4" t="str">
        <f ca="1">IF(ECF[[#This Row],[idDimensionamento]]="","",ECF[[#This Row],[idPilar]]&amp;ECF[[#This Row],[idDimensionamento]])</f>
        <v/>
      </c>
    </row>
    <row r="260" spans="2:65" x14ac:dyDescent="0.25">
      <c r="B260" s="12">
        <f>ROUNDUP((ROW(ECF[[#This Row],[idDiâmetro]])-ROW(ECF[[#Headers],[idDiâmetro]]))/(COUNT(SPT[Prof. (m)])*COUNT(PILARES[Pilar])),0)</f>
        <v>10</v>
      </c>
      <c r="C260" s="12">
        <f>IF(ECF[[#This Row],[idDiâmetro]]&lt;&gt;B259,1,IF(ECF[[#This Row],[Prof. (m)]]=0,C259+1,C259))</f>
        <v>1</v>
      </c>
      <c r="D260" s="82">
        <f>IFERROR(IF(D259=MAX(SPT[Prof. (m)]),0,D259+1),0)</f>
        <v>3</v>
      </c>
      <c r="E260" s="82">
        <f>INDEX(SPT[],MATCH(ECF[[#This Row],[Prof. (m)]],SPT[Prof. (m)],0),2)</f>
        <v>4</v>
      </c>
      <c r="F260" s="82" t="str">
        <f>INDEX(SPT[],MATCH(ECF[[#This Row],[Prof. (m)]],SPT[Prof. (m)],0),3)</f>
        <v>Areia siltosa</v>
      </c>
      <c r="G260" s="82">
        <f>INDEX(estacas[],ECF[[#This Row],[idDiâmetro]],MATCH($B$2,estacas[#Headers],0))</f>
        <v>200</v>
      </c>
      <c r="H260" s="82">
        <f>INDEX(estacas[],MATCH(ECF[[#This Row],[Ø (cm)]],estacas[Ø ECF (cm)],0),MATCH(ECF[[#Headers],[Pe ECF (kN)]],estacas[#Headers],0))</f>
        <v>12500</v>
      </c>
      <c r="I260" s="4">
        <f>INDEX(K_alpha_C[],MATCH(ECF[[#This Row],[Solo]],K_alpha_C[Solo],0),2)</f>
        <v>0.8</v>
      </c>
      <c r="J260" s="5">
        <f>INDEX(K_alpha_C[],MATCH(ECF[[#This Row],[Solo]],K_alpha_C[Solo],0),3)</f>
        <v>2</v>
      </c>
      <c r="K260" s="4">
        <f>INDEX(F1_F2[],MATCH($D$2,F1_F2[Tipo de estaca],0),2)</f>
        <v>3</v>
      </c>
      <c r="L260" s="4">
        <f>INDEX(F1_F2[],MATCH($D$2,F1_F2[Tipo de estaca],0),3)</f>
        <v>6</v>
      </c>
      <c r="M260" s="4">
        <f>PI()*(ECF[[#This Row],[Ø (cm)]]/100)^2/4</f>
        <v>3.1415926535897931</v>
      </c>
      <c r="N260" s="4">
        <f>PI()*ECF[[#This Row],[Ø (cm)]]/100</f>
        <v>6.2831853071795862</v>
      </c>
      <c r="O260" s="4">
        <f>IF(ECF[[#This Row],[Prof. (m)]]=0,0,ECF[[#This Row],[α (%)]]/100*ECF[[#This Row],[K (MPa)]]*1000*ECF[[#This Row],[NSPT]])</f>
        <v>64</v>
      </c>
      <c r="P260" s="4">
        <f>IF(ECF[[#This Row],[Prof. (m)]]=0,0,(ECF[[#This Row],[K (MPa)]]*1000*ECF[[#This Row],[NSPT]]/ECF[[#This Row],[F1]]*ECF[[#This Row],[Ap (m²)]]+ECF[[#This Row],[U (m)]]/ECF[[#This Row],[F2]]*SUMIFS(ECF[(α∙K∙NL∙ΔL)],ECF[Prof. (m)],"&lt;="&amp;ECF[[#This Row],[Prof. (m)]],ECF[idDiâmetro],ECF[[#This Row],[idDiâmetro]],ECF[idPilar],ECF[[#This Row],[idPilar]]))/'DADOS CAP. CARGA'!$D$2)</f>
        <v>1742.5367251911387</v>
      </c>
      <c r="Q260" s="12">
        <f>INDEX(C_alpha_beta[],MATCH(ECF[[#This Row],[Solo]],C_alpha_beta[Solo],0),MATCH(ECF[[#Headers],[C (kPa)]],C_alpha_beta[#Headers],0))</f>
        <v>400</v>
      </c>
      <c r="R260" s="4">
        <f>INDEX(C_alpha_beta[],MATCH(ECF[[#This Row],[Solo]],C_alpha_beta[Solo],0),MATCH(ECF[[#Headers],[α ESF]],C_alpha_beta[#Headers],0))</f>
        <v>0.5</v>
      </c>
      <c r="S260" s="4">
        <f>INDEX(C_alpha_beta[],MATCH(ECF[[#This Row],[Solo]],C_alpha_beta[Solo],0),MATCH(ECF[[#Headers],[β ESF]],C_alpha_beta[#Headers],0))</f>
        <v>0.5</v>
      </c>
      <c r="T260" s="4">
        <f>IF(ECF[[#This Row],[Prof. (m)]]=0,0,10*(ECF[[#This Row],[NSPT]]/3+1))</f>
        <v>23.333333333333329</v>
      </c>
      <c r="U260" s="4">
        <f>(ECF[[#This Row],[α ESF]]*ECF[[#This Row],[C (kPa)]]*ECF[[#This Row],[NSPT]]*ECF[[#This Row],[Ap (m²)]])/'DADOS CAP. CARGA'!$Q$2+(ECF[[#This Row],[β ESF]]*SUMIFS(ECF[10∙(NL/3+1)],ECF[Prof. (m)],"&lt;="&amp;ECF[[#This Row],[Prof. (m)]],ECF[idDiâmetro],ECF[[#This Row],[idDiâmetro]],ECF[idPilar],ECF[[#This Row],[idPilar]])*ECF[[#This Row],[U (m)]])/'DADOS CAP. CARGA'!$S$2</f>
        <v>717.33032256966942</v>
      </c>
      <c r="V260" s="4">
        <f>IF(SPT!$M$5=1,MIN(ECF[[#This Row],[Pe ECF (kN)]],ECF[[#This Row],[R_AV (kN)]]),IF(SPT!$M$5=2,MIN(ECF[[#This Row],[Pe ECF (kN)]],ECF[[#This Row],[R_DC (kN)]]),MIN(ECF[[#This Row],[Pe ECF (kN)]],ECF[[#This Row],[R_AV (kN)]],ECF[[#This Row],[R_DC (kN)]])))</f>
        <v>717.33032256966942</v>
      </c>
      <c r="W260" s="4">
        <f>INDEX(PILARES[],ECF[[#This Row],[idPilar]],MATCH("Carga (kN)",PILARES[#Headers],0))*1.4</f>
        <v>3500</v>
      </c>
      <c r="X260" s="12">
        <f>INDEX(PILARES[],ECF[[#This Row],[idPilar]],MATCH(ECF[[#Headers],[ap (cm)]],PILARES[#Headers],0))</f>
        <v>60</v>
      </c>
      <c r="Y260" s="12">
        <f>INDEX(PILARES[],ECF[[#This Row],[idPilar]],MATCH(ECF[[#Headers],[bp (cm)]],PILARES[#Headers],0))</f>
        <v>60</v>
      </c>
      <c r="Z260" s="4">
        <f>SQRT(ECF[[#This Row],[ap (cm)]]*ECF[[#This Row],[bp (cm)]])</f>
        <v>60</v>
      </c>
      <c r="AA260" s="12">
        <f>ECF[[#This Row],[ap (cm)]]*ECF[[#This Row],[bp (cm)]]</f>
        <v>3600</v>
      </c>
      <c r="AB260" s="12">
        <f ca="1">IF(ECF[[#This Row],[Padm∙ε (kN)]]&gt;=ECF[[#This Row],[Padm (kN)]],ROUNDUP(1.05*ECF[[#This Row],[Nsd (kN)]]/ECF[[#This Row],[Padm (kN)]],0),ROUNDUP(1.05*ECF[[#This Row],[Nsd (kN)]]/ECF[[#This Row],[Padm (kN)]],0)+1)</f>
        <v>6</v>
      </c>
      <c r="AC260" s="4" t="str">
        <f ca="1">IFERROR(IF(ECF[[#This Row],[nE]]=1,ECF[[#This Row],[Padm (kN)]],ECF[[#This Row],[Padm (kN)]]*ECF[[#This Row],[nE]]*INDEX(grupoEstacas[],ECF[[#This Row],[nE]],MATCH("ε",grupoEstacas[#Headers],0))),"N.S.")</f>
        <v>N.S.</v>
      </c>
      <c r="AD260" s="4">
        <f ca="1">1.05*ECF[[#This Row],[Nsd (kN)]]/(ECF[[#This Row],[nE]]*PI()*ECF[[#This Row],[Ø (cm)]]^2/4)*10</f>
        <v>0.19496480528757182</v>
      </c>
      <c r="AE260" s="4">
        <f ca="1">IF(ECF[[#This Row],[σ (MPa)]]&lt;INDEX(tipoEstaca[],MATCH($D$2,tipoEstaca[TIPO DE ESTACA],0),MATCH("σmáx (MPa)",tipoEstaca[#Headers],0)),0.4%*PI()*ECF[[#This Row],[Ø (cm)]]^2/4,"N.S.")</f>
        <v>125.66370614359174</v>
      </c>
      <c r="AF260" s="82">
        <f>INDEX(tipoEstaca[],MATCH($D$2,tipoEstaca[TIPO DE ESTACA],0),MATCH(ECF[[#Headers],[Comprimento (m)]],tipoEstaca[#Headers],0))</f>
        <v>4</v>
      </c>
      <c r="AG260" s="5">
        <f ca="1">ECF[[#This Row],[As,mín (cm²)]]/100^2*ECF[[#This Row],[Comprimento (m)]]*7850</f>
        <v>394.58403729087803</v>
      </c>
      <c r="AH260" s="4">
        <f ca="1">ECF[[#This Row],[nE]]*ECF[[#This Row],[Prof. (m)]]*ECF[[#This Row],[Ap (m²)]]</f>
        <v>56.548667764616276</v>
      </c>
      <c r="AI260" s="82">
        <f ca="1">IF(ECF[[#This Row],[nE]]=1,0,MAX(3*ECF[[#This Row],[Ø (cm)]],60))</f>
        <v>600</v>
      </c>
      <c r="AJ260" s="82">
        <f ca="1">IF(ECF[[#This Row],[nE]]=1,ECF[[#This Row],[Ø (cm)]]+2*10,MAX(1.5*ECF[[#This Row],[Ø (cm)]],ECF[[#This Row],[Ø (cm)]]+15))</f>
        <v>300</v>
      </c>
      <c r="AK260" s="82" t="str">
        <f ca="1">alturaUtil(ECF[[#This Row],[nE]],ECF[[#This Row],[Ø (cm)]],ECF[[#This Row],[e (cm)]],ECF[[#This Row],[ap,eq (cm)]])</f>
        <v>N.S.</v>
      </c>
      <c r="AL260" s="82" t="str">
        <f ca="1">IFERROR(ECF[[#This Row],[d (cm)]]+arredondarParaCimaMultiplo5cm(MAX(5,SQRT(PI())/2*ECF[[#This Row],[Ø (cm)]]/5)),"N.S.")</f>
        <v>N.S.</v>
      </c>
      <c r="AM260" s="5" t="str">
        <f ca="1">alpha(ECF[[#This Row],[nE]],ECF[[#This Row],[d (cm)]],ECF[[#This Row],[e (cm)]],ECF[[#This Row],[ap,eq (cm)]])</f>
        <v>N.S.</v>
      </c>
      <c r="AN260" s="35" t="str">
        <f ca="1">IFERROR(ECF[[#This Row],[Nsd (kN)]]/(ECF[[#This Row],[Ap (cm²)]]*SIN(ECF[[#This Row],[α]])^2),"N.S.")</f>
        <v>N.S.</v>
      </c>
      <c r="AO260" s="35" t="str">
        <f ca="1">IFERROR(ECF[[#This Row],[Nsd (kN)]]/(ECF[[#This Row],[nE]]*PI()*ECF[[#This Row],[Ø (cm)]]^2/4*SIN(ECF[[#This Row],[α]])^2),"N.S.")</f>
        <v>N.S.</v>
      </c>
      <c r="AP260" s="4" t="str">
        <f ca="1">IFERROR(INDEX(grupoEstacas[],ECF[[#This Row],[nE]],MATCH("coef. Blévot",grupoEstacas[#Headers],0)),"N.S.")</f>
        <v>N.S.</v>
      </c>
      <c r="AQ260" s="35" t="str">
        <f ca="1">IFERROR(ECF[[#This Row],[coef. Blévot]]*0.9*INDEX(tipoEstaca[],MATCH($D$2,tipoEstaca[TIPO DE ESTACA],0),MATCH("fcd (kN/cm²)",tipoEstaca[#Headers],0)),"N.S.")</f>
        <v>N.S.</v>
      </c>
      <c r="AR260" s="82" t="str">
        <f ca="1">IF(AND(ECF[[#This Row],[cd,b,pil (kN/cm²)]]&lt;=ECF[[#This Row],[cd,b,lim (kN/cm²)]],ECF[[#This Row],[cd,b,est (kN/cm²)]]&lt;=ECF[[#This Row],[cd,b,lim (kN/cm²)]]),"OK","ERRO")</f>
        <v>OK</v>
      </c>
      <c r="AS260" s="4" t="str">
        <f ca="1">As_lado(ECF[[#This Row],[nE]],ECF[[#This Row],[Nsd (kN)]],ECF[[#This Row],[d (cm)]],ECF[[#This Row],[e (cm)]],ECF[[#This Row],[ap,eq (cm)]])</f>
        <v>N.S.</v>
      </c>
      <c r="AT260" s="4" t="str">
        <f ca="1">IF(ECF[[#This Row],[nE]]=1,ECF[[#This Row],[As,lado (cm²)]],IF(ECF[[#This Row],[nE]]=2,0.075*2*ECF[a (cm)],"N.A."))</f>
        <v>N.A.</v>
      </c>
      <c r="AU260" s="4" t="str">
        <f ca="1">IFERROR(IF(ECF[[#This Row],[nE]]=1,"N.A.",0.2*ECF[[#This Row],[As,lado (cm²)]]),"N.S.")</f>
        <v>N.S.</v>
      </c>
      <c r="AV260" s="4" t="str">
        <f ca="1">As_malha(ECF[[#This Row],[nE]],ECF[[#This Row],[As,lado (cm²)]],ECF[[#This Row],[Nsd (kN)]])</f>
        <v>N.S.</v>
      </c>
      <c r="AW260" s="4" t="str">
        <f ca="1">As_susp_tot(ECF[[#This Row],[nE]],ECF[[#This Row],[Nsd (kN)]])</f>
        <v>N.S.</v>
      </c>
      <c r="AX260" s="4" t="str">
        <f ca="1">Asp_face(ECF[[#This Row],[nE]],ECF[[#This Row],[As,lado (cm²)]])</f>
        <v>N.S.</v>
      </c>
      <c r="AY260" s="5" t="str">
        <f ca="1">acoBloco(ECF[[#This Row],[nE]],ECF[[#This Row],[e (cm)]],ECF[[#This Row],[a (cm)]],ECF[[#This Row],[h (cm)]],ECF[[#This Row],[As,lado (cm²)]],ECF[[#This Row],[Asp e Asw (cm²/m)]],ECF[[#This Row],[As,sup (cm²)]],ECF[[#This Row],[As,malha (cm²)]],ECF[[#This Row],[As,susp,tot (cm²)]],ECF[[#This Row],[Asp,face (cm²)]])</f>
        <v>N.S.</v>
      </c>
      <c r="AZ260" s="4" t="str">
        <f ca="1">concretoBloco(ECF[[#This Row],[nE]],ECF[[#This Row],[e (cm)]],ECF[[#This Row],[a (cm)]],ECF[[#This Row],[h (cm)]])</f>
        <v>N.S.</v>
      </c>
      <c r="BA260" s="5">
        <f ca="1">SUM(ECF[[#This Row],[Aço Est (kg)]],ECF[[#This Row],[Aço Bloco (kg)]])</f>
        <v>394.58403729087803</v>
      </c>
      <c r="BB260" s="4">
        <f>INDEX(composicoes[],MATCH(95580,composicoes[CÓDIGO],0),MATCH("CUSTO TOTAL",composicoes[#Headers],0))</f>
        <v>10.46</v>
      </c>
      <c r="BC260" s="4">
        <f ca="1">SUM(ECF[[#This Row],[Conc Est (m³)]],ECF[[#This Row],[Conc Bloco (m³)]])</f>
        <v>56.548667764616276</v>
      </c>
      <c r="BD260" s="4">
        <f>INDEX(composicoes[],MATCH(94966,composicoes[CÓDIGO],0),MATCH("CUSTO TOTAL",composicoes[#Headers],0))</f>
        <v>439.52</v>
      </c>
      <c r="BE260" s="38">
        <f ca="1">ECF[[#This Row],[Aço (kg)]]*ECF[[#This Row],[Aço (R$/kg)]]+ECF[[#This Row],[Conc (m³)]]*ECF[[#This Row],[Conc (R$/m³)]]</f>
        <v>28981.61948596673</v>
      </c>
      <c r="BF260" s="4" t="str">
        <f ca="1">IF(COUNTIF(ECF[#This Row],"N.S.")&gt;0,"lim.","OK")</f>
        <v>lim.</v>
      </c>
      <c r="BG260" s="4" t="str">
        <f>IF(ECF[[#This Row],[Prof. (m)]]&lt;4,"lim.","OK")</f>
        <v>lim.</v>
      </c>
      <c r="BH260" s="4" t="str">
        <f>IF(ECF[[#This Row],[Prof. (m)]]&gt;=8*ECF[[#This Row],[Ø (cm)]]/100,"OK","lim.")</f>
        <v>lim.</v>
      </c>
      <c r="BI260" s="4" t="str">
        <f>IF(AND(SPT!$F$3&lt;&gt;"",ECF[[#This Row],[Prof. (m)]]&gt;=SPT!$F$3-2),"lim.","OK")</f>
        <v>OK</v>
      </c>
      <c r="BJ260" s="4" t="str">
        <f ca="1">IF(ECF[[#This Row],[Verif. Biela]]="OK","OK","lim.")</f>
        <v>OK</v>
      </c>
      <c r="BK260" s="4" t="str">
        <f ca="1">IF(COUNTA(ECF[[#This Row],[Nº Est.]:[Biela comp.]])=COUNTIF(ECF[[#This Row],[Nº Est.]:[Biela comp.]],"OK"),"OK","lim.")</f>
        <v>lim.</v>
      </c>
      <c r="BL260" s="4" t="str">
        <f ca="1">IF(ECF[[#This Row],[Controle]]="OK",ECF[[#This Row],[nE]]&amp;" Ø "&amp;ECF[[#This Row],[Ø (cm)]]&amp;" cm, Prof. "&amp;ECF[[#This Row],[Prof. (m)]]&amp;" m","")</f>
        <v/>
      </c>
      <c r="BM260" s="4" t="str">
        <f ca="1">IF(ECF[[#This Row],[idDimensionamento]]="","",ECF[[#This Row],[idPilar]]&amp;ECF[[#This Row],[idDimensionamento]])</f>
        <v/>
      </c>
    </row>
    <row r="261" spans="2:65" x14ac:dyDescent="0.25">
      <c r="B261" s="12">
        <f>ROUNDUP((ROW(ECF[[#This Row],[idDiâmetro]])-ROW(ECF[[#Headers],[idDiâmetro]]))/(COUNT(SPT[Prof. (m)])*COUNT(PILARES[Pilar])),0)</f>
        <v>10</v>
      </c>
      <c r="C261" s="12">
        <f>IF(ECF[[#This Row],[idDiâmetro]]&lt;&gt;B260,1,IF(ECF[[#This Row],[Prof. (m)]]=0,C260+1,C260))</f>
        <v>1</v>
      </c>
      <c r="D261" s="82">
        <f>IFERROR(IF(D260=MAX(SPT[Prof. (m)]),0,D260+1),0)</f>
        <v>4</v>
      </c>
      <c r="E261" s="82">
        <f>INDEX(SPT[],MATCH(ECF[[#This Row],[Prof. (m)]],SPT[Prof. (m)],0),2)</f>
        <v>8</v>
      </c>
      <c r="F261" s="82" t="str">
        <f>INDEX(SPT[],MATCH(ECF[[#This Row],[Prof. (m)]],SPT[Prof. (m)],0),3)</f>
        <v>Areia siltosa</v>
      </c>
      <c r="G261" s="82">
        <f>INDEX(estacas[],ECF[[#This Row],[idDiâmetro]],MATCH($B$2,estacas[#Headers],0))</f>
        <v>200</v>
      </c>
      <c r="H261" s="82">
        <f>INDEX(estacas[],MATCH(ECF[[#This Row],[Ø (cm)]],estacas[Ø ECF (cm)],0),MATCH(ECF[[#Headers],[Pe ECF (kN)]],estacas[#Headers],0))</f>
        <v>12500</v>
      </c>
      <c r="I261" s="4">
        <f>INDEX(K_alpha_C[],MATCH(ECF[[#This Row],[Solo]],K_alpha_C[Solo],0),2)</f>
        <v>0.8</v>
      </c>
      <c r="J261" s="5">
        <f>INDEX(K_alpha_C[],MATCH(ECF[[#This Row],[Solo]],K_alpha_C[Solo],0),3)</f>
        <v>2</v>
      </c>
      <c r="K261" s="4">
        <f>INDEX(F1_F2[],MATCH($D$2,F1_F2[Tipo de estaca],0),2)</f>
        <v>3</v>
      </c>
      <c r="L261" s="4">
        <f>INDEX(F1_F2[],MATCH($D$2,F1_F2[Tipo de estaca],0),3)</f>
        <v>6</v>
      </c>
      <c r="M261" s="4">
        <f>PI()*(ECF[[#This Row],[Ø (cm)]]/100)^2/4</f>
        <v>3.1415926535897931</v>
      </c>
      <c r="N261" s="4">
        <f>PI()*ECF[[#This Row],[Ø (cm)]]/100</f>
        <v>6.2831853071795862</v>
      </c>
      <c r="O261" s="4">
        <f>IF(ECF[[#This Row],[Prof. (m)]]=0,0,ECF[[#This Row],[α (%)]]/100*ECF[[#This Row],[K (MPa)]]*1000*ECF[[#This Row],[NSPT]])</f>
        <v>128</v>
      </c>
      <c r="P261" s="4">
        <f>IF(ECF[[#This Row],[Prof. (m)]]=0,0,(ECF[[#This Row],[K (MPa)]]*1000*ECF[[#This Row],[NSPT]]/ECF[[#This Row],[F1]]*ECF[[#This Row],[Ap (m²)]]+ECF[[#This Row],[U (m)]]/ECF[[#This Row],[F2]]*SUMIFS(ECF[(α∙K∙NL∙ΔL)],ECF[Prof. (m)],"&lt;="&amp;ECF[[#This Row],[Prof. (m)]],ECF[idDiâmetro],ECF[[#This Row],[idDiâmetro]],ECF[idPilar],ECF[[#This Row],[idPilar]]))/'DADOS CAP. CARGA'!$D$2)</f>
        <v>3485.0734503822773</v>
      </c>
      <c r="Q261" s="12">
        <f>INDEX(C_alpha_beta[],MATCH(ECF[[#This Row],[Solo]],C_alpha_beta[Solo],0),MATCH(ECF[[#Headers],[C (kPa)]],C_alpha_beta[#Headers],0))</f>
        <v>400</v>
      </c>
      <c r="R261" s="4">
        <f>INDEX(C_alpha_beta[],MATCH(ECF[[#This Row],[Solo]],C_alpha_beta[Solo],0),MATCH(ECF[[#Headers],[α ESF]],C_alpha_beta[#Headers],0))</f>
        <v>0.5</v>
      </c>
      <c r="S261" s="4">
        <f>INDEX(C_alpha_beta[],MATCH(ECF[[#This Row],[Solo]],C_alpha_beta[Solo],0),MATCH(ECF[[#Headers],[β ESF]],C_alpha_beta[#Headers],0))</f>
        <v>0.5</v>
      </c>
      <c r="T261" s="4">
        <f>IF(ECF[[#This Row],[Prof. (m)]]=0,0,10*(ECF[[#This Row],[NSPT]]/3+1))</f>
        <v>36.666666666666664</v>
      </c>
      <c r="U261" s="4">
        <f>(ECF[[#This Row],[α ESF]]*ECF[[#This Row],[C (kPa)]]*ECF[[#This Row],[NSPT]]*ECF[[#This Row],[Ap (m²)]])/'DADOS CAP. CARGA'!$Q$2+(ECF[[#This Row],[β ESF]]*SUMIFS(ECF[10∙(NL/3+1)],ECF[Prof. (m)],"&lt;="&amp;ECF[[#This Row],[Prof. (m)]],ECF[idDiâmetro],ECF[[#This Row],[idDiâmetro]],ECF[idPilar],ECF[[#This Row],[idPilar]])*ECF[[#This Row],[U (m)]])/'DADOS CAP. CARGA'!$S$2</f>
        <v>1403.244718603441</v>
      </c>
      <c r="V261" s="4">
        <f>IF(SPT!$M$5=1,MIN(ECF[[#This Row],[Pe ECF (kN)]],ECF[[#This Row],[R_AV (kN)]]),IF(SPT!$M$5=2,MIN(ECF[[#This Row],[Pe ECF (kN)]],ECF[[#This Row],[R_DC (kN)]]),MIN(ECF[[#This Row],[Pe ECF (kN)]],ECF[[#This Row],[R_AV (kN)]],ECF[[#This Row],[R_DC (kN)]])))</f>
        <v>1403.244718603441</v>
      </c>
      <c r="W261" s="4">
        <f>INDEX(PILARES[],ECF[[#This Row],[idPilar]],MATCH("Carga (kN)",PILARES[#Headers],0))*1.4</f>
        <v>3500</v>
      </c>
      <c r="X261" s="12">
        <f>INDEX(PILARES[],ECF[[#This Row],[idPilar]],MATCH(ECF[[#Headers],[ap (cm)]],PILARES[#Headers],0))</f>
        <v>60</v>
      </c>
      <c r="Y261" s="12">
        <f>INDEX(PILARES[],ECF[[#This Row],[idPilar]],MATCH(ECF[[#Headers],[bp (cm)]],PILARES[#Headers],0))</f>
        <v>60</v>
      </c>
      <c r="Z261" s="4">
        <f>SQRT(ECF[[#This Row],[ap (cm)]]*ECF[[#This Row],[bp (cm)]])</f>
        <v>60</v>
      </c>
      <c r="AA261" s="12">
        <f>ECF[[#This Row],[ap (cm)]]*ECF[[#This Row],[bp (cm)]]</f>
        <v>3600</v>
      </c>
      <c r="AB261" s="12">
        <f ca="1">IF(ECF[[#This Row],[Padm∙ε (kN)]]&gt;=ECF[[#This Row],[Padm (kN)]],ROUNDUP(1.05*ECF[[#This Row],[Nsd (kN)]]/ECF[[#This Row],[Padm (kN)]],0),ROUNDUP(1.05*ECF[[#This Row],[Nsd (kN)]]/ECF[[#This Row],[Padm (kN)]],0)+1)</f>
        <v>3</v>
      </c>
      <c r="AC261" s="4">
        <f ca="1">IFERROR(IF(ECF[[#This Row],[nE]]=1,ECF[[#This Row],[Padm (kN)]],ECF[[#This Row],[Padm (kN)]]*ECF[[#This Row],[nE]]*INDEX(grupoEstacas[],ECF[[#This Row],[nE]],MATCH("ε",grupoEstacas[#Headers],0))),"N.S.")</f>
        <v>3683.5173863340333</v>
      </c>
      <c r="AD261" s="4">
        <f ca="1">1.05*ECF[[#This Row],[Nsd (kN)]]/(ECF[[#This Row],[nE]]*PI()*ECF[[#This Row],[Ø (cm)]]^2/4)*10</f>
        <v>0.38992961057514364</v>
      </c>
      <c r="AE261" s="4">
        <f ca="1">IF(ECF[[#This Row],[σ (MPa)]]&lt;INDEX(tipoEstaca[],MATCH($D$2,tipoEstaca[TIPO DE ESTACA],0),MATCH("σmáx (MPa)",tipoEstaca[#Headers],0)),0.4%*PI()*ECF[[#This Row],[Ø (cm)]]^2/4,"N.S.")</f>
        <v>125.66370614359174</v>
      </c>
      <c r="AF261" s="82">
        <f>INDEX(tipoEstaca[],MATCH($D$2,tipoEstaca[TIPO DE ESTACA],0),MATCH(ECF[[#Headers],[Comprimento (m)]],tipoEstaca[#Headers],0))</f>
        <v>4</v>
      </c>
      <c r="AG261" s="5">
        <f ca="1">ECF[[#This Row],[As,mín (cm²)]]/100^2*ECF[[#This Row],[Comprimento (m)]]*7850</f>
        <v>394.58403729087803</v>
      </c>
      <c r="AH261" s="4">
        <f ca="1">ECF[[#This Row],[nE]]*ECF[[#This Row],[Prof. (m)]]*ECF[[#This Row],[Ap (m²)]]</f>
        <v>37.699111843077517</v>
      </c>
      <c r="AI261" s="82">
        <f ca="1">IF(ECF[[#This Row],[nE]]=1,0,MAX(3*ECF[[#This Row],[Ø (cm)]],60))</f>
        <v>600</v>
      </c>
      <c r="AJ261" s="82">
        <f ca="1">IF(ECF[[#This Row],[nE]]=1,ECF[[#This Row],[Ø (cm)]]+2*10,MAX(1.5*ECF[[#This Row],[Ø (cm)]],ECF[[#This Row],[Ø (cm)]]+15))</f>
        <v>300</v>
      </c>
      <c r="AK261" s="82">
        <f ca="1">alturaUtil(ECF[[#This Row],[nE]],ECF[[#This Row],[Ø (cm)]],ECF[[#This Row],[e (cm)]],ECF[[#This Row],[ap,eq (cm)]])</f>
        <v>285</v>
      </c>
      <c r="AL261" s="82">
        <f ca="1">IFERROR(ECF[[#This Row],[d (cm)]]+arredondarParaCimaMultiplo5cm(MAX(5,SQRT(PI())/2*ECF[[#This Row],[Ø (cm)]]/5)),"N.S.")</f>
        <v>325</v>
      </c>
      <c r="AM261" s="5">
        <f ca="1">alpha(ECF[[#This Row],[nE]],ECF[[#This Row],[d (cm)]],ECF[[#This Row],[e (cm)]],ECF[[#This Row],[ap,eq (cm)]])</f>
        <v>45.303149443714126</v>
      </c>
      <c r="AN261" s="35">
        <f ca="1">IFERROR(ECF[[#This Row],[Nsd (kN)]]/(ECF[[#This Row],[Ap (cm²)]]*SIN(ECF[[#This Row],[α]])^2),"N.S.")</f>
        <v>1.0355810266349001</v>
      </c>
      <c r="AO261" s="35">
        <f ca="1">IFERROR(ECF[[#This Row],[Nsd (kN)]]/(ECF[[#This Row],[nE]]*PI()*ECF[[#This Row],[Ø (cm)]]^2/4*SIN(ECF[[#This Row],[α]])^2),"N.S.")</f>
        <v>3.9556281446669776E-2</v>
      </c>
      <c r="AP261" s="4">
        <f ca="1">IFERROR(INDEX(grupoEstacas[],ECF[[#This Row],[nE]],MATCH("coef. Blévot",grupoEstacas[#Headers],0)),"N.S.")</f>
        <v>1.75</v>
      </c>
      <c r="AQ261" s="35">
        <f ca="1">IFERROR(ECF[[#This Row],[coef. Blévot]]*0.9*INDEX(tipoEstaca[],MATCH($D$2,tipoEstaca[TIPO DE ESTACA],0),MATCH("fcd (kN/cm²)",tipoEstaca[#Headers],0)),"N.S.")</f>
        <v>1.75</v>
      </c>
      <c r="AR261" s="82" t="str">
        <f ca="1">IF(AND(ECF[[#This Row],[cd,b,pil (kN/cm²)]]&lt;=ECF[[#This Row],[cd,b,lim (kN/cm²)]],ECF[[#This Row],[cd,b,est (kN/cm²)]]&lt;=ECF[[#This Row],[cd,b,lim (kN/cm²)]]),"OK","ERRO")</f>
        <v>OK</v>
      </c>
      <c r="AS261" s="4">
        <f ca="1">As_lado(ECF[[#This Row],[nE]],ECF[[#This Row],[Nsd (kN)]],ECF[[#This Row],[d (cm)]],ECF[[#This Row],[e (cm)]],ECF[[#This Row],[ap,eq (cm)]])</f>
        <v>17.851952584730093</v>
      </c>
      <c r="AT261" s="4" t="str">
        <f ca="1">IF(ECF[[#This Row],[nE]]=1,ECF[[#This Row],[As,lado (cm²)]],IF(ECF[[#This Row],[nE]]=2,0.075*2*ECF[a (cm)],"N.A."))</f>
        <v>N.A.</v>
      </c>
      <c r="AU261" s="4">
        <f ca="1">IFERROR(IF(ECF[[#This Row],[nE]]=1,"N.A.",0.2*ECF[[#This Row],[As,lado (cm²)]]),"N.S.")</f>
        <v>3.5703905169460186</v>
      </c>
      <c r="AV261" s="4">
        <f ca="1">As_malha(ECF[[#This Row],[nE]],ECF[[#This Row],[As,lado (cm²)]],ECF[[#This Row],[Nsd (kN)]])</f>
        <v>5.9629629629629619</v>
      </c>
      <c r="AW261" s="4">
        <f ca="1">As_susp_tot(ECF[[#This Row],[nE]],ECF[[#This Row],[Nsd (kN)]])</f>
        <v>17.888888888888886</v>
      </c>
      <c r="AX261" s="4">
        <f ca="1">Asp_face(ECF[[#This Row],[nE]],ECF[[#This Row],[As,lado (cm²)]])</f>
        <v>6.6944822192737847</v>
      </c>
      <c r="AY261" s="5">
        <f ca="1">acoBloco(ECF[[#This Row],[nE]],ECF[[#This Row],[e (cm)]],ECF[[#This Row],[a (cm)]],ECF[[#This Row],[h (cm)]],ECF[[#This Row],[As,lado (cm²)]],ECF[[#This Row],[Asp e Asw (cm²/m)]],ECF[[#This Row],[As,sup (cm²)]],ECF[[#This Row],[As,malha (cm²)]],ECF[[#This Row],[As,susp,tot (cm²)]],ECF[[#This Row],[Asp,face (cm²)]])</f>
        <v>1059.9400836080174</v>
      </c>
      <c r="AZ261" s="4">
        <f ca="1">concretoBloco(ECF[[#This Row],[nE]],ECF[[#This Row],[e (cm)]],ECF[[#This Row],[a (cm)]],ECF[[#This Row],[h (cm)]])</f>
        <v>327.48745836416896</v>
      </c>
      <c r="BA261" s="5">
        <f ca="1">SUM(ECF[[#This Row],[Aço Est (kg)]],ECF[[#This Row],[Aço Bloco (kg)]])</f>
        <v>1454.5241208988955</v>
      </c>
      <c r="BB261" s="4">
        <f>INDEX(composicoes[],MATCH(95580,composicoes[CÓDIGO],0),MATCH("CUSTO TOTAL",composicoes[#Headers],0))</f>
        <v>10.46</v>
      </c>
      <c r="BC261" s="4">
        <f ca="1">SUM(ECF[[#This Row],[Conc Est (m³)]],ECF[[#This Row],[Conc Bloco (m³)]])</f>
        <v>365.18657020724646</v>
      </c>
      <c r="BD261" s="4">
        <f>INDEX(composicoes[],MATCH(94966,composicoes[CÓDIGO],0),MATCH("CUSTO TOTAL",composicoes[#Headers],0))</f>
        <v>439.52</v>
      </c>
      <c r="BE261" s="38">
        <f ca="1">ECF[[#This Row],[Aço (kg)]]*ECF[[#This Row],[Aço (R$/kg)]]+ECF[[#This Row],[Conc (m³)]]*ECF[[#This Row],[Conc (R$/m³)]]</f>
        <v>175721.12364209141</v>
      </c>
      <c r="BF261" s="4" t="str">
        <f ca="1">IF(COUNTIF(ECF[#This Row],"N.S.")&gt;0,"lim.","OK")</f>
        <v>OK</v>
      </c>
      <c r="BG261" s="4" t="str">
        <f>IF(ECF[[#This Row],[Prof. (m)]]&lt;4,"lim.","OK")</f>
        <v>OK</v>
      </c>
      <c r="BH261" s="4" t="str">
        <f>IF(ECF[[#This Row],[Prof. (m)]]&gt;=8*ECF[[#This Row],[Ø (cm)]]/100,"OK","lim.")</f>
        <v>lim.</v>
      </c>
      <c r="BI261" s="4" t="str">
        <f>IF(AND(SPT!$F$3&lt;&gt;"",ECF[[#This Row],[Prof. (m)]]&gt;=SPT!$F$3-2),"lim.","OK")</f>
        <v>OK</v>
      </c>
      <c r="BJ261" s="4" t="str">
        <f ca="1">IF(ECF[[#This Row],[Verif. Biela]]="OK","OK","lim.")</f>
        <v>OK</v>
      </c>
      <c r="BK261" s="4" t="str">
        <f ca="1">IF(COUNTA(ECF[[#This Row],[Nº Est.]:[Biela comp.]])=COUNTIF(ECF[[#This Row],[Nº Est.]:[Biela comp.]],"OK"),"OK","lim.")</f>
        <v>lim.</v>
      </c>
      <c r="BL261" s="4" t="str">
        <f ca="1">IF(ECF[[#This Row],[Controle]]="OK",ECF[[#This Row],[nE]]&amp;" Ø "&amp;ECF[[#This Row],[Ø (cm)]]&amp;" cm, Prof. "&amp;ECF[[#This Row],[Prof. (m)]]&amp;" m","")</f>
        <v/>
      </c>
      <c r="BM261" s="4" t="str">
        <f ca="1">IF(ECF[[#This Row],[idDimensionamento]]="","",ECF[[#This Row],[idPilar]]&amp;ECF[[#This Row],[idDimensionamento]])</f>
        <v/>
      </c>
    </row>
    <row r="262" spans="2:65" x14ac:dyDescent="0.25">
      <c r="B262" s="12">
        <f>ROUNDUP((ROW(ECF[[#This Row],[idDiâmetro]])-ROW(ECF[[#Headers],[idDiâmetro]]))/(COUNT(SPT[Prof. (m)])*COUNT(PILARES[Pilar])),0)</f>
        <v>10</v>
      </c>
      <c r="C262" s="12">
        <f>IF(ECF[[#This Row],[idDiâmetro]]&lt;&gt;B261,1,IF(ECF[[#This Row],[Prof. (m)]]=0,C261+1,C261))</f>
        <v>1</v>
      </c>
      <c r="D262" s="82">
        <f>IFERROR(IF(D261=MAX(SPT[Prof. (m)]),0,D261+1),0)</f>
        <v>5</v>
      </c>
      <c r="E262" s="82">
        <f>INDEX(SPT[],MATCH(ECF[[#This Row],[Prof. (m)]],SPT[Prof. (m)],0),2)</f>
        <v>17</v>
      </c>
      <c r="F262" s="82" t="str">
        <f>INDEX(SPT[],MATCH(ECF[[#This Row],[Prof. (m)]],SPT[Prof. (m)],0),3)</f>
        <v>Areia siltosa</v>
      </c>
      <c r="G262" s="82">
        <f>INDEX(estacas[],ECF[[#This Row],[idDiâmetro]],MATCH($B$2,estacas[#Headers],0))</f>
        <v>200</v>
      </c>
      <c r="H262" s="82">
        <f>INDEX(estacas[],MATCH(ECF[[#This Row],[Ø (cm)]],estacas[Ø ECF (cm)],0),MATCH(ECF[[#Headers],[Pe ECF (kN)]],estacas[#Headers],0))</f>
        <v>12500</v>
      </c>
      <c r="I262" s="4">
        <f>INDEX(K_alpha_C[],MATCH(ECF[[#This Row],[Solo]],K_alpha_C[Solo],0),2)</f>
        <v>0.8</v>
      </c>
      <c r="J262" s="5">
        <f>INDEX(K_alpha_C[],MATCH(ECF[[#This Row],[Solo]],K_alpha_C[Solo],0),3)</f>
        <v>2</v>
      </c>
      <c r="K262" s="4">
        <f>INDEX(F1_F2[],MATCH($D$2,F1_F2[Tipo de estaca],0),2)</f>
        <v>3</v>
      </c>
      <c r="L262" s="4">
        <f>INDEX(F1_F2[],MATCH($D$2,F1_F2[Tipo de estaca],0),3)</f>
        <v>6</v>
      </c>
      <c r="M262" s="4">
        <f>PI()*(ECF[[#This Row],[Ø (cm)]]/100)^2/4</f>
        <v>3.1415926535897931</v>
      </c>
      <c r="N262" s="4">
        <f>PI()*ECF[[#This Row],[Ø (cm)]]/100</f>
        <v>6.2831853071795862</v>
      </c>
      <c r="O262" s="4">
        <f>IF(ECF[[#This Row],[Prof. (m)]]=0,0,ECF[[#This Row],[α (%)]]/100*ECF[[#This Row],[K (MPa)]]*1000*ECF[[#This Row],[NSPT]])</f>
        <v>272</v>
      </c>
      <c r="P262" s="4">
        <f>IF(ECF[[#This Row],[Prof. (m)]]=0,0,(ECF[[#This Row],[K (MPa)]]*1000*ECF[[#This Row],[NSPT]]/ECF[[#This Row],[F1]]*ECF[[#This Row],[Ap (m²)]]+ECF[[#This Row],[U (m)]]/ECF[[#This Row],[F2]]*SUMIFS(ECF[(α∙K∙NL∙ΔL)],ECF[Prof. (m)],"&lt;="&amp;ECF[[#This Row],[Prof. (m)]],ECF[idDiâmetro],ECF[[#This Row],[idDiâmetro]],ECF[idPilar],ECF[[#This Row],[idPilar]]))/'DADOS CAP. CARGA'!$D$2)</f>
        <v>7397.403501652766</v>
      </c>
      <c r="Q262" s="12">
        <f>INDEX(C_alpha_beta[],MATCH(ECF[[#This Row],[Solo]],C_alpha_beta[Solo],0),MATCH(ECF[[#Headers],[C (kPa)]],C_alpha_beta[#Headers],0))</f>
        <v>400</v>
      </c>
      <c r="R262" s="4">
        <f>INDEX(C_alpha_beta[],MATCH(ECF[[#This Row],[Solo]],C_alpha_beta[Solo],0),MATCH(ECF[[#Headers],[α ESF]],C_alpha_beta[#Headers],0))</f>
        <v>0.5</v>
      </c>
      <c r="S262" s="4">
        <f>INDEX(C_alpha_beta[],MATCH(ECF[[#This Row],[Solo]],C_alpha_beta[Solo],0),MATCH(ECF[[#Headers],[β ESF]],C_alpha_beta[#Headers],0))</f>
        <v>0.5</v>
      </c>
      <c r="T262" s="4">
        <f>IF(ECF[[#This Row],[Prof. (m)]]=0,0,10*(ECF[[#This Row],[NSPT]]/3+1))</f>
        <v>66.666666666666671</v>
      </c>
      <c r="U262" s="4">
        <f>(ECF[[#This Row],[α ESF]]*ECF[[#This Row],[C (kPa)]]*ECF[[#This Row],[NSPT]]*ECF[[#This Row],[Ap (m²)]])/'DADOS CAP. CARGA'!$Q$2+(ECF[[#This Row],[β ESF]]*SUMIFS(ECF[10∙(NL/3+1)],ECF[Prof. (m)],"&lt;="&amp;ECF[[#This Row],[Prof. (m)]],ECF[idDiâmetro],ECF[[#This Row],[idDiâmetro]],ECF[idPilar],ECF[[#This Row],[idPilar]])*ECF[[#This Row],[U (m)]])/'DADOS CAP. CARGA'!$S$2</f>
        <v>2921.6811678385075</v>
      </c>
      <c r="V262" s="4">
        <f>IF(SPT!$M$5=1,MIN(ECF[[#This Row],[Pe ECF (kN)]],ECF[[#This Row],[R_AV (kN)]]),IF(SPT!$M$5=2,MIN(ECF[[#This Row],[Pe ECF (kN)]],ECF[[#This Row],[R_DC (kN)]]),MIN(ECF[[#This Row],[Pe ECF (kN)]],ECF[[#This Row],[R_AV (kN)]],ECF[[#This Row],[R_DC (kN)]])))</f>
        <v>2921.6811678385075</v>
      </c>
      <c r="W262" s="4">
        <f>INDEX(PILARES[],ECF[[#This Row],[idPilar]],MATCH("Carga (kN)",PILARES[#Headers],0))*1.4</f>
        <v>3500</v>
      </c>
      <c r="X262" s="12">
        <f>INDEX(PILARES[],ECF[[#This Row],[idPilar]],MATCH(ECF[[#Headers],[ap (cm)]],PILARES[#Headers],0))</f>
        <v>60</v>
      </c>
      <c r="Y262" s="12">
        <f>INDEX(PILARES[],ECF[[#This Row],[idPilar]],MATCH(ECF[[#Headers],[bp (cm)]],PILARES[#Headers],0))</f>
        <v>60</v>
      </c>
      <c r="Z262" s="4">
        <f>SQRT(ECF[[#This Row],[ap (cm)]]*ECF[[#This Row],[bp (cm)]])</f>
        <v>60</v>
      </c>
      <c r="AA262" s="12">
        <f>ECF[[#This Row],[ap (cm)]]*ECF[[#This Row],[bp (cm)]]</f>
        <v>3600</v>
      </c>
      <c r="AB262" s="12">
        <f ca="1">IF(ECF[[#This Row],[Padm∙ε (kN)]]&gt;=ECF[[#This Row],[Padm (kN)]],ROUNDUP(1.05*ECF[[#This Row],[Nsd (kN)]]/ECF[[#This Row],[Padm (kN)]],0),ROUNDUP(1.05*ECF[[#This Row],[Nsd (kN)]]/ECF[[#This Row],[Padm (kN)]],0)+1)</f>
        <v>2</v>
      </c>
      <c r="AC262" s="4">
        <f ca="1">IFERROR(IF(ECF[[#This Row],[nE]]=1,ECF[[#This Row],[Padm (kN)]],ECF[[#This Row],[Padm (kN)]]*ECF[[#This Row],[nE]]*INDEX(grupoEstacas[],ECF[[#This Row],[nE]],MATCH("ε",grupoEstacas[#Headers],0))),"N.S.")</f>
        <v>5478.1521896972017</v>
      </c>
      <c r="AD262" s="4">
        <f ca="1">1.05*ECF[[#This Row],[Nsd (kN)]]/(ECF[[#This Row],[nE]]*PI()*ECF[[#This Row],[Ø (cm)]]^2/4)*10</f>
        <v>0.5848944158627154</v>
      </c>
      <c r="AE262" s="4">
        <f ca="1">IF(ECF[[#This Row],[σ (MPa)]]&lt;INDEX(tipoEstaca[],MATCH($D$2,tipoEstaca[TIPO DE ESTACA],0),MATCH("σmáx (MPa)",tipoEstaca[#Headers],0)),0.4%*PI()*ECF[[#This Row],[Ø (cm)]]^2/4,"N.S.")</f>
        <v>125.66370614359174</v>
      </c>
      <c r="AF262" s="82">
        <f>INDEX(tipoEstaca[],MATCH($D$2,tipoEstaca[TIPO DE ESTACA],0),MATCH(ECF[[#Headers],[Comprimento (m)]],tipoEstaca[#Headers],0))</f>
        <v>4</v>
      </c>
      <c r="AG262" s="5">
        <f ca="1">ECF[[#This Row],[As,mín (cm²)]]/100^2*ECF[[#This Row],[Comprimento (m)]]*7850</f>
        <v>394.58403729087803</v>
      </c>
      <c r="AH262" s="4">
        <f ca="1">ECF[[#This Row],[nE]]*ECF[[#This Row],[Prof. (m)]]*ECF[[#This Row],[Ap (m²)]]</f>
        <v>31.415926535897931</v>
      </c>
      <c r="AI262" s="82">
        <f ca="1">IF(ECF[[#This Row],[nE]]=1,0,MAX(3*ECF[[#This Row],[Ø (cm)]],60))</f>
        <v>600</v>
      </c>
      <c r="AJ262" s="82">
        <f ca="1">IF(ECF[[#This Row],[nE]]=1,ECF[[#This Row],[Ø (cm)]]+2*10,MAX(1.5*ECF[[#This Row],[Ø (cm)]],ECF[[#This Row],[Ø (cm)]]+15))</f>
        <v>300</v>
      </c>
      <c r="AK262" s="82">
        <f ca="1">alturaUtil(ECF[[#This Row],[nE]],ECF[[#This Row],[Ø (cm)]],ECF[[#This Row],[e (cm)]],ECF[[#This Row],[ap,eq (cm)]])</f>
        <v>285</v>
      </c>
      <c r="AL262" s="82">
        <f ca="1">IFERROR(ECF[[#This Row],[d (cm)]]+arredondarParaCimaMultiplo5cm(MAX(5,SQRT(PI())/2*ECF[[#This Row],[Ø (cm)]]/5)),"N.S.")</f>
        <v>325</v>
      </c>
      <c r="AM262" s="5">
        <f ca="1">alpha(ECF[[#This Row],[nE]],ECF[[#This Row],[d (cm)]],ECF[[#This Row],[e (cm)]],ECF[[#This Row],[ap,eq (cm)]])</f>
        <v>45</v>
      </c>
      <c r="AN262" s="35">
        <f ca="1">IFERROR(ECF[[#This Row],[Nsd (kN)]]/(ECF[[#This Row],[Ap (cm²)]]*SIN(ECF[[#This Row],[α]])^2),"N.S.")</f>
        <v>1.3427801064714635</v>
      </c>
      <c r="AO262" s="35">
        <f ca="1">IFERROR(ECF[[#This Row],[Nsd (kN)]]/(ECF[[#This Row],[nE]]*PI()*ECF[[#This Row],[Ø (cm)]]^2/4*SIN(ECF[[#This Row],[α]])^2),"N.S.")</f>
        <v>7.6935632914942181E-2</v>
      </c>
      <c r="AP262" s="4">
        <f ca="1">IFERROR(INDEX(grupoEstacas[],ECF[[#This Row],[nE]],MATCH("coef. Blévot",grupoEstacas[#Headers],0)),"N.S.")</f>
        <v>1.4</v>
      </c>
      <c r="AQ262" s="35">
        <f ca="1">IFERROR(ECF[[#This Row],[coef. Blévot]]*0.9*INDEX(tipoEstaca[],MATCH($D$2,tipoEstaca[TIPO DE ESTACA],0),MATCH("fcd (kN/cm²)",tipoEstaca[#Headers],0)),"N.S.")</f>
        <v>1.4000000000000001</v>
      </c>
      <c r="AR262" s="82" t="str">
        <f ca="1">IF(AND(ECF[[#This Row],[cd,b,pil (kN/cm²)]]&lt;=ECF[[#This Row],[cd,b,lim (kN/cm²)]],ECF[[#This Row],[cd,b,est (kN/cm²)]]&lt;=ECF[[#This Row],[cd,b,lim (kN/cm²)]]),"OK","ERRO")</f>
        <v>OK</v>
      </c>
      <c r="AS262" s="4">
        <f ca="1">As_lado(ECF[[#This Row],[nE]],ECF[[#This Row],[Nsd (kN)]],ECF[[#This Row],[d (cm)]],ECF[[#This Row],[e (cm)]],ECF[[#This Row],[ap,eq (cm)]])</f>
        <v>46.287499999999994</v>
      </c>
      <c r="AT262" s="4">
        <f ca="1">IF(ECF[[#This Row],[nE]]=1,ECF[[#This Row],[As,lado (cm²)]],IF(ECF[[#This Row],[nE]]=2,0.075*2*ECF[a (cm)],"N.A."))</f>
        <v>45</v>
      </c>
      <c r="AU262" s="4">
        <f ca="1">IFERROR(IF(ECF[[#This Row],[nE]]=1,"N.A.",0.2*ECF[[#This Row],[As,lado (cm²)]]),"N.S.")</f>
        <v>9.2574999999999985</v>
      </c>
      <c r="AV262" s="4" t="str">
        <f ca="1">As_malha(ECF[[#This Row],[nE]],ECF[[#This Row],[As,lado (cm²)]],ECF[[#This Row],[Nsd (kN)]])</f>
        <v>N.A.</v>
      </c>
      <c r="AW262" s="4" t="str">
        <f ca="1">As_susp_tot(ECF[[#This Row],[nE]],ECF[[#This Row],[Nsd (kN)]])</f>
        <v>N.A.</v>
      </c>
      <c r="AX262" s="4" t="str">
        <f ca="1">Asp_face(ECF[[#This Row],[nE]],ECF[[#This Row],[As,lado (cm²)]])</f>
        <v>N.A.</v>
      </c>
      <c r="AY262" s="5">
        <f ca="1">acoBloco(ECF[[#This Row],[nE]],ECF[[#This Row],[e (cm)]],ECF[[#This Row],[a (cm)]],ECF[[#This Row],[h (cm)]],ECF[[#This Row],[As,lado (cm²)]],ECF[[#This Row],[Asp e Asw (cm²/m)]],ECF[[#This Row],[As,sup (cm²)]],ECF[[#This Row],[As,malha (cm²)]],ECF[[#This Row],[As,susp,tot (cm²)]],ECF[[#This Row],[Asp,face (cm²)]])</f>
        <v>12498.4089</v>
      </c>
      <c r="AZ262" s="4">
        <f ca="1">concretoBloco(ECF[[#This Row],[nE]],ECF[[#This Row],[e (cm)]],ECF[[#This Row],[a (cm)]],ECF[[#This Row],[h (cm)]])</f>
        <v>234</v>
      </c>
      <c r="BA262" s="5">
        <f ca="1">SUM(ECF[[#This Row],[Aço Est (kg)]],ECF[[#This Row],[Aço Bloco (kg)]])</f>
        <v>12892.992937290879</v>
      </c>
      <c r="BB262" s="4">
        <f>INDEX(composicoes[],MATCH(95580,composicoes[CÓDIGO],0),MATCH("CUSTO TOTAL",composicoes[#Headers],0))</f>
        <v>10.46</v>
      </c>
      <c r="BC262" s="4">
        <f ca="1">SUM(ECF[[#This Row],[Conc Est (m³)]],ECF[[#This Row],[Conc Bloco (m³)]])</f>
        <v>265.41592653589794</v>
      </c>
      <c r="BD262" s="4">
        <f>INDEX(composicoes[],MATCH(94966,composicoes[CÓDIGO],0),MATCH("CUSTO TOTAL",composicoes[#Headers],0))</f>
        <v>439.52</v>
      </c>
      <c r="BE262" s="38">
        <f ca="1">ECF[[#This Row],[Aço (kg)]]*ECF[[#This Row],[Aço (R$/kg)]]+ECF[[#This Row],[Conc (m³)]]*ECF[[#This Row],[Conc (R$/m³)]]</f>
        <v>251516.31415512046</v>
      </c>
      <c r="BF262" s="4" t="str">
        <f ca="1">IF(COUNTIF(ECF[#This Row],"N.S.")&gt;0,"lim.","OK")</f>
        <v>OK</v>
      </c>
      <c r="BG262" s="4" t="str">
        <f>IF(ECF[[#This Row],[Prof. (m)]]&lt;4,"lim.","OK")</f>
        <v>OK</v>
      </c>
      <c r="BH262" s="4" t="str">
        <f>IF(ECF[[#This Row],[Prof. (m)]]&gt;=8*ECF[[#This Row],[Ø (cm)]]/100,"OK","lim.")</f>
        <v>lim.</v>
      </c>
      <c r="BI262" s="4" t="str">
        <f>IF(AND(SPT!$F$3&lt;&gt;"",ECF[[#This Row],[Prof. (m)]]&gt;=SPT!$F$3-2),"lim.","OK")</f>
        <v>OK</v>
      </c>
      <c r="BJ262" s="4" t="str">
        <f ca="1">IF(ECF[[#This Row],[Verif. Biela]]="OK","OK","lim.")</f>
        <v>OK</v>
      </c>
      <c r="BK262" s="4" t="str">
        <f ca="1">IF(COUNTA(ECF[[#This Row],[Nº Est.]:[Biela comp.]])=COUNTIF(ECF[[#This Row],[Nº Est.]:[Biela comp.]],"OK"),"OK","lim.")</f>
        <v>lim.</v>
      </c>
      <c r="BL262" s="4" t="str">
        <f ca="1">IF(ECF[[#This Row],[Controle]]="OK",ECF[[#This Row],[nE]]&amp;" Ø "&amp;ECF[[#This Row],[Ø (cm)]]&amp;" cm, Prof. "&amp;ECF[[#This Row],[Prof. (m)]]&amp;" m","")</f>
        <v/>
      </c>
      <c r="BM262" s="4" t="str">
        <f ca="1">IF(ECF[[#This Row],[idDimensionamento]]="","",ECF[[#This Row],[idPilar]]&amp;ECF[[#This Row],[idDimensionamento]])</f>
        <v/>
      </c>
    </row>
    <row r="263" spans="2:65" x14ac:dyDescent="0.25">
      <c r="B263" s="12">
        <f>ROUNDUP((ROW(ECF[[#This Row],[idDiâmetro]])-ROW(ECF[[#Headers],[idDiâmetro]]))/(COUNT(SPT[Prof. (m)])*COUNT(PILARES[Pilar])),0)</f>
        <v>10</v>
      </c>
      <c r="C263" s="12">
        <f>IF(ECF[[#This Row],[idDiâmetro]]&lt;&gt;B262,1,IF(ECF[[#This Row],[Prof. (m)]]=0,C262+1,C262))</f>
        <v>1</v>
      </c>
      <c r="D263" s="82">
        <f>IFERROR(IF(D262=MAX(SPT[Prof. (m)]),0,D262+1),0)</f>
        <v>6</v>
      </c>
      <c r="E263" s="82">
        <f>INDEX(SPT[],MATCH(ECF[[#This Row],[Prof. (m)]],SPT[Prof. (m)],0),2)</f>
        <v>21</v>
      </c>
      <c r="F263" s="82" t="str">
        <f>INDEX(SPT[],MATCH(ECF[[#This Row],[Prof. (m)]],SPT[Prof. (m)],0),3)</f>
        <v>Silte arenoso</v>
      </c>
      <c r="G263" s="82">
        <f>INDEX(estacas[],ECF[[#This Row],[idDiâmetro]],MATCH($B$2,estacas[#Headers],0))</f>
        <v>200</v>
      </c>
      <c r="H263" s="82">
        <f>INDEX(estacas[],MATCH(ECF[[#This Row],[Ø (cm)]],estacas[Ø ECF (cm)],0),MATCH(ECF[[#Headers],[Pe ECF (kN)]],estacas[#Headers],0))</f>
        <v>12500</v>
      </c>
      <c r="I263" s="4">
        <f>INDEX(K_alpha_C[],MATCH(ECF[[#This Row],[Solo]],K_alpha_C[Solo],0),2)</f>
        <v>0.55000000000000004</v>
      </c>
      <c r="J263" s="5">
        <f>INDEX(K_alpha_C[],MATCH(ECF[[#This Row],[Solo]],K_alpha_C[Solo],0),3)</f>
        <v>2.2000000000000002</v>
      </c>
      <c r="K263" s="4">
        <f>INDEX(F1_F2[],MATCH($D$2,F1_F2[Tipo de estaca],0),2)</f>
        <v>3</v>
      </c>
      <c r="L263" s="4">
        <f>INDEX(F1_F2[],MATCH($D$2,F1_F2[Tipo de estaca],0),3)</f>
        <v>6</v>
      </c>
      <c r="M263" s="4">
        <f>PI()*(ECF[[#This Row],[Ø (cm)]]/100)^2/4</f>
        <v>3.1415926535897931</v>
      </c>
      <c r="N263" s="4">
        <f>PI()*ECF[[#This Row],[Ø (cm)]]/100</f>
        <v>6.2831853071795862</v>
      </c>
      <c r="O263" s="4">
        <f>IF(ECF[[#This Row],[Prof. (m)]]=0,0,ECF[[#This Row],[α (%)]]/100*ECF[[#This Row],[K (MPa)]]*1000*ECF[[#This Row],[NSPT]])</f>
        <v>254.10000000000002</v>
      </c>
      <c r="P263" s="4">
        <f>IF(ECF[[#This Row],[Prof. (m)]]=0,0,(ECF[[#This Row],[K (MPa)]]*1000*ECF[[#This Row],[NSPT]]/ECF[[#This Row],[F1]]*ECF[[#This Row],[Ap (m²)]]+ECF[[#This Row],[U (m)]]/ECF[[#This Row],[F2]]*SUMIFS(ECF[(α∙K∙NL∙ΔL)],ECF[Prof. (m)],"&lt;="&amp;ECF[[#This Row],[Prof. (m)]],ECF[idDiâmetro],ECF[[#This Row],[idDiâmetro]],ECF[idPilar],ECF[[#This Row],[idPilar]]))/'DADOS CAP. CARGA'!$D$2)</f>
        <v>6457.0724605557816</v>
      </c>
      <c r="Q263" s="12">
        <f>INDEX(C_alpha_beta[],MATCH(ECF[[#This Row],[Solo]],C_alpha_beta[Solo],0),MATCH(ECF[[#Headers],[C (kPa)]],C_alpha_beta[#Headers],0))</f>
        <v>250</v>
      </c>
      <c r="R263" s="4">
        <f>INDEX(C_alpha_beta[],MATCH(ECF[[#This Row],[Solo]],C_alpha_beta[Solo],0),MATCH(ECF[[#Headers],[α ESF]],C_alpha_beta[#Headers],0))</f>
        <v>0.6</v>
      </c>
      <c r="S263" s="4">
        <f>INDEX(C_alpha_beta[],MATCH(ECF[[#This Row],[Solo]],C_alpha_beta[Solo],0),MATCH(ECF[[#Headers],[β ESF]],C_alpha_beta[#Headers],0))</f>
        <v>0.65</v>
      </c>
      <c r="T263" s="4">
        <f>IF(ECF[[#This Row],[Prof. (m)]]=0,0,10*(ECF[[#This Row],[NSPT]]/3+1))</f>
        <v>80</v>
      </c>
      <c r="U263" s="4">
        <f>(ECF[[#This Row],[α ESF]]*ECF[[#This Row],[C (kPa)]]*ECF[[#This Row],[NSPT]]*ECF[[#This Row],[Ap (m²)]])/'DADOS CAP. CARGA'!$Q$2+(ECF[[#This Row],[β ESF]]*SUMIFS(ECF[10∙(NL/3+1)],ECF[Prof. (m)],"&lt;="&amp;ECF[[#This Row],[Prof. (m)]],ECF[idDiâmetro],ECF[[#This Row],[idDiâmetro]],ECF[idPilar],ECF[[#This Row],[idPilar]])*ECF[[#This Row],[U (m)]])/'DADOS CAP. CARGA'!$S$2</f>
        <v>2964.09266866197</v>
      </c>
      <c r="V263" s="4">
        <f>IF(SPT!$M$5=1,MIN(ECF[[#This Row],[Pe ECF (kN)]],ECF[[#This Row],[R_AV (kN)]]),IF(SPT!$M$5=2,MIN(ECF[[#This Row],[Pe ECF (kN)]],ECF[[#This Row],[R_DC (kN)]]),MIN(ECF[[#This Row],[Pe ECF (kN)]],ECF[[#This Row],[R_AV (kN)]],ECF[[#This Row],[R_DC (kN)]])))</f>
        <v>2964.09266866197</v>
      </c>
      <c r="W263" s="4">
        <f>INDEX(PILARES[],ECF[[#This Row],[idPilar]],MATCH("Carga (kN)",PILARES[#Headers],0))*1.4</f>
        <v>3500</v>
      </c>
      <c r="X263" s="12">
        <f>INDEX(PILARES[],ECF[[#This Row],[idPilar]],MATCH(ECF[[#Headers],[ap (cm)]],PILARES[#Headers],0))</f>
        <v>60</v>
      </c>
      <c r="Y263" s="12">
        <f>INDEX(PILARES[],ECF[[#This Row],[idPilar]],MATCH(ECF[[#Headers],[bp (cm)]],PILARES[#Headers],0))</f>
        <v>60</v>
      </c>
      <c r="Z263" s="4">
        <f>SQRT(ECF[[#This Row],[ap (cm)]]*ECF[[#This Row],[bp (cm)]])</f>
        <v>60</v>
      </c>
      <c r="AA263" s="12">
        <f>ECF[[#This Row],[ap (cm)]]*ECF[[#This Row],[bp (cm)]]</f>
        <v>3600</v>
      </c>
      <c r="AB263" s="12">
        <f ca="1">IF(ECF[[#This Row],[Padm∙ε (kN)]]&gt;=ECF[[#This Row],[Padm (kN)]],ROUNDUP(1.05*ECF[[#This Row],[Nsd (kN)]]/ECF[[#This Row],[Padm (kN)]],0),ROUNDUP(1.05*ECF[[#This Row],[Nsd (kN)]]/ECF[[#This Row],[Padm (kN)]],0)+1)</f>
        <v>2</v>
      </c>
      <c r="AC263" s="4">
        <f ca="1">IFERROR(IF(ECF[[#This Row],[nE]]=1,ECF[[#This Row],[Padm (kN)]],ECF[[#This Row],[Padm (kN)]]*ECF[[#This Row],[nE]]*INDEX(grupoEstacas[],ECF[[#This Row],[nE]],MATCH("ε",grupoEstacas[#Headers],0))),"N.S.")</f>
        <v>5557.6737537411937</v>
      </c>
      <c r="AD263" s="4">
        <f ca="1">1.05*ECF[[#This Row],[Nsd (kN)]]/(ECF[[#This Row],[nE]]*PI()*ECF[[#This Row],[Ø (cm)]]^2/4)*10</f>
        <v>0.5848944158627154</v>
      </c>
      <c r="AE263" s="4">
        <f ca="1">IF(ECF[[#This Row],[σ (MPa)]]&lt;INDEX(tipoEstaca[],MATCH($D$2,tipoEstaca[TIPO DE ESTACA],0),MATCH("σmáx (MPa)",tipoEstaca[#Headers],0)),0.4%*PI()*ECF[[#This Row],[Ø (cm)]]^2/4,"N.S.")</f>
        <v>125.66370614359174</v>
      </c>
      <c r="AF263" s="82">
        <f>INDEX(tipoEstaca[],MATCH($D$2,tipoEstaca[TIPO DE ESTACA],0),MATCH(ECF[[#Headers],[Comprimento (m)]],tipoEstaca[#Headers],0))</f>
        <v>4</v>
      </c>
      <c r="AG263" s="5">
        <f ca="1">ECF[[#This Row],[As,mín (cm²)]]/100^2*ECF[[#This Row],[Comprimento (m)]]*7850</f>
        <v>394.58403729087803</v>
      </c>
      <c r="AH263" s="4">
        <f ca="1">ECF[[#This Row],[nE]]*ECF[[#This Row],[Prof. (m)]]*ECF[[#This Row],[Ap (m²)]]</f>
        <v>37.699111843077517</v>
      </c>
      <c r="AI263" s="82">
        <f ca="1">IF(ECF[[#This Row],[nE]]=1,0,MAX(3*ECF[[#This Row],[Ø (cm)]],60))</f>
        <v>600</v>
      </c>
      <c r="AJ263" s="82">
        <f ca="1">IF(ECF[[#This Row],[nE]]=1,ECF[[#This Row],[Ø (cm)]]+2*10,MAX(1.5*ECF[[#This Row],[Ø (cm)]],ECF[[#This Row],[Ø (cm)]]+15))</f>
        <v>300</v>
      </c>
      <c r="AK263" s="82">
        <f ca="1">alturaUtil(ECF[[#This Row],[nE]],ECF[[#This Row],[Ø (cm)]],ECF[[#This Row],[e (cm)]],ECF[[#This Row],[ap,eq (cm)]])</f>
        <v>285</v>
      </c>
      <c r="AL263" s="82">
        <f ca="1">IFERROR(ECF[[#This Row],[d (cm)]]+arredondarParaCimaMultiplo5cm(MAX(5,SQRT(PI())/2*ECF[[#This Row],[Ø (cm)]]/5)),"N.S.")</f>
        <v>325</v>
      </c>
      <c r="AM263" s="5">
        <f ca="1">alpha(ECF[[#This Row],[nE]],ECF[[#This Row],[d (cm)]],ECF[[#This Row],[e (cm)]],ECF[[#This Row],[ap,eq (cm)]])</f>
        <v>45</v>
      </c>
      <c r="AN263" s="35">
        <f ca="1">IFERROR(ECF[[#This Row],[Nsd (kN)]]/(ECF[[#This Row],[Ap (cm²)]]*SIN(ECF[[#This Row],[α]])^2),"N.S.")</f>
        <v>1.3427801064714635</v>
      </c>
      <c r="AO263" s="35">
        <f ca="1">IFERROR(ECF[[#This Row],[Nsd (kN)]]/(ECF[[#This Row],[nE]]*PI()*ECF[[#This Row],[Ø (cm)]]^2/4*SIN(ECF[[#This Row],[α]])^2),"N.S.")</f>
        <v>7.6935632914942181E-2</v>
      </c>
      <c r="AP263" s="4">
        <f ca="1">IFERROR(INDEX(grupoEstacas[],ECF[[#This Row],[nE]],MATCH("coef. Blévot",grupoEstacas[#Headers],0)),"N.S.")</f>
        <v>1.4</v>
      </c>
      <c r="AQ263" s="35">
        <f ca="1">IFERROR(ECF[[#This Row],[coef. Blévot]]*0.9*INDEX(tipoEstaca[],MATCH($D$2,tipoEstaca[TIPO DE ESTACA],0),MATCH("fcd (kN/cm²)",tipoEstaca[#Headers],0)),"N.S.")</f>
        <v>1.4000000000000001</v>
      </c>
      <c r="AR263" s="82" t="str">
        <f ca="1">IF(AND(ECF[[#This Row],[cd,b,pil (kN/cm²)]]&lt;=ECF[[#This Row],[cd,b,lim (kN/cm²)]],ECF[[#This Row],[cd,b,est (kN/cm²)]]&lt;=ECF[[#This Row],[cd,b,lim (kN/cm²)]]),"OK","ERRO")</f>
        <v>OK</v>
      </c>
      <c r="AS263" s="4">
        <f ca="1">As_lado(ECF[[#This Row],[nE]],ECF[[#This Row],[Nsd (kN)]],ECF[[#This Row],[d (cm)]],ECF[[#This Row],[e (cm)]],ECF[[#This Row],[ap,eq (cm)]])</f>
        <v>46.287499999999994</v>
      </c>
      <c r="AT263" s="4">
        <f ca="1">IF(ECF[[#This Row],[nE]]=1,ECF[[#This Row],[As,lado (cm²)]],IF(ECF[[#This Row],[nE]]=2,0.075*2*ECF[a (cm)],"N.A."))</f>
        <v>45</v>
      </c>
      <c r="AU263" s="4">
        <f ca="1">IFERROR(IF(ECF[[#This Row],[nE]]=1,"N.A.",0.2*ECF[[#This Row],[As,lado (cm²)]]),"N.S.")</f>
        <v>9.2574999999999985</v>
      </c>
      <c r="AV263" s="4" t="str">
        <f ca="1">As_malha(ECF[[#This Row],[nE]],ECF[[#This Row],[As,lado (cm²)]],ECF[[#This Row],[Nsd (kN)]])</f>
        <v>N.A.</v>
      </c>
      <c r="AW263" s="4" t="str">
        <f ca="1">As_susp_tot(ECF[[#This Row],[nE]],ECF[[#This Row],[Nsd (kN)]])</f>
        <v>N.A.</v>
      </c>
      <c r="AX263" s="4" t="str">
        <f ca="1">Asp_face(ECF[[#This Row],[nE]],ECF[[#This Row],[As,lado (cm²)]])</f>
        <v>N.A.</v>
      </c>
      <c r="AY263" s="5">
        <f ca="1">acoBloco(ECF[[#This Row],[nE]],ECF[[#This Row],[e (cm)]],ECF[[#This Row],[a (cm)]],ECF[[#This Row],[h (cm)]],ECF[[#This Row],[As,lado (cm²)]],ECF[[#This Row],[Asp e Asw (cm²/m)]],ECF[[#This Row],[As,sup (cm²)]],ECF[[#This Row],[As,malha (cm²)]],ECF[[#This Row],[As,susp,tot (cm²)]],ECF[[#This Row],[Asp,face (cm²)]])</f>
        <v>12498.4089</v>
      </c>
      <c r="AZ263" s="4">
        <f ca="1">concretoBloco(ECF[[#This Row],[nE]],ECF[[#This Row],[e (cm)]],ECF[[#This Row],[a (cm)]],ECF[[#This Row],[h (cm)]])</f>
        <v>234</v>
      </c>
      <c r="BA263" s="5">
        <f ca="1">SUM(ECF[[#This Row],[Aço Est (kg)]],ECF[[#This Row],[Aço Bloco (kg)]])</f>
        <v>12892.992937290879</v>
      </c>
      <c r="BB263" s="4">
        <f>INDEX(composicoes[],MATCH(95580,composicoes[CÓDIGO],0),MATCH("CUSTO TOTAL",composicoes[#Headers],0))</f>
        <v>10.46</v>
      </c>
      <c r="BC263" s="4">
        <f ca="1">SUM(ECF[[#This Row],[Conc Est (m³)]],ECF[[#This Row],[Conc Bloco (m³)]])</f>
        <v>271.6991118430775</v>
      </c>
      <c r="BD263" s="4">
        <f>INDEX(composicoes[],MATCH(94966,composicoes[CÓDIGO],0),MATCH("CUSTO TOTAL",composicoes[#Headers],0))</f>
        <v>439.52</v>
      </c>
      <c r="BE263" s="38">
        <f ca="1">ECF[[#This Row],[Aço (kg)]]*ECF[[#This Row],[Aço (R$/kg)]]+ECF[[#This Row],[Conc (m³)]]*ECF[[#This Row],[Conc (R$/m³)]]</f>
        <v>254277.89976133202</v>
      </c>
      <c r="BF263" s="4" t="str">
        <f ca="1">IF(COUNTIF(ECF[#This Row],"N.S.")&gt;0,"lim.","OK")</f>
        <v>OK</v>
      </c>
      <c r="BG263" s="4" t="str">
        <f>IF(ECF[[#This Row],[Prof. (m)]]&lt;4,"lim.","OK")</f>
        <v>OK</v>
      </c>
      <c r="BH263" s="4" t="str">
        <f>IF(ECF[[#This Row],[Prof. (m)]]&gt;=8*ECF[[#This Row],[Ø (cm)]]/100,"OK","lim.")</f>
        <v>lim.</v>
      </c>
      <c r="BI263" s="4" t="str">
        <f>IF(AND(SPT!$F$3&lt;&gt;"",ECF[[#This Row],[Prof. (m)]]&gt;=SPT!$F$3-2),"lim.","OK")</f>
        <v>OK</v>
      </c>
      <c r="BJ263" s="4" t="str">
        <f ca="1">IF(ECF[[#This Row],[Verif. Biela]]="OK","OK","lim.")</f>
        <v>OK</v>
      </c>
      <c r="BK263" s="4" t="str">
        <f ca="1">IF(COUNTA(ECF[[#This Row],[Nº Est.]:[Biela comp.]])=COUNTIF(ECF[[#This Row],[Nº Est.]:[Biela comp.]],"OK"),"OK","lim.")</f>
        <v>lim.</v>
      </c>
      <c r="BL263" s="4" t="str">
        <f ca="1">IF(ECF[[#This Row],[Controle]]="OK",ECF[[#This Row],[nE]]&amp;" Ø "&amp;ECF[[#This Row],[Ø (cm)]]&amp;" cm, Prof. "&amp;ECF[[#This Row],[Prof. (m)]]&amp;" m","")</f>
        <v/>
      </c>
      <c r="BM263" s="4" t="str">
        <f ca="1">IF(ECF[[#This Row],[idDimensionamento]]="","",ECF[[#This Row],[idPilar]]&amp;ECF[[#This Row],[idDimensionamento]])</f>
        <v/>
      </c>
    </row>
    <row r="264" spans="2:65" x14ac:dyDescent="0.25">
      <c r="B264" s="12">
        <f>ROUNDUP((ROW(ECF[[#This Row],[idDiâmetro]])-ROW(ECF[[#Headers],[idDiâmetro]]))/(COUNT(SPT[Prof. (m)])*COUNT(PILARES[Pilar])),0)</f>
        <v>10</v>
      </c>
      <c r="C264" s="12">
        <f>IF(ECF[[#This Row],[idDiâmetro]]&lt;&gt;B263,1,IF(ECF[[#This Row],[Prof. (m)]]=0,C263+1,C263))</f>
        <v>1</v>
      </c>
      <c r="D264" s="82">
        <f>IFERROR(IF(D263=MAX(SPT[Prof. (m)]),0,D263+1),0)</f>
        <v>7</v>
      </c>
      <c r="E264" s="82">
        <f>INDEX(SPT[],MATCH(ECF[[#This Row],[Prof. (m)]],SPT[Prof. (m)],0),2)</f>
        <v>8</v>
      </c>
      <c r="F264" s="82" t="str">
        <f>INDEX(SPT[],MATCH(ECF[[#This Row],[Prof. (m)]],SPT[Prof. (m)],0),3)</f>
        <v>Silte arenoso</v>
      </c>
      <c r="G264" s="82">
        <f>INDEX(estacas[],ECF[[#This Row],[idDiâmetro]],MATCH($B$2,estacas[#Headers],0))</f>
        <v>200</v>
      </c>
      <c r="H264" s="82">
        <f>INDEX(estacas[],MATCH(ECF[[#This Row],[Ø (cm)]],estacas[Ø ECF (cm)],0),MATCH(ECF[[#Headers],[Pe ECF (kN)]],estacas[#Headers],0))</f>
        <v>12500</v>
      </c>
      <c r="I264" s="4">
        <f>INDEX(K_alpha_C[],MATCH(ECF[[#This Row],[Solo]],K_alpha_C[Solo],0),2)</f>
        <v>0.55000000000000004</v>
      </c>
      <c r="J264" s="5">
        <f>INDEX(K_alpha_C[],MATCH(ECF[[#This Row],[Solo]],K_alpha_C[Solo],0),3)</f>
        <v>2.2000000000000002</v>
      </c>
      <c r="K264" s="4">
        <f>INDEX(F1_F2[],MATCH($D$2,F1_F2[Tipo de estaca],0),2)</f>
        <v>3</v>
      </c>
      <c r="L264" s="4">
        <f>INDEX(F1_F2[],MATCH($D$2,F1_F2[Tipo de estaca],0),3)</f>
        <v>6</v>
      </c>
      <c r="M264" s="4">
        <f>PI()*(ECF[[#This Row],[Ø (cm)]]/100)^2/4</f>
        <v>3.1415926535897931</v>
      </c>
      <c r="N264" s="4">
        <f>PI()*ECF[[#This Row],[Ø (cm)]]/100</f>
        <v>6.2831853071795862</v>
      </c>
      <c r="O264" s="4">
        <f>IF(ECF[[#This Row],[Prof. (m)]]=0,0,ECF[[#This Row],[α (%)]]/100*ECF[[#This Row],[K (MPa)]]*1000*ECF[[#This Row],[NSPT]])</f>
        <v>96.800000000000011</v>
      </c>
      <c r="P264" s="4">
        <f>IF(ECF[[#This Row],[Prof. (m)]]=0,0,(ECF[[#This Row],[K (MPa)]]*1000*ECF[[#This Row],[NSPT]]/ECF[[#This Row],[F1]]*ECF[[#This Row],[Ap (m²)]]+ECF[[#This Row],[U (m)]]/ECF[[#This Row],[F2]]*SUMIFS(ECF[(α∙K∙NL∙ΔL)],ECF[Prof. (m)],"&lt;="&amp;ECF[[#This Row],[Prof. (m)]],ECF[idDiâmetro],ECF[[#This Row],[idDiâmetro]],ECF[idPilar],ECF[[#This Row],[idPilar]]))/'DADOS CAP. CARGA'!$D$2)</f>
        <v>2764.02557650586</v>
      </c>
      <c r="Q264" s="12">
        <f>INDEX(C_alpha_beta[],MATCH(ECF[[#This Row],[Solo]],C_alpha_beta[Solo],0),MATCH(ECF[[#Headers],[C (kPa)]],C_alpha_beta[#Headers],0))</f>
        <v>250</v>
      </c>
      <c r="R264" s="4">
        <f>INDEX(C_alpha_beta[],MATCH(ECF[[#This Row],[Solo]],C_alpha_beta[Solo],0),MATCH(ECF[[#Headers],[α ESF]],C_alpha_beta[#Headers],0))</f>
        <v>0.6</v>
      </c>
      <c r="S264" s="4">
        <f>INDEX(C_alpha_beta[],MATCH(ECF[[#This Row],[Solo]],C_alpha_beta[Solo],0),MATCH(ECF[[#Headers],[β ESF]],C_alpha_beta[#Headers],0))</f>
        <v>0.65</v>
      </c>
      <c r="T264" s="4">
        <f>IF(ECF[[#This Row],[Prof. (m)]]=0,0,10*(ECF[[#This Row],[NSPT]]/3+1))</f>
        <v>36.666666666666664</v>
      </c>
      <c r="U264" s="4">
        <f>(ECF[[#This Row],[α ESF]]*ECF[[#This Row],[C (kPa)]]*ECF[[#This Row],[NSPT]]*ECF[[#This Row],[Ap (m²)]])/'DADOS CAP. CARGA'!$Q$2+(ECF[[#This Row],[β ESF]]*SUMIFS(ECF[10∙(NL/3+1)],ECF[Prof. (m)],"&lt;="&amp;ECF[[#This Row],[Prof. (m)]],ECF[idDiâmetro],ECF[[#This Row],[idDiâmetro]],ECF[idPilar],ECF[[#This Row],[idPilar]])*ECF[[#This Row],[U (m)]])/'DADOS CAP. CARGA'!$S$2</f>
        <v>1507.4408749475024</v>
      </c>
      <c r="V264" s="4">
        <f>IF(SPT!$M$5=1,MIN(ECF[[#This Row],[Pe ECF (kN)]],ECF[[#This Row],[R_AV (kN)]]),IF(SPT!$M$5=2,MIN(ECF[[#This Row],[Pe ECF (kN)]],ECF[[#This Row],[R_DC (kN)]]),MIN(ECF[[#This Row],[Pe ECF (kN)]],ECF[[#This Row],[R_AV (kN)]],ECF[[#This Row],[R_DC (kN)]])))</f>
        <v>1507.4408749475024</v>
      </c>
      <c r="W264" s="4">
        <f>INDEX(PILARES[],ECF[[#This Row],[idPilar]],MATCH("Carga (kN)",PILARES[#Headers],0))*1.4</f>
        <v>3500</v>
      </c>
      <c r="X264" s="12">
        <f>INDEX(PILARES[],ECF[[#This Row],[idPilar]],MATCH(ECF[[#Headers],[ap (cm)]],PILARES[#Headers],0))</f>
        <v>60</v>
      </c>
      <c r="Y264" s="12">
        <f>INDEX(PILARES[],ECF[[#This Row],[idPilar]],MATCH(ECF[[#Headers],[bp (cm)]],PILARES[#Headers],0))</f>
        <v>60</v>
      </c>
      <c r="Z264" s="4">
        <f>SQRT(ECF[[#This Row],[ap (cm)]]*ECF[[#This Row],[bp (cm)]])</f>
        <v>60</v>
      </c>
      <c r="AA264" s="12">
        <f>ECF[[#This Row],[ap (cm)]]*ECF[[#This Row],[bp (cm)]]</f>
        <v>3600</v>
      </c>
      <c r="AB264" s="12">
        <f ca="1">IF(ECF[[#This Row],[Padm∙ε (kN)]]&gt;=ECF[[#This Row],[Padm (kN)]],ROUNDUP(1.05*ECF[[#This Row],[Nsd (kN)]]/ECF[[#This Row],[Padm (kN)]],0),ROUNDUP(1.05*ECF[[#This Row],[Nsd (kN)]]/ECF[[#This Row],[Padm (kN)]],0)+1)</f>
        <v>3</v>
      </c>
      <c r="AC264" s="4">
        <f ca="1">IFERROR(IF(ECF[[#This Row],[nE]]=1,ECF[[#This Row],[Padm (kN)]],ECF[[#This Row],[Padm (kN)]]*ECF[[#This Row],[nE]]*INDEX(grupoEstacas[],ECF[[#This Row],[nE]],MATCH("ε",grupoEstacas[#Headers],0))),"N.S.")</f>
        <v>3957.032296737194</v>
      </c>
      <c r="AD264" s="4">
        <f ca="1">1.05*ECF[[#This Row],[Nsd (kN)]]/(ECF[[#This Row],[nE]]*PI()*ECF[[#This Row],[Ø (cm)]]^2/4)*10</f>
        <v>0.38992961057514364</v>
      </c>
      <c r="AE264" s="4">
        <f ca="1">IF(ECF[[#This Row],[σ (MPa)]]&lt;INDEX(tipoEstaca[],MATCH($D$2,tipoEstaca[TIPO DE ESTACA],0),MATCH("σmáx (MPa)",tipoEstaca[#Headers],0)),0.4%*PI()*ECF[[#This Row],[Ø (cm)]]^2/4,"N.S.")</f>
        <v>125.66370614359174</v>
      </c>
      <c r="AF264" s="82">
        <f>INDEX(tipoEstaca[],MATCH($D$2,tipoEstaca[TIPO DE ESTACA],0),MATCH(ECF[[#Headers],[Comprimento (m)]],tipoEstaca[#Headers],0))</f>
        <v>4</v>
      </c>
      <c r="AG264" s="5">
        <f ca="1">ECF[[#This Row],[As,mín (cm²)]]/100^2*ECF[[#This Row],[Comprimento (m)]]*7850</f>
        <v>394.58403729087803</v>
      </c>
      <c r="AH264" s="4">
        <f ca="1">ECF[[#This Row],[nE]]*ECF[[#This Row],[Prof. (m)]]*ECF[[#This Row],[Ap (m²)]]</f>
        <v>65.973445725385659</v>
      </c>
      <c r="AI264" s="82">
        <f ca="1">IF(ECF[[#This Row],[nE]]=1,0,MAX(3*ECF[[#This Row],[Ø (cm)]],60))</f>
        <v>600</v>
      </c>
      <c r="AJ264" s="82">
        <f ca="1">IF(ECF[[#This Row],[nE]]=1,ECF[[#This Row],[Ø (cm)]]+2*10,MAX(1.5*ECF[[#This Row],[Ø (cm)]],ECF[[#This Row],[Ø (cm)]]+15))</f>
        <v>300</v>
      </c>
      <c r="AK264" s="82">
        <f ca="1">alturaUtil(ECF[[#This Row],[nE]],ECF[[#This Row],[Ø (cm)]],ECF[[#This Row],[e (cm)]],ECF[[#This Row],[ap,eq (cm)]])</f>
        <v>285</v>
      </c>
      <c r="AL264" s="82">
        <f ca="1">IFERROR(ECF[[#This Row],[d (cm)]]+arredondarParaCimaMultiplo5cm(MAX(5,SQRT(PI())/2*ECF[[#This Row],[Ø (cm)]]/5)),"N.S.")</f>
        <v>325</v>
      </c>
      <c r="AM264" s="5">
        <f ca="1">alpha(ECF[[#This Row],[nE]],ECF[[#This Row],[d (cm)]],ECF[[#This Row],[e (cm)]],ECF[[#This Row],[ap,eq (cm)]])</f>
        <v>45.303149443714126</v>
      </c>
      <c r="AN264" s="35">
        <f ca="1">IFERROR(ECF[[#This Row],[Nsd (kN)]]/(ECF[[#This Row],[Ap (cm²)]]*SIN(ECF[[#This Row],[α]])^2),"N.S.")</f>
        <v>1.0355810266349001</v>
      </c>
      <c r="AO264" s="35">
        <f ca="1">IFERROR(ECF[[#This Row],[Nsd (kN)]]/(ECF[[#This Row],[nE]]*PI()*ECF[[#This Row],[Ø (cm)]]^2/4*SIN(ECF[[#This Row],[α]])^2),"N.S.")</f>
        <v>3.9556281446669776E-2</v>
      </c>
      <c r="AP264" s="4">
        <f ca="1">IFERROR(INDEX(grupoEstacas[],ECF[[#This Row],[nE]],MATCH("coef. Blévot",grupoEstacas[#Headers],0)),"N.S.")</f>
        <v>1.75</v>
      </c>
      <c r="AQ264" s="35">
        <f ca="1">IFERROR(ECF[[#This Row],[coef. Blévot]]*0.9*INDEX(tipoEstaca[],MATCH($D$2,tipoEstaca[TIPO DE ESTACA],0),MATCH("fcd (kN/cm²)",tipoEstaca[#Headers],0)),"N.S.")</f>
        <v>1.75</v>
      </c>
      <c r="AR264" s="82" t="str">
        <f ca="1">IF(AND(ECF[[#This Row],[cd,b,pil (kN/cm²)]]&lt;=ECF[[#This Row],[cd,b,lim (kN/cm²)]],ECF[[#This Row],[cd,b,est (kN/cm²)]]&lt;=ECF[[#This Row],[cd,b,lim (kN/cm²)]]),"OK","ERRO")</f>
        <v>OK</v>
      </c>
      <c r="AS264" s="4">
        <f ca="1">As_lado(ECF[[#This Row],[nE]],ECF[[#This Row],[Nsd (kN)]],ECF[[#This Row],[d (cm)]],ECF[[#This Row],[e (cm)]],ECF[[#This Row],[ap,eq (cm)]])</f>
        <v>17.851952584730093</v>
      </c>
      <c r="AT264" s="4" t="str">
        <f ca="1">IF(ECF[[#This Row],[nE]]=1,ECF[[#This Row],[As,lado (cm²)]],IF(ECF[[#This Row],[nE]]=2,0.075*2*ECF[a (cm)],"N.A."))</f>
        <v>N.A.</v>
      </c>
      <c r="AU264" s="4">
        <f ca="1">IFERROR(IF(ECF[[#This Row],[nE]]=1,"N.A.",0.2*ECF[[#This Row],[As,lado (cm²)]]),"N.S.")</f>
        <v>3.5703905169460186</v>
      </c>
      <c r="AV264" s="4">
        <f ca="1">As_malha(ECF[[#This Row],[nE]],ECF[[#This Row],[As,lado (cm²)]],ECF[[#This Row],[Nsd (kN)]])</f>
        <v>5.9629629629629619</v>
      </c>
      <c r="AW264" s="4">
        <f ca="1">As_susp_tot(ECF[[#This Row],[nE]],ECF[[#This Row],[Nsd (kN)]])</f>
        <v>17.888888888888886</v>
      </c>
      <c r="AX264" s="4">
        <f ca="1">Asp_face(ECF[[#This Row],[nE]],ECF[[#This Row],[As,lado (cm²)]])</f>
        <v>6.6944822192737847</v>
      </c>
      <c r="AY264" s="5">
        <f ca="1">acoBloco(ECF[[#This Row],[nE]],ECF[[#This Row],[e (cm)]],ECF[[#This Row],[a (cm)]],ECF[[#This Row],[h (cm)]],ECF[[#This Row],[As,lado (cm²)]],ECF[[#This Row],[Asp e Asw (cm²/m)]],ECF[[#This Row],[As,sup (cm²)]],ECF[[#This Row],[As,malha (cm²)]],ECF[[#This Row],[As,susp,tot (cm²)]],ECF[[#This Row],[Asp,face (cm²)]])</f>
        <v>1059.9400836080174</v>
      </c>
      <c r="AZ264" s="4">
        <f ca="1">concretoBloco(ECF[[#This Row],[nE]],ECF[[#This Row],[e (cm)]],ECF[[#This Row],[a (cm)]],ECF[[#This Row],[h (cm)]])</f>
        <v>327.48745836416896</v>
      </c>
      <c r="BA264" s="5">
        <f ca="1">SUM(ECF[[#This Row],[Aço Est (kg)]],ECF[[#This Row],[Aço Bloco (kg)]])</f>
        <v>1454.5241208988955</v>
      </c>
      <c r="BB264" s="4">
        <f>INDEX(composicoes[],MATCH(95580,composicoes[CÓDIGO],0),MATCH("CUSTO TOTAL",composicoes[#Headers],0))</f>
        <v>10.46</v>
      </c>
      <c r="BC264" s="4">
        <f ca="1">SUM(ECF[[#This Row],[Conc Est (m³)]],ECF[[#This Row],[Conc Bloco (m³)]])</f>
        <v>393.46090408955462</v>
      </c>
      <c r="BD264" s="4">
        <f>INDEX(composicoes[],MATCH(94966,composicoes[CÓDIGO],0),MATCH("CUSTO TOTAL",composicoes[#Headers],0))</f>
        <v>439.52</v>
      </c>
      <c r="BE264" s="38">
        <f ca="1">ECF[[#This Row],[Aço (kg)]]*ECF[[#This Row],[Aço (R$/kg)]]+ECF[[#This Row],[Conc (m³)]]*ECF[[#This Row],[Conc (R$/m³)]]</f>
        <v>188148.2588700435</v>
      </c>
      <c r="BF264" s="4" t="str">
        <f ca="1">IF(COUNTIF(ECF[#This Row],"N.S.")&gt;0,"lim.","OK")</f>
        <v>OK</v>
      </c>
      <c r="BG264" s="4" t="str">
        <f>IF(ECF[[#This Row],[Prof. (m)]]&lt;4,"lim.","OK")</f>
        <v>OK</v>
      </c>
      <c r="BH264" s="4" t="str">
        <f>IF(ECF[[#This Row],[Prof. (m)]]&gt;=8*ECF[[#This Row],[Ø (cm)]]/100,"OK","lim.")</f>
        <v>lim.</v>
      </c>
      <c r="BI264" s="4" t="str">
        <f>IF(AND(SPT!$F$3&lt;&gt;"",ECF[[#This Row],[Prof. (m)]]&gt;=SPT!$F$3-2),"lim.","OK")</f>
        <v>OK</v>
      </c>
      <c r="BJ264" s="4" t="str">
        <f ca="1">IF(ECF[[#This Row],[Verif. Biela]]="OK","OK","lim.")</f>
        <v>OK</v>
      </c>
      <c r="BK264" s="4" t="str">
        <f ca="1">IF(COUNTA(ECF[[#This Row],[Nº Est.]:[Biela comp.]])=COUNTIF(ECF[[#This Row],[Nº Est.]:[Biela comp.]],"OK"),"OK","lim.")</f>
        <v>lim.</v>
      </c>
      <c r="BL264" s="4" t="str">
        <f ca="1">IF(ECF[[#This Row],[Controle]]="OK",ECF[[#This Row],[nE]]&amp;" Ø "&amp;ECF[[#This Row],[Ø (cm)]]&amp;" cm, Prof. "&amp;ECF[[#This Row],[Prof. (m)]]&amp;" m","")</f>
        <v/>
      </c>
      <c r="BM264" s="4" t="str">
        <f ca="1">IF(ECF[[#This Row],[idDimensionamento]]="","",ECF[[#This Row],[idPilar]]&amp;ECF[[#This Row],[idDimensionamento]])</f>
        <v/>
      </c>
    </row>
    <row r="265" spans="2:65" x14ac:dyDescent="0.25">
      <c r="B265" s="12">
        <f>ROUNDUP((ROW(ECF[[#This Row],[idDiâmetro]])-ROW(ECF[[#Headers],[idDiâmetro]]))/(COUNT(SPT[Prof. (m)])*COUNT(PILARES[Pilar])),0)</f>
        <v>10</v>
      </c>
      <c r="C265" s="12">
        <f>IF(ECF[[#This Row],[idDiâmetro]]&lt;&gt;B264,1,IF(ECF[[#This Row],[Prof. (m)]]=0,C264+1,C264))</f>
        <v>1</v>
      </c>
      <c r="D265" s="82">
        <f>IFERROR(IF(D264=MAX(SPT[Prof. (m)]),0,D264+1),0)</f>
        <v>8</v>
      </c>
      <c r="E265" s="82">
        <f>INDEX(SPT[],MATCH(ECF[[#This Row],[Prof. (m)]],SPT[Prof. (m)],0),2)</f>
        <v>10</v>
      </c>
      <c r="F265" s="82" t="str">
        <f>INDEX(SPT[],MATCH(ECF[[#This Row],[Prof. (m)]],SPT[Prof. (m)],0),3)</f>
        <v>Silte arenoso</v>
      </c>
      <c r="G265" s="82">
        <f>INDEX(estacas[],ECF[[#This Row],[idDiâmetro]],MATCH($B$2,estacas[#Headers],0))</f>
        <v>200</v>
      </c>
      <c r="H265" s="82">
        <f>INDEX(estacas[],MATCH(ECF[[#This Row],[Ø (cm)]],estacas[Ø ECF (cm)],0),MATCH(ECF[[#Headers],[Pe ECF (kN)]],estacas[#Headers],0))</f>
        <v>12500</v>
      </c>
      <c r="I265" s="4">
        <f>INDEX(K_alpha_C[],MATCH(ECF[[#This Row],[Solo]],K_alpha_C[Solo],0),2)</f>
        <v>0.55000000000000004</v>
      </c>
      <c r="J265" s="5">
        <f>INDEX(K_alpha_C[],MATCH(ECF[[#This Row],[Solo]],K_alpha_C[Solo],0),3)</f>
        <v>2.2000000000000002</v>
      </c>
      <c r="K265" s="4">
        <f>INDEX(F1_F2[],MATCH($D$2,F1_F2[Tipo de estaca],0),2)</f>
        <v>3</v>
      </c>
      <c r="L265" s="4">
        <f>INDEX(F1_F2[],MATCH($D$2,F1_F2[Tipo de estaca],0),3)</f>
        <v>6</v>
      </c>
      <c r="M265" s="4">
        <f>PI()*(ECF[[#This Row],[Ø (cm)]]/100)^2/4</f>
        <v>3.1415926535897931</v>
      </c>
      <c r="N265" s="4">
        <f>PI()*ECF[[#This Row],[Ø (cm)]]/100</f>
        <v>6.2831853071795862</v>
      </c>
      <c r="O265" s="4">
        <f>IF(ECF[[#This Row],[Prof. (m)]]=0,0,ECF[[#This Row],[α (%)]]/100*ECF[[#This Row],[K (MPa)]]*1000*ECF[[#This Row],[NSPT]])</f>
        <v>121.00000000000001</v>
      </c>
      <c r="P265" s="4">
        <f>IF(ECF[[#This Row],[Prof. (m)]]=0,0,(ECF[[#This Row],[K (MPa)]]*1000*ECF[[#This Row],[NSPT]]/ECF[[#This Row],[F1]]*ECF[[#This Row],[Ap (m²)]]+ECF[[#This Row],[U (m)]]/ECF[[#This Row],[F2]]*SUMIFS(ECF[(α∙K∙NL∙ΔL)],ECF[Prof. (m)],"&lt;="&amp;ECF[[#This Row],[Prof. (m)]],ECF[idDiâmetro],ECF[[#This Row],[idDiâmetro]],ECF[idPilar],ECF[[#This Row],[idPilar]]))/'DADOS CAP. CARGA'!$D$2)</f>
        <v>3403.3396815113824</v>
      </c>
      <c r="Q265" s="12">
        <f>INDEX(C_alpha_beta[],MATCH(ECF[[#This Row],[Solo]],C_alpha_beta[Solo],0),MATCH(ECF[[#Headers],[C (kPa)]],C_alpha_beta[#Headers],0))</f>
        <v>250</v>
      </c>
      <c r="R265" s="4">
        <f>INDEX(C_alpha_beta[],MATCH(ECF[[#This Row],[Solo]],C_alpha_beta[Solo],0),MATCH(ECF[[#Headers],[α ESF]],C_alpha_beta[#Headers],0))</f>
        <v>0.6</v>
      </c>
      <c r="S265" s="4">
        <f>INDEX(C_alpha_beta[],MATCH(ECF[[#This Row],[Solo]],C_alpha_beta[Solo],0),MATCH(ECF[[#Headers],[β ESF]],C_alpha_beta[#Headers],0))</f>
        <v>0.65</v>
      </c>
      <c r="T265" s="4">
        <f>IF(ECF[[#This Row],[Prof. (m)]]=0,0,10*(ECF[[#This Row],[NSPT]]/3+1))</f>
        <v>43.333333333333343</v>
      </c>
      <c r="U265" s="4">
        <f>(ECF[[#This Row],[α ESF]]*ECF[[#This Row],[C (kPa)]]*ECF[[#This Row],[NSPT]]*ECF[[#This Row],[Ap (m²)]])/'DADOS CAP. CARGA'!$Q$2+(ECF[[#This Row],[β ESF]]*SUMIFS(ECF[10∙(NL/3+1)],ECF[Prof. (m)],"&lt;="&amp;ECF[[#This Row],[Prof. (m)]],ECF[idDiâmetro],ECF[[#This Row],[idDiâmetro]],ECF[idPilar],ECF[[#This Row],[idPilar]])*ECF[[#This Row],[U (m)]])/'DADOS CAP. CARGA'!$S$2</f>
        <v>1831.5485170428494</v>
      </c>
      <c r="V265" s="4">
        <f>IF(SPT!$M$5=1,MIN(ECF[[#This Row],[Pe ECF (kN)]],ECF[[#This Row],[R_AV (kN)]]),IF(SPT!$M$5=2,MIN(ECF[[#This Row],[Pe ECF (kN)]],ECF[[#This Row],[R_DC (kN)]]),MIN(ECF[[#This Row],[Pe ECF (kN)]],ECF[[#This Row],[R_AV (kN)]],ECF[[#This Row],[R_DC (kN)]])))</f>
        <v>1831.5485170428494</v>
      </c>
      <c r="W265" s="4">
        <f>INDEX(PILARES[],ECF[[#This Row],[idPilar]],MATCH("Carga (kN)",PILARES[#Headers],0))*1.4</f>
        <v>3500</v>
      </c>
      <c r="X265" s="12">
        <f>INDEX(PILARES[],ECF[[#This Row],[idPilar]],MATCH(ECF[[#Headers],[ap (cm)]],PILARES[#Headers],0))</f>
        <v>60</v>
      </c>
      <c r="Y265" s="12">
        <f>INDEX(PILARES[],ECF[[#This Row],[idPilar]],MATCH(ECF[[#Headers],[bp (cm)]],PILARES[#Headers],0))</f>
        <v>60</v>
      </c>
      <c r="Z265" s="4">
        <f>SQRT(ECF[[#This Row],[ap (cm)]]*ECF[[#This Row],[bp (cm)]])</f>
        <v>60</v>
      </c>
      <c r="AA265" s="12">
        <f>ECF[[#This Row],[ap (cm)]]*ECF[[#This Row],[bp (cm)]]</f>
        <v>3600</v>
      </c>
      <c r="AB265" s="12">
        <f ca="1">IF(ECF[[#This Row],[Padm∙ε (kN)]]&gt;=ECF[[#This Row],[Padm (kN)]],ROUNDUP(1.05*ECF[[#This Row],[Nsd (kN)]]/ECF[[#This Row],[Padm (kN)]],0),ROUNDUP(1.05*ECF[[#This Row],[Nsd (kN)]]/ECF[[#This Row],[Padm (kN)]],0)+1)</f>
        <v>3</v>
      </c>
      <c r="AC265" s="4">
        <f ca="1">IFERROR(IF(ECF[[#This Row],[nE]]=1,ECF[[#This Row],[Padm (kN)]],ECF[[#This Row],[Padm (kN)]]*ECF[[#This Row],[nE]]*INDEX(grupoEstacas[],ECF[[#This Row],[nE]],MATCH("ε",grupoEstacas[#Headers],0))),"N.S.")</f>
        <v>4807.8148572374803</v>
      </c>
      <c r="AD265" s="4">
        <f ca="1">1.05*ECF[[#This Row],[Nsd (kN)]]/(ECF[[#This Row],[nE]]*PI()*ECF[[#This Row],[Ø (cm)]]^2/4)*10</f>
        <v>0.38992961057514364</v>
      </c>
      <c r="AE265" s="4">
        <f ca="1">IF(ECF[[#This Row],[σ (MPa)]]&lt;INDEX(tipoEstaca[],MATCH($D$2,tipoEstaca[TIPO DE ESTACA],0),MATCH("σmáx (MPa)",tipoEstaca[#Headers],0)),0.4%*PI()*ECF[[#This Row],[Ø (cm)]]^2/4,"N.S.")</f>
        <v>125.66370614359174</v>
      </c>
      <c r="AF265" s="82">
        <f>INDEX(tipoEstaca[],MATCH($D$2,tipoEstaca[TIPO DE ESTACA],0),MATCH(ECF[[#Headers],[Comprimento (m)]],tipoEstaca[#Headers],0))</f>
        <v>4</v>
      </c>
      <c r="AG265" s="5">
        <f ca="1">ECF[[#This Row],[As,mín (cm²)]]/100^2*ECF[[#This Row],[Comprimento (m)]]*7850</f>
        <v>394.58403729087803</v>
      </c>
      <c r="AH265" s="4">
        <f ca="1">ECF[[#This Row],[nE]]*ECF[[#This Row],[Prof. (m)]]*ECF[[#This Row],[Ap (m²)]]</f>
        <v>75.398223686155035</v>
      </c>
      <c r="AI265" s="82">
        <f ca="1">IF(ECF[[#This Row],[nE]]=1,0,MAX(3*ECF[[#This Row],[Ø (cm)]],60))</f>
        <v>600</v>
      </c>
      <c r="AJ265" s="82">
        <f ca="1">IF(ECF[[#This Row],[nE]]=1,ECF[[#This Row],[Ø (cm)]]+2*10,MAX(1.5*ECF[[#This Row],[Ø (cm)]],ECF[[#This Row],[Ø (cm)]]+15))</f>
        <v>300</v>
      </c>
      <c r="AK265" s="82">
        <f ca="1">alturaUtil(ECF[[#This Row],[nE]],ECF[[#This Row],[Ø (cm)]],ECF[[#This Row],[e (cm)]],ECF[[#This Row],[ap,eq (cm)]])</f>
        <v>285</v>
      </c>
      <c r="AL265" s="82">
        <f ca="1">IFERROR(ECF[[#This Row],[d (cm)]]+arredondarParaCimaMultiplo5cm(MAX(5,SQRT(PI())/2*ECF[[#This Row],[Ø (cm)]]/5)),"N.S.")</f>
        <v>325</v>
      </c>
      <c r="AM265" s="5">
        <f ca="1">alpha(ECF[[#This Row],[nE]],ECF[[#This Row],[d (cm)]],ECF[[#This Row],[e (cm)]],ECF[[#This Row],[ap,eq (cm)]])</f>
        <v>45.303149443714126</v>
      </c>
      <c r="AN265" s="35">
        <f ca="1">IFERROR(ECF[[#This Row],[Nsd (kN)]]/(ECF[[#This Row],[Ap (cm²)]]*SIN(ECF[[#This Row],[α]])^2),"N.S.")</f>
        <v>1.0355810266349001</v>
      </c>
      <c r="AO265" s="35">
        <f ca="1">IFERROR(ECF[[#This Row],[Nsd (kN)]]/(ECF[[#This Row],[nE]]*PI()*ECF[[#This Row],[Ø (cm)]]^2/4*SIN(ECF[[#This Row],[α]])^2),"N.S.")</f>
        <v>3.9556281446669776E-2</v>
      </c>
      <c r="AP265" s="4">
        <f ca="1">IFERROR(INDEX(grupoEstacas[],ECF[[#This Row],[nE]],MATCH("coef. Blévot",grupoEstacas[#Headers],0)),"N.S.")</f>
        <v>1.75</v>
      </c>
      <c r="AQ265" s="35">
        <f ca="1">IFERROR(ECF[[#This Row],[coef. Blévot]]*0.9*INDEX(tipoEstaca[],MATCH($D$2,tipoEstaca[TIPO DE ESTACA],0),MATCH("fcd (kN/cm²)",tipoEstaca[#Headers],0)),"N.S.")</f>
        <v>1.75</v>
      </c>
      <c r="AR265" s="82" t="str">
        <f ca="1">IF(AND(ECF[[#This Row],[cd,b,pil (kN/cm²)]]&lt;=ECF[[#This Row],[cd,b,lim (kN/cm²)]],ECF[[#This Row],[cd,b,est (kN/cm²)]]&lt;=ECF[[#This Row],[cd,b,lim (kN/cm²)]]),"OK","ERRO")</f>
        <v>OK</v>
      </c>
      <c r="AS265" s="4">
        <f ca="1">As_lado(ECF[[#This Row],[nE]],ECF[[#This Row],[Nsd (kN)]],ECF[[#This Row],[d (cm)]],ECF[[#This Row],[e (cm)]],ECF[[#This Row],[ap,eq (cm)]])</f>
        <v>17.851952584730093</v>
      </c>
      <c r="AT265" s="4" t="str">
        <f ca="1">IF(ECF[[#This Row],[nE]]=1,ECF[[#This Row],[As,lado (cm²)]],IF(ECF[[#This Row],[nE]]=2,0.075*2*ECF[a (cm)],"N.A."))</f>
        <v>N.A.</v>
      </c>
      <c r="AU265" s="4">
        <f ca="1">IFERROR(IF(ECF[[#This Row],[nE]]=1,"N.A.",0.2*ECF[[#This Row],[As,lado (cm²)]]),"N.S.")</f>
        <v>3.5703905169460186</v>
      </c>
      <c r="AV265" s="4">
        <f ca="1">As_malha(ECF[[#This Row],[nE]],ECF[[#This Row],[As,lado (cm²)]],ECF[[#This Row],[Nsd (kN)]])</f>
        <v>5.9629629629629619</v>
      </c>
      <c r="AW265" s="4">
        <f ca="1">As_susp_tot(ECF[[#This Row],[nE]],ECF[[#This Row],[Nsd (kN)]])</f>
        <v>17.888888888888886</v>
      </c>
      <c r="AX265" s="4">
        <f ca="1">Asp_face(ECF[[#This Row],[nE]],ECF[[#This Row],[As,lado (cm²)]])</f>
        <v>6.6944822192737847</v>
      </c>
      <c r="AY265" s="5">
        <f ca="1">acoBloco(ECF[[#This Row],[nE]],ECF[[#This Row],[e (cm)]],ECF[[#This Row],[a (cm)]],ECF[[#This Row],[h (cm)]],ECF[[#This Row],[As,lado (cm²)]],ECF[[#This Row],[Asp e Asw (cm²/m)]],ECF[[#This Row],[As,sup (cm²)]],ECF[[#This Row],[As,malha (cm²)]],ECF[[#This Row],[As,susp,tot (cm²)]],ECF[[#This Row],[Asp,face (cm²)]])</f>
        <v>1059.9400836080174</v>
      </c>
      <c r="AZ265" s="4">
        <f ca="1">concretoBloco(ECF[[#This Row],[nE]],ECF[[#This Row],[e (cm)]],ECF[[#This Row],[a (cm)]],ECF[[#This Row],[h (cm)]])</f>
        <v>327.48745836416896</v>
      </c>
      <c r="BA265" s="5">
        <f ca="1">SUM(ECF[[#This Row],[Aço Est (kg)]],ECF[[#This Row],[Aço Bloco (kg)]])</f>
        <v>1454.5241208988955</v>
      </c>
      <c r="BB265" s="4">
        <f>INDEX(composicoes[],MATCH(95580,composicoes[CÓDIGO],0),MATCH("CUSTO TOTAL",composicoes[#Headers],0))</f>
        <v>10.46</v>
      </c>
      <c r="BC265" s="4">
        <f ca="1">SUM(ECF[[#This Row],[Conc Est (m³)]],ECF[[#This Row],[Conc Bloco (m³)]])</f>
        <v>402.88568205032402</v>
      </c>
      <c r="BD265" s="4">
        <f>INDEX(composicoes[],MATCH(94966,composicoes[CÓDIGO],0),MATCH("CUSTO TOTAL",composicoes[#Headers],0))</f>
        <v>439.52</v>
      </c>
      <c r="BE265" s="38">
        <f ca="1">ECF[[#This Row],[Aço (kg)]]*ECF[[#This Row],[Aço (R$/kg)]]+ECF[[#This Row],[Conc (m³)]]*ECF[[#This Row],[Conc (R$/m³)]]</f>
        <v>192290.63727936085</v>
      </c>
      <c r="BF265" s="4" t="str">
        <f ca="1">IF(COUNTIF(ECF[#This Row],"N.S.")&gt;0,"lim.","OK")</f>
        <v>OK</v>
      </c>
      <c r="BG265" s="4" t="str">
        <f>IF(ECF[[#This Row],[Prof. (m)]]&lt;4,"lim.","OK")</f>
        <v>OK</v>
      </c>
      <c r="BH265" s="4" t="str">
        <f>IF(ECF[[#This Row],[Prof. (m)]]&gt;=8*ECF[[#This Row],[Ø (cm)]]/100,"OK","lim.")</f>
        <v>lim.</v>
      </c>
      <c r="BI265" s="4" t="str">
        <f>IF(AND(SPT!$F$3&lt;&gt;"",ECF[[#This Row],[Prof. (m)]]&gt;=SPT!$F$3-2),"lim.","OK")</f>
        <v>OK</v>
      </c>
      <c r="BJ265" s="4" t="str">
        <f ca="1">IF(ECF[[#This Row],[Verif. Biela]]="OK","OK","lim.")</f>
        <v>OK</v>
      </c>
      <c r="BK265" s="4" t="str">
        <f ca="1">IF(COUNTA(ECF[[#This Row],[Nº Est.]:[Biela comp.]])=COUNTIF(ECF[[#This Row],[Nº Est.]:[Biela comp.]],"OK"),"OK","lim.")</f>
        <v>lim.</v>
      </c>
      <c r="BL265" s="4" t="str">
        <f ca="1">IF(ECF[[#This Row],[Controle]]="OK",ECF[[#This Row],[nE]]&amp;" Ø "&amp;ECF[[#This Row],[Ø (cm)]]&amp;" cm, Prof. "&amp;ECF[[#This Row],[Prof. (m)]]&amp;" m","")</f>
        <v/>
      </c>
      <c r="BM265" s="4" t="str">
        <f ca="1">IF(ECF[[#This Row],[idDimensionamento]]="","",ECF[[#This Row],[idPilar]]&amp;ECF[[#This Row],[idDimensionamento]])</f>
        <v/>
      </c>
    </row>
    <row r="266" spans="2:65" x14ac:dyDescent="0.25">
      <c r="B266" s="12">
        <f>ROUNDUP((ROW(ECF[[#This Row],[idDiâmetro]])-ROW(ECF[[#Headers],[idDiâmetro]]))/(COUNT(SPT[Prof. (m)])*COUNT(PILARES[Pilar])),0)</f>
        <v>10</v>
      </c>
      <c r="C266" s="12">
        <f>IF(ECF[[#This Row],[idDiâmetro]]&lt;&gt;B265,1,IF(ECF[[#This Row],[Prof. (m)]]=0,C265+1,C265))</f>
        <v>1</v>
      </c>
      <c r="D266" s="82">
        <f>IFERROR(IF(D265=MAX(SPT[Prof. (m)]),0,D265+1),0)</f>
        <v>9</v>
      </c>
      <c r="E266" s="82">
        <f>INDEX(SPT[],MATCH(ECF[[#This Row],[Prof. (m)]],SPT[Prof. (m)],0),2)</f>
        <v>26</v>
      </c>
      <c r="F266" s="82" t="str">
        <f>INDEX(SPT[],MATCH(ECF[[#This Row],[Prof. (m)]],SPT[Prof. (m)],0),3)</f>
        <v>Areia siltosa</v>
      </c>
      <c r="G266" s="82">
        <f>INDEX(estacas[],ECF[[#This Row],[idDiâmetro]],MATCH($B$2,estacas[#Headers],0))</f>
        <v>200</v>
      </c>
      <c r="H266" s="82">
        <f>INDEX(estacas[],MATCH(ECF[[#This Row],[Ø (cm)]],estacas[Ø ECF (cm)],0),MATCH(ECF[[#Headers],[Pe ECF (kN)]],estacas[#Headers],0))</f>
        <v>12500</v>
      </c>
      <c r="I266" s="4">
        <f>INDEX(K_alpha_C[],MATCH(ECF[[#This Row],[Solo]],K_alpha_C[Solo],0),2)</f>
        <v>0.8</v>
      </c>
      <c r="J266" s="5">
        <f>INDEX(K_alpha_C[],MATCH(ECF[[#This Row],[Solo]],K_alpha_C[Solo],0),3)</f>
        <v>2</v>
      </c>
      <c r="K266" s="4">
        <f>INDEX(F1_F2[],MATCH($D$2,F1_F2[Tipo de estaca],0),2)</f>
        <v>3</v>
      </c>
      <c r="L266" s="4">
        <f>INDEX(F1_F2[],MATCH($D$2,F1_F2[Tipo de estaca],0),3)</f>
        <v>6</v>
      </c>
      <c r="M266" s="4">
        <f>PI()*(ECF[[#This Row],[Ø (cm)]]/100)^2/4</f>
        <v>3.1415926535897931</v>
      </c>
      <c r="N266" s="4">
        <f>PI()*ECF[[#This Row],[Ø (cm)]]/100</f>
        <v>6.2831853071795862</v>
      </c>
      <c r="O266" s="4">
        <f>IF(ECF[[#This Row],[Prof. (m)]]=0,0,ECF[[#This Row],[α (%)]]/100*ECF[[#This Row],[K (MPa)]]*1000*ECF[[#This Row],[NSPT]])</f>
        <v>416</v>
      </c>
      <c r="P266" s="4">
        <f>IF(ECF[[#This Row],[Prof. (m)]]=0,0,(ECF[[#This Row],[K (MPa)]]*1000*ECF[[#This Row],[NSPT]]/ECF[[#This Row],[F1]]*ECF[[#This Row],[Ap (m²)]]+ECF[[#This Row],[U (m)]]/ECF[[#This Row],[F2]]*SUMIFS(ECF[(α∙K∙NL∙ΔL)],ECF[Prof. (m)],"&lt;="&amp;ECF[[#This Row],[Prof. (m)]],ECF[idDiâmetro],ECF[[#This Row],[idDiâmetro]],ECF[idPilar],ECF[[#This Row],[idPilar]]))/'DADOS CAP. CARGA'!$D$2)</f>
        <v>11632.218038814246</v>
      </c>
      <c r="Q266" s="12">
        <f>INDEX(C_alpha_beta[],MATCH(ECF[[#This Row],[Solo]],C_alpha_beta[Solo],0),MATCH(ECF[[#Headers],[C (kPa)]],C_alpha_beta[#Headers],0))</f>
        <v>400</v>
      </c>
      <c r="R266" s="4">
        <f>INDEX(C_alpha_beta[],MATCH(ECF[[#This Row],[Solo]],C_alpha_beta[Solo],0),MATCH(ECF[[#Headers],[α ESF]],C_alpha_beta[#Headers],0))</f>
        <v>0.5</v>
      </c>
      <c r="S266" s="4">
        <f>INDEX(C_alpha_beta[],MATCH(ECF[[#This Row],[Solo]],C_alpha_beta[Solo],0),MATCH(ECF[[#Headers],[β ESF]],C_alpha_beta[#Headers],0))</f>
        <v>0.5</v>
      </c>
      <c r="T266" s="4">
        <f>IF(ECF[[#This Row],[Prof. (m)]]=0,0,10*(ECF[[#This Row],[NSPT]]/3+1))</f>
        <v>96.666666666666657</v>
      </c>
      <c r="U266" s="4">
        <f>(ECF[[#This Row],[α ESF]]*ECF[[#This Row],[C (kPa)]]*ECF[[#This Row],[NSPT]]*ECF[[#This Row],[Ap (m²)]])/'DADOS CAP. CARGA'!$Q$2+(ECF[[#This Row],[β ESF]]*SUMIFS(ECF[10∙(NL/3+1)],ECF[Prof. (m)],"&lt;="&amp;ECF[[#This Row],[Prof. (m)]],ECF[idDiâmetro],ECF[[#This Row],[idDiâmetro]],ECF[idPilar],ECF[[#This Row],[idPilar]])*ECF[[#This Row],[U (m)]])/'DADOS CAP. CARGA'!$S$2</f>
        <v>4738.5689191646043</v>
      </c>
      <c r="V266" s="4">
        <f>IF(SPT!$M$5=1,MIN(ECF[[#This Row],[Pe ECF (kN)]],ECF[[#This Row],[R_AV (kN)]]),IF(SPT!$M$5=2,MIN(ECF[[#This Row],[Pe ECF (kN)]],ECF[[#This Row],[R_DC (kN)]]),MIN(ECF[[#This Row],[Pe ECF (kN)]],ECF[[#This Row],[R_AV (kN)]],ECF[[#This Row],[R_DC (kN)]])))</f>
        <v>4738.5689191646043</v>
      </c>
      <c r="W266" s="4">
        <f>INDEX(PILARES[],ECF[[#This Row],[idPilar]],MATCH("Carga (kN)",PILARES[#Headers],0))*1.4</f>
        <v>3500</v>
      </c>
      <c r="X266" s="12">
        <f>INDEX(PILARES[],ECF[[#This Row],[idPilar]],MATCH(ECF[[#Headers],[ap (cm)]],PILARES[#Headers],0))</f>
        <v>60</v>
      </c>
      <c r="Y266" s="12">
        <f>INDEX(PILARES[],ECF[[#This Row],[idPilar]],MATCH(ECF[[#Headers],[bp (cm)]],PILARES[#Headers],0))</f>
        <v>60</v>
      </c>
      <c r="Z266" s="4">
        <f>SQRT(ECF[[#This Row],[ap (cm)]]*ECF[[#This Row],[bp (cm)]])</f>
        <v>60</v>
      </c>
      <c r="AA266" s="12">
        <f>ECF[[#This Row],[ap (cm)]]*ECF[[#This Row],[bp (cm)]]</f>
        <v>3600</v>
      </c>
      <c r="AB266" s="12">
        <f ca="1">IF(ECF[[#This Row],[Padm∙ε (kN)]]&gt;=ECF[[#This Row],[Padm (kN)]],ROUNDUP(1.05*ECF[[#This Row],[Nsd (kN)]]/ECF[[#This Row],[Padm (kN)]],0),ROUNDUP(1.05*ECF[[#This Row],[Nsd (kN)]]/ECF[[#This Row],[Padm (kN)]],0)+1)</f>
        <v>1</v>
      </c>
      <c r="AC266" s="4">
        <f ca="1">IFERROR(IF(ECF[[#This Row],[nE]]=1,ECF[[#This Row],[Padm (kN)]],ECF[[#This Row],[Padm (kN)]]*ECF[[#This Row],[nE]]*INDEX(grupoEstacas[],ECF[[#This Row],[nE]],MATCH("ε",grupoEstacas[#Headers],0))),"N.S.")</f>
        <v>4738.5689191646043</v>
      </c>
      <c r="AD266" s="4">
        <f ca="1">1.05*ECF[[#This Row],[Nsd (kN)]]/(ECF[[#This Row],[nE]]*PI()*ECF[[#This Row],[Ø (cm)]]^2/4)*10</f>
        <v>1.1697888317254308</v>
      </c>
      <c r="AE266" s="4">
        <f ca="1">IF(ECF[[#This Row],[σ (MPa)]]&lt;INDEX(tipoEstaca[],MATCH($D$2,tipoEstaca[TIPO DE ESTACA],0),MATCH("σmáx (MPa)",tipoEstaca[#Headers],0)),0.4%*PI()*ECF[[#This Row],[Ø (cm)]]^2/4,"N.S.")</f>
        <v>125.66370614359174</v>
      </c>
      <c r="AF266" s="82">
        <f>INDEX(tipoEstaca[],MATCH($D$2,tipoEstaca[TIPO DE ESTACA],0),MATCH(ECF[[#Headers],[Comprimento (m)]],tipoEstaca[#Headers],0))</f>
        <v>4</v>
      </c>
      <c r="AG266" s="5">
        <f ca="1">ECF[[#This Row],[As,mín (cm²)]]/100^2*ECF[[#This Row],[Comprimento (m)]]*7850</f>
        <v>394.58403729087803</v>
      </c>
      <c r="AH266" s="4">
        <f ca="1">ECF[[#This Row],[nE]]*ECF[[#This Row],[Prof. (m)]]*ECF[[#This Row],[Ap (m²)]]</f>
        <v>28.274333882308138</v>
      </c>
      <c r="AI266" s="82">
        <f ca="1">IF(ECF[[#This Row],[nE]]=1,0,MAX(3*ECF[[#This Row],[Ø (cm)]],60))</f>
        <v>0</v>
      </c>
      <c r="AJ266" s="82">
        <f ca="1">IF(ECF[[#This Row],[nE]]=1,ECF[[#This Row],[Ø (cm)]]+2*10,MAX(1.5*ECF[[#This Row],[Ø (cm)]],ECF[[#This Row],[Ø (cm)]]+15))</f>
        <v>220</v>
      </c>
      <c r="AK266" s="82">
        <f ca="1">alturaUtil(ECF[[#This Row],[nE]],ECF[[#This Row],[Ø (cm)]],ECF[[#This Row],[e (cm)]],ECF[[#This Row],[ap,eq (cm)]])</f>
        <v>240</v>
      </c>
      <c r="AL266" s="82">
        <f ca="1">IFERROR(ECF[[#This Row],[d (cm)]]+arredondarParaCimaMultiplo5cm(MAX(5,SQRT(PI())/2*ECF[[#This Row],[Ø (cm)]]/5)),"N.S.")</f>
        <v>280</v>
      </c>
      <c r="AM266" s="5">
        <f ca="1">alpha(ECF[[#This Row],[nE]],ECF[[#This Row],[d (cm)]],ECF[[#This Row],[e (cm)]],ECF[[#This Row],[ap,eq (cm)]])</f>
        <v>90</v>
      </c>
      <c r="AN266" s="35">
        <f ca="1">IFERROR(ECF[[#This Row],[Nsd (kN)]]/(ECF[[#This Row],[Ap (cm²)]]*SIN(ECF[[#This Row],[α]])^2),"N.S.")</f>
        <v>1.2164485570105679</v>
      </c>
      <c r="AO266" s="35">
        <f ca="1">IFERROR(ECF[[#This Row],[Nsd (kN)]]/(ECF[[#This Row],[nE]]*PI()*ECF[[#This Row],[Ø (cm)]]^2/4*SIN(ECF[[#This Row],[α]])^2),"N.S.")</f>
        <v>0.13939473662296931</v>
      </c>
      <c r="AP266" s="4">
        <f ca="1">IFERROR(INDEX(grupoEstacas[],ECF[[#This Row],[nE]],MATCH("coef. Blévot",grupoEstacas[#Headers],0)),"N.S.")</f>
        <v>1</v>
      </c>
      <c r="AQ266" s="35">
        <f ca="1">IFERROR(ECF[[#This Row],[coef. Blévot]]*0.9*INDEX(tipoEstaca[],MATCH($D$2,tipoEstaca[TIPO DE ESTACA],0),MATCH("fcd (kN/cm²)",tipoEstaca[#Headers],0)),"N.S.")</f>
        <v>1</v>
      </c>
      <c r="AR266" s="82" t="str">
        <f ca="1">IF(AND(ECF[[#This Row],[cd,b,pil (kN/cm²)]]&lt;=ECF[[#This Row],[cd,b,lim (kN/cm²)]],ECF[[#This Row],[cd,b,est (kN/cm²)]]&lt;=ECF[[#This Row],[cd,b,lim (kN/cm²)]]),"OK","ERRO")</f>
        <v>ERRO</v>
      </c>
      <c r="AS266" s="4">
        <f ca="1">As_lado(ECF[[#This Row],[nE]],ECF[[#This Row],[Nsd (kN)]],ECF[[#This Row],[d (cm)]],ECF[[#This Row],[e (cm)]],ECF[[#This Row],[ap,eq (cm)]])</f>
        <v>20.125</v>
      </c>
      <c r="AT266" s="4">
        <f ca="1">IF(ECF[[#This Row],[nE]]=1,ECF[[#This Row],[As,lado (cm²)]],IF(ECF[[#This Row],[nE]]=2,0.075*2*ECF[a (cm)],"N.A."))</f>
        <v>20.125</v>
      </c>
      <c r="AU266" s="4" t="str">
        <f ca="1">IFERROR(IF(ECF[[#This Row],[nE]]=1,"N.A.",0.2*ECF[[#This Row],[As,lado (cm²)]]),"N.S.")</f>
        <v>N.A.</v>
      </c>
      <c r="AV266" s="4" t="str">
        <f ca="1">As_malha(ECF[[#This Row],[nE]],ECF[[#This Row],[As,lado (cm²)]],ECF[[#This Row],[Nsd (kN)]])</f>
        <v>N.A.</v>
      </c>
      <c r="AW266" s="4" t="str">
        <f ca="1">As_susp_tot(ECF[[#This Row],[nE]],ECF[[#This Row],[Nsd (kN)]])</f>
        <v>N.A.</v>
      </c>
      <c r="AX266" s="4" t="str">
        <f ca="1">Asp_face(ECF[[#This Row],[nE]],ECF[[#This Row],[As,lado (cm²)]])</f>
        <v>N.A.</v>
      </c>
      <c r="AY266" s="5">
        <f ca="1">acoBloco(ECF[[#This Row],[nE]],ECF[[#This Row],[e (cm)]],ECF[[#This Row],[a (cm)]],ECF[[#This Row],[h (cm)]],ECF[[#This Row],[As,lado (cm²)]],ECF[[#This Row],[Asp e Asw (cm²/m)]],ECF[[#This Row],[As,sup (cm²)]],ECF[[#This Row],[As,malha (cm²)]],ECF[[#This Row],[As,susp,tot (cm²)]],ECF[[#This Row],[Asp,face (cm²)]])</f>
        <v>454.98599999999999</v>
      </c>
      <c r="AZ266" s="4">
        <f ca="1">concretoBloco(ECF[[#This Row],[nE]],ECF[[#This Row],[e (cm)]],ECF[[#This Row],[a (cm)]],ECF[[#This Row],[h (cm)]])</f>
        <v>13.552</v>
      </c>
      <c r="BA266" s="5">
        <f ca="1">SUM(ECF[[#This Row],[Aço Est (kg)]],ECF[[#This Row],[Aço Bloco (kg)]])</f>
        <v>849.57003729087796</v>
      </c>
      <c r="BB266" s="4">
        <f>INDEX(composicoes[],MATCH(95580,composicoes[CÓDIGO],0),MATCH("CUSTO TOTAL",composicoes[#Headers],0))</f>
        <v>10.46</v>
      </c>
      <c r="BC266" s="4">
        <f ca="1">SUM(ECF[[#This Row],[Conc Est (m³)]],ECF[[#This Row],[Conc Bloco (m³)]])</f>
        <v>41.826333882308134</v>
      </c>
      <c r="BD266" s="4">
        <f>INDEX(composicoes[],MATCH(94966,composicoes[CÓDIGO],0),MATCH("CUSTO TOTAL",composicoes[#Headers],0))</f>
        <v>439.52</v>
      </c>
      <c r="BE266" s="38">
        <f ca="1">ECF[[#This Row],[Aço (kg)]]*ECF[[#This Row],[Aço (R$/kg)]]+ECF[[#This Row],[Conc (m³)]]*ECF[[#This Row],[Conc (R$/m³)]]</f>
        <v>27270.012858014656</v>
      </c>
      <c r="BF266" s="4" t="str">
        <f ca="1">IF(COUNTIF(ECF[#This Row],"N.S.")&gt;0,"lim.","OK")</f>
        <v>OK</v>
      </c>
      <c r="BG266" s="4" t="str">
        <f>IF(ECF[[#This Row],[Prof. (m)]]&lt;4,"lim.","OK")</f>
        <v>OK</v>
      </c>
      <c r="BH266" s="4" t="str">
        <f>IF(ECF[[#This Row],[Prof. (m)]]&gt;=8*ECF[[#This Row],[Ø (cm)]]/100,"OK","lim.")</f>
        <v>lim.</v>
      </c>
      <c r="BI266" s="4" t="str">
        <f>IF(AND(SPT!$F$3&lt;&gt;"",ECF[[#This Row],[Prof. (m)]]&gt;=SPT!$F$3-2),"lim.","OK")</f>
        <v>OK</v>
      </c>
      <c r="BJ266" s="4" t="str">
        <f ca="1">IF(ECF[[#This Row],[Verif. Biela]]="OK","OK","lim.")</f>
        <v>lim.</v>
      </c>
      <c r="BK266" s="4" t="str">
        <f ca="1">IF(COUNTA(ECF[[#This Row],[Nº Est.]:[Biela comp.]])=COUNTIF(ECF[[#This Row],[Nº Est.]:[Biela comp.]],"OK"),"OK","lim.")</f>
        <v>lim.</v>
      </c>
      <c r="BL266" s="4" t="str">
        <f ca="1">IF(ECF[[#This Row],[Controle]]="OK",ECF[[#This Row],[nE]]&amp;" Ø "&amp;ECF[[#This Row],[Ø (cm)]]&amp;" cm, Prof. "&amp;ECF[[#This Row],[Prof. (m)]]&amp;" m","")</f>
        <v/>
      </c>
      <c r="BM266" s="4" t="str">
        <f ca="1">IF(ECF[[#This Row],[idDimensionamento]]="","",ECF[[#This Row],[idPilar]]&amp;ECF[[#This Row],[idDimensionamento]])</f>
        <v/>
      </c>
    </row>
    <row r="267" spans="2:65" x14ac:dyDescent="0.25">
      <c r="B267" s="12">
        <f>ROUNDUP((ROW(ECF[[#This Row],[idDiâmetro]])-ROW(ECF[[#Headers],[idDiâmetro]]))/(COUNT(SPT[Prof. (m)])*COUNT(PILARES[Pilar])),0)</f>
        <v>10</v>
      </c>
      <c r="C267" s="12">
        <f>IF(ECF[[#This Row],[idDiâmetro]]&lt;&gt;B266,1,IF(ECF[[#This Row],[Prof. (m)]]=0,C266+1,C266))</f>
        <v>1</v>
      </c>
      <c r="D267" s="82">
        <f>IFERROR(IF(D266=MAX(SPT[Prof. (m)]),0,D266+1),0)</f>
        <v>10</v>
      </c>
      <c r="E267" s="82">
        <f>INDEX(SPT[],MATCH(ECF[[#This Row],[Prof. (m)]],SPT[Prof. (m)],0),2)</f>
        <v>32</v>
      </c>
      <c r="F267" s="82" t="str">
        <f>INDEX(SPT[],MATCH(ECF[[#This Row],[Prof. (m)]],SPT[Prof. (m)],0),3)</f>
        <v>Areia siltosa</v>
      </c>
      <c r="G267" s="82">
        <f>INDEX(estacas[],ECF[[#This Row],[idDiâmetro]],MATCH($B$2,estacas[#Headers],0))</f>
        <v>200</v>
      </c>
      <c r="H267" s="82">
        <f>INDEX(estacas[],MATCH(ECF[[#This Row],[Ø (cm)]],estacas[Ø ECF (cm)],0),MATCH(ECF[[#Headers],[Pe ECF (kN)]],estacas[#Headers],0))</f>
        <v>12500</v>
      </c>
      <c r="I267" s="4">
        <f>INDEX(K_alpha_C[],MATCH(ECF[[#This Row],[Solo]],K_alpha_C[Solo],0),2)</f>
        <v>0.8</v>
      </c>
      <c r="J267" s="5">
        <f>INDEX(K_alpha_C[],MATCH(ECF[[#This Row],[Solo]],K_alpha_C[Solo],0),3)</f>
        <v>2</v>
      </c>
      <c r="K267" s="4">
        <f>INDEX(F1_F2[],MATCH($D$2,F1_F2[Tipo de estaca],0),2)</f>
        <v>3</v>
      </c>
      <c r="L267" s="4">
        <f>INDEX(F1_F2[],MATCH($D$2,F1_F2[Tipo de estaca],0),3)</f>
        <v>6</v>
      </c>
      <c r="M267" s="4">
        <f>PI()*(ECF[[#This Row],[Ø (cm)]]/100)^2/4</f>
        <v>3.1415926535897931</v>
      </c>
      <c r="N267" s="4">
        <f>PI()*ECF[[#This Row],[Ø (cm)]]/100</f>
        <v>6.2831853071795862</v>
      </c>
      <c r="O267" s="4">
        <f>IF(ECF[[#This Row],[Prof. (m)]]=0,0,ECF[[#This Row],[α (%)]]/100*ECF[[#This Row],[K (MPa)]]*1000*ECF[[#This Row],[NSPT]])</f>
        <v>512</v>
      </c>
      <c r="P267" s="4">
        <f>IF(ECF[[#This Row],[Prof. (m)]]=0,0,(ECF[[#This Row],[K (MPa)]]*1000*ECF[[#This Row],[NSPT]]/ECF[[#This Row],[F1]]*ECF[[#This Row],[Ap (m²)]]+ECF[[#This Row],[U (m)]]/ECF[[#This Row],[F2]]*SUMIFS(ECF[(α∙K∙NL∙ΔL)],ECF[Prof. (m)],"&lt;="&amp;ECF[[#This Row],[Prof. (m)]],ECF[idDiâmetro],ECF[[#This Row],[idDiâmetro]],ECF[idPilar],ECF[[#This Row],[idPilar]]))/'DADOS CAP. CARGA'!$D$2)</f>
        <v>14413.574734792412</v>
      </c>
      <c r="Q267" s="12">
        <f>INDEX(C_alpha_beta[],MATCH(ECF[[#This Row],[Solo]],C_alpha_beta[Solo],0),MATCH(ECF[[#Headers],[C (kPa)]],C_alpha_beta[#Headers],0))</f>
        <v>400</v>
      </c>
      <c r="R267" s="4">
        <f>INDEX(C_alpha_beta[],MATCH(ECF[[#This Row],[Solo]],C_alpha_beta[Solo],0),MATCH(ECF[[#Headers],[α ESF]],C_alpha_beta[#Headers],0))</f>
        <v>0.5</v>
      </c>
      <c r="S267" s="4">
        <f>INDEX(C_alpha_beta[],MATCH(ECF[[#This Row],[Solo]],C_alpha_beta[Solo],0),MATCH(ECF[[#Headers],[β ESF]],C_alpha_beta[#Headers],0))</f>
        <v>0.5</v>
      </c>
      <c r="T267" s="4">
        <f>IF(ECF[[#This Row],[Prof. (m)]]=0,0,10*(ECF[[#This Row],[NSPT]]/3+1))</f>
        <v>116.66666666666666</v>
      </c>
      <c r="U267" s="4">
        <f>(ECF[[#This Row],[α ESF]]*ECF[[#This Row],[C (kPa)]]*ECF[[#This Row],[NSPT]]*ECF[[#This Row],[Ap (m²)]])/'DADOS CAP. CARGA'!$Q$2+(ECF[[#This Row],[β ESF]]*SUMIFS(ECF[10∙(NL/3+1)],ECF[Prof. (m)],"&lt;="&amp;ECF[[#This Row],[Prof. (m)]],ECF[idDiâmetro],ECF[[#This Row],[idDiâmetro]],ECF[idPilar],ECF[[#This Row],[idPilar]])*ECF[[#This Row],[U (m)]])/'DADOS CAP. CARGA'!$S$2</f>
        <v>5864.3062867009476</v>
      </c>
      <c r="V267" s="4">
        <f>IF(SPT!$M$5=1,MIN(ECF[[#This Row],[Pe ECF (kN)]],ECF[[#This Row],[R_AV (kN)]]),IF(SPT!$M$5=2,MIN(ECF[[#This Row],[Pe ECF (kN)]],ECF[[#This Row],[R_DC (kN)]]),MIN(ECF[[#This Row],[Pe ECF (kN)]],ECF[[#This Row],[R_AV (kN)]],ECF[[#This Row],[R_DC (kN)]])))</f>
        <v>5864.3062867009476</v>
      </c>
      <c r="W267" s="4">
        <f>INDEX(PILARES[],ECF[[#This Row],[idPilar]],MATCH("Carga (kN)",PILARES[#Headers],0))*1.4</f>
        <v>3500</v>
      </c>
      <c r="X267" s="12">
        <f>INDEX(PILARES[],ECF[[#This Row],[idPilar]],MATCH(ECF[[#Headers],[ap (cm)]],PILARES[#Headers],0))</f>
        <v>60</v>
      </c>
      <c r="Y267" s="12">
        <f>INDEX(PILARES[],ECF[[#This Row],[idPilar]],MATCH(ECF[[#Headers],[bp (cm)]],PILARES[#Headers],0))</f>
        <v>60</v>
      </c>
      <c r="Z267" s="4">
        <f>SQRT(ECF[[#This Row],[ap (cm)]]*ECF[[#This Row],[bp (cm)]])</f>
        <v>60</v>
      </c>
      <c r="AA267" s="12">
        <f>ECF[[#This Row],[ap (cm)]]*ECF[[#This Row],[bp (cm)]]</f>
        <v>3600</v>
      </c>
      <c r="AB267" s="12">
        <f ca="1">IF(ECF[[#This Row],[Padm∙ε (kN)]]&gt;=ECF[[#This Row],[Padm (kN)]],ROUNDUP(1.05*ECF[[#This Row],[Nsd (kN)]]/ECF[[#This Row],[Padm (kN)]],0),ROUNDUP(1.05*ECF[[#This Row],[Nsd (kN)]]/ECF[[#This Row],[Padm (kN)]],0)+1)</f>
        <v>1</v>
      </c>
      <c r="AC267" s="4">
        <f ca="1">IFERROR(IF(ECF[[#This Row],[nE]]=1,ECF[[#This Row],[Padm (kN)]],ECF[[#This Row],[Padm (kN)]]*ECF[[#This Row],[nE]]*INDEX(grupoEstacas[],ECF[[#This Row],[nE]],MATCH("ε",grupoEstacas[#Headers],0))),"N.S.")</f>
        <v>5864.3062867009476</v>
      </c>
      <c r="AD267" s="4">
        <f ca="1">1.05*ECF[[#This Row],[Nsd (kN)]]/(ECF[[#This Row],[nE]]*PI()*ECF[[#This Row],[Ø (cm)]]^2/4)*10</f>
        <v>1.1697888317254308</v>
      </c>
      <c r="AE267" s="4">
        <f ca="1">IF(ECF[[#This Row],[σ (MPa)]]&lt;INDEX(tipoEstaca[],MATCH($D$2,tipoEstaca[TIPO DE ESTACA],0),MATCH("σmáx (MPa)",tipoEstaca[#Headers],0)),0.4%*PI()*ECF[[#This Row],[Ø (cm)]]^2/4,"N.S.")</f>
        <v>125.66370614359174</v>
      </c>
      <c r="AF267" s="82">
        <f>INDEX(tipoEstaca[],MATCH($D$2,tipoEstaca[TIPO DE ESTACA],0),MATCH(ECF[[#Headers],[Comprimento (m)]],tipoEstaca[#Headers],0))</f>
        <v>4</v>
      </c>
      <c r="AG267" s="5">
        <f ca="1">ECF[[#This Row],[As,mín (cm²)]]/100^2*ECF[[#This Row],[Comprimento (m)]]*7850</f>
        <v>394.58403729087803</v>
      </c>
      <c r="AH267" s="4">
        <f ca="1">ECF[[#This Row],[nE]]*ECF[[#This Row],[Prof. (m)]]*ECF[[#This Row],[Ap (m²)]]</f>
        <v>31.415926535897931</v>
      </c>
      <c r="AI267" s="82">
        <f ca="1">IF(ECF[[#This Row],[nE]]=1,0,MAX(3*ECF[[#This Row],[Ø (cm)]],60))</f>
        <v>0</v>
      </c>
      <c r="AJ267" s="82">
        <f ca="1">IF(ECF[[#This Row],[nE]]=1,ECF[[#This Row],[Ø (cm)]]+2*10,MAX(1.5*ECF[[#This Row],[Ø (cm)]],ECF[[#This Row],[Ø (cm)]]+15))</f>
        <v>220</v>
      </c>
      <c r="AK267" s="82">
        <f ca="1">alturaUtil(ECF[[#This Row],[nE]],ECF[[#This Row],[Ø (cm)]],ECF[[#This Row],[e (cm)]],ECF[[#This Row],[ap,eq (cm)]])</f>
        <v>240</v>
      </c>
      <c r="AL267" s="82">
        <f ca="1">IFERROR(ECF[[#This Row],[d (cm)]]+arredondarParaCimaMultiplo5cm(MAX(5,SQRT(PI())/2*ECF[[#This Row],[Ø (cm)]]/5)),"N.S.")</f>
        <v>280</v>
      </c>
      <c r="AM267" s="5">
        <f ca="1">alpha(ECF[[#This Row],[nE]],ECF[[#This Row],[d (cm)]],ECF[[#This Row],[e (cm)]],ECF[[#This Row],[ap,eq (cm)]])</f>
        <v>90</v>
      </c>
      <c r="AN267" s="35">
        <f ca="1">IFERROR(ECF[[#This Row],[Nsd (kN)]]/(ECF[[#This Row],[Ap (cm²)]]*SIN(ECF[[#This Row],[α]])^2),"N.S.")</f>
        <v>1.2164485570105679</v>
      </c>
      <c r="AO267" s="35">
        <f ca="1">IFERROR(ECF[[#This Row],[Nsd (kN)]]/(ECF[[#This Row],[nE]]*PI()*ECF[[#This Row],[Ø (cm)]]^2/4*SIN(ECF[[#This Row],[α]])^2),"N.S.")</f>
        <v>0.13939473662296931</v>
      </c>
      <c r="AP267" s="4">
        <f ca="1">IFERROR(INDEX(grupoEstacas[],ECF[[#This Row],[nE]],MATCH("coef. Blévot",grupoEstacas[#Headers],0)),"N.S.")</f>
        <v>1</v>
      </c>
      <c r="AQ267" s="35">
        <f ca="1">IFERROR(ECF[[#This Row],[coef. Blévot]]*0.9*INDEX(tipoEstaca[],MATCH($D$2,tipoEstaca[TIPO DE ESTACA],0),MATCH("fcd (kN/cm²)",tipoEstaca[#Headers],0)),"N.S.")</f>
        <v>1</v>
      </c>
      <c r="AR267" s="82" t="str">
        <f ca="1">IF(AND(ECF[[#This Row],[cd,b,pil (kN/cm²)]]&lt;=ECF[[#This Row],[cd,b,lim (kN/cm²)]],ECF[[#This Row],[cd,b,est (kN/cm²)]]&lt;=ECF[[#This Row],[cd,b,lim (kN/cm²)]]),"OK","ERRO")</f>
        <v>ERRO</v>
      </c>
      <c r="AS267" s="4">
        <f ca="1">As_lado(ECF[[#This Row],[nE]],ECF[[#This Row],[Nsd (kN)]],ECF[[#This Row],[d (cm)]],ECF[[#This Row],[e (cm)]],ECF[[#This Row],[ap,eq (cm)]])</f>
        <v>20.125</v>
      </c>
      <c r="AT267" s="4">
        <f ca="1">IF(ECF[[#This Row],[nE]]=1,ECF[[#This Row],[As,lado (cm²)]],IF(ECF[[#This Row],[nE]]=2,0.075*2*ECF[a (cm)],"N.A."))</f>
        <v>20.125</v>
      </c>
      <c r="AU267" s="4" t="str">
        <f ca="1">IFERROR(IF(ECF[[#This Row],[nE]]=1,"N.A.",0.2*ECF[[#This Row],[As,lado (cm²)]]),"N.S.")</f>
        <v>N.A.</v>
      </c>
      <c r="AV267" s="4" t="str">
        <f ca="1">As_malha(ECF[[#This Row],[nE]],ECF[[#This Row],[As,lado (cm²)]],ECF[[#This Row],[Nsd (kN)]])</f>
        <v>N.A.</v>
      </c>
      <c r="AW267" s="4" t="str">
        <f ca="1">As_susp_tot(ECF[[#This Row],[nE]],ECF[[#This Row],[Nsd (kN)]])</f>
        <v>N.A.</v>
      </c>
      <c r="AX267" s="4" t="str">
        <f ca="1">Asp_face(ECF[[#This Row],[nE]],ECF[[#This Row],[As,lado (cm²)]])</f>
        <v>N.A.</v>
      </c>
      <c r="AY267" s="5">
        <f ca="1">acoBloco(ECF[[#This Row],[nE]],ECF[[#This Row],[e (cm)]],ECF[[#This Row],[a (cm)]],ECF[[#This Row],[h (cm)]],ECF[[#This Row],[As,lado (cm²)]],ECF[[#This Row],[Asp e Asw (cm²/m)]],ECF[[#This Row],[As,sup (cm²)]],ECF[[#This Row],[As,malha (cm²)]],ECF[[#This Row],[As,susp,tot (cm²)]],ECF[[#This Row],[Asp,face (cm²)]])</f>
        <v>454.98599999999999</v>
      </c>
      <c r="AZ267" s="4">
        <f ca="1">concretoBloco(ECF[[#This Row],[nE]],ECF[[#This Row],[e (cm)]],ECF[[#This Row],[a (cm)]],ECF[[#This Row],[h (cm)]])</f>
        <v>13.552</v>
      </c>
      <c r="BA267" s="5">
        <f ca="1">SUM(ECF[[#This Row],[Aço Est (kg)]],ECF[[#This Row],[Aço Bloco (kg)]])</f>
        <v>849.57003729087796</v>
      </c>
      <c r="BB267" s="4">
        <f>INDEX(composicoes[],MATCH(95580,composicoes[CÓDIGO],0),MATCH("CUSTO TOTAL",composicoes[#Headers],0))</f>
        <v>10.46</v>
      </c>
      <c r="BC267" s="4">
        <f ca="1">SUM(ECF[[#This Row],[Conc Est (m³)]],ECF[[#This Row],[Conc Bloco (m³)]])</f>
        <v>44.967926535897931</v>
      </c>
      <c r="BD267" s="4">
        <f>INDEX(composicoes[],MATCH(94966,composicoes[CÓDIGO],0),MATCH("CUSTO TOTAL",composicoes[#Headers],0))</f>
        <v>439.52</v>
      </c>
      <c r="BE267" s="38">
        <f ca="1">ECF[[#This Row],[Aço (kg)]]*ECF[[#This Row],[Aço (R$/kg)]]+ECF[[#This Row],[Conc (m³)]]*ECF[[#This Row],[Conc (R$/m³)]]</f>
        <v>28650.805661120441</v>
      </c>
      <c r="BF267" s="4" t="str">
        <f ca="1">IF(COUNTIF(ECF[#This Row],"N.S.")&gt;0,"lim.","OK")</f>
        <v>OK</v>
      </c>
      <c r="BG267" s="4" t="str">
        <f>IF(ECF[[#This Row],[Prof. (m)]]&lt;4,"lim.","OK")</f>
        <v>OK</v>
      </c>
      <c r="BH267" s="4" t="str">
        <f>IF(ECF[[#This Row],[Prof. (m)]]&gt;=8*ECF[[#This Row],[Ø (cm)]]/100,"OK","lim.")</f>
        <v>lim.</v>
      </c>
      <c r="BI267" s="4" t="str">
        <f>IF(AND(SPT!$F$3&lt;&gt;"",ECF[[#This Row],[Prof. (m)]]&gt;=SPT!$F$3-2),"lim.","OK")</f>
        <v>OK</v>
      </c>
      <c r="BJ267" s="4" t="str">
        <f ca="1">IF(ECF[[#This Row],[Verif. Biela]]="OK","OK","lim.")</f>
        <v>lim.</v>
      </c>
      <c r="BK267" s="4" t="str">
        <f ca="1">IF(COUNTA(ECF[[#This Row],[Nº Est.]:[Biela comp.]])=COUNTIF(ECF[[#This Row],[Nº Est.]:[Biela comp.]],"OK"),"OK","lim.")</f>
        <v>lim.</v>
      </c>
      <c r="BL267" s="4" t="str">
        <f ca="1">IF(ECF[[#This Row],[Controle]]="OK",ECF[[#This Row],[nE]]&amp;" Ø "&amp;ECF[[#This Row],[Ø (cm)]]&amp;" cm, Prof. "&amp;ECF[[#This Row],[Prof. (m)]]&amp;" m","")</f>
        <v/>
      </c>
      <c r="BM267" s="4" t="str">
        <f ca="1">IF(ECF[[#This Row],[idDimensionamento]]="","",ECF[[#This Row],[idPilar]]&amp;ECF[[#This Row],[idDimensionamento]])</f>
        <v/>
      </c>
    </row>
    <row r="268" spans="2:65" x14ac:dyDescent="0.25">
      <c r="B268" s="12">
        <f>ROUNDUP((ROW(ECF[[#This Row],[idDiâmetro]])-ROW(ECF[[#Headers],[idDiâmetro]]))/(COUNT(SPT[Prof. (m)])*COUNT(PILARES[Pilar])),0)</f>
        <v>10</v>
      </c>
      <c r="C268" s="12">
        <f>IF(ECF[[#This Row],[idDiâmetro]]&lt;&gt;B267,1,IF(ECF[[#This Row],[Prof. (m)]]=0,C267+1,C267))</f>
        <v>1</v>
      </c>
      <c r="D268" s="82">
        <f>IFERROR(IF(D267=MAX(SPT[Prof. (m)]),0,D267+1),0)</f>
        <v>11</v>
      </c>
      <c r="E268" s="82">
        <f>INDEX(SPT[],MATCH(ECF[[#This Row],[Prof. (m)]],SPT[Prof. (m)],0),2)</f>
        <v>41</v>
      </c>
      <c r="F268" s="82" t="str">
        <f>INDEX(SPT[],MATCH(ECF[[#This Row],[Prof. (m)]],SPT[Prof. (m)],0),3)</f>
        <v>Areia siltosa</v>
      </c>
      <c r="G268" s="82">
        <f>INDEX(estacas[],ECF[[#This Row],[idDiâmetro]],MATCH($B$2,estacas[#Headers],0))</f>
        <v>200</v>
      </c>
      <c r="H268" s="82">
        <f>INDEX(estacas[],MATCH(ECF[[#This Row],[Ø (cm)]],estacas[Ø ECF (cm)],0),MATCH(ECF[[#Headers],[Pe ECF (kN)]],estacas[#Headers],0))</f>
        <v>12500</v>
      </c>
      <c r="I268" s="4">
        <f>INDEX(K_alpha_C[],MATCH(ECF[[#This Row],[Solo]],K_alpha_C[Solo],0),2)</f>
        <v>0.8</v>
      </c>
      <c r="J268" s="5">
        <f>INDEX(K_alpha_C[],MATCH(ECF[[#This Row],[Solo]],K_alpha_C[Solo],0),3)</f>
        <v>2</v>
      </c>
      <c r="K268" s="4">
        <f>INDEX(F1_F2[],MATCH($D$2,F1_F2[Tipo de estaca],0),2)</f>
        <v>3</v>
      </c>
      <c r="L268" s="4">
        <f>INDEX(F1_F2[],MATCH($D$2,F1_F2[Tipo de estaca],0),3)</f>
        <v>6</v>
      </c>
      <c r="M268" s="4">
        <f>PI()*(ECF[[#This Row],[Ø (cm)]]/100)^2/4</f>
        <v>3.1415926535897931</v>
      </c>
      <c r="N268" s="4">
        <f>PI()*ECF[[#This Row],[Ø (cm)]]/100</f>
        <v>6.2831853071795862</v>
      </c>
      <c r="O268" s="4">
        <f>IF(ECF[[#This Row],[Prof. (m)]]=0,0,ECF[[#This Row],[α (%)]]/100*ECF[[#This Row],[K (MPa)]]*1000*ECF[[#This Row],[NSPT]])</f>
        <v>656</v>
      </c>
      <c r="P268" s="4">
        <f>IF(ECF[[#This Row],[Prof. (m)]]=0,0,(ECF[[#This Row],[K (MPa)]]*1000*ECF[[#This Row],[NSPT]]/ECF[[#This Row],[F1]]*ECF[[#This Row],[Ap (m²)]]+ECF[[#This Row],[U (m)]]/ECF[[#This Row],[F2]]*SUMIFS(ECF[(α∙K∙NL∙ΔL)],ECF[Prof. (m)],"&lt;="&amp;ECF[[#This Row],[Prof. (m)]],ECF[idDiâmetro],ECF[[#This Row],[idDiâmetro]],ECF[idPilar],ECF[[#This Row],[idPilar]]))/'DADOS CAP. CARGA'!$D$2)</f>
        <v>18526.966715892646</v>
      </c>
      <c r="Q268" s="12">
        <f>INDEX(C_alpha_beta[],MATCH(ECF[[#This Row],[Solo]],C_alpha_beta[Solo],0),MATCH(ECF[[#Headers],[C (kPa)]],C_alpha_beta[#Headers],0))</f>
        <v>400</v>
      </c>
      <c r="R268" s="4">
        <f>INDEX(C_alpha_beta[],MATCH(ECF[[#This Row],[Solo]],C_alpha_beta[Solo],0),MATCH(ECF[[#Headers],[α ESF]],C_alpha_beta[#Headers],0))</f>
        <v>0.5</v>
      </c>
      <c r="S268" s="4">
        <f>INDEX(C_alpha_beta[],MATCH(ECF[[#This Row],[Solo]],C_alpha_beta[Solo],0),MATCH(ECF[[#Headers],[β ESF]],C_alpha_beta[#Headers],0))</f>
        <v>0.5</v>
      </c>
      <c r="T268" s="4">
        <f>IF(ECF[[#This Row],[Prof. (m)]]=0,0,10*(ECF[[#This Row],[NSPT]]/3+1))</f>
        <v>146.66666666666666</v>
      </c>
      <c r="U268" s="4">
        <f>(ECF[[#This Row],[α ESF]]*ECF[[#This Row],[C (kPa)]]*ECF[[#This Row],[NSPT]]*ECF[[#This Row],[Ap (m²)]])/'DADOS CAP. CARGA'!$Q$2+(ECF[[#This Row],[β ESF]]*SUMIFS(ECF[10∙(NL/3+1)],ECF[Prof. (m)],"&lt;="&amp;ECF[[#This Row],[Prof. (m)]],ECF[idDiâmetro],ECF[[#This Row],[idDiâmetro]],ECF[idPilar],ECF[[#This Row],[idPilar]])*ECF[[#This Row],[U (m)]])/'DADOS CAP. CARGA'!$S$2</f>
        <v>7508.4064420796049</v>
      </c>
      <c r="V268" s="4">
        <f>IF(SPT!$M$5=1,MIN(ECF[[#This Row],[Pe ECF (kN)]],ECF[[#This Row],[R_AV (kN)]]),IF(SPT!$M$5=2,MIN(ECF[[#This Row],[Pe ECF (kN)]],ECF[[#This Row],[R_DC (kN)]]),MIN(ECF[[#This Row],[Pe ECF (kN)]],ECF[[#This Row],[R_AV (kN)]],ECF[[#This Row],[R_DC (kN)]])))</f>
        <v>7508.4064420796049</v>
      </c>
      <c r="W268" s="4">
        <f>INDEX(PILARES[],ECF[[#This Row],[idPilar]],MATCH("Carga (kN)",PILARES[#Headers],0))*1.4</f>
        <v>3500</v>
      </c>
      <c r="X268" s="12">
        <f>INDEX(PILARES[],ECF[[#This Row],[idPilar]],MATCH(ECF[[#Headers],[ap (cm)]],PILARES[#Headers],0))</f>
        <v>60</v>
      </c>
      <c r="Y268" s="12">
        <f>INDEX(PILARES[],ECF[[#This Row],[idPilar]],MATCH(ECF[[#Headers],[bp (cm)]],PILARES[#Headers],0))</f>
        <v>60</v>
      </c>
      <c r="Z268" s="4">
        <f>SQRT(ECF[[#This Row],[ap (cm)]]*ECF[[#This Row],[bp (cm)]])</f>
        <v>60</v>
      </c>
      <c r="AA268" s="12">
        <f>ECF[[#This Row],[ap (cm)]]*ECF[[#This Row],[bp (cm)]]</f>
        <v>3600</v>
      </c>
      <c r="AB268" s="12">
        <f ca="1">IF(ECF[[#This Row],[Padm∙ε (kN)]]&gt;=ECF[[#This Row],[Padm (kN)]],ROUNDUP(1.05*ECF[[#This Row],[Nsd (kN)]]/ECF[[#This Row],[Padm (kN)]],0),ROUNDUP(1.05*ECF[[#This Row],[Nsd (kN)]]/ECF[[#This Row],[Padm (kN)]],0)+1)</f>
        <v>1</v>
      </c>
      <c r="AC268" s="4">
        <f ca="1">IFERROR(IF(ECF[[#This Row],[nE]]=1,ECF[[#This Row],[Padm (kN)]],ECF[[#This Row],[Padm (kN)]]*ECF[[#This Row],[nE]]*INDEX(grupoEstacas[],ECF[[#This Row],[nE]],MATCH("ε",grupoEstacas[#Headers],0))),"N.S.")</f>
        <v>7508.4064420796049</v>
      </c>
      <c r="AD268" s="4">
        <f ca="1">1.05*ECF[[#This Row],[Nsd (kN)]]/(ECF[[#This Row],[nE]]*PI()*ECF[[#This Row],[Ø (cm)]]^2/4)*10</f>
        <v>1.1697888317254308</v>
      </c>
      <c r="AE268" s="4">
        <f ca="1">IF(ECF[[#This Row],[σ (MPa)]]&lt;INDEX(tipoEstaca[],MATCH($D$2,tipoEstaca[TIPO DE ESTACA],0),MATCH("σmáx (MPa)",tipoEstaca[#Headers],0)),0.4%*PI()*ECF[[#This Row],[Ø (cm)]]^2/4,"N.S.")</f>
        <v>125.66370614359174</v>
      </c>
      <c r="AF268" s="82">
        <f>INDEX(tipoEstaca[],MATCH($D$2,tipoEstaca[TIPO DE ESTACA],0),MATCH(ECF[[#Headers],[Comprimento (m)]],tipoEstaca[#Headers],0))</f>
        <v>4</v>
      </c>
      <c r="AG268" s="5">
        <f ca="1">ECF[[#This Row],[As,mín (cm²)]]/100^2*ECF[[#This Row],[Comprimento (m)]]*7850</f>
        <v>394.58403729087803</v>
      </c>
      <c r="AH268" s="4">
        <f ca="1">ECF[[#This Row],[nE]]*ECF[[#This Row],[Prof. (m)]]*ECF[[#This Row],[Ap (m²)]]</f>
        <v>34.557519189487721</v>
      </c>
      <c r="AI268" s="82">
        <f ca="1">IF(ECF[[#This Row],[nE]]=1,0,MAX(3*ECF[[#This Row],[Ø (cm)]],60))</f>
        <v>0</v>
      </c>
      <c r="AJ268" s="82">
        <f ca="1">IF(ECF[[#This Row],[nE]]=1,ECF[[#This Row],[Ø (cm)]]+2*10,MAX(1.5*ECF[[#This Row],[Ø (cm)]],ECF[[#This Row],[Ø (cm)]]+15))</f>
        <v>220</v>
      </c>
      <c r="AK268" s="82">
        <f ca="1">alturaUtil(ECF[[#This Row],[nE]],ECF[[#This Row],[Ø (cm)]],ECF[[#This Row],[e (cm)]],ECF[[#This Row],[ap,eq (cm)]])</f>
        <v>240</v>
      </c>
      <c r="AL268" s="82">
        <f ca="1">IFERROR(ECF[[#This Row],[d (cm)]]+arredondarParaCimaMultiplo5cm(MAX(5,SQRT(PI())/2*ECF[[#This Row],[Ø (cm)]]/5)),"N.S.")</f>
        <v>280</v>
      </c>
      <c r="AM268" s="5">
        <f ca="1">alpha(ECF[[#This Row],[nE]],ECF[[#This Row],[d (cm)]],ECF[[#This Row],[e (cm)]],ECF[[#This Row],[ap,eq (cm)]])</f>
        <v>90</v>
      </c>
      <c r="AN268" s="35">
        <f ca="1">IFERROR(ECF[[#This Row],[Nsd (kN)]]/(ECF[[#This Row],[Ap (cm²)]]*SIN(ECF[[#This Row],[α]])^2),"N.S.")</f>
        <v>1.2164485570105679</v>
      </c>
      <c r="AO268" s="35">
        <f ca="1">IFERROR(ECF[[#This Row],[Nsd (kN)]]/(ECF[[#This Row],[nE]]*PI()*ECF[[#This Row],[Ø (cm)]]^2/4*SIN(ECF[[#This Row],[α]])^2),"N.S.")</f>
        <v>0.13939473662296931</v>
      </c>
      <c r="AP268" s="4">
        <f ca="1">IFERROR(INDEX(grupoEstacas[],ECF[[#This Row],[nE]],MATCH("coef. Blévot",grupoEstacas[#Headers],0)),"N.S.")</f>
        <v>1</v>
      </c>
      <c r="AQ268" s="35">
        <f ca="1">IFERROR(ECF[[#This Row],[coef. Blévot]]*0.9*INDEX(tipoEstaca[],MATCH($D$2,tipoEstaca[TIPO DE ESTACA],0),MATCH("fcd (kN/cm²)",tipoEstaca[#Headers],0)),"N.S.")</f>
        <v>1</v>
      </c>
      <c r="AR268" s="82" t="str">
        <f ca="1">IF(AND(ECF[[#This Row],[cd,b,pil (kN/cm²)]]&lt;=ECF[[#This Row],[cd,b,lim (kN/cm²)]],ECF[[#This Row],[cd,b,est (kN/cm²)]]&lt;=ECF[[#This Row],[cd,b,lim (kN/cm²)]]),"OK","ERRO")</f>
        <v>ERRO</v>
      </c>
      <c r="AS268" s="4">
        <f ca="1">As_lado(ECF[[#This Row],[nE]],ECF[[#This Row],[Nsd (kN)]],ECF[[#This Row],[d (cm)]],ECF[[#This Row],[e (cm)]],ECF[[#This Row],[ap,eq (cm)]])</f>
        <v>20.125</v>
      </c>
      <c r="AT268" s="4">
        <f ca="1">IF(ECF[[#This Row],[nE]]=1,ECF[[#This Row],[As,lado (cm²)]],IF(ECF[[#This Row],[nE]]=2,0.075*2*ECF[a (cm)],"N.A."))</f>
        <v>20.125</v>
      </c>
      <c r="AU268" s="4" t="str">
        <f ca="1">IFERROR(IF(ECF[[#This Row],[nE]]=1,"N.A.",0.2*ECF[[#This Row],[As,lado (cm²)]]),"N.S.")</f>
        <v>N.A.</v>
      </c>
      <c r="AV268" s="4" t="str">
        <f ca="1">As_malha(ECF[[#This Row],[nE]],ECF[[#This Row],[As,lado (cm²)]],ECF[[#This Row],[Nsd (kN)]])</f>
        <v>N.A.</v>
      </c>
      <c r="AW268" s="4" t="str">
        <f ca="1">As_susp_tot(ECF[[#This Row],[nE]],ECF[[#This Row],[Nsd (kN)]])</f>
        <v>N.A.</v>
      </c>
      <c r="AX268" s="4" t="str">
        <f ca="1">Asp_face(ECF[[#This Row],[nE]],ECF[[#This Row],[As,lado (cm²)]])</f>
        <v>N.A.</v>
      </c>
      <c r="AY268" s="5">
        <f ca="1">acoBloco(ECF[[#This Row],[nE]],ECF[[#This Row],[e (cm)]],ECF[[#This Row],[a (cm)]],ECF[[#This Row],[h (cm)]],ECF[[#This Row],[As,lado (cm²)]],ECF[[#This Row],[Asp e Asw (cm²/m)]],ECF[[#This Row],[As,sup (cm²)]],ECF[[#This Row],[As,malha (cm²)]],ECF[[#This Row],[As,susp,tot (cm²)]],ECF[[#This Row],[Asp,face (cm²)]])</f>
        <v>454.98599999999999</v>
      </c>
      <c r="AZ268" s="4">
        <f ca="1">concretoBloco(ECF[[#This Row],[nE]],ECF[[#This Row],[e (cm)]],ECF[[#This Row],[a (cm)]],ECF[[#This Row],[h (cm)]])</f>
        <v>13.552</v>
      </c>
      <c r="BA268" s="5">
        <f ca="1">SUM(ECF[[#This Row],[Aço Est (kg)]],ECF[[#This Row],[Aço Bloco (kg)]])</f>
        <v>849.57003729087796</v>
      </c>
      <c r="BB268" s="4">
        <f>INDEX(composicoes[],MATCH(95580,composicoes[CÓDIGO],0),MATCH("CUSTO TOTAL",composicoes[#Headers],0))</f>
        <v>10.46</v>
      </c>
      <c r="BC268" s="4">
        <f ca="1">SUM(ECF[[#This Row],[Conc Est (m³)]],ECF[[#This Row],[Conc Bloco (m³)]])</f>
        <v>48.10951918948772</v>
      </c>
      <c r="BD268" s="4">
        <f>INDEX(composicoes[],MATCH(94966,composicoes[CÓDIGO],0),MATCH("CUSTO TOTAL",composicoes[#Headers],0))</f>
        <v>439.52</v>
      </c>
      <c r="BE268" s="38">
        <f ca="1">ECF[[#This Row],[Aço (kg)]]*ECF[[#This Row],[Aço (R$/kg)]]+ECF[[#This Row],[Conc (m³)]]*ECF[[#This Row],[Conc (R$/m³)]]</f>
        <v>30031.598464226226</v>
      </c>
      <c r="BF268" s="4" t="str">
        <f ca="1">IF(COUNTIF(ECF[#This Row],"N.S.")&gt;0,"lim.","OK")</f>
        <v>OK</v>
      </c>
      <c r="BG268" s="4" t="str">
        <f>IF(ECF[[#This Row],[Prof. (m)]]&lt;4,"lim.","OK")</f>
        <v>OK</v>
      </c>
      <c r="BH268" s="4" t="str">
        <f>IF(ECF[[#This Row],[Prof. (m)]]&gt;=8*ECF[[#This Row],[Ø (cm)]]/100,"OK","lim.")</f>
        <v>lim.</v>
      </c>
      <c r="BI268" s="4" t="str">
        <f>IF(AND(SPT!$F$3&lt;&gt;"",ECF[[#This Row],[Prof. (m)]]&gt;=SPT!$F$3-2),"lim.","OK")</f>
        <v>OK</v>
      </c>
      <c r="BJ268" s="4" t="str">
        <f ca="1">IF(ECF[[#This Row],[Verif. Biela]]="OK","OK","lim.")</f>
        <v>lim.</v>
      </c>
      <c r="BK268" s="4" t="str">
        <f ca="1">IF(COUNTA(ECF[[#This Row],[Nº Est.]:[Biela comp.]])=COUNTIF(ECF[[#This Row],[Nº Est.]:[Biela comp.]],"OK"),"OK","lim.")</f>
        <v>lim.</v>
      </c>
      <c r="BL268" s="4" t="str">
        <f ca="1">IF(ECF[[#This Row],[Controle]]="OK",ECF[[#This Row],[nE]]&amp;" Ø "&amp;ECF[[#This Row],[Ø (cm)]]&amp;" cm, Prof. "&amp;ECF[[#This Row],[Prof. (m)]]&amp;" m","")</f>
        <v/>
      </c>
      <c r="BM268" s="4" t="str">
        <f ca="1">IF(ECF[[#This Row],[idDimensionamento]]="","",ECF[[#This Row],[idPilar]]&amp;ECF[[#This Row],[idDimensionamento]])</f>
        <v/>
      </c>
    </row>
    <row r="269" spans="2:65" x14ac:dyDescent="0.25">
      <c r="B269" s="12">
        <f>ROUNDUP((ROW(ECF[[#This Row],[idDiâmetro]])-ROW(ECF[[#Headers],[idDiâmetro]]))/(COUNT(SPT[Prof. (m)])*COUNT(PILARES[Pilar])),0)</f>
        <v>10</v>
      </c>
      <c r="C269" s="12">
        <f>IF(ECF[[#This Row],[idDiâmetro]]&lt;&gt;B268,1,IF(ECF[[#This Row],[Prof. (m)]]=0,C268+1,C268))</f>
        <v>1</v>
      </c>
      <c r="D269" s="82">
        <f>IFERROR(IF(D268=MAX(SPT[Prof. (m)]),0,D268+1),0)</f>
        <v>12</v>
      </c>
      <c r="E269" s="82">
        <f>INDEX(SPT[],MATCH(ECF[[#This Row],[Prof. (m)]],SPT[Prof. (m)],0),2)</f>
        <v>52</v>
      </c>
      <c r="F269" s="82" t="str">
        <f>INDEX(SPT[],MATCH(ECF[[#This Row],[Prof. (m)]],SPT[Prof. (m)],0),3)</f>
        <v>Areia siltosa</v>
      </c>
      <c r="G269" s="82">
        <f>INDEX(estacas[],ECF[[#This Row],[idDiâmetro]],MATCH($B$2,estacas[#Headers],0))</f>
        <v>200</v>
      </c>
      <c r="H269" s="82">
        <f>INDEX(estacas[],MATCH(ECF[[#This Row],[Ø (cm)]],estacas[Ø ECF (cm)],0),MATCH(ECF[[#Headers],[Pe ECF (kN)]],estacas[#Headers],0))</f>
        <v>12500</v>
      </c>
      <c r="I269" s="4">
        <f>INDEX(K_alpha_C[],MATCH(ECF[[#This Row],[Solo]],K_alpha_C[Solo],0),2)</f>
        <v>0.8</v>
      </c>
      <c r="J269" s="5">
        <f>INDEX(K_alpha_C[],MATCH(ECF[[#This Row],[Solo]],K_alpha_C[Solo],0),3)</f>
        <v>2</v>
      </c>
      <c r="K269" s="4">
        <f>INDEX(F1_F2[],MATCH($D$2,F1_F2[Tipo de estaca],0),2)</f>
        <v>3</v>
      </c>
      <c r="L269" s="4">
        <f>INDEX(F1_F2[],MATCH($D$2,F1_F2[Tipo de estaca],0),3)</f>
        <v>6</v>
      </c>
      <c r="M269" s="4">
        <f>PI()*(ECF[[#This Row],[Ø (cm)]]/100)^2/4</f>
        <v>3.1415926535897931</v>
      </c>
      <c r="N269" s="4">
        <f>PI()*ECF[[#This Row],[Ø (cm)]]/100</f>
        <v>6.2831853071795862</v>
      </c>
      <c r="O269" s="4">
        <f>IF(ECF[[#This Row],[Prof. (m)]]=0,0,ECF[[#This Row],[α (%)]]/100*ECF[[#This Row],[K (MPa)]]*1000*ECF[[#This Row],[NSPT]])</f>
        <v>832</v>
      </c>
      <c r="P269" s="4">
        <f>IF(ECF[[#This Row],[Prof. (m)]]=0,0,(ECF[[#This Row],[K (MPa)]]*1000*ECF[[#This Row],[NSPT]]/ECF[[#This Row],[F1]]*ECF[[#This Row],[Ap (m²)]]+ECF[[#This Row],[U (m)]]/ECF[[#This Row],[F2]]*SUMIFS(ECF[(α∙K∙NL∙ΔL)],ECF[Prof. (m)],"&lt;="&amp;ECF[[#This Row],[Prof. (m)]],ECF[idDiâmetro],ECF[[#This Row],[idDiâmetro]],ECF[idPilar],ECF[[#This Row],[idPilar]]))/'DADOS CAP. CARGA'!$D$2)</f>
        <v>23570.270122455458</v>
      </c>
      <c r="Q269" s="12">
        <f>INDEX(C_alpha_beta[],MATCH(ECF[[#This Row],[Solo]],C_alpha_beta[Solo],0),MATCH(ECF[[#Headers],[C (kPa)]],C_alpha_beta[#Headers],0))</f>
        <v>400</v>
      </c>
      <c r="R269" s="4">
        <f>INDEX(C_alpha_beta[],MATCH(ECF[[#This Row],[Solo]],C_alpha_beta[Solo],0),MATCH(ECF[[#Headers],[α ESF]],C_alpha_beta[#Headers],0))</f>
        <v>0.5</v>
      </c>
      <c r="S269" s="4">
        <f>INDEX(C_alpha_beta[],MATCH(ECF[[#This Row],[Solo]],C_alpha_beta[Solo],0),MATCH(ECF[[#Headers],[β ESF]],C_alpha_beta[#Headers],0))</f>
        <v>0.5</v>
      </c>
      <c r="T269" s="4">
        <f>IF(ECF[[#This Row],[Prof. (m)]]=0,0,10*(ECF[[#This Row],[NSPT]]/3+1))</f>
        <v>183.33333333333331</v>
      </c>
      <c r="U269" s="4">
        <f>(ECF[[#This Row],[α ESF]]*ECF[[#This Row],[C (kPa)]]*ECF[[#This Row],[NSPT]]*ECF[[#This Row],[Ap (m²)]])/'DADOS CAP. CARGA'!$Q$2+(ECF[[#This Row],[β ESF]]*SUMIFS(ECF[10∙(NL/3+1)],ECF[Prof. (m)],"&lt;="&amp;ECF[[#This Row],[Prof. (m)]],ECF[idDiâmetro],ECF[[#This Row],[idDiâmetro]],ECF[idPilar],ECF[[#This Row],[idPilar]])*ECF[[#This Row],[U (m)]])/'DADOS CAP. CARGA'!$S$2</f>
        <v>9524.2617281330549</v>
      </c>
      <c r="V269" s="4">
        <f>IF(SPT!$M$5=1,MIN(ECF[[#This Row],[Pe ECF (kN)]],ECF[[#This Row],[R_AV (kN)]]),IF(SPT!$M$5=2,MIN(ECF[[#This Row],[Pe ECF (kN)]],ECF[[#This Row],[R_DC (kN)]]),MIN(ECF[[#This Row],[Pe ECF (kN)]],ECF[[#This Row],[R_AV (kN)]],ECF[[#This Row],[R_DC (kN)]])))</f>
        <v>9524.2617281330549</v>
      </c>
      <c r="W269" s="4">
        <f>INDEX(PILARES[],ECF[[#This Row],[idPilar]],MATCH("Carga (kN)",PILARES[#Headers],0))*1.4</f>
        <v>3500</v>
      </c>
      <c r="X269" s="12">
        <f>INDEX(PILARES[],ECF[[#This Row],[idPilar]],MATCH(ECF[[#Headers],[ap (cm)]],PILARES[#Headers],0))</f>
        <v>60</v>
      </c>
      <c r="Y269" s="12">
        <f>INDEX(PILARES[],ECF[[#This Row],[idPilar]],MATCH(ECF[[#Headers],[bp (cm)]],PILARES[#Headers],0))</f>
        <v>60</v>
      </c>
      <c r="Z269" s="4">
        <f>SQRT(ECF[[#This Row],[ap (cm)]]*ECF[[#This Row],[bp (cm)]])</f>
        <v>60</v>
      </c>
      <c r="AA269" s="12">
        <f>ECF[[#This Row],[ap (cm)]]*ECF[[#This Row],[bp (cm)]]</f>
        <v>3600</v>
      </c>
      <c r="AB269" s="12">
        <f ca="1">IF(ECF[[#This Row],[Padm∙ε (kN)]]&gt;=ECF[[#This Row],[Padm (kN)]],ROUNDUP(1.05*ECF[[#This Row],[Nsd (kN)]]/ECF[[#This Row],[Padm (kN)]],0),ROUNDUP(1.05*ECF[[#This Row],[Nsd (kN)]]/ECF[[#This Row],[Padm (kN)]],0)+1)</f>
        <v>1</v>
      </c>
      <c r="AC269" s="4">
        <f ca="1">IFERROR(IF(ECF[[#This Row],[nE]]=1,ECF[[#This Row],[Padm (kN)]],ECF[[#This Row],[Padm (kN)]]*ECF[[#This Row],[nE]]*INDEX(grupoEstacas[],ECF[[#This Row],[nE]],MATCH("ε",grupoEstacas[#Headers],0))),"N.S.")</f>
        <v>9524.2617281330549</v>
      </c>
      <c r="AD269" s="4">
        <f ca="1">1.05*ECF[[#This Row],[Nsd (kN)]]/(ECF[[#This Row],[nE]]*PI()*ECF[[#This Row],[Ø (cm)]]^2/4)*10</f>
        <v>1.1697888317254308</v>
      </c>
      <c r="AE269" s="4">
        <f ca="1">IF(ECF[[#This Row],[σ (MPa)]]&lt;INDEX(tipoEstaca[],MATCH($D$2,tipoEstaca[TIPO DE ESTACA],0),MATCH("σmáx (MPa)",tipoEstaca[#Headers],0)),0.4%*PI()*ECF[[#This Row],[Ø (cm)]]^2/4,"N.S.")</f>
        <v>125.66370614359174</v>
      </c>
      <c r="AF269" s="82">
        <f>INDEX(tipoEstaca[],MATCH($D$2,tipoEstaca[TIPO DE ESTACA],0),MATCH(ECF[[#Headers],[Comprimento (m)]],tipoEstaca[#Headers],0))</f>
        <v>4</v>
      </c>
      <c r="AG269" s="5">
        <f ca="1">ECF[[#This Row],[As,mín (cm²)]]/100^2*ECF[[#This Row],[Comprimento (m)]]*7850</f>
        <v>394.58403729087803</v>
      </c>
      <c r="AH269" s="4">
        <f ca="1">ECF[[#This Row],[nE]]*ECF[[#This Row],[Prof. (m)]]*ECF[[#This Row],[Ap (m²)]]</f>
        <v>37.699111843077517</v>
      </c>
      <c r="AI269" s="82">
        <f ca="1">IF(ECF[[#This Row],[nE]]=1,0,MAX(3*ECF[[#This Row],[Ø (cm)]],60))</f>
        <v>0</v>
      </c>
      <c r="AJ269" s="82">
        <f ca="1">IF(ECF[[#This Row],[nE]]=1,ECF[[#This Row],[Ø (cm)]]+2*10,MAX(1.5*ECF[[#This Row],[Ø (cm)]],ECF[[#This Row],[Ø (cm)]]+15))</f>
        <v>220</v>
      </c>
      <c r="AK269" s="82">
        <f ca="1">alturaUtil(ECF[[#This Row],[nE]],ECF[[#This Row],[Ø (cm)]],ECF[[#This Row],[e (cm)]],ECF[[#This Row],[ap,eq (cm)]])</f>
        <v>240</v>
      </c>
      <c r="AL269" s="82">
        <f ca="1">IFERROR(ECF[[#This Row],[d (cm)]]+arredondarParaCimaMultiplo5cm(MAX(5,SQRT(PI())/2*ECF[[#This Row],[Ø (cm)]]/5)),"N.S.")</f>
        <v>280</v>
      </c>
      <c r="AM269" s="5">
        <f ca="1">alpha(ECF[[#This Row],[nE]],ECF[[#This Row],[d (cm)]],ECF[[#This Row],[e (cm)]],ECF[[#This Row],[ap,eq (cm)]])</f>
        <v>90</v>
      </c>
      <c r="AN269" s="35">
        <f ca="1">IFERROR(ECF[[#This Row],[Nsd (kN)]]/(ECF[[#This Row],[Ap (cm²)]]*SIN(ECF[[#This Row],[α]])^2),"N.S.")</f>
        <v>1.2164485570105679</v>
      </c>
      <c r="AO269" s="35">
        <f ca="1">IFERROR(ECF[[#This Row],[Nsd (kN)]]/(ECF[[#This Row],[nE]]*PI()*ECF[[#This Row],[Ø (cm)]]^2/4*SIN(ECF[[#This Row],[α]])^2),"N.S.")</f>
        <v>0.13939473662296931</v>
      </c>
      <c r="AP269" s="4">
        <f ca="1">IFERROR(INDEX(grupoEstacas[],ECF[[#This Row],[nE]],MATCH("coef. Blévot",grupoEstacas[#Headers],0)),"N.S.")</f>
        <v>1</v>
      </c>
      <c r="AQ269" s="35">
        <f ca="1">IFERROR(ECF[[#This Row],[coef. Blévot]]*0.9*INDEX(tipoEstaca[],MATCH($D$2,tipoEstaca[TIPO DE ESTACA],0),MATCH("fcd (kN/cm²)",tipoEstaca[#Headers],0)),"N.S.")</f>
        <v>1</v>
      </c>
      <c r="AR269" s="82" t="str">
        <f ca="1">IF(AND(ECF[[#This Row],[cd,b,pil (kN/cm²)]]&lt;=ECF[[#This Row],[cd,b,lim (kN/cm²)]],ECF[[#This Row],[cd,b,est (kN/cm²)]]&lt;=ECF[[#This Row],[cd,b,lim (kN/cm²)]]),"OK","ERRO")</f>
        <v>ERRO</v>
      </c>
      <c r="AS269" s="4">
        <f ca="1">As_lado(ECF[[#This Row],[nE]],ECF[[#This Row],[Nsd (kN)]],ECF[[#This Row],[d (cm)]],ECF[[#This Row],[e (cm)]],ECF[[#This Row],[ap,eq (cm)]])</f>
        <v>20.125</v>
      </c>
      <c r="AT269" s="4">
        <f ca="1">IF(ECF[[#This Row],[nE]]=1,ECF[[#This Row],[As,lado (cm²)]],IF(ECF[[#This Row],[nE]]=2,0.075*2*ECF[a (cm)],"N.A."))</f>
        <v>20.125</v>
      </c>
      <c r="AU269" s="4" t="str">
        <f ca="1">IFERROR(IF(ECF[[#This Row],[nE]]=1,"N.A.",0.2*ECF[[#This Row],[As,lado (cm²)]]),"N.S.")</f>
        <v>N.A.</v>
      </c>
      <c r="AV269" s="4" t="str">
        <f ca="1">As_malha(ECF[[#This Row],[nE]],ECF[[#This Row],[As,lado (cm²)]],ECF[[#This Row],[Nsd (kN)]])</f>
        <v>N.A.</v>
      </c>
      <c r="AW269" s="4" t="str">
        <f ca="1">As_susp_tot(ECF[[#This Row],[nE]],ECF[[#This Row],[Nsd (kN)]])</f>
        <v>N.A.</v>
      </c>
      <c r="AX269" s="4" t="str">
        <f ca="1">Asp_face(ECF[[#This Row],[nE]],ECF[[#This Row],[As,lado (cm²)]])</f>
        <v>N.A.</v>
      </c>
      <c r="AY269" s="5">
        <f ca="1">acoBloco(ECF[[#This Row],[nE]],ECF[[#This Row],[e (cm)]],ECF[[#This Row],[a (cm)]],ECF[[#This Row],[h (cm)]],ECF[[#This Row],[As,lado (cm²)]],ECF[[#This Row],[Asp e Asw (cm²/m)]],ECF[[#This Row],[As,sup (cm²)]],ECF[[#This Row],[As,malha (cm²)]],ECF[[#This Row],[As,susp,tot (cm²)]],ECF[[#This Row],[Asp,face (cm²)]])</f>
        <v>454.98599999999999</v>
      </c>
      <c r="AZ269" s="4">
        <f ca="1">concretoBloco(ECF[[#This Row],[nE]],ECF[[#This Row],[e (cm)]],ECF[[#This Row],[a (cm)]],ECF[[#This Row],[h (cm)]])</f>
        <v>13.552</v>
      </c>
      <c r="BA269" s="5">
        <f ca="1">SUM(ECF[[#This Row],[Aço Est (kg)]],ECF[[#This Row],[Aço Bloco (kg)]])</f>
        <v>849.57003729087796</v>
      </c>
      <c r="BB269" s="4">
        <f>INDEX(composicoes[],MATCH(95580,composicoes[CÓDIGO],0),MATCH("CUSTO TOTAL",composicoes[#Headers],0))</f>
        <v>10.46</v>
      </c>
      <c r="BC269" s="4">
        <f ca="1">SUM(ECF[[#This Row],[Conc Est (m³)]],ECF[[#This Row],[Conc Bloco (m³)]])</f>
        <v>51.251111843077517</v>
      </c>
      <c r="BD269" s="4">
        <f>INDEX(composicoes[],MATCH(94966,composicoes[CÓDIGO],0),MATCH("CUSTO TOTAL",composicoes[#Headers],0))</f>
        <v>439.52</v>
      </c>
      <c r="BE269" s="38">
        <f ca="1">ECF[[#This Row],[Aço (kg)]]*ECF[[#This Row],[Aço (R$/kg)]]+ECF[[#This Row],[Conc (m³)]]*ECF[[#This Row],[Conc (R$/m³)]]</f>
        <v>31412.391267332012</v>
      </c>
      <c r="BF269" s="4" t="str">
        <f ca="1">IF(COUNTIF(ECF[#This Row],"N.S.")&gt;0,"lim.","OK")</f>
        <v>OK</v>
      </c>
      <c r="BG269" s="4" t="str">
        <f>IF(ECF[[#This Row],[Prof. (m)]]&lt;4,"lim.","OK")</f>
        <v>OK</v>
      </c>
      <c r="BH269" s="4" t="str">
        <f>IF(ECF[[#This Row],[Prof. (m)]]&gt;=8*ECF[[#This Row],[Ø (cm)]]/100,"OK","lim.")</f>
        <v>lim.</v>
      </c>
      <c r="BI269" s="4" t="str">
        <f>IF(AND(SPT!$F$3&lt;&gt;"",ECF[[#This Row],[Prof. (m)]]&gt;=SPT!$F$3-2),"lim.","OK")</f>
        <v>OK</v>
      </c>
      <c r="BJ269" s="4" t="str">
        <f ca="1">IF(ECF[[#This Row],[Verif. Biela]]="OK","OK","lim.")</f>
        <v>lim.</v>
      </c>
      <c r="BK269" s="4" t="str">
        <f ca="1">IF(COUNTA(ECF[[#This Row],[Nº Est.]:[Biela comp.]])=COUNTIF(ECF[[#This Row],[Nº Est.]:[Biela comp.]],"OK"),"OK","lim.")</f>
        <v>lim.</v>
      </c>
      <c r="BL269" s="4" t="str">
        <f ca="1">IF(ECF[[#This Row],[Controle]]="OK",ECF[[#This Row],[nE]]&amp;" Ø "&amp;ECF[[#This Row],[Ø (cm)]]&amp;" cm, Prof. "&amp;ECF[[#This Row],[Prof. (m)]]&amp;" m","")</f>
        <v/>
      </c>
      <c r="BM269" s="4" t="str">
        <f ca="1">IF(ECF[[#This Row],[idDimensionamento]]="","",ECF[[#This Row],[idPilar]]&amp;ECF[[#This Row],[idDimensionamento]])</f>
        <v/>
      </c>
    </row>
    <row r="270" spans="2:65" x14ac:dyDescent="0.25">
      <c r="B270" s="12">
        <f>ROUNDUP((ROW(ECF[[#This Row],[idDiâmetro]])-ROW(ECF[[#Headers],[idDiâmetro]]))/(COUNT(SPT[Prof. (m)])*COUNT(PILARES[Pilar])),0)</f>
        <v>10</v>
      </c>
      <c r="C270" s="12">
        <f>IF(ECF[[#This Row],[idDiâmetro]]&lt;&gt;B269,1,IF(ECF[[#This Row],[Prof. (m)]]=0,C269+1,C269))</f>
        <v>1</v>
      </c>
      <c r="D270" s="82">
        <f>IFERROR(IF(D269=MAX(SPT[Prof. (m)]),0,D269+1),0)</f>
        <v>13</v>
      </c>
      <c r="E270" s="82">
        <f>INDEX(SPT[],MATCH(ECF[[#This Row],[Prof. (m)]],SPT[Prof. (m)],0),2)</f>
        <v>68</v>
      </c>
      <c r="F270" s="82" t="str">
        <f>INDEX(SPT[],MATCH(ECF[[#This Row],[Prof. (m)]],SPT[Prof. (m)],0),3)</f>
        <v>Areia siltosa</v>
      </c>
      <c r="G270" s="82">
        <f>INDEX(estacas[],ECF[[#This Row],[idDiâmetro]],MATCH($B$2,estacas[#Headers],0))</f>
        <v>200</v>
      </c>
      <c r="H270" s="82">
        <f>INDEX(estacas[],MATCH(ECF[[#This Row],[Ø (cm)]],estacas[Ø ECF (cm)],0),MATCH(ECF[[#Headers],[Pe ECF (kN)]],estacas[#Headers],0))</f>
        <v>12500</v>
      </c>
      <c r="I270" s="4">
        <f>INDEX(K_alpha_C[],MATCH(ECF[[#This Row],[Solo]],K_alpha_C[Solo],0),2)</f>
        <v>0.8</v>
      </c>
      <c r="J270" s="5">
        <f>INDEX(K_alpha_C[],MATCH(ECF[[#This Row],[Solo]],K_alpha_C[Solo],0),3)</f>
        <v>2</v>
      </c>
      <c r="K270" s="4">
        <f>INDEX(F1_F2[],MATCH($D$2,F1_F2[Tipo de estaca],0),2)</f>
        <v>3</v>
      </c>
      <c r="L270" s="4">
        <f>INDEX(F1_F2[],MATCH($D$2,F1_F2[Tipo de estaca],0),3)</f>
        <v>6</v>
      </c>
      <c r="M270" s="4">
        <f>PI()*(ECF[[#This Row],[Ø (cm)]]/100)^2/4</f>
        <v>3.1415926535897931</v>
      </c>
      <c r="N270" s="4">
        <f>PI()*ECF[[#This Row],[Ø (cm)]]/100</f>
        <v>6.2831853071795862</v>
      </c>
      <c r="O270" s="4">
        <f>IF(ECF[[#This Row],[Prof. (m)]]=0,0,ECF[[#This Row],[α (%)]]/100*ECF[[#This Row],[K (MPa)]]*1000*ECF[[#This Row],[NSPT]])</f>
        <v>1088</v>
      </c>
      <c r="P270" s="4">
        <f>IF(ECF[[#This Row],[Prof. (m)]]=0,0,(ECF[[#This Row],[K (MPa)]]*1000*ECF[[#This Row],[NSPT]]/ECF[[#This Row],[F1]]*ECF[[#This Row],[Ap (m²)]]+ECF[[#This Row],[U (m)]]/ECF[[#This Row],[F2]]*SUMIFS(ECF[(α∙K∙NL∙ΔL)],ECF[Prof. (m)],"&lt;="&amp;ECF[[#This Row],[Prof. (m)]],ECF[idDiâmetro],ECF[[#This Row],[idDiâmetro]],ECF[idPilar],ECF[[#This Row],[idPilar]]))/'DADOS CAP. CARGA'!$D$2)</f>
        <v>30842.009917964635</v>
      </c>
      <c r="Q270" s="12">
        <f>INDEX(C_alpha_beta[],MATCH(ECF[[#This Row],[Solo]],C_alpha_beta[Solo],0),MATCH(ECF[[#Headers],[C (kPa)]],C_alpha_beta[#Headers],0))</f>
        <v>400</v>
      </c>
      <c r="R270" s="4">
        <f>INDEX(C_alpha_beta[],MATCH(ECF[[#This Row],[Solo]],C_alpha_beta[Solo],0),MATCH(ECF[[#Headers],[α ESF]],C_alpha_beta[#Headers],0))</f>
        <v>0.5</v>
      </c>
      <c r="S270" s="4">
        <f>INDEX(C_alpha_beta[],MATCH(ECF[[#This Row],[Solo]],C_alpha_beta[Solo],0),MATCH(ECF[[#Headers],[β ESF]],C_alpha_beta[#Headers],0))</f>
        <v>0.5</v>
      </c>
      <c r="T270" s="4">
        <f>IF(ECF[[#This Row],[Prof. (m)]]=0,0,10*(ECF[[#This Row],[NSPT]]/3+1))</f>
        <v>236.66666666666669</v>
      </c>
      <c r="U270" s="4">
        <f>(ECF[[#This Row],[α ESF]]*ECF[[#This Row],[C (kPa)]]*ECF[[#This Row],[NSPT]]*ECF[[#This Row],[Ap (m²)]])/'DADOS CAP. CARGA'!$Q$2+(ECF[[#This Row],[β ESF]]*SUMIFS(ECF[10∙(NL/3+1)],ECF[Prof. (m)],"&lt;="&amp;ECF[[#This Row],[Prof. (m)]],ECF[idDiâmetro],ECF[[#This Row],[idDiâmetro]],ECF[idPilar],ECF[[#This Row],[idPilar]])*ECF[[#This Row],[U (m)]])/'DADOS CAP. CARGA'!$S$2</f>
        <v>12409.290981679682</v>
      </c>
      <c r="V270" s="4">
        <f>IF(SPT!$M$5=1,MIN(ECF[[#This Row],[Pe ECF (kN)]],ECF[[#This Row],[R_AV (kN)]]),IF(SPT!$M$5=2,MIN(ECF[[#This Row],[Pe ECF (kN)]],ECF[[#This Row],[R_DC (kN)]]),MIN(ECF[[#This Row],[Pe ECF (kN)]],ECF[[#This Row],[R_AV (kN)]],ECF[[#This Row],[R_DC (kN)]])))</f>
        <v>12409.290981679682</v>
      </c>
      <c r="W270" s="4">
        <f>INDEX(PILARES[],ECF[[#This Row],[idPilar]],MATCH("Carga (kN)",PILARES[#Headers],0))*1.4</f>
        <v>3500</v>
      </c>
      <c r="X270" s="12">
        <f>INDEX(PILARES[],ECF[[#This Row],[idPilar]],MATCH(ECF[[#Headers],[ap (cm)]],PILARES[#Headers],0))</f>
        <v>60</v>
      </c>
      <c r="Y270" s="12">
        <f>INDEX(PILARES[],ECF[[#This Row],[idPilar]],MATCH(ECF[[#Headers],[bp (cm)]],PILARES[#Headers],0))</f>
        <v>60</v>
      </c>
      <c r="Z270" s="4">
        <f>SQRT(ECF[[#This Row],[ap (cm)]]*ECF[[#This Row],[bp (cm)]])</f>
        <v>60</v>
      </c>
      <c r="AA270" s="12">
        <f>ECF[[#This Row],[ap (cm)]]*ECF[[#This Row],[bp (cm)]]</f>
        <v>3600</v>
      </c>
      <c r="AB270" s="12">
        <f ca="1">IF(ECF[[#This Row],[Padm∙ε (kN)]]&gt;=ECF[[#This Row],[Padm (kN)]],ROUNDUP(1.05*ECF[[#This Row],[Nsd (kN)]]/ECF[[#This Row],[Padm (kN)]],0),ROUNDUP(1.05*ECF[[#This Row],[Nsd (kN)]]/ECF[[#This Row],[Padm (kN)]],0)+1)</f>
        <v>1</v>
      </c>
      <c r="AC270" s="4">
        <f ca="1">IFERROR(IF(ECF[[#This Row],[nE]]=1,ECF[[#This Row],[Padm (kN)]],ECF[[#This Row],[Padm (kN)]]*ECF[[#This Row],[nE]]*INDEX(grupoEstacas[],ECF[[#This Row],[nE]],MATCH("ε",grupoEstacas[#Headers],0))),"N.S.")</f>
        <v>12409.290981679682</v>
      </c>
      <c r="AD270" s="4">
        <f ca="1">1.05*ECF[[#This Row],[Nsd (kN)]]/(ECF[[#This Row],[nE]]*PI()*ECF[[#This Row],[Ø (cm)]]^2/4)*10</f>
        <v>1.1697888317254308</v>
      </c>
      <c r="AE270" s="4">
        <f ca="1">IF(ECF[[#This Row],[σ (MPa)]]&lt;INDEX(tipoEstaca[],MATCH($D$2,tipoEstaca[TIPO DE ESTACA],0),MATCH("σmáx (MPa)",tipoEstaca[#Headers],0)),0.4%*PI()*ECF[[#This Row],[Ø (cm)]]^2/4,"N.S.")</f>
        <v>125.66370614359174</v>
      </c>
      <c r="AF270" s="82">
        <f>INDEX(tipoEstaca[],MATCH($D$2,tipoEstaca[TIPO DE ESTACA],0),MATCH(ECF[[#Headers],[Comprimento (m)]],tipoEstaca[#Headers],0))</f>
        <v>4</v>
      </c>
      <c r="AG270" s="5">
        <f ca="1">ECF[[#This Row],[As,mín (cm²)]]/100^2*ECF[[#This Row],[Comprimento (m)]]*7850</f>
        <v>394.58403729087803</v>
      </c>
      <c r="AH270" s="4">
        <f ca="1">ECF[[#This Row],[nE]]*ECF[[#This Row],[Prof. (m)]]*ECF[[#This Row],[Ap (m²)]]</f>
        <v>40.840704496667314</v>
      </c>
      <c r="AI270" s="82">
        <f ca="1">IF(ECF[[#This Row],[nE]]=1,0,MAX(3*ECF[[#This Row],[Ø (cm)]],60))</f>
        <v>0</v>
      </c>
      <c r="AJ270" s="82">
        <f ca="1">IF(ECF[[#This Row],[nE]]=1,ECF[[#This Row],[Ø (cm)]]+2*10,MAX(1.5*ECF[[#This Row],[Ø (cm)]],ECF[[#This Row],[Ø (cm)]]+15))</f>
        <v>220</v>
      </c>
      <c r="AK270" s="82">
        <f ca="1">alturaUtil(ECF[[#This Row],[nE]],ECF[[#This Row],[Ø (cm)]],ECF[[#This Row],[e (cm)]],ECF[[#This Row],[ap,eq (cm)]])</f>
        <v>240</v>
      </c>
      <c r="AL270" s="82">
        <f ca="1">IFERROR(ECF[[#This Row],[d (cm)]]+arredondarParaCimaMultiplo5cm(MAX(5,SQRT(PI())/2*ECF[[#This Row],[Ø (cm)]]/5)),"N.S.")</f>
        <v>280</v>
      </c>
      <c r="AM270" s="5">
        <f ca="1">alpha(ECF[[#This Row],[nE]],ECF[[#This Row],[d (cm)]],ECF[[#This Row],[e (cm)]],ECF[[#This Row],[ap,eq (cm)]])</f>
        <v>90</v>
      </c>
      <c r="AN270" s="35">
        <f ca="1">IFERROR(ECF[[#This Row],[Nsd (kN)]]/(ECF[[#This Row],[Ap (cm²)]]*SIN(ECF[[#This Row],[α]])^2),"N.S.")</f>
        <v>1.2164485570105679</v>
      </c>
      <c r="AO270" s="35">
        <f ca="1">IFERROR(ECF[[#This Row],[Nsd (kN)]]/(ECF[[#This Row],[nE]]*PI()*ECF[[#This Row],[Ø (cm)]]^2/4*SIN(ECF[[#This Row],[α]])^2),"N.S.")</f>
        <v>0.13939473662296931</v>
      </c>
      <c r="AP270" s="4">
        <f ca="1">IFERROR(INDEX(grupoEstacas[],ECF[[#This Row],[nE]],MATCH("coef. Blévot",grupoEstacas[#Headers],0)),"N.S.")</f>
        <v>1</v>
      </c>
      <c r="AQ270" s="35">
        <f ca="1">IFERROR(ECF[[#This Row],[coef. Blévot]]*0.9*INDEX(tipoEstaca[],MATCH($D$2,tipoEstaca[TIPO DE ESTACA],0),MATCH("fcd (kN/cm²)",tipoEstaca[#Headers],0)),"N.S.")</f>
        <v>1</v>
      </c>
      <c r="AR270" s="82" t="str">
        <f ca="1">IF(AND(ECF[[#This Row],[cd,b,pil (kN/cm²)]]&lt;=ECF[[#This Row],[cd,b,lim (kN/cm²)]],ECF[[#This Row],[cd,b,est (kN/cm²)]]&lt;=ECF[[#This Row],[cd,b,lim (kN/cm²)]]),"OK","ERRO")</f>
        <v>ERRO</v>
      </c>
      <c r="AS270" s="4">
        <f ca="1">As_lado(ECF[[#This Row],[nE]],ECF[[#This Row],[Nsd (kN)]],ECF[[#This Row],[d (cm)]],ECF[[#This Row],[e (cm)]],ECF[[#This Row],[ap,eq (cm)]])</f>
        <v>20.125</v>
      </c>
      <c r="AT270" s="4">
        <f ca="1">IF(ECF[[#This Row],[nE]]=1,ECF[[#This Row],[As,lado (cm²)]],IF(ECF[[#This Row],[nE]]=2,0.075*2*ECF[a (cm)],"N.A."))</f>
        <v>20.125</v>
      </c>
      <c r="AU270" s="4" t="str">
        <f ca="1">IFERROR(IF(ECF[[#This Row],[nE]]=1,"N.A.",0.2*ECF[[#This Row],[As,lado (cm²)]]),"N.S.")</f>
        <v>N.A.</v>
      </c>
      <c r="AV270" s="4" t="str">
        <f ca="1">As_malha(ECF[[#This Row],[nE]],ECF[[#This Row],[As,lado (cm²)]],ECF[[#This Row],[Nsd (kN)]])</f>
        <v>N.A.</v>
      </c>
      <c r="AW270" s="4" t="str">
        <f ca="1">As_susp_tot(ECF[[#This Row],[nE]],ECF[[#This Row],[Nsd (kN)]])</f>
        <v>N.A.</v>
      </c>
      <c r="AX270" s="4" t="str">
        <f ca="1">Asp_face(ECF[[#This Row],[nE]],ECF[[#This Row],[As,lado (cm²)]])</f>
        <v>N.A.</v>
      </c>
      <c r="AY270" s="5">
        <f ca="1">acoBloco(ECF[[#This Row],[nE]],ECF[[#This Row],[e (cm)]],ECF[[#This Row],[a (cm)]],ECF[[#This Row],[h (cm)]],ECF[[#This Row],[As,lado (cm²)]],ECF[[#This Row],[Asp e Asw (cm²/m)]],ECF[[#This Row],[As,sup (cm²)]],ECF[[#This Row],[As,malha (cm²)]],ECF[[#This Row],[As,susp,tot (cm²)]],ECF[[#This Row],[Asp,face (cm²)]])</f>
        <v>454.98599999999999</v>
      </c>
      <c r="AZ270" s="4">
        <f ca="1">concretoBloco(ECF[[#This Row],[nE]],ECF[[#This Row],[e (cm)]],ECF[[#This Row],[a (cm)]],ECF[[#This Row],[h (cm)]])</f>
        <v>13.552</v>
      </c>
      <c r="BA270" s="5">
        <f ca="1">SUM(ECF[[#This Row],[Aço Est (kg)]],ECF[[#This Row],[Aço Bloco (kg)]])</f>
        <v>849.57003729087796</v>
      </c>
      <c r="BB270" s="4">
        <f>INDEX(composicoes[],MATCH(95580,composicoes[CÓDIGO],0),MATCH("CUSTO TOTAL",composicoes[#Headers],0))</f>
        <v>10.46</v>
      </c>
      <c r="BC270" s="4">
        <f ca="1">SUM(ECF[[#This Row],[Conc Est (m³)]],ECF[[#This Row],[Conc Bloco (m³)]])</f>
        <v>54.392704496667314</v>
      </c>
      <c r="BD270" s="4">
        <f>INDEX(composicoes[],MATCH(94966,composicoes[CÓDIGO],0),MATCH("CUSTO TOTAL",composicoes[#Headers],0))</f>
        <v>439.52</v>
      </c>
      <c r="BE270" s="38">
        <f ca="1">ECF[[#This Row],[Aço (kg)]]*ECF[[#This Row],[Aço (R$/kg)]]+ECF[[#This Row],[Conc (m³)]]*ECF[[#This Row],[Conc (R$/m³)]]</f>
        <v>32793.184070437797</v>
      </c>
      <c r="BF270" s="4" t="str">
        <f ca="1">IF(COUNTIF(ECF[#This Row],"N.S.")&gt;0,"lim.","OK")</f>
        <v>OK</v>
      </c>
      <c r="BG270" s="4" t="str">
        <f>IF(ECF[[#This Row],[Prof. (m)]]&lt;4,"lim.","OK")</f>
        <v>OK</v>
      </c>
      <c r="BH270" s="4" t="str">
        <f>IF(ECF[[#This Row],[Prof. (m)]]&gt;=8*ECF[[#This Row],[Ø (cm)]]/100,"OK","lim.")</f>
        <v>lim.</v>
      </c>
      <c r="BI270" s="4" t="str">
        <f>IF(AND(SPT!$F$3&lt;&gt;"",ECF[[#This Row],[Prof. (m)]]&gt;=SPT!$F$3-2),"lim.","OK")</f>
        <v>OK</v>
      </c>
      <c r="BJ270" s="4" t="str">
        <f ca="1">IF(ECF[[#This Row],[Verif. Biela]]="OK","OK","lim.")</f>
        <v>lim.</v>
      </c>
      <c r="BK270" s="4" t="str">
        <f ca="1">IF(COUNTA(ECF[[#This Row],[Nº Est.]:[Biela comp.]])=COUNTIF(ECF[[#This Row],[Nº Est.]:[Biela comp.]],"OK"),"OK","lim.")</f>
        <v>lim.</v>
      </c>
      <c r="BL270" s="4" t="str">
        <f ca="1">IF(ECF[[#This Row],[Controle]]="OK",ECF[[#This Row],[nE]]&amp;" Ø "&amp;ECF[[#This Row],[Ø (cm)]]&amp;" cm, Prof. "&amp;ECF[[#This Row],[Prof. (m)]]&amp;" m","")</f>
        <v/>
      </c>
      <c r="BM270" s="4" t="str">
        <f ca="1">IF(ECF[[#This Row],[idDimensionamento]]="","",ECF[[#This Row],[idPilar]]&amp;ECF[[#This Row],[idDimensionamento]])</f>
        <v/>
      </c>
    </row>
    <row r="271" spans="2:65" x14ac:dyDescent="0.25">
      <c r="B271" s="12">
        <f>ROUNDUP((ROW(ECF[[#This Row],[idDiâmetro]])-ROW(ECF[[#Headers],[idDiâmetro]]))/(COUNT(SPT[Prof. (m)])*COUNT(PILARES[Pilar])),0)</f>
        <v>10</v>
      </c>
      <c r="C271" s="12">
        <f>IF(ECF[[#This Row],[idDiâmetro]]&lt;&gt;B270,1,IF(ECF[[#This Row],[Prof. (m)]]=0,C270+1,C270))</f>
        <v>2</v>
      </c>
      <c r="D271" s="82">
        <f>IFERROR(IF(D270=MAX(SPT[Prof. (m)]),0,D270+1),0)</f>
        <v>0</v>
      </c>
      <c r="E271" s="82">
        <f>INDEX(SPT[],MATCH(ECF[[#This Row],[Prof. (m)]],SPT[Prof. (m)],0),2)</f>
        <v>0</v>
      </c>
      <c r="F271" s="82" t="str">
        <f>INDEX(SPT[],MATCH(ECF[[#This Row],[Prof. (m)]],SPT[Prof. (m)],0),3)</f>
        <v>Areia siltosa</v>
      </c>
      <c r="G271" s="82">
        <f>INDEX(estacas[],ECF[[#This Row],[idDiâmetro]],MATCH($B$2,estacas[#Headers],0))</f>
        <v>200</v>
      </c>
      <c r="H271" s="82">
        <f>INDEX(estacas[],MATCH(ECF[[#This Row],[Ø (cm)]],estacas[Ø ECF (cm)],0),MATCH(ECF[[#Headers],[Pe ECF (kN)]],estacas[#Headers],0))</f>
        <v>12500</v>
      </c>
      <c r="I271" s="4">
        <f>INDEX(K_alpha_C[],MATCH(ECF[[#This Row],[Solo]],K_alpha_C[Solo],0),2)</f>
        <v>0.8</v>
      </c>
      <c r="J271" s="5">
        <f>INDEX(K_alpha_C[],MATCH(ECF[[#This Row],[Solo]],K_alpha_C[Solo],0),3)</f>
        <v>2</v>
      </c>
      <c r="K271" s="4">
        <f>INDEX(F1_F2[],MATCH($D$2,F1_F2[Tipo de estaca],0),2)</f>
        <v>3</v>
      </c>
      <c r="L271" s="4">
        <f>INDEX(F1_F2[],MATCH($D$2,F1_F2[Tipo de estaca],0),3)</f>
        <v>6</v>
      </c>
      <c r="M271" s="4">
        <f>PI()*(ECF[[#This Row],[Ø (cm)]]/100)^2/4</f>
        <v>3.1415926535897931</v>
      </c>
      <c r="N271" s="4">
        <f>PI()*ECF[[#This Row],[Ø (cm)]]/100</f>
        <v>6.2831853071795862</v>
      </c>
      <c r="O271" s="4">
        <f>IF(ECF[[#This Row],[Prof. (m)]]=0,0,ECF[[#This Row],[α (%)]]/100*ECF[[#This Row],[K (MPa)]]*1000*ECF[[#This Row],[NSPT]])</f>
        <v>0</v>
      </c>
      <c r="P271" s="4">
        <f>IF(ECF[[#This Row],[Prof. (m)]]=0,0,(ECF[[#This Row],[K (MPa)]]*1000*ECF[[#This Row],[NSPT]]/ECF[[#This Row],[F1]]*ECF[[#This Row],[Ap (m²)]]+ECF[[#This Row],[U (m)]]/ECF[[#This Row],[F2]]*SUMIFS(ECF[(α∙K∙NL∙ΔL)],ECF[Prof. (m)],"&lt;="&amp;ECF[[#This Row],[Prof. (m)]],ECF[idDiâmetro],ECF[[#This Row],[idDiâmetro]],ECF[idPilar],ECF[[#This Row],[idPilar]]))/'DADOS CAP. CARGA'!$D$2)</f>
        <v>0</v>
      </c>
      <c r="Q271" s="12">
        <f>INDEX(C_alpha_beta[],MATCH(ECF[[#This Row],[Solo]],C_alpha_beta[Solo],0),MATCH(ECF[[#Headers],[C (kPa)]],C_alpha_beta[#Headers],0))</f>
        <v>400</v>
      </c>
      <c r="R271" s="4">
        <f>INDEX(C_alpha_beta[],MATCH(ECF[[#This Row],[Solo]],C_alpha_beta[Solo],0),MATCH(ECF[[#Headers],[α ESF]],C_alpha_beta[#Headers],0))</f>
        <v>0.5</v>
      </c>
      <c r="S271" s="4">
        <f>INDEX(C_alpha_beta[],MATCH(ECF[[#This Row],[Solo]],C_alpha_beta[Solo],0),MATCH(ECF[[#Headers],[β ESF]],C_alpha_beta[#Headers],0))</f>
        <v>0.5</v>
      </c>
      <c r="T271" s="4">
        <f>IF(ECF[[#This Row],[Prof. (m)]]=0,0,10*(ECF[[#This Row],[NSPT]]/3+1))</f>
        <v>0</v>
      </c>
      <c r="U271" s="4">
        <f>(ECF[[#This Row],[α ESF]]*ECF[[#This Row],[C (kPa)]]*ECF[[#This Row],[NSPT]]*ECF[[#This Row],[Ap (m²)]])/'DADOS CAP. CARGA'!$Q$2+(ECF[[#This Row],[β ESF]]*SUMIFS(ECF[10∙(NL/3+1)],ECF[Prof. (m)],"&lt;="&amp;ECF[[#This Row],[Prof. (m)]],ECF[idDiâmetro],ECF[[#This Row],[idDiâmetro]],ECF[idPilar],ECF[[#This Row],[idPilar]])*ECF[[#This Row],[U (m)]])/'DADOS CAP. CARGA'!$S$2</f>
        <v>0</v>
      </c>
      <c r="V271" s="4">
        <f>IF(SPT!$M$5=1,MIN(ECF[[#This Row],[Pe ECF (kN)]],ECF[[#This Row],[R_AV (kN)]]),IF(SPT!$M$5=2,MIN(ECF[[#This Row],[Pe ECF (kN)]],ECF[[#This Row],[R_DC (kN)]]),MIN(ECF[[#This Row],[Pe ECF (kN)]],ECF[[#This Row],[R_AV (kN)]],ECF[[#This Row],[R_DC (kN)]])))</f>
        <v>0</v>
      </c>
      <c r="W271" s="4">
        <f>INDEX(PILARES[],ECF[[#This Row],[idPilar]],MATCH("Carga (kN)",PILARES[#Headers],0))*1.4</f>
        <v>1750</v>
      </c>
      <c r="X271" s="12">
        <f>INDEX(PILARES[],ECF[[#This Row],[idPilar]],MATCH(ECF[[#Headers],[ap (cm)]],PILARES[#Headers],0))</f>
        <v>50</v>
      </c>
      <c r="Y271" s="12">
        <f>INDEX(PILARES[],ECF[[#This Row],[idPilar]],MATCH(ECF[[#Headers],[bp (cm)]],PILARES[#Headers],0))</f>
        <v>40</v>
      </c>
      <c r="Z271" s="4">
        <f>SQRT(ECF[[#This Row],[ap (cm)]]*ECF[[#This Row],[bp (cm)]])</f>
        <v>44.721359549995796</v>
      </c>
      <c r="AA271" s="12">
        <f>ECF[[#This Row],[ap (cm)]]*ECF[[#This Row],[bp (cm)]]</f>
        <v>2000</v>
      </c>
      <c r="AB271" s="12" t="e">
        <f ca="1">IF(ECF[[#This Row],[Padm∙ε (kN)]]&gt;=ECF[[#This Row],[Padm (kN)]],ROUNDUP(1.05*ECF[[#This Row],[Nsd (kN)]]/ECF[[#This Row],[Padm (kN)]],0),ROUNDUP(1.05*ECF[[#This Row],[Nsd (kN)]]/ECF[[#This Row],[Padm (kN)]],0)+1)</f>
        <v>#DIV/0!</v>
      </c>
      <c r="AC271" s="4" t="str">
        <f ca="1">IFERROR(IF(ECF[[#This Row],[nE]]=1,ECF[[#This Row],[Padm (kN)]],ECF[[#This Row],[Padm (kN)]]*ECF[[#This Row],[nE]]*INDEX(grupoEstacas[],ECF[[#This Row],[nE]],MATCH("ε",grupoEstacas[#Headers],0))),"N.S.")</f>
        <v>N.S.</v>
      </c>
      <c r="AD271" s="4" t="e">
        <f ca="1">1.05*ECF[[#This Row],[Nsd (kN)]]/(ECF[[#This Row],[nE]]*PI()*ECF[[#This Row],[Ø (cm)]]^2/4)*10</f>
        <v>#DIV/0!</v>
      </c>
      <c r="AE271" s="4" t="e">
        <f ca="1">IF(ECF[[#This Row],[σ (MPa)]]&lt;INDEX(tipoEstaca[],MATCH($D$2,tipoEstaca[TIPO DE ESTACA],0),MATCH("σmáx (MPa)",tipoEstaca[#Headers],0)),0.4%*PI()*ECF[[#This Row],[Ø (cm)]]^2/4,"N.S.")</f>
        <v>#DIV/0!</v>
      </c>
      <c r="AF271" s="82">
        <f>INDEX(tipoEstaca[],MATCH($D$2,tipoEstaca[TIPO DE ESTACA],0),MATCH(ECF[[#Headers],[Comprimento (m)]],tipoEstaca[#Headers],0))</f>
        <v>4</v>
      </c>
      <c r="AG271" s="5" t="e">
        <f ca="1">ECF[[#This Row],[As,mín (cm²)]]/100^2*ECF[[#This Row],[Comprimento (m)]]*7850</f>
        <v>#DIV/0!</v>
      </c>
      <c r="AH271" s="4" t="e">
        <f ca="1">ECF[[#This Row],[nE]]*ECF[[#This Row],[Prof. (m)]]*ECF[[#This Row],[Ap (m²)]]</f>
        <v>#DIV/0!</v>
      </c>
      <c r="AI271" s="82" t="e">
        <f ca="1">IF(ECF[[#This Row],[nE]]=1,0,MAX(3*ECF[[#This Row],[Ø (cm)]],60))</f>
        <v>#DIV/0!</v>
      </c>
      <c r="AJ271" s="82" t="e">
        <f ca="1">IF(ECF[[#This Row],[nE]]=1,ECF[[#This Row],[Ø (cm)]]+2*10,MAX(1.5*ECF[[#This Row],[Ø (cm)]],ECF[[#This Row],[Ø (cm)]]+15))</f>
        <v>#DIV/0!</v>
      </c>
      <c r="AK271" s="82" t="e">
        <f ca="1">alturaUtil(ECF[[#This Row],[nE]],ECF[[#This Row],[Ø (cm)]],ECF[[#This Row],[e (cm)]],ECF[[#This Row],[ap,eq (cm)]])</f>
        <v>#VALUE!</v>
      </c>
      <c r="AL271" s="82" t="str">
        <f ca="1">IFERROR(ECF[[#This Row],[d (cm)]]+arredondarParaCimaMultiplo5cm(MAX(5,SQRT(PI())/2*ECF[[#This Row],[Ø (cm)]]/5)),"N.S.")</f>
        <v>N.S.</v>
      </c>
      <c r="AM271" s="5" t="e">
        <f ca="1">alpha(ECF[[#This Row],[nE]],ECF[[#This Row],[d (cm)]],ECF[[#This Row],[e (cm)]],ECF[[#This Row],[ap,eq (cm)]])</f>
        <v>#VALUE!</v>
      </c>
      <c r="AN271" s="35" t="str">
        <f ca="1">IFERROR(ECF[[#This Row],[Nsd (kN)]]/(ECF[[#This Row],[Ap (cm²)]]*SIN(ECF[[#This Row],[α]])^2),"N.S.")</f>
        <v>N.S.</v>
      </c>
      <c r="AO271" s="35" t="str">
        <f ca="1">IFERROR(ECF[[#This Row],[Nsd (kN)]]/(ECF[[#This Row],[nE]]*PI()*ECF[[#This Row],[Ø (cm)]]^2/4*SIN(ECF[[#This Row],[α]])^2),"N.S.")</f>
        <v>N.S.</v>
      </c>
      <c r="AP271" s="4" t="str">
        <f ca="1">IFERROR(INDEX(grupoEstacas[],ECF[[#This Row],[nE]],MATCH("coef. Blévot",grupoEstacas[#Headers],0)),"N.S.")</f>
        <v>N.S.</v>
      </c>
      <c r="AQ271" s="35" t="str">
        <f ca="1">IFERROR(ECF[[#This Row],[coef. Blévot]]*0.9*INDEX(tipoEstaca[],MATCH($D$2,tipoEstaca[TIPO DE ESTACA],0),MATCH("fcd (kN/cm²)",tipoEstaca[#Headers],0)),"N.S.")</f>
        <v>N.S.</v>
      </c>
      <c r="AR271" s="82" t="str">
        <f ca="1">IF(AND(ECF[[#This Row],[cd,b,pil (kN/cm²)]]&lt;=ECF[[#This Row],[cd,b,lim (kN/cm²)]],ECF[[#This Row],[cd,b,est (kN/cm²)]]&lt;=ECF[[#This Row],[cd,b,lim (kN/cm²)]]),"OK","ERRO")</f>
        <v>OK</v>
      </c>
      <c r="AS271" s="4" t="e">
        <f ca="1">As_lado(ECF[[#This Row],[nE]],ECF[[#This Row],[Nsd (kN)]],ECF[[#This Row],[d (cm)]],ECF[[#This Row],[e (cm)]],ECF[[#This Row],[ap,eq (cm)]])</f>
        <v>#VALUE!</v>
      </c>
      <c r="AT271" s="4" t="e">
        <f ca="1">IF(ECF[[#This Row],[nE]]=1,ECF[[#This Row],[As,lado (cm²)]],IF(ECF[[#This Row],[nE]]=2,0.075*2*ECF[a (cm)],"N.A."))</f>
        <v>#DIV/0!</v>
      </c>
      <c r="AU271" s="4" t="str">
        <f ca="1">IFERROR(IF(ECF[[#This Row],[nE]]=1,"N.A.",0.2*ECF[[#This Row],[As,lado (cm²)]]),"N.S.")</f>
        <v>N.S.</v>
      </c>
      <c r="AV271" s="4" t="e">
        <f ca="1">As_malha(ECF[[#This Row],[nE]],ECF[[#This Row],[As,lado (cm²)]],ECF[[#This Row],[Nsd (kN)]])</f>
        <v>#VALUE!</v>
      </c>
      <c r="AW271" s="4" t="e">
        <f ca="1">As_susp_tot(ECF[[#This Row],[nE]],ECF[[#This Row],[Nsd (kN)]])</f>
        <v>#VALUE!</v>
      </c>
      <c r="AX271" s="4" t="e">
        <f ca="1">Asp_face(ECF[[#This Row],[nE]],ECF[[#This Row],[As,lado (cm²)]])</f>
        <v>#VALUE!</v>
      </c>
      <c r="AY271" s="5" t="e">
        <f ca="1">acoBloco(ECF[[#This Row],[nE]],ECF[[#This Row],[e (cm)]],ECF[[#This Row],[a (cm)]],ECF[[#This Row],[h (cm)]],ECF[[#This Row],[As,lado (cm²)]],ECF[[#This Row],[Asp e Asw (cm²/m)]],ECF[[#This Row],[As,sup (cm²)]],ECF[[#This Row],[As,malha (cm²)]],ECF[[#This Row],[As,susp,tot (cm²)]],ECF[[#This Row],[Asp,face (cm²)]])</f>
        <v>#VALUE!</v>
      </c>
      <c r="AZ271" s="4" t="e">
        <f ca="1">concretoBloco(ECF[[#This Row],[nE]],ECF[[#This Row],[e (cm)]],ECF[[#This Row],[a (cm)]],ECF[[#This Row],[h (cm)]])</f>
        <v>#VALUE!</v>
      </c>
      <c r="BA271" s="5" t="e">
        <f ca="1">SUM(ECF[[#This Row],[Aço Est (kg)]],ECF[[#This Row],[Aço Bloco (kg)]])</f>
        <v>#DIV/0!</v>
      </c>
      <c r="BB271" s="4">
        <f>INDEX(composicoes[],MATCH(95580,composicoes[CÓDIGO],0),MATCH("CUSTO TOTAL",composicoes[#Headers],0))</f>
        <v>10.46</v>
      </c>
      <c r="BC271" s="4" t="e">
        <f ca="1">SUM(ECF[[#This Row],[Conc Est (m³)]],ECF[[#This Row],[Conc Bloco (m³)]])</f>
        <v>#DIV/0!</v>
      </c>
      <c r="BD271" s="4">
        <f>INDEX(composicoes[],MATCH(94966,composicoes[CÓDIGO],0),MATCH("CUSTO TOTAL",composicoes[#Headers],0))</f>
        <v>439.52</v>
      </c>
      <c r="BE271" s="38" t="e">
        <f ca="1">ECF[[#This Row],[Aço (kg)]]*ECF[[#This Row],[Aço (R$/kg)]]+ECF[[#This Row],[Conc (m³)]]*ECF[[#This Row],[Conc (R$/m³)]]</f>
        <v>#DIV/0!</v>
      </c>
      <c r="BF271" s="4" t="str">
        <f ca="1">IF(COUNTIF(ECF[#This Row],"N.S.")&gt;0,"lim.","OK")</f>
        <v>lim.</v>
      </c>
      <c r="BG271" s="4" t="str">
        <f>IF(ECF[[#This Row],[Prof. (m)]]&lt;4,"lim.","OK")</f>
        <v>lim.</v>
      </c>
      <c r="BH271" s="4" t="str">
        <f>IF(ECF[[#This Row],[Prof. (m)]]&gt;=8*ECF[[#This Row],[Ø (cm)]]/100,"OK","lim.")</f>
        <v>lim.</v>
      </c>
      <c r="BI271" s="4" t="str">
        <f>IF(AND(SPT!$F$3&lt;&gt;"",ECF[[#This Row],[Prof. (m)]]&gt;=SPT!$F$3-2),"lim.","OK")</f>
        <v>OK</v>
      </c>
      <c r="BJ271" s="4" t="str">
        <f ca="1">IF(ECF[[#This Row],[Verif. Biela]]="OK","OK","lim.")</f>
        <v>OK</v>
      </c>
      <c r="BK271" s="4" t="str">
        <f ca="1">IF(COUNTA(ECF[[#This Row],[Nº Est.]:[Biela comp.]])=COUNTIF(ECF[[#This Row],[Nº Est.]:[Biela comp.]],"OK"),"OK","lim.")</f>
        <v>lim.</v>
      </c>
      <c r="BL271" s="4" t="str">
        <f ca="1">IF(ECF[[#This Row],[Controle]]="OK",ECF[[#This Row],[nE]]&amp;" Ø "&amp;ECF[[#This Row],[Ø (cm)]]&amp;" cm, Prof. "&amp;ECF[[#This Row],[Prof. (m)]]&amp;" m","")</f>
        <v/>
      </c>
      <c r="BM271" s="4" t="str">
        <f ca="1">IF(ECF[[#This Row],[idDimensionamento]]="","",ECF[[#This Row],[idPilar]]&amp;ECF[[#This Row],[idDimensionamento]])</f>
        <v/>
      </c>
    </row>
    <row r="272" spans="2:65" x14ac:dyDescent="0.25">
      <c r="B272" s="12">
        <f>ROUNDUP((ROW(ECF[[#This Row],[idDiâmetro]])-ROW(ECF[[#Headers],[idDiâmetro]]))/(COUNT(SPT[Prof. (m)])*COUNT(PILARES[Pilar])),0)</f>
        <v>10</v>
      </c>
      <c r="C272" s="12">
        <f>IF(ECF[[#This Row],[idDiâmetro]]&lt;&gt;B271,1,IF(ECF[[#This Row],[Prof. (m)]]=0,C271+1,C271))</f>
        <v>2</v>
      </c>
      <c r="D272" s="82">
        <f>IFERROR(IF(D271=MAX(SPT[Prof. (m)]),0,D271+1),0)</f>
        <v>1</v>
      </c>
      <c r="E272" s="82">
        <f>INDEX(SPT[],MATCH(ECF[[#This Row],[Prof. (m)]],SPT[Prof. (m)],0),2)</f>
        <v>2</v>
      </c>
      <c r="F272" s="82" t="str">
        <f>INDEX(SPT[],MATCH(ECF[[#This Row],[Prof. (m)]],SPT[Prof. (m)],0),3)</f>
        <v>Areia siltosa</v>
      </c>
      <c r="G272" s="82">
        <f>INDEX(estacas[],ECF[[#This Row],[idDiâmetro]],MATCH($B$2,estacas[#Headers],0))</f>
        <v>200</v>
      </c>
      <c r="H272" s="82">
        <f>INDEX(estacas[],MATCH(ECF[[#This Row],[Ø (cm)]],estacas[Ø ECF (cm)],0),MATCH(ECF[[#Headers],[Pe ECF (kN)]],estacas[#Headers],0))</f>
        <v>12500</v>
      </c>
      <c r="I272" s="4">
        <f>INDEX(K_alpha_C[],MATCH(ECF[[#This Row],[Solo]],K_alpha_C[Solo],0),2)</f>
        <v>0.8</v>
      </c>
      <c r="J272" s="5">
        <f>INDEX(K_alpha_C[],MATCH(ECF[[#This Row],[Solo]],K_alpha_C[Solo],0),3)</f>
        <v>2</v>
      </c>
      <c r="K272" s="4">
        <f>INDEX(F1_F2[],MATCH($D$2,F1_F2[Tipo de estaca],0),2)</f>
        <v>3</v>
      </c>
      <c r="L272" s="4">
        <f>INDEX(F1_F2[],MATCH($D$2,F1_F2[Tipo de estaca],0),3)</f>
        <v>6</v>
      </c>
      <c r="M272" s="4">
        <f>PI()*(ECF[[#This Row],[Ø (cm)]]/100)^2/4</f>
        <v>3.1415926535897931</v>
      </c>
      <c r="N272" s="4">
        <f>PI()*ECF[[#This Row],[Ø (cm)]]/100</f>
        <v>6.2831853071795862</v>
      </c>
      <c r="O272" s="4">
        <f>IF(ECF[[#This Row],[Prof. (m)]]=0,0,ECF[[#This Row],[α (%)]]/100*ECF[[#This Row],[K (MPa)]]*1000*ECF[[#This Row],[NSPT]])</f>
        <v>32</v>
      </c>
      <c r="P272" s="4">
        <f>IF(ECF[[#This Row],[Prof. (m)]]=0,0,(ECF[[#This Row],[K (MPa)]]*1000*ECF[[#This Row],[NSPT]]/ECF[[#This Row],[F1]]*ECF[[#This Row],[Ap (m²)]]+ECF[[#This Row],[U (m)]]/ECF[[#This Row],[F2]]*SUMIFS(ECF[(α∙K∙NL∙ΔL)],ECF[Prof. (m)],"&lt;="&amp;ECF[[#This Row],[Prof. (m)]],ECF[idDiâmetro],ECF[[#This Row],[idDiâmetro]],ECF[idPilar],ECF[[#This Row],[idPilar]]))/'DADOS CAP. CARGA'!$D$2)</f>
        <v>854.51320177642378</v>
      </c>
      <c r="Q272" s="12">
        <f>INDEX(C_alpha_beta[],MATCH(ECF[[#This Row],[Solo]],C_alpha_beta[Solo],0),MATCH(ECF[[#Headers],[C (kPa)]],C_alpha_beta[#Headers],0))</f>
        <v>400</v>
      </c>
      <c r="R272" s="4">
        <f>INDEX(C_alpha_beta[],MATCH(ECF[[#This Row],[Solo]],C_alpha_beta[Solo],0),MATCH(ECF[[#Headers],[α ESF]],C_alpha_beta[#Headers],0))</f>
        <v>0.5</v>
      </c>
      <c r="S272" s="4">
        <f>INDEX(C_alpha_beta[],MATCH(ECF[[#This Row],[Solo]],C_alpha_beta[Solo],0),MATCH(ECF[[#Headers],[β ESF]],C_alpha_beta[#Headers],0))</f>
        <v>0.5</v>
      </c>
      <c r="T272" s="4">
        <f>IF(ECF[[#This Row],[Prof. (m)]]=0,0,10*(ECF[[#This Row],[NSPT]]/3+1))</f>
        <v>16.666666666666664</v>
      </c>
      <c r="U272" s="4">
        <f>(ECF[[#This Row],[α ESF]]*ECF[[#This Row],[C (kPa)]]*ECF[[#This Row],[NSPT]]*ECF[[#This Row],[Ap (m²)]])/'DADOS CAP. CARGA'!$Q$2+(ECF[[#This Row],[β ESF]]*SUMIFS(ECF[10∙(NL/3+1)],ECF[Prof. (m)],"&lt;="&amp;ECF[[#This Row],[Prof. (m)]],ECF[idDiâmetro],ECF[[#This Row],[idDiâmetro]],ECF[idPilar],ECF[[#This Row],[idPilar]])*ECF[[#This Row],[U (m)]])/'DADOS CAP. CARGA'!$S$2</f>
        <v>340.33920413889427</v>
      </c>
      <c r="V272" s="4">
        <f>IF(SPT!$M$5=1,MIN(ECF[[#This Row],[Pe ECF (kN)]],ECF[[#This Row],[R_AV (kN)]]),IF(SPT!$M$5=2,MIN(ECF[[#This Row],[Pe ECF (kN)]],ECF[[#This Row],[R_DC (kN)]]),MIN(ECF[[#This Row],[Pe ECF (kN)]],ECF[[#This Row],[R_AV (kN)]],ECF[[#This Row],[R_DC (kN)]])))</f>
        <v>340.33920413889427</v>
      </c>
      <c r="W272" s="4">
        <f>INDEX(PILARES[],ECF[[#This Row],[idPilar]],MATCH("Carga (kN)",PILARES[#Headers],0))*1.4</f>
        <v>1750</v>
      </c>
      <c r="X272" s="12">
        <f>INDEX(PILARES[],ECF[[#This Row],[idPilar]],MATCH(ECF[[#Headers],[ap (cm)]],PILARES[#Headers],0))</f>
        <v>50</v>
      </c>
      <c r="Y272" s="12">
        <f>INDEX(PILARES[],ECF[[#This Row],[idPilar]],MATCH(ECF[[#Headers],[bp (cm)]],PILARES[#Headers],0))</f>
        <v>40</v>
      </c>
      <c r="Z272" s="4">
        <f>SQRT(ECF[[#This Row],[ap (cm)]]*ECF[[#This Row],[bp (cm)]])</f>
        <v>44.721359549995796</v>
      </c>
      <c r="AA272" s="12">
        <f>ECF[[#This Row],[ap (cm)]]*ECF[[#This Row],[bp (cm)]]</f>
        <v>2000</v>
      </c>
      <c r="AB272" s="12">
        <f ca="1">IF(ECF[[#This Row],[Padm∙ε (kN)]]&gt;=ECF[[#This Row],[Padm (kN)]],ROUNDUP(1.05*ECF[[#This Row],[Nsd (kN)]]/ECF[[#This Row],[Padm (kN)]],0),ROUNDUP(1.05*ECF[[#This Row],[Nsd (kN)]]/ECF[[#This Row],[Padm (kN)]],0)+1)</f>
        <v>6</v>
      </c>
      <c r="AC272" s="4" t="str">
        <f ca="1">IFERROR(IF(ECF[[#This Row],[nE]]=1,ECF[[#This Row],[Padm (kN)]],ECF[[#This Row],[Padm (kN)]]*ECF[[#This Row],[nE]]*INDEX(grupoEstacas[],ECF[[#This Row],[nE]],MATCH("ε",grupoEstacas[#Headers],0))),"N.S.")</f>
        <v>N.S.</v>
      </c>
      <c r="AD272" s="4">
        <f ca="1">1.05*ECF[[#This Row],[Nsd (kN)]]/(ECF[[#This Row],[nE]]*PI()*ECF[[#This Row],[Ø (cm)]]^2/4)*10</f>
        <v>9.7482402643785909E-2</v>
      </c>
      <c r="AE272" s="4">
        <f ca="1">IF(ECF[[#This Row],[σ (MPa)]]&lt;INDEX(tipoEstaca[],MATCH($D$2,tipoEstaca[TIPO DE ESTACA],0),MATCH("σmáx (MPa)",tipoEstaca[#Headers],0)),0.4%*PI()*ECF[[#This Row],[Ø (cm)]]^2/4,"N.S.")</f>
        <v>125.66370614359174</v>
      </c>
      <c r="AF272" s="82">
        <f>INDEX(tipoEstaca[],MATCH($D$2,tipoEstaca[TIPO DE ESTACA],0),MATCH(ECF[[#Headers],[Comprimento (m)]],tipoEstaca[#Headers],0))</f>
        <v>4</v>
      </c>
      <c r="AG272" s="5">
        <f ca="1">ECF[[#This Row],[As,mín (cm²)]]/100^2*ECF[[#This Row],[Comprimento (m)]]*7850</f>
        <v>394.58403729087803</v>
      </c>
      <c r="AH272" s="4">
        <f ca="1">ECF[[#This Row],[nE]]*ECF[[#This Row],[Prof. (m)]]*ECF[[#This Row],[Ap (m²)]]</f>
        <v>18.849555921538759</v>
      </c>
      <c r="AI272" s="82">
        <f ca="1">IF(ECF[[#This Row],[nE]]=1,0,MAX(3*ECF[[#This Row],[Ø (cm)]],60))</f>
        <v>600</v>
      </c>
      <c r="AJ272" s="82">
        <f ca="1">IF(ECF[[#This Row],[nE]]=1,ECF[[#This Row],[Ø (cm)]]+2*10,MAX(1.5*ECF[[#This Row],[Ø (cm)]],ECF[[#This Row],[Ø (cm)]]+15))</f>
        <v>300</v>
      </c>
      <c r="AK272" s="82" t="str">
        <f ca="1">alturaUtil(ECF[[#This Row],[nE]],ECF[[#This Row],[Ø (cm)]],ECF[[#This Row],[e (cm)]],ECF[[#This Row],[ap,eq (cm)]])</f>
        <v>N.S.</v>
      </c>
      <c r="AL272" s="82" t="str">
        <f ca="1">IFERROR(ECF[[#This Row],[d (cm)]]+arredondarParaCimaMultiplo5cm(MAX(5,SQRT(PI())/2*ECF[[#This Row],[Ø (cm)]]/5)),"N.S.")</f>
        <v>N.S.</v>
      </c>
      <c r="AM272" s="5" t="str">
        <f ca="1">alpha(ECF[[#This Row],[nE]],ECF[[#This Row],[d (cm)]],ECF[[#This Row],[e (cm)]],ECF[[#This Row],[ap,eq (cm)]])</f>
        <v>N.S.</v>
      </c>
      <c r="AN272" s="35" t="str">
        <f ca="1">IFERROR(ECF[[#This Row],[Nsd (kN)]]/(ECF[[#This Row],[Ap (cm²)]]*SIN(ECF[[#This Row],[α]])^2),"N.S.")</f>
        <v>N.S.</v>
      </c>
      <c r="AO272" s="35" t="str">
        <f ca="1">IFERROR(ECF[[#This Row],[Nsd (kN)]]/(ECF[[#This Row],[nE]]*PI()*ECF[[#This Row],[Ø (cm)]]^2/4*SIN(ECF[[#This Row],[α]])^2),"N.S.")</f>
        <v>N.S.</v>
      </c>
      <c r="AP272" s="4" t="str">
        <f ca="1">IFERROR(INDEX(grupoEstacas[],ECF[[#This Row],[nE]],MATCH("coef. Blévot",grupoEstacas[#Headers],0)),"N.S.")</f>
        <v>N.S.</v>
      </c>
      <c r="AQ272" s="35" t="str">
        <f ca="1">IFERROR(ECF[[#This Row],[coef. Blévot]]*0.9*INDEX(tipoEstaca[],MATCH($D$2,tipoEstaca[TIPO DE ESTACA],0),MATCH("fcd (kN/cm²)",tipoEstaca[#Headers],0)),"N.S.")</f>
        <v>N.S.</v>
      </c>
      <c r="AR272" s="82" t="str">
        <f ca="1">IF(AND(ECF[[#This Row],[cd,b,pil (kN/cm²)]]&lt;=ECF[[#This Row],[cd,b,lim (kN/cm²)]],ECF[[#This Row],[cd,b,est (kN/cm²)]]&lt;=ECF[[#This Row],[cd,b,lim (kN/cm²)]]),"OK","ERRO")</f>
        <v>OK</v>
      </c>
      <c r="AS272" s="4" t="str">
        <f ca="1">As_lado(ECF[[#This Row],[nE]],ECF[[#This Row],[Nsd (kN)]],ECF[[#This Row],[d (cm)]],ECF[[#This Row],[e (cm)]],ECF[[#This Row],[ap,eq (cm)]])</f>
        <v>N.S.</v>
      </c>
      <c r="AT272" s="4" t="str">
        <f ca="1">IF(ECF[[#This Row],[nE]]=1,ECF[[#This Row],[As,lado (cm²)]],IF(ECF[[#This Row],[nE]]=2,0.075*2*ECF[a (cm)],"N.A."))</f>
        <v>N.A.</v>
      </c>
      <c r="AU272" s="4" t="str">
        <f ca="1">IFERROR(IF(ECF[[#This Row],[nE]]=1,"N.A.",0.2*ECF[[#This Row],[As,lado (cm²)]]),"N.S.")</f>
        <v>N.S.</v>
      </c>
      <c r="AV272" s="4" t="str">
        <f ca="1">As_malha(ECF[[#This Row],[nE]],ECF[[#This Row],[As,lado (cm²)]],ECF[[#This Row],[Nsd (kN)]])</f>
        <v>N.S.</v>
      </c>
      <c r="AW272" s="4" t="str">
        <f ca="1">As_susp_tot(ECF[[#This Row],[nE]],ECF[[#This Row],[Nsd (kN)]])</f>
        <v>N.S.</v>
      </c>
      <c r="AX272" s="4" t="str">
        <f ca="1">Asp_face(ECF[[#This Row],[nE]],ECF[[#This Row],[As,lado (cm²)]])</f>
        <v>N.S.</v>
      </c>
      <c r="AY272" s="5" t="str">
        <f ca="1">acoBloco(ECF[[#This Row],[nE]],ECF[[#This Row],[e (cm)]],ECF[[#This Row],[a (cm)]],ECF[[#This Row],[h (cm)]],ECF[[#This Row],[As,lado (cm²)]],ECF[[#This Row],[Asp e Asw (cm²/m)]],ECF[[#This Row],[As,sup (cm²)]],ECF[[#This Row],[As,malha (cm²)]],ECF[[#This Row],[As,susp,tot (cm²)]],ECF[[#This Row],[Asp,face (cm²)]])</f>
        <v>N.S.</v>
      </c>
      <c r="AZ272" s="4" t="str">
        <f ca="1">concretoBloco(ECF[[#This Row],[nE]],ECF[[#This Row],[e (cm)]],ECF[[#This Row],[a (cm)]],ECF[[#This Row],[h (cm)]])</f>
        <v>N.S.</v>
      </c>
      <c r="BA272" s="5">
        <f ca="1">SUM(ECF[[#This Row],[Aço Est (kg)]],ECF[[#This Row],[Aço Bloco (kg)]])</f>
        <v>394.58403729087803</v>
      </c>
      <c r="BB272" s="4">
        <f>INDEX(composicoes[],MATCH(95580,composicoes[CÓDIGO],0),MATCH("CUSTO TOTAL",composicoes[#Headers],0))</f>
        <v>10.46</v>
      </c>
      <c r="BC272" s="4">
        <f ca="1">SUM(ECF[[#This Row],[Conc Est (m³)]],ECF[[#This Row],[Conc Bloco (m³)]])</f>
        <v>18.849555921538759</v>
      </c>
      <c r="BD272" s="4">
        <f>INDEX(composicoes[],MATCH(94966,composicoes[CÓDIGO],0),MATCH("CUSTO TOTAL",composicoes[#Headers],0))</f>
        <v>439.52</v>
      </c>
      <c r="BE272" s="38">
        <f ca="1">ECF[[#This Row],[Aço (kg)]]*ECF[[#This Row],[Aço (R$/kg)]]+ECF[[#This Row],[Conc (m³)]]*ECF[[#This Row],[Conc (R$/m³)]]</f>
        <v>12412.105848697298</v>
      </c>
      <c r="BF272" s="4" t="str">
        <f ca="1">IF(COUNTIF(ECF[#This Row],"N.S.")&gt;0,"lim.","OK")</f>
        <v>lim.</v>
      </c>
      <c r="BG272" s="4" t="str">
        <f>IF(ECF[[#This Row],[Prof. (m)]]&lt;4,"lim.","OK")</f>
        <v>lim.</v>
      </c>
      <c r="BH272" s="4" t="str">
        <f>IF(ECF[[#This Row],[Prof. (m)]]&gt;=8*ECF[[#This Row],[Ø (cm)]]/100,"OK","lim.")</f>
        <v>lim.</v>
      </c>
      <c r="BI272" s="4" t="str">
        <f>IF(AND(SPT!$F$3&lt;&gt;"",ECF[[#This Row],[Prof. (m)]]&gt;=SPT!$F$3-2),"lim.","OK")</f>
        <v>OK</v>
      </c>
      <c r="BJ272" s="4" t="str">
        <f ca="1">IF(ECF[[#This Row],[Verif. Biela]]="OK","OK","lim.")</f>
        <v>OK</v>
      </c>
      <c r="BK272" s="4" t="str">
        <f ca="1">IF(COUNTA(ECF[[#This Row],[Nº Est.]:[Biela comp.]])=COUNTIF(ECF[[#This Row],[Nº Est.]:[Biela comp.]],"OK"),"OK","lim.")</f>
        <v>lim.</v>
      </c>
      <c r="BL272" s="4" t="str">
        <f ca="1">IF(ECF[[#This Row],[Controle]]="OK",ECF[[#This Row],[nE]]&amp;" Ø "&amp;ECF[[#This Row],[Ø (cm)]]&amp;" cm, Prof. "&amp;ECF[[#This Row],[Prof. (m)]]&amp;" m","")</f>
        <v/>
      </c>
      <c r="BM272" s="4" t="str">
        <f ca="1">IF(ECF[[#This Row],[idDimensionamento]]="","",ECF[[#This Row],[idPilar]]&amp;ECF[[#This Row],[idDimensionamento]])</f>
        <v/>
      </c>
    </row>
    <row r="273" spans="2:65" x14ac:dyDescent="0.25">
      <c r="B273" s="12">
        <f>ROUNDUP((ROW(ECF[[#This Row],[idDiâmetro]])-ROW(ECF[[#Headers],[idDiâmetro]]))/(COUNT(SPT[Prof. (m)])*COUNT(PILARES[Pilar])),0)</f>
        <v>10</v>
      </c>
      <c r="C273" s="12">
        <f>IF(ECF[[#This Row],[idDiâmetro]]&lt;&gt;B272,1,IF(ECF[[#This Row],[Prof. (m)]]=0,C272+1,C272))</f>
        <v>2</v>
      </c>
      <c r="D273" s="82">
        <f>IFERROR(IF(D272=MAX(SPT[Prof. (m)]),0,D272+1),0)</f>
        <v>2</v>
      </c>
      <c r="E273" s="82">
        <f>INDEX(SPT[],MATCH(ECF[[#This Row],[Prof. (m)]],SPT[Prof. (m)],0),2)</f>
        <v>2</v>
      </c>
      <c r="F273" s="82" t="str">
        <f>INDEX(SPT[],MATCH(ECF[[#This Row],[Prof. (m)]],SPT[Prof. (m)],0),3)</f>
        <v>Areia siltosa</v>
      </c>
      <c r="G273" s="82">
        <f>INDEX(estacas[],ECF[[#This Row],[idDiâmetro]],MATCH($B$2,estacas[#Headers],0))</f>
        <v>200</v>
      </c>
      <c r="H273" s="82">
        <f>INDEX(estacas[],MATCH(ECF[[#This Row],[Ø (cm)]],estacas[Ø ECF (cm)],0),MATCH(ECF[[#Headers],[Pe ECF (kN)]],estacas[#Headers],0))</f>
        <v>12500</v>
      </c>
      <c r="I273" s="4">
        <f>INDEX(K_alpha_C[],MATCH(ECF[[#This Row],[Solo]],K_alpha_C[Solo],0),2)</f>
        <v>0.8</v>
      </c>
      <c r="J273" s="5">
        <f>INDEX(K_alpha_C[],MATCH(ECF[[#This Row],[Solo]],K_alpha_C[Solo],0),3)</f>
        <v>2</v>
      </c>
      <c r="K273" s="4">
        <f>INDEX(F1_F2[],MATCH($D$2,F1_F2[Tipo de estaca],0),2)</f>
        <v>3</v>
      </c>
      <c r="L273" s="4">
        <f>INDEX(F1_F2[],MATCH($D$2,F1_F2[Tipo de estaca],0),3)</f>
        <v>6</v>
      </c>
      <c r="M273" s="4">
        <f>PI()*(ECF[[#This Row],[Ø (cm)]]/100)^2/4</f>
        <v>3.1415926535897931</v>
      </c>
      <c r="N273" s="4">
        <f>PI()*ECF[[#This Row],[Ø (cm)]]/100</f>
        <v>6.2831853071795862</v>
      </c>
      <c r="O273" s="4">
        <f>IF(ECF[[#This Row],[Prof. (m)]]=0,0,ECF[[#This Row],[α (%)]]/100*ECF[[#This Row],[K (MPa)]]*1000*ECF[[#This Row],[NSPT]])</f>
        <v>32</v>
      </c>
      <c r="P273" s="4">
        <f>IF(ECF[[#This Row],[Prof. (m)]]=0,0,(ECF[[#This Row],[K (MPa)]]*1000*ECF[[#This Row],[NSPT]]/ECF[[#This Row],[F1]]*ECF[[#This Row],[Ap (m²)]]+ECF[[#This Row],[U (m)]]/ECF[[#This Row],[F2]]*SUMIFS(ECF[(α∙K∙NL∙ΔL)],ECF[Prof. (m)],"&lt;="&amp;ECF[[#This Row],[Prof. (m)]],ECF[idDiâmetro],ECF[[#This Row],[idDiâmetro]],ECF[idPilar],ECF[[#This Row],[idPilar]]))/'DADOS CAP. CARGA'!$D$2)</f>
        <v>871.26836259556933</v>
      </c>
      <c r="Q273" s="12">
        <f>INDEX(C_alpha_beta[],MATCH(ECF[[#This Row],[Solo]],C_alpha_beta[Solo],0),MATCH(ECF[[#Headers],[C (kPa)]],C_alpha_beta[#Headers],0))</f>
        <v>400</v>
      </c>
      <c r="R273" s="4">
        <f>INDEX(C_alpha_beta[],MATCH(ECF[[#This Row],[Solo]],C_alpha_beta[Solo],0),MATCH(ECF[[#Headers],[α ESF]],C_alpha_beta[#Headers],0))</f>
        <v>0.5</v>
      </c>
      <c r="S273" s="4">
        <f>INDEX(C_alpha_beta[],MATCH(ECF[[#This Row],[Solo]],C_alpha_beta[Solo],0),MATCH(ECF[[#Headers],[β ESF]],C_alpha_beta[#Headers],0))</f>
        <v>0.5</v>
      </c>
      <c r="T273" s="4">
        <f>IF(ECF[[#This Row],[Prof. (m)]]=0,0,10*(ECF[[#This Row],[NSPT]]/3+1))</f>
        <v>16.666666666666664</v>
      </c>
      <c r="U273" s="4">
        <f>(ECF[[#This Row],[α ESF]]*ECF[[#This Row],[C (kPa)]]*ECF[[#This Row],[NSPT]]*ECF[[#This Row],[Ap (m²)]])/'DADOS CAP. CARGA'!$Q$2+(ECF[[#This Row],[β ESF]]*SUMIFS(ECF[10∙(NL/3+1)],ECF[Prof. (m)],"&lt;="&amp;ECF[[#This Row],[Prof. (m)]],ECF[idDiâmetro],ECF[[#This Row],[idDiâmetro]],ECF[idPilar],ECF[[#This Row],[idPilar]])*ECF[[#This Row],[U (m)]])/'DADOS CAP. CARGA'!$S$2</f>
        <v>366.51914291880922</v>
      </c>
      <c r="V273" s="4">
        <f>IF(SPT!$M$5=1,MIN(ECF[[#This Row],[Pe ECF (kN)]],ECF[[#This Row],[R_AV (kN)]]),IF(SPT!$M$5=2,MIN(ECF[[#This Row],[Pe ECF (kN)]],ECF[[#This Row],[R_DC (kN)]]),MIN(ECF[[#This Row],[Pe ECF (kN)]],ECF[[#This Row],[R_AV (kN)]],ECF[[#This Row],[R_DC (kN)]])))</f>
        <v>366.51914291880922</v>
      </c>
      <c r="W273" s="4">
        <f>INDEX(PILARES[],ECF[[#This Row],[idPilar]],MATCH("Carga (kN)",PILARES[#Headers],0))*1.4</f>
        <v>1750</v>
      </c>
      <c r="X273" s="12">
        <f>INDEX(PILARES[],ECF[[#This Row],[idPilar]],MATCH(ECF[[#Headers],[ap (cm)]],PILARES[#Headers],0))</f>
        <v>50</v>
      </c>
      <c r="Y273" s="12">
        <f>INDEX(PILARES[],ECF[[#This Row],[idPilar]],MATCH(ECF[[#Headers],[bp (cm)]],PILARES[#Headers],0))</f>
        <v>40</v>
      </c>
      <c r="Z273" s="4">
        <f>SQRT(ECF[[#This Row],[ap (cm)]]*ECF[[#This Row],[bp (cm)]])</f>
        <v>44.721359549995796</v>
      </c>
      <c r="AA273" s="12">
        <f>ECF[[#This Row],[ap (cm)]]*ECF[[#This Row],[bp (cm)]]</f>
        <v>2000</v>
      </c>
      <c r="AB273" s="12">
        <f ca="1">IF(ECF[[#This Row],[Padm∙ε (kN)]]&gt;=ECF[[#This Row],[Padm (kN)]],ROUNDUP(1.05*ECF[[#This Row],[Nsd (kN)]]/ECF[[#This Row],[Padm (kN)]],0),ROUNDUP(1.05*ECF[[#This Row],[Nsd (kN)]]/ECF[[#This Row],[Padm (kN)]],0)+1)</f>
        <v>6</v>
      </c>
      <c r="AC273" s="4" t="str">
        <f ca="1">IFERROR(IF(ECF[[#This Row],[nE]]=1,ECF[[#This Row],[Padm (kN)]],ECF[[#This Row],[Padm (kN)]]*ECF[[#This Row],[nE]]*INDEX(grupoEstacas[],ECF[[#This Row],[nE]],MATCH("ε",grupoEstacas[#Headers],0))),"N.S.")</f>
        <v>N.S.</v>
      </c>
      <c r="AD273" s="4">
        <f ca="1">1.05*ECF[[#This Row],[Nsd (kN)]]/(ECF[[#This Row],[nE]]*PI()*ECF[[#This Row],[Ø (cm)]]^2/4)*10</f>
        <v>9.7482402643785909E-2</v>
      </c>
      <c r="AE273" s="4">
        <f ca="1">IF(ECF[[#This Row],[σ (MPa)]]&lt;INDEX(tipoEstaca[],MATCH($D$2,tipoEstaca[TIPO DE ESTACA],0),MATCH("σmáx (MPa)",tipoEstaca[#Headers],0)),0.4%*PI()*ECF[[#This Row],[Ø (cm)]]^2/4,"N.S.")</f>
        <v>125.66370614359174</v>
      </c>
      <c r="AF273" s="82">
        <f>INDEX(tipoEstaca[],MATCH($D$2,tipoEstaca[TIPO DE ESTACA],0),MATCH(ECF[[#Headers],[Comprimento (m)]],tipoEstaca[#Headers],0))</f>
        <v>4</v>
      </c>
      <c r="AG273" s="5">
        <f ca="1">ECF[[#This Row],[As,mín (cm²)]]/100^2*ECF[[#This Row],[Comprimento (m)]]*7850</f>
        <v>394.58403729087803</v>
      </c>
      <c r="AH273" s="4">
        <f ca="1">ECF[[#This Row],[nE]]*ECF[[#This Row],[Prof. (m)]]*ECF[[#This Row],[Ap (m²)]]</f>
        <v>37.699111843077517</v>
      </c>
      <c r="AI273" s="82">
        <f ca="1">IF(ECF[[#This Row],[nE]]=1,0,MAX(3*ECF[[#This Row],[Ø (cm)]],60))</f>
        <v>600</v>
      </c>
      <c r="AJ273" s="82">
        <f ca="1">IF(ECF[[#This Row],[nE]]=1,ECF[[#This Row],[Ø (cm)]]+2*10,MAX(1.5*ECF[[#This Row],[Ø (cm)]],ECF[[#This Row],[Ø (cm)]]+15))</f>
        <v>300</v>
      </c>
      <c r="AK273" s="82" t="str">
        <f ca="1">alturaUtil(ECF[[#This Row],[nE]],ECF[[#This Row],[Ø (cm)]],ECF[[#This Row],[e (cm)]],ECF[[#This Row],[ap,eq (cm)]])</f>
        <v>N.S.</v>
      </c>
      <c r="AL273" s="82" t="str">
        <f ca="1">IFERROR(ECF[[#This Row],[d (cm)]]+arredondarParaCimaMultiplo5cm(MAX(5,SQRT(PI())/2*ECF[[#This Row],[Ø (cm)]]/5)),"N.S.")</f>
        <v>N.S.</v>
      </c>
      <c r="AM273" s="5" t="str">
        <f ca="1">alpha(ECF[[#This Row],[nE]],ECF[[#This Row],[d (cm)]],ECF[[#This Row],[e (cm)]],ECF[[#This Row],[ap,eq (cm)]])</f>
        <v>N.S.</v>
      </c>
      <c r="AN273" s="35" t="str">
        <f ca="1">IFERROR(ECF[[#This Row],[Nsd (kN)]]/(ECF[[#This Row],[Ap (cm²)]]*SIN(ECF[[#This Row],[α]])^2),"N.S.")</f>
        <v>N.S.</v>
      </c>
      <c r="AO273" s="35" t="str">
        <f ca="1">IFERROR(ECF[[#This Row],[Nsd (kN)]]/(ECF[[#This Row],[nE]]*PI()*ECF[[#This Row],[Ø (cm)]]^2/4*SIN(ECF[[#This Row],[α]])^2),"N.S.")</f>
        <v>N.S.</v>
      </c>
      <c r="AP273" s="4" t="str">
        <f ca="1">IFERROR(INDEX(grupoEstacas[],ECF[[#This Row],[nE]],MATCH("coef. Blévot",grupoEstacas[#Headers],0)),"N.S.")</f>
        <v>N.S.</v>
      </c>
      <c r="AQ273" s="35" t="str">
        <f ca="1">IFERROR(ECF[[#This Row],[coef. Blévot]]*0.9*INDEX(tipoEstaca[],MATCH($D$2,tipoEstaca[TIPO DE ESTACA],0),MATCH("fcd (kN/cm²)",tipoEstaca[#Headers],0)),"N.S.")</f>
        <v>N.S.</v>
      </c>
      <c r="AR273" s="82" t="str">
        <f ca="1">IF(AND(ECF[[#This Row],[cd,b,pil (kN/cm²)]]&lt;=ECF[[#This Row],[cd,b,lim (kN/cm²)]],ECF[[#This Row],[cd,b,est (kN/cm²)]]&lt;=ECF[[#This Row],[cd,b,lim (kN/cm²)]]),"OK","ERRO")</f>
        <v>OK</v>
      </c>
      <c r="AS273" s="4" t="str">
        <f ca="1">As_lado(ECF[[#This Row],[nE]],ECF[[#This Row],[Nsd (kN)]],ECF[[#This Row],[d (cm)]],ECF[[#This Row],[e (cm)]],ECF[[#This Row],[ap,eq (cm)]])</f>
        <v>N.S.</v>
      </c>
      <c r="AT273" s="4" t="str">
        <f ca="1">IF(ECF[[#This Row],[nE]]=1,ECF[[#This Row],[As,lado (cm²)]],IF(ECF[[#This Row],[nE]]=2,0.075*2*ECF[a (cm)],"N.A."))</f>
        <v>N.A.</v>
      </c>
      <c r="AU273" s="4" t="str">
        <f ca="1">IFERROR(IF(ECF[[#This Row],[nE]]=1,"N.A.",0.2*ECF[[#This Row],[As,lado (cm²)]]),"N.S.")</f>
        <v>N.S.</v>
      </c>
      <c r="AV273" s="4" t="str">
        <f ca="1">As_malha(ECF[[#This Row],[nE]],ECF[[#This Row],[As,lado (cm²)]],ECF[[#This Row],[Nsd (kN)]])</f>
        <v>N.S.</v>
      </c>
      <c r="AW273" s="4" t="str">
        <f ca="1">As_susp_tot(ECF[[#This Row],[nE]],ECF[[#This Row],[Nsd (kN)]])</f>
        <v>N.S.</v>
      </c>
      <c r="AX273" s="4" t="str">
        <f ca="1">Asp_face(ECF[[#This Row],[nE]],ECF[[#This Row],[As,lado (cm²)]])</f>
        <v>N.S.</v>
      </c>
      <c r="AY273" s="5" t="str">
        <f ca="1">acoBloco(ECF[[#This Row],[nE]],ECF[[#This Row],[e (cm)]],ECF[[#This Row],[a (cm)]],ECF[[#This Row],[h (cm)]],ECF[[#This Row],[As,lado (cm²)]],ECF[[#This Row],[Asp e Asw (cm²/m)]],ECF[[#This Row],[As,sup (cm²)]],ECF[[#This Row],[As,malha (cm²)]],ECF[[#This Row],[As,susp,tot (cm²)]],ECF[[#This Row],[Asp,face (cm²)]])</f>
        <v>N.S.</v>
      </c>
      <c r="AZ273" s="4" t="str">
        <f ca="1">concretoBloco(ECF[[#This Row],[nE]],ECF[[#This Row],[e (cm)]],ECF[[#This Row],[a (cm)]],ECF[[#This Row],[h (cm)]])</f>
        <v>N.S.</v>
      </c>
      <c r="BA273" s="5">
        <f ca="1">SUM(ECF[[#This Row],[Aço Est (kg)]],ECF[[#This Row],[Aço Bloco (kg)]])</f>
        <v>394.58403729087803</v>
      </c>
      <c r="BB273" s="4">
        <f>INDEX(composicoes[],MATCH(95580,composicoes[CÓDIGO],0),MATCH("CUSTO TOTAL",composicoes[#Headers],0))</f>
        <v>10.46</v>
      </c>
      <c r="BC273" s="4">
        <f ca="1">SUM(ECF[[#This Row],[Conc Est (m³)]],ECF[[#This Row],[Conc Bloco (m³)]])</f>
        <v>37.699111843077517</v>
      </c>
      <c r="BD273" s="4">
        <f>INDEX(composicoes[],MATCH(94966,composicoes[CÓDIGO],0),MATCH("CUSTO TOTAL",composicoes[#Headers],0))</f>
        <v>439.52</v>
      </c>
      <c r="BE273" s="38">
        <f ca="1">ECF[[#This Row],[Aço (kg)]]*ECF[[#This Row],[Aço (R$/kg)]]+ECF[[#This Row],[Conc (m³)]]*ECF[[#This Row],[Conc (R$/m³)]]</f>
        <v>20696.862667332014</v>
      </c>
      <c r="BF273" s="4" t="str">
        <f ca="1">IF(COUNTIF(ECF[#This Row],"N.S.")&gt;0,"lim.","OK")</f>
        <v>lim.</v>
      </c>
      <c r="BG273" s="4" t="str">
        <f>IF(ECF[[#This Row],[Prof. (m)]]&lt;4,"lim.","OK")</f>
        <v>lim.</v>
      </c>
      <c r="BH273" s="4" t="str">
        <f>IF(ECF[[#This Row],[Prof. (m)]]&gt;=8*ECF[[#This Row],[Ø (cm)]]/100,"OK","lim.")</f>
        <v>lim.</v>
      </c>
      <c r="BI273" s="4" t="str">
        <f>IF(AND(SPT!$F$3&lt;&gt;"",ECF[[#This Row],[Prof. (m)]]&gt;=SPT!$F$3-2),"lim.","OK")</f>
        <v>OK</v>
      </c>
      <c r="BJ273" s="4" t="str">
        <f ca="1">IF(ECF[[#This Row],[Verif. Biela]]="OK","OK","lim.")</f>
        <v>OK</v>
      </c>
      <c r="BK273" s="4" t="str">
        <f ca="1">IF(COUNTA(ECF[[#This Row],[Nº Est.]:[Biela comp.]])=COUNTIF(ECF[[#This Row],[Nº Est.]:[Biela comp.]],"OK"),"OK","lim.")</f>
        <v>lim.</v>
      </c>
      <c r="BL273" s="4" t="str">
        <f ca="1">IF(ECF[[#This Row],[Controle]]="OK",ECF[[#This Row],[nE]]&amp;" Ø "&amp;ECF[[#This Row],[Ø (cm)]]&amp;" cm, Prof. "&amp;ECF[[#This Row],[Prof. (m)]]&amp;" m","")</f>
        <v/>
      </c>
      <c r="BM273" s="4" t="str">
        <f ca="1">IF(ECF[[#This Row],[idDimensionamento]]="","",ECF[[#This Row],[idPilar]]&amp;ECF[[#This Row],[idDimensionamento]])</f>
        <v/>
      </c>
    </row>
    <row r="274" spans="2:65" x14ac:dyDescent="0.25">
      <c r="B274" s="12">
        <f>ROUNDUP((ROW(ECF[[#This Row],[idDiâmetro]])-ROW(ECF[[#Headers],[idDiâmetro]]))/(COUNT(SPT[Prof. (m)])*COUNT(PILARES[Pilar])),0)</f>
        <v>10</v>
      </c>
      <c r="C274" s="12">
        <f>IF(ECF[[#This Row],[idDiâmetro]]&lt;&gt;B273,1,IF(ECF[[#This Row],[Prof. (m)]]=0,C273+1,C273))</f>
        <v>2</v>
      </c>
      <c r="D274" s="82">
        <f>IFERROR(IF(D273=MAX(SPT[Prof. (m)]),0,D273+1),0)</f>
        <v>3</v>
      </c>
      <c r="E274" s="82">
        <f>INDEX(SPT[],MATCH(ECF[[#This Row],[Prof. (m)]],SPT[Prof. (m)],0),2)</f>
        <v>4</v>
      </c>
      <c r="F274" s="82" t="str">
        <f>INDEX(SPT[],MATCH(ECF[[#This Row],[Prof. (m)]],SPT[Prof. (m)],0),3)</f>
        <v>Areia siltosa</v>
      </c>
      <c r="G274" s="82">
        <f>INDEX(estacas[],ECF[[#This Row],[idDiâmetro]],MATCH($B$2,estacas[#Headers],0))</f>
        <v>200</v>
      </c>
      <c r="H274" s="82">
        <f>INDEX(estacas[],MATCH(ECF[[#This Row],[Ø (cm)]],estacas[Ø ECF (cm)],0),MATCH(ECF[[#Headers],[Pe ECF (kN)]],estacas[#Headers],0))</f>
        <v>12500</v>
      </c>
      <c r="I274" s="4">
        <f>INDEX(K_alpha_C[],MATCH(ECF[[#This Row],[Solo]],K_alpha_C[Solo],0),2)</f>
        <v>0.8</v>
      </c>
      <c r="J274" s="5">
        <f>INDEX(K_alpha_C[],MATCH(ECF[[#This Row],[Solo]],K_alpha_C[Solo],0),3)</f>
        <v>2</v>
      </c>
      <c r="K274" s="4">
        <f>INDEX(F1_F2[],MATCH($D$2,F1_F2[Tipo de estaca],0),2)</f>
        <v>3</v>
      </c>
      <c r="L274" s="4">
        <f>INDEX(F1_F2[],MATCH($D$2,F1_F2[Tipo de estaca],0),3)</f>
        <v>6</v>
      </c>
      <c r="M274" s="4">
        <f>PI()*(ECF[[#This Row],[Ø (cm)]]/100)^2/4</f>
        <v>3.1415926535897931</v>
      </c>
      <c r="N274" s="4">
        <f>PI()*ECF[[#This Row],[Ø (cm)]]/100</f>
        <v>6.2831853071795862</v>
      </c>
      <c r="O274" s="4">
        <f>IF(ECF[[#This Row],[Prof. (m)]]=0,0,ECF[[#This Row],[α (%)]]/100*ECF[[#This Row],[K (MPa)]]*1000*ECF[[#This Row],[NSPT]])</f>
        <v>64</v>
      </c>
      <c r="P274" s="4">
        <f>IF(ECF[[#This Row],[Prof. (m)]]=0,0,(ECF[[#This Row],[K (MPa)]]*1000*ECF[[#This Row],[NSPT]]/ECF[[#This Row],[F1]]*ECF[[#This Row],[Ap (m²)]]+ECF[[#This Row],[U (m)]]/ECF[[#This Row],[F2]]*SUMIFS(ECF[(α∙K∙NL∙ΔL)],ECF[Prof. (m)],"&lt;="&amp;ECF[[#This Row],[Prof. (m)]],ECF[idDiâmetro],ECF[[#This Row],[idDiâmetro]],ECF[idPilar],ECF[[#This Row],[idPilar]]))/'DADOS CAP. CARGA'!$D$2)</f>
        <v>1742.5367251911387</v>
      </c>
      <c r="Q274" s="12">
        <f>INDEX(C_alpha_beta[],MATCH(ECF[[#This Row],[Solo]],C_alpha_beta[Solo],0),MATCH(ECF[[#Headers],[C (kPa)]],C_alpha_beta[#Headers],0))</f>
        <v>400</v>
      </c>
      <c r="R274" s="4">
        <f>INDEX(C_alpha_beta[],MATCH(ECF[[#This Row],[Solo]],C_alpha_beta[Solo],0),MATCH(ECF[[#Headers],[α ESF]],C_alpha_beta[#Headers],0))</f>
        <v>0.5</v>
      </c>
      <c r="S274" s="4">
        <f>INDEX(C_alpha_beta[],MATCH(ECF[[#This Row],[Solo]],C_alpha_beta[Solo],0),MATCH(ECF[[#Headers],[β ESF]],C_alpha_beta[#Headers],0))</f>
        <v>0.5</v>
      </c>
      <c r="T274" s="4">
        <f>IF(ECF[[#This Row],[Prof. (m)]]=0,0,10*(ECF[[#This Row],[NSPT]]/3+1))</f>
        <v>23.333333333333329</v>
      </c>
      <c r="U274" s="4">
        <f>(ECF[[#This Row],[α ESF]]*ECF[[#This Row],[C (kPa)]]*ECF[[#This Row],[NSPT]]*ECF[[#This Row],[Ap (m²)]])/'DADOS CAP. CARGA'!$Q$2+(ECF[[#This Row],[β ESF]]*SUMIFS(ECF[10∙(NL/3+1)],ECF[Prof. (m)],"&lt;="&amp;ECF[[#This Row],[Prof. (m)]],ECF[idDiâmetro],ECF[[#This Row],[idDiâmetro]],ECF[idPilar],ECF[[#This Row],[idPilar]])*ECF[[#This Row],[U (m)]])/'DADOS CAP. CARGA'!$S$2</f>
        <v>717.33032256966942</v>
      </c>
      <c r="V274" s="4">
        <f>IF(SPT!$M$5=1,MIN(ECF[[#This Row],[Pe ECF (kN)]],ECF[[#This Row],[R_AV (kN)]]),IF(SPT!$M$5=2,MIN(ECF[[#This Row],[Pe ECF (kN)]],ECF[[#This Row],[R_DC (kN)]]),MIN(ECF[[#This Row],[Pe ECF (kN)]],ECF[[#This Row],[R_AV (kN)]],ECF[[#This Row],[R_DC (kN)]])))</f>
        <v>717.33032256966942</v>
      </c>
      <c r="W274" s="4">
        <f>INDEX(PILARES[],ECF[[#This Row],[idPilar]],MATCH("Carga (kN)",PILARES[#Headers],0))*1.4</f>
        <v>1750</v>
      </c>
      <c r="X274" s="12">
        <f>INDEX(PILARES[],ECF[[#This Row],[idPilar]],MATCH(ECF[[#Headers],[ap (cm)]],PILARES[#Headers],0))</f>
        <v>50</v>
      </c>
      <c r="Y274" s="12">
        <f>INDEX(PILARES[],ECF[[#This Row],[idPilar]],MATCH(ECF[[#Headers],[bp (cm)]],PILARES[#Headers],0))</f>
        <v>40</v>
      </c>
      <c r="Z274" s="4">
        <f>SQRT(ECF[[#This Row],[ap (cm)]]*ECF[[#This Row],[bp (cm)]])</f>
        <v>44.721359549995796</v>
      </c>
      <c r="AA274" s="12">
        <f>ECF[[#This Row],[ap (cm)]]*ECF[[#This Row],[bp (cm)]]</f>
        <v>2000</v>
      </c>
      <c r="AB274" s="12">
        <f ca="1">IF(ECF[[#This Row],[Padm∙ε (kN)]]&gt;=ECF[[#This Row],[Padm (kN)]],ROUNDUP(1.05*ECF[[#This Row],[Nsd (kN)]]/ECF[[#This Row],[Padm (kN)]],0),ROUNDUP(1.05*ECF[[#This Row],[Nsd (kN)]]/ECF[[#This Row],[Padm (kN)]],0)+1)</f>
        <v>3</v>
      </c>
      <c r="AC274" s="4">
        <f ca="1">IFERROR(IF(ECF[[#This Row],[nE]]=1,ECF[[#This Row],[Padm (kN)]],ECF[[#This Row],[Padm (kN)]]*ECF[[#This Row],[nE]]*INDEX(grupoEstacas[],ECF[[#This Row],[nE]],MATCH("ε",grupoEstacas[#Headers],0))),"N.S.")</f>
        <v>1882.9920967453822</v>
      </c>
      <c r="AD274" s="4">
        <f ca="1">1.05*ECF[[#This Row],[Nsd (kN)]]/(ECF[[#This Row],[nE]]*PI()*ECF[[#This Row],[Ø (cm)]]^2/4)*10</f>
        <v>0.19496480528757182</v>
      </c>
      <c r="AE274" s="4">
        <f ca="1">IF(ECF[[#This Row],[σ (MPa)]]&lt;INDEX(tipoEstaca[],MATCH($D$2,tipoEstaca[TIPO DE ESTACA],0),MATCH("σmáx (MPa)",tipoEstaca[#Headers],0)),0.4%*PI()*ECF[[#This Row],[Ø (cm)]]^2/4,"N.S.")</f>
        <v>125.66370614359174</v>
      </c>
      <c r="AF274" s="82">
        <f>INDEX(tipoEstaca[],MATCH($D$2,tipoEstaca[TIPO DE ESTACA],0),MATCH(ECF[[#Headers],[Comprimento (m)]],tipoEstaca[#Headers],0))</f>
        <v>4</v>
      </c>
      <c r="AG274" s="5">
        <f ca="1">ECF[[#This Row],[As,mín (cm²)]]/100^2*ECF[[#This Row],[Comprimento (m)]]*7850</f>
        <v>394.58403729087803</v>
      </c>
      <c r="AH274" s="4">
        <f ca="1">ECF[[#This Row],[nE]]*ECF[[#This Row],[Prof. (m)]]*ECF[[#This Row],[Ap (m²)]]</f>
        <v>28.274333882308138</v>
      </c>
      <c r="AI274" s="82">
        <f ca="1">IF(ECF[[#This Row],[nE]]=1,0,MAX(3*ECF[[#This Row],[Ø (cm)]],60))</f>
        <v>600</v>
      </c>
      <c r="AJ274" s="82">
        <f ca="1">IF(ECF[[#This Row],[nE]]=1,ECF[[#This Row],[Ø (cm)]]+2*10,MAX(1.5*ECF[[#This Row],[Ø (cm)]],ECF[[#This Row],[Ø (cm)]]+15))</f>
        <v>300</v>
      </c>
      <c r="AK274" s="82">
        <f ca="1">alturaUtil(ECF[[#This Row],[nE]],ECF[[#This Row],[Ø (cm)]],ECF[[#This Row],[e (cm)]],ECF[[#This Row],[ap,eq (cm)]])</f>
        <v>290</v>
      </c>
      <c r="AL274" s="82">
        <f ca="1">IFERROR(ECF[[#This Row],[d (cm)]]+arredondarParaCimaMultiplo5cm(MAX(5,SQRT(PI())/2*ECF[[#This Row],[Ø (cm)]]/5)),"N.S.")</f>
        <v>330</v>
      </c>
      <c r="AM274" s="5">
        <f ca="1">alpha(ECF[[#This Row],[nE]],ECF[[#This Row],[d (cm)]],ECF[[#This Row],[e (cm)]],ECF[[#This Row],[ap,eq (cm)]])</f>
        <v>45.339488434434273</v>
      </c>
      <c r="AN274" s="35">
        <f ca="1">IFERROR(ECF[[#This Row],[Nsd (kN)]]/(ECF[[#This Row],[Ap (cm²)]]*SIN(ECF[[#This Row],[α]])^2),"N.S.")</f>
        <v>0.91617029035167918</v>
      </c>
      <c r="AO274" s="35">
        <f ca="1">IFERROR(ECF[[#This Row],[Nsd (kN)]]/(ECF[[#This Row],[nE]]*PI()*ECF[[#This Row],[Ø (cm)]]^2/4*SIN(ECF[[#This Row],[α]])^2),"N.S.")</f>
        <v>1.9441737389787564E-2</v>
      </c>
      <c r="AP274" s="4">
        <f ca="1">IFERROR(INDEX(grupoEstacas[],ECF[[#This Row],[nE]],MATCH("coef. Blévot",grupoEstacas[#Headers],0)),"N.S.")</f>
        <v>1.75</v>
      </c>
      <c r="AQ274" s="35">
        <f ca="1">IFERROR(ECF[[#This Row],[coef. Blévot]]*0.9*INDEX(tipoEstaca[],MATCH($D$2,tipoEstaca[TIPO DE ESTACA],0),MATCH("fcd (kN/cm²)",tipoEstaca[#Headers],0)),"N.S.")</f>
        <v>1.75</v>
      </c>
      <c r="AR274" s="82" t="str">
        <f ca="1">IF(AND(ECF[[#This Row],[cd,b,pil (kN/cm²)]]&lt;=ECF[[#This Row],[cd,b,lim (kN/cm²)]],ECF[[#This Row],[cd,b,est (kN/cm²)]]&lt;=ECF[[#This Row],[cd,b,lim (kN/cm²)]]),"OK","ERRO")</f>
        <v>OK</v>
      </c>
      <c r="AS274" s="4">
        <f ca="1">As_lado(ECF[[#This Row],[nE]],ECF[[#This Row],[Nsd (kN)]],ECF[[#This Row],[d (cm)]],ECF[[#This Row],[e (cm)]],ECF[[#This Row],[ap,eq (cm)]])</f>
        <v>8.8945113110693121</v>
      </c>
      <c r="AT274" s="4" t="str">
        <f ca="1">IF(ECF[[#This Row],[nE]]=1,ECF[[#This Row],[As,lado (cm²)]],IF(ECF[[#This Row],[nE]]=2,0.075*2*ECF[a (cm)],"N.A."))</f>
        <v>N.A.</v>
      </c>
      <c r="AU274" s="4">
        <f ca="1">IFERROR(IF(ECF[[#This Row],[nE]]=1,"N.A.",0.2*ECF[[#This Row],[As,lado (cm²)]]),"N.S.")</f>
        <v>1.7789022622138626</v>
      </c>
      <c r="AV274" s="4">
        <f ca="1">As_malha(ECF[[#This Row],[nE]],ECF[[#This Row],[As,lado (cm²)]],ECF[[#This Row],[Nsd (kN)]])</f>
        <v>2.981481481481481</v>
      </c>
      <c r="AW274" s="4">
        <f ca="1">As_susp_tot(ECF[[#This Row],[nE]],ECF[[#This Row],[Nsd (kN)]])</f>
        <v>8.9444444444444429</v>
      </c>
      <c r="AX274" s="4">
        <f ca="1">Asp_face(ECF[[#This Row],[nE]],ECF[[#This Row],[As,lado (cm²)]])</f>
        <v>3.3354417416509921</v>
      </c>
      <c r="AY274" s="5">
        <f ca="1">acoBloco(ECF[[#This Row],[nE]],ECF[[#This Row],[e (cm)]],ECF[[#This Row],[a (cm)]],ECF[[#This Row],[h (cm)]],ECF[[#This Row],[As,lado (cm²)]],ECF[[#This Row],[Asp e Asw (cm²/m)]],ECF[[#This Row],[As,sup (cm²)]],ECF[[#This Row],[As,malha (cm²)]],ECF[[#This Row],[As,susp,tot (cm²)]],ECF[[#This Row],[Asp,face (cm²)]])</f>
        <v>528.73367202939426</v>
      </c>
      <c r="AZ274" s="4">
        <f ca="1">concretoBloco(ECF[[#This Row],[nE]],ECF[[#This Row],[e (cm)]],ECF[[#This Row],[a (cm)]],ECF[[#This Row],[h (cm)]])</f>
        <v>332.52572695438693</v>
      </c>
      <c r="BA274" s="5">
        <f ca="1">SUM(ECF[[#This Row],[Aço Est (kg)]],ECF[[#This Row],[Aço Bloco (kg)]])</f>
        <v>923.31770932027234</v>
      </c>
      <c r="BB274" s="4">
        <f>INDEX(composicoes[],MATCH(95580,composicoes[CÓDIGO],0),MATCH("CUSTO TOTAL",composicoes[#Headers],0))</f>
        <v>10.46</v>
      </c>
      <c r="BC274" s="4">
        <f ca="1">SUM(ECF[[#This Row],[Conc Est (m³)]],ECF[[#This Row],[Conc Bloco (m³)]])</f>
        <v>360.80006083669508</v>
      </c>
      <c r="BD274" s="4">
        <f>INDEX(composicoes[],MATCH(94966,composicoes[CÓDIGO],0),MATCH("CUSTO TOTAL",composicoes[#Headers],0))</f>
        <v>439.52</v>
      </c>
      <c r="BE274" s="38">
        <f ca="1">ECF[[#This Row],[Aço (kg)]]*ECF[[#This Row],[Aço (R$/kg)]]+ECF[[#This Row],[Conc (m³)]]*ECF[[#This Row],[Conc (R$/m³)]]</f>
        <v>168236.74597843428</v>
      </c>
      <c r="BF274" s="4" t="str">
        <f ca="1">IF(COUNTIF(ECF[#This Row],"N.S.")&gt;0,"lim.","OK")</f>
        <v>OK</v>
      </c>
      <c r="BG274" s="4" t="str">
        <f>IF(ECF[[#This Row],[Prof. (m)]]&lt;4,"lim.","OK")</f>
        <v>lim.</v>
      </c>
      <c r="BH274" s="4" t="str">
        <f>IF(ECF[[#This Row],[Prof. (m)]]&gt;=8*ECF[[#This Row],[Ø (cm)]]/100,"OK","lim.")</f>
        <v>lim.</v>
      </c>
      <c r="BI274" s="4" t="str">
        <f>IF(AND(SPT!$F$3&lt;&gt;"",ECF[[#This Row],[Prof. (m)]]&gt;=SPT!$F$3-2),"lim.","OK")</f>
        <v>OK</v>
      </c>
      <c r="BJ274" s="4" t="str">
        <f ca="1">IF(ECF[[#This Row],[Verif. Biela]]="OK","OK","lim.")</f>
        <v>OK</v>
      </c>
      <c r="BK274" s="4" t="str">
        <f ca="1">IF(COUNTA(ECF[[#This Row],[Nº Est.]:[Biela comp.]])=COUNTIF(ECF[[#This Row],[Nº Est.]:[Biela comp.]],"OK"),"OK","lim.")</f>
        <v>lim.</v>
      </c>
      <c r="BL274" s="4" t="str">
        <f ca="1">IF(ECF[[#This Row],[Controle]]="OK",ECF[[#This Row],[nE]]&amp;" Ø "&amp;ECF[[#This Row],[Ø (cm)]]&amp;" cm, Prof. "&amp;ECF[[#This Row],[Prof. (m)]]&amp;" m","")</f>
        <v/>
      </c>
      <c r="BM274" s="4" t="str">
        <f ca="1">IF(ECF[[#This Row],[idDimensionamento]]="","",ECF[[#This Row],[idPilar]]&amp;ECF[[#This Row],[idDimensionamento]])</f>
        <v/>
      </c>
    </row>
    <row r="275" spans="2:65" x14ac:dyDescent="0.25">
      <c r="B275" s="12">
        <f>ROUNDUP((ROW(ECF[[#This Row],[idDiâmetro]])-ROW(ECF[[#Headers],[idDiâmetro]]))/(COUNT(SPT[Prof. (m)])*COUNT(PILARES[Pilar])),0)</f>
        <v>10</v>
      </c>
      <c r="C275" s="12">
        <f>IF(ECF[[#This Row],[idDiâmetro]]&lt;&gt;B274,1,IF(ECF[[#This Row],[Prof. (m)]]=0,C274+1,C274))</f>
        <v>2</v>
      </c>
      <c r="D275" s="82">
        <f>IFERROR(IF(D274=MAX(SPT[Prof. (m)]),0,D274+1),0)</f>
        <v>4</v>
      </c>
      <c r="E275" s="82">
        <f>INDEX(SPT[],MATCH(ECF[[#This Row],[Prof. (m)]],SPT[Prof. (m)],0),2)</f>
        <v>8</v>
      </c>
      <c r="F275" s="82" t="str">
        <f>INDEX(SPT[],MATCH(ECF[[#This Row],[Prof. (m)]],SPT[Prof. (m)],0),3)</f>
        <v>Areia siltosa</v>
      </c>
      <c r="G275" s="82">
        <f>INDEX(estacas[],ECF[[#This Row],[idDiâmetro]],MATCH($B$2,estacas[#Headers],0))</f>
        <v>200</v>
      </c>
      <c r="H275" s="82">
        <f>INDEX(estacas[],MATCH(ECF[[#This Row],[Ø (cm)]],estacas[Ø ECF (cm)],0),MATCH(ECF[[#Headers],[Pe ECF (kN)]],estacas[#Headers],0))</f>
        <v>12500</v>
      </c>
      <c r="I275" s="4">
        <f>INDEX(K_alpha_C[],MATCH(ECF[[#This Row],[Solo]],K_alpha_C[Solo],0),2)</f>
        <v>0.8</v>
      </c>
      <c r="J275" s="5">
        <f>INDEX(K_alpha_C[],MATCH(ECF[[#This Row],[Solo]],K_alpha_C[Solo],0),3)</f>
        <v>2</v>
      </c>
      <c r="K275" s="4">
        <f>INDEX(F1_F2[],MATCH($D$2,F1_F2[Tipo de estaca],0),2)</f>
        <v>3</v>
      </c>
      <c r="L275" s="4">
        <f>INDEX(F1_F2[],MATCH($D$2,F1_F2[Tipo de estaca],0),3)</f>
        <v>6</v>
      </c>
      <c r="M275" s="4">
        <f>PI()*(ECF[[#This Row],[Ø (cm)]]/100)^2/4</f>
        <v>3.1415926535897931</v>
      </c>
      <c r="N275" s="4">
        <f>PI()*ECF[[#This Row],[Ø (cm)]]/100</f>
        <v>6.2831853071795862</v>
      </c>
      <c r="O275" s="4">
        <f>IF(ECF[[#This Row],[Prof. (m)]]=0,0,ECF[[#This Row],[α (%)]]/100*ECF[[#This Row],[K (MPa)]]*1000*ECF[[#This Row],[NSPT]])</f>
        <v>128</v>
      </c>
      <c r="P275" s="4">
        <f>IF(ECF[[#This Row],[Prof. (m)]]=0,0,(ECF[[#This Row],[K (MPa)]]*1000*ECF[[#This Row],[NSPT]]/ECF[[#This Row],[F1]]*ECF[[#This Row],[Ap (m²)]]+ECF[[#This Row],[U (m)]]/ECF[[#This Row],[F2]]*SUMIFS(ECF[(α∙K∙NL∙ΔL)],ECF[Prof. (m)],"&lt;="&amp;ECF[[#This Row],[Prof. (m)]],ECF[idDiâmetro],ECF[[#This Row],[idDiâmetro]],ECF[idPilar],ECF[[#This Row],[idPilar]]))/'DADOS CAP. CARGA'!$D$2)</f>
        <v>3485.0734503822773</v>
      </c>
      <c r="Q275" s="12">
        <f>INDEX(C_alpha_beta[],MATCH(ECF[[#This Row],[Solo]],C_alpha_beta[Solo],0),MATCH(ECF[[#Headers],[C (kPa)]],C_alpha_beta[#Headers],0))</f>
        <v>400</v>
      </c>
      <c r="R275" s="4">
        <f>INDEX(C_alpha_beta[],MATCH(ECF[[#This Row],[Solo]],C_alpha_beta[Solo],0),MATCH(ECF[[#Headers],[α ESF]],C_alpha_beta[#Headers],0))</f>
        <v>0.5</v>
      </c>
      <c r="S275" s="4">
        <f>INDEX(C_alpha_beta[],MATCH(ECF[[#This Row],[Solo]],C_alpha_beta[Solo],0),MATCH(ECF[[#Headers],[β ESF]],C_alpha_beta[#Headers],0))</f>
        <v>0.5</v>
      </c>
      <c r="T275" s="4">
        <f>IF(ECF[[#This Row],[Prof. (m)]]=0,0,10*(ECF[[#This Row],[NSPT]]/3+1))</f>
        <v>36.666666666666664</v>
      </c>
      <c r="U275" s="4">
        <f>(ECF[[#This Row],[α ESF]]*ECF[[#This Row],[C (kPa)]]*ECF[[#This Row],[NSPT]]*ECF[[#This Row],[Ap (m²)]])/'DADOS CAP. CARGA'!$Q$2+(ECF[[#This Row],[β ESF]]*SUMIFS(ECF[10∙(NL/3+1)],ECF[Prof. (m)],"&lt;="&amp;ECF[[#This Row],[Prof. (m)]],ECF[idDiâmetro],ECF[[#This Row],[idDiâmetro]],ECF[idPilar],ECF[[#This Row],[idPilar]])*ECF[[#This Row],[U (m)]])/'DADOS CAP. CARGA'!$S$2</f>
        <v>1403.244718603441</v>
      </c>
      <c r="V275" s="4">
        <f>IF(SPT!$M$5=1,MIN(ECF[[#This Row],[Pe ECF (kN)]],ECF[[#This Row],[R_AV (kN)]]),IF(SPT!$M$5=2,MIN(ECF[[#This Row],[Pe ECF (kN)]],ECF[[#This Row],[R_DC (kN)]]),MIN(ECF[[#This Row],[Pe ECF (kN)]],ECF[[#This Row],[R_AV (kN)]],ECF[[#This Row],[R_DC (kN)]])))</f>
        <v>1403.244718603441</v>
      </c>
      <c r="W275" s="4">
        <f>INDEX(PILARES[],ECF[[#This Row],[idPilar]],MATCH("Carga (kN)",PILARES[#Headers],0))*1.4</f>
        <v>1750</v>
      </c>
      <c r="X275" s="12">
        <f>INDEX(PILARES[],ECF[[#This Row],[idPilar]],MATCH(ECF[[#Headers],[ap (cm)]],PILARES[#Headers],0))</f>
        <v>50</v>
      </c>
      <c r="Y275" s="12">
        <f>INDEX(PILARES[],ECF[[#This Row],[idPilar]],MATCH(ECF[[#Headers],[bp (cm)]],PILARES[#Headers],0))</f>
        <v>40</v>
      </c>
      <c r="Z275" s="4">
        <f>SQRT(ECF[[#This Row],[ap (cm)]]*ECF[[#This Row],[bp (cm)]])</f>
        <v>44.721359549995796</v>
      </c>
      <c r="AA275" s="12">
        <f>ECF[[#This Row],[ap (cm)]]*ECF[[#This Row],[bp (cm)]]</f>
        <v>2000</v>
      </c>
      <c r="AB275" s="12">
        <f ca="1">IF(ECF[[#This Row],[Padm∙ε (kN)]]&gt;=ECF[[#This Row],[Padm (kN)]],ROUNDUP(1.05*ECF[[#This Row],[Nsd (kN)]]/ECF[[#This Row],[Padm (kN)]],0),ROUNDUP(1.05*ECF[[#This Row],[Nsd (kN)]]/ECF[[#This Row],[Padm (kN)]],0)+1)</f>
        <v>2</v>
      </c>
      <c r="AC275" s="4">
        <f ca="1">IFERROR(IF(ECF[[#This Row],[nE]]=1,ECF[[#This Row],[Padm (kN)]],ECF[[#This Row],[Padm (kN)]]*ECF[[#This Row],[nE]]*INDEX(grupoEstacas[],ECF[[#This Row],[nE]],MATCH("ε",grupoEstacas[#Headers],0))),"N.S.")</f>
        <v>2631.083847381452</v>
      </c>
      <c r="AD275" s="4">
        <f ca="1">1.05*ECF[[#This Row],[Nsd (kN)]]/(ECF[[#This Row],[nE]]*PI()*ECF[[#This Row],[Ø (cm)]]^2/4)*10</f>
        <v>0.2924472079313577</v>
      </c>
      <c r="AE275" s="4">
        <f ca="1">IF(ECF[[#This Row],[σ (MPa)]]&lt;INDEX(tipoEstaca[],MATCH($D$2,tipoEstaca[TIPO DE ESTACA],0),MATCH("σmáx (MPa)",tipoEstaca[#Headers],0)),0.4%*PI()*ECF[[#This Row],[Ø (cm)]]^2/4,"N.S.")</f>
        <v>125.66370614359174</v>
      </c>
      <c r="AF275" s="82">
        <f>INDEX(tipoEstaca[],MATCH($D$2,tipoEstaca[TIPO DE ESTACA],0),MATCH(ECF[[#Headers],[Comprimento (m)]],tipoEstaca[#Headers],0))</f>
        <v>4</v>
      </c>
      <c r="AG275" s="5">
        <f ca="1">ECF[[#This Row],[As,mín (cm²)]]/100^2*ECF[[#This Row],[Comprimento (m)]]*7850</f>
        <v>394.58403729087803</v>
      </c>
      <c r="AH275" s="4">
        <f ca="1">ECF[[#This Row],[nE]]*ECF[[#This Row],[Prof. (m)]]*ECF[[#This Row],[Ap (m²)]]</f>
        <v>25.132741228718345</v>
      </c>
      <c r="AI275" s="82">
        <f ca="1">IF(ECF[[#This Row],[nE]]=1,0,MAX(3*ECF[[#This Row],[Ø (cm)]],60))</f>
        <v>600</v>
      </c>
      <c r="AJ275" s="82">
        <f ca="1">IF(ECF[[#This Row],[nE]]=1,ECF[[#This Row],[Ø (cm)]]+2*10,MAX(1.5*ECF[[#This Row],[Ø (cm)]],ECF[[#This Row],[Ø (cm)]]+15))</f>
        <v>300</v>
      </c>
      <c r="AK275" s="82">
        <f ca="1">alturaUtil(ECF[[#This Row],[nE]],ECF[[#This Row],[Ø (cm)]],ECF[[#This Row],[e (cm)]],ECF[[#This Row],[ap,eq (cm)]])</f>
        <v>290</v>
      </c>
      <c r="AL275" s="82">
        <f ca="1">IFERROR(ECF[[#This Row],[d (cm)]]+arredondarParaCimaMultiplo5cm(MAX(5,SQRT(PI())/2*ECF[[#This Row],[Ø (cm)]]/5)),"N.S.")</f>
        <v>330</v>
      </c>
      <c r="AM275" s="5">
        <f ca="1">alpha(ECF[[#This Row],[nE]],ECF[[#This Row],[d (cm)]],ECF[[#This Row],[e (cm)]],ECF[[#This Row],[ap,eq (cm)]])</f>
        <v>45.116838464314299</v>
      </c>
      <c r="AN275" s="35">
        <f ca="1">IFERROR(ECF[[#This Row],[Nsd (kN)]]/(ECF[[#This Row],[Ap (cm²)]]*SIN(ECF[[#This Row],[α]])^2),"N.S.")</f>
        <v>1.0651856922928629</v>
      </c>
      <c r="AO275" s="35">
        <f ca="1">IFERROR(ECF[[#This Row],[Nsd (kN)]]/(ECF[[#This Row],[nE]]*PI()*ECF[[#This Row],[Ø (cm)]]^2/4*SIN(ECF[[#This Row],[α]])^2),"N.S.")</f>
        <v>3.3905913647834345E-2</v>
      </c>
      <c r="AP275" s="4">
        <f ca="1">IFERROR(INDEX(grupoEstacas[],ECF[[#This Row],[nE]],MATCH("coef. Blévot",grupoEstacas[#Headers],0)),"N.S.")</f>
        <v>1.4</v>
      </c>
      <c r="AQ275" s="35">
        <f ca="1">IFERROR(ECF[[#This Row],[coef. Blévot]]*0.9*INDEX(tipoEstaca[],MATCH($D$2,tipoEstaca[TIPO DE ESTACA],0),MATCH("fcd (kN/cm²)",tipoEstaca[#Headers],0)),"N.S.")</f>
        <v>1.4000000000000001</v>
      </c>
      <c r="AR275" s="82" t="str">
        <f ca="1">IF(AND(ECF[[#This Row],[cd,b,pil (kN/cm²)]]&lt;=ECF[[#This Row],[cd,b,lim (kN/cm²)]],ECF[[#This Row],[cd,b,est (kN/cm²)]]&lt;=ECF[[#This Row],[cd,b,lim (kN/cm²)]]),"OK","ERRO")</f>
        <v>OK</v>
      </c>
      <c r="AS275" s="4">
        <f ca="1">As_lado(ECF[[#This Row],[nE]],ECF[[#This Row],[Nsd (kN)]],ECF[[#This Row],[d (cm)]],ECF[[#This Row],[e (cm)]],ECF[[#This Row],[ap,eq (cm)]])</f>
        <v>23.049551754236877</v>
      </c>
      <c r="AT275" s="4">
        <f ca="1">IF(ECF[[#This Row],[nE]]=1,ECF[[#This Row],[As,lado (cm²)]],IF(ECF[[#This Row],[nE]]=2,0.075*2*ECF[a (cm)],"N.A."))</f>
        <v>45</v>
      </c>
      <c r="AU275" s="4">
        <f ca="1">IFERROR(IF(ECF[[#This Row],[nE]]=1,"N.A.",0.2*ECF[[#This Row],[As,lado (cm²)]]),"N.S.")</f>
        <v>4.6099103508473753</v>
      </c>
      <c r="AV275" s="4" t="str">
        <f ca="1">As_malha(ECF[[#This Row],[nE]],ECF[[#This Row],[As,lado (cm²)]],ECF[[#This Row],[Nsd (kN)]])</f>
        <v>N.A.</v>
      </c>
      <c r="AW275" s="4" t="str">
        <f ca="1">As_susp_tot(ECF[[#This Row],[nE]],ECF[[#This Row],[Nsd (kN)]])</f>
        <v>N.A.</v>
      </c>
      <c r="AX275" s="4" t="str">
        <f ca="1">Asp_face(ECF[[#This Row],[nE]],ECF[[#This Row],[As,lado (cm²)]])</f>
        <v>N.A.</v>
      </c>
      <c r="AY275" s="5">
        <f ca="1">acoBloco(ECF[[#This Row],[nE]],ECF[[#This Row],[e (cm)]],ECF[[#This Row],[a (cm)]],ECF[[#This Row],[h (cm)]],ECF[[#This Row],[As,lado (cm²)]],ECF[[#This Row],[Asp e Asw (cm²/m)]],ECF[[#This Row],[As,sup (cm²)]],ECF[[#This Row],[As,malha (cm²)]],ECF[[#This Row],[As,susp,tot (cm²)]],ECF[[#This Row],[Asp,face (cm²)]])</f>
        <v>12341.702133029894</v>
      </c>
      <c r="AZ275" s="4">
        <f ca="1">concretoBloco(ECF[[#This Row],[nE]],ECF[[#This Row],[e (cm)]],ECF[[#This Row],[a (cm)]],ECF[[#This Row],[h (cm)]])</f>
        <v>237.6</v>
      </c>
      <c r="BA275" s="5">
        <f ca="1">SUM(ECF[[#This Row],[Aço Est (kg)]],ECF[[#This Row],[Aço Bloco (kg)]])</f>
        <v>12736.286170320773</v>
      </c>
      <c r="BB275" s="4">
        <f>INDEX(composicoes[],MATCH(95580,composicoes[CÓDIGO],0),MATCH("CUSTO TOTAL",composicoes[#Headers],0))</f>
        <v>10.46</v>
      </c>
      <c r="BC275" s="4">
        <f ca="1">SUM(ECF[[#This Row],[Conc Est (m³)]],ECF[[#This Row],[Conc Bloco (m³)]])</f>
        <v>262.73274122871834</v>
      </c>
      <c r="BD275" s="4">
        <f>INDEX(composicoes[],MATCH(94966,composicoes[CÓDIGO],0),MATCH("CUSTO TOTAL",composicoes[#Headers],0))</f>
        <v>439.52</v>
      </c>
      <c r="BE275" s="38">
        <f ca="1">ECF[[#This Row],[Aço (kg)]]*ECF[[#This Row],[Aço (R$/kg)]]+ECF[[#This Row],[Conc (m³)]]*ECF[[#This Row],[Conc (R$/m³)]]</f>
        <v>248697.84776640157</v>
      </c>
      <c r="BF275" s="4" t="str">
        <f ca="1">IF(COUNTIF(ECF[#This Row],"N.S.")&gt;0,"lim.","OK")</f>
        <v>OK</v>
      </c>
      <c r="BG275" s="4" t="str">
        <f>IF(ECF[[#This Row],[Prof. (m)]]&lt;4,"lim.","OK")</f>
        <v>OK</v>
      </c>
      <c r="BH275" s="4" t="str">
        <f>IF(ECF[[#This Row],[Prof. (m)]]&gt;=8*ECF[[#This Row],[Ø (cm)]]/100,"OK","lim.")</f>
        <v>lim.</v>
      </c>
      <c r="BI275" s="4" t="str">
        <f>IF(AND(SPT!$F$3&lt;&gt;"",ECF[[#This Row],[Prof. (m)]]&gt;=SPT!$F$3-2),"lim.","OK")</f>
        <v>OK</v>
      </c>
      <c r="BJ275" s="4" t="str">
        <f ca="1">IF(ECF[[#This Row],[Verif. Biela]]="OK","OK","lim.")</f>
        <v>OK</v>
      </c>
      <c r="BK275" s="4" t="str">
        <f ca="1">IF(COUNTA(ECF[[#This Row],[Nº Est.]:[Biela comp.]])=COUNTIF(ECF[[#This Row],[Nº Est.]:[Biela comp.]],"OK"),"OK","lim.")</f>
        <v>lim.</v>
      </c>
      <c r="BL275" s="4" t="str">
        <f ca="1">IF(ECF[[#This Row],[Controle]]="OK",ECF[[#This Row],[nE]]&amp;" Ø "&amp;ECF[[#This Row],[Ø (cm)]]&amp;" cm, Prof. "&amp;ECF[[#This Row],[Prof. (m)]]&amp;" m","")</f>
        <v/>
      </c>
      <c r="BM275" s="4" t="str">
        <f ca="1">IF(ECF[[#This Row],[idDimensionamento]]="","",ECF[[#This Row],[idPilar]]&amp;ECF[[#This Row],[idDimensionamento]])</f>
        <v/>
      </c>
    </row>
    <row r="276" spans="2:65" x14ac:dyDescent="0.25">
      <c r="B276" s="12">
        <f>ROUNDUP((ROW(ECF[[#This Row],[idDiâmetro]])-ROW(ECF[[#Headers],[idDiâmetro]]))/(COUNT(SPT[Prof. (m)])*COUNT(PILARES[Pilar])),0)</f>
        <v>10</v>
      </c>
      <c r="C276" s="12">
        <f>IF(ECF[[#This Row],[idDiâmetro]]&lt;&gt;B275,1,IF(ECF[[#This Row],[Prof. (m)]]=0,C275+1,C275))</f>
        <v>2</v>
      </c>
      <c r="D276" s="82">
        <f>IFERROR(IF(D275=MAX(SPT[Prof. (m)]),0,D275+1),0)</f>
        <v>5</v>
      </c>
      <c r="E276" s="82">
        <f>INDEX(SPT[],MATCH(ECF[[#This Row],[Prof. (m)]],SPT[Prof. (m)],0),2)</f>
        <v>17</v>
      </c>
      <c r="F276" s="82" t="str">
        <f>INDEX(SPT[],MATCH(ECF[[#This Row],[Prof. (m)]],SPT[Prof. (m)],0),3)</f>
        <v>Areia siltosa</v>
      </c>
      <c r="G276" s="82">
        <f>INDEX(estacas[],ECF[[#This Row],[idDiâmetro]],MATCH($B$2,estacas[#Headers],0))</f>
        <v>200</v>
      </c>
      <c r="H276" s="82">
        <f>INDEX(estacas[],MATCH(ECF[[#This Row],[Ø (cm)]],estacas[Ø ECF (cm)],0),MATCH(ECF[[#Headers],[Pe ECF (kN)]],estacas[#Headers],0))</f>
        <v>12500</v>
      </c>
      <c r="I276" s="4">
        <f>INDEX(K_alpha_C[],MATCH(ECF[[#This Row],[Solo]],K_alpha_C[Solo],0),2)</f>
        <v>0.8</v>
      </c>
      <c r="J276" s="5">
        <f>INDEX(K_alpha_C[],MATCH(ECF[[#This Row],[Solo]],K_alpha_C[Solo],0),3)</f>
        <v>2</v>
      </c>
      <c r="K276" s="4">
        <f>INDEX(F1_F2[],MATCH($D$2,F1_F2[Tipo de estaca],0),2)</f>
        <v>3</v>
      </c>
      <c r="L276" s="4">
        <f>INDEX(F1_F2[],MATCH($D$2,F1_F2[Tipo de estaca],0),3)</f>
        <v>6</v>
      </c>
      <c r="M276" s="4">
        <f>PI()*(ECF[[#This Row],[Ø (cm)]]/100)^2/4</f>
        <v>3.1415926535897931</v>
      </c>
      <c r="N276" s="4">
        <f>PI()*ECF[[#This Row],[Ø (cm)]]/100</f>
        <v>6.2831853071795862</v>
      </c>
      <c r="O276" s="4">
        <f>IF(ECF[[#This Row],[Prof. (m)]]=0,0,ECF[[#This Row],[α (%)]]/100*ECF[[#This Row],[K (MPa)]]*1000*ECF[[#This Row],[NSPT]])</f>
        <v>272</v>
      </c>
      <c r="P276" s="4">
        <f>IF(ECF[[#This Row],[Prof. (m)]]=0,0,(ECF[[#This Row],[K (MPa)]]*1000*ECF[[#This Row],[NSPT]]/ECF[[#This Row],[F1]]*ECF[[#This Row],[Ap (m²)]]+ECF[[#This Row],[U (m)]]/ECF[[#This Row],[F2]]*SUMIFS(ECF[(α∙K∙NL∙ΔL)],ECF[Prof. (m)],"&lt;="&amp;ECF[[#This Row],[Prof. (m)]],ECF[idDiâmetro],ECF[[#This Row],[idDiâmetro]],ECF[idPilar],ECF[[#This Row],[idPilar]]))/'DADOS CAP. CARGA'!$D$2)</f>
        <v>7397.403501652766</v>
      </c>
      <c r="Q276" s="12">
        <f>INDEX(C_alpha_beta[],MATCH(ECF[[#This Row],[Solo]],C_alpha_beta[Solo],0),MATCH(ECF[[#Headers],[C (kPa)]],C_alpha_beta[#Headers],0))</f>
        <v>400</v>
      </c>
      <c r="R276" s="4">
        <f>INDEX(C_alpha_beta[],MATCH(ECF[[#This Row],[Solo]],C_alpha_beta[Solo],0),MATCH(ECF[[#Headers],[α ESF]],C_alpha_beta[#Headers],0))</f>
        <v>0.5</v>
      </c>
      <c r="S276" s="4">
        <f>INDEX(C_alpha_beta[],MATCH(ECF[[#This Row],[Solo]],C_alpha_beta[Solo],0),MATCH(ECF[[#Headers],[β ESF]],C_alpha_beta[#Headers],0))</f>
        <v>0.5</v>
      </c>
      <c r="T276" s="4">
        <f>IF(ECF[[#This Row],[Prof. (m)]]=0,0,10*(ECF[[#This Row],[NSPT]]/3+1))</f>
        <v>66.666666666666671</v>
      </c>
      <c r="U276" s="4">
        <f>(ECF[[#This Row],[α ESF]]*ECF[[#This Row],[C (kPa)]]*ECF[[#This Row],[NSPT]]*ECF[[#This Row],[Ap (m²)]])/'DADOS CAP. CARGA'!$Q$2+(ECF[[#This Row],[β ESF]]*SUMIFS(ECF[10∙(NL/3+1)],ECF[Prof. (m)],"&lt;="&amp;ECF[[#This Row],[Prof. (m)]],ECF[idDiâmetro],ECF[[#This Row],[idDiâmetro]],ECF[idPilar],ECF[[#This Row],[idPilar]])*ECF[[#This Row],[U (m)]])/'DADOS CAP. CARGA'!$S$2</f>
        <v>2921.6811678385075</v>
      </c>
      <c r="V276" s="4">
        <f>IF(SPT!$M$5=1,MIN(ECF[[#This Row],[Pe ECF (kN)]],ECF[[#This Row],[R_AV (kN)]]),IF(SPT!$M$5=2,MIN(ECF[[#This Row],[Pe ECF (kN)]],ECF[[#This Row],[R_DC (kN)]]),MIN(ECF[[#This Row],[Pe ECF (kN)]],ECF[[#This Row],[R_AV (kN)]],ECF[[#This Row],[R_DC (kN)]])))</f>
        <v>2921.6811678385075</v>
      </c>
      <c r="W276" s="4">
        <f>INDEX(PILARES[],ECF[[#This Row],[idPilar]],MATCH("Carga (kN)",PILARES[#Headers],0))*1.4</f>
        <v>1750</v>
      </c>
      <c r="X276" s="12">
        <f>INDEX(PILARES[],ECF[[#This Row],[idPilar]],MATCH(ECF[[#Headers],[ap (cm)]],PILARES[#Headers],0))</f>
        <v>50</v>
      </c>
      <c r="Y276" s="12">
        <f>INDEX(PILARES[],ECF[[#This Row],[idPilar]],MATCH(ECF[[#Headers],[bp (cm)]],PILARES[#Headers],0))</f>
        <v>40</v>
      </c>
      <c r="Z276" s="4">
        <f>SQRT(ECF[[#This Row],[ap (cm)]]*ECF[[#This Row],[bp (cm)]])</f>
        <v>44.721359549995796</v>
      </c>
      <c r="AA276" s="12">
        <f>ECF[[#This Row],[ap (cm)]]*ECF[[#This Row],[bp (cm)]]</f>
        <v>2000</v>
      </c>
      <c r="AB276" s="12">
        <f ca="1">IF(ECF[[#This Row],[Padm∙ε (kN)]]&gt;=ECF[[#This Row],[Padm (kN)]],ROUNDUP(1.05*ECF[[#This Row],[Nsd (kN)]]/ECF[[#This Row],[Padm (kN)]],0),ROUNDUP(1.05*ECF[[#This Row],[Nsd (kN)]]/ECF[[#This Row],[Padm (kN)]],0)+1)</f>
        <v>1</v>
      </c>
      <c r="AC276" s="4">
        <f ca="1">IFERROR(IF(ECF[[#This Row],[nE]]=1,ECF[[#This Row],[Padm (kN)]],ECF[[#This Row],[Padm (kN)]]*ECF[[#This Row],[nE]]*INDEX(grupoEstacas[],ECF[[#This Row],[nE]],MATCH("ε",grupoEstacas[#Headers],0))),"N.S.")</f>
        <v>2921.6811678385075</v>
      </c>
      <c r="AD276" s="4">
        <f ca="1">1.05*ECF[[#This Row],[Nsd (kN)]]/(ECF[[#This Row],[nE]]*PI()*ECF[[#This Row],[Ø (cm)]]^2/4)*10</f>
        <v>0.5848944158627154</v>
      </c>
      <c r="AE276" s="4">
        <f ca="1">IF(ECF[[#This Row],[σ (MPa)]]&lt;INDEX(tipoEstaca[],MATCH($D$2,tipoEstaca[TIPO DE ESTACA],0),MATCH("σmáx (MPa)",tipoEstaca[#Headers],0)),0.4%*PI()*ECF[[#This Row],[Ø (cm)]]^2/4,"N.S.")</f>
        <v>125.66370614359174</v>
      </c>
      <c r="AF276" s="82">
        <f>INDEX(tipoEstaca[],MATCH($D$2,tipoEstaca[TIPO DE ESTACA],0),MATCH(ECF[[#Headers],[Comprimento (m)]],tipoEstaca[#Headers],0))</f>
        <v>4</v>
      </c>
      <c r="AG276" s="5">
        <f ca="1">ECF[[#This Row],[As,mín (cm²)]]/100^2*ECF[[#This Row],[Comprimento (m)]]*7850</f>
        <v>394.58403729087803</v>
      </c>
      <c r="AH276" s="4">
        <f ca="1">ECF[[#This Row],[nE]]*ECF[[#This Row],[Prof. (m)]]*ECF[[#This Row],[Ap (m²)]]</f>
        <v>15.707963267948966</v>
      </c>
      <c r="AI276" s="82">
        <f ca="1">IF(ECF[[#This Row],[nE]]=1,0,MAX(3*ECF[[#This Row],[Ø (cm)]],60))</f>
        <v>0</v>
      </c>
      <c r="AJ276" s="82">
        <f ca="1">IF(ECF[[#This Row],[nE]]=1,ECF[[#This Row],[Ø (cm)]]+2*10,MAX(1.5*ECF[[#This Row],[Ø (cm)]],ECF[[#This Row],[Ø (cm)]]+15))</f>
        <v>220</v>
      </c>
      <c r="AK276" s="82">
        <f ca="1">alturaUtil(ECF[[#This Row],[nE]],ECF[[#This Row],[Ø (cm)]],ECF[[#This Row],[e (cm)]],ECF[[#This Row],[ap,eq (cm)]])</f>
        <v>240</v>
      </c>
      <c r="AL276" s="82">
        <f ca="1">IFERROR(ECF[[#This Row],[d (cm)]]+arredondarParaCimaMultiplo5cm(MAX(5,SQRT(PI())/2*ECF[[#This Row],[Ø (cm)]]/5)),"N.S.")</f>
        <v>280</v>
      </c>
      <c r="AM276" s="5">
        <f ca="1">alpha(ECF[[#This Row],[nE]],ECF[[#This Row],[d (cm)]],ECF[[#This Row],[e (cm)]],ECF[[#This Row],[ap,eq (cm)]])</f>
        <v>90</v>
      </c>
      <c r="AN276" s="35">
        <f ca="1">IFERROR(ECF[[#This Row],[Nsd (kN)]]/(ECF[[#This Row],[Ap (cm²)]]*SIN(ECF[[#This Row],[α]])^2),"N.S.")</f>
        <v>1.0948037013095111</v>
      </c>
      <c r="AO276" s="35">
        <f ca="1">IFERROR(ECF[[#This Row],[Nsd (kN)]]/(ECF[[#This Row],[nE]]*PI()*ECF[[#This Row],[Ø (cm)]]^2/4*SIN(ECF[[#This Row],[α]])^2),"N.S.")</f>
        <v>6.9697368311484653E-2</v>
      </c>
      <c r="AP276" s="4">
        <f ca="1">IFERROR(INDEX(grupoEstacas[],ECF[[#This Row],[nE]],MATCH("coef. Blévot",grupoEstacas[#Headers],0)),"N.S.")</f>
        <v>1</v>
      </c>
      <c r="AQ276" s="35">
        <f ca="1">IFERROR(ECF[[#This Row],[coef. Blévot]]*0.9*INDEX(tipoEstaca[],MATCH($D$2,tipoEstaca[TIPO DE ESTACA],0),MATCH("fcd (kN/cm²)",tipoEstaca[#Headers],0)),"N.S.")</f>
        <v>1</v>
      </c>
      <c r="AR276" s="82" t="str">
        <f ca="1">IF(AND(ECF[[#This Row],[cd,b,pil (kN/cm²)]]&lt;=ECF[[#This Row],[cd,b,lim (kN/cm²)]],ECF[[#This Row],[cd,b,est (kN/cm²)]]&lt;=ECF[[#This Row],[cd,b,lim (kN/cm²)]]),"OK","ERRO")</f>
        <v>ERRO</v>
      </c>
      <c r="AS276" s="4">
        <f ca="1">As_lado(ECF[[#This Row],[nE]],ECF[[#This Row],[Nsd (kN)]],ECF[[#This Row],[d (cm)]],ECF[[#This Row],[e (cm)]],ECF[[#This Row],[ap,eq (cm)]])</f>
        <v>10.0625</v>
      </c>
      <c r="AT276" s="4">
        <f ca="1">IF(ECF[[#This Row],[nE]]=1,ECF[[#This Row],[As,lado (cm²)]],IF(ECF[[#This Row],[nE]]=2,0.075*2*ECF[a (cm)],"N.A."))</f>
        <v>10.0625</v>
      </c>
      <c r="AU276" s="4" t="str">
        <f ca="1">IFERROR(IF(ECF[[#This Row],[nE]]=1,"N.A.",0.2*ECF[[#This Row],[As,lado (cm²)]]),"N.S.")</f>
        <v>N.A.</v>
      </c>
      <c r="AV276" s="4" t="str">
        <f ca="1">As_malha(ECF[[#This Row],[nE]],ECF[[#This Row],[As,lado (cm²)]],ECF[[#This Row],[Nsd (kN)]])</f>
        <v>N.A.</v>
      </c>
      <c r="AW276" s="4" t="str">
        <f ca="1">As_susp_tot(ECF[[#This Row],[nE]],ECF[[#This Row],[Nsd (kN)]])</f>
        <v>N.A.</v>
      </c>
      <c r="AX276" s="4" t="str">
        <f ca="1">Asp_face(ECF[[#This Row],[nE]],ECF[[#This Row],[As,lado (cm²)]])</f>
        <v>N.A.</v>
      </c>
      <c r="AY276" s="5">
        <f ca="1">acoBloco(ECF[[#This Row],[nE]],ECF[[#This Row],[e (cm)]],ECF[[#This Row],[a (cm)]],ECF[[#This Row],[h (cm)]],ECF[[#This Row],[As,lado (cm²)]],ECF[[#This Row],[Asp e Asw (cm²/m)]],ECF[[#This Row],[As,sup (cm²)]],ECF[[#This Row],[As,malha (cm²)]],ECF[[#This Row],[As,susp,tot (cm²)]],ECF[[#This Row],[Asp,face (cm²)]])</f>
        <v>227.49299999999999</v>
      </c>
      <c r="AZ276" s="4">
        <f ca="1">concretoBloco(ECF[[#This Row],[nE]],ECF[[#This Row],[e (cm)]],ECF[[#This Row],[a (cm)]],ECF[[#This Row],[h (cm)]])</f>
        <v>13.552</v>
      </c>
      <c r="BA276" s="5">
        <f ca="1">SUM(ECF[[#This Row],[Aço Est (kg)]],ECF[[#This Row],[Aço Bloco (kg)]])</f>
        <v>622.07703729087802</v>
      </c>
      <c r="BB276" s="4">
        <f>INDEX(composicoes[],MATCH(95580,composicoes[CÓDIGO],0),MATCH("CUSTO TOTAL",composicoes[#Headers],0))</f>
        <v>10.46</v>
      </c>
      <c r="BC276" s="4">
        <f ca="1">SUM(ECF[[#This Row],[Conc Est (m³)]],ECF[[#This Row],[Conc Bloco (m³)]])</f>
        <v>29.259963267948965</v>
      </c>
      <c r="BD276" s="4">
        <f>INDEX(composicoes[],MATCH(94966,composicoes[CÓDIGO],0),MATCH("CUSTO TOTAL",composicoes[#Headers],0))</f>
        <v>439.52</v>
      </c>
      <c r="BE276" s="38">
        <f ca="1">ECF[[#This Row],[Aço (kg)]]*ECF[[#This Row],[Aço (R$/kg)]]+ECF[[#This Row],[Conc (m³)]]*ECF[[#This Row],[Conc (R$/m³)]]</f>
        <v>19367.264865591511</v>
      </c>
      <c r="BF276" s="4" t="str">
        <f ca="1">IF(COUNTIF(ECF[#This Row],"N.S.")&gt;0,"lim.","OK")</f>
        <v>OK</v>
      </c>
      <c r="BG276" s="4" t="str">
        <f>IF(ECF[[#This Row],[Prof. (m)]]&lt;4,"lim.","OK")</f>
        <v>OK</v>
      </c>
      <c r="BH276" s="4" t="str">
        <f>IF(ECF[[#This Row],[Prof. (m)]]&gt;=8*ECF[[#This Row],[Ø (cm)]]/100,"OK","lim.")</f>
        <v>lim.</v>
      </c>
      <c r="BI276" s="4" t="str">
        <f>IF(AND(SPT!$F$3&lt;&gt;"",ECF[[#This Row],[Prof. (m)]]&gt;=SPT!$F$3-2),"lim.","OK")</f>
        <v>OK</v>
      </c>
      <c r="BJ276" s="4" t="str">
        <f ca="1">IF(ECF[[#This Row],[Verif. Biela]]="OK","OK","lim.")</f>
        <v>lim.</v>
      </c>
      <c r="BK276" s="4" t="str">
        <f ca="1">IF(COUNTA(ECF[[#This Row],[Nº Est.]:[Biela comp.]])=COUNTIF(ECF[[#This Row],[Nº Est.]:[Biela comp.]],"OK"),"OK","lim.")</f>
        <v>lim.</v>
      </c>
      <c r="BL276" s="4" t="str">
        <f ca="1">IF(ECF[[#This Row],[Controle]]="OK",ECF[[#This Row],[nE]]&amp;" Ø "&amp;ECF[[#This Row],[Ø (cm)]]&amp;" cm, Prof. "&amp;ECF[[#This Row],[Prof. (m)]]&amp;" m","")</f>
        <v/>
      </c>
      <c r="BM276" s="4" t="str">
        <f ca="1">IF(ECF[[#This Row],[idDimensionamento]]="","",ECF[[#This Row],[idPilar]]&amp;ECF[[#This Row],[idDimensionamento]])</f>
        <v/>
      </c>
    </row>
    <row r="277" spans="2:65" x14ac:dyDescent="0.25">
      <c r="B277" s="12">
        <f>ROUNDUP((ROW(ECF[[#This Row],[idDiâmetro]])-ROW(ECF[[#Headers],[idDiâmetro]]))/(COUNT(SPT[Prof. (m)])*COUNT(PILARES[Pilar])),0)</f>
        <v>10</v>
      </c>
      <c r="C277" s="12">
        <f>IF(ECF[[#This Row],[idDiâmetro]]&lt;&gt;B276,1,IF(ECF[[#This Row],[Prof. (m)]]=0,C276+1,C276))</f>
        <v>2</v>
      </c>
      <c r="D277" s="82">
        <f>IFERROR(IF(D276=MAX(SPT[Prof. (m)]),0,D276+1),0)</f>
        <v>6</v>
      </c>
      <c r="E277" s="82">
        <f>INDEX(SPT[],MATCH(ECF[[#This Row],[Prof. (m)]],SPT[Prof. (m)],0),2)</f>
        <v>21</v>
      </c>
      <c r="F277" s="82" t="str">
        <f>INDEX(SPT[],MATCH(ECF[[#This Row],[Prof. (m)]],SPT[Prof. (m)],0),3)</f>
        <v>Silte arenoso</v>
      </c>
      <c r="G277" s="82">
        <f>INDEX(estacas[],ECF[[#This Row],[idDiâmetro]],MATCH($B$2,estacas[#Headers],0))</f>
        <v>200</v>
      </c>
      <c r="H277" s="82">
        <f>INDEX(estacas[],MATCH(ECF[[#This Row],[Ø (cm)]],estacas[Ø ECF (cm)],0),MATCH(ECF[[#Headers],[Pe ECF (kN)]],estacas[#Headers],0))</f>
        <v>12500</v>
      </c>
      <c r="I277" s="4">
        <f>INDEX(K_alpha_C[],MATCH(ECF[[#This Row],[Solo]],K_alpha_C[Solo],0),2)</f>
        <v>0.55000000000000004</v>
      </c>
      <c r="J277" s="5">
        <f>INDEX(K_alpha_C[],MATCH(ECF[[#This Row],[Solo]],K_alpha_C[Solo],0),3)</f>
        <v>2.2000000000000002</v>
      </c>
      <c r="K277" s="4">
        <f>INDEX(F1_F2[],MATCH($D$2,F1_F2[Tipo de estaca],0),2)</f>
        <v>3</v>
      </c>
      <c r="L277" s="4">
        <f>INDEX(F1_F2[],MATCH($D$2,F1_F2[Tipo de estaca],0),3)</f>
        <v>6</v>
      </c>
      <c r="M277" s="4">
        <f>PI()*(ECF[[#This Row],[Ø (cm)]]/100)^2/4</f>
        <v>3.1415926535897931</v>
      </c>
      <c r="N277" s="4">
        <f>PI()*ECF[[#This Row],[Ø (cm)]]/100</f>
        <v>6.2831853071795862</v>
      </c>
      <c r="O277" s="4">
        <f>IF(ECF[[#This Row],[Prof. (m)]]=0,0,ECF[[#This Row],[α (%)]]/100*ECF[[#This Row],[K (MPa)]]*1000*ECF[[#This Row],[NSPT]])</f>
        <v>254.10000000000002</v>
      </c>
      <c r="P277" s="4">
        <f>IF(ECF[[#This Row],[Prof. (m)]]=0,0,(ECF[[#This Row],[K (MPa)]]*1000*ECF[[#This Row],[NSPT]]/ECF[[#This Row],[F1]]*ECF[[#This Row],[Ap (m²)]]+ECF[[#This Row],[U (m)]]/ECF[[#This Row],[F2]]*SUMIFS(ECF[(α∙K∙NL∙ΔL)],ECF[Prof. (m)],"&lt;="&amp;ECF[[#This Row],[Prof. (m)]],ECF[idDiâmetro],ECF[[#This Row],[idDiâmetro]],ECF[idPilar],ECF[[#This Row],[idPilar]]))/'DADOS CAP. CARGA'!$D$2)</f>
        <v>6457.0724605557816</v>
      </c>
      <c r="Q277" s="12">
        <f>INDEX(C_alpha_beta[],MATCH(ECF[[#This Row],[Solo]],C_alpha_beta[Solo],0),MATCH(ECF[[#Headers],[C (kPa)]],C_alpha_beta[#Headers],0))</f>
        <v>250</v>
      </c>
      <c r="R277" s="4">
        <f>INDEX(C_alpha_beta[],MATCH(ECF[[#This Row],[Solo]],C_alpha_beta[Solo],0),MATCH(ECF[[#Headers],[α ESF]],C_alpha_beta[#Headers],0))</f>
        <v>0.6</v>
      </c>
      <c r="S277" s="4">
        <f>INDEX(C_alpha_beta[],MATCH(ECF[[#This Row],[Solo]],C_alpha_beta[Solo],0),MATCH(ECF[[#Headers],[β ESF]],C_alpha_beta[#Headers],0))</f>
        <v>0.65</v>
      </c>
      <c r="T277" s="4">
        <f>IF(ECF[[#This Row],[Prof. (m)]]=0,0,10*(ECF[[#This Row],[NSPT]]/3+1))</f>
        <v>80</v>
      </c>
      <c r="U277" s="4">
        <f>(ECF[[#This Row],[α ESF]]*ECF[[#This Row],[C (kPa)]]*ECF[[#This Row],[NSPT]]*ECF[[#This Row],[Ap (m²)]])/'DADOS CAP. CARGA'!$Q$2+(ECF[[#This Row],[β ESF]]*SUMIFS(ECF[10∙(NL/3+1)],ECF[Prof. (m)],"&lt;="&amp;ECF[[#This Row],[Prof. (m)]],ECF[idDiâmetro],ECF[[#This Row],[idDiâmetro]],ECF[idPilar],ECF[[#This Row],[idPilar]])*ECF[[#This Row],[U (m)]])/'DADOS CAP. CARGA'!$S$2</f>
        <v>2964.09266866197</v>
      </c>
      <c r="V277" s="4">
        <f>IF(SPT!$M$5=1,MIN(ECF[[#This Row],[Pe ECF (kN)]],ECF[[#This Row],[R_AV (kN)]]),IF(SPT!$M$5=2,MIN(ECF[[#This Row],[Pe ECF (kN)]],ECF[[#This Row],[R_DC (kN)]]),MIN(ECF[[#This Row],[Pe ECF (kN)]],ECF[[#This Row],[R_AV (kN)]],ECF[[#This Row],[R_DC (kN)]])))</f>
        <v>2964.09266866197</v>
      </c>
      <c r="W277" s="4">
        <f>INDEX(PILARES[],ECF[[#This Row],[idPilar]],MATCH("Carga (kN)",PILARES[#Headers],0))*1.4</f>
        <v>1750</v>
      </c>
      <c r="X277" s="12">
        <f>INDEX(PILARES[],ECF[[#This Row],[idPilar]],MATCH(ECF[[#Headers],[ap (cm)]],PILARES[#Headers],0))</f>
        <v>50</v>
      </c>
      <c r="Y277" s="12">
        <f>INDEX(PILARES[],ECF[[#This Row],[idPilar]],MATCH(ECF[[#Headers],[bp (cm)]],PILARES[#Headers],0))</f>
        <v>40</v>
      </c>
      <c r="Z277" s="4">
        <f>SQRT(ECF[[#This Row],[ap (cm)]]*ECF[[#This Row],[bp (cm)]])</f>
        <v>44.721359549995796</v>
      </c>
      <c r="AA277" s="12">
        <f>ECF[[#This Row],[ap (cm)]]*ECF[[#This Row],[bp (cm)]]</f>
        <v>2000</v>
      </c>
      <c r="AB277" s="12">
        <f ca="1">IF(ECF[[#This Row],[Padm∙ε (kN)]]&gt;=ECF[[#This Row],[Padm (kN)]],ROUNDUP(1.05*ECF[[#This Row],[Nsd (kN)]]/ECF[[#This Row],[Padm (kN)]],0),ROUNDUP(1.05*ECF[[#This Row],[Nsd (kN)]]/ECF[[#This Row],[Padm (kN)]],0)+1)</f>
        <v>1</v>
      </c>
      <c r="AC277" s="4">
        <f ca="1">IFERROR(IF(ECF[[#This Row],[nE]]=1,ECF[[#This Row],[Padm (kN)]],ECF[[#This Row],[Padm (kN)]]*ECF[[#This Row],[nE]]*INDEX(grupoEstacas[],ECF[[#This Row],[nE]],MATCH("ε",grupoEstacas[#Headers],0))),"N.S.")</f>
        <v>2964.09266866197</v>
      </c>
      <c r="AD277" s="4">
        <f ca="1">1.05*ECF[[#This Row],[Nsd (kN)]]/(ECF[[#This Row],[nE]]*PI()*ECF[[#This Row],[Ø (cm)]]^2/4)*10</f>
        <v>0.5848944158627154</v>
      </c>
      <c r="AE277" s="4">
        <f ca="1">IF(ECF[[#This Row],[σ (MPa)]]&lt;INDEX(tipoEstaca[],MATCH($D$2,tipoEstaca[TIPO DE ESTACA],0),MATCH("σmáx (MPa)",tipoEstaca[#Headers],0)),0.4%*PI()*ECF[[#This Row],[Ø (cm)]]^2/4,"N.S.")</f>
        <v>125.66370614359174</v>
      </c>
      <c r="AF277" s="82">
        <f>INDEX(tipoEstaca[],MATCH($D$2,tipoEstaca[TIPO DE ESTACA],0),MATCH(ECF[[#Headers],[Comprimento (m)]],tipoEstaca[#Headers],0))</f>
        <v>4</v>
      </c>
      <c r="AG277" s="5">
        <f ca="1">ECF[[#This Row],[As,mín (cm²)]]/100^2*ECF[[#This Row],[Comprimento (m)]]*7850</f>
        <v>394.58403729087803</v>
      </c>
      <c r="AH277" s="4">
        <f ca="1">ECF[[#This Row],[nE]]*ECF[[#This Row],[Prof. (m)]]*ECF[[#This Row],[Ap (m²)]]</f>
        <v>18.849555921538759</v>
      </c>
      <c r="AI277" s="82">
        <f ca="1">IF(ECF[[#This Row],[nE]]=1,0,MAX(3*ECF[[#This Row],[Ø (cm)]],60))</f>
        <v>0</v>
      </c>
      <c r="AJ277" s="82">
        <f ca="1">IF(ECF[[#This Row],[nE]]=1,ECF[[#This Row],[Ø (cm)]]+2*10,MAX(1.5*ECF[[#This Row],[Ø (cm)]],ECF[[#This Row],[Ø (cm)]]+15))</f>
        <v>220</v>
      </c>
      <c r="AK277" s="82">
        <f ca="1">alturaUtil(ECF[[#This Row],[nE]],ECF[[#This Row],[Ø (cm)]],ECF[[#This Row],[e (cm)]],ECF[[#This Row],[ap,eq (cm)]])</f>
        <v>240</v>
      </c>
      <c r="AL277" s="82">
        <f ca="1">IFERROR(ECF[[#This Row],[d (cm)]]+arredondarParaCimaMultiplo5cm(MAX(5,SQRT(PI())/2*ECF[[#This Row],[Ø (cm)]]/5)),"N.S.")</f>
        <v>280</v>
      </c>
      <c r="AM277" s="5">
        <f ca="1">alpha(ECF[[#This Row],[nE]],ECF[[#This Row],[d (cm)]],ECF[[#This Row],[e (cm)]],ECF[[#This Row],[ap,eq (cm)]])</f>
        <v>90</v>
      </c>
      <c r="AN277" s="35">
        <f ca="1">IFERROR(ECF[[#This Row],[Nsd (kN)]]/(ECF[[#This Row],[Ap (cm²)]]*SIN(ECF[[#This Row],[α]])^2),"N.S.")</f>
        <v>1.0948037013095111</v>
      </c>
      <c r="AO277" s="35">
        <f ca="1">IFERROR(ECF[[#This Row],[Nsd (kN)]]/(ECF[[#This Row],[nE]]*PI()*ECF[[#This Row],[Ø (cm)]]^2/4*SIN(ECF[[#This Row],[α]])^2),"N.S.")</f>
        <v>6.9697368311484653E-2</v>
      </c>
      <c r="AP277" s="4">
        <f ca="1">IFERROR(INDEX(grupoEstacas[],ECF[[#This Row],[nE]],MATCH("coef. Blévot",grupoEstacas[#Headers],0)),"N.S.")</f>
        <v>1</v>
      </c>
      <c r="AQ277" s="35">
        <f ca="1">IFERROR(ECF[[#This Row],[coef. Blévot]]*0.9*INDEX(tipoEstaca[],MATCH($D$2,tipoEstaca[TIPO DE ESTACA],0),MATCH("fcd (kN/cm²)",tipoEstaca[#Headers],0)),"N.S.")</f>
        <v>1</v>
      </c>
      <c r="AR277" s="82" t="str">
        <f ca="1">IF(AND(ECF[[#This Row],[cd,b,pil (kN/cm²)]]&lt;=ECF[[#This Row],[cd,b,lim (kN/cm²)]],ECF[[#This Row],[cd,b,est (kN/cm²)]]&lt;=ECF[[#This Row],[cd,b,lim (kN/cm²)]]),"OK","ERRO")</f>
        <v>ERRO</v>
      </c>
      <c r="AS277" s="4">
        <f ca="1">As_lado(ECF[[#This Row],[nE]],ECF[[#This Row],[Nsd (kN)]],ECF[[#This Row],[d (cm)]],ECF[[#This Row],[e (cm)]],ECF[[#This Row],[ap,eq (cm)]])</f>
        <v>10.0625</v>
      </c>
      <c r="AT277" s="4">
        <f ca="1">IF(ECF[[#This Row],[nE]]=1,ECF[[#This Row],[As,lado (cm²)]],IF(ECF[[#This Row],[nE]]=2,0.075*2*ECF[a (cm)],"N.A."))</f>
        <v>10.0625</v>
      </c>
      <c r="AU277" s="4" t="str">
        <f ca="1">IFERROR(IF(ECF[[#This Row],[nE]]=1,"N.A.",0.2*ECF[[#This Row],[As,lado (cm²)]]),"N.S.")</f>
        <v>N.A.</v>
      </c>
      <c r="AV277" s="4" t="str">
        <f ca="1">As_malha(ECF[[#This Row],[nE]],ECF[[#This Row],[As,lado (cm²)]],ECF[[#This Row],[Nsd (kN)]])</f>
        <v>N.A.</v>
      </c>
      <c r="AW277" s="4" t="str">
        <f ca="1">As_susp_tot(ECF[[#This Row],[nE]],ECF[[#This Row],[Nsd (kN)]])</f>
        <v>N.A.</v>
      </c>
      <c r="AX277" s="4" t="str">
        <f ca="1">Asp_face(ECF[[#This Row],[nE]],ECF[[#This Row],[As,lado (cm²)]])</f>
        <v>N.A.</v>
      </c>
      <c r="AY277" s="5">
        <f ca="1">acoBloco(ECF[[#This Row],[nE]],ECF[[#This Row],[e (cm)]],ECF[[#This Row],[a (cm)]],ECF[[#This Row],[h (cm)]],ECF[[#This Row],[As,lado (cm²)]],ECF[[#This Row],[Asp e Asw (cm²/m)]],ECF[[#This Row],[As,sup (cm²)]],ECF[[#This Row],[As,malha (cm²)]],ECF[[#This Row],[As,susp,tot (cm²)]],ECF[[#This Row],[Asp,face (cm²)]])</f>
        <v>227.49299999999999</v>
      </c>
      <c r="AZ277" s="4">
        <f ca="1">concretoBloco(ECF[[#This Row],[nE]],ECF[[#This Row],[e (cm)]],ECF[[#This Row],[a (cm)]],ECF[[#This Row],[h (cm)]])</f>
        <v>13.552</v>
      </c>
      <c r="BA277" s="5">
        <f ca="1">SUM(ECF[[#This Row],[Aço Est (kg)]],ECF[[#This Row],[Aço Bloco (kg)]])</f>
        <v>622.07703729087802</v>
      </c>
      <c r="BB277" s="4">
        <f>INDEX(composicoes[],MATCH(95580,composicoes[CÓDIGO],0),MATCH("CUSTO TOTAL",composicoes[#Headers],0))</f>
        <v>10.46</v>
      </c>
      <c r="BC277" s="4">
        <f ca="1">SUM(ECF[[#This Row],[Conc Est (m³)]],ECF[[#This Row],[Conc Bloco (m³)]])</f>
        <v>32.401555921538758</v>
      </c>
      <c r="BD277" s="4">
        <f>INDEX(composicoes[],MATCH(94966,composicoes[CÓDIGO],0),MATCH("CUSTO TOTAL",composicoes[#Headers],0))</f>
        <v>439.52</v>
      </c>
      <c r="BE277" s="38">
        <f ca="1">ECF[[#This Row],[Aço (kg)]]*ECF[[#This Row],[Aço (R$/kg)]]+ECF[[#This Row],[Conc (m³)]]*ECF[[#This Row],[Conc (R$/m³)]]</f>
        <v>20748.0576686973</v>
      </c>
      <c r="BF277" s="4" t="str">
        <f ca="1">IF(COUNTIF(ECF[#This Row],"N.S.")&gt;0,"lim.","OK")</f>
        <v>OK</v>
      </c>
      <c r="BG277" s="4" t="str">
        <f>IF(ECF[[#This Row],[Prof. (m)]]&lt;4,"lim.","OK")</f>
        <v>OK</v>
      </c>
      <c r="BH277" s="4" t="str">
        <f>IF(ECF[[#This Row],[Prof. (m)]]&gt;=8*ECF[[#This Row],[Ø (cm)]]/100,"OK","lim.")</f>
        <v>lim.</v>
      </c>
      <c r="BI277" s="4" t="str">
        <f>IF(AND(SPT!$F$3&lt;&gt;"",ECF[[#This Row],[Prof. (m)]]&gt;=SPT!$F$3-2),"lim.","OK")</f>
        <v>OK</v>
      </c>
      <c r="BJ277" s="4" t="str">
        <f ca="1">IF(ECF[[#This Row],[Verif. Biela]]="OK","OK","lim.")</f>
        <v>lim.</v>
      </c>
      <c r="BK277" s="4" t="str">
        <f ca="1">IF(COUNTA(ECF[[#This Row],[Nº Est.]:[Biela comp.]])=COUNTIF(ECF[[#This Row],[Nº Est.]:[Biela comp.]],"OK"),"OK","lim.")</f>
        <v>lim.</v>
      </c>
      <c r="BL277" s="4" t="str">
        <f ca="1">IF(ECF[[#This Row],[Controle]]="OK",ECF[[#This Row],[nE]]&amp;" Ø "&amp;ECF[[#This Row],[Ø (cm)]]&amp;" cm, Prof. "&amp;ECF[[#This Row],[Prof. (m)]]&amp;" m","")</f>
        <v/>
      </c>
      <c r="BM277" s="4" t="str">
        <f ca="1">IF(ECF[[#This Row],[idDimensionamento]]="","",ECF[[#This Row],[idPilar]]&amp;ECF[[#This Row],[idDimensionamento]])</f>
        <v/>
      </c>
    </row>
    <row r="278" spans="2:65" x14ac:dyDescent="0.25">
      <c r="B278" s="12">
        <f>ROUNDUP((ROW(ECF[[#This Row],[idDiâmetro]])-ROW(ECF[[#Headers],[idDiâmetro]]))/(COUNT(SPT[Prof. (m)])*COUNT(PILARES[Pilar])),0)</f>
        <v>10</v>
      </c>
      <c r="C278" s="12">
        <f>IF(ECF[[#This Row],[idDiâmetro]]&lt;&gt;B277,1,IF(ECF[[#This Row],[Prof. (m)]]=0,C277+1,C277))</f>
        <v>2</v>
      </c>
      <c r="D278" s="82">
        <f>IFERROR(IF(D277=MAX(SPT[Prof. (m)]),0,D277+1),0)</f>
        <v>7</v>
      </c>
      <c r="E278" s="82">
        <f>INDEX(SPT[],MATCH(ECF[[#This Row],[Prof. (m)]],SPT[Prof. (m)],0),2)</f>
        <v>8</v>
      </c>
      <c r="F278" s="82" t="str">
        <f>INDEX(SPT[],MATCH(ECF[[#This Row],[Prof. (m)]],SPT[Prof. (m)],0),3)</f>
        <v>Silte arenoso</v>
      </c>
      <c r="G278" s="82">
        <f>INDEX(estacas[],ECF[[#This Row],[idDiâmetro]],MATCH($B$2,estacas[#Headers],0))</f>
        <v>200</v>
      </c>
      <c r="H278" s="82">
        <f>INDEX(estacas[],MATCH(ECF[[#This Row],[Ø (cm)]],estacas[Ø ECF (cm)],0),MATCH(ECF[[#Headers],[Pe ECF (kN)]],estacas[#Headers],0))</f>
        <v>12500</v>
      </c>
      <c r="I278" s="4">
        <f>INDEX(K_alpha_C[],MATCH(ECF[[#This Row],[Solo]],K_alpha_C[Solo],0),2)</f>
        <v>0.55000000000000004</v>
      </c>
      <c r="J278" s="5">
        <f>INDEX(K_alpha_C[],MATCH(ECF[[#This Row],[Solo]],K_alpha_C[Solo],0),3)</f>
        <v>2.2000000000000002</v>
      </c>
      <c r="K278" s="4">
        <f>INDEX(F1_F2[],MATCH($D$2,F1_F2[Tipo de estaca],0),2)</f>
        <v>3</v>
      </c>
      <c r="L278" s="4">
        <f>INDEX(F1_F2[],MATCH($D$2,F1_F2[Tipo de estaca],0),3)</f>
        <v>6</v>
      </c>
      <c r="M278" s="4">
        <f>PI()*(ECF[[#This Row],[Ø (cm)]]/100)^2/4</f>
        <v>3.1415926535897931</v>
      </c>
      <c r="N278" s="4">
        <f>PI()*ECF[[#This Row],[Ø (cm)]]/100</f>
        <v>6.2831853071795862</v>
      </c>
      <c r="O278" s="4">
        <f>IF(ECF[[#This Row],[Prof. (m)]]=0,0,ECF[[#This Row],[α (%)]]/100*ECF[[#This Row],[K (MPa)]]*1000*ECF[[#This Row],[NSPT]])</f>
        <v>96.800000000000011</v>
      </c>
      <c r="P278" s="4">
        <f>IF(ECF[[#This Row],[Prof. (m)]]=0,0,(ECF[[#This Row],[K (MPa)]]*1000*ECF[[#This Row],[NSPT]]/ECF[[#This Row],[F1]]*ECF[[#This Row],[Ap (m²)]]+ECF[[#This Row],[U (m)]]/ECF[[#This Row],[F2]]*SUMIFS(ECF[(α∙K∙NL∙ΔL)],ECF[Prof. (m)],"&lt;="&amp;ECF[[#This Row],[Prof. (m)]],ECF[idDiâmetro],ECF[[#This Row],[idDiâmetro]],ECF[idPilar],ECF[[#This Row],[idPilar]]))/'DADOS CAP. CARGA'!$D$2)</f>
        <v>2764.02557650586</v>
      </c>
      <c r="Q278" s="12">
        <f>INDEX(C_alpha_beta[],MATCH(ECF[[#This Row],[Solo]],C_alpha_beta[Solo],0),MATCH(ECF[[#Headers],[C (kPa)]],C_alpha_beta[#Headers],0))</f>
        <v>250</v>
      </c>
      <c r="R278" s="4">
        <f>INDEX(C_alpha_beta[],MATCH(ECF[[#This Row],[Solo]],C_alpha_beta[Solo],0),MATCH(ECF[[#Headers],[α ESF]],C_alpha_beta[#Headers],0))</f>
        <v>0.6</v>
      </c>
      <c r="S278" s="4">
        <f>INDEX(C_alpha_beta[],MATCH(ECF[[#This Row],[Solo]],C_alpha_beta[Solo],0),MATCH(ECF[[#Headers],[β ESF]],C_alpha_beta[#Headers],0))</f>
        <v>0.65</v>
      </c>
      <c r="T278" s="4">
        <f>IF(ECF[[#This Row],[Prof. (m)]]=0,0,10*(ECF[[#This Row],[NSPT]]/3+1))</f>
        <v>36.666666666666664</v>
      </c>
      <c r="U278" s="4">
        <f>(ECF[[#This Row],[α ESF]]*ECF[[#This Row],[C (kPa)]]*ECF[[#This Row],[NSPT]]*ECF[[#This Row],[Ap (m²)]])/'DADOS CAP. CARGA'!$Q$2+(ECF[[#This Row],[β ESF]]*SUMIFS(ECF[10∙(NL/3+1)],ECF[Prof. (m)],"&lt;="&amp;ECF[[#This Row],[Prof. (m)]],ECF[idDiâmetro],ECF[[#This Row],[idDiâmetro]],ECF[idPilar],ECF[[#This Row],[idPilar]])*ECF[[#This Row],[U (m)]])/'DADOS CAP. CARGA'!$S$2</f>
        <v>1507.4408749475024</v>
      </c>
      <c r="V278" s="4">
        <f>IF(SPT!$M$5=1,MIN(ECF[[#This Row],[Pe ECF (kN)]],ECF[[#This Row],[R_AV (kN)]]),IF(SPT!$M$5=2,MIN(ECF[[#This Row],[Pe ECF (kN)]],ECF[[#This Row],[R_DC (kN)]]),MIN(ECF[[#This Row],[Pe ECF (kN)]],ECF[[#This Row],[R_AV (kN)]],ECF[[#This Row],[R_DC (kN)]])))</f>
        <v>1507.4408749475024</v>
      </c>
      <c r="W278" s="4">
        <f>INDEX(PILARES[],ECF[[#This Row],[idPilar]],MATCH("Carga (kN)",PILARES[#Headers],0))*1.4</f>
        <v>1750</v>
      </c>
      <c r="X278" s="12">
        <f>INDEX(PILARES[],ECF[[#This Row],[idPilar]],MATCH(ECF[[#Headers],[ap (cm)]],PILARES[#Headers],0))</f>
        <v>50</v>
      </c>
      <c r="Y278" s="12">
        <f>INDEX(PILARES[],ECF[[#This Row],[idPilar]],MATCH(ECF[[#Headers],[bp (cm)]],PILARES[#Headers],0))</f>
        <v>40</v>
      </c>
      <c r="Z278" s="4">
        <f>SQRT(ECF[[#This Row],[ap (cm)]]*ECF[[#This Row],[bp (cm)]])</f>
        <v>44.721359549995796</v>
      </c>
      <c r="AA278" s="12">
        <f>ECF[[#This Row],[ap (cm)]]*ECF[[#This Row],[bp (cm)]]</f>
        <v>2000</v>
      </c>
      <c r="AB278" s="12">
        <f ca="1">IF(ECF[[#This Row],[Padm∙ε (kN)]]&gt;=ECF[[#This Row],[Padm (kN)]],ROUNDUP(1.05*ECF[[#This Row],[Nsd (kN)]]/ECF[[#This Row],[Padm (kN)]],0),ROUNDUP(1.05*ECF[[#This Row],[Nsd (kN)]]/ECF[[#This Row],[Padm (kN)]],0)+1)</f>
        <v>2</v>
      </c>
      <c r="AC278" s="4">
        <f ca="1">IFERROR(IF(ECF[[#This Row],[nE]]=1,ECF[[#This Row],[Padm (kN)]],ECF[[#This Row],[Padm (kN)]]*ECF[[#This Row],[nE]]*INDEX(grupoEstacas[],ECF[[#This Row],[nE]],MATCH("ε",grupoEstacas[#Headers],0))),"N.S.")</f>
        <v>2826.4516405265667</v>
      </c>
      <c r="AD278" s="4">
        <f ca="1">1.05*ECF[[#This Row],[Nsd (kN)]]/(ECF[[#This Row],[nE]]*PI()*ECF[[#This Row],[Ø (cm)]]^2/4)*10</f>
        <v>0.2924472079313577</v>
      </c>
      <c r="AE278" s="4">
        <f ca="1">IF(ECF[[#This Row],[σ (MPa)]]&lt;INDEX(tipoEstaca[],MATCH($D$2,tipoEstaca[TIPO DE ESTACA],0),MATCH("σmáx (MPa)",tipoEstaca[#Headers],0)),0.4%*PI()*ECF[[#This Row],[Ø (cm)]]^2/4,"N.S.")</f>
        <v>125.66370614359174</v>
      </c>
      <c r="AF278" s="82">
        <f>INDEX(tipoEstaca[],MATCH($D$2,tipoEstaca[TIPO DE ESTACA],0),MATCH(ECF[[#Headers],[Comprimento (m)]],tipoEstaca[#Headers],0))</f>
        <v>4</v>
      </c>
      <c r="AG278" s="5">
        <f ca="1">ECF[[#This Row],[As,mín (cm²)]]/100^2*ECF[[#This Row],[Comprimento (m)]]*7850</f>
        <v>394.58403729087803</v>
      </c>
      <c r="AH278" s="4">
        <f ca="1">ECF[[#This Row],[nE]]*ECF[[#This Row],[Prof. (m)]]*ECF[[#This Row],[Ap (m²)]]</f>
        <v>43.982297150257104</v>
      </c>
      <c r="AI278" s="82">
        <f ca="1">IF(ECF[[#This Row],[nE]]=1,0,MAX(3*ECF[[#This Row],[Ø (cm)]],60))</f>
        <v>600</v>
      </c>
      <c r="AJ278" s="82">
        <f ca="1">IF(ECF[[#This Row],[nE]]=1,ECF[[#This Row],[Ø (cm)]]+2*10,MAX(1.5*ECF[[#This Row],[Ø (cm)]],ECF[[#This Row],[Ø (cm)]]+15))</f>
        <v>300</v>
      </c>
      <c r="AK278" s="82">
        <f ca="1">alturaUtil(ECF[[#This Row],[nE]],ECF[[#This Row],[Ø (cm)]],ECF[[#This Row],[e (cm)]],ECF[[#This Row],[ap,eq (cm)]])</f>
        <v>290</v>
      </c>
      <c r="AL278" s="82">
        <f ca="1">IFERROR(ECF[[#This Row],[d (cm)]]+arredondarParaCimaMultiplo5cm(MAX(5,SQRT(PI())/2*ECF[[#This Row],[Ø (cm)]]/5)),"N.S.")</f>
        <v>330</v>
      </c>
      <c r="AM278" s="5">
        <f ca="1">alpha(ECF[[#This Row],[nE]],ECF[[#This Row],[d (cm)]],ECF[[#This Row],[e (cm)]],ECF[[#This Row],[ap,eq (cm)]])</f>
        <v>45.116838464314299</v>
      </c>
      <c r="AN278" s="35">
        <f ca="1">IFERROR(ECF[[#This Row],[Nsd (kN)]]/(ECF[[#This Row],[Ap (cm²)]]*SIN(ECF[[#This Row],[α]])^2),"N.S.")</f>
        <v>1.0651856922928629</v>
      </c>
      <c r="AO278" s="35">
        <f ca="1">IFERROR(ECF[[#This Row],[Nsd (kN)]]/(ECF[[#This Row],[nE]]*PI()*ECF[[#This Row],[Ø (cm)]]^2/4*SIN(ECF[[#This Row],[α]])^2),"N.S.")</f>
        <v>3.3905913647834345E-2</v>
      </c>
      <c r="AP278" s="4">
        <f ca="1">IFERROR(INDEX(grupoEstacas[],ECF[[#This Row],[nE]],MATCH("coef. Blévot",grupoEstacas[#Headers],0)),"N.S.")</f>
        <v>1.4</v>
      </c>
      <c r="AQ278" s="35">
        <f ca="1">IFERROR(ECF[[#This Row],[coef. Blévot]]*0.9*INDEX(tipoEstaca[],MATCH($D$2,tipoEstaca[TIPO DE ESTACA],0),MATCH("fcd (kN/cm²)",tipoEstaca[#Headers],0)),"N.S.")</f>
        <v>1.4000000000000001</v>
      </c>
      <c r="AR278" s="82" t="str">
        <f ca="1">IF(AND(ECF[[#This Row],[cd,b,pil (kN/cm²)]]&lt;=ECF[[#This Row],[cd,b,lim (kN/cm²)]],ECF[[#This Row],[cd,b,est (kN/cm²)]]&lt;=ECF[[#This Row],[cd,b,lim (kN/cm²)]]),"OK","ERRO")</f>
        <v>OK</v>
      </c>
      <c r="AS278" s="4">
        <f ca="1">As_lado(ECF[[#This Row],[nE]],ECF[[#This Row],[Nsd (kN)]],ECF[[#This Row],[d (cm)]],ECF[[#This Row],[e (cm)]],ECF[[#This Row],[ap,eq (cm)]])</f>
        <v>23.049551754236877</v>
      </c>
      <c r="AT278" s="4">
        <f ca="1">IF(ECF[[#This Row],[nE]]=1,ECF[[#This Row],[As,lado (cm²)]],IF(ECF[[#This Row],[nE]]=2,0.075*2*ECF[a (cm)],"N.A."))</f>
        <v>45</v>
      </c>
      <c r="AU278" s="4">
        <f ca="1">IFERROR(IF(ECF[[#This Row],[nE]]=1,"N.A.",0.2*ECF[[#This Row],[As,lado (cm²)]]),"N.S.")</f>
        <v>4.6099103508473753</v>
      </c>
      <c r="AV278" s="4" t="str">
        <f ca="1">As_malha(ECF[[#This Row],[nE]],ECF[[#This Row],[As,lado (cm²)]],ECF[[#This Row],[Nsd (kN)]])</f>
        <v>N.A.</v>
      </c>
      <c r="AW278" s="4" t="str">
        <f ca="1">As_susp_tot(ECF[[#This Row],[nE]],ECF[[#This Row],[Nsd (kN)]])</f>
        <v>N.A.</v>
      </c>
      <c r="AX278" s="4" t="str">
        <f ca="1">Asp_face(ECF[[#This Row],[nE]],ECF[[#This Row],[As,lado (cm²)]])</f>
        <v>N.A.</v>
      </c>
      <c r="AY278" s="5">
        <f ca="1">acoBloco(ECF[[#This Row],[nE]],ECF[[#This Row],[e (cm)]],ECF[[#This Row],[a (cm)]],ECF[[#This Row],[h (cm)]],ECF[[#This Row],[As,lado (cm²)]],ECF[[#This Row],[Asp e Asw (cm²/m)]],ECF[[#This Row],[As,sup (cm²)]],ECF[[#This Row],[As,malha (cm²)]],ECF[[#This Row],[As,susp,tot (cm²)]],ECF[[#This Row],[Asp,face (cm²)]])</f>
        <v>12341.702133029894</v>
      </c>
      <c r="AZ278" s="4">
        <f ca="1">concretoBloco(ECF[[#This Row],[nE]],ECF[[#This Row],[e (cm)]],ECF[[#This Row],[a (cm)]],ECF[[#This Row],[h (cm)]])</f>
        <v>237.6</v>
      </c>
      <c r="BA278" s="5">
        <f ca="1">SUM(ECF[[#This Row],[Aço Est (kg)]],ECF[[#This Row],[Aço Bloco (kg)]])</f>
        <v>12736.286170320773</v>
      </c>
      <c r="BB278" s="4">
        <f>INDEX(composicoes[],MATCH(95580,composicoes[CÓDIGO],0),MATCH("CUSTO TOTAL",composicoes[#Headers],0))</f>
        <v>10.46</v>
      </c>
      <c r="BC278" s="4">
        <f ca="1">SUM(ECF[[#This Row],[Conc Est (m³)]],ECF[[#This Row],[Conc Bloco (m³)]])</f>
        <v>281.58229715025709</v>
      </c>
      <c r="BD278" s="4">
        <f>INDEX(composicoes[],MATCH(94966,composicoes[CÓDIGO],0),MATCH("CUSTO TOTAL",composicoes[#Headers],0))</f>
        <v>439.52</v>
      </c>
      <c r="BE278" s="38">
        <f ca="1">ECF[[#This Row],[Aço (kg)]]*ECF[[#This Row],[Aço (R$/kg)]]+ECF[[#This Row],[Conc (m³)]]*ECF[[#This Row],[Conc (R$/m³)]]</f>
        <v>256982.60458503629</v>
      </c>
      <c r="BF278" s="4" t="str">
        <f ca="1">IF(COUNTIF(ECF[#This Row],"N.S.")&gt;0,"lim.","OK")</f>
        <v>OK</v>
      </c>
      <c r="BG278" s="4" t="str">
        <f>IF(ECF[[#This Row],[Prof. (m)]]&lt;4,"lim.","OK")</f>
        <v>OK</v>
      </c>
      <c r="BH278" s="4" t="str">
        <f>IF(ECF[[#This Row],[Prof. (m)]]&gt;=8*ECF[[#This Row],[Ø (cm)]]/100,"OK","lim.")</f>
        <v>lim.</v>
      </c>
      <c r="BI278" s="4" t="str">
        <f>IF(AND(SPT!$F$3&lt;&gt;"",ECF[[#This Row],[Prof. (m)]]&gt;=SPT!$F$3-2),"lim.","OK")</f>
        <v>OK</v>
      </c>
      <c r="BJ278" s="4" t="str">
        <f ca="1">IF(ECF[[#This Row],[Verif. Biela]]="OK","OK","lim.")</f>
        <v>OK</v>
      </c>
      <c r="BK278" s="4" t="str">
        <f ca="1">IF(COUNTA(ECF[[#This Row],[Nº Est.]:[Biela comp.]])=COUNTIF(ECF[[#This Row],[Nº Est.]:[Biela comp.]],"OK"),"OK","lim.")</f>
        <v>lim.</v>
      </c>
      <c r="BL278" s="4" t="str">
        <f ca="1">IF(ECF[[#This Row],[Controle]]="OK",ECF[[#This Row],[nE]]&amp;" Ø "&amp;ECF[[#This Row],[Ø (cm)]]&amp;" cm, Prof. "&amp;ECF[[#This Row],[Prof. (m)]]&amp;" m","")</f>
        <v/>
      </c>
      <c r="BM278" s="4" t="str">
        <f ca="1">IF(ECF[[#This Row],[idDimensionamento]]="","",ECF[[#This Row],[idPilar]]&amp;ECF[[#This Row],[idDimensionamento]])</f>
        <v/>
      </c>
    </row>
    <row r="279" spans="2:65" x14ac:dyDescent="0.25">
      <c r="B279" s="12">
        <f>ROUNDUP((ROW(ECF[[#This Row],[idDiâmetro]])-ROW(ECF[[#Headers],[idDiâmetro]]))/(COUNT(SPT[Prof. (m)])*COUNT(PILARES[Pilar])),0)</f>
        <v>10</v>
      </c>
      <c r="C279" s="12">
        <f>IF(ECF[[#This Row],[idDiâmetro]]&lt;&gt;B278,1,IF(ECF[[#This Row],[Prof. (m)]]=0,C278+1,C278))</f>
        <v>2</v>
      </c>
      <c r="D279" s="82">
        <f>IFERROR(IF(D278=MAX(SPT[Prof. (m)]),0,D278+1),0)</f>
        <v>8</v>
      </c>
      <c r="E279" s="82">
        <f>INDEX(SPT[],MATCH(ECF[[#This Row],[Prof. (m)]],SPT[Prof. (m)],0),2)</f>
        <v>10</v>
      </c>
      <c r="F279" s="82" t="str">
        <f>INDEX(SPT[],MATCH(ECF[[#This Row],[Prof. (m)]],SPT[Prof. (m)],0),3)</f>
        <v>Silte arenoso</v>
      </c>
      <c r="G279" s="82">
        <f>INDEX(estacas[],ECF[[#This Row],[idDiâmetro]],MATCH($B$2,estacas[#Headers],0))</f>
        <v>200</v>
      </c>
      <c r="H279" s="82">
        <f>INDEX(estacas[],MATCH(ECF[[#This Row],[Ø (cm)]],estacas[Ø ECF (cm)],0),MATCH(ECF[[#Headers],[Pe ECF (kN)]],estacas[#Headers],0))</f>
        <v>12500</v>
      </c>
      <c r="I279" s="4">
        <f>INDEX(K_alpha_C[],MATCH(ECF[[#This Row],[Solo]],K_alpha_C[Solo],0),2)</f>
        <v>0.55000000000000004</v>
      </c>
      <c r="J279" s="5">
        <f>INDEX(K_alpha_C[],MATCH(ECF[[#This Row],[Solo]],K_alpha_C[Solo],0),3)</f>
        <v>2.2000000000000002</v>
      </c>
      <c r="K279" s="4">
        <f>INDEX(F1_F2[],MATCH($D$2,F1_F2[Tipo de estaca],0),2)</f>
        <v>3</v>
      </c>
      <c r="L279" s="4">
        <f>INDEX(F1_F2[],MATCH($D$2,F1_F2[Tipo de estaca],0),3)</f>
        <v>6</v>
      </c>
      <c r="M279" s="4">
        <f>PI()*(ECF[[#This Row],[Ø (cm)]]/100)^2/4</f>
        <v>3.1415926535897931</v>
      </c>
      <c r="N279" s="4">
        <f>PI()*ECF[[#This Row],[Ø (cm)]]/100</f>
        <v>6.2831853071795862</v>
      </c>
      <c r="O279" s="4">
        <f>IF(ECF[[#This Row],[Prof. (m)]]=0,0,ECF[[#This Row],[α (%)]]/100*ECF[[#This Row],[K (MPa)]]*1000*ECF[[#This Row],[NSPT]])</f>
        <v>121.00000000000001</v>
      </c>
      <c r="P279" s="4">
        <f>IF(ECF[[#This Row],[Prof. (m)]]=0,0,(ECF[[#This Row],[K (MPa)]]*1000*ECF[[#This Row],[NSPT]]/ECF[[#This Row],[F1]]*ECF[[#This Row],[Ap (m²)]]+ECF[[#This Row],[U (m)]]/ECF[[#This Row],[F2]]*SUMIFS(ECF[(α∙K∙NL∙ΔL)],ECF[Prof. (m)],"&lt;="&amp;ECF[[#This Row],[Prof. (m)]],ECF[idDiâmetro],ECF[[#This Row],[idDiâmetro]],ECF[idPilar],ECF[[#This Row],[idPilar]]))/'DADOS CAP. CARGA'!$D$2)</f>
        <v>3403.3396815113824</v>
      </c>
      <c r="Q279" s="12">
        <f>INDEX(C_alpha_beta[],MATCH(ECF[[#This Row],[Solo]],C_alpha_beta[Solo],0),MATCH(ECF[[#Headers],[C (kPa)]],C_alpha_beta[#Headers],0))</f>
        <v>250</v>
      </c>
      <c r="R279" s="4">
        <f>INDEX(C_alpha_beta[],MATCH(ECF[[#This Row],[Solo]],C_alpha_beta[Solo],0),MATCH(ECF[[#Headers],[α ESF]],C_alpha_beta[#Headers],0))</f>
        <v>0.6</v>
      </c>
      <c r="S279" s="4">
        <f>INDEX(C_alpha_beta[],MATCH(ECF[[#This Row],[Solo]],C_alpha_beta[Solo],0),MATCH(ECF[[#Headers],[β ESF]],C_alpha_beta[#Headers],0))</f>
        <v>0.65</v>
      </c>
      <c r="T279" s="4">
        <f>IF(ECF[[#This Row],[Prof. (m)]]=0,0,10*(ECF[[#This Row],[NSPT]]/3+1))</f>
        <v>43.333333333333343</v>
      </c>
      <c r="U279" s="4">
        <f>(ECF[[#This Row],[α ESF]]*ECF[[#This Row],[C (kPa)]]*ECF[[#This Row],[NSPT]]*ECF[[#This Row],[Ap (m²)]])/'DADOS CAP. CARGA'!$Q$2+(ECF[[#This Row],[β ESF]]*SUMIFS(ECF[10∙(NL/3+1)],ECF[Prof. (m)],"&lt;="&amp;ECF[[#This Row],[Prof. (m)]],ECF[idDiâmetro],ECF[[#This Row],[idDiâmetro]],ECF[idPilar],ECF[[#This Row],[idPilar]])*ECF[[#This Row],[U (m)]])/'DADOS CAP. CARGA'!$S$2</f>
        <v>1831.5485170428494</v>
      </c>
      <c r="V279" s="4">
        <f>IF(SPT!$M$5=1,MIN(ECF[[#This Row],[Pe ECF (kN)]],ECF[[#This Row],[R_AV (kN)]]),IF(SPT!$M$5=2,MIN(ECF[[#This Row],[Pe ECF (kN)]],ECF[[#This Row],[R_DC (kN)]]),MIN(ECF[[#This Row],[Pe ECF (kN)]],ECF[[#This Row],[R_AV (kN)]],ECF[[#This Row],[R_DC (kN)]])))</f>
        <v>1831.5485170428494</v>
      </c>
      <c r="W279" s="4">
        <f>INDEX(PILARES[],ECF[[#This Row],[idPilar]],MATCH("Carga (kN)",PILARES[#Headers],0))*1.4</f>
        <v>1750</v>
      </c>
      <c r="X279" s="12">
        <f>INDEX(PILARES[],ECF[[#This Row],[idPilar]],MATCH(ECF[[#Headers],[ap (cm)]],PILARES[#Headers],0))</f>
        <v>50</v>
      </c>
      <c r="Y279" s="12">
        <f>INDEX(PILARES[],ECF[[#This Row],[idPilar]],MATCH(ECF[[#Headers],[bp (cm)]],PILARES[#Headers],0))</f>
        <v>40</v>
      </c>
      <c r="Z279" s="4">
        <f>SQRT(ECF[[#This Row],[ap (cm)]]*ECF[[#This Row],[bp (cm)]])</f>
        <v>44.721359549995796</v>
      </c>
      <c r="AA279" s="12">
        <f>ECF[[#This Row],[ap (cm)]]*ECF[[#This Row],[bp (cm)]]</f>
        <v>2000</v>
      </c>
      <c r="AB279" s="12">
        <f ca="1">IF(ECF[[#This Row],[Padm∙ε (kN)]]&gt;=ECF[[#This Row],[Padm (kN)]],ROUNDUP(1.05*ECF[[#This Row],[Nsd (kN)]]/ECF[[#This Row],[Padm (kN)]],0),ROUNDUP(1.05*ECF[[#This Row],[Nsd (kN)]]/ECF[[#This Row],[Padm (kN)]],0)+1)</f>
        <v>2</v>
      </c>
      <c r="AC279" s="4">
        <f ca="1">IFERROR(IF(ECF[[#This Row],[nE]]=1,ECF[[#This Row],[Padm (kN)]],ECF[[#This Row],[Padm (kN)]]*ECF[[#This Row],[nE]]*INDEX(grupoEstacas[],ECF[[#This Row],[nE]],MATCH("ε",grupoEstacas[#Headers],0))),"N.S.")</f>
        <v>3434.1534694553425</v>
      </c>
      <c r="AD279" s="4">
        <f ca="1">1.05*ECF[[#This Row],[Nsd (kN)]]/(ECF[[#This Row],[nE]]*PI()*ECF[[#This Row],[Ø (cm)]]^2/4)*10</f>
        <v>0.2924472079313577</v>
      </c>
      <c r="AE279" s="4">
        <f ca="1">IF(ECF[[#This Row],[σ (MPa)]]&lt;INDEX(tipoEstaca[],MATCH($D$2,tipoEstaca[TIPO DE ESTACA],0),MATCH("σmáx (MPa)",tipoEstaca[#Headers],0)),0.4%*PI()*ECF[[#This Row],[Ø (cm)]]^2/4,"N.S.")</f>
        <v>125.66370614359174</v>
      </c>
      <c r="AF279" s="82">
        <f>INDEX(tipoEstaca[],MATCH($D$2,tipoEstaca[TIPO DE ESTACA],0),MATCH(ECF[[#Headers],[Comprimento (m)]],tipoEstaca[#Headers],0))</f>
        <v>4</v>
      </c>
      <c r="AG279" s="5">
        <f ca="1">ECF[[#This Row],[As,mín (cm²)]]/100^2*ECF[[#This Row],[Comprimento (m)]]*7850</f>
        <v>394.58403729087803</v>
      </c>
      <c r="AH279" s="4">
        <f ca="1">ECF[[#This Row],[nE]]*ECF[[#This Row],[Prof. (m)]]*ECF[[#This Row],[Ap (m²)]]</f>
        <v>50.26548245743669</v>
      </c>
      <c r="AI279" s="82">
        <f ca="1">IF(ECF[[#This Row],[nE]]=1,0,MAX(3*ECF[[#This Row],[Ø (cm)]],60))</f>
        <v>600</v>
      </c>
      <c r="AJ279" s="82">
        <f ca="1">IF(ECF[[#This Row],[nE]]=1,ECF[[#This Row],[Ø (cm)]]+2*10,MAX(1.5*ECF[[#This Row],[Ø (cm)]],ECF[[#This Row],[Ø (cm)]]+15))</f>
        <v>300</v>
      </c>
      <c r="AK279" s="82">
        <f ca="1">alturaUtil(ECF[[#This Row],[nE]],ECF[[#This Row],[Ø (cm)]],ECF[[#This Row],[e (cm)]],ECF[[#This Row],[ap,eq (cm)]])</f>
        <v>290</v>
      </c>
      <c r="AL279" s="82">
        <f ca="1">IFERROR(ECF[[#This Row],[d (cm)]]+arredondarParaCimaMultiplo5cm(MAX(5,SQRT(PI())/2*ECF[[#This Row],[Ø (cm)]]/5)),"N.S.")</f>
        <v>330</v>
      </c>
      <c r="AM279" s="5">
        <f ca="1">alpha(ECF[[#This Row],[nE]],ECF[[#This Row],[d (cm)]],ECF[[#This Row],[e (cm)]],ECF[[#This Row],[ap,eq (cm)]])</f>
        <v>45.116838464314299</v>
      </c>
      <c r="AN279" s="35">
        <f ca="1">IFERROR(ECF[[#This Row],[Nsd (kN)]]/(ECF[[#This Row],[Ap (cm²)]]*SIN(ECF[[#This Row],[α]])^2),"N.S.")</f>
        <v>1.0651856922928629</v>
      </c>
      <c r="AO279" s="35">
        <f ca="1">IFERROR(ECF[[#This Row],[Nsd (kN)]]/(ECF[[#This Row],[nE]]*PI()*ECF[[#This Row],[Ø (cm)]]^2/4*SIN(ECF[[#This Row],[α]])^2),"N.S.")</f>
        <v>3.3905913647834345E-2</v>
      </c>
      <c r="AP279" s="4">
        <f ca="1">IFERROR(INDEX(grupoEstacas[],ECF[[#This Row],[nE]],MATCH("coef. Blévot",grupoEstacas[#Headers],0)),"N.S.")</f>
        <v>1.4</v>
      </c>
      <c r="AQ279" s="35">
        <f ca="1">IFERROR(ECF[[#This Row],[coef. Blévot]]*0.9*INDEX(tipoEstaca[],MATCH($D$2,tipoEstaca[TIPO DE ESTACA],0),MATCH("fcd (kN/cm²)",tipoEstaca[#Headers],0)),"N.S.")</f>
        <v>1.4000000000000001</v>
      </c>
      <c r="AR279" s="82" t="str">
        <f ca="1">IF(AND(ECF[[#This Row],[cd,b,pil (kN/cm²)]]&lt;=ECF[[#This Row],[cd,b,lim (kN/cm²)]],ECF[[#This Row],[cd,b,est (kN/cm²)]]&lt;=ECF[[#This Row],[cd,b,lim (kN/cm²)]]),"OK","ERRO")</f>
        <v>OK</v>
      </c>
      <c r="AS279" s="4">
        <f ca="1">As_lado(ECF[[#This Row],[nE]],ECF[[#This Row],[Nsd (kN)]],ECF[[#This Row],[d (cm)]],ECF[[#This Row],[e (cm)]],ECF[[#This Row],[ap,eq (cm)]])</f>
        <v>23.049551754236877</v>
      </c>
      <c r="AT279" s="4">
        <f ca="1">IF(ECF[[#This Row],[nE]]=1,ECF[[#This Row],[As,lado (cm²)]],IF(ECF[[#This Row],[nE]]=2,0.075*2*ECF[a (cm)],"N.A."))</f>
        <v>45</v>
      </c>
      <c r="AU279" s="4">
        <f ca="1">IFERROR(IF(ECF[[#This Row],[nE]]=1,"N.A.",0.2*ECF[[#This Row],[As,lado (cm²)]]),"N.S.")</f>
        <v>4.6099103508473753</v>
      </c>
      <c r="AV279" s="4" t="str">
        <f ca="1">As_malha(ECF[[#This Row],[nE]],ECF[[#This Row],[As,lado (cm²)]],ECF[[#This Row],[Nsd (kN)]])</f>
        <v>N.A.</v>
      </c>
      <c r="AW279" s="4" t="str">
        <f ca="1">As_susp_tot(ECF[[#This Row],[nE]],ECF[[#This Row],[Nsd (kN)]])</f>
        <v>N.A.</v>
      </c>
      <c r="AX279" s="4" t="str">
        <f ca="1">Asp_face(ECF[[#This Row],[nE]],ECF[[#This Row],[As,lado (cm²)]])</f>
        <v>N.A.</v>
      </c>
      <c r="AY279" s="5">
        <f ca="1">acoBloco(ECF[[#This Row],[nE]],ECF[[#This Row],[e (cm)]],ECF[[#This Row],[a (cm)]],ECF[[#This Row],[h (cm)]],ECF[[#This Row],[As,lado (cm²)]],ECF[[#This Row],[Asp e Asw (cm²/m)]],ECF[[#This Row],[As,sup (cm²)]],ECF[[#This Row],[As,malha (cm²)]],ECF[[#This Row],[As,susp,tot (cm²)]],ECF[[#This Row],[Asp,face (cm²)]])</f>
        <v>12341.702133029894</v>
      </c>
      <c r="AZ279" s="4">
        <f ca="1">concretoBloco(ECF[[#This Row],[nE]],ECF[[#This Row],[e (cm)]],ECF[[#This Row],[a (cm)]],ECF[[#This Row],[h (cm)]])</f>
        <v>237.6</v>
      </c>
      <c r="BA279" s="5">
        <f ca="1">SUM(ECF[[#This Row],[Aço Est (kg)]],ECF[[#This Row],[Aço Bloco (kg)]])</f>
        <v>12736.286170320773</v>
      </c>
      <c r="BB279" s="4">
        <f>INDEX(composicoes[],MATCH(95580,composicoes[CÓDIGO],0),MATCH("CUSTO TOTAL",composicoes[#Headers],0))</f>
        <v>10.46</v>
      </c>
      <c r="BC279" s="4">
        <f ca="1">SUM(ECF[[#This Row],[Conc Est (m³)]],ECF[[#This Row],[Conc Bloco (m³)]])</f>
        <v>287.86548245743666</v>
      </c>
      <c r="BD279" s="4">
        <f>INDEX(composicoes[],MATCH(94966,composicoes[CÓDIGO],0),MATCH("CUSTO TOTAL",composicoes[#Headers],0))</f>
        <v>439.52</v>
      </c>
      <c r="BE279" s="38">
        <f ca="1">ECF[[#This Row],[Aço (kg)]]*ECF[[#This Row],[Aço (R$/kg)]]+ECF[[#This Row],[Conc (m³)]]*ECF[[#This Row],[Conc (R$/m³)]]</f>
        <v>259744.19019124785</v>
      </c>
      <c r="BF279" s="4" t="str">
        <f ca="1">IF(COUNTIF(ECF[#This Row],"N.S.")&gt;0,"lim.","OK")</f>
        <v>OK</v>
      </c>
      <c r="BG279" s="4" t="str">
        <f>IF(ECF[[#This Row],[Prof. (m)]]&lt;4,"lim.","OK")</f>
        <v>OK</v>
      </c>
      <c r="BH279" s="4" t="str">
        <f>IF(ECF[[#This Row],[Prof. (m)]]&gt;=8*ECF[[#This Row],[Ø (cm)]]/100,"OK","lim.")</f>
        <v>lim.</v>
      </c>
      <c r="BI279" s="4" t="str">
        <f>IF(AND(SPT!$F$3&lt;&gt;"",ECF[[#This Row],[Prof. (m)]]&gt;=SPT!$F$3-2),"lim.","OK")</f>
        <v>OK</v>
      </c>
      <c r="BJ279" s="4" t="str">
        <f ca="1">IF(ECF[[#This Row],[Verif. Biela]]="OK","OK","lim.")</f>
        <v>OK</v>
      </c>
      <c r="BK279" s="4" t="str">
        <f ca="1">IF(COUNTA(ECF[[#This Row],[Nº Est.]:[Biela comp.]])=COUNTIF(ECF[[#This Row],[Nº Est.]:[Biela comp.]],"OK"),"OK","lim.")</f>
        <v>lim.</v>
      </c>
      <c r="BL279" s="4" t="str">
        <f ca="1">IF(ECF[[#This Row],[Controle]]="OK",ECF[[#This Row],[nE]]&amp;" Ø "&amp;ECF[[#This Row],[Ø (cm)]]&amp;" cm, Prof. "&amp;ECF[[#This Row],[Prof. (m)]]&amp;" m","")</f>
        <v/>
      </c>
      <c r="BM279" s="4" t="str">
        <f ca="1">IF(ECF[[#This Row],[idDimensionamento]]="","",ECF[[#This Row],[idPilar]]&amp;ECF[[#This Row],[idDimensionamento]])</f>
        <v/>
      </c>
    </row>
    <row r="280" spans="2:65" x14ac:dyDescent="0.25">
      <c r="B280" s="12">
        <f>ROUNDUP((ROW(ECF[[#This Row],[idDiâmetro]])-ROW(ECF[[#Headers],[idDiâmetro]]))/(COUNT(SPT[Prof. (m)])*COUNT(PILARES[Pilar])),0)</f>
        <v>10</v>
      </c>
      <c r="C280" s="12">
        <f>IF(ECF[[#This Row],[idDiâmetro]]&lt;&gt;B279,1,IF(ECF[[#This Row],[Prof. (m)]]=0,C279+1,C279))</f>
        <v>2</v>
      </c>
      <c r="D280" s="82">
        <f>IFERROR(IF(D279=MAX(SPT[Prof. (m)]),0,D279+1),0)</f>
        <v>9</v>
      </c>
      <c r="E280" s="82">
        <f>INDEX(SPT[],MATCH(ECF[[#This Row],[Prof. (m)]],SPT[Prof. (m)],0),2)</f>
        <v>26</v>
      </c>
      <c r="F280" s="82" t="str">
        <f>INDEX(SPT[],MATCH(ECF[[#This Row],[Prof. (m)]],SPT[Prof. (m)],0),3)</f>
        <v>Areia siltosa</v>
      </c>
      <c r="G280" s="82">
        <f>INDEX(estacas[],ECF[[#This Row],[idDiâmetro]],MATCH($B$2,estacas[#Headers],0))</f>
        <v>200</v>
      </c>
      <c r="H280" s="82">
        <f>INDEX(estacas[],MATCH(ECF[[#This Row],[Ø (cm)]],estacas[Ø ECF (cm)],0),MATCH(ECF[[#Headers],[Pe ECF (kN)]],estacas[#Headers],0))</f>
        <v>12500</v>
      </c>
      <c r="I280" s="4">
        <f>INDEX(K_alpha_C[],MATCH(ECF[[#This Row],[Solo]],K_alpha_C[Solo],0),2)</f>
        <v>0.8</v>
      </c>
      <c r="J280" s="5">
        <f>INDEX(K_alpha_C[],MATCH(ECF[[#This Row],[Solo]],K_alpha_C[Solo],0),3)</f>
        <v>2</v>
      </c>
      <c r="K280" s="4">
        <f>INDEX(F1_F2[],MATCH($D$2,F1_F2[Tipo de estaca],0),2)</f>
        <v>3</v>
      </c>
      <c r="L280" s="4">
        <f>INDEX(F1_F2[],MATCH($D$2,F1_F2[Tipo de estaca],0),3)</f>
        <v>6</v>
      </c>
      <c r="M280" s="4">
        <f>PI()*(ECF[[#This Row],[Ø (cm)]]/100)^2/4</f>
        <v>3.1415926535897931</v>
      </c>
      <c r="N280" s="4">
        <f>PI()*ECF[[#This Row],[Ø (cm)]]/100</f>
        <v>6.2831853071795862</v>
      </c>
      <c r="O280" s="4">
        <f>IF(ECF[[#This Row],[Prof. (m)]]=0,0,ECF[[#This Row],[α (%)]]/100*ECF[[#This Row],[K (MPa)]]*1000*ECF[[#This Row],[NSPT]])</f>
        <v>416</v>
      </c>
      <c r="P280" s="4">
        <f>IF(ECF[[#This Row],[Prof. (m)]]=0,0,(ECF[[#This Row],[K (MPa)]]*1000*ECF[[#This Row],[NSPT]]/ECF[[#This Row],[F1]]*ECF[[#This Row],[Ap (m²)]]+ECF[[#This Row],[U (m)]]/ECF[[#This Row],[F2]]*SUMIFS(ECF[(α∙K∙NL∙ΔL)],ECF[Prof. (m)],"&lt;="&amp;ECF[[#This Row],[Prof. (m)]],ECF[idDiâmetro],ECF[[#This Row],[idDiâmetro]],ECF[idPilar],ECF[[#This Row],[idPilar]]))/'DADOS CAP. CARGA'!$D$2)</f>
        <v>11632.218038814246</v>
      </c>
      <c r="Q280" s="12">
        <f>INDEX(C_alpha_beta[],MATCH(ECF[[#This Row],[Solo]],C_alpha_beta[Solo],0),MATCH(ECF[[#Headers],[C (kPa)]],C_alpha_beta[#Headers],0))</f>
        <v>400</v>
      </c>
      <c r="R280" s="4">
        <f>INDEX(C_alpha_beta[],MATCH(ECF[[#This Row],[Solo]],C_alpha_beta[Solo],0),MATCH(ECF[[#Headers],[α ESF]],C_alpha_beta[#Headers],0))</f>
        <v>0.5</v>
      </c>
      <c r="S280" s="4">
        <f>INDEX(C_alpha_beta[],MATCH(ECF[[#This Row],[Solo]],C_alpha_beta[Solo],0),MATCH(ECF[[#Headers],[β ESF]],C_alpha_beta[#Headers],0))</f>
        <v>0.5</v>
      </c>
      <c r="T280" s="4">
        <f>IF(ECF[[#This Row],[Prof. (m)]]=0,0,10*(ECF[[#This Row],[NSPT]]/3+1))</f>
        <v>96.666666666666657</v>
      </c>
      <c r="U280" s="4">
        <f>(ECF[[#This Row],[α ESF]]*ECF[[#This Row],[C (kPa)]]*ECF[[#This Row],[NSPT]]*ECF[[#This Row],[Ap (m²)]])/'DADOS CAP. CARGA'!$Q$2+(ECF[[#This Row],[β ESF]]*SUMIFS(ECF[10∙(NL/3+1)],ECF[Prof. (m)],"&lt;="&amp;ECF[[#This Row],[Prof. (m)]],ECF[idDiâmetro],ECF[[#This Row],[idDiâmetro]],ECF[idPilar],ECF[[#This Row],[idPilar]])*ECF[[#This Row],[U (m)]])/'DADOS CAP. CARGA'!$S$2</f>
        <v>4738.5689191646043</v>
      </c>
      <c r="V280" s="4">
        <f>IF(SPT!$M$5=1,MIN(ECF[[#This Row],[Pe ECF (kN)]],ECF[[#This Row],[R_AV (kN)]]),IF(SPT!$M$5=2,MIN(ECF[[#This Row],[Pe ECF (kN)]],ECF[[#This Row],[R_DC (kN)]]),MIN(ECF[[#This Row],[Pe ECF (kN)]],ECF[[#This Row],[R_AV (kN)]],ECF[[#This Row],[R_DC (kN)]])))</f>
        <v>4738.5689191646043</v>
      </c>
      <c r="W280" s="4">
        <f>INDEX(PILARES[],ECF[[#This Row],[idPilar]],MATCH("Carga (kN)",PILARES[#Headers],0))*1.4</f>
        <v>1750</v>
      </c>
      <c r="X280" s="12">
        <f>INDEX(PILARES[],ECF[[#This Row],[idPilar]],MATCH(ECF[[#Headers],[ap (cm)]],PILARES[#Headers],0))</f>
        <v>50</v>
      </c>
      <c r="Y280" s="12">
        <f>INDEX(PILARES[],ECF[[#This Row],[idPilar]],MATCH(ECF[[#Headers],[bp (cm)]],PILARES[#Headers],0))</f>
        <v>40</v>
      </c>
      <c r="Z280" s="4">
        <f>SQRT(ECF[[#This Row],[ap (cm)]]*ECF[[#This Row],[bp (cm)]])</f>
        <v>44.721359549995796</v>
      </c>
      <c r="AA280" s="12">
        <f>ECF[[#This Row],[ap (cm)]]*ECF[[#This Row],[bp (cm)]]</f>
        <v>2000</v>
      </c>
      <c r="AB280" s="12">
        <f ca="1">IF(ECF[[#This Row],[Padm∙ε (kN)]]&gt;=ECF[[#This Row],[Padm (kN)]],ROUNDUP(1.05*ECF[[#This Row],[Nsd (kN)]]/ECF[[#This Row],[Padm (kN)]],0),ROUNDUP(1.05*ECF[[#This Row],[Nsd (kN)]]/ECF[[#This Row],[Padm (kN)]],0)+1)</f>
        <v>1</v>
      </c>
      <c r="AC280" s="4">
        <f ca="1">IFERROR(IF(ECF[[#This Row],[nE]]=1,ECF[[#This Row],[Padm (kN)]],ECF[[#This Row],[Padm (kN)]]*ECF[[#This Row],[nE]]*INDEX(grupoEstacas[],ECF[[#This Row],[nE]],MATCH("ε",grupoEstacas[#Headers],0))),"N.S.")</f>
        <v>4738.5689191646043</v>
      </c>
      <c r="AD280" s="4">
        <f ca="1">1.05*ECF[[#This Row],[Nsd (kN)]]/(ECF[[#This Row],[nE]]*PI()*ECF[[#This Row],[Ø (cm)]]^2/4)*10</f>
        <v>0.5848944158627154</v>
      </c>
      <c r="AE280" s="4">
        <f ca="1">IF(ECF[[#This Row],[σ (MPa)]]&lt;INDEX(tipoEstaca[],MATCH($D$2,tipoEstaca[TIPO DE ESTACA],0),MATCH("σmáx (MPa)",tipoEstaca[#Headers],0)),0.4%*PI()*ECF[[#This Row],[Ø (cm)]]^2/4,"N.S.")</f>
        <v>125.66370614359174</v>
      </c>
      <c r="AF280" s="82">
        <f>INDEX(tipoEstaca[],MATCH($D$2,tipoEstaca[TIPO DE ESTACA],0),MATCH(ECF[[#Headers],[Comprimento (m)]],tipoEstaca[#Headers],0))</f>
        <v>4</v>
      </c>
      <c r="AG280" s="5">
        <f ca="1">ECF[[#This Row],[As,mín (cm²)]]/100^2*ECF[[#This Row],[Comprimento (m)]]*7850</f>
        <v>394.58403729087803</v>
      </c>
      <c r="AH280" s="4">
        <f ca="1">ECF[[#This Row],[nE]]*ECF[[#This Row],[Prof. (m)]]*ECF[[#This Row],[Ap (m²)]]</f>
        <v>28.274333882308138</v>
      </c>
      <c r="AI280" s="82">
        <f ca="1">IF(ECF[[#This Row],[nE]]=1,0,MAX(3*ECF[[#This Row],[Ø (cm)]],60))</f>
        <v>0</v>
      </c>
      <c r="AJ280" s="82">
        <f ca="1">IF(ECF[[#This Row],[nE]]=1,ECF[[#This Row],[Ø (cm)]]+2*10,MAX(1.5*ECF[[#This Row],[Ø (cm)]],ECF[[#This Row],[Ø (cm)]]+15))</f>
        <v>220</v>
      </c>
      <c r="AK280" s="82">
        <f ca="1">alturaUtil(ECF[[#This Row],[nE]],ECF[[#This Row],[Ø (cm)]],ECF[[#This Row],[e (cm)]],ECF[[#This Row],[ap,eq (cm)]])</f>
        <v>240</v>
      </c>
      <c r="AL280" s="82">
        <f ca="1">IFERROR(ECF[[#This Row],[d (cm)]]+arredondarParaCimaMultiplo5cm(MAX(5,SQRT(PI())/2*ECF[[#This Row],[Ø (cm)]]/5)),"N.S.")</f>
        <v>280</v>
      </c>
      <c r="AM280" s="5">
        <f ca="1">alpha(ECF[[#This Row],[nE]],ECF[[#This Row],[d (cm)]],ECF[[#This Row],[e (cm)]],ECF[[#This Row],[ap,eq (cm)]])</f>
        <v>90</v>
      </c>
      <c r="AN280" s="35">
        <f ca="1">IFERROR(ECF[[#This Row],[Nsd (kN)]]/(ECF[[#This Row],[Ap (cm²)]]*SIN(ECF[[#This Row],[α]])^2),"N.S.")</f>
        <v>1.0948037013095111</v>
      </c>
      <c r="AO280" s="35">
        <f ca="1">IFERROR(ECF[[#This Row],[Nsd (kN)]]/(ECF[[#This Row],[nE]]*PI()*ECF[[#This Row],[Ø (cm)]]^2/4*SIN(ECF[[#This Row],[α]])^2),"N.S.")</f>
        <v>6.9697368311484653E-2</v>
      </c>
      <c r="AP280" s="4">
        <f ca="1">IFERROR(INDEX(grupoEstacas[],ECF[[#This Row],[nE]],MATCH("coef. Blévot",grupoEstacas[#Headers],0)),"N.S.")</f>
        <v>1</v>
      </c>
      <c r="AQ280" s="35">
        <f ca="1">IFERROR(ECF[[#This Row],[coef. Blévot]]*0.9*INDEX(tipoEstaca[],MATCH($D$2,tipoEstaca[TIPO DE ESTACA],0),MATCH("fcd (kN/cm²)",tipoEstaca[#Headers],0)),"N.S.")</f>
        <v>1</v>
      </c>
      <c r="AR280" s="82" t="str">
        <f ca="1">IF(AND(ECF[[#This Row],[cd,b,pil (kN/cm²)]]&lt;=ECF[[#This Row],[cd,b,lim (kN/cm²)]],ECF[[#This Row],[cd,b,est (kN/cm²)]]&lt;=ECF[[#This Row],[cd,b,lim (kN/cm²)]]),"OK","ERRO")</f>
        <v>ERRO</v>
      </c>
      <c r="AS280" s="4">
        <f ca="1">As_lado(ECF[[#This Row],[nE]],ECF[[#This Row],[Nsd (kN)]],ECF[[#This Row],[d (cm)]],ECF[[#This Row],[e (cm)]],ECF[[#This Row],[ap,eq (cm)]])</f>
        <v>10.0625</v>
      </c>
      <c r="AT280" s="4">
        <f ca="1">IF(ECF[[#This Row],[nE]]=1,ECF[[#This Row],[As,lado (cm²)]],IF(ECF[[#This Row],[nE]]=2,0.075*2*ECF[a (cm)],"N.A."))</f>
        <v>10.0625</v>
      </c>
      <c r="AU280" s="4" t="str">
        <f ca="1">IFERROR(IF(ECF[[#This Row],[nE]]=1,"N.A.",0.2*ECF[[#This Row],[As,lado (cm²)]]),"N.S.")</f>
        <v>N.A.</v>
      </c>
      <c r="AV280" s="4" t="str">
        <f ca="1">As_malha(ECF[[#This Row],[nE]],ECF[[#This Row],[As,lado (cm²)]],ECF[[#This Row],[Nsd (kN)]])</f>
        <v>N.A.</v>
      </c>
      <c r="AW280" s="4" t="str">
        <f ca="1">As_susp_tot(ECF[[#This Row],[nE]],ECF[[#This Row],[Nsd (kN)]])</f>
        <v>N.A.</v>
      </c>
      <c r="AX280" s="4" t="str">
        <f ca="1">Asp_face(ECF[[#This Row],[nE]],ECF[[#This Row],[As,lado (cm²)]])</f>
        <v>N.A.</v>
      </c>
      <c r="AY280" s="5">
        <f ca="1">acoBloco(ECF[[#This Row],[nE]],ECF[[#This Row],[e (cm)]],ECF[[#This Row],[a (cm)]],ECF[[#This Row],[h (cm)]],ECF[[#This Row],[As,lado (cm²)]],ECF[[#This Row],[Asp e Asw (cm²/m)]],ECF[[#This Row],[As,sup (cm²)]],ECF[[#This Row],[As,malha (cm²)]],ECF[[#This Row],[As,susp,tot (cm²)]],ECF[[#This Row],[Asp,face (cm²)]])</f>
        <v>227.49299999999999</v>
      </c>
      <c r="AZ280" s="4">
        <f ca="1">concretoBloco(ECF[[#This Row],[nE]],ECF[[#This Row],[e (cm)]],ECF[[#This Row],[a (cm)]],ECF[[#This Row],[h (cm)]])</f>
        <v>13.552</v>
      </c>
      <c r="BA280" s="5">
        <f ca="1">SUM(ECF[[#This Row],[Aço Est (kg)]],ECF[[#This Row],[Aço Bloco (kg)]])</f>
        <v>622.07703729087802</v>
      </c>
      <c r="BB280" s="4">
        <f>INDEX(composicoes[],MATCH(95580,composicoes[CÓDIGO],0),MATCH("CUSTO TOTAL",composicoes[#Headers],0))</f>
        <v>10.46</v>
      </c>
      <c r="BC280" s="4">
        <f ca="1">SUM(ECF[[#This Row],[Conc Est (m³)]],ECF[[#This Row],[Conc Bloco (m³)]])</f>
        <v>41.826333882308134</v>
      </c>
      <c r="BD280" s="4">
        <f>INDEX(composicoes[],MATCH(94966,composicoes[CÓDIGO],0),MATCH("CUSTO TOTAL",composicoes[#Headers],0))</f>
        <v>439.52</v>
      </c>
      <c r="BE280" s="38">
        <f ca="1">ECF[[#This Row],[Aço (kg)]]*ECF[[#This Row],[Aço (R$/kg)]]+ECF[[#This Row],[Conc (m³)]]*ECF[[#This Row],[Conc (R$/m³)]]</f>
        <v>24890.436078014656</v>
      </c>
      <c r="BF280" s="4" t="str">
        <f ca="1">IF(COUNTIF(ECF[#This Row],"N.S.")&gt;0,"lim.","OK")</f>
        <v>OK</v>
      </c>
      <c r="BG280" s="4" t="str">
        <f>IF(ECF[[#This Row],[Prof. (m)]]&lt;4,"lim.","OK")</f>
        <v>OK</v>
      </c>
      <c r="BH280" s="4" t="str">
        <f>IF(ECF[[#This Row],[Prof. (m)]]&gt;=8*ECF[[#This Row],[Ø (cm)]]/100,"OK","lim.")</f>
        <v>lim.</v>
      </c>
      <c r="BI280" s="4" t="str">
        <f>IF(AND(SPT!$F$3&lt;&gt;"",ECF[[#This Row],[Prof. (m)]]&gt;=SPT!$F$3-2),"lim.","OK")</f>
        <v>OK</v>
      </c>
      <c r="BJ280" s="4" t="str">
        <f ca="1">IF(ECF[[#This Row],[Verif. Biela]]="OK","OK","lim.")</f>
        <v>lim.</v>
      </c>
      <c r="BK280" s="4" t="str">
        <f ca="1">IF(COUNTA(ECF[[#This Row],[Nº Est.]:[Biela comp.]])=COUNTIF(ECF[[#This Row],[Nº Est.]:[Biela comp.]],"OK"),"OK","lim.")</f>
        <v>lim.</v>
      </c>
      <c r="BL280" s="4" t="str">
        <f ca="1">IF(ECF[[#This Row],[Controle]]="OK",ECF[[#This Row],[nE]]&amp;" Ø "&amp;ECF[[#This Row],[Ø (cm)]]&amp;" cm, Prof. "&amp;ECF[[#This Row],[Prof. (m)]]&amp;" m","")</f>
        <v/>
      </c>
      <c r="BM280" s="4" t="str">
        <f ca="1">IF(ECF[[#This Row],[idDimensionamento]]="","",ECF[[#This Row],[idPilar]]&amp;ECF[[#This Row],[idDimensionamento]])</f>
        <v/>
      </c>
    </row>
    <row r="281" spans="2:65" x14ac:dyDescent="0.25">
      <c r="B281" s="12">
        <f>ROUNDUP((ROW(ECF[[#This Row],[idDiâmetro]])-ROW(ECF[[#Headers],[idDiâmetro]]))/(COUNT(SPT[Prof. (m)])*COUNT(PILARES[Pilar])),0)</f>
        <v>10</v>
      </c>
      <c r="C281" s="12">
        <f>IF(ECF[[#This Row],[idDiâmetro]]&lt;&gt;B280,1,IF(ECF[[#This Row],[Prof. (m)]]=0,C280+1,C280))</f>
        <v>2</v>
      </c>
      <c r="D281" s="82">
        <f>IFERROR(IF(D280=MAX(SPT[Prof. (m)]),0,D280+1),0)</f>
        <v>10</v>
      </c>
      <c r="E281" s="82">
        <f>INDEX(SPT[],MATCH(ECF[[#This Row],[Prof. (m)]],SPT[Prof. (m)],0),2)</f>
        <v>32</v>
      </c>
      <c r="F281" s="82" t="str">
        <f>INDEX(SPT[],MATCH(ECF[[#This Row],[Prof. (m)]],SPT[Prof. (m)],0),3)</f>
        <v>Areia siltosa</v>
      </c>
      <c r="G281" s="82">
        <f>INDEX(estacas[],ECF[[#This Row],[idDiâmetro]],MATCH($B$2,estacas[#Headers],0))</f>
        <v>200</v>
      </c>
      <c r="H281" s="82">
        <f>INDEX(estacas[],MATCH(ECF[[#This Row],[Ø (cm)]],estacas[Ø ECF (cm)],0),MATCH(ECF[[#Headers],[Pe ECF (kN)]],estacas[#Headers],0))</f>
        <v>12500</v>
      </c>
      <c r="I281" s="4">
        <f>INDEX(K_alpha_C[],MATCH(ECF[[#This Row],[Solo]],K_alpha_C[Solo],0),2)</f>
        <v>0.8</v>
      </c>
      <c r="J281" s="5">
        <f>INDEX(K_alpha_C[],MATCH(ECF[[#This Row],[Solo]],K_alpha_C[Solo],0),3)</f>
        <v>2</v>
      </c>
      <c r="K281" s="4">
        <f>INDEX(F1_F2[],MATCH($D$2,F1_F2[Tipo de estaca],0),2)</f>
        <v>3</v>
      </c>
      <c r="L281" s="4">
        <f>INDEX(F1_F2[],MATCH($D$2,F1_F2[Tipo de estaca],0),3)</f>
        <v>6</v>
      </c>
      <c r="M281" s="4">
        <f>PI()*(ECF[[#This Row],[Ø (cm)]]/100)^2/4</f>
        <v>3.1415926535897931</v>
      </c>
      <c r="N281" s="4">
        <f>PI()*ECF[[#This Row],[Ø (cm)]]/100</f>
        <v>6.2831853071795862</v>
      </c>
      <c r="O281" s="4">
        <f>IF(ECF[[#This Row],[Prof. (m)]]=0,0,ECF[[#This Row],[α (%)]]/100*ECF[[#This Row],[K (MPa)]]*1000*ECF[[#This Row],[NSPT]])</f>
        <v>512</v>
      </c>
      <c r="P281" s="4">
        <f>IF(ECF[[#This Row],[Prof. (m)]]=0,0,(ECF[[#This Row],[K (MPa)]]*1000*ECF[[#This Row],[NSPT]]/ECF[[#This Row],[F1]]*ECF[[#This Row],[Ap (m²)]]+ECF[[#This Row],[U (m)]]/ECF[[#This Row],[F2]]*SUMIFS(ECF[(α∙K∙NL∙ΔL)],ECF[Prof. (m)],"&lt;="&amp;ECF[[#This Row],[Prof. (m)]],ECF[idDiâmetro],ECF[[#This Row],[idDiâmetro]],ECF[idPilar],ECF[[#This Row],[idPilar]]))/'DADOS CAP. CARGA'!$D$2)</f>
        <v>14413.574734792412</v>
      </c>
      <c r="Q281" s="12">
        <f>INDEX(C_alpha_beta[],MATCH(ECF[[#This Row],[Solo]],C_alpha_beta[Solo],0),MATCH(ECF[[#Headers],[C (kPa)]],C_alpha_beta[#Headers],0))</f>
        <v>400</v>
      </c>
      <c r="R281" s="4">
        <f>INDEX(C_alpha_beta[],MATCH(ECF[[#This Row],[Solo]],C_alpha_beta[Solo],0),MATCH(ECF[[#Headers],[α ESF]],C_alpha_beta[#Headers],0))</f>
        <v>0.5</v>
      </c>
      <c r="S281" s="4">
        <f>INDEX(C_alpha_beta[],MATCH(ECF[[#This Row],[Solo]],C_alpha_beta[Solo],0),MATCH(ECF[[#Headers],[β ESF]],C_alpha_beta[#Headers],0))</f>
        <v>0.5</v>
      </c>
      <c r="T281" s="4">
        <f>IF(ECF[[#This Row],[Prof. (m)]]=0,0,10*(ECF[[#This Row],[NSPT]]/3+1))</f>
        <v>116.66666666666666</v>
      </c>
      <c r="U281" s="4">
        <f>(ECF[[#This Row],[α ESF]]*ECF[[#This Row],[C (kPa)]]*ECF[[#This Row],[NSPT]]*ECF[[#This Row],[Ap (m²)]])/'DADOS CAP. CARGA'!$Q$2+(ECF[[#This Row],[β ESF]]*SUMIFS(ECF[10∙(NL/3+1)],ECF[Prof. (m)],"&lt;="&amp;ECF[[#This Row],[Prof. (m)]],ECF[idDiâmetro],ECF[[#This Row],[idDiâmetro]],ECF[idPilar],ECF[[#This Row],[idPilar]])*ECF[[#This Row],[U (m)]])/'DADOS CAP. CARGA'!$S$2</f>
        <v>5864.3062867009476</v>
      </c>
      <c r="V281" s="4">
        <f>IF(SPT!$M$5=1,MIN(ECF[[#This Row],[Pe ECF (kN)]],ECF[[#This Row],[R_AV (kN)]]),IF(SPT!$M$5=2,MIN(ECF[[#This Row],[Pe ECF (kN)]],ECF[[#This Row],[R_DC (kN)]]),MIN(ECF[[#This Row],[Pe ECF (kN)]],ECF[[#This Row],[R_AV (kN)]],ECF[[#This Row],[R_DC (kN)]])))</f>
        <v>5864.3062867009476</v>
      </c>
      <c r="W281" s="4">
        <f>INDEX(PILARES[],ECF[[#This Row],[idPilar]],MATCH("Carga (kN)",PILARES[#Headers],0))*1.4</f>
        <v>1750</v>
      </c>
      <c r="X281" s="12">
        <f>INDEX(PILARES[],ECF[[#This Row],[idPilar]],MATCH(ECF[[#Headers],[ap (cm)]],PILARES[#Headers],0))</f>
        <v>50</v>
      </c>
      <c r="Y281" s="12">
        <f>INDEX(PILARES[],ECF[[#This Row],[idPilar]],MATCH(ECF[[#Headers],[bp (cm)]],PILARES[#Headers],0))</f>
        <v>40</v>
      </c>
      <c r="Z281" s="4">
        <f>SQRT(ECF[[#This Row],[ap (cm)]]*ECF[[#This Row],[bp (cm)]])</f>
        <v>44.721359549995796</v>
      </c>
      <c r="AA281" s="12">
        <f>ECF[[#This Row],[ap (cm)]]*ECF[[#This Row],[bp (cm)]]</f>
        <v>2000</v>
      </c>
      <c r="AB281" s="12">
        <f ca="1">IF(ECF[[#This Row],[Padm∙ε (kN)]]&gt;=ECF[[#This Row],[Padm (kN)]],ROUNDUP(1.05*ECF[[#This Row],[Nsd (kN)]]/ECF[[#This Row],[Padm (kN)]],0),ROUNDUP(1.05*ECF[[#This Row],[Nsd (kN)]]/ECF[[#This Row],[Padm (kN)]],0)+1)</f>
        <v>1</v>
      </c>
      <c r="AC281" s="4">
        <f ca="1">IFERROR(IF(ECF[[#This Row],[nE]]=1,ECF[[#This Row],[Padm (kN)]],ECF[[#This Row],[Padm (kN)]]*ECF[[#This Row],[nE]]*INDEX(grupoEstacas[],ECF[[#This Row],[nE]],MATCH("ε",grupoEstacas[#Headers],0))),"N.S.")</f>
        <v>5864.3062867009476</v>
      </c>
      <c r="AD281" s="4">
        <f ca="1">1.05*ECF[[#This Row],[Nsd (kN)]]/(ECF[[#This Row],[nE]]*PI()*ECF[[#This Row],[Ø (cm)]]^2/4)*10</f>
        <v>0.5848944158627154</v>
      </c>
      <c r="AE281" s="4">
        <f ca="1">IF(ECF[[#This Row],[σ (MPa)]]&lt;INDEX(tipoEstaca[],MATCH($D$2,tipoEstaca[TIPO DE ESTACA],0),MATCH("σmáx (MPa)",tipoEstaca[#Headers],0)),0.4%*PI()*ECF[[#This Row],[Ø (cm)]]^2/4,"N.S.")</f>
        <v>125.66370614359174</v>
      </c>
      <c r="AF281" s="82">
        <f>INDEX(tipoEstaca[],MATCH($D$2,tipoEstaca[TIPO DE ESTACA],0),MATCH(ECF[[#Headers],[Comprimento (m)]],tipoEstaca[#Headers],0))</f>
        <v>4</v>
      </c>
      <c r="AG281" s="5">
        <f ca="1">ECF[[#This Row],[As,mín (cm²)]]/100^2*ECF[[#This Row],[Comprimento (m)]]*7850</f>
        <v>394.58403729087803</v>
      </c>
      <c r="AH281" s="4">
        <f ca="1">ECF[[#This Row],[nE]]*ECF[[#This Row],[Prof. (m)]]*ECF[[#This Row],[Ap (m²)]]</f>
        <v>31.415926535897931</v>
      </c>
      <c r="AI281" s="82">
        <f ca="1">IF(ECF[[#This Row],[nE]]=1,0,MAX(3*ECF[[#This Row],[Ø (cm)]],60))</f>
        <v>0</v>
      </c>
      <c r="AJ281" s="82">
        <f ca="1">IF(ECF[[#This Row],[nE]]=1,ECF[[#This Row],[Ø (cm)]]+2*10,MAX(1.5*ECF[[#This Row],[Ø (cm)]],ECF[[#This Row],[Ø (cm)]]+15))</f>
        <v>220</v>
      </c>
      <c r="AK281" s="82">
        <f ca="1">alturaUtil(ECF[[#This Row],[nE]],ECF[[#This Row],[Ø (cm)]],ECF[[#This Row],[e (cm)]],ECF[[#This Row],[ap,eq (cm)]])</f>
        <v>240</v>
      </c>
      <c r="AL281" s="82">
        <f ca="1">IFERROR(ECF[[#This Row],[d (cm)]]+arredondarParaCimaMultiplo5cm(MAX(5,SQRT(PI())/2*ECF[[#This Row],[Ø (cm)]]/5)),"N.S.")</f>
        <v>280</v>
      </c>
      <c r="AM281" s="5">
        <f ca="1">alpha(ECF[[#This Row],[nE]],ECF[[#This Row],[d (cm)]],ECF[[#This Row],[e (cm)]],ECF[[#This Row],[ap,eq (cm)]])</f>
        <v>90</v>
      </c>
      <c r="AN281" s="35">
        <f ca="1">IFERROR(ECF[[#This Row],[Nsd (kN)]]/(ECF[[#This Row],[Ap (cm²)]]*SIN(ECF[[#This Row],[α]])^2),"N.S.")</f>
        <v>1.0948037013095111</v>
      </c>
      <c r="AO281" s="35">
        <f ca="1">IFERROR(ECF[[#This Row],[Nsd (kN)]]/(ECF[[#This Row],[nE]]*PI()*ECF[[#This Row],[Ø (cm)]]^2/4*SIN(ECF[[#This Row],[α]])^2),"N.S.")</f>
        <v>6.9697368311484653E-2</v>
      </c>
      <c r="AP281" s="4">
        <f ca="1">IFERROR(INDEX(grupoEstacas[],ECF[[#This Row],[nE]],MATCH("coef. Blévot",grupoEstacas[#Headers],0)),"N.S.")</f>
        <v>1</v>
      </c>
      <c r="AQ281" s="35">
        <f ca="1">IFERROR(ECF[[#This Row],[coef. Blévot]]*0.9*INDEX(tipoEstaca[],MATCH($D$2,tipoEstaca[TIPO DE ESTACA],0),MATCH("fcd (kN/cm²)",tipoEstaca[#Headers],0)),"N.S.")</f>
        <v>1</v>
      </c>
      <c r="AR281" s="82" t="str">
        <f ca="1">IF(AND(ECF[[#This Row],[cd,b,pil (kN/cm²)]]&lt;=ECF[[#This Row],[cd,b,lim (kN/cm²)]],ECF[[#This Row],[cd,b,est (kN/cm²)]]&lt;=ECF[[#This Row],[cd,b,lim (kN/cm²)]]),"OK","ERRO")</f>
        <v>ERRO</v>
      </c>
      <c r="AS281" s="4">
        <f ca="1">As_lado(ECF[[#This Row],[nE]],ECF[[#This Row],[Nsd (kN)]],ECF[[#This Row],[d (cm)]],ECF[[#This Row],[e (cm)]],ECF[[#This Row],[ap,eq (cm)]])</f>
        <v>10.0625</v>
      </c>
      <c r="AT281" s="4">
        <f ca="1">IF(ECF[[#This Row],[nE]]=1,ECF[[#This Row],[As,lado (cm²)]],IF(ECF[[#This Row],[nE]]=2,0.075*2*ECF[a (cm)],"N.A."))</f>
        <v>10.0625</v>
      </c>
      <c r="AU281" s="4" t="str">
        <f ca="1">IFERROR(IF(ECF[[#This Row],[nE]]=1,"N.A.",0.2*ECF[[#This Row],[As,lado (cm²)]]),"N.S.")</f>
        <v>N.A.</v>
      </c>
      <c r="AV281" s="4" t="str">
        <f ca="1">As_malha(ECF[[#This Row],[nE]],ECF[[#This Row],[As,lado (cm²)]],ECF[[#This Row],[Nsd (kN)]])</f>
        <v>N.A.</v>
      </c>
      <c r="AW281" s="4" t="str">
        <f ca="1">As_susp_tot(ECF[[#This Row],[nE]],ECF[[#This Row],[Nsd (kN)]])</f>
        <v>N.A.</v>
      </c>
      <c r="AX281" s="4" t="str">
        <f ca="1">Asp_face(ECF[[#This Row],[nE]],ECF[[#This Row],[As,lado (cm²)]])</f>
        <v>N.A.</v>
      </c>
      <c r="AY281" s="5">
        <f ca="1">acoBloco(ECF[[#This Row],[nE]],ECF[[#This Row],[e (cm)]],ECF[[#This Row],[a (cm)]],ECF[[#This Row],[h (cm)]],ECF[[#This Row],[As,lado (cm²)]],ECF[[#This Row],[Asp e Asw (cm²/m)]],ECF[[#This Row],[As,sup (cm²)]],ECF[[#This Row],[As,malha (cm²)]],ECF[[#This Row],[As,susp,tot (cm²)]],ECF[[#This Row],[Asp,face (cm²)]])</f>
        <v>227.49299999999999</v>
      </c>
      <c r="AZ281" s="4">
        <f ca="1">concretoBloco(ECF[[#This Row],[nE]],ECF[[#This Row],[e (cm)]],ECF[[#This Row],[a (cm)]],ECF[[#This Row],[h (cm)]])</f>
        <v>13.552</v>
      </c>
      <c r="BA281" s="5">
        <f ca="1">SUM(ECF[[#This Row],[Aço Est (kg)]],ECF[[#This Row],[Aço Bloco (kg)]])</f>
        <v>622.07703729087802</v>
      </c>
      <c r="BB281" s="4">
        <f>INDEX(composicoes[],MATCH(95580,composicoes[CÓDIGO],0),MATCH("CUSTO TOTAL",composicoes[#Headers],0))</f>
        <v>10.46</v>
      </c>
      <c r="BC281" s="4">
        <f ca="1">SUM(ECF[[#This Row],[Conc Est (m³)]],ECF[[#This Row],[Conc Bloco (m³)]])</f>
        <v>44.967926535897931</v>
      </c>
      <c r="BD281" s="4">
        <f>INDEX(composicoes[],MATCH(94966,composicoes[CÓDIGO],0),MATCH("CUSTO TOTAL",composicoes[#Headers],0))</f>
        <v>439.52</v>
      </c>
      <c r="BE281" s="38">
        <f ca="1">ECF[[#This Row],[Aço (kg)]]*ECF[[#This Row],[Aço (R$/kg)]]+ECF[[#This Row],[Conc (m³)]]*ECF[[#This Row],[Conc (R$/m³)]]</f>
        <v>26271.228881120442</v>
      </c>
      <c r="BF281" s="4" t="str">
        <f ca="1">IF(COUNTIF(ECF[#This Row],"N.S.")&gt;0,"lim.","OK")</f>
        <v>OK</v>
      </c>
      <c r="BG281" s="4" t="str">
        <f>IF(ECF[[#This Row],[Prof. (m)]]&lt;4,"lim.","OK")</f>
        <v>OK</v>
      </c>
      <c r="BH281" s="4" t="str">
        <f>IF(ECF[[#This Row],[Prof. (m)]]&gt;=8*ECF[[#This Row],[Ø (cm)]]/100,"OK","lim.")</f>
        <v>lim.</v>
      </c>
      <c r="BI281" s="4" t="str">
        <f>IF(AND(SPT!$F$3&lt;&gt;"",ECF[[#This Row],[Prof. (m)]]&gt;=SPT!$F$3-2),"lim.","OK")</f>
        <v>OK</v>
      </c>
      <c r="BJ281" s="4" t="str">
        <f ca="1">IF(ECF[[#This Row],[Verif. Biela]]="OK","OK","lim.")</f>
        <v>lim.</v>
      </c>
      <c r="BK281" s="4" t="str">
        <f ca="1">IF(COUNTA(ECF[[#This Row],[Nº Est.]:[Biela comp.]])=COUNTIF(ECF[[#This Row],[Nº Est.]:[Biela comp.]],"OK"),"OK","lim.")</f>
        <v>lim.</v>
      </c>
      <c r="BL281" s="4" t="str">
        <f ca="1">IF(ECF[[#This Row],[Controle]]="OK",ECF[[#This Row],[nE]]&amp;" Ø "&amp;ECF[[#This Row],[Ø (cm)]]&amp;" cm, Prof. "&amp;ECF[[#This Row],[Prof. (m)]]&amp;" m","")</f>
        <v/>
      </c>
      <c r="BM281" s="4" t="str">
        <f ca="1">IF(ECF[[#This Row],[idDimensionamento]]="","",ECF[[#This Row],[idPilar]]&amp;ECF[[#This Row],[idDimensionamento]])</f>
        <v/>
      </c>
    </row>
    <row r="282" spans="2:65" x14ac:dyDescent="0.25">
      <c r="B282" s="12">
        <f>ROUNDUP((ROW(ECF[[#This Row],[idDiâmetro]])-ROW(ECF[[#Headers],[idDiâmetro]]))/(COUNT(SPT[Prof. (m)])*COUNT(PILARES[Pilar])),0)</f>
        <v>10</v>
      </c>
      <c r="C282" s="12">
        <f>IF(ECF[[#This Row],[idDiâmetro]]&lt;&gt;B281,1,IF(ECF[[#This Row],[Prof. (m)]]=0,C281+1,C281))</f>
        <v>2</v>
      </c>
      <c r="D282" s="82">
        <f>IFERROR(IF(D281=MAX(SPT[Prof. (m)]),0,D281+1),0)</f>
        <v>11</v>
      </c>
      <c r="E282" s="82">
        <f>INDEX(SPT[],MATCH(ECF[[#This Row],[Prof. (m)]],SPT[Prof. (m)],0),2)</f>
        <v>41</v>
      </c>
      <c r="F282" s="82" t="str">
        <f>INDEX(SPT[],MATCH(ECF[[#This Row],[Prof. (m)]],SPT[Prof. (m)],0),3)</f>
        <v>Areia siltosa</v>
      </c>
      <c r="G282" s="82">
        <f>INDEX(estacas[],ECF[[#This Row],[idDiâmetro]],MATCH($B$2,estacas[#Headers],0))</f>
        <v>200</v>
      </c>
      <c r="H282" s="82">
        <f>INDEX(estacas[],MATCH(ECF[[#This Row],[Ø (cm)]],estacas[Ø ECF (cm)],0),MATCH(ECF[[#Headers],[Pe ECF (kN)]],estacas[#Headers],0))</f>
        <v>12500</v>
      </c>
      <c r="I282" s="4">
        <f>INDEX(K_alpha_C[],MATCH(ECF[[#This Row],[Solo]],K_alpha_C[Solo],0),2)</f>
        <v>0.8</v>
      </c>
      <c r="J282" s="5">
        <f>INDEX(K_alpha_C[],MATCH(ECF[[#This Row],[Solo]],K_alpha_C[Solo],0),3)</f>
        <v>2</v>
      </c>
      <c r="K282" s="4">
        <f>INDEX(F1_F2[],MATCH($D$2,F1_F2[Tipo de estaca],0),2)</f>
        <v>3</v>
      </c>
      <c r="L282" s="4">
        <f>INDEX(F1_F2[],MATCH($D$2,F1_F2[Tipo de estaca],0),3)</f>
        <v>6</v>
      </c>
      <c r="M282" s="4">
        <f>PI()*(ECF[[#This Row],[Ø (cm)]]/100)^2/4</f>
        <v>3.1415926535897931</v>
      </c>
      <c r="N282" s="4">
        <f>PI()*ECF[[#This Row],[Ø (cm)]]/100</f>
        <v>6.2831853071795862</v>
      </c>
      <c r="O282" s="4">
        <f>IF(ECF[[#This Row],[Prof. (m)]]=0,0,ECF[[#This Row],[α (%)]]/100*ECF[[#This Row],[K (MPa)]]*1000*ECF[[#This Row],[NSPT]])</f>
        <v>656</v>
      </c>
      <c r="P282" s="4">
        <f>IF(ECF[[#This Row],[Prof. (m)]]=0,0,(ECF[[#This Row],[K (MPa)]]*1000*ECF[[#This Row],[NSPT]]/ECF[[#This Row],[F1]]*ECF[[#This Row],[Ap (m²)]]+ECF[[#This Row],[U (m)]]/ECF[[#This Row],[F2]]*SUMIFS(ECF[(α∙K∙NL∙ΔL)],ECF[Prof. (m)],"&lt;="&amp;ECF[[#This Row],[Prof. (m)]],ECF[idDiâmetro],ECF[[#This Row],[idDiâmetro]],ECF[idPilar],ECF[[#This Row],[idPilar]]))/'DADOS CAP. CARGA'!$D$2)</f>
        <v>18526.966715892646</v>
      </c>
      <c r="Q282" s="12">
        <f>INDEX(C_alpha_beta[],MATCH(ECF[[#This Row],[Solo]],C_alpha_beta[Solo],0),MATCH(ECF[[#Headers],[C (kPa)]],C_alpha_beta[#Headers],0))</f>
        <v>400</v>
      </c>
      <c r="R282" s="4">
        <f>INDEX(C_alpha_beta[],MATCH(ECF[[#This Row],[Solo]],C_alpha_beta[Solo],0),MATCH(ECF[[#Headers],[α ESF]],C_alpha_beta[#Headers],0))</f>
        <v>0.5</v>
      </c>
      <c r="S282" s="4">
        <f>INDEX(C_alpha_beta[],MATCH(ECF[[#This Row],[Solo]],C_alpha_beta[Solo],0),MATCH(ECF[[#Headers],[β ESF]],C_alpha_beta[#Headers],0))</f>
        <v>0.5</v>
      </c>
      <c r="T282" s="4">
        <f>IF(ECF[[#This Row],[Prof. (m)]]=0,0,10*(ECF[[#This Row],[NSPT]]/3+1))</f>
        <v>146.66666666666666</v>
      </c>
      <c r="U282" s="4">
        <f>(ECF[[#This Row],[α ESF]]*ECF[[#This Row],[C (kPa)]]*ECF[[#This Row],[NSPT]]*ECF[[#This Row],[Ap (m²)]])/'DADOS CAP. CARGA'!$Q$2+(ECF[[#This Row],[β ESF]]*SUMIFS(ECF[10∙(NL/3+1)],ECF[Prof. (m)],"&lt;="&amp;ECF[[#This Row],[Prof. (m)]],ECF[idDiâmetro],ECF[[#This Row],[idDiâmetro]],ECF[idPilar],ECF[[#This Row],[idPilar]])*ECF[[#This Row],[U (m)]])/'DADOS CAP. CARGA'!$S$2</f>
        <v>7508.4064420796049</v>
      </c>
      <c r="V282" s="4">
        <f>IF(SPT!$M$5=1,MIN(ECF[[#This Row],[Pe ECF (kN)]],ECF[[#This Row],[R_AV (kN)]]),IF(SPT!$M$5=2,MIN(ECF[[#This Row],[Pe ECF (kN)]],ECF[[#This Row],[R_DC (kN)]]),MIN(ECF[[#This Row],[Pe ECF (kN)]],ECF[[#This Row],[R_AV (kN)]],ECF[[#This Row],[R_DC (kN)]])))</f>
        <v>7508.4064420796049</v>
      </c>
      <c r="W282" s="4">
        <f>INDEX(PILARES[],ECF[[#This Row],[idPilar]],MATCH("Carga (kN)",PILARES[#Headers],0))*1.4</f>
        <v>1750</v>
      </c>
      <c r="X282" s="12">
        <f>INDEX(PILARES[],ECF[[#This Row],[idPilar]],MATCH(ECF[[#Headers],[ap (cm)]],PILARES[#Headers],0))</f>
        <v>50</v>
      </c>
      <c r="Y282" s="12">
        <f>INDEX(PILARES[],ECF[[#This Row],[idPilar]],MATCH(ECF[[#Headers],[bp (cm)]],PILARES[#Headers],0))</f>
        <v>40</v>
      </c>
      <c r="Z282" s="4">
        <f>SQRT(ECF[[#This Row],[ap (cm)]]*ECF[[#This Row],[bp (cm)]])</f>
        <v>44.721359549995796</v>
      </c>
      <c r="AA282" s="12">
        <f>ECF[[#This Row],[ap (cm)]]*ECF[[#This Row],[bp (cm)]]</f>
        <v>2000</v>
      </c>
      <c r="AB282" s="12">
        <f ca="1">IF(ECF[[#This Row],[Padm∙ε (kN)]]&gt;=ECF[[#This Row],[Padm (kN)]],ROUNDUP(1.05*ECF[[#This Row],[Nsd (kN)]]/ECF[[#This Row],[Padm (kN)]],0),ROUNDUP(1.05*ECF[[#This Row],[Nsd (kN)]]/ECF[[#This Row],[Padm (kN)]],0)+1)</f>
        <v>1</v>
      </c>
      <c r="AC282" s="4">
        <f ca="1">IFERROR(IF(ECF[[#This Row],[nE]]=1,ECF[[#This Row],[Padm (kN)]],ECF[[#This Row],[Padm (kN)]]*ECF[[#This Row],[nE]]*INDEX(grupoEstacas[],ECF[[#This Row],[nE]],MATCH("ε",grupoEstacas[#Headers],0))),"N.S.")</f>
        <v>7508.4064420796049</v>
      </c>
      <c r="AD282" s="4">
        <f ca="1">1.05*ECF[[#This Row],[Nsd (kN)]]/(ECF[[#This Row],[nE]]*PI()*ECF[[#This Row],[Ø (cm)]]^2/4)*10</f>
        <v>0.5848944158627154</v>
      </c>
      <c r="AE282" s="4">
        <f ca="1">IF(ECF[[#This Row],[σ (MPa)]]&lt;INDEX(tipoEstaca[],MATCH($D$2,tipoEstaca[TIPO DE ESTACA],0),MATCH("σmáx (MPa)",tipoEstaca[#Headers],0)),0.4%*PI()*ECF[[#This Row],[Ø (cm)]]^2/4,"N.S.")</f>
        <v>125.66370614359174</v>
      </c>
      <c r="AF282" s="82">
        <f>INDEX(tipoEstaca[],MATCH($D$2,tipoEstaca[TIPO DE ESTACA],0),MATCH(ECF[[#Headers],[Comprimento (m)]],tipoEstaca[#Headers],0))</f>
        <v>4</v>
      </c>
      <c r="AG282" s="5">
        <f ca="1">ECF[[#This Row],[As,mín (cm²)]]/100^2*ECF[[#This Row],[Comprimento (m)]]*7850</f>
        <v>394.58403729087803</v>
      </c>
      <c r="AH282" s="4">
        <f ca="1">ECF[[#This Row],[nE]]*ECF[[#This Row],[Prof. (m)]]*ECF[[#This Row],[Ap (m²)]]</f>
        <v>34.557519189487721</v>
      </c>
      <c r="AI282" s="82">
        <f ca="1">IF(ECF[[#This Row],[nE]]=1,0,MAX(3*ECF[[#This Row],[Ø (cm)]],60))</f>
        <v>0</v>
      </c>
      <c r="AJ282" s="82">
        <f ca="1">IF(ECF[[#This Row],[nE]]=1,ECF[[#This Row],[Ø (cm)]]+2*10,MAX(1.5*ECF[[#This Row],[Ø (cm)]],ECF[[#This Row],[Ø (cm)]]+15))</f>
        <v>220</v>
      </c>
      <c r="AK282" s="82">
        <f ca="1">alturaUtil(ECF[[#This Row],[nE]],ECF[[#This Row],[Ø (cm)]],ECF[[#This Row],[e (cm)]],ECF[[#This Row],[ap,eq (cm)]])</f>
        <v>240</v>
      </c>
      <c r="AL282" s="82">
        <f ca="1">IFERROR(ECF[[#This Row],[d (cm)]]+arredondarParaCimaMultiplo5cm(MAX(5,SQRT(PI())/2*ECF[[#This Row],[Ø (cm)]]/5)),"N.S.")</f>
        <v>280</v>
      </c>
      <c r="AM282" s="5">
        <f ca="1">alpha(ECF[[#This Row],[nE]],ECF[[#This Row],[d (cm)]],ECF[[#This Row],[e (cm)]],ECF[[#This Row],[ap,eq (cm)]])</f>
        <v>90</v>
      </c>
      <c r="AN282" s="35">
        <f ca="1">IFERROR(ECF[[#This Row],[Nsd (kN)]]/(ECF[[#This Row],[Ap (cm²)]]*SIN(ECF[[#This Row],[α]])^2),"N.S.")</f>
        <v>1.0948037013095111</v>
      </c>
      <c r="AO282" s="35">
        <f ca="1">IFERROR(ECF[[#This Row],[Nsd (kN)]]/(ECF[[#This Row],[nE]]*PI()*ECF[[#This Row],[Ø (cm)]]^2/4*SIN(ECF[[#This Row],[α]])^2),"N.S.")</f>
        <v>6.9697368311484653E-2</v>
      </c>
      <c r="AP282" s="4">
        <f ca="1">IFERROR(INDEX(grupoEstacas[],ECF[[#This Row],[nE]],MATCH("coef. Blévot",grupoEstacas[#Headers],0)),"N.S.")</f>
        <v>1</v>
      </c>
      <c r="AQ282" s="35">
        <f ca="1">IFERROR(ECF[[#This Row],[coef. Blévot]]*0.9*INDEX(tipoEstaca[],MATCH($D$2,tipoEstaca[TIPO DE ESTACA],0),MATCH("fcd (kN/cm²)",tipoEstaca[#Headers],0)),"N.S.")</f>
        <v>1</v>
      </c>
      <c r="AR282" s="82" t="str">
        <f ca="1">IF(AND(ECF[[#This Row],[cd,b,pil (kN/cm²)]]&lt;=ECF[[#This Row],[cd,b,lim (kN/cm²)]],ECF[[#This Row],[cd,b,est (kN/cm²)]]&lt;=ECF[[#This Row],[cd,b,lim (kN/cm²)]]),"OK","ERRO")</f>
        <v>ERRO</v>
      </c>
      <c r="AS282" s="4">
        <f ca="1">As_lado(ECF[[#This Row],[nE]],ECF[[#This Row],[Nsd (kN)]],ECF[[#This Row],[d (cm)]],ECF[[#This Row],[e (cm)]],ECF[[#This Row],[ap,eq (cm)]])</f>
        <v>10.0625</v>
      </c>
      <c r="AT282" s="4">
        <f ca="1">IF(ECF[[#This Row],[nE]]=1,ECF[[#This Row],[As,lado (cm²)]],IF(ECF[[#This Row],[nE]]=2,0.075*2*ECF[a (cm)],"N.A."))</f>
        <v>10.0625</v>
      </c>
      <c r="AU282" s="4" t="str">
        <f ca="1">IFERROR(IF(ECF[[#This Row],[nE]]=1,"N.A.",0.2*ECF[[#This Row],[As,lado (cm²)]]),"N.S.")</f>
        <v>N.A.</v>
      </c>
      <c r="AV282" s="4" t="str">
        <f ca="1">As_malha(ECF[[#This Row],[nE]],ECF[[#This Row],[As,lado (cm²)]],ECF[[#This Row],[Nsd (kN)]])</f>
        <v>N.A.</v>
      </c>
      <c r="AW282" s="4" t="str">
        <f ca="1">As_susp_tot(ECF[[#This Row],[nE]],ECF[[#This Row],[Nsd (kN)]])</f>
        <v>N.A.</v>
      </c>
      <c r="AX282" s="4" t="str">
        <f ca="1">Asp_face(ECF[[#This Row],[nE]],ECF[[#This Row],[As,lado (cm²)]])</f>
        <v>N.A.</v>
      </c>
      <c r="AY282" s="5">
        <f ca="1">acoBloco(ECF[[#This Row],[nE]],ECF[[#This Row],[e (cm)]],ECF[[#This Row],[a (cm)]],ECF[[#This Row],[h (cm)]],ECF[[#This Row],[As,lado (cm²)]],ECF[[#This Row],[Asp e Asw (cm²/m)]],ECF[[#This Row],[As,sup (cm²)]],ECF[[#This Row],[As,malha (cm²)]],ECF[[#This Row],[As,susp,tot (cm²)]],ECF[[#This Row],[Asp,face (cm²)]])</f>
        <v>227.49299999999999</v>
      </c>
      <c r="AZ282" s="4">
        <f ca="1">concretoBloco(ECF[[#This Row],[nE]],ECF[[#This Row],[e (cm)]],ECF[[#This Row],[a (cm)]],ECF[[#This Row],[h (cm)]])</f>
        <v>13.552</v>
      </c>
      <c r="BA282" s="5">
        <f ca="1">SUM(ECF[[#This Row],[Aço Est (kg)]],ECF[[#This Row],[Aço Bloco (kg)]])</f>
        <v>622.07703729087802</v>
      </c>
      <c r="BB282" s="4">
        <f>INDEX(composicoes[],MATCH(95580,composicoes[CÓDIGO],0),MATCH("CUSTO TOTAL",composicoes[#Headers],0))</f>
        <v>10.46</v>
      </c>
      <c r="BC282" s="4">
        <f ca="1">SUM(ECF[[#This Row],[Conc Est (m³)]],ECF[[#This Row],[Conc Bloco (m³)]])</f>
        <v>48.10951918948772</v>
      </c>
      <c r="BD282" s="4">
        <f>INDEX(composicoes[],MATCH(94966,composicoes[CÓDIGO],0),MATCH("CUSTO TOTAL",composicoes[#Headers],0))</f>
        <v>439.52</v>
      </c>
      <c r="BE282" s="38">
        <f ca="1">ECF[[#This Row],[Aço (kg)]]*ECF[[#This Row],[Aço (R$/kg)]]+ECF[[#This Row],[Conc (m³)]]*ECF[[#This Row],[Conc (R$/m³)]]</f>
        <v>27652.021684226227</v>
      </c>
      <c r="BF282" s="4" t="str">
        <f ca="1">IF(COUNTIF(ECF[#This Row],"N.S.")&gt;0,"lim.","OK")</f>
        <v>OK</v>
      </c>
      <c r="BG282" s="4" t="str">
        <f>IF(ECF[[#This Row],[Prof. (m)]]&lt;4,"lim.","OK")</f>
        <v>OK</v>
      </c>
      <c r="BH282" s="4" t="str">
        <f>IF(ECF[[#This Row],[Prof. (m)]]&gt;=8*ECF[[#This Row],[Ø (cm)]]/100,"OK","lim.")</f>
        <v>lim.</v>
      </c>
      <c r="BI282" s="4" t="str">
        <f>IF(AND(SPT!$F$3&lt;&gt;"",ECF[[#This Row],[Prof. (m)]]&gt;=SPT!$F$3-2),"lim.","OK")</f>
        <v>OK</v>
      </c>
      <c r="BJ282" s="4" t="str">
        <f ca="1">IF(ECF[[#This Row],[Verif. Biela]]="OK","OK","lim.")</f>
        <v>lim.</v>
      </c>
      <c r="BK282" s="4" t="str">
        <f ca="1">IF(COUNTA(ECF[[#This Row],[Nº Est.]:[Biela comp.]])=COUNTIF(ECF[[#This Row],[Nº Est.]:[Biela comp.]],"OK"),"OK","lim.")</f>
        <v>lim.</v>
      </c>
      <c r="BL282" s="4" t="str">
        <f ca="1">IF(ECF[[#This Row],[Controle]]="OK",ECF[[#This Row],[nE]]&amp;" Ø "&amp;ECF[[#This Row],[Ø (cm)]]&amp;" cm, Prof. "&amp;ECF[[#This Row],[Prof. (m)]]&amp;" m","")</f>
        <v/>
      </c>
      <c r="BM282" s="4" t="str">
        <f ca="1">IF(ECF[[#This Row],[idDimensionamento]]="","",ECF[[#This Row],[idPilar]]&amp;ECF[[#This Row],[idDimensionamento]])</f>
        <v/>
      </c>
    </row>
    <row r="283" spans="2:65" x14ac:dyDescent="0.25">
      <c r="B283" s="12">
        <f>ROUNDUP((ROW(ECF[[#This Row],[idDiâmetro]])-ROW(ECF[[#Headers],[idDiâmetro]]))/(COUNT(SPT[Prof. (m)])*COUNT(PILARES[Pilar])),0)</f>
        <v>10</v>
      </c>
      <c r="C283" s="12">
        <f>IF(ECF[[#This Row],[idDiâmetro]]&lt;&gt;B282,1,IF(ECF[[#This Row],[Prof. (m)]]=0,C282+1,C282))</f>
        <v>2</v>
      </c>
      <c r="D283" s="82">
        <f>IFERROR(IF(D282=MAX(SPT[Prof. (m)]),0,D282+1),0)</f>
        <v>12</v>
      </c>
      <c r="E283" s="82">
        <f>INDEX(SPT[],MATCH(ECF[[#This Row],[Prof. (m)]],SPT[Prof. (m)],0),2)</f>
        <v>52</v>
      </c>
      <c r="F283" s="82" t="str">
        <f>INDEX(SPT[],MATCH(ECF[[#This Row],[Prof. (m)]],SPT[Prof. (m)],0),3)</f>
        <v>Areia siltosa</v>
      </c>
      <c r="G283" s="82">
        <f>INDEX(estacas[],ECF[[#This Row],[idDiâmetro]],MATCH($B$2,estacas[#Headers],0))</f>
        <v>200</v>
      </c>
      <c r="H283" s="82">
        <f>INDEX(estacas[],MATCH(ECF[[#This Row],[Ø (cm)]],estacas[Ø ECF (cm)],0),MATCH(ECF[[#Headers],[Pe ECF (kN)]],estacas[#Headers],0))</f>
        <v>12500</v>
      </c>
      <c r="I283" s="4">
        <f>INDEX(K_alpha_C[],MATCH(ECF[[#This Row],[Solo]],K_alpha_C[Solo],0),2)</f>
        <v>0.8</v>
      </c>
      <c r="J283" s="5">
        <f>INDEX(K_alpha_C[],MATCH(ECF[[#This Row],[Solo]],K_alpha_C[Solo],0),3)</f>
        <v>2</v>
      </c>
      <c r="K283" s="4">
        <f>INDEX(F1_F2[],MATCH($D$2,F1_F2[Tipo de estaca],0),2)</f>
        <v>3</v>
      </c>
      <c r="L283" s="4">
        <f>INDEX(F1_F2[],MATCH($D$2,F1_F2[Tipo de estaca],0),3)</f>
        <v>6</v>
      </c>
      <c r="M283" s="4">
        <f>PI()*(ECF[[#This Row],[Ø (cm)]]/100)^2/4</f>
        <v>3.1415926535897931</v>
      </c>
      <c r="N283" s="4">
        <f>PI()*ECF[[#This Row],[Ø (cm)]]/100</f>
        <v>6.2831853071795862</v>
      </c>
      <c r="O283" s="4">
        <f>IF(ECF[[#This Row],[Prof. (m)]]=0,0,ECF[[#This Row],[α (%)]]/100*ECF[[#This Row],[K (MPa)]]*1000*ECF[[#This Row],[NSPT]])</f>
        <v>832</v>
      </c>
      <c r="P283" s="4">
        <f>IF(ECF[[#This Row],[Prof. (m)]]=0,0,(ECF[[#This Row],[K (MPa)]]*1000*ECF[[#This Row],[NSPT]]/ECF[[#This Row],[F1]]*ECF[[#This Row],[Ap (m²)]]+ECF[[#This Row],[U (m)]]/ECF[[#This Row],[F2]]*SUMIFS(ECF[(α∙K∙NL∙ΔL)],ECF[Prof. (m)],"&lt;="&amp;ECF[[#This Row],[Prof. (m)]],ECF[idDiâmetro],ECF[[#This Row],[idDiâmetro]],ECF[idPilar],ECF[[#This Row],[idPilar]]))/'DADOS CAP. CARGA'!$D$2)</f>
        <v>23570.270122455458</v>
      </c>
      <c r="Q283" s="12">
        <f>INDEX(C_alpha_beta[],MATCH(ECF[[#This Row],[Solo]],C_alpha_beta[Solo],0),MATCH(ECF[[#Headers],[C (kPa)]],C_alpha_beta[#Headers],0))</f>
        <v>400</v>
      </c>
      <c r="R283" s="4">
        <f>INDEX(C_alpha_beta[],MATCH(ECF[[#This Row],[Solo]],C_alpha_beta[Solo],0),MATCH(ECF[[#Headers],[α ESF]],C_alpha_beta[#Headers],0))</f>
        <v>0.5</v>
      </c>
      <c r="S283" s="4">
        <f>INDEX(C_alpha_beta[],MATCH(ECF[[#This Row],[Solo]],C_alpha_beta[Solo],0),MATCH(ECF[[#Headers],[β ESF]],C_alpha_beta[#Headers],0))</f>
        <v>0.5</v>
      </c>
      <c r="T283" s="4">
        <f>IF(ECF[[#This Row],[Prof. (m)]]=0,0,10*(ECF[[#This Row],[NSPT]]/3+1))</f>
        <v>183.33333333333331</v>
      </c>
      <c r="U283" s="4">
        <f>(ECF[[#This Row],[α ESF]]*ECF[[#This Row],[C (kPa)]]*ECF[[#This Row],[NSPT]]*ECF[[#This Row],[Ap (m²)]])/'DADOS CAP. CARGA'!$Q$2+(ECF[[#This Row],[β ESF]]*SUMIFS(ECF[10∙(NL/3+1)],ECF[Prof. (m)],"&lt;="&amp;ECF[[#This Row],[Prof. (m)]],ECF[idDiâmetro],ECF[[#This Row],[idDiâmetro]],ECF[idPilar],ECF[[#This Row],[idPilar]])*ECF[[#This Row],[U (m)]])/'DADOS CAP. CARGA'!$S$2</f>
        <v>9524.2617281330549</v>
      </c>
      <c r="V283" s="4">
        <f>IF(SPT!$M$5=1,MIN(ECF[[#This Row],[Pe ECF (kN)]],ECF[[#This Row],[R_AV (kN)]]),IF(SPT!$M$5=2,MIN(ECF[[#This Row],[Pe ECF (kN)]],ECF[[#This Row],[R_DC (kN)]]),MIN(ECF[[#This Row],[Pe ECF (kN)]],ECF[[#This Row],[R_AV (kN)]],ECF[[#This Row],[R_DC (kN)]])))</f>
        <v>9524.2617281330549</v>
      </c>
      <c r="W283" s="4">
        <f>INDEX(PILARES[],ECF[[#This Row],[idPilar]],MATCH("Carga (kN)",PILARES[#Headers],0))*1.4</f>
        <v>1750</v>
      </c>
      <c r="X283" s="12">
        <f>INDEX(PILARES[],ECF[[#This Row],[idPilar]],MATCH(ECF[[#Headers],[ap (cm)]],PILARES[#Headers],0))</f>
        <v>50</v>
      </c>
      <c r="Y283" s="12">
        <f>INDEX(PILARES[],ECF[[#This Row],[idPilar]],MATCH(ECF[[#Headers],[bp (cm)]],PILARES[#Headers],0))</f>
        <v>40</v>
      </c>
      <c r="Z283" s="4">
        <f>SQRT(ECF[[#This Row],[ap (cm)]]*ECF[[#This Row],[bp (cm)]])</f>
        <v>44.721359549995796</v>
      </c>
      <c r="AA283" s="12">
        <f>ECF[[#This Row],[ap (cm)]]*ECF[[#This Row],[bp (cm)]]</f>
        <v>2000</v>
      </c>
      <c r="AB283" s="12">
        <f ca="1">IF(ECF[[#This Row],[Padm∙ε (kN)]]&gt;=ECF[[#This Row],[Padm (kN)]],ROUNDUP(1.05*ECF[[#This Row],[Nsd (kN)]]/ECF[[#This Row],[Padm (kN)]],0),ROUNDUP(1.05*ECF[[#This Row],[Nsd (kN)]]/ECF[[#This Row],[Padm (kN)]],0)+1)</f>
        <v>1</v>
      </c>
      <c r="AC283" s="4">
        <f ca="1">IFERROR(IF(ECF[[#This Row],[nE]]=1,ECF[[#This Row],[Padm (kN)]],ECF[[#This Row],[Padm (kN)]]*ECF[[#This Row],[nE]]*INDEX(grupoEstacas[],ECF[[#This Row],[nE]],MATCH("ε",grupoEstacas[#Headers],0))),"N.S.")</f>
        <v>9524.2617281330549</v>
      </c>
      <c r="AD283" s="4">
        <f ca="1">1.05*ECF[[#This Row],[Nsd (kN)]]/(ECF[[#This Row],[nE]]*PI()*ECF[[#This Row],[Ø (cm)]]^2/4)*10</f>
        <v>0.5848944158627154</v>
      </c>
      <c r="AE283" s="4">
        <f ca="1">IF(ECF[[#This Row],[σ (MPa)]]&lt;INDEX(tipoEstaca[],MATCH($D$2,tipoEstaca[TIPO DE ESTACA],0),MATCH("σmáx (MPa)",tipoEstaca[#Headers],0)),0.4%*PI()*ECF[[#This Row],[Ø (cm)]]^2/4,"N.S.")</f>
        <v>125.66370614359174</v>
      </c>
      <c r="AF283" s="82">
        <f>INDEX(tipoEstaca[],MATCH($D$2,tipoEstaca[TIPO DE ESTACA],0),MATCH(ECF[[#Headers],[Comprimento (m)]],tipoEstaca[#Headers],0))</f>
        <v>4</v>
      </c>
      <c r="AG283" s="5">
        <f ca="1">ECF[[#This Row],[As,mín (cm²)]]/100^2*ECF[[#This Row],[Comprimento (m)]]*7850</f>
        <v>394.58403729087803</v>
      </c>
      <c r="AH283" s="4">
        <f ca="1">ECF[[#This Row],[nE]]*ECF[[#This Row],[Prof. (m)]]*ECF[[#This Row],[Ap (m²)]]</f>
        <v>37.699111843077517</v>
      </c>
      <c r="AI283" s="82">
        <f ca="1">IF(ECF[[#This Row],[nE]]=1,0,MAX(3*ECF[[#This Row],[Ø (cm)]],60))</f>
        <v>0</v>
      </c>
      <c r="AJ283" s="82">
        <f ca="1">IF(ECF[[#This Row],[nE]]=1,ECF[[#This Row],[Ø (cm)]]+2*10,MAX(1.5*ECF[[#This Row],[Ø (cm)]],ECF[[#This Row],[Ø (cm)]]+15))</f>
        <v>220</v>
      </c>
      <c r="AK283" s="82">
        <f ca="1">alturaUtil(ECF[[#This Row],[nE]],ECF[[#This Row],[Ø (cm)]],ECF[[#This Row],[e (cm)]],ECF[[#This Row],[ap,eq (cm)]])</f>
        <v>240</v>
      </c>
      <c r="AL283" s="82">
        <f ca="1">IFERROR(ECF[[#This Row],[d (cm)]]+arredondarParaCimaMultiplo5cm(MAX(5,SQRT(PI())/2*ECF[[#This Row],[Ø (cm)]]/5)),"N.S.")</f>
        <v>280</v>
      </c>
      <c r="AM283" s="5">
        <f ca="1">alpha(ECF[[#This Row],[nE]],ECF[[#This Row],[d (cm)]],ECF[[#This Row],[e (cm)]],ECF[[#This Row],[ap,eq (cm)]])</f>
        <v>90</v>
      </c>
      <c r="AN283" s="35">
        <f ca="1">IFERROR(ECF[[#This Row],[Nsd (kN)]]/(ECF[[#This Row],[Ap (cm²)]]*SIN(ECF[[#This Row],[α]])^2),"N.S.")</f>
        <v>1.0948037013095111</v>
      </c>
      <c r="AO283" s="35">
        <f ca="1">IFERROR(ECF[[#This Row],[Nsd (kN)]]/(ECF[[#This Row],[nE]]*PI()*ECF[[#This Row],[Ø (cm)]]^2/4*SIN(ECF[[#This Row],[α]])^2),"N.S.")</f>
        <v>6.9697368311484653E-2</v>
      </c>
      <c r="AP283" s="4">
        <f ca="1">IFERROR(INDEX(grupoEstacas[],ECF[[#This Row],[nE]],MATCH("coef. Blévot",grupoEstacas[#Headers],0)),"N.S.")</f>
        <v>1</v>
      </c>
      <c r="AQ283" s="35">
        <f ca="1">IFERROR(ECF[[#This Row],[coef. Blévot]]*0.9*INDEX(tipoEstaca[],MATCH($D$2,tipoEstaca[TIPO DE ESTACA],0),MATCH("fcd (kN/cm²)",tipoEstaca[#Headers],0)),"N.S.")</f>
        <v>1</v>
      </c>
      <c r="AR283" s="82" t="str">
        <f ca="1">IF(AND(ECF[[#This Row],[cd,b,pil (kN/cm²)]]&lt;=ECF[[#This Row],[cd,b,lim (kN/cm²)]],ECF[[#This Row],[cd,b,est (kN/cm²)]]&lt;=ECF[[#This Row],[cd,b,lim (kN/cm²)]]),"OK","ERRO")</f>
        <v>ERRO</v>
      </c>
      <c r="AS283" s="4">
        <f ca="1">As_lado(ECF[[#This Row],[nE]],ECF[[#This Row],[Nsd (kN)]],ECF[[#This Row],[d (cm)]],ECF[[#This Row],[e (cm)]],ECF[[#This Row],[ap,eq (cm)]])</f>
        <v>10.0625</v>
      </c>
      <c r="AT283" s="4">
        <f ca="1">IF(ECF[[#This Row],[nE]]=1,ECF[[#This Row],[As,lado (cm²)]],IF(ECF[[#This Row],[nE]]=2,0.075*2*ECF[a (cm)],"N.A."))</f>
        <v>10.0625</v>
      </c>
      <c r="AU283" s="4" t="str">
        <f ca="1">IFERROR(IF(ECF[[#This Row],[nE]]=1,"N.A.",0.2*ECF[[#This Row],[As,lado (cm²)]]),"N.S.")</f>
        <v>N.A.</v>
      </c>
      <c r="AV283" s="4" t="str">
        <f ca="1">As_malha(ECF[[#This Row],[nE]],ECF[[#This Row],[As,lado (cm²)]],ECF[[#This Row],[Nsd (kN)]])</f>
        <v>N.A.</v>
      </c>
      <c r="AW283" s="4" t="str">
        <f ca="1">As_susp_tot(ECF[[#This Row],[nE]],ECF[[#This Row],[Nsd (kN)]])</f>
        <v>N.A.</v>
      </c>
      <c r="AX283" s="4" t="str">
        <f ca="1">Asp_face(ECF[[#This Row],[nE]],ECF[[#This Row],[As,lado (cm²)]])</f>
        <v>N.A.</v>
      </c>
      <c r="AY283" s="5">
        <f ca="1">acoBloco(ECF[[#This Row],[nE]],ECF[[#This Row],[e (cm)]],ECF[[#This Row],[a (cm)]],ECF[[#This Row],[h (cm)]],ECF[[#This Row],[As,lado (cm²)]],ECF[[#This Row],[Asp e Asw (cm²/m)]],ECF[[#This Row],[As,sup (cm²)]],ECF[[#This Row],[As,malha (cm²)]],ECF[[#This Row],[As,susp,tot (cm²)]],ECF[[#This Row],[Asp,face (cm²)]])</f>
        <v>227.49299999999999</v>
      </c>
      <c r="AZ283" s="4">
        <f ca="1">concretoBloco(ECF[[#This Row],[nE]],ECF[[#This Row],[e (cm)]],ECF[[#This Row],[a (cm)]],ECF[[#This Row],[h (cm)]])</f>
        <v>13.552</v>
      </c>
      <c r="BA283" s="5">
        <f ca="1">SUM(ECF[[#This Row],[Aço Est (kg)]],ECF[[#This Row],[Aço Bloco (kg)]])</f>
        <v>622.07703729087802</v>
      </c>
      <c r="BB283" s="4">
        <f>INDEX(composicoes[],MATCH(95580,composicoes[CÓDIGO],0),MATCH("CUSTO TOTAL",composicoes[#Headers],0))</f>
        <v>10.46</v>
      </c>
      <c r="BC283" s="4">
        <f ca="1">SUM(ECF[[#This Row],[Conc Est (m³)]],ECF[[#This Row],[Conc Bloco (m³)]])</f>
        <v>51.251111843077517</v>
      </c>
      <c r="BD283" s="4">
        <f>INDEX(composicoes[],MATCH(94966,composicoes[CÓDIGO],0),MATCH("CUSTO TOTAL",composicoes[#Headers],0))</f>
        <v>439.52</v>
      </c>
      <c r="BE283" s="38">
        <f ca="1">ECF[[#This Row],[Aço (kg)]]*ECF[[#This Row],[Aço (R$/kg)]]+ECF[[#This Row],[Conc (m³)]]*ECF[[#This Row],[Conc (R$/m³)]]</f>
        <v>29032.814487332013</v>
      </c>
      <c r="BF283" s="4" t="str">
        <f ca="1">IF(COUNTIF(ECF[#This Row],"N.S.")&gt;0,"lim.","OK")</f>
        <v>OK</v>
      </c>
      <c r="BG283" s="4" t="str">
        <f>IF(ECF[[#This Row],[Prof. (m)]]&lt;4,"lim.","OK")</f>
        <v>OK</v>
      </c>
      <c r="BH283" s="4" t="str">
        <f>IF(ECF[[#This Row],[Prof. (m)]]&gt;=8*ECF[[#This Row],[Ø (cm)]]/100,"OK","lim.")</f>
        <v>lim.</v>
      </c>
      <c r="BI283" s="4" t="str">
        <f>IF(AND(SPT!$F$3&lt;&gt;"",ECF[[#This Row],[Prof. (m)]]&gt;=SPT!$F$3-2),"lim.","OK")</f>
        <v>OK</v>
      </c>
      <c r="BJ283" s="4" t="str">
        <f ca="1">IF(ECF[[#This Row],[Verif. Biela]]="OK","OK","lim.")</f>
        <v>lim.</v>
      </c>
      <c r="BK283" s="4" t="str">
        <f ca="1">IF(COUNTA(ECF[[#This Row],[Nº Est.]:[Biela comp.]])=COUNTIF(ECF[[#This Row],[Nº Est.]:[Biela comp.]],"OK"),"OK","lim.")</f>
        <v>lim.</v>
      </c>
      <c r="BL283" s="4" t="str">
        <f ca="1">IF(ECF[[#This Row],[Controle]]="OK",ECF[[#This Row],[nE]]&amp;" Ø "&amp;ECF[[#This Row],[Ø (cm)]]&amp;" cm, Prof. "&amp;ECF[[#This Row],[Prof. (m)]]&amp;" m","")</f>
        <v/>
      </c>
      <c r="BM283" s="4" t="str">
        <f ca="1">IF(ECF[[#This Row],[idDimensionamento]]="","",ECF[[#This Row],[idPilar]]&amp;ECF[[#This Row],[idDimensionamento]])</f>
        <v/>
      </c>
    </row>
    <row r="284" spans="2:65" x14ac:dyDescent="0.25">
      <c r="B284" s="12">
        <f>ROUNDUP((ROW(ECF[[#This Row],[idDiâmetro]])-ROW(ECF[[#Headers],[idDiâmetro]]))/(COUNT(SPT[Prof. (m)])*COUNT(PILARES[Pilar])),0)</f>
        <v>10</v>
      </c>
      <c r="C284" s="12">
        <f>IF(ECF[[#This Row],[idDiâmetro]]&lt;&gt;B283,1,IF(ECF[[#This Row],[Prof. (m)]]=0,C283+1,C283))</f>
        <v>2</v>
      </c>
      <c r="D284" s="82">
        <f>IFERROR(IF(D283=MAX(SPT[Prof. (m)]),0,D283+1),0)</f>
        <v>13</v>
      </c>
      <c r="E284" s="82">
        <f>INDEX(SPT[],MATCH(ECF[[#This Row],[Prof. (m)]],SPT[Prof. (m)],0),2)</f>
        <v>68</v>
      </c>
      <c r="F284" s="82" t="str">
        <f>INDEX(SPT[],MATCH(ECF[[#This Row],[Prof. (m)]],SPT[Prof. (m)],0),3)</f>
        <v>Areia siltosa</v>
      </c>
      <c r="G284" s="82">
        <f>INDEX(estacas[],ECF[[#This Row],[idDiâmetro]],MATCH($B$2,estacas[#Headers],0))</f>
        <v>200</v>
      </c>
      <c r="H284" s="82">
        <f>INDEX(estacas[],MATCH(ECF[[#This Row],[Ø (cm)]],estacas[Ø ECF (cm)],0),MATCH(ECF[[#Headers],[Pe ECF (kN)]],estacas[#Headers],0))</f>
        <v>12500</v>
      </c>
      <c r="I284" s="4">
        <f>INDEX(K_alpha_C[],MATCH(ECF[[#This Row],[Solo]],K_alpha_C[Solo],0),2)</f>
        <v>0.8</v>
      </c>
      <c r="J284" s="5">
        <f>INDEX(K_alpha_C[],MATCH(ECF[[#This Row],[Solo]],K_alpha_C[Solo],0),3)</f>
        <v>2</v>
      </c>
      <c r="K284" s="4">
        <f>INDEX(F1_F2[],MATCH($D$2,F1_F2[Tipo de estaca],0),2)</f>
        <v>3</v>
      </c>
      <c r="L284" s="4">
        <f>INDEX(F1_F2[],MATCH($D$2,F1_F2[Tipo de estaca],0),3)</f>
        <v>6</v>
      </c>
      <c r="M284" s="4">
        <f>PI()*(ECF[[#This Row],[Ø (cm)]]/100)^2/4</f>
        <v>3.1415926535897931</v>
      </c>
      <c r="N284" s="4">
        <f>PI()*ECF[[#This Row],[Ø (cm)]]/100</f>
        <v>6.2831853071795862</v>
      </c>
      <c r="O284" s="4">
        <f>IF(ECF[[#This Row],[Prof. (m)]]=0,0,ECF[[#This Row],[α (%)]]/100*ECF[[#This Row],[K (MPa)]]*1000*ECF[[#This Row],[NSPT]])</f>
        <v>1088</v>
      </c>
      <c r="P284" s="4">
        <f>IF(ECF[[#This Row],[Prof. (m)]]=0,0,(ECF[[#This Row],[K (MPa)]]*1000*ECF[[#This Row],[NSPT]]/ECF[[#This Row],[F1]]*ECF[[#This Row],[Ap (m²)]]+ECF[[#This Row],[U (m)]]/ECF[[#This Row],[F2]]*SUMIFS(ECF[(α∙K∙NL∙ΔL)],ECF[Prof. (m)],"&lt;="&amp;ECF[[#This Row],[Prof. (m)]],ECF[idDiâmetro],ECF[[#This Row],[idDiâmetro]],ECF[idPilar],ECF[[#This Row],[idPilar]]))/'DADOS CAP. CARGA'!$D$2)</f>
        <v>30842.009917964635</v>
      </c>
      <c r="Q284" s="12">
        <f>INDEX(C_alpha_beta[],MATCH(ECF[[#This Row],[Solo]],C_alpha_beta[Solo],0),MATCH(ECF[[#Headers],[C (kPa)]],C_alpha_beta[#Headers],0))</f>
        <v>400</v>
      </c>
      <c r="R284" s="4">
        <f>INDEX(C_alpha_beta[],MATCH(ECF[[#This Row],[Solo]],C_alpha_beta[Solo],0),MATCH(ECF[[#Headers],[α ESF]],C_alpha_beta[#Headers],0))</f>
        <v>0.5</v>
      </c>
      <c r="S284" s="4">
        <f>INDEX(C_alpha_beta[],MATCH(ECF[[#This Row],[Solo]],C_alpha_beta[Solo],0),MATCH(ECF[[#Headers],[β ESF]],C_alpha_beta[#Headers],0))</f>
        <v>0.5</v>
      </c>
      <c r="T284" s="4">
        <f>IF(ECF[[#This Row],[Prof. (m)]]=0,0,10*(ECF[[#This Row],[NSPT]]/3+1))</f>
        <v>236.66666666666669</v>
      </c>
      <c r="U284" s="4">
        <f>(ECF[[#This Row],[α ESF]]*ECF[[#This Row],[C (kPa)]]*ECF[[#This Row],[NSPT]]*ECF[[#This Row],[Ap (m²)]])/'DADOS CAP. CARGA'!$Q$2+(ECF[[#This Row],[β ESF]]*SUMIFS(ECF[10∙(NL/3+1)],ECF[Prof. (m)],"&lt;="&amp;ECF[[#This Row],[Prof. (m)]],ECF[idDiâmetro],ECF[[#This Row],[idDiâmetro]],ECF[idPilar],ECF[[#This Row],[idPilar]])*ECF[[#This Row],[U (m)]])/'DADOS CAP. CARGA'!$S$2</f>
        <v>12409.290981679682</v>
      </c>
      <c r="V284" s="4">
        <f>IF(SPT!$M$5=1,MIN(ECF[[#This Row],[Pe ECF (kN)]],ECF[[#This Row],[R_AV (kN)]]),IF(SPT!$M$5=2,MIN(ECF[[#This Row],[Pe ECF (kN)]],ECF[[#This Row],[R_DC (kN)]]),MIN(ECF[[#This Row],[Pe ECF (kN)]],ECF[[#This Row],[R_AV (kN)]],ECF[[#This Row],[R_DC (kN)]])))</f>
        <v>12409.290981679682</v>
      </c>
      <c r="W284" s="4">
        <f>INDEX(PILARES[],ECF[[#This Row],[idPilar]],MATCH("Carga (kN)",PILARES[#Headers],0))*1.4</f>
        <v>1750</v>
      </c>
      <c r="X284" s="12">
        <f>INDEX(PILARES[],ECF[[#This Row],[idPilar]],MATCH(ECF[[#Headers],[ap (cm)]],PILARES[#Headers],0))</f>
        <v>50</v>
      </c>
      <c r="Y284" s="12">
        <f>INDEX(PILARES[],ECF[[#This Row],[idPilar]],MATCH(ECF[[#Headers],[bp (cm)]],PILARES[#Headers],0))</f>
        <v>40</v>
      </c>
      <c r="Z284" s="4">
        <f>SQRT(ECF[[#This Row],[ap (cm)]]*ECF[[#This Row],[bp (cm)]])</f>
        <v>44.721359549995796</v>
      </c>
      <c r="AA284" s="12">
        <f>ECF[[#This Row],[ap (cm)]]*ECF[[#This Row],[bp (cm)]]</f>
        <v>2000</v>
      </c>
      <c r="AB284" s="12">
        <f ca="1">IF(ECF[[#This Row],[Padm∙ε (kN)]]&gt;=ECF[[#This Row],[Padm (kN)]],ROUNDUP(1.05*ECF[[#This Row],[Nsd (kN)]]/ECF[[#This Row],[Padm (kN)]],0),ROUNDUP(1.05*ECF[[#This Row],[Nsd (kN)]]/ECF[[#This Row],[Padm (kN)]],0)+1)</f>
        <v>1</v>
      </c>
      <c r="AC284" s="4">
        <f ca="1">IFERROR(IF(ECF[[#This Row],[nE]]=1,ECF[[#This Row],[Padm (kN)]],ECF[[#This Row],[Padm (kN)]]*ECF[[#This Row],[nE]]*INDEX(grupoEstacas[],ECF[[#This Row],[nE]],MATCH("ε",grupoEstacas[#Headers],0))),"N.S.")</f>
        <v>12409.290981679682</v>
      </c>
      <c r="AD284" s="4">
        <f ca="1">1.05*ECF[[#This Row],[Nsd (kN)]]/(ECF[[#This Row],[nE]]*PI()*ECF[[#This Row],[Ø (cm)]]^2/4)*10</f>
        <v>0.5848944158627154</v>
      </c>
      <c r="AE284" s="4">
        <f ca="1">IF(ECF[[#This Row],[σ (MPa)]]&lt;INDEX(tipoEstaca[],MATCH($D$2,tipoEstaca[TIPO DE ESTACA],0),MATCH("σmáx (MPa)",tipoEstaca[#Headers],0)),0.4%*PI()*ECF[[#This Row],[Ø (cm)]]^2/4,"N.S.")</f>
        <v>125.66370614359174</v>
      </c>
      <c r="AF284" s="82">
        <f>INDEX(tipoEstaca[],MATCH($D$2,tipoEstaca[TIPO DE ESTACA],0),MATCH(ECF[[#Headers],[Comprimento (m)]],tipoEstaca[#Headers],0))</f>
        <v>4</v>
      </c>
      <c r="AG284" s="5">
        <f ca="1">ECF[[#This Row],[As,mín (cm²)]]/100^2*ECF[[#This Row],[Comprimento (m)]]*7850</f>
        <v>394.58403729087803</v>
      </c>
      <c r="AH284" s="4">
        <f ca="1">ECF[[#This Row],[nE]]*ECF[[#This Row],[Prof. (m)]]*ECF[[#This Row],[Ap (m²)]]</f>
        <v>40.840704496667314</v>
      </c>
      <c r="AI284" s="82">
        <f ca="1">IF(ECF[[#This Row],[nE]]=1,0,MAX(3*ECF[[#This Row],[Ø (cm)]],60))</f>
        <v>0</v>
      </c>
      <c r="AJ284" s="82">
        <f ca="1">IF(ECF[[#This Row],[nE]]=1,ECF[[#This Row],[Ø (cm)]]+2*10,MAX(1.5*ECF[[#This Row],[Ø (cm)]],ECF[[#This Row],[Ø (cm)]]+15))</f>
        <v>220</v>
      </c>
      <c r="AK284" s="82">
        <f ca="1">alturaUtil(ECF[[#This Row],[nE]],ECF[[#This Row],[Ø (cm)]],ECF[[#This Row],[e (cm)]],ECF[[#This Row],[ap,eq (cm)]])</f>
        <v>240</v>
      </c>
      <c r="AL284" s="82">
        <f ca="1">IFERROR(ECF[[#This Row],[d (cm)]]+arredondarParaCimaMultiplo5cm(MAX(5,SQRT(PI())/2*ECF[[#This Row],[Ø (cm)]]/5)),"N.S.")</f>
        <v>280</v>
      </c>
      <c r="AM284" s="5">
        <f ca="1">alpha(ECF[[#This Row],[nE]],ECF[[#This Row],[d (cm)]],ECF[[#This Row],[e (cm)]],ECF[[#This Row],[ap,eq (cm)]])</f>
        <v>90</v>
      </c>
      <c r="AN284" s="35">
        <f ca="1">IFERROR(ECF[[#This Row],[Nsd (kN)]]/(ECF[[#This Row],[Ap (cm²)]]*SIN(ECF[[#This Row],[α]])^2),"N.S.")</f>
        <v>1.0948037013095111</v>
      </c>
      <c r="AO284" s="35">
        <f ca="1">IFERROR(ECF[[#This Row],[Nsd (kN)]]/(ECF[[#This Row],[nE]]*PI()*ECF[[#This Row],[Ø (cm)]]^2/4*SIN(ECF[[#This Row],[α]])^2),"N.S.")</f>
        <v>6.9697368311484653E-2</v>
      </c>
      <c r="AP284" s="4">
        <f ca="1">IFERROR(INDEX(grupoEstacas[],ECF[[#This Row],[nE]],MATCH("coef. Blévot",grupoEstacas[#Headers],0)),"N.S.")</f>
        <v>1</v>
      </c>
      <c r="AQ284" s="35">
        <f ca="1">IFERROR(ECF[[#This Row],[coef. Blévot]]*0.9*INDEX(tipoEstaca[],MATCH($D$2,tipoEstaca[TIPO DE ESTACA],0),MATCH("fcd (kN/cm²)",tipoEstaca[#Headers],0)),"N.S.")</f>
        <v>1</v>
      </c>
      <c r="AR284" s="82" t="str">
        <f ca="1">IF(AND(ECF[[#This Row],[cd,b,pil (kN/cm²)]]&lt;=ECF[[#This Row],[cd,b,lim (kN/cm²)]],ECF[[#This Row],[cd,b,est (kN/cm²)]]&lt;=ECF[[#This Row],[cd,b,lim (kN/cm²)]]),"OK","ERRO")</f>
        <v>ERRO</v>
      </c>
      <c r="AS284" s="4">
        <f ca="1">As_lado(ECF[[#This Row],[nE]],ECF[[#This Row],[Nsd (kN)]],ECF[[#This Row],[d (cm)]],ECF[[#This Row],[e (cm)]],ECF[[#This Row],[ap,eq (cm)]])</f>
        <v>10.0625</v>
      </c>
      <c r="AT284" s="4">
        <f ca="1">IF(ECF[[#This Row],[nE]]=1,ECF[[#This Row],[As,lado (cm²)]],IF(ECF[[#This Row],[nE]]=2,0.075*2*ECF[a (cm)],"N.A."))</f>
        <v>10.0625</v>
      </c>
      <c r="AU284" s="4" t="str">
        <f ca="1">IFERROR(IF(ECF[[#This Row],[nE]]=1,"N.A.",0.2*ECF[[#This Row],[As,lado (cm²)]]),"N.S.")</f>
        <v>N.A.</v>
      </c>
      <c r="AV284" s="4" t="str">
        <f ca="1">As_malha(ECF[[#This Row],[nE]],ECF[[#This Row],[As,lado (cm²)]],ECF[[#This Row],[Nsd (kN)]])</f>
        <v>N.A.</v>
      </c>
      <c r="AW284" s="4" t="str">
        <f ca="1">As_susp_tot(ECF[[#This Row],[nE]],ECF[[#This Row],[Nsd (kN)]])</f>
        <v>N.A.</v>
      </c>
      <c r="AX284" s="4" t="str">
        <f ca="1">Asp_face(ECF[[#This Row],[nE]],ECF[[#This Row],[As,lado (cm²)]])</f>
        <v>N.A.</v>
      </c>
      <c r="AY284" s="5">
        <f ca="1">acoBloco(ECF[[#This Row],[nE]],ECF[[#This Row],[e (cm)]],ECF[[#This Row],[a (cm)]],ECF[[#This Row],[h (cm)]],ECF[[#This Row],[As,lado (cm²)]],ECF[[#This Row],[Asp e Asw (cm²/m)]],ECF[[#This Row],[As,sup (cm²)]],ECF[[#This Row],[As,malha (cm²)]],ECF[[#This Row],[As,susp,tot (cm²)]],ECF[[#This Row],[Asp,face (cm²)]])</f>
        <v>227.49299999999999</v>
      </c>
      <c r="AZ284" s="4">
        <f ca="1">concretoBloco(ECF[[#This Row],[nE]],ECF[[#This Row],[e (cm)]],ECF[[#This Row],[a (cm)]],ECF[[#This Row],[h (cm)]])</f>
        <v>13.552</v>
      </c>
      <c r="BA284" s="5">
        <f ca="1">SUM(ECF[[#This Row],[Aço Est (kg)]],ECF[[#This Row],[Aço Bloco (kg)]])</f>
        <v>622.07703729087802</v>
      </c>
      <c r="BB284" s="4">
        <f>INDEX(composicoes[],MATCH(95580,composicoes[CÓDIGO],0),MATCH("CUSTO TOTAL",composicoes[#Headers],0))</f>
        <v>10.46</v>
      </c>
      <c r="BC284" s="4">
        <f ca="1">SUM(ECF[[#This Row],[Conc Est (m³)]],ECF[[#This Row],[Conc Bloco (m³)]])</f>
        <v>54.392704496667314</v>
      </c>
      <c r="BD284" s="4">
        <f>INDEX(composicoes[],MATCH(94966,composicoes[CÓDIGO],0),MATCH("CUSTO TOTAL",composicoes[#Headers],0))</f>
        <v>439.52</v>
      </c>
      <c r="BE284" s="38">
        <f ca="1">ECF[[#This Row],[Aço (kg)]]*ECF[[#This Row],[Aço (R$/kg)]]+ECF[[#This Row],[Conc (m³)]]*ECF[[#This Row],[Conc (R$/m³)]]</f>
        <v>30413.607290437802</v>
      </c>
      <c r="BF284" s="4" t="str">
        <f ca="1">IF(COUNTIF(ECF[#This Row],"N.S.")&gt;0,"lim.","OK")</f>
        <v>OK</v>
      </c>
      <c r="BG284" s="4" t="str">
        <f>IF(ECF[[#This Row],[Prof. (m)]]&lt;4,"lim.","OK")</f>
        <v>OK</v>
      </c>
      <c r="BH284" s="4" t="str">
        <f>IF(ECF[[#This Row],[Prof. (m)]]&gt;=8*ECF[[#This Row],[Ø (cm)]]/100,"OK","lim.")</f>
        <v>lim.</v>
      </c>
      <c r="BI284" s="4" t="str">
        <f>IF(AND(SPT!$F$3&lt;&gt;"",ECF[[#This Row],[Prof. (m)]]&gt;=SPT!$F$3-2),"lim.","OK")</f>
        <v>OK</v>
      </c>
      <c r="BJ284" s="4" t="str">
        <f ca="1">IF(ECF[[#This Row],[Verif. Biela]]="OK","OK","lim.")</f>
        <v>lim.</v>
      </c>
      <c r="BK284" s="4" t="str">
        <f ca="1">IF(COUNTA(ECF[[#This Row],[Nº Est.]:[Biela comp.]])=COUNTIF(ECF[[#This Row],[Nº Est.]:[Biela comp.]],"OK"),"OK","lim.")</f>
        <v>lim.</v>
      </c>
      <c r="BL284" s="4" t="str">
        <f ca="1">IF(ECF[[#This Row],[Controle]]="OK",ECF[[#This Row],[nE]]&amp;" Ø "&amp;ECF[[#This Row],[Ø (cm)]]&amp;" cm, Prof. "&amp;ECF[[#This Row],[Prof. (m)]]&amp;" m","")</f>
        <v/>
      </c>
      <c r="BM284" s="4" t="str">
        <f ca="1">IF(ECF[[#This Row],[idDimensionamento]]="","",ECF[[#This Row],[idPilar]]&amp;ECF[[#This Row],[idDimensionamento]])</f>
        <v/>
      </c>
    </row>
  </sheetData>
  <mergeCells count="10">
    <mergeCell ref="AB3:AH3"/>
    <mergeCell ref="AI3:AZ3"/>
    <mergeCell ref="BA3:BE3"/>
    <mergeCell ref="BF3:BK3"/>
    <mergeCell ref="B3:C3"/>
    <mergeCell ref="D3:F3"/>
    <mergeCell ref="G3:H3"/>
    <mergeCell ref="I3:P3"/>
    <mergeCell ref="Q3:U3"/>
    <mergeCell ref="W3:AA3"/>
  </mergeCells>
  <pageMargins left="0.511811024" right="0.511811024" top="0.78740157499999996" bottom="0.78740157499999996" header="0.31496062000000002" footer="0.31496062000000002"/>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1EFA2-B487-4689-AFCE-059EDD92CBDA}">
  <sheetPr codeName="HC"/>
  <dimension ref="B1:BL317"/>
  <sheetViews>
    <sheetView showGridLines="0" zoomScaleNormal="100" workbookViewId="0">
      <pane xSplit="7" ySplit="4" topLeftCell="BF152" activePane="bottomRight" state="frozen"/>
      <selection activeCell="U159" sqref="U159"/>
      <selection pane="topRight" activeCell="U159" sqref="U159"/>
      <selection pane="bottomLeft" activeCell="U159" sqref="U159"/>
      <selection pane="bottomRight" activeCell="U159" sqref="U159"/>
    </sheetView>
  </sheetViews>
  <sheetFormatPr defaultRowHeight="15" x14ac:dyDescent="0.25"/>
  <cols>
    <col min="1" max="1" width="2.7109375" style="18" customWidth="1"/>
    <col min="2" max="2" width="13.5703125" style="18" bestFit="1" customWidth="1"/>
    <col min="3" max="3" width="8.140625" style="18" bestFit="1" customWidth="1"/>
    <col min="4" max="4" width="10.42578125" style="18" bestFit="1" customWidth="1"/>
    <col min="5" max="5" width="7.5703125" style="18" bestFit="1" customWidth="1"/>
    <col min="6" max="6" width="15.42578125" style="18" bestFit="1" customWidth="1"/>
    <col min="7" max="7" width="8.28515625" style="18" bestFit="1" customWidth="1"/>
    <col min="8" max="8" width="14.42578125" style="18" bestFit="1" customWidth="1"/>
    <col min="9" max="9" width="9.7109375" style="18" customWidth="1"/>
    <col min="10" max="10" width="7" style="18" bestFit="1" customWidth="1"/>
    <col min="11" max="12" width="5.7109375" style="18" bestFit="1" customWidth="1"/>
    <col min="13" max="13" width="9" style="18" bestFit="1" customWidth="1"/>
    <col min="14" max="14" width="7" style="18" bestFit="1" customWidth="1"/>
    <col min="15" max="15" width="18" style="18" bestFit="1" customWidth="1"/>
    <col min="16" max="16" width="12.42578125" style="18" bestFit="1" customWidth="1"/>
    <col min="17" max="17" width="9.140625" style="18" bestFit="1" customWidth="1"/>
    <col min="18" max="19" width="7.85546875" style="18" bestFit="1" customWidth="1"/>
    <col min="20" max="20" width="13.5703125" style="18" bestFit="1" customWidth="1"/>
    <col min="21" max="21" width="12.7109375" style="18" customWidth="1"/>
    <col min="22" max="22" width="12.5703125" style="18" bestFit="1" customWidth="1"/>
    <col min="23" max="23" width="10.7109375" style="18" bestFit="1" customWidth="1"/>
    <col min="24" max="24" width="8.140625" style="18" bestFit="1" customWidth="1"/>
    <col min="25" max="25" width="9.42578125" style="18" bestFit="1" customWidth="1"/>
    <col min="26" max="26" width="12.5703125" style="18" bestFit="1" customWidth="1"/>
    <col min="27" max="27" width="10.28515625" style="18" bestFit="1" customWidth="1"/>
    <col min="28" max="28" width="4.28515625" style="18" bestFit="1" customWidth="1"/>
    <col min="29" max="29" width="13.7109375" style="18" bestFit="1" customWidth="1"/>
    <col min="30" max="30" width="8.85546875" style="18" bestFit="1" customWidth="1"/>
    <col min="31" max="31" width="14.85546875" style="18" bestFit="1" customWidth="1"/>
    <col min="32" max="32" width="20.42578125" style="18" bestFit="1" customWidth="1"/>
    <col min="33" max="33" width="14.5703125" style="18" bestFit="1" customWidth="1"/>
    <col min="34" max="34" width="16.140625" style="18" bestFit="1" customWidth="1"/>
    <col min="35" max="36" width="7.85546875" style="18" bestFit="1" customWidth="1"/>
    <col min="37" max="38" width="11" style="18" bestFit="1" customWidth="1"/>
    <col min="39" max="39" width="15.5703125" style="18" bestFit="1" customWidth="1"/>
    <col min="40" max="40" width="19" style="1" bestFit="1" customWidth="1"/>
    <col min="41" max="41" width="19.7109375" style="1" bestFit="1" customWidth="1"/>
    <col min="42" max="42" width="14.28515625" style="1" bestFit="1" customWidth="1"/>
    <col min="43" max="43" width="19.5703125" style="1" bestFit="1" customWidth="1"/>
    <col min="44" max="44" width="12.85546875" style="18" bestFit="1" customWidth="1"/>
    <col min="45" max="45" width="15.5703125" style="18" bestFit="1" customWidth="1"/>
    <col min="46" max="46" width="21.7109375" style="18" bestFit="1" customWidth="1"/>
    <col min="47" max="47" width="15" style="18" bestFit="1" customWidth="1"/>
    <col min="48" max="48" width="17.5703125" style="18" bestFit="1" customWidth="1"/>
    <col min="49" max="49" width="19.85546875" style="18" bestFit="1" customWidth="1"/>
    <col min="50" max="50" width="16.85546875" style="18" bestFit="1" customWidth="1"/>
    <col min="51" max="51" width="17.5703125" style="18" bestFit="1" customWidth="1"/>
    <col min="52" max="52" width="19.140625" style="18" bestFit="1" customWidth="1"/>
    <col min="53" max="53" width="10.28515625" style="18" bestFit="1" customWidth="1"/>
    <col min="54" max="54" width="14" style="18" bestFit="1" customWidth="1"/>
    <col min="55" max="55" width="11.85546875" style="18" bestFit="1" customWidth="1"/>
    <col min="56" max="56" width="15.5703125" style="18" bestFit="1" customWidth="1"/>
    <col min="57" max="57" width="15.140625" style="18" bestFit="1" customWidth="1"/>
    <col min="58" max="58" width="8.5703125" style="18" bestFit="1" customWidth="1"/>
    <col min="59" max="59" width="13.5703125" style="18" bestFit="1" customWidth="1"/>
    <col min="60" max="60" width="13.85546875" style="18" bestFit="1" customWidth="1"/>
    <col min="61" max="61" width="14.140625" style="18" bestFit="1" customWidth="1"/>
    <col min="62" max="62" width="10.7109375" style="18" bestFit="1" customWidth="1"/>
    <col min="63" max="63" width="23.5703125" style="18" bestFit="1" customWidth="1"/>
    <col min="64" max="64" width="31.28515625" style="18" bestFit="1" customWidth="1"/>
    <col min="65" max="16384" width="9.140625" style="18"/>
  </cols>
  <sheetData>
    <row r="1" spans="2:64" ht="5.0999999999999996" customHeight="1" x14ac:dyDescent="0.25"/>
    <row r="2" spans="2:64" s="21" customFormat="1" ht="20.25" x14ac:dyDescent="0.25">
      <c r="B2" s="7" t="s">
        <v>36</v>
      </c>
      <c r="D2" s="21" t="s">
        <v>38</v>
      </c>
      <c r="O2" s="22"/>
      <c r="P2" s="22"/>
      <c r="AN2" s="33"/>
      <c r="AO2" s="33"/>
      <c r="AP2" s="33"/>
      <c r="AQ2" s="33"/>
    </row>
    <row r="3" spans="2:64" s="19" customFormat="1" ht="18.75" x14ac:dyDescent="0.25">
      <c r="B3" s="66" t="s">
        <v>72</v>
      </c>
      <c r="C3" s="68"/>
      <c r="D3" s="69" t="s">
        <v>73</v>
      </c>
      <c r="E3" s="70"/>
      <c r="F3" s="71"/>
      <c r="G3" s="66" t="s">
        <v>46</v>
      </c>
      <c r="H3" s="68"/>
      <c r="I3" s="66" t="s">
        <v>74</v>
      </c>
      <c r="J3" s="67"/>
      <c r="K3" s="67"/>
      <c r="L3" s="67"/>
      <c r="M3" s="67"/>
      <c r="N3" s="67"/>
      <c r="O3" s="67"/>
      <c r="P3" s="67"/>
      <c r="Q3" s="66" t="s">
        <v>75</v>
      </c>
      <c r="R3" s="67"/>
      <c r="S3" s="67"/>
      <c r="T3" s="67"/>
      <c r="U3" s="68"/>
      <c r="V3" s="6" t="s">
        <v>76</v>
      </c>
      <c r="W3" s="66" t="s">
        <v>71</v>
      </c>
      <c r="X3" s="67"/>
      <c r="Y3" s="67"/>
      <c r="Z3" s="67"/>
      <c r="AA3" s="68"/>
      <c r="AB3" s="66" t="s">
        <v>77</v>
      </c>
      <c r="AC3" s="67"/>
      <c r="AD3" s="67"/>
      <c r="AE3" s="67"/>
      <c r="AF3" s="67"/>
      <c r="AG3" s="67"/>
      <c r="AH3" s="68"/>
      <c r="AI3" s="66" t="s">
        <v>92</v>
      </c>
      <c r="AJ3" s="67"/>
      <c r="AK3" s="67"/>
      <c r="AL3" s="67"/>
      <c r="AM3" s="67"/>
      <c r="AN3" s="67"/>
      <c r="AO3" s="67"/>
      <c r="AP3" s="67"/>
      <c r="AQ3" s="67"/>
      <c r="AR3" s="67"/>
      <c r="AS3" s="67"/>
      <c r="AT3" s="67"/>
      <c r="AU3" s="67"/>
      <c r="AV3" s="67"/>
      <c r="AW3" s="67"/>
      <c r="AX3" s="67"/>
      <c r="AY3" s="67"/>
      <c r="AZ3" s="68"/>
      <c r="BA3" s="66" t="s">
        <v>136</v>
      </c>
      <c r="BB3" s="67"/>
      <c r="BC3" s="67"/>
      <c r="BD3" s="67"/>
      <c r="BE3" s="68"/>
      <c r="BF3" s="66" t="s">
        <v>129</v>
      </c>
      <c r="BG3" s="67"/>
      <c r="BH3" s="67"/>
      <c r="BI3" s="67"/>
      <c r="BJ3" s="68"/>
    </row>
    <row r="4" spans="2:64" ht="20.25" x14ac:dyDescent="0.25">
      <c r="B4" s="1" t="s">
        <v>65</v>
      </c>
      <c r="C4" s="1" t="s">
        <v>66</v>
      </c>
      <c r="D4" s="1" t="s">
        <v>30</v>
      </c>
      <c r="E4" s="1" t="s">
        <v>100</v>
      </c>
      <c r="F4" s="1" t="s">
        <v>0</v>
      </c>
      <c r="G4" s="1" t="s">
        <v>29</v>
      </c>
      <c r="H4" s="1" t="s">
        <v>37</v>
      </c>
      <c r="I4" s="1" t="s">
        <v>16</v>
      </c>
      <c r="J4" s="1" t="s">
        <v>18</v>
      </c>
      <c r="K4" s="1" t="s">
        <v>101</v>
      </c>
      <c r="L4" s="1" t="s">
        <v>102</v>
      </c>
      <c r="M4" s="1" t="s">
        <v>103</v>
      </c>
      <c r="N4" s="1" t="s">
        <v>43</v>
      </c>
      <c r="O4" s="21" t="s">
        <v>104</v>
      </c>
      <c r="P4" s="1" t="s">
        <v>45</v>
      </c>
      <c r="Q4" s="1" t="s">
        <v>50</v>
      </c>
      <c r="R4" s="1" t="s">
        <v>54</v>
      </c>
      <c r="S4" s="1" t="s">
        <v>55</v>
      </c>
      <c r="T4" s="1" t="s">
        <v>60</v>
      </c>
      <c r="U4" s="1" t="s">
        <v>48</v>
      </c>
      <c r="V4" s="1" t="s">
        <v>105</v>
      </c>
      <c r="W4" s="1" t="s">
        <v>116</v>
      </c>
      <c r="X4" s="1" t="s">
        <v>121</v>
      </c>
      <c r="Y4" s="1" t="s">
        <v>99</v>
      </c>
      <c r="Z4" s="1" t="s">
        <v>123</v>
      </c>
      <c r="AA4" s="1" t="s">
        <v>122</v>
      </c>
      <c r="AB4" s="1" t="s">
        <v>82</v>
      </c>
      <c r="AC4" s="1" t="s">
        <v>106</v>
      </c>
      <c r="AD4" s="24" t="s">
        <v>89</v>
      </c>
      <c r="AE4" s="1" t="s">
        <v>98</v>
      </c>
      <c r="AF4" s="1" t="s">
        <v>93</v>
      </c>
      <c r="AG4" s="1" t="s">
        <v>112</v>
      </c>
      <c r="AH4" s="1" t="s">
        <v>113</v>
      </c>
      <c r="AI4" s="1" t="s">
        <v>127</v>
      </c>
      <c r="AJ4" s="1" t="s">
        <v>94</v>
      </c>
      <c r="AK4" s="1" t="s">
        <v>95</v>
      </c>
      <c r="AL4" s="1" t="s">
        <v>96</v>
      </c>
      <c r="AM4" s="34" t="s">
        <v>120</v>
      </c>
      <c r="AN4" s="2" t="s">
        <v>117</v>
      </c>
      <c r="AO4" s="2" t="s">
        <v>118</v>
      </c>
      <c r="AP4" s="2" t="s">
        <v>126</v>
      </c>
      <c r="AQ4" s="2" t="s">
        <v>119</v>
      </c>
      <c r="AR4" s="1" t="s">
        <v>97</v>
      </c>
      <c r="AS4" s="1" t="s">
        <v>107</v>
      </c>
      <c r="AT4" s="1" t="s">
        <v>128</v>
      </c>
      <c r="AU4" s="1" t="s">
        <v>108</v>
      </c>
      <c r="AV4" s="1" t="s">
        <v>109</v>
      </c>
      <c r="AW4" s="1" t="s">
        <v>110</v>
      </c>
      <c r="AX4" s="1" t="s">
        <v>111</v>
      </c>
      <c r="AY4" s="1" t="s">
        <v>114</v>
      </c>
      <c r="AZ4" s="1" t="s">
        <v>115</v>
      </c>
      <c r="BA4" s="1" t="s">
        <v>137</v>
      </c>
      <c r="BB4" s="1" t="s">
        <v>139</v>
      </c>
      <c r="BC4" s="1" t="s">
        <v>138</v>
      </c>
      <c r="BD4" s="1" t="s">
        <v>140</v>
      </c>
      <c r="BE4" s="1" t="s">
        <v>141</v>
      </c>
      <c r="BF4" s="1" t="s">
        <v>133</v>
      </c>
      <c r="BG4" s="1" t="s">
        <v>265</v>
      </c>
      <c r="BH4" s="1" t="s">
        <v>278</v>
      </c>
      <c r="BI4" s="1" t="s">
        <v>132</v>
      </c>
      <c r="BJ4" s="1" t="s">
        <v>135</v>
      </c>
      <c r="BK4" s="1" t="s">
        <v>179</v>
      </c>
      <c r="BL4" s="1" t="s">
        <v>181</v>
      </c>
    </row>
    <row r="5" spans="2:64" x14ac:dyDescent="0.25">
      <c r="B5" s="12">
        <f>ROUNDUP((ROW(HC[[#This Row],[idDiâmetro]])-ROW(HC[[#Headers],[idDiâmetro]]))/(COUNT(SPT[Prof. (m)])*COUNT(PILARES[Pilar])),0)</f>
        <v>1</v>
      </c>
      <c r="C5" s="12">
        <f>IF(HC[[#This Row],[idDiâmetro]]&lt;&gt;B4,1,IF(HC[[#This Row],[Prof. (m)]]=0,C4+1,C4))</f>
        <v>1</v>
      </c>
      <c r="D5" s="1">
        <f>IFERROR(IF(D4=MAX(SPT[Prof. (m)]),0,D4+1),0)</f>
        <v>0</v>
      </c>
      <c r="E5" s="1">
        <f>INDEX(SPT[],MATCH(HC[[#This Row],[Prof. (m)]],SPT[Prof. (m)],0),2)</f>
        <v>0</v>
      </c>
      <c r="F5" s="1" t="str">
        <f>INDEX(SPT[],MATCH(HC[[#This Row],[Prof. (m)]],SPT[Prof. (m)],0),3)</f>
        <v>Areia siltosa</v>
      </c>
      <c r="G5" s="1">
        <f>INDEX(estacas[],HC[[#This Row],[idDiâmetro]],MATCH($B$2,estacas[#Headers],0))</f>
        <v>27.5</v>
      </c>
      <c r="H5" s="1">
        <f>INDEX(estacas[],MATCH(HC[[#This Row],[Ø (cm)]],estacas[Ø HC (cm)],0),MATCH(HC[[#Headers],[Pe HC (kN)]],estacas[#Headers],0))</f>
        <v>350</v>
      </c>
      <c r="I5" s="4">
        <f>INDEX(K_alpha_C[],MATCH(HC[[#This Row],[Solo]],K_alpha_C[Solo],0),2)</f>
        <v>0.8</v>
      </c>
      <c r="J5" s="5">
        <f>INDEX(K_alpha_C[],MATCH(HC[[#This Row],[Solo]],K_alpha_C[Solo],0),3)</f>
        <v>2</v>
      </c>
      <c r="K5" s="4">
        <f>INDEX(F1_F2[],MATCH($D$2,F1_F2[Tipo de estaca],0),2)</f>
        <v>2</v>
      </c>
      <c r="L5" s="4">
        <f>INDEX(F1_F2[],MATCH($D$2,F1_F2[Tipo de estaca],0),3)</f>
        <v>4</v>
      </c>
      <c r="M5" s="4">
        <f>PI()*(HC[[#This Row],[Ø (cm)]]/100)^2/4</f>
        <v>5.9395736106932037E-2</v>
      </c>
      <c r="N5" s="4">
        <f>PI()*HC[[#This Row],[Ø (cm)]]/100</f>
        <v>0.86393797973719311</v>
      </c>
      <c r="O5" s="4">
        <f>IF(HC[[#This Row],[Prof. (m)]]=0,0,HC[[#This Row],[α (%)]]/100*HC[[#This Row],[K (MPa)]]*1000*HC[[#This Row],[NSPT]])</f>
        <v>0</v>
      </c>
      <c r="P5" s="4">
        <f>IF(HC[[#This Row],[Prof. (m)]]=0,0,(HC[[#This Row],[K (MPa)]]*1000*HC[[#This Row],[NSPT]]/HC[[#This Row],[F1]]*HC[[#This Row],[Ap (m²)]]+HC[[#This Row],[U (m)]]/HC[[#This Row],[F2]]*SUMIFS(HC[(α∙K∙NL∙ΔL)],HC[Prof. (m)],"&lt;="&amp;HC[[#This Row],[Prof. (m)]],HC[idDiâmetro],HC[[#This Row],[idDiâmetro]],HC[idPilar],HC[[#This Row],[idPilar]]))/'DADOS CAP. CARGA'!$D$2)</f>
        <v>0</v>
      </c>
      <c r="Q5" s="12">
        <f>INDEX(C_alpha_beta[],MATCH(HC[[#This Row],[Solo]],C_alpha_beta[Solo],0),MATCH(HC[[#Headers],[C (kPa)]],C_alpha_beta[#Headers],0))</f>
        <v>400</v>
      </c>
      <c r="R5" s="4">
        <f>INDEX(C_alpha_beta[],MATCH(HC[[#This Row],[Solo]],C_alpha_beta[Solo],0),MATCH(HC[[#Headers],[α ESF]],C_alpha_beta[#Headers],0))</f>
        <v>0.5</v>
      </c>
      <c r="S5" s="4">
        <f>INDEX(C_alpha_beta[],MATCH(HC[[#This Row],[Solo]],C_alpha_beta[Solo],0),MATCH(HC[[#Headers],[β ESF]],C_alpha_beta[#Headers],0))</f>
        <v>0.5</v>
      </c>
      <c r="T5" s="4">
        <f>IF(HC[[#This Row],[Prof. (m)]]=0,0,10*(HC[[#This Row],[NSPT]]/3+1))</f>
        <v>0</v>
      </c>
      <c r="U5" s="4">
        <f>(HC[[#This Row],[α ESF]]*HC[[#This Row],[C (kPa)]]*HC[[#This Row],[NSPT]]*HC[[#This Row],[Ap (m²)]])/'DADOS CAP. CARGA'!$Q$2+(HC[[#This Row],[β ESF]]*SUMIFS(HC[10∙(NL/3+1)],HC[Prof. (m)],"&lt;="&amp;HC[[#This Row],[Prof. (m)]],HC[idDiâmetro],HC[[#This Row],[idDiâmetro]],HC[idPilar],HC[[#This Row],[idPilar]])*HC[[#This Row],[U (m)]])/'DADOS CAP. CARGA'!$S$2</f>
        <v>0</v>
      </c>
      <c r="V5" s="4">
        <f>IF(SPT!$M$5=1,MIN(HC[[#This Row],[Pe HC (kN)]],HC[[#This Row],[R_AV (kN)]]),IF(SPT!$M$5=2,MIN(HC[[#This Row],[Pe HC (kN)]],HC[[#This Row],[R_DC (kN)]]),MIN(HC[[#This Row],[Pe HC (kN)]],HC[[#This Row],[R_AV (kN)]],HC[[#This Row],[R_DC (kN)]])))</f>
        <v>0</v>
      </c>
      <c r="W5" s="4">
        <f>INDEX(PILARES[],HC[[#This Row],[idPilar]],MATCH("Carga (kN)",PILARES[#Headers],0))*1.4</f>
        <v>3500</v>
      </c>
      <c r="X5" s="12">
        <f>INDEX(PILARES[],HC[[#This Row],[idPilar]],MATCH(HC[[#Headers],[ap (cm)]],PILARES[#Headers],0))</f>
        <v>60</v>
      </c>
      <c r="Y5" s="12">
        <f>INDEX(PILARES[],HC[[#This Row],[idPilar]],MATCH(HC[[#Headers],[bp (cm)]],PILARES[#Headers],0))</f>
        <v>60</v>
      </c>
      <c r="Z5" s="4">
        <f>SQRT(HC[[#This Row],[ap (cm)]]*HC[[#This Row],[bp (cm)]])</f>
        <v>60</v>
      </c>
      <c r="AA5" s="12">
        <f>HC[[#This Row],[ap (cm)]]*HC[[#This Row],[bp (cm)]]</f>
        <v>3600</v>
      </c>
      <c r="AB5" s="12" t="e">
        <f ca="1">IF(HC[[#This Row],[Padm∙ε (kN)]]&gt;=HC[[#This Row],[Padm (kN)]],ROUNDUP(1.05*HC[[#This Row],[Nsd (kN)]]/HC[[#This Row],[Padm (kN)]],0),ROUNDUP(1.05*HC[[#This Row],[Nsd (kN)]]/HC[[#This Row],[Padm (kN)]],0)+1)</f>
        <v>#DIV/0!</v>
      </c>
      <c r="AC5" s="4" t="str">
        <f ca="1">IFERROR(IF(HC[[#This Row],[nE]]=1,HC[[#This Row],[Padm (kN)]],HC[[#This Row],[Padm (kN)]]*HC[[#This Row],[nE]]*INDEX(grupoEstacas[],HC[[#This Row],[nE]],MATCH("ε",grupoEstacas[#Headers],0))),"N.S.")</f>
        <v>N.S.</v>
      </c>
      <c r="AD5" s="4" t="e">
        <f ca="1">1.05*HC[[#This Row],[Nsd (kN)]]/(HC[[#This Row],[nE]]*PI()*HC[[#This Row],[Ø (cm)]]^2/4)*10</f>
        <v>#DIV/0!</v>
      </c>
      <c r="AE5" s="4" t="e">
        <f ca="1">IF(HC[[#This Row],[σ (MPa)]]&lt;INDEX(tipoEstaca[],MATCH($D$2,tipoEstaca[TIPO DE ESTACA],0),MATCH("σmáx (MPa)",tipoEstaca[#Headers],0)),0.4%*PI()*HC[[#This Row],[Ø (cm)]]^2/4,"N.S.")</f>
        <v>#DIV/0!</v>
      </c>
      <c r="AF5" s="1">
        <f>INDEX(tipoEstaca[],MATCH($D$2,tipoEstaca[TIPO DE ESTACA],0),MATCH(HC[[#Headers],[Comprimento (m)]],tipoEstaca[#Headers],0))</f>
        <v>4</v>
      </c>
      <c r="AG5" s="5" t="e">
        <f ca="1">HC[[#This Row],[As,mín (cm²)]]/100^2*HC[[#This Row],[Comprimento (m)]]*7850</f>
        <v>#DIV/0!</v>
      </c>
      <c r="AH5" s="4" t="e">
        <f ca="1">HC[[#This Row],[nE]]*HC[[#This Row],[Prof. (m)]]*HC[[#This Row],[Ap (m²)]]</f>
        <v>#DIV/0!</v>
      </c>
      <c r="AI5" s="1" t="e">
        <f ca="1">IF(HC[[#This Row],[nE]]=1,0,MAX(3*HC[[#This Row],[Ø (cm)]],60))</f>
        <v>#DIV/0!</v>
      </c>
      <c r="AJ5" s="1" t="e">
        <f ca="1">IF(HC[[#This Row],[nE]]=1,HC[[#This Row],[Ø (cm)]]+2*10,MAX(1.5*HC[[#This Row],[Ø (cm)]],HC[[#This Row],[Ø (cm)]]+15))</f>
        <v>#DIV/0!</v>
      </c>
      <c r="AK5" s="1" t="e">
        <f ca="1">alturaUtil(HC[[#This Row],[nE]],HC[[#This Row],[Ø (cm)]],HC[[#This Row],[e (cm)]],HC[[#This Row],[ap,eq (cm)]])</f>
        <v>#VALUE!</v>
      </c>
      <c r="AL5" s="1" t="str">
        <f ca="1">IFERROR(HC[[#This Row],[d (cm)]]+arredondarParaCimaMultiplo5cm(MAX(5,SQRT(PI())/2*HC[[#This Row],[Ø (cm)]]/5)),"N.S.")</f>
        <v>N.S.</v>
      </c>
      <c r="AM5" s="5" t="e">
        <f ca="1">alpha(HC[[#This Row],[nE]],HC[[#This Row],[d (cm)]],HC[[#This Row],[e (cm)]],HC[[#This Row],[ap,eq (cm)]])</f>
        <v>#VALUE!</v>
      </c>
      <c r="AN5" s="35" t="str">
        <f ca="1">IFERROR(HC[[#This Row],[Nsd (kN)]]/(HC[[#This Row],[Ap (cm²)]]*SIN(HC[[#This Row],[α]])^2),"N.S.")</f>
        <v>N.S.</v>
      </c>
      <c r="AO5" s="35" t="str">
        <f ca="1">IFERROR(HC[[#This Row],[Nsd (kN)]]/(HC[[#This Row],[nE]]*PI()*HC[[#This Row],[Ø (cm)]]^2/4*SIN(HC[[#This Row],[α]])^2),"N.S.")</f>
        <v>N.S.</v>
      </c>
      <c r="AP5" s="4" t="str">
        <f ca="1">IFERROR(INDEX(grupoEstacas[],HC[[#This Row],[nE]],MATCH("coef. Blévot",grupoEstacas[#Headers],0)),"N.S.")</f>
        <v>N.S.</v>
      </c>
      <c r="AQ5" s="35" t="str">
        <f ca="1">IFERROR(HC[[#This Row],[coef. Blévot]]*0.9*INDEX(tipoEstaca[],MATCH($D$2,tipoEstaca[TIPO DE ESTACA],0),MATCH("fcd (kN/cm²)",tipoEstaca[#Headers],0)),"N.S.")</f>
        <v>N.S.</v>
      </c>
      <c r="AR5" s="1" t="str">
        <f ca="1">IF(AND(HC[[#This Row],[cd,b,pil (kN/cm²)]]&lt;=HC[[#This Row],[cd,b,lim (kN/cm²)]],HC[[#This Row],[cd,b,est (kN/cm²)]]&lt;=HC[[#This Row],[cd,b,lim (kN/cm²)]]),"OK","ERRO")</f>
        <v>OK</v>
      </c>
      <c r="AS5" s="4" t="e">
        <f ca="1">As_lado(HC[[#This Row],[nE]],HC[[#This Row],[Nsd (kN)]],HC[[#This Row],[d (cm)]],HC[[#This Row],[e (cm)]],HC[[#This Row],[ap,eq (cm)]])</f>
        <v>#VALUE!</v>
      </c>
      <c r="AT5" s="4" t="e">
        <f ca="1">IF(HC[[#This Row],[nE]]=1,HC[[#This Row],[As,lado (cm²)]],IF(HC[[#This Row],[nE]]=2,0.075*2*HC[a (cm)],"N.A."))</f>
        <v>#DIV/0!</v>
      </c>
      <c r="AU5" s="4" t="str">
        <f ca="1">IFERROR(IF(HC[[#This Row],[nE]]=1,"N.A.",0.2*HC[[#This Row],[As,lado (cm²)]]),"N.S.")</f>
        <v>N.S.</v>
      </c>
      <c r="AV5" s="4" t="e">
        <f ca="1">As_malha(HC[[#This Row],[nE]],HC[[#This Row],[As,lado (cm²)]],HC[[#This Row],[Nsd (kN)]])</f>
        <v>#VALUE!</v>
      </c>
      <c r="AW5" s="4" t="e">
        <f ca="1">As_susp_tot(HC[[#This Row],[nE]],HC[[#This Row],[Nsd (kN)]])</f>
        <v>#VALUE!</v>
      </c>
      <c r="AX5" s="4" t="e">
        <f ca="1">Asp_face(HC[[#This Row],[nE]],HC[[#This Row],[As,lado (cm²)]])</f>
        <v>#VALUE!</v>
      </c>
      <c r="AY5" s="5" t="e">
        <f ca="1">acoBloco(HC[[#This Row],[nE]],HC[[#This Row],[e (cm)]],HC[[#This Row],[a (cm)]],HC[[#This Row],[h (cm)]],HC[[#This Row],[As,lado (cm²)]],HC[[#This Row],[Asp e Asw (cm²/m)]],HC[[#This Row],[As,sup (cm²)]],HC[[#This Row],[As,malha (cm²)]],HC[[#This Row],[As,susp,tot (cm²)]],HC[[#This Row],[Asp,face (cm²)]])</f>
        <v>#VALUE!</v>
      </c>
      <c r="AZ5" s="4" t="e">
        <f ca="1">concretoBloco(HC[[#This Row],[nE]],HC[[#This Row],[e (cm)]],HC[[#This Row],[a (cm)]],HC[[#This Row],[h (cm)]])</f>
        <v>#VALUE!</v>
      </c>
      <c r="BA5" s="5" t="e">
        <f ca="1">SUM(HC[[#This Row],[Aço Est (kg)]],HC[[#This Row],[Aço Bloco (kg)]])</f>
        <v>#DIV/0!</v>
      </c>
      <c r="BB5" s="4">
        <f>INDEX(composicoes[],MATCH(95580,composicoes[CÓDIGO],0),MATCH("CUSTO TOTAL",composicoes[#Headers],0))</f>
        <v>10.46</v>
      </c>
      <c r="BC5" s="4" t="e">
        <f ca="1">SUM(HC[[#This Row],[Conc Est (m³)]],HC[[#This Row],[Conc Bloco (m³)]])</f>
        <v>#DIV/0!</v>
      </c>
      <c r="BD5" s="4">
        <f>INDEX(composicoes[],MATCH(94966,composicoes[CÓDIGO],0),MATCH("CUSTO TOTAL",composicoes[#Headers],0))</f>
        <v>439.52</v>
      </c>
      <c r="BE5" s="38" t="e">
        <f ca="1">HC[[#This Row],[Aço (kg)]]*HC[[#This Row],[Aço (R$/kg)]]+HC[[#This Row],[Conc (m³)]]*HC[[#This Row],[Conc (R$/m³)]]</f>
        <v>#DIV/0!</v>
      </c>
      <c r="BF5" s="4" t="str">
        <f ca="1">IF(COUNTIF(HC[#This Row],"N.S.")&gt;0,"lim.","OK")</f>
        <v>lim.</v>
      </c>
      <c r="BG5" s="4" t="str">
        <f>IF(HC[[#This Row],[Prof. (m)]]&lt;4,"lim.","OK")</f>
        <v>lim.</v>
      </c>
      <c r="BH5" s="4" t="str">
        <f>IF(HC[[#This Row],[Prof. (m)]]&gt;=8*HC[[#This Row],[Ø (cm)]]/100,"OK","lim.")</f>
        <v>lim.</v>
      </c>
      <c r="BI5" s="4" t="str">
        <f ca="1">IF(HC[[#This Row],[Verif. Biela]]="OK","OK","lim.")</f>
        <v>OK</v>
      </c>
      <c r="BJ5" s="4" t="str">
        <f ca="1">IF(COUNTA(HC[[#This Row],[Nº Est.]:[Biela comp.]])=COUNTIF(HC[[#This Row],[Nº Est.]:[Biela comp.]],"OK"),"OK","lim.")</f>
        <v>lim.</v>
      </c>
      <c r="BK5" s="4" t="str">
        <f ca="1">IF(HC[[#This Row],[Controle]]="OK",HC[[#This Row],[nE]]&amp;" Ø"&amp;HC[[#This Row],[Ø (cm)]]&amp;"cm Prof. "&amp;HC[[#This Row],[Prof. (m)]]&amp;" m","")</f>
        <v/>
      </c>
      <c r="BL5" s="4" t="str">
        <f ca="1">IF(HC[[#This Row],[idDimensionamento]]="","",HC[[#This Row],[idPilar]]&amp;HC[[#This Row],[idDimensionamento]])</f>
        <v/>
      </c>
    </row>
    <row r="6" spans="2:64" x14ac:dyDescent="0.25">
      <c r="B6" s="12">
        <f>ROUNDUP((ROW(HC[[#This Row],[idDiâmetro]])-ROW(HC[[#Headers],[idDiâmetro]]))/(COUNT(SPT[Prof. (m)])*COUNT(PILARES[Pilar])),0)</f>
        <v>1</v>
      </c>
      <c r="C6" s="12">
        <f>IF(HC[[#This Row],[idDiâmetro]]&lt;&gt;B5,1,IF(HC[[#This Row],[Prof. (m)]]=0,C5+1,C5))</f>
        <v>1</v>
      </c>
      <c r="D6" s="1">
        <f>IFERROR(IF(D5=MAX(SPT[Prof. (m)]),0,D5+1),0)</f>
        <v>1</v>
      </c>
      <c r="E6" s="1">
        <f>INDEX(SPT[],MATCH(HC[[#This Row],[Prof. (m)]],SPT[Prof. (m)],0),2)</f>
        <v>2</v>
      </c>
      <c r="F6" s="1" t="str">
        <f>INDEX(SPT[],MATCH(HC[[#This Row],[Prof. (m)]],SPT[Prof. (m)],0),3)</f>
        <v>Areia siltosa</v>
      </c>
      <c r="G6" s="1">
        <f>INDEX(estacas[],HC[[#This Row],[idDiâmetro]],MATCH($B$2,estacas[#Headers],0))</f>
        <v>27.5</v>
      </c>
      <c r="H6" s="1">
        <f>INDEX(estacas[],MATCH(HC[[#This Row],[Ø (cm)]],estacas[Ø HC (cm)],0),MATCH(HC[[#Headers],[Pe HC (kN)]],estacas[#Headers],0))</f>
        <v>350</v>
      </c>
      <c r="I6" s="4">
        <f>INDEX(K_alpha_C[],MATCH(HC[[#This Row],[Solo]],K_alpha_C[Solo],0),2)</f>
        <v>0.8</v>
      </c>
      <c r="J6" s="5">
        <f>INDEX(K_alpha_C[],MATCH(HC[[#This Row],[Solo]],K_alpha_C[Solo],0),3)</f>
        <v>2</v>
      </c>
      <c r="K6" s="4">
        <f>INDEX(F1_F2[],MATCH($D$2,F1_F2[Tipo de estaca],0),2)</f>
        <v>2</v>
      </c>
      <c r="L6" s="4">
        <f>INDEX(F1_F2[],MATCH($D$2,F1_F2[Tipo de estaca],0),3)</f>
        <v>4</v>
      </c>
      <c r="M6" s="4">
        <f>PI()*(HC[[#This Row],[Ø (cm)]]/100)^2/4</f>
        <v>5.9395736106932037E-2</v>
      </c>
      <c r="N6" s="4">
        <f>PI()*HC[[#This Row],[Ø (cm)]]/100</f>
        <v>0.86393797973719311</v>
      </c>
      <c r="O6" s="4">
        <f>IF(HC[[#This Row],[Prof. (m)]]=0,0,HC[[#This Row],[α (%)]]/100*HC[[#This Row],[K (MPa)]]*1000*HC[[#This Row],[NSPT]])</f>
        <v>32</v>
      </c>
      <c r="P6" s="4">
        <f>IF(HC[[#This Row],[Prof. (m)]]=0,0,(HC[[#This Row],[K (MPa)]]*1000*HC[[#This Row],[NSPT]]/HC[[#This Row],[F1]]*HC[[#This Row],[Ap (m²)]]+HC[[#This Row],[U (m)]]/HC[[#This Row],[F2]]*SUMIFS(HC[(α∙K∙NL∙ΔL)],HC[Prof. (m)],"&lt;="&amp;HC[[#This Row],[Prof. (m)]],HC[idDiâmetro],HC[[#This Row],[idDiâmetro]],HC[idPilar],HC[[#This Row],[idPilar]]))/'DADOS CAP. CARGA'!$D$2)</f>
        <v>27.214046361721586</v>
      </c>
      <c r="Q6" s="12">
        <f>INDEX(C_alpha_beta[],MATCH(HC[[#This Row],[Solo]],C_alpha_beta[Solo],0),MATCH(HC[[#Headers],[C (kPa)]],C_alpha_beta[#Headers],0))</f>
        <v>400</v>
      </c>
      <c r="R6" s="4">
        <f>INDEX(C_alpha_beta[],MATCH(HC[[#This Row],[Solo]],C_alpha_beta[Solo],0),MATCH(HC[[#Headers],[α ESF]],C_alpha_beta[#Headers],0))</f>
        <v>0.5</v>
      </c>
      <c r="S6" s="4">
        <f>INDEX(C_alpha_beta[],MATCH(HC[[#This Row],[Solo]],C_alpha_beta[Solo],0),MATCH(HC[[#Headers],[β ESF]],C_alpha_beta[#Headers],0))</f>
        <v>0.5</v>
      </c>
      <c r="T6" s="4">
        <f>IF(HC[[#This Row],[Prof. (m)]]=0,0,10*(HC[[#This Row],[NSPT]]/3+1))</f>
        <v>16.666666666666664</v>
      </c>
      <c r="U6" s="4">
        <f>(HC[[#This Row],[α ESF]]*HC[[#This Row],[C (kPa)]]*HC[[#This Row],[NSPT]]*HC[[#This Row],[Ap (m²)]])/'DADOS CAP. CARGA'!$Q$2+(HC[[#This Row],[β ESF]]*SUMIFS(HC[10∙(NL/3+1)],HC[Prof. (m)],"&lt;="&amp;HC[[#This Row],[Prof. (m)]],HC[idDiâmetro],HC[[#This Row],[idDiâmetro]],HC[idPilar],HC[[#This Row],[idPilar]])*HC[[#This Row],[U (m)]])/'DADOS CAP. CARGA'!$S$2</f>
        <v>9.5393151929315074</v>
      </c>
      <c r="V6" s="4">
        <f>IF(SPT!$M$5=1,MIN(HC[[#This Row],[Pe HC (kN)]],HC[[#This Row],[R_AV (kN)]]),IF(SPT!$M$5=2,MIN(HC[[#This Row],[Pe HC (kN)]],HC[[#This Row],[R_DC (kN)]]),MIN(HC[[#This Row],[Pe HC (kN)]],HC[[#This Row],[R_AV (kN)]],HC[[#This Row],[R_DC (kN)]])))</f>
        <v>9.5393151929315074</v>
      </c>
      <c r="W6" s="4">
        <f>INDEX(PILARES[],HC[[#This Row],[idPilar]],MATCH("Carga (kN)",PILARES[#Headers],0))*1.4</f>
        <v>3500</v>
      </c>
      <c r="X6" s="12">
        <f>INDEX(PILARES[],HC[[#This Row],[idPilar]],MATCH(HC[[#Headers],[ap (cm)]],PILARES[#Headers],0))</f>
        <v>60</v>
      </c>
      <c r="Y6" s="12">
        <f>INDEX(PILARES[],HC[[#This Row],[idPilar]],MATCH(HC[[#Headers],[bp (cm)]],PILARES[#Headers],0))</f>
        <v>60</v>
      </c>
      <c r="Z6" s="4">
        <f>SQRT(HC[[#This Row],[ap (cm)]]*HC[[#This Row],[bp (cm)]])</f>
        <v>60</v>
      </c>
      <c r="AA6" s="12">
        <f>HC[[#This Row],[ap (cm)]]*HC[[#This Row],[bp (cm)]]</f>
        <v>3600</v>
      </c>
      <c r="AB6" s="12">
        <f ca="1">IF(HC[[#This Row],[Padm∙ε (kN)]]&gt;=HC[[#This Row],[Padm (kN)]],ROUNDUP(1.05*HC[[#This Row],[Nsd (kN)]]/HC[[#This Row],[Padm (kN)]],0),ROUNDUP(1.05*HC[[#This Row],[Nsd (kN)]]/HC[[#This Row],[Padm (kN)]],0)+1)</f>
        <v>386</v>
      </c>
      <c r="AC6" s="4" t="str">
        <f ca="1">IFERROR(IF(HC[[#This Row],[nE]]=1,HC[[#This Row],[Padm (kN)]],HC[[#This Row],[Padm (kN)]]*HC[[#This Row],[nE]]*INDEX(grupoEstacas[],HC[[#This Row],[nE]],MATCH("ε",grupoEstacas[#Headers],0))),"N.S.")</f>
        <v>N.S.</v>
      </c>
      <c r="AD6" s="4">
        <f ca="1">1.05*HC[[#This Row],[Nsd (kN)]]/(HC[[#This Row],[nE]]*PI()*HC[[#This Row],[Ø (cm)]]^2/4)*10</f>
        <v>0.16029307847049112</v>
      </c>
      <c r="AE6" s="4">
        <f ca="1">IF(HC[[#This Row],[σ (MPa)]]&lt;INDEX(tipoEstaca[],MATCH($D$2,tipoEstaca[TIPO DE ESTACA],0),MATCH("σmáx (MPa)",tipoEstaca[#Headers],0)),0.4%*PI()*HC[[#This Row],[Ø (cm)]]^2/4,"N.S.")</f>
        <v>2.3758294442772812</v>
      </c>
      <c r="AF6" s="1">
        <f>INDEX(tipoEstaca[],MATCH($D$2,tipoEstaca[TIPO DE ESTACA],0),MATCH(HC[[#Headers],[Comprimento (m)]],tipoEstaca[#Headers],0))</f>
        <v>4</v>
      </c>
      <c r="AG6" s="5">
        <f ca="1">HC[[#This Row],[As,mín (cm²)]]/100^2*HC[[#This Row],[Comprimento (m)]]*7850</f>
        <v>7.4601044550306632</v>
      </c>
      <c r="AH6" s="4">
        <f ca="1">HC[[#This Row],[nE]]*HC[[#This Row],[Prof. (m)]]*HC[[#This Row],[Ap (m²)]]</f>
        <v>22.926754137275765</v>
      </c>
      <c r="AI6" s="1">
        <f ca="1">IF(HC[[#This Row],[nE]]=1,0,MAX(3*HC[[#This Row],[Ø (cm)]],60))</f>
        <v>82.5</v>
      </c>
      <c r="AJ6" s="1">
        <f ca="1">IF(HC[[#This Row],[nE]]=1,HC[[#This Row],[Ø (cm)]]+2*10,MAX(1.5*HC[[#This Row],[Ø (cm)]],HC[[#This Row],[Ø (cm)]]+15))</f>
        <v>42.5</v>
      </c>
      <c r="AK6" s="1" t="str">
        <f ca="1">alturaUtil(HC[[#This Row],[nE]],HC[[#This Row],[Ø (cm)]],HC[[#This Row],[e (cm)]],HC[[#This Row],[ap,eq (cm)]])</f>
        <v>N.S.</v>
      </c>
      <c r="AL6" s="1" t="str">
        <f ca="1">IFERROR(HC[[#This Row],[d (cm)]]+arredondarParaCimaMultiplo5cm(MAX(5,SQRT(PI())/2*HC[[#This Row],[Ø (cm)]]/5)),"N.S.")</f>
        <v>N.S.</v>
      </c>
      <c r="AM6" s="5" t="str">
        <f ca="1">alpha(HC[[#This Row],[nE]],HC[[#This Row],[d (cm)]],HC[[#This Row],[e (cm)]],HC[[#This Row],[ap,eq (cm)]])</f>
        <v>N.S.</v>
      </c>
      <c r="AN6" s="35" t="str">
        <f ca="1">IFERROR(HC[[#This Row],[Nsd (kN)]]/(HC[[#This Row],[Ap (cm²)]]*SIN(HC[[#This Row],[α]])^2),"N.S.")</f>
        <v>N.S.</v>
      </c>
      <c r="AO6" s="35" t="str">
        <f ca="1">IFERROR(HC[[#This Row],[Nsd (kN)]]/(HC[[#This Row],[nE]]*PI()*HC[[#This Row],[Ø (cm)]]^2/4*SIN(HC[[#This Row],[α]])^2),"N.S.")</f>
        <v>N.S.</v>
      </c>
      <c r="AP6" s="4" t="str">
        <f ca="1">IFERROR(INDEX(grupoEstacas[],HC[[#This Row],[nE]],MATCH("coef. Blévot",grupoEstacas[#Headers],0)),"N.S.")</f>
        <v>N.S.</v>
      </c>
      <c r="AQ6" s="35" t="str">
        <f ca="1">IFERROR(HC[[#This Row],[coef. Blévot]]*0.9*INDEX(tipoEstaca[],MATCH($D$2,tipoEstaca[TIPO DE ESTACA],0),MATCH("fcd (kN/cm²)",tipoEstaca[#Headers],0)),"N.S.")</f>
        <v>N.S.</v>
      </c>
      <c r="AR6" s="1" t="str">
        <f ca="1">IF(AND(HC[[#This Row],[cd,b,pil (kN/cm²)]]&lt;=HC[[#This Row],[cd,b,lim (kN/cm²)]],HC[[#This Row],[cd,b,est (kN/cm²)]]&lt;=HC[[#This Row],[cd,b,lim (kN/cm²)]]),"OK","ERRO")</f>
        <v>OK</v>
      </c>
      <c r="AS6" s="4" t="str">
        <f ca="1">As_lado(HC[[#This Row],[nE]],HC[[#This Row],[Nsd (kN)]],HC[[#This Row],[d (cm)]],HC[[#This Row],[e (cm)]],HC[[#This Row],[ap,eq (cm)]])</f>
        <v>N.S.</v>
      </c>
      <c r="AT6" s="4" t="str">
        <f ca="1">IF(HC[[#This Row],[nE]]=1,HC[[#This Row],[As,lado (cm²)]],IF(HC[[#This Row],[nE]]=2,0.075*2*HC[a (cm)],"N.A."))</f>
        <v>N.A.</v>
      </c>
      <c r="AU6" s="4" t="str">
        <f ca="1">IFERROR(IF(HC[[#This Row],[nE]]=1,"N.A.",0.2*HC[[#This Row],[As,lado (cm²)]]),"N.S.")</f>
        <v>N.S.</v>
      </c>
      <c r="AV6" s="4" t="str">
        <f ca="1">As_malha(HC[[#This Row],[nE]],HC[[#This Row],[As,lado (cm²)]],HC[[#This Row],[Nsd (kN)]])</f>
        <v>N.S.</v>
      </c>
      <c r="AW6" s="4" t="str">
        <f ca="1">As_susp_tot(HC[[#This Row],[nE]],HC[[#This Row],[Nsd (kN)]])</f>
        <v>N.S.</v>
      </c>
      <c r="AX6" s="4" t="str">
        <f ca="1">Asp_face(HC[[#This Row],[nE]],HC[[#This Row],[As,lado (cm²)]])</f>
        <v>N.S.</v>
      </c>
      <c r="AY6" s="5" t="str">
        <f ca="1">acoBloco(HC[[#This Row],[nE]],HC[[#This Row],[e (cm)]],HC[[#This Row],[a (cm)]],HC[[#This Row],[h (cm)]],HC[[#This Row],[As,lado (cm²)]],HC[[#This Row],[Asp e Asw (cm²/m)]],HC[[#This Row],[As,sup (cm²)]],HC[[#This Row],[As,malha (cm²)]],HC[[#This Row],[As,susp,tot (cm²)]],HC[[#This Row],[Asp,face (cm²)]])</f>
        <v>N.S.</v>
      </c>
      <c r="AZ6" s="4" t="str">
        <f ca="1">concretoBloco(HC[[#This Row],[nE]],HC[[#This Row],[e (cm)]],HC[[#This Row],[a (cm)]],HC[[#This Row],[h (cm)]])</f>
        <v>N.S.</v>
      </c>
      <c r="BA6" s="5">
        <f ca="1">SUM(HC[[#This Row],[Aço Est (kg)]],HC[[#This Row],[Aço Bloco (kg)]])</f>
        <v>7.4601044550306632</v>
      </c>
      <c r="BB6" s="4">
        <f>INDEX(composicoes[],MATCH(95580,composicoes[CÓDIGO],0),MATCH("CUSTO TOTAL",composicoes[#Headers],0))</f>
        <v>10.46</v>
      </c>
      <c r="BC6" s="4">
        <f ca="1">SUM(HC[[#This Row],[Conc Est (m³)]],HC[[#This Row],[Conc Bloco (m³)]])</f>
        <v>22.926754137275765</v>
      </c>
      <c r="BD6" s="4">
        <f>INDEX(composicoes[],MATCH(94966,composicoes[CÓDIGO],0),MATCH("CUSTO TOTAL",composicoes[#Headers],0))</f>
        <v>439.52</v>
      </c>
      <c r="BE6" s="38">
        <f ca="1">HC[[#This Row],[Aço (kg)]]*HC[[#This Row],[Aço (R$/kg)]]+HC[[#This Row],[Conc (m³)]]*HC[[#This Row],[Conc (R$/m³)]]</f>
        <v>10154.799671015066</v>
      </c>
      <c r="BF6" s="4" t="str">
        <f ca="1">IF(COUNTIF(HC[#This Row],"N.S.")&gt;0,"lim.","OK")</f>
        <v>lim.</v>
      </c>
      <c r="BG6" s="4" t="str">
        <f>IF(HC[[#This Row],[Prof. (m)]]&lt;4,"lim.","OK")</f>
        <v>lim.</v>
      </c>
      <c r="BH6" s="4" t="str">
        <f>IF(HC[[#This Row],[Prof. (m)]]&gt;=8*HC[[#This Row],[Ø (cm)]]/100,"OK","lim.")</f>
        <v>lim.</v>
      </c>
      <c r="BI6" s="4" t="str">
        <f ca="1">IF(HC[[#This Row],[Verif. Biela]]="OK","OK","lim.")</f>
        <v>OK</v>
      </c>
      <c r="BJ6" s="4" t="str">
        <f ca="1">IF(COUNTA(HC[[#This Row],[Nº Est.]:[Biela comp.]])=COUNTIF(HC[[#This Row],[Nº Est.]:[Biela comp.]],"OK"),"OK","lim.")</f>
        <v>lim.</v>
      </c>
      <c r="BK6" s="4" t="str">
        <f ca="1">IF(HC[[#This Row],[Controle]]="OK",HC[[#This Row],[nE]]&amp;" Ø"&amp;HC[[#This Row],[Ø (cm)]]&amp;"cm Prof. "&amp;HC[[#This Row],[Prof. (m)]]&amp;" m","")</f>
        <v/>
      </c>
      <c r="BL6" s="4" t="str">
        <f ca="1">IF(HC[[#This Row],[idDimensionamento]]="","",HC[[#This Row],[idPilar]]&amp;HC[[#This Row],[idDimensionamento]])</f>
        <v/>
      </c>
    </row>
    <row r="7" spans="2:64" x14ac:dyDescent="0.25">
      <c r="B7" s="12">
        <f>ROUNDUP((ROW(HC[[#This Row],[idDiâmetro]])-ROW(HC[[#Headers],[idDiâmetro]]))/(COUNT(SPT[Prof. (m)])*COUNT(PILARES[Pilar])),0)</f>
        <v>1</v>
      </c>
      <c r="C7" s="12">
        <f>IF(HC[[#This Row],[idDiâmetro]]&lt;&gt;B6,1,IF(HC[[#This Row],[Prof. (m)]]=0,C6+1,C6))</f>
        <v>1</v>
      </c>
      <c r="D7" s="1">
        <f>IFERROR(IF(D6=MAX(SPT[Prof. (m)]),0,D6+1),0)</f>
        <v>2</v>
      </c>
      <c r="E7" s="1">
        <f>INDEX(SPT[],MATCH(HC[[#This Row],[Prof. (m)]],SPT[Prof. (m)],0),2)</f>
        <v>2</v>
      </c>
      <c r="F7" s="1" t="str">
        <f>INDEX(SPT[],MATCH(HC[[#This Row],[Prof. (m)]],SPT[Prof. (m)],0),3)</f>
        <v>Areia siltosa</v>
      </c>
      <c r="G7" s="1">
        <f>INDEX(estacas[],HC[[#This Row],[idDiâmetro]],MATCH($B$2,estacas[#Headers],0))</f>
        <v>27.5</v>
      </c>
      <c r="H7" s="1">
        <f>INDEX(estacas[],MATCH(HC[[#This Row],[Ø (cm)]],estacas[Ø HC (cm)],0),MATCH(HC[[#Headers],[Pe HC (kN)]],estacas[#Headers],0))</f>
        <v>350</v>
      </c>
      <c r="I7" s="4">
        <f>INDEX(K_alpha_C[],MATCH(HC[[#This Row],[Solo]],K_alpha_C[Solo],0),2)</f>
        <v>0.8</v>
      </c>
      <c r="J7" s="5">
        <f>INDEX(K_alpha_C[],MATCH(HC[[#This Row],[Solo]],K_alpha_C[Solo],0),3)</f>
        <v>2</v>
      </c>
      <c r="K7" s="4">
        <f>INDEX(F1_F2[],MATCH($D$2,F1_F2[Tipo de estaca],0),2)</f>
        <v>2</v>
      </c>
      <c r="L7" s="4">
        <f>INDEX(F1_F2[],MATCH($D$2,F1_F2[Tipo de estaca],0),3)</f>
        <v>4</v>
      </c>
      <c r="M7" s="4">
        <f>PI()*(HC[[#This Row],[Ø (cm)]]/100)^2/4</f>
        <v>5.9395736106932037E-2</v>
      </c>
      <c r="N7" s="4">
        <f>PI()*HC[[#This Row],[Ø (cm)]]/100</f>
        <v>0.86393797973719311</v>
      </c>
      <c r="O7" s="4">
        <f>IF(HC[[#This Row],[Prof. (m)]]=0,0,HC[[#This Row],[α (%)]]/100*HC[[#This Row],[K (MPa)]]*1000*HC[[#This Row],[NSPT]])</f>
        <v>32</v>
      </c>
      <c r="P7" s="4">
        <f>IF(HC[[#This Row],[Prof. (m)]]=0,0,(HC[[#This Row],[K (MPa)]]*1000*HC[[#This Row],[NSPT]]/HC[[#This Row],[F1]]*HC[[#This Row],[Ap (m²)]]+HC[[#This Row],[U (m)]]/HC[[#This Row],[F2]]*SUMIFS(HC[(α∙K∙NL∙ΔL)],HC[Prof. (m)],"&lt;="&amp;HC[[#This Row],[Prof. (m)]],HC[idDiâmetro],HC[[#This Row],[idDiâmetro]],HC[idPilar],HC[[#This Row],[idPilar]]))/'DADOS CAP. CARGA'!$D$2)</f>
        <v>30.66979828067036</v>
      </c>
      <c r="Q7" s="12">
        <f>INDEX(C_alpha_beta[],MATCH(HC[[#This Row],[Solo]],C_alpha_beta[Solo],0),MATCH(HC[[#Headers],[C (kPa)]],C_alpha_beta[#Headers],0))</f>
        <v>400</v>
      </c>
      <c r="R7" s="4">
        <f>INDEX(C_alpha_beta[],MATCH(HC[[#This Row],[Solo]],C_alpha_beta[Solo],0),MATCH(HC[[#Headers],[α ESF]],C_alpha_beta[#Headers],0))</f>
        <v>0.5</v>
      </c>
      <c r="S7" s="4">
        <f>INDEX(C_alpha_beta[],MATCH(HC[[#This Row],[Solo]],C_alpha_beta[Solo],0),MATCH(HC[[#Headers],[β ESF]],C_alpha_beta[#Headers],0))</f>
        <v>0.5</v>
      </c>
      <c r="T7" s="4">
        <f>IF(HC[[#This Row],[Prof. (m)]]=0,0,10*(HC[[#This Row],[NSPT]]/3+1))</f>
        <v>16.666666666666664</v>
      </c>
      <c r="U7" s="4">
        <f>(HC[[#This Row],[α ESF]]*HC[[#This Row],[C (kPa)]]*HC[[#This Row],[NSPT]]*HC[[#This Row],[Ap (m²)]])/'DADOS CAP. CARGA'!$Q$2+(HC[[#This Row],[β ESF]]*SUMIFS(HC[10∙(NL/3+1)],HC[Prof. (m)],"&lt;="&amp;HC[[#This Row],[Prof. (m)]],HC[idDiâmetro],HC[[#This Row],[idDiâmetro]],HC[idPilar],HC[[#This Row],[idPilar]])*HC[[#This Row],[U (m)]])/'DADOS CAP. CARGA'!$S$2</f>
        <v>13.139056775169813</v>
      </c>
      <c r="V7" s="4">
        <f>IF(SPT!$M$5=1,MIN(HC[[#This Row],[Pe HC (kN)]],HC[[#This Row],[R_AV (kN)]]),IF(SPT!$M$5=2,MIN(HC[[#This Row],[Pe HC (kN)]],HC[[#This Row],[R_DC (kN)]]),MIN(HC[[#This Row],[Pe HC (kN)]],HC[[#This Row],[R_AV (kN)]],HC[[#This Row],[R_DC (kN)]])))</f>
        <v>13.139056775169813</v>
      </c>
      <c r="W7" s="4">
        <f>INDEX(PILARES[],HC[[#This Row],[idPilar]],MATCH("Carga (kN)",PILARES[#Headers],0))*1.4</f>
        <v>3500</v>
      </c>
      <c r="X7" s="12">
        <f>INDEX(PILARES[],HC[[#This Row],[idPilar]],MATCH(HC[[#Headers],[ap (cm)]],PILARES[#Headers],0))</f>
        <v>60</v>
      </c>
      <c r="Y7" s="12">
        <f>INDEX(PILARES[],HC[[#This Row],[idPilar]],MATCH(HC[[#Headers],[bp (cm)]],PILARES[#Headers],0))</f>
        <v>60</v>
      </c>
      <c r="Z7" s="4">
        <f>SQRT(HC[[#This Row],[ap (cm)]]*HC[[#This Row],[bp (cm)]])</f>
        <v>60</v>
      </c>
      <c r="AA7" s="12">
        <f>HC[[#This Row],[ap (cm)]]*HC[[#This Row],[bp (cm)]]</f>
        <v>3600</v>
      </c>
      <c r="AB7" s="12">
        <f ca="1">IF(HC[[#This Row],[Padm∙ε (kN)]]&gt;=HC[[#This Row],[Padm (kN)]],ROUNDUP(1.05*HC[[#This Row],[Nsd (kN)]]/HC[[#This Row],[Padm (kN)]],0),ROUNDUP(1.05*HC[[#This Row],[Nsd (kN)]]/HC[[#This Row],[Padm (kN)]],0)+1)</f>
        <v>280</v>
      </c>
      <c r="AC7" s="4" t="str">
        <f ca="1">IFERROR(IF(HC[[#This Row],[nE]]=1,HC[[#This Row],[Padm (kN)]],HC[[#This Row],[Padm (kN)]]*HC[[#This Row],[nE]]*INDEX(grupoEstacas[],HC[[#This Row],[nE]],MATCH("ε",grupoEstacas[#Headers],0))),"N.S.")</f>
        <v>N.S.</v>
      </c>
      <c r="AD7" s="4">
        <f ca="1">1.05*HC[[#This Row],[Nsd (kN)]]/(HC[[#This Row],[nE]]*PI()*HC[[#This Row],[Ø (cm)]]^2/4)*10</f>
        <v>0.22097545817717698</v>
      </c>
      <c r="AE7" s="4">
        <f ca="1">IF(HC[[#This Row],[σ (MPa)]]&lt;INDEX(tipoEstaca[],MATCH($D$2,tipoEstaca[TIPO DE ESTACA],0),MATCH("σmáx (MPa)",tipoEstaca[#Headers],0)),0.4%*PI()*HC[[#This Row],[Ø (cm)]]^2/4,"N.S.")</f>
        <v>2.3758294442772812</v>
      </c>
      <c r="AF7" s="1">
        <f>INDEX(tipoEstaca[],MATCH($D$2,tipoEstaca[TIPO DE ESTACA],0),MATCH(HC[[#Headers],[Comprimento (m)]],tipoEstaca[#Headers],0))</f>
        <v>4</v>
      </c>
      <c r="AG7" s="5">
        <f ca="1">HC[[#This Row],[As,mín (cm²)]]/100^2*HC[[#This Row],[Comprimento (m)]]*7850</f>
        <v>7.4601044550306632</v>
      </c>
      <c r="AH7" s="4">
        <f ca="1">HC[[#This Row],[nE]]*HC[[#This Row],[Prof. (m)]]*HC[[#This Row],[Ap (m²)]]</f>
        <v>33.26161221988194</v>
      </c>
      <c r="AI7" s="1">
        <f ca="1">IF(HC[[#This Row],[nE]]=1,0,MAX(3*HC[[#This Row],[Ø (cm)]],60))</f>
        <v>82.5</v>
      </c>
      <c r="AJ7" s="1">
        <f ca="1">IF(HC[[#This Row],[nE]]=1,HC[[#This Row],[Ø (cm)]]+2*10,MAX(1.5*HC[[#This Row],[Ø (cm)]],HC[[#This Row],[Ø (cm)]]+15))</f>
        <v>42.5</v>
      </c>
      <c r="AK7" s="1" t="str">
        <f ca="1">alturaUtil(HC[[#This Row],[nE]],HC[[#This Row],[Ø (cm)]],HC[[#This Row],[e (cm)]],HC[[#This Row],[ap,eq (cm)]])</f>
        <v>N.S.</v>
      </c>
      <c r="AL7" s="1" t="str">
        <f ca="1">IFERROR(HC[[#This Row],[d (cm)]]+arredondarParaCimaMultiplo5cm(MAX(5,SQRT(PI())/2*HC[[#This Row],[Ø (cm)]]/5)),"N.S.")</f>
        <v>N.S.</v>
      </c>
      <c r="AM7" s="5" t="str">
        <f ca="1">alpha(HC[[#This Row],[nE]],HC[[#This Row],[d (cm)]],HC[[#This Row],[e (cm)]],HC[[#This Row],[ap,eq (cm)]])</f>
        <v>N.S.</v>
      </c>
      <c r="AN7" s="35" t="str">
        <f ca="1">IFERROR(HC[[#This Row],[Nsd (kN)]]/(HC[[#This Row],[Ap (cm²)]]*SIN(HC[[#This Row],[α]])^2),"N.S.")</f>
        <v>N.S.</v>
      </c>
      <c r="AO7" s="35" t="str">
        <f ca="1">IFERROR(HC[[#This Row],[Nsd (kN)]]/(HC[[#This Row],[nE]]*PI()*HC[[#This Row],[Ø (cm)]]^2/4*SIN(HC[[#This Row],[α]])^2),"N.S.")</f>
        <v>N.S.</v>
      </c>
      <c r="AP7" s="4" t="str">
        <f ca="1">IFERROR(INDEX(grupoEstacas[],HC[[#This Row],[nE]],MATCH("coef. Blévot",grupoEstacas[#Headers],0)),"N.S.")</f>
        <v>N.S.</v>
      </c>
      <c r="AQ7" s="35" t="str">
        <f ca="1">IFERROR(HC[[#This Row],[coef. Blévot]]*0.9*INDEX(tipoEstaca[],MATCH($D$2,tipoEstaca[TIPO DE ESTACA],0),MATCH("fcd (kN/cm²)",tipoEstaca[#Headers],0)),"N.S.")</f>
        <v>N.S.</v>
      </c>
      <c r="AR7" s="1" t="str">
        <f ca="1">IF(AND(HC[[#This Row],[cd,b,pil (kN/cm²)]]&lt;=HC[[#This Row],[cd,b,lim (kN/cm²)]],HC[[#This Row],[cd,b,est (kN/cm²)]]&lt;=HC[[#This Row],[cd,b,lim (kN/cm²)]]),"OK","ERRO")</f>
        <v>OK</v>
      </c>
      <c r="AS7" s="4" t="str">
        <f ca="1">As_lado(HC[[#This Row],[nE]],HC[[#This Row],[Nsd (kN)]],HC[[#This Row],[d (cm)]],HC[[#This Row],[e (cm)]],HC[[#This Row],[ap,eq (cm)]])</f>
        <v>N.S.</v>
      </c>
      <c r="AT7" s="4" t="str">
        <f ca="1">IF(HC[[#This Row],[nE]]=1,HC[[#This Row],[As,lado (cm²)]],IF(HC[[#This Row],[nE]]=2,0.075*2*HC[a (cm)],"N.A."))</f>
        <v>N.A.</v>
      </c>
      <c r="AU7" s="4" t="str">
        <f ca="1">IFERROR(IF(HC[[#This Row],[nE]]=1,"N.A.",0.2*HC[[#This Row],[As,lado (cm²)]]),"N.S.")</f>
        <v>N.S.</v>
      </c>
      <c r="AV7" s="4" t="str">
        <f ca="1">As_malha(HC[[#This Row],[nE]],HC[[#This Row],[As,lado (cm²)]],HC[[#This Row],[Nsd (kN)]])</f>
        <v>N.S.</v>
      </c>
      <c r="AW7" s="4" t="str">
        <f ca="1">As_susp_tot(HC[[#This Row],[nE]],HC[[#This Row],[Nsd (kN)]])</f>
        <v>N.S.</v>
      </c>
      <c r="AX7" s="4" t="str">
        <f ca="1">Asp_face(HC[[#This Row],[nE]],HC[[#This Row],[As,lado (cm²)]])</f>
        <v>N.S.</v>
      </c>
      <c r="AY7" s="5" t="str">
        <f ca="1">acoBloco(HC[[#This Row],[nE]],HC[[#This Row],[e (cm)]],HC[[#This Row],[a (cm)]],HC[[#This Row],[h (cm)]],HC[[#This Row],[As,lado (cm²)]],HC[[#This Row],[Asp e Asw (cm²/m)]],HC[[#This Row],[As,sup (cm²)]],HC[[#This Row],[As,malha (cm²)]],HC[[#This Row],[As,susp,tot (cm²)]],HC[[#This Row],[Asp,face (cm²)]])</f>
        <v>N.S.</v>
      </c>
      <c r="AZ7" s="4" t="str">
        <f ca="1">concretoBloco(HC[[#This Row],[nE]],HC[[#This Row],[e (cm)]],HC[[#This Row],[a (cm)]],HC[[#This Row],[h (cm)]])</f>
        <v>N.S.</v>
      </c>
      <c r="BA7" s="5">
        <f ca="1">SUM(HC[[#This Row],[Aço Est (kg)]],HC[[#This Row],[Aço Bloco (kg)]])</f>
        <v>7.4601044550306632</v>
      </c>
      <c r="BB7" s="4">
        <f>INDEX(composicoes[],MATCH(95580,composicoes[CÓDIGO],0),MATCH("CUSTO TOTAL",composicoes[#Headers],0))</f>
        <v>10.46</v>
      </c>
      <c r="BC7" s="4">
        <f ca="1">SUM(HC[[#This Row],[Conc Est (m³)]],HC[[#This Row],[Conc Bloco (m³)]])</f>
        <v>33.26161221988194</v>
      </c>
      <c r="BD7" s="4">
        <f>INDEX(composicoes[],MATCH(94966,composicoes[CÓDIGO],0),MATCH("CUSTO TOTAL",composicoes[#Headers],0))</f>
        <v>439.52</v>
      </c>
      <c r="BE7" s="38">
        <f ca="1">HC[[#This Row],[Aço (kg)]]*HC[[#This Row],[Aço (R$/kg)]]+HC[[#This Row],[Conc (m³)]]*HC[[#This Row],[Conc (R$/m³)]]</f>
        <v>14697.17649548213</v>
      </c>
      <c r="BF7" s="4" t="str">
        <f ca="1">IF(COUNTIF(HC[#This Row],"N.S.")&gt;0,"lim.","OK")</f>
        <v>lim.</v>
      </c>
      <c r="BG7" s="4" t="str">
        <f>IF(HC[[#This Row],[Prof. (m)]]&lt;4,"lim.","OK")</f>
        <v>lim.</v>
      </c>
      <c r="BH7" s="4" t="str">
        <f>IF(HC[[#This Row],[Prof. (m)]]&gt;=8*HC[[#This Row],[Ø (cm)]]/100,"OK","lim.")</f>
        <v>lim.</v>
      </c>
      <c r="BI7" s="4" t="str">
        <f ca="1">IF(HC[[#This Row],[Verif. Biela]]="OK","OK","lim.")</f>
        <v>OK</v>
      </c>
      <c r="BJ7" s="4" t="str">
        <f ca="1">IF(COUNTA(HC[[#This Row],[Nº Est.]:[Biela comp.]])=COUNTIF(HC[[#This Row],[Nº Est.]:[Biela comp.]],"OK"),"OK","lim.")</f>
        <v>lim.</v>
      </c>
      <c r="BK7" s="4" t="str">
        <f ca="1">IF(HC[[#This Row],[Controle]]="OK",HC[[#This Row],[nE]]&amp;" Ø"&amp;HC[[#This Row],[Ø (cm)]]&amp;"cm Prof. "&amp;HC[[#This Row],[Prof. (m)]]&amp;" m","")</f>
        <v/>
      </c>
      <c r="BL7" s="4" t="str">
        <f ca="1">IF(HC[[#This Row],[idDimensionamento]]="","",HC[[#This Row],[idPilar]]&amp;HC[[#This Row],[idDimensionamento]])</f>
        <v/>
      </c>
    </row>
    <row r="8" spans="2:64" x14ac:dyDescent="0.25">
      <c r="B8" s="12">
        <f>ROUNDUP((ROW(HC[[#This Row],[idDiâmetro]])-ROW(HC[[#Headers],[idDiâmetro]]))/(COUNT(SPT[Prof. (m)])*COUNT(PILARES[Pilar])),0)</f>
        <v>1</v>
      </c>
      <c r="C8" s="12">
        <f>IF(HC[[#This Row],[idDiâmetro]]&lt;&gt;B7,1,IF(HC[[#This Row],[Prof. (m)]]=0,C7+1,C7))</f>
        <v>1</v>
      </c>
      <c r="D8" s="1">
        <f>IFERROR(IF(D7=MAX(SPT[Prof. (m)]),0,D7+1),0)</f>
        <v>3</v>
      </c>
      <c r="E8" s="1">
        <f>INDEX(SPT[],MATCH(HC[[#This Row],[Prof. (m)]],SPT[Prof. (m)],0),2)</f>
        <v>4</v>
      </c>
      <c r="F8" s="1" t="str">
        <f>INDEX(SPT[],MATCH(HC[[#This Row],[Prof. (m)]],SPT[Prof. (m)],0),3)</f>
        <v>Areia siltosa</v>
      </c>
      <c r="G8" s="1">
        <f>INDEX(estacas[],HC[[#This Row],[idDiâmetro]],MATCH($B$2,estacas[#Headers],0))</f>
        <v>27.5</v>
      </c>
      <c r="H8" s="1">
        <f>INDEX(estacas[],MATCH(HC[[#This Row],[Ø (cm)]],estacas[Ø HC (cm)],0),MATCH(HC[[#Headers],[Pe HC (kN)]],estacas[#Headers],0))</f>
        <v>350</v>
      </c>
      <c r="I8" s="4">
        <f>INDEX(K_alpha_C[],MATCH(HC[[#This Row],[Solo]],K_alpha_C[Solo],0),2)</f>
        <v>0.8</v>
      </c>
      <c r="J8" s="5">
        <f>INDEX(K_alpha_C[],MATCH(HC[[#This Row],[Solo]],K_alpha_C[Solo],0),3)</f>
        <v>2</v>
      </c>
      <c r="K8" s="4">
        <f>INDEX(F1_F2[],MATCH($D$2,F1_F2[Tipo de estaca],0),2)</f>
        <v>2</v>
      </c>
      <c r="L8" s="4">
        <f>INDEX(F1_F2[],MATCH($D$2,F1_F2[Tipo de estaca],0),3)</f>
        <v>4</v>
      </c>
      <c r="M8" s="4">
        <f>PI()*(HC[[#This Row],[Ø (cm)]]/100)^2/4</f>
        <v>5.9395736106932037E-2</v>
      </c>
      <c r="N8" s="4">
        <f>PI()*HC[[#This Row],[Ø (cm)]]/100</f>
        <v>0.86393797973719311</v>
      </c>
      <c r="O8" s="4">
        <f>IF(HC[[#This Row],[Prof. (m)]]=0,0,HC[[#This Row],[α (%)]]/100*HC[[#This Row],[K (MPa)]]*1000*HC[[#This Row],[NSPT]])</f>
        <v>64</v>
      </c>
      <c r="P8" s="4">
        <f>IF(HC[[#This Row],[Prof. (m)]]=0,0,(HC[[#This Row],[K (MPa)]]*1000*HC[[#This Row],[NSPT]]/HC[[#This Row],[F1]]*HC[[#This Row],[Ap (m²)]]+HC[[#This Row],[U (m)]]/HC[[#This Row],[F2]]*SUMIFS(HC[(α∙K∙NL∙ΔL)],HC[Prof. (m)],"&lt;="&amp;HC[[#This Row],[Prof. (m)]],HC[idDiâmetro],HC[[#This Row],[idDiâmetro]],HC[idPilar],HC[[#This Row],[idPilar]]))/'DADOS CAP. CARGA'!$D$2)</f>
        <v>61.33959656134072</v>
      </c>
      <c r="Q8" s="12">
        <f>INDEX(C_alpha_beta[],MATCH(HC[[#This Row],[Solo]],C_alpha_beta[Solo],0),MATCH(HC[[#Headers],[C (kPa)]],C_alpha_beta[#Headers],0))</f>
        <v>400</v>
      </c>
      <c r="R8" s="4">
        <f>INDEX(C_alpha_beta[],MATCH(HC[[#This Row],[Solo]],C_alpha_beta[Solo],0),MATCH(HC[[#Headers],[α ESF]],C_alpha_beta[#Headers],0))</f>
        <v>0.5</v>
      </c>
      <c r="S8" s="4">
        <f>INDEX(C_alpha_beta[],MATCH(HC[[#This Row],[Solo]],C_alpha_beta[Solo],0),MATCH(HC[[#Headers],[β ESF]],C_alpha_beta[#Headers],0))</f>
        <v>0.5</v>
      </c>
      <c r="T8" s="4">
        <f>IF(HC[[#This Row],[Prof. (m)]]=0,0,10*(HC[[#This Row],[NSPT]]/3+1))</f>
        <v>23.333333333333329</v>
      </c>
      <c r="U8" s="4">
        <f>(HC[[#This Row],[α ESF]]*HC[[#This Row],[C (kPa)]]*HC[[#This Row],[NSPT]]*HC[[#This Row],[Ap (m²)]])/'DADOS CAP. CARGA'!$Q$2+(HC[[#This Row],[β ESF]]*SUMIFS(HC[10∙(NL/3+1)],HC[Prof. (m)],"&lt;="&amp;HC[[#This Row],[Prof. (m)]],HC[idDiâmetro],HC[[#This Row],[idDiâmetro]],HC[idPilar],HC[[#This Row],[idPilar]])*HC[[#This Row],[U (m)]])/'DADOS CAP. CARGA'!$S$2</f>
        <v>24.118268600996643</v>
      </c>
      <c r="V8" s="4">
        <f>IF(SPT!$M$5=1,MIN(HC[[#This Row],[Pe HC (kN)]],HC[[#This Row],[R_AV (kN)]]),IF(SPT!$M$5=2,MIN(HC[[#This Row],[Pe HC (kN)]],HC[[#This Row],[R_DC (kN)]]),MIN(HC[[#This Row],[Pe HC (kN)]],HC[[#This Row],[R_AV (kN)]],HC[[#This Row],[R_DC (kN)]])))</f>
        <v>24.118268600996643</v>
      </c>
      <c r="W8" s="4">
        <f>INDEX(PILARES[],HC[[#This Row],[idPilar]],MATCH("Carga (kN)",PILARES[#Headers],0))*1.4</f>
        <v>3500</v>
      </c>
      <c r="X8" s="12">
        <f>INDEX(PILARES[],HC[[#This Row],[idPilar]],MATCH(HC[[#Headers],[ap (cm)]],PILARES[#Headers],0))</f>
        <v>60</v>
      </c>
      <c r="Y8" s="12">
        <f>INDEX(PILARES[],HC[[#This Row],[idPilar]],MATCH(HC[[#Headers],[bp (cm)]],PILARES[#Headers],0))</f>
        <v>60</v>
      </c>
      <c r="Z8" s="4">
        <f>SQRT(HC[[#This Row],[ap (cm)]]*HC[[#This Row],[bp (cm)]])</f>
        <v>60</v>
      </c>
      <c r="AA8" s="12">
        <f>HC[[#This Row],[ap (cm)]]*HC[[#This Row],[bp (cm)]]</f>
        <v>3600</v>
      </c>
      <c r="AB8" s="12">
        <f ca="1">IF(HC[[#This Row],[Padm∙ε (kN)]]&gt;=HC[[#This Row],[Padm (kN)]],ROUNDUP(1.05*HC[[#This Row],[Nsd (kN)]]/HC[[#This Row],[Padm (kN)]],0),ROUNDUP(1.05*HC[[#This Row],[Nsd (kN)]]/HC[[#This Row],[Padm (kN)]],0)+1)</f>
        <v>153</v>
      </c>
      <c r="AC8" s="4" t="str">
        <f ca="1">IFERROR(IF(HC[[#This Row],[nE]]=1,HC[[#This Row],[Padm (kN)]],HC[[#This Row],[Padm (kN)]]*HC[[#This Row],[nE]]*INDEX(grupoEstacas[],HC[[#This Row],[nE]],MATCH("ε",grupoEstacas[#Headers],0))),"N.S.")</f>
        <v>N.S.</v>
      </c>
      <c r="AD8" s="4">
        <f ca="1">1.05*HC[[#This Row],[Nsd (kN)]]/(HC[[#This Row],[nE]]*PI()*HC[[#This Row],[Ø (cm)]]^2/4)*10</f>
        <v>0.40439953130463768</v>
      </c>
      <c r="AE8" s="4">
        <f ca="1">IF(HC[[#This Row],[σ (MPa)]]&lt;INDEX(tipoEstaca[],MATCH($D$2,tipoEstaca[TIPO DE ESTACA],0),MATCH("σmáx (MPa)",tipoEstaca[#Headers],0)),0.4%*PI()*HC[[#This Row],[Ø (cm)]]^2/4,"N.S.")</f>
        <v>2.3758294442772812</v>
      </c>
      <c r="AF8" s="1">
        <f>INDEX(tipoEstaca[],MATCH($D$2,tipoEstaca[TIPO DE ESTACA],0),MATCH(HC[[#Headers],[Comprimento (m)]],tipoEstaca[#Headers],0))</f>
        <v>4</v>
      </c>
      <c r="AG8" s="5">
        <f ca="1">HC[[#This Row],[As,mín (cm²)]]/100^2*HC[[#This Row],[Comprimento (m)]]*7850</f>
        <v>7.4601044550306632</v>
      </c>
      <c r="AH8" s="4">
        <f ca="1">HC[[#This Row],[nE]]*HC[[#This Row],[Prof. (m)]]*HC[[#This Row],[Ap (m²)]]</f>
        <v>27.262642873081806</v>
      </c>
      <c r="AI8" s="1">
        <f ca="1">IF(HC[[#This Row],[nE]]=1,0,MAX(3*HC[[#This Row],[Ø (cm)]],60))</f>
        <v>82.5</v>
      </c>
      <c r="AJ8" s="1">
        <f ca="1">IF(HC[[#This Row],[nE]]=1,HC[[#This Row],[Ø (cm)]]+2*10,MAX(1.5*HC[[#This Row],[Ø (cm)]],HC[[#This Row],[Ø (cm)]]+15))</f>
        <v>42.5</v>
      </c>
      <c r="AK8" s="1" t="str">
        <f ca="1">alturaUtil(HC[[#This Row],[nE]],HC[[#This Row],[Ø (cm)]],HC[[#This Row],[e (cm)]],HC[[#This Row],[ap,eq (cm)]])</f>
        <v>N.S.</v>
      </c>
      <c r="AL8" s="1" t="str">
        <f ca="1">IFERROR(HC[[#This Row],[d (cm)]]+arredondarParaCimaMultiplo5cm(MAX(5,SQRT(PI())/2*HC[[#This Row],[Ø (cm)]]/5)),"N.S.")</f>
        <v>N.S.</v>
      </c>
      <c r="AM8" s="5" t="str">
        <f ca="1">alpha(HC[[#This Row],[nE]],HC[[#This Row],[d (cm)]],HC[[#This Row],[e (cm)]],HC[[#This Row],[ap,eq (cm)]])</f>
        <v>N.S.</v>
      </c>
      <c r="AN8" s="35" t="str">
        <f ca="1">IFERROR(HC[[#This Row],[Nsd (kN)]]/(HC[[#This Row],[Ap (cm²)]]*SIN(HC[[#This Row],[α]])^2),"N.S.")</f>
        <v>N.S.</v>
      </c>
      <c r="AO8" s="35" t="str">
        <f ca="1">IFERROR(HC[[#This Row],[Nsd (kN)]]/(HC[[#This Row],[nE]]*PI()*HC[[#This Row],[Ø (cm)]]^2/4*SIN(HC[[#This Row],[α]])^2),"N.S.")</f>
        <v>N.S.</v>
      </c>
      <c r="AP8" s="4" t="str">
        <f ca="1">IFERROR(INDEX(grupoEstacas[],HC[[#This Row],[nE]],MATCH("coef. Blévot",grupoEstacas[#Headers],0)),"N.S.")</f>
        <v>N.S.</v>
      </c>
      <c r="AQ8" s="35" t="str">
        <f ca="1">IFERROR(HC[[#This Row],[coef. Blévot]]*0.9*INDEX(tipoEstaca[],MATCH($D$2,tipoEstaca[TIPO DE ESTACA],0),MATCH("fcd (kN/cm²)",tipoEstaca[#Headers],0)),"N.S.")</f>
        <v>N.S.</v>
      </c>
      <c r="AR8" s="1" t="str">
        <f ca="1">IF(AND(HC[[#This Row],[cd,b,pil (kN/cm²)]]&lt;=HC[[#This Row],[cd,b,lim (kN/cm²)]],HC[[#This Row],[cd,b,est (kN/cm²)]]&lt;=HC[[#This Row],[cd,b,lim (kN/cm²)]]),"OK","ERRO")</f>
        <v>OK</v>
      </c>
      <c r="AS8" s="4" t="str">
        <f ca="1">As_lado(HC[[#This Row],[nE]],HC[[#This Row],[Nsd (kN)]],HC[[#This Row],[d (cm)]],HC[[#This Row],[e (cm)]],HC[[#This Row],[ap,eq (cm)]])</f>
        <v>N.S.</v>
      </c>
      <c r="AT8" s="4" t="str">
        <f ca="1">IF(HC[[#This Row],[nE]]=1,HC[[#This Row],[As,lado (cm²)]],IF(HC[[#This Row],[nE]]=2,0.075*2*HC[a (cm)],"N.A."))</f>
        <v>N.A.</v>
      </c>
      <c r="AU8" s="4" t="str">
        <f ca="1">IFERROR(IF(HC[[#This Row],[nE]]=1,"N.A.",0.2*HC[[#This Row],[As,lado (cm²)]]),"N.S.")</f>
        <v>N.S.</v>
      </c>
      <c r="AV8" s="4" t="str">
        <f ca="1">As_malha(HC[[#This Row],[nE]],HC[[#This Row],[As,lado (cm²)]],HC[[#This Row],[Nsd (kN)]])</f>
        <v>N.S.</v>
      </c>
      <c r="AW8" s="4" t="str">
        <f ca="1">As_susp_tot(HC[[#This Row],[nE]],HC[[#This Row],[Nsd (kN)]])</f>
        <v>N.S.</v>
      </c>
      <c r="AX8" s="4" t="str">
        <f ca="1">Asp_face(HC[[#This Row],[nE]],HC[[#This Row],[As,lado (cm²)]])</f>
        <v>N.S.</v>
      </c>
      <c r="AY8" s="5" t="str">
        <f ca="1">acoBloco(HC[[#This Row],[nE]],HC[[#This Row],[e (cm)]],HC[[#This Row],[a (cm)]],HC[[#This Row],[h (cm)]],HC[[#This Row],[As,lado (cm²)]],HC[[#This Row],[Asp e Asw (cm²/m)]],HC[[#This Row],[As,sup (cm²)]],HC[[#This Row],[As,malha (cm²)]],HC[[#This Row],[As,susp,tot (cm²)]],HC[[#This Row],[Asp,face (cm²)]])</f>
        <v>N.S.</v>
      </c>
      <c r="AZ8" s="4" t="str">
        <f ca="1">concretoBloco(HC[[#This Row],[nE]],HC[[#This Row],[e (cm)]],HC[[#This Row],[a (cm)]],HC[[#This Row],[h (cm)]])</f>
        <v>N.S.</v>
      </c>
      <c r="BA8" s="5">
        <f ca="1">SUM(HC[[#This Row],[Aço Est (kg)]],HC[[#This Row],[Aço Bloco (kg)]])</f>
        <v>7.4601044550306632</v>
      </c>
      <c r="BB8" s="4">
        <f>INDEX(composicoes[],MATCH(95580,composicoes[CÓDIGO],0),MATCH("CUSTO TOTAL",composicoes[#Headers],0))</f>
        <v>10.46</v>
      </c>
      <c r="BC8" s="4">
        <f ca="1">SUM(HC[[#This Row],[Conc Est (m³)]],HC[[#This Row],[Conc Bloco (m³)]])</f>
        <v>27.262642873081806</v>
      </c>
      <c r="BD8" s="4">
        <f>INDEX(composicoes[],MATCH(94966,composicoes[CÓDIGO],0),MATCH("CUSTO TOTAL",composicoes[#Headers],0))</f>
        <v>439.52</v>
      </c>
      <c r="BE8" s="38">
        <f ca="1">HC[[#This Row],[Aço (kg)]]*HC[[#This Row],[Aço (R$/kg)]]+HC[[#This Row],[Conc (m³)]]*HC[[#This Row],[Conc (R$/m³)]]</f>
        <v>12060.509488176536</v>
      </c>
      <c r="BF8" s="4" t="str">
        <f ca="1">IF(COUNTIF(HC[#This Row],"N.S.")&gt;0,"lim.","OK")</f>
        <v>lim.</v>
      </c>
      <c r="BG8" s="4" t="str">
        <f>IF(HC[[#This Row],[Prof. (m)]]&lt;4,"lim.","OK")</f>
        <v>lim.</v>
      </c>
      <c r="BH8" s="4" t="str">
        <f>IF(HC[[#This Row],[Prof. (m)]]&gt;=8*HC[[#This Row],[Ø (cm)]]/100,"OK","lim.")</f>
        <v>OK</v>
      </c>
      <c r="BI8" s="4" t="str">
        <f ca="1">IF(HC[[#This Row],[Verif. Biela]]="OK","OK","lim.")</f>
        <v>OK</v>
      </c>
      <c r="BJ8" s="4" t="str">
        <f ca="1">IF(COUNTA(HC[[#This Row],[Nº Est.]:[Biela comp.]])=COUNTIF(HC[[#This Row],[Nº Est.]:[Biela comp.]],"OK"),"OK","lim.")</f>
        <v>lim.</v>
      </c>
      <c r="BK8" s="4" t="str">
        <f ca="1">IF(HC[[#This Row],[Controle]]="OK",HC[[#This Row],[nE]]&amp;" Ø"&amp;HC[[#This Row],[Ø (cm)]]&amp;"cm Prof. "&amp;HC[[#This Row],[Prof. (m)]]&amp;" m","")</f>
        <v/>
      </c>
      <c r="BL8" s="4" t="str">
        <f ca="1">IF(HC[[#This Row],[idDimensionamento]]="","",HC[[#This Row],[idPilar]]&amp;HC[[#This Row],[idDimensionamento]])</f>
        <v/>
      </c>
    </row>
    <row r="9" spans="2:64" x14ac:dyDescent="0.25">
      <c r="B9" s="12">
        <f>ROUNDUP((ROW(HC[[#This Row],[idDiâmetro]])-ROW(HC[[#Headers],[idDiâmetro]]))/(COUNT(SPT[Prof. (m)])*COUNT(PILARES[Pilar])),0)</f>
        <v>1</v>
      </c>
      <c r="C9" s="12">
        <f>IF(HC[[#This Row],[idDiâmetro]]&lt;&gt;B8,1,IF(HC[[#This Row],[Prof. (m)]]=0,C8+1,C8))</f>
        <v>1</v>
      </c>
      <c r="D9" s="1">
        <f>IFERROR(IF(D8=MAX(SPT[Prof. (m)]),0,D8+1),0)</f>
        <v>4</v>
      </c>
      <c r="E9" s="1">
        <f>INDEX(SPT[],MATCH(HC[[#This Row],[Prof. (m)]],SPT[Prof. (m)],0),2)</f>
        <v>8</v>
      </c>
      <c r="F9" s="1" t="str">
        <f>INDEX(SPT[],MATCH(HC[[#This Row],[Prof. (m)]],SPT[Prof. (m)],0),3)</f>
        <v>Areia siltosa</v>
      </c>
      <c r="G9" s="1">
        <f>INDEX(estacas[],HC[[#This Row],[idDiâmetro]],MATCH($B$2,estacas[#Headers],0))</f>
        <v>27.5</v>
      </c>
      <c r="H9" s="1">
        <f>INDEX(estacas[],MATCH(HC[[#This Row],[Ø (cm)]],estacas[Ø HC (cm)],0),MATCH(HC[[#Headers],[Pe HC (kN)]],estacas[#Headers],0))</f>
        <v>350</v>
      </c>
      <c r="I9" s="4">
        <f>INDEX(K_alpha_C[],MATCH(HC[[#This Row],[Solo]],K_alpha_C[Solo],0),2)</f>
        <v>0.8</v>
      </c>
      <c r="J9" s="5">
        <f>INDEX(K_alpha_C[],MATCH(HC[[#This Row],[Solo]],K_alpha_C[Solo],0),3)</f>
        <v>2</v>
      </c>
      <c r="K9" s="4">
        <f>INDEX(F1_F2[],MATCH($D$2,F1_F2[Tipo de estaca],0),2)</f>
        <v>2</v>
      </c>
      <c r="L9" s="4">
        <f>INDEX(F1_F2[],MATCH($D$2,F1_F2[Tipo de estaca],0),3)</f>
        <v>4</v>
      </c>
      <c r="M9" s="4">
        <f>PI()*(HC[[#This Row],[Ø (cm)]]/100)^2/4</f>
        <v>5.9395736106932037E-2</v>
      </c>
      <c r="N9" s="4">
        <f>PI()*HC[[#This Row],[Ø (cm)]]/100</f>
        <v>0.86393797973719311</v>
      </c>
      <c r="O9" s="4">
        <f>IF(HC[[#This Row],[Prof. (m)]]=0,0,HC[[#This Row],[α (%)]]/100*HC[[#This Row],[K (MPa)]]*1000*HC[[#This Row],[NSPT]])</f>
        <v>128</v>
      </c>
      <c r="P9" s="4">
        <f>IF(HC[[#This Row],[Prof. (m)]]=0,0,(HC[[#This Row],[K (MPa)]]*1000*HC[[#This Row],[NSPT]]/HC[[#This Row],[F1]]*HC[[#This Row],[Ap (m²)]]+HC[[#This Row],[U (m)]]/HC[[#This Row],[F2]]*SUMIFS(HC[(α∙K∙NL∙ΔL)],HC[Prof. (m)],"&lt;="&amp;HC[[#This Row],[Prof. (m)]],HC[idDiâmetro],HC[[#This Row],[idDiâmetro]],HC[idPilar],HC[[#This Row],[idPilar]]))/'DADOS CAP. CARGA'!$D$2)</f>
        <v>122.67919312268144</v>
      </c>
      <c r="Q9" s="12">
        <f>INDEX(C_alpha_beta[],MATCH(HC[[#This Row],[Solo]],C_alpha_beta[Solo],0),MATCH(HC[[#Headers],[C (kPa)]],C_alpha_beta[#Headers],0))</f>
        <v>400</v>
      </c>
      <c r="R9" s="4">
        <f>INDEX(C_alpha_beta[],MATCH(HC[[#This Row],[Solo]],C_alpha_beta[Solo],0),MATCH(HC[[#Headers],[α ESF]],C_alpha_beta[#Headers],0))</f>
        <v>0.5</v>
      </c>
      <c r="S9" s="4">
        <f>INDEX(C_alpha_beta[],MATCH(HC[[#This Row],[Solo]],C_alpha_beta[Solo],0),MATCH(HC[[#Headers],[β ESF]],C_alpha_beta[#Headers],0))</f>
        <v>0.5</v>
      </c>
      <c r="T9" s="4">
        <f>IF(HC[[#This Row],[Prof. (m)]]=0,0,10*(HC[[#This Row],[NSPT]]/3+1))</f>
        <v>36.666666666666664</v>
      </c>
      <c r="U9" s="4">
        <f>(HC[[#This Row],[α ESF]]*HC[[#This Row],[C (kPa)]]*HC[[#This Row],[NSPT]]*HC[[#This Row],[Ap (m²)]])/'DADOS CAP. CARGA'!$Q$2+(HC[[#This Row],[β ESF]]*SUMIFS(HC[10∙(NL/3+1)],HC[Prof. (m)],"&lt;="&amp;HC[[#This Row],[Prof. (m)]],HC[idDiâmetro],HC[[#This Row],[idDiâmetro]],HC[idPilar],HC[[#This Row],[idPilar]])*HC[[#This Row],[U (m)]])/'DADOS CAP. CARGA'!$S$2</f>
        <v>43.916847303307321</v>
      </c>
      <c r="V9" s="4">
        <f>IF(SPT!$M$5=1,MIN(HC[[#This Row],[Pe HC (kN)]],HC[[#This Row],[R_AV (kN)]]),IF(SPT!$M$5=2,MIN(HC[[#This Row],[Pe HC (kN)]],HC[[#This Row],[R_DC (kN)]]),MIN(HC[[#This Row],[Pe HC (kN)]],HC[[#This Row],[R_AV (kN)]],HC[[#This Row],[R_DC (kN)]])))</f>
        <v>43.916847303307321</v>
      </c>
      <c r="W9" s="4">
        <f>INDEX(PILARES[],HC[[#This Row],[idPilar]],MATCH("Carga (kN)",PILARES[#Headers],0))*1.4</f>
        <v>3500</v>
      </c>
      <c r="X9" s="12">
        <f>INDEX(PILARES[],HC[[#This Row],[idPilar]],MATCH(HC[[#Headers],[ap (cm)]],PILARES[#Headers],0))</f>
        <v>60</v>
      </c>
      <c r="Y9" s="12">
        <f>INDEX(PILARES[],HC[[#This Row],[idPilar]],MATCH(HC[[#Headers],[bp (cm)]],PILARES[#Headers],0))</f>
        <v>60</v>
      </c>
      <c r="Z9" s="4">
        <f>SQRT(HC[[#This Row],[ap (cm)]]*HC[[#This Row],[bp (cm)]])</f>
        <v>60</v>
      </c>
      <c r="AA9" s="12">
        <f>HC[[#This Row],[ap (cm)]]*HC[[#This Row],[bp (cm)]]</f>
        <v>3600</v>
      </c>
      <c r="AB9" s="12">
        <f ca="1">IF(HC[[#This Row],[Padm∙ε (kN)]]&gt;=HC[[#This Row],[Padm (kN)]],ROUNDUP(1.05*HC[[#This Row],[Nsd (kN)]]/HC[[#This Row],[Padm (kN)]],0),ROUNDUP(1.05*HC[[#This Row],[Nsd (kN)]]/HC[[#This Row],[Padm (kN)]],0)+1)</f>
        <v>84</v>
      </c>
      <c r="AC9" s="4" t="str">
        <f ca="1">IFERROR(IF(HC[[#This Row],[nE]]=1,HC[[#This Row],[Padm (kN)]],HC[[#This Row],[Padm (kN)]]*HC[[#This Row],[nE]]*INDEX(grupoEstacas[],HC[[#This Row],[nE]],MATCH("ε",grupoEstacas[#Headers],0))),"N.S.")</f>
        <v>N.S.</v>
      </c>
      <c r="AD9" s="4">
        <f ca="1">1.05*HC[[#This Row],[Nsd (kN)]]/(HC[[#This Row],[nE]]*PI()*HC[[#This Row],[Ø (cm)]]^2/4)*10</f>
        <v>0.73658486059059003</v>
      </c>
      <c r="AE9" s="4">
        <f ca="1">IF(HC[[#This Row],[σ (MPa)]]&lt;INDEX(tipoEstaca[],MATCH($D$2,tipoEstaca[TIPO DE ESTACA],0),MATCH("σmáx (MPa)",tipoEstaca[#Headers],0)),0.4%*PI()*HC[[#This Row],[Ø (cm)]]^2/4,"N.S.")</f>
        <v>2.3758294442772812</v>
      </c>
      <c r="AF9" s="1">
        <f>INDEX(tipoEstaca[],MATCH($D$2,tipoEstaca[TIPO DE ESTACA],0),MATCH(HC[[#Headers],[Comprimento (m)]],tipoEstaca[#Headers],0))</f>
        <v>4</v>
      </c>
      <c r="AG9" s="5">
        <f ca="1">HC[[#This Row],[As,mín (cm²)]]/100^2*HC[[#This Row],[Comprimento (m)]]*7850</f>
        <v>7.4601044550306632</v>
      </c>
      <c r="AH9" s="4">
        <f ca="1">HC[[#This Row],[nE]]*HC[[#This Row],[Prof. (m)]]*HC[[#This Row],[Ap (m²)]]</f>
        <v>19.956967331929164</v>
      </c>
      <c r="AI9" s="1">
        <f ca="1">IF(HC[[#This Row],[nE]]=1,0,MAX(3*HC[[#This Row],[Ø (cm)]],60))</f>
        <v>82.5</v>
      </c>
      <c r="AJ9" s="1">
        <f ca="1">IF(HC[[#This Row],[nE]]=1,HC[[#This Row],[Ø (cm)]]+2*10,MAX(1.5*HC[[#This Row],[Ø (cm)]],HC[[#This Row],[Ø (cm)]]+15))</f>
        <v>42.5</v>
      </c>
      <c r="AK9" s="1" t="str">
        <f ca="1">alturaUtil(HC[[#This Row],[nE]],HC[[#This Row],[Ø (cm)]],HC[[#This Row],[e (cm)]],HC[[#This Row],[ap,eq (cm)]])</f>
        <v>N.S.</v>
      </c>
      <c r="AL9" s="1" t="str">
        <f ca="1">IFERROR(HC[[#This Row],[d (cm)]]+arredondarParaCimaMultiplo5cm(MAX(5,SQRT(PI())/2*HC[[#This Row],[Ø (cm)]]/5)),"N.S.")</f>
        <v>N.S.</v>
      </c>
      <c r="AM9" s="5" t="str">
        <f ca="1">alpha(HC[[#This Row],[nE]],HC[[#This Row],[d (cm)]],HC[[#This Row],[e (cm)]],HC[[#This Row],[ap,eq (cm)]])</f>
        <v>N.S.</v>
      </c>
      <c r="AN9" s="35" t="str">
        <f ca="1">IFERROR(HC[[#This Row],[Nsd (kN)]]/(HC[[#This Row],[Ap (cm²)]]*SIN(HC[[#This Row],[α]])^2),"N.S.")</f>
        <v>N.S.</v>
      </c>
      <c r="AO9" s="35" t="str">
        <f ca="1">IFERROR(HC[[#This Row],[Nsd (kN)]]/(HC[[#This Row],[nE]]*PI()*HC[[#This Row],[Ø (cm)]]^2/4*SIN(HC[[#This Row],[α]])^2),"N.S.")</f>
        <v>N.S.</v>
      </c>
      <c r="AP9" s="4" t="str">
        <f ca="1">IFERROR(INDEX(grupoEstacas[],HC[[#This Row],[nE]],MATCH("coef. Blévot",grupoEstacas[#Headers],0)),"N.S.")</f>
        <v>N.S.</v>
      </c>
      <c r="AQ9" s="35" t="str">
        <f ca="1">IFERROR(HC[[#This Row],[coef. Blévot]]*0.9*INDEX(tipoEstaca[],MATCH($D$2,tipoEstaca[TIPO DE ESTACA],0),MATCH("fcd (kN/cm²)",tipoEstaca[#Headers],0)),"N.S.")</f>
        <v>N.S.</v>
      </c>
      <c r="AR9" s="1" t="str">
        <f ca="1">IF(AND(HC[[#This Row],[cd,b,pil (kN/cm²)]]&lt;=HC[[#This Row],[cd,b,lim (kN/cm²)]],HC[[#This Row],[cd,b,est (kN/cm²)]]&lt;=HC[[#This Row],[cd,b,lim (kN/cm²)]]),"OK","ERRO")</f>
        <v>OK</v>
      </c>
      <c r="AS9" s="4" t="str">
        <f ca="1">As_lado(HC[[#This Row],[nE]],HC[[#This Row],[Nsd (kN)]],HC[[#This Row],[d (cm)]],HC[[#This Row],[e (cm)]],HC[[#This Row],[ap,eq (cm)]])</f>
        <v>N.S.</v>
      </c>
      <c r="AT9" s="4" t="str">
        <f ca="1">IF(HC[[#This Row],[nE]]=1,HC[[#This Row],[As,lado (cm²)]],IF(HC[[#This Row],[nE]]=2,0.075*2*HC[a (cm)],"N.A."))</f>
        <v>N.A.</v>
      </c>
      <c r="AU9" s="4" t="str">
        <f ca="1">IFERROR(IF(HC[[#This Row],[nE]]=1,"N.A.",0.2*HC[[#This Row],[As,lado (cm²)]]),"N.S.")</f>
        <v>N.S.</v>
      </c>
      <c r="AV9" s="4" t="str">
        <f ca="1">As_malha(HC[[#This Row],[nE]],HC[[#This Row],[As,lado (cm²)]],HC[[#This Row],[Nsd (kN)]])</f>
        <v>N.S.</v>
      </c>
      <c r="AW9" s="4" t="str">
        <f ca="1">As_susp_tot(HC[[#This Row],[nE]],HC[[#This Row],[Nsd (kN)]])</f>
        <v>N.S.</v>
      </c>
      <c r="AX9" s="4" t="str">
        <f ca="1">Asp_face(HC[[#This Row],[nE]],HC[[#This Row],[As,lado (cm²)]])</f>
        <v>N.S.</v>
      </c>
      <c r="AY9" s="5" t="str">
        <f ca="1">acoBloco(HC[[#This Row],[nE]],HC[[#This Row],[e (cm)]],HC[[#This Row],[a (cm)]],HC[[#This Row],[h (cm)]],HC[[#This Row],[As,lado (cm²)]],HC[[#This Row],[Asp e Asw (cm²/m)]],HC[[#This Row],[As,sup (cm²)]],HC[[#This Row],[As,malha (cm²)]],HC[[#This Row],[As,susp,tot (cm²)]],HC[[#This Row],[Asp,face (cm²)]])</f>
        <v>N.S.</v>
      </c>
      <c r="AZ9" s="4" t="str">
        <f ca="1">concretoBloco(HC[[#This Row],[nE]],HC[[#This Row],[e (cm)]],HC[[#This Row],[a (cm)]],HC[[#This Row],[h (cm)]])</f>
        <v>N.S.</v>
      </c>
      <c r="BA9" s="5">
        <f ca="1">SUM(HC[[#This Row],[Aço Est (kg)]],HC[[#This Row],[Aço Bloco (kg)]])</f>
        <v>7.4601044550306632</v>
      </c>
      <c r="BB9" s="4">
        <f>INDEX(composicoes[],MATCH(95580,composicoes[CÓDIGO],0),MATCH("CUSTO TOTAL",composicoes[#Headers],0))</f>
        <v>10.46</v>
      </c>
      <c r="BC9" s="4">
        <f ca="1">SUM(HC[[#This Row],[Conc Est (m³)]],HC[[#This Row],[Conc Bloco (m³)]])</f>
        <v>19.956967331929164</v>
      </c>
      <c r="BD9" s="4">
        <f>INDEX(composicoes[],MATCH(94966,composicoes[CÓDIGO],0),MATCH("CUSTO TOTAL",composicoes[#Headers],0))</f>
        <v>439.52</v>
      </c>
      <c r="BE9" s="38">
        <f ca="1">HC[[#This Row],[Aço (kg)]]*HC[[#This Row],[Aço (R$/kg)]]+HC[[#This Row],[Conc (m³)]]*HC[[#This Row],[Conc (R$/m³)]]</f>
        <v>8849.5189743291266</v>
      </c>
      <c r="BF9" s="4" t="str">
        <f ca="1">IF(COUNTIF(HC[#This Row],"N.S.")&gt;0,"lim.","OK")</f>
        <v>lim.</v>
      </c>
      <c r="BG9" s="4" t="str">
        <f>IF(HC[[#This Row],[Prof. (m)]]&lt;4,"lim.","OK")</f>
        <v>OK</v>
      </c>
      <c r="BH9" s="4" t="str">
        <f>IF(HC[[#This Row],[Prof. (m)]]&gt;=8*HC[[#This Row],[Ø (cm)]]/100,"OK","lim.")</f>
        <v>OK</v>
      </c>
      <c r="BI9" s="4" t="str">
        <f ca="1">IF(HC[[#This Row],[Verif. Biela]]="OK","OK","lim.")</f>
        <v>OK</v>
      </c>
      <c r="BJ9" s="4" t="str">
        <f ca="1">IF(COUNTA(HC[[#This Row],[Nº Est.]:[Biela comp.]])=COUNTIF(HC[[#This Row],[Nº Est.]:[Biela comp.]],"OK"),"OK","lim.")</f>
        <v>lim.</v>
      </c>
      <c r="BK9" s="4" t="str">
        <f ca="1">IF(HC[[#This Row],[Controle]]="OK",HC[[#This Row],[nE]]&amp;" Ø"&amp;HC[[#This Row],[Ø (cm)]]&amp;"cm Prof. "&amp;HC[[#This Row],[Prof. (m)]]&amp;" m","")</f>
        <v/>
      </c>
      <c r="BL9" s="4" t="str">
        <f ca="1">IF(HC[[#This Row],[idDimensionamento]]="","",HC[[#This Row],[idPilar]]&amp;HC[[#This Row],[idDimensionamento]])</f>
        <v/>
      </c>
    </row>
    <row r="10" spans="2:64" x14ac:dyDescent="0.25">
      <c r="B10" s="12">
        <f>ROUNDUP((ROW(HC[[#This Row],[idDiâmetro]])-ROW(HC[[#Headers],[idDiâmetro]]))/(COUNT(SPT[Prof. (m)])*COUNT(PILARES[Pilar])),0)</f>
        <v>1</v>
      </c>
      <c r="C10" s="12">
        <f>IF(HC[[#This Row],[idDiâmetro]]&lt;&gt;B9,1,IF(HC[[#This Row],[Prof. (m)]]=0,C9+1,C9))</f>
        <v>1</v>
      </c>
      <c r="D10" s="1">
        <f>IFERROR(IF(D9=MAX(SPT[Prof. (m)]),0,D9+1),0)</f>
        <v>5</v>
      </c>
      <c r="E10" s="1">
        <f>INDEX(SPT[],MATCH(HC[[#This Row],[Prof. (m)]],SPT[Prof. (m)],0),2)</f>
        <v>17</v>
      </c>
      <c r="F10" s="1" t="str">
        <f>INDEX(SPT[],MATCH(HC[[#This Row],[Prof. (m)]],SPT[Prof. (m)],0),3)</f>
        <v>Areia siltosa</v>
      </c>
      <c r="G10" s="1">
        <f>INDEX(estacas[],HC[[#This Row],[idDiâmetro]],MATCH($B$2,estacas[#Headers],0))</f>
        <v>27.5</v>
      </c>
      <c r="H10" s="1">
        <f>INDEX(estacas[],MATCH(HC[[#This Row],[Ø (cm)]],estacas[Ø HC (cm)],0),MATCH(HC[[#Headers],[Pe HC (kN)]],estacas[#Headers],0))</f>
        <v>350</v>
      </c>
      <c r="I10" s="4">
        <f>INDEX(K_alpha_C[],MATCH(HC[[#This Row],[Solo]],K_alpha_C[Solo],0),2)</f>
        <v>0.8</v>
      </c>
      <c r="J10" s="5">
        <f>INDEX(K_alpha_C[],MATCH(HC[[#This Row],[Solo]],K_alpha_C[Solo],0),3)</f>
        <v>2</v>
      </c>
      <c r="K10" s="4">
        <f>INDEX(F1_F2[],MATCH($D$2,F1_F2[Tipo de estaca],0),2)</f>
        <v>2</v>
      </c>
      <c r="L10" s="4">
        <f>INDEX(F1_F2[],MATCH($D$2,F1_F2[Tipo de estaca],0),3)</f>
        <v>4</v>
      </c>
      <c r="M10" s="4">
        <f>PI()*(HC[[#This Row],[Ø (cm)]]/100)^2/4</f>
        <v>5.9395736106932037E-2</v>
      </c>
      <c r="N10" s="4">
        <f>PI()*HC[[#This Row],[Ø (cm)]]/100</f>
        <v>0.86393797973719311</v>
      </c>
      <c r="O10" s="4">
        <f>IF(HC[[#This Row],[Prof. (m)]]=0,0,HC[[#This Row],[α (%)]]/100*HC[[#This Row],[K (MPa)]]*1000*HC[[#This Row],[NSPT]])</f>
        <v>272</v>
      </c>
      <c r="P10" s="4">
        <f>IF(HC[[#This Row],[Prof. (m)]]=0,0,(HC[[#This Row],[K (MPa)]]*1000*HC[[#This Row],[NSPT]]/HC[[#This Row],[F1]]*HC[[#This Row],[Ap (m²)]]+HC[[#This Row],[U (m)]]/HC[[#This Row],[F2]]*SUMIFS(HC[(α∙K∙NL∙ΔL)],HC[Prof. (m)],"&lt;="&amp;HC[[#This Row],[Prof. (m)]],HC[idDiâmetro],HC[[#This Row],[idDiâmetro]],HC[idPilar],HC[[#This Row],[idPilar]]))/'DADOS CAP. CARGA'!$D$2)</f>
        <v>258.96540942622369</v>
      </c>
      <c r="Q10" s="12">
        <f>INDEX(C_alpha_beta[],MATCH(HC[[#This Row],[Solo]],C_alpha_beta[Solo],0),MATCH(HC[[#Headers],[C (kPa)]],C_alpha_beta[#Headers],0))</f>
        <v>400</v>
      </c>
      <c r="R10" s="4">
        <f>INDEX(C_alpha_beta[],MATCH(HC[[#This Row],[Solo]],C_alpha_beta[Solo],0),MATCH(HC[[#Headers],[α ESF]],C_alpha_beta[#Headers],0))</f>
        <v>0.5</v>
      </c>
      <c r="S10" s="4">
        <f>INDEX(C_alpha_beta[],MATCH(HC[[#This Row],[Solo]],C_alpha_beta[Solo],0),MATCH(HC[[#Headers],[β ESF]],C_alpha_beta[#Headers],0))</f>
        <v>0.5</v>
      </c>
      <c r="T10" s="4">
        <f>IF(HC[[#This Row],[Prof. (m)]]=0,0,10*(HC[[#This Row],[NSPT]]/3+1))</f>
        <v>66.666666666666671</v>
      </c>
      <c r="U10" s="4">
        <f>(HC[[#This Row],[α ESF]]*HC[[#This Row],[C (kPa)]]*HC[[#This Row],[NSPT]]*HC[[#This Row],[Ap (m²)]])/'DADOS CAP. CARGA'!$Q$2+(HC[[#This Row],[β ESF]]*SUMIFS(HC[10∙(NL/3+1)],HC[Prof. (m)],"&lt;="&amp;HC[[#This Row],[Prof. (m)]],HC[idDiâmetro],HC[[#This Row],[idDiâmetro]],HC[idPilar],HC[[#This Row],[idPilar]])*HC[[#This Row],[U (m)]])/'DADOS CAP. CARGA'!$S$2</f>
        <v>85.043894880379952</v>
      </c>
      <c r="V10" s="4">
        <f>IF(SPT!$M$5=1,MIN(HC[[#This Row],[Pe HC (kN)]],HC[[#This Row],[R_AV (kN)]]),IF(SPT!$M$5=2,MIN(HC[[#This Row],[Pe HC (kN)]],HC[[#This Row],[R_DC (kN)]]),MIN(HC[[#This Row],[Pe HC (kN)]],HC[[#This Row],[R_AV (kN)]],HC[[#This Row],[R_DC (kN)]])))</f>
        <v>85.043894880379952</v>
      </c>
      <c r="W10" s="4">
        <f>INDEX(PILARES[],HC[[#This Row],[idPilar]],MATCH("Carga (kN)",PILARES[#Headers],0))*1.4</f>
        <v>3500</v>
      </c>
      <c r="X10" s="12">
        <f>INDEX(PILARES[],HC[[#This Row],[idPilar]],MATCH(HC[[#Headers],[ap (cm)]],PILARES[#Headers],0))</f>
        <v>60</v>
      </c>
      <c r="Y10" s="12">
        <f>INDEX(PILARES[],HC[[#This Row],[idPilar]],MATCH(HC[[#Headers],[bp (cm)]],PILARES[#Headers],0))</f>
        <v>60</v>
      </c>
      <c r="Z10" s="4">
        <f>SQRT(HC[[#This Row],[ap (cm)]]*HC[[#This Row],[bp (cm)]])</f>
        <v>60</v>
      </c>
      <c r="AA10" s="12">
        <f>HC[[#This Row],[ap (cm)]]*HC[[#This Row],[bp (cm)]]</f>
        <v>3600</v>
      </c>
      <c r="AB10" s="12">
        <f ca="1">IF(HC[[#This Row],[Padm∙ε (kN)]]&gt;=HC[[#This Row],[Padm (kN)]],ROUNDUP(1.05*HC[[#This Row],[Nsd (kN)]]/HC[[#This Row],[Padm (kN)]],0),ROUNDUP(1.05*HC[[#This Row],[Nsd (kN)]]/HC[[#This Row],[Padm (kN)]],0)+1)</f>
        <v>44</v>
      </c>
      <c r="AC10" s="4" t="str">
        <f ca="1">IFERROR(IF(HC[[#This Row],[nE]]=1,HC[[#This Row],[Padm (kN)]],HC[[#This Row],[Padm (kN)]]*HC[[#This Row],[nE]]*INDEX(grupoEstacas[],HC[[#This Row],[nE]],MATCH("ε",grupoEstacas[#Headers],0))),"N.S.")</f>
        <v>N.S.</v>
      </c>
      <c r="AD10" s="4">
        <f ca="1">1.05*HC[[#This Row],[Nsd (kN)]]/(HC[[#This Row],[nE]]*PI()*HC[[#This Row],[Ø (cm)]]^2/4)*10</f>
        <v>1.4062074611274902</v>
      </c>
      <c r="AE10" s="4">
        <f ca="1">IF(HC[[#This Row],[σ (MPa)]]&lt;INDEX(tipoEstaca[],MATCH($D$2,tipoEstaca[TIPO DE ESTACA],0),MATCH("σmáx (MPa)",tipoEstaca[#Headers],0)),0.4%*PI()*HC[[#This Row],[Ø (cm)]]^2/4,"N.S.")</f>
        <v>2.3758294442772812</v>
      </c>
      <c r="AF10" s="1">
        <f>INDEX(tipoEstaca[],MATCH($D$2,tipoEstaca[TIPO DE ESTACA],0),MATCH(HC[[#Headers],[Comprimento (m)]],tipoEstaca[#Headers],0))</f>
        <v>4</v>
      </c>
      <c r="AG10" s="5">
        <f ca="1">HC[[#This Row],[As,mín (cm²)]]/100^2*HC[[#This Row],[Comprimento (m)]]*7850</f>
        <v>7.4601044550306632</v>
      </c>
      <c r="AH10" s="4">
        <f ca="1">HC[[#This Row],[nE]]*HC[[#This Row],[Prof. (m)]]*HC[[#This Row],[Ap (m²)]]</f>
        <v>13.067061943525049</v>
      </c>
      <c r="AI10" s="1">
        <f ca="1">IF(HC[[#This Row],[nE]]=1,0,MAX(3*HC[[#This Row],[Ø (cm)]],60))</f>
        <v>82.5</v>
      </c>
      <c r="AJ10" s="1">
        <f ca="1">IF(HC[[#This Row],[nE]]=1,HC[[#This Row],[Ø (cm)]]+2*10,MAX(1.5*HC[[#This Row],[Ø (cm)]],HC[[#This Row],[Ø (cm)]]+15))</f>
        <v>42.5</v>
      </c>
      <c r="AK10" s="1" t="str">
        <f ca="1">alturaUtil(HC[[#This Row],[nE]],HC[[#This Row],[Ø (cm)]],HC[[#This Row],[e (cm)]],HC[[#This Row],[ap,eq (cm)]])</f>
        <v>N.S.</v>
      </c>
      <c r="AL10" s="1" t="str">
        <f ca="1">IFERROR(HC[[#This Row],[d (cm)]]+arredondarParaCimaMultiplo5cm(MAX(5,SQRT(PI())/2*HC[[#This Row],[Ø (cm)]]/5)),"N.S.")</f>
        <v>N.S.</v>
      </c>
      <c r="AM10" s="5" t="str">
        <f ca="1">alpha(HC[[#This Row],[nE]],HC[[#This Row],[d (cm)]],HC[[#This Row],[e (cm)]],HC[[#This Row],[ap,eq (cm)]])</f>
        <v>N.S.</v>
      </c>
      <c r="AN10" s="35" t="str">
        <f ca="1">IFERROR(HC[[#This Row],[Nsd (kN)]]/(HC[[#This Row],[Ap (cm²)]]*SIN(HC[[#This Row],[α]])^2),"N.S.")</f>
        <v>N.S.</v>
      </c>
      <c r="AO10" s="35" t="str">
        <f ca="1">IFERROR(HC[[#This Row],[Nsd (kN)]]/(HC[[#This Row],[nE]]*PI()*HC[[#This Row],[Ø (cm)]]^2/4*SIN(HC[[#This Row],[α]])^2),"N.S.")</f>
        <v>N.S.</v>
      </c>
      <c r="AP10" s="4" t="str">
        <f ca="1">IFERROR(INDEX(grupoEstacas[],HC[[#This Row],[nE]],MATCH("coef. Blévot",grupoEstacas[#Headers],0)),"N.S.")</f>
        <v>N.S.</v>
      </c>
      <c r="AQ10" s="35" t="str">
        <f ca="1">IFERROR(HC[[#This Row],[coef. Blévot]]*0.9*INDEX(tipoEstaca[],MATCH($D$2,tipoEstaca[TIPO DE ESTACA],0),MATCH("fcd (kN/cm²)",tipoEstaca[#Headers],0)),"N.S.")</f>
        <v>N.S.</v>
      </c>
      <c r="AR10" s="1" t="str">
        <f ca="1">IF(AND(HC[[#This Row],[cd,b,pil (kN/cm²)]]&lt;=HC[[#This Row],[cd,b,lim (kN/cm²)]],HC[[#This Row],[cd,b,est (kN/cm²)]]&lt;=HC[[#This Row],[cd,b,lim (kN/cm²)]]),"OK","ERRO")</f>
        <v>OK</v>
      </c>
      <c r="AS10" s="4" t="str">
        <f ca="1">As_lado(HC[[#This Row],[nE]],HC[[#This Row],[Nsd (kN)]],HC[[#This Row],[d (cm)]],HC[[#This Row],[e (cm)]],HC[[#This Row],[ap,eq (cm)]])</f>
        <v>N.S.</v>
      </c>
      <c r="AT10" s="4" t="str">
        <f ca="1">IF(HC[[#This Row],[nE]]=1,HC[[#This Row],[As,lado (cm²)]],IF(HC[[#This Row],[nE]]=2,0.075*2*HC[a (cm)],"N.A."))</f>
        <v>N.A.</v>
      </c>
      <c r="AU10" s="4" t="str">
        <f ca="1">IFERROR(IF(HC[[#This Row],[nE]]=1,"N.A.",0.2*HC[[#This Row],[As,lado (cm²)]]),"N.S.")</f>
        <v>N.S.</v>
      </c>
      <c r="AV10" s="4" t="str">
        <f ca="1">As_malha(HC[[#This Row],[nE]],HC[[#This Row],[As,lado (cm²)]],HC[[#This Row],[Nsd (kN)]])</f>
        <v>N.S.</v>
      </c>
      <c r="AW10" s="4" t="str">
        <f ca="1">As_susp_tot(HC[[#This Row],[nE]],HC[[#This Row],[Nsd (kN)]])</f>
        <v>N.S.</v>
      </c>
      <c r="AX10" s="4" t="str">
        <f ca="1">Asp_face(HC[[#This Row],[nE]],HC[[#This Row],[As,lado (cm²)]])</f>
        <v>N.S.</v>
      </c>
      <c r="AY10" s="5" t="str">
        <f ca="1">acoBloco(HC[[#This Row],[nE]],HC[[#This Row],[e (cm)]],HC[[#This Row],[a (cm)]],HC[[#This Row],[h (cm)]],HC[[#This Row],[As,lado (cm²)]],HC[[#This Row],[Asp e Asw (cm²/m)]],HC[[#This Row],[As,sup (cm²)]],HC[[#This Row],[As,malha (cm²)]],HC[[#This Row],[As,susp,tot (cm²)]],HC[[#This Row],[Asp,face (cm²)]])</f>
        <v>N.S.</v>
      </c>
      <c r="AZ10" s="4" t="str">
        <f ca="1">concretoBloco(HC[[#This Row],[nE]],HC[[#This Row],[e (cm)]],HC[[#This Row],[a (cm)]],HC[[#This Row],[h (cm)]])</f>
        <v>N.S.</v>
      </c>
      <c r="BA10" s="5">
        <f ca="1">SUM(HC[[#This Row],[Aço Est (kg)]],HC[[#This Row],[Aço Bloco (kg)]])</f>
        <v>7.4601044550306632</v>
      </c>
      <c r="BB10" s="4">
        <f>INDEX(composicoes[],MATCH(95580,composicoes[CÓDIGO],0),MATCH("CUSTO TOTAL",composicoes[#Headers],0))</f>
        <v>10.46</v>
      </c>
      <c r="BC10" s="4">
        <f ca="1">SUM(HC[[#This Row],[Conc Est (m³)]],HC[[#This Row],[Conc Bloco (m³)]])</f>
        <v>13.067061943525049</v>
      </c>
      <c r="BD10" s="4">
        <f>INDEX(composicoes[],MATCH(94966,composicoes[CÓDIGO],0),MATCH("CUSTO TOTAL",composicoes[#Headers],0))</f>
        <v>439.52</v>
      </c>
      <c r="BE10" s="38">
        <f ca="1">HC[[#This Row],[Aço (kg)]]*HC[[#This Row],[Aço (R$/kg)]]+HC[[#This Row],[Conc (m³)]]*HC[[#This Row],[Conc (R$/m³)]]</f>
        <v>5821.2677580177497</v>
      </c>
      <c r="BF10" s="4" t="str">
        <f ca="1">IF(COUNTIF(HC[#This Row],"N.S.")&gt;0,"lim.","OK")</f>
        <v>lim.</v>
      </c>
      <c r="BG10" s="4" t="str">
        <f>IF(HC[[#This Row],[Prof. (m)]]&lt;4,"lim.","OK")</f>
        <v>OK</v>
      </c>
      <c r="BH10" s="4" t="str">
        <f>IF(HC[[#This Row],[Prof. (m)]]&gt;=8*HC[[#This Row],[Ø (cm)]]/100,"OK","lim.")</f>
        <v>OK</v>
      </c>
      <c r="BI10" s="4" t="str">
        <f ca="1">IF(HC[[#This Row],[Verif. Biela]]="OK","OK","lim.")</f>
        <v>OK</v>
      </c>
      <c r="BJ10" s="4" t="str">
        <f ca="1">IF(COUNTA(HC[[#This Row],[Nº Est.]:[Biela comp.]])=COUNTIF(HC[[#This Row],[Nº Est.]:[Biela comp.]],"OK"),"OK","lim.")</f>
        <v>lim.</v>
      </c>
      <c r="BK10" s="4" t="str">
        <f ca="1">IF(HC[[#This Row],[Controle]]="OK",HC[[#This Row],[nE]]&amp;" Ø"&amp;HC[[#This Row],[Ø (cm)]]&amp;"cm Prof. "&amp;HC[[#This Row],[Prof. (m)]]&amp;" m","")</f>
        <v/>
      </c>
      <c r="BL10" s="4" t="str">
        <f ca="1">IF(HC[[#This Row],[idDimensionamento]]="","",HC[[#This Row],[idPilar]]&amp;HC[[#This Row],[idDimensionamento]])</f>
        <v/>
      </c>
    </row>
    <row r="11" spans="2:64" x14ac:dyDescent="0.25">
      <c r="B11" s="12">
        <f>ROUNDUP((ROW(HC[[#This Row],[idDiâmetro]])-ROW(HC[[#Headers],[idDiâmetro]]))/(COUNT(SPT[Prof. (m)])*COUNT(PILARES[Pilar])),0)</f>
        <v>1</v>
      </c>
      <c r="C11" s="12">
        <f>IF(HC[[#This Row],[idDiâmetro]]&lt;&gt;B10,1,IF(HC[[#This Row],[Prof. (m)]]=0,C10+1,C10))</f>
        <v>1</v>
      </c>
      <c r="D11" s="1">
        <f>IFERROR(IF(D10=MAX(SPT[Prof. (m)]),0,D10+1),0)</f>
        <v>6</v>
      </c>
      <c r="E11" s="1">
        <f>INDEX(SPT[],MATCH(HC[[#This Row],[Prof. (m)]],SPT[Prof. (m)],0),2)</f>
        <v>21</v>
      </c>
      <c r="F11" s="1" t="str">
        <f>INDEX(SPT[],MATCH(HC[[#This Row],[Prof. (m)]],SPT[Prof. (m)],0),3)</f>
        <v>Silte arenoso</v>
      </c>
      <c r="G11" s="1">
        <f>INDEX(estacas[],HC[[#This Row],[idDiâmetro]],MATCH($B$2,estacas[#Headers],0))</f>
        <v>27.5</v>
      </c>
      <c r="H11" s="1">
        <f>INDEX(estacas[],MATCH(HC[[#This Row],[Ø (cm)]],estacas[Ø HC (cm)],0),MATCH(HC[[#Headers],[Pe HC (kN)]],estacas[#Headers],0))</f>
        <v>350</v>
      </c>
      <c r="I11" s="4">
        <f>INDEX(K_alpha_C[],MATCH(HC[[#This Row],[Solo]],K_alpha_C[Solo],0),2)</f>
        <v>0.55000000000000004</v>
      </c>
      <c r="J11" s="5">
        <f>INDEX(K_alpha_C[],MATCH(HC[[#This Row],[Solo]],K_alpha_C[Solo],0),3)</f>
        <v>2.2000000000000002</v>
      </c>
      <c r="K11" s="4">
        <f>INDEX(F1_F2[],MATCH($D$2,F1_F2[Tipo de estaca],0),2)</f>
        <v>2</v>
      </c>
      <c r="L11" s="4">
        <f>INDEX(F1_F2[],MATCH($D$2,F1_F2[Tipo de estaca],0),3)</f>
        <v>4</v>
      </c>
      <c r="M11" s="4">
        <f>PI()*(HC[[#This Row],[Ø (cm)]]/100)^2/4</f>
        <v>5.9395736106932037E-2</v>
      </c>
      <c r="N11" s="4">
        <f>PI()*HC[[#This Row],[Ø (cm)]]/100</f>
        <v>0.86393797973719311</v>
      </c>
      <c r="O11" s="4">
        <f>IF(HC[[#This Row],[Prof. (m)]]=0,0,HC[[#This Row],[α (%)]]/100*HC[[#This Row],[K (MPa)]]*1000*HC[[#This Row],[NSPT]])</f>
        <v>254.10000000000002</v>
      </c>
      <c r="P11" s="4">
        <f>IF(HC[[#This Row],[Prof. (m)]]=0,0,(HC[[#This Row],[K (MPa)]]*1000*HC[[#This Row],[NSPT]]/HC[[#This Row],[F1]]*HC[[#This Row],[Ap (m²)]]+HC[[#This Row],[U (m)]]/HC[[#This Row],[F2]]*SUMIFS(HC[(α∙K∙NL∙ΔL)],HC[Prof. (m)],"&lt;="&amp;HC[[#This Row],[Prof. (m)]],HC[idDiâmetro],HC[[#This Row],[idDiâmetro]],HC[idPilar],HC[[#This Row],[idPilar]]))/'DADOS CAP. CARGA'!$D$2)</f>
        <v>255.96592475282358</v>
      </c>
      <c r="Q11" s="12">
        <f>INDEX(C_alpha_beta[],MATCH(HC[[#This Row],[Solo]],C_alpha_beta[Solo],0),MATCH(HC[[#Headers],[C (kPa)]],C_alpha_beta[#Headers],0))</f>
        <v>250</v>
      </c>
      <c r="R11" s="4">
        <f>INDEX(C_alpha_beta[],MATCH(HC[[#This Row],[Solo]],C_alpha_beta[Solo],0),MATCH(HC[[#Headers],[α ESF]],C_alpha_beta[#Headers],0))</f>
        <v>0.6</v>
      </c>
      <c r="S11" s="4">
        <f>INDEX(C_alpha_beta[],MATCH(HC[[#This Row],[Solo]],C_alpha_beta[Solo],0),MATCH(HC[[#Headers],[β ESF]],C_alpha_beta[#Headers],0))</f>
        <v>0.65</v>
      </c>
      <c r="T11" s="4">
        <f>IF(HC[[#This Row],[Prof. (m)]]=0,0,10*(HC[[#This Row],[NSPT]]/3+1))</f>
        <v>80</v>
      </c>
      <c r="U11" s="4">
        <f>(HC[[#This Row],[α ESF]]*HC[[#This Row],[C (kPa)]]*HC[[#This Row],[NSPT]]*HC[[#This Row],[Ap (m²)]])/'DADOS CAP. CARGA'!$Q$2+(HC[[#This Row],[β ESF]]*SUMIFS(HC[10∙(NL/3+1)],HC[Prof. (m)],"&lt;="&amp;HC[[#This Row],[Prof. (m)]],HC[idDiâmetro],HC[[#This Row],[idDiâmetro]],HC[idPilar],HC[[#This Row],[idPilar]])*HC[[#This Row],[U (m)]])/'DADOS CAP. CARGA'!$S$2</f>
        <v>114.16130460371005</v>
      </c>
      <c r="V11" s="4">
        <f>IF(SPT!$M$5=1,MIN(HC[[#This Row],[Pe HC (kN)]],HC[[#This Row],[R_AV (kN)]]),IF(SPT!$M$5=2,MIN(HC[[#This Row],[Pe HC (kN)]],HC[[#This Row],[R_DC (kN)]]),MIN(HC[[#This Row],[Pe HC (kN)]],HC[[#This Row],[R_AV (kN)]],HC[[#This Row],[R_DC (kN)]])))</f>
        <v>114.16130460371005</v>
      </c>
      <c r="W11" s="4">
        <f>INDEX(PILARES[],HC[[#This Row],[idPilar]],MATCH("Carga (kN)",PILARES[#Headers],0))*1.4</f>
        <v>3500</v>
      </c>
      <c r="X11" s="12">
        <f>INDEX(PILARES[],HC[[#This Row],[idPilar]],MATCH(HC[[#Headers],[ap (cm)]],PILARES[#Headers],0))</f>
        <v>60</v>
      </c>
      <c r="Y11" s="12">
        <f>INDEX(PILARES[],HC[[#This Row],[idPilar]],MATCH(HC[[#Headers],[bp (cm)]],PILARES[#Headers],0))</f>
        <v>60</v>
      </c>
      <c r="Z11" s="4">
        <f>SQRT(HC[[#This Row],[ap (cm)]]*HC[[#This Row],[bp (cm)]])</f>
        <v>60</v>
      </c>
      <c r="AA11" s="12">
        <f>HC[[#This Row],[ap (cm)]]*HC[[#This Row],[bp (cm)]]</f>
        <v>3600</v>
      </c>
      <c r="AB11" s="12">
        <f ca="1">IF(HC[[#This Row],[Padm∙ε (kN)]]&gt;=HC[[#This Row],[Padm (kN)]],ROUNDUP(1.05*HC[[#This Row],[Nsd (kN)]]/HC[[#This Row],[Padm (kN)]],0),ROUNDUP(1.05*HC[[#This Row],[Nsd (kN)]]/HC[[#This Row],[Padm (kN)]],0)+1)</f>
        <v>33</v>
      </c>
      <c r="AC11" s="4" t="str">
        <f ca="1">IFERROR(IF(HC[[#This Row],[nE]]=1,HC[[#This Row],[Padm (kN)]],HC[[#This Row],[Padm (kN)]]*HC[[#This Row],[nE]]*INDEX(grupoEstacas[],HC[[#This Row],[nE]],MATCH("ε",grupoEstacas[#Headers],0))),"N.S.")</f>
        <v>N.S.</v>
      </c>
      <c r="AD11" s="4">
        <f ca="1">1.05*HC[[#This Row],[Nsd (kN)]]/(HC[[#This Row],[nE]]*PI()*HC[[#This Row],[Ø (cm)]]^2/4)*10</f>
        <v>1.8749432815033202</v>
      </c>
      <c r="AE11" s="4">
        <f ca="1">IF(HC[[#This Row],[σ (MPa)]]&lt;INDEX(tipoEstaca[],MATCH($D$2,tipoEstaca[TIPO DE ESTACA],0),MATCH("σmáx (MPa)",tipoEstaca[#Headers],0)),0.4%*PI()*HC[[#This Row],[Ø (cm)]]^2/4,"N.S.")</f>
        <v>2.3758294442772812</v>
      </c>
      <c r="AF11" s="1">
        <f>INDEX(tipoEstaca[],MATCH($D$2,tipoEstaca[TIPO DE ESTACA],0),MATCH(HC[[#Headers],[Comprimento (m)]],tipoEstaca[#Headers],0))</f>
        <v>4</v>
      </c>
      <c r="AG11" s="5">
        <f ca="1">HC[[#This Row],[As,mín (cm²)]]/100^2*HC[[#This Row],[Comprimento (m)]]*7850</f>
        <v>7.4601044550306632</v>
      </c>
      <c r="AH11" s="4">
        <f ca="1">HC[[#This Row],[nE]]*HC[[#This Row],[Prof. (m)]]*HC[[#This Row],[Ap (m²)]]</f>
        <v>11.760355749172543</v>
      </c>
      <c r="AI11" s="1">
        <f ca="1">IF(HC[[#This Row],[nE]]=1,0,MAX(3*HC[[#This Row],[Ø (cm)]],60))</f>
        <v>82.5</v>
      </c>
      <c r="AJ11" s="1">
        <f ca="1">IF(HC[[#This Row],[nE]]=1,HC[[#This Row],[Ø (cm)]]+2*10,MAX(1.5*HC[[#This Row],[Ø (cm)]],HC[[#This Row],[Ø (cm)]]+15))</f>
        <v>42.5</v>
      </c>
      <c r="AK11" s="1" t="str">
        <f ca="1">alturaUtil(HC[[#This Row],[nE]],HC[[#This Row],[Ø (cm)]],HC[[#This Row],[e (cm)]],HC[[#This Row],[ap,eq (cm)]])</f>
        <v>N.S.</v>
      </c>
      <c r="AL11" s="1" t="str">
        <f ca="1">IFERROR(HC[[#This Row],[d (cm)]]+arredondarParaCimaMultiplo5cm(MAX(5,SQRT(PI())/2*HC[[#This Row],[Ø (cm)]]/5)),"N.S.")</f>
        <v>N.S.</v>
      </c>
      <c r="AM11" s="5" t="str">
        <f ca="1">alpha(HC[[#This Row],[nE]],HC[[#This Row],[d (cm)]],HC[[#This Row],[e (cm)]],HC[[#This Row],[ap,eq (cm)]])</f>
        <v>N.S.</v>
      </c>
      <c r="AN11" s="35" t="str">
        <f ca="1">IFERROR(HC[[#This Row],[Nsd (kN)]]/(HC[[#This Row],[Ap (cm²)]]*SIN(HC[[#This Row],[α]])^2),"N.S.")</f>
        <v>N.S.</v>
      </c>
      <c r="AO11" s="35" t="str">
        <f ca="1">IFERROR(HC[[#This Row],[Nsd (kN)]]/(HC[[#This Row],[nE]]*PI()*HC[[#This Row],[Ø (cm)]]^2/4*SIN(HC[[#This Row],[α]])^2),"N.S.")</f>
        <v>N.S.</v>
      </c>
      <c r="AP11" s="4" t="str">
        <f ca="1">IFERROR(INDEX(grupoEstacas[],HC[[#This Row],[nE]],MATCH("coef. Blévot",grupoEstacas[#Headers],0)),"N.S.")</f>
        <v>N.S.</v>
      </c>
      <c r="AQ11" s="35" t="str">
        <f ca="1">IFERROR(HC[[#This Row],[coef. Blévot]]*0.9*INDEX(tipoEstaca[],MATCH($D$2,tipoEstaca[TIPO DE ESTACA],0),MATCH("fcd (kN/cm²)",tipoEstaca[#Headers],0)),"N.S.")</f>
        <v>N.S.</v>
      </c>
      <c r="AR11" s="1" t="str">
        <f ca="1">IF(AND(HC[[#This Row],[cd,b,pil (kN/cm²)]]&lt;=HC[[#This Row],[cd,b,lim (kN/cm²)]],HC[[#This Row],[cd,b,est (kN/cm²)]]&lt;=HC[[#This Row],[cd,b,lim (kN/cm²)]]),"OK","ERRO")</f>
        <v>OK</v>
      </c>
      <c r="AS11" s="4" t="str">
        <f ca="1">As_lado(HC[[#This Row],[nE]],HC[[#This Row],[Nsd (kN)]],HC[[#This Row],[d (cm)]],HC[[#This Row],[e (cm)]],HC[[#This Row],[ap,eq (cm)]])</f>
        <v>N.S.</v>
      </c>
      <c r="AT11" s="4" t="str">
        <f ca="1">IF(HC[[#This Row],[nE]]=1,HC[[#This Row],[As,lado (cm²)]],IF(HC[[#This Row],[nE]]=2,0.075*2*HC[a (cm)],"N.A."))</f>
        <v>N.A.</v>
      </c>
      <c r="AU11" s="4" t="str">
        <f ca="1">IFERROR(IF(HC[[#This Row],[nE]]=1,"N.A.",0.2*HC[[#This Row],[As,lado (cm²)]]),"N.S.")</f>
        <v>N.S.</v>
      </c>
      <c r="AV11" s="4" t="str">
        <f ca="1">As_malha(HC[[#This Row],[nE]],HC[[#This Row],[As,lado (cm²)]],HC[[#This Row],[Nsd (kN)]])</f>
        <v>N.S.</v>
      </c>
      <c r="AW11" s="4" t="str">
        <f ca="1">As_susp_tot(HC[[#This Row],[nE]],HC[[#This Row],[Nsd (kN)]])</f>
        <v>N.S.</v>
      </c>
      <c r="AX11" s="4" t="str">
        <f ca="1">Asp_face(HC[[#This Row],[nE]],HC[[#This Row],[As,lado (cm²)]])</f>
        <v>N.S.</v>
      </c>
      <c r="AY11" s="5" t="str">
        <f ca="1">acoBloco(HC[[#This Row],[nE]],HC[[#This Row],[e (cm)]],HC[[#This Row],[a (cm)]],HC[[#This Row],[h (cm)]],HC[[#This Row],[As,lado (cm²)]],HC[[#This Row],[Asp e Asw (cm²/m)]],HC[[#This Row],[As,sup (cm²)]],HC[[#This Row],[As,malha (cm²)]],HC[[#This Row],[As,susp,tot (cm²)]],HC[[#This Row],[Asp,face (cm²)]])</f>
        <v>N.S.</v>
      </c>
      <c r="AZ11" s="4" t="str">
        <f ca="1">concretoBloco(HC[[#This Row],[nE]],HC[[#This Row],[e (cm)]],HC[[#This Row],[a (cm)]],HC[[#This Row],[h (cm)]])</f>
        <v>N.S.</v>
      </c>
      <c r="BA11" s="5">
        <f ca="1">SUM(HC[[#This Row],[Aço Est (kg)]],HC[[#This Row],[Aço Bloco (kg)]])</f>
        <v>7.4601044550306632</v>
      </c>
      <c r="BB11" s="4">
        <f>INDEX(composicoes[],MATCH(95580,composicoes[CÓDIGO],0),MATCH("CUSTO TOTAL",composicoes[#Headers],0))</f>
        <v>10.46</v>
      </c>
      <c r="BC11" s="4">
        <f ca="1">SUM(HC[[#This Row],[Conc Est (m³)]],HC[[#This Row],[Conc Bloco (m³)]])</f>
        <v>11.760355749172543</v>
      </c>
      <c r="BD11" s="4">
        <f>INDEX(composicoes[],MATCH(94966,composicoes[CÓDIGO],0),MATCH("CUSTO TOTAL",composicoes[#Headers],0))</f>
        <v>439.52</v>
      </c>
      <c r="BE11" s="38">
        <f ca="1">HC[[#This Row],[Aço (kg)]]*HC[[#This Row],[Aço (R$/kg)]]+HC[[#This Row],[Conc (m³)]]*HC[[#This Row],[Conc (R$/m³)]]</f>
        <v>5246.9442514759367</v>
      </c>
      <c r="BF11" s="4" t="str">
        <f ca="1">IF(COUNTIF(HC[#This Row],"N.S.")&gt;0,"lim.","OK")</f>
        <v>lim.</v>
      </c>
      <c r="BG11" s="4" t="str">
        <f>IF(HC[[#This Row],[Prof. (m)]]&lt;4,"lim.","OK")</f>
        <v>OK</v>
      </c>
      <c r="BH11" s="4" t="str">
        <f>IF(HC[[#This Row],[Prof. (m)]]&gt;=8*HC[[#This Row],[Ø (cm)]]/100,"OK","lim.")</f>
        <v>OK</v>
      </c>
      <c r="BI11" s="4" t="str">
        <f ca="1">IF(HC[[#This Row],[Verif. Biela]]="OK","OK","lim.")</f>
        <v>OK</v>
      </c>
      <c r="BJ11" s="4" t="str">
        <f ca="1">IF(COUNTA(HC[[#This Row],[Nº Est.]:[Biela comp.]])=COUNTIF(HC[[#This Row],[Nº Est.]:[Biela comp.]],"OK"),"OK","lim.")</f>
        <v>lim.</v>
      </c>
      <c r="BK11" s="4" t="str">
        <f ca="1">IF(HC[[#This Row],[Controle]]="OK",HC[[#This Row],[nE]]&amp;" Ø"&amp;HC[[#This Row],[Ø (cm)]]&amp;"cm Prof. "&amp;HC[[#This Row],[Prof. (m)]]&amp;" m","")</f>
        <v/>
      </c>
      <c r="BL11" s="4" t="str">
        <f ca="1">IF(HC[[#This Row],[idDimensionamento]]="","",HC[[#This Row],[idPilar]]&amp;HC[[#This Row],[idDimensionamento]])</f>
        <v/>
      </c>
    </row>
    <row r="12" spans="2:64" x14ac:dyDescent="0.25">
      <c r="B12" s="12">
        <f>ROUNDUP((ROW(HC[[#This Row],[idDiâmetro]])-ROW(HC[[#Headers],[idDiâmetro]]))/(COUNT(SPT[Prof. (m)])*COUNT(PILARES[Pilar])),0)</f>
        <v>1</v>
      </c>
      <c r="C12" s="12">
        <f>IF(HC[[#This Row],[idDiâmetro]]&lt;&gt;B11,1,IF(HC[[#This Row],[Prof. (m)]]=0,C11+1,C11))</f>
        <v>1</v>
      </c>
      <c r="D12" s="1">
        <f>IFERROR(IF(D11=MAX(SPT[Prof. (m)]),0,D11+1),0)</f>
        <v>7</v>
      </c>
      <c r="E12" s="1">
        <f>INDEX(SPT[],MATCH(HC[[#This Row],[Prof. (m)]],SPT[Prof. (m)],0),2)</f>
        <v>8</v>
      </c>
      <c r="F12" s="1" t="str">
        <f>INDEX(SPT[],MATCH(HC[[#This Row],[Prof. (m)]],SPT[Prof. (m)],0),3)</f>
        <v>Silte arenoso</v>
      </c>
      <c r="G12" s="1">
        <f>INDEX(estacas[],HC[[#This Row],[idDiâmetro]],MATCH($B$2,estacas[#Headers],0))</f>
        <v>27.5</v>
      </c>
      <c r="H12" s="1">
        <f>INDEX(estacas[],MATCH(HC[[#This Row],[Ø (cm)]],estacas[Ø HC (cm)],0),MATCH(HC[[#Headers],[Pe HC (kN)]],estacas[#Headers],0))</f>
        <v>350</v>
      </c>
      <c r="I12" s="4">
        <f>INDEX(K_alpha_C[],MATCH(HC[[#This Row],[Solo]],K_alpha_C[Solo],0),2)</f>
        <v>0.55000000000000004</v>
      </c>
      <c r="J12" s="5">
        <f>INDEX(K_alpha_C[],MATCH(HC[[#This Row],[Solo]],K_alpha_C[Solo],0),3)</f>
        <v>2.2000000000000002</v>
      </c>
      <c r="K12" s="4">
        <f>INDEX(F1_F2[],MATCH($D$2,F1_F2[Tipo de estaca],0),2)</f>
        <v>2</v>
      </c>
      <c r="L12" s="4">
        <f>INDEX(F1_F2[],MATCH($D$2,F1_F2[Tipo de estaca],0),3)</f>
        <v>4</v>
      </c>
      <c r="M12" s="4">
        <f>PI()*(HC[[#This Row],[Ø (cm)]]/100)^2/4</f>
        <v>5.9395736106932037E-2</v>
      </c>
      <c r="N12" s="4">
        <f>PI()*HC[[#This Row],[Ø (cm)]]/100</f>
        <v>0.86393797973719311</v>
      </c>
      <c r="O12" s="4">
        <f>IF(HC[[#This Row],[Prof. (m)]]=0,0,HC[[#This Row],[α (%)]]/100*HC[[#This Row],[K (MPa)]]*1000*HC[[#This Row],[NSPT]])</f>
        <v>96.800000000000011</v>
      </c>
      <c r="P12" s="4">
        <f>IF(HC[[#This Row],[Prof. (m)]]=0,0,(HC[[#This Row],[K (MPa)]]*1000*HC[[#This Row],[NSPT]]/HC[[#This Row],[F1]]*HC[[#This Row],[Ap (m²)]]+HC[[#This Row],[U (m)]]/HC[[#This Row],[F2]]*SUMIFS(HC[(α∙K∙NL∙ΔL)],HC[Prof. (m)],"&lt;="&amp;HC[[#This Row],[Prof. (m)]],HC[idDiâmetro],HC[[#This Row],[idDiâmetro]],HC[idPilar],HC[[#This Row],[idPilar]]))/'DADOS CAP. CARGA'!$D$2)</f>
        <v>160.24969601650264</v>
      </c>
      <c r="Q12" s="12">
        <f>INDEX(C_alpha_beta[],MATCH(HC[[#This Row],[Solo]],C_alpha_beta[Solo],0),MATCH(HC[[#Headers],[C (kPa)]],C_alpha_beta[#Headers],0))</f>
        <v>250</v>
      </c>
      <c r="R12" s="4">
        <f>INDEX(C_alpha_beta[],MATCH(HC[[#This Row],[Solo]],C_alpha_beta[Solo],0),MATCH(HC[[#Headers],[α ESF]],C_alpha_beta[#Headers],0))</f>
        <v>0.6</v>
      </c>
      <c r="S12" s="4">
        <f>INDEX(C_alpha_beta[],MATCH(HC[[#This Row],[Solo]],C_alpha_beta[Solo],0),MATCH(HC[[#Headers],[β ESF]],C_alpha_beta[#Headers],0))</f>
        <v>0.65</v>
      </c>
      <c r="T12" s="4">
        <f>IF(HC[[#This Row],[Prof. (m)]]=0,0,10*(HC[[#This Row],[NSPT]]/3+1))</f>
        <v>36.666666666666664</v>
      </c>
      <c r="U12" s="4">
        <f>(HC[[#This Row],[α ESF]]*HC[[#This Row],[C (kPa)]]*HC[[#This Row],[NSPT]]*HC[[#This Row],[Ap (m²)]])/'DADOS CAP. CARGA'!$Q$2+(HC[[#This Row],[β ESF]]*SUMIFS(HC[10∙(NL/3+1)],HC[Prof. (m)],"&lt;="&amp;HC[[#This Row],[Prof. (m)]],HC[idDiâmetro],HC[[#This Row],[idDiâmetro]],HC[idPilar],HC[[#This Row],[idPilar]])*HC[[#This Row],[U (m)]])/'DADOS CAP. CARGA'!$S$2</f>
        <v>95.501144176782219</v>
      </c>
      <c r="V12" s="4">
        <f>IF(SPT!$M$5=1,MIN(HC[[#This Row],[Pe HC (kN)]],HC[[#This Row],[R_AV (kN)]]),IF(SPT!$M$5=2,MIN(HC[[#This Row],[Pe HC (kN)]],HC[[#This Row],[R_DC (kN)]]),MIN(HC[[#This Row],[Pe HC (kN)]],HC[[#This Row],[R_AV (kN)]],HC[[#This Row],[R_DC (kN)]])))</f>
        <v>95.501144176782219</v>
      </c>
      <c r="W12" s="4">
        <f>INDEX(PILARES[],HC[[#This Row],[idPilar]],MATCH("Carga (kN)",PILARES[#Headers],0))*1.4</f>
        <v>3500</v>
      </c>
      <c r="X12" s="12">
        <f>INDEX(PILARES[],HC[[#This Row],[idPilar]],MATCH(HC[[#Headers],[ap (cm)]],PILARES[#Headers],0))</f>
        <v>60</v>
      </c>
      <c r="Y12" s="12">
        <f>INDEX(PILARES[],HC[[#This Row],[idPilar]],MATCH(HC[[#Headers],[bp (cm)]],PILARES[#Headers],0))</f>
        <v>60</v>
      </c>
      <c r="Z12" s="4">
        <f>SQRT(HC[[#This Row],[ap (cm)]]*HC[[#This Row],[bp (cm)]])</f>
        <v>60</v>
      </c>
      <c r="AA12" s="12">
        <f>HC[[#This Row],[ap (cm)]]*HC[[#This Row],[bp (cm)]]</f>
        <v>3600</v>
      </c>
      <c r="AB12" s="12">
        <f ca="1">IF(HC[[#This Row],[Padm∙ε (kN)]]&gt;=HC[[#This Row],[Padm (kN)]],ROUNDUP(1.05*HC[[#This Row],[Nsd (kN)]]/HC[[#This Row],[Padm (kN)]],0),ROUNDUP(1.05*HC[[#This Row],[Nsd (kN)]]/HC[[#This Row],[Padm (kN)]],0)+1)</f>
        <v>39</v>
      </c>
      <c r="AC12" s="4" t="str">
        <f ca="1">IFERROR(IF(HC[[#This Row],[nE]]=1,HC[[#This Row],[Padm (kN)]],HC[[#This Row],[Padm (kN)]]*HC[[#This Row],[nE]]*INDEX(grupoEstacas[],HC[[#This Row],[nE]],MATCH("ε",grupoEstacas[#Headers],0))),"N.S.")</f>
        <v>N.S.</v>
      </c>
      <c r="AD12" s="4">
        <f ca="1">1.05*HC[[#This Row],[Nsd (kN)]]/(HC[[#This Row],[nE]]*PI()*HC[[#This Row],[Ø (cm)]]^2/4)*10</f>
        <v>1.5864904689643478</v>
      </c>
      <c r="AE12" s="4">
        <f ca="1">IF(HC[[#This Row],[σ (MPa)]]&lt;INDEX(tipoEstaca[],MATCH($D$2,tipoEstaca[TIPO DE ESTACA],0),MATCH("σmáx (MPa)",tipoEstaca[#Headers],0)),0.4%*PI()*HC[[#This Row],[Ø (cm)]]^2/4,"N.S.")</f>
        <v>2.3758294442772812</v>
      </c>
      <c r="AF12" s="1">
        <f>INDEX(tipoEstaca[],MATCH($D$2,tipoEstaca[TIPO DE ESTACA],0),MATCH(HC[[#Headers],[Comprimento (m)]],tipoEstaca[#Headers],0))</f>
        <v>4</v>
      </c>
      <c r="AG12" s="5">
        <f ca="1">HC[[#This Row],[As,mín (cm²)]]/100^2*HC[[#This Row],[Comprimento (m)]]*7850</f>
        <v>7.4601044550306632</v>
      </c>
      <c r="AH12" s="4">
        <f ca="1">HC[[#This Row],[nE]]*HC[[#This Row],[Prof. (m)]]*HC[[#This Row],[Ap (m²)]]</f>
        <v>16.215035957192445</v>
      </c>
      <c r="AI12" s="1">
        <f ca="1">IF(HC[[#This Row],[nE]]=1,0,MAX(3*HC[[#This Row],[Ø (cm)]],60))</f>
        <v>82.5</v>
      </c>
      <c r="AJ12" s="1">
        <f ca="1">IF(HC[[#This Row],[nE]]=1,HC[[#This Row],[Ø (cm)]]+2*10,MAX(1.5*HC[[#This Row],[Ø (cm)]],HC[[#This Row],[Ø (cm)]]+15))</f>
        <v>42.5</v>
      </c>
      <c r="AK12" s="1" t="str">
        <f ca="1">alturaUtil(HC[[#This Row],[nE]],HC[[#This Row],[Ø (cm)]],HC[[#This Row],[e (cm)]],HC[[#This Row],[ap,eq (cm)]])</f>
        <v>N.S.</v>
      </c>
      <c r="AL12" s="1" t="str">
        <f ca="1">IFERROR(HC[[#This Row],[d (cm)]]+arredondarParaCimaMultiplo5cm(MAX(5,SQRT(PI())/2*HC[[#This Row],[Ø (cm)]]/5)),"N.S.")</f>
        <v>N.S.</v>
      </c>
      <c r="AM12" s="5" t="str">
        <f ca="1">alpha(HC[[#This Row],[nE]],HC[[#This Row],[d (cm)]],HC[[#This Row],[e (cm)]],HC[[#This Row],[ap,eq (cm)]])</f>
        <v>N.S.</v>
      </c>
      <c r="AN12" s="35" t="str">
        <f ca="1">IFERROR(HC[[#This Row],[Nsd (kN)]]/(HC[[#This Row],[Ap (cm²)]]*SIN(HC[[#This Row],[α]])^2),"N.S.")</f>
        <v>N.S.</v>
      </c>
      <c r="AO12" s="35" t="str">
        <f ca="1">IFERROR(HC[[#This Row],[Nsd (kN)]]/(HC[[#This Row],[nE]]*PI()*HC[[#This Row],[Ø (cm)]]^2/4*SIN(HC[[#This Row],[α]])^2),"N.S.")</f>
        <v>N.S.</v>
      </c>
      <c r="AP12" s="4" t="str">
        <f ca="1">IFERROR(INDEX(grupoEstacas[],HC[[#This Row],[nE]],MATCH("coef. Blévot",grupoEstacas[#Headers],0)),"N.S.")</f>
        <v>N.S.</v>
      </c>
      <c r="AQ12" s="35" t="str">
        <f ca="1">IFERROR(HC[[#This Row],[coef. Blévot]]*0.9*INDEX(tipoEstaca[],MATCH($D$2,tipoEstaca[TIPO DE ESTACA],0),MATCH("fcd (kN/cm²)",tipoEstaca[#Headers],0)),"N.S.")</f>
        <v>N.S.</v>
      </c>
      <c r="AR12" s="1" t="str">
        <f ca="1">IF(AND(HC[[#This Row],[cd,b,pil (kN/cm²)]]&lt;=HC[[#This Row],[cd,b,lim (kN/cm²)]],HC[[#This Row],[cd,b,est (kN/cm²)]]&lt;=HC[[#This Row],[cd,b,lim (kN/cm²)]]),"OK","ERRO")</f>
        <v>OK</v>
      </c>
      <c r="AS12" s="4" t="str">
        <f ca="1">As_lado(HC[[#This Row],[nE]],HC[[#This Row],[Nsd (kN)]],HC[[#This Row],[d (cm)]],HC[[#This Row],[e (cm)]],HC[[#This Row],[ap,eq (cm)]])</f>
        <v>N.S.</v>
      </c>
      <c r="AT12" s="4" t="str">
        <f ca="1">IF(HC[[#This Row],[nE]]=1,HC[[#This Row],[As,lado (cm²)]],IF(HC[[#This Row],[nE]]=2,0.075*2*HC[a (cm)],"N.A."))</f>
        <v>N.A.</v>
      </c>
      <c r="AU12" s="4" t="str">
        <f ca="1">IFERROR(IF(HC[[#This Row],[nE]]=1,"N.A.",0.2*HC[[#This Row],[As,lado (cm²)]]),"N.S.")</f>
        <v>N.S.</v>
      </c>
      <c r="AV12" s="4" t="str">
        <f ca="1">As_malha(HC[[#This Row],[nE]],HC[[#This Row],[As,lado (cm²)]],HC[[#This Row],[Nsd (kN)]])</f>
        <v>N.S.</v>
      </c>
      <c r="AW12" s="4" t="str">
        <f ca="1">As_susp_tot(HC[[#This Row],[nE]],HC[[#This Row],[Nsd (kN)]])</f>
        <v>N.S.</v>
      </c>
      <c r="AX12" s="4" t="str">
        <f ca="1">Asp_face(HC[[#This Row],[nE]],HC[[#This Row],[As,lado (cm²)]])</f>
        <v>N.S.</v>
      </c>
      <c r="AY12" s="5" t="str">
        <f ca="1">acoBloco(HC[[#This Row],[nE]],HC[[#This Row],[e (cm)]],HC[[#This Row],[a (cm)]],HC[[#This Row],[h (cm)]],HC[[#This Row],[As,lado (cm²)]],HC[[#This Row],[Asp e Asw (cm²/m)]],HC[[#This Row],[As,sup (cm²)]],HC[[#This Row],[As,malha (cm²)]],HC[[#This Row],[As,susp,tot (cm²)]],HC[[#This Row],[Asp,face (cm²)]])</f>
        <v>N.S.</v>
      </c>
      <c r="AZ12" s="4" t="str">
        <f ca="1">concretoBloco(HC[[#This Row],[nE]],HC[[#This Row],[e (cm)]],HC[[#This Row],[a (cm)]],HC[[#This Row],[h (cm)]])</f>
        <v>N.S.</v>
      </c>
      <c r="BA12" s="5">
        <f ca="1">SUM(HC[[#This Row],[Aço Est (kg)]],HC[[#This Row],[Aço Bloco (kg)]])</f>
        <v>7.4601044550306632</v>
      </c>
      <c r="BB12" s="4">
        <f>INDEX(composicoes[],MATCH(95580,composicoes[CÓDIGO],0),MATCH("CUSTO TOTAL",composicoes[#Headers],0))</f>
        <v>10.46</v>
      </c>
      <c r="BC12" s="4">
        <f ca="1">SUM(HC[[#This Row],[Conc Est (m³)]],HC[[#This Row],[Conc Bloco (m³)]])</f>
        <v>16.215035957192445</v>
      </c>
      <c r="BD12" s="4">
        <f>INDEX(composicoes[],MATCH(94966,composicoes[CÓDIGO],0),MATCH("CUSTO TOTAL",composicoes[#Headers],0))</f>
        <v>439.52</v>
      </c>
      <c r="BE12" s="38">
        <f ca="1">HC[[#This Row],[Aço (kg)]]*HC[[#This Row],[Aço (R$/kg)]]+HC[[#This Row],[Conc (m³)]]*HC[[#This Row],[Conc (R$/m³)]]</f>
        <v>7204.8652965048432</v>
      </c>
      <c r="BF12" s="4" t="str">
        <f ca="1">IF(COUNTIF(HC[#This Row],"N.S.")&gt;0,"lim.","OK")</f>
        <v>lim.</v>
      </c>
      <c r="BG12" s="4" t="str">
        <f>IF(HC[[#This Row],[Prof. (m)]]&lt;4,"lim.","OK")</f>
        <v>OK</v>
      </c>
      <c r="BH12" s="4" t="str">
        <f>IF(HC[[#This Row],[Prof. (m)]]&gt;=8*HC[[#This Row],[Ø (cm)]]/100,"OK","lim.")</f>
        <v>OK</v>
      </c>
      <c r="BI12" s="4" t="str">
        <f ca="1">IF(HC[[#This Row],[Verif. Biela]]="OK","OK","lim.")</f>
        <v>OK</v>
      </c>
      <c r="BJ12" s="4" t="str">
        <f ca="1">IF(COUNTA(HC[[#This Row],[Nº Est.]:[Biela comp.]])=COUNTIF(HC[[#This Row],[Nº Est.]:[Biela comp.]],"OK"),"OK","lim.")</f>
        <v>lim.</v>
      </c>
      <c r="BK12" s="4" t="str">
        <f ca="1">IF(HC[[#This Row],[Controle]]="OK",HC[[#This Row],[nE]]&amp;" Ø"&amp;HC[[#This Row],[Ø (cm)]]&amp;"cm Prof. "&amp;HC[[#This Row],[Prof. (m)]]&amp;" m","")</f>
        <v/>
      </c>
      <c r="BL12" s="4" t="str">
        <f ca="1">IF(HC[[#This Row],[idDimensionamento]]="","",HC[[#This Row],[idPilar]]&amp;HC[[#This Row],[idDimensionamento]])</f>
        <v/>
      </c>
    </row>
    <row r="13" spans="2:64" x14ac:dyDescent="0.25">
      <c r="B13" s="12">
        <f>ROUNDUP((ROW(HC[[#This Row],[idDiâmetro]])-ROW(HC[[#Headers],[idDiâmetro]]))/(COUNT(SPT[Prof. (m)])*COUNT(PILARES[Pilar])),0)</f>
        <v>1</v>
      </c>
      <c r="C13" s="12">
        <f>IF(HC[[#This Row],[idDiâmetro]]&lt;&gt;B12,1,IF(HC[[#This Row],[Prof. (m)]]=0,C12+1,C12))</f>
        <v>1</v>
      </c>
      <c r="D13" s="1">
        <f>IFERROR(IF(D12=MAX(SPT[Prof. (m)]),0,D12+1),0)</f>
        <v>8</v>
      </c>
      <c r="E13" s="1">
        <f>INDEX(SPT[],MATCH(HC[[#This Row],[Prof. (m)]],SPT[Prof. (m)],0),2)</f>
        <v>10</v>
      </c>
      <c r="F13" s="1" t="str">
        <f>INDEX(SPT[],MATCH(HC[[#This Row],[Prof. (m)]],SPT[Prof. (m)],0),3)</f>
        <v>Silte arenoso</v>
      </c>
      <c r="G13" s="1">
        <f>INDEX(estacas[],HC[[#This Row],[idDiâmetro]],MATCH($B$2,estacas[#Headers],0))</f>
        <v>27.5</v>
      </c>
      <c r="H13" s="1">
        <f>INDEX(estacas[],MATCH(HC[[#This Row],[Ø (cm)]],estacas[Ø HC (cm)],0),MATCH(HC[[#Headers],[Pe HC (kN)]],estacas[#Headers],0))</f>
        <v>350</v>
      </c>
      <c r="I13" s="4">
        <f>INDEX(K_alpha_C[],MATCH(HC[[#This Row],[Solo]],K_alpha_C[Solo],0),2)</f>
        <v>0.55000000000000004</v>
      </c>
      <c r="J13" s="5">
        <f>INDEX(K_alpha_C[],MATCH(HC[[#This Row],[Solo]],K_alpha_C[Solo],0),3)</f>
        <v>2.2000000000000002</v>
      </c>
      <c r="K13" s="4">
        <f>INDEX(F1_F2[],MATCH($D$2,F1_F2[Tipo de estaca],0),2)</f>
        <v>2</v>
      </c>
      <c r="L13" s="4">
        <f>INDEX(F1_F2[],MATCH($D$2,F1_F2[Tipo de estaca],0),3)</f>
        <v>4</v>
      </c>
      <c r="M13" s="4">
        <f>PI()*(HC[[#This Row],[Ø (cm)]]/100)^2/4</f>
        <v>5.9395736106932037E-2</v>
      </c>
      <c r="N13" s="4">
        <f>PI()*HC[[#This Row],[Ø (cm)]]/100</f>
        <v>0.86393797973719311</v>
      </c>
      <c r="O13" s="4">
        <f>IF(HC[[#This Row],[Prof. (m)]]=0,0,HC[[#This Row],[α (%)]]/100*HC[[#This Row],[K (MPa)]]*1000*HC[[#This Row],[NSPT]])</f>
        <v>121.00000000000001</v>
      </c>
      <c r="P13" s="4">
        <f>IF(HC[[#This Row],[Prof. (m)]]=0,0,(HC[[#This Row],[K (MPa)]]*1000*HC[[#This Row],[NSPT]]/HC[[#This Row],[F1]]*HC[[#This Row],[Ap (m²)]]+HC[[#This Row],[U (m)]]/HC[[#This Row],[F2]]*SUMIFS(HC[(α∙K∙NL∙ΔL)],HC[Prof. (m)],"&lt;="&amp;HC[[#This Row],[Prof. (m)]],HC[idDiâmetro],HC[[#This Row],[idDiâmetro]],HC[idPilar],HC[[#This Row],[idPilar]]))/'DADOS CAP. CARGA'!$D$2)</f>
        <v>189.65058538943399</v>
      </c>
      <c r="Q13" s="12">
        <f>INDEX(C_alpha_beta[],MATCH(HC[[#This Row],[Solo]],C_alpha_beta[Solo],0),MATCH(HC[[#Headers],[C (kPa)]],C_alpha_beta[#Headers],0))</f>
        <v>250</v>
      </c>
      <c r="R13" s="4">
        <f>INDEX(C_alpha_beta[],MATCH(HC[[#This Row],[Solo]],C_alpha_beta[Solo],0),MATCH(HC[[#Headers],[α ESF]],C_alpha_beta[#Headers],0))</f>
        <v>0.6</v>
      </c>
      <c r="S13" s="4">
        <f>INDEX(C_alpha_beta[],MATCH(HC[[#This Row],[Solo]],C_alpha_beta[Solo],0),MATCH(HC[[#Headers],[β ESF]],C_alpha_beta[#Headers],0))</f>
        <v>0.65</v>
      </c>
      <c r="T13" s="4">
        <f>IF(HC[[#This Row],[Prof. (m)]]=0,0,10*(HC[[#This Row],[NSPT]]/3+1))</f>
        <v>43.333333333333343</v>
      </c>
      <c r="U13" s="4">
        <f>(HC[[#This Row],[α ESF]]*HC[[#This Row],[C (kPa)]]*HC[[#This Row],[NSPT]]*HC[[#This Row],[Ap (m²)]])/'DADOS CAP. CARGA'!$Q$2+(HC[[#This Row],[β ESF]]*SUMIFS(HC[10∙(NL/3+1)],HC[Prof. (m)],"&lt;="&amp;HC[[#This Row],[Prof. (m)]],HC[idDiâmetro],HC[[#This Row],[idDiâmetro]],HC[idPilar],HC[[#This Row],[idPilar]])*HC[[#This Row],[U (m)]])/'DADOS CAP. CARGA'!$S$2</f>
        <v>112.12295093276759</v>
      </c>
      <c r="V13" s="4">
        <f>IF(SPT!$M$5=1,MIN(HC[[#This Row],[Pe HC (kN)]],HC[[#This Row],[R_AV (kN)]]),IF(SPT!$M$5=2,MIN(HC[[#This Row],[Pe HC (kN)]],HC[[#This Row],[R_DC (kN)]]),MIN(HC[[#This Row],[Pe HC (kN)]],HC[[#This Row],[R_AV (kN)]],HC[[#This Row],[R_DC (kN)]])))</f>
        <v>112.12295093276759</v>
      </c>
      <c r="W13" s="4">
        <f>INDEX(PILARES[],HC[[#This Row],[idPilar]],MATCH("Carga (kN)",PILARES[#Headers],0))*1.4</f>
        <v>3500</v>
      </c>
      <c r="X13" s="12">
        <f>INDEX(PILARES[],HC[[#This Row],[idPilar]],MATCH(HC[[#Headers],[ap (cm)]],PILARES[#Headers],0))</f>
        <v>60</v>
      </c>
      <c r="Y13" s="12">
        <f>INDEX(PILARES[],HC[[#This Row],[idPilar]],MATCH(HC[[#Headers],[bp (cm)]],PILARES[#Headers],0))</f>
        <v>60</v>
      </c>
      <c r="Z13" s="4">
        <f>SQRT(HC[[#This Row],[ap (cm)]]*HC[[#This Row],[bp (cm)]])</f>
        <v>60</v>
      </c>
      <c r="AA13" s="12">
        <f>HC[[#This Row],[ap (cm)]]*HC[[#This Row],[bp (cm)]]</f>
        <v>3600</v>
      </c>
      <c r="AB13" s="12">
        <f ca="1">IF(HC[[#This Row],[Padm∙ε (kN)]]&gt;=HC[[#This Row],[Padm (kN)]],ROUNDUP(1.05*HC[[#This Row],[Nsd (kN)]]/HC[[#This Row],[Padm (kN)]],0),ROUNDUP(1.05*HC[[#This Row],[Nsd (kN)]]/HC[[#This Row],[Padm (kN)]],0)+1)</f>
        <v>33</v>
      </c>
      <c r="AC13" s="4" t="str">
        <f ca="1">IFERROR(IF(HC[[#This Row],[nE]]=1,HC[[#This Row],[Padm (kN)]],HC[[#This Row],[Padm (kN)]]*HC[[#This Row],[nE]]*INDEX(grupoEstacas[],HC[[#This Row],[nE]],MATCH("ε",grupoEstacas[#Headers],0))),"N.S.")</f>
        <v>N.S.</v>
      </c>
      <c r="AD13" s="4">
        <f ca="1">1.05*HC[[#This Row],[Nsd (kN)]]/(HC[[#This Row],[nE]]*PI()*HC[[#This Row],[Ø (cm)]]^2/4)*10</f>
        <v>1.8749432815033202</v>
      </c>
      <c r="AE13" s="4">
        <f ca="1">IF(HC[[#This Row],[σ (MPa)]]&lt;INDEX(tipoEstaca[],MATCH($D$2,tipoEstaca[TIPO DE ESTACA],0),MATCH("σmáx (MPa)",tipoEstaca[#Headers],0)),0.4%*PI()*HC[[#This Row],[Ø (cm)]]^2/4,"N.S.")</f>
        <v>2.3758294442772812</v>
      </c>
      <c r="AF13" s="1">
        <f>INDEX(tipoEstaca[],MATCH($D$2,tipoEstaca[TIPO DE ESTACA],0),MATCH(HC[[#Headers],[Comprimento (m)]],tipoEstaca[#Headers],0))</f>
        <v>4</v>
      </c>
      <c r="AG13" s="5">
        <f ca="1">HC[[#This Row],[As,mín (cm²)]]/100^2*HC[[#This Row],[Comprimento (m)]]*7850</f>
        <v>7.4601044550306632</v>
      </c>
      <c r="AH13" s="4">
        <f ca="1">HC[[#This Row],[nE]]*HC[[#This Row],[Prof. (m)]]*HC[[#This Row],[Ap (m²)]]</f>
        <v>15.680474332230057</v>
      </c>
      <c r="AI13" s="1">
        <f ca="1">IF(HC[[#This Row],[nE]]=1,0,MAX(3*HC[[#This Row],[Ø (cm)]],60))</f>
        <v>82.5</v>
      </c>
      <c r="AJ13" s="1">
        <f ca="1">IF(HC[[#This Row],[nE]]=1,HC[[#This Row],[Ø (cm)]]+2*10,MAX(1.5*HC[[#This Row],[Ø (cm)]],HC[[#This Row],[Ø (cm)]]+15))</f>
        <v>42.5</v>
      </c>
      <c r="AK13" s="1" t="str">
        <f ca="1">alturaUtil(HC[[#This Row],[nE]],HC[[#This Row],[Ø (cm)]],HC[[#This Row],[e (cm)]],HC[[#This Row],[ap,eq (cm)]])</f>
        <v>N.S.</v>
      </c>
      <c r="AL13" s="1" t="str">
        <f ca="1">IFERROR(HC[[#This Row],[d (cm)]]+arredondarParaCimaMultiplo5cm(MAX(5,SQRT(PI())/2*HC[[#This Row],[Ø (cm)]]/5)),"N.S.")</f>
        <v>N.S.</v>
      </c>
      <c r="AM13" s="5" t="str">
        <f ca="1">alpha(HC[[#This Row],[nE]],HC[[#This Row],[d (cm)]],HC[[#This Row],[e (cm)]],HC[[#This Row],[ap,eq (cm)]])</f>
        <v>N.S.</v>
      </c>
      <c r="AN13" s="35" t="str">
        <f ca="1">IFERROR(HC[[#This Row],[Nsd (kN)]]/(HC[[#This Row],[Ap (cm²)]]*SIN(HC[[#This Row],[α]])^2),"N.S.")</f>
        <v>N.S.</v>
      </c>
      <c r="AO13" s="35" t="str">
        <f ca="1">IFERROR(HC[[#This Row],[Nsd (kN)]]/(HC[[#This Row],[nE]]*PI()*HC[[#This Row],[Ø (cm)]]^2/4*SIN(HC[[#This Row],[α]])^2),"N.S.")</f>
        <v>N.S.</v>
      </c>
      <c r="AP13" s="4" t="str">
        <f ca="1">IFERROR(INDEX(grupoEstacas[],HC[[#This Row],[nE]],MATCH("coef. Blévot",grupoEstacas[#Headers],0)),"N.S.")</f>
        <v>N.S.</v>
      </c>
      <c r="AQ13" s="35" t="str">
        <f ca="1">IFERROR(HC[[#This Row],[coef. Blévot]]*0.9*INDEX(tipoEstaca[],MATCH($D$2,tipoEstaca[TIPO DE ESTACA],0),MATCH("fcd (kN/cm²)",tipoEstaca[#Headers],0)),"N.S.")</f>
        <v>N.S.</v>
      </c>
      <c r="AR13" s="1" t="str">
        <f ca="1">IF(AND(HC[[#This Row],[cd,b,pil (kN/cm²)]]&lt;=HC[[#This Row],[cd,b,lim (kN/cm²)]],HC[[#This Row],[cd,b,est (kN/cm²)]]&lt;=HC[[#This Row],[cd,b,lim (kN/cm²)]]),"OK","ERRO")</f>
        <v>OK</v>
      </c>
      <c r="AS13" s="4" t="str">
        <f ca="1">As_lado(HC[[#This Row],[nE]],HC[[#This Row],[Nsd (kN)]],HC[[#This Row],[d (cm)]],HC[[#This Row],[e (cm)]],HC[[#This Row],[ap,eq (cm)]])</f>
        <v>N.S.</v>
      </c>
      <c r="AT13" s="4" t="str">
        <f ca="1">IF(HC[[#This Row],[nE]]=1,HC[[#This Row],[As,lado (cm²)]],IF(HC[[#This Row],[nE]]=2,0.075*2*HC[a (cm)],"N.A."))</f>
        <v>N.A.</v>
      </c>
      <c r="AU13" s="4" t="str">
        <f ca="1">IFERROR(IF(HC[[#This Row],[nE]]=1,"N.A.",0.2*HC[[#This Row],[As,lado (cm²)]]),"N.S.")</f>
        <v>N.S.</v>
      </c>
      <c r="AV13" s="4" t="str">
        <f ca="1">As_malha(HC[[#This Row],[nE]],HC[[#This Row],[As,lado (cm²)]],HC[[#This Row],[Nsd (kN)]])</f>
        <v>N.S.</v>
      </c>
      <c r="AW13" s="4" t="str">
        <f ca="1">As_susp_tot(HC[[#This Row],[nE]],HC[[#This Row],[Nsd (kN)]])</f>
        <v>N.S.</v>
      </c>
      <c r="AX13" s="4" t="str">
        <f ca="1">Asp_face(HC[[#This Row],[nE]],HC[[#This Row],[As,lado (cm²)]])</f>
        <v>N.S.</v>
      </c>
      <c r="AY13" s="5" t="str">
        <f ca="1">acoBloco(HC[[#This Row],[nE]],HC[[#This Row],[e (cm)]],HC[[#This Row],[a (cm)]],HC[[#This Row],[h (cm)]],HC[[#This Row],[As,lado (cm²)]],HC[[#This Row],[Asp e Asw (cm²/m)]],HC[[#This Row],[As,sup (cm²)]],HC[[#This Row],[As,malha (cm²)]],HC[[#This Row],[As,susp,tot (cm²)]],HC[[#This Row],[Asp,face (cm²)]])</f>
        <v>N.S.</v>
      </c>
      <c r="AZ13" s="4" t="str">
        <f ca="1">concretoBloco(HC[[#This Row],[nE]],HC[[#This Row],[e (cm)]],HC[[#This Row],[a (cm)]],HC[[#This Row],[h (cm)]])</f>
        <v>N.S.</v>
      </c>
      <c r="BA13" s="5">
        <f ca="1">SUM(HC[[#This Row],[Aço Est (kg)]],HC[[#This Row],[Aço Bloco (kg)]])</f>
        <v>7.4601044550306632</v>
      </c>
      <c r="BB13" s="4">
        <f>INDEX(composicoes[],MATCH(95580,composicoes[CÓDIGO],0),MATCH("CUSTO TOTAL",composicoes[#Headers],0))</f>
        <v>10.46</v>
      </c>
      <c r="BC13" s="4">
        <f ca="1">SUM(HC[[#This Row],[Conc Est (m³)]],HC[[#This Row],[Conc Bloco (m³)]])</f>
        <v>15.680474332230057</v>
      </c>
      <c r="BD13" s="4">
        <f>INDEX(composicoes[],MATCH(94966,composicoes[CÓDIGO],0),MATCH("CUSTO TOTAL",composicoes[#Headers],0))</f>
        <v>439.52</v>
      </c>
      <c r="BE13" s="38">
        <f ca="1">HC[[#This Row],[Aço (kg)]]*HC[[#This Row],[Aço (R$/kg)]]+HC[[#This Row],[Conc (m³)]]*HC[[#This Row],[Conc (R$/m³)]]</f>
        <v>6969.9147711013748</v>
      </c>
      <c r="BF13" s="4" t="str">
        <f ca="1">IF(COUNTIF(HC[#This Row],"N.S.")&gt;0,"lim.","OK")</f>
        <v>lim.</v>
      </c>
      <c r="BG13" s="4" t="str">
        <f>IF(HC[[#This Row],[Prof. (m)]]&lt;4,"lim.","OK")</f>
        <v>OK</v>
      </c>
      <c r="BH13" s="4" t="str">
        <f>IF(HC[[#This Row],[Prof. (m)]]&gt;=8*HC[[#This Row],[Ø (cm)]]/100,"OK","lim.")</f>
        <v>OK</v>
      </c>
      <c r="BI13" s="4" t="str">
        <f ca="1">IF(HC[[#This Row],[Verif. Biela]]="OK","OK","lim.")</f>
        <v>OK</v>
      </c>
      <c r="BJ13" s="4" t="str">
        <f ca="1">IF(COUNTA(HC[[#This Row],[Nº Est.]:[Biela comp.]])=COUNTIF(HC[[#This Row],[Nº Est.]:[Biela comp.]],"OK"),"OK","lim.")</f>
        <v>lim.</v>
      </c>
      <c r="BK13" s="4" t="str">
        <f ca="1">IF(HC[[#This Row],[Controle]]="OK",HC[[#This Row],[nE]]&amp;" Ø"&amp;HC[[#This Row],[Ø (cm)]]&amp;"cm Prof. "&amp;HC[[#This Row],[Prof. (m)]]&amp;" m","")</f>
        <v/>
      </c>
      <c r="BL13" s="4" t="str">
        <f ca="1">IF(HC[[#This Row],[idDimensionamento]]="","",HC[[#This Row],[idPilar]]&amp;HC[[#This Row],[idDimensionamento]])</f>
        <v/>
      </c>
    </row>
    <row r="14" spans="2:64" x14ac:dyDescent="0.25">
      <c r="B14" s="12">
        <f>ROUNDUP((ROW(HC[[#This Row],[idDiâmetro]])-ROW(HC[[#Headers],[idDiâmetro]]))/(COUNT(SPT[Prof. (m)])*COUNT(PILARES[Pilar])),0)</f>
        <v>1</v>
      </c>
      <c r="C14" s="12">
        <f>IF(HC[[#This Row],[idDiâmetro]]&lt;&gt;B13,1,IF(HC[[#This Row],[Prof. (m)]]=0,C13+1,C13))</f>
        <v>1</v>
      </c>
      <c r="D14" s="1">
        <f>IFERROR(IF(D13=MAX(SPT[Prof. (m)]),0,D13+1),0)</f>
        <v>9</v>
      </c>
      <c r="E14" s="1">
        <f>INDEX(SPT[],MATCH(HC[[#This Row],[Prof. (m)]],SPT[Prof. (m)],0),2)</f>
        <v>26</v>
      </c>
      <c r="F14" s="1" t="str">
        <f>INDEX(SPT[],MATCH(HC[[#This Row],[Prof. (m)]],SPT[Prof. (m)],0),3)</f>
        <v>Areia siltosa</v>
      </c>
      <c r="G14" s="1">
        <f>INDEX(estacas[],HC[[#This Row],[idDiâmetro]],MATCH($B$2,estacas[#Headers],0))</f>
        <v>27.5</v>
      </c>
      <c r="H14" s="1">
        <f>INDEX(estacas[],MATCH(HC[[#This Row],[Ø (cm)]],estacas[Ø HC (cm)],0),MATCH(HC[[#Headers],[Pe HC (kN)]],estacas[#Headers],0))</f>
        <v>350</v>
      </c>
      <c r="I14" s="4">
        <f>INDEX(K_alpha_C[],MATCH(HC[[#This Row],[Solo]],K_alpha_C[Solo],0),2)</f>
        <v>0.8</v>
      </c>
      <c r="J14" s="5">
        <f>INDEX(K_alpha_C[],MATCH(HC[[#This Row],[Solo]],K_alpha_C[Solo],0),3)</f>
        <v>2</v>
      </c>
      <c r="K14" s="4">
        <f>INDEX(F1_F2[],MATCH($D$2,F1_F2[Tipo de estaca],0),2)</f>
        <v>2</v>
      </c>
      <c r="L14" s="4">
        <f>INDEX(F1_F2[],MATCH($D$2,F1_F2[Tipo de estaca],0),3)</f>
        <v>4</v>
      </c>
      <c r="M14" s="4">
        <f>PI()*(HC[[#This Row],[Ø (cm)]]/100)^2/4</f>
        <v>5.9395736106932037E-2</v>
      </c>
      <c r="N14" s="4">
        <f>PI()*HC[[#This Row],[Ø (cm)]]/100</f>
        <v>0.86393797973719311</v>
      </c>
      <c r="O14" s="4">
        <f>IF(HC[[#This Row],[Prof. (m)]]=0,0,HC[[#This Row],[α (%)]]/100*HC[[#This Row],[K (MPa)]]*1000*HC[[#This Row],[NSPT]])</f>
        <v>416</v>
      </c>
      <c r="P14" s="4">
        <f>IF(HC[[#This Row],[Prof. (m)]]=0,0,(HC[[#This Row],[K (MPa)]]*1000*HC[[#This Row],[NSPT]]/HC[[#This Row],[F1]]*HC[[#This Row],[Ap (m²)]]+HC[[#This Row],[U (m)]]/HC[[#This Row],[F2]]*SUMIFS(HC[(α∙K∙NL∙ΔL)],HC[Prof. (m)],"&lt;="&amp;HC[[#This Row],[Prof. (m)]],HC[idDiâmetro],HC[[#This Row],[idDiâmetro]],HC[idPilar],HC[[#This Row],[idPilar]]))/'DADOS CAP. CARGA'!$D$2)</f>
        <v>461.76405094478309</v>
      </c>
      <c r="Q14" s="12">
        <f>INDEX(C_alpha_beta[],MATCH(HC[[#This Row],[Solo]],C_alpha_beta[Solo],0),MATCH(HC[[#Headers],[C (kPa)]],C_alpha_beta[#Headers],0))</f>
        <v>400</v>
      </c>
      <c r="R14" s="4">
        <f>INDEX(C_alpha_beta[],MATCH(HC[[#This Row],[Solo]],C_alpha_beta[Solo],0),MATCH(HC[[#Headers],[α ESF]],C_alpha_beta[#Headers],0))</f>
        <v>0.5</v>
      </c>
      <c r="S14" s="4">
        <f>INDEX(C_alpha_beta[],MATCH(HC[[#This Row],[Solo]],C_alpha_beta[Solo],0),MATCH(HC[[#Headers],[β ESF]],C_alpha_beta[#Headers],0))</f>
        <v>0.5</v>
      </c>
      <c r="T14" s="4">
        <f>IF(HC[[#This Row],[Prof. (m)]]=0,0,10*(HC[[#This Row],[NSPT]]/3+1))</f>
        <v>96.666666666666657</v>
      </c>
      <c r="U14" s="4">
        <f>(HC[[#This Row],[α ESF]]*HC[[#This Row],[C (kPa)]]*HC[[#This Row],[NSPT]]*HC[[#This Row],[Ap (m²)]])/'DADOS CAP. CARGA'!$Q$2+(HC[[#This Row],[β ESF]]*SUMIFS(HC[10∙(NL/3+1)],HC[Prof. (m)],"&lt;="&amp;HC[[#This Row],[Prof. (m)]],HC[idDiâmetro],HC[[#This Row],[idDiâmetro]],HC[idPilar],HC[[#This Row],[idPilar]])*HC[[#This Row],[U (m)]])/'DADOS CAP. CARGA'!$S$2</f>
        <v>167.20799649496928</v>
      </c>
      <c r="V14" s="4">
        <f>IF(SPT!$M$5=1,MIN(HC[[#This Row],[Pe HC (kN)]],HC[[#This Row],[R_AV (kN)]]),IF(SPT!$M$5=2,MIN(HC[[#This Row],[Pe HC (kN)]],HC[[#This Row],[R_DC (kN)]]),MIN(HC[[#This Row],[Pe HC (kN)]],HC[[#This Row],[R_AV (kN)]],HC[[#This Row],[R_DC (kN)]])))</f>
        <v>167.20799649496928</v>
      </c>
      <c r="W14" s="4">
        <f>INDEX(PILARES[],HC[[#This Row],[idPilar]],MATCH("Carga (kN)",PILARES[#Headers],0))*1.4</f>
        <v>3500</v>
      </c>
      <c r="X14" s="12">
        <f>INDEX(PILARES[],HC[[#This Row],[idPilar]],MATCH(HC[[#Headers],[ap (cm)]],PILARES[#Headers],0))</f>
        <v>60</v>
      </c>
      <c r="Y14" s="12">
        <f>INDEX(PILARES[],HC[[#This Row],[idPilar]],MATCH(HC[[#Headers],[bp (cm)]],PILARES[#Headers],0))</f>
        <v>60</v>
      </c>
      <c r="Z14" s="4">
        <f>SQRT(HC[[#This Row],[ap (cm)]]*HC[[#This Row],[bp (cm)]])</f>
        <v>60</v>
      </c>
      <c r="AA14" s="12">
        <f>HC[[#This Row],[ap (cm)]]*HC[[#This Row],[bp (cm)]]</f>
        <v>3600</v>
      </c>
      <c r="AB14" s="12">
        <f ca="1">IF(HC[[#This Row],[Padm∙ε (kN)]]&gt;=HC[[#This Row],[Padm (kN)]],ROUNDUP(1.05*HC[[#This Row],[Nsd (kN)]]/HC[[#This Row],[Padm (kN)]],0),ROUNDUP(1.05*HC[[#This Row],[Nsd (kN)]]/HC[[#This Row],[Padm (kN)]],0)+1)</f>
        <v>22</v>
      </c>
      <c r="AC14" s="4" t="str">
        <f ca="1">IFERROR(IF(HC[[#This Row],[nE]]=1,HC[[#This Row],[Padm (kN)]],HC[[#This Row],[Padm (kN)]]*HC[[#This Row],[nE]]*INDEX(grupoEstacas[],HC[[#This Row],[nE]],MATCH("ε",grupoEstacas[#Headers],0))),"N.S.")</f>
        <v>N.S.</v>
      </c>
      <c r="AD14" s="4">
        <f ca="1">1.05*HC[[#This Row],[Nsd (kN)]]/(HC[[#This Row],[nE]]*PI()*HC[[#This Row],[Ø (cm)]]^2/4)*10</f>
        <v>2.8124149222549804</v>
      </c>
      <c r="AE14" s="4">
        <f ca="1">IF(HC[[#This Row],[σ (MPa)]]&lt;INDEX(tipoEstaca[],MATCH($D$2,tipoEstaca[TIPO DE ESTACA],0),MATCH("σmáx (MPa)",tipoEstaca[#Headers],0)),0.4%*PI()*HC[[#This Row],[Ø (cm)]]^2/4,"N.S.")</f>
        <v>2.3758294442772812</v>
      </c>
      <c r="AF14" s="1">
        <f>INDEX(tipoEstaca[],MATCH($D$2,tipoEstaca[TIPO DE ESTACA],0),MATCH(HC[[#Headers],[Comprimento (m)]],tipoEstaca[#Headers],0))</f>
        <v>4</v>
      </c>
      <c r="AG14" s="5">
        <f ca="1">HC[[#This Row],[As,mín (cm²)]]/100^2*HC[[#This Row],[Comprimento (m)]]*7850</f>
        <v>7.4601044550306632</v>
      </c>
      <c r="AH14" s="4">
        <f ca="1">HC[[#This Row],[nE]]*HC[[#This Row],[Prof. (m)]]*HC[[#This Row],[Ap (m²)]]</f>
        <v>11.760355749172543</v>
      </c>
      <c r="AI14" s="1">
        <f ca="1">IF(HC[[#This Row],[nE]]=1,0,MAX(3*HC[[#This Row],[Ø (cm)]],60))</f>
        <v>82.5</v>
      </c>
      <c r="AJ14" s="1">
        <f ca="1">IF(HC[[#This Row],[nE]]=1,HC[[#This Row],[Ø (cm)]]+2*10,MAX(1.5*HC[[#This Row],[Ø (cm)]],HC[[#This Row],[Ø (cm)]]+15))</f>
        <v>42.5</v>
      </c>
      <c r="AK14" s="1" t="str">
        <f ca="1">alturaUtil(HC[[#This Row],[nE]],HC[[#This Row],[Ø (cm)]],HC[[#This Row],[e (cm)]],HC[[#This Row],[ap,eq (cm)]])</f>
        <v>N.S.</v>
      </c>
      <c r="AL14" s="1" t="str">
        <f ca="1">IFERROR(HC[[#This Row],[d (cm)]]+arredondarParaCimaMultiplo5cm(MAX(5,SQRT(PI())/2*HC[[#This Row],[Ø (cm)]]/5)),"N.S.")</f>
        <v>N.S.</v>
      </c>
      <c r="AM14" s="5" t="str">
        <f ca="1">alpha(HC[[#This Row],[nE]],HC[[#This Row],[d (cm)]],HC[[#This Row],[e (cm)]],HC[[#This Row],[ap,eq (cm)]])</f>
        <v>N.S.</v>
      </c>
      <c r="AN14" s="35" t="str">
        <f ca="1">IFERROR(HC[[#This Row],[Nsd (kN)]]/(HC[[#This Row],[Ap (cm²)]]*SIN(HC[[#This Row],[α]])^2),"N.S.")</f>
        <v>N.S.</v>
      </c>
      <c r="AO14" s="35" t="str">
        <f ca="1">IFERROR(HC[[#This Row],[Nsd (kN)]]/(HC[[#This Row],[nE]]*PI()*HC[[#This Row],[Ø (cm)]]^2/4*SIN(HC[[#This Row],[α]])^2),"N.S.")</f>
        <v>N.S.</v>
      </c>
      <c r="AP14" s="4" t="str">
        <f ca="1">IFERROR(INDEX(grupoEstacas[],HC[[#This Row],[nE]],MATCH("coef. Blévot",grupoEstacas[#Headers],0)),"N.S.")</f>
        <v>N.S.</v>
      </c>
      <c r="AQ14" s="35" t="str">
        <f ca="1">IFERROR(HC[[#This Row],[coef. Blévot]]*0.9*INDEX(tipoEstaca[],MATCH($D$2,tipoEstaca[TIPO DE ESTACA],0),MATCH("fcd (kN/cm²)",tipoEstaca[#Headers],0)),"N.S.")</f>
        <v>N.S.</v>
      </c>
      <c r="AR14" s="1" t="str">
        <f ca="1">IF(AND(HC[[#This Row],[cd,b,pil (kN/cm²)]]&lt;=HC[[#This Row],[cd,b,lim (kN/cm²)]],HC[[#This Row],[cd,b,est (kN/cm²)]]&lt;=HC[[#This Row],[cd,b,lim (kN/cm²)]]),"OK","ERRO")</f>
        <v>OK</v>
      </c>
      <c r="AS14" s="4" t="str">
        <f ca="1">As_lado(HC[[#This Row],[nE]],HC[[#This Row],[Nsd (kN)]],HC[[#This Row],[d (cm)]],HC[[#This Row],[e (cm)]],HC[[#This Row],[ap,eq (cm)]])</f>
        <v>N.S.</v>
      </c>
      <c r="AT14" s="4" t="str">
        <f ca="1">IF(HC[[#This Row],[nE]]=1,HC[[#This Row],[As,lado (cm²)]],IF(HC[[#This Row],[nE]]=2,0.075*2*HC[a (cm)],"N.A."))</f>
        <v>N.A.</v>
      </c>
      <c r="AU14" s="4" t="str">
        <f ca="1">IFERROR(IF(HC[[#This Row],[nE]]=1,"N.A.",0.2*HC[[#This Row],[As,lado (cm²)]]),"N.S.")</f>
        <v>N.S.</v>
      </c>
      <c r="AV14" s="4" t="str">
        <f ca="1">As_malha(HC[[#This Row],[nE]],HC[[#This Row],[As,lado (cm²)]],HC[[#This Row],[Nsd (kN)]])</f>
        <v>N.S.</v>
      </c>
      <c r="AW14" s="4" t="str">
        <f ca="1">As_susp_tot(HC[[#This Row],[nE]],HC[[#This Row],[Nsd (kN)]])</f>
        <v>N.S.</v>
      </c>
      <c r="AX14" s="4" t="str">
        <f ca="1">Asp_face(HC[[#This Row],[nE]],HC[[#This Row],[As,lado (cm²)]])</f>
        <v>N.S.</v>
      </c>
      <c r="AY14" s="5" t="str">
        <f ca="1">acoBloco(HC[[#This Row],[nE]],HC[[#This Row],[e (cm)]],HC[[#This Row],[a (cm)]],HC[[#This Row],[h (cm)]],HC[[#This Row],[As,lado (cm²)]],HC[[#This Row],[Asp e Asw (cm²/m)]],HC[[#This Row],[As,sup (cm²)]],HC[[#This Row],[As,malha (cm²)]],HC[[#This Row],[As,susp,tot (cm²)]],HC[[#This Row],[Asp,face (cm²)]])</f>
        <v>N.S.</v>
      </c>
      <c r="AZ14" s="4" t="str">
        <f ca="1">concretoBloco(HC[[#This Row],[nE]],HC[[#This Row],[e (cm)]],HC[[#This Row],[a (cm)]],HC[[#This Row],[h (cm)]])</f>
        <v>N.S.</v>
      </c>
      <c r="BA14" s="5">
        <f ca="1">SUM(HC[[#This Row],[Aço Est (kg)]],HC[[#This Row],[Aço Bloco (kg)]])</f>
        <v>7.4601044550306632</v>
      </c>
      <c r="BB14" s="4">
        <f>INDEX(composicoes[],MATCH(95580,composicoes[CÓDIGO],0),MATCH("CUSTO TOTAL",composicoes[#Headers],0))</f>
        <v>10.46</v>
      </c>
      <c r="BC14" s="4">
        <f ca="1">SUM(HC[[#This Row],[Conc Est (m³)]],HC[[#This Row],[Conc Bloco (m³)]])</f>
        <v>11.760355749172543</v>
      </c>
      <c r="BD14" s="4">
        <f>INDEX(composicoes[],MATCH(94966,composicoes[CÓDIGO],0),MATCH("CUSTO TOTAL",composicoes[#Headers],0))</f>
        <v>439.52</v>
      </c>
      <c r="BE14" s="38">
        <f ca="1">HC[[#This Row],[Aço (kg)]]*HC[[#This Row],[Aço (R$/kg)]]+HC[[#This Row],[Conc (m³)]]*HC[[#This Row],[Conc (R$/m³)]]</f>
        <v>5246.9442514759367</v>
      </c>
      <c r="BF14" s="4" t="str">
        <f ca="1">IF(COUNTIF(HC[#This Row],"N.S.")&gt;0,"lim.","OK")</f>
        <v>lim.</v>
      </c>
      <c r="BG14" s="4" t="str">
        <f>IF(HC[[#This Row],[Prof. (m)]]&lt;4,"lim.","OK")</f>
        <v>OK</v>
      </c>
      <c r="BH14" s="4" t="str">
        <f>IF(HC[[#This Row],[Prof. (m)]]&gt;=8*HC[[#This Row],[Ø (cm)]]/100,"OK","lim.")</f>
        <v>OK</v>
      </c>
      <c r="BI14" s="4" t="str">
        <f ca="1">IF(HC[[#This Row],[Verif. Biela]]="OK","OK","lim.")</f>
        <v>OK</v>
      </c>
      <c r="BJ14" s="4" t="str">
        <f ca="1">IF(COUNTA(HC[[#This Row],[Nº Est.]:[Biela comp.]])=COUNTIF(HC[[#This Row],[Nº Est.]:[Biela comp.]],"OK"),"OK","lim.")</f>
        <v>lim.</v>
      </c>
      <c r="BK14" s="4" t="str">
        <f ca="1">IF(HC[[#This Row],[Controle]]="OK",HC[[#This Row],[nE]]&amp;" Ø"&amp;HC[[#This Row],[Ø (cm)]]&amp;"cm Prof. "&amp;HC[[#This Row],[Prof. (m)]]&amp;" m","")</f>
        <v/>
      </c>
      <c r="BL14" s="4" t="str">
        <f ca="1">IF(HC[[#This Row],[idDimensionamento]]="","",HC[[#This Row],[idPilar]]&amp;HC[[#This Row],[idDimensionamento]])</f>
        <v/>
      </c>
    </row>
    <row r="15" spans="2:64" x14ac:dyDescent="0.25">
      <c r="B15" s="12">
        <f>ROUNDUP((ROW(HC[[#This Row],[idDiâmetro]])-ROW(HC[[#Headers],[idDiâmetro]]))/(COUNT(SPT[Prof. (m)])*COUNT(PILARES[Pilar])),0)</f>
        <v>1</v>
      </c>
      <c r="C15" s="12">
        <f>IF(HC[[#This Row],[idDiâmetro]]&lt;&gt;B14,1,IF(HC[[#This Row],[Prof. (m)]]=0,C14+1,C14))</f>
        <v>1</v>
      </c>
      <c r="D15" s="1">
        <f>IFERROR(IF(D14=MAX(SPT[Prof. (m)]),0,D14+1),0)</f>
        <v>10</v>
      </c>
      <c r="E15" s="1">
        <f>INDEX(SPT[],MATCH(HC[[#This Row],[Prof. (m)]],SPT[Prof. (m)],0),2)</f>
        <v>32</v>
      </c>
      <c r="F15" s="1" t="str">
        <f>INDEX(SPT[],MATCH(HC[[#This Row],[Prof. (m)]],SPT[Prof. (m)],0),3)</f>
        <v>Areia siltosa</v>
      </c>
      <c r="G15" s="1">
        <f>INDEX(estacas[],HC[[#This Row],[idDiâmetro]],MATCH($B$2,estacas[#Headers],0))</f>
        <v>27.5</v>
      </c>
      <c r="H15" s="1">
        <f>INDEX(estacas[],MATCH(HC[[#This Row],[Ø (cm)]],estacas[Ø HC (cm)],0),MATCH(HC[[#Headers],[Pe HC (kN)]],estacas[#Headers],0))</f>
        <v>350</v>
      </c>
      <c r="I15" s="4">
        <f>INDEX(K_alpha_C[],MATCH(HC[[#This Row],[Solo]],K_alpha_C[Solo],0),2)</f>
        <v>0.8</v>
      </c>
      <c r="J15" s="5">
        <f>INDEX(K_alpha_C[],MATCH(HC[[#This Row],[Solo]],K_alpha_C[Solo],0),3)</f>
        <v>2</v>
      </c>
      <c r="K15" s="4">
        <f>INDEX(F1_F2[],MATCH($D$2,F1_F2[Tipo de estaca],0),2)</f>
        <v>2</v>
      </c>
      <c r="L15" s="4">
        <f>INDEX(F1_F2[],MATCH($D$2,F1_F2[Tipo de estaca],0),3)</f>
        <v>4</v>
      </c>
      <c r="M15" s="4">
        <f>PI()*(HC[[#This Row],[Ø (cm)]]/100)^2/4</f>
        <v>5.9395736106932037E-2</v>
      </c>
      <c r="N15" s="4">
        <f>PI()*HC[[#This Row],[Ø (cm)]]/100</f>
        <v>0.86393797973719311</v>
      </c>
      <c r="O15" s="4">
        <f>IF(HC[[#This Row],[Prof. (m)]]=0,0,HC[[#This Row],[α (%)]]/100*HC[[#This Row],[K (MPa)]]*1000*HC[[#This Row],[NSPT]])</f>
        <v>512</v>
      </c>
      <c r="P15" s="4">
        <f>IF(HC[[#This Row],[Prof. (m)]]=0,0,(HC[[#This Row],[K (MPa)]]*1000*HC[[#This Row],[NSPT]]/HC[[#This Row],[F1]]*HC[[#This Row],[Ap (m²)]]+HC[[#This Row],[U (m)]]/HC[[#This Row],[F2]]*SUMIFS(HC[(α∙K∙NL∙ΔL)],HC[Prof. (m)],"&lt;="&amp;HC[[#This Row],[Prof. (m)]],HC[idDiâmetro],HC[[#This Row],[idDiâmetro]],HC[idPilar],HC[[#This Row],[idPilar]]))/'DADOS CAP. CARGA'!$D$2)</f>
        <v>588.33096497628185</v>
      </c>
      <c r="Q15" s="12">
        <f>INDEX(C_alpha_beta[],MATCH(HC[[#This Row],[Solo]],C_alpha_beta[Solo],0),MATCH(HC[[#Headers],[C (kPa)]],C_alpha_beta[#Headers],0))</f>
        <v>400</v>
      </c>
      <c r="R15" s="4">
        <f>INDEX(C_alpha_beta[],MATCH(HC[[#This Row],[Solo]],C_alpha_beta[Solo],0),MATCH(HC[[#Headers],[α ESF]],C_alpha_beta[#Headers],0))</f>
        <v>0.5</v>
      </c>
      <c r="S15" s="4">
        <f>INDEX(C_alpha_beta[],MATCH(HC[[#This Row],[Solo]],C_alpha_beta[Solo],0),MATCH(HC[[#Headers],[β ESF]],C_alpha_beta[#Headers],0))</f>
        <v>0.5</v>
      </c>
      <c r="T15" s="4">
        <f>IF(HC[[#This Row],[Prof. (m)]]=0,0,10*(HC[[#This Row],[NSPT]]/3+1))</f>
        <v>116.66666666666666</v>
      </c>
      <c r="U15" s="4">
        <f>(HC[[#This Row],[α ESF]]*HC[[#This Row],[C (kPa)]]*HC[[#This Row],[NSPT]]*HC[[#This Row],[Ap (m²)]])/'DADOS CAP. CARGA'!$Q$2+(HC[[#This Row],[β ESF]]*SUMIFS(HC[10∙(NL/3+1)],HC[Prof. (m)],"&lt;="&amp;HC[[#This Row],[Prof. (m)]],HC[idDiâmetro],HC[[#This Row],[idDiâmetro]],HC[idPilar],HC[[#This Row],[idPilar]])*HC[[#This Row],[U (m)]])/'DADOS CAP. CARGA'!$S$2</f>
        <v>210.22490840271701</v>
      </c>
      <c r="V15" s="4">
        <f>IF(SPT!$M$5=1,MIN(HC[[#This Row],[Pe HC (kN)]],HC[[#This Row],[R_AV (kN)]]),IF(SPT!$M$5=2,MIN(HC[[#This Row],[Pe HC (kN)]],HC[[#This Row],[R_DC (kN)]]),MIN(HC[[#This Row],[Pe HC (kN)]],HC[[#This Row],[R_AV (kN)]],HC[[#This Row],[R_DC (kN)]])))</f>
        <v>210.22490840271701</v>
      </c>
      <c r="W15" s="4">
        <f>INDEX(PILARES[],HC[[#This Row],[idPilar]],MATCH("Carga (kN)",PILARES[#Headers],0))*1.4</f>
        <v>3500</v>
      </c>
      <c r="X15" s="12">
        <f>INDEX(PILARES[],HC[[#This Row],[idPilar]],MATCH(HC[[#Headers],[ap (cm)]],PILARES[#Headers],0))</f>
        <v>60</v>
      </c>
      <c r="Y15" s="12">
        <f>INDEX(PILARES[],HC[[#This Row],[idPilar]],MATCH(HC[[#Headers],[bp (cm)]],PILARES[#Headers],0))</f>
        <v>60</v>
      </c>
      <c r="Z15" s="4">
        <f>SQRT(HC[[#This Row],[ap (cm)]]*HC[[#This Row],[bp (cm)]])</f>
        <v>60</v>
      </c>
      <c r="AA15" s="12">
        <f>HC[[#This Row],[ap (cm)]]*HC[[#This Row],[bp (cm)]]</f>
        <v>3600</v>
      </c>
      <c r="AB15" s="12">
        <f ca="1">IF(HC[[#This Row],[Padm∙ε (kN)]]&gt;=HC[[#This Row],[Padm (kN)]],ROUNDUP(1.05*HC[[#This Row],[Nsd (kN)]]/HC[[#This Row],[Padm (kN)]],0),ROUNDUP(1.05*HC[[#This Row],[Nsd (kN)]]/HC[[#This Row],[Padm (kN)]],0)+1)</f>
        <v>18</v>
      </c>
      <c r="AC15" s="4" t="str">
        <f ca="1">IFERROR(IF(HC[[#This Row],[nE]]=1,HC[[#This Row],[Padm (kN)]],HC[[#This Row],[Padm (kN)]]*HC[[#This Row],[nE]]*INDEX(grupoEstacas[],HC[[#This Row],[nE]],MATCH("ε",grupoEstacas[#Headers],0))),"N.S.")</f>
        <v>N.S.</v>
      </c>
      <c r="AD15" s="4">
        <f ca="1">1.05*HC[[#This Row],[Nsd (kN)]]/(HC[[#This Row],[nE]]*PI()*HC[[#This Row],[Ø (cm)]]^2/4)*10</f>
        <v>3.4373960160894201</v>
      </c>
      <c r="AE15" s="4">
        <f ca="1">IF(HC[[#This Row],[σ (MPa)]]&lt;INDEX(tipoEstaca[],MATCH($D$2,tipoEstaca[TIPO DE ESTACA],0),MATCH("σmáx (MPa)",tipoEstaca[#Headers],0)),0.4%*PI()*HC[[#This Row],[Ø (cm)]]^2/4,"N.S.")</f>
        <v>2.3758294442772812</v>
      </c>
      <c r="AF15" s="1">
        <f>INDEX(tipoEstaca[],MATCH($D$2,tipoEstaca[TIPO DE ESTACA],0),MATCH(HC[[#Headers],[Comprimento (m)]],tipoEstaca[#Headers],0))</f>
        <v>4</v>
      </c>
      <c r="AG15" s="5">
        <f ca="1">HC[[#This Row],[As,mín (cm²)]]/100^2*HC[[#This Row],[Comprimento (m)]]*7850</f>
        <v>7.4601044550306632</v>
      </c>
      <c r="AH15" s="4">
        <f ca="1">HC[[#This Row],[nE]]*HC[[#This Row],[Prof. (m)]]*HC[[#This Row],[Ap (m²)]]</f>
        <v>10.691232499247766</v>
      </c>
      <c r="AI15" s="1">
        <f ca="1">IF(HC[[#This Row],[nE]]=1,0,MAX(3*HC[[#This Row],[Ø (cm)]],60))</f>
        <v>82.5</v>
      </c>
      <c r="AJ15" s="1">
        <f ca="1">IF(HC[[#This Row],[nE]]=1,HC[[#This Row],[Ø (cm)]]+2*10,MAX(1.5*HC[[#This Row],[Ø (cm)]],HC[[#This Row],[Ø (cm)]]+15))</f>
        <v>42.5</v>
      </c>
      <c r="AK15" s="1" t="str">
        <f ca="1">alturaUtil(HC[[#This Row],[nE]],HC[[#This Row],[Ø (cm)]],HC[[#This Row],[e (cm)]],HC[[#This Row],[ap,eq (cm)]])</f>
        <v>N.S.</v>
      </c>
      <c r="AL15" s="1" t="str">
        <f ca="1">IFERROR(HC[[#This Row],[d (cm)]]+arredondarParaCimaMultiplo5cm(MAX(5,SQRT(PI())/2*HC[[#This Row],[Ø (cm)]]/5)),"N.S.")</f>
        <v>N.S.</v>
      </c>
      <c r="AM15" s="5" t="str">
        <f ca="1">alpha(HC[[#This Row],[nE]],HC[[#This Row],[d (cm)]],HC[[#This Row],[e (cm)]],HC[[#This Row],[ap,eq (cm)]])</f>
        <v>N.S.</v>
      </c>
      <c r="AN15" s="35" t="str">
        <f ca="1">IFERROR(HC[[#This Row],[Nsd (kN)]]/(HC[[#This Row],[Ap (cm²)]]*SIN(HC[[#This Row],[α]])^2),"N.S.")</f>
        <v>N.S.</v>
      </c>
      <c r="AO15" s="35" t="str">
        <f ca="1">IFERROR(HC[[#This Row],[Nsd (kN)]]/(HC[[#This Row],[nE]]*PI()*HC[[#This Row],[Ø (cm)]]^2/4*SIN(HC[[#This Row],[α]])^2),"N.S.")</f>
        <v>N.S.</v>
      </c>
      <c r="AP15" s="4" t="str">
        <f ca="1">IFERROR(INDEX(grupoEstacas[],HC[[#This Row],[nE]],MATCH("coef. Blévot",grupoEstacas[#Headers],0)),"N.S.")</f>
        <v>N.S.</v>
      </c>
      <c r="AQ15" s="35" t="str">
        <f ca="1">IFERROR(HC[[#This Row],[coef. Blévot]]*0.9*INDEX(tipoEstaca[],MATCH($D$2,tipoEstaca[TIPO DE ESTACA],0),MATCH("fcd (kN/cm²)",tipoEstaca[#Headers],0)),"N.S.")</f>
        <v>N.S.</v>
      </c>
      <c r="AR15" s="1" t="str">
        <f ca="1">IF(AND(HC[[#This Row],[cd,b,pil (kN/cm²)]]&lt;=HC[[#This Row],[cd,b,lim (kN/cm²)]],HC[[#This Row],[cd,b,est (kN/cm²)]]&lt;=HC[[#This Row],[cd,b,lim (kN/cm²)]]),"OK","ERRO")</f>
        <v>OK</v>
      </c>
      <c r="AS15" s="4" t="str">
        <f ca="1">As_lado(HC[[#This Row],[nE]],HC[[#This Row],[Nsd (kN)]],HC[[#This Row],[d (cm)]],HC[[#This Row],[e (cm)]],HC[[#This Row],[ap,eq (cm)]])</f>
        <v>N.S.</v>
      </c>
      <c r="AT15" s="4" t="str">
        <f ca="1">IF(HC[[#This Row],[nE]]=1,HC[[#This Row],[As,lado (cm²)]],IF(HC[[#This Row],[nE]]=2,0.075*2*HC[a (cm)],"N.A."))</f>
        <v>N.A.</v>
      </c>
      <c r="AU15" s="4" t="str">
        <f ca="1">IFERROR(IF(HC[[#This Row],[nE]]=1,"N.A.",0.2*HC[[#This Row],[As,lado (cm²)]]),"N.S.")</f>
        <v>N.S.</v>
      </c>
      <c r="AV15" s="4" t="str">
        <f ca="1">As_malha(HC[[#This Row],[nE]],HC[[#This Row],[As,lado (cm²)]],HC[[#This Row],[Nsd (kN)]])</f>
        <v>N.S.</v>
      </c>
      <c r="AW15" s="4" t="str">
        <f ca="1">As_susp_tot(HC[[#This Row],[nE]],HC[[#This Row],[Nsd (kN)]])</f>
        <v>N.S.</v>
      </c>
      <c r="AX15" s="4" t="str">
        <f ca="1">Asp_face(HC[[#This Row],[nE]],HC[[#This Row],[As,lado (cm²)]])</f>
        <v>N.S.</v>
      </c>
      <c r="AY15" s="5" t="str">
        <f ca="1">acoBloco(HC[[#This Row],[nE]],HC[[#This Row],[e (cm)]],HC[[#This Row],[a (cm)]],HC[[#This Row],[h (cm)]],HC[[#This Row],[As,lado (cm²)]],HC[[#This Row],[Asp e Asw (cm²/m)]],HC[[#This Row],[As,sup (cm²)]],HC[[#This Row],[As,malha (cm²)]],HC[[#This Row],[As,susp,tot (cm²)]],HC[[#This Row],[Asp,face (cm²)]])</f>
        <v>N.S.</v>
      </c>
      <c r="AZ15" s="4" t="str">
        <f ca="1">concretoBloco(HC[[#This Row],[nE]],HC[[#This Row],[e (cm)]],HC[[#This Row],[a (cm)]],HC[[#This Row],[h (cm)]])</f>
        <v>N.S.</v>
      </c>
      <c r="BA15" s="5">
        <f ca="1">SUM(HC[[#This Row],[Aço Est (kg)]],HC[[#This Row],[Aço Bloco (kg)]])</f>
        <v>7.4601044550306632</v>
      </c>
      <c r="BB15" s="4">
        <f>INDEX(composicoes[],MATCH(95580,composicoes[CÓDIGO],0),MATCH("CUSTO TOTAL",composicoes[#Headers],0))</f>
        <v>10.46</v>
      </c>
      <c r="BC15" s="4">
        <f ca="1">SUM(HC[[#This Row],[Conc Est (m³)]],HC[[#This Row],[Conc Bloco (m³)]])</f>
        <v>10.691232499247766</v>
      </c>
      <c r="BD15" s="4">
        <f>INDEX(composicoes[],MATCH(94966,composicoes[CÓDIGO],0),MATCH("CUSTO TOTAL",composicoes[#Headers],0))</f>
        <v>439.52</v>
      </c>
      <c r="BE15" s="38">
        <f ca="1">HC[[#This Row],[Aço (kg)]]*HC[[#This Row],[Aço (R$/kg)]]+HC[[#This Row],[Conc (m³)]]*HC[[#This Row],[Conc (R$/m³)]]</f>
        <v>4777.0432006689989</v>
      </c>
      <c r="BF15" s="4" t="str">
        <f ca="1">IF(COUNTIF(HC[#This Row],"N.S.")&gt;0,"lim.","OK")</f>
        <v>lim.</v>
      </c>
      <c r="BG15" s="4" t="str">
        <f>IF(HC[[#This Row],[Prof. (m)]]&lt;4,"lim.","OK")</f>
        <v>OK</v>
      </c>
      <c r="BH15" s="4" t="str">
        <f>IF(HC[[#This Row],[Prof. (m)]]&gt;=8*HC[[#This Row],[Ø (cm)]]/100,"OK","lim.")</f>
        <v>OK</v>
      </c>
      <c r="BI15" s="4" t="str">
        <f ca="1">IF(HC[[#This Row],[Verif. Biela]]="OK","OK","lim.")</f>
        <v>OK</v>
      </c>
      <c r="BJ15" s="4" t="str">
        <f ca="1">IF(COUNTA(HC[[#This Row],[Nº Est.]:[Biela comp.]])=COUNTIF(HC[[#This Row],[Nº Est.]:[Biela comp.]],"OK"),"OK","lim.")</f>
        <v>lim.</v>
      </c>
      <c r="BK15" s="4" t="str">
        <f ca="1">IF(HC[[#This Row],[Controle]]="OK",HC[[#This Row],[nE]]&amp;" Ø"&amp;HC[[#This Row],[Ø (cm)]]&amp;"cm Prof. "&amp;HC[[#This Row],[Prof. (m)]]&amp;" m","")</f>
        <v/>
      </c>
      <c r="BL15" s="4" t="str">
        <f ca="1">IF(HC[[#This Row],[idDimensionamento]]="","",HC[[#This Row],[idPilar]]&amp;HC[[#This Row],[idDimensionamento]])</f>
        <v/>
      </c>
    </row>
    <row r="16" spans="2:64" x14ac:dyDescent="0.25">
      <c r="B16" s="12">
        <f>ROUNDUP((ROW(HC[[#This Row],[idDiâmetro]])-ROW(HC[[#Headers],[idDiâmetro]]))/(COUNT(SPT[Prof. (m)])*COUNT(PILARES[Pilar])),0)</f>
        <v>1</v>
      </c>
      <c r="C16" s="12">
        <f>IF(HC[[#This Row],[idDiâmetro]]&lt;&gt;B15,1,IF(HC[[#This Row],[Prof. (m)]]=0,C15+1,C15))</f>
        <v>1</v>
      </c>
      <c r="D16" s="1">
        <f>IFERROR(IF(D15=MAX(SPT[Prof. (m)]),0,D15+1),0)</f>
        <v>11</v>
      </c>
      <c r="E16" s="1">
        <f>INDEX(SPT[],MATCH(HC[[#This Row],[Prof. (m)]],SPT[Prof. (m)],0),2)</f>
        <v>41</v>
      </c>
      <c r="F16" s="1" t="str">
        <f>INDEX(SPT[],MATCH(HC[[#This Row],[Prof. (m)]],SPT[Prof. (m)],0),3)</f>
        <v>Areia siltosa</v>
      </c>
      <c r="G16" s="1">
        <f>INDEX(estacas[],HC[[#This Row],[idDiâmetro]],MATCH($B$2,estacas[#Headers],0))</f>
        <v>27.5</v>
      </c>
      <c r="H16" s="1">
        <f>INDEX(estacas[],MATCH(HC[[#This Row],[Ø (cm)]],estacas[Ø HC (cm)],0),MATCH(HC[[#Headers],[Pe HC (kN)]],estacas[#Headers],0))</f>
        <v>350</v>
      </c>
      <c r="I16" s="4">
        <f>INDEX(K_alpha_C[],MATCH(HC[[#This Row],[Solo]],K_alpha_C[Solo],0),2)</f>
        <v>0.8</v>
      </c>
      <c r="J16" s="5">
        <f>INDEX(K_alpha_C[],MATCH(HC[[#This Row],[Solo]],K_alpha_C[Solo],0),3)</f>
        <v>2</v>
      </c>
      <c r="K16" s="4">
        <f>INDEX(F1_F2[],MATCH($D$2,F1_F2[Tipo de estaca],0),2)</f>
        <v>2</v>
      </c>
      <c r="L16" s="4">
        <f>INDEX(F1_F2[],MATCH($D$2,F1_F2[Tipo de estaca],0),3)</f>
        <v>4</v>
      </c>
      <c r="M16" s="4">
        <f>PI()*(HC[[#This Row],[Ø (cm)]]/100)^2/4</f>
        <v>5.9395736106932037E-2</v>
      </c>
      <c r="N16" s="4">
        <f>PI()*HC[[#This Row],[Ø (cm)]]/100</f>
        <v>0.86393797973719311</v>
      </c>
      <c r="O16" s="4">
        <f>IF(HC[[#This Row],[Prof. (m)]]=0,0,HC[[#This Row],[α (%)]]/100*HC[[#This Row],[K (MPa)]]*1000*HC[[#This Row],[NSPT]])</f>
        <v>656</v>
      </c>
      <c r="P16" s="4">
        <f>IF(HC[[#This Row],[Prof. (m)]]=0,0,(HC[[#This Row],[K (MPa)]]*1000*HC[[#This Row],[NSPT]]/HC[[#This Row],[F1]]*HC[[#This Row],[Ap (m²)]]+HC[[#This Row],[U (m)]]/HC[[#This Row],[F2]]*SUMIFS(HC[(α∙K∙NL∙ΔL)],HC[Prof. (m)],"&lt;="&amp;HC[[#This Row],[Prof. (m)]],HC[idDiâmetro],HC[[#This Row],[idDiâmetro]],HC[idPilar],HC[[#This Row],[idPilar]]))/'DADOS CAP. CARGA'!$D$2)</f>
        <v>766.0862043072093</v>
      </c>
      <c r="Q16" s="12">
        <f>INDEX(C_alpha_beta[],MATCH(HC[[#This Row],[Solo]],C_alpha_beta[Solo],0),MATCH(HC[[#Headers],[C (kPa)]],C_alpha_beta[#Headers],0))</f>
        <v>400</v>
      </c>
      <c r="R16" s="4">
        <f>INDEX(C_alpha_beta[],MATCH(HC[[#This Row],[Solo]],C_alpha_beta[Solo],0),MATCH(HC[[#Headers],[α ESF]],C_alpha_beta[#Headers],0))</f>
        <v>0.5</v>
      </c>
      <c r="S16" s="4">
        <f>INDEX(C_alpha_beta[],MATCH(HC[[#This Row],[Solo]],C_alpha_beta[Solo],0),MATCH(HC[[#Headers],[β ESF]],C_alpha_beta[#Headers],0))</f>
        <v>0.5</v>
      </c>
      <c r="T16" s="4">
        <f>IF(HC[[#This Row],[Prof. (m)]]=0,0,10*(HC[[#This Row],[NSPT]]/3+1))</f>
        <v>146.66666666666666</v>
      </c>
      <c r="U16" s="4">
        <f>(HC[[#This Row],[α ESF]]*HC[[#This Row],[C (kPa)]]*HC[[#This Row],[NSPT]]*HC[[#This Row],[Ap (m²)]])/'DADOS CAP. CARGA'!$Q$2+(HC[[#This Row],[β ESF]]*SUMIFS(HC[10∙(NL/3+1)],HC[Prof. (m)],"&lt;="&amp;HC[[#This Row],[Prof. (m)]],HC[idDiâmetro],HC[[#This Row],[idDiâmetro]],HC[idPilar],HC[[#This Row],[idPilar]])*HC[[#This Row],[U (m)]])/'DADOS CAP. CARGA'!$S$2</f>
        <v>268.6307155745335</v>
      </c>
      <c r="V16" s="4">
        <f>IF(SPT!$M$5=1,MIN(HC[[#This Row],[Pe HC (kN)]],HC[[#This Row],[R_AV (kN)]]),IF(SPT!$M$5=2,MIN(HC[[#This Row],[Pe HC (kN)]],HC[[#This Row],[R_DC (kN)]]),MIN(HC[[#This Row],[Pe HC (kN)]],HC[[#This Row],[R_AV (kN)]],HC[[#This Row],[R_DC (kN)]])))</f>
        <v>268.6307155745335</v>
      </c>
      <c r="W16" s="4">
        <f>INDEX(PILARES[],HC[[#This Row],[idPilar]],MATCH("Carga (kN)",PILARES[#Headers],0))*1.4</f>
        <v>3500</v>
      </c>
      <c r="X16" s="12">
        <f>INDEX(PILARES[],HC[[#This Row],[idPilar]],MATCH(HC[[#Headers],[ap (cm)]],PILARES[#Headers],0))</f>
        <v>60</v>
      </c>
      <c r="Y16" s="12">
        <f>INDEX(PILARES[],HC[[#This Row],[idPilar]],MATCH(HC[[#Headers],[bp (cm)]],PILARES[#Headers],0))</f>
        <v>60</v>
      </c>
      <c r="Z16" s="4">
        <f>SQRT(HC[[#This Row],[ap (cm)]]*HC[[#This Row],[bp (cm)]])</f>
        <v>60</v>
      </c>
      <c r="AA16" s="12">
        <f>HC[[#This Row],[ap (cm)]]*HC[[#This Row],[bp (cm)]]</f>
        <v>3600</v>
      </c>
      <c r="AB16" s="12">
        <f ca="1">IF(HC[[#This Row],[Padm∙ε (kN)]]&gt;=HC[[#This Row],[Padm (kN)]],ROUNDUP(1.05*HC[[#This Row],[Nsd (kN)]]/HC[[#This Row],[Padm (kN)]],0),ROUNDUP(1.05*HC[[#This Row],[Nsd (kN)]]/HC[[#This Row],[Padm (kN)]],0)+1)</f>
        <v>14</v>
      </c>
      <c r="AC16" s="4" t="str">
        <f ca="1">IFERROR(IF(HC[[#This Row],[nE]]=1,HC[[#This Row],[Padm (kN)]],HC[[#This Row],[Padm (kN)]]*HC[[#This Row],[nE]]*INDEX(grupoEstacas[],HC[[#This Row],[nE]],MATCH("ε",grupoEstacas[#Headers],0))),"N.S.")</f>
        <v>N.S.</v>
      </c>
      <c r="AD16" s="4">
        <f ca="1">1.05*HC[[#This Row],[Nsd (kN)]]/(HC[[#This Row],[nE]]*PI()*HC[[#This Row],[Ø (cm)]]^2/4)*10</f>
        <v>4.4195091635435402</v>
      </c>
      <c r="AE16" s="4">
        <f ca="1">IF(HC[[#This Row],[σ (MPa)]]&lt;INDEX(tipoEstaca[],MATCH($D$2,tipoEstaca[TIPO DE ESTACA],0),MATCH("σmáx (MPa)",tipoEstaca[#Headers],0)),0.4%*PI()*HC[[#This Row],[Ø (cm)]]^2/4,"N.S.")</f>
        <v>2.3758294442772812</v>
      </c>
      <c r="AF16" s="1">
        <f>INDEX(tipoEstaca[],MATCH($D$2,tipoEstaca[TIPO DE ESTACA],0),MATCH(HC[[#Headers],[Comprimento (m)]],tipoEstaca[#Headers],0))</f>
        <v>4</v>
      </c>
      <c r="AG16" s="5">
        <f ca="1">HC[[#This Row],[As,mín (cm²)]]/100^2*HC[[#This Row],[Comprimento (m)]]*7850</f>
        <v>7.4601044550306632</v>
      </c>
      <c r="AH16" s="4">
        <f ca="1">HC[[#This Row],[nE]]*HC[[#This Row],[Prof. (m)]]*HC[[#This Row],[Ap (m²)]]</f>
        <v>9.1469433604675334</v>
      </c>
      <c r="AI16" s="1">
        <f ca="1">IF(HC[[#This Row],[nE]]=1,0,MAX(3*HC[[#This Row],[Ø (cm)]],60))</f>
        <v>82.5</v>
      </c>
      <c r="AJ16" s="1">
        <f ca="1">IF(HC[[#This Row],[nE]]=1,HC[[#This Row],[Ø (cm)]]+2*10,MAX(1.5*HC[[#This Row],[Ø (cm)]],HC[[#This Row],[Ø (cm)]]+15))</f>
        <v>42.5</v>
      </c>
      <c r="AK16" s="1" t="str">
        <f ca="1">alturaUtil(HC[[#This Row],[nE]],HC[[#This Row],[Ø (cm)]],HC[[#This Row],[e (cm)]],HC[[#This Row],[ap,eq (cm)]])</f>
        <v>N.S.</v>
      </c>
      <c r="AL16" s="1" t="str">
        <f ca="1">IFERROR(HC[[#This Row],[d (cm)]]+arredondarParaCimaMultiplo5cm(MAX(5,SQRT(PI())/2*HC[[#This Row],[Ø (cm)]]/5)),"N.S.")</f>
        <v>N.S.</v>
      </c>
      <c r="AM16" s="5" t="str">
        <f ca="1">alpha(HC[[#This Row],[nE]],HC[[#This Row],[d (cm)]],HC[[#This Row],[e (cm)]],HC[[#This Row],[ap,eq (cm)]])</f>
        <v>N.S.</v>
      </c>
      <c r="AN16" s="35" t="str">
        <f ca="1">IFERROR(HC[[#This Row],[Nsd (kN)]]/(HC[[#This Row],[Ap (cm²)]]*SIN(HC[[#This Row],[α]])^2),"N.S.")</f>
        <v>N.S.</v>
      </c>
      <c r="AO16" s="35" t="str">
        <f ca="1">IFERROR(HC[[#This Row],[Nsd (kN)]]/(HC[[#This Row],[nE]]*PI()*HC[[#This Row],[Ø (cm)]]^2/4*SIN(HC[[#This Row],[α]])^2),"N.S.")</f>
        <v>N.S.</v>
      </c>
      <c r="AP16" s="4" t="str">
        <f ca="1">IFERROR(INDEX(grupoEstacas[],HC[[#This Row],[nE]],MATCH("coef. Blévot",grupoEstacas[#Headers],0)),"N.S.")</f>
        <v>N.S.</v>
      </c>
      <c r="AQ16" s="35" t="str">
        <f ca="1">IFERROR(HC[[#This Row],[coef. Blévot]]*0.9*INDEX(tipoEstaca[],MATCH($D$2,tipoEstaca[TIPO DE ESTACA],0),MATCH("fcd (kN/cm²)",tipoEstaca[#Headers],0)),"N.S.")</f>
        <v>N.S.</v>
      </c>
      <c r="AR16" s="1" t="str">
        <f ca="1">IF(AND(HC[[#This Row],[cd,b,pil (kN/cm²)]]&lt;=HC[[#This Row],[cd,b,lim (kN/cm²)]],HC[[#This Row],[cd,b,est (kN/cm²)]]&lt;=HC[[#This Row],[cd,b,lim (kN/cm²)]]),"OK","ERRO")</f>
        <v>OK</v>
      </c>
      <c r="AS16" s="4" t="str">
        <f ca="1">As_lado(HC[[#This Row],[nE]],HC[[#This Row],[Nsd (kN)]],HC[[#This Row],[d (cm)]],HC[[#This Row],[e (cm)]],HC[[#This Row],[ap,eq (cm)]])</f>
        <v>N.S.</v>
      </c>
      <c r="AT16" s="4" t="str">
        <f ca="1">IF(HC[[#This Row],[nE]]=1,HC[[#This Row],[As,lado (cm²)]],IF(HC[[#This Row],[nE]]=2,0.075*2*HC[a (cm)],"N.A."))</f>
        <v>N.A.</v>
      </c>
      <c r="AU16" s="4" t="str">
        <f ca="1">IFERROR(IF(HC[[#This Row],[nE]]=1,"N.A.",0.2*HC[[#This Row],[As,lado (cm²)]]),"N.S.")</f>
        <v>N.S.</v>
      </c>
      <c r="AV16" s="4" t="str">
        <f ca="1">As_malha(HC[[#This Row],[nE]],HC[[#This Row],[As,lado (cm²)]],HC[[#This Row],[Nsd (kN)]])</f>
        <v>N.S.</v>
      </c>
      <c r="AW16" s="4" t="str">
        <f ca="1">As_susp_tot(HC[[#This Row],[nE]],HC[[#This Row],[Nsd (kN)]])</f>
        <v>N.S.</v>
      </c>
      <c r="AX16" s="4" t="str">
        <f ca="1">Asp_face(HC[[#This Row],[nE]],HC[[#This Row],[As,lado (cm²)]])</f>
        <v>N.S.</v>
      </c>
      <c r="AY16" s="5" t="str">
        <f ca="1">acoBloco(HC[[#This Row],[nE]],HC[[#This Row],[e (cm)]],HC[[#This Row],[a (cm)]],HC[[#This Row],[h (cm)]],HC[[#This Row],[As,lado (cm²)]],HC[[#This Row],[Asp e Asw (cm²/m)]],HC[[#This Row],[As,sup (cm²)]],HC[[#This Row],[As,malha (cm²)]],HC[[#This Row],[As,susp,tot (cm²)]],HC[[#This Row],[Asp,face (cm²)]])</f>
        <v>N.S.</v>
      </c>
      <c r="AZ16" s="4" t="str">
        <f ca="1">concretoBloco(HC[[#This Row],[nE]],HC[[#This Row],[e (cm)]],HC[[#This Row],[a (cm)]],HC[[#This Row],[h (cm)]])</f>
        <v>N.S.</v>
      </c>
      <c r="BA16" s="5">
        <f ca="1">SUM(HC[[#This Row],[Aço Est (kg)]],HC[[#This Row],[Aço Bloco (kg)]])</f>
        <v>7.4601044550306632</v>
      </c>
      <c r="BB16" s="4">
        <f>INDEX(composicoes[],MATCH(95580,composicoes[CÓDIGO],0),MATCH("CUSTO TOTAL",composicoes[#Headers],0))</f>
        <v>10.46</v>
      </c>
      <c r="BC16" s="4">
        <f ca="1">SUM(HC[[#This Row],[Conc Est (m³)]],HC[[#This Row],[Conc Bloco (m³)]])</f>
        <v>9.1469433604675334</v>
      </c>
      <c r="BD16" s="4">
        <f>INDEX(composicoes[],MATCH(94966,composicoes[CÓDIGO],0),MATCH("CUSTO TOTAL",composicoes[#Headers],0))</f>
        <v>439.52</v>
      </c>
      <c r="BE16" s="38">
        <f ca="1">HC[[#This Row],[Aço (kg)]]*HC[[#This Row],[Aço (R$/kg)]]+HC[[#This Row],[Conc (m³)]]*HC[[#This Row],[Conc (R$/m³)]]</f>
        <v>4098.2972383923106</v>
      </c>
      <c r="BF16" s="4" t="str">
        <f ca="1">IF(COUNTIF(HC[#This Row],"N.S.")&gt;0,"lim.","OK")</f>
        <v>lim.</v>
      </c>
      <c r="BG16" s="4" t="str">
        <f>IF(HC[[#This Row],[Prof. (m)]]&lt;4,"lim.","OK")</f>
        <v>OK</v>
      </c>
      <c r="BH16" s="4" t="str">
        <f>IF(HC[[#This Row],[Prof. (m)]]&gt;=8*HC[[#This Row],[Ø (cm)]]/100,"OK","lim.")</f>
        <v>OK</v>
      </c>
      <c r="BI16" s="4" t="str">
        <f ca="1">IF(HC[[#This Row],[Verif. Biela]]="OK","OK","lim.")</f>
        <v>OK</v>
      </c>
      <c r="BJ16" s="4" t="str">
        <f ca="1">IF(COUNTA(HC[[#This Row],[Nº Est.]:[Biela comp.]])=COUNTIF(HC[[#This Row],[Nº Est.]:[Biela comp.]],"OK"),"OK","lim.")</f>
        <v>lim.</v>
      </c>
      <c r="BK16" s="4" t="str">
        <f ca="1">IF(HC[[#This Row],[Controle]]="OK",HC[[#This Row],[nE]]&amp;" Ø"&amp;HC[[#This Row],[Ø (cm)]]&amp;"cm Prof. "&amp;HC[[#This Row],[Prof. (m)]]&amp;" m","")</f>
        <v/>
      </c>
      <c r="BL16" s="4" t="str">
        <f ca="1">IF(HC[[#This Row],[idDimensionamento]]="","",HC[[#This Row],[idPilar]]&amp;HC[[#This Row],[idDimensionamento]])</f>
        <v/>
      </c>
    </row>
    <row r="17" spans="2:64" x14ac:dyDescent="0.25">
      <c r="B17" s="12">
        <f>ROUNDUP((ROW(HC[[#This Row],[idDiâmetro]])-ROW(HC[[#Headers],[idDiâmetro]]))/(COUNT(SPT[Prof. (m)])*COUNT(PILARES[Pilar])),0)</f>
        <v>1</v>
      </c>
      <c r="C17" s="12">
        <f>IF(HC[[#This Row],[idDiâmetro]]&lt;&gt;B16,1,IF(HC[[#This Row],[Prof. (m)]]=0,C16+1,C16))</f>
        <v>1</v>
      </c>
      <c r="D17" s="1">
        <f>IFERROR(IF(D16=MAX(SPT[Prof. (m)]),0,D16+1),0)</f>
        <v>12</v>
      </c>
      <c r="E17" s="1">
        <f>INDEX(SPT[],MATCH(HC[[#This Row],[Prof. (m)]],SPT[Prof. (m)],0),2)</f>
        <v>52</v>
      </c>
      <c r="F17" s="1" t="str">
        <f>INDEX(SPT[],MATCH(HC[[#This Row],[Prof. (m)]],SPT[Prof. (m)],0),3)</f>
        <v>Areia siltosa</v>
      </c>
      <c r="G17" s="1">
        <f>INDEX(estacas[],HC[[#This Row],[idDiâmetro]],MATCH($B$2,estacas[#Headers],0))</f>
        <v>27.5</v>
      </c>
      <c r="H17" s="1">
        <f>INDEX(estacas[],MATCH(HC[[#This Row],[Ø (cm)]],estacas[Ø HC (cm)],0),MATCH(HC[[#Headers],[Pe HC (kN)]],estacas[#Headers],0))</f>
        <v>350</v>
      </c>
      <c r="I17" s="4">
        <f>INDEX(K_alpha_C[],MATCH(HC[[#This Row],[Solo]],K_alpha_C[Solo],0),2)</f>
        <v>0.8</v>
      </c>
      <c r="J17" s="5">
        <f>INDEX(K_alpha_C[],MATCH(HC[[#This Row],[Solo]],K_alpha_C[Solo],0),3)</f>
        <v>2</v>
      </c>
      <c r="K17" s="4">
        <f>INDEX(F1_F2[],MATCH($D$2,F1_F2[Tipo de estaca],0),2)</f>
        <v>2</v>
      </c>
      <c r="L17" s="4">
        <f>INDEX(F1_F2[],MATCH($D$2,F1_F2[Tipo de estaca],0),3)</f>
        <v>4</v>
      </c>
      <c r="M17" s="4">
        <f>PI()*(HC[[#This Row],[Ø (cm)]]/100)^2/4</f>
        <v>5.9395736106932037E-2</v>
      </c>
      <c r="N17" s="4">
        <f>PI()*HC[[#This Row],[Ø (cm)]]/100</f>
        <v>0.86393797973719311</v>
      </c>
      <c r="O17" s="4">
        <f>IF(HC[[#This Row],[Prof. (m)]]=0,0,HC[[#This Row],[α (%)]]/100*HC[[#This Row],[K (MPa)]]*1000*HC[[#This Row],[NSPT]])</f>
        <v>832</v>
      </c>
      <c r="P17" s="4">
        <f>IF(HC[[#This Row],[Prof. (m)]]=0,0,(HC[[#This Row],[K (MPa)]]*1000*HC[[#This Row],[NSPT]]/HC[[#This Row],[F1]]*HC[[#This Row],[Ap (m²)]]+HC[[#This Row],[U (m)]]/HC[[#This Row],[F2]]*SUMIFS(HC[(α∙K∙NL∙ΔL)],HC[Prof. (m)],"&lt;="&amp;HC[[#This Row],[Prof. (m)]],HC[idDiâmetro],HC[[#This Row],[idDiâmetro]],HC[idPilar],HC[[#This Row],[idPilar]]))/'DADOS CAP. CARGA'!$D$2)</f>
        <v>986.60637363512797</v>
      </c>
      <c r="Q17" s="12">
        <f>INDEX(C_alpha_beta[],MATCH(HC[[#This Row],[Solo]],C_alpha_beta[Solo],0),MATCH(HC[[#Headers],[C (kPa)]],C_alpha_beta[#Headers],0))</f>
        <v>400</v>
      </c>
      <c r="R17" s="4">
        <f>INDEX(C_alpha_beta[],MATCH(HC[[#This Row],[Solo]],C_alpha_beta[Solo],0),MATCH(HC[[#Headers],[α ESF]],C_alpha_beta[#Headers],0))</f>
        <v>0.5</v>
      </c>
      <c r="S17" s="4">
        <f>INDEX(C_alpha_beta[],MATCH(HC[[#This Row],[Solo]],C_alpha_beta[Solo],0),MATCH(HC[[#Headers],[β ESF]],C_alpha_beta[#Headers],0))</f>
        <v>0.5</v>
      </c>
      <c r="T17" s="4">
        <f>IF(HC[[#This Row],[Prof. (m)]]=0,0,10*(HC[[#This Row],[NSPT]]/3+1))</f>
        <v>183.33333333333331</v>
      </c>
      <c r="U17" s="4">
        <f>(HC[[#This Row],[α ESF]]*HC[[#This Row],[C (kPa)]]*HC[[#This Row],[NSPT]]*HC[[#This Row],[Ap (m²)]])/'DADOS CAP. CARGA'!$Q$2+(HC[[#This Row],[β ESF]]*SUMIFS(HC[10∙(NL/3+1)],HC[Prof. (m)],"&lt;="&amp;HC[[#This Row],[Prof. (m)]],HC[idDiâmetro],HC[[#This Row],[idDiâmetro]],HC[idPilar],HC[[#This Row],[idPilar]])*HC[[#This Row],[U (m)]])/'DADOS CAP. CARGA'!$S$2</f>
        <v>340.89552783796751</v>
      </c>
      <c r="V17" s="4">
        <f>IF(SPT!$M$5=1,MIN(HC[[#This Row],[Pe HC (kN)]],HC[[#This Row],[R_AV (kN)]]),IF(SPT!$M$5=2,MIN(HC[[#This Row],[Pe HC (kN)]],HC[[#This Row],[R_DC (kN)]]),MIN(HC[[#This Row],[Pe HC (kN)]],HC[[#This Row],[R_AV (kN)]],HC[[#This Row],[R_DC (kN)]])))</f>
        <v>340.89552783796751</v>
      </c>
      <c r="W17" s="4">
        <f>INDEX(PILARES[],HC[[#This Row],[idPilar]],MATCH("Carga (kN)",PILARES[#Headers],0))*1.4</f>
        <v>3500</v>
      </c>
      <c r="X17" s="12">
        <f>INDEX(PILARES[],HC[[#This Row],[idPilar]],MATCH(HC[[#Headers],[ap (cm)]],PILARES[#Headers],0))</f>
        <v>60</v>
      </c>
      <c r="Y17" s="12">
        <f>INDEX(PILARES[],HC[[#This Row],[idPilar]],MATCH(HC[[#Headers],[bp (cm)]],PILARES[#Headers],0))</f>
        <v>60</v>
      </c>
      <c r="Z17" s="4">
        <f>SQRT(HC[[#This Row],[ap (cm)]]*HC[[#This Row],[bp (cm)]])</f>
        <v>60</v>
      </c>
      <c r="AA17" s="12">
        <f>HC[[#This Row],[ap (cm)]]*HC[[#This Row],[bp (cm)]]</f>
        <v>3600</v>
      </c>
      <c r="AB17" s="12">
        <f ca="1">IF(HC[[#This Row],[Padm∙ε (kN)]]&gt;=HC[[#This Row],[Padm (kN)]],ROUNDUP(1.05*HC[[#This Row],[Nsd (kN)]]/HC[[#This Row],[Padm (kN)]],0),ROUNDUP(1.05*HC[[#This Row],[Nsd (kN)]]/HC[[#This Row],[Padm (kN)]],0)+1)</f>
        <v>11</v>
      </c>
      <c r="AC17" s="4" t="str">
        <f ca="1">IFERROR(IF(HC[[#This Row],[nE]]=1,HC[[#This Row],[Padm (kN)]],HC[[#This Row],[Padm (kN)]]*HC[[#This Row],[nE]]*INDEX(grupoEstacas[],HC[[#This Row],[nE]],MATCH("ε",grupoEstacas[#Headers],0))),"N.S.")</f>
        <v>N.S.</v>
      </c>
      <c r="AD17" s="4">
        <f ca="1">1.05*HC[[#This Row],[Nsd (kN)]]/(HC[[#This Row],[nE]]*PI()*HC[[#This Row],[Ø (cm)]]^2/4)*10</f>
        <v>5.6248298445099607</v>
      </c>
      <c r="AE17" s="4">
        <f ca="1">IF(HC[[#This Row],[σ (MPa)]]&lt;INDEX(tipoEstaca[],MATCH($D$2,tipoEstaca[TIPO DE ESTACA],0),MATCH("σmáx (MPa)",tipoEstaca[#Headers],0)),0.4%*PI()*HC[[#This Row],[Ø (cm)]]^2/4,"N.S.")</f>
        <v>2.3758294442772812</v>
      </c>
      <c r="AF17" s="1">
        <f>INDEX(tipoEstaca[],MATCH($D$2,tipoEstaca[TIPO DE ESTACA],0),MATCH(HC[[#Headers],[Comprimento (m)]],tipoEstaca[#Headers],0))</f>
        <v>4</v>
      </c>
      <c r="AG17" s="5">
        <f ca="1">HC[[#This Row],[As,mín (cm²)]]/100^2*HC[[#This Row],[Comprimento (m)]]*7850</f>
        <v>7.4601044550306632</v>
      </c>
      <c r="AH17" s="4">
        <f ca="1">HC[[#This Row],[nE]]*HC[[#This Row],[Prof. (m)]]*HC[[#This Row],[Ap (m²)]]</f>
        <v>7.8402371661150285</v>
      </c>
      <c r="AI17" s="1">
        <f ca="1">IF(HC[[#This Row],[nE]]=1,0,MAX(3*HC[[#This Row],[Ø (cm)]],60))</f>
        <v>82.5</v>
      </c>
      <c r="AJ17" s="1">
        <f ca="1">IF(HC[[#This Row],[nE]]=1,HC[[#This Row],[Ø (cm)]]+2*10,MAX(1.5*HC[[#This Row],[Ø (cm)]],HC[[#This Row],[Ø (cm)]]+15))</f>
        <v>42.5</v>
      </c>
      <c r="AK17" s="1" t="str">
        <f ca="1">alturaUtil(HC[[#This Row],[nE]],HC[[#This Row],[Ø (cm)]],HC[[#This Row],[e (cm)]],HC[[#This Row],[ap,eq (cm)]])</f>
        <v>N.S.</v>
      </c>
      <c r="AL17" s="1" t="str">
        <f ca="1">IFERROR(HC[[#This Row],[d (cm)]]+arredondarParaCimaMultiplo5cm(MAX(5,SQRT(PI())/2*HC[[#This Row],[Ø (cm)]]/5)),"N.S.")</f>
        <v>N.S.</v>
      </c>
      <c r="AM17" s="5" t="str">
        <f ca="1">alpha(HC[[#This Row],[nE]],HC[[#This Row],[d (cm)]],HC[[#This Row],[e (cm)]],HC[[#This Row],[ap,eq (cm)]])</f>
        <v>N.S.</v>
      </c>
      <c r="AN17" s="35" t="str">
        <f ca="1">IFERROR(HC[[#This Row],[Nsd (kN)]]/(HC[[#This Row],[Ap (cm²)]]*SIN(HC[[#This Row],[α]])^2),"N.S.")</f>
        <v>N.S.</v>
      </c>
      <c r="AO17" s="35" t="str">
        <f ca="1">IFERROR(HC[[#This Row],[Nsd (kN)]]/(HC[[#This Row],[nE]]*PI()*HC[[#This Row],[Ø (cm)]]^2/4*SIN(HC[[#This Row],[α]])^2),"N.S.")</f>
        <v>N.S.</v>
      </c>
      <c r="AP17" s="4" t="str">
        <f ca="1">IFERROR(INDEX(grupoEstacas[],HC[[#This Row],[nE]],MATCH("coef. Blévot",grupoEstacas[#Headers],0)),"N.S.")</f>
        <v>N.S.</v>
      </c>
      <c r="AQ17" s="35" t="str">
        <f ca="1">IFERROR(HC[[#This Row],[coef. Blévot]]*0.9*INDEX(tipoEstaca[],MATCH($D$2,tipoEstaca[TIPO DE ESTACA],0),MATCH("fcd (kN/cm²)",tipoEstaca[#Headers],0)),"N.S.")</f>
        <v>N.S.</v>
      </c>
      <c r="AR17" s="1" t="str">
        <f ca="1">IF(AND(HC[[#This Row],[cd,b,pil (kN/cm²)]]&lt;=HC[[#This Row],[cd,b,lim (kN/cm²)]],HC[[#This Row],[cd,b,est (kN/cm²)]]&lt;=HC[[#This Row],[cd,b,lim (kN/cm²)]]),"OK","ERRO")</f>
        <v>OK</v>
      </c>
      <c r="AS17" s="4" t="str">
        <f ca="1">As_lado(HC[[#This Row],[nE]],HC[[#This Row],[Nsd (kN)]],HC[[#This Row],[d (cm)]],HC[[#This Row],[e (cm)]],HC[[#This Row],[ap,eq (cm)]])</f>
        <v>N.S.</v>
      </c>
      <c r="AT17" s="4" t="str">
        <f ca="1">IF(HC[[#This Row],[nE]]=1,HC[[#This Row],[As,lado (cm²)]],IF(HC[[#This Row],[nE]]=2,0.075*2*HC[a (cm)],"N.A."))</f>
        <v>N.A.</v>
      </c>
      <c r="AU17" s="4" t="str">
        <f ca="1">IFERROR(IF(HC[[#This Row],[nE]]=1,"N.A.",0.2*HC[[#This Row],[As,lado (cm²)]]),"N.S.")</f>
        <v>N.S.</v>
      </c>
      <c r="AV17" s="4" t="str">
        <f ca="1">As_malha(HC[[#This Row],[nE]],HC[[#This Row],[As,lado (cm²)]],HC[[#This Row],[Nsd (kN)]])</f>
        <v>N.S.</v>
      </c>
      <c r="AW17" s="4" t="str">
        <f ca="1">As_susp_tot(HC[[#This Row],[nE]],HC[[#This Row],[Nsd (kN)]])</f>
        <v>N.S.</v>
      </c>
      <c r="AX17" s="4" t="str">
        <f ca="1">Asp_face(HC[[#This Row],[nE]],HC[[#This Row],[As,lado (cm²)]])</f>
        <v>N.S.</v>
      </c>
      <c r="AY17" s="5" t="str">
        <f ca="1">acoBloco(HC[[#This Row],[nE]],HC[[#This Row],[e (cm)]],HC[[#This Row],[a (cm)]],HC[[#This Row],[h (cm)]],HC[[#This Row],[As,lado (cm²)]],HC[[#This Row],[Asp e Asw (cm²/m)]],HC[[#This Row],[As,sup (cm²)]],HC[[#This Row],[As,malha (cm²)]],HC[[#This Row],[As,susp,tot (cm²)]],HC[[#This Row],[Asp,face (cm²)]])</f>
        <v>N.S.</v>
      </c>
      <c r="AZ17" s="4" t="str">
        <f ca="1">concretoBloco(HC[[#This Row],[nE]],HC[[#This Row],[e (cm)]],HC[[#This Row],[a (cm)]],HC[[#This Row],[h (cm)]])</f>
        <v>N.S.</v>
      </c>
      <c r="BA17" s="5">
        <f ca="1">SUM(HC[[#This Row],[Aço Est (kg)]],HC[[#This Row],[Aço Bloco (kg)]])</f>
        <v>7.4601044550306632</v>
      </c>
      <c r="BB17" s="4">
        <f>INDEX(composicoes[],MATCH(95580,composicoes[CÓDIGO],0),MATCH("CUSTO TOTAL",composicoes[#Headers],0))</f>
        <v>10.46</v>
      </c>
      <c r="BC17" s="4">
        <f ca="1">SUM(HC[[#This Row],[Conc Est (m³)]],HC[[#This Row],[Conc Bloco (m³)]])</f>
        <v>7.8402371661150285</v>
      </c>
      <c r="BD17" s="4">
        <f>INDEX(composicoes[],MATCH(94966,composicoes[CÓDIGO],0),MATCH("CUSTO TOTAL",composicoes[#Headers],0))</f>
        <v>439.52</v>
      </c>
      <c r="BE17" s="38">
        <f ca="1">HC[[#This Row],[Aço (kg)]]*HC[[#This Row],[Aço (R$/kg)]]+HC[[#This Row],[Conc (m³)]]*HC[[#This Row],[Conc (R$/m³)]]</f>
        <v>3523.9737318504976</v>
      </c>
      <c r="BF17" s="4" t="str">
        <f ca="1">IF(COUNTIF(HC[#This Row],"N.S.")&gt;0,"lim.","OK")</f>
        <v>lim.</v>
      </c>
      <c r="BG17" s="4" t="str">
        <f>IF(HC[[#This Row],[Prof. (m)]]&lt;4,"lim.","OK")</f>
        <v>OK</v>
      </c>
      <c r="BH17" s="4" t="str">
        <f>IF(HC[[#This Row],[Prof. (m)]]&gt;=8*HC[[#This Row],[Ø (cm)]]/100,"OK","lim.")</f>
        <v>OK</v>
      </c>
      <c r="BI17" s="4" t="str">
        <f ca="1">IF(HC[[#This Row],[Verif. Biela]]="OK","OK","lim.")</f>
        <v>OK</v>
      </c>
      <c r="BJ17" s="4" t="str">
        <f ca="1">IF(COUNTA(HC[[#This Row],[Nº Est.]:[Biela comp.]])=COUNTIF(HC[[#This Row],[Nº Est.]:[Biela comp.]],"OK"),"OK","lim.")</f>
        <v>lim.</v>
      </c>
      <c r="BK17" s="4" t="str">
        <f ca="1">IF(HC[[#This Row],[Controle]]="OK",HC[[#This Row],[nE]]&amp;" Ø"&amp;HC[[#This Row],[Ø (cm)]]&amp;"cm Prof. "&amp;HC[[#This Row],[Prof. (m)]]&amp;" m","")</f>
        <v/>
      </c>
      <c r="BL17" s="4" t="str">
        <f ca="1">IF(HC[[#This Row],[idDimensionamento]]="","",HC[[#This Row],[idPilar]]&amp;HC[[#This Row],[idDimensionamento]])</f>
        <v/>
      </c>
    </row>
    <row r="18" spans="2:64" x14ac:dyDescent="0.25">
      <c r="B18" s="12">
        <f>ROUNDUP((ROW(HC[[#This Row],[idDiâmetro]])-ROW(HC[[#Headers],[idDiâmetro]]))/(COUNT(SPT[Prof. (m)])*COUNT(PILARES[Pilar])),0)</f>
        <v>1</v>
      </c>
      <c r="C18" s="12">
        <f>IF(HC[[#This Row],[idDiâmetro]]&lt;&gt;B17,1,IF(HC[[#This Row],[Prof. (m)]]=0,C17+1,C17))</f>
        <v>1</v>
      </c>
      <c r="D18" s="1">
        <f>IFERROR(IF(D17=MAX(SPT[Prof. (m)]),0,D17+1),0)</f>
        <v>13</v>
      </c>
      <c r="E18" s="1">
        <f>INDEX(SPT[],MATCH(HC[[#This Row],[Prof. (m)]],SPT[Prof. (m)],0),2)</f>
        <v>68</v>
      </c>
      <c r="F18" s="1" t="str">
        <f>INDEX(SPT[],MATCH(HC[[#This Row],[Prof. (m)]],SPT[Prof. (m)],0),3)</f>
        <v>Areia siltosa</v>
      </c>
      <c r="G18" s="1">
        <f>INDEX(estacas[],HC[[#This Row],[idDiâmetro]],MATCH($B$2,estacas[#Headers],0))</f>
        <v>27.5</v>
      </c>
      <c r="H18" s="1">
        <f>INDEX(estacas[],MATCH(HC[[#This Row],[Ø (cm)]],estacas[Ø HC (cm)],0),MATCH(HC[[#Headers],[Pe HC (kN)]],estacas[#Headers],0))</f>
        <v>350</v>
      </c>
      <c r="I18" s="4">
        <f>INDEX(K_alpha_C[],MATCH(HC[[#This Row],[Solo]],K_alpha_C[Solo],0),2)</f>
        <v>0.8</v>
      </c>
      <c r="J18" s="5">
        <f>INDEX(K_alpha_C[],MATCH(HC[[#This Row],[Solo]],K_alpha_C[Solo],0),3)</f>
        <v>2</v>
      </c>
      <c r="K18" s="4">
        <f>INDEX(F1_F2[],MATCH($D$2,F1_F2[Tipo de estaca],0),2)</f>
        <v>2</v>
      </c>
      <c r="L18" s="4">
        <f>INDEX(F1_F2[],MATCH($D$2,F1_F2[Tipo de estaca],0),3)</f>
        <v>4</v>
      </c>
      <c r="M18" s="4">
        <f>PI()*(HC[[#This Row],[Ø (cm)]]/100)^2/4</f>
        <v>5.9395736106932037E-2</v>
      </c>
      <c r="N18" s="4">
        <f>PI()*HC[[#This Row],[Ø (cm)]]/100</f>
        <v>0.86393797973719311</v>
      </c>
      <c r="O18" s="4">
        <f>IF(HC[[#This Row],[Prof. (m)]]=0,0,HC[[#This Row],[α (%)]]/100*HC[[#This Row],[K (MPa)]]*1000*HC[[#This Row],[NSPT]])</f>
        <v>1088</v>
      </c>
      <c r="P18" s="4">
        <f>IF(HC[[#This Row],[Prof. (m)]]=0,0,(HC[[#This Row],[K (MPa)]]*1000*HC[[#This Row],[NSPT]]/HC[[#This Row],[F1]]*HC[[#This Row],[Ap (m²)]]+HC[[#This Row],[U (m)]]/HC[[#This Row],[F2]]*SUMIFS(HC[(α∙K∙NL∙ΔL)],HC[Prof. (m)],"&lt;="&amp;HC[[#This Row],[Prof. (m)]],HC[idDiâmetro],HC[[#This Row],[idDiâmetro]],HC[idPilar],HC[[#This Row],[idPilar]]))/'DADOS CAP. CARGA'!$D$2)</f>
        <v>1294.1682944215686</v>
      </c>
      <c r="Q18" s="12">
        <f>INDEX(C_alpha_beta[],MATCH(HC[[#This Row],[Solo]],C_alpha_beta[Solo],0),MATCH(HC[[#Headers],[C (kPa)]],C_alpha_beta[#Headers],0))</f>
        <v>400</v>
      </c>
      <c r="R18" s="4">
        <f>INDEX(C_alpha_beta[],MATCH(HC[[#This Row],[Solo]],C_alpha_beta[Solo],0),MATCH(HC[[#Headers],[α ESF]],C_alpha_beta[#Headers],0))</f>
        <v>0.5</v>
      </c>
      <c r="S18" s="4">
        <f>INDEX(C_alpha_beta[],MATCH(HC[[#This Row],[Solo]],C_alpha_beta[Solo],0),MATCH(HC[[#Headers],[β ESF]],C_alpha_beta[#Headers],0))</f>
        <v>0.5</v>
      </c>
      <c r="T18" s="4">
        <f>IF(HC[[#This Row],[Prof. (m)]]=0,0,10*(HC[[#This Row],[NSPT]]/3+1))</f>
        <v>236.66666666666669</v>
      </c>
      <c r="U18" s="4">
        <f>(HC[[#This Row],[α ESF]]*HC[[#This Row],[C (kPa)]]*HC[[#This Row],[NSPT]]*HC[[#This Row],[Ap (m²)]])/'DADOS CAP. CARGA'!$Q$2+(HC[[#This Row],[β ESF]]*SUMIFS(HC[10∙(NL/3+1)],HC[Prof. (m)],"&lt;="&amp;HC[[#This Row],[Prof. (m)]],HC[idDiâmetro],HC[[#This Row],[idDiâmetro]],HC[idPilar],HC[[#This Row],[idPilar]])*HC[[#This Row],[U (m)]])/'DADOS CAP. CARGA'!$S$2</f>
        <v>439.528447191297</v>
      </c>
      <c r="V18" s="4">
        <f>IF(SPT!$M$5=1,MIN(HC[[#This Row],[Pe HC (kN)]],HC[[#This Row],[R_AV (kN)]]),IF(SPT!$M$5=2,MIN(HC[[#This Row],[Pe HC (kN)]],HC[[#This Row],[R_DC (kN)]]),MIN(HC[[#This Row],[Pe HC (kN)]],HC[[#This Row],[R_AV (kN)]],HC[[#This Row],[R_DC (kN)]])))</f>
        <v>350</v>
      </c>
      <c r="W18" s="4">
        <f>INDEX(PILARES[],HC[[#This Row],[idPilar]],MATCH("Carga (kN)",PILARES[#Headers],0))*1.4</f>
        <v>3500</v>
      </c>
      <c r="X18" s="12">
        <f>INDEX(PILARES[],HC[[#This Row],[idPilar]],MATCH(HC[[#Headers],[ap (cm)]],PILARES[#Headers],0))</f>
        <v>60</v>
      </c>
      <c r="Y18" s="12">
        <f>INDEX(PILARES[],HC[[#This Row],[idPilar]],MATCH(HC[[#Headers],[bp (cm)]],PILARES[#Headers],0))</f>
        <v>60</v>
      </c>
      <c r="Z18" s="4">
        <f>SQRT(HC[[#This Row],[ap (cm)]]*HC[[#This Row],[bp (cm)]])</f>
        <v>60</v>
      </c>
      <c r="AA18" s="12">
        <f>HC[[#This Row],[ap (cm)]]*HC[[#This Row],[bp (cm)]]</f>
        <v>3600</v>
      </c>
      <c r="AB18" s="12">
        <f ca="1">IF(HC[[#This Row],[Padm∙ε (kN)]]&gt;=HC[[#This Row],[Padm (kN)]],ROUNDUP(1.05*HC[[#This Row],[Nsd (kN)]]/HC[[#This Row],[Padm (kN)]],0),ROUNDUP(1.05*HC[[#This Row],[Nsd (kN)]]/HC[[#This Row],[Padm (kN)]],0)+1)</f>
        <v>11</v>
      </c>
      <c r="AC18" s="4" t="str">
        <f ca="1">IFERROR(IF(HC[[#This Row],[nE]]=1,HC[[#This Row],[Padm (kN)]],HC[[#This Row],[Padm (kN)]]*HC[[#This Row],[nE]]*INDEX(grupoEstacas[],HC[[#This Row],[nE]],MATCH("ε",grupoEstacas[#Headers],0))),"N.S.")</f>
        <v>N.S.</v>
      </c>
      <c r="AD18" s="4">
        <f ca="1">1.05*HC[[#This Row],[Nsd (kN)]]/(HC[[#This Row],[nE]]*PI()*HC[[#This Row],[Ø (cm)]]^2/4)*10</f>
        <v>5.6248298445099607</v>
      </c>
      <c r="AE18" s="4">
        <f ca="1">IF(HC[[#This Row],[σ (MPa)]]&lt;INDEX(tipoEstaca[],MATCH($D$2,tipoEstaca[TIPO DE ESTACA],0),MATCH("σmáx (MPa)",tipoEstaca[#Headers],0)),0.4%*PI()*HC[[#This Row],[Ø (cm)]]^2/4,"N.S.")</f>
        <v>2.3758294442772812</v>
      </c>
      <c r="AF18" s="1">
        <f>INDEX(tipoEstaca[],MATCH($D$2,tipoEstaca[TIPO DE ESTACA],0),MATCH(HC[[#Headers],[Comprimento (m)]],tipoEstaca[#Headers],0))</f>
        <v>4</v>
      </c>
      <c r="AG18" s="5">
        <f ca="1">HC[[#This Row],[As,mín (cm²)]]/100^2*HC[[#This Row],[Comprimento (m)]]*7850</f>
        <v>7.4601044550306632</v>
      </c>
      <c r="AH18" s="4">
        <f ca="1">HC[[#This Row],[nE]]*HC[[#This Row],[Prof. (m)]]*HC[[#This Row],[Ap (m²)]]</f>
        <v>8.4935902632912814</v>
      </c>
      <c r="AI18" s="1">
        <f ca="1">IF(HC[[#This Row],[nE]]=1,0,MAX(3*HC[[#This Row],[Ø (cm)]],60))</f>
        <v>82.5</v>
      </c>
      <c r="AJ18" s="1">
        <f ca="1">IF(HC[[#This Row],[nE]]=1,HC[[#This Row],[Ø (cm)]]+2*10,MAX(1.5*HC[[#This Row],[Ø (cm)]],HC[[#This Row],[Ø (cm)]]+15))</f>
        <v>42.5</v>
      </c>
      <c r="AK18" s="1" t="str">
        <f ca="1">alturaUtil(HC[[#This Row],[nE]],HC[[#This Row],[Ø (cm)]],HC[[#This Row],[e (cm)]],HC[[#This Row],[ap,eq (cm)]])</f>
        <v>N.S.</v>
      </c>
      <c r="AL18" s="1" t="str">
        <f ca="1">IFERROR(HC[[#This Row],[d (cm)]]+arredondarParaCimaMultiplo5cm(MAX(5,SQRT(PI())/2*HC[[#This Row],[Ø (cm)]]/5)),"N.S.")</f>
        <v>N.S.</v>
      </c>
      <c r="AM18" s="5" t="str">
        <f ca="1">alpha(HC[[#This Row],[nE]],HC[[#This Row],[d (cm)]],HC[[#This Row],[e (cm)]],HC[[#This Row],[ap,eq (cm)]])</f>
        <v>N.S.</v>
      </c>
      <c r="AN18" s="35" t="str">
        <f ca="1">IFERROR(HC[[#This Row],[Nsd (kN)]]/(HC[[#This Row],[Ap (cm²)]]*SIN(HC[[#This Row],[α]])^2),"N.S.")</f>
        <v>N.S.</v>
      </c>
      <c r="AO18" s="35" t="str">
        <f ca="1">IFERROR(HC[[#This Row],[Nsd (kN)]]/(HC[[#This Row],[nE]]*PI()*HC[[#This Row],[Ø (cm)]]^2/4*SIN(HC[[#This Row],[α]])^2),"N.S.")</f>
        <v>N.S.</v>
      </c>
      <c r="AP18" s="4" t="str">
        <f ca="1">IFERROR(INDEX(grupoEstacas[],HC[[#This Row],[nE]],MATCH("coef. Blévot",grupoEstacas[#Headers],0)),"N.S.")</f>
        <v>N.S.</v>
      </c>
      <c r="AQ18" s="35" t="str">
        <f ca="1">IFERROR(HC[[#This Row],[coef. Blévot]]*0.9*INDEX(tipoEstaca[],MATCH($D$2,tipoEstaca[TIPO DE ESTACA],0),MATCH("fcd (kN/cm²)",tipoEstaca[#Headers],0)),"N.S.")</f>
        <v>N.S.</v>
      </c>
      <c r="AR18" s="1" t="str">
        <f ca="1">IF(AND(HC[[#This Row],[cd,b,pil (kN/cm²)]]&lt;=HC[[#This Row],[cd,b,lim (kN/cm²)]],HC[[#This Row],[cd,b,est (kN/cm²)]]&lt;=HC[[#This Row],[cd,b,lim (kN/cm²)]]),"OK","ERRO")</f>
        <v>OK</v>
      </c>
      <c r="AS18" s="4" t="str">
        <f ca="1">As_lado(HC[[#This Row],[nE]],HC[[#This Row],[Nsd (kN)]],HC[[#This Row],[d (cm)]],HC[[#This Row],[e (cm)]],HC[[#This Row],[ap,eq (cm)]])</f>
        <v>N.S.</v>
      </c>
      <c r="AT18" s="4" t="str">
        <f ca="1">IF(HC[[#This Row],[nE]]=1,HC[[#This Row],[As,lado (cm²)]],IF(HC[[#This Row],[nE]]=2,0.075*2*HC[a (cm)],"N.A."))</f>
        <v>N.A.</v>
      </c>
      <c r="AU18" s="4" t="str">
        <f ca="1">IFERROR(IF(HC[[#This Row],[nE]]=1,"N.A.",0.2*HC[[#This Row],[As,lado (cm²)]]),"N.S.")</f>
        <v>N.S.</v>
      </c>
      <c r="AV18" s="4" t="str">
        <f ca="1">As_malha(HC[[#This Row],[nE]],HC[[#This Row],[As,lado (cm²)]],HC[[#This Row],[Nsd (kN)]])</f>
        <v>N.S.</v>
      </c>
      <c r="AW18" s="4" t="str">
        <f ca="1">As_susp_tot(HC[[#This Row],[nE]],HC[[#This Row],[Nsd (kN)]])</f>
        <v>N.S.</v>
      </c>
      <c r="AX18" s="4" t="str">
        <f ca="1">Asp_face(HC[[#This Row],[nE]],HC[[#This Row],[As,lado (cm²)]])</f>
        <v>N.S.</v>
      </c>
      <c r="AY18" s="5" t="str">
        <f ca="1">acoBloco(HC[[#This Row],[nE]],HC[[#This Row],[e (cm)]],HC[[#This Row],[a (cm)]],HC[[#This Row],[h (cm)]],HC[[#This Row],[As,lado (cm²)]],HC[[#This Row],[Asp e Asw (cm²/m)]],HC[[#This Row],[As,sup (cm²)]],HC[[#This Row],[As,malha (cm²)]],HC[[#This Row],[As,susp,tot (cm²)]],HC[[#This Row],[Asp,face (cm²)]])</f>
        <v>N.S.</v>
      </c>
      <c r="AZ18" s="4" t="str">
        <f ca="1">concretoBloco(HC[[#This Row],[nE]],HC[[#This Row],[e (cm)]],HC[[#This Row],[a (cm)]],HC[[#This Row],[h (cm)]])</f>
        <v>N.S.</v>
      </c>
      <c r="BA18" s="5">
        <f ca="1">SUM(HC[[#This Row],[Aço Est (kg)]],HC[[#This Row],[Aço Bloco (kg)]])</f>
        <v>7.4601044550306632</v>
      </c>
      <c r="BB18" s="4">
        <f>INDEX(composicoes[],MATCH(95580,composicoes[CÓDIGO],0),MATCH("CUSTO TOTAL",composicoes[#Headers],0))</f>
        <v>10.46</v>
      </c>
      <c r="BC18" s="4">
        <f ca="1">SUM(HC[[#This Row],[Conc Est (m³)]],HC[[#This Row],[Conc Bloco (m³)]])</f>
        <v>8.4935902632912814</v>
      </c>
      <c r="BD18" s="4">
        <f>INDEX(composicoes[],MATCH(94966,composicoes[CÓDIGO],0),MATCH("CUSTO TOTAL",composicoes[#Headers],0))</f>
        <v>439.52</v>
      </c>
      <c r="BE18" s="38">
        <f ca="1">HC[[#This Row],[Aço (kg)]]*HC[[#This Row],[Aço (R$/kg)]]+HC[[#This Row],[Conc (m³)]]*HC[[#This Row],[Conc (R$/m³)]]</f>
        <v>3811.1354851214046</v>
      </c>
      <c r="BF18" s="4" t="str">
        <f ca="1">IF(COUNTIF(HC[#This Row],"N.S.")&gt;0,"lim.","OK")</f>
        <v>lim.</v>
      </c>
      <c r="BG18" s="4" t="str">
        <f>IF(HC[[#This Row],[Prof. (m)]]&lt;4,"lim.","OK")</f>
        <v>OK</v>
      </c>
      <c r="BH18" s="4" t="str">
        <f>IF(HC[[#This Row],[Prof. (m)]]&gt;=8*HC[[#This Row],[Ø (cm)]]/100,"OK","lim.")</f>
        <v>OK</v>
      </c>
      <c r="BI18" s="4" t="str">
        <f ca="1">IF(HC[[#This Row],[Verif. Biela]]="OK","OK","lim.")</f>
        <v>OK</v>
      </c>
      <c r="BJ18" s="4" t="str">
        <f ca="1">IF(COUNTA(HC[[#This Row],[Nº Est.]:[Biela comp.]])=COUNTIF(HC[[#This Row],[Nº Est.]:[Biela comp.]],"OK"),"OK","lim.")</f>
        <v>lim.</v>
      </c>
      <c r="BK18" s="4" t="str">
        <f ca="1">IF(HC[[#This Row],[Controle]]="OK",HC[[#This Row],[nE]]&amp;" Ø"&amp;HC[[#This Row],[Ø (cm)]]&amp;"cm Prof. "&amp;HC[[#This Row],[Prof. (m)]]&amp;" m","")</f>
        <v/>
      </c>
      <c r="BL18" s="4" t="str">
        <f ca="1">IF(HC[[#This Row],[idDimensionamento]]="","",HC[[#This Row],[idPilar]]&amp;HC[[#This Row],[idDimensionamento]])</f>
        <v/>
      </c>
    </row>
    <row r="19" spans="2:64" x14ac:dyDescent="0.25">
      <c r="B19" s="12">
        <f>ROUNDUP((ROW(HC[[#This Row],[idDiâmetro]])-ROW(HC[[#Headers],[idDiâmetro]]))/(COUNT(SPT[Prof. (m)])*COUNT(PILARES[Pilar])),0)</f>
        <v>1</v>
      </c>
      <c r="C19" s="12">
        <f>IF(HC[[#This Row],[idDiâmetro]]&lt;&gt;B18,1,IF(HC[[#This Row],[Prof. (m)]]=0,C18+1,C18))</f>
        <v>2</v>
      </c>
      <c r="D19" s="1">
        <f>IFERROR(IF(D18=MAX(SPT[Prof. (m)]),0,D18+1),0)</f>
        <v>0</v>
      </c>
      <c r="E19" s="1">
        <f>INDEX(SPT[],MATCH(HC[[#This Row],[Prof. (m)]],SPT[Prof. (m)],0),2)</f>
        <v>0</v>
      </c>
      <c r="F19" s="1" t="str">
        <f>INDEX(SPT[],MATCH(HC[[#This Row],[Prof. (m)]],SPT[Prof. (m)],0),3)</f>
        <v>Areia siltosa</v>
      </c>
      <c r="G19" s="1">
        <f>INDEX(estacas[],HC[[#This Row],[idDiâmetro]],MATCH($B$2,estacas[#Headers],0))</f>
        <v>27.5</v>
      </c>
      <c r="H19" s="1">
        <f>INDEX(estacas[],MATCH(HC[[#This Row],[Ø (cm)]],estacas[Ø HC (cm)],0),MATCH(HC[[#Headers],[Pe HC (kN)]],estacas[#Headers],0))</f>
        <v>350</v>
      </c>
      <c r="I19" s="4">
        <f>INDEX(K_alpha_C[],MATCH(HC[[#This Row],[Solo]],K_alpha_C[Solo],0),2)</f>
        <v>0.8</v>
      </c>
      <c r="J19" s="5">
        <f>INDEX(K_alpha_C[],MATCH(HC[[#This Row],[Solo]],K_alpha_C[Solo],0),3)</f>
        <v>2</v>
      </c>
      <c r="K19" s="4">
        <f>INDEX(F1_F2[],MATCH($D$2,F1_F2[Tipo de estaca],0),2)</f>
        <v>2</v>
      </c>
      <c r="L19" s="4">
        <f>INDEX(F1_F2[],MATCH($D$2,F1_F2[Tipo de estaca],0),3)</f>
        <v>4</v>
      </c>
      <c r="M19" s="4">
        <f>PI()*(HC[[#This Row],[Ø (cm)]]/100)^2/4</f>
        <v>5.9395736106932037E-2</v>
      </c>
      <c r="N19" s="4">
        <f>PI()*HC[[#This Row],[Ø (cm)]]/100</f>
        <v>0.86393797973719311</v>
      </c>
      <c r="O19" s="4">
        <f>IF(HC[[#This Row],[Prof. (m)]]=0,0,HC[[#This Row],[α (%)]]/100*HC[[#This Row],[K (MPa)]]*1000*HC[[#This Row],[NSPT]])</f>
        <v>0</v>
      </c>
      <c r="P19" s="4">
        <f>IF(HC[[#This Row],[Prof. (m)]]=0,0,(HC[[#This Row],[K (MPa)]]*1000*HC[[#This Row],[NSPT]]/HC[[#This Row],[F1]]*HC[[#This Row],[Ap (m²)]]+HC[[#This Row],[U (m)]]/HC[[#This Row],[F2]]*SUMIFS(HC[(α∙K∙NL∙ΔL)],HC[Prof. (m)],"&lt;="&amp;HC[[#This Row],[Prof. (m)]],HC[idDiâmetro],HC[[#This Row],[idDiâmetro]],HC[idPilar],HC[[#This Row],[idPilar]]))/'DADOS CAP. CARGA'!$D$2)</f>
        <v>0</v>
      </c>
      <c r="Q19" s="12">
        <f>INDEX(C_alpha_beta[],MATCH(HC[[#This Row],[Solo]],C_alpha_beta[Solo],0),MATCH(HC[[#Headers],[C (kPa)]],C_alpha_beta[#Headers],0))</f>
        <v>400</v>
      </c>
      <c r="R19" s="4">
        <f>INDEX(C_alpha_beta[],MATCH(HC[[#This Row],[Solo]],C_alpha_beta[Solo],0),MATCH(HC[[#Headers],[α ESF]],C_alpha_beta[#Headers],0))</f>
        <v>0.5</v>
      </c>
      <c r="S19" s="4">
        <f>INDEX(C_alpha_beta[],MATCH(HC[[#This Row],[Solo]],C_alpha_beta[Solo],0),MATCH(HC[[#Headers],[β ESF]],C_alpha_beta[#Headers],0))</f>
        <v>0.5</v>
      </c>
      <c r="T19" s="4">
        <f>IF(HC[[#This Row],[Prof. (m)]]=0,0,10*(HC[[#This Row],[NSPT]]/3+1))</f>
        <v>0</v>
      </c>
      <c r="U19" s="4">
        <f>(HC[[#This Row],[α ESF]]*HC[[#This Row],[C (kPa)]]*HC[[#This Row],[NSPT]]*HC[[#This Row],[Ap (m²)]])/'DADOS CAP. CARGA'!$Q$2+(HC[[#This Row],[β ESF]]*SUMIFS(HC[10∙(NL/3+1)],HC[Prof. (m)],"&lt;="&amp;HC[[#This Row],[Prof. (m)]],HC[idDiâmetro],HC[[#This Row],[idDiâmetro]],HC[idPilar],HC[[#This Row],[idPilar]])*HC[[#This Row],[U (m)]])/'DADOS CAP. CARGA'!$S$2</f>
        <v>0</v>
      </c>
      <c r="V19" s="4">
        <f>IF(SPT!$M$5=1,MIN(HC[[#This Row],[Pe HC (kN)]],HC[[#This Row],[R_AV (kN)]]),IF(SPT!$M$5=2,MIN(HC[[#This Row],[Pe HC (kN)]],HC[[#This Row],[R_DC (kN)]]),MIN(HC[[#This Row],[Pe HC (kN)]],HC[[#This Row],[R_AV (kN)]],HC[[#This Row],[R_DC (kN)]])))</f>
        <v>0</v>
      </c>
      <c r="W19" s="4">
        <f>INDEX(PILARES[],HC[[#This Row],[idPilar]],MATCH("Carga (kN)",PILARES[#Headers],0))*1.4</f>
        <v>1750</v>
      </c>
      <c r="X19" s="12">
        <f>INDEX(PILARES[],HC[[#This Row],[idPilar]],MATCH(HC[[#Headers],[ap (cm)]],PILARES[#Headers],0))</f>
        <v>50</v>
      </c>
      <c r="Y19" s="12">
        <f>INDEX(PILARES[],HC[[#This Row],[idPilar]],MATCH(HC[[#Headers],[bp (cm)]],PILARES[#Headers],0))</f>
        <v>40</v>
      </c>
      <c r="Z19" s="4">
        <f>SQRT(HC[[#This Row],[ap (cm)]]*HC[[#This Row],[bp (cm)]])</f>
        <v>44.721359549995796</v>
      </c>
      <c r="AA19" s="12">
        <f>HC[[#This Row],[ap (cm)]]*HC[[#This Row],[bp (cm)]]</f>
        <v>2000</v>
      </c>
      <c r="AB19" s="12" t="e">
        <f ca="1">IF(HC[[#This Row],[Padm∙ε (kN)]]&gt;=HC[[#This Row],[Padm (kN)]],ROUNDUP(1.05*HC[[#This Row],[Nsd (kN)]]/HC[[#This Row],[Padm (kN)]],0),ROUNDUP(1.05*HC[[#This Row],[Nsd (kN)]]/HC[[#This Row],[Padm (kN)]],0)+1)</f>
        <v>#DIV/0!</v>
      </c>
      <c r="AC19" s="4" t="str">
        <f ca="1">IFERROR(IF(HC[[#This Row],[nE]]=1,HC[[#This Row],[Padm (kN)]],HC[[#This Row],[Padm (kN)]]*HC[[#This Row],[nE]]*INDEX(grupoEstacas[],HC[[#This Row],[nE]],MATCH("ε",grupoEstacas[#Headers],0))),"N.S.")</f>
        <v>N.S.</v>
      </c>
      <c r="AD19" s="4" t="e">
        <f ca="1">1.05*HC[[#This Row],[Nsd (kN)]]/(HC[[#This Row],[nE]]*PI()*HC[[#This Row],[Ø (cm)]]^2/4)*10</f>
        <v>#DIV/0!</v>
      </c>
      <c r="AE19" s="4" t="e">
        <f ca="1">IF(HC[[#This Row],[σ (MPa)]]&lt;INDEX(tipoEstaca[],MATCH($D$2,tipoEstaca[TIPO DE ESTACA],0),MATCH("σmáx (MPa)",tipoEstaca[#Headers],0)),0.4%*PI()*HC[[#This Row],[Ø (cm)]]^2/4,"N.S.")</f>
        <v>#DIV/0!</v>
      </c>
      <c r="AF19" s="1">
        <f>INDEX(tipoEstaca[],MATCH($D$2,tipoEstaca[TIPO DE ESTACA],0),MATCH(HC[[#Headers],[Comprimento (m)]],tipoEstaca[#Headers],0))</f>
        <v>4</v>
      </c>
      <c r="AG19" s="5" t="e">
        <f ca="1">HC[[#This Row],[As,mín (cm²)]]/100^2*HC[[#This Row],[Comprimento (m)]]*7850</f>
        <v>#DIV/0!</v>
      </c>
      <c r="AH19" s="4" t="e">
        <f ca="1">HC[[#This Row],[nE]]*HC[[#This Row],[Prof. (m)]]*HC[[#This Row],[Ap (m²)]]</f>
        <v>#DIV/0!</v>
      </c>
      <c r="AI19" s="1" t="e">
        <f ca="1">IF(HC[[#This Row],[nE]]=1,0,MAX(3*HC[[#This Row],[Ø (cm)]],60))</f>
        <v>#DIV/0!</v>
      </c>
      <c r="AJ19" s="1" t="e">
        <f ca="1">IF(HC[[#This Row],[nE]]=1,HC[[#This Row],[Ø (cm)]]+2*10,MAX(1.5*HC[[#This Row],[Ø (cm)]],HC[[#This Row],[Ø (cm)]]+15))</f>
        <v>#DIV/0!</v>
      </c>
      <c r="AK19" s="1" t="e">
        <f ca="1">alturaUtil(HC[[#This Row],[nE]],HC[[#This Row],[Ø (cm)]],HC[[#This Row],[e (cm)]],HC[[#This Row],[ap,eq (cm)]])</f>
        <v>#VALUE!</v>
      </c>
      <c r="AL19" s="1" t="str">
        <f ca="1">IFERROR(HC[[#This Row],[d (cm)]]+arredondarParaCimaMultiplo5cm(MAX(5,SQRT(PI())/2*HC[[#This Row],[Ø (cm)]]/5)),"N.S.")</f>
        <v>N.S.</v>
      </c>
      <c r="AM19" s="5" t="e">
        <f ca="1">alpha(HC[[#This Row],[nE]],HC[[#This Row],[d (cm)]],HC[[#This Row],[e (cm)]],HC[[#This Row],[ap,eq (cm)]])</f>
        <v>#VALUE!</v>
      </c>
      <c r="AN19" s="35" t="str">
        <f ca="1">IFERROR(HC[[#This Row],[Nsd (kN)]]/(HC[[#This Row],[Ap (cm²)]]*SIN(HC[[#This Row],[α]])^2),"N.S.")</f>
        <v>N.S.</v>
      </c>
      <c r="AO19" s="35" t="str">
        <f ca="1">IFERROR(HC[[#This Row],[Nsd (kN)]]/(HC[[#This Row],[nE]]*PI()*HC[[#This Row],[Ø (cm)]]^2/4*SIN(HC[[#This Row],[α]])^2),"N.S.")</f>
        <v>N.S.</v>
      </c>
      <c r="AP19" s="4" t="str">
        <f ca="1">IFERROR(INDEX(grupoEstacas[],HC[[#This Row],[nE]],MATCH("coef. Blévot",grupoEstacas[#Headers],0)),"N.S.")</f>
        <v>N.S.</v>
      </c>
      <c r="AQ19" s="35" t="str">
        <f ca="1">IFERROR(HC[[#This Row],[coef. Blévot]]*0.9*INDEX(tipoEstaca[],MATCH($D$2,tipoEstaca[TIPO DE ESTACA],0),MATCH("fcd (kN/cm²)",tipoEstaca[#Headers],0)),"N.S.")</f>
        <v>N.S.</v>
      </c>
      <c r="AR19" s="1" t="str">
        <f ca="1">IF(AND(HC[[#This Row],[cd,b,pil (kN/cm²)]]&lt;=HC[[#This Row],[cd,b,lim (kN/cm²)]],HC[[#This Row],[cd,b,est (kN/cm²)]]&lt;=HC[[#This Row],[cd,b,lim (kN/cm²)]]),"OK","ERRO")</f>
        <v>OK</v>
      </c>
      <c r="AS19" s="4" t="e">
        <f ca="1">As_lado(HC[[#This Row],[nE]],HC[[#This Row],[Nsd (kN)]],HC[[#This Row],[d (cm)]],HC[[#This Row],[e (cm)]],HC[[#This Row],[ap,eq (cm)]])</f>
        <v>#VALUE!</v>
      </c>
      <c r="AT19" s="4" t="e">
        <f ca="1">IF(HC[[#This Row],[nE]]=1,HC[[#This Row],[As,lado (cm²)]],IF(HC[[#This Row],[nE]]=2,0.075*2*HC[a (cm)],"N.A."))</f>
        <v>#DIV/0!</v>
      </c>
      <c r="AU19" s="4" t="str">
        <f ca="1">IFERROR(IF(HC[[#This Row],[nE]]=1,"N.A.",0.2*HC[[#This Row],[As,lado (cm²)]]),"N.S.")</f>
        <v>N.S.</v>
      </c>
      <c r="AV19" s="4" t="e">
        <f ca="1">As_malha(HC[[#This Row],[nE]],HC[[#This Row],[As,lado (cm²)]],HC[[#This Row],[Nsd (kN)]])</f>
        <v>#VALUE!</v>
      </c>
      <c r="AW19" s="4" t="e">
        <f ca="1">As_susp_tot(HC[[#This Row],[nE]],HC[[#This Row],[Nsd (kN)]])</f>
        <v>#VALUE!</v>
      </c>
      <c r="AX19" s="4" t="e">
        <f ca="1">Asp_face(HC[[#This Row],[nE]],HC[[#This Row],[As,lado (cm²)]])</f>
        <v>#VALUE!</v>
      </c>
      <c r="AY19" s="5" t="e">
        <f ca="1">acoBloco(HC[[#This Row],[nE]],HC[[#This Row],[e (cm)]],HC[[#This Row],[a (cm)]],HC[[#This Row],[h (cm)]],HC[[#This Row],[As,lado (cm²)]],HC[[#This Row],[Asp e Asw (cm²/m)]],HC[[#This Row],[As,sup (cm²)]],HC[[#This Row],[As,malha (cm²)]],HC[[#This Row],[As,susp,tot (cm²)]],HC[[#This Row],[Asp,face (cm²)]])</f>
        <v>#VALUE!</v>
      </c>
      <c r="AZ19" s="4" t="e">
        <f ca="1">concretoBloco(HC[[#This Row],[nE]],HC[[#This Row],[e (cm)]],HC[[#This Row],[a (cm)]],HC[[#This Row],[h (cm)]])</f>
        <v>#VALUE!</v>
      </c>
      <c r="BA19" s="5" t="e">
        <f ca="1">SUM(HC[[#This Row],[Aço Est (kg)]],HC[[#This Row],[Aço Bloco (kg)]])</f>
        <v>#DIV/0!</v>
      </c>
      <c r="BB19" s="4">
        <f>INDEX(composicoes[],MATCH(95580,composicoes[CÓDIGO],0),MATCH("CUSTO TOTAL",composicoes[#Headers],0))</f>
        <v>10.46</v>
      </c>
      <c r="BC19" s="4" t="e">
        <f ca="1">SUM(HC[[#This Row],[Conc Est (m³)]],HC[[#This Row],[Conc Bloco (m³)]])</f>
        <v>#DIV/0!</v>
      </c>
      <c r="BD19" s="4">
        <f>INDEX(composicoes[],MATCH(94966,composicoes[CÓDIGO],0),MATCH("CUSTO TOTAL",composicoes[#Headers],0))</f>
        <v>439.52</v>
      </c>
      <c r="BE19" s="38" t="e">
        <f ca="1">HC[[#This Row],[Aço (kg)]]*HC[[#This Row],[Aço (R$/kg)]]+HC[[#This Row],[Conc (m³)]]*HC[[#This Row],[Conc (R$/m³)]]</f>
        <v>#DIV/0!</v>
      </c>
      <c r="BF19" s="4" t="str">
        <f ca="1">IF(COUNTIF(HC[#This Row],"N.S.")&gt;0,"lim.","OK")</f>
        <v>lim.</v>
      </c>
      <c r="BG19" s="4" t="str">
        <f>IF(HC[[#This Row],[Prof. (m)]]&lt;4,"lim.","OK")</f>
        <v>lim.</v>
      </c>
      <c r="BH19" s="4" t="str">
        <f>IF(HC[[#This Row],[Prof. (m)]]&gt;=8*HC[[#This Row],[Ø (cm)]]/100,"OK","lim.")</f>
        <v>lim.</v>
      </c>
      <c r="BI19" s="4" t="str">
        <f ca="1">IF(HC[[#This Row],[Verif. Biela]]="OK","OK","lim.")</f>
        <v>OK</v>
      </c>
      <c r="BJ19" s="4" t="str">
        <f ca="1">IF(COUNTA(HC[[#This Row],[Nº Est.]:[Biela comp.]])=COUNTIF(HC[[#This Row],[Nº Est.]:[Biela comp.]],"OK"),"OK","lim.")</f>
        <v>lim.</v>
      </c>
      <c r="BK19" s="4" t="str">
        <f ca="1">IF(HC[[#This Row],[Controle]]="OK",HC[[#This Row],[nE]]&amp;" Ø"&amp;HC[[#This Row],[Ø (cm)]]&amp;"cm Prof. "&amp;HC[[#This Row],[Prof. (m)]]&amp;" m","")</f>
        <v/>
      </c>
      <c r="BL19" s="4" t="str">
        <f ca="1">IF(HC[[#This Row],[idDimensionamento]]="","",HC[[#This Row],[idPilar]]&amp;HC[[#This Row],[idDimensionamento]])</f>
        <v/>
      </c>
    </row>
    <row r="20" spans="2:64" x14ac:dyDescent="0.25">
      <c r="B20" s="12">
        <f>ROUNDUP((ROW(HC[[#This Row],[idDiâmetro]])-ROW(HC[[#Headers],[idDiâmetro]]))/(COUNT(SPT[Prof. (m)])*COUNT(PILARES[Pilar])),0)</f>
        <v>1</v>
      </c>
      <c r="C20" s="12">
        <f>IF(HC[[#This Row],[idDiâmetro]]&lt;&gt;B19,1,IF(HC[[#This Row],[Prof. (m)]]=0,C19+1,C19))</f>
        <v>2</v>
      </c>
      <c r="D20" s="1">
        <f>IFERROR(IF(D19=MAX(SPT[Prof. (m)]),0,D19+1),0)</f>
        <v>1</v>
      </c>
      <c r="E20" s="1">
        <f>INDEX(SPT[],MATCH(HC[[#This Row],[Prof. (m)]],SPT[Prof. (m)],0),2)</f>
        <v>2</v>
      </c>
      <c r="F20" s="1" t="str">
        <f>INDEX(SPT[],MATCH(HC[[#This Row],[Prof. (m)]],SPT[Prof. (m)],0),3)</f>
        <v>Areia siltosa</v>
      </c>
      <c r="G20" s="1">
        <f>INDEX(estacas[],HC[[#This Row],[idDiâmetro]],MATCH($B$2,estacas[#Headers],0))</f>
        <v>27.5</v>
      </c>
      <c r="H20" s="1">
        <f>INDEX(estacas[],MATCH(HC[[#This Row],[Ø (cm)]],estacas[Ø HC (cm)],0),MATCH(HC[[#Headers],[Pe HC (kN)]],estacas[#Headers],0))</f>
        <v>350</v>
      </c>
      <c r="I20" s="4">
        <f>INDEX(K_alpha_C[],MATCH(HC[[#This Row],[Solo]],K_alpha_C[Solo],0),2)</f>
        <v>0.8</v>
      </c>
      <c r="J20" s="5">
        <f>INDEX(K_alpha_C[],MATCH(HC[[#This Row],[Solo]],K_alpha_C[Solo],0),3)</f>
        <v>2</v>
      </c>
      <c r="K20" s="4">
        <f>INDEX(F1_F2[],MATCH($D$2,F1_F2[Tipo de estaca],0),2)</f>
        <v>2</v>
      </c>
      <c r="L20" s="4">
        <f>INDEX(F1_F2[],MATCH($D$2,F1_F2[Tipo de estaca],0),3)</f>
        <v>4</v>
      </c>
      <c r="M20" s="4">
        <f>PI()*(HC[[#This Row],[Ø (cm)]]/100)^2/4</f>
        <v>5.9395736106932037E-2</v>
      </c>
      <c r="N20" s="4">
        <f>PI()*HC[[#This Row],[Ø (cm)]]/100</f>
        <v>0.86393797973719311</v>
      </c>
      <c r="O20" s="4">
        <f>IF(HC[[#This Row],[Prof. (m)]]=0,0,HC[[#This Row],[α (%)]]/100*HC[[#This Row],[K (MPa)]]*1000*HC[[#This Row],[NSPT]])</f>
        <v>32</v>
      </c>
      <c r="P20" s="4">
        <f>IF(HC[[#This Row],[Prof. (m)]]=0,0,(HC[[#This Row],[K (MPa)]]*1000*HC[[#This Row],[NSPT]]/HC[[#This Row],[F1]]*HC[[#This Row],[Ap (m²)]]+HC[[#This Row],[U (m)]]/HC[[#This Row],[F2]]*SUMIFS(HC[(α∙K∙NL∙ΔL)],HC[Prof. (m)],"&lt;="&amp;HC[[#This Row],[Prof. (m)]],HC[idDiâmetro],HC[[#This Row],[idDiâmetro]],HC[idPilar],HC[[#This Row],[idPilar]]))/'DADOS CAP. CARGA'!$D$2)</f>
        <v>27.214046361721586</v>
      </c>
      <c r="Q20" s="12">
        <f>INDEX(C_alpha_beta[],MATCH(HC[[#This Row],[Solo]],C_alpha_beta[Solo],0),MATCH(HC[[#Headers],[C (kPa)]],C_alpha_beta[#Headers],0))</f>
        <v>400</v>
      </c>
      <c r="R20" s="4">
        <f>INDEX(C_alpha_beta[],MATCH(HC[[#This Row],[Solo]],C_alpha_beta[Solo],0),MATCH(HC[[#Headers],[α ESF]],C_alpha_beta[#Headers],0))</f>
        <v>0.5</v>
      </c>
      <c r="S20" s="4">
        <f>INDEX(C_alpha_beta[],MATCH(HC[[#This Row],[Solo]],C_alpha_beta[Solo],0),MATCH(HC[[#Headers],[β ESF]],C_alpha_beta[#Headers],0))</f>
        <v>0.5</v>
      </c>
      <c r="T20" s="4">
        <f>IF(HC[[#This Row],[Prof. (m)]]=0,0,10*(HC[[#This Row],[NSPT]]/3+1))</f>
        <v>16.666666666666664</v>
      </c>
      <c r="U20" s="4">
        <f>(HC[[#This Row],[α ESF]]*HC[[#This Row],[C (kPa)]]*HC[[#This Row],[NSPT]]*HC[[#This Row],[Ap (m²)]])/'DADOS CAP. CARGA'!$Q$2+(HC[[#This Row],[β ESF]]*SUMIFS(HC[10∙(NL/3+1)],HC[Prof. (m)],"&lt;="&amp;HC[[#This Row],[Prof. (m)]],HC[idDiâmetro],HC[[#This Row],[idDiâmetro]],HC[idPilar],HC[[#This Row],[idPilar]])*HC[[#This Row],[U (m)]])/'DADOS CAP. CARGA'!$S$2</f>
        <v>9.5393151929315074</v>
      </c>
      <c r="V20" s="4">
        <f>IF(SPT!$M$5=1,MIN(HC[[#This Row],[Pe HC (kN)]],HC[[#This Row],[R_AV (kN)]]),IF(SPT!$M$5=2,MIN(HC[[#This Row],[Pe HC (kN)]],HC[[#This Row],[R_DC (kN)]]),MIN(HC[[#This Row],[Pe HC (kN)]],HC[[#This Row],[R_AV (kN)]],HC[[#This Row],[R_DC (kN)]])))</f>
        <v>9.5393151929315074</v>
      </c>
      <c r="W20" s="4">
        <f>INDEX(PILARES[],HC[[#This Row],[idPilar]],MATCH("Carga (kN)",PILARES[#Headers],0))*1.4</f>
        <v>1750</v>
      </c>
      <c r="X20" s="12">
        <f>INDEX(PILARES[],HC[[#This Row],[idPilar]],MATCH(HC[[#Headers],[ap (cm)]],PILARES[#Headers],0))</f>
        <v>50</v>
      </c>
      <c r="Y20" s="12">
        <f>INDEX(PILARES[],HC[[#This Row],[idPilar]],MATCH(HC[[#Headers],[bp (cm)]],PILARES[#Headers],0))</f>
        <v>40</v>
      </c>
      <c r="Z20" s="4">
        <f>SQRT(HC[[#This Row],[ap (cm)]]*HC[[#This Row],[bp (cm)]])</f>
        <v>44.721359549995796</v>
      </c>
      <c r="AA20" s="12">
        <f>HC[[#This Row],[ap (cm)]]*HC[[#This Row],[bp (cm)]]</f>
        <v>2000</v>
      </c>
      <c r="AB20" s="12">
        <f ca="1">IF(HC[[#This Row],[Padm∙ε (kN)]]&gt;=HC[[#This Row],[Padm (kN)]],ROUNDUP(1.05*HC[[#This Row],[Nsd (kN)]]/HC[[#This Row],[Padm (kN)]],0),ROUNDUP(1.05*HC[[#This Row],[Nsd (kN)]]/HC[[#This Row],[Padm (kN)]],0)+1)</f>
        <v>193</v>
      </c>
      <c r="AC20" s="4" t="str">
        <f ca="1">IFERROR(IF(HC[[#This Row],[nE]]=1,HC[[#This Row],[Padm (kN)]],HC[[#This Row],[Padm (kN)]]*HC[[#This Row],[nE]]*INDEX(grupoEstacas[],HC[[#This Row],[nE]],MATCH("ε",grupoEstacas[#Headers],0))),"N.S.")</f>
        <v>N.S.</v>
      </c>
      <c r="AD20" s="4">
        <f ca="1">1.05*HC[[#This Row],[Nsd (kN)]]/(HC[[#This Row],[nE]]*PI()*HC[[#This Row],[Ø (cm)]]^2/4)*10</f>
        <v>0.16029307847049112</v>
      </c>
      <c r="AE20" s="4">
        <f ca="1">IF(HC[[#This Row],[σ (MPa)]]&lt;INDEX(tipoEstaca[],MATCH($D$2,tipoEstaca[TIPO DE ESTACA],0),MATCH("σmáx (MPa)",tipoEstaca[#Headers],0)),0.4%*PI()*HC[[#This Row],[Ø (cm)]]^2/4,"N.S.")</f>
        <v>2.3758294442772812</v>
      </c>
      <c r="AF20" s="1">
        <f>INDEX(tipoEstaca[],MATCH($D$2,tipoEstaca[TIPO DE ESTACA],0),MATCH(HC[[#Headers],[Comprimento (m)]],tipoEstaca[#Headers],0))</f>
        <v>4</v>
      </c>
      <c r="AG20" s="5">
        <f ca="1">HC[[#This Row],[As,mín (cm²)]]/100^2*HC[[#This Row],[Comprimento (m)]]*7850</f>
        <v>7.4601044550306632</v>
      </c>
      <c r="AH20" s="4">
        <f ca="1">HC[[#This Row],[nE]]*HC[[#This Row],[Prof. (m)]]*HC[[#This Row],[Ap (m²)]]</f>
        <v>11.463377068637882</v>
      </c>
      <c r="AI20" s="1">
        <f ca="1">IF(HC[[#This Row],[nE]]=1,0,MAX(3*HC[[#This Row],[Ø (cm)]],60))</f>
        <v>82.5</v>
      </c>
      <c r="AJ20" s="1">
        <f ca="1">IF(HC[[#This Row],[nE]]=1,HC[[#This Row],[Ø (cm)]]+2*10,MAX(1.5*HC[[#This Row],[Ø (cm)]],HC[[#This Row],[Ø (cm)]]+15))</f>
        <v>42.5</v>
      </c>
      <c r="AK20" s="1" t="str">
        <f ca="1">alturaUtil(HC[[#This Row],[nE]],HC[[#This Row],[Ø (cm)]],HC[[#This Row],[e (cm)]],HC[[#This Row],[ap,eq (cm)]])</f>
        <v>N.S.</v>
      </c>
      <c r="AL20" s="1" t="str">
        <f ca="1">IFERROR(HC[[#This Row],[d (cm)]]+arredondarParaCimaMultiplo5cm(MAX(5,SQRT(PI())/2*HC[[#This Row],[Ø (cm)]]/5)),"N.S.")</f>
        <v>N.S.</v>
      </c>
      <c r="AM20" s="5" t="str">
        <f ca="1">alpha(HC[[#This Row],[nE]],HC[[#This Row],[d (cm)]],HC[[#This Row],[e (cm)]],HC[[#This Row],[ap,eq (cm)]])</f>
        <v>N.S.</v>
      </c>
      <c r="AN20" s="35" t="str">
        <f ca="1">IFERROR(HC[[#This Row],[Nsd (kN)]]/(HC[[#This Row],[Ap (cm²)]]*SIN(HC[[#This Row],[α]])^2),"N.S.")</f>
        <v>N.S.</v>
      </c>
      <c r="AO20" s="35" t="str">
        <f ca="1">IFERROR(HC[[#This Row],[Nsd (kN)]]/(HC[[#This Row],[nE]]*PI()*HC[[#This Row],[Ø (cm)]]^2/4*SIN(HC[[#This Row],[α]])^2),"N.S.")</f>
        <v>N.S.</v>
      </c>
      <c r="AP20" s="4" t="str">
        <f ca="1">IFERROR(INDEX(grupoEstacas[],HC[[#This Row],[nE]],MATCH("coef. Blévot",grupoEstacas[#Headers],0)),"N.S.")</f>
        <v>N.S.</v>
      </c>
      <c r="AQ20" s="35" t="str">
        <f ca="1">IFERROR(HC[[#This Row],[coef. Blévot]]*0.9*INDEX(tipoEstaca[],MATCH($D$2,tipoEstaca[TIPO DE ESTACA],0),MATCH("fcd (kN/cm²)",tipoEstaca[#Headers],0)),"N.S.")</f>
        <v>N.S.</v>
      </c>
      <c r="AR20" s="1" t="str">
        <f ca="1">IF(AND(HC[[#This Row],[cd,b,pil (kN/cm²)]]&lt;=HC[[#This Row],[cd,b,lim (kN/cm²)]],HC[[#This Row],[cd,b,est (kN/cm²)]]&lt;=HC[[#This Row],[cd,b,lim (kN/cm²)]]),"OK","ERRO")</f>
        <v>OK</v>
      </c>
      <c r="AS20" s="4" t="str">
        <f ca="1">As_lado(HC[[#This Row],[nE]],HC[[#This Row],[Nsd (kN)]],HC[[#This Row],[d (cm)]],HC[[#This Row],[e (cm)]],HC[[#This Row],[ap,eq (cm)]])</f>
        <v>N.S.</v>
      </c>
      <c r="AT20" s="4" t="str">
        <f ca="1">IF(HC[[#This Row],[nE]]=1,HC[[#This Row],[As,lado (cm²)]],IF(HC[[#This Row],[nE]]=2,0.075*2*HC[a (cm)],"N.A."))</f>
        <v>N.A.</v>
      </c>
      <c r="AU20" s="4" t="str">
        <f ca="1">IFERROR(IF(HC[[#This Row],[nE]]=1,"N.A.",0.2*HC[[#This Row],[As,lado (cm²)]]),"N.S.")</f>
        <v>N.S.</v>
      </c>
      <c r="AV20" s="4" t="str">
        <f ca="1">As_malha(HC[[#This Row],[nE]],HC[[#This Row],[As,lado (cm²)]],HC[[#This Row],[Nsd (kN)]])</f>
        <v>N.S.</v>
      </c>
      <c r="AW20" s="4" t="str">
        <f ca="1">As_susp_tot(HC[[#This Row],[nE]],HC[[#This Row],[Nsd (kN)]])</f>
        <v>N.S.</v>
      </c>
      <c r="AX20" s="4" t="str">
        <f ca="1">Asp_face(HC[[#This Row],[nE]],HC[[#This Row],[As,lado (cm²)]])</f>
        <v>N.S.</v>
      </c>
      <c r="AY20" s="5" t="str">
        <f ca="1">acoBloco(HC[[#This Row],[nE]],HC[[#This Row],[e (cm)]],HC[[#This Row],[a (cm)]],HC[[#This Row],[h (cm)]],HC[[#This Row],[As,lado (cm²)]],HC[[#This Row],[Asp e Asw (cm²/m)]],HC[[#This Row],[As,sup (cm²)]],HC[[#This Row],[As,malha (cm²)]],HC[[#This Row],[As,susp,tot (cm²)]],HC[[#This Row],[Asp,face (cm²)]])</f>
        <v>N.S.</v>
      </c>
      <c r="AZ20" s="4" t="str">
        <f ca="1">concretoBloco(HC[[#This Row],[nE]],HC[[#This Row],[e (cm)]],HC[[#This Row],[a (cm)]],HC[[#This Row],[h (cm)]])</f>
        <v>N.S.</v>
      </c>
      <c r="BA20" s="5">
        <f ca="1">SUM(HC[[#This Row],[Aço Est (kg)]],HC[[#This Row],[Aço Bloco (kg)]])</f>
        <v>7.4601044550306632</v>
      </c>
      <c r="BB20" s="4">
        <f>INDEX(composicoes[],MATCH(95580,composicoes[CÓDIGO],0),MATCH("CUSTO TOTAL",composicoes[#Headers],0))</f>
        <v>10.46</v>
      </c>
      <c r="BC20" s="4">
        <f ca="1">SUM(HC[[#This Row],[Conc Est (m³)]],HC[[#This Row],[Conc Bloco (m³)]])</f>
        <v>11.463377068637882</v>
      </c>
      <c r="BD20" s="4">
        <f>INDEX(composicoes[],MATCH(94966,composicoes[CÓDIGO],0),MATCH("CUSTO TOTAL",composicoes[#Headers],0))</f>
        <v>439.52</v>
      </c>
      <c r="BE20" s="38">
        <f ca="1">HC[[#This Row],[Aço (kg)]]*HC[[#This Row],[Aço (R$/kg)]]+HC[[#This Row],[Conc (m³)]]*HC[[#This Row],[Conc (R$/m³)]]</f>
        <v>5116.4161818073426</v>
      </c>
      <c r="BF20" s="4" t="str">
        <f ca="1">IF(COUNTIF(HC[#This Row],"N.S.")&gt;0,"lim.","OK")</f>
        <v>lim.</v>
      </c>
      <c r="BG20" s="4" t="str">
        <f>IF(HC[[#This Row],[Prof. (m)]]&lt;4,"lim.","OK")</f>
        <v>lim.</v>
      </c>
      <c r="BH20" s="4" t="str">
        <f>IF(HC[[#This Row],[Prof. (m)]]&gt;=8*HC[[#This Row],[Ø (cm)]]/100,"OK","lim.")</f>
        <v>lim.</v>
      </c>
      <c r="BI20" s="4" t="str">
        <f ca="1">IF(HC[[#This Row],[Verif. Biela]]="OK","OK","lim.")</f>
        <v>OK</v>
      </c>
      <c r="BJ20" s="4" t="str">
        <f ca="1">IF(COUNTA(HC[[#This Row],[Nº Est.]:[Biela comp.]])=COUNTIF(HC[[#This Row],[Nº Est.]:[Biela comp.]],"OK"),"OK","lim.")</f>
        <v>lim.</v>
      </c>
      <c r="BK20" s="4" t="str">
        <f ca="1">IF(HC[[#This Row],[Controle]]="OK",HC[[#This Row],[nE]]&amp;" Ø"&amp;HC[[#This Row],[Ø (cm)]]&amp;"cm Prof. "&amp;HC[[#This Row],[Prof. (m)]]&amp;" m","")</f>
        <v/>
      </c>
      <c r="BL20" s="4" t="str">
        <f ca="1">IF(HC[[#This Row],[idDimensionamento]]="","",HC[[#This Row],[idPilar]]&amp;HC[[#This Row],[idDimensionamento]])</f>
        <v/>
      </c>
    </row>
    <row r="21" spans="2:64" x14ac:dyDescent="0.25">
      <c r="B21" s="12">
        <f>ROUNDUP((ROW(HC[[#This Row],[idDiâmetro]])-ROW(HC[[#Headers],[idDiâmetro]]))/(COUNT(SPT[Prof. (m)])*COUNT(PILARES[Pilar])),0)</f>
        <v>1</v>
      </c>
      <c r="C21" s="12">
        <f>IF(HC[[#This Row],[idDiâmetro]]&lt;&gt;B20,1,IF(HC[[#This Row],[Prof. (m)]]=0,C20+1,C20))</f>
        <v>2</v>
      </c>
      <c r="D21" s="1">
        <f>IFERROR(IF(D20=MAX(SPT[Prof. (m)]),0,D20+1),0)</f>
        <v>2</v>
      </c>
      <c r="E21" s="1">
        <f>INDEX(SPT[],MATCH(HC[[#This Row],[Prof. (m)]],SPT[Prof. (m)],0),2)</f>
        <v>2</v>
      </c>
      <c r="F21" s="1" t="str">
        <f>INDEX(SPT[],MATCH(HC[[#This Row],[Prof. (m)]],SPT[Prof. (m)],0),3)</f>
        <v>Areia siltosa</v>
      </c>
      <c r="G21" s="1">
        <f>INDEX(estacas[],HC[[#This Row],[idDiâmetro]],MATCH($B$2,estacas[#Headers],0))</f>
        <v>27.5</v>
      </c>
      <c r="H21" s="1">
        <f>INDEX(estacas[],MATCH(HC[[#This Row],[Ø (cm)]],estacas[Ø HC (cm)],0),MATCH(HC[[#Headers],[Pe HC (kN)]],estacas[#Headers],0))</f>
        <v>350</v>
      </c>
      <c r="I21" s="4">
        <f>INDEX(K_alpha_C[],MATCH(HC[[#This Row],[Solo]],K_alpha_C[Solo],0),2)</f>
        <v>0.8</v>
      </c>
      <c r="J21" s="5">
        <f>INDEX(K_alpha_C[],MATCH(HC[[#This Row],[Solo]],K_alpha_C[Solo],0),3)</f>
        <v>2</v>
      </c>
      <c r="K21" s="4">
        <f>INDEX(F1_F2[],MATCH($D$2,F1_F2[Tipo de estaca],0),2)</f>
        <v>2</v>
      </c>
      <c r="L21" s="4">
        <f>INDEX(F1_F2[],MATCH($D$2,F1_F2[Tipo de estaca],0),3)</f>
        <v>4</v>
      </c>
      <c r="M21" s="4">
        <f>PI()*(HC[[#This Row],[Ø (cm)]]/100)^2/4</f>
        <v>5.9395736106932037E-2</v>
      </c>
      <c r="N21" s="4">
        <f>PI()*HC[[#This Row],[Ø (cm)]]/100</f>
        <v>0.86393797973719311</v>
      </c>
      <c r="O21" s="4">
        <f>IF(HC[[#This Row],[Prof. (m)]]=0,0,HC[[#This Row],[α (%)]]/100*HC[[#This Row],[K (MPa)]]*1000*HC[[#This Row],[NSPT]])</f>
        <v>32</v>
      </c>
      <c r="P21" s="4">
        <f>IF(HC[[#This Row],[Prof. (m)]]=0,0,(HC[[#This Row],[K (MPa)]]*1000*HC[[#This Row],[NSPT]]/HC[[#This Row],[F1]]*HC[[#This Row],[Ap (m²)]]+HC[[#This Row],[U (m)]]/HC[[#This Row],[F2]]*SUMIFS(HC[(α∙K∙NL∙ΔL)],HC[Prof. (m)],"&lt;="&amp;HC[[#This Row],[Prof. (m)]],HC[idDiâmetro],HC[[#This Row],[idDiâmetro]],HC[idPilar],HC[[#This Row],[idPilar]]))/'DADOS CAP. CARGA'!$D$2)</f>
        <v>30.66979828067036</v>
      </c>
      <c r="Q21" s="12">
        <f>INDEX(C_alpha_beta[],MATCH(HC[[#This Row],[Solo]],C_alpha_beta[Solo],0),MATCH(HC[[#Headers],[C (kPa)]],C_alpha_beta[#Headers],0))</f>
        <v>400</v>
      </c>
      <c r="R21" s="4">
        <f>INDEX(C_alpha_beta[],MATCH(HC[[#This Row],[Solo]],C_alpha_beta[Solo],0),MATCH(HC[[#Headers],[α ESF]],C_alpha_beta[#Headers],0))</f>
        <v>0.5</v>
      </c>
      <c r="S21" s="4">
        <f>INDEX(C_alpha_beta[],MATCH(HC[[#This Row],[Solo]],C_alpha_beta[Solo],0),MATCH(HC[[#Headers],[β ESF]],C_alpha_beta[#Headers],0))</f>
        <v>0.5</v>
      </c>
      <c r="T21" s="4">
        <f>IF(HC[[#This Row],[Prof. (m)]]=0,0,10*(HC[[#This Row],[NSPT]]/3+1))</f>
        <v>16.666666666666664</v>
      </c>
      <c r="U21" s="4">
        <f>(HC[[#This Row],[α ESF]]*HC[[#This Row],[C (kPa)]]*HC[[#This Row],[NSPT]]*HC[[#This Row],[Ap (m²)]])/'DADOS CAP. CARGA'!$Q$2+(HC[[#This Row],[β ESF]]*SUMIFS(HC[10∙(NL/3+1)],HC[Prof. (m)],"&lt;="&amp;HC[[#This Row],[Prof. (m)]],HC[idDiâmetro],HC[[#This Row],[idDiâmetro]],HC[idPilar],HC[[#This Row],[idPilar]])*HC[[#This Row],[U (m)]])/'DADOS CAP. CARGA'!$S$2</f>
        <v>13.139056775169813</v>
      </c>
      <c r="V21" s="4">
        <f>IF(SPT!$M$5=1,MIN(HC[[#This Row],[Pe HC (kN)]],HC[[#This Row],[R_AV (kN)]]),IF(SPT!$M$5=2,MIN(HC[[#This Row],[Pe HC (kN)]],HC[[#This Row],[R_DC (kN)]]),MIN(HC[[#This Row],[Pe HC (kN)]],HC[[#This Row],[R_AV (kN)]],HC[[#This Row],[R_DC (kN)]])))</f>
        <v>13.139056775169813</v>
      </c>
      <c r="W21" s="4">
        <f>INDEX(PILARES[],HC[[#This Row],[idPilar]],MATCH("Carga (kN)",PILARES[#Headers],0))*1.4</f>
        <v>1750</v>
      </c>
      <c r="X21" s="12">
        <f>INDEX(PILARES[],HC[[#This Row],[idPilar]],MATCH(HC[[#Headers],[ap (cm)]],PILARES[#Headers],0))</f>
        <v>50</v>
      </c>
      <c r="Y21" s="12">
        <f>INDEX(PILARES[],HC[[#This Row],[idPilar]],MATCH(HC[[#Headers],[bp (cm)]],PILARES[#Headers],0))</f>
        <v>40</v>
      </c>
      <c r="Z21" s="4">
        <f>SQRT(HC[[#This Row],[ap (cm)]]*HC[[#This Row],[bp (cm)]])</f>
        <v>44.721359549995796</v>
      </c>
      <c r="AA21" s="12">
        <f>HC[[#This Row],[ap (cm)]]*HC[[#This Row],[bp (cm)]]</f>
        <v>2000</v>
      </c>
      <c r="AB21" s="12">
        <f ca="1">IF(HC[[#This Row],[Padm∙ε (kN)]]&gt;=HC[[#This Row],[Padm (kN)]],ROUNDUP(1.05*HC[[#This Row],[Nsd (kN)]]/HC[[#This Row],[Padm (kN)]],0),ROUNDUP(1.05*HC[[#This Row],[Nsd (kN)]]/HC[[#This Row],[Padm (kN)]],0)+1)</f>
        <v>140</v>
      </c>
      <c r="AC21" s="4" t="str">
        <f ca="1">IFERROR(IF(HC[[#This Row],[nE]]=1,HC[[#This Row],[Padm (kN)]],HC[[#This Row],[Padm (kN)]]*HC[[#This Row],[nE]]*INDEX(grupoEstacas[],HC[[#This Row],[nE]],MATCH("ε",grupoEstacas[#Headers],0))),"N.S.")</f>
        <v>N.S.</v>
      </c>
      <c r="AD21" s="4">
        <f ca="1">1.05*HC[[#This Row],[Nsd (kN)]]/(HC[[#This Row],[nE]]*PI()*HC[[#This Row],[Ø (cm)]]^2/4)*10</f>
        <v>0.22097545817717698</v>
      </c>
      <c r="AE21" s="4">
        <f ca="1">IF(HC[[#This Row],[σ (MPa)]]&lt;INDEX(tipoEstaca[],MATCH($D$2,tipoEstaca[TIPO DE ESTACA],0),MATCH("σmáx (MPa)",tipoEstaca[#Headers],0)),0.4%*PI()*HC[[#This Row],[Ø (cm)]]^2/4,"N.S.")</f>
        <v>2.3758294442772812</v>
      </c>
      <c r="AF21" s="1">
        <f>INDEX(tipoEstaca[],MATCH($D$2,tipoEstaca[TIPO DE ESTACA],0),MATCH(HC[[#Headers],[Comprimento (m)]],tipoEstaca[#Headers],0))</f>
        <v>4</v>
      </c>
      <c r="AG21" s="5">
        <f ca="1">HC[[#This Row],[As,mín (cm²)]]/100^2*HC[[#This Row],[Comprimento (m)]]*7850</f>
        <v>7.4601044550306632</v>
      </c>
      <c r="AH21" s="4">
        <f ca="1">HC[[#This Row],[nE]]*HC[[#This Row],[Prof. (m)]]*HC[[#This Row],[Ap (m²)]]</f>
        <v>16.63080610994097</v>
      </c>
      <c r="AI21" s="1">
        <f ca="1">IF(HC[[#This Row],[nE]]=1,0,MAX(3*HC[[#This Row],[Ø (cm)]],60))</f>
        <v>82.5</v>
      </c>
      <c r="AJ21" s="1">
        <f ca="1">IF(HC[[#This Row],[nE]]=1,HC[[#This Row],[Ø (cm)]]+2*10,MAX(1.5*HC[[#This Row],[Ø (cm)]],HC[[#This Row],[Ø (cm)]]+15))</f>
        <v>42.5</v>
      </c>
      <c r="AK21" s="1" t="str">
        <f ca="1">alturaUtil(HC[[#This Row],[nE]],HC[[#This Row],[Ø (cm)]],HC[[#This Row],[e (cm)]],HC[[#This Row],[ap,eq (cm)]])</f>
        <v>N.S.</v>
      </c>
      <c r="AL21" s="1" t="str">
        <f ca="1">IFERROR(HC[[#This Row],[d (cm)]]+arredondarParaCimaMultiplo5cm(MAX(5,SQRT(PI())/2*HC[[#This Row],[Ø (cm)]]/5)),"N.S.")</f>
        <v>N.S.</v>
      </c>
      <c r="AM21" s="5" t="str">
        <f ca="1">alpha(HC[[#This Row],[nE]],HC[[#This Row],[d (cm)]],HC[[#This Row],[e (cm)]],HC[[#This Row],[ap,eq (cm)]])</f>
        <v>N.S.</v>
      </c>
      <c r="AN21" s="35" t="str">
        <f ca="1">IFERROR(HC[[#This Row],[Nsd (kN)]]/(HC[[#This Row],[Ap (cm²)]]*SIN(HC[[#This Row],[α]])^2),"N.S.")</f>
        <v>N.S.</v>
      </c>
      <c r="AO21" s="35" t="str">
        <f ca="1">IFERROR(HC[[#This Row],[Nsd (kN)]]/(HC[[#This Row],[nE]]*PI()*HC[[#This Row],[Ø (cm)]]^2/4*SIN(HC[[#This Row],[α]])^2),"N.S.")</f>
        <v>N.S.</v>
      </c>
      <c r="AP21" s="4" t="str">
        <f ca="1">IFERROR(INDEX(grupoEstacas[],HC[[#This Row],[nE]],MATCH("coef. Blévot",grupoEstacas[#Headers],0)),"N.S.")</f>
        <v>N.S.</v>
      </c>
      <c r="AQ21" s="35" t="str">
        <f ca="1">IFERROR(HC[[#This Row],[coef. Blévot]]*0.9*INDEX(tipoEstaca[],MATCH($D$2,tipoEstaca[TIPO DE ESTACA],0),MATCH("fcd (kN/cm²)",tipoEstaca[#Headers],0)),"N.S.")</f>
        <v>N.S.</v>
      </c>
      <c r="AR21" s="1" t="str">
        <f ca="1">IF(AND(HC[[#This Row],[cd,b,pil (kN/cm²)]]&lt;=HC[[#This Row],[cd,b,lim (kN/cm²)]],HC[[#This Row],[cd,b,est (kN/cm²)]]&lt;=HC[[#This Row],[cd,b,lim (kN/cm²)]]),"OK","ERRO")</f>
        <v>OK</v>
      </c>
      <c r="AS21" s="4" t="str">
        <f ca="1">As_lado(HC[[#This Row],[nE]],HC[[#This Row],[Nsd (kN)]],HC[[#This Row],[d (cm)]],HC[[#This Row],[e (cm)]],HC[[#This Row],[ap,eq (cm)]])</f>
        <v>N.S.</v>
      </c>
      <c r="AT21" s="4" t="str">
        <f ca="1">IF(HC[[#This Row],[nE]]=1,HC[[#This Row],[As,lado (cm²)]],IF(HC[[#This Row],[nE]]=2,0.075*2*HC[a (cm)],"N.A."))</f>
        <v>N.A.</v>
      </c>
      <c r="AU21" s="4" t="str">
        <f ca="1">IFERROR(IF(HC[[#This Row],[nE]]=1,"N.A.",0.2*HC[[#This Row],[As,lado (cm²)]]),"N.S.")</f>
        <v>N.S.</v>
      </c>
      <c r="AV21" s="4" t="str">
        <f ca="1">As_malha(HC[[#This Row],[nE]],HC[[#This Row],[As,lado (cm²)]],HC[[#This Row],[Nsd (kN)]])</f>
        <v>N.S.</v>
      </c>
      <c r="AW21" s="4" t="str">
        <f ca="1">As_susp_tot(HC[[#This Row],[nE]],HC[[#This Row],[Nsd (kN)]])</f>
        <v>N.S.</v>
      </c>
      <c r="AX21" s="4" t="str">
        <f ca="1">Asp_face(HC[[#This Row],[nE]],HC[[#This Row],[As,lado (cm²)]])</f>
        <v>N.S.</v>
      </c>
      <c r="AY21" s="5" t="str">
        <f ca="1">acoBloco(HC[[#This Row],[nE]],HC[[#This Row],[e (cm)]],HC[[#This Row],[a (cm)]],HC[[#This Row],[h (cm)]],HC[[#This Row],[As,lado (cm²)]],HC[[#This Row],[Asp e Asw (cm²/m)]],HC[[#This Row],[As,sup (cm²)]],HC[[#This Row],[As,malha (cm²)]],HC[[#This Row],[As,susp,tot (cm²)]],HC[[#This Row],[Asp,face (cm²)]])</f>
        <v>N.S.</v>
      </c>
      <c r="AZ21" s="4" t="str">
        <f ca="1">concretoBloco(HC[[#This Row],[nE]],HC[[#This Row],[e (cm)]],HC[[#This Row],[a (cm)]],HC[[#This Row],[h (cm)]])</f>
        <v>N.S.</v>
      </c>
      <c r="BA21" s="5">
        <f ca="1">SUM(HC[[#This Row],[Aço Est (kg)]],HC[[#This Row],[Aço Bloco (kg)]])</f>
        <v>7.4601044550306632</v>
      </c>
      <c r="BB21" s="4">
        <f>INDEX(composicoes[],MATCH(95580,composicoes[CÓDIGO],0),MATCH("CUSTO TOTAL",composicoes[#Headers],0))</f>
        <v>10.46</v>
      </c>
      <c r="BC21" s="4">
        <f ca="1">SUM(HC[[#This Row],[Conc Est (m³)]],HC[[#This Row],[Conc Bloco (m³)]])</f>
        <v>16.63080610994097</v>
      </c>
      <c r="BD21" s="4">
        <f>INDEX(composicoes[],MATCH(94966,composicoes[CÓDIGO],0),MATCH("CUSTO TOTAL",composicoes[#Headers],0))</f>
        <v>439.52</v>
      </c>
      <c r="BE21" s="38">
        <f ca="1">HC[[#This Row],[Aço (kg)]]*HC[[#This Row],[Aço (R$/kg)]]+HC[[#This Row],[Conc (m³)]]*HC[[#This Row],[Conc (R$/m³)]]</f>
        <v>7387.6045940408749</v>
      </c>
      <c r="BF21" s="4" t="str">
        <f ca="1">IF(COUNTIF(HC[#This Row],"N.S.")&gt;0,"lim.","OK")</f>
        <v>lim.</v>
      </c>
      <c r="BG21" s="4" t="str">
        <f>IF(HC[[#This Row],[Prof. (m)]]&lt;4,"lim.","OK")</f>
        <v>lim.</v>
      </c>
      <c r="BH21" s="4" t="str">
        <f>IF(HC[[#This Row],[Prof. (m)]]&gt;=8*HC[[#This Row],[Ø (cm)]]/100,"OK","lim.")</f>
        <v>lim.</v>
      </c>
      <c r="BI21" s="4" t="str">
        <f ca="1">IF(HC[[#This Row],[Verif. Biela]]="OK","OK","lim.")</f>
        <v>OK</v>
      </c>
      <c r="BJ21" s="4" t="str">
        <f ca="1">IF(COUNTA(HC[[#This Row],[Nº Est.]:[Biela comp.]])=COUNTIF(HC[[#This Row],[Nº Est.]:[Biela comp.]],"OK"),"OK","lim.")</f>
        <v>lim.</v>
      </c>
      <c r="BK21" s="4" t="str">
        <f ca="1">IF(HC[[#This Row],[Controle]]="OK",HC[[#This Row],[nE]]&amp;" Ø"&amp;HC[[#This Row],[Ø (cm)]]&amp;"cm Prof. "&amp;HC[[#This Row],[Prof. (m)]]&amp;" m","")</f>
        <v/>
      </c>
      <c r="BL21" s="4" t="str">
        <f ca="1">IF(HC[[#This Row],[idDimensionamento]]="","",HC[[#This Row],[idPilar]]&amp;HC[[#This Row],[idDimensionamento]])</f>
        <v/>
      </c>
    </row>
    <row r="22" spans="2:64" x14ac:dyDescent="0.25">
      <c r="B22" s="12">
        <f>ROUNDUP((ROW(HC[[#This Row],[idDiâmetro]])-ROW(HC[[#Headers],[idDiâmetro]]))/(COUNT(SPT[Prof. (m)])*COUNT(PILARES[Pilar])),0)</f>
        <v>1</v>
      </c>
      <c r="C22" s="12">
        <f>IF(HC[[#This Row],[idDiâmetro]]&lt;&gt;B21,1,IF(HC[[#This Row],[Prof. (m)]]=0,C21+1,C21))</f>
        <v>2</v>
      </c>
      <c r="D22" s="1">
        <f>IFERROR(IF(D21=MAX(SPT[Prof. (m)]),0,D21+1),0)</f>
        <v>3</v>
      </c>
      <c r="E22" s="1">
        <f>INDEX(SPT[],MATCH(HC[[#This Row],[Prof. (m)]],SPT[Prof. (m)],0),2)</f>
        <v>4</v>
      </c>
      <c r="F22" s="1" t="str">
        <f>INDEX(SPT[],MATCH(HC[[#This Row],[Prof. (m)]],SPT[Prof. (m)],0),3)</f>
        <v>Areia siltosa</v>
      </c>
      <c r="G22" s="1">
        <f>INDEX(estacas[],HC[[#This Row],[idDiâmetro]],MATCH($B$2,estacas[#Headers],0))</f>
        <v>27.5</v>
      </c>
      <c r="H22" s="1">
        <f>INDEX(estacas[],MATCH(HC[[#This Row],[Ø (cm)]],estacas[Ø HC (cm)],0),MATCH(HC[[#Headers],[Pe HC (kN)]],estacas[#Headers],0))</f>
        <v>350</v>
      </c>
      <c r="I22" s="4">
        <f>INDEX(K_alpha_C[],MATCH(HC[[#This Row],[Solo]],K_alpha_C[Solo],0),2)</f>
        <v>0.8</v>
      </c>
      <c r="J22" s="5">
        <f>INDEX(K_alpha_C[],MATCH(HC[[#This Row],[Solo]],K_alpha_C[Solo],0),3)</f>
        <v>2</v>
      </c>
      <c r="K22" s="4">
        <f>INDEX(F1_F2[],MATCH($D$2,F1_F2[Tipo de estaca],0),2)</f>
        <v>2</v>
      </c>
      <c r="L22" s="4">
        <f>INDEX(F1_F2[],MATCH($D$2,F1_F2[Tipo de estaca],0),3)</f>
        <v>4</v>
      </c>
      <c r="M22" s="4">
        <f>PI()*(HC[[#This Row],[Ø (cm)]]/100)^2/4</f>
        <v>5.9395736106932037E-2</v>
      </c>
      <c r="N22" s="4">
        <f>PI()*HC[[#This Row],[Ø (cm)]]/100</f>
        <v>0.86393797973719311</v>
      </c>
      <c r="O22" s="4">
        <f>IF(HC[[#This Row],[Prof. (m)]]=0,0,HC[[#This Row],[α (%)]]/100*HC[[#This Row],[K (MPa)]]*1000*HC[[#This Row],[NSPT]])</f>
        <v>64</v>
      </c>
      <c r="P22" s="4">
        <f>IF(HC[[#This Row],[Prof. (m)]]=0,0,(HC[[#This Row],[K (MPa)]]*1000*HC[[#This Row],[NSPT]]/HC[[#This Row],[F1]]*HC[[#This Row],[Ap (m²)]]+HC[[#This Row],[U (m)]]/HC[[#This Row],[F2]]*SUMIFS(HC[(α∙K∙NL∙ΔL)],HC[Prof. (m)],"&lt;="&amp;HC[[#This Row],[Prof. (m)]],HC[idDiâmetro],HC[[#This Row],[idDiâmetro]],HC[idPilar],HC[[#This Row],[idPilar]]))/'DADOS CAP. CARGA'!$D$2)</f>
        <v>61.33959656134072</v>
      </c>
      <c r="Q22" s="12">
        <f>INDEX(C_alpha_beta[],MATCH(HC[[#This Row],[Solo]],C_alpha_beta[Solo],0),MATCH(HC[[#Headers],[C (kPa)]],C_alpha_beta[#Headers],0))</f>
        <v>400</v>
      </c>
      <c r="R22" s="4">
        <f>INDEX(C_alpha_beta[],MATCH(HC[[#This Row],[Solo]],C_alpha_beta[Solo],0),MATCH(HC[[#Headers],[α ESF]],C_alpha_beta[#Headers],0))</f>
        <v>0.5</v>
      </c>
      <c r="S22" s="4">
        <f>INDEX(C_alpha_beta[],MATCH(HC[[#This Row],[Solo]],C_alpha_beta[Solo],0),MATCH(HC[[#Headers],[β ESF]],C_alpha_beta[#Headers],0))</f>
        <v>0.5</v>
      </c>
      <c r="T22" s="4">
        <f>IF(HC[[#This Row],[Prof. (m)]]=0,0,10*(HC[[#This Row],[NSPT]]/3+1))</f>
        <v>23.333333333333329</v>
      </c>
      <c r="U22" s="4">
        <f>(HC[[#This Row],[α ESF]]*HC[[#This Row],[C (kPa)]]*HC[[#This Row],[NSPT]]*HC[[#This Row],[Ap (m²)]])/'DADOS CAP. CARGA'!$Q$2+(HC[[#This Row],[β ESF]]*SUMIFS(HC[10∙(NL/3+1)],HC[Prof. (m)],"&lt;="&amp;HC[[#This Row],[Prof. (m)]],HC[idDiâmetro],HC[[#This Row],[idDiâmetro]],HC[idPilar],HC[[#This Row],[idPilar]])*HC[[#This Row],[U (m)]])/'DADOS CAP. CARGA'!$S$2</f>
        <v>24.118268600996643</v>
      </c>
      <c r="V22" s="4">
        <f>IF(SPT!$M$5=1,MIN(HC[[#This Row],[Pe HC (kN)]],HC[[#This Row],[R_AV (kN)]]),IF(SPT!$M$5=2,MIN(HC[[#This Row],[Pe HC (kN)]],HC[[#This Row],[R_DC (kN)]]),MIN(HC[[#This Row],[Pe HC (kN)]],HC[[#This Row],[R_AV (kN)]],HC[[#This Row],[R_DC (kN)]])))</f>
        <v>24.118268600996643</v>
      </c>
      <c r="W22" s="4">
        <f>INDEX(PILARES[],HC[[#This Row],[idPilar]],MATCH("Carga (kN)",PILARES[#Headers],0))*1.4</f>
        <v>1750</v>
      </c>
      <c r="X22" s="12">
        <f>INDEX(PILARES[],HC[[#This Row],[idPilar]],MATCH(HC[[#Headers],[ap (cm)]],PILARES[#Headers],0))</f>
        <v>50</v>
      </c>
      <c r="Y22" s="12">
        <f>INDEX(PILARES[],HC[[#This Row],[idPilar]],MATCH(HC[[#Headers],[bp (cm)]],PILARES[#Headers],0))</f>
        <v>40</v>
      </c>
      <c r="Z22" s="4">
        <f>SQRT(HC[[#This Row],[ap (cm)]]*HC[[#This Row],[bp (cm)]])</f>
        <v>44.721359549995796</v>
      </c>
      <c r="AA22" s="12">
        <f>HC[[#This Row],[ap (cm)]]*HC[[#This Row],[bp (cm)]]</f>
        <v>2000</v>
      </c>
      <c r="AB22" s="12">
        <f ca="1">IF(HC[[#This Row],[Padm∙ε (kN)]]&gt;=HC[[#This Row],[Padm (kN)]],ROUNDUP(1.05*HC[[#This Row],[Nsd (kN)]]/HC[[#This Row],[Padm (kN)]],0),ROUNDUP(1.05*HC[[#This Row],[Nsd (kN)]]/HC[[#This Row],[Padm (kN)]],0)+1)</f>
        <v>77</v>
      </c>
      <c r="AC22" s="4" t="str">
        <f ca="1">IFERROR(IF(HC[[#This Row],[nE]]=1,HC[[#This Row],[Padm (kN)]],HC[[#This Row],[Padm (kN)]]*HC[[#This Row],[nE]]*INDEX(grupoEstacas[],HC[[#This Row],[nE]],MATCH("ε",grupoEstacas[#Headers],0))),"N.S.")</f>
        <v>N.S.</v>
      </c>
      <c r="AD22" s="4">
        <f ca="1">1.05*HC[[#This Row],[Nsd (kN)]]/(HC[[#This Row],[nE]]*PI()*HC[[#This Row],[Ø (cm)]]^2/4)*10</f>
        <v>0.40177356032214001</v>
      </c>
      <c r="AE22" s="4">
        <f ca="1">IF(HC[[#This Row],[σ (MPa)]]&lt;INDEX(tipoEstaca[],MATCH($D$2,tipoEstaca[TIPO DE ESTACA],0),MATCH("σmáx (MPa)",tipoEstaca[#Headers],0)),0.4%*PI()*HC[[#This Row],[Ø (cm)]]^2/4,"N.S.")</f>
        <v>2.3758294442772812</v>
      </c>
      <c r="AF22" s="1">
        <f>INDEX(tipoEstaca[],MATCH($D$2,tipoEstaca[TIPO DE ESTACA],0),MATCH(HC[[#Headers],[Comprimento (m)]],tipoEstaca[#Headers],0))</f>
        <v>4</v>
      </c>
      <c r="AG22" s="5">
        <f ca="1">HC[[#This Row],[As,mín (cm²)]]/100^2*HC[[#This Row],[Comprimento (m)]]*7850</f>
        <v>7.4601044550306632</v>
      </c>
      <c r="AH22" s="4">
        <f ca="1">HC[[#This Row],[nE]]*HC[[#This Row],[Prof. (m)]]*HC[[#This Row],[Ap (m²)]]</f>
        <v>13.720415040701301</v>
      </c>
      <c r="AI22" s="1">
        <f ca="1">IF(HC[[#This Row],[nE]]=1,0,MAX(3*HC[[#This Row],[Ø (cm)]],60))</f>
        <v>82.5</v>
      </c>
      <c r="AJ22" s="1">
        <f ca="1">IF(HC[[#This Row],[nE]]=1,HC[[#This Row],[Ø (cm)]]+2*10,MAX(1.5*HC[[#This Row],[Ø (cm)]],HC[[#This Row],[Ø (cm)]]+15))</f>
        <v>42.5</v>
      </c>
      <c r="AK22" s="1" t="str">
        <f ca="1">alturaUtil(HC[[#This Row],[nE]],HC[[#This Row],[Ø (cm)]],HC[[#This Row],[e (cm)]],HC[[#This Row],[ap,eq (cm)]])</f>
        <v>N.S.</v>
      </c>
      <c r="AL22" s="1" t="str">
        <f ca="1">IFERROR(HC[[#This Row],[d (cm)]]+arredondarParaCimaMultiplo5cm(MAX(5,SQRT(PI())/2*HC[[#This Row],[Ø (cm)]]/5)),"N.S.")</f>
        <v>N.S.</v>
      </c>
      <c r="AM22" s="5" t="str">
        <f ca="1">alpha(HC[[#This Row],[nE]],HC[[#This Row],[d (cm)]],HC[[#This Row],[e (cm)]],HC[[#This Row],[ap,eq (cm)]])</f>
        <v>N.S.</v>
      </c>
      <c r="AN22" s="35" t="str">
        <f ca="1">IFERROR(HC[[#This Row],[Nsd (kN)]]/(HC[[#This Row],[Ap (cm²)]]*SIN(HC[[#This Row],[α]])^2),"N.S.")</f>
        <v>N.S.</v>
      </c>
      <c r="AO22" s="35" t="str">
        <f ca="1">IFERROR(HC[[#This Row],[Nsd (kN)]]/(HC[[#This Row],[nE]]*PI()*HC[[#This Row],[Ø (cm)]]^2/4*SIN(HC[[#This Row],[α]])^2),"N.S.")</f>
        <v>N.S.</v>
      </c>
      <c r="AP22" s="4" t="str">
        <f ca="1">IFERROR(INDEX(grupoEstacas[],HC[[#This Row],[nE]],MATCH("coef. Blévot",grupoEstacas[#Headers],0)),"N.S.")</f>
        <v>N.S.</v>
      </c>
      <c r="AQ22" s="35" t="str">
        <f ca="1">IFERROR(HC[[#This Row],[coef. Blévot]]*0.9*INDEX(tipoEstaca[],MATCH($D$2,tipoEstaca[TIPO DE ESTACA],0),MATCH("fcd (kN/cm²)",tipoEstaca[#Headers],0)),"N.S.")</f>
        <v>N.S.</v>
      </c>
      <c r="AR22" s="1" t="str">
        <f ca="1">IF(AND(HC[[#This Row],[cd,b,pil (kN/cm²)]]&lt;=HC[[#This Row],[cd,b,lim (kN/cm²)]],HC[[#This Row],[cd,b,est (kN/cm²)]]&lt;=HC[[#This Row],[cd,b,lim (kN/cm²)]]),"OK","ERRO")</f>
        <v>OK</v>
      </c>
      <c r="AS22" s="4" t="str">
        <f ca="1">As_lado(HC[[#This Row],[nE]],HC[[#This Row],[Nsd (kN)]],HC[[#This Row],[d (cm)]],HC[[#This Row],[e (cm)]],HC[[#This Row],[ap,eq (cm)]])</f>
        <v>N.S.</v>
      </c>
      <c r="AT22" s="4" t="str">
        <f ca="1">IF(HC[[#This Row],[nE]]=1,HC[[#This Row],[As,lado (cm²)]],IF(HC[[#This Row],[nE]]=2,0.075*2*HC[a (cm)],"N.A."))</f>
        <v>N.A.</v>
      </c>
      <c r="AU22" s="4" t="str">
        <f ca="1">IFERROR(IF(HC[[#This Row],[nE]]=1,"N.A.",0.2*HC[[#This Row],[As,lado (cm²)]]),"N.S.")</f>
        <v>N.S.</v>
      </c>
      <c r="AV22" s="4" t="str">
        <f ca="1">As_malha(HC[[#This Row],[nE]],HC[[#This Row],[As,lado (cm²)]],HC[[#This Row],[Nsd (kN)]])</f>
        <v>N.S.</v>
      </c>
      <c r="AW22" s="4" t="str">
        <f ca="1">As_susp_tot(HC[[#This Row],[nE]],HC[[#This Row],[Nsd (kN)]])</f>
        <v>N.S.</v>
      </c>
      <c r="AX22" s="4" t="str">
        <f ca="1">Asp_face(HC[[#This Row],[nE]],HC[[#This Row],[As,lado (cm²)]])</f>
        <v>N.S.</v>
      </c>
      <c r="AY22" s="5" t="str">
        <f ca="1">acoBloco(HC[[#This Row],[nE]],HC[[#This Row],[e (cm)]],HC[[#This Row],[a (cm)]],HC[[#This Row],[h (cm)]],HC[[#This Row],[As,lado (cm²)]],HC[[#This Row],[Asp e Asw (cm²/m)]],HC[[#This Row],[As,sup (cm²)]],HC[[#This Row],[As,malha (cm²)]],HC[[#This Row],[As,susp,tot (cm²)]],HC[[#This Row],[Asp,face (cm²)]])</f>
        <v>N.S.</v>
      </c>
      <c r="AZ22" s="4" t="str">
        <f ca="1">concretoBloco(HC[[#This Row],[nE]],HC[[#This Row],[e (cm)]],HC[[#This Row],[a (cm)]],HC[[#This Row],[h (cm)]])</f>
        <v>N.S.</v>
      </c>
      <c r="BA22" s="5">
        <f ca="1">SUM(HC[[#This Row],[Aço Est (kg)]],HC[[#This Row],[Aço Bloco (kg)]])</f>
        <v>7.4601044550306632</v>
      </c>
      <c r="BB22" s="4">
        <f>INDEX(composicoes[],MATCH(95580,composicoes[CÓDIGO],0),MATCH("CUSTO TOTAL",composicoes[#Headers],0))</f>
        <v>10.46</v>
      </c>
      <c r="BC22" s="4">
        <f ca="1">SUM(HC[[#This Row],[Conc Est (m³)]],HC[[#This Row],[Conc Bloco (m³)]])</f>
        <v>13.720415040701301</v>
      </c>
      <c r="BD22" s="4">
        <f>INDEX(composicoes[],MATCH(94966,composicoes[CÓDIGO],0),MATCH("CUSTO TOTAL",composicoes[#Headers],0))</f>
        <v>439.52</v>
      </c>
      <c r="BE22" s="38">
        <f ca="1">HC[[#This Row],[Aço (kg)]]*HC[[#This Row],[Aço (R$/kg)]]+HC[[#This Row],[Conc (m³)]]*HC[[#This Row],[Conc (R$/m³)]]</f>
        <v>6108.4295112886557</v>
      </c>
      <c r="BF22" s="4" t="str">
        <f ca="1">IF(COUNTIF(HC[#This Row],"N.S.")&gt;0,"lim.","OK")</f>
        <v>lim.</v>
      </c>
      <c r="BG22" s="4" t="str">
        <f>IF(HC[[#This Row],[Prof. (m)]]&lt;4,"lim.","OK")</f>
        <v>lim.</v>
      </c>
      <c r="BH22" s="4" t="str">
        <f>IF(HC[[#This Row],[Prof. (m)]]&gt;=8*HC[[#This Row],[Ø (cm)]]/100,"OK","lim.")</f>
        <v>OK</v>
      </c>
      <c r="BI22" s="4" t="str">
        <f ca="1">IF(HC[[#This Row],[Verif. Biela]]="OK","OK","lim.")</f>
        <v>OK</v>
      </c>
      <c r="BJ22" s="4" t="str">
        <f ca="1">IF(COUNTA(HC[[#This Row],[Nº Est.]:[Biela comp.]])=COUNTIF(HC[[#This Row],[Nº Est.]:[Biela comp.]],"OK"),"OK","lim.")</f>
        <v>lim.</v>
      </c>
      <c r="BK22" s="4" t="str">
        <f ca="1">IF(HC[[#This Row],[Controle]]="OK",HC[[#This Row],[nE]]&amp;" Ø"&amp;HC[[#This Row],[Ø (cm)]]&amp;"cm Prof. "&amp;HC[[#This Row],[Prof. (m)]]&amp;" m","")</f>
        <v/>
      </c>
      <c r="BL22" s="4" t="str">
        <f ca="1">IF(HC[[#This Row],[idDimensionamento]]="","",HC[[#This Row],[idPilar]]&amp;HC[[#This Row],[idDimensionamento]])</f>
        <v/>
      </c>
    </row>
    <row r="23" spans="2:64" x14ac:dyDescent="0.25">
      <c r="B23" s="12">
        <f>ROUNDUP((ROW(HC[[#This Row],[idDiâmetro]])-ROW(HC[[#Headers],[idDiâmetro]]))/(COUNT(SPT[Prof. (m)])*COUNT(PILARES[Pilar])),0)</f>
        <v>1</v>
      </c>
      <c r="C23" s="12">
        <f>IF(HC[[#This Row],[idDiâmetro]]&lt;&gt;B22,1,IF(HC[[#This Row],[Prof. (m)]]=0,C22+1,C22))</f>
        <v>2</v>
      </c>
      <c r="D23" s="1">
        <f>IFERROR(IF(D22=MAX(SPT[Prof. (m)]),0,D22+1),0)</f>
        <v>4</v>
      </c>
      <c r="E23" s="1">
        <f>INDEX(SPT[],MATCH(HC[[#This Row],[Prof. (m)]],SPT[Prof. (m)],0),2)</f>
        <v>8</v>
      </c>
      <c r="F23" s="1" t="str">
        <f>INDEX(SPT[],MATCH(HC[[#This Row],[Prof. (m)]],SPT[Prof. (m)],0),3)</f>
        <v>Areia siltosa</v>
      </c>
      <c r="G23" s="1">
        <f>INDEX(estacas[],HC[[#This Row],[idDiâmetro]],MATCH($B$2,estacas[#Headers],0))</f>
        <v>27.5</v>
      </c>
      <c r="H23" s="1">
        <f>INDEX(estacas[],MATCH(HC[[#This Row],[Ø (cm)]],estacas[Ø HC (cm)],0),MATCH(HC[[#Headers],[Pe HC (kN)]],estacas[#Headers],0))</f>
        <v>350</v>
      </c>
      <c r="I23" s="4">
        <f>INDEX(K_alpha_C[],MATCH(HC[[#This Row],[Solo]],K_alpha_C[Solo],0),2)</f>
        <v>0.8</v>
      </c>
      <c r="J23" s="5">
        <f>INDEX(K_alpha_C[],MATCH(HC[[#This Row],[Solo]],K_alpha_C[Solo],0),3)</f>
        <v>2</v>
      </c>
      <c r="K23" s="4">
        <f>INDEX(F1_F2[],MATCH($D$2,F1_F2[Tipo de estaca],0),2)</f>
        <v>2</v>
      </c>
      <c r="L23" s="4">
        <f>INDEX(F1_F2[],MATCH($D$2,F1_F2[Tipo de estaca],0),3)</f>
        <v>4</v>
      </c>
      <c r="M23" s="4">
        <f>PI()*(HC[[#This Row],[Ø (cm)]]/100)^2/4</f>
        <v>5.9395736106932037E-2</v>
      </c>
      <c r="N23" s="4">
        <f>PI()*HC[[#This Row],[Ø (cm)]]/100</f>
        <v>0.86393797973719311</v>
      </c>
      <c r="O23" s="4">
        <f>IF(HC[[#This Row],[Prof. (m)]]=0,0,HC[[#This Row],[α (%)]]/100*HC[[#This Row],[K (MPa)]]*1000*HC[[#This Row],[NSPT]])</f>
        <v>128</v>
      </c>
      <c r="P23" s="4">
        <f>IF(HC[[#This Row],[Prof. (m)]]=0,0,(HC[[#This Row],[K (MPa)]]*1000*HC[[#This Row],[NSPT]]/HC[[#This Row],[F1]]*HC[[#This Row],[Ap (m²)]]+HC[[#This Row],[U (m)]]/HC[[#This Row],[F2]]*SUMIFS(HC[(α∙K∙NL∙ΔL)],HC[Prof. (m)],"&lt;="&amp;HC[[#This Row],[Prof. (m)]],HC[idDiâmetro],HC[[#This Row],[idDiâmetro]],HC[idPilar],HC[[#This Row],[idPilar]]))/'DADOS CAP. CARGA'!$D$2)</f>
        <v>122.67919312268144</v>
      </c>
      <c r="Q23" s="12">
        <f>INDEX(C_alpha_beta[],MATCH(HC[[#This Row],[Solo]],C_alpha_beta[Solo],0),MATCH(HC[[#Headers],[C (kPa)]],C_alpha_beta[#Headers],0))</f>
        <v>400</v>
      </c>
      <c r="R23" s="4">
        <f>INDEX(C_alpha_beta[],MATCH(HC[[#This Row],[Solo]],C_alpha_beta[Solo],0),MATCH(HC[[#Headers],[α ESF]],C_alpha_beta[#Headers],0))</f>
        <v>0.5</v>
      </c>
      <c r="S23" s="4">
        <f>INDEX(C_alpha_beta[],MATCH(HC[[#This Row],[Solo]],C_alpha_beta[Solo],0),MATCH(HC[[#Headers],[β ESF]],C_alpha_beta[#Headers],0))</f>
        <v>0.5</v>
      </c>
      <c r="T23" s="4">
        <f>IF(HC[[#This Row],[Prof. (m)]]=0,0,10*(HC[[#This Row],[NSPT]]/3+1))</f>
        <v>36.666666666666664</v>
      </c>
      <c r="U23" s="4">
        <f>(HC[[#This Row],[α ESF]]*HC[[#This Row],[C (kPa)]]*HC[[#This Row],[NSPT]]*HC[[#This Row],[Ap (m²)]])/'DADOS CAP. CARGA'!$Q$2+(HC[[#This Row],[β ESF]]*SUMIFS(HC[10∙(NL/3+1)],HC[Prof. (m)],"&lt;="&amp;HC[[#This Row],[Prof. (m)]],HC[idDiâmetro],HC[[#This Row],[idDiâmetro]],HC[idPilar],HC[[#This Row],[idPilar]])*HC[[#This Row],[U (m)]])/'DADOS CAP. CARGA'!$S$2</f>
        <v>43.916847303307321</v>
      </c>
      <c r="V23" s="4">
        <f>IF(SPT!$M$5=1,MIN(HC[[#This Row],[Pe HC (kN)]],HC[[#This Row],[R_AV (kN)]]),IF(SPT!$M$5=2,MIN(HC[[#This Row],[Pe HC (kN)]],HC[[#This Row],[R_DC (kN)]]),MIN(HC[[#This Row],[Pe HC (kN)]],HC[[#This Row],[R_AV (kN)]],HC[[#This Row],[R_DC (kN)]])))</f>
        <v>43.916847303307321</v>
      </c>
      <c r="W23" s="4">
        <f>INDEX(PILARES[],HC[[#This Row],[idPilar]],MATCH("Carga (kN)",PILARES[#Headers],0))*1.4</f>
        <v>1750</v>
      </c>
      <c r="X23" s="12">
        <f>INDEX(PILARES[],HC[[#This Row],[idPilar]],MATCH(HC[[#Headers],[ap (cm)]],PILARES[#Headers],0))</f>
        <v>50</v>
      </c>
      <c r="Y23" s="12">
        <f>INDEX(PILARES[],HC[[#This Row],[idPilar]],MATCH(HC[[#Headers],[bp (cm)]],PILARES[#Headers],0))</f>
        <v>40</v>
      </c>
      <c r="Z23" s="4">
        <f>SQRT(HC[[#This Row],[ap (cm)]]*HC[[#This Row],[bp (cm)]])</f>
        <v>44.721359549995796</v>
      </c>
      <c r="AA23" s="12">
        <f>HC[[#This Row],[ap (cm)]]*HC[[#This Row],[bp (cm)]]</f>
        <v>2000</v>
      </c>
      <c r="AB23" s="12">
        <f ca="1">IF(HC[[#This Row],[Padm∙ε (kN)]]&gt;=HC[[#This Row],[Padm (kN)]],ROUNDUP(1.05*HC[[#This Row],[Nsd (kN)]]/HC[[#This Row],[Padm (kN)]],0),ROUNDUP(1.05*HC[[#This Row],[Nsd (kN)]]/HC[[#This Row],[Padm (kN)]],0)+1)</f>
        <v>42</v>
      </c>
      <c r="AC23" s="4" t="str">
        <f ca="1">IFERROR(IF(HC[[#This Row],[nE]]=1,HC[[#This Row],[Padm (kN)]],HC[[#This Row],[Padm (kN)]]*HC[[#This Row],[nE]]*INDEX(grupoEstacas[],HC[[#This Row],[nE]],MATCH("ε",grupoEstacas[#Headers],0))),"N.S.")</f>
        <v>N.S.</v>
      </c>
      <c r="AD23" s="4">
        <f ca="1">1.05*HC[[#This Row],[Nsd (kN)]]/(HC[[#This Row],[nE]]*PI()*HC[[#This Row],[Ø (cm)]]^2/4)*10</f>
        <v>0.73658486059059003</v>
      </c>
      <c r="AE23" s="4">
        <f ca="1">IF(HC[[#This Row],[σ (MPa)]]&lt;INDEX(tipoEstaca[],MATCH($D$2,tipoEstaca[TIPO DE ESTACA],0),MATCH("σmáx (MPa)",tipoEstaca[#Headers],0)),0.4%*PI()*HC[[#This Row],[Ø (cm)]]^2/4,"N.S.")</f>
        <v>2.3758294442772812</v>
      </c>
      <c r="AF23" s="1">
        <f>INDEX(tipoEstaca[],MATCH($D$2,tipoEstaca[TIPO DE ESTACA],0),MATCH(HC[[#Headers],[Comprimento (m)]],tipoEstaca[#Headers],0))</f>
        <v>4</v>
      </c>
      <c r="AG23" s="5">
        <f ca="1">HC[[#This Row],[As,mín (cm²)]]/100^2*HC[[#This Row],[Comprimento (m)]]*7850</f>
        <v>7.4601044550306632</v>
      </c>
      <c r="AH23" s="4">
        <f ca="1">HC[[#This Row],[nE]]*HC[[#This Row],[Prof. (m)]]*HC[[#This Row],[Ap (m²)]]</f>
        <v>9.9784836659645819</v>
      </c>
      <c r="AI23" s="1">
        <f ca="1">IF(HC[[#This Row],[nE]]=1,0,MAX(3*HC[[#This Row],[Ø (cm)]],60))</f>
        <v>82.5</v>
      </c>
      <c r="AJ23" s="1">
        <f ca="1">IF(HC[[#This Row],[nE]]=1,HC[[#This Row],[Ø (cm)]]+2*10,MAX(1.5*HC[[#This Row],[Ø (cm)]],HC[[#This Row],[Ø (cm)]]+15))</f>
        <v>42.5</v>
      </c>
      <c r="AK23" s="1" t="str">
        <f ca="1">alturaUtil(HC[[#This Row],[nE]],HC[[#This Row],[Ø (cm)]],HC[[#This Row],[e (cm)]],HC[[#This Row],[ap,eq (cm)]])</f>
        <v>N.S.</v>
      </c>
      <c r="AL23" s="1" t="str">
        <f ca="1">IFERROR(HC[[#This Row],[d (cm)]]+arredondarParaCimaMultiplo5cm(MAX(5,SQRT(PI())/2*HC[[#This Row],[Ø (cm)]]/5)),"N.S.")</f>
        <v>N.S.</v>
      </c>
      <c r="AM23" s="5" t="str">
        <f ca="1">alpha(HC[[#This Row],[nE]],HC[[#This Row],[d (cm)]],HC[[#This Row],[e (cm)]],HC[[#This Row],[ap,eq (cm)]])</f>
        <v>N.S.</v>
      </c>
      <c r="AN23" s="35" t="str">
        <f ca="1">IFERROR(HC[[#This Row],[Nsd (kN)]]/(HC[[#This Row],[Ap (cm²)]]*SIN(HC[[#This Row],[α]])^2),"N.S.")</f>
        <v>N.S.</v>
      </c>
      <c r="AO23" s="35" t="str">
        <f ca="1">IFERROR(HC[[#This Row],[Nsd (kN)]]/(HC[[#This Row],[nE]]*PI()*HC[[#This Row],[Ø (cm)]]^2/4*SIN(HC[[#This Row],[α]])^2),"N.S.")</f>
        <v>N.S.</v>
      </c>
      <c r="AP23" s="4" t="str">
        <f ca="1">IFERROR(INDEX(grupoEstacas[],HC[[#This Row],[nE]],MATCH("coef. Blévot",grupoEstacas[#Headers],0)),"N.S.")</f>
        <v>N.S.</v>
      </c>
      <c r="AQ23" s="35" t="str">
        <f ca="1">IFERROR(HC[[#This Row],[coef. Blévot]]*0.9*INDEX(tipoEstaca[],MATCH($D$2,tipoEstaca[TIPO DE ESTACA],0),MATCH("fcd (kN/cm²)",tipoEstaca[#Headers],0)),"N.S.")</f>
        <v>N.S.</v>
      </c>
      <c r="AR23" s="1" t="str">
        <f ca="1">IF(AND(HC[[#This Row],[cd,b,pil (kN/cm²)]]&lt;=HC[[#This Row],[cd,b,lim (kN/cm²)]],HC[[#This Row],[cd,b,est (kN/cm²)]]&lt;=HC[[#This Row],[cd,b,lim (kN/cm²)]]),"OK","ERRO")</f>
        <v>OK</v>
      </c>
      <c r="AS23" s="4" t="str">
        <f ca="1">As_lado(HC[[#This Row],[nE]],HC[[#This Row],[Nsd (kN)]],HC[[#This Row],[d (cm)]],HC[[#This Row],[e (cm)]],HC[[#This Row],[ap,eq (cm)]])</f>
        <v>N.S.</v>
      </c>
      <c r="AT23" s="4" t="str">
        <f ca="1">IF(HC[[#This Row],[nE]]=1,HC[[#This Row],[As,lado (cm²)]],IF(HC[[#This Row],[nE]]=2,0.075*2*HC[a (cm)],"N.A."))</f>
        <v>N.A.</v>
      </c>
      <c r="AU23" s="4" t="str">
        <f ca="1">IFERROR(IF(HC[[#This Row],[nE]]=1,"N.A.",0.2*HC[[#This Row],[As,lado (cm²)]]),"N.S.")</f>
        <v>N.S.</v>
      </c>
      <c r="AV23" s="4" t="str">
        <f ca="1">As_malha(HC[[#This Row],[nE]],HC[[#This Row],[As,lado (cm²)]],HC[[#This Row],[Nsd (kN)]])</f>
        <v>N.S.</v>
      </c>
      <c r="AW23" s="4" t="str">
        <f ca="1">As_susp_tot(HC[[#This Row],[nE]],HC[[#This Row],[Nsd (kN)]])</f>
        <v>N.S.</v>
      </c>
      <c r="AX23" s="4" t="str">
        <f ca="1">Asp_face(HC[[#This Row],[nE]],HC[[#This Row],[As,lado (cm²)]])</f>
        <v>N.S.</v>
      </c>
      <c r="AY23" s="5" t="str">
        <f ca="1">acoBloco(HC[[#This Row],[nE]],HC[[#This Row],[e (cm)]],HC[[#This Row],[a (cm)]],HC[[#This Row],[h (cm)]],HC[[#This Row],[As,lado (cm²)]],HC[[#This Row],[Asp e Asw (cm²/m)]],HC[[#This Row],[As,sup (cm²)]],HC[[#This Row],[As,malha (cm²)]],HC[[#This Row],[As,susp,tot (cm²)]],HC[[#This Row],[Asp,face (cm²)]])</f>
        <v>N.S.</v>
      </c>
      <c r="AZ23" s="4" t="str">
        <f ca="1">concretoBloco(HC[[#This Row],[nE]],HC[[#This Row],[e (cm)]],HC[[#This Row],[a (cm)]],HC[[#This Row],[h (cm)]])</f>
        <v>N.S.</v>
      </c>
      <c r="BA23" s="5">
        <f ca="1">SUM(HC[[#This Row],[Aço Est (kg)]],HC[[#This Row],[Aço Bloco (kg)]])</f>
        <v>7.4601044550306632</v>
      </c>
      <c r="BB23" s="4">
        <f>INDEX(composicoes[],MATCH(95580,composicoes[CÓDIGO],0),MATCH("CUSTO TOTAL",composicoes[#Headers],0))</f>
        <v>10.46</v>
      </c>
      <c r="BC23" s="4">
        <f ca="1">SUM(HC[[#This Row],[Conc Est (m³)]],HC[[#This Row],[Conc Bloco (m³)]])</f>
        <v>9.9784836659645819</v>
      </c>
      <c r="BD23" s="4">
        <f>INDEX(composicoes[],MATCH(94966,composicoes[CÓDIGO],0),MATCH("CUSTO TOTAL",composicoes[#Headers],0))</f>
        <v>439.52</v>
      </c>
      <c r="BE23" s="38">
        <f ca="1">HC[[#This Row],[Aço (kg)]]*HC[[#This Row],[Aço (R$/kg)]]+HC[[#This Row],[Conc (m³)]]*HC[[#This Row],[Conc (R$/m³)]]</f>
        <v>4463.7758334643731</v>
      </c>
      <c r="BF23" s="4" t="str">
        <f ca="1">IF(COUNTIF(HC[#This Row],"N.S.")&gt;0,"lim.","OK")</f>
        <v>lim.</v>
      </c>
      <c r="BG23" s="4" t="str">
        <f>IF(HC[[#This Row],[Prof. (m)]]&lt;4,"lim.","OK")</f>
        <v>OK</v>
      </c>
      <c r="BH23" s="4" t="str">
        <f>IF(HC[[#This Row],[Prof. (m)]]&gt;=8*HC[[#This Row],[Ø (cm)]]/100,"OK","lim.")</f>
        <v>OK</v>
      </c>
      <c r="BI23" s="4" t="str">
        <f ca="1">IF(HC[[#This Row],[Verif. Biela]]="OK","OK","lim.")</f>
        <v>OK</v>
      </c>
      <c r="BJ23" s="4" t="str">
        <f ca="1">IF(COUNTA(HC[[#This Row],[Nº Est.]:[Biela comp.]])=COUNTIF(HC[[#This Row],[Nº Est.]:[Biela comp.]],"OK"),"OK","lim.")</f>
        <v>lim.</v>
      </c>
      <c r="BK23" s="4" t="str">
        <f ca="1">IF(HC[[#This Row],[Controle]]="OK",HC[[#This Row],[nE]]&amp;" Ø"&amp;HC[[#This Row],[Ø (cm)]]&amp;"cm Prof. "&amp;HC[[#This Row],[Prof. (m)]]&amp;" m","")</f>
        <v/>
      </c>
      <c r="BL23" s="4" t="str">
        <f ca="1">IF(HC[[#This Row],[idDimensionamento]]="","",HC[[#This Row],[idPilar]]&amp;HC[[#This Row],[idDimensionamento]])</f>
        <v/>
      </c>
    </row>
    <row r="24" spans="2:64" x14ac:dyDescent="0.25">
      <c r="B24" s="12">
        <f>ROUNDUP((ROW(HC[[#This Row],[idDiâmetro]])-ROW(HC[[#Headers],[idDiâmetro]]))/(COUNT(SPT[Prof. (m)])*COUNT(PILARES[Pilar])),0)</f>
        <v>1</v>
      </c>
      <c r="C24" s="12">
        <f>IF(HC[[#This Row],[idDiâmetro]]&lt;&gt;B23,1,IF(HC[[#This Row],[Prof. (m)]]=0,C23+1,C23))</f>
        <v>2</v>
      </c>
      <c r="D24" s="1">
        <f>IFERROR(IF(D23=MAX(SPT[Prof. (m)]),0,D23+1),0)</f>
        <v>5</v>
      </c>
      <c r="E24" s="1">
        <f>INDEX(SPT[],MATCH(HC[[#This Row],[Prof. (m)]],SPT[Prof. (m)],0),2)</f>
        <v>17</v>
      </c>
      <c r="F24" s="1" t="str">
        <f>INDEX(SPT[],MATCH(HC[[#This Row],[Prof. (m)]],SPT[Prof. (m)],0),3)</f>
        <v>Areia siltosa</v>
      </c>
      <c r="G24" s="1">
        <f>INDEX(estacas[],HC[[#This Row],[idDiâmetro]],MATCH($B$2,estacas[#Headers],0))</f>
        <v>27.5</v>
      </c>
      <c r="H24" s="1">
        <f>INDEX(estacas[],MATCH(HC[[#This Row],[Ø (cm)]],estacas[Ø HC (cm)],0),MATCH(HC[[#Headers],[Pe HC (kN)]],estacas[#Headers],0))</f>
        <v>350</v>
      </c>
      <c r="I24" s="4">
        <f>INDEX(K_alpha_C[],MATCH(HC[[#This Row],[Solo]],K_alpha_C[Solo],0),2)</f>
        <v>0.8</v>
      </c>
      <c r="J24" s="5">
        <f>INDEX(K_alpha_C[],MATCH(HC[[#This Row],[Solo]],K_alpha_C[Solo],0),3)</f>
        <v>2</v>
      </c>
      <c r="K24" s="4">
        <f>INDEX(F1_F2[],MATCH($D$2,F1_F2[Tipo de estaca],0),2)</f>
        <v>2</v>
      </c>
      <c r="L24" s="4">
        <f>INDEX(F1_F2[],MATCH($D$2,F1_F2[Tipo de estaca],0),3)</f>
        <v>4</v>
      </c>
      <c r="M24" s="4">
        <f>PI()*(HC[[#This Row],[Ø (cm)]]/100)^2/4</f>
        <v>5.9395736106932037E-2</v>
      </c>
      <c r="N24" s="4">
        <f>PI()*HC[[#This Row],[Ø (cm)]]/100</f>
        <v>0.86393797973719311</v>
      </c>
      <c r="O24" s="4">
        <f>IF(HC[[#This Row],[Prof. (m)]]=0,0,HC[[#This Row],[α (%)]]/100*HC[[#This Row],[K (MPa)]]*1000*HC[[#This Row],[NSPT]])</f>
        <v>272</v>
      </c>
      <c r="P24" s="4">
        <f>IF(HC[[#This Row],[Prof. (m)]]=0,0,(HC[[#This Row],[K (MPa)]]*1000*HC[[#This Row],[NSPT]]/HC[[#This Row],[F1]]*HC[[#This Row],[Ap (m²)]]+HC[[#This Row],[U (m)]]/HC[[#This Row],[F2]]*SUMIFS(HC[(α∙K∙NL∙ΔL)],HC[Prof. (m)],"&lt;="&amp;HC[[#This Row],[Prof. (m)]],HC[idDiâmetro],HC[[#This Row],[idDiâmetro]],HC[idPilar],HC[[#This Row],[idPilar]]))/'DADOS CAP. CARGA'!$D$2)</f>
        <v>258.96540942622369</v>
      </c>
      <c r="Q24" s="12">
        <f>INDEX(C_alpha_beta[],MATCH(HC[[#This Row],[Solo]],C_alpha_beta[Solo],0),MATCH(HC[[#Headers],[C (kPa)]],C_alpha_beta[#Headers],0))</f>
        <v>400</v>
      </c>
      <c r="R24" s="4">
        <f>INDEX(C_alpha_beta[],MATCH(HC[[#This Row],[Solo]],C_alpha_beta[Solo],0),MATCH(HC[[#Headers],[α ESF]],C_alpha_beta[#Headers],0))</f>
        <v>0.5</v>
      </c>
      <c r="S24" s="4">
        <f>INDEX(C_alpha_beta[],MATCH(HC[[#This Row],[Solo]],C_alpha_beta[Solo],0),MATCH(HC[[#Headers],[β ESF]],C_alpha_beta[#Headers],0))</f>
        <v>0.5</v>
      </c>
      <c r="T24" s="4">
        <f>IF(HC[[#This Row],[Prof. (m)]]=0,0,10*(HC[[#This Row],[NSPT]]/3+1))</f>
        <v>66.666666666666671</v>
      </c>
      <c r="U24" s="4">
        <f>(HC[[#This Row],[α ESF]]*HC[[#This Row],[C (kPa)]]*HC[[#This Row],[NSPT]]*HC[[#This Row],[Ap (m²)]])/'DADOS CAP. CARGA'!$Q$2+(HC[[#This Row],[β ESF]]*SUMIFS(HC[10∙(NL/3+1)],HC[Prof. (m)],"&lt;="&amp;HC[[#This Row],[Prof. (m)]],HC[idDiâmetro],HC[[#This Row],[idDiâmetro]],HC[idPilar],HC[[#This Row],[idPilar]])*HC[[#This Row],[U (m)]])/'DADOS CAP. CARGA'!$S$2</f>
        <v>85.043894880379952</v>
      </c>
      <c r="V24" s="4">
        <f>IF(SPT!$M$5=1,MIN(HC[[#This Row],[Pe HC (kN)]],HC[[#This Row],[R_AV (kN)]]),IF(SPT!$M$5=2,MIN(HC[[#This Row],[Pe HC (kN)]],HC[[#This Row],[R_DC (kN)]]),MIN(HC[[#This Row],[Pe HC (kN)]],HC[[#This Row],[R_AV (kN)]],HC[[#This Row],[R_DC (kN)]])))</f>
        <v>85.043894880379952</v>
      </c>
      <c r="W24" s="4">
        <f>INDEX(PILARES[],HC[[#This Row],[idPilar]],MATCH("Carga (kN)",PILARES[#Headers],0))*1.4</f>
        <v>1750</v>
      </c>
      <c r="X24" s="12">
        <f>INDEX(PILARES[],HC[[#This Row],[idPilar]],MATCH(HC[[#Headers],[ap (cm)]],PILARES[#Headers],0))</f>
        <v>50</v>
      </c>
      <c r="Y24" s="12">
        <f>INDEX(PILARES[],HC[[#This Row],[idPilar]],MATCH(HC[[#Headers],[bp (cm)]],PILARES[#Headers],0))</f>
        <v>40</v>
      </c>
      <c r="Z24" s="4">
        <f>SQRT(HC[[#This Row],[ap (cm)]]*HC[[#This Row],[bp (cm)]])</f>
        <v>44.721359549995796</v>
      </c>
      <c r="AA24" s="12">
        <f>HC[[#This Row],[ap (cm)]]*HC[[#This Row],[bp (cm)]]</f>
        <v>2000</v>
      </c>
      <c r="AB24" s="12">
        <f ca="1">IF(HC[[#This Row],[Padm∙ε (kN)]]&gt;=HC[[#This Row],[Padm (kN)]],ROUNDUP(1.05*HC[[#This Row],[Nsd (kN)]]/HC[[#This Row],[Padm (kN)]],0),ROUNDUP(1.05*HC[[#This Row],[Nsd (kN)]]/HC[[#This Row],[Padm (kN)]],0)+1)</f>
        <v>22</v>
      </c>
      <c r="AC24" s="4" t="str">
        <f ca="1">IFERROR(IF(HC[[#This Row],[nE]]=1,HC[[#This Row],[Padm (kN)]],HC[[#This Row],[Padm (kN)]]*HC[[#This Row],[nE]]*INDEX(grupoEstacas[],HC[[#This Row],[nE]],MATCH("ε",grupoEstacas[#Headers],0))),"N.S.")</f>
        <v>N.S.</v>
      </c>
      <c r="AD24" s="4">
        <f ca="1">1.05*HC[[#This Row],[Nsd (kN)]]/(HC[[#This Row],[nE]]*PI()*HC[[#This Row],[Ø (cm)]]^2/4)*10</f>
        <v>1.4062074611274902</v>
      </c>
      <c r="AE24" s="4">
        <f ca="1">IF(HC[[#This Row],[σ (MPa)]]&lt;INDEX(tipoEstaca[],MATCH($D$2,tipoEstaca[TIPO DE ESTACA],0),MATCH("σmáx (MPa)",tipoEstaca[#Headers],0)),0.4%*PI()*HC[[#This Row],[Ø (cm)]]^2/4,"N.S.")</f>
        <v>2.3758294442772812</v>
      </c>
      <c r="AF24" s="1">
        <f>INDEX(tipoEstaca[],MATCH($D$2,tipoEstaca[TIPO DE ESTACA],0),MATCH(HC[[#Headers],[Comprimento (m)]],tipoEstaca[#Headers],0))</f>
        <v>4</v>
      </c>
      <c r="AG24" s="5">
        <f ca="1">HC[[#This Row],[As,mín (cm²)]]/100^2*HC[[#This Row],[Comprimento (m)]]*7850</f>
        <v>7.4601044550306632</v>
      </c>
      <c r="AH24" s="4">
        <f ca="1">HC[[#This Row],[nE]]*HC[[#This Row],[Prof. (m)]]*HC[[#This Row],[Ap (m²)]]</f>
        <v>6.5335309717625245</v>
      </c>
      <c r="AI24" s="1">
        <f ca="1">IF(HC[[#This Row],[nE]]=1,0,MAX(3*HC[[#This Row],[Ø (cm)]],60))</f>
        <v>82.5</v>
      </c>
      <c r="AJ24" s="1">
        <f ca="1">IF(HC[[#This Row],[nE]]=1,HC[[#This Row],[Ø (cm)]]+2*10,MAX(1.5*HC[[#This Row],[Ø (cm)]],HC[[#This Row],[Ø (cm)]]+15))</f>
        <v>42.5</v>
      </c>
      <c r="AK24" s="1" t="str">
        <f ca="1">alturaUtil(HC[[#This Row],[nE]],HC[[#This Row],[Ø (cm)]],HC[[#This Row],[e (cm)]],HC[[#This Row],[ap,eq (cm)]])</f>
        <v>N.S.</v>
      </c>
      <c r="AL24" s="1" t="str">
        <f ca="1">IFERROR(HC[[#This Row],[d (cm)]]+arredondarParaCimaMultiplo5cm(MAX(5,SQRT(PI())/2*HC[[#This Row],[Ø (cm)]]/5)),"N.S.")</f>
        <v>N.S.</v>
      </c>
      <c r="AM24" s="5" t="str">
        <f ca="1">alpha(HC[[#This Row],[nE]],HC[[#This Row],[d (cm)]],HC[[#This Row],[e (cm)]],HC[[#This Row],[ap,eq (cm)]])</f>
        <v>N.S.</v>
      </c>
      <c r="AN24" s="35" t="str">
        <f ca="1">IFERROR(HC[[#This Row],[Nsd (kN)]]/(HC[[#This Row],[Ap (cm²)]]*SIN(HC[[#This Row],[α]])^2),"N.S.")</f>
        <v>N.S.</v>
      </c>
      <c r="AO24" s="35" t="str">
        <f ca="1">IFERROR(HC[[#This Row],[Nsd (kN)]]/(HC[[#This Row],[nE]]*PI()*HC[[#This Row],[Ø (cm)]]^2/4*SIN(HC[[#This Row],[α]])^2),"N.S.")</f>
        <v>N.S.</v>
      </c>
      <c r="AP24" s="4" t="str">
        <f ca="1">IFERROR(INDEX(grupoEstacas[],HC[[#This Row],[nE]],MATCH("coef. Blévot",grupoEstacas[#Headers],0)),"N.S.")</f>
        <v>N.S.</v>
      </c>
      <c r="AQ24" s="35" t="str">
        <f ca="1">IFERROR(HC[[#This Row],[coef. Blévot]]*0.9*INDEX(tipoEstaca[],MATCH($D$2,tipoEstaca[TIPO DE ESTACA],0),MATCH("fcd (kN/cm²)",tipoEstaca[#Headers],0)),"N.S.")</f>
        <v>N.S.</v>
      </c>
      <c r="AR24" s="1" t="str">
        <f ca="1">IF(AND(HC[[#This Row],[cd,b,pil (kN/cm²)]]&lt;=HC[[#This Row],[cd,b,lim (kN/cm²)]],HC[[#This Row],[cd,b,est (kN/cm²)]]&lt;=HC[[#This Row],[cd,b,lim (kN/cm²)]]),"OK","ERRO")</f>
        <v>OK</v>
      </c>
      <c r="AS24" s="4" t="str">
        <f ca="1">As_lado(HC[[#This Row],[nE]],HC[[#This Row],[Nsd (kN)]],HC[[#This Row],[d (cm)]],HC[[#This Row],[e (cm)]],HC[[#This Row],[ap,eq (cm)]])</f>
        <v>N.S.</v>
      </c>
      <c r="AT24" s="4" t="str">
        <f ca="1">IF(HC[[#This Row],[nE]]=1,HC[[#This Row],[As,lado (cm²)]],IF(HC[[#This Row],[nE]]=2,0.075*2*HC[a (cm)],"N.A."))</f>
        <v>N.A.</v>
      </c>
      <c r="AU24" s="4" t="str">
        <f ca="1">IFERROR(IF(HC[[#This Row],[nE]]=1,"N.A.",0.2*HC[[#This Row],[As,lado (cm²)]]),"N.S.")</f>
        <v>N.S.</v>
      </c>
      <c r="AV24" s="4" t="str">
        <f ca="1">As_malha(HC[[#This Row],[nE]],HC[[#This Row],[As,lado (cm²)]],HC[[#This Row],[Nsd (kN)]])</f>
        <v>N.S.</v>
      </c>
      <c r="AW24" s="4" t="str">
        <f ca="1">As_susp_tot(HC[[#This Row],[nE]],HC[[#This Row],[Nsd (kN)]])</f>
        <v>N.S.</v>
      </c>
      <c r="AX24" s="4" t="str">
        <f ca="1">Asp_face(HC[[#This Row],[nE]],HC[[#This Row],[As,lado (cm²)]])</f>
        <v>N.S.</v>
      </c>
      <c r="AY24" s="5" t="str">
        <f ca="1">acoBloco(HC[[#This Row],[nE]],HC[[#This Row],[e (cm)]],HC[[#This Row],[a (cm)]],HC[[#This Row],[h (cm)]],HC[[#This Row],[As,lado (cm²)]],HC[[#This Row],[Asp e Asw (cm²/m)]],HC[[#This Row],[As,sup (cm²)]],HC[[#This Row],[As,malha (cm²)]],HC[[#This Row],[As,susp,tot (cm²)]],HC[[#This Row],[Asp,face (cm²)]])</f>
        <v>N.S.</v>
      </c>
      <c r="AZ24" s="4" t="str">
        <f ca="1">concretoBloco(HC[[#This Row],[nE]],HC[[#This Row],[e (cm)]],HC[[#This Row],[a (cm)]],HC[[#This Row],[h (cm)]])</f>
        <v>N.S.</v>
      </c>
      <c r="BA24" s="5">
        <f ca="1">SUM(HC[[#This Row],[Aço Est (kg)]],HC[[#This Row],[Aço Bloco (kg)]])</f>
        <v>7.4601044550306632</v>
      </c>
      <c r="BB24" s="4">
        <f>INDEX(composicoes[],MATCH(95580,composicoes[CÓDIGO],0),MATCH("CUSTO TOTAL",composicoes[#Headers],0))</f>
        <v>10.46</v>
      </c>
      <c r="BC24" s="4">
        <f ca="1">SUM(HC[[#This Row],[Conc Est (m³)]],HC[[#This Row],[Conc Bloco (m³)]])</f>
        <v>6.5335309717625245</v>
      </c>
      <c r="BD24" s="4">
        <f>INDEX(composicoes[],MATCH(94966,composicoes[CÓDIGO],0),MATCH("CUSTO TOTAL",composicoes[#Headers],0))</f>
        <v>439.52</v>
      </c>
      <c r="BE24" s="38">
        <f ca="1">HC[[#This Row],[Aço (kg)]]*HC[[#This Row],[Aço (R$/kg)]]+HC[[#This Row],[Conc (m³)]]*HC[[#This Row],[Conc (R$/m³)]]</f>
        <v>2949.6502253086851</v>
      </c>
      <c r="BF24" s="4" t="str">
        <f ca="1">IF(COUNTIF(HC[#This Row],"N.S.")&gt;0,"lim.","OK")</f>
        <v>lim.</v>
      </c>
      <c r="BG24" s="4" t="str">
        <f>IF(HC[[#This Row],[Prof. (m)]]&lt;4,"lim.","OK")</f>
        <v>OK</v>
      </c>
      <c r="BH24" s="4" t="str">
        <f>IF(HC[[#This Row],[Prof. (m)]]&gt;=8*HC[[#This Row],[Ø (cm)]]/100,"OK","lim.")</f>
        <v>OK</v>
      </c>
      <c r="BI24" s="4" t="str">
        <f ca="1">IF(HC[[#This Row],[Verif. Biela]]="OK","OK","lim.")</f>
        <v>OK</v>
      </c>
      <c r="BJ24" s="4" t="str">
        <f ca="1">IF(COUNTA(HC[[#This Row],[Nº Est.]:[Biela comp.]])=COUNTIF(HC[[#This Row],[Nº Est.]:[Biela comp.]],"OK"),"OK","lim.")</f>
        <v>lim.</v>
      </c>
      <c r="BK24" s="4" t="str">
        <f ca="1">IF(HC[[#This Row],[Controle]]="OK",HC[[#This Row],[nE]]&amp;" Ø"&amp;HC[[#This Row],[Ø (cm)]]&amp;"cm Prof. "&amp;HC[[#This Row],[Prof. (m)]]&amp;" m","")</f>
        <v/>
      </c>
      <c r="BL24" s="4" t="str">
        <f ca="1">IF(HC[[#This Row],[idDimensionamento]]="","",HC[[#This Row],[idPilar]]&amp;HC[[#This Row],[idDimensionamento]])</f>
        <v/>
      </c>
    </row>
    <row r="25" spans="2:64" x14ac:dyDescent="0.25">
      <c r="B25" s="12">
        <f>ROUNDUP((ROW(HC[[#This Row],[idDiâmetro]])-ROW(HC[[#Headers],[idDiâmetro]]))/(COUNT(SPT[Prof. (m)])*COUNT(PILARES[Pilar])),0)</f>
        <v>1</v>
      </c>
      <c r="C25" s="12">
        <f>IF(HC[[#This Row],[idDiâmetro]]&lt;&gt;B24,1,IF(HC[[#This Row],[Prof. (m)]]=0,C24+1,C24))</f>
        <v>2</v>
      </c>
      <c r="D25" s="1">
        <f>IFERROR(IF(D24=MAX(SPT[Prof. (m)]),0,D24+1),0)</f>
        <v>6</v>
      </c>
      <c r="E25" s="1">
        <f>INDEX(SPT[],MATCH(HC[[#This Row],[Prof. (m)]],SPT[Prof. (m)],0),2)</f>
        <v>21</v>
      </c>
      <c r="F25" s="1" t="str">
        <f>INDEX(SPT[],MATCH(HC[[#This Row],[Prof. (m)]],SPT[Prof. (m)],0),3)</f>
        <v>Silte arenoso</v>
      </c>
      <c r="G25" s="1">
        <f>INDEX(estacas[],HC[[#This Row],[idDiâmetro]],MATCH($B$2,estacas[#Headers],0))</f>
        <v>27.5</v>
      </c>
      <c r="H25" s="1">
        <f>INDEX(estacas[],MATCH(HC[[#This Row],[Ø (cm)]],estacas[Ø HC (cm)],0),MATCH(HC[[#Headers],[Pe HC (kN)]],estacas[#Headers],0))</f>
        <v>350</v>
      </c>
      <c r="I25" s="4">
        <f>INDEX(K_alpha_C[],MATCH(HC[[#This Row],[Solo]],K_alpha_C[Solo],0),2)</f>
        <v>0.55000000000000004</v>
      </c>
      <c r="J25" s="5">
        <f>INDEX(K_alpha_C[],MATCH(HC[[#This Row],[Solo]],K_alpha_C[Solo],0),3)</f>
        <v>2.2000000000000002</v>
      </c>
      <c r="K25" s="4">
        <f>INDEX(F1_F2[],MATCH($D$2,F1_F2[Tipo de estaca],0),2)</f>
        <v>2</v>
      </c>
      <c r="L25" s="4">
        <f>INDEX(F1_F2[],MATCH($D$2,F1_F2[Tipo de estaca],0),3)</f>
        <v>4</v>
      </c>
      <c r="M25" s="4">
        <f>PI()*(HC[[#This Row],[Ø (cm)]]/100)^2/4</f>
        <v>5.9395736106932037E-2</v>
      </c>
      <c r="N25" s="4">
        <f>PI()*HC[[#This Row],[Ø (cm)]]/100</f>
        <v>0.86393797973719311</v>
      </c>
      <c r="O25" s="4">
        <f>IF(HC[[#This Row],[Prof. (m)]]=0,0,HC[[#This Row],[α (%)]]/100*HC[[#This Row],[K (MPa)]]*1000*HC[[#This Row],[NSPT]])</f>
        <v>254.10000000000002</v>
      </c>
      <c r="P25" s="4">
        <f>IF(HC[[#This Row],[Prof. (m)]]=0,0,(HC[[#This Row],[K (MPa)]]*1000*HC[[#This Row],[NSPT]]/HC[[#This Row],[F1]]*HC[[#This Row],[Ap (m²)]]+HC[[#This Row],[U (m)]]/HC[[#This Row],[F2]]*SUMIFS(HC[(α∙K∙NL∙ΔL)],HC[Prof. (m)],"&lt;="&amp;HC[[#This Row],[Prof. (m)]],HC[idDiâmetro],HC[[#This Row],[idDiâmetro]],HC[idPilar],HC[[#This Row],[idPilar]]))/'DADOS CAP. CARGA'!$D$2)</f>
        <v>255.96592475282358</v>
      </c>
      <c r="Q25" s="12">
        <f>INDEX(C_alpha_beta[],MATCH(HC[[#This Row],[Solo]],C_alpha_beta[Solo],0),MATCH(HC[[#Headers],[C (kPa)]],C_alpha_beta[#Headers],0))</f>
        <v>250</v>
      </c>
      <c r="R25" s="4">
        <f>INDEX(C_alpha_beta[],MATCH(HC[[#This Row],[Solo]],C_alpha_beta[Solo],0),MATCH(HC[[#Headers],[α ESF]],C_alpha_beta[#Headers],0))</f>
        <v>0.6</v>
      </c>
      <c r="S25" s="4">
        <f>INDEX(C_alpha_beta[],MATCH(HC[[#This Row],[Solo]],C_alpha_beta[Solo],0),MATCH(HC[[#Headers],[β ESF]],C_alpha_beta[#Headers],0))</f>
        <v>0.65</v>
      </c>
      <c r="T25" s="4">
        <f>IF(HC[[#This Row],[Prof. (m)]]=0,0,10*(HC[[#This Row],[NSPT]]/3+1))</f>
        <v>80</v>
      </c>
      <c r="U25" s="4">
        <f>(HC[[#This Row],[α ESF]]*HC[[#This Row],[C (kPa)]]*HC[[#This Row],[NSPT]]*HC[[#This Row],[Ap (m²)]])/'DADOS CAP. CARGA'!$Q$2+(HC[[#This Row],[β ESF]]*SUMIFS(HC[10∙(NL/3+1)],HC[Prof. (m)],"&lt;="&amp;HC[[#This Row],[Prof. (m)]],HC[idDiâmetro],HC[[#This Row],[idDiâmetro]],HC[idPilar],HC[[#This Row],[idPilar]])*HC[[#This Row],[U (m)]])/'DADOS CAP. CARGA'!$S$2</f>
        <v>114.16130460371005</v>
      </c>
      <c r="V25" s="4">
        <f>IF(SPT!$M$5=1,MIN(HC[[#This Row],[Pe HC (kN)]],HC[[#This Row],[R_AV (kN)]]),IF(SPT!$M$5=2,MIN(HC[[#This Row],[Pe HC (kN)]],HC[[#This Row],[R_DC (kN)]]),MIN(HC[[#This Row],[Pe HC (kN)]],HC[[#This Row],[R_AV (kN)]],HC[[#This Row],[R_DC (kN)]])))</f>
        <v>114.16130460371005</v>
      </c>
      <c r="W25" s="4">
        <f>INDEX(PILARES[],HC[[#This Row],[idPilar]],MATCH("Carga (kN)",PILARES[#Headers],0))*1.4</f>
        <v>1750</v>
      </c>
      <c r="X25" s="12">
        <f>INDEX(PILARES[],HC[[#This Row],[idPilar]],MATCH(HC[[#Headers],[ap (cm)]],PILARES[#Headers],0))</f>
        <v>50</v>
      </c>
      <c r="Y25" s="12">
        <f>INDEX(PILARES[],HC[[#This Row],[idPilar]],MATCH(HC[[#Headers],[bp (cm)]],PILARES[#Headers],0))</f>
        <v>40</v>
      </c>
      <c r="Z25" s="4">
        <f>SQRT(HC[[#This Row],[ap (cm)]]*HC[[#This Row],[bp (cm)]])</f>
        <v>44.721359549995796</v>
      </c>
      <c r="AA25" s="12">
        <f>HC[[#This Row],[ap (cm)]]*HC[[#This Row],[bp (cm)]]</f>
        <v>2000</v>
      </c>
      <c r="AB25" s="12">
        <f ca="1">IF(HC[[#This Row],[Padm∙ε (kN)]]&gt;=HC[[#This Row],[Padm (kN)]],ROUNDUP(1.05*HC[[#This Row],[Nsd (kN)]]/HC[[#This Row],[Padm (kN)]],0),ROUNDUP(1.05*HC[[#This Row],[Nsd (kN)]]/HC[[#This Row],[Padm (kN)]],0)+1)</f>
        <v>17</v>
      </c>
      <c r="AC25" s="4" t="str">
        <f ca="1">IFERROR(IF(HC[[#This Row],[nE]]=1,HC[[#This Row],[Padm (kN)]],HC[[#This Row],[Padm (kN)]]*HC[[#This Row],[nE]]*INDEX(grupoEstacas[],HC[[#This Row],[nE]],MATCH("ε",grupoEstacas[#Headers],0))),"N.S.")</f>
        <v>N.S.</v>
      </c>
      <c r="AD25" s="4">
        <f ca="1">1.05*HC[[#This Row],[Nsd (kN)]]/(HC[[#This Row],[nE]]*PI()*HC[[#This Row],[Ø (cm)]]^2/4)*10</f>
        <v>1.8197978908708692</v>
      </c>
      <c r="AE25" s="4">
        <f ca="1">IF(HC[[#This Row],[σ (MPa)]]&lt;INDEX(tipoEstaca[],MATCH($D$2,tipoEstaca[TIPO DE ESTACA],0),MATCH("σmáx (MPa)",tipoEstaca[#Headers],0)),0.4%*PI()*HC[[#This Row],[Ø (cm)]]^2/4,"N.S.")</f>
        <v>2.3758294442772812</v>
      </c>
      <c r="AF25" s="1">
        <f>INDEX(tipoEstaca[],MATCH($D$2,tipoEstaca[TIPO DE ESTACA],0),MATCH(HC[[#Headers],[Comprimento (m)]],tipoEstaca[#Headers],0))</f>
        <v>4</v>
      </c>
      <c r="AG25" s="5">
        <f ca="1">HC[[#This Row],[As,mín (cm²)]]/100^2*HC[[#This Row],[Comprimento (m)]]*7850</f>
        <v>7.4601044550306632</v>
      </c>
      <c r="AH25" s="4">
        <f ca="1">HC[[#This Row],[nE]]*HC[[#This Row],[Prof. (m)]]*HC[[#This Row],[Ap (m²)]]</f>
        <v>6.0583650829070681</v>
      </c>
      <c r="AI25" s="1">
        <f ca="1">IF(HC[[#This Row],[nE]]=1,0,MAX(3*HC[[#This Row],[Ø (cm)]],60))</f>
        <v>82.5</v>
      </c>
      <c r="AJ25" s="1">
        <f ca="1">IF(HC[[#This Row],[nE]]=1,HC[[#This Row],[Ø (cm)]]+2*10,MAX(1.5*HC[[#This Row],[Ø (cm)]],HC[[#This Row],[Ø (cm)]]+15))</f>
        <v>42.5</v>
      </c>
      <c r="AK25" s="1" t="str">
        <f ca="1">alturaUtil(HC[[#This Row],[nE]],HC[[#This Row],[Ø (cm)]],HC[[#This Row],[e (cm)]],HC[[#This Row],[ap,eq (cm)]])</f>
        <v>N.S.</v>
      </c>
      <c r="AL25" s="1" t="str">
        <f ca="1">IFERROR(HC[[#This Row],[d (cm)]]+arredondarParaCimaMultiplo5cm(MAX(5,SQRT(PI())/2*HC[[#This Row],[Ø (cm)]]/5)),"N.S.")</f>
        <v>N.S.</v>
      </c>
      <c r="AM25" s="5" t="str">
        <f ca="1">alpha(HC[[#This Row],[nE]],HC[[#This Row],[d (cm)]],HC[[#This Row],[e (cm)]],HC[[#This Row],[ap,eq (cm)]])</f>
        <v>N.S.</v>
      </c>
      <c r="AN25" s="35" t="str">
        <f ca="1">IFERROR(HC[[#This Row],[Nsd (kN)]]/(HC[[#This Row],[Ap (cm²)]]*SIN(HC[[#This Row],[α]])^2),"N.S.")</f>
        <v>N.S.</v>
      </c>
      <c r="AO25" s="35" t="str">
        <f ca="1">IFERROR(HC[[#This Row],[Nsd (kN)]]/(HC[[#This Row],[nE]]*PI()*HC[[#This Row],[Ø (cm)]]^2/4*SIN(HC[[#This Row],[α]])^2),"N.S.")</f>
        <v>N.S.</v>
      </c>
      <c r="AP25" s="4" t="str">
        <f ca="1">IFERROR(INDEX(grupoEstacas[],HC[[#This Row],[nE]],MATCH("coef. Blévot",grupoEstacas[#Headers],0)),"N.S.")</f>
        <v>N.S.</v>
      </c>
      <c r="AQ25" s="35" t="str">
        <f ca="1">IFERROR(HC[[#This Row],[coef. Blévot]]*0.9*INDEX(tipoEstaca[],MATCH($D$2,tipoEstaca[TIPO DE ESTACA],0),MATCH("fcd (kN/cm²)",tipoEstaca[#Headers],0)),"N.S.")</f>
        <v>N.S.</v>
      </c>
      <c r="AR25" s="1" t="str">
        <f ca="1">IF(AND(HC[[#This Row],[cd,b,pil (kN/cm²)]]&lt;=HC[[#This Row],[cd,b,lim (kN/cm²)]],HC[[#This Row],[cd,b,est (kN/cm²)]]&lt;=HC[[#This Row],[cd,b,lim (kN/cm²)]]),"OK","ERRO")</f>
        <v>OK</v>
      </c>
      <c r="AS25" s="4" t="str">
        <f ca="1">As_lado(HC[[#This Row],[nE]],HC[[#This Row],[Nsd (kN)]],HC[[#This Row],[d (cm)]],HC[[#This Row],[e (cm)]],HC[[#This Row],[ap,eq (cm)]])</f>
        <v>N.S.</v>
      </c>
      <c r="AT25" s="4" t="str">
        <f ca="1">IF(HC[[#This Row],[nE]]=1,HC[[#This Row],[As,lado (cm²)]],IF(HC[[#This Row],[nE]]=2,0.075*2*HC[a (cm)],"N.A."))</f>
        <v>N.A.</v>
      </c>
      <c r="AU25" s="4" t="str">
        <f ca="1">IFERROR(IF(HC[[#This Row],[nE]]=1,"N.A.",0.2*HC[[#This Row],[As,lado (cm²)]]),"N.S.")</f>
        <v>N.S.</v>
      </c>
      <c r="AV25" s="4" t="str">
        <f ca="1">As_malha(HC[[#This Row],[nE]],HC[[#This Row],[As,lado (cm²)]],HC[[#This Row],[Nsd (kN)]])</f>
        <v>N.S.</v>
      </c>
      <c r="AW25" s="4" t="str">
        <f ca="1">As_susp_tot(HC[[#This Row],[nE]],HC[[#This Row],[Nsd (kN)]])</f>
        <v>N.S.</v>
      </c>
      <c r="AX25" s="4" t="str">
        <f ca="1">Asp_face(HC[[#This Row],[nE]],HC[[#This Row],[As,lado (cm²)]])</f>
        <v>N.S.</v>
      </c>
      <c r="AY25" s="5" t="str">
        <f ca="1">acoBloco(HC[[#This Row],[nE]],HC[[#This Row],[e (cm)]],HC[[#This Row],[a (cm)]],HC[[#This Row],[h (cm)]],HC[[#This Row],[As,lado (cm²)]],HC[[#This Row],[Asp e Asw (cm²/m)]],HC[[#This Row],[As,sup (cm²)]],HC[[#This Row],[As,malha (cm²)]],HC[[#This Row],[As,susp,tot (cm²)]],HC[[#This Row],[Asp,face (cm²)]])</f>
        <v>N.S.</v>
      </c>
      <c r="AZ25" s="4" t="str">
        <f ca="1">concretoBloco(HC[[#This Row],[nE]],HC[[#This Row],[e (cm)]],HC[[#This Row],[a (cm)]],HC[[#This Row],[h (cm)]])</f>
        <v>N.S.</v>
      </c>
      <c r="BA25" s="5">
        <f ca="1">SUM(HC[[#This Row],[Aço Est (kg)]],HC[[#This Row],[Aço Bloco (kg)]])</f>
        <v>7.4601044550306632</v>
      </c>
      <c r="BB25" s="4">
        <f>INDEX(composicoes[],MATCH(95580,composicoes[CÓDIGO],0),MATCH("CUSTO TOTAL",composicoes[#Headers],0))</f>
        <v>10.46</v>
      </c>
      <c r="BC25" s="4">
        <f ca="1">SUM(HC[[#This Row],[Conc Est (m³)]],HC[[#This Row],[Conc Bloco (m³)]])</f>
        <v>6.0583650829070681</v>
      </c>
      <c r="BD25" s="4">
        <f>INDEX(composicoes[],MATCH(94966,composicoes[CÓDIGO],0),MATCH("CUSTO TOTAL",composicoes[#Headers],0))</f>
        <v>439.52</v>
      </c>
      <c r="BE25" s="38">
        <f ca="1">HC[[#This Row],[Aço (kg)]]*HC[[#This Row],[Aço (R$/kg)]]+HC[[#This Row],[Conc (m³)]]*HC[[#This Row],[Conc (R$/m³)]]</f>
        <v>2740.805313838935</v>
      </c>
      <c r="BF25" s="4" t="str">
        <f ca="1">IF(COUNTIF(HC[#This Row],"N.S.")&gt;0,"lim.","OK")</f>
        <v>lim.</v>
      </c>
      <c r="BG25" s="4" t="str">
        <f>IF(HC[[#This Row],[Prof. (m)]]&lt;4,"lim.","OK")</f>
        <v>OK</v>
      </c>
      <c r="BH25" s="4" t="str">
        <f>IF(HC[[#This Row],[Prof. (m)]]&gt;=8*HC[[#This Row],[Ø (cm)]]/100,"OK","lim.")</f>
        <v>OK</v>
      </c>
      <c r="BI25" s="4" t="str">
        <f ca="1">IF(HC[[#This Row],[Verif. Biela]]="OK","OK","lim.")</f>
        <v>OK</v>
      </c>
      <c r="BJ25" s="4" t="str">
        <f ca="1">IF(COUNTA(HC[[#This Row],[Nº Est.]:[Biela comp.]])=COUNTIF(HC[[#This Row],[Nº Est.]:[Biela comp.]],"OK"),"OK","lim.")</f>
        <v>lim.</v>
      </c>
      <c r="BK25" s="4" t="str">
        <f ca="1">IF(HC[[#This Row],[Controle]]="OK",HC[[#This Row],[nE]]&amp;" Ø"&amp;HC[[#This Row],[Ø (cm)]]&amp;"cm Prof. "&amp;HC[[#This Row],[Prof. (m)]]&amp;" m","")</f>
        <v/>
      </c>
      <c r="BL25" s="4" t="str">
        <f ca="1">IF(HC[[#This Row],[idDimensionamento]]="","",HC[[#This Row],[idPilar]]&amp;HC[[#This Row],[idDimensionamento]])</f>
        <v/>
      </c>
    </row>
    <row r="26" spans="2:64" x14ac:dyDescent="0.25">
      <c r="B26" s="12">
        <f>ROUNDUP((ROW(HC[[#This Row],[idDiâmetro]])-ROW(HC[[#Headers],[idDiâmetro]]))/(COUNT(SPT[Prof. (m)])*COUNT(PILARES[Pilar])),0)</f>
        <v>1</v>
      </c>
      <c r="C26" s="12">
        <f>IF(HC[[#This Row],[idDiâmetro]]&lt;&gt;B25,1,IF(HC[[#This Row],[Prof. (m)]]=0,C25+1,C25))</f>
        <v>2</v>
      </c>
      <c r="D26" s="1">
        <f>IFERROR(IF(D25=MAX(SPT[Prof. (m)]),0,D25+1),0)</f>
        <v>7</v>
      </c>
      <c r="E26" s="1">
        <f>INDEX(SPT[],MATCH(HC[[#This Row],[Prof. (m)]],SPT[Prof. (m)],0),2)</f>
        <v>8</v>
      </c>
      <c r="F26" s="1" t="str">
        <f>INDEX(SPT[],MATCH(HC[[#This Row],[Prof. (m)]],SPT[Prof. (m)],0),3)</f>
        <v>Silte arenoso</v>
      </c>
      <c r="G26" s="1">
        <f>INDEX(estacas[],HC[[#This Row],[idDiâmetro]],MATCH($B$2,estacas[#Headers],0))</f>
        <v>27.5</v>
      </c>
      <c r="H26" s="1">
        <f>INDEX(estacas[],MATCH(HC[[#This Row],[Ø (cm)]],estacas[Ø HC (cm)],0),MATCH(HC[[#Headers],[Pe HC (kN)]],estacas[#Headers],0))</f>
        <v>350</v>
      </c>
      <c r="I26" s="4">
        <f>INDEX(K_alpha_C[],MATCH(HC[[#This Row],[Solo]],K_alpha_C[Solo],0),2)</f>
        <v>0.55000000000000004</v>
      </c>
      <c r="J26" s="5">
        <f>INDEX(K_alpha_C[],MATCH(HC[[#This Row],[Solo]],K_alpha_C[Solo],0),3)</f>
        <v>2.2000000000000002</v>
      </c>
      <c r="K26" s="4">
        <f>INDEX(F1_F2[],MATCH($D$2,F1_F2[Tipo de estaca],0),2)</f>
        <v>2</v>
      </c>
      <c r="L26" s="4">
        <f>INDEX(F1_F2[],MATCH($D$2,F1_F2[Tipo de estaca],0),3)</f>
        <v>4</v>
      </c>
      <c r="M26" s="4">
        <f>PI()*(HC[[#This Row],[Ø (cm)]]/100)^2/4</f>
        <v>5.9395736106932037E-2</v>
      </c>
      <c r="N26" s="4">
        <f>PI()*HC[[#This Row],[Ø (cm)]]/100</f>
        <v>0.86393797973719311</v>
      </c>
      <c r="O26" s="4">
        <f>IF(HC[[#This Row],[Prof. (m)]]=0,0,HC[[#This Row],[α (%)]]/100*HC[[#This Row],[K (MPa)]]*1000*HC[[#This Row],[NSPT]])</f>
        <v>96.800000000000011</v>
      </c>
      <c r="P26" s="4">
        <f>IF(HC[[#This Row],[Prof. (m)]]=0,0,(HC[[#This Row],[K (MPa)]]*1000*HC[[#This Row],[NSPT]]/HC[[#This Row],[F1]]*HC[[#This Row],[Ap (m²)]]+HC[[#This Row],[U (m)]]/HC[[#This Row],[F2]]*SUMIFS(HC[(α∙K∙NL∙ΔL)],HC[Prof. (m)],"&lt;="&amp;HC[[#This Row],[Prof. (m)]],HC[idDiâmetro],HC[[#This Row],[idDiâmetro]],HC[idPilar],HC[[#This Row],[idPilar]]))/'DADOS CAP. CARGA'!$D$2)</f>
        <v>160.24969601650264</v>
      </c>
      <c r="Q26" s="12">
        <f>INDEX(C_alpha_beta[],MATCH(HC[[#This Row],[Solo]],C_alpha_beta[Solo],0),MATCH(HC[[#Headers],[C (kPa)]],C_alpha_beta[#Headers],0))</f>
        <v>250</v>
      </c>
      <c r="R26" s="4">
        <f>INDEX(C_alpha_beta[],MATCH(HC[[#This Row],[Solo]],C_alpha_beta[Solo],0),MATCH(HC[[#Headers],[α ESF]],C_alpha_beta[#Headers],0))</f>
        <v>0.6</v>
      </c>
      <c r="S26" s="4">
        <f>INDEX(C_alpha_beta[],MATCH(HC[[#This Row],[Solo]],C_alpha_beta[Solo],0),MATCH(HC[[#Headers],[β ESF]],C_alpha_beta[#Headers],0))</f>
        <v>0.65</v>
      </c>
      <c r="T26" s="4">
        <f>IF(HC[[#This Row],[Prof. (m)]]=0,0,10*(HC[[#This Row],[NSPT]]/3+1))</f>
        <v>36.666666666666664</v>
      </c>
      <c r="U26" s="4">
        <f>(HC[[#This Row],[α ESF]]*HC[[#This Row],[C (kPa)]]*HC[[#This Row],[NSPT]]*HC[[#This Row],[Ap (m²)]])/'DADOS CAP. CARGA'!$Q$2+(HC[[#This Row],[β ESF]]*SUMIFS(HC[10∙(NL/3+1)],HC[Prof. (m)],"&lt;="&amp;HC[[#This Row],[Prof. (m)]],HC[idDiâmetro],HC[[#This Row],[idDiâmetro]],HC[idPilar],HC[[#This Row],[idPilar]])*HC[[#This Row],[U (m)]])/'DADOS CAP. CARGA'!$S$2</f>
        <v>95.501144176782219</v>
      </c>
      <c r="V26" s="4">
        <f>IF(SPT!$M$5=1,MIN(HC[[#This Row],[Pe HC (kN)]],HC[[#This Row],[R_AV (kN)]]),IF(SPT!$M$5=2,MIN(HC[[#This Row],[Pe HC (kN)]],HC[[#This Row],[R_DC (kN)]]),MIN(HC[[#This Row],[Pe HC (kN)]],HC[[#This Row],[R_AV (kN)]],HC[[#This Row],[R_DC (kN)]])))</f>
        <v>95.501144176782219</v>
      </c>
      <c r="W26" s="4">
        <f>INDEX(PILARES[],HC[[#This Row],[idPilar]],MATCH("Carga (kN)",PILARES[#Headers],0))*1.4</f>
        <v>1750</v>
      </c>
      <c r="X26" s="12">
        <f>INDEX(PILARES[],HC[[#This Row],[idPilar]],MATCH(HC[[#Headers],[ap (cm)]],PILARES[#Headers],0))</f>
        <v>50</v>
      </c>
      <c r="Y26" s="12">
        <f>INDEX(PILARES[],HC[[#This Row],[idPilar]],MATCH(HC[[#Headers],[bp (cm)]],PILARES[#Headers],0))</f>
        <v>40</v>
      </c>
      <c r="Z26" s="4">
        <f>SQRT(HC[[#This Row],[ap (cm)]]*HC[[#This Row],[bp (cm)]])</f>
        <v>44.721359549995796</v>
      </c>
      <c r="AA26" s="12">
        <f>HC[[#This Row],[ap (cm)]]*HC[[#This Row],[bp (cm)]]</f>
        <v>2000</v>
      </c>
      <c r="AB26" s="12">
        <f ca="1">IF(HC[[#This Row],[Padm∙ε (kN)]]&gt;=HC[[#This Row],[Padm (kN)]],ROUNDUP(1.05*HC[[#This Row],[Nsd (kN)]]/HC[[#This Row],[Padm (kN)]],0),ROUNDUP(1.05*HC[[#This Row],[Nsd (kN)]]/HC[[#This Row],[Padm (kN)]],0)+1)</f>
        <v>20</v>
      </c>
      <c r="AC26" s="4" t="str">
        <f ca="1">IFERROR(IF(HC[[#This Row],[nE]]=1,HC[[#This Row],[Padm (kN)]],HC[[#This Row],[Padm (kN)]]*HC[[#This Row],[nE]]*INDEX(grupoEstacas[],HC[[#This Row],[nE]],MATCH("ε",grupoEstacas[#Headers],0))),"N.S.")</f>
        <v>N.S.</v>
      </c>
      <c r="AD26" s="4">
        <f ca="1">1.05*HC[[#This Row],[Nsd (kN)]]/(HC[[#This Row],[nE]]*PI()*HC[[#This Row],[Ø (cm)]]^2/4)*10</f>
        <v>1.5468282072402388</v>
      </c>
      <c r="AE26" s="4">
        <f ca="1">IF(HC[[#This Row],[σ (MPa)]]&lt;INDEX(tipoEstaca[],MATCH($D$2,tipoEstaca[TIPO DE ESTACA],0),MATCH("σmáx (MPa)",tipoEstaca[#Headers],0)),0.4%*PI()*HC[[#This Row],[Ø (cm)]]^2/4,"N.S.")</f>
        <v>2.3758294442772812</v>
      </c>
      <c r="AF26" s="1">
        <f>INDEX(tipoEstaca[],MATCH($D$2,tipoEstaca[TIPO DE ESTACA],0),MATCH(HC[[#Headers],[Comprimento (m)]],tipoEstaca[#Headers],0))</f>
        <v>4</v>
      </c>
      <c r="AG26" s="5">
        <f ca="1">HC[[#This Row],[As,mín (cm²)]]/100^2*HC[[#This Row],[Comprimento (m)]]*7850</f>
        <v>7.4601044550306632</v>
      </c>
      <c r="AH26" s="4">
        <f ca="1">HC[[#This Row],[nE]]*HC[[#This Row],[Prof. (m)]]*HC[[#This Row],[Ap (m²)]]</f>
        <v>8.3154030549704849</v>
      </c>
      <c r="AI26" s="1">
        <f ca="1">IF(HC[[#This Row],[nE]]=1,0,MAX(3*HC[[#This Row],[Ø (cm)]],60))</f>
        <v>82.5</v>
      </c>
      <c r="AJ26" s="1">
        <f ca="1">IF(HC[[#This Row],[nE]]=1,HC[[#This Row],[Ø (cm)]]+2*10,MAX(1.5*HC[[#This Row],[Ø (cm)]],HC[[#This Row],[Ø (cm)]]+15))</f>
        <v>42.5</v>
      </c>
      <c r="AK26" s="1" t="str">
        <f ca="1">alturaUtil(HC[[#This Row],[nE]],HC[[#This Row],[Ø (cm)]],HC[[#This Row],[e (cm)]],HC[[#This Row],[ap,eq (cm)]])</f>
        <v>N.S.</v>
      </c>
      <c r="AL26" s="1" t="str">
        <f ca="1">IFERROR(HC[[#This Row],[d (cm)]]+arredondarParaCimaMultiplo5cm(MAX(5,SQRT(PI())/2*HC[[#This Row],[Ø (cm)]]/5)),"N.S.")</f>
        <v>N.S.</v>
      </c>
      <c r="AM26" s="5" t="str">
        <f ca="1">alpha(HC[[#This Row],[nE]],HC[[#This Row],[d (cm)]],HC[[#This Row],[e (cm)]],HC[[#This Row],[ap,eq (cm)]])</f>
        <v>N.S.</v>
      </c>
      <c r="AN26" s="35" t="str">
        <f ca="1">IFERROR(HC[[#This Row],[Nsd (kN)]]/(HC[[#This Row],[Ap (cm²)]]*SIN(HC[[#This Row],[α]])^2),"N.S.")</f>
        <v>N.S.</v>
      </c>
      <c r="AO26" s="35" t="str">
        <f ca="1">IFERROR(HC[[#This Row],[Nsd (kN)]]/(HC[[#This Row],[nE]]*PI()*HC[[#This Row],[Ø (cm)]]^2/4*SIN(HC[[#This Row],[α]])^2),"N.S.")</f>
        <v>N.S.</v>
      </c>
      <c r="AP26" s="4" t="str">
        <f ca="1">IFERROR(INDEX(grupoEstacas[],HC[[#This Row],[nE]],MATCH("coef. Blévot",grupoEstacas[#Headers],0)),"N.S.")</f>
        <v>N.S.</v>
      </c>
      <c r="AQ26" s="35" t="str">
        <f ca="1">IFERROR(HC[[#This Row],[coef. Blévot]]*0.9*INDEX(tipoEstaca[],MATCH($D$2,tipoEstaca[TIPO DE ESTACA],0),MATCH("fcd (kN/cm²)",tipoEstaca[#Headers],0)),"N.S.")</f>
        <v>N.S.</v>
      </c>
      <c r="AR26" s="1" t="str">
        <f ca="1">IF(AND(HC[[#This Row],[cd,b,pil (kN/cm²)]]&lt;=HC[[#This Row],[cd,b,lim (kN/cm²)]],HC[[#This Row],[cd,b,est (kN/cm²)]]&lt;=HC[[#This Row],[cd,b,lim (kN/cm²)]]),"OK","ERRO")</f>
        <v>OK</v>
      </c>
      <c r="AS26" s="4" t="str">
        <f ca="1">As_lado(HC[[#This Row],[nE]],HC[[#This Row],[Nsd (kN)]],HC[[#This Row],[d (cm)]],HC[[#This Row],[e (cm)]],HC[[#This Row],[ap,eq (cm)]])</f>
        <v>N.S.</v>
      </c>
      <c r="AT26" s="4" t="str">
        <f ca="1">IF(HC[[#This Row],[nE]]=1,HC[[#This Row],[As,lado (cm²)]],IF(HC[[#This Row],[nE]]=2,0.075*2*HC[a (cm)],"N.A."))</f>
        <v>N.A.</v>
      </c>
      <c r="AU26" s="4" t="str">
        <f ca="1">IFERROR(IF(HC[[#This Row],[nE]]=1,"N.A.",0.2*HC[[#This Row],[As,lado (cm²)]]),"N.S.")</f>
        <v>N.S.</v>
      </c>
      <c r="AV26" s="4" t="str">
        <f ca="1">As_malha(HC[[#This Row],[nE]],HC[[#This Row],[As,lado (cm²)]],HC[[#This Row],[Nsd (kN)]])</f>
        <v>N.S.</v>
      </c>
      <c r="AW26" s="4" t="str">
        <f ca="1">As_susp_tot(HC[[#This Row],[nE]],HC[[#This Row],[Nsd (kN)]])</f>
        <v>N.S.</v>
      </c>
      <c r="AX26" s="4" t="str">
        <f ca="1">Asp_face(HC[[#This Row],[nE]],HC[[#This Row],[As,lado (cm²)]])</f>
        <v>N.S.</v>
      </c>
      <c r="AY26" s="5" t="str">
        <f ca="1">acoBloco(HC[[#This Row],[nE]],HC[[#This Row],[e (cm)]],HC[[#This Row],[a (cm)]],HC[[#This Row],[h (cm)]],HC[[#This Row],[As,lado (cm²)]],HC[[#This Row],[Asp e Asw (cm²/m)]],HC[[#This Row],[As,sup (cm²)]],HC[[#This Row],[As,malha (cm²)]],HC[[#This Row],[As,susp,tot (cm²)]],HC[[#This Row],[Asp,face (cm²)]])</f>
        <v>N.S.</v>
      </c>
      <c r="AZ26" s="4" t="str">
        <f ca="1">concretoBloco(HC[[#This Row],[nE]],HC[[#This Row],[e (cm)]],HC[[#This Row],[a (cm)]],HC[[#This Row],[h (cm)]])</f>
        <v>N.S.</v>
      </c>
      <c r="BA26" s="5">
        <f ca="1">SUM(HC[[#This Row],[Aço Est (kg)]],HC[[#This Row],[Aço Bloco (kg)]])</f>
        <v>7.4601044550306632</v>
      </c>
      <c r="BB26" s="4">
        <f>INDEX(composicoes[],MATCH(95580,composicoes[CÓDIGO],0),MATCH("CUSTO TOTAL",composicoes[#Headers],0))</f>
        <v>10.46</v>
      </c>
      <c r="BC26" s="4">
        <f ca="1">SUM(HC[[#This Row],[Conc Est (m³)]],HC[[#This Row],[Conc Bloco (m³)]])</f>
        <v>8.3154030549704849</v>
      </c>
      <c r="BD26" s="4">
        <f>INDEX(composicoes[],MATCH(94966,composicoes[CÓDIGO],0),MATCH("CUSTO TOTAL",composicoes[#Headers],0))</f>
        <v>439.52</v>
      </c>
      <c r="BE26" s="38">
        <f ca="1">HC[[#This Row],[Aço (kg)]]*HC[[#This Row],[Aço (R$/kg)]]+HC[[#This Row],[Conc (m³)]]*HC[[#This Row],[Conc (R$/m³)]]</f>
        <v>3732.8186433202477</v>
      </c>
      <c r="BF26" s="4" t="str">
        <f ca="1">IF(COUNTIF(HC[#This Row],"N.S.")&gt;0,"lim.","OK")</f>
        <v>lim.</v>
      </c>
      <c r="BG26" s="4" t="str">
        <f>IF(HC[[#This Row],[Prof. (m)]]&lt;4,"lim.","OK")</f>
        <v>OK</v>
      </c>
      <c r="BH26" s="4" t="str">
        <f>IF(HC[[#This Row],[Prof. (m)]]&gt;=8*HC[[#This Row],[Ø (cm)]]/100,"OK","lim.")</f>
        <v>OK</v>
      </c>
      <c r="BI26" s="4" t="str">
        <f ca="1">IF(HC[[#This Row],[Verif. Biela]]="OK","OK","lim.")</f>
        <v>OK</v>
      </c>
      <c r="BJ26" s="4" t="str">
        <f ca="1">IF(COUNTA(HC[[#This Row],[Nº Est.]:[Biela comp.]])=COUNTIF(HC[[#This Row],[Nº Est.]:[Biela comp.]],"OK"),"OK","lim.")</f>
        <v>lim.</v>
      </c>
      <c r="BK26" s="4" t="str">
        <f ca="1">IF(HC[[#This Row],[Controle]]="OK",HC[[#This Row],[nE]]&amp;" Ø"&amp;HC[[#This Row],[Ø (cm)]]&amp;"cm Prof. "&amp;HC[[#This Row],[Prof. (m)]]&amp;" m","")</f>
        <v/>
      </c>
      <c r="BL26" s="4" t="str">
        <f ca="1">IF(HC[[#This Row],[idDimensionamento]]="","",HC[[#This Row],[idPilar]]&amp;HC[[#This Row],[idDimensionamento]])</f>
        <v/>
      </c>
    </row>
    <row r="27" spans="2:64" x14ac:dyDescent="0.25">
      <c r="B27" s="12">
        <f>ROUNDUP((ROW(HC[[#This Row],[idDiâmetro]])-ROW(HC[[#Headers],[idDiâmetro]]))/(COUNT(SPT[Prof. (m)])*COUNT(PILARES[Pilar])),0)</f>
        <v>1</v>
      </c>
      <c r="C27" s="12">
        <f>IF(HC[[#This Row],[idDiâmetro]]&lt;&gt;B26,1,IF(HC[[#This Row],[Prof. (m)]]=0,C26+1,C26))</f>
        <v>2</v>
      </c>
      <c r="D27" s="1">
        <f>IFERROR(IF(D26=MAX(SPT[Prof. (m)]),0,D26+1),0)</f>
        <v>8</v>
      </c>
      <c r="E27" s="1">
        <f>INDEX(SPT[],MATCH(HC[[#This Row],[Prof. (m)]],SPT[Prof. (m)],0),2)</f>
        <v>10</v>
      </c>
      <c r="F27" s="1" t="str">
        <f>INDEX(SPT[],MATCH(HC[[#This Row],[Prof. (m)]],SPT[Prof. (m)],0),3)</f>
        <v>Silte arenoso</v>
      </c>
      <c r="G27" s="1">
        <f>INDEX(estacas[],HC[[#This Row],[idDiâmetro]],MATCH($B$2,estacas[#Headers],0))</f>
        <v>27.5</v>
      </c>
      <c r="H27" s="1">
        <f>INDEX(estacas[],MATCH(HC[[#This Row],[Ø (cm)]],estacas[Ø HC (cm)],0),MATCH(HC[[#Headers],[Pe HC (kN)]],estacas[#Headers],0))</f>
        <v>350</v>
      </c>
      <c r="I27" s="4">
        <f>INDEX(K_alpha_C[],MATCH(HC[[#This Row],[Solo]],K_alpha_C[Solo],0),2)</f>
        <v>0.55000000000000004</v>
      </c>
      <c r="J27" s="5">
        <f>INDEX(K_alpha_C[],MATCH(HC[[#This Row],[Solo]],K_alpha_C[Solo],0),3)</f>
        <v>2.2000000000000002</v>
      </c>
      <c r="K27" s="4">
        <f>INDEX(F1_F2[],MATCH($D$2,F1_F2[Tipo de estaca],0),2)</f>
        <v>2</v>
      </c>
      <c r="L27" s="4">
        <f>INDEX(F1_F2[],MATCH($D$2,F1_F2[Tipo de estaca],0),3)</f>
        <v>4</v>
      </c>
      <c r="M27" s="4">
        <f>PI()*(HC[[#This Row],[Ø (cm)]]/100)^2/4</f>
        <v>5.9395736106932037E-2</v>
      </c>
      <c r="N27" s="4">
        <f>PI()*HC[[#This Row],[Ø (cm)]]/100</f>
        <v>0.86393797973719311</v>
      </c>
      <c r="O27" s="4">
        <f>IF(HC[[#This Row],[Prof. (m)]]=0,0,HC[[#This Row],[α (%)]]/100*HC[[#This Row],[K (MPa)]]*1000*HC[[#This Row],[NSPT]])</f>
        <v>121.00000000000001</v>
      </c>
      <c r="P27" s="4">
        <f>IF(HC[[#This Row],[Prof. (m)]]=0,0,(HC[[#This Row],[K (MPa)]]*1000*HC[[#This Row],[NSPT]]/HC[[#This Row],[F1]]*HC[[#This Row],[Ap (m²)]]+HC[[#This Row],[U (m)]]/HC[[#This Row],[F2]]*SUMIFS(HC[(α∙K∙NL∙ΔL)],HC[Prof. (m)],"&lt;="&amp;HC[[#This Row],[Prof. (m)]],HC[idDiâmetro],HC[[#This Row],[idDiâmetro]],HC[idPilar],HC[[#This Row],[idPilar]]))/'DADOS CAP. CARGA'!$D$2)</f>
        <v>189.65058538943399</v>
      </c>
      <c r="Q27" s="12">
        <f>INDEX(C_alpha_beta[],MATCH(HC[[#This Row],[Solo]],C_alpha_beta[Solo],0),MATCH(HC[[#Headers],[C (kPa)]],C_alpha_beta[#Headers],0))</f>
        <v>250</v>
      </c>
      <c r="R27" s="4">
        <f>INDEX(C_alpha_beta[],MATCH(HC[[#This Row],[Solo]],C_alpha_beta[Solo],0),MATCH(HC[[#Headers],[α ESF]],C_alpha_beta[#Headers],0))</f>
        <v>0.6</v>
      </c>
      <c r="S27" s="4">
        <f>INDEX(C_alpha_beta[],MATCH(HC[[#This Row],[Solo]],C_alpha_beta[Solo],0),MATCH(HC[[#Headers],[β ESF]],C_alpha_beta[#Headers],0))</f>
        <v>0.65</v>
      </c>
      <c r="T27" s="4">
        <f>IF(HC[[#This Row],[Prof. (m)]]=0,0,10*(HC[[#This Row],[NSPT]]/3+1))</f>
        <v>43.333333333333343</v>
      </c>
      <c r="U27" s="4">
        <f>(HC[[#This Row],[α ESF]]*HC[[#This Row],[C (kPa)]]*HC[[#This Row],[NSPT]]*HC[[#This Row],[Ap (m²)]])/'DADOS CAP. CARGA'!$Q$2+(HC[[#This Row],[β ESF]]*SUMIFS(HC[10∙(NL/3+1)],HC[Prof. (m)],"&lt;="&amp;HC[[#This Row],[Prof. (m)]],HC[idDiâmetro],HC[[#This Row],[idDiâmetro]],HC[idPilar],HC[[#This Row],[idPilar]])*HC[[#This Row],[U (m)]])/'DADOS CAP. CARGA'!$S$2</f>
        <v>112.12295093276759</v>
      </c>
      <c r="V27" s="4">
        <f>IF(SPT!$M$5=1,MIN(HC[[#This Row],[Pe HC (kN)]],HC[[#This Row],[R_AV (kN)]]),IF(SPT!$M$5=2,MIN(HC[[#This Row],[Pe HC (kN)]],HC[[#This Row],[R_DC (kN)]]),MIN(HC[[#This Row],[Pe HC (kN)]],HC[[#This Row],[R_AV (kN)]],HC[[#This Row],[R_DC (kN)]])))</f>
        <v>112.12295093276759</v>
      </c>
      <c r="W27" s="4">
        <f>INDEX(PILARES[],HC[[#This Row],[idPilar]],MATCH("Carga (kN)",PILARES[#Headers],0))*1.4</f>
        <v>1750</v>
      </c>
      <c r="X27" s="12">
        <f>INDEX(PILARES[],HC[[#This Row],[idPilar]],MATCH(HC[[#Headers],[ap (cm)]],PILARES[#Headers],0))</f>
        <v>50</v>
      </c>
      <c r="Y27" s="12">
        <f>INDEX(PILARES[],HC[[#This Row],[idPilar]],MATCH(HC[[#Headers],[bp (cm)]],PILARES[#Headers],0))</f>
        <v>40</v>
      </c>
      <c r="Z27" s="4">
        <f>SQRT(HC[[#This Row],[ap (cm)]]*HC[[#This Row],[bp (cm)]])</f>
        <v>44.721359549995796</v>
      </c>
      <c r="AA27" s="12">
        <f>HC[[#This Row],[ap (cm)]]*HC[[#This Row],[bp (cm)]]</f>
        <v>2000</v>
      </c>
      <c r="AB27" s="12">
        <f ca="1">IF(HC[[#This Row],[Padm∙ε (kN)]]&gt;=HC[[#This Row],[Padm (kN)]],ROUNDUP(1.05*HC[[#This Row],[Nsd (kN)]]/HC[[#This Row],[Padm (kN)]],0),ROUNDUP(1.05*HC[[#This Row],[Nsd (kN)]]/HC[[#This Row],[Padm (kN)]],0)+1)</f>
        <v>17</v>
      </c>
      <c r="AC27" s="4" t="str">
        <f ca="1">IFERROR(IF(HC[[#This Row],[nE]]=1,HC[[#This Row],[Padm (kN)]],HC[[#This Row],[Padm (kN)]]*HC[[#This Row],[nE]]*INDEX(grupoEstacas[],HC[[#This Row],[nE]],MATCH("ε",grupoEstacas[#Headers],0))),"N.S.")</f>
        <v>N.S.</v>
      </c>
      <c r="AD27" s="4">
        <f ca="1">1.05*HC[[#This Row],[Nsd (kN)]]/(HC[[#This Row],[nE]]*PI()*HC[[#This Row],[Ø (cm)]]^2/4)*10</f>
        <v>1.8197978908708692</v>
      </c>
      <c r="AE27" s="4">
        <f ca="1">IF(HC[[#This Row],[σ (MPa)]]&lt;INDEX(tipoEstaca[],MATCH($D$2,tipoEstaca[TIPO DE ESTACA],0),MATCH("σmáx (MPa)",tipoEstaca[#Headers],0)),0.4%*PI()*HC[[#This Row],[Ø (cm)]]^2/4,"N.S.")</f>
        <v>2.3758294442772812</v>
      </c>
      <c r="AF27" s="1">
        <f>INDEX(tipoEstaca[],MATCH($D$2,tipoEstaca[TIPO DE ESTACA],0),MATCH(HC[[#Headers],[Comprimento (m)]],tipoEstaca[#Headers],0))</f>
        <v>4</v>
      </c>
      <c r="AG27" s="5">
        <f ca="1">HC[[#This Row],[As,mín (cm²)]]/100^2*HC[[#This Row],[Comprimento (m)]]*7850</f>
        <v>7.4601044550306632</v>
      </c>
      <c r="AH27" s="4">
        <f ca="1">HC[[#This Row],[nE]]*HC[[#This Row],[Prof. (m)]]*HC[[#This Row],[Ap (m²)]]</f>
        <v>8.0778201105427563</v>
      </c>
      <c r="AI27" s="1">
        <f ca="1">IF(HC[[#This Row],[nE]]=1,0,MAX(3*HC[[#This Row],[Ø (cm)]],60))</f>
        <v>82.5</v>
      </c>
      <c r="AJ27" s="1">
        <f ca="1">IF(HC[[#This Row],[nE]]=1,HC[[#This Row],[Ø (cm)]]+2*10,MAX(1.5*HC[[#This Row],[Ø (cm)]],HC[[#This Row],[Ø (cm)]]+15))</f>
        <v>42.5</v>
      </c>
      <c r="AK27" s="1" t="str">
        <f ca="1">alturaUtil(HC[[#This Row],[nE]],HC[[#This Row],[Ø (cm)]],HC[[#This Row],[e (cm)]],HC[[#This Row],[ap,eq (cm)]])</f>
        <v>N.S.</v>
      </c>
      <c r="AL27" s="1" t="str">
        <f ca="1">IFERROR(HC[[#This Row],[d (cm)]]+arredondarParaCimaMultiplo5cm(MAX(5,SQRT(PI())/2*HC[[#This Row],[Ø (cm)]]/5)),"N.S.")</f>
        <v>N.S.</v>
      </c>
      <c r="AM27" s="5" t="str">
        <f ca="1">alpha(HC[[#This Row],[nE]],HC[[#This Row],[d (cm)]],HC[[#This Row],[e (cm)]],HC[[#This Row],[ap,eq (cm)]])</f>
        <v>N.S.</v>
      </c>
      <c r="AN27" s="35" t="str">
        <f ca="1">IFERROR(HC[[#This Row],[Nsd (kN)]]/(HC[[#This Row],[Ap (cm²)]]*SIN(HC[[#This Row],[α]])^2),"N.S.")</f>
        <v>N.S.</v>
      </c>
      <c r="AO27" s="35" t="str">
        <f ca="1">IFERROR(HC[[#This Row],[Nsd (kN)]]/(HC[[#This Row],[nE]]*PI()*HC[[#This Row],[Ø (cm)]]^2/4*SIN(HC[[#This Row],[α]])^2),"N.S.")</f>
        <v>N.S.</v>
      </c>
      <c r="AP27" s="4" t="str">
        <f ca="1">IFERROR(INDEX(grupoEstacas[],HC[[#This Row],[nE]],MATCH("coef. Blévot",grupoEstacas[#Headers],0)),"N.S.")</f>
        <v>N.S.</v>
      </c>
      <c r="AQ27" s="35" t="str">
        <f ca="1">IFERROR(HC[[#This Row],[coef. Blévot]]*0.9*INDEX(tipoEstaca[],MATCH($D$2,tipoEstaca[TIPO DE ESTACA],0),MATCH("fcd (kN/cm²)",tipoEstaca[#Headers],0)),"N.S.")</f>
        <v>N.S.</v>
      </c>
      <c r="AR27" s="1" t="str">
        <f ca="1">IF(AND(HC[[#This Row],[cd,b,pil (kN/cm²)]]&lt;=HC[[#This Row],[cd,b,lim (kN/cm²)]],HC[[#This Row],[cd,b,est (kN/cm²)]]&lt;=HC[[#This Row],[cd,b,lim (kN/cm²)]]),"OK","ERRO")</f>
        <v>OK</v>
      </c>
      <c r="AS27" s="4" t="str">
        <f ca="1">As_lado(HC[[#This Row],[nE]],HC[[#This Row],[Nsd (kN)]],HC[[#This Row],[d (cm)]],HC[[#This Row],[e (cm)]],HC[[#This Row],[ap,eq (cm)]])</f>
        <v>N.S.</v>
      </c>
      <c r="AT27" s="4" t="str">
        <f ca="1">IF(HC[[#This Row],[nE]]=1,HC[[#This Row],[As,lado (cm²)]],IF(HC[[#This Row],[nE]]=2,0.075*2*HC[a (cm)],"N.A."))</f>
        <v>N.A.</v>
      </c>
      <c r="AU27" s="4" t="str">
        <f ca="1">IFERROR(IF(HC[[#This Row],[nE]]=1,"N.A.",0.2*HC[[#This Row],[As,lado (cm²)]]),"N.S.")</f>
        <v>N.S.</v>
      </c>
      <c r="AV27" s="4" t="str">
        <f ca="1">As_malha(HC[[#This Row],[nE]],HC[[#This Row],[As,lado (cm²)]],HC[[#This Row],[Nsd (kN)]])</f>
        <v>N.S.</v>
      </c>
      <c r="AW27" s="4" t="str">
        <f ca="1">As_susp_tot(HC[[#This Row],[nE]],HC[[#This Row],[Nsd (kN)]])</f>
        <v>N.S.</v>
      </c>
      <c r="AX27" s="4" t="str">
        <f ca="1">Asp_face(HC[[#This Row],[nE]],HC[[#This Row],[As,lado (cm²)]])</f>
        <v>N.S.</v>
      </c>
      <c r="AY27" s="5" t="str">
        <f ca="1">acoBloco(HC[[#This Row],[nE]],HC[[#This Row],[e (cm)]],HC[[#This Row],[a (cm)]],HC[[#This Row],[h (cm)]],HC[[#This Row],[As,lado (cm²)]],HC[[#This Row],[Asp e Asw (cm²/m)]],HC[[#This Row],[As,sup (cm²)]],HC[[#This Row],[As,malha (cm²)]],HC[[#This Row],[As,susp,tot (cm²)]],HC[[#This Row],[Asp,face (cm²)]])</f>
        <v>N.S.</v>
      </c>
      <c r="AZ27" s="4" t="str">
        <f ca="1">concretoBloco(HC[[#This Row],[nE]],HC[[#This Row],[e (cm)]],HC[[#This Row],[a (cm)]],HC[[#This Row],[h (cm)]])</f>
        <v>N.S.</v>
      </c>
      <c r="BA27" s="5">
        <f ca="1">SUM(HC[[#This Row],[Aço Est (kg)]],HC[[#This Row],[Aço Bloco (kg)]])</f>
        <v>7.4601044550306632</v>
      </c>
      <c r="BB27" s="4">
        <f>INDEX(composicoes[],MATCH(95580,composicoes[CÓDIGO],0),MATCH("CUSTO TOTAL",composicoes[#Headers],0))</f>
        <v>10.46</v>
      </c>
      <c r="BC27" s="4">
        <f ca="1">SUM(HC[[#This Row],[Conc Est (m³)]],HC[[#This Row],[Conc Bloco (m³)]])</f>
        <v>8.0778201105427563</v>
      </c>
      <c r="BD27" s="4">
        <f>INDEX(composicoes[],MATCH(94966,composicoes[CÓDIGO],0),MATCH("CUSTO TOTAL",composicoes[#Headers],0))</f>
        <v>439.52</v>
      </c>
      <c r="BE27" s="38">
        <f ca="1">HC[[#This Row],[Aço (kg)]]*HC[[#This Row],[Aço (R$/kg)]]+HC[[#This Row],[Conc (m³)]]*HC[[#This Row],[Conc (R$/m³)]]</f>
        <v>3628.3961875853724</v>
      </c>
      <c r="BF27" s="4" t="str">
        <f ca="1">IF(COUNTIF(HC[#This Row],"N.S.")&gt;0,"lim.","OK")</f>
        <v>lim.</v>
      </c>
      <c r="BG27" s="4" t="str">
        <f>IF(HC[[#This Row],[Prof. (m)]]&lt;4,"lim.","OK")</f>
        <v>OK</v>
      </c>
      <c r="BH27" s="4" t="str">
        <f>IF(HC[[#This Row],[Prof. (m)]]&gt;=8*HC[[#This Row],[Ø (cm)]]/100,"OK","lim.")</f>
        <v>OK</v>
      </c>
      <c r="BI27" s="4" t="str">
        <f ca="1">IF(HC[[#This Row],[Verif. Biela]]="OK","OK","lim.")</f>
        <v>OK</v>
      </c>
      <c r="BJ27" s="4" t="str">
        <f ca="1">IF(COUNTA(HC[[#This Row],[Nº Est.]:[Biela comp.]])=COUNTIF(HC[[#This Row],[Nº Est.]:[Biela comp.]],"OK"),"OK","lim.")</f>
        <v>lim.</v>
      </c>
      <c r="BK27" s="4" t="str">
        <f ca="1">IF(HC[[#This Row],[Controle]]="OK",HC[[#This Row],[nE]]&amp;" Ø"&amp;HC[[#This Row],[Ø (cm)]]&amp;"cm Prof. "&amp;HC[[#This Row],[Prof. (m)]]&amp;" m","")</f>
        <v/>
      </c>
      <c r="BL27" s="4" t="str">
        <f ca="1">IF(HC[[#This Row],[idDimensionamento]]="","",HC[[#This Row],[idPilar]]&amp;HC[[#This Row],[idDimensionamento]])</f>
        <v/>
      </c>
    </row>
    <row r="28" spans="2:64" x14ac:dyDescent="0.25">
      <c r="B28" s="12">
        <f>ROUNDUP((ROW(HC[[#This Row],[idDiâmetro]])-ROW(HC[[#Headers],[idDiâmetro]]))/(COUNT(SPT[Prof. (m)])*COUNT(PILARES[Pilar])),0)</f>
        <v>1</v>
      </c>
      <c r="C28" s="12">
        <f>IF(HC[[#This Row],[idDiâmetro]]&lt;&gt;B27,1,IF(HC[[#This Row],[Prof. (m)]]=0,C27+1,C27))</f>
        <v>2</v>
      </c>
      <c r="D28" s="1">
        <f>IFERROR(IF(D27=MAX(SPT[Prof. (m)]),0,D27+1),0)</f>
        <v>9</v>
      </c>
      <c r="E28" s="1">
        <f>INDEX(SPT[],MATCH(HC[[#This Row],[Prof. (m)]],SPT[Prof. (m)],0),2)</f>
        <v>26</v>
      </c>
      <c r="F28" s="1" t="str">
        <f>INDEX(SPT[],MATCH(HC[[#This Row],[Prof. (m)]],SPT[Prof. (m)],0),3)</f>
        <v>Areia siltosa</v>
      </c>
      <c r="G28" s="1">
        <f>INDEX(estacas[],HC[[#This Row],[idDiâmetro]],MATCH($B$2,estacas[#Headers],0))</f>
        <v>27.5</v>
      </c>
      <c r="H28" s="1">
        <f>INDEX(estacas[],MATCH(HC[[#This Row],[Ø (cm)]],estacas[Ø HC (cm)],0),MATCH(HC[[#Headers],[Pe HC (kN)]],estacas[#Headers],0))</f>
        <v>350</v>
      </c>
      <c r="I28" s="4">
        <f>INDEX(K_alpha_C[],MATCH(HC[[#This Row],[Solo]],K_alpha_C[Solo],0),2)</f>
        <v>0.8</v>
      </c>
      <c r="J28" s="5">
        <f>INDEX(K_alpha_C[],MATCH(HC[[#This Row],[Solo]],K_alpha_C[Solo],0),3)</f>
        <v>2</v>
      </c>
      <c r="K28" s="4">
        <f>INDEX(F1_F2[],MATCH($D$2,F1_F2[Tipo de estaca],0),2)</f>
        <v>2</v>
      </c>
      <c r="L28" s="4">
        <f>INDEX(F1_F2[],MATCH($D$2,F1_F2[Tipo de estaca],0),3)</f>
        <v>4</v>
      </c>
      <c r="M28" s="4">
        <f>PI()*(HC[[#This Row],[Ø (cm)]]/100)^2/4</f>
        <v>5.9395736106932037E-2</v>
      </c>
      <c r="N28" s="4">
        <f>PI()*HC[[#This Row],[Ø (cm)]]/100</f>
        <v>0.86393797973719311</v>
      </c>
      <c r="O28" s="4">
        <f>IF(HC[[#This Row],[Prof. (m)]]=0,0,HC[[#This Row],[α (%)]]/100*HC[[#This Row],[K (MPa)]]*1000*HC[[#This Row],[NSPT]])</f>
        <v>416</v>
      </c>
      <c r="P28" s="4">
        <f>IF(HC[[#This Row],[Prof. (m)]]=0,0,(HC[[#This Row],[K (MPa)]]*1000*HC[[#This Row],[NSPT]]/HC[[#This Row],[F1]]*HC[[#This Row],[Ap (m²)]]+HC[[#This Row],[U (m)]]/HC[[#This Row],[F2]]*SUMIFS(HC[(α∙K∙NL∙ΔL)],HC[Prof. (m)],"&lt;="&amp;HC[[#This Row],[Prof. (m)]],HC[idDiâmetro],HC[[#This Row],[idDiâmetro]],HC[idPilar],HC[[#This Row],[idPilar]]))/'DADOS CAP. CARGA'!$D$2)</f>
        <v>461.76405094478309</v>
      </c>
      <c r="Q28" s="12">
        <f>INDEX(C_alpha_beta[],MATCH(HC[[#This Row],[Solo]],C_alpha_beta[Solo],0),MATCH(HC[[#Headers],[C (kPa)]],C_alpha_beta[#Headers],0))</f>
        <v>400</v>
      </c>
      <c r="R28" s="4">
        <f>INDEX(C_alpha_beta[],MATCH(HC[[#This Row],[Solo]],C_alpha_beta[Solo],0),MATCH(HC[[#Headers],[α ESF]],C_alpha_beta[#Headers],0))</f>
        <v>0.5</v>
      </c>
      <c r="S28" s="4">
        <f>INDEX(C_alpha_beta[],MATCH(HC[[#This Row],[Solo]],C_alpha_beta[Solo],0),MATCH(HC[[#Headers],[β ESF]],C_alpha_beta[#Headers],0))</f>
        <v>0.5</v>
      </c>
      <c r="T28" s="4">
        <f>IF(HC[[#This Row],[Prof. (m)]]=0,0,10*(HC[[#This Row],[NSPT]]/3+1))</f>
        <v>96.666666666666657</v>
      </c>
      <c r="U28" s="4">
        <f>(HC[[#This Row],[α ESF]]*HC[[#This Row],[C (kPa)]]*HC[[#This Row],[NSPT]]*HC[[#This Row],[Ap (m²)]])/'DADOS CAP. CARGA'!$Q$2+(HC[[#This Row],[β ESF]]*SUMIFS(HC[10∙(NL/3+1)],HC[Prof. (m)],"&lt;="&amp;HC[[#This Row],[Prof. (m)]],HC[idDiâmetro],HC[[#This Row],[idDiâmetro]],HC[idPilar],HC[[#This Row],[idPilar]])*HC[[#This Row],[U (m)]])/'DADOS CAP. CARGA'!$S$2</f>
        <v>167.20799649496928</v>
      </c>
      <c r="V28" s="4">
        <f>IF(SPT!$M$5=1,MIN(HC[[#This Row],[Pe HC (kN)]],HC[[#This Row],[R_AV (kN)]]),IF(SPT!$M$5=2,MIN(HC[[#This Row],[Pe HC (kN)]],HC[[#This Row],[R_DC (kN)]]),MIN(HC[[#This Row],[Pe HC (kN)]],HC[[#This Row],[R_AV (kN)]],HC[[#This Row],[R_DC (kN)]])))</f>
        <v>167.20799649496928</v>
      </c>
      <c r="W28" s="4">
        <f>INDEX(PILARES[],HC[[#This Row],[idPilar]],MATCH("Carga (kN)",PILARES[#Headers],0))*1.4</f>
        <v>1750</v>
      </c>
      <c r="X28" s="12">
        <f>INDEX(PILARES[],HC[[#This Row],[idPilar]],MATCH(HC[[#Headers],[ap (cm)]],PILARES[#Headers],0))</f>
        <v>50</v>
      </c>
      <c r="Y28" s="12">
        <f>INDEX(PILARES[],HC[[#This Row],[idPilar]],MATCH(HC[[#Headers],[bp (cm)]],PILARES[#Headers],0))</f>
        <v>40</v>
      </c>
      <c r="Z28" s="4">
        <f>SQRT(HC[[#This Row],[ap (cm)]]*HC[[#This Row],[bp (cm)]])</f>
        <v>44.721359549995796</v>
      </c>
      <c r="AA28" s="12">
        <f>HC[[#This Row],[ap (cm)]]*HC[[#This Row],[bp (cm)]]</f>
        <v>2000</v>
      </c>
      <c r="AB28" s="12">
        <f ca="1">IF(HC[[#This Row],[Padm∙ε (kN)]]&gt;=HC[[#This Row],[Padm (kN)]],ROUNDUP(1.05*HC[[#This Row],[Nsd (kN)]]/HC[[#This Row],[Padm (kN)]],0),ROUNDUP(1.05*HC[[#This Row],[Nsd (kN)]]/HC[[#This Row],[Padm (kN)]],0)+1)</f>
        <v>11</v>
      </c>
      <c r="AC28" s="4" t="str">
        <f ca="1">IFERROR(IF(HC[[#This Row],[nE]]=1,HC[[#This Row],[Padm (kN)]],HC[[#This Row],[Padm (kN)]]*HC[[#This Row],[nE]]*INDEX(grupoEstacas[],HC[[#This Row],[nE]],MATCH("ε",grupoEstacas[#Headers],0))),"N.S.")</f>
        <v>N.S.</v>
      </c>
      <c r="AD28" s="4">
        <f ca="1">1.05*HC[[#This Row],[Nsd (kN)]]/(HC[[#This Row],[nE]]*PI()*HC[[#This Row],[Ø (cm)]]^2/4)*10</f>
        <v>2.8124149222549804</v>
      </c>
      <c r="AE28" s="4">
        <f ca="1">IF(HC[[#This Row],[σ (MPa)]]&lt;INDEX(tipoEstaca[],MATCH($D$2,tipoEstaca[TIPO DE ESTACA],0),MATCH("σmáx (MPa)",tipoEstaca[#Headers],0)),0.4%*PI()*HC[[#This Row],[Ø (cm)]]^2/4,"N.S.")</f>
        <v>2.3758294442772812</v>
      </c>
      <c r="AF28" s="1">
        <f>INDEX(tipoEstaca[],MATCH($D$2,tipoEstaca[TIPO DE ESTACA],0),MATCH(HC[[#Headers],[Comprimento (m)]],tipoEstaca[#Headers],0))</f>
        <v>4</v>
      </c>
      <c r="AG28" s="5">
        <f ca="1">HC[[#This Row],[As,mín (cm²)]]/100^2*HC[[#This Row],[Comprimento (m)]]*7850</f>
        <v>7.4601044550306632</v>
      </c>
      <c r="AH28" s="4">
        <f ca="1">HC[[#This Row],[nE]]*HC[[#This Row],[Prof. (m)]]*HC[[#This Row],[Ap (m²)]]</f>
        <v>5.8801778745862716</v>
      </c>
      <c r="AI28" s="1">
        <f ca="1">IF(HC[[#This Row],[nE]]=1,0,MAX(3*HC[[#This Row],[Ø (cm)]],60))</f>
        <v>82.5</v>
      </c>
      <c r="AJ28" s="1">
        <f ca="1">IF(HC[[#This Row],[nE]]=1,HC[[#This Row],[Ø (cm)]]+2*10,MAX(1.5*HC[[#This Row],[Ø (cm)]],HC[[#This Row],[Ø (cm)]]+15))</f>
        <v>42.5</v>
      </c>
      <c r="AK28" s="1" t="str">
        <f ca="1">alturaUtil(HC[[#This Row],[nE]],HC[[#This Row],[Ø (cm)]],HC[[#This Row],[e (cm)]],HC[[#This Row],[ap,eq (cm)]])</f>
        <v>N.S.</v>
      </c>
      <c r="AL28" s="1" t="str">
        <f ca="1">IFERROR(HC[[#This Row],[d (cm)]]+arredondarParaCimaMultiplo5cm(MAX(5,SQRT(PI())/2*HC[[#This Row],[Ø (cm)]]/5)),"N.S.")</f>
        <v>N.S.</v>
      </c>
      <c r="AM28" s="5" t="str">
        <f ca="1">alpha(HC[[#This Row],[nE]],HC[[#This Row],[d (cm)]],HC[[#This Row],[e (cm)]],HC[[#This Row],[ap,eq (cm)]])</f>
        <v>N.S.</v>
      </c>
      <c r="AN28" s="35" t="str">
        <f ca="1">IFERROR(HC[[#This Row],[Nsd (kN)]]/(HC[[#This Row],[Ap (cm²)]]*SIN(HC[[#This Row],[α]])^2),"N.S.")</f>
        <v>N.S.</v>
      </c>
      <c r="AO28" s="35" t="str">
        <f ca="1">IFERROR(HC[[#This Row],[Nsd (kN)]]/(HC[[#This Row],[nE]]*PI()*HC[[#This Row],[Ø (cm)]]^2/4*SIN(HC[[#This Row],[α]])^2),"N.S.")</f>
        <v>N.S.</v>
      </c>
      <c r="AP28" s="4" t="str">
        <f ca="1">IFERROR(INDEX(grupoEstacas[],HC[[#This Row],[nE]],MATCH("coef. Blévot",grupoEstacas[#Headers],0)),"N.S.")</f>
        <v>N.S.</v>
      </c>
      <c r="AQ28" s="35" t="str">
        <f ca="1">IFERROR(HC[[#This Row],[coef. Blévot]]*0.9*INDEX(tipoEstaca[],MATCH($D$2,tipoEstaca[TIPO DE ESTACA],0),MATCH("fcd (kN/cm²)",tipoEstaca[#Headers],0)),"N.S.")</f>
        <v>N.S.</v>
      </c>
      <c r="AR28" s="1" t="str">
        <f ca="1">IF(AND(HC[[#This Row],[cd,b,pil (kN/cm²)]]&lt;=HC[[#This Row],[cd,b,lim (kN/cm²)]],HC[[#This Row],[cd,b,est (kN/cm²)]]&lt;=HC[[#This Row],[cd,b,lim (kN/cm²)]]),"OK","ERRO")</f>
        <v>OK</v>
      </c>
      <c r="AS28" s="4" t="str">
        <f ca="1">As_lado(HC[[#This Row],[nE]],HC[[#This Row],[Nsd (kN)]],HC[[#This Row],[d (cm)]],HC[[#This Row],[e (cm)]],HC[[#This Row],[ap,eq (cm)]])</f>
        <v>N.S.</v>
      </c>
      <c r="AT28" s="4" t="str">
        <f ca="1">IF(HC[[#This Row],[nE]]=1,HC[[#This Row],[As,lado (cm²)]],IF(HC[[#This Row],[nE]]=2,0.075*2*HC[a (cm)],"N.A."))</f>
        <v>N.A.</v>
      </c>
      <c r="AU28" s="4" t="str">
        <f ca="1">IFERROR(IF(HC[[#This Row],[nE]]=1,"N.A.",0.2*HC[[#This Row],[As,lado (cm²)]]),"N.S.")</f>
        <v>N.S.</v>
      </c>
      <c r="AV28" s="4" t="str">
        <f ca="1">As_malha(HC[[#This Row],[nE]],HC[[#This Row],[As,lado (cm²)]],HC[[#This Row],[Nsd (kN)]])</f>
        <v>N.S.</v>
      </c>
      <c r="AW28" s="4" t="str">
        <f ca="1">As_susp_tot(HC[[#This Row],[nE]],HC[[#This Row],[Nsd (kN)]])</f>
        <v>N.S.</v>
      </c>
      <c r="AX28" s="4" t="str">
        <f ca="1">Asp_face(HC[[#This Row],[nE]],HC[[#This Row],[As,lado (cm²)]])</f>
        <v>N.S.</v>
      </c>
      <c r="AY28" s="5" t="str">
        <f ca="1">acoBloco(HC[[#This Row],[nE]],HC[[#This Row],[e (cm)]],HC[[#This Row],[a (cm)]],HC[[#This Row],[h (cm)]],HC[[#This Row],[As,lado (cm²)]],HC[[#This Row],[Asp e Asw (cm²/m)]],HC[[#This Row],[As,sup (cm²)]],HC[[#This Row],[As,malha (cm²)]],HC[[#This Row],[As,susp,tot (cm²)]],HC[[#This Row],[Asp,face (cm²)]])</f>
        <v>N.S.</v>
      </c>
      <c r="AZ28" s="4" t="str">
        <f ca="1">concretoBloco(HC[[#This Row],[nE]],HC[[#This Row],[e (cm)]],HC[[#This Row],[a (cm)]],HC[[#This Row],[h (cm)]])</f>
        <v>N.S.</v>
      </c>
      <c r="BA28" s="5">
        <f ca="1">SUM(HC[[#This Row],[Aço Est (kg)]],HC[[#This Row],[Aço Bloco (kg)]])</f>
        <v>7.4601044550306632</v>
      </c>
      <c r="BB28" s="4">
        <f>INDEX(composicoes[],MATCH(95580,composicoes[CÓDIGO],0),MATCH("CUSTO TOTAL",composicoes[#Headers],0))</f>
        <v>10.46</v>
      </c>
      <c r="BC28" s="4">
        <f ca="1">SUM(HC[[#This Row],[Conc Est (m³)]],HC[[#This Row],[Conc Bloco (m³)]])</f>
        <v>5.8801778745862716</v>
      </c>
      <c r="BD28" s="4">
        <f>INDEX(composicoes[],MATCH(94966,composicoes[CÓDIGO],0),MATCH("CUSTO TOTAL",composicoes[#Headers],0))</f>
        <v>439.52</v>
      </c>
      <c r="BE28" s="38">
        <f ca="1">HC[[#This Row],[Aço (kg)]]*HC[[#This Row],[Aço (R$/kg)]]+HC[[#This Row],[Conc (m³)]]*HC[[#This Row],[Conc (R$/m³)]]</f>
        <v>2662.4884720377786</v>
      </c>
      <c r="BF28" s="4" t="str">
        <f ca="1">IF(COUNTIF(HC[#This Row],"N.S.")&gt;0,"lim.","OK")</f>
        <v>lim.</v>
      </c>
      <c r="BG28" s="4" t="str">
        <f>IF(HC[[#This Row],[Prof. (m)]]&lt;4,"lim.","OK")</f>
        <v>OK</v>
      </c>
      <c r="BH28" s="4" t="str">
        <f>IF(HC[[#This Row],[Prof. (m)]]&gt;=8*HC[[#This Row],[Ø (cm)]]/100,"OK","lim.")</f>
        <v>OK</v>
      </c>
      <c r="BI28" s="4" t="str">
        <f ca="1">IF(HC[[#This Row],[Verif. Biela]]="OK","OK","lim.")</f>
        <v>OK</v>
      </c>
      <c r="BJ28" s="4" t="str">
        <f ca="1">IF(COUNTA(HC[[#This Row],[Nº Est.]:[Biela comp.]])=COUNTIF(HC[[#This Row],[Nº Est.]:[Biela comp.]],"OK"),"OK","lim.")</f>
        <v>lim.</v>
      </c>
      <c r="BK28" s="4" t="str">
        <f ca="1">IF(HC[[#This Row],[Controle]]="OK",HC[[#This Row],[nE]]&amp;" Ø"&amp;HC[[#This Row],[Ø (cm)]]&amp;"cm Prof. "&amp;HC[[#This Row],[Prof. (m)]]&amp;" m","")</f>
        <v/>
      </c>
      <c r="BL28" s="4" t="str">
        <f ca="1">IF(HC[[#This Row],[idDimensionamento]]="","",HC[[#This Row],[idPilar]]&amp;HC[[#This Row],[idDimensionamento]])</f>
        <v/>
      </c>
    </row>
    <row r="29" spans="2:64" x14ac:dyDescent="0.25">
      <c r="B29" s="12">
        <f>ROUNDUP((ROW(HC[[#This Row],[idDiâmetro]])-ROW(HC[[#Headers],[idDiâmetro]]))/(COUNT(SPT[Prof. (m)])*COUNT(PILARES[Pilar])),0)</f>
        <v>1</v>
      </c>
      <c r="C29" s="12">
        <f>IF(HC[[#This Row],[idDiâmetro]]&lt;&gt;B28,1,IF(HC[[#This Row],[Prof. (m)]]=0,C28+1,C28))</f>
        <v>2</v>
      </c>
      <c r="D29" s="1">
        <f>IFERROR(IF(D28=MAX(SPT[Prof. (m)]),0,D28+1),0)</f>
        <v>10</v>
      </c>
      <c r="E29" s="1">
        <f>INDEX(SPT[],MATCH(HC[[#This Row],[Prof. (m)]],SPT[Prof. (m)],0),2)</f>
        <v>32</v>
      </c>
      <c r="F29" s="1" t="str">
        <f>INDEX(SPT[],MATCH(HC[[#This Row],[Prof. (m)]],SPT[Prof. (m)],0),3)</f>
        <v>Areia siltosa</v>
      </c>
      <c r="G29" s="1">
        <f>INDEX(estacas[],HC[[#This Row],[idDiâmetro]],MATCH($B$2,estacas[#Headers],0))</f>
        <v>27.5</v>
      </c>
      <c r="H29" s="1">
        <f>INDEX(estacas[],MATCH(HC[[#This Row],[Ø (cm)]],estacas[Ø HC (cm)],0),MATCH(HC[[#Headers],[Pe HC (kN)]],estacas[#Headers],0))</f>
        <v>350</v>
      </c>
      <c r="I29" s="4">
        <f>INDEX(K_alpha_C[],MATCH(HC[[#This Row],[Solo]],K_alpha_C[Solo],0),2)</f>
        <v>0.8</v>
      </c>
      <c r="J29" s="5">
        <f>INDEX(K_alpha_C[],MATCH(HC[[#This Row],[Solo]],K_alpha_C[Solo],0),3)</f>
        <v>2</v>
      </c>
      <c r="K29" s="4">
        <f>INDEX(F1_F2[],MATCH($D$2,F1_F2[Tipo de estaca],0),2)</f>
        <v>2</v>
      </c>
      <c r="L29" s="4">
        <f>INDEX(F1_F2[],MATCH($D$2,F1_F2[Tipo de estaca],0),3)</f>
        <v>4</v>
      </c>
      <c r="M29" s="4">
        <f>PI()*(HC[[#This Row],[Ø (cm)]]/100)^2/4</f>
        <v>5.9395736106932037E-2</v>
      </c>
      <c r="N29" s="4">
        <f>PI()*HC[[#This Row],[Ø (cm)]]/100</f>
        <v>0.86393797973719311</v>
      </c>
      <c r="O29" s="4">
        <f>IF(HC[[#This Row],[Prof. (m)]]=0,0,HC[[#This Row],[α (%)]]/100*HC[[#This Row],[K (MPa)]]*1000*HC[[#This Row],[NSPT]])</f>
        <v>512</v>
      </c>
      <c r="P29" s="4">
        <f>IF(HC[[#This Row],[Prof. (m)]]=0,0,(HC[[#This Row],[K (MPa)]]*1000*HC[[#This Row],[NSPT]]/HC[[#This Row],[F1]]*HC[[#This Row],[Ap (m²)]]+HC[[#This Row],[U (m)]]/HC[[#This Row],[F2]]*SUMIFS(HC[(α∙K∙NL∙ΔL)],HC[Prof. (m)],"&lt;="&amp;HC[[#This Row],[Prof. (m)]],HC[idDiâmetro],HC[[#This Row],[idDiâmetro]],HC[idPilar],HC[[#This Row],[idPilar]]))/'DADOS CAP. CARGA'!$D$2)</f>
        <v>588.33096497628185</v>
      </c>
      <c r="Q29" s="12">
        <f>INDEX(C_alpha_beta[],MATCH(HC[[#This Row],[Solo]],C_alpha_beta[Solo],0),MATCH(HC[[#Headers],[C (kPa)]],C_alpha_beta[#Headers],0))</f>
        <v>400</v>
      </c>
      <c r="R29" s="4">
        <f>INDEX(C_alpha_beta[],MATCH(HC[[#This Row],[Solo]],C_alpha_beta[Solo],0),MATCH(HC[[#Headers],[α ESF]],C_alpha_beta[#Headers],0))</f>
        <v>0.5</v>
      </c>
      <c r="S29" s="4">
        <f>INDEX(C_alpha_beta[],MATCH(HC[[#This Row],[Solo]],C_alpha_beta[Solo],0),MATCH(HC[[#Headers],[β ESF]],C_alpha_beta[#Headers],0))</f>
        <v>0.5</v>
      </c>
      <c r="T29" s="4">
        <f>IF(HC[[#This Row],[Prof. (m)]]=0,0,10*(HC[[#This Row],[NSPT]]/3+1))</f>
        <v>116.66666666666666</v>
      </c>
      <c r="U29" s="4">
        <f>(HC[[#This Row],[α ESF]]*HC[[#This Row],[C (kPa)]]*HC[[#This Row],[NSPT]]*HC[[#This Row],[Ap (m²)]])/'DADOS CAP. CARGA'!$Q$2+(HC[[#This Row],[β ESF]]*SUMIFS(HC[10∙(NL/3+1)],HC[Prof. (m)],"&lt;="&amp;HC[[#This Row],[Prof. (m)]],HC[idDiâmetro],HC[[#This Row],[idDiâmetro]],HC[idPilar],HC[[#This Row],[idPilar]])*HC[[#This Row],[U (m)]])/'DADOS CAP. CARGA'!$S$2</f>
        <v>210.22490840271701</v>
      </c>
      <c r="V29" s="4">
        <f>IF(SPT!$M$5=1,MIN(HC[[#This Row],[Pe HC (kN)]],HC[[#This Row],[R_AV (kN)]]),IF(SPT!$M$5=2,MIN(HC[[#This Row],[Pe HC (kN)]],HC[[#This Row],[R_DC (kN)]]),MIN(HC[[#This Row],[Pe HC (kN)]],HC[[#This Row],[R_AV (kN)]],HC[[#This Row],[R_DC (kN)]])))</f>
        <v>210.22490840271701</v>
      </c>
      <c r="W29" s="4">
        <f>INDEX(PILARES[],HC[[#This Row],[idPilar]],MATCH("Carga (kN)",PILARES[#Headers],0))*1.4</f>
        <v>1750</v>
      </c>
      <c r="X29" s="12">
        <f>INDEX(PILARES[],HC[[#This Row],[idPilar]],MATCH(HC[[#Headers],[ap (cm)]],PILARES[#Headers],0))</f>
        <v>50</v>
      </c>
      <c r="Y29" s="12">
        <f>INDEX(PILARES[],HC[[#This Row],[idPilar]],MATCH(HC[[#Headers],[bp (cm)]],PILARES[#Headers],0))</f>
        <v>40</v>
      </c>
      <c r="Z29" s="4">
        <f>SQRT(HC[[#This Row],[ap (cm)]]*HC[[#This Row],[bp (cm)]])</f>
        <v>44.721359549995796</v>
      </c>
      <c r="AA29" s="12">
        <f>HC[[#This Row],[ap (cm)]]*HC[[#This Row],[bp (cm)]]</f>
        <v>2000</v>
      </c>
      <c r="AB29" s="12">
        <f ca="1">IF(HC[[#This Row],[Padm∙ε (kN)]]&gt;=HC[[#This Row],[Padm (kN)]],ROUNDUP(1.05*HC[[#This Row],[Nsd (kN)]]/HC[[#This Row],[Padm (kN)]],0),ROUNDUP(1.05*HC[[#This Row],[Nsd (kN)]]/HC[[#This Row],[Padm (kN)]],0)+1)</f>
        <v>9</v>
      </c>
      <c r="AC29" s="4" t="str">
        <f ca="1">IFERROR(IF(HC[[#This Row],[nE]]=1,HC[[#This Row],[Padm (kN)]],HC[[#This Row],[Padm (kN)]]*HC[[#This Row],[nE]]*INDEX(grupoEstacas[],HC[[#This Row],[nE]],MATCH("ε",grupoEstacas[#Headers],0))),"N.S.")</f>
        <v>N.S.</v>
      </c>
      <c r="AD29" s="4">
        <f ca="1">1.05*HC[[#This Row],[Nsd (kN)]]/(HC[[#This Row],[nE]]*PI()*HC[[#This Row],[Ø (cm)]]^2/4)*10</f>
        <v>3.4373960160894201</v>
      </c>
      <c r="AE29" s="4">
        <f ca="1">IF(HC[[#This Row],[σ (MPa)]]&lt;INDEX(tipoEstaca[],MATCH($D$2,tipoEstaca[TIPO DE ESTACA],0),MATCH("σmáx (MPa)",tipoEstaca[#Headers],0)),0.4%*PI()*HC[[#This Row],[Ø (cm)]]^2/4,"N.S.")</f>
        <v>2.3758294442772812</v>
      </c>
      <c r="AF29" s="1">
        <f>INDEX(tipoEstaca[],MATCH($D$2,tipoEstaca[TIPO DE ESTACA],0),MATCH(HC[[#Headers],[Comprimento (m)]],tipoEstaca[#Headers],0))</f>
        <v>4</v>
      </c>
      <c r="AG29" s="5">
        <f ca="1">HC[[#This Row],[As,mín (cm²)]]/100^2*HC[[#This Row],[Comprimento (m)]]*7850</f>
        <v>7.4601044550306632</v>
      </c>
      <c r="AH29" s="4">
        <f ca="1">HC[[#This Row],[nE]]*HC[[#This Row],[Prof. (m)]]*HC[[#This Row],[Ap (m²)]]</f>
        <v>5.345616249623883</v>
      </c>
      <c r="AI29" s="1">
        <f ca="1">IF(HC[[#This Row],[nE]]=1,0,MAX(3*HC[[#This Row],[Ø (cm)]],60))</f>
        <v>82.5</v>
      </c>
      <c r="AJ29" s="1">
        <f ca="1">IF(HC[[#This Row],[nE]]=1,HC[[#This Row],[Ø (cm)]]+2*10,MAX(1.5*HC[[#This Row],[Ø (cm)]],HC[[#This Row],[Ø (cm)]]+15))</f>
        <v>42.5</v>
      </c>
      <c r="AK29" s="1" t="str">
        <f ca="1">alturaUtil(HC[[#This Row],[nE]],HC[[#This Row],[Ø (cm)]],HC[[#This Row],[e (cm)]],HC[[#This Row],[ap,eq (cm)]])</f>
        <v>N.S.</v>
      </c>
      <c r="AL29" s="1" t="str">
        <f ca="1">IFERROR(HC[[#This Row],[d (cm)]]+arredondarParaCimaMultiplo5cm(MAX(5,SQRT(PI())/2*HC[[#This Row],[Ø (cm)]]/5)),"N.S.")</f>
        <v>N.S.</v>
      </c>
      <c r="AM29" s="5" t="str">
        <f ca="1">alpha(HC[[#This Row],[nE]],HC[[#This Row],[d (cm)]],HC[[#This Row],[e (cm)]],HC[[#This Row],[ap,eq (cm)]])</f>
        <v>N.S.</v>
      </c>
      <c r="AN29" s="35" t="str">
        <f ca="1">IFERROR(HC[[#This Row],[Nsd (kN)]]/(HC[[#This Row],[Ap (cm²)]]*SIN(HC[[#This Row],[α]])^2),"N.S.")</f>
        <v>N.S.</v>
      </c>
      <c r="AO29" s="35" t="str">
        <f ca="1">IFERROR(HC[[#This Row],[Nsd (kN)]]/(HC[[#This Row],[nE]]*PI()*HC[[#This Row],[Ø (cm)]]^2/4*SIN(HC[[#This Row],[α]])^2),"N.S.")</f>
        <v>N.S.</v>
      </c>
      <c r="AP29" s="4" t="str">
        <f ca="1">IFERROR(INDEX(grupoEstacas[],HC[[#This Row],[nE]],MATCH("coef. Blévot",grupoEstacas[#Headers],0)),"N.S.")</f>
        <v>N.S.</v>
      </c>
      <c r="AQ29" s="35" t="str">
        <f ca="1">IFERROR(HC[[#This Row],[coef. Blévot]]*0.9*INDEX(tipoEstaca[],MATCH($D$2,tipoEstaca[TIPO DE ESTACA],0),MATCH("fcd (kN/cm²)",tipoEstaca[#Headers],0)),"N.S.")</f>
        <v>N.S.</v>
      </c>
      <c r="AR29" s="1" t="str">
        <f ca="1">IF(AND(HC[[#This Row],[cd,b,pil (kN/cm²)]]&lt;=HC[[#This Row],[cd,b,lim (kN/cm²)]],HC[[#This Row],[cd,b,est (kN/cm²)]]&lt;=HC[[#This Row],[cd,b,lim (kN/cm²)]]),"OK","ERRO")</f>
        <v>OK</v>
      </c>
      <c r="AS29" s="4" t="str">
        <f ca="1">As_lado(HC[[#This Row],[nE]],HC[[#This Row],[Nsd (kN)]],HC[[#This Row],[d (cm)]],HC[[#This Row],[e (cm)]],HC[[#This Row],[ap,eq (cm)]])</f>
        <v>N.S.</v>
      </c>
      <c r="AT29" s="4" t="str">
        <f ca="1">IF(HC[[#This Row],[nE]]=1,HC[[#This Row],[As,lado (cm²)]],IF(HC[[#This Row],[nE]]=2,0.075*2*HC[a (cm)],"N.A."))</f>
        <v>N.A.</v>
      </c>
      <c r="AU29" s="4" t="str">
        <f ca="1">IFERROR(IF(HC[[#This Row],[nE]]=1,"N.A.",0.2*HC[[#This Row],[As,lado (cm²)]]),"N.S.")</f>
        <v>N.S.</v>
      </c>
      <c r="AV29" s="4" t="str">
        <f ca="1">As_malha(HC[[#This Row],[nE]],HC[[#This Row],[As,lado (cm²)]],HC[[#This Row],[Nsd (kN)]])</f>
        <v>N.S.</v>
      </c>
      <c r="AW29" s="4" t="str">
        <f ca="1">As_susp_tot(HC[[#This Row],[nE]],HC[[#This Row],[Nsd (kN)]])</f>
        <v>N.S.</v>
      </c>
      <c r="AX29" s="4" t="str">
        <f ca="1">Asp_face(HC[[#This Row],[nE]],HC[[#This Row],[As,lado (cm²)]])</f>
        <v>N.S.</v>
      </c>
      <c r="AY29" s="5" t="str">
        <f ca="1">acoBloco(HC[[#This Row],[nE]],HC[[#This Row],[e (cm)]],HC[[#This Row],[a (cm)]],HC[[#This Row],[h (cm)]],HC[[#This Row],[As,lado (cm²)]],HC[[#This Row],[Asp e Asw (cm²/m)]],HC[[#This Row],[As,sup (cm²)]],HC[[#This Row],[As,malha (cm²)]],HC[[#This Row],[As,susp,tot (cm²)]],HC[[#This Row],[Asp,face (cm²)]])</f>
        <v>N.S.</v>
      </c>
      <c r="AZ29" s="4" t="str">
        <f ca="1">concretoBloco(HC[[#This Row],[nE]],HC[[#This Row],[e (cm)]],HC[[#This Row],[a (cm)]],HC[[#This Row],[h (cm)]])</f>
        <v>N.S.</v>
      </c>
      <c r="BA29" s="5">
        <f ca="1">SUM(HC[[#This Row],[Aço Est (kg)]],HC[[#This Row],[Aço Bloco (kg)]])</f>
        <v>7.4601044550306632</v>
      </c>
      <c r="BB29" s="4">
        <f>INDEX(composicoes[],MATCH(95580,composicoes[CÓDIGO],0),MATCH("CUSTO TOTAL",composicoes[#Headers],0))</f>
        <v>10.46</v>
      </c>
      <c r="BC29" s="4">
        <f ca="1">SUM(HC[[#This Row],[Conc Est (m³)]],HC[[#This Row],[Conc Bloco (m³)]])</f>
        <v>5.345616249623883</v>
      </c>
      <c r="BD29" s="4">
        <f>INDEX(composicoes[],MATCH(94966,composicoes[CÓDIGO],0),MATCH("CUSTO TOTAL",composicoes[#Headers],0))</f>
        <v>439.52</v>
      </c>
      <c r="BE29" s="38">
        <f ca="1">HC[[#This Row],[Aço (kg)]]*HC[[#This Row],[Aço (R$/kg)]]+HC[[#This Row],[Conc (m³)]]*HC[[#This Row],[Conc (R$/m³)]]</f>
        <v>2427.5379466343097</v>
      </c>
      <c r="BF29" s="4" t="str">
        <f ca="1">IF(COUNTIF(HC[#This Row],"N.S.")&gt;0,"lim.","OK")</f>
        <v>lim.</v>
      </c>
      <c r="BG29" s="4" t="str">
        <f>IF(HC[[#This Row],[Prof. (m)]]&lt;4,"lim.","OK")</f>
        <v>OK</v>
      </c>
      <c r="BH29" s="4" t="str">
        <f>IF(HC[[#This Row],[Prof. (m)]]&gt;=8*HC[[#This Row],[Ø (cm)]]/100,"OK","lim.")</f>
        <v>OK</v>
      </c>
      <c r="BI29" s="4" t="str">
        <f ca="1">IF(HC[[#This Row],[Verif. Biela]]="OK","OK","lim.")</f>
        <v>OK</v>
      </c>
      <c r="BJ29" s="4" t="str">
        <f ca="1">IF(COUNTA(HC[[#This Row],[Nº Est.]:[Biela comp.]])=COUNTIF(HC[[#This Row],[Nº Est.]:[Biela comp.]],"OK"),"OK","lim.")</f>
        <v>lim.</v>
      </c>
      <c r="BK29" s="4" t="str">
        <f ca="1">IF(HC[[#This Row],[Controle]]="OK",HC[[#This Row],[nE]]&amp;" Ø"&amp;HC[[#This Row],[Ø (cm)]]&amp;"cm Prof. "&amp;HC[[#This Row],[Prof. (m)]]&amp;" m","")</f>
        <v/>
      </c>
      <c r="BL29" s="4" t="str">
        <f ca="1">IF(HC[[#This Row],[idDimensionamento]]="","",HC[[#This Row],[idPilar]]&amp;HC[[#This Row],[idDimensionamento]])</f>
        <v/>
      </c>
    </row>
    <row r="30" spans="2:64" x14ac:dyDescent="0.25">
      <c r="B30" s="12">
        <f>ROUNDUP((ROW(HC[[#This Row],[idDiâmetro]])-ROW(HC[[#Headers],[idDiâmetro]]))/(COUNT(SPT[Prof. (m)])*COUNT(PILARES[Pilar])),0)</f>
        <v>1</v>
      </c>
      <c r="C30" s="12">
        <f>IF(HC[[#This Row],[idDiâmetro]]&lt;&gt;B29,1,IF(HC[[#This Row],[Prof. (m)]]=0,C29+1,C29))</f>
        <v>2</v>
      </c>
      <c r="D30" s="1">
        <f>IFERROR(IF(D29=MAX(SPT[Prof. (m)]),0,D29+1),0)</f>
        <v>11</v>
      </c>
      <c r="E30" s="1">
        <f>INDEX(SPT[],MATCH(HC[[#This Row],[Prof. (m)]],SPT[Prof. (m)],0),2)</f>
        <v>41</v>
      </c>
      <c r="F30" s="1" t="str">
        <f>INDEX(SPT[],MATCH(HC[[#This Row],[Prof. (m)]],SPT[Prof. (m)],0),3)</f>
        <v>Areia siltosa</v>
      </c>
      <c r="G30" s="1">
        <f>INDEX(estacas[],HC[[#This Row],[idDiâmetro]],MATCH($B$2,estacas[#Headers],0))</f>
        <v>27.5</v>
      </c>
      <c r="H30" s="1">
        <f>INDEX(estacas[],MATCH(HC[[#This Row],[Ø (cm)]],estacas[Ø HC (cm)],0),MATCH(HC[[#Headers],[Pe HC (kN)]],estacas[#Headers],0))</f>
        <v>350</v>
      </c>
      <c r="I30" s="4">
        <f>INDEX(K_alpha_C[],MATCH(HC[[#This Row],[Solo]],K_alpha_C[Solo],0),2)</f>
        <v>0.8</v>
      </c>
      <c r="J30" s="5">
        <f>INDEX(K_alpha_C[],MATCH(HC[[#This Row],[Solo]],K_alpha_C[Solo],0),3)</f>
        <v>2</v>
      </c>
      <c r="K30" s="4">
        <f>INDEX(F1_F2[],MATCH($D$2,F1_F2[Tipo de estaca],0),2)</f>
        <v>2</v>
      </c>
      <c r="L30" s="4">
        <f>INDEX(F1_F2[],MATCH($D$2,F1_F2[Tipo de estaca],0),3)</f>
        <v>4</v>
      </c>
      <c r="M30" s="4">
        <f>PI()*(HC[[#This Row],[Ø (cm)]]/100)^2/4</f>
        <v>5.9395736106932037E-2</v>
      </c>
      <c r="N30" s="4">
        <f>PI()*HC[[#This Row],[Ø (cm)]]/100</f>
        <v>0.86393797973719311</v>
      </c>
      <c r="O30" s="4">
        <f>IF(HC[[#This Row],[Prof. (m)]]=0,0,HC[[#This Row],[α (%)]]/100*HC[[#This Row],[K (MPa)]]*1000*HC[[#This Row],[NSPT]])</f>
        <v>656</v>
      </c>
      <c r="P30" s="4">
        <f>IF(HC[[#This Row],[Prof. (m)]]=0,0,(HC[[#This Row],[K (MPa)]]*1000*HC[[#This Row],[NSPT]]/HC[[#This Row],[F1]]*HC[[#This Row],[Ap (m²)]]+HC[[#This Row],[U (m)]]/HC[[#This Row],[F2]]*SUMIFS(HC[(α∙K∙NL∙ΔL)],HC[Prof. (m)],"&lt;="&amp;HC[[#This Row],[Prof. (m)]],HC[idDiâmetro],HC[[#This Row],[idDiâmetro]],HC[idPilar],HC[[#This Row],[idPilar]]))/'DADOS CAP. CARGA'!$D$2)</f>
        <v>766.0862043072093</v>
      </c>
      <c r="Q30" s="12">
        <f>INDEX(C_alpha_beta[],MATCH(HC[[#This Row],[Solo]],C_alpha_beta[Solo],0),MATCH(HC[[#Headers],[C (kPa)]],C_alpha_beta[#Headers],0))</f>
        <v>400</v>
      </c>
      <c r="R30" s="4">
        <f>INDEX(C_alpha_beta[],MATCH(HC[[#This Row],[Solo]],C_alpha_beta[Solo],0),MATCH(HC[[#Headers],[α ESF]],C_alpha_beta[#Headers],0))</f>
        <v>0.5</v>
      </c>
      <c r="S30" s="4">
        <f>INDEX(C_alpha_beta[],MATCH(HC[[#This Row],[Solo]],C_alpha_beta[Solo],0),MATCH(HC[[#Headers],[β ESF]],C_alpha_beta[#Headers],0))</f>
        <v>0.5</v>
      </c>
      <c r="T30" s="4">
        <f>IF(HC[[#This Row],[Prof. (m)]]=0,0,10*(HC[[#This Row],[NSPT]]/3+1))</f>
        <v>146.66666666666666</v>
      </c>
      <c r="U30" s="4">
        <f>(HC[[#This Row],[α ESF]]*HC[[#This Row],[C (kPa)]]*HC[[#This Row],[NSPT]]*HC[[#This Row],[Ap (m²)]])/'DADOS CAP. CARGA'!$Q$2+(HC[[#This Row],[β ESF]]*SUMIFS(HC[10∙(NL/3+1)],HC[Prof. (m)],"&lt;="&amp;HC[[#This Row],[Prof. (m)]],HC[idDiâmetro],HC[[#This Row],[idDiâmetro]],HC[idPilar],HC[[#This Row],[idPilar]])*HC[[#This Row],[U (m)]])/'DADOS CAP. CARGA'!$S$2</f>
        <v>268.6307155745335</v>
      </c>
      <c r="V30" s="4">
        <f>IF(SPT!$M$5=1,MIN(HC[[#This Row],[Pe HC (kN)]],HC[[#This Row],[R_AV (kN)]]),IF(SPT!$M$5=2,MIN(HC[[#This Row],[Pe HC (kN)]],HC[[#This Row],[R_DC (kN)]]),MIN(HC[[#This Row],[Pe HC (kN)]],HC[[#This Row],[R_AV (kN)]],HC[[#This Row],[R_DC (kN)]])))</f>
        <v>268.6307155745335</v>
      </c>
      <c r="W30" s="4">
        <f>INDEX(PILARES[],HC[[#This Row],[idPilar]],MATCH("Carga (kN)",PILARES[#Headers],0))*1.4</f>
        <v>1750</v>
      </c>
      <c r="X30" s="12">
        <f>INDEX(PILARES[],HC[[#This Row],[idPilar]],MATCH(HC[[#Headers],[ap (cm)]],PILARES[#Headers],0))</f>
        <v>50</v>
      </c>
      <c r="Y30" s="12">
        <f>INDEX(PILARES[],HC[[#This Row],[idPilar]],MATCH(HC[[#Headers],[bp (cm)]],PILARES[#Headers],0))</f>
        <v>40</v>
      </c>
      <c r="Z30" s="4">
        <f>SQRT(HC[[#This Row],[ap (cm)]]*HC[[#This Row],[bp (cm)]])</f>
        <v>44.721359549995796</v>
      </c>
      <c r="AA30" s="12">
        <f>HC[[#This Row],[ap (cm)]]*HC[[#This Row],[bp (cm)]]</f>
        <v>2000</v>
      </c>
      <c r="AB30" s="12">
        <f ca="1">IF(HC[[#This Row],[Padm∙ε (kN)]]&gt;=HC[[#This Row],[Padm (kN)]],ROUNDUP(1.05*HC[[#This Row],[Nsd (kN)]]/HC[[#This Row],[Padm (kN)]],0),ROUNDUP(1.05*HC[[#This Row],[Nsd (kN)]]/HC[[#This Row],[Padm (kN)]],0)+1)</f>
        <v>7</v>
      </c>
      <c r="AC30" s="4" t="str">
        <f ca="1">IFERROR(IF(HC[[#This Row],[nE]]=1,HC[[#This Row],[Padm (kN)]],HC[[#This Row],[Padm (kN)]]*HC[[#This Row],[nE]]*INDEX(grupoEstacas[],HC[[#This Row],[nE]],MATCH("ε",grupoEstacas[#Headers],0))),"N.S.")</f>
        <v>N.S.</v>
      </c>
      <c r="AD30" s="4">
        <f ca="1">1.05*HC[[#This Row],[Nsd (kN)]]/(HC[[#This Row],[nE]]*PI()*HC[[#This Row],[Ø (cm)]]^2/4)*10</f>
        <v>4.4195091635435402</v>
      </c>
      <c r="AE30" s="4">
        <f ca="1">IF(HC[[#This Row],[σ (MPa)]]&lt;INDEX(tipoEstaca[],MATCH($D$2,tipoEstaca[TIPO DE ESTACA],0),MATCH("σmáx (MPa)",tipoEstaca[#Headers],0)),0.4%*PI()*HC[[#This Row],[Ø (cm)]]^2/4,"N.S.")</f>
        <v>2.3758294442772812</v>
      </c>
      <c r="AF30" s="1">
        <f>INDEX(tipoEstaca[],MATCH($D$2,tipoEstaca[TIPO DE ESTACA],0),MATCH(HC[[#Headers],[Comprimento (m)]],tipoEstaca[#Headers],0))</f>
        <v>4</v>
      </c>
      <c r="AG30" s="5">
        <f ca="1">HC[[#This Row],[As,mín (cm²)]]/100^2*HC[[#This Row],[Comprimento (m)]]*7850</f>
        <v>7.4601044550306632</v>
      </c>
      <c r="AH30" s="4">
        <f ca="1">HC[[#This Row],[nE]]*HC[[#This Row],[Prof. (m)]]*HC[[#This Row],[Ap (m²)]]</f>
        <v>4.5734716802337667</v>
      </c>
      <c r="AI30" s="1">
        <f ca="1">IF(HC[[#This Row],[nE]]=1,0,MAX(3*HC[[#This Row],[Ø (cm)]],60))</f>
        <v>82.5</v>
      </c>
      <c r="AJ30" s="1">
        <f ca="1">IF(HC[[#This Row],[nE]]=1,HC[[#This Row],[Ø (cm)]]+2*10,MAX(1.5*HC[[#This Row],[Ø (cm)]],HC[[#This Row],[Ø (cm)]]+15))</f>
        <v>42.5</v>
      </c>
      <c r="AK30" s="1" t="str">
        <f ca="1">alturaUtil(HC[[#This Row],[nE]],HC[[#This Row],[Ø (cm)]],HC[[#This Row],[e (cm)]],HC[[#This Row],[ap,eq (cm)]])</f>
        <v>N.S.</v>
      </c>
      <c r="AL30" s="1" t="str">
        <f ca="1">IFERROR(HC[[#This Row],[d (cm)]]+arredondarParaCimaMultiplo5cm(MAX(5,SQRT(PI())/2*HC[[#This Row],[Ø (cm)]]/5)),"N.S.")</f>
        <v>N.S.</v>
      </c>
      <c r="AM30" s="5" t="str">
        <f ca="1">alpha(HC[[#This Row],[nE]],HC[[#This Row],[d (cm)]],HC[[#This Row],[e (cm)]],HC[[#This Row],[ap,eq (cm)]])</f>
        <v>N.S.</v>
      </c>
      <c r="AN30" s="35" t="str">
        <f ca="1">IFERROR(HC[[#This Row],[Nsd (kN)]]/(HC[[#This Row],[Ap (cm²)]]*SIN(HC[[#This Row],[α]])^2),"N.S.")</f>
        <v>N.S.</v>
      </c>
      <c r="AO30" s="35" t="str">
        <f ca="1">IFERROR(HC[[#This Row],[Nsd (kN)]]/(HC[[#This Row],[nE]]*PI()*HC[[#This Row],[Ø (cm)]]^2/4*SIN(HC[[#This Row],[α]])^2),"N.S.")</f>
        <v>N.S.</v>
      </c>
      <c r="AP30" s="4" t="str">
        <f ca="1">IFERROR(INDEX(grupoEstacas[],HC[[#This Row],[nE]],MATCH("coef. Blévot",grupoEstacas[#Headers],0)),"N.S.")</f>
        <v>N.S.</v>
      </c>
      <c r="AQ30" s="35" t="str">
        <f ca="1">IFERROR(HC[[#This Row],[coef. Blévot]]*0.9*INDEX(tipoEstaca[],MATCH($D$2,tipoEstaca[TIPO DE ESTACA],0),MATCH("fcd (kN/cm²)",tipoEstaca[#Headers],0)),"N.S.")</f>
        <v>N.S.</v>
      </c>
      <c r="AR30" s="1" t="str">
        <f ca="1">IF(AND(HC[[#This Row],[cd,b,pil (kN/cm²)]]&lt;=HC[[#This Row],[cd,b,lim (kN/cm²)]],HC[[#This Row],[cd,b,est (kN/cm²)]]&lt;=HC[[#This Row],[cd,b,lim (kN/cm²)]]),"OK","ERRO")</f>
        <v>OK</v>
      </c>
      <c r="AS30" s="4" t="str">
        <f ca="1">As_lado(HC[[#This Row],[nE]],HC[[#This Row],[Nsd (kN)]],HC[[#This Row],[d (cm)]],HC[[#This Row],[e (cm)]],HC[[#This Row],[ap,eq (cm)]])</f>
        <v>N.S.</v>
      </c>
      <c r="AT30" s="4" t="str">
        <f ca="1">IF(HC[[#This Row],[nE]]=1,HC[[#This Row],[As,lado (cm²)]],IF(HC[[#This Row],[nE]]=2,0.075*2*HC[a (cm)],"N.A."))</f>
        <v>N.A.</v>
      </c>
      <c r="AU30" s="4" t="str">
        <f ca="1">IFERROR(IF(HC[[#This Row],[nE]]=1,"N.A.",0.2*HC[[#This Row],[As,lado (cm²)]]),"N.S.")</f>
        <v>N.S.</v>
      </c>
      <c r="AV30" s="4" t="str">
        <f ca="1">As_malha(HC[[#This Row],[nE]],HC[[#This Row],[As,lado (cm²)]],HC[[#This Row],[Nsd (kN)]])</f>
        <v>N.S.</v>
      </c>
      <c r="AW30" s="4" t="str">
        <f ca="1">As_susp_tot(HC[[#This Row],[nE]],HC[[#This Row],[Nsd (kN)]])</f>
        <v>N.S.</v>
      </c>
      <c r="AX30" s="4" t="str">
        <f ca="1">Asp_face(HC[[#This Row],[nE]],HC[[#This Row],[As,lado (cm²)]])</f>
        <v>N.S.</v>
      </c>
      <c r="AY30" s="5" t="str">
        <f ca="1">acoBloco(HC[[#This Row],[nE]],HC[[#This Row],[e (cm)]],HC[[#This Row],[a (cm)]],HC[[#This Row],[h (cm)]],HC[[#This Row],[As,lado (cm²)]],HC[[#This Row],[Asp e Asw (cm²/m)]],HC[[#This Row],[As,sup (cm²)]],HC[[#This Row],[As,malha (cm²)]],HC[[#This Row],[As,susp,tot (cm²)]],HC[[#This Row],[Asp,face (cm²)]])</f>
        <v>N.S.</v>
      </c>
      <c r="AZ30" s="4" t="str">
        <f ca="1">concretoBloco(HC[[#This Row],[nE]],HC[[#This Row],[e (cm)]],HC[[#This Row],[a (cm)]],HC[[#This Row],[h (cm)]])</f>
        <v>N.S.</v>
      </c>
      <c r="BA30" s="5">
        <f ca="1">SUM(HC[[#This Row],[Aço Est (kg)]],HC[[#This Row],[Aço Bloco (kg)]])</f>
        <v>7.4601044550306632</v>
      </c>
      <c r="BB30" s="4">
        <f>INDEX(composicoes[],MATCH(95580,composicoes[CÓDIGO],0),MATCH("CUSTO TOTAL",composicoes[#Headers],0))</f>
        <v>10.46</v>
      </c>
      <c r="BC30" s="4">
        <f ca="1">SUM(HC[[#This Row],[Conc Est (m³)]],HC[[#This Row],[Conc Bloco (m³)]])</f>
        <v>4.5734716802337667</v>
      </c>
      <c r="BD30" s="4">
        <f>INDEX(composicoes[],MATCH(94966,composicoes[CÓDIGO],0),MATCH("CUSTO TOTAL",composicoes[#Headers],0))</f>
        <v>439.52</v>
      </c>
      <c r="BE30" s="38">
        <f ca="1">HC[[#This Row],[Aço (kg)]]*HC[[#This Row],[Aço (R$/kg)]]+HC[[#This Row],[Conc (m³)]]*HC[[#This Row],[Conc (R$/m³)]]</f>
        <v>2088.1649654959656</v>
      </c>
      <c r="BF30" s="4" t="str">
        <f ca="1">IF(COUNTIF(HC[#This Row],"N.S.")&gt;0,"lim.","OK")</f>
        <v>lim.</v>
      </c>
      <c r="BG30" s="4" t="str">
        <f>IF(HC[[#This Row],[Prof. (m)]]&lt;4,"lim.","OK")</f>
        <v>OK</v>
      </c>
      <c r="BH30" s="4" t="str">
        <f>IF(HC[[#This Row],[Prof. (m)]]&gt;=8*HC[[#This Row],[Ø (cm)]]/100,"OK","lim.")</f>
        <v>OK</v>
      </c>
      <c r="BI30" s="4" t="str">
        <f ca="1">IF(HC[[#This Row],[Verif. Biela]]="OK","OK","lim.")</f>
        <v>OK</v>
      </c>
      <c r="BJ30" s="4" t="str">
        <f ca="1">IF(COUNTA(HC[[#This Row],[Nº Est.]:[Biela comp.]])=COUNTIF(HC[[#This Row],[Nº Est.]:[Biela comp.]],"OK"),"OK","lim.")</f>
        <v>lim.</v>
      </c>
      <c r="BK30" s="4" t="str">
        <f ca="1">IF(HC[[#This Row],[Controle]]="OK",HC[[#This Row],[nE]]&amp;" Ø"&amp;HC[[#This Row],[Ø (cm)]]&amp;"cm Prof. "&amp;HC[[#This Row],[Prof. (m)]]&amp;" m","")</f>
        <v/>
      </c>
      <c r="BL30" s="4" t="str">
        <f ca="1">IF(HC[[#This Row],[idDimensionamento]]="","",HC[[#This Row],[idPilar]]&amp;HC[[#This Row],[idDimensionamento]])</f>
        <v/>
      </c>
    </row>
    <row r="31" spans="2:64" x14ac:dyDescent="0.25">
      <c r="B31" s="12">
        <f>ROUNDUP((ROW(HC[[#This Row],[idDiâmetro]])-ROW(HC[[#Headers],[idDiâmetro]]))/(COUNT(SPT[Prof. (m)])*COUNT(PILARES[Pilar])),0)</f>
        <v>1</v>
      </c>
      <c r="C31" s="12">
        <f>IF(HC[[#This Row],[idDiâmetro]]&lt;&gt;B30,1,IF(HC[[#This Row],[Prof. (m)]]=0,C30+1,C30))</f>
        <v>2</v>
      </c>
      <c r="D31" s="1">
        <f>IFERROR(IF(D30=MAX(SPT[Prof. (m)]),0,D30+1),0)</f>
        <v>12</v>
      </c>
      <c r="E31" s="1">
        <f>INDEX(SPT[],MATCH(HC[[#This Row],[Prof. (m)]],SPT[Prof. (m)],0),2)</f>
        <v>52</v>
      </c>
      <c r="F31" s="1" t="str">
        <f>INDEX(SPT[],MATCH(HC[[#This Row],[Prof. (m)]],SPT[Prof. (m)],0),3)</f>
        <v>Areia siltosa</v>
      </c>
      <c r="G31" s="1">
        <f>INDEX(estacas[],HC[[#This Row],[idDiâmetro]],MATCH($B$2,estacas[#Headers],0))</f>
        <v>27.5</v>
      </c>
      <c r="H31" s="1">
        <f>INDEX(estacas[],MATCH(HC[[#This Row],[Ø (cm)]],estacas[Ø HC (cm)],0),MATCH(HC[[#Headers],[Pe HC (kN)]],estacas[#Headers],0))</f>
        <v>350</v>
      </c>
      <c r="I31" s="4">
        <f>INDEX(K_alpha_C[],MATCH(HC[[#This Row],[Solo]],K_alpha_C[Solo],0),2)</f>
        <v>0.8</v>
      </c>
      <c r="J31" s="5">
        <f>INDEX(K_alpha_C[],MATCH(HC[[#This Row],[Solo]],K_alpha_C[Solo],0),3)</f>
        <v>2</v>
      </c>
      <c r="K31" s="4">
        <f>INDEX(F1_F2[],MATCH($D$2,F1_F2[Tipo de estaca],0),2)</f>
        <v>2</v>
      </c>
      <c r="L31" s="4">
        <f>INDEX(F1_F2[],MATCH($D$2,F1_F2[Tipo de estaca],0),3)</f>
        <v>4</v>
      </c>
      <c r="M31" s="4">
        <f>PI()*(HC[[#This Row],[Ø (cm)]]/100)^2/4</f>
        <v>5.9395736106932037E-2</v>
      </c>
      <c r="N31" s="4">
        <f>PI()*HC[[#This Row],[Ø (cm)]]/100</f>
        <v>0.86393797973719311</v>
      </c>
      <c r="O31" s="4">
        <f>IF(HC[[#This Row],[Prof. (m)]]=0,0,HC[[#This Row],[α (%)]]/100*HC[[#This Row],[K (MPa)]]*1000*HC[[#This Row],[NSPT]])</f>
        <v>832</v>
      </c>
      <c r="P31" s="4">
        <f>IF(HC[[#This Row],[Prof. (m)]]=0,0,(HC[[#This Row],[K (MPa)]]*1000*HC[[#This Row],[NSPT]]/HC[[#This Row],[F1]]*HC[[#This Row],[Ap (m²)]]+HC[[#This Row],[U (m)]]/HC[[#This Row],[F2]]*SUMIFS(HC[(α∙K∙NL∙ΔL)],HC[Prof. (m)],"&lt;="&amp;HC[[#This Row],[Prof. (m)]],HC[idDiâmetro],HC[[#This Row],[idDiâmetro]],HC[idPilar],HC[[#This Row],[idPilar]]))/'DADOS CAP. CARGA'!$D$2)</f>
        <v>986.60637363512797</v>
      </c>
      <c r="Q31" s="12">
        <f>INDEX(C_alpha_beta[],MATCH(HC[[#This Row],[Solo]],C_alpha_beta[Solo],0),MATCH(HC[[#Headers],[C (kPa)]],C_alpha_beta[#Headers],0))</f>
        <v>400</v>
      </c>
      <c r="R31" s="4">
        <f>INDEX(C_alpha_beta[],MATCH(HC[[#This Row],[Solo]],C_alpha_beta[Solo],0),MATCH(HC[[#Headers],[α ESF]],C_alpha_beta[#Headers],0))</f>
        <v>0.5</v>
      </c>
      <c r="S31" s="4">
        <f>INDEX(C_alpha_beta[],MATCH(HC[[#This Row],[Solo]],C_alpha_beta[Solo],0),MATCH(HC[[#Headers],[β ESF]],C_alpha_beta[#Headers],0))</f>
        <v>0.5</v>
      </c>
      <c r="T31" s="4">
        <f>IF(HC[[#This Row],[Prof. (m)]]=0,0,10*(HC[[#This Row],[NSPT]]/3+1))</f>
        <v>183.33333333333331</v>
      </c>
      <c r="U31" s="4">
        <f>(HC[[#This Row],[α ESF]]*HC[[#This Row],[C (kPa)]]*HC[[#This Row],[NSPT]]*HC[[#This Row],[Ap (m²)]])/'DADOS CAP. CARGA'!$Q$2+(HC[[#This Row],[β ESF]]*SUMIFS(HC[10∙(NL/3+1)],HC[Prof. (m)],"&lt;="&amp;HC[[#This Row],[Prof. (m)]],HC[idDiâmetro],HC[[#This Row],[idDiâmetro]],HC[idPilar],HC[[#This Row],[idPilar]])*HC[[#This Row],[U (m)]])/'DADOS CAP. CARGA'!$S$2</f>
        <v>340.89552783796751</v>
      </c>
      <c r="V31" s="4">
        <f>IF(SPT!$M$5=1,MIN(HC[[#This Row],[Pe HC (kN)]],HC[[#This Row],[R_AV (kN)]]),IF(SPT!$M$5=2,MIN(HC[[#This Row],[Pe HC (kN)]],HC[[#This Row],[R_DC (kN)]]),MIN(HC[[#This Row],[Pe HC (kN)]],HC[[#This Row],[R_AV (kN)]],HC[[#This Row],[R_DC (kN)]])))</f>
        <v>340.89552783796751</v>
      </c>
      <c r="W31" s="4">
        <f>INDEX(PILARES[],HC[[#This Row],[idPilar]],MATCH("Carga (kN)",PILARES[#Headers],0))*1.4</f>
        <v>1750</v>
      </c>
      <c r="X31" s="12">
        <f>INDEX(PILARES[],HC[[#This Row],[idPilar]],MATCH(HC[[#Headers],[ap (cm)]],PILARES[#Headers],0))</f>
        <v>50</v>
      </c>
      <c r="Y31" s="12">
        <f>INDEX(PILARES[],HC[[#This Row],[idPilar]],MATCH(HC[[#Headers],[bp (cm)]],PILARES[#Headers],0))</f>
        <v>40</v>
      </c>
      <c r="Z31" s="4">
        <f>SQRT(HC[[#This Row],[ap (cm)]]*HC[[#This Row],[bp (cm)]])</f>
        <v>44.721359549995796</v>
      </c>
      <c r="AA31" s="12">
        <f>HC[[#This Row],[ap (cm)]]*HC[[#This Row],[bp (cm)]]</f>
        <v>2000</v>
      </c>
      <c r="AB31" s="12">
        <f ca="1">IF(HC[[#This Row],[Padm∙ε (kN)]]&gt;=HC[[#This Row],[Padm (kN)]],ROUNDUP(1.05*HC[[#This Row],[Nsd (kN)]]/HC[[#This Row],[Padm (kN)]],0),ROUNDUP(1.05*HC[[#This Row],[Nsd (kN)]]/HC[[#This Row],[Padm (kN)]],0)+1)</f>
        <v>6</v>
      </c>
      <c r="AC31" s="4" t="str">
        <f ca="1">IFERROR(IF(HC[[#This Row],[nE]]=1,HC[[#This Row],[Padm (kN)]],HC[[#This Row],[Padm (kN)]]*HC[[#This Row],[nE]]*INDEX(grupoEstacas[],HC[[#This Row],[nE]],MATCH("ε",grupoEstacas[#Headers],0))),"N.S.")</f>
        <v>N.S.</v>
      </c>
      <c r="AD31" s="4">
        <f ca="1">1.05*HC[[#This Row],[Nsd (kN)]]/(HC[[#This Row],[nE]]*PI()*HC[[#This Row],[Ø (cm)]]^2/4)*10</f>
        <v>5.1560940241341306</v>
      </c>
      <c r="AE31" s="4">
        <f ca="1">IF(HC[[#This Row],[σ (MPa)]]&lt;INDEX(tipoEstaca[],MATCH($D$2,tipoEstaca[TIPO DE ESTACA],0),MATCH("σmáx (MPa)",tipoEstaca[#Headers],0)),0.4%*PI()*HC[[#This Row],[Ø (cm)]]^2/4,"N.S.")</f>
        <v>2.3758294442772812</v>
      </c>
      <c r="AF31" s="1">
        <f>INDEX(tipoEstaca[],MATCH($D$2,tipoEstaca[TIPO DE ESTACA],0),MATCH(HC[[#Headers],[Comprimento (m)]],tipoEstaca[#Headers],0))</f>
        <v>4</v>
      </c>
      <c r="AG31" s="5">
        <f ca="1">HC[[#This Row],[As,mín (cm²)]]/100^2*HC[[#This Row],[Comprimento (m)]]*7850</f>
        <v>7.4601044550306632</v>
      </c>
      <c r="AH31" s="4">
        <f ca="1">HC[[#This Row],[nE]]*HC[[#This Row],[Prof. (m)]]*HC[[#This Row],[Ap (m²)]]</f>
        <v>4.2764929996991068</v>
      </c>
      <c r="AI31" s="1">
        <f ca="1">IF(HC[[#This Row],[nE]]=1,0,MAX(3*HC[[#This Row],[Ø (cm)]],60))</f>
        <v>82.5</v>
      </c>
      <c r="AJ31" s="1">
        <f ca="1">IF(HC[[#This Row],[nE]]=1,HC[[#This Row],[Ø (cm)]]+2*10,MAX(1.5*HC[[#This Row],[Ø (cm)]],HC[[#This Row],[Ø (cm)]]+15))</f>
        <v>42.5</v>
      </c>
      <c r="AK31" s="1" t="str">
        <f ca="1">alturaUtil(HC[[#This Row],[nE]],HC[[#This Row],[Ø (cm)]],HC[[#This Row],[e (cm)]],HC[[#This Row],[ap,eq (cm)]])</f>
        <v>N.S.</v>
      </c>
      <c r="AL31" s="1" t="str">
        <f ca="1">IFERROR(HC[[#This Row],[d (cm)]]+arredondarParaCimaMultiplo5cm(MAX(5,SQRT(PI())/2*HC[[#This Row],[Ø (cm)]]/5)),"N.S.")</f>
        <v>N.S.</v>
      </c>
      <c r="AM31" s="5" t="str">
        <f ca="1">alpha(HC[[#This Row],[nE]],HC[[#This Row],[d (cm)]],HC[[#This Row],[e (cm)]],HC[[#This Row],[ap,eq (cm)]])</f>
        <v>N.S.</v>
      </c>
      <c r="AN31" s="35" t="str">
        <f ca="1">IFERROR(HC[[#This Row],[Nsd (kN)]]/(HC[[#This Row],[Ap (cm²)]]*SIN(HC[[#This Row],[α]])^2),"N.S.")</f>
        <v>N.S.</v>
      </c>
      <c r="AO31" s="35" t="str">
        <f ca="1">IFERROR(HC[[#This Row],[Nsd (kN)]]/(HC[[#This Row],[nE]]*PI()*HC[[#This Row],[Ø (cm)]]^2/4*SIN(HC[[#This Row],[α]])^2),"N.S.")</f>
        <v>N.S.</v>
      </c>
      <c r="AP31" s="4" t="str">
        <f ca="1">IFERROR(INDEX(grupoEstacas[],HC[[#This Row],[nE]],MATCH("coef. Blévot",grupoEstacas[#Headers],0)),"N.S.")</f>
        <v>N.S.</v>
      </c>
      <c r="AQ31" s="35" t="str">
        <f ca="1">IFERROR(HC[[#This Row],[coef. Blévot]]*0.9*INDEX(tipoEstaca[],MATCH($D$2,tipoEstaca[TIPO DE ESTACA],0),MATCH("fcd (kN/cm²)",tipoEstaca[#Headers],0)),"N.S.")</f>
        <v>N.S.</v>
      </c>
      <c r="AR31" s="1" t="str">
        <f ca="1">IF(AND(HC[[#This Row],[cd,b,pil (kN/cm²)]]&lt;=HC[[#This Row],[cd,b,lim (kN/cm²)]],HC[[#This Row],[cd,b,est (kN/cm²)]]&lt;=HC[[#This Row],[cd,b,lim (kN/cm²)]]),"OK","ERRO")</f>
        <v>OK</v>
      </c>
      <c r="AS31" s="4" t="str">
        <f ca="1">As_lado(HC[[#This Row],[nE]],HC[[#This Row],[Nsd (kN)]],HC[[#This Row],[d (cm)]],HC[[#This Row],[e (cm)]],HC[[#This Row],[ap,eq (cm)]])</f>
        <v>N.S.</v>
      </c>
      <c r="AT31" s="4" t="str">
        <f ca="1">IF(HC[[#This Row],[nE]]=1,HC[[#This Row],[As,lado (cm²)]],IF(HC[[#This Row],[nE]]=2,0.075*2*HC[a (cm)],"N.A."))</f>
        <v>N.A.</v>
      </c>
      <c r="AU31" s="4" t="str">
        <f ca="1">IFERROR(IF(HC[[#This Row],[nE]]=1,"N.A.",0.2*HC[[#This Row],[As,lado (cm²)]]),"N.S.")</f>
        <v>N.S.</v>
      </c>
      <c r="AV31" s="4" t="str">
        <f ca="1">As_malha(HC[[#This Row],[nE]],HC[[#This Row],[As,lado (cm²)]],HC[[#This Row],[Nsd (kN)]])</f>
        <v>N.S.</v>
      </c>
      <c r="AW31" s="4" t="str">
        <f ca="1">As_susp_tot(HC[[#This Row],[nE]],HC[[#This Row],[Nsd (kN)]])</f>
        <v>N.S.</v>
      </c>
      <c r="AX31" s="4" t="str">
        <f ca="1">Asp_face(HC[[#This Row],[nE]],HC[[#This Row],[As,lado (cm²)]])</f>
        <v>N.S.</v>
      </c>
      <c r="AY31" s="5" t="str">
        <f ca="1">acoBloco(HC[[#This Row],[nE]],HC[[#This Row],[e (cm)]],HC[[#This Row],[a (cm)]],HC[[#This Row],[h (cm)]],HC[[#This Row],[As,lado (cm²)]],HC[[#This Row],[Asp e Asw (cm²/m)]],HC[[#This Row],[As,sup (cm²)]],HC[[#This Row],[As,malha (cm²)]],HC[[#This Row],[As,susp,tot (cm²)]],HC[[#This Row],[Asp,face (cm²)]])</f>
        <v>N.S.</v>
      </c>
      <c r="AZ31" s="4" t="str">
        <f ca="1">concretoBloco(HC[[#This Row],[nE]],HC[[#This Row],[e (cm)]],HC[[#This Row],[a (cm)]],HC[[#This Row],[h (cm)]])</f>
        <v>N.S.</v>
      </c>
      <c r="BA31" s="5">
        <f ca="1">SUM(HC[[#This Row],[Aço Est (kg)]],HC[[#This Row],[Aço Bloco (kg)]])</f>
        <v>7.4601044550306632</v>
      </c>
      <c r="BB31" s="4">
        <f>INDEX(composicoes[],MATCH(95580,composicoes[CÓDIGO],0),MATCH("CUSTO TOTAL",composicoes[#Headers],0))</f>
        <v>10.46</v>
      </c>
      <c r="BC31" s="4">
        <f ca="1">SUM(HC[[#This Row],[Conc Est (m³)]],HC[[#This Row],[Conc Bloco (m³)]])</f>
        <v>4.2764929996991068</v>
      </c>
      <c r="BD31" s="4">
        <f>INDEX(composicoes[],MATCH(94966,composicoes[CÓDIGO],0),MATCH("CUSTO TOTAL",composicoes[#Headers],0))</f>
        <v>439.52</v>
      </c>
      <c r="BE31" s="38">
        <f ca="1">HC[[#This Row],[Aço (kg)]]*HC[[#This Row],[Aço (R$/kg)]]+HC[[#This Row],[Conc (m³)]]*HC[[#This Row],[Conc (R$/m³)]]</f>
        <v>1957.6368958273722</v>
      </c>
      <c r="BF31" s="4" t="str">
        <f ca="1">IF(COUNTIF(HC[#This Row],"N.S.")&gt;0,"lim.","OK")</f>
        <v>lim.</v>
      </c>
      <c r="BG31" s="4" t="str">
        <f>IF(HC[[#This Row],[Prof. (m)]]&lt;4,"lim.","OK")</f>
        <v>OK</v>
      </c>
      <c r="BH31" s="4" t="str">
        <f>IF(HC[[#This Row],[Prof. (m)]]&gt;=8*HC[[#This Row],[Ø (cm)]]/100,"OK","lim.")</f>
        <v>OK</v>
      </c>
      <c r="BI31" s="4" t="str">
        <f ca="1">IF(HC[[#This Row],[Verif. Biela]]="OK","OK","lim.")</f>
        <v>OK</v>
      </c>
      <c r="BJ31" s="4" t="str">
        <f ca="1">IF(COUNTA(HC[[#This Row],[Nº Est.]:[Biela comp.]])=COUNTIF(HC[[#This Row],[Nº Est.]:[Biela comp.]],"OK"),"OK","lim.")</f>
        <v>lim.</v>
      </c>
      <c r="BK31" s="4" t="str">
        <f ca="1">IF(HC[[#This Row],[Controle]]="OK",HC[[#This Row],[nE]]&amp;" Ø"&amp;HC[[#This Row],[Ø (cm)]]&amp;"cm Prof. "&amp;HC[[#This Row],[Prof. (m)]]&amp;" m","")</f>
        <v/>
      </c>
      <c r="BL31" s="4" t="str">
        <f ca="1">IF(HC[[#This Row],[idDimensionamento]]="","",HC[[#This Row],[idPilar]]&amp;HC[[#This Row],[idDimensionamento]])</f>
        <v/>
      </c>
    </row>
    <row r="32" spans="2:64" x14ac:dyDescent="0.25">
      <c r="B32" s="12">
        <f>ROUNDUP((ROW(HC[[#This Row],[idDiâmetro]])-ROW(HC[[#Headers],[idDiâmetro]]))/(COUNT(SPT[Prof. (m)])*COUNT(PILARES[Pilar])),0)</f>
        <v>1</v>
      </c>
      <c r="C32" s="12">
        <f>IF(HC[[#This Row],[idDiâmetro]]&lt;&gt;B31,1,IF(HC[[#This Row],[Prof. (m)]]=0,C31+1,C31))</f>
        <v>2</v>
      </c>
      <c r="D32" s="1">
        <f>IFERROR(IF(D31=MAX(SPT[Prof. (m)]),0,D31+1),0)</f>
        <v>13</v>
      </c>
      <c r="E32" s="1">
        <f>INDEX(SPT[],MATCH(HC[[#This Row],[Prof. (m)]],SPT[Prof. (m)],0),2)</f>
        <v>68</v>
      </c>
      <c r="F32" s="1" t="str">
        <f>INDEX(SPT[],MATCH(HC[[#This Row],[Prof. (m)]],SPT[Prof. (m)],0),3)</f>
        <v>Areia siltosa</v>
      </c>
      <c r="G32" s="1">
        <f>INDEX(estacas[],HC[[#This Row],[idDiâmetro]],MATCH($B$2,estacas[#Headers],0))</f>
        <v>27.5</v>
      </c>
      <c r="H32" s="1">
        <f>INDEX(estacas[],MATCH(HC[[#This Row],[Ø (cm)]],estacas[Ø HC (cm)],0),MATCH(HC[[#Headers],[Pe HC (kN)]],estacas[#Headers],0))</f>
        <v>350</v>
      </c>
      <c r="I32" s="4">
        <f>INDEX(K_alpha_C[],MATCH(HC[[#This Row],[Solo]],K_alpha_C[Solo],0),2)</f>
        <v>0.8</v>
      </c>
      <c r="J32" s="5">
        <f>INDEX(K_alpha_C[],MATCH(HC[[#This Row],[Solo]],K_alpha_C[Solo],0),3)</f>
        <v>2</v>
      </c>
      <c r="K32" s="4">
        <f>INDEX(F1_F2[],MATCH($D$2,F1_F2[Tipo de estaca],0),2)</f>
        <v>2</v>
      </c>
      <c r="L32" s="4">
        <f>INDEX(F1_F2[],MATCH($D$2,F1_F2[Tipo de estaca],0),3)</f>
        <v>4</v>
      </c>
      <c r="M32" s="4">
        <f>PI()*(HC[[#This Row],[Ø (cm)]]/100)^2/4</f>
        <v>5.9395736106932037E-2</v>
      </c>
      <c r="N32" s="4">
        <f>PI()*HC[[#This Row],[Ø (cm)]]/100</f>
        <v>0.86393797973719311</v>
      </c>
      <c r="O32" s="4">
        <f>IF(HC[[#This Row],[Prof. (m)]]=0,0,HC[[#This Row],[α (%)]]/100*HC[[#This Row],[K (MPa)]]*1000*HC[[#This Row],[NSPT]])</f>
        <v>1088</v>
      </c>
      <c r="P32" s="4">
        <f>IF(HC[[#This Row],[Prof. (m)]]=0,0,(HC[[#This Row],[K (MPa)]]*1000*HC[[#This Row],[NSPT]]/HC[[#This Row],[F1]]*HC[[#This Row],[Ap (m²)]]+HC[[#This Row],[U (m)]]/HC[[#This Row],[F2]]*SUMIFS(HC[(α∙K∙NL∙ΔL)],HC[Prof. (m)],"&lt;="&amp;HC[[#This Row],[Prof. (m)]],HC[idDiâmetro],HC[[#This Row],[idDiâmetro]],HC[idPilar],HC[[#This Row],[idPilar]]))/'DADOS CAP. CARGA'!$D$2)</f>
        <v>1294.1682944215686</v>
      </c>
      <c r="Q32" s="12">
        <f>INDEX(C_alpha_beta[],MATCH(HC[[#This Row],[Solo]],C_alpha_beta[Solo],0),MATCH(HC[[#Headers],[C (kPa)]],C_alpha_beta[#Headers],0))</f>
        <v>400</v>
      </c>
      <c r="R32" s="4">
        <f>INDEX(C_alpha_beta[],MATCH(HC[[#This Row],[Solo]],C_alpha_beta[Solo],0),MATCH(HC[[#Headers],[α ESF]],C_alpha_beta[#Headers],0))</f>
        <v>0.5</v>
      </c>
      <c r="S32" s="4">
        <f>INDEX(C_alpha_beta[],MATCH(HC[[#This Row],[Solo]],C_alpha_beta[Solo],0),MATCH(HC[[#Headers],[β ESF]],C_alpha_beta[#Headers],0))</f>
        <v>0.5</v>
      </c>
      <c r="T32" s="4">
        <f>IF(HC[[#This Row],[Prof. (m)]]=0,0,10*(HC[[#This Row],[NSPT]]/3+1))</f>
        <v>236.66666666666669</v>
      </c>
      <c r="U32" s="4">
        <f>(HC[[#This Row],[α ESF]]*HC[[#This Row],[C (kPa)]]*HC[[#This Row],[NSPT]]*HC[[#This Row],[Ap (m²)]])/'DADOS CAP. CARGA'!$Q$2+(HC[[#This Row],[β ESF]]*SUMIFS(HC[10∙(NL/3+1)],HC[Prof. (m)],"&lt;="&amp;HC[[#This Row],[Prof. (m)]],HC[idDiâmetro],HC[[#This Row],[idDiâmetro]],HC[idPilar],HC[[#This Row],[idPilar]])*HC[[#This Row],[U (m)]])/'DADOS CAP. CARGA'!$S$2</f>
        <v>439.528447191297</v>
      </c>
      <c r="V32" s="4">
        <f>IF(SPT!$M$5=1,MIN(HC[[#This Row],[Pe HC (kN)]],HC[[#This Row],[R_AV (kN)]]),IF(SPT!$M$5=2,MIN(HC[[#This Row],[Pe HC (kN)]],HC[[#This Row],[R_DC (kN)]]),MIN(HC[[#This Row],[Pe HC (kN)]],HC[[#This Row],[R_AV (kN)]],HC[[#This Row],[R_DC (kN)]])))</f>
        <v>350</v>
      </c>
      <c r="W32" s="4">
        <f>INDEX(PILARES[],HC[[#This Row],[idPilar]],MATCH("Carga (kN)",PILARES[#Headers],0))*1.4</f>
        <v>1750</v>
      </c>
      <c r="X32" s="12">
        <f>INDEX(PILARES[],HC[[#This Row],[idPilar]],MATCH(HC[[#Headers],[ap (cm)]],PILARES[#Headers],0))</f>
        <v>50</v>
      </c>
      <c r="Y32" s="12">
        <f>INDEX(PILARES[],HC[[#This Row],[idPilar]],MATCH(HC[[#Headers],[bp (cm)]],PILARES[#Headers],0))</f>
        <v>40</v>
      </c>
      <c r="Z32" s="4">
        <f>SQRT(HC[[#This Row],[ap (cm)]]*HC[[#This Row],[bp (cm)]])</f>
        <v>44.721359549995796</v>
      </c>
      <c r="AA32" s="12">
        <f>HC[[#This Row],[ap (cm)]]*HC[[#This Row],[bp (cm)]]</f>
        <v>2000</v>
      </c>
      <c r="AB32" s="12">
        <f ca="1">IF(HC[[#This Row],[Padm∙ε (kN)]]&gt;=HC[[#This Row],[Padm (kN)]],ROUNDUP(1.05*HC[[#This Row],[Nsd (kN)]]/HC[[#This Row],[Padm (kN)]],0),ROUNDUP(1.05*HC[[#This Row],[Nsd (kN)]]/HC[[#This Row],[Padm (kN)]],0)+1)</f>
        <v>6</v>
      </c>
      <c r="AC32" s="4" t="str">
        <f ca="1">IFERROR(IF(HC[[#This Row],[nE]]=1,HC[[#This Row],[Padm (kN)]],HC[[#This Row],[Padm (kN)]]*HC[[#This Row],[nE]]*INDEX(grupoEstacas[],HC[[#This Row],[nE]],MATCH("ε",grupoEstacas[#Headers],0))),"N.S.")</f>
        <v>N.S.</v>
      </c>
      <c r="AD32" s="4">
        <f ca="1">1.05*HC[[#This Row],[Nsd (kN)]]/(HC[[#This Row],[nE]]*PI()*HC[[#This Row],[Ø (cm)]]^2/4)*10</f>
        <v>5.1560940241341306</v>
      </c>
      <c r="AE32" s="4">
        <f ca="1">IF(HC[[#This Row],[σ (MPa)]]&lt;INDEX(tipoEstaca[],MATCH($D$2,tipoEstaca[TIPO DE ESTACA],0),MATCH("σmáx (MPa)",tipoEstaca[#Headers],0)),0.4%*PI()*HC[[#This Row],[Ø (cm)]]^2/4,"N.S.")</f>
        <v>2.3758294442772812</v>
      </c>
      <c r="AF32" s="1">
        <f>INDEX(tipoEstaca[],MATCH($D$2,tipoEstaca[TIPO DE ESTACA],0),MATCH(HC[[#Headers],[Comprimento (m)]],tipoEstaca[#Headers],0))</f>
        <v>4</v>
      </c>
      <c r="AG32" s="5">
        <f ca="1">HC[[#This Row],[As,mín (cm²)]]/100^2*HC[[#This Row],[Comprimento (m)]]*7850</f>
        <v>7.4601044550306632</v>
      </c>
      <c r="AH32" s="4">
        <f ca="1">HC[[#This Row],[nE]]*HC[[#This Row],[Prof. (m)]]*HC[[#This Row],[Ap (m²)]]</f>
        <v>4.6328674163406989</v>
      </c>
      <c r="AI32" s="1">
        <f ca="1">IF(HC[[#This Row],[nE]]=1,0,MAX(3*HC[[#This Row],[Ø (cm)]],60))</f>
        <v>82.5</v>
      </c>
      <c r="AJ32" s="1">
        <f ca="1">IF(HC[[#This Row],[nE]]=1,HC[[#This Row],[Ø (cm)]]+2*10,MAX(1.5*HC[[#This Row],[Ø (cm)]],HC[[#This Row],[Ø (cm)]]+15))</f>
        <v>42.5</v>
      </c>
      <c r="AK32" s="1" t="str">
        <f ca="1">alturaUtil(HC[[#This Row],[nE]],HC[[#This Row],[Ø (cm)]],HC[[#This Row],[e (cm)]],HC[[#This Row],[ap,eq (cm)]])</f>
        <v>N.S.</v>
      </c>
      <c r="AL32" s="1" t="str">
        <f ca="1">IFERROR(HC[[#This Row],[d (cm)]]+arredondarParaCimaMultiplo5cm(MAX(5,SQRT(PI())/2*HC[[#This Row],[Ø (cm)]]/5)),"N.S.")</f>
        <v>N.S.</v>
      </c>
      <c r="AM32" s="5" t="str">
        <f ca="1">alpha(HC[[#This Row],[nE]],HC[[#This Row],[d (cm)]],HC[[#This Row],[e (cm)]],HC[[#This Row],[ap,eq (cm)]])</f>
        <v>N.S.</v>
      </c>
      <c r="AN32" s="35" t="str">
        <f ca="1">IFERROR(HC[[#This Row],[Nsd (kN)]]/(HC[[#This Row],[Ap (cm²)]]*SIN(HC[[#This Row],[α]])^2),"N.S.")</f>
        <v>N.S.</v>
      </c>
      <c r="AO32" s="35" t="str">
        <f ca="1">IFERROR(HC[[#This Row],[Nsd (kN)]]/(HC[[#This Row],[nE]]*PI()*HC[[#This Row],[Ø (cm)]]^2/4*SIN(HC[[#This Row],[α]])^2),"N.S.")</f>
        <v>N.S.</v>
      </c>
      <c r="AP32" s="4" t="str">
        <f ca="1">IFERROR(INDEX(grupoEstacas[],HC[[#This Row],[nE]],MATCH("coef. Blévot",grupoEstacas[#Headers],0)),"N.S.")</f>
        <v>N.S.</v>
      </c>
      <c r="AQ32" s="35" t="str">
        <f ca="1">IFERROR(HC[[#This Row],[coef. Blévot]]*0.9*INDEX(tipoEstaca[],MATCH($D$2,tipoEstaca[TIPO DE ESTACA],0),MATCH("fcd (kN/cm²)",tipoEstaca[#Headers],0)),"N.S.")</f>
        <v>N.S.</v>
      </c>
      <c r="AR32" s="1" t="str">
        <f ca="1">IF(AND(HC[[#This Row],[cd,b,pil (kN/cm²)]]&lt;=HC[[#This Row],[cd,b,lim (kN/cm²)]],HC[[#This Row],[cd,b,est (kN/cm²)]]&lt;=HC[[#This Row],[cd,b,lim (kN/cm²)]]),"OK","ERRO")</f>
        <v>OK</v>
      </c>
      <c r="AS32" s="4" t="str">
        <f ca="1">As_lado(HC[[#This Row],[nE]],HC[[#This Row],[Nsd (kN)]],HC[[#This Row],[d (cm)]],HC[[#This Row],[e (cm)]],HC[[#This Row],[ap,eq (cm)]])</f>
        <v>N.S.</v>
      </c>
      <c r="AT32" s="4" t="str">
        <f ca="1">IF(HC[[#This Row],[nE]]=1,HC[[#This Row],[As,lado (cm²)]],IF(HC[[#This Row],[nE]]=2,0.075*2*HC[a (cm)],"N.A."))</f>
        <v>N.A.</v>
      </c>
      <c r="AU32" s="4" t="str">
        <f ca="1">IFERROR(IF(HC[[#This Row],[nE]]=1,"N.A.",0.2*HC[[#This Row],[As,lado (cm²)]]),"N.S.")</f>
        <v>N.S.</v>
      </c>
      <c r="AV32" s="4" t="str">
        <f ca="1">As_malha(HC[[#This Row],[nE]],HC[[#This Row],[As,lado (cm²)]],HC[[#This Row],[Nsd (kN)]])</f>
        <v>N.S.</v>
      </c>
      <c r="AW32" s="4" t="str">
        <f ca="1">As_susp_tot(HC[[#This Row],[nE]],HC[[#This Row],[Nsd (kN)]])</f>
        <v>N.S.</v>
      </c>
      <c r="AX32" s="4" t="str">
        <f ca="1">Asp_face(HC[[#This Row],[nE]],HC[[#This Row],[As,lado (cm²)]])</f>
        <v>N.S.</v>
      </c>
      <c r="AY32" s="5" t="str">
        <f ca="1">acoBloco(HC[[#This Row],[nE]],HC[[#This Row],[e (cm)]],HC[[#This Row],[a (cm)]],HC[[#This Row],[h (cm)]],HC[[#This Row],[As,lado (cm²)]],HC[[#This Row],[Asp e Asw (cm²/m)]],HC[[#This Row],[As,sup (cm²)]],HC[[#This Row],[As,malha (cm²)]],HC[[#This Row],[As,susp,tot (cm²)]],HC[[#This Row],[Asp,face (cm²)]])</f>
        <v>N.S.</v>
      </c>
      <c r="AZ32" s="4" t="str">
        <f ca="1">concretoBloco(HC[[#This Row],[nE]],HC[[#This Row],[e (cm)]],HC[[#This Row],[a (cm)]],HC[[#This Row],[h (cm)]])</f>
        <v>N.S.</v>
      </c>
      <c r="BA32" s="5">
        <f ca="1">SUM(HC[[#This Row],[Aço Est (kg)]],HC[[#This Row],[Aço Bloco (kg)]])</f>
        <v>7.4601044550306632</v>
      </c>
      <c r="BB32" s="4">
        <f>INDEX(composicoes[],MATCH(95580,composicoes[CÓDIGO],0),MATCH("CUSTO TOTAL",composicoes[#Headers],0))</f>
        <v>10.46</v>
      </c>
      <c r="BC32" s="4">
        <f ca="1">SUM(HC[[#This Row],[Conc Est (m³)]],HC[[#This Row],[Conc Bloco (m³)]])</f>
        <v>4.6328674163406989</v>
      </c>
      <c r="BD32" s="4">
        <f>INDEX(composicoes[],MATCH(94966,composicoes[CÓDIGO],0),MATCH("CUSTO TOTAL",composicoes[#Headers],0))</f>
        <v>439.52</v>
      </c>
      <c r="BE32" s="38">
        <f ca="1">HC[[#This Row],[Aço (kg)]]*HC[[#This Row],[Aço (R$/kg)]]+HC[[#This Row],[Conc (m³)]]*HC[[#This Row],[Conc (R$/m³)]]</f>
        <v>2114.2705794296844</v>
      </c>
      <c r="BF32" s="4" t="str">
        <f ca="1">IF(COUNTIF(HC[#This Row],"N.S.")&gt;0,"lim.","OK")</f>
        <v>lim.</v>
      </c>
      <c r="BG32" s="4" t="str">
        <f>IF(HC[[#This Row],[Prof. (m)]]&lt;4,"lim.","OK")</f>
        <v>OK</v>
      </c>
      <c r="BH32" s="4" t="str">
        <f>IF(HC[[#This Row],[Prof. (m)]]&gt;=8*HC[[#This Row],[Ø (cm)]]/100,"OK","lim.")</f>
        <v>OK</v>
      </c>
      <c r="BI32" s="4" t="str">
        <f ca="1">IF(HC[[#This Row],[Verif. Biela]]="OK","OK","lim.")</f>
        <v>OK</v>
      </c>
      <c r="BJ32" s="4" t="str">
        <f ca="1">IF(COUNTA(HC[[#This Row],[Nº Est.]:[Biela comp.]])=COUNTIF(HC[[#This Row],[Nº Est.]:[Biela comp.]],"OK"),"OK","lim.")</f>
        <v>lim.</v>
      </c>
      <c r="BK32" s="4" t="str">
        <f ca="1">IF(HC[[#This Row],[Controle]]="OK",HC[[#This Row],[nE]]&amp;" Ø"&amp;HC[[#This Row],[Ø (cm)]]&amp;"cm Prof. "&amp;HC[[#This Row],[Prof. (m)]]&amp;" m","")</f>
        <v/>
      </c>
      <c r="BL32" s="4" t="str">
        <f ca="1">IF(HC[[#This Row],[idDimensionamento]]="","",HC[[#This Row],[idPilar]]&amp;HC[[#This Row],[idDimensionamento]])</f>
        <v/>
      </c>
    </row>
    <row r="33" spans="2:64" x14ac:dyDescent="0.25">
      <c r="B33" s="12">
        <f>ROUNDUP((ROW(HC[[#This Row],[idDiâmetro]])-ROW(HC[[#Headers],[idDiâmetro]]))/(COUNT(SPT[Prof. (m)])*COUNT(PILARES[Pilar])),0)</f>
        <v>2</v>
      </c>
      <c r="C33" s="12">
        <f>IF(HC[[#This Row],[idDiâmetro]]&lt;&gt;B32,1,IF(HC[[#This Row],[Prof. (m)]]=0,C32+1,C32))</f>
        <v>1</v>
      </c>
      <c r="D33" s="1">
        <f>IFERROR(IF(D32=MAX(SPT[Prof. (m)]),0,D32+1),0)</f>
        <v>0</v>
      </c>
      <c r="E33" s="1">
        <f>INDEX(SPT[],MATCH(HC[[#This Row],[Prof. (m)]],SPT[Prof. (m)],0),2)</f>
        <v>0</v>
      </c>
      <c r="F33" s="1" t="str">
        <f>INDEX(SPT[],MATCH(HC[[#This Row],[Prof. (m)]],SPT[Prof. (m)],0),3)</f>
        <v>Areia siltosa</v>
      </c>
      <c r="G33" s="1">
        <f>INDEX(estacas[],HC[[#This Row],[idDiâmetro]],MATCH($B$2,estacas[#Headers],0))</f>
        <v>30</v>
      </c>
      <c r="H33" s="1">
        <f>INDEX(estacas[],MATCH(HC[[#This Row],[Ø (cm)]],estacas[Ø HC (cm)],0),MATCH(HC[[#Headers],[Pe HC (kN)]],estacas[#Headers],0))</f>
        <v>450</v>
      </c>
      <c r="I33" s="4">
        <f>INDEX(K_alpha_C[],MATCH(HC[[#This Row],[Solo]],K_alpha_C[Solo],0),2)</f>
        <v>0.8</v>
      </c>
      <c r="J33" s="5">
        <f>INDEX(K_alpha_C[],MATCH(HC[[#This Row],[Solo]],K_alpha_C[Solo],0),3)</f>
        <v>2</v>
      </c>
      <c r="K33" s="4">
        <f>INDEX(F1_F2[],MATCH($D$2,F1_F2[Tipo de estaca],0),2)</f>
        <v>2</v>
      </c>
      <c r="L33" s="4">
        <f>INDEX(F1_F2[],MATCH($D$2,F1_F2[Tipo de estaca],0),3)</f>
        <v>4</v>
      </c>
      <c r="M33" s="4">
        <f>PI()*(HC[[#This Row],[Ø (cm)]]/100)^2/4</f>
        <v>7.0685834705770348E-2</v>
      </c>
      <c r="N33" s="4">
        <f>PI()*HC[[#This Row],[Ø (cm)]]/100</f>
        <v>0.94247779607693782</v>
      </c>
      <c r="O33" s="4">
        <f>IF(HC[[#This Row],[Prof. (m)]]=0,0,HC[[#This Row],[α (%)]]/100*HC[[#This Row],[K (MPa)]]*1000*HC[[#This Row],[NSPT]])</f>
        <v>0</v>
      </c>
      <c r="P33" s="4">
        <f>IF(HC[[#This Row],[Prof. (m)]]=0,0,(HC[[#This Row],[K (MPa)]]*1000*HC[[#This Row],[NSPT]]/HC[[#This Row],[F1]]*HC[[#This Row],[Ap (m²)]]+HC[[#This Row],[U (m)]]/HC[[#This Row],[F2]]*SUMIFS(HC[(α∙K∙NL∙ΔL)],HC[Prof. (m)],"&lt;="&amp;HC[[#This Row],[Prof. (m)]],HC[idDiâmetro],HC[[#This Row],[idDiâmetro]],HC[idPilar],HC[[#This Row],[idPilar]]))/'DADOS CAP. CARGA'!$D$2)</f>
        <v>0</v>
      </c>
      <c r="Q33" s="12">
        <f>INDEX(C_alpha_beta[],MATCH(HC[[#This Row],[Solo]],C_alpha_beta[Solo],0),MATCH(HC[[#Headers],[C (kPa)]],C_alpha_beta[#Headers],0))</f>
        <v>400</v>
      </c>
      <c r="R33" s="4">
        <f>INDEX(C_alpha_beta[],MATCH(HC[[#This Row],[Solo]],C_alpha_beta[Solo],0),MATCH(HC[[#Headers],[α ESF]],C_alpha_beta[#Headers],0))</f>
        <v>0.5</v>
      </c>
      <c r="S33" s="4">
        <f>INDEX(C_alpha_beta[],MATCH(HC[[#This Row],[Solo]],C_alpha_beta[Solo],0),MATCH(HC[[#Headers],[β ESF]],C_alpha_beta[#Headers],0))</f>
        <v>0.5</v>
      </c>
      <c r="T33" s="4">
        <f>IF(HC[[#This Row],[Prof. (m)]]=0,0,10*(HC[[#This Row],[NSPT]]/3+1))</f>
        <v>0</v>
      </c>
      <c r="U33" s="4">
        <f>(HC[[#This Row],[α ESF]]*HC[[#This Row],[C (kPa)]]*HC[[#This Row],[NSPT]]*HC[[#This Row],[Ap (m²)]])/'DADOS CAP. CARGA'!$Q$2+(HC[[#This Row],[β ESF]]*SUMIFS(HC[10∙(NL/3+1)],HC[Prof. (m)],"&lt;="&amp;HC[[#This Row],[Prof. (m)]],HC[idDiâmetro],HC[[#This Row],[idDiâmetro]],HC[idPilar],HC[[#This Row],[idPilar]])*HC[[#This Row],[U (m)]])/'DADOS CAP. CARGA'!$S$2</f>
        <v>0</v>
      </c>
      <c r="V33" s="4">
        <f>IF(SPT!$M$5=1,MIN(HC[[#This Row],[Pe HC (kN)]],HC[[#This Row],[R_AV (kN)]]),IF(SPT!$M$5=2,MIN(HC[[#This Row],[Pe HC (kN)]],HC[[#This Row],[R_DC (kN)]]),MIN(HC[[#This Row],[Pe HC (kN)]],HC[[#This Row],[R_AV (kN)]],HC[[#This Row],[R_DC (kN)]])))</f>
        <v>0</v>
      </c>
      <c r="W33" s="4">
        <f>INDEX(PILARES[],HC[[#This Row],[idPilar]],MATCH("Carga (kN)",PILARES[#Headers],0))*1.4</f>
        <v>3500</v>
      </c>
      <c r="X33" s="12">
        <f>INDEX(PILARES[],HC[[#This Row],[idPilar]],MATCH(HC[[#Headers],[ap (cm)]],PILARES[#Headers],0))</f>
        <v>60</v>
      </c>
      <c r="Y33" s="12">
        <f>INDEX(PILARES[],HC[[#This Row],[idPilar]],MATCH(HC[[#Headers],[bp (cm)]],PILARES[#Headers],0))</f>
        <v>60</v>
      </c>
      <c r="Z33" s="4">
        <f>SQRT(HC[[#This Row],[ap (cm)]]*HC[[#This Row],[bp (cm)]])</f>
        <v>60</v>
      </c>
      <c r="AA33" s="12">
        <f>HC[[#This Row],[ap (cm)]]*HC[[#This Row],[bp (cm)]]</f>
        <v>3600</v>
      </c>
      <c r="AB33" s="12" t="e">
        <f ca="1">IF(HC[[#This Row],[Padm∙ε (kN)]]&gt;=HC[[#This Row],[Padm (kN)]],ROUNDUP(1.05*HC[[#This Row],[Nsd (kN)]]/HC[[#This Row],[Padm (kN)]],0),ROUNDUP(1.05*HC[[#This Row],[Nsd (kN)]]/HC[[#This Row],[Padm (kN)]],0)+1)</f>
        <v>#DIV/0!</v>
      </c>
      <c r="AC33" s="4" t="str">
        <f ca="1">IFERROR(IF(HC[[#This Row],[nE]]=1,HC[[#This Row],[Padm (kN)]],HC[[#This Row],[Padm (kN)]]*HC[[#This Row],[nE]]*INDEX(grupoEstacas[],HC[[#This Row],[nE]],MATCH("ε",grupoEstacas[#Headers],0))),"N.S.")</f>
        <v>N.S.</v>
      </c>
      <c r="AD33" s="4" t="e">
        <f ca="1">1.05*HC[[#This Row],[Nsd (kN)]]/(HC[[#This Row],[nE]]*PI()*HC[[#This Row],[Ø (cm)]]^2/4)*10</f>
        <v>#DIV/0!</v>
      </c>
      <c r="AE33" s="4" t="e">
        <f ca="1">IF(HC[[#This Row],[σ (MPa)]]&lt;INDEX(tipoEstaca[],MATCH($D$2,tipoEstaca[TIPO DE ESTACA],0),MATCH("σmáx (MPa)",tipoEstaca[#Headers],0)),0.4%*PI()*HC[[#This Row],[Ø (cm)]]^2/4,"N.S.")</f>
        <v>#DIV/0!</v>
      </c>
      <c r="AF33" s="1">
        <f>INDEX(tipoEstaca[],MATCH($D$2,tipoEstaca[TIPO DE ESTACA],0),MATCH(HC[[#Headers],[Comprimento (m)]],tipoEstaca[#Headers],0))</f>
        <v>4</v>
      </c>
      <c r="AG33" s="5" t="e">
        <f ca="1">HC[[#This Row],[As,mín (cm²)]]/100^2*HC[[#This Row],[Comprimento (m)]]*7850</f>
        <v>#DIV/0!</v>
      </c>
      <c r="AH33" s="4" t="e">
        <f ca="1">HC[[#This Row],[nE]]*HC[[#This Row],[Prof. (m)]]*HC[[#This Row],[Ap (m²)]]</f>
        <v>#DIV/0!</v>
      </c>
      <c r="AI33" s="1" t="e">
        <f ca="1">IF(HC[[#This Row],[nE]]=1,0,MAX(3*HC[[#This Row],[Ø (cm)]],60))</f>
        <v>#DIV/0!</v>
      </c>
      <c r="AJ33" s="1" t="e">
        <f ca="1">IF(HC[[#This Row],[nE]]=1,HC[[#This Row],[Ø (cm)]]+2*10,MAX(1.5*HC[[#This Row],[Ø (cm)]],HC[[#This Row],[Ø (cm)]]+15))</f>
        <v>#DIV/0!</v>
      </c>
      <c r="AK33" s="1" t="e">
        <f ca="1">alturaUtil(HC[[#This Row],[nE]],HC[[#This Row],[Ø (cm)]],HC[[#This Row],[e (cm)]],HC[[#This Row],[ap,eq (cm)]])</f>
        <v>#VALUE!</v>
      </c>
      <c r="AL33" s="1" t="str">
        <f ca="1">IFERROR(HC[[#This Row],[d (cm)]]+arredondarParaCimaMultiplo5cm(MAX(5,SQRT(PI())/2*HC[[#This Row],[Ø (cm)]]/5)),"N.S.")</f>
        <v>N.S.</v>
      </c>
      <c r="AM33" s="5" t="e">
        <f ca="1">alpha(HC[[#This Row],[nE]],HC[[#This Row],[d (cm)]],HC[[#This Row],[e (cm)]],HC[[#This Row],[ap,eq (cm)]])</f>
        <v>#VALUE!</v>
      </c>
      <c r="AN33" s="35" t="str">
        <f ca="1">IFERROR(HC[[#This Row],[Nsd (kN)]]/(HC[[#This Row],[Ap (cm²)]]*SIN(HC[[#This Row],[α]])^2),"N.S.")</f>
        <v>N.S.</v>
      </c>
      <c r="AO33" s="35" t="str">
        <f ca="1">IFERROR(HC[[#This Row],[Nsd (kN)]]/(HC[[#This Row],[nE]]*PI()*HC[[#This Row],[Ø (cm)]]^2/4*SIN(HC[[#This Row],[α]])^2),"N.S.")</f>
        <v>N.S.</v>
      </c>
      <c r="AP33" s="4" t="str">
        <f ca="1">IFERROR(INDEX(grupoEstacas[],HC[[#This Row],[nE]],MATCH("coef. Blévot",grupoEstacas[#Headers],0)),"N.S.")</f>
        <v>N.S.</v>
      </c>
      <c r="AQ33" s="35" t="str">
        <f ca="1">IFERROR(HC[[#This Row],[coef. Blévot]]*0.9*INDEX(tipoEstaca[],MATCH($D$2,tipoEstaca[TIPO DE ESTACA],0),MATCH("fcd (kN/cm²)",tipoEstaca[#Headers],0)),"N.S.")</f>
        <v>N.S.</v>
      </c>
      <c r="AR33" s="1" t="str">
        <f ca="1">IF(AND(HC[[#This Row],[cd,b,pil (kN/cm²)]]&lt;=HC[[#This Row],[cd,b,lim (kN/cm²)]],HC[[#This Row],[cd,b,est (kN/cm²)]]&lt;=HC[[#This Row],[cd,b,lim (kN/cm²)]]),"OK","ERRO")</f>
        <v>OK</v>
      </c>
      <c r="AS33" s="4" t="e">
        <f ca="1">As_lado(HC[[#This Row],[nE]],HC[[#This Row],[Nsd (kN)]],HC[[#This Row],[d (cm)]],HC[[#This Row],[e (cm)]],HC[[#This Row],[ap,eq (cm)]])</f>
        <v>#VALUE!</v>
      </c>
      <c r="AT33" s="4" t="e">
        <f ca="1">IF(HC[[#This Row],[nE]]=1,HC[[#This Row],[As,lado (cm²)]],IF(HC[[#This Row],[nE]]=2,0.075*2*HC[a (cm)],"N.A."))</f>
        <v>#DIV/0!</v>
      </c>
      <c r="AU33" s="4" t="str">
        <f ca="1">IFERROR(IF(HC[[#This Row],[nE]]=1,"N.A.",0.2*HC[[#This Row],[As,lado (cm²)]]),"N.S.")</f>
        <v>N.S.</v>
      </c>
      <c r="AV33" s="4" t="e">
        <f ca="1">As_malha(HC[[#This Row],[nE]],HC[[#This Row],[As,lado (cm²)]],HC[[#This Row],[Nsd (kN)]])</f>
        <v>#VALUE!</v>
      </c>
      <c r="AW33" s="4" t="e">
        <f ca="1">As_susp_tot(HC[[#This Row],[nE]],HC[[#This Row],[Nsd (kN)]])</f>
        <v>#VALUE!</v>
      </c>
      <c r="AX33" s="4" t="e">
        <f ca="1">Asp_face(HC[[#This Row],[nE]],HC[[#This Row],[As,lado (cm²)]])</f>
        <v>#VALUE!</v>
      </c>
      <c r="AY33" s="5" t="e">
        <f ca="1">acoBloco(HC[[#This Row],[nE]],HC[[#This Row],[e (cm)]],HC[[#This Row],[a (cm)]],HC[[#This Row],[h (cm)]],HC[[#This Row],[As,lado (cm²)]],HC[[#This Row],[Asp e Asw (cm²/m)]],HC[[#This Row],[As,sup (cm²)]],HC[[#This Row],[As,malha (cm²)]],HC[[#This Row],[As,susp,tot (cm²)]],HC[[#This Row],[Asp,face (cm²)]])</f>
        <v>#VALUE!</v>
      </c>
      <c r="AZ33" s="4" t="e">
        <f ca="1">concretoBloco(HC[[#This Row],[nE]],HC[[#This Row],[e (cm)]],HC[[#This Row],[a (cm)]],HC[[#This Row],[h (cm)]])</f>
        <v>#VALUE!</v>
      </c>
      <c r="BA33" s="5" t="e">
        <f ca="1">SUM(HC[[#This Row],[Aço Est (kg)]],HC[[#This Row],[Aço Bloco (kg)]])</f>
        <v>#DIV/0!</v>
      </c>
      <c r="BB33" s="4">
        <f>INDEX(composicoes[],MATCH(95580,composicoes[CÓDIGO],0),MATCH("CUSTO TOTAL",composicoes[#Headers],0))</f>
        <v>10.46</v>
      </c>
      <c r="BC33" s="4" t="e">
        <f ca="1">SUM(HC[[#This Row],[Conc Est (m³)]],HC[[#This Row],[Conc Bloco (m³)]])</f>
        <v>#DIV/0!</v>
      </c>
      <c r="BD33" s="4">
        <f>INDEX(composicoes[],MATCH(94966,composicoes[CÓDIGO],0),MATCH("CUSTO TOTAL",composicoes[#Headers],0))</f>
        <v>439.52</v>
      </c>
      <c r="BE33" s="38" t="e">
        <f ca="1">HC[[#This Row],[Aço (kg)]]*HC[[#This Row],[Aço (R$/kg)]]+HC[[#This Row],[Conc (m³)]]*HC[[#This Row],[Conc (R$/m³)]]</f>
        <v>#DIV/0!</v>
      </c>
      <c r="BF33" s="4" t="str">
        <f ca="1">IF(COUNTIF(HC[#This Row],"N.S.")&gt;0,"lim.","OK")</f>
        <v>lim.</v>
      </c>
      <c r="BG33" s="4" t="str">
        <f>IF(HC[[#This Row],[Prof. (m)]]&lt;4,"lim.","OK")</f>
        <v>lim.</v>
      </c>
      <c r="BH33" s="4" t="str">
        <f>IF(HC[[#This Row],[Prof. (m)]]&gt;=8*HC[[#This Row],[Ø (cm)]]/100,"OK","lim.")</f>
        <v>lim.</v>
      </c>
      <c r="BI33" s="4" t="str">
        <f ca="1">IF(HC[[#This Row],[Verif. Biela]]="OK","OK","lim.")</f>
        <v>OK</v>
      </c>
      <c r="BJ33" s="4" t="str">
        <f ca="1">IF(COUNTA(HC[[#This Row],[Nº Est.]:[Biela comp.]])=COUNTIF(HC[[#This Row],[Nº Est.]:[Biela comp.]],"OK"),"OK","lim.")</f>
        <v>lim.</v>
      </c>
      <c r="BK33" s="4" t="str">
        <f ca="1">IF(HC[[#This Row],[Controle]]="OK",HC[[#This Row],[nE]]&amp;" Ø"&amp;HC[[#This Row],[Ø (cm)]]&amp;"cm Prof. "&amp;HC[[#This Row],[Prof. (m)]]&amp;" m","")</f>
        <v/>
      </c>
      <c r="BL33" s="4" t="str">
        <f ca="1">IF(HC[[#This Row],[idDimensionamento]]="","",HC[[#This Row],[idPilar]]&amp;HC[[#This Row],[idDimensionamento]])</f>
        <v/>
      </c>
    </row>
    <row r="34" spans="2:64" x14ac:dyDescent="0.25">
      <c r="B34" s="12">
        <f>ROUNDUP((ROW(HC[[#This Row],[idDiâmetro]])-ROW(HC[[#Headers],[idDiâmetro]]))/(COUNT(SPT[Prof. (m)])*COUNT(PILARES[Pilar])),0)</f>
        <v>2</v>
      </c>
      <c r="C34" s="12">
        <f>IF(HC[[#This Row],[idDiâmetro]]&lt;&gt;B33,1,IF(HC[[#This Row],[Prof. (m)]]=0,C33+1,C33))</f>
        <v>1</v>
      </c>
      <c r="D34" s="1">
        <f>IFERROR(IF(D33=MAX(SPT[Prof. (m)]),0,D33+1),0)</f>
        <v>1</v>
      </c>
      <c r="E34" s="1">
        <f>INDEX(SPT[],MATCH(HC[[#This Row],[Prof. (m)]],SPT[Prof. (m)],0),2)</f>
        <v>2</v>
      </c>
      <c r="F34" s="1" t="str">
        <f>INDEX(SPT[],MATCH(HC[[#This Row],[Prof. (m)]],SPT[Prof. (m)],0),3)</f>
        <v>Areia siltosa</v>
      </c>
      <c r="G34" s="1">
        <f>INDEX(estacas[],HC[[#This Row],[idDiâmetro]],MATCH($B$2,estacas[#Headers],0))</f>
        <v>30</v>
      </c>
      <c r="H34" s="1">
        <f>INDEX(estacas[],MATCH(HC[[#This Row],[Ø (cm)]],estacas[Ø HC (cm)],0),MATCH(HC[[#Headers],[Pe HC (kN)]],estacas[#Headers],0))</f>
        <v>450</v>
      </c>
      <c r="I34" s="4">
        <f>INDEX(K_alpha_C[],MATCH(HC[[#This Row],[Solo]],K_alpha_C[Solo],0),2)</f>
        <v>0.8</v>
      </c>
      <c r="J34" s="5">
        <f>INDEX(K_alpha_C[],MATCH(HC[[#This Row],[Solo]],K_alpha_C[Solo],0),3)</f>
        <v>2</v>
      </c>
      <c r="K34" s="4">
        <f>INDEX(F1_F2[],MATCH($D$2,F1_F2[Tipo de estaca],0),2)</f>
        <v>2</v>
      </c>
      <c r="L34" s="4">
        <f>INDEX(F1_F2[],MATCH($D$2,F1_F2[Tipo de estaca],0),3)</f>
        <v>4</v>
      </c>
      <c r="M34" s="4">
        <f>PI()*(HC[[#This Row],[Ø (cm)]]/100)^2/4</f>
        <v>7.0685834705770348E-2</v>
      </c>
      <c r="N34" s="4">
        <f>PI()*HC[[#This Row],[Ø (cm)]]/100</f>
        <v>0.94247779607693782</v>
      </c>
      <c r="O34" s="4">
        <f>IF(HC[[#This Row],[Prof. (m)]]=0,0,HC[[#This Row],[α (%)]]/100*HC[[#This Row],[K (MPa)]]*1000*HC[[#This Row],[NSPT]])</f>
        <v>32</v>
      </c>
      <c r="P34" s="4">
        <f>IF(HC[[#This Row],[Prof. (m)]]=0,0,(HC[[#This Row],[K (MPa)]]*1000*HC[[#This Row],[NSPT]]/HC[[#This Row],[F1]]*HC[[#This Row],[Ap (m²)]]+HC[[#This Row],[U (m)]]/HC[[#This Row],[F2]]*SUMIFS(HC[(α∙K∙NL∙ΔL)],HC[Prof. (m)],"&lt;="&amp;HC[[#This Row],[Prof. (m)]],HC[idDiâmetro],HC[[#This Row],[idDiâmetro]],HC[idPilar],HC[[#This Row],[idPilar]]))/'DADOS CAP. CARGA'!$D$2)</f>
        <v>32.044245066615886</v>
      </c>
      <c r="Q34" s="12">
        <f>INDEX(C_alpha_beta[],MATCH(HC[[#This Row],[Solo]],C_alpha_beta[Solo],0),MATCH(HC[[#Headers],[C (kPa)]],C_alpha_beta[#Headers],0))</f>
        <v>400</v>
      </c>
      <c r="R34" s="4">
        <f>INDEX(C_alpha_beta[],MATCH(HC[[#This Row],[Solo]],C_alpha_beta[Solo],0),MATCH(HC[[#Headers],[α ESF]],C_alpha_beta[#Headers],0))</f>
        <v>0.5</v>
      </c>
      <c r="S34" s="4">
        <f>INDEX(C_alpha_beta[],MATCH(HC[[#This Row],[Solo]],C_alpha_beta[Solo],0),MATCH(HC[[#Headers],[β ESF]],C_alpha_beta[#Headers],0))</f>
        <v>0.5</v>
      </c>
      <c r="T34" s="4">
        <f>IF(HC[[#This Row],[Prof. (m)]]=0,0,10*(HC[[#This Row],[NSPT]]/3+1))</f>
        <v>16.666666666666664</v>
      </c>
      <c r="U34" s="4">
        <f>(HC[[#This Row],[α ESF]]*HC[[#This Row],[C (kPa)]]*HC[[#This Row],[NSPT]]*HC[[#This Row],[Ap (m²)]])/'DADOS CAP. CARGA'!$Q$2+(HC[[#This Row],[β ESF]]*SUMIFS(HC[10∙(NL/3+1)],HC[Prof. (m)],"&lt;="&amp;HC[[#This Row],[Prof. (m)]],HC[idDiâmetro],HC[[#This Row],[idDiâmetro]],HC[idPilar],HC[[#This Row],[idPilar]])*HC[[#This Row],[U (m)]])/'DADOS CAP. CARGA'!$S$2</f>
        <v>10.995574287564274</v>
      </c>
      <c r="V34" s="4">
        <f>IF(SPT!$M$5=1,MIN(HC[[#This Row],[Pe HC (kN)]],HC[[#This Row],[R_AV (kN)]]),IF(SPT!$M$5=2,MIN(HC[[#This Row],[Pe HC (kN)]],HC[[#This Row],[R_DC (kN)]]),MIN(HC[[#This Row],[Pe HC (kN)]],HC[[#This Row],[R_AV (kN)]],HC[[#This Row],[R_DC (kN)]])))</f>
        <v>10.995574287564274</v>
      </c>
      <c r="W34" s="4">
        <f>INDEX(PILARES[],HC[[#This Row],[idPilar]],MATCH("Carga (kN)",PILARES[#Headers],0))*1.4</f>
        <v>3500</v>
      </c>
      <c r="X34" s="12">
        <f>INDEX(PILARES[],HC[[#This Row],[idPilar]],MATCH(HC[[#Headers],[ap (cm)]],PILARES[#Headers],0))</f>
        <v>60</v>
      </c>
      <c r="Y34" s="12">
        <f>INDEX(PILARES[],HC[[#This Row],[idPilar]],MATCH(HC[[#Headers],[bp (cm)]],PILARES[#Headers],0))</f>
        <v>60</v>
      </c>
      <c r="Z34" s="4">
        <f>SQRT(HC[[#This Row],[ap (cm)]]*HC[[#This Row],[bp (cm)]])</f>
        <v>60</v>
      </c>
      <c r="AA34" s="12">
        <f>HC[[#This Row],[ap (cm)]]*HC[[#This Row],[bp (cm)]]</f>
        <v>3600</v>
      </c>
      <c r="AB34" s="12">
        <f ca="1">IF(HC[[#This Row],[Padm∙ε (kN)]]&gt;=HC[[#This Row],[Padm (kN)]],ROUNDUP(1.05*HC[[#This Row],[Nsd (kN)]]/HC[[#This Row],[Padm (kN)]],0),ROUNDUP(1.05*HC[[#This Row],[Nsd (kN)]]/HC[[#This Row],[Padm (kN)]],0)+1)</f>
        <v>335</v>
      </c>
      <c r="AC34" s="4" t="str">
        <f ca="1">IFERROR(IF(HC[[#This Row],[nE]]=1,HC[[#This Row],[Padm (kN)]],HC[[#This Row],[Padm (kN)]]*HC[[#This Row],[nE]]*INDEX(grupoEstacas[],HC[[#This Row],[nE]],MATCH("ε",grupoEstacas[#Headers],0))),"N.S.")</f>
        <v>N.S.</v>
      </c>
      <c r="AD34" s="4">
        <f ca="1">1.05*HC[[#This Row],[Nsd (kN)]]/(HC[[#This Row],[nE]]*PI()*HC[[#This Row],[Ø (cm)]]^2/4)*10</f>
        <v>0.15519586490552978</v>
      </c>
      <c r="AE34" s="4">
        <f ca="1">IF(HC[[#This Row],[σ (MPa)]]&lt;INDEX(tipoEstaca[],MATCH($D$2,tipoEstaca[TIPO DE ESTACA],0),MATCH("σmáx (MPa)",tipoEstaca[#Headers],0)),0.4%*PI()*HC[[#This Row],[Ø (cm)]]^2/4,"N.S.")</f>
        <v>2.8274333882308138</v>
      </c>
      <c r="AF34" s="1">
        <f>INDEX(tipoEstaca[],MATCH($D$2,tipoEstaca[TIPO DE ESTACA],0),MATCH(HC[[#Headers],[Comprimento (m)]],tipoEstaca[#Headers],0))</f>
        <v>4</v>
      </c>
      <c r="AG34" s="5">
        <f ca="1">HC[[#This Row],[As,mín (cm²)]]/100^2*HC[[#This Row],[Comprimento (m)]]*7850</f>
        <v>8.8781408390447556</v>
      </c>
      <c r="AH34" s="4">
        <f ca="1">HC[[#This Row],[nE]]*HC[[#This Row],[Prof. (m)]]*HC[[#This Row],[Ap (m²)]]</f>
        <v>23.679754626433066</v>
      </c>
      <c r="AI34" s="1">
        <f ca="1">IF(HC[[#This Row],[nE]]=1,0,MAX(3*HC[[#This Row],[Ø (cm)]],60))</f>
        <v>90</v>
      </c>
      <c r="AJ34" s="1">
        <f ca="1">IF(HC[[#This Row],[nE]]=1,HC[[#This Row],[Ø (cm)]]+2*10,MAX(1.5*HC[[#This Row],[Ø (cm)]],HC[[#This Row],[Ø (cm)]]+15))</f>
        <v>45</v>
      </c>
      <c r="AK34" s="1" t="str">
        <f ca="1">alturaUtil(HC[[#This Row],[nE]],HC[[#This Row],[Ø (cm)]],HC[[#This Row],[e (cm)]],HC[[#This Row],[ap,eq (cm)]])</f>
        <v>N.S.</v>
      </c>
      <c r="AL34" s="1" t="str">
        <f ca="1">IFERROR(HC[[#This Row],[d (cm)]]+arredondarParaCimaMultiplo5cm(MAX(5,SQRT(PI())/2*HC[[#This Row],[Ø (cm)]]/5)),"N.S.")</f>
        <v>N.S.</v>
      </c>
      <c r="AM34" s="5" t="str">
        <f ca="1">alpha(HC[[#This Row],[nE]],HC[[#This Row],[d (cm)]],HC[[#This Row],[e (cm)]],HC[[#This Row],[ap,eq (cm)]])</f>
        <v>N.S.</v>
      </c>
      <c r="AN34" s="35" t="str">
        <f ca="1">IFERROR(HC[[#This Row],[Nsd (kN)]]/(HC[[#This Row],[Ap (cm²)]]*SIN(HC[[#This Row],[α]])^2),"N.S.")</f>
        <v>N.S.</v>
      </c>
      <c r="AO34" s="35" t="str">
        <f ca="1">IFERROR(HC[[#This Row],[Nsd (kN)]]/(HC[[#This Row],[nE]]*PI()*HC[[#This Row],[Ø (cm)]]^2/4*SIN(HC[[#This Row],[α]])^2),"N.S.")</f>
        <v>N.S.</v>
      </c>
      <c r="AP34" s="4" t="str">
        <f ca="1">IFERROR(INDEX(grupoEstacas[],HC[[#This Row],[nE]],MATCH("coef. Blévot",grupoEstacas[#Headers],0)),"N.S.")</f>
        <v>N.S.</v>
      </c>
      <c r="AQ34" s="35" t="str">
        <f ca="1">IFERROR(HC[[#This Row],[coef. Blévot]]*0.9*INDEX(tipoEstaca[],MATCH($D$2,tipoEstaca[TIPO DE ESTACA],0),MATCH("fcd (kN/cm²)",tipoEstaca[#Headers],0)),"N.S.")</f>
        <v>N.S.</v>
      </c>
      <c r="AR34" s="1" t="str">
        <f ca="1">IF(AND(HC[[#This Row],[cd,b,pil (kN/cm²)]]&lt;=HC[[#This Row],[cd,b,lim (kN/cm²)]],HC[[#This Row],[cd,b,est (kN/cm²)]]&lt;=HC[[#This Row],[cd,b,lim (kN/cm²)]]),"OK","ERRO")</f>
        <v>OK</v>
      </c>
      <c r="AS34" s="4" t="str">
        <f ca="1">As_lado(HC[[#This Row],[nE]],HC[[#This Row],[Nsd (kN)]],HC[[#This Row],[d (cm)]],HC[[#This Row],[e (cm)]],HC[[#This Row],[ap,eq (cm)]])</f>
        <v>N.S.</v>
      </c>
      <c r="AT34" s="4" t="str">
        <f ca="1">IF(HC[[#This Row],[nE]]=1,HC[[#This Row],[As,lado (cm²)]],IF(HC[[#This Row],[nE]]=2,0.075*2*HC[a (cm)],"N.A."))</f>
        <v>N.A.</v>
      </c>
      <c r="AU34" s="4" t="str">
        <f ca="1">IFERROR(IF(HC[[#This Row],[nE]]=1,"N.A.",0.2*HC[[#This Row],[As,lado (cm²)]]),"N.S.")</f>
        <v>N.S.</v>
      </c>
      <c r="AV34" s="4" t="str">
        <f ca="1">As_malha(HC[[#This Row],[nE]],HC[[#This Row],[As,lado (cm²)]],HC[[#This Row],[Nsd (kN)]])</f>
        <v>N.S.</v>
      </c>
      <c r="AW34" s="4" t="str">
        <f ca="1">As_susp_tot(HC[[#This Row],[nE]],HC[[#This Row],[Nsd (kN)]])</f>
        <v>N.S.</v>
      </c>
      <c r="AX34" s="4" t="str">
        <f ca="1">Asp_face(HC[[#This Row],[nE]],HC[[#This Row],[As,lado (cm²)]])</f>
        <v>N.S.</v>
      </c>
      <c r="AY34" s="5" t="str">
        <f ca="1">acoBloco(HC[[#This Row],[nE]],HC[[#This Row],[e (cm)]],HC[[#This Row],[a (cm)]],HC[[#This Row],[h (cm)]],HC[[#This Row],[As,lado (cm²)]],HC[[#This Row],[Asp e Asw (cm²/m)]],HC[[#This Row],[As,sup (cm²)]],HC[[#This Row],[As,malha (cm²)]],HC[[#This Row],[As,susp,tot (cm²)]],HC[[#This Row],[Asp,face (cm²)]])</f>
        <v>N.S.</v>
      </c>
      <c r="AZ34" s="4" t="str">
        <f ca="1">concretoBloco(HC[[#This Row],[nE]],HC[[#This Row],[e (cm)]],HC[[#This Row],[a (cm)]],HC[[#This Row],[h (cm)]])</f>
        <v>N.S.</v>
      </c>
      <c r="BA34" s="5">
        <f ca="1">SUM(HC[[#This Row],[Aço Est (kg)]],HC[[#This Row],[Aço Bloco (kg)]])</f>
        <v>8.8781408390447556</v>
      </c>
      <c r="BB34" s="4">
        <f>INDEX(composicoes[],MATCH(95580,composicoes[CÓDIGO],0),MATCH("CUSTO TOTAL",composicoes[#Headers],0))</f>
        <v>10.46</v>
      </c>
      <c r="BC34" s="4">
        <f ca="1">SUM(HC[[#This Row],[Conc Est (m³)]],HC[[#This Row],[Conc Bloco (m³)]])</f>
        <v>23.679754626433066</v>
      </c>
      <c r="BD34" s="4">
        <f>INDEX(composicoes[],MATCH(94966,composicoes[CÓDIGO],0),MATCH("CUSTO TOTAL",composicoes[#Headers],0))</f>
        <v>439.52</v>
      </c>
      <c r="BE34" s="38">
        <f ca="1">HC[[#This Row],[Aço (kg)]]*HC[[#This Row],[Aço (R$/kg)]]+HC[[#This Row],[Conc (m³)]]*HC[[#This Row],[Conc (R$/m³)]]</f>
        <v>10500.591106586269</v>
      </c>
      <c r="BF34" s="4" t="str">
        <f ca="1">IF(COUNTIF(HC[#This Row],"N.S.")&gt;0,"lim.","OK")</f>
        <v>lim.</v>
      </c>
      <c r="BG34" s="4" t="str">
        <f>IF(HC[[#This Row],[Prof. (m)]]&lt;4,"lim.","OK")</f>
        <v>lim.</v>
      </c>
      <c r="BH34" s="4" t="str">
        <f>IF(HC[[#This Row],[Prof. (m)]]&gt;=8*HC[[#This Row],[Ø (cm)]]/100,"OK","lim.")</f>
        <v>lim.</v>
      </c>
      <c r="BI34" s="4" t="str">
        <f ca="1">IF(HC[[#This Row],[Verif. Biela]]="OK","OK","lim.")</f>
        <v>OK</v>
      </c>
      <c r="BJ34" s="4" t="str">
        <f ca="1">IF(COUNTA(HC[[#This Row],[Nº Est.]:[Biela comp.]])=COUNTIF(HC[[#This Row],[Nº Est.]:[Biela comp.]],"OK"),"OK","lim.")</f>
        <v>lim.</v>
      </c>
      <c r="BK34" s="4" t="str">
        <f ca="1">IF(HC[[#This Row],[Controle]]="OK",HC[[#This Row],[nE]]&amp;" Ø"&amp;HC[[#This Row],[Ø (cm)]]&amp;"cm Prof. "&amp;HC[[#This Row],[Prof. (m)]]&amp;" m","")</f>
        <v/>
      </c>
      <c r="BL34" s="4" t="str">
        <f ca="1">IF(HC[[#This Row],[idDimensionamento]]="","",HC[[#This Row],[idPilar]]&amp;HC[[#This Row],[idDimensionamento]])</f>
        <v/>
      </c>
    </row>
    <row r="35" spans="2:64" x14ac:dyDescent="0.25">
      <c r="B35" s="12">
        <f>ROUNDUP((ROW(HC[[#This Row],[idDiâmetro]])-ROW(HC[[#Headers],[idDiâmetro]]))/(COUNT(SPT[Prof. (m)])*COUNT(PILARES[Pilar])),0)</f>
        <v>2</v>
      </c>
      <c r="C35" s="12">
        <f>IF(HC[[#This Row],[idDiâmetro]]&lt;&gt;B34,1,IF(HC[[#This Row],[Prof. (m)]]=0,C34+1,C34))</f>
        <v>1</v>
      </c>
      <c r="D35" s="1">
        <f>IFERROR(IF(D34=MAX(SPT[Prof. (m)]),0,D34+1),0)</f>
        <v>2</v>
      </c>
      <c r="E35" s="1">
        <f>INDEX(SPT[],MATCH(HC[[#This Row],[Prof. (m)]],SPT[Prof. (m)],0),2)</f>
        <v>2</v>
      </c>
      <c r="F35" s="1" t="str">
        <f>INDEX(SPT[],MATCH(HC[[#This Row],[Prof. (m)]],SPT[Prof. (m)],0),3)</f>
        <v>Areia siltosa</v>
      </c>
      <c r="G35" s="1">
        <f>INDEX(estacas[],HC[[#This Row],[idDiâmetro]],MATCH($B$2,estacas[#Headers],0))</f>
        <v>30</v>
      </c>
      <c r="H35" s="1">
        <f>INDEX(estacas[],MATCH(HC[[#This Row],[Ø (cm)]],estacas[Ø HC (cm)],0),MATCH(HC[[#Headers],[Pe HC (kN)]],estacas[#Headers],0))</f>
        <v>450</v>
      </c>
      <c r="I35" s="4">
        <f>INDEX(K_alpha_C[],MATCH(HC[[#This Row],[Solo]],K_alpha_C[Solo],0),2)</f>
        <v>0.8</v>
      </c>
      <c r="J35" s="5">
        <f>INDEX(K_alpha_C[],MATCH(HC[[#This Row],[Solo]],K_alpha_C[Solo],0),3)</f>
        <v>2</v>
      </c>
      <c r="K35" s="4">
        <f>INDEX(F1_F2[],MATCH($D$2,F1_F2[Tipo de estaca],0),2)</f>
        <v>2</v>
      </c>
      <c r="L35" s="4">
        <f>INDEX(F1_F2[],MATCH($D$2,F1_F2[Tipo de estaca],0),3)</f>
        <v>4</v>
      </c>
      <c r="M35" s="4">
        <f>PI()*(HC[[#This Row],[Ø (cm)]]/100)^2/4</f>
        <v>7.0685834705770348E-2</v>
      </c>
      <c r="N35" s="4">
        <f>PI()*HC[[#This Row],[Ø (cm)]]/100</f>
        <v>0.94247779607693782</v>
      </c>
      <c r="O35" s="4">
        <f>IF(HC[[#This Row],[Prof. (m)]]=0,0,HC[[#This Row],[α (%)]]/100*HC[[#This Row],[K (MPa)]]*1000*HC[[#This Row],[NSPT]])</f>
        <v>32</v>
      </c>
      <c r="P35" s="4">
        <f>IF(HC[[#This Row],[Prof. (m)]]=0,0,(HC[[#This Row],[K (MPa)]]*1000*HC[[#This Row],[NSPT]]/HC[[#This Row],[F1]]*HC[[#This Row],[Ap (m²)]]+HC[[#This Row],[U (m)]]/HC[[#This Row],[F2]]*SUMIFS(HC[(α∙K∙NL∙ΔL)],HC[Prof. (m)],"&lt;="&amp;HC[[#This Row],[Prof. (m)]],HC[idDiâmetro],HC[[#This Row],[idDiâmetro]],HC[idPilar],HC[[#This Row],[idPilar]]))/'DADOS CAP. CARGA'!$D$2)</f>
        <v>35.814156250923638</v>
      </c>
      <c r="Q35" s="12">
        <f>INDEX(C_alpha_beta[],MATCH(HC[[#This Row],[Solo]],C_alpha_beta[Solo],0),MATCH(HC[[#Headers],[C (kPa)]],C_alpha_beta[#Headers],0))</f>
        <v>400</v>
      </c>
      <c r="R35" s="4">
        <f>INDEX(C_alpha_beta[],MATCH(HC[[#This Row],[Solo]],C_alpha_beta[Solo],0),MATCH(HC[[#Headers],[α ESF]],C_alpha_beta[#Headers],0))</f>
        <v>0.5</v>
      </c>
      <c r="S35" s="4">
        <f>INDEX(C_alpha_beta[],MATCH(HC[[#This Row],[Solo]],C_alpha_beta[Solo],0),MATCH(HC[[#Headers],[β ESF]],C_alpha_beta[#Headers],0))</f>
        <v>0.5</v>
      </c>
      <c r="T35" s="4">
        <f>IF(HC[[#This Row],[Prof. (m)]]=0,0,10*(HC[[#This Row],[NSPT]]/3+1))</f>
        <v>16.666666666666664</v>
      </c>
      <c r="U35" s="4">
        <f>(HC[[#This Row],[α ESF]]*HC[[#This Row],[C (kPa)]]*HC[[#This Row],[NSPT]]*HC[[#This Row],[Ap (m²)]])/'DADOS CAP. CARGA'!$Q$2+(HC[[#This Row],[β ESF]]*SUMIFS(HC[10∙(NL/3+1)],HC[Prof. (m)],"&lt;="&amp;HC[[#This Row],[Prof. (m)]],HC[idDiâmetro],HC[[#This Row],[idDiâmetro]],HC[idPilar],HC[[#This Row],[idPilar]])*HC[[#This Row],[U (m)]])/'DADOS CAP. CARGA'!$S$2</f>
        <v>14.922565104551516</v>
      </c>
      <c r="V35" s="4">
        <f>IF(SPT!$M$5=1,MIN(HC[[#This Row],[Pe HC (kN)]],HC[[#This Row],[R_AV (kN)]]),IF(SPT!$M$5=2,MIN(HC[[#This Row],[Pe HC (kN)]],HC[[#This Row],[R_DC (kN)]]),MIN(HC[[#This Row],[Pe HC (kN)]],HC[[#This Row],[R_AV (kN)]],HC[[#This Row],[R_DC (kN)]])))</f>
        <v>14.922565104551516</v>
      </c>
      <c r="W35" s="4">
        <f>INDEX(PILARES[],HC[[#This Row],[idPilar]],MATCH("Carga (kN)",PILARES[#Headers],0))*1.4</f>
        <v>3500</v>
      </c>
      <c r="X35" s="12">
        <f>INDEX(PILARES[],HC[[#This Row],[idPilar]],MATCH(HC[[#Headers],[ap (cm)]],PILARES[#Headers],0))</f>
        <v>60</v>
      </c>
      <c r="Y35" s="12">
        <f>INDEX(PILARES[],HC[[#This Row],[idPilar]],MATCH(HC[[#Headers],[bp (cm)]],PILARES[#Headers],0))</f>
        <v>60</v>
      </c>
      <c r="Z35" s="4">
        <f>SQRT(HC[[#This Row],[ap (cm)]]*HC[[#This Row],[bp (cm)]])</f>
        <v>60</v>
      </c>
      <c r="AA35" s="12">
        <f>HC[[#This Row],[ap (cm)]]*HC[[#This Row],[bp (cm)]]</f>
        <v>3600</v>
      </c>
      <c r="AB35" s="12">
        <f ca="1">IF(HC[[#This Row],[Padm∙ε (kN)]]&gt;=HC[[#This Row],[Padm (kN)]],ROUNDUP(1.05*HC[[#This Row],[Nsd (kN)]]/HC[[#This Row],[Padm (kN)]],0),ROUNDUP(1.05*HC[[#This Row],[Nsd (kN)]]/HC[[#This Row],[Padm (kN)]],0)+1)</f>
        <v>247</v>
      </c>
      <c r="AC35" s="4" t="str">
        <f ca="1">IFERROR(IF(HC[[#This Row],[nE]]=1,HC[[#This Row],[Padm (kN)]],HC[[#This Row],[Padm (kN)]]*HC[[#This Row],[nE]]*INDEX(grupoEstacas[],HC[[#This Row],[nE]],MATCH("ε",grupoEstacas[#Headers],0))),"N.S.")</f>
        <v>N.S.</v>
      </c>
      <c r="AD35" s="4">
        <f ca="1">1.05*HC[[#This Row],[Nsd (kN)]]/(HC[[#This Row],[nE]]*PI()*HC[[#This Row],[Ø (cm)]]^2/4)*10</f>
        <v>0.21048831879899788</v>
      </c>
      <c r="AE35" s="4">
        <f ca="1">IF(HC[[#This Row],[σ (MPa)]]&lt;INDEX(tipoEstaca[],MATCH($D$2,tipoEstaca[TIPO DE ESTACA],0),MATCH("σmáx (MPa)",tipoEstaca[#Headers],0)),0.4%*PI()*HC[[#This Row],[Ø (cm)]]^2/4,"N.S.")</f>
        <v>2.8274333882308138</v>
      </c>
      <c r="AF35" s="1">
        <f>INDEX(tipoEstaca[],MATCH($D$2,tipoEstaca[TIPO DE ESTACA],0),MATCH(HC[[#Headers],[Comprimento (m)]],tipoEstaca[#Headers],0))</f>
        <v>4</v>
      </c>
      <c r="AG35" s="5">
        <f ca="1">HC[[#This Row],[As,mín (cm²)]]/100^2*HC[[#This Row],[Comprimento (m)]]*7850</f>
        <v>8.8781408390447556</v>
      </c>
      <c r="AH35" s="4">
        <f ca="1">HC[[#This Row],[nE]]*HC[[#This Row],[Prof. (m)]]*HC[[#This Row],[Ap (m²)]]</f>
        <v>34.918802344650551</v>
      </c>
      <c r="AI35" s="1">
        <f ca="1">IF(HC[[#This Row],[nE]]=1,0,MAX(3*HC[[#This Row],[Ø (cm)]],60))</f>
        <v>90</v>
      </c>
      <c r="AJ35" s="1">
        <f ca="1">IF(HC[[#This Row],[nE]]=1,HC[[#This Row],[Ø (cm)]]+2*10,MAX(1.5*HC[[#This Row],[Ø (cm)]],HC[[#This Row],[Ø (cm)]]+15))</f>
        <v>45</v>
      </c>
      <c r="AK35" s="1" t="str">
        <f ca="1">alturaUtil(HC[[#This Row],[nE]],HC[[#This Row],[Ø (cm)]],HC[[#This Row],[e (cm)]],HC[[#This Row],[ap,eq (cm)]])</f>
        <v>N.S.</v>
      </c>
      <c r="AL35" s="1" t="str">
        <f ca="1">IFERROR(HC[[#This Row],[d (cm)]]+arredondarParaCimaMultiplo5cm(MAX(5,SQRT(PI())/2*HC[[#This Row],[Ø (cm)]]/5)),"N.S.")</f>
        <v>N.S.</v>
      </c>
      <c r="AM35" s="5" t="str">
        <f ca="1">alpha(HC[[#This Row],[nE]],HC[[#This Row],[d (cm)]],HC[[#This Row],[e (cm)]],HC[[#This Row],[ap,eq (cm)]])</f>
        <v>N.S.</v>
      </c>
      <c r="AN35" s="35" t="str">
        <f ca="1">IFERROR(HC[[#This Row],[Nsd (kN)]]/(HC[[#This Row],[Ap (cm²)]]*SIN(HC[[#This Row],[α]])^2),"N.S.")</f>
        <v>N.S.</v>
      </c>
      <c r="AO35" s="35" t="str">
        <f ca="1">IFERROR(HC[[#This Row],[Nsd (kN)]]/(HC[[#This Row],[nE]]*PI()*HC[[#This Row],[Ø (cm)]]^2/4*SIN(HC[[#This Row],[α]])^2),"N.S.")</f>
        <v>N.S.</v>
      </c>
      <c r="AP35" s="4" t="str">
        <f ca="1">IFERROR(INDEX(grupoEstacas[],HC[[#This Row],[nE]],MATCH("coef. Blévot",grupoEstacas[#Headers],0)),"N.S.")</f>
        <v>N.S.</v>
      </c>
      <c r="AQ35" s="35" t="str">
        <f ca="1">IFERROR(HC[[#This Row],[coef. Blévot]]*0.9*INDEX(tipoEstaca[],MATCH($D$2,tipoEstaca[TIPO DE ESTACA],0),MATCH("fcd (kN/cm²)",tipoEstaca[#Headers],0)),"N.S.")</f>
        <v>N.S.</v>
      </c>
      <c r="AR35" s="1" t="str">
        <f ca="1">IF(AND(HC[[#This Row],[cd,b,pil (kN/cm²)]]&lt;=HC[[#This Row],[cd,b,lim (kN/cm²)]],HC[[#This Row],[cd,b,est (kN/cm²)]]&lt;=HC[[#This Row],[cd,b,lim (kN/cm²)]]),"OK","ERRO")</f>
        <v>OK</v>
      </c>
      <c r="AS35" s="4" t="str">
        <f ca="1">As_lado(HC[[#This Row],[nE]],HC[[#This Row],[Nsd (kN)]],HC[[#This Row],[d (cm)]],HC[[#This Row],[e (cm)]],HC[[#This Row],[ap,eq (cm)]])</f>
        <v>N.S.</v>
      </c>
      <c r="AT35" s="4" t="str">
        <f ca="1">IF(HC[[#This Row],[nE]]=1,HC[[#This Row],[As,lado (cm²)]],IF(HC[[#This Row],[nE]]=2,0.075*2*HC[a (cm)],"N.A."))</f>
        <v>N.A.</v>
      </c>
      <c r="AU35" s="4" t="str">
        <f ca="1">IFERROR(IF(HC[[#This Row],[nE]]=1,"N.A.",0.2*HC[[#This Row],[As,lado (cm²)]]),"N.S.")</f>
        <v>N.S.</v>
      </c>
      <c r="AV35" s="4" t="str">
        <f ca="1">As_malha(HC[[#This Row],[nE]],HC[[#This Row],[As,lado (cm²)]],HC[[#This Row],[Nsd (kN)]])</f>
        <v>N.S.</v>
      </c>
      <c r="AW35" s="4" t="str">
        <f ca="1">As_susp_tot(HC[[#This Row],[nE]],HC[[#This Row],[Nsd (kN)]])</f>
        <v>N.S.</v>
      </c>
      <c r="AX35" s="4" t="str">
        <f ca="1">Asp_face(HC[[#This Row],[nE]],HC[[#This Row],[As,lado (cm²)]])</f>
        <v>N.S.</v>
      </c>
      <c r="AY35" s="5" t="str">
        <f ca="1">acoBloco(HC[[#This Row],[nE]],HC[[#This Row],[e (cm)]],HC[[#This Row],[a (cm)]],HC[[#This Row],[h (cm)]],HC[[#This Row],[As,lado (cm²)]],HC[[#This Row],[Asp e Asw (cm²/m)]],HC[[#This Row],[As,sup (cm²)]],HC[[#This Row],[As,malha (cm²)]],HC[[#This Row],[As,susp,tot (cm²)]],HC[[#This Row],[Asp,face (cm²)]])</f>
        <v>N.S.</v>
      </c>
      <c r="AZ35" s="4" t="str">
        <f ca="1">concretoBloco(HC[[#This Row],[nE]],HC[[#This Row],[e (cm)]],HC[[#This Row],[a (cm)]],HC[[#This Row],[h (cm)]])</f>
        <v>N.S.</v>
      </c>
      <c r="BA35" s="5">
        <f ca="1">SUM(HC[[#This Row],[Aço Est (kg)]],HC[[#This Row],[Aço Bloco (kg)]])</f>
        <v>8.8781408390447556</v>
      </c>
      <c r="BB35" s="4">
        <f>INDEX(composicoes[],MATCH(95580,composicoes[CÓDIGO],0),MATCH("CUSTO TOTAL",composicoes[#Headers],0))</f>
        <v>10.46</v>
      </c>
      <c r="BC35" s="4">
        <f ca="1">SUM(HC[[#This Row],[Conc Est (m³)]],HC[[#This Row],[Conc Bloco (m³)]])</f>
        <v>34.918802344650551</v>
      </c>
      <c r="BD35" s="4">
        <f>INDEX(composicoes[],MATCH(94966,composicoes[CÓDIGO],0),MATCH("CUSTO TOTAL",composicoes[#Headers],0))</f>
        <v>439.52</v>
      </c>
      <c r="BE35" s="38">
        <f ca="1">HC[[#This Row],[Aço (kg)]]*HC[[#This Row],[Aço (R$/kg)]]+HC[[#This Row],[Conc (m³)]]*HC[[#This Row],[Conc (R$/m³)]]</f>
        <v>15440.377359697219</v>
      </c>
      <c r="BF35" s="4" t="str">
        <f ca="1">IF(COUNTIF(HC[#This Row],"N.S.")&gt;0,"lim.","OK")</f>
        <v>lim.</v>
      </c>
      <c r="BG35" s="4" t="str">
        <f>IF(HC[[#This Row],[Prof. (m)]]&lt;4,"lim.","OK")</f>
        <v>lim.</v>
      </c>
      <c r="BH35" s="4" t="str">
        <f>IF(HC[[#This Row],[Prof. (m)]]&gt;=8*HC[[#This Row],[Ø (cm)]]/100,"OK","lim.")</f>
        <v>lim.</v>
      </c>
      <c r="BI35" s="4" t="str">
        <f ca="1">IF(HC[[#This Row],[Verif. Biela]]="OK","OK","lim.")</f>
        <v>OK</v>
      </c>
      <c r="BJ35" s="4" t="str">
        <f ca="1">IF(COUNTA(HC[[#This Row],[Nº Est.]:[Biela comp.]])=COUNTIF(HC[[#This Row],[Nº Est.]:[Biela comp.]],"OK"),"OK","lim.")</f>
        <v>lim.</v>
      </c>
      <c r="BK35" s="4" t="str">
        <f ca="1">IF(HC[[#This Row],[Controle]]="OK",HC[[#This Row],[nE]]&amp;" Ø"&amp;HC[[#This Row],[Ø (cm)]]&amp;"cm Prof. "&amp;HC[[#This Row],[Prof. (m)]]&amp;" m","")</f>
        <v/>
      </c>
      <c r="BL35" s="4" t="str">
        <f ca="1">IF(HC[[#This Row],[idDimensionamento]]="","",HC[[#This Row],[idPilar]]&amp;HC[[#This Row],[idDimensionamento]])</f>
        <v/>
      </c>
    </row>
    <row r="36" spans="2:64" x14ac:dyDescent="0.25">
      <c r="B36" s="12">
        <f>ROUNDUP((ROW(HC[[#This Row],[idDiâmetro]])-ROW(HC[[#Headers],[idDiâmetro]]))/(COUNT(SPT[Prof. (m)])*COUNT(PILARES[Pilar])),0)</f>
        <v>2</v>
      </c>
      <c r="C36" s="12">
        <f>IF(HC[[#This Row],[idDiâmetro]]&lt;&gt;B35,1,IF(HC[[#This Row],[Prof. (m)]]=0,C35+1,C35))</f>
        <v>1</v>
      </c>
      <c r="D36" s="1">
        <f>IFERROR(IF(D35=MAX(SPT[Prof. (m)]),0,D35+1),0)</f>
        <v>3</v>
      </c>
      <c r="E36" s="1">
        <f>INDEX(SPT[],MATCH(HC[[#This Row],[Prof. (m)]],SPT[Prof. (m)],0),2)</f>
        <v>4</v>
      </c>
      <c r="F36" s="1" t="str">
        <f>INDEX(SPT[],MATCH(HC[[#This Row],[Prof. (m)]],SPT[Prof. (m)],0),3)</f>
        <v>Areia siltosa</v>
      </c>
      <c r="G36" s="1">
        <f>INDEX(estacas[],HC[[#This Row],[idDiâmetro]],MATCH($B$2,estacas[#Headers],0))</f>
        <v>30</v>
      </c>
      <c r="H36" s="1">
        <f>INDEX(estacas[],MATCH(HC[[#This Row],[Ø (cm)]],estacas[Ø HC (cm)],0),MATCH(HC[[#Headers],[Pe HC (kN)]],estacas[#Headers],0))</f>
        <v>450</v>
      </c>
      <c r="I36" s="4">
        <f>INDEX(K_alpha_C[],MATCH(HC[[#This Row],[Solo]],K_alpha_C[Solo],0),2)</f>
        <v>0.8</v>
      </c>
      <c r="J36" s="5">
        <f>INDEX(K_alpha_C[],MATCH(HC[[#This Row],[Solo]],K_alpha_C[Solo],0),3)</f>
        <v>2</v>
      </c>
      <c r="K36" s="4">
        <f>INDEX(F1_F2[],MATCH($D$2,F1_F2[Tipo de estaca],0),2)</f>
        <v>2</v>
      </c>
      <c r="L36" s="4">
        <f>INDEX(F1_F2[],MATCH($D$2,F1_F2[Tipo de estaca],0),3)</f>
        <v>4</v>
      </c>
      <c r="M36" s="4">
        <f>PI()*(HC[[#This Row],[Ø (cm)]]/100)^2/4</f>
        <v>7.0685834705770348E-2</v>
      </c>
      <c r="N36" s="4">
        <f>PI()*HC[[#This Row],[Ø (cm)]]/100</f>
        <v>0.94247779607693782</v>
      </c>
      <c r="O36" s="4">
        <f>IF(HC[[#This Row],[Prof. (m)]]=0,0,HC[[#This Row],[α (%)]]/100*HC[[#This Row],[K (MPa)]]*1000*HC[[#This Row],[NSPT]])</f>
        <v>64</v>
      </c>
      <c r="P36" s="4">
        <f>IF(HC[[#This Row],[Prof. (m)]]=0,0,(HC[[#This Row],[K (MPa)]]*1000*HC[[#This Row],[NSPT]]/HC[[#This Row],[F1]]*HC[[#This Row],[Ap (m²)]]+HC[[#This Row],[U (m)]]/HC[[#This Row],[F2]]*SUMIFS(HC[(α∙K∙NL∙ΔL)],HC[Prof. (m)],"&lt;="&amp;HC[[#This Row],[Prof. (m)]],HC[idDiâmetro],HC[[#This Row],[idDiâmetro]],HC[idPilar],HC[[#This Row],[idPilar]]))/'DADOS CAP. CARGA'!$D$2)</f>
        <v>71.628312501847276</v>
      </c>
      <c r="Q36" s="12">
        <f>INDEX(C_alpha_beta[],MATCH(HC[[#This Row],[Solo]],C_alpha_beta[Solo],0),MATCH(HC[[#Headers],[C (kPa)]],C_alpha_beta[#Headers],0))</f>
        <v>400</v>
      </c>
      <c r="R36" s="4">
        <f>INDEX(C_alpha_beta[],MATCH(HC[[#This Row],[Solo]],C_alpha_beta[Solo],0),MATCH(HC[[#Headers],[α ESF]],C_alpha_beta[#Headers],0))</f>
        <v>0.5</v>
      </c>
      <c r="S36" s="4">
        <f>INDEX(C_alpha_beta[],MATCH(HC[[#This Row],[Solo]],C_alpha_beta[Solo],0),MATCH(HC[[#Headers],[β ESF]],C_alpha_beta[#Headers],0))</f>
        <v>0.5</v>
      </c>
      <c r="T36" s="4">
        <f>IF(HC[[#This Row],[Prof. (m)]]=0,0,10*(HC[[#This Row],[NSPT]]/3+1))</f>
        <v>23.333333333333329</v>
      </c>
      <c r="U36" s="4">
        <f>(HC[[#This Row],[α ESF]]*HC[[#This Row],[C (kPa)]]*HC[[#This Row],[NSPT]]*HC[[#This Row],[Ap (m²)]])/'DADOS CAP. CARGA'!$Q$2+(HC[[#This Row],[β ESF]]*SUMIFS(HC[10∙(NL/3+1)],HC[Prof. (m)],"&lt;="&amp;HC[[#This Row],[Prof. (m)]],HC[idDiâmetro],HC[[#This Row],[idDiâmetro]],HC[idPilar],HC[[#This Row],[idPilar]])*HC[[#This Row],[U (m)]])/'DADOS CAP. CARGA'!$S$2</f>
        <v>27.488935718910685</v>
      </c>
      <c r="V36" s="4">
        <f>IF(SPT!$M$5=1,MIN(HC[[#This Row],[Pe HC (kN)]],HC[[#This Row],[R_AV (kN)]]),IF(SPT!$M$5=2,MIN(HC[[#This Row],[Pe HC (kN)]],HC[[#This Row],[R_DC (kN)]]),MIN(HC[[#This Row],[Pe HC (kN)]],HC[[#This Row],[R_AV (kN)]],HC[[#This Row],[R_DC (kN)]])))</f>
        <v>27.488935718910685</v>
      </c>
      <c r="W36" s="4">
        <f>INDEX(PILARES[],HC[[#This Row],[idPilar]],MATCH("Carga (kN)",PILARES[#Headers],0))*1.4</f>
        <v>3500</v>
      </c>
      <c r="X36" s="12">
        <f>INDEX(PILARES[],HC[[#This Row],[idPilar]],MATCH(HC[[#Headers],[ap (cm)]],PILARES[#Headers],0))</f>
        <v>60</v>
      </c>
      <c r="Y36" s="12">
        <f>INDEX(PILARES[],HC[[#This Row],[idPilar]],MATCH(HC[[#Headers],[bp (cm)]],PILARES[#Headers],0))</f>
        <v>60</v>
      </c>
      <c r="Z36" s="4">
        <f>SQRT(HC[[#This Row],[ap (cm)]]*HC[[#This Row],[bp (cm)]])</f>
        <v>60</v>
      </c>
      <c r="AA36" s="12">
        <f>HC[[#This Row],[ap (cm)]]*HC[[#This Row],[bp (cm)]]</f>
        <v>3600</v>
      </c>
      <c r="AB36" s="12">
        <f ca="1">IF(HC[[#This Row],[Padm∙ε (kN)]]&gt;=HC[[#This Row],[Padm (kN)]],ROUNDUP(1.05*HC[[#This Row],[Nsd (kN)]]/HC[[#This Row],[Padm (kN)]],0),ROUNDUP(1.05*HC[[#This Row],[Nsd (kN)]]/HC[[#This Row],[Padm (kN)]],0)+1)</f>
        <v>134</v>
      </c>
      <c r="AC36" s="4" t="str">
        <f ca="1">IFERROR(IF(HC[[#This Row],[nE]]=1,HC[[#This Row],[Padm (kN)]],HC[[#This Row],[Padm (kN)]]*HC[[#This Row],[nE]]*INDEX(grupoEstacas[],HC[[#This Row],[nE]],MATCH("ε",grupoEstacas[#Headers],0))),"N.S.")</f>
        <v>N.S.</v>
      </c>
      <c r="AD36" s="4">
        <f ca="1">1.05*HC[[#This Row],[Nsd (kN)]]/(HC[[#This Row],[nE]]*PI()*HC[[#This Row],[Ø (cm)]]^2/4)*10</f>
        <v>0.38798966226382448</v>
      </c>
      <c r="AE36" s="4">
        <f ca="1">IF(HC[[#This Row],[σ (MPa)]]&lt;INDEX(tipoEstaca[],MATCH($D$2,tipoEstaca[TIPO DE ESTACA],0),MATCH("σmáx (MPa)",tipoEstaca[#Headers],0)),0.4%*PI()*HC[[#This Row],[Ø (cm)]]^2/4,"N.S.")</f>
        <v>2.8274333882308138</v>
      </c>
      <c r="AF36" s="1">
        <f>INDEX(tipoEstaca[],MATCH($D$2,tipoEstaca[TIPO DE ESTACA],0),MATCH(HC[[#Headers],[Comprimento (m)]],tipoEstaca[#Headers],0))</f>
        <v>4</v>
      </c>
      <c r="AG36" s="5">
        <f ca="1">HC[[#This Row],[As,mín (cm²)]]/100^2*HC[[#This Row],[Comprimento (m)]]*7850</f>
        <v>8.8781408390447556</v>
      </c>
      <c r="AH36" s="4">
        <f ca="1">HC[[#This Row],[nE]]*HC[[#This Row],[Prof. (m)]]*HC[[#This Row],[Ap (m²)]]</f>
        <v>28.415705551719679</v>
      </c>
      <c r="AI36" s="1">
        <f ca="1">IF(HC[[#This Row],[nE]]=1,0,MAX(3*HC[[#This Row],[Ø (cm)]],60))</f>
        <v>90</v>
      </c>
      <c r="AJ36" s="1">
        <f ca="1">IF(HC[[#This Row],[nE]]=1,HC[[#This Row],[Ø (cm)]]+2*10,MAX(1.5*HC[[#This Row],[Ø (cm)]],HC[[#This Row],[Ø (cm)]]+15))</f>
        <v>45</v>
      </c>
      <c r="AK36" s="1" t="str">
        <f ca="1">alturaUtil(HC[[#This Row],[nE]],HC[[#This Row],[Ø (cm)]],HC[[#This Row],[e (cm)]],HC[[#This Row],[ap,eq (cm)]])</f>
        <v>N.S.</v>
      </c>
      <c r="AL36" s="1" t="str">
        <f ca="1">IFERROR(HC[[#This Row],[d (cm)]]+arredondarParaCimaMultiplo5cm(MAX(5,SQRT(PI())/2*HC[[#This Row],[Ø (cm)]]/5)),"N.S.")</f>
        <v>N.S.</v>
      </c>
      <c r="AM36" s="5" t="str">
        <f ca="1">alpha(HC[[#This Row],[nE]],HC[[#This Row],[d (cm)]],HC[[#This Row],[e (cm)]],HC[[#This Row],[ap,eq (cm)]])</f>
        <v>N.S.</v>
      </c>
      <c r="AN36" s="35" t="str">
        <f ca="1">IFERROR(HC[[#This Row],[Nsd (kN)]]/(HC[[#This Row],[Ap (cm²)]]*SIN(HC[[#This Row],[α]])^2),"N.S.")</f>
        <v>N.S.</v>
      </c>
      <c r="AO36" s="35" t="str">
        <f ca="1">IFERROR(HC[[#This Row],[Nsd (kN)]]/(HC[[#This Row],[nE]]*PI()*HC[[#This Row],[Ø (cm)]]^2/4*SIN(HC[[#This Row],[α]])^2),"N.S.")</f>
        <v>N.S.</v>
      </c>
      <c r="AP36" s="4" t="str">
        <f ca="1">IFERROR(INDEX(grupoEstacas[],HC[[#This Row],[nE]],MATCH("coef. Blévot",grupoEstacas[#Headers],0)),"N.S.")</f>
        <v>N.S.</v>
      </c>
      <c r="AQ36" s="35" t="str">
        <f ca="1">IFERROR(HC[[#This Row],[coef. Blévot]]*0.9*INDEX(tipoEstaca[],MATCH($D$2,tipoEstaca[TIPO DE ESTACA],0),MATCH("fcd (kN/cm²)",tipoEstaca[#Headers],0)),"N.S.")</f>
        <v>N.S.</v>
      </c>
      <c r="AR36" s="1" t="str">
        <f ca="1">IF(AND(HC[[#This Row],[cd,b,pil (kN/cm²)]]&lt;=HC[[#This Row],[cd,b,lim (kN/cm²)]],HC[[#This Row],[cd,b,est (kN/cm²)]]&lt;=HC[[#This Row],[cd,b,lim (kN/cm²)]]),"OK","ERRO")</f>
        <v>OK</v>
      </c>
      <c r="AS36" s="4" t="str">
        <f ca="1">As_lado(HC[[#This Row],[nE]],HC[[#This Row],[Nsd (kN)]],HC[[#This Row],[d (cm)]],HC[[#This Row],[e (cm)]],HC[[#This Row],[ap,eq (cm)]])</f>
        <v>N.S.</v>
      </c>
      <c r="AT36" s="4" t="str">
        <f ca="1">IF(HC[[#This Row],[nE]]=1,HC[[#This Row],[As,lado (cm²)]],IF(HC[[#This Row],[nE]]=2,0.075*2*HC[a (cm)],"N.A."))</f>
        <v>N.A.</v>
      </c>
      <c r="AU36" s="4" t="str">
        <f ca="1">IFERROR(IF(HC[[#This Row],[nE]]=1,"N.A.",0.2*HC[[#This Row],[As,lado (cm²)]]),"N.S.")</f>
        <v>N.S.</v>
      </c>
      <c r="AV36" s="4" t="str">
        <f ca="1">As_malha(HC[[#This Row],[nE]],HC[[#This Row],[As,lado (cm²)]],HC[[#This Row],[Nsd (kN)]])</f>
        <v>N.S.</v>
      </c>
      <c r="AW36" s="4" t="str">
        <f ca="1">As_susp_tot(HC[[#This Row],[nE]],HC[[#This Row],[Nsd (kN)]])</f>
        <v>N.S.</v>
      </c>
      <c r="AX36" s="4" t="str">
        <f ca="1">Asp_face(HC[[#This Row],[nE]],HC[[#This Row],[As,lado (cm²)]])</f>
        <v>N.S.</v>
      </c>
      <c r="AY36" s="5" t="str">
        <f ca="1">acoBloco(HC[[#This Row],[nE]],HC[[#This Row],[e (cm)]],HC[[#This Row],[a (cm)]],HC[[#This Row],[h (cm)]],HC[[#This Row],[As,lado (cm²)]],HC[[#This Row],[Asp e Asw (cm²/m)]],HC[[#This Row],[As,sup (cm²)]],HC[[#This Row],[As,malha (cm²)]],HC[[#This Row],[As,susp,tot (cm²)]],HC[[#This Row],[Asp,face (cm²)]])</f>
        <v>N.S.</v>
      </c>
      <c r="AZ36" s="4" t="str">
        <f ca="1">concretoBloco(HC[[#This Row],[nE]],HC[[#This Row],[e (cm)]],HC[[#This Row],[a (cm)]],HC[[#This Row],[h (cm)]])</f>
        <v>N.S.</v>
      </c>
      <c r="BA36" s="5">
        <f ca="1">SUM(HC[[#This Row],[Aço Est (kg)]],HC[[#This Row],[Aço Bloco (kg)]])</f>
        <v>8.8781408390447556</v>
      </c>
      <c r="BB36" s="4">
        <f>INDEX(composicoes[],MATCH(95580,composicoes[CÓDIGO],0),MATCH("CUSTO TOTAL",composicoes[#Headers],0))</f>
        <v>10.46</v>
      </c>
      <c r="BC36" s="4">
        <f ca="1">SUM(HC[[#This Row],[Conc Est (m³)]],HC[[#This Row],[Conc Bloco (m³)]])</f>
        <v>28.415705551719679</v>
      </c>
      <c r="BD36" s="4">
        <f>INDEX(composicoes[],MATCH(94966,composicoes[CÓDIGO],0),MATCH("CUSTO TOTAL",composicoes[#Headers],0))</f>
        <v>439.52</v>
      </c>
      <c r="BE36" s="38">
        <f ca="1">HC[[#This Row],[Aço (kg)]]*HC[[#This Row],[Aço (R$/kg)]]+HC[[#This Row],[Conc (m³)]]*HC[[#This Row],[Conc (R$/m³)]]</f>
        <v>12582.136257268241</v>
      </c>
      <c r="BF36" s="4" t="str">
        <f ca="1">IF(COUNTIF(HC[#This Row],"N.S.")&gt;0,"lim.","OK")</f>
        <v>lim.</v>
      </c>
      <c r="BG36" s="4" t="str">
        <f>IF(HC[[#This Row],[Prof. (m)]]&lt;4,"lim.","OK")</f>
        <v>lim.</v>
      </c>
      <c r="BH36" s="4" t="str">
        <f>IF(HC[[#This Row],[Prof. (m)]]&gt;=8*HC[[#This Row],[Ø (cm)]]/100,"OK","lim.")</f>
        <v>OK</v>
      </c>
      <c r="BI36" s="4" t="str">
        <f ca="1">IF(HC[[#This Row],[Verif. Biela]]="OK","OK","lim.")</f>
        <v>OK</v>
      </c>
      <c r="BJ36" s="4" t="str">
        <f ca="1">IF(COUNTA(HC[[#This Row],[Nº Est.]:[Biela comp.]])=COUNTIF(HC[[#This Row],[Nº Est.]:[Biela comp.]],"OK"),"OK","lim.")</f>
        <v>lim.</v>
      </c>
      <c r="BK36" s="4" t="str">
        <f ca="1">IF(HC[[#This Row],[Controle]]="OK",HC[[#This Row],[nE]]&amp;" Ø"&amp;HC[[#This Row],[Ø (cm)]]&amp;"cm Prof. "&amp;HC[[#This Row],[Prof. (m)]]&amp;" m","")</f>
        <v/>
      </c>
      <c r="BL36" s="4" t="str">
        <f ca="1">IF(HC[[#This Row],[idDimensionamento]]="","",HC[[#This Row],[idPilar]]&amp;HC[[#This Row],[idDimensionamento]])</f>
        <v/>
      </c>
    </row>
    <row r="37" spans="2:64" x14ac:dyDescent="0.25">
      <c r="B37" s="12">
        <f>ROUNDUP((ROW(HC[[#This Row],[idDiâmetro]])-ROW(HC[[#Headers],[idDiâmetro]]))/(COUNT(SPT[Prof. (m)])*COUNT(PILARES[Pilar])),0)</f>
        <v>2</v>
      </c>
      <c r="C37" s="12">
        <f>IF(HC[[#This Row],[idDiâmetro]]&lt;&gt;B36,1,IF(HC[[#This Row],[Prof. (m)]]=0,C36+1,C36))</f>
        <v>1</v>
      </c>
      <c r="D37" s="1">
        <f>IFERROR(IF(D36=MAX(SPT[Prof. (m)]),0,D36+1),0)</f>
        <v>4</v>
      </c>
      <c r="E37" s="1">
        <f>INDEX(SPT[],MATCH(HC[[#This Row],[Prof. (m)]],SPT[Prof. (m)],0),2)</f>
        <v>8</v>
      </c>
      <c r="F37" s="1" t="str">
        <f>INDEX(SPT[],MATCH(HC[[#This Row],[Prof. (m)]],SPT[Prof. (m)],0),3)</f>
        <v>Areia siltosa</v>
      </c>
      <c r="G37" s="1">
        <f>INDEX(estacas[],HC[[#This Row],[idDiâmetro]],MATCH($B$2,estacas[#Headers],0))</f>
        <v>30</v>
      </c>
      <c r="H37" s="1">
        <f>INDEX(estacas[],MATCH(HC[[#This Row],[Ø (cm)]],estacas[Ø HC (cm)],0),MATCH(HC[[#Headers],[Pe HC (kN)]],estacas[#Headers],0))</f>
        <v>450</v>
      </c>
      <c r="I37" s="4">
        <f>INDEX(K_alpha_C[],MATCH(HC[[#This Row],[Solo]],K_alpha_C[Solo],0),2)</f>
        <v>0.8</v>
      </c>
      <c r="J37" s="5">
        <f>INDEX(K_alpha_C[],MATCH(HC[[#This Row],[Solo]],K_alpha_C[Solo],0),3)</f>
        <v>2</v>
      </c>
      <c r="K37" s="4">
        <f>INDEX(F1_F2[],MATCH($D$2,F1_F2[Tipo de estaca],0),2)</f>
        <v>2</v>
      </c>
      <c r="L37" s="4">
        <f>INDEX(F1_F2[],MATCH($D$2,F1_F2[Tipo de estaca],0),3)</f>
        <v>4</v>
      </c>
      <c r="M37" s="4">
        <f>PI()*(HC[[#This Row],[Ø (cm)]]/100)^2/4</f>
        <v>7.0685834705770348E-2</v>
      </c>
      <c r="N37" s="4">
        <f>PI()*HC[[#This Row],[Ø (cm)]]/100</f>
        <v>0.94247779607693782</v>
      </c>
      <c r="O37" s="4">
        <f>IF(HC[[#This Row],[Prof. (m)]]=0,0,HC[[#This Row],[α (%)]]/100*HC[[#This Row],[K (MPa)]]*1000*HC[[#This Row],[NSPT]])</f>
        <v>128</v>
      </c>
      <c r="P37" s="4">
        <f>IF(HC[[#This Row],[Prof. (m)]]=0,0,(HC[[#This Row],[K (MPa)]]*1000*HC[[#This Row],[NSPT]]/HC[[#This Row],[F1]]*HC[[#This Row],[Ap (m²)]]+HC[[#This Row],[U (m)]]/HC[[#This Row],[F2]]*SUMIFS(HC[(α∙K∙NL∙ΔL)],HC[Prof. (m)],"&lt;="&amp;HC[[#This Row],[Prof. (m)]],HC[idDiâmetro],HC[[#This Row],[idDiâmetro]],HC[idPilar],HC[[#This Row],[idPilar]]))/'DADOS CAP. CARGA'!$D$2)</f>
        <v>143.25662500369455</v>
      </c>
      <c r="Q37" s="12">
        <f>INDEX(C_alpha_beta[],MATCH(HC[[#This Row],[Solo]],C_alpha_beta[Solo],0),MATCH(HC[[#Headers],[C (kPa)]],C_alpha_beta[#Headers],0))</f>
        <v>400</v>
      </c>
      <c r="R37" s="4">
        <f>INDEX(C_alpha_beta[],MATCH(HC[[#This Row],[Solo]],C_alpha_beta[Solo],0),MATCH(HC[[#Headers],[α ESF]],C_alpha_beta[#Headers],0))</f>
        <v>0.5</v>
      </c>
      <c r="S37" s="4">
        <f>INDEX(C_alpha_beta[],MATCH(HC[[#This Row],[Solo]],C_alpha_beta[Solo],0),MATCH(HC[[#Headers],[β ESF]],C_alpha_beta[#Headers],0))</f>
        <v>0.5</v>
      </c>
      <c r="T37" s="4">
        <f>IF(HC[[#This Row],[Prof. (m)]]=0,0,10*(HC[[#This Row],[NSPT]]/3+1))</f>
        <v>36.666666666666664</v>
      </c>
      <c r="U37" s="4">
        <f>(HC[[#This Row],[α ESF]]*HC[[#This Row],[C (kPa)]]*HC[[#This Row],[NSPT]]*HC[[#This Row],[Ap (m²)]])/'DADOS CAP. CARGA'!$Q$2+(HC[[#This Row],[β ESF]]*SUMIFS(HC[10∙(NL/3+1)],HC[Prof. (m)],"&lt;="&amp;HC[[#This Row],[Prof. (m)]],HC[idDiâmetro],HC[[#This Row],[idDiâmetro]],HC[idPilar],HC[[#This Row],[idPilar]])*HC[[#This Row],[U (m)]])/'DADOS CAP. CARGA'!$S$2</f>
        <v>50.265482457436683</v>
      </c>
      <c r="V37" s="4">
        <f>IF(SPT!$M$5=1,MIN(HC[[#This Row],[Pe HC (kN)]],HC[[#This Row],[R_AV (kN)]]),IF(SPT!$M$5=2,MIN(HC[[#This Row],[Pe HC (kN)]],HC[[#This Row],[R_DC (kN)]]),MIN(HC[[#This Row],[Pe HC (kN)]],HC[[#This Row],[R_AV (kN)]],HC[[#This Row],[R_DC (kN)]])))</f>
        <v>50.265482457436683</v>
      </c>
      <c r="W37" s="4">
        <f>INDEX(PILARES[],HC[[#This Row],[idPilar]],MATCH("Carga (kN)",PILARES[#Headers],0))*1.4</f>
        <v>3500</v>
      </c>
      <c r="X37" s="12">
        <f>INDEX(PILARES[],HC[[#This Row],[idPilar]],MATCH(HC[[#Headers],[ap (cm)]],PILARES[#Headers],0))</f>
        <v>60</v>
      </c>
      <c r="Y37" s="12">
        <f>INDEX(PILARES[],HC[[#This Row],[idPilar]],MATCH(HC[[#Headers],[bp (cm)]],PILARES[#Headers],0))</f>
        <v>60</v>
      </c>
      <c r="Z37" s="4">
        <f>SQRT(HC[[#This Row],[ap (cm)]]*HC[[#This Row],[bp (cm)]])</f>
        <v>60</v>
      </c>
      <c r="AA37" s="12">
        <f>HC[[#This Row],[ap (cm)]]*HC[[#This Row],[bp (cm)]]</f>
        <v>3600</v>
      </c>
      <c r="AB37" s="12">
        <f ca="1">IF(HC[[#This Row],[Padm∙ε (kN)]]&gt;=HC[[#This Row],[Padm (kN)]],ROUNDUP(1.05*HC[[#This Row],[Nsd (kN)]]/HC[[#This Row],[Padm (kN)]],0),ROUNDUP(1.05*HC[[#This Row],[Nsd (kN)]]/HC[[#This Row],[Padm (kN)]],0)+1)</f>
        <v>74</v>
      </c>
      <c r="AC37" s="4" t="str">
        <f ca="1">IFERROR(IF(HC[[#This Row],[nE]]=1,HC[[#This Row],[Padm (kN)]],HC[[#This Row],[Padm (kN)]]*HC[[#This Row],[nE]]*INDEX(grupoEstacas[],HC[[#This Row],[nE]],MATCH("ε",grupoEstacas[#Headers],0))),"N.S.")</f>
        <v>N.S.</v>
      </c>
      <c r="AD37" s="4">
        <f ca="1">1.05*HC[[#This Row],[Nsd (kN)]]/(HC[[#This Row],[nE]]*PI()*HC[[#This Row],[Ø (cm)]]^2/4)*10</f>
        <v>0.7025758749101686</v>
      </c>
      <c r="AE37" s="4">
        <f ca="1">IF(HC[[#This Row],[σ (MPa)]]&lt;INDEX(tipoEstaca[],MATCH($D$2,tipoEstaca[TIPO DE ESTACA],0),MATCH("σmáx (MPa)",tipoEstaca[#Headers],0)),0.4%*PI()*HC[[#This Row],[Ø (cm)]]^2/4,"N.S.")</f>
        <v>2.8274333882308138</v>
      </c>
      <c r="AF37" s="1">
        <f>INDEX(tipoEstaca[],MATCH($D$2,tipoEstaca[TIPO DE ESTACA],0),MATCH(HC[[#Headers],[Comprimento (m)]],tipoEstaca[#Headers],0))</f>
        <v>4</v>
      </c>
      <c r="AG37" s="5">
        <f ca="1">HC[[#This Row],[As,mín (cm²)]]/100^2*HC[[#This Row],[Comprimento (m)]]*7850</f>
        <v>8.8781408390447556</v>
      </c>
      <c r="AH37" s="4">
        <f ca="1">HC[[#This Row],[nE]]*HC[[#This Row],[Prof. (m)]]*HC[[#This Row],[Ap (m²)]]</f>
        <v>20.923007072908025</v>
      </c>
      <c r="AI37" s="1">
        <f ca="1">IF(HC[[#This Row],[nE]]=1,0,MAX(3*HC[[#This Row],[Ø (cm)]],60))</f>
        <v>90</v>
      </c>
      <c r="AJ37" s="1">
        <f ca="1">IF(HC[[#This Row],[nE]]=1,HC[[#This Row],[Ø (cm)]]+2*10,MAX(1.5*HC[[#This Row],[Ø (cm)]],HC[[#This Row],[Ø (cm)]]+15))</f>
        <v>45</v>
      </c>
      <c r="AK37" s="1" t="str">
        <f ca="1">alturaUtil(HC[[#This Row],[nE]],HC[[#This Row],[Ø (cm)]],HC[[#This Row],[e (cm)]],HC[[#This Row],[ap,eq (cm)]])</f>
        <v>N.S.</v>
      </c>
      <c r="AL37" s="1" t="str">
        <f ca="1">IFERROR(HC[[#This Row],[d (cm)]]+arredondarParaCimaMultiplo5cm(MAX(5,SQRT(PI())/2*HC[[#This Row],[Ø (cm)]]/5)),"N.S.")</f>
        <v>N.S.</v>
      </c>
      <c r="AM37" s="5" t="str">
        <f ca="1">alpha(HC[[#This Row],[nE]],HC[[#This Row],[d (cm)]],HC[[#This Row],[e (cm)]],HC[[#This Row],[ap,eq (cm)]])</f>
        <v>N.S.</v>
      </c>
      <c r="AN37" s="35" t="str">
        <f ca="1">IFERROR(HC[[#This Row],[Nsd (kN)]]/(HC[[#This Row],[Ap (cm²)]]*SIN(HC[[#This Row],[α]])^2),"N.S.")</f>
        <v>N.S.</v>
      </c>
      <c r="AO37" s="35" t="str">
        <f ca="1">IFERROR(HC[[#This Row],[Nsd (kN)]]/(HC[[#This Row],[nE]]*PI()*HC[[#This Row],[Ø (cm)]]^2/4*SIN(HC[[#This Row],[α]])^2),"N.S.")</f>
        <v>N.S.</v>
      </c>
      <c r="AP37" s="4" t="str">
        <f ca="1">IFERROR(INDEX(grupoEstacas[],HC[[#This Row],[nE]],MATCH("coef. Blévot",grupoEstacas[#Headers],0)),"N.S.")</f>
        <v>N.S.</v>
      </c>
      <c r="AQ37" s="35" t="str">
        <f ca="1">IFERROR(HC[[#This Row],[coef. Blévot]]*0.9*INDEX(tipoEstaca[],MATCH($D$2,tipoEstaca[TIPO DE ESTACA],0),MATCH("fcd (kN/cm²)",tipoEstaca[#Headers],0)),"N.S.")</f>
        <v>N.S.</v>
      </c>
      <c r="AR37" s="1" t="str">
        <f ca="1">IF(AND(HC[[#This Row],[cd,b,pil (kN/cm²)]]&lt;=HC[[#This Row],[cd,b,lim (kN/cm²)]],HC[[#This Row],[cd,b,est (kN/cm²)]]&lt;=HC[[#This Row],[cd,b,lim (kN/cm²)]]),"OK","ERRO")</f>
        <v>OK</v>
      </c>
      <c r="AS37" s="4" t="str">
        <f ca="1">As_lado(HC[[#This Row],[nE]],HC[[#This Row],[Nsd (kN)]],HC[[#This Row],[d (cm)]],HC[[#This Row],[e (cm)]],HC[[#This Row],[ap,eq (cm)]])</f>
        <v>N.S.</v>
      </c>
      <c r="AT37" s="4" t="str">
        <f ca="1">IF(HC[[#This Row],[nE]]=1,HC[[#This Row],[As,lado (cm²)]],IF(HC[[#This Row],[nE]]=2,0.075*2*HC[a (cm)],"N.A."))</f>
        <v>N.A.</v>
      </c>
      <c r="AU37" s="4" t="str">
        <f ca="1">IFERROR(IF(HC[[#This Row],[nE]]=1,"N.A.",0.2*HC[[#This Row],[As,lado (cm²)]]),"N.S.")</f>
        <v>N.S.</v>
      </c>
      <c r="AV37" s="4" t="str">
        <f ca="1">As_malha(HC[[#This Row],[nE]],HC[[#This Row],[As,lado (cm²)]],HC[[#This Row],[Nsd (kN)]])</f>
        <v>N.S.</v>
      </c>
      <c r="AW37" s="4" t="str">
        <f ca="1">As_susp_tot(HC[[#This Row],[nE]],HC[[#This Row],[Nsd (kN)]])</f>
        <v>N.S.</v>
      </c>
      <c r="AX37" s="4" t="str">
        <f ca="1">Asp_face(HC[[#This Row],[nE]],HC[[#This Row],[As,lado (cm²)]])</f>
        <v>N.S.</v>
      </c>
      <c r="AY37" s="5" t="str">
        <f ca="1">acoBloco(HC[[#This Row],[nE]],HC[[#This Row],[e (cm)]],HC[[#This Row],[a (cm)]],HC[[#This Row],[h (cm)]],HC[[#This Row],[As,lado (cm²)]],HC[[#This Row],[Asp e Asw (cm²/m)]],HC[[#This Row],[As,sup (cm²)]],HC[[#This Row],[As,malha (cm²)]],HC[[#This Row],[As,susp,tot (cm²)]],HC[[#This Row],[Asp,face (cm²)]])</f>
        <v>N.S.</v>
      </c>
      <c r="AZ37" s="4" t="str">
        <f ca="1">concretoBloco(HC[[#This Row],[nE]],HC[[#This Row],[e (cm)]],HC[[#This Row],[a (cm)]],HC[[#This Row],[h (cm)]])</f>
        <v>N.S.</v>
      </c>
      <c r="BA37" s="5">
        <f ca="1">SUM(HC[[#This Row],[Aço Est (kg)]],HC[[#This Row],[Aço Bloco (kg)]])</f>
        <v>8.8781408390447556</v>
      </c>
      <c r="BB37" s="4">
        <f>INDEX(composicoes[],MATCH(95580,composicoes[CÓDIGO],0),MATCH("CUSTO TOTAL",composicoes[#Headers],0))</f>
        <v>10.46</v>
      </c>
      <c r="BC37" s="4">
        <f ca="1">SUM(HC[[#This Row],[Conc Est (m³)]],HC[[#This Row],[Conc Bloco (m³)]])</f>
        <v>20.923007072908025</v>
      </c>
      <c r="BD37" s="4">
        <f>INDEX(composicoes[],MATCH(94966,composicoes[CÓDIGO],0),MATCH("CUSTO TOTAL",composicoes[#Headers],0))</f>
        <v>439.52</v>
      </c>
      <c r="BE37" s="38">
        <f ca="1">HC[[#This Row],[Aço (kg)]]*HC[[#This Row],[Aço (R$/kg)]]+HC[[#This Row],[Conc (m³)]]*HC[[#This Row],[Conc (R$/m³)]]</f>
        <v>9288.9454218609426</v>
      </c>
      <c r="BF37" s="4" t="str">
        <f ca="1">IF(COUNTIF(HC[#This Row],"N.S.")&gt;0,"lim.","OK")</f>
        <v>lim.</v>
      </c>
      <c r="BG37" s="4" t="str">
        <f>IF(HC[[#This Row],[Prof. (m)]]&lt;4,"lim.","OK")</f>
        <v>OK</v>
      </c>
      <c r="BH37" s="4" t="str">
        <f>IF(HC[[#This Row],[Prof. (m)]]&gt;=8*HC[[#This Row],[Ø (cm)]]/100,"OK","lim.")</f>
        <v>OK</v>
      </c>
      <c r="BI37" s="4" t="str">
        <f ca="1">IF(HC[[#This Row],[Verif. Biela]]="OK","OK","lim.")</f>
        <v>OK</v>
      </c>
      <c r="BJ37" s="4" t="str">
        <f ca="1">IF(COUNTA(HC[[#This Row],[Nº Est.]:[Biela comp.]])=COUNTIF(HC[[#This Row],[Nº Est.]:[Biela comp.]],"OK"),"OK","lim.")</f>
        <v>lim.</v>
      </c>
      <c r="BK37" s="4" t="str">
        <f ca="1">IF(HC[[#This Row],[Controle]]="OK",HC[[#This Row],[nE]]&amp;" Ø"&amp;HC[[#This Row],[Ø (cm)]]&amp;"cm Prof. "&amp;HC[[#This Row],[Prof. (m)]]&amp;" m","")</f>
        <v/>
      </c>
      <c r="BL37" s="4" t="str">
        <f ca="1">IF(HC[[#This Row],[idDimensionamento]]="","",HC[[#This Row],[idPilar]]&amp;HC[[#This Row],[idDimensionamento]])</f>
        <v/>
      </c>
    </row>
    <row r="38" spans="2:64" x14ac:dyDescent="0.25">
      <c r="B38" s="12">
        <f>ROUNDUP((ROW(HC[[#This Row],[idDiâmetro]])-ROW(HC[[#Headers],[idDiâmetro]]))/(COUNT(SPT[Prof. (m)])*COUNT(PILARES[Pilar])),0)</f>
        <v>2</v>
      </c>
      <c r="C38" s="12">
        <f>IF(HC[[#This Row],[idDiâmetro]]&lt;&gt;B37,1,IF(HC[[#This Row],[Prof. (m)]]=0,C37+1,C37))</f>
        <v>1</v>
      </c>
      <c r="D38" s="1">
        <f>IFERROR(IF(D37=MAX(SPT[Prof. (m)]),0,D37+1),0)</f>
        <v>5</v>
      </c>
      <c r="E38" s="1">
        <f>INDEX(SPT[],MATCH(HC[[#This Row],[Prof. (m)]],SPT[Prof. (m)],0),2)</f>
        <v>17</v>
      </c>
      <c r="F38" s="1" t="str">
        <f>INDEX(SPT[],MATCH(HC[[#This Row],[Prof. (m)]],SPT[Prof. (m)],0),3)</f>
        <v>Areia siltosa</v>
      </c>
      <c r="G38" s="1">
        <f>INDEX(estacas[],HC[[#This Row],[idDiâmetro]],MATCH($B$2,estacas[#Headers],0))</f>
        <v>30</v>
      </c>
      <c r="H38" s="1">
        <f>INDEX(estacas[],MATCH(HC[[#This Row],[Ø (cm)]],estacas[Ø HC (cm)],0),MATCH(HC[[#Headers],[Pe HC (kN)]],estacas[#Headers],0))</f>
        <v>450</v>
      </c>
      <c r="I38" s="4">
        <f>INDEX(K_alpha_C[],MATCH(HC[[#This Row],[Solo]],K_alpha_C[Solo],0),2)</f>
        <v>0.8</v>
      </c>
      <c r="J38" s="5">
        <f>INDEX(K_alpha_C[],MATCH(HC[[#This Row],[Solo]],K_alpha_C[Solo],0),3)</f>
        <v>2</v>
      </c>
      <c r="K38" s="4">
        <f>INDEX(F1_F2[],MATCH($D$2,F1_F2[Tipo de estaca],0),2)</f>
        <v>2</v>
      </c>
      <c r="L38" s="4">
        <f>INDEX(F1_F2[],MATCH($D$2,F1_F2[Tipo de estaca],0),3)</f>
        <v>4</v>
      </c>
      <c r="M38" s="4">
        <f>PI()*(HC[[#This Row],[Ø (cm)]]/100)^2/4</f>
        <v>7.0685834705770348E-2</v>
      </c>
      <c r="N38" s="4">
        <f>PI()*HC[[#This Row],[Ø (cm)]]/100</f>
        <v>0.94247779607693782</v>
      </c>
      <c r="O38" s="4">
        <f>IF(HC[[#This Row],[Prof. (m)]]=0,0,HC[[#This Row],[α (%)]]/100*HC[[#This Row],[K (MPa)]]*1000*HC[[#This Row],[NSPT]])</f>
        <v>272</v>
      </c>
      <c r="P38" s="4">
        <f>IF(HC[[#This Row],[Prof. (m)]]=0,0,(HC[[#This Row],[K (MPa)]]*1000*HC[[#This Row],[NSPT]]/HC[[#This Row],[F1]]*HC[[#This Row],[Ap (m²)]]+HC[[#This Row],[U (m)]]/HC[[#This Row],[F2]]*SUMIFS(HC[(α∙K∙NL∙ΔL)],HC[Prof. (m)],"&lt;="&amp;HC[[#This Row],[Prof. (m)]],HC[idDiâmetro],HC[[#This Row],[idDiâmetro]],HC[idPilar],HC[[#This Row],[idPilar]]))/'DADOS CAP. CARGA'!$D$2)</f>
        <v>302.5353725406971</v>
      </c>
      <c r="Q38" s="12">
        <f>INDEX(C_alpha_beta[],MATCH(HC[[#This Row],[Solo]],C_alpha_beta[Solo],0),MATCH(HC[[#Headers],[C (kPa)]],C_alpha_beta[#Headers],0))</f>
        <v>400</v>
      </c>
      <c r="R38" s="4">
        <f>INDEX(C_alpha_beta[],MATCH(HC[[#This Row],[Solo]],C_alpha_beta[Solo],0),MATCH(HC[[#Headers],[α ESF]],C_alpha_beta[#Headers],0))</f>
        <v>0.5</v>
      </c>
      <c r="S38" s="4">
        <f>INDEX(C_alpha_beta[],MATCH(HC[[#This Row],[Solo]],C_alpha_beta[Solo],0),MATCH(HC[[#Headers],[β ESF]],C_alpha_beta[#Headers],0))</f>
        <v>0.5</v>
      </c>
      <c r="T38" s="4">
        <f>IF(HC[[#This Row],[Prof. (m)]]=0,0,10*(HC[[#This Row],[NSPT]]/3+1))</f>
        <v>66.666666666666671</v>
      </c>
      <c r="U38" s="4">
        <f>(HC[[#This Row],[α ESF]]*HC[[#This Row],[C (kPa)]]*HC[[#This Row],[NSPT]]*HC[[#This Row],[Ap (m²)]])/'DADOS CAP. CARGA'!$Q$2+(HC[[#This Row],[β ESF]]*SUMIFS(HC[10∙(NL/3+1)],HC[Prof. (m)],"&lt;="&amp;HC[[#This Row],[Prof. (m)]],HC[idDiâmetro],HC[[#This Row],[idDiâmetro]],HC[idPilar],HC[[#This Row],[idPilar]])*HC[[#This Row],[U (m)]])/'DADOS CAP. CARGA'!$S$2</f>
        <v>97.782071342982306</v>
      </c>
      <c r="V38" s="4">
        <f>IF(SPT!$M$5=1,MIN(HC[[#This Row],[Pe HC (kN)]],HC[[#This Row],[R_AV (kN)]]),IF(SPT!$M$5=2,MIN(HC[[#This Row],[Pe HC (kN)]],HC[[#This Row],[R_DC (kN)]]),MIN(HC[[#This Row],[Pe HC (kN)]],HC[[#This Row],[R_AV (kN)]],HC[[#This Row],[R_DC (kN)]])))</f>
        <v>97.782071342982306</v>
      </c>
      <c r="W38" s="4">
        <f>INDEX(PILARES[],HC[[#This Row],[idPilar]],MATCH("Carga (kN)",PILARES[#Headers],0))*1.4</f>
        <v>3500</v>
      </c>
      <c r="X38" s="12">
        <f>INDEX(PILARES[],HC[[#This Row],[idPilar]],MATCH(HC[[#Headers],[ap (cm)]],PILARES[#Headers],0))</f>
        <v>60</v>
      </c>
      <c r="Y38" s="12">
        <f>INDEX(PILARES[],HC[[#This Row],[idPilar]],MATCH(HC[[#Headers],[bp (cm)]],PILARES[#Headers],0))</f>
        <v>60</v>
      </c>
      <c r="Z38" s="4">
        <f>SQRT(HC[[#This Row],[ap (cm)]]*HC[[#This Row],[bp (cm)]])</f>
        <v>60</v>
      </c>
      <c r="AA38" s="12">
        <f>HC[[#This Row],[ap (cm)]]*HC[[#This Row],[bp (cm)]]</f>
        <v>3600</v>
      </c>
      <c r="AB38" s="12">
        <f ca="1">IF(HC[[#This Row],[Padm∙ε (kN)]]&gt;=HC[[#This Row],[Padm (kN)]],ROUNDUP(1.05*HC[[#This Row],[Nsd (kN)]]/HC[[#This Row],[Padm (kN)]],0),ROUNDUP(1.05*HC[[#This Row],[Nsd (kN)]]/HC[[#This Row],[Padm (kN)]],0)+1)</f>
        <v>38</v>
      </c>
      <c r="AC38" s="4" t="str">
        <f ca="1">IFERROR(IF(HC[[#This Row],[nE]]=1,HC[[#This Row],[Padm (kN)]],HC[[#This Row],[Padm (kN)]]*HC[[#This Row],[nE]]*INDEX(grupoEstacas[],HC[[#This Row],[nE]],MATCH("ε",grupoEstacas[#Headers],0))),"N.S.")</f>
        <v>N.S.</v>
      </c>
      <c r="AD38" s="4">
        <f ca="1">1.05*HC[[#This Row],[Nsd (kN)]]/(HC[[#This Row],[nE]]*PI()*HC[[#This Row],[Ø (cm)]]^2/4)*10</f>
        <v>1.3681740721934863</v>
      </c>
      <c r="AE38" s="4">
        <f ca="1">IF(HC[[#This Row],[σ (MPa)]]&lt;INDEX(tipoEstaca[],MATCH($D$2,tipoEstaca[TIPO DE ESTACA],0),MATCH("σmáx (MPa)",tipoEstaca[#Headers],0)),0.4%*PI()*HC[[#This Row],[Ø (cm)]]^2/4,"N.S.")</f>
        <v>2.8274333882308138</v>
      </c>
      <c r="AF38" s="1">
        <f>INDEX(tipoEstaca[],MATCH($D$2,tipoEstaca[TIPO DE ESTACA],0),MATCH(HC[[#Headers],[Comprimento (m)]],tipoEstaca[#Headers],0))</f>
        <v>4</v>
      </c>
      <c r="AG38" s="5">
        <f ca="1">HC[[#This Row],[As,mín (cm²)]]/100^2*HC[[#This Row],[Comprimento (m)]]*7850</f>
        <v>8.8781408390447556</v>
      </c>
      <c r="AH38" s="4">
        <f ca="1">HC[[#This Row],[nE]]*HC[[#This Row],[Prof. (m)]]*HC[[#This Row],[Ap (m²)]]</f>
        <v>13.430308594096367</v>
      </c>
      <c r="AI38" s="1">
        <f ca="1">IF(HC[[#This Row],[nE]]=1,0,MAX(3*HC[[#This Row],[Ø (cm)]],60))</f>
        <v>90</v>
      </c>
      <c r="AJ38" s="1">
        <f ca="1">IF(HC[[#This Row],[nE]]=1,HC[[#This Row],[Ø (cm)]]+2*10,MAX(1.5*HC[[#This Row],[Ø (cm)]],HC[[#This Row],[Ø (cm)]]+15))</f>
        <v>45</v>
      </c>
      <c r="AK38" s="1" t="str">
        <f ca="1">alturaUtil(HC[[#This Row],[nE]],HC[[#This Row],[Ø (cm)]],HC[[#This Row],[e (cm)]],HC[[#This Row],[ap,eq (cm)]])</f>
        <v>N.S.</v>
      </c>
      <c r="AL38" s="1" t="str">
        <f ca="1">IFERROR(HC[[#This Row],[d (cm)]]+arredondarParaCimaMultiplo5cm(MAX(5,SQRT(PI())/2*HC[[#This Row],[Ø (cm)]]/5)),"N.S.")</f>
        <v>N.S.</v>
      </c>
      <c r="AM38" s="5" t="str">
        <f ca="1">alpha(HC[[#This Row],[nE]],HC[[#This Row],[d (cm)]],HC[[#This Row],[e (cm)]],HC[[#This Row],[ap,eq (cm)]])</f>
        <v>N.S.</v>
      </c>
      <c r="AN38" s="35" t="str">
        <f ca="1">IFERROR(HC[[#This Row],[Nsd (kN)]]/(HC[[#This Row],[Ap (cm²)]]*SIN(HC[[#This Row],[α]])^2),"N.S.")</f>
        <v>N.S.</v>
      </c>
      <c r="AO38" s="35" t="str">
        <f ca="1">IFERROR(HC[[#This Row],[Nsd (kN)]]/(HC[[#This Row],[nE]]*PI()*HC[[#This Row],[Ø (cm)]]^2/4*SIN(HC[[#This Row],[α]])^2),"N.S.")</f>
        <v>N.S.</v>
      </c>
      <c r="AP38" s="4" t="str">
        <f ca="1">IFERROR(INDEX(grupoEstacas[],HC[[#This Row],[nE]],MATCH("coef. Blévot",grupoEstacas[#Headers],0)),"N.S.")</f>
        <v>N.S.</v>
      </c>
      <c r="AQ38" s="35" t="str">
        <f ca="1">IFERROR(HC[[#This Row],[coef. Blévot]]*0.9*INDEX(tipoEstaca[],MATCH($D$2,tipoEstaca[TIPO DE ESTACA],0),MATCH("fcd (kN/cm²)",tipoEstaca[#Headers],0)),"N.S.")</f>
        <v>N.S.</v>
      </c>
      <c r="AR38" s="1" t="str">
        <f ca="1">IF(AND(HC[[#This Row],[cd,b,pil (kN/cm²)]]&lt;=HC[[#This Row],[cd,b,lim (kN/cm²)]],HC[[#This Row],[cd,b,est (kN/cm²)]]&lt;=HC[[#This Row],[cd,b,lim (kN/cm²)]]),"OK","ERRO")</f>
        <v>OK</v>
      </c>
      <c r="AS38" s="4" t="str">
        <f ca="1">As_lado(HC[[#This Row],[nE]],HC[[#This Row],[Nsd (kN)]],HC[[#This Row],[d (cm)]],HC[[#This Row],[e (cm)]],HC[[#This Row],[ap,eq (cm)]])</f>
        <v>N.S.</v>
      </c>
      <c r="AT38" s="4" t="str">
        <f ca="1">IF(HC[[#This Row],[nE]]=1,HC[[#This Row],[As,lado (cm²)]],IF(HC[[#This Row],[nE]]=2,0.075*2*HC[a (cm)],"N.A."))</f>
        <v>N.A.</v>
      </c>
      <c r="AU38" s="4" t="str">
        <f ca="1">IFERROR(IF(HC[[#This Row],[nE]]=1,"N.A.",0.2*HC[[#This Row],[As,lado (cm²)]]),"N.S.")</f>
        <v>N.S.</v>
      </c>
      <c r="AV38" s="4" t="str">
        <f ca="1">As_malha(HC[[#This Row],[nE]],HC[[#This Row],[As,lado (cm²)]],HC[[#This Row],[Nsd (kN)]])</f>
        <v>N.S.</v>
      </c>
      <c r="AW38" s="4" t="str">
        <f ca="1">As_susp_tot(HC[[#This Row],[nE]],HC[[#This Row],[Nsd (kN)]])</f>
        <v>N.S.</v>
      </c>
      <c r="AX38" s="4" t="str">
        <f ca="1">Asp_face(HC[[#This Row],[nE]],HC[[#This Row],[As,lado (cm²)]])</f>
        <v>N.S.</v>
      </c>
      <c r="AY38" s="5" t="str">
        <f ca="1">acoBloco(HC[[#This Row],[nE]],HC[[#This Row],[e (cm)]],HC[[#This Row],[a (cm)]],HC[[#This Row],[h (cm)]],HC[[#This Row],[As,lado (cm²)]],HC[[#This Row],[Asp e Asw (cm²/m)]],HC[[#This Row],[As,sup (cm²)]],HC[[#This Row],[As,malha (cm²)]],HC[[#This Row],[As,susp,tot (cm²)]],HC[[#This Row],[Asp,face (cm²)]])</f>
        <v>N.S.</v>
      </c>
      <c r="AZ38" s="4" t="str">
        <f ca="1">concretoBloco(HC[[#This Row],[nE]],HC[[#This Row],[e (cm)]],HC[[#This Row],[a (cm)]],HC[[#This Row],[h (cm)]])</f>
        <v>N.S.</v>
      </c>
      <c r="BA38" s="5">
        <f ca="1">SUM(HC[[#This Row],[Aço Est (kg)]],HC[[#This Row],[Aço Bloco (kg)]])</f>
        <v>8.8781408390447556</v>
      </c>
      <c r="BB38" s="4">
        <f>INDEX(composicoes[],MATCH(95580,composicoes[CÓDIGO],0),MATCH("CUSTO TOTAL",composicoes[#Headers],0))</f>
        <v>10.46</v>
      </c>
      <c r="BC38" s="4">
        <f ca="1">SUM(HC[[#This Row],[Conc Est (m³)]],HC[[#This Row],[Conc Bloco (m³)]])</f>
        <v>13.430308594096367</v>
      </c>
      <c r="BD38" s="4">
        <f>INDEX(composicoes[],MATCH(94966,composicoes[CÓDIGO],0),MATCH("CUSTO TOTAL",composicoes[#Headers],0))</f>
        <v>439.52</v>
      </c>
      <c r="BE38" s="38">
        <f ca="1">HC[[#This Row],[Aço (kg)]]*HC[[#This Row],[Aço (R$/kg)]]+HC[[#This Row],[Conc (m³)]]*HC[[#This Row],[Conc (R$/m³)]]</f>
        <v>5995.7545864536432</v>
      </c>
      <c r="BF38" s="4" t="str">
        <f ca="1">IF(COUNTIF(HC[#This Row],"N.S.")&gt;0,"lim.","OK")</f>
        <v>lim.</v>
      </c>
      <c r="BG38" s="4" t="str">
        <f>IF(HC[[#This Row],[Prof. (m)]]&lt;4,"lim.","OK")</f>
        <v>OK</v>
      </c>
      <c r="BH38" s="4" t="str">
        <f>IF(HC[[#This Row],[Prof. (m)]]&gt;=8*HC[[#This Row],[Ø (cm)]]/100,"OK","lim.")</f>
        <v>OK</v>
      </c>
      <c r="BI38" s="4" t="str">
        <f ca="1">IF(HC[[#This Row],[Verif. Biela]]="OK","OK","lim.")</f>
        <v>OK</v>
      </c>
      <c r="BJ38" s="4" t="str">
        <f ca="1">IF(COUNTA(HC[[#This Row],[Nº Est.]:[Biela comp.]])=COUNTIF(HC[[#This Row],[Nº Est.]:[Biela comp.]],"OK"),"OK","lim.")</f>
        <v>lim.</v>
      </c>
      <c r="BK38" s="4" t="str">
        <f ca="1">IF(HC[[#This Row],[Controle]]="OK",HC[[#This Row],[nE]]&amp;" Ø"&amp;HC[[#This Row],[Ø (cm)]]&amp;"cm Prof. "&amp;HC[[#This Row],[Prof. (m)]]&amp;" m","")</f>
        <v/>
      </c>
      <c r="BL38" s="4" t="str">
        <f ca="1">IF(HC[[#This Row],[idDimensionamento]]="","",HC[[#This Row],[idPilar]]&amp;HC[[#This Row],[idDimensionamento]])</f>
        <v/>
      </c>
    </row>
    <row r="39" spans="2:64" x14ac:dyDescent="0.25">
      <c r="B39" s="12">
        <f>ROUNDUP((ROW(HC[[#This Row],[idDiâmetro]])-ROW(HC[[#Headers],[idDiâmetro]]))/(COUNT(SPT[Prof. (m)])*COUNT(PILARES[Pilar])),0)</f>
        <v>2</v>
      </c>
      <c r="C39" s="12">
        <f>IF(HC[[#This Row],[idDiâmetro]]&lt;&gt;B38,1,IF(HC[[#This Row],[Prof. (m)]]=0,C38+1,C38))</f>
        <v>1</v>
      </c>
      <c r="D39" s="1">
        <f>IFERROR(IF(D38=MAX(SPT[Prof. (m)]),0,D38+1),0)</f>
        <v>6</v>
      </c>
      <c r="E39" s="1">
        <f>INDEX(SPT[],MATCH(HC[[#This Row],[Prof. (m)]],SPT[Prof. (m)],0),2)</f>
        <v>21</v>
      </c>
      <c r="F39" s="1" t="str">
        <f>INDEX(SPT[],MATCH(HC[[#This Row],[Prof. (m)]],SPT[Prof. (m)],0),3)</f>
        <v>Silte arenoso</v>
      </c>
      <c r="G39" s="1">
        <f>INDEX(estacas[],HC[[#This Row],[idDiâmetro]],MATCH($B$2,estacas[#Headers],0))</f>
        <v>30</v>
      </c>
      <c r="H39" s="1">
        <f>INDEX(estacas[],MATCH(HC[[#This Row],[Ø (cm)]],estacas[Ø HC (cm)],0),MATCH(HC[[#Headers],[Pe HC (kN)]],estacas[#Headers],0))</f>
        <v>450</v>
      </c>
      <c r="I39" s="4">
        <f>INDEX(K_alpha_C[],MATCH(HC[[#This Row],[Solo]],K_alpha_C[Solo],0),2)</f>
        <v>0.55000000000000004</v>
      </c>
      <c r="J39" s="5">
        <f>INDEX(K_alpha_C[],MATCH(HC[[#This Row],[Solo]],K_alpha_C[Solo],0),3)</f>
        <v>2.2000000000000002</v>
      </c>
      <c r="K39" s="4">
        <f>INDEX(F1_F2[],MATCH($D$2,F1_F2[Tipo de estaca],0),2)</f>
        <v>2</v>
      </c>
      <c r="L39" s="4">
        <f>INDEX(F1_F2[],MATCH($D$2,F1_F2[Tipo de estaca],0),3)</f>
        <v>4</v>
      </c>
      <c r="M39" s="4">
        <f>PI()*(HC[[#This Row],[Ø (cm)]]/100)^2/4</f>
        <v>7.0685834705770348E-2</v>
      </c>
      <c r="N39" s="4">
        <f>PI()*HC[[#This Row],[Ø (cm)]]/100</f>
        <v>0.94247779607693782</v>
      </c>
      <c r="O39" s="4">
        <f>IF(HC[[#This Row],[Prof. (m)]]=0,0,HC[[#This Row],[α (%)]]/100*HC[[#This Row],[K (MPa)]]*1000*HC[[#This Row],[NSPT]])</f>
        <v>254.10000000000002</v>
      </c>
      <c r="P39" s="4">
        <f>IF(HC[[#This Row],[Prof. (m)]]=0,0,(HC[[#This Row],[K (MPa)]]*1000*HC[[#This Row],[NSPT]]/HC[[#This Row],[F1]]*HC[[#This Row],[Ap (m²)]]+HC[[#This Row],[U (m)]]/HC[[#This Row],[F2]]*SUMIFS(HC[(α∙K∙NL∙ΔL)],HC[Prof. (m)],"&lt;="&amp;HC[[#This Row],[Prof. (m)]],HC[idDiâmetro],HC[[#This Row],[idDiâmetro]],HC[idPilar],HC[[#This Row],[idPilar]]))/'DADOS CAP. CARGA'!$D$2)</f>
        <v>296.24433325188352</v>
      </c>
      <c r="Q39" s="12">
        <f>INDEX(C_alpha_beta[],MATCH(HC[[#This Row],[Solo]],C_alpha_beta[Solo],0),MATCH(HC[[#Headers],[C (kPa)]],C_alpha_beta[#Headers],0))</f>
        <v>250</v>
      </c>
      <c r="R39" s="4">
        <f>INDEX(C_alpha_beta[],MATCH(HC[[#This Row],[Solo]],C_alpha_beta[Solo],0),MATCH(HC[[#Headers],[α ESF]],C_alpha_beta[#Headers],0))</f>
        <v>0.6</v>
      </c>
      <c r="S39" s="4">
        <f>INDEX(C_alpha_beta[],MATCH(HC[[#This Row],[Solo]],C_alpha_beta[Solo],0),MATCH(HC[[#Headers],[β ESF]],C_alpha_beta[#Headers],0))</f>
        <v>0.65</v>
      </c>
      <c r="T39" s="4">
        <f>IF(HC[[#This Row],[Prof. (m)]]=0,0,10*(HC[[#This Row],[NSPT]]/3+1))</f>
        <v>80</v>
      </c>
      <c r="U39" s="4">
        <f>(HC[[#This Row],[α ESF]]*HC[[#This Row],[C (kPa)]]*HC[[#This Row],[NSPT]]*HC[[#This Row],[Ap (m²)]])/'DADOS CAP. CARGA'!$Q$2+(HC[[#This Row],[β ESF]]*SUMIFS(HC[10∙(NL/3+1)],HC[Prof. (m)],"&lt;="&amp;HC[[#This Row],[Prof. (m)]],HC[idDiâmetro],HC[[#This Row],[idDiâmetro]],HC[idPilar],HC[[#This Row],[idPilar]])*HC[[#This Row],[U (m)]])/'DADOS CAP. CARGA'!$S$2</f>
        <v>129.17836292479529</v>
      </c>
      <c r="V39" s="4">
        <f>IF(SPT!$M$5=1,MIN(HC[[#This Row],[Pe HC (kN)]],HC[[#This Row],[R_AV (kN)]]),IF(SPT!$M$5=2,MIN(HC[[#This Row],[Pe HC (kN)]],HC[[#This Row],[R_DC (kN)]]),MIN(HC[[#This Row],[Pe HC (kN)]],HC[[#This Row],[R_AV (kN)]],HC[[#This Row],[R_DC (kN)]])))</f>
        <v>129.17836292479529</v>
      </c>
      <c r="W39" s="4">
        <f>INDEX(PILARES[],HC[[#This Row],[idPilar]],MATCH("Carga (kN)",PILARES[#Headers],0))*1.4</f>
        <v>3500</v>
      </c>
      <c r="X39" s="12">
        <f>INDEX(PILARES[],HC[[#This Row],[idPilar]],MATCH(HC[[#Headers],[ap (cm)]],PILARES[#Headers],0))</f>
        <v>60</v>
      </c>
      <c r="Y39" s="12">
        <f>INDEX(PILARES[],HC[[#This Row],[idPilar]],MATCH(HC[[#Headers],[bp (cm)]],PILARES[#Headers],0))</f>
        <v>60</v>
      </c>
      <c r="Z39" s="4">
        <f>SQRT(HC[[#This Row],[ap (cm)]]*HC[[#This Row],[bp (cm)]])</f>
        <v>60</v>
      </c>
      <c r="AA39" s="12">
        <f>HC[[#This Row],[ap (cm)]]*HC[[#This Row],[bp (cm)]]</f>
        <v>3600</v>
      </c>
      <c r="AB39" s="12">
        <f ca="1">IF(HC[[#This Row],[Padm∙ε (kN)]]&gt;=HC[[#This Row],[Padm (kN)]],ROUNDUP(1.05*HC[[#This Row],[Nsd (kN)]]/HC[[#This Row],[Padm (kN)]],0),ROUNDUP(1.05*HC[[#This Row],[Nsd (kN)]]/HC[[#This Row],[Padm (kN)]],0)+1)</f>
        <v>29</v>
      </c>
      <c r="AC39" s="4" t="str">
        <f ca="1">IFERROR(IF(HC[[#This Row],[nE]]=1,HC[[#This Row],[Padm (kN)]],HC[[#This Row],[Padm (kN)]]*HC[[#This Row],[nE]]*INDEX(grupoEstacas[],HC[[#This Row],[nE]],MATCH("ε",grupoEstacas[#Headers],0))),"N.S.")</f>
        <v>N.S.</v>
      </c>
      <c r="AD39" s="4">
        <f ca="1">1.05*HC[[#This Row],[Nsd (kN)]]/(HC[[#This Row],[nE]]*PI()*HC[[#This Row],[Ø (cm)]]^2/4)*10</f>
        <v>1.7927798187362922</v>
      </c>
      <c r="AE39" s="4">
        <f ca="1">IF(HC[[#This Row],[σ (MPa)]]&lt;INDEX(tipoEstaca[],MATCH($D$2,tipoEstaca[TIPO DE ESTACA],0),MATCH("σmáx (MPa)",tipoEstaca[#Headers],0)),0.4%*PI()*HC[[#This Row],[Ø (cm)]]^2/4,"N.S.")</f>
        <v>2.8274333882308138</v>
      </c>
      <c r="AF39" s="1">
        <f>INDEX(tipoEstaca[],MATCH($D$2,tipoEstaca[TIPO DE ESTACA],0),MATCH(HC[[#Headers],[Comprimento (m)]],tipoEstaca[#Headers],0))</f>
        <v>4</v>
      </c>
      <c r="AG39" s="5">
        <f ca="1">HC[[#This Row],[As,mín (cm²)]]/100^2*HC[[#This Row],[Comprimento (m)]]*7850</f>
        <v>8.8781408390447556</v>
      </c>
      <c r="AH39" s="4">
        <f ca="1">HC[[#This Row],[nE]]*HC[[#This Row],[Prof. (m)]]*HC[[#This Row],[Ap (m²)]]</f>
        <v>12.299335238804041</v>
      </c>
      <c r="AI39" s="1">
        <f ca="1">IF(HC[[#This Row],[nE]]=1,0,MAX(3*HC[[#This Row],[Ø (cm)]],60))</f>
        <v>90</v>
      </c>
      <c r="AJ39" s="1">
        <f ca="1">IF(HC[[#This Row],[nE]]=1,HC[[#This Row],[Ø (cm)]]+2*10,MAX(1.5*HC[[#This Row],[Ø (cm)]],HC[[#This Row],[Ø (cm)]]+15))</f>
        <v>45</v>
      </c>
      <c r="AK39" s="1" t="str">
        <f ca="1">alturaUtil(HC[[#This Row],[nE]],HC[[#This Row],[Ø (cm)]],HC[[#This Row],[e (cm)]],HC[[#This Row],[ap,eq (cm)]])</f>
        <v>N.S.</v>
      </c>
      <c r="AL39" s="1" t="str">
        <f ca="1">IFERROR(HC[[#This Row],[d (cm)]]+arredondarParaCimaMultiplo5cm(MAX(5,SQRT(PI())/2*HC[[#This Row],[Ø (cm)]]/5)),"N.S.")</f>
        <v>N.S.</v>
      </c>
      <c r="AM39" s="5" t="str">
        <f ca="1">alpha(HC[[#This Row],[nE]],HC[[#This Row],[d (cm)]],HC[[#This Row],[e (cm)]],HC[[#This Row],[ap,eq (cm)]])</f>
        <v>N.S.</v>
      </c>
      <c r="AN39" s="35" t="str">
        <f ca="1">IFERROR(HC[[#This Row],[Nsd (kN)]]/(HC[[#This Row],[Ap (cm²)]]*SIN(HC[[#This Row],[α]])^2),"N.S.")</f>
        <v>N.S.</v>
      </c>
      <c r="AO39" s="35" t="str">
        <f ca="1">IFERROR(HC[[#This Row],[Nsd (kN)]]/(HC[[#This Row],[nE]]*PI()*HC[[#This Row],[Ø (cm)]]^2/4*SIN(HC[[#This Row],[α]])^2),"N.S.")</f>
        <v>N.S.</v>
      </c>
      <c r="AP39" s="4" t="str">
        <f ca="1">IFERROR(INDEX(grupoEstacas[],HC[[#This Row],[nE]],MATCH("coef. Blévot",grupoEstacas[#Headers],0)),"N.S.")</f>
        <v>N.S.</v>
      </c>
      <c r="AQ39" s="35" t="str">
        <f ca="1">IFERROR(HC[[#This Row],[coef. Blévot]]*0.9*INDEX(tipoEstaca[],MATCH($D$2,tipoEstaca[TIPO DE ESTACA],0),MATCH("fcd (kN/cm²)",tipoEstaca[#Headers],0)),"N.S.")</f>
        <v>N.S.</v>
      </c>
      <c r="AR39" s="1" t="str">
        <f ca="1">IF(AND(HC[[#This Row],[cd,b,pil (kN/cm²)]]&lt;=HC[[#This Row],[cd,b,lim (kN/cm²)]],HC[[#This Row],[cd,b,est (kN/cm²)]]&lt;=HC[[#This Row],[cd,b,lim (kN/cm²)]]),"OK","ERRO")</f>
        <v>OK</v>
      </c>
      <c r="AS39" s="4" t="str">
        <f ca="1">As_lado(HC[[#This Row],[nE]],HC[[#This Row],[Nsd (kN)]],HC[[#This Row],[d (cm)]],HC[[#This Row],[e (cm)]],HC[[#This Row],[ap,eq (cm)]])</f>
        <v>N.S.</v>
      </c>
      <c r="AT39" s="4" t="str">
        <f ca="1">IF(HC[[#This Row],[nE]]=1,HC[[#This Row],[As,lado (cm²)]],IF(HC[[#This Row],[nE]]=2,0.075*2*HC[a (cm)],"N.A."))</f>
        <v>N.A.</v>
      </c>
      <c r="AU39" s="4" t="str">
        <f ca="1">IFERROR(IF(HC[[#This Row],[nE]]=1,"N.A.",0.2*HC[[#This Row],[As,lado (cm²)]]),"N.S.")</f>
        <v>N.S.</v>
      </c>
      <c r="AV39" s="4" t="str">
        <f ca="1">As_malha(HC[[#This Row],[nE]],HC[[#This Row],[As,lado (cm²)]],HC[[#This Row],[Nsd (kN)]])</f>
        <v>N.S.</v>
      </c>
      <c r="AW39" s="4" t="str">
        <f ca="1">As_susp_tot(HC[[#This Row],[nE]],HC[[#This Row],[Nsd (kN)]])</f>
        <v>N.S.</v>
      </c>
      <c r="AX39" s="4" t="str">
        <f ca="1">Asp_face(HC[[#This Row],[nE]],HC[[#This Row],[As,lado (cm²)]])</f>
        <v>N.S.</v>
      </c>
      <c r="AY39" s="5" t="str">
        <f ca="1">acoBloco(HC[[#This Row],[nE]],HC[[#This Row],[e (cm)]],HC[[#This Row],[a (cm)]],HC[[#This Row],[h (cm)]],HC[[#This Row],[As,lado (cm²)]],HC[[#This Row],[Asp e Asw (cm²/m)]],HC[[#This Row],[As,sup (cm²)]],HC[[#This Row],[As,malha (cm²)]],HC[[#This Row],[As,susp,tot (cm²)]],HC[[#This Row],[Asp,face (cm²)]])</f>
        <v>N.S.</v>
      </c>
      <c r="AZ39" s="4" t="str">
        <f ca="1">concretoBloco(HC[[#This Row],[nE]],HC[[#This Row],[e (cm)]],HC[[#This Row],[a (cm)]],HC[[#This Row],[h (cm)]])</f>
        <v>N.S.</v>
      </c>
      <c r="BA39" s="5">
        <f ca="1">SUM(HC[[#This Row],[Aço Est (kg)]],HC[[#This Row],[Aço Bloco (kg)]])</f>
        <v>8.8781408390447556</v>
      </c>
      <c r="BB39" s="4">
        <f>INDEX(composicoes[],MATCH(95580,composicoes[CÓDIGO],0),MATCH("CUSTO TOTAL",composicoes[#Headers],0))</f>
        <v>10.46</v>
      </c>
      <c r="BC39" s="4">
        <f ca="1">SUM(HC[[#This Row],[Conc Est (m³)]],HC[[#This Row],[Conc Bloco (m³)]])</f>
        <v>12.299335238804041</v>
      </c>
      <c r="BD39" s="4">
        <f>INDEX(composicoes[],MATCH(94966,composicoes[CÓDIGO],0),MATCH("CUSTO TOTAL",composicoes[#Headers],0))</f>
        <v>439.52</v>
      </c>
      <c r="BE39" s="38">
        <f ca="1">HC[[#This Row],[Aço (kg)]]*HC[[#This Row],[Aço (R$/kg)]]+HC[[#This Row],[Conc (m³)]]*HC[[#This Row],[Conc (R$/m³)]]</f>
        <v>5498.6691773355606</v>
      </c>
      <c r="BF39" s="4" t="str">
        <f ca="1">IF(COUNTIF(HC[#This Row],"N.S.")&gt;0,"lim.","OK")</f>
        <v>lim.</v>
      </c>
      <c r="BG39" s="4" t="str">
        <f>IF(HC[[#This Row],[Prof. (m)]]&lt;4,"lim.","OK")</f>
        <v>OK</v>
      </c>
      <c r="BH39" s="4" t="str">
        <f>IF(HC[[#This Row],[Prof. (m)]]&gt;=8*HC[[#This Row],[Ø (cm)]]/100,"OK","lim.")</f>
        <v>OK</v>
      </c>
      <c r="BI39" s="4" t="str">
        <f ca="1">IF(HC[[#This Row],[Verif. Biela]]="OK","OK","lim.")</f>
        <v>OK</v>
      </c>
      <c r="BJ39" s="4" t="str">
        <f ca="1">IF(COUNTA(HC[[#This Row],[Nº Est.]:[Biela comp.]])=COUNTIF(HC[[#This Row],[Nº Est.]:[Biela comp.]],"OK"),"OK","lim.")</f>
        <v>lim.</v>
      </c>
      <c r="BK39" s="4" t="str">
        <f ca="1">IF(HC[[#This Row],[Controle]]="OK",HC[[#This Row],[nE]]&amp;" Ø"&amp;HC[[#This Row],[Ø (cm)]]&amp;"cm Prof. "&amp;HC[[#This Row],[Prof. (m)]]&amp;" m","")</f>
        <v/>
      </c>
      <c r="BL39" s="4" t="str">
        <f ca="1">IF(HC[[#This Row],[idDimensionamento]]="","",HC[[#This Row],[idPilar]]&amp;HC[[#This Row],[idDimensionamento]])</f>
        <v/>
      </c>
    </row>
    <row r="40" spans="2:64" x14ac:dyDescent="0.25">
      <c r="B40" s="12">
        <f>ROUNDUP((ROW(HC[[#This Row],[idDiâmetro]])-ROW(HC[[#Headers],[idDiâmetro]]))/(COUNT(SPT[Prof. (m)])*COUNT(PILARES[Pilar])),0)</f>
        <v>2</v>
      </c>
      <c r="C40" s="12">
        <f>IF(HC[[#This Row],[idDiâmetro]]&lt;&gt;B39,1,IF(HC[[#This Row],[Prof. (m)]]=0,C39+1,C39))</f>
        <v>1</v>
      </c>
      <c r="D40" s="1">
        <f>IFERROR(IF(D39=MAX(SPT[Prof. (m)]),0,D39+1),0)</f>
        <v>7</v>
      </c>
      <c r="E40" s="1">
        <f>INDEX(SPT[],MATCH(HC[[#This Row],[Prof. (m)]],SPT[Prof. (m)],0),2)</f>
        <v>8</v>
      </c>
      <c r="F40" s="1" t="str">
        <f>INDEX(SPT[],MATCH(HC[[#This Row],[Prof. (m)]],SPT[Prof. (m)],0),3)</f>
        <v>Silte arenoso</v>
      </c>
      <c r="G40" s="1">
        <f>INDEX(estacas[],HC[[#This Row],[idDiâmetro]],MATCH($B$2,estacas[#Headers],0))</f>
        <v>30</v>
      </c>
      <c r="H40" s="1">
        <f>INDEX(estacas[],MATCH(HC[[#This Row],[Ø (cm)]],estacas[Ø HC (cm)],0),MATCH(HC[[#Headers],[Pe HC (kN)]],estacas[#Headers],0))</f>
        <v>450</v>
      </c>
      <c r="I40" s="4">
        <f>INDEX(K_alpha_C[],MATCH(HC[[#This Row],[Solo]],K_alpha_C[Solo],0),2)</f>
        <v>0.55000000000000004</v>
      </c>
      <c r="J40" s="5">
        <f>INDEX(K_alpha_C[],MATCH(HC[[#This Row],[Solo]],K_alpha_C[Solo],0),3)</f>
        <v>2.2000000000000002</v>
      </c>
      <c r="K40" s="4">
        <f>INDEX(F1_F2[],MATCH($D$2,F1_F2[Tipo de estaca],0),2)</f>
        <v>2</v>
      </c>
      <c r="L40" s="4">
        <f>INDEX(F1_F2[],MATCH($D$2,F1_F2[Tipo de estaca],0),3)</f>
        <v>4</v>
      </c>
      <c r="M40" s="4">
        <f>PI()*(HC[[#This Row],[Ø (cm)]]/100)^2/4</f>
        <v>7.0685834705770348E-2</v>
      </c>
      <c r="N40" s="4">
        <f>PI()*HC[[#This Row],[Ø (cm)]]/100</f>
        <v>0.94247779607693782</v>
      </c>
      <c r="O40" s="4">
        <f>IF(HC[[#This Row],[Prof. (m)]]=0,0,HC[[#This Row],[α (%)]]/100*HC[[#This Row],[K (MPa)]]*1000*HC[[#This Row],[NSPT]])</f>
        <v>96.800000000000011</v>
      </c>
      <c r="P40" s="4">
        <f>IF(HC[[#This Row],[Prof. (m)]]=0,0,(HC[[#This Row],[K (MPa)]]*1000*HC[[#This Row],[NSPT]]/HC[[#This Row],[F1]]*HC[[#This Row],[Ap (m²)]]+HC[[#This Row],[U (m)]]/HC[[#This Row],[F2]]*SUMIFS(HC[(α∙K∙NL∙ΔL)],HC[Prof. (m)],"&lt;="&amp;HC[[#This Row],[Prof. (m)]],HC[idDiâmetro],HC[[#This Row],[idDiâmetro]],HC[idPilar],HC[[#This Row],[idPilar]]))/'DADOS CAP. CARGA'!$D$2)</f>
        <v>181.29738504784996</v>
      </c>
      <c r="Q40" s="12">
        <f>INDEX(C_alpha_beta[],MATCH(HC[[#This Row],[Solo]],C_alpha_beta[Solo],0),MATCH(HC[[#Headers],[C (kPa)]],C_alpha_beta[#Headers],0))</f>
        <v>250</v>
      </c>
      <c r="R40" s="4">
        <f>INDEX(C_alpha_beta[],MATCH(HC[[#This Row],[Solo]],C_alpha_beta[Solo],0),MATCH(HC[[#Headers],[α ESF]],C_alpha_beta[#Headers],0))</f>
        <v>0.6</v>
      </c>
      <c r="S40" s="4">
        <f>INDEX(C_alpha_beta[],MATCH(HC[[#This Row],[Solo]],C_alpha_beta[Solo],0),MATCH(HC[[#Headers],[β ESF]],C_alpha_beta[#Headers],0))</f>
        <v>0.65</v>
      </c>
      <c r="T40" s="4">
        <f>IF(HC[[#This Row],[Prof. (m)]]=0,0,10*(HC[[#This Row],[NSPT]]/3+1))</f>
        <v>36.666666666666664</v>
      </c>
      <c r="U40" s="4">
        <f>(HC[[#This Row],[α ESF]]*HC[[#This Row],[C (kPa)]]*HC[[#This Row],[NSPT]]*HC[[#This Row],[Ap (m²)]])/'DADOS CAP. CARGA'!$Q$2+(HC[[#This Row],[β ESF]]*SUMIFS(HC[10∙(NL/3+1)],HC[Prof. (m)],"&lt;="&amp;HC[[#This Row],[Prof. (m)]],HC[idDiâmetro],HC[[#This Row],[idDiâmetro]],HC[idPilar],HC[[#This Row],[idPilar]])*HC[[#This Row],[U (m)]])/'DADOS CAP. CARGA'!$S$2</f>
        <v>105.95021224231577</v>
      </c>
      <c r="V40" s="4">
        <f>IF(SPT!$M$5=1,MIN(HC[[#This Row],[Pe HC (kN)]],HC[[#This Row],[R_AV (kN)]]),IF(SPT!$M$5=2,MIN(HC[[#This Row],[Pe HC (kN)]],HC[[#This Row],[R_DC (kN)]]),MIN(HC[[#This Row],[Pe HC (kN)]],HC[[#This Row],[R_AV (kN)]],HC[[#This Row],[R_DC (kN)]])))</f>
        <v>105.95021224231577</v>
      </c>
      <c r="W40" s="4">
        <f>INDEX(PILARES[],HC[[#This Row],[idPilar]],MATCH("Carga (kN)",PILARES[#Headers],0))*1.4</f>
        <v>3500</v>
      </c>
      <c r="X40" s="12">
        <f>INDEX(PILARES[],HC[[#This Row],[idPilar]],MATCH(HC[[#Headers],[ap (cm)]],PILARES[#Headers],0))</f>
        <v>60</v>
      </c>
      <c r="Y40" s="12">
        <f>INDEX(PILARES[],HC[[#This Row],[idPilar]],MATCH(HC[[#Headers],[bp (cm)]],PILARES[#Headers],0))</f>
        <v>60</v>
      </c>
      <c r="Z40" s="4">
        <f>SQRT(HC[[#This Row],[ap (cm)]]*HC[[#This Row],[bp (cm)]])</f>
        <v>60</v>
      </c>
      <c r="AA40" s="12">
        <f>HC[[#This Row],[ap (cm)]]*HC[[#This Row],[bp (cm)]]</f>
        <v>3600</v>
      </c>
      <c r="AB40" s="12">
        <f ca="1">IF(HC[[#This Row],[Padm∙ε (kN)]]&gt;=HC[[#This Row],[Padm (kN)]],ROUNDUP(1.05*HC[[#This Row],[Nsd (kN)]]/HC[[#This Row],[Padm (kN)]],0),ROUNDUP(1.05*HC[[#This Row],[Nsd (kN)]]/HC[[#This Row],[Padm (kN)]],0)+1)</f>
        <v>35</v>
      </c>
      <c r="AC40" s="4" t="str">
        <f ca="1">IFERROR(IF(HC[[#This Row],[nE]]=1,HC[[#This Row],[Padm (kN)]],HC[[#This Row],[Padm (kN)]]*HC[[#This Row],[nE]]*INDEX(grupoEstacas[],HC[[#This Row],[nE]],MATCH("ε",grupoEstacas[#Headers],0))),"N.S.")</f>
        <v>N.S.</v>
      </c>
      <c r="AD40" s="4">
        <f ca="1">1.05*HC[[#This Row],[Nsd (kN)]]/(HC[[#This Row],[nE]]*PI()*HC[[#This Row],[Ø (cm)]]^2/4)*10</f>
        <v>1.4854461355243567</v>
      </c>
      <c r="AE40" s="4">
        <f ca="1">IF(HC[[#This Row],[σ (MPa)]]&lt;INDEX(tipoEstaca[],MATCH($D$2,tipoEstaca[TIPO DE ESTACA],0),MATCH("σmáx (MPa)",tipoEstaca[#Headers],0)),0.4%*PI()*HC[[#This Row],[Ø (cm)]]^2/4,"N.S.")</f>
        <v>2.8274333882308138</v>
      </c>
      <c r="AF40" s="1">
        <f>INDEX(tipoEstaca[],MATCH($D$2,tipoEstaca[TIPO DE ESTACA],0),MATCH(HC[[#Headers],[Comprimento (m)]],tipoEstaca[#Headers],0))</f>
        <v>4</v>
      </c>
      <c r="AG40" s="5">
        <f ca="1">HC[[#This Row],[As,mín (cm²)]]/100^2*HC[[#This Row],[Comprimento (m)]]*7850</f>
        <v>8.8781408390447556</v>
      </c>
      <c r="AH40" s="4">
        <f ca="1">HC[[#This Row],[nE]]*HC[[#This Row],[Prof. (m)]]*HC[[#This Row],[Ap (m²)]]</f>
        <v>17.318029502913735</v>
      </c>
      <c r="AI40" s="1">
        <f ca="1">IF(HC[[#This Row],[nE]]=1,0,MAX(3*HC[[#This Row],[Ø (cm)]],60))</f>
        <v>90</v>
      </c>
      <c r="AJ40" s="1">
        <f ca="1">IF(HC[[#This Row],[nE]]=1,HC[[#This Row],[Ø (cm)]]+2*10,MAX(1.5*HC[[#This Row],[Ø (cm)]],HC[[#This Row],[Ø (cm)]]+15))</f>
        <v>45</v>
      </c>
      <c r="AK40" s="1" t="str">
        <f ca="1">alturaUtil(HC[[#This Row],[nE]],HC[[#This Row],[Ø (cm)]],HC[[#This Row],[e (cm)]],HC[[#This Row],[ap,eq (cm)]])</f>
        <v>N.S.</v>
      </c>
      <c r="AL40" s="1" t="str">
        <f ca="1">IFERROR(HC[[#This Row],[d (cm)]]+arredondarParaCimaMultiplo5cm(MAX(5,SQRT(PI())/2*HC[[#This Row],[Ø (cm)]]/5)),"N.S.")</f>
        <v>N.S.</v>
      </c>
      <c r="AM40" s="5" t="str">
        <f ca="1">alpha(HC[[#This Row],[nE]],HC[[#This Row],[d (cm)]],HC[[#This Row],[e (cm)]],HC[[#This Row],[ap,eq (cm)]])</f>
        <v>N.S.</v>
      </c>
      <c r="AN40" s="35" t="str">
        <f ca="1">IFERROR(HC[[#This Row],[Nsd (kN)]]/(HC[[#This Row],[Ap (cm²)]]*SIN(HC[[#This Row],[α]])^2),"N.S.")</f>
        <v>N.S.</v>
      </c>
      <c r="AO40" s="35" t="str">
        <f ca="1">IFERROR(HC[[#This Row],[Nsd (kN)]]/(HC[[#This Row],[nE]]*PI()*HC[[#This Row],[Ø (cm)]]^2/4*SIN(HC[[#This Row],[α]])^2),"N.S.")</f>
        <v>N.S.</v>
      </c>
      <c r="AP40" s="4" t="str">
        <f ca="1">IFERROR(INDEX(grupoEstacas[],HC[[#This Row],[nE]],MATCH("coef. Blévot",grupoEstacas[#Headers],0)),"N.S.")</f>
        <v>N.S.</v>
      </c>
      <c r="AQ40" s="35" t="str">
        <f ca="1">IFERROR(HC[[#This Row],[coef. Blévot]]*0.9*INDEX(tipoEstaca[],MATCH($D$2,tipoEstaca[TIPO DE ESTACA],0),MATCH("fcd (kN/cm²)",tipoEstaca[#Headers],0)),"N.S.")</f>
        <v>N.S.</v>
      </c>
      <c r="AR40" s="1" t="str">
        <f ca="1">IF(AND(HC[[#This Row],[cd,b,pil (kN/cm²)]]&lt;=HC[[#This Row],[cd,b,lim (kN/cm²)]],HC[[#This Row],[cd,b,est (kN/cm²)]]&lt;=HC[[#This Row],[cd,b,lim (kN/cm²)]]),"OK","ERRO")</f>
        <v>OK</v>
      </c>
      <c r="AS40" s="4" t="str">
        <f ca="1">As_lado(HC[[#This Row],[nE]],HC[[#This Row],[Nsd (kN)]],HC[[#This Row],[d (cm)]],HC[[#This Row],[e (cm)]],HC[[#This Row],[ap,eq (cm)]])</f>
        <v>N.S.</v>
      </c>
      <c r="AT40" s="4" t="str">
        <f ca="1">IF(HC[[#This Row],[nE]]=1,HC[[#This Row],[As,lado (cm²)]],IF(HC[[#This Row],[nE]]=2,0.075*2*HC[a (cm)],"N.A."))</f>
        <v>N.A.</v>
      </c>
      <c r="AU40" s="4" t="str">
        <f ca="1">IFERROR(IF(HC[[#This Row],[nE]]=1,"N.A.",0.2*HC[[#This Row],[As,lado (cm²)]]),"N.S.")</f>
        <v>N.S.</v>
      </c>
      <c r="AV40" s="4" t="str">
        <f ca="1">As_malha(HC[[#This Row],[nE]],HC[[#This Row],[As,lado (cm²)]],HC[[#This Row],[Nsd (kN)]])</f>
        <v>N.S.</v>
      </c>
      <c r="AW40" s="4" t="str">
        <f ca="1">As_susp_tot(HC[[#This Row],[nE]],HC[[#This Row],[Nsd (kN)]])</f>
        <v>N.S.</v>
      </c>
      <c r="AX40" s="4" t="str">
        <f ca="1">Asp_face(HC[[#This Row],[nE]],HC[[#This Row],[As,lado (cm²)]])</f>
        <v>N.S.</v>
      </c>
      <c r="AY40" s="5" t="str">
        <f ca="1">acoBloco(HC[[#This Row],[nE]],HC[[#This Row],[e (cm)]],HC[[#This Row],[a (cm)]],HC[[#This Row],[h (cm)]],HC[[#This Row],[As,lado (cm²)]],HC[[#This Row],[Asp e Asw (cm²/m)]],HC[[#This Row],[As,sup (cm²)]],HC[[#This Row],[As,malha (cm²)]],HC[[#This Row],[As,susp,tot (cm²)]],HC[[#This Row],[Asp,face (cm²)]])</f>
        <v>N.S.</v>
      </c>
      <c r="AZ40" s="4" t="str">
        <f ca="1">concretoBloco(HC[[#This Row],[nE]],HC[[#This Row],[e (cm)]],HC[[#This Row],[a (cm)]],HC[[#This Row],[h (cm)]])</f>
        <v>N.S.</v>
      </c>
      <c r="BA40" s="5">
        <f ca="1">SUM(HC[[#This Row],[Aço Est (kg)]],HC[[#This Row],[Aço Bloco (kg)]])</f>
        <v>8.8781408390447556</v>
      </c>
      <c r="BB40" s="4">
        <f>INDEX(composicoes[],MATCH(95580,composicoes[CÓDIGO],0),MATCH("CUSTO TOTAL",composicoes[#Headers],0))</f>
        <v>10.46</v>
      </c>
      <c r="BC40" s="4">
        <f ca="1">SUM(HC[[#This Row],[Conc Est (m³)]],HC[[#This Row],[Conc Bloco (m³)]])</f>
        <v>17.318029502913735</v>
      </c>
      <c r="BD40" s="4">
        <f>INDEX(composicoes[],MATCH(94966,composicoes[CÓDIGO],0),MATCH("CUSTO TOTAL",composicoes[#Headers],0))</f>
        <v>439.52</v>
      </c>
      <c r="BE40" s="38">
        <f ca="1">HC[[#This Row],[Aço (kg)]]*HC[[#This Row],[Aço (R$/kg)]]+HC[[#This Row],[Conc (m³)]]*HC[[#This Row],[Conc (R$/m³)]]</f>
        <v>7704.4856802970526</v>
      </c>
      <c r="BF40" s="4" t="str">
        <f ca="1">IF(COUNTIF(HC[#This Row],"N.S.")&gt;0,"lim.","OK")</f>
        <v>lim.</v>
      </c>
      <c r="BG40" s="4" t="str">
        <f>IF(HC[[#This Row],[Prof. (m)]]&lt;4,"lim.","OK")</f>
        <v>OK</v>
      </c>
      <c r="BH40" s="4" t="str">
        <f>IF(HC[[#This Row],[Prof. (m)]]&gt;=8*HC[[#This Row],[Ø (cm)]]/100,"OK","lim.")</f>
        <v>OK</v>
      </c>
      <c r="BI40" s="4" t="str">
        <f ca="1">IF(HC[[#This Row],[Verif. Biela]]="OK","OK","lim.")</f>
        <v>OK</v>
      </c>
      <c r="BJ40" s="4" t="str">
        <f ca="1">IF(COUNTA(HC[[#This Row],[Nº Est.]:[Biela comp.]])=COUNTIF(HC[[#This Row],[Nº Est.]:[Biela comp.]],"OK"),"OK","lim.")</f>
        <v>lim.</v>
      </c>
      <c r="BK40" s="4" t="str">
        <f ca="1">IF(HC[[#This Row],[Controle]]="OK",HC[[#This Row],[nE]]&amp;" Ø"&amp;HC[[#This Row],[Ø (cm)]]&amp;"cm Prof. "&amp;HC[[#This Row],[Prof. (m)]]&amp;" m","")</f>
        <v/>
      </c>
      <c r="BL40" s="4" t="str">
        <f ca="1">IF(HC[[#This Row],[idDimensionamento]]="","",HC[[#This Row],[idPilar]]&amp;HC[[#This Row],[idDimensionamento]])</f>
        <v/>
      </c>
    </row>
    <row r="41" spans="2:64" x14ac:dyDescent="0.25">
      <c r="B41" s="12">
        <f>ROUNDUP((ROW(HC[[#This Row],[idDiâmetro]])-ROW(HC[[#Headers],[idDiâmetro]]))/(COUNT(SPT[Prof. (m)])*COUNT(PILARES[Pilar])),0)</f>
        <v>2</v>
      </c>
      <c r="C41" s="12">
        <f>IF(HC[[#This Row],[idDiâmetro]]&lt;&gt;B40,1,IF(HC[[#This Row],[Prof. (m)]]=0,C40+1,C40))</f>
        <v>1</v>
      </c>
      <c r="D41" s="1">
        <f>IFERROR(IF(D40=MAX(SPT[Prof. (m)]),0,D40+1),0)</f>
        <v>8</v>
      </c>
      <c r="E41" s="1">
        <f>INDEX(SPT[],MATCH(HC[[#This Row],[Prof. (m)]],SPT[Prof. (m)],0),2)</f>
        <v>10</v>
      </c>
      <c r="F41" s="1" t="str">
        <f>INDEX(SPT[],MATCH(HC[[#This Row],[Prof. (m)]],SPT[Prof. (m)],0),3)</f>
        <v>Silte arenoso</v>
      </c>
      <c r="G41" s="1">
        <f>INDEX(estacas[],HC[[#This Row],[idDiâmetro]],MATCH($B$2,estacas[#Headers],0))</f>
        <v>30</v>
      </c>
      <c r="H41" s="1">
        <f>INDEX(estacas[],MATCH(HC[[#This Row],[Ø (cm)]],estacas[Ø HC (cm)],0),MATCH(HC[[#Headers],[Pe HC (kN)]],estacas[#Headers],0))</f>
        <v>450</v>
      </c>
      <c r="I41" s="4">
        <f>INDEX(K_alpha_C[],MATCH(HC[[#This Row],[Solo]],K_alpha_C[Solo],0),2)</f>
        <v>0.55000000000000004</v>
      </c>
      <c r="J41" s="5">
        <f>INDEX(K_alpha_C[],MATCH(HC[[#This Row],[Solo]],K_alpha_C[Solo],0),3)</f>
        <v>2.2000000000000002</v>
      </c>
      <c r="K41" s="4">
        <f>INDEX(F1_F2[],MATCH($D$2,F1_F2[Tipo de estaca],0),2)</f>
        <v>2</v>
      </c>
      <c r="L41" s="4">
        <f>INDEX(F1_F2[],MATCH($D$2,F1_F2[Tipo de estaca],0),3)</f>
        <v>4</v>
      </c>
      <c r="M41" s="4">
        <f>PI()*(HC[[#This Row],[Ø (cm)]]/100)^2/4</f>
        <v>7.0685834705770348E-2</v>
      </c>
      <c r="N41" s="4">
        <f>PI()*HC[[#This Row],[Ø (cm)]]/100</f>
        <v>0.94247779607693782</v>
      </c>
      <c r="O41" s="4">
        <f>IF(HC[[#This Row],[Prof. (m)]]=0,0,HC[[#This Row],[α (%)]]/100*HC[[#This Row],[K (MPa)]]*1000*HC[[#This Row],[NSPT]])</f>
        <v>121.00000000000001</v>
      </c>
      <c r="P41" s="4">
        <f>IF(HC[[#This Row],[Prof. (m)]]=0,0,(HC[[#This Row],[K (MPa)]]*1000*HC[[#This Row],[NSPT]]/HC[[#This Row],[F1]]*HC[[#This Row],[Ap (m²)]]+HC[[#This Row],[U (m)]]/HC[[#This Row],[F2]]*SUMIFS(HC[(α∙K∙NL∙ΔL)],HC[Prof. (m)],"&lt;="&amp;HC[[#This Row],[Prof. (m)]],HC[idDiâmetro],HC[[#This Row],[idDiâmetro]],HC[idPilar],HC[[#This Row],[idPilar]]))/'DADOS CAP. CARGA'!$D$2)</f>
        <v>214.99096625760052</v>
      </c>
      <c r="Q41" s="12">
        <f>INDEX(C_alpha_beta[],MATCH(HC[[#This Row],[Solo]],C_alpha_beta[Solo],0),MATCH(HC[[#Headers],[C (kPa)]],C_alpha_beta[#Headers],0))</f>
        <v>250</v>
      </c>
      <c r="R41" s="4">
        <f>INDEX(C_alpha_beta[],MATCH(HC[[#This Row],[Solo]],C_alpha_beta[Solo],0),MATCH(HC[[#Headers],[α ESF]],C_alpha_beta[#Headers],0))</f>
        <v>0.6</v>
      </c>
      <c r="S41" s="4">
        <f>INDEX(C_alpha_beta[],MATCH(HC[[#This Row],[Solo]],C_alpha_beta[Solo],0),MATCH(HC[[#Headers],[β ESF]],C_alpha_beta[#Headers],0))</f>
        <v>0.65</v>
      </c>
      <c r="T41" s="4">
        <f>IF(HC[[#This Row],[Prof. (m)]]=0,0,10*(HC[[#This Row],[NSPT]]/3+1))</f>
        <v>43.333333333333343</v>
      </c>
      <c r="U41" s="4">
        <f>(HC[[#This Row],[α ESF]]*HC[[#This Row],[C (kPa)]]*HC[[#This Row],[NSPT]]*HC[[#This Row],[Ap (m²)]])/'DADOS CAP. CARGA'!$Q$2+(HC[[#This Row],[β ESF]]*SUMIFS(HC[10∙(NL/3+1)],HC[Prof. (m)],"&lt;="&amp;HC[[#This Row],[Prof. (m)]],HC[idDiâmetro],HC[[#This Row],[idDiâmetro]],HC[idPilar],HC[[#This Row],[idPilar]])*HC[[#This Row],[U (m)]])/'DADOS CAP. CARGA'!$S$2</f>
        <v>124.52487880666541</v>
      </c>
      <c r="V41" s="4">
        <f>IF(SPT!$M$5=1,MIN(HC[[#This Row],[Pe HC (kN)]],HC[[#This Row],[R_AV (kN)]]),IF(SPT!$M$5=2,MIN(HC[[#This Row],[Pe HC (kN)]],HC[[#This Row],[R_DC (kN)]]),MIN(HC[[#This Row],[Pe HC (kN)]],HC[[#This Row],[R_AV (kN)]],HC[[#This Row],[R_DC (kN)]])))</f>
        <v>124.52487880666541</v>
      </c>
      <c r="W41" s="4">
        <f>INDEX(PILARES[],HC[[#This Row],[idPilar]],MATCH("Carga (kN)",PILARES[#Headers],0))*1.4</f>
        <v>3500</v>
      </c>
      <c r="X41" s="12">
        <f>INDEX(PILARES[],HC[[#This Row],[idPilar]],MATCH(HC[[#Headers],[ap (cm)]],PILARES[#Headers],0))</f>
        <v>60</v>
      </c>
      <c r="Y41" s="12">
        <f>INDEX(PILARES[],HC[[#This Row],[idPilar]],MATCH(HC[[#Headers],[bp (cm)]],PILARES[#Headers],0))</f>
        <v>60</v>
      </c>
      <c r="Z41" s="4">
        <f>SQRT(HC[[#This Row],[ap (cm)]]*HC[[#This Row],[bp (cm)]])</f>
        <v>60</v>
      </c>
      <c r="AA41" s="12">
        <f>HC[[#This Row],[ap (cm)]]*HC[[#This Row],[bp (cm)]]</f>
        <v>3600</v>
      </c>
      <c r="AB41" s="12">
        <f ca="1">IF(HC[[#This Row],[Padm∙ε (kN)]]&gt;=HC[[#This Row],[Padm (kN)]],ROUNDUP(1.05*HC[[#This Row],[Nsd (kN)]]/HC[[#This Row],[Padm (kN)]],0),ROUNDUP(1.05*HC[[#This Row],[Nsd (kN)]]/HC[[#This Row],[Padm (kN)]],0)+1)</f>
        <v>30</v>
      </c>
      <c r="AC41" s="4" t="str">
        <f ca="1">IFERROR(IF(HC[[#This Row],[nE]]=1,HC[[#This Row],[Padm (kN)]],HC[[#This Row],[Padm (kN)]]*HC[[#This Row],[nE]]*INDEX(grupoEstacas[],HC[[#This Row],[nE]],MATCH("ε",grupoEstacas[#Headers],0))),"N.S.")</f>
        <v>N.S.</v>
      </c>
      <c r="AD41" s="4">
        <f ca="1">1.05*HC[[#This Row],[Nsd (kN)]]/(HC[[#This Row],[nE]]*PI()*HC[[#This Row],[Ø (cm)]]^2/4)*10</f>
        <v>1.7330204914450826</v>
      </c>
      <c r="AE41" s="4">
        <f ca="1">IF(HC[[#This Row],[σ (MPa)]]&lt;INDEX(tipoEstaca[],MATCH($D$2,tipoEstaca[TIPO DE ESTACA],0),MATCH("σmáx (MPa)",tipoEstaca[#Headers],0)),0.4%*PI()*HC[[#This Row],[Ø (cm)]]^2/4,"N.S.")</f>
        <v>2.8274333882308138</v>
      </c>
      <c r="AF41" s="1">
        <f>INDEX(tipoEstaca[],MATCH($D$2,tipoEstaca[TIPO DE ESTACA],0),MATCH(HC[[#Headers],[Comprimento (m)]],tipoEstaca[#Headers],0))</f>
        <v>4</v>
      </c>
      <c r="AG41" s="5">
        <f ca="1">HC[[#This Row],[As,mín (cm²)]]/100^2*HC[[#This Row],[Comprimento (m)]]*7850</f>
        <v>8.8781408390447556</v>
      </c>
      <c r="AH41" s="4">
        <f ca="1">HC[[#This Row],[nE]]*HC[[#This Row],[Prof. (m)]]*HC[[#This Row],[Ap (m²)]]</f>
        <v>16.964600329384883</v>
      </c>
      <c r="AI41" s="1">
        <f ca="1">IF(HC[[#This Row],[nE]]=1,0,MAX(3*HC[[#This Row],[Ø (cm)]],60))</f>
        <v>90</v>
      </c>
      <c r="AJ41" s="1">
        <f ca="1">IF(HC[[#This Row],[nE]]=1,HC[[#This Row],[Ø (cm)]]+2*10,MAX(1.5*HC[[#This Row],[Ø (cm)]],HC[[#This Row],[Ø (cm)]]+15))</f>
        <v>45</v>
      </c>
      <c r="AK41" s="1" t="str">
        <f ca="1">alturaUtil(HC[[#This Row],[nE]],HC[[#This Row],[Ø (cm)]],HC[[#This Row],[e (cm)]],HC[[#This Row],[ap,eq (cm)]])</f>
        <v>N.S.</v>
      </c>
      <c r="AL41" s="1" t="str">
        <f ca="1">IFERROR(HC[[#This Row],[d (cm)]]+arredondarParaCimaMultiplo5cm(MAX(5,SQRT(PI())/2*HC[[#This Row],[Ø (cm)]]/5)),"N.S.")</f>
        <v>N.S.</v>
      </c>
      <c r="AM41" s="5" t="str">
        <f ca="1">alpha(HC[[#This Row],[nE]],HC[[#This Row],[d (cm)]],HC[[#This Row],[e (cm)]],HC[[#This Row],[ap,eq (cm)]])</f>
        <v>N.S.</v>
      </c>
      <c r="AN41" s="35" t="str">
        <f ca="1">IFERROR(HC[[#This Row],[Nsd (kN)]]/(HC[[#This Row],[Ap (cm²)]]*SIN(HC[[#This Row],[α]])^2),"N.S.")</f>
        <v>N.S.</v>
      </c>
      <c r="AO41" s="35" t="str">
        <f ca="1">IFERROR(HC[[#This Row],[Nsd (kN)]]/(HC[[#This Row],[nE]]*PI()*HC[[#This Row],[Ø (cm)]]^2/4*SIN(HC[[#This Row],[α]])^2),"N.S.")</f>
        <v>N.S.</v>
      </c>
      <c r="AP41" s="4" t="str">
        <f ca="1">IFERROR(INDEX(grupoEstacas[],HC[[#This Row],[nE]],MATCH("coef. Blévot",grupoEstacas[#Headers],0)),"N.S.")</f>
        <v>N.S.</v>
      </c>
      <c r="AQ41" s="35" t="str">
        <f ca="1">IFERROR(HC[[#This Row],[coef. Blévot]]*0.9*INDEX(tipoEstaca[],MATCH($D$2,tipoEstaca[TIPO DE ESTACA],0),MATCH("fcd (kN/cm²)",tipoEstaca[#Headers],0)),"N.S.")</f>
        <v>N.S.</v>
      </c>
      <c r="AR41" s="1" t="str">
        <f ca="1">IF(AND(HC[[#This Row],[cd,b,pil (kN/cm²)]]&lt;=HC[[#This Row],[cd,b,lim (kN/cm²)]],HC[[#This Row],[cd,b,est (kN/cm²)]]&lt;=HC[[#This Row],[cd,b,lim (kN/cm²)]]),"OK","ERRO")</f>
        <v>OK</v>
      </c>
      <c r="AS41" s="4" t="str">
        <f ca="1">As_lado(HC[[#This Row],[nE]],HC[[#This Row],[Nsd (kN)]],HC[[#This Row],[d (cm)]],HC[[#This Row],[e (cm)]],HC[[#This Row],[ap,eq (cm)]])</f>
        <v>N.S.</v>
      </c>
      <c r="AT41" s="4" t="str">
        <f ca="1">IF(HC[[#This Row],[nE]]=1,HC[[#This Row],[As,lado (cm²)]],IF(HC[[#This Row],[nE]]=2,0.075*2*HC[a (cm)],"N.A."))</f>
        <v>N.A.</v>
      </c>
      <c r="AU41" s="4" t="str">
        <f ca="1">IFERROR(IF(HC[[#This Row],[nE]]=1,"N.A.",0.2*HC[[#This Row],[As,lado (cm²)]]),"N.S.")</f>
        <v>N.S.</v>
      </c>
      <c r="AV41" s="4" t="str">
        <f ca="1">As_malha(HC[[#This Row],[nE]],HC[[#This Row],[As,lado (cm²)]],HC[[#This Row],[Nsd (kN)]])</f>
        <v>N.S.</v>
      </c>
      <c r="AW41" s="4" t="str">
        <f ca="1">As_susp_tot(HC[[#This Row],[nE]],HC[[#This Row],[Nsd (kN)]])</f>
        <v>N.S.</v>
      </c>
      <c r="AX41" s="4" t="str">
        <f ca="1">Asp_face(HC[[#This Row],[nE]],HC[[#This Row],[As,lado (cm²)]])</f>
        <v>N.S.</v>
      </c>
      <c r="AY41" s="5" t="str">
        <f ca="1">acoBloco(HC[[#This Row],[nE]],HC[[#This Row],[e (cm)]],HC[[#This Row],[a (cm)]],HC[[#This Row],[h (cm)]],HC[[#This Row],[As,lado (cm²)]],HC[[#This Row],[Asp e Asw (cm²/m)]],HC[[#This Row],[As,sup (cm²)]],HC[[#This Row],[As,malha (cm²)]],HC[[#This Row],[As,susp,tot (cm²)]],HC[[#This Row],[Asp,face (cm²)]])</f>
        <v>N.S.</v>
      </c>
      <c r="AZ41" s="4" t="str">
        <f ca="1">concretoBloco(HC[[#This Row],[nE]],HC[[#This Row],[e (cm)]],HC[[#This Row],[a (cm)]],HC[[#This Row],[h (cm)]])</f>
        <v>N.S.</v>
      </c>
      <c r="BA41" s="5">
        <f ca="1">SUM(HC[[#This Row],[Aço Est (kg)]],HC[[#This Row],[Aço Bloco (kg)]])</f>
        <v>8.8781408390447556</v>
      </c>
      <c r="BB41" s="4">
        <f>INDEX(composicoes[],MATCH(95580,composicoes[CÓDIGO],0),MATCH("CUSTO TOTAL",composicoes[#Headers],0))</f>
        <v>10.46</v>
      </c>
      <c r="BC41" s="4">
        <f ca="1">SUM(HC[[#This Row],[Conc Est (m³)]],HC[[#This Row],[Conc Bloco (m³)]])</f>
        <v>16.964600329384883</v>
      </c>
      <c r="BD41" s="4">
        <f>INDEX(composicoes[],MATCH(94966,composicoes[CÓDIGO],0),MATCH("CUSTO TOTAL",composicoes[#Headers],0))</f>
        <v>439.52</v>
      </c>
      <c r="BE41" s="38">
        <f ca="1">HC[[#This Row],[Aço (kg)]]*HC[[#This Row],[Aço (R$/kg)]]+HC[[#This Row],[Conc (m³)]]*HC[[#This Row],[Conc (R$/m³)]]</f>
        <v>7549.1464899476523</v>
      </c>
      <c r="BF41" s="4" t="str">
        <f ca="1">IF(COUNTIF(HC[#This Row],"N.S.")&gt;0,"lim.","OK")</f>
        <v>lim.</v>
      </c>
      <c r="BG41" s="4" t="str">
        <f>IF(HC[[#This Row],[Prof. (m)]]&lt;4,"lim.","OK")</f>
        <v>OK</v>
      </c>
      <c r="BH41" s="4" t="str">
        <f>IF(HC[[#This Row],[Prof. (m)]]&gt;=8*HC[[#This Row],[Ø (cm)]]/100,"OK","lim.")</f>
        <v>OK</v>
      </c>
      <c r="BI41" s="4" t="str">
        <f ca="1">IF(HC[[#This Row],[Verif. Biela]]="OK","OK","lim.")</f>
        <v>OK</v>
      </c>
      <c r="BJ41" s="4" t="str">
        <f ca="1">IF(COUNTA(HC[[#This Row],[Nº Est.]:[Biela comp.]])=COUNTIF(HC[[#This Row],[Nº Est.]:[Biela comp.]],"OK"),"OK","lim.")</f>
        <v>lim.</v>
      </c>
      <c r="BK41" s="4" t="str">
        <f ca="1">IF(HC[[#This Row],[Controle]]="OK",HC[[#This Row],[nE]]&amp;" Ø"&amp;HC[[#This Row],[Ø (cm)]]&amp;"cm Prof. "&amp;HC[[#This Row],[Prof. (m)]]&amp;" m","")</f>
        <v/>
      </c>
      <c r="BL41" s="4" t="str">
        <f ca="1">IF(HC[[#This Row],[idDimensionamento]]="","",HC[[#This Row],[idPilar]]&amp;HC[[#This Row],[idDimensionamento]])</f>
        <v/>
      </c>
    </row>
    <row r="42" spans="2:64" x14ac:dyDescent="0.25">
      <c r="B42" s="12">
        <f>ROUNDUP((ROW(HC[[#This Row],[idDiâmetro]])-ROW(HC[[#Headers],[idDiâmetro]]))/(COUNT(SPT[Prof. (m)])*COUNT(PILARES[Pilar])),0)</f>
        <v>2</v>
      </c>
      <c r="C42" s="12">
        <f>IF(HC[[#This Row],[idDiâmetro]]&lt;&gt;B41,1,IF(HC[[#This Row],[Prof. (m)]]=0,C41+1,C41))</f>
        <v>1</v>
      </c>
      <c r="D42" s="1">
        <f>IFERROR(IF(D41=MAX(SPT[Prof. (m)]),0,D41+1),0)</f>
        <v>9</v>
      </c>
      <c r="E42" s="1">
        <f>INDEX(SPT[],MATCH(HC[[#This Row],[Prof. (m)]],SPT[Prof. (m)],0),2)</f>
        <v>26</v>
      </c>
      <c r="F42" s="1" t="str">
        <f>INDEX(SPT[],MATCH(HC[[#This Row],[Prof. (m)]],SPT[Prof. (m)],0),3)</f>
        <v>Areia siltosa</v>
      </c>
      <c r="G42" s="1">
        <f>INDEX(estacas[],HC[[#This Row],[idDiâmetro]],MATCH($B$2,estacas[#Headers],0))</f>
        <v>30</v>
      </c>
      <c r="H42" s="1">
        <f>INDEX(estacas[],MATCH(HC[[#This Row],[Ø (cm)]],estacas[Ø HC (cm)],0),MATCH(HC[[#Headers],[Pe HC (kN)]],estacas[#Headers],0))</f>
        <v>450</v>
      </c>
      <c r="I42" s="4">
        <f>INDEX(K_alpha_C[],MATCH(HC[[#This Row],[Solo]],K_alpha_C[Solo],0),2)</f>
        <v>0.8</v>
      </c>
      <c r="J42" s="5">
        <f>INDEX(K_alpha_C[],MATCH(HC[[#This Row],[Solo]],K_alpha_C[Solo],0),3)</f>
        <v>2</v>
      </c>
      <c r="K42" s="4">
        <f>INDEX(F1_F2[],MATCH($D$2,F1_F2[Tipo de estaca],0),2)</f>
        <v>2</v>
      </c>
      <c r="L42" s="4">
        <f>INDEX(F1_F2[],MATCH($D$2,F1_F2[Tipo de estaca],0),3)</f>
        <v>4</v>
      </c>
      <c r="M42" s="4">
        <f>PI()*(HC[[#This Row],[Ø (cm)]]/100)^2/4</f>
        <v>7.0685834705770348E-2</v>
      </c>
      <c r="N42" s="4">
        <f>PI()*HC[[#This Row],[Ø (cm)]]/100</f>
        <v>0.94247779607693782</v>
      </c>
      <c r="O42" s="4">
        <f>IF(HC[[#This Row],[Prof. (m)]]=0,0,HC[[#This Row],[α (%)]]/100*HC[[#This Row],[K (MPa)]]*1000*HC[[#This Row],[NSPT]])</f>
        <v>416</v>
      </c>
      <c r="P42" s="4">
        <f>IF(HC[[#This Row],[Prof. (m)]]=0,0,(HC[[#This Row],[K (MPa)]]*1000*HC[[#This Row],[NSPT]]/HC[[#This Row],[F1]]*HC[[#This Row],[Ap (m²)]]+HC[[#This Row],[U (m)]]/HC[[#This Row],[F2]]*SUMIFS(HC[(α∙K∙NL∙ΔL)],HC[Prof. (m)],"&lt;="&amp;HC[[#This Row],[Prof. (m)]],HC[idDiâmetro],HC[[#This Row],[idDiâmetro]],HC[idPilar],HC[[#This Row],[idPilar]]))/'DADOS CAP. CARGA'!$D$2)</f>
        <v>534.37312940317281</v>
      </c>
      <c r="Q42" s="12">
        <f>INDEX(C_alpha_beta[],MATCH(HC[[#This Row],[Solo]],C_alpha_beta[Solo],0),MATCH(HC[[#Headers],[C (kPa)]],C_alpha_beta[#Headers],0))</f>
        <v>400</v>
      </c>
      <c r="R42" s="4">
        <f>INDEX(C_alpha_beta[],MATCH(HC[[#This Row],[Solo]],C_alpha_beta[Solo],0),MATCH(HC[[#Headers],[α ESF]],C_alpha_beta[#Headers],0))</f>
        <v>0.5</v>
      </c>
      <c r="S42" s="4">
        <f>INDEX(C_alpha_beta[],MATCH(HC[[#This Row],[Solo]],C_alpha_beta[Solo],0),MATCH(HC[[#Headers],[β ESF]],C_alpha_beta[#Headers],0))</f>
        <v>0.5</v>
      </c>
      <c r="T42" s="4">
        <f>IF(HC[[#This Row],[Prof. (m)]]=0,0,10*(HC[[#This Row],[NSPT]]/3+1))</f>
        <v>96.666666666666657</v>
      </c>
      <c r="U42" s="4">
        <f>(HC[[#This Row],[α ESF]]*HC[[#This Row],[C (kPa)]]*HC[[#This Row],[NSPT]]*HC[[#This Row],[Ap (m²)]])/'DADOS CAP. CARGA'!$Q$2+(HC[[#This Row],[β ESF]]*SUMIFS(HC[10∙(NL/3+1)],HC[Prof. (m)],"&lt;="&amp;HC[[#This Row],[Prof. (m)]],HC[idDiâmetro],HC[[#This Row],[idDiâmetro]],HC[idPilar],HC[[#This Row],[idPilar]])*HC[[#This Row],[U (m)]])/'DADOS CAP. CARGA'!$S$2</f>
        <v>190.06635554218246</v>
      </c>
      <c r="V42" s="4">
        <f>IF(SPT!$M$5=1,MIN(HC[[#This Row],[Pe HC (kN)]],HC[[#This Row],[R_AV (kN)]]),IF(SPT!$M$5=2,MIN(HC[[#This Row],[Pe HC (kN)]],HC[[#This Row],[R_DC (kN)]]),MIN(HC[[#This Row],[Pe HC (kN)]],HC[[#This Row],[R_AV (kN)]],HC[[#This Row],[R_DC (kN)]])))</f>
        <v>190.06635554218246</v>
      </c>
      <c r="W42" s="4">
        <f>INDEX(PILARES[],HC[[#This Row],[idPilar]],MATCH("Carga (kN)",PILARES[#Headers],0))*1.4</f>
        <v>3500</v>
      </c>
      <c r="X42" s="12">
        <f>INDEX(PILARES[],HC[[#This Row],[idPilar]],MATCH(HC[[#Headers],[ap (cm)]],PILARES[#Headers],0))</f>
        <v>60</v>
      </c>
      <c r="Y42" s="12">
        <f>INDEX(PILARES[],HC[[#This Row],[idPilar]],MATCH(HC[[#Headers],[bp (cm)]],PILARES[#Headers],0))</f>
        <v>60</v>
      </c>
      <c r="Z42" s="4">
        <f>SQRT(HC[[#This Row],[ap (cm)]]*HC[[#This Row],[bp (cm)]])</f>
        <v>60</v>
      </c>
      <c r="AA42" s="12">
        <f>HC[[#This Row],[ap (cm)]]*HC[[#This Row],[bp (cm)]]</f>
        <v>3600</v>
      </c>
      <c r="AB42" s="12">
        <f ca="1">IF(HC[[#This Row],[Padm∙ε (kN)]]&gt;=HC[[#This Row],[Padm (kN)]],ROUNDUP(1.05*HC[[#This Row],[Nsd (kN)]]/HC[[#This Row],[Padm (kN)]],0),ROUNDUP(1.05*HC[[#This Row],[Nsd (kN)]]/HC[[#This Row],[Padm (kN)]],0)+1)</f>
        <v>20</v>
      </c>
      <c r="AC42" s="4" t="str">
        <f ca="1">IFERROR(IF(HC[[#This Row],[nE]]=1,HC[[#This Row],[Padm (kN)]],HC[[#This Row],[Padm (kN)]]*HC[[#This Row],[nE]]*INDEX(grupoEstacas[],HC[[#This Row],[nE]],MATCH("ε",grupoEstacas[#Headers],0))),"N.S.")</f>
        <v>N.S.</v>
      </c>
      <c r="AD42" s="4">
        <f ca="1">1.05*HC[[#This Row],[Nsd (kN)]]/(HC[[#This Row],[nE]]*PI()*HC[[#This Row],[Ø (cm)]]^2/4)*10</f>
        <v>2.599530737167624</v>
      </c>
      <c r="AE42" s="4">
        <f ca="1">IF(HC[[#This Row],[σ (MPa)]]&lt;INDEX(tipoEstaca[],MATCH($D$2,tipoEstaca[TIPO DE ESTACA],0),MATCH("σmáx (MPa)",tipoEstaca[#Headers],0)),0.4%*PI()*HC[[#This Row],[Ø (cm)]]^2/4,"N.S.")</f>
        <v>2.8274333882308138</v>
      </c>
      <c r="AF42" s="1">
        <f>INDEX(tipoEstaca[],MATCH($D$2,tipoEstaca[TIPO DE ESTACA],0),MATCH(HC[[#Headers],[Comprimento (m)]],tipoEstaca[#Headers],0))</f>
        <v>4</v>
      </c>
      <c r="AG42" s="5">
        <f ca="1">HC[[#This Row],[As,mín (cm²)]]/100^2*HC[[#This Row],[Comprimento (m)]]*7850</f>
        <v>8.8781408390447556</v>
      </c>
      <c r="AH42" s="4">
        <f ca="1">HC[[#This Row],[nE]]*HC[[#This Row],[Prof. (m)]]*HC[[#This Row],[Ap (m²)]]</f>
        <v>12.723450247038663</v>
      </c>
      <c r="AI42" s="1">
        <f ca="1">IF(HC[[#This Row],[nE]]=1,0,MAX(3*HC[[#This Row],[Ø (cm)]],60))</f>
        <v>90</v>
      </c>
      <c r="AJ42" s="1">
        <f ca="1">IF(HC[[#This Row],[nE]]=1,HC[[#This Row],[Ø (cm)]]+2*10,MAX(1.5*HC[[#This Row],[Ø (cm)]],HC[[#This Row],[Ø (cm)]]+15))</f>
        <v>45</v>
      </c>
      <c r="AK42" s="1" t="str">
        <f ca="1">alturaUtil(HC[[#This Row],[nE]],HC[[#This Row],[Ø (cm)]],HC[[#This Row],[e (cm)]],HC[[#This Row],[ap,eq (cm)]])</f>
        <v>N.S.</v>
      </c>
      <c r="AL42" s="1" t="str">
        <f ca="1">IFERROR(HC[[#This Row],[d (cm)]]+arredondarParaCimaMultiplo5cm(MAX(5,SQRT(PI())/2*HC[[#This Row],[Ø (cm)]]/5)),"N.S.")</f>
        <v>N.S.</v>
      </c>
      <c r="AM42" s="5" t="str">
        <f ca="1">alpha(HC[[#This Row],[nE]],HC[[#This Row],[d (cm)]],HC[[#This Row],[e (cm)]],HC[[#This Row],[ap,eq (cm)]])</f>
        <v>N.S.</v>
      </c>
      <c r="AN42" s="35" t="str">
        <f ca="1">IFERROR(HC[[#This Row],[Nsd (kN)]]/(HC[[#This Row],[Ap (cm²)]]*SIN(HC[[#This Row],[α]])^2),"N.S.")</f>
        <v>N.S.</v>
      </c>
      <c r="AO42" s="35" t="str">
        <f ca="1">IFERROR(HC[[#This Row],[Nsd (kN)]]/(HC[[#This Row],[nE]]*PI()*HC[[#This Row],[Ø (cm)]]^2/4*SIN(HC[[#This Row],[α]])^2),"N.S.")</f>
        <v>N.S.</v>
      </c>
      <c r="AP42" s="4" t="str">
        <f ca="1">IFERROR(INDEX(grupoEstacas[],HC[[#This Row],[nE]],MATCH("coef. Blévot",grupoEstacas[#Headers],0)),"N.S.")</f>
        <v>N.S.</v>
      </c>
      <c r="AQ42" s="35" t="str">
        <f ca="1">IFERROR(HC[[#This Row],[coef. Blévot]]*0.9*INDEX(tipoEstaca[],MATCH($D$2,tipoEstaca[TIPO DE ESTACA],0),MATCH("fcd (kN/cm²)",tipoEstaca[#Headers],0)),"N.S.")</f>
        <v>N.S.</v>
      </c>
      <c r="AR42" s="1" t="str">
        <f ca="1">IF(AND(HC[[#This Row],[cd,b,pil (kN/cm²)]]&lt;=HC[[#This Row],[cd,b,lim (kN/cm²)]],HC[[#This Row],[cd,b,est (kN/cm²)]]&lt;=HC[[#This Row],[cd,b,lim (kN/cm²)]]),"OK","ERRO")</f>
        <v>OK</v>
      </c>
      <c r="AS42" s="4" t="str">
        <f ca="1">As_lado(HC[[#This Row],[nE]],HC[[#This Row],[Nsd (kN)]],HC[[#This Row],[d (cm)]],HC[[#This Row],[e (cm)]],HC[[#This Row],[ap,eq (cm)]])</f>
        <v>N.S.</v>
      </c>
      <c r="AT42" s="4" t="str">
        <f ca="1">IF(HC[[#This Row],[nE]]=1,HC[[#This Row],[As,lado (cm²)]],IF(HC[[#This Row],[nE]]=2,0.075*2*HC[a (cm)],"N.A."))</f>
        <v>N.A.</v>
      </c>
      <c r="AU42" s="4" t="str">
        <f ca="1">IFERROR(IF(HC[[#This Row],[nE]]=1,"N.A.",0.2*HC[[#This Row],[As,lado (cm²)]]),"N.S.")</f>
        <v>N.S.</v>
      </c>
      <c r="AV42" s="4" t="str">
        <f ca="1">As_malha(HC[[#This Row],[nE]],HC[[#This Row],[As,lado (cm²)]],HC[[#This Row],[Nsd (kN)]])</f>
        <v>N.S.</v>
      </c>
      <c r="AW42" s="4" t="str">
        <f ca="1">As_susp_tot(HC[[#This Row],[nE]],HC[[#This Row],[Nsd (kN)]])</f>
        <v>N.S.</v>
      </c>
      <c r="AX42" s="4" t="str">
        <f ca="1">Asp_face(HC[[#This Row],[nE]],HC[[#This Row],[As,lado (cm²)]])</f>
        <v>N.S.</v>
      </c>
      <c r="AY42" s="5" t="str">
        <f ca="1">acoBloco(HC[[#This Row],[nE]],HC[[#This Row],[e (cm)]],HC[[#This Row],[a (cm)]],HC[[#This Row],[h (cm)]],HC[[#This Row],[As,lado (cm²)]],HC[[#This Row],[Asp e Asw (cm²/m)]],HC[[#This Row],[As,sup (cm²)]],HC[[#This Row],[As,malha (cm²)]],HC[[#This Row],[As,susp,tot (cm²)]],HC[[#This Row],[Asp,face (cm²)]])</f>
        <v>N.S.</v>
      </c>
      <c r="AZ42" s="4" t="str">
        <f ca="1">concretoBloco(HC[[#This Row],[nE]],HC[[#This Row],[e (cm)]],HC[[#This Row],[a (cm)]],HC[[#This Row],[h (cm)]])</f>
        <v>N.S.</v>
      </c>
      <c r="BA42" s="5">
        <f ca="1">SUM(HC[[#This Row],[Aço Est (kg)]],HC[[#This Row],[Aço Bloco (kg)]])</f>
        <v>8.8781408390447556</v>
      </c>
      <c r="BB42" s="4">
        <f>INDEX(composicoes[],MATCH(95580,composicoes[CÓDIGO],0),MATCH("CUSTO TOTAL",composicoes[#Headers],0))</f>
        <v>10.46</v>
      </c>
      <c r="BC42" s="4">
        <f ca="1">SUM(HC[[#This Row],[Conc Est (m³)]],HC[[#This Row],[Conc Bloco (m³)]])</f>
        <v>12.723450247038663</v>
      </c>
      <c r="BD42" s="4">
        <f>INDEX(composicoes[],MATCH(94966,composicoes[CÓDIGO],0),MATCH("CUSTO TOTAL",composicoes[#Headers],0))</f>
        <v>439.52</v>
      </c>
      <c r="BE42" s="38">
        <f ca="1">HC[[#This Row],[Aço (kg)]]*HC[[#This Row],[Aço (R$/kg)]]+HC[[#This Row],[Conc (m³)]]*HC[[#This Row],[Conc (R$/m³)]]</f>
        <v>5685.0762057548418</v>
      </c>
      <c r="BF42" s="4" t="str">
        <f ca="1">IF(COUNTIF(HC[#This Row],"N.S.")&gt;0,"lim.","OK")</f>
        <v>lim.</v>
      </c>
      <c r="BG42" s="4" t="str">
        <f>IF(HC[[#This Row],[Prof. (m)]]&lt;4,"lim.","OK")</f>
        <v>OK</v>
      </c>
      <c r="BH42" s="4" t="str">
        <f>IF(HC[[#This Row],[Prof. (m)]]&gt;=8*HC[[#This Row],[Ø (cm)]]/100,"OK","lim.")</f>
        <v>OK</v>
      </c>
      <c r="BI42" s="4" t="str">
        <f ca="1">IF(HC[[#This Row],[Verif. Biela]]="OK","OK","lim.")</f>
        <v>OK</v>
      </c>
      <c r="BJ42" s="4" t="str">
        <f ca="1">IF(COUNTA(HC[[#This Row],[Nº Est.]:[Biela comp.]])=COUNTIF(HC[[#This Row],[Nº Est.]:[Biela comp.]],"OK"),"OK","lim.")</f>
        <v>lim.</v>
      </c>
      <c r="BK42" s="4" t="str">
        <f ca="1">IF(HC[[#This Row],[Controle]]="OK",HC[[#This Row],[nE]]&amp;" Ø"&amp;HC[[#This Row],[Ø (cm)]]&amp;"cm Prof. "&amp;HC[[#This Row],[Prof. (m)]]&amp;" m","")</f>
        <v/>
      </c>
      <c r="BL42" s="4" t="str">
        <f ca="1">IF(HC[[#This Row],[idDimensionamento]]="","",HC[[#This Row],[idPilar]]&amp;HC[[#This Row],[idDimensionamento]])</f>
        <v/>
      </c>
    </row>
    <row r="43" spans="2:64" x14ac:dyDescent="0.25">
      <c r="B43" s="12">
        <f>ROUNDUP((ROW(HC[[#This Row],[idDiâmetro]])-ROW(HC[[#Headers],[idDiâmetro]]))/(COUNT(SPT[Prof. (m)])*COUNT(PILARES[Pilar])),0)</f>
        <v>2</v>
      </c>
      <c r="C43" s="12">
        <f>IF(HC[[#This Row],[idDiâmetro]]&lt;&gt;B42,1,IF(HC[[#This Row],[Prof. (m)]]=0,C42+1,C42))</f>
        <v>1</v>
      </c>
      <c r="D43" s="1">
        <f>IFERROR(IF(D42=MAX(SPT[Prof. (m)]),0,D42+1),0)</f>
        <v>10</v>
      </c>
      <c r="E43" s="1">
        <f>INDEX(SPT[],MATCH(HC[[#This Row],[Prof. (m)]],SPT[Prof. (m)],0),2)</f>
        <v>32</v>
      </c>
      <c r="F43" s="1" t="str">
        <f>INDEX(SPT[],MATCH(HC[[#This Row],[Prof. (m)]],SPT[Prof. (m)],0),3)</f>
        <v>Areia siltosa</v>
      </c>
      <c r="G43" s="1">
        <f>INDEX(estacas[],HC[[#This Row],[idDiâmetro]],MATCH($B$2,estacas[#Headers],0))</f>
        <v>30</v>
      </c>
      <c r="H43" s="1">
        <f>INDEX(estacas[],MATCH(HC[[#This Row],[Ø (cm)]],estacas[Ø HC (cm)],0),MATCH(HC[[#Headers],[Pe HC (kN)]],estacas[#Headers],0))</f>
        <v>450</v>
      </c>
      <c r="I43" s="4">
        <f>INDEX(K_alpha_C[],MATCH(HC[[#This Row],[Solo]],K_alpha_C[Solo],0),2)</f>
        <v>0.8</v>
      </c>
      <c r="J43" s="5">
        <f>INDEX(K_alpha_C[],MATCH(HC[[#This Row],[Solo]],K_alpha_C[Solo],0),3)</f>
        <v>2</v>
      </c>
      <c r="K43" s="4">
        <f>INDEX(F1_F2[],MATCH($D$2,F1_F2[Tipo de estaca],0),2)</f>
        <v>2</v>
      </c>
      <c r="L43" s="4">
        <f>INDEX(F1_F2[],MATCH($D$2,F1_F2[Tipo de estaca],0),3)</f>
        <v>4</v>
      </c>
      <c r="M43" s="4">
        <f>PI()*(HC[[#This Row],[Ø (cm)]]/100)^2/4</f>
        <v>7.0685834705770348E-2</v>
      </c>
      <c r="N43" s="4">
        <f>PI()*HC[[#This Row],[Ø (cm)]]/100</f>
        <v>0.94247779607693782</v>
      </c>
      <c r="O43" s="4">
        <f>IF(HC[[#This Row],[Prof. (m)]]=0,0,HC[[#This Row],[α (%)]]/100*HC[[#This Row],[K (MPa)]]*1000*HC[[#This Row],[NSPT]])</f>
        <v>512</v>
      </c>
      <c r="P43" s="4">
        <f>IF(HC[[#This Row],[Prof. (m)]]=0,0,(HC[[#This Row],[K (MPa)]]*1000*HC[[#This Row],[NSPT]]/HC[[#This Row],[F1]]*HC[[#This Row],[Ap (m²)]]+HC[[#This Row],[U (m)]]/HC[[#This Row],[F2]]*SUMIFS(HC[(α∙K∙NL∙ΔL)],HC[Prof. (m)],"&lt;="&amp;HC[[#This Row],[Prof. (m)]],HC[idDiâmetro],HC[[#This Row],[idDiâmetro]],HC[idPilar],HC[[#This Row],[idPilar]]))/'DADOS CAP. CARGA'!$D$2)</f>
        <v>679.51470999902131</v>
      </c>
      <c r="Q43" s="12">
        <f>INDEX(C_alpha_beta[],MATCH(HC[[#This Row],[Solo]],C_alpha_beta[Solo],0),MATCH(HC[[#Headers],[C (kPa)]],C_alpha_beta[#Headers],0))</f>
        <v>400</v>
      </c>
      <c r="R43" s="4">
        <f>INDEX(C_alpha_beta[],MATCH(HC[[#This Row],[Solo]],C_alpha_beta[Solo],0),MATCH(HC[[#Headers],[α ESF]],C_alpha_beta[#Headers],0))</f>
        <v>0.5</v>
      </c>
      <c r="S43" s="4">
        <f>INDEX(C_alpha_beta[],MATCH(HC[[#This Row],[Solo]],C_alpha_beta[Solo],0),MATCH(HC[[#Headers],[β ESF]],C_alpha_beta[#Headers],0))</f>
        <v>0.5</v>
      </c>
      <c r="T43" s="4">
        <f>IF(HC[[#This Row],[Prof. (m)]]=0,0,10*(HC[[#This Row],[NSPT]]/3+1))</f>
        <v>116.66666666666666</v>
      </c>
      <c r="U43" s="4">
        <f>(HC[[#This Row],[α ESF]]*HC[[#This Row],[C (kPa)]]*HC[[#This Row],[NSPT]]*HC[[#This Row],[Ap (m²)]])/'DADOS CAP. CARGA'!$Q$2+(HC[[#This Row],[β ESF]]*SUMIFS(HC[10∙(NL/3+1)],HC[Prof. (m)],"&lt;="&amp;HC[[#This Row],[Prof. (m)]],HC[idDiâmetro],HC[[#This Row],[idDiâmetro]],HC[idPilar],HC[[#This Row],[idPilar]])*HC[[#This Row],[U (m)]])/'DADOS CAP. CARGA'!$S$2</f>
        <v>238.76104167282426</v>
      </c>
      <c r="V43" s="4">
        <f>IF(SPT!$M$5=1,MIN(HC[[#This Row],[Pe HC (kN)]],HC[[#This Row],[R_AV (kN)]]),IF(SPT!$M$5=2,MIN(HC[[#This Row],[Pe HC (kN)]],HC[[#This Row],[R_DC (kN)]]),MIN(HC[[#This Row],[Pe HC (kN)]],HC[[#This Row],[R_AV (kN)]],HC[[#This Row],[R_DC (kN)]])))</f>
        <v>238.76104167282426</v>
      </c>
      <c r="W43" s="4">
        <f>INDEX(PILARES[],HC[[#This Row],[idPilar]],MATCH("Carga (kN)",PILARES[#Headers],0))*1.4</f>
        <v>3500</v>
      </c>
      <c r="X43" s="12">
        <f>INDEX(PILARES[],HC[[#This Row],[idPilar]],MATCH(HC[[#Headers],[ap (cm)]],PILARES[#Headers],0))</f>
        <v>60</v>
      </c>
      <c r="Y43" s="12">
        <f>INDEX(PILARES[],HC[[#This Row],[idPilar]],MATCH(HC[[#Headers],[bp (cm)]],PILARES[#Headers],0))</f>
        <v>60</v>
      </c>
      <c r="Z43" s="4">
        <f>SQRT(HC[[#This Row],[ap (cm)]]*HC[[#This Row],[bp (cm)]])</f>
        <v>60</v>
      </c>
      <c r="AA43" s="12">
        <f>HC[[#This Row],[ap (cm)]]*HC[[#This Row],[bp (cm)]]</f>
        <v>3600</v>
      </c>
      <c r="AB43" s="12">
        <f ca="1">IF(HC[[#This Row],[Padm∙ε (kN)]]&gt;=HC[[#This Row],[Padm (kN)]],ROUNDUP(1.05*HC[[#This Row],[Nsd (kN)]]/HC[[#This Row],[Padm (kN)]],0),ROUNDUP(1.05*HC[[#This Row],[Nsd (kN)]]/HC[[#This Row],[Padm (kN)]],0)+1)</f>
        <v>16</v>
      </c>
      <c r="AC43" s="4" t="str">
        <f ca="1">IFERROR(IF(HC[[#This Row],[nE]]=1,HC[[#This Row],[Padm (kN)]],HC[[#This Row],[Padm (kN)]]*HC[[#This Row],[nE]]*INDEX(grupoEstacas[],HC[[#This Row],[nE]],MATCH("ε",grupoEstacas[#Headers],0))),"N.S.")</f>
        <v>N.S.</v>
      </c>
      <c r="AD43" s="4">
        <f ca="1">1.05*HC[[#This Row],[Nsd (kN)]]/(HC[[#This Row],[nE]]*PI()*HC[[#This Row],[Ø (cm)]]^2/4)*10</f>
        <v>3.24941342145953</v>
      </c>
      <c r="AE43" s="4">
        <f ca="1">IF(HC[[#This Row],[σ (MPa)]]&lt;INDEX(tipoEstaca[],MATCH($D$2,tipoEstaca[TIPO DE ESTACA],0),MATCH("σmáx (MPa)",tipoEstaca[#Headers],0)),0.4%*PI()*HC[[#This Row],[Ø (cm)]]^2/4,"N.S.")</f>
        <v>2.8274333882308138</v>
      </c>
      <c r="AF43" s="1">
        <f>INDEX(tipoEstaca[],MATCH($D$2,tipoEstaca[TIPO DE ESTACA],0),MATCH(HC[[#Headers],[Comprimento (m)]],tipoEstaca[#Headers],0))</f>
        <v>4</v>
      </c>
      <c r="AG43" s="5">
        <f ca="1">HC[[#This Row],[As,mín (cm²)]]/100^2*HC[[#This Row],[Comprimento (m)]]*7850</f>
        <v>8.8781408390447556</v>
      </c>
      <c r="AH43" s="4">
        <f ca="1">HC[[#This Row],[nE]]*HC[[#This Row],[Prof. (m)]]*HC[[#This Row],[Ap (m²)]]</f>
        <v>11.309733552923255</v>
      </c>
      <c r="AI43" s="1">
        <f ca="1">IF(HC[[#This Row],[nE]]=1,0,MAX(3*HC[[#This Row],[Ø (cm)]],60))</f>
        <v>90</v>
      </c>
      <c r="AJ43" s="1">
        <f ca="1">IF(HC[[#This Row],[nE]]=1,HC[[#This Row],[Ø (cm)]]+2*10,MAX(1.5*HC[[#This Row],[Ø (cm)]],HC[[#This Row],[Ø (cm)]]+15))</f>
        <v>45</v>
      </c>
      <c r="AK43" s="1" t="str">
        <f ca="1">alturaUtil(HC[[#This Row],[nE]],HC[[#This Row],[Ø (cm)]],HC[[#This Row],[e (cm)]],HC[[#This Row],[ap,eq (cm)]])</f>
        <v>N.S.</v>
      </c>
      <c r="AL43" s="1" t="str">
        <f ca="1">IFERROR(HC[[#This Row],[d (cm)]]+arredondarParaCimaMultiplo5cm(MAX(5,SQRT(PI())/2*HC[[#This Row],[Ø (cm)]]/5)),"N.S.")</f>
        <v>N.S.</v>
      </c>
      <c r="AM43" s="5" t="str">
        <f ca="1">alpha(HC[[#This Row],[nE]],HC[[#This Row],[d (cm)]],HC[[#This Row],[e (cm)]],HC[[#This Row],[ap,eq (cm)]])</f>
        <v>N.S.</v>
      </c>
      <c r="AN43" s="35" t="str">
        <f ca="1">IFERROR(HC[[#This Row],[Nsd (kN)]]/(HC[[#This Row],[Ap (cm²)]]*SIN(HC[[#This Row],[α]])^2),"N.S.")</f>
        <v>N.S.</v>
      </c>
      <c r="AO43" s="35" t="str">
        <f ca="1">IFERROR(HC[[#This Row],[Nsd (kN)]]/(HC[[#This Row],[nE]]*PI()*HC[[#This Row],[Ø (cm)]]^2/4*SIN(HC[[#This Row],[α]])^2),"N.S.")</f>
        <v>N.S.</v>
      </c>
      <c r="AP43" s="4" t="str">
        <f ca="1">IFERROR(INDEX(grupoEstacas[],HC[[#This Row],[nE]],MATCH("coef. Blévot",grupoEstacas[#Headers],0)),"N.S.")</f>
        <v>N.S.</v>
      </c>
      <c r="AQ43" s="35" t="str">
        <f ca="1">IFERROR(HC[[#This Row],[coef. Blévot]]*0.9*INDEX(tipoEstaca[],MATCH($D$2,tipoEstaca[TIPO DE ESTACA],0),MATCH("fcd (kN/cm²)",tipoEstaca[#Headers],0)),"N.S.")</f>
        <v>N.S.</v>
      </c>
      <c r="AR43" s="1" t="str">
        <f ca="1">IF(AND(HC[[#This Row],[cd,b,pil (kN/cm²)]]&lt;=HC[[#This Row],[cd,b,lim (kN/cm²)]],HC[[#This Row],[cd,b,est (kN/cm²)]]&lt;=HC[[#This Row],[cd,b,lim (kN/cm²)]]),"OK","ERRO")</f>
        <v>OK</v>
      </c>
      <c r="AS43" s="4" t="str">
        <f ca="1">As_lado(HC[[#This Row],[nE]],HC[[#This Row],[Nsd (kN)]],HC[[#This Row],[d (cm)]],HC[[#This Row],[e (cm)]],HC[[#This Row],[ap,eq (cm)]])</f>
        <v>N.S.</v>
      </c>
      <c r="AT43" s="4" t="str">
        <f ca="1">IF(HC[[#This Row],[nE]]=1,HC[[#This Row],[As,lado (cm²)]],IF(HC[[#This Row],[nE]]=2,0.075*2*HC[a (cm)],"N.A."))</f>
        <v>N.A.</v>
      </c>
      <c r="AU43" s="4" t="str">
        <f ca="1">IFERROR(IF(HC[[#This Row],[nE]]=1,"N.A.",0.2*HC[[#This Row],[As,lado (cm²)]]),"N.S.")</f>
        <v>N.S.</v>
      </c>
      <c r="AV43" s="4" t="str">
        <f ca="1">As_malha(HC[[#This Row],[nE]],HC[[#This Row],[As,lado (cm²)]],HC[[#This Row],[Nsd (kN)]])</f>
        <v>N.S.</v>
      </c>
      <c r="AW43" s="4" t="str">
        <f ca="1">As_susp_tot(HC[[#This Row],[nE]],HC[[#This Row],[Nsd (kN)]])</f>
        <v>N.S.</v>
      </c>
      <c r="AX43" s="4" t="str">
        <f ca="1">Asp_face(HC[[#This Row],[nE]],HC[[#This Row],[As,lado (cm²)]])</f>
        <v>N.S.</v>
      </c>
      <c r="AY43" s="5" t="str">
        <f ca="1">acoBloco(HC[[#This Row],[nE]],HC[[#This Row],[e (cm)]],HC[[#This Row],[a (cm)]],HC[[#This Row],[h (cm)]],HC[[#This Row],[As,lado (cm²)]],HC[[#This Row],[Asp e Asw (cm²/m)]],HC[[#This Row],[As,sup (cm²)]],HC[[#This Row],[As,malha (cm²)]],HC[[#This Row],[As,susp,tot (cm²)]],HC[[#This Row],[Asp,face (cm²)]])</f>
        <v>N.S.</v>
      </c>
      <c r="AZ43" s="4" t="str">
        <f ca="1">concretoBloco(HC[[#This Row],[nE]],HC[[#This Row],[e (cm)]],HC[[#This Row],[a (cm)]],HC[[#This Row],[h (cm)]])</f>
        <v>N.S.</v>
      </c>
      <c r="BA43" s="5">
        <f ca="1">SUM(HC[[#This Row],[Aço Est (kg)]],HC[[#This Row],[Aço Bloco (kg)]])</f>
        <v>8.8781408390447556</v>
      </c>
      <c r="BB43" s="4">
        <f>INDEX(composicoes[],MATCH(95580,composicoes[CÓDIGO],0),MATCH("CUSTO TOTAL",composicoes[#Headers],0))</f>
        <v>10.46</v>
      </c>
      <c r="BC43" s="4">
        <f ca="1">SUM(HC[[#This Row],[Conc Est (m³)]],HC[[#This Row],[Conc Bloco (m³)]])</f>
        <v>11.309733552923255</v>
      </c>
      <c r="BD43" s="4">
        <f>INDEX(composicoes[],MATCH(94966,composicoes[CÓDIGO],0),MATCH("CUSTO TOTAL",composicoes[#Headers],0))</f>
        <v>439.52</v>
      </c>
      <c r="BE43" s="38">
        <f ca="1">HC[[#This Row],[Aço (kg)]]*HC[[#This Row],[Aço (R$/kg)]]+HC[[#This Row],[Conc (m³)]]*HC[[#This Row],[Conc (R$/m³)]]</f>
        <v>5063.7194443572371</v>
      </c>
      <c r="BF43" s="4" t="str">
        <f ca="1">IF(COUNTIF(HC[#This Row],"N.S.")&gt;0,"lim.","OK")</f>
        <v>lim.</v>
      </c>
      <c r="BG43" s="4" t="str">
        <f>IF(HC[[#This Row],[Prof. (m)]]&lt;4,"lim.","OK")</f>
        <v>OK</v>
      </c>
      <c r="BH43" s="4" t="str">
        <f>IF(HC[[#This Row],[Prof. (m)]]&gt;=8*HC[[#This Row],[Ø (cm)]]/100,"OK","lim.")</f>
        <v>OK</v>
      </c>
      <c r="BI43" s="4" t="str">
        <f ca="1">IF(HC[[#This Row],[Verif. Biela]]="OK","OK","lim.")</f>
        <v>OK</v>
      </c>
      <c r="BJ43" s="4" t="str">
        <f ca="1">IF(COUNTA(HC[[#This Row],[Nº Est.]:[Biela comp.]])=COUNTIF(HC[[#This Row],[Nº Est.]:[Biela comp.]],"OK"),"OK","lim.")</f>
        <v>lim.</v>
      </c>
      <c r="BK43" s="4" t="str">
        <f ca="1">IF(HC[[#This Row],[Controle]]="OK",HC[[#This Row],[nE]]&amp;" Ø"&amp;HC[[#This Row],[Ø (cm)]]&amp;"cm Prof. "&amp;HC[[#This Row],[Prof. (m)]]&amp;" m","")</f>
        <v/>
      </c>
      <c r="BL43" s="4" t="str">
        <f ca="1">IF(HC[[#This Row],[idDimensionamento]]="","",HC[[#This Row],[idPilar]]&amp;HC[[#This Row],[idDimensionamento]])</f>
        <v/>
      </c>
    </row>
    <row r="44" spans="2:64" x14ac:dyDescent="0.25">
      <c r="B44" s="12">
        <f>ROUNDUP((ROW(HC[[#This Row],[idDiâmetro]])-ROW(HC[[#Headers],[idDiâmetro]]))/(COUNT(SPT[Prof. (m)])*COUNT(PILARES[Pilar])),0)</f>
        <v>2</v>
      </c>
      <c r="C44" s="12">
        <f>IF(HC[[#This Row],[idDiâmetro]]&lt;&gt;B43,1,IF(HC[[#This Row],[Prof. (m)]]=0,C43+1,C43))</f>
        <v>1</v>
      </c>
      <c r="D44" s="1">
        <f>IFERROR(IF(D43=MAX(SPT[Prof. (m)]),0,D43+1),0)</f>
        <v>11</v>
      </c>
      <c r="E44" s="1">
        <f>INDEX(SPT[],MATCH(HC[[#This Row],[Prof. (m)]],SPT[Prof. (m)],0),2)</f>
        <v>41</v>
      </c>
      <c r="F44" s="1" t="str">
        <f>INDEX(SPT[],MATCH(HC[[#This Row],[Prof. (m)]],SPT[Prof. (m)],0),3)</f>
        <v>Areia siltosa</v>
      </c>
      <c r="G44" s="1">
        <f>INDEX(estacas[],HC[[#This Row],[idDiâmetro]],MATCH($B$2,estacas[#Headers],0))</f>
        <v>30</v>
      </c>
      <c r="H44" s="1">
        <f>INDEX(estacas[],MATCH(HC[[#This Row],[Ø (cm)]],estacas[Ø HC (cm)],0),MATCH(HC[[#Headers],[Pe HC (kN)]],estacas[#Headers],0))</f>
        <v>450</v>
      </c>
      <c r="I44" s="4">
        <f>INDEX(K_alpha_C[],MATCH(HC[[#This Row],[Solo]],K_alpha_C[Solo],0),2)</f>
        <v>0.8</v>
      </c>
      <c r="J44" s="5">
        <f>INDEX(K_alpha_C[],MATCH(HC[[#This Row],[Solo]],K_alpha_C[Solo],0),3)</f>
        <v>2</v>
      </c>
      <c r="K44" s="4">
        <f>INDEX(F1_F2[],MATCH($D$2,F1_F2[Tipo de estaca],0),2)</f>
        <v>2</v>
      </c>
      <c r="L44" s="4">
        <f>INDEX(F1_F2[],MATCH($D$2,F1_F2[Tipo de estaca],0),3)</f>
        <v>4</v>
      </c>
      <c r="M44" s="4">
        <f>PI()*(HC[[#This Row],[Ø (cm)]]/100)^2/4</f>
        <v>7.0685834705770348E-2</v>
      </c>
      <c r="N44" s="4">
        <f>PI()*HC[[#This Row],[Ø (cm)]]/100</f>
        <v>0.94247779607693782</v>
      </c>
      <c r="O44" s="4">
        <f>IF(HC[[#This Row],[Prof. (m)]]=0,0,HC[[#This Row],[α (%)]]/100*HC[[#This Row],[K (MPa)]]*1000*HC[[#This Row],[NSPT]])</f>
        <v>656</v>
      </c>
      <c r="P44" s="4">
        <f>IF(HC[[#This Row],[Prof. (m)]]=0,0,(HC[[#This Row],[K (MPa)]]*1000*HC[[#This Row],[NSPT]]/HC[[#This Row],[F1]]*HC[[#This Row],[Ap (m²)]]+HC[[#This Row],[U (m)]]/HC[[#This Row],[F2]]*SUMIFS(HC[(α∙K∙NL∙ΔL)],HC[Prof. (m)],"&lt;="&amp;HC[[#This Row],[Prof. (m)]],HC[idDiâmetro],HC[[#This Row],[idDiâmetro]],HC[idPilar],HC[[#This Row],[idPilar]]))/'DADOS CAP. CARGA'!$D$2)</f>
        <v>884.03239174771682</v>
      </c>
      <c r="Q44" s="12">
        <f>INDEX(C_alpha_beta[],MATCH(HC[[#This Row],[Solo]],C_alpha_beta[Solo],0),MATCH(HC[[#Headers],[C (kPa)]],C_alpha_beta[#Headers],0))</f>
        <v>400</v>
      </c>
      <c r="R44" s="4">
        <f>INDEX(C_alpha_beta[],MATCH(HC[[#This Row],[Solo]],C_alpha_beta[Solo],0),MATCH(HC[[#Headers],[α ESF]],C_alpha_beta[#Headers],0))</f>
        <v>0.5</v>
      </c>
      <c r="S44" s="4">
        <f>INDEX(C_alpha_beta[],MATCH(HC[[#This Row],[Solo]],C_alpha_beta[Solo],0),MATCH(HC[[#Headers],[β ESF]],C_alpha_beta[#Headers],0))</f>
        <v>0.5</v>
      </c>
      <c r="T44" s="4">
        <f>IF(HC[[#This Row],[Prof. (m)]]=0,0,10*(HC[[#This Row],[NSPT]]/3+1))</f>
        <v>146.66666666666666</v>
      </c>
      <c r="U44" s="4">
        <f>(HC[[#This Row],[α ESF]]*HC[[#This Row],[C (kPa)]]*HC[[#This Row],[NSPT]]*HC[[#This Row],[Ap (m²)]])/'DADOS CAP. CARGA'!$Q$2+(HC[[#This Row],[β ESF]]*SUMIFS(HC[10∙(NL/3+1)],HC[Prof. (m)],"&lt;="&amp;HC[[#This Row],[Prof. (m)]],HC[idDiâmetro],HC[[#This Row],[idDiâmetro]],HC[idPilar],HC[[#This Row],[idPilar]])*HC[[#This Row],[U (m)]])/'DADOS CAP. CARGA'!$S$2</f>
        <v>305.12718647990863</v>
      </c>
      <c r="V44" s="4">
        <f>IF(SPT!$M$5=1,MIN(HC[[#This Row],[Pe HC (kN)]],HC[[#This Row],[R_AV (kN)]]),IF(SPT!$M$5=2,MIN(HC[[#This Row],[Pe HC (kN)]],HC[[#This Row],[R_DC (kN)]]),MIN(HC[[#This Row],[Pe HC (kN)]],HC[[#This Row],[R_AV (kN)]],HC[[#This Row],[R_DC (kN)]])))</f>
        <v>305.12718647990863</v>
      </c>
      <c r="W44" s="4">
        <f>INDEX(PILARES[],HC[[#This Row],[idPilar]],MATCH("Carga (kN)",PILARES[#Headers],0))*1.4</f>
        <v>3500</v>
      </c>
      <c r="X44" s="12">
        <f>INDEX(PILARES[],HC[[#This Row],[idPilar]],MATCH(HC[[#Headers],[ap (cm)]],PILARES[#Headers],0))</f>
        <v>60</v>
      </c>
      <c r="Y44" s="12">
        <f>INDEX(PILARES[],HC[[#This Row],[idPilar]],MATCH(HC[[#Headers],[bp (cm)]],PILARES[#Headers],0))</f>
        <v>60</v>
      </c>
      <c r="Z44" s="4">
        <f>SQRT(HC[[#This Row],[ap (cm)]]*HC[[#This Row],[bp (cm)]])</f>
        <v>60</v>
      </c>
      <c r="AA44" s="12">
        <f>HC[[#This Row],[ap (cm)]]*HC[[#This Row],[bp (cm)]]</f>
        <v>3600</v>
      </c>
      <c r="AB44" s="12">
        <f ca="1">IF(HC[[#This Row],[Padm∙ε (kN)]]&gt;=HC[[#This Row],[Padm (kN)]],ROUNDUP(1.05*HC[[#This Row],[Nsd (kN)]]/HC[[#This Row],[Padm (kN)]],0),ROUNDUP(1.05*HC[[#This Row],[Nsd (kN)]]/HC[[#This Row],[Padm (kN)]],0)+1)</f>
        <v>13</v>
      </c>
      <c r="AC44" s="4" t="str">
        <f ca="1">IFERROR(IF(HC[[#This Row],[nE]]=1,HC[[#This Row],[Padm (kN)]],HC[[#This Row],[Padm (kN)]]*HC[[#This Row],[nE]]*INDEX(grupoEstacas[],HC[[#This Row],[nE]],MATCH("ε",grupoEstacas[#Headers],0))),"N.S.")</f>
        <v>N.S.</v>
      </c>
      <c r="AD44" s="4">
        <f ca="1">1.05*HC[[#This Row],[Nsd (kN)]]/(HC[[#This Row],[nE]]*PI()*HC[[#This Row],[Ø (cm)]]^2/4)*10</f>
        <v>3.9992780571809594</v>
      </c>
      <c r="AE44" s="4">
        <f ca="1">IF(HC[[#This Row],[σ (MPa)]]&lt;INDEX(tipoEstaca[],MATCH($D$2,tipoEstaca[TIPO DE ESTACA],0),MATCH("σmáx (MPa)",tipoEstaca[#Headers],0)),0.4%*PI()*HC[[#This Row],[Ø (cm)]]^2/4,"N.S.")</f>
        <v>2.8274333882308138</v>
      </c>
      <c r="AF44" s="1">
        <f>INDEX(tipoEstaca[],MATCH($D$2,tipoEstaca[TIPO DE ESTACA],0),MATCH(HC[[#Headers],[Comprimento (m)]],tipoEstaca[#Headers],0))</f>
        <v>4</v>
      </c>
      <c r="AG44" s="5">
        <f ca="1">HC[[#This Row],[As,mín (cm²)]]/100^2*HC[[#This Row],[Comprimento (m)]]*7850</f>
        <v>8.8781408390447556</v>
      </c>
      <c r="AH44" s="4">
        <f ca="1">HC[[#This Row],[nE]]*HC[[#This Row],[Prof. (m)]]*HC[[#This Row],[Ap (m²)]]</f>
        <v>10.10807436292516</v>
      </c>
      <c r="AI44" s="1">
        <f ca="1">IF(HC[[#This Row],[nE]]=1,0,MAX(3*HC[[#This Row],[Ø (cm)]],60))</f>
        <v>90</v>
      </c>
      <c r="AJ44" s="1">
        <f ca="1">IF(HC[[#This Row],[nE]]=1,HC[[#This Row],[Ø (cm)]]+2*10,MAX(1.5*HC[[#This Row],[Ø (cm)]],HC[[#This Row],[Ø (cm)]]+15))</f>
        <v>45</v>
      </c>
      <c r="AK44" s="1" t="str">
        <f ca="1">alturaUtil(HC[[#This Row],[nE]],HC[[#This Row],[Ø (cm)]],HC[[#This Row],[e (cm)]],HC[[#This Row],[ap,eq (cm)]])</f>
        <v>N.S.</v>
      </c>
      <c r="AL44" s="1" t="str">
        <f ca="1">IFERROR(HC[[#This Row],[d (cm)]]+arredondarParaCimaMultiplo5cm(MAX(5,SQRT(PI())/2*HC[[#This Row],[Ø (cm)]]/5)),"N.S.")</f>
        <v>N.S.</v>
      </c>
      <c r="AM44" s="5" t="str">
        <f ca="1">alpha(HC[[#This Row],[nE]],HC[[#This Row],[d (cm)]],HC[[#This Row],[e (cm)]],HC[[#This Row],[ap,eq (cm)]])</f>
        <v>N.S.</v>
      </c>
      <c r="AN44" s="35" t="str">
        <f ca="1">IFERROR(HC[[#This Row],[Nsd (kN)]]/(HC[[#This Row],[Ap (cm²)]]*SIN(HC[[#This Row],[α]])^2),"N.S.")</f>
        <v>N.S.</v>
      </c>
      <c r="AO44" s="35" t="str">
        <f ca="1">IFERROR(HC[[#This Row],[Nsd (kN)]]/(HC[[#This Row],[nE]]*PI()*HC[[#This Row],[Ø (cm)]]^2/4*SIN(HC[[#This Row],[α]])^2),"N.S.")</f>
        <v>N.S.</v>
      </c>
      <c r="AP44" s="4" t="str">
        <f ca="1">IFERROR(INDEX(grupoEstacas[],HC[[#This Row],[nE]],MATCH("coef. Blévot",grupoEstacas[#Headers],0)),"N.S.")</f>
        <v>N.S.</v>
      </c>
      <c r="AQ44" s="35" t="str">
        <f ca="1">IFERROR(HC[[#This Row],[coef. Blévot]]*0.9*INDEX(tipoEstaca[],MATCH($D$2,tipoEstaca[TIPO DE ESTACA],0),MATCH("fcd (kN/cm²)",tipoEstaca[#Headers],0)),"N.S.")</f>
        <v>N.S.</v>
      </c>
      <c r="AR44" s="1" t="str">
        <f ca="1">IF(AND(HC[[#This Row],[cd,b,pil (kN/cm²)]]&lt;=HC[[#This Row],[cd,b,lim (kN/cm²)]],HC[[#This Row],[cd,b,est (kN/cm²)]]&lt;=HC[[#This Row],[cd,b,lim (kN/cm²)]]),"OK","ERRO")</f>
        <v>OK</v>
      </c>
      <c r="AS44" s="4" t="str">
        <f ca="1">As_lado(HC[[#This Row],[nE]],HC[[#This Row],[Nsd (kN)]],HC[[#This Row],[d (cm)]],HC[[#This Row],[e (cm)]],HC[[#This Row],[ap,eq (cm)]])</f>
        <v>N.S.</v>
      </c>
      <c r="AT44" s="4" t="str">
        <f ca="1">IF(HC[[#This Row],[nE]]=1,HC[[#This Row],[As,lado (cm²)]],IF(HC[[#This Row],[nE]]=2,0.075*2*HC[a (cm)],"N.A."))</f>
        <v>N.A.</v>
      </c>
      <c r="AU44" s="4" t="str">
        <f ca="1">IFERROR(IF(HC[[#This Row],[nE]]=1,"N.A.",0.2*HC[[#This Row],[As,lado (cm²)]]),"N.S.")</f>
        <v>N.S.</v>
      </c>
      <c r="AV44" s="4" t="str">
        <f ca="1">As_malha(HC[[#This Row],[nE]],HC[[#This Row],[As,lado (cm²)]],HC[[#This Row],[Nsd (kN)]])</f>
        <v>N.S.</v>
      </c>
      <c r="AW44" s="4" t="str">
        <f ca="1">As_susp_tot(HC[[#This Row],[nE]],HC[[#This Row],[Nsd (kN)]])</f>
        <v>N.S.</v>
      </c>
      <c r="AX44" s="4" t="str">
        <f ca="1">Asp_face(HC[[#This Row],[nE]],HC[[#This Row],[As,lado (cm²)]])</f>
        <v>N.S.</v>
      </c>
      <c r="AY44" s="5" t="str">
        <f ca="1">acoBloco(HC[[#This Row],[nE]],HC[[#This Row],[e (cm)]],HC[[#This Row],[a (cm)]],HC[[#This Row],[h (cm)]],HC[[#This Row],[As,lado (cm²)]],HC[[#This Row],[Asp e Asw (cm²/m)]],HC[[#This Row],[As,sup (cm²)]],HC[[#This Row],[As,malha (cm²)]],HC[[#This Row],[As,susp,tot (cm²)]],HC[[#This Row],[Asp,face (cm²)]])</f>
        <v>N.S.</v>
      </c>
      <c r="AZ44" s="4" t="str">
        <f ca="1">concretoBloco(HC[[#This Row],[nE]],HC[[#This Row],[e (cm)]],HC[[#This Row],[a (cm)]],HC[[#This Row],[h (cm)]])</f>
        <v>N.S.</v>
      </c>
      <c r="BA44" s="5">
        <f ca="1">SUM(HC[[#This Row],[Aço Est (kg)]],HC[[#This Row],[Aço Bloco (kg)]])</f>
        <v>8.8781408390447556</v>
      </c>
      <c r="BB44" s="4">
        <f>INDEX(composicoes[],MATCH(95580,composicoes[CÓDIGO],0),MATCH("CUSTO TOTAL",composicoes[#Headers],0))</f>
        <v>10.46</v>
      </c>
      <c r="BC44" s="4">
        <f ca="1">SUM(HC[[#This Row],[Conc Est (m³)]],HC[[#This Row],[Conc Bloco (m³)]])</f>
        <v>10.10807436292516</v>
      </c>
      <c r="BD44" s="4">
        <f>INDEX(composicoes[],MATCH(94966,composicoes[CÓDIGO],0),MATCH("CUSTO TOTAL",composicoes[#Headers],0))</f>
        <v>439.52</v>
      </c>
      <c r="BE44" s="38">
        <f ca="1">HC[[#This Row],[Aço (kg)]]*HC[[#This Row],[Aço (R$/kg)]]+HC[[#This Row],[Conc (m³)]]*HC[[#This Row],[Conc (R$/m³)]]</f>
        <v>4535.5661971692743</v>
      </c>
      <c r="BF44" s="4" t="str">
        <f ca="1">IF(COUNTIF(HC[#This Row],"N.S.")&gt;0,"lim.","OK")</f>
        <v>lim.</v>
      </c>
      <c r="BG44" s="4" t="str">
        <f>IF(HC[[#This Row],[Prof. (m)]]&lt;4,"lim.","OK")</f>
        <v>OK</v>
      </c>
      <c r="BH44" s="4" t="str">
        <f>IF(HC[[#This Row],[Prof. (m)]]&gt;=8*HC[[#This Row],[Ø (cm)]]/100,"OK","lim.")</f>
        <v>OK</v>
      </c>
      <c r="BI44" s="4" t="str">
        <f ca="1">IF(HC[[#This Row],[Verif. Biela]]="OK","OK","lim.")</f>
        <v>OK</v>
      </c>
      <c r="BJ44" s="4" t="str">
        <f ca="1">IF(COUNTA(HC[[#This Row],[Nº Est.]:[Biela comp.]])=COUNTIF(HC[[#This Row],[Nº Est.]:[Biela comp.]],"OK"),"OK","lim.")</f>
        <v>lim.</v>
      </c>
      <c r="BK44" s="4" t="str">
        <f ca="1">IF(HC[[#This Row],[Controle]]="OK",HC[[#This Row],[nE]]&amp;" Ø"&amp;HC[[#This Row],[Ø (cm)]]&amp;"cm Prof. "&amp;HC[[#This Row],[Prof. (m)]]&amp;" m","")</f>
        <v/>
      </c>
      <c r="BL44" s="4" t="str">
        <f ca="1">IF(HC[[#This Row],[idDimensionamento]]="","",HC[[#This Row],[idPilar]]&amp;HC[[#This Row],[idDimensionamento]])</f>
        <v/>
      </c>
    </row>
    <row r="45" spans="2:64" x14ac:dyDescent="0.25">
      <c r="B45" s="12">
        <f>ROUNDUP((ROW(HC[[#This Row],[idDiâmetro]])-ROW(HC[[#Headers],[idDiâmetro]]))/(COUNT(SPT[Prof. (m)])*COUNT(PILARES[Pilar])),0)</f>
        <v>2</v>
      </c>
      <c r="C45" s="12">
        <f>IF(HC[[#This Row],[idDiâmetro]]&lt;&gt;B44,1,IF(HC[[#This Row],[Prof. (m)]]=0,C44+1,C44))</f>
        <v>1</v>
      </c>
      <c r="D45" s="1">
        <f>IFERROR(IF(D44=MAX(SPT[Prof. (m)]),0,D44+1),0)</f>
        <v>12</v>
      </c>
      <c r="E45" s="1">
        <f>INDEX(SPT[],MATCH(HC[[#This Row],[Prof. (m)]],SPT[Prof. (m)],0),2)</f>
        <v>52</v>
      </c>
      <c r="F45" s="1" t="str">
        <f>INDEX(SPT[],MATCH(HC[[#This Row],[Prof. (m)]],SPT[Prof. (m)],0),3)</f>
        <v>Areia siltosa</v>
      </c>
      <c r="G45" s="1">
        <f>INDEX(estacas[],HC[[#This Row],[idDiâmetro]],MATCH($B$2,estacas[#Headers],0))</f>
        <v>30</v>
      </c>
      <c r="H45" s="1">
        <f>INDEX(estacas[],MATCH(HC[[#This Row],[Ø (cm)]],estacas[Ø HC (cm)],0),MATCH(HC[[#Headers],[Pe HC (kN)]],estacas[#Headers],0))</f>
        <v>450</v>
      </c>
      <c r="I45" s="4">
        <f>INDEX(K_alpha_C[],MATCH(HC[[#This Row],[Solo]],K_alpha_C[Solo],0),2)</f>
        <v>0.8</v>
      </c>
      <c r="J45" s="5">
        <f>INDEX(K_alpha_C[],MATCH(HC[[#This Row],[Solo]],K_alpha_C[Solo],0),3)</f>
        <v>2</v>
      </c>
      <c r="K45" s="4">
        <f>INDEX(F1_F2[],MATCH($D$2,F1_F2[Tipo de estaca],0),2)</f>
        <v>2</v>
      </c>
      <c r="L45" s="4">
        <f>INDEX(F1_F2[],MATCH($D$2,F1_F2[Tipo de estaca],0),3)</f>
        <v>4</v>
      </c>
      <c r="M45" s="4">
        <f>PI()*(HC[[#This Row],[Ø (cm)]]/100)^2/4</f>
        <v>7.0685834705770348E-2</v>
      </c>
      <c r="N45" s="4">
        <f>PI()*HC[[#This Row],[Ø (cm)]]/100</f>
        <v>0.94247779607693782</v>
      </c>
      <c r="O45" s="4">
        <f>IF(HC[[#This Row],[Prof. (m)]]=0,0,HC[[#This Row],[α (%)]]/100*HC[[#This Row],[K (MPa)]]*1000*HC[[#This Row],[NSPT]])</f>
        <v>832</v>
      </c>
      <c r="P45" s="4">
        <f>IF(HC[[#This Row],[Prof. (m)]]=0,0,(HC[[#This Row],[K (MPa)]]*1000*HC[[#This Row],[NSPT]]/HC[[#This Row],[F1]]*HC[[#This Row],[Ap (m²)]]+HC[[#This Row],[U (m)]]/HC[[#This Row],[F2]]*SUMIFS(HC[(α∙K∙NL∙ΔL)],HC[Prof. (m)],"&lt;="&amp;HC[[#This Row],[Prof. (m)]],HC[idDiâmetro],HC[[#This Row],[idDiâmetro]],HC[idPilar],HC[[#This Row],[idPilar]]))/'DADOS CAP. CARGA'!$D$2)</f>
        <v>1137.5589188924132</v>
      </c>
      <c r="Q45" s="12">
        <f>INDEX(C_alpha_beta[],MATCH(HC[[#This Row],[Solo]],C_alpha_beta[Solo],0),MATCH(HC[[#Headers],[C (kPa)]],C_alpha_beta[#Headers],0))</f>
        <v>400</v>
      </c>
      <c r="R45" s="4">
        <f>INDEX(C_alpha_beta[],MATCH(HC[[#This Row],[Solo]],C_alpha_beta[Solo],0),MATCH(HC[[#Headers],[α ESF]],C_alpha_beta[#Headers],0))</f>
        <v>0.5</v>
      </c>
      <c r="S45" s="4">
        <f>INDEX(C_alpha_beta[],MATCH(HC[[#This Row],[Solo]],C_alpha_beta[Solo],0),MATCH(HC[[#Headers],[β ESF]],C_alpha_beta[#Headers],0))</f>
        <v>0.5</v>
      </c>
      <c r="T45" s="4">
        <f>IF(HC[[#This Row],[Prof. (m)]]=0,0,10*(HC[[#This Row],[NSPT]]/3+1))</f>
        <v>183.33333333333331</v>
      </c>
      <c r="U45" s="4">
        <f>(HC[[#This Row],[α ESF]]*HC[[#This Row],[C (kPa)]]*HC[[#This Row],[NSPT]]*HC[[#This Row],[Ap (m²)]])/'DADOS CAP. CARGA'!$Q$2+(HC[[#This Row],[β ESF]]*SUMIFS(HC[10∙(NL/3+1)],HC[Prof. (m)],"&lt;="&amp;HC[[#This Row],[Prof. (m)]],HC[idDiâmetro],HC[[#This Row],[idDiâmetro]],HC[idPilar],HC[[#This Row],[idPilar]])*HC[[#This Row],[U (m)]])/'DADOS CAP. CARGA'!$S$2</f>
        <v>387.20129455494197</v>
      </c>
      <c r="V45" s="4">
        <f>IF(SPT!$M$5=1,MIN(HC[[#This Row],[Pe HC (kN)]],HC[[#This Row],[R_AV (kN)]]),IF(SPT!$M$5=2,MIN(HC[[#This Row],[Pe HC (kN)]],HC[[#This Row],[R_DC (kN)]]),MIN(HC[[#This Row],[Pe HC (kN)]],HC[[#This Row],[R_AV (kN)]],HC[[#This Row],[R_DC (kN)]])))</f>
        <v>387.20129455494197</v>
      </c>
      <c r="W45" s="4">
        <f>INDEX(PILARES[],HC[[#This Row],[idPilar]],MATCH("Carga (kN)",PILARES[#Headers],0))*1.4</f>
        <v>3500</v>
      </c>
      <c r="X45" s="12">
        <f>INDEX(PILARES[],HC[[#This Row],[idPilar]],MATCH(HC[[#Headers],[ap (cm)]],PILARES[#Headers],0))</f>
        <v>60</v>
      </c>
      <c r="Y45" s="12">
        <f>INDEX(PILARES[],HC[[#This Row],[idPilar]],MATCH(HC[[#Headers],[bp (cm)]],PILARES[#Headers],0))</f>
        <v>60</v>
      </c>
      <c r="Z45" s="4">
        <f>SQRT(HC[[#This Row],[ap (cm)]]*HC[[#This Row],[bp (cm)]])</f>
        <v>60</v>
      </c>
      <c r="AA45" s="12">
        <f>HC[[#This Row],[ap (cm)]]*HC[[#This Row],[bp (cm)]]</f>
        <v>3600</v>
      </c>
      <c r="AB45" s="12">
        <f ca="1">IF(HC[[#This Row],[Padm∙ε (kN)]]&gt;=HC[[#This Row],[Padm (kN)]],ROUNDUP(1.05*HC[[#This Row],[Nsd (kN)]]/HC[[#This Row],[Padm (kN)]],0),ROUNDUP(1.05*HC[[#This Row],[Nsd (kN)]]/HC[[#This Row],[Padm (kN)]],0)+1)</f>
        <v>10</v>
      </c>
      <c r="AC45" s="4" t="str">
        <f ca="1">IFERROR(IF(HC[[#This Row],[nE]]=1,HC[[#This Row],[Padm (kN)]],HC[[#This Row],[Padm (kN)]]*HC[[#This Row],[nE]]*INDEX(grupoEstacas[],HC[[#This Row],[nE]],MATCH("ε",grupoEstacas[#Headers],0))),"N.S.")</f>
        <v>N.S.</v>
      </c>
      <c r="AD45" s="4">
        <f ca="1">1.05*HC[[#This Row],[Nsd (kN)]]/(HC[[#This Row],[nE]]*PI()*HC[[#This Row],[Ø (cm)]]^2/4)*10</f>
        <v>5.1990614743352479</v>
      </c>
      <c r="AE45" s="4">
        <f ca="1">IF(HC[[#This Row],[σ (MPa)]]&lt;INDEX(tipoEstaca[],MATCH($D$2,tipoEstaca[TIPO DE ESTACA],0),MATCH("σmáx (MPa)",tipoEstaca[#Headers],0)),0.4%*PI()*HC[[#This Row],[Ø (cm)]]^2/4,"N.S.")</f>
        <v>2.8274333882308138</v>
      </c>
      <c r="AF45" s="1">
        <f>INDEX(tipoEstaca[],MATCH($D$2,tipoEstaca[TIPO DE ESTACA],0),MATCH(HC[[#Headers],[Comprimento (m)]],tipoEstaca[#Headers],0))</f>
        <v>4</v>
      </c>
      <c r="AG45" s="5">
        <f ca="1">HC[[#This Row],[As,mín (cm²)]]/100^2*HC[[#This Row],[Comprimento (m)]]*7850</f>
        <v>8.8781408390447556</v>
      </c>
      <c r="AH45" s="4">
        <f ca="1">HC[[#This Row],[nE]]*HC[[#This Row],[Prof. (m)]]*HC[[#This Row],[Ap (m²)]]</f>
        <v>8.4823001646924414</v>
      </c>
      <c r="AI45" s="1">
        <f ca="1">IF(HC[[#This Row],[nE]]=1,0,MAX(3*HC[[#This Row],[Ø (cm)]],60))</f>
        <v>90</v>
      </c>
      <c r="AJ45" s="1">
        <f ca="1">IF(HC[[#This Row],[nE]]=1,HC[[#This Row],[Ø (cm)]]+2*10,MAX(1.5*HC[[#This Row],[Ø (cm)]],HC[[#This Row],[Ø (cm)]]+15))</f>
        <v>45</v>
      </c>
      <c r="AK45" s="1" t="str">
        <f ca="1">alturaUtil(HC[[#This Row],[nE]],HC[[#This Row],[Ø (cm)]],HC[[#This Row],[e (cm)]],HC[[#This Row],[ap,eq (cm)]])</f>
        <v>N.S.</v>
      </c>
      <c r="AL45" s="1" t="str">
        <f ca="1">IFERROR(HC[[#This Row],[d (cm)]]+arredondarParaCimaMultiplo5cm(MAX(5,SQRT(PI())/2*HC[[#This Row],[Ø (cm)]]/5)),"N.S.")</f>
        <v>N.S.</v>
      </c>
      <c r="AM45" s="5" t="str">
        <f ca="1">alpha(HC[[#This Row],[nE]],HC[[#This Row],[d (cm)]],HC[[#This Row],[e (cm)]],HC[[#This Row],[ap,eq (cm)]])</f>
        <v>N.S.</v>
      </c>
      <c r="AN45" s="35" t="str">
        <f ca="1">IFERROR(HC[[#This Row],[Nsd (kN)]]/(HC[[#This Row],[Ap (cm²)]]*SIN(HC[[#This Row],[α]])^2),"N.S.")</f>
        <v>N.S.</v>
      </c>
      <c r="AO45" s="35" t="str">
        <f ca="1">IFERROR(HC[[#This Row],[Nsd (kN)]]/(HC[[#This Row],[nE]]*PI()*HC[[#This Row],[Ø (cm)]]^2/4*SIN(HC[[#This Row],[α]])^2),"N.S.")</f>
        <v>N.S.</v>
      </c>
      <c r="AP45" s="4" t="str">
        <f ca="1">IFERROR(INDEX(grupoEstacas[],HC[[#This Row],[nE]],MATCH("coef. Blévot",grupoEstacas[#Headers],0)),"N.S.")</f>
        <v>N.S.</v>
      </c>
      <c r="AQ45" s="35" t="str">
        <f ca="1">IFERROR(HC[[#This Row],[coef. Blévot]]*0.9*INDEX(tipoEstaca[],MATCH($D$2,tipoEstaca[TIPO DE ESTACA],0),MATCH("fcd (kN/cm²)",tipoEstaca[#Headers],0)),"N.S.")</f>
        <v>N.S.</v>
      </c>
      <c r="AR45" s="1" t="str">
        <f ca="1">IF(AND(HC[[#This Row],[cd,b,pil (kN/cm²)]]&lt;=HC[[#This Row],[cd,b,lim (kN/cm²)]],HC[[#This Row],[cd,b,est (kN/cm²)]]&lt;=HC[[#This Row],[cd,b,lim (kN/cm²)]]),"OK","ERRO")</f>
        <v>OK</v>
      </c>
      <c r="AS45" s="4" t="str">
        <f ca="1">As_lado(HC[[#This Row],[nE]],HC[[#This Row],[Nsd (kN)]],HC[[#This Row],[d (cm)]],HC[[#This Row],[e (cm)]],HC[[#This Row],[ap,eq (cm)]])</f>
        <v>N.S.</v>
      </c>
      <c r="AT45" s="4" t="str">
        <f ca="1">IF(HC[[#This Row],[nE]]=1,HC[[#This Row],[As,lado (cm²)]],IF(HC[[#This Row],[nE]]=2,0.075*2*HC[a (cm)],"N.A."))</f>
        <v>N.A.</v>
      </c>
      <c r="AU45" s="4" t="str">
        <f ca="1">IFERROR(IF(HC[[#This Row],[nE]]=1,"N.A.",0.2*HC[[#This Row],[As,lado (cm²)]]),"N.S.")</f>
        <v>N.S.</v>
      </c>
      <c r="AV45" s="4" t="str">
        <f ca="1">As_malha(HC[[#This Row],[nE]],HC[[#This Row],[As,lado (cm²)]],HC[[#This Row],[Nsd (kN)]])</f>
        <v>N.S.</v>
      </c>
      <c r="AW45" s="4" t="str">
        <f ca="1">As_susp_tot(HC[[#This Row],[nE]],HC[[#This Row],[Nsd (kN)]])</f>
        <v>N.S.</v>
      </c>
      <c r="AX45" s="4" t="str">
        <f ca="1">Asp_face(HC[[#This Row],[nE]],HC[[#This Row],[As,lado (cm²)]])</f>
        <v>N.S.</v>
      </c>
      <c r="AY45" s="5" t="str">
        <f ca="1">acoBloco(HC[[#This Row],[nE]],HC[[#This Row],[e (cm)]],HC[[#This Row],[a (cm)]],HC[[#This Row],[h (cm)]],HC[[#This Row],[As,lado (cm²)]],HC[[#This Row],[Asp e Asw (cm²/m)]],HC[[#This Row],[As,sup (cm²)]],HC[[#This Row],[As,malha (cm²)]],HC[[#This Row],[As,susp,tot (cm²)]],HC[[#This Row],[Asp,face (cm²)]])</f>
        <v>N.S.</v>
      </c>
      <c r="AZ45" s="4" t="str">
        <f ca="1">concretoBloco(HC[[#This Row],[nE]],HC[[#This Row],[e (cm)]],HC[[#This Row],[a (cm)]],HC[[#This Row],[h (cm)]])</f>
        <v>N.S.</v>
      </c>
      <c r="BA45" s="5">
        <f ca="1">SUM(HC[[#This Row],[Aço Est (kg)]],HC[[#This Row],[Aço Bloco (kg)]])</f>
        <v>8.8781408390447556</v>
      </c>
      <c r="BB45" s="4">
        <f>INDEX(composicoes[],MATCH(95580,composicoes[CÓDIGO],0),MATCH("CUSTO TOTAL",composicoes[#Headers],0))</f>
        <v>10.46</v>
      </c>
      <c r="BC45" s="4">
        <f ca="1">SUM(HC[[#This Row],[Conc Est (m³)]],HC[[#This Row],[Conc Bloco (m³)]])</f>
        <v>8.4823001646924414</v>
      </c>
      <c r="BD45" s="4">
        <f>INDEX(composicoes[],MATCH(94966,composicoes[CÓDIGO],0),MATCH("CUSTO TOTAL",composicoes[#Headers],0))</f>
        <v>439.52</v>
      </c>
      <c r="BE45" s="38">
        <f ca="1">HC[[#This Row],[Aço (kg)]]*HC[[#This Row],[Aço (R$/kg)]]+HC[[#This Row],[Conc (m³)]]*HC[[#This Row],[Conc (R$/m³)]]</f>
        <v>3821.0059215620299</v>
      </c>
      <c r="BF45" s="4" t="str">
        <f ca="1">IF(COUNTIF(HC[#This Row],"N.S.")&gt;0,"lim.","OK")</f>
        <v>lim.</v>
      </c>
      <c r="BG45" s="4" t="str">
        <f>IF(HC[[#This Row],[Prof. (m)]]&lt;4,"lim.","OK")</f>
        <v>OK</v>
      </c>
      <c r="BH45" s="4" t="str">
        <f>IF(HC[[#This Row],[Prof. (m)]]&gt;=8*HC[[#This Row],[Ø (cm)]]/100,"OK","lim.")</f>
        <v>OK</v>
      </c>
      <c r="BI45" s="4" t="str">
        <f ca="1">IF(HC[[#This Row],[Verif. Biela]]="OK","OK","lim.")</f>
        <v>OK</v>
      </c>
      <c r="BJ45" s="4" t="str">
        <f ca="1">IF(COUNTA(HC[[#This Row],[Nº Est.]:[Biela comp.]])=COUNTIF(HC[[#This Row],[Nº Est.]:[Biela comp.]],"OK"),"OK","lim.")</f>
        <v>lim.</v>
      </c>
      <c r="BK45" s="4" t="str">
        <f ca="1">IF(HC[[#This Row],[Controle]]="OK",HC[[#This Row],[nE]]&amp;" Ø"&amp;HC[[#This Row],[Ø (cm)]]&amp;"cm Prof. "&amp;HC[[#This Row],[Prof. (m)]]&amp;" m","")</f>
        <v/>
      </c>
      <c r="BL45" s="4" t="str">
        <f ca="1">IF(HC[[#This Row],[idDimensionamento]]="","",HC[[#This Row],[idPilar]]&amp;HC[[#This Row],[idDimensionamento]])</f>
        <v/>
      </c>
    </row>
    <row r="46" spans="2:64" x14ac:dyDescent="0.25">
      <c r="B46" s="12">
        <f>ROUNDUP((ROW(HC[[#This Row],[idDiâmetro]])-ROW(HC[[#Headers],[idDiâmetro]]))/(COUNT(SPT[Prof. (m)])*COUNT(PILARES[Pilar])),0)</f>
        <v>2</v>
      </c>
      <c r="C46" s="12">
        <f>IF(HC[[#This Row],[idDiâmetro]]&lt;&gt;B45,1,IF(HC[[#This Row],[Prof. (m)]]=0,C45+1,C45))</f>
        <v>1</v>
      </c>
      <c r="D46" s="1">
        <f>IFERROR(IF(D45=MAX(SPT[Prof. (m)]),0,D45+1),0)</f>
        <v>13</v>
      </c>
      <c r="E46" s="1">
        <f>INDEX(SPT[],MATCH(HC[[#This Row],[Prof. (m)]],SPT[Prof. (m)],0),2)</f>
        <v>68</v>
      </c>
      <c r="F46" s="1" t="str">
        <f>INDEX(SPT[],MATCH(HC[[#This Row],[Prof. (m)]],SPT[Prof. (m)],0),3)</f>
        <v>Areia siltosa</v>
      </c>
      <c r="G46" s="1">
        <f>INDEX(estacas[],HC[[#This Row],[idDiâmetro]],MATCH($B$2,estacas[#Headers],0))</f>
        <v>30</v>
      </c>
      <c r="H46" s="1">
        <f>INDEX(estacas[],MATCH(HC[[#This Row],[Ø (cm)]],estacas[Ø HC (cm)],0),MATCH(HC[[#Headers],[Pe HC (kN)]],estacas[#Headers],0))</f>
        <v>450</v>
      </c>
      <c r="I46" s="4">
        <f>INDEX(K_alpha_C[],MATCH(HC[[#This Row],[Solo]],K_alpha_C[Solo],0),2)</f>
        <v>0.8</v>
      </c>
      <c r="J46" s="5">
        <f>INDEX(K_alpha_C[],MATCH(HC[[#This Row],[Solo]],K_alpha_C[Solo],0),3)</f>
        <v>2</v>
      </c>
      <c r="K46" s="4">
        <f>INDEX(F1_F2[],MATCH($D$2,F1_F2[Tipo de estaca],0),2)</f>
        <v>2</v>
      </c>
      <c r="L46" s="4">
        <f>INDEX(F1_F2[],MATCH($D$2,F1_F2[Tipo de estaca],0),3)</f>
        <v>4</v>
      </c>
      <c r="M46" s="4">
        <f>PI()*(HC[[#This Row],[Ø (cm)]]/100)^2/4</f>
        <v>7.0685834705770348E-2</v>
      </c>
      <c r="N46" s="4">
        <f>PI()*HC[[#This Row],[Ø (cm)]]/100</f>
        <v>0.94247779607693782</v>
      </c>
      <c r="O46" s="4">
        <f>IF(HC[[#This Row],[Prof. (m)]]=0,0,HC[[#This Row],[α (%)]]/100*HC[[#This Row],[K (MPa)]]*1000*HC[[#This Row],[NSPT]])</f>
        <v>1088</v>
      </c>
      <c r="P46" s="4">
        <f>IF(HC[[#This Row],[Prof. (m)]]=0,0,(HC[[#This Row],[K (MPa)]]*1000*HC[[#This Row],[NSPT]]/HC[[#This Row],[F1]]*HC[[#This Row],[Ap (m²)]]+HC[[#This Row],[U (m)]]/HC[[#This Row],[F2]]*SUMIFS(HC[(α∙K∙NL∙ΔL)],HC[Prof. (m)],"&lt;="&amp;HC[[#This Row],[Prof. (m)]],HC[idDiâmetro],HC[[#This Row],[idDiâmetro]],HC[idPilar],HC[[#This Row],[idPilar]]))/'DADOS CAP. CARGA'!$D$2)</f>
        <v>1491.9305702173417</v>
      </c>
      <c r="Q46" s="12">
        <f>INDEX(C_alpha_beta[],MATCH(HC[[#This Row],[Solo]],C_alpha_beta[Solo],0),MATCH(HC[[#Headers],[C (kPa)]],C_alpha_beta[#Headers],0))</f>
        <v>400</v>
      </c>
      <c r="R46" s="4">
        <f>INDEX(C_alpha_beta[],MATCH(HC[[#This Row],[Solo]],C_alpha_beta[Solo],0),MATCH(HC[[#Headers],[α ESF]],C_alpha_beta[#Headers],0))</f>
        <v>0.5</v>
      </c>
      <c r="S46" s="4">
        <f>INDEX(C_alpha_beta[],MATCH(HC[[#This Row],[Solo]],C_alpha_beta[Solo],0),MATCH(HC[[#Headers],[β ESF]],C_alpha_beta[#Headers],0))</f>
        <v>0.5</v>
      </c>
      <c r="T46" s="4">
        <f>IF(HC[[#This Row],[Prof. (m)]]=0,0,10*(HC[[#This Row],[NSPT]]/3+1))</f>
        <v>236.66666666666669</v>
      </c>
      <c r="U46" s="4">
        <f>(HC[[#This Row],[α ESF]]*HC[[#This Row],[C (kPa)]]*HC[[#This Row],[NSPT]]*HC[[#This Row],[Ap (m²)]])/'DADOS CAP. CARGA'!$Q$2+(HC[[#This Row],[β ESF]]*SUMIFS(HC[10∙(NL/3+1)],HC[Prof. (m)],"&lt;="&amp;HC[[#This Row],[Prof. (m)]],HC[idDiâmetro],HC[[#This Row],[idDiâmetro]],HC[idPilar],HC[[#This Row],[idPilar]])*HC[[#This Row],[U (m)]])/'DADOS CAP. CARGA'!$S$2</f>
        <v>499.51323192077712</v>
      </c>
      <c r="V46" s="4">
        <f>IF(SPT!$M$5=1,MIN(HC[[#This Row],[Pe HC (kN)]],HC[[#This Row],[R_AV (kN)]]),IF(SPT!$M$5=2,MIN(HC[[#This Row],[Pe HC (kN)]],HC[[#This Row],[R_DC (kN)]]),MIN(HC[[#This Row],[Pe HC (kN)]],HC[[#This Row],[R_AV (kN)]],HC[[#This Row],[R_DC (kN)]])))</f>
        <v>450</v>
      </c>
      <c r="W46" s="4">
        <f>INDEX(PILARES[],HC[[#This Row],[idPilar]],MATCH("Carga (kN)",PILARES[#Headers],0))*1.4</f>
        <v>3500</v>
      </c>
      <c r="X46" s="12">
        <f>INDEX(PILARES[],HC[[#This Row],[idPilar]],MATCH(HC[[#Headers],[ap (cm)]],PILARES[#Headers],0))</f>
        <v>60</v>
      </c>
      <c r="Y46" s="12">
        <f>INDEX(PILARES[],HC[[#This Row],[idPilar]],MATCH(HC[[#Headers],[bp (cm)]],PILARES[#Headers],0))</f>
        <v>60</v>
      </c>
      <c r="Z46" s="4">
        <f>SQRT(HC[[#This Row],[ap (cm)]]*HC[[#This Row],[bp (cm)]])</f>
        <v>60</v>
      </c>
      <c r="AA46" s="12">
        <f>HC[[#This Row],[ap (cm)]]*HC[[#This Row],[bp (cm)]]</f>
        <v>3600</v>
      </c>
      <c r="AB46" s="12">
        <f ca="1">IF(HC[[#This Row],[Padm∙ε (kN)]]&gt;=HC[[#This Row],[Padm (kN)]],ROUNDUP(1.05*HC[[#This Row],[Nsd (kN)]]/HC[[#This Row],[Padm (kN)]],0),ROUNDUP(1.05*HC[[#This Row],[Nsd (kN)]]/HC[[#This Row],[Padm (kN)]],0)+1)</f>
        <v>9</v>
      </c>
      <c r="AC46" s="4" t="str">
        <f ca="1">IFERROR(IF(HC[[#This Row],[nE]]=1,HC[[#This Row],[Padm (kN)]],HC[[#This Row],[Padm (kN)]]*HC[[#This Row],[nE]]*INDEX(grupoEstacas[],HC[[#This Row],[nE]],MATCH("ε",grupoEstacas[#Headers],0))),"N.S.")</f>
        <v>N.S.</v>
      </c>
      <c r="AD46" s="4">
        <f ca="1">1.05*HC[[#This Row],[Nsd (kN)]]/(HC[[#This Row],[nE]]*PI()*HC[[#This Row],[Ø (cm)]]^2/4)*10</f>
        <v>5.7767349714836094</v>
      </c>
      <c r="AE46" s="4">
        <f ca="1">IF(HC[[#This Row],[σ (MPa)]]&lt;INDEX(tipoEstaca[],MATCH($D$2,tipoEstaca[TIPO DE ESTACA],0),MATCH("σmáx (MPa)",tipoEstaca[#Headers],0)),0.4%*PI()*HC[[#This Row],[Ø (cm)]]^2/4,"N.S.")</f>
        <v>2.8274333882308138</v>
      </c>
      <c r="AF46" s="1">
        <f>INDEX(tipoEstaca[],MATCH($D$2,tipoEstaca[TIPO DE ESTACA],0),MATCH(HC[[#Headers],[Comprimento (m)]],tipoEstaca[#Headers],0))</f>
        <v>4</v>
      </c>
      <c r="AG46" s="5">
        <f ca="1">HC[[#This Row],[As,mín (cm²)]]/100^2*HC[[#This Row],[Comprimento (m)]]*7850</f>
        <v>8.8781408390447556</v>
      </c>
      <c r="AH46" s="4">
        <f ca="1">HC[[#This Row],[nE]]*HC[[#This Row],[Prof. (m)]]*HC[[#This Row],[Ap (m²)]]</f>
        <v>8.2702426605751302</v>
      </c>
      <c r="AI46" s="1">
        <f ca="1">IF(HC[[#This Row],[nE]]=1,0,MAX(3*HC[[#This Row],[Ø (cm)]],60))</f>
        <v>90</v>
      </c>
      <c r="AJ46" s="1">
        <f ca="1">IF(HC[[#This Row],[nE]]=1,HC[[#This Row],[Ø (cm)]]+2*10,MAX(1.5*HC[[#This Row],[Ø (cm)]],HC[[#This Row],[Ø (cm)]]+15))</f>
        <v>45</v>
      </c>
      <c r="AK46" s="1" t="str">
        <f ca="1">alturaUtil(HC[[#This Row],[nE]],HC[[#This Row],[Ø (cm)]],HC[[#This Row],[e (cm)]],HC[[#This Row],[ap,eq (cm)]])</f>
        <v>N.S.</v>
      </c>
      <c r="AL46" s="1" t="str">
        <f ca="1">IFERROR(HC[[#This Row],[d (cm)]]+arredondarParaCimaMultiplo5cm(MAX(5,SQRT(PI())/2*HC[[#This Row],[Ø (cm)]]/5)),"N.S.")</f>
        <v>N.S.</v>
      </c>
      <c r="AM46" s="5" t="str">
        <f ca="1">alpha(HC[[#This Row],[nE]],HC[[#This Row],[d (cm)]],HC[[#This Row],[e (cm)]],HC[[#This Row],[ap,eq (cm)]])</f>
        <v>N.S.</v>
      </c>
      <c r="AN46" s="35" t="str">
        <f ca="1">IFERROR(HC[[#This Row],[Nsd (kN)]]/(HC[[#This Row],[Ap (cm²)]]*SIN(HC[[#This Row],[α]])^2),"N.S.")</f>
        <v>N.S.</v>
      </c>
      <c r="AO46" s="35" t="str">
        <f ca="1">IFERROR(HC[[#This Row],[Nsd (kN)]]/(HC[[#This Row],[nE]]*PI()*HC[[#This Row],[Ø (cm)]]^2/4*SIN(HC[[#This Row],[α]])^2),"N.S.")</f>
        <v>N.S.</v>
      </c>
      <c r="AP46" s="4" t="str">
        <f ca="1">IFERROR(INDEX(grupoEstacas[],HC[[#This Row],[nE]],MATCH("coef. Blévot",grupoEstacas[#Headers],0)),"N.S.")</f>
        <v>N.S.</v>
      </c>
      <c r="AQ46" s="35" t="str">
        <f ca="1">IFERROR(HC[[#This Row],[coef. Blévot]]*0.9*INDEX(tipoEstaca[],MATCH($D$2,tipoEstaca[TIPO DE ESTACA],0),MATCH("fcd (kN/cm²)",tipoEstaca[#Headers],0)),"N.S.")</f>
        <v>N.S.</v>
      </c>
      <c r="AR46" s="1" t="str">
        <f ca="1">IF(AND(HC[[#This Row],[cd,b,pil (kN/cm²)]]&lt;=HC[[#This Row],[cd,b,lim (kN/cm²)]],HC[[#This Row],[cd,b,est (kN/cm²)]]&lt;=HC[[#This Row],[cd,b,lim (kN/cm²)]]),"OK","ERRO")</f>
        <v>OK</v>
      </c>
      <c r="AS46" s="4" t="str">
        <f ca="1">As_lado(HC[[#This Row],[nE]],HC[[#This Row],[Nsd (kN)]],HC[[#This Row],[d (cm)]],HC[[#This Row],[e (cm)]],HC[[#This Row],[ap,eq (cm)]])</f>
        <v>N.S.</v>
      </c>
      <c r="AT46" s="4" t="str">
        <f ca="1">IF(HC[[#This Row],[nE]]=1,HC[[#This Row],[As,lado (cm²)]],IF(HC[[#This Row],[nE]]=2,0.075*2*HC[a (cm)],"N.A."))</f>
        <v>N.A.</v>
      </c>
      <c r="AU46" s="4" t="str">
        <f ca="1">IFERROR(IF(HC[[#This Row],[nE]]=1,"N.A.",0.2*HC[[#This Row],[As,lado (cm²)]]),"N.S.")</f>
        <v>N.S.</v>
      </c>
      <c r="AV46" s="4" t="str">
        <f ca="1">As_malha(HC[[#This Row],[nE]],HC[[#This Row],[As,lado (cm²)]],HC[[#This Row],[Nsd (kN)]])</f>
        <v>N.S.</v>
      </c>
      <c r="AW46" s="4" t="str">
        <f ca="1">As_susp_tot(HC[[#This Row],[nE]],HC[[#This Row],[Nsd (kN)]])</f>
        <v>N.S.</v>
      </c>
      <c r="AX46" s="4" t="str">
        <f ca="1">Asp_face(HC[[#This Row],[nE]],HC[[#This Row],[As,lado (cm²)]])</f>
        <v>N.S.</v>
      </c>
      <c r="AY46" s="5" t="str">
        <f ca="1">acoBloco(HC[[#This Row],[nE]],HC[[#This Row],[e (cm)]],HC[[#This Row],[a (cm)]],HC[[#This Row],[h (cm)]],HC[[#This Row],[As,lado (cm²)]],HC[[#This Row],[Asp e Asw (cm²/m)]],HC[[#This Row],[As,sup (cm²)]],HC[[#This Row],[As,malha (cm²)]],HC[[#This Row],[As,susp,tot (cm²)]],HC[[#This Row],[Asp,face (cm²)]])</f>
        <v>N.S.</v>
      </c>
      <c r="AZ46" s="4" t="str">
        <f ca="1">concretoBloco(HC[[#This Row],[nE]],HC[[#This Row],[e (cm)]],HC[[#This Row],[a (cm)]],HC[[#This Row],[h (cm)]])</f>
        <v>N.S.</v>
      </c>
      <c r="BA46" s="5">
        <f ca="1">SUM(HC[[#This Row],[Aço Est (kg)]],HC[[#This Row],[Aço Bloco (kg)]])</f>
        <v>8.8781408390447556</v>
      </c>
      <c r="BB46" s="4">
        <f>INDEX(composicoes[],MATCH(95580,composicoes[CÓDIGO],0),MATCH("CUSTO TOTAL",composicoes[#Headers],0))</f>
        <v>10.46</v>
      </c>
      <c r="BC46" s="4">
        <f ca="1">SUM(HC[[#This Row],[Conc Est (m³)]],HC[[#This Row],[Conc Bloco (m³)]])</f>
        <v>8.2702426605751302</v>
      </c>
      <c r="BD46" s="4">
        <f>INDEX(composicoes[],MATCH(94966,composicoes[CÓDIGO],0),MATCH("CUSTO TOTAL",composicoes[#Headers],0))</f>
        <v>439.52</v>
      </c>
      <c r="BE46" s="38">
        <f ca="1">HC[[#This Row],[Aço (kg)]]*HC[[#This Row],[Aço (R$/kg)]]+HC[[#This Row],[Conc (m³)]]*HC[[#This Row],[Conc (R$/m³)]]</f>
        <v>3727.8024073523893</v>
      </c>
      <c r="BF46" s="4" t="str">
        <f ca="1">IF(COUNTIF(HC[#This Row],"N.S.")&gt;0,"lim.","OK")</f>
        <v>lim.</v>
      </c>
      <c r="BG46" s="4" t="str">
        <f>IF(HC[[#This Row],[Prof. (m)]]&lt;4,"lim.","OK")</f>
        <v>OK</v>
      </c>
      <c r="BH46" s="4" t="str">
        <f>IF(HC[[#This Row],[Prof. (m)]]&gt;=8*HC[[#This Row],[Ø (cm)]]/100,"OK","lim.")</f>
        <v>OK</v>
      </c>
      <c r="BI46" s="4" t="str">
        <f ca="1">IF(HC[[#This Row],[Verif. Biela]]="OK","OK","lim.")</f>
        <v>OK</v>
      </c>
      <c r="BJ46" s="4" t="str">
        <f ca="1">IF(COUNTA(HC[[#This Row],[Nº Est.]:[Biela comp.]])=COUNTIF(HC[[#This Row],[Nº Est.]:[Biela comp.]],"OK"),"OK","lim.")</f>
        <v>lim.</v>
      </c>
      <c r="BK46" s="4" t="str">
        <f ca="1">IF(HC[[#This Row],[Controle]]="OK",HC[[#This Row],[nE]]&amp;" Ø"&amp;HC[[#This Row],[Ø (cm)]]&amp;"cm Prof. "&amp;HC[[#This Row],[Prof. (m)]]&amp;" m","")</f>
        <v/>
      </c>
      <c r="BL46" s="4" t="str">
        <f ca="1">IF(HC[[#This Row],[idDimensionamento]]="","",HC[[#This Row],[idPilar]]&amp;HC[[#This Row],[idDimensionamento]])</f>
        <v/>
      </c>
    </row>
    <row r="47" spans="2:64" x14ac:dyDescent="0.25">
      <c r="B47" s="12">
        <f>ROUNDUP((ROW(HC[[#This Row],[idDiâmetro]])-ROW(HC[[#Headers],[idDiâmetro]]))/(COUNT(SPT[Prof. (m)])*COUNT(PILARES[Pilar])),0)</f>
        <v>2</v>
      </c>
      <c r="C47" s="12">
        <f>IF(HC[[#This Row],[idDiâmetro]]&lt;&gt;B46,1,IF(HC[[#This Row],[Prof. (m)]]=0,C46+1,C46))</f>
        <v>2</v>
      </c>
      <c r="D47" s="1">
        <f>IFERROR(IF(D46=MAX(SPT[Prof. (m)]),0,D46+1),0)</f>
        <v>0</v>
      </c>
      <c r="E47" s="1">
        <f>INDEX(SPT[],MATCH(HC[[#This Row],[Prof. (m)]],SPT[Prof. (m)],0),2)</f>
        <v>0</v>
      </c>
      <c r="F47" s="1" t="str">
        <f>INDEX(SPT[],MATCH(HC[[#This Row],[Prof. (m)]],SPT[Prof. (m)],0),3)</f>
        <v>Areia siltosa</v>
      </c>
      <c r="G47" s="1">
        <f>INDEX(estacas[],HC[[#This Row],[idDiâmetro]],MATCH($B$2,estacas[#Headers],0))</f>
        <v>30</v>
      </c>
      <c r="H47" s="1">
        <f>INDEX(estacas[],MATCH(HC[[#This Row],[Ø (cm)]],estacas[Ø HC (cm)],0),MATCH(HC[[#Headers],[Pe HC (kN)]],estacas[#Headers],0))</f>
        <v>450</v>
      </c>
      <c r="I47" s="4">
        <f>INDEX(K_alpha_C[],MATCH(HC[[#This Row],[Solo]],K_alpha_C[Solo],0),2)</f>
        <v>0.8</v>
      </c>
      <c r="J47" s="5">
        <f>INDEX(K_alpha_C[],MATCH(HC[[#This Row],[Solo]],K_alpha_C[Solo],0),3)</f>
        <v>2</v>
      </c>
      <c r="K47" s="4">
        <f>INDEX(F1_F2[],MATCH($D$2,F1_F2[Tipo de estaca],0),2)</f>
        <v>2</v>
      </c>
      <c r="L47" s="4">
        <f>INDEX(F1_F2[],MATCH($D$2,F1_F2[Tipo de estaca],0),3)</f>
        <v>4</v>
      </c>
      <c r="M47" s="4">
        <f>PI()*(HC[[#This Row],[Ø (cm)]]/100)^2/4</f>
        <v>7.0685834705770348E-2</v>
      </c>
      <c r="N47" s="4">
        <f>PI()*HC[[#This Row],[Ø (cm)]]/100</f>
        <v>0.94247779607693782</v>
      </c>
      <c r="O47" s="4">
        <f>IF(HC[[#This Row],[Prof. (m)]]=0,0,HC[[#This Row],[α (%)]]/100*HC[[#This Row],[K (MPa)]]*1000*HC[[#This Row],[NSPT]])</f>
        <v>0</v>
      </c>
      <c r="P47" s="4">
        <f>IF(HC[[#This Row],[Prof. (m)]]=0,0,(HC[[#This Row],[K (MPa)]]*1000*HC[[#This Row],[NSPT]]/HC[[#This Row],[F1]]*HC[[#This Row],[Ap (m²)]]+HC[[#This Row],[U (m)]]/HC[[#This Row],[F2]]*SUMIFS(HC[(α∙K∙NL∙ΔL)],HC[Prof. (m)],"&lt;="&amp;HC[[#This Row],[Prof. (m)]],HC[idDiâmetro],HC[[#This Row],[idDiâmetro]],HC[idPilar],HC[[#This Row],[idPilar]]))/'DADOS CAP. CARGA'!$D$2)</f>
        <v>0</v>
      </c>
      <c r="Q47" s="12">
        <f>INDEX(C_alpha_beta[],MATCH(HC[[#This Row],[Solo]],C_alpha_beta[Solo],0),MATCH(HC[[#Headers],[C (kPa)]],C_alpha_beta[#Headers],0))</f>
        <v>400</v>
      </c>
      <c r="R47" s="4">
        <f>INDEX(C_alpha_beta[],MATCH(HC[[#This Row],[Solo]],C_alpha_beta[Solo],0),MATCH(HC[[#Headers],[α ESF]],C_alpha_beta[#Headers],0))</f>
        <v>0.5</v>
      </c>
      <c r="S47" s="4">
        <f>INDEX(C_alpha_beta[],MATCH(HC[[#This Row],[Solo]],C_alpha_beta[Solo],0),MATCH(HC[[#Headers],[β ESF]],C_alpha_beta[#Headers],0))</f>
        <v>0.5</v>
      </c>
      <c r="T47" s="4">
        <f>IF(HC[[#This Row],[Prof. (m)]]=0,0,10*(HC[[#This Row],[NSPT]]/3+1))</f>
        <v>0</v>
      </c>
      <c r="U47" s="4">
        <f>(HC[[#This Row],[α ESF]]*HC[[#This Row],[C (kPa)]]*HC[[#This Row],[NSPT]]*HC[[#This Row],[Ap (m²)]])/'DADOS CAP. CARGA'!$Q$2+(HC[[#This Row],[β ESF]]*SUMIFS(HC[10∙(NL/3+1)],HC[Prof. (m)],"&lt;="&amp;HC[[#This Row],[Prof. (m)]],HC[idDiâmetro],HC[[#This Row],[idDiâmetro]],HC[idPilar],HC[[#This Row],[idPilar]])*HC[[#This Row],[U (m)]])/'DADOS CAP. CARGA'!$S$2</f>
        <v>0</v>
      </c>
      <c r="V47" s="4">
        <f>IF(SPT!$M$5=1,MIN(HC[[#This Row],[Pe HC (kN)]],HC[[#This Row],[R_AV (kN)]]),IF(SPT!$M$5=2,MIN(HC[[#This Row],[Pe HC (kN)]],HC[[#This Row],[R_DC (kN)]]),MIN(HC[[#This Row],[Pe HC (kN)]],HC[[#This Row],[R_AV (kN)]],HC[[#This Row],[R_DC (kN)]])))</f>
        <v>0</v>
      </c>
      <c r="W47" s="4">
        <f>INDEX(PILARES[],HC[[#This Row],[idPilar]],MATCH("Carga (kN)",PILARES[#Headers],0))*1.4</f>
        <v>1750</v>
      </c>
      <c r="X47" s="12">
        <f>INDEX(PILARES[],HC[[#This Row],[idPilar]],MATCH(HC[[#Headers],[ap (cm)]],PILARES[#Headers],0))</f>
        <v>50</v>
      </c>
      <c r="Y47" s="12">
        <f>INDEX(PILARES[],HC[[#This Row],[idPilar]],MATCH(HC[[#Headers],[bp (cm)]],PILARES[#Headers],0))</f>
        <v>40</v>
      </c>
      <c r="Z47" s="4">
        <f>SQRT(HC[[#This Row],[ap (cm)]]*HC[[#This Row],[bp (cm)]])</f>
        <v>44.721359549995796</v>
      </c>
      <c r="AA47" s="12">
        <f>HC[[#This Row],[ap (cm)]]*HC[[#This Row],[bp (cm)]]</f>
        <v>2000</v>
      </c>
      <c r="AB47" s="12" t="e">
        <f ca="1">IF(HC[[#This Row],[Padm∙ε (kN)]]&gt;=HC[[#This Row],[Padm (kN)]],ROUNDUP(1.05*HC[[#This Row],[Nsd (kN)]]/HC[[#This Row],[Padm (kN)]],0),ROUNDUP(1.05*HC[[#This Row],[Nsd (kN)]]/HC[[#This Row],[Padm (kN)]],0)+1)</f>
        <v>#DIV/0!</v>
      </c>
      <c r="AC47" s="4" t="str">
        <f ca="1">IFERROR(IF(HC[[#This Row],[nE]]=1,HC[[#This Row],[Padm (kN)]],HC[[#This Row],[Padm (kN)]]*HC[[#This Row],[nE]]*INDEX(grupoEstacas[],HC[[#This Row],[nE]],MATCH("ε",grupoEstacas[#Headers],0))),"N.S.")</f>
        <v>N.S.</v>
      </c>
      <c r="AD47" s="4" t="e">
        <f ca="1">1.05*HC[[#This Row],[Nsd (kN)]]/(HC[[#This Row],[nE]]*PI()*HC[[#This Row],[Ø (cm)]]^2/4)*10</f>
        <v>#DIV/0!</v>
      </c>
      <c r="AE47" s="4" t="e">
        <f ca="1">IF(HC[[#This Row],[σ (MPa)]]&lt;INDEX(tipoEstaca[],MATCH($D$2,tipoEstaca[TIPO DE ESTACA],0),MATCH("σmáx (MPa)",tipoEstaca[#Headers],0)),0.4%*PI()*HC[[#This Row],[Ø (cm)]]^2/4,"N.S.")</f>
        <v>#DIV/0!</v>
      </c>
      <c r="AF47" s="1">
        <f>INDEX(tipoEstaca[],MATCH($D$2,tipoEstaca[TIPO DE ESTACA],0),MATCH(HC[[#Headers],[Comprimento (m)]],tipoEstaca[#Headers],0))</f>
        <v>4</v>
      </c>
      <c r="AG47" s="5" t="e">
        <f ca="1">HC[[#This Row],[As,mín (cm²)]]/100^2*HC[[#This Row],[Comprimento (m)]]*7850</f>
        <v>#DIV/0!</v>
      </c>
      <c r="AH47" s="4" t="e">
        <f ca="1">HC[[#This Row],[nE]]*HC[[#This Row],[Prof. (m)]]*HC[[#This Row],[Ap (m²)]]</f>
        <v>#DIV/0!</v>
      </c>
      <c r="AI47" s="1" t="e">
        <f ca="1">IF(HC[[#This Row],[nE]]=1,0,MAX(3*HC[[#This Row],[Ø (cm)]],60))</f>
        <v>#DIV/0!</v>
      </c>
      <c r="AJ47" s="1" t="e">
        <f ca="1">IF(HC[[#This Row],[nE]]=1,HC[[#This Row],[Ø (cm)]]+2*10,MAX(1.5*HC[[#This Row],[Ø (cm)]],HC[[#This Row],[Ø (cm)]]+15))</f>
        <v>#DIV/0!</v>
      </c>
      <c r="AK47" s="1" t="e">
        <f ca="1">alturaUtil(HC[[#This Row],[nE]],HC[[#This Row],[Ø (cm)]],HC[[#This Row],[e (cm)]],HC[[#This Row],[ap,eq (cm)]])</f>
        <v>#VALUE!</v>
      </c>
      <c r="AL47" s="1" t="str">
        <f ca="1">IFERROR(HC[[#This Row],[d (cm)]]+arredondarParaCimaMultiplo5cm(MAX(5,SQRT(PI())/2*HC[[#This Row],[Ø (cm)]]/5)),"N.S.")</f>
        <v>N.S.</v>
      </c>
      <c r="AM47" s="5" t="e">
        <f ca="1">alpha(HC[[#This Row],[nE]],HC[[#This Row],[d (cm)]],HC[[#This Row],[e (cm)]],HC[[#This Row],[ap,eq (cm)]])</f>
        <v>#VALUE!</v>
      </c>
      <c r="AN47" s="35" t="str">
        <f ca="1">IFERROR(HC[[#This Row],[Nsd (kN)]]/(HC[[#This Row],[Ap (cm²)]]*SIN(HC[[#This Row],[α]])^2),"N.S.")</f>
        <v>N.S.</v>
      </c>
      <c r="AO47" s="35" t="str">
        <f ca="1">IFERROR(HC[[#This Row],[Nsd (kN)]]/(HC[[#This Row],[nE]]*PI()*HC[[#This Row],[Ø (cm)]]^2/4*SIN(HC[[#This Row],[α]])^2),"N.S.")</f>
        <v>N.S.</v>
      </c>
      <c r="AP47" s="4" t="str">
        <f ca="1">IFERROR(INDEX(grupoEstacas[],HC[[#This Row],[nE]],MATCH("coef. Blévot",grupoEstacas[#Headers],0)),"N.S.")</f>
        <v>N.S.</v>
      </c>
      <c r="AQ47" s="35" t="str">
        <f ca="1">IFERROR(HC[[#This Row],[coef. Blévot]]*0.9*INDEX(tipoEstaca[],MATCH($D$2,tipoEstaca[TIPO DE ESTACA],0),MATCH("fcd (kN/cm²)",tipoEstaca[#Headers],0)),"N.S.")</f>
        <v>N.S.</v>
      </c>
      <c r="AR47" s="1" t="str">
        <f ca="1">IF(AND(HC[[#This Row],[cd,b,pil (kN/cm²)]]&lt;=HC[[#This Row],[cd,b,lim (kN/cm²)]],HC[[#This Row],[cd,b,est (kN/cm²)]]&lt;=HC[[#This Row],[cd,b,lim (kN/cm²)]]),"OK","ERRO")</f>
        <v>OK</v>
      </c>
      <c r="AS47" s="4" t="e">
        <f ca="1">As_lado(HC[[#This Row],[nE]],HC[[#This Row],[Nsd (kN)]],HC[[#This Row],[d (cm)]],HC[[#This Row],[e (cm)]],HC[[#This Row],[ap,eq (cm)]])</f>
        <v>#VALUE!</v>
      </c>
      <c r="AT47" s="4" t="e">
        <f ca="1">IF(HC[[#This Row],[nE]]=1,HC[[#This Row],[As,lado (cm²)]],IF(HC[[#This Row],[nE]]=2,0.075*2*HC[a (cm)],"N.A."))</f>
        <v>#DIV/0!</v>
      </c>
      <c r="AU47" s="4" t="str">
        <f ca="1">IFERROR(IF(HC[[#This Row],[nE]]=1,"N.A.",0.2*HC[[#This Row],[As,lado (cm²)]]),"N.S.")</f>
        <v>N.S.</v>
      </c>
      <c r="AV47" s="4" t="e">
        <f ca="1">As_malha(HC[[#This Row],[nE]],HC[[#This Row],[As,lado (cm²)]],HC[[#This Row],[Nsd (kN)]])</f>
        <v>#VALUE!</v>
      </c>
      <c r="AW47" s="4" t="e">
        <f ca="1">As_susp_tot(HC[[#This Row],[nE]],HC[[#This Row],[Nsd (kN)]])</f>
        <v>#VALUE!</v>
      </c>
      <c r="AX47" s="4" t="e">
        <f ca="1">Asp_face(HC[[#This Row],[nE]],HC[[#This Row],[As,lado (cm²)]])</f>
        <v>#VALUE!</v>
      </c>
      <c r="AY47" s="5" t="e">
        <f ca="1">acoBloco(HC[[#This Row],[nE]],HC[[#This Row],[e (cm)]],HC[[#This Row],[a (cm)]],HC[[#This Row],[h (cm)]],HC[[#This Row],[As,lado (cm²)]],HC[[#This Row],[Asp e Asw (cm²/m)]],HC[[#This Row],[As,sup (cm²)]],HC[[#This Row],[As,malha (cm²)]],HC[[#This Row],[As,susp,tot (cm²)]],HC[[#This Row],[Asp,face (cm²)]])</f>
        <v>#VALUE!</v>
      </c>
      <c r="AZ47" s="4" t="e">
        <f ca="1">concretoBloco(HC[[#This Row],[nE]],HC[[#This Row],[e (cm)]],HC[[#This Row],[a (cm)]],HC[[#This Row],[h (cm)]])</f>
        <v>#VALUE!</v>
      </c>
      <c r="BA47" s="5" t="e">
        <f ca="1">SUM(HC[[#This Row],[Aço Est (kg)]],HC[[#This Row],[Aço Bloco (kg)]])</f>
        <v>#DIV/0!</v>
      </c>
      <c r="BB47" s="4">
        <f>INDEX(composicoes[],MATCH(95580,composicoes[CÓDIGO],0),MATCH("CUSTO TOTAL",composicoes[#Headers],0))</f>
        <v>10.46</v>
      </c>
      <c r="BC47" s="4" t="e">
        <f ca="1">SUM(HC[[#This Row],[Conc Est (m³)]],HC[[#This Row],[Conc Bloco (m³)]])</f>
        <v>#DIV/0!</v>
      </c>
      <c r="BD47" s="4">
        <f>INDEX(composicoes[],MATCH(94966,composicoes[CÓDIGO],0),MATCH("CUSTO TOTAL",composicoes[#Headers],0))</f>
        <v>439.52</v>
      </c>
      <c r="BE47" s="38" t="e">
        <f ca="1">HC[[#This Row],[Aço (kg)]]*HC[[#This Row],[Aço (R$/kg)]]+HC[[#This Row],[Conc (m³)]]*HC[[#This Row],[Conc (R$/m³)]]</f>
        <v>#DIV/0!</v>
      </c>
      <c r="BF47" s="4" t="str">
        <f ca="1">IF(COUNTIF(HC[#This Row],"N.S.")&gt;0,"lim.","OK")</f>
        <v>lim.</v>
      </c>
      <c r="BG47" s="4" t="str">
        <f>IF(HC[[#This Row],[Prof. (m)]]&lt;4,"lim.","OK")</f>
        <v>lim.</v>
      </c>
      <c r="BH47" s="4" t="str">
        <f>IF(HC[[#This Row],[Prof. (m)]]&gt;=8*HC[[#This Row],[Ø (cm)]]/100,"OK","lim.")</f>
        <v>lim.</v>
      </c>
      <c r="BI47" s="4" t="str">
        <f ca="1">IF(HC[[#This Row],[Verif. Biela]]="OK","OK","lim.")</f>
        <v>OK</v>
      </c>
      <c r="BJ47" s="4" t="str">
        <f ca="1">IF(COUNTA(HC[[#This Row],[Nº Est.]:[Biela comp.]])=COUNTIF(HC[[#This Row],[Nº Est.]:[Biela comp.]],"OK"),"OK","lim.")</f>
        <v>lim.</v>
      </c>
      <c r="BK47" s="4" t="str">
        <f ca="1">IF(HC[[#This Row],[Controle]]="OK",HC[[#This Row],[nE]]&amp;" Ø"&amp;HC[[#This Row],[Ø (cm)]]&amp;"cm Prof. "&amp;HC[[#This Row],[Prof. (m)]]&amp;" m","")</f>
        <v/>
      </c>
      <c r="BL47" s="4" t="str">
        <f ca="1">IF(HC[[#This Row],[idDimensionamento]]="","",HC[[#This Row],[idPilar]]&amp;HC[[#This Row],[idDimensionamento]])</f>
        <v/>
      </c>
    </row>
    <row r="48" spans="2:64" x14ac:dyDescent="0.25">
      <c r="B48" s="12">
        <f>ROUNDUP((ROW(HC[[#This Row],[idDiâmetro]])-ROW(HC[[#Headers],[idDiâmetro]]))/(COUNT(SPT[Prof. (m)])*COUNT(PILARES[Pilar])),0)</f>
        <v>2</v>
      </c>
      <c r="C48" s="12">
        <f>IF(HC[[#This Row],[idDiâmetro]]&lt;&gt;B47,1,IF(HC[[#This Row],[Prof. (m)]]=0,C47+1,C47))</f>
        <v>2</v>
      </c>
      <c r="D48" s="1">
        <f>IFERROR(IF(D47=MAX(SPT[Prof. (m)]),0,D47+1),0)</f>
        <v>1</v>
      </c>
      <c r="E48" s="1">
        <f>INDEX(SPT[],MATCH(HC[[#This Row],[Prof. (m)]],SPT[Prof. (m)],0),2)</f>
        <v>2</v>
      </c>
      <c r="F48" s="1" t="str">
        <f>INDEX(SPT[],MATCH(HC[[#This Row],[Prof. (m)]],SPT[Prof. (m)],0),3)</f>
        <v>Areia siltosa</v>
      </c>
      <c r="G48" s="1">
        <f>INDEX(estacas[],HC[[#This Row],[idDiâmetro]],MATCH($B$2,estacas[#Headers],0))</f>
        <v>30</v>
      </c>
      <c r="H48" s="1">
        <f>INDEX(estacas[],MATCH(HC[[#This Row],[Ø (cm)]],estacas[Ø HC (cm)],0),MATCH(HC[[#Headers],[Pe HC (kN)]],estacas[#Headers],0))</f>
        <v>450</v>
      </c>
      <c r="I48" s="4">
        <f>INDEX(K_alpha_C[],MATCH(HC[[#This Row],[Solo]],K_alpha_C[Solo],0),2)</f>
        <v>0.8</v>
      </c>
      <c r="J48" s="5">
        <f>INDEX(K_alpha_C[],MATCH(HC[[#This Row],[Solo]],K_alpha_C[Solo],0),3)</f>
        <v>2</v>
      </c>
      <c r="K48" s="4">
        <f>INDEX(F1_F2[],MATCH($D$2,F1_F2[Tipo de estaca],0),2)</f>
        <v>2</v>
      </c>
      <c r="L48" s="4">
        <f>INDEX(F1_F2[],MATCH($D$2,F1_F2[Tipo de estaca],0),3)</f>
        <v>4</v>
      </c>
      <c r="M48" s="4">
        <f>PI()*(HC[[#This Row],[Ø (cm)]]/100)^2/4</f>
        <v>7.0685834705770348E-2</v>
      </c>
      <c r="N48" s="4">
        <f>PI()*HC[[#This Row],[Ø (cm)]]/100</f>
        <v>0.94247779607693782</v>
      </c>
      <c r="O48" s="4">
        <f>IF(HC[[#This Row],[Prof. (m)]]=0,0,HC[[#This Row],[α (%)]]/100*HC[[#This Row],[K (MPa)]]*1000*HC[[#This Row],[NSPT]])</f>
        <v>32</v>
      </c>
      <c r="P48" s="4">
        <f>IF(HC[[#This Row],[Prof. (m)]]=0,0,(HC[[#This Row],[K (MPa)]]*1000*HC[[#This Row],[NSPT]]/HC[[#This Row],[F1]]*HC[[#This Row],[Ap (m²)]]+HC[[#This Row],[U (m)]]/HC[[#This Row],[F2]]*SUMIFS(HC[(α∙K∙NL∙ΔL)],HC[Prof. (m)],"&lt;="&amp;HC[[#This Row],[Prof. (m)]],HC[idDiâmetro],HC[[#This Row],[idDiâmetro]],HC[idPilar],HC[[#This Row],[idPilar]]))/'DADOS CAP. CARGA'!$D$2)</f>
        <v>32.044245066615886</v>
      </c>
      <c r="Q48" s="12">
        <f>INDEX(C_alpha_beta[],MATCH(HC[[#This Row],[Solo]],C_alpha_beta[Solo],0),MATCH(HC[[#Headers],[C (kPa)]],C_alpha_beta[#Headers],0))</f>
        <v>400</v>
      </c>
      <c r="R48" s="4">
        <f>INDEX(C_alpha_beta[],MATCH(HC[[#This Row],[Solo]],C_alpha_beta[Solo],0),MATCH(HC[[#Headers],[α ESF]],C_alpha_beta[#Headers],0))</f>
        <v>0.5</v>
      </c>
      <c r="S48" s="4">
        <f>INDEX(C_alpha_beta[],MATCH(HC[[#This Row],[Solo]],C_alpha_beta[Solo],0),MATCH(HC[[#Headers],[β ESF]],C_alpha_beta[#Headers],0))</f>
        <v>0.5</v>
      </c>
      <c r="T48" s="4">
        <f>IF(HC[[#This Row],[Prof. (m)]]=0,0,10*(HC[[#This Row],[NSPT]]/3+1))</f>
        <v>16.666666666666664</v>
      </c>
      <c r="U48" s="4">
        <f>(HC[[#This Row],[α ESF]]*HC[[#This Row],[C (kPa)]]*HC[[#This Row],[NSPT]]*HC[[#This Row],[Ap (m²)]])/'DADOS CAP. CARGA'!$Q$2+(HC[[#This Row],[β ESF]]*SUMIFS(HC[10∙(NL/3+1)],HC[Prof. (m)],"&lt;="&amp;HC[[#This Row],[Prof. (m)]],HC[idDiâmetro],HC[[#This Row],[idDiâmetro]],HC[idPilar],HC[[#This Row],[idPilar]])*HC[[#This Row],[U (m)]])/'DADOS CAP. CARGA'!$S$2</f>
        <v>10.995574287564274</v>
      </c>
      <c r="V48" s="4">
        <f>IF(SPT!$M$5=1,MIN(HC[[#This Row],[Pe HC (kN)]],HC[[#This Row],[R_AV (kN)]]),IF(SPT!$M$5=2,MIN(HC[[#This Row],[Pe HC (kN)]],HC[[#This Row],[R_DC (kN)]]),MIN(HC[[#This Row],[Pe HC (kN)]],HC[[#This Row],[R_AV (kN)]],HC[[#This Row],[R_DC (kN)]])))</f>
        <v>10.995574287564274</v>
      </c>
      <c r="W48" s="4">
        <f>INDEX(PILARES[],HC[[#This Row],[idPilar]],MATCH("Carga (kN)",PILARES[#Headers],0))*1.4</f>
        <v>1750</v>
      </c>
      <c r="X48" s="12">
        <f>INDEX(PILARES[],HC[[#This Row],[idPilar]],MATCH(HC[[#Headers],[ap (cm)]],PILARES[#Headers],0))</f>
        <v>50</v>
      </c>
      <c r="Y48" s="12">
        <f>INDEX(PILARES[],HC[[#This Row],[idPilar]],MATCH(HC[[#Headers],[bp (cm)]],PILARES[#Headers],0))</f>
        <v>40</v>
      </c>
      <c r="Z48" s="4">
        <f>SQRT(HC[[#This Row],[ap (cm)]]*HC[[#This Row],[bp (cm)]])</f>
        <v>44.721359549995796</v>
      </c>
      <c r="AA48" s="12">
        <f>HC[[#This Row],[ap (cm)]]*HC[[#This Row],[bp (cm)]]</f>
        <v>2000</v>
      </c>
      <c r="AB48" s="12">
        <f ca="1">IF(HC[[#This Row],[Padm∙ε (kN)]]&gt;=HC[[#This Row],[Padm (kN)]],ROUNDUP(1.05*HC[[#This Row],[Nsd (kN)]]/HC[[#This Row],[Padm (kN)]],0),ROUNDUP(1.05*HC[[#This Row],[Nsd (kN)]]/HC[[#This Row],[Padm (kN)]],0)+1)</f>
        <v>168</v>
      </c>
      <c r="AC48" s="4" t="str">
        <f ca="1">IFERROR(IF(HC[[#This Row],[nE]]=1,HC[[#This Row],[Padm (kN)]],HC[[#This Row],[Padm (kN)]]*HC[[#This Row],[nE]]*INDEX(grupoEstacas[],HC[[#This Row],[nE]],MATCH("ε",grupoEstacas[#Headers],0))),"N.S.")</f>
        <v>N.S.</v>
      </c>
      <c r="AD48" s="4">
        <f ca="1">1.05*HC[[#This Row],[Nsd (kN)]]/(HC[[#This Row],[nE]]*PI()*HC[[#This Row],[Ø (cm)]]^2/4)*10</f>
        <v>0.15473397245045378</v>
      </c>
      <c r="AE48" s="4">
        <f ca="1">IF(HC[[#This Row],[σ (MPa)]]&lt;INDEX(tipoEstaca[],MATCH($D$2,tipoEstaca[TIPO DE ESTACA],0),MATCH("σmáx (MPa)",tipoEstaca[#Headers],0)),0.4%*PI()*HC[[#This Row],[Ø (cm)]]^2/4,"N.S.")</f>
        <v>2.8274333882308138</v>
      </c>
      <c r="AF48" s="1">
        <f>INDEX(tipoEstaca[],MATCH($D$2,tipoEstaca[TIPO DE ESTACA],0),MATCH(HC[[#Headers],[Comprimento (m)]],tipoEstaca[#Headers],0))</f>
        <v>4</v>
      </c>
      <c r="AG48" s="5">
        <f ca="1">HC[[#This Row],[As,mín (cm²)]]/100^2*HC[[#This Row],[Comprimento (m)]]*7850</f>
        <v>8.8781408390447556</v>
      </c>
      <c r="AH48" s="4">
        <f ca="1">HC[[#This Row],[nE]]*HC[[#This Row],[Prof. (m)]]*HC[[#This Row],[Ap (m²)]]</f>
        <v>11.875220230569418</v>
      </c>
      <c r="AI48" s="1">
        <f ca="1">IF(HC[[#This Row],[nE]]=1,0,MAX(3*HC[[#This Row],[Ø (cm)]],60))</f>
        <v>90</v>
      </c>
      <c r="AJ48" s="1">
        <f ca="1">IF(HC[[#This Row],[nE]]=1,HC[[#This Row],[Ø (cm)]]+2*10,MAX(1.5*HC[[#This Row],[Ø (cm)]],HC[[#This Row],[Ø (cm)]]+15))</f>
        <v>45</v>
      </c>
      <c r="AK48" s="1" t="str">
        <f ca="1">alturaUtil(HC[[#This Row],[nE]],HC[[#This Row],[Ø (cm)]],HC[[#This Row],[e (cm)]],HC[[#This Row],[ap,eq (cm)]])</f>
        <v>N.S.</v>
      </c>
      <c r="AL48" s="1" t="str">
        <f ca="1">IFERROR(HC[[#This Row],[d (cm)]]+arredondarParaCimaMultiplo5cm(MAX(5,SQRT(PI())/2*HC[[#This Row],[Ø (cm)]]/5)),"N.S.")</f>
        <v>N.S.</v>
      </c>
      <c r="AM48" s="5" t="str">
        <f ca="1">alpha(HC[[#This Row],[nE]],HC[[#This Row],[d (cm)]],HC[[#This Row],[e (cm)]],HC[[#This Row],[ap,eq (cm)]])</f>
        <v>N.S.</v>
      </c>
      <c r="AN48" s="35" t="str">
        <f ca="1">IFERROR(HC[[#This Row],[Nsd (kN)]]/(HC[[#This Row],[Ap (cm²)]]*SIN(HC[[#This Row],[α]])^2),"N.S.")</f>
        <v>N.S.</v>
      </c>
      <c r="AO48" s="35" t="str">
        <f ca="1">IFERROR(HC[[#This Row],[Nsd (kN)]]/(HC[[#This Row],[nE]]*PI()*HC[[#This Row],[Ø (cm)]]^2/4*SIN(HC[[#This Row],[α]])^2),"N.S.")</f>
        <v>N.S.</v>
      </c>
      <c r="AP48" s="4" t="str">
        <f ca="1">IFERROR(INDEX(grupoEstacas[],HC[[#This Row],[nE]],MATCH("coef. Blévot",grupoEstacas[#Headers],0)),"N.S.")</f>
        <v>N.S.</v>
      </c>
      <c r="AQ48" s="35" t="str">
        <f ca="1">IFERROR(HC[[#This Row],[coef. Blévot]]*0.9*INDEX(tipoEstaca[],MATCH($D$2,tipoEstaca[TIPO DE ESTACA],0),MATCH("fcd (kN/cm²)",tipoEstaca[#Headers],0)),"N.S.")</f>
        <v>N.S.</v>
      </c>
      <c r="AR48" s="1" t="str">
        <f ca="1">IF(AND(HC[[#This Row],[cd,b,pil (kN/cm²)]]&lt;=HC[[#This Row],[cd,b,lim (kN/cm²)]],HC[[#This Row],[cd,b,est (kN/cm²)]]&lt;=HC[[#This Row],[cd,b,lim (kN/cm²)]]),"OK","ERRO")</f>
        <v>OK</v>
      </c>
      <c r="AS48" s="4" t="str">
        <f ca="1">As_lado(HC[[#This Row],[nE]],HC[[#This Row],[Nsd (kN)]],HC[[#This Row],[d (cm)]],HC[[#This Row],[e (cm)]],HC[[#This Row],[ap,eq (cm)]])</f>
        <v>N.S.</v>
      </c>
      <c r="AT48" s="4" t="str">
        <f ca="1">IF(HC[[#This Row],[nE]]=1,HC[[#This Row],[As,lado (cm²)]],IF(HC[[#This Row],[nE]]=2,0.075*2*HC[a (cm)],"N.A."))</f>
        <v>N.A.</v>
      </c>
      <c r="AU48" s="4" t="str">
        <f ca="1">IFERROR(IF(HC[[#This Row],[nE]]=1,"N.A.",0.2*HC[[#This Row],[As,lado (cm²)]]),"N.S.")</f>
        <v>N.S.</v>
      </c>
      <c r="AV48" s="4" t="str">
        <f ca="1">As_malha(HC[[#This Row],[nE]],HC[[#This Row],[As,lado (cm²)]],HC[[#This Row],[Nsd (kN)]])</f>
        <v>N.S.</v>
      </c>
      <c r="AW48" s="4" t="str">
        <f ca="1">As_susp_tot(HC[[#This Row],[nE]],HC[[#This Row],[Nsd (kN)]])</f>
        <v>N.S.</v>
      </c>
      <c r="AX48" s="4" t="str">
        <f ca="1">Asp_face(HC[[#This Row],[nE]],HC[[#This Row],[As,lado (cm²)]])</f>
        <v>N.S.</v>
      </c>
      <c r="AY48" s="5" t="str">
        <f ca="1">acoBloco(HC[[#This Row],[nE]],HC[[#This Row],[e (cm)]],HC[[#This Row],[a (cm)]],HC[[#This Row],[h (cm)]],HC[[#This Row],[As,lado (cm²)]],HC[[#This Row],[Asp e Asw (cm²/m)]],HC[[#This Row],[As,sup (cm²)]],HC[[#This Row],[As,malha (cm²)]],HC[[#This Row],[As,susp,tot (cm²)]],HC[[#This Row],[Asp,face (cm²)]])</f>
        <v>N.S.</v>
      </c>
      <c r="AZ48" s="4" t="str">
        <f ca="1">concretoBloco(HC[[#This Row],[nE]],HC[[#This Row],[e (cm)]],HC[[#This Row],[a (cm)]],HC[[#This Row],[h (cm)]])</f>
        <v>N.S.</v>
      </c>
      <c r="BA48" s="5">
        <f ca="1">SUM(HC[[#This Row],[Aço Est (kg)]],HC[[#This Row],[Aço Bloco (kg)]])</f>
        <v>8.8781408390447556</v>
      </c>
      <c r="BB48" s="4">
        <f>INDEX(composicoes[],MATCH(95580,composicoes[CÓDIGO],0),MATCH("CUSTO TOTAL",composicoes[#Headers],0))</f>
        <v>10.46</v>
      </c>
      <c r="BC48" s="4">
        <f ca="1">SUM(HC[[#This Row],[Conc Est (m³)]],HC[[#This Row],[Conc Bloco (m³)]])</f>
        <v>11.875220230569418</v>
      </c>
      <c r="BD48" s="4">
        <f>INDEX(composicoes[],MATCH(94966,composicoes[CÓDIGO],0),MATCH("CUSTO TOTAL",composicoes[#Headers],0))</f>
        <v>439.52</v>
      </c>
      <c r="BE48" s="38">
        <f ca="1">HC[[#This Row],[Aço (kg)]]*HC[[#This Row],[Aço (R$/kg)]]+HC[[#This Row],[Conc (m³)]]*HC[[#This Row],[Conc (R$/m³)]]</f>
        <v>5312.2621489162793</v>
      </c>
      <c r="BF48" s="4" t="str">
        <f ca="1">IF(COUNTIF(HC[#This Row],"N.S.")&gt;0,"lim.","OK")</f>
        <v>lim.</v>
      </c>
      <c r="BG48" s="4" t="str">
        <f>IF(HC[[#This Row],[Prof. (m)]]&lt;4,"lim.","OK")</f>
        <v>lim.</v>
      </c>
      <c r="BH48" s="4" t="str">
        <f>IF(HC[[#This Row],[Prof. (m)]]&gt;=8*HC[[#This Row],[Ø (cm)]]/100,"OK","lim.")</f>
        <v>lim.</v>
      </c>
      <c r="BI48" s="4" t="str">
        <f ca="1">IF(HC[[#This Row],[Verif. Biela]]="OK","OK","lim.")</f>
        <v>OK</v>
      </c>
      <c r="BJ48" s="4" t="str">
        <f ca="1">IF(COUNTA(HC[[#This Row],[Nº Est.]:[Biela comp.]])=COUNTIF(HC[[#This Row],[Nº Est.]:[Biela comp.]],"OK"),"OK","lim.")</f>
        <v>lim.</v>
      </c>
      <c r="BK48" s="4" t="str">
        <f ca="1">IF(HC[[#This Row],[Controle]]="OK",HC[[#This Row],[nE]]&amp;" Ø"&amp;HC[[#This Row],[Ø (cm)]]&amp;"cm Prof. "&amp;HC[[#This Row],[Prof. (m)]]&amp;" m","")</f>
        <v/>
      </c>
      <c r="BL48" s="4" t="str">
        <f ca="1">IF(HC[[#This Row],[idDimensionamento]]="","",HC[[#This Row],[idPilar]]&amp;HC[[#This Row],[idDimensionamento]])</f>
        <v/>
      </c>
    </row>
    <row r="49" spans="2:64" x14ac:dyDescent="0.25">
      <c r="B49" s="12">
        <f>ROUNDUP((ROW(HC[[#This Row],[idDiâmetro]])-ROW(HC[[#Headers],[idDiâmetro]]))/(COUNT(SPT[Prof. (m)])*COUNT(PILARES[Pilar])),0)</f>
        <v>2</v>
      </c>
      <c r="C49" s="12">
        <f>IF(HC[[#This Row],[idDiâmetro]]&lt;&gt;B48,1,IF(HC[[#This Row],[Prof. (m)]]=0,C48+1,C48))</f>
        <v>2</v>
      </c>
      <c r="D49" s="1">
        <f>IFERROR(IF(D48=MAX(SPT[Prof. (m)]),0,D48+1),0)</f>
        <v>2</v>
      </c>
      <c r="E49" s="1">
        <f>INDEX(SPT[],MATCH(HC[[#This Row],[Prof. (m)]],SPT[Prof. (m)],0),2)</f>
        <v>2</v>
      </c>
      <c r="F49" s="1" t="str">
        <f>INDEX(SPT[],MATCH(HC[[#This Row],[Prof. (m)]],SPT[Prof. (m)],0),3)</f>
        <v>Areia siltosa</v>
      </c>
      <c r="G49" s="1">
        <f>INDEX(estacas[],HC[[#This Row],[idDiâmetro]],MATCH($B$2,estacas[#Headers],0))</f>
        <v>30</v>
      </c>
      <c r="H49" s="1">
        <f>INDEX(estacas[],MATCH(HC[[#This Row],[Ø (cm)]],estacas[Ø HC (cm)],0),MATCH(HC[[#Headers],[Pe HC (kN)]],estacas[#Headers],0))</f>
        <v>450</v>
      </c>
      <c r="I49" s="4">
        <f>INDEX(K_alpha_C[],MATCH(HC[[#This Row],[Solo]],K_alpha_C[Solo],0),2)</f>
        <v>0.8</v>
      </c>
      <c r="J49" s="5">
        <f>INDEX(K_alpha_C[],MATCH(HC[[#This Row],[Solo]],K_alpha_C[Solo],0),3)</f>
        <v>2</v>
      </c>
      <c r="K49" s="4">
        <f>INDEX(F1_F2[],MATCH($D$2,F1_F2[Tipo de estaca],0),2)</f>
        <v>2</v>
      </c>
      <c r="L49" s="4">
        <f>INDEX(F1_F2[],MATCH($D$2,F1_F2[Tipo de estaca],0),3)</f>
        <v>4</v>
      </c>
      <c r="M49" s="4">
        <f>PI()*(HC[[#This Row],[Ø (cm)]]/100)^2/4</f>
        <v>7.0685834705770348E-2</v>
      </c>
      <c r="N49" s="4">
        <f>PI()*HC[[#This Row],[Ø (cm)]]/100</f>
        <v>0.94247779607693782</v>
      </c>
      <c r="O49" s="4">
        <f>IF(HC[[#This Row],[Prof. (m)]]=0,0,HC[[#This Row],[α (%)]]/100*HC[[#This Row],[K (MPa)]]*1000*HC[[#This Row],[NSPT]])</f>
        <v>32</v>
      </c>
      <c r="P49" s="4">
        <f>IF(HC[[#This Row],[Prof. (m)]]=0,0,(HC[[#This Row],[K (MPa)]]*1000*HC[[#This Row],[NSPT]]/HC[[#This Row],[F1]]*HC[[#This Row],[Ap (m²)]]+HC[[#This Row],[U (m)]]/HC[[#This Row],[F2]]*SUMIFS(HC[(α∙K∙NL∙ΔL)],HC[Prof. (m)],"&lt;="&amp;HC[[#This Row],[Prof. (m)]],HC[idDiâmetro],HC[[#This Row],[idDiâmetro]],HC[idPilar],HC[[#This Row],[idPilar]]))/'DADOS CAP. CARGA'!$D$2)</f>
        <v>35.814156250923638</v>
      </c>
      <c r="Q49" s="12">
        <f>INDEX(C_alpha_beta[],MATCH(HC[[#This Row],[Solo]],C_alpha_beta[Solo],0),MATCH(HC[[#Headers],[C (kPa)]],C_alpha_beta[#Headers],0))</f>
        <v>400</v>
      </c>
      <c r="R49" s="4">
        <f>INDEX(C_alpha_beta[],MATCH(HC[[#This Row],[Solo]],C_alpha_beta[Solo],0),MATCH(HC[[#Headers],[α ESF]],C_alpha_beta[#Headers],0))</f>
        <v>0.5</v>
      </c>
      <c r="S49" s="4">
        <f>INDEX(C_alpha_beta[],MATCH(HC[[#This Row],[Solo]],C_alpha_beta[Solo],0),MATCH(HC[[#Headers],[β ESF]],C_alpha_beta[#Headers],0))</f>
        <v>0.5</v>
      </c>
      <c r="T49" s="4">
        <f>IF(HC[[#This Row],[Prof. (m)]]=0,0,10*(HC[[#This Row],[NSPT]]/3+1))</f>
        <v>16.666666666666664</v>
      </c>
      <c r="U49" s="4">
        <f>(HC[[#This Row],[α ESF]]*HC[[#This Row],[C (kPa)]]*HC[[#This Row],[NSPT]]*HC[[#This Row],[Ap (m²)]])/'DADOS CAP. CARGA'!$Q$2+(HC[[#This Row],[β ESF]]*SUMIFS(HC[10∙(NL/3+1)],HC[Prof. (m)],"&lt;="&amp;HC[[#This Row],[Prof. (m)]],HC[idDiâmetro],HC[[#This Row],[idDiâmetro]],HC[idPilar],HC[[#This Row],[idPilar]])*HC[[#This Row],[U (m)]])/'DADOS CAP. CARGA'!$S$2</f>
        <v>14.922565104551516</v>
      </c>
      <c r="V49" s="4">
        <f>IF(SPT!$M$5=1,MIN(HC[[#This Row],[Pe HC (kN)]],HC[[#This Row],[R_AV (kN)]]),IF(SPT!$M$5=2,MIN(HC[[#This Row],[Pe HC (kN)]],HC[[#This Row],[R_DC (kN)]]),MIN(HC[[#This Row],[Pe HC (kN)]],HC[[#This Row],[R_AV (kN)]],HC[[#This Row],[R_DC (kN)]])))</f>
        <v>14.922565104551516</v>
      </c>
      <c r="W49" s="4">
        <f>INDEX(PILARES[],HC[[#This Row],[idPilar]],MATCH("Carga (kN)",PILARES[#Headers],0))*1.4</f>
        <v>1750</v>
      </c>
      <c r="X49" s="12">
        <f>INDEX(PILARES[],HC[[#This Row],[idPilar]],MATCH(HC[[#Headers],[ap (cm)]],PILARES[#Headers],0))</f>
        <v>50</v>
      </c>
      <c r="Y49" s="12">
        <f>INDEX(PILARES[],HC[[#This Row],[idPilar]],MATCH(HC[[#Headers],[bp (cm)]],PILARES[#Headers],0))</f>
        <v>40</v>
      </c>
      <c r="Z49" s="4">
        <f>SQRT(HC[[#This Row],[ap (cm)]]*HC[[#This Row],[bp (cm)]])</f>
        <v>44.721359549995796</v>
      </c>
      <c r="AA49" s="12">
        <f>HC[[#This Row],[ap (cm)]]*HC[[#This Row],[bp (cm)]]</f>
        <v>2000</v>
      </c>
      <c r="AB49" s="12">
        <f ca="1">IF(HC[[#This Row],[Padm∙ε (kN)]]&gt;=HC[[#This Row],[Padm (kN)]],ROUNDUP(1.05*HC[[#This Row],[Nsd (kN)]]/HC[[#This Row],[Padm (kN)]],0),ROUNDUP(1.05*HC[[#This Row],[Nsd (kN)]]/HC[[#This Row],[Padm (kN)]],0)+1)</f>
        <v>124</v>
      </c>
      <c r="AC49" s="4" t="str">
        <f ca="1">IFERROR(IF(HC[[#This Row],[nE]]=1,HC[[#This Row],[Padm (kN)]],HC[[#This Row],[Padm (kN)]]*HC[[#This Row],[nE]]*INDEX(grupoEstacas[],HC[[#This Row],[nE]],MATCH("ε",grupoEstacas[#Headers],0))),"N.S.")</f>
        <v>N.S.</v>
      </c>
      <c r="AD49" s="4">
        <f ca="1">1.05*HC[[#This Row],[Nsd (kN)]]/(HC[[#This Row],[nE]]*PI()*HC[[#This Row],[Ø (cm)]]^2/4)*10</f>
        <v>0.2096395755780342</v>
      </c>
      <c r="AE49" s="4">
        <f ca="1">IF(HC[[#This Row],[σ (MPa)]]&lt;INDEX(tipoEstaca[],MATCH($D$2,tipoEstaca[TIPO DE ESTACA],0),MATCH("σmáx (MPa)",tipoEstaca[#Headers],0)),0.4%*PI()*HC[[#This Row],[Ø (cm)]]^2/4,"N.S.")</f>
        <v>2.8274333882308138</v>
      </c>
      <c r="AF49" s="1">
        <f>INDEX(tipoEstaca[],MATCH($D$2,tipoEstaca[TIPO DE ESTACA],0),MATCH(HC[[#Headers],[Comprimento (m)]],tipoEstaca[#Headers],0))</f>
        <v>4</v>
      </c>
      <c r="AG49" s="5">
        <f ca="1">HC[[#This Row],[As,mín (cm²)]]/100^2*HC[[#This Row],[Comprimento (m)]]*7850</f>
        <v>8.8781408390447556</v>
      </c>
      <c r="AH49" s="4">
        <f ca="1">HC[[#This Row],[nE]]*HC[[#This Row],[Prof. (m)]]*HC[[#This Row],[Ap (m²)]]</f>
        <v>17.530087007031046</v>
      </c>
      <c r="AI49" s="1">
        <f ca="1">IF(HC[[#This Row],[nE]]=1,0,MAX(3*HC[[#This Row],[Ø (cm)]],60))</f>
        <v>90</v>
      </c>
      <c r="AJ49" s="1">
        <f ca="1">IF(HC[[#This Row],[nE]]=1,HC[[#This Row],[Ø (cm)]]+2*10,MAX(1.5*HC[[#This Row],[Ø (cm)]],HC[[#This Row],[Ø (cm)]]+15))</f>
        <v>45</v>
      </c>
      <c r="AK49" s="1" t="str">
        <f ca="1">alturaUtil(HC[[#This Row],[nE]],HC[[#This Row],[Ø (cm)]],HC[[#This Row],[e (cm)]],HC[[#This Row],[ap,eq (cm)]])</f>
        <v>N.S.</v>
      </c>
      <c r="AL49" s="1" t="str">
        <f ca="1">IFERROR(HC[[#This Row],[d (cm)]]+arredondarParaCimaMultiplo5cm(MAX(5,SQRT(PI())/2*HC[[#This Row],[Ø (cm)]]/5)),"N.S.")</f>
        <v>N.S.</v>
      </c>
      <c r="AM49" s="5" t="str">
        <f ca="1">alpha(HC[[#This Row],[nE]],HC[[#This Row],[d (cm)]],HC[[#This Row],[e (cm)]],HC[[#This Row],[ap,eq (cm)]])</f>
        <v>N.S.</v>
      </c>
      <c r="AN49" s="35" t="str">
        <f ca="1">IFERROR(HC[[#This Row],[Nsd (kN)]]/(HC[[#This Row],[Ap (cm²)]]*SIN(HC[[#This Row],[α]])^2),"N.S.")</f>
        <v>N.S.</v>
      </c>
      <c r="AO49" s="35" t="str">
        <f ca="1">IFERROR(HC[[#This Row],[Nsd (kN)]]/(HC[[#This Row],[nE]]*PI()*HC[[#This Row],[Ø (cm)]]^2/4*SIN(HC[[#This Row],[α]])^2),"N.S.")</f>
        <v>N.S.</v>
      </c>
      <c r="AP49" s="4" t="str">
        <f ca="1">IFERROR(INDEX(grupoEstacas[],HC[[#This Row],[nE]],MATCH("coef. Blévot",grupoEstacas[#Headers],0)),"N.S.")</f>
        <v>N.S.</v>
      </c>
      <c r="AQ49" s="35" t="str">
        <f ca="1">IFERROR(HC[[#This Row],[coef. Blévot]]*0.9*INDEX(tipoEstaca[],MATCH($D$2,tipoEstaca[TIPO DE ESTACA],0),MATCH("fcd (kN/cm²)",tipoEstaca[#Headers],0)),"N.S.")</f>
        <v>N.S.</v>
      </c>
      <c r="AR49" s="1" t="str">
        <f ca="1">IF(AND(HC[[#This Row],[cd,b,pil (kN/cm²)]]&lt;=HC[[#This Row],[cd,b,lim (kN/cm²)]],HC[[#This Row],[cd,b,est (kN/cm²)]]&lt;=HC[[#This Row],[cd,b,lim (kN/cm²)]]),"OK","ERRO")</f>
        <v>OK</v>
      </c>
      <c r="AS49" s="4" t="str">
        <f ca="1">As_lado(HC[[#This Row],[nE]],HC[[#This Row],[Nsd (kN)]],HC[[#This Row],[d (cm)]],HC[[#This Row],[e (cm)]],HC[[#This Row],[ap,eq (cm)]])</f>
        <v>N.S.</v>
      </c>
      <c r="AT49" s="4" t="str">
        <f ca="1">IF(HC[[#This Row],[nE]]=1,HC[[#This Row],[As,lado (cm²)]],IF(HC[[#This Row],[nE]]=2,0.075*2*HC[a (cm)],"N.A."))</f>
        <v>N.A.</v>
      </c>
      <c r="AU49" s="4" t="str">
        <f ca="1">IFERROR(IF(HC[[#This Row],[nE]]=1,"N.A.",0.2*HC[[#This Row],[As,lado (cm²)]]),"N.S.")</f>
        <v>N.S.</v>
      </c>
      <c r="AV49" s="4" t="str">
        <f ca="1">As_malha(HC[[#This Row],[nE]],HC[[#This Row],[As,lado (cm²)]],HC[[#This Row],[Nsd (kN)]])</f>
        <v>N.S.</v>
      </c>
      <c r="AW49" s="4" t="str">
        <f ca="1">As_susp_tot(HC[[#This Row],[nE]],HC[[#This Row],[Nsd (kN)]])</f>
        <v>N.S.</v>
      </c>
      <c r="AX49" s="4" t="str">
        <f ca="1">Asp_face(HC[[#This Row],[nE]],HC[[#This Row],[As,lado (cm²)]])</f>
        <v>N.S.</v>
      </c>
      <c r="AY49" s="5" t="str">
        <f ca="1">acoBloco(HC[[#This Row],[nE]],HC[[#This Row],[e (cm)]],HC[[#This Row],[a (cm)]],HC[[#This Row],[h (cm)]],HC[[#This Row],[As,lado (cm²)]],HC[[#This Row],[Asp e Asw (cm²/m)]],HC[[#This Row],[As,sup (cm²)]],HC[[#This Row],[As,malha (cm²)]],HC[[#This Row],[As,susp,tot (cm²)]],HC[[#This Row],[Asp,face (cm²)]])</f>
        <v>N.S.</v>
      </c>
      <c r="AZ49" s="4" t="str">
        <f ca="1">concretoBloco(HC[[#This Row],[nE]],HC[[#This Row],[e (cm)]],HC[[#This Row],[a (cm)]],HC[[#This Row],[h (cm)]])</f>
        <v>N.S.</v>
      </c>
      <c r="BA49" s="5">
        <f ca="1">SUM(HC[[#This Row],[Aço Est (kg)]],HC[[#This Row],[Aço Bloco (kg)]])</f>
        <v>8.8781408390447556</v>
      </c>
      <c r="BB49" s="4">
        <f>INDEX(composicoes[],MATCH(95580,composicoes[CÓDIGO],0),MATCH("CUSTO TOTAL",composicoes[#Headers],0))</f>
        <v>10.46</v>
      </c>
      <c r="BC49" s="4">
        <f ca="1">SUM(HC[[#This Row],[Conc Est (m³)]],HC[[#This Row],[Conc Bloco (m³)]])</f>
        <v>17.530087007031046</v>
      </c>
      <c r="BD49" s="4">
        <f>INDEX(composicoes[],MATCH(94966,composicoes[CÓDIGO],0),MATCH("CUSTO TOTAL",composicoes[#Headers],0))</f>
        <v>439.52</v>
      </c>
      <c r="BE49" s="38">
        <f ca="1">HC[[#This Row],[Aço (kg)]]*HC[[#This Row],[Aço (R$/kg)]]+HC[[#This Row],[Conc (m³)]]*HC[[#This Row],[Conc (R$/m³)]]</f>
        <v>7797.6891945066936</v>
      </c>
      <c r="BF49" s="4" t="str">
        <f ca="1">IF(COUNTIF(HC[#This Row],"N.S.")&gt;0,"lim.","OK")</f>
        <v>lim.</v>
      </c>
      <c r="BG49" s="4" t="str">
        <f>IF(HC[[#This Row],[Prof. (m)]]&lt;4,"lim.","OK")</f>
        <v>lim.</v>
      </c>
      <c r="BH49" s="4" t="str">
        <f>IF(HC[[#This Row],[Prof. (m)]]&gt;=8*HC[[#This Row],[Ø (cm)]]/100,"OK","lim.")</f>
        <v>lim.</v>
      </c>
      <c r="BI49" s="4" t="str">
        <f ca="1">IF(HC[[#This Row],[Verif. Biela]]="OK","OK","lim.")</f>
        <v>OK</v>
      </c>
      <c r="BJ49" s="4" t="str">
        <f ca="1">IF(COUNTA(HC[[#This Row],[Nº Est.]:[Biela comp.]])=COUNTIF(HC[[#This Row],[Nº Est.]:[Biela comp.]],"OK"),"OK","lim.")</f>
        <v>lim.</v>
      </c>
      <c r="BK49" s="4" t="str">
        <f ca="1">IF(HC[[#This Row],[Controle]]="OK",HC[[#This Row],[nE]]&amp;" Ø"&amp;HC[[#This Row],[Ø (cm)]]&amp;"cm Prof. "&amp;HC[[#This Row],[Prof. (m)]]&amp;" m","")</f>
        <v/>
      </c>
      <c r="BL49" s="4" t="str">
        <f ca="1">IF(HC[[#This Row],[idDimensionamento]]="","",HC[[#This Row],[idPilar]]&amp;HC[[#This Row],[idDimensionamento]])</f>
        <v/>
      </c>
    </row>
    <row r="50" spans="2:64" x14ac:dyDescent="0.25">
      <c r="B50" s="12">
        <f>ROUNDUP((ROW(HC[[#This Row],[idDiâmetro]])-ROW(HC[[#Headers],[idDiâmetro]]))/(COUNT(SPT[Prof. (m)])*COUNT(PILARES[Pilar])),0)</f>
        <v>2</v>
      </c>
      <c r="C50" s="12">
        <f>IF(HC[[#This Row],[idDiâmetro]]&lt;&gt;B49,1,IF(HC[[#This Row],[Prof. (m)]]=0,C49+1,C49))</f>
        <v>2</v>
      </c>
      <c r="D50" s="1">
        <f>IFERROR(IF(D49=MAX(SPT[Prof. (m)]),0,D49+1),0)</f>
        <v>3</v>
      </c>
      <c r="E50" s="1">
        <f>INDEX(SPT[],MATCH(HC[[#This Row],[Prof. (m)]],SPT[Prof. (m)],0),2)</f>
        <v>4</v>
      </c>
      <c r="F50" s="1" t="str">
        <f>INDEX(SPT[],MATCH(HC[[#This Row],[Prof. (m)]],SPT[Prof. (m)],0),3)</f>
        <v>Areia siltosa</v>
      </c>
      <c r="G50" s="1">
        <f>INDEX(estacas[],HC[[#This Row],[idDiâmetro]],MATCH($B$2,estacas[#Headers],0))</f>
        <v>30</v>
      </c>
      <c r="H50" s="1">
        <f>INDEX(estacas[],MATCH(HC[[#This Row],[Ø (cm)]],estacas[Ø HC (cm)],0),MATCH(HC[[#Headers],[Pe HC (kN)]],estacas[#Headers],0))</f>
        <v>450</v>
      </c>
      <c r="I50" s="4">
        <f>INDEX(K_alpha_C[],MATCH(HC[[#This Row],[Solo]],K_alpha_C[Solo],0),2)</f>
        <v>0.8</v>
      </c>
      <c r="J50" s="5">
        <f>INDEX(K_alpha_C[],MATCH(HC[[#This Row],[Solo]],K_alpha_C[Solo],0),3)</f>
        <v>2</v>
      </c>
      <c r="K50" s="4">
        <f>INDEX(F1_F2[],MATCH($D$2,F1_F2[Tipo de estaca],0),2)</f>
        <v>2</v>
      </c>
      <c r="L50" s="4">
        <f>INDEX(F1_F2[],MATCH($D$2,F1_F2[Tipo de estaca],0),3)</f>
        <v>4</v>
      </c>
      <c r="M50" s="4">
        <f>PI()*(HC[[#This Row],[Ø (cm)]]/100)^2/4</f>
        <v>7.0685834705770348E-2</v>
      </c>
      <c r="N50" s="4">
        <f>PI()*HC[[#This Row],[Ø (cm)]]/100</f>
        <v>0.94247779607693782</v>
      </c>
      <c r="O50" s="4">
        <f>IF(HC[[#This Row],[Prof. (m)]]=0,0,HC[[#This Row],[α (%)]]/100*HC[[#This Row],[K (MPa)]]*1000*HC[[#This Row],[NSPT]])</f>
        <v>64</v>
      </c>
      <c r="P50" s="4">
        <f>IF(HC[[#This Row],[Prof. (m)]]=0,0,(HC[[#This Row],[K (MPa)]]*1000*HC[[#This Row],[NSPT]]/HC[[#This Row],[F1]]*HC[[#This Row],[Ap (m²)]]+HC[[#This Row],[U (m)]]/HC[[#This Row],[F2]]*SUMIFS(HC[(α∙K∙NL∙ΔL)],HC[Prof. (m)],"&lt;="&amp;HC[[#This Row],[Prof. (m)]],HC[idDiâmetro],HC[[#This Row],[idDiâmetro]],HC[idPilar],HC[[#This Row],[idPilar]]))/'DADOS CAP. CARGA'!$D$2)</f>
        <v>71.628312501847276</v>
      </c>
      <c r="Q50" s="12">
        <f>INDEX(C_alpha_beta[],MATCH(HC[[#This Row],[Solo]],C_alpha_beta[Solo],0),MATCH(HC[[#Headers],[C (kPa)]],C_alpha_beta[#Headers],0))</f>
        <v>400</v>
      </c>
      <c r="R50" s="4">
        <f>INDEX(C_alpha_beta[],MATCH(HC[[#This Row],[Solo]],C_alpha_beta[Solo],0),MATCH(HC[[#Headers],[α ESF]],C_alpha_beta[#Headers],0))</f>
        <v>0.5</v>
      </c>
      <c r="S50" s="4">
        <f>INDEX(C_alpha_beta[],MATCH(HC[[#This Row],[Solo]],C_alpha_beta[Solo],0),MATCH(HC[[#Headers],[β ESF]],C_alpha_beta[#Headers],0))</f>
        <v>0.5</v>
      </c>
      <c r="T50" s="4">
        <f>IF(HC[[#This Row],[Prof. (m)]]=0,0,10*(HC[[#This Row],[NSPT]]/3+1))</f>
        <v>23.333333333333329</v>
      </c>
      <c r="U50" s="4">
        <f>(HC[[#This Row],[α ESF]]*HC[[#This Row],[C (kPa)]]*HC[[#This Row],[NSPT]]*HC[[#This Row],[Ap (m²)]])/'DADOS CAP. CARGA'!$Q$2+(HC[[#This Row],[β ESF]]*SUMIFS(HC[10∙(NL/3+1)],HC[Prof. (m)],"&lt;="&amp;HC[[#This Row],[Prof. (m)]],HC[idDiâmetro],HC[[#This Row],[idDiâmetro]],HC[idPilar],HC[[#This Row],[idPilar]])*HC[[#This Row],[U (m)]])/'DADOS CAP. CARGA'!$S$2</f>
        <v>27.488935718910685</v>
      </c>
      <c r="V50" s="4">
        <f>IF(SPT!$M$5=1,MIN(HC[[#This Row],[Pe HC (kN)]],HC[[#This Row],[R_AV (kN)]]),IF(SPT!$M$5=2,MIN(HC[[#This Row],[Pe HC (kN)]],HC[[#This Row],[R_DC (kN)]]),MIN(HC[[#This Row],[Pe HC (kN)]],HC[[#This Row],[R_AV (kN)]],HC[[#This Row],[R_DC (kN)]])))</f>
        <v>27.488935718910685</v>
      </c>
      <c r="W50" s="4">
        <f>INDEX(PILARES[],HC[[#This Row],[idPilar]],MATCH("Carga (kN)",PILARES[#Headers],0))*1.4</f>
        <v>1750</v>
      </c>
      <c r="X50" s="12">
        <f>INDEX(PILARES[],HC[[#This Row],[idPilar]],MATCH(HC[[#Headers],[ap (cm)]],PILARES[#Headers],0))</f>
        <v>50</v>
      </c>
      <c r="Y50" s="12">
        <f>INDEX(PILARES[],HC[[#This Row],[idPilar]],MATCH(HC[[#Headers],[bp (cm)]],PILARES[#Headers],0))</f>
        <v>40</v>
      </c>
      <c r="Z50" s="4">
        <f>SQRT(HC[[#This Row],[ap (cm)]]*HC[[#This Row],[bp (cm)]])</f>
        <v>44.721359549995796</v>
      </c>
      <c r="AA50" s="12">
        <f>HC[[#This Row],[ap (cm)]]*HC[[#This Row],[bp (cm)]]</f>
        <v>2000</v>
      </c>
      <c r="AB50" s="12">
        <f ca="1">IF(HC[[#This Row],[Padm∙ε (kN)]]&gt;=HC[[#This Row],[Padm (kN)]],ROUNDUP(1.05*HC[[#This Row],[Nsd (kN)]]/HC[[#This Row],[Padm (kN)]],0),ROUNDUP(1.05*HC[[#This Row],[Nsd (kN)]]/HC[[#This Row],[Padm (kN)]],0)+1)</f>
        <v>67</v>
      </c>
      <c r="AC50" s="4" t="str">
        <f ca="1">IFERROR(IF(HC[[#This Row],[nE]]=1,HC[[#This Row],[Padm (kN)]],HC[[#This Row],[Padm (kN)]]*HC[[#This Row],[nE]]*INDEX(grupoEstacas[],HC[[#This Row],[nE]],MATCH("ε",grupoEstacas[#Headers],0))),"N.S.")</f>
        <v>N.S.</v>
      </c>
      <c r="AD50" s="4">
        <f ca="1">1.05*HC[[#This Row],[Nsd (kN)]]/(HC[[#This Row],[nE]]*PI()*HC[[#This Row],[Ø (cm)]]^2/4)*10</f>
        <v>0.38798966226382448</v>
      </c>
      <c r="AE50" s="4">
        <f ca="1">IF(HC[[#This Row],[σ (MPa)]]&lt;INDEX(tipoEstaca[],MATCH($D$2,tipoEstaca[TIPO DE ESTACA],0),MATCH("σmáx (MPa)",tipoEstaca[#Headers],0)),0.4%*PI()*HC[[#This Row],[Ø (cm)]]^2/4,"N.S.")</f>
        <v>2.8274333882308138</v>
      </c>
      <c r="AF50" s="1">
        <f>INDEX(tipoEstaca[],MATCH($D$2,tipoEstaca[TIPO DE ESTACA],0),MATCH(HC[[#Headers],[Comprimento (m)]],tipoEstaca[#Headers],0))</f>
        <v>4</v>
      </c>
      <c r="AG50" s="5">
        <f ca="1">HC[[#This Row],[As,mín (cm²)]]/100^2*HC[[#This Row],[Comprimento (m)]]*7850</f>
        <v>8.8781408390447556</v>
      </c>
      <c r="AH50" s="4">
        <f ca="1">HC[[#This Row],[nE]]*HC[[#This Row],[Prof. (m)]]*HC[[#This Row],[Ap (m²)]]</f>
        <v>14.207852775859839</v>
      </c>
      <c r="AI50" s="1">
        <f ca="1">IF(HC[[#This Row],[nE]]=1,0,MAX(3*HC[[#This Row],[Ø (cm)]],60))</f>
        <v>90</v>
      </c>
      <c r="AJ50" s="1">
        <f ca="1">IF(HC[[#This Row],[nE]]=1,HC[[#This Row],[Ø (cm)]]+2*10,MAX(1.5*HC[[#This Row],[Ø (cm)]],HC[[#This Row],[Ø (cm)]]+15))</f>
        <v>45</v>
      </c>
      <c r="AK50" s="1" t="str">
        <f ca="1">alturaUtil(HC[[#This Row],[nE]],HC[[#This Row],[Ø (cm)]],HC[[#This Row],[e (cm)]],HC[[#This Row],[ap,eq (cm)]])</f>
        <v>N.S.</v>
      </c>
      <c r="AL50" s="1" t="str">
        <f ca="1">IFERROR(HC[[#This Row],[d (cm)]]+arredondarParaCimaMultiplo5cm(MAX(5,SQRT(PI())/2*HC[[#This Row],[Ø (cm)]]/5)),"N.S.")</f>
        <v>N.S.</v>
      </c>
      <c r="AM50" s="5" t="str">
        <f ca="1">alpha(HC[[#This Row],[nE]],HC[[#This Row],[d (cm)]],HC[[#This Row],[e (cm)]],HC[[#This Row],[ap,eq (cm)]])</f>
        <v>N.S.</v>
      </c>
      <c r="AN50" s="35" t="str">
        <f ca="1">IFERROR(HC[[#This Row],[Nsd (kN)]]/(HC[[#This Row],[Ap (cm²)]]*SIN(HC[[#This Row],[α]])^2),"N.S.")</f>
        <v>N.S.</v>
      </c>
      <c r="AO50" s="35" t="str">
        <f ca="1">IFERROR(HC[[#This Row],[Nsd (kN)]]/(HC[[#This Row],[nE]]*PI()*HC[[#This Row],[Ø (cm)]]^2/4*SIN(HC[[#This Row],[α]])^2),"N.S.")</f>
        <v>N.S.</v>
      </c>
      <c r="AP50" s="4" t="str">
        <f ca="1">IFERROR(INDEX(grupoEstacas[],HC[[#This Row],[nE]],MATCH("coef. Blévot",grupoEstacas[#Headers],0)),"N.S.")</f>
        <v>N.S.</v>
      </c>
      <c r="AQ50" s="35" t="str">
        <f ca="1">IFERROR(HC[[#This Row],[coef. Blévot]]*0.9*INDEX(tipoEstaca[],MATCH($D$2,tipoEstaca[TIPO DE ESTACA],0),MATCH("fcd (kN/cm²)",tipoEstaca[#Headers],0)),"N.S.")</f>
        <v>N.S.</v>
      </c>
      <c r="AR50" s="1" t="str">
        <f ca="1">IF(AND(HC[[#This Row],[cd,b,pil (kN/cm²)]]&lt;=HC[[#This Row],[cd,b,lim (kN/cm²)]],HC[[#This Row],[cd,b,est (kN/cm²)]]&lt;=HC[[#This Row],[cd,b,lim (kN/cm²)]]),"OK","ERRO")</f>
        <v>OK</v>
      </c>
      <c r="AS50" s="4" t="str">
        <f ca="1">As_lado(HC[[#This Row],[nE]],HC[[#This Row],[Nsd (kN)]],HC[[#This Row],[d (cm)]],HC[[#This Row],[e (cm)]],HC[[#This Row],[ap,eq (cm)]])</f>
        <v>N.S.</v>
      </c>
      <c r="AT50" s="4" t="str">
        <f ca="1">IF(HC[[#This Row],[nE]]=1,HC[[#This Row],[As,lado (cm²)]],IF(HC[[#This Row],[nE]]=2,0.075*2*HC[a (cm)],"N.A."))</f>
        <v>N.A.</v>
      </c>
      <c r="AU50" s="4" t="str">
        <f ca="1">IFERROR(IF(HC[[#This Row],[nE]]=1,"N.A.",0.2*HC[[#This Row],[As,lado (cm²)]]),"N.S.")</f>
        <v>N.S.</v>
      </c>
      <c r="AV50" s="4" t="str">
        <f ca="1">As_malha(HC[[#This Row],[nE]],HC[[#This Row],[As,lado (cm²)]],HC[[#This Row],[Nsd (kN)]])</f>
        <v>N.S.</v>
      </c>
      <c r="AW50" s="4" t="str">
        <f ca="1">As_susp_tot(HC[[#This Row],[nE]],HC[[#This Row],[Nsd (kN)]])</f>
        <v>N.S.</v>
      </c>
      <c r="AX50" s="4" t="str">
        <f ca="1">Asp_face(HC[[#This Row],[nE]],HC[[#This Row],[As,lado (cm²)]])</f>
        <v>N.S.</v>
      </c>
      <c r="AY50" s="5" t="str">
        <f ca="1">acoBloco(HC[[#This Row],[nE]],HC[[#This Row],[e (cm)]],HC[[#This Row],[a (cm)]],HC[[#This Row],[h (cm)]],HC[[#This Row],[As,lado (cm²)]],HC[[#This Row],[Asp e Asw (cm²/m)]],HC[[#This Row],[As,sup (cm²)]],HC[[#This Row],[As,malha (cm²)]],HC[[#This Row],[As,susp,tot (cm²)]],HC[[#This Row],[Asp,face (cm²)]])</f>
        <v>N.S.</v>
      </c>
      <c r="AZ50" s="4" t="str">
        <f ca="1">concretoBloco(HC[[#This Row],[nE]],HC[[#This Row],[e (cm)]],HC[[#This Row],[a (cm)]],HC[[#This Row],[h (cm)]])</f>
        <v>N.S.</v>
      </c>
      <c r="BA50" s="5">
        <f ca="1">SUM(HC[[#This Row],[Aço Est (kg)]],HC[[#This Row],[Aço Bloco (kg)]])</f>
        <v>8.8781408390447556</v>
      </c>
      <c r="BB50" s="4">
        <f>INDEX(composicoes[],MATCH(95580,composicoes[CÓDIGO],0),MATCH("CUSTO TOTAL",composicoes[#Headers],0))</f>
        <v>10.46</v>
      </c>
      <c r="BC50" s="4">
        <f ca="1">SUM(HC[[#This Row],[Conc Est (m³)]],HC[[#This Row],[Conc Bloco (m³)]])</f>
        <v>14.207852775859839</v>
      </c>
      <c r="BD50" s="4">
        <f>INDEX(composicoes[],MATCH(94966,composicoes[CÓDIGO],0),MATCH("CUSTO TOTAL",composicoes[#Headers],0))</f>
        <v>439.52</v>
      </c>
      <c r="BE50" s="38">
        <f ca="1">HC[[#This Row],[Aço (kg)]]*HC[[#This Row],[Aço (R$/kg)]]+HC[[#This Row],[Conc (m³)]]*HC[[#This Row],[Conc (R$/m³)]]</f>
        <v>6337.5008052223247</v>
      </c>
      <c r="BF50" s="4" t="str">
        <f ca="1">IF(COUNTIF(HC[#This Row],"N.S.")&gt;0,"lim.","OK")</f>
        <v>lim.</v>
      </c>
      <c r="BG50" s="4" t="str">
        <f>IF(HC[[#This Row],[Prof. (m)]]&lt;4,"lim.","OK")</f>
        <v>lim.</v>
      </c>
      <c r="BH50" s="4" t="str">
        <f>IF(HC[[#This Row],[Prof. (m)]]&gt;=8*HC[[#This Row],[Ø (cm)]]/100,"OK","lim.")</f>
        <v>OK</v>
      </c>
      <c r="BI50" s="4" t="str">
        <f ca="1">IF(HC[[#This Row],[Verif. Biela]]="OK","OK","lim.")</f>
        <v>OK</v>
      </c>
      <c r="BJ50" s="4" t="str">
        <f ca="1">IF(COUNTA(HC[[#This Row],[Nº Est.]:[Biela comp.]])=COUNTIF(HC[[#This Row],[Nº Est.]:[Biela comp.]],"OK"),"OK","lim.")</f>
        <v>lim.</v>
      </c>
      <c r="BK50" s="4" t="str">
        <f ca="1">IF(HC[[#This Row],[Controle]]="OK",HC[[#This Row],[nE]]&amp;" Ø"&amp;HC[[#This Row],[Ø (cm)]]&amp;"cm Prof. "&amp;HC[[#This Row],[Prof. (m)]]&amp;" m","")</f>
        <v/>
      </c>
      <c r="BL50" s="4" t="str">
        <f ca="1">IF(HC[[#This Row],[idDimensionamento]]="","",HC[[#This Row],[idPilar]]&amp;HC[[#This Row],[idDimensionamento]])</f>
        <v/>
      </c>
    </row>
    <row r="51" spans="2:64" x14ac:dyDescent="0.25">
      <c r="B51" s="12">
        <f>ROUNDUP((ROW(HC[[#This Row],[idDiâmetro]])-ROW(HC[[#Headers],[idDiâmetro]]))/(COUNT(SPT[Prof. (m)])*COUNT(PILARES[Pilar])),0)</f>
        <v>2</v>
      </c>
      <c r="C51" s="12">
        <f>IF(HC[[#This Row],[idDiâmetro]]&lt;&gt;B50,1,IF(HC[[#This Row],[Prof. (m)]]=0,C50+1,C50))</f>
        <v>2</v>
      </c>
      <c r="D51" s="1">
        <f>IFERROR(IF(D50=MAX(SPT[Prof. (m)]),0,D50+1),0)</f>
        <v>4</v>
      </c>
      <c r="E51" s="1">
        <f>INDEX(SPT[],MATCH(HC[[#This Row],[Prof. (m)]],SPT[Prof. (m)],0),2)</f>
        <v>8</v>
      </c>
      <c r="F51" s="1" t="str">
        <f>INDEX(SPT[],MATCH(HC[[#This Row],[Prof. (m)]],SPT[Prof. (m)],0),3)</f>
        <v>Areia siltosa</v>
      </c>
      <c r="G51" s="1">
        <f>INDEX(estacas[],HC[[#This Row],[idDiâmetro]],MATCH($B$2,estacas[#Headers],0))</f>
        <v>30</v>
      </c>
      <c r="H51" s="1">
        <f>INDEX(estacas[],MATCH(HC[[#This Row],[Ø (cm)]],estacas[Ø HC (cm)],0),MATCH(HC[[#Headers],[Pe HC (kN)]],estacas[#Headers],0))</f>
        <v>450</v>
      </c>
      <c r="I51" s="4">
        <f>INDEX(K_alpha_C[],MATCH(HC[[#This Row],[Solo]],K_alpha_C[Solo],0),2)</f>
        <v>0.8</v>
      </c>
      <c r="J51" s="5">
        <f>INDEX(K_alpha_C[],MATCH(HC[[#This Row],[Solo]],K_alpha_C[Solo],0),3)</f>
        <v>2</v>
      </c>
      <c r="K51" s="4">
        <f>INDEX(F1_F2[],MATCH($D$2,F1_F2[Tipo de estaca],0),2)</f>
        <v>2</v>
      </c>
      <c r="L51" s="4">
        <f>INDEX(F1_F2[],MATCH($D$2,F1_F2[Tipo de estaca],0),3)</f>
        <v>4</v>
      </c>
      <c r="M51" s="4">
        <f>PI()*(HC[[#This Row],[Ø (cm)]]/100)^2/4</f>
        <v>7.0685834705770348E-2</v>
      </c>
      <c r="N51" s="4">
        <f>PI()*HC[[#This Row],[Ø (cm)]]/100</f>
        <v>0.94247779607693782</v>
      </c>
      <c r="O51" s="4">
        <f>IF(HC[[#This Row],[Prof. (m)]]=0,0,HC[[#This Row],[α (%)]]/100*HC[[#This Row],[K (MPa)]]*1000*HC[[#This Row],[NSPT]])</f>
        <v>128</v>
      </c>
      <c r="P51" s="4">
        <f>IF(HC[[#This Row],[Prof. (m)]]=0,0,(HC[[#This Row],[K (MPa)]]*1000*HC[[#This Row],[NSPT]]/HC[[#This Row],[F1]]*HC[[#This Row],[Ap (m²)]]+HC[[#This Row],[U (m)]]/HC[[#This Row],[F2]]*SUMIFS(HC[(α∙K∙NL∙ΔL)],HC[Prof. (m)],"&lt;="&amp;HC[[#This Row],[Prof. (m)]],HC[idDiâmetro],HC[[#This Row],[idDiâmetro]],HC[idPilar],HC[[#This Row],[idPilar]]))/'DADOS CAP. CARGA'!$D$2)</f>
        <v>143.25662500369455</v>
      </c>
      <c r="Q51" s="12">
        <f>INDEX(C_alpha_beta[],MATCH(HC[[#This Row],[Solo]],C_alpha_beta[Solo],0),MATCH(HC[[#Headers],[C (kPa)]],C_alpha_beta[#Headers],0))</f>
        <v>400</v>
      </c>
      <c r="R51" s="4">
        <f>INDEX(C_alpha_beta[],MATCH(HC[[#This Row],[Solo]],C_alpha_beta[Solo],0),MATCH(HC[[#Headers],[α ESF]],C_alpha_beta[#Headers],0))</f>
        <v>0.5</v>
      </c>
      <c r="S51" s="4">
        <f>INDEX(C_alpha_beta[],MATCH(HC[[#This Row],[Solo]],C_alpha_beta[Solo],0),MATCH(HC[[#Headers],[β ESF]],C_alpha_beta[#Headers],0))</f>
        <v>0.5</v>
      </c>
      <c r="T51" s="4">
        <f>IF(HC[[#This Row],[Prof. (m)]]=0,0,10*(HC[[#This Row],[NSPT]]/3+1))</f>
        <v>36.666666666666664</v>
      </c>
      <c r="U51" s="4">
        <f>(HC[[#This Row],[α ESF]]*HC[[#This Row],[C (kPa)]]*HC[[#This Row],[NSPT]]*HC[[#This Row],[Ap (m²)]])/'DADOS CAP. CARGA'!$Q$2+(HC[[#This Row],[β ESF]]*SUMIFS(HC[10∙(NL/3+1)],HC[Prof. (m)],"&lt;="&amp;HC[[#This Row],[Prof. (m)]],HC[idDiâmetro],HC[[#This Row],[idDiâmetro]],HC[idPilar],HC[[#This Row],[idPilar]])*HC[[#This Row],[U (m)]])/'DADOS CAP. CARGA'!$S$2</f>
        <v>50.265482457436683</v>
      </c>
      <c r="V51" s="4">
        <f>IF(SPT!$M$5=1,MIN(HC[[#This Row],[Pe HC (kN)]],HC[[#This Row],[R_AV (kN)]]),IF(SPT!$M$5=2,MIN(HC[[#This Row],[Pe HC (kN)]],HC[[#This Row],[R_DC (kN)]]),MIN(HC[[#This Row],[Pe HC (kN)]],HC[[#This Row],[R_AV (kN)]],HC[[#This Row],[R_DC (kN)]])))</f>
        <v>50.265482457436683</v>
      </c>
      <c r="W51" s="4">
        <f>INDEX(PILARES[],HC[[#This Row],[idPilar]],MATCH("Carga (kN)",PILARES[#Headers],0))*1.4</f>
        <v>1750</v>
      </c>
      <c r="X51" s="12">
        <f>INDEX(PILARES[],HC[[#This Row],[idPilar]],MATCH(HC[[#Headers],[ap (cm)]],PILARES[#Headers],0))</f>
        <v>50</v>
      </c>
      <c r="Y51" s="12">
        <f>INDEX(PILARES[],HC[[#This Row],[idPilar]],MATCH(HC[[#Headers],[bp (cm)]],PILARES[#Headers],0))</f>
        <v>40</v>
      </c>
      <c r="Z51" s="4">
        <f>SQRT(HC[[#This Row],[ap (cm)]]*HC[[#This Row],[bp (cm)]])</f>
        <v>44.721359549995796</v>
      </c>
      <c r="AA51" s="12">
        <f>HC[[#This Row],[ap (cm)]]*HC[[#This Row],[bp (cm)]]</f>
        <v>2000</v>
      </c>
      <c r="AB51" s="12">
        <f ca="1">IF(HC[[#This Row],[Padm∙ε (kN)]]&gt;=HC[[#This Row],[Padm (kN)]],ROUNDUP(1.05*HC[[#This Row],[Nsd (kN)]]/HC[[#This Row],[Padm (kN)]],0),ROUNDUP(1.05*HC[[#This Row],[Nsd (kN)]]/HC[[#This Row],[Padm (kN)]],0)+1)</f>
        <v>37</v>
      </c>
      <c r="AC51" s="4" t="str">
        <f ca="1">IFERROR(IF(HC[[#This Row],[nE]]=1,HC[[#This Row],[Padm (kN)]],HC[[#This Row],[Padm (kN)]]*HC[[#This Row],[nE]]*INDEX(grupoEstacas[],HC[[#This Row],[nE]],MATCH("ε",grupoEstacas[#Headers],0))),"N.S.")</f>
        <v>N.S.</v>
      </c>
      <c r="AD51" s="4">
        <f ca="1">1.05*HC[[#This Row],[Nsd (kN)]]/(HC[[#This Row],[nE]]*PI()*HC[[#This Row],[Ø (cm)]]^2/4)*10</f>
        <v>0.7025758749101686</v>
      </c>
      <c r="AE51" s="4">
        <f ca="1">IF(HC[[#This Row],[σ (MPa)]]&lt;INDEX(tipoEstaca[],MATCH($D$2,tipoEstaca[TIPO DE ESTACA],0),MATCH("σmáx (MPa)",tipoEstaca[#Headers],0)),0.4%*PI()*HC[[#This Row],[Ø (cm)]]^2/4,"N.S.")</f>
        <v>2.8274333882308138</v>
      </c>
      <c r="AF51" s="1">
        <f>INDEX(tipoEstaca[],MATCH($D$2,tipoEstaca[TIPO DE ESTACA],0),MATCH(HC[[#Headers],[Comprimento (m)]],tipoEstaca[#Headers],0))</f>
        <v>4</v>
      </c>
      <c r="AG51" s="5">
        <f ca="1">HC[[#This Row],[As,mín (cm²)]]/100^2*HC[[#This Row],[Comprimento (m)]]*7850</f>
        <v>8.8781408390447556</v>
      </c>
      <c r="AH51" s="4">
        <f ca="1">HC[[#This Row],[nE]]*HC[[#This Row],[Prof. (m)]]*HC[[#This Row],[Ap (m²)]]</f>
        <v>10.461503536454012</v>
      </c>
      <c r="AI51" s="1">
        <f ca="1">IF(HC[[#This Row],[nE]]=1,0,MAX(3*HC[[#This Row],[Ø (cm)]],60))</f>
        <v>90</v>
      </c>
      <c r="AJ51" s="1">
        <f ca="1">IF(HC[[#This Row],[nE]]=1,HC[[#This Row],[Ø (cm)]]+2*10,MAX(1.5*HC[[#This Row],[Ø (cm)]],HC[[#This Row],[Ø (cm)]]+15))</f>
        <v>45</v>
      </c>
      <c r="AK51" s="1" t="str">
        <f ca="1">alturaUtil(HC[[#This Row],[nE]],HC[[#This Row],[Ø (cm)]],HC[[#This Row],[e (cm)]],HC[[#This Row],[ap,eq (cm)]])</f>
        <v>N.S.</v>
      </c>
      <c r="AL51" s="1" t="str">
        <f ca="1">IFERROR(HC[[#This Row],[d (cm)]]+arredondarParaCimaMultiplo5cm(MAX(5,SQRT(PI())/2*HC[[#This Row],[Ø (cm)]]/5)),"N.S.")</f>
        <v>N.S.</v>
      </c>
      <c r="AM51" s="5" t="str">
        <f ca="1">alpha(HC[[#This Row],[nE]],HC[[#This Row],[d (cm)]],HC[[#This Row],[e (cm)]],HC[[#This Row],[ap,eq (cm)]])</f>
        <v>N.S.</v>
      </c>
      <c r="AN51" s="35" t="str">
        <f ca="1">IFERROR(HC[[#This Row],[Nsd (kN)]]/(HC[[#This Row],[Ap (cm²)]]*SIN(HC[[#This Row],[α]])^2),"N.S.")</f>
        <v>N.S.</v>
      </c>
      <c r="AO51" s="35" t="str">
        <f ca="1">IFERROR(HC[[#This Row],[Nsd (kN)]]/(HC[[#This Row],[nE]]*PI()*HC[[#This Row],[Ø (cm)]]^2/4*SIN(HC[[#This Row],[α]])^2),"N.S.")</f>
        <v>N.S.</v>
      </c>
      <c r="AP51" s="4" t="str">
        <f ca="1">IFERROR(INDEX(grupoEstacas[],HC[[#This Row],[nE]],MATCH("coef. Blévot",grupoEstacas[#Headers],0)),"N.S.")</f>
        <v>N.S.</v>
      </c>
      <c r="AQ51" s="35" t="str">
        <f ca="1">IFERROR(HC[[#This Row],[coef. Blévot]]*0.9*INDEX(tipoEstaca[],MATCH($D$2,tipoEstaca[TIPO DE ESTACA],0),MATCH("fcd (kN/cm²)",tipoEstaca[#Headers],0)),"N.S.")</f>
        <v>N.S.</v>
      </c>
      <c r="AR51" s="1" t="str">
        <f ca="1">IF(AND(HC[[#This Row],[cd,b,pil (kN/cm²)]]&lt;=HC[[#This Row],[cd,b,lim (kN/cm²)]],HC[[#This Row],[cd,b,est (kN/cm²)]]&lt;=HC[[#This Row],[cd,b,lim (kN/cm²)]]),"OK","ERRO")</f>
        <v>OK</v>
      </c>
      <c r="AS51" s="4" t="str">
        <f ca="1">As_lado(HC[[#This Row],[nE]],HC[[#This Row],[Nsd (kN)]],HC[[#This Row],[d (cm)]],HC[[#This Row],[e (cm)]],HC[[#This Row],[ap,eq (cm)]])</f>
        <v>N.S.</v>
      </c>
      <c r="AT51" s="4" t="str">
        <f ca="1">IF(HC[[#This Row],[nE]]=1,HC[[#This Row],[As,lado (cm²)]],IF(HC[[#This Row],[nE]]=2,0.075*2*HC[a (cm)],"N.A."))</f>
        <v>N.A.</v>
      </c>
      <c r="AU51" s="4" t="str">
        <f ca="1">IFERROR(IF(HC[[#This Row],[nE]]=1,"N.A.",0.2*HC[[#This Row],[As,lado (cm²)]]),"N.S.")</f>
        <v>N.S.</v>
      </c>
      <c r="AV51" s="4" t="str">
        <f ca="1">As_malha(HC[[#This Row],[nE]],HC[[#This Row],[As,lado (cm²)]],HC[[#This Row],[Nsd (kN)]])</f>
        <v>N.S.</v>
      </c>
      <c r="AW51" s="4" t="str">
        <f ca="1">As_susp_tot(HC[[#This Row],[nE]],HC[[#This Row],[Nsd (kN)]])</f>
        <v>N.S.</v>
      </c>
      <c r="AX51" s="4" t="str">
        <f ca="1">Asp_face(HC[[#This Row],[nE]],HC[[#This Row],[As,lado (cm²)]])</f>
        <v>N.S.</v>
      </c>
      <c r="AY51" s="5" t="str">
        <f ca="1">acoBloco(HC[[#This Row],[nE]],HC[[#This Row],[e (cm)]],HC[[#This Row],[a (cm)]],HC[[#This Row],[h (cm)]],HC[[#This Row],[As,lado (cm²)]],HC[[#This Row],[Asp e Asw (cm²/m)]],HC[[#This Row],[As,sup (cm²)]],HC[[#This Row],[As,malha (cm²)]],HC[[#This Row],[As,susp,tot (cm²)]],HC[[#This Row],[Asp,face (cm²)]])</f>
        <v>N.S.</v>
      </c>
      <c r="AZ51" s="4" t="str">
        <f ca="1">concretoBloco(HC[[#This Row],[nE]],HC[[#This Row],[e (cm)]],HC[[#This Row],[a (cm)]],HC[[#This Row],[h (cm)]])</f>
        <v>N.S.</v>
      </c>
      <c r="BA51" s="5">
        <f ca="1">SUM(HC[[#This Row],[Aço Est (kg)]],HC[[#This Row],[Aço Bloco (kg)]])</f>
        <v>8.8781408390447556</v>
      </c>
      <c r="BB51" s="4">
        <f>INDEX(composicoes[],MATCH(95580,composicoes[CÓDIGO],0),MATCH("CUSTO TOTAL",composicoes[#Headers],0))</f>
        <v>10.46</v>
      </c>
      <c r="BC51" s="4">
        <f ca="1">SUM(HC[[#This Row],[Conc Est (m³)]],HC[[#This Row],[Conc Bloco (m³)]])</f>
        <v>10.461503536454012</v>
      </c>
      <c r="BD51" s="4">
        <f>INDEX(composicoes[],MATCH(94966,composicoes[CÓDIGO],0),MATCH("CUSTO TOTAL",composicoes[#Headers],0))</f>
        <v>439.52</v>
      </c>
      <c r="BE51" s="38">
        <f ca="1">HC[[#This Row],[Aço (kg)]]*HC[[#This Row],[Aço (R$/kg)]]+HC[[#This Row],[Conc (m³)]]*HC[[#This Row],[Conc (R$/m³)]]</f>
        <v>4690.9053875186755</v>
      </c>
      <c r="BF51" s="4" t="str">
        <f ca="1">IF(COUNTIF(HC[#This Row],"N.S.")&gt;0,"lim.","OK")</f>
        <v>lim.</v>
      </c>
      <c r="BG51" s="4" t="str">
        <f>IF(HC[[#This Row],[Prof. (m)]]&lt;4,"lim.","OK")</f>
        <v>OK</v>
      </c>
      <c r="BH51" s="4" t="str">
        <f>IF(HC[[#This Row],[Prof. (m)]]&gt;=8*HC[[#This Row],[Ø (cm)]]/100,"OK","lim.")</f>
        <v>OK</v>
      </c>
      <c r="BI51" s="4" t="str">
        <f ca="1">IF(HC[[#This Row],[Verif. Biela]]="OK","OK","lim.")</f>
        <v>OK</v>
      </c>
      <c r="BJ51" s="4" t="str">
        <f ca="1">IF(COUNTA(HC[[#This Row],[Nº Est.]:[Biela comp.]])=COUNTIF(HC[[#This Row],[Nº Est.]:[Biela comp.]],"OK"),"OK","lim.")</f>
        <v>lim.</v>
      </c>
      <c r="BK51" s="4" t="str">
        <f ca="1">IF(HC[[#This Row],[Controle]]="OK",HC[[#This Row],[nE]]&amp;" Ø"&amp;HC[[#This Row],[Ø (cm)]]&amp;"cm Prof. "&amp;HC[[#This Row],[Prof. (m)]]&amp;" m","")</f>
        <v/>
      </c>
      <c r="BL51" s="4" t="str">
        <f ca="1">IF(HC[[#This Row],[idDimensionamento]]="","",HC[[#This Row],[idPilar]]&amp;HC[[#This Row],[idDimensionamento]])</f>
        <v/>
      </c>
    </row>
    <row r="52" spans="2:64" x14ac:dyDescent="0.25">
      <c r="B52" s="12">
        <f>ROUNDUP((ROW(HC[[#This Row],[idDiâmetro]])-ROW(HC[[#Headers],[idDiâmetro]]))/(COUNT(SPT[Prof. (m)])*COUNT(PILARES[Pilar])),0)</f>
        <v>2</v>
      </c>
      <c r="C52" s="12">
        <f>IF(HC[[#This Row],[idDiâmetro]]&lt;&gt;B51,1,IF(HC[[#This Row],[Prof. (m)]]=0,C51+1,C51))</f>
        <v>2</v>
      </c>
      <c r="D52" s="1">
        <f>IFERROR(IF(D51=MAX(SPT[Prof. (m)]),0,D51+1),0)</f>
        <v>5</v>
      </c>
      <c r="E52" s="1">
        <f>INDEX(SPT[],MATCH(HC[[#This Row],[Prof. (m)]],SPT[Prof. (m)],0),2)</f>
        <v>17</v>
      </c>
      <c r="F52" s="1" t="str">
        <f>INDEX(SPT[],MATCH(HC[[#This Row],[Prof. (m)]],SPT[Prof. (m)],0),3)</f>
        <v>Areia siltosa</v>
      </c>
      <c r="G52" s="1">
        <f>INDEX(estacas[],HC[[#This Row],[idDiâmetro]],MATCH($B$2,estacas[#Headers],0))</f>
        <v>30</v>
      </c>
      <c r="H52" s="1">
        <f>INDEX(estacas[],MATCH(HC[[#This Row],[Ø (cm)]],estacas[Ø HC (cm)],0),MATCH(HC[[#Headers],[Pe HC (kN)]],estacas[#Headers],0))</f>
        <v>450</v>
      </c>
      <c r="I52" s="4">
        <f>INDEX(K_alpha_C[],MATCH(HC[[#This Row],[Solo]],K_alpha_C[Solo],0),2)</f>
        <v>0.8</v>
      </c>
      <c r="J52" s="5">
        <f>INDEX(K_alpha_C[],MATCH(HC[[#This Row],[Solo]],K_alpha_C[Solo],0),3)</f>
        <v>2</v>
      </c>
      <c r="K52" s="4">
        <f>INDEX(F1_F2[],MATCH($D$2,F1_F2[Tipo de estaca],0),2)</f>
        <v>2</v>
      </c>
      <c r="L52" s="4">
        <f>INDEX(F1_F2[],MATCH($D$2,F1_F2[Tipo de estaca],0),3)</f>
        <v>4</v>
      </c>
      <c r="M52" s="4">
        <f>PI()*(HC[[#This Row],[Ø (cm)]]/100)^2/4</f>
        <v>7.0685834705770348E-2</v>
      </c>
      <c r="N52" s="4">
        <f>PI()*HC[[#This Row],[Ø (cm)]]/100</f>
        <v>0.94247779607693782</v>
      </c>
      <c r="O52" s="4">
        <f>IF(HC[[#This Row],[Prof. (m)]]=0,0,HC[[#This Row],[α (%)]]/100*HC[[#This Row],[K (MPa)]]*1000*HC[[#This Row],[NSPT]])</f>
        <v>272</v>
      </c>
      <c r="P52" s="4">
        <f>IF(HC[[#This Row],[Prof. (m)]]=0,0,(HC[[#This Row],[K (MPa)]]*1000*HC[[#This Row],[NSPT]]/HC[[#This Row],[F1]]*HC[[#This Row],[Ap (m²)]]+HC[[#This Row],[U (m)]]/HC[[#This Row],[F2]]*SUMIFS(HC[(α∙K∙NL∙ΔL)],HC[Prof. (m)],"&lt;="&amp;HC[[#This Row],[Prof. (m)]],HC[idDiâmetro],HC[[#This Row],[idDiâmetro]],HC[idPilar],HC[[#This Row],[idPilar]]))/'DADOS CAP. CARGA'!$D$2)</f>
        <v>302.5353725406971</v>
      </c>
      <c r="Q52" s="12">
        <f>INDEX(C_alpha_beta[],MATCH(HC[[#This Row],[Solo]],C_alpha_beta[Solo],0),MATCH(HC[[#Headers],[C (kPa)]],C_alpha_beta[#Headers],0))</f>
        <v>400</v>
      </c>
      <c r="R52" s="4">
        <f>INDEX(C_alpha_beta[],MATCH(HC[[#This Row],[Solo]],C_alpha_beta[Solo],0),MATCH(HC[[#Headers],[α ESF]],C_alpha_beta[#Headers],0))</f>
        <v>0.5</v>
      </c>
      <c r="S52" s="4">
        <f>INDEX(C_alpha_beta[],MATCH(HC[[#This Row],[Solo]],C_alpha_beta[Solo],0),MATCH(HC[[#Headers],[β ESF]],C_alpha_beta[#Headers],0))</f>
        <v>0.5</v>
      </c>
      <c r="T52" s="4">
        <f>IF(HC[[#This Row],[Prof. (m)]]=0,0,10*(HC[[#This Row],[NSPT]]/3+1))</f>
        <v>66.666666666666671</v>
      </c>
      <c r="U52" s="4">
        <f>(HC[[#This Row],[α ESF]]*HC[[#This Row],[C (kPa)]]*HC[[#This Row],[NSPT]]*HC[[#This Row],[Ap (m²)]])/'DADOS CAP. CARGA'!$Q$2+(HC[[#This Row],[β ESF]]*SUMIFS(HC[10∙(NL/3+1)],HC[Prof. (m)],"&lt;="&amp;HC[[#This Row],[Prof. (m)]],HC[idDiâmetro],HC[[#This Row],[idDiâmetro]],HC[idPilar],HC[[#This Row],[idPilar]])*HC[[#This Row],[U (m)]])/'DADOS CAP. CARGA'!$S$2</f>
        <v>97.782071342982306</v>
      </c>
      <c r="V52" s="4">
        <f>IF(SPT!$M$5=1,MIN(HC[[#This Row],[Pe HC (kN)]],HC[[#This Row],[R_AV (kN)]]),IF(SPT!$M$5=2,MIN(HC[[#This Row],[Pe HC (kN)]],HC[[#This Row],[R_DC (kN)]]),MIN(HC[[#This Row],[Pe HC (kN)]],HC[[#This Row],[R_AV (kN)]],HC[[#This Row],[R_DC (kN)]])))</f>
        <v>97.782071342982306</v>
      </c>
      <c r="W52" s="4">
        <f>INDEX(PILARES[],HC[[#This Row],[idPilar]],MATCH("Carga (kN)",PILARES[#Headers],0))*1.4</f>
        <v>1750</v>
      </c>
      <c r="X52" s="12">
        <f>INDEX(PILARES[],HC[[#This Row],[idPilar]],MATCH(HC[[#Headers],[ap (cm)]],PILARES[#Headers],0))</f>
        <v>50</v>
      </c>
      <c r="Y52" s="12">
        <f>INDEX(PILARES[],HC[[#This Row],[idPilar]],MATCH(HC[[#Headers],[bp (cm)]],PILARES[#Headers],0))</f>
        <v>40</v>
      </c>
      <c r="Z52" s="4">
        <f>SQRT(HC[[#This Row],[ap (cm)]]*HC[[#This Row],[bp (cm)]])</f>
        <v>44.721359549995796</v>
      </c>
      <c r="AA52" s="12">
        <f>HC[[#This Row],[ap (cm)]]*HC[[#This Row],[bp (cm)]]</f>
        <v>2000</v>
      </c>
      <c r="AB52" s="12">
        <f ca="1">IF(HC[[#This Row],[Padm∙ε (kN)]]&gt;=HC[[#This Row],[Padm (kN)]],ROUNDUP(1.05*HC[[#This Row],[Nsd (kN)]]/HC[[#This Row],[Padm (kN)]],0),ROUNDUP(1.05*HC[[#This Row],[Nsd (kN)]]/HC[[#This Row],[Padm (kN)]],0)+1)</f>
        <v>19</v>
      </c>
      <c r="AC52" s="4" t="str">
        <f ca="1">IFERROR(IF(HC[[#This Row],[nE]]=1,HC[[#This Row],[Padm (kN)]],HC[[#This Row],[Padm (kN)]]*HC[[#This Row],[nE]]*INDEX(grupoEstacas[],HC[[#This Row],[nE]],MATCH("ε",grupoEstacas[#Headers],0))),"N.S.")</f>
        <v>N.S.</v>
      </c>
      <c r="AD52" s="4">
        <f ca="1">1.05*HC[[#This Row],[Nsd (kN)]]/(HC[[#This Row],[nE]]*PI()*HC[[#This Row],[Ø (cm)]]^2/4)*10</f>
        <v>1.3681740721934863</v>
      </c>
      <c r="AE52" s="4">
        <f ca="1">IF(HC[[#This Row],[σ (MPa)]]&lt;INDEX(tipoEstaca[],MATCH($D$2,tipoEstaca[TIPO DE ESTACA],0),MATCH("σmáx (MPa)",tipoEstaca[#Headers],0)),0.4%*PI()*HC[[#This Row],[Ø (cm)]]^2/4,"N.S.")</f>
        <v>2.8274333882308138</v>
      </c>
      <c r="AF52" s="1">
        <f>INDEX(tipoEstaca[],MATCH($D$2,tipoEstaca[TIPO DE ESTACA],0),MATCH(HC[[#Headers],[Comprimento (m)]],tipoEstaca[#Headers],0))</f>
        <v>4</v>
      </c>
      <c r="AG52" s="5">
        <f ca="1">HC[[#This Row],[As,mín (cm²)]]/100^2*HC[[#This Row],[Comprimento (m)]]*7850</f>
        <v>8.8781408390447556</v>
      </c>
      <c r="AH52" s="4">
        <f ca="1">HC[[#This Row],[nE]]*HC[[#This Row],[Prof. (m)]]*HC[[#This Row],[Ap (m²)]]</f>
        <v>6.7151542970481835</v>
      </c>
      <c r="AI52" s="1">
        <f ca="1">IF(HC[[#This Row],[nE]]=1,0,MAX(3*HC[[#This Row],[Ø (cm)]],60))</f>
        <v>90</v>
      </c>
      <c r="AJ52" s="1">
        <f ca="1">IF(HC[[#This Row],[nE]]=1,HC[[#This Row],[Ø (cm)]]+2*10,MAX(1.5*HC[[#This Row],[Ø (cm)]],HC[[#This Row],[Ø (cm)]]+15))</f>
        <v>45</v>
      </c>
      <c r="AK52" s="1" t="str">
        <f ca="1">alturaUtil(HC[[#This Row],[nE]],HC[[#This Row],[Ø (cm)]],HC[[#This Row],[e (cm)]],HC[[#This Row],[ap,eq (cm)]])</f>
        <v>N.S.</v>
      </c>
      <c r="AL52" s="1" t="str">
        <f ca="1">IFERROR(HC[[#This Row],[d (cm)]]+arredondarParaCimaMultiplo5cm(MAX(5,SQRT(PI())/2*HC[[#This Row],[Ø (cm)]]/5)),"N.S.")</f>
        <v>N.S.</v>
      </c>
      <c r="AM52" s="5" t="str">
        <f ca="1">alpha(HC[[#This Row],[nE]],HC[[#This Row],[d (cm)]],HC[[#This Row],[e (cm)]],HC[[#This Row],[ap,eq (cm)]])</f>
        <v>N.S.</v>
      </c>
      <c r="AN52" s="35" t="str">
        <f ca="1">IFERROR(HC[[#This Row],[Nsd (kN)]]/(HC[[#This Row],[Ap (cm²)]]*SIN(HC[[#This Row],[α]])^2),"N.S.")</f>
        <v>N.S.</v>
      </c>
      <c r="AO52" s="35" t="str">
        <f ca="1">IFERROR(HC[[#This Row],[Nsd (kN)]]/(HC[[#This Row],[nE]]*PI()*HC[[#This Row],[Ø (cm)]]^2/4*SIN(HC[[#This Row],[α]])^2),"N.S.")</f>
        <v>N.S.</v>
      </c>
      <c r="AP52" s="4" t="str">
        <f ca="1">IFERROR(INDEX(grupoEstacas[],HC[[#This Row],[nE]],MATCH("coef. Blévot",grupoEstacas[#Headers],0)),"N.S.")</f>
        <v>N.S.</v>
      </c>
      <c r="AQ52" s="35" t="str">
        <f ca="1">IFERROR(HC[[#This Row],[coef. Blévot]]*0.9*INDEX(tipoEstaca[],MATCH($D$2,tipoEstaca[TIPO DE ESTACA],0),MATCH("fcd (kN/cm²)",tipoEstaca[#Headers],0)),"N.S.")</f>
        <v>N.S.</v>
      </c>
      <c r="AR52" s="1" t="str">
        <f ca="1">IF(AND(HC[[#This Row],[cd,b,pil (kN/cm²)]]&lt;=HC[[#This Row],[cd,b,lim (kN/cm²)]],HC[[#This Row],[cd,b,est (kN/cm²)]]&lt;=HC[[#This Row],[cd,b,lim (kN/cm²)]]),"OK","ERRO")</f>
        <v>OK</v>
      </c>
      <c r="AS52" s="4" t="str">
        <f ca="1">As_lado(HC[[#This Row],[nE]],HC[[#This Row],[Nsd (kN)]],HC[[#This Row],[d (cm)]],HC[[#This Row],[e (cm)]],HC[[#This Row],[ap,eq (cm)]])</f>
        <v>N.S.</v>
      </c>
      <c r="AT52" s="4" t="str">
        <f ca="1">IF(HC[[#This Row],[nE]]=1,HC[[#This Row],[As,lado (cm²)]],IF(HC[[#This Row],[nE]]=2,0.075*2*HC[a (cm)],"N.A."))</f>
        <v>N.A.</v>
      </c>
      <c r="AU52" s="4" t="str">
        <f ca="1">IFERROR(IF(HC[[#This Row],[nE]]=1,"N.A.",0.2*HC[[#This Row],[As,lado (cm²)]]),"N.S.")</f>
        <v>N.S.</v>
      </c>
      <c r="AV52" s="4" t="str">
        <f ca="1">As_malha(HC[[#This Row],[nE]],HC[[#This Row],[As,lado (cm²)]],HC[[#This Row],[Nsd (kN)]])</f>
        <v>N.S.</v>
      </c>
      <c r="AW52" s="4" t="str">
        <f ca="1">As_susp_tot(HC[[#This Row],[nE]],HC[[#This Row],[Nsd (kN)]])</f>
        <v>N.S.</v>
      </c>
      <c r="AX52" s="4" t="str">
        <f ca="1">Asp_face(HC[[#This Row],[nE]],HC[[#This Row],[As,lado (cm²)]])</f>
        <v>N.S.</v>
      </c>
      <c r="AY52" s="5" t="str">
        <f ca="1">acoBloco(HC[[#This Row],[nE]],HC[[#This Row],[e (cm)]],HC[[#This Row],[a (cm)]],HC[[#This Row],[h (cm)]],HC[[#This Row],[As,lado (cm²)]],HC[[#This Row],[Asp e Asw (cm²/m)]],HC[[#This Row],[As,sup (cm²)]],HC[[#This Row],[As,malha (cm²)]],HC[[#This Row],[As,susp,tot (cm²)]],HC[[#This Row],[Asp,face (cm²)]])</f>
        <v>N.S.</v>
      </c>
      <c r="AZ52" s="4" t="str">
        <f ca="1">concretoBloco(HC[[#This Row],[nE]],HC[[#This Row],[e (cm)]],HC[[#This Row],[a (cm)]],HC[[#This Row],[h (cm)]])</f>
        <v>N.S.</v>
      </c>
      <c r="BA52" s="5">
        <f ca="1">SUM(HC[[#This Row],[Aço Est (kg)]],HC[[#This Row],[Aço Bloco (kg)]])</f>
        <v>8.8781408390447556</v>
      </c>
      <c r="BB52" s="4">
        <f>INDEX(composicoes[],MATCH(95580,composicoes[CÓDIGO],0),MATCH("CUSTO TOTAL",composicoes[#Headers],0))</f>
        <v>10.46</v>
      </c>
      <c r="BC52" s="4">
        <f ca="1">SUM(HC[[#This Row],[Conc Est (m³)]],HC[[#This Row],[Conc Bloco (m³)]])</f>
        <v>6.7151542970481835</v>
      </c>
      <c r="BD52" s="4">
        <f>INDEX(composicoes[],MATCH(94966,composicoes[CÓDIGO],0),MATCH("CUSTO TOTAL",composicoes[#Headers],0))</f>
        <v>439.52</v>
      </c>
      <c r="BE52" s="38">
        <f ca="1">HC[[#This Row],[Aço (kg)]]*HC[[#This Row],[Aço (R$/kg)]]+HC[[#This Row],[Conc (m³)]]*HC[[#This Row],[Conc (R$/m³)]]</f>
        <v>3044.3099698150254</v>
      </c>
      <c r="BF52" s="4" t="str">
        <f ca="1">IF(COUNTIF(HC[#This Row],"N.S.")&gt;0,"lim.","OK")</f>
        <v>lim.</v>
      </c>
      <c r="BG52" s="4" t="str">
        <f>IF(HC[[#This Row],[Prof. (m)]]&lt;4,"lim.","OK")</f>
        <v>OK</v>
      </c>
      <c r="BH52" s="4" t="str">
        <f>IF(HC[[#This Row],[Prof. (m)]]&gt;=8*HC[[#This Row],[Ø (cm)]]/100,"OK","lim.")</f>
        <v>OK</v>
      </c>
      <c r="BI52" s="4" t="str">
        <f ca="1">IF(HC[[#This Row],[Verif. Biela]]="OK","OK","lim.")</f>
        <v>OK</v>
      </c>
      <c r="BJ52" s="4" t="str">
        <f ca="1">IF(COUNTA(HC[[#This Row],[Nº Est.]:[Biela comp.]])=COUNTIF(HC[[#This Row],[Nº Est.]:[Biela comp.]],"OK"),"OK","lim.")</f>
        <v>lim.</v>
      </c>
      <c r="BK52" s="4" t="str">
        <f ca="1">IF(HC[[#This Row],[Controle]]="OK",HC[[#This Row],[nE]]&amp;" Ø"&amp;HC[[#This Row],[Ø (cm)]]&amp;"cm Prof. "&amp;HC[[#This Row],[Prof. (m)]]&amp;" m","")</f>
        <v/>
      </c>
      <c r="BL52" s="4" t="str">
        <f ca="1">IF(HC[[#This Row],[idDimensionamento]]="","",HC[[#This Row],[idPilar]]&amp;HC[[#This Row],[idDimensionamento]])</f>
        <v/>
      </c>
    </row>
    <row r="53" spans="2:64" x14ac:dyDescent="0.25">
      <c r="B53" s="12">
        <f>ROUNDUP((ROW(HC[[#This Row],[idDiâmetro]])-ROW(HC[[#Headers],[idDiâmetro]]))/(COUNT(SPT[Prof. (m)])*COUNT(PILARES[Pilar])),0)</f>
        <v>2</v>
      </c>
      <c r="C53" s="12">
        <f>IF(HC[[#This Row],[idDiâmetro]]&lt;&gt;B52,1,IF(HC[[#This Row],[Prof. (m)]]=0,C52+1,C52))</f>
        <v>2</v>
      </c>
      <c r="D53" s="1">
        <f>IFERROR(IF(D52=MAX(SPT[Prof. (m)]),0,D52+1),0)</f>
        <v>6</v>
      </c>
      <c r="E53" s="1">
        <f>INDEX(SPT[],MATCH(HC[[#This Row],[Prof. (m)]],SPT[Prof. (m)],0),2)</f>
        <v>21</v>
      </c>
      <c r="F53" s="1" t="str">
        <f>INDEX(SPT[],MATCH(HC[[#This Row],[Prof. (m)]],SPT[Prof. (m)],0),3)</f>
        <v>Silte arenoso</v>
      </c>
      <c r="G53" s="1">
        <f>INDEX(estacas[],HC[[#This Row],[idDiâmetro]],MATCH($B$2,estacas[#Headers],0))</f>
        <v>30</v>
      </c>
      <c r="H53" s="1">
        <f>INDEX(estacas[],MATCH(HC[[#This Row],[Ø (cm)]],estacas[Ø HC (cm)],0),MATCH(HC[[#Headers],[Pe HC (kN)]],estacas[#Headers],0))</f>
        <v>450</v>
      </c>
      <c r="I53" s="4">
        <f>INDEX(K_alpha_C[],MATCH(HC[[#This Row],[Solo]],K_alpha_C[Solo],0),2)</f>
        <v>0.55000000000000004</v>
      </c>
      <c r="J53" s="5">
        <f>INDEX(K_alpha_C[],MATCH(HC[[#This Row],[Solo]],K_alpha_C[Solo],0),3)</f>
        <v>2.2000000000000002</v>
      </c>
      <c r="K53" s="4">
        <f>INDEX(F1_F2[],MATCH($D$2,F1_F2[Tipo de estaca],0),2)</f>
        <v>2</v>
      </c>
      <c r="L53" s="4">
        <f>INDEX(F1_F2[],MATCH($D$2,F1_F2[Tipo de estaca],0),3)</f>
        <v>4</v>
      </c>
      <c r="M53" s="4">
        <f>PI()*(HC[[#This Row],[Ø (cm)]]/100)^2/4</f>
        <v>7.0685834705770348E-2</v>
      </c>
      <c r="N53" s="4">
        <f>PI()*HC[[#This Row],[Ø (cm)]]/100</f>
        <v>0.94247779607693782</v>
      </c>
      <c r="O53" s="4">
        <f>IF(HC[[#This Row],[Prof. (m)]]=0,0,HC[[#This Row],[α (%)]]/100*HC[[#This Row],[K (MPa)]]*1000*HC[[#This Row],[NSPT]])</f>
        <v>254.10000000000002</v>
      </c>
      <c r="P53" s="4">
        <f>IF(HC[[#This Row],[Prof. (m)]]=0,0,(HC[[#This Row],[K (MPa)]]*1000*HC[[#This Row],[NSPT]]/HC[[#This Row],[F1]]*HC[[#This Row],[Ap (m²)]]+HC[[#This Row],[U (m)]]/HC[[#This Row],[F2]]*SUMIFS(HC[(α∙K∙NL∙ΔL)],HC[Prof. (m)],"&lt;="&amp;HC[[#This Row],[Prof. (m)]],HC[idDiâmetro],HC[[#This Row],[idDiâmetro]],HC[idPilar],HC[[#This Row],[idPilar]]))/'DADOS CAP. CARGA'!$D$2)</f>
        <v>296.24433325188352</v>
      </c>
      <c r="Q53" s="12">
        <f>INDEX(C_alpha_beta[],MATCH(HC[[#This Row],[Solo]],C_alpha_beta[Solo],0),MATCH(HC[[#Headers],[C (kPa)]],C_alpha_beta[#Headers],0))</f>
        <v>250</v>
      </c>
      <c r="R53" s="4">
        <f>INDEX(C_alpha_beta[],MATCH(HC[[#This Row],[Solo]],C_alpha_beta[Solo],0),MATCH(HC[[#Headers],[α ESF]],C_alpha_beta[#Headers],0))</f>
        <v>0.6</v>
      </c>
      <c r="S53" s="4">
        <f>INDEX(C_alpha_beta[],MATCH(HC[[#This Row],[Solo]],C_alpha_beta[Solo],0),MATCH(HC[[#Headers],[β ESF]],C_alpha_beta[#Headers],0))</f>
        <v>0.65</v>
      </c>
      <c r="T53" s="4">
        <f>IF(HC[[#This Row],[Prof. (m)]]=0,0,10*(HC[[#This Row],[NSPT]]/3+1))</f>
        <v>80</v>
      </c>
      <c r="U53" s="4">
        <f>(HC[[#This Row],[α ESF]]*HC[[#This Row],[C (kPa)]]*HC[[#This Row],[NSPT]]*HC[[#This Row],[Ap (m²)]])/'DADOS CAP. CARGA'!$Q$2+(HC[[#This Row],[β ESF]]*SUMIFS(HC[10∙(NL/3+1)],HC[Prof. (m)],"&lt;="&amp;HC[[#This Row],[Prof. (m)]],HC[idDiâmetro],HC[[#This Row],[idDiâmetro]],HC[idPilar],HC[[#This Row],[idPilar]])*HC[[#This Row],[U (m)]])/'DADOS CAP. CARGA'!$S$2</f>
        <v>129.17836292479529</v>
      </c>
      <c r="V53" s="4">
        <f>IF(SPT!$M$5=1,MIN(HC[[#This Row],[Pe HC (kN)]],HC[[#This Row],[R_AV (kN)]]),IF(SPT!$M$5=2,MIN(HC[[#This Row],[Pe HC (kN)]],HC[[#This Row],[R_DC (kN)]]),MIN(HC[[#This Row],[Pe HC (kN)]],HC[[#This Row],[R_AV (kN)]],HC[[#This Row],[R_DC (kN)]])))</f>
        <v>129.17836292479529</v>
      </c>
      <c r="W53" s="4">
        <f>INDEX(PILARES[],HC[[#This Row],[idPilar]],MATCH("Carga (kN)",PILARES[#Headers],0))*1.4</f>
        <v>1750</v>
      </c>
      <c r="X53" s="12">
        <f>INDEX(PILARES[],HC[[#This Row],[idPilar]],MATCH(HC[[#Headers],[ap (cm)]],PILARES[#Headers],0))</f>
        <v>50</v>
      </c>
      <c r="Y53" s="12">
        <f>INDEX(PILARES[],HC[[#This Row],[idPilar]],MATCH(HC[[#Headers],[bp (cm)]],PILARES[#Headers],0))</f>
        <v>40</v>
      </c>
      <c r="Z53" s="4">
        <f>SQRT(HC[[#This Row],[ap (cm)]]*HC[[#This Row],[bp (cm)]])</f>
        <v>44.721359549995796</v>
      </c>
      <c r="AA53" s="12">
        <f>HC[[#This Row],[ap (cm)]]*HC[[#This Row],[bp (cm)]]</f>
        <v>2000</v>
      </c>
      <c r="AB53" s="12">
        <f ca="1">IF(HC[[#This Row],[Padm∙ε (kN)]]&gt;=HC[[#This Row],[Padm (kN)]],ROUNDUP(1.05*HC[[#This Row],[Nsd (kN)]]/HC[[#This Row],[Padm (kN)]],0),ROUNDUP(1.05*HC[[#This Row],[Nsd (kN)]]/HC[[#This Row],[Padm (kN)]],0)+1)</f>
        <v>15</v>
      </c>
      <c r="AC53" s="4" t="str">
        <f ca="1">IFERROR(IF(HC[[#This Row],[nE]]=1,HC[[#This Row],[Padm (kN)]],HC[[#This Row],[Padm (kN)]]*HC[[#This Row],[nE]]*INDEX(grupoEstacas[],HC[[#This Row],[nE]],MATCH("ε",grupoEstacas[#Headers],0))),"N.S.")</f>
        <v>N.S.</v>
      </c>
      <c r="AD53" s="4">
        <f ca="1">1.05*HC[[#This Row],[Nsd (kN)]]/(HC[[#This Row],[nE]]*PI()*HC[[#This Row],[Ø (cm)]]^2/4)*10</f>
        <v>1.7330204914450826</v>
      </c>
      <c r="AE53" s="4">
        <f ca="1">IF(HC[[#This Row],[σ (MPa)]]&lt;INDEX(tipoEstaca[],MATCH($D$2,tipoEstaca[TIPO DE ESTACA],0),MATCH("σmáx (MPa)",tipoEstaca[#Headers],0)),0.4%*PI()*HC[[#This Row],[Ø (cm)]]^2/4,"N.S.")</f>
        <v>2.8274333882308138</v>
      </c>
      <c r="AF53" s="1">
        <f>INDEX(tipoEstaca[],MATCH($D$2,tipoEstaca[TIPO DE ESTACA],0),MATCH(HC[[#Headers],[Comprimento (m)]],tipoEstaca[#Headers],0))</f>
        <v>4</v>
      </c>
      <c r="AG53" s="5">
        <f ca="1">HC[[#This Row],[As,mín (cm²)]]/100^2*HC[[#This Row],[Comprimento (m)]]*7850</f>
        <v>8.8781408390447556</v>
      </c>
      <c r="AH53" s="4">
        <f ca="1">HC[[#This Row],[nE]]*HC[[#This Row],[Prof. (m)]]*HC[[#This Row],[Ap (m²)]]</f>
        <v>6.3617251235193315</v>
      </c>
      <c r="AI53" s="1">
        <f ca="1">IF(HC[[#This Row],[nE]]=1,0,MAX(3*HC[[#This Row],[Ø (cm)]],60))</f>
        <v>90</v>
      </c>
      <c r="AJ53" s="1">
        <f ca="1">IF(HC[[#This Row],[nE]]=1,HC[[#This Row],[Ø (cm)]]+2*10,MAX(1.5*HC[[#This Row],[Ø (cm)]],HC[[#This Row],[Ø (cm)]]+15))</f>
        <v>45</v>
      </c>
      <c r="AK53" s="1" t="str">
        <f ca="1">alturaUtil(HC[[#This Row],[nE]],HC[[#This Row],[Ø (cm)]],HC[[#This Row],[e (cm)]],HC[[#This Row],[ap,eq (cm)]])</f>
        <v>N.S.</v>
      </c>
      <c r="AL53" s="1" t="str">
        <f ca="1">IFERROR(HC[[#This Row],[d (cm)]]+arredondarParaCimaMultiplo5cm(MAX(5,SQRT(PI())/2*HC[[#This Row],[Ø (cm)]]/5)),"N.S.")</f>
        <v>N.S.</v>
      </c>
      <c r="AM53" s="5" t="str">
        <f ca="1">alpha(HC[[#This Row],[nE]],HC[[#This Row],[d (cm)]],HC[[#This Row],[e (cm)]],HC[[#This Row],[ap,eq (cm)]])</f>
        <v>N.S.</v>
      </c>
      <c r="AN53" s="35" t="str">
        <f ca="1">IFERROR(HC[[#This Row],[Nsd (kN)]]/(HC[[#This Row],[Ap (cm²)]]*SIN(HC[[#This Row],[α]])^2),"N.S.")</f>
        <v>N.S.</v>
      </c>
      <c r="AO53" s="35" t="str">
        <f ca="1">IFERROR(HC[[#This Row],[Nsd (kN)]]/(HC[[#This Row],[nE]]*PI()*HC[[#This Row],[Ø (cm)]]^2/4*SIN(HC[[#This Row],[α]])^2),"N.S.")</f>
        <v>N.S.</v>
      </c>
      <c r="AP53" s="4" t="str">
        <f ca="1">IFERROR(INDEX(grupoEstacas[],HC[[#This Row],[nE]],MATCH("coef. Blévot",grupoEstacas[#Headers],0)),"N.S.")</f>
        <v>N.S.</v>
      </c>
      <c r="AQ53" s="35" t="str">
        <f ca="1">IFERROR(HC[[#This Row],[coef. Blévot]]*0.9*INDEX(tipoEstaca[],MATCH($D$2,tipoEstaca[TIPO DE ESTACA],0),MATCH("fcd (kN/cm²)",tipoEstaca[#Headers],0)),"N.S.")</f>
        <v>N.S.</v>
      </c>
      <c r="AR53" s="1" t="str">
        <f ca="1">IF(AND(HC[[#This Row],[cd,b,pil (kN/cm²)]]&lt;=HC[[#This Row],[cd,b,lim (kN/cm²)]],HC[[#This Row],[cd,b,est (kN/cm²)]]&lt;=HC[[#This Row],[cd,b,lim (kN/cm²)]]),"OK","ERRO")</f>
        <v>OK</v>
      </c>
      <c r="AS53" s="4" t="str">
        <f ca="1">As_lado(HC[[#This Row],[nE]],HC[[#This Row],[Nsd (kN)]],HC[[#This Row],[d (cm)]],HC[[#This Row],[e (cm)]],HC[[#This Row],[ap,eq (cm)]])</f>
        <v>N.S.</v>
      </c>
      <c r="AT53" s="4" t="str">
        <f ca="1">IF(HC[[#This Row],[nE]]=1,HC[[#This Row],[As,lado (cm²)]],IF(HC[[#This Row],[nE]]=2,0.075*2*HC[a (cm)],"N.A."))</f>
        <v>N.A.</v>
      </c>
      <c r="AU53" s="4" t="str">
        <f ca="1">IFERROR(IF(HC[[#This Row],[nE]]=1,"N.A.",0.2*HC[[#This Row],[As,lado (cm²)]]),"N.S.")</f>
        <v>N.S.</v>
      </c>
      <c r="AV53" s="4" t="str">
        <f ca="1">As_malha(HC[[#This Row],[nE]],HC[[#This Row],[As,lado (cm²)]],HC[[#This Row],[Nsd (kN)]])</f>
        <v>N.S.</v>
      </c>
      <c r="AW53" s="4" t="str">
        <f ca="1">As_susp_tot(HC[[#This Row],[nE]],HC[[#This Row],[Nsd (kN)]])</f>
        <v>N.S.</v>
      </c>
      <c r="AX53" s="4" t="str">
        <f ca="1">Asp_face(HC[[#This Row],[nE]],HC[[#This Row],[As,lado (cm²)]])</f>
        <v>N.S.</v>
      </c>
      <c r="AY53" s="5" t="str">
        <f ca="1">acoBloco(HC[[#This Row],[nE]],HC[[#This Row],[e (cm)]],HC[[#This Row],[a (cm)]],HC[[#This Row],[h (cm)]],HC[[#This Row],[As,lado (cm²)]],HC[[#This Row],[Asp e Asw (cm²/m)]],HC[[#This Row],[As,sup (cm²)]],HC[[#This Row],[As,malha (cm²)]],HC[[#This Row],[As,susp,tot (cm²)]],HC[[#This Row],[Asp,face (cm²)]])</f>
        <v>N.S.</v>
      </c>
      <c r="AZ53" s="4" t="str">
        <f ca="1">concretoBloco(HC[[#This Row],[nE]],HC[[#This Row],[e (cm)]],HC[[#This Row],[a (cm)]],HC[[#This Row],[h (cm)]])</f>
        <v>N.S.</v>
      </c>
      <c r="BA53" s="5">
        <f ca="1">SUM(HC[[#This Row],[Aço Est (kg)]],HC[[#This Row],[Aço Bloco (kg)]])</f>
        <v>8.8781408390447556</v>
      </c>
      <c r="BB53" s="4">
        <f>INDEX(composicoes[],MATCH(95580,composicoes[CÓDIGO],0),MATCH("CUSTO TOTAL",composicoes[#Headers],0))</f>
        <v>10.46</v>
      </c>
      <c r="BC53" s="4">
        <f ca="1">SUM(HC[[#This Row],[Conc Est (m³)]],HC[[#This Row],[Conc Bloco (m³)]])</f>
        <v>6.3617251235193315</v>
      </c>
      <c r="BD53" s="4">
        <f>INDEX(composicoes[],MATCH(94966,composicoes[CÓDIGO],0),MATCH("CUSTO TOTAL",composicoes[#Headers],0))</f>
        <v>439.52</v>
      </c>
      <c r="BE53" s="38">
        <f ca="1">HC[[#This Row],[Aço (kg)]]*HC[[#This Row],[Aço (R$/kg)]]+HC[[#This Row],[Conc (m³)]]*HC[[#This Row],[Conc (R$/m³)]]</f>
        <v>2888.9707794656247</v>
      </c>
      <c r="BF53" s="4" t="str">
        <f ca="1">IF(COUNTIF(HC[#This Row],"N.S.")&gt;0,"lim.","OK")</f>
        <v>lim.</v>
      </c>
      <c r="BG53" s="4" t="str">
        <f>IF(HC[[#This Row],[Prof. (m)]]&lt;4,"lim.","OK")</f>
        <v>OK</v>
      </c>
      <c r="BH53" s="4" t="str">
        <f>IF(HC[[#This Row],[Prof. (m)]]&gt;=8*HC[[#This Row],[Ø (cm)]]/100,"OK","lim.")</f>
        <v>OK</v>
      </c>
      <c r="BI53" s="4" t="str">
        <f ca="1">IF(HC[[#This Row],[Verif. Biela]]="OK","OK","lim.")</f>
        <v>OK</v>
      </c>
      <c r="BJ53" s="4" t="str">
        <f ca="1">IF(COUNTA(HC[[#This Row],[Nº Est.]:[Biela comp.]])=COUNTIF(HC[[#This Row],[Nº Est.]:[Biela comp.]],"OK"),"OK","lim.")</f>
        <v>lim.</v>
      </c>
      <c r="BK53" s="4" t="str">
        <f ca="1">IF(HC[[#This Row],[Controle]]="OK",HC[[#This Row],[nE]]&amp;" Ø"&amp;HC[[#This Row],[Ø (cm)]]&amp;"cm Prof. "&amp;HC[[#This Row],[Prof. (m)]]&amp;" m","")</f>
        <v/>
      </c>
      <c r="BL53" s="4" t="str">
        <f ca="1">IF(HC[[#This Row],[idDimensionamento]]="","",HC[[#This Row],[idPilar]]&amp;HC[[#This Row],[idDimensionamento]])</f>
        <v/>
      </c>
    </row>
    <row r="54" spans="2:64" x14ac:dyDescent="0.25">
      <c r="B54" s="12">
        <f>ROUNDUP((ROW(HC[[#This Row],[idDiâmetro]])-ROW(HC[[#Headers],[idDiâmetro]]))/(COUNT(SPT[Prof. (m)])*COUNT(PILARES[Pilar])),0)</f>
        <v>2</v>
      </c>
      <c r="C54" s="12">
        <f>IF(HC[[#This Row],[idDiâmetro]]&lt;&gt;B53,1,IF(HC[[#This Row],[Prof. (m)]]=0,C53+1,C53))</f>
        <v>2</v>
      </c>
      <c r="D54" s="1">
        <f>IFERROR(IF(D53=MAX(SPT[Prof. (m)]),0,D53+1),0)</f>
        <v>7</v>
      </c>
      <c r="E54" s="1">
        <f>INDEX(SPT[],MATCH(HC[[#This Row],[Prof. (m)]],SPT[Prof. (m)],0),2)</f>
        <v>8</v>
      </c>
      <c r="F54" s="1" t="str">
        <f>INDEX(SPT[],MATCH(HC[[#This Row],[Prof. (m)]],SPT[Prof. (m)],0),3)</f>
        <v>Silte arenoso</v>
      </c>
      <c r="G54" s="1">
        <f>INDEX(estacas[],HC[[#This Row],[idDiâmetro]],MATCH($B$2,estacas[#Headers],0))</f>
        <v>30</v>
      </c>
      <c r="H54" s="1">
        <f>INDEX(estacas[],MATCH(HC[[#This Row],[Ø (cm)]],estacas[Ø HC (cm)],0),MATCH(HC[[#Headers],[Pe HC (kN)]],estacas[#Headers],0))</f>
        <v>450</v>
      </c>
      <c r="I54" s="4">
        <f>INDEX(K_alpha_C[],MATCH(HC[[#This Row],[Solo]],K_alpha_C[Solo],0),2)</f>
        <v>0.55000000000000004</v>
      </c>
      <c r="J54" s="5">
        <f>INDEX(K_alpha_C[],MATCH(HC[[#This Row],[Solo]],K_alpha_C[Solo],0),3)</f>
        <v>2.2000000000000002</v>
      </c>
      <c r="K54" s="4">
        <f>INDEX(F1_F2[],MATCH($D$2,F1_F2[Tipo de estaca],0),2)</f>
        <v>2</v>
      </c>
      <c r="L54" s="4">
        <f>INDEX(F1_F2[],MATCH($D$2,F1_F2[Tipo de estaca],0),3)</f>
        <v>4</v>
      </c>
      <c r="M54" s="4">
        <f>PI()*(HC[[#This Row],[Ø (cm)]]/100)^2/4</f>
        <v>7.0685834705770348E-2</v>
      </c>
      <c r="N54" s="4">
        <f>PI()*HC[[#This Row],[Ø (cm)]]/100</f>
        <v>0.94247779607693782</v>
      </c>
      <c r="O54" s="4">
        <f>IF(HC[[#This Row],[Prof. (m)]]=0,0,HC[[#This Row],[α (%)]]/100*HC[[#This Row],[K (MPa)]]*1000*HC[[#This Row],[NSPT]])</f>
        <v>96.800000000000011</v>
      </c>
      <c r="P54" s="4">
        <f>IF(HC[[#This Row],[Prof. (m)]]=0,0,(HC[[#This Row],[K (MPa)]]*1000*HC[[#This Row],[NSPT]]/HC[[#This Row],[F1]]*HC[[#This Row],[Ap (m²)]]+HC[[#This Row],[U (m)]]/HC[[#This Row],[F2]]*SUMIFS(HC[(α∙K∙NL∙ΔL)],HC[Prof. (m)],"&lt;="&amp;HC[[#This Row],[Prof. (m)]],HC[idDiâmetro],HC[[#This Row],[idDiâmetro]],HC[idPilar],HC[[#This Row],[idPilar]]))/'DADOS CAP. CARGA'!$D$2)</f>
        <v>181.29738504784996</v>
      </c>
      <c r="Q54" s="12">
        <f>INDEX(C_alpha_beta[],MATCH(HC[[#This Row],[Solo]],C_alpha_beta[Solo],0),MATCH(HC[[#Headers],[C (kPa)]],C_alpha_beta[#Headers],0))</f>
        <v>250</v>
      </c>
      <c r="R54" s="4">
        <f>INDEX(C_alpha_beta[],MATCH(HC[[#This Row],[Solo]],C_alpha_beta[Solo],0),MATCH(HC[[#Headers],[α ESF]],C_alpha_beta[#Headers],0))</f>
        <v>0.6</v>
      </c>
      <c r="S54" s="4">
        <f>INDEX(C_alpha_beta[],MATCH(HC[[#This Row],[Solo]],C_alpha_beta[Solo],0),MATCH(HC[[#Headers],[β ESF]],C_alpha_beta[#Headers],0))</f>
        <v>0.65</v>
      </c>
      <c r="T54" s="4">
        <f>IF(HC[[#This Row],[Prof. (m)]]=0,0,10*(HC[[#This Row],[NSPT]]/3+1))</f>
        <v>36.666666666666664</v>
      </c>
      <c r="U54" s="4">
        <f>(HC[[#This Row],[α ESF]]*HC[[#This Row],[C (kPa)]]*HC[[#This Row],[NSPT]]*HC[[#This Row],[Ap (m²)]])/'DADOS CAP. CARGA'!$Q$2+(HC[[#This Row],[β ESF]]*SUMIFS(HC[10∙(NL/3+1)],HC[Prof. (m)],"&lt;="&amp;HC[[#This Row],[Prof. (m)]],HC[idDiâmetro],HC[[#This Row],[idDiâmetro]],HC[idPilar],HC[[#This Row],[idPilar]])*HC[[#This Row],[U (m)]])/'DADOS CAP. CARGA'!$S$2</f>
        <v>105.95021224231577</v>
      </c>
      <c r="V54" s="4">
        <f>IF(SPT!$M$5=1,MIN(HC[[#This Row],[Pe HC (kN)]],HC[[#This Row],[R_AV (kN)]]),IF(SPT!$M$5=2,MIN(HC[[#This Row],[Pe HC (kN)]],HC[[#This Row],[R_DC (kN)]]),MIN(HC[[#This Row],[Pe HC (kN)]],HC[[#This Row],[R_AV (kN)]],HC[[#This Row],[R_DC (kN)]])))</f>
        <v>105.95021224231577</v>
      </c>
      <c r="W54" s="4">
        <f>INDEX(PILARES[],HC[[#This Row],[idPilar]],MATCH("Carga (kN)",PILARES[#Headers],0))*1.4</f>
        <v>1750</v>
      </c>
      <c r="X54" s="12">
        <f>INDEX(PILARES[],HC[[#This Row],[idPilar]],MATCH(HC[[#Headers],[ap (cm)]],PILARES[#Headers],0))</f>
        <v>50</v>
      </c>
      <c r="Y54" s="12">
        <f>INDEX(PILARES[],HC[[#This Row],[idPilar]],MATCH(HC[[#Headers],[bp (cm)]],PILARES[#Headers],0))</f>
        <v>40</v>
      </c>
      <c r="Z54" s="4">
        <f>SQRT(HC[[#This Row],[ap (cm)]]*HC[[#This Row],[bp (cm)]])</f>
        <v>44.721359549995796</v>
      </c>
      <c r="AA54" s="12">
        <f>HC[[#This Row],[ap (cm)]]*HC[[#This Row],[bp (cm)]]</f>
        <v>2000</v>
      </c>
      <c r="AB54" s="12">
        <f ca="1">IF(HC[[#This Row],[Padm∙ε (kN)]]&gt;=HC[[#This Row],[Padm (kN)]],ROUNDUP(1.05*HC[[#This Row],[Nsd (kN)]]/HC[[#This Row],[Padm (kN)]],0),ROUNDUP(1.05*HC[[#This Row],[Nsd (kN)]]/HC[[#This Row],[Padm (kN)]],0)+1)</f>
        <v>18</v>
      </c>
      <c r="AC54" s="4" t="str">
        <f ca="1">IFERROR(IF(HC[[#This Row],[nE]]=1,HC[[#This Row],[Padm (kN)]],HC[[#This Row],[Padm (kN)]]*HC[[#This Row],[nE]]*INDEX(grupoEstacas[],HC[[#This Row],[nE]],MATCH("ε",grupoEstacas[#Headers],0))),"N.S.")</f>
        <v>N.S.</v>
      </c>
      <c r="AD54" s="4">
        <f ca="1">1.05*HC[[#This Row],[Nsd (kN)]]/(HC[[#This Row],[nE]]*PI()*HC[[#This Row],[Ø (cm)]]^2/4)*10</f>
        <v>1.4441837428709023</v>
      </c>
      <c r="AE54" s="4">
        <f ca="1">IF(HC[[#This Row],[σ (MPa)]]&lt;INDEX(tipoEstaca[],MATCH($D$2,tipoEstaca[TIPO DE ESTACA],0),MATCH("σmáx (MPa)",tipoEstaca[#Headers],0)),0.4%*PI()*HC[[#This Row],[Ø (cm)]]^2/4,"N.S.")</f>
        <v>2.8274333882308138</v>
      </c>
      <c r="AF54" s="1">
        <f>INDEX(tipoEstaca[],MATCH($D$2,tipoEstaca[TIPO DE ESTACA],0),MATCH(HC[[#Headers],[Comprimento (m)]],tipoEstaca[#Headers],0))</f>
        <v>4</v>
      </c>
      <c r="AG54" s="5">
        <f ca="1">HC[[#This Row],[As,mín (cm²)]]/100^2*HC[[#This Row],[Comprimento (m)]]*7850</f>
        <v>8.8781408390447556</v>
      </c>
      <c r="AH54" s="4">
        <f ca="1">HC[[#This Row],[nE]]*HC[[#This Row],[Prof. (m)]]*HC[[#This Row],[Ap (m²)]]</f>
        <v>8.9064151729270638</v>
      </c>
      <c r="AI54" s="1">
        <f ca="1">IF(HC[[#This Row],[nE]]=1,0,MAX(3*HC[[#This Row],[Ø (cm)]],60))</f>
        <v>90</v>
      </c>
      <c r="AJ54" s="1">
        <f ca="1">IF(HC[[#This Row],[nE]]=1,HC[[#This Row],[Ø (cm)]]+2*10,MAX(1.5*HC[[#This Row],[Ø (cm)]],HC[[#This Row],[Ø (cm)]]+15))</f>
        <v>45</v>
      </c>
      <c r="AK54" s="1" t="str">
        <f ca="1">alturaUtil(HC[[#This Row],[nE]],HC[[#This Row],[Ø (cm)]],HC[[#This Row],[e (cm)]],HC[[#This Row],[ap,eq (cm)]])</f>
        <v>N.S.</v>
      </c>
      <c r="AL54" s="1" t="str">
        <f ca="1">IFERROR(HC[[#This Row],[d (cm)]]+arredondarParaCimaMultiplo5cm(MAX(5,SQRT(PI())/2*HC[[#This Row],[Ø (cm)]]/5)),"N.S.")</f>
        <v>N.S.</v>
      </c>
      <c r="AM54" s="5" t="str">
        <f ca="1">alpha(HC[[#This Row],[nE]],HC[[#This Row],[d (cm)]],HC[[#This Row],[e (cm)]],HC[[#This Row],[ap,eq (cm)]])</f>
        <v>N.S.</v>
      </c>
      <c r="AN54" s="35" t="str">
        <f ca="1">IFERROR(HC[[#This Row],[Nsd (kN)]]/(HC[[#This Row],[Ap (cm²)]]*SIN(HC[[#This Row],[α]])^2),"N.S.")</f>
        <v>N.S.</v>
      </c>
      <c r="AO54" s="35" t="str">
        <f ca="1">IFERROR(HC[[#This Row],[Nsd (kN)]]/(HC[[#This Row],[nE]]*PI()*HC[[#This Row],[Ø (cm)]]^2/4*SIN(HC[[#This Row],[α]])^2),"N.S.")</f>
        <v>N.S.</v>
      </c>
      <c r="AP54" s="4" t="str">
        <f ca="1">IFERROR(INDEX(grupoEstacas[],HC[[#This Row],[nE]],MATCH("coef. Blévot",grupoEstacas[#Headers],0)),"N.S.")</f>
        <v>N.S.</v>
      </c>
      <c r="AQ54" s="35" t="str">
        <f ca="1">IFERROR(HC[[#This Row],[coef. Blévot]]*0.9*INDEX(tipoEstaca[],MATCH($D$2,tipoEstaca[TIPO DE ESTACA],0),MATCH("fcd (kN/cm²)",tipoEstaca[#Headers],0)),"N.S.")</f>
        <v>N.S.</v>
      </c>
      <c r="AR54" s="1" t="str">
        <f ca="1">IF(AND(HC[[#This Row],[cd,b,pil (kN/cm²)]]&lt;=HC[[#This Row],[cd,b,lim (kN/cm²)]],HC[[#This Row],[cd,b,est (kN/cm²)]]&lt;=HC[[#This Row],[cd,b,lim (kN/cm²)]]),"OK","ERRO")</f>
        <v>OK</v>
      </c>
      <c r="AS54" s="4" t="str">
        <f ca="1">As_lado(HC[[#This Row],[nE]],HC[[#This Row],[Nsd (kN)]],HC[[#This Row],[d (cm)]],HC[[#This Row],[e (cm)]],HC[[#This Row],[ap,eq (cm)]])</f>
        <v>N.S.</v>
      </c>
      <c r="AT54" s="4" t="str">
        <f ca="1">IF(HC[[#This Row],[nE]]=1,HC[[#This Row],[As,lado (cm²)]],IF(HC[[#This Row],[nE]]=2,0.075*2*HC[a (cm)],"N.A."))</f>
        <v>N.A.</v>
      </c>
      <c r="AU54" s="4" t="str">
        <f ca="1">IFERROR(IF(HC[[#This Row],[nE]]=1,"N.A.",0.2*HC[[#This Row],[As,lado (cm²)]]),"N.S.")</f>
        <v>N.S.</v>
      </c>
      <c r="AV54" s="4" t="str">
        <f ca="1">As_malha(HC[[#This Row],[nE]],HC[[#This Row],[As,lado (cm²)]],HC[[#This Row],[Nsd (kN)]])</f>
        <v>N.S.</v>
      </c>
      <c r="AW54" s="4" t="str">
        <f ca="1">As_susp_tot(HC[[#This Row],[nE]],HC[[#This Row],[Nsd (kN)]])</f>
        <v>N.S.</v>
      </c>
      <c r="AX54" s="4" t="str">
        <f ca="1">Asp_face(HC[[#This Row],[nE]],HC[[#This Row],[As,lado (cm²)]])</f>
        <v>N.S.</v>
      </c>
      <c r="AY54" s="5" t="str">
        <f ca="1">acoBloco(HC[[#This Row],[nE]],HC[[#This Row],[e (cm)]],HC[[#This Row],[a (cm)]],HC[[#This Row],[h (cm)]],HC[[#This Row],[As,lado (cm²)]],HC[[#This Row],[Asp e Asw (cm²/m)]],HC[[#This Row],[As,sup (cm²)]],HC[[#This Row],[As,malha (cm²)]],HC[[#This Row],[As,susp,tot (cm²)]],HC[[#This Row],[Asp,face (cm²)]])</f>
        <v>N.S.</v>
      </c>
      <c r="AZ54" s="4" t="str">
        <f ca="1">concretoBloco(HC[[#This Row],[nE]],HC[[#This Row],[e (cm)]],HC[[#This Row],[a (cm)]],HC[[#This Row],[h (cm)]])</f>
        <v>N.S.</v>
      </c>
      <c r="BA54" s="5">
        <f ca="1">SUM(HC[[#This Row],[Aço Est (kg)]],HC[[#This Row],[Aço Bloco (kg)]])</f>
        <v>8.8781408390447556</v>
      </c>
      <c r="BB54" s="4">
        <f>INDEX(composicoes[],MATCH(95580,composicoes[CÓDIGO],0),MATCH("CUSTO TOTAL",composicoes[#Headers],0))</f>
        <v>10.46</v>
      </c>
      <c r="BC54" s="4">
        <f ca="1">SUM(HC[[#This Row],[Conc Est (m³)]],HC[[#This Row],[Conc Bloco (m³)]])</f>
        <v>8.9064151729270638</v>
      </c>
      <c r="BD54" s="4">
        <f>INDEX(composicoes[],MATCH(94966,composicoes[CÓDIGO],0),MATCH("CUSTO TOTAL",composicoes[#Headers],0))</f>
        <v>439.52</v>
      </c>
      <c r="BE54" s="38">
        <f ca="1">HC[[#This Row],[Aço (kg)]]*HC[[#This Row],[Aço (R$/kg)]]+HC[[#This Row],[Conc (m³)]]*HC[[#This Row],[Conc (R$/m³)]]</f>
        <v>4007.4129499813107</v>
      </c>
      <c r="BF54" s="4" t="str">
        <f ca="1">IF(COUNTIF(HC[#This Row],"N.S.")&gt;0,"lim.","OK")</f>
        <v>lim.</v>
      </c>
      <c r="BG54" s="4" t="str">
        <f>IF(HC[[#This Row],[Prof. (m)]]&lt;4,"lim.","OK")</f>
        <v>OK</v>
      </c>
      <c r="BH54" s="4" t="str">
        <f>IF(HC[[#This Row],[Prof. (m)]]&gt;=8*HC[[#This Row],[Ø (cm)]]/100,"OK","lim.")</f>
        <v>OK</v>
      </c>
      <c r="BI54" s="4" t="str">
        <f ca="1">IF(HC[[#This Row],[Verif. Biela]]="OK","OK","lim.")</f>
        <v>OK</v>
      </c>
      <c r="BJ54" s="4" t="str">
        <f ca="1">IF(COUNTA(HC[[#This Row],[Nº Est.]:[Biela comp.]])=COUNTIF(HC[[#This Row],[Nº Est.]:[Biela comp.]],"OK"),"OK","lim.")</f>
        <v>lim.</v>
      </c>
      <c r="BK54" s="4" t="str">
        <f ca="1">IF(HC[[#This Row],[Controle]]="OK",HC[[#This Row],[nE]]&amp;" Ø"&amp;HC[[#This Row],[Ø (cm)]]&amp;"cm Prof. "&amp;HC[[#This Row],[Prof. (m)]]&amp;" m","")</f>
        <v/>
      </c>
      <c r="BL54" s="4" t="str">
        <f ca="1">IF(HC[[#This Row],[idDimensionamento]]="","",HC[[#This Row],[idPilar]]&amp;HC[[#This Row],[idDimensionamento]])</f>
        <v/>
      </c>
    </row>
    <row r="55" spans="2:64" x14ac:dyDescent="0.25">
      <c r="B55" s="12">
        <f>ROUNDUP((ROW(HC[[#This Row],[idDiâmetro]])-ROW(HC[[#Headers],[idDiâmetro]]))/(COUNT(SPT[Prof. (m)])*COUNT(PILARES[Pilar])),0)</f>
        <v>2</v>
      </c>
      <c r="C55" s="12">
        <f>IF(HC[[#This Row],[idDiâmetro]]&lt;&gt;B54,1,IF(HC[[#This Row],[Prof. (m)]]=0,C54+1,C54))</f>
        <v>2</v>
      </c>
      <c r="D55" s="1">
        <f>IFERROR(IF(D54=MAX(SPT[Prof. (m)]),0,D54+1),0)</f>
        <v>8</v>
      </c>
      <c r="E55" s="1">
        <f>INDEX(SPT[],MATCH(HC[[#This Row],[Prof. (m)]],SPT[Prof. (m)],0),2)</f>
        <v>10</v>
      </c>
      <c r="F55" s="1" t="str">
        <f>INDEX(SPT[],MATCH(HC[[#This Row],[Prof. (m)]],SPT[Prof. (m)],0),3)</f>
        <v>Silte arenoso</v>
      </c>
      <c r="G55" s="1">
        <f>INDEX(estacas[],HC[[#This Row],[idDiâmetro]],MATCH($B$2,estacas[#Headers],0))</f>
        <v>30</v>
      </c>
      <c r="H55" s="1">
        <f>INDEX(estacas[],MATCH(HC[[#This Row],[Ø (cm)]],estacas[Ø HC (cm)],0),MATCH(HC[[#Headers],[Pe HC (kN)]],estacas[#Headers],0))</f>
        <v>450</v>
      </c>
      <c r="I55" s="4">
        <f>INDEX(K_alpha_C[],MATCH(HC[[#This Row],[Solo]],K_alpha_C[Solo],0),2)</f>
        <v>0.55000000000000004</v>
      </c>
      <c r="J55" s="5">
        <f>INDEX(K_alpha_C[],MATCH(HC[[#This Row],[Solo]],K_alpha_C[Solo],0),3)</f>
        <v>2.2000000000000002</v>
      </c>
      <c r="K55" s="4">
        <f>INDEX(F1_F2[],MATCH($D$2,F1_F2[Tipo de estaca],0),2)</f>
        <v>2</v>
      </c>
      <c r="L55" s="4">
        <f>INDEX(F1_F2[],MATCH($D$2,F1_F2[Tipo de estaca],0),3)</f>
        <v>4</v>
      </c>
      <c r="M55" s="4">
        <f>PI()*(HC[[#This Row],[Ø (cm)]]/100)^2/4</f>
        <v>7.0685834705770348E-2</v>
      </c>
      <c r="N55" s="4">
        <f>PI()*HC[[#This Row],[Ø (cm)]]/100</f>
        <v>0.94247779607693782</v>
      </c>
      <c r="O55" s="4">
        <f>IF(HC[[#This Row],[Prof. (m)]]=0,0,HC[[#This Row],[α (%)]]/100*HC[[#This Row],[K (MPa)]]*1000*HC[[#This Row],[NSPT]])</f>
        <v>121.00000000000001</v>
      </c>
      <c r="P55" s="4">
        <f>IF(HC[[#This Row],[Prof. (m)]]=0,0,(HC[[#This Row],[K (MPa)]]*1000*HC[[#This Row],[NSPT]]/HC[[#This Row],[F1]]*HC[[#This Row],[Ap (m²)]]+HC[[#This Row],[U (m)]]/HC[[#This Row],[F2]]*SUMIFS(HC[(α∙K∙NL∙ΔL)],HC[Prof. (m)],"&lt;="&amp;HC[[#This Row],[Prof. (m)]],HC[idDiâmetro],HC[[#This Row],[idDiâmetro]],HC[idPilar],HC[[#This Row],[idPilar]]))/'DADOS CAP. CARGA'!$D$2)</f>
        <v>214.99096625760052</v>
      </c>
      <c r="Q55" s="12">
        <f>INDEX(C_alpha_beta[],MATCH(HC[[#This Row],[Solo]],C_alpha_beta[Solo],0),MATCH(HC[[#Headers],[C (kPa)]],C_alpha_beta[#Headers],0))</f>
        <v>250</v>
      </c>
      <c r="R55" s="4">
        <f>INDEX(C_alpha_beta[],MATCH(HC[[#This Row],[Solo]],C_alpha_beta[Solo],0),MATCH(HC[[#Headers],[α ESF]],C_alpha_beta[#Headers],0))</f>
        <v>0.6</v>
      </c>
      <c r="S55" s="4">
        <f>INDEX(C_alpha_beta[],MATCH(HC[[#This Row],[Solo]],C_alpha_beta[Solo],0),MATCH(HC[[#Headers],[β ESF]],C_alpha_beta[#Headers],0))</f>
        <v>0.65</v>
      </c>
      <c r="T55" s="4">
        <f>IF(HC[[#This Row],[Prof. (m)]]=0,0,10*(HC[[#This Row],[NSPT]]/3+1))</f>
        <v>43.333333333333343</v>
      </c>
      <c r="U55" s="4">
        <f>(HC[[#This Row],[α ESF]]*HC[[#This Row],[C (kPa)]]*HC[[#This Row],[NSPT]]*HC[[#This Row],[Ap (m²)]])/'DADOS CAP. CARGA'!$Q$2+(HC[[#This Row],[β ESF]]*SUMIFS(HC[10∙(NL/3+1)],HC[Prof. (m)],"&lt;="&amp;HC[[#This Row],[Prof. (m)]],HC[idDiâmetro],HC[[#This Row],[idDiâmetro]],HC[idPilar],HC[[#This Row],[idPilar]])*HC[[#This Row],[U (m)]])/'DADOS CAP. CARGA'!$S$2</f>
        <v>124.52487880666541</v>
      </c>
      <c r="V55" s="4">
        <f>IF(SPT!$M$5=1,MIN(HC[[#This Row],[Pe HC (kN)]],HC[[#This Row],[R_AV (kN)]]),IF(SPT!$M$5=2,MIN(HC[[#This Row],[Pe HC (kN)]],HC[[#This Row],[R_DC (kN)]]),MIN(HC[[#This Row],[Pe HC (kN)]],HC[[#This Row],[R_AV (kN)]],HC[[#This Row],[R_DC (kN)]])))</f>
        <v>124.52487880666541</v>
      </c>
      <c r="W55" s="4">
        <f>INDEX(PILARES[],HC[[#This Row],[idPilar]],MATCH("Carga (kN)",PILARES[#Headers],0))*1.4</f>
        <v>1750</v>
      </c>
      <c r="X55" s="12">
        <f>INDEX(PILARES[],HC[[#This Row],[idPilar]],MATCH(HC[[#Headers],[ap (cm)]],PILARES[#Headers],0))</f>
        <v>50</v>
      </c>
      <c r="Y55" s="12">
        <f>INDEX(PILARES[],HC[[#This Row],[idPilar]],MATCH(HC[[#Headers],[bp (cm)]],PILARES[#Headers],0))</f>
        <v>40</v>
      </c>
      <c r="Z55" s="4">
        <f>SQRT(HC[[#This Row],[ap (cm)]]*HC[[#This Row],[bp (cm)]])</f>
        <v>44.721359549995796</v>
      </c>
      <c r="AA55" s="12">
        <f>HC[[#This Row],[ap (cm)]]*HC[[#This Row],[bp (cm)]]</f>
        <v>2000</v>
      </c>
      <c r="AB55" s="12">
        <f ca="1">IF(HC[[#This Row],[Padm∙ε (kN)]]&gt;=HC[[#This Row],[Padm (kN)]],ROUNDUP(1.05*HC[[#This Row],[Nsd (kN)]]/HC[[#This Row],[Padm (kN)]],0),ROUNDUP(1.05*HC[[#This Row],[Nsd (kN)]]/HC[[#This Row],[Padm (kN)]],0)+1)</f>
        <v>15</v>
      </c>
      <c r="AC55" s="4" t="str">
        <f ca="1">IFERROR(IF(HC[[#This Row],[nE]]=1,HC[[#This Row],[Padm (kN)]],HC[[#This Row],[Padm (kN)]]*HC[[#This Row],[nE]]*INDEX(grupoEstacas[],HC[[#This Row],[nE]],MATCH("ε",grupoEstacas[#Headers],0))),"N.S.")</f>
        <v>N.S.</v>
      </c>
      <c r="AD55" s="4">
        <f ca="1">1.05*HC[[#This Row],[Nsd (kN)]]/(HC[[#This Row],[nE]]*PI()*HC[[#This Row],[Ø (cm)]]^2/4)*10</f>
        <v>1.7330204914450826</v>
      </c>
      <c r="AE55" s="4">
        <f ca="1">IF(HC[[#This Row],[σ (MPa)]]&lt;INDEX(tipoEstaca[],MATCH($D$2,tipoEstaca[TIPO DE ESTACA],0),MATCH("σmáx (MPa)",tipoEstaca[#Headers],0)),0.4%*PI()*HC[[#This Row],[Ø (cm)]]^2/4,"N.S.")</f>
        <v>2.8274333882308138</v>
      </c>
      <c r="AF55" s="1">
        <f>INDEX(tipoEstaca[],MATCH($D$2,tipoEstaca[TIPO DE ESTACA],0),MATCH(HC[[#Headers],[Comprimento (m)]],tipoEstaca[#Headers],0))</f>
        <v>4</v>
      </c>
      <c r="AG55" s="5">
        <f ca="1">HC[[#This Row],[As,mín (cm²)]]/100^2*HC[[#This Row],[Comprimento (m)]]*7850</f>
        <v>8.8781408390447556</v>
      </c>
      <c r="AH55" s="4">
        <f ca="1">HC[[#This Row],[nE]]*HC[[#This Row],[Prof. (m)]]*HC[[#This Row],[Ap (m²)]]</f>
        <v>8.4823001646924414</v>
      </c>
      <c r="AI55" s="1">
        <f ca="1">IF(HC[[#This Row],[nE]]=1,0,MAX(3*HC[[#This Row],[Ø (cm)]],60))</f>
        <v>90</v>
      </c>
      <c r="AJ55" s="1">
        <f ca="1">IF(HC[[#This Row],[nE]]=1,HC[[#This Row],[Ø (cm)]]+2*10,MAX(1.5*HC[[#This Row],[Ø (cm)]],HC[[#This Row],[Ø (cm)]]+15))</f>
        <v>45</v>
      </c>
      <c r="AK55" s="1" t="str">
        <f ca="1">alturaUtil(HC[[#This Row],[nE]],HC[[#This Row],[Ø (cm)]],HC[[#This Row],[e (cm)]],HC[[#This Row],[ap,eq (cm)]])</f>
        <v>N.S.</v>
      </c>
      <c r="AL55" s="1" t="str">
        <f ca="1">IFERROR(HC[[#This Row],[d (cm)]]+arredondarParaCimaMultiplo5cm(MAX(5,SQRT(PI())/2*HC[[#This Row],[Ø (cm)]]/5)),"N.S.")</f>
        <v>N.S.</v>
      </c>
      <c r="AM55" s="5" t="str">
        <f ca="1">alpha(HC[[#This Row],[nE]],HC[[#This Row],[d (cm)]],HC[[#This Row],[e (cm)]],HC[[#This Row],[ap,eq (cm)]])</f>
        <v>N.S.</v>
      </c>
      <c r="AN55" s="35" t="str">
        <f ca="1">IFERROR(HC[[#This Row],[Nsd (kN)]]/(HC[[#This Row],[Ap (cm²)]]*SIN(HC[[#This Row],[α]])^2),"N.S.")</f>
        <v>N.S.</v>
      </c>
      <c r="AO55" s="35" t="str">
        <f ca="1">IFERROR(HC[[#This Row],[Nsd (kN)]]/(HC[[#This Row],[nE]]*PI()*HC[[#This Row],[Ø (cm)]]^2/4*SIN(HC[[#This Row],[α]])^2),"N.S.")</f>
        <v>N.S.</v>
      </c>
      <c r="AP55" s="4" t="str">
        <f ca="1">IFERROR(INDEX(grupoEstacas[],HC[[#This Row],[nE]],MATCH("coef. Blévot",grupoEstacas[#Headers],0)),"N.S.")</f>
        <v>N.S.</v>
      </c>
      <c r="AQ55" s="35" t="str">
        <f ca="1">IFERROR(HC[[#This Row],[coef. Blévot]]*0.9*INDEX(tipoEstaca[],MATCH($D$2,tipoEstaca[TIPO DE ESTACA],0),MATCH("fcd (kN/cm²)",tipoEstaca[#Headers],0)),"N.S.")</f>
        <v>N.S.</v>
      </c>
      <c r="AR55" s="1" t="str">
        <f ca="1">IF(AND(HC[[#This Row],[cd,b,pil (kN/cm²)]]&lt;=HC[[#This Row],[cd,b,lim (kN/cm²)]],HC[[#This Row],[cd,b,est (kN/cm²)]]&lt;=HC[[#This Row],[cd,b,lim (kN/cm²)]]),"OK","ERRO")</f>
        <v>OK</v>
      </c>
      <c r="AS55" s="4" t="str">
        <f ca="1">As_lado(HC[[#This Row],[nE]],HC[[#This Row],[Nsd (kN)]],HC[[#This Row],[d (cm)]],HC[[#This Row],[e (cm)]],HC[[#This Row],[ap,eq (cm)]])</f>
        <v>N.S.</v>
      </c>
      <c r="AT55" s="4" t="str">
        <f ca="1">IF(HC[[#This Row],[nE]]=1,HC[[#This Row],[As,lado (cm²)]],IF(HC[[#This Row],[nE]]=2,0.075*2*HC[a (cm)],"N.A."))</f>
        <v>N.A.</v>
      </c>
      <c r="AU55" s="4" t="str">
        <f ca="1">IFERROR(IF(HC[[#This Row],[nE]]=1,"N.A.",0.2*HC[[#This Row],[As,lado (cm²)]]),"N.S.")</f>
        <v>N.S.</v>
      </c>
      <c r="AV55" s="4" t="str">
        <f ca="1">As_malha(HC[[#This Row],[nE]],HC[[#This Row],[As,lado (cm²)]],HC[[#This Row],[Nsd (kN)]])</f>
        <v>N.S.</v>
      </c>
      <c r="AW55" s="4" t="str">
        <f ca="1">As_susp_tot(HC[[#This Row],[nE]],HC[[#This Row],[Nsd (kN)]])</f>
        <v>N.S.</v>
      </c>
      <c r="AX55" s="4" t="str">
        <f ca="1">Asp_face(HC[[#This Row],[nE]],HC[[#This Row],[As,lado (cm²)]])</f>
        <v>N.S.</v>
      </c>
      <c r="AY55" s="5" t="str">
        <f ca="1">acoBloco(HC[[#This Row],[nE]],HC[[#This Row],[e (cm)]],HC[[#This Row],[a (cm)]],HC[[#This Row],[h (cm)]],HC[[#This Row],[As,lado (cm²)]],HC[[#This Row],[Asp e Asw (cm²/m)]],HC[[#This Row],[As,sup (cm²)]],HC[[#This Row],[As,malha (cm²)]],HC[[#This Row],[As,susp,tot (cm²)]],HC[[#This Row],[Asp,face (cm²)]])</f>
        <v>N.S.</v>
      </c>
      <c r="AZ55" s="4" t="str">
        <f ca="1">concretoBloco(HC[[#This Row],[nE]],HC[[#This Row],[e (cm)]],HC[[#This Row],[a (cm)]],HC[[#This Row],[h (cm)]])</f>
        <v>N.S.</v>
      </c>
      <c r="BA55" s="5">
        <f ca="1">SUM(HC[[#This Row],[Aço Est (kg)]],HC[[#This Row],[Aço Bloco (kg)]])</f>
        <v>8.8781408390447556</v>
      </c>
      <c r="BB55" s="4">
        <f>INDEX(composicoes[],MATCH(95580,composicoes[CÓDIGO],0),MATCH("CUSTO TOTAL",composicoes[#Headers],0))</f>
        <v>10.46</v>
      </c>
      <c r="BC55" s="4">
        <f ca="1">SUM(HC[[#This Row],[Conc Est (m³)]],HC[[#This Row],[Conc Bloco (m³)]])</f>
        <v>8.4823001646924414</v>
      </c>
      <c r="BD55" s="4">
        <f>INDEX(composicoes[],MATCH(94966,composicoes[CÓDIGO],0),MATCH("CUSTO TOTAL",composicoes[#Headers],0))</f>
        <v>439.52</v>
      </c>
      <c r="BE55" s="38">
        <f ca="1">HC[[#This Row],[Aço (kg)]]*HC[[#This Row],[Aço (R$/kg)]]+HC[[#This Row],[Conc (m³)]]*HC[[#This Row],[Conc (R$/m³)]]</f>
        <v>3821.0059215620299</v>
      </c>
      <c r="BF55" s="4" t="str">
        <f ca="1">IF(COUNTIF(HC[#This Row],"N.S.")&gt;0,"lim.","OK")</f>
        <v>lim.</v>
      </c>
      <c r="BG55" s="4" t="str">
        <f>IF(HC[[#This Row],[Prof. (m)]]&lt;4,"lim.","OK")</f>
        <v>OK</v>
      </c>
      <c r="BH55" s="4" t="str">
        <f>IF(HC[[#This Row],[Prof. (m)]]&gt;=8*HC[[#This Row],[Ø (cm)]]/100,"OK","lim.")</f>
        <v>OK</v>
      </c>
      <c r="BI55" s="4" t="str">
        <f ca="1">IF(HC[[#This Row],[Verif. Biela]]="OK","OK","lim.")</f>
        <v>OK</v>
      </c>
      <c r="BJ55" s="4" t="str">
        <f ca="1">IF(COUNTA(HC[[#This Row],[Nº Est.]:[Biela comp.]])=COUNTIF(HC[[#This Row],[Nº Est.]:[Biela comp.]],"OK"),"OK","lim.")</f>
        <v>lim.</v>
      </c>
      <c r="BK55" s="4" t="str">
        <f ca="1">IF(HC[[#This Row],[Controle]]="OK",HC[[#This Row],[nE]]&amp;" Ø"&amp;HC[[#This Row],[Ø (cm)]]&amp;"cm Prof. "&amp;HC[[#This Row],[Prof. (m)]]&amp;" m","")</f>
        <v/>
      </c>
      <c r="BL55" s="4" t="str">
        <f ca="1">IF(HC[[#This Row],[idDimensionamento]]="","",HC[[#This Row],[idPilar]]&amp;HC[[#This Row],[idDimensionamento]])</f>
        <v/>
      </c>
    </row>
    <row r="56" spans="2:64" x14ac:dyDescent="0.25">
      <c r="B56" s="12">
        <f>ROUNDUP((ROW(HC[[#This Row],[idDiâmetro]])-ROW(HC[[#Headers],[idDiâmetro]]))/(COUNT(SPT[Prof. (m)])*COUNT(PILARES[Pilar])),0)</f>
        <v>2</v>
      </c>
      <c r="C56" s="12">
        <f>IF(HC[[#This Row],[idDiâmetro]]&lt;&gt;B55,1,IF(HC[[#This Row],[Prof. (m)]]=0,C55+1,C55))</f>
        <v>2</v>
      </c>
      <c r="D56" s="1">
        <f>IFERROR(IF(D55=MAX(SPT[Prof. (m)]),0,D55+1),0)</f>
        <v>9</v>
      </c>
      <c r="E56" s="1">
        <f>INDEX(SPT[],MATCH(HC[[#This Row],[Prof. (m)]],SPT[Prof. (m)],0),2)</f>
        <v>26</v>
      </c>
      <c r="F56" s="1" t="str">
        <f>INDEX(SPT[],MATCH(HC[[#This Row],[Prof. (m)]],SPT[Prof. (m)],0),3)</f>
        <v>Areia siltosa</v>
      </c>
      <c r="G56" s="1">
        <f>INDEX(estacas[],HC[[#This Row],[idDiâmetro]],MATCH($B$2,estacas[#Headers],0))</f>
        <v>30</v>
      </c>
      <c r="H56" s="1">
        <f>INDEX(estacas[],MATCH(HC[[#This Row],[Ø (cm)]],estacas[Ø HC (cm)],0),MATCH(HC[[#Headers],[Pe HC (kN)]],estacas[#Headers],0))</f>
        <v>450</v>
      </c>
      <c r="I56" s="4">
        <f>INDEX(K_alpha_C[],MATCH(HC[[#This Row],[Solo]],K_alpha_C[Solo],0),2)</f>
        <v>0.8</v>
      </c>
      <c r="J56" s="5">
        <f>INDEX(K_alpha_C[],MATCH(HC[[#This Row],[Solo]],K_alpha_C[Solo],0),3)</f>
        <v>2</v>
      </c>
      <c r="K56" s="4">
        <f>INDEX(F1_F2[],MATCH($D$2,F1_F2[Tipo de estaca],0),2)</f>
        <v>2</v>
      </c>
      <c r="L56" s="4">
        <f>INDEX(F1_F2[],MATCH($D$2,F1_F2[Tipo de estaca],0),3)</f>
        <v>4</v>
      </c>
      <c r="M56" s="4">
        <f>PI()*(HC[[#This Row],[Ø (cm)]]/100)^2/4</f>
        <v>7.0685834705770348E-2</v>
      </c>
      <c r="N56" s="4">
        <f>PI()*HC[[#This Row],[Ø (cm)]]/100</f>
        <v>0.94247779607693782</v>
      </c>
      <c r="O56" s="4">
        <f>IF(HC[[#This Row],[Prof. (m)]]=0,0,HC[[#This Row],[α (%)]]/100*HC[[#This Row],[K (MPa)]]*1000*HC[[#This Row],[NSPT]])</f>
        <v>416</v>
      </c>
      <c r="P56" s="4">
        <f>IF(HC[[#This Row],[Prof. (m)]]=0,0,(HC[[#This Row],[K (MPa)]]*1000*HC[[#This Row],[NSPT]]/HC[[#This Row],[F1]]*HC[[#This Row],[Ap (m²)]]+HC[[#This Row],[U (m)]]/HC[[#This Row],[F2]]*SUMIFS(HC[(α∙K∙NL∙ΔL)],HC[Prof. (m)],"&lt;="&amp;HC[[#This Row],[Prof. (m)]],HC[idDiâmetro],HC[[#This Row],[idDiâmetro]],HC[idPilar],HC[[#This Row],[idPilar]]))/'DADOS CAP. CARGA'!$D$2)</f>
        <v>534.37312940317281</v>
      </c>
      <c r="Q56" s="12">
        <f>INDEX(C_alpha_beta[],MATCH(HC[[#This Row],[Solo]],C_alpha_beta[Solo],0),MATCH(HC[[#Headers],[C (kPa)]],C_alpha_beta[#Headers],0))</f>
        <v>400</v>
      </c>
      <c r="R56" s="4">
        <f>INDEX(C_alpha_beta[],MATCH(HC[[#This Row],[Solo]],C_alpha_beta[Solo],0),MATCH(HC[[#Headers],[α ESF]],C_alpha_beta[#Headers],0))</f>
        <v>0.5</v>
      </c>
      <c r="S56" s="4">
        <f>INDEX(C_alpha_beta[],MATCH(HC[[#This Row],[Solo]],C_alpha_beta[Solo],0),MATCH(HC[[#Headers],[β ESF]],C_alpha_beta[#Headers],0))</f>
        <v>0.5</v>
      </c>
      <c r="T56" s="4">
        <f>IF(HC[[#This Row],[Prof. (m)]]=0,0,10*(HC[[#This Row],[NSPT]]/3+1))</f>
        <v>96.666666666666657</v>
      </c>
      <c r="U56" s="4">
        <f>(HC[[#This Row],[α ESF]]*HC[[#This Row],[C (kPa)]]*HC[[#This Row],[NSPT]]*HC[[#This Row],[Ap (m²)]])/'DADOS CAP. CARGA'!$Q$2+(HC[[#This Row],[β ESF]]*SUMIFS(HC[10∙(NL/3+1)],HC[Prof. (m)],"&lt;="&amp;HC[[#This Row],[Prof. (m)]],HC[idDiâmetro],HC[[#This Row],[idDiâmetro]],HC[idPilar],HC[[#This Row],[idPilar]])*HC[[#This Row],[U (m)]])/'DADOS CAP. CARGA'!$S$2</f>
        <v>190.06635554218246</v>
      </c>
      <c r="V56" s="4">
        <f>IF(SPT!$M$5=1,MIN(HC[[#This Row],[Pe HC (kN)]],HC[[#This Row],[R_AV (kN)]]),IF(SPT!$M$5=2,MIN(HC[[#This Row],[Pe HC (kN)]],HC[[#This Row],[R_DC (kN)]]),MIN(HC[[#This Row],[Pe HC (kN)]],HC[[#This Row],[R_AV (kN)]],HC[[#This Row],[R_DC (kN)]])))</f>
        <v>190.06635554218246</v>
      </c>
      <c r="W56" s="4">
        <f>INDEX(PILARES[],HC[[#This Row],[idPilar]],MATCH("Carga (kN)",PILARES[#Headers],0))*1.4</f>
        <v>1750</v>
      </c>
      <c r="X56" s="12">
        <f>INDEX(PILARES[],HC[[#This Row],[idPilar]],MATCH(HC[[#Headers],[ap (cm)]],PILARES[#Headers],0))</f>
        <v>50</v>
      </c>
      <c r="Y56" s="12">
        <f>INDEX(PILARES[],HC[[#This Row],[idPilar]],MATCH(HC[[#Headers],[bp (cm)]],PILARES[#Headers],0))</f>
        <v>40</v>
      </c>
      <c r="Z56" s="4">
        <f>SQRT(HC[[#This Row],[ap (cm)]]*HC[[#This Row],[bp (cm)]])</f>
        <v>44.721359549995796</v>
      </c>
      <c r="AA56" s="12">
        <f>HC[[#This Row],[ap (cm)]]*HC[[#This Row],[bp (cm)]]</f>
        <v>2000</v>
      </c>
      <c r="AB56" s="12">
        <f ca="1">IF(HC[[#This Row],[Padm∙ε (kN)]]&gt;=HC[[#This Row],[Padm (kN)]],ROUNDUP(1.05*HC[[#This Row],[Nsd (kN)]]/HC[[#This Row],[Padm (kN)]],0),ROUNDUP(1.05*HC[[#This Row],[Nsd (kN)]]/HC[[#This Row],[Padm (kN)]],0)+1)</f>
        <v>10</v>
      </c>
      <c r="AC56" s="4" t="str">
        <f ca="1">IFERROR(IF(HC[[#This Row],[nE]]=1,HC[[#This Row],[Padm (kN)]],HC[[#This Row],[Padm (kN)]]*HC[[#This Row],[nE]]*INDEX(grupoEstacas[],HC[[#This Row],[nE]],MATCH("ε",grupoEstacas[#Headers],0))),"N.S.")</f>
        <v>N.S.</v>
      </c>
      <c r="AD56" s="4">
        <f ca="1">1.05*HC[[#This Row],[Nsd (kN)]]/(HC[[#This Row],[nE]]*PI()*HC[[#This Row],[Ø (cm)]]^2/4)*10</f>
        <v>2.599530737167624</v>
      </c>
      <c r="AE56" s="4">
        <f ca="1">IF(HC[[#This Row],[σ (MPa)]]&lt;INDEX(tipoEstaca[],MATCH($D$2,tipoEstaca[TIPO DE ESTACA],0),MATCH("σmáx (MPa)",tipoEstaca[#Headers],0)),0.4%*PI()*HC[[#This Row],[Ø (cm)]]^2/4,"N.S.")</f>
        <v>2.8274333882308138</v>
      </c>
      <c r="AF56" s="1">
        <f>INDEX(tipoEstaca[],MATCH($D$2,tipoEstaca[TIPO DE ESTACA],0),MATCH(HC[[#Headers],[Comprimento (m)]],tipoEstaca[#Headers],0))</f>
        <v>4</v>
      </c>
      <c r="AG56" s="5">
        <f ca="1">HC[[#This Row],[As,mín (cm²)]]/100^2*HC[[#This Row],[Comprimento (m)]]*7850</f>
        <v>8.8781408390447556</v>
      </c>
      <c r="AH56" s="4">
        <f ca="1">HC[[#This Row],[nE]]*HC[[#This Row],[Prof. (m)]]*HC[[#This Row],[Ap (m²)]]</f>
        <v>6.3617251235193315</v>
      </c>
      <c r="AI56" s="1">
        <f ca="1">IF(HC[[#This Row],[nE]]=1,0,MAX(3*HC[[#This Row],[Ø (cm)]],60))</f>
        <v>90</v>
      </c>
      <c r="AJ56" s="1">
        <f ca="1">IF(HC[[#This Row],[nE]]=1,HC[[#This Row],[Ø (cm)]]+2*10,MAX(1.5*HC[[#This Row],[Ø (cm)]],HC[[#This Row],[Ø (cm)]]+15))</f>
        <v>45</v>
      </c>
      <c r="AK56" s="1" t="str">
        <f ca="1">alturaUtil(HC[[#This Row],[nE]],HC[[#This Row],[Ø (cm)]],HC[[#This Row],[e (cm)]],HC[[#This Row],[ap,eq (cm)]])</f>
        <v>N.S.</v>
      </c>
      <c r="AL56" s="1" t="str">
        <f ca="1">IFERROR(HC[[#This Row],[d (cm)]]+arredondarParaCimaMultiplo5cm(MAX(5,SQRT(PI())/2*HC[[#This Row],[Ø (cm)]]/5)),"N.S.")</f>
        <v>N.S.</v>
      </c>
      <c r="AM56" s="5" t="str">
        <f ca="1">alpha(HC[[#This Row],[nE]],HC[[#This Row],[d (cm)]],HC[[#This Row],[e (cm)]],HC[[#This Row],[ap,eq (cm)]])</f>
        <v>N.S.</v>
      </c>
      <c r="AN56" s="35" t="str">
        <f ca="1">IFERROR(HC[[#This Row],[Nsd (kN)]]/(HC[[#This Row],[Ap (cm²)]]*SIN(HC[[#This Row],[α]])^2),"N.S.")</f>
        <v>N.S.</v>
      </c>
      <c r="AO56" s="35" t="str">
        <f ca="1">IFERROR(HC[[#This Row],[Nsd (kN)]]/(HC[[#This Row],[nE]]*PI()*HC[[#This Row],[Ø (cm)]]^2/4*SIN(HC[[#This Row],[α]])^2),"N.S.")</f>
        <v>N.S.</v>
      </c>
      <c r="AP56" s="4" t="str">
        <f ca="1">IFERROR(INDEX(grupoEstacas[],HC[[#This Row],[nE]],MATCH("coef. Blévot",grupoEstacas[#Headers],0)),"N.S.")</f>
        <v>N.S.</v>
      </c>
      <c r="AQ56" s="35" t="str">
        <f ca="1">IFERROR(HC[[#This Row],[coef. Blévot]]*0.9*INDEX(tipoEstaca[],MATCH($D$2,tipoEstaca[TIPO DE ESTACA],0),MATCH("fcd (kN/cm²)",tipoEstaca[#Headers],0)),"N.S.")</f>
        <v>N.S.</v>
      </c>
      <c r="AR56" s="1" t="str">
        <f ca="1">IF(AND(HC[[#This Row],[cd,b,pil (kN/cm²)]]&lt;=HC[[#This Row],[cd,b,lim (kN/cm²)]],HC[[#This Row],[cd,b,est (kN/cm²)]]&lt;=HC[[#This Row],[cd,b,lim (kN/cm²)]]),"OK","ERRO")</f>
        <v>OK</v>
      </c>
      <c r="AS56" s="4" t="str">
        <f ca="1">As_lado(HC[[#This Row],[nE]],HC[[#This Row],[Nsd (kN)]],HC[[#This Row],[d (cm)]],HC[[#This Row],[e (cm)]],HC[[#This Row],[ap,eq (cm)]])</f>
        <v>N.S.</v>
      </c>
      <c r="AT56" s="4" t="str">
        <f ca="1">IF(HC[[#This Row],[nE]]=1,HC[[#This Row],[As,lado (cm²)]],IF(HC[[#This Row],[nE]]=2,0.075*2*HC[a (cm)],"N.A."))</f>
        <v>N.A.</v>
      </c>
      <c r="AU56" s="4" t="str">
        <f ca="1">IFERROR(IF(HC[[#This Row],[nE]]=1,"N.A.",0.2*HC[[#This Row],[As,lado (cm²)]]),"N.S.")</f>
        <v>N.S.</v>
      </c>
      <c r="AV56" s="4" t="str">
        <f ca="1">As_malha(HC[[#This Row],[nE]],HC[[#This Row],[As,lado (cm²)]],HC[[#This Row],[Nsd (kN)]])</f>
        <v>N.S.</v>
      </c>
      <c r="AW56" s="4" t="str">
        <f ca="1">As_susp_tot(HC[[#This Row],[nE]],HC[[#This Row],[Nsd (kN)]])</f>
        <v>N.S.</v>
      </c>
      <c r="AX56" s="4" t="str">
        <f ca="1">Asp_face(HC[[#This Row],[nE]],HC[[#This Row],[As,lado (cm²)]])</f>
        <v>N.S.</v>
      </c>
      <c r="AY56" s="5" t="str">
        <f ca="1">acoBloco(HC[[#This Row],[nE]],HC[[#This Row],[e (cm)]],HC[[#This Row],[a (cm)]],HC[[#This Row],[h (cm)]],HC[[#This Row],[As,lado (cm²)]],HC[[#This Row],[Asp e Asw (cm²/m)]],HC[[#This Row],[As,sup (cm²)]],HC[[#This Row],[As,malha (cm²)]],HC[[#This Row],[As,susp,tot (cm²)]],HC[[#This Row],[Asp,face (cm²)]])</f>
        <v>N.S.</v>
      </c>
      <c r="AZ56" s="4" t="str">
        <f ca="1">concretoBloco(HC[[#This Row],[nE]],HC[[#This Row],[e (cm)]],HC[[#This Row],[a (cm)]],HC[[#This Row],[h (cm)]])</f>
        <v>N.S.</v>
      </c>
      <c r="BA56" s="5">
        <f ca="1">SUM(HC[[#This Row],[Aço Est (kg)]],HC[[#This Row],[Aço Bloco (kg)]])</f>
        <v>8.8781408390447556</v>
      </c>
      <c r="BB56" s="4">
        <f>INDEX(composicoes[],MATCH(95580,composicoes[CÓDIGO],0),MATCH("CUSTO TOTAL",composicoes[#Headers],0))</f>
        <v>10.46</v>
      </c>
      <c r="BC56" s="4">
        <f ca="1">SUM(HC[[#This Row],[Conc Est (m³)]],HC[[#This Row],[Conc Bloco (m³)]])</f>
        <v>6.3617251235193315</v>
      </c>
      <c r="BD56" s="4">
        <f>INDEX(composicoes[],MATCH(94966,composicoes[CÓDIGO],0),MATCH("CUSTO TOTAL",composicoes[#Headers],0))</f>
        <v>439.52</v>
      </c>
      <c r="BE56" s="38">
        <f ca="1">HC[[#This Row],[Aço (kg)]]*HC[[#This Row],[Aço (R$/kg)]]+HC[[#This Row],[Conc (m³)]]*HC[[#This Row],[Conc (R$/m³)]]</f>
        <v>2888.9707794656247</v>
      </c>
      <c r="BF56" s="4" t="str">
        <f ca="1">IF(COUNTIF(HC[#This Row],"N.S.")&gt;0,"lim.","OK")</f>
        <v>lim.</v>
      </c>
      <c r="BG56" s="4" t="str">
        <f>IF(HC[[#This Row],[Prof. (m)]]&lt;4,"lim.","OK")</f>
        <v>OK</v>
      </c>
      <c r="BH56" s="4" t="str">
        <f>IF(HC[[#This Row],[Prof. (m)]]&gt;=8*HC[[#This Row],[Ø (cm)]]/100,"OK","lim.")</f>
        <v>OK</v>
      </c>
      <c r="BI56" s="4" t="str">
        <f ca="1">IF(HC[[#This Row],[Verif. Biela]]="OK","OK","lim.")</f>
        <v>OK</v>
      </c>
      <c r="BJ56" s="4" t="str">
        <f ca="1">IF(COUNTA(HC[[#This Row],[Nº Est.]:[Biela comp.]])=COUNTIF(HC[[#This Row],[Nº Est.]:[Biela comp.]],"OK"),"OK","lim.")</f>
        <v>lim.</v>
      </c>
      <c r="BK56" s="4" t="str">
        <f ca="1">IF(HC[[#This Row],[Controle]]="OK",HC[[#This Row],[nE]]&amp;" Ø"&amp;HC[[#This Row],[Ø (cm)]]&amp;"cm Prof. "&amp;HC[[#This Row],[Prof. (m)]]&amp;" m","")</f>
        <v/>
      </c>
      <c r="BL56" s="4" t="str">
        <f ca="1">IF(HC[[#This Row],[idDimensionamento]]="","",HC[[#This Row],[idPilar]]&amp;HC[[#This Row],[idDimensionamento]])</f>
        <v/>
      </c>
    </row>
    <row r="57" spans="2:64" x14ac:dyDescent="0.25">
      <c r="B57" s="12">
        <f>ROUNDUP((ROW(HC[[#This Row],[idDiâmetro]])-ROW(HC[[#Headers],[idDiâmetro]]))/(COUNT(SPT[Prof. (m)])*COUNT(PILARES[Pilar])),0)</f>
        <v>2</v>
      </c>
      <c r="C57" s="12">
        <f>IF(HC[[#This Row],[idDiâmetro]]&lt;&gt;B56,1,IF(HC[[#This Row],[Prof. (m)]]=0,C56+1,C56))</f>
        <v>2</v>
      </c>
      <c r="D57" s="1">
        <f>IFERROR(IF(D56=MAX(SPT[Prof. (m)]),0,D56+1),0)</f>
        <v>10</v>
      </c>
      <c r="E57" s="1">
        <f>INDEX(SPT[],MATCH(HC[[#This Row],[Prof. (m)]],SPT[Prof. (m)],0),2)</f>
        <v>32</v>
      </c>
      <c r="F57" s="1" t="str">
        <f>INDEX(SPT[],MATCH(HC[[#This Row],[Prof. (m)]],SPT[Prof. (m)],0),3)</f>
        <v>Areia siltosa</v>
      </c>
      <c r="G57" s="1">
        <f>INDEX(estacas[],HC[[#This Row],[idDiâmetro]],MATCH($B$2,estacas[#Headers],0))</f>
        <v>30</v>
      </c>
      <c r="H57" s="1">
        <f>INDEX(estacas[],MATCH(HC[[#This Row],[Ø (cm)]],estacas[Ø HC (cm)],0),MATCH(HC[[#Headers],[Pe HC (kN)]],estacas[#Headers],0))</f>
        <v>450</v>
      </c>
      <c r="I57" s="4">
        <f>INDEX(K_alpha_C[],MATCH(HC[[#This Row],[Solo]],K_alpha_C[Solo],0),2)</f>
        <v>0.8</v>
      </c>
      <c r="J57" s="5">
        <f>INDEX(K_alpha_C[],MATCH(HC[[#This Row],[Solo]],K_alpha_C[Solo],0),3)</f>
        <v>2</v>
      </c>
      <c r="K57" s="4">
        <f>INDEX(F1_F2[],MATCH($D$2,F1_F2[Tipo de estaca],0),2)</f>
        <v>2</v>
      </c>
      <c r="L57" s="4">
        <f>INDEX(F1_F2[],MATCH($D$2,F1_F2[Tipo de estaca],0),3)</f>
        <v>4</v>
      </c>
      <c r="M57" s="4">
        <f>PI()*(HC[[#This Row],[Ø (cm)]]/100)^2/4</f>
        <v>7.0685834705770348E-2</v>
      </c>
      <c r="N57" s="4">
        <f>PI()*HC[[#This Row],[Ø (cm)]]/100</f>
        <v>0.94247779607693782</v>
      </c>
      <c r="O57" s="4">
        <f>IF(HC[[#This Row],[Prof. (m)]]=0,0,HC[[#This Row],[α (%)]]/100*HC[[#This Row],[K (MPa)]]*1000*HC[[#This Row],[NSPT]])</f>
        <v>512</v>
      </c>
      <c r="P57" s="4">
        <f>IF(HC[[#This Row],[Prof. (m)]]=0,0,(HC[[#This Row],[K (MPa)]]*1000*HC[[#This Row],[NSPT]]/HC[[#This Row],[F1]]*HC[[#This Row],[Ap (m²)]]+HC[[#This Row],[U (m)]]/HC[[#This Row],[F2]]*SUMIFS(HC[(α∙K∙NL∙ΔL)],HC[Prof. (m)],"&lt;="&amp;HC[[#This Row],[Prof. (m)]],HC[idDiâmetro],HC[[#This Row],[idDiâmetro]],HC[idPilar],HC[[#This Row],[idPilar]]))/'DADOS CAP. CARGA'!$D$2)</f>
        <v>679.51470999902131</v>
      </c>
      <c r="Q57" s="12">
        <f>INDEX(C_alpha_beta[],MATCH(HC[[#This Row],[Solo]],C_alpha_beta[Solo],0),MATCH(HC[[#Headers],[C (kPa)]],C_alpha_beta[#Headers],0))</f>
        <v>400</v>
      </c>
      <c r="R57" s="4">
        <f>INDEX(C_alpha_beta[],MATCH(HC[[#This Row],[Solo]],C_alpha_beta[Solo],0),MATCH(HC[[#Headers],[α ESF]],C_alpha_beta[#Headers],0))</f>
        <v>0.5</v>
      </c>
      <c r="S57" s="4">
        <f>INDEX(C_alpha_beta[],MATCH(HC[[#This Row],[Solo]],C_alpha_beta[Solo],0),MATCH(HC[[#Headers],[β ESF]],C_alpha_beta[#Headers],0))</f>
        <v>0.5</v>
      </c>
      <c r="T57" s="4">
        <f>IF(HC[[#This Row],[Prof. (m)]]=0,0,10*(HC[[#This Row],[NSPT]]/3+1))</f>
        <v>116.66666666666666</v>
      </c>
      <c r="U57" s="4">
        <f>(HC[[#This Row],[α ESF]]*HC[[#This Row],[C (kPa)]]*HC[[#This Row],[NSPT]]*HC[[#This Row],[Ap (m²)]])/'DADOS CAP. CARGA'!$Q$2+(HC[[#This Row],[β ESF]]*SUMIFS(HC[10∙(NL/3+1)],HC[Prof. (m)],"&lt;="&amp;HC[[#This Row],[Prof. (m)]],HC[idDiâmetro],HC[[#This Row],[idDiâmetro]],HC[idPilar],HC[[#This Row],[idPilar]])*HC[[#This Row],[U (m)]])/'DADOS CAP. CARGA'!$S$2</f>
        <v>238.76104167282426</v>
      </c>
      <c r="V57" s="4">
        <f>IF(SPT!$M$5=1,MIN(HC[[#This Row],[Pe HC (kN)]],HC[[#This Row],[R_AV (kN)]]),IF(SPT!$M$5=2,MIN(HC[[#This Row],[Pe HC (kN)]],HC[[#This Row],[R_DC (kN)]]),MIN(HC[[#This Row],[Pe HC (kN)]],HC[[#This Row],[R_AV (kN)]],HC[[#This Row],[R_DC (kN)]])))</f>
        <v>238.76104167282426</v>
      </c>
      <c r="W57" s="4">
        <f>INDEX(PILARES[],HC[[#This Row],[idPilar]],MATCH("Carga (kN)",PILARES[#Headers],0))*1.4</f>
        <v>1750</v>
      </c>
      <c r="X57" s="12">
        <f>INDEX(PILARES[],HC[[#This Row],[idPilar]],MATCH(HC[[#Headers],[ap (cm)]],PILARES[#Headers],0))</f>
        <v>50</v>
      </c>
      <c r="Y57" s="12">
        <f>INDEX(PILARES[],HC[[#This Row],[idPilar]],MATCH(HC[[#Headers],[bp (cm)]],PILARES[#Headers],0))</f>
        <v>40</v>
      </c>
      <c r="Z57" s="4">
        <f>SQRT(HC[[#This Row],[ap (cm)]]*HC[[#This Row],[bp (cm)]])</f>
        <v>44.721359549995796</v>
      </c>
      <c r="AA57" s="12">
        <f>HC[[#This Row],[ap (cm)]]*HC[[#This Row],[bp (cm)]]</f>
        <v>2000</v>
      </c>
      <c r="AB57" s="12">
        <f ca="1">IF(HC[[#This Row],[Padm∙ε (kN)]]&gt;=HC[[#This Row],[Padm (kN)]],ROUNDUP(1.05*HC[[#This Row],[Nsd (kN)]]/HC[[#This Row],[Padm (kN)]],0),ROUNDUP(1.05*HC[[#This Row],[Nsd (kN)]]/HC[[#This Row],[Padm (kN)]],0)+1)</f>
        <v>8</v>
      </c>
      <c r="AC57" s="4" t="str">
        <f ca="1">IFERROR(IF(HC[[#This Row],[nE]]=1,HC[[#This Row],[Padm (kN)]],HC[[#This Row],[Padm (kN)]]*HC[[#This Row],[nE]]*INDEX(grupoEstacas[],HC[[#This Row],[nE]],MATCH("ε",grupoEstacas[#Headers],0))),"N.S.")</f>
        <v>N.S.</v>
      </c>
      <c r="AD57" s="4">
        <f ca="1">1.05*HC[[#This Row],[Nsd (kN)]]/(HC[[#This Row],[nE]]*PI()*HC[[#This Row],[Ø (cm)]]^2/4)*10</f>
        <v>3.24941342145953</v>
      </c>
      <c r="AE57" s="4">
        <f ca="1">IF(HC[[#This Row],[σ (MPa)]]&lt;INDEX(tipoEstaca[],MATCH($D$2,tipoEstaca[TIPO DE ESTACA],0),MATCH("σmáx (MPa)",tipoEstaca[#Headers],0)),0.4%*PI()*HC[[#This Row],[Ø (cm)]]^2/4,"N.S.")</f>
        <v>2.8274333882308138</v>
      </c>
      <c r="AF57" s="1">
        <f>INDEX(tipoEstaca[],MATCH($D$2,tipoEstaca[TIPO DE ESTACA],0),MATCH(HC[[#Headers],[Comprimento (m)]],tipoEstaca[#Headers],0))</f>
        <v>4</v>
      </c>
      <c r="AG57" s="5">
        <f ca="1">HC[[#This Row],[As,mín (cm²)]]/100^2*HC[[#This Row],[Comprimento (m)]]*7850</f>
        <v>8.8781408390447556</v>
      </c>
      <c r="AH57" s="4">
        <f ca="1">HC[[#This Row],[nE]]*HC[[#This Row],[Prof. (m)]]*HC[[#This Row],[Ap (m²)]]</f>
        <v>5.6548667764616276</v>
      </c>
      <c r="AI57" s="1">
        <f ca="1">IF(HC[[#This Row],[nE]]=1,0,MAX(3*HC[[#This Row],[Ø (cm)]],60))</f>
        <v>90</v>
      </c>
      <c r="AJ57" s="1">
        <f ca="1">IF(HC[[#This Row],[nE]]=1,HC[[#This Row],[Ø (cm)]]+2*10,MAX(1.5*HC[[#This Row],[Ø (cm)]],HC[[#This Row],[Ø (cm)]]+15))</f>
        <v>45</v>
      </c>
      <c r="AK57" s="1" t="str">
        <f ca="1">alturaUtil(HC[[#This Row],[nE]],HC[[#This Row],[Ø (cm)]],HC[[#This Row],[e (cm)]],HC[[#This Row],[ap,eq (cm)]])</f>
        <v>N.S.</v>
      </c>
      <c r="AL57" s="1" t="str">
        <f ca="1">IFERROR(HC[[#This Row],[d (cm)]]+arredondarParaCimaMultiplo5cm(MAX(5,SQRT(PI())/2*HC[[#This Row],[Ø (cm)]]/5)),"N.S.")</f>
        <v>N.S.</v>
      </c>
      <c r="AM57" s="5" t="str">
        <f ca="1">alpha(HC[[#This Row],[nE]],HC[[#This Row],[d (cm)]],HC[[#This Row],[e (cm)]],HC[[#This Row],[ap,eq (cm)]])</f>
        <v>N.S.</v>
      </c>
      <c r="AN57" s="35" t="str">
        <f ca="1">IFERROR(HC[[#This Row],[Nsd (kN)]]/(HC[[#This Row],[Ap (cm²)]]*SIN(HC[[#This Row],[α]])^2),"N.S.")</f>
        <v>N.S.</v>
      </c>
      <c r="AO57" s="35" t="str">
        <f ca="1">IFERROR(HC[[#This Row],[Nsd (kN)]]/(HC[[#This Row],[nE]]*PI()*HC[[#This Row],[Ø (cm)]]^2/4*SIN(HC[[#This Row],[α]])^2),"N.S.")</f>
        <v>N.S.</v>
      </c>
      <c r="AP57" s="4" t="str">
        <f ca="1">IFERROR(INDEX(grupoEstacas[],HC[[#This Row],[nE]],MATCH("coef. Blévot",grupoEstacas[#Headers],0)),"N.S.")</f>
        <v>N.S.</v>
      </c>
      <c r="AQ57" s="35" t="str">
        <f ca="1">IFERROR(HC[[#This Row],[coef. Blévot]]*0.9*INDEX(tipoEstaca[],MATCH($D$2,tipoEstaca[TIPO DE ESTACA],0),MATCH("fcd (kN/cm²)",tipoEstaca[#Headers],0)),"N.S.")</f>
        <v>N.S.</v>
      </c>
      <c r="AR57" s="1" t="str">
        <f ca="1">IF(AND(HC[[#This Row],[cd,b,pil (kN/cm²)]]&lt;=HC[[#This Row],[cd,b,lim (kN/cm²)]],HC[[#This Row],[cd,b,est (kN/cm²)]]&lt;=HC[[#This Row],[cd,b,lim (kN/cm²)]]),"OK","ERRO")</f>
        <v>OK</v>
      </c>
      <c r="AS57" s="4" t="str">
        <f ca="1">As_lado(HC[[#This Row],[nE]],HC[[#This Row],[Nsd (kN)]],HC[[#This Row],[d (cm)]],HC[[#This Row],[e (cm)]],HC[[#This Row],[ap,eq (cm)]])</f>
        <v>N.S.</v>
      </c>
      <c r="AT57" s="4" t="str">
        <f ca="1">IF(HC[[#This Row],[nE]]=1,HC[[#This Row],[As,lado (cm²)]],IF(HC[[#This Row],[nE]]=2,0.075*2*HC[a (cm)],"N.A."))</f>
        <v>N.A.</v>
      </c>
      <c r="AU57" s="4" t="str">
        <f ca="1">IFERROR(IF(HC[[#This Row],[nE]]=1,"N.A.",0.2*HC[[#This Row],[As,lado (cm²)]]),"N.S.")</f>
        <v>N.S.</v>
      </c>
      <c r="AV57" s="4" t="str">
        <f ca="1">As_malha(HC[[#This Row],[nE]],HC[[#This Row],[As,lado (cm²)]],HC[[#This Row],[Nsd (kN)]])</f>
        <v>N.S.</v>
      </c>
      <c r="AW57" s="4" t="str">
        <f ca="1">As_susp_tot(HC[[#This Row],[nE]],HC[[#This Row],[Nsd (kN)]])</f>
        <v>N.S.</v>
      </c>
      <c r="AX57" s="4" t="str">
        <f ca="1">Asp_face(HC[[#This Row],[nE]],HC[[#This Row],[As,lado (cm²)]])</f>
        <v>N.S.</v>
      </c>
      <c r="AY57" s="5" t="str">
        <f ca="1">acoBloco(HC[[#This Row],[nE]],HC[[#This Row],[e (cm)]],HC[[#This Row],[a (cm)]],HC[[#This Row],[h (cm)]],HC[[#This Row],[As,lado (cm²)]],HC[[#This Row],[Asp e Asw (cm²/m)]],HC[[#This Row],[As,sup (cm²)]],HC[[#This Row],[As,malha (cm²)]],HC[[#This Row],[As,susp,tot (cm²)]],HC[[#This Row],[Asp,face (cm²)]])</f>
        <v>N.S.</v>
      </c>
      <c r="AZ57" s="4" t="str">
        <f ca="1">concretoBloco(HC[[#This Row],[nE]],HC[[#This Row],[e (cm)]],HC[[#This Row],[a (cm)]],HC[[#This Row],[h (cm)]])</f>
        <v>N.S.</v>
      </c>
      <c r="BA57" s="5">
        <f ca="1">SUM(HC[[#This Row],[Aço Est (kg)]],HC[[#This Row],[Aço Bloco (kg)]])</f>
        <v>8.8781408390447556</v>
      </c>
      <c r="BB57" s="4">
        <f>INDEX(composicoes[],MATCH(95580,composicoes[CÓDIGO],0),MATCH("CUSTO TOTAL",composicoes[#Headers],0))</f>
        <v>10.46</v>
      </c>
      <c r="BC57" s="4">
        <f ca="1">SUM(HC[[#This Row],[Conc Est (m³)]],HC[[#This Row],[Conc Bloco (m³)]])</f>
        <v>5.6548667764616276</v>
      </c>
      <c r="BD57" s="4">
        <f>INDEX(composicoes[],MATCH(94966,composicoes[CÓDIGO],0),MATCH("CUSTO TOTAL",composicoes[#Headers],0))</f>
        <v>439.52</v>
      </c>
      <c r="BE57" s="38">
        <f ca="1">HC[[#This Row],[Aço (kg)]]*HC[[#This Row],[Aço (R$/kg)]]+HC[[#This Row],[Conc (m³)]]*HC[[#This Row],[Conc (R$/m³)]]</f>
        <v>2578.2923987668223</v>
      </c>
      <c r="BF57" s="4" t="str">
        <f ca="1">IF(COUNTIF(HC[#This Row],"N.S.")&gt;0,"lim.","OK")</f>
        <v>lim.</v>
      </c>
      <c r="BG57" s="4" t="str">
        <f>IF(HC[[#This Row],[Prof. (m)]]&lt;4,"lim.","OK")</f>
        <v>OK</v>
      </c>
      <c r="BH57" s="4" t="str">
        <f>IF(HC[[#This Row],[Prof. (m)]]&gt;=8*HC[[#This Row],[Ø (cm)]]/100,"OK","lim.")</f>
        <v>OK</v>
      </c>
      <c r="BI57" s="4" t="str">
        <f ca="1">IF(HC[[#This Row],[Verif. Biela]]="OK","OK","lim.")</f>
        <v>OK</v>
      </c>
      <c r="BJ57" s="4" t="str">
        <f ca="1">IF(COUNTA(HC[[#This Row],[Nº Est.]:[Biela comp.]])=COUNTIF(HC[[#This Row],[Nº Est.]:[Biela comp.]],"OK"),"OK","lim.")</f>
        <v>lim.</v>
      </c>
      <c r="BK57" s="4" t="str">
        <f ca="1">IF(HC[[#This Row],[Controle]]="OK",HC[[#This Row],[nE]]&amp;" Ø"&amp;HC[[#This Row],[Ø (cm)]]&amp;"cm Prof. "&amp;HC[[#This Row],[Prof. (m)]]&amp;" m","")</f>
        <v/>
      </c>
      <c r="BL57" s="4" t="str">
        <f ca="1">IF(HC[[#This Row],[idDimensionamento]]="","",HC[[#This Row],[idPilar]]&amp;HC[[#This Row],[idDimensionamento]])</f>
        <v/>
      </c>
    </row>
    <row r="58" spans="2:64" x14ac:dyDescent="0.25">
      <c r="B58" s="12">
        <f>ROUNDUP((ROW(HC[[#This Row],[idDiâmetro]])-ROW(HC[[#Headers],[idDiâmetro]]))/(COUNT(SPT[Prof. (m)])*COUNT(PILARES[Pilar])),0)</f>
        <v>2</v>
      </c>
      <c r="C58" s="12">
        <f>IF(HC[[#This Row],[idDiâmetro]]&lt;&gt;B57,1,IF(HC[[#This Row],[Prof. (m)]]=0,C57+1,C57))</f>
        <v>2</v>
      </c>
      <c r="D58" s="1">
        <f>IFERROR(IF(D57=MAX(SPT[Prof. (m)]),0,D57+1),0)</f>
        <v>11</v>
      </c>
      <c r="E58" s="1">
        <f>INDEX(SPT[],MATCH(HC[[#This Row],[Prof. (m)]],SPT[Prof. (m)],0),2)</f>
        <v>41</v>
      </c>
      <c r="F58" s="1" t="str">
        <f>INDEX(SPT[],MATCH(HC[[#This Row],[Prof. (m)]],SPT[Prof. (m)],0),3)</f>
        <v>Areia siltosa</v>
      </c>
      <c r="G58" s="1">
        <f>INDEX(estacas[],HC[[#This Row],[idDiâmetro]],MATCH($B$2,estacas[#Headers],0))</f>
        <v>30</v>
      </c>
      <c r="H58" s="1">
        <f>INDEX(estacas[],MATCH(HC[[#This Row],[Ø (cm)]],estacas[Ø HC (cm)],0),MATCH(HC[[#Headers],[Pe HC (kN)]],estacas[#Headers],0))</f>
        <v>450</v>
      </c>
      <c r="I58" s="4">
        <f>INDEX(K_alpha_C[],MATCH(HC[[#This Row],[Solo]],K_alpha_C[Solo],0),2)</f>
        <v>0.8</v>
      </c>
      <c r="J58" s="5">
        <f>INDEX(K_alpha_C[],MATCH(HC[[#This Row],[Solo]],K_alpha_C[Solo],0),3)</f>
        <v>2</v>
      </c>
      <c r="K58" s="4">
        <f>INDEX(F1_F2[],MATCH($D$2,F1_F2[Tipo de estaca],0),2)</f>
        <v>2</v>
      </c>
      <c r="L58" s="4">
        <f>INDEX(F1_F2[],MATCH($D$2,F1_F2[Tipo de estaca],0),3)</f>
        <v>4</v>
      </c>
      <c r="M58" s="4">
        <f>PI()*(HC[[#This Row],[Ø (cm)]]/100)^2/4</f>
        <v>7.0685834705770348E-2</v>
      </c>
      <c r="N58" s="4">
        <f>PI()*HC[[#This Row],[Ø (cm)]]/100</f>
        <v>0.94247779607693782</v>
      </c>
      <c r="O58" s="4">
        <f>IF(HC[[#This Row],[Prof. (m)]]=0,0,HC[[#This Row],[α (%)]]/100*HC[[#This Row],[K (MPa)]]*1000*HC[[#This Row],[NSPT]])</f>
        <v>656</v>
      </c>
      <c r="P58" s="4">
        <f>IF(HC[[#This Row],[Prof. (m)]]=0,0,(HC[[#This Row],[K (MPa)]]*1000*HC[[#This Row],[NSPT]]/HC[[#This Row],[F1]]*HC[[#This Row],[Ap (m²)]]+HC[[#This Row],[U (m)]]/HC[[#This Row],[F2]]*SUMIFS(HC[(α∙K∙NL∙ΔL)],HC[Prof. (m)],"&lt;="&amp;HC[[#This Row],[Prof. (m)]],HC[idDiâmetro],HC[[#This Row],[idDiâmetro]],HC[idPilar],HC[[#This Row],[idPilar]]))/'DADOS CAP. CARGA'!$D$2)</f>
        <v>884.03239174771682</v>
      </c>
      <c r="Q58" s="12">
        <f>INDEX(C_alpha_beta[],MATCH(HC[[#This Row],[Solo]],C_alpha_beta[Solo],0),MATCH(HC[[#Headers],[C (kPa)]],C_alpha_beta[#Headers],0))</f>
        <v>400</v>
      </c>
      <c r="R58" s="4">
        <f>INDEX(C_alpha_beta[],MATCH(HC[[#This Row],[Solo]],C_alpha_beta[Solo],0),MATCH(HC[[#Headers],[α ESF]],C_alpha_beta[#Headers],0))</f>
        <v>0.5</v>
      </c>
      <c r="S58" s="4">
        <f>INDEX(C_alpha_beta[],MATCH(HC[[#This Row],[Solo]],C_alpha_beta[Solo],0),MATCH(HC[[#Headers],[β ESF]],C_alpha_beta[#Headers],0))</f>
        <v>0.5</v>
      </c>
      <c r="T58" s="4">
        <f>IF(HC[[#This Row],[Prof. (m)]]=0,0,10*(HC[[#This Row],[NSPT]]/3+1))</f>
        <v>146.66666666666666</v>
      </c>
      <c r="U58" s="4">
        <f>(HC[[#This Row],[α ESF]]*HC[[#This Row],[C (kPa)]]*HC[[#This Row],[NSPT]]*HC[[#This Row],[Ap (m²)]])/'DADOS CAP. CARGA'!$Q$2+(HC[[#This Row],[β ESF]]*SUMIFS(HC[10∙(NL/3+1)],HC[Prof. (m)],"&lt;="&amp;HC[[#This Row],[Prof. (m)]],HC[idDiâmetro],HC[[#This Row],[idDiâmetro]],HC[idPilar],HC[[#This Row],[idPilar]])*HC[[#This Row],[U (m)]])/'DADOS CAP. CARGA'!$S$2</f>
        <v>305.12718647990863</v>
      </c>
      <c r="V58" s="4">
        <f>IF(SPT!$M$5=1,MIN(HC[[#This Row],[Pe HC (kN)]],HC[[#This Row],[R_AV (kN)]]),IF(SPT!$M$5=2,MIN(HC[[#This Row],[Pe HC (kN)]],HC[[#This Row],[R_DC (kN)]]),MIN(HC[[#This Row],[Pe HC (kN)]],HC[[#This Row],[R_AV (kN)]],HC[[#This Row],[R_DC (kN)]])))</f>
        <v>305.12718647990863</v>
      </c>
      <c r="W58" s="4">
        <f>INDEX(PILARES[],HC[[#This Row],[idPilar]],MATCH("Carga (kN)",PILARES[#Headers],0))*1.4</f>
        <v>1750</v>
      </c>
      <c r="X58" s="12">
        <f>INDEX(PILARES[],HC[[#This Row],[idPilar]],MATCH(HC[[#Headers],[ap (cm)]],PILARES[#Headers],0))</f>
        <v>50</v>
      </c>
      <c r="Y58" s="12">
        <f>INDEX(PILARES[],HC[[#This Row],[idPilar]],MATCH(HC[[#Headers],[bp (cm)]],PILARES[#Headers],0))</f>
        <v>40</v>
      </c>
      <c r="Z58" s="4">
        <f>SQRT(HC[[#This Row],[ap (cm)]]*HC[[#This Row],[bp (cm)]])</f>
        <v>44.721359549995796</v>
      </c>
      <c r="AA58" s="12">
        <f>HC[[#This Row],[ap (cm)]]*HC[[#This Row],[bp (cm)]]</f>
        <v>2000</v>
      </c>
      <c r="AB58" s="12">
        <f ca="1">IF(HC[[#This Row],[Padm∙ε (kN)]]&gt;=HC[[#This Row],[Padm (kN)]],ROUNDUP(1.05*HC[[#This Row],[Nsd (kN)]]/HC[[#This Row],[Padm (kN)]],0),ROUNDUP(1.05*HC[[#This Row],[Nsd (kN)]]/HC[[#This Row],[Padm (kN)]],0)+1)</f>
        <v>7</v>
      </c>
      <c r="AC58" s="4" t="str">
        <f ca="1">IFERROR(IF(HC[[#This Row],[nE]]=1,HC[[#This Row],[Padm (kN)]],HC[[#This Row],[Padm (kN)]]*HC[[#This Row],[nE]]*INDEX(grupoEstacas[],HC[[#This Row],[nE]],MATCH("ε",grupoEstacas[#Headers],0))),"N.S.")</f>
        <v>N.S.</v>
      </c>
      <c r="AD58" s="4">
        <f ca="1">1.05*HC[[#This Row],[Nsd (kN)]]/(HC[[#This Row],[nE]]*PI()*HC[[#This Row],[Ø (cm)]]^2/4)*10</f>
        <v>3.7136153388108912</v>
      </c>
      <c r="AE58" s="4">
        <f ca="1">IF(HC[[#This Row],[σ (MPa)]]&lt;INDEX(tipoEstaca[],MATCH($D$2,tipoEstaca[TIPO DE ESTACA],0),MATCH("σmáx (MPa)",tipoEstaca[#Headers],0)),0.4%*PI()*HC[[#This Row],[Ø (cm)]]^2/4,"N.S.")</f>
        <v>2.8274333882308138</v>
      </c>
      <c r="AF58" s="1">
        <f>INDEX(tipoEstaca[],MATCH($D$2,tipoEstaca[TIPO DE ESTACA],0),MATCH(HC[[#Headers],[Comprimento (m)]],tipoEstaca[#Headers],0))</f>
        <v>4</v>
      </c>
      <c r="AG58" s="5">
        <f ca="1">HC[[#This Row],[As,mín (cm²)]]/100^2*HC[[#This Row],[Comprimento (m)]]*7850</f>
        <v>8.8781408390447556</v>
      </c>
      <c r="AH58" s="4">
        <f ca="1">HC[[#This Row],[nE]]*HC[[#This Row],[Prof. (m)]]*HC[[#This Row],[Ap (m²)]]</f>
        <v>5.4428092723443164</v>
      </c>
      <c r="AI58" s="1">
        <f ca="1">IF(HC[[#This Row],[nE]]=1,0,MAX(3*HC[[#This Row],[Ø (cm)]],60))</f>
        <v>90</v>
      </c>
      <c r="AJ58" s="1">
        <f ca="1">IF(HC[[#This Row],[nE]]=1,HC[[#This Row],[Ø (cm)]]+2*10,MAX(1.5*HC[[#This Row],[Ø (cm)]],HC[[#This Row],[Ø (cm)]]+15))</f>
        <v>45</v>
      </c>
      <c r="AK58" s="1" t="str">
        <f ca="1">alturaUtil(HC[[#This Row],[nE]],HC[[#This Row],[Ø (cm)]],HC[[#This Row],[e (cm)]],HC[[#This Row],[ap,eq (cm)]])</f>
        <v>N.S.</v>
      </c>
      <c r="AL58" s="1" t="str">
        <f ca="1">IFERROR(HC[[#This Row],[d (cm)]]+arredondarParaCimaMultiplo5cm(MAX(5,SQRT(PI())/2*HC[[#This Row],[Ø (cm)]]/5)),"N.S.")</f>
        <v>N.S.</v>
      </c>
      <c r="AM58" s="5" t="str">
        <f ca="1">alpha(HC[[#This Row],[nE]],HC[[#This Row],[d (cm)]],HC[[#This Row],[e (cm)]],HC[[#This Row],[ap,eq (cm)]])</f>
        <v>N.S.</v>
      </c>
      <c r="AN58" s="35" t="str">
        <f ca="1">IFERROR(HC[[#This Row],[Nsd (kN)]]/(HC[[#This Row],[Ap (cm²)]]*SIN(HC[[#This Row],[α]])^2),"N.S.")</f>
        <v>N.S.</v>
      </c>
      <c r="AO58" s="35" t="str">
        <f ca="1">IFERROR(HC[[#This Row],[Nsd (kN)]]/(HC[[#This Row],[nE]]*PI()*HC[[#This Row],[Ø (cm)]]^2/4*SIN(HC[[#This Row],[α]])^2),"N.S.")</f>
        <v>N.S.</v>
      </c>
      <c r="AP58" s="4" t="str">
        <f ca="1">IFERROR(INDEX(grupoEstacas[],HC[[#This Row],[nE]],MATCH("coef. Blévot",grupoEstacas[#Headers],0)),"N.S.")</f>
        <v>N.S.</v>
      </c>
      <c r="AQ58" s="35" t="str">
        <f ca="1">IFERROR(HC[[#This Row],[coef. Blévot]]*0.9*INDEX(tipoEstaca[],MATCH($D$2,tipoEstaca[TIPO DE ESTACA],0),MATCH("fcd (kN/cm²)",tipoEstaca[#Headers],0)),"N.S.")</f>
        <v>N.S.</v>
      </c>
      <c r="AR58" s="1" t="str">
        <f ca="1">IF(AND(HC[[#This Row],[cd,b,pil (kN/cm²)]]&lt;=HC[[#This Row],[cd,b,lim (kN/cm²)]],HC[[#This Row],[cd,b,est (kN/cm²)]]&lt;=HC[[#This Row],[cd,b,lim (kN/cm²)]]),"OK","ERRO")</f>
        <v>OK</v>
      </c>
      <c r="AS58" s="4" t="str">
        <f ca="1">As_lado(HC[[#This Row],[nE]],HC[[#This Row],[Nsd (kN)]],HC[[#This Row],[d (cm)]],HC[[#This Row],[e (cm)]],HC[[#This Row],[ap,eq (cm)]])</f>
        <v>N.S.</v>
      </c>
      <c r="AT58" s="4" t="str">
        <f ca="1">IF(HC[[#This Row],[nE]]=1,HC[[#This Row],[As,lado (cm²)]],IF(HC[[#This Row],[nE]]=2,0.075*2*HC[a (cm)],"N.A."))</f>
        <v>N.A.</v>
      </c>
      <c r="AU58" s="4" t="str">
        <f ca="1">IFERROR(IF(HC[[#This Row],[nE]]=1,"N.A.",0.2*HC[[#This Row],[As,lado (cm²)]]),"N.S.")</f>
        <v>N.S.</v>
      </c>
      <c r="AV58" s="4" t="str">
        <f ca="1">As_malha(HC[[#This Row],[nE]],HC[[#This Row],[As,lado (cm²)]],HC[[#This Row],[Nsd (kN)]])</f>
        <v>N.S.</v>
      </c>
      <c r="AW58" s="4" t="str">
        <f ca="1">As_susp_tot(HC[[#This Row],[nE]],HC[[#This Row],[Nsd (kN)]])</f>
        <v>N.S.</v>
      </c>
      <c r="AX58" s="4" t="str">
        <f ca="1">Asp_face(HC[[#This Row],[nE]],HC[[#This Row],[As,lado (cm²)]])</f>
        <v>N.S.</v>
      </c>
      <c r="AY58" s="5" t="str">
        <f ca="1">acoBloco(HC[[#This Row],[nE]],HC[[#This Row],[e (cm)]],HC[[#This Row],[a (cm)]],HC[[#This Row],[h (cm)]],HC[[#This Row],[As,lado (cm²)]],HC[[#This Row],[Asp e Asw (cm²/m)]],HC[[#This Row],[As,sup (cm²)]],HC[[#This Row],[As,malha (cm²)]],HC[[#This Row],[As,susp,tot (cm²)]],HC[[#This Row],[Asp,face (cm²)]])</f>
        <v>N.S.</v>
      </c>
      <c r="AZ58" s="4" t="str">
        <f ca="1">concretoBloco(HC[[#This Row],[nE]],HC[[#This Row],[e (cm)]],HC[[#This Row],[a (cm)]],HC[[#This Row],[h (cm)]])</f>
        <v>N.S.</v>
      </c>
      <c r="BA58" s="5">
        <f ca="1">SUM(HC[[#This Row],[Aço Est (kg)]],HC[[#This Row],[Aço Bloco (kg)]])</f>
        <v>8.8781408390447556</v>
      </c>
      <c r="BB58" s="4">
        <f>INDEX(composicoes[],MATCH(95580,composicoes[CÓDIGO],0),MATCH("CUSTO TOTAL",composicoes[#Headers],0))</f>
        <v>10.46</v>
      </c>
      <c r="BC58" s="4">
        <f ca="1">SUM(HC[[#This Row],[Conc Est (m³)]],HC[[#This Row],[Conc Bloco (m³)]])</f>
        <v>5.4428092723443164</v>
      </c>
      <c r="BD58" s="4">
        <f>INDEX(composicoes[],MATCH(94966,composicoes[CÓDIGO],0),MATCH("CUSTO TOTAL",composicoes[#Headers],0))</f>
        <v>439.52</v>
      </c>
      <c r="BE58" s="38">
        <f ca="1">HC[[#This Row],[Aço (kg)]]*HC[[#This Row],[Aço (R$/kg)]]+HC[[#This Row],[Conc (m³)]]*HC[[#This Row],[Conc (R$/m³)]]</f>
        <v>2485.0888845571817</v>
      </c>
      <c r="BF58" s="4" t="str">
        <f ca="1">IF(COUNTIF(HC[#This Row],"N.S.")&gt;0,"lim.","OK")</f>
        <v>lim.</v>
      </c>
      <c r="BG58" s="4" t="str">
        <f>IF(HC[[#This Row],[Prof. (m)]]&lt;4,"lim.","OK")</f>
        <v>OK</v>
      </c>
      <c r="BH58" s="4" t="str">
        <f>IF(HC[[#This Row],[Prof. (m)]]&gt;=8*HC[[#This Row],[Ø (cm)]]/100,"OK","lim.")</f>
        <v>OK</v>
      </c>
      <c r="BI58" s="4" t="str">
        <f ca="1">IF(HC[[#This Row],[Verif. Biela]]="OK","OK","lim.")</f>
        <v>OK</v>
      </c>
      <c r="BJ58" s="4" t="str">
        <f ca="1">IF(COUNTA(HC[[#This Row],[Nº Est.]:[Biela comp.]])=COUNTIF(HC[[#This Row],[Nº Est.]:[Biela comp.]],"OK"),"OK","lim.")</f>
        <v>lim.</v>
      </c>
      <c r="BK58" s="4" t="str">
        <f ca="1">IF(HC[[#This Row],[Controle]]="OK",HC[[#This Row],[nE]]&amp;" Ø"&amp;HC[[#This Row],[Ø (cm)]]&amp;"cm Prof. "&amp;HC[[#This Row],[Prof. (m)]]&amp;" m","")</f>
        <v/>
      </c>
      <c r="BL58" s="4" t="str">
        <f ca="1">IF(HC[[#This Row],[idDimensionamento]]="","",HC[[#This Row],[idPilar]]&amp;HC[[#This Row],[idDimensionamento]])</f>
        <v/>
      </c>
    </row>
    <row r="59" spans="2:64" x14ac:dyDescent="0.25">
      <c r="B59" s="12">
        <f>ROUNDUP((ROW(HC[[#This Row],[idDiâmetro]])-ROW(HC[[#Headers],[idDiâmetro]]))/(COUNT(SPT[Prof. (m)])*COUNT(PILARES[Pilar])),0)</f>
        <v>2</v>
      </c>
      <c r="C59" s="12">
        <f>IF(HC[[#This Row],[idDiâmetro]]&lt;&gt;B58,1,IF(HC[[#This Row],[Prof. (m)]]=0,C58+1,C58))</f>
        <v>2</v>
      </c>
      <c r="D59" s="1">
        <f>IFERROR(IF(D58=MAX(SPT[Prof. (m)]),0,D58+1),0)</f>
        <v>12</v>
      </c>
      <c r="E59" s="1">
        <f>INDEX(SPT[],MATCH(HC[[#This Row],[Prof. (m)]],SPT[Prof. (m)],0),2)</f>
        <v>52</v>
      </c>
      <c r="F59" s="1" t="str">
        <f>INDEX(SPT[],MATCH(HC[[#This Row],[Prof. (m)]],SPT[Prof. (m)],0),3)</f>
        <v>Areia siltosa</v>
      </c>
      <c r="G59" s="1">
        <f>INDEX(estacas[],HC[[#This Row],[idDiâmetro]],MATCH($B$2,estacas[#Headers],0))</f>
        <v>30</v>
      </c>
      <c r="H59" s="1">
        <f>INDEX(estacas[],MATCH(HC[[#This Row],[Ø (cm)]],estacas[Ø HC (cm)],0),MATCH(HC[[#Headers],[Pe HC (kN)]],estacas[#Headers],0))</f>
        <v>450</v>
      </c>
      <c r="I59" s="4">
        <f>INDEX(K_alpha_C[],MATCH(HC[[#This Row],[Solo]],K_alpha_C[Solo],0),2)</f>
        <v>0.8</v>
      </c>
      <c r="J59" s="5">
        <f>INDEX(K_alpha_C[],MATCH(HC[[#This Row],[Solo]],K_alpha_C[Solo],0),3)</f>
        <v>2</v>
      </c>
      <c r="K59" s="4">
        <f>INDEX(F1_F2[],MATCH($D$2,F1_F2[Tipo de estaca],0),2)</f>
        <v>2</v>
      </c>
      <c r="L59" s="4">
        <f>INDEX(F1_F2[],MATCH($D$2,F1_F2[Tipo de estaca],0),3)</f>
        <v>4</v>
      </c>
      <c r="M59" s="4">
        <f>PI()*(HC[[#This Row],[Ø (cm)]]/100)^2/4</f>
        <v>7.0685834705770348E-2</v>
      </c>
      <c r="N59" s="4">
        <f>PI()*HC[[#This Row],[Ø (cm)]]/100</f>
        <v>0.94247779607693782</v>
      </c>
      <c r="O59" s="4">
        <f>IF(HC[[#This Row],[Prof. (m)]]=0,0,HC[[#This Row],[α (%)]]/100*HC[[#This Row],[K (MPa)]]*1000*HC[[#This Row],[NSPT]])</f>
        <v>832</v>
      </c>
      <c r="P59" s="4">
        <f>IF(HC[[#This Row],[Prof. (m)]]=0,0,(HC[[#This Row],[K (MPa)]]*1000*HC[[#This Row],[NSPT]]/HC[[#This Row],[F1]]*HC[[#This Row],[Ap (m²)]]+HC[[#This Row],[U (m)]]/HC[[#This Row],[F2]]*SUMIFS(HC[(α∙K∙NL∙ΔL)],HC[Prof. (m)],"&lt;="&amp;HC[[#This Row],[Prof. (m)]],HC[idDiâmetro],HC[[#This Row],[idDiâmetro]],HC[idPilar],HC[[#This Row],[idPilar]]))/'DADOS CAP. CARGA'!$D$2)</f>
        <v>1137.5589188924132</v>
      </c>
      <c r="Q59" s="12">
        <f>INDEX(C_alpha_beta[],MATCH(HC[[#This Row],[Solo]],C_alpha_beta[Solo],0),MATCH(HC[[#Headers],[C (kPa)]],C_alpha_beta[#Headers],0))</f>
        <v>400</v>
      </c>
      <c r="R59" s="4">
        <f>INDEX(C_alpha_beta[],MATCH(HC[[#This Row],[Solo]],C_alpha_beta[Solo],0),MATCH(HC[[#Headers],[α ESF]],C_alpha_beta[#Headers],0))</f>
        <v>0.5</v>
      </c>
      <c r="S59" s="4">
        <f>INDEX(C_alpha_beta[],MATCH(HC[[#This Row],[Solo]],C_alpha_beta[Solo],0),MATCH(HC[[#Headers],[β ESF]],C_alpha_beta[#Headers],0))</f>
        <v>0.5</v>
      </c>
      <c r="T59" s="4">
        <f>IF(HC[[#This Row],[Prof. (m)]]=0,0,10*(HC[[#This Row],[NSPT]]/3+1))</f>
        <v>183.33333333333331</v>
      </c>
      <c r="U59" s="4">
        <f>(HC[[#This Row],[α ESF]]*HC[[#This Row],[C (kPa)]]*HC[[#This Row],[NSPT]]*HC[[#This Row],[Ap (m²)]])/'DADOS CAP. CARGA'!$Q$2+(HC[[#This Row],[β ESF]]*SUMIFS(HC[10∙(NL/3+1)],HC[Prof. (m)],"&lt;="&amp;HC[[#This Row],[Prof. (m)]],HC[idDiâmetro],HC[[#This Row],[idDiâmetro]],HC[idPilar],HC[[#This Row],[idPilar]])*HC[[#This Row],[U (m)]])/'DADOS CAP. CARGA'!$S$2</f>
        <v>387.20129455494197</v>
      </c>
      <c r="V59" s="4">
        <f>IF(SPT!$M$5=1,MIN(HC[[#This Row],[Pe HC (kN)]],HC[[#This Row],[R_AV (kN)]]),IF(SPT!$M$5=2,MIN(HC[[#This Row],[Pe HC (kN)]],HC[[#This Row],[R_DC (kN)]]),MIN(HC[[#This Row],[Pe HC (kN)]],HC[[#This Row],[R_AV (kN)]],HC[[#This Row],[R_DC (kN)]])))</f>
        <v>387.20129455494197</v>
      </c>
      <c r="W59" s="4">
        <f>INDEX(PILARES[],HC[[#This Row],[idPilar]],MATCH("Carga (kN)",PILARES[#Headers],0))*1.4</f>
        <v>1750</v>
      </c>
      <c r="X59" s="12">
        <f>INDEX(PILARES[],HC[[#This Row],[idPilar]],MATCH(HC[[#Headers],[ap (cm)]],PILARES[#Headers],0))</f>
        <v>50</v>
      </c>
      <c r="Y59" s="12">
        <f>INDEX(PILARES[],HC[[#This Row],[idPilar]],MATCH(HC[[#Headers],[bp (cm)]],PILARES[#Headers],0))</f>
        <v>40</v>
      </c>
      <c r="Z59" s="4">
        <f>SQRT(HC[[#This Row],[ap (cm)]]*HC[[#This Row],[bp (cm)]])</f>
        <v>44.721359549995796</v>
      </c>
      <c r="AA59" s="12">
        <f>HC[[#This Row],[ap (cm)]]*HC[[#This Row],[bp (cm)]]</f>
        <v>2000</v>
      </c>
      <c r="AB59" s="12">
        <f ca="1">IF(HC[[#This Row],[Padm∙ε (kN)]]&gt;=HC[[#This Row],[Padm (kN)]],ROUNDUP(1.05*HC[[#This Row],[Nsd (kN)]]/HC[[#This Row],[Padm (kN)]],0),ROUNDUP(1.05*HC[[#This Row],[Nsd (kN)]]/HC[[#This Row],[Padm (kN)]],0)+1)</f>
        <v>5</v>
      </c>
      <c r="AC59" s="4" t="str">
        <f ca="1">IFERROR(IF(HC[[#This Row],[nE]]=1,HC[[#This Row],[Padm (kN)]],HC[[#This Row],[Padm (kN)]]*HC[[#This Row],[nE]]*INDEX(grupoEstacas[],HC[[#This Row],[nE]],MATCH("ε",grupoEstacas[#Headers],0))),"N.S.")</f>
        <v>N.S.</v>
      </c>
      <c r="AD59" s="4">
        <f ca="1">1.05*HC[[#This Row],[Nsd (kN)]]/(HC[[#This Row],[nE]]*PI()*HC[[#This Row],[Ø (cm)]]^2/4)*10</f>
        <v>5.1990614743352479</v>
      </c>
      <c r="AE59" s="4">
        <f ca="1">IF(HC[[#This Row],[σ (MPa)]]&lt;INDEX(tipoEstaca[],MATCH($D$2,tipoEstaca[TIPO DE ESTACA],0),MATCH("σmáx (MPa)",tipoEstaca[#Headers],0)),0.4%*PI()*HC[[#This Row],[Ø (cm)]]^2/4,"N.S.")</f>
        <v>2.8274333882308138</v>
      </c>
      <c r="AF59" s="1">
        <f>INDEX(tipoEstaca[],MATCH($D$2,tipoEstaca[TIPO DE ESTACA],0),MATCH(HC[[#Headers],[Comprimento (m)]],tipoEstaca[#Headers],0))</f>
        <v>4</v>
      </c>
      <c r="AG59" s="5">
        <f ca="1">HC[[#This Row],[As,mín (cm²)]]/100^2*HC[[#This Row],[Comprimento (m)]]*7850</f>
        <v>8.8781408390447556</v>
      </c>
      <c r="AH59" s="4">
        <f ca="1">HC[[#This Row],[nE]]*HC[[#This Row],[Prof. (m)]]*HC[[#This Row],[Ap (m²)]]</f>
        <v>4.2411500823462207</v>
      </c>
      <c r="AI59" s="1">
        <f ca="1">IF(HC[[#This Row],[nE]]=1,0,MAX(3*HC[[#This Row],[Ø (cm)]],60))</f>
        <v>90</v>
      </c>
      <c r="AJ59" s="1">
        <f ca="1">IF(HC[[#This Row],[nE]]=1,HC[[#This Row],[Ø (cm)]]+2*10,MAX(1.5*HC[[#This Row],[Ø (cm)]],HC[[#This Row],[Ø (cm)]]+15))</f>
        <v>45</v>
      </c>
      <c r="AK59" s="1" t="str">
        <f ca="1">alturaUtil(HC[[#This Row],[nE]],HC[[#This Row],[Ø (cm)]],HC[[#This Row],[e (cm)]],HC[[#This Row],[ap,eq (cm)]])</f>
        <v>N.S.</v>
      </c>
      <c r="AL59" s="1" t="str">
        <f ca="1">IFERROR(HC[[#This Row],[d (cm)]]+arredondarParaCimaMultiplo5cm(MAX(5,SQRT(PI())/2*HC[[#This Row],[Ø (cm)]]/5)),"N.S.")</f>
        <v>N.S.</v>
      </c>
      <c r="AM59" s="5" t="str">
        <f ca="1">alpha(HC[[#This Row],[nE]],HC[[#This Row],[d (cm)]],HC[[#This Row],[e (cm)]],HC[[#This Row],[ap,eq (cm)]])</f>
        <v>N.S.</v>
      </c>
      <c r="AN59" s="35" t="str">
        <f ca="1">IFERROR(HC[[#This Row],[Nsd (kN)]]/(HC[[#This Row],[Ap (cm²)]]*SIN(HC[[#This Row],[α]])^2),"N.S.")</f>
        <v>N.S.</v>
      </c>
      <c r="AO59" s="35" t="str">
        <f ca="1">IFERROR(HC[[#This Row],[Nsd (kN)]]/(HC[[#This Row],[nE]]*PI()*HC[[#This Row],[Ø (cm)]]^2/4*SIN(HC[[#This Row],[α]])^2),"N.S.")</f>
        <v>N.S.</v>
      </c>
      <c r="AP59" s="4" t="str">
        <f ca="1">IFERROR(INDEX(grupoEstacas[],HC[[#This Row],[nE]],MATCH("coef. Blévot",grupoEstacas[#Headers],0)),"N.S.")</f>
        <v>N.S.</v>
      </c>
      <c r="AQ59" s="35" t="str">
        <f ca="1">IFERROR(HC[[#This Row],[coef. Blévot]]*0.9*INDEX(tipoEstaca[],MATCH($D$2,tipoEstaca[TIPO DE ESTACA],0),MATCH("fcd (kN/cm²)",tipoEstaca[#Headers],0)),"N.S.")</f>
        <v>N.S.</v>
      </c>
      <c r="AR59" s="1" t="str">
        <f ca="1">IF(AND(HC[[#This Row],[cd,b,pil (kN/cm²)]]&lt;=HC[[#This Row],[cd,b,lim (kN/cm²)]],HC[[#This Row],[cd,b,est (kN/cm²)]]&lt;=HC[[#This Row],[cd,b,lim (kN/cm²)]]),"OK","ERRO")</f>
        <v>OK</v>
      </c>
      <c r="AS59" s="4" t="str">
        <f ca="1">As_lado(HC[[#This Row],[nE]],HC[[#This Row],[Nsd (kN)]],HC[[#This Row],[d (cm)]],HC[[#This Row],[e (cm)]],HC[[#This Row],[ap,eq (cm)]])</f>
        <v>N.S.</v>
      </c>
      <c r="AT59" s="4" t="str">
        <f ca="1">IF(HC[[#This Row],[nE]]=1,HC[[#This Row],[As,lado (cm²)]],IF(HC[[#This Row],[nE]]=2,0.075*2*HC[a (cm)],"N.A."))</f>
        <v>N.A.</v>
      </c>
      <c r="AU59" s="4" t="str">
        <f ca="1">IFERROR(IF(HC[[#This Row],[nE]]=1,"N.A.",0.2*HC[[#This Row],[As,lado (cm²)]]),"N.S.")</f>
        <v>N.S.</v>
      </c>
      <c r="AV59" s="4" t="str">
        <f ca="1">As_malha(HC[[#This Row],[nE]],HC[[#This Row],[As,lado (cm²)]],HC[[#This Row],[Nsd (kN)]])</f>
        <v>N.S.</v>
      </c>
      <c r="AW59" s="4" t="str">
        <f ca="1">As_susp_tot(HC[[#This Row],[nE]],HC[[#This Row],[Nsd (kN)]])</f>
        <v>N.S.</v>
      </c>
      <c r="AX59" s="4" t="str">
        <f ca="1">Asp_face(HC[[#This Row],[nE]],HC[[#This Row],[As,lado (cm²)]])</f>
        <v>N.S.</v>
      </c>
      <c r="AY59" s="5" t="str">
        <f ca="1">acoBloco(HC[[#This Row],[nE]],HC[[#This Row],[e (cm)]],HC[[#This Row],[a (cm)]],HC[[#This Row],[h (cm)]],HC[[#This Row],[As,lado (cm²)]],HC[[#This Row],[Asp e Asw (cm²/m)]],HC[[#This Row],[As,sup (cm²)]],HC[[#This Row],[As,malha (cm²)]],HC[[#This Row],[As,susp,tot (cm²)]],HC[[#This Row],[Asp,face (cm²)]])</f>
        <v>N.S.</v>
      </c>
      <c r="AZ59" s="4" t="str">
        <f ca="1">concretoBloco(HC[[#This Row],[nE]],HC[[#This Row],[e (cm)]],HC[[#This Row],[a (cm)]],HC[[#This Row],[h (cm)]])</f>
        <v>N.S.</v>
      </c>
      <c r="BA59" s="5">
        <f ca="1">SUM(HC[[#This Row],[Aço Est (kg)]],HC[[#This Row],[Aço Bloco (kg)]])</f>
        <v>8.8781408390447556</v>
      </c>
      <c r="BB59" s="4">
        <f>INDEX(composicoes[],MATCH(95580,composicoes[CÓDIGO],0),MATCH("CUSTO TOTAL",composicoes[#Headers],0))</f>
        <v>10.46</v>
      </c>
      <c r="BC59" s="4">
        <f ca="1">SUM(HC[[#This Row],[Conc Est (m³)]],HC[[#This Row],[Conc Bloco (m³)]])</f>
        <v>4.2411500823462207</v>
      </c>
      <c r="BD59" s="4">
        <f>INDEX(composicoes[],MATCH(94966,composicoes[CÓDIGO],0),MATCH("CUSTO TOTAL",composicoes[#Headers],0))</f>
        <v>439.52</v>
      </c>
      <c r="BE59" s="38">
        <f ca="1">HC[[#This Row],[Aço (kg)]]*HC[[#This Row],[Aço (R$/kg)]]+HC[[#This Row],[Conc (m³)]]*HC[[#This Row],[Conc (R$/m³)]]</f>
        <v>1956.9356373692192</v>
      </c>
      <c r="BF59" s="4" t="str">
        <f ca="1">IF(COUNTIF(HC[#This Row],"N.S.")&gt;0,"lim.","OK")</f>
        <v>lim.</v>
      </c>
      <c r="BG59" s="4" t="str">
        <f>IF(HC[[#This Row],[Prof. (m)]]&lt;4,"lim.","OK")</f>
        <v>OK</v>
      </c>
      <c r="BH59" s="4" t="str">
        <f>IF(HC[[#This Row],[Prof. (m)]]&gt;=8*HC[[#This Row],[Ø (cm)]]/100,"OK","lim.")</f>
        <v>OK</v>
      </c>
      <c r="BI59" s="4" t="str">
        <f ca="1">IF(HC[[#This Row],[Verif. Biela]]="OK","OK","lim.")</f>
        <v>OK</v>
      </c>
      <c r="BJ59" s="4" t="str">
        <f ca="1">IF(COUNTA(HC[[#This Row],[Nº Est.]:[Biela comp.]])=COUNTIF(HC[[#This Row],[Nº Est.]:[Biela comp.]],"OK"),"OK","lim.")</f>
        <v>lim.</v>
      </c>
      <c r="BK59" s="4" t="str">
        <f ca="1">IF(HC[[#This Row],[Controle]]="OK",HC[[#This Row],[nE]]&amp;" Ø"&amp;HC[[#This Row],[Ø (cm)]]&amp;"cm Prof. "&amp;HC[[#This Row],[Prof. (m)]]&amp;" m","")</f>
        <v/>
      </c>
      <c r="BL59" s="4" t="str">
        <f ca="1">IF(HC[[#This Row],[idDimensionamento]]="","",HC[[#This Row],[idPilar]]&amp;HC[[#This Row],[idDimensionamento]])</f>
        <v/>
      </c>
    </row>
    <row r="60" spans="2:64" x14ac:dyDescent="0.25">
      <c r="B60" s="12">
        <f>ROUNDUP((ROW(HC[[#This Row],[idDiâmetro]])-ROW(HC[[#Headers],[idDiâmetro]]))/(COUNT(SPT[Prof. (m)])*COUNT(PILARES[Pilar])),0)</f>
        <v>2</v>
      </c>
      <c r="C60" s="12">
        <f>IF(HC[[#This Row],[idDiâmetro]]&lt;&gt;B59,1,IF(HC[[#This Row],[Prof. (m)]]=0,C59+1,C59))</f>
        <v>2</v>
      </c>
      <c r="D60" s="1">
        <f>IFERROR(IF(D59=MAX(SPT[Prof. (m)]),0,D59+1),0)</f>
        <v>13</v>
      </c>
      <c r="E60" s="1">
        <f>INDEX(SPT[],MATCH(HC[[#This Row],[Prof. (m)]],SPT[Prof. (m)],0),2)</f>
        <v>68</v>
      </c>
      <c r="F60" s="1" t="str">
        <f>INDEX(SPT[],MATCH(HC[[#This Row],[Prof. (m)]],SPT[Prof. (m)],0),3)</f>
        <v>Areia siltosa</v>
      </c>
      <c r="G60" s="1">
        <f>INDEX(estacas[],HC[[#This Row],[idDiâmetro]],MATCH($B$2,estacas[#Headers],0))</f>
        <v>30</v>
      </c>
      <c r="H60" s="1">
        <f>INDEX(estacas[],MATCH(HC[[#This Row],[Ø (cm)]],estacas[Ø HC (cm)],0),MATCH(HC[[#Headers],[Pe HC (kN)]],estacas[#Headers],0))</f>
        <v>450</v>
      </c>
      <c r="I60" s="4">
        <f>INDEX(K_alpha_C[],MATCH(HC[[#This Row],[Solo]],K_alpha_C[Solo],0),2)</f>
        <v>0.8</v>
      </c>
      <c r="J60" s="5">
        <f>INDEX(K_alpha_C[],MATCH(HC[[#This Row],[Solo]],K_alpha_C[Solo],0),3)</f>
        <v>2</v>
      </c>
      <c r="K60" s="4">
        <f>INDEX(F1_F2[],MATCH($D$2,F1_F2[Tipo de estaca],0),2)</f>
        <v>2</v>
      </c>
      <c r="L60" s="4">
        <f>INDEX(F1_F2[],MATCH($D$2,F1_F2[Tipo de estaca],0),3)</f>
        <v>4</v>
      </c>
      <c r="M60" s="4">
        <f>PI()*(HC[[#This Row],[Ø (cm)]]/100)^2/4</f>
        <v>7.0685834705770348E-2</v>
      </c>
      <c r="N60" s="4">
        <f>PI()*HC[[#This Row],[Ø (cm)]]/100</f>
        <v>0.94247779607693782</v>
      </c>
      <c r="O60" s="4">
        <f>IF(HC[[#This Row],[Prof. (m)]]=0,0,HC[[#This Row],[α (%)]]/100*HC[[#This Row],[K (MPa)]]*1000*HC[[#This Row],[NSPT]])</f>
        <v>1088</v>
      </c>
      <c r="P60" s="4">
        <f>IF(HC[[#This Row],[Prof. (m)]]=0,0,(HC[[#This Row],[K (MPa)]]*1000*HC[[#This Row],[NSPT]]/HC[[#This Row],[F1]]*HC[[#This Row],[Ap (m²)]]+HC[[#This Row],[U (m)]]/HC[[#This Row],[F2]]*SUMIFS(HC[(α∙K∙NL∙ΔL)],HC[Prof. (m)],"&lt;="&amp;HC[[#This Row],[Prof. (m)]],HC[idDiâmetro],HC[[#This Row],[idDiâmetro]],HC[idPilar],HC[[#This Row],[idPilar]]))/'DADOS CAP. CARGA'!$D$2)</f>
        <v>1491.9305702173417</v>
      </c>
      <c r="Q60" s="12">
        <f>INDEX(C_alpha_beta[],MATCH(HC[[#This Row],[Solo]],C_alpha_beta[Solo],0),MATCH(HC[[#Headers],[C (kPa)]],C_alpha_beta[#Headers],0))</f>
        <v>400</v>
      </c>
      <c r="R60" s="4">
        <f>INDEX(C_alpha_beta[],MATCH(HC[[#This Row],[Solo]],C_alpha_beta[Solo],0),MATCH(HC[[#Headers],[α ESF]],C_alpha_beta[#Headers],0))</f>
        <v>0.5</v>
      </c>
      <c r="S60" s="4">
        <f>INDEX(C_alpha_beta[],MATCH(HC[[#This Row],[Solo]],C_alpha_beta[Solo],0),MATCH(HC[[#Headers],[β ESF]],C_alpha_beta[#Headers],0))</f>
        <v>0.5</v>
      </c>
      <c r="T60" s="4">
        <f>IF(HC[[#This Row],[Prof. (m)]]=0,0,10*(HC[[#This Row],[NSPT]]/3+1))</f>
        <v>236.66666666666669</v>
      </c>
      <c r="U60" s="4">
        <f>(HC[[#This Row],[α ESF]]*HC[[#This Row],[C (kPa)]]*HC[[#This Row],[NSPT]]*HC[[#This Row],[Ap (m²)]])/'DADOS CAP. CARGA'!$Q$2+(HC[[#This Row],[β ESF]]*SUMIFS(HC[10∙(NL/3+1)],HC[Prof. (m)],"&lt;="&amp;HC[[#This Row],[Prof. (m)]],HC[idDiâmetro],HC[[#This Row],[idDiâmetro]],HC[idPilar],HC[[#This Row],[idPilar]])*HC[[#This Row],[U (m)]])/'DADOS CAP. CARGA'!$S$2</f>
        <v>499.51323192077712</v>
      </c>
      <c r="V60" s="4">
        <f>IF(SPT!$M$5=1,MIN(HC[[#This Row],[Pe HC (kN)]],HC[[#This Row],[R_AV (kN)]]),IF(SPT!$M$5=2,MIN(HC[[#This Row],[Pe HC (kN)]],HC[[#This Row],[R_DC (kN)]]),MIN(HC[[#This Row],[Pe HC (kN)]],HC[[#This Row],[R_AV (kN)]],HC[[#This Row],[R_DC (kN)]])))</f>
        <v>450</v>
      </c>
      <c r="W60" s="4">
        <f>INDEX(PILARES[],HC[[#This Row],[idPilar]],MATCH("Carga (kN)",PILARES[#Headers],0))*1.4</f>
        <v>1750</v>
      </c>
      <c r="X60" s="12">
        <f>INDEX(PILARES[],HC[[#This Row],[idPilar]],MATCH(HC[[#Headers],[ap (cm)]],PILARES[#Headers],0))</f>
        <v>50</v>
      </c>
      <c r="Y60" s="12">
        <f>INDEX(PILARES[],HC[[#This Row],[idPilar]],MATCH(HC[[#Headers],[bp (cm)]],PILARES[#Headers],0))</f>
        <v>40</v>
      </c>
      <c r="Z60" s="4">
        <f>SQRT(HC[[#This Row],[ap (cm)]]*HC[[#This Row],[bp (cm)]])</f>
        <v>44.721359549995796</v>
      </c>
      <c r="AA60" s="12">
        <f>HC[[#This Row],[ap (cm)]]*HC[[#This Row],[bp (cm)]]</f>
        <v>2000</v>
      </c>
      <c r="AB60" s="12">
        <f ca="1">IF(HC[[#This Row],[Padm∙ε (kN)]]&gt;=HC[[#This Row],[Padm (kN)]],ROUNDUP(1.05*HC[[#This Row],[Nsd (kN)]]/HC[[#This Row],[Padm (kN)]],0),ROUNDUP(1.05*HC[[#This Row],[Nsd (kN)]]/HC[[#This Row],[Padm (kN)]],0)+1)</f>
        <v>5</v>
      </c>
      <c r="AC60" s="4" t="str">
        <f ca="1">IFERROR(IF(HC[[#This Row],[nE]]=1,HC[[#This Row],[Padm (kN)]],HC[[#This Row],[Padm (kN)]]*HC[[#This Row],[nE]]*INDEX(grupoEstacas[],HC[[#This Row],[nE]],MATCH("ε",grupoEstacas[#Headers],0))),"N.S.")</f>
        <v>N.S.</v>
      </c>
      <c r="AD60" s="4">
        <f ca="1">1.05*HC[[#This Row],[Nsd (kN)]]/(HC[[#This Row],[nE]]*PI()*HC[[#This Row],[Ø (cm)]]^2/4)*10</f>
        <v>5.1990614743352479</v>
      </c>
      <c r="AE60" s="4">
        <f ca="1">IF(HC[[#This Row],[σ (MPa)]]&lt;INDEX(tipoEstaca[],MATCH($D$2,tipoEstaca[TIPO DE ESTACA],0),MATCH("σmáx (MPa)",tipoEstaca[#Headers],0)),0.4%*PI()*HC[[#This Row],[Ø (cm)]]^2/4,"N.S.")</f>
        <v>2.8274333882308138</v>
      </c>
      <c r="AF60" s="1">
        <f>INDEX(tipoEstaca[],MATCH($D$2,tipoEstaca[TIPO DE ESTACA],0),MATCH(HC[[#Headers],[Comprimento (m)]],tipoEstaca[#Headers],0))</f>
        <v>4</v>
      </c>
      <c r="AG60" s="5">
        <f ca="1">HC[[#This Row],[As,mín (cm²)]]/100^2*HC[[#This Row],[Comprimento (m)]]*7850</f>
        <v>8.8781408390447556</v>
      </c>
      <c r="AH60" s="4">
        <f ca="1">HC[[#This Row],[nE]]*HC[[#This Row],[Prof. (m)]]*HC[[#This Row],[Ap (m²)]]</f>
        <v>4.5945792558750727</v>
      </c>
      <c r="AI60" s="1">
        <f ca="1">IF(HC[[#This Row],[nE]]=1,0,MAX(3*HC[[#This Row],[Ø (cm)]],60))</f>
        <v>90</v>
      </c>
      <c r="AJ60" s="1">
        <f ca="1">IF(HC[[#This Row],[nE]]=1,HC[[#This Row],[Ø (cm)]]+2*10,MAX(1.5*HC[[#This Row],[Ø (cm)]],HC[[#This Row],[Ø (cm)]]+15))</f>
        <v>45</v>
      </c>
      <c r="AK60" s="1" t="str">
        <f ca="1">alturaUtil(HC[[#This Row],[nE]],HC[[#This Row],[Ø (cm)]],HC[[#This Row],[e (cm)]],HC[[#This Row],[ap,eq (cm)]])</f>
        <v>N.S.</v>
      </c>
      <c r="AL60" s="1" t="str">
        <f ca="1">IFERROR(HC[[#This Row],[d (cm)]]+arredondarParaCimaMultiplo5cm(MAX(5,SQRT(PI())/2*HC[[#This Row],[Ø (cm)]]/5)),"N.S.")</f>
        <v>N.S.</v>
      </c>
      <c r="AM60" s="5" t="str">
        <f ca="1">alpha(HC[[#This Row],[nE]],HC[[#This Row],[d (cm)]],HC[[#This Row],[e (cm)]],HC[[#This Row],[ap,eq (cm)]])</f>
        <v>N.S.</v>
      </c>
      <c r="AN60" s="35" t="str">
        <f ca="1">IFERROR(HC[[#This Row],[Nsd (kN)]]/(HC[[#This Row],[Ap (cm²)]]*SIN(HC[[#This Row],[α]])^2),"N.S.")</f>
        <v>N.S.</v>
      </c>
      <c r="AO60" s="35" t="str">
        <f ca="1">IFERROR(HC[[#This Row],[Nsd (kN)]]/(HC[[#This Row],[nE]]*PI()*HC[[#This Row],[Ø (cm)]]^2/4*SIN(HC[[#This Row],[α]])^2),"N.S.")</f>
        <v>N.S.</v>
      </c>
      <c r="AP60" s="4" t="str">
        <f ca="1">IFERROR(INDEX(grupoEstacas[],HC[[#This Row],[nE]],MATCH("coef. Blévot",grupoEstacas[#Headers],0)),"N.S.")</f>
        <v>N.S.</v>
      </c>
      <c r="AQ60" s="35" t="str">
        <f ca="1">IFERROR(HC[[#This Row],[coef. Blévot]]*0.9*INDEX(tipoEstaca[],MATCH($D$2,tipoEstaca[TIPO DE ESTACA],0),MATCH("fcd (kN/cm²)",tipoEstaca[#Headers],0)),"N.S.")</f>
        <v>N.S.</v>
      </c>
      <c r="AR60" s="1" t="str">
        <f ca="1">IF(AND(HC[[#This Row],[cd,b,pil (kN/cm²)]]&lt;=HC[[#This Row],[cd,b,lim (kN/cm²)]],HC[[#This Row],[cd,b,est (kN/cm²)]]&lt;=HC[[#This Row],[cd,b,lim (kN/cm²)]]),"OK","ERRO")</f>
        <v>OK</v>
      </c>
      <c r="AS60" s="4" t="str">
        <f ca="1">As_lado(HC[[#This Row],[nE]],HC[[#This Row],[Nsd (kN)]],HC[[#This Row],[d (cm)]],HC[[#This Row],[e (cm)]],HC[[#This Row],[ap,eq (cm)]])</f>
        <v>N.S.</v>
      </c>
      <c r="AT60" s="4" t="str">
        <f ca="1">IF(HC[[#This Row],[nE]]=1,HC[[#This Row],[As,lado (cm²)]],IF(HC[[#This Row],[nE]]=2,0.075*2*HC[a (cm)],"N.A."))</f>
        <v>N.A.</v>
      </c>
      <c r="AU60" s="4" t="str">
        <f ca="1">IFERROR(IF(HC[[#This Row],[nE]]=1,"N.A.",0.2*HC[[#This Row],[As,lado (cm²)]]),"N.S.")</f>
        <v>N.S.</v>
      </c>
      <c r="AV60" s="4" t="str">
        <f ca="1">As_malha(HC[[#This Row],[nE]],HC[[#This Row],[As,lado (cm²)]],HC[[#This Row],[Nsd (kN)]])</f>
        <v>N.S.</v>
      </c>
      <c r="AW60" s="4" t="str">
        <f ca="1">As_susp_tot(HC[[#This Row],[nE]],HC[[#This Row],[Nsd (kN)]])</f>
        <v>N.S.</v>
      </c>
      <c r="AX60" s="4" t="str">
        <f ca="1">Asp_face(HC[[#This Row],[nE]],HC[[#This Row],[As,lado (cm²)]])</f>
        <v>N.S.</v>
      </c>
      <c r="AY60" s="5" t="str">
        <f ca="1">acoBloco(HC[[#This Row],[nE]],HC[[#This Row],[e (cm)]],HC[[#This Row],[a (cm)]],HC[[#This Row],[h (cm)]],HC[[#This Row],[As,lado (cm²)]],HC[[#This Row],[Asp e Asw (cm²/m)]],HC[[#This Row],[As,sup (cm²)]],HC[[#This Row],[As,malha (cm²)]],HC[[#This Row],[As,susp,tot (cm²)]],HC[[#This Row],[Asp,face (cm²)]])</f>
        <v>N.S.</v>
      </c>
      <c r="AZ60" s="4" t="str">
        <f ca="1">concretoBloco(HC[[#This Row],[nE]],HC[[#This Row],[e (cm)]],HC[[#This Row],[a (cm)]],HC[[#This Row],[h (cm)]])</f>
        <v>N.S.</v>
      </c>
      <c r="BA60" s="5">
        <f ca="1">SUM(HC[[#This Row],[Aço Est (kg)]],HC[[#This Row],[Aço Bloco (kg)]])</f>
        <v>8.8781408390447556</v>
      </c>
      <c r="BB60" s="4">
        <f>INDEX(composicoes[],MATCH(95580,composicoes[CÓDIGO],0),MATCH("CUSTO TOTAL",composicoes[#Headers],0))</f>
        <v>10.46</v>
      </c>
      <c r="BC60" s="4">
        <f ca="1">SUM(HC[[#This Row],[Conc Est (m³)]],HC[[#This Row],[Conc Bloco (m³)]])</f>
        <v>4.5945792558750727</v>
      </c>
      <c r="BD60" s="4">
        <f>INDEX(composicoes[],MATCH(94966,composicoes[CÓDIGO],0),MATCH("CUSTO TOTAL",composicoes[#Headers],0))</f>
        <v>439.52</v>
      </c>
      <c r="BE60" s="38">
        <f ca="1">HC[[#This Row],[Aço (kg)]]*HC[[#This Row],[Aço (R$/kg)]]+HC[[#This Row],[Conc (m³)]]*HC[[#This Row],[Conc (R$/m³)]]</f>
        <v>2112.2748277186201</v>
      </c>
      <c r="BF60" s="4" t="str">
        <f ca="1">IF(COUNTIF(HC[#This Row],"N.S.")&gt;0,"lim.","OK")</f>
        <v>lim.</v>
      </c>
      <c r="BG60" s="4" t="str">
        <f>IF(HC[[#This Row],[Prof. (m)]]&lt;4,"lim.","OK")</f>
        <v>OK</v>
      </c>
      <c r="BH60" s="4" t="str">
        <f>IF(HC[[#This Row],[Prof. (m)]]&gt;=8*HC[[#This Row],[Ø (cm)]]/100,"OK","lim.")</f>
        <v>OK</v>
      </c>
      <c r="BI60" s="4" t="str">
        <f ca="1">IF(HC[[#This Row],[Verif. Biela]]="OK","OK","lim.")</f>
        <v>OK</v>
      </c>
      <c r="BJ60" s="4" t="str">
        <f ca="1">IF(COUNTA(HC[[#This Row],[Nº Est.]:[Biela comp.]])=COUNTIF(HC[[#This Row],[Nº Est.]:[Biela comp.]],"OK"),"OK","lim.")</f>
        <v>lim.</v>
      </c>
      <c r="BK60" s="4" t="str">
        <f ca="1">IF(HC[[#This Row],[Controle]]="OK",HC[[#This Row],[nE]]&amp;" Ø"&amp;HC[[#This Row],[Ø (cm)]]&amp;"cm Prof. "&amp;HC[[#This Row],[Prof. (m)]]&amp;" m","")</f>
        <v/>
      </c>
      <c r="BL60" s="4" t="str">
        <f ca="1">IF(HC[[#This Row],[idDimensionamento]]="","",HC[[#This Row],[idPilar]]&amp;HC[[#This Row],[idDimensionamento]])</f>
        <v/>
      </c>
    </row>
    <row r="61" spans="2:64" x14ac:dyDescent="0.25">
      <c r="B61" s="12">
        <f>ROUNDUP((ROW(HC[[#This Row],[idDiâmetro]])-ROW(HC[[#Headers],[idDiâmetro]]))/(COUNT(SPT[Prof. (m)])*COUNT(PILARES[Pilar])),0)</f>
        <v>3</v>
      </c>
      <c r="C61" s="12">
        <f>IF(HC[[#This Row],[idDiâmetro]]&lt;&gt;B60,1,IF(HC[[#This Row],[Prof. (m)]]=0,C60+1,C60))</f>
        <v>1</v>
      </c>
      <c r="D61" s="1">
        <f>IFERROR(IF(D60=MAX(SPT[Prof. (m)]),0,D60+1),0)</f>
        <v>0</v>
      </c>
      <c r="E61" s="1">
        <f>INDEX(SPT[],MATCH(HC[[#This Row],[Prof. (m)]],SPT[Prof. (m)],0),2)</f>
        <v>0</v>
      </c>
      <c r="F61" s="1" t="str">
        <f>INDEX(SPT[],MATCH(HC[[#This Row],[Prof. (m)]],SPT[Prof. (m)],0),3)</f>
        <v>Areia siltosa</v>
      </c>
      <c r="G61" s="1">
        <f>INDEX(estacas[],HC[[#This Row],[idDiâmetro]],MATCH($B$2,estacas[#Headers],0))</f>
        <v>35</v>
      </c>
      <c r="H61" s="1">
        <f>INDEX(estacas[],MATCH(HC[[#This Row],[Ø (cm)]],estacas[Ø HC (cm)],0),MATCH(HC[[#Headers],[Pe HC (kN)]],estacas[#Headers],0))</f>
        <v>600</v>
      </c>
      <c r="I61" s="4">
        <f>INDEX(K_alpha_C[],MATCH(HC[[#This Row],[Solo]],K_alpha_C[Solo],0),2)</f>
        <v>0.8</v>
      </c>
      <c r="J61" s="5">
        <f>INDEX(K_alpha_C[],MATCH(HC[[#This Row],[Solo]],K_alpha_C[Solo],0),3)</f>
        <v>2</v>
      </c>
      <c r="K61" s="4">
        <f>INDEX(F1_F2[],MATCH($D$2,F1_F2[Tipo de estaca],0),2)</f>
        <v>2</v>
      </c>
      <c r="L61" s="4">
        <f>INDEX(F1_F2[],MATCH($D$2,F1_F2[Tipo de estaca],0),3)</f>
        <v>4</v>
      </c>
      <c r="M61" s="4">
        <f>PI()*(HC[[#This Row],[Ø (cm)]]/100)^2/4</f>
        <v>9.6211275016187398E-2</v>
      </c>
      <c r="N61" s="4">
        <f>PI()*HC[[#This Row],[Ø (cm)]]/100</f>
        <v>1.0995574287564276</v>
      </c>
      <c r="O61" s="4">
        <f>IF(HC[[#This Row],[Prof. (m)]]=0,0,HC[[#This Row],[α (%)]]/100*HC[[#This Row],[K (MPa)]]*1000*HC[[#This Row],[NSPT]])</f>
        <v>0</v>
      </c>
      <c r="P61" s="4">
        <f>IF(HC[[#This Row],[Prof. (m)]]=0,0,(HC[[#This Row],[K (MPa)]]*1000*HC[[#This Row],[NSPT]]/HC[[#This Row],[F1]]*HC[[#This Row],[Ap (m²)]]+HC[[#This Row],[U (m)]]/HC[[#This Row],[F2]]*SUMIFS(HC[(α∙K∙NL∙ΔL)],HC[Prof. (m)],"&lt;="&amp;HC[[#This Row],[Prof. (m)]],HC[idDiâmetro],HC[[#This Row],[idDiâmetro]],HC[idPilar],HC[[#This Row],[idPilar]]))/'DADOS CAP. CARGA'!$D$2)</f>
        <v>0</v>
      </c>
      <c r="Q61" s="12">
        <f>INDEX(C_alpha_beta[],MATCH(HC[[#This Row],[Solo]],C_alpha_beta[Solo],0),MATCH(HC[[#Headers],[C (kPa)]],C_alpha_beta[#Headers],0))</f>
        <v>400</v>
      </c>
      <c r="R61" s="4">
        <f>INDEX(C_alpha_beta[],MATCH(HC[[#This Row],[Solo]],C_alpha_beta[Solo],0),MATCH(HC[[#Headers],[α ESF]],C_alpha_beta[#Headers],0))</f>
        <v>0.5</v>
      </c>
      <c r="S61" s="4">
        <f>INDEX(C_alpha_beta[],MATCH(HC[[#This Row],[Solo]],C_alpha_beta[Solo],0),MATCH(HC[[#Headers],[β ESF]],C_alpha_beta[#Headers],0))</f>
        <v>0.5</v>
      </c>
      <c r="T61" s="4">
        <f>IF(HC[[#This Row],[Prof. (m)]]=0,0,10*(HC[[#This Row],[NSPT]]/3+1))</f>
        <v>0</v>
      </c>
      <c r="U61" s="4">
        <f>(HC[[#This Row],[α ESF]]*HC[[#This Row],[C (kPa)]]*HC[[#This Row],[NSPT]]*HC[[#This Row],[Ap (m²)]])/'DADOS CAP. CARGA'!$Q$2+(HC[[#This Row],[β ESF]]*SUMIFS(HC[10∙(NL/3+1)],HC[Prof. (m)],"&lt;="&amp;HC[[#This Row],[Prof. (m)]],HC[idDiâmetro],HC[[#This Row],[idDiâmetro]],HC[idPilar],HC[[#This Row],[idPilar]])*HC[[#This Row],[U (m)]])/'DADOS CAP. CARGA'!$S$2</f>
        <v>0</v>
      </c>
      <c r="V61" s="4">
        <f>IF(SPT!$M$5=1,MIN(HC[[#This Row],[Pe HC (kN)]],HC[[#This Row],[R_AV (kN)]]),IF(SPT!$M$5=2,MIN(HC[[#This Row],[Pe HC (kN)]],HC[[#This Row],[R_DC (kN)]]),MIN(HC[[#This Row],[Pe HC (kN)]],HC[[#This Row],[R_AV (kN)]],HC[[#This Row],[R_DC (kN)]])))</f>
        <v>0</v>
      </c>
      <c r="W61" s="4">
        <f>INDEX(PILARES[],HC[[#This Row],[idPilar]],MATCH("Carga (kN)",PILARES[#Headers],0))*1.4</f>
        <v>3500</v>
      </c>
      <c r="X61" s="12">
        <f>INDEX(PILARES[],HC[[#This Row],[idPilar]],MATCH(HC[[#Headers],[ap (cm)]],PILARES[#Headers],0))</f>
        <v>60</v>
      </c>
      <c r="Y61" s="12">
        <f>INDEX(PILARES[],HC[[#This Row],[idPilar]],MATCH(HC[[#Headers],[bp (cm)]],PILARES[#Headers],0))</f>
        <v>60</v>
      </c>
      <c r="Z61" s="4">
        <f>SQRT(HC[[#This Row],[ap (cm)]]*HC[[#This Row],[bp (cm)]])</f>
        <v>60</v>
      </c>
      <c r="AA61" s="12">
        <f>HC[[#This Row],[ap (cm)]]*HC[[#This Row],[bp (cm)]]</f>
        <v>3600</v>
      </c>
      <c r="AB61" s="12" t="e">
        <f ca="1">IF(HC[[#This Row],[Padm∙ε (kN)]]&gt;=HC[[#This Row],[Padm (kN)]],ROUNDUP(1.05*HC[[#This Row],[Nsd (kN)]]/HC[[#This Row],[Padm (kN)]],0),ROUNDUP(1.05*HC[[#This Row],[Nsd (kN)]]/HC[[#This Row],[Padm (kN)]],0)+1)</f>
        <v>#DIV/0!</v>
      </c>
      <c r="AC61" s="4" t="str">
        <f ca="1">IFERROR(IF(HC[[#This Row],[nE]]=1,HC[[#This Row],[Padm (kN)]],HC[[#This Row],[Padm (kN)]]*HC[[#This Row],[nE]]*INDEX(grupoEstacas[],HC[[#This Row],[nE]],MATCH("ε",grupoEstacas[#Headers],0))),"N.S.")</f>
        <v>N.S.</v>
      </c>
      <c r="AD61" s="4" t="e">
        <f ca="1">1.05*HC[[#This Row],[Nsd (kN)]]/(HC[[#This Row],[nE]]*PI()*HC[[#This Row],[Ø (cm)]]^2/4)*10</f>
        <v>#DIV/0!</v>
      </c>
      <c r="AE61" s="4" t="e">
        <f ca="1">IF(HC[[#This Row],[σ (MPa)]]&lt;INDEX(tipoEstaca[],MATCH($D$2,tipoEstaca[TIPO DE ESTACA],0),MATCH("σmáx (MPa)",tipoEstaca[#Headers],0)),0.4%*PI()*HC[[#This Row],[Ø (cm)]]^2/4,"N.S.")</f>
        <v>#DIV/0!</v>
      </c>
      <c r="AF61" s="1">
        <f>INDEX(tipoEstaca[],MATCH($D$2,tipoEstaca[TIPO DE ESTACA],0),MATCH(HC[[#Headers],[Comprimento (m)]],tipoEstaca[#Headers],0))</f>
        <v>4</v>
      </c>
      <c r="AG61" s="5" t="e">
        <f ca="1">HC[[#This Row],[As,mín (cm²)]]/100^2*HC[[#This Row],[Comprimento (m)]]*7850</f>
        <v>#DIV/0!</v>
      </c>
      <c r="AH61" s="4" t="e">
        <f ca="1">HC[[#This Row],[nE]]*HC[[#This Row],[Prof. (m)]]*HC[[#This Row],[Ap (m²)]]</f>
        <v>#DIV/0!</v>
      </c>
      <c r="AI61" s="1" t="e">
        <f ca="1">IF(HC[[#This Row],[nE]]=1,0,MAX(3*HC[[#This Row],[Ø (cm)]],60))</f>
        <v>#DIV/0!</v>
      </c>
      <c r="AJ61" s="1" t="e">
        <f ca="1">IF(HC[[#This Row],[nE]]=1,HC[[#This Row],[Ø (cm)]]+2*10,MAX(1.5*HC[[#This Row],[Ø (cm)]],HC[[#This Row],[Ø (cm)]]+15))</f>
        <v>#DIV/0!</v>
      </c>
      <c r="AK61" s="1" t="e">
        <f ca="1">alturaUtil(HC[[#This Row],[nE]],HC[[#This Row],[Ø (cm)]],HC[[#This Row],[e (cm)]],HC[[#This Row],[ap,eq (cm)]])</f>
        <v>#VALUE!</v>
      </c>
      <c r="AL61" s="1" t="str">
        <f ca="1">IFERROR(HC[[#This Row],[d (cm)]]+arredondarParaCimaMultiplo5cm(MAX(5,SQRT(PI())/2*HC[[#This Row],[Ø (cm)]]/5)),"N.S.")</f>
        <v>N.S.</v>
      </c>
      <c r="AM61" s="5" t="e">
        <f ca="1">alpha(HC[[#This Row],[nE]],HC[[#This Row],[d (cm)]],HC[[#This Row],[e (cm)]],HC[[#This Row],[ap,eq (cm)]])</f>
        <v>#VALUE!</v>
      </c>
      <c r="AN61" s="35" t="str">
        <f ca="1">IFERROR(HC[[#This Row],[Nsd (kN)]]/(HC[[#This Row],[Ap (cm²)]]*SIN(HC[[#This Row],[α]])^2),"N.S.")</f>
        <v>N.S.</v>
      </c>
      <c r="AO61" s="35" t="str">
        <f ca="1">IFERROR(HC[[#This Row],[Nsd (kN)]]/(HC[[#This Row],[nE]]*PI()*HC[[#This Row],[Ø (cm)]]^2/4*SIN(HC[[#This Row],[α]])^2),"N.S.")</f>
        <v>N.S.</v>
      </c>
      <c r="AP61" s="4" t="str">
        <f ca="1">IFERROR(INDEX(grupoEstacas[],HC[[#This Row],[nE]],MATCH("coef. Blévot",grupoEstacas[#Headers],0)),"N.S.")</f>
        <v>N.S.</v>
      </c>
      <c r="AQ61" s="35" t="str">
        <f ca="1">IFERROR(HC[[#This Row],[coef. Blévot]]*0.9*INDEX(tipoEstaca[],MATCH($D$2,tipoEstaca[TIPO DE ESTACA],0),MATCH("fcd (kN/cm²)",tipoEstaca[#Headers],0)),"N.S.")</f>
        <v>N.S.</v>
      </c>
      <c r="AR61" s="1" t="str">
        <f ca="1">IF(AND(HC[[#This Row],[cd,b,pil (kN/cm²)]]&lt;=HC[[#This Row],[cd,b,lim (kN/cm²)]],HC[[#This Row],[cd,b,est (kN/cm²)]]&lt;=HC[[#This Row],[cd,b,lim (kN/cm²)]]),"OK","ERRO")</f>
        <v>OK</v>
      </c>
      <c r="AS61" s="4" t="e">
        <f ca="1">As_lado(HC[[#This Row],[nE]],HC[[#This Row],[Nsd (kN)]],HC[[#This Row],[d (cm)]],HC[[#This Row],[e (cm)]],HC[[#This Row],[ap,eq (cm)]])</f>
        <v>#VALUE!</v>
      </c>
      <c r="AT61" s="4" t="e">
        <f ca="1">IF(HC[[#This Row],[nE]]=1,HC[[#This Row],[As,lado (cm²)]],IF(HC[[#This Row],[nE]]=2,0.075*2*HC[a (cm)],"N.A."))</f>
        <v>#DIV/0!</v>
      </c>
      <c r="AU61" s="4" t="str">
        <f ca="1">IFERROR(IF(HC[[#This Row],[nE]]=1,"N.A.",0.2*HC[[#This Row],[As,lado (cm²)]]),"N.S.")</f>
        <v>N.S.</v>
      </c>
      <c r="AV61" s="4" t="e">
        <f ca="1">As_malha(HC[[#This Row],[nE]],HC[[#This Row],[As,lado (cm²)]],HC[[#This Row],[Nsd (kN)]])</f>
        <v>#VALUE!</v>
      </c>
      <c r="AW61" s="4" t="e">
        <f ca="1">As_susp_tot(HC[[#This Row],[nE]],HC[[#This Row],[Nsd (kN)]])</f>
        <v>#VALUE!</v>
      </c>
      <c r="AX61" s="4" t="e">
        <f ca="1">Asp_face(HC[[#This Row],[nE]],HC[[#This Row],[As,lado (cm²)]])</f>
        <v>#VALUE!</v>
      </c>
      <c r="AY61" s="5" t="e">
        <f ca="1">acoBloco(HC[[#This Row],[nE]],HC[[#This Row],[e (cm)]],HC[[#This Row],[a (cm)]],HC[[#This Row],[h (cm)]],HC[[#This Row],[As,lado (cm²)]],HC[[#This Row],[Asp e Asw (cm²/m)]],HC[[#This Row],[As,sup (cm²)]],HC[[#This Row],[As,malha (cm²)]],HC[[#This Row],[As,susp,tot (cm²)]],HC[[#This Row],[Asp,face (cm²)]])</f>
        <v>#VALUE!</v>
      </c>
      <c r="AZ61" s="4" t="e">
        <f ca="1">concretoBloco(HC[[#This Row],[nE]],HC[[#This Row],[e (cm)]],HC[[#This Row],[a (cm)]],HC[[#This Row],[h (cm)]])</f>
        <v>#VALUE!</v>
      </c>
      <c r="BA61" s="5" t="e">
        <f ca="1">SUM(HC[[#This Row],[Aço Est (kg)]],HC[[#This Row],[Aço Bloco (kg)]])</f>
        <v>#DIV/0!</v>
      </c>
      <c r="BB61" s="4">
        <f>INDEX(composicoes[],MATCH(95580,composicoes[CÓDIGO],0),MATCH("CUSTO TOTAL",composicoes[#Headers],0))</f>
        <v>10.46</v>
      </c>
      <c r="BC61" s="4" t="e">
        <f ca="1">SUM(HC[[#This Row],[Conc Est (m³)]],HC[[#This Row],[Conc Bloco (m³)]])</f>
        <v>#DIV/0!</v>
      </c>
      <c r="BD61" s="4">
        <f>INDEX(composicoes[],MATCH(94966,composicoes[CÓDIGO],0),MATCH("CUSTO TOTAL",composicoes[#Headers],0))</f>
        <v>439.52</v>
      </c>
      <c r="BE61" s="38" t="e">
        <f ca="1">HC[[#This Row],[Aço (kg)]]*HC[[#This Row],[Aço (R$/kg)]]+HC[[#This Row],[Conc (m³)]]*HC[[#This Row],[Conc (R$/m³)]]</f>
        <v>#DIV/0!</v>
      </c>
      <c r="BF61" s="4" t="str">
        <f ca="1">IF(COUNTIF(HC[#This Row],"N.S.")&gt;0,"lim.","OK")</f>
        <v>lim.</v>
      </c>
      <c r="BG61" s="4" t="str">
        <f>IF(HC[[#This Row],[Prof. (m)]]&lt;4,"lim.","OK")</f>
        <v>lim.</v>
      </c>
      <c r="BH61" s="4" t="str">
        <f>IF(HC[[#This Row],[Prof. (m)]]&gt;=8*HC[[#This Row],[Ø (cm)]]/100,"OK","lim.")</f>
        <v>lim.</v>
      </c>
      <c r="BI61" s="4" t="str">
        <f ca="1">IF(HC[[#This Row],[Verif. Biela]]="OK","OK","lim.")</f>
        <v>OK</v>
      </c>
      <c r="BJ61" s="4" t="str">
        <f ca="1">IF(COUNTA(HC[[#This Row],[Nº Est.]:[Biela comp.]])=COUNTIF(HC[[#This Row],[Nº Est.]:[Biela comp.]],"OK"),"OK","lim.")</f>
        <v>lim.</v>
      </c>
      <c r="BK61" s="4" t="str">
        <f ca="1">IF(HC[[#This Row],[Controle]]="OK",HC[[#This Row],[nE]]&amp;" Ø"&amp;HC[[#This Row],[Ø (cm)]]&amp;"cm Prof. "&amp;HC[[#This Row],[Prof. (m)]]&amp;" m","")</f>
        <v/>
      </c>
      <c r="BL61" s="4" t="str">
        <f ca="1">IF(HC[[#This Row],[idDimensionamento]]="","",HC[[#This Row],[idPilar]]&amp;HC[[#This Row],[idDimensionamento]])</f>
        <v/>
      </c>
    </row>
    <row r="62" spans="2:64" x14ac:dyDescent="0.25">
      <c r="B62" s="12">
        <f>ROUNDUP((ROW(HC[[#This Row],[idDiâmetro]])-ROW(HC[[#Headers],[idDiâmetro]]))/(COUNT(SPT[Prof. (m)])*COUNT(PILARES[Pilar])),0)</f>
        <v>3</v>
      </c>
      <c r="C62" s="12">
        <f>IF(HC[[#This Row],[idDiâmetro]]&lt;&gt;B61,1,IF(HC[[#This Row],[Prof. (m)]]=0,C61+1,C61))</f>
        <v>1</v>
      </c>
      <c r="D62" s="1">
        <f>IFERROR(IF(D61=MAX(SPT[Prof. (m)]),0,D61+1),0)</f>
        <v>1</v>
      </c>
      <c r="E62" s="1">
        <f>INDEX(SPT[],MATCH(HC[[#This Row],[Prof. (m)]],SPT[Prof. (m)],0),2)</f>
        <v>2</v>
      </c>
      <c r="F62" s="1" t="str">
        <f>INDEX(SPT[],MATCH(HC[[#This Row],[Prof. (m)]],SPT[Prof. (m)],0),3)</f>
        <v>Areia siltosa</v>
      </c>
      <c r="G62" s="1">
        <f>INDEX(estacas[],HC[[#This Row],[idDiâmetro]],MATCH($B$2,estacas[#Headers],0))</f>
        <v>35</v>
      </c>
      <c r="H62" s="1">
        <f>INDEX(estacas[],MATCH(HC[[#This Row],[Ø (cm)]],estacas[Ø HC (cm)],0),MATCH(HC[[#Headers],[Pe HC (kN)]],estacas[#Headers],0))</f>
        <v>600</v>
      </c>
      <c r="I62" s="4">
        <f>INDEX(K_alpha_C[],MATCH(HC[[#This Row],[Solo]],K_alpha_C[Solo],0),2)</f>
        <v>0.8</v>
      </c>
      <c r="J62" s="5">
        <f>INDEX(K_alpha_C[],MATCH(HC[[#This Row],[Solo]],K_alpha_C[Solo],0),3)</f>
        <v>2</v>
      </c>
      <c r="K62" s="4">
        <f>INDEX(F1_F2[],MATCH($D$2,F1_F2[Tipo de estaca],0),2)</f>
        <v>2</v>
      </c>
      <c r="L62" s="4">
        <f>INDEX(F1_F2[],MATCH($D$2,F1_F2[Tipo de estaca],0),3)</f>
        <v>4</v>
      </c>
      <c r="M62" s="4">
        <f>PI()*(HC[[#This Row],[Ø (cm)]]/100)^2/4</f>
        <v>9.6211275016187398E-2</v>
      </c>
      <c r="N62" s="4">
        <f>PI()*HC[[#This Row],[Ø (cm)]]/100</f>
        <v>1.0995574287564276</v>
      </c>
      <c r="O62" s="4">
        <f>IF(HC[[#This Row],[Prof. (m)]]=0,0,HC[[#This Row],[α (%)]]/100*HC[[#This Row],[K (MPa)]]*1000*HC[[#This Row],[NSPT]])</f>
        <v>32</v>
      </c>
      <c r="P62" s="4">
        <f>IF(HC[[#This Row],[Prof. (m)]]=0,0,(HC[[#This Row],[K (MPa)]]*1000*HC[[#This Row],[NSPT]]/HC[[#This Row],[F1]]*HC[[#This Row],[Ap (m²)]]+HC[[#This Row],[U (m)]]/HC[[#This Row],[F2]]*SUMIFS(HC[(α∙K∙NL∙ΔL)],HC[Prof. (m)],"&lt;="&amp;HC[[#This Row],[Prof. (m)]],HC[idDiâmetro],HC[[#This Row],[idDiâmetro]],HC[idPilar],HC[[#This Row],[idPilar]]))/'DADOS CAP. CARGA'!$D$2)</f>
        <v>42.88273972150067</v>
      </c>
      <c r="Q62" s="12">
        <f>INDEX(C_alpha_beta[],MATCH(HC[[#This Row],[Solo]],C_alpha_beta[Solo],0),MATCH(HC[[#Headers],[C (kPa)]],C_alpha_beta[#Headers],0))</f>
        <v>400</v>
      </c>
      <c r="R62" s="4">
        <f>INDEX(C_alpha_beta[],MATCH(HC[[#This Row],[Solo]],C_alpha_beta[Solo],0),MATCH(HC[[#Headers],[α ESF]],C_alpha_beta[#Headers],0))</f>
        <v>0.5</v>
      </c>
      <c r="S62" s="4">
        <f>INDEX(C_alpha_beta[],MATCH(HC[[#This Row],[Solo]],C_alpha_beta[Solo],0),MATCH(HC[[#Headers],[β ESF]],C_alpha_beta[#Headers],0))</f>
        <v>0.5</v>
      </c>
      <c r="T62" s="4">
        <f>IF(HC[[#This Row],[Prof. (m)]]=0,0,10*(HC[[#This Row],[NSPT]]/3+1))</f>
        <v>16.666666666666664</v>
      </c>
      <c r="U62" s="4">
        <f>(HC[[#This Row],[α ESF]]*HC[[#This Row],[C (kPa)]]*HC[[#This Row],[NSPT]]*HC[[#This Row],[Ap (m²)]])/'DADOS CAP. CARGA'!$Q$2+(HC[[#This Row],[β ESF]]*SUMIFS(HC[10∙(NL/3+1)],HC[Prof. (m)],"&lt;="&amp;HC[[#This Row],[Prof. (m)]],HC[idDiâmetro],HC[[#This Row],[idDiâmetro]],HC[idPilar],HC[[#This Row],[idPilar]])*HC[[#This Row],[U (m)]])/'DADOS CAP. CARGA'!$S$2</f>
        <v>14.202616788103853</v>
      </c>
      <c r="V62" s="4">
        <f>IF(SPT!$M$5=1,MIN(HC[[#This Row],[Pe HC (kN)]],HC[[#This Row],[R_AV (kN)]]),IF(SPT!$M$5=2,MIN(HC[[#This Row],[Pe HC (kN)]],HC[[#This Row],[R_DC (kN)]]),MIN(HC[[#This Row],[Pe HC (kN)]],HC[[#This Row],[R_AV (kN)]],HC[[#This Row],[R_DC (kN)]])))</f>
        <v>14.202616788103853</v>
      </c>
      <c r="W62" s="4">
        <f>INDEX(PILARES[],HC[[#This Row],[idPilar]],MATCH("Carga (kN)",PILARES[#Headers],0))*1.4</f>
        <v>3500</v>
      </c>
      <c r="X62" s="12">
        <f>INDEX(PILARES[],HC[[#This Row],[idPilar]],MATCH(HC[[#Headers],[ap (cm)]],PILARES[#Headers],0))</f>
        <v>60</v>
      </c>
      <c r="Y62" s="12">
        <f>INDEX(PILARES[],HC[[#This Row],[idPilar]],MATCH(HC[[#Headers],[bp (cm)]],PILARES[#Headers],0))</f>
        <v>60</v>
      </c>
      <c r="Z62" s="4">
        <f>SQRT(HC[[#This Row],[ap (cm)]]*HC[[#This Row],[bp (cm)]])</f>
        <v>60</v>
      </c>
      <c r="AA62" s="12">
        <f>HC[[#This Row],[ap (cm)]]*HC[[#This Row],[bp (cm)]]</f>
        <v>3600</v>
      </c>
      <c r="AB62" s="12">
        <f ca="1">IF(HC[[#This Row],[Padm∙ε (kN)]]&gt;=HC[[#This Row],[Padm (kN)]],ROUNDUP(1.05*HC[[#This Row],[Nsd (kN)]]/HC[[#This Row],[Padm (kN)]],0),ROUNDUP(1.05*HC[[#This Row],[Nsd (kN)]]/HC[[#This Row],[Padm (kN)]],0)+1)</f>
        <v>259</v>
      </c>
      <c r="AC62" s="4" t="str">
        <f ca="1">IFERROR(IF(HC[[#This Row],[nE]]=1,HC[[#This Row],[Padm (kN)]],HC[[#This Row],[Padm (kN)]]*HC[[#This Row],[nE]]*INDEX(grupoEstacas[],HC[[#This Row],[nE]],MATCH("ε",grupoEstacas[#Headers],0))),"N.S.")</f>
        <v>N.S.</v>
      </c>
      <c r="AD62" s="4">
        <f ca="1">1.05*HC[[#This Row],[Nsd (kN)]]/(HC[[#This Row],[nE]]*PI()*HC[[#This Row],[Ø (cm)]]^2/4)*10</f>
        <v>0.14747948394615787</v>
      </c>
      <c r="AE62" s="4">
        <f ca="1">IF(HC[[#This Row],[σ (MPa)]]&lt;INDEX(tipoEstaca[],MATCH($D$2,tipoEstaca[TIPO DE ESTACA],0),MATCH("σmáx (MPa)",tipoEstaca[#Headers],0)),0.4%*PI()*HC[[#This Row],[Ø (cm)]]^2/4,"N.S.")</f>
        <v>3.848451000647497</v>
      </c>
      <c r="AF62" s="1">
        <f>INDEX(tipoEstaca[],MATCH($D$2,tipoEstaca[TIPO DE ESTACA],0),MATCH(HC[[#Headers],[Comprimento (m)]],tipoEstaca[#Headers],0))</f>
        <v>4</v>
      </c>
      <c r="AG62" s="5">
        <f ca="1">HC[[#This Row],[As,mín (cm²)]]/100^2*HC[[#This Row],[Comprimento (m)]]*7850</f>
        <v>12.08413614203314</v>
      </c>
      <c r="AH62" s="4">
        <f ca="1">HC[[#This Row],[nE]]*HC[[#This Row],[Prof. (m)]]*HC[[#This Row],[Ap (m²)]]</f>
        <v>24.918720229192537</v>
      </c>
      <c r="AI62" s="1">
        <f ca="1">IF(HC[[#This Row],[nE]]=1,0,MAX(3*HC[[#This Row],[Ø (cm)]],60))</f>
        <v>105</v>
      </c>
      <c r="AJ62" s="1">
        <f ca="1">IF(HC[[#This Row],[nE]]=1,HC[[#This Row],[Ø (cm)]]+2*10,MAX(1.5*HC[[#This Row],[Ø (cm)]],HC[[#This Row],[Ø (cm)]]+15))</f>
        <v>52.5</v>
      </c>
      <c r="AK62" s="1" t="str">
        <f ca="1">alturaUtil(HC[[#This Row],[nE]],HC[[#This Row],[Ø (cm)]],HC[[#This Row],[e (cm)]],HC[[#This Row],[ap,eq (cm)]])</f>
        <v>N.S.</v>
      </c>
      <c r="AL62" s="1" t="str">
        <f ca="1">IFERROR(HC[[#This Row],[d (cm)]]+arredondarParaCimaMultiplo5cm(MAX(5,SQRT(PI())/2*HC[[#This Row],[Ø (cm)]]/5)),"N.S.")</f>
        <v>N.S.</v>
      </c>
      <c r="AM62" s="5" t="str">
        <f ca="1">alpha(HC[[#This Row],[nE]],HC[[#This Row],[d (cm)]],HC[[#This Row],[e (cm)]],HC[[#This Row],[ap,eq (cm)]])</f>
        <v>N.S.</v>
      </c>
      <c r="AN62" s="35" t="str">
        <f ca="1">IFERROR(HC[[#This Row],[Nsd (kN)]]/(HC[[#This Row],[Ap (cm²)]]*SIN(HC[[#This Row],[α]])^2),"N.S.")</f>
        <v>N.S.</v>
      </c>
      <c r="AO62" s="35" t="str">
        <f ca="1">IFERROR(HC[[#This Row],[Nsd (kN)]]/(HC[[#This Row],[nE]]*PI()*HC[[#This Row],[Ø (cm)]]^2/4*SIN(HC[[#This Row],[α]])^2),"N.S.")</f>
        <v>N.S.</v>
      </c>
      <c r="AP62" s="4" t="str">
        <f ca="1">IFERROR(INDEX(grupoEstacas[],HC[[#This Row],[nE]],MATCH("coef. Blévot",grupoEstacas[#Headers],0)),"N.S.")</f>
        <v>N.S.</v>
      </c>
      <c r="AQ62" s="35" t="str">
        <f ca="1">IFERROR(HC[[#This Row],[coef. Blévot]]*0.9*INDEX(tipoEstaca[],MATCH($D$2,tipoEstaca[TIPO DE ESTACA],0),MATCH("fcd (kN/cm²)",tipoEstaca[#Headers],0)),"N.S.")</f>
        <v>N.S.</v>
      </c>
      <c r="AR62" s="1" t="str">
        <f ca="1">IF(AND(HC[[#This Row],[cd,b,pil (kN/cm²)]]&lt;=HC[[#This Row],[cd,b,lim (kN/cm²)]],HC[[#This Row],[cd,b,est (kN/cm²)]]&lt;=HC[[#This Row],[cd,b,lim (kN/cm²)]]),"OK","ERRO")</f>
        <v>OK</v>
      </c>
      <c r="AS62" s="4" t="str">
        <f ca="1">As_lado(HC[[#This Row],[nE]],HC[[#This Row],[Nsd (kN)]],HC[[#This Row],[d (cm)]],HC[[#This Row],[e (cm)]],HC[[#This Row],[ap,eq (cm)]])</f>
        <v>N.S.</v>
      </c>
      <c r="AT62" s="4" t="str">
        <f ca="1">IF(HC[[#This Row],[nE]]=1,HC[[#This Row],[As,lado (cm²)]],IF(HC[[#This Row],[nE]]=2,0.075*2*HC[a (cm)],"N.A."))</f>
        <v>N.A.</v>
      </c>
      <c r="AU62" s="4" t="str">
        <f ca="1">IFERROR(IF(HC[[#This Row],[nE]]=1,"N.A.",0.2*HC[[#This Row],[As,lado (cm²)]]),"N.S.")</f>
        <v>N.S.</v>
      </c>
      <c r="AV62" s="4" t="str">
        <f ca="1">As_malha(HC[[#This Row],[nE]],HC[[#This Row],[As,lado (cm²)]],HC[[#This Row],[Nsd (kN)]])</f>
        <v>N.S.</v>
      </c>
      <c r="AW62" s="4" t="str">
        <f ca="1">As_susp_tot(HC[[#This Row],[nE]],HC[[#This Row],[Nsd (kN)]])</f>
        <v>N.S.</v>
      </c>
      <c r="AX62" s="4" t="str">
        <f ca="1">Asp_face(HC[[#This Row],[nE]],HC[[#This Row],[As,lado (cm²)]])</f>
        <v>N.S.</v>
      </c>
      <c r="AY62" s="5" t="str">
        <f ca="1">acoBloco(HC[[#This Row],[nE]],HC[[#This Row],[e (cm)]],HC[[#This Row],[a (cm)]],HC[[#This Row],[h (cm)]],HC[[#This Row],[As,lado (cm²)]],HC[[#This Row],[Asp e Asw (cm²/m)]],HC[[#This Row],[As,sup (cm²)]],HC[[#This Row],[As,malha (cm²)]],HC[[#This Row],[As,susp,tot (cm²)]],HC[[#This Row],[Asp,face (cm²)]])</f>
        <v>N.S.</v>
      </c>
      <c r="AZ62" s="4" t="str">
        <f ca="1">concretoBloco(HC[[#This Row],[nE]],HC[[#This Row],[e (cm)]],HC[[#This Row],[a (cm)]],HC[[#This Row],[h (cm)]])</f>
        <v>N.S.</v>
      </c>
      <c r="BA62" s="5">
        <f ca="1">SUM(HC[[#This Row],[Aço Est (kg)]],HC[[#This Row],[Aço Bloco (kg)]])</f>
        <v>12.08413614203314</v>
      </c>
      <c r="BB62" s="4">
        <f>INDEX(composicoes[],MATCH(95580,composicoes[CÓDIGO],0),MATCH("CUSTO TOTAL",composicoes[#Headers],0))</f>
        <v>10.46</v>
      </c>
      <c r="BC62" s="4">
        <f ca="1">SUM(HC[[#This Row],[Conc Est (m³)]],HC[[#This Row],[Conc Bloco (m³)]])</f>
        <v>24.918720229192537</v>
      </c>
      <c r="BD62" s="4">
        <f>INDEX(composicoes[],MATCH(94966,composicoes[CÓDIGO],0),MATCH("CUSTO TOTAL",composicoes[#Headers],0))</f>
        <v>439.52</v>
      </c>
      <c r="BE62" s="38">
        <f ca="1">HC[[#This Row],[Aço (kg)]]*HC[[#This Row],[Aço (R$/kg)]]+HC[[#This Row],[Conc (m³)]]*HC[[#This Row],[Conc (R$/m³)]]</f>
        <v>11078.675979180371</v>
      </c>
      <c r="BF62" s="4" t="str">
        <f ca="1">IF(COUNTIF(HC[#This Row],"N.S.")&gt;0,"lim.","OK")</f>
        <v>lim.</v>
      </c>
      <c r="BG62" s="4" t="str">
        <f>IF(HC[[#This Row],[Prof. (m)]]&lt;4,"lim.","OK")</f>
        <v>lim.</v>
      </c>
      <c r="BH62" s="4" t="str">
        <f>IF(HC[[#This Row],[Prof. (m)]]&gt;=8*HC[[#This Row],[Ø (cm)]]/100,"OK","lim.")</f>
        <v>lim.</v>
      </c>
      <c r="BI62" s="4" t="str">
        <f ca="1">IF(HC[[#This Row],[Verif. Biela]]="OK","OK","lim.")</f>
        <v>OK</v>
      </c>
      <c r="BJ62" s="4" t="str">
        <f ca="1">IF(COUNTA(HC[[#This Row],[Nº Est.]:[Biela comp.]])=COUNTIF(HC[[#This Row],[Nº Est.]:[Biela comp.]],"OK"),"OK","lim.")</f>
        <v>lim.</v>
      </c>
      <c r="BK62" s="4" t="str">
        <f ca="1">IF(HC[[#This Row],[Controle]]="OK",HC[[#This Row],[nE]]&amp;" Ø"&amp;HC[[#This Row],[Ø (cm)]]&amp;"cm Prof. "&amp;HC[[#This Row],[Prof. (m)]]&amp;" m","")</f>
        <v/>
      </c>
      <c r="BL62" s="4" t="str">
        <f ca="1">IF(HC[[#This Row],[idDimensionamento]]="","",HC[[#This Row],[idPilar]]&amp;HC[[#This Row],[idDimensionamento]])</f>
        <v/>
      </c>
    </row>
    <row r="63" spans="2:64" x14ac:dyDescent="0.25">
      <c r="B63" s="12">
        <f>ROUNDUP((ROW(HC[[#This Row],[idDiâmetro]])-ROW(HC[[#Headers],[idDiâmetro]]))/(COUNT(SPT[Prof. (m)])*COUNT(PILARES[Pilar])),0)</f>
        <v>3</v>
      </c>
      <c r="C63" s="12">
        <f>IF(HC[[#This Row],[idDiâmetro]]&lt;&gt;B62,1,IF(HC[[#This Row],[Prof. (m)]]=0,C62+1,C62))</f>
        <v>1</v>
      </c>
      <c r="D63" s="1">
        <f>IFERROR(IF(D62=MAX(SPT[Prof. (m)]),0,D62+1),0)</f>
        <v>2</v>
      </c>
      <c r="E63" s="1">
        <f>INDEX(SPT[],MATCH(HC[[#This Row],[Prof. (m)]],SPT[Prof. (m)],0),2)</f>
        <v>2</v>
      </c>
      <c r="F63" s="1" t="str">
        <f>INDEX(SPT[],MATCH(HC[[#This Row],[Prof. (m)]],SPT[Prof. (m)],0),3)</f>
        <v>Areia siltosa</v>
      </c>
      <c r="G63" s="1">
        <f>INDEX(estacas[],HC[[#This Row],[idDiâmetro]],MATCH($B$2,estacas[#Headers],0))</f>
        <v>35</v>
      </c>
      <c r="H63" s="1">
        <f>INDEX(estacas[],MATCH(HC[[#This Row],[Ø (cm)]],estacas[Ø HC (cm)],0),MATCH(HC[[#Headers],[Pe HC (kN)]],estacas[#Headers],0))</f>
        <v>600</v>
      </c>
      <c r="I63" s="4">
        <f>INDEX(K_alpha_C[],MATCH(HC[[#This Row],[Solo]],K_alpha_C[Solo],0),2)</f>
        <v>0.8</v>
      </c>
      <c r="J63" s="5">
        <f>INDEX(K_alpha_C[],MATCH(HC[[#This Row],[Solo]],K_alpha_C[Solo],0),3)</f>
        <v>2</v>
      </c>
      <c r="K63" s="4">
        <f>INDEX(F1_F2[],MATCH($D$2,F1_F2[Tipo de estaca],0),2)</f>
        <v>2</v>
      </c>
      <c r="L63" s="4">
        <f>INDEX(F1_F2[],MATCH($D$2,F1_F2[Tipo de estaca],0),3)</f>
        <v>4</v>
      </c>
      <c r="M63" s="4">
        <f>PI()*(HC[[#This Row],[Ø (cm)]]/100)^2/4</f>
        <v>9.6211275016187398E-2</v>
      </c>
      <c r="N63" s="4">
        <f>PI()*HC[[#This Row],[Ø (cm)]]/100</f>
        <v>1.0995574287564276</v>
      </c>
      <c r="O63" s="4">
        <f>IF(HC[[#This Row],[Prof. (m)]]=0,0,HC[[#This Row],[α (%)]]/100*HC[[#This Row],[K (MPa)]]*1000*HC[[#This Row],[NSPT]])</f>
        <v>32</v>
      </c>
      <c r="P63" s="4">
        <f>IF(HC[[#This Row],[Prof. (m)]]=0,0,(HC[[#This Row],[K (MPa)]]*1000*HC[[#This Row],[NSPT]]/HC[[#This Row],[F1]]*HC[[#This Row],[Ap (m²)]]+HC[[#This Row],[U (m)]]/HC[[#This Row],[F2]]*SUMIFS(HC[(α∙K∙NL∙ΔL)],HC[Prof. (m)],"&lt;="&amp;HC[[#This Row],[Prof. (m)]],HC[idDiâmetro],HC[[#This Row],[idDiâmetro]],HC[idPilar],HC[[#This Row],[idPilar]]))/'DADOS CAP. CARGA'!$D$2)</f>
        <v>47.280969436526377</v>
      </c>
      <c r="Q63" s="12">
        <f>INDEX(C_alpha_beta[],MATCH(HC[[#This Row],[Solo]],C_alpha_beta[Solo],0),MATCH(HC[[#Headers],[C (kPa)]],C_alpha_beta[#Headers],0))</f>
        <v>400</v>
      </c>
      <c r="R63" s="4">
        <f>INDEX(C_alpha_beta[],MATCH(HC[[#This Row],[Solo]],C_alpha_beta[Solo],0),MATCH(HC[[#Headers],[α ESF]],C_alpha_beta[#Headers],0))</f>
        <v>0.5</v>
      </c>
      <c r="S63" s="4">
        <f>INDEX(C_alpha_beta[],MATCH(HC[[#This Row],[Solo]],C_alpha_beta[Solo],0),MATCH(HC[[#Headers],[β ESF]],C_alpha_beta[#Headers],0))</f>
        <v>0.5</v>
      </c>
      <c r="T63" s="4">
        <f>IF(HC[[#This Row],[Prof. (m)]]=0,0,10*(HC[[#This Row],[NSPT]]/3+1))</f>
        <v>16.666666666666664</v>
      </c>
      <c r="U63" s="4">
        <f>(HC[[#This Row],[α ESF]]*HC[[#This Row],[C (kPa)]]*HC[[#This Row],[NSPT]]*HC[[#This Row],[Ap (m²)]])/'DADOS CAP. CARGA'!$Q$2+(HC[[#This Row],[β ESF]]*SUMIFS(HC[10∙(NL/3+1)],HC[Prof. (m)],"&lt;="&amp;HC[[#This Row],[Prof. (m)]],HC[idDiâmetro],HC[[#This Row],[idDiâmetro]],HC[idPilar],HC[[#This Row],[idPilar]])*HC[[#This Row],[U (m)]])/'DADOS CAP. CARGA'!$S$2</f>
        <v>18.784106074588969</v>
      </c>
      <c r="V63" s="4">
        <f>IF(SPT!$M$5=1,MIN(HC[[#This Row],[Pe HC (kN)]],HC[[#This Row],[R_AV (kN)]]),IF(SPT!$M$5=2,MIN(HC[[#This Row],[Pe HC (kN)]],HC[[#This Row],[R_DC (kN)]]),MIN(HC[[#This Row],[Pe HC (kN)]],HC[[#This Row],[R_AV (kN)]],HC[[#This Row],[R_DC (kN)]])))</f>
        <v>18.784106074588969</v>
      </c>
      <c r="W63" s="4">
        <f>INDEX(PILARES[],HC[[#This Row],[idPilar]],MATCH("Carga (kN)",PILARES[#Headers],0))*1.4</f>
        <v>3500</v>
      </c>
      <c r="X63" s="12">
        <f>INDEX(PILARES[],HC[[#This Row],[idPilar]],MATCH(HC[[#Headers],[ap (cm)]],PILARES[#Headers],0))</f>
        <v>60</v>
      </c>
      <c r="Y63" s="12">
        <f>INDEX(PILARES[],HC[[#This Row],[idPilar]],MATCH(HC[[#Headers],[bp (cm)]],PILARES[#Headers],0))</f>
        <v>60</v>
      </c>
      <c r="Z63" s="4">
        <f>SQRT(HC[[#This Row],[ap (cm)]]*HC[[#This Row],[bp (cm)]])</f>
        <v>60</v>
      </c>
      <c r="AA63" s="12">
        <f>HC[[#This Row],[ap (cm)]]*HC[[#This Row],[bp (cm)]]</f>
        <v>3600</v>
      </c>
      <c r="AB63" s="12">
        <f ca="1">IF(HC[[#This Row],[Padm∙ε (kN)]]&gt;=HC[[#This Row],[Padm (kN)]],ROUNDUP(1.05*HC[[#This Row],[Nsd (kN)]]/HC[[#This Row],[Padm (kN)]],0),ROUNDUP(1.05*HC[[#This Row],[Nsd (kN)]]/HC[[#This Row],[Padm (kN)]],0)+1)</f>
        <v>196</v>
      </c>
      <c r="AC63" s="4" t="str">
        <f ca="1">IFERROR(IF(HC[[#This Row],[nE]]=1,HC[[#This Row],[Padm (kN)]],HC[[#This Row],[Padm (kN)]]*HC[[#This Row],[nE]]*INDEX(grupoEstacas[],HC[[#This Row],[nE]],MATCH("ε",grupoEstacas[#Headers],0))),"N.S.")</f>
        <v>N.S.</v>
      </c>
      <c r="AD63" s="4">
        <f ca="1">1.05*HC[[#This Row],[Nsd (kN)]]/(HC[[#This Row],[nE]]*PI()*HC[[#This Row],[Ø (cm)]]^2/4)*10</f>
        <v>0.19488360378599429</v>
      </c>
      <c r="AE63" s="4">
        <f ca="1">IF(HC[[#This Row],[σ (MPa)]]&lt;INDEX(tipoEstaca[],MATCH($D$2,tipoEstaca[TIPO DE ESTACA],0),MATCH("σmáx (MPa)",tipoEstaca[#Headers],0)),0.4%*PI()*HC[[#This Row],[Ø (cm)]]^2/4,"N.S.")</f>
        <v>3.848451000647497</v>
      </c>
      <c r="AF63" s="1">
        <f>INDEX(tipoEstaca[],MATCH($D$2,tipoEstaca[TIPO DE ESTACA],0),MATCH(HC[[#Headers],[Comprimento (m)]],tipoEstaca[#Headers],0))</f>
        <v>4</v>
      </c>
      <c r="AG63" s="5">
        <f ca="1">HC[[#This Row],[As,mín (cm²)]]/100^2*HC[[#This Row],[Comprimento (m)]]*7850</f>
        <v>12.08413614203314</v>
      </c>
      <c r="AH63" s="4">
        <f ca="1">HC[[#This Row],[nE]]*HC[[#This Row],[Prof. (m)]]*HC[[#This Row],[Ap (m²)]]</f>
        <v>37.71481980634546</v>
      </c>
      <c r="AI63" s="1">
        <f ca="1">IF(HC[[#This Row],[nE]]=1,0,MAX(3*HC[[#This Row],[Ø (cm)]],60))</f>
        <v>105</v>
      </c>
      <c r="AJ63" s="1">
        <f ca="1">IF(HC[[#This Row],[nE]]=1,HC[[#This Row],[Ø (cm)]]+2*10,MAX(1.5*HC[[#This Row],[Ø (cm)]],HC[[#This Row],[Ø (cm)]]+15))</f>
        <v>52.5</v>
      </c>
      <c r="AK63" s="1" t="str">
        <f ca="1">alturaUtil(HC[[#This Row],[nE]],HC[[#This Row],[Ø (cm)]],HC[[#This Row],[e (cm)]],HC[[#This Row],[ap,eq (cm)]])</f>
        <v>N.S.</v>
      </c>
      <c r="AL63" s="1" t="str">
        <f ca="1">IFERROR(HC[[#This Row],[d (cm)]]+arredondarParaCimaMultiplo5cm(MAX(5,SQRT(PI())/2*HC[[#This Row],[Ø (cm)]]/5)),"N.S.")</f>
        <v>N.S.</v>
      </c>
      <c r="AM63" s="5" t="str">
        <f ca="1">alpha(HC[[#This Row],[nE]],HC[[#This Row],[d (cm)]],HC[[#This Row],[e (cm)]],HC[[#This Row],[ap,eq (cm)]])</f>
        <v>N.S.</v>
      </c>
      <c r="AN63" s="35" t="str">
        <f ca="1">IFERROR(HC[[#This Row],[Nsd (kN)]]/(HC[[#This Row],[Ap (cm²)]]*SIN(HC[[#This Row],[α]])^2),"N.S.")</f>
        <v>N.S.</v>
      </c>
      <c r="AO63" s="35" t="str">
        <f ca="1">IFERROR(HC[[#This Row],[Nsd (kN)]]/(HC[[#This Row],[nE]]*PI()*HC[[#This Row],[Ø (cm)]]^2/4*SIN(HC[[#This Row],[α]])^2),"N.S.")</f>
        <v>N.S.</v>
      </c>
      <c r="AP63" s="4" t="str">
        <f ca="1">IFERROR(INDEX(grupoEstacas[],HC[[#This Row],[nE]],MATCH("coef. Blévot",grupoEstacas[#Headers],0)),"N.S.")</f>
        <v>N.S.</v>
      </c>
      <c r="AQ63" s="35" t="str">
        <f ca="1">IFERROR(HC[[#This Row],[coef. Blévot]]*0.9*INDEX(tipoEstaca[],MATCH($D$2,tipoEstaca[TIPO DE ESTACA],0),MATCH("fcd (kN/cm²)",tipoEstaca[#Headers],0)),"N.S.")</f>
        <v>N.S.</v>
      </c>
      <c r="AR63" s="1" t="str">
        <f ca="1">IF(AND(HC[[#This Row],[cd,b,pil (kN/cm²)]]&lt;=HC[[#This Row],[cd,b,lim (kN/cm²)]],HC[[#This Row],[cd,b,est (kN/cm²)]]&lt;=HC[[#This Row],[cd,b,lim (kN/cm²)]]),"OK","ERRO")</f>
        <v>OK</v>
      </c>
      <c r="AS63" s="4" t="str">
        <f ca="1">As_lado(HC[[#This Row],[nE]],HC[[#This Row],[Nsd (kN)]],HC[[#This Row],[d (cm)]],HC[[#This Row],[e (cm)]],HC[[#This Row],[ap,eq (cm)]])</f>
        <v>N.S.</v>
      </c>
      <c r="AT63" s="4" t="str">
        <f ca="1">IF(HC[[#This Row],[nE]]=1,HC[[#This Row],[As,lado (cm²)]],IF(HC[[#This Row],[nE]]=2,0.075*2*HC[a (cm)],"N.A."))</f>
        <v>N.A.</v>
      </c>
      <c r="AU63" s="4" t="str">
        <f ca="1">IFERROR(IF(HC[[#This Row],[nE]]=1,"N.A.",0.2*HC[[#This Row],[As,lado (cm²)]]),"N.S.")</f>
        <v>N.S.</v>
      </c>
      <c r="AV63" s="4" t="str">
        <f ca="1">As_malha(HC[[#This Row],[nE]],HC[[#This Row],[As,lado (cm²)]],HC[[#This Row],[Nsd (kN)]])</f>
        <v>N.S.</v>
      </c>
      <c r="AW63" s="4" t="str">
        <f ca="1">As_susp_tot(HC[[#This Row],[nE]],HC[[#This Row],[Nsd (kN)]])</f>
        <v>N.S.</v>
      </c>
      <c r="AX63" s="4" t="str">
        <f ca="1">Asp_face(HC[[#This Row],[nE]],HC[[#This Row],[As,lado (cm²)]])</f>
        <v>N.S.</v>
      </c>
      <c r="AY63" s="5" t="str">
        <f ca="1">acoBloco(HC[[#This Row],[nE]],HC[[#This Row],[e (cm)]],HC[[#This Row],[a (cm)]],HC[[#This Row],[h (cm)]],HC[[#This Row],[As,lado (cm²)]],HC[[#This Row],[Asp e Asw (cm²/m)]],HC[[#This Row],[As,sup (cm²)]],HC[[#This Row],[As,malha (cm²)]],HC[[#This Row],[As,susp,tot (cm²)]],HC[[#This Row],[Asp,face (cm²)]])</f>
        <v>N.S.</v>
      </c>
      <c r="AZ63" s="4" t="str">
        <f ca="1">concretoBloco(HC[[#This Row],[nE]],HC[[#This Row],[e (cm)]],HC[[#This Row],[a (cm)]],HC[[#This Row],[h (cm)]])</f>
        <v>N.S.</v>
      </c>
      <c r="BA63" s="5">
        <f ca="1">SUM(HC[[#This Row],[Aço Est (kg)]],HC[[#This Row],[Aço Bloco (kg)]])</f>
        <v>12.08413614203314</v>
      </c>
      <c r="BB63" s="4">
        <f>INDEX(composicoes[],MATCH(95580,composicoes[CÓDIGO],0),MATCH("CUSTO TOTAL",composicoes[#Headers],0))</f>
        <v>10.46</v>
      </c>
      <c r="BC63" s="4">
        <f ca="1">SUM(HC[[#This Row],[Conc Est (m³)]],HC[[#This Row],[Conc Bloco (m³)]])</f>
        <v>37.71481980634546</v>
      </c>
      <c r="BD63" s="4">
        <f>INDEX(composicoes[],MATCH(94966,composicoes[CÓDIGO],0),MATCH("CUSTO TOTAL",composicoes[#Headers],0))</f>
        <v>439.52</v>
      </c>
      <c r="BE63" s="38">
        <f ca="1">HC[[#This Row],[Aço (kg)]]*HC[[#This Row],[Aço (R$/kg)]]+HC[[#This Row],[Conc (m³)]]*HC[[#This Row],[Conc (R$/m³)]]</f>
        <v>16702.817665330622</v>
      </c>
      <c r="BF63" s="4" t="str">
        <f ca="1">IF(COUNTIF(HC[#This Row],"N.S.")&gt;0,"lim.","OK")</f>
        <v>lim.</v>
      </c>
      <c r="BG63" s="4" t="str">
        <f>IF(HC[[#This Row],[Prof. (m)]]&lt;4,"lim.","OK")</f>
        <v>lim.</v>
      </c>
      <c r="BH63" s="4" t="str">
        <f>IF(HC[[#This Row],[Prof. (m)]]&gt;=8*HC[[#This Row],[Ø (cm)]]/100,"OK","lim.")</f>
        <v>lim.</v>
      </c>
      <c r="BI63" s="4" t="str">
        <f ca="1">IF(HC[[#This Row],[Verif. Biela]]="OK","OK","lim.")</f>
        <v>OK</v>
      </c>
      <c r="BJ63" s="4" t="str">
        <f ca="1">IF(COUNTA(HC[[#This Row],[Nº Est.]:[Biela comp.]])=COUNTIF(HC[[#This Row],[Nº Est.]:[Biela comp.]],"OK"),"OK","lim.")</f>
        <v>lim.</v>
      </c>
      <c r="BK63" s="4" t="str">
        <f ca="1">IF(HC[[#This Row],[Controle]]="OK",HC[[#This Row],[nE]]&amp;" Ø"&amp;HC[[#This Row],[Ø (cm)]]&amp;"cm Prof. "&amp;HC[[#This Row],[Prof. (m)]]&amp;" m","")</f>
        <v/>
      </c>
      <c r="BL63" s="4" t="str">
        <f ca="1">IF(HC[[#This Row],[idDimensionamento]]="","",HC[[#This Row],[idPilar]]&amp;HC[[#This Row],[idDimensionamento]])</f>
        <v/>
      </c>
    </row>
    <row r="64" spans="2:64" x14ac:dyDescent="0.25">
      <c r="B64" s="12">
        <f>ROUNDUP((ROW(HC[[#This Row],[idDiâmetro]])-ROW(HC[[#Headers],[idDiâmetro]]))/(COUNT(SPT[Prof. (m)])*COUNT(PILARES[Pilar])),0)</f>
        <v>3</v>
      </c>
      <c r="C64" s="12">
        <f>IF(HC[[#This Row],[idDiâmetro]]&lt;&gt;B63,1,IF(HC[[#This Row],[Prof. (m)]]=0,C63+1,C63))</f>
        <v>1</v>
      </c>
      <c r="D64" s="1">
        <f>IFERROR(IF(D63=MAX(SPT[Prof. (m)]),0,D63+1),0)</f>
        <v>3</v>
      </c>
      <c r="E64" s="1">
        <f>INDEX(SPT[],MATCH(HC[[#This Row],[Prof. (m)]],SPT[Prof. (m)],0),2)</f>
        <v>4</v>
      </c>
      <c r="F64" s="1" t="str">
        <f>INDEX(SPT[],MATCH(HC[[#This Row],[Prof. (m)]],SPT[Prof. (m)],0),3)</f>
        <v>Areia siltosa</v>
      </c>
      <c r="G64" s="1">
        <f>INDEX(estacas[],HC[[#This Row],[idDiâmetro]],MATCH($B$2,estacas[#Headers],0))</f>
        <v>35</v>
      </c>
      <c r="H64" s="1">
        <f>INDEX(estacas[],MATCH(HC[[#This Row],[Ø (cm)]],estacas[Ø HC (cm)],0),MATCH(HC[[#Headers],[Pe HC (kN)]],estacas[#Headers],0))</f>
        <v>600</v>
      </c>
      <c r="I64" s="4">
        <f>INDEX(K_alpha_C[],MATCH(HC[[#This Row],[Solo]],K_alpha_C[Solo],0),2)</f>
        <v>0.8</v>
      </c>
      <c r="J64" s="5">
        <f>INDEX(K_alpha_C[],MATCH(HC[[#This Row],[Solo]],K_alpha_C[Solo],0),3)</f>
        <v>2</v>
      </c>
      <c r="K64" s="4">
        <f>INDEX(F1_F2[],MATCH($D$2,F1_F2[Tipo de estaca],0),2)</f>
        <v>2</v>
      </c>
      <c r="L64" s="4">
        <f>INDEX(F1_F2[],MATCH($D$2,F1_F2[Tipo de estaca],0),3)</f>
        <v>4</v>
      </c>
      <c r="M64" s="4">
        <f>PI()*(HC[[#This Row],[Ø (cm)]]/100)^2/4</f>
        <v>9.6211275016187398E-2</v>
      </c>
      <c r="N64" s="4">
        <f>PI()*HC[[#This Row],[Ø (cm)]]/100</f>
        <v>1.0995574287564276</v>
      </c>
      <c r="O64" s="4">
        <f>IF(HC[[#This Row],[Prof. (m)]]=0,0,HC[[#This Row],[α (%)]]/100*HC[[#This Row],[K (MPa)]]*1000*HC[[#This Row],[NSPT]])</f>
        <v>64</v>
      </c>
      <c r="P64" s="4">
        <f>IF(HC[[#This Row],[Prof. (m)]]=0,0,(HC[[#This Row],[K (MPa)]]*1000*HC[[#This Row],[NSPT]]/HC[[#This Row],[F1]]*HC[[#This Row],[Ap (m²)]]+HC[[#This Row],[U (m)]]/HC[[#This Row],[F2]]*SUMIFS(HC[(α∙K∙NL∙ΔL)],HC[Prof. (m)],"&lt;="&amp;HC[[#This Row],[Prof. (m)]],HC[idDiâmetro],HC[[#This Row],[idDiâmetro]],HC[idPilar],HC[[#This Row],[idPilar]]))/'DADOS CAP. CARGA'!$D$2)</f>
        <v>94.561938873052753</v>
      </c>
      <c r="Q64" s="12">
        <f>INDEX(C_alpha_beta[],MATCH(HC[[#This Row],[Solo]],C_alpha_beta[Solo],0),MATCH(HC[[#Headers],[C (kPa)]],C_alpha_beta[#Headers],0))</f>
        <v>400</v>
      </c>
      <c r="R64" s="4">
        <f>INDEX(C_alpha_beta[],MATCH(HC[[#This Row],[Solo]],C_alpha_beta[Solo],0),MATCH(HC[[#Headers],[α ESF]],C_alpha_beta[#Headers],0))</f>
        <v>0.5</v>
      </c>
      <c r="S64" s="4">
        <f>INDEX(C_alpha_beta[],MATCH(HC[[#This Row],[Solo]],C_alpha_beta[Solo],0),MATCH(HC[[#Headers],[β ESF]],C_alpha_beta[#Headers],0))</f>
        <v>0.5</v>
      </c>
      <c r="T64" s="4">
        <f>IF(HC[[#This Row],[Prof. (m)]]=0,0,10*(HC[[#This Row],[NSPT]]/3+1))</f>
        <v>23.333333333333329</v>
      </c>
      <c r="U64" s="4">
        <f>(HC[[#This Row],[α ESF]]*HC[[#This Row],[C (kPa)]]*HC[[#This Row],[NSPT]]*HC[[#This Row],[Ap (m²)]])/'DADOS CAP. CARGA'!$Q$2+(HC[[#This Row],[β ESF]]*SUMIFS(HC[10∙(NL/3+1)],HC[Prof. (m)],"&lt;="&amp;HC[[#This Row],[Prof. (m)]],HC[idDiâmetro],HC[[#This Row],[idDiâmetro]],HC[idPilar],HC[[#This Row],[idPilar]])*HC[[#This Row],[U (m)]])/'DADOS CAP. CARGA'!$S$2</f>
        <v>34.819318577286865</v>
      </c>
      <c r="V64" s="4">
        <f>IF(SPT!$M$5=1,MIN(HC[[#This Row],[Pe HC (kN)]],HC[[#This Row],[R_AV (kN)]]),IF(SPT!$M$5=2,MIN(HC[[#This Row],[Pe HC (kN)]],HC[[#This Row],[R_DC (kN)]]),MIN(HC[[#This Row],[Pe HC (kN)]],HC[[#This Row],[R_AV (kN)]],HC[[#This Row],[R_DC (kN)]])))</f>
        <v>34.819318577286865</v>
      </c>
      <c r="W64" s="4">
        <f>INDEX(PILARES[],HC[[#This Row],[idPilar]],MATCH("Carga (kN)",PILARES[#Headers],0))*1.4</f>
        <v>3500</v>
      </c>
      <c r="X64" s="12">
        <f>INDEX(PILARES[],HC[[#This Row],[idPilar]],MATCH(HC[[#Headers],[ap (cm)]],PILARES[#Headers],0))</f>
        <v>60</v>
      </c>
      <c r="Y64" s="12">
        <f>INDEX(PILARES[],HC[[#This Row],[idPilar]],MATCH(HC[[#Headers],[bp (cm)]],PILARES[#Headers],0))</f>
        <v>60</v>
      </c>
      <c r="Z64" s="4">
        <f>SQRT(HC[[#This Row],[ap (cm)]]*HC[[#This Row],[bp (cm)]])</f>
        <v>60</v>
      </c>
      <c r="AA64" s="12">
        <f>HC[[#This Row],[ap (cm)]]*HC[[#This Row],[bp (cm)]]</f>
        <v>3600</v>
      </c>
      <c r="AB64" s="12">
        <f ca="1">IF(HC[[#This Row],[Padm∙ε (kN)]]&gt;=HC[[#This Row],[Padm (kN)]],ROUNDUP(1.05*HC[[#This Row],[Nsd (kN)]]/HC[[#This Row],[Padm (kN)]],0),ROUNDUP(1.05*HC[[#This Row],[Nsd (kN)]]/HC[[#This Row],[Padm (kN)]],0)+1)</f>
        <v>106</v>
      </c>
      <c r="AC64" s="4" t="str">
        <f ca="1">IFERROR(IF(HC[[#This Row],[nE]]=1,HC[[#This Row],[Padm (kN)]],HC[[#This Row],[Padm (kN)]]*HC[[#This Row],[nE]]*INDEX(grupoEstacas[],HC[[#This Row],[nE]],MATCH("ε",grupoEstacas[#Headers],0))),"N.S.")</f>
        <v>N.S.</v>
      </c>
      <c r="AD64" s="4">
        <f ca="1">1.05*HC[[#This Row],[Nsd (kN)]]/(HC[[#This Row],[nE]]*PI()*HC[[#This Row],[Ø (cm)]]^2/4)*10</f>
        <v>0.36035081454768753</v>
      </c>
      <c r="AE64" s="4">
        <f ca="1">IF(HC[[#This Row],[σ (MPa)]]&lt;INDEX(tipoEstaca[],MATCH($D$2,tipoEstaca[TIPO DE ESTACA],0),MATCH("σmáx (MPa)",tipoEstaca[#Headers],0)),0.4%*PI()*HC[[#This Row],[Ø (cm)]]^2/4,"N.S.")</f>
        <v>3.848451000647497</v>
      </c>
      <c r="AF64" s="1">
        <f>INDEX(tipoEstaca[],MATCH($D$2,tipoEstaca[TIPO DE ESTACA],0),MATCH(HC[[#Headers],[Comprimento (m)]],tipoEstaca[#Headers],0))</f>
        <v>4</v>
      </c>
      <c r="AG64" s="5">
        <f ca="1">HC[[#This Row],[As,mín (cm²)]]/100^2*HC[[#This Row],[Comprimento (m)]]*7850</f>
        <v>12.08413614203314</v>
      </c>
      <c r="AH64" s="4">
        <f ca="1">HC[[#This Row],[nE]]*HC[[#This Row],[Prof. (m)]]*HC[[#This Row],[Ap (m²)]]</f>
        <v>30.595185455147593</v>
      </c>
      <c r="AI64" s="1">
        <f ca="1">IF(HC[[#This Row],[nE]]=1,0,MAX(3*HC[[#This Row],[Ø (cm)]],60))</f>
        <v>105</v>
      </c>
      <c r="AJ64" s="1">
        <f ca="1">IF(HC[[#This Row],[nE]]=1,HC[[#This Row],[Ø (cm)]]+2*10,MAX(1.5*HC[[#This Row],[Ø (cm)]],HC[[#This Row],[Ø (cm)]]+15))</f>
        <v>52.5</v>
      </c>
      <c r="AK64" s="1" t="str">
        <f ca="1">alturaUtil(HC[[#This Row],[nE]],HC[[#This Row],[Ø (cm)]],HC[[#This Row],[e (cm)]],HC[[#This Row],[ap,eq (cm)]])</f>
        <v>N.S.</v>
      </c>
      <c r="AL64" s="1" t="str">
        <f ca="1">IFERROR(HC[[#This Row],[d (cm)]]+arredondarParaCimaMultiplo5cm(MAX(5,SQRT(PI())/2*HC[[#This Row],[Ø (cm)]]/5)),"N.S.")</f>
        <v>N.S.</v>
      </c>
      <c r="AM64" s="5" t="str">
        <f ca="1">alpha(HC[[#This Row],[nE]],HC[[#This Row],[d (cm)]],HC[[#This Row],[e (cm)]],HC[[#This Row],[ap,eq (cm)]])</f>
        <v>N.S.</v>
      </c>
      <c r="AN64" s="35" t="str">
        <f ca="1">IFERROR(HC[[#This Row],[Nsd (kN)]]/(HC[[#This Row],[Ap (cm²)]]*SIN(HC[[#This Row],[α]])^2),"N.S.")</f>
        <v>N.S.</v>
      </c>
      <c r="AO64" s="35" t="str">
        <f ca="1">IFERROR(HC[[#This Row],[Nsd (kN)]]/(HC[[#This Row],[nE]]*PI()*HC[[#This Row],[Ø (cm)]]^2/4*SIN(HC[[#This Row],[α]])^2),"N.S.")</f>
        <v>N.S.</v>
      </c>
      <c r="AP64" s="4" t="str">
        <f ca="1">IFERROR(INDEX(grupoEstacas[],HC[[#This Row],[nE]],MATCH("coef. Blévot",grupoEstacas[#Headers],0)),"N.S.")</f>
        <v>N.S.</v>
      </c>
      <c r="AQ64" s="35" t="str">
        <f ca="1">IFERROR(HC[[#This Row],[coef. Blévot]]*0.9*INDEX(tipoEstaca[],MATCH($D$2,tipoEstaca[TIPO DE ESTACA],0),MATCH("fcd (kN/cm²)",tipoEstaca[#Headers],0)),"N.S.")</f>
        <v>N.S.</v>
      </c>
      <c r="AR64" s="1" t="str">
        <f ca="1">IF(AND(HC[[#This Row],[cd,b,pil (kN/cm²)]]&lt;=HC[[#This Row],[cd,b,lim (kN/cm²)]],HC[[#This Row],[cd,b,est (kN/cm²)]]&lt;=HC[[#This Row],[cd,b,lim (kN/cm²)]]),"OK","ERRO")</f>
        <v>OK</v>
      </c>
      <c r="AS64" s="4" t="str">
        <f ca="1">As_lado(HC[[#This Row],[nE]],HC[[#This Row],[Nsd (kN)]],HC[[#This Row],[d (cm)]],HC[[#This Row],[e (cm)]],HC[[#This Row],[ap,eq (cm)]])</f>
        <v>N.S.</v>
      </c>
      <c r="AT64" s="4" t="str">
        <f ca="1">IF(HC[[#This Row],[nE]]=1,HC[[#This Row],[As,lado (cm²)]],IF(HC[[#This Row],[nE]]=2,0.075*2*HC[a (cm)],"N.A."))</f>
        <v>N.A.</v>
      </c>
      <c r="AU64" s="4" t="str">
        <f ca="1">IFERROR(IF(HC[[#This Row],[nE]]=1,"N.A.",0.2*HC[[#This Row],[As,lado (cm²)]]),"N.S.")</f>
        <v>N.S.</v>
      </c>
      <c r="AV64" s="4" t="str">
        <f ca="1">As_malha(HC[[#This Row],[nE]],HC[[#This Row],[As,lado (cm²)]],HC[[#This Row],[Nsd (kN)]])</f>
        <v>N.S.</v>
      </c>
      <c r="AW64" s="4" t="str">
        <f ca="1">As_susp_tot(HC[[#This Row],[nE]],HC[[#This Row],[Nsd (kN)]])</f>
        <v>N.S.</v>
      </c>
      <c r="AX64" s="4" t="str">
        <f ca="1">Asp_face(HC[[#This Row],[nE]],HC[[#This Row],[As,lado (cm²)]])</f>
        <v>N.S.</v>
      </c>
      <c r="AY64" s="5" t="str">
        <f ca="1">acoBloco(HC[[#This Row],[nE]],HC[[#This Row],[e (cm)]],HC[[#This Row],[a (cm)]],HC[[#This Row],[h (cm)]],HC[[#This Row],[As,lado (cm²)]],HC[[#This Row],[Asp e Asw (cm²/m)]],HC[[#This Row],[As,sup (cm²)]],HC[[#This Row],[As,malha (cm²)]],HC[[#This Row],[As,susp,tot (cm²)]],HC[[#This Row],[Asp,face (cm²)]])</f>
        <v>N.S.</v>
      </c>
      <c r="AZ64" s="4" t="str">
        <f ca="1">concretoBloco(HC[[#This Row],[nE]],HC[[#This Row],[e (cm)]],HC[[#This Row],[a (cm)]],HC[[#This Row],[h (cm)]])</f>
        <v>N.S.</v>
      </c>
      <c r="BA64" s="5">
        <f ca="1">SUM(HC[[#This Row],[Aço Est (kg)]],HC[[#This Row],[Aço Bloco (kg)]])</f>
        <v>12.08413614203314</v>
      </c>
      <c r="BB64" s="4">
        <f>INDEX(composicoes[],MATCH(95580,composicoes[CÓDIGO],0),MATCH("CUSTO TOTAL",composicoes[#Headers],0))</f>
        <v>10.46</v>
      </c>
      <c r="BC64" s="4">
        <f ca="1">SUM(HC[[#This Row],[Conc Est (m³)]],HC[[#This Row],[Conc Bloco (m³)]])</f>
        <v>30.595185455147593</v>
      </c>
      <c r="BD64" s="4">
        <f>INDEX(composicoes[],MATCH(94966,composicoes[CÓDIGO],0),MATCH("CUSTO TOTAL",composicoes[#Headers],0))</f>
        <v>439.52</v>
      </c>
      <c r="BE64" s="38">
        <f ca="1">HC[[#This Row],[Aço (kg)]]*HC[[#This Row],[Aço (R$/kg)]]+HC[[#This Row],[Conc (m³)]]*HC[[#This Row],[Conc (R$/m³)]]</f>
        <v>13573.595975292137</v>
      </c>
      <c r="BF64" s="4" t="str">
        <f ca="1">IF(COUNTIF(HC[#This Row],"N.S.")&gt;0,"lim.","OK")</f>
        <v>lim.</v>
      </c>
      <c r="BG64" s="4" t="str">
        <f>IF(HC[[#This Row],[Prof. (m)]]&lt;4,"lim.","OK")</f>
        <v>lim.</v>
      </c>
      <c r="BH64" s="4" t="str">
        <f>IF(HC[[#This Row],[Prof. (m)]]&gt;=8*HC[[#This Row],[Ø (cm)]]/100,"OK","lim.")</f>
        <v>OK</v>
      </c>
      <c r="BI64" s="4" t="str">
        <f ca="1">IF(HC[[#This Row],[Verif. Biela]]="OK","OK","lim.")</f>
        <v>OK</v>
      </c>
      <c r="BJ64" s="4" t="str">
        <f ca="1">IF(COUNTA(HC[[#This Row],[Nº Est.]:[Biela comp.]])=COUNTIF(HC[[#This Row],[Nº Est.]:[Biela comp.]],"OK"),"OK","lim.")</f>
        <v>lim.</v>
      </c>
      <c r="BK64" s="4" t="str">
        <f ca="1">IF(HC[[#This Row],[Controle]]="OK",HC[[#This Row],[nE]]&amp;" Ø"&amp;HC[[#This Row],[Ø (cm)]]&amp;"cm Prof. "&amp;HC[[#This Row],[Prof. (m)]]&amp;" m","")</f>
        <v/>
      </c>
      <c r="BL64" s="4" t="str">
        <f ca="1">IF(HC[[#This Row],[idDimensionamento]]="","",HC[[#This Row],[idPilar]]&amp;HC[[#This Row],[idDimensionamento]])</f>
        <v/>
      </c>
    </row>
    <row r="65" spans="2:64" x14ac:dyDescent="0.25">
      <c r="B65" s="12">
        <f>ROUNDUP((ROW(HC[[#This Row],[idDiâmetro]])-ROW(HC[[#Headers],[idDiâmetro]]))/(COUNT(SPT[Prof. (m)])*COUNT(PILARES[Pilar])),0)</f>
        <v>3</v>
      </c>
      <c r="C65" s="12">
        <f>IF(HC[[#This Row],[idDiâmetro]]&lt;&gt;B64,1,IF(HC[[#This Row],[Prof. (m)]]=0,C64+1,C64))</f>
        <v>1</v>
      </c>
      <c r="D65" s="1">
        <f>IFERROR(IF(D64=MAX(SPT[Prof. (m)]),0,D64+1),0)</f>
        <v>4</v>
      </c>
      <c r="E65" s="1">
        <f>INDEX(SPT[],MATCH(HC[[#This Row],[Prof. (m)]],SPT[Prof. (m)],0),2)</f>
        <v>8</v>
      </c>
      <c r="F65" s="1" t="str">
        <f>INDEX(SPT[],MATCH(HC[[#This Row],[Prof. (m)]],SPT[Prof. (m)],0),3)</f>
        <v>Areia siltosa</v>
      </c>
      <c r="G65" s="1">
        <f>INDEX(estacas[],HC[[#This Row],[idDiâmetro]],MATCH($B$2,estacas[#Headers],0))</f>
        <v>35</v>
      </c>
      <c r="H65" s="1">
        <f>INDEX(estacas[],MATCH(HC[[#This Row],[Ø (cm)]],estacas[Ø HC (cm)],0),MATCH(HC[[#Headers],[Pe HC (kN)]],estacas[#Headers],0))</f>
        <v>600</v>
      </c>
      <c r="I65" s="4">
        <f>INDEX(K_alpha_C[],MATCH(HC[[#This Row],[Solo]],K_alpha_C[Solo],0),2)</f>
        <v>0.8</v>
      </c>
      <c r="J65" s="5">
        <f>INDEX(K_alpha_C[],MATCH(HC[[#This Row],[Solo]],K_alpha_C[Solo],0),3)</f>
        <v>2</v>
      </c>
      <c r="K65" s="4">
        <f>INDEX(F1_F2[],MATCH($D$2,F1_F2[Tipo de estaca],0),2)</f>
        <v>2</v>
      </c>
      <c r="L65" s="4">
        <f>INDEX(F1_F2[],MATCH($D$2,F1_F2[Tipo de estaca],0),3)</f>
        <v>4</v>
      </c>
      <c r="M65" s="4">
        <f>PI()*(HC[[#This Row],[Ø (cm)]]/100)^2/4</f>
        <v>9.6211275016187398E-2</v>
      </c>
      <c r="N65" s="4">
        <f>PI()*HC[[#This Row],[Ø (cm)]]/100</f>
        <v>1.0995574287564276</v>
      </c>
      <c r="O65" s="4">
        <f>IF(HC[[#This Row],[Prof. (m)]]=0,0,HC[[#This Row],[α (%)]]/100*HC[[#This Row],[K (MPa)]]*1000*HC[[#This Row],[NSPT]])</f>
        <v>128</v>
      </c>
      <c r="P65" s="4">
        <f>IF(HC[[#This Row],[Prof. (m)]]=0,0,(HC[[#This Row],[K (MPa)]]*1000*HC[[#This Row],[NSPT]]/HC[[#This Row],[F1]]*HC[[#This Row],[Ap (m²)]]+HC[[#This Row],[U (m)]]/HC[[#This Row],[F2]]*SUMIFS(HC[(α∙K∙NL∙ΔL)],HC[Prof. (m)],"&lt;="&amp;HC[[#This Row],[Prof. (m)]],HC[idDiâmetro],HC[[#This Row],[idDiâmetro]],HC[idPilar],HC[[#This Row],[idPilar]]))/'DADOS CAP. CARGA'!$D$2)</f>
        <v>189.12387774610551</v>
      </c>
      <c r="Q65" s="12">
        <f>INDEX(C_alpha_beta[],MATCH(HC[[#This Row],[Solo]],C_alpha_beta[Solo],0),MATCH(HC[[#Headers],[C (kPa)]],C_alpha_beta[#Headers],0))</f>
        <v>400</v>
      </c>
      <c r="R65" s="4">
        <f>INDEX(C_alpha_beta[],MATCH(HC[[#This Row],[Solo]],C_alpha_beta[Solo],0),MATCH(HC[[#Headers],[α ESF]],C_alpha_beta[#Headers],0))</f>
        <v>0.5</v>
      </c>
      <c r="S65" s="4">
        <f>INDEX(C_alpha_beta[],MATCH(HC[[#This Row],[Solo]],C_alpha_beta[Solo],0),MATCH(HC[[#Headers],[β ESF]],C_alpha_beta[#Headers],0))</f>
        <v>0.5</v>
      </c>
      <c r="T65" s="4">
        <f>IF(HC[[#This Row],[Prof. (m)]]=0,0,10*(HC[[#This Row],[NSPT]]/3+1))</f>
        <v>36.666666666666664</v>
      </c>
      <c r="U65" s="4">
        <f>(HC[[#This Row],[α ESF]]*HC[[#This Row],[C (kPa)]]*HC[[#This Row],[NSPT]]*HC[[#This Row],[Ap (m²)]])/'DADOS CAP. CARGA'!$Q$2+(HC[[#This Row],[β ESF]]*SUMIFS(HC[10∙(NL/3+1)],HC[Prof. (m)],"&lt;="&amp;HC[[#This Row],[Prof. (m)]],HC[idDiâmetro],HC[[#This Row],[idDiâmetro]],HC[idPilar],HC[[#This Row],[idPilar]])*HC[[#This Row],[U (m)]])/'DADOS CAP. CARGA'!$S$2</f>
        <v>64.140850010791596</v>
      </c>
      <c r="V65" s="4">
        <f>IF(SPT!$M$5=1,MIN(HC[[#This Row],[Pe HC (kN)]],HC[[#This Row],[R_AV (kN)]]),IF(SPT!$M$5=2,MIN(HC[[#This Row],[Pe HC (kN)]],HC[[#This Row],[R_DC (kN)]]),MIN(HC[[#This Row],[Pe HC (kN)]],HC[[#This Row],[R_AV (kN)]],HC[[#This Row],[R_DC (kN)]])))</f>
        <v>64.140850010791596</v>
      </c>
      <c r="W65" s="4">
        <f>INDEX(PILARES[],HC[[#This Row],[idPilar]],MATCH("Carga (kN)",PILARES[#Headers],0))*1.4</f>
        <v>3500</v>
      </c>
      <c r="X65" s="12">
        <f>INDEX(PILARES[],HC[[#This Row],[idPilar]],MATCH(HC[[#Headers],[ap (cm)]],PILARES[#Headers],0))</f>
        <v>60</v>
      </c>
      <c r="Y65" s="12">
        <f>INDEX(PILARES[],HC[[#This Row],[idPilar]],MATCH(HC[[#Headers],[bp (cm)]],PILARES[#Headers],0))</f>
        <v>60</v>
      </c>
      <c r="Z65" s="4">
        <f>SQRT(HC[[#This Row],[ap (cm)]]*HC[[#This Row],[bp (cm)]])</f>
        <v>60</v>
      </c>
      <c r="AA65" s="12">
        <f>HC[[#This Row],[ap (cm)]]*HC[[#This Row],[bp (cm)]]</f>
        <v>3600</v>
      </c>
      <c r="AB65" s="12">
        <f ca="1">IF(HC[[#This Row],[Padm∙ε (kN)]]&gt;=HC[[#This Row],[Padm (kN)]],ROUNDUP(1.05*HC[[#This Row],[Nsd (kN)]]/HC[[#This Row],[Padm (kN)]],0),ROUNDUP(1.05*HC[[#This Row],[Nsd (kN)]]/HC[[#This Row],[Padm (kN)]],0)+1)</f>
        <v>58</v>
      </c>
      <c r="AC65" s="4" t="str">
        <f ca="1">IFERROR(IF(HC[[#This Row],[nE]]=1,HC[[#This Row],[Padm (kN)]],HC[[#This Row],[Padm (kN)]]*HC[[#This Row],[nE]]*INDEX(grupoEstacas[],HC[[#This Row],[nE]],MATCH("ε",grupoEstacas[#Headers],0))),"N.S.")</f>
        <v>N.S.</v>
      </c>
      <c r="AD65" s="4">
        <f ca="1">1.05*HC[[#This Row],[Nsd (kN)]]/(HC[[#This Row],[nE]]*PI()*HC[[#This Row],[Ø (cm)]]^2/4)*10</f>
        <v>0.658572178311291</v>
      </c>
      <c r="AE65" s="4">
        <f ca="1">IF(HC[[#This Row],[σ (MPa)]]&lt;INDEX(tipoEstaca[],MATCH($D$2,tipoEstaca[TIPO DE ESTACA],0),MATCH("σmáx (MPa)",tipoEstaca[#Headers],0)),0.4%*PI()*HC[[#This Row],[Ø (cm)]]^2/4,"N.S.")</f>
        <v>3.848451000647497</v>
      </c>
      <c r="AF65" s="1">
        <f>INDEX(tipoEstaca[],MATCH($D$2,tipoEstaca[TIPO DE ESTACA],0),MATCH(HC[[#Headers],[Comprimento (m)]],tipoEstaca[#Headers],0))</f>
        <v>4</v>
      </c>
      <c r="AG65" s="5">
        <f ca="1">HC[[#This Row],[As,mín (cm²)]]/100^2*HC[[#This Row],[Comprimento (m)]]*7850</f>
        <v>12.08413614203314</v>
      </c>
      <c r="AH65" s="4">
        <f ca="1">HC[[#This Row],[nE]]*HC[[#This Row],[Prof. (m)]]*HC[[#This Row],[Ap (m²)]]</f>
        <v>22.321015803755476</v>
      </c>
      <c r="AI65" s="1">
        <f ca="1">IF(HC[[#This Row],[nE]]=1,0,MAX(3*HC[[#This Row],[Ø (cm)]],60))</f>
        <v>105</v>
      </c>
      <c r="AJ65" s="1">
        <f ca="1">IF(HC[[#This Row],[nE]]=1,HC[[#This Row],[Ø (cm)]]+2*10,MAX(1.5*HC[[#This Row],[Ø (cm)]],HC[[#This Row],[Ø (cm)]]+15))</f>
        <v>52.5</v>
      </c>
      <c r="AK65" s="1" t="str">
        <f ca="1">alturaUtil(HC[[#This Row],[nE]],HC[[#This Row],[Ø (cm)]],HC[[#This Row],[e (cm)]],HC[[#This Row],[ap,eq (cm)]])</f>
        <v>N.S.</v>
      </c>
      <c r="AL65" s="1" t="str">
        <f ca="1">IFERROR(HC[[#This Row],[d (cm)]]+arredondarParaCimaMultiplo5cm(MAX(5,SQRT(PI())/2*HC[[#This Row],[Ø (cm)]]/5)),"N.S.")</f>
        <v>N.S.</v>
      </c>
      <c r="AM65" s="5" t="str">
        <f ca="1">alpha(HC[[#This Row],[nE]],HC[[#This Row],[d (cm)]],HC[[#This Row],[e (cm)]],HC[[#This Row],[ap,eq (cm)]])</f>
        <v>N.S.</v>
      </c>
      <c r="AN65" s="35" t="str">
        <f ca="1">IFERROR(HC[[#This Row],[Nsd (kN)]]/(HC[[#This Row],[Ap (cm²)]]*SIN(HC[[#This Row],[α]])^2),"N.S.")</f>
        <v>N.S.</v>
      </c>
      <c r="AO65" s="35" t="str">
        <f ca="1">IFERROR(HC[[#This Row],[Nsd (kN)]]/(HC[[#This Row],[nE]]*PI()*HC[[#This Row],[Ø (cm)]]^2/4*SIN(HC[[#This Row],[α]])^2),"N.S.")</f>
        <v>N.S.</v>
      </c>
      <c r="AP65" s="4" t="str">
        <f ca="1">IFERROR(INDEX(grupoEstacas[],HC[[#This Row],[nE]],MATCH("coef. Blévot",grupoEstacas[#Headers],0)),"N.S.")</f>
        <v>N.S.</v>
      </c>
      <c r="AQ65" s="35" t="str">
        <f ca="1">IFERROR(HC[[#This Row],[coef. Blévot]]*0.9*INDEX(tipoEstaca[],MATCH($D$2,tipoEstaca[TIPO DE ESTACA],0),MATCH("fcd (kN/cm²)",tipoEstaca[#Headers],0)),"N.S.")</f>
        <v>N.S.</v>
      </c>
      <c r="AR65" s="1" t="str">
        <f ca="1">IF(AND(HC[[#This Row],[cd,b,pil (kN/cm²)]]&lt;=HC[[#This Row],[cd,b,lim (kN/cm²)]],HC[[#This Row],[cd,b,est (kN/cm²)]]&lt;=HC[[#This Row],[cd,b,lim (kN/cm²)]]),"OK","ERRO")</f>
        <v>OK</v>
      </c>
      <c r="AS65" s="4" t="str">
        <f ca="1">As_lado(HC[[#This Row],[nE]],HC[[#This Row],[Nsd (kN)]],HC[[#This Row],[d (cm)]],HC[[#This Row],[e (cm)]],HC[[#This Row],[ap,eq (cm)]])</f>
        <v>N.S.</v>
      </c>
      <c r="AT65" s="4" t="str">
        <f ca="1">IF(HC[[#This Row],[nE]]=1,HC[[#This Row],[As,lado (cm²)]],IF(HC[[#This Row],[nE]]=2,0.075*2*HC[a (cm)],"N.A."))</f>
        <v>N.A.</v>
      </c>
      <c r="AU65" s="4" t="str">
        <f ca="1">IFERROR(IF(HC[[#This Row],[nE]]=1,"N.A.",0.2*HC[[#This Row],[As,lado (cm²)]]),"N.S.")</f>
        <v>N.S.</v>
      </c>
      <c r="AV65" s="4" t="str">
        <f ca="1">As_malha(HC[[#This Row],[nE]],HC[[#This Row],[As,lado (cm²)]],HC[[#This Row],[Nsd (kN)]])</f>
        <v>N.S.</v>
      </c>
      <c r="AW65" s="4" t="str">
        <f ca="1">As_susp_tot(HC[[#This Row],[nE]],HC[[#This Row],[Nsd (kN)]])</f>
        <v>N.S.</v>
      </c>
      <c r="AX65" s="4" t="str">
        <f ca="1">Asp_face(HC[[#This Row],[nE]],HC[[#This Row],[As,lado (cm²)]])</f>
        <v>N.S.</v>
      </c>
      <c r="AY65" s="5" t="str">
        <f ca="1">acoBloco(HC[[#This Row],[nE]],HC[[#This Row],[e (cm)]],HC[[#This Row],[a (cm)]],HC[[#This Row],[h (cm)]],HC[[#This Row],[As,lado (cm²)]],HC[[#This Row],[Asp e Asw (cm²/m)]],HC[[#This Row],[As,sup (cm²)]],HC[[#This Row],[As,malha (cm²)]],HC[[#This Row],[As,susp,tot (cm²)]],HC[[#This Row],[Asp,face (cm²)]])</f>
        <v>N.S.</v>
      </c>
      <c r="AZ65" s="4" t="str">
        <f ca="1">concretoBloco(HC[[#This Row],[nE]],HC[[#This Row],[e (cm)]],HC[[#This Row],[a (cm)]],HC[[#This Row],[h (cm)]])</f>
        <v>N.S.</v>
      </c>
      <c r="BA65" s="5">
        <f ca="1">SUM(HC[[#This Row],[Aço Est (kg)]],HC[[#This Row],[Aço Bloco (kg)]])</f>
        <v>12.08413614203314</v>
      </c>
      <c r="BB65" s="4">
        <f>INDEX(composicoes[],MATCH(95580,composicoes[CÓDIGO],0),MATCH("CUSTO TOTAL",composicoes[#Headers],0))</f>
        <v>10.46</v>
      </c>
      <c r="BC65" s="4">
        <f ca="1">SUM(HC[[#This Row],[Conc Est (m³)]],HC[[#This Row],[Conc Bloco (m³)]])</f>
        <v>22.321015803755476</v>
      </c>
      <c r="BD65" s="4">
        <f>INDEX(composicoes[],MATCH(94966,composicoes[CÓDIGO],0),MATCH("CUSTO TOTAL",composicoes[#Headers],0))</f>
        <v>439.52</v>
      </c>
      <c r="BE65" s="38">
        <f ca="1">HC[[#This Row],[Aço (kg)]]*HC[[#This Row],[Aço (R$/kg)]]+HC[[#This Row],[Conc (m³)]]*HC[[#This Row],[Conc (R$/m³)]]</f>
        <v>9936.9329301122725</v>
      </c>
      <c r="BF65" s="4" t="str">
        <f ca="1">IF(COUNTIF(HC[#This Row],"N.S.")&gt;0,"lim.","OK")</f>
        <v>lim.</v>
      </c>
      <c r="BG65" s="4" t="str">
        <f>IF(HC[[#This Row],[Prof. (m)]]&lt;4,"lim.","OK")</f>
        <v>OK</v>
      </c>
      <c r="BH65" s="4" t="str">
        <f>IF(HC[[#This Row],[Prof. (m)]]&gt;=8*HC[[#This Row],[Ø (cm)]]/100,"OK","lim.")</f>
        <v>OK</v>
      </c>
      <c r="BI65" s="4" t="str">
        <f ca="1">IF(HC[[#This Row],[Verif. Biela]]="OK","OK","lim.")</f>
        <v>OK</v>
      </c>
      <c r="BJ65" s="4" t="str">
        <f ca="1">IF(COUNTA(HC[[#This Row],[Nº Est.]:[Biela comp.]])=COUNTIF(HC[[#This Row],[Nº Est.]:[Biela comp.]],"OK"),"OK","lim.")</f>
        <v>lim.</v>
      </c>
      <c r="BK65" s="4" t="str">
        <f ca="1">IF(HC[[#This Row],[Controle]]="OK",HC[[#This Row],[nE]]&amp;" Ø"&amp;HC[[#This Row],[Ø (cm)]]&amp;"cm Prof. "&amp;HC[[#This Row],[Prof. (m)]]&amp;" m","")</f>
        <v/>
      </c>
      <c r="BL65" s="4" t="str">
        <f ca="1">IF(HC[[#This Row],[idDimensionamento]]="","",HC[[#This Row],[idPilar]]&amp;HC[[#This Row],[idDimensionamento]])</f>
        <v/>
      </c>
    </row>
    <row r="66" spans="2:64" x14ac:dyDescent="0.25">
      <c r="B66" s="12">
        <f>ROUNDUP((ROW(HC[[#This Row],[idDiâmetro]])-ROW(HC[[#Headers],[idDiâmetro]]))/(COUNT(SPT[Prof. (m)])*COUNT(PILARES[Pilar])),0)</f>
        <v>3</v>
      </c>
      <c r="C66" s="12">
        <f>IF(HC[[#This Row],[idDiâmetro]]&lt;&gt;B65,1,IF(HC[[#This Row],[Prof. (m)]]=0,C65+1,C65))</f>
        <v>1</v>
      </c>
      <c r="D66" s="1">
        <f>IFERROR(IF(D65=MAX(SPT[Prof. (m)]),0,D65+1),0)</f>
        <v>5</v>
      </c>
      <c r="E66" s="1">
        <f>INDEX(SPT[],MATCH(HC[[#This Row],[Prof. (m)]],SPT[Prof. (m)],0),2)</f>
        <v>17</v>
      </c>
      <c r="F66" s="1" t="str">
        <f>INDEX(SPT[],MATCH(HC[[#This Row],[Prof. (m)]],SPT[Prof. (m)],0),3)</f>
        <v>Areia siltosa</v>
      </c>
      <c r="G66" s="1">
        <f>INDEX(estacas[],HC[[#This Row],[idDiâmetro]],MATCH($B$2,estacas[#Headers],0))</f>
        <v>35</v>
      </c>
      <c r="H66" s="1">
        <f>INDEX(estacas[],MATCH(HC[[#This Row],[Ø (cm)]],estacas[Ø HC (cm)],0),MATCH(HC[[#Headers],[Pe HC (kN)]],estacas[#Headers],0))</f>
        <v>600</v>
      </c>
      <c r="I66" s="4">
        <f>INDEX(K_alpha_C[],MATCH(HC[[#This Row],[Solo]],K_alpha_C[Solo],0),2)</f>
        <v>0.8</v>
      </c>
      <c r="J66" s="5">
        <f>INDEX(K_alpha_C[],MATCH(HC[[#This Row],[Solo]],K_alpha_C[Solo],0),3)</f>
        <v>2</v>
      </c>
      <c r="K66" s="4">
        <f>INDEX(F1_F2[],MATCH($D$2,F1_F2[Tipo de estaca],0),2)</f>
        <v>2</v>
      </c>
      <c r="L66" s="4">
        <f>INDEX(F1_F2[],MATCH($D$2,F1_F2[Tipo de estaca],0),3)</f>
        <v>4</v>
      </c>
      <c r="M66" s="4">
        <f>PI()*(HC[[#This Row],[Ø (cm)]]/100)^2/4</f>
        <v>9.6211275016187398E-2</v>
      </c>
      <c r="N66" s="4">
        <f>PI()*HC[[#This Row],[Ø (cm)]]/100</f>
        <v>1.0995574287564276</v>
      </c>
      <c r="O66" s="4">
        <f>IF(HC[[#This Row],[Prof. (m)]]=0,0,HC[[#This Row],[α (%)]]/100*HC[[#This Row],[K (MPa)]]*1000*HC[[#This Row],[NSPT]])</f>
        <v>272</v>
      </c>
      <c r="P66" s="4">
        <f>IF(HC[[#This Row],[Prof. (m)]]=0,0,(HC[[#This Row],[K (MPa)]]*1000*HC[[#This Row],[NSPT]]/HC[[#This Row],[F1]]*HC[[#This Row],[Ap (m²)]]+HC[[#This Row],[U (m)]]/HC[[#This Row],[F2]]*SUMIFS(HC[(α∙K∙NL∙ΔL)],HC[Prof. (m)],"&lt;="&amp;HC[[#This Row],[Prof. (m)]],HC[idDiâmetro],HC[[#This Row],[idDiâmetro]],HC[idPilar],HC[[#This Row],[idPilar]]))/'DADOS CAP. CARGA'!$D$2)</f>
        <v>399.68912535296136</v>
      </c>
      <c r="Q66" s="12">
        <f>INDEX(C_alpha_beta[],MATCH(HC[[#This Row],[Solo]],C_alpha_beta[Solo],0),MATCH(HC[[#Headers],[C (kPa)]],C_alpha_beta[#Headers],0))</f>
        <v>400</v>
      </c>
      <c r="R66" s="4">
        <f>INDEX(C_alpha_beta[],MATCH(HC[[#This Row],[Solo]],C_alpha_beta[Solo],0),MATCH(HC[[#Headers],[α ESF]],C_alpha_beta[#Headers],0))</f>
        <v>0.5</v>
      </c>
      <c r="S66" s="4">
        <f>INDEX(C_alpha_beta[],MATCH(HC[[#This Row],[Solo]],C_alpha_beta[Solo],0),MATCH(HC[[#Headers],[β ESF]],C_alpha_beta[#Headers],0))</f>
        <v>0.5</v>
      </c>
      <c r="T66" s="4">
        <f>IF(HC[[#This Row],[Prof. (m)]]=0,0,10*(HC[[#This Row],[NSPT]]/3+1))</f>
        <v>66.666666666666671</v>
      </c>
      <c r="U66" s="4">
        <f>(HC[[#This Row],[α ESF]]*HC[[#This Row],[C (kPa)]]*HC[[#This Row],[NSPT]]*HC[[#This Row],[Ap (m²)]])/'DADOS CAP. CARGA'!$Q$2+(HC[[#This Row],[β ESF]]*SUMIFS(HC[10∙(NL/3+1)],HC[Prof. (m)],"&lt;="&amp;HC[[#This Row],[Prof. (m)]],HC[idDiâmetro],HC[[#This Row],[idDiâmetro]],HC[idPilar],HC[[#This Row],[idPilar]])*HC[[#This Row],[U (m)]])/'DADOS CAP. CARGA'!$S$2</f>
        <v>125.76188091401639</v>
      </c>
      <c r="V66" s="4">
        <f>IF(SPT!$M$5=1,MIN(HC[[#This Row],[Pe HC (kN)]],HC[[#This Row],[R_AV (kN)]]),IF(SPT!$M$5=2,MIN(HC[[#This Row],[Pe HC (kN)]],HC[[#This Row],[R_DC (kN)]]),MIN(HC[[#This Row],[Pe HC (kN)]],HC[[#This Row],[R_AV (kN)]],HC[[#This Row],[R_DC (kN)]])))</f>
        <v>125.76188091401639</v>
      </c>
      <c r="W66" s="4">
        <f>INDEX(PILARES[],HC[[#This Row],[idPilar]],MATCH("Carga (kN)",PILARES[#Headers],0))*1.4</f>
        <v>3500</v>
      </c>
      <c r="X66" s="12">
        <f>INDEX(PILARES[],HC[[#This Row],[idPilar]],MATCH(HC[[#Headers],[ap (cm)]],PILARES[#Headers],0))</f>
        <v>60</v>
      </c>
      <c r="Y66" s="12">
        <f>INDEX(PILARES[],HC[[#This Row],[idPilar]],MATCH(HC[[#Headers],[bp (cm)]],PILARES[#Headers],0))</f>
        <v>60</v>
      </c>
      <c r="Z66" s="4">
        <f>SQRT(HC[[#This Row],[ap (cm)]]*HC[[#This Row],[bp (cm)]])</f>
        <v>60</v>
      </c>
      <c r="AA66" s="12">
        <f>HC[[#This Row],[ap (cm)]]*HC[[#This Row],[bp (cm)]]</f>
        <v>3600</v>
      </c>
      <c r="AB66" s="12">
        <f ca="1">IF(HC[[#This Row],[Padm∙ε (kN)]]&gt;=HC[[#This Row],[Padm (kN)]],ROUNDUP(1.05*HC[[#This Row],[Nsd (kN)]]/HC[[#This Row],[Padm (kN)]],0),ROUNDUP(1.05*HC[[#This Row],[Nsd (kN)]]/HC[[#This Row],[Padm (kN)]],0)+1)</f>
        <v>30</v>
      </c>
      <c r="AC66" s="4" t="str">
        <f ca="1">IFERROR(IF(HC[[#This Row],[nE]]=1,HC[[#This Row],[Padm (kN)]],HC[[#This Row],[Padm (kN)]]*HC[[#This Row],[nE]]*INDEX(grupoEstacas[],HC[[#This Row],[nE]],MATCH("ε",grupoEstacas[#Headers],0))),"N.S.")</f>
        <v>N.S.</v>
      </c>
      <c r="AD66" s="4">
        <f ca="1">1.05*HC[[#This Row],[Nsd (kN)]]/(HC[[#This Row],[nE]]*PI()*HC[[#This Row],[Ø (cm)]]^2/4)*10</f>
        <v>1.273239544735163</v>
      </c>
      <c r="AE66" s="4">
        <f ca="1">IF(HC[[#This Row],[σ (MPa)]]&lt;INDEX(tipoEstaca[],MATCH($D$2,tipoEstaca[TIPO DE ESTACA],0),MATCH("σmáx (MPa)",tipoEstaca[#Headers],0)),0.4%*PI()*HC[[#This Row],[Ø (cm)]]^2/4,"N.S.")</f>
        <v>3.848451000647497</v>
      </c>
      <c r="AF66" s="1">
        <f>INDEX(tipoEstaca[],MATCH($D$2,tipoEstaca[TIPO DE ESTACA],0),MATCH(HC[[#Headers],[Comprimento (m)]],tipoEstaca[#Headers],0))</f>
        <v>4</v>
      </c>
      <c r="AG66" s="5">
        <f ca="1">HC[[#This Row],[As,mín (cm²)]]/100^2*HC[[#This Row],[Comprimento (m)]]*7850</f>
        <v>12.08413614203314</v>
      </c>
      <c r="AH66" s="4">
        <f ca="1">HC[[#This Row],[nE]]*HC[[#This Row],[Prof. (m)]]*HC[[#This Row],[Ap (m²)]]</f>
        <v>14.431691252428109</v>
      </c>
      <c r="AI66" s="1">
        <f ca="1">IF(HC[[#This Row],[nE]]=1,0,MAX(3*HC[[#This Row],[Ø (cm)]],60))</f>
        <v>105</v>
      </c>
      <c r="AJ66" s="1">
        <f ca="1">IF(HC[[#This Row],[nE]]=1,HC[[#This Row],[Ø (cm)]]+2*10,MAX(1.5*HC[[#This Row],[Ø (cm)]],HC[[#This Row],[Ø (cm)]]+15))</f>
        <v>52.5</v>
      </c>
      <c r="AK66" s="1" t="str">
        <f ca="1">alturaUtil(HC[[#This Row],[nE]],HC[[#This Row],[Ø (cm)]],HC[[#This Row],[e (cm)]],HC[[#This Row],[ap,eq (cm)]])</f>
        <v>N.S.</v>
      </c>
      <c r="AL66" s="1" t="str">
        <f ca="1">IFERROR(HC[[#This Row],[d (cm)]]+arredondarParaCimaMultiplo5cm(MAX(5,SQRT(PI())/2*HC[[#This Row],[Ø (cm)]]/5)),"N.S.")</f>
        <v>N.S.</v>
      </c>
      <c r="AM66" s="5" t="str">
        <f ca="1">alpha(HC[[#This Row],[nE]],HC[[#This Row],[d (cm)]],HC[[#This Row],[e (cm)]],HC[[#This Row],[ap,eq (cm)]])</f>
        <v>N.S.</v>
      </c>
      <c r="AN66" s="35" t="str">
        <f ca="1">IFERROR(HC[[#This Row],[Nsd (kN)]]/(HC[[#This Row],[Ap (cm²)]]*SIN(HC[[#This Row],[α]])^2),"N.S.")</f>
        <v>N.S.</v>
      </c>
      <c r="AO66" s="35" t="str">
        <f ca="1">IFERROR(HC[[#This Row],[Nsd (kN)]]/(HC[[#This Row],[nE]]*PI()*HC[[#This Row],[Ø (cm)]]^2/4*SIN(HC[[#This Row],[α]])^2),"N.S.")</f>
        <v>N.S.</v>
      </c>
      <c r="AP66" s="4" t="str">
        <f ca="1">IFERROR(INDEX(grupoEstacas[],HC[[#This Row],[nE]],MATCH("coef. Blévot",grupoEstacas[#Headers],0)),"N.S.")</f>
        <v>N.S.</v>
      </c>
      <c r="AQ66" s="35" t="str">
        <f ca="1">IFERROR(HC[[#This Row],[coef. Blévot]]*0.9*INDEX(tipoEstaca[],MATCH($D$2,tipoEstaca[TIPO DE ESTACA],0),MATCH("fcd (kN/cm²)",tipoEstaca[#Headers],0)),"N.S.")</f>
        <v>N.S.</v>
      </c>
      <c r="AR66" s="1" t="str">
        <f ca="1">IF(AND(HC[[#This Row],[cd,b,pil (kN/cm²)]]&lt;=HC[[#This Row],[cd,b,lim (kN/cm²)]],HC[[#This Row],[cd,b,est (kN/cm²)]]&lt;=HC[[#This Row],[cd,b,lim (kN/cm²)]]),"OK","ERRO")</f>
        <v>OK</v>
      </c>
      <c r="AS66" s="4" t="str">
        <f ca="1">As_lado(HC[[#This Row],[nE]],HC[[#This Row],[Nsd (kN)]],HC[[#This Row],[d (cm)]],HC[[#This Row],[e (cm)]],HC[[#This Row],[ap,eq (cm)]])</f>
        <v>N.S.</v>
      </c>
      <c r="AT66" s="4" t="str">
        <f ca="1">IF(HC[[#This Row],[nE]]=1,HC[[#This Row],[As,lado (cm²)]],IF(HC[[#This Row],[nE]]=2,0.075*2*HC[a (cm)],"N.A."))</f>
        <v>N.A.</v>
      </c>
      <c r="AU66" s="4" t="str">
        <f ca="1">IFERROR(IF(HC[[#This Row],[nE]]=1,"N.A.",0.2*HC[[#This Row],[As,lado (cm²)]]),"N.S.")</f>
        <v>N.S.</v>
      </c>
      <c r="AV66" s="4" t="str">
        <f ca="1">As_malha(HC[[#This Row],[nE]],HC[[#This Row],[As,lado (cm²)]],HC[[#This Row],[Nsd (kN)]])</f>
        <v>N.S.</v>
      </c>
      <c r="AW66" s="4" t="str">
        <f ca="1">As_susp_tot(HC[[#This Row],[nE]],HC[[#This Row],[Nsd (kN)]])</f>
        <v>N.S.</v>
      </c>
      <c r="AX66" s="4" t="str">
        <f ca="1">Asp_face(HC[[#This Row],[nE]],HC[[#This Row],[As,lado (cm²)]])</f>
        <v>N.S.</v>
      </c>
      <c r="AY66" s="5" t="str">
        <f ca="1">acoBloco(HC[[#This Row],[nE]],HC[[#This Row],[e (cm)]],HC[[#This Row],[a (cm)]],HC[[#This Row],[h (cm)]],HC[[#This Row],[As,lado (cm²)]],HC[[#This Row],[Asp e Asw (cm²/m)]],HC[[#This Row],[As,sup (cm²)]],HC[[#This Row],[As,malha (cm²)]],HC[[#This Row],[As,susp,tot (cm²)]],HC[[#This Row],[Asp,face (cm²)]])</f>
        <v>N.S.</v>
      </c>
      <c r="AZ66" s="4" t="str">
        <f ca="1">concretoBloco(HC[[#This Row],[nE]],HC[[#This Row],[e (cm)]],HC[[#This Row],[a (cm)]],HC[[#This Row],[h (cm)]])</f>
        <v>N.S.</v>
      </c>
      <c r="BA66" s="5">
        <f ca="1">SUM(HC[[#This Row],[Aço Est (kg)]],HC[[#This Row],[Aço Bloco (kg)]])</f>
        <v>12.08413614203314</v>
      </c>
      <c r="BB66" s="4">
        <f>INDEX(composicoes[],MATCH(95580,composicoes[CÓDIGO],0),MATCH("CUSTO TOTAL",composicoes[#Headers],0))</f>
        <v>10.46</v>
      </c>
      <c r="BC66" s="4">
        <f ca="1">SUM(HC[[#This Row],[Conc Est (m³)]],HC[[#This Row],[Conc Bloco (m³)]])</f>
        <v>14.431691252428109</v>
      </c>
      <c r="BD66" s="4">
        <f>INDEX(composicoes[],MATCH(94966,composicoes[CÓDIGO],0),MATCH("CUSTO TOTAL",composicoes[#Headers],0))</f>
        <v>439.52</v>
      </c>
      <c r="BE66" s="38">
        <f ca="1">HC[[#This Row],[Aço (kg)]]*HC[[#This Row],[Aço (R$/kg)]]+HC[[#This Row],[Conc (m³)]]*HC[[#This Row],[Conc (R$/m³)]]</f>
        <v>6469.4170033128694</v>
      </c>
      <c r="BF66" s="4" t="str">
        <f ca="1">IF(COUNTIF(HC[#This Row],"N.S.")&gt;0,"lim.","OK")</f>
        <v>lim.</v>
      </c>
      <c r="BG66" s="4" t="str">
        <f>IF(HC[[#This Row],[Prof. (m)]]&lt;4,"lim.","OK")</f>
        <v>OK</v>
      </c>
      <c r="BH66" s="4" t="str">
        <f>IF(HC[[#This Row],[Prof. (m)]]&gt;=8*HC[[#This Row],[Ø (cm)]]/100,"OK","lim.")</f>
        <v>OK</v>
      </c>
      <c r="BI66" s="4" t="str">
        <f ca="1">IF(HC[[#This Row],[Verif. Biela]]="OK","OK","lim.")</f>
        <v>OK</v>
      </c>
      <c r="BJ66" s="4" t="str">
        <f ca="1">IF(COUNTA(HC[[#This Row],[Nº Est.]:[Biela comp.]])=COUNTIF(HC[[#This Row],[Nº Est.]:[Biela comp.]],"OK"),"OK","lim.")</f>
        <v>lim.</v>
      </c>
      <c r="BK66" s="4" t="str">
        <f ca="1">IF(HC[[#This Row],[Controle]]="OK",HC[[#This Row],[nE]]&amp;" Ø"&amp;HC[[#This Row],[Ø (cm)]]&amp;"cm Prof. "&amp;HC[[#This Row],[Prof. (m)]]&amp;" m","")</f>
        <v/>
      </c>
      <c r="BL66" s="4" t="str">
        <f ca="1">IF(HC[[#This Row],[idDimensionamento]]="","",HC[[#This Row],[idPilar]]&amp;HC[[#This Row],[idDimensionamento]])</f>
        <v/>
      </c>
    </row>
    <row r="67" spans="2:64" x14ac:dyDescent="0.25">
      <c r="B67" s="12">
        <f>ROUNDUP((ROW(HC[[#This Row],[idDiâmetro]])-ROW(HC[[#Headers],[idDiâmetro]]))/(COUNT(SPT[Prof. (m)])*COUNT(PILARES[Pilar])),0)</f>
        <v>3</v>
      </c>
      <c r="C67" s="12">
        <f>IF(HC[[#This Row],[idDiâmetro]]&lt;&gt;B66,1,IF(HC[[#This Row],[Prof. (m)]]=0,C66+1,C66))</f>
        <v>1</v>
      </c>
      <c r="D67" s="1">
        <f>IFERROR(IF(D66=MAX(SPT[Prof. (m)]),0,D66+1),0)</f>
        <v>6</v>
      </c>
      <c r="E67" s="1">
        <f>INDEX(SPT[],MATCH(HC[[#This Row],[Prof. (m)]],SPT[Prof. (m)],0),2)</f>
        <v>21</v>
      </c>
      <c r="F67" s="1" t="str">
        <f>INDEX(SPT[],MATCH(HC[[#This Row],[Prof. (m)]],SPT[Prof. (m)],0),3)</f>
        <v>Silte arenoso</v>
      </c>
      <c r="G67" s="1">
        <f>INDEX(estacas[],HC[[#This Row],[idDiâmetro]],MATCH($B$2,estacas[#Headers],0))</f>
        <v>35</v>
      </c>
      <c r="H67" s="1">
        <f>INDEX(estacas[],MATCH(HC[[#This Row],[Ø (cm)]],estacas[Ø HC (cm)],0),MATCH(HC[[#Headers],[Pe HC (kN)]],estacas[#Headers],0))</f>
        <v>600</v>
      </c>
      <c r="I67" s="4">
        <f>INDEX(K_alpha_C[],MATCH(HC[[#This Row],[Solo]],K_alpha_C[Solo],0),2)</f>
        <v>0.55000000000000004</v>
      </c>
      <c r="J67" s="5">
        <f>INDEX(K_alpha_C[],MATCH(HC[[#This Row],[Solo]],K_alpha_C[Solo],0),3)</f>
        <v>2.2000000000000002</v>
      </c>
      <c r="K67" s="4">
        <f>INDEX(F1_F2[],MATCH($D$2,F1_F2[Tipo de estaca],0),2)</f>
        <v>2</v>
      </c>
      <c r="L67" s="4">
        <f>INDEX(F1_F2[],MATCH($D$2,F1_F2[Tipo de estaca],0),3)</f>
        <v>4</v>
      </c>
      <c r="M67" s="4">
        <f>PI()*(HC[[#This Row],[Ø (cm)]]/100)^2/4</f>
        <v>9.6211275016187398E-2</v>
      </c>
      <c r="N67" s="4">
        <f>PI()*HC[[#This Row],[Ø (cm)]]/100</f>
        <v>1.0995574287564276</v>
      </c>
      <c r="O67" s="4">
        <f>IF(HC[[#This Row],[Prof. (m)]]=0,0,HC[[#This Row],[α (%)]]/100*HC[[#This Row],[K (MPa)]]*1000*HC[[#This Row],[NSPT]])</f>
        <v>254.10000000000002</v>
      </c>
      <c r="P67" s="4">
        <f>IF(HC[[#This Row],[Prof. (m)]]=0,0,(HC[[#This Row],[K (MPa)]]*1000*HC[[#This Row],[NSPT]]/HC[[#This Row],[F1]]*HC[[#This Row],[Ap (m²)]]+HC[[#This Row],[U (m)]]/HC[[#This Row],[F2]]*SUMIFS(HC[(α∙K∙NL∙ΔL)],HC[Prof. (m)],"&lt;="&amp;HC[[#This Row],[Prof. (m)]],HC[idDiâmetro],HC[[#This Row],[idDiâmetro]],HC[idPilar],HC[[#This Row],[idPilar]]))/'DADOS CAP. CARGA'!$D$2)</f>
        <v>385.30553973804138</v>
      </c>
      <c r="Q67" s="12">
        <f>INDEX(C_alpha_beta[],MATCH(HC[[#This Row],[Solo]],C_alpha_beta[Solo],0),MATCH(HC[[#Headers],[C (kPa)]],C_alpha_beta[#Headers],0))</f>
        <v>250</v>
      </c>
      <c r="R67" s="4">
        <f>INDEX(C_alpha_beta[],MATCH(HC[[#This Row],[Solo]],C_alpha_beta[Solo],0),MATCH(HC[[#Headers],[α ESF]],C_alpha_beta[#Headers],0))</f>
        <v>0.6</v>
      </c>
      <c r="S67" s="4">
        <f>INDEX(C_alpha_beta[],MATCH(HC[[#This Row],[Solo]],C_alpha_beta[Solo],0),MATCH(HC[[#Headers],[β ESF]],C_alpha_beta[#Headers],0))</f>
        <v>0.65</v>
      </c>
      <c r="T67" s="4">
        <f>IF(HC[[#This Row],[Prof. (m)]]=0,0,10*(HC[[#This Row],[NSPT]]/3+1))</f>
        <v>80</v>
      </c>
      <c r="U67" s="4">
        <f>(HC[[#This Row],[α ESF]]*HC[[#This Row],[C (kPa)]]*HC[[#This Row],[NSPT]]*HC[[#This Row],[Ap (m²)]])/'DADOS CAP. CARGA'!$Q$2+(HC[[#This Row],[β ESF]]*SUMIFS(HC[10∙(NL/3+1)],HC[Prof. (m)],"&lt;="&amp;HC[[#This Row],[Prof. (m)]],HC[idDiâmetro],HC[[#This Row],[idDiâmetro]],HC[idPilar],HC[[#This Row],[idPilar]])*HC[[#This Row],[U (m)]])/'DADOS CAP. CARGA'!$S$2</f>
        <v>161.53185851824892</v>
      </c>
      <c r="V67" s="4">
        <f>IF(SPT!$M$5=1,MIN(HC[[#This Row],[Pe HC (kN)]],HC[[#This Row],[R_AV (kN)]]),IF(SPT!$M$5=2,MIN(HC[[#This Row],[Pe HC (kN)]],HC[[#This Row],[R_DC (kN)]]),MIN(HC[[#This Row],[Pe HC (kN)]],HC[[#This Row],[R_AV (kN)]],HC[[#This Row],[R_DC (kN)]])))</f>
        <v>161.53185851824892</v>
      </c>
      <c r="W67" s="4">
        <f>INDEX(PILARES[],HC[[#This Row],[idPilar]],MATCH("Carga (kN)",PILARES[#Headers],0))*1.4</f>
        <v>3500</v>
      </c>
      <c r="X67" s="12">
        <f>INDEX(PILARES[],HC[[#This Row],[idPilar]],MATCH(HC[[#Headers],[ap (cm)]],PILARES[#Headers],0))</f>
        <v>60</v>
      </c>
      <c r="Y67" s="12">
        <f>INDEX(PILARES[],HC[[#This Row],[idPilar]],MATCH(HC[[#Headers],[bp (cm)]],PILARES[#Headers],0))</f>
        <v>60</v>
      </c>
      <c r="Z67" s="4">
        <f>SQRT(HC[[#This Row],[ap (cm)]]*HC[[#This Row],[bp (cm)]])</f>
        <v>60</v>
      </c>
      <c r="AA67" s="12">
        <f>HC[[#This Row],[ap (cm)]]*HC[[#This Row],[bp (cm)]]</f>
        <v>3600</v>
      </c>
      <c r="AB67" s="12">
        <f ca="1">IF(HC[[#This Row],[Padm∙ε (kN)]]&gt;=HC[[#This Row],[Padm (kN)]],ROUNDUP(1.05*HC[[#This Row],[Nsd (kN)]]/HC[[#This Row],[Padm (kN)]],0),ROUNDUP(1.05*HC[[#This Row],[Nsd (kN)]]/HC[[#This Row],[Padm (kN)]],0)+1)</f>
        <v>23</v>
      </c>
      <c r="AC67" s="4" t="str">
        <f ca="1">IFERROR(IF(HC[[#This Row],[nE]]=1,HC[[#This Row],[Padm (kN)]],HC[[#This Row],[Padm (kN)]]*HC[[#This Row],[nE]]*INDEX(grupoEstacas[],HC[[#This Row],[nE]],MATCH("ε",grupoEstacas[#Headers],0))),"N.S.")</f>
        <v>N.S.</v>
      </c>
      <c r="AD67" s="4">
        <f ca="1">1.05*HC[[#This Row],[Nsd (kN)]]/(HC[[#This Row],[nE]]*PI()*HC[[#This Row],[Ø (cm)]]^2/4)*10</f>
        <v>1.6607472322632557</v>
      </c>
      <c r="AE67" s="4">
        <f ca="1">IF(HC[[#This Row],[σ (MPa)]]&lt;INDEX(tipoEstaca[],MATCH($D$2,tipoEstaca[TIPO DE ESTACA],0),MATCH("σmáx (MPa)",tipoEstaca[#Headers],0)),0.4%*PI()*HC[[#This Row],[Ø (cm)]]^2/4,"N.S.")</f>
        <v>3.848451000647497</v>
      </c>
      <c r="AF67" s="1">
        <f>INDEX(tipoEstaca[],MATCH($D$2,tipoEstaca[TIPO DE ESTACA],0),MATCH(HC[[#Headers],[Comprimento (m)]],tipoEstaca[#Headers],0))</f>
        <v>4</v>
      </c>
      <c r="AG67" s="5">
        <f ca="1">HC[[#This Row],[As,mín (cm²)]]/100^2*HC[[#This Row],[Comprimento (m)]]*7850</f>
        <v>12.08413614203314</v>
      </c>
      <c r="AH67" s="4">
        <f ca="1">HC[[#This Row],[nE]]*HC[[#This Row],[Prof. (m)]]*HC[[#This Row],[Ap (m²)]]</f>
        <v>13.27715595223386</v>
      </c>
      <c r="AI67" s="1">
        <f ca="1">IF(HC[[#This Row],[nE]]=1,0,MAX(3*HC[[#This Row],[Ø (cm)]],60))</f>
        <v>105</v>
      </c>
      <c r="AJ67" s="1">
        <f ca="1">IF(HC[[#This Row],[nE]]=1,HC[[#This Row],[Ø (cm)]]+2*10,MAX(1.5*HC[[#This Row],[Ø (cm)]],HC[[#This Row],[Ø (cm)]]+15))</f>
        <v>52.5</v>
      </c>
      <c r="AK67" s="1" t="str">
        <f ca="1">alturaUtil(HC[[#This Row],[nE]],HC[[#This Row],[Ø (cm)]],HC[[#This Row],[e (cm)]],HC[[#This Row],[ap,eq (cm)]])</f>
        <v>N.S.</v>
      </c>
      <c r="AL67" s="1" t="str">
        <f ca="1">IFERROR(HC[[#This Row],[d (cm)]]+arredondarParaCimaMultiplo5cm(MAX(5,SQRT(PI())/2*HC[[#This Row],[Ø (cm)]]/5)),"N.S.")</f>
        <v>N.S.</v>
      </c>
      <c r="AM67" s="5" t="str">
        <f ca="1">alpha(HC[[#This Row],[nE]],HC[[#This Row],[d (cm)]],HC[[#This Row],[e (cm)]],HC[[#This Row],[ap,eq (cm)]])</f>
        <v>N.S.</v>
      </c>
      <c r="AN67" s="35" t="str">
        <f ca="1">IFERROR(HC[[#This Row],[Nsd (kN)]]/(HC[[#This Row],[Ap (cm²)]]*SIN(HC[[#This Row],[α]])^2),"N.S.")</f>
        <v>N.S.</v>
      </c>
      <c r="AO67" s="35" t="str">
        <f ca="1">IFERROR(HC[[#This Row],[Nsd (kN)]]/(HC[[#This Row],[nE]]*PI()*HC[[#This Row],[Ø (cm)]]^2/4*SIN(HC[[#This Row],[α]])^2),"N.S.")</f>
        <v>N.S.</v>
      </c>
      <c r="AP67" s="4" t="str">
        <f ca="1">IFERROR(INDEX(grupoEstacas[],HC[[#This Row],[nE]],MATCH("coef. Blévot",grupoEstacas[#Headers],0)),"N.S.")</f>
        <v>N.S.</v>
      </c>
      <c r="AQ67" s="35" t="str">
        <f ca="1">IFERROR(HC[[#This Row],[coef. Blévot]]*0.9*INDEX(tipoEstaca[],MATCH($D$2,tipoEstaca[TIPO DE ESTACA],0),MATCH("fcd (kN/cm²)",tipoEstaca[#Headers],0)),"N.S.")</f>
        <v>N.S.</v>
      </c>
      <c r="AR67" s="1" t="str">
        <f ca="1">IF(AND(HC[[#This Row],[cd,b,pil (kN/cm²)]]&lt;=HC[[#This Row],[cd,b,lim (kN/cm²)]],HC[[#This Row],[cd,b,est (kN/cm²)]]&lt;=HC[[#This Row],[cd,b,lim (kN/cm²)]]),"OK","ERRO")</f>
        <v>OK</v>
      </c>
      <c r="AS67" s="4" t="str">
        <f ca="1">As_lado(HC[[#This Row],[nE]],HC[[#This Row],[Nsd (kN)]],HC[[#This Row],[d (cm)]],HC[[#This Row],[e (cm)]],HC[[#This Row],[ap,eq (cm)]])</f>
        <v>N.S.</v>
      </c>
      <c r="AT67" s="4" t="str">
        <f ca="1">IF(HC[[#This Row],[nE]]=1,HC[[#This Row],[As,lado (cm²)]],IF(HC[[#This Row],[nE]]=2,0.075*2*HC[a (cm)],"N.A."))</f>
        <v>N.A.</v>
      </c>
      <c r="AU67" s="4" t="str">
        <f ca="1">IFERROR(IF(HC[[#This Row],[nE]]=1,"N.A.",0.2*HC[[#This Row],[As,lado (cm²)]]),"N.S.")</f>
        <v>N.S.</v>
      </c>
      <c r="AV67" s="4" t="str">
        <f ca="1">As_malha(HC[[#This Row],[nE]],HC[[#This Row],[As,lado (cm²)]],HC[[#This Row],[Nsd (kN)]])</f>
        <v>N.S.</v>
      </c>
      <c r="AW67" s="4" t="str">
        <f ca="1">As_susp_tot(HC[[#This Row],[nE]],HC[[#This Row],[Nsd (kN)]])</f>
        <v>N.S.</v>
      </c>
      <c r="AX67" s="4" t="str">
        <f ca="1">Asp_face(HC[[#This Row],[nE]],HC[[#This Row],[As,lado (cm²)]])</f>
        <v>N.S.</v>
      </c>
      <c r="AY67" s="5" t="str">
        <f ca="1">acoBloco(HC[[#This Row],[nE]],HC[[#This Row],[e (cm)]],HC[[#This Row],[a (cm)]],HC[[#This Row],[h (cm)]],HC[[#This Row],[As,lado (cm²)]],HC[[#This Row],[Asp e Asw (cm²/m)]],HC[[#This Row],[As,sup (cm²)]],HC[[#This Row],[As,malha (cm²)]],HC[[#This Row],[As,susp,tot (cm²)]],HC[[#This Row],[Asp,face (cm²)]])</f>
        <v>N.S.</v>
      </c>
      <c r="AZ67" s="4" t="str">
        <f ca="1">concretoBloco(HC[[#This Row],[nE]],HC[[#This Row],[e (cm)]],HC[[#This Row],[a (cm)]],HC[[#This Row],[h (cm)]])</f>
        <v>N.S.</v>
      </c>
      <c r="BA67" s="5">
        <f ca="1">SUM(HC[[#This Row],[Aço Est (kg)]],HC[[#This Row],[Aço Bloco (kg)]])</f>
        <v>12.08413614203314</v>
      </c>
      <c r="BB67" s="4">
        <f>INDEX(composicoes[],MATCH(95580,composicoes[CÓDIGO],0),MATCH("CUSTO TOTAL",composicoes[#Headers],0))</f>
        <v>10.46</v>
      </c>
      <c r="BC67" s="4">
        <f ca="1">SUM(HC[[#This Row],[Conc Est (m³)]],HC[[#This Row],[Conc Bloco (m³)]])</f>
        <v>13.27715595223386</v>
      </c>
      <c r="BD67" s="4">
        <f>INDEX(composicoes[],MATCH(94966,composicoes[CÓDIGO],0),MATCH("CUSTO TOTAL",composicoes[#Headers],0))</f>
        <v>439.52</v>
      </c>
      <c r="BE67" s="38">
        <f ca="1">HC[[#This Row],[Aço (kg)]]*HC[[#This Row],[Aço (R$/kg)]]+HC[[#This Row],[Conc (m³)]]*HC[[#This Row],[Conc (R$/m³)]]</f>
        <v>5961.975648171493</v>
      </c>
      <c r="BF67" s="4" t="str">
        <f ca="1">IF(COUNTIF(HC[#This Row],"N.S.")&gt;0,"lim.","OK")</f>
        <v>lim.</v>
      </c>
      <c r="BG67" s="4" t="str">
        <f>IF(HC[[#This Row],[Prof. (m)]]&lt;4,"lim.","OK")</f>
        <v>OK</v>
      </c>
      <c r="BH67" s="4" t="str">
        <f>IF(HC[[#This Row],[Prof. (m)]]&gt;=8*HC[[#This Row],[Ø (cm)]]/100,"OK","lim.")</f>
        <v>OK</v>
      </c>
      <c r="BI67" s="4" t="str">
        <f ca="1">IF(HC[[#This Row],[Verif. Biela]]="OK","OK","lim.")</f>
        <v>OK</v>
      </c>
      <c r="BJ67" s="4" t="str">
        <f ca="1">IF(COUNTA(HC[[#This Row],[Nº Est.]:[Biela comp.]])=COUNTIF(HC[[#This Row],[Nº Est.]:[Biela comp.]],"OK"),"OK","lim.")</f>
        <v>lim.</v>
      </c>
      <c r="BK67" s="4" t="str">
        <f ca="1">IF(HC[[#This Row],[Controle]]="OK",HC[[#This Row],[nE]]&amp;" Ø"&amp;HC[[#This Row],[Ø (cm)]]&amp;"cm Prof. "&amp;HC[[#This Row],[Prof. (m)]]&amp;" m","")</f>
        <v/>
      </c>
      <c r="BL67" s="4" t="str">
        <f ca="1">IF(HC[[#This Row],[idDimensionamento]]="","",HC[[#This Row],[idPilar]]&amp;HC[[#This Row],[idDimensionamento]])</f>
        <v/>
      </c>
    </row>
    <row r="68" spans="2:64" x14ac:dyDescent="0.25">
      <c r="B68" s="12">
        <f>ROUNDUP((ROW(HC[[#This Row],[idDiâmetro]])-ROW(HC[[#Headers],[idDiâmetro]]))/(COUNT(SPT[Prof. (m)])*COUNT(PILARES[Pilar])),0)</f>
        <v>3</v>
      </c>
      <c r="C68" s="12">
        <f>IF(HC[[#This Row],[idDiâmetro]]&lt;&gt;B67,1,IF(HC[[#This Row],[Prof. (m)]]=0,C67+1,C67))</f>
        <v>1</v>
      </c>
      <c r="D68" s="1">
        <f>IFERROR(IF(D67=MAX(SPT[Prof. (m)]),0,D67+1),0)</f>
        <v>7</v>
      </c>
      <c r="E68" s="1">
        <f>INDEX(SPT[],MATCH(HC[[#This Row],[Prof. (m)]],SPT[Prof. (m)],0),2)</f>
        <v>8</v>
      </c>
      <c r="F68" s="1" t="str">
        <f>INDEX(SPT[],MATCH(HC[[#This Row],[Prof. (m)]],SPT[Prof. (m)],0),3)</f>
        <v>Silte arenoso</v>
      </c>
      <c r="G68" s="1">
        <f>INDEX(estacas[],HC[[#This Row],[idDiâmetro]],MATCH($B$2,estacas[#Headers],0))</f>
        <v>35</v>
      </c>
      <c r="H68" s="1">
        <f>INDEX(estacas[],MATCH(HC[[#This Row],[Ø (cm)]],estacas[Ø HC (cm)],0),MATCH(HC[[#Headers],[Pe HC (kN)]],estacas[#Headers],0))</f>
        <v>600</v>
      </c>
      <c r="I68" s="4">
        <f>INDEX(K_alpha_C[],MATCH(HC[[#This Row],[Solo]],K_alpha_C[Solo],0),2)</f>
        <v>0.55000000000000004</v>
      </c>
      <c r="J68" s="5">
        <f>INDEX(K_alpha_C[],MATCH(HC[[#This Row],[Solo]],K_alpha_C[Solo],0),3)</f>
        <v>2.2000000000000002</v>
      </c>
      <c r="K68" s="4">
        <f>INDEX(F1_F2[],MATCH($D$2,F1_F2[Tipo de estaca],0),2)</f>
        <v>2</v>
      </c>
      <c r="L68" s="4">
        <f>INDEX(F1_F2[],MATCH($D$2,F1_F2[Tipo de estaca],0),3)</f>
        <v>4</v>
      </c>
      <c r="M68" s="4">
        <f>PI()*(HC[[#This Row],[Ø (cm)]]/100)^2/4</f>
        <v>9.6211275016187398E-2</v>
      </c>
      <c r="N68" s="4">
        <f>PI()*HC[[#This Row],[Ø (cm)]]/100</f>
        <v>1.0995574287564276</v>
      </c>
      <c r="O68" s="4">
        <f>IF(HC[[#This Row],[Prof. (m)]]=0,0,HC[[#This Row],[α (%)]]/100*HC[[#This Row],[K (MPa)]]*1000*HC[[#This Row],[NSPT]])</f>
        <v>96.800000000000011</v>
      </c>
      <c r="P68" s="4">
        <f>IF(HC[[#This Row],[Prof. (m)]]=0,0,(HC[[#This Row],[K (MPa)]]*1000*HC[[#This Row],[NSPT]]/HC[[#This Row],[F1]]*HC[[#This Row],[Ap (m²)]]+HC[[#This Row],[U (m)]]/HC[[#This Row],[F2]]*SUMIFS(HC[(α∙K∙NL∙ΔL)],HC[Prof. (m)],"&lt;="&amp;HC[[#This Row],[Prof. (m)]],HC[idDiâmetro],HC[[#This Row],[idDiâmetro]],HC[idPilar],HC[[#This Row],[idPilar]]))/'DADOS CAP. CARGA'!$D$2)</f>
        <v>226.63253053455918</v>
      </c>
      <c r="Q68" s="12">
        <f>INDEX(C_alpha_beta[],MATCH(HC[[#This Row],[Solo]],C_alpha_beta[Solo],0),MATCH(HC[[#Headers],[C (kPa)]],C_alpha_beta[#Headers],0))</f>
        <v>250</v>
      </c>
      <c r="R68" s="4">
        <f>INDEX(C_alpha_beta[],MATCH(HC[[#This Row],[Solo]],C_alpha_beta[Solo],0),MATCH(HC[[#Headers],[α ESF]],C_alpha_beta[#Headers],0))</f>
        <v>0.6</v>
      </c>
      <c r="S68" s="4">
        <f>INDEX(C_alpha_beta[],MATCH(HC[[#This Row],[Solo]],C_alpha_beta[Solo],0),MATCH(HC[[#Headers],[β ESF]],C_alpha_beta[#Headers],0))</f>
        <v>0.65</v>
      </c>
      <c r="T68" s="4">
        <f>IF(HC[[#This Row],[Prof. (m)]]=0,0,10*(HC[[#This Row],[NSPT]]/3+1))</f>
        <v>36.666666666666664</v>
      </c>
      <c r="U68" s="4">
        <f>(HC[[#This Row],[α ESF]]*HC[[#This Row],[C (kPa)]]*HC[[#This Row],[NSPT]]*HC[[#This Row],[Ap (m²)]])/'DADOS CAP. CARGA'!$Q$2+(HC[[#This Row],[β ESF]]*SUMIFS(HC[10∙(NL/3+1)],HC[Prof. (m)],"&lt;="&amp;HC[[#This Row],[Prof. (m)]],HC[idDiâmetro],HC[[#This Row],[idDiâmetro]],HC[idPilar],HC[[#This Row],[idPilar]])*HC[[#This Row],[U (m)]])/'DADOS CAP. CARGA'!$S$2</f>
        <v>127.731921307205</v>
      </c>
      <c r="V68" s="4">
        <f>IF(SPT!$M$5=1,MIN(HC[[#This Row],[Pe HC (kN)]],HC[[#This Row],[R_AV (kN)]]),IF(SPT!$M$5=2,MIN(HC[[#This Row],[Pe HC (kN)]],HC[[#This Row],[R_DC (kN)]]),MIN(HC[[#This Row],[Pe HC (kN)]],HC[[#This Row],[R_AV (kN)]],HC[[#This Row],[R_DC (kN)]])))</f>
        <v>127.731921307205</v>
      </c>
      <c r="W68" s="4">
        <f>INDEX(PILARES[],HC[[#This Row],[idPilar]],MATCH("Carga (kN)",PILARES[#Headers],0))*1.4</f>
        <v>3500</v>
      </c>
      <c r="X68" s="12">
        <f>INDEX(PILARES[],HC[[#This Row],[idPilar]],MATCH(HC[[#Headers],[ap (cm)]],PILARES[#Headers],0))</f>
        <v>60</v>
      </c>
      <c r="Y68" s="12">
        <f>INDEX(PILARES[],HC[[#This Row],[idPilar]],MATCH(HC[[#Headers],[bp (cm)]],PILARES[#Headers],0))</f>
        <v>60</v>
      </c>
      <c r="Z68" s="4">
        <f>SQRT(HC[[#This Row],[ap (cm)]]*HC[[#This Row],[bp (cm)]])</f>
        <v>60</v>
      </c>
      <c r="AA68" s="12">
        <f>HC[[#This Row],[ap (cm)]]*HC[[#This Row],[bp (cm)]]</f>
        <v>3600</v>
      </c>
      <c r="AB68" s="12">
        <f ca="1">IF(HC[[#This Row],[Padm∙ε (kN)]]&gt;=HC[[#This Row],[Padm (kN)]],ROUNDUP(1.05*HC[[#This Row],[Nsd (kN)]]/HC[[#This Row],[Padm (kN)]],0),ROUNDUP(1.05*HC[[#This Row],[Nsd (kN)]]/HC[[#This Row],[Padm (kN)]],0)+1)</f>
        <v>29</v>
      </c>
      <c r="AC68" s="4" t="str">
        <f ca="1">IFERROR(IF(HC[[#This Row],[nE]]=1,HC[[#This Row],[Padm (kN)]],HC[[#This Row],[Padm (kN)]]*HC[[#This Row],[nE]]*INDEX(grupoEstacas[],HC[[#This Row],[nE]],MATCH("ε",grupoEstacas[#Headers],0))),"N.S.")</f>
        <v>N.S.</v>
      </c>
      <c r="AD68" s="4">
        <f ca="1">1.05*HC[[#This Row],[Nsd (kN)]]/(HC[[#This Row],[nE]]*PI()*HC[[#This Row],[Ø (cm)]]^2/4)*10</f>
        <v>1.317144356622582</v>
      </c>
      <c r="AE68" s="4">
        <f ca="1">IF(HC[[#This Row],[σ (MPa)]]&lt;INDEX(tipoEstaca[],MATCH($D$2,tipoEstaca[TIPO DE ESTACA],0),MATCH("σmáx (MPa)",tipoEstaca[#Headers],0)),0.4%*PI()*HC[[#This Row],[Ø (cm)]]^2/4,"N.S.")</f>
        <v>3.848451000647497</v>
      </c>
      <c r="AF68" s="1">
        <f>INDEX(tipoEstaca[],MATCH($D$2,tipoEstaca[TIPO DE ESTACA],0),MATCH(HC[[#Headers],[Comprimento (m)]],tipoEstaca[#Headers],0))</f>
        <v>4</v>
      </c>
      <c r="AG68" s="5">
        <f ca="1">HC[[#This Row],[As,mín (cm²)]]/100^2*HC[[#This Row],[Comprimento (m)]]*7850</f>
        <v>12.08413614203314</v>
      </c>
      <c r="AH68" s="4">
        <f ca="1">HC[[#This Row],[nE]]*HC[[#This Row],[Prof. (m)]]*HC[[#This Row],[Ap (m²)]]</f>
        <v>19.530888828286042</v>
      </c>
      <c r="AI68" s="1">
        <f ca="1">IF(HC[[#This Row],[nE]]=1,0,MAX(3*HC[[#This Row],[Ø (cm)]],60))</f>
        <v>105</v>
      </c>
      <c r="AJ68" s="1">
        <f ca="1">IF(HC[[#This Row],[nE]]=1,HC[[#This Row],[Ø (cm)]]+2*10,MAX(1.5*HC[[#This Row],[Ø (cm)]],HC[[#This Row],[Ø (cm)]]+15))</f>
        <v>52.5</v>
      </c>
      <c r="AK68" s="1" t="str">
        <f ca="1">alturaUtil(HC[[#This Row],[nE]],HC[[#This Row],[Ø (cm)]],HC[[#This Row],[e (cm)]],HC[[#This Row],[ap,eq (cm)]])</f>
        <v>N.S.</v>
      </c>
      <c r="AL68" s="1" t="str">
        <f ca="1">IFERROR(HC[[#This Row],[d (cm)]]+arredondarParaCimaMultiplo5cm(MAX(5,SQRT(PI())/2*HC[[#This Row],[Ø (cm)]]/5)),"N.S.")</f>
        <v>N.S.</v>
      </c>
      <c r="AM68" s="5" t="str">
        <f ca="1">alpha(HC[[#This Row],[nE]],HC[[#This Row],[d (cm)]],HC[[#This Row],[e (cm)]],HC[[#This Row],[ap,eq (cm)]])</f>
        <v>N.S.</v>
      </c>
      <c r="AN68" s="35" t="str">
        <f ca="1">IFERROR(HC[[#This Row],[Nsd (kN)]]/(HC[[#This Row],[Ap (cm²)]]*SIN(HC[[#This Row],[α]])^2),"N.S.")</f>
        <v>N.S.</v>
      </c>
      <c r="AO68" s="35" t="str">
        <f ca="1">IFERROR(HC[[#This Row],[Nsd (kN)]]/(HC[[#This Row],[nE]]*PI()*HC[[#This Row],[Ø (cm)]]^2/4*SIN(HC[[#This Row],[α]])^2),"N.S.")</f>
        <v>N.S.</v>
      </c>
      <c r="AP68" s="4" t="str">
        <f ca="1">IFERROR(INDEX(grupoEstacas[],HC[[#This Row],[nE]],MATCH("coef. Blévot",grupoEstacas[#Headers],0)),"N.S.")</f>
        <v>N.S.</v>
      </c>
      <c r="AQ68" s="35" t="str">
        <f ca="1">IFERROR(HC[[#This Row],[coef. Blévot]]*0.9*INDEX(tipoEstaca[],MATCH($D$2,tipoEstaca[TIPO DE ESTACA],0),MATCH("fcd (kN/cm²)",tipoEstaca[#Headers],0)),"N.S.")</f>
        <v>N.S.</v>
      </c>
      <c r="AR68" s="1" t="str">
        <f ca="1">IF(AND(HC[[#This Row],[cd,b,pil (kN/cm²)]]&lt;=HC[[#This Row],[cd,b,lim (kN/cm²)]],HC[[#This Row],[cd,b,est (kN/cm²)]]&lt;=HC[[#This Row],[cd,b,lim (kN/cm²)]]),"OK","ERRO")</f>
        <v>OK</v>
      </c>
      <c r="AS68" s="4" t="str">
        <f ca="1">As_lado(HC[[#This Row],[nE]],HC[[#This Row],[Nsd (kN)]],HC[[#This Row],[d (cm)]],HC[[#This Row],[e (cm)]],HC[[#This Row],[ap,eq (cm)]])</f>
        <v>N.S.</v>
      </c>
      <c r="AT68" s="4" t="str">
        <f ca="1">IF(HC[[#This Row],[nE]]=1,HC[[#This Row],[As,lado (cm²)]],IF(HC[[#This Row],[nE]]=2,0.075*2*HC[a (cm)],"N.A."))</f>
        <v>N.A.</v>
      </c>
      <c r="AU68" s="4" t="str">
        <f ca="1">IFERROR(IF(HC[[#This Row],[nE]]=1,"N.A.",0.2*HC[[#This Row],[As,lado (cm²)]]),"N.S.")</f>
        <v>N.S.</v>
      </c>
      <c r="AV68" s="4" t="str">
        <f ca="1">As_malha(HC[[#This Row],[nE]],HC[[#This Row],[As,lado (cm²)]],HC[[#This Row],[Nsd (kN)]])</f>
        <v>N.S.</v>
      </c>
      <c r="AW68" s="4" t="str">
        <f ca="1">As_susp_tot(HC[[#This Row],[nE]],HC[[#This Row],[Nsd (kN)]])</f>
        <v>N.S.</v>
      </c>
      <c r="AX68" s="4" t="str">
        <f ca="1">Asp_face(HC[[#This Row],[nE]],HC[[#This Row],[As,lado (cm²)]])</f>
        <v>N.S.</v>
      </c>
      <c r="AY68" s="5" t="str">
        <f ca="1">acoBloco(HC[[#This Row],[nE]],HC[[#This Row],[e (cm)]],HC[[#This Row],[a (cm)]],HC[[#This Row],[h (cm)]],HC[[#This Row],[As,lado (cm²)]],HC[[#This Row],[Asp e Asw (cm²/m)]],HC[[#This Row],[As,sup (cm²)]],HC[[#This Row],[As,malha (cm²)]],HC[[#This Row],[As,susp,tot (cm²)]],HC[[#This Row],[Asp,face (cm²)]])</f>
        <v>N.S.</v>
      </c>
      <c r="AZ68" s="4" t="str">
        <f ca="1">concretoBloco(HC[[#This Row],[nE]],HC[[#This Row],[e (cm)]],HC[[#This Row],[a (cm)]],HC[[#This Row],[h (cm)]])</f>
        <v>N.S.</v>
      </c>
      <c r="BA68" s="5">
        <f ca="1">SUM(HC[[#This Row],[Aço Est (kg)]],HC[[#This Row],[Aço Bloco (kg)]])</f>
        <v>12.08413614203314</v>
      </c>
      <c r="BB68" s="4">
        <f>INDEX(composicoes[],MATCH(95580,composicoes[CÓDIGO],0),MATCH("CUSTO TOTAL",composicoes[#Headers],0))</f>
        <v>10.46</v>
      </c>
      <c r="BC68" s="4">
        <f ca="1">SUM(HC[[#This Row],[Conc Est (m³)]],HC[[#This Row],[Conc Bloco (m³)]])</f>
        <v>19.530888828286042</v>
      </c>
      <c r="BD68" s="4">
        <f>INDEX(composicoes[],MATCH(94966,composicoes[CÓDIGO],0),MATCH("CUSTO TOTAL",composicoes[#Headers],0))</f>
        <v>439.52</v>
      </c>
      <c r="BE68" s="38">
        <f ca="1">HC[[#This Row],[Aço (kg)]]*HC[[#This Row],[Aço (R$/kg)]]+HC[[#This Row],[Conc (m³)]]*HC[[#This Row],[Conc (R$/m³)]]</f>
        <v>8710.6163218539477</v>
      </c>
      <c r="BF68" s="4" t="str">
        <f ca="1">IF(COUNTIF(HC[#This Row],"N.S.")&gt;0,"lim.","OK")</f>
        <v>lim.</v>
      </c>
      <c r="BG68" s="4" t="str">
        <f>IF(HC[[#This Row],[Prof. (m)]]&lt;4,"lim.","OK")</f>
        <v>OK</v>
      </c>
      <c r="BH68" s="4" t="str">
        <f>IF(HC[[#This Row],[Prof. (m)]]&gt;=8*HC[[#This Row],[Ø (cm)]]/100,"OK","lim.")</f>
        <v>OK</v>
      </c>
      <c r="BI68" s="4" t="str">
        <f ca="1">IF(HC[[#This Row],[Verif. Biela]]="OK","OK","lim.")</f>
        <v>OK</v>
      </c>
      <c r="BJ68" s="4" t="str">
        <f ca="1">IF(COUNTA(HC[[#This Row],[Nº Est.]:[Biela comp.]])=COUNTIF(HC[[#This Row],[Nº Est.]:[Biela comp.]],"OK"),"OK","lim.")</f>
        <v>lim.</v>
      </c>
      <c r="BK68" s="4" t="str">
        <f ca="1">IF(HC[[#This Row],[Controle]]="OK",HC[[#This Row],[nE]]&amp;" Ø"&amp;HC[[#This Row],[Ø (cm)]]&amp;"cm Prof. "&amp;HC[[#This Row],[Prof. (m)]]&amp;" m","")</f>
        <v/>
      </c>
      <c r="BL68" s="4" t="str">
        <f ca="1">IF(HC[[#This Row],[idDimensionamento]]="","",HC[[#This Row],[idPilar]]&amp;HC[[#This Row],[idDimensionamento]])</f>
        <v/>
      </c>
    </row>
    <row r="69" spans="2:64" x14ac:dyDescent="0.25">
      <c r="B69" s="12">
        <f>ROUNDUP((ROW(HC[[#This Row],[idDiâmetro]])-ROW(HC[[#Headers],[idDiâmetro]]))/(COUNT(SPT[Prof. (m)])*COUNT(PILARES[Pilar])),0)</f>
        <v>3</v>
      </c>
      <c r="C69" s="12">
        <f>IF(HC[[#This Row],[idDiâmetro]]&lt;&gt;B68,1,IF(HC[[#This Row],[Prof. (m)]]=0,C68+1,C68))</f>
        <v>1</v>
      </c>
      <c r="D69" s="1">
        <f>IFERROR(IF(D68=MAX(SPT[Prof. (m)]),0,D68+1),0)</f>
        <v>8</v>
      </c>
      <c r="E69" s="1">
        <f>INDEX(SPT[],MATCH(HC[[#This Row],[Prof. (m)]],SPT[Prof. (m)],0),2)</f>
        <v>10</v>
      </c>
      <c r="F69" s="1" t="str">
        <f>INDEX(SPT[],MATCH(HC[[#This Row],[Prof. (m)]],SPT[Prof. (m)],0),3)</f>
        <v>Silte arenoso</v>
      </c>
      <c r="G69" s="1">
        <f>INDEX(estacas[],HC[[#This Row],[idDiâmetro]],MATCH($B$2,estacas[#Headers],0))</f>
        <v>35</v>
      </c>
      <c r="H69" s="1">
        <f>INDEX(estacas[],MATCH(HC[[#This Row],[Ø (cm)]],estacas[Ø HC (cm)],0),MATCH(HC[[#Headers],[Pe HC (kN)]],estacas[#Headers],0))</f>
        <v>600</v>
      </c>
      <c r="I69" s="4">
        <f>INDEX(K_alpha_C[],MATCH(HC[[#This Row],[Solo]],K_alpha_C[Solo],0),2)</f>
        <v>0.55000000000000004</v>
      </c>
      <c r="J69" s="5">
        <f>INDEX(K_alpha_C[],MATCH(HC[[#This Row],[Solo]],K_alpha_C[Solo],0),3)</f>
        <v>2.2000000000000002</v>
      </c>
      <c r="K69" s="4">
        <f>INDEX(F1_F2[],MATCH($D$2,F1_F2[Tipo de estaca],0),2)</f>
        <v>2</v>
      </c>
      <c r="L69" s="4">
        <f>INDEX(F1_F2[],MATCH($D$2,F1_F2[Tipo de estaca],0),3)</f>
        <v>4</v>
      </c>
      <c r="M69" s="4">
        <f>PI()*(HC[[#This Row],[Ø (cm)]]/100)^2/4</f>
        <v>9.6211275016187398E-2</v>
      </c>
      <c r="N69" s="4">
        <f>PI()*HC[[#This Row],[Ø (cm)]]/100</f>
        <v>1.0995574287564276</v>
      </c>
      <c r="O69" s="4">
        <f>IF(HC[[#This Row],[Prof. (m)]]=0,0,HC[[#This Row],[α (%)]]/100*HC[[#This Row],[K (MPa)]]*1000*HC[[#This Row],[NSPT]])</f>
        <v>121.00000000000001</v>
      </c>
      <c r="P69" s="4">
        <f>IF(HC[[#This Row],[Prof. (m)]]=0,0,(HC[[#This Row],[K (MPa)]]*1000*HC[[#This Row],[NSPT]]/HC[[#This Row],[F1]]*HC[[#This Row],[Ap (m²)]]+HC[[#This Row],[U (m)]]/HC[[#This Row],[F2]]*SUMIFS(HC[(α∙K∙NL∙ΔL)],HC[Prof. (m)],"&lt;="&amp;HC[[#This Row],[Prof. (m)]],HC[idDiâmetro],HC[[#This Row],[idDiâmetro]],HC[idPilar],HC[[#This Row],[idPilar]]))/'DADOS CAP. CARGA'!$D$2)</f>
        <v>269.72143727395166</v>
      </c>
      <c r="Q69" s="12">
        <f>INDEX(C_alpha_beta[],MATCH(HC[[#This Row],[Solo]],C_alpha_beta[Solo],0),MATCH(HC[[#Headers],[C (kPa)]],C_alpha_beta[#Headers],0))</f>
        <v>250</v>
      </c>
      <c r="R69" s="4">
        <f>INDEX(C_alpha_beta[],MATCH(HC[[#This Row],[Solo]],C_alpha_beta[Solo],0),MATCH(HC[[#Headers],[α ESF]],C_alpha_beta[#Headers],0))</f>
        <v>0.6</v>
      </c>
      <c r="S69" s="4">
        <f>INDEX(C_alpha_beta[],MATCH(HC[[#This Row],[Solo]],C_alpha_beta[Solo],0),MATCH(HC[[#Headers],[β ESF]],C_alpha_beta[#Headers],0))</f>
        <v>0.65</v>
      </c>
      <c r="T69" s="4">
        <f>IF(HC[[#This Row],[Prof. (m)]]=0,0,10*(HC[[#This Row],[NSPT]]/3+1))</f>
        <v>43.333333333333343</v>
      </c>
      <c r="U69" s="4">
        <f>(HC[[#This Row],[α ESF]]*HC[[#This Row],[C (kPa)]]*HC[[#This Row],[NSPT]]*HC[[#This Row],[Ap (m²)]])/'DADOS CAP. CARGA'!$Q$2+(HC[[#This Row],[β ESF]]*SUMIFS(HC[10∙(NL/3+1)],HC[Prof. (m)],"&lt;="&amp;HC[[#This Row],[Prof. (m)]],HC[idDiâmetro],HC[[#This Row],[idDiâmetro]],HC[idPilar],HC[[#This Row],[idPilar]])*HC[[#This Row],[U (m)]])/'DADOS CAP. CARGA'!$S$2</f>
        <v>150.43320072173873</v>
      </c>
      <c r="V69" s="4">
        <f>IF(SPT!$M$5=1,MIN(HC[[#This Row],[Pe HC (kN)]],HC[[#This Row],[R_AV (kN)]]),IF(SPT!$M$5=2,MIN(HC[[#This Row],[Pe HC (kN)]],HC[[#This Row],[R_DC (kN)]]),MIN(HC[[#This Row],[Pe HC (kN)]],HC[[#This Row],[R_AV (kN)]],HC[[#This Row],[R_DC (kN)]])))</f>
        <v>150.43320072173873</v>
      </c>
      <c r="W69" s="4">
        <f>INDEX(PILARES[],HC[[#This Row],[idPilar]],MATCH("Carga (kN)",PILARES[#Headers],0))*1.4</f>
        <v>3500</v>
      </c>
      <c r="X69" s="12">
        <f>INDEX(PILARES[],HC[[#This Row],[idPilar]],MATCH(HC[[#Headers],[ap (cm)]],PILARES[#Headers],0))</f>
        <v>60</v>
      </c>
      <c r="Y69" s="12">
        <f>INDEX(PILARES[],HC[[#This Row],[idPilar]],MATCH(HC[[#Headers],[bp (cm)]],PILARES[#Headers],0))</f>
        <v>60</v>
      </c>
      <c r="Z69" s="4">
        <f>SQRT(HC[[#This Row],[ap (cm)]]*HC[[#This Row],[bp (cm)]])</f>
        <v>60</v>
      </c>
      <c r="AA69" s="12">
        <f>HC[[#This Row],[ap (cm)]]*HC[[#This Row],[bp (cm)]]</f>
        <v>3600</v>
      </c>
      <c r="AB69" s="12">
        <f ca="1">IF(HC[[#This Row],[Padm∙ε (kN)]]&gt;=HC[[#This Row],[Padm (kN)]],ROUNDUP(1.05*HC[[#This Row],[Nsd (kN)]]/HC[[#This Row],[Padm (kN)]],0),ROUNDUP(1.05*HC[[#This Row],[Nsd (kN)]]/HC[[#This Row],[Padm (kN)]],0)+1)</f>
        <v>25</v>
      </c>
      <c r="AC69" s="4" t="str">
        <f ca="1">IFERROR(IF(HC[[#This Row],[nE]]=1,HC[[#This Row],[Padm (kN)]],HC[[#This Row],[Padm (kN)]]*HC[[#This Row],[nE]]*INDEX(grupoEstacas[],HC[[#This Row],[nE]],MATCH("ε",grupoEstacas[#Headers],0))),"N.S.")</f>
        <v>N.S.</v>
      </c>
      <c r="AD69" s="4">
        <f ca="1">1.05*HC[[#This Row],[Nsd (kN)]]/(HC[[#This Row],[nE]]*PI()*HC[[#This Row],[Ø (cm)]]^2/4)*10</f>
        <v>1.5278874536821954</v>
      </c>
      <c r="AE69" s="4">
        <f ca="1">IF(HC[[#This Row],[σ (MPa)]]&lt;INDEX(tipoEstaca[],MATCH($D$2,tipoEstaca[TIPO DE ESTACA],0),MATCH("σmáx (MPa)",tipoEstaca[#Headers],0)),0.4%*PI()*HC[[#This Row],[Ø (cm)]]^2/4,"N.S.")</f>
        <v>3.848451000647497</v>
      </c>
      <c r="AF69" s="1">
        <f>INDEX(tipoEstaca[],MATCH($D$2,tipoEstaca[TIPO DE ESTACA],0),MATCH(HC[[#Headers],[Comprimento (m)]],tipoEstaca[#Headers],0))</f>
        <v>4</v>
      </c>
      <c r="AG69" s="5">
        <f ca="1">HC[[#This Row],[As,mín (cm²)]]/100^2*HC[[#This Row],[Comprimento (m)]]*7850</f>
        <v>12.08413614203314</v>
      </c>
      <c r="AH69" s="4">
        <f ca="1">HC[[#This Row],[nE]]*HC[[#This Row],[Prof. (m)]]*HC[[#This Row],[Ap (m²)]]</f>
        <v>19.242255003237478</v>
      </c>
      <c r="AI69" s="1">
        <f ca="1">IF(HC[[#This Row],[nE]]=1,0,MAX(3*HC[[#This Row],[Ø (cm)]],60))</f>
        <v>105</v>
      </c>
      <c r="AJ69" s="1">
        <f ca="1">IF(HC[[#This Row],[nE]]=1,HC[[#This Row],[Ø (cm)]]+2*10,MAX(1.5*HC[[#This Row],[Ø (cm)]],HC[[#This Row],[Ø (cm)]]+15))</f>
        <v>52.5</v>
      </c>
      <c r="AK69" s="1" t="str">
        <f ca="1">alturaUtil(HC[[#This Row],[nE]],HC[[#This Row],[Ø (cm)]],HC[[#This Row],[e (cm)]],HC[[#This Row],[ap,eq (cm)]])</f>
        <v>N.S.</v>
      </c>
      <c r="AL69" s="1" t="str">
        <f ca="1">IFERROR(HC[[#This Row],[d (cm)]]+arredondarParaCimaMultiplo5cm(MAX(5,SQRT(PI())/2*HC[[#This Row],[Ø (cm)]]/5)),"N.S.")</f>
        <v>N.S.</v>
      </c>
      <c r="AM69" s="5" t="str">
        <f ca="1">alpha(HC[[#This Row],[nE]],HC[[#This Row],[d (cm)]],HC[[#This Row],[e (cm)]],HC[[#This Row],[ap,eq (cm)]])</f>
        <v>N.S.</v>
      </c>
      <c r="AN69" s="35" t="str">
        <f ca="1">IFERROR(HC[[#This Row],[Nsd (kN)]]/(HC[[#This Row],[Ap (cm²)]]*SIN(HC[[#This Row],[α]])^2),"N.S.")</f>
        <v>N.S.</v>
      </c>
      <c r="AO69" s="35" t="str">
        <f ca="1">IFERROR(HC[[#This Row],[Nsd (kN)]]/(HC[[#This Row],[nE]]*PI()*HC[[#This Row],[Ø (cm)]]^2/4*SIN(HC[[#This Row],[α]])^2),"N.S.")</f>
        <v>N.S.</v>
      </c>
      <c r="AP69" s="4" t="str">
        <f ca="1">IFERROR(INDEX(grupoEstacas[],HC[[#This Row],[nE]],MATCH("coef. Blévot",grupoEstacas[#Headers],0)),"N.S.")</f>
        <v>N.S.</v>
      </c>
      <c r="AQ69" s="35" t="str">
        <f ca="1">IFERROR(HC[[#This Row],[coef. Blévot]]*0.9*INDEX(tipoEstaca[],MATCH($D$2,tipoEstaca[TIPO DE ESTACA],0),MATCH("fcd (kN/cm²)",tipoEstaca[#Headers],0)),"N.S.")</f>
        <v>N.S.</v>
      </c>
      <c r="AR69" s="1" t="str">
        <f ca="1">IF(AND(HC[[#This Row],[cd,b,pil (kN/cm²)]]&lt;=HC[[#This Row],[cd,b,lim (kN/cm²)]],HC[[#This Row],[cd,b,est (kN/cm²)]]&lt;=HC[[#This Row],[cd,b,lim (kN/cm²)]]),"OK","ERRO")</f>
        <v>OK</v>
      </c>
      <c r="AS69" s="4" t="str">
        <f ca="1">As_lado(HC[[#This Row],[nE]],HC[[#This Row],[Nsd (kN)]],HC[[#This Row],[d (cm)]],HC[[#This Row],[e (cm)]],HC[[#This Row],[ap,eq (cm)]])</f>
        <v>N.S.</v>
      </c>
      <c r="AT69" s="4" t="str">
        <f ca="1">IF(HC[[#This Row],[nE]]=1,HC[[#This Row],[As,lado (cm²)]],IF(HC[[#This Row],[nE]]=2,0.075*2*HC[a (cm)],"N.A."))</f>
        <v>N.A.</v>
      </c>
      <c r="AU69" s="4" t="str">
        <f ca="1">IFERROR(IF(HC[[#This Row],[nE]]=1,"N.A.",0.2*HC[[#This Row],[As,lado (cm²)]]),"N.S.")</f>
        <v>N.S.</v>
      </c>
      <c r="AV69" s="4" t="str">
        <f ca="1">As_malha(HC[[#This Row],[nE]],HC[[#This Row],[As,lado (cm²)]],HC[[#This Row],[Nsd (kN)]])</f>
        <v>N.S.</v>
      </c>
      <c r="AW69" s="4" t="str">
        <f ca="1">As_susp_tot(HC[[#This Row],[nE]],HC[[#This Row],[Nsd (kN)]])</f>
        <v>N.S.</v>
      </c>
      <c r="AX69" s="4" t="str">
        <f ca="1">Asp_face(HC[[#This Row],[nE]],HC[[#This Row],[As,lado (cm²)]])</f>
        <v>N.S.</v>
      </c>
      <c r="AY69" s="5" t="str">
        <f ca="1">acoBloco(HC[[#This Row],[nE]],HC[[#This Row],[e (cm)]],HC[[#This Row],[a (cm)]],HC[[#This Row],[h (cm)]],HC[[#This Row],[As,lado (cm²)]],HC[[#This Row],[Asp e Asw (cm²/m)]],HC[[#This Row],[As,sup (cm²)]],HC[[#This Row],[As,malha (cm²)]],HC[[#This Row],[As,susp,tot (cm²)]],HC[[#This Row],[Asp,face (cm²)]])</f>
        <v>N.S.</v>
      </c>
      <c r="AZ69" s="4" t="str">
        <f ca="1">concretoBloco(HC[[#This Row],[nE]],HC[[#This Row],[e (cm)]],HC[[#This Row],[a (cm)]],HC[[#This Row],[h (cm)]])</f>
        <v>N.S.</v>
      </c>
      <c r="BA69" s="5">
        <f ca="1">SUM(HC[[#This Row],[Aço Est (kg)]],HC[[#This Row],[Aço Bloco (kg)]])</f>
        <v>12.08413614203314</v>
      </c>
      <c r="BB69" s="4">
        <f>INDEX(composicoes[],MATCH(95580,composicoes[CÓDIGO],0),MATCH("CUSTO TOTAL",composicoes[#Headers],0))</f>
        <v>10.46</v>
      </c>
      <c r="BC69" s="4">
        <f ca="1">SUM(HC[[#This Row],[Conc Est (m³)]],HC[[#This Row],[Conc Bloco (m³)]])</f>
        <v>19.242255003237478</v>
      </c>
      <c r="BD69" s="4">
        <f>INDEX(composicoes[],MATCH(94966,composicoes[CÓDIGO],0),MATCH("CUSTO TOTAL",composicoes[#Headers],0))</f>
        <v>439.52</v>
      </c>
      <c r="BE69" s="38">
        <f ca="1">HC[[#This Row],[Aço (kg)]]*HC[[#This Row],[Aço (R$/kg)]]+HC[[#This Row],[Conc (m³)]]*HC[[#This Row],[Conc (R$/m³)]]</f>
        <v>8583.7559830686023</v>
      </c>
      <c r="BF69" s="4" t="str">
        <f ca="1">IF(COUNTIF(HC[#This Row],"N.S.")&gt;0,"lim.","OK")</f>
        <v>lim.</v>
      </c>
      <c r="BG69" s="4" t="str">
        <f>IF(HC[[#This Row],[Prof. (m)]]&lt;4,"lim.","OK")</f>
        <v>OK</v>
      </c>
      <c r="BH69" s="4" t="str">
        <f>IF(HC[[#This Row],[Prof. (m)]]&gt;=8*HC[[#This Row],[Ø (cm)]]/100,"OK","lim.")</f>
        <v>OK</v>
      </c>
      <c r="BI69" s="4" t="str">
        <f ca="1">IF(HC[[#This Row],[Verif. Biela]]="OK","OK","lim.")</f>
        <v>OK</v>
      </c>
      <c r="BJ69" s="4" t="str">
        <f ca="1">IF(COUNTA(HC[[#This Row],[Nº Est.]:[Biela comp.]])=COUNTIF(HC[[#This Row],[Nº Est.]:[Biela comp.]],"OK"),"OK","lim.")</f>
        <v>lim.</v>
      </c>
      <c r="BK69" s="4" t="str">
        <f ca="1">IF(HC[[#This Row],[Controle]]="OK",HC[[#This Row],[nE]]&amp;" Ø"&amp;HC[[#This Row],[Ø (cm)]]&amp;"cm Prof. "&amp;HC[[#This Row],[Prof. (m)]]&amp;" m","")</f>
        <v/>
      </c>
      <c r="BL69" s="4" t="str">
        <f ca="1">IF(HC[[#This Row],[idDimensionamento]]="","",HC[[#This Row],[idPilar]]&amp;HC[[#This Row],[idDimensionamento]])</f>
        <v/>
      </c>
    </row>
    <row r="70" spans="2:64" x14ac:dyDescent="0.25">
      <c r="B70" s="12">
        <f>ROUNDUP((ROW(HC[[#This Row],[idDiâmetro]])-ROW(HC[[#Headers],[idDiâmetro]]))/(COUNT(SPT[Prof. (m)])*COUNT(PILARES[Pilar])),0)</f>
        <v>3</v>
      </c>
      <c r="C70" s="12">
        <f>IF(HC[[#This Row],[idDiâmetro]]&lt;&gt;B69,1,IF(HC[[#This Row],[Prof. (m)]]=0,C69+1,C69))</f>
        <v>1</v>
      </c>
      <c r="D70" s="1">
        <f>IFERROR(IF(D69=MAX(SPT[Prof. (m)]),0,D69+1),0)</f>
        <v>9</v>
      </c>
      <c r="E70" s="1">
        <f>INDEX(SPT[],MATCH(HC[[#This Row],[Prof. (m)]],SPT[Prof. (m)],0),2)</f>
        <v>26</v>
      </c>
      <c r="F70" s="1" t="str">
        <f>INDEX(SPT[],MATCH(HC[[#This Row],[Prof. (m)]],SPT[Prof. (m)],0),3)</f>
        <v>Areia siltosa</v>
      </c>
      <c r="G70" s="1">
        <f>INDEX(estacas[],HC[[#This Row],[idDiâmetro]],MATCH($B$2,estacas[#Headers],0))</f>
        <v>35</v>
      </c>
      <c r="H70" s="1">
        <f>INDEX(estacas[],MATCH(HC[[#This Row],[Ø (cm)]],estacas[Ø HC (cm)],0),MATCH(HC[[#Headers],[Pe HC (kN)]],estacas[#Headers],0))</f>
        <v>600</v>
      </c>
      <c r="I70" s="4">
        <f>INDEX(K_alpha_C[],MATCH(HC[[#This Row],[Solo]],K_alpha_C[Solo],0),2)</f>
        <v>0.8</v>
      </c>
      <c r="J70" s="5">
        <f>INDEX(K_alpha_C[],MATCH(HC[[#This Row],[Solo]],K_alpha_C[Solo],0),3)</f>
        <v>2</v>
      </c>
      <c r="K70" s="4">
        <f>INDEX(F1_F2[],MATCH($D$2,F1_F2[Tipo de estaca],0),2)</f>
        <v>2</v>
      </c>
      <c r="L70" s="4">
        <f>INDEX(F1_F2[],MATCH($D$2,F1_F2[Tipo de estaca],0),3)</f>
        <v>4</v>
      </c>
      <c r="M70" s="4">
        <f>PI()*(HC[[#This Row],[Ø (cm)]]/100)^2/4</f>
        <v>9.6211275016187398E-2</v>
      </c>
      <c r="N70" s="4">
        <f>PI()*HC[[#This Row],[Ø (cm)]]/100</f>
        <v>1.0995574287564276</v>
      </c>
      <c r="O70" s="4">
        <f>IF(HC[[#This Row],[Prof. (m)]]=0,0,HC[[#This Row],[α (%)]]/100*HC[[#This Row],[K (MPa)]]*1000*HC[[#This Row],[NSPT]])</f>
        <v>416</v>
      </c>
      <c r="P70" s="4">
        <f>IF(HC[[#This Row],[Prof. (m)]]=0,0,(HC[[#This Row],[K (MPa)]]*1000*HC[[#This Row],[NSPT]]/HC[[#This Row],[F1]]*HC[[#This Row],[Ap (m²)]]+HC[[#This Row],[U (m)]]/HC[[#This Row],[F2]]*SUMIFS(HC[(α∙K∙NL∙ΔL)],HC[Prof. (m)],"&lt;="&amp;HC[[#This Row],[Prof. (m)]],HC[idDiâmetro],HC[[#This Row],[idDiâmetro]],HC[idPilar],HC[[#This Row],[idPilar]]))/'DADOS CAP. CARGA'!$D$2)</f>
        <v>694.90655050620273</v>
      </c>
      <c r="Q70" s="12">
        <f>INDEX(C_alpha_beta[],MATCH(HC[[#This Row],[Solo]],C_alpha_beta[Solo],0),MATCH(HC[[#Headers],[C (kPa)]],C_alpha_beta[#Headers],0))</f>
        <v>400</v>
      </c>
      <c r="R70" s="4">
        <f>INDEX(C_alpha_beta[],MATCH(HC[[#This Row],[Solo]],C_alpha_beta[Solo],0),MATCH(HC[[#Headers],[α ESF]],C_alpha_beta[#Headers],0))</f>
        <v>0.5</v>
      </c>
      <c r="S70" s="4">
        <f>INDEX(C_alpha_beta[],MATCH(HC[[#This Row],[Solo]],C_alpha_beta[Solo],0),MATCH(HC[[#Headers],[β ESF]],C_alpha_beta[#Headers],0))</f>
        <v>0.5</v>
      </c>
      <c r="T70" s="4">
        <f>IF(HC[[#This Row],[Prof. (m)]]=0,0,10*(HC[[#This Row],[NSPT]]/3+1))</f>
        <v>96.666666666666657</v>
      </c>
      <c r="U70" s="4">
        <f>(HC[[#This Row],[α ESF]]*HC[[#This Row],[C (kPa)]]*HC[[#This Row],[NSPT]]*HC[[#This Row],[Ap (m²)]])/'DADOS CAP. CARGA'!$Q$2+(HC[[#This Row],[β ESF]]*SUMIFS(HC[10∙(NL/3+1)],HC[Prof. (m)],"&lt;="&amp;HC[[#This Row],[Prof. (m)]],HC[idDiâmetro],HC[[#This Row],[idDiâmetro]],HC[idPilar],HC[[#This Row],[idPilar]])*HC[[#This Row],[U (m)]])/'DADOS CAP. CARGA'!$S$2</f>
        <v>239.61188968317148</v>
      </c>
      <c r="V70" s="4">
        <f>IF(SPT!$M$5=1,MIN(HC[[#This Row],[Pe HC (kN)]],HC[[#This Row],[R_AV (kN)]]),IF(SPT!$M$5=2,MIN(HC[[#This Row],[Pe HC (kN)]],HC[[#This Row],[R_DC (kN)]]),MIN(HC[[#This Row],[Pe HC (kN)]],HC[[#This Row],[R_AV (kN)]],HC[[#This Row],[R_DC (kN)]])))</f>
        <v>239.61188968317148</v>
      </c>
      <c r="W70" s="4">
        <f>INDEX(PILARES[],HC[[#This Row],[idPilar]],MATCH("Carga (kN)",PILARES[#Headers],0))*1.4</f>
        <v>3500</v>
      </c>
      <c r="X70" s="12">
        <f>INDEX(PILARES[],HC[[#This Row],[idPilar]],MATCH(HC[[#Headers],[ap (cm)]],PILARES[#Headers],0))</f>
        <v>60</v>
      </c>
      <c r="Y70" s="12">
        <f>INDEX(PILARES[],HC[[#This Row],[idPilar]],MATCH(HC[[#Headers],[bp (cm)]],PILARES[#Headers],0))</f>
        <v>60</v>
      </c>
      <c r="Z70" s="4">
        <f>SQRT(HC[[#This Row],[ap (cm)]]*HC[[#This Row],[bp (cm)]])</f>
        <v>60</v>
      </c>
      <c r="AA70" s="12">
        <f>HC[[#This Row],[ap (cm)]]*HC[[#This Row],[bp (cm)]]</f>
        <v>3600</v>
      </c>
      <c r="AB70" s="12">
        <f ca="1">IF(HC[[#This Row],[Padm∙ε (kN)]]&gt;=HC[[#This Row],[Padm (kN)]],ROUNDUP(1.05*HC[[#This Row],[Nsd (kN)]]/HC[[#This Row],[Padm (kN)]],0),ROUNDUP(1.05*HC[[#This Row],[Nsd (kN)]]/HC[[#This Row],[Padm (kN)]],0)+1)</f>
        <v>16</v>
      </c>
      <c r="AC70" s="4" t="str">
        <f ca="1">IFERROR(IF(HC[[#This Row],[nE]]=1,HC[[#This Row],[Padm (kN)]],HC[[#This Row],[Padm (kN)]]*HC[[#This Row],[nE]]*INDEX(grupoEstacas[],HC[[#This Row],[nE]],MATCH("ε",grupoEstacas[#Headers],0))),"N.S.")</f>
        <v>N.S.</v>
      </c>
      <c r="AD70" s="4">
        <f ca="1">1.05*HC[[#This Row],[Nsd (kN)]]/(HC[[#This Row],[nE]]*PI()*HC[[#This Row],[Ø (cm)]]^2/4)*10</f>
        <v>2.3873241463784298</v>
      </c>
      <c r="AE70" s="4">
        <f ca="1">IF(HC[[#This Row],[σ (MPa)]]&lt;INDEX(tipoEstaca[],MATCH($D$2,tipoEstaca[TIPO DE ESTACA],0),MATCH("σmáx (MPa)",tipoEstaca[#Headers],0)),0.4%*PI()*HC[[#This Row],[Ø (cm)]]^2/4,"N.S.")</f>
        <v>3.848451000647497</v>
      </c>
      <c r="AF70" s="1">
        <f>INDEX(tipoEstaca[],MATCH($D$2,tipoEstaca[TIPO DE ESTACA],0),MATCH(HC[[#Headers],[Comprimento (m)]],tipoEstaca[#Headers],0))</f>
        <v>4</v>
      </c>
      <c r="AG70" s="5">
        <f ca="1">HC[[#This Row],[As,mín (cm²)]]/100^2*HC[[#This Row],[Comprimento (m)]]*7850</f>
        <v>12.08413614203314</v>
      </c>
      <c r="AH70" s="4">
        <f ca="1">HC[[#This Row],[nE]]*HC[[#This Row],[Prof. (m)]]*HC[[#This Row],[Ap (m²)]]</f>
        <v>13.854423602330986</v>
      </c>
      <c r="AI70" s="1">
        <f ca="1">IF(HC[[#This Row],[nE]]=1,0,MAX(3*HC[[#This Row],[Ø (cm)]],60))</f>
        <v>105</v>
      </c>
      <c r="AJ70" s="1">
        <f ca="1">IF(HC[[#This Row],[nE]]=1,HC[[#This Row],[Ø (cm)]]+2*10,MAX(1.5*HC[[#This Row],[Ø (cm)]],HC[[#This Row],[Ø (cm)]]+15))</f>
        <v>52.5</v>
      </c>
      <c r="AK70" s="1" t="str">
        <f ca="1">alturaUtil(HC[[#This Row],[nE]],HC[[#This Row],[Ø (cm)]],HC[[#This Row],[e (cm)]],HC[[#This Row],[ap,eq (cm)]])</f>
        <v>N.S.</v>
      </c>
      <c r="AL70" s="1" t="str">
        <f ca="1">IFERROR(HC[[#This Row],[d (cm)]]+arredondarParaCimaMultiplo5cm(MAX(5,SQRT(PI())/2*HC[[#This Row],[Ø (cm)]]/5)),"N.S.")</f>
        <v>N.S.</v>
      </c>
      <c r="AM70" s="5" t="str">
        <f ca="1">alpha(HC[[#This Row],[nE]],HC[[#This Row],[d (cm)]],HC[[#This Row],[e (cm)]],HC[[#This Row],[ap,eq (cm)]])</f>
        <v>N.S.</v>
      </c>
      <c r="AN70" s="35" t="str">
        <f ca="1">IFERROR(HC[[#This Row],[Nsd (kN)]]/(HC[[#This Row],[Ap (cm²)]]*SIN(HC[[#This Row],[α]])^2),"N.S.")</f>
        <v>N.S.</v>
      </c>
      <c r="AO70" s="35" t="str">
        <f ca="1">IFERROR(HC[[#This Row],[Nsd (kN)]]/(HC[[#This Row],[nE]]*PI()*HC[[#This Row],[Ø (cm)]]^2/4*SIN(HC[[#This Row],[α]])^2),"N.S.")</f>
        <v>N.S.</v>
      </c>
      <c r="AP70" s="4" t="str">
        <f ca="1">IFERROR(INDEX(grupoEstacas[],HC[[#This Row],[nE]],MATCH("coef. Blévot",grupoEstacas[#Headers],0)),"N.S.")</f>
        <v>N.S.</v>
      </c>
      <c r="AQ70" s="35" t="str">
        <f ca="1">IFERROR(HC[[#This Row],[coef. Blévot]]*0.9*INDEX(tipoEstaca[],MATCH($D$2,tipoEstaca[TIPO DE ESTACA],0),MATCH("fcd (kN/cm²)",tipoEstaca[#Headers],0)),"N.S.")</f>
        <v>N.S.</v>
      </c>
      <c r="AR70" s="1" t="str">
        <f ca="1">IF(AND(HC[[#This Row],[cd,b,pil (kN/cm²)]]&lt;=HC[[#This Row],[cd,b,lim (kN/cm²)]],HC[[#This Row],[cd,b,est (kN/cm²)]]&lt;=HC[[#This Row],[cd,b,lim (kN/cm²)]]),"OK","ERRO")</f>
        <v>OK</v>
      </c>
      <c r="AS70" s="4" t="str">
        <f ca="1">As_lado(HC[[#This Row],[nE]],HC[[#This Row],[Nsd (kN)]],HC[[#This Row],[d (cm)]],HC[[#This Row],[e (cm)]],HC[[#This Row],[ap,eq (cm)]])</f>
        <v>N.S.</v>
      </c>
      <c r="AT70" s="4" t="str">
        <f ca="1">IF(HC[[#This Row],[nE]]=1,HC[[#This Row],[As,lado (cm²)]],IF(HC[[#This Row],[nE]]=2,0.075*2*HC[a (cm)],"N.A."))</f>
        <v>N.A.</v>
      </c>
      <c r="AU70" s="4" t="str">
        <f ca="1">IFERROR(IF(HC[[#This Row],[nE]]=1,"N.A.",0.2*HC[[#This Row],[As,lado (cm²)]]),"N.S.")</f>
        <v>N.S.</v>
      </c>
      <c r="AV70" s="4" t="str">
        <f ca="1">As_malha(HC[[#This Row],[nE]],HC[[#This Row],[As,lado (cm²)]],HC[[#This Row],[Nsd (kN)]])</f>
        <v>N.S.</v>
      </c>
      <c r="AW70" s="4" t="str">
        <f ca="1">As_susp_tot(HC[[#This Row],[nE]],HC[[#This Row],[Nsd (kN)]])</f>
        <v>N.S.</v>
      </c>
      <c r="AX70" s="4" t="str">
        <f ca="1">Asp_face(HC[[#This Row],[nE]],HC[[#This Row],[As,lado (cm²)]])</f>
        <v>N.S.</v>
      </c>
      <c r="AY70" s="5" t="str">
        <f ca="1">acoBloco(HC[[#This Row],[nE]],HC[[#This Row],[e (cm)]],HC[[#This Row],[a (cm)]],HC[[#This Row],[h (cm)]],HC[[#This Row],[As,lado (cm²)]],HC[[#This Row],[Asp e Asw (cm²/m)]],HC[[#This Row],[As,sup (cm²)]],HC[[#This Row],[As,malha (cm²)]],HC[[#This Row],[As,susp,tot (cm²)]],HC[[#This Row],[Asp,face (cm²)]])</f>
        <v>N.S.</v>
      </c>
      <c r="AZ70" s="4" t="str">
        <f ca="1">concretoBloco(HC[[#This Row],[nE]],HC[[#This Row],[e (cm)]],HC[[#This Row],[a (cm)]],HC[[#This Row],[h (cm)]])</f>
        <v>N.S.</v>
      </c>
      <c r="BA70" s="5">
        <f ca="1">SUM(HC[[#This Row],[Aço Est (kg)]],HC[[#This Row],[Aço Bloco (kg)]])</f>
        <v>12.08413614203314</v>
      </c>
      <c r="BB70" s="4">
        <f>INDEX(composicoes[],MATCH(95580,composicoes[CÓDIGO],0),MATCH("CUSTO TOTAL",composicoes[#Headers],0))</f>
        <v>10.46</v>
      </c>
      <c r="BC70" s="4">
        <f ca="1">SUM(HC[[#This Row],[Conc Est (m³)]],HC[[#This Row],[Conc Bloco (m³)]])</f>
        <v>13.854423602330986</v>
      </c>
      <c r="BD70" s="4">
        <f>INDEX(composicoes[],MATCH(94966,composicoes[CÓDIGO],0),MATCH("CUSTO TOTAL",composicoes[#Headers],0))</f>
        <v>439.52</v>
      </c>
      <c r="BE70" s="38">
        <f ca="1">HC[[#This Row],[Aço (kg)]]*HC[[#This Row],[Aço (R$/kg)]]+HC[[#This Row],[Conc (m³)]]*HC[[#This Row],[Conc (R$/m³)]]</f>
        <v>6215.6963257421812</v>
      </c>
      <c r="BF70" s="4" t="str">
        <f ca="1">IF(COUNTIF(HC[#This Row],"N.S.")&gt;0,"lim.","OK")</f>
        <v>lim.</v>
      </c>
      <c r="BG70" s="4" t="str">
        <f>IF(HC[[#This Row],[Prof. (m)]]&lt;4,"lim.","OK")</f>
        <v>OK</v>
      </c>
      <c r="BH70" s="4" t="str">
        <f>IF(HC[[#This Row],[Prof. (m)]]&gt;=8*HC[[#This Row],[Ø (cm)]]/100,"OK","lim.")</f>
        <v>OK</v>
      </c>
      <c r="BI70" s="4" t="str">
        <f ca="1">IF(HC[[#This Row],[Verif. Biela]]="OK","OK","lim.")</f>
        <v>OK</v>
      </c>
      <c r="BJ70" s="4" t="str">
        <f ca="1">IF(COUNTA(HC[[#This Row],[Nº Est.]:[Biela comp.]])=COUNTIF(HC[[#This Row],[Nº Est.]:[Biela comp.]],"OK"),"OK","lim.")</f>
        <v>lim.</v>
      </c>
      <c r="BK70" s="4" t="str">
        <f ca="1">IF(HC[[#This Row],[Controle]]="OK",HC[[#This Row],[nE]]&amp;" Ø"&amp;HC[[#This Row],[Ø (cm)]]&amp;"cm Prof. "&amp;HC[[#This Row],[Prof. (m)]]&amp;" m","")</f>
        <v/>
      </c>
      <c r="BL70" s="4" t="str">
        <f ca="1">IF(HC[[#This Row],[idDimensionamento]]="","",HC[[#This Row],[idPilar]]&amp;HC[[#This Row],[idDimensionamento]])</f>
        <v/>
      </c>
    </row>
    <row r="71" spans="2:64" x14ac:dyDescent="0.25">
      <c r="B71" s="12">
        <f>ROUNDUP((ROW(HC[[#This Row],[idDiâmetro]])-ROW(HC[[#Headers],[idDiâmetro]]))/(COUNT(SPT[Prof. (m)])*COUNT(PILARES[Pilar])),0)</f>
        <v>3</v>
      </c>
      <c r="C71" s="12">
        <f>IF(HC[[#This Row],[idDiâmetro]]&lt;&gt;B70,1,IF(HC[[#This Row],[Prof. (m)]]=0,C70+1,C70))</f>
        <v>1</v>
      </c>
      <c r="D71" s="1">
        <f>IFERROR(IF(D70=MAX(SPT[Prof. (m)]),0,D70+1),0)</f>
        <v>10</v>
      </c>
      <c r="E71" s="1">
        <f>INDEX(SPT[],MATCH(HC[[#This Row],[Prof. (m)]],SPT[Prof. (m)],0),2)</f>
        <v>32</v>
      </c>
      <c r="F71" s="1" t="str">
        <f>INDEX(SPT[],MATCH(HC[[#This Row],[Prof. (m)]],SPT[Prof. (m)],0),3)</f>
        <v>Areia siltosa</v>
      </c>
      <c r="G71" s="1">
        <f>INDEX(estacas[],HC[[#This Row],[idDiâmetro]],MATCH($B$2,estacas[#Headers],0))</f>
        <v>35</v>
      </c>
      <c r="H71" s="1">
        <f>INDEX(estacas[],MATCH(HC[[#This Row],[Ø (cm)]],estacas[Ø HC (cm)],0),MATCH(HC[[#Headers],[Pe HC (kN)]],estacas[#Headers],0))</f>
        <v>600</v>
      </c>
      <c r="I71" s="4">
        <f>INDEX(K_alpha_C[],MATCH(HC[[#This Row],[Solo]],K_alpha_C[Solo],0),2)</f>
        <v>0.8</v>
      </c>
      <c r="J71" s="5">
        <f>INDEX(K_alpha_C[],MATCH(HC[[#This Row],[Solo]],K_alpha_C[Solo],0),3)</f>
        <v>2</v>
      </c>
      <c r="K71" s="4">
        <f>INDEX(F1_F2[],MATCH($D$2,F1_F2[Tipo de estaca],0),2)</f>
        <v>2</v>
      </c>
      <c r="L71" s="4">
        <f>INDEX(F1_F2[],MATCH($D$2,F1_F2[Tipo de estaca],0),3)</f>
        <v>4</v>
      </c>
      <c r="M71" s="4">
        <f>PI()*(HC[[#This Row],[Ø (cm)]]/100)^2/4</f>
        <v>9.6211275016187398E-2</v>
      </c>
      <c r="N71" s="4">
        <f>PI()*HC[[#This Row],[Ø (cm)]]/100</f>
        <v>1.0995574287564276</v>
      </c>
      <c r="O71" s="4">
        <f>IF(HC[[#This Row],[Prof. (m)]]=0,0,HC[[#This Row],[α (%)]]/100*HC[[#This Row],[K (MPa)]]*1000*HC[[#This Row],[NSPT]])</f>
        <v>512</v>
      </c>
      <c r="P71" s="4">
        <f>IF(HC[[#This Row],[Prof. (m)]]=0,0,(HC[[#This Row],[K (MPa)]]*1000*HC[[#This Row],[NSPT]]/HC[[#This Row],[F1]]*HC[[#This Row],[Ap (m²)]]+HC[[#This Row],[U (m)]]/HC[[#This Row],[F2]]*SUMIFS(HC[(α∙K∙NL∙ΔL)],HC[Prof. (m)],"&lt;="&amp;HC[[#This Row],[Prof. (m)]],HC[idDiâmetro],HC[[#This Row],[idDiâmetro]],HC[idPilar],HC[[#This Row],[idPilar]]))/'DADOS CAP. CARGA'!$D$2)</f>
        <v>880.73175596603892</v>
      </c>
      <c r="Q71" s="12">
        <f>INDEX(C_alpha_beta[],MATCH(HC[[#This Row],[Solo]],C_alpha_beta[Solo],0),MATCH(HC[[#Headers],[C (kPa)]],C_alpha_beta[#Headers],0))</f>
        <v>400</v>
      </c>
      <c r="R71" s="4">
        <f>INDEX(C_alpha_beta[],MATCH(HC[[#This Row],[Solo]],C_alpha_beta[Solo],0),MATCH(HC[[#Headers],[α ESF]],C_alpha_beta[#Headers],0))</f>
        <v>0.5</v>
      </c>
      <c r="S71" s="4">
        <f>INDEX(C_alpha_beta[],MATCH(HC[[#This Row],[Solo]],C_alpha_beta[Solo],0),MATCH(HC[[#Headers],[β ESF]],C_alpha_beta[#Headers],0))</f>
        <v>0.5</v>
      </c>
      <c r="T71" s="4">
        <f>IF(HC[[#This Row],[Prof. (m)]]=0,0,10*(HC[[#This Row],[NSPT]]/3+1))</f>
        <v>116.66666666666666</v>
      </c>
      <c r="U71" s="4">
        <f>(HC[[#This Row],[α ESF]]*HC[[#This Row],[C (kPa)]]*HC[[#This Row],[NSPT]]*HC[[#This Row],[Ap (m²)]])/'DADOS CAP. CARGA'!$Q$2+(HC[[#This Row],[β ESF]]*SUMIFS(HC[10∙(NL/3+1)],HC[Prof. (m)],"&lt;="&amp;HC[[#This Row],[Prof. (m)]],HC[idDiâmetro],HC[[#This Row],[idDiâmetro]],HC[idPilar],HC[[#This Row],[idPilar]])*HC[[#This Row],[U (m)]])/'DADOS CAP. CARGA'!$S$2</f>
        <v>300.54569719342351</v>
      </c>
      <c r="V71" s="4">
        <f>IF(SPT!$M$5=1,MIN(HC[[#This Row],[Pe HC (kN)]],HC[[#This Row],[R_AV (kN)]]),IF(SPT!$M$5=2,MIN(HC[[#This Row],[Pe HC (kN)]],HC[[#This Row],[R_DC (kN)]]),MIN(HC[[#This Row],[Pe HC (kN)]],HC[[#This Row],[R_AV (kN)]],HC[[#This Row],[R_DC (kN)]])))</f>
        <v>300.54569719342351</v>
      </c>
      <c r="W71" s="4">
        <f>INDEX(PILARES[],HC[[#This Row],[idPilar]],MATCH("Carga (kN)",PILARES[#Headers],0))*1.4</f>
        <v>3500</v>
      </c>
      <c r="X71" s="12">
        <f>INDEX(PILARES[],HC[[#This Row],[idPilar]],MATCH(HC[[#Headers],[ap (cm)]],PILARES[#Headers],0))</f>
        <v>60</v>
      </c>
      <c r="Y71" s="12">
        <f>INDEX(PILARES[],HC[[#This Row],[idPilar]],MATCH(HC[[#Headers],[bp (cm)]],PILARES[#Headers],0))</f>
        <v>60</v>
      </c>
      <c r="Z71" s="4">
        <f>SQRT(HC[[#This Row],[ap (cm)]]*HC[[#This Row],[bp (cm)]])</f>
        <v>60</v>
      </c>
      <c r="AA71" s="12">
        <f>HC[[#This Row],[ap (cm)]]*HC[[#This Row],[bp (cm)]]</f>
        <v>3600</v>
      </c>
      <c r="AB71" s="12">
        <f ca="1">IF(HC[[#This Row],[Padm∙ε (kN)]]&gt;=HC[[#This Row],[Padm (kN)]],ROUNDUP(1.05*HC[[#This Row],[Nsd (kN)]]/HC[[#This Row],[Padm (kN)]],0),ROUNDUP(1.05*HC[[#This Row],[Nsd (kN)]]/HC[[#This Row],[Padm (kN)]],0)+1)</f>
        <v>13</v>
      </c>
      <c r="AC71" s="4" t="str">
        <f ca="1">IFERROR(IF(HC[[#This Row],[nE]]=1,HC[[#This Row],[Padm (kN)]],HC[[#This Row],[Padm (kN)]]*HC[[#This Row],[nE]]*INDEX(grupoEstacas[],HC[[#This Row],[nE]],MATCH("ε",grupoEstacas[#Headers],0))),"N.S.")</f>
        <v>N.S.</v>
      </c>
      <c r="AD71" s="4">
        <f ca="1">1.05*HC[[#This Row],[Nsd (kN)]]/(HC[[#This Row],[nE]]*PI()*HC[[#This Row],[Ø (cm)]]^2/4)*10</f>
        <v>2.938245103234991</v>
      </c>
      <c r="AE71" s="4">
        <f ca="1">IF(HC[[#This Row],[σ (MPa)]]&lt;INDEX(tipoEstaca[],MATCH($D$2,tipoEstaca[TIPO DE ESTACA],0),MATCH("σmáx (MPa)",tipoEstaca[#Headers],0)),0.4%*PI()*HC[[#This Row],[Ø (cm)]]^2/4,"N.S.")</f>
        <v>3.848451000647497</v>
      </c>
      <c r="AF71" s="1">
        <f>INDEX(tipoEstaca[],MATCH($D$2,tipoEstaca[TIPO DE ESTACA],0),MATCH(HC[[#Headers],[Comprimento (m)]],tipoEstaca[#Headers],0))</f>
        <v>4</v>
      </c>
      <c r="AG71" s="5">
        <f ca="1">HC[[#This Row],[As,mín (cm²)]]/100^2*HC[[#This Row],[Comprimento (m)]]*7850</f>
        <v>12.08413614203314</v>
      </c>
      <c r="AH71" s="4">
        <f ca="1">HC[[#This Row],[nE]]*HC[[#This Row],[Prof. (m)]]*HC[[#This Row],[Ap (m²)]]</f>
        <v>12.507465752104361</v>
      </c>
      <c r="AI71" s="1">
        <f ca="1">IF(HC[[#This Row],[nE]]=1,0,MAX(3*HC[[#This Row],[Ø (cm)]],60))</f>
        <v>105</v>
      </c>
      <c r="AJ71" s="1">
        <f ca="1">IF(HC[[#This Row],[nE]]=1,HC[[#This Row],[Ø (cm)]]+2*10,MAX(1.5*HC[[#This Row],[Ø (cm)]],HC[[#This Row],[Ø (cm)]]+15))</f>
        <v>52.5</v>
      </c>
      <c r="AK71" s="1" t="str">
        <f ca="1">alturaUtil(HC[[#This Row],[nE]],HC[[#This Row],[Ø (cm)]],HC[[#This Row],[e (cm)]],HC[[#This Row],[ap,eq (cm)]])</f>
        <v>N.S.</v>
      </c>
      <c r="AL71" s="1" t="str">
        <f ca="1">IFERROR(HC[[#This Row],[d (cm)]]+arredondarParaCimaMultiplo5cm(MAX(5,SQRT(PI())/2*HC[[#This Row],[Ø (cm)]]/5)),"N.S.")</f>
        <v>N.S.</v>
      </c>
      <c r="AM71" s="5" t="str">
        <f ca="1">alpha(HC[[#This Row],[nE]],HC[[#This Row],[d (cm)]],HC[[#This Row],[e (cm)]],HC[[#This Row],[ap,eq (cm)]])</f>
        <v>N.S.</v>
      </c>
      <c r="AN71" s="35" t="str">
        <f ca="1">IFERROR(HC[[#This Row],[Nsd (kN)]]/(HC[[#This Row],[Ap (cm²)]]*SIN(HC[[#This Row],[α]])^2),"N.S.")</f>
        <v>N.S.</v>
      </c>
      <c r="AO71" s="35" t="str">
        <f ca="1">IFERROR(HC[[#This Row],[Nsd (kN)]]/(HC[[#This Row],[nE]]*PI()*HC[[#This Row],[Ø (cm)]]^2/4*SIN(HC[[#This Row],[α]])^2),"N.S.")</f>
        <v>N.S.</v>
      </c>
      <c r="AP71" s="4" t="str">
        <f ca="1">IFERROR(INDEX(grupoEstacas[],HC[[#This Row],[nE]],MATCH("coef. Blévot",grupoEstacas[#Headers],0)),"N.S.")</f>
        <v>N.S.</v>
      </c>
      <c r="AQ71" s="35" t="str">
        <f ca="1">IFERROR(HC[[#This Row],[coef. Blévot]]*0.9*INDEX(tipoEstaca[],MATCH($D$2,tipoEstaca[TIPO DE ESTACA],0),MATCH("fcd (kN/cm²)",tipoEstaca[#Headers],0)),"N.S.")</f>
        <v>N.S.</v>
      </c>
      <c r="AR71" s="1" t="str">
        <f ca="1">IF(AND(HC[[#This Row],[cd,b,pil (kN/cm²)]]&lt;=HC[[#This Row],[cd,b,lim (kN/cm²)]],HC[[#This Row],[cd,b,est (kN/cm²)]]&lt;=HC[[#This Row],[cd,b,lim (kN/cm²)]]),"OK","ERRO")</f>
        <v>OK</v>
      </c>
      <c r="AS71" s="4" t="str">
        <f ca="1">As_lado(HC[[#This Row],[nE]],HC[[#This Row],[Nsd (kN)]],HC[[#This Row],[d (cm)]],HC[[#This Row],[e (cm)]],HC[[#This Row],[ap,eq (cm)]])</f>
        <v>N.S.</v>
      </c>
      <c r="AT71" s="4" t="str">
        <f ca="1">IF(HC[[#This Row],[nE]]=1,HC[[#This Row],[As,lado (cm²)]],IF(HC[[#This Row],[nE]]=2,0.075*2*HC[a (cm)],"N.A."))</f>
        <v>N.A.</v>
      </c>
      <c r="AU71" s="4" t="str">
        <f ca="1">IFERROR(IF(HC[[#This Row],[nE]]=1,"N.A.",0.2*HC[[#This Row],[As,lado (cm²)]]),"N.S.")</f>
        <v>N.S.</v>
      </c>
      <c r="AV71" s="4" t="str">
        <f ca="1">As_malha(HC[[#This Row],[nE]],HC[[#This Row],[As,lado (cm²)]],HC[[#This Row],[Nsd (kN)]])</f>
        <v>N.S.</v>
      </c>
      <c r="AW71" s="4" t="str">
        <f ca="1">As_susp_tot(HC[[#This Row],[nE]],HC[[#This Row],[Nsd (kN)]])</f>
        <v>N.S.</v>
      </c>
      <c r="AX71" s="4" t="str">
        <f ca="1">Asp_face(HC[[#This Row],[nE]],HC[[#This Row],[As,lado (cm²)]])</f>
        <v>N.S.</v>
      </c>
      <c r="AY71" s="5" t="str">
        <f ca="1">acoBloco(HC[[#This Row],[nE]],HC[[#This Row],[e (cm)]],HC[[#This Row],[a (cm)]],HC[[#This Row],[h (cm)]],HC[[#This Row],[As,lado (cm²)]],HC[[#This Row],[Asp e Asw (cm²/m)]],HC[[#This Row],[As,sup (cm²)]],HC[[#This Row],[As,malha (cm²)]],HC[[#This Row],[As,susp,tot (cm²)]],HC[[#This Row],[Asp,face (cm²)]])</f>
        <v>N.S.</v>
      </c>
      <c r="AZ71" s="4" t="str">
        <f ca="1">concretoBloco(HC[[#This Row],[nE]],HC[[#This Row],[e (cm)]],HC[[#This Row],[a (cm)]],HC[[#This Row],[h (cm)]])</f>
        <v>N.S.</v>
      </c>
      <c r="BA71" s="5">
        <f ca="1">SUM(HC[[#This Row],[Aço Est (kg)]],HC[[#This Row],[Aço Bloco (kg)]])</f>
        <v>12.08413614203314</v>
      </c>
      <c r="BB71" s="4">
        <f>INDEX(composicoes[],MATCH(95580,composicoes[CÓDIGO],0),MATCH("CUSTO TOTAL",composicoes[#Headers],0))</f>
        <v>10.46</v>
      </c>
      <c r="BC71" s="4">
        <f ca="1">SUM(HC[[#This Row],[Conc Est (m³)]],HC[[#This Row],[Conc Bloco (m³)]])</f>
        <v>12.507465752104361</v>
      </c>
      <c r="BD71" s="4">
        <f>INDEX(composicoes[],MATCH(94966,composicoes[CÓDIGO],0),MATCH("CUSTO TOTAL",composicoes[#Headers],0))</f>
        <v>439.52</v>
      </c>
      <c r="BE71" s="38">
        <f ca="1">HC[[#This Row],[Aço (kg)]]*HC[[#This Row],[Aço (R$/kg)]]+HC[[#This Row],[Conc (m³)]]*HC[[#This Row],[Conc (R$/m³)]]</f>
        <v>5623.6814114105755</v>
      </c>
      <c r="BF71" s="4" t="str">
        <f ca="1">IF(COUNTIF(HC[#This Row],"N.S.")&gt;0,"lim.","OK")</f>
        <v>lim.</v>
      </c>
      <c r="BG71" s="4" t="str">
        <f>IF(HC[[#This Row],[Prof. (m)]]&lt;4,"lim.","OK")</f>
        <v>OK</v>
      </c>
      <c r="BH71" s="4" t="str">
        <f>IF(HC[[#This Row],[Prof. (m)]]&gt;=8*HC[[#This Row],[Ø (cm)]]/100,"OK","lim.")</f>
        <v>OK</v>
      </c>
      <c r="BI71" s="4" t="str">
        <f ca="1">IF(HC[[#This Row],[Verif. Biela]]="OK","OK","lim.")</f>
        <v>OK</v>
      </c>
      <c r="BJ71" s="4" t="str">
        <f ca="1">IF(COUNTA(HC[[#This Row],[Nº Est.]:[Biela comp.]])=COUNTIF(HC[[#This Row],[Nº Est.]:[Biela comp.]],"OK"),"OK","lim.")</f>
        <v>lim.</v>
      </c>
      <c r="BK71" s="4" t="str">
        <f ca="1">IF(HC[[#This Row],[Controle]]="OK",HC[[#This Row],[nE]]&amp;" Ø"&amp;HC[[#This Row],[Ø (cm)]]&amp;"cm Prof. "&amp;HC[[#This Row],[Prof. (m)]]&amp;" m","")</f>
        <v/>
      </c>
      <c r="BL71" s="4" t="str">
        <f ca="1">IF(HC[[#This Row],[idDimensionamento]]="","",HC[[#This Row],[idPilar]]&amp;HC[[#This Row],[idDimensionamento]])</f>
        <v/>
      </c>
    </row>
    <row r="72" spans="2:64" x14ac:dyDescent="0.25">
      <c r="B72" s="12">
        <f>ROUNDUP((ROW(HC[[#This Row],[idDiâmetro]])-ROW(HC[[#Headers],[idDiâmetro]]))/(COUNT(SPT[Prof. (m)])*COUNT(PILARES[Pilar])),0)</f>
        <v>3</v>
      </c>
      <c r="C72" s="12">
        <f>IF(HC[[#This Row],[idDiâmetro]]&lt;&gt;B71,1,IF(HC[[#This Row],[Prof. (m)]]=0,C71+1,C71))</f>
        <v>1</v>
      </c>
      <c r="D72" s="1">
        <f>IFERROR(IF(D71=MAX(SPT[Prof. (m)]),0,D71+1),0)</f>
        <v>11</v>
      </c>
      <c r="E72" s="1">
        <f>INDEX(SPT[],MATCH(HC[[#This Row],[Prof. (m)]],SPT[Prof. (m)],0),2)</f>
        <v>41</v>
      </c>
      <c r="F72" s="1" t="str">
        <f>INDEX(SPT[],MATCH(HC[[#This Row],[Prof. (m)]],SPT[Prof. (m)],0),3)</f>
        <v>Areia siltosa</v>
      </c>
      <c r="G72" s="1">
        <f>INDEX(estacas[],HC[[#This Row],[idDiâmetro]],MATCH($B$2,estacas[#Headers],0))</f>
        <v>35</v>
      </c>
      <c r="H72" s="1">
        <f>INDEX(estacas[],MATCH(HC[[#This Row],[Ø (cm)]],estacas[Ø HC (cm)],0),MATCH(HC[[#Headers],[Pe HC (kN)]],estacas[#Headers],0))</f>
        <v>600</v>
      </c>
      <c r="I72" s="4">
        <f>INDEX(K_alpha_C[],MATCH(HC[[#This Row],[Solo]],K_alpha_C[Solo],0),2)</f>
        <v>0.8</v>
      </c>
      <c r="J72" s="5">
        <f>INDEX(K_alpha_C[],MATCH(HC[[#This Row],[Solo]],K_alpha_C[Solo],0),3)</f>
        <v>2</v>
      </c>
      <c r="K72" s="4">
        <f>INDEX(F1_F2[],MATCH($D$2,F1_F2[Tipo de estaca],0),2)</f>
        <v>2</v>
      </c>
      <c r="L72" s="4">
        <f>INDEX(F1_F2[],MATCH($D$2,F1_F2[Tipo de estaca],0),3)</f>
        <v>4</v>
      </c>
      <c r="M72" s="4">
        <f>PI()*(HC[[#This Row],[Ø (cm)]]/100)^2/4</f>
        <v>9.6211275016187398E-2</v>
      </c>
      <c r="N72" s="4">
        <f>PI()*HC[[#This Row],[Ø (cm)]]/100</f>
        <v>1.0995574287564276</v>
      </c>
      <c r="O72" s="4">
        <f>IF(HC[[#This Row],[Prof. (m)]]=0,0,HC[[#This Row],[α (%)]]/100*HC[[#This Row],[K (MPa)]]*1000*HC[[#This Row],[NSPT]])</f>
        <v>656</v>
      </c>
      <c r="P72" s="4">
        <f>IF(HC[[#This Row],[Prof. (m)]]=0,0,(HC[[#This Row],[K (MPa)]]*1000*HC[[#This Row],[NSPT]]/HC[[#This Row],[F1]]*HC[[#This Row],[Ap (m²)]]+HC[[#This Row],[U (m)]]/HC[[#This Row],[F2]]*SUMIFS(HC[(α∙K∙NL∙ΔL)],HC[Prof. (m)],"&lt;="&amp;HC[[#This Row],[Prof. (m)]],HC[idDiâmetro],HC[[#This Row],[idDiâmetro]],HC[idPilar],HC[[#This Row],[idPilar]]))/'DADOS CAP. CARGA'!$D$2)</f>
        <v>1144.0757601532032</v>
      </c>
      <c r="Q72" s="12">
        <f>INDEX(C_alpha_beta[],MATCH(HC[[#This Row],[Solo]],C_alpha_beta[Solo],0),MATCH(HC[[#Headers],[C (kPa)]],C_alpha_beta[#Headers],0))</f>
        <v>400</v>
      </c>
      <c r="R72" s="4">
        <f>INDEX(C_alpha_beta[],MATCH(HC[[#This Row],[Solo]],C_alpha_beta[Solo],0),MATCH(HC[[#Headers],[α ESF]],C_alpha_beta[#Headers],0))</f>
        <v>0.5</v>
      </c>
      <c r="S72" s="4">
        <f>INDEX(C_alpha_beta[],MATCH(HC[[#This Row],[Solo]],C_alpha_beta[Solo],0),MATCH(HC[[#Headers],[β ESF]],C_alpha_beta[#Headers],0))</f>
        <v>0.5</v>
      </c>
      <c r="T72" s="4">
        <f>IF(HC[[#This Row],[Prof. (m)]]=0,0,10*(HC[[#This Row],[NSPT]]/3+1))</f>
        <v>146.66666666666666</v>
      </c>
      <c r="U72" s="4">
        <f>(HC[[#This Row],[α ESF]]*HC[[#This Row],[C (kPa)]]*HC[[#This Row],[NSPT]]*HC[[#This Row],[Ap (m²)]])/'DADOS CAP. CARGA'!$Q$2+(HC[[#This Row],[β ESF]]*SUMIFS(HC[10∙(NL/3+1)],HC[Prof. (m)],"&lt;="&amp;HC[[#This Row],[Prof. (m)]],HC[idDiâmetro],HC[[#This Row],[idDiâmetro]],HC[idPilar],HC[[#This Row],[idPilar]])*HC[[#This Row],[U (m)]])/'DADOS CAP. CARGA'!$S$2</f>
        <v>384.15787667177682</v>
      </c>
      <c r="V72" s="4">
        <f>IF(SPT!$M$5=1,MIN(HC[[#This Row],[Pe HC (kN)]],HC[[#This Row],[R_AV (kN)]]),IF(SPT!$M$5=2,MIN(HC[[#This Row],[Pe HC (kN)]],HC[[#This Row],[R_DC (kN)]]),MIN(HC[[#This Row],[Pe HC (kN)]],HC[[#This Row],[R_AV (kN)]],HC[[#This Row],[R_DC (kN)]])))</f>
        <v>384.15787667177682</v>
      </c>
      <c r="W72" s="4">
        <f>INDEX(PILARES[],HC[[#This Row],[idPilar]],MATCH("Carga (kN)",PILARES[#Headers],0))*1.4</f>
        <v>3500</v>
      </c>
      <c r="X72" s="12">
        <f>INDEX(PILARES[],HC[[#This Row],[idPilar]],MATCH(HC[[#Headers],[ap (cm)]],PILARES[#Headers],0))</f>
        <v>60</v>
      </c>
      <c r="Y72" s="12">
        <f>INDEX(PILARES[],HC[[#This Row],[idPilar]],MATCH(HC[[#Headers],[bp (cm)]],PILARES[#Headers],0))</f>
        <v>60</v>
      </c>
      <c r="Z72" s="4">
        <f>SQRT(HC[[#This Row],[ap (cm)]]*HC[[#This Row],[bp (cm)]])</f>
        <v>60</v>
      </c>
      <c r="AA72" s="12">
        <f>HC[[#This Row],[ap (cm)]]*HC[[#This Row],[bp (cm)]]</f>
        <v>3600</v>
      </c>
      <c r="AB72" s="12">
        <f ca="1">IF(HC[[#This Row],[Padm∙ε (kN)]]&gt;=HC[[#This Row],[Padm (kN)]],ROUNDUP(1.05*HC[[#This Row],[Nsd (kN)]]/HC[[#This Row],[Padm (kN)]],0),ROUNDUP(1.05*HC[[#This Row],[Nsd (kN)]]/HC[[#This Row],[Padm (kN)]],0)+1)</f>
        <v>10</v>
      </c>
      <c r="AC72" s="4" t="str">
        <f ca="1">IFERROR(IF(HC[[#This Row],[nE]]=1,HC[[#This Row],[Padm (kN)]],HC[[#This Row],[Padm (kN)]]*HC[[#This Row],[nE]]*INDEX(grupoEstacas[],HC[[#This Row],[nE]],MATCH("ε",grupoEstacas[#Headers],0))),"N.S.")</f>
        <v>N.S.</v>
      </c>
      <c r="AD72" s="4">
        <f ca="1">1.05*HC[[#This Row],[Nsd (kN)]]/(HC[[#This Row],[nE]]*PI()*HC[[#This Row],[Ø (cm)]]^2/4)*10</f>
        <v>3.8197186342054885</v>
      </c>
      <c r="AE72" s="4">
        <f ca="1">IF(HC[[#This Row],[σ (MPa)]]&lt;INDEX(tipoEstaca[],MATCH($D$2,tipoEstaca[TIPO DE ESTACA],0),MATCH("σmáx (MPa)",tipoEstaca[#Headers],0)),0.4%*PI()*HC[[#This Row],[Ø (cm)]]^2/4,"N.S.")</f>
        <v>3.848451000647497</v>
      </c>
      <c r="AF72" s="1">
        <f>INDEX(tipoEstaca[],MATCH($D$2,tipoEstaca[TIPO DE ESTACA],0),MATCH(HC[[#Headers],[Comprimento (m)]],tipoEstaca[#Headers],0))</f>
        <v>4</v>
      </c>
      <c r="AG72" s="5">
        <f ca="1">HC[[#This Row],[As,mín (cm²)]]/100^2*HC[[#This Row],[Comprimento (m)]]*7850</f>
        <v>12.08413614203314</v>
      </c>
      <c r="AH72" s="4">
        <f ca="1">HC[[#This Row],[nE]]*HC[[#This Row],[Prof. (m)]]*HC[[#This Row],[Ap (m²)]]</f>
        <v>10.583240251780614</v>
      </c>
      <c r="AI72" s="1">
        <f ca="1">IF(HC[[#This Row],[nE]]=1,0,MAX(3*HC[[#This Row],[Ø (cm)]],60))</f>
        <v>105</v>
      </c>
      <c r="AJ72" s="1">
        <f ca="1">IF(HC[[#This Row],[nE]]=1,HC[[#This Row],[Ø (cm)]]+2*10,MAX(1.5*HC[[#This Row],[Ø (cm)]],HC[[#This Row],[Ø (cm)]]+15))</f>
        <v>52.5</v>
      </c>
      <c r="AK72" s="1" t="str">
        <f ca="1">alturaUtil(HC[[#This Row],[nE]],HC[[#This Row],[Ø (cm)]],HC[[#This Row],[e (cm)]],HC[[#This Row],[ap,eq (cm)]])</f>
        <v>N.S.</v>
      </c>
      <c r="AL72" s="1" t="str">
        <f ca="1">IFERROR(HC[[#This Row],[d (cm)]]+arredondarParaCimaMultiplo5cm(MAX(5,SQRT(PI())/2*HC[[#This Row],[Ø (cm)]]/5)),"N.S.")</f>
        <v>N.S.</v>
      </c>
      <c r="AM72" s="5" t="str">
        <f ca="1">alpha(HC[[#This Row],[nE]],HC[[#This Row],[d (cm)]],HC[[#This Row],[e (cm)]],HC[[#This Row],[ap,eq (cm)]])</f>
        <v>N.S.</v>
      </c>
      <c r="AN72" s="35" t="str">
        <f ca="1">IFERROR(HC[[#This Row],[Nsd (kN)]]/(HC[[#This Row],[Ap (cm²)]]*SIN(HC[[#This Row],[α]])^2),"N.S.")</f>
        <v>N.S.</v>
      </c>
      <c r="AO72" s="35" t="str">
        <f ca="1">IFERROR(HC[[#This Row],[Nsd (kN)]]/(HC[[#This Row],[nE]]*PI()*HC[[#This Row],[Ø (cm)]]^2/4*SIN(HC[[#This Row],[α]])^2),"N.S.")</f>
        <v>N.S.</v>
      </c>
      <c r="AP72" s="4" t="str">
        <f ca="1">IFERROR(INDEX(grupoEstacas[],HC[[#This Row],[nE]],MATCH("coef. Blévot",grupoEstacas[#Headers],0)),"N.S.")</f>
        <v>N.S.</v>
      </c>
      <c r="AQ72" s="35" t="str">
        <f ca="1">IFERROR(HC[[#This Row],[coef. Blévot]]*0.9*INDEX(tipoEstaca[],MATCH($D$2,tipoEstaca[TIPO DE ESTACA],0),MATCH("fcd (kN/cm²)",tipoEstaca[#Headers],0)),"N.S.")</f>
        <v>N.S.</v>
      </c>
      <c r="AR72" s="1" t="str">
        <f ca="1">IF(AND(HC[[#This Row],[cd,b,pil (kN/cm²)]]&lt;=HC[[#This Row],[cd,b,lim (kN/cm²)]],HC[[#This Row],[cd,b,est (kN/cm²)]]&lt;=HC[[#This Row],[cd,b,lim (kN/cm²)]]),"OK","ERRO")</f>
        <v>OK</v>
      </c>
      <c r="AS72" s="4" t="str">
        <f ca="1">As_lado(HC[[#This Row],[nE]],HC[[#This Row],[Nsd (kN)]],HC[[#This Row],[d (cm)]],HC[[#This Row],[e (cm)]],HC[[#This Row],[ap,eq (cm)]])</f>
        <v>N.S.</v>
      </c>
      <c r="AT72" s="4" t="str">
        <f ca="1">IF(HC[[#This Row],[nE]]=1,HC[[#This Row],[As,lado (cm²)]],IF(HC[[#This Row],[nE]]=2,0.075*2*HC[a (cm)],"N.A."))</f>
        <v>N.A.</v>
      </c>
      <c r="AU72" s="4" t="str">
        <f ca="1">IFERROR(IF(HC[[#This Row],[nE]]=1,"N.A.",0.2*HC[[#This Row],[As,lado (cm²)]]),"N.S.")</f>
        <v>N.S.</v>
      </c>
      <c r="AV72" s="4" t="str">
        <f ca="1">As_malha(HC[[#This Row],[nE]],HC[[#This Row],[As,lado (cm²)]],HC[[#This Row],[Nsd (kN)]])</f>
        <v>N.S.</v>
      </c>
      <c r="AW72" s="4" t="str">
        <f ca="1">As_susp_tot(HC[[#This Row],[nE]],HC[[#This Row],[Nsd (kN)]])</f>
        <v>N.S.</v>
      </c>
      <c r="AX72" s="4" t="str">
        <f ca="1">Asp_face(HC[[#This Row],[nE]],HC[[#This Row],[As,lado (cm²)]])</f>
        <v>N.S.</v>
      </c>
      <c r="AY72" s="5" t="str">
        <f ca="1">acoBloco(HC[[#This Row],[nE]],HC[[#This Row],[e (cm)]],HC[[#This Row],[a (cm)]],HC[[#This Row],[h (cm)]],HC[[#This Row],[As,lado (cm²)]],HC[[#This Row],[Asp e Asw (cm²/m)]],HC[[#This Row],[As,sup (cm²)]],HC[[#This Row],[As,malha (cm²)]],HC[[#This Row],[As,susp,tot (cm²)]],HC[[#This Row],[Asp,face (cm²)]])</f>
        <v>N.S.</v>
      </c>
      <c r="AZ72" s="4" t="str">
        <f ca="1">concretoBloco(HC[[#This Row],[nE]],HC[[#This Row],[e (cm)]],HC[[#This Row],[a (cm)]],HC[[#This Row],[h (cm)]])</f>
        <v>N.S.</v>
      </c>
      <c r="BA72" s="5">
        <f ca="1">SUM(HC[[#This Row],[Aço Est (kg)]],HC[[#This Row],[Aço Bloco (kg)]])</f>
        <v>12.08413614203314</v>
      </c>
      <c r="BB72" s="4">
        <f>INDEX(composicoes[],MATCH(95580,composicoes[CÓDIGO],0),MATCH("CUSTO TOTAL",composicoes[#Headers],0))</f>
        <v>10.46</v>
      </c>
      <c r="BC72" s="4">
        <f ca="1">SUM(HC[[#This Row],[Conc Est (m³)]],HC[[#This Row],[Conc Bloco (m³)]])</f>
        <v>10.583240251780614</v>
      </c>
      <c r="BD72" s="4">
        <f>INDEX(composicoes[],MATCH(94966,composicoes[CÓDIGO],0),MATCH("CUSTO TOTAL",composicoes[#Headers],0))</f>
        <v>439.52</v>
      </c>
      <c r="BE72" s="38">
        <f ca="1">HC[[#This Row],[Aço (kg)]]*HC[[#This Row],[Aço (R$/kg)]]+HC[[#This Row],[Conc (m³)]]*HC[[#This Row],[Conc (R$/m³)]]</f>
        <v>4777.9458195082825</v>
      </c>
      <c r="BF72" s="4" t="str">
        <f ca="1">IF(COUNTIF(HC[#This Row],"N.S.")&gt;0,"lim.","OK")</f>
        <v>lim.</v>
      </c>
      <c r="BG72" s="4" t="str">
        <f>IF(HC[[#This Row],[Prof. (m)]]&lt;4,"lim.","OK")</f>
        <v>OK</v>
      </c>
      <c r="BH72" s="4" t="str">
        <f>IF(HC[[#This Row],[Prof. (m)]]&gt;=8*HC[[#This Row],[Ø (cm)]]/100,"OK","lim.")</f>
        <v>OK</v>
      </c>
      <c r="BI72" s="4" t="str">
        <f ca="1">IF(HC[[#This Row],[Verif. Biela]]="OK","OK","lim.")</f>
        <v>OK</v>
      </c>
      <c r="BJ72" s="4" t="str">
        <f ca="1">IF(COUNTA(HC[[#This Row],[Nº Est.]:[Biela comp.]])=COUNTIF(HC[[#This Row],[Nº Est.]:[Biela comp.]],"OK"),"OK","lim.")</f>
        <v>lim.</v>
      </c>
      <c r="BK72" s="4" t="str">
        <f ca="1">IF(HC[[#This Row],[Controle]]="OK",HC[[#This Row],[nE]]&amp;" Ø"&amp;HC[[#This Row],[Ø (cm)]]&amp;"cm Prof. "&amp;HC[[#This Row],[Prof. (m)]]&amp;" m","")</f>
        <v/>
      </c>
      <c r="BL72" s="4" t="str">
        <f ca="1">IF(HC[[#This Row],[idDimensionamento]]="","",HC[[#This Row],[idPilar]]&amp;HC[[#This Row],[idDimensionamento]])</f>
        <v/>
      </c>
    </row>
    <row r="73" spans="2:64" x14ac:dyDescent="0.25">
      <c r="B73" s="12">
        <f>ROUNDUP((ROW(HC[[#This Row],[idDiâmetro]])-ROW(HC[[#Headers],[idDiâmetro]]))/(COUNT(SPT[Prof. (m)])*COUNT(PILARES[Pilar])),0)</f>
        <v>3</v>
      </c>
      <c r="C73" s="12">
        <f>IF(HC[[#This Row],[idDiâmetro]]&lt;&gt;B72,1,IF(HC[[#This Row],[Prof. (m)]]=0,C72+1,C72))</f>
        <v>1</v>
      </c>
      <c r="D73" s="1">
        <f>IFERROR(IF(D72=MAX(SPT[Prof. (m)]),0,D72+1),0)</f>
        <v>12</v>
      </c>
      <c r="E73" s="1">
        <f>INDEX(SPT[],MATCH(HC[[#This Row],[Prof. (m)]],SPT[Prof. (m)],0),2)</f>
        <v>52</v>
      </c>
      <c r="F73" s="1" t="str">
        <f>INDEX(SPT[],MATCH(HC[[#This Row],[Prof. (m)]],SPT[Prof. (m)],0),3)</f>
        <v>Areia siltosa</v>
      </c>
      <c r="G73" s="1">
        <f>INDEX(estacas[],HC[[#This Row],[idDiâmetro]],MATCH($B$2,estacas[#Headers],0))</f>
        <v>35</v>
      </c>
      <c r="H73" s="1">
        <f>INDEX(estacas[],MATCH(HC[[#This Row],[Ø (cm)]],estacas[Ø HC (cm)],0),MATCH(HC[[#Headers],[Pe HC (kN)]],estacas[#Headers],0))</f>
        <v>600</v>
      </c>
      <c r="I73" s="4">
        <f>INDEX(K_alpha_C[],MATCH(HC[[#This Row],[Solo]],K_alpha_C[Solo],0),2)</f>
        <v>0.8</v>
      </c>
      <c r="J73" s="5">
        <f>INDEX(K_alpha_C[],MATCH(HC[[#This Row],[Solo]],K_alpha_C[Solo],0),3)</f>
        <v>2</v>
      </c>
      <c r="K73" s="4">
        <f>INDEX(F1_F2[],MATCH($D$2,F1_F2[Tipo de estaca],0),2)</f>
        <v>2</v>
      </c>
      <c r="L73" s="4">
        <f>INDEX(F1_F2[],MATCH($D$2,F1_F2[Tipo de estaca],0),3)</f>
        <v>4</v>
      </c>
      <c r="M73" s="4">
        <f>PI()*(HC[[#This Row],[Ø (cm)]]/100)^2/4</f>
        <v>9.6211275016187398E-2</v>
      </c>
      <c r="N73" s="4">
        <f>PI()*HC[[#This Row],[Ø (cm)]]/100</f>
        <v>1.0995574287564276</v>
      </c>
      <c r="O73" s="4">
        <f>IF(HC[[#This Row],[Prof. (m)]]=0,0,HC[[#This Row],[α (%)]]/100*HC[[#This Row],[K (MPa)]]*1000*HC[[#This Row],[NSPT]])</f>
        <v>832</v>
      </c>
      <c r="P73" s="4">
        <f>IF(HC[[#This Row],[Prof. (m)]]=0,0,(HC[[#This Row],[K (MPa)]]*1000*HC[[#This Row],[NSPT]]/HC[[#This Row],[F1]]*HC[[#This Row],[Ap (m²)]]+HC[[#This Row],[U (m)]]/HC[[#This Row],[F2]]*SUMIFS(HC[(α∙K∙NL∙ΔL)],HC[Prof. (m)],"&lt;="&amp;HC[[#This Row],[Prof. (m)]],HC[idDiâmetro],HC[[#This Row],[idDiâmetro]],HC[idPilar],HC[[#This Row],[idPilar]]))/'DADOS CAP. CARGA'!$D$2)</f>
        <v>1470.0945377794842</v>
      </c>
      <c r="Q73" s="12">
        <f>INDEX(C_alpha_beta[],MATCH(HC[[#This Row],[Solo]],C_alpha_beta[Solo],0),MATCH(HC[[#Headers],[C (kPa)]],C_alpha_beta[#Headers],0))</f>
        <v>400</v>
      </c>
      <c r="R73" s="4">
        <f>INDEX(C_alpha_beta[],MATCH(HC[[#This Row],[Solo]],C_alpha_beta[Solo],0),MATCH(HC[[#Headers],[α ESF]],C_alpha_beta[#Headers],0))</f>
        <v>0.5</v>
      </c>
      <c r="S73" s="4">
        <f>INDEX(C_alpha_beta[],MATCH(HC[[#This Row],[Solo]],C_alpha_beta[Solo],0),MATCH(HC[[#Headers],[β ESF]],C_alpha_beta[#Headers],0))</f>
        <v>0.5</v>
      </c>
      <c r="T73" s="4">
        <f>IF(HC[[#This Row],[Prof. (m)]]=0,0,10*(HC[[#This Row],[NSPT]]/3+1))</f>
        <v>183.33333333333331</v>
      </c>
      <c r="U73" s="4">
        <f>(HC[[#This Row],[α ESF]]*HC[[#This Row],[C (kPa)]]*HC[[#This Row],[NSPT]]*HC[[#This Row],[Ap (m²)]])/'DADOS CAP. CARGA'!$Q$2+(HC[[#This Row],[β ESF]]*SUMIFS(HC[10∙(NL/3+1)],HC[Prof. (m)],"&lt;="&amp;HC[[#This Row],[Prof. (m)]],HC[idDiâmetro],HC[[#This Row],[idDiâmetro]],HC[idPilar],HC[[#This Row],[idPilar]])*HC[[#This Row],[U (m)]])/'DADOS CAP. CARGA'!$S$2</f>
        <v>487.47046008201619</v>
      </c>
      <c r="V73" s="4">
        <f>IF(SPT!$M$5=1,MIN(HC[[#This Row],[Pe HC (kN)]],HC[[#This Row],[R_AV (kN)]]),IF(SPT!$M$5=2,MIN(HC[[#This Row],[Pe HC (kN)]],HC[[#This Row],[R_DC (kN)]]),MIN(HC[[#This Row],[Pe HC (kN)]],HC[[#This Row],[R_AV (kN)]],HC[[#This Row],[R_DC (kN)]])))</f>
        <v>487.47046008201619</v>
      </c>
      <c r="W73" s="4">
        <f>INDEX(PILARES[],HC[[#This Row],[idPilar]],MATCH("Carga (kN)",PILARES[#Headers],0))*1.4</f>
        <v>3500</v>
      </c>
      <c r="X73" s="12">
        <f>INDEX(PILARES[],HC[[#This Row],[idPilar]],MATCH(HC[[#Headers],[ap (cm)]],PILARES[#Headers],0))</f>
        <v>60</v>
      </c>
      <c r="Y73" s="12">
        <f>INDEX(PILARES[],HC[[#This Row],[idPilar]],MATCH(HC[[#Headers],[bp (cm)]],PILARES[#Headers],0))</f>
        <v>60</v>
      </c>
      <c r="Z73" s="4">
        <f>SQRT(HC[[#This Row],[ap (cm)]]*HC[[#This Row],[bp (cm)]])</f>
        <v>60</v>
      </c>
      <c r="AA73" s="12">
        <f>HC[[#This Row],[ap (cm)]]*HC[[#This Row],[bp (cm)]]</f>
        <v>3600</v>
      </c>
      <c r="AB73" s="12">
        <f ca="1">IF(HC[[#This Row],[Padm∙ε (kN)]]&gt;=HC[[#This Row],[Padm (kN)]],ROUNDUP(1.05*HC[[#This Row],[Nsd (kN)]]/HC[[#This Row],[Padm (kN)]],0),ROUNDUP(1.05*HC[[#This Row],[Nsd (kN)]]/HC[[#This Row],[Padm (kN)]],0)+1)</f>
        <v>8</v>
      </c>
      <c r="AC73" s="4" t="str">
        <f ca="1">IFERROR(IF(HC[[#This Row],[nE]]=1,HC[[#This Row],[Padm (kN)]],HC[[#This Row],[Padm (kN)]]*HC[[#This Row],[nE]]*INDEX(grupoEstacas[],HC[[#This Row],[nE]],MATCH("ε",grupoEstacas[#Headers],0))),"N.S.")</f>
        <v>N.S.</v>
      </c>
      <c r="AD73" s="4">
        <f ca="1">1.05*HC[[#This Row],[Nsd (kN)]]/(HC[[#This Row],[nE]]*PI()*HC[[#This Row],[Ø (cm)]]^2/4)*10</f>
        <v>4.7746482927568596</v>
      </c>
      <c r="AE73" s="4">
        <f ca="1">IF(HC[[#This Row],[σ (MPa)]]&lt;INDEX(tipoEstaca[],MATCH($D$2,tipoEstaca[TIPO DE ESTACA],0),MATCH("σmáx (MPa)",tipoEstaca[#Headers],0)),0.4%*PI()*HC[[#This Row],[Ø (cm)]]^2/4,"N.S.")</f>
        <v>3.848451000647497</v>
      </c>
      <c r="AF73" s="1">
        <f>INDEX(tipoEstaca[],MATCH($D$2,tipoEstaca[TIPO DE ESTACA],0),MATCH(HC[[#Headers],[Comprimento (m)]],tipoEstaca[#Headers],0))</f>
        <v>4</v>
      </c>
      <c r="AG73" s="5">
        <f ca="1">HC[[#This Row],[As,mín (cm²)]]/100^2*HC[[#This Row],[Comprimento (m)]]*7850</f>
        <v>12.08413614203314</v>
      </c>
      <c r="AH73" s="4">
        <f ca="1">HC[[#This Row],[nE]]*HC[[#This Row],[Prof. (m)]]*HC[[#This Row],[Ap (m²)]]</f>
        <v>9.2362824015539893</v>
      </c>
      <c r="AI73" s="1">
        <f ca="1">IF(HC[[#This Row],[nE]]=1,0,MAX(3*HC[[#This Row],[Ø (cm)]],60))</f>
        <v>105</v>
      </c>
      <c r="AJ73" s="1">
        <f ca="1">IF(HC[[#This Row],[nE]]=1,HC[[#This Row],[Ø (cm)]]+2*10,MAX(1.5*HC[[#This Row],[Ø (cm)]],HC[[#This Row],[Ø (cm)]]+15))</f>
        <v>52.5</v>
      </c>
      <c r="AK73" s="1" t="str">
        <f ca="1">alturaUtil(HC[[#This Row],[nE]],HC[[#This Row],[Ø (cm)]],HC[[#This Row],[e (cm)]],HC[[#This Row],[ap,eq (cm)]])</f>
        <v>N.S.</v>
      </c>
      <c r="AL73" s="1" t="str">
        <f ca="1">IFERROR(HC[[#This Row],[d (cm)]]+arredondarParaCimaMultiplo5cm(MAX(5,SQRT(PI())/2*HC[[#This Row],[Ø (cm)]]/5)),"N.S.")</f>
        <v>N.S.</v>
      </c>
      <c r="AM73" s="5" t="str">
        <f ca="1">alpha(HC[[#This Row],[nE]],HC[[#This Row],[d (cm)]],HC[[#This Row],[e (cm)]],HC[[#This Row],[ap,eq (cm)]])</f>
        <v>N.S.</v>
      </c>
      <c r="AN73" s="35" t="str">
        <f ca="1">IFERROR(HC[[#This Row],[Nsd (kN)]]/(HC[[#This Row],[Ap (cm²)]]*SIN(HC[[#This Row],[α]])^2),"N.S.")</f>
        <v>N.S.</v>
      </c>
      <c r="AO73" s="35" t="str">
        <f ca="1">IFERROR(HC[[#This Row],[Nsd (kN)]]/(HC[[#This Row],[nE]]*PI()*HC[[#This Row],[Ø (cm)]]^2/4*SIN(HC[[#This Row],[α]])^2),"N.S.")</f>
        <v>N.S.</v>
      </c>
      <c r="AP73" s="4" t="str">
        <f ca="1">IFERROR(INDEX(grupoEstacas[],HC[[#This Row],[nE]],MATCH("coef. Blévot",grupoEstacas[#Headers],0)),"N.S.")</f>
        <v>N.S.</v>
      </c>
      <c r="AQ73" s="35" t="str">
        <f ca="1">IFERROR(HC[[#This Row],[coef. Blévot]]*0.9*INDEX(tipoEstaca[],MATCH($D$2,tipoEstaca[TIPO DE ESTACA],0),MATCH("fcd (kN/cm²)",tipoEstaca[#Headers],0)),"N.S.")</f>
        <v>N.S.</v>
      </c>
      <c r="AR73" s="1" t="str">
        <f ca="1">IF(AND(HC[[#This Row],[cd,b,pil (kN/cm²)]]&lt;=HC[[#This Row],[cd,b,lim (kN/cm²)]],HC[[#This Row],[cd,b,est (kN/cm²)]]&lt;=HC[[#This Row],[cd,b,lim (kN/cm²)]]),"OK","ERRO")</f>
        <v>OK</v>
      </c>
      <c r="AS73" s="4" t="str">
        <f ca="1">As_lado(HC[[#This Row],[nE]],HC[[#This Row],[Nsd (kN)]],HC[[#This Row],[d (cm)]],HC[[#This Row],[e (cm)]],HC[[#This Row],[ap,eq (cm)]])</f>
        <v>N.S.</v>
      </c>
      <c r="AT73" s="4" t="str">
        <f ca="1">IF(HC[[#This Row],[nE]]=1,HC[[#This Row],[As,lado (cm²)]],IF(HC[[#This Row],[nE]]=2,0.075*2*HC[a (cm)],"N.A."))</f>
        <v>N.A.</v>
      </c>
      <c r="AU73" s="4" t="str">
        <f ca="1">IFERROR(IF(HC[[#This Row],[nE]]=1,"N.A.",0.2*HC[[#This Row],[As,lado (cm²)]]),"N.S.")</f>
        <v>N.S.</v>
      </c>
      <c r="AV73" s="4" t="str">
        <f ca="1">As_malha(HC[[#This Row],[nE]],HC[[#This Row],[As,lado (cm²)]],HC[[#This Row],[Nsd (kN)]])</f>
        <v>N.S.</v>
      </c>
      <c r="AW73" s="4" t="str">
        <f ca="1">As_susp_tot(HC[[#This Row],[nE]],HC[[#This Row],[Nsd (kN)]])</f>
        <v>N.S.</v>
      </c>
      <c r="AX73" s="4" t="str">
        <f ca="1">Asp_face(HC[[#This Row],[nE]],HC[[#This Row],[As,lado (cm²)]])</f>
        <v>N.S.</v>
      </c>
      <c r="AY73" s="5" t="str">
        <f ca="1">acoBloco(HC[[#This Row],[nE]],HC[[#This Row],[e (cm)]],HC[[#This Row],[a (cm)]],HC[[#This Row],[h (cm)]],HC[[#This Row],[As,lado (cm²)]],HC[[#This Row],[Asp e Asw (cm²/m)]],HC[[#This Row],[As,sup (cm²)]],HC[[#This Row],[As,malha (cm²)]],HC[[#This Row],[As,susp,tot (cm²)]],HC[[#This Row],[Asp,face (cm²)]])</f>
        <v>N.S.</v>
      </c>
      <c r="AZ73" s="4" t="str">
        <f ca="1">concretoBloco(HC[[#This Row],[nE]],HC[[#This Row],[e (cm)]],HC[[#This Row],[a (cm)]],HC[[#This Row],[h (cm)]])</f>
        <v>N.S.</v>
      </c>
      <c r="BA73" s="5">
        <f ca="1">SUM(HC[[#This Row],[Aço Est (kg)]],HC[[#This Row],[Aço Bloco (kg)]])</f>
        <v>12.08413614203314</v>
      </c>
      <c r="BB73" s="4">
        <f>INDEX(composicoes[],MATCH(95580,composicoes[CÓDIGO],0),MATCH("CUSTO TOTAL",composicoes[#Headers],0))</f>
        <v>10.46</v>
      </c>
      <c r="BC73" s="4">
        <f ca="1">SUM(HC[[#This Row],[Conc Est (m³)]],HC[[#This Row],[Conc Bloco (m³)]])</f>
        <v>9.2362824015539893</v>
      </c>
      <c r="BD73" s="4">
        <f>INDEX(composicoes[],MATCH(94966,composicoes[CÓDIGO],0),MATCH("CUSTO TOTAL",composicoes[#Headers],0))</f>
        <v>439.52</v>
      </c>
      <c r="BE73" s="38">
        <f ca="1">HC[[#This Row],[Aço (kg)]]*HC[[#This Row],[Aço (R$/kg)]]+HC[[#This Row],[Conc (m³)]]*HC[[#This Row],[Conc (R$/m³)]]</f>
        <v>4185.9309051766759</v>
      </c>
      <c r="BF73" s="4" t="str">
        <f ca="1">IF(COUNTIF(HC[#This Row],"N.S.")&gt;0,"lim.","OK")</f>
        <v>lim.</v>
      </c>
      <c r="BG73" s="4" t="str">
        <f>IF(HC[[#This Row],[Prof. (m)]]&lt;4,"lim.","OK")</f>
        <v>OK</v>
      </c>
      <c r="BH73" s="4" t="str">
        <f>IF(HC[[#This Row],[Prof. (m)]]&gt;=8*HC[[#This Row],[Ø (cm)]]/100,"OK","lim.")</f>
        <v>OK</v>
      </c>
      <c r="BI73" s="4" t="str">
        <f ca="1">IF(HC[[#This Row],[Verif. Biela]]="OK","OK","lim.")</f>
        <v>OK</v>
      </c>
      <c r="BJ73" s="4" t="str">
        <f ca="1">IF(COUNTA(HC[[#This Row],[Nº Est.]:[Biela comp.]])=COUNTIF(HC[[#This Row],[Nº Est.]:[Biela comp.]],"OK"),"OK","lim.")</f>
        <v>lim.</v>
      </c>
      <c r="BK73" s="4" t="str">
        <f ca="1">IF(HC[[#This Row],[Controle]]="OK",HC[[#This Row],[nE]]&amp;" Ø"&amp;HC[[#This Row],[Ø (cm)]]&amp;"cm Prof. "&amp;HC[[#This Row],[Prof. (m)]]&amp;" m","")</f>
        <v/>
      </c>
      <c r="BL73" s="4" t="str">
        <f ca="1">IF(HC[[#This Row],[idDimensionamento]]="","",HC[[#This Row],[idPilar]]&amp;HC[[#This Row],[idDimensionamento]])</f>
        <v/>
      </c>
    </row>
    <row r="74" spans="2:64" x14ac:dyDescent="0.25">
      <c r="B74" s="12">
        <f>ROUNDUP((ROW(HC[[#This Row],[idDiâmetro]])-ROW(HC[[#Headers],[idDiâmetro]]))/(COUNT(SPT[Prof. (m)])*COUNT(PILARES[Pilar])),0)</f>
        <v>3</v>
      </c>
      <c r="C74" s="12">
        <f>IF(HC[[#This Row],[idDiâmetro]]&lt;&gt;B73,1,IF(HC[[#This Row],[Prof. (m)]]=0,C73+1,C73))</f>
        <v>1</v>
      </c>
      <c r="D74" s="1">
        <f>IFERROR(IF(D73=MAX(SPT[Prof. (m)]),0,D73+1),0)</f>
        <v>13</v>
      </c>
      <c r="E74" s="1">
        <f>INDEX(SPT[],MATCH(HC[[#This Row],[Prof. (m)]],SPT[Prof. (m)],0),2)</f>
        <v>68</v>
      </c>
      <c r="F74" s="1" t="str">
        <f>INDEX(SPT[],MATCH(HC[[#This Row],[Prof. (m)]],SPT[Prof. (m)],0),3)</f>
        <v>Areia siltosa</v>
      </c>
      <c r="G74" s="1">
        <f>INDEX(estacas[],HC[[#This Row],[idDiâmetro]],MATCH($B$2,estacas[#Headers],0))</f>
        <v>35</v>
      </c>
      <c r="H74" s="1">
        <f>INDEX(estacas[],MATCH(HC[[#This Row],[Ø (cm)]],estacas[Ø HC (cm)],0),MATCH(HC[[#Headers],[Pe HC (kN)]],estacas[#Headers],0))</f>
        <v>600</v>
      </c>
      <c r="I74" s="4">
        <f>INDEX(K_alpha_C[],MATCH(HC[[#This Row],[Solo]],K_alpha_C[Solo],0),2)</f>
        <v>0.8</v>
      </c>
      <c r="J74" s="5">
        <f>INDEX(K_alpha_C[],MATCH(HC[[#This Row],[Solo]],K_alpha_C[Solo],0),3)</f>
        <v>2</v>
      </c>
      <c r="K74" s="4">
        <f>INDEX(F1_F2[],MATCH($D$2,F1_F2[Tipo de estaca],0),2)</f>
        <v>2</v>
      </c>
      <c r="L74" s="4">
        <f>INDEX(F1_F2[],MATCH($D$2,F1_F2[Tipo de estaca],0),3)</f>
        <v>4</v>
      </c>
      <c r="M74" s="4">
        <f>PI()*(HC[[#This Row],[Ø (cm)]]/100)^2/4</f>
        <v>9.6211275016187398E-2</v>
      </c>
      <c r="N74" s="4">
        <f>PI()*HC[[#This Row],[Ø (cm)]]/100</f>
        <v>1.0995574287564276</v>
      </c>
      <c r="O74" s="4">
        <f>IF(HC[[#This Row],[Prof. (m)]]=0,0,HC[[#This Row],[α (%)]]/100*HC[[#This Row],[K (MPa)]]*1000*HC[[#This Row],[NSPT]])</f>
        <v>1088</v>
      </c>
      <c r="P74" s="4">
        <f>IF(HC[[#This Row],[Prof. (m)]]=0,0,(HC[[#This Row],[K (MPa)]]*1000*HC[[#This Row],[NSPT]]/HC[[#This Row],[F1]]*HC[[#This Row],[Ap (m²)]]+HC[[#This Row],[U (m)]]/HC[[#This Row],[F2]]*SUMIFS(HC[(α∙K∙NL∙ΔL)],HC[Prof. (m)],"&lt;="&amp;HC[[#This Row],[Prof. (m)]],HC[idDiâmetro],HC[[#This Row],[idDiâmetro]],HC[idPilar],HC[[#This Row],[idPilar]]))/'DADOS CAP. CARGA'!$D$2)</f>
        <v>1927.5104281421579</v>
      </c>
      <c r="Q74" s="12">
        <f>INDEX(C_alpha_beta[],MATCH(HC[[#This Row],[Solo]],C_alpha_beta[Solo],0),MATCH(HC[[#Headers],[C (kPa)]],C_alpha_beta[#Headers],0))</f>
        <v>400</v>
      </c>
      <c r="R74" s="4">
        <f>INDEX(C_alpha_beta[],MATCH(HC[[#This Row],[Solo]],C_alpha_beta[Solo],0),MATCH(HC[[#Headers],[α ESF]],C_alpha_beta[#Headers],0))</f>
        <v>0.5</v>
      </c>
      <c r="S74" s="4">
        <f>INDEX(C_alpha_beta[],MATCH(HC[[#This Row],[Solo]],C_alpha_beta[Solo],0),MATCH(HC[[#Headers],[β ESF]],C_alpha_beta[#Headers],0))</f>
        <v>0.5</v>
      </c>
      <c r="T74" s="4">
        <f>IF(HC[[#This Row],[Prof. (m)]]=0,0,10*(HC[[#This Row],[NSPT]]/3+1))</f>
        <v>236.66666666666669</v>
      </c>
      <c r="U74" s="4">
        <f>(HC[[#This Row],[α ESF]]*HC[[#This Row],[C (kPa)]]*HC[[#This Row],[NSPT]]*HC[[#This Row],[Ap (m²)]])/'DADOS CAP. CARGA'!$Q$2+(HC[[#This Row],[β ESF]]*SUMIFS(HC[10∙(NL/3+1)],HC[Prof. (m)],"&lt;="&amp;HC[[#This Row],[Prof. (m)]],HC[idDiâmetro],HC[[#This Row],[idDiâmetro]],HC[idPilar],HC[[#This Row],[idPilar]])*HC[[#This Row],[U (m)]])/'DADOS CAP. CARGA'!$S$2</f>
        <v>629.49662796305483</v>
      </c>
      <c r="V74" s="4">
        <f>IF(SPT!$M$5=1,MIN(HC[[#This Row],[Pe HC (kN)]],HC[[#This Row],[R_AV (kN)]]),IF(SPT!$M$5=2,MIN(HC[[#This Row],[Pe HC (kN)]],HC[[#This Row],[R_DC (kN)]]),MIN(HC[[#This Row],[Pe HC (kN)]],HC[[#This Row],[R_AV (kN)]],HC[[#This Row],[R_DC (kN)]])))</f>
        <v>600</v>
      </c>
      <c r="W74" s="4">
        <f>INDEX(PILARES[],HC[[#This Row],[idPilar]],MATCH("Carga (kN)",PILARES[#Headers],0))*1.4</f>
        <v>3500</v>
      </c>
      <c r="X74" s="12">
        <f>INDEX(PILARES[],HC[[#This Row],[idPilar]],MATCH(HC[[#Headers],[ap (cm)]],PILARES[#Headers],0))</f>
        <v>60</v>
      </c>
      <c r="Y74" s="12">
        <f>INDEX(PILARES[],HC[[#This Row],[idPilar]],MATCH(HC[[#Headers],[bp (cm)]],PILARES[#Headers],0))</f>
        <v>60</v>
      </c>
      <c r="Z74" s="4">
        <f>SQRT(HC[[#This Row],[ap (cm)]]*HC[[#This Row],[bp (cm)]])</f>
        <v>60</v>
      </c>
      <c r="AA74" s="12">
        <f>HC[[#This Row],[ap (cm)]]*HC[[#This Row],[bp (cm)]]</f>
        <v>3600</v>
      </c>
      <c r="AB74" s="12">
        <f ca="1">IF(HC[[#This Row],[Padm∙ε (kN)]]&gt;=HC[[#This Row],[Padm (kN)]],ROUNDUP(1.05*HC[[#This Row],[Nsd (kN)]]/HC[[#This Row],[Padm (kN)]],0),ROUNDUP(1.05*HC[[#This Row],[Nsd (kN)]]/HC[[#This Row],[Padm (kN)]],0)+1)</f>
        <v>7</v>
      </c>
      <c r="AC74" s="4" t="str">
        <f ca="1">IFERROR(IF(HC[[#This Row],[nE]]=1,HC[[#This Row],[Padm (kN)]],HC[[#This Row],[Padm (kN)]]*HC[[#This Row],[nE]]*INDEX(grupoEstacas[],HC[[#This Row],[nE]],MATCH("ε",grupoEstacas[#Headers],0))),"N.S.")</f>
        <v>N.S.</v>
      </c>
      <c r="AD74" s="4">
        <f ca="1">1.05*HC[[#This Row],[Nsd (kN)]]/(HC[[#This Row],[nE]]*PI()*HC[[#This Row],[Ø (cm)]]^2/4)*10</f>
        <v>5.4567409060078393</v>
      </c>
      <c r="AE74" s="4">
        <f ca="1">IF(HC[[#This Row],[σ (MPa)]]&lt;INDEX(tipoEstaca[],MATCH($D$2,tipoEstaca[TIPO DE ESTACA],0),MATCH("σmáx (MPa)",tipoEstaca[#Headers],0)),0.4%*PI()*HC[[#This Row],[Ø (cm)]]^2/4,"N.S.")</f>
        <v>3.848451000647497</v>
      </c>
      <c r="AF74" s="1">
        <f>INDEX(tipoEstaca[],MATCH($D$2,tipoEstaca[TIPO DE ESTACA],0),MATCH(HC[[#Headers],[Comprimento (m)]],tipoEstaca[#Headers],0))</f>
        <v>4</v>
      </c>
      <c r="AG74" s="5">
        <f ca="1">HC[[#This Row],[As,mín (cm²)]]/100^2*HC[[#This Row],[Comprimento (m)]]*7850</f>
        <v>12.08413614203314</v>
      </c>
      <c r="AH74" s="4">
        <f ca="1">HC[[#This Row],[nE]]*HC[[#This Row],[Prof. (m)]]*HC[[#This Row],[Ap (m²)]]</f>
        <v>8.7552260264730535</v>
      </c>
      <c r="AI74" s="1">
        <f ca="1">IF(HC[[#This Row],[nE]]=1,0,MAX(3*HC[[#This Row],[Ø (cm)]],60))</f>
        <v>105</v>
      </c>
      <c r="AJ74" s="1">
        <f ca="1">IF(HC[[#This Row],[nE]]=1,HC[[#This Row],[Ø (cm)]]+2*10,MAX(1.5*HC[[#This Row],[Ø (cm)]],HC[[#This Row],[Ø (cm)]]+15))</f>
        <v>52.5</v>
      </c>
      <c r="AK74" s="1" t="str">
        <f ca="1">alturaUtil(HC[[#This Row],[nE]],HC[[#This Row],[Ø (cm)]],HC[[#This Row],[e (cm)]],HC[[#This Row],[ap,eq (cm)]])</f>
        <v>N.S.</v>
      </c>
      <c r="AL74" s="1" t="str">
        <f ca="1">IFERROR(HC[[#This Row],[d (cm)]]+arredondarParaCimaMultiplo5cm(MAX(5,SQRT(PI())/2*HC[[#This Row],[Ø (cm)]]/5)),"N.S.")</f>
        <v>N.S.</v>
      </c>
      <c r="AM74" s="5" t="str">
        <f ca="1">alpha(HC[[#This Row],[nE]],HC[[#This Row],[d (cm)]],HC[[#This Row],[e (cm)]],HC[[#This Row],[ap,eq (cm)]])</f>
        <v>N.S.</v>
      </c>
      <c r="AN74" s="35" t="str">
        <f ca="1">IFERROR(HC[[#This Row],[Nsd (kN)]]/(HC[[#This Row],[Ap (cm²)]]*SIN(HC[[#This Row],[α]])^2),"N.S.")</f>
        <v>N.S.</v>
      </c>
      <c r="AO74" s="35" t="str">
        <f ca="1">IFERROR(HC[[#This Row],[Nsd (kN)]]/(HC[[#This Row],[nE]]*PI()*HC[[#This Row],[Ø (cm)]]^2/4*SIN(HC[[#This Row],[α]])^2),"N.S.")</f>
        <v>N.S.</v>
      </c>
      <c r="AP74" s="4" t="str">
        <f ca="1">IFERROR(INDEX(grupoEstacas[],HC[[#This Row],[nE]],MATCH("coef. Blévot",grupoEstacas[#Headers],0)),"N.S.")</f>
        <v>N.S.</v>
      </c>
      <c r="AQ74" s="35" t="str">
        <f ca="1">IFERROR(HC[[#This Row],[coef. Blévot]]*0.9*INDEX(tipoEstaca[],MATCH($D$2,tipoEstaca[TIPO DE ESTACA],0),MATCH("fcd (kN/cm²)",tipoEstaca[#Headers],0)),"N.S.")</f>
        <v>N.S.</v>
      </c>
      <c r="AR74" s="1" t="str">
        <f ca="1">IF(AND(HC[[#This Row],[cd,b,pil (kN/cm²)]]&lt;=HC[[#This Row],[cd,b,lim (kN/cm²)]],HC[[#This Row],[cd,b,est (kN/cm²)]]&lt;=HC[[#This Row],[cd,b,lim (kN/cm²)]]),"OK","ERRO")</f>
        <v>OK</v>
      </c>
      <c r="AS74" s="4" t="str">
        <f ca="1">As_lado(HC[[#This Row],[nE]],HC[[#This Row],[Nsd (kN)]],HC[[#This Row],[d (cm)]],HC[[#This Row],[e (cm)]],HC[[#This Row],[ap,eq (cm)]])</f>
        <v>N.S.</v>
      </c>
      <c r="AT74" s="4" t="str">
        <f ca="1">IF(HC[[#This Row],[nE]]=1,HC[[#This Row],[As,lado (cm²)]],IF(HC[[#This Row],[nE]]=2,0.075*2*HC[a (cm)],"N.A."))</f>
        <v>N.A.</v>
      </c>
      <c r="AU74" s="4" t="str">
        <f ca="1">IFERROR(IF(HC[[#This Row],[nE]]=1,"N.A.",0.2*HC[[#This Row],[As,lado (cm²)]]),"N.S.")</f>
        <v>N.S.</v>
      </c>
      <c r="AV74" s="4" t="str">
        <f ca="1">As_malha(HC[[#This Row],[nE]],HC[[#This Row],[As,lado (cm²)]],HC[[#This Row],[Nsd (kN)]])</f>
        <v>N.S.</v>
      </c>
      <c r="AW74" s="4" t="str">
        <f ca="1">As_susp_tot(HC[[#This Row],[nE]],HC[[#This Row],[Nsd (kN)]])</f>
        <v>N.S.</v>
      </c>
      <c r="AX74" s="4" t="str">
        <f ca="1">Asp_face(HC[[#This Row],[nE]],HC[[#This Row],[As,lado (cm²)]])</f>
        <v>N.S.</v>
      </c>
      <c r="AY74" s="5" t="str">
        <f ca="1">acoBloco(HC[[#This Row],[nE]],HC[[#This Row],[e (cm)]],HC[[#This Row],[a (cm)]],HC[[#This Row],[h (cm)]],HC[[#This Row],[As,lado (cm²)]],HC[[#This Row],[Asp e Asw (cm²/m)]],HC[[#This Row],[As,sup (cm²)]],HC[[#This Row],[As,malha (cm²)]],HC[[#This Row],[As,susp,tot (cm²)]],HC[[#This Row],[Asp,face (cm²)]])</f>
        <v>N.S.</v>
      </c>
      <c r="AZ74" s="4" t="str">
        <f ca="1">concretoBloco(HC[[#This Row],[nE]],HC[[#This Row],[e (cm)]],HC[[#This Row],[a (cm)]],HC[[#This Row],[h (cm)]])</f>
        <v>N.S.</v>
      </c>
      <c r="BA74" s="5">
        <f ca="1">SUM(HC[[#This Row],[Aço Est (kg)]],HC[[#This Row],[Aço Bloco (kg)]])</f>
        <v>12.08413614203314</v>
      </c>
      <c r="BB74" s="4">
        <f>INDEX(composicoes[],MATCH(95580,composicoes[CÓDIGO],0),MATCH("CUSTO TOTAL",composicoes[#Headers],0))</f>
        <v>10.46</v>
      </c>
      <c r="BC74" s="4">
        <f ca="1">SUM(HC[[#This Row],[Conc Est (m³)]],HC[[#This Row],[Conc Bloco (m³)]])</f>
        <v>8.7552260264730535</v>
      </c>
      <c r="BD74" s="4">
        <f>INDEX(composicoes[],MATCH(94966,composicoes[CÓDIGO],0),MATCH("CUSTO TOTAL",composicoes[#Headers],0))</f>
        <v>439.52</v>
      </c>
      <c r="BE74" s="38">
        <f ca="1">HC[[#This Row],[Aço (kg)]]*HC[[#This Row],[Aço (R$/kg)]]+HC[[#This Row],[Conc (m³)]]*HC[[#This Row],[Conc (R$/m³)]]</f>
        <v>3974.4970072011029</v>
      </c>
      <c r="BF74" s="4" t="str">
        <f ca="1">IF(COUNTIF(HC[#This Row],"N.S.")&gt;0,"lim.","OK")</f>
        <v>lim.</v>
      </c>
      <c r="BG74" s="4" t="str">
        <f>IF(HC[[#This Row],[Prof. (m)]]&lt;4,"lim.","OK")</f>
        <v>OK</v>
      </c>
      <c r="BH74" s="4" t="str">
        <f>IF(HC[[#This Row],[Prof. (m)]]&gt;=8*HC[[#This Row],[Ø (cm)]]/100,"OK","lim.")</f>
        <v>OK</v>
      </c>
      <c r="BI74" s="4" t="str">
        <f ca="1">IF(HC[[#This Row],[Verif. Biela]]="OK","OK","lim.")</f>
        <v>OK</v>
      </c>
      <c r="BJ74" s="4" t="str">
        <f ca="1">IF(COUNTA(HC[[#This Row],[Nº Est.]:[Biela comp.]])=COUNTIF(HC[[#This Row],[Nº Est.]:[Biela comp.]],"OK"),"OK","lim.")</f>
        <v>lim.</v>
      </c>
      <c r="BK74" s="4" t="str">
        <f ca="1">IF(HC[[#This Row],[Controle]]="OK",HC[[#This Row],[nE]]&amp;" Ø"&amp;HC[[#This Row],[Ø (cm)]]&amp;"cm Prof. "&amp;HC[[#This Row],[Prof. (m)]]&amp;" m","")</f>
        <v/>
      </c>
      <c r="BL74" s="4" t="str">
        <f ca="1">IF(HC[[#This Row],[idDimensionamento]]="","",HC[[#This Row],[idPilar]]&amp;HC[[#This Row],[idDimensionamento]])</f>
        <v/>
      </c>
    </row>
    <row r="75" spans="2:64" x14ac:dyDescent="0.25">
      <c r="B75" s="12">
        <f>ROUNDUP((ROW(HC[[#This Row],[idDiâmetro]])-ROW(HC[[#Headers],[idDiâmetro]]))/(COUNT(SPT[Prof. (m)])*COUNT(PILARES[Pilar])),0)</f>
        <v>3</v>
      </c>
      <c r="C75" s="12">
        <f>IF(HC[[#This Row],[idDiâmetro]]&lt;&gt;B74,1,IF(HC[[#This Row],[Prof. (m)]]=0,C74+1,C74))</f>
        <v>2</v>
      </c>
      <c r="D75" s="1">
        <f>IFERROR(IF(D74=MAX(SPT[Prof. (m)]),0,D74+1),0)</f>
        <v>0</v>
      </c>
      <c r="E75" s="1">
        <f>INDEX(SPT[],MATCH(HC[[#This Row],[Prof. (m)]],SPT[Prof. (m)],0),2)</f>
        <v>0</v>
      </c>
      <c r="F75" s="1" t="str">
        <f>INDEX(SPT[],MATCH(HC[[#This Row],[Prof. (m)]],SPT[Prof. (m)],0),3)</f>
        <v>Areia siltosa</v>
      </c>
      <c r="G75" s="1">
        <f>INDEX(estacas[],HC[[#This Row],[idDiâmetro]],MATCH($B$2,estacas[#Headers],0))</f>
        <v>35</v>
      </c>
      <c r="H75" s="1">
        <f>INDEX(estacas[],MATCH(HC[[#This Row],[Ø (cm)]],estacas[Ø HC (cm)],0),MATCH(HC[[#Headers],[Pe HC (kN)]],estacas[#Headers],0))</f>
        <v>600</v>
      </c>
      <c r="I75" s="4">
        <f>INDEX(K_alpha_C[],MATCH(HC[[#This Row],[Solo]],K_alpha_C[Solo],0),2)</f>
        <v>0.8</v>
      </c>
      <c r="J75" s="5">
        <f>INDEX(K_alpha_C[],MATCH(HC[[#This Row],[Solo]],K_alpha_C[Solo],0),3)</f>
        <v>2</v>
      </c>
      <c r="K75" s="4">
        <f>INDEX(F1_F2[],MATCH($D$2,F1_F2[Tipo de estaca],0),2)</f>
        <v>2</v>
      </c>
      <c r="L75" s="4">
        <f>INDEX(F1_F2[],MATCH($D$2,F1_F2[Tipo de estaca],0),3)</f>
        <v>4</v>
      </c>
      <c r="M75" s="4">
        <f>PI()*(HC[[#This Row],[Ø (cm)]]/100)^2/4</f>
        <v>9.6211275016187398E-2</v>
      </c>
      <c r="N75" s="4">
        <f>PI()*HC[[#This Row],[Ø (cm)]]/100</f>
        <v>1.0995574287564276</v>
      </c>
      <c r="O75" s="4">
        <f>IF(HC[[#This Row],[Prof. (m)]]=0,0,HC[[#This Row],[α (%)]]/100*HC[[#This Row],[K (MPa)]]*1000*HC[[#This Row],[NSPT]])</f>
        <v>0</v>
      </c>
      <c r="P75" s="4">
        <f>IF(HC[[#This Row],[Prof. (m)]]=0,0,(HC[[#This Row],[K (MPa)]]*1000*HC[[#This Row],[NSPT]]/HC[[#This Row],[F1]]*HC[[#This Row],[Ap (m²)]]+HC[[#This Row],[U (m)]]/HC[[#This Row],[F2]]*SUMIFS(HC[(α∙K∙NL∙ΔL)],HC[Prof. (m)],"&lt;="&amp;HC[[#This Row],[Prof. (m)]],HC[idDiâmetro],HC[[#This Row],[idDiâmetro]],HC[idPilar],HC[[#This Row],[idPilar]]))/'DADOS CAP. CARGA'!$D$2)</f>
        <v>0</v>
      </c>
      <c r="Q75" s="12">
        <f>INDEX(C_alpha_beta[],MATCH(HC[[#This Row],[Solo]],C_alpha_beta[Solo],0),MATCH(HC[[#Headers],[C (kPa)]],C_alpha_beta[#Headers],0))</f>
        <v>400</v>
      </c>
      <c r="R75" s="4">
        <f>INDEX(C_alpha_beta[],MATCH(HC[[#This Row],[Solo]],C_alpha_beta[Solo],0),MATCH(HC[[#Headers],[α ESF]],C_alpha_beta[#Headers],0))</f>
        <v>0.5</v>
      </c>
      <c r="S75" s="4">
        <f>INDEX(C_alpha_beta[],MATCH(HC[[#This Row],[Solo]],C_alpha_beta[Solo],0),MATCH(HC[[#Headers],[β ESF]],C_alpha_beta[#Headers],0))</f>
        <v>0.5</v>
      </c>
      <c r="T75" s="4">
        <f>IF(HC[[#This Row],[Prof. (m)]]=0,0,10*(HC[[#This Row],[NSPT]]/3+1))</f>
        <v>0</v>
      </c>
      <c r="U75" s="4">
        <f>(HC[[#This Row],[α ESF]]*HC[[#This Row],[C (kPa)]]*HC[[#This Row],[NSPT]]*HC[[#This Row],[Ap (m²)]])/'DADOS CAP. CARGA'!$Q$2+(HC[[#This Row],[β ESF]]*SUMIFS(HC[10∙(NL/3+1)],HC[Prof. (m)],"&lt;="&amp;HC[[#This Row],[Prof. (m)]],HC[idDiâmetro],HC[[#This Row],[idDiâmetro]],HC[idPilar],HC[[#This Row],[idPilar]])*HC[[#This Row],[U (m)]])/'DADOS CAP. CARGA'!$S$2</f>
        <v>0</v>
      </c>
      <c r="V75" s="4">
        <f>IF(SPT!$M$5=1,MIN(HC[[#This Row],[Pe HC (kN)]],HC[[#This Row],[R_AV (kN)]]),IF(SPT!$M$5=2,MIN(HC[[#This Row],[Pe HC (kN)]],HC[[#This Row],[R_DC (kN)]]),MIN(HC[[#This Row],[Pe HC (kN)]],HC[[#This Row],[R_AV (kN)]],HC[[#This Row],[R_DC (kN)]])))</f>
        <v>0</v>
      </c>
      <c r="W75" s="4">
        <f>INDEX(PILARES[],HC[[#This Row],[idPilar]],MATCH("Carga (kN)",PILARES[#Headers],0))*1.4</f>
        <v>1750</v>
      </c>
      <c r="X75" s="12">
        <f>INDEX(PILARES[],HC[[#This Row],[idPilar]],MATCH(HC[[#Headers],[ap (cm)]],PILARES[#Headers],0))</f>
        <v>50</v>
      </c>
      <c r="Y75" s="12">
        <f>INDEX(PILARES[],HC[[#This Row],[idPilar]],MATCH(HC[[#Headers],[bp (cm)]],PILARES[#Headers],0))</f>
        <v>40</v>
      </c>
      <c r="Z75" s="4">
        <f>SQRT(HC[[#This Row],[ap (cm)]]*HC[[#This Row],[bp (cm)]])</f>
        <v>44.721359549995796</v>
      </c>
      <c r="AA75" s="12">
        <f>HC[[#This Row],[ap (cm)]]*HC[[#This Row],[bp (cm)]]</f>
        <v>2000</v>
      </c>
      <c r="AB75" s="12" t="e">
        <f ca="1">IF(HC[[#This Row],[Padm∙ε (kN)]]&gt;=HC[[#This Row],[Padm (kN)]],ROUNDUP(1.05*HC[[#This Row],[Nsd (kN)]]/HC[[#This Row],[Padm (kN)]],0),ROUNDUP(1.05*HC[[#This Row],[Nsd (kN)]]/HC[[#This Row],[Padm (kN)]],0)+1)</f>
        <v>#DIV/0!</v>
      </c>
      <c r="AC75" s="4" t="str">
        <f ca="1">IFERROR(IF(HC[[#This Row],[nE]]=1,HC[[#This Row],[Padm (kN)]],HC[[#This Row],[Padm (kN)]]*HC[[#This Row],[nE]]*INDEX(grupoEstacas[],HC[[#This Row],[nE]],MATCH("ε",grupoEstacas[#Headers],0))),"N.S.")</f>
        <v>N.S.</v>
      </c>
      <c r="AD75" s="4" t="e">
        <f ca="1">1.05*HC[[#This Row],[Nsd (kN)]]/(HC[[#This Row],[nE]]*PI()*HC[[#This Row],[Ø (cm)]]^2/4)*10</f>
        <v>#DIV/0!</v>
      </c>
      <c r="AE75" s="4" t="e">
        <f ca="1">IF(HC[[#This Row],[σ (MPa)]]&lt;INDEX(tipoEstaca[],MATCH($D$2,tipoEstaca[TIPO DE ESTACA],0),MATCH("σmáx (MPa)",tipoEstaca[#Headers],0)),0.4%*PI()*HC[[#This Row],[Ø (cm)]]^2/4,"N.S.")</f>
        <v>#DIV/0!</v>
      </c>
      <c r="AF75" s="1">
        <f>INDEX(tipoEstaca[],MATCH($D$2,tipoEstaca[TIPO DE ESTACA],0),MATCH(HC[[#Headers],[Comprimento (m)]],tipoEstaca[#Headers],0))</f>
        <v>4</v>
      </c>
      <c r="AG75" s="5" t="e">
        <f ca="1">HC[[#This Row],[As,mín (cm²)]]/100^2*HC[[#This Row],[Comprimento (m)]]*7850</f>
        <v>#DIV/0!</v>
      </c>
      <c r="AH75" s="4" t="e">
        <f ca="1">HC[[#This Row],[nE]]*HC[[#This Row],[Prof. (m)]]*HC[[#This Row],[Ap (m²)]]</f>
        <v>#DIV/0!</v>
      </c>
      <c r="AI75" s="1" t="e">
        <f ca="1">IF(HC[[#This Row],[nE]]=1,0,MAX(3*HC[[#This Row],[Ø (cm)]],60))</f>
        <v>#DIV/0!</v>
      </c>
      <c r="AJ75" s="1" t="e">
        <f ca="1">IF(HC[[#This Row],[nE]]=1,HC[[#This Row],[Ø (cm)]]+2*10,MAX(1.5*HC[[#This Row],[Ø (cm)]],HC[[#This Row],[Ø (cm)]]+15))</f>
        <v>#DIV/0!</v>
      </c>
      <c r="AK75" s="1" t="e">
        <f ca="1">alturaUtil(HC[[#This Row],[nE]],HC[[#This Row],[Ø (cm)]],HC[[#This Row],[e (cm)]],HC[[#This Row],[ap,eq (cm)]])</f>
        <v>#VALUE!</v>
      </c>
      <c r="AL75" s="1" t="str">
        <f ca="1">IFERROR(HC[[#This Row],[d (cm)]]+arredondarParaCimaMultiplo5cm(MAX(5,SQRT(PI())/2*HC[[#This Row],[Ø (cm)]]/5)),"N.S.")</f>
        <v>N.S.</v>
      </c>
      <c r="AM75" s="5" t="e">
        <f ca="1">alpha(HC[[#This Row],[nE]],HC[[#This Row],[d (cm)]],HC[[#This Row],[e (cm)]],HC[[#This Row],[ap,eq (cm)]])</f>
        <v>#VALUE!</v>
      </c>
      <c r="AN75" s="35" t="str">
        <f ca="1">IFERROR(HC[[#This Row],[Nsd (kN)]]/(HC[[#This Row],[Ap (cm²)]]*SIN(HC[[#This Row],[α]])^2),"N.S.")</f>
        <v>N.S.</v>
      </c>
      <c r="AO75" s="35" t="str">
        <f ca="1">IFERROR(HC[[#This Row],[Nsd (kN)]]/(HC[[#This Row],[nE]]*PI()*HC[[#This Row],[Ø (cm)]]^2/4*SIN(HC[[#This Row],[α]])^2),"N.S.")</f>
        <v>N.S.</v>
      </c>
      <c r="AP75" s="4" t="str">
        <f ca="1">IFERROR(INDEX(grupoEstacas[],HC[[#This Row],[nE]],MATCH("coef. Blévot",grupoEstacas[#Headers],0)),"N.S.")</f>
        <v>N.S.</v>
      </c>
      <c r="AQ75" s="35" t="str">
        <f ca="1">IFERROR(HC[[#This Row],[coef. Blévot]]*0.9*INDEX(tipoEstaca[],MATCH($D$2,tipoEstaca[TIPO DE ESTACA],0),MATCH("fcd (kN/cm²)",tipoEstaca[#Headers],0)),"N.S.")</f>
        <v>N.S.</v>
      </c>
      <c r="AR75" s="1" t="str">
        <f ca="1">IF(AND(HC[[#This Row],[cd,b,pil (kN/cm²)]]&lt;=HC[[#This Row],[cd,b,lim (kN/cm²)]],HC[[#This Row],[cd,b,est (kN/cm²)]]&lt;=HC[[#This Row],[cd,b,lim (kN/cm²)]]),"OK","ERRO")</f>
        <v>OK</v>
      </c>
      <c r="AS75" s="4" t="e">
        <f ca="1">As_lado(HC[[#This Row],[nE]],HC[[#This Row],[Nsd (kN)]],HC[[#This Row],[d (cm)]],HC[[#This Row],[e (cm)]],HC[[#This Row],[ap,eq (cm)]])</f>
        <v>#VALUE!</v>
      </c>
      <c r="AT75" s="4" t="e">
        <f ca="1">IF(HC[[#This Row],[nE]]=1,HC[[#This Row],[As,lado (cm²)]],IF(HC[[#This Row],[nE]]=2,0.075*2*HC[a (cm)],"N.A."))</f>
        <v>#DIV/0!</v>
      </c>
      <c r="AU75" s="4" t="str">
        <f ca="1">IFERROR(IF(HC[[#This Row],[nE]]=1,"N.A.",0.2*HC[[#This Row],[As,lado (cm²)]]),"N.S.")</f>
        <v>N.S.</v>
      </c>
      <c r="AV75" s="4" t="e">
        <f ca="1">As_malha(HC[[#This Row],[nE]],HC[[#This Row],[As,lado (cm²)]],HC[[#This Row],[Nsd (kN)]])</f>
        <v>#VALUE!</v>
      </c>
      <c r="AW75" s="4" t="e">
        <f ca="1">As_susp_tot(HC[[#This Row],[nE]],HC[[#This Row],[Nsd (kN)]])</f>
        <v>#VALUE!</v>
      </c>
      <c r="AX75" s="4" t="e">
        <f ca="1">Asp_face(HC[[#This Row],[nE]],HC[[#This Row],[As,lado (cm²)]])</f>
        <v>#VALUE!</v>
      </c>
      <c r="AY75" s="5" t="e">
        <f ca="1">acoBloco(HC[[#This Row],[nE]],HC[[#This Row],[e (cm)]],HC[[#This Row],[a (cm)]],HC[[#This Row],[h (cm)]],HC[[#This Row],[As,lado (cm²)]],HC[[#This Row],[Asp e Asw (cm²/m)]],HC[[#This Row],[As,sup (cm²)]],HC[[#This Row],[As,malha (cm²)]],HC[[#This Row],[As,susp,tot (cm²)]],HC[[#This Row],[Asp,face (cm²)]])</f>
        <v>#VALUE!</v>
      </c>
      <c r="AZ75" s="4" t="e">
        <f ca="1">concretoBloco(HC[[#This Row],[nE]],HC[[#This Row],[e (cm)]],HC[[#This Row],[a (cm)]],HC[[#This Row],[h (cm)]])</f>
        <v>#VALUE!</v>
      </c>
      <c r="BA75" s="5" t="e">
        <f ca="1">SUM(HC[[#This Row],[Aço Est (kg)]],HC[[#This Row],[Aço Bloco (kg)]])</f>
        <v>#DIV/0!</v>
      </c>
      <c r="BB75" s="4">
        <f>INDEX(composicoes[],MATCH(95580,composicoes[CÓDIGO],0),MATCH("CUSTO TOTAL",composicoes[#Headers],0))</f>
        <v>10.46</v>
      </c>
      <c r="BC75" s="4" t="e">
        <f ca="1">SUM(HC[[#This Row],[Conc Est (m³)]],HC[[#This Row],[Conc Bloco (m³)]])</f>
        <v>#DIV/0!</v>
      </c>
      <c r="BD75" s="4">
        <f>INDEX(composicoes[],MATCH(94966,composicoes[CÓDIGO],0),MATCH("CUSTO TOTAL",composicoes[#Headers],0))</f>
        <v>439.52</v>
      </c>
      <c r="BE75" s="38" t="e">
        <f ca="1">HC[[#This Row],[Aço (kg)]]*HC[[#This Row],[Aço (R$/kg)]]+HC[[#This Row],[Conc (m³)]]*HC[[#This Row],[Conc (R$/m³)]]</f>
        <v>#DIV/0!</v>
      </c>
      <c r="BF75" s="4" t="str">
        <f ca="1">IF(COUNTIF(HC[#This Row],"N.S.")&gt;0,"lim.","OK")</f>
        <v>lim.</v>
      </c>
      <c r="BG75" s="4" t="str">
        <f>IF(HC[[#This Row],[Prof. (m)]]&lt;4,"lim.","OK")</f>
        <v>lim.</v>
      </c>
      <c r="BH75" s="4" t="str">
        <f>IF(HC[[#This Row],[Prof. (m)]]&gt;=8*HC[[#This Row],[Ø (cm)]]/100,"OK","lim.")</f>
        <v>lim.</v>
      </c>
      <c r="BI75" s="4" t="str">
        <f ca="1">IF(HC[[#This Row],[Verif. Biela]]="OK","OK","lim.")</f>
        <v>OK</v>
      </c>
      <c r="BJ75" s="4" t="str">
        <f ca="1">IF(COUNTA(HC[[#This Row],[Nº Est.]:[Biela comp.]])=COUNTIF(HC[[#This Row],[Nº Est.]:[Biela comp.]],"OK"),"OK","lim.")</f>
        <v>lim.</v>
      </c>
      <c r="BK75" s="4" t="str">
        <f ca="1">IF(HC[[#This Row],[Controle]]="OK",HC[[#This Row],[nE]]&amp;" Ø"&amp;HC[[#This Row],[Ø (cm)]]&amp;"cm Prof. "&amp;HC[[#This Row],[Prof. (m)]]&amp;" m","")</f>
        <v/>
      </c>
      <c r="BL75" s="4" t="str">
        <f ca="1">IF(HC[[#This Row],[idDimensionamento]]="","",HC[[#This Row],[idPilar]]&amp;HC[[#This Row],[idDimensionamento]])</f>
        <v/>
      </c>
    </row>
    <row r="76" spans="2:64" x14ac:dyDescent="0.25">
      <c r="B76" s="12">
        <f>ROUNDUP((ROW(HC[[#This Row],[idDiâmetro]])-ROW(HC[[#Headers],[idDiâmetro]]))/(COUNT(SPT[Prof. (m)])*COUNT(PILARES[Pilar])),0)</f>
        <v>3</v>
      </c>
      <c r="C76" s="12">
        <f>IF(HC[[#This Row],[idDiâmetro]]&lt;&gt;B75,1,IF(HC[[#This Row],[Prof. (m)]]=0,C75+1,C75))</f>
        <v>2</v>
      </c>
      <c r="D76" s="1">
        <f>IFERROR(IF(D75=MAX(SPT[Prof. (m)]),0,D75+1),0)</f>
        <v>1</v>
      </c>
      <c r="E76" s="1">
        <f>INDEX(SPT[],MATCH(HC[[#This Row],[Prof. (m)]],SPT[Prof. (m)],0),2)</f>
        <v>2</v>
      </c>
      <c r="F76" s="1" t="str">
        <f>INDEX(SPT[],MATCH(HC[[#This Row],[Prof. (m)]],SPT[Prof. (m)],0),3)</f>
        <v>Areia siltosa</v>
      </c>
      <c r="G76" s="1">
        <f>INDEX(estacas[],HC[[#This Row],[idDiâmetro]],MATCH($B$2,estacas[#Headers],0))</f>
        <v>35</v>
      </c>
      <c r="H76" s="1">
        <f>INDEX(estacas[],MATCH(HC[[#This Row],[Ø (cm)]],estacas[Ø HC (cm)],0),MATCH(HC[[#Headers],[Pe HC (kN)]],estacas[#Headers],0))</f>
        <v>600</v>
      </c>
      <c r="I76" s="4">
        <f>INDEX(K_alpha_C[],MATCH(HC[[#This Row],[Solo]],K_alpha_C[Solo],0),2)</f>
        <v>0.8</v>
      </c>
      <c r="J76" s="5">
        <f>INDEX(K_alpha_C[],MATCH(HC[[#This Row],[Solo]],K_alpha_C[Solo],0),3)</f>
        <v>2</v>
      </c>
      <c r="K76" s="4">
        <f>INDEX(F1_F2[],MATCH($D$2,F1_F2[Tipo de estaca],0),2)</f>
        <v>2</v>
      </c>
      <c r="L76" s="4">
        <f>INDEX(F1_F2[],MATCH($D$2,F1_F2[Tipo de estaca],0),3)</f>
        <v>4</v>
      </c>
      <c r="M76" s="4">
        <f>PI()*(HC[[#This Row],[Ø (cm)]]/100)^2/4</f>
        <v>9.6211275016187398E-2</v>
      </c>
      <c r="N76" s="4">
        <f>PI()*HC[[#This Row],[Ø (cm)]]/100</f>
        <v>1.0995574287564276</v>
      </c>
      <c r="O76" s="4">
        <f>IF(HC[[#This Row],[Prof. (m)]]=0,0,HC[[#This Row],[α (%)]]/100*HC[[#This Row],[K (MPa)]]*1000*HC[[#This Row],[NSPT]])</f>
        <v>32</v>
      </c>
      <c r="P76" s="4">
        <f>IF(HC[[#This Row],[Prof. (m)]]=0,0,(HC[[#This Row],[K (MPa)]]*1000*HC[[#This Row],[NSPT]]/HC[[#This Row],[F1]]*HC[[#This Row],[Ap (m²)]]+HC[[#This Row],[U (m)]]/HC[[#This Row],[F2]]*SUMIFS(HC[(α∙K∙NL∙ΔL)],HC[Prof. (m)],"&lt;="&amp;HC[[#This Row],[Prof. (m)]],HC[idDiâmetro],HC[[#This Row],[idDiâmetro]],HC[idPilar],HC[[#This Row],[idPilar]]))/'DADOS CAP. CARGA'!$D$2)</f>
        <v>42.88273972150067</v>
      </c>
      <c r="Q76" s="12">
        <f>INDEX(C_alpha_beta[],MATCH(HC[[#This Row],[Solo]],C_alpha_beta[Solo],0),MATCH(HC[[#Headers],[C (kPa)]],C_alpha_beta[#Headers],0))</f>
        <v>400</v>
      </c>
      <c r="R76" s="4">
        <f>INDEX(C_alpha_beta[],MATCH(HC[[#This Row],[Solo]],C_alpha_beta[Solo],0),MATCH(HC[[#Headers],[α ESF]],C_alpha_beta[#Headers],0))</f>
        <v>0.5</v>
      </c>
      <c r="S76" s="4">
        <f>INDEX(C_alpha_beta[],MATCH(HC[[#This Row],[Solo]],C_alpha_beta[Solo],0),MATCH(HC[[#Headers],[β ESF]],C_alpha_beta[#Headers],0))</f>
        <v>0.5</v>
      </c>
      <c r="T76" s="4">
        <f>IF(HC[[#This Row],[Prof. (m)]]=0,0,10*(HC[[#This Row],[NSPT]]/3+1))</f>
        <v>16.666666666666664</v>
      </c>
      <c r="U76" s="4">
        <f>(HC[[#This Row],[α ESF]]*HC[[#This Row],[C (kPa)]]*HC[[#This Row],[NSPT]]*HC[[#This Row],[Ap (m²)]])/'DADOS CAP. CARGA'!$Q$2+(HC[[#This Row],[β ESF]]*SUMIFS(HC[10∙(NL/3+1)],HC[Prof. (m)],"&lt;="&amp;HC[[#This Row],[Prof. (m)]],HC[idDiâmetro],HC[[#This Row],[idDiâmetro]],HC[idPilar],HC[[#This Row],[idPilar]])*HC[[#This Row],[U (m)]])/'DADOS CAP. CARGA'!$S$2</f>
        <v>14.202616788103853</v>
      </c>
      <c r="V76" s="4">
        <f>IF(SPT!$M$5=1,MIN(HC[[#This Row],[Pe HC (kN)]],HC[[#This Row],[R_AV (kN)]]),IF(SPT!$M$5=2,MIN(HC[[#This Row],[Pe HC (kN)]],HC[[#This Row],[R_DC (kN)]]),MIN(HC[[#This Row],[Pe HC (kN)]],HC[[#This Row],[R_AV (kN)]],HC[[#This Row],[R_DC (kN)]])))</f>
        <v>14.202616788103853</v>
      </c>
      <c r="W76" s="4">
        <f>INDEX(PILARES[],HC[[#This Row],[idPilar]],MATCH("Carga (kN)",PILARES[#Headers],0))*1.4</f>
        <v>1750</v>
      </c>
      <c r="X76" s="12">
        <f>INDEX(PILARES[],HC[[#This Row],[idPilar]],MATCH(HC[[#Headers],[ap (cm)]],PILARES[#Headers],0))</f>
        <v>50</v>
      </c>
      <c r="Y76" s="12">
        <f>INDEX(PILARES[],HC[[#This Row],[idPilar]],MATCH(HC[[#Headers],[bp (cm)]],PILARES[#Headers],0))</f>
        <v>40</v>
      </c>
      <c r="Z76" s="4">
        <f>SQRT(HC[[#This Row],[ap (cm)]]*HC[[#This Row],[bp (cm)]])</f>
        <v>44.721359549995796</v>
      </c>
      <c r="AA76" s="12">
        <f>HC[[#This Row],[ap (cm)]]*HC[[#This Row],[bp (cm)]]</f>
        <v>2000</v>
      </c>
      <c r="AB76" s="12">
        <f ca="1">IF(HC[[#This Row],[Padm∙ε (kN)]]&gt;=HC[[#This Row],[Padm (kN)]],ROUNDUP(1.05*HC[[#This Row],[Nsd (kN)]]/HC[[#This Row],[Padm (kN)]],0),ROUNDUP(1.05*HC[[#This Row],[Nsd (kN)]]/HC[[#This Row],[Padm (kN)]],0)+1)</f>
        <v>130</v>
      </c>
      <c r="AC76" s="4" t="str">
        <f ca="1">IFERROR(IF(HC[[#This Row],[nE]]=1,HC[[#This Row],[Padm (kN)]],HC[[#This Row],[Padm (kN)]]*HC[[#This Row],[nE]]*INDEX(grupoEstacas[],HC[[#This Row],[nE]],MATCH("ε",grupoEstacas[#Headers],0))),"N.S.")</f>
        <v>N.S.</v>
      </c>
      <c r="AD76" s="4">
        <f ca="1">1.05*HC[[#This Row],[Nsd (kN)]]/(HC[[#This Row],[nE]]*PI()*HC[[#This Row],[Ø (cm)]]^2/4)*10</f>
        <v>0.14691225516174955</v>
      </c>
      <c r="AE76" s="4">
        <f ca="1">IF(HC[[#This Row],[σ (MPa)]]&lt;INDEX(tipoEstaca[],MATCH($D$2,tipoEstaca[TIPO DE ESTACA],0),MATCH("σmáx (MPa)",tipoEstaca[#Headers],0)),0.4%*PI()*HC[[#This Row],[Ø (cm)]]^2/4,"N.S.")</f>
        <v>3.848451000647497</v>
      </c>
      <c r="AF76" s="1">
        <f>INDEX(tipoEstaca[],MATCH($D$2,tipoEstaca[TIPO DE ESTACA],0),MATCH(HC[[#Headers],[Comprimento (m)]],tipoEstaca[#Headers],0))</f>
        <v>4</v>
      </c>
      <c r="AG76" s="5">
        <f ca="1">HC[[#This Row],[As,mín (cm²)]]/100^2*HC[[#This Row],[Comprimento (m)]]*7850</f>
        <v>12.08413614203314</v>
      </c>
      <c r="AH76" s="4">
        <f ca="1">HC[[#This Row],[nE]]*HC[[#This Row],[Prof. (m)]]*HC[[#This Row],[Ap (m²)]]</f>
        <v>12.507465752104361</v>
      </c>
      <c r="AI76" s="1">
        <f ca="1">IF(HC[[#This Row],[nE]]=1,0,MAX(3*HC[[#This Row],[Ø (cm)]],60))</f>
        <v>105</v>
      </c>
      <c r="AJ76" s="1">
        <f ca="1">IF(HC[[#This Row],[nE]]=1,HC[[#This Row],[Ø (cm)]]+2*10,MAX(1.5*HC[[#This Row],[Ø (cm)]],HC[[#This Row],[Ø (cm)]]+15))</f>
        <v>52.5</v>
      </c>
      <c r="AK76" s="1" t="str">
        <f ca="1">alturaUtil(HC[[#This Row],[nE]],HC[[#This Row],[Ø (cm)]],HC[[#This Row],[e (cm)]],HC[[#This Row],[ap,eq (cm)]])</f>
        <v>N.S.</v>
      </c>
      <c r="AL76" s="1" t="str">
        <f ca="1">IFERROR(HC[[#This Row],[d (cm)]]+arredondarParaCimaMultiplo5cm(MAX(5,SQRT(PI())/2*HC[[#This Row],[Ø (cm)]]/5)),"N.S.")</f>
        <v>N.S.</v>
      </c>
      <c r="AM76" s="5" t="str">
        <f ca="1">alpha(HC[[#This Row],[nE]],HC[[#This Row],[d (cm)]],HC[[#This Row],[e (cm)]],HC[[#This Row],[ap,eq (cm)]])</f>
        <v>N.S.</v>
      </c>
      <c r="AN76" s="35" t="str">
        <f ca="1">IFERROR(HC[[#This Row],[Nsd (kN)]]/(HC[[#This Row],[Ap (cm²)]]*SIN(HC[[#This Row],[α]])^2),"N.S.")</f>
        <v>N.S.</v>
      </c>
      <c r="AO76" s="35" t="str">
        <f ca="1">IFERROR(HC[[#This Row],[Nsd (kN)]]/(HC[[#This Row],[nE]]*PI()*HC[[#This Row],[Ø (cm)]]^2/4*SIN(HC[[#This Row],[α]])^2),"N.S.")</f>
        <v>N.S.</v>
      </c>
      <c r="AP76" s="4" t="str">
        <f ca="1">IFERROR(INDEX(grupoEstacas[],HC[[#This Row],[nE]],MATCH("coef. Blévot",grupoEstacas[#Headers],0)),"N.S.")</f>
        <v>N.S.</v>
      </c>
      <c r="AQ76" s="35" t="str">
        <f ca="1">IFERROR(HC[[#This Row],[coef. Blévot]]*0.9*INDEX(tipoEstaca[],MATCH($D$2,tipoEstaca[TIPO DE ESTACA],0),MATCH("fcd (kN/cm²)",tipoEstaca[#Headers],0)),"N.S.")</f>
        <v>N.S.</v>
      </c>
      <c r="AR76" s="1" t="str">
        <f ca="1">IF(AND(HC[[#This Row],[cd,b,pil (kN/cm²)]]&lt;=HC[[#This Row],[cd,b,lim (kN/cm²)]],HC[[#This Row],[cd,b,est (kN/cm²)]]&lt;=HC[[#This Row],[cd,b,lim (kN/cm²)]]),"OK","ERRO")</f>
        <v>OK</v>
      </c>
      <c r="AS76" s="4" t="str">
        <f ca="1">As_lado(HC[[#This Row],[nE]],HC[[#This Row],[Nsd (kN)]],HC[[#This Row],[d (cm)]],HC[[#This Row],[e (cm)]],HC[[#This Row],[ap,eq (cm)]])</f>
        <v>N.S.</v>
      </c>
      <c r="AT76" s="4" t="str">
        <f ca="1">IF(HC[[#This Row],[nE]]=1,HC[[#This Row],[As,lado (cm²)]],IF(HC[[#This Row],[nE]]=2,0.075*2*HC[a (cm)],"N.A."))</f>
        <v>N.A.</v>
      </c>
      <c r="AU76" s="4" t="str">
        <f ca="1">IFERROR(IF(HC[[#This Row],[nE]]=1,"N.A.",0.2*HC[[#This Row],[As,lado (cm²)]]),"N.S.")</f>
        <v>N.S.</v>
      </c>
      <c r="AV76" s="4" t="str">
        <f ca="1">As_malha(HC[[#This Row],[nE]],HC[[#This Row],[As,lado (cm²)]],HC[[#This Row],[Nsd (kN)]])</f>
        <v>N.S.</v>
      </c>
      <c r="AW76" s="4" t="str">
        <f ca="1">As_susp_tot(HC[[#This Row],[nE]],HC[[#This Row],[Nsd (kN)]])</f>
        <v>N.S.</v>
      </c>
      <c r="AX76" s="4" t="str">
        <f ca="1">Asp_face(HC[[#This Row],[nE]],HC[[#This Row],[As,lado (cm²)]])</f>
        <v>N.S.</v>
      </c>
      <c r="AY76" s="5" t="str">
        <f ca="1">acoBloco(HC[[#This Row],[nE]],HC[[#This Row],[e (cm)]],HC[[#This Row],[a (cm)]],HC[[#This Row],[h (cm)]],HC[[#This Row],[As,lado (cm²)]],HC[[#This Row],[Asp e Asw (cm²/m)]],HC[[#This Row],[As,sup (cm²)]],HC[[#This Row],[As,malha (cm²)]],HC[[#This Row],[As,susp,tot (cm²)]],HC[[#This Row],[Asp,face (cm²)]])</f>
        <v>N.S.</v>
      </c>
      <c r="AZ76" s="4" t="str">
        <f ca="1">concretoBloco(HC[[#This Row],[nE]],HC[[#This Row],[e (cm)]],HC[[#This Row],[a (cm)]],HC[[#This Row],[h (cm)]])</f>
        <v>N.S.</v>
      </c>
      <c r="BA76" s="5">
        <f ca="1">SUM(HC[[#This Row],[Aço Est (kg)]],HC[[#This Row],[Aço Bloco (kg)]])</f>
        <v>12.08413614203314</v>
      </c>
      <c r="BB76" s="4">
        <f>INDEX(composicoes[],MATCH(95580,composicoes[CÓDIGO],0),MATCH("CUSTO TOTAL",composicoes[#Headers],0))</f>
        <v>10.46</v>
      </c>
      <c r="BC76" s="4">
        <f ca="1">SUM(HC[[#This Row],[Conc Est (m³)]],HC[[#This Row],[Conc Bloco (m³)]])</f>
        <v>12.507465752104361</v>
      </c>
      <c r="BD76" s="4">
        <f>INDEX(composicoes[],MATCH(94966,composicoes[CÓDIGO],0),MATCH("CUSTO TOTAL",composicoes[#Headers],0))</f>
        <v>439.52</v>
      </c>
      <c r="BE76" s="38">
        <f ca="1">HC[[#This Row],[Aço (kg)]]*HC[[#This Row],[Aço (R$/kg)]]+HC[[#This Row],[Conc (m³)]]*HC[[#This Row],[Conc (R$/m³)]]</f>
        <v>5623.6814114105755</v>
      </c>
      <c r="BF76" s="4" t="str">
        <f ca="1">IF(COUNTIF(HC[#This Row],"N.S.")&gt;0,"lim.","OK")</f>
        <v>lim.</v>
      </c>
      <c r="BG76" s="4" t="str">
        <f>IF(HC[[#This Row],[Prof. (m)]]&lt;4,"lim.","OK")</f>
        <v>lim.</v>
      </c>
      <c r="BH76" s="4" t="str">
        <f>IF(HC[[#This Row],[Prof. (m)]]&gt;=8*HC[[#This Row],[Ø (cm)]]/100,"OK","lim.")</f>
        <v>lim.</v>
      </c>
      <c r="BI76" s="4" t="str">
        <f ca="1">IF(HC[[#This Row],[Verif. Biela]]="OK","OK","lim.")</f>
        <v>OK</v>
      </c>
      <c r="BJ76" s="4" t="str">
        <f ca="1">IF(COUNTA(HC[[#This Row],[Nº Est.]:[Biela comp.]])=COUNTIF(HC[[#This Row],[Nº Est.]:[Biela comp.]],"OK"),"OK","lim.")</f>
        <v>lim.</v>
      </c>
      <c r="BK76" s="4" t="str">
        <f ca="1">IF(HC[[#This Row],[Controle]]="OK",HC[[#This Row],[nE]]&amp;" Ø"&amp;HC[[#This Row],[Ø (cm)]]&amp;"cm Prof. "&amp;HC[[#This Row],[Prof. (m)]]&amp;" m","")</f>
        <v/>
      </c>
      <c r="BL76" s="4" t="str">
        <f ca="1">IF(HC[[#This Row],[idDimensionamento]]="","",HC[[#This Row],[idPilar]]&amp;HC[[#This Row],[idDimensionamento]])</f>
        <v/>
      </c>
    </row>
    <row r="77" spans="2:64" x14ac:dyDescent="0.25">
      <c r="B77" s="12">
        <f>ROUNDUP((ROW(HC[[#This Row],[idDiâmetro]])-ROW(HC[[#Headers],[idDiâmetro]]))/(COUNT(SPT[Prof. (m)])*COUNT(PILARES[Pilar])),0)</f>
        <v>3</v>
      </c>
      <c r="C77" s="12">
        <f>IF(HC[[#This Row],[idDiâmetro]]&lt;&gt;B76,1,IF(HC[[#This Row],[Prof. (m)]]=0,C76+1,C76))</f>
        <v>2</v>
      </c>
      <c r="D77" s="1">
        <f>IFERROR(IF(D76=MAX(SPT[Prof. (m)]),0,D76+1),0)</f>
        <v>2</v>
      </c>
      <c r="E77" s="1">
        <f>INDEX(SPT[],MATCH(HC[[#This Row],[Prof. (m)]],SPT[Prof. (m)],0),2)</f>
        <v>2</v>
      </c>
      <c r="F77" s="1" t="str">
        <f>INDEX(SPT[],MATCH(HC[[#This Row],[Prof. (m)]],SPT[Prof. (m)],0),3)</f>
        <v>Areia siltosa</v>
      </c>
      <c r="G77" s="1">
        <f>INDEX(estacas[],HC[[#This Row],[idDiâmetro]],MATCH($B$2,estacas[#Headers],0))</f>
        <v>35</v>
      </c>
      <c r="H77" s="1">
        <f>INDEX(estacas[],MATCH(HC[[#This Row],[Ø (cm)]],estacas[Ø HC (cm)],0),MATCH(HC[[#Headers],[Pe HC (kN)]],estacas[#Headers],0))</f>
        <v>600</v>
      </c>
      <c r="I77" s="4">
        <f>INDEX(K_alpha_C[],MATCH(HC[[#This Row],[Solo]],K_alpha_C[Solo],0),2)</f>
        <v>0.8</v>
      </c>
      <c r="J77" s="5">
        <f>INDEX(K_alpha_C[],MATCH(HC[[#This Row],[Solo]],K_alpha_C[Solo],0),3)</f>
        <v>2</v>
      </c>
      <c r="K77" s="4">
        <f>INDEX(F1_F2[],MATCH($D$2,F1_F2[Tipo de estaca],0),2)</f>
        <v>2</v>
      </c>
      <c r="L77" s="4">
        <f>INDEX(F1_F2[],MATCH($D$2,F1_F2[Tipo de estaca],0),3)</f>
        <v>4</v>
      </c>
      <c r="M77" s="4">
        <f>PI()*(HC[[#This Row],[Ø (cm)]]/100)^2/4</f>
        <v>9.6211275016187398E-2</v>
      </c>
      <c r="N77" s="4">
        <f>PI()*HC[[#This Row],[Ø (cm)]]/100</f>
        <v>1.0995574287564276</v>
      </c>
      <c r="O77" s="4">
        <f>IF(HC[[#This Row],[Prof. (m)]]=0,0,HC[[#This Row],[α (%)]]/100*HC[[#This Row],[K (MPa)]]*1000*HC[[#This Row],[NSPT]])</f>
        <v>32</v>
      </c>
      <c r="P77" s="4">
        <f>IF(HC[[#This Row],[Prof. (m)]]=0,0,(HC[[#This Row],[K (MPa)]]*1000*HC[[#This Row],[NSPT]]/HC[[#This Row],[F1]]*HC[[#This Row],[Ap (m²)]]+HC[[#This Row],[U (m)]]/HC[[#This Row],[F2]]*SUMIFS(HC[(α∙K∙NL∙ΔL)],HC[Prof. (m)],"&lt;="&amp;HC[[#This Row],[Prof. (m)]],HC[idDiâmetro],HC[[#This Row],[idDiâmetro]],HC[idPilar],HC[[#This Row],[idPilar]]))/'DADOS CAP. CARGA'!$D$2)</f>
        <v>47.280969436526377</v>
      </c>
      <c r="Q77" s="12">
        <f>INDEX(C_alpha_beta[],MATCH(HC[[#This Row],[Solo]],C_alpha_beta[Solo],0),MATCH(HC[[#Headers],[C (kPa)]],C_alpha_beta[#Headers],0))</f>
        <v>400</v>
      </c>
      <c r="R77" s="4">
        <f>INDEX(C_alpha_beta[],MATCH(HC[[#This Row],[Solo]],C_alpha_beta[Solo],0),MATCH(HC[[#Headers],[α ESF]],C_alpha_beta[#Headers],0))</f>
        <v>0.5</v>
      </c>
      <c r="S77" s="4">
        <f>INDEX(C_alpha_beta[],MATCH(HC[[#This Row],[Solo]],C_alpha_beta[Solo],0),MATCH(HC[[#Headers],[β ESF]],C_alpha_beta[#Headers],0))</f>
        <v>0.5</v>
      </c>
      <c r="T77" s="4">
        <f>IF(HC[[#This Row],[Prof. (m)]]=0,0,10*(HC[[#This Row],[NSPT]]/3+1))</f>
        <v>16.666666666666664</v>
      </c>
      <c r="U77" s="4">
        <f>(HC[[#This Row],[α ESF]]*HC[[#This Row],[C (kPa)]]*HC[[#This Row],[NSPT]]*HC[[#This Row],[Ap (m²)]])/'DADOS CAP. CARGA'!$Q$2+(HC[[#This Row],[β ESF]]*SUMIFS(HC[10∙(NL/3+1)],HC[Prof. (m)],"&lt;="&amp;HC[[#This Row],[Prof. (m)]],HC[idDiâmetro],HC[[#This Row],[idDiâmetro]],HC[idPilar],HC[[#This Row],[idPilar]])*HC[[#This Row],[U (m)]])/'DADOS CAP. CARGA'!$S$2</f>
        <v>18.784106074588969</v>
      </c>
      <c r="V77" s="4">
        <f>IF(SPT!$M$5=1,MIN(HC[[#This Row],[Pe HC (kN)]],HC[[#This Row],[R_AV (kN)]]),IF(SPT!$M$5=2,MIN(HC[[#This Row],[Pe HC (kN)]],HC[[#This Row],[R_DC (kN)]]),MIN(HC[[#This Row],[Pe HC (kN)]],HC[[#This Row],[R_AV (kN)]],HC[[#This Row],[R_DC (kN)]])))</f>
        <v>18.784106074588969</v>
      </c>
      <c r="W77" s="4">
        <f>INDEX(PILARES[],HC[[#This Row],[idPilar]],MATCH("Carga (kN)",PILARES[#Headers],0))*1.4</f>
        <v>1750</v>
      </c>
      <c r="X77" s="12">
        <f>INDEX(PILARES[],HC[[#This Row],[idPilar]],MATCH(HC[[#Headers],[ap (cm)]],PILARES[#Headers],0))</f>
        <v>50</v>
      </c>
      <c r="Y77" s="12">
        <f>INDEX(PILARES[],HC[[#This Row],[idPilar]],MATCH(HC[[#Headers],[bp (cm)]],PILARES[#Headers],0))</f>
        <v>40</v>
      </c>
      <c r="Z77" s="4">
        <f>SQRT(HC[[#This Row],[ap (cm)]]*HC[[#This Row],[bp (cm)]])</f>
        <v>44.721359549995796</v>
      </c>
      <c r="AA77" s="12">
        <f>HC[[#This Row],[ap (cm)]]*HC[[#This Row],[bp (cm)]]</f>
        <v>2000</v>
      </c>
      <c r="AB77" s="12">
        <f ca="1">IF(HC[[#This Row],[Padm∙ε (kN)]]&gt;=HC[[#This Row],[Padm (kN)]],ROUNDUP(1.05*HC[[#This Row],[Nsd (kN)]]/HC[[#This Row],[Padm (kN)]],0),ROUNDUP(1.05*HC[[#This Row],[Nsd (kN)]]/HC[[#This Row],[Padm (kN)]],0)+1)</f>
        <v>98</v>
      </c>
      <c r="AC77" s="4" t="str">
        <f ca="1">IFERROR(IF(HC[[#This Row],[nE]]=1,HC[[#This Row],[Padm (kN)]],HC[[#This Row],[Padm (kN)]]*HC[[#This Row],[nE]]*INDEX(grupoEstacas[],HC[[#This Row],[nE]],MATCH("ε",grupoEstacas[#Headers],0))),"N.S.")</f>
        <v>N.S.</v>
      </c>
      <c r="AD77" s="4">
        <f ca="1">1.05*HC[[#This Row],[Nsd (kN)]]/(HC[[#This Row],[nE]]*PI()*HC[[#This Row],[Ø (cm)]]^2/4)*10</f>
        <v>0.19488360378599429</v>
      </c>
      <c r="AE77" s="4">
        <f ca="1">IF(HC[[#This Row],[σ (MPa)]]&lt;INDEX(tipoEstaca[],MATCH($D$2,tipoEstaca[TIPO DE ESTACA],0),MATCH("σmáx (MPa)",tipoEstaca[#Headers],0)),0.4%*PI()*HC[[#This Row],[Ø (cm)]]^2/4,"N.S.")</f>
        <v>3.848451000647497</v>
      </c>
      <c r="AF77" s="1">
        <f>INDEX(tipoEstaca[],MATCH($D$2,tipoEstaca[TIPO DE ESTACA],0),MATCH(HC[[#Headers],[Comprimento (m)]],tipoEstaca[#Headers],0))</f>
        <v>4</v>
      </c>
      <c r="AG77" s="5">
        <f ca="1">HC[[#This Row],[As,mín (cm²)]]/100^2*HC[[#This Row],[Comprimento (m)]]*7850</f>
        <v>12.08413614203314</v>
      </c>
      <c r="AH77" s="4">
        <f ca="1">HC[[#This Row],[nE]]*HC[[#This Row],[Prof. (m)]]*HC[[#This Row],[Ap (m²)]]</f>
        <v>18.85740990317273</v>
      </c>
      <c r="AI77" s="1">
        <f ca="1">IF(HC[[#This Row],[nE]]=1,0,MAX(3*HC[[#This Row],[Ø (cm)]],60))</f>
        <v>105</v>
      </c>
      <c r="AJ77" s="1">
        <f ca="1">IF(HC[[#This Row],[nE]]=1,HC[[#This Row],[Ø (cm)]]+2*10,MAX(1.5*HC[[#This Row],[Ø (cm)]],HC[[#This Row],[Ø (cm)]]+15))</f>
        <v>52.5</v>
      </c>
      <c r="AK77" s="1" t="str">
        <f ca="1">alturaUtil(HC[[#This Row],[nE]],HC[[#This Row],[Ø (cm)]],HC[[#This Row],[e (cm)]],HC[[#This Row],[ap,eq (cm)]])</f>
        <v>N.S.</v>
      </c>
      <c r="AL77" s="1" t="str">
        <f ca="1">IFERROR(HC[[#This Row],[d (cm)]]+arredondarParaCimaMultiplo5cm(MAX(5,SQRT(PI())/2*HC[[#This Row],[Ø (cm)]]/5)),"N.S.")</f>
        <v>N.S.</v>
      </c>
      <c r="AM77" s="5" t="str">
        <f ca="1">alpha(HC[[#This Row],[nE]],HC[[#This Row],[d (cm)]],HC[[#This Row],[e (cm)]],HC[[#This Row],[ap,eq (cm)]])</f>
        <v>N.S.</v>
      </c>
      <c r="AN77" s="35" t="str">
        <f ca="1">IFERROR(HC[[#This Row],[Nsd (kN)]]/(HC[[#This Row],[Ap (cm²)]]*SIN(HC[[#This Row],[α]])^2),"N.S.")</f>
        <v>N.S.</v>
      </c>
      <c r="AO77" s="35" t="str">
        <f ca="1">IFERROR(HC[[#This Row],[Nsd (kN)]]/(HC[[#This Row],[nE]]*PI()*HC[[#This Row],[Ø (cm)]]^2/4*SIN(HC[[#This Row],[α]])^2),"N.S.")</f>
        <v>N.S.</v>
      </c>
      <c r="AP77" s="4" t="str">
        <f ca="1">IFERROR(INDEX(grupoEstacas[],HC[[#This Row],[nE]],MATCH("coef. Blévot",grupoEstacas[#Headers],0)),"N.S.")</f>
        <v>N.S.</v>
      </c>
      <c r="AQ77" s="35" t="str">
        <f ca="1">IFERROR(HC[[#This Row],[coef. Blévot]]*0.9*INDEX(tipoEstaca[],MATCH($D$2,tipoEstaca[TIPO DE ESTACA],0),MATCH("fcd (kN/cm²)",tipoEstaca[#Headers],0)),"N.S.")</f>
        <v>N.S.</v>
      </c>
      <c r="AR77" s="1" t="str">
        <f ca="1">IF(AND(HC[[#This Row],[cd,b,pil (kN/cm²)]]&lt;=HC[[#This Row],[cd,b,lim (kN/cm²)]],HC[[#This Row],[cd,b,est (kN/cm²)]]&lt;=HC[[#This Row],[cd,b,lim (kN/cm²)]]),"OK","ERRO")</f>
        <v>OK</v>
      </c>
      <c r="AS77" s="4" t="str">
        <f ca="1">As_lado(HC[[#This Row],[nE]],HC[[#This Row],[Nsd (kN)]],HC[[#This Row],[d (cm)]],HC[[#This Row],[e (cm)]],HC[[#This Row],[ap,eq (cm)]])</f>
        <v>N.S.</v>
      </c>
      <c r="AT77" s="4" t="str">
        <f ca="1">IF(HC[[#This Row],[nE]]=1,HC[[#This Row],[As,lado (cm²)]],IF(HC[[#This Row],[nE]]=2,0.075*2*HC[a (cm)],"N.A."))</f>
        <v>N.A.</v>
      </c>
      <c r="AU77" s="4" t="str">
        <f ca="1">IFERROR(IF(HC[[#This Row],[nE]]=1,"N.A.",0.2*HC[[#This Row],[As,lado (cm²)]]),"N.S.")</f>
        <v>N.S.</v>
      </c>
      <c r="AV77" s="4" t="str">
        <f ca="1">As_malha(HC[[#This Row],[nE]],HC[[#This Row],[As,lado (cm²)]],HC[[#This Row],[Nsd (kN)]])</f>
        <v>N.S.</v>
      </c>
      <c r="AW77" s="4" t="str">
        <f ca="1">As_susp_tot(HC[[#This Row],[nE]],HC[[#This Row],[Nsd (kN)]])</f>
        <v>N.S.</v>
      </c>
      <c r="AX77" s="4" t="str">
        <f ca="1">Asp_face(HC[[#This Row],[nE]],HC[[#This Row],[As,lado (cm²)]])</f>
        <v>N.S.</v>
      </c>
      <c r="AY77" s="5" t="str">
        <f ca="1">acoBloco(HC[[#This Row],[nE]],HC[[#This Row],[e (cm)]],HC[[#This Row],[a (cm)]],HC[[#This Row],[h (cm)]],HC[[#This Row],[As,lado (cm²)]],HC[[#This Row],[Asp e Asw (cm²/m)]],HC[[#This Row],[As,sup (cm²)]],HC[[#This Row],[As,malha (cm²)]],HC[[#This Row],[As,susp,tot (cm²)]],HC[[#This Row],[Asp,face (cm²)]])</f>
        <v>N.S.</v>
      </c>
      <c r="AZ77" s="4" t="str">
        <f ca="1">concretoBloco(HC[[#This Row],[nE]],HC[[#This Row],[e (cm)]],HC[[#This Row],[a (cm)]],HC[[#This Row],[h (cm)]])</f>
        <v>N.S.</v>
      </c>
      <c r="BA77" s="5">
        <f ca="1">SUM(HC[[#This Row],[Aço Est (kg)]],HC[[#This Row],[Aço Bloco (kg)]])</f>
        <v>12.08413614203314</v>
      </c>
      <c r="BB77" s="4">
        <f>INDEX(composicoes[],MATCH(95580,composicoes[CÓDIGO],0),MATCH("CUSTO TOTAL",composicoes[#Headers],0))</f>
        <v>10.46</v>
      </c>
      <c r="BC77" s="4">
        <f ca="1">SUM(HC[[#This Row],[Conc Est (m³)]],HC[[#This Row],[Conc Bloco (m³)]])</f>
        <v>18.85740990317273</v>
      </c>
      <c r="BD77" s="4">
        <f>INDEX(composicoes[],MATCH(94966,composicoes[CÓDIGO],0),MATCH("CUSTO TOTAL",composicoes[#Headers],0))</f>
        <v>439.52</v>
      </c>
      <c r="BE77" s="38">
        <f ca="1">HC[[#This Row],[Aço (kg)]]*HC[[#This Row],[Aço (R$/kg)]]+HC[[#This Row],[Conc (m³)]]*HC[[#This Row],[Conc (R$/m³)]]</f>
        <v>8414.6088646881453</v>
      </c>
      <c r="BF77" s="4" t="str">
        <f ca="1">IF(COUNTIF(HC[#This Row],"N.S.")&gt;0,"lim.","OK")</f>
        <v>lim.</v>
      </c>
      <c r="BG77" s="4" t="str">
        <f>IF(HC[[#This Row],[Prof. (m)]]&lt;4,"lim.","OK")</f>
        <v>lim.</v>
      </c>
      <c r="BH77" s="4" t="str">
        <f>IF(HC[[#This Row],[Prof. (m)]]&gt;=8*HC[[#This Row],[Ø (cm)]]/100,"OK","lim.")</f>
        <v>lim.</v>
      </c>
      <c r="BI77" s="4" t="str">
        <f ca="1">IF(HC[[#This Row],[Verif. Biela]]="OK","OK","lim.")</f>
        <v>OK</v>
      </c>
      <c r="BJ77" s="4" t="str">
        <f ca="1">IF(COUNTA(HC[[#This Row],[Nº Est.]:[Biela comp.]])=COUNTIF(HC[[#This Row],[Nº Est.]:[Biela comp.]],"OK"),"OK","lim.")</f>
        <v>lim.</v>
      </c>
      <c r="BK77" s="4" t="str">
        <f ca="1">IF(HC[[#This Row],[Controle]]="OK",HC[[#This Row],[nE]]&amp;" Ø"&amp;HC[[#This Row],[Ø (cm)]]&amp;"cm Prof. "&amp;HC[[#This Row],[Prof. (m)]]&amp;" m","")</f>
        <v/>
      </c>
      <c r="BL77" s="4" t="str">
        <f ca="1">IF(HC[[#This Row],[idDimensionamento]]="","",HC[[#This Row],[idPilar]]&amp;HC[[#This Row],[idDimensionamento]])</f>
        <v/>
      </c>
    </row>
    <row r="78" spans="2:64" x14ac:dyDescent="0.25">
      <c r="B78" s="12">
        <f>ROUNDUP((ROW(HC[[#This Row],[idDiâmetro]])-ROW(HC[[#Headers],[idDiâmetro]]))/(COUNT(SPT[Prof. (m)])*COUNT(PILARES[Pilar])),0)</f>
        <v>3</v>
      </c>
      <c r="C78" s="12">
        <f>IF(HC[[#This Row],[idDiâmetro]]&lt;&gt;B77,1,IF(HC[[#This Row],[Prof. (m)]]=0,C77+1,C77))</f>
        <v>2</v>
      </c>
      <c r="D78" s="1">
        <f>IFERROR(IF(D77=MAX(SPT[Prof. (m)]),0,D77+1),0)</f>
        <v>3</v>
      </c>
      <c r="E78" s="1">
        <f>INDEX(SPT[],MATCH(HC[[#This Row],[Prof. (m)]],SPT[Prof. (m)],0),2)</f>
        <v>4</v>
      </c>
      <c r="F78" s="1" t="str">
        <f>INDEX(SPT[],MATCH(HC[[#This Row],[Prof. (m)]],SPT[Prof. (m)],0),3)</f>
        <v>Areia siltosa</v>
      </c>
      <c r="G78" s="1">
        <f>INDEX(estacas[],HC[[#This Row],[idDiâmetro]],MATCH($B$2,estacas[#Headers],0))</f>
        <v>35</v>
      </c>
      <c r="H78" s="1">
        <f>INDEX(estacas[],MATCH(HC[[#This Row],[Ø (cm)]],estacas[Ø HC (cm)],0),MATCH(HC[[#Headers],[Pe HC (kN)]],estacas[#Headers],0))</f>
        <v>600</v>
      </c>
      <c r="I78" s="4">
        <f>INDEX(K_alpha_C[],MATCH(HC[[#This Row],[Solo]],K_alpha_C[Solo],0),2)</f>
        <v>0.8</v>
      </c>
      <c r="J78" s="5">
        <f>INDEX(K_alpha_C[],MATCH(HC[[#This Row],[Solo]],K_alpha_C[Solo],0),3)</f>
        <v>2</v>
      </c>
      <c r="K78" s="4">
        <f>INDEX(F1_F2[],MATCH($D$2,F1_F2[Tipo de estaca],0),2)</f>
        <v>2</v>
      </c>
      <c r="L78" s="4">
        <f>INDEX(F1_F2[],MATCH($D$2,F1_F2[Tipo de estaca],0),3)</f>
        <v>4</v>
      </c>
      <c r="M78" s="4">
        <f>PI()*(HC[[#This Row],[Ø (cm)]]/100)^2/4</f>
        <v>9.6211275016187398E-2</v>
      </c>
      <c r="N78" s="4">
        <f>PI()*HC[[#This Row],[Ø (cm)]]/100</f>
        <v>1.0995574287564276</v>
      </c>
      <c r="O78" s="4">
        <f>IF(HC[[#This Row],[Prof. (m)]]=0,0,HC[[#This Row],[α (%)]]/100*HC[[#This Row],[K (MPa)]]*1000*HC[[#This Row],[NSPT]])</f>
        <v>64</v>
      </c>
      <c r="P78" s="4">
        <f>IF(HC[[#This Row],[Prof. (m)]]=0,0,(HC[[#This Row],[K (MPa)]]*1000*HC[[#This Row],[NSPT]]/HC[[#This Row],[F1]]*HC[[#This Row],[Ap (m²)]]+HC[[#This Row],[U (m)]]/HC[[#This Row],[F2]]*SUMIFS(HC[(α∙K∙NL∙ΔL)],HC[Prof. (m)],"&lt;="&amp;HC[[#This Row],[Prof. (m)]],HC[idDiâmetro],HC[[#This Row],[idDiâmetro]],HC[idPilar],HC[[#This Row],[idPilar]]))/'DADOS CAP. CARGA'!$D$2)</f>
        <v>94.561938873052753</v>
      </c>
      <c r="Q78" s="12">
        <f>INDEX(C_alpha_beta[],MATCH(HC[[#This Row],[Solo]],C_alpha_beta[Solo],0),MATCH(HC[[#Headers],[C (kPa)]],C_alpha_beta[#Headers],0))</f>
        <v>400</v>
      </c>
      <c r="R78" s="4">
        <f>INDEX(C_alpha_beta[],MATCH(HC[[#This Row],[Solo]],C_alpha_beta[Solo],0),MATCH(HC[[#Headers],[α ESF]],C_alpha_beta[#Headers],0))</f>
        <v>0.5</v>
      </c>
      <c r="S78" s="4">
        <f>INDEX(C_alpha_beta[],MATCH(HC[[#This Row],[Solo]],C_alpha_beta[Solo],0),MATCH(HC[[#Headers],[β ESF]],C_alpha_beta[#Headers],0))</f>
        <v>0.5</v>
      </c>
      <c r="T78" s="4">
        <f>IF(HC[[#This Row],[Prof. (m)]]=0,0,10*(HC[[#This Row],[NSPT]]/3+1))</f>
        <v>23.333333333333329</v>
      </c>
      <c r="U78" s="4">
        <f>(HC[[#This Row],[α ESF]]*HC[[#This Row],[C (kPa)]]*HC[[#This Row],[NSPT]]*HC[[#This Row],[Ap (m²)]])/'DADOS CAP. CARGA'!$Q$2+(HC[[#This Row],[β ESF]]*SUMIFS(HC[10∙(NL/3+1)],HC[Prof. (m)],"&lt;="&amp;HC[[#This Row],[Prof. (m)]],HC[idDiâmetro],HC[[#This Row],[idDiâmetro]],HC[idPilar],HC[[#This Row],[idPilar]])*HC[[#This Row],[U (m)]])/'DADOS CAP. CARGA'!$S$2</f>
        <v>34.819318577286865</v>
      </c>
      <c r="V78" s="4">
        <f>IF(SPT!$M$5=1,MIN(HC[[#This Row],[Pe HC (kN)]],HC[[#This Row],[R_AV (kN)]]),IF(SPT!$M$5=2,MIN(HC[[#This Row],[Pe HC (kN)]],HC[[#This Row],[R_DC (kN)]]),MIN(HC[[#This Row],[Pe HC (kN)]],HC[[#This Row],[R_AV (kN)]],HC[[#This Row],[R_DC (kN)]])))</f>
        <v>34.819318577286865</v>
      </c>
      <c r="W78" s="4">
        <f>INDEX(PILARES[],HC[[#This Row],[idPilar]],MATCH("Carga (kN)",PILARES[#Headers],0))*1.4</f>
        <v>1750</v>
      </c>
      <c r="X78" s="12">
        <f>INDEX(PILARES[],HC[[#This Row],[idPilar]],MATCH(HC[[#Headers],[ap (cm)]],PILARES[#Headers],0))</f>
        <v>50</v>
      </c>
      <c r="Y78" s="12">
        <f>INDEX(PILARES[],HC[[#This Row],[idPilar]],MATCH(HC[[#Headers],[bp (cm)]],PILARES[#Headers],0))</f>
        <v>40</v>
      </c>
      <c r="Z78" s="4">
        <f>SQRT(HC[[#This Row],[ap (cm)]]*HC[[#This Row],[bp (cm)]])</f>
        <v>44.721359549995796</v>
      </c>
      <c r="AA78" s="12">
        <f>HC[[#This Row],[ap (cm)]]*HC[[#This Row],[bp (cm)]]</f>
        <v>2000</v>
      </c>
      <c r="AB78" s="12">
        <f ca="1">IF(HC[[#This Row],[Padm∙ε (kN)]]&gt;=HC[[#This Row],[Padm (kN)]],ROUNDUP(1.05*HC[[#This Row],[Nsd (kN)]]/HC[[#This Row],[Padm (kN)]],0),ROUNDUP(1.05*HC[[#This Row],[Nsd (kN)]]/HC[[#This Row],[Padm (kN)]],0)+1)</f>
        <v>53</v>
      </c>
      <c r="AC78" s="4" t="str">
        <f ca="1">IFERROR(IF(HC[[#This Row],[nE]]=1,HC[[#This Row],[Padm (kN)]],HC[[#This Row],[Padm (kN)]]*HC[[#This Row],[nE]]*INDEX(grupoEstacas[],HC[[#This Row],[nE]],MATCH("ε",grupoEstacas[#Headers],0))),"N.S.")</f>
        <v>N.S.</v>
      </c>
      <c r="AD78" s="4">
        <f ca="1">1.05*HC[[#This Row],[Nsd (kN)]]/(HC[[#This Row],[nE]]*PI()*HC[[#This Row],[Ø (cm)]]^2/4)*10</f>
        <v>0.36035081454768753</v>
      </c>
      <c r="AE78" s="4">
        <f ca="1">IF(HC[[#This Row],[σ (MPa)]]&lt;INDEX(tipoEstaca[],MATCH($D$2,tipoEstaca[TIPO DE ESTACA],0),MATCH("σmáx (MPa)",tipoEstaca[#Headers],0)),0.4%*PI()*HC[[#This Row],[Ø (cm)]]^2/4,"N.S.")</f>
        <v>3.848451000647497</v>
      </c>
      <c r="AF78" s="1">
        <f>INDEX(tipoEstaca[],MATCH($D$2,tipoEstaca[TIPO DE ESTACA],0),MATCH(HC[[#Headers],[Comprimento (m)]],tipoEstaca[#Headers],0))</f>
        <v>4</v>
      </c>
      <c r="AG78" s="5">
        <f ca="1">HC[[#This Row],[As,mín (cm²)]]/100^2*HC[[#This Row],[Comprimento (m)]]*7850</f>
        <v>12.08413614203314</v>
      </c>
      <c r="AH78" s="4">
        <f ca="1">HC[[#This Row],[nE]]*HC[[#This Row],[Prof. (m)]]*HC[[#This Row],[Ap (m²)]]</f>
        <v>15.297592727573797</v>
      </c>
      <c r="AI78" s="1">
        <f ca="1">IF(HC[[#This Row],[nE]]=1,0,MAX(3*HC[[#This Row],[Ø (cm)]],60))</f>
        <v>105</v>
      </c>
      <c r="AJ78" s="1">
        <f ca="1">IF(HC[[#This Row],[nE]]=1,HC[[#This Row],[Ø (cm)]]+2*10,MAX(1.5*HC[[#This Row],[Ø (cm)]],HC[[#This Row],[Ø (cm)]]+15))</f>
        <v>52.5</v>
      </c>
      <c r="AK78" s="1" t="str">
        <f ca="1">alturaUtil(HC[[#This Row],[nE]],HC[[#This Row],[Ø (cm)]],HC[[#This Row],[e (cm)]],HC[[#This Row],[ap,eq (cm)]])</f>
        <v>N.S.</v>
      </c>
      <c r="AL78" s="1" t="str">
        <f ca="1">IFERROR(HC[[#This Row],[d (cm)]]+arredondarParaCimaMultiplo5cm(MAX(5,SQRT(PI())/2*HC[[#This Row],[Ø (cm)]]/5)),"N.S.")</f>
        <v>N.S.</v>
      </c>
      <c r="AM78" s="5" t="str">
        <f ca="1">alpha(HC[[#This Row],[nE]],HC[[#This Row],[d (cm)]],HC[[#This Row],[e (cm)]],HC[[#This Row],[ap,eq (cm)]])</f>
        <v>N.S.</v>
      </c>
      <c r="AN78" s="35" t="str">
        <f ca="1">IFERROR(HC[[#This Row],[Nsd (kN)]]/(HC[[#This Row],[Ap (cm²)]]*SIN(HC[[#This Row],[α]])^2),"N.S.")</f>
        <v>N.S.</v>
      </c>
      <c r="AO78" s="35" t="str">
        <f ca="1">IFERROR(HC[[#This Row],[Nsd (kN)]]/(HC[[#This Row],[nE]]*PI()*HC[[#This Row],[Ø (cm)]]^2/4*SIN(HC[[#This Row],[α]])^2),"N.S.")</f>
        <v>N.S.</v>
      </c>
      <c r="AP78" s="4" t="str">
        <f ca="1">IFERROR(INDEX(grupoEstacas[],HC[[#This Row],[nE]],MATCH("coef. Blévot",grupoEstacas[#Headers],0)),"N.S.")</f>
        <v>N.S.</v>
      </c>
      <c r="AQ78" s="35" t="str">
        <f ca="1">IFERROR(HC[[#This Row],[coef. Blévot]]*0.9*INDEX(tipoEstaca[],MATCH($D$2,tipoEstaca[TIPO DE ESTACA],0),MATCH("fcd (kN/cm²)",tipoEstaca[#Headers],0)),"N.S.")</f>
        <v>N.S.</v>
      </c>
      <c r="AR78" s="1" t="str">
        <f ca="1">IF(AND(HC[[#This Row],[cd,b,pil (kN/cm²)]]&lt;=HC[[#This Row],[cd,b,lim (kN/cm²)]],HC[[#This Row],[cd,b,est (kN/cm²)]]&lt;=HC[[#This Row],[cd,b,lim (kN/cm²)]]),"OK","ERRO")</f>
        <v>OK</v>
      </c>
      <c r="AS78" s="4" t="str">
        <f ca="1">As_lado(HC[[#This Row],[nE]],HC[[#This Row],[Nsd (kN)]],HC[[#This Row],[d (cm)]],HC[[#This Row],[e (cm)]],HC[[#This Row],[ap,eq (cm)]])</f>
        <v>N.S.</v>
      </c>
      <c r="AT78" s="4" t="str">
        <f ca="1">IF(HC[[#This Row],[nE]]=1,HC[[#This Row],[As,lado (cm²)]],IF(HC[[#This Row],[nE]]=2,0.075*2*HC[a (cm)],"N.A."))</f>
        <v>N.A.</v>
      </c>
      <c r="AU78" s="4" t="str">
        <f ca="1">IFERROR(IF(HC[[#This Row],[nE]]=1,"N.A.",0.2*HC[[#This Row],[As,lado (cm²)]]),"N.S.")</f>
        <v>N.S.</v>
      </c>
      <c r="AV78" s="4" t="str">
        <f ca="1">As_malha(HC[[#This Row],[nE]],HC[[#This Row],[As,lado (cm²)]],HC[[#This Row],[Nsd (kN)]])</f>
        <v>N.S.</v>
      </c>
      <c r="AW78" s="4" t="str">
        <f ca="1">As_susp_tot(HC[[#This Row],[nE]],HC[[#This Row],[Nsd (kN)]])</f>
        <v>N.S.</v>
      </c>
      <c r="AX78" s="4" t="str">
        <f ca="1">Asp_face(HC[[#This Row],[nE]],HC[[#This Row],[As,lado (cm²)]])</f>
        <v>N.S.</v>
      </c>
      <c r="AY78" s="5" t="str">
        <f ca="1">acoBloco(HC[[#This Row],[nE]],HC[[#This Row],[e (cm)]],HC[[#This Row],[a (cm)]],HC[[#This Row],[h (cm)]],HC[[#This Row],[As,lado (cm²)]],HC[[#This Row],[Asp e Asw (cm²/m)]],HC[[#This Row],[As,sup (cm²)]],HC[[#This Row],[As,malha (cm²)]],HC[[#This Row],[As,susp,tot (cm²)]],HC[[#This Row],[Asp,face (cm²)]])</f>
        <v>N.S.</v>
      </c>
      <c r="AZ78" s="4" t="str">
        <f ca="1">concretoBloco(HC[[#This Row],[nE]],HC[[#This Row],[e (cm)]],HC[[#This Row],[a (cm)]],HC[[#This Row],[h (cm)]])</f>
        <v>N.S.</v>
      </c>
      <c r="BA78" s="5">
        <f ca="1">SUM(HC[[#This Row],[Aço Est (kg)]],HC[[#This Row],[Aço Bloco (kg)]])</f>
        <v>12.08413614203314</v>
      </c>
      <c r="BB78" s="4">
        <f>INDEX(composicoes[],MATCH(95580,composicoes[CÓDIGO],0),MATCH("CUSTO TOTAL",composicoes[#Headers],0))</f>
        <v>10.46</v>
      </c>
      <c r="BC78" s="4">
        <f ca="1">SUM(HC[[#This Row],[Conc Est (m³)]],HC[[#This Row],[Conc Bloco (m³)]])</f>
        <v>15.297592727573797</v>
      </c>
      <c r="BD78" s="4">
        <f>INDEX(composicoes[],MATCH(94966,composicoes[CÓDIGO],0),MATCH("CUSTO TOTAL",composicoes[#Headers],0))</f>
        <v>439.52</v>
      </c>
      <c r="BE78" s="38">
        <f ca="1">HC[[#This Row],[Aço (kg)]]*HC[[#This Row],[Aço (R$/kg)]]+HC[[#This Row],[Conc (m³)]]*HC[[#This Row],[Conc (R$/m³)]]</f>
        <v>6849.9980196689021</v>
      </c>
      <c r="BF78" s="4" t="str">
        <f ca="1">IF(COUNTIF(HC[#This Row],"N.S.")&gt;0,"lim.","OK")</f>
        <v>lim.</v>
      </c>
      <c r="BG78" s="4" t="str">
        <f>IF(HC[[#This Row],[Prof. (m)]]&lt;4,"lim.","OK")</f>
        <v>lim.</v>
      </c>
      <c r="BH78" s="4" t="str">
        <f>IF(HC[[#This Row],[Prof. (m)]]&gt;=8*HC[[#This Row],[Ø (cm)]]/100,"OK","lim.")</f>
        <v>OK</v>
      </c>
      <c r="BI78" s="4" t="str">
        <f ca="1">IF(HC[[#This Row],[Verif. Biela]]="OK","OK","lim.")</f>
        <v>OK</v>
      </c>
      <c r="BJ78" s="4" t="str">
        <f ca="1">IF(COUNTA(HC[[#This Row],[Nº Est.]:[Biela comp.]])=COUNTIF(HC[[#This Row],[Nº Est.]:[Biela comp.]],"OK"),"OK","lim.")</f>
        <v>lim.</v>
      </c>
      <c r="BK78" s="4" t="str">
        <f ca="1">IF(HC[[#This Row],[Controle]]="OK",HC[[#This Row],[nE]]&amp;" Ø"&amp;HC[[#This Row],[Ø (cm)]]&amp;"cm Prof. "&amp;HC[[#This Row],[Prof. (m)]]&amp;" m","")</f>
        <v/>
      </c>
      <c r="BL78" s="4" t="str">
        <f ca="1">IF(HC[[#This Row],[idDimensionamento]]="","",HC[[#This Row],[idPilar]]&amp;HC[[#This Row],[idDimensionamento]])</f>
        <v/>
      </c>
    </row>
    <row r="79" spans="2:64" x14ac:dyDescent="0.25">
      <c r="B79" s="12">
        <f>ROUNDUP((ROW(HC[[#This Row],[idDiâmetro]])-ROW(HC[[#Headers],[idDiâmetro]]))/(COUNT(SPT[Prof. (m)])*COUNT(PILARES[Pilar])),0)</f>
        <v>3</v>
      </c>
      <c r="C79" s="12">
        <f>IF(HC[[#This Row],[idDiâmetro]]&lt;&gt;B78,1,IF(HC[[#This Row],[Prof. (m)]]=0,C78+1,C78))</f>
        <v>2</v>
      </c>
      <c r="D79" s="1">
        <f>IFERROR(IF(D78=MAX(SPT[Prof. (m)]),0,D78+1),0)</f>
        <v>4</v>
      </c>
      <c r="E79" s="1">
        <f>INDEX(SPT[],MATCH(HC[[#This Row],[Prof. (m)]],SPT[Prof. (m)],0),2)</f>
        <v>8</v>
      </c>
      <c r="F79" s="1" t="str">
        <f>INDEX(SPT[],MATCH(HC[[#This Row],[Prof. (m)]],SPT[Prof. (m)],0),3)</f>
        <v>Areia siltosa</v>
      </c>
      <c r="G79" s="1">
        <f>INDEX(estacas[],HC[[#This Row],[idDiâmetro]],MATCH($B$2,estacas[#Headers],0))</f>
        <v>35</v>
      </c>
      <c r="H79" s="1">
        <f>INDEX(estacas[],MATCH(HC[[#This Row],[Ø (cm)]],estacas[Ø HC (cm)],0),MATCH(HC[[#Headers],[Pe HC (kN)]],estacas[#Headers],0))</f>
        <v>600</v>
      </c>
      <c r="I79" s="4">
        <f>INDEX(K_alpha_C[],MATCH(HC[[#This Row],[Solo]],K_alpha_C[Solo],0),2)</f>
        <v>0.8</v>
      </c>
      <c r="J79" s="5">
        <f>INDEX(K_alpha_C[],MATCH(HC[[#This Row],[Solo]],K_alpha_C[Solo],0),3)</f>
        <v>2</v>
      </c>
      <c r="K79" s="4">
        <f>INDEX(F1_F2[],MATCH($D$2,F1_F2[Tipo de estaca],0),2)</f>
        <v>2</v>
      </c>
      <c r="L79" s="4">
        <f>INDEX(F1_F2[],MATCH($D$2,F1_F2[Tipo de estaca],0),3)</f>
        <v>4</v>
      </c>
      <c r="M79" s="4">
        <f>PI()*(HC[[#This Row],[Ø (cm)]]/100)^2/4</f>
        <v>9.6211275016187398E-2</v>
      </c>
      <c r="N79" s="4">
        <f>PI()*HC[[#This Row],[Ø (cm)]]/100</f>
        <v>1.0995574287564276</v>
      </c>
      <c r="O79" s="4">
        <f>IF(HC[[#This Row],[Prof. (m)]]=0,0,HC[[#This Row],[α (%)]]/100*HC[[#This Row],[K (MPa)]]*1000*HC[[#This Row],[NSPT]])</f>
        <v>128</v>
      </c>
      <c r="P79" s="4">
        <f>IF(HC[[#This Row],[Prof. (m)]]=0,0,(HC[[#This Row],[K (MPa)]]*1000*HC[[#This Row],[NSPT]]/HC[[#This Row],[F1]]*HC[[#This Row],[Ap (m²)]]+HC[[#This Row],[U (m)]]/HC[[#This Row],[F2]]*SUMIFS(HC[(α∙K∙NL∙ΔL)],HC[Prof. (m)],"&lt;="&amp;HC[[#This Row],[Prof. (m)]],HC[idDiâmetro],HC[[#This Row],[idDiâmetro]],HC[idPilar],HC[[#This Row],[idPilar]]))/'DADOS CAP. CARGA'!$D$2)</f>
        <v>189.12387774610551</v>
      </c>
      <c r="Q79" s="12">
        <f>INDEX(C_alpha_beta[],MATCH(HC[[#This Row],[Solo]],C_alpha_beta[Solo],0),MATCH(HC[[#Headers],[C (kPa)]],C_alpha_beta[#Headers],0))</f>
        <v>400</v>
      </c>
      <c r="R79" s="4">
        <f>INDEX(C_alpha_beta[],MATCH(HC[[#This Row],[Solo]],C_alpha_beta[Solo],0),MATCH(HC[[#Headers],[α ESF]],C_alpha_beta[#Headers],0))</f>
        <v>0.5</v>
      </c>
      <c r="S79" s="4">
        <f>INDEX(C_alpha_beta[],MATCH(HC[[#This Row],[Solo]],C_alpha_beta[Solo],0),MATCH(HC[[#Headers],[β ESF]],C_alpha_beta[#Headers],0))</f>
        <v>0.5</v>
      </c>
      <c r="T79" s="4">
        <f>IF(HC[[#This Row],[Prof. (m)]]=0,0,10*(HC[[#This Row],[NSPT]]/3+1))</f>
        <v>36.666666666666664</v>
      </c>
      <c r="U79" s="4">
        <f>(HC[[#This Row],[α ESF]]*HC[[#This Row],[C (kPa)]]*HC[[#This Row],[NSPT]]*HC[[#This Row],[Ap (m²)]])/'DADOS CAP. CARGA'!$Q$2+(HC[[#This Row],[β ESF]]*SUMIFS(HC[10∙(NL/3+1)],HC[Prof. (m)],"&lt;="&amp;HC[[#This Row],[Prof. (m)]],HC[idDiâmetro],HC[[#This Row],[idDiâmetro]],HC[idPilar],HC[[#This Row],[idPilar]])*HC[[#This Row],[U (m)]])/'DADOS CAP. CARGA'!$S$2</f>
        <v>64.140850010791596</v>
      </c>
      <c r="V79" s="4">
        <f>IF(SPT!$M$5=1,MIN(HC[[#This Row],[Pe HC (kN)]],HC[[#This Row],[R_AV (kN)]]),IF(SPT!$M$5=2,MIN(HC[[#This Row],[Pe HC (kN)]],HC[[#This Row],[R_DC (kN)]]),MIN(HC[[#This Row],[Pe HC (kN)]],HC[[#This Row],[R_AV (kN)]],HC[[#This Row],[R_DC (kN)]])))</f>
        <v>64.140850010791596</v>
      </c>
      <c r="W79" s="4">
        <f>INDEX(PILARES[],HC[[#This Row],[idPilar]],MATCH("Carga (kN)",PILARES[#Headers],0))*1.4</f>
        <v>1750</v>
      </c>
      <c r="X79" s="12">
        <f>INDEX(PILARES[],HC[[#This Row],[idPilar]],MATCH(HC[[#Headers],[ap (cm)]],PILARES[#Headers],0))</f>
        <v>50</v>
      </c>
      <c r="Y79" s="12">
        <f>INDEX(PILARES[],HC[[#This Row],[idPilar]],MATCH(HC[[#Headers],[bp (cm)]],PILARES[#Headers],0))</f>
        <v>40</v>
      </c>
      <c r="Z79" s="4">
        <f>SQRT(HC[[#This Row],[ap (cm)]]*HC[[#This Row],[bp (cm)]])</f>
        <v>44.721359549995796</v>
      </c>
      <c r="AA79" s="12">
        <f>HC[[#This Row],[ap (cm)]]*HC[[#This Row],[bp (cm)]]</f>
        <v>2000</v>
      </c>
      <c r="AB79" s="12">
        <f ca="1">IF(HC[[#This Row],[Padm∙ε (kN)]]&gt;=HC[[#This Row],[Padm (kN)]],ROUNDUP(1.05*HC[[#This Row],[Nsd (kN)]]/HC[[#This Row],[Padm (kN)]],0),ROUNDUP(1.05*HC[[#This Row],[Nsd (kN)]]/HC[[#This Row],[Padm (kN)]],0)+1)</f>
        <v>29</v>
      </c>
      <c r="AC79" s="4" t="str">
        <f ca="1">IFERROR(IF(HC[[#This Row],[nE]]=1,HC[[#This Row],[Padm (kN)]],HC[[#This Row],[Padm (kN)]]*HC[[#This Row],[nE]]*INDEX(grupoEstacas[],HC[[#This Row],[nE]],MATCH("ε",grupoEstacas[#Headers],0))),"N.S.")</f>
        <v>N.S.</v>
      </c>
      <c r="AD79" s="4">
        <f ca="1">1.05*HC[[#This Row],[Nsd (kN)]]/(HC[[#This Row],[nE]]*PI()*HC[[#This Row],[Ø (cm)]]^2/4)*10</f>
        <v>0.658572178311291</v>
      </c>
      <c r="AE79" s="4">
        <f ca="1">IF(HC[[#This Row],[σ (MPa)]]&lt;INDEX(tipoEstaca[],MATCH($D$2,tipoEstaca[TIPO DE ESTACA],0),MATCH("σmáx (MPa)",tipoEstaca[#Headers],0)),0.4%*PI()*HC[[#This Row],[Ø (cm)]]^2/4,"N.S.")</f>
        <v>3.848451000647497</v>
      </c>
      <c r="AF79" s="1">
        <f>INDEX(tipoEstaca[],MATCH($D$2,tipoEstaca[TIPO DE ESTACA],0),MATCH(HC[[#Headers],[Comprimento (m)]],tipoEstaca[#Headers],0))</f>
        <v>4</v>
      </c>
      <c r="AG79" s="5">
        <f ca="1">HC[[#This Row],[As,mín (cm²)]]/100^2*HC[[#This Row],[Comprimento (m)]]*7850</f>
        <v>12.08413614203314</v>
      </c>
      <c r="AH79" s="4">
        <f ca="1">HC[[#This Row],[nE]]*HC[[#This Row],[Prof. (m)]]*HC[[#This Row],[Ap (m²)]]</f>
        <v>11.160507901877738</v>
      </c>
      <c r="AI79" s="1">
        <f ca="1">IF(HC[[#This Row],[nE]]=1,0,MAX(3*HC[[#This Row],[Ø (cm)]],60))</f>
        <v>105</v>
      </c>
      <c r="AJ79" s="1">
        <f ca="1">IF(HC[[#This Row],[nE]]=1,HC[[#This Row],[Ø (cm)]]+2*10,MAX(1.5*HC[[#This Row],[Ø (cm)]],HC[[#This Row],[Ø (cm)]]+15))</f>
        <v>52.5</v>
      </c>
      <c r="AK79" s="1" t="str">
        <f ca="1">alturaUtil(HC[[#This Row],[nE]],HC[[#This Row],[Ø (cm)]],HC[[#This Row],[e (cm)]],HC[[#This Row],[ap,eq (cm)]])</f>
        <v>N.S.</v>
      </c>
      <c r="AL79" s="1" t="str">
        <f ca="1">IFERROR(HC[[#This Row],[d (cm)]]+arredondarParaCimaMultiplo5cm(MAX(5,SQRT(PI())/2*HC[[#This Row],[Ø (cm)]]/5)),"N.S.")</f>
        <v>N.S.</v>
      </c>
      <c r="AM79" s="5" t="str">
        <f ca="1">alpha(HC[[#This Row],[nE]],HC[[#This Row],[d (cm)]],HC[[#This Row],[e (cm)]],HC[[#This Row],[ap,eq (cm)]])</f>
        <v>N.S.</v>
      </c>
      <c r="AN79" s="35" t="str">
        <f ca="1">IFERROR(HC[[#This Row],[Nsd (kN)]]/(HC[[#This Row],[Ap (cm²)]]*SIN(HC[[#This Row],[α]])^2),"N.S.")</f>
        <v>N.S.</v>
      </c>
      <c r="AO79" s="35" t="str">
        <f ca="1">IFERROR(HC[[#This Row],[Nsd (kN)]]/(HC[[#This Row],[nE]]*PI()*HC[[#This Row],[Ø (cm)]]^2/4*SIN(HC[[#This Row],[α]])^2),"N.S.")</f>
        <v>N.S.</v>
      </c>
      <c r="AP79" s="4" t="str">
        <f ca="1">IFERROR(INDEX(grupoEstacas[],HC[[#This Row],[nE]],MATCH("coef. Blévot",grupoEstacas[#Headers],0)),"N.S.")</f>
        <v>N.S.</v>
      </c>
      <c r="AQ79" s="35" t="str">
        <f ca="1">IFERROR(HC[[#This Row],[coef. Blévot]]*0.9*INDEX(tipoEstaca[],MATCH($D$2,tipoEstaca[TIPO DE ESTACA],0),MATCH("fcd (kN/cm²)",tipoEstaca[#Headers],0)),"N.S.")</f>
        <v>N.S.</v>
      </c>
      <c r="AR79" s="1" t="str">
        <f ca="1">IF(AND(HC[[#This Row],[cd,b,pil (kN/cm²)]]&lt;=HC[[#This Row],[cd,b,lim (kN/cm²)]],HC[[#This Row],[cd,b,est (kN/cm²)]]&lt;=HC[[#This Row],[cd,b,lim (kN/cm²)]]),"OK","ERRO")</f>
        <v>OK</v>
      </c>
      <c r="AS79" s="4" t="str">
        <f ca="1">As_lado(HC[[#This Row],[nE]],HC[[#This Row],[Nsd (kN)]],HC[[#This Row],[d (cm)]],HC[[#This Row],[e (cm)]],HC[[#This Row],[ap,eq (cm)]])</f>
        <v>N.S.</v>
      </c>
      <c r="AT79" s="4" t="str">
        <f ca="1">IF(HC[[#This Row],[nE]]=1,HC[[#This Row],[As,lado (cm²)]],IF(HC[[#This Row],[nE]]=2,0.075*2*HC[a (cm)],"N.A."))</f>
        <v>N.A.</v>
      </c>
      <c r="AU79" s="4" t="str">
        <f ca="1">IFERROR(IF(HC[[#This Row],[nE]]=1,"N.A.",0.2*HC[[#This Row],[As,lado (cm²)]]),"N.S.")</f>
        <v>N.S.</v>
      </c>
      <c r="AV79" s="4" t="str">
        <f ca="1">As_malha(HC[[#This Row],[nE]],HC[[#This Row],[As,lado (cm²)]],HC[[#This Row],[Nsd (kN)]])</f>
        <v>N.S.</v>
      </c>
      <c r="AW79" s="4" t="str">
        <f ca="1">As_susp_tot(HC[[#This Row],[nE]],HC[[#This Row],[Nsd (kN)]])</f>
        <v>N.S.</v>
      </c>
      <c r="AX79" s="4" t="str">
        <f ca="1">Asp_face(HC[[#This Row],[nE]],HC[[#This Row],[As,lado (cm²)]])</f>
        <v>N.S.</v>
      </c>
      <c r="AY79" s="5" t="str">
        <f ca="1">acoBloco(HC[[#This Row],[nE]],HC[[#This Row],[e (cm)]],HC[[#This Row],[a (cm)]],HC[[#This Row],[h (cm)]],HC[[#This Row],[As,lado (cm²)]],HC[[#This Row],[Asp e Asw (cm²/m)]],HC[[#This Row],[As,sup (cm²)]],HC[[#This Row],[As,malha (cm²)]],HC[[#This Row],[As,susp,tot (cm²)]],HC[[#This Row],[Asp,face (cm²)]])</f>
        <v>N.S.</v>
      </c>
      <c r="AZ79" s="4" t="str">
        <f ca="1">concretoBloco(HC[[#This Row],[nE]],HC[[#This Row],[e (cm)]],HC[[#This Row],[a (cm)]],HC[[#This Row],[h (cm)]])</f>
        <v>N.S.</v>
      </c>
      <c r="BA79" s="5">
        <f ca="1">SUM(HC[[#This Row],[Aço Est (kg)]],HC[[#This Row],[Aço Bloco (kg)]])</f>
        <v>12.08413614203314</v>
      </c>
      <c r="BB79" s="4">
        <f>INDEX(composicoes[],MATCH(95580,composicoes[CÓDIGO],0),MATCH("CUSTO TOTAL",composicoes[#Headers],0))</f>
        <v>10.46</v>
      </c>
      <c r="BC79" s="4">
        <f ca="1">SUM(HC[[#This Row],[Conc Est (m³)]],HC[[#This Row],[Conc Bloco (m³)]])</f>
        <v>11.160507901877738</v>
      </c>
      <c r="BD79" s="4">
        <f>INDEX(composicoes[],MATCH(94966,composicoes[CÓDIGO],0),MATCH("CUSTO TOTAL",composicoes[#Headers],0))</f>
        <v>439.52</v>
      </c>
      <c r="BE79" s="38">
        <f ca="1">HC[[#This Row],[Aço (kg)]]*HC[[#This Row],[Aço (R$/kg)]]+HC[[#This Row],[Conc (m³)]]*HC[[#This Row],[Conc (R$/m³)]]</f>
        <v>5031.6664970789698</v>
      </c>
      <c r="BF79" s="4" t="str">
        <f ca="1">IF(COUNTIF(HC[#This Row],"N.S.")&gt;0,"lim.","OK")</f>
        <v>lim.</v>
      </c>
      <c r="BG79" s="4" t="str">
        <f>IF(HC[[#This Row],[Prof. (m)]]&lt;4,"lim.","OK")</f>
        <v>OK</v>
      </c>
      <c r="BH79" s="4" t="str">
        <f>IF(HC[[#This Row],[Prof. (m)]]&gt;=8*HC[[#This Row],[Ø (cm)]]/100,"OK","lim.")</f>
        <v>OK</v>
      </c>
      <c r="BI79" s="4" t="str">
        <f ca="1">IF(HC[[#This Row],[Verif. Biela]]="OK","OK","lim.")</f>
        <v>OK</v>
      </c>
      <c r="BJ79" s="4" t="str">
        <f ca="1">IF(COUNTA(HC[[#This Row],[Nº Est.]:[Biela comp.]])=COUNTIF(HC[[#This Row],[Nº Est.]:[Biela comp.]],"OK"),"OK","lim.")</f>
        <v>lim.</v>
      </c>
      <c r="BK79" s="4" t="str">
        <f ca="1">IF(HC[[#This Row],[Controle]]="OK",HC[[#This Row],[nE]]&amp;" Ø"&amp;HC[[#This Row],[Ø (cm)]]&amp;"cm Prof. "&amp;HC[[#This Row],[Prof. (m)]]&amp;" m","")</f>
        <v/>
      </c>
      <c r="BL79" s="4" t="str">
        <f ca="1">IF(HC[[#This Row],[idDimensionamento]]="","",HC[[#This Row],[idPilar]]&amp;HC[[#This Row],[idDimensionamento]])</f>
        <v/>
      </c>
    </row>
    <row r="80" spans="2:64" x14ac:dyDescent="0.25">
      <c r="B80" s="12">
        <f>ROUNDUP((ROW(HC[[#This Row],[idDiâmetro]])-ROW(HC[[#Headers],[idDiâmetro]]))/(COUNT(SPT[Prof. (m)])*COUNT(PILARES[Pilar])),0)</f>
        <v>3</v>
      </c>
      <c r="C80" s="12">
        <f>IF(HC[[#This Row],[idDiâmetro]]&lt;&gt;B79,1,IF(HC[[#This Row],[Prof. (m)]]=0,C79+1,C79))</f>
        <v>2</v>
      </c>
      <c r="D80" s="1">
        <f>IFERROR(IF(D79=MAX(SPT[Prof. (m)]),0,D79+1),0)</f>
        <v>5</v>
      </c>
      <c r="E80" s="1">
        <f>INDEX(SPT[],MATCH(HC[[#This Row],[Prof. (m)]],SPT[Prof. (m)],0),2)</f>
        <v>17</v>
      </c>
      <c r="F80" s="1" t="str">
        <f>INDEX(SPT[],MATCH(HC[[#This Row],[Prof. (m)]],SPT[Prof. (m)],0),3)</f>
        <v>Areia siltosa</v>
      </c>
      <c r="G80" s="1">
        <f>INDEX(estacas[],HC[[#This Row],[idDiâmetro]],MATCH($B$2,estacas[#Headers],0))</f>
        <v>35</v>
      </c>
      <c r="H80" s="1">
        <f>INDEX(estacas[],MATCH(HC[[#This Row],[Ø (cm)]],estacas[Ø HC (cm)],0),MATCH(HC[[#Headers],[Pe HC (kN)]],estacas[#Headers],0))</f>
        <v>600</v>
      </c>
      <c r="I80" s="4">
        <f>INDEX(K_alpha_C[],MATCH(HC[[#This Row],[Solo]],K_alpha_C[Solo],0),2)</f>
        <v>0.8</v>
      </c>
      <c r="J80" s="5">
        <f>INDEX(K_alpha_C[],MATCH(HC[[#This Row],[Solo]],K_alpha_C[Solo],0),3)</f>
        <v>2</v>
      </c>
      <c r="K80" s="4">
        <f>INDEX(F1_F2[],MATCH($D$2,F1_F2[Tipo de estaca],0),2)</f>
        <v>2</v>
      </c>
      <c r="L80" s="4">
        <f>INDEX(F1_F2[],MATCH($D$2,F1_F2[Tipo de estaca],0),3)</f>
        <v>4</v>
      </c>
      <c r="M80" s="4">
        <f>PI()*(HC[[#This Row],[Ø (cm)]]/100)^2/4</f>
        <v>9.6211275016187398E-2</v>
      </c>
      <c r="N80" s="4">
        <f>PI()*HC[[#This Row],[Ø (cm)]]/100</f>
        <v>1.0995574287564276</v>
      </c>
      <c r="O80" s="4">
        <f>IF(HC[[#This Row],[Prof. (m)]]=0,0,HC[[#This Row],[α (%)]]/100*HC[[#This Row],[K (MPa)]]*1000*HC[[#This Row],[NSPT]])</f>
        <v>272</v>
      </c>
      <c r="P80" s="4">
        <f>IF(HC[[#This Row],[Prof. (m)]]=0,0,(HC[[#This Row],[K (MPa)]]*1000*HC[[#This Row],[NSPT]]/HC[[#This Row],[F1]]*HC[[#This Row],[Ap (m²)]]+HC[[#This Row],[U (m)]]/HC[[#This Row],[F2]]*SUMIFS(HC[(α∙K∙NL∙ΔL)],HC[Prof. (m)],"&lt;="&amp;HC[[#This Row],[Prof. (m)]],HC[idDiâmetro],HC[[#This Row],[idDiâmetro]],HC[idPilar],HC[[#This Row],[idPilar]]))/'DADOS CAP. CARGA'!$D$2)</f>
        <v>399.68912535296136</v>
      </c>
      <c r="Q80" s="12">
        <f>INDEX(C_alpha_beta[],MATCH(HC[[#This Row],[Solo]],C_alpha_beta[Solo],0),MATCH(HC[[#Headers],[C (kPa)]],C_alpha_beta[#Headers],0))</f>
        <v>400</v>
      </c>
      <c r="R80" s="4">
        <f>INDEX(C_alpha_beta[],MATCH(HC[[#This Row],[Solo]],C_alpha_beta[Solo],0),MATCH(HC[[#Headers],[α ESF]],C_alpha_beta[#Headers],0))</f>
        <v>0.5</v>
      </c>
      <c r="S80" s="4">
        <f>INDEX(C_alpha_beta[],MATCH(HC[[#This Row],[Solo]],C_alpha_beta[Solo],0),MATCH(HC[[#Headers],[β ESF]],C_alpha_beta[#Headers],0))</f>
        <v>0.5</v>
      </c>
      <c r="T80" s="4">
        <f>IF(HC[[#This Row],[Prof. (m)]]=0,0,10*(HC[[#This Row],[NSPT]]/3+1))</f>
        <v>66.666666666666671</v>
      </c>
      <c r="U80" s="4">
        <f>(HC[[#This Row],[α ESF]]*HC[[#This Row],[C (kPa)]]*HC[[#This Row],[NSPT]]*HC[[#This Row],[Ap (m²)]])/'DADOS CAP. CARGA'!$Q$2+(HC[[#This Row],[β ESF]]*SUMIFS(HC[10∙(NL/3+1)],HC[Prof. (m)],"&lt;="&amp;HC[[#This Row],[Prof. (m)]],HC[idDiâmetro],HC[[#This Row],[idDiâmetro]],HC[idPilar],HC[[#This Row],[idPilar]])*HC[[#This Row],[U (m)]])/'DADOS CAP. CARGA'!$S$2</f>
        <v>125.76188091401639</v>
      </c>
      <c r="V80" s="4">
        <f>IF(SPT!$M$5=1,MIN(HC[[#This Row],[Pe HC (kN)]],HC[[#This Row],[R_AV (kN)]]),IF(SPT!$M$5=2,MIN(HC[[#This Row],[Pe HC (kN)]],HC[[#This Row],[R_DC (kN)]]),MIN(HC[[#This Row],[Pe HC (kN)]],HC[[#This Row],[R_AV (kN)]],HC[[#This Row],[R_DC (kN)]])))</f>
        <v>125.76188091401639</v>
      </c>
      <c r="W80" s="4">
        <f>INDEX(PILARES[],HC[[#This Row],[idPilar]],MATCH("Carga (kN)",PILARES[#Headers],0))*1.4</f>
        <v>1750</v>
      </c>
      <c r="X80" s="12">
        <f>INDEX(PILARES[],HC[[#This Row],[idPilar]],MATCH(HC[[#Headers],[ap (cm)]],PILARES[#Headers],0))</f>
        <v>50</v>
      </c>
      <c r="Y80" s="12">
        <f>INDEX(PILARES[],HC[[#This Row],[idPilar]],MATCH(HC[[#Headers],[bp (cm)]],PILARES[#Headers],0))</f>
        <v>40</v>
      </c>
      <c r="Z80" s="4">
        <f>SQRT(HC[[#This Row],[ap (cm)]]*HC[[#This Row],[bp (cm)]])</f>
        <v>44.721359549995796</v>
      </c>
      <c r="AA80" s="12">
        <f>HC[[#This Row],[ap (cm)]]*HC[[#This Row],[bp (cm)]]</f>
        <v>2000</v>
      </c>
      <c r="AB80" s="12">
        <f ca="1">IF(HC[[#This Row],[Padm∙ε (kN)]]&gt;=HC[[#This Row],[Padm (kN)]],ROUNDUP(1.05*HC[[#This Row],[Nsd (kN)]]/HC[[#This Row],[Padm (kN)]],0),ROUNDUP(1.05*HC[[#This Row],[Nsd (kN)]]/HC[[#This Row],[Padm (kN)]],0)+1)</f>
        <v>15</v>
      </c>
      <c r="AC80" s="4" t="str">
        <f ca="1">IFERROR(IF(HC[[#This Row],[nE]]=1,HC[[#This Row],[Padm (kN)]],HC[[#This Row],[Padm (kN)]]*HC[[#This Row],[nE]]*INDEX(grupoEstacas[],HC[[#This Row],[nE]],MATCH("ε",grupoEstacas[#Headers],0))),"N.S.")</f>
        <v>N.S.</v>
      </c>
      <c r="AD80" s="4">
        <f ca="1">1.05*HC[[#This Row],[Nsd (kN)]]/(HC[[#This Row],[nE]]*PI()*HC[[#This Row],[Ø (cm)]]^2/4)*10</f>
        <v>1.273239544735163</v>
      </c>
      <c r="AE80" s="4">
        <f ca="1">IF(HC[[#This Row],[σ (MPa)]]&lt;INDEX(tipoEstaca[],MATCH($D$2,tipoEstaca[TIPO DE ESTACA],0),MATCH("σmáx (MPa)",tipoEstaca[#Headers],0)),0.4%*PI()*HC[[#This Row],[Ø (cm)]]^2/4,"N.S.")</f>
        <v>3.848451000647497</v>
      </c>
      <c r="AF80" s="1">
        <f>INDEX(tipoEstaca[],MATCH($D$2,tipoEstaca[TIPO DE ESTACA],0),MATCH(HC[[#Headers],[Comprimento (m)]],tipoEstaca[#Headers],0))</f>
        <v>4</v>
      </c>
      <c r="AG80" s="5">
        <f ca="1">HC[[#This Row],[As,mín (cm²)]]/100^2*HC[[#This Row],[Comprimento (m)]]*7850</f>
        <v>12.08413614203314</v>
      </c>
      <c r="AH80" s="4">
        <f ca="1">HC[[#This Row],[nE]]*HC[[#This Row],[Prof. (m)]]*HC[[#This Row],[Ap (m²)]]</f>
        <v>7.2158456262140547</v>
      </c>
      <c r="AI80" s="1">
        <f ca="1">IF(HC[[#This Row],[nE]]=1,0,MAX(3*HC[[#This Row],[Ø (cm)]],60))</f>
        <v>105</v>
      </c>
      <c r="AJ80" s="1">
        <f ca="1">IF(HC[[#This Row],[nE]]=1,HC[[#This Row],[Ø (cm)]]+2*10,MAX(1.5*HC[[#This Row],[Ø (cm)]],HC[[#This Row],[Ø (cm)]]+15))</f>
        <v>52.5</v>
      </c>
      <c r="AK80" s="1" t="str">
        <f ca="1">alturaUtil(HC[[#This Row],[nE]],HC[[#This Row],[Ø (cm)]],HC[[#This Row],[e (cm)]],HC[[#This Row],[ap,eq (cm)]])</f>
        <v>N.S.</v>
      </c>
      <c r="AL80" s="1" t="str">
        <f ca="1">IFERROR(HC[[#This Row],[d (cm)]]+arredondarParaCimaMultiplo5cm(MAX(5,SQRT(PI())/2*HC[[#This Row],[Ø (cm)]]/5)),"N.S.")</f>
        <v>N.S.</v>
      </c>
      <c r="AM80" s="5" t="str">
        <f ca="1">alpha(HC[[#This Row],[nE]],HC[[#This Row],[d (cm)]],HC[[#This Row],[e (cm)]],HC[[#This Row],[ap,eq (cm)]])</f>
        <v>N.S.</v>
      </c>
      <c r="AN80" s="35" t="str">
        <f ca="1">IFERROR(HC[[#This Row],[Nsd (kN)]]/(HC[[#This Row],[Ap (cm²)]]*SIN(HC[[#This Row],[α]])^2),"N.S.")</f>
        <v>N.S.</v>
      </c>
      <c r="AO80" s="35" t="str">
        <f ca="1">IFERROR(HC[[#This Row],[Nsd (kN)]]/(HC[[#This Row],[nE]]*PI()*HC[[#This Row],[Ø (cm)]]^2/4*SIN(HC[[#This Row],[α]])^2),"N.S.")</f>
        <v>N.S.</v>
      </c>
      <c r="AP80" s="4" t="str">
        <f ca="1">IFERROR(INDEX(grupoEstacas[],HC[[#This Row],[nE]],MATCH("coef. Blévot",grupoEstacas[#Headers],0)),"N.S.")</f>
        <v>N.S.</v>
      </c>
      <c r="AQ80" s="35" t="str">
        <f ca="1">IFERROR(HC[[#This Row],[coef. Blévot]]*0.9*INDEX(tipoEstaca[],MATCH($D$2,tipoEstaca[TIPO DE ESTACA],0),MATCH("fcd (kN/cm²)",tipoEstaca[#Headers],0)),"N.S.")</f>
        <v>N.S.</v>
      </c>
      <c r="AR80" s="1" t="str">
        <f ca="1">IF(AND(HC[[#This Row],[cd,b,pil (kN/cm²)]]&lt;=HC[[#This Row],[cd,b,lim (kN/cm²)]],HC[[#This Row],[cd,b,est (kN/cm²)]]&lt;=HC[[#This Row],[cd,b,lim (kN/cm²)]]),"OK","ERRO")</f>
        <v>OK</v>
      </c>
      <c r="AS80" s="4" t="str">
        <f ca="1">As_lado(HC[[#This Row],[nE]],HC[[#This Row],[Nsd (kN)]],HC[[#This Row],[d (cm)]],HC[[#This Row],[e (cm)]],HC[[#This Row],[ap,eq (cm)]])</f>
        <v>N.S.</v>
      </c>
      <c r="AT80" s="4" t="str">
        <f ca="1">IF(HC[[#This Row],[nE]]=1,HC[[#This Row],[As,lado (cm²)]],IF(HC[[#This Row],[nE]]=2,0.075*2*HC[a (cm)],"N.A."))</f>
        <v>N.A.</v>
      </c>
      <c r="AU80" s="4" t="str">
        <f ca="1">IFERROR(IF(HC[[#This Row],[nE]]=1,"N.A.",0.2*HC[[#This Row],[As,lado (cm²)]]),"N.S.")</f>
        <v>N.S.</v>
      </c>
      <c r="AV80" s="4" t="str">
        <f ca="1">As_malha(HC[[#This Row],[nE]],HC[[#This Row],[As,lado (cm²)]],HC[[#This Row],[Nsd (kN)]])</f>
        <v>N.S.</v>
      </c>
      <c r="AW80" s="4" t="str">
        <f ca="1">As_susp_tot(HC[[#This Row],[nE]],HC[[#This Row],[Nsd (kN)]])</f>
        <v>N.S.</v>
      </c>
      <c r="AX80" s="4" t="str">
        <f ca="1">Asp_face(HC[[#This Row],[nE]],HC[[#This Row],[As,lado (cm²)]])</f>
        <v>N.S.</v>
      </c>
      <c r="AY80" s="5" t="str">
        <f ca="1">acoBloco(HC[[#This Row],[nE]],HC[[#This Row],[e (cm)]],HC[[#This Row],[a (cm)]],HC[[#This Row],[h (cm)]],HC[[#This Row],[As,lado (cm²)]],HC[[#This Row],[Asp e Asw (cm²/m)]],HC[[#This Row],[As,sup (cm²)]],HC[[#This Row],[As,malha (cm²)]],HC[[#This Row],[As,susp,tot (cm²)]],HC[[#This Row],[Asp,face (cm²)]])</f>
        <v>N.S.</v>
      </c>
      <c r="AZ80" s="4" t="str">
        <f ca="1">concretoBloco(HC[[#This Row],[nE]],HC[[#This Row],[e (cm)]],HC[[#This Row],[a (cm)]],HC[[#This Row],[h (cm)]])</f>
        <v>N.S.</v>
      </c>
      <c r="BA80" s="5">
        <f ca="1">SUM(HC[[#This Row],[Aço Est (kg)]],HC[[#This Row],[Aço Bloco (kg)]])</f>
        <v>12.08413614203314</v>
      </c>
      <c r="BB80" s="4">
        <f>INDEX(composicoes[],MATCH(95580,composicoes[CÓDIGO],0),MATCH("CUSTO TOTAL",composicoes[#Headers],0))</f>
        <v>10.46</v>
      </c>
      <c r="BC80" s="4">
        <f ca="1">SUM(HC[[#This Row],[Conc Est (m³)]],HC[[#This Row],[Conc Bloco (m³)]])</f>
        <v>7.2158456262140547</v>
      </c>
      <c r="BD80" s="4">
        <f>INDEX(composicoes[],MATCH(94966,composicoes[CÓDIGO],0),MATCH("CUSTO TOTAL",composicoes[#Headers],0))</f>
        <v>439.52</v>
      </c>
      <c r="BE80" s="38">
        <f ca="1">HC[[#This Row],[Aço (kg)]]*HC[[#This Row],[Aço (R$/kg)]]+HC[[#This Row],[Conc (m³)]]*HC[[#This Row],[Conc (R$/m³)]]</f>
        <v>3297.9085336792677</v>
      </c>
      <c r="BF80" s="4" t="str">
        <f ca="1">IF(COUNTIF(HC[#This Row],"N.S.")&gt;0,"lim.","OK")</f>
        <v>lim.</v>
      </c>
      <c r="BG80" s="4" t="str">
        <f>IF(HC[[#This Row],[Prof. (m)]]&lt;4,"lim.","OK")</f>
        <v>OK</v>
      </c>
      <c r="BH80" s="4" t="str">
        <f>IF(HC[[#This Row],[Prof. (m)]]&gt;=8*HC[[#This Row],[Ø (cm)]]/100,"OK","lim.")</f>
        <v>OK</v>
      </c>
      <c r="BI80" s="4" t="str">
        <f ca="1">IF(HC[[#This Row],[Verif. Biela]]="OK","OK","lim.")</f>
        <v>OK</v>
      </c>
      <c r="BJ80" s="4" t="str">
        <f ca="1">IF(COUNTA(HC[[#This Row],[Nº Est.]:[Biela comp.]])=COUNTIF(HC[[#This Row],[Nº Est.]:[Biela comp.]],"OK"),"OK","lim.")</f>
        <v>lim.</v>
      </c>
      <c r="BK80" s="4" t="str">
        <f ca="1">IF(HC[[#This Row],[Controle]]="OK",HC[[#This Row],[nE]]&amp;" Ø"&amp;HC[[#This Row],[Ø (cm)]]&amp;"cm Prof. "&amp;HC[[#This Row],[Prof. (m)]]&amp;" m","")</f>
        <v/>
      </c>
      <c r="BL80" s="4" t="str">
        <f ca="1">IF(HC[[#This Row],[idDimensionamento]]="","",HC[[#This Row],[idPilar]]&amp;HC[[#This Row],[idDimensionamento]])</f>
        <v/>
      </c>
    </row>
    <row r="81" spans="2:64" x14ac:dyDescent="0.25">
      <c r="B81" s="12">
        <f>ROUNDUP((ROW(HC[[#This Row],[idDiâmetro]])-ROW(HC[[#Headers],[idDiâmetro]]))/(COUNT(SPT[Prof. (m)])*COUNT(PILARES[Pilar])),0)</f>
        <v>3</v>
      </c>
      <c r="C81" s="12">
        <f>IF(HC[[#This Row],[idDiâmetro]]&lt;&gt;B80,1,IF(HC[[#This Row],[Prof. (m)]]=0,C80+1,C80))</f>
        <v>2</v>
      </c>
      <c r="D81" s="1">
        <f>IFERROR(IF(D80=MAX(SPT[Prof. (m)]),0,D80+1),0)</f>
        <v>6</v>
      </c>
      <c r="E81" s="1">
        <f>INDEX(SPT[],MATCH(HC[[#This Row],[Prof. (m)]],SPT[Prof. (m)],0),2)</f>
        <v>21</v>
      </c>
      <c r="F81" s="1" t="str">
        <f>INDEX(SPT[],MATCH(HC[[#This Row],[Prof. (m)]],SPT[Prof. (m)],0),3)</f>
        <v>Silte arenoso</v>
      </c>
      <c r="G81" s="1">
        <f>INDEX(estacas[],HC[[#This Row],[idDiâmetro]],MATCH($B$2,estacas[#Headers],0))</f>
        <v>35</v>
      </c>
      <c r="H81" s="1">
        <f>INDEX(estacas[],MATCH(HC[[#This Row],[Ø (cm)]],estacas[Ø HC (cm)],0),MATCH(HC[[#Headers],[Pe HC (kN)]],estacas[#Headers],0))</f>
        <v>600</v>
      </c>
      <c r="I81" s="4">
        <f>INDEX(K_alpha_C[],MATCH(HC[[#This Row],[Solo]],K_alpha_C[Solo],0),2)</f>
        <v>0.55000000000000004</v>
      </c>
      <c r="J81" s="5">
        <f>INDEX(K_alpha_C[],MATCH(HC[[#This Row],[Solo]],K_alpha_C[Solo],0),3)</f>
        <v>2.2000000000000002</v>
      </c>
      <c r="K81" s="4">
        <f>INDEX(F1_F2[],MATCH($D$2,F1_F2[Tipo de estaca],0),2)</f>
        <v>2</v>
      </c>
      <c r="L81" s="4">
        <f>INDEX(F1_F2[],MATCH($D$2,F1_F2[Tipo de estaca],0),3)</f>
        <v>4</v>
      </c>
      <c r="M81" s="4">
        <f>PI()*(HC[[#This Row],[Ø (cm)]]/100)^2/4</f>
        <v>9.6211275016187398E-2</v>
      </c>
      <c r="N81" s="4">
        <f>PI()*HC[[#This Row],[Ø (cm)]]/100</f>
        <v>1.0995574287564276</v>
      </c>
      <c r="O81" s="4">
        <f>IF(HC[[#This Row],[Prof. (m)]]=0,0,HC[[#This Row],[α (%)]]/100*HC[[#This Row],[K (MPa)]]*1000*HC[[#This Row],[NSPT]])</f>
        <v>254.10000000000002</v>
      </c>
      <c r="P81" s="4">
        <f>IF(HC[[#This Row],[Prof. (m)]]=0,0,(HC[[#This Row],[K (MPa)]]*1000*HC[[#This Row],[NSPT]]/HC[[#This Row],[F1]]*HC[[#This Row],[Ap (m²)]]+HC[[#This Row],[U (m)]]/HC[[#This Row],[F2]]*SUMIFS(HC[(α∙K∙NL∙ΔL)],HC[Prof. (m)],"&lt;="&amp;HC[[#This Row],[Prof. (m)]],HC[idDiâmetro],HC[[#This Row],[idDiâmetro]],HC[idPilar],HC[[#This Row],[idPilar]]))/'DADOS CAP. CARGA'!$D$2)</f>
        <v>385.30553973804138</v>
      </c>
      <c r="Q81" s="12">
        <f>INDEX(C_alpha_beta[],MATCH(HC[[#This Row],[Solo]],C_alpha_beta[Solo],0),MATCH(HC[[#Headers],[C (kPa)]],C_alpha_beta[#Headers],0))</f>
        <v>250</v>
      </c>
      <c r="R81" s="4">
        <f>INDEX(C_alpha_beta[],MATCH(HC[[#This Row],[Solo]],C_alpha_beta[Solo],0),MATCH(HC[[#Headers],[α ESF]],C_alpha_beta[#Headers],0))</f>
        <v>0.6</v>
      </c>
      <c r="S81" s="4">
        <f>INDEX(C_alpha_beta[],MATCH(HC[[#This Row],[Solo]],C_alpha_beta[Solo],0),MATCH(HC[[#Headers],[β ESF]],C_alpha_beta[#Headers],0))</f>
        <v>0.65</v>
      </c>
      <c r="T81" s="4">
        <f>IF(HC[[#This Row],[Prof. (m)]]=0,0,10*(HC[[#This Row],[NSPT]]/3+1))</f>
        <v>80</v>
      </c>
      <c r="U81" s="4">
        <f>(HC[[#This Row],[α ESF]]*HC[[#This Row],[C (kPa)]]*HC[[#This Row],[NSPT]]*HC[[#This Row],[Ap (m²)]])/'DADOS CAP. CARGA'!$Q$2+(HC[[#This Row],[β ESF]]*SUMIFS(HC[10∙(NL/3+1)],HC[Prof. (m)],"&lt;="&amp;HC[[#This Row],[Prof. (m)]],HC[idDiâmetro],HC[[#This Row],[idDiâmetro]],HC[idPilar],HC[[#This Row],[idPilar]])*HC[[#This Row],[U (m)]])/'DADOS CAP. CARGA'!$S$2</f>
        <v>161.53185851824892</v>
      </c>
      <c r="V81" s="4">
        <f>IF(SPT!$M$5=1,MIN(HC[[#This Row],[Pe HC (kN)]],HC[[#This Row],[R_AV (kN)]]),IF(SPT!$M$5=2,MIN(HC[[#This Row],[Pe HC (kN)]],HC[[#This Row],[R_DC (kN)]]),MIN(HC[[#This Row],[Pe HC (kN)]],HC[[#This Row],[R_AV (kN)]],HC[[#This Row],[R_DC (kN)]])))</f>
        <v>161.53185851824892</v>
      </c>
      <c r="W81" s="4">
        <f>INDEX(PILARES[],HC[[#This Row],[idPilar]],MATCH("Carga (kN)",PILARES[#Headers],0))*1.4</f>
        <v>1750</v>
      </c>
      <c r="X81" s="12">
        <f>INDEX(PILARES[],HC[[#This Row],[idPilar]],MATCH(HC[[#Headers],[ap (cm)]],PILARES[#Headers],0))</f>
        <v>50</v>
      </c>
      <c r="Y81" s="12">
        <f>INDEX(PILARES[],HC[[#This Row],[idPilar]],MATCH(HC[[#Headers],[bp (cm)]],PILARES[#Headers],0))</f>
        <v>40</v>
      </c>
      <c r="Z81" s="4">
        <f>SQRT(HC[[#This Row],[ap (cm)]]*HC[[#This Row],[bp (cm)]])</f>
        <v>44.721359549995796</v>
      </c>
      <c r="AA81" s="12">
        <f>HC[[#This Row],[ap (cm)]]*HC[[#This Row],[bp (cm)]]</f>
        <v>2000</v>
      </c>
      <c r="AB81" s="12">
        <f ca="1">IF(HC[[#This Row],[Padm∙ε (kN)]]&gt;=HC[[#This Row],[Padm (kN)]],ROUNDUP(1.05*HC[[#This Row],[Nsd (kN)]]/HC[[#This Row],[Padm (kN)]],0),ROUNDUP(1.05*HC[[#This Row],[Nsd (kN)]]/HC[[#This Row],[Padm (kN)]],0)+1)</f>
        <v>12</v>
      </c>
      <c r="AC81" s="4" t="str">
        <f ca="1">IFERROR(IF(HC[[#This Row],[nE]]=1,HC[[#This Row],[Padm (kN)]],HC[[#This Row],[Padm (kN)]]*HC[[#This Row],[nE]]*INDEX(grupoEstacas[],HC[[#This Row],[nE]],MATCH("ε",grupoEstacas[#Headers],0))),"N.S.")</f>
        <v>N.S.</v>
      </c>
      <c r="AD81" s="4">
        <f ca="1">1.05*HC[[#This Row],[Nsd (kN)]]/(HC[[#This Row],[nE]]*PI()*HC[[#This Row],[Ø (cm)]]^2/4)*10</f>
        <v>1.5915494309189535</v>
      </c>
      <c r="AE81" s="4">
        <f ca="1">IF(HC[[#This Row],[σ (MPa)]]&lt;INDEX(tipoEstaca[],MATCH($D$2,tipoEstaca[TIPO DE ESTACA],0),MATCH("σmáx (MPa)",tipoEstaca[#Headers],0)),0.4%*PI()*HC[[#This Row],[Ø (cm)]]^2/4,"N.S.")</f>
        <v>3.848451000647497</v>
      </c>
      <c r="AF81" s="1">
        <f>INDEX(tipoEstaca[],MATCH($D$2,tipoEstaca[TIPO DE ESTACA],0),MATCH(HC[[#Headers],[Comprimento (m)]],tipoEstaca[#Headers],0))</f>
        <v>4</v>
      </c>
      <c r="AG81" s="5">
        <f ca="1">HC[[#This Row],[As,mín (cm²)]]/100^2*HC[[#This Row],[Comprimento (m)]]*7850</f>
        <v>12.08413614203314</v>
      </c>
      <c r="AH81" s="4">
        <f ca="1">HC[[#This Row],[nE]]*HC[[#This Row],[Prof. (m)]]*HC[[#This Row],[Ap (m²)]]</f>
        <v>6.9272118011654928</v>
      </c>
      <c r="AI81" s="1">
        <f ca="1">IF(HC[[#This Row],[nE]]=1,0,MAX(3*HC[[#This Row],[Ø (cm)]],60))</f>
        <v>105</v>
      </c>
      <c r="AJ81" s="1">
        <f ca="1">IF(HC[[#This Row],[nE]]=1,HC[[#This Row],[Ø (cm)]]+2*10,MAX(1.5*HC[[#This Row],[Ø (cm)]],HC[[#This Row],[Ø (cm)]]+15))</f>
        <v>52.5</v>
      </c>
      <c r="AK81" s="1" t="str">
        <f ca="1">alturaUtil(HC[[#This Row],[nE]],HC[[#This Row],[Ø (cm)]],HC[[#This Row],[e (cm)]],HC[[#This Row],[ap,eq (cm)]])</f>
        <v>N.S.</v>
      </c>
      <c r="AL81" s="1" t="str">
        <f ca="1">IFERROR(HC[[#This Row],[d (cm)]]+arredondarParaCimaMultiplo5cm(MAX(5,SQRT(PI())/2*HC[[#This Row],[Ø (cm)]]/5)),"N.S.")</f>
        <v>N.S.</v>
      </c>
      <c r="AM81" s="5" t="str">
        <f ca="1">alpha(HC[[#This Row],[nE]],HC[[#This Row],[d (cm)]],HC[[#This Row],[e (cm)]],HC[[#This Row],[ap,eq (cm)]])</f>
        <v>N.S.</v>
      </c>
      <c r="AN81" s="35" t="str">
        <f ca="1">IFERROR(HC[[#This Row],[Nsd (kN)]]/(HC[[#This Row],[Ap (cm²)]]*SIN(HC[[#This Row],[α]])^2),"N.S.")</f>
        <v>N.S.</v>
      </c>
      <c r="AO81" s="35" t="str">
        <f ca="1">IFERROR(HC[[#This Row],[Nsd (kN)]]/(HC[[#This Row],[nE]]*PI()*HC[[#This Row],[Ø (cm)]]^2/4*SIN(HC[[#This Row],[α]])^2),"N.S.")</f>
        <v>N.S.</v>
      </c>
      <c r="AP81" s="4" t="str">
        <f ca="1">IFERROR(INDEX(grupoEstacas[],HC[[#This Row],[nE]],MATCH("coef. Blévot",grupoEstacas[#Headers],0)),"N.S.")</f>
        <v>N.S.</v>
      </c>
      <c r="AQ81" s="35" t="str">
        <f ca="1">IFERROR(HC[[#This Row],[coef. Blévot]]*0.9*INDEX(tipoEstaca[],MATCH($D$2,tipoEstaca[TIPO DE ESTACA],0),MATCH("fcd (kN/cm²)",tipoEstaca[#Headers],0)),"N.S.")</f>
        <v>N.S.</v>
      </c>
      <c r="AR81" s="1" t="str">
        <f ca="1">IF(AND(HC[[#This Row],[cd,b,pil (kN/cm²)]]&lt;=HC[[#This Row],[cd,b,lim (kN/cm²)]],HC[[#This Row],[cd,b,est (kN/cm²)]]&lt;=HC[[#This Row],[cd,b,lim (kN/cm²)]]),"OK","ERRO")</f>
        <v>OK</v>
      </c>
      <c r="AS81" s="4" t="str">
        <f ca="1">As_lado(HC[[#This Row],[nE]],HC[[#This Row],[Nsd (kN)]],HC[[#This Row],[d (cm)]],HC[[#This Row],[e (cm)]],HC[[#This Row],[ap,eq (cm)]])</f>
        <v>N.S.</v>
      </c>
      <c r="AT81" s="4" t="str">
        <f ca="1">IF(HC[[#This Row],[nE]]=1,HC[[#This Row],[As,lado (cm²)]],IF(HC[[#This Row],[nE]]=2,0.075*2*HC[a (cm)],"N.A."))</f>
        <v>N.A.</v>
      </c>
      <c r="AU81" s="4" t="str">
        <f ca="1">IFERROR(IF(HC[[#This Row],[nE]]=1,"N.A.",0.2*HC[[#This Row],[As,lado (cm²)]]),"N.S.")</f>
        <v>N.S.</v>
      </c>
      <c r="AV81" s="4" t="str">
        <f ca="1">As_malha(HC[[#This Row],[nE]],HC[[#This Row],[As,lado (cm²)]],HC[[#This Row],[Nsd (kN)]])</f>
        <v>N.S.</v>
      </c>
      <c r="AW81" s="4" t="str">
        <f ca="1">As_susp_tot(HC[[#This Row],[nE]],HC[[#This Row],[Nsd (kN)]])</f>
        <v>N.S.</v>
      </c>
      <c r="AX81" s="4" t="str">
        <f ca="1">Asp_face(HC[[#This Row],[nE]],HC[[#This Row],[As,lado (cm²)]])</f>
        <v>N.S.</v>
      </c>
      <c r="AY81" s="5" t="str">
        <f ca="1">acoBloco(HC[[#This Row],[nE]],HC[[#This Row],[e (cm)]],HC[[#This Row],[a (cm)]],HC[[#This Row],[h (cm)]],HC[[#This Row],[As,lado (cm²)]],HC[[#This Row],[Asp e Asw (cm²/m)]],HC[[#This Row],[As,sup (cm²)]],HC[[#This Row],[As,malha (cm²)]],HC[[#This Row],[As,susp,tot (cm²)]],HC[[#This Row],[Asp,face (cm²)]])</f>
        <v>N.S.</v>
      </c>
      <c r="AZ81" s="4" t="str">
        <f ca="1">concretoBloco(HC[[#This Row],[nE]],HC[[#This Row],[e (cm)]],HC[[#This Row],[a (cm)]],HC[[#This Row],[h (cm)]])</f>
        <v>N.S.</v>
      </c>
      <c r="BA81" s="5">
        <f ca="1">SUM(HC[[#This Row],[Aço Est (kg)]],HC[[#This Row],[Aço Bloco (kg)]])</f>
        <v>12.08413614203314</v>
      </c>
      <c r="BB81" s="4">
        <f>INDEX(composicoes[],MATCH(95580,composicoes[CÓDIGO],0),MATCH("CUSTO TOTAL",composicoes[#Headers],0))</f>
        <v>10.46</v>
      </c>
      <c r="BC81" s="4">
        <f ca="1">SUM(HC[[#This Row],[Conc Est (m³)]],HC[[#This Row],[Conc Bloco (m³)]])</f>
        <v>6.9272118011654928</v>
      </c>
      <c r="BD81" s="4">
        <f>INDEX(composicoes[],MATCH(94966,composicoes[CÓDIGO],0),MATCH("CUSTO TOTAL",composicoes[#Headers],0))</f>
        <v>439.52</v>
      </c>
      <c r="BE81" s="38">
        <f ca="1">HC[[#This Row],[Aço (kg)]]*HC[[#This Row],[Aço (R$/kg)]]+HC[[#This Row],[Conc (m³)]]*HC[[#This Row],[Conc (R$/m³)]]</f>
        <v>3171.0481948939237</v>
      </c>
      <c r="BF81" s="4" t="str">
        <f ca="1">IF(COUNTIF(HC[#This Row],"N.S.")&gt;0,"lim.","OK")</f>
        <v>lim.</v>
      </c>
      <c r="BG81" s="4" t="str">
        <f>IF(HC[[#This Row],[Prof. (m)]]&lt;4,"lim.","OK")</f>
        <v>OK</v>
      </c>
      <c r="BH81" s="4" t="str">
        <f>IF(HC[[#This Row],[Prof. (m)]]&gt;=8*HC[[#This Row],[Ø (cm)]]/100,"OK","lim.")</f>
        <v>OK</v>
      </c>
      <c r="BI81" s="4" t="str">
        <f ca="1">IF(HC[[#This Row],[Verif. Biela]]="OK","OK","lim.")</f>
        <v>OK</v>
      </c>
      <c r="BJ81" s="4" t="str">
        <f ca="1">IF(COUNTA(HC[[#This Row],[Nº Est.]:[Biela comp.]])=COUNTIF(HC[[#This Row],[Nº Est.]:[Biela comp.]],"OK"),"OK","lim.")</f>
        <v>lim.</v>
      </c>
      <c r="BK81" s="4" t="str">
        <f ca="1">IF(HC[[#This Row],[Controle]]="OK",HC[[#This Row],[nE]]&amp;" Ø"&amp;HC[[#This Row],[Ø (cm)]]&amp;"cm Prof. "&amp;HC[[#This Row],[Prof. (m)]]&amp;" m","")</f>
        <v/>
      </c>
      <c r="BL81" s="4" t="str">
        <f ca="1">IF(HC[[#This Row],[idDimensionamento]]="","",HC[[#This Row],[idPilar]]&amp;HC[[#This Row],[idDimensionamento]])</f>
        <v/>
      </c>
    </row>
    <row r="82" spans="2:64" x14ac:dyDescent="0.25">
      <c r="B82" s="12">
        <f>ROUNDUP((ROW(HC[[#This Row],[idDiâmetro]])-ROW(HC[[#Headers],[idDiâmetro]]))/(COUNT(SPT[Prof. (m)])*COUNT(PILARES[Pilar])),0)</f>
        <v>3</v>
      </c>
      <c r="C82" s="12">
        <f>IF(HC[[#This Row],[idDiâmetro]]&lt;&gt;B81,1,IF(HC[[#This Row],[Prof. (m)]]=0,C81+1,C81))</f>
        <v>2</v>
      </c>
      <c r="D82" s="1">
        <f>IFERROR(IF(D81=MAX(SPT[Prof. (m)]),0,D81+1),0)</f>
        <v>7</v>
      </c>
      <c r="E82" s="1">
        <f>INDEX(SPT[],MATCH(HC[[#This Row],[Prof. (m)]],SPT[Prof. (m)],0),2)</f>
        <v>8</v>
      </c>
      <c r="F82" s="1" t="str">
        <f>INDEX(SPT[],MATCH(HC[[#This Row],[Prof. (m)]],SPT[Prof. (m)],0),3)</f>
        <v>Silte arenoso</v>
      </c>
      <c r="G82" s="1">
        <f>INDEX(estacas[],HC[[#This Row],[idDiâmetro]],MATCH($B$2,estacas[#Headers],0))</f>
        <v>35</v>
      </c>
      <c r="H82" s="1">
        <f>INDEX(estacas[],MATCH(HC[[#This Row],[Ø (cm)]],estacas[Ø HC (cm)],0),MATCH(HC[[#Headers],[Pe HC (kN)]],estacas[#Headers],0))</f>
        <v>600</v>
      </c>
      <c r="I82" s="4">
        <f>INDEX(K_alpha_C[],MATCH(HC[[#This Row],[Solo]],K_alpha_C[Solo],0),2)</f>
        <v>0.55000000000000004</v>
      </c>
      <c r="J82" s="5">
        <f>INDEX(K_alpha_C[],MATCH(HC[[#This Row],[Solo]],K_alpha_C[Solo],0),3)</f>
        <v>2.2000000000000002</v>
      </c>
      <c r="K82" s="4">
        <f>INDEX(F1_F2[],MATCH($D$2,F1_F2[Tipo de estaca],0),2)</f>
        <v>2</v>
      </c>
      <c r="L82" s="4">
        <f>INDEX(F1_F2[],MATCH($D$2,F1_F2[Tipo de estaca],0),3)</f>
        <v>4</v>
      </c>
      <c r="M82" s="4">
        <f>PI()*(HC[[#This Row],[Ø (cm)]]/100)^2/4</f>
        <v>9.6211275016187398E-2</v>
      </c>
      <c r="N82" s="4">
        <f>PI()*HC[[#This Row],[Ø (cm)]]/100</f>
        <v>1.0995574287564276</v>
      </c>
      <c r="O82" s="4">
        <f>IF(HC[[#This Row],[Prof. (m)]]=0,0,HC[[#This Row],[α (%)]]/100*HC[[#This Row],[K (MPa)]]*1000*HC[[#This Row],[NSPT]])</f>
        <v>96.800000000000011</v>
      </c>
      <c r="P82" s="4">
        <f>IF(HC[[#This Row],[Prof. (m)]]=0,0,(HC[[#This Row],[K (MPa)]]*1000*HC[[#This Row],[NSPT]]/HC[[#This Row],[F1]]*HC[[#This Row],[Ap (m²)]]+HC[[#This Row],[U (m)]]/HC[[#This Row],[F2]]*SUMIFS(HC[(α∙K∙NL∙ΔL)],HC[Prof. (m)],"&lt;="&amp;HC[[#This Row],[Prof. (m)]],HC[idDiâmetro],HC[[#This Row],[idDiâmetro]],HC[idPilar],HC[[#This Row],[idPilar]]))/'DADOS CAP. CARGA'!$D$2)</f>
        <v>226.63253053455918</v>
      </c>
      <c r="Q82" s="12">
        <f>INDEX(C_alpha_beta[],MATCH(HC[[#This Row],[Solo]],C_alpha_beta[Solo],0),MATCH(HC[[#Headers],[C (kPa)]],C_alpha_beta[#Headers],0))</f>
        <v>250</v>
      </c>
      <c r="R82" s="4">
        <f>INDEX(C_alpha_beta[],MATCH(HC[[#This Row],[Solo]],C_alpha_beta[Solo],0),MATCH(HC[[#Headers],[α ESF]],C_alpha_beta[#Headers],0))</f>
        <v>0.6</v>
      </c>
      <c r="S82" s="4">
        <f>INDEX(C_alpha_beta[],MATCH(HC[[#This Row],[Solo]],C_alpha_beta[Solo],0),MATCH(HC[[#Headers],[β ESF]],C_alpha_beta[#Headers],0))</f>
        <v>0.65</v>
      </c>
      <c r="T82" s="4">
        <f>IF(HC[[#This Row],[Prof. (m)]]=0,0,10*(HC[[#This Row],[NSPT]]/3+1))</f>
        <v>36.666666666666664</v>
      </c>
      <c r="U82" s="4">
        <f>(HC[[#This Row],[α ESF]]*HC[[#This Row],[C (kPa)]]*HC[[#This Row],[NSPT]]*HC[[#This Row],[Ap (m²)]])/'DADOS CAP. CARGA'!$Q$2+(HC[[#This Row],[β ESF]]*SUMIFS(HC[10∙(NL/3+1)],HC[Prof. (m)],"&lt;="&amp;HC[[#This Row],[Prof. (m)]],HC[idDiâmetro],HC[[#This Row],[idDiâmetro]],HC[idPilar],HC[[#This Row],[idPilar]])*HC[[#This Row],[U (m)]])/'DADOS CAP. CARGA'!$S$2</f>
        <v>127.731921307205</v>
      </c>
      <c r="V82" s="4">
        <f>IF(SPT!$M$5=1,MIN(HC[[#This Row],[Pe HC (kN)]],HC[[#This Row],[R_AV (kN)]]),IF(SPT!$M$5=2,MIN(HC[[#This Row],[Pe HC (kN)]],HC[[#This Row],[R_DC (kN)]]),MIN(HC[[#This Row],[Pe HC (kN)]],HC[[#This Row],[R_AV (kN)]],HC[[#This Row],[R_DC (kN)]])))</f>
        <v>127.731921307205</v>
      </c>
      <c r="W82" s="4">
        <f>INDEX(PILARES[],HC[[#This Row],[idPilar]],MATCH("Carga (kN)",PILARES[#Headers],0))*1.4</f>
        <v>1750</v>
      </c>
      <c r="X82" s="12">
        <f>INDEX(PILARES[],HC[[#This Row],[idPilar]],MATCH(HC[[#Headers],[ap (cm)]],PILARES[#Headers],0))</f>
        <v>50</v>
      </c>
      <c r="Y82" s="12">
        <f>INDEX(PILARES[],HC[[#This Row],[idPilar]],MATCH(HC[[#Headers],[bp (cm)]],PILARES[#Headers],0))</f>
        <v>40</v>
      </c>
      <c r="Z82" s="4">
        <f>SQRT(HC[[#This Row],[ap (cm)]]*HC[[#This Row],[bp (cm)]])</f>
        <v>44.721359549995796</v>
      </c>
      <c r="AA82" s="12">
        <f>HC[[#This Row],[ap (cm)]]*HC[[#This Row],[bp (cm)]]</f>
        <v>2000</v>
      </c>
      <c r="AB82" s="12">
        <f ca="1">IF(HC[[#This Row],[Padm∙ε (kN)]]&gt;=HC[[#This Row],[Padm (kN)]],ROUNDUP(1.05*HC[[#This Row],[Nsd (kN)]]/HC[[#This Row],[Padm (kN)]],0),ROUNDUP(1.05*HC[[#This Row],[Nsd (kN)]]/HC[[#This Row],[Padm (kN)]],0)+1)</f>
        <v>15</v>
      </c>
      <c r="AC82" s="4" t="str">
        <f ca="1">IFERROR(IF(HC[[#This Row],[nE]]=1,HC[[#This Row],[Padm (kN)]],HC[[#This Row],[Padm (kN)]]*HC[[#This Row],[nE]]*INDEX(grupoEstacas[],HC[[#This Row],[nE]],MATCH("ε",grupoEstacas[#Headers],0))),"N.S.")</f>
        <v>N.S.</v>
      </c>
      <c r="AD82" s="4">
        <f ca="1">1.05*HC[[#This Row],[Nsd (kN)]]/(HC[[#This Row],[nE]]*PI()*HC[[#This Row],[Ø (cm)]]^2/4)*10</f>
        <v>1.273239544735163</v>
      </c>
      <c r="AE82" s="4">
        <f ca="1">IF(HC[[#This Row],[σ (MPa)]]&lt;INDEX(tipoEstaca[],MATCH($D$2,tipoEstaca[TIPO DE ESTACA],0),MATCH("σmáx (MPa)",tipoEstaca[#Headers],0)),0.4%*PI()*HC[[#This Row],[Ø (cm)]]^2/4,"N.S.")</f>
        <v>3.848451000647497</v>
      </c>
      <c r="AF82" s="1">
        <f>INDEX(tipoEstaca[],MATCH($D$2,tipoEstaca[TIPO DE ESTACA],0),MATCH(HC[[#Headers],[Comprimento (m)]],tipoEstaca[#Headers],0))</f>
        <v>4</v>
      </c>
      <c r="AG82" s="5">
        <f ca="1">HC[[#This Row],[As,mín (cm²)]]/100^2*HC[[#This Row],[Comprimento (m)]]*7850</f>
        <v>12.08413614203314</v>
      </c>
      <c r="AH82" s="4">
        <f ca="1">HC[[#This Row],[nE]]*HC[[#This Row],[Prof. (m)]]*HC[[#This Row],[Ap (m²)]]</f>
        <v>10.102183876699677</v>
      </c>
      <c r="AI82" s="1">
        <f ca="1">IF(HC[[#This Row],[nE]]=1,0,MAX(3*HC[[#This Row],[Ø (cm)]],60))</f>
        <v>105</v>
      </c>
      <c r="AJ82" s="1">
        <f ca="1">IF(HC[[#This Row],[nE]]=1,HC[[#This Row],[Ø (cm)]]+2*10,MAX(1.5*HC[[#This Row],[Ø (cm)]],HC[[#This Row],[Ø (cm)]]+15))</f>
        <v>52.5</v>
      </c>
      <c r="AK82" s="1" t="str">
        <f ca="1">alturaUtil(HC[[#This Row],[nE]],HC[[#This Row],[Ø (cm)]],HC[[#This Row],[e (cm)]],HC[[#This Row],[ap,eq (cm)]])</f>
        <v>N.S.</v>
      </c>
      <c r="AL82" s="1" t="str">
        <f ca="1">IFERROR(HC[[#This Row],[d (cm)]]+arredondarParaCimaMultiplo5cm(MAX(5,SQRT(PI())/2*HC[[#This Row],[Ø (cm)]]/5)),"N.S.")</f>
        <v>N.S.</v>
      </c>
      <c r="AM82" s="5" t="str">
        <f ca="1">alpha(HC[[#This Row],[nE]],HC[[#This Row],[d (cm)]],HC[[#This Row],[e (cm)]],HC[[#This Row],[ap,eq (cm)]])</f>
        <v>N.S.</v>
      </c>
      <c r="AN82" s="35" t="str">
        <f ca="1">IFERROR(HC[[#This Row],[Nsd (kN)]]/(HC[[#This Row],[Ap (cm²)]]*SIN(HC[[#This Row],[α]])^2),"N.S.")</f>
        <v>N.S.</v>
      </c>
      <c r="AO82" s="35" t="str">
        <f ca="1">IFERROR(HC[[#This Row],[Nsd (kN)]]/(HC[[#This Row],[nE]]*PI()*HC[[#This Row],[Ø (cm)]]^2/4*SIN(HC[[#This Row],[α]])^2),"N.S.")</f>
        <v>N.S.</v>
      </c>
      <c r="AP82" s="4" t="str">
        <f ca="1">IFERROR(INDEX(grupoEstacas[],HC[[#This Row],[nE]],MATCH("coef. Blévot",grupoEstacas[#Headers],0)),"N.S.")</f>
        <v>N.S.</v>
      </c>
      <c r="AQ82" s="35" t="str">
        <f ca="1">IFERROR(HC[[#This Row],[coef. Blévot]]*0.9*INDEX(tipoEstaca[],MATCH($D$2,tipoEstaca[TIPO DE ESTACA],0),MATCH("fcd (kN/cm²)",tipoEstaca[#Headers],0)),"N.S.")</f>
        <v>N.S.</v>
      </c>
      <c r="AR82" s="1" t="str">
        <f ca="1">IF(AND(HC[[#This Row],[cd,b,pil (kN/cm²)]]&lt;=HC[[#This Row],[cd,b,lim (kN/cm²)]],HC[[#This Row],[cd,b,est (kN/cm²)]]&lt;=HC[[#This Row],[cd,b,lim (kN/cm²)]]),"OK","ERRO")</f>
        <v>OK</v>
      </c>
      <c r="AS82" s="4" t="str">
        <f ca="1">As_lado(HC[[#This Row],[nE]],HC[[#This Row],[Nsd (kN)]],HC[[#This Row],[d (cm)]],HC[[#This Row],[e (cm)]],HC[[#This Row],[ap,eq (cm)]])</f>
        <v>N.S.</v>
      </c>
      <c r="AT82" s="4" t="str">
        <f ca="1">IF(HC[[#This Row],[nE]]=1,HC[[#This Row],[As,lado (cm²)]],IF(HC[[#This Row],[nE]]=2,0.075*2*HC[a (cm)],"N.A."))</f>
        <v>N.A.</v>
      </c>
      <c r="AU82" s="4" t="str">
        <f ca="1">IFERROR(IF(HC[[#This Row],[nE]]=1,"N.A.",0.2*HC[[#This Row],[As,lado (cm²)]]),"N.S.")</f>
        <v>N.S.</v>
      </c>
      <c r="AV82" s="4" t="str">
        <f ca="1">As_malha(HC[[#This Row],[nE]],HC[[#This Row],[As,lado (cm²)]],HC[[#This Row],[Nsd (kN)]])</f>
        <v>N.S.</v>
      </c>
      <c r="AW82" s="4" t="str">
        <f ca="1">As_susp_tot(HC[[#This Row],[nE]],HC[[#This Row],[Nsd (kN)]])</f>
        <v>N.S.</v>
      </c>
      <c r="AX82" s="4" t="str">
        <f ca="1">Asp_face(HC[[#This Row],[nE]],HC[[#This Row],[As,lado (cm²)]])</f>
        <v>N.S.</v>
      </c>
      <c r="AY82" s="5" t="str">
        <f ca="1">acoBloco(HC[[#This Row],[nE]],HC[[#This Row],[e (cm)]],HC[[#This Row],[a (cm)]],HC[[#This Row],[h (cm)]],HC[[#This Row],[As,lado (cm²)]],HC[[#This Row],[Asp e Asw (cm²/m)]],HC[[#This Row],[As,sup (cm²)]],HC[[#This Row],[As,malha (cm²)]],HC[[#This Row],[As,susp,tot (cm²)]],HC[[#This Row],[Asp,face (cm²)]])</f>
        <v>N.S.</v>
      </c>
      <c r="AZ82" s="4" t="str">
        <f ca="1">concretoBloco(HC[[#This Row],[nE]],HC[[#This Row],[e (cm)]],HC[[#This Row],[a (cm)]],HC[[#This Row],[h (cm)]])</f>
        <v>N.S.</v>
      </c>
      <c r="BA82" s="5">
        <f ca="1">SUM(HC[[#This Row],[Aço Est (kg)]],HC[[#This Row],[Aço Bloco (kg)]])</f>
        <v>12.08413614203314</v>
      </c>
      <c r="BB82" s="4">
        <f>INDEX(composicoes[],MATCH(95580,composicoes[CÓDIGO],0),MATCH("CUSTO TOTAL",composicoes[#Headers],0))</f>
        <v>10.46</v>
      </c>
      <c r="BC82" s="4">
        <f ca="1">SUM(HC[[#This Row],[Conc Est (m³)]],HC[[#This Row],[Conc Bloco (m³)]])</f>
        <v>10.102183876699677</v>
      </c>
      <c r="BD82" s="4">
        <f>INDEX(composicoes[],MATCH(94966,composicoes[CÓDIGO],0),MATCH("CUSTO TOTAL",composicoes[#Headers],0))</f>
        <v>439.52</v>
      </c>
      <c r="BE82" s="38">
        <f ca="1">HC[[#This Row],[Aço (kg)]]*HC[[#This Row],[Aço (R$/kg)]]+HC[[#This Row],[Conc (m³)]]*HC[[#This Row],[Conc (R$/m³)]]</f>
        <v>4566.5119215327086</v>
      </c>
      <c r="BF82" s="4" t="str">
        <f ca="1">IF(COUNTIF(HC[#This Row],"N.S.")&gt;0,"lim.","OK")</f>
        <v>lim.</v>
      </c>
      <c r="BG82" s="4" t="str">
        <f>IF(HC[[#This Row],[Prof. (m)]]&lt;4,"lim.","OK")</f>
        <v>OK</v>
      </c>
      <c r="BH82" s="4" t="str">
        <f>IF(HC[[#This Row],[Prof. (m)]]&gt;=8*HC[[#This Row],[Ø (cm)]]/100,"OK","lim.")</f>
        <v>OK</v>
      </c>
      <c r="BI82" s="4" t="str">
        <f ca="1">IF(HC[[#This Row],[Verif. Biela]]="OK","OK","lim.")</f>
        <v>OK</v>
      </c>
      <c r="BJ82" s="4" t="str">
        <f ca="1">IF(COUNTA(HC[[#This Row],[Nº Est.]:[Biela comp.]])=COUNTIF(HC[[#This Row],[Nº Est.]:[Biela comp.]],"OK"),"OK","lim.")</f>
        <v>lim.</v>
      </c>
      <c r="BK82" s="4" t="str">
        <f ca="1">IF(HC[[#This Row],[Controle]]="OK",HC[[#This Row],[nE]]&amp;" Ø"&amp;HC[[#This Row],[Ø (cm)]]&amp;"cm Prof. "&amp;HC[[#This Row],[Prof. (m)]]&amp;" m","")</f>
        <v/>
      </c>
      <c r="BL82" s="4" t="str">
        <f ca="1">IF(HC[[#This Row],[idDimensionamento]]="","",HC[[#This Row],[idPilar]]&amp;HC[[#This Row],[idDimensionamento]])</f>
        <v/>
      </c>
    </row>
    <row r="83" spans="2:64" x14ac:dyDescent="0.25">
      <c r="B83" s="12">
        <f>ROUNDUP((ROW(HC[[#This Row],[idDiâmetro]])-ROW(HC[[#Headers],[idDiâmetro]]))/(COUNT(SPT[Prof. (m)])*COUNT(PILARES[Pilar])),0)</f>
        <v>3</v>
      </c>
      <c r="C83" s="12">
        <f>IF(HC[[#This Row],[idDiâmetro]]&lt;&gt;B82,1,IF(HC[[#This Row],[Prof. (m)]]=0,C82+1,C82))</f>
        <v>2</v>
      </c>
      <c r="D83" s="1">
        <f>IFERROR(IF(D82=MAX(SPT[Prof. (m)]),0,D82+1),0)</f>
        <v>8</v>
      </c>
      <c r="E83" s="1">
        <f>INDEX(SPT[],MATCH(HC[[#This Row],[Prof. (m)]],SPT[Prof. (m)],0),2)</f>
        <v>10</v>
      </c>
      <c r="F83" s="1" t="str">
        <f>INDEX(SPT[],MATCH(HC[[#This Row],[Prof. (m)]],SPT[Prof. (m)],0),3)</f>
        <v>Silte arenoso</v>
      </c>
      <c r="G83" s="1">
        <f>INDEX(estacas[],HC[[#This Row],[idDiâmetro]],MATCH($B$2,estacas[#Headers],0))</f>
        <v>35</v>
      </c>
      <c r="H83" s="1">
        <f>INDEX(estacas[],MATCH(HC[[#This Row],[Ø (cm)]],estacas[Ø HC (cm)],0),MATCH(HC[[#Headers],[Pe HC (kN)]],estacas[#Headers],0))</f>
        <v>600</v>
      </c>
      <c r="I83" s="4">
        <f>INDEX(K_alpha_C[],MATCH(HC[[#This Row],[Solo]],K_alpha_C[Solo],0),2)</f>
        <v>0.55000000000000004</v>
      </c>
      <c r="J83" s="5">
        <f>INDEX(K_alpha_C[],MATCH(HC[[#This Row],[Solo]],K_alpha_C[Solo],0),3)</f>
        <v>2.2000000000000002</v>
      </c>
      <c r="K83" s="4">
        <f>INDEX(F1_F2[],MATCH($D$2,F1_F2[Tipo de estaca],0),2)</f>
        <v>2</v>
      </c>
      <c r="L83" s="4">
        <f>INDEX(F1_F2[],MATCH($D$2,F1_F2[Tipo de estaca],0),3)</f>
        <v>4</v>
      </c>
      <c r="M83" s="4">
        <f>PI()*(HC[[#This Row],[Ø (cm)]]/100)^2/4</f>
        <v>9.6211275016187398E-2</v>
      </c>
      <c r="N83" s="4">
        <f>PI()*HC[[#This Row],[Ø (cm)]]/100</f>
        <v>1.0995574287564276</v>
      </c>
      <c r="O83" s="4">
        <f>IF(HC[[#This Row],[Prof. (m)]]=0,0,HC[[#This Row],[α (%)]]/100*HC[[#This Row],[K (MPa)]]*1000*HC[[#This Row],[NSPT]])</f>
        <v>121.00000000000001</v>
      </c>
      <c r="P83" s="4">
        <f>IF(HC[[#This Row],[Prof. (m)]]=0,0,(HC[[#This Row],[K (MPa)]]*1000*HC[[#This Row],[NSPT]]/HC[[#This Row],[F1]]*HC[[#This Row],[Ap (m²)]]+HC[[#This Row],[U (m)]]/HC[[#This Row],[F2]]*SUMIFS(HC[(α∙K∙NL∙ΔL)],HC[Prof. (m)],"&lt;="&amp;HC[[#This Row],[Prof. (m)]],HC[idDiâmetro],HC[[#This Row],[idDiâmetro]],HC[idPilar],HC[[#This Row],[idPilar]]))/'DADOS CAP. CARGA'!$D$2)</f>
        <v>269.72143727395166</v>
      </c>
      <c r="Q83" s="12">
        <f>INDEX(C_alpha_beta[],MATCH(HC[[#This Row],[Solo]],C_alpha_beta[Solo],0),MATCH(HC[[#Headers],[C (kPa)]],C_alpha_beta[#Headers],0))</f>
        <v>250</v>
      </c>
      <c r="R83" s="4">
        <f>INDEX(C_alpha_beta[],MATCH(HC[[#This Row],[Solo]],C_alpha_beta[Solo],0),MATCH(HC[[#Headers],[α ESF]],C_alpha_beta[#Headers],0))</f>
        <v>0.6</v>
      </c>
      <c r="S83" s="4">
        <f>INDEX(C_alpha_beta[],MATCH(HC[[#This Row],[Solo]],C_alpha_beta[Solo],0),MATCH(HC[[#Headers],[β ESF]],C_alpha_beta[#Headers],0))</f>
        <v>0.65</v>
      </c>
      <c r="T83" s="4">
        <f>IF(HC[[#This Row],[Prof. (m)]]=0,0,10*(HC[[#This Row],[NSPT]]/3+1))</f>
        <v>43.333333333333343</v>
      </c>
      <c r="U83" s="4">
        <f>(HC[[#This Row],[α ESF]]*HC[[#This Row],[C (kPa)]]*HC[[#This Row],[NSPT]]*HC[[#This Row],[Ap (m²)]])/'DADOS CAP. CARGA'!$Q$2+(HC[[#This Row],[β ESF]]*SUMIFS(HC[10∙(NL/3+1)],HC[Prof. (m)],"&lt;="&amp;HC[[#This Row],[Prof. (m)]],HC[idDiâmetro],HC[[#This Row],[idDiâmetro]],HC[idPilar],HC[[#This Row],[idPilar]])*HC[[#This Row],[U (m)]])/'DADOS CAP. CARGA'!$S$2</f>
        <v>150.43320072173873</v>
      </c>
      <c r="V83" s="4">
        <f>IF(SPT!$M$5=1,MIN(HC[[#This Row],[Pe HC (kN)]],HC[[#This Row],[R_AV (kN)]]),IF(SPT!$M$5=2,MIN(HC[[#This Row],[Pe HC (kN)]],HC[[#This Row],[R_DC (kN)]]),MIN(HC[[#This Row],[Pe HC (kN)]],HC[[#This Row],[R_AV (kN)]],HC[[#This Row],[R_DC (kN)]])))</f>
        <v>150.43320072173873</v>
      </c>
      <c r="W83" s="4">
        <f>INDEX(PILARES[],HC[[#This Row],[idPilar]],MATCH("Carga (kN)",PILARES[#Headers],0))*1.4</f>
        <v>1750</v>
      </c>
      <c r="X83" s="12">
        <f>INDEX(PILARES[],HC[[#This Row],[idPilar]],MATCH(HC[[#Headers],[ap (cm)]],PILARES[#Headers],0))</f>
        <v>50</v>
      </c>
      <c r="Y83" s="12">
        <f>INDEX(PILARES[],HC[[#This Row],[idPilar]],MATCH(HC[[#Headers],[bp (cm)]],PILARES[#Headers],0))</f>
        <v>40</v>
      </c>
      <c r="Z83" s="4">
        <f>SQRT(HC[[#This Row],[ap (cm)]]*HC[[#This Row],[bp (cm)]])</f>
        <v>44.721359549995796</v>
      </c>
      <c r="AA83" s="12">
        <f>HC[[#This Row],[ap (cm)]]*HC[[#This Row],[bp (cm)]]</f>
        <v>2000</v>
      </c>
      <c r="AB83" s="12">
        <f ca="1">IF(HC[[#This Row],[Padm∙ε (kN)]]&gt;=HC[[#This Row],[Padm (kN)]],ROUNDUP(1.05*HC[[#This Row],[Nsd (kN)]]/HC[[#This Row],[Padm (kN)]],0),ROUNDUP(1.05*HC[[#This Row],[Nsd (kN)]]/HC[[#This Row],[Padm (kN)]],0)+1)</f>
        <v>13</v>
      </c>
      <c r="AC83" s="4" t="str">
        <f ca="1">IFERROR(IF(HC[[#This Row],[nE]]=1,HC[[#This Row],[Padm (kN)]],HC[[#This Row],[Padm (kN)]]*HC[[#This Row],[nE]]*INDEX(grupoEstacas[],HC[[#This Row],[nE]],MATCH("ε",grupoEstacas[#Headers],0))),"N.S.")</f>
        <v>N.S.</v>
      </c>
      <c r="AD83" s="4">
        <f ca="1">1.05*HC[[#This Row],[Nsd (kN)]]/(HC[[#This Row],[nE]]*PI()*HC[[#This Row],[Ø (cm)]]^2/4)*10</f>
        <v>1.4691225516174955</v>
      </c>
      <c r="AE83" s="4">
        <f ca="1">IF(HC[[#This Row],[σ (MPa)]]&lt;INDEX(tipoEstaca[],MATCH($D$2,tipoEstaca[TIPO DE ESTACA],0),MATCH("σmáx (MPa)",tipoEstaca[#Headers],0)),0.4%*PI()*HC[[#This Row],[Ø (cm)]]^2/4,"N.S.")</f>
        <v>3.848451000647497</v>
      </c>
      <c r="AF83" s="1">
        <f>INDEX(tipoEstaca[],MATCH($D$2,tipoEstaca[TIPO DE ESTACA],0),MATCH(HC[[#Headers],[Comprimento (m)]],tipoEstaca[#Headers],0))</f>
        <v>4</v>
      </c>
      <c r="AG83" s="5">
        <f ca="1">HC[[#This Row],[As,mín (cm²)]]/100^2*HC[[#This Row],[Comprimento (m)]]*7850</f>
        <v>12.08413614203314</v>
      </c>
      <c r="AH83" s="4">
        <f ca="1">HC[[#This Row],[nE]]*HC[[#This Row],[Prof. (m)]]*HC[[#This Row],[Ap (m²)]]</f>
        <v>10.005972601683489</v>
      </c>
      <c r="AI83" s="1">
        <f ca="1">IF(HC[[#This Row],[nE]]=1,0,MAX(3*HC[[#This Row],[Ø (cm)]],60))</f>
        <v>105</v>
      </c>
      <c r="AJ83" s="1">
        <f ca="1">IF(HC[[#This Row],[nE]]=1,HC[[#This Row],[Ø (cm)]]+2*10,MAX(1.5*HC[[#This Row],[Ø (cm)]],HC[[#This Row],[Ø (cm)]]+15))</f>
        <v>52.5</v>
      </c>
      <c r="AK83" s="1" t="str">
        <f ca="1">alturaUtil(HC[[#This Row],[nE]],HC[[#This Row],[Ø (cm)]],HC[[#This Row],[e (cm)]],HC[[#This Row],[ap,eq (cm)]])</f>
        <v>N.S.</v>
      </c>
      <c r="AL83" s="1" t="str">
        <f ca="1">IFERROR(HC[[#This Row],[d (cm)]]+arredondarParaCimaMultiplo5cm(MAX(5,SQRT(PI())/2*HC[[#This Row],[Ø (cm)]]/5)),"N.S.")</f>
        <v>N.S.</v>
      </c>
      <c r="AM83" s="5" t="str">
        <f ca="1">alpha(HC[[#This Row],[nE]],HC[[#This Row],[d (cm)]],HC[[#This Row],[e (cm)]],HC[[#This Row],[ap,eq (cm)]])</f>
        <v>N.S.</v>
      </c>
      <c r="AN83" s="35" t="str">
        <f ca="1">IFERROR(HC[[#This Row],[Nsd (kN)]]/(HC[[#This Row],[Ap (cm²)]]*SIN(HC[[#This Row],[α]])^2),"N.S.")</f>
        <v>N.S.</v>
      </c>
      <c r="AO83" s="35" t="str">
        <f ca="1">IFERROR(HC[[#This Row],[Nsd (kN)]]/(HC[[#This Row],[nE]]*PI()*HC[[#This Row],[Ø (cm)]]^2/4*SIN(HC[[#This Row],[α]])^2),"N.S.")</f>
        <v>N.S.</v>
      </c>
      <c r="AP83" s="4" t="str">
        <f ca="1">IFERROR(INDEX(grupoEstacas[],HC[[#This Row],[nE]],MATCH("coef. Blévot",grupoEstacas[#Headers],0)),"N.S.")</f>
        <v>N.S.</v>
      </c>
      <c r="AQ83" s="35" t="str">
        <f ca="1">IFERROR(HC[[#This Row],[coef. Blévot]]*0.9*INDEX(tipoEstaca[],MATCH($D$2,tipoEstaca[TIPO DE ESTACA],0),MATCH("fcd (kN/cm²)",tipoEstaca[#Headers],0)),"N.S.")</f>
        <v>N.S.</v>
      </c>
      <c r="AR83" s="1" t="str">
        <f ca="1">IF(AND(HC[[#This Row],[cd,b,pil (kN/cm²)]]&lt;=HC[[#This Row],[cd,b,lim (kN/cm²)]],HC[[#This Row],[cd,b,est (kN/cm²)]]&lt;=HC[[#This Row],[cd,b,lim (kN/cm²)]]),"OK","ERRO")</f>
        <v>OK</v>
      </c>
      <c r="AS83" s="4" t="str">
        <f ca="1">As_lado(HC[[#This Row],[nE]],HC[[#This Row],[Nsd (kN)]],HC[[#This Row],[d (cm)]],HC[[#This Row],[e (cm)]],HC[[#This Row],[ap,eq (cm)]])</f>
        <v>N.S.</v>
      </c>
      <c r="AT83" s="4" t="str">
        <f ca="1">IF(HC[[#This Row],[nE]]=1,HC[[#This Row],[As,lado (cm²)]],IF(HC[[#This Row],[nE]]=2,0.075*2*HC[a (cm)],"N.A."))</f>
        <v>N.A.</v>
      </c>
      <c r="AU83" s="4" t="str">
        <f ca="1">IFERROR(IF(HC[[#This Row],[nE]]=1,"N.A.",0.2*HC[[#This Row],[As,lado (cm²)]]),"N.S.")</f>
        <v>N.S.</v>
      </c>
      <c r="AV83" s="4" t="str">
        <f ca="1">As_malha(HC[[#This Row],[nE]],HC[[#This Row],[As,lado (cm²)]],HC[[#This Row],[Nsd (kN)]])</f>
        <v>N.S.</v>
      </c>
      <c r="AW83" s="4" t="str">
        <f ca="1">As_susp_tot(HC[[#This Row],[nE]],HC[[#This Row],[Nsd (kN)]])</f>
        <v>N.S.</v>
      </c>
      <c r="AX83" s="4" t="str">
        <f ca="1">Asp_face(HC[[#This Row],[nE]],HC[[#This Row],[As,lado (cm²)]])</f>
        <v>N.S.</v>
      </c>
      <c r="AY83" s="5" t="str">
        <f ca="1">acoBloco(HC[[#This Row],[nE]],HC[[#This Row],[e (cm)]],HC[[#This Row],[a (cm)]],HC[[#This Row],[h (cm)]],HC[[#This Row],[As,lado (cm²)]],HC[[#This Row],[Asp e Asw (cm²/m)]],HC[[#This Row],[As,sup (cm²)]],HC[[#This Row],[As,malha (cm²)]],HC[[#This Row],[As,susp,tot (cm²)]],HC[[#This Row],[Asp,face (cm²)]])</f>
        <v>N.S.</v>
      </c>
      <c r="AZ83" s="4" t="str">
        <f ca="1">concretoBloco(HC[[#This Row],[nE]],HC[[#This Row],[e (cm)]],HC[[#This Row],[a (cm)]],HC[[#This Row],[h (cm)]])</f>
        <v>N.S.</v>
      </c>
      <c r="BA83" s="5">
        <f ca="1">SUM(HC[[#This Row],[Aço Est (kg)]],HC[[#This Row],[Aço Bloco (kg)]])</f>
        <v>12.08413614203314</v>
      </c>
      <c r="BB83" s="4">
        <f>INDEX(composicoes[],MATCH(95580,composicoes[CÓDIGO],0),MATCH("CUSTO TOTAL",composicoes[#Headers],0))</f>
        <v>10.46</v>
      </c>
      <c r="BC83" s="4">
        <f ca="1">SUM(HC[[#This Row],[Conc Est (m³)]],HC[[#This Row],[Conc Bloco (m³)]])</f>
        <v>10.005972601683489</v>
      </c>
      <c r="BD83" s="4">
        <f>INDEX(composicoes[],MATCH(94966,composicoes[CÓDIGO],0),MATCH("CUSTO TOTAL",composicoes[#Headers],0))</f>
        <v>439.52</v>
      </c>
      <c r="BE83" s="38">
        <f ca="1">HC[[#This Row],[Aço (kg)]]*HC[[#This Row],[Aço (R$/kg)]]+HC[[#This Row],[Conc (m³)]]*HC[[#This Row],[Conc (R$/m³)]]</f>
        <v>4524.2251419375934</v>
      </c>
      <c r="BF83" s="4" t="str">
        <f ca="1">IF(COUNTIF(HC[#This Row],"N.S.")&gt;0,"lim.","OK")</f>
        <v>lim.</v>
      </c>
      <c r="BG83" s="4" t="str">
        <f>IF(HC[[#This Row],[Prof. (m)]]&lt;4,"lim.","OK")</f>
        <v>OK</v>
      </c>
      <c r="BH83" s="4" t="str">
        <f>IF(HC[[#This Row],[Prof. (m)]]&gt;=8*HC[[#This Row],[Ø (cm)]]/100,"OK","lim.")</f>
        <v>OK</v>
      </c>
      <c r="BI83" s="4" t="str">
        <f ca="1">IF(HC[[#This Row],[Verif. Biela]]="OK","OK","lim.")</f>
        <v>OK</v>
      </c>
      <c r="BJ83" s="4" t="str">
        <f ca="1">IF(COUNTA(HC[[#This Row],[Nº Est.]:[Biela comp.]])=COUNTIF(HC[[#This Row],[Nº Est.]:[Biela comp.]],"OK"),"OK","lim.")</f>
        <v>lim.</v>
      </c>
      <c r="BK83" s="4" t="str">
        <f ca="1">IF(HC[[#This Row],[Controle]]="OK",HC[[#This Row],[nE]]&amp;" Ø"&amp;HC[[#This Row],[Ø (cm)]]&amp;"cm Prof. "&amp;HC[[#This Row],[Prof. (m)]]&amp;" m","")</f>
        <v/>
      </c>
      <c r="BL83" s="4" t="str">
        <f ca="1">IF(HC[[#This Row],[idDimensionamento]]="","",HC[[#This Row],[idPilar]]&amp;HC[[#This Row],[idDimensionamento]])</f>
        <v/>
      </c>
    </row>
    <row r="84" spans="2:64" x14ac:dyDescent="0.25">
      <c r="B84" s="12">
        <f>ROUNDUP((ROW(HC[[#This Row],[idDiâmetro]])-ROW(HC[[#Headers],[idDiâmetro]]))/(COUNT(SPT[Prof. (m)])*COUNT(PILARES[Pilar])),0)</f>
        <v>3</v>
      </c>
      <c r="C84" s="12">
        <f>IF(HC[[#This Row],[idDiâmetro]]&lt;&gt;B83,1,IF(HC[[#This Row],[Prof. (m)]]=0,C83+1,C83))</f>
        <v>2</v>
      </c>
      <c r="D84" s="1">
        <f>IFERROR(IF(D83=MAX(SPT[Prof. (m)]),0,D83+1),0)</f>
        <v>9</v>
      </c>
      <c r="E84" s="1">
        <f>INDEX(SPT[],MATCH(HC[[#This Row],[Prof. (m)]],SPT[Prof. (m)],0),2)</f>
        <v>26</v>
      </c>
      <c r="F84" s="1" t="str">
        <f>INDEX(SPT[],MATCH(HC[[#This Row],[Prof. (m)]],SPT[Prof. (m)],0),3)</f>
        <v>Areia siltosa</v>
      </c>
      <c r="G84" s="1">
        <f>INDEX(estacas[],HC[[#This Row],[idDiâmetro]],MATCH($B$2,estacas[#Headers],0))</f>
        <v>35</v>
      </c>
      <c r="H84" s="1">
        <f>INDEX(estacas[],MATCH(HC[[#This Row],[Ø (cm)]],estacas[Ø HC (cm)],0),MATCH(HC[[#Headers],[Pe HC (kN)]],estacas[#Headers],0))</f>
        <v>600</v>
      </c>
      <c r="I84" s="4">
        <f>INDEX(K_alpha_C[],MATCH(HC[[#This Row],[Solo]],K_alpha_C[Solo],0),2)</f>
        <v>0.8</v>
      </c>
      <c r="J84" s="5">
        <f>INDEX(K_alpha_C[],MATCH(HC[[#This Row],[Solo]],K_alpha_C[Solo],0),3)</f>
        <v>2</v>
      </c>
      <c r="K84" s="4">
        <f>INDEX(F1_F2[],MATCH($D$2,F1_F2[Tipo de estaca],0),2)</f>
        <v>2</v>
      </c>
      <c r="L84" s="4">
        <f>INDEX(F1_F2[],MATCH($D$2,F1_F2[Tipo de estaca],0),3)</f>
        <v>4</v>
      </c>
      <c r="M84" s="4">
        <f>PI()*(HC[[#This Row],[Ø (cm)]]/100)^2/4</f>
        <v>9.6211275016187398E-2</v>
      </c>
      <c r="N84" s="4">
        <f>PI()*HC[[#This Row],[Ø (cm)]]/100</f>
        <v>1.0995574287564276</v>
      </c>
      <c r="O84" s="4">
        <f>IF(HC[[#This Row],[Prof. (m)]]=0,0,HC[[#This Row],[α (%)]]/100*HC[[#This Row],[K (MPa)]]*1000*HC[[#This Row],[NSPT]])</f>
        <v>416</v>
      </c>
      <c r="P84" s="4">
        <f>IF(HC[[#This Row],[Prof. (m)]]=0,0,(HC[[#This Row],[K (MPa)]]*1000*HC[[#This Row],[NSPT]]/HC[[#This Row],[F1]]*HC[[#This Row],[Ap (m²)]]+HC[[#This Row],[U (m)]]/HC[[#This Row],[F2]]*SUMIFS(HC[(α∙K∙NL∙ΔL)],HC[Prof. (m)],"&lt;="&amp;HC[[#This Row],[Prof. (m)]],HC[idDiâmetro],HC[[#This Row],[idDiâmetro]],HC[idPilar],HC[[#This Row],[idPilar]]))/'DADOS CAP. CARGA'!$D$2)</f>
        <v>694.90655050620273</v>
      </c>
      <c r="Q84" s="12">
        <f>INDEX(C_alpha_beta[],MATCH(HC[[#This Row],[Solo]],C_alpha_beta[Solo],0),MATCH(HC[[#Headers],[C (kPa)]],C_alpha_beta[#Headers],0))</f>
        <v>400</v>
      </c>
      <c r="R84" s="4">
        <f>INDEX(C_alpha_beta[],MATCH(HC[[#This Row],[Solo]],C_alpha_beta[Solo],0),MATCH(HC[[#Headers],[α ESF]],C_alpha_beta[#Headers],0))</f>
        <v>0.5</v>
      </c>
      <c r="S84" s="4">
        <f>INDEX(C_alpha_beta[],MATCH(HC[[#This Row],[Solo]],C_alpha_beta[Solo],0),MATCH(HC[[#Headers],[β ESF]],C_alpha_beta[#Headers],0))</f>
        <v>0.5</v>
      </c>
      <c r="T84" s="4">
        <f>IF(HC[[#This Row],[Prof. (m)]]=0,0,10*(HC[[#This Row],[NSPT]]/3+1))</f>
        <v>96.666666666666657</v>
      </c>
      <c r="U84" s="4">
        <f>(HC[[#This Row],[α ESF]]*HC[[#This Row],[C (kPa)]]*HC[[#This Row],[NSPT]]*HC[[#This Row],[Ap (m²)]])/'DADOS CAP. CARGA'!$Q$2+(HC[[#This Row],[β ESF]]*SUMIFS(HC[10∙(NL/3+1)],HC[Prof. (m)],"&lt;="&amp;HC[[#This Row],[Prof. (m)]],HC[idDiâmetro],HC[[#This Row],[idDiâmetro]],HC[idPilar],HC[[#This Row],[idPilar]])*HC[[#This Row],[U (m)]])/'DADOS CAP. CARGA'!$S$2</f>
        <v>239.61188968317148</v>
      </c>
      <c r="V84" s="4">
        <f>IF(SPT!$M$5=1,MIN(HC[[#This Row],[Pe HC (kN)]],HC[[#This Row],[R_AV (kN)]]),IF(SPT!$M$5=2,MIN(HC[[#This Row],[Pe HC (kN)]],HC[[#This Row],[R_DC (kN)]]),MIN(HC[[#This Row],[Pe HC (kN)]],HC[[#This Row],[R_AV (kN)]],HC[[#This Row],[R_DC (kN)]])))</f>
        <v>239.61188968317148</v>
      </c>
      <c r="W84" s="4">
        <f>INDEX(PILARES[],HC[[#This Row],[idPilar]],MATCH("Carga (kN)",PILARES[#Headers],0))*1.4</f>
        <v>1750</v>
      </c>
      <c r="X84" s="12">
        <f>INDEX(PILARES[],HC[[#This Row],[idPilar]],MATCH(HC[[#Headers],[ap (cm)]],PILARES[#Headers],0))</f>
        <v>50</v>
      </c>
      <c r="Y84" s="12">
        <f>INDEX(PILARES[],HC[[#This Row],[idPilar]],MATCH(HC[[#Headers],[bp (cm)]],PILARES[#Headers],0))</f>
        <v>40</v>
      </c>
      <c r="Z84" s="4">
        <f>SQRT(HC[[#This Row],[ap (cm)]]*HC[[#This Row],[bp (cm)]])</f>
        <v>44.721359549995796</v>
      </c>
      <c r="AA84" s="12">
        <f>HC[[#This Row],[ap (cm)]]*HC[[#This Row],[bp (cm)]]</f>
        <v>2000</v>
      </c>
      <c r="AB84" s="12">
        <f ca="1">IF(HC[[#This Row],[Padm∙ε (kN)]]&gt;=HC[[#This Row],[Padm (kN)]],ROUNDUP(1.05*HC[[#This Row],[Nsd (kN)]]/HC[[#This Row],[Padm (kN)]],0),ROUNDUP(1.05*HC[[#This Row],[Nsd (kN)]]/HC[[#This Row],[Padm (kN)]],0)+1)</f>
        <v>8</v>
      </c>
      <c r="AC84" s="4" t="str">
        <f ca="1">IFERROR(IF(HC[[#This Row],[nE]]=1,HC[[#This Row],[Padm (kN)]],HC[[#This Row],[Padm (kN)]]*HC[[#This Row],[nE]]*INDEX(grupoEstacas[],HC[[#This Row],[nE]],MATCH("ε",grupoEstacas[#Headers],0))),"N.S.")</f>
        <v>N.S.</v>
      </c>
      <c r="AD84" s="4">
        <f ca="1">1.05*HC[[#This Row],[Nsd (kN)]]/(HC[[#This Row],[nE]]*PI()*HC[[#This Row],[Ø (cm)]]^2/4)*10</f>
        <v>2.3873241463784298</v>
      </c>
      <c r="AE84" s="4">
        <f ca="1">IF(HC[[#This Row],[σ (MPa)]]&lt;INDEX(tipoEstaca[],MATCH($D$2,tipoEstaca[TIPO DE ESTACA],0),MATCH("σmáx (MPa)",tipoEstaca[#Headers],0)),0.4%*PI()*HC[[#This Row],[Ø (cm)]]^2/4,"N.S.")</f>
        <v>3.848451000647497</v>
      </c>
      <c r="AF84" s="1">
        <f>INDEX(tipoEstaca[],MATCH($D$2,tipoEstaca[TIPO DE ESTACA],0),MATCH(HC[[#Headers],[Comprimento (m)]],tipoEstaca[#Headers],0))</f>
        <v>4</v>
      </c>
      <c r="AG84" s="5">
        <f ca="1">HC[[#This Row],[As,mín (cm²)]]/100^2*HC[[#This Row],[Comprimento (m)]]*7850</f>
        <v>12.08413614203314</v>
      </c>
      <c r="AH84" s="4">
        <f ca="1">HC[[#This Row],[nE]]*HC[[#This Row],[Prof. (m)]]*HC[[#This Row],[Ap (m²)]]</f>
        <v>6.9272118011654928</v>
      </c>
      <c r="AI84" s="1">
        <f ca="1">IF(HC[[#This Row],[nE]]=1,0,MAX(3*HC[[#This Row],[Ø (cm)]],60))</f>
        <v>105</v>
      </c>
      <c r="AJ84" s="1">
        <f ca="1">IF(HC[[#This Row],[nE]]=1,HC[[#This Row],[Ø (cm)]]+2*10,MAX(1.5*HC[[#This Row],[Ø (cm)]],HC[[#This Row],[Ø (cm)]]+15))</f>
        <v>52.5</v>
      </c>
      <c r="AK84" s="1" t="str">
        <f ca="1">alturaUtil(HC[[#This Row],[nE]],HC[[#This Row],[Ø (cm)]],HC[[#This Row],[e (cm)]],HC[[#This Row],[ap,eq (cm)]])</f>
        <v>N.S.</v>
      </c>
      <c r="AL84" s="1" t="str">
        <f ca="1">IFERROR(HC[[#This Row],[d (cm)]]+arredondarParaCimaMultiplo5cm(MAX(5,SQRT(PI())/2*HC[[#This Row],[Ø (cm)]]/5)),"N.S.")</f>
        <v>N.S.</v>
      </c>
      <c r="AM84" s="5" t="str">
        <f ca="1">alpha(HC[[#This Row],[nE]],HC[[#This Row],[d (cm)]],HC[[#This Row],[e (cm)]],HC[[#This Row],[ap,eq (cm)]])</f>
        <v>N.S.</v>
      </c>
      <c r="AN84" s="35" t="str">
        <f ca="1">IFERROR(HC[[#This Row],[Nsd (kN)]]/(HC[[#This Row],[Ap (cm²)]]*SIN(HC[[#This Row],[α]])^2),"N.S.")</f>
        <v>N.S.</v>
      </c>
      <c r="AO84" s="35" t="str">
        <f ca="1">IFERROR(HC[[#This Row],[Nsd (kN)]]/(HC[[#This Row],[nE]]*PI()*HC[[#This Row],[Ø (cm)]]^2/4*SIN(HC[[#This Row],[α]])^2),"N.S.")</f>
        <v>N.S.</v>
      </c>
      <c r="AP84" s="4" t="str">
        <f ca="1">IFERROR(INDEX(grupoEstacas[],HC[[#This Row],[nE]],MATCH("coef. Blévot",grupoEstacas[#Headers],0)),"N.S.")</f>
        <v>N.S.</v>
      </c>
      <c r="AQ84" s="35" t="str">
        <f ca="1">IFERROR(HC[[#This Row],[coef. Blévot]]*0.9*INDEX(tipoEstaca[],MATCH($D$2,tipoEstaca[TIPO DE ESTACA],0),MATCH("fcd (kN/cm²)",tipoEstaca[#Headers],0)),"N.S.")</f>
        <v>N.S.</v>
      </c>
      <c r="AR84" s="1" t="str">
        <f ca="1">IF(AND(HC[[#This Row],[cd,b,pil (kN/cm²)]]&lt;=HC[[#This Row],[cd,b,lim (kN/cm²)]],HC[[#This Row],[cd,b,est (kN/cm²)]]&lt;=HC[[#This Row],[cd,b,lim (kN/cm²)]]),"OK","ERRO")</f>
        <v>OK</v>
      </c>
      <c r="AS84" s="4" t="str">
        <f ca="1">As_lado(HC[[#This Row],[nE]],HC[[#This Row],[Nsd (kN)]],HC[[#This Row],[d (cm)]],HC[[#This Row],[e (cm)]],HC[[#This Row],[ap,eq (cm)]])</f>
        <v>N.S.</v>
      </c>
      <c r="AT84" s="4" t="str">
        <f ca="1">IF(HC[[#This Row],[nE]]=1,HC[[#This Row],[As,lado (cm²)]],IF(HC[[#This Row],[nE]]=2,0.075*2*HC[a (cm)],"N.A."))</f>
        <v>N.A.</v>
      </c>
      <c r="AU84" s="4" t="str">
        <f ca="1">IFERROR(IF(HC[[#This Row],[nE]]=1,"N.A.",0.2*HC[[#This Row],[As,lado (cm²)]]),"N.S.")</f>
        <v>N.S.</v>
      </c>
      <c r="AV84" s="4" t="str">
        <f ca="1">As_malha(HC[[#This Row],[nE]],HC[[#This Row],[As,lado (cm²)]],HC[[#This Row],[Nsd (kN)]])</f>
        <v>N.S.</v>
      </c>
      <c r="AW84" s="4" t="str">
        <f ca="1">As_susp_tot(HC[[#This Row],[nE]],HC[[#This Row],[Nsd (kN)]])</f>
        <v>N.S.</v>
      </c>
      <c r="AX84" s="4" t="str">
        <f ca="1">Asp_face(HC[[#This Row],[nE]],HC[[#This Row],[As,lado (cm²)]])</f>
        <v>N.S.</v>
      </c>
      <c r="AY84" s="5" t="str">
        <f ca="1">acoBloco(HC[[#This Row],[nE]],HC[[#This Row],[e (cm)]],HC[[#This Row],[a (cm)]],HC[[#This Row],[h (cm)]],HC[[#This Row],[As,lado (cm²)]],HC[[#This Row],[Asp e Asw (cm²/m)]],HC[[#This Row],[As,sup (cm²)]],HC[[#This Row],[As,malha (cm²)]],HC[[#This Row],[As,susp,tot (cm²)]],HC[[#This Row],[Asp,face (cm²)]])</f>
        <v>N.S.</v>
      </c>
      <c r="AZ84" s="4" t="str">
        <f ca="1">concretoBloco(HC[[#This Row],[nE]],HC[[#This Row],[e (cm)]],HC[[#This Row],[a (cm)]],HC[[#This Row],[h (cm)]])</f>
        <v>N.S.</v>
      </c>
      <c r="BA84" s="5">
        <f ca="1">SUM(HC[[#This Row],[Aço Est (kg)]],HC[[#This Row],[Aço Bloco (kg)]])</f>
        <v>12.08413614203314</v>
      </c>
      <c r="BB84" s="4">
        <f>INDEX(composicoes[],MATCH(95580,composicoes[CÓDIGO],0),MATCH("CUSTO TOTAL",composicoes[#Headers],0))</f>
        <v>10.46</v>
      </c>
      <c r="BC84" s="4">
        <f ca="1">SUM(HC[[#This Row],[Conc Est (m³)]],HC[[#This Row],[Conc Bloco (m³)]])</f>
        <v>6.9272118011654928</v>
      </c>
      <c r="BD84" s="4">
        <f>INDEX(composicoes[],MATCH(94966,composicoes[CÓDIGO],0),MATCH("CUSTO TOTAL",composicoes[#Headers],0))</f>
        <v>439.52</v>
      </c>
      <c r="BE84" s="38">
        <f ca="1">HC[[#This Row],[Aço (kg)]]*HC[[#This Row],[Aço (R$/kg)]]+HC[[#This Row],[Conc (m³)]]*HC[[#This Row],[Conc (R$/m³)]]</f>
        <v>3171.0481948939237</v>
      </c>
      <c r="BF84" s="4" t="str">
        <f ca="1">IF(COUNTIF(HC[#This Row],"N.S.")&gt;0,"lim.","OK")</f>
        <v>lim.</v>
      </c>
      <c r="BG84" s="4" t="str">
        <f>IF(HC[[#This Row],[Prof. (m)]]&lt;4,"lim.","OK")</f>
        <v>OK</v>
      </c>
      <c r="BH84" s="4" t="str">
        <f>IF(HC[[#This Row],[Prof. (m)]]&gt;=8*HC[[#This Row],[Ø (cm)]]/100,"OK","lim.")</f>
        <v>OK</v>
      </c>
      <c r="BI84" s="4" t="str">
        <f ca="1">IF(HC[[#This Row],[Verif. Biela]]="OK","OK","lim.")</f>
        <v>OK</v>
      </c>
      <c r="BJ84" s="4" t="str">
        <f ca="1">IF(COUNTA(HC[[#This Row],[Nº Est.]:[Biela comp.]])=COUNTIF(HC[[#This Row],[Nº Est.]:[Biela comp.]],"OK"),"OK","lim.")</f>
        <v>lim.</v>
      </c>
      <c r="BK84" s="4" t="str">
        <f ca="1">IF(HC[[#This Row],[Controle]]="OK",HC[[#This Row],[nE]]&amp;" Ø"&amp;HC[[#This Row],[Ø (cm)]]&amp;"cm Prof. "&amp;HC[[#This Row],[Prof. (m)]]&amp;" m","")</f>
        <v/>
      </c>
      <c r="BL84" s="4" t="str">
        <f ca="1">IF(HC[[#This Row],[idDimensionamento]]="","",HC[[#This Row],[idPilar]]&amp;HC[[#This Row],[idDimensionamento]])</f>
        <v/>
      </c>
    </row>
    <row r="85" spans="2:64" x14ac:dyDescent="0.25">
      <c r="B85" s="12">
        <f>ROUNDUP((ROW(HC[[#This Row],[idDiâmetro]])-ROW(HC[[#Headers],[idDiâmetro]]))/(COUNT(SPT[Prof. (m)])*COUNT(PILARES[Pilar])),0)</f>
        <v>3</v>
      </c>
      <c r="C85" s="12">
        <f>IF(HC[[#This Row],[idDiâmetro]]&lt;&gt;B84,1,IF(HC[[#This Row],[Prof. (m)]]=0,C84+1,C84))</f>
        <v>2</v>
      </c>
      <c r="D85" s="1">
        <f>IFERROR(IF(D84=MAX(SPT[Prof. (m)]),0,D84+1),0)</f>
        <v>10</v>
      </c>
      <c r="E85" s="1">
        <f>INDEX(SPT[],MATCH(HC[[#This Row],[Prof. (m)]],SPT[Prof. (m)],0),2)</f>
        <v>32</v>
      </c>
      <c r="F85" s="1" t="str">
        <f>INDEX(SPT[],MATCH(HC[[#This Row],[Prof. (m)]],SPT[Prof. (m)],0),3)</f>
        <v>Areia siltosa</v>
      </c>
      <c r="G85" s="1">
        <f>INDEX(estacas[],HC[[#This Row],[idDiâmetro]],MATCH($B$2,estacas[#Headers],0))</f>
        <v>35</v>
      </c>
      <c r="H85" s="1">
        <f>INDEX(estacas[],MATCH(HC[[#This Row],[Ø (cm)]],estacas[Ø HC (cm)],0),MATCH(HC[[#Headers],[Pe HC (kN)]],estacas[#Headers],0))</f>
        <v>600</v>
      </c>
      <c r="I85" s="4">
        <f>INDEX(K_alpha_C[],MATCH(HC[[#This Row],[Solo]],K_alpha_C[Solo],0),2)</f>
        <v>0.8</v>
      </c>
      <c r="J85" s="5">
        <f>INDEX(K_alpha_C[],MATCH(HC[[#This Row],[Solo]],K_alpha_C[Solo],0),3)</f>
        <v>2</v>
      </c>
      <c r="K85" s="4">
        <f>INDEX(F1_F2[],MATCH($D$2,F1_F2[Tipo de estaca],0),2)</f>
        <v>2</v>
      </c>
      <c r="L85" s="4">
        <f>INDEX(F1_F2[],MATCH($D$2,F1_F2[Tipo de estaca],0),3)</f>
        <v>4</v>
      </c>
      <c r="M85" s="4">
        <f>PI()*(HC[[#This Row],[Ø (cm)]]/100)^2/4</f>
        <v>9.6211275016187398E-2</v>
      </c>
      <c r="N85" s="4">
        <f>PI()*HC[[#This Row],[Ø (cm)]]/100</f>
        <v>1.0995574287564276</v>
      </c>
      <c r="O85" s="4">
        <f>IF(HC[[#This Row],[Prof. (m)]]=0,0,HC[[#This Row],[α (%)]]/100*HC[[#This Row],[K (MPa)]]*1000*HC[[#This Row],[NSPT]])</f>
        <v>512</v>
      </c>
      <c r="P85" s="4">
        <f>IF(HC[[#This Row],[Prof. (m)]]=0,0,(HC[[#This Row],[K (MPa)]]*1000*HC[[#This Row],[NSPT]]/HC[[#This Row],[F1]]*HC[[#This Row],[Ap (m²)]]+HC[[#This Row],[U (m)]]/HC[[#This Row],[F2]]*SUMIFS(HC[(α∙K∙NL∙ΔL)],HC[Prof. (m)],"&lt;="&amp;HC[[#This Row],[Prof. (m)]],HC[idDiâmetro],HC[[#This Row],[idDiâmetro]],HC[idPilar],HC[[#This Row],[idPilar]]))/'DADOS CAP. CARGA'!$D$2)</f>
        <v>880.73175596603892</v>
      </c>
      <c r="Q85" s="12">
        <f>INDEX(C_alpha_beta[],MATCH(HC[[#This Row],[Solo]],C_alpha_beta[Solo],0),MATCH(HC[[#Headers],[C (kPa)]],C_alpha_beta[#Headers],0))</f>
        <v>400</v>
      </c>
      <c r="R85" s="4">
        <f>INDEX(C_alpha_beta[],MATCH(HC[[#This Row],[Solo]],C_alpha_beta[Solo],0),MATCH(HC[[#Headers],[α ESF]],C_alpha_beta[#Headers],0))</f>
        <v>0.5</v>
      </c>
      <c r="S85" s="4">
        <f>INDEX(C_alpha_beta[],MATCH(HC[[#This Row],[Solo]],C_alpha_beta[Solo],0),MATCH(HC[[#Headers],[β ESF]],C_alpha_beta[#Headers],0))</f>
        <v>0.5</v>
      </c>
      <c r="T85" s="4">
        <f>IF(HC[[#This Row],[Prof. (m)]]=0,0,10*(HC[[#This Row],[NSPT]]/3+1))</f>
        <v>116.66666666666666</v>
      </c>
      <c r="U85" s="4">
        <f>(HC[[#This Row],[α ESF]]*HC[[#This Row],[C (kPa)]]*HC[[#This Row],[NSPT]]*HC[[#This Row],[Ap (m²)]])/'DADOS CAP. CARGA'!$Q$2+(HC[[#This Row],[β ESF]]*SUMIFS(HC[10∙(NL/3+1)],HC[Prof. (m)],"&lt;="&amp;HC[[#This Row],[Prof. (m)]],HC[idDiâmetro],HC[[#This Row],[idDiâmetro]],HC[idPilar],HC[[#This Row],[idPilar]])*HC[[#This Row],[U (m)]])/'DADOS CAP. CARGA'!$S$2</f>
        <v>300.54569719342351</v>
      </c>
      <c r="V85" s="4">
        <f>IF(SPT!$M$5=1,MIN(HC[[#This Row],[Pe HC (kN)]],HC[[#This Row],[R_AV (kN)]]),IF(SPT!$M$5=2,MIN(HC[[#This Row],[Pe HC (kN)]],HC[[#This Row],[R_DC (kN)]]),MIN(HC[[#This Row],[Pe HC (kN)]],HC[[#This Row],[R_AV (kN)]],HC[[#This Row],[R_DC (kN)]])))</f>
        <v>300.54569719342351</v>
      </c>
      <c r="W85" s="4">
        <f>INDEX(PILARES[],HC[[#This Row],[idPilar]],MATCH("Carga (kN)",PILARES[#Headers],0))*1.4</f>
        <v>1750</v>
      </c>
      <c r="X85" s="12">
        <f>INDEX(PILARES[],HC[[#This Row],[idPilar]],MATCH(HC[[#Headers],[ap (cm)]],PILARES[#Headers],0))</f>
        <v>50</v>
      </c>
      <c r="Y85" s="12">
        <f>INDEX(PILARES[],HC[[#This Row],[idPilar]],MATCH(HC[[#Headers],[bp (cm)]],PILARES[#Headers],0))</f>
        <v>40</v>
      </c>
      <c r="Z85" s="4">
        <f>SQRT(HC[[#This Row],[ap (cm)]]*HC[[#This Row],[bp (cm)]])</f>
        <v>44.721359549995796</v>
      </c>
      <c r="AA85" s="12">
        <f>HC[[#This Row],[ap (cm)]]*HC[[#This Row],[bp (cm)]]</f>
        <v>2000</v>
      </c>
      <c r="AB85" s="12">
        <f ca="1">IF(HC[[#This Row],[Padm∙ε (kN)]]&gt;=HC[[#This Row],[Padm (kN)]],ROUNDUP(1.05*HC[[#This Row],[Nsd (kN)]]/HC[[#This Row],[Padm (kN)]],0),ROUNDUP(1.05*HC[[#This Row],[Nsd (kN)]]/HC[[#This Row],[Padm (kN)]],0)+1)</f>
        <v>7</v>
      </c>
      <c r="AC85" s="4" t="str">
        <f ca="1">IFERROR(IF(HC[[#This Row],[nE]]=1,HC[[#This Row],[Padm (kN)]],HC[[#This Row],[Padm (kN)]]*HC[[#This Row],[nE]]*INDEX(grupoEstacas[],HC[[#This Row],[nE]],MATCH("ε",grupoEstacas[#Headers],0))),"N.S.")</f>
        <v>N.S.</v>
      </c>
      <c r="AD85" s="4">
        <f ca="1">1.05*HC[[#This Row],[Nsd (kN)]]/(HC[[#This Row],[nE]]*PI()*HC[[#This Row],[Ø (cm)]]^2/4)*10</f>
        <v>2.7283704530039197</v>
      </c>
      <c r="AE85" s="4">
        <f ca="1">IF(HC[[#This Row],[σ (MPa)]]&lt;INDEX(tipoEstaca[],MATCH($D$2,tipoEstaca[TIPO DE ESTACA],0),MATCH("σmáx (MPa)",tipoEstaca[#Headers],0)),0.4%*PI()*HC[[#This Row],[Ø (cm)]]^2/4,"N.S.")</f>
        <v>3.848451000647497</v>
      </c>
      <c r="AF85" s="1">
        <f>INDEX(tipoEstaca[],MATCH($D$2,tipoEstaca[TIPO DE ESTACA],0),MATCH(HC[[#Headers],[Comprimento (m)]],tipoEstaca[#Headers],0))</f>
        <v>4</v>
      </c>
      <c r="AG85" s="5">
        <f ca="1">HC[[#This Row],[As,mín (cm²)]]/100^2*HC[[#This Row],[Comprimento (m)]]*7850</f>
        <v>12.08413614203314</v>
      </c>
      <c r="AH85" s="4">
        <f ca="1">HC[[#This Row],[nE]]*HC[[#This Row],[Prof. (m)]]*HC[[#This Row],[Ap (m²)]]</f>
        <v>6.734789251133118</v>
      </c>
      <c r="AI85" s="1">
        <f ca="1">IF(HC[[#This Row],[nE]]=1,0,MAX(3*HC[[#This Row],[Ø (cm)]],60))</f>
        <v>105</v>
      </c>
      <c r="AJ85" s="1">
        <f ca="1">IF(HC[[#This Row],[nE]]=1,HC[[#This Row],[Ø (cm)]]+2*10,MAX(1.5*HC[[#This Row],[Ø (cm)]],HC[[#This Row],[Ø (cm)]]+15))</f>
        <v>52.5</v>
      </c>
      <c r="AK85" s="1" t="str">
        <f ca="1">alturaUtil(HC[[#This Row],[nE]],HC[[#This Row],[Ø (cm)]],HC[[#This Row],[e (cm)]],HC[[#This Row],[ap,eq (cm)]])</f>
        <v>N.S.</v>
      </c>
      <c r="AL85" s="1" t="str">
        <f ca="1">IFERROR(HC[[#This Row],[d (cm)]]+arredondarParaCimaMultiplo5cm(MAX(5,SQRT(PI())/2*HC[[#This Row],[Ø (cm)]]/5)),"N.S.")</f>
        <v>N.S.</v>
      </c>
      <c r="AM85" s="5" t="str">
        <f ca="1">alpha(HC[[#This Row],[nE]],HC[[#This Row],[d (cm)]],HC[[#This Row],[e (cm)]],HC[[#This Row],[ap,eq (cm)]])</f>
        <v>N.S.</v>
      </c>
      <c r="AN85" s="35" t="str">
        <f ca="1">IFERROR(HC[[#This Row],[Nsd (kN)]]/(HC[[#This Row],[Ap (cm²)]]*SIN(HC[[#This Row],[α]])^2),"N.S.")</f>
        <v>N.S.</v>
      </c>
      <c r="AO85" s="35" t="str">
        <f ca="1">IFERROR(HC[[#This Row],[Nsd (kN)]]/(HC[[#This Row],[nE]]*PI()*HC[[#This Row],[Ø (cm)]]^2/4*SIN(HC[[#This Row],[α]])^2),"N.S.")</f>
        <v>N.S.</v>
      </c>
      <c r="AP85" s="4" t="str">
        <f ca="1">IFERROR(INDEX(grupoEstacas[],HC[[#This Row],[nE]],MATCH("coef. Blévot",grupoEstacas[#Headers],0)),"N.S.")</f>
        <v>N.S.</v>
      </c>
      <c r="AQ85" s="35" t="str">
        <f ca="1">IFERROR(HC[[#This Row],[coef. Blévot]]*0.9*INDEX(tipoEstaca[],MATCH($D$2,tipoEstaca[TIPO DE ESTACA],0),MATCH("fcd (kN/cm²)",tipoEstaca[#Headers],0)),"N.S.")</f>
        <v>N.S.</v>
      </c>
      <c r="AR85" s="1" t="str">
        <f ca="1">IF(AND(HC[[#This Row],[cd,b,pil (kN/cm²)]]&lt;=HC[[#This Row],[cd,b,lim (kN/cm²)]],HC[[#This Row],[cd,b,est (kN/cm²)]]&lt;=HC[[#This Row],[cd,b,lim (kN/cm²)]]),"OK","ERRO")</f>
        <v>OK</v>
      </c>
      <c r="AS85" s="4" t="str">
        <f ca="1">As_lado(HC[[#This Row],[nE]],HC[[#This Row],[Nsd (kN)]],HC[[#This Row],[d (cm)]],HC[[#This Row],[e (cm)]],HC[[#This Row],[ap,eq (cm)]])</f>
        <v>N.S.</v>
      </c>
      <c r="AT85" s="4" t="str">
        <f ca="1">IF(HC[[#This Row],[nE]]=1,HC[[#This Row],[As,lado (cm²)]],IF(HC[[#This Row],[nE]]=2,0.075*2*HC[a (cm)],"N.A."))</f>
        <v>N.A.</v>
      </c>
      <c r="AU85" s="4" t="str">
        <f ca="1">IFERROR(IF(HC[[#This Row],[nE]]=1,"N.A.",0.2*HC[[#This Row],[As,lado (cm²)]]),"N.S.")</f>
        <v>N.S.</v>
      </c>
      <c r="AV85" s="4" t="str">
        <f ca="1">As_malha(HC[[#This Row],[nE]],HC[[#This Row],[As,lado (cm²)]],HC[[#This Row],[Nsd (kN)]])</f>
        <v>N.S.</v>
      </c>
      <c r="AW85" s="4" t="str">
        <f ca="1">As_susp_tot(HC[[#This Row],[nE]],HC[[#This Row],[Nsd (kN)]])</f>
        <v>N.S.</v>
      </c>
      <c r="AX85" s="4" t="str">
        <f ca="1">Asp_face(HC[[#This Row],[nE]],HC[[#This Row],[As,lado (cm²)]])</f>
        <v>N.S.</v>
      </c>
      <c r="AY85" s="5" t="str">
        <f ca="1">acoBloco(HC[[#This Row],[nE]],HC[[#This Row],[e (cm)]],HC[[#This Row],[a (cm)]],HC[[#This Row],[h (cm)]],HC[[#This Row],[As,lado (cm²)]],HC[[#This Row],[Asp e Asw (cm²/m)]],HC[[#This Row],[As,sup (cm²)]],HC[[#This Row],[As,malha (cm²)]],HC[[#This Row],[As,susp,tot (cm²)]],HC[[#This Row],[Asp,face (cm²)]])</f>
        <v>N.S.</v>
      </c>
      <c r="AZ85" s="4" t="str">
        <f ca="1">concretoBloco(HC[[#This Row],[nE]],HC[[#This Row],[e (cm)]],HC[[#This Row],[a (cm)]],HC[[#This Row],[h (cm)]])</f>
        <v>N.S.</v>
      </c>
      <c r="BA85" s="5">
        <f ca="1">SUM(HC[[#This Row],[Aço Est (kg)]],HC[[#This Row],[Aço Bloco (kg)]])</f>
        <v>12.08413614203314</v>
      </c>
      <c r="BB85" s="4">
        <f>INDEX(composicoes[],MATCH(95580,composicoes[CÓDIGO],0),MATCH("CUSTO TOTAL",composicoes[#Headers],0))</f>
        <v>10.46</v>
      </c>
      <c r="BC85" s="4">
        <f ca="1">SUM(HC[[#This Row],[Conc Est (m³)]],HC[[#This Row],[Conc Bloco (m³)]])</f>
        <v>6.734789251133118</v>
      </c>
      <c r="BD85" s="4">
        <f>INDEX(composicoes[],MATCH(94966,composicoes[CÓDIGO],0),MATCH("CUSTO TOTAL",composicoes[#Headers],0))</f>
        <v>439.52</v>
      </c>
      <c r="BE85" s="38">
        <f ca="1">HC[[#This Row],[Aço (kg)]]*HC[[#This Row],[Aço (R$/kg)]]+HC[[#This Row],[Conc (m³)]]*HC[[#This Row],[Conc (R$/m³)]]</f>
        <v>3086.4746357036943</v>
      </c>
      <c r="BF85" s="4" t="str">
        <f ca="1">IF(COUNTIF(HC[#This Row],"N.S.")&gt;0,"lim.","OK")</f>
        <v>lim.</v>
      </c>
      <c r="BG85" s="4" t="str">
        <f>IF(HC[[#This Row],[Prof. (m)]]&lt;4,"lim.","OK")</f>
        <v>OK</v>
      </c>
      <c r="BH85" s="4" t="str">
        <f>IF(HC[[#This Row],[Prof. (m)]]&gt;=8*HC[[#This Row],[Ø (cm)]]/100,"OK","lim.")</f>
        <v>OK</v>
      </c>
      <c r="BI85" s="4" t="str">
        <f ca="1">IF(HC[[#This Row],[Verif. Biela]]="OK","OK","lim.")</f>
        <v>OK</v>
      </c>
      <c r="BJ85" s="4" t="str">
        <f ca="1">IF(COUNTA(HC[[#This Row],[Nº Est.]:[Biela comp.]])=COUNTIF(HC[[#This Row],[Nº Est.]:[Biela comp.]],"OK"),"OK","lim.")</f>
        <v>lim.</v>
      </c>
      <c r="BK85" s="4" t="str">
        <f ca="1">IF(HC[[#This Row],[Controle]]="OK",HC[[#This Row],[nE]]&amp;" Ø"&amp;HC[[#This Row],[Ø (cm)]]&amp;"cm Prof. "&amp;HC[[#This Row],[Prof. (m)]]&amp;" m","")</f>
        <v/>
      </c>
      <c r="BL85" s="4" t="str">
        <f ca="1">IF(HC[[#This Row],[idDimensionamento]]="","",HC[[#This Row],[idPilar]]&amp;HC[[#This Row],[idDimensionamento]])</f>
        <v/>
      </c>
    </row>
    <row r="86" spans="2:64" x14ac:dyDescent="0.25">
      <c r="B86" s="12">
        <f>ROUNDUP((ROW(HC[[#This Row],[idDiâmetro]])-ROW(HC[[#Headers],[idDiâmetro]]))/(COUNT(SPT[Prof. (m)])*COUNT(PILARES[Pilar])),0)</f>
        <v>3</v>
      </c>
      <c r="C86" s="12">
        <f>IF(HC[[#This Row],[idDiâmetro]]&lt;&gt;B85,1,IF(HC[[#This Row],[Prof. (m)]]=0,C85+1,C85))</f>
        <v>2</v>
      </c>
      <c r="D86" s="1">
        <f>IFERROR(IF(D85=MAX(SPT[Prof. (m)]),0,D85+1),0)</f>
        <v>11</v>
      </c>
      <c r="E86" s="1">
        <f>INDEX(SPT[],MATCH(HC[[#This Row],[Prof. (m)]],SPT[Prof. (m)],0),2)</f>
        <v>41</v>
      </c>
      <c r="F86" s="1" t="str">
        <f>INDEX(SPT[],MATCH(HC[[#This Row],[Prof. (m)]],SPT[Prof. (m)],0),3)</f>
        <v>Areia siltosa</v>
      </c>
      <c r="G86" s="1">
        <f>INDEX(estacas[],HC[[#This Row],[idDiâmetro]],MATCH($B$2,estacas[#Headers],0))</f>
        <v>35</v>
      </c>
      <c r="H86" s="1">
        <f>INDEX(estacas[],MATCH(HC[[#This Row],[Ø (cm)]],estacas[Ø HC (cm)],0),MATCH(HC[[#Headers],[Pe HC (kN)]],estacas[#Headers],0))</f>
        <v>600</v>
      </c>
      <c r="I86" s="4">
        <f>INDEX(K_alpha_C[],MATCH(HC[[#This Row],[Solo]],K_alpha_C[Solo],0),2)</f>
        <v>0.8</v>
      </c>
      <c r="J86" s="5">
        <f>INDEX(K_alpha_C[],MATCH(HC[[#This Row],[Solo]],K_alpha_C[Solo],0),3)</f>
        <v>2</v>
      </c>
      <c r="K86" s="4">
        <f>INDEX(F1_F2[],MATCH($D$2,F1_F2[Tipo de estaca],0),2)</f>
        <v>2</v>
      </c>
      <c r="L86" s="4">
        <f>INDEX(F1_F2[],MATCH($D$2,F1_F2[Tipo de estaca],0),3)</f>
        <v>4</v>
      </c>
      <c r="M86" s="4">
        <f>PI()*(HC[[#This Row],[Ø (cm)]]/100)^2/4</f>
        <v>9.6211275016187398E-2</v>
      </c>
      <c r="N86" s="4">
        <f>PI()*HC[[#This Row],[Ø (cm)]]/100</f>
        <v>1.0995574287564276</v>
      </c>
      <c r="O86" s="4">
        <f>IF(HC[[#This Row],[Prof. (m)]]=0,0,HC[[#This Row],[α (%)]]/100*HC[[#This Row],[K (MPa)]]*1000*HC[[#This Row],[NSPT]])</f>
        <v>656</v>
      </c>
      <c r="P86" s="4">
        <f>IF(HC[[#This Row],[Prof. (m)]]=0,0,(HC[[#This Row],[K (MPa)]]*1000*HC[[#This Row],[NSPT]]/HC[[#This Row],[F1]]*HC[[#This Row],[Ap (m²)]]+HC[[#This Row],[U (m)]]/HC[[#This Row],[F2]]*SUMIFS(HC[(α∙K∙NL∙ΔL)],HC[Prof. (m)],"&lt;="&amp;HC[[#This Row],[Prof. (m)]],HC[idDiâmetro],HC[[#This Row],[idDiâmetro]],HC[idPilar],HC[[#This Row],[idPilar]]))/'DADOS CAP. CARGA'!$D$2)</f>
        <v>1144.0757601532032</v>
      </c>
      <c r="Q86" s="12">
        <f>INDEX(C_alpha_beta[],MATCH(HC[[#This Row],[Solo]],C_alpha_beta[Solo],0),MATCH(HC[[#Headers],[C (kPa)]],C_alpha_beta[#Headers],0))</f>
        <v>400</v>
      </c>
      <c r="R86" s="4">
        <f>INDEX(C_alpha_beta[],MATCH(HC[[#This Row],[Solo]],C_alpha_beta[Solo],0),MATCH(HC[[#Headers],[α ESF]],C_alpha_beta[#Headers],0))</f>
        <v>0.5</v>
      </c>
      <c r="S86" s="4">
        <f>INDEX(C_alpha_beta[],MATCH(HC[[#This Row],[Solo]],C_alpha_beta[Solo],0),MATCH(HC[[#Headers],[β ESF]],C_alpha_beta[#Headers],0))</f>
        <v>0.5</v>
      </c>
      <c r="T86" s="4">
        <f>IF(HC[[#This Row],[Prof. (m)]]=0,0,10*(HC[[#This Row],[NSPT]]/3+1))</f>
        <v>146.66666666666666</v>
      </c>
      <c r="U86" s="4">
        <f>(HC[[#This Row],[α ESF]]*HC[[#This Row],[C (kPa)]]*HC[[#This Row],[NSPT]]*HC[[#This Row],[Ap (m²)]])/'DADOS CAP. CARGA'!$Q$2+(HC[[#This Row],[β ESF]]*SUMIFS(HC[10∙(NL/3+1)],HC[Prof. (m)],"&lt;="&amp;HC[[#This Row],[Prof. (m)]],HC[idDiâmetro],HC[[#This Row],[idDiâmetro]],HC[idPilar],HC[[#This Row],[idPilar]])*HC[[#This Row],[U (m)]])/'DADOS CAP. CARGA'!$S$2</f>
        <v>384.15787667177682</v>
      </c>
      <c r="V86" s="4">
        <f>IF(SPT!$M$5=1,MIN(HC[[#This Row],[Pe HC (kN)]],HC[[#This Row],[R_AV (kN)]]),IF(SPT!$M$5=2,MIN(HC[[#This Row],[Pe HC (kN)]],HC[[#This Row],[R_DC (kN)]]),MIN(HC[[#This Row],[Pe HC (kN)]],HC[[#This Row],[R_AV (kN)]],HC[[#This Row],[R_DC (kN)]])))</f>
        <v>384.15787667177682</v>
      </c>
      <c r="W86" s="4">
        <f>INDEX(PILARES[],HC[[#This Row],[idPilar]],MATCH("Carga (kN)",PILARES[#Headers],0))*1.4</f>
        <v>1750</v>
      </c>
      <c r="X86" s="12">
        <f>INDEX(PILARES[],HC[[#This Row],[idPilar]],MATCH(HC[[#Headers],[ap (cm)]],PILARES[#Headers],0))</f>
        <v>50</v>
      </c>
      <c r="Y86" s="12">
        <f>INDEX(PILARES[],HC[[#This Row],[idPilar]],MATCH(HC[[#Headers],[bp (cm)]],PILARES[#Headers],0))</f>
        <v>40</v>
      </c>
      <c r="Z86" s="4">
        <f>SQRT(HC[[#This Row],[ap (cm)]]*HC[[#This Row],[bp (cm)]])</f>
        <v>44.721359549995796</v>
      </c>
      <c r="AA86" s="12">
        <f>HC[[#This Row],[ap (cm)]]*HC[[#This Row],[bp (cm)]]</f>
        <v>2000</v>
      </c>
      <c r="AB86" s="12">
        <f ca="1">IF(HC[[#This Row],[Padm∙ε (kN)]]&gt;=HC[[#This Row],[Padm (kN)]],ROUNDUP(1.05*HC[[#This Row],[Nsd (kN)]]/HC[[#This Row],[Padm (kN)]],0),ROUNDUP(1.05*HC[[#This Row],[Nsd (kN)]]/HC[[#This Row],[Padm (kN)]],0)+1)</f>
        <v>5</v>
      </c>
      <c r="AC86" s="4" t="str">
        <f ca="1">IFERROR(IF(HC[[#This Row],[nE]]=1,HC[[#This Row],[Padm (kN)]],HC[[#This Row],[Padm (kN)]]*HC[[#This Row],[nE]]*INDEX(grupoEstacas[],HC[[#This Row],[nE]],MATCH("ε",grupoEstacas[#Headers],0))),"N.S.")</f>
        <v>N.S.</v>
      </c>
      <c r="AD86" s="4">
        <f ca="1">1.05*HC[[#This Row],[Nsd (kN)]]/(HC[[#This Row],[nE]]*PI()*HC[[#This Row],[Ø (cm)]]^2/4)*10</f>
        <v>3.8197186342054885</v>
      </c>
      <c r="AE86" s="4">
        <f ca="1">IF(HC[[#This Row],[σ (MPa)]]&lt;INDEX(tipoEstaca[],MATCH($D$2,tipoEstaca[TIPO DE ESTACA],0),MATCH("σmáx (MPa)",tipoEstaca[#Headers],0)),0.4%*PI()*HC[[#This Row],[Ø (cm)]]^2/4,"N.S.")</f>
        <v>3.848451000647497</v>
      </c>
      <c r="AF86" s="1">
        <f>INDEX(tipoEstaca[],MATCH($D$2,tipoEstaca[TIPO DE ESTACA],0),MATCH(HC[[#Headers],[Comprimento (m)]],tipoEstaca[#Headers],0))</f>
        <v>4</v>
      </c>
      <c r="AG86" s="5">
        <f ca="1">HC[[#This Row],[As,mín (cm²)]]/100^2*HC[[#This Row],[Comprimento (m)]]*7850</f>
        <v>12.08413614203314</v>
      </c>
      <c r="AH86" s="4">
        <f ca="1">HC[[#This Row],[nE]]*HC[[#This Row],[Prof. (m)]]*HC[[#This Row],[Ap (m²)]]</f>
        <v>5.2916201258903071</v>
      </c>
      <c r="AI86" s="1">
        <f ca="1">IF(HC[[#This Row],[nE]]=1,0,MAX(3*HC[[#This Row],[Ø (cm)]],60))</f>
        <v>105</v>
      </c>
      <c r="AJ86" s="1">
        <f ca="1">IF(HC[[#This Row],[nE]]=1,HC[[#This Row],[Ø (cm)]]+2*10,MAX(1.5*HC[[#This Row],[Ø (cm)]],HC[[#This Row],[Ø (cm)]]+15))</f>
        <v>52.5</v>
      </c>
      <c r="AK86" s="1" t="str">
        <f ca="1">alturaUtil(HC[[#This Row],[nE]],HC[[#This Row],[Ø (cm)]],HC[[#This Row],[e (cm)]],HC[[#This Row],[ap,eq (cm)]])</f>
        <v>N.S.</v>
      </c>
      <c r="AL86" s="1" t="str">
        <f ca="1">IFERROR(HC[[#This Row],[d (cm)]]+arredondarParaCimaMultiplo5cm(MAX(5,SQRT(PI())/2*HC[[#This Row],[Ø (cm)]]/5)),"N.S.")</f>
        <v>N.S.</v>
      </c>
      <c r="AM86" s="5" t="str">
        <f ca="1">alpha(HC[[#This Row],[nE]],HC[[#This Row],[d (cm)]],HC[[#This Row],[e (cm)]],HC[[#This Row],[ap,eq (cm)]])</f>
        <v>N.S.</v>
      </c>
      <c r="AN86" s="35" t="str">
        <f ca="1">IFERROR(HC[[#This Row],[Nsd (kN)]]/(HC[[#This Row],[Ap (cm²)]]*SIN(HC[[#This Row],[α]])^2),"N.S.")</f>
        <v>N.S.</v>
      </c>
      <c r="AO86" s="35" t="str">
        <f ca="1">IFERROR(HC[[#This Row],[Nsd (kN)]]/(HC[[#This Row],[nE]]*PI()*HC[[#This Row],[Ø (cm)]]^2/4*SIN(HC[[#This Row],[α]])^2),"N.S.")</f>
        <v>N.S.</v>
      </c>
      <c r="AP86" s="4" t="str">
        <f ca="1">IFERROR(INDEX(grupoEstacas[],HC[[#This Row],[nE]],MATCH("coef. Blévot",grupoEstacas[#Headers],0)),"N.S.")</f>
        <v>N.S.</v>
      </c>
      <c r="AQ86" s="35" t="str">
        <f ca="1">IFERROR(HC[[#This Row],[coef. Blévot]]*0.9*INDEX(tipoEstaca[],MATCH($D$2,tipoEstaca[TIPO DE ESTACA],0),MATCH("fcd (kN/cm²)",tipoEstaca[#Headers],0)),"N.S.")</f>
        <v>N.S.</v>
      </c>
      <c r="AR86" s="1" t="str">
        <f ca="1">IF(AND(HC[[#This Row],[cd,b,pil (kN/cm²)]]&lt;=HC[[#This Row],[cd,b,lim (kN/cm²)]],HC[[#This Row],[cd,b,est (kN/cm²)]]&lt;=HC[[#This Row],[cd,b,lim (kN/cm²)]]),"OK","ERRO")</f>
        <v>OK</v>
      </c>
      <c r="AS86" s="4" t="str">
        <f ca="1">As_lado(HC[[#This Row],[nE]],HC[[#This Row],[Nsd (kN)]],HC[[#This Row],[d (cm)]],HC[[#This Row],[e (cm)]],HC[[#This Row],[ap,eq (cm)]])</f>
        <v>N.S.</v>
      </c>
      <c r="AT86" s="4" t="str">
        <f ca="1">IF(HC[[#This Row],[nE]]=1,HC[[#This Row],[As,lado (cm²)]],IF(HC[[#This Row],[nE]]=2,0.075*2*HC[a (cm)],"N.A."))</f>
        <v>N.A.</v>
      </c>
      <c r="AU86" s="4" t="str">
        <f ca="1">IFERROR(IF(HC[[#This Row],[nE]]=1,"N.A.",0.2*HC[[#This Row],[As,lado (cm²)]]),"N.S.")</f>
        <v>N.S.</v>
      </c>
      <c r="AV86" s="4" t="str">
        <f ca="1">As_malha(HC[[#This Row],[nE]],HC[[#This Row],[As,lado (cm²)]],HC[[#This Row],[Nsd (kN)]])</f>
        <v>N.S.</v>
      </c>
      <c r="AW86" s="4" t="str">
        <f ca="1">As_susp_tot(HC[[#This Row],[nE]],HC[[#This Row],[Nsd (kN)]])</f>
        <v>N.S.</v>
      </c>
      <c r="AX86" s="4" t="str">
        <f ca="1">Asp_face(HC[[#This Row],[nE]],HC[[#This Row],[As,lado (cm²)]])</f>
        <v>N.S.</v>
      </c>
      <c r="AY86" s="5" t="str">
        <f ca="1">acoBloco(HC[[#This Row],[nE]],HC[[#This Row],[e (cm)]],HC[[#This Row],[a (cm)]],HC[[#This Row],[h (cm)]],HC[[#This Row],[As,lado (cm²)]],HC[[#This Row],[Asp e Asw (cm²/m)]],HC[[#This Row],[As,sup (cm²)]],HC[[#This Row],[As,malha (cm²)]],HC[[#This Row],[As,susp,tot (cm²)]],HC[[#This Row],[Asp,face (cm²)]])</f>
        <v>N.S.</v>
      </c>
      <c r="AZ86" s="4" t="str">
        <f ca="1">concretoBloco(HC[[#This Row],[nE]],HC[[#This Row],[e (cm)]],HC[[#This Row],[a (cm)]],HC[[#This Row],[h (cm)]])</f>
        <v>N.S.</v>
      </c>
      <c r="BA86" s="5">
        <f ca="1">SUM(HC[[#This Row],[Aço Est (kg)]],HC[[#This Row],[Aço Bloco (kg)]])</f>
        <v>12.08413614203314</v>
      </c>
      <c r="BB86" s="4">
        <f>INDEX(composicoes[],MATCH(95580,composicoes[CÓDIGO],0),MATCH("CUSTO TOTAL",composicoes[#Headers],0))</f>
        <v>10.46</v>
      </c>
      <c r="BC86" s="4">
        <f ca="1">SUM(HC[[#This Row],[Conc Est (m³)]],HC[[#This Row],[Conc Bloco (m³)]])</f>
        <v>5.2916201258903071</v>
      </c>
      <c r="BD86" s="4">
        <f>INDEX(composicoes[],MATCH(94966,composicoes[CÓDIGO],0),MATCH("CUSTO TOTAL",composicoes[#Headers],0))</f>
        <v>439.52</v>
      </c>
      <c r="BE86" s="38">
        <f ca="1">HC[[#This Row],[Aço (kg)]]*HC[[#This Row],[Aço (R$/kg)]]+HC[[#This Row],[Conc (m³)]]*HC[[#This Row],[Conc (R$/m³)]]</f>
        <v>2452.1729417769743</v>
      </c>
      <c r="BF86" s="4" t="str">
        <f ca="1">IF(COUNTIF(HC[#This Row],"N.S.")&gt;0,"lim.","OK")</f>
        <v>lim.</v>
      </c>
      <c r="BG86" s="4" t="str">
        <f>IF(HC[[#This Row],[Prof. (m)]]&lt;4,"lim.","OK")</f>
        <v>OK</v>
      </c>
      <c r="BH86" s="4" t="str">
        <f>IF(HC[[#This Row],[Prof. (m)]]&gt;=8*HC[[#This Row],[Ø (cm)]]/100,"OK","lim.")</f>
        <v>OK</v>
      </c>
      <c r="BI86" s="4" t="str">
        <f ca="1">IF(HC[[#This Row],[Verif. Biela]]="OK","OK","lim.")</f>
        <v>OK</v>
      </c>
      <c r="BJ86" s="4" t="str">
        <f ca="1">IF(COUNTA(HC[[#This Row],[Nº Est.]:[Biela comp.]])=COUNTIF(HC[[#This Row],[Nº Est.]:[Biela comp.]],"OK"),"OK","lim.")</f>
        <v>lim.</v>
      </c>
      <c r="BK86" s="4" t="str">
        <f ca="1">IF(HC[[#This Row],[Controle]]="OK",HC[[#This Row],[nE]]&amp;" Ø"&amp;HC[[#This Row],[Ø (cm)]]&amp;"cm Prof. "&amp;HC[[#This Row],[Prof. (m)]]&amp;" m","")</f>
        <v/>
      </c>
      <c r="BL86" s="4" t="str">
        <f ca="1">IF(HC[[#This Row],[idDimensionamento]]="","",HC[[#This Row],[idPilar]]&amp;HC[[#This Row],[idDimensionamento]])</f>
        <v/>
      </c>
    </row>
    <row r="87" spans="2:64" x14ac:dyDescent="0.25">
      <c r="B87" s="12">
        <f>ROUNDUP((ROW(HC[[#This Row],[idDiâmetro]])-ROW(HC[[#Headers],[idDiâmetro]]))/(COUNT(SPT[Prof. (m)])*COUNT(PILARES[Pilar])),0)</f>
        <v>3</v>
      </c>
      <c r="C87" s="12">
        <f>IF(HC[[#This Row],[idDiâmetro]]&lt;&gt;B86,1,IF(HC[[#This Row],[Prof. (m)]]=0,C86+1,C86))</f>
        <v>2</v>
      </c>
      <c r="D87" s="1">
        <f>IFERROR(IF(D86=MAX(SPT[Prof. (m)]),0,D86+1),0)</f>
        <v>12</v>
      </c>
      <c r="E87" s="1">
        <f>INDEX(SPT[],MATCH(HC[[#This Row],[Prof. (m)]],SPT[Prof. (m)],0),2)</f>
        <v>52</v>
      </c>
      <c r="F87" s="1" t="str">
        <f>INDEX(SPT[],MATCH(HC[[#This Row],[Prof. (m)]],SPT[Prof. (m)],0),3)</f>
        <v>Areia siltosa</v>
      </c>
      <c r="G87" s="1">
        <f>INDEX(estacas[],HC[[#This Row],[idDiâmetro]],MATCH($B$2,estacas[#Headers],0))</f>
        <v>35</v>
      </c>
      <c r="H87" s="1">
        <f>INDEX(estacas[],MATCH(HC[[#This Row],[Ø (cm)]],estacas[Ø HC (cm)],0),MATCH(HC[[#Headers],[Pe HC (kN)]],estacas[#Headers],0))</f>
        <v>600</v>
      </c>
      <c r="I87" s="4">
        <f>INDEX(K_alpha_C[],MATCH(HC[[#This Row],[Solo]],K_alpha_C[Solo],0),2)</f>
        <v>0.8</v>
      </c>
      <c r="J87" s="5">
        <f>INDEX(K_alpha_C[],MATCH(HC[[#This Row],[Solo]],K_alpha_C[Solo],0),3)</f>
        <v>2</v>
      </c>
      <c r="K87" s="4">
        <f>INDEX(F1_F2[],MATCH($D$2,F1_F2[Tipo de estaca],0),2)</f>
        <v>2</v>
      </c>
      <c r="L87" s="4">
        <f>INDEX(F1_F2[],MATCH($D$2,F1_F2[Tipo de estaca],0),3)</f>
        <v>4</v>
      </c>
      <c r="M87" s="4">
        <f>PI()*(HC[[#This Row],[Ø (cm)]]/100)^2/4</f>
        <v>9.6211275016187398E-2</v>
      </c>
      <c r="N87" s="4">
        <f>PI()*HC[[#This Row],[Ø (cm)]]/100</f>
        <v>1.0995574287564276</v>
      </c>
      <c r="O87" s="4">
        <f>IF(HC[[#This Row],[Prof. (m)]]=0,0,HC[[#This Row],[α (%)]]/100*HC[[#This Row],[K (MPa)]]*1000*HC[[#This Row],[NSPT]])</f>
        <v>832</v>
      </c>
      <c r="P87" s="4">
        <f>IF(HC[[#This Row],[Prof. (m)]]=0,0,(HC[[#This Row],[K (MPa)]]*1000*HC[[#This Row],[NSPT]]/HC[[#This Row],[F1]]*HC[[#This Row],[Ap (m²)]]+HC[[#This Row],[U (m)]]/HC[[#This Row],[F2]]*SUMIFS(HC[(α∙K∙NL∙ΔL)],HC[Prof. (m)],"&lt;="&amp;HC[[#This Row],[Prof. (m)]],HC[idDiâmetro],HC[[#This Row],[idDiâmetro]],HC[idPilar],HC[[#This Row],[idPilar]]))/'DADOS CAP. CARGA'!$D$2)</f>
        <v>1470.0945377794842</v>
      </c>
      <c r="Q87" s="12">
        <f>INDEX(C_alpha_beta[],MATCH(HC[[#This Row],[Solo]],C_alpha_beta[Solo],0),MATCH(HC[[#Headers],[C (kPa)]],C_alpha_beta[#Headers],0))</f>
        <v>400</v>
      </c>
      <c r="R87" s="4">
        <f>INDEX(C_alpha_beta[],MATCH(HC[[#This Row],[Solo]],C_alpha_beta[Solo],0),MATCH(HC[[#Headers],[α ESF]],C_alpha_beta[#Headers],0))</f>
        <v>0.5</v>
      </c>
      <c r="S87" s="4">
        <f>INDEX(C_alpha_beta[],MATCH(HC[[#This Row],[Solo]],C_alpha_beta[Solo],0),MATCH(HC[[#Headers],[β ESF]],C_alpha_beta[#Headers],0))</f>
        <v>0.5</v>
      </c>
      <c r="T87" s="4">
        <f>IF(HC[[#This Row],[Prof. (m)]]=0,0,10*(HC[[#This Row],[NSPT]]/3+1))</f>
        <v>183.33333333333331</v>
      </c>
      <c r="U87" s="4">
        <f>(HC[[#This Row],[α ESF]]*HC[[#This Row],[C (kPa)]]*HC[[#This Row],[NSPT]]*HC[[#This Row],[Ap (m²)]])/'DADOS CAP. CARGA'!$Q$2+(HC[[#This Row],[β ESF]]*SUMIFS(HC[10∙(NL/3+1)],HC[Prof. (m)],"&lt;="&amp;HC[[#This Row],[Prof. (m)]],HC[idDiâmetro],HC[[#This Row],[idDiâmetro]],HC[idPilar],HC[[#This Row],[idPilar]])*HC[[#This Row],[U (m)]])/'DADOS CAP. CARGA'!$S$2</f>
        <v>487.47046008201619</v>
      </c>
      <c r="V87" s="4">
        <f>IF(SPT!$M$5=1,MIN(HC[[#This Row],[Pe HC (kN)]],HC[[#This Row],[R_AV (kN)]]),IF(SPT!$M$5=2,MIN(HC[[#This Row],[Pe HC (kN)]],HC[[#This Row],[R_DC (kN)]]),MIN(HC[[#This Row],[Pe HC (kN)]],HC[[#This Row],[R_AV (kN)]],HC[[#This Row],[R_DC (kN)]])))</f>
        <v>487.47046008201619</v>
      </c>
      <c r="W87" s="4">
        <f>INDEX(PILARES[],HC[[#This Row],[idPilar]],MATCH("Carga (kN)",PILARES[#Headers],0))*1.4</f>
        <v>1750</v>
      </c>
      <c r="X87" s="12">
        <f>INDEX(PILARES[],HC[[#This Row],[idPilar]],MATCH(HC[[#Headers],[ap (cm)]],PILARES[#Headers],0))</f>
        <v>50</v>
      </c>
      <c r="Y87" s="12">
        <f>INDEX(PILARES[],HC[[#This Row],[idPilar]],MATCH(HC[[#Headers],[bp (cm)]],PILARES[#Headers],0))</f>
        <v>40</v>
      </c>
      <c r="Z87" s="4">
        <f>SQRT(HC[[#This Row],[ap (cm)]]*HC[[#This Row],[bp (cm)]])</f>
        <v>44.721359549995796</v>
      </c>
      <c r="AA87" s="12">
        <f>HC[[#This Row],[ap (cm)]]*HC[[#This Row],[bp (cm)]]</f>
        <v>2000</v>
      </c>
      <c r="AB87" s="12">
        <f ca="1">IF(HC[[#This Row],[Padm∙ε (kN)]]&gt;=HC[[#This Row],[Padm (kN)]],ROUNDUP(1.05*HC[[#This Row],[Nsd (kN)]]/HC[[#This Row],[Padm (kN)]],0),ROUNDUP(1.05*HC[[#This Row],[Nsd (kN)]]/HC[[#This Row],[Padm (kN)]],0)+1)</f>
        <v>4</v>
      </c>
      <c r="AC87" s="4">
        <f ca="1">IFERROR(IF(HC[[#This Row],[nE]]=1,HC[[#This Row],[Padm (kN)]],HC[[#This Row],[Padm (kN)]]*HC[[#This Row],[nE]]*INDEX(grupoEstacas[],HC[[#This Row],[nE]],MATCH("ε",grupoEstacas[#Headers],0))),"N.S.")</f>
        <v>1584.2789952665526</v>
      </c>
      <c r="AD87" s="4">
        <f ca="1">1.05*HC[[#This Row],[Nsd (kN)]]/(HC[[#This Row],[nE]]*PI()*HC[[#This Row],[Ø (cm)]]^2/4)*10</f>
        <v>4.7746482927568596</v>
      </c>
      <c r="AE87" s="4">
        <f ca="1">IF(HC[[#This Row],[σ (MPa)]]&lt;INDEX(tipoEstaca[],MATCH($D$2,tipoEstaca[TIPO DE ESTACA],0),MATCH("σmáx (MPa)",tipoEstaca[#Headers],0)),0.4%*PI()*HC[[#This Row],[Ø (cm)]]^2/4,"N.S.")</f>
        <v>3.848451000647497</v>
      </c>
      <c r="AF87" s="1">
        <f>INDEX(tipoEstaca[],MATCH($D$2,tipoEstaca[TIPO DE ESTACA],0),MATCH(HC[[#Headers],[Comprimento (m)]],tipoEstaca[#Headers],0))</f>
        <v>4</v>
      </c>
      <c r="AG87" s="5">
        <f ca="1">HC[[#This Row],[As,mín (cm²)]]/100^2*HC[[#This Row],[Comprimento (m)]]*7850</f>
        <v>12.08413614203314</v>
      </c>
      <c r="AH87" s="4">
        <f ca="1">HC[[#This Row],[nE]]*HC[[#This Row],[Prof. (m)]]*HC[[#This Row],[Ap (m²)]]</f>
        <v>4.6181412007769946</v>
      </c>
      <c r="AI87" s="1">
        <f ca="1">IF(HC[[#This Row],[nE]]=1,0,MAX(3*HC[[#This Row],[Ø (cm)]],60))</f>
        <v>105</v>
      </c>
      <c r="AJ87" s="1">
        <f ca="1">IF(HC[[#This Row],[nE]]=1,HC[[#This Row],[Ø (cm)]]+2*10,MAX(1.5*HC[[#This Row],[Ø (cm)]],HC[[#This Row],[Ø (cm)]]+15))</f>
        <v>52.5</v>
      </c>
      <c r="AK87" s="1">
        <f ca="1">alturaUtil(HC[[#This Row],[nE]],HC[[#This Row],[Ø (cm)]],HC[[#This Row],[e (cm)]],HC[[#This Row],[ap,eq (cm)]])</f>
        <v>45</v>
      </c>
      <c r="AL87" s="1">
        <f ca="1">IFERROR(HC[[#This Row],[d (cm)]]+arredondarParaCimaMultiplo5cm(MAX(5,SQRT(PI())/2*HC[[#This Row],[Ø (cm)]]/5)),"N.S.")</f>
        <v>55</v>
      </c>
      <c r="AM87" s="5">
        <f ca="1">alpha(HC[[#This Row],[nE]],HC[[#This Row],[d (cm)]],HC[[#This Row],[e (cm)]],HC[[#This Row],[ap,eq (cm)]])</f>
        <v>47.441394077394719</v>
      </c>
      <c r="AN87" s="35">
        <f ca="1">IFERROR(HC[[#This Row],[Nsd (kN)]]/(HC[[#This Row],[Ap (cm²)]]*SIN(HC[[#This Row],[α]])^2),"N.S.")</f>
        <v>8.9774263307047519</v>
      </c>
      <c r="AO87" s="35">
        <f ca="1">IFERROR(HC[[#This Row],[Nsd (kN)]]/(HC[[#This Row],[nE]]*PI()*HC[[#This Row],[Ø (cm)]]^2/4*SIN(HC[[#This Row],[α]])^2),"N.S.")</f>
        <v>4.6654751894693796</v>
      </c>
      <c r="AP87" s="4">
        <f ca="1">IFERROR(INDEX(grupoEstacas[],HC[[#This Row],[nE]],MATCH("coef. Blévot",grupoEstacas[#Headers],0)),"N.S.")</f>
        <v>2.1</v>
      </c>
      <c r="AQ87" s="35">
        <f ca="1">IFERROR(HC[[#This Row],[coef. Blévot]]*0.9*INDEX(tipoEstaca[],MATCH($D$2,tipoEstaca[TIPO DE ESTACA],0),MATCH("fcd (kN/cm²)",tipoEstaca[#Headers],0)),"N.S.")</f>
        <v>2.1</v>
      </c>
      <c r="AR87" s="1" t="str">
        <f ca="1">IF(AND(HC[[#This Row],[cd,b,pil (kN/cm²)]]&lt;=HC[[#This Row],[cd,b,lim (kN/cm²)]],HC[[#This Row],[cd,b,est (kN/cm²)]]&lt;=HC[[#This Row],[cd,b,lim (kN/cm²)]]),"OK","ERRO")</f>
        <v>ERRO</v>
      </c>
      <c r="AS87" s="4">
        <f ca="1">As_lado(HC[[#This Row],[nE]],HC[[#This Row],[Nsd (kN)]],HC[[#This Row],[d (cm)]],HC[[#This Row],[e (cm)]],HC[[#This Row],[ap,eq (cm)]])</f>
        <v>9.2395351084898198</v>
      </c>
      <c r="AT87" s="4" t="str">
        <f ca="1">IF(HC[[#This Row],[nE]]=1,HC[[#This Row],[As,lado (cm²)]],IF(HC[[#This Row],[nE]]=2,0.075*2*HC[a (cm)],"N.A."))</f>
        <v>N.A.</v>
      </c>
      <c r="AU87" s="4">
        <f ca="1">IFERROR(IF(HC[[#This Row],[nE]]=1,"N.A.",0.2*HC[[#This Row],[As,lado (cm²)]]),"N.S.")</f>
        <v>1.8479070216979641</v>
      </c>
      <c r="AV87" s="4">
        <f ca="1">As_malha(HC[[#This Row],[nE]],HC[[#This Row],[As,lado (cm²)]],HC[[#This Row],[Nsd (kN)]])</f>
        <v>1.8479070216979641</v>
      </c>
      <c r="AW87" s="4">
        <f ca="1">As_susp_tot(HC[[#This Row],[nE]],HC[[#This Row],[Nsd (kN)]])</f>
        <v>6.708333333333333</v>
      </c>
      <c r="AX87" s="4">
        <f ca="1">Asp_face(HC[[#This Row],[nE]],HC[[#This Row],[As,lado (cm²)]])</f>
        <v>4.6197675542449099</v>
      </c>
      <c r="AY87" s="5">
        <f ca="1">acoBloco(HC[[#This Row],[nE]],HC[[#This Row],[e (cm)]],HC[[#This Row],[a (cm)]],HC[[#This Row],[h (cm)]],HC[[#This Row],[As,lado (cm²)]],HC[[#This Row],[Asp e Asw (cm²/m)]],HC[[#This Row],[As,sup (cm²)]],HC[[#This Row],[As,malha (cm²)]],HC[[#This Row],[As,susp,tot (cm²)]],HC[[#This Row],[Asp,face (cm²)]])</f>
        <v>112.56221302635404</v>
      </c>
      <c r="AZ87" s="4">
        <f ca="1">concretoBloco(HC[[#This Row],[nE]],HC[[#This Row],[e (cm)]],HC[[#This Row],[a (cm)]],HC[[#This Row],[h (cm)]])</f>
        <v>2.4255</v>
      </c>
      <c r="BA87" s="5">
        <f ca="1">SUM(HC[[#This Row],[Aço Est (kg)]],HC[[#This Row],[Aço Bloco (kg)]])</f>
        <v>124.64634916838719</v>
      </c>
      <c r="BB87" s="4">
        <f>INDEX(composicoes[],MATCH(95580,composicoes[CÓDIGO],0),MATCH("CUSTO TOTAL",composicoes[#Headers],0))</f>
        <v>10.46</v>
      </c>
      <c r="BC87" s="4">
        <f ca="1">SUM(HC[[#This Row],[Conc Est (m³)]],HC[[#This Row],[Conc Bloco (m³)]])</f>
        <v>7.0436412007769942</v>
      </c>
      <c r="BD87" s="4">
        <f>INDEX(composicoes[],MATCH(94966,composicoes[CÓDIGO],0),MATCH("CUSTO TOTAL",composicoes[#Headers],0))</f>
        <v>439.52</v>
      </c>
      <c r="BE87" s="38">
        <f ca="1">HC[[#This Row],[Aço (kg)]]*HC[[#This Row],[Aço (R$/kg)]]+HC[[#This Row],[Conc (m³)]]*HC[[#This Row],[Conc (R$/m³)]]</f>
        <v>4399.6219928668343</v>
      </c>
      <c r="BF87" s="4" t="str">
        <f ca="1">IF(COUNTIF(HC[#This Row],"N.S.")&gt;0,"lim.","OK")</f>
        <v>OK</v>
      </c>
      <c r="BG87" s="4" t="str">
        <f>IF(HC[[#This Row],[Prof. (m)]]&lt;4,"lim.","OK")</f>
        <v>OK</v>
      </c>
      <c r="BH87" s="4" t="str">
        <f>IF(HC[[#This Row],[Prof. (m)]]&gt;=8*HC[[#This Row],[Ø (cm)]]/100,"OK","lim.")</f>
        <v>OK</v>
      </c>
      <c r="BI87" s="4" t="str">
        <f ca="1">IF(HC[[#This Row],[Verif. Biela]]="OK","OK","lim.")</f>
        <v>lim.</v>
      </c>
      <c r="BJ87" s="4" t="str">
        <f ca="1">IF(COUNTA(HC[[#This Row],[Nº Est.]:[Biela comp.]])=COUNTIF(HC[[#This Row],[Nº Est.]:[Biela comp.]],"OK"),"OK","lim.")</f>
        <v>lim.</v>
      </c>
      <c r="BK87" s="4" t="str">
        <f ca="1">IF(HC[[#This Row],[Controle]]="OK",HC[[#This Row],[nE]]&amp;" Ø"&amp;HC[[#This Row],[Ø (cm)]]&amp;"cm Prof. "&amp;HC[[#This Row],[Prof. (m)]]&amp;" m","")</f>
        <v/>
      </c>
      <c r="BL87" s="4" t="str">
        <f ca="1">IF(HC[[#This Row],[idDimensionamento]]="","",HC[[#This Row],[idPilar]]&amp;HC[[#This Row],[idDimensionamento]])</f>
        <v/>
      </c>
    </row>
    <row r="88" spans="2:64" x14ac:dyDescent="0.25">
      <c r="B88" s="12">
        <f>ROUNDUP((ROW(HC[[#This Row],[idDiâmetro]])-ROW(HC[[#Headers],[idDiâmetro]]))/(COUNT(SPT[Prof. (m)])*COUNT(PILARES[Pilar])),0)</f>
        <v>3</v>
      </c>
      <c r="C88" s="12">
        <f>IF(HC[[#This Row],[idDiâmetro]]&lt;&gt;B87,1,IF(HC[[#This Row],[Prof. (m)]]=0,C87+1,C87))</f>
        <v>2</v>
      </c>
      <c r="D88" s="1">
        <f>IFERROR(IF(D87=MAX(SPT[Prof. (m)]),0,D87+1),0)</f>
        <v>13</v>
      </c>
      <c r="E88" s="1">
        <f>INDEX(SPT[],MATCH(HC[[#This Row],[Prof. (m)]],SPT[Prof. (m)],0),2)</f>
        <v>68</v>
      </c>
      <c r="F88" s="1" t="str">
        <f>INDEX(SPT[],MATCH(HC[[#This Row],[Prof. (m)]],SPT[Prof. (m)],0),3)</f>
        <v>Areia siltosa</v>
      </c>
      <c r="G88" s="1">
        <f>INDEX(estacas[],HC[[#This Row],[idDiâmetro]],MATCH($B$2,estacas[#Headers],0))</f>
        <v>35</v>
      </c>
      <c r="H88" s="1">
        <f>INDEX(estacas[],MATCH(HC[[#This Row],[Ø (cm)]],estacas[Ø HC (cm)],0),MATCH(HC[[#Headers],[Pe HC (kN)]],estacas[#Headers],0))</f>
        <v>600</v>
      </c>
      <c r="I88" s="4">
        <f>INDEX(K_alpha_C[],MATCH(HC[[#This Row],[Solo]],K_alpha_C[Solo],0),2)</f>
        <v>0.8</v>
      </c>
      <c r="J88" s="5">
        <f>INDEX(K_alpha_C[],MATCH(HC[[#This Row],[Solo]],K_alpha_C[Solo],0),3)</f>
        <v>2</v>
      </c>
      <c r="K88" s="4">
        <f>INDEX(F1_F2[],MATCH($D$2,F1_F2[Tipo de estaca],0),2)</f>
        <v>2</v>
      </c>
      <c r="L88" s="4">
        <f>INDEX(F1_F2[],MATCH($D$2,F1_F2[Tipo de estaca],0),3)</f>
        <v>4</v>
      </c>
      <c r="M88" s="4">
        <f>PI()*(HC[[#This Row],[Ø (cm)]]/100)^2/4</f>
        <v>9.6211275016187398E-2</v>
      </c>
      <c r="N88" s="4">
        <f>PI()*HC[[#This Row],[Ø (cm)]]/100</f>
        <v>1.0995574287564276</v>
      </c>
      <c r="O88" s="4">
        <f>IF(HC[[#This Row],[Prof. (m)]]=0,0,HC[[#This Row],[α (%)]]/100*HC[[#This Row],[K (MPa)]]*1000*HC[[#This Row],[NSPT]])</f>
        <v>1088</v>
      </c>
      <c r="P88" s="4">
        <f>IF(HC[[#This Row],[Prof. (m)]]=0,0,(HC[[#This Row],[K (MPa)]]*1000*HC[[#This Row],[NSPT]]/HC[[#This Row],[F1]]*HC[[#This Row],[Ap (m²)]]+HC[[#This Row],[U (m)]]/HC[[#This Row],[F2]]*SUMIFS(HC[(α∙K∙NL∙ΔL)],HC[Prof. (m)],"&lt;="&amp;HC[[#This Row],[Prof. (m)]],HC[idDiâmetro],HC[[#This Row],[idDiâmetro]],HC[idPilar],HC[[#This Row],[idPilar]]))/'DADOS CAP. CARGA'!$D$2)</f>
        <v>1927.5104281421579</v>
      </c>
      <c r="Q88" s="12">
        <f>INDEX(C_alpha_beta[],MATCH(HC[[#This Row],[Solo]],C_alpha_beta[Solo],0),MATCH(HC[[#Headers],[C (kPa)]],C_alpha_beta[#Headers],0))</f>
        <v>400</v>
      </c>
      <c r="R88" s="4">
        <f>INDEX(C_alpha_beta[],MATCH(HC[[#This Row],[Solo]],C_alpha_beta[Solo],0),MATCH(HC[[#Headers],[α ESF]],C_alpha_beta[#Headers],0))</f>
        <v>0.5</v>
      </c>
      <c r="S88" s="4">
        <f>INDEX(C_alpha_beta[],MATCH(HC[[#This Row],[Solo]],C_alpha_beta[Solo],0),MATCH(HC[[#Headers],[β ESF]],C_alpha_beta[#Headers],0))</f>
        <v>0.5</v>
      </c>
      <c r="T88" s="4">
        <f>IF(HC[[#This Row],[Prof. (m)]]=0,0,10*(HC[[#This Row],[NSPT]]/3+1))</f>
        <v>236.66666666666669</v>
      </c>
      <c r="U88" s="4">
        <f>(HC[[#This Row],[α ESF]]*HC[[#This Row],[C (kPa)]]*HC[[#This Row],[NSPT]]*HC[[#This Row],[Ap (m²)]])/'DADOS CAP. CARGA'!$Q$2+(HC[[#This Row],[β ESF]]*SUMIFS(HC[10∙(NL/3+1)],HC[Prof. (m)],"&lt;="&amp;HC[[#This Row],[Prof. (m)]],HC[idDiâmetro],HC[[#This Row],[idDiâmetro]],HC[idPilar],HC[[#This Row],[idPilar]])*HC[[#This Row],[U (m)]])/'DADOS CAP. CARGA'!$S$2</f>
        <v>629.49662796305483</v>
      </c>
      <c r="V88" s="4">
        <f>IF(SPT!$M$5=1,MIN(HC[[#This Row],[Pe HC (kN)]],HC[[#This Row],[R_AV (kN)]]),IF(SPT!$M$5=2,MIN(HC[[#This Row],[Pe HC (kN)]],HC[[#This Row],[R_DC (kN)]]),MIN(HC[[#This Row],[Pe HC (kN)]],HC[[#This Row],[R_AV (kN)]],HC[[#This Row],[R_DC (kN)]])))</f>
        <v>600</v>
      </c>
      <c r="W88" s="4">
        <f>INDEX(PILARES[],HC[[#This Row],[idPilar]],MATCH("Carga (kN)",PILARES[#Headers],0))*1.4</f>
        <v>1750</v>
      </c>
      <c r="X88" s="12">
        <f>INDEX(PILARES[],HC[[#This Row],[idPilar]],MATCH(HC[[#Headers],[ap (cm)]],PILARES[#Headers],0))</f>
        <v>50</v>
      </c>
      <c r="Y88" s="12">
        <f>INDEX(PILARES[],HC[[#This Row],[idPilar]],MATCH(HC[[#Headers],[bp (cm)]],PILARES[#Headers],0))</f>
        <v>40</v>
      </c>
      <c r="Z88" s="4">
        <f>SQRT(HC[[#This Row],[ap (cm)]]*HC[[#This Row],[bp (cm)]])</f>
        <v>44.721359549995796</v>
      </c>
      <c r="AA88" s="12">
        <f>HC[[#This Row],[ap (cm)]]*HC[[#This Row],[bp (cm)]]</f>
        <v>2000</v>
      </c>
      <c r="AB88" s="12">
        <f ca="1">IF(HC[[#This Row],[Padm∙ε (kN)]]&gt;=HC[[#This Row],[Padm (kN)]],ROUNDUP(1.05*HC[[#This Row],[Nsd (kN)]]/HC[[#This Row],[Padm (kN)]],0),ROUNDUP(1.05*HC[[#This Row],[Nsd (kN)]]/HC[[#This Row],[Padm (kN)]],0)+1)</f>
        <v>4</v>
      </c>
      <c r="AC88" s="4">
        <f ca="1">IFERROR(IF(HC[[#This Row],[nE]]=1,HC[[#This Row],[Padm (kN)]],HC[[#This Row],[Padm (kN)]]*HC[[#This Row],[nE]]*INDEX(grupoEstacas[],HC[[#This Row],[nE]],MATCH("ε",grupoEstacas[#Headers],0))),"N.S.")</f>
        <v>1950</v>
      </c>
      <c r="AD88" s="4">
        <f ca="1">1.05*HC[[#This Row],[Nsd (kN)]]/(HC[[#This Row],[nE]]*PI()*HC[[#This Row],[Ø (cm)]]^2/4)*10</f>
        <v>4.7746482927568596</v>
      </c>
      <c r="AE88" s="4">
        <f ca="1">IF(HC[[#This Row],[σ (MPa)]]&lt;INDEX(tipoEstaca[],MATCH($D$2,tipoEstaca[TIPO DE ESTACA],0),MATCH("σmáx (MPa)",tipoEstaca[#Headers],0)),0.4%*PI()*HC[[#This Row],[Ø (cm)]]^2/4,"N.S.")</f>
        <v>3.848451000647497</v>
      </c>
      <c r="AF88" s="1">
        <f>INDEX(tipoEstaca[],MATCH($D$2,tipoEstaca[TIPO DE ESTACA],0),MATCH(HC[[#Headers],[Comprimento (m)]],tipoEstaca[#Headers],0))</f>
        <v>4</v>
      </c>
      <c r="AG88" s="5">
        <f ca="1">HC[[#This Row],[As,mín (cm²)]]/100^2*HC[[#This Row],[Comprimento (m)]]*7850</f>
        <v>12.08413614203314</v>
      </c>
      <c r="AH88" s="4">
        <f ca="1">HC[[#This Row],[nE]]*HC[[#This Row],[Prof. (m)]]*HC[[#This Row],[Ap (m²)]]</f>
        <v>5.0029863008417443</v>
      </c>
      <c r="AI88" s="1">
        <f ca="1">IF(HC[[#This Row],[nE]]=1,0,MAX(3*HC[[#This Row],[Ø (cm)]],60))</f>
        <v>105</v>
      </c>
      <c r="AJ88" s="1">
        <f ca="1">IF(HC[[#This Row],[nE]]=1,HC[[#This Row],[Ø (cm)]]+2*10,MAX(1.5*HC[[#This Row],[Ø (cm)]],HC[[#This Row],[Ø (cm)]]+15))</f>
        <v>52.5</v>
      </c>
      <c r="AK88" s="1">
        <f ca="1">alturaUtil(HC[[#This Row],[nE]],HC[[#This Row],[Ø (cm)]],HC[[#This Row],[e (cm)]],HC[[#This Row],[ap,eq (cm)]])</f>
        <v>45</v>
      </c>
      <c r="AL88" s="1">
        <f ca="1">IFERROR(HC[[#This Row],[d (cm)]]+arredondarParaCimaMultiplo5cm(MAX(5,SQRT(PI())/2*HC[[#This Row],[Ø (cm)]]/5)),"N.S.")</f>
        <v>55</v>
      </c>
      <c r="AM88" s="5">
        <f ca="1">alpha(HC[[#This Row],[nE]],HC[[#This Row],[d (cm)]],HC[[#This Row],[e (cm)]],HC[[#This Row],[ap,eq (cm)]])</f>
        <v>47.441394077394719</v>
      </c>
      <c r="AN88" s="35">
        <f ca="1">IFERROR(HC[[#This Row],[Nsd (kN)]]/(HC[[#This Row],[Ap (cm²)]]*SIN(HC[[#This Row],[α]])^2),"N.S.")</f>
        <v>8.9774263307047519</v>
      </c>
      <c r="AO88" s="35">
        <f ca="1">IFERROR(HC[[#This Row],[Nsd (kN)]]/(HC[[#This Row],[nE]]*PI()*HC[[#This Row],[Ø (cm)]]^2/4*SIN(HC[[#This Row],[α]])^2),"N.S.")</f>
        <v>4.6654751894693796</v>
      </c>
      <c r="AP88" s="4">
        <f ca="1">IFERROR(INDEX(grupoEstacas[],HC[[#This Row],[nE]],MATCH("coef. Blévot",grupoEstacas[#Headers],0)),"N.S.")</f>
        <v>2.1</v>
      </c>
      <c r="AQ88" s="35">
        <f ca="1">IFERROR(HC[[#This Row],[coef. Blévot]]*0.9*INDEX(tipoEstaca[],MATCH($D$2,tipoEstaca[TIPO DE ESTACA],0),MATCH("fcd (kN/cm²)",tipoEstaca[#Headers],0)),"N.S.")</f>
        <v>2.1</v>
      </c>
      <c r="AR88" s="1" t="str">
        <f ca="1">IF(AND(HC[[#This Row],[cd,b,pil (kN/cm²)]]&lt;=HC[[#This Row],[cd,b,lim (kN/cm²)]],HC[[#This Row],[cd,b,est (kN/cm²)]]&lt;=HC[[#This Row],[cd,b,lim (kN/cm²)]]),"OK","ERRO")</f>
        <v>ERRO</v>
      </c>
      <c r="AS88" s="4">
        <f ca="1">As_lado(HC[[#This Row],[nE]],HC[[#This Row],[Nsd (kN)]],HC[[#This Row],[d (cm)]],HC[[#This Row],[e (cm)]],HC[[#This Row],[ap,eq (cm)]])</f>
        <v>9.2395351084898198</v>
      </c>
      <c r="AT88" s="4" t="str">
        <f ca="1">IF(HC[[#This Row],[nE]]=1,HC[[#This Row],[As,lado (cm²)]],IF(HC[[#This Row],[nE]]=2,0.075*2*HC[a (cm)],"N.A."))</f>
        <v>N.A.</v>
      </c>
      <c r="AU88" s="4">
        <f ca="1">IFERROR(IF(HC[[#This Row],[nE]]=1,"N.A.",0.2*HC[[#This Row],[As,lado (cm²)]]),"N.S.")</f>
        <v>1.8479070216979641</v>
      </c>
      <c r="AV88" s="4">
        <f ca="1">As_malha(HC[[#This Row],[nE]],HC[[#This Row],[As,lado (cm²)]],HC[[#This Row],[Nsd (kN)]])</f>
        <v>1.8479070216979641</v>
      </c>
      <c r="AW88" s="4">
        <f ca="1">As_susp_tot(HC[[#This Row],[nE]],HC[[#This Row],[Nsd (kN)]])</f>
        <v>6.708333333333333</v>
      </c>
      <c r="AX88" s="4">
        <f ca="1">Asp_face(HC[[#This Row],[nE]],HC[[#This Row],[As,lado (cm²)]])</f>
        <v>4.6197675542449099</v>
      </c>
      <c r="AY88" s="5">
        <f ca="1">acoBloco(HC[[#This Row],[nE]],HC[[#This Row],[e (cm)]],HC[[#This Row],[a (cm)]],HC[[#This Row],[h (cm)]],HC[[#This Row],[As,lado (cm²)]],HC[[#This Row],[Asp e Asw (cm²/m)]],HC[[#This Row],[As,sup (cm²)]],HC[[#This Row],[As,malha (cm²)]],HC[[#This Row],[As,susp,tot (cm²)]],HC[[#This Row],[Asp,face (cm²)]])</f>
        <v>112.56221302635404</v>
      </c>
      <c r="AZ88" s="4">
        <f ca="1">concretoBloco(HC[[#This Row],[nE]],HC[[#This Row],[e (cm)]],HC[[#This Row],[a (cm)]],HC[[#This Row],[h (cm)]])</f>
        <v>2.4255</v>
      </c>
      <c r="BA88" s="5">
        <f ca="1">SUM(HC[[#This Row],[Aço Est (kg)]],HC[[#This Row],[Aço Bloco (kg)]])</f>
        <v>124.64634916838719</v>
      </c>
      <c r="BB88" s="4">
        <f>INDEX(composicoes[],MATCH(95580,composicoes[CÓDIGO],0),MATCH("CUSTO TOTAL",composicoes[#Headers],0))</f>
        <v>10.46</v>
      </c>
      <c r="BC88" s="4">
        <f ca="1">SUM(HC[[#This Row],[Conc Est (m³)]],HC[[#This Row],[Conc Bloco (m³)]])</f>
        <v>7.4284863008417439</v>
      </c>
      <c r="BD88" s="4">
        <f>INDEX(composicoes[],MATCH(94966,composicoes[CÓDIGO],0),MATCH("CUSTO TOTAL",composicoes[#Headers],0))</f>
        <v>439.52</v>
      </c>
      <c r="BE88" s="38">
        <f ca="1">HC[[#This Row],[Aço (kg)]]*HC[[#This Row],[Aço (R$/kg)]]+HC[[#This Row],[Conc (m³)]]*HC[[#This Row],[Conc (R$/m³)]]</f>
        <v>4568.769111247293</v>
      </c>
      <c r="BF88" s="4" t="str">
        <f ca="1">IF(COUNTIF(HC[#This Row],"N.S.")&gt;0,"lim.","OK")</f>
        <v>OK</v>
      </c>
      <c r="BG88" s="4" t="str">
        <f>IF(HC[[#This Row],[Prof. (m)]]&lt;4,"lim.","OK")</f>
        <v>OK</v>
      </c>
      <c r="BH88" s="4" t="str">
        <f>IF(HC[[#This Row],[Prof. (m)]]&gt;=8*HC[[#This Row],[Ø (cm)]]/100,"OK","lim.")</f>
        <v>OK</v>
      </c>
      <c r="BI88" s="4" t="str">
        <f ca="1">IF(HC[[#This Row],[Verif. Biela]]="OK","OK","lim.")</f>
        <v>lim.</v>
      </c>
      <c r="BJ88" s="4" t="str">
        <f ca="1">IF(COUNTA(HC[[#This Row],[Nº Est.]:[Biela comp.]])=COUNTIF(HC[[#This Row],[Nº Est.]:[Biela comp.]],"OK"),"OK","lim.")</f>
        <v>lim.</v>
      </c>
      <c r="BK88" s="4" t="str">
        <f ca="1">IF(HC[[#This Row],[Controle]]="OK",HC[[#This Row],[nE]]&amp;" Ø"&amp;HC[[#This Row],[Ø (cm)]]&amp;"cm Prof. "&amp;HC[[#This Row],[Prof. (m)]]&amp;" m","")</f>
        <v/>
      </c>
      <c r="BL88" s="4" t="str">
        <f ca="1">IF(HC[[#This Row],[idDimensionamento]]="","",HC[[#This Row],[idPilar]]&amp;HC[[#This Row],[idDimensionamento]])</f>
        <v/>
      </c>
    </row>
    <row r="89" spans="2:64" x14ac:dyDescent="0.25">
      <c r="B89" s="12">
        <f>ROUNDUP((ROW(HC[[#This Row],[idDiâmetro]])-ROW(HC[[#Headers],[idDiâmetro]]))/(COUNT(SPT[Prof. (m)])*COUNT(PILARES[Pilar])),0)</f>
        <v>4</v>
      </c>
      <c r="C89" s="12">
        <f>IF(HC[[#This Row],[idDiâmetro]]&lt;&gt;B88,1,IF(HC[[#This Row],[Prof. (m)]]=0,C88+1,C88))</f>
        <v>1</v>
      </c>
      <c r="D89" s="1">
        <f>IFERROR(IF(D88=MAX(SPT[Prof. (m)]),0,D88+1),0)</f>
        <v>0</v>
      </c>
      <c r="E89" s="1">
        <f>INDEX(SPT[],MATCH(HC[[#This Row],[Prof. (m)]],SPT[Prof. (m)],0),2)</f>
        <v>0</v>
      </c>
      <c r="F89" s="1" t="str">
        <f>INDEX(SPT[],MATCH(HC[[#This Row],[Prof. (m)]],SPT[Prof. (m)],0),3)</f>
        <v>Areia siltosa</v>
      </c>
      <c r="G89" s="1">
        <f>INDEX(estacas[],HC[[#This Row],[idDiâmetro]],MATCH($B$2,estacas[#Headers],0))</f>
        <v>40</v>
      </c>
      <c r="H89" s="1">
        <f>INDEX(estacas[],MATCH(HC[[#This Row],[Ø (cm)]],estacas[Ø HC (cm)],0),MATCH(HC[[#Headers],[Pe HC (kN)]],estacas[#Headers],0))</f>
        <v>800</v>
      </c>
      <c r="I89" s="4">
        <f>INDEX(K_alpha_C[],MATCH(HC[[#This Row],[Solo]],K_alpha_C[Solo],0),2)</f>
        <v>0.8</v>
      </c>
      <c r="J89" s="5">
        <f>INDEX(K_alpha_C[],MATCH(HC[[#This Row],[Solo]],K_alpha_C[Solo],0),3)</f>
        <v>2</v>
      </c>
      <c r="K89" s="4">
        <f>INDEX(F1_F2[],MATCH($D$2,F1_F2[Tipo de estaca],0),2)</f>
        <v>2</v>
      </c>
      <c r="L89" s="4">
        <f>INDEX(F1_F2[],MATCH($D$2,F1_F2[Tipo de estaca],0),3)</f>
        <v>4</v>
      </c>
      <c r="M89" s="4">
        <f>PI()*(HC[[#This Row],[Ø (cm)]]/100)^2/4</f>
        <v>0.12566370614359174</v>
      </c>
      <c r="N89" s="4">
        <f>PI()*HC[[#This Row],[Ø (cm)]]/100</f>
        <v>1.2566370614359172</v>
      </c>
      <c r="O89" s="4">
        <f>IF(HC[[#This Row],[Prof. (m)]]=0,0,HC[[#This Row],[α (%)]]/100*HC[[#This Row],[K (MPa)]]*1000*HC[[#This Row],[NSPT]])</f>
        <v>0</v>
      </c>
      <c r="P89" s="4">
        <f>IF(HC[[#This Row],[Prof. (m)]]=0,0,(HC[[#This Row],[K (MPa)]]*1000*HC[[#This Row],[NSPT]]/HC[[#This Row],[F1]]*HC[[#This Row],[Ap (m²)]]+HC[[#This Row],[U (m)]]/HC[[#This Row],[F2]]*SUMIFS(HC[(α∙K∙NL∙ΔL)],HC[Prof. (m)],"&lt;="&amp;HC[[#This Row],[Prof. (m)]],HC[idDiâmetro],HC[[#This Row],[idDiâmetro]],HC[idPilar],HC[[#This Row],[idPilar]]))/'DADOS CAP. CARGA'!$D$2)</f>
        <v>0</v>
      </c>
      <c r="Q89" s="12">
        <f>INDEX(C_alpha_beta[],MATCH(HC[[#This Row],[Solo]],C_alpha_beta[Solo],0),MATCH(HC[[#Headers],[C (kPa)]],C_alpha_beta[#Headers],0))</f>
        <v>400</v>
      </c>
      <c r="R89" s="4">
        <f>INDEX(C_alpha_beta[],MATCH(HC[[#This Row],[Solo]],C_alpha_beta[Solo],0),MATCH(HC[[#Headers],[α ESF]],C_alpha_beta[#Headers],0))</f>
        <v>0.5</v>
      </c>
      <c r="S89" s="4">
        <f>INDEX(C_alpha_beta[],MATCH(HC[[#This Row],[Solo]],C_alpha_beta[Solo],0),MATCH(HC[[#Headers],[β ESF]],C_alpha_beta[#Headers],0))</f>
        <v>0.5</v>
      </c>
      <c r="T89" s="4">
        <f>IF(HC[[#This Row],[Prof. (m)]]=0,0,10*(HC[[#This Row],[NSPT]]/3+1))</f>
        <v>0</v>
      </c>
      <c r="U89" s="4">
        <f>(HC[[#This Row],[α ESF]]*HC[[#This Row],[C (kPa)]]*HC[[#This Row],[NSPT]]*HC[[#This Row],[Ap (m²)]])/'DADOS CAP. CARGA'!$Q$2+(HC[[#This Row],[β ESF]]*SUMIFS(HC[10∙(NL/3+1)],HC[Prof. (m)],"&lt;="&amp;HC[[#This Row],[Prof. (m)]],HC[idDiâmetro],HC[[#This Row],[idDiâmetro]],HC[idPilar],HC[[#This Row],[idPilar]])*HC[[#This Row],[U (m)]])/'DADOS CAP. CARGA'!$S$2</f>
        <v>0</v>
      </c>
      <c r="V89" s="4">
        <f>IF(SPT!$M$5=1,MIN(HC[[#This Row],[Pe HC (kN)]],HC[[#This Row],[R_AV (kN)]]),IF(SPT!$M$5=2,MIN(HC[[#This Row],[Pe HC (kN)]],HC[[#This Row],[R_DC (kN)]]),MIN(HC[[#This Row],[Pe HC (kN)]],HC[[#This Row],[R_AV (kN)]],HC[[#This Row],[R_DC (kN)]])))</f>
        <v>0</v>
      </c>
      <c r="W89" s="4">
        <f>INDEX(PILARES[],HC[[#This Row],[idPilar]],MATCH("Carga (kN)",PILARES[#Headers],0))*1.4</f>
        <v>3500</v>
      </c>
      <c r="X89" s="12">
        <f>INDEX(PILARES[],HC[[#This Row],[idPilar]],MATCH(HC[[#Headers],[ap (cm)]],PILARES[#Headers],0))</f>
        <v>60</v>
      </c>
      <c r="Y89" s="12">
        <f>INDEX(PILARES[],HC[[#This Row],[idPilar]],MATCH(HC[[#Headers],[bp (cm)]],PILARES[#Headers],0))</f>
        <v>60</v>
      </c>
      <c r="Z89" s="4">
        <f>SQRT(HC[[#This Row],[ap (cm)]]*HC[[#This Row],[bp (cm)]])</f>
        <v>60</v>
      </c>
      <c r="AA89" s="12">
        <f>HC[[#This Row],[ap (cm)]]*HC[[#This Row],[bp (cm)]]</f>
        <v>3600</v>
      </c>
      <c r="AB89" s="12" t="e">
        <f ca="1">IF(HC[[#This Row],[Padm∙ε (kN)]]&gt;=HC[[#This Row],[Padm (kN)]],ROUNDUP(1.05*HC[[#This Row],[Nsd (kN)]]/HC[[#This Row],[Padm (kN)]],0),ROUNDUP(1.05*HC[[#This Row],[Nsd (kN)]]/HC[[#This Row],[Padm (kN)]],0)+1)</f>
        <v>#DIV/0!</v>
      </c>
      <c r="AC89" s="4" t="str">
        <f ca="1">IFERROR(IF(HC[[#This Row],[nE]]=1,HC[[#This Row],[Padm (kN)]],HC[[#This Row],[Padm (kN)]]*HC[[#This Row],[nE]]*INDEX(grupoEstacas[],HC[[#This Row],[nE]],MATCH("ε",grupoEstacas[#Headers],0))),"N.S.")</f>
        <v>N.S.</v>
      </c>
      <c r="AD89" s="4" t="e">
        <f ca="1">1.05*HC[[#This Row],[Nsd (kN)]]/(HC[[#This Row],[nE]]*PI()*HC[[#This Row],[Ø (cm)]]^2/4)*10</f>
        <v>#DIV/0!</v>
      </c>
      <c r="AE89" s="4" t="e">
        <f ca="1">IF(HC[[#This Row],[σ (MPa)]]&lt;INDEX(tipoEstaca[],MATCH($D$2,tipoEstaca[TIPO DE ESTACA],0),MATCH("σmáx (MPa)",tipoEstaca[#Headers],0)),0.4%*PI()*HC[[#This Row],[Ø (cm)]]^2/4,"N.S.")</f>
        <v>#DIV/0!</v>
      </c>
      <c r="AF89" s="1">
        <f>INDEX(tipoEstaca[],MATCH($D$2,tipoEstaca[TIPO DE ESTACA],0),MATCH(HC[[#Headers],[Comprimento (m)]],tipoEstaca[#Headers],0))</f>
        <v>4</v>
      </c>
      <c r="AG89" s="5" t="e">
        <f ca="1">HC[[#This Row],[As,mín (cm²)]]/100^2*HC[[#This Row],[Comprimento (m)]]*7850</f>
        <v>#DIV/0!</v>
      </c>
      <c r="AH89" s="4" t="e">
        <f ca="1">HC[[#This Row],[nE]]*HC[[#This Row],[Prof. (m)]]*HC[[#This Row],[Ap (m²)]]</f>
        <v>#DIV/0!</v>
      </c>
      <c r="AI89" s="1" t="e">
        <f ca="1">IF(HC[[#This Row],[nE]]=1,0,MAX(3*HC[[#This Row],[Ø (cm)]],60))</f>
        <v>#DIV/0!</v>
      </c>
      <c r="AJ89" s="1" t="e">
        <f ca="1">IF(HC[[#This Row],[nE]]=1,HC[[#This Row],[Ø (cm)]]+2*10,MAX(1.5*HC[[#This Row],[Ø (cm)]],HC[[#This Row],[Ø (cm)]]+15))</f>
        <v>#DIV/0!</v>
      </c>
      <c r="AK89" s="1" t="e">
        <f ca="1">alturaUtil(HC[[#This Row],[nE]],HC[[#This Row],[Ø (cm)]],HC[[#This Row],[e (cm)]],HC[[#This Row],[ap,eq (cm)]])</f>
        <v>#VALUE!</v>
      </c>
      <c r="AL89" s="1" t="str">
        <f ca="1">IFERROR(HC[[#This Row],[d (cm)]]+arredondarParaCimaMultiplo5cm(MAX(5,SQRT(PI())/2*HC[[#This Row],[Ø (cm)]]/5)),"N.S.")</f>
        <v>N.S.</v>
      </c>
      <c r="AM89" s="5" t="e">
        <f ca="1">alpha(HC[[#This Row],[nE]],HC[[#This Row],[d (cm)]],HC[[#This Row],[e (cm)]],HC[[#This Row],[ap,eq (cm)]])</f>
        <v>#VALUE!</v>
      </c>
      <c r="AN89" s="35" t="str">
        <f ca="1">IFERROR(HC[[#This Row],[Nsd (kN)]]/(HC[[#This Row],[Ap (cm²)]]*SIN(HC[[#This Row],[α]])^2),"N.S.")</f>
        <v>N.S.</v>
      </c>
      <c r="AO89" s="35" t="str">
        <f ca="1">IFERROR(HC[[#This Row],[Nsd (kN)]]/(HC[[#This Row],[nE]]*PI()*HC[[#This Row],[Ø (cm)]]^2/4*SIN(HC[[#This Row],[α]])^2),"N.S.")</f>
        <v>N.S.</v>
      </c>
      <c r="AP89" s="4" t="str">
        <f ca="1">IFERROR(INDEX(grupoEstacas[],HC[[#This Row],[nE]],MATCH("coef. Blévot",grupoEstacas[#Headers],0)),"N.S.")</f>
        <v>N.S.</v>
      </c>
      <c r="AQ89" s="35" t="str">
        <f ca="1">IFERROR(HC[[#This Row],[coef. Blévot]]*0.9*INDEX(tipoEstaca[],MATCH($D$2,tipoEstaca[TIPO DE ESTACA],0),MATCH("fcd (kN/cm²)",tipoEstaca[#Headers],0)),"N.S.")</f>
        <v>N.S.</v>
      </c>
      <c r="AR89" s="1" t="str">
        <f ca="1">IF(AND(HC[[#This Row],[cd,b,pil (kN/cm²)]]&lt;=HC[[#This Row],[cd,b,lim (kN/cm²)]],HC[[#This Row],[cd,b,est (kN/cm²)]]&lt;=HC[[#This Row],[cd,b,lim (kN/cm²)]]),"OK","ERRO")</f>
        <v>OK</v>
      </c>
      <c r="AS89" s="4" t="e">
        <f ca="1">As_lado(HC[[#This Row],[nE]],HC[[#This Row],[Nsd (kN)]],HC[[#This Row],[d (cm)]],HC[[#This Row],[e (cm)]],HC[[#This Row],[ap,eq (cm)]])</f>
        <v>#VALUE!</v>
      </c>
      <c r="AT89" s="4" t="e">
        <f ca="1">IF(HC[[#This Row],[nE]]=1,HC[[#This Row],[As,lado (cm²)]],IF(HC[[#This Row],[nE]]=2,0.075*2*HC[a (cm)],"N.A."))</f>
        <v>#DIV/0!</v>
      </c>
      <c r="AU89" s="4" t="str">
        <f ca="1">IFERROR(IF(HC[[#This Row],[nE]]=1,"N.A.",0.2*HC[[#This Row],[As,lado (cm²)]]),"N.S.")</f>
        <v>N.S.</v>
      </c>
      <c r="AV89" s="4" t="e">
        <f ca="1">As_malha(HC[[#This Row],[nE]],HC[[#This Row],[As,lado (cm²)]],HC[[#This Row],[Nsd (kN)]])</f>
        <v>#VALUE!</v>
      </c>
      <c r="AW89" s="4" t="e">
        <f ca="1">As_susp_tot(HC[[#This Row],[nE]],HC[[#This Row],[Nsd (kN)]])</f>
        <v>#VALUE!</v>
      </c>
      <c r="AX89" s="4" t="e">
        <f ca="1">Asp_face(HC[[#This Row],[nE]],HC[[#This Row],[As,lado (cm²)]])</f>
        <v>#VALUE!</v>
      </c>
      <c r="AY89" s="5" t="e">
        <f ca="1">acoBloco(HC[[#This Row],[nE]],HC[[#This Row],[e (cm)]],HC[[#This Row],[a (cm)]],HC[[#This Row],[h (cm)]],HC[[#This Row],[As,lado (cm²)]],HC[[#This Row],[Asp e Asw (cm²/m)]],HC[[#This Row],[As,sup (cm²)]],HC[[#This Row],[As,malha (cm²)]],HC[[#This Row],[As,susp,tot (cm²)]],HC[[#This Row],[Asp,face (cm²)]])</f>
        <v>#VALUE!</v>
      </c>
      <c r="AZ89" s="4" t="e">
        <f ca="1">concretoBloco(HC[[#This Row],[nE]],HC[[#This Row],[e (cm)]],HC[[#This Row],[a (cm)]],HC[[#This Row],[h (cm)]])</f>
        <v>#VALUE!</v>
      </c>
      <c r="BA89" s="5" t="e">
        <f ca="1">SUM(HC[[#This Row],[Aço Est (kg)]],HC[[#This Row],[Aço Bloco (kg)]])</f>
        <v>#DIV/0!</v>
      </c>
      <c r="BB89" s="4">
        <f>INDEX(composicoes[],MATCH(95580,composicoes[CÓDIGO],0),MATCH("CUSTO TOTAL",composicoes[#Headers],0))</f>
        <v>10.46</v>
      </c>
      <c r="BC89" s="4" t="e">
        <f ca="1">SUM(HC[[#This Row],[Conc Est (m³)]],HC[[#This Row],[Conc Bloco (m³)]])</f>
        <v>#DIV/0!</v>
      </c>
      <c r="BD89" s="4">
        <f>INDEX(composicoes[],MATCH(94966,composicoes[CÓDIGO],0),MATCH("CUSTO TOTAL",composicoes[#Headers],0))</f>
        <v>439.52</v>
      </c>
      <c r="BE89" s="38" t="e">
        <f ca="1">HC[[#This Row],[Aço (kg)]]*HC[[#This Row],[Aço (R$/kg)]]+HC[[#This Row],[Conc (m³)]]*HC[[#This Row],[Conc (R$/m³)]]</f>
        <v>#DIV/0!</v>
      </c>
      <c r="BF89" s="4" t="str">
        <f ca="1">IF(COUNTIF(HC[#This Row],"N.S.")&gt;0,"lim.","OK")</f>
        <v>lim.</v>
      </c>
      <c r="BG89" s="4" t="str">
        <f>IF(HC[[#This Row],[Prof. (m)]]&lt;4,"lim.","OK")</f>
        <v>lim.</v>
      </c>
      <c r="BH89" s="4" t="str">
        <f>IF(HC[[#This Row],[Prof. (m)]]&gt;=8*HC[[#This Row],[Ø (cm)]]/100,"OK","lim.")</f>
        <v>lim.</v>
      </c>
      <c r="BI89" s="4" t="str">
        <f ca="1">IF(HC[[#This Row],[Verif. Biela]]="OK","OK","lim.")</f>
        <v>OK</v>
      </c>
      <c r="BJ89" s="4" t="str">
        <f ca="1">IF(COUNTA(HC[[#This Row],[Nº Est.]:[Biela comp.]])=COUNTIF(HC[[#This Row],[Nº Est.]:[Biela comp.]],"OK"),"OK","lim.")</f>
        <v>lim.</v>
      </c>
      <c r="BK89" s="4" t="str">
        <f ca="1">IF(HC[[#This Row],[Controle]]="OK",HC[[#This Row],[nE]]&amp;" Ø"&amp;HC[[#This Row],[Ø (cm)]]&amp;"cm Prof. "&amp;HC[[#This Row],[Prof. (m)]]&amp;" m","")</f>
        <v/>
      </c>
      <c r="BL89" s="4" t="str">
        <f ca="1">IF(HC[[#This Row],[idDimensionamento]]="","",HC[[#This Row],[idPilar]]&amp;HC[[#This Row],[idDimensionamento]])</f>
        <v/>
      </c>
    </row>
    <row r="90" spans="2:64" x14ac:dyDescent="0.25">
      <c r="B90" s="12">
        <f>ROUNDUP((ROW(HC[[#This Row],[idDiâmetro]])-ROW(HC[[#Headers],[idDiâmetro]]))/(COUNT(SPT[Prof. (m)])*COUNT(PILARES[Pilar])),0)</f>
        <v>4</v>
      </c>
      <c r="C90" s="12">
        <f>IF(HC[[#This Row],[idDiâmetro]]&lt;&gt;B89,1,IF(HC[[#This Row],[Prof. (m)]]=0,C89+1,C89))</f>
        <v>1</v>
      </c>
      <c r="D90" s="1">
        <f>IFERROR(IF(D89=MAX(SPT[Prof. (m)]),0,D89+1),0)</f>
        <v>1</v>
      </c>
      <c r="E90" s="1">
        <f>INDEX(SPT[],MATCH(HC[[#This Row],[Prof. (m)]],SPT[Prof. (m)],0),2)</f>
        <v>2</v>
      </c>
      <c r="F90" s="1" t="str">
        <f>INDEX(SPT[],MATCH(HC[[#This Row],[Prof. (m)]],SPT[Prof. (m)],0),3)</f>
        <v>Areia siltosa</v>
      </c>
      <c r="G90" s="1">
        <f>INDEX(estacas[],HC[[#This Row],[idDiâmetro]],MATCH($B$2,estacas[#Headers],0))</f>
        <v>40</v>
      </c>
      <c r="H90" s="1">
        <f>INDEX(estacas[],MATCH(HC[[#This Row],[Ø (cm)]],estacas[Ø HC (cm)],0),MATCH(HC[[#Headers],[Pe HC (kN)]],estacas[#Headers],0))</f>
        <v>800</v>
      </c>
      <c r="I90" s="4">
        <f>INDEX(K_alpha_C[],MATCH(HC[[#This Row],[Solo]],K_alpha_C[Solo],0),2)</f>
        <v>0.8</v>
      </c>
      <c r="J90" s="5">
        <f>INDEX(K_alpha_C[],MATCH(HC[[#This Row],[Solo]],K_alpha_C[Solo],0),3)</f>
        <v>2</v>
      </c>
      <c r="K90" s="4">
        <f>INDEX(F1_F2[],MATCH($D$2,F1_F2[Tipo de estaca],0),2)</f>
        <v>2</v>
      </c>
      <c r="L90" s="4">
        <f>INDEX(F1_F2[],MATCH($D$2,F1_F2[Tipo de estaca],0),3)</f>
        <v>4</v>
      </c>
      <c r="M90" s="4">
        <f>PI()*(HC[[#This Row],[Ø (cm)]]/100)^2/4</f>
        <v>0.12566370614359174</v>
      </c>
      <c r="N90" s="4">
        <f>PI()*HC[[#This Row],[Ø (cm)]]/100</f>
        <v>1.2566370614359172</v>
      </c>
      <c r="O90" s="4">
        <f>IF(HC[[#This Row],[Prof. (m)]]=0,0,HC[[#This Row],[α (%)]]/100*HC[[#This Row],[K (MPa)]]*1000*HC[[#This Row],[NSPT]])</f>
        <v>32</v>
      </c>
      <c r="P90" s="4">
        <f>IF(HC[[#This Row],[Prof. (m)]]=0,0,(HC[[#This Row],[K (MPa)]]*1000*HC[[#This Row],[NSPT]]/HC[[#This Row],[F1]]*HC[[#This Row],[Ap (m²)]]+HC[[#This Row],[U (m)]]/HC[[#This Row],[F2]]*SUMIFS(HC[(α∙K∙NL∙ΔL)],HC[Prof. (m)],"&lt;="&amp;HC[[#This Row],[Prof. (m)]],HC[idDiâmetro],HC[[#This Row],[idDiâmetro]],HC[idPilar],HC[[#This Row],[idPilar]]))/'DADOS CAP. CARGA'!$D$2)</f>
        <v>55.292030703180366</v>
      </c>
      <c r="Q90" s="12">
        <f>INDEX(C_alpha_beta[],MATCH(HC[[#This Row],[Solo]],C_alpha_beta[Solo],0),MATCH(HC[[#Headers],[C (kPa)]],C_alpha_beta[#Headers],0))</f>
        <v>400</v>
      </c>
      <c r="R90" s="4">
        <f>INDEX(C_alpha_beta[],MATCH(HC[[#This Row],[Solo]],C_alpha_beta[Solo],0),MATCH(HC[[#Headers],[α ESF]],C_alpha_beta[#Headers],0))</f>
        <v>0.5</v>
      </c>
      <c r="S90" s="4">
        <f>INDEX(C_alpha_beta[],MATCH(HC[[#This Row],[Solo]],C_alpha_beta[Solo],0),MATCH(HC[[#Headers],[β ESF]],C_alpha_beta[#Headers],0))</f>
        <v>0.5</v>
      </c>
      <c r="T90" s="4">
        <f>IF(HC[[#This Row],[Prof. (m)]]=0,0,10*(HC[[#This Row],[NSPT]]/3+1))</f>
        <v>16.666666666666664</v>
      </c>
      <c r="U90" s="4">
        <f>(HC[[#This Row],[α ESF]]*HC[[#This Row],[C (kPa)]]*HC[[#This Row],[NSPT]]*HC[[#This Row],[Ap (m²)]])/'DADOS CAP. CARGA'!$Q$2+(HC[[#This Row],[β ESF]]*SUMIFS(HC[10∙(NL/3+1)],HC[Prof. (m)],"&lt;="&amp;HC[[#This Row],[Prof. (m)]],HC[idDiâmetro],HC[[#This Row],[idDiâmetro]],HC[idPilar],HC[[#This Row],[idPilar]])*HC[[#This Row],[U (m)]])/'DADOS CAP. CARGA'!$S$2</f>
        <v>17.802358370342162</v>
      </c>
      <c r="V90" s="4">
        <f>IF(SPT!$M$5=1,MIN(HC[[#This Row],[Pe HC (kN)]],HC[[#This Row],[R_AV (kN)]]),IF(SPT!$M$5=2,MIN(HC[[#This Row],[Pe HC (kN)]],HC[[#This Row],[R_DC (kN)]]),MIN(HC[[#This Row],[Pe HC (kN)]],HC[[#This Row],[R_AV (kN)]],HC[[#This Row],[R_DC (kN)]])))</f>
        <v>17.802358370342162</v>
      </c>
      <c r="W90" s="4">
        <f>INDEX(PILARES[],HC[[#This Row],[idPilar]],MATCH("Carga (kN)",PILARES[#Headers],0))*1.4</f>
        <v>3500</v>
      </c>
      <c r="X90" s="12">
        <f>INDEX(PILARES[],HC[[#This Row],[idPilar]],MATCH(HC[[#Headers],[ap (cm)]],PILARES[#Headers],0))</f>
        <v>60</v>
      </c>
      <c r="Y90" s="12">
        <f>INDEX(PILARES[],HC[[#This Row],[idPilar]],MATCH(HC[[#Headers],[bp (cm)]],PILARES[#Headers],0))</f>
        <v>60</v>
      </c>
      <c r="Z90" s="4">
        <f>SQRT(HC[[#This Row],[ap (cm)]]*HC[[#This Row],[bp (cm)]])</f>
        <v>60</v>
      </c>
      <c r="AA90" s="12">
        <f>HC[[#This Row],[ap (cm)]]*HC[[#This Row],[bp (cm)]]</f>
        <v>3600</v>
      </c>
      <c r="AB90" s="12">
        <f ca="1">IF(HC[[#This Row],[Padm∙ε (kN)]]&gt;=HC[[#This Row],[Padm (kN)]],ROUNDUP(1.05*HC[[#This Row],[Nsd (kN)]]/HC[[#This Row],[Padm (kN)]],0),ROUNDUP(1.05*HC[[#This Row],[Nsd (kN)]]/HC[[#This Row],[Padm (kN)]],0)+1)</f>
        <v>207</v>
      </c>
      <c r="AC90" s="4" t="str">
        <f ca="1">IFERROR(IF(HC[[#This Row],[nE]]=1,HC[[#This Row],[Padm (kN)]],HC[[#This Row],[Padm (kN)]]*HC[[#This Row],[nE]]*INDEX(grupoEstacas[],HC[[#This Row],[nE]],MATCH("ε",grupoEstacas[#Headers],0))),"N.S.")</f>
        <v>N.S.</v>
      </c>
      <c r="AD90" s="4">
        <f ca="1">1.05*HC[[#This Row],[Nsd (kN)]]/(HC[[#This Row],[nE]]*PI()*HC[[#This Row],[Ø (cm)]]^2/4)*10</f>
        <v>0.14127884441128394</v>
      </c>
      <c r="AE90" s="4">
        <f ca="1">IF(HC[[#This Row],[σ (MPa)]]&lt;INDEX(tipoEstaca[],MATCH($D$2,tipoEstaca[TIPO DE ESTACA],0),MATCH("σmáx (MPa)",tipoEstaca[#Headers],0)),0.4%*PI()*HC[[#This Row],[Ø (cm)]]^2/4,"N.S.")</f>
        <v>5.026548245743669</v>
      </c>
      <c r="AF90" s="1">
        <f>INDEX(tipoEstaca[],MATCH($D$2,tipoEstaca[TIPO DE ESTACA],0),MATCH(HC[[#Headers],[Comprimento (m)]],tipoEstaca[#Headers],0))</f>
        <v>4</v>
      </c>
      <c r="AG90" s="5">
        <f ca="1">HC[[#This Row],[As,mín (cm²)]]/100^2*HC[[#This Row],[Comprimento (m)]]*7850</f>
        <v>15.783361491635119</v>
      </c>
      <c r="AH90" s="4">
        <f ca="1">HC[[#This Row],[nE]]*HC[[#This Row],[Prof. (m)]]*HC[[#This Row],[Ap (m²)]]</f>
        <v>26.012387171723489</v>
      </c>
      <c r="AI90" s="1">
        <f ca="1">IF(HC[[#This Row],[nE]]=1,0,MAX(3*HC[[#This Row],[Ø (cm)]],60))</f>
        <v>120</v>
      </c>
      <c r="AJ90" s="1">
        <f ca="1">IF(HC[[#This Row],[nE]]=1,HC[[#This Row],[Ø (cm)]]+2*10,MAX(1.5*HC[[#This Row],[Ø (cm)]],HC[[#This Row],[Ø (cm)]]+15))</f>
        <v>60</v>
      </c>
      <c r="AK90" s="1" t="str">
        <f ca="1">alturaUtil(HC[[#This Row],[nE]],HC[[#This Row],[Ø (cm)]],HC[[#This Row],[e (cm)]],HC[[#This Row],[ap,eq (cm)]])</f>
        <v>N.S.</v>
      </c>
      <c r="AL90" s="1" t="str">
        <f ca="1">IFERROR(HC[[#This Row],[d (cm)]]+arredondarParaCimaMultiplo5cm(MAX(5,SQRT(PI())/2*HC[[#This Row],[Ø (cm)]]/5)),"N.S.")</f>
        <v>N.S.</v>
      </c>
      <c r="AM90" s="5" t="str">
        <f ca="1">alpha(HC[[#This Row],[nE]],HC[[#This Row],[d (cm)]],HC[[#This Row],[e (cm)]],HC[[#This Row],[ap,eq (cm)]])</f>
        <v>N.S.</v>
      </c>
      <c r="AN90" s="35" t="str">
        <f ca="1">IFERROR(HC[[#This Row],[Nsd (kN)]]/(HC[[#This Row],[Ap (cm²)]]*SIN(HC[[#This Row],[α]])^2),"N.S.")</f>
        <v>N.S.</v>
      </c>
      <c r="AO90" s="35" t="str">
        <f ca="1">IFERROR(HC[[#This Row],[Nsd (kN)]]/(HC[[#This Row],[nE]]*PI()*HC[[#This Row],[Ø (cm)]]^2/4*SIN(HC[[#This Row],[α]])^2),"N.S.")</f>
        <v>N.S.</v>
      </c>
      <c r="AP90" s="4" t="str">
        <f ca="1">IFERROR(INDEX(grupoEstacas[],HC[[#This Row],[nE]],MATCH("coef. Blévot",grupoEstacas[#Headers],0)),"N.S.")</f>
        <v>N.S.</v>
      </c>
      <c r="AQ90" s="35" t="str">
        <f ca="1">IFERROR(HC[[#This Row],[coef. Blévot]]*0.9*INDEX(tipoEstaca[],MATCH($D$2,tipoEstaca[TIPO DE ESTACA],0),MATCH("fcd (kN/cm²)",tipoEstaca[#Headers],0)),"N.S.")</f>
        <v>N.S.</v>
      </c>
      <c r="AR90" s="1" t="str">
        <f ca="1">IF(AND(HC[[#This Row],[cd,b,pil (kN/cm²)]]&lt;=HC[[#This Row],[cd,b,lim (kN/cm²)]],HC[[#This Row],[cd,b,est (kN/cm²)]]&lt;=HC[[#This Row],[cd,b,lim (kN/cm²)]]),"OK","ERRO")</f>
        <v>OK</v>
      </c>
      <c r="AS90" s="4" t="str">
        <f ca="1">As_lado(HC[[#This Row],[nE]],HC[[#This Row],[Nsd (kN)]],HC[[#This Row],[d (cm)]],HC[[#This Row],[e (cm)]],HC[[#This Row],[ap,eq (cm)]])</f>
        <v>N.S.</v>
      </c>
      <c r="AT90" s="4" t="str">
        <f ca="1">IF(HC[[#This Row],[nE]]=1,HC[[#This Row],[As,lado (cm²)]],IF(HC[[#This Row],[nE]]=2,0.075*2*HC[a (cm)],"N.A."))</f>
        <v>N.A.</v>
      </c>
      <c r="AU90" s="4" t="str">
        <f ca="1">IFERROR(IF(HC[[#This Row],[nE]]=1,"N.A.",0.2*HC[[#This Row],[As,lado (cm²)]]),"N.S.")</f>
        <v>N.S.</v>
      </c>
      <c r="AV90" s="4" t="str">
        <f ca="1">As_malha(HC[[#This Row],[nE]],HC[[#This Row],[As,lado (cm²)]],HC[[#This Row],[Nsd (kN)]])</f>
        <v>N.S.</v>
      </c>
      <c r="AW90" s="4" t="str">
        <f ca="1">As_susp_tot(HC[[#This Row],[nE]],HC[[#This Row],[Nsd (kN)]])</f>
        <v>N.S.</v>
      </c>
      <c r="AX90" s="4" t="str">
        <f ca="1">Asp_face(HC[[#This Row],[nE]],HC[[#This Row],[As,lado (cm²)]])</f>
        <v>N.S.</v>
      </c>
      <c r="AY90" s="5" t="str">
        <f ca="1">acoBloco(HC[[#This Row],[nE]],HC[[#This Row],[e (cm)]],HC[[#This Row],[a (cm)]],HC[[#This Row],[h (cm)]],HC[[#This Row],[As,lado (cm²)]],HC[[#This Row],[Asp e Asw (cm²/m)]],HC[[#This Row],[As,sup (cm²)]],HC[[#This Row],[As,malha (cm²)]],HC[[#This Row],[As,susp,tot (cm²)]],HC[[#This Row],[Asp,face (cm²)]])</f>
        <v>N.S.</v>
      </c>
      <c r="AZ90" s="4" t="str">
        <f ca="1">concretoBloco(HC[[#This Row],[nE]],HC[[#This Row],[e (cm)]],HC[[#This Row],[a (cm)]],HC[[#This Row],[h (cm)]])</f>
        <v>N.S.</v>
      </c>
      <c r="BA90" s="5">
        <f ca="1">SUM(HC[[#This Row],[Aço Est (kg)]],HC[[#This Row],[Aço Bloco (kg)]])</f>
        <v>15.783361491635119</v>
      </c>
      <c r="BB90" s="4">
        <f>INDEX(composicoes[],MATCH(95580,composicoes[CÓDIGO],0),MATCH("CUSTO TOTAL",composicoes[#Headers],0))</f>
        <v>10.46</v>
      </c>
      <c r="BC90" s="4">
        <f ca="1">SUM(HC[[#This Row],[Conc Est (m³)]],HC[[#This Row],[Conc Bloco (m³)]])</f>
        <v>26.012387171723489</v>
      </c>
      <c r="BD90" s="4">
        <f>INDEX(composicoes[],MATCH(94966,composicoes[CÓDIGO],0),MATCH("CUSTO TOTAL",composicoes[#Headers],0))</f>
        <v>439.52</v>
      </c>
      <c r="BE90" s="38">
        <f ca="1">HC[[#This Row],[Aço (kg)]]*HC[[#This Row],[Aço (R$/kg)]]+HC[[#This Row],[Conc (m³)]]*HC[[#This Row],[Conc (R$/m³)]]</f>
        <v>11598.05837091841</v>
      </c>
      <c r="BF90" s="4" t="str">
        <f ca="1">IF(COUNTIF(HC[#This Row],"N.S.")&gt;0,"lim.","OK")</f>
        <v>lim.</v>
      </c>
      <c r="BG90" s="4" t="str">
        <f>IF(HC[[#This Row],[Prof. (m)]]&lt;4,"lim.","OK")</f>
        <v>lim.</v>
      </c>
      <c r="BH90" s="4" t="str">
        <f>IF(HC[[#This Row],[Prof. (m)]]&gt;=8*HC[[#This Row],[Ø (cm)]]/100,"OK","lim.")</f>
        <v>lim.</v>
      </c>
      <c r="BI90" s="4" t="str">
        <f ca="1">IF(HC[[#This Row],[Verif. Biela]]="OK","OK","lim.")</f>
        <v>OK</v>
      </c>
      <c r="BJ90" s="4" t="str">
        <f ca="1">IF(COUNTA(HC[[#This Row],[Nº Est.]:[Biela comp.]])=COUNTIF(HC[[#This Row],[Nº Est.]:[Biela comp.]],"OK"),"OK","lim.")</f>
        <v>lim.</v>
      </c>
      <c r="BK90" s="4" t="str">
        <f ca="1">IF(HC[[#This Row],[Controle]]="OK",HC[[#This Row],[nE]]&amp;" Ø"&amp;HC[[#This Row],[Ø (cm)]]&amp;"cm Prof. "&amp;HC[[#This Row],[Prof. (m)]]&amp;" m","")</f>
        <v/>
      </c>
      <c r="BL90" s="4" t="str">
        <f ca="1">IF(HC[[#This Row],[idDimensionamento]]="","",HC[[#This Row],[idPilar]]&amp;HC[[#This Row],[idDimensionamento]])</f>
        <v/>
      </c>
    </row>
    <row r="91" spans="2:64" x14ac:dyDescent="0.25">
      <c r="B91" s="12">
        <f>ROUNDUP((ROW(HC[[#This Row],[idDiâmetro]])-ROW(HC[[#Headers],[idDiâmetro]]))/(COUNT(SPT[Prof. (m)])*COUNT(PILARES[Pilar])),0)</f>
        <v>4</v>
      </c>
      <c r="C91" s="12">
        <f>IF(HC[[#This Row],[idDiâmetro]]&lt;&gt;B90,1,IF(HC[[#This Row],[Prof. (m)]]=0,C90+1,C90))</f>
        <v>1</v>
      </c>
      <c r="D91" s="1">
        <f>IFERROR(IF(D90=MAX(SPT[Prof. (m)]),0,D90+1),0)</f>
        <v>2</v>
      </c>
      <c r="E91" s="1">
        <f>INDEX(SPT[],MATCH(HC[[#This Row],[Prof. (m)]],SPT[Prof. (m)],0),2)</f>
        <v>2</v>
      </c>
      <c r="F91" s="1" t="str">
        <f>INDEX(SPT[],MATCH(HC[[#This Row],[Prof. (m)]],SPT[Prof. (m)],0),3)</f>
        <v>Areia siltosa</v>
      </c>
      <c r="G91" s="1">
        <f>INDEX(estacas[],HC[[#This Row],[idDiâmetro]],MATCH($B$2,estacas[#Headers],0))</f>
        <v>40</v>
      </c>
      <c r="H91" s="1">
        <f>INDEX(estacas[],MATCH(HC[[#This Row],[Ø (cm)]],estacas[Ø HC (cm)],0),MATCH(HC[[#Headers],[Pe HC (kN)]],estacas[#Headers],0))</f>
        <v>800</v>
      </c>
      <c r="I91" s="4">
        <f>INDEX(K_alpha_C[],MATCH(HC[[#This Row],[Solo]],K_alpha_C[Solo],0),2)</f>
        <v>0.8</v>
      </c>
      <c r="J91" s="5">
        <f>INDEX(K_alpha_C[],MATCH(HC[[#This Row],[Solo]],K_alpha_C[Solo],0),3)</f>
        <v>2</v>
      </c>
      <c r="K91" s="4">
        <f>INDEX(F1_F2[],MATCH($D$2,F1_F2[Tipo de estaca],0),2)</f>
        <v>2</v>
      </c>
      <c r="L91" s="4">
        <f>INDEX(F1_F2[],MATCH($D$2,F1_F2[Tipo de estaca],0),3)</f>
        <v>4</v>
      </c>
      <c r="M91" s="4">
        <f>PI()*(HC[[#This Row],[Ø (cm)]]/100)^2/4</f>
        <v>0.12566370614359174</v>
      </c>
      <c r="N91" s="4">
        <f>PI()*HC[[#This Row],[Ø (cm)]]/100</f>
        <v>1.2566370614359172</v>
      </c>
      <c r="O91" s="4">
        <f>IF(HC[[#This Row],[Prof. (m)]]=0,0,HC[[#This Row],[α (%)]]/100*HC[[#This Row],[K (MPa)]]*1000*HC[[#This Row],[NSPT]])</f>
        <v>32</v>
      </c>
      <c r="P91" s="4">
        <f>IF(HC[[#This Row],[Prof. (m)]]=0,0,(HC[[#This Row],[K (MPa)]]*1000*HC[[#This Row],[NSPT]]/HC[[#This Row],[F1]]*HC[[#This Row],[Ap (m²)]]+HC[[#This Row],[U (m)]]/HC[[#This Row],[F2]]*SUMIFS(HC[(α∙K∙NL∙ΔL)],HC[Prof. (m)],"&lt;="&amp;HC[[#This Row],[Prof. (m)]],HC[idDiâmetro],HC[[#This Row],[idDiâmetro]],HC[idPilar],HC[[#This Row],[idPilar]]))/'DADOS CAP. CARGA'!$D$2)</f>
        <v>60.318578948924035</v>
      </c>
      <c r="Q91" s="12">
        <f>INDEX(C_alpha_beta[],MATCH(HC[[#This Row],[Solo]],C_alpha_beta[Solo],0),MATCH(HC[[#Headers],[C (kPa)]],C_alpha_beta[#Headers],0))</f>
        <v>400</v>
      </c>
      <c r="R91" s="4">
        <f>INDEX(C_alpha_beta[],MATCH(HC[[#This Row],[Solo]],C_alpha_beta[Solo],0),MATCH(HC[[#Headers],[α ESF]],C_alpha_beta[#Headers],0))</f>
        <v>0.5</v>
      </c>
      <c r="S91" s="4">
        <f>INDEX(C_alpha_beta[],MATCH(HC[[#This Row],[Solo]],C_alpha_beta[Solo],0),MATCH(HC[[#Headers],[β ESF]],C_alpha_beta[#Headers],0))</f>
        <v>0.5</v>
      </c>
      <c r="T91" s="4">
        <f>IF(HC[[#This Row],[Prof. (m)]]=0,0,10*(HC[[#This Row],[NSPT]]/3+1))</f>
        <v>16.666666666666664</v>
      </c>
      <c r="U91" s="4">
        <f>(HC[[#This Row],[α ESF]]*HC[[#This Row],[C (kPa)]]*HC[[#This Row],[NSPT]]*HC[[#This Row],[Ap (m²)]])/'DADOS CAP. CARGA'!$Q$2+(HC[[#This Row],[β ESF]]*SUMIFS(HC[10∙(NL/3+1)],HC[Prof. (m)],"&lt;="&amp;HC[[#This Row],[Prof. (m)]],HC[idDiâmetro],HC[[#This Row],[idDiâmetro]],HC[idPilar],HC[[#This Row],[idPilar]])*HC[[#This Row],[U (m)]])/'DADOS CAP. CARGA'!$S$2</f>
        <v>23.038346126325152</v>
      </c>
      <c r="V91" s="4">
        <f>IF(SPT!$M$5=1,MIN(HC[[#This Row],[Pe HC (kN)]],HC[[#This Row],[R_AV (kN)]]),IF(SPT!$M$5=2,MIN(HC[[#This Row],[Pe HC (kN)]],HC[[#This Row],[R_DC (kN)]]),MIN(HC[[#This Row],[Pe HC (kN)]],HC[[#This Row],[R_AV (kN)]],HC[[#This Row],[R_DC (kN)]])))</f>
        <v>23.038346126325152</v>
      </c>
      <c r="W91" s="4">
        <f>INDEX(PILARES[],HC[[#This Row],[idPilar]],MATCH("Carga (kN)",PILARES[#Headers],0))*1.4</f>
        <v>3500</v>
      </c>
      <c r="X91" s="12">
        <f>INDEX(PILARES[],HC[[#This Row],[idPilar]],MATCH(HC[[#Headers],[ap (cm)]],PILARES[#Headers],0))</f>
        <v>60</v>
      </c>
      <c r="Y91" s="12">
        <f>INDEX(PILARES[],HC[[#This Row],[idPilar]],MATCH(HC[[#Headers],[bp (cm)]],PILARES[#Headers],0))</f>
        <v>60</v>
      </c>
      <c r="Z91" s="4">
        <f>SQRT(HC[[#This Row],[ap (cm)]]*HC[[#This Row],[bp (cm)]])</f>
        <v>60</v>
      </c>
      <c r="AA91" s="12">
        <f>HC[[#This Row],[ap (cm)]]*HC[[#This Row],[bp (cm)]]</f>
        <v>3600</v>
      </c>
      <c r="AB91" s="12">
        <f ca="1">IF(HC[[#This Row],[Padm∙ε (kN)]]&gt;=HC[[#This Row],[Padm (kN)]],ROUNDUP(1.05*HC[[#This Row],[Nsd (kN)]]/HC[[#This Row],[Padm (kN)]],0),ROUNDUP(1.05*HC[[#This Row],[Nsd (kN)]]/HC[[#This Row],[Padm (kN)]],0)+1)</f>
        <v>160</v>
      </c>
      <c r="AC91" s="4" t="str">
        <f ca="1">IFERROR(IF(HC[[#This Row],[nE]]=1,HC[[#This Row],[Padm (kN)]],HC[[#This Row],[Padm (kN)]]*HC[[#This Row],[nE]]*INDEX(grupoEstacas[],HC[[#This Row],[nE]],MATCH("ε",grupoEstacas[#Headers],0))),"N.S.")</f>
        <v>N.S.</v>
      </c>
      <c r="AD91" s="4">
        <f ca="1">1.05*HC[[#This Row],[Nsd (kN)]]/(HC[[#This Row],[nE]]*PI()*HC[[#This Row],[Ø (cm)]]^2/4)*10</f>
        <v>0.18277950495709855</v>
      </c>
      <c r="AE91" s="4">
        <f ca="1">IF(HC[[#This Row],[σ (MPa)]]&lt;INDEX(tipoEstaca[],MATCH($D$2,tipoEstaca[TIPO DE ESTACA],0),MATCH("σmáx (MPa)",tipoEstaca[#Headers],0)),0.4%*PI()*HC[[#This Row],[Ø (cm)]]^2/4,"N.S.")</f>
        <v>5.026548245743669</v>
      </c>
      <c r="AF91" s="1">
        <f>INDEX(tipoEstaca[],MATCH($D$2,tipoEstaca[TIPO DE ESTACA],0),MATCH(HC[[#Headers],[Comprimento (m)]],tipoEstaca[#Headers],0))</f>
        <v>4</v>
      </c>
      <c r="AG91" s="5">
        <f ca="1">HC[[#This Row],[As,mín (cm²)]]/100^2*HC[[#This Row],[Comprimento (m)]]*7850</f>
        <v>15.783361491635119</v>
      </c>
      <c r="AH91" s="4">
        <f ca="1">HC[[#This Row],[nE]]*HC[[#This Row],[Prof. (m)]]*HC[[#This Row],[Ap (m²)]]</f>
        <v>40.212385965949352</v>
      </c>
      <c r="AI91" s="1">
        <f ca="1">IF(HC[[#This Row],[nE]]=1,0,MAX(3*HC[[#This Row],[Ø (cm)]],60))</f>
        <v>120</v>
      </c>
      <c r="AJ91" s="1">
        <f ca="1">IF(HC[[#This Row],[nE]]=1,HC[[#This Row],[Ø (cm)]]+2*10,MAX(1.5*HC[[#This Row],[Ø (cm)]],HC[[#This Row],[Ø (cm)]]+15))</f>
        <v>60</v>
      </c>
      <c r="AK91" s="1" t="str">
        <f ca="1">alturaUtil(HC[[#This Row],[nE]],HC[[#This Row],[Ø (cm)]],HC[[#This Row],[e (cm)]],HC[[#This Row],[ap,eq (cm)]])</f>
        <v>N.S.</v>
      </c>
      <c r="AL91" s="1" t="str">
        <f ca="1">IFERROR(HC[[#This Row],[d (cm)]]+arredondarParaCimaMultiplo5cm(MAX(5,SQRT(PI())/2*HC[[#This Row],[Ø (cm)]]/5)),"N.S.")</f>
        <v>N.S.</v>
      </c>
      <c r="AM91" s="5" t="str">
        <f ca="1">alpha(HC[[#This Row],[nE]],HC[[#This Row],[d (cm)]],HC[[#This Row],[e (cm)]],HC[[#This Row],[ap,eq (cm)]])</f>
        <v>N.S.</v>
      </c>
      <c r="AN91" s="35" t="str">
        <f ca="1">IFERROR(HC[[#This Row],[Nsd (kN)]]/(HC[[#This Row],[Ap (cm²)]]*SIN(HC[[#This Row],[α]])^2),"N.S.")</f>
        <v>N.S.</v>
      </c>
      <c r="AO91" s="35" t="str">
        <f ca="1">IFERROR(HC[[#This Row],[Nsd (kN)]]/(HC[[#This Row],[nE]]*PI()*HC[[#This Row],[Ø (cm)]]^2/4*SIN(HC[[#This Row],[α]])^2),"N.S.")</f>
        <v>N.S.</v>
      </c>
      <c r="AP91" s="4" t="str">
        <f ca="1">IFERROR(INDEX(grupoEstacas[],HC[[#This Row],[nE]],MATCH("coef. Blévot",grupoEstacas[#Headers],0)),"N.S.")</f>
        <v>N.S.</v>
      </c>
      <c r="AQ91" s="35" t="str">
        <f ca="1">IFERROR(HC[[#This Row],[coef. Blévot]]*0.9*INDEX(tipoEstaca[],MATCH($D$2,tipoEstaca[TIPO DE ESTACA],0),MATCH("fcd (kN/cm²)",tipoEstaca[#Headers],0)),"N.S.")</f>
        <v>N.S.</v>
      </c>
      <c r="AR91" s="1" t="str">
        <f ca="1">IF(AND(HC[[#This Row],[cd,b,pil (kN/cm²)]]&lt;=HC[[#This Row],[cd,b,lim (kN/cm²)]],HC[[#This Row],[cd,b,est (kN/cm²)]]&lt;=HC[[#This Row],[cd,b,lim (kN/cm²)]]),"OK","ERRO")</f>
        <v>OK</v>
      </c>
      <c r="AS91" s="4" t="str">
        <f ca="1">As_lado(HC[[#This Row],[nE]],HC[[#This Row],[Nsd (kN)]],HC[[#This Row],[d (cm)]],HC[[#This Row],[e (cm)]],HC[[#This Row],[ap,eq (cm)]])</f>
        <v>N.S.</v>
      </c>
      <c r="AT91" s="4" t="str">
        <f ca="1">IF(HC[[#This Row],[nE]]=1,HC[[#This Row],[As,lado (cm²)]],IF(HC[[#This Row],[nE]]=2,0.075*2*HC[a (cm)],"N.A."))</f>
        <v>N.A.</v>
      </c>
      <c r="AU91" s="4" t="str">
        <f ca="1">IFERROR(IF(HC[[#This Row],[nE]]=1,"N.A.",0.2*HC[[#This Row],[As,lado (cm²)]]),"N.S.")</f>
        <v>N.S.</v>
      </c>
      <c r="AV91" s="4" t="str">
        <f ca="1">As_malha(HC[[#This Row],[nE]],HC[[#This Row],[As,lado (cm²)]],HC[[#This Row],[Nsd (kN)]])</f>
        <v>N.S.</v>
      </c>
      <c r="AW91" s="4" t="str">
        <f ca="1">As_susp_tot(HC[[#This Row],[nE]],HC[[#This Row],[Nsd (kN)]])</f>
        <v>N.S.</v>
      </c>
      <c r="AX91" s="4" t="str">
        <f ca="1">Asp_face(HC[[#This Row],[nE]],HC[[#This Row],[As,lado (cm²)]])</f>
        <v>N.S.</v>
      </c>
      <c r="AY91" s="5" t="str">
        <f ca="1">acoBloco(HC[[#This Row],[nE]],HC[[#This Row],[e (cm)]],HC[[#This Row],[a (cm)]],HC[[#This Row],[h (cm)]],HC[[#This Row],[As,lado (cm²)]],HC[[#This Row],[Asp e Asw (cm²/m)]],HC[[#This Row],[As,sup (cm²)]],HC[[#This Row],[As,malha (cm²)]],HC[[#This Row],[As,susp,tot (cm²)]],HC[[#This Row],[Asp,face (cm²)]])</f>
        <v>N.S.</v>
      </c>
      <c r="AZ91" s="4" t="str">
        <f ca="1">concretoBloco(HC[[#This Row],[nE]],HC[[#This Row],[e (cm)]],HC[[#This Row],[a (cm)]],HC[[#This Row],[h (cm)]])</f>
        <v>N.S.</v>
      </c>
      <c r="BA91" s="5">
        <f ca="1">SUM(HC[[#This Row],[Aço Est (kg)]],HC[[#This Row],[Aço Bloco (kg)]])</f>
        <v>15.783361491635119</v>
      </c>
      <c r="BB91" s="4">
        <f>INDEX(composicoes[],MATCH(95580,composicoes[CÓDIGO],0),MATCH("CUSTO TOTAL",composicoes[#Headers],0))</f>
        <v>10.46</v>
      </c>
      <c r="BC91" s="4">
        <f ca="1">SUM(HC[[#This Row],[Conc Est (m³)]],HC[[#This Row],[Conc Bloco (m³)]])</f>
        <v>40.212385965949352</v>
      </c>
      <c r="BD91" s="4">
        <f>INDEX(composicoes[],MATCH(94966,composicoes[CÓDIGO],0),MATCH("CUSTO TOTAL",composicoes[#Headers],0))</f>
        <v>439.52</v>
      </c>
      <c r="BE91" s="38">
        <f ca="1">HC[[#This Row],[Aço (kg)]]*HC[[#This Row],[Aço (R$/kg)]]+HC[[#This Row],[Conc (m³)]]*HC[[#This Row],[Conc (R$/m³)]]</f>
        <v>17839.241840956562</v>
      </c>
      <c r="BF91" s="4" t="str">
        <f ca="1">IF(COUNTIF(HC[#This Row],"N.S.")&gt;0,"lim.","OK")</f>
        <v>lim.</v>
      </c>
      <c r="BG91" s="4" t="str">
        <f>IF(HC[[#This Row],[Prof. (m)]]&lt;4,"lim.","OK")</f>
        <v>lim.</v>
      </c>
      <c r="BH91" s="4" t="str">
        <f>IF(HC[[#This Row],[Prof. (m)]]&gt;=8*HC[[#This Row],[Ø (cm)]]/100,"OK","lim.")</f>
        <v>lim.</v>
      </c>
      <c r="BI91" s="4" t="str">
        <f ca="1">IF(HC[[#This Row],[Verif. Biela]]="OK","OK","lim.")</f>
        <v>OK</v>
      </c>
      <c r="BJ91" s="4" t="str">
        <f ca="1">IF(COUNTA(HC[[#This Row],[Nº Est.]:[Biela comp.]])=COUNTIF(HC[[#This Row],[Nº Est.]:[Biela comp.]],"OK"),"OK","lim.")</f>
        <v>lim.</v>
      </c>
      <c r="BK91" s="4" t="str">
        <f ca="1">IF(HC[[#This Row],[Controle]]="OK",HC[[#This Row],[nE]]&amp;" Ø"&amp;HC[[#This Row],[Ø (cm)]]&amp;"cm Prof. "&amp;HC[[#This Row],[Prof. (m)]]&amp;" m","")</f>
        <v/>
      </c>
      <c r="BL91" s="4" t="str">
        <f ca="1">IF(HC[[#This Row],[idDimensionamento]]="","",HC[[#This Row],[idPilar]]&amp;HC[[#This Row],[idDimensionamento]])</f>
        <v/>
      </c>
    </row>
    <row r="92" spans="2:64" x14ac:dyDescent="0.25">
      <c r="B92" s="12">
        <f>ROUNDUP((ROW(HC[[#This Row],[idDiâmetro]])-ROW(HC[[#Headers],[idDiâmetro]]))/(COUNT(SPT[Prof. (m)])*COUNT(PILARES[Pilar])),0)</f>
        <v>4</v>
      </c>
      <c r="C92" s="12">
        <f>IF(HC[[#This Row],[idDiâmetro]]&lt;&gt;B91,1,IF(HC[[#This Row],[Prof. (m)]]=0,C91+1,C91))</f>
        <v>1</v>
      </c>
      <c r="D92" s="1">
        <f>IFERROR(IF(D91=MAX(SPT[Prof. (m)]),0,D91+1),0)</f>
        <v>3</v>
      </c>
      <c r="E92" s="1">
        <f>INDEX(SPT[],MATCH(HC[[#This Row],[Prof. (m)]],SPT[Prof. (m)],0),2)</f>
        <v>4</v>
      </c>
      <c r="F92" s="1" t="str">
        <f>INDEX(SPT[],MATCH(HC[[#This Row],[Prof. (m)]],SPT[Prof. (m)],0),3)</f>
        <v>Areia siltosa</v>
      </c>
      <c r="G92" s="1">
        <f>INDEX(estacas[],HC[[#This Row],[idDiâmetro]],MATCH($B$2,estacas[#Headers],0))</f>
        <v>40</v>
      </c>
      <c r="H92" s="1">
        <f>INDEX(estacas[],MATCH(HC[[#This Row],[Ø (cm)]],estacas[Ø HC (cm)],0),MATCH(HC[[#Headers],[Pe HC (kN)]],estacas[#Headers],0))</f>
        <v>800</v>
      </c>
      <c r="I92" s="4">
        <f>INDEX(K_alpha_C[],MATCH(HC[[#This Row],[Solo]],K_alpha_C[Solo],0),2)</f>
        <v>0.8</v>
      </c>
      <c r="J92" s="5">
        <f>INDEX(K_alpha_C[],MATCH(HC[[#This Row],[Solo]],K_alpha_C[Solo],0),3)</f>
        <v>2</v>
      </c>
      <c r="K92" s="4">
        <f>INDEX(F1_F2[],MATCH($D$2,F1_F2[Tipo de estaca],0),2)</f>
        <v>2</v>
      </c>
      <c r="L92" s="4">
        <f>INDEX(F1_F2[],MATCH($D$2,F1_F2[Tipo de estaca],0),3)</f>
        <v>4</v>
      </c>
      <c r="M92" s="4">
        <f>PI()*(HC[[#This Row],[Ø (cm)]]/100)^2/4</f>
        <v>0.12566370614359174</v>
      </c>
      <c r="N92" s="4">
        <f>PI()*HC[[#This Row],[Ø (cm)]]/100</f>
        <v>1.2566370614359172</v>
      </c>
      <c r="O92" s="4">
        <f>IF(HC[[#This Row],[Prof. (m)]]=0,0,HC[[#This Row],[α (%)]]/100*HC[[#This Row],[K (MPa)]]*1000*HC[[#This Row],[NSPT]])</f>
        <v>64</v>
      </c>
      <c r="P92" s="4">
        <f>IF(HC[[#This Row],[Prof. (m)]]=0,0,(HC[[#This Row],[K (MPa)]]*1000*HC[[#This Row],[NSPT]]/HC[[#This Row],[F1]]*HC[[#This Row],[Ap (m²)]]+HC[[#This Row],[U (m)]]/HC[[#This Row],[F2]]*SUMIFS(HC[(α∙K∙NL∙ΔL)],HC[Prof. (m)],"&lt;="&amp;HC[[#This Row],[Prof. (m)]],HC[idDiâmetro],HC[[#This Row],[idDiâmetro]],HC[idPilar],HC[[#This Row],[idPilar]]))/'DADOS CAP. CARGA'!$D$2)</f>
        <v>120.63715789784807</v>
      </c>
      <c r="Q92" s="12">
        <f>INDEX(C_alpha_beta[],MATCH(HC[[#This Row],[Solo]],C_alpha_beta[Solo],0),MATCH(HC[[#Headers],[C (kPa)]],C_alpha_beta[#Headers],0))</f>
        <v>400</v>
      </c>
      <c r="R92" s="4">
        <f>INDEX(C_alpha_beta[],MATCH(HC[[#This Row],[Solo]],C_alpha_beta[Solo],0),MATCH(HC[[#Headers],[α ESF]],C_alpha_beta[#Headers],0))</f>
        <v>0.5</v>
      </c>
      <c r="S92" s="4">
        <f>INDEX(C_alpha_beta[],MATCH(HC[[#This Row],[Solo]],C_alpha_beta[Solo],0),MATCH(HC[[#Headers],[β ESF]],C_alpha_beta[#Headers],0))</f>
        <v>0.5</v>
      </c>
      <c r="T92" s="4">
        <f>IF(HC[[#This Row],[Prof. (m)]]=0,0,10*(HC[[#This Row],[NSPT]]/3+1))</f>
        <v>23.333333333333329</v>
      </c>
      <c r="U92" s="4">
        <f>(HC[[#This Row],[α ESF]]*HC[[#This Row],[C (kPa)]]*HC[[#This Row],[NSPT]]*HC[[#This Row],[Ap (m²)]])/'DADOS CAP. CARGA'!$Q$2+(HC[[#This Row],[β ESF]]*SUMIFS(HC[10∙(NL/3+1)],HC[Prof. (m)],"&lt;="&amp;HC[[#This Row],[Prof. (m)]],HC[idDiâmetro],HC[[#This Row],[idDiâmetro]],HC[idPilar],HC[[#This Row],[idPilar]])*HC[[#This Row],[U (m)]])/'DADOS CAP. CARGA'!$S$2</f>
        <v>42.935099599060507</v>
      </c>
      <c r="V92" s="4">
        <f>IF(SPT!$M$5=1,MIN(HC[[#This Row],[Pe HC (kN)]],HC[[#This Row],[R_AV (kN)]]),IF(SPT!$M$5=2,MIN(HC[[#This Row],[Pe HC (kN)]],HC[[#This Row],[R_DC (kN)]]),MIN(HC[[#This Row],[Pe HC (kN)]],HC[[#This Row],[R_AV (kN)]],HC[[#This Row],[R_DC (kN)]])))</f>
        <v>42.935099599060507</v>
      </c>
      <c r="W92" s="4">
        <f>INDEX(PILARES[],HC[[#This Row],[idPilar]],MATCH("Carga (kN)",PILARES[#Headers],0))*1.4</f>
        <v>3500</v>
      </c>
      <c r="X92" s="12">
        <f>INDEX(PILARES[],HC[[#This Row],[idPilar]],MATCH(HC[[#Headers],[ap (cm)]],PILARES[#Headers],0))</f>
        <v>60</v>
      </c>
      <c r="Y92" s="12">
        <f>INDEX(PILARES[],HC[[#This Row],[idPilar]],MATCH(HC[[#Headers],[bp (cm)]],PILARES[#Headers],0))</f>
        <v>60</v>
      </c>
      <c r="Z92" s="4">
        <f>SQRT(HC[[#This Row],[ap (cm)]]*HC[[#This Row],[bp (cm)]])</f>
        <v>60</v>
      </c>
      <c r="AA92" s="12">
        <f>HC[[#This Row],[ap (cm)]]*HC[[#This Row],[bp (cm)]]</f>
        <v>3600</v>
      </c>
      <c r="AB92" s="12">
        <f ca="1">IF(HC[[#This Row],[Padm∙ε (kN)]]&gt;=HC[[#This Row],[Padm (kN)]],ROUNDUP(1.05*HC[[#This Row],[Nsd (kN)]]/HC[[#This Row],[Padm (kN)]],0),ROUNDUP(1.05*HC[[#This Row],[Nsd (kN)]]/HC[[#This Row],[Padm (kN)]],0)+1)</f>
        <v>86</v>
      </c>
      <c r="AC92" s="4" t="str">
        <f ca="1">IFERROR(IF(HC[[#This Row],[nE]]=1,HC[[#This Row],[Padm (kN)]],HC[[#This Row],[Padm (kN)]]*HC[[#This Row],[nE]]*INDEX(grupoEstacas[],HC[[#This Row],[nE]],MATCH("ε",grupoEstacas[#Headers],0))),"N.S.")</f>
        <v>N.S.</v>
      </c>
      <c r="AD92" s="4">
        <f ca="1">1.05*HC[[#This Row],[Nsd (kN)]]/(HC[[#This Row],[nE]]*PI()*HC[[#This Row],[Ø (cm)]]^2/4)*10</f>
        <v>0.34005489294343916</v>
      </c>
      <c r="AE92" s="4">
        <f ca="1">IF(HC[[#This Row],[σ (MPa)]]&lt;INDEX(tipoEstaca[],MATCH($D$2,tipoEstaca[TIPO DE ESTACA],0),MATCH("σmáx (MPa)",tipoEstaca[#Headers],0)),0.4%*PI()*HC[[#This Row],[Ø (cm)]]^2/4,"N.S.")</f>
        <v>5.026548245743669</v>
      </c>
      <c r="AF92" s="1">
        <f>INDEX(tipoEstaca[],MATCH($D$2,tipoEstaca[TIPO DE ESTACA],0),MATCH(HC[[#Headers],[Comprimento (m)]],tipoEstaca[#Headers],0))</f>
        <v>4</v>
      </c>
      <c r="AG92" s="5">
        <f ca="1">HC[[#This Row],[As,mín (cm²)]]/100^2*HC[[#This Row],[Comprimento (m)]]*7850</f>
        <v>15.783361491635119</v>
      </c>
      <c r="AH92" s="4">
        <f ca="1">HC[[#This Row],[nE]]*HC[[#This Row],[Prof. (m)]]*HC[[#This Row],[Ap (m²)]]</f>
        <v>32.421236185046666</v>
      </c>
      <c r="AI92" s="1">
        <f ca="1">IF(HC[[#This Row],[nE]]=1,0,MAX(3*HC[[#This Row],[Ø (cm)]],60))</f>
        <v>120</v>
      </c>
      <c r="AJ92" s="1">
        <f ca="1">IF(HC[[#This Row],[nE]]=1,HC[[#This Row],[Ø (cm)]]+2*10,MAX(1.5*HC[[#This Row],[Ø (cm)]],HC[[#This Row],[Ø (cm)]]+15))</f>
        <v>60</v>
      </c>
      <c r="AK92" s="1" t="str">
        <f ca="1">alturaUtil(HC[[#This Row],[nE]],HC[[#This Row],[Ø (cm)]],HC[[#This Row],[e (cm)]],HC[[#This Row],[ap,eq (cm)]])</f>
        <v>N.S.</v>
      </c>
      <c r="AL92" s="1" t="str">
        <f ca="1">IFERROR(HC[[#This Row],[d (cm)]]+arredondarParaCimaMultiplo5cm(MAX(5,SQRT(PI())/2*HC[[#This Row],[Ø (cm)]]/5)),"N.S.")</f>
        <v>N.S.</v>
      </c>
      <c r="AM92" s="5" t="str">
        <f ca="1">alpha(HC[[#This Row],[nE]],HC[[#This Row],[d (cm)]],HC[[#This Row],[e (cm)]],HC[[#This Row],[ap,eq (cm)]])</f>
        <v>N.S.</v>
      </c>
      <c r="AN92" s="35" t="str">
        <f ca="1">IFERROR(HC[[#This Row],[Nsd (kN)]]/(HC[[#This Row],[Ap (cm²)]]*SIN(HC[[#This Row],[α]])^2),"N.S.")</f>
        <v>N.S.</v>
      </c>
      <c r="AO92" s="35" t="str">
        <f ca="1">IFERROR(HC[[#This Row],[Nsd (kN)]]/(HC[[#This Row],[nE]]*PI()*HC[[#This Row],[Ø (cm)]]^2/4*SIN(HC[[#This Row],[α]])^2),"N.S.")</f>
        <v>N.S.</v>
      </c>
      <c r="AP92" s="4" t="str">
        <f ca="1">IFERROR(INDEX(grupoEstacas[],HC[[#This Row],[nE]],MATCH("coef. Blévot",grupoEstacas[#Headers],0)),"N.S.")</f>
        <v>N.S.</v>
      </c>
      <c r="AQ92" s="35" t="str">
        <f ca="1">IFERROR(HC[[#This Row],[coef. Blévot]]*0.9*INDEX(tipoEstaca[],MATCH($D$2,tipoEstaca[TIPO DE ESTACA],0),MATCH("fcd (kN/cm²)",tipoEstaca[#Headers],0)),"N.S.")</f>
        <v>N.S.</v>
      </c>
      <c r="AR92" s="1" t="str">
        <f ca="1">IF(AND(HC[[#This Row],[cd,b,pil (kN/cm²)]]&lt;=HC[[#This Row],[cd,b,lim (kN/cm²)]],HC[[#This Row],[cd,b,est (kN/cm²)]]&lt;=HC[[#This Row],[cd,b,lim (kN/cm²)]]),"OK","ERRO")</f>
        <v>OK</v>
      </c>
      <c r="AS92" s="4" t="str">
        <f ca="1">As_lado(HC[[#This Row],[nE]],HC[[#This Row],[Nsd (kN)]],HC[[#This Row],[d (cm)]],HC[[#This Row],[e (cm)]],HC[[#This Row],[ap,eq (cm)]])</f>
        <v>N.S.</v>
      </c>
      <c r="AT92" s="4" t="str">
        <f ca="1">IF(HC[[#This Row],[nE]]=1,HC[[#This Row],[As,lado (cm²)]],IF(HC[[#This Row],[nE]]=2,0.075*2*HC[a (cm)],"N.A."))</f>
        <v>N.A.</v>
      </c>
      <c r="AU92" s="4" t="str">
        <f ca="1">IFERROR(IF(HC[[#This Row],[nE]]=1,"N.A.",0.2*HC[[#This Row],[As,lado (cm²)]]),"N.S.")</f>
        <v>N.S.</v>
      </c>
      <c r="AV92" s="4" t="str">
        <f ca="1">As_malha(HC[[#This Row],[nE]],HC[[#This Row],[As,lado (cm²)]],HC[[#This Row],[Nsd (kN)]])</f>
        <v>N.S.</v>
      </c>
      <c r="AW92" s="4" t="str">
        <f ca="1">As_susp_tot(HC[[#This Row],[nE]],HC[[#This Row],[Nsd (kN)]])</f>
        <v>N.S.</v>
      </c>
      <c r="AX92" s="4" t="str">
        <f ca="1">Asp_face(HC[[#This Row],[nE]],HC[[#This Row],[As,lado (cm²)]])</f>
        <v>N.S.</v>
      </c>
      <c r="AY92" s="5" t="str">
        <f ca="1">acoBloco(HC[[#This Row],[nE]],HC[[#This Row],[e (cm)]],HC[[#This Row],[a (cm)]],HC[[#This Row],[h (cm)]],HC[[#This Row],[As,lado (cm²)]],HC[[#This Row],[Asp e Asw (cm²/m)]],HC[[#This Row],[As,sup (cm²)]],HC[[#This Row],[As,malha (cm²)]],HC[[#This Row],[As,susp,tot (cm²)]],HC[[#This Row],[Asp,face (cm²)]])</f>
        <v>N.S.</v>
      </c>
      <c r="AZ92" s="4" t="str">
        <f ca="1">concretoBloco(HC[[#This Row],[nE]],HC[[#This Row],[e (cm)]],HC[[#This Row],[a (cm)]],HC[[#This Row],[h (cm)]])</f>
        <v>N.S.</v>
      </c>
      <c r="BA92" s="5">
        <f ca="1">SUM(HC[[#This Row],[Aço Est (kg)]],HC[[#This Row],[Aço Bloco (kg)]])</f>
        <v>15.783361491635119</v>
      </c>
      <c r="BB92" s="4">
        <f>INDEX(composicoes[],MATCH(95580,composicoes[CÓDIGO],0),MATCH("CUSTO TOTAL",composicoes[#Headers],0))</f>
        <v>10.46</v>
      </c>
      <c r="BC92" s="4">
        <f ca="1">SUM(HC[[#This Row],[Conc Est (m³)]],HC[[#This Row],[Conc Bloco (m³)]])</f>
        <v>32.421236185046666</v>
      </c>
      <c r="BD92" s="4">
        <f>INDEX(composicoes[],MATCH(94966,composicoes[CÓDIGO],0),MATCH("CUSTO TOTAL",composicoes[#Headers],0))</f>
        <v>439.52</v>
      </c>
      <c r="BE92" s="38">
        <f ca="1">HC[[#This Row],[Aço (kg)]]*HC[[#This Row],[Aço (R$/kg)]]+HC[[#This Row],[Conc (m³)]]*HC[[#This Row],[Conc (R$/m³)]]</f>
        <v>14414.875689254213</v>
      </c>
      <c r="BF92" s="4" t="str">
        <f ca="1">IF(COUNTIF(HC[#This Row],"N.S.")&gt;0,"lim.","OK")</f>
        <v>lim.</v>
      </c>
      <c r="BG92" s="4" t="str">
        <f>IF(HC[[#This Row],[Prof. (m)]]&lt;4,"lim.","OK")</f>
        <v>lim.</v>
      </c>
      <c r="BH92" s="4" t="str">
        <f>IF(HC[[#This Row],[Prof. (m)]]&gt;=8*HC[[#This Row],[Ø (cm)]]/100,"OK","lim.")</f>
        <v>lim.</v>
      </c>
      <c r="BI92" s="4" t="str">
        <f ca="1">IF(HC[[#This Row],[Verif. Biela]]="OK","OK","lim.")</f>
        <v>OK</v>
      </c>
      <c r="BJ92" s="4" t="str">
        <f ca="1">IF(COUNTA(HC[[#This Row],[Nº Est.]:[Biela comp.]])=COUNTIF(HC[[#This Row],[Nº Est.]:[Biela comp.]],"OK"),"OK","lim.")</f>
        <v>lim.</v>
      </c>
      <c r="BK92" s="4" t="str">
        <f ca="1">IF(HC[[#This Row],[Controle]]="OK",HC[[#This Row],[nE]]&amp;" Ø"&amp;HC[[#This Row],[Ø (cm)]]&amp;"cm Prof. "&amp;HC[[#This Row],[Prof. (m)]]&amp;" m","")</f>
        <v/>
      </c>
      <c r="BL92" s="4" t="str">
        <f ca="1">IF(HC[[#This Row],[idDimensionamento]]="","",HC[[#This Row],[idPilar]]&amp;HC[[#This Row],[idDimensionamento]])</f>
        <v/>
      </c>
    </row>
    <row r="93" spans="2:64" x14ac:dyDescent="0.25">
      <c r="B93" s="12">
        <f>ROUNDUP((ROW(HC[[#This Row],[idDiâmetro]])-ROW(HC[[#Headers],[idDiâmetro]]))/(COUNT(SPT[Prof. (m)])*COUNT(PILARES[Pilar])),0)</f>
        <v>4</v>
      </c>
      <c r="C93" s="12">
        <f>IF(HC[[#This Row],[idDiâmetro]]&lt;&gt;B92,1,IF(HC[[#This Row],[Prof. (m)]]=0,C92+1,C92))</f>
        <v>1</v>
      </c>
      <c r="D93" s="1">
        <f>IFERROR(IF(D92=MAX(SPT[Prof. (m)]),0,D92+1),0)</f>
        <v>4</v>
      </c>
      <c r="E93" s="1">
        <f>INDEX(SPT[],MATCH(HC[[#This Row],[Prof. (m)]],SPT[Prof. (m)],0),2)</f>
        <v>8</v>
      </c>
      <c r="F93" s="1" t="str">
        <f>INDEX(SPT[],MATCH(HC[[#This Row],[Prof. (m)]],SPT[Prof. (m)],0),3)</f>
        <v>Areia siltosa</v>
      </c>
      <c r="G93" s="1">
        <f>INDEX(estacas[],HC[[#This Row],[idDiâmetro]],MATCH($B$2,estacas[#Headers],0))</f>
        <v>40</v>
      </c>
      <c r="H93" s="1">
        <f>INDEX(estacas[],MATCH(HC[[#This Row],[Ø (cm)]],estacas[Ø HC (cm)],0),MATCH(HC[[#Headers],[Pe HC (kN)]],estacas[#Headers],0))</f>
        <v>800</v>
      </c>
      <c r="I93" s="4">
        <f>INDEX(K_alpha_C[],MATCH(HC[[#This Row],[Solo]],K_alpha_C[Solo],0),2)</f>
        <v>0.8</v>
      </c>
      <c r="J93" s="5">
        <f>INDEX(K_alpha_C[],MATCH(HC[[#This Row],[Solo]],K_alpha_C[Solo],0),3)</f>
        <v>2</v>
      </c>
      <c r="K93" s="4">
        <f>INDEX(F1_F2[],MATCH($D$2,F1_F2[Tipo de estaca],0),2)</f>
        <v>2</v>
      </c>
      <c r="L93" s="4">
        <f>INDEX(F1_F2[],MATCH($D$2,F1_F2[Tipo de estaca],0),3)</f>
        <v>4</v>
      </c>
      <c r="M93" s="4">
        <f>PI()*(HC[[#This Row],[Ø (cm)]]/100)^2/4</f>
        <v>0.12566370614359174</v>
      </c>
      <c r="N93" s="4">
        <f>PI()*HC[[#This Row],[Ø (cm)]]/100</f>
        <v>1.2566370614359172</v>
      </c>
      <c r="O93" s="4">
        <f>IF(HC[[#This Row],[Prof. (m)]]=0,0,HC[[#This Row],[α (%)]]/100*HC[[#This Row],[K (MPa)]]*1000*HC[[#This Row],[NSPT]])</f>
        <v>128</v>
      </c>
      <c r="P93" s="4">
        <f>IF(HC[[#This Row],[Prof. (m)]]=0,0,(HC[[#This Row],[K (MPa)]]*1000*HC[[#This Row],[NSPT]]/HC[[#This Row],[F1]]*HC[[#This Row],[Ap (m²)]]+HC[[#This Row],[U (m)]]/HC[[#This Row],[F2]]*SUMIFS(HC[(α∙K∙NL∙ΔL)],HC[Prof. (m)],"&lt;="&amp;HC[[#This Row],[Prof. (m)]],HC[idDiâmetro],HC[[#This Row],[idDiâmetro]],HC[idPilar],HC[[#This Row],[idPilar]]))/'DADOS CAP. CARGA'!$D$2)</f>
        <v>241.27431579569614</v>
      </c>
      <c r="Q93" s="12">
        <f>INDEX(C_alpha_beta[],MATCH(HC[[#This Row],[Solo]],C_alpha_beta[Solo],0),MATCH(HC[[#Headers],[C (kPa)]],C_alpha_beta[#Headers],0))</f>
        <v>400</v>
      </c>
      <c r="R93" s="4">
        <f>INDEX(C_alpha_beta[],MATCH(HC[[#This Row],[Solo]],C_alpha_beta[Solo],0),MATCH(HC[[#Headers],[α ESF]],C_alpha_beta[#Headers],0))</f>
        <v>0.5</v>
      </c>
      <c r="S93" s="4">
        <f>INDEX(C_alpha_beta[],MATCH(HC[[#This Row],[Solo]],C_alpha_beta[Solo],0),MATCH(HC[[#Headers],[β ESF]],C_alpha_beta[#Headers],0))</f>
        <v>0.5</v>
      </c>
      <c r="T93" s="4">
        <f>IF(HC[[#This Row],[Prof. (m)]]=0,0,10*(HC[[#This Row],[NSPT]]/3+1))</f>
        <v>36.666666666666664</v>
      </c>
      <c r="U93" s="4">
        <f>(HC[[#This Row],[α ESF]]*HC[[#This Row],[C (kPa)]]*HC[[#This Row],[NSPT]]*HC[[#This Row],[Ap (m²)]])/'DADOS CAP. CARGA'!$Q$2+(HC[[#This Row],[β ESF]]*SUMIFS(HC[10∙(NL/3+1)],HC[Prof. (m)],"&lt;="&amp;HC[[#This Row],[Prof. (m)]],HC[idDiâmetro],HC[[#This Row],[idDiâmetro]],HC[idPilar],HC[[#This Row],[idPilar]])*HC[[#This Row],[U (m)]])/'DADOS CAP. CARGA'!$S$2</f>
        <v>79.587013890941421</v>
      </c>
      <c r="V93" s="4">
        <f>IF(SPT!$M$5=1,MIN(HC[[#This Row],[Pe HC (kN)]],HC[[#This Row],[R_AV (kN)]]),IF(SPT!$M$5=2,MIN(HC[[#This Row],[Pe HC (kN)]],HC[[#This Row],[R_DC (kN)]]),MIN(HC[[#This Row],[Pe HC (kN)]],HC[[#This Row],[R_AV (kN)]],HC[[#This Row],[R_DC (kN)]])))</f>
        <v>79.587013890941421</v>
      </c>
      <c r="W93" s="4">
        <f>INDEX(PILARES[],HC[[#This Row],[idPilar]],MATCH("Carga (kN)",PILARES[#Headers],0))*1.4</f>
        <v>3500</v>
      </c>
      <c r="X93" s="12">
        <f>INDEX(PILARES[],HC[[#This Row],[idPilar]],MATCH(HC[[#Headers],[ap (cm)]],PILARES[#Headers],0))</f>
        <v>60</v>
      </c>
      <c r="Y93" s="12">
        <f>INDEX(PILARES[],HC[[#This Row],[idPilar]],MATCH(HC[[#Headers],[bp (cm)]],PILARES[#Headers],0))</f>
        <v>60</v>
      </c>
      <c r="Z93" s="4">
        <f>SQRT(HC[[#This Row],[ap (cm)]]*HC[[#This Row],[bp (cm)]])</f>
        <v>60</v>
      </c>
      <c r="AA93" s="12">
        <f>HC[[#This Row],[ap (cm)]]*HC[[#This Row],[bp (cm)]]</f>
        <v>3600</v>
      </c>
      <c r="AB93" s="12">
        <f ca="1">IF(HC[[#This Row],[Padm∙ε (kN)]]&gt;=HC[[#This Row],[Padm (kN)]],ROUNDUP(1.05*HC[[#This Row],[Nsd (kN)]]/HC[[#This Row],[Padm (kN)]],0),ROUNDUP(1.05*HC[[#This Row],[Nsd (kN)]]/HC[[#This Row],[Padm (kN)]],0)+1)</f>
        <v>47</v>
      </c>
      <c r="AC93" s="4" t="str">
        <f ca="1">IFERROR(IF(HC[[#This Row],[nE]]=1,HC[[#This Row],[Padm (kN)]],HC[[#This Row],[Padm (kN)]]*HC[[#This Row],[nE]]*INDEX(grupoEstacas[],HC[[#This Row],[nE]],MATCH("ε",grupoEstacas[#Headers],0))),"N.S.")</f>
        <v>N.S.</v>
      </c>
      <c r="AD93" s="4">
        <f ca="1">1.05*HC[[#This Row],[Nsd (kN)]]/(HC[[#This Row],[nE]]*PI()*HC[[#This Row],[Ø (cm)]]^2/4)*10</f>
        <v>0.62222810198161205</v>
      </c>
      <c r="AE93" s="4">
        <f ca="1">IF(HC[[#This Row],[σ (MPa)]]&lt;INDEX(tipoEstaca[],MATCH($D$2,tipoEstaca[TIPO DE ESTACA],0),MATCH("σmáx (MPa)",tipoEstaca[#Headers],0)),0.4%*PI()*HC[[#This Row],[Ø (cm)]]^2/4,"N.S.")</f>
        <v>5.026548245743669</v>
      </c>
      <c r="AF93" s="1">
        <f>INDEX(tipoEstaca[],MATCH($D$2,tipoEstaca[TIPO DE ESTACA],0),MATCH(HC[[#Headers],[Comprimento (m)]],tipoEstaca[#Headers],0))</f>
        <v>4</v>
      </c>
      <c r="AG93" s="5">
        <f ca="1">HC[[#This Row],[As,mín (cm²)]]/100^2*HC[[#This Row],[Comprimento (m)]]*7850</f>
        <v>15.783361491635119</v>
      </c>
      <c r="AH93" s="4">
        <f ca="1">HC[[#This Row],[nE]]*HC[[#This Row],[Prof. (m)]]*HC[[#This Row],[Ap (m²)]]</f>
        <v>23.624776754995246</v>
      </c>
      <c r="AI93" s="1">
        <f ca="1">IF(HC[[#This Row],[nE]]=1,0,MAX(3*HC[[#This Row],[Ø (cm)]],60))</f>
        <v>120</v>
      </c>
      <c r="AJ93" s="1">
        <f ca="1">IF(HC[[#This Row],[nE]]=1,HC[[#This Row],[Ø (cm)]]+2*10,MAX(1.5*HC[[#This Row],[Ø (cm)]],HC[[#This Row],[Ø (cm)]]+15))</f>
        <v>60</v>
      </c>
      <c r="AK93" s="1" t="str">
        <f ca="1">alturaUtil(HC[[#This Row],[nE]],HC[[#This Row],[Ø (cm)]],HC[[#This Row],[e (cm)]],HC[[#This Row],[ap,eq (cm)]])</f>
        <v>N.S.</v>
      </c>
      <c r="AL93" s="1" t="str">
        <f ca="1">IFERROR(HC[[#This Row],[d (cm)]]+arredondarParaCimaMultiplo5cm(MAX(5,SQRT(PI())/2*HC[[#This Row],[Ø (cm)]]/5)),"N.S.")</f>
        <v>N.S.</v>
      </c>
      <c r="AM93" s="5" t="str">
        <f ca="1">alpha(HC[[#This Row],[nE]],HC[[#This Row],[d (cm)]],HC[[#This Row],[e (cm)]],HC[[#This Row],[ap,eq (cm)]])</f>
        <v>N.S.</v>
      </c>
      <c r="AN93" s="35" t="str">
        <f ca="1">IFERROR(HC[[#This Row],[Nsd (kN)]]/(HC[[#This Row],[Ap (cm²)]]*SIN(HC[[#This Row],[α]])^2),"N.S.")</f>
        <v>N.S.</v>
      </c>
      <c r="AO93" s="35" t="str">
        <f ca="1">IFERROR(HC[[#This Row],[Nsd (kN)]]/(HC[[#This Row],[nE]]*PI()*HC[[#This Row],[Ø (cm)]]^2/4*SIN(HC[[#This Row],[α]])^2),"N.S.")</f>
        <v>N.S.</v>
      </c>
      <c r="AP93" s="4" t="str">
        <f ca="1">IFERROR(INDEX(grupoEstacas[],HC[[#This Row],[nE]],MATCH("coef. Blévot",grupoEstacas[#Headers],0)),"N.S.")</f>
        <v>N.S.</v>
      </c>
      <c r="AQ93" s="35" t="str">
        <f ca="1">IFERROR(HC[[#This Row],[coef. Blévot]]*0.9*INDEX(tipoEstaca[],MATCH($D$2,tipoEstaca[TIPO DE ESTACA],0),MATCH("fcd (kN/cm²)",tipoEstaca[#Headers],0)),"N.S.")</f>
        <v>N.S.</v>
      </c>
      <c r="AR93" s="1" t="str">
        <f ca="1">IF(AND(HC[[#This Row],[cd,b,pil (kN/cm²)]]&lt;=HC[[#This Row],[cd,b,lim (kN/cm²)]],HC[[#This Row],[cd,b,est (kN/cm²)]]&lt;=HC[[#This Row],[cd,b,lim (kN/cm²)]]),"OK","ERRO")</f>
        <v>OK</v>
      </c>
      <c r="AS93" s="4" t="str">
        <f ca="1">As_lado(HC[[#This Row],[nE]],HC[[#This Row],[Nsd (kN)]],HC[[#This Row],[d (cm)]],HC[[#This Row],[e (cm)]],HC[[#This Row],[ap,eq (cm)]])</f>
        <v>N.S.</v>
      </c>
      <c r="AT93" s="4" t="str">
        <f ca="1">IF(HC[[#This Row],[nE]]=1,HC[[#This Row],[As,lado (cm²)]],IF(HC[[#This Row],[nE]]=2,0.075*2*HC[a (cm)],"N.A."))</f>
        <v>N.A.</v>
      </c>
      <c r="AU93" s="4" t="str">
        <f ca="1">IFERROR(IF(HC[[#This Row],[nE]]=1,"N.A.",0.2*HC[[#This Row],[As,lado (cm²)]]),"N.S.")</f>
        <v>N.S.</v>
      </c>
      <c r="AV93" s="4" t="str">
        <f ca="1">As_malha(HC[[#This Row],[nE]],HC[[#This Row],[As,lado (cm²)]],HC[[#This Row],[Nsd (kN)]])</f>
        <v>N.S.</v>
      </c>
      <c r="AW93" s="4" t="str">
        <f ca="1">As_susp_tot(HC[[#This Row],[nE]],HC[[#This Row],[Nsd (kN)]])</f>
        <v>N.S.</v>
      </c>
      <c r="AX93" s="4" t="str">
        <f ca="1">Asp_face(HC[[#This Row],[nE]],HC[[#This Row],[As,lado (cm²)]])</f>
        <v>N.S.</v>
      </c>
      <c r="AY93" s="5" t="str">
        <f ca="1">acoBloco(HC[[#This Row],[nE]],HC[[#This Row],[e (cm)]],HC[[#This Row],[a (cm)]],HC[[#This Row],[h (cm)]],HC[[#This Row],[As,lado (cm²)]],HC[[#This Row],[Asp e Asw (cm²/m)]],HC[[#This Row],[As,sup (cm²)]],HC[[#This Row],[As,malha (cm²)]],HC[[#This Row],[As,susp,tot (cm²)]],HC[[#This Row],[Asp,face (cm²)]])</f>
        <v>N.S.</v>
      </c>
      <c r="AZ93" s="4" t="str">
        <f ca="1">concretoBloco(HC[[#This Row],[nE]],HC[[#This Row],[e (cm)]],HC[[#This Row],[a (cm)]],HC[[#This Row],[h (cm)]])</f>
        <v>N.S.</v>
      </c>
      <c r="BA93" s="5">
        <f ca="1">SUM(HC[[#This Row],[Aço Est (kg)]],HC[[#This Row],[Aço Bloco (kg)]])</f>
        <v>15.783361491635119</v>
      </c>
      <c r="BB93" s="4">
        <f>INDEX(composicoes[],MATCH(95580,composicoes[CÓDIGO],0),MATCH("CUSTO TOTAL",composicoes[#Headers],0))</f>
        <v>10.46</v>
      </c>
      <c r="BC93" s="4">
        <f ca="1">SUM(HC[[#This Row],[Conc Est (m³)]],HC[[#This Row],[Conc Bloco (m³)]])</f>
        <v>23.624776754995246</v>
      </c>
      <c r="BD93" s="4">
        <f>INDEX(composicoes[],MATCH(94966,composicoes[CÓDIGO],0),MATCH("CUSTO TOTAL",composicoes[#Headers],0))</f>
        <v>439.52</v>
      </c>
      <c r="BE93" s="38">
        <f ca="1">HC[[#This Row],[Aço (kg)]]*HC[[#This Row],[Aço (R$/kg)]]+HC[[#This Row],[Conc (m³)]]*HC[[#This Row],[Conc (R$/m³)]]</f>
        <v>10548.655840558013</v>
      </c>
      <c r="BF93" s="4" t="str">
        <f ca="1">IF(COUNTIF(HC[#This Row],"N.S.")&gt;0,"lim.","OK")</f>
        <v>lim.</v>
      </c>
      <c r="BG93" s="4" t="str">
        <f>IF(HC[[#This Row],[Prof. (m)]]&lt;4,"lim.","OK")</f>
        <v>OK</v>
      </c>
      <c r="BH93" s="4" t="str">
        <f>IF(HC[[#This Row],[Prof. (m)]]&gt;=8*HC[[#This Row],[Ø (cm)]]/100,"OK","lim.")</f>
        <v>OK</v>
      </c>
      <c r="BI93" s="4" t="str">
        <f ca="1">IF(HC[[#This Row],[Verif. Biela]]="OK","OK","lim.")</f>
        <v>OK</v>
      </c>
      <c r="BJ93" s="4" t="str">
        <f ca="1">IF(COUNTA(HC[[#This Row],[Nº Est.]:[Biela comp.]])=COUNTIF(HC[[#This Row],[Nº Est.]:[Biela comp.]],"OK"),"OK","lim.")</f>
        <v>lim.</v>
      </c>
      <c r="BK93" s="4" t="str">
        <f ca="1">IF(HC[[#This Row],[Controle]]="OK",HC[[#This Row],[nE]]&amp;" Ø"&amp;HC[[#This Row],[Ø (cm)]]&amp;"cm Prof. "&amp;HC[[#This Row],[Prof. (m)]]&amp;" m","")</f>
        <v/>
      </c>
      <c r="BL93" s="4" t="str">
        <f ca="1">IF(HC[[#This Row],[idDimensionamento]]="","",HC[[#This Row],[idPilar]]&amp;HC[[#This Row],[idDimensionamento]])</f>
        <v/>
      </c>
    </row>
    <row r="94" spans="2:64" x14ac:dyDescent="0.25">
      <c r="B94" s="12">
        <f>ROUNDUP((ROW(HC[[#This Row],[idDiâmetro]])-ROW(HC[[#Headers],[idDiâmetro]]))/(COUNT(SPT[Prof. (m)])*COUNT(PILARES[Pilar])),0)</f>
        <v>4</v>
      </c>
      <c r="C94" s="12">
        <f>IF(HC[[#This Row],[idDiâmetro]]&lt;&gt;B93,1,IF(HC[[#This Row],[Prof. (m)]]=0,C93+1,C93))</f>
        <v>1</v>
      </c>
      <c r="D94" s="1">
        <f>IFERROR(IF(D93=MAX(SPT[Prof. (m)]),0,D93+1),0)</f>
        <v>5</v>
      </c>
      <c r="E94" s="1">
        <f>INDEX(SPT[],MATCH(HC[[#This Row],[Prof. (m)]],SPT[Prof. (m)],0),2)</f>
        <v>17</v>
      </c>
      <c r="F94" s="1" t="str">
        <f>INDEX(SPT[],MATCH(HC[[#This Row],[Prof. (m)]],SPT[Prof. (m)],0),3)</f>
        <v>Areia siltosa</v>
      </c>
      <c r="G94" s="1">
        <f>INDEX(estacas[],HC[[#This Row],[idDiâmetro]],MATCH($B$2,estacas[#Headers],0))</f>
        <v>40</v>
      </c>
      <c r="H94" s="1">
        <f>INDEX(estacas[],MATCH(HC[[#This Row],[Ø (cm)]],estacas[Ø HC (cm)],0),MATCH(HC[[#Headers],[Pe HC (kN)]],estacas[#Headers],0))</f>
        <v>800</v>
      </c>
      <c r="I94" s="4">
        <f>INDEX(K_alpha_C[],MATCH(HC[[#This Row],[Solo]],K_alpha_C[Solo],0),2)</f>
        <v>0.8</v>
      </c>
      <c r="J94" s="5">
        <f>INDEX(K_alpha_C[],MATCH(HC[[#This Row],[Solo]],K_alpha_C[Solo],0),3)</f>
        <v>2</v>
      </c>
      <c r="K94" s="4">
        <f>INDEX(F1_F2[],MATCH($D$2,F1_F2[Tipo de estaca],0),2)</f>
        <v>2</v>
      </c>
      <c r="L94" s="4">
        <f>INDEX(F1_F2[],MATCH($D$2,F1_F2[Tipo de estaca],0),3)</f>
        <v>4</v>
      </c>
      <c r="M94" s="4">
        <f>PI()*(HC[[#This Row],[Ø (cm)]]/100)^2/4</f>
        <v>0.12566370614359174</v>
      </c>
      <c r="N94" s="4">
        <f>PI()*HC[[#This Row],[Ø (cm)]]/100</f>
        <v>1.2566370614359172</v>
      </c>
      <c r="O94" s="4">
        <f>IF(HC[[#This Row],[Prof. (m)]]=0,0,HC[[#This Row],[α (%)]]/100*HC[[#This Row],[K (MPa)]]*1000*HC[[#This Row],[NSPT]])</f>
        <v>272</v>
      </c>
      <c r="P94" s="4">
        <f>IF(HC[[#This Row],[Prof. (m)]]=0,0,(HC[[#This Row],[K (MPa)]]*1000*HC[[#This Row],[NSPT]]/HC[[#This Row],[F1]]*HC[[#This Row],[Ap (m²)]]+HC[[#This Row],[U (m)]]/HC[[#This Row],[F2]]*SUMIFS(HC[(α∙K∙NL∙ΔL)],HC[Prof. (m)],"&lt;="&amp;HC[[#This Row],[Prof. (m)]],HC[idDiâmetro],HC[[#This Row],[idDiâmetro]],HC[idPilar],HC[[#This Row],[idPilar]]))/'DADOS CAP. CARGA'!$D$2)</f>
        <v>510.19464694298244</v>
      </c>
      <c r="Q94" s="12">
        <f>INDEX(C_alpha_beta[],MATCH(HC[[#This Row],[Solo]],C_alpha_beta[Solo],0),MATCH(HC[[#Headers],[C (kPa)]],C_alpha_beta[#Headers],0))</f>
        <v>400</v>
      </c>
      <c r="R94" s="4">
        <f>INDEX(C_alpha_beta[],MATCH(HC[[#This Row],[Solo]],C_alpha_beta[Solo],0),MATCH(HC[[#Headers],[α ESF]],C_alpha_beta[#Headers],0))</f>
        <v>0.5</v>
      </c>
      <c r="S94" s="4">
        <f>INDEX(C_alpha_beta[],MATCH(HC[[#This Row],[Solo]],C_alpha_beta[Solo],0),MATCH(HC[[#Headers],[β ESF]],C_alpha_beta[#Headers],0))</f>
        <v>0.5</v>
      </c>
      <c r="T94" s="4">
        <f>IF(HC[[#This Row],[Prof. (m)]]=0,0,10*(HC[[#This Row],[NSPT]]/3+1))</f>
        <v>66.666666666666671</v>
      </c>
      <c r="U94" s="4">
        <f>(HC[[#This Row],[α ESF]]*HC[[#This Row],[C (kPa)]]*HC[[#This Row],[NSPT]]*HC[[#This Row],[Ap (m²)]])/'DADOS CAP. CARGA'!$Q$2+(HC[[#This Row],[β ESF]]*SUMIFS(HC[10∙(NL/3+1)],HC[Prof. (m)],"&lt;="&amp;HC[[#This Row],[Prof. (m)]],HC[idDiâmetro],HC[[#This Row],[idDiâmetro]],HC[idPilar],HC[[#This Row],[idPilar]])*HC[[#This Row],[U (m)]])/'DADOS CAP. CARGA'!$S$2</f>
        <v>157.07963267948966</v>
      </c>
      <c r="V94" s="4">
        <f>IF(SPT!$M$5=1,MIN(HC[[#This Row],[Pe HC (kN)]],HC[[#This Row],[R_AV (kN)]]),IF(SPT!$M$5=2,MIN(HC[[#This Row],[Pe HC (kN)]],HC[[#This Row],[R_DC (kN)]]),MIN(HC[[#This Row],[Pe HC (kN)]],HC[[#This Row],[R_AV (kN)]],HC[[#This Row],[R_DC (kN)]])))</f>
        <v>157.07963267948966</v>
      </c>
      <c r="W94" s="4">
        <f>INDEX(PILARES[],HC[[#This Row],[idPilar]],MATCH("Carga (kN)",PILARES[#Headers],0))*1.4</f>
        <v>3500</v>
      </c>
      <c r="X94" s="12">
        <f>INDEX(PILARES[],HC[[#This Row],[idPilar]],MATCH(HC[[#Headers],[ap (cm)]],PILARES[#Headers],0))</f>
        <v>60</v>
      </c>
      <c r="Y94" s="12">
        <f>INDEX(PILARES[],HC[[#This Row],[idPilar]],MATCH(HC[[#Headers],[bp (cm)]],PILARES[#Headers],0))</f>
        <v>60</v>
      </c>
      <c r="Z94" s="4">
        <f>SQRT(HC[[#This Row],[ap (cm)]]*HC[[#This Row],[bp (cm)]])</f>
        <v>60</v>
      </c>
      <c r="AA94" s="12">
        <f>HC[[#This Row],[ap (cm)]]*HC[[#This Row],[bp (cm)]]</f>
        <v>3600</v>
      </c>
      <c r="AB94" s="12">
        <f ca="1">IF(HC[[#This Row],[Padm∙ε (kN)]]&gt;=HC[[#This Row],[Padm (kN)]],ROUNDUP(1.05*HC[[#This Row],[Nsd (kN)]]/HC[[#This Row],[Padm (kN)]],0),ROUNDUP(1.05*HC[[#This Row],[Nsd (kN)]]/HC[[#This Row],[Padm (kN)]],0)+1)</f>
        <v>24</v>
      </c>
      <c r="AC94" s="4" t="str">
        <f ca="1">IFERROR(IF(HC[[#This Row],[nE]]=1,HC[[#This Row],[Padm (kN)]],HC[[#This Row],[Padm (kN)]]*HC[[#This Row],[nE]]*INDEX(grupoEstacas[],HC[[#This Row],[nE]],MATCH("ε",grupoEstacas[#Headers],0))),"N.S.")</f>
        <v>N.S.</v>
      </c>
      <c r="AD94" s="4">
        <f ca="1">1.05*HC[[#This Row],[Nsd (kN)]]/(HC[[#This Row],[nE]]*PI()*HC[[#This Row],[Ø (cm)]]^2/4)*10</f>
        <v>1.2185300330473239</v>
      </c>
      <c r="AE94" s="4">
        <f ca="1">IF(HC[[#This Row],[σ (MPa)]]&lt;INDEX(tipoEstaca[],MATCH($D$2,tipoEstaca[TIPO DE ESTACA],0),MATCH("σmáx (MPa)",tipoEstaca[#Headers],0)),0.4%*PI()*HC[[#This Row],[Ø (cm)]]^2/4,"N.S.")</f>
        <v>5.026548245743669</v>
      </c>
      <c r="AF94" s="1">
        <f>INDEX(tipoEstaca[],MATCH($D$2,tipoEstaca[TIPO DE ESTACA],0),MATCH(HC[[#Headers],[Comprimento (m)]],tipoEstaca[#Headers],0))</f>
        <v>4</v>
      </c>
      <c r="AG94" s="5">
        <f ca="1">HC[[#This Row],[As,mín (cm²)]]/100^2*HC[[#This Row],[Comprimento (m)]]*7850</f>
        <v>15.783361491635119</v>
      </c>
      <c r="AH94" s="4">
        <f ca="1">HC[[#This Row],[nE]]*HC[[#This Row],[Prof. (m)]]*HC[[#This Row],[Ap (m²)]]</f>
        <v>15.079644737231009</v>
      </c>
      <c r="AI94" s="1">
        <f ca="1">IF(HC[[#This Row],[nE]]=1,0,MAX(3*HC[[#This Row],[Ø (cm)]],60))</f>
        <v>120</v>
      </c>
      <c r="AJ94" s="1">
        <f ca="1">IF(HC[[#This Row],[nE]]=1,HC[[#This Row],[Ø (cm)]]+2*10,MAX(1.5*HC[[#This Row],[Ø (cm)]],HC[[#This Row],[Ø (cm)]]+15))</f>
        <v>60</v>
      </c>
      <c r="AK94" s="1" t="str">
        <f ca="1">alturaUtil(HC[[#This Row],[nE]],HC[[#This Row],[Ø (cm)]],HC[[#This Row],[e (cm)]],HC[[#This Row],[ap,eq (cm)]])</f>
        <v>N.S.</v>
      </c>
      <c r="AL94" s="1" t="str">
        <f ca="1">IFERROR(HC[[#This Row],[d (cm)]]+arredondarParaCimaMultiplo5cm(MAX(5,SQRT(PI())/2*HC[[#This Row],[Ø (cm)]]/5)),"N.S.")</f>
        <v>N.S.</v>
      </c>
      <c r="AM94" s="5" t="str">
        <f ca="1">alpha(HC[[#This Row],[nE]],HC[[#This Row],[d (cm)]],HC[[#This Row],[e (cm)]],HC[[#This Row],[ap,eq (cm)]])</f>
        <v>N.S.</v>
      </c>
      <c r="AN94" s="35" t="str">
        <f ca="1">IFERROR(HC[[#This Row],[Nsd (kN)]]/(HC[[#This Row],[Ap (cm²)]]*SIN(HC[[#This Row],[α]])^2),"N.S.")</f>
        <v>N.S.</v>
      </c>
      <c r="AO94" s="35" t="str">
        <f ca="1">IFERROR(HC[[#This Row],[Nsd (kN)]]/(HC[[#This Row],[nE]]*PI()*HC[[#This Row],[Ø (cm)]]^2/4*SIN(HC[[#This Row],[α]])^2),"N.S.")</f>
        <v>N.S.</v>
      </c>
      <c r="AP94" s="4" t="str">
        <f ca="1">IFERROR(INDEX(grupoEstacas[],HC[[#This Row],[nE]],MATCH("coef. Blévot",grupoEstacas[#Headers],0)),"N.S.")</f>
        <v>N.S.</v>
      </c>
      <c r="AQ94" s="35" t="str">
        <f ca="1">IFERROR(HC[[#This Row],[coef. Blévot]]*0.9*INDEX(tipoEstaca[],MATCH($D$2,tipoEstaca[TIPO DE ESTACA],0),MATCH("fcd (kN/cm²)",tipoEstaca[#Headers],0)),"N.S.")</f>
        <v>N.S.</v>
      </c>
      <c r="AR94" s="1" t="str">
        <f ca="1">IF(AND(HC[[#This Row],[cd,b,pil (kN/cm²)]]&lt;=HC[[#This Row],[cd,b,lim (kN/cm²)]],HC[[#This Row],[cd,b,est (kN/cm²)]]&lt;=HC[[#This Row],[cd,b,lim (kN/cm²)]]),"OK","ERRO")</f>
        <v>OK</v>
      </c>
      <c r="AS94" s="4" t="str">
        <f ca="1">As_lado(HC[[#This Row],[nE]],HC[[#This Row],[Nsd (kN)]],HC[[#This Row],[d (cm)]],HC[[#This Row],[e (cm)]],HC[[#This Row],[ap,eq (cm)]])</f>
        <v>N.S.</v>
      </c>
      <c r="AT94" s="4" t="str">
        <f ca="1">IF(HC[[#This Row],[nE]]=1,HC[[#This Row],[As,lado (cm²)]],IF(HC[[#This Row],[nE]]=2,0.075*2*HC[a (cm)],"N.A."))</f>
        <v>N.A.</v>
      </c>
      <c r="AU94" s="4" t="str">
        <f ca="1">IFERROR(IF(HC[[#This Row],[nE]]=1,"N.A.",0.2*HC[[#This Row],[As,lado (cm²)]]),"N.S.")</f>
        <v>N.S.</v>
      </c>
      <c r="AV94" s="4" t="str">
        <f ca="1">As_malha(HC[[#This Row],[nE]],HC[[#This Row],[As,lado (cm²)]],HC[[#This Row],[Nsd (kN)]])</f>
        <v>N.S.</v>
      </c>
      <c r="AW94" s="4" t="str">
        <f ca="1">As_susp_tot(HC[[#This Row],[nE]],HC[[#This Row],[Nsd (kN)]])</f>
        <v>N.S.</v>
      </c>
      <c r="AX94" s="4" t="str">
        <f ca="1">Asp_face(HC[[#This Row],[nE]],HC[[#This Row],[As,lado (cm²)]])</f>
        <v>N.S.</v>
      </c>
      <c r="AY94" s="5" t="str">
        <f ca="1">acoBloco(HC[[#This Row],[nE]],HC[[#This Row],[e (cm)]],HC[[#This Row],[a (cm)]],HC[[#This Row],[h (cm)]],HC[[#This Row],[As,lado (cm²)]],HC[[#This Row],[Asp e Asw (cm²/m)]],HC[[#This Row],[As,sup (cm²)]],HC[[#This Row],[As,malha (cm²)]],HC[[#This Row],[As,susp,tot (cm²)]],HC[[#This Row],[Asp,face (cm²)]])</f>
        <v>N.S.</v>
      </c>
      <c r="AZ94" s="4" t="str">
        <f ca="1">concretoBloco(HC[[#This Row],[nE]],HC[[#This Row],[e (cm)]],HC[[#This Row],[a (cm)]],HC[[#This Row],[h (cm)]])</f>
        <v>N.S.</v>
      </c>
      <c r="BA94" s="5">
        <f ca="1">SUM(HC[[#This Row],[Aço Est (kg)]],HC[[#This Row],[Aço Bloco (kg)]])</f>
        <v>15.783361491635119</v>
      </c>
      <c r="BB94" s="4">
        <f>INDEX(composicoes[],MATCH(95580,composicoes[CÓDIGO],0),MATCH("CUSTO TOTAL",composicoes[#Headers],0))</f>
        <v>10.46</v>
      </c>
      <c r="BC94" s="4">
        <f ca="1">SUM(HC[[#This Row],[Conc Est (m³)]],HC[[#This Row],[Conc Bloco (m³)]])</f>
        <v>15.079644737231009</v>
      </c>
      <c r="BD94" s="4">
        <f>INDEX(composicoes[],MATCH(94966,composicoes[CÓDIGO],0),MATCH("CUSTO TOTAL",composicoes[#Headers],0))</f>
        <v>439.52</v>
      </c>
      <c r="BE94" s="38">
        <f ca="1">HC[[#This Row],[Aço (kg)]]*HC[[#This Row],[Aço (R$/kg)]]+HC[[#This Row],[Conc (m³)]]*HC[[#This Row],[Conc (R$/m³)]]</f>
        <v>6792.8994161102755</v>
      </c>
      <c r="BF94" s="4" t="str">
        <f ca="1">IF(COUNTIF(HC[#This Row],"N.S.")&gt;0,"lim.","OK")</f>
        <v>lim.</v>
      </c>
      <c r="BG94" s="4" t="str">
        <f>IF(HC[[#This Row],[Prof. (m)]]&lt;4,"lim.","OK")</f>
        <v>OK</v>
      </c>
      <c r="BH94" s="4" t="str">
        <f>IF(HC[[#This Row],[Prof. (m)]]&gt;=8*HC[[#This Row],[Ø (cm)]]/100,"OK","lim.")</f>
        <v>OK</v>
      </c>
      <c r="BI94" s="4" t="str">
        <f ca="1">IF(HC[[#This Row],[Verif. Biela]]="OK","OK","lim.")</f>
        <v>OK</v>
      </c>
      <c r="BJ94" s="4" t="str">
        <f ca="1">IF(COUNTA(HC[[#This Row],[Nº Est.]:[Biela comp.]])=COUNTIF(HC[[#This Row],[Nº Est.]:[Biela comp.]],"OK"),"OK","lim.")</f>
        <v>lim.</v>
      </c>
      <c r="BK94" s="4" t="str">
        <f ca="1">IF(HC[[#This Row],[Controle]]="OK",HC[[#This Row],[nE]]&amp;" Ø"&amp;HC[[#This Row],[Ø (cm)]]&amp;"cm Prof. "&amp;HC[[#This Row],[Prof. (m)]]&amp;" m","")</f>
        <v/>
      </c>
      <c r="BL94" s="4" t="str">
        <f ca="1">IF(HC[[#This Row],[idDimensionamento]]="","",HC[[#This Row],[idPilar]]&amp;HC[[#This Row],[idDimensionamento]])</f>
        <v/>
      </c>
    </row>
    <row r="95" spans="2:64" x14ac:dyDescent="0.25">
      <c r="B95" s="12">
        <f>ROUNDUP((ROW(HC[[#This Row],[idDiâmetro]])-ROW(HC[[#Headers],[idDiâmetro]]))/(COUNT(SPT[Prof. (m)])*COUNT(PILARES[Pilar])),0)</f>
        <v>4</v>
      </c>
      <c r="C95" s="12">
        <f>IF(HC[[#This Row],[idDiâmetro]]&lt;&gt;B94,1,IF(HC[[#This Row],[Prof. (m)]]=0,C94+1,C94))</f>
        <v>1</v>
      </c>
      <c r="D95" s="1">
        <f>IFERROR(IF(D94=MAX(SPT[Prof. (m)]),0,D94+1),0)</f>
        <v>6</v>
      </c>
      <c r="E95" s="1">
        <f>INDEX(SPT[],MATCH(HC[[#This Row],[Prof. (m)]],SPT[Prof. (m)],0),2)</f>
        <v>21</v>
      </c>
      <c r="F95" s="1" t="str">
        <f>INDEX(SPT[],MATCH(HC[[#This Row],[Prof. (m)]],SPT[Prof. (m)],0),3)</f>
        <v>Silte arenoso</v>
      </c>
      <c r="G95" s="1">
        <f>INDEX(estacas[],HC[[#This Row],[idDiâmetro]],MATCH($B$2,estacas[#Headers],0))</f>
        <v>40</v>
      </c>
      <c r="H95" s="1">
        <f>INDEX(estacas[],MATCH(HC[[#This Row],[Ø (cm)]],estacas[Ø HC (cm)],0),MATCH(HC[[#Headers],[Pe HC (kN)]],estacas[#Headers],0))</f>
        <v>800</v>
      </c>
      <c r="I95" s="4">
        <f>INDEX(K_alpha_C[],MATCH(HC[[#This Row],[Solo]],K_alpha_C[Solo],0),2)</f>
        <v>0.55000000000000004</v>
      </c>
      <c r="J95" s="5">
        <f>INDEX(K_alpha_C[],MATCH(HC[[#This Row],[Solo]],K_alpha_C[Solo],0),3)</f>
        <v>2.2000000000000002</v>
      </c>
      <c r="K95" s="4">
        <f>INDEX(F1_F2[],MATCH($D$2,F1_F2[Tipo de estaca],0),2)</f>
        <v>2</v>
      </c>
      <c r="L95" s="4">
        <f>INDEX(F1_F2[],MATCH($D$2,F1_F2[Tipo de estaca],0),3)</f>
        <v>4</v>
      </c>
      <c r="M95" s="4">
        <f>PI()*(HC[[#This Row],[Ø (cm)]]/100)^2/4</f>
        <v>0.12566370614359174</v>
      </c>
      <c r="N95" s="4">
        <f>PI()*HC[[#This Row],[Ø (cm)]]/100</f>
        <v>1.2566370614359172</v>
      </c>
      <c r="O95" s="4">
        <f>IF(HC[[#This Row],[Prof. (m)]]=0,0,HC[[#This Row],[α (%)]]/100*HC[[#This Row],[K (MPa)]]*1000*HC[[#This Row],[NSPT]])</f>
        <v>254.10000000000002</v>
      </c>
      <c r="P95" s="4">
        <f>IF(HC[[#This Row],[Prof. (m)]]=0,0,(HC[[#This Row],[K (MPa)]]*1000*HC[[#This Row],[NSPT]]/HC[[#This Row],[F1]]*HC[[#This Row],[Ap (m²)]]+HC[[#This Row],[U (m)]]/HC[[#This Row],[F2]]*SUMIFS(HC[(α∙K∙NL∙ΔL)],HC[Prof. (m)],"&lt;="&amp;HC[[#This Row],[Prof. (m)]],HC[idDiâmetro],HC[[#This Row],[idDiâmetro]],HC[idPilar],HC[[#This Row],[idPilar]]))/'DADOS CAP. CARGA'!$D$2)</f>
        <v>485.70593220824998</v>
      </c>
      <c r="Q95" s="12">
        <f>INDEX(C_alpha_beta[],MATCH(HC[[#This Row],[Solo]],C_alpha_beta[Solo],0),MATCH(HC[[#Headers],[C (kPa)]],C_alpha_beta[#Headers],0))</f>
        <v>250</v>
      </c>
      <c r="R95" s="4">
        <f>INDEX(C_alpha_beta[],MATCH(HC[[#This Row],[Solo]],C_alpha_beta[Solo],0),MATCH(HC[[#Headers],[α ESF]],C_alpha_beta[#Headers],0))</f>
        <v>0.6</v>
      </c>
      <c r="S95" s="4">
        <f>INDEX(C_alpha_beta[],MATCH(HC[[#This Row],[Solo]],C_alpha_beta[Solo],0),MATCH(HC[[#Headers],[β ESF]],C_alpha_beta[#Headers],0))</f>
        <v>0.65</v>
      </c>
      <c r="T95" s="4">
        <f>IF(HC[[#This Row],[Prof. (m)]]=0,0,10*(HC[[#This Row],[NSPT]]/3+1))</f>
        <v>80</v>
      </c>
      <c r="U95" s="4">
        <f>(HC[[#This Row],[α ESF]]*HC[[#This Row],[C (kPa)]]*HC[[#This Row],[NSPT]]*HC[[#This Row],[Ap (m²)]])/'DADOS CAP. CARGA'!$Q$2+(HC[[#This Row],[β ESF]]*SUMIFS(HC[10∙(NL/3+1)],HC[Prof. (m)],"&lt;="&amp;HC[[#This Row],[Prof. (m)]],HC[idDiâmetro],HC[[#This Row],[idDiâmetro]],HC[idPilar],HC[[#This Row],[idPilar]])*HC[[#This Row],[U (m)]])/'DADOS CAP. CARGA'!$S$2</f>
        <v>196.97785938008002</v>
      </c>
      <c r="V95" s="4">
        <f>IF(SPT!$M$5=1,MIN(HC[[#This Row],[Pe HC (kN)]],HC[[#This Row],[R_AV (kN)]]),IF(SPT!$M$5=2,MIN(HC[[#This Row],[Pe HC (kN)]],HC[[#This Row],[R_DC (kN)]]),MIN(HC[[#This Row],[Pe HC (kN)]],HC[[#This Row],[R_AV (kN)]],HC[[#This Row],[R_DC (kN)]])))</f>
        <v>196.97785938008002</v>
      </c>
      <c r="W95" s="4">
        <f>INDEX(PILARES[],HC[[#This Row],[idPilar]],MATCH("Carga (kN)",PILARES[#Headers],0))*1.4</f>
        <v>3500</v>
      </c>
      <c r="X95" s="12">
        <f>INDEX(PILARES[],HC[[#This Row],[idPilar]],MATCH(HC[[#Headers],[ap (cm)]],PILARES[#Headers],0))</f>
        <v>60</v>
      </c>
      <c r="Y95" s="12">
        <f>INDEX(PILARES[],HC[[#This Row],[idPilar]],MATCH(HC[[#Headers],[bp (cm)]],PILARES[#Headers],0))</f>
        <v>60</v>
      </c>
      <c r="Z95" s="4">
        <f>SQRT(HC[[#This Row],[ap (cm)]]*HC[[#This Row],[bp (cm)]])</f>
        <v>60</v>
      </c>
      <c r="AA95" s="12">
        <f>HC[[#This Row],[ap (cm)]]*HC[[#This Row],[bp (cm)]]</f>
        <v>3600</v>
      </c>
      <c r="AB95" s="12">
        <f ca="1">IF(HC[[#This Row],[Padm∙ε (kN)]]&gt;=HC[[#This Row],[Padm (kN)]],ROUNDUP(1.05*HC[[#This Row],[Nsd (kN)]]/HC[[#This Row],[Padm (kN)]],0),ROUNDUP(1.05*HC[[#This Row],[Nsd (kN)]]/HC[[#This Row],[Padm (kN)]],0)+1)</f>
        <v>19</v>
      </c>
      <c r="AC95" s="4" t="str">
        <f ca="1">IFERROR(IF(HC[[#This Row],[nE]]=1,HC[[#This Row],[Padm (kN)]],HC[[#This Row],[Padm (kN)]]*HC[[#This Row],[nE]]*INDEX(grupoEstacas[],HC[[#This Row],[nE]],MATCH("ε",grupoEstacas[#Headers],0))),"N.S.")</f>
        <v>N.S.</v>
      </c>
      <c r="AD95" s="4">
        <f ca="1">1.05*HC[[#This Row],[Nsd (kN)]]/(HC[[#This Row],[nE]]*PI()*HC[[#This Row],[Ø (cm)]]^2/4)*10</f>
        <v>1.5391958312176723</v>
      </c>
      <c r="AE95" s="4">
        <f ca="1">IF(HC[[#This Row],[σ (MPa)]]&lt;INDEX(tipoEstaca[],MATCH($D$2,tipoEstaca[TIPO DE ESTACA],0),MATCH("σmáx (MPa)",tipoEstaca[#Headers],0)),0.4%*PI()*HC[[#This Row],[Ø (cm)]]^2/4,"N.S.")</f>
        <v>5.026548245743669</v>
      </c>
      <c r="AF95" s="1">
        <f>INDEX(tipoEstaca[],MATCH($D$2,tipoEstaca[TIPO DE ESTACA],0),MATCH(HC[[#Headers],[Comprimento (m)]],tipoEstaca[#Headers],0))</f>
        <v>4</v>
      </c>
      <c r="AG95" s="5">
        <f ca="1">HC[[#This Row],[As,mín (cm²)]]/100^2*HC[[#This Row],[Comprimento (m)]]*7850</f>
        <v>15.783361491635119</v>
      </c>
      <c r="AH95" s="4">
        <f ca="1">HC[[#This Row],[nE]]*HC[[#This Row],[Prof. (m)]]*HC[[#This Row],[Ap (m²)]]</f>
        <v>14.325662500369457</v>
      </c>
      <c r="AI95" s="1">
        <f ca="1">IF(HC[[#This Row],[nE]]=1,0,MAX(3*HC[[#This Row],[Ø (cm)]],60))</f>
        <v>120</v>
      </c>
      <c r="AJ95" s="1">
        <f ca="1">IF(HC[[#This Row],[nE]]=1,HC[[#This Row],[Ø (cm)]]+2*10,MAX(1.5*HC[[#This Row],[Ø (cm)]],HC[[#This Row],[Ø (cm)]]+15))</f>
        <v>60</v>
      </c>
      <c r="AK95" s="1" t="str">
        <f ca="1">alturaUtil(HC[[#This Row],[nE]],HC[[#This Row],[Ø (cm)]],HC[[#This Row],[e (cm)]],HC[[#This Row],[ap,eq (cm)]])</f>
        <v>N.S.</v>
      </c>
      <c r="AL95" s="1" t="str">
        <f ca="1">IFERROR(HC[[#This Row],[d (cm)]]+arredondarParaCimaMultiplo5cm(MAX(5,SQRT(PI())/2*HC[[#This Row],[Ø (cm)]]/5)),"N.S.")</f>
        <v>N.S.</v>
      </c>
      <c r="AM95" s="5" t="str">
        <f ca="1">alpha(HC[[#This Row],[nE]],HC[[#This Row],[d (cm)]],HC[[#This Row],[e (cm)]],HC[[#This Row],[ap,eq (cm)]])</f>
        <v>N.S.</v>
      </c>
      <c r="AN95" s="35" t="str">
        <f ca="1">IFERROR(HC[[#This Row],[Nsd (kN)]]/(HC[[#This Row],[Ap (cm²)]]*SIN(HC[[#This Row],[α]])^2),"N.S.")</f>
        <v>N.S.</v>
      </c>
      <c r="AO95" s="35" t="str">
        <f ca="1">IFERROR(HC[[#This Row],[Nsd (kN)]]/(HC[[#This Row],[nE]]*PI()*HC[[#This Row],[Ø (cm)]]^2/4*SIN(HC[[#This Row],[α]])^2),"N.S.")</f>
        <v>N.S.</v>
      </c>
      <c r="AP95" s="4" t="str">
        <f ca="1">IFERROR(INDEX(grupoEstacas[],HC[[#This Row],[nE]],MATCH("coef. Blévot",grupoEstacas[#Headers],0)),"N.S.")</f>
        <v>N.S.</v>
      </c>
      <c r="AQ95" s="35" t="str">
        <f ca="1">IFERROR(HC[[#This Row],[coef. Blévot]]*0.9*INDEX(tipoEstaca[],MATCH($D$2,tipoEstaca[TIPO DE ESTACA],0),MATCH("fcd (kN/cm²)",tipoEstaca[#Headers],0)),"N.S.")</f>
        <v>N.S.</v>
      </c>
      <c r="AR95" s="1" t="str">
        <f ca="1">IF(AND(HC[[#This Row],[cd,b,pil (kN/cm²)]]&lt;=HC[[#This Row],[cd,b,lim (kN/cm²)]],HC[[#This Row],[cd,b,est (kN/cm²)]]&lt;=HC[[#This Row],[cd,b,lim (kN/cm²)]]),"OK","ERRO")</f>
        <v>OK</v>
      </c>
      <c r="AS95" s="4" t="str">
        <f ca="1">As_lado(HC[[#This Row],[nE]],HC[[#This Row],[Nsd (kN)]],HC[[#This Row],[d (cm)]],HC[[#This Row],[e (cm)]],HC[[#This Row],[ap,eq (cm)]])</f>
        <v>N.S.</v>
      </c>
      <c r="AT95" s="4" t="str">
        <f ca="1">IF(HC[[#This Row],[nE]]=1,HC[[#This Row],[As,lado (cm²)]],IF(HC[[#This Row],[nE]]=2,0.075*2*HC[a (cm)],"N.A."))</f>
        <v>N.A.</v>
      </c>
      <c r="AU95" s="4" t="str">
        <f ca="1">IFERROR(IF(HC[[#This Row],[nE]]=1,"N.A.",0.2*HC[[#This Row],[As,lado (cm²)]]),"N.S.")</f>
        <v>N.S.</v>
      </c>
      <c r="AV95" s="4" t="str">
        <f ca="1">As_malha(HC[[#This Row],[nE]],HC[[#This Row],[As,lado (cm²)]],HC[[#This Row],[Nsd (kN)]])</f>
        <v>N.S.</v>
      </c>
      <c r="AW95" s="4" t="str">
        <f ca="1">As_susp_tot(HC[[#This Row],[nE]],HC[[#This Row],[Nsd (kN)]])</f>
        <v>N.S.</v>
      </c>
      <c r="AX95" s="4" t="str">
        <f ca="1">Asp_face(HC[[#This Row],[nE]],HC[[#This Row],[As,lado (cm²)]])</f>
        <v>N.S.</v>
      </c>
      <c r="AY95" s="5" t="str">
        <f ca="1">acoBloco(HC[[#This Row],[nE]],HC[[#This Row],[e (cm)]],HC[[#This Row],[a (cm)]],HC[[#This Row],[h (cm)]],HC[[#This Row],[As,lado (cm²)]],HC[[#This Row],[Asp e Asw (cm²/m)]],HC[[#This Row],[As,sup (cm²)]],HC[[#This Row],[As,malha (cm²)]],HC[[#This Row],[As,susp,tot (cm²)]],HC[[#This Row],[Asp,face (cm²)]])</f>
        <v>N.S.</v>
      </c>
      <c r="AZ95" s="4" t="str">
        <f ca="1">concretoBloco(HC[[#This Row],[nE]],HC[[#This Row],[e (cm)]],HC[[#This Row],[a (cm)]],HC[[#This Row],[h (cm)]])</f>
        <v>N.S.</v>
      </c>
      <c r="BA95" s="5">
        <f ca="1">SUM(HC[[#This Row],[Aço Est (kg)]],HC[[#This Row],[Aço Bloco (kg)]])</f>
        <v>15.783361491635119</v>
      </c>
      <c r="BB95" s="4">
        <f>INDEX(composicoes[],MATCH(95580,composicoes[CÓDIGO],0),MATCH("CUSTO TOTAL",composicoes[#Headers],0))</f>
        <v>10.46</v>
      </c>
      <c r="BC95" s="4">
        <f ca="1">SUM(HC[[#This Row],[Conc Est (m³)]],HC[[#This Row],[Conc Bloco (m³)]])</f>
        <v>14.325662500369457</v>
      </c>
      <c r="BD95" s="4">
        <f>INDEX(composicoes[],MATCH(94966,composicoes[CÓDIGO],0),MATCH("CUSTO TOTAL",composicoes[#Headers],0))</f>
        <v>439.52</v>
      </c>
      <c r="BE95" s="38">
        <f ca="1">HC[[#This Row],[Aço (kg)]]*HC[[#This Row],[Aço (R$/kg)]]+HC[[#This Row],[Conc (m³)]]*HC[[#This Row],[Conc (R$/m³)]]</f>
        <v>6461.5091433648868</v>
      </c>
      <c r="BF95" s="4" t="str">
        <f ca="1">IF(COUNTIF(HC[#This Row],"N.S.")&gt;0,"lim.","OK")</f>
        <v>lim.</v>
      </c>
      <c r="BG95" s="4" t="str">
        <f>IF(HC[[#This Row],[Prof. (m)]]&lt;4,"lim.","OK")</f>
        <v>OK</v>
      </c>
      <c r="BH95" s="4" t="str">
        <f>IF(HC[[#This Row],[Prof. (m)]]&gt;=8*HC[[#This Row],[Ø (cm)]]/100,"OK","lim.")</f>
        <v>OK</v>
      </c>
      <c r="BI95" s="4" t="str">
        <f ca="1">IF(HC[[#This Row],[Verif. Biela]]="OK","OK","lim.")</f>
        <v>OK</v>
      </c>
      <c r="BJ95" s="4" t="str">
        <f ca="1">IF(COUNTA(HC[[#This Row],[Nº Est.]:[Biela comp.]])=COUNTIF(HC[[#This Row],[Nº Est.]:[Biela comp.]],"OK"),"OK","lim.")</f>
        <v>lim.</v>
      </c>
      <c r="BK95" s="4" t="str">
        <f ca="1">IF(HC[[#This Row],[Controle]]="OK",HC[[#This Row],[nE]]&amp;" Ø"&amp;HC[[#This Row],[Ø (cm)]]&amp;"cm Prof. "&amp;HC[[#This Row],[Prof. (m)]]&amp;" m","")</f>
        <v/>
      </c>
      <c r="BL95" s="4" t="str">
        <f ca="1">IF(HC[[#This Row],[idDimensionamento]]="","",HC[[#This Row],[idPilar]]&amp;HC[[#This Row],[idDimensionamento]])</f>
        <v/>
      </c>
    </row>
    <row r="96" spans="2:64" x14ac:dyDescent="0.25">
      <c r="B96" s="12">
        <f>ROUNDUP((ROW(HC[[#This Row],[idDiâmetro]])-ROW(HC[[#Headers],[idDiâmetro]]))/(COUNT(SPT[Prof. (m)])*COUNT(PILARES[Pilar])),0)</f>
        <v>4</v>
      </c>
      <c r="C96" s="12">
        <f>IF(HC[[#This Row],[idDiâmetro]]&lt;&gt;B95,1,IF(HC[[#This Row],[Prof. (m)]]=0,C95+1,C95))</f>
        <v>1</v>
      </c>
      <c r="D96" s="1">
        <f>IFERROR(IF(D95=MAX(SPT[Prof. (m)]),0,D95+1),0)</f>
        <v>7</v>
      </c>
      <c r="E96" s="1">
        <f>INDEX(SPT[],MATCH(HC[[#This Row],[Prof. (m)]],SPT[Prof. (m)],0),2)</f>
        <v>8</v>
      </c>
      <c r="F96" s="1" t="str">
        <f>INDEX(SPT[],MATCH(HC[[#This Row],[Prof. (m)]],SPT[Prof. (m)],0),3)</f>
        <v>Silte arenoso</v>
      </c>
      <c r="G96" s="1">
        <f>INDEX(estacas[],HC[[#This Row],[idDiâmetro]],MATCH($B$2,estacas[#Headers],0))</f>
        <v>40</v>
      </c>
      <c r="H96" s="1">
        <f>INDEX(estacas[],MATCH(HC[[#This Row],[Ø (cm)]],estacas[Ø HC (cm)],0),MATCH(HC[[#Headers],[Pe HC (kN)]],estacas[#Headers],0))</f>
        <v>800</v>
      </c>
      <c r="I96" s="4">
        <f>INDEX(K_alpha_C[],MATCH(HC[[#This Row],[Solo]],K_alpha_C[Solo],0),2)</f>
        <v>0.55000000000000004</v>
      </c>
      <c r="J96" s="5">
        <f>INDEX(K_alpha_C[],MATCH(HC[[#This Row],[Solo]],K_alpha_C[Solo],0),3)</f>
        <v>2.2000000000000002</v>
      </c>
      <c r="K96" s="4">
        <f>INDEX(F1_F2[],MATCH($D$2,F1_F2[Tipo de estaca],0),2)</f>
        <v>2</v>
      </c>
      <c r="L96" s="4">
        <f>INDEX(F1_F2[],MATCH($D$2,F1_F2[Tipo de estaca],0),3)</f>
        <v>4</v>
      </c>
      <c r="M96" s="4">
        <f>PI()*(HC[[#This Row],[Ø (cm)]]/100)^2/4</f>
        <v>0.12566370614359174</v>
      </c>
      <c r="N96" s="4">
        <f>PI()*HC[[#This Row],[Ø (cm)]]/100</f>
        <v>1.2566370614359172</v>
      </c>
      <c r="O96" s="4">
        <f>IF(HC[[#This Row],[Prof. (m)]]=0,0,HC[[#This Row],[α (%)]]/100*HC[[#This Row],[K (MPa)]]*1000*HC[[#This Row],[NSPT]])</f>
        <v>96.800000000000011</v>
      </c>
      <c r="P96" s="4">
        <f>IF(HC[[#This Row],[Prof. (m)]]=0,0,(HC[[#This Row],[K (MPa)]]*1000*HC[[#This Row],[NSPT]]/HC[[#This Row],[F1]]*HC[[#This Row],[Ap (m²)]]+HC[[#This Row],[U (m)]]/HC[[#This Row],[F2]]*SUMIFS(HC[(α∙K∙NL∙ΔL)],HC[Prof. (m)],"&lt;="&amp;HC[[#This Row],[Prof. (m)]],HC[idDiâmetro],HC[[#This Row],[idDiâmetro]],HC[idPilar],HC[[#This Row],[idPilar]]))/'DADOS CAP. CARGA'!$D$2)</f>
        <v>276.28736591995437</v>
      </c>
      <c r="Q96" s="12">
        <f>INDEX(C_alpha_beta[],MATCH(HC[[#This Row],[Solo]],C_alpha_beta[Solo],0),MATCH(HC[[#Headers],[C (kPa)]],C_alpha_beta[#Headers],0))</f>
        <v>250</v>
      </c>
      <c r="R96" s="4">
        <f>INDEX(C_alpha_beta[],MATCH(HC[[#This Row],[Solo]],C_alpha_beta[Solo],0),MATCH(HC[[#Headers],[α ESF]],C_alpha_beta[#Headers],0))</f>
        <v>0.6</v>
      </c>
      <c r="S96" s="4">
        <f>INDEX(C_alpha_beta[],MATCH(HC[[#This Row],[Solo]],C_alpha_beta[Solo],0),MATCH(HC[[#Headers],[β ESF]],C_alpha_beta[#Headers],0))</f>
        <v>0.65</v>
      </c>
      <c r="T96" s="4">
        <f>IF(HC[[#This Row],[Prof. (m)]]=0,0,10*(HC[[#This Row],[NSPT]]/3+1))</f>
        <v>36.666666666666664</v>
      </c>
      <c r="U96" s="4">
        <f>(HC[[#This Row],[α ESF]]*HC[[#This Row],[C (kPa)]]*HC[[#This Row],[NSPT]]*HC[[#This Row],[Ap (m²)]])/'DADOS CAP. CARGA'!$Q$2+(HC[[#This Row],[β ESF]]*SUMIFS(HC[10∙(NL/3+1)],HC[Prof. (m)],"&lt;="&amp;HC[[#This Row],[Prof. (m)]],HC[idDiâmetro],HC[[#This Row],[idDiâmetro]],HC[idPilar],HC[[#This Row],[idPilar]])*HC[[#This Row],[U (m)]])/'DADOS CAP. CARGA'!$S$2</f>
        <v>150.69172761719039</v>
      </c>
      <c r="V96" s="4">
        <f>IF(SPT!$M$5=1,MIN(HC[[#This Row],[Pe HC (kN)]],HC[[#This Row],[R_AV (kN)]]),IF(SPT!$M$5=2,MIN(HC[[#This Row],[Pe HC (kN)]],HC[[#This Row],[R_DC (kN)]]),MIN(HC[[#This Row],[Pe HC (kN)]],HC[[#This Row],[R_AV (kN)]],HC[[#This Row],[R_DC (kN)]])))</f>
        <v>150.69172761719039</v>
      </c>
      <c r="W96" s="4">
        <f>INDEX(PILARES[],HC[[#This Row],[idPilar]],MATCH("Carga (kN)",PILARES[#Headers],0))*1.4</f>
        <v>3500</v>
      </c>
      <c r="X96" s="12">
        <f>INDEX(PILARES[],HC[[#This Row],[idPilar]],MATCH(HC[[#Headers],[ap (cm)]],PILARES[#Headers],0))</f>
        <v>60</v>
      </c>
      <c r="Y96" s="12">
        <f>INDEX(PILARES[],HC[[#This Row],[idPilar]],MATCH(HC[[#Headers],[bp (cm)]],PILARES[#Headers],0))</f>
        <v>60</v>
      </c>
      <c r="Z96" s="4">
        <f>SQRT(HC[[#This Row],[ap (cm)]]*HC[[#This Row],[bp (cm)]])</f>
        <v>60</v>
      </c>
      <c r="AA96" s="12">
        <f>HC[[#This Row],[ap (cm)]]*HC[[#This Row],[bp (cm)]]</f>
        <v>3600</v>
      </c>
      <c r="AB96" s="12">
        <f ca="1">IF(HC[[#This Row],[Padm∙ε (kN)]]&gt;=HC[[#This Row],[Padm (kN)]],ROUNDUP(1.05*HC[[#This Row],[Nsd (kN)]]/HC[[#This Row],[Padm (kN)]],0),ROUNDUP(1.05*HC[[#This Row],[Nsd (kN)]]/HC[[#This Row],[Padm (kN)]],0)+1)</f>
        <v>25</v>
      </c>
      <c r="AC96" s="4" t="str">
        <f ca="1">IFERROR(IF(HC[[#This Row],[nE]]=1,HC[[#This Row],[Padm (kN)]],HC[[#This Row],[Padm (kN)]]*HC[[#This Row],[nE]]*INDEX(grupoEstacas[],HC[[#This Row],[nE]],MATCH("ε",grupoEstacas[#Headers],0))),"N.S.")</f>
        <v>N.S.</v>
      </c>
      <c r="AD96" s="4">
        <f ca="1">1.05*HC[[#This Row],[Nsd (kN)]]/(HC[[#This Row],[nE]]*PI()*HC[[#This Row],[Ø (cm)]]^2/4)*10</f>
        <v>1.1697888317254308</v>
      </c>
      <c r="AE96" s="4">
        <f ca="1">IF(HC[[#This Row],[σ (MPa)]]&lt;INDEX(tipoEstaca[],MATCH($D$2,tipoEstaca[TIPO DE ESTACA],0),MATCH("σmáx (MPa)",tipoEstaca[#Headers],0)),0.4%*PI()*HC[[#This Row],[Ø (cm)]]^2/4,"N.S.")</f>
        <v>5.026548245743669</v>
      </c>
      <c r="AF96" s="1">
        <f>INDEX(tipoEstaca[],MATCH($D$2,tipoEstaca[TIPO DE ESTACA],0),MATCH(HC[[#Headers],[Comprimento (m)]],tipoEstaca[#Headers],0))</f>
        <v>4</v>
      </c>
      <c r="AG96" s="5">
        <f ca="1">HC[[#This Row],[As,mín (cm²)]]/100^2*HC[[#This Row],[Comprimento (m)]]*7850</f>
        <v>15.783361491635119</v>
      </c>
      <c r="AH96" s="4">
        <f ca="1">HC[[#This Row],[nE]]*HC[[#This Row],[Prof. (m)]]*HC[[#This Row],[Ap (m²)]]</f>
        <v>21.991148575128555</v>
      </c>
      <c r="AI96" s="1">
        <f ca="1">IF(HC[[#This Row],[nE]]=1,0,MAX(3*HC[[#This Row],[Ø (cm)]],60))</f>
        <v>120</v>
      </c>
      <c r="AJ96" s="1">
        <f ca="1">IF(HC[[#This Row],[nE]]=1,HC[[#This Row],[Ø (cm)]]+2*10,MAX(1.5*HC[[#This Row],[Ø (cm)]],HC[[#This Row],[Ø (cm)]]+15))</f>
        <v>60</v>
      </c>
      <c r="AK96" s="1" t="str">
        <f ca="1">alturaUtil(HC[[#This Row],[nE]],HC[[#This Row],[Ø (cm)]],HC[[#This Row],[e (cm)]],HC[[#This Row],[ap,eq (cm)]])</f>
        <v>N.S.</v>
      </c>
      <c r="AL96" s="1" t="str">
        <f ca="1">IFERROR(HC[[#This Row],[d (cm)]]+arredondarParaCimaMultiplo5cm(MAX(5,SQRT(PI())/2*HC[[#This Row],[Ø (cm)]]/5)),"N.S.")</f>
        <v>N.S.</v>
      </c>
      <c r="AM96" s="5" t="str">
        <f ca="1">alpha(HC[[#This Row],[nE]],HC[[#This Row],[d (cm)]],HC[[#This Row],[e (cm)]],HC[[#This Row],[ap,eq (cm)]])</f>
        <v>N.S.</v>
      </c>
      <c r="AN96" s="35" t="str">
        <f ca="1">IFERROR(HC[[#This Row],[Nsd (kN)]]/(HC[[#This Row],[Ap (cm²)]]*SIN(HC[[#This Row],[α]])^2),"N.S.")</f>
        <v>N.S.</v>
      </c>
      <c r="AO96" s="35" t="str">
        <f ca="1">IFERROR(HC[[#This Row],[Nsd (kN)]]/(HC[[#This Row],[nE]]*PI()*HC[[#This Row],[Ø (cm)]]^2/4*SIN(HC[[#This Row],[α]])^2),"N.S.")</f>
        <v>N.S.</v>
      </c>
      <c r="AP96" s="4" t="str">
        <f ca="1">IFERROR(INDEX(grupoEstacas[],HC[[#This Row],[nE]],MATCH("coef. Blévot",grupoEstacas[#Headers],0)),"N.S.")</f>
        <v>N.S.</v>
      </c>
      <c r="AQ96" s="35" t="str">
        <f ca="1">IFERROR(HC[[#This Row],[coef. Blévot]]*0.9*INDEX(tipoEstaca[],MATCH($D$2,tipoEstaca[TIPO DE ESTACA],0),MATCH("fcd (kN/cm²)",tipoEstaca[#Headers],0)),"N.S.")</f>
        <v>N.S.</v>
      </c>
      <c r="AR96" s="1" t="str">
        <f ca="1">IF(AND(HC[[#This Row],[cd,b,pil (kN/cm²)]]&lt;=HC[[#This Row],[cd,b,lim (kN/cm²)]],HC[[#This Row],[cd,b,est (kN/cm²)]]&lt;=HC[[#This Row],[cd,b,lim (kN/cm²)]]),"OK","ERRO")</f>
        <v>OK</v>
      </c>
      <c r="AS96" s="4" t="str">
        <f ca="1">As_lado(HC[[#This Row],[nE]],HC[[#This Row],[Nsd (kN)]],HC[[#This Row],[d (cm)]],HC[[#This Row],[e (cm)]],HC[[#This Row],[ap,eq (cm)]])</f>
        <v>N.S.</v>
      </c>
      <c r="AT96" s="4" t="str">
        <f ca="1">IF(HC[[#This Row],[nE]]=1,HC[[#This Row],[As,lado (cm²)]],IF(HC[[#This Row],[nE]]=2,0.075*2*HC[a (cm)],"N.A."))</f>
        <v>N.A.</v>
      </c>
      <c r="AU96" s="4" t="str">
        <f ca="1">IFERROR(IF(HC[[#This Row],[nE]]=1,"N.A.",0.2*HC[[#This Row],[As,lado (cm²)]]),"N.S.")</f>
        <v>N.S.</v>
      </c>
      <c r="AV96" s="4" t="str">
        <f ca="1">As_malha(HC[[#This Row],[nE]],HC[[#This Row],[As,lado (cm²)]],HC[[#This Row],[Nsd (kN)]])</f>
        <v>N.S.</v>
      </c>
      <c r="AW96" s="4" t="str">
        <f ca="1">As_susp_tot(HC[[#This Row],[nE]],HC[[#This Row],[Nsd (kN)]])</f>
        <v>N.S.</v>
      </c>
      <c r="AX96" s="4" t="str">
        <f ca="1">Asp_face(HC[[#This Row],[nE]],HC[[#This Row],[As,lado (cm²)]])</f>
        <v>N.S.</v>
      </c>
      <c r="AY96" s="5" t="str">
        <f ca="1">acoBloco(HC[[#This Row],[nE]],HC[[#This Row],[e (cm)]],HC[[#This Row],[a (cm)]],HC[[#This Row],[h (cm)]],HC[[#This Row],[As,lado (cm²)]],HC[[#This Row],[Asp e Asw (cm²/m)]],HC[[#This Row],[As,sup (cm²)]],HC[[#This Row],[As,malha (cm²)]],HC[[#This Row],[As,susp,tot (cm²)]],HC[[#This Row],[Asp,face (cm²)]])</f>
        <v>N.S.</v>
      </c>
      <c r="AZ96" s="4" t="str">
        <f ca="1">concretoBloco(HC[[#This Row],[nE]],HC[[#This Row],[e (cm)]],HC[[#This Row],[a (cm)]],HC[[#This Row],[h (cm)]])</f>
        <v>N.S.</v>
      </c>
      <c r="BA96" s="5">
        <f ca="1">SUM(HC[[#This Row],[Aço Est (kg)]],HC[[#This Row],[Aço Bloco (kg)]])</f>
        <v>15.783361491635119</v>
      </c>
      <c r="BB96" s="4">
        <f>INDEX(composicoes[],MATCH(95580,composicoes[CÓDIGO],0),MATCH("CUSTO TOTAL",composicoes[#Headers],0))</f>
        <v>10.46</v>
      </c>
      <c r="BC96" s="4">
        <f ca="1">SUM(HC[[#This Row],[Conc Est (m³)]],HC[[#This Row],[Conc Bloco (m³)]])</f>
        <v>21.991148575128555</v>
      </c>
      <c r="BD96" s="4">
        <f>INDEX(composicoes[],MATCH(94966,composicoes[CÓDIGO],0),MATCH("CUSTO TOTAL",composicoes[#Headers],0))</f>
        <v>439.52</v>
      </c>
      <c r="BE96" s="38">
        <f ca="1">HC[[#This Row],[Aço (kg)]]*HC[[#This Row],[Aço (R$/kg)]]+HC[[#This Row],[Conc (m³)]]*HC[[#This Row],[Conc (R$/m³)]]</f>
        <v>9830.6435829430047</v>
      </c>
      <c r="BF96" s="4" t="str">
        <f ca="1">IF(COUNTIF(HC[#This Row],"N.S.")&gt;0,"lim.","OK")</f>
        <v>lim.</v>
      </c>
      <c r="BG96" s="4" t="str">
        <f>IF(HC[[#This Row],[Prof. (m)]]&lt;4,"lim.","OK")</f>
        <v>OK</v>
      </c>
      <c r="BH96" s="4" t="str">
        <f>IF(HC[[#This Row],[Prof. (m)]]&gt;=8*HC[[#This Row],[Ø (cm)]]/100,"OK","lim.")</f>
        <v>OK</v>
      </c>
      <c r="BI96" s="4" t="str">
        <f ca="1">IF(HC[[#This Row],[Verif. Biela]]="OK","OK","lim.")</f>
        <v>OK</v>
      </c>
      <c r="BJ96" s="4" t="str">
        <f ca="1">IF(COUNTA(HC[[#This Row],[Nº Est.]:[Biela comp.]])=COUNTIF(HC[[#This Row],[Nº Est.]:[Biela comp.]],"OK"),"OK","lim.")</f>
        <v>lim.</v>
      </c>
      <c r="BK96" s="4" t="str">
        <f ca="1">IF(HC[[#This Row],[Controle]]="OK",HC[[#This Row],[nE]]&amp;" Ø"&amp;HC[[#This Row],[Ø (cm)]]&amp;"cm Prof. "&amp;HC[[#This Row],[Prof. (m)]]&amp;" m","")</f>
        <v/>
      </c>
      <c r="BL96" s="4" t="str">
        <f ca="1">IF(HC[[#This Row],[idDimensionamento]]="","",HC[[#This Row],[idPilar]]&amp;HC[[#This Row],[idDimensionamento]])</f>
        <v/>
      </c>
    </row>
    <row r="97" spans="2:64" x14ac:dyDescent="0.25">
      <c r="B97" s="12">
        <f>ROUNDUP((ROW(HC[[#This Row],[idDiâmetro]])-ROW(HC[[#Headers],[idDiâmetro]]))/(COUNT(SPT[Prof. (m)])*COUNT(PILARES[Pilar])),0)</f>
        <v>4</v>
      </c>
      <c r="C97" s="12">
        <f>IF(HC[[#This Row],[idDiâmetro]]&lt;&gt;B96,1,IF(HC[[#This Row],[Prof. (m)]]=0,C96+1,C96))</f>
        <v>1</v>
      </c>
      <c r="D97" s="1">
        <f>IFERROR(IF(D96=MAX(SPT[Prof. (m)]),0,D96+1),0)</f>
        <v>8</v>
      </c>
      <c r="E97" s="1">
        <f>INDEX(SPT[],MATCH(HC[[#This Row],[Prof. (m)]],SPT[Prof. (m)],0),2)</f>
        <v>10</v>
      </c>
      <c r="F97" s="1" t="str">
        <f>INDEX(SPT[],MATCH(HC[[#This Row],[Prof. (m)]],SPT[Prof. (m)],0),3)</f>
        <v>Silte arenoso</v>
      </c>
      <c r="G97" s="1">
        <f>INDEX(estacas[],HC[[#This Row],[idDiâmetro]],MATCH($B$2,estacas[#Headers],0))</f>
        <v>40</v>
      </c>
      <c r="H97" s="1">
        <f>INDEX(estacas[],MATCH(HC[[#This Row],[Ø (cm)]],estacas[Ø HC (cm)],0),MATCH(HC[[#Headers],[Pe HC (kN)]],estacas[#Headers],0))</f>
        <v>800</v>
      </c>
      <c r="I97" s="4">
        <f>INDEX(K_alpha_C[],MATCH(HC[[#This Row],[Solo]],K_alpha_C[Solo],0),2)</f>
        <v>0.55000000000000004</v>
      </c>
      <c r="J97" s="5">
        <f>INDEX(K_alpha_C[],MATCH(HC[[#This Row],[Solo]],K_alpha_C[Solo],0),3)</f>
        <v>2.2000000000000002</v>
      </c>
      <c r="K97" s="4">
        <f>INDEX(F1_F2[],MATCH($D$2,F1_F2[Tipo de estaca],0),2)</f>
        <v>2</v>
      </c>
      <c r="L97" s="4">
        <f>INDEX(F1_F2[],MATCH($D$2,F1_F2[Tipo de estaca],0),3)</f>
        <v>4</v>
      </c>
      <c r="M97" s="4">
        <f>PI()*(HC[[#This Row],[Ø (cm)]]/100)^2/4</f>
        <v>0.12566370614359174</v>
      </c>
      <c r="N97" s="4">
        <f>PI()*HC[[#This Row],[Ø (cm)]]/100</f>
        <v>1.2566370614359172</v>
      </c>
      <c r="O97" s="4">
        <f>IF(HC[[#This Row],[Prof. (m)]]=0,0,HC[[#This Row],[α (%)]]/100*HC[[#This Row],[K (MPa)]]*1000*HC[[#This Row],[NSPT]])</f>
        <v>121.00000000000001</v>
      </c>
      <c r="P97" s="4">
        <f>IF(HC[[#This Row],[Prof. (m)]]=0,0,(HC[[#This Row],[K (MPa)]]*1000*HC[[#This Row],[NSPT]]/HC[[#This Row],[F1]]*HC[[#This Row],[Ap (m²)]]+HC[[#This Row],[U (m)]]/HC[[#This Row],[F2]]*SUMIFS(HC[(α∙K∙NL∙ΔL)],HC[Prof. (m)],"&lt;="&amp;HC[[#This Row],[Prof. (m)]],HC[idDiâmetro],HC[[#This Row],[idDiâmetro]],HC[idPilar],HC[[#This Row],[idPilar]]))/'DADOS CAP. CARGA'!$D$2)</f>
        <v>329.85152066366038</v>
      </c>
      <c r="Q97" s="12">
        <f>INDEX(C_alpha_beta[],MATCH(HC[[#This Row],[Solo]],C_alpha_beta[Solo],0),MATCH(HC[[#Headers],[C (kPa)]],C_alpha_beta[#Headers],0))</f>
        <v>250</v>
      </c>
      <c r="R97" s="4">
        <f>INDEX(C_alpha_beta[],MATCH(HC[[#This Row],[Solo]],C_alpha_beta[Solo],0),MATCH(HC[[#Headers],[α ESF]],C_alpha_beta[#Headers],0))</f>
        <v>0.6</v>
      </c>
      <c r="S97" s="4">
        <f>INDEX(C_alpha_beta[],MATCH(HC[[#This Row],[Solo]],C_alpha_beta[Solo],0),MATCH(HC[[#Headers],[β ESF]],C_alpha_beta[#Headers],0))</f>
        <v>0.65</v>
      </c>
      <c r="T97" s="4">
        <f>IF(HC[[#This Row],[Prof. (m)]]=0,0,10*(HC[[#This Row],[NSPT]]/3+1))</f>
        <v>43.333333333333343</v>
      </c>
      <c r="U97" s="4">
        <f>(HC[[#This Row],[α ESF]]*HC[[#This Row],[C (kPa)]]*HC[[#This Row],[NSPT]]*HC[[#This Row],[Ap (m²)]])/'DADOS CAP. CARGA'!$Q$2+(HC[[#This Row],[β ESF]]*SUMIFS(HC[10∙(NL/3+1)],HC[Prof. (m)],"&lt;="&amp;HC[[#This Row],[Prof. (m)]],HC[idDiâmetro],HC[[#This Row],[idDiâmetro]],HC[idPilar],HC[[#This Row],[idPilar]])*HC[[#This Row],[U (m)]])/'DADOS CAP. CARGA'!$S$2</f>
        <v>177.8141441931823</v>
      </c>
      <c r="V97" s="4">
        <f>IF(SPT!$M$5=1,MIN(HC[[#This Row],[Pe HC (kN)]],HC[[#This Row],[R_AV (kN)]]),IF(SPT!$M$5=2,MIN(HC[[#This Row],[Pe HC (kN)]],HC[[#This Row],[R_DC (kN)]]),MIN(HC[[#This Row],[Pe HC (kN)]],HC[[#This Row],[R_AV (kN)]],HC[[#This Row],[R_DC (kN)]])))</f>
        <v>177.8141441931823</v>
      </c>
      <c r="W97" s="4">
        <f>INDEX(PILARES[],HC[[#This Row],[idPilar]],MATCH("Carga (kN)",PILARES[#Headers],0))*1.4</f>
        <v>3500</v>
      </c>
      <c r="X97" s="12">
        <f>INDEX(PILARES[],HC[[#This Row],[idPilar]],MATCH(HC[[#Headers],[ap (cm)]],PILARES[#Headers],0))</f>
        <v>60</v>
      </c>
      <c r="Y97" s="12">
        <f>INDEX(PILARES[],HC[[#This Row],[idPilar]],MATCH(HC[[#Headers],[bp (cm)]],PILARES[#Headers],0))</f>
        <v>60</v>
      </c>
      <c r="Z97" s="4">
        <f>SQRT(HC[[#This Row],[ap (cm)]]*HC[[#This Row],[bp (cm)]])</f>
        <v>60</v>
      </c>
      <c r="AA97" s="12">
        <f>HC[[#This Row],[ap (cm)]]*HC[[#This Row],[bp (cm)]]</f>
        <v>3600</v>
      </c>
      <c r="AB97" s="12">
        <f ca="1">IF(HC[[#This Row],[Padm∙ε (kN)]]&gt;=HC[[#This Row],[Padm (kN)]],ROUNDUP(1.05*HC[[#This Row],[Nsd (kN)]]/HC[[#This Row],[Padm (kN)]],0),ROUNDUP(1.05*HC[[#This Row],[Nsd (kN)]]/HC[[#This Row],[Padm (kN)]],0)+1)</f>
        <v>21</v>
      </c>
      <c r="AC97" s="4" t="str">
        <f ca="1">IFERROR(IF(HC[[#This Row],[nE]]=1,HC[[#This Row],[Padm (kN)]],HC[[#This Row],[Padm (kN)]]*HC[[#This Row],[nE]]*INDEX(grupoEstacas[],HC[[#This Row],[nE]],MATCH("ε",grupoEstacas[#Headers],0))),"N.S.")</f>
        <v>N.S.</v>
      </c>
      <c r="AD97" s="4">
        <f ca="1">1.05*HC[[#This Row],[Nsd (kN)]]/(HC[[#This Row],[nE]]*PI()*HC[[#This Row],[Ø (cm)]]^2/4)*10</f>
        <v>1.392605752054084</v>
      </c>
      <c r="AE97" s="4">
        <f ca="1">IF(HC[[#This Row],[σ (MPa)]]&lt;INDEX(tipoEstaca[],MATCH($D$2,tipoEstaca[TIPO DE ESTACA],0),MATCH("σmáx (MPa)",tipoEstaca[#Headers],0)),0.4%*PI()*HC[[#This Row],[Ø (cm)]]^2/4,"N.S.")</f>
        <v>5.026548245743669</v>
      </c>
      <c r="AF97" s="1">
        <f>INDEX(tipoEstaca[],MATCH($D$2,tipoEstaca[TIPO DE ESTACA],0),MATCH(HC[[#Headers],[Comprimento (m)]],tipoEstaca[#Headers],0))</f>
        <v>4</v>
      </c>
      <c r="AG97" s="5">
        <f ca="1">HC[[#This Row],[As,mín (cm²)]]/100^2*HC[[#This Row],[Comprimento (m)]]*7850</f>
        <v>15.783361491635119</v>
      </c>
      <c r="AH97" s="4">
        <f ca="1">HC[[#This Row],[nE]]*HC[[#This Row],[Prof. (m)]]*HC[[#This Row],[Ap (m²)]]</f>
        <v>21.111502632123411</v>
      </c>
      <c r="AI97" s="1">
        <f ca="1">IF(HC[[#This Row],[nE]]=1,0,MAX(3*HC[[#This Row],[Ø (cm)]],60))</f>
        <v>120</v>
      </c>
      <c r="AJ97" s="1">
        <f ca="1">IF(HC[[#This Row],[nE]]=1,HC[[#This Row],[Ø (cm)]]+2*10,MAX(1.5*HC[[#This Row],[Ø (cm)]],HC[[#This Row],[Ø (cm)]]+15))</f>
        <v>60</v>
      </c>
      <c r="AK97" s="1" t="str">
        <f ca="1">alturaUtil(HC[[#This Row],[nE]],HC[[#This Row],[Ø (cm)]],HC[[#This Row],[e (cm)]],HC[[#This Row],[ap,eq (cm)]])</f>
        <v>N.S.</v>
      </c>
      <c r="AL97" s="1" t="str">
        <f ca="1">IFERROR(HC[[#This Row],[d (cm)]]+arredondarParaCimaMultiplo5cm(MAX(5,SQRT(PI())/2*HC[[#This Row],[Ø (cm)]]/5)),"N.S.")</f>
        <v>N.S.</v>
      </c>
      <c r="AM97" s="5" t="str">
        <f ca="1">alpha(HC[[#This Row],[nE]],HC[[#This Row],[d (cm)]],HC[[#This Row],[e (cm)]],HC[[#This Row],[ap,eq (cm)]])</f>
        <v>N.S.</v>
      </c>
      <c r="AN97" s="35" t="str">
        <f ca="1">IFERROR(HC[[#This Row],[Nsd (kN)]]/(HC[[#This Row],[Ap (cm²)]]*SIN(HC[[#This Row],[α]])^2),"N.S.")</f>
        <v>N.S.</v>
      </c>
      <c r="AO97" s="35" t="str">
        <f ca="1">IFERROR(HC[[#This Row],[Nsd (kN)]]/(HC[[#This Row],[nE]]*PI()*HC[[#This Row],[Ø (cm)]]^2/4*SIN(HC[[#This Row],[α]])^2),"N.S.")</f>
        <v>N.S.</v>
      </c>
      <c r="AP97" s="4" t="str">
        <f ca="1">IFERROR(INDEX(grupoEstacas[],HC[[#This Row],[nE]],MATCH("coef. Blévot",grupoEstacas[#Headers],0)),"N.S.")</f>
        <v>N.S.</v>
      </c>
      <c r="AQ97" s="35" t="str">
        <f ca="1">IFERROR(HC[[#This Row],[coef. Blévot]]*0.9*INDEX(tipoEstaca[],MATCH($D$2,tipoEstaca[TIPO DE ESTACA],0),MATCH("fcd (kN/cm²)",tipoEstaca[#Headers],0)),"N.S.")</f>
        <v>N.S.</v>
      </c>
      <c r="AR97" s="1" t="str">
        <f ca="1">IF(AND(HC[[#This Row],[cd,b,pil (kN/cm²)]]&lt;=HC[[#This Row],[cd,b,lim (kN/cm²)]],HC[[#This Row],[cd,b,est (kN/cm²)]]&lt;=HC[[#This Row],[cd,b,lim (kN/cm²)]]),"OK","ERRO")</f>
        <v>OK</v>
      </c>
      <c r="AS97" s="4" t="str">
        <f ca="1">As_lado(HC[[#This Row],[nE]],HC[[#This Row],[Nsd (kN)]],HC[[#This Row],[d (cm)]],HC[[#This Row],[e (cm)]],HC[[#This Row],[ap,eq (cm)]])</f>
        <v>N.S.</v>
      </c>
      <c r="AT97" s="4" t="str">
        <f ca="1">IF(HC[[#This Row],[nE]]=1,HC[[#This Row],[As,lado (cm²)]],IF(HC[[#This Row],[nE]]=2,0.075*2*HC[a (cm)],"N.A."))</f>
        <v>N.A.</v>
      </c>
      <c r="AU97" s="4" t="str">
        <f ca="1">IFERROR(IF(HC[[#This Row],[nE]]=1,"N.A.",0.2*HC[[#This Row],[As,lado (cm²)]]),"N.S.")</f>
        <v>N.S.</v>
      </c>
      <c r="AV97" s="4" t="str">
        <f ca="1">As_malha(HC[[#This Row],[nE]],HC[[#This Row],[As,lado (cm²)]],HC[[#This Row],[Nsd (kN)]])</f>
        <v>N.S.</v>
      </c>
      <c r="AW97" s="4" t="str">
        <f ca="1">As_susp_tot(HC[[#This Row],[nE]],HC[[#This Row],[Nsd (kN)]])</f>
        <v>N.S.</v>
      </c>
      <c r="AX97" s="4" t="str">
        <f ca="1">Asp_face(HC[[#This Row],[nE]],HC[[#This Row],[As,lado (cm²)]])</f>
        <v>N.S.</v>
      </c>
      <c r="AY97" s="5" t="str">
        <f ca="1">acoBloco(HC[[#This Row],[nE]],HC[[#This Row],[e (cm)]],HC[[#This Row],[a (cm)]],HC[[#This Row],[h (cm)]],HC[[#This Row],[As,lado (cm²)]],HC[[#This Row],[Asp e Asw (cm²/m)]],HC[[#This Row],[As,sup (cm²)]],HC[[#This Row],[As,malha (cm²)]],HC[[#This Row],[As,susp,tot (cm²)]],HC[[#This Row],[Asp,face (cm²)]])</f>
        <v>N.S.</v>
      </c>
      <c r="AZ97" s="4" t="str">
        <f ca="1">concretoBloco(HC[[#This Row],[nE]],HC[[#This Row],[e (cm)]],HC[[#This Row],[a (cm)]],HC[[#This Row],[h (cm)]])</f>
        <v>N.S.</v>
      </c>
      <c r="BA97" s="5">
        <f ca="1">SUM(HC[[#This Row],[Aço Est (kg)]],HC[[#This Row],[Aço Bloco (kg)]])</f>
        <v>15.783361491635119</v>
      </c>
      <c r="BB97" s="4">
        <f>INDEX(composicoes[],MATCH(95580,composicoes[CÓDIGO],0),MATCH("CUSTO TOTAL",composicoes[#Headers],0))</f>
        <v>10.46</v>
      </c>
      <c r="BC97" s="4">
        <f ca="1">SUM(HC[[#This Row],[Conc Est (m³)]],HC[[#This Row],[Conc Bloco (m³)]])</f>
        <v>21.111502632123411</v>
      </c>
      <c r="BD97" s="4">
        <f>INDEX(composicoes[],MATCH(94966,composicoes[CÓDIGO],0),MATCH("CUSTO TOTAL",composicoes[#Headers],0))</f>
        <v>439.52</v>
      </c>
      <c r="BE97" s="38">
        <f ca="1">HC[[#This Row],[Aço (kg)]]*HC[[#This Row],[Aço (R$/kg)]]+HC[[#This Row],[Conc (m³)]]*HC[[#This Row],[Conc (R$/m³)]]</f>
        <v>9444.0215980733847</v>
      </c>
      <c r="BF97" s="4" t="str">
        <f ca="1">IF(COUNTIF(HC[#This Row],"N.S.")&gt;0,"lim.","OK")</f>
        <v>lim.</v>
      </c>
      <c r="BG97" s="4" t="str">
        <f>IF(HC[[#This Row],[Prof. (m)]]&lt;4,"lim.","OK")</f>
        <v>OK</v>
      </c>
      <c r="BH97" s="4" t="str">
        <f>IF(HC[[#This Row],[Prof. (m)]]&gt;=8*HC[[#This Row],[Ø (cm)]]/100,"OK","lim.")</f>
        <v>OK</v>
      </c>
      <c r="BI97" s="4" t="str">
        <f ca="1">IF(HC[[#This Row],[Verif. Biela]]="OK","OK","lim.")</f>
        <v>OK</v>
      </c>
      <c r="BJ97" s="4" t="str">
        <f ca="1">IF(COUNTA(HC[[#This Row],[Nº Est.]:[Biela comp.]])=COUNTIF(HC[[#This Row],[Nº Est.]:[Biela comp.]],"OK"),"OK","lim.")</f>
        <v>lim.</v>
      </c>
      <c r="BK97" s="4" t="str">
        <f ca="1">IF(HC[[#This Row],[Controle]]="OK",HC[[#This Row],[nE]]&amp;" Ø"&amp;HC[[#This Row],[Ø (cm)]]&amp;"cm Prof. "&amp;HC[[#This Row],[Prof. (m)]]&amp;" m","")</f>
        <v/>
      </c>
      <c r="BL97" s="4" t="str">
        <f ca="1">IF(HC[[#This Row],[idDimensionamento]]="","",HC[[#This Row],[idPilar]]&amp;HC[[#This Row],[idDimensionamento]])</f>
        <v/>
      </c>
    </row>
    <row r="98" spans="2:64" x14ac:dyDescent="0.25">
      <c r="B98" s="12">
        <f>ROUNDUP((ROW(HC[[#This Row],[idDiâmetro]])-ROW(HC[[#Headers],[idDiâmetro]]))/(COUNT(SPT[Prof. (m)])*COUNT(PILARES[Pilar])),0)</f>
        <v>4</v>
      </c>
      <c r="C98" s="12">
        <f>IF(HC[[#This Row],[idDiâmetro]]&lt;&gt;B97,1,IF(HC[[#This Row],[Prof. (m)]]=0,C97+1,C97))</f>
        <v>1</v>
      </c>
      <c r="D98" s="1">
        <f>IFERROR(IF(D97=MAX(SPT[Prof. (m)]),0,D97+1),0)</f>
        <v>9</v>
      </c>
      <c r="E98" s="1">
        <f>INDEX(SPT[],MATCH(HC[[#This Row],[Prof. (m)]],SPT[Prof. (m)],0),2)</f>
        <v>26</v>
      </c>
      <c r="F98" s="1" t="str">
        <f>INDEX(SPT[],MATCH(HC[[#This Row],[Prof. (m)]],SPT[Prof. (m)],0),3)</f>
        <v>Areia siltosa</v>
      </c>
      <c r="G98" s="1">
        <f>INDEX(estacas[],HC[[#This Row],[idDiâmetro]],MATCH($B$2,estacas[#Headers],0))</f>
        <v>40</v>
      </c>
      <c r="H98" s="1">
        <f>INDEX(estacas[],MATCH(HC[[#This Row],[Ø (cm)]],estacas[Ø HC (cm)],0),MATCH(HC[[#Headers],[Pe HC (kN)]],estacas[#Headers],0))</f>
        <v>800</v>
      </c>
      <c r="I98" s="4">
        <f>INDEX(K_alpha_C[],MATCH(HC[[#This Row],[Solo]],K_alpha_C[Solo],0),2)</f>
        <v>0.8</v>
      </c>
      <c r="J98" s="5">
        <f>INDEX(K_alpha_C[],MATCH(HC[[#This Row],[Solo]],K_alpha_C[Solo],0),3)</f>
        <v>2</v>
      </c>
      <c r="K98" s="4">
        <f>INDEX(F1_F2[],MATCH($D$2,F1_F2[Tipo de estaca],0),2)</f>
        <v>2</v>
      </c>
      <c r="L98" s="4">
        <f>INDEX(F1_F2[],MATCH($D$2,F1_F2[Tipo de estaca],0),3)</f>
        <v>4</v>
      </c>
      <c r="M98" s="4">
        <f>PI()*(HC[[#This Row],[Ø (cm)]]/100)^2/4</f>
        <v>0.12566370614359174</v>
      </c>
      <c r="N98" s="4">
        <f>PI()*HC[[#This Row],[Ø (cm)]]/100</f>
        <v>1.2566370614359172</v>
      </c>
      <c r="O98" s="4">
        <f>IF(HC[[#This Row],[Prof. (m)]]=0,0,HC[[#This Row],[α (%)]]/100*HC[[#This Row],[K (MPa)]]*1000*HC[[#This Row],[NSPT]])</f>
        <v>416</v>
      </c>
      <c r="P98" s="4">
        <f>IF(HC[[#This Row],[Prof. (m)]]=0,0,(HC[[#This Row],[K (MPa)]]*1000*HC[[#This Row],[NSPT]]/HC[[#This Row],[F1]]*HC[[#This Row],[Ap (m²)]]+HC[[#This Row],[U (m)]]/HC[[#This Row],[F2]]*SUMIFS(HC[(α∙K∙NL∙ΔL)],HC[Prof. (m)],"&lt;="&amp;HC[[#This Row],[Prof. (m)]],HC[idDiâmetro],HC[[#This Row],[idDiâmetro]],HC[idPilar],HC[[#This Row],[idPilar]]))/'DADOS CAP. CARGA'!$D$2)</f>
        <v>875.86032385756641</v>
      </c>
      <c r="Q98" s="12">
        <f>INDEX(C_alpha_beta[],MATCH(HC[[#This Row],[Solo]],C_alpha_beta[Solo],0),MATCH(HC[[#Headers],[C (kPa)]],C_alpha_beta[#Headers],0))</f>
        <v>400</v>
      </c>
      <c r="R98" s="4">
        <f>INDEX(C_alpha_beta[],MATCH(HC[[#This Row],[Solo]],C_alpha_beta[Solo],0),MATCH(HC[[#Headers],[α ESF]],C_alpha_beta[#Headers],0))</f>
        <v>0.5</v>
      </c>
      <c r="S98" s="4">
        <f>INDEX(C_alpha_beta[],MATCH(HC[[#This Row],[Solo]],C_alpha_beta[Solo],0),MATCH(HC[[#Headers],[β ESF]],C_alpha_beta[#Headers],0))</f>
        <v>0.5</v>
      </c>
      <c r="T98" s="4">
        <f>IF(HC[[#This Row],[Prof. (m)]]=0,0,10*(HC[[#This Row],[NSPT]]/3+1))</f>
        <v>96.666666666666657</v>
      </c>
      <c r="U98" s="4">
        <f>(HC[[#This Row],[α ESF]]*HC[[#This Row],[C (kPa)]]*HC[[#This Row],[NSPT]]*HC[[#This Row],[Ap (m²)]])/'DADOS CAP. CARGA'!$Q$2+(HC[[#This Row],[β ESF]]*SUMIFS(HC[10∙(NL/3+1)],HC[Prof. (m)],"&lt;="&amp;HC[[#This Row],[Prof. (m)]],HC[idDiâmetro],HC[[#This Row],[idDiâmetro]],HC[idPilar],HC[[#This Row],[idPilar]])*HC[[#This Row],[U (m)]])/'DADOS CAP. CARGA'!$S$2</f>
        <v>294.26251188624394</v>
      </c>
      <c r="V98" s="4">
        <f>IF(SPT!$M$5=1,MIN(HC[[#This Row],[Pe HC (kN)]],HC[[#This Row],[R_AV (kN)]]),IF(SPT!$M$5=2,MIN(HC[[#This Row],[Pe HC (kN)]],HC[[#This Row],[R_DC (kN)]]),MIN(HC[[#This Row],[Pe HC (kN)]],HC[[#This Row],[R_AV (kN)]],HC[[#This Row],[R_DC (kN)]])))</f>
        <v>294.26251188624394</v>
      </c>
      <c r="W98" s="4">
        <f>INDEX(PILARES[],HC[[#This Row],[idPilar]],MATCH("Carga (kN)",PILARES[#Headers],0))*1.4</f>
        <v>3500</v>
      </c>
      <c r="X98" s="12">
        <f>INDEX(PILARES[],HC[[#This Row],[idPilar]],MATCH(HC[[#Headers],[ap (cm)]],PILARES[#Headers],0))</f>
        <v>60</v>
      </c>
      <c r="Y98" s="12">
        <f>INDEX(PILARES[],HC[[#This Row],[idPilar]],MATCH(HC[[#Headers],[bp (cm)]],PILARES[#Headers],0))</f>
        <v>60</v>
      </c>
      <c r="Z98" s="4">
        <f>SQRT(HC[[#This Row],[ap (cm)]]*HC[[#This Row],[bp (cm)]])</f>
        <v>60</v>
      </c>
      <c r="AA98" s="12">
        <f>HC[[#This Row],[ap (cm)]]*HC[[#This Row],[bp (cm)]]</f>
        <v>3600</v>
      </c>
      <c r="AB98" s="12">
        <f ca="1">IF(HC[[#This Row],[Padm∙ε (kN)]]&gt;=HC[[#This Row],[Padm (kN)]],ROUNDUP(1.05*HC[[#This Row],[Nsd (kN)]]/HC[[#This Row],[Padm (kN)]],0),ROUNDUP(1.05*HC[[#This Row],[Nsd (kN)]]/HC[[#This Row],[Padm (kN)]],0)+1)</f>
        <v>13</v>
      </c>
      <c r="AC98" s="4" t="str">
        <f ca="1">IFERROR(IF(HC[[#This Row],[nE]]=1,HC[[#This Row],[Padm (kN)]],HC[[#This Row],[Padm (kN)]]*HC[[#This Row],[nE]]*INDEX(grupoEstacas[],HC[[#This Row],[nE]],MATCH("ε",grupoEstacas[#Headers],0))),"N.S.")</f>
        <v>N.S.</v>
      </c>
      <c r="AD98" s="4">
        <f ca="1">1.05*HC[[#This Row],[Nsd (kN)]]/(HC[[#This Row],[nE]]*PI()*HC[[#This Row],[Ø (cm)]]^2/4)*10</f>
        <v>2.2495939071642899</v>
      </c>
      <c r="AE98" s="4">
        <f ca="1">IF(HC[[#This Row],[σ (MPa)]]&lt;INDEX(tipoEstaca[],MATCH($D$2,tipoEstaca[TIPO DE ESTACA],0),MATCH("σmáx (MPa)",tipoEstaca[#Headers],0)),0.4%*PI()*HC[[#This Row],[Ø (cm)]]^2/4,"N.S.")</f>
        <v>5.026548245743669</v>
      </c>
      <c r="AF98" s="1">
        <f>INDEX(tipoEstaca[],MATCH($D$2,tipoEstaca[TIPO DE ESTACA],0),MATCH(HC[[#Headers],[Comprimento (m)]],tipoEstaca[#Headers],0))</f>
        <v>4</v>
      </c>
      <c r="AG98" s="5">
        <f ca="1">HC[[#This Row],[As,mín (cm²)]]/100^2*HC[[#This Row],[Comprimento (m)]]*7850</f>
        <v>15.783361491635119</v>
      </c>
      <c r="AH98" s="4">
        <f ca="1">HC[[#This Row],[nE]]*HC[[#This Row],[Prof. (m)]]*HC[[#This Row],[Ap (m²)]]</f>
        <v>14.702653618800234</v>
      </c>
      <c r="AI98" s="1">
        <f ca="1">IF(HC[[#This Row],[nE]]=1,0,MAX(3*HC[[#This Row],[Ø (cm)]],60))</f>
        <v>120</v>
      </c>
      <c r="AJ98" s="1">
        <f ca="1">IF(HC[[#This Row],[nE]]=1,HC[[#This Row],[Ø (cm)]]+2*10,MAX(1.5*HC[[#This Row],[Ø (cm)]],HC[[#This Row],[Ø (cm)]]+15))</f>
        <v>60</v>
      </c>
      <c r="AK98" s="1" t="str">
        <f ca="1">alturaUtil(HC[[#This Row],[nE]],HC[[#This Row],[Ø (cm)]],HC[[#This Row],[e (cm)]],HC[[#This Row],[ap,eq (cm)]])</f>
        <v>N.S.</v>
      </c>
      <c r="AL98" s="1" t="str">
        <f ca="1">IFERROR(HC[[#This Row],[d (cm)]]+arredondarParaCimaMultiplo5cm(MAX(5,SQRT(PI())/2*HC[[#This Row],[Ø (cm)]]/5)),"N.S.")</f>
        <v>N.S.</v>
      </c>
      <c r="AM98" s="5" t="str">
        <f ca="1">alpha(HC[[#This Row],[nE]],HC[[#This Row],[d (cm)]],HC[[#This Row],[e (cm)]],HC[[#This Row],[ap,eq (cm)]])</f>
        <v>N.S.</v>
      </c>
      <c r="AN98" s="35" t="str">
        <f ca="1">IFERROR(HC[[#This Row],[Nsd (kN)]]/(HC[[#This Row],[Ap (cm²)]]*SIN(HC[[#This Row],[α]])^2),"N.S.")</f>
        <v>N.S.</v>
      </c>
      <c r="AO98" s="35" t="str">
        <f ca="1">IFERROR(HC[[#This Row],[Nsd (kN)]]/(HC[[#This Row],[nE]]*PI()*HC[[#This Row],[Ø (cm)]]^2/4*SIN(HC[[#This Row],[α]])^2),"N.S.")</f>
        <v>N.S.</v>
      </c>
      <c r="AP98" s="4" t="str">
        <f ca="1">IFERROR(INDEX(grupoEstacas[],HC[[#This Row],[nE]],MATCH("coef. Blévot",grupoEstacas[#Headers],0)),"N.S.")</f>
        <v>N.S.</v>
      </c>
      <c r="AQ98" s="35" t="str">
        <f ca="1">IFERROR(HC[[#This Row],[coef. Blévot]]*0.9*INDEX(tipoEstaca[],MATCH($D$2,tipoEstaca[TIPO DE ESTACA],0),MATCH("fcd (kN/cm²)",tipoEstaca[#Headers],0)),"N.S.")</f>
        <v>N.S.</v>
      </c>
      <c r="AR98" s="1" t="str">
        <f ca="1">IF(AND(HC[[#This Row],[cd,b,pil (kN/cm²)]]&lt;=HC[[#This Row],[cd,b,lim (kN/cm²)]],HC[[#This Row],[cd,b,est (kN/cm²)]]&lt;=HC[[#This Row],[cd,b,lim (kN/cm²)]]),"OK","ERRO")</f>
        <v>OK</v>
      </c>
      <c r="AS98" s="4" t="str">
        <f ca="1">As_lado(HC[[#This Row],[nE]],HC[[#This Row],[Nsd (kN)]],HC[[#This Row],[d (cm)]],HC[[#This Row],[e (cm)]],HC[[#This Row],[ap,eq (cm)]])</f>
        <v>N.S.</v>
      </c>
      <c r="AT98" s="4" t="str">
        <f ca="1">IF(HC[[#This Row],[nE]]=1,HC[[#This Row],[As,lado (cm²)]],IF(HC[[#This Row],[nE]]=2,0.075*2*HC[a (cm)],"N.A."))</f>
        <v>N.A.</v>
      </c>
      <c r="AU98" s="4" t="str">
        <f ca="1">IFERROR(IF(HC[[#This Row],[nE]]=1,"N.A.",0.2*HC[[#This Row],[As,lado (cm²)]]),"N.S.")</f>
        <v>N.S.</v>
      </c>
      <c r="AV98" s="4" t="str">
        <f ca="1">As_malha(HC[[#This Row],[nE]],HC[[#This Row],[As,lado (cm²)]],HC[[#This Row],[Nsd (kN)]])</f>
        <v>N.S.</v>
      </c>
      <c r="AW98" s="4" t="str">
        <f ca="1">As_susp_tot(HC[[#This Row],[nE]],HC[[#This Row],[Nsd (kN)]])</f>
        <v>N.S.</v>
      </c>
      <c r="AX98" s="4" t="str">
        <f ca="1">Asp_face(HC[[#This Row],[nE]],HC[[#This Row],[As,lado (cm²)]])</f>
        <v>N.S.</v>
      </c>
      <c r="AY98" s="5" t="str">
        <f ca="1">acoBloco(HC[[#This Row],[nE]],HC[[#This Row],[e (cm)]],HC[[#This Row],[a (cm)]],HC[[#This Row],[h (cm)]],HC[[#This Row],[As,lado (cm²)]],HC[[#This Row],[Asp e Asw (cm²/m)]],HC[[#This Row],[As,sup (cm²)]],HC[[#This Row],[As,malha (cm²)]],HC[[#This Row],[As,susp,tot (cm²)]],HC[[#This Row],[Asp,face (cm²)]])</f>
        <v>N.S.</v>
      </c>
      <c r="AZ98" s="4" t="str">
        <f ca="1">concretoBloco(HC[[#This Row],[nE]],HC[[#This Row],[e (cm)]],HC[[#This Row],[a (cm)]],HC[[#This Row],[h (cm)]])</f>
        <v>N.S.</v>
      </c>
      <c r="BA98" s="5">
        <f ca="1">SUM(HC[[#This Row],[Aço Est (kg)]],HC[[#This Row],[Aço Bloco (kg)]])</f>
        <v>15.783361491635119</v>
      </c>
      <c r="BB98" s="4">
        <f>INDEX(composicoes[],MATCH(95580,composicoes[CÓDIGO],0),MATCH("CUSTO TOTAL",composicoes[#Headers],0))</f>
        <v>10.46</v>
      </c>
      <c r="BC98" s="4">
        <f ca="1">SUM(HC[[#This Row],[Conc Est (m³)]],HC[[#This Row],[Conc Bloco (m³)]])</f>
        <v>14.702653618800234</v>
      </c>
      <c r="BD98" s="4">
        <f>INDEX(composicoes[],MATCH(94966,composicoes[CÓDIGO],0),MATCH("CUSTO TOTAL",composicoes[#Headers],0))</f>
        <v>439.52</v>
      </c>
      <c r="BE98" s="38">
        <f ca="1">HC[[#This Row],[Aço (kg)]]*HC[[#This Row],[Aço (R$/kg)]]+HC[[#This Row],[Conc (m³)]]*HC[[#This Row],[Conc (R$/m³)]]</f>
        <v>6627.2042797375816</v>
      </c>
      <c r="BF98" s="4" t="str">
        <f ca="1">IF(COUNTIF(HC[#This Row],"N.S.")&gt;0,"lim.","OK")</f>
        <v>lim.</v>
      </c>
      <c r="BG98" s="4" t="str">
        <f>IF(HC[[#This Row],[Prof. (m)]]&lt;4,"lim.","OK")</f>
        <v>OK</v>
      </c>
      <c r="BH98" s="4" t="str">
        <f>IF(HC[[#This Row],[Prof. (m)]]&gt;=8*HC[[#This Row],[Ø (cm)]]/100,"OK","lim.")</f>
        <v>OK</v>
      </c>
      <c r="BI98" s="4" t="str">
        <f ca="1">IF(HC[[#This Row],[Verif. Biela]]="OK","OK","lim.")</f>
        <v>OK</v>
      </c>
      <c r="BJ98" s="4" t="str">
        <f ca="1">IF(COUNTA(HC[[#This Row],[Nº Est.]:[Biela comp.]])=COUNTIF(HC[[#This Row],[Nº Est.]:[Biela comp.]],"OK"),"OK","lim.")</f>
        <v>lim.</v>
      </c>
      <c r="BK98" s="4" t="str">
        <f ca="1">IF(HC[[#This Row],[Controle]]="OK",HC[[#This Row],[nE]]&amp;" Ø"&amp;HC[[#This Row],[Ø (cm)]]&amp;"cm Prof. "&amp;HC[[#This Row],[Prof. (m)]]&amp;" m","")</f>
        <v/>
      </c>
      <c r="BL98" s="4" t="str">
        <f ca="1">IF(HC[[#This Row],[idDimensionamento]]="","",HC[[#This Row],[idPilar]]&amp;HC[[#This Row],[idDimensionamento]])</f>
        <v/>
      </c>
    </row>
    <row r="99" spans="2:64" x14ac:dyDescent="0.25">
      <c r="B99" s="12">
        <f>ROUNDUP((ROW(HC[[#This Row],[idDiâmetro]])-ROW(HC[[#Headers],[idDiâmetro]]))/(COUNT(SPT[Prof. (m)])*COUNT(PILARES[Pilar])),0)</f>
        <v>4</v>
      </c>
      <c r="C99" s="12">
        <f>IF(HC[[#This Row],[idDiâmetro]]&lt;&gt;B98,1,IF(HC[[#This Row],[Prof. (m)]]=0,C98+1,C98))</f>
        <v>1</v>
      </c>
      <c r="D99" s="1">
        <f>IFERROR(IF(D98=MAX(SPT[Prof. (m)]),0,D98+1),0)</f>
        <v>10</v>
      </c>
      <c r="E99" s="1">
        <f>INDEX(SPT[],MATCH(HC[[#This Row],[Prof. (m)]],SPT[Prof. (m)],0),2)</f>
        <v>32</v>
      </c>
      <c r="F99" s="1" t="str">
        <f>INDEX(SPT[],MATCH(HC[[#This Row],[Prof. (m)]],SPT[Prof. (m)],0),3)</f>
        <v>Areia siltosa</v>
      </c>
      <c r="G99" s="1">
        <f>INDEX(estacas[],HC[[#This Row],[idDiâmetro]],MATCH($B$2,estacas[#Headers],0))</f>
        <v>40</v>
      </c>
      <c r="H99" s="1">
        <f>INDEX(estacas[],MATCH(HC[[#This Row],[Ø (cm)]],estacas[Ø HC (cm)],0),MATCH(HC[[#Headers],[Pe HC (kN)]],estacas[#Headers],0))</f>
        <v>800</v>
      </c>
      <c r="I99" s="4">
        <f>INDEX(K_alpha_C[],MATCH(HC[[#This Row],[Solo]],K_alpha_C[Solo],0),2)</f>
        <v>0.8</v>
      </c>
      <c r="J99" s="5">
        <f>INDEX(K_alpha_C[],MATCH(HC[[#This Row],[Solo]],K_alpha_C[Solo],0),3)</f>
        <v>2</v>
      </c>
      <c r="K99" s="4">
        <f>INDEX(F1_F2[],MATCH($D$2,F1_F2[Tipo de estaca],0),2)</f>
        <v>2</v>
      </c>
      <c r="L99" s="4">
        <f>INDEX(F1_F2[],MATCH($D$2,F1_F2[Tipo de estaca],0),3)</f>
        <v>4</v>
      </c>
      <c r="M99" s="4">
        <f>PI()*(HC[[#This Row],[Ø (cm)]]/100)^2/4</f>
        <v>0.12566370614359174</v>
      </c>
      <c r="N99" s="4">
        <f>PI()*HC[[#This Row],[Ø (cm)]]/100</f>
        <v>1.2566370614359172</v>
      </c>
      <c r="O99" s="4">
        <f>IF(HC[[#This Row],[Prof. (m)]]=0,0,HC[[#This Row],[α (%)]]/100*HC[[#This Row],[K (MPa)]]*1000*HC[[#This Row],[NSPT]])</f>
        <v>512</v>
      </c>
      <c r="P99" s="4">
        <f>IF(HC[[#This Row],[Prof. (m)]]=0,0,(HC[[#This Row],[K (MPa)]]*1000*HC[[#This Row],[NSPT]]/HC[[#This Row],[F1]]*HC[[#This Row],[Ap (m²)]]+HC[[#This Row],[U (m)]]/HC[[#This Row],[F2]]*SUMIFS(HC[(α∙K∙NL∙ΔL)],HC[Prof. (m)],"&lt;="&amp;HC[[#This Row],[Prof. (m)]],HC[idDiâmetro],HC[[#This Row],[idDiâmetro]],HC[idPilar],HC[[#This Row],[idPilar]]))/'DADOS CAP. CARGA'!$D$2)</f>
        <v>1107.0815431617752</v>
      </c>
      <c r="Q99" s="12">
        <f>INDEX(C_alpha_beta[],MATCH(HC[[#This Row],[Solo]],C_alpha_beta[Solo],0),MATCH(HC[[#Headers],[C (kPa)]],C_alpha_beta[#Headers],0))</f>
        <v>400</v>
      </c>
      <c r="R99" s="4">
        <f>INDEX(C_alpha_beta[],MATCH(HC[[#This Row],[Solo]],C_alpha_beta[Solo],0),MATCH(HC[[#Headers],[α ESF]],C_alpha_beta[#Headers],0))</f>
        <v>0.5</v>
      </c>
      <c r="S99" s="4">
        <f>INDEX(C_alpha_beta[],MATCH(HC[[#This Row],[Solo]],C_alpha_beta[Solo],0),MATCH(HC[[#Headers],[β ESF]],C_alpha_beta[#Headers],0))</f>
        <v>0.5</v>
      </c>
      <c r="T99" s="4">
        <f>IF(HC[[#This Row],[Prof. (m)]]=0,0,10*(HC[[#This Row],[NSPT]]/3+1))</f>
        <v>116.66666666666666</v>
      </c>
      <c r="U99" s="4">
        <f>(HC[[#This Row],[α ESF]]*HC[[#This Row],[C (kPa)]]*HC[[#This Row],[NSPT]]*HC[[#This Row],[Ap (m²)]])/'DADOS CAP. CARGA'!$Q$2+(HC[[#This Row],[β ESF]]*SUMIFS(HC[10∙(NL/3+1)],HC[Prof. (m)],"&lt;="&amp;HC[[#This Row],[Prof. (m)]],HC[idDiâmetro],HC[[#This Row],[idDiâmetro]],HC[idPilar],HC[[#This Row],[idPilar]])*HC[[#This Row],[U (m)]])/'DADOS CAP. CARGA'!$S$2</f>
        <v>368.61353802120243</v>
      </c>
      <c r="V99" s="4">
        <f>IF(SPT!$M$5=1,MIN(HC[[#This Row],[Pe HC (kN)]],HC[[#This Row],[R_AV (kN)]]),IF(SPT!$M$5=2,MIN(HC[[#This Row],[Pe HC (kN)]],HC[[#This Row],[R_DC (kN)]]),MIN(HC[[#This Row],[Pe HC (kN)]],HC[[#This Row],[R_AV (kN)]],HC[[#This Row],[R_DC (kN)]])))</f>
        <v>368.61353802120243</v>
      </c>
      <c r="W99" s="4">
        <f>INDEX(PILARES[],HC[[#This Row],[idPilar]],MATCH("Carga (kN)",PILARES[#Headers],0))*1.4</f>
        <v>3500</v>
      </c>
      <c r="X99" s="12">
        <f>INDEX(PILARES[],HC[[#This Row],[idPilar]],MATCH(HC[[#Headers],[ap (cm)]],PILARES[#Headers],0))</f>
        <v>60</v>
      </c>
      <c r="Y99" s="12">
        <f>INDEX(PILARES[],HC[[#This Row],[idPilar]],MATCH(HC[[#Headers],[bp (cm)]],PILARES[#Headers],0))</f>
        <v>60</v>
      </c>
      <c r="Z99" s="4">
        <f>SQRT(HC[[#This Row],[ap (cm)]]*HC[[#This Row],[bp (cm)]])</f>
        <v>60</v>
      </c>
      <c r="AA99" s="12">
        <f>HC[[#This Row],[ap (cm)]]*HC[[#This Row],[bp (cm)]]</f>
        <v>3600</v>
      </c>
      <c r="AB99" s="12">
        <f ca="1">IF(HC[[#This Row],[Padm∙ε (kN)]]&gt;=HC[[#This Row],[Padm (kN)]],ROUNDUP(1.05*HC[[#This Row],[Nsd (kN)]]/HC[[#This Row],[Padm (kN)]],0),ROUNDUP(1.05*HC[[#This Row],[Nsd (kN)]]/HC[[#This Row],[Padm (kN)]],0)+1)</f>
        <v>10</v>
      </c>
      <c r="AC99" s="4" t="str">
        <f ca="1">IFERROR(IF(HC[[#This Row],[nE]]=1,HC[[#This Row],[Padm (kN)]],HC[[#This Row],[Padm (kN)]]*HC[[#This Row],[nE]]*INDEX(grupoEstacas[],HC[[#This Row],[nE]],MATCH("ε",grupoEstacas[#Headers],0))),"N.S.")</f>
        <v>N.S.</v>
      </c>
      <c r="AD99" s="4">
        <f ca="1">1.05*HC[[#This Row],[Nsd (kN)]]/(HC[[#This Row],[nE]]*PI()*HC[[#This Row],[Ø (cm)]]^2/4)*10</f>
        <v>2.9244720793135768</v>
      </c>
      <c r="AE99" s="4">
        <f ca="1">IF(HC[[#This Row],[σ (MPa)]]&lt;INDEX(tipoEstaca[],MATCH($D$2,tipoEstaca[TIPO DE ESTACA],0),MATCH("σmáx (MPa)",tipoEstaca[#Headers],0)),0.4%*PI()*HC[[#This Row],[Ø (cm)]]^2/4,"N.S.")</f>
        <v>5.026548245743669</v>
      </c>
      <c r="AF99" s="1">
        <f>INDEX(tipoEstaca[],MATCH($D$2,tipoEstaca[TIPO DE ESTACA],0),MATCH(HC[[#Headers],[Comprimento (m)]],tipoEstaca[#Headers],0))</f>
        <v>4</v>
      </c>
      <c r="AG99" s="5">
        <f ca="1">HC[[#This Row],[As,mín (cm²)]]/100^2*HC[[#This Row],[Comprimento (m)]]*7850</f>
        <v>15.783361491635119</v>
      </c>
      <c r="AH99" s="4">
        <f ca="1">HC[[#This Row],[nE]]*HC[[#This Row],[Prof. (m)]]*HC[[#This Row],[Ap (m²)]]</f>
        <v>12.566370614359174</v>
      </c>
      <c r="AI99" s="1">
        <f ca="1">IF(HC[[#This Row],[nE]]=1,0,MAX(3*HC[[#This Row],[Ø (cm)]],60))</f>
        <v>120</v>
      </c>
      <c r="AJ99" s="1">
        <f ca="1">IF(HC[[#This Row],[nE]]=1,HC[[#This Row],[Ø (cm)]]+2*10,MAX(1.5*HC[[#This Row],[Ø (cm)]],HC[[#This Row],[Ø (cm)]]+15))</f>
        <v>60</v>
      </c>
      <c r="AK99" s="1" t="str">
        <f ca="1">alturaUtil(HC[[#This Row],[nE]],HC[[#This Row],[Ø (cm)]],HC[[#This Row],[e (cm)]],HC[[#This Row],[ap,eq (cm)]])</f>
        <v>N.S.</v>
      </c>
      <c r="AL99" s="1" t="str">
        <f ca="1">IFERROR(HC[[#This Row],[d (cm)]]+arredondarParaCimaMultiplo5cm(MAX(5,SQRT(PI())/2*HC[[#This Row],[Ø (cm)]]/5)),"N.S.")</f>
        <v>N.S.</v>
      </c>
      <c r="AM99" s="5" t="str">
        <f ca="1">alpha(HC[[#This Row],[nE]],HC[[#This Row],[d (cm)]],HC[[#This Row],[e (cm)]],HC[[#This Row],[ap,eq (cm)]])</f>
        <v>N.S.</v>
      </c>
      <c r="AN99" s="35" t="str">
        <f ca="1">IFERROR(HC[[#This Row],[Nsd (kN)]]/(HC[[#This Row],[Ap (cm²)]]*SIN(HC[[#This Row],[α]])^2),"N.S.")</f>
        <v>N.S.</v>
      </c>
      <c r="AO99" s="35" t="str">
        <f ca="1">IFERROR(HC[[#This Row],[Nsd (kN)]]/(HC[[#This Row],[nE]]*PI()*HC[[#This Row],[Ø (cm)]]^2/4*SIN(HC[[#This Row],[α]])^2),"N.S.")</f>
        <v>N.S.</v>
      </c>
      <c r="AP99" s="4" t="str">
        <f ca="1">IFERROR(INDEX(grupoEstacas[],HC[[#This Row],[nE]],MATCH("coef. Blévot",grupoEstacas[#Headers],0)),"N.S.")</f>
        <v>N.S.</v>
      </c>
      <c r="AQ99" s="35" t="str">
        <f ca="1">IFERROR(HC[[#This Row],[coef. Blévot]]*0.9*INDEX(tipoEstaca[],MATCH($D$2,tipoEstaca[TIPO DE ESTACA],0),MATCH("fcd (kN/cm²)",tipoEstaca[#Headers],0)),"N.S.")</f>
        <v>N.S.</v>
      </c>
      <c r="AR99" s="1" t="str">
        <f ca="1">IF(AND(HC[[#This Row],[cd,b,pil (kN/cm²)]]&lt;=HC[[#This Row],[cd,b,lim (kN/cm²)]],HC[[#This Row],[cd,b,est (kN/cm²)]]&lt;=HC[[#This Row],[cd,b,lim (kN/cm²)]]),"OK","ERRO")</f>
        <v>OK</v>
      </c>
      <c r="AS99" s="4" t="str">
        <f ca="1">As_lado(HC[[#This Row],[nE]],HC[[#This Row],[Nsd (kN)]],HC[[#This Row],[d (cm)]],HC[[#This Row],[e (cm)]],HC[[#This Row],[ap,eq (cm)]])</f>
        <v>N.S.</v>
      </c>
      <c r="AT99" s="4" t="str">
        <f ca="1">IF(HC[[#This Row],[nE]]=1,HC[[#This Row],[As,lado (cm²)]],IF(HC[[#This Row],[nE]]=2,0.075*2*HC[a (cm)],"N.A."))</f>
        <v>N.A.</v>
      </c>
      <c r="AU99" s="4" t="str">
        <f ca="1">IFERROR(IF(HC[[#This Row],[nE]]=1,"N.A.",0.2*HC[[#This Row],[As,lado (cm²)]]),"N.S.")</f>
        <v>N.S.</v>
      </c>
      <c r="AV99" s="4" t="str">
        <f ca="1">As_malha(HC[[#This Row],[nE]],HC[[#This Row],[As,lado (cm²)]],HC[[#This Row],[Nsd (kN)]])</f>
        <v>N.S.</v>
      </c>
      <c r="AW99" s="4" t="str">
        <f ca="1">As_susp_tot(HC[[#This Row],[nE]],HC[[#This Row],[Nsd (kN)]])</f>
        <v>N.S.</v>
      </c>
      <c r="AX99" s="4" t="str">
        <f ca="1">Asp_face(HC[[#This Row],[nE]],HC[[#This Row],[As,lado (cm²)]])</f>
        <v>N.S.</v>
      </c>
      <c r="AY99" s="5" t="str">
        <f ca="1">acoBloco(HC[[#This Row],[nE]],HC[[#This Row],[e (cm)]],HC[[#This Row],[a (cm)]],HC[[#This Row],[h (cm)]],HC[[#This Row],[As,lado (cm²)]],HC[[#This Row],[Asp e Asw (cm²/m)]],HC[[#This Row],[As,sup (cm²)]],HC[[#This Row],[As,malha (cm²)]],HC[[#This Row],[As,susp,tot (cm²)]],HC[[#This Row],[Asp,face (cm²)]])</f>
        <v>N.S.</v>
      </c>
      <c r="AZ99" s="4" t="str">
        <f ca="1">concretoBloco(HC[[#This Row],[nE]],HC[[#This Row],[e (cm)]],HC[[#This Row],[a (cm)]],HC[[#This Row],[h (cm)]])</f>
        <v>N.S.</v>
      </c>
      <c r="BA99" s="5">
        <f ca="1">SUM(HC[[#This Row],[Aço Est (kg)]],HC[[#This Row],[Aço Bloco (kg)]])</f>
        <v>15.783361491635119</v>
      </c>
      <c r="BB99" s="4">
        <f>INDEX(composicoes[],MATCH(95580,composicoes[CÓDIGO],0),MATCH("CUSTO TOTAL",composicoes[#Headers],0))</f>
        <v>10.46</v>
      </c>
      <c r="BC99" s="4">
        <f ca="1">SUM(HC[[#This Row],[Conc Est (m³)]],HC[[#This Row],[Conc Bloco (m³)]])</f>
        <v>12.566370614359174</v>
      </c>
      <c r="BD99" s="4">
        <f>INDEX(composicoes[],MATCH(94966,composicoes[CÓDIGO],0),MATCH("CUSTO TOTAL",composicoes[#Headers],0))</f>
        <v>439.52</v>
      </c>
      <c r="BE99" s="38">
        <f ca="1">HC[[#This Row],[Aço (kg)]]*HC[[#This Row],[Aço (R$/kg)]]+HC[[#This Row],[Conc (m³)]]*HC[[#This Row],[Conc (R$/m³)]]</f>
        <v>5688.2651736256475</v>
      </c>
      <c r="BF99" s="4" t="str">
        <f ca="1">IF(COUNTIF(HC[#This Row],"N.S.")&gt;0,"lim.","OK")</f>
        <v>lim.</v>
      </c>
      <c r="BG99" s="4" t="str">
        <f>IF(HC[[#This Row],[Prof. (m)]]&lt;4,"lim.","OK")</f>
        <v>OK</v>
      </c>
      <c r="BH99" s="4" t="str">
        <f>IF(HC[[#This Row],[Prof. (m)]]&gt;=8*HC[[#This Row],[Ø (cm)]]/100,"OK","lim.")</f>
        <v>OK</v>
      </c>
      <c r="BI99" s="4" t="str">
        <f ca="1">IF(HC[[#This Row],[Verif. Biela]]="OK","OK","lim.")</f>
        <v>OK</v>
      </c>
      <c r="BJ99" s="4" t="str">
        <f ca="1">IF(COUNTA(HC[[#This Row],[Nº Est.]:[Biela comp.]])=COUNTIF(HC[[#This Row],[Nº Est.]:[Biela comp.]],"OK"),"OK","lim.")</f>
        <v>lim.</v>
      </c>
      <c r="BK99" s="4" t="str">
        <f ca="1">IF(HC[[#This Row],[Controle]]="OK",HC[[#This Row],[nE]]&amp;" Ø"&amp;HC[[#This Row],[Ø (cm)]]&amp;"cm Prof. "&amp;HC[[#This Row],[Prof. (m)]]&amp;" m","")</f>
        <v/>
      </c>
      <c r="BL99" s="4" t="str">
        <f ca="1">IF(HC[[#This Row],[idDimensionamento]]="","",HC[[#This Row],[idPilar]]&amp;HC[[#This Row],[idDimensionamento]])</f>
        <v/>
      </c>
    </row>
    <row r="100" spans="2:64" x14ac:dyDescent="0.25">
      <c r="B100" s="12">
        <f>ROUNDUP((ROW(HC[[#This Row],[idDiâmetro]])-ROW(HC[[#Headers],[idDiâmetro]]))/(COUNT(SPT[Prof. (m)])*COUNT(PILARES[Pilar])),0)</f>
        <v>4</v>
      </c>
      <c r="C100" s="12">
        <f>IF(HC[[#This Row],[idDiâmetro]]&lt;&gt;B99,1,IF(HC[[#This Row],[Prof. (m)]]=0,C99+1,C99))</f>
        <v>1</v>
      </c>
      <c r="D100" s="1">
        <f>IFERROR(IF(D99=MAX(SPT[Prof. (m)]),0,D99+1),0)</f>
        <v>11</v>
      </c>
      <c r="E100" s="1">
        <f>INDEX(SPT[],MATCH(HC[[#This Row],[Prof. (m)]],SPT[Prof. (m)],0),2)</f>
        <v>41</v>
      </c>
      <c r="F100" s="1" t="str">
        <f>INDEX(SPT[],MATCH(HC[[#This Row],[Prof. (m)]],SPT[Prof. (m)],0),3)</f>
        <v>Areia siltosa</v>
      </c>
      <c r="G100" s="1">
        <f>INDEX(estacas[],HC[[#This Row],[idDiâmetro]],MATCH($B$2,estacas[#Headers],0))</f>
        <v>40</v>
      </c>
      <c r="H100" s="1">
        <f>INDEX(estacas[],MATCH(HC[[#This Row],[Ø (cm)]],estacas[Ø HC (cm)],0),MATCH(HC[[#Headers],[Pe HC (kN)]],estacas[#Headers],0))</f>
        <v>800</v>
      </c>
      <c r="I100" s="4">
        <f>INDEX(K_alpha_C[],MATCH(HC[[#This Row],[Solo]],K_alpha_C[Solo],0),2)</f>
        <v>0.8</v>
      </c>
      <c r="J100" s="5">
        <f>INDEX(K_alpha_C[],MATCH(HC[[#This Row],[Solo]],K_alpha_C[Solo],0),3)</f>
        <v>2</v>
      </c>
      <c r="K100" s="4">
        <f>INDEX(F1_F2[],MATCH($D$2,F1_F2[Tipo de estaca],0),2)</f>
        <v>2</v>
      </c>
      <c r="L100" s="4">
        <f>INDEX(F1_F2[],MATCH($D$2,F1_F2[Tipo de estaca],0),3)</f>
        <v>4</v>
      </c>
      <c r="M100" s="4">
        <f>PI()*(HC[[#This Row],[Ø (cm)]]/100)^2/4</f>
        <v>0.12566370614359174</v>
      </c>
      <c r="N100" s="4">
        <f>PI()*HC[[#This Row],[Ø (cm)]]/100</f>
        <v>1.2566370614359172</v>
      </c>
      <c r="O100" s="4">
        <f>IF(HC[[#This Row],[Prof. (m)]]=0,0,HC[[#This Row],[α (%)]]/100*HC[[#This Row],[K (MPa)]]*1000*HC[[#This Row],[NSPT]])</f>
        <v>656</v>
      </c>
      <c r="P100" s="4">
        <f>IF(HC[[#This Row],[Prof. (m)]]=0,0,(HC[[#This Row],[K (MPa)]]*1000*HC[[#This Row],[NSPT]]/HC[[#This Row],[F1]]*HC[[#This Row],[Ap (m²)]]+HC[[#This Row],[U (m)]]/HC[[#This Row],[F2]]*SUMIFS(HC[(α∙K∙NL∙ΔL)],HC[Prof. (m)],"&lt;="&amp;HC[[#This Row],[Prof. (m)]],HC[idDiâmetro],HC[[#This Row],[idDiâmetro]],HC[idPilar],HC[[#This Row],[idPilar]]))/'DADOS CAP. CARGA'!$D$2)</f>
        <v>1436.3204532579857</v>
      </c>
      <c r="Q100" s="12">
        <f>INDEX(C_alpha_beta[],MATCH(HC[[#This Row],[Solo]],C_alpha_beta[Solo],0),MATCH(HC[[#Headers],[C (kPa)]],C_alpha_beta[#Headers],0))</f>
        <v>400</v>
      </c>
      <c r="R100" s="4">
        <f>INDEX(C_alpha_beta[],MATCH(HC[[#This Row],[Solo]],C_alpha_beta[Solo],0),MATCH(HC[[#Headers],[α ESF]],C_alpha_beta[#Headers],0))</f>
        <v>0.5</v>
      </c>
      <c r="S100" s="4">
        <f>INDEX(C_alpha_beta[],MATCH(HC[[#This Row],[Solo]],C_alpha_beta[Solo],0),MATCH(HC[[#Headers],[β ESF]],C_alpha_beta[#Headers],0))</f>
        <v>0.5</v>
      </c>
      <c r="T100" s="4">
        <f>IF(HC[[#This Row],[Prof. (m)]]=0,0,10*(HC[[#This Row],[NSPT]]/3+1))</f>
        <v>146.66666666666666</v>
      </c>
      <c r="U100" s="4">
        <f>(HC[[#This Row],[α ESF]]*HC[[#This Row],[C (kPa)]]*HC[[#This Row],[NSPT]]*HC[[#This Row],[Ap (m²)]])/'DADOS CAP. CARGA'!$Q$2+(HC[[#This Row],[β ESF]]*SUMIFS(HC[10∙(NL/3+1)],HC[Prof. (m)],"&lt;="&amp;HC[[#This Row],[Prof. (m)]],HC[idDiâmetro],HC[[#This Row],[idDiâmetro]],HC[idPilar],HC[[#This Row],[idPilar]])*HC[[#This Row],[U (m)]])/'DADOS CAP. CARGA'!$S$2</f>
        <v>471.23889803846896</v>
      </c>
      <c r="V100" s="4">
        <f>IF(SPT!$M$5=1,MIN(HC[[#This Row],[Pe HC (kN)]],HC[[#This Row],[R_AV (kN)]]),IF(SPT!$M$5=2,MIN(HC[[#This Row],[Pe HC (kN)]],HC[[#This Row],[R_DC (kN)]]),MIN(HC[[#This Row],[Pe HC (kN)]],HC[[#This Row],[R_AV (kN)]],HC[[#This Row],[R_DC (kN)]])))</f>
        <v>471.23889803846896</v>
      </c>
      <c r="W100" s="4">
        <f>INDEX(PILARES[],HC[[#This Row],[idPilar]],MATCH("Carga (kN)",PILARES[#Headers],0))*1.4</f>
        <v>3500</v>
      </c>
      <c r="X100" s="12">
        <f>INDEX(PILARES[],HC[[#This Row],[idPilar]],MATCH(HC[[#Headers],[ap (cm)]],PILARES[#Headers],0))</f>
        <v>60</v>
      </c>
      <c r="Y100" s="12">
        <f>INDEX(PILARES[],HC[[#This Row],[idPilar]],MATCH(HC[[#Headers],[bp (cm)]],PILARES[#Headers],0))</f>
        <v>60</v>
      </c>
      <c r="Z100" s="4">
        <f>SQRT(HC[[#This Row],[ap (cm)]]*HC[[#This Row],[bp (cm)]])</f>
        <v>60</v>
      </c>
      <c r="AA100" s="12">
        <f>HC[[#This Row],[ap (cm)]]*HC[[#This Row],[bp (cm)]]</f>
        <v>3600</v>
      </c>
      <c r="AB100" s="12">
        <f ca="1">IF(HC[[#This Row],[Padm∙ε (kN)]]&gt;=HC[[#This Row],[Padm (kN)]],ROUNDUP(1.05*HC[[#This Row],[Nsd (kN)]]/HC[[#This Row],[Padm (kN)]],0),ROUNDUP(1.05*HC[[#This Row],[Nsd (kN)]]/HC[[#This Row],[Padm (kN)]],0)+1)</f>
        <v>8</v>
      </c>
      <c r="AC100" s="4" t="str">
        <f ca="1">IFERROR(IF(HC[[#This Row],[nE]]=1,HC[[#This Row],[Padm (kN)]],HC[[#This Row],[Padm (kN)]]*HC[[#This Row],[nE]]*INDEX(grupoEstacas[],HC[[#This Row],[nE]],MATCH("ε",grupoEstacas[#Headers],0))),"N.S.")</f>
        <v>N.S.</v>
      </c>
      <c r="AD100" s="4">
        <f ca="1">1.05*HC[[#This Row],[Nsd (kN)]]/(HC[[#This Row],[nE]]*PI()*HC[[#This Row],[Ø (cm)]]^2/4)*10</f>
        <v>3.6555900991419712</v>
      </c>
      <c r="AE100" s="4">
        <f ca="1">IF(HC[[#This Row],[σ (MPa)]]&lt;INDEX(tipoEstaca[],MATCH($D$2,tipoEstaca[TIPO DE ESTACA],0),MATCH("σmáx (MPa)",tipoEstaca[#Headers],0)),0.4%*PI()*HC[[#This Row],[Ø (cm)]]^2/4,"N.S.")</f>
        <v>5.026548245743669</v>
      </c>
      <c r="AF100" s="1">
        <f>INDEX(tipoEstaca[],MATCH($D$2,tipoEstaca[TIPO DE ESTACA],0),MATCH(HC[[#Headers],[Comprimento (m)]],tipoEstaca[#Headers],0))</f>
        <v>4</v>
      </c>
      <c r="AG100" s="5">
        <f ca="1">HC[[#This Row],[As,mín (cm²)]]/100^2*HC[[#This Row],[Comprimento (m)]]*7850</f>
        <v>15.783361491635119</v>
      </c>
      <c r="AH100" s="4">
        <f ca="1">HC[[#This Row],[nE]]*HC[[#This Row],[Prof. (m)]]*HC[[#This Row],[Ap (m²)]]</f>
        <v>11.058406140636073</v>
      </c>
      <c r="AI100" s="1">
        <f ca="1">IF(HC[[#This Row],[nE]]=1,0,MAX(3*HC[[#This Row],[Ø (cm)]],60))</f>
        <v>120</v>
      </c>
      <c r="AJ100" s="1">
        <f ca="1">IF(HC[[#This Row],[nE]]=1,HC[[#This Row],[Ø (cm)]]+2*10,MAX(1.5*HC[[#This Row],[Ø (cm)]],HC[[#This Row],[Ø (cm)]]+15))</f>
        <v>60</v>
      </c>
      <c r="AK100" s="1" t="str">
        <f ca="1">alturaUtil(HC[[#This Row],[nE]],HC[[#This Row],[Ø (cm)]],HC[[#This Row],[e (cm)]],HC[[#This Row],[ap,eq (cm)]])</f>
        <v>N.S.</v>
      </c>
      <c r="AL100" s="1" t="str">
        <f ca="1">IFERROR(HC[[#This Row],[d (cm)]]+arredondarParaCimaMultiplo5cm(MAX(5,SQRT(PI())/2*HC[[#This Row],[Ø (cm)]]/5)),"N.S.")</f>
        <v>N.S.</v>
      </c>
      <c r="AM100" s="5" t="str">
        <f ca="1">alpha(HC[[#This Row],[nE]],HC[[#This Row],[d (cm)]],HC[[#This Row],[e (cm)]],HC[[#This Row],[ap,eq (cm)]])</f>
        <v>N.S.</v>
      </c>
      <c r="AN100" s="35" t="str">
        <f ca="1">IFERROR(HC[[#This Row],[Nsd (kN)]]/(HC[[#This Row],[Ap (cm²)]]*SIN(HC[[#This Row],[α]])^2),"N.S.")</f>
        <v>N.S.</v>
      </c>
      <c r="AO100" s="35" t="str">
        <f ca="1">IFERROR(HC[[#This Row],[Nsd (kN)]]/(HC[[#This Row],[nE]]*PI()*HC[[#This Row],[Ø (cm)]]^2/4*SIN(HC[[#This Row],[α]])^2),"N.S.")</f>
        <v>N.S.</v>
      </c>
      <c r="AP100" s="4" t="str">
        <f ca="1">IFERROR(INDEX(grupoEstacas[],HC[[#This Row],[nE]],MATCH("coef. Blévot",grupoEstacas[#Headers],0)),"N.S.")</f>
        <v>N.S.</v>
      </c>
      <c r="AQ100" s="35" t="str">
        <f ca="1">IFERROR(HC[[#This Row],[coef. Blévot]]*0.9*INDEX(tipoEstaca[],MATCH($D$2,tipoEstaca[TIPO DE ESTACA],0),MATCH("fcd (kN/cm²)",tipoEstaca[#Headers],0)),"N.S.")</f>
        <v>N.S.</v>
      </c>
      <c r="AR100" s="1" t="str">
        <f ca="1">IF(AND(HC[[#This Row],[cd,b,pil (kN/cm²)]]&lt;=HC[[#This Row],[cd,b,lim (kN/cm²)]],HC[[#This Row],[cd,b,est (kN/cm²)]]&lt;=HC[[#This Row],[cd,b,lim (kN/cm²)]]),"OK","ERRO")</f>
        <v>OK</v>
      </c>
      <c r="AS100" s="4" t="str">
        <f ca="1">As_lado(HC[[#This Row],[nE]],HC[[#This Row],[Nsd (kN)]],HC[[#This Row],[d (cm)]],HC[[#This Row],[e (cm)]],HC[[#This Row],[ap,eq (cm)]])</f>
        <v>N.S.</v>
      </c>
      <c r="AT100" s="4" t="str">
        <f ca="1">IF(HC[[#This Row],[nE]]=1,HC[[#This Row],[As,lado (cm²)]],IF(HC[[#This Row],[nE]]=2,0.075*2*HC[a (cm)],"N.A."))</f>
        <v>N.A.</v>
      </c>
      <c r="AU100" s="4" t="str">
        <f ca="1">IFERROR(IF(HC[[#This Row],[nE]]=1,"N.A.",0.2*HC[[#This Row],[As,lado (cm²)]]),"N.S.")</f>
        <v>N.S.</v>
      </c>
      <c r="AV100" s="4" t="str">
        <f ca="1">As_malha(HC[[#This Row],[nE]],HC[[#This Row],[As,lado (cm²)]],HC[[#This Row],[Nsd (kN)]])</f>
        <v>N.S.</v>
      </c>
      <c r="AW100" s="4" t="str">
        <f ca="1">As_susp_tot(HC[[#This Row],[nE]],HC[[#This Row],[Nsd (kN)]])</f>
        <v>N.S.</v>
      </c>
      <c r="AX100" s="4" t="str">
        <f ca="1">Asp_face(HC[[#This Row],[nE]],HC[[#This Row],[As,lado (cm²)]])</f>
        <v>N.S.</v>
      </c>
      <c r="AY100" s="5" t="str">
        <f ca="1">acoBloco(HC[[#This Row],[nE]],HC[[#This Row],[e (cm)]],HC[[#This Row],[a (cm)]],HC[[#This Row],[h (cm)]],HC[[#This Row],[As,lado (cm²)]],HC[[#This Row],[Asp e Asw (cm²/m)]],HC[[#This Row],[As,sup (cm²)]],HC[[#This Row],[As,malha (cm²)]],HC[[#This Row],[As,susp,tot (cm²)]],HC[[#This Row],[Asp,face (cm²)]])</f>
        <v>N.S.</v>
      </c>
      <c r="AZ100" s="4" t="str">
        <f ca="1">concretoBloco(HC[[#This Row],[nE]],HC[[#This Row],[e (cm)]],HC[[#This Row],[a (cm)]],HC[[#This Row],[h (cm)]])</f>
        <v>N.S.</v>
      </c>
      <c r="BA100" s="5">
        <f ca="1">SUM(HC[[#This Row],[Aço Est (kg)]],HC[[#This Row],[Aço Bloco (kg)]])</f>
        <v>15.783361491635119</v>
      </c>
      <c r="BB100" s="4">
        <f>INDEX(composicoes[],MATCH(95580,composicoes[CÓDIGO],0),MATCH("CUSTO TOTAL",composicoes[#Headers],0))</f>
        <v>10.46</v>
      </c>
      <c r="BC100" s="4">
        <f ca="1">SUM(HC[[#This Row],[Conc Est (m³)]],HC[[#This Row],[Conc Bloco (m³)]])</f>
        <v>11.058406140636073</v>
      </c>
      <c r="BD100" s="4">
        <f>INDEX(composicoes[],MATCH(94966,composicoes[CÓDIGO],0),MATCH("CUSTO TOTAL",composicoes[#Headers],0))</f>
        <v>439.52</v>
      </c>
      <c r="BE100" s="38">
        <f ca="1">HC[[#This Row],[Aço (kg)]]*HC[[#This Row],[Aço (R$/kg)]]+HC[[#This Row],[Conc (m³)]]*HC[[#This Row],[Conc (R$/m³)]]</f>
        <v>5025.48462813487</v>
      </c>
      <c r="BF100" s="4" t="str">
        <f ca="1">IF(COUNTIF(HC[#This Row],"N.S.")&gt;0,"lim.","OK")</f>
        <v>lim.</v>
      </c>
      <c r="BG100" s="4" t="str">
        <f>IF(HC[[#This Row],[Prof. (m)]]&lt;4,"lim.","OK")</f>
        <v>OK</v>
      </c>
      <c r="BH100" s="4" t="str">
        <f>IF(HC[[#This Row],[Prof. (m)]]&gt;=8*HC[[#This Row],[Ø (cm)]]/100,"OK","lim.")</f>
        <v>OK</v>
      </c>
      <c r="BI100" s="4" t="str">
        <f ca="1">IF(HC[[#This Row],[Verif. Biela]]="OK","OK","lim.")</f>
        <v>OK</v>
      </c>
      <c r="BJ100" s="4" t="str">
        <f ca="1">IF(COUNTA(HC[[#This Row],[Nº Est.]:[Biela comp.]])=COUNTIF(HC[[#This Row],[Nº Est.]:[Biela comp.]],"OK"),"OK","lim.")</f>
        <v>lim.</v>
      </c>
      <c r="BK100" s="4" t="str">
        <f ca="1">IF(HC[[#This Row],[Controle]]="OK",HC[[#This Row],[nE]]&amp;" Ø"&amp;HC[[#This Row],[Ø (cm)]]&amp;"cm Prof. "&amp;HC[[#This Row],[Prof. (m)]]&amp;" m","")</f>
        <v/>
      </c>
      <c r="BL100" s="4" t="str">
        <f ca="1">IF(HC[[#This Row],[idDimensionamento]]="","",HC[[#This Row],[idPilar]]&amp;HC[[#This Row],[idDimensionamento]])</f>
        <v/>
      </c>
    </row>
    <row r="101" spans="2:64" x14ac:dyDescent="0.25">
      <c r="B101" s="12">
        <f>ROUNDUP((ROW(HC[[#This Row],[idDiâmetro]])-ROW(HC[[#Headers],[idDiâmetro]]))/(COUNT(SPT[Prof. (m)])*COUNT(PILARES[Pilar])),0)</f>
        <v>4</v>
      </c>
      <c r="C101" s="12">
        <f>IF(HC[[#This Row],[idDiâmetro]]&lt;&gt;B100,1,IF(HC[[#This Row],[Prof. (m)]]=0,C100+1,C100))</f>
        <v>1</v>
      </c>
      <c r="D101" s="1">
        <f>IFERROR(IF(D100=MAX(SPT[Prof. (m)]),0,D100+1),0)</f>
        <v>12</v>
      </c>
      <c r="E101" s="1">
        <f>INDEX(SPT[],MATCH(HC[[#This Row],[Prof. (m)]],SPT[Prof. (m)],0),2)</f>
        <v>52</v>
      </c>
      <c r="F101" s="1" t="str">
        <f>INDEX(SPT[],MATCH(HC[[#This Row],[Prof. (m)]],SPT[Prof. (m)],0),3)</f>
        <v>Areia siltosa</v>
      </c>
      <c r="G101" s="1">
        <f>INDEX(estacas[],HC[[#This Row],[idDiâmetro]],MATCH($B$2,estacas[#Headers],0))</f>
        <v>40</v>
      </c>
      <c r="H101" s="1">
        <f>INDEX(estacas[],MATCH(HC[[#This Row],[Ø (cm)]],estacas[Ø HC (cm)],0),MATCH(HC[[#Headers],[Pe HC (kN)]],estacas[#Headers],0))</f>
        <v>800</v>
      </c>
      <c r="I101" s="4">
        <f>INDEX(K_alpha_C[],MATCH(HC[[#This Row],[Solo]],K_alpha_C[Solo],0),2)</f>
        <v>0.8</v>
      </c>
      <c r="J101" s="5">
        <f>INDEX(K_alpha_C[],MATCH(HC[[#This Row],[Solo]],K_alpha_C[Solo],0),3)</f>
        <v>2</v>
      </c>
      <c r="K101" s="4">
        <f>INDEX(F1_F2[],MATCH($D$2,F1_F2[Tipo de estaca],0),2)</f>
        <v>2</v>
      </c>
      <c r="L101" s="4">
        <f>INDEX(F1_F2[],MATCH($D$2,F1_F2[Tipo de estaca],0),3)</f>
        <v>4</v>
      </c>
      <c r="M101" s="4">
        <f>PI()*(HC[[#This Row],[Ø (cm)]]/100)^2/4</f>
        <v>0.12566370614359174</v>
      </c>
      <c r="N101" s="4">
        <f>PI()*HC[[#This Row],[Ø (cm)]]/100</f>
        <v>1.2566370614359172</v>
      </c>
      <c r="O101" s="4">
        <f>IF(HC[[#This Row],[Prof. (m)]]=0,0,HC[[#This Row],[α (%)]]/100*HC[[#This Row],[K (MPa)]]*1000*HC[[#This Row],[NSPT]])</f>
        <v>832</v>
      </c>
      <c r="P101" s="4">
        <f>IF(HC[[#This Row],[Prof. (m)]]=0,0,(HC[[#This Row],[K (MPa)]]*1000*HC[[#This Row],[NSPT]]/HC[[#This Row],[F1]]*HC[[#This Row],[Ap (m²)]]+HC[[#This Row],[U (m)]]/HC[[#This Row],[F2]]*SUMIFS(HC[(α∙K∙NL∙ΔL)],HC[Prof. (m)],"&lt;="&amp;HC[[#This Row],[Prof. (m)]],HC[idDiâmetro],HC[[#This Row],[idDiâmetro]],HC[idPilar],HC[[#This Row],[idPilar]]))/'DADOS CAP. CARGA'!$D$2)</f>
        <v>1843.4708611632227</v>
      </c>
      <c r="Q101" s="12">
        <f>INDEX(C_alpha_beta[],MATCH(HC[[#This Row],[Solo]],C_alpha_beta[Solo],0),MATCH(HC[[#Headers],[C (kPa)]],C_alpha_beta[#Headers],0))</f>
        <v>400</v>
      </c>
      <c r="R101" s="4">
        <f>INDEX(C_alpha_beta[],MATCH(HC[[#This Row],[Solo]],C_alpha_beta[Solo],0),MATCH(HC[[#Headers],[α ESF]],C_alpha_beta[#Headers],0))</f>
        <v>0.5</v>
      </c>
      <c r="S101" s="4">
        <f>INDEX(C_alpha_beta[],MATCH(HC[[#This Row],[Solo]],C_alpha_beta[Solo],0),MATCH(HC[[#Headers],[β ESF]],C_alpha_beta[#Headers],0))</f>
        <v>0.5</v>
      </c>
      <c r="T101" s="4">
        <f>IF(HC[[#This Row],[Prof. (m)]]=0,0,10*(HC[[#This Row],[NSPT]]/3+1))</f>
        <v>183.33333333333331</v>
      </c>
      <c r="U101" s="4">
        <f>(HC[[#This Row],[α ESF]]*HC[[#This Row],[C (kPa)]]*HC[[#This Row],[NSPT]]*HC[[#This Row],[Ap (m²)]])/'DADOS CAP. CARGA'!$Q$2+(HC[[#This Row],[β ESF]]*SUMIFS(HC[10∙(NL/3+1)],HC[Prof. (m)],"&lt;="&amp;HC[[#This Row],[Prof. (m)]],HC[idDiâmetro],HC[[#This Row],[idDiâmetro]],HC[idPilar],HC[[#This Row],[idPilar]])*HC[[#This Row],[U (m)]])/'DADOS CAP. CARGA'!$S$2</f>
        <v>597.94980173325735</v>
      </c>
      <c r="V101" s="4">
        <f>IF(SPT!$M$5=1,MIN(HC[[#This Row],[Pe HC (kN)]],HC[[#This Row],[R_AV (kN)]]),IF(SPT!$M$5=2,MIN(HC[[#This Row],[Pe HC (kN)]],HC[[#This Row],[R_DC (kN)]]),MIN(HC[[#This Row],[Pe HC (kN)]],HC[[#This Row],[R_AV (kN)]],HC[[#This Row],[R_DC (kN)]])))</f>
        <v>597.94980173325735</v>
      </c>
      <c r="W101" s="4">
        <f>INDEX(PILARES[],HC[[#This Row],[idPilar]],MATCH("Carga (kN)",PILARES[#Headers],0))*1.4</f>
        <v>3500</v>
      </c>
      <c r="X101" s="12">
        <f>INDEX(PILARES[],HC[[#This Row],[idPilar]],MATCH(HC[[#Headers],[ap (cm)]],PILARES[#Headers],0))</f>
        <v>60</v>
      </c>
      <c r="Y101" s="12">
        <f>INDEX(PILARES[],HC[[#This Row],[idPilar]],MATCH(HC[[#Headers],[bp (cm)]],PILARES[#Headers],0))</f>
        <v>60</v>
      </c>
      <c r="Z101" s="4">
        <f>SQRT(HC[[#This Row],[ap (cm)]]*HC[[#This Row],[bp (cm)]])</f>
        <v>60</v>
      </c>
      <c r="AA101" s="12">
        <f>HC[[#This Row],[ap (cm)]]*HC[[#This Row],[bp (cm)]]</f>
        <v>3600</v>
      </c>
      <c r="AB101" s="12">
        <f ca="1">IF(HC[[#This Row],[Padm∙ε (kN)]]&gt;=HC[[#This Row],[Padm (kN)]],ROUNDUP(1.05*HC[[#This Row],[Nsd (kN)]]/HC[[#This Row],[Padm (kN)]],0),ROUNDUP(1.05*HC[[#This Row],[Nsd (kN)]]/HC[[#This Row],[Padm (kN)]],0)+1)</f>
        <v>7</v>
      </c>
      <c r="AC101" s="4" t="str">
        <f ca="1">IFERROR(IF(HC[[#This Row],[nE]]=1,HC[[#This Row],[Padm (kN)]],HC[[#This Row],[Padm (kN)]]*HC[[#This Row],[nE]]*INDEX(grupoEstacas[],HC[[#This Row],[nE]],MATCH("ε",grupoEstacas[#Headers],0))),"N.S.")</f>
        <v>N.S.</v>
      </c>
      <c r="AD101" s="4">
        <f ca="1">1.05*HC[[#This Row],[Nsd (kN)]]/(HC[[#This Row],[nE]]*PI()*HC[[#This Row],[Ø (cm)]]^2/4)*10</f>
        <v>4.1778172561622533</v>
      </c>
      <c r="AE101" s="4">
        <f ca="1">IF(HC[[#This Row],[σ (MPa)]]&lt;INDEX(tipoEstaca[],MATCH($D$2,tipoEstaca[TIPO DE ESTACA],0),MATCH("σmáx (MPa)",tipoEstaca[#Headers],0)),0.4%*PI()*HC[[#This Row],[Ø (cm)]]^2/4,"N.S.")</f>
        <v>5.026548245743669</v>
      </c>
      <c r="AF101" s="1">
        <f>INDEX(tipoEstaca[],MATCH($D$2,tipoEstaca[TIPO DE ESTACA],0),MATCH(HC[[#Headers],[Comprimento (m)]],tipoEstaca[#Headers],0))</f>
        <v>4</v>
      </c>
      <c r="AG101" s="5">
        <f ca="1">HC[[#This Row],[As,mín (cm²)]]/100^2*HC[[#This Row],[Comprimento (m)]]*7850</f>
        <v>15.783361491635119</v>
      </c>
      <c r="AH101" s="4">
        <f ca="1">HC[[#This Row],[nE]]*HC[[#This Row],[Prof. (m)]]*HC[[#This Row],[Ap (m²)]]</f>
        <v>10.555751316061706</v>
      </c>
      <c r="AI101" s="1">
        <f ca="1">IF(HC[[#This Row],[nE]]=1,0,MAX(3*HC[[#This Row],[Ø (cm)]],60))</f>
        <v>120</v>
      </c>
      <c r="AJ101" s="1">
        <f ca="1">IF(HC[[#This Row],[nE]]=1,HC[[#This Row],[Ø (cm)]]+2*10,MAX(1.5*HC[[#This Row],[Ø (cm)]],HC[[#This Row],[Ø (cm)]]+15))</f>
        <v>60</v>
      </c>
      <c r="AK101" s="1" t="str">
        <f ca="1">alturaUtil(HC[[#This Row],[nE]],HC[[#This Row],[Ø (cm)]],HC[[#This Row],[e (cm)]],HC[[#This Row],[ap,eq (cm)]])</f>
        <v>N.S.</v>
      </c>
      <c r="AL101" s="1" t="str">
        <f ca="1">IFERROR(HC[[#This Row],[d (cm)]]+arredondarParaCimaMultiplo5cm(MAX(5,SQRT(PI())/2*HC[[#This Row],[Ø (cm)]]/5)),"N.S.")</f>
        <v>N.S.</v>
      </c>
      <c r="AM101" s="5" t="str">
        <f ca="1">alpha(HC[[#This Row],[nE]],HC[[#This Row],[d (cm)]],HC[[#This Row],[e (cm)]],HC[[#This Row],[ap,eq (cm)]])</f>
        <v>N.S.</v>
      </c>
      <c r="AN101" s="35" t="str">
        <f ca="1">IFERROR(HC[[#This Row],[Nsd (kN)]]/(HC[[#This Row],[Ap (cm²)]]*SIN(HC[[#This Row],[α]])^2),"N.S.")</f>
        <v>N.S.</v>
      </c>
      <c r="AO101" s="35" t="str">
        <f ca="1">IFERROR(HC[[#This Row],[Nsd (kN)]]/(HC[[#This Row],[nE]]*PI()*HC[[#This Row],[Ø (cm)]]^2/4*SIN(HC[[#This Row],[α]])^2),"N.S.")</f>
        <v>N.S.</v>
      </c>
      <c r="AP101" s="4" t="str">
        <f ca="1">IFERROR(INDEX(grupoEstacas[],HC[[#This Row],[nE]],MATCH("coef. Blévot",grupoEstacas[#Headers],0)),"N.S.")</f>
        <v>N.S.</v>
      </c>
      <c r="AQ101" s="35" t="str">
        <f ca="1">IFERROR(HC[[#This Row],[coef. Blévot]]*0.9*INDEX(tipoEstaca[],MATCH($D$2,tipoEstaca[TIPO DE ESTACA],0),MATCH("fcd (kN/cm²)",tipoEstaca[#Headers],0)),"N.S.")</f>
        <v>N.S.</v>
      </c>
      <c r="AR101" s="1" t="str">
        <f ca="1">IF(AND(HC[[#This Row],[cd,b,pil (kN/cm²)]]&lt;=HC[[#This Row],[cd,b,lim (kN/cm²)]],HC[[#This Row],[cd,b,est (kN/cm²)]]&lt;=HC[[#This Row],[cd,b,lim (kN/cm²)]]),"OK","ERRO")</f>
        <v>OK</v>
      </c>
      <c r="AS101" s="4" t="str">
        <f ca="1">As_lado(HC[[#This Row],[nE]],HC[[#This Row],[Nsd (kN)]],HC[[#This Row],[d (cm)]],HC[[#This Row],[e (cm)]],HC[[#This Row],[ap,eq (cm)]])</f>
        <v>N.S.</v>
      </c>
      <c r="AT101" s="4" t="str">
        <f ca="1">IF(HC[[#This Row],[nE]]=1,HC[[#This Row],[As,lado (cm²)]],IF(HC[[#This Row],[nE]]=2,0.075*2*HC[a (cm)],"N.A."))</f>
        <v>N.A.</v>
      </c>
      <c r="AU101" s="4" t="str">
        <f ca="1">IFERROR(IF(HC[[#This Row],[nE]]=1,"N.A.",0.2*HC[[#This Row],[As,lado (cm²)]]),"N.S.")</f>
        <v>N.S.</v>
      </c>
      <c r="AV101" s="4" t="str">
        <f ca="1">As_malha(HC[[#This Row],[nE]],HC[[#This Row],[As,lado (cm²)]],HC[[#This Row],[Nsd (kN)]])</f>
        <v>N.S.</v>
      </c>
      <c r="AW101" s="4" t="str">
        <f ca="1">As_susp_tot(HC[[#This Row],[nE]],HC[[#This Row],[Nsd (kN)]])</f>
        <v>N.S.</v>
      </c>
      <c r="AX101" s="4" t="str">
        <f ca="1">Asp_face(HC[[#This Row],[nE]],HC[[#This Row],[As,lado (cm²)]])</f>
        <v>N.S.</v>
      </c>
      <c r="AY101" s="5" t="str">
        <f ca="1">acoBloco(HC[[#This Row],[nE]],HC[[#This Row],[e (cm)]],HC[[#This Row],[a (cm)]],HC[[#This Row],[h (cm)]],HC[[#This Row],[As,lado (cm²)]],HC[[#This Row],[Asp e Asw (cm²/m)]],HC[[#This Row],[As,sup (cm²)]],HC[[#This Row],[As,malha (cm²)]],HC[[#This Row],[As,susp,tot (cm²)]],HC[[#This Row],[Asp,face (cm²)]])</f>
        <v>N.S.</v>
      </c>
      <c r="AZ101" s="4" t="str">
        <f ca="1">concretoBloco(HC[[#This Row],[nE]],HC[[#This Row],[e (cm)]],HC[[#This Row],[a (cm)]],HC[[#This Row],[h (cm)]])</f>
        <v>N.S.</v>
      </c>
      <c r="BA101" s="5">
        <f ca="1">SUM(HC[[#This Row],[Aço Est (kg)]],HC[[#This Row],[Aço Bloco (kg)]])</f>
        <v>15.783361491635119</v>
      </c>
      <c r="BB101" s="4">
        <f>INDEX(composicoes[],MATCH(95580,composicoes[CÓDIGO],0),MATCH("CUSTO TOTAL",composicoes[#Headers],0))</f>
        <v>10.46</v>
      </c>
      <c r="BC101" s="4">
        <f ca="1">SUM(HC[[#This Row],[Conc Est (m³)]],HC[[#This Row],[Conc Bloco (m³)]])</f>
        <v>10.555751316061706</v>
      </c>
      <c r="BD101" s="4">
        <f>INDEX(composicoes[],MATCH(94966,composicoes[CÓDIGO],0),MATCH("CUSTO TOTAL",composicoes[#Headers],0))</f>
        <v>439.52</v>
      </c>
      <c r="BE101" s="38">
        <f ca="1">HC[[#This Row],[Aço (kg)]]*HC[[#This Row],[Aço (R$/kg)]]+HC[[#This Row],[Conc (m³)]]*HC[[#This Row],[Conc (R$/m³)]]</f>
        <v>4804.5577796379439</v>
      </c>
      <c r="BF101" s="4" t="str">
        <f ca="1">IF(COUNTIF(HC[#This Row],"N.S.")&gt;0,"lim.","OK")</f>
        <v>lim.</v>
      </c>
      <c r="BG101" s="4" t="str">
        <f>IF(HC[[#This Row],[Prof. (m)]]&lt;4,"lim.","OK")</f>
        <v>OK</v>
      </c>
      <c r="BH101" s="4" t="str">
        <f>IF(HC[[#This Row],[Prof. (m)]]&gt;=8*HC[[#This Row],[Ø (cm)]]/100,"OK","lim.")</f>
        <v>OK</v>
      </c>
      <c r="BI101" s="4" t="str">
        <f ca="1">IF(HC[[#This Row],[Verif. Biela]]="OK","OK","lim.")</f>
        <v>OK</v>
      </c>
      <c r="BJ101" s="4" t="str">
        <f ca="1">IF(COUNTA(HC[[#This Row],[Nº Est.]:[Biela comp.]])=COUNTIF(HC[[#This Row],[Nº Est.]:[Biela comp.]],"OK"),"OK","lim.")</f>
        <v>lim.</v>
      </c>
      <c r="BK101" s="4" t="str">
        <f ca="1">IF(HC[[#This Row],[Controle]]="OK",HC[[#This Row],[nE]]&amp;" Ø"&amp;HC[[#This Row],[Ø (cm)]]&amp;"cm Prof. "&amp;HC[[#This Row],[Prof. (m)]]&amp;" m","")</f>
        <v/>
      </c>
      <c r="BL101" s="4" t="str">
        <f ca="1">IF(HC[[#This Row],[idDimensionamento]]="","",HC[[#This Row],[idPilar]]&amp;HC[[#This Row],[idDimensionamento]])</f>
        <v/>
      </c>
    </row>
    <row r="102" spans="2:64" x14ac:dyDescent="0.25">
      <c r="B102" s="12">
        <f>ROUNDUP((ROW(HC[[#This Row],[idDiâmetro]])-ROW(HC[[#Headers],[idDiâmetro]]))/(COUNT(SPT[Prof. (m)])*COUNT(PILARES[Pilar])),0)</f>
        <v>4</v>
      </c>
      <c r="C102" s="12">
        <f>IF(HC[[#This Row],[idDiâmetro]]&lt;&gt;B101,1,IF(HC[[#This Row],[Prof. (m)]]=0,C101+1,C101))</f>
        <v>1</v>
      </c>
      <c r="D102" s="1">
        <f>IFERROR(IF(D101=MAX(SPT[Prof. (m)]),0,D101+1),0)</f>
        <v>13</v>
      </c>
      <c r="E102" s="1">
        <f>INDEX(SPT[],MATCH(HC[[#This Row],[Prof. (m)]],SPT[Prof. (m)],0),2)</f>
        <v>68</v>
      </c>
      <c r="F102" s="1" t="str">
        <f>INDEX(SPT[],MATCH(HC[[#This Row],[Prof. (m)]],SPT[Prof. (m)],0),3)</f>
        <v>Areia siltosa</v>
      </c>
      <c r="G102" s="1">
        <f>INDEX(estacas[],HC[[#This Row],[idDiâmetro]],MATCH($B$2,estacas[#Headers],0))</f>
        <v>40</v>
      </c>
      <c r="H102" s="1">
        <f>INDEX(estacas[],MATCH(HC[[#This Row],[Ø (cm)]],estacas[Ø HC (cm)],0),MATCH(HC[[#Headers],[Pe HC (kN)]],estacas[#Headers],0))</f>
        <v>800</v>
      </c>
      <c r="I102" s="4">
        <f>INDEX(K_alpha_C[],MATCH(HC[[#This Row],[Solo]],K_alpha_C[Solo],0),2)</f>
        <v>0.8</v>
      </c>
      <c r="J102" s="5">
        <f>INDEX(K_alpha_C[],MATCH(HC[[#This Row],[Solo]],K_alpha_C[Solo],0),3)</f>
        <v>2</v>
      </c>
      <c r="K102" s="4">
        <f>INDEX(F1_F2[],MATCH($D$2,F1_F2[Tipo de estaca],0),2)</f>
        <v>2</v>
      </c>
      <c r="L102" s="4">
        <f>INDEX(F1_F2[],MATCH($D$2,F1_F2[Tipo de estaca],0),3)</f>
        <v>4</v>
      </c>
      <c r="M102" s="4">
        <f>PI()*(HC[[#This Row],[Ø (cm)]]/100)^2/4</f>
        <v>0.12566370614359174</v>
      </c>
      <c r="N102" s="4">
        <f>PI()*HC[[#This Row],[Ø (cm)]]/100</f>
        <v>1.2566370614359172</v>
      </c>
      <c r="O102" s="4">
        <f>IF(HC[[#This Row],[Prof. (m)]]=0,0,HC[[#This Row],[α (%)]]/100*HC[[#This Row],[K (MPa)]]*1000*HC[[#This Row],[NSPT]])</f>
        <v>1088</v>
      </c>
      <c r="P102" s="4">
        <f>IF(HC[[#This Row],[Prof. (m)]]=0,0,(HC[[#This Row],[K (MPa)]]*1000*HC[[#This Row],[NSPT]]/HC[[#This Row],[F1]]*HC[[#This Row],[Ap (m²)]]+HC[[#This Row],[U (m)]]/HC[[#This Row],[F2]]*SUMIFS(HC[(α∙K∙NL∙ΔL)],HC[Prof. (m)],"&lt;="&amp;HC[[#This Row],[Prof. (m)]],HC[idDiâmetro],HC[[#This Row],[idDiâmetro]],HC[idPilar],HC[[#This Row],[idPilar]]))/'DADOS CAP. CARGA'!$D$2)</f>
        <v>2416.497361178001</v>
      </c>
      <c r="Q102" s="12">
        <f>INDEX(C_alpha_beta[],MATCH(HC[[#This Row],[Solo]],C_alpha_beta[Solo],0),MATCH(HC[[#Headers],[C (kPa)]],C_alpha_beta[#Headers],0))</f>
        <v>400</v>
      </c>
      <c r="R102" s="4">
        <f>INDEX(C_alpha_beta[],MATCH(HC[[#This Row],[Solo]],C_alpha_beta[Solo],0),MATCH(HC[[#Headers],[α ESF]],C_alpha_beta[#Headers],0))</f>
        <v>0.5</v>
      </c>
      <c r="S102" s="4">
        <f>INDEX(C_alpha_beta[],MATCH(HC[[#This Row],[Solo]],C_alpha_beta[Solo],0),MATCH(HC[[#Headers],[β ESF]],C_alpha_beta[#Headers],0))</f>
        <v>0.5</v>
      </c>
      <c r="T102" s="4">
        <f>IF(HC[[#This Row],[Prof. (m)]]=0,0,10*(HC[[#This Row],[NSPT]]/3+1))</f>
        <v>236.66666666666669</v>
      </c>
      <c r="U102" s="4">
        <f>(HC[[#This Row],[α ESF]]*HC[[#This Row],[C (kPa)]]*HC[[#This Row],[NSPT]]*HC[[#This Row],[Ap (m²)]])/'DADOS CAP. CARGA'!$Q$2+(HC[[#This Row],[β ESF]]*SUMIFS(HC[10∙(NL/3+1)],HC[Prof. (m)],"&lt;="&amp;HC[[#This Row],[Prof. (m)]],HC[idDiâmetro],HC[[#This Row],[idDiâmetro]],HC[idPilar],HC[[#This Row],[idPilar]])*HC[[#This Row],[U (m)]])/'DADOS CAP. CARGA'!$S$2</f>
        <v>772.83179278308921</v>
      </c>
      <c r="V102" s="4">
        <f>IF(SPT!$M$5=1,MIN(HC[[#This Row],[Pe HC (kN)]],HC[[#This Row],[R_AV (kN)]]),IF(SPT!$M$5=2,MIN(HC[[#This Row],[Pe HC (kN)]],HC[[#This Row],[R_DC (kN)]]),MIN(HC[[#This Row],[Pe HC (kN)]],HC[[#This Row],[R_AV (kN)]],HC[[#This Row],[R_DC (kN)]])))</f>
        <v>772.83179278308921</v>
      </c>
      <c r="W102" s="4">
        <f>INDEX(PILARES[],HC[[#This Row],[idPilar]],MATCH("Carga (kN)",PILARES[#Headers],0))*1.4</f>
        <v>3500</v>
      </c>
      <c r="X102" s="12">
        <f>INDEX(PILARES[],HC[[#This Row],[idPilar]],MATCH(HC[[#Headers],[ap (cm)]],PILARES[#Headers],0))</f>
        <v>60</v>
      </c>
      <c r="Y102" s="12">
        <f>INDEX(PILARES[],HC[[#This Row],[idPilar]],MATCH(HC[[#Headers],[bp (cm)]],PILARES[#Headers],0))</f>
        <v>60</v>
      </c>
      <c r="Z102" s="4">
        <f>SQRT(HC[[#This Row],[ap (cm)]]*HC[[#This Row],[bp (cm)]])</f>
        <v>60</v>
      </c>
      <c r="AA102" s="12">
        <f>HC[[#This Row],[ap (cm)]]*HC[[#This Row],[bp (cm)]]</f>
        <v>3600</v>
      </c>
      <c r="AB102" s="12">
        <f ca="1">IF(HC[[#This Row],[Padm∙ε (kN)]]&gt;=HC[[#This Row],[Padm (kN)]],ROUNDUP(1.05*HC[[#This Row],[Nsd (kN)]]/HC[[#This Row],[Padm (kN)]],0),ROUNDUP(1.05*HC[[#This Row],[Nsd (kN)]]/HC[[#This Row],[Padm (kN)]],0)+1)</f>
        <v>5</v>
      </c>
      <c r="AC102" s="4" t="str">
        <f ca="1">IFERROR(IF(HC[[#This Row],[nE]]=1,HC[[#This Row],[Padm (kN)]],HC[[#This Row],[Padm (kN)]]*HC[[#This Row],[nE]]*INDEX(grupoEstacas[],HC[[#This Row],[nE]],MATCH("ε",grupoEstacas[#Headers],0))),"N.S.")</f>
        <v>N.S.</v>
      </c>
      <c r="AD102" s="4">
        <f ca="1">1.05*HC[[#This Row],[Nsd (kN)]]/(HC[[#This Row],[nE]]*PI()*HC[[#This Row],[Ø (cm)]]^2/4)*10</f>
        <v>5.8489441586271536</v>
      </c>
      <c r="AE102" s="4">
        <f ca="1">IF(HC[[#This Row],[σ (MPa)]]&lt;INDEX(tipoEstaca[],MATCH($D$2,tipoEstaca[TIPO DE ESTACA],0),MATCH("σmáx (MPa)",tipoEstaca[#Headers],0)),0.4%*PI()*HC[[#This Row],[Ø (cm)]]^2/4,"N.S.")</f>
        <v>5.026548245743669</v>
      </c>
      <c r="AF102" s="1">
        <f>INDEX(tipoEstaca[],MATCH($D$2,tipoEstaca[TIPO DE ESTACA],0),MATCH(HC[[#Headers],[Comprimento (m)]],tipoEstaca[#Headers],0))</f>
        <v>4</v>
      </c>
      <c r="AG102" s="5">
        <f ca="1">HC[[#This Row],[As,mín (cm²)]]/100^2*HC[[#This Row],[Comprimento (m)]]*7850</f>
        <v>15.783361491635119</v>
      </c>
      <c r="AH102" s="4">
        <f ca="1">HC[[#This Row],[nE]]*HC[[#This Row],[Prof. (m)]]*HC[[#This Row],[Ap (m²)]]</f>
        <v>8.1681408993334621</v>
      </c>
      <c r="AI102" s="1">
        <f ca="1">IF(HC[[#This Row],[nE]]=1,0,MAX(3*HC[[#This Row],[Ø (cm)]],60))</f>
        <v>120</v>
      </c>
      <c r="AJ102" s="1">
        <f ca="1">IF(HC[[#This Row],[nE]]=1,HC[[#This Row],[Ø (cm)]]+2*10,MAX(1.5*HC[[#This Row],[Ø (cm)]],HC[[#This Row],[Ø (cm)]]+15))</f>
        <v>60</v>
      </c>
      <c r="AK102" s="1" t="str">
        <f ca="1">alturaUtil(HC[[#This Row],[nE]],HC[[#This Row],[Ø (cm)]],HC[[#This Row],[e (cm)]],HC[[#This Row],[ap,eq (cm)]])</f>
        <v>N.S.</v>
      </c>
      <c r="AL102" s="1" t="str">
        <f ca="1">IFERROR(HC[[#This Row],[d (cm)]]+arredondarParaCimaMultiplo5cm(MAX(5,SQRT(PI())/2*HC[[#This Row],[Ø (cm)]]/5)),"N.S.")</f>
        <v>N.S.</v>
      </c>
      <c r="AM102" s="5" t="str">
        <f ca="1">alpha(HC[[#This Row],[nE]],HC[[#This Row],[d (cm)]],HC[[#This Row],[e (cm)]],HC[[#This Row],[ap,eq (cm)]])</f>
        <v>N.S.</v>
      </c>
      <c r="AN102" s="35" t="str">
        <f ca="1">IFERROR(HC[[#This Row],[Nsd (kN)]]/(HC[[#This Row],[Ap (cm²)]]*SIN(HC[[#This Row],[α]])^2),"N.S.")</f>
        <v>N.S.</v>
      </c>
      <c r="AO102" s="35" t="str">
        <f ca="1">IFERROR(HC[[#This Row],[Nsd (kN)]]/(HC[[#This Row],[nE]]*PI()*HC[[#This Row],[Ø (cm)]]^2/4*SIN(HC[[#This Row],[α]])^2),"N.S.")</f>
        <v>N.S.</v>
      </c>
      <c r="AP102" s="4" t="str">
        <f ca="1">IFERROR(INDEX(grupoEstacas[],HC[[#This Row],[nE]],MATCH("coef. Blévot",grupoEstacas[#Headers],0)),"N.S.")</f>
        <v>N.S.</v>
      </c>
      <c r="AQ102" s="35" t="str">
        <f ca="1">IFERROR(HC[[#This Row],[coef. Blévot]]*0.9*INDEX(tipoEstaca[],MATCH($D$2,tipoEstaca[TIPO DE ESTACA],0),MATCH("fcd (kN/cm²)",tipoEstaca[#Headers],0)),"N.S.")</f>
        <v>N.S.</v>
      </c>
      <c r="AR102" s="1" t="str">
        <f ca="1">IF(AND(HC[[#This Row],[cd,b,pil (kN/cm²)]]&lt;=HC[[#This Row],[cd,b,lim (kN/cm²)]],HC[[#This Row],[cd,b,est (kN/cm²)]]&lt;=HC[[#This Row],[cd,b,lim (kN/cm²)]]),"OK","ERRO")</f>
        <v>OK</v>
      </c>
      <c r="AS102" s="4" t="str">
        <f ca="1">As_lado(HC[[#This Row],[nE]],HC[[#This Row],[Nsd (kN)]],HC[[#This Row],[d (cm)]],HC[[#This Row],[e (cm)]],HC[[#This Row],[ap,eq (cm)]])</f>
        <v>N.S.</v>
      </c>
      <c r="AT102" s="4" t="str">
        <f ca="1">IF(HC[[#This Row],[nE]]=1,HC[[#This Row],[As,lado (cm²)]],IF(HC[[#This Row],[nE]]=2,0.075*2*HC[a (cm)],"N.A."))</f>
        <v>N.A.</v>
      </c>
      <c r="AU102" s="4" t="str">
        <f ca="1">IFERROR(IF(HC[[#This Row],[nE]]=1,"N.A.",0.2*HC[[#This Row],[As,lado (cm²)]]),"N.S.")</f>
        <v>N.S.</v>
      </c>
      <c r="AV102" s="4" t="str">
        <f ca="1">As_malha(HC[[#This Row],[nE]],HC[[#This Row],[As,lado (cm²)]],HC[[#This Row],[Nsd (kN)]])</f>
        <v>N.S.</v>
      </c>
      <c r="AW102" s="4" t="str">
        <f ca="1">As_susp_tot(HC[[#This Row],[nE]],HC[[#This Row],[Nsd (kN)]])</f>
        <v>N.S.</v>
      </c>
      <c r="AX102" s="4" t="str">
        <f ca="1">Asp_face(HC[[#This Row],[nE]],HC[[#This Row],[As,lado (cm²)]])</f>
        <v>N.S.</v>
      </c>
      <c r="AY102" s="5" t="str">
        <f ca="1">acoBloco(HC[[#This Row],[nE]],HC[[#This Row],[e (cm)]],HC[[#This Row],[a (cm)]],HC[[#This Row],[h (cm)]],HC[[#This Row],[As,lado (cm²)]],HC[[#This Row],[Asp e Asw (cm²/m)]],HC[[#This Row],[As,sup (cm²)]],HC[[#This Row],[As,malha (cm²)]],HC[[#This Row],[As,susp,tot (cm²)]],HC[[#This Row],[Asp,face (cm²)]])</f>
        <v>N.S.</v>
      </c>
      <c r="AZ102" s="4" t="str">
        <f ca="1">concretoBloco(HC[[#This Row],[nE]],HC[[#This Row],[e (cm)]],HC[[#This Row],[a (cm)]],HC[[#This Row],[h (cm)]])</f>
        <v>N.S.</v>
      </c>
      <c r="BA102" s="5">
        <f ca="1">SUM(HC[[#This Row],[Aço Est (kg)]],HC[[#This Row],[Aço Bloco (kg)]])</f>
        <v>15.783361491635119</v>
      </c>
      <c r="BB102" s="4">
        <f>INDEX(composicoes[],MATCH(95580,composicoes[CÓDIGO],0),MATCH("CUSTO TOTAL",composicoes[#Headers],0))</f>
        <v>10.46</v>
      </c>
      <c r="BC102" s="4">
        <f ca="1">SUM(HC[[#This Row],[Conc Est (m³)]],HC[[#This Row],[Conc Bloco (m³)]])</f>
        <v>8.1681408993334621</v>
      </c>
      <c r="BD102" s="4">
        <f>INDEX(composicoes[],MATCH(94966,composicoes[CÓDIGO],0),MATCH("CUSTO TOTAL",composicoes[#Headers],0))</f>
        <v>439.52</v>
      </c>
      <c r="BE102" s="38">
        <f ca="1">HC[[#This Row],[Aço (kg)]]*HC[[#This Row],[Aço (R$/kg)]]+HC[[#This Row],[Conc (m³)]]*HC[[#This Row],[Conc (R$/m³)]]</f>
        <v>3755.1552492775463</v>
      </c>
      <c r="BF102" s="4" t="str">
        <f ca="1">IF(COUNTIF(HC[#This Row],"N.S.")&gt;0,"lim.","OK")</f>
        <v>lim.</v>
      </c>
      <c r="BG102" s="4" t="str">
        <f>IF(HC[[#This Row],[Prof. (m)]]&lt;4,"lim.","OK")</f>
        <v>OK</v>
      </c>
      <c r="BH102" s="4" t="str">
        <f>IF(HC[[#This Row],[Prof. (m)]]&gt;=8*HC[[#This Row],[Ø (cm)]]/100,"OK","lim.")</f>
        <v>OK</v>
      </c>
      <c r="BI102" s="4" t="str">
        <f ca="1">IF(HC[[#This Row],[Verif. Biela]]="OK","OK","lim.")</f>
        <v>OK</v>
      </c>
      <c r="BJ102" s="4" t="str">
        <f ca="1">IF(COUNTA(HC[[#This Row],[Nº Est.]:[Biela comp.]])=COUNTIF(HC[[#This Row],[Nº Est.]:[Biela comp.]],"OK"),"OK","lim.")</f>
        <v>lim.</v>
      </c>
      <c r="BK102" s="4" t="str">
        <f ca="1">IF(HC[[#This Row],[Controle]]="OK",HC[[#This Row],[nE]]&amp;" Ø"&amp;HC[[#This Row],[Ø (cm)]]&amp;"cm Prof. "&amp;HC[[#This Row],[Prof. (m)]]&amp;" m","")</f>
        <v/>
      </c>
      <c r="BL102" s="4" t="str">
        <f ca="1">IF(HC[[#This Row],[idDimensionamento]]="","",HC[[#This Row],[idPilar]]&amp;HC[[#This Row],[idDimensionamento]])</f>
        <v/>
      </c>
    </row>
    <row r="103" spans="2:64" x14ac:dyDescent="0.25">
      <c r="B103" s="12">
        <f>ROUNDUP((ROW(HC[[#This Row],[idDiâmetro]])-ROW(HC[[#Headers],[idDiâmetro]]))/(COUNT(SPT[Prof. (m)])*COUNT(PILARES[Pilar])),0)</f>
        <v>4</v>
      </c>
      <c r="C103" s="12">
        <f>IF(HC[[#This Row],[idDiâmetro]]&lt;&gt;B102,1,IF(HC[[#This Row],[Prof. (m)]]=0,C102+1,C102))</f>
        <v>2</v>
      </c>
      <c r="D103" s="1">
        <f>IFERROR(IF(D102=MAX(SPT[Prof. (m)]),0,D102+1),0)</f>
        <v>0</v>
      </c>
      <c r="E103" s="1">
        <f>INDEX(SPT[],MATCH(HC[[#This Row],[Prof. (m)]],SPT[Prof. (m)],0),2)</f>
        <v>0</v>
      </c>
      <c r="F103" s="1" t="str">
        <f>INDEX(SPT[],MATCH(HC[[#This Row],[Prof. (m)]],SPT[Prof. (m)],0),3)</f>
        <v>Areia siltosa</v>
      </c>
      <c r="G103" s="1">
        <f>INDEX(estacas[],HC[[#This Row],[idDiâmetro]],MATCH($B$2,estacas[#Headers],0))</f>
        <v>40</v>
      </c>
      <c r="H103" s="1">
        <f>INDEX(estacas[],MATCH(HC[[#This Row],[Ø (cm)]],estacas[Ø HC (cm)],0),MATCH(HC[[#Headers],[Pe HC (kN)]],estacas[#Headers],0))</f>
        <v>800</v>
      </c>
      <c r="I103" s="4">
        <f>INDEX(K_alpha_C[],MATCH(HC[[#This Row],[Solo]],K_alpha_C[Solo],0),2)</f>
        <v>0.8</v>
      </c>
      <c r="J103" s="5">
        <f>INDEX(K_alpha_C[],MATCH(HC[[#This Row],[Solo]],K_alpha_C[Solo],0),3)</f>
        <v>2</v>
      </c>
      <c r="K103" s="4">
        <f>INDEX(F1_F2[],MATCH($D$2,F1_F2[Tipo de estaca],0),2)</f>
        <v>2</v>
      </c>
      <c r="L103" s="4">
        <f>INDEX(F1_F2[],MATCH($D$2,F1_F2[Tipo de estaca],0),3)</f>
        <v>4</v>
      </c>
      <c r="M103" s="4">
        <f>PI()*(HC[[#This Row],[Ø (cm)]]/100)^2/4</f>
        <v>0.12566370614359174</v>
      </c>
      <c r="N103" s="4">
        <f>PI()*HC[[#This Row],[Ø (cm)]]/100</f>
        <v>1.2566370614359172</v>
      </c>
      <c r="O103" s="4">
        <f>IF(HC[[#This Row],[Prof. (m)]]=0,0,HC[[#This Row],[α (%)]]/100*HC[[#This Row],[K (MPa)]]*1000*HC[[#This Row],[NSPT]])</f>
        <v>0</v>
      </c>
      <c r="P103" s="4">
        <f>IF(HC[[#This Row],[Prof. (m)]]=0,0,(HC[[#This Row],[K (MPa)]]*1000*HC[[#This Row],[NSPT]]/HC[[#This Row],[F1]]*HC[[#This Row],[Ap (m²)]]+HC[[#This Row],[U (m)]]/HC[[#This Row],[F2]]*SUMIFS(HC[(α∙K∙NL∙ΔL)],HC[Prof. (m)],"&lt;="&amp;HC[[#This Row],[Prof. (m)]],HC[idDiâmetro],HC[[#This Row],[idDiâmetro]],HC[idPilar],HC[[#This Row],[idPilar]]))/'DADOS CAP. CARGA'!$D$2)</f>
        <v>0</v>
      </c>
      <c r="Q103" s="12">
        <f>INDEX(C_alpha_beta[],MATCH(HC[[#This Row],[Solo]],C_alpha_beta[Solo],0),MATCH(HC[[#Headers],[C (kPa)]],C_alpha_beta[#Headers],0))</f>
        <v>400</v>
      </c>
      <c r="R103" s="4">
        <f>INDEX(C_alpha_beta[],MATCH(HC[[#This Row],[Solo]],C_alpha_beta[Solo],0),MATCH(HC[[#Headers],[α ESF]],C_alpha_beta[#Headers],0))</f>
        <v>0.5</v>
      </c>
      <c r="S103" s="4">
        <f>INDEX(C_alpha_beta[],MATCH(HC[[#This Row],[Solo]],C_alpha_beta[Solo],0),MATCH(HC[[#Headers],[β ESF]],C_alpha_beta[#Headers],0))</f>
        <v>0.5</v>
      </c>
      <c r="T103" s="4">
        <f>IF(HC[[#This Row],[Prof. (m)]]=0,0,10*(HC[[#This Row],[NSPT]]/3+1))</f>
        <v>0</v>
      </c>
      <c r="U103" s="4">
        <f>(HC[[#This Row],[α ESF]]*HC[[#This Row],[C (kPa)]]*HC[[#This Row],[NSPT]]*HC[[#This Row],[Ap (m²)]])/'DADOS CAP. CARGA'!$Q$2+(HC[[#This Row],[β ESF]]*SUMIFS(HC[10∙(NL/3+1)],HC[Prof. (m)],"&lt;="&amp;HC[[#This Row],[Prof. (m)]],HC[idDiâmetro],HC[[#This Row],[idDiâmetro]],HC[idPilar],HC[[#This Row],[idPilar]])*HC[[#This Row],[U (m)]])/'DADOS CAP. CARGA'!$S$2</f>
        <v>0</v>
      </c>
      <c r="V103" s="4">
        <f>IF(SPT!$M$5=1,MIN(HC[[#This Row],[Pe HC (kN)]],HC[[#This Row],[R_AV (kN)]]),IF(SPT!$M$5=2,MIN(HC[[#This Row],[Pe HC (kN)]],HC[[#This Row],[R_DC (kN)]]),MIN(HC[[#This Row],[Pe HC (kN)]],HC[[#This Row],[R_AV (kN)]],HC[[#This Row],[R_DC (kN)]])))</f>
        <v>0</v>
      </c>
      <c r="W103" s="4">
        <f>INDEX(PILARES[],HC[[#This Row],[idPilar]],MATCH("Carga (kN)",PILARES[#Headers],0))*1.4</f>
        <v>1750</v>
      </c>
      <c r="X103" s="12">
        <f>INDEX(PILARES[],HC[[#This Row],[idPilar]],MATCH(HC[[#Headers],[ap (cm)]],PILARES[#Headers],0))</f>
        <v>50</v>
      </c>
      <c r="Y103" s="12">
        <f>INDEX(PILARES[],HC[[#This Row],[idPilar]],MATCH(HC[[#Headers],[bp (cm)]],PILARES[#Headers],0))</f>
        <v>40</v>
      </c>
      <c r="Z103" s="4">
        <f>SQRT(HC[[#This Row],[ap (cm)]]*HC[[#This Row],[bp (cm)]])</f>
        <v>44.721359549995796</v>
      </c>
      <c r="AA103" s="12">
        <f>HC[[#This Row],[ap (cm)]]*HC[[#This Row],[bp (cm)]]</f>
        <v>2000</v>
      </c>
      <c r="AB103" s="12" t="e">
        <f ca="1">IF(HC[[#This Row],[Padm∙ε (kN)]]&gt;=HC[[#This Row],[Padm (kN)]],ROUNDUP(1.05*HC[[#This Row],[Nsd (kN)]]/HC[[#This Row],[Padm (kN)]],0),ROUNDUP(1.05*HC[[#This Row],[Nsd (kN)]]/HC[[#This Row],[Padm (kN)]],0)+1)</f>
        <v>#DIV/0!</v>
      </c>
      <c r="AC103" s="4" t="str">
        <f ca="1">IFERROR(IF(HC[[#This Row],[nE]]=1,HC[[#This Row],[Padm (kN)]],HC[[#This Row],[Padm (kN)]]*HC[[#This Row],[nE]]*INDEX(grupoEstacas[],HC[[#This Row],[nE]],MATCH("ε",grupoEstacas[#Headers],0))),"N.S.")</f>
        <v>N.S.</v>
      </c>
      <c r="AD103" s="4" t="e">
        <f ca="1">1.05*HC[[#This Row],[Nsd (kN)]]/(HC[[#This Row],[nE]]*PI()*HC[[#This Row],[Ø (cm)]]^2/4)*10</f>
        <v>#DIV/0!</v>
      </c>
      <c r="AE103" s="4" t="e">
        <f ca="1">IF(HC[[#This Row],[σ (MPa)]]&lt;INDEX(tipoEstaca[],MATCH($D$2,tipoEstaca[TIPO DE ESTACA],0),MATCH("σmáx (MPa)",tipoEstaca[#Headers],0)),0.4%*PI()*HC[[#This Row],[Ø (cm)]]^2/4,"N.S.")</f>
        <v>#DIV/0!</v>
      </c>
      <c r="AF103" s="1">
        <f>INDEX(tipoEstaca[],MATCH($D$2,tipoEstaca[TIPO DE ESTACA],0),MATCH(HC[[#Headers],[Comprimento (m)]],tipoEstaca[#Headers],0))</f>
        <v>4</v>
      </c>
      <c r="AG103" s="5" t="e">
        <f ca="1">HC[[#This Row],[As,mín (cm²)]]/100^2*HC[[#This Row],[Comprimento (m)]]*7850</f>
        <v>#DIV/0!</v>
      </c>
      <c r="AH103" s="4" t="e">
        <f ca="1">HC[[#This Row],[nE]]*HC[[#This Row],[Prof. (m)]]*HC[[#This Row],[Ap (m²)]]</f>
        <v>#DIV/0!</v>
      </c>
      <c r="AI103" s="1" t="e">
        <f ca="1">IF(HC[[#This Row],[nE]]=1,0,MAX(3*HC[[#This Row],[Ø (cm)]],60))</f>
        <v>#DIV/0!</v>
      </c>
      <c r="AJ103" s="1" t="e">
        <f ca="1">IF(HC[[#This Row],[nE]]=1,HC[[#This Row],[Ø (cm)]]+2*10,MAX(1.5*HC[[#This Row],[Ø (cm)]],HC[[#This Row],[Ø (cm)]]+15))</f>
        <v>#DIV/0!</v>
      </c>
      <c r="AK103" s="1" t="e">
        <f ca="1">alturaUtil(HC[[#This Row],[nE]],HC[[#This Row],[Ø (cm)]],HC[[#This Row],[e (cm)]],HC[[#This Row],[ap,eq (cm)]])</f>
        <v>#VALUE!</v>
      </c>
      <c r="AL103" s="1" t="str">
        <f ca="1">IFERROR(HC[[#This Row],[d (cm)]]+arredondarParaCimaMultiplo5cm(MAX(5,SQRT(PI())/2*HC[[#This Row],[Ø (cm)]]/5)),"N.S.")</f>
        <v>N.S.</v>
      </c>
      <c r="AM103" s="5" t="e">
        <f ca="1">alpha(HC[[#This Row],[nE]],HC[[#This Row],[d (cm)]],HC[[#This Row],[e (cm)]],HC[[#This Row],[ap,eq (cm)]])</f>
        <v>#VALUE!</v>
      </c>
      <c r="AN103" s="35" t="str">
        <f ca="1">IFERROR(HC[[#This Row],[Nsd (kN)]]/(HC[[#This Row],[Ap (cm²)]]*SIN(HC[[#This Row],[α]])^2),"N.S.")</f>
        <v>N.S.</v>
      </c>
      <c r="AO103" s="35" t="str">
        <f ca="1">IFERROR(HC[[#This Row],[Nsd (kN)]]/(HC[[#This Row],[nE]]*PI()*HC[[#This Row],[Ø (cm)]]^2/4*SIN(HC[[#This Row],[α]])^2),"N.S.")</f>
        <v>N.S.</v>
      </c>
      <c r="AP103" s="4" t="str">
        <f ca="1">IFERROR(INDEX(grupoEstacas[],HC[[#This Row],[nE]],MATCH("coef. Blévot",grupoEstacas[#Headers],0)),"N.S.")</f>
        <v>N.S.</v>
      </c>
      <c r="AQ103" s="35" t="str">
        <f ca="1">IFERROR(HC[[#This Row],[coef. Blévot]]*0.9*INDEX(tipoEstaca[],MATCH($D$2,tipoEstaca[TIPO DE ESTACA],0),MATCH("fcd (kN/cm²)",tipoEstaca[#Headers],0)),"N.S.")</f>
        <v>N.S.</v>
      </c>
      <c r="AR103" s="1" t="str">
        <f ca="1">IF(AND(HC[[#This Row],[cd,b,pil (kN/cm²)]]&lt;=HC[[#This Row],[cd,b,lim (kN/cm²)]],HC[[#This Row],[cd,b,est (kN/cm²)]]&lt;=HC[[#This Row],[cd,b,lim (kN/cm²)]]),"OK","ERRO")</f>
        <v>OK</v>
      </c>
      <c r="AS103" s="4" t="e">
        <f ca="1">As_lado(HC[[#This Row],[nE]],HC[[#This Row],[Nsd (kN)]],HC[[#This Row],[d (cm)]],HC[[#This Row],[e (cm)]],HC[[#This Row],[ap,eq (cm)]])</f>
        <v>#VALUE!</v>
      </c>
      <c r="AT103" s="4" t="e">
        <f ca="1">IF(HC[[#This Row],[nE]]=1,HC[[#This Row],[As,lado (cm²)]],IF(HC[[#This Row],[nE]]=2,0.075*2*HC[a (cm)],"N.A."))</f>
        <v>#DIV/0!</v>
      </c>
      <c r="AU103" s="4" t="str">
        <f ca="1">IFERROR(IF(HC[[#This Row],[nE]]=1,"N.A.",0.2*HC[[#This Row],[As,lado (cm²)]]),"N.S.")</f>
        <v>N.S.</v>
      </c>
      <c r="AV103" s="4" t="e">
        <f ca="1">As_malha(HC[[#This Row],[nE]],HC[[#This Row],[As,lado (cm²)]],HC[[#This Row],[Nsd (kN)]])</f>
        <v>#VALUE!</v>
      </c>
      <c r="AW103" s="4" t="e">
        <f ca="1">As_susp_tot(HC[[#This Row],[nE]],HC[[#This Row],[Nsd (kN)]])</f>
        <v>#VALUE!</v>
      </c>
      <c r="AX103" s="4" t="e">
        <f ca="1">Asp_face(HC[[#This Row],[nE]],HC[[#This Row],[As,lado (cm²)]])</f>
        <v>#VALUE!</v>
      </c>
      <c r="AY103" s="5" t="e">
        <f ca="1">acoBloco(HC[[#This Row],[nE]],HC[[#This Row],[e (cm)]],HC[[#This Row],[a (cm)]],HC[[#This Row],[h (cm)]],HC[[#This Row],[As,lado (cm²)]],HC[[#This Row],[Asp e Asw (cm²/m)]],HC[[#This Row],[As,sup (cm²)]],HC[[#This Row],[As,malha (cm²)]],HC[[#This Row],[As,susp,tot (cm²)]],HC[[#This Row],[Asp,face (cm²)]])</f>
        <v>#VALUE!</v>
      </c>
      <c r="AZ103" s="4" t="e">
        <f ca="1">concretoBloco(HC[[#This Row],[nE]],HC[[#This Row],[e (cm)]],HC[[#This Row],[a (cm)]],HC[[#This Row],[h (cm)]])</f>
        <v>#VALUE!</v>
      </c>
      <c r="BA103" s="5" t="e">
        <f ca="1">SUM(HC[[#This Row],[Aço Est (kg)]],HC[[#This Row],[Aço Bloco (kg)]])</f>
        <v>#DIV/0!</v>
      </c>
      <c r="BB103" s="4">
        <f>INDEX(composicoes[],MATCH(95580,composicoes[CÓDIGO],0),MATCH("CUSTO TOTAL",composicoes[#Headers],0))</f>
        <v>10.46</v>
      </c>
      <c r="BC103" s="4" t="e">
        <f ca="1">SUM(HC[[#This Row],[Conc Est (m³)]],HC[[#This Row],[Conc Bloco (m³)]])</f>
        <v>#DIV/0!</v>
      </c>
      <c r="BD103" s="4">
        <f>INDEX(composicoes[],MATCH(94966,composicoes[CÓDIGO],0),MATCH("CUSTO TOTAL",composicoes[#Headers],0))</f>
        <v>439.52</v>
      </c>
      <c r="BE103" s="38" t="e">
        <f ca="1">HC[[#This Row],[Aço (kg)]]*HC[[#This Row],[Aço (R$/kg)]]+HC[[#This Row],[Conc (m³)]]*HC[[#This Row],[Conc (R$/m³)]]</f>
        <v>#DIV/0!</v>
      </c>
      <c r="BF103" s="4" t="str">
        <f ca="1">IF(COUNTIF(HC[#This Row],"N.S.")&gt;0,"lim.","OK")</f>
        <v>lim.</v>
      </c>
      <c r="BG103" s="4" t="str">
        <f>IF(HC[[#This Row],[Prof. (m)]]&lt;4,"lim.","OK")</f>
        <v>lim.</v>
      </c>
      <c r="BH103" s="4" t="str">
        <f>IF(HC[[#This Row],[Prof. (m)]]&gt;=8*HC[[#This Row],[Ø (cm)]]/100,"OK","lim.")</f>
        <v>lim.</v>
      </c>
      <c r="BI103" s="4" t="str">
        <f ca="1">IF(HC[[#This Row],[Verif. Biela]]="OK","OK","lim.")</f>
        <v>OK</v>
      </c>
      <c r="BJ103" s="4" t="str">
        <f ca="1">IF(COUNTA(HC[[#This Row],[Nº Est.]:[Biela comp.]])=COUNTIF(HC[[#This Row],[Nº Est.]:[Biela comp.]],"OK"),"OK","lim.")</f>
        <v>lim.</v>
      </c>
      <c r="BK103" s="4" t="str">
        <f ca="1">IF(HC[[#This Row],[Controle]]="OK",HC[[#This Row],[nE]]&amp;" Ø"&amp;HC[[#This Row],[Ø (cm)]]&amp;"cm Prof. "&amp;HC[[#This Row],[Prof. (m)]]&amp;" m","")</f>
        <v/>
      </c>
      <c r="BL103" s="4" t="str">
        <f ca="1">IF(HC[[#This Row],[idDimensionamento]]="","",HC[[#This Row],[idPilar]]&amp;HC[[#This Row],[idDimensionamento]])</f>
        <v/>
      </c>
    </row>
    <row r="104" spans="2:64" x14ac:dyDescent="0.25">
      <c r="B104" s="12">
        <f>ROUNDUP((ROW(HC[[#This Row],[idDiâmetro]])-ROW(HC[[#Headers],[idDiâmetro]]))/(COUNT(SPT[Prof. (m)])*COUNT(PILARES[Pilar])),0)</f>
        <v>4</v>
      </c>
      <c r="C104" s="12">
        <f>IF(HC[[#This Row],[idDiâmetro]]&lt;&gt;B103,1,IF(HC[[#This Row],[Prof. (m)]]=0,C103+1,C103))</f>
        <v>2</v>
      </c>
      <c r="D104" s="1">
        <f>IFERROR(IF(D103=MAX(SPT[Prof. (m)]),0,D103+1),0)</f>
        <v>1</v>
      </c>
      <c r="E104" s="1">
        <f>INDEX(SPT[],MATCH(HC[[#This Row],[Prof. (m)]],SPT[Prof. (m)],0),2)</f>
        <v>2</v>
      </c>
      <c r="F104" s="1" t="str">
        <f>INDEX(SPT[],MATCH(HC[[#This Row],[Prof. (m)]],SPT[Prof. (m)],0),3)</f>
        <v>Areia siltosa</v>
      </c>
      <c r="G104" s="1">
        <f>INDEX(estacas[],HC[[#This Row],[idDiâmetro]],MATCH($B$2,estacas[#Headers],0))</f>
        <v>40</v>
      </c>
      <c r="H104" s="1">
        <f>INDEX(estacas[],MATCH(HC[[#This Row],[Ø (cm)]],estacas[Ø HC (cm)],0),MATCH(HC[[#Headers],[Pe HC (kN)]],estacas[#Headers],0))</f>
        <v>800</v>
      </c>
      <c r="I104" s="4">
        <f>INDEX(K_alpha_C[],MATCH(HC[[#This Row],[Solo]],K_alpha_C[Solo],0),2)</f>
        <v>0.8</v>
      </c>
      <c r="J104" s="5">
        <f>INDEX(K_alpha_C[],MATCH(HC[[#This Row],[Solo]],K_alpha_C[Solo],0),3)</f>
        <v>2</v>
      </c>
      <c r="K104" s="4">
        <f>INDEX(F1_F2[],MATCH($D$2,F1_F2[Tipo de estaca],0),2)</f>
        <v>2</v>
      </c>
      <c r="L104" s="4">
        <f>INDEX(F1_F2[],MATCH($D$2,F1_F2[Tipo de estaca],0),3)</f>
        <v>4</v>
      </c>
      <c r="M104" s="4">
        <f>PI()*(HC[[#This Row],[Ø (cm)]]/100)^2/4</f>
        <v>0.12566370614359174</v>
      </c>
      <c r="N104" s="4">
        <f>PI()*HC[[#This Row],[Ø (cm)]]/100</f>
        <v>1.2566370614359172</v>
      </c>
      <c r="O104" s="4">
        <f>IF(HC[[#This Row],[Prof. (m)]]=0,0,HC[[#This Row],[α (%)]]/100*HC[[#This Row],[K (MPa)]]*1000*HC[[#This Row],[NSPT]])</f>
        <v>32</v>
      </c>
      <c r="P104" s="4">
        <f>IF(HC[[#This Row],[Prof. (m)]]=0,0,(HC[[#This Row],[K (MPa)]]*1000*HC[[#This Row],[NSPT]]/HC[[#This Row],[F1]]*HC[[#This Row],[Ap (m²)]]+HC[[#This Row],[U (m)]]/HC[[#This Row],[F2]]*SUMIFS(HC[(α∙K∙NL∙ΔL)],HC[Prof. (m)],"&lt;="&amp;HC[[#This Row],[Prof. (m)]],HC[idDiâmetro],HC[[#This Row],[idDiâmetro]],HC[idPilar],HC[[#This Row],[idPilar]]))/'DADOS CAP. CARGA'!$D$2)</f>
        <v>55.292030703180366</v>
      </c>
      <c r="Q104" s="12">
        <f>INDEX(C_alpha_beta[],MATCH(HC[[#This Row],[Solo]],C_alpha_beta[Solo],0),MATCH(HC[[#Headers],[C (kPa)]],C_alpha_beta[#Headers],0))</f>
        <v>400</v>
      </c>
      <c r="R104" s="4">
        <f>INDEX(C_alpha_beta[],MATCH(HC[[#This Row],[Solo]],C_alpha_beta[Solo],0),MATCH(HC[[#Headers],[α ESF]],C_alpha_beta[#Headers],0))</f>
        <v>0.5</v>
      </c>
      <c r="S104" s="4">
        <f>INDEX(C_alpha_beta[],MATCH(HC[[#This Row],[Solo]],C_alpha_beta[Solo],0),MATCH(HC[[#Headers],[β ESF]],C_alpha_beta[#Headers],0))</f>
        <v>0.5</v>
      </c>
      <c r="T104" s="4">
        <f>IF(HC[[#This Row],[Prof. (m)]]=0,0,10*(HC[[#This Row],[NSPT]]/3+1))</f>
        <v>16.666666666666664</v>
      </c>
      <c r="U104" s="4">
        <f>(HC[[#This Row],[α ESF]]*HC[[#This Row],[C (kPa)]]*HC[[#This Row],[NSPT]]*HC[[#This Row],[Ap (m²)]])/'DADOS CAP. CARGA'!$Q$2+(HC[[#This Row],[β ESF]]*SUMIFS(HC[10∙(NL/3+1)],HC[Prof. (m)],"&lt;="&amp;HC[[#This Row],[Prof. (m)]],HC[idDiâmetro],HC[[#This Row],[idDiâmetro]],HC[idPilar],HC[[#This Row],[idPilar]])*HC[[#This Row],[U (m)]])/'DADOS CAP. CARGA'!$S$2</f>
        <v>17.802358370342162</v>
      </c>
      <c r="V104" s="4">
        <f>IF(SPT!$M$5=1,MIN(HC[[#This Row],[Pe HC (kN)]],HC[[#This Row],[R_AV (kN)]]),IF(SPT!$M$5=2,MIN(HC[[#This Row],[Pe HC (kN)]],HC[[#This Row],[R_DC (kN)]]),MIN(HC[[#This Row],[Pe HC (kN)]],HC[[#This Row],[R_AV (kN)]],HC[[#This Row],[R_DC (kN)]])))</f>
        <v>17.802358370342162</v>
      </c>
      <c r="W104" s="4">
        <f>INDEX(PILARES[],HC[[#This Row],[idPilar]],MATCH("Carga (kN)",PILARES[#Headers],0))*1.4</f>
        <v>1750</v>
      </c>
      <c r="X104" s="12">
        <f>INDEX(PILARES[],HC[[#This Row],[idPilar]],MATCH(HC[[#Headers],[ap (cm)]],PILARES[#Headers],0))</f>
        <v>50</v>
      </c>
      <c r="Y104" s="12">
        <f>INDEX(PILARES[],HC[[#This Row],[idPilar]],MATCH(HC[[#Headers],[bp (cm)]],PILARES[#Headers],0))</f>
        <v>40</v>
      </c>
      <c r="Z104" s="4">
        <f>SQRT(HC[[#This Row],[ap (cm)]]*HC[[#This Row],[bp (cm)]])</f>
        <v>44.721359549995796</v>
      </c>
      <c r="AA104" s="12">
        <f>HC[[#This Row],[ap (cm)]]*HC[[#This Row],[bp (cm)]]</f>
        <v>2000</v>
      </c>
      <c r="AB104" s="12">
        <f ca="1">IF(HC[[#This Row],[Padm∙ε (kN)]]&gt;=HC[[#This Row],[Padm (kN)]],ROUNDUP(1.05*HC[[#This Row],[Nsd (kN)]]/HC[[#This Row],[Padm (kN)]],0),ROUNDUP(1.05*HC[[#This Row],[Nsd (kN)]]/HC[[#This Row],[Padm (kN)]],0)+1)</f>
        <v>104</v>
      </c>
      <c r="AC104" s="4" t="str">
        <f ca="1">IFERROR(IF(HC[[#This Row],[nE]]=1,HC[[#This Row],[Padm (kN)]],HC[[#This Row],[Padm (kN)]]*HC[[#This Row],[nE]]*INDEX(grupoEstacas[],HC[[#This Row],[nE]],MATCH("ε",grupoEstacas[#Headers],0))),"N.S.")</f>
        <v>N.S.</v>
      </c>
      <c r="AD104" s="4">
        <f ca="1">1.05*HC[[#This Row],[Nsd (kN)]]/(HC[[#This Row],[nE]]*PI()*HC[[#This Row],[Ø (cm)]]^2/4)*10</f>
        <v>0.14059961919776812</v>
      </c>
      <c r="AE104" s="4">
        <f ca="1">IF(HC[[#This Row],[σ (MPa)]]&lt;INDEX(tipoEstaca[],MATCH($D$2,tipoEstaca[TIPO DE ESTACA],0),MATCH("σmáx (MPa)",tipoEstaca[#Headers],0)),0.4%*PI()*HC[[#This Row],[Ø (cm)]]^2/4,"N.S.")</f>
        <v>5.026548245743669</v>
      </c>
      <c r="AF104" s="1">
        <f>INDEX(tipoEstaca[],MATCH($D$2,tipoEstaca[TIPO DE ESTACA],0),MATCH(HC[[#Headers],[Comprimento (m)]],tipoEstaca[#Headers],0))</f>
        <v>4</v>
      </c>
      <c r="AG104" s="5">
        <f ca="1">HC[[#This Row],[As,mín (cm²)]]/100^2*HC[[#This Row],[Comprimento (m)]]*7850</f>
        <v>15.783361491635119</v>
      </c>
      <c r="AH104" s="4">
        <f ca="1">HC[[#This Row],[nE]]*HC[[#This Row],[Prof. (m)]]*HC[[#This Row],[Ap (m²)]]</f>
        <v>13.06902543893354</v>
      </c>
      <c r="AI104" s="1">
        <f ca="1">IF(HC[[#This Row],[nE]]=1,0,MAX(3*HC[[#This Row],[Ø (cm)]],60))</f>
        <v>120</v>
      </c>
      <c r="AJ104" s="1">
        <f ca="1">IF(HC[[#This Row],[nE]]=1,HC[[#This Row],[Ø (cm)]]+2*10,MAX(1.5*HC[[#This Row],[Ø (cm)]],HC[[#This Row],[Ø (cm)]]+15))</f>
        <v>60</v>
      </c>
      <c r="AK104" s="1" t="str">
        <f ca="1">alturaUtil(HC[[#This Row],[nE]],HC[[#This Row],[Ø (cm)]],HC[[#This Row],[e (cm)]],HC[[#This Row],[ap,eq (cm)]])</f>
        <v>N.S.</v>
      </c>
      <c r="AL104" s="1" t="str">
        <f ca="1">IFERROR(HC[[#This Row],[d (cm)]]+arredondarParaCimaMultiplo5cm(MAX(5,SQRT(PI())/2*HC[[#This Row],[Ø (cm)]]/5)),"N.S.")</f>
        <v>N.S.</v>
      </c>
      <c r="AM104" s="5" t="str">
        <f ca="1">alpha(HC[[#This Row],[nE]],HC[[#This Row],[d (cm)]],HC[[#This Row],[e (cm)]],HC[[#This Row],[ap,eq (cm)]])</f>
        <v>N.S.</v>
      </c>
      <c r="AN104" s="35" t="str">
        <f ca="1">IFERROR(HC[[#This Row],[Nsd (kN)]]/(HC[[#This Row],[Ap (cm²)]]*SIN(HC[[#This Row],[α]])^2),"N.S.")</f>
        <v>N.S.</v>
      </c>
      <c r="AO104" s="35" t="str">
        <f ca="1">IFERROR(HC[[#This Row],[Nsd (kN)]]/(HC[[#This Row],[nE]]*PI()*HC[[#This Row],[Ø (cm)]]^2/4*SIN(HC[[#This Row],[α]])^2),"N.S.")</f>
        <v>N.S.</v>
      </c>
      <c r="AP104" s="4" t="str">
        <f ca="1">IFERROR(INDEX(grupoEstacas[],HC[[#This Row],[nE]],MATCH("coef. Blévot",grupoEstacas[#Headers],0)),"N.S.")</f>
        <v>N.S.</v>
      </c>
      <c r="AQ104" s="35" t="str">
        <f ca="1">IFERROR(HC[[#This Row],[coef. Blévot]]*0.9*INDEX(tipoEstaca[],MATCH($D$2,tipoEstaca[TIPO DE ESTACA],0),MATCH("fcd (kN/cm²)",tipoEstaca[#Headers],0)),"N.S.")</f>
        <v>N.S.</v>
      </c>
      <c r="AR104" s="1" t="str">
        <f ca="1">IF(AND(HC[[#This Row],[cd,b,pil (kN/cm²)]]&lt;=HC[[#This Row],[cd,b,lim (kN/cm²)]],HC[[#This Row],[cd,b,est (kN/cm²)]]&lt;=HC[[#This Row],[cd,b,lim (kN/cm²)]]),"OK","ERRO")</f>
        <v>OK</v>
      </c>
      <c r="AS104" s="4" t="str">
        <f ca="1">As_lado(HC[[#This Row],[nE]],HC[[#This Row],[Nsd (kN)]],HC[[#This Row],[d (cm)]],HC[[#This Row],[e (cm)]],HC[[#This Row],[ap,eq (cm)]])</f>
        <v>N.S.</v>
      </c>
      <c r="AT104" s="4" t="str">
        <f ca="1">IF(HC[[#This Row],[nE]]=1,HC[[#This Row],[As,lado (cm²)]],IF(HC[[#This Row],[nE]]=2,0.075*2*HC[a (cm)],"N.A."))</f>
        <v>N.A.</v>
      </c>
      <c r="AU104" s="4" t="str">
        <f ca="1">IFERROR(IF(HC[[#This Row],[nE]]=1,"N.A.",0.2*HC[[#This Row],[As,lado (cm²)]]),"N.S.")</f>
        <v>N.S.</v>
      </c>
      <c r="AV104" s="4" t="str">
        <f ca="1">As_malha(HC[[#This Row],[nE]],HC[[#This Row],[As,lado (cm²)]],HC[[#This Row],[Nsd (kN)]])</f>
        <v>N.S.</v>
      </c>
      <c r="AW104" s="4" t="str">
        <f ca="1">As_susp_tot(HC[[#This Row],[nE]],HC[[#This Row],[Nsd (kN)]])</f>
        <v>N.S.</v>
      </c>
      <c r="AX104" s="4" t="str">
        <f ca="1">Asp_face(HC[[#This Row],[nE]],HC[[#This Row],[As,lado (cm²)]])</f>
        <v>N.S.</v>
      </c>
      <c r="AY104" s="5" t="str">
        <f ca="1">acoBloco(HC[[#This Row],[nE]],HC[[#This Row],[e (cm)]],HC[[#This Row],[a (cm)]],HC[[#This Row],[h (cm)]],HC[[#This Row],[As,lado (cm²)]],HC[[#This Row],[Asp e Asw (cm²/m)]],HC[[#This Row],[As,sup (cm²)]],HC[[#This Row],[As,malha (cm²)]],HC[[#This Row],[As,susp,tot (cm²)]],HC[[#This Row],[Asp,face (cm²)]])</f>
        <v>N.S.</v>
      </c>
      <c r="AZ104" s="4" t="str">
        <f ca="1">concretoBloco(HC[[#This Row],[nE]],HC[[#This Row],[e (cm)]],HC[[#This Row],[a (cm)]],HC[[#This Row],[h (cm)]])</f>
        <v>N.S.</v>
      </c>
      <c r="BA104" s="5">
        <f ca="1">SUM(HC[[#This Row],[Aço Est (kg)]],HC[[#This Row],[Aço Bloco (kg)]])</f>
        <v>15.783361491635119</v>
      </c>
      <c r="BB104" s="4">
        <f>INDEX(composicoes[],MATCH(95580,composicoes[CÓDIGO],0),MATCH("CUSTO TOTAL",composicoes[#Headers],0))</f>
        <v>10.46</v>
      </c>
      <c r="BC104" s="4">
        <f ca="1">SUM(HC[[#This Row],[Conc Est (m³)]],HC[[#This Row],[Conc Bloco (m³)]])</f>
        <v>13.06902543893354</v>
      </c>
      <c r="BD104" s="4">
        <f>INDEX(composicoes[],MATCH(94966,composicoes[CÓDIGO],0),MATCH("CUSTO TOTAL",composicoes[#Headers],0))</f>
        <v>439.52</v>
      </c>
      <c r="BE104" s="38">
        <f ca="1">HC[[#This Row],[Aço (kg)]]*HC[[#This Row],[Aço (R$/kg)]]+HC[[#This Row],[Conc (m³)]]*HC[[#This Row],[Conc (R$/m³)]]</f>
        <v>5909.1920221225728</v>
      </c>
      <c r="BF104" s="4" t="str">
        <f ca="1">IF(COUNTIF(HC[#This Row],"N.S.")&gt;0,"lim.","OK")</f>
        <v>lim.</v>
      </c>
      <c r="BG104" s="4" t="str">
        <f>IF(HC[[#This Row],[Prof. (m)]]&lt;4,"lim.","OK")</f>
        <v>lim.</v>
      </c>
      <c r="BH104" s="4" t="str">
        <f>IF(HC[[#This Row],[Prof. (m)]]&gt;=8*HC[[#This Row],[Ø (cm)]]/100,"OK","lim.")</f>
        <v>lim.</v>
      </c>
      <c r="BI104" s="4" t="str">
        <f ca="1">IF(HC[[#This Row],[Verif. Biela]]="OK","OK","lim.")</f>
        <v>OK</v>
      </c>
      <c r="BJ104" s="4" t="str">
        <f ca="1">IF(COUNTA(HC[[#This Row],[Nº Est.]:[Biela comp.]])=COUNTIF(HC[[#This Row],[Nº Est.]:[Biela comp.]],"OK"),"OK","lim.")</f>
        <v>lim.</v>
      </c>
      <c r="BK104" s="4" t="str">
        <f ca="1">IF(HC[[#This Row],[Controle]]="OK",HC[[#This Row],[nE]]&amp;" Ø"&amp;HC[[#This Row],[Ø (cm)]]&amp;"cm Prof. "&amp;HC[[#This Row],[Prof. (m)]]&amp;" m","")</f>
        <v/>
      </c>
      <c r="BL104" s="4" t="str">
        <f ca="1">IF(HC[[#This Row],[idDimensionamento]]="","",HC[[#This Row],[idPilar]]&amp;HC[[#This Row],[idDimensionamento]])</f>
        <v/>
      </c>
    </row>
    <row r="105" spans="2:64" x14ac:dyDescent="0.25">
      <c r="B105" s="12">
        <f>ROUNDUP((ROW(HC[[#This Row],[idDiâmetro]])-ROW(HC[[#Headers],[idDiâmetro]]))/(COUNT(SPT[Prof. (m)])*COUNT(PILARES[Pilar])),0)</f>
        <v>4</v>
      </c>
      <c r="C105" s="12">
        <f>IF(HC[[#This Row],[idDiâmetro]]&lt;&gt;B104,1,IF(HC[[#This Row],[Prof. (m)]]=0,C104+1,C104))</f>
        <v>2</v>
      </c>
      <c r="D105" s="1">
        <f>IFERROR(IF(D104=MAX(SPT[Prof. (m)]),0,D104+1),0)</f>
        <v>2</v>
      </c>
      <c r="E105" s="1">
        <f>INDEX(SPT[],MATCH(HC[[#This Row],[Prof. (m)]],SPT[Prof. (m)],0),2)</f>
        <v>2</v>
      </c>
      <c r="F105" s="1" t="str">
        <f>INDEX(SPT[],MATCH(HC[[#This Row],[Prof. (m)]],SPT[Prof. (m)],0),3)</f>
        <v>Areia siltosa</v>
      </c>
      <c r="G105" s="1">
        <f>INDEX(estacas[],HC[[#This Row],[idDiâmetro]],MATCH($B$2,estacas[#Headers],0))</f>
        <v>40</v>
      </c>
      <c r="H105" s="1">
        <f>INDEX(estacas[],MATCH(HC[[#This Row],[Ø (cm)]],estacas[Ø HC (cm)],0),MATCH(HC[[#Headers],[Pe HC (kN)]],estacas[#Headers],0))</f>
        <v>800</v>
      </c>
      <c r="I105" s="4">
        <f>INDEX(K_alpha_C[],MATCH(HC[[#This Row],[Solo]],K_alpha_C[Solo],0),2)</f>
        <v>0.8</v>
      </c>
      <c r="J105" s="5">
        <f>INDEX(K_alpha_C[],MATCH(HC[[#This Row],[Solo]],K_alpha_C[Solo],0),3)</f>
        <v>2</v>
      </c>
      <c r="K105" s="4">
        <f>INDEX(F1_F2[],MATCH($D$2,F1_F2[Tipo de estaca],0),2)</f>
        <v>2</v>
      </c>
      <c r="L105" s="4">
        <f>INDEX(F1_F2[],MATCH($D$2,F1_F2[Tipo de estaca],0),3)</f>
        <v>4</v>
      </c>
      <c r="M105" s="4">
        <f>PI()*(HC[[#This Row],[Ø (cm)]]/100)^2/4</f>
        <v>0.12566370614359174</v>
      </c>
      <c r="N105" s="4">
        <f>PI()*HC[[#This Row],[Ø (cm)]]/100</f>
        <v>1.2566370614359172</v>
      </c>
      <c r="O105" s="4">
        <f>IF(HC[[#This Row],[Prof. (m)]]=0,0,HC[[#This Row],[α (%)]]/100*HC[[#This Row],[K (MPa)]]*1000*HC[[#This Row],[NSPT]])</f>
        <v>32</v>
      </c>
      <c r="P105" s="4">
        <f>IF(HC[[#This Row],[Prof. (m)]]=0,0,(HC[[#This Row],[K (MPa)]]*1000*HC[[#This Row],[NSPT]]/HC[[#This Row],[F1]]*HC[[#This Row],[Ap (m²)]]+HC[[#This Row],[U (m)]]/HC[[#This Row],[F2]]*SUMIFS(HC[(α∙K∙NL∙ΔL)],HC[Prof. (m)],"&lt;="&amp;HC[[#This Row],[Prof. (m)]],HC[idDiâmetro],HC[[#This Row],[idDiâmetro]],HC[idPilar],HC[[#This Row],[idPilar]]))/'DADOS CAP. CARGA'!$D$2)</f>
        <v>60.318578948924035</v>
      </c>
      <c r="Q105" s="12">
        <f>INDEX(C_alpha_beta[],MATCH(HC[[#This Row],[Solo]],C_alpha_beta[Solo],0),MATCH(HC[[#Headers],[C (kPa)]],C_alpha_beta[#Headers],0))</f>
        <v>400</v>
      </c>
      <c r="R105" s="4">
        <f>INDEX(C_alpha_beta[],MATCH(HC[[#This Row],[Solo]],C_alpha_beta[Solo],0),MATCH(HC[[#Headers],[α ESF]],C_alpha_beta[#Headers],0))</f>
        <v>0.5</v>
      </c>
      <c r="S105" s="4">
        <f>INDEX(C_alpha_beta[],MATCH(HC[[#This Row],[Solo]],C_alpha_beta[Solo],0),MATCH(HC[[#Headers],[β ESF]],C_alpha_beta[#Headers],0))</f>
        <v>0.5</v>
      </c>
      <c r="T105" s="4">
        <f>IF(HC[[#This Row],[Prof. (m)]]=0,0,10*(HC[[#This Row],[NSPT]]/3+1))</f>
        <v>16.666666666666664</v>
      </c>
      <c r="U105" s="4">
        <f>(HC[[#This Row],[α ESF]]*HC[[#This Row],[C (kPa)]]*HC[[#This Row],[NSPT]]*HC[[#This Row],[Ap (m²)]])/'DADOS CAP. CARGA'!$Q$2+(HC[[#This Row],[β ESF]]*SUMIFS(HC[10∙(NL/3+1)],HC[Prof. (m)],"&lt;="&amp;HC[[#This Row],[Prof. (m)]],HC[idDiâmetro],HC[[#This Row],[idDiâmetro]],HC[idPilar],HC[[#This Row],[idPilar]])*HC[[#This Row],[U (m)]])/'DADOS CAP. CARGA'!$S$2</f>
        <v>23.038346126325152</v>
      </c>
      <c r="V105" s="4">
        <f>IF(SPT!$M$5=1,MIN(HC[[#This Row],[Pe HC (kN)]],HC[[#This Row],[R_AV (kN)]]),IF(SPT!$M$5=2,MIN(HC[[#This Row],[Pe HC (kN)]],HC[[#This Row],[R_DC (kN)]]),MIN(HC[[#This Row],[Pe HC (kN)]],HC[[#This Row],[R_AV (kN)]],HC[[#This Row],[R_DC (kN)]])))</f>
        <v>23.038346126325152</v>
      </c>
      <c r="W105" s="4">
        <f>INDEX(PILARES[],HC[[#This Row],[idPilar]],MATCH("Carga (kN)",PILARES[#Headers],0))*1.4</f>
        <v>1750</v>
      </c>
      <c r="X105" s="12">
        <f>INDEX(PILARES[],HC[[#This Row],[idPilar]],MATCH(HC[[#Headers],[ap (cm)]],PILARES[#Headers],0))</f>
        <v>50</v>
      </c>
      <c r="Y105" s="12">
        <f>INDEX(PILARES[],HC[[#This Row],[idPilar]],MATCH(HC[[#Headers],[bp (cm)]],PILARES[#Headers],0))</f>
        <v>40</v>
      </c>
      <c r="Z105" s="4">
        <f>SQRT(HC[[#This Row],[ap (cm)]]*HC[[#This Row],[bp (cm)]])</f>
        <v>44.721359549995796</v>
      </c>
      <c r="AA105" s="12">
        <f>HC[[#This Row],[ap (cm)]]*HC[[#This Row],[bp (cm)]]</f>
        <v>2000</v>
      </c>
      <c r="AB105" s="12">
        <f ca="1">IF(HC[[#This Row],[Padm∙ε (kN)]]&gt;=HC[[#This Row],[Padm (kN)]],ROUNDUP(1.05*HC[[#This Row],[Nsd (kN)]]/HC[[#This Row],[Padm (kN)]],0),ROUNDUP(1.05*HC[[#This Row],[Nsd (kN)]]/HC[[#This Row],[Padm (kN)]],0)+1)</f>
        <v>80</v>
      </c>
      <c r="AC105" s="4" t="str">
        <f ca="1">IFERROR(IF(HC[[#This Row],[nE]]=1,HC[[#This Row],[Padm (kN)]],HC[[#This Row],[Padm (kN)]]*HC[[#This Row],[nE]]*INDEX(grupoEstacas[],HC[[#This Row],[nE]],MATCH("ε",grupoEstacas[#Headers],0))),"N.S.")</f>
        <v>N.S.</v>
      </c>
      <c r="AD105" s="4">
        <f ca="1">1.05*HC[[#This Row],[Nsd (kN)]]/(HC[[#This Row],[nE]]*PI()*HC[[#This Row],[Ø (cm)]]^2/4)*10</f>
        <v>0.18277950495709855</v>
      </c>
      <c r="AE105" s="4">
        <f ca="1">IF(HC[[#This Row],[σ (MPa)]]&lt;INDEX(tipoEstaca[],MATCH($D$2,tipoEstaca[TIPO DE ESTACA],0),MATCH("σmáx (MPa)",tipoEstaca[#Headers],0)),0.4%*PI()*HC[[#This Row],[Ø (cm)]]^2/4,"N.S.")</f>
        <v>5.026548245743669</v>
      </c>
      <c r="AF105" s="1">
        <f>INDEX(tipoEstaca[],MATCH($D$2,tipoEstaca[TIPO DE ESTACA],0),MATCH(HC[[#Headers],[Comprimento (m)]],tipoEstaca[#Headers],0))</f>
        <v>4</v>
      </c>
      <c r="AG105" s="5">
        <f ca="1">HC[[#This Row],[As,mín (cm²)]]/100^2*HC[[#This Row],[Comprimento (m)]]*7850</f>
        <v>15.783361491635119</v>
      </c>
      <c r="AH105" s="4">
        <f ca="1">HC[[#This Row],[nE]]*HC[[#This Row],[Prof. (m)]]*HC[[#This Row],[Ap (m²)]]</f>
        <v>20.106192982974676</v>
      </c>
      <c r="AI105" s="1">
        <f ca="1">IF(HC[[#This Row],[nE]]=1,0,MAX(3*HC[[#This Row],[Ø (cm)]],60))</f>
        <v>120</v>
      </c>
      <c r="AJ105" s="1">
        <f ca="1">IF(HC[[#This Row],[nE]]=1,HC[[#This Row],[Ø (cm)]]+2*10,MAX(1.5*HC[[#This Row],[Ø (cm)]],HC[[#This Row],[Ø (cm)]]+15))</f>
        <v>60</v>
      </c>
      <c r="AK105" s="1" t="str">
        <f ca="1">alturaUtil(HC[[#This Row],[nE]],HC[[#This Row],[Ø (cm)]],HC[[#This Row],[e (cm)]],HC[[#This Row],[ap,eq (cm)]])</f>
        <v>N.S.</v>
      </c>
      <c r="AL105" s="1" t="str">
        <f ca="1">IFERROR(HC[[#This Row],[d (cm)]]+arredondarParaCimaMultiplo5cm(MAX(5,SQRT(PI())/2*HC[[#This Row],[Ø (cm)]]/5)),"N.S.")</f>
        <v>N.S.</v>
      </c>
      <c r="AM105" s="5" t="str">
        <f ca="1">alpha(HC[[#This Row],[nE]],HC[[#This Row],[d (cm)]],HC[[#This Row],[e (cm)]],HC[[#This Row],[ap,eq (cm)]])</f>
        <v>N.S.</v>
      </c>
      <c r="AN105" s="35" t="str">
        <f ca="1">IFERROR(HC[[#This Row],[Nsd (kN)]]/(HC[[#This Row],[Ap (cm²)]]*SIN(HC[[#This Row],[α]])^2),"N.S.")</f>
        <v>N.S.</v>
      </c>
      <c r="AO105" s="35" t="str">
        <f ca="1">IFERROR(HC[[#This Row],[Nsd (kN)]]/(HC[[#This Row],[nE]]*PI()*HC[[#This Row],[Ø (cm)]]^2/4*SIN(HC[[#This Row],[α]])^2),"N.S.")</f>
        <v>N.S.</v>
      </c>
      <c r="AP105" s="4" t="str">
        <f ca="1">IFERROR(INDEX(grupoEstacas[],HC[[#This Row],[nE]],MATCH("coef. Blévot",grupoEstacas[#Headers],0)),"N.S.")</f>
        <v>N.S.</v>
      </c>
      <c r="AQ105" s="35" t="str">
        <f ca="1">IFERROR(HC[[#This Row],[coef. Blévot]]*0.9*INDEX(tipoEstaca[],MATCH($D$2,tipoEstaca[TIPO DE ESTACA],0),MATCH("fcd (kN/cm²)",tipoEstaca[#Headers],0)),"N.S.")</f>
        <v>N.S.</v>
      </c>
      <c r="AR105" s="1" t="str">
        <f ca="1">IF(AND(HC[[#This Row],[cd,b,pil (kN/cm²)]]&lt;=HC[[#This Row],[cd,b,lim (kN/cm²)]],HC[[#This Row],[cd,b,est (kN/cm²)]]&lt;=HC[[#This Row],[cd,b,lim (kN/cm²)]]),"OK","ERRO")</f>
        <v>OK</v>
      </c>
      <c r="AS105" s="4" t="str">
        <f ca="1">As_lado(HC[[#This Row],[nE]],HC[[#This Row],[Nsd (kN)]],HC[[#This Row],[d (cm)]],HC[[#This Row],[e (cm)]],HC[[#This Row],[ap,eq (cm)]])</f>
        <v>N.S.</v>
      </c>
      <c r="AT105" s="4" t="str">
        <f ca="1">IF(HC[[#This Row],[nE]]=1,HC[[#This Row],[As,lado (cm²)]],IF(HC[[#This Row],[nE]]=2,0.075*2*HC[a (cm)],"N.A."))</f>
        <v>N.A.</v>
      </c>
      <c r="AU105" s="4" t="str">
        <f ca="1">IFERROR(IF(HC[[#This Row],[nE]]=1,"N.A.",0.2*HC[[#This Row],[As,lado (cm²)]]),"N.S.")</f>
        <v>N.S.</v>
      </c>
      <c r="AV105" s="4" t="str">
        <f ca="1">As_malha(HC[[#This Row],[nE]],HC[[#This Row],[As,lado (cm²)]],HC[[#This Row],[Nsd (kN)]])</f>
        <v>N.S.</v>
      </c>
      <c r="AW105" s="4" t="str">
        <f ca="1">As_susp_tot(HC[[#This Row],[nE]],HC[[#This Row],[Nsd (kN)]])</f>
        <v>N.S.</v>
      </c>
      <c r="AX105" s="4" t="str">
        <f ca="1">Asp_face(HC[[#This Row],[nE]],HC[[#This Row],[As,lado (cm²)]])</f>
        <v>N.S.</v>
      </c>
      <c r="AY105" s="5" t="str">
        <f ca="1">acoBloco(HC[[#This Row],[nE]],HC[[#This Row],[e (cm)]],HC[[#This Row],[a (cm)]],HC[[#This Row],[h (cm)]],HC[[#This Row],[As,lado (cm²)]],HC[[#This Row],[Asp e Asw (cm²/m)]],HC[[#This Row],[As,sup (cm²)]],HC[[#This Row],[As,malha (cm²)]],HC[[#This Row],[As,susp,tot (cm²)]],HC[[#This Row],[Asp,face (cm²)]])</f>
        <v>N.S.</v>
      </c>
      <c r="AZ105" s="4" t="str">
        <f ca="1">concretoBloco(HC[[#This Row],[nE]],HC[[#This Row],[e (cm)]],HC[[#This Row],[a (cm)]],HC[[#This Row],[h (cm)]])</f>
        <v>N.S.</v>
      </c>
      <c r="BA105" s="5">
        <f ca="1">SUM(HC[[#This Row],[Aço Est (kg)]],HC[[#This Row],[Aço Bloco (kg)]])</f>
        <v>15.783361491635119</v>
      </c>
      <c r="BB105" s="4">
        <f>INDEX(composicoes[],MATCH(95580,composicoes[CÓDIGO],0),MATCH("CUSTO TOTAL",composicoes[#Headers],0))</f>
        <v>10.46</v>
      </c>
      <c r="BC105" s="4">
        <f ca="1">SUM(HC[[#This Row],[Conc Est (m³)]],HC[[#This Row],[Conc Bloco (m³)]])</f>
        <v>20.106192982974676</v>
      </c>
      <c r="BD105" s="4">
        <f>INDEX(composicoes[],MATCH(94966,composicoes[CÓDIGO],0),MATCH("CUSTO TOTAL",composicoes[#Headers],0))</f>
        <v>439.52</v>
      </c>
      <c r="BE105" s="38">
        <f ca="1">HC[[#This Row],[Aço (kg)]]*HC[[#This Row],[Aço (R$/kg)]]+HC[[#This Row],[Conc (m³)]]*HC[[#This Row],[Conc (R$/m³)]]</f>
        <v>9002.1679010795324</v>
      </c>
      <c r="BF105" s="4" t="str">
        <f ca="1">IF(COUNTIF(HC[#This Row],"N.S.")&gt;0,"lim.","OK")</f>
        <v>lim.</v>
      </c>
      <c r="BG105" s="4" t="str">
        <f>IF(HC[[#This Row],[Prof. (m)]]&lt;4,"lim.","OK")</f>
        <v>lim.</v>
      </c>
      <c r="BH105" s="4" t="str">
        <f>IF(HC[[#This Row],[Prof. (m)]]&gt;=8*HC[[#This Row],[Ø (cm)]]/100,"OK","lim.")</f>
        <v>lim.</v>
      </c>
      <c r="BI105" s="4" t="str">
        <f ca="1">IF(HC[[#This Row],[Verif. Biela]]="OK","OK","lim.")</f>
        <v>OK</v>
      </c>
      <c r="BJ105" s="4" t="str">
        <f ca="1">IF(COUNTA(HC[[#This Row],[Nº Est.]:[Biela comp.]])=COUNTIF(HC[[#This Row],[Nº Est.]:[Biela comp.]],"OK"),"OK","lim.")</f>
        <v>lim.</v>
      </c>
      <c r="BK105" s="4" t="str">
        <f ca="1">IF(HC[[#This Row],[Controle]]="OK",HC[[#This Row],[nE]]&amp;" Ø"&amp;HC[[#This Row],[Ø (cm)]]&amp;"cm Prof. "&amp;HC[[#This Row],[Prof. (m)]]&amp;" m","")</f>
        <v/>
      </c>
      <c r="BL105" s="4" t="str">
        <f ca="1">IF(HC[[#This Row],[idDimensionamento]]="","",HC[[#This Row],[idPilar]]&amp;HC[[#This Row],[idDimensionamento]])</f>
        <v/>
      </c>
    </row>
    <row r="106" spans="2:64" x14ac:dyDescent="0.25">
      <c r="B106" s="12">
        <f>ROUNDUP((ROW(HC[[#This Row],[idDiâmetro]])-ROW(HC[[#Headers],[idDiâmetro]]))/(COUNT(SPT[Prof. (m)])*COUNT(PILARES[Pilar])),0)</f>
        <v>4</v>
      </c>
      <c r="C106" s="12">
        <f>IF(HC[[#This Row],[idDiâmetro]]&lt;&gt;B105,1,IF(HC[[#This Row],[Prof. (m)]]=0,C105+1,C105))</f>
        <v>2</v>
      </c>
      <c r="D106" s="1">
        <f>IFERROR(IF(D105=MAX(SPT[Prof. (m)]),0,D105+1),0)</f>
        <v>3</v>
      </c>
      <c r="E106" s="1">
        <f>INDEX(SPT[],MATCH(HC[[#This Row],[Prof. (m)]],SPT[Prof. (m)],0),2)</f>
        <v>4</v>
      </c>
      <c r="F106" s="1" t="str">
        <f>INDEX(SPT[],MATCH(HC[[#This Row],[Prof. (m)]],SPT[Prof. (m)],0),3)</f>
        <v>Areia siltosa</v>
      </c>
      <c r="G106" s="1">
        <f>INDEX(estacas[],HC[[#This Row],[idDiâmetro]],MATCH($B$2,estacas[#Headers],0))</f>
        <v>40</v>
      </c>
      <c r="H106" s="1">
        <f>INDEX(estacas[],MATCH(HC[[#This Row],[Ø (cm)]],estacas[Ø HC (cm)],0),MATCH(HC[[#Headers],[Pe HC (kN)]],estacas[#Headers],0))</f>
        <v>800</v>
      </c>
      <c r="I106" s="4">
        <f>INDEX(K_alpha_C[],MATCH(HC[[#This Row],[Solo]],K_alpha_C[Solo],0),2)</f>
        <v>0.8</v>
      </c>
      <c r="J106" s="5">
        <f>INDEX(K_alpha_C[],MATCH(HC[[#This Row],[Solo]],K_alpha_C[Solo],0),3)</f>
        <v>2</v>
      </c>
      <c r="K106" s="4">
        <f>INDEX(F1_F2[],MATCH($D$2,F1_F2[Tipo de estaca],0),2)</f>
        <v>2</v>
      </c>
      <c r="L106" s="4">
        <f>INDEX(F1_F2[],MATCH($D$2,F1_F2[Tipo de estaca],0),3)</f>
        <v>4</v>
      </c>
      <c r="M106" s="4">
        <f>PI()*(HC[[#This Row],[Ø (cm)]]/100)^2/4</f>
        <v>0.12566370614359174</v>
      </c>
      <c r="N106" s="4">
        <f>PI()*HC[[#This Row],[Ø (cm)]]/100</f>
        <v>1.2566370614359172</v>
      </c>
      <c r="O106" s="4">
        <f>IF(HC[[#This Row],[Prof. (m)]]=0,0,HC[[#This Row],[α (%)]]/100*HC[[#This Row],[K (MPa)]]*1000*HC[[#This Row],[NSPT]])</f>
        <v>64</v>
      </c>
      <c r="P106" s="4">
        <f>IF(HC[[#This Row],[Prof. (m)]]=0,0,(HC[[#This Row],[K (MPa)]]*1000*HC[[#This Row],[NSPT]]/HC[[#This Row],[F1]]*HC[[#This Row],[Ap (m²)]]+HC[[#This Row],[U (m)]]/HC[[#This Row],[F2]]*SUMIFS(HC[(α∙K∙NL∙ΔL)],HC[Prof. (m)],"&lt;="&amp;HC[[#This Row],[Prof. (m)]],HC[idDiâmetro],HC[[#This Row],[idDiâmetro]],HC[idPilar],HC[[#This Row],[idPilar]]))/'DADOS CAP. CARGA'!$D$2)</f>
        <v>120.63715789784807</v>
      </c>
      <c r="Q106" s="12">
        <f>INDEX(C_alpha_beta[],MATCH(HC[[#This Row],[Solo]],C_alpha_beta[Solo],0),MATCH(HC[[#Headers],[C (kPa)]],C_alpha_beta[#Headers],0))</f>
        <v>400</v>
      </c>
      <c r="R106" s="4">
        <f>INDEX(C_alpha_beta[],MATCH(HC[[#This Row],[Solo]],C_alpha_beta[Solo],0),MATCH(HC[[#Headers],[α ESF]],C_alpha_beta[#Headers],0))</f>
        <v>0.5</v>
      </c>
      <c r="S106" s="4">
        <f>INDEX(C_alpha_beta[],MATCH(HC[[#This Row],[Solo]],C_alpha_beta[Solo],0),MATCH(HC[[#Headers],[β ESF]],C_alpha_beta[#Headers],0))</f>
        <v>0.5</v>
      </c>
      <c r="T106" s="4">
        <f>IF(HC[[#This Row],[Prof. (m)]]=0,0,10*(HC[[#This Row],[NSPT]]/3+1))</f>
        <v>23.333333333333329</v>
      </c>
      <c r="U106" s="4">
        <f>(HC[[#This Row],[α ESF]]*HC[[#This Row],[C (kPa)]]*HC[[#This Row],[NSPT]]*HC[[#This Row],[Ap (m²)]])/'DADOS CAP. CARGA'!$Q$2+(HC[[#This Row],[β ESF]]*SUMIFS(HC[10∙(NL/3+1)],HC[Prof. (m)],"&lt;="&amp;HC[[#This Row],[Prof. (m)]],HC[idDiâmetro],HC[[#This Row],[idDiâmetro]],HC[idPilar],HC[[#This Row],[idPilar]])*HC[[#This Row],[U (m)]])/'DADOS CAP. CARGA'!$S$2</f>
        <v>42.935099599060507</v>
      </c>
      <c r="V106" s="4">
        <f>IF(SPT!$M$5=1,MIN(HC[[#This Row],[Pe HC (kN)]],HC[[#This Row],[R_AV (kN)]]),IF(SPT!$M$5=2,MIN(HC[[#This Row],[Pe HC (kN)]],HC[[#This Row],[R_DC (kN)]]),MIN(HC[[#This Row],[Pe HC (kN)]],HC[[#This Row],[R_AV (kN)]],HC[[#This Row],[R_DC (kN)]])))</f>
        <v>42.935099599060507</v>
      </c>
      <c r="W106" s="4">
        <f>INDEX(PILARES[],HC[[#This Row],[idPilar]],MATCH("Carga (kN)",PILARES[#Headers],0))*1.4</f>
        <v>1750</v>
      </c>
      <c r="X106" s="12">
        <f>INDEX(PILARES[],HC[[#This Row],[idPilar]],MATCH(HC[[#Headers],[ap (cm)]],PILARES[#Headers],0))</f>
        <v>50</v>
      </c>
      <c r="Y106" s="12">
        <f>INDEX(PILARES[],HC[[#This Row],[idPilar]],MATCH(HC[[#Headers],[bp (cm)]],PILARES[#Headers],0))</f>
        <v>40</v>
      </c>
      <c r="Z106" s="4">
        <f>SQRT(HC[[#This Row],[ap (cm)]]*HC[[#This Row],[bp (cm)]])</f>
        <v>44.721359549995796</v>
      </c>
      <c r="AA106" s="12">
        <f>HC[[#This Row],[ap (cm)]]*HC[[#This Row],[bp (cm)]]</f>
        <v>2000</v>
      </c>
      <c r="AB106" s="12">
        <f ca="1">IF(HC[[#This Row],[Padm∙ε (kN)]]&gt;=HC[[#This Row],[Padm (kN)]],ROUNDUP(1.05*HC[[#This Row],[Nsd (kN)]]/HC[[#This Row],[Padm (kN)]],0),ROUNDUP(1.05*HC[[#This Row],[Nsd (kN)]]/HC[[#This Row],[Padm (kN)]],0)+1)</f>
        <v>43</v>
      </c>
      <c r="AC106" s="4" t="str">
        <f ca="1">IFERROR(IF(HC[[#This Row],[nE]]=1,HC[[#This Row],[Padm (kN)]],HC[[#This Row],[Padm (kN)]]*HC[[#This Row],[nE]]*INDEX(grupoEstacas[],HC[[#This Row],[nE]],MATCH("ε",grupoEstacas[#Headers],0))),"N.S.")</f>
        <v>N.S.</v>
      </c>
      <c r="AD106" s="4">
        <f ca="1">1.05*HC[[#This Row],[Nsd (kN)]]/(HC[[#This Row],[nE]]*PI()*HC[[#This Row],[Ø (cm)]]^2/4)*10</f>
        <v>0.34005489294343916</v>
      </c>
      <c r="AE106" s="4">
        <f ca="1">IF(HC[[#This Row],[σ (MPa)]]&lt;INDEX(tipoEstaca[],MATCH($D$2,tipoEstaca[TIPO DE ESTACA],0),MATCH("σmáx (MPa)",tipoEstaca[#Headers],0)),0.4%*PI()*HC[[#This Row],[Ø (cm)]]^2/4,"N.S.")</f>
        <v>5.026548245743669</v>
      </c>
      <c r="AF106" s="1">
        <f>INDEX(tipoEstaca[],MATCH($D$2,tipoEstaca[TIPO DE ESTACA],0),MATCH(HC[[#Headers],[Comprimento (m)]],tipoEstaca[#Headers],0))</f>
        <v>4</v>
      </c>
      <c r="AG106" s="5">
        <f ca="1">HC[[#This Row],[As,mín (cm²)]]/100^2*HC[[#This Row],[Comprimento (m)]]*7850</f>
        <v>15.783361491635119</v>
      </c>
      <c r="AH106" s="4">
        <f ca="1">HC[[#This Row],[nE]]*HC[[#This Row],[Prof. (m)]]*HC[[#This Row],[Ap (m²)]]</f>
        <v>16.210618092523333</v>
      </c>
      <c r="AI106" s="1">
        <f ca="1">IF(HC[[#This Row],[nE]]=1,0,MAX(3*HC[[#This Row],[Ø (cm)]],60))</f>
        <v>120</v>
      </c>
      <c r="AJ106" s="1">
        <f ca="1">IF(HC[[#This Row],[nE]]=1,HC[[#This Row],[Ø (cm)]]+2*10,MAX(1.5*HC[[#This Row],[Ø (cm)]],HC[[#This Row],[Ø (cm)]]+15))</f>
        <v>60</v>
      </c>
      <c r="AK106" s="1" t="str">
        <f ca="1">alturaUtil(HC[[#This Row],[nE]],HC[[#This Row],[Ø (cm)]],HC[[#This Row],[e (cm)]],HC[[#This Row],[ap,eq (cm)]])</f>
        <v>N.S.</v>
      </c>
      <c r="AL106" s="1" t="str">
        <f ca="1">IFERROR(HC[[#This Row],[d (cm)]]+arredondarParaCimaMultiplo5cm(MAX(5,SQRT(PI())/2*HC[[#This Row],[Ø (cm)]]/5)),"N.S.")</f>
        <v>N.S.</v>
      </c>
      <c r="AM106" s="5" t="str">
        <f ca="1">alpha(HC[[#This Row],[nE]],HC[[#This Row],[d (cm)]],HC[[#This Row],[e (cm)]],HC[[#This Row],[ap,eq (cm)]])</f>
        <v>N.S.</v>
      </c>
      <c r="AN106" s="35" t="str">
        <f ca="1">IFERROR(HC[[#This Row],[Nsd (kN)]]/(HC[[#This Row],[Ap (cm²)]]*SIN(HC[[#This Row],[α]])^2),"N.S.")</f>
        <v>N.S.</v>
      </c>
      <c r="AO106" s="35" t="str">
        <f ca="1">IFERROR(HC[[#This Row],[Nsd (kN)]]/(HC[[#This Row],[nE]]*PI()*HC[[#This Row],[Ø (cm)]]^2/4*SIN(HC[[#This Row],[α]])^2),"N.S.")</f>
        <v>N.S.</v>
      </c>
      <c r="AP106" s="4" t="str">
        <f ca="1">IFERROR(INDEX(grupoEstacas[],HC[[#This Row],[nE]],MATCH("coef. Blévot",grupoEstacas[#Headers],0)),"N.S.")</f>
        <v>N.S.</v>
      </c>
      <c r="AQ106" s="35" t="str">
        <f ca="1">IFERROR(HC[[#This Row],[coef. Blévot]]*0.9*INDEX(tipoEstaca[],MATCH($D$2,tipoEstaca[TIPO DE ESTACA],0),MATCH("fcd (kN/cm²)",tipoEstaca[#Headers],0)),"N.S.")</f>
        <v>N.S.</v>
      </c>
      <c r="AR106" s="1" t="str">
        <f ca="1">IF(AND(HC[[#This Row],[cd,b,pil (kN/cm²)]]&lt;=HC[[#This Row],[cd,b,lim (kN/cm²)]],HC[[#This Row],[cd,b,est (kN/cm²)]]&lt;=HC[[#This Row],[cd,b,lim (kN/cm²)]]),"OK","ERRO")</f>
        <v>OK</v>
      </c>
      <c r="AS106" s="4" t="str">
        <f ca="1">As_lado(HC[[#This Row],[nE]],HC[[#This Row],[Nsd (kN)]],HC[[#This Row],[d (cm)]],HC[[#This Row],[e (cm)]],HC[[#This Row],[ap,eq (cm)]])</f>
        <v>N.S.</v>
      </c>
      <c r="AT106" s="4" t="str">
        <f ca="1">IF(HC[[#This Row],[nE]]=1,HC[[#This Row],[As,lado (cm²)]],IF(HC[[#This Row],[nE]]=2,0.075*2*HC[a (cm)],"N.A."))</f>
        <v>N.A.</v>
      </c>
      <c r="AU106" s="4" t="str">
        <f ca="1">IFERROR(IF(HC[[#This Row],[nE]]=1,"N.A.",0.2*HC[[#This Row],[As,lado (cm²)]]),"N.S.")</f>
        <v>N.S.</v>
      </c>
      <c r="AV106" s="4" t="str">
        <f ca="1">As_malha(HC[[#This Row],[nE]],HC[[#This Row],[As,lado (cm²)]],HC[[#This Row],[Nsd (kN)]])</f>
        <v>N.S.</v>
      </c>
      <c r="AW106" s="4" t="str">
        <f ca="1">As_susp_tot(HC[[#This Row],[nE]],HC[[#This Row],[Nsd (kN)]])</f>
        <v>N.S.</v>
      </c>
      <c r="AX106" s="4" t="str">
        <f ca="1">Asp_face(HC[[#This Row],[nE]],HC[[#This Row],[As,lado (cm²)]])</f>
        <v>N.S.</v>
      </c>
      <c r="AY106" s="5" t="str">
        <f ca="1">acoBloco(HC[[#This Row],[nE]],HC[[#This Row],[e (cm)]],HC[[#This Row],[a (cm)]],HC[[#This Row],[h (cm)]],HC[[#This Row],[As,lado (cm²)]],HC[[#This Row],[Asp e Asw (cm²/m)]],HC[[#This Row],[As,sup (cm²)]],HC[[#This Row],[As,malha (cm²)]],HC[[#This Row],[As,susp,tot (cm²)]],HC[[#This Row],[Asp,face (cm²)]])</f>
        <v>N.S.</v>
      </c>
      <c r="AZ106" s="4" t="str">
        <f ca="1">concretoBloco(HC[[#This Row],[nE]],HC[[#This Row],[e (cm)]],HC[[#This Row],[a (cm)]],HC[[#This Row],[h (cm)]])</f>
        <v>N.S.</v>
      </c>
      <c r="BA106" s="5">
        <f ca="1">SUM(HC[[#This Row],[Aço Est (kg)]],HC[[#This Row],[Aço Bloco (kg)]])</f>
        <v>15.783361491635119</v>
      </c>
      <c r="BB106" s="4">
        <f>INDEX(composicoes[],MATCH(95580,composicoes[CÓDIGO],0),MATCH("CUSTO TOTAL",composicoes[#Headers],0))</f>
        <v>10.46</v>
      </c>
      <c r="BC106" s="4">
        <f ca="1">SUM(HC[[#This Row],[Conc Est (m³)]],HC[[#This Row],[Conc Bloco (m³)]])</f>
        <v>16.210618092523333</v>
      </c>
      <c r="BD106" s="4">
        <f>INDEX(composicoes[],MATCH(94966,composicoes[CÓDIGO],0),MATCH("CUSTO TOTAL",composicoes[#Headers],0))</f>
        <v>439.52</v>
      </c>
      <c r="BE106" s="38">
        <f ca="1">HC[[#This Row],[Aço (kg)]]*HC[[#This Row],[Aço (R$/kg)]]+HC[[#This Row],[Conc (m³)]]*HC[[#This Row],[Conc (R$/m³)]]</f>
        <v>7289.9848252283582</v>
      </c>
      <c r="BF106" s="4" t="str">
        <f ca="1">IF(COUNTIF(HC[#This Row],"N.S.")&gt;0,"lim.","OK")</f>
        <v>lim.</v>
      </c>
      <c r="BG106" s="4" t="str">
        <f>IF(HC[[#This Row],[Prof. (m)]]&lt;4,"lim.","OK")</f>
        <v>lim.</v>
      </c>
      <c r="BH106" s="4" t="str">
        <f>IF(HC[[#This Row],[Prof. (m)]]&gt;=8*HC[[#This Row],[Ø (cm)]]/100,"OK","lim.")</f>
        <v>lim.</v>
      </c>
      <c r="BI106" s="4" t="str">
        <f ca="1">IF(HC[[#This Row],[Verif. Biela]]="OK","OK","lim.")</f>
        <v>OK</v>
      </c>
      <c r="BJ106" s="4" t="str">
        <f ca="1">IF(COUNTA(HC[[#This Row],[Nº Est.]:[Biela comp.]])=COUNTIF(HC[[#This Row],[Nº Est.]:[Biela comp.]],"OK"),"OK","lim.")</f>
        <v>lim.</v>
      </c>
      <c r="BK106" s="4" t="str">
        <f ca="1">IF(HC[[#This Row],[Controle]]="OK",HC[[#This Row],[nE]]&amp;" Ø"&amp;HC[[#This Row],[Ø (cm)]]&amp;"cm Prof. "&amp;HC[[#This Row],[Prof. (m)]]&amp;" m","")</f>
        <v/>
      </c>
      <c r="BL106" s="4" t="str">
        <f ca="1">IF(HC[[#This Row],[idDimensionamento]]="","",HC[[#This Row],[idPilar]]&amp;HC[[#This Row],[idDimensionamento]])</f>
        <v/>
      </c>
    </row>
    <row r="107" spans="2:64" x14ac:dyDescent="0.25">
      <c r="B107" s="12">
        <f>ROUNDUP((ROW(HC[[#This Row],[idDiâmetro]])-ROW(HC[[#Headers],[idDiâmetro]]))/(COUNT(SPT[Prof. (m)])*COUNT(PILARES[Pilar])),0)</f>
        <v>4</v>
      </c>
      <c r="C107" s="12">
        <f>IF(HC[[#This Row],[idDiâmetro]]&lt;&gt;B106,1,IF(HC[[#This Row],[Prof. (m)]]=0,C106+1,C106))</f>
        <v>2</v>
      </c>
      <c r="D107" s="1">
        <f>IFERROR(IF(D106=MAX(SPT[Prof. (m)]),0,D106+1),0)</f>
        <v>4</v>
      </c>
      <c r="E107" s="1">
        <f>INDEX(SPT[],MATCH(HC[[#This Row],[Prof. (m)]],SPT[Prof. (m)],0),2)</f>
        <v>8</v>
      </c>
      <c r="F107" s="1" t="str">
        <f>INDEX(SPT[],MATCH(HC[[#This Row],[Prof. (m)]],SPT[Prof. (m)],0),3)</f>
        <v>Areia siltosa</v>
      </c>
      <c r="G107" s="1">
        <f>INDEX(estacas[],HC[[#This Row],[idDiâmetro]],MATCH($B$2,estacas[#Headers],0))</f>
        <v>40</v>
      </c>
      <c r="H107" s="1">
        <f>INDEX(estacas[],MATCH(HC[[#This Row],[Ø (cm)]],estacas[Ø HC (cm)],0),MATCH(HC[[#Headers],[Pe HC (kN)]],estacas[#Headers],0))</f>
        <v>800</v>
      </c>
      <c r="I107" s="4">
        <f>INDEX(K_alpha_C[],MATCH(HC[[#This Row],[Solo]],K_alpha_C[Solo],0),2)</f>
        <v>0.8</v>
      </c>
      <c r="J107" s="5">
        <f>INDEX(K_alpha_C[],MATCH(HC[[#This Row],[Solo]],K_alpha_C[Solo],0),3)</f>
        <v>2</v>
      </c>
      <c r="K107" s="4">
        <f>INDEX(F1_F2[],MATCH($D$2,F1_F2[Tipo de estaca],0),2)</f>
        <v>2</v>
      </c>
      <c r="L107" s="4">
        <f>INDEX(F1_F2[],MATCH($D$2,F1_F2[Tipo de estaca],0),3)</f>
        <v>4</v>
      </c>
      <c r="M107" s="4">
        <f>PI()*(HC[[#This Row],[Ø (cm)]]/100)^2/4</f>
        <v>0.12566370614359174</v>
      </c>
      <c r="N107" s="4">
        <f>PI()*HC[[#This Row],[Ø (cm)]]/100</f>
        <v>1.2566370614359172</v>
      </c>
      <c r="O107" s="4">
        <f>IF(HC[[#This Row],[Prof. (m)]]=0,0,HC[[#This Row],[α (%)]]/100*HC[[#This Row],[K (MPa)]]*1000*HC[[#This Row],[NSPT]])</f>
        <v>128</v>
      </c>
      <c r="P107" s="4">
        <f>IF(HC[[#This Row],[Prof. (m)]]=0,0,(HC[[#This Row],[K (MPa)]]*1000*HC[[#This Row],[NSPT]]/HC[[#This Row],[F1]]*HC[[#This Row],[Ap (m²)]]+HC[[#This Row],[U (m)]]/HC[[#This Row],[F2]]*SUMIFS(HC[(α∙K∙NL∙ΔL)],HC[Prof. (m)],"&lt;="&amp;HC[[#This Row],[Prof. (m)]],HC[idDiâmetro],HC[[#This Row],[idDiâmetro]],HC[idPilar],HC[[#This Row],[idPilar]]))/'DADOS CAP. CARGA'!$D$2)</f>
        <v>241.27431579569614</v>
      </c>
      <c r="Q107" s="12">
        <f>INDEX(C_alpha_beta[],MATCH(HC[[#This Row],[Solo]],C_alpha_beta[Solo],0),MATCH(HC[[#Headers],[C (kPa)]],C_alpha_beta[#Headers],0))</f>
        <v>400</v>
      </c>
      <c r="R107" s="4">
        <f>INDEX(C_alpha_beta[],MATCH(HC[[#This Row],[Solo]],C_alpha_beta[Solo],0),MATCH(HC[[#Headers],[α ESF]],C_alpha_beta[#Headers],0))</f>
        <v>0.5</v>
      </c>
      <c r="S107" s="4">
        <f>INDEX(C_alpha_beta[],MATCH(HC[[#This Row],[Solo]],C_alpha_beta[Solo],0),MATCH(HC[[#Headers],[β ESF]],C_alpha_beta[#Headers],0))</f>
        <v>0.5</v>
      </c>
      <c r="T107" s="4">
        <f>IF(HC[[#This Row],[Prof. (m)]]=0,0,10*(HC[[#This Row],[NSPT]]/3+1))</f>
        <v>36.666666666666664</v>
      </c>
      <c r="U107" s="4">
        <f>(HC[[#This Row],[α ESF]]*HC[[#This Row],[C (kPa)]]*HC[[#This Row],[NSPT]]*HC[[#This Row],[Ap (m²)]])/'DADOS CAP. CARGA'!$Q$2+(HC[[#This Row],[β ESF]]*SUMIFS(HC[10∙(NL/3+1)],HC[Prof. (m)],"&lt;="&amp;HC[[#This Row],[Prof. (m)]],HC[idDiâmetro],HC[[#This Row],[idDiâmetro]],HC[idPilar],HC[[#This Row],[idPilar]])*HC[[#This Row],[U (m)]])/'DADOS CAP. CARGA'!$S$2</f>
        <v>79.587013890941421</v>
      </c>
      <c r="V107" s="4">
        <f>IF(SPT!$M$5=1,MIN(HC[[#This Row],[Pe HC (kN)]],HC[[#This Row],[R_AV (kN)]]),IF(SPT!$M$5=2,MIN(HC[[#This Row],[Pe HC (kN)]],HC[[#This Row],[R_DC (kN)]]),MIN(HC[[#This Row],[Pe HC (kN)]],HC[[#This Row],[R_AV (kN)]],HC[[#This Row],[R_DC (kN)]])))</f>
        <v>79.587013890941421</v>
      </c>
      <c r="W107" s="4">
        <f>INDEX(PILARES[],HC[[#This Row],[idPilar]],MATCH("Carga (kN)",PILARES[#Headers],0))*1.4</f>
        <v>1750</v>
      </c>
      <c r="X107" s="12">
        <f>INDEX(PILARES[],HC[[#This Row],[idPilar]],MATCH(HC[[#Headers],[ap (cm)]],PILARES[#Headers],0))</f>
        <v>50</v>
      </c>
      <c r="Y107" s="12">
        <f>INDEX(PILARES[],HC[[#This Row],[idPilar]],MATCH(HC[[#Headers],[bp (cm)]],PILARES[#Headers],0))</f>
        <v>40</v>
      </c>
      <c r="Z107" s="4">
        <f>SQRT(HC[[#This Row],[ap (cm)]]*HC[[#This Row],[bp (cm)]])</f>
        <v>44.721359549995796</v>
      </c>
      <c r="AA107" s="12">
        <f>HC[[#This Row],[ap (cm)]]*HC[[#This Row],[bp (cm)]]</f>
        <v>2000</v>
      </c>
      <c r="AB107" s="12">
        <f ca="1">IF(HC[[#This Row],[Padm∙ε (kN)]]&gt;=HC[[#This Row],[Padm (kN)]],ROUNDUP(1.05*HC[[#This Row],[Nsd (kN)]]/HC[[#This Row],[Padm (kN)]],0),ROUNDUP(1.05*HC[[#This Row],[Nsd (kN)]]/HC[[#This Row],[Padm (kN)]],0)+1)</f>
        <v>24</v>
      </c>
      <c r="AC107" s="4" t="str">
        <f ca="1">IFERROR(IF(HC[[#This Row],[nE]]=1,HC[[#This Row],[Padm (kN)]],HC[[#This Row],[Padm (kN)]]*HC[[#This Row],[nE]]*INDEX(grupoEstacas[],HC[[#This Row],[nE]],MATCH("ε",grupoEstacas[#Headers],0))),"N.S.")</f>
        <v>N.S.</v>
      </c>
      <c r="AD107" s="4">
        <f ca="1">1.05*HC[[#This Row],[Nsd (kN)]]/(HC[[#This Row],[nE]]*PI()*HC[[#This Row],[Ø (cm)]]^2/4)*10</f>
        <v>0.60926501652366194</v>
      </c>
      <c r="AE107" s="4">
        <f ca="1">IF(HC[[#This Row],[σ (MPa)]]&lt;INDEX(tipoEstaca[],MATCH($D$2,tipoEstaca[TIPO DE ESTACA],0),MATCH("σmáx (MPa)",tipoEstaca[#Headers],0)),0.4%*PI()*HC[[#This Row],[Ø (cm)]]^2/4,"N.S.")</f>
        <v>5.026548245743669</v>
      </c>
      <c r="AF107" s="1">
        <f>INDEX(tipoEstaca[],MATCH($D$2,tipoEstaca[TIPO DE ESTACA],0),MATCH(HC[[#Headers],[Comprimento (m)]],tipoEstaca[#Headers],0))</f>
        <v>4</v>
      </c>
      <c r="AG107" s="5">
        <f ca="1">HC[[#This Row],[As,mín (cm²)]]/100^2*HC[[#This Row],[Comprimento (m)]]*7850</f>
        <v>15.783361491635119</v>
      </c>
      <c r="AH107" s="4">
        <f ca="1">HC[[#This Row],[nE]]*HC[[#This Row],[Prof. (m)]]*HC[[#This Row],[Ap (m²)]]</f>
        <v>12.063715789784807</v>
      </c>
      <c r="AI107" s="1">
        <f ca="1">IF(HC[[#This Row],[nE]]=1,0,MAX(3*HC[[#This Row],[Ø (cm)]],60))</f>
        <v>120</v>
      </c>
      <c r="AJ107" s="1">
        <f ca="1">IF(HC[[#This Row],[nE]]=1,HC[[#This Row],[Ø (cm)]]+2*10,MAX(1.5*HC[[#This Row],[Ø (cm)]],HC[[#This Row],[Ø (cm)]]+15))</f>
        <v>60</v>
      </c>
      <c r="AK107" s="1" t="str">
        <f ca="1">alturaUtil(HC[[#This Row],[nE]],HC[[#This Row],[Ø (cm)]],HC[[#This Row],[e (cm)]],HC[[#This Row],[ap,eq (cm)]])</f>
        <v>N.S.</v>
      </c>
      <c r="AL107" s="1" t="str">
        <f ca="1">IFERROR(HC[[#This Row],[d (cm)]]+arredondarParaCimaMultiplo5cm(MAX(5,SQRT(PI())/2*HC[[#This Row],[Ø (cm)]]/5)),"N.S.")</f>
        <v>N.S.</v>
      </c>
      <c r="AM107" s="5" t="str">
        <f ca="1">alpha(HC[[#This Row],[nE]],HC[[#This Row],[d (cm)]],HC[[#This Row],[e (cm)]],HC[[#This Row],[ap,eq (cm)]])</f>
        <v>N.S.</v>
      </c>
      <c r="AN107" s="35" t="str">
        <f ca="1">IFERROR(HC[[#This Row],[Nsd (kN)]]/(HC[[#This Row],[Ap (cm²)]]*SIN(HC[[#This Row],[α]])^2),"N.S.")</f>
        <v>N.S.</v>
      </c>
      <c r="AO107" s="35" t="str">
        <f ca="1">IFERROR(HC[[#This Row],[Nsd (kN)]]/(HC[[#This Row],[nE]]*PI()*HC[[#This Row],[Ø (cm)]]^2/4*SIN(HC[[#This Row],[α]])^2),"N.S.")</f>
        <v>N.S.</v>
      </c>
      <c r="AP107" s="4" t="str">
        <f ca="1">IFERROR(INDEX(grupoEstacas[],HC[[#This Row],[nE]],MATCH("coef. Blévot",grupoEstacas[#Headers],0)),"N.S.")</f>
        <v>N.S.</v>
      </c>
      <c r="AQ107" s="35" t="str">
        <f ca="1">IFERROR(HC[[#This Row],[coef. Blévot]]*0.9*INDEX(tipoEstaca[],MATCH($D$2,tipoEstaca[TIPO DE ESTACA],0),MATCH("fcd (kN/cm²)",tipoEstaca[#Headers],0)),"N.S.")</f>
        <v>N.S.</v>
      </c>
      <c r="AR107" s="1" t="str">
        <f ca="1">IF(AND(HC[[#This Row],[cd,b,pil (kN/cm²)]]&lt;=HC[[#This Row],[cd,b,lim (kN/cm²)]],HC[[#This Row],[cd,b,est (kN/cm²)]]&lt;=HC[[#This Row],[cd,b,lim (kN/cm²)]]),"OK","ERRO")</f>
        <v>OK</v>
      </c>
      <c r="AS107" s="4" t="str">
        <f ca="1">As_lado(HC[[#This Row],[nE]],HC[[#This Row],[Nsd (kN)]],HC[[#This Row],[d (cm)]],HC[[#This Row],[e (cm)]],HC[[#This Row],[ap,eq (cm)]])</f>
        <v>N.S.</v>
      </c>
      <c r="AT107" s="4" t="str">
        <f ca="1">IF(HC[[#This Row],[nE]]=1,HC[[#This Row],[As,lado (cm²)]],IF(HC[[#This Row],[nE]]=2,0.075*2*HC[a (cm)],"N.A."))</f>
        <v>N.A.</v>
      </c>
      <c r="AU107" s="4" t="str">
        <f ca="1">IFERROR(IF(HC[[#This Row],[nE]]=1,"N.A.",0.2*HC[[#This Row],[As,lado (cm²)]]),"N.S.")</f>
        <v>N.S.</v>
      </c>
      <c r="AV107" s="4" t="str">
        <f ca="1">As_malha(HC[[#This Row],[nE]],HC[[#This Row],[As,lado (cm²)]],HC[[#This Row],[Nsd (kN)]])</f>
        <v>N.S.</v>
      </c>
      <c r="AW107" s="4" t="str">
        <f ca="1">As_susp_tot(HC[[#This Row],[nE]],HC[[#This Row],[Nsd (kN)]])</f>
        <v>N.S.</v>
      </c>
      <c r="AX107" s="4" t="str">
        <f ca="1">Asp_face(HC[[#This Row],[nE]],HC[[#This Row],[As,lado (cm²)]])</f>
        <v>N.S.</v>
      </c>
      <c r="AY107" s="5" t="str">
        <f ca="1">acoBloco(HC[[#This Row],[nE]],HC[[#This Row],[e (cm)]],HC[[#This Row],[a (cm)]],HC[[#This Row],[h (cm)]],HC[[#This Row],[As,lado (cm²)]],HC[[#This Row],[Asp e Asw (cm²/m)]],HC[[#This Row],[As,sup (cm²)]],HC[[#This Row],[As,malha (cm²)]],HC[[#This Row],[As,susp,tot (cm²)]],HC[[#This Row],[Asp,face (cm²)]])</f>
        <v>N.S.</v>
      </c>
      <c r="AZ107" s="4" t="str">
        <f ca="1">concretoBloco(HC[[#This Row],[nE]],HC[[#This Row],[e (cm)]],HC[[#This Row],[a (cm)]],HC[[#This Row],[h (cm)]])</f>
        <v>N.S.</v>
      </c>
      <c r="BA107" s="5">
        <f ca="1">SUM(HC[[#This Row],[Aço Est (kg)]],HC[[#This Row],[Aço Bloco (kg)]])</f>
        <v>15.783361491635119</v>
      </c>
      <c r="BB107" s="4">
        <f>INDEX(composicoes[],MATCH(95580,composicoes[CÓDIGO],0),MATCH("CUSTO TOTAL",composicoes[#Headers],0))</f>
        <v>10.46</v>
      </c>
      <c r="BC107" s="4">
        <f ca="1">SUM(HC[[#This Row],[Conc Est (m³)]],HC[[#This Row],[Conc Bloco (m³)]])</f>
        <v>12.063715789784807</v>
      </c>
      <c r="BD107" s="4">
        <f>INDEX(composicoes[],MATCH(94966,composicoes[CÓDIGO],0),MATCH("CUSTO TOTAL",composicoes[#Headers],0))</f>
        <v>439.52</v>
      </c>
      <c r="BE107" s="38">
        <f ca="1">HC[[#This Row],[Aço (kg)]]*HC[[#This Row],[Aço (R$/kg)]]+HC[[#This Row],[Conc (m³)]]*HC[[#This Row],[Conc (R$/m³)]]</f>
        <v>5467.3383251287214</v>
      </c>
      <c r="BF107" s="4" t="str">
        <f ca="1">IF(COUNTIF(HC[#This Row],"N.S.")&gt;0,"lim.","OK")</f>
        <v>lim.</v>
      </c>
      <c r="BG107" s="4" t="str">
        <f>IF(HC[[#This Row],[Prof. (m)]]&lt;4,"lim.","OK")</f>
        <v>OK</v>
      </c>
      <c r="BH107" s="4" t="str">
        <f>IF(HC[[#This Row],[Prof. (m)]]&gt;=8*HC[[#This Row],[Ø (cm)]]/100,"OK","lim.")</f>
        <v>OK</v>
      </c>
      <c r="BI107" s="4" t="str">
        <f ca="1">IF(HC[[#This Row],[Verif. Biela]]="OK","OK","lim.")</f>
        <v>OK</v>
      </c>
      <c r="BJ107" s="4" t="str">
        <f ca="1">IF(COUNTA(HC[[#This Row],[Nº Est.]:[Biela comp.]])=COUNTIF(HC[[#This Row],[Nº Est.]:[Biela comp.]],"OK"),"OK","lim.")</f>
        <v>lim.</v>
      </c>
      <c r="BK107" s="4" t="str">
        <f ca="1">IF(HC[[#This Row],[Controle]]="OK",HC[[#This Row],[nE]]&amp;" Ø"&amp;HC[[#This Row],[Ø (cm)]]&amp;"cm Prof. "&amp;HC[[#This Row],[Prof. (m)]]&amp;" m","")</f>
        <v/>
      </c>
      <c r="BL107" s="4" t="str">
        <f ca="1">IF(HC[[#This Row],[idDimensionamento]]="","",HC[[#This Row],[idPilar]]&amp;HC[[#This Row],[idDimensionamento]])</f>
        <v/>
      </c>
    </row>
    <row r="108" spans="2:64" x14ac:dyDescent="0.25">
      <c r="B108" s="12">
        <f>ROUNDUP((ROW(HC[[#This Row],[idDiâmetro]])-ROW(HC[[#Headers],[idDiâmetro]]))/(COUNT(SPT[Prof. (m)])*COUNT(PILARES[Pilar])),0)</f>
        <v>4</v>
      </c>
      <c r="C108" s="12">
        <f>IF(HC[[#This Row],[idDiâmetro]]&lt;&gt;B107,1,IF(HC[[#This Row],[Prof. (m)]]=0,C107+1,C107))</f>
        <v>2</v>
      </c>
      <c r="D108" s="1">
        <f>IFERROR(IF(D107=MAX(SPT[Prof. (m)]),0,D107+1),0)</f>
        <v>5</v>
      </c>
      <c r="E108" s="1">
        <f>INDEX(SPT[],MATCH(HC[[#This Row],[Prof. (m)]],SPT[Prof. (m)],0),2)</f>
        <v>17</v>
      </c>
      <c r="F108" s="1" t="str">
        <f>INDEX(SPT[],MATCH(HC[[#This Row],[Prof. (m)]],SPT[Prof. (m)],0),3)</f>
        <v>Areia siltosa</v>
      </c>
      <c r="G108" s="1">
        <f>INDEX(estacas[],HC[[#This Row],[idDiâmetro]],MATCH($B$2,estacas[#Headers],0))</f>
        <v>40</v>
      </c>
      <c r="H108" s="1">
        <f>INDEX(estacas[],MATCH(HC[[#This Row],[Ø (cm)]],estacas[Ø HC (cm)],0),MATCH(HC[[#Headers],[Pe HC (kN)]],estacas[#Headers],0))</f>
        <v>800</v>
      </c>
      <c r="I108" s="4">
        <f>INDEX(K_alpha_C[],MATCH(HC[[#This Row],[Solo]],K_alpha_C[Solo],0),2)</f>
        <v>0.8</v>
      </c>
      <c r="J108" s="5">
        <f>INDEX(K_alpha_C[],MATCH(HC[[#This Row],[Solo]],K_alpha_C[Solo],0),3)</f>
        <v>2</v>
      </c>
      <c r="K108" s="4">
        <f>INDEX(F1_F2[],MATCH($D$2,F1_F2[Tipo de estaca],0),2)</f>
        <v>2</v>
      </c>
      <c r="L108" s="4">
        <f>INDEX(F1_F2[],MATCH($D$2,F1_F2[Tipo de estaca],0),3)</f>
        <v>4</v>
      </c>
      <c r="M108" s="4">
        <f>PI()*(HC[[#This Row],[Ø (cm)]]/100)^2/4</f>
        <v>0.12566370614359174</v>
      </c>
      <c r="N108" s="4">
        <f>PI()*HC[[#This Row],[Ø (cm)]]/100</f>
        <v>1.2566370614359172</v>
      </c>
      <c r="O108" s="4">
        <f>IF(HC[[#This Row],[Prof. (m)]]=0,0,HC[[#This Row],[α (%)]]/100*HC[[#This Row],[K (MPa)]]*1000*HC[[#This Row],[NSPT]])</f>
        <v>272</v>
      </c>
      <c r="P108" s="4">
        <f>IF(HC[[#This Row],[Prof. (m)]]=0,0,(HC[[#This Row],[K (MPa)]]*1000*HC[[#This Row],[NSPT]]/HC[[#This Row],[F1]]*HC[[#This Row],[Ap (m²)]]+HC[[#This Row],[U (m)]]/HC[[#This Row],[F2]]*SUMIFS(HC[(α∙K∙NL∙ΔL)],HC[Prof. (m)],"&lt;="&amp;HC[[#This Row],[Prof. (m)]],HC[idDiâmetro],HC[[#This Row],[idDiâmetro]],HC[idPilar],HC[[#This Row],[idPilar]]))/'DADOS CAP. CARGA'!$D$2)</f>
        <v>510.19464694298244</v>
      </c>
      <c r="Q108" s="12">
        <f>INDEX(C_alpha_beta[],MATCH(HC[[#This Row],[Solo]],C_alpha_beta[Solo],0),MATCH(HC[[#Headers],[C (kPa)]],C_alpha_beta[#Headers],0))</f>
        <v>400</v>
      </c>
      <c r="R108" s="4">
        <f>INDEX(C_alpha_beta[],MATCH(HC[[#This Row],[Solo]],C_alpha_beta[Solo],0),MATCH(HC[[#Headers],[α ESF]],C_alpha_beta[#Headers],0))</f>
        <v>0.5</v>
      </c>
      <c r="S108" s="4">
        <f>INDEX(C_alpha_beta[],MATCH(HC[[#This Row],[Solo]],C_alpha_beta[Solo],0),MATCH(HC[[#Headers],[β ESF]],C_alpha_beta[#Headers],0))</f>
        <v>0.5</v>
      </c>
      <c r="T108" s="4">
        <f>IF(HC[[#This Row],[Prof. (m)]]=0,0,10*(HC[[#This Row],[NSPT]]/3+1))</f>
        <v>66.666666666666671</v>
      </c>
      <c r="U108" s="4">
        <f>(HC[[#This Row],[α ESF]]*HC[[#This Row],[C (kPa)]]*HC[[#This Row],[NSPT]]*HC[[#This Row],[Ap (m²)]])/'DADOS CAP. CARGA'!$Q$2+(HC[[#This Row],[β ESF]]*SUMIFS(HC[10∙(NL/3+1)],HC[Prof. (m)],"&lt;="&amp;HC[[#This Row],[Prof. (m)]],HC[idDiâmetro],HC[[#This Row],[idDiâmetro]],HC[idPilar],HC[[#This Row],[idPilar]])*HC[[#This Row],[U (m)]])/'DADOS CAP. CARGA'!$S$2</f>
        <v>157.07963267948966</v>
      </c>
      <c r="V108" s="4">
        <f>IF(SPT!$M$5=1,MIN(HC[[#This Row],[Pe HC (kN)]],HC[[#This Row],[R_AV (kN)]]),IF(SPT!$M$5=2,MIN(HC[[#This Row],[Pe HC (kN)]],HC[[#This Row],[R_DC (kN)]]),MIN(HC[[#This Row],[Pe HC (kN)]],HC[[#This Row],[R_AV (kN)]],HC[[#This Row],[R_DC (kN)]])))</f>
        <v>157.07963267948966</v>
      </c>
      <c r="W108" s="4">
        <f>INDEX(PILARES[],HC[[#This Row],[idPilar]],MATCH("Carga (kN)",PILARES[#Headers],0))*1.4</f>
        <v>1750</v>
      </c>
      <c r="X108" s="12">
        <f>INDEX(PILARES[],HC[[#This Row],[idPilar]],MATCH(HC[[#Headers],[ap (cm)]],PILARES[#Headers],0))</f>
        <v>50</v>
      </c>
      <c r="Y108" s="12">
        <f>INDEX(PILARES[],HC[[#This Row],[idPilar]],MATCH(HC[[#Headers],[bp (cm)]],PILARES[#Headers],0))</f>
        <v>40</v>
      </c>
      <c r="Z108" s="4">
        <f>SQRT(HC[[#This Row],[ap (cm)]]*HC[[#This Row],[bp (cm)]])</f>
        <v>44.721359549995796</v>
      </c>
      <c r="AA108" s="12">
        <f>HC[[#This Row],[ap (cm)]]*HC[[#This Row],[bp (cm)]]</f>
        <v>2000</v>
      </c>
      <c r="AB108" s="12">
        <f ca="1">IF(HC[[#This Row],[Padm∙ε (kN)]]&gt;=HC[[#This Row],[Padm (kN)]],ROUNDUP(1.05*HC[[#This Row],[Nsd (kN)]]/HC[[#This Row],[Padm (kN)]],0),ROUNDUP(1.05*HC[[#This Row],[Nsd (kN)]]/HC[[#This Row],[Padm (kN)]],0)+1)</f>
        <v>12</v>
      </c>
      <c r="AC108" s="4" t="str">
        <f ca="1">IFERROR(IF(HC[[#This Row],[nE]]=1,HC[[#This Row],[Padm (kN)]],HC[[#This Row],[Padm (kN)]]*HC[[#This Row],[nE]]*INDEX(grupoEstacas[],HC[[#This Row],[nE]],MATCH("ε",grupoEstacas[#Headers],0))),"N.S.")</f>
        <v>N.S.</v>
      </c>
      <c r="AD108" s="4">
        <f ca="1">1.05*HC[[#This Row],[Nsd (kN)]]/(HC[[#This Row],[nE]]*PI()*HC[[#This Row],[Ø (cm)]]^2/4)*10</f>
        <v>1.2185300330473239</v>
      </c>
      <c r="AE108" s="4">
        <f ca="1">IF(HC[[#This Row],[σ (MPa)]]&lt;INDEX(tipoEstaca[],MATCH($D$2,tipoEstaca[TIPO DE ESTACA],0),MATCH("σmáx (MPa)",tipoEstaca[#Headers],0)),0.4%*PI()*HC[[#This Row],[Ø (cm)]]^2/4,"N.S.")</f>
        <v>5.026548245743669</v>
      </c>
      <c r="AF108" s="1">
        <f>INDEX(tipoEstaca[],MATCH($D$2,tipoEstaca[TIPO DE ESTACA],0),MATCH(HC[[#Headers],[Comprimento (m)]],tipoEstaca[#Headers],0))</f>
        <v>4</v>
      </c>
      <c r="AG108" s="5">
        <f ca="1">HC[[#This Row],[As,mín (cm²)]]/100^2*HC[[#This Row],[Comprimento (m)]]*7850</f>
        <v>15.783361491635119</v>
      </c>
      <c r="AH108" s="4">
        <f ca="1">HC[[#This Row],[nE]]*HC[[#This Row],[Prof. (m)]]*HC[[#This Row],[Ap (m²)]]</f>
        <v>7.5398223686155044</v>
      </c>
      <c r="AI108" s="1">
        <f ca="1">IF(HC[[#This Row],[nE]]=1,0,MAX(3*HC[[#This Row],[Ø (cm)]],60))</f>
        <v>120</v>
      </c>
      <c r="AJ108" s="1">
        <f ca="1">IF(HC[[#This Row],[nE]]=1,HC[[#This Row],[Ø (cm)]]+2*10,MAX(1.5*HC[[#This Row],[Ø (cm)]],HC[[#This Row],[Ø (cm)]]+15))</f>
        <v>60</v>
      </c>
      <c r="AK108" s="1" t="str">
        <f ca="1">alturaUtil(HC[[#This Row],[nE]],HC[[#This Row],[Ø (cm)]],HC[[#This Row],[e (cm)]],HC[[#This Row],[ap,eq (cm)]])</f>
        <v>N.S.</v>
      </c>
      <c r="AL108" s="1" t="str">
        <f ca="1">IFERROR(HC[[#This Row],[d (cm)]]+arredondarParaCimaMultiplo5cm(MAX(5,SQRT(PI())/2*HC[[#This Row],[Ø (cm)]]/5)),"N.S.")</f>
        <v>N.S.</v>
      </c>
      <c r="AM108" s="5" t="str">
        <f ca="1">alpha(HC[[#This Row],[nE]],HC[[#This Row],[d (cm)]],HC[[#This Row],[e (cm)]],HC[[#This Row],[ap,eq (cm)]])</f>
        <v>N.S.</v>
      </c>
      <c r="AN108" s="35" t="str">
        <f ca="1">IFERROR(HC[[#This Row],[Nsd (kN)]]/(HC[[#This Row],[Ap (cm²)]]*SIN(HC[[#This Row],[α]])^2),"N.S.")</f>
        <v>N.S.</v>
      </c>
      <c r="AO108" s="35" t="str">
        <f ca="1">IFERROR(HC[[#This Row],[Nsd (kN)]]/(HC[[#This Row],[nE]]*PI()*HC[[#This Row],[Ø (cm)]]^2/4*SIN(HC[[#This Row],[α]])^2),"N.S.")</f>
        <v>N.S.</v>
      </c>
      <c r="AP108" s="4" t="str">
        <f ca="1">IFERROR(INDEX(grupoEstacas[],HC[[#This Row],[nE]],MATCH("coef. Blévot",grupoEstacas[#Headers],0)),"N.S.")</f>
        <v>N.S.</v>
      </c>
      <c r="AQ108" s="35" t="str">
        <f ca="1">IFERROR(HC[[#This Row],[coef. Blévot]]*0.9*INDEX(tipoEstaca[],MATCH($D$2,tipoEstaca[TIPO DE ESTACA],0),MATCH("fcd (kN/cm²)",tipoEstaca[#Headers],0)),"N.S.")</f>
        <v>N.S.</v>
      </c>
      <c r="AR108" s="1" t="str">
        <f ca="1">IF(AND(HC[[#This Row],[cd,b,pil (kN/cm²)]]&lt;=HC[[#This Row],[cd,b,lim (kN/cm²)]],HC[[#This Row],[cd,b,est (kN/cm²)]]&lt;=HC[[#This Row],[cd,b,lim (kN/cm²)]]),"OK","ERRO")</f>
        <v>OK</v>
      </c>
      <c r="AS108" s="4" t="str">
        <f ca="1">As_lado(HC[[#This Row],[nE]],HC[[#This Row],[Nsd (kN)]],HC[[#This Row],[d (cm)]],HC[[#This Row],[e (cm)]],HC[[#This Row],[ap,eq (cm)]])</f>
        <v>N.S.</v>
      </c>
      <c r="AT108" s="4" t="str">
        <f ca="1">IF(HC[[#This Row],[nE]]=1,HC[[#This Row],[As,lado (cm²)]],IF(HC[[#This Row],[nE]]=2,0.075*2*HC[a (cm)],"N.A."))</f>
        <v>N.A.</v>
      </c>
      <c r="AU108" s="4" t="str">
        <f ca="1">IFERROR(IF(HC[[#This Row],[nE]]=1,"N.A.",0.2*HC[[#This Row],[As,lado (cm²)]]),"N.S.")</f>
        <v>N.S.</v>
      </c>
      <c r="AV108" s="4" t="str">
        <f ca="1">As_malha(HC[[#This Row],[nE]],HC[[#This Row],[As,lado (cm²)]],HC[[#This Row],[Nsd (kN)]])</f>
        <v>N.S.</v>
      </c>
      <c r="AW108" s="4" t="str">
        <f ca="1">As_susp_tot(HC[[#This Row],[nE]],HC[[#This Row],[Nsd (kN)]])</f>
        <v>N.S.</v>
      </c>
      <c r="AX108" s="4" t="str">
        <f ca="1">Asp_face(HC[[#This Row],[nE]],HC[[#This Row],[As,lado (cm²)]])</f>
        <v>N.S.</v>
      </c>
      <c r="AY108" s="5" t="str">
        <f ca="1">acoBloco(HC[[#This Row],[nE]],HC[[#This Row],[e (cm)]],HC[[#This Row],[a (cm)]],HC[[#This Row],[h (cm)]],HC[[#This Row],[As,lado (cm²)]],HC[[#This Row],[Asp e Asw (cm²/m)]],HC[[#This Row],[As,sup (cm²)]],HC[[#This Row],[As,malha (cm²)]],HC[[#This Row],[As,susp,tot (cm²)]],HC[[#This Row],[Asp,face (cm²)]])</f>
        <v>N.S.</v>
      </c>
      <c r="AZ108" s="4" t="str">
        <f ca="1">concretoBloco(HC[[#This Row],[nE]],HC[[#This Row],[e (cm)]],HC[[#This Row],[a (cm)]],HC[[#This Row],[h (cm)]])</f>
        <v>N.S.</v>
      </c>
      <c r="BA108" s="5">
        <f ca="1">SUM(HC[[#This Row],[Aço Est (kg)]],HC[[#This Row],[Aço Bloco (kg)]])</f>
        <v>15.783361491635119</v>
      </c>
      <c r="BB108" s="4">
        <f>INDEX(composicoes[],MATCH(95580,composicoes[CÓDIGO],0),MATCH("CUSTO TOTAL",composicoes[#Headers],0))</f>
        <v>10.46</v>
      </c>
      <c r="BC108" s="4">
        <f ca="1">SUM(HC[[#This Row],[Conc Est (m³)]],HC[[#This Row],[Conc Bloco (m³)]])</f>
        <v>7.5398223686155044</v>
      </c>
      <c r="BD108" s="4">
        <f>INDEX(composicoes[],MATCH(94966,composicoes[CÓDIGO],0),MATCH("CUSTO TOTAL",composicoes[#Headers],0))</f>
        <v>439.52</v>
      </c>
      <c r="BE108" s="38">
        <f ca="1">HC[[#This Row],[Aço (kg)]]*HC[[#This Row],[Aço (R$/kg)]]+HC[[#This Row],[Conc (m³)]]*HC[[#This Row],[Conc (R$/m³)]]</f>
        <v>3478.9966886563898</v>
      </c>
      <c r="BF108" s="4" t="str">
        <f ca="1">IF(COUNTIF(HC[#This Row],"N.S.")&gt;0,"lim.","OK")</f>
        <v>lim.</v>
      </c>
      <c r="BG108" s="4" t="str">
        <f>IF(HC[[#This Row],[Prof. (m)]]&lt;4,"lim.","OK")</f>
        <v>OK</v>
      </c>
      <c r="BH108" s="4" t="str">
        <f>IF(HC[[#This Row],[Prof. (m)]]&gt;=8*HC[[#This Row],[Ø (cm)]]/100,"OK","lim.")</f>
        <v>OK</v>
      </c>
      <c r="BI108" s="4" t="str">
        <f ca="1">IF(HC[[#This Row],[Verif. Biela]]="OK","OK","lim.")</f>
        <v>OK</v>
      </c>
      <c r="BJ108" s="4" t="str">
        <f ca="1">IF(COUNTA(HC[[#This Row],[Nº Est.]:[Biela comp.]])=COUNTIF(HC[[#This Row],[Nº Est.]:[Biela comp.]],"OK"),"OK","lim.")</f>
        <v>lim.</v>
      </c>
      <c r="BK108" s="4" t="str">
        <f ca="1">IF(HC[[#This Row],[Controle]]="OK",HC[[#This Row],[nE]]&amp;" Ø"&amp;HC[[#This Row],[Ø (cm)]]&amp;"cm Prof. "&amp;HC[[#This Row],[Prof. (m)]]&amp;" m","")</f>
        <v/>
      </c>
      <c r="BL108" s="4" t="str">
        <f ca="1">IF(HC[[#This Row],[idDimensionamento]]="","",HC[[#This Row],[idPilar]]&amp;HC[[#This Row],[idDimensionamento]])</f>
        <v/>
      </c>
    </row>
    <row r="109" spans="2:64" x14ac:dyDescent="0.25">
      <c r="B109" s="12">
        <f>ROUNDUP((ROW(HC[[#This Row],[idDiâmetro]])-ROW(HC[[#Headers],[idDiâmetro]]))/(COUNT(SPT[Prof. (m)])*COUNT(PILARES[Pilar])),0)</f>
        <v>4</v>
      </c>
      <c r="C109" s="12">
        <f>IF(HC[[#This Row],[idDiâmetro]]&lt;&gt;B108,1,IF(HC[[#This Row],[Prof. (m)]]=0,C108+1,C108))</f>
        <v>2</v>
      </c>
      <c r="D109" s="1">
        <f>IFERROR(IF(D108=MAX(SPT[Prof. (m)]),0,D108+1),0)</f>
        <v>6</v>
      </c>
      <c r="E109" s="1">
        <f>INDEX(SPT[],MATCH(HC[[#This Row],[Prof. (m)]],SPT[Prof. (m)],0),2)</f>
        <v>21</v>
      </c>
      <c r="F109" s="1" t="str">
        <f>INDEX(SPT[],MATCH(HC[[#This Row],[Prof. (m)]],SPT[Prof. (m)],0),3)</f>
        <v>Silte arenoso</v>
      </c>
      <c r="G109" s="1">
        <f>INDEX(estacas[],HC[[#This Row],[idDiâmetro]],MATCH($B$2,estacas[#Headers],0))</f>
        <v>40</v>
      </c>
      <c r="H109" s="1">
        <f>INDEX(estacas[],MATCH(HC[[#This Row],[Ø (cm)]],estacas[Ø HC (cm)],0),MATCH(HC[[#Headers],[Pe HC (kN)]],estacas[#Headers],0))</f>
        <v>800</v>
      </c>
      <c r="I109" s="4">
        <f>INDEX(K_alpha_C[],MATCH(HC[[#This Row],[Solo]],K_alpha_C[Solo],0),2)</f>
        <v>0.55000000000000004</v>
      </c>
      <c r="J109" s="5">
        <f>INDEX(K_alpha_C[],MATCH(HC[[#This Row],[Solo]],K_alpha_C[Solo],0),3)</f>
        <v>2.2000000000000002</v>
      </c>
      <c r="K109" s="4">
        <f>INDEX(F1_F2[],MATCH($D$2,F1_F2[Tipo de estaca],0),2)</f>
        <v>2</v>
      </c>
      <c r="L109" s="4">
        <f>INDEX(F1_F2[],MATCH($D$2,F1_F2[Tipo de estaca],0),3)</f>
        <v>4</v>
      </c>
      <c r="M109" s="4">
        <f>PI()*(HC[[#This Row],[Ø (cm)]]/100)^2/4</f>
        <v>0.12566370614359174</v>
      </c>
      <c r="N109" s="4">
        <f>PI()*HC[[#This Row],[Ø (cm)]]/100</f>
        <v>1.2566370614359172</v>
      </c>
      <c r="O109" s="4">
        <f>IF(HC[[#This Row],[Prof. (m)]]=0,0,HC[[#This Row],[α (%)]]/100*HC[[#This Row],[K (MPa)]]*1000*HC[[#This Row],[NSPT]])</f>
        <v>254.10000000000002</v>
      </c>
      <c r="P109" s="4">
        <f>IF(HC[[#This Row],[Prof. (m)]]=0,0,(HC[[#This Row],[K (MPa)]]*1000*HC[[#This Row],[NSPT]]/HC[[#This Row],[F1]]*HC[[#This Row],[Ap (m²)]]+HC[[#This Row],[U (m)]]/HC[[#This Row],[F2]]*SUMIFS(HC[(α∙K∙NL∙ΔL)],HC[Prof. (m)],"&lt;="&amp;HC[[#This Row],[Prof. (m)]],HC[idDiâmetro],HC[[#This Row],[idDiâmetro]],HC[idPilar],HC[[#This Row],[idPilar]]))/'DADOS CAP. CARGA'!$D$2)</f>
        <v>485.70593220824998</v>
      </c>
      <c r="Q109" s="12">
        <f>INDEX(C_alpha_beta[],MATCH(HC[[#This Row],[Solo]],C_alpha_beta[Solo],0),MATCH(HC[[#Headers],[C (kPa)]],C_alpha_beta[#Headers],0))</f>
        <v>250</v>
      </c>
      <c r="R109" s="4">
        <f>INDEX(C_alpha_beta[],MATCH(HC[[#This Row],[Solo]],C_alpha_beta[Solo],0),MATCH(HC[[#Headers],[α ESF]],C_alpha_beta[#Headers],0))</f>
        <v>0.6</v>
      </c>
      <c r="S109" s="4">
        <f>INDEX(C_alpha_beta[],MATCH(HC[[#This Row],[Solo]],C_alpha_beta[Solo],0),MATCH(HC[[#Headers],[β ESF]],C_alpha_beta[#Headers],0))</f>
        <v>0.65</v>
      </c>
      <c r="T109" s="4">
        <f>IF(HC[[#This Row],[Prof. (m)]]=0,0,10*(HC[[#This Row],[NSPT]]/3+1))</f>
        <v>80</v>
      </c>
      <c r="U109" s="4">
        <f>(HC[[#This Row],[α ESF]]*HC[[#This Row],[C (kPa)]]*HC[[#This Row],[NSPT]]*HC[[#This Row],[Ap (m²)]])/'DADOS CAP. CARGA'!$Q$2+(HC[[#This Row],[β ESF]]*SUMIFS(HC[10∙(NL/3+1)],HC[Prof. (m)],"&lt;="&amp;HC[[#This Row],[Prof. (m)]],HC[idDiâmetro],HC[[#This Row],[idDiâmetro]],HC[idPilar],HC[[#This Row],[idPilar]])*HC[[#This Row],[U (m)]])/'DADOS CAP. CARGA'!$S$2</f>
        <v>196.97785938008002</v>
      </c>
      <c r="V109" s="4">
        <f>IF(SPT!$M$5=1,MIN(HC[[#This Row],[Pe HC (kN)]],HC[[#This Row],[R_AV (kN)]]),IF(SPT!$M$5=2,MIN(HC[[#This Row],[Pe HC (kN)]],HC[[#This Row],[R_DC (kN)]]),MIN(HC[[#This Row],[Pe HC (kN)]],HC[[#This Row],[R_AV (kN)]],HC[[#This Row],[R_DC (kN)]])))</f>
        <v>196.97785938008002</v>
      </c>
      <c r="W109" s="4">
        <f>INDEX(PILARES[],HC[[#This Row],[idPilar]],MATCH("Carga (kN)",PILARES[#Headers],0))*1.4</f>
        <v>1750</v>
      </c>
      <c r="X109" s="12">
        <f>INDEX(PILARES[],HC[[#This Row],[idPilar]],MATCH(HC[[#Headers],[ap (cm)]],PILARES[#Headers],0))</f>
        <v>50</v>
      </c>
      <c r="Y109" s="12">
        <f>INDEX(PILARES[],HC[[#This Row],[idPilar]],MATCH(HC[[#Headers],[bp (cm)]],PILARES[#Headers],0))</f>
        <v>40</v>
      </c>
      <c r="Z109" s="4">
        <f>SQRT(HC[[#This Row],[ap (cm)]]*HC[[#This Row],[bp (cm)]])</f>
        <v>44.721359549995796</v>
      </c>
      <c r="AA109" s="12">
        <f>HC[[#This Row],[ap (cm)]]*HC[[#This Row],[bp (cm)]]</f>
        <v>2000</v>
      </c>
      <c r="AB109" s="12">
        <f ca="1">IF(HC[[#This Row],[Padm∙ε (kN)]]&gt;=HC[[#This Row],[Padm (kN)]],ROUNDUP(1.05*HC[[#This Row],[Nsd (kN)]]/HC[[#This Row],[Padm (kN)]],0),ROUNDUP(1.05*HC[[#This Row],[Nsd (kN)]]/HC[[#This Row],[Padm (kN)]],0)+1)</f>
        <v>10</v>
      </c>
      <c r="AC109" s="4" t="str">
        <f ca="1">IFERROR(IF(HC[[#This Row],[nE]]=1,HC[[#This Row],[Padm (kN)]],HC[[#This Row],[Padm (kN)]]*HC[[#This Row],[nE]]*INDEX(grupoEstacas[],HC[[#This Row],[nE]],MATCH("ε",grupoEstacas[#Headers],0))),"N.S.")</f>
        <v>N.S.</v>
      </c>
      <c r="AD109" s="4">
        <f ca="1">1.05*HC[[#This Row],[Nsd (kN)]]/(HC[[#This Row],[nE]]*PI()*HC[[#This Row],[Ø (cm)]]^2/4)*10</f>
        <v>1.4622360396567884</v>
      </c>
      <c r="AE109" s="4">
        <f ca="1">IF(HC[[#This Row],[σ (MPa)]]&lt;INDEX(tipoEstaca[],MATCH($D$2,tipoEstaca[TIPO DE ESTACA],0),MATCH("σmáx (MPa)",tipoEstaca[#Headers],0)),0.4%*PI()*HC[[#This Row],[Ø (cm)]]^2/4,"N.S.")</f>
        <v>5.026548245743669</v>
      </c>
      <c r="AF109" s="1">
        <f>INDEX(tipoEstaca[],MATCH($D$2,tipoEstaca[TIPO DE ESTACA],0),MATCH(HC[[#Headers],[Comprimento (m)]],tipoEstaca[#Headers],0))</f>
        <v>4</v>
      </c>
      <c r="AG109" s="5">
        <f ca="1">HC[[#This Row],[As,mín (cm²)]]/100^2*HC[[#This Row],[Comprimento (m)]]*7850</f>
        <v>15.783361491635119</v>
      </c>
      <c r="AH109" s="4">
        <f ca="1">HC[[#This Row],[nE]]*HC[[#This Row],[Prof. (m)]]*HC[[#This Row],[Ap (m²)]]</f>
        <v>7.5398223686155044</v>
      </c>
      <c r="AI109" s="1">
        <f ca="1">IF(HC[[#This Row],[nE]]=1,0,MAX(3*HC[[#This Row],[Ø (cm)]],60))</f>
        <v>120</v>
      </c>
      <c r="AJ109" s="1">
        <f ca="1">IF(HC[[#This Row],[nE]]=1,HC[[#This Row],[Ø (cm)]]+2*10,MAX(1.5*HC[[#This Row],[Ø (cm)]],HC[[#This Row],[Ø (cm)]]+15))</f>
        <v>60</v>
      </c>
      <c r="AK109" s="1" t="str">
        <f ca="1">alturaUtil(HC[[#This Row],[nE]],HC[[#This Row],[Ø (cm)]],HC[[#This Row],[e (cm)]],HC[[#This Row],[ap,eq (cm)]])</f>
        <v>N.S.</v>
      </c>
      <c r="AL109" s="1" t="str">
        <f ca="1">IFERROR(HC[[#This Row],[d (cm)]]+arredondarParaCimaMultiplo5cm(MAX(5,SQRT(PI())/2*HC[[#This Row],[Ø (cm)]]/5)),"N.S.")</f>
        <v>N.S.</v>
      </c>
      <c r="AM109" s="5" t="str">
        <f ca="1">alpha(HC[[#This Row],[nE]],HC[[#This Row],[d (cm)]],HC[[#This Row],[e (cm)]],HC[[#This Row],[ap,eq (cm)]])</f>
        <v>N.S.</v>
      </c>
      <c r="AN109" s="35" t="str">
        <f ca="1">IFERROR(HC[[#This Row],[Nsd (kN)]]/(HC[[#This Row],[Ap (cm²)]]*SIN(HC[[#This Row],[α]])^2),"N.S.")</f>
        <v>N.S.</v>
      </c>
      <c r="AO109" s="35" t="str">
        <f ca="1">IFERROR(HC[[#This Row],[Nsd (kN)]]/(HC[[#This Row],[nE]]*PI()*HC[[#This Row],[Ø (cm)]]^2/4*SIN(HC[[#This Row],[α]])^2),"N.S.")</f>
        <v>N.S.</v>
      </c>
      <c r="AP109" s="4" t="str">
        <f ca="1">IFERROR(INDEX(grupoEstacas[],HC[[#This Row],[nE]],MATCH("coef. Blévot",grupoEstacas[#Headers],0)),"N.S.")</f>
        <v>N.S.</v>
      </c>
      <c r="AQ109" s="35" t="str">
        <f ca="1">IFERROR(HC[[#This Row],[coef. Blévot]]*0.9*INDEX(tipoEstaca[],MATCH($D$2,tipoEstaca[TIPO DE ESTACA],0),MATCH("fcd (kN/cm²)",tipoEstaca[#Headers],0)),"N.S.")</f>
        <v>N.S.</v>
      </c>
      <c r="AR109" s="1" t="str">
        <f ca="1">IF(AND(HC[[#This Row],[cd,b,pil (kN/cm²)]]&lt;=HC[[#This Row],[cd,b,lim (kN/cm²)]],HC[[#This Row],[cd,b,est (kN/cm²)]]&lt;=HC[[#This Row],[cd,b,lim (kN/cm²)]]),"OK","ERRO")</f>
        <v>OK</v>
      </c>
      <c r="AS109" s="4" t="str">
        <f ca="1">As_lado(HC[[#This Row],[nE]],HC[[#This Row],[Nsd (kN)]],HC[[#This Row],[d (cm)]],HC[[#This Row],[e (cm)]],HC[[#This Row],[ap,eq (cm)]])</f>
        <v>N.S.</v>
      </c>
      <c r="AT109" s="4" t="str">
        <f ca="1">IF(HC[[#This Row],[nE]]=1,HC[[#This Row],[As,lado (cm²)]],IF(HC[[#This Row],[nE]]=2,0.075*2*HC[a (cm)],"N.A."))</f>
        <v>N.A.</v>
      </c>
      <c r="AU109" s="4" t="str">
        <f ca="1">IFERROR(IF(HC[[#This Row],[nE]]=1,"N.A.",0.2*HC[[#This Row],[As,lado (cm²)]]),"N.S.")</f>
        <v>N.S.</v>
      </c>
      <c r="AV109" s="4" t="str">
        <f ca="1">As_malha(HC[[#This Row],[nE]],HC[[#This Row],[As,lado (cm²)]],HC[[#This Row],[Nsd (kN)]])</f>
        <v>N.S.</v>
      </c>
      <c r="AW109" s="4" t="str">
        <f ca="1">As_susp_tot(HC[[#This Row],[nE]],HC[[#This Row],[Nsd (kN)]])</f>
        <v>N.S.</v>
      </c>
      <c r="AX109" s="4" t="str">
        <f ca="1">Asp_face(HC[[#This Row],[nE]],HC[[#This Row],[As,lado (cm²)]])</f>
        <v>N.S.</v>
      </c>
      <c r="AY109" s="5" t="str">
        <f ca="1">acoBloco(HC[[#This Row],[nE]],HC[[#This Row],[e (cm)]],HC[[#This Row],[a (cm)]],HC[[#This Row],[h (cm)]],HC[[#This Row],[As,lado (cm²)]],HC[[#This Row],[Asp e Asw (cm²/m)]],HC[[#This Row],[As,sup (cm²)]],HC[[#This Row],[As,malha (cm²)]],HC[[#This Row],[As,susp,tot (cm²)]],HC[[#This Row],[Asp,face (cm²)]])</f>
        <v>N.S.</v>
      </c>
      <c r="AZ109" s="4" t="str">
        <f ca="1">concretoBloco(HC[[#This Row],[nE]],HC[[#This Row],[e (cm)]],HC[[#This Row],[a (cm)]],HC[[#This Row],[h (cm)]])</f>
        <v>N.S.</v>
      </c>
      <c r="BA109" s="5">
        <f ca="1">SUM(HC[[#This Row],[Aço Est (kg)]],HC[[#This Row],[Aço Bloco (kg)]])</f>
        <v>15.783361491635119</v>
      </c>
      <c r="BB109" s="4">
        <f>INDEX(composicoes[],MATCH(95580,composicoes[CÓDIGO],0),MATCH("CUSTO TOTAL",composicoes[#Headers],0))</f>
        <v>10.46</v>
      </c>
      <c r="BC109" s="4">
        <f ca="1">SUM(HC[[#This Row],[Conc Est (m³)]],HC[[#This Row],[Conc Bloco (m³)]])</f>
        <v>7.5398223686155044</v>
      </c>
      <c r="BD109" s="4">
        <f>INDEX(composicoes[],MATCH(94966,composicoes[CÓDIGO],0),MATCH("CUSTO TOTAL",composicoes[#Headers],0))</f>
        <v>439.52</v>
      </c>
      <c r="BE109" s="38">
        <f ca="1">HC[[#This Row],[Aço (kg)]]*HC[[#This Row],[Aço (R$/kg)]]+HC[[#This Row],[Conc (m³)]]*HC[[#This Row],[Conc (R$/m³)]]</f>
        <v>3478.9966886563898</v>
      </c>
      <c r="BF109" s="4" t="str">
        <f ca="1">IF(COUNTIF(HC[#This Row],"N.S.")&gt;0,"lim.","OK")</f>
        <v>lim.</v>
      </c>
      <c r="BG109" s="4" t="str">
        <f>IF(HC[[#This Row],[Prof. (m)]]&lt;4,"lim.","OK")</f>
        <v>OK</v>
      </c>
      <c r="BH109" s="4" t="str">
        <f>IF(HC[[#This Row],[Prof. (m)]]&gt;=8*HC[[#This Row],[Ø (cm)]]/100,"OK","lim.")</f>
        <v>OK</v>
      </c>
      <c r="BI109" s="4" t="str">
        <f ca="1">IF(HC[[#This Row],[Verif. Biela]]="OK","OK","lim.")</f>
        <v>OK</v>
      </c>
      <c r="BJ109" s="4" t="str">
        <f ca="1">IF(COUNTA(HC[[#This Row],[Nº Est.]:[Biela comp.]])=COUNTIF(HC[[#This Row],[Nº Est.]:[Biela comp.]],"OK"),"OK","lim.")</f>
        <v>lim.</v>
      </c>
      <c r="BK109" s="4" t="str">
        <f ca="1">IF(HC[[#This Row],[Controle]]="OK",HC[[#This Row],[nE]]&amp;" Ø"&amp;HC[[#This Row],[Ø (cm)]]&amp;"cm Prof. "&amp;HC[[#This Row],[Prof. (m)]]&amp;" m","")</f>
        <v/>
      </c>
      <c r="BL109" s="4" t="str">
        <f ca="1">IF(HC[[#This Row],[idDimensionamento]]="","",HC[[#This Row],[idPilar]]&amp;HC[[#This Row],[idDimensionamento]])</f>
        <v/>
      </c>
    </row>
    <row r="110" spans="2:64" x14ac:dyDescent="0.25">
      <c r="B110" s="12">
        <f>ROUNDUP((ROW(HC[[#This Row],[idDiâmetro]])-ROW(HC[[#Headers],[idDiâmetro]]))/(COUNT(SPT[Prof. (m)])*COUNT(PILARES[Pilar])),0)</f>
        <v>4</v>
      </c>
      <c r="C110" s="12">
        <f>IF(HC[[#This Row],[idDiâmetro]]&lt;&gt;B109,1,IF(HC[[#This Row],[Prof. (m)]]=0,C109+1,C109))</f>
        <v>2</v>
      </c>
      <c r="D110" s="1">
        <f>IFERROR(IF(D109=MAX(SPT[Prof. (m)]),0,D109+1),0)</f>
        <v>7</v>
      </c>
      <c r="E110" s="1">
        <f>INDEX(SPT[],MATCH(HC[[#This Row],[Prof. (m)]],SPT[Prof. (m)],0),2)</f>
        <v>8</v>
      </c>
      <c r="F110" s="1" t="str">
        <f>INDEX(SPT[],MATCH(HC[[#This Row],[Prof. (m)]],SPT[Prof. (m)],0),3)</f>
        <v>Silte arenoso</v>
      </c>
      <c r="G110" s="1">
        <f>INDEX(estacas[],HC[[#This Row],[idDiâmetro]],MATCH($B$2,estacas[#Headers],0))</f>
        <v>40</v>
      </c>
      <c r="H110" s="1">
        <f>INDEX(estacas[],MATCH(HC[[#This Row],[Ø (cm)]],estacas[Ø HC (cm)],0),MATCH(HC[[#Headers],[Pe HC (kN)]],estacas[#Headers],0))</f>
        <v>800</v>
      </c>
      <c r="I110" s="4">
        <f>INDEX(K_alpha_C[],MATCH(HC[[#This Row],[Solo]],K_alpha_C[Solo],0),2)</f>
        <v>0.55000000000000004</v>
      </c>
      <c r="J110" s="5">
        <f>INDEX(K_alpha_C[],MATCH(HC[[#This Row],[Solo]],K_alpha_C[Solo],0),3)</f>
        <v>2.2000000000000002</v>
      </c>
      <c r="K110" s="4">
        <f>INDEX(F1_F2[],MATCH($D$2,F1_F2[Tipo de estaca],0),2)</f>
        <v>2</v>
      </c>
      <c r="L110" s="4">
        <f>INDEX(F1_F2[],MATCH($D$2,F1_F2[Tipo de estaca],0),3)</f>
        <v>4</v>
      </c>
      <c r="M110" s="4">
        <f>PI()*(HC[[#This Row],[Ø (cm)]]/100)^2/4</f>
        <v>0.12566370614359174</v>
      </c>
      <c r="N110" s="4">
        <f>PI()*HC[[#This Row],[Ø (cm)]]/100</f>
        <v>1.2566370614359172</v>
      </c>
      <c r="O110" s="4">
        <f>IF(HC[[#This Row],[Prof. (m)]]=0,0,HC[[#This Row],[α (%)]]/100*HC[[#This Row],[K (MPa)]]*1000*HC[[#This Row],[NSPT]])</f>
        <v>96.800000000000011</v>
      </c>
      <c r="P110" s="4">
        <f>IF(HC[[#This Row],[Prof. (m)]]=0,0,(HC[[#This Row],[K (MPa)]]*1000*HC[[#This Row],[NSPT]]/HC[[#This Row],[F1]]*HC[[#This Row],[Ap (m²)]]+HC[[#This Row],[U (m)]]/HC[[#This Row],[F2]]*SUMIFS(HC[(α∙K∙NL∙ΔL)],HC[Prof. (m)],"&lt;="&amp;HC[[#This Row],[Prof. (m)]],HC[idDiâmetro],HC[[#This Row],[idDiâmetro]],HC[idPilar],HC[[#This Row],[idPilar]]))/'DADOS CAP. CARGA'!$D$2)</f>
        <v>276.28736591995437</v>
      </c>
      <c r="Q110" s="12">
        <f>INDEX(C_alpha_beta[],MATCH(HC[[#This Row],[Solo]],C_alpha_beta[Solo],0),MATCH(HC[[#Headers],[C (kPa)]],C_alpha_beta[#Headers],0))</f>
        <v>250</v>
      </c>
      <c r="R110" s="4">
        <f>INDEX(C_alpha_beta[],MATCH(HC[[#This Row],[Solo]],C_alpha_beta[Solo],0),MATCH(HC[[#Headers],[α ESF]],C_alpha_beta[#Headers],0))</f>
        <v>0.6</v>
      </c>
      <c r="S110" s="4">
        <f>INDEX(C_alpha_beta[],MATCH(HC[[#This Row],[Solo]],C_alpha_beta[Solo],0),MATCH(HC[[#Headers],[β ESF]],C_alpha_beta[#Headers],0))</f>
        <v>0.65</v>
      </c>
      <c r="T110" s="4">
        <f>IF(HC[[#This Row],[Prof. (m)]]=0,0,10*(HC[[#This Row],[NSPT]]/3+1))</f>
        <v>36.666666666666664</v>
      </c>
      <c r="U110" s="4">
        <f>(HC[[#This Row],[α ESF]]*HC[[#This Row],[C (kPa)]]*HC[[#This Row],[NSPT]]*HC[[#This Row],[Ap (m²)]])/'DADOS CAP. CARGA'!$Q$2+(HC[[#This Row],[β ESF]]*SUMIFS(HC[10∙(NL/3+1)],HC[Prof. (m)],"&lt;="&amp;HC[[#This Row],[Prof. (m)]],HC[idDiâmetro],HC[[#This Row],[idDiâmetro]],HC[idPilar],HC[[#This Row],[idPilar]])*HC[[#This Row],[U (m)]])/'DADOS CAP. CARGA'!$S$2</f>
        <v>150.69172761719039</v>
      </c>
      <c r="V110" s="4">
        <f>IF(SPT!$M$5=1,MIN(HC[[#This Row],[Pe HC (kN)]],HC[[#This Row],[R_AV (kN)]]),IF(SPT!$M$5=2,MIN(HC[[#This Row],[Pe HC (kN)]],HC[[#This Row],[R_DC (kN)]]),MIN(HC[[#This Row],[Pe HC (kN)]],HC[[#This Row],[R_AV (kN)]],HC[[#This Row],[R_DC (kN)]])))</f>
        <v>150.69172761719039</v>
      </c>
      <c r="W110" s="4">
        <f>INDEX(PILARES[],HC[[#This Row],[idPilar]],MATCH("Carga (kN)",PILARES[#Headers],0))*1.4</f>
        <v>1750</v>
      </c>
      <c r="X110" s="12">
        <f>INDEX(PILARES[],HC[[#This Row],[idPilar]],MATCH(HC[[#Headers],[ap (cm)]],PILARES[#Headers],0))</f>
        <v>50</v>
      </c>
      <c r="Y110" s="12">
        <f>INDEX(PILARES[],HC[[#This Row],[idPilar]],MATCH(HC[[#Headers],[bp (cm)]],PILARES[#Headers],0))</f>
        <v>40</v>
      </c>
      <c r="Z110" s="4">
        <f>SQRT(HC[[#This Row],[ap (cm)]]*HC[[#This Row],[bp (cm)]])</f>
        <v>44.721359549995796</v>
      </c>
      <c r="AA110" s="12">
        <f>HC[[#This Row],[ap (cm)]]*HC[[#This Row],[bp (cm)]]</f>
        <v>2000</v>
      </c>
      <c r="AB110" s="12">
        <f ca="1">IF(HC[[#This Row],[Padm∙ε (kN)]]&gt;=HC[[#This Row],[Padm (kN)]],ROUNDUP(1.05*HC[[#This Row],[Nsd (kN)]]/HC[[#This Row],[Padm (kN)]],0),ROUNDUP(1.05*HC[[#This Row],[Nsd (kN)]]/HC[[#This Row],[Padm (kN)]],0)+1)</f>
        <v>13</v>
      </c>
      <c r="AC110" s="4" t="str">
        <f ca="1">IFERROR(IF(HC[[#This Row],[nE]]=1,HC[[#This Row],[Padm (kN)]],HC[[#This Row],[Padm (kN)]]*HC[[#This Row],[nE]]*INDEX(grupoEstacas[],HC[[#This Row],[nE]],MATCH("ε",grupoEstacas[#Headers],0))),"N.S.")</f>
        <v>N.S.</v>
      </c>
      <c r="AD110" s="4">
        <f ca="1">1.05*HC[[#This Row],[Nsd (kN)]]/(HC[[#This Row],[nE]]*PI()*HC[[#This Row],[Ø (cm)]]^2/4)*10</f>
        <v>1.1247969535821449</v>
      </c>
      <c r="AE110" s="4">
        <f ca="1">IF(HC[[#This Row],[σ (MPa)]]&lt;INDEX(tipoEstaca[],MATCH($D$2,tipoEstaca[TIPO DE ESTACA],0),MATCH("σmáx (MPa)",tipoEstaca[#Headers],0)),0.4%*PI()*HC[[#This Row],[Ø (cm)]]^2/4,"N.S.")</f>
        <v>5.026548245743669</v>
      </c>
      <c r="AF110" s="1">
        <f>INDEX(tipoEstaca[],MATCH($D$2,tipoEstaca[TIPO DE ESTACA],0),MATCH(HC[[#Headers],[Comprimento (m)]],tipoEstaca[#Headers],0))</f>
        <v>4</v>
      </c>
      <c r="AG110" s="5">
        <f ca="1">HC[[#This Row],[As,mín (cm²)]]/100^2*HC[[#This Row],[Comprimento (m)]]*7850</f>
        <v>15.783361491635119</v>
      </c>
      <c r="AH110" s="4">
        <f ca="1">HC[[#This Row],[nE]]*HC[[#This Row],[Prof. (m)]]*HC[[#This Row],[Ap (m²)]]</f>
        <v>11.435397259066848</v>
      </c>
      <c r="AI110" s="1">
        <f ca="1">IF(HC[[#This Row],[nE]]=1,0,MAX(3*HC[[#This Row],[Ø (cm)]],60))</f>
        <v>120</v>
      </c>
      <c r="AJ110" s="1">
        <f ca="1">IF(HC[[#This Row],[nE]]=1,HC[[#This Row],[Ø (cm)]]+2*10,MAX(1.5*HC[[#This Row],[Ø (cm)]],HC[[#This Row],[Ø (cm)]]+15))</f>
        <v>60</v>
      </c>
      <c r="AK110" s="1" t="str">
        <f ca="1">alturaUtil(HC[[#This Row],[nE]],HC[[#This Row],[Ø (cm)]],HC[[#This Row],[e (cm)]],HC[[#This Row],[ap,eq (cm)]])</f>
        <v>N.S.</v>
      </c>
      <c r="AL110" s="1" t="str">
        <f ca="1">IFERROR(HC[[#This Row],[d (cm)]]+arredondarParaCimaMultiplo5cm(MAX(5,SQRT(PI())/2*HC[[#This Row],[Ø (cm)]]/5)),"N.S.")</f>
        <v>N.S.</v>
      </c>
      <c r="AM110" s="5" t="str">
        <f ca="1">alpha(HC[[#This Row],[nE]],HC[[#This Row],[d (cm)]],HC[[#This Row],[e (cm)]],HC[[#This Row],[ap,eq (cm)]])</f>
        <v>N.S.</v>
      </c>
      <c r="AN110" s="35" t="str">
        <f ca="1">IFERROR(HC[[#This Row],[Nsd (kN)]]/(HC[[#This Row],[Ap (cm²)]]*SIN(HC[[#This Row],[α]])^2),"N.S.")</f>
        <v>N.S.</v>
      </c>
      <c r="AO110" s="35" t="str">
        <f ca="1">IFERROR(HC[[#This Row],[Nsd (kN)]]/(HC[[#This Row],[nE]]*PI()*HC[[#This Row],[Ø (cm)]]^2/4*SIN(HC[[#This Row],[α]])^2),"N.S.")</f>
        <v>N.S.</v>
      </c>
      <c r="AP110" s="4" t="str">
        <f ca="1">IFERROR(INDEX(grupoEstacas[],HC[[#This Row],[nE]],MATCH("coef. Blévot",grupoEstacas[#Headers],0)),"N.S.")</f>
        <v>N.S.</v>
      </c>
      <c r="AQ110" s="35" t="str">
        <f ca="1">IFERROR(HC[[#This Row],[coef. Blévot]]*0.9*INDEX(tipoEstaca[],MATCH($D$2,tipoEstaca[TIPO DE ESTACA],0),MATCH("fcd (kN/cm²)",tipoEstaca[#Headers],0)),"N.S.")</f>
        <v>N.S.</v>
      </c>
      <c r="AR110" s="1" t="str">
        <f ca="1">IF(AND(HC[[#This Row],[cd,b,pil (kN/cm²)]]&lt;=HC[[#This Row],[cd,b,lim (kN/cm²)]],HC[[#This Row],[cd,b,est (kN/cm²)]]&lt;=HC[[#This Row],[cd,b,lim (kN/cm²)]]),"OK","ERRO")</f>
        <v>OK</v>
      </c>
      <c r="AS110" s="4" t="str">
        <f ca="1">As_lado(HC[[#This Row],[nE]],HC[[#This Row],[Nsd (kN)]],HC[[#This Row],[d (cm)]],HC[[#This Row],[e (cm)]],HC[[#This Row],[ap,eq (cm)]])</f>
        <v>N.S.</v>
      </c>
      <c r="AT110" s="4" t="str">
        <f ca="1">IF(HC[[#This Row],[nE]]=1,HC[[#This Row],[As,lado (cm²)]],IF(HC[[#This Row],[nE]]=2,0.075*2*HC[a (cm)],"N.A."))</f>
        <v>N.A.</v>
      </c>
      <c r="AU110" s="4" t="str">
        <f ca="1">IFERROR(IF(HC[[#This Row],[nE]]=1,"N.A.",0.2*HC[[#This Row],[As,lado (cm²)]]),"N.S.")</f>
        <v>N.S.</v>
      </c>
      <c r="AV110" s="4" t="str">
        <f ca="1">As_malha(HC[[#This Row],[nE]],HC[[#This Row],[As,lado (cm²)]],HC[[#This Row],[Nsd (kN)]])</f>
        <v>N.S.</v>
      </c>
      <c r="AW110" s="4" t="str">
        <f ca="1">As_susp_tot(HC[[#This Row],[nE]],HC[[#This Row],[Nsd (kN)]])</f>
        <v>N.S.</v>
      </c>
      <c r="AX110" s="4" t="str">
        <f ca="1">Asp_face(HC[[#This Row],[nE]],HC[[#This Row],[As,lado (cm²)]])</f>
        <v>N.S.</v>
      </c>
      <c r="AY110" s="5" t="str">
        <f ca="1">acoBloco(HC[[#This Row],[nE]],HC[[#This Row],[e (cm)]],HC[[#This Row],[a (cm)]],HC[[#This Row],[h (cm)]],HC[[#This Row],[As,lado (cm²)]],HC[[#This Row],[Asp e Asw (cm²/m)]],HC[[#This Row],[As,sup (cm²)]],HC[[#This Row],[As,malha (cm²)]],HC[[#This Row],[As,susp,tot (cm²)]],HC[[#This Row],[Asp,face (cm²)]])</f>
        <v>N.S.</v>
      </c>
      <c r="AZ110" s="4" t="str">
        <f ca="1">concretoBloco(HC[[#This Row],[nE]],HC[[#This Row],[e (cm)]],HC[[#This Row],[a (cm)]],HC[[#This Row],[h (cm)]])</f>
        <v>N.S.</v>
      </c>
      <c r="BA110" s="5">
        <f ca="1">SUM(HC[[#This Row],[Aço Est (kg)]],HC[[#This Row],[Aço Bloco (kg)]])</f>
        <v>15.783361491635119</v>
      </c>
      <c r="BB110" s="4">
        <f>INDEX(composicoes[],MATCH(95580,composicoes[CÓDIGO],0),MATCH("CUSTO TOTAL",composicoes[#Headers],0))</f>
        <v>10.46</v>
      </c>
      <c r="BC110" s="4">
        <f ca="1">SUM(HC[[#This Row],[Conc Est (m³)]],HC[[#This Row],[Conc Bloco (m³)]])</f>
        <v>11.435397259066848</v>
      </c>
      <c r="BD110" s="4">
        <f>INDEX(composicoes[],MATCH(94966,composicoes[CÓDIGO],0),MATCH("CUSTO TOTAL",composicoes[#Headers],0))</f>
        <v>439.52</v>
      </c>
      <c r="BE110" s="38">
        <f ca="1">HC[[#This Row],[Aço (kg)]]*HC[[#This Row],[Aço (R$/kg)]]+HC[[#This Row],[Conc (m³)]]*HC[[#This Row],[Conc (R$/m³)]]</f>
        <v>5191.179764507564</v>
      </c>
      <c r="BF110" s="4" t="str">
        <f ca="1">IF(COUNTIF(HC[#This Row],"N.S.")&gt;0,"lim.","OK")</f>
        <v>lim.</v>
      </c>
      <c r="BG110" s="4" t="str">
        <f>IF(HC[[#This Row],[Prof. (m)]]&lt;4,"lim.","OK")</f>
        <v>OK</v>
      </c>
      <c r="BH110" s="4" t="str">
        <f>IF(HC[[#This Row],[Prof. (m)]]&gt;=8*HC[[#This Row],[Ø (cm)]]/100,"OK","lim.")</f>
        <v>OK</v>
      </c>
      <c r="BI110" s="4" t="str">
        <f ca="1">IF(HC[[#This Row],[Verif. Biela]]="OK","OK","lim.")</f>
        <v>OK</v>
      </c>
      <c r="BJ110" s="4" t="str">
        <f ca="1">IF(COUNTA(HC[[#This Row],[Nº Est.]:[Biela comp.]])=COUNTIF(HC[[#This Row],[Nº Est.]:[Biela comp.]],"OK"),"OK","lim.")</f>
        <v>lim.</v>
      </c>
      <c r="BK110" s="4" t="str">
        <f ca="1">IF(HC[[#This Row],[Controle]]="OK",HC[[#This Row],[nE]]&amp;" Ø"&amp;HC[[#This Row],[Ø (cm)]]&amp;"cm Prof. "&amp;HC[[#This Row],[Prof. (m)]]&amp;" m","")</f>
        <v/>
      </c>
      <c r="BL110" s="4" t="str">
        <f ca="1">IF(HC[[#This Row],[idDimensionamento]]="","",HC[[#This Row],[idPilar]]&amp;HC[[#This Row],[idDimensionamento]])</f>
        <v/>
      </c>
    </row>
    <row r="111" spans="2:64" x14ac:dyDescent="0.25">
      <c r="B111" s="12">
        <f>ROUNDUP((ROW(HC[[#This Row],[idDiâmetro]])-ROW(HC[[#Headers],[idDiâmetro]]))/(COUNT(SPT[Prof. (m)])*COUNT(PILARES[Pilar])),0)</f>
        <v>4</v>
      </c>
      <c r="C111" s="12">
        <f>IF(HC[[#This Row],[idDiâmetro]]&lt;&gt;B110,1,IF(HC[[#This Row],[Prof. (m)]]=0,C110+1,C110))</f>
        <v>2</v>
      </c>
      <c r="D111" s="1">
        <f>IFERROR(IF(D110=MAX(SPT[Prof. (m)]),0,D110+1),0)</f>
        <v>8</v>
      </c>
      <c r="E111" s="1">
        <f>INDEX(SPT[],MATCH(HC[[#This Row],[Prof. (m)]],SPT[Prof. (m)],0),2)</f>
        <v>10</v>
      </c>
      <c r="F111" s="1" t="str">
        <f>INDEX(SPT[],MATCH(HC[[#This Row],[Prof. (m)]],SPT[Prof. (m)],0),3)</f>
        <v>Silte arenoso</v>
      </c>
      <c r="G111" s="1">
        <f>INDEX(estacas[],HC[[#This Row],[idDiâmetro]],MATCH($B$2,estacas[#Headers],0))</f>
        <v>40</v>
      </c>
      <c r="H111" s="1">
        <f>INDEX(estacas[],MATCH(HC[[#This Row],[Ø (cm)]],estacas[Ø HC (cm)],0),MATCH(HC[[#Headers],[Pe HC (kN)]],estacas[#Headers],0))</f>
        <v>800</v>
      </c>
      <c r="I111" s="4">
        <f>INDEX(K_alpha_C[],MATCH(HC[[#This Row],[Solo]],K_alpha_C[Solo],0),2)</f>
        <v>0.55000000000000004</v>
      </c>
      <c r="J111" s="5">
        <f>INDEX(K_alpha_C[],MATCH(HC[[#This Row],[Solo]],K_alpha_C[Solo],0),3)</f>
        <v>2.2000000000000002</v>
      </c>
      <c r="K111" s="4">
        <f>INDEX(F1_F2[],MATCH($D$2,F1_F2[Tipo de estaca],0),2)</f>
        <v>2</v>
      </c>
      <c r="L111" s="4">
        <f>INDEX(F1_F2[],MATCH($D$2,F1_F2[Tipo de estaca],0),3)</f>
        <v>4</v>
      </c>
      <c r="M111" s="4">
        <f>PI()*(HC[[#This Row],[Ø (cm)]]/100)^2/4</f>
        <v>0.12566370614359174</v>
      </c>
      <c r="N111" s="4">
        <f>PI()*HC[[#This Row],[Ø (cm)]]/100</f>
        <v>1.2566370614359172</v>
      </c>
      <c r="O111" s="4">
        <f>IF(HC[[#This Row],[Prof. (m)]]=0,0,HC[[#This Row],[α (%)]]/100*HC[[#This Row],[K (MPa)]]*1000*HC[[#This Row],[NSPT]])</f>
        <v>121.00000000000001</v>
      </c>
      <c r="P111" s="4">
        <f>IF(HC[[#This Row],[Prof. (m)]]=0,0,(HC[[#This Row],[K (MPa)]]*1000*HC[[#This Row],[NSPT]]/HC[[#This Row],[F1]]*HC[[#This Row],[Ap (m²)]]+HC[[#This Row],[U (m)]]/HC[[#This Row],[F2]]*SUMIFS(HC[(α∙K∙NL∙ΔL)],HC[Prof. (m)],"&lt;="&amp;HC[[#This Row],[Prof. (m)]],HC[idDiâmetro],HC[[#This Row],[idDiâmetro]],HC[idPilar],HC[[#This Row],[idPilar]]))/'DADOS CAP. CARGA'!$D$2)</f>
        <v>329.85152066366038</v>
      </c>
      <c r="Q111" s="12">
        <f>INDEX(C_alpha_beta[],MATCH(HC[[#This Row],[Solo]],C_alpha_beta[Solo],0),MATCH(HC[[#Headers],[C (kPa)]],C_alpha_beta[#Headers],0))</f>
        <v>250</v>
      </c>
      <c r="R111" s="4">
        <f>INDEX(C_alpha_beta[],MATCH(HC[[#This Row],[Solo]],C_alpha_beta[Solo],0),MATCH(HC[[#Headers],[α ESF]],C_alpha_beta[#Headers],0))</f>
        <v>0.6</v>
      </c>
      <c r="S111" s="4">
        <f>INDEX(C_alpha_beta[],MATCH(HC[[#This Row],[Solo]],C_alpha_beta[Solo],0),MATCH(HC[[#Headers],[β ESF]],C_alpha_beta[#Headers],0))</f>
        <v>0.65</v>
      </c>
      <c r="T111" s="4">
        <f>IF(HC[[#This Row],[Prof. (m)]]=0,0,10*(HC[[#This Row],[NSPT]]/3+1))</f>
        <v>43.333333333333343</v>
      </c>
      <c r="U111" s="4">
        <f>(HC[[#This Row],[α ESF]]*HC[[#This Row],[C (kPa)]]*HC[[#This Row],[NSPT]]*HC[[#This Row],[Ap (m²)]])/'DADOS CAP. CARGA'!$Q$2+(HC[[#This Row],[β ESF]]*SUMIFS(HC[10∙(NL/3+1)],HC[Prof. (m)],"&lt;="&amp;HC[[#This Row],[Prof. (m)]],HC[idDiâmetro],HC[[#This Row],[idDiâmetro]],HC[idPilar],HC[[#This Row],[idPilar]])*HC[[#This Row],[U (m)]])/'DADOS CAP. CARGA'!$S$2</f>
        <v>177.8141441931823</v>
      </c>
      <c r="V111" s="4">
        <f>IF(SPT!$M$5=1,MIN(HC[[#This Row],[Pe HC (kN)]],HC[[#This Row],[R_AV (kN)]]),IF(SPT!$M$5=2,MIN(HC[[#This Row],[Pe HC (kN)]],HC[[#This Row],[R_DC (kN)]]),MIN(HC[[#This Row],[Pe HC (kN)]],HC[[#This Row],[R_AV (kN)]],HC[[#This Row],[R_DC (kN)]])))</f>
        <v>177.8141441931823</v>
      </c>
      <c r="W111" s="4">
        <f>INDEX(PILARES[],HC[[#This Row],[idPilar]],MATCH("Carga (kN)",PILARES[#Headers],0))*1.4</f>
        <v>1750</v>
      </c>
      <c r="X111" s="12">
        <f>INDEX(PILARES[],HC[[#This Row],[idPilar]],MATCH(HC[[#Headers],[ap (cm)]],PILARES[#Headers],0))</f>
        <v>50</v>
      </c>
      <c r="Y111" s="12">
        <f>INDEX(PILARES[],HC[[#This Row],[idPilar]],MATCH(HC[[#Headers],[bp (cm)]],PILARES[#Headers],0))</f>
        <v>40</v>
      </c>
      <c r="Z111" s="4">
        <f>SQRT(HC[[#This Row],[ap (cm)]]*HC[[#This Row],[bp (cm)]])</f>
        <v>44.721359549995796</v>
      </c>
      <c r="AA111" s="12">
        <f>HC[[#This Row],[ap (cm)]]*HC[[#This Row],[bp (cm)]]</f>
        <v>2000</v>
      </c>
      <c r="AB111" s="12">
        <f ca="1">IF(HC[[#This Row],[Padm∙ε (kN)]]&gt;=HC[[#This Row],[Padm (kN)]],ROUNDUP(1.05*HC[[#This Row],[Nsd (kN)]]/HC[[#This Row],[Padm (kN)]],0),ROUNDUP(1.05*HC[[#This Row],[Nsd (kN)]]/HC[[#This Row],[Padm (kN)]],0)+1)</f>
        <v>11</v>
      </c>
      <c r="AC111" s="4" t="str">
        <f ca="1">IFERROR(IF(HC[[#This Row],[nE]]=1,HC[[#This Row],[Padm (kN)]],HC[[#This Row],[Padm (kN)]]*HC[[#This Row],[nE]]*INDEX(grupoEstacas[],HC[[#This Row],[nE]],MATCH("ε",grupoEstacas[#Headers],0))),"N.S.")</f>
        <v>N.S.</v>
      </c>
      <c r="AD111" s="4">
        <f ca="1">1.05*HC[[#This Row],[Nsd (kN)]]/(HC[[#This Row],[nE]]*PI()*HC[[#This Row],[Ø (cm)]]^2/4)*10</f>
        <v>1.3293054905970805</v>
      </c>
      <c r="AE111" s="4">
        <f ca="1">IF(HC[[#This Row],[σ (MPa)]]&lt;INDEX(tipoEstaca[],MATCH($D$2,tipoEstaca[TIPO DE ESTACA],0),MATCH("σmáx (MPa)",tipoEstaca[#Headers],0)),0.4%*PI()*HC[[#This Row],[Ø (cm)]]^2/4,"N.S.")</f>
        <v>5.026548245743669</v>
      </c>
      <c r="AF111" s="1">
        <f>INDEX(tipoEstaca[],MATCH($D$2,tipoEstaca[TIPO DE ESTACA],0),MATCH(HC[[#Headers],[Comprimento (m)]],tipoEstaca[#Headers],0))</f>
        <v>4</v>
      </c>
      <c r="AG111" s="5">
        <f ca="1">HC[[#This Row],[As,mín (cm²)]]/100^2*HC[[#This Row],[Comprimento (m)]]*7850</f>
        <v>15.783361491635119</v>
      </c>
      <c r="AH111" s="4">
        <f ca="1">HC[[#This Row],[nE]]*HC[[#This Row],[Prof. (m)]]*HC[[#This Row],[Ap (m²)]]</f>
        <v>11.058406140636073</v>
      </c>
      <c r="AI111" s="1">
        <f ca="1">IF(HC[[#This Row],[nE]]=1,0,MAX(3*HC[[#This Row],[Ø (cm)]],60))</f>
        <v>120</v>
      </c>
      <c r="AJ111" s="1">
        <f ca="1">IF(HC[[#This Row],[nE]]=1,HC[[#This Row],[Ø (cm)]]+2*10,MAX(1.5*HC[[#This Row],[Ø (cm)]],HC[[#This Row],[Ø (cm)]]+15))</f>
        <v>60</v>
      </c>
      <c r="AK111" s="1" t="str">
        <f ca="1">alturaUtil(HC[[#This Row],[nE]],HC[[#This Row],[Ø (cm)]],HC[[#This Row],[e (cm)]],HC[[#This Row],[ap,eq (cm)]])</f>
        <v>N.S.</v>
      </c>
      <c r="AL111" s="1" t="str">
        <f ca="1">IFERROR(HC[[#This Row],[d (cm)]]+arredondarParaCimaMultiplo5cm(MAX(5,SQRT(PI())/2*HC[[#This Row],[Ø (cm)]]/5)),"N.S.")</f>
        <v>N.S.</v>
      </c>
      <c r="AM111" s="5" t="str">
        <f ca="1">alpha(HC[[#This Row],[nE]],HC[[#This Row],[d (cm)]],HC[[#This Row],[e (cm)]],HC[[#This Row],[ap,eq (cm)]])</f>
        <v>N.S.</v>
      </c>
      <c r="AN111" s="35" t="str">
        <f ca="1">IFERROR(HC[[#This Row],[Nsd (kN)]]/(HC[[#This Row],[Ap (cm²)]]*SIN(HC[[#This Row],[α]])^2),"N.S.")</f>
        <v>N.S.</v>
      </c>
      <c r="AO111" s="35" t="str">
        <f ca="1">IFERROR(HC[[#This Row],[Nsd (kN)]]/(HC[[#This Row],[nE]]*PI()*HC[[#This Row],[Ø (cm)]]^2/4*SIN(HC[[#This Row],[α]])^2),"N.S.")</f>
        <v>N.S.</v>
      </c>
      <c r="AP111" s="4" t="str">
        <f ca="1">IFERROR(INDEX(grupoEstacas[],HC[[#This Row],[nE]],MATCH("coef. Blévot",grupoEstacas[#Headers],0)),"N.S.")</f>
        <v>N.S.</v>
      </c>
      <c r="AQ111" s="35" t="str">
        <f ca="1">IFERROR(HC[[#This Row],[coef. Blévot]]*0.9*INDEX(tipoEstaca[],MATCH($D$2,tipoEstaca[TIPO DE ESTACA],0),MATCH("fcd (kN/cm²)",tipoEstaca[#Headers],0)),"N.S.")</f>
        <v>N.S.</v>
      </c>
      <c r="AR111" s="1" t="str">
        <f ca="1">IF(AND(HC[[#This Row],[cd,b,pil (kN/cm²)]]&lt;=HC[[#This Row],[cd,b,lim (kN/cm²)]],HC[[#This Row],[cd,b,est (kN/cm²)]]&lt;=HC[[#This Row],[cd,b,lim (kN/cm²)]]),"OK","ERRO")</f>
        <v>OK</v>
      </c>
      <c r="AS111" s="4" t="str">
        <f ca="1">As_lado(HC[[#This Row],[nE]],HC[[#This Row],[Nsd (kN)]],HC[[#This Row],[d (cm)]],HC[[#This Row],[e (cm)]],HC[[#This Row],[ap,eq (cm)]])</f>
        <v>N.S.</v>
      </c>
      <c r="AT111" s="4" t="str">
        <f ca="1">IF(HC[[#This Row],[nE]]=1,HC[[#This Row],[As,lado (cm²)]],IF(HC[[#This Row],[nE]]=2,0.075*2*HC[a (cm)],"N.A."))</f>
        <v>N.A.</v>
      </c>
      <c r="AU111" s="4" t="str">
        <f ca="1">IFERROR(IF(HC[[#This Row],[nE]]=1,"N.A.",0.2*HC[[#This Row],[As,lado (cm²)]]),"N.S.")</f>
        <v>N.S.</v>
      </c>
      <c r="AV111" s="4" t="str">
        <f ca="1">As_malha(HC[[#This Row],[nE]],HC[[#This Row],[As,lado (cm²)]],HC[[#This Row],[Nsd (kN)]])</f>
        <v>N.S.</v>
      </c>
      <c r="AW111" s="4" t="str">
        <f ca="1">As_susp_tot(HC[[#This Row],[nE]],HC[[#This Row],[Nsd (kN)]])</f>
        <v>N.S.</v>
      </c>
      <c r="AX111" s="4" t="str">
        <f ca="1">Asp_face(HC[[#This Row],[nE]],HC[[#This Row],[As,lado (cm²)]])</f>
        <v>N.S.</v>
      </c>
      <c r="AY111" s="5" t="str">
        <f ca="1">acoBloco(HC[[#This Row],[nE]],HC[[#This Row],[e (cm)]],HC[[#This Row],[a (cm)]],HC[[#This Row],[h (cm)]],HC[[#This Row],[As,lado (cm²)]],HC[[#This Row],[Asp e Asw (cm²/m)]],HC[[#This Row],[As,sup (cm²)]],HC[[#This Row],[As,malha (cm²)]],HC[[#This Row],[As,susp,tot (cm²)]],HC[[#This Row],[Asp,face (cm²)]])</f>
        <v>N.S.</v>
      </c>
      <c r="AZ111" s="4" t="str">
        <f ca="1">concretoBloco(HC[[#This Row],[nE]],HC[[#This Row],[e (cm)]],HC[[#This Row],[a (cm)]],HC[[#This Row],[h (cm)]])</f>
        <v>N.S.</v>
      </c>
      <c r="BA111" s="5">
        <f ca="1">SUM(HC[[#This Row],[Aço Est (kg)]],HC[[#This Row],[Aço Bloco (kg)]])</f>
        <v>15.783361491635119</v>
      </c>
      <c r="BB111" s="4">
        <f>INDEX(composicoes[],MATCH(95580,composicoes[CÓDIGO],0),MATCH("CUSTO TOTAL",composicoes[#Headers],0))</f>
        <v>10.46</v>
      </c>
      <c r="BC111" s="4">
        <f ca="1">SUM(HC[[#This Row],[Conc Est (m³)]],HC[[#This Row],[Conc Bloco (m³)]])</f>
        <v>11.058406140636073</v>
      </c>
      <c r="BD111" s="4">
        <f>INDEX(composicoes[],MATCH(94966,composicoes[CÓDIGO],0),MATCH("CUSTO TOTAL",composicoes[#Headers],0))</f>
        <v>439.52</v>
      </c>
      <c r="BE111" s="38">
        <f ca="1">HC[[#This Row],[Aço (kg)]]*HC[[#This Row],[Aço (R$/kg)]]+HC[[#This Row],[Conc (m³)]]*HC[[#This Row],[Conc (R$/m³)]]</f>
        <v>5025.48462813487</v>
      </c>
      <c r="BF111" s="4" t="str">
        <f ca="1">IF(COUNTIF(HC[#This Row],"N.S.")&gt;0,"lim.","OK")</f>
        <v>lim.</v>
      </c>
      <c r="BG111" s="4" t="str">
        <f>IF(HC[[#This Row],[Prof. (m)]]&lt;4,"lim.","OK")</f>
        <v>OK</v>
      </c>
      <c r="BH111" s="4" t="str">
        <f>IF(HC[[#This Row],[Prof. (m)]]&gt;=8*HC[[#This Row],[Ø (cm)]]/100,"OK","lim.")</f>
        <v>OK</v>
      </c>
      <c r="BI111" s="4" t="str">
        <f ca="1">IF(HC[[#This Row],[Verif. Biela]]="OK","OK","lim.")</f>
        <v>OK</v>
      </c>
      <c r="BJ111" s="4" t="str">
        <f ca="1">IF(COUNTA(HC[[#This Row],[Nº Est.]:[Biela comp.]])=COUNTIF(HC[[#This Row],[Nº Est.]:[Biela comp.]],"OK"),"OK","lim.")</f>
        <v>lim.</v>
      </c>
      <c r="BK111" s="4" t="str">
        <f ca="1">IF(HC[[#This Row],[Controle]]="OK",HC[[#This Row],[nE]]&amp;" Ø"&amp;HC[[#This Row],[Ø (cm)]]&amp;"cm Prof. "&amp;HC[[#This Row],[Prof. (m)]]&amp;" m","")</f>
        <v/>
      </c>
      <c r="BL111" s="4" t="str">
        <f ca="1">IF(HC[[#This Row],[idDimensionamento]]="","",HC[[#This Row],[idPilar]]&amp;HC[[#This Row],[idDimensionamento]])</f>
        <v/>
      </c>
    </row>
    <row r="112" spans="2:64" x14ac:dyDescent="0.25">
      <c r="B112" s="12">
        <f>ROUNDUP((ROW(HC[[#This Row],[idDiâmetro]])-ROW(HC[[#Headers],[idDiâmetro]]))/(COUNT(SPT[Prof. (m)])*COUNT(PILARES[Pilar])),0)</f>
        <v>4</v>
      </c>
      <c r="C112" s="12">
        <f>IF(HC[[#This Row],[idDiâmetro]]&lt;&gt;B111,1,IF(HC[[#This Row],[Prof. (m)]]=0,C111+1,C111))</f>
        <v>2</v>
      </c>
      <c r="D112" s="1">
        <f>IFERROR(IF(D111=MAX(SPT[Prof. (m)]),0,D111+1),0)</f>
        <v>9</v>
      </c>
      <c r="E112" s="1">
        <f>INDEX(SPT[],MATCH(HC[[#This Row],[Prof. (m)]],SPT[Prof. (m)],0),2)</f>
        <v>26</v>
      </c>
      <c r="F112" s="1" t="str">
        <f>INDEX(SPT[],MATCH(HC[[#This Row],[Prof. (m)]],SPT[Prof. (m)],0),3)</f>
        <v>Areia siltosa</v>
      </c>
      <c r="G112" s="1">
        <f>INDEX(estacas[],HC[[#This Row],[idDiâmetro]],MATCH($B$2,estacas[#Headers],0))</f>
        <v>40</v>
      </c>
      <c r="H112" s="1">
        <f>INDEX(estacas[],MATCH(HC[[#This Row],[Ø (cm)]],estacas[Ø HC (cm)],0),MATCH(HC[[#Headers],[Pe HC (kN)]],estacas[#Headers],0))</f>
        <v>800</v>
      </c>
      <c r="I112" s="4">
        <f>INDEX(K_alpha_C[],MATCH(HC[[#This Row],[Solo]],K_alpha_C[Solo],0),2)</f>
        <v>0.8</v>
      </c>
      <c r="J112" s="5">
        <f>INDEX(K_alpha_C[],MATCH(HC[[#This Row],[Solo]],K_alpha_C[Solo],0),3)</f>
        <v>2</v>
      </c>
      <c r="K112" s="4">
        <f>INDEX(F1_F2[],MATCH($D$2,F1_F2[Tipo de estaca],0),2)</f>
        <v>2</v>
      </c>
      <c r="L112" s="4">
        <f>INDEX(F1_F2[],MATCH($D$2,F1_F2[Tipo de estaca],0),3)</f>
        <v>4</v>
      </c>
      <c r="M112" s="4">
        <f>PI()*(HC[[#This Row],[Ø (cm)]]/100)^2/4</f>
        <v>0.12566370614359174</v>
      </c>
      <c r="N112" s="4">
        <f>PI()*HC[[#This Row],[Ø (cm)]]/100</f>
        <v>1.2566370614359172</v>
      </c>
      <c r="O112" s="4">
        <f>IF(HC[[#This Row],[Prof. (m)]]=0,0,HC[[#This Row],[α (%)]]/100*HC[[#This Row],[K (MPa)]]*1000*HC[[#This Row],[NSPT]])</f>
        <v>416</v>
      </c>
      <c r="P112" s="4">
        <f>IF(HC[[#This Row],[Prof. (m)]]=0,0,(HC[[#This Row],[K (MPa)]]*1000*HC[[#This Row],[NSPT]]/HC[[#This Row],[F1]]*HC[[#This Row],[Ap (m²)]]+HC[[#This Row],[U (m)]]/HC[[#This Row],[F2]]*SUMIFS(HC[(α∙K∙NL∙ΔL)],HC[Prof. (m)],"&lt;="&amp;HC[[#This Row],[Prof. (m)]],HC[idDiâmetro],HC[[#This Row],[idDiâmetro]],HC[idPilar],HC[[#This Row],[idPilar]]))/'DADOS CAP. CARGA'!$D$2)</f>
        <v>875.86032385756641</v>
      </c>
      <c r="Q112" s="12">
        <f>INDEX(C_alpha_beta[],MATCH(HC[[#This Row],[Solo]],C_alpha_beta[Solo],0),MATCH(HC[[#Headers],[C (kPa)]],C_alpha_beta[#Headers],0))</f>
        <v>400</v>
      </c>
      <c r="R112" s="4">
        <f>INDEX(C_alpha_beta[],MATCH(HC[[#This Row],[Solo]],C_alpha_beta[Solo],0),MATCH(HC[[#Headers],[α ESF]],C_alpha_beta[#Headers],0))</f>
        <v>0.5</v>
      </c>
      <c r="S112" s="4">
        <f>INDEX(C_alpha_beta[],MATCH(HC[[#This Row],[Solo]],C_alpha_beta[Solo],0),MATCH(HC[[#Headers],[β ESF]],C_alpha_beta[#Headers],0))</f>
        <v>0.5</v>
      </c>
      <c r="T112" s="4">
        <f>IF(HC[[#This Row],[Prof. (m)]]=0,0,10*(HC[[#This Row],[NSPT]]/3+1))</f>
        <v>96.666666666666657</v>
      </c>
      <c r="U112" s="4">
        <f>(HC[[#This Row],[α ESF]]*HC[[#This Row],[C (kPa)]]*HC[[#This Row],[NSPT]]*HC[[#This Row],[Ap (m²)]])/'DADOS CAP. CARGA'!$Q$2+(HC[[#This Row],[β ESF]]*SUMIFS(HC[10∙(NL/3+1)],HC[Prof. (m)],"&lt;="&amp;HC[[#This Row],[Prof. (m)]],HC[idDiâmetro],HC[[#This Row],[idDiâmetro]],HC[idPilar],HC[[#This Row],[idPilar]])*HC[[#This Row],[U (m)]])/'DADOS CAP. CARGA'!$S$2</f>
        <v>294.26251188624394</v>
      </c>
      <c r="V112" s="4">
        <f>IF(SPT!$M$5=1,MIN(HC[[#This Row],[Pe HC (kN)]],HC[[#This Row],[R_AV (kN)]]),IF(SPT!$M$5=2,MIN(HC[[#This Row],[Pe HC (kN)]],HC[[#This Row],[R_DC (kN)]]),MIN(HC[[#This Row],[Pe HC (kN)]],HC[[#This Row],[R_AV (kN)]],HC[[#This Row],[R_DC (kN)]])))</f>
        <v>294.26251188624394</v>
      </c>
      <c r="W112" s="4">
        <f>INDEX(PILARES[],HC[[#This Row],[idPilar]],MATCH("Carga (kN)",PILARES[#Headers],0))*1.4</f>
        <v>1750</v>
      </c>
      <c r="X112" s="12">
        <f>INDEX(PILARES[],HC[[#This Row],[idPilar]],MATCH(HC[[#Headers],[ap (cm)]],PILARES[#Headers],0))</f>
        <v>50</v>
      </c>
      <c r="Y112" s="12">
        <f>INDEX(PILARES[],HC[[#This Row],[idPilar]],MATCH(HC[[#Headers],[bp (cm)]],PILARES[#Headers],0))</f>
        <v>40</v>
      </c>
      <c r="Z112" s="4">
        <f>SQRT(HC[[#This Row],[ap (cm)]]*HC[[#This Row],[bp (cm)]])</f>
        <v>44.721359549995796</v>
      </c>
      <c r="AA112" s="12">
        <f>HC[[#This Row],[ap (cm)]]*HC[[#This Row],[bp (cm)]]</f>
        <v>2000</v>
      </c>
      <c r="AB112" s="12">
        <f ca="1">IF(HC[[#This Row],[Padm∙ε (kN)]]&gt;=HC[[#This Row],[Padm (kN)]],ROUNDUP(1.05*HC[[#This Row],[Nsd (kN)]]/HC[[#This Row],[Padm (kN)]],0),ROUNDUP(1.05*HC[[#This Row],[Nsd (kN)]]/HC[[#This Row],[Padm (kN)]],0)+1)</f>
        <v>7</v>
      </c>
      <c r="AC112" s="4" t="str">
        <f ca="1">IFERROR(IF(HC[[#This Row],[nE]]=1,HC[[#This Row],[Padm (kN)]],HC[[#This Row],[Padm (kN)]]*HC[[#This Row],[nE]]*INDEX(grupoEstacas[],HC[[#This Row],[nE]],MATCH("ε",grupoEstacas[#Headers],0))),"N.S.")</f>
        <v>N.S.</v>
      </c>
      <c r="AD112" s="4">
        <f ca="1">1.05*HC[[#This Row],[Nsd (kN)]]/(HC[[#This Row],[nE]]*PI()*HC[[#This Row],[Ø (cm)]]^2/4)*10</f>
        <v>2.0889086280811267</v>
      </c>
      <c r="AE112" s="4">
        <f ca="1">IF(HC[[#This Row],[σ (MPa)]]&lt;INDEX(tipoEstaca[],MATCH($D$2,tipoEstaca[TIPO DE ESTACA],0),MATCH("σmáx (MPa)",tipoEstaca[#Headers],0)),0.4%*PI()*HC[[#This Row],[Ø (cm)]]^2/4,"N.S.")</f>
        <v>5.026548245743669</v>
      </c>
      <c r="AF112" s="1">
        <f>INDEX(tipoEstaca[],MATCH($D$2,tipoEstaca[TIPO DE ESTACA],0),MATCH(HC[[#Headers],[Comprimento (m)]],tipoEstaca[#Headers],0))</f>
        <v>4</v>
      </c>
      <c r="AG112" s="5">
        <f ca="1">HC[[#This Row],[As,mín (cm²)]]/100^2*HC[[#This Row],[Comprimento (m)]]*7850</f>
        <v>15.783361491635119</v>
      </c>
      <c r="AH112" s="4">
        <f ca="1">HC[[#This Row],[nE]]*HC[[#This Row],[Prof. (m)]]*HC[[#This Row],[Ap (m²)]]</f>
        <v>7.9168134870462792</v>
      </c>
      <c r="AI112" s="1">
        <f ca="1">IF(HC[[#This Row],[nE]]=1,0,MAX(3*HC[[#This Row],[Ø (cm)]],60))</f>
        <v>120</v>
      </c>
      <c r="AJ112" s="1">
        <f ca="1">IF(HC[[#This Row],[nE]]=1,HC[[#This Row],[Ø (cm)]]+2*10,MAX(1.5*HC[[#This Row],[Ø (cm)]],HC[[#This Row],[Ø (cm)]]+15))</f>
        <v>60</v>
      </c>
      <c r="AK112" s="1" t="str">
        <f ca="1">alturaUtil(HC[[#This Row],[nE]],HC[[#This Row],[Ø (cm)]],HC[[#This Row],[e (cm)]],HC[[#This Row],[ap,eq (cm)]])</f>
        <v>N.S.</v>
      </c>
      <c r="AL112" s="1" t="str">
        <f ca="1">IFERROR(HC[[#This Row],[d (cm)]]+arredondarParaCimaMultiplo5cm(MAX(5,SQRT(PI())/2*HC[[#This Row],[Ø (cm)]]/5)),"N.S.")</f>
        <v>N.S.</v>
      </c>
      <c r="AM112" s="5" t="str">
        <f ca="1">alpha(HC[[#This Row],[nE]],HC[[#This Row],[d (cm)]],HC[[#This Row],[e (cm)]],HC[[#This Row],[ap,eq (cm)]])</f>
        <v>N.S.</v>
      </c>
      <c r="AN112" s="35" t="str">
        <f ca="1">IFERROR(HC[[#This Row],[Nsd (kN)]]/(HC[[#This Row],[Ap (cm²)]]*SIN(HC[[#This Row],[α]])^2),"N.S.")</f>
        <v>N.S.</v>
      </c>
      <c r="AO112" s="35" t="str">
        <f ca="1">IFERROR(HC[[#This Row],[Nsd (kN)]]/(HC[[#This Row],[nE]]*PI()*HC[[#This Row],[Ø (cm)]]^2/4*SIN(HC[[#This Row],[α]])^2),"N.S.")</f>
        <v>N.S.</v>
      </c>
      <c r="AP112" s="4" t="str">
        <f ca="1">IFERROR(INDEX(grupoEstacas[],HC[[#This Row],[nE]],MATCH("coef. Blévot",grupoEstacas[#Headers],0)),"N.S.")</f>
        <v>N.S.</v>
      </c>
      <c r="AQ112" s="35" t="str">
        <f ca="1">IFERROR(HC[[#This Row],[coef. Blévot]]*0.9*INDEX(tipoEstaca[],MATCH($D$2,tipoEstaca[TIPO DE ESTACA],0),MATCH("fcd (kN/cm²)",tipoEstaca[#Headers],0)),"N.S.")</f>
        <v>N.S.</v>
      </c>
      <c r="AR112" s="1" t="str">
        <f ca="1">IF(AND(HC[[#This Row],[cd,b,pil (kN/cm²)]]&lt;=HC[[#This Row],[cd,b,lim (kN/cm²)]],HC[[#This Row],[cd,b,est (kN/cm²)]]&lt;=HC[[#This Row],[cd,b,lim (kN/cm²)]]),"OK","ERRO")</f>
        <v>OK</v>
      </c>
      <c r="AS112" s="4" t="str">
        <f ca="1">As_lado(HC[[#This Row],[nE]],HC[[#This Row],[Nsd (kN)]],HC[[#This Row],[d (cm)]],HC[[#This Row],[e (cm)]],HC[[#This Row],[ap,eq (cm)]])</f>
        <v>N.S.</v>
      </c>
      <c r="AT112" s="4" t="str">
        <f ca="1">IF(HC[[#This Row],[nE]]=1,HC[[#This Row],[As,lado (cm²)]],IF(HC[[#This Row],[nE]]=2,0.075*2*HC[a (cm)],"N.A."))</f>
        <v>N.A.</v>
      </c>
      <c r="AU112" s="4" t="str">
        <f ca="1">IFERROR(IF(HC[[#This Row],[nE]]=1,"N.A.",0.2*HC[[#This Row],[As,lado (cm²)]]),"N.S.")</f>
        <v>N.S.</v>
      </c>
      <c r="AV112" s="4" t="str">
        <f ca="1">As_malha(HC[[#This Row],[nE]],HC[[#This Row],[As,lado (cm²)]],HC[[#This Row],[Nsd (kN)]])</f>
        <v>N.S.</v>
      </c>
      <c r="AW112" s="4" t="str">
        <f ca="1">As_susp_tot(HC[[#This Row],[nE]],HC[[#This Row],[Nsd (kN)]])</f>
        <v>N.S.</v>
      </c>
      <c r="AX112" s="4" t="str">
        <f ca="1">Asp_face(HC[[#This Row],[nE]],HC[[#This Row],[As,lado (cm²)]])</f>
        <v>N.S.</v>
      </c>
      <c r="AY112" s="5" t="str">
        <f ca="1">acoBloco(HC[[#This Row],[nE]],HC[[#This Row],[e (cm)]],HC[[#This Row],[a (cm)]],HC[[#This Row],[h (cm)]],HC[[#This Row],[As,lado (cm²)]],HC[[#This Row],[Asp e Asw (cm²/m)]],HC[[#This Row],[As,sup (cm²)]],HC[[#This Row],[As,malha (cm²)]],HC[[#This Row],[As,susp,tot (cm²)]],HC[[#This Row],[Asp,face (cm²)]])</f>
        <v>N.S.</v>
      </c>
      <c r="AZ112" s="4" t="str">
        <f ca="1">concretoBloco(HC[[#This Row],[nE]],HC[[#This Row],[e (cm)]],HC[[#This Row],[a (cm)]],HC[[#This Row],[h (cm)]])</f>
        <v>N.S.</v>
      </c>
      <c r="BA112" s="5">
        <f ca="1">SUM(HC[[#This Row],[Aço Est (kg)]],HC[[#This Row],[Aço Bloco (kg)]])</f>
        <v>15.783361491635119</v>
      </c>
      <c r="BB112" s="4">
        <f>INDEX(composicoes[],MATCH(95580,composicoes[CÓDIGO],0),MATCH("CUSTO TOTAL",composicoes[#Headers],0))</f>
        <v>10.46</v>
      </c>
      <c r="BC112" s="4">
        <f ca="1">SUM(HC[[#This Row],[Conc Est (m³)]],HC[[#This Row],[Conc Bloco (m³)]])</f>
        <v>7.9168134870462792</v>
      </c>
      <c r="BD112" s="4">
        <f>INDEX(composicoes[],MATCH(94966,composicoes[CÓDIGO],0),MATCH("CUSTO TOTAL",composicoes[#Headers],0))</f>
        <v>439.52</v>
      </c>
      <c r="BE112" s="38">
        <f ca="1">HC[[#This Row],[Aço (kg)]]*HC[[#This Row],[Aço (R$/kg)]]+HC[[#This Row],[Conc (m³)]]*HC[[#This Row],[Conc (R$/m³)]]</f>
        <v>3644.6918250290837</v>
      </c>
      <c r="BF112" s="4" t="str">
        <f ca="1">IF(COUNTIF(HC[#This Row],"N.S.")&gt;0,"lim.","OK")</f>
        <v>lim.</v>
      </c>
      <c r="BG112" s="4" t="str">
        <f>IF(HC[[#This Row],[Prof. (m)]]&lt;4,"lim.","OK")</f>
        <v>OK</v>
      </c>
      <c r="BH112" s="4" t="str">
        <f>IF(HC[[#This Row],[Prof. (m)]]&gt;=8*HC[[#This Row],[Ø (cm)]]/100,"OK","lim.")</f>
        <v>OK</v>
      </c>
      <c r="BI112" s="4" t="str">
        <f ca="1">IF(HC[[#This Row],[Verif. Biela]]="OK","OK","lim.")</f>
        <v>OK</v>
      </c>
      <c r="BJ112" s="4" t="str">
        <f ca="1">IF(COUNTA(HC[[#This Row],[Nº Est.]:[Biela comp.]])=COUNTIF(HC[[#This Row],[Nº Est.]:[Biela comp.]],"OK"),"OK","lim.")</f>
        <v>lim.</v>
      </c>
      <c r="BK112" s="4" t="str">
        <f ca="1">IF(HC[[#This Row],[Controle]]="OK",HC[[#This Row],[nE]]&amp;" Ø"&amp;HC[[#This Row],[Ø (cm)]]&amp;"cm Prof. "&amp;HC[[#This Row],[Prof. (m)]]&amp;" m","")</f>
        <v/>
      </c>
      <c r="BL112" s="4" t="str">
        <f ca="1">IF(HC[[#This Row],[idDimensionamento]]="","",HC[[#This Row],[idPilar]]&amp;HC[[#This Row],[idDimensionamento]])</f>
        <v/>
      </c>
    </row>
    <row r="113" spans="2:64" x14ac:dyDescent="0.25">
      <c r="B113" s="12">
        <f>ROUNDUP((ROW(HC[[#This Row],[idDiâmetro]])-ROW(HC[[#Headers],[idDiâmetro]]))/(COUNT(SPT[Prof. (m)])*COUNT(PILARES[Pilar])),0)</f>
        <v>4</v>
      </c>
      <c r="C113" s="12">
        <f>IF(HC[[#This Row],[idDiâmetro]]&lt;&gt;B112,1,IF(HC[[#This Row],[Prof. (m)]]=0,C112+1,C112))</f>
        <v>2</v>
      </c>
      <c r="D113" s="1">
        <f>IFERROR(IF(D112=MAX(SPT[Prof. (m)]),0,D112+1),0)</f>
        <v>10</v>
      </c>
      <c r="E113" s="1">
        <f>INDEX(SPT[],MATCH(HC[[#This Row],[Prof. (m)]],SPT[Prof. (m)],0),2)</f>
        <v>32</v>
      </c>
      <c r="F113" s="1" t="str">
        <f>INDEX(SPT[],MATCH(HC[[#This Row],[Prof. (m)]],SPT[Prof. (m)],0),3)</f>
        <v>Areia siltosa</v>
      </c>
      <c r="G113" s="1">
        <f>INDEX(estacas[],HC[[#This Row],[idDiâmetro]],MATCH($B$2,estacas[#Headers],0))</f>
        <v>40</v>
      </c>
      <c r="H113" s="1">
        <f>INDEX(estacas[],MATCH(HC[[#This Row],[Ø (cm)]],estacas[Ø HC (cm)],0),MATCH(HC[[#Headers],[Pe HC (kN)]],estacas[#Headers],0))</f>
        <v>800</v>
      </c>
      <c r="I113" s="4">
        <f>INDEX(K_alpha_C[],MATCH(HC[[#This Row],[Solo]],K_alpha_C[Solo],0),2)</f>
        <v>0.8</v>
      </c>
      <c r="J113" s="5">
        <f>INDEX(K_alpha_C[],MATCH(HC[[#This Row],[Solo]],K_alpha_C[Solo],0),3)</f>
        <v>2</v>
      </c>
      <c r="K113" s="4">
        <f>INDEX(F1_F2[],MATCH($D$2,F1_F2[Tipo de estaca],0),2)</f>
        <v>2</v>
      </c>
      <c r="L113" s="4">
        <f>INDEX(F1_F2[],MATCH($D$2,F1_F2[Tipo de estaca],0),3)</f>
        <v>4</v>
      </c>
      <c r="M113" s="4">
        <f>PI()*(HC[[#This Row],[Ø (cm)]]/100)^2/4</f>
        <v>0.12566370614359174</v>
      </c>
      <c r="N113" s="4">
        <f>PI()*HC[[#This Row],[Ø (cm)]]/100</f>
        <v>1.2566370614359172</v>
      </c>
      <c r="O113" s="4">
        <f>IF(HC[[#This Row],[Prof. (m)]]=0,0,HC[[#This Row],[α (%)]]/100*HC[[#This Row],[K (MPa)]]*1000*HC[[#This Row],[NSPT]])</f>
        <v>512</v>
      </c>
      <c r="P113" s="4">
        <f>IF(HC[[#This Row],[Prof. (m)]]=0,0,(HC[[#This Row],[K (MPa)]]*1000*HC[[#This Row],[NSPT]]/HC[[#This Row],[F1]]*HC[[#This Row],[Ap (m²)]]+HC[[#This Row],[U (m)]]/HC[[#This Row],[F2]]*SUMIFS(HC[(α∙K∙NL∙ΔL)],HC[Prof. (m)],"&lt;="&amp;HC[[#This Row],[Prof. (m)]],HC[idDiâmetro],HC[[#This Row],[idDiâmetro]],HC[idPilar],HC[[#This Row],[idPilar]]))/'DADOS CAP. CARGA'!$D$2)</f>
        <v>1107.0815431617752</v>
      </c>
      <c r="Q113" s="12">
        <f>INDEX(C_alpha_beta[],MATCH(HC[[#This Row],[Solo]],C_alpha_beta[Solo],0),MATCH(HC[[#Headers],[C (kPa)]],C_alpha_beta[#Headers],0))</f>
        <v>400</v>
      </c>
      <c r="R113" s="4">
        <f>INDEX(C_alpha_beta[],MATCH(HC[[#This Row],[Solo]],C_alpha_beta[Solo],0),MATCH(HC[[#Headers],[α ESF]],C_alpha_beta[#Headers],0))</f>
        <v>0.5</v>
      </c>
      <c r="S113" s="4">
        <f>INDEX(C_alpha_beta[],MATCH(HC[[#This Row],[Solo]],C_alpha_beta[Solo],0),MATCH(HC[[#Headers],[β ESF]],C_alpha_beta[#Headers],0))</f>
        <v>0.5</v>
      </c>
      <c r="T113" s="4">
        <f>IF(HC[[#This Row],[Prof. (m)]]=0,0,10*(HC[[#This Row],[NSPT]]/3+1))</f>
        <v>116.66666666666666</v>
      </c>
      <c r="U113" s="4">
        <f>(HC[[#This Row],[α ESF]]*HC[[#This Row],[C (kPa)]]*HC[[#This Row],[NSPT]]*HC[[#This Row],[Ap (m²)]])/'DADOS CAP. CARGA'!$Q$2+(HC[[#This Row],[β ESF]]*SUMIFS(HC[10∙(NL/3+1)],HC[Prof. (m)],"&lt;="&amp;HC[[#This Row],[Prof. (m)]],HC[idDiâmetro],HC[[#This Row],[idDiâmetro]],HC[idPilar],HC[[#This Row],[idPilar]])*HC[[#This Row],[U (m)]])/'DADOS CAP. CARGA'!$S$2</f>
        <v>368.61353802120243</v>
      </c>
      <c r="V113" s="4">
        <f>IF(SPT!$M$5=1,MIN(HC[[#This Row],[Pe HC (kN)]],HC[[#This Row],[R_AV (kN)]]),IF(SPT!$M$5=2,MIN(HC[[#This Row],[Pe HC (kN)]],HC[[#This Row],[R_DC (kN)]]),MIN(HC[[#This Row],[Pe HC (kN)]],HC[[#This Row],[R_AV (kN)]],HC[[#This Row],[R_DC (kN)]])))</f>
        <v>368.61353802120243</v>
      </c>
      <c r="W113" s="4">
        <f>INDEX(PILARES[],HC[[#This Row],[idPilar]],MATCH("Carga (kN)",PILARES[#Headers],0))*1.4</f>
        <v>1750</v>
      </c>
      <c r="X113" s="12">
        <f>INDEX(PILARES[],HC[[#This Row],[idPilar]],MATCH(HC[[#Headers],[ap (cm)]],PILARES[#Headers],0))</f>
        <v>50</v>
      </c>
      <c r="Y113" s="12">
        <f>INDEX(PILARES[],HC[[#This Row],[idPilar]],MATCH(HC[[#Headers],[bp (cm)]],PILARES[#Headers],0))</f>
        <v>40</v>
      </c>
      <c r="Z113" s="4">
        <f>SQRT(HC[[#This Row],[ap (cm)]]*HC[[#This Row],[bp (cm)]])</f>
        <v>44.721359549995796</v>
      </c>
      <c r="AA113" s="12">
        <f>HC[[#This Row],[ap (cm)]]*HC[[#This Row],[bp (cm)]]</f>
        <v>2000</v>
      </c>
      <c r="AB113" s="12">
        <f ca="1">IF(HC[[#This Row],[Padm∙ε (kN)]]&gt;=HC[[#This Row],[Padm (kN)]],ROUNDUP(1.05*HC[[#This Row],[Nsd (kN)]]/HC[[#This Row],[Padm (kN)]],0),ROUNDUP(1.05*HC[[#This Row],[Nsd (kN)]]/HC[[#This Row],[Padm (kN)]],0)+1)</f>
        <v>5</v>
      </c>
      <c r="AC113" s="4" t="str">
        <f ca="1">IFERROR(IF(HC[[#This Row],[nE]]=1,HC[[#This Row],[Padm (kN)]],HC[[#This Row],[Padm (kN)]]*HC[[#This Row],[nE]]*INDEX(grupoEstacas[],HC[[#This Row],[nE]],MATCH("ε",grupoEstacas[#Headers],0))),"N.S.")</f>
        <v>N.S.</v>
      </c>
      <c r="AD113" s="4">
        <f ca="1">1.05*HC[[#This Row],[Nsd (kN)]]/(HC[[#This Row],[nE]]*PI()*HC[[#This Row],[Ø (cm)]]^2/4)*10</f>
        <v>2.9244720793135768</v>
      </c>
      <c r="AE113" s="4">
        <f ca="1">IF(HC[[#This Row],[σ (MPa)]]&lt;INDEX(tipoEstaca[],MATCH($D$2,tipoEstaca[TIPO DE ESTACA],0),MATCH("σmáx (MPa)",tipoEstaca[#Headers],0)),0.4%*PI()*HC[[#This Row],[Ø (cm)]]^2/4,"N.S.")</f>
        <v>5.026548245743669</v>
      </c>
      <c r="AF113" s="1">
        <f>INDEX(tipoEstaca[],MATCH($D$2,tipoEstaca[TIPO DE ESTACA],0),MATCH(HC[[#Headers],[Comprimento (m)]],tipoEstaca[#Headers],0))</f>
        <v>4</v>
      </c>
      <c r="AG113" s="5">
        <f ca="1">HC[[#This Row],[As,mín (cm²)]]/100^2*HC[[#This Row],[Comprimento (m)]]*7850</f>
        <v>15.783361491635119</v>
      </c>
      <c r="AH113" s="4">
        <f ca="1">HC[[#This Row],[nE]]*HC[[#This Row],[Prof. (m)]]*HC[[#This Row],[Ap (m²)]]</f>
        <v>6.2831853071795871</v>
      </c>
      <c r="AI113" s="1">
        <f ca="1">IF(HC[[#This Row],[nE]]=1,0,MAX(3*HC[[#This Row],[Ø (cm)]],60))</f>
        <v>120</v>
      </c>
      <c r="AJ113" s="1">
        <f ca="1">IF(HC[[#This Row],[nE]]=1,HC[[#This Row],[Ø (cm)]]+2*10,MAX(1.5*HC[[#This Row],[Ø (cm)]],HC[[#This Row],[Ø (cm)]]+15))</f>
        <v>60</v>
      </c>
      <c r="AK113" s="1" t="str">
        <f ca="1">alturaUtil(HC[[#This Row],[nE]],HC[[#This Row],[Ø (cm)]],HC[[#This Row],[e (cm)]],HC[[#This Row],[ap,eq (cm)]])</f>
        <v>N.S.</v>
      </c>
      <c r="AL113" s="1" t="str">
        <f ca="1">IFERROR(HC[[#This Row],[d (cm)]]+arredondarParaCimaMultiplo5cm(MAX(5,SQRT(PI())/2*HC[[#This Row],[Ø (cm)]]/5)),"N.S.")</f>
        <v>N.S.</v>
      </c>
      <c r="AM113" s="5" t="str">
        <f ca="1">alpha(HC[[#This Row],[nE]],HC[[#This Row],[d (cm)]],HC[[#This Row],[e (cm)]],HC[[#This Row],[ap,eq (cm)]])</f>
        <v>N.S.</v>
      </c>
      <c r="AN113" s="35" t="str">
        <f ca="1">IFERROR(HC[[#This Row],[Nsd (kN)]]/(HC[[#This Row],[Ap (cm²)]]*SIN(HC[[#This Row],[α]])^2),"N.S.")</f>
        <v>N.S.</v>
      </c>
      <c r="AO113" s="35" t="str">
        <f ca="1">IFERROR(HC[[#This Row],[Nsd (kN)]]/(HC[[#This Row],[nE]]*PI()*HC[[#This Row],[Ø (cm)]]^2/4*SIN(HC[[#This Row],[α]])^2),"N.S.")</f>
        <v>N.S.</v>
      </c>
      <c r="AP113" s="4" t="str">
        <f ca="1">IFERROR(INDEX(grupoEstacas[],HC[[#This Row],[nE]],MATCH("coef. Blévot",grupoEstacas[#Headers],0)),"N.S.")</f>
        <v>N.S.</v>
      </c>
      <c r="AQ113" s="35" t="str">
        <f ca="1">IFERROR(HC[[#This Row],[coef. Blévot]]*0.9*INDEX(tipoEstaca[],MATCH($D$2,tipoEstaca[TIPO DE ESTACA],0),MATCH("fcd (kN/cm²)",tipoEstaca[#Headers],0)),"N.S.")</f>
        <v>N.S.</v>
      </c>
      <c r="AR113" s="1" t="str">
        <f ca="1">IF(AND(HC[[#This Row],[cd,b,pil (kN/cm²)]]&lt;=HC[[#This Row],[cd,b,lim (kN/cm²)]],HC[[#This Row],[cd,b,est (kN/cm²)]]&lt;=HC[[#This Row],[cd,b,lim (kN/cm²)]]),"OK","ERRO")</f>
        <v>OK</v>
      </c>
      <c r="AS113" s="4" t="str">
        <f ca="1">As_lado(HC[[#This Row],[nE]],HC[[#This Row],[Nsd (kN)]],HC[[#This Row],[d (cm)]],HC[[#This Row],[e (cm)]],HC[[#This Row],[ap,eq (cm)]])</f>
        <v>N.S.</v>
      </c>
      <c r="AT113" s="4" t="str">
        <f ca="1">IF(HC[[#This Row],[nE]]=1,HC[[#This Row],[As,lado (cm²)]],IF(HC[[#This Row],[nE]]=2,0.075*2*HC[a (cm)],"N.A."))</f>
        <v>N.A.</v>
      </c>
      <c r="AU113" s="4" t="str">
        <f ca="1">IFERROR(IF(HC[[#This Row],[nE]]=1,"N.A.",0.2*HC[[#This Row],[As,lado (cm²)]]),"N.S.")</f>
        <v>N.S.</v>
      </c>
      <c r="AV113" s="4" t="str">
        <f ca="1">As_malha(HC[[#This Row],[nE]],HC[[#This Row],[As,lado (cm²)]],HC[[#This Row],[Nsd (kN)]])</f>
        <v>N.S.</v>
      </c>
      <c r="AW113" s="4" t="str">
        <f ca="1">As_susp_tot(HC[[#This Row],[nE]],HC[[#This Row],[Nsd (kN)]])</f>
        <v>N.S.</v>
      </c>
      <c r="AX113" s="4" t="str">
        <f ca="1">Asp_face(HC[[#This Row],[nE]],HC[[#This Row],[As,lado (cm²)]])</f>
        <v>N.S.</v>
      </c>
      <c r="AY113" s="5" t="str">
        <f ca="1">acoBloco(HC[[#This Row],[nE]],HC[[#This Row],[e (cm)]],HC[[#This Row],[a (cm)]],HC[[#This Row],[h (cm)]],HC[[#This Row],[As,lado (cm²)]],HC[[#This Row],[Asp e Asw (cm²/m)]],HC[[#This Row],[As,sup (cm²)]],HC[[#This Row],[As,malha (cm²)]],HC[[#This Row],[As,susp,tot (cm²)]],HC[[#This Row],[Asp,face (cm²)]])</f>
        <v>N.S.</v>
      </c>
      <c r="AZ113" s="4" t="str">
        <f ca="1">concretoBloco(HC[[#This Row],[nE]],HC[[#This Row],[e (cm)]],HC[[#This Row],[a (cm)]],HC[[#This Row],[h (cm)]])</f>
        <v>N.S.</v>
      </c>
      <c r="BA113" s="5">
        <f ca="1">SUM(HC[[#This Row],[Aço Est (kg)]],HC[[#This Row],[Aço Bloco (kg)]])</f>
        <v>15.783361491635119</v>
      </c>
      <c r="BB113" s="4">
        <f>INDEX(composicoes[],MATCH(95580,composicoes[CÓDIGO],0),MATCH("CUSTO TOTAL",composicoes[#Headers],0))</f>
        <v>10.46</v>
      </c>
      <c r="BC113" s="4">
        <f ca="1">SUM(HC[[#This Row],[Conc Est (m³)]],HC[[#This Row],[Conc Bloco (m³)]])</f>
        <v>6.2831853071795871</v>
      </c>
      <c r="BD113" s="4">
        <f>INDEX(composicoes[],MATCH(94966,composicoes[CÓDIGO],0),MATCH("CUSTO TOTAL",composicoes[#Headers],0))</f>
        <v>439.52</v>
      </c>
      <c r="BE113" s="38">
        <f ca="1">HC[[#This Row],[Aço (kg)]]*HC[[#This Row],[Aço (R$/kg)]]+HC[[#This Row],[Conc (m³)]]*HC[[#This Row],[Conc (R$/m³)]]</f>
        <v>2926.6795674140758</v>
      </c>
      <c r="BF113" s="4" t="str">
        <f ca="1">IF(COUNTIF(HC[#This Row],"N.S.")&gt;0,"lim.","OK")</f>
        <v>lim.</v>
      </c>
      <c r="BG113" s="4" t="str">
        <f>IF(HC[[#This Row],[Prof. (m)]]&lt;4,"lim.","OK")</f>
        <v>OK</v>
      </c>
      <c r="BH113" s="4" t="str">
        <f>IF(HC[[#This Row],[Prof. (m)]]&gt;=8*HC[[#This Row],[Ø (cm)]]/100,"OK","lim.")</f>
        <v>OK</v>
      </c>
      <c r="BI113" s="4" t="str">
        <f ca="1">IF(HC[[#This Row],[Verif. Biela]]="OK","OK","lim.")</f>
        <v>OK</v>
      </c>
      <c r="BJ113" s="4" t="str">
        <f ca="1">IF(COUNTA(HC[[#This Row],[Nº Est.]:[Biela comp.]])=COUNTIF(HC[[#This Row],[Nº Est.]:[Biela comp.]],"OK"),"OK","lim.")</f>
        <v>lim.</v>
      </c>
      <c r="BK113" s="4" t="str">
        <f ca="1">IF(HC[[#This Row],[Controle]]="OK",HC[[#This Row],[nE]]&amp;" Ø"&amp;HC[[#This Row],[Ø (cm)]]&amp;"cm Prof. "&amp;HC[[#This Row],[Prof. (m)]]&amp;" m","")</f>
        <v/>
      </c>
      <c r="BL113" s="4" t="str">
        <f ca="1">IF(HC[[#This Row],[idDimensionamento]]="","",HC[[#This Row],[idPilar]]&amp;HC[[#This Row],[idDimensionamento]])</f>
        <v/>
      </c>
    </row>
    <row r="114" spans="2:64" x14ac:dyDescent="0.25">
      <c r="B114" s="12">
        <f>ROUNDUP((ROW(HC[[#This Row],[idDiâmetro]])-ROW(HC[[#Headers],[idDiâmetro]]))/(COUNT(SPT[Prof. (m)])*COUNT(PILARES[Pilar])),0)</f>
        <v>4</v>
      </c>
      <c r="C114" s="12">
        <f>IF(HC[[#This Row],[idDiâmetro]]&lt;&gt;B113,1,IF(HC[[#This Row],[Prof. (m)]]=0,C113+1,C113))</f>
        <v>2</v>
      </c>
      <c r="D114" s="1">
        <f>IFERROR(IF(D113=MAX(SPT[Prof. (m)]),0,D113+1),0)</f>
        <v>11</v>
      </c>
      <c r="E114" s="1">
        <f>INDEX(SPT[],MATCH(HC[[#This Row],[Prof. (m)]],SPT[Prof. (m)],0),2)</f>
        <v>41</v>
      </c>
      <c r="F114" s="1" t="str">
        <f>INDEX(SPT[],MATCH(HC[[#This Row],[Prof. (m)]],SPT[Prof. (m)],0),3)</f>
        <v>Areia siltosa</v>
      </c>
      <c r="G114" s="1">
        <f>INDEX(estacas[],HC[[#This Row],[idDiâmetro]],MATCH($B$2,estacas[#Headers],0))</f>
        <v>40</v>
      </c>
      <c r="H114" s="1">
        <f>INDEX(estacas[],MATCH(HC[[#This Row],[Ø (cm)]],estacas[Ø HC (cm)],0),MATCH(HC[[#Headers],[Pe HC (kN)]],estacas[#Headers],0))</f>
        <v>800</v>
      </c>
      <c r="I114" s="4">
        <f>INDEX(K_alpha_C[],MATCH(HC[[#This Row],[Solo]],K_alpha_C[Solo],0),2)</f>
        <v>0.8</v>
      </c>
      <c r="J114" s="5">
        <f>INDEX(K_alpha_C[],MATCH(HC[[#This Row],[Solo]],K_alpha_C[Solo],0),3)</f>
        <v>2</v>
      </c>
      <c r="K114" s="4">
        <f>INDEX(F1_F2[],MATCH($D$2,F1_F2[Tipo de estaca],0),2)</f>
        <v>2</v>
      </c>
      <c r="L114" s="4">
        <f>INDEX(F1_F2[],MATCH($D$2,F1_F2[Tipo de estaca],0),3)</f>
        <v>4</v>
      </c>
      <c r="M114" s="4">
        <f>PI()*(HC[[#This Row],[Ø (cm)]]/100)^2/4</f>
        <v>0.12566370614359174</v>
      </c>
      <c r="N114" s="4">
        <f>PI()*HC[[#This Row],[Ø (cm)]]/100</f>
        <v>1.2566370614359172</v>
      </c>
      <c r="O114" s="4">
        <f>IF(HC[[#This Row],[Prof. (m)]]=0,0,HC[[#This Row],[α (%)]]/100*HC[[#This Row],[K (MPa)]]*1000*HC[[#This Row],[NSPT]])</f>
        <v>656</v>
      </c>
      <c r="P114" s="4">
        <f>IF(HC[[#This Row],[Prof. (m)]]=0,0,(HC[[#This Row],[K (MPa)]]*1000*HC[[#This Row],[NSPT]]/HC[[#This Row],[F1]]*HC[[#This Row],[Ap (m²)]]+HC[[#This Row],[U (m)]]/HC[[#This Row],[F2]]*SUMIFS(HC[(α∙K∙NL∙ΔL)],HC[Prof. (m)],"&lt;="&amp;HC[[#This Row],[Prof. (m)]],HC[idDiâmetro],HC[[#This Row],[idDiâmetro]],HC[idPilar],HC[[#This Row],[idPilar]]))/'DADOS CAP. CARGA'!$D$2)</f>
        <v>1436.3204532579857</v>
      </c>
      <c r="Q114" s="12">
        <f>INDEX(C_alpha_beta[],MATCH(HC[[#This Row],[Solo]],C_alpha_beta[Solo],0),MATCH(HC[[#Headers],[C (kPa)]],C_alpha_beta[#Headers],0))</f>
        <v>400</v>
      </c>
      <c r="R114" s="4">
        <f>INDEX(C_alpha_beta[],MATCH(HC[[#This Row],[Solo]],C_alpha_beta[Solo],0),MATCH(HC[[#Headers],[α ESF]],C_alpha_beta[#Headers],0))</f>
        <v>0.5</v>
      </c>
      <c r="S114" s="4">
        <f>INDEX(C_alpha_beta[],MATCH(HC[[#This Row],[Solo]],C_alpha_beta[Solo],0),MATCH(HC[[#Headers],[β ESF]],C_alpha_beta[#Headers],0))</f>
        <v>0.5</v>
      </c>
      <c r="T114" s="4">
        <f>IF(HC[[#This Row],[Prof. (m)]]=0,0,10*(HC[[#This Row],[NSPT]]/3+1))</f>
        <v>146.66666666666666</v>
      </c>
      <c r="U114" s="4">
        <f>(HC[[#This Row],[α ESF]]*HC[[#This Row],[C (kPa)]]*HC[[#This Row],[NSPT]]*HC[[#This Row],[Ap (m²)]])/'DADOS CAP. CARGA'!$Q$2+(HC[[#This Row],[β ESF]]*SUMIFS(HC[10∙(NL/3+1)],HC[Prof. (m)],"&lt;="&amp;HC[[#This Row],[Prof. (m)]],HC[idDiâmetro],HC[[#This Row],[idDiâmetro]],HC[idPilar],HC[[#This Row],[idPilar]])*HC[[#This Row],[U (m)]])/'DADOS CAP. CARGA'!$S$2</f>
        <v>471.23889803846896</v>
      </c>
      <c r="V114" s="4">
        <f>IF(SPT!$M$5=1,MIN(HC[[#This Row],[Pe HC (kN)]],HC[[#This Row],[R_AV (kN)]]),IF(SPT!$M$5=2,MIN(HC[[#This Row],[Pe HC (kN)]],HC[[#This Row],[R_DC (kN)]]),MIN(HC[[#This Row],[Pe HC (kN)]],HC[[#This Row],[R_AV (kN)]],HC[[#This Row],[R_DC (kN)]])))</f>
        <v>471.23889803846896</v>
      </c>
      <c r="W114" s="4">
        <f>INDEX(PILARES[],HC[[#This Row],[idPilar]],MATCH("Carga (kN)",PILARES[#Headers],0))*1.4</f>
        <v>1750</v>
      </c>
      <c r="X114" s="12">
        <f>INDEX(PILARES[],HC[[#This Row],[idPilar]],MATCH(HC[[#Headers],[ap (cm)]],PILARES[#Headers],0))</f>
        <v>50</v>
      </c>
      <c r="Y114" s="12">
        <f>INDEX(PILARES[],HC[[#This Row],[idPilar]],MATCH(HC[[#Headers],[bp (cm)]],PILARES[#Headers],0))</f>
        <v>40</v>
      </c>
      <c r="Z114" s="4">
        <f>SQRT(HC[[#This Row],[ap (cm)]]*HC[[#This Row],[bp (cm)]])</f>
        <v>44.721359549995796</v>
      </c>
      <c r="AA114" s="12">
        <f>HC[[#This Row],[ap (cm)]]*HC[[#This Row],[bp (cm)]]</f>
        <v>2000</v>
      </c>
      <c r="AB114" s="12">
        <f ca="1">IF(HC[[#This Row],[Padm∙ε (kN)]]&gt;=HC[[#This Row],[Padm (kN)]],ROUNDUP(1.05*HC[[#This Row],[Nsd (kN)]]/HC[[#This Row],[Padm (kN)]],0),ROUNDUP(1.05*HC[[#This Row],[Nsd (kN)]]/HC[[#This Row],[Padm (kN)]],0)+1)</f>
        <v>4</v>
      </c>
      <c r="AC114" s="4">
        <f ca="1">IFERROR(IF(HC[[#This Row],[nE]]=1,HC[[#This Row],[Padm (kN)]],HC[[#This Row],[Padm (kN)]]*HC[[#This Row],[nE]]*INDEX(grupoEstacas[],HC[[#This Row],[nE]],MATCH("ε",grupoEstacas[#Headers],0))),"N.S.")</f>
        <v>1531.5264186250242</v>
      </c>
      <c r="AD114" s="4">
        <f ca="1">1.05*HC[[#This Row],[Nsd (kN)]]/(HC[[#This Row],[nE]]*PI()*HC[[#This Row],[Ø (cm)]]^2/4)*10</f>
        <v>3.6555900991419712</v>
      </c>
      <c r="AE114" s="4">
        <f ca="1">IF(HC[[#This Row],[σ (MPa)]]&lt;INDEX(tipoEstaca[],MATCH($D$2,tipoEstaca[TIPO DE ESTACA],0),MATCH("σmáx (MPa)",tipoEstaca[#Headers],0)),0.4%*PI()*HC[[#This Row],[Ø (cm)]]^2/4,"N.S.")</f>
        <v>5.026548245743669</v>
      </c>
      <c r="AF114" s="1">
        <f>INDEX(tipoEstaca[],MATCH($D$2,tipoEstaca[TIPO DE ESTACA],0),MATCH(HC[[#Headers],[Comprimento (m)]],tipoEstaca[#Headers],0))</f>
        <v>4</v>
      </c>
      <c r="AG114" s="5">
        <f ca="1">HC[[#This Row],[As,mín (cm²)]]/100^2*HC[[#This Row],[Comprimento (m)]]*7850</f>
        <v>15.783361491635119</v>
      </c>
      <c r="AH114" s="4">
        <f ca="1">HC[[#This Row],[nE]]*HC[[#This Row],[Prof. (m)]]*HC[[#This Row],[Ap (m²)]]</f>
        <v>5.5292030703180366</v>
      </c>
      <c r="AI114" s="1">
        <f ca="1">IF(HC[[#This Row],[nE]]=1,0,MAX(3*HC[[#This Row],[Ø (cm)]],60))</f>
        <v>120</v>
      </c>
      <c r="AJ114" s="1">
        <f ca="1">IF(HC[[#This Row],[nE]]=1,HC[[#This Row],[Ø (cm)]]+2*10,MAX(1.5*HC[[#This Row],[Ø (cm)]],HC[[#This Row],[Ø (cm)]]+15))</f>
        <v>60</v>
      </c>
      <c r="AK114" s="1">
        <f ca="1">alturaUtil(HC[[#This Row],[nE]],HC[[#This Row],[Ø (cm)]],HC[[#This Row],[e (cm)]],HC[[#This Row],[ap,eq (cm)]])</f>
        <v>50</v>
      </c>
      <c r="AL114" s="1">
        <f ca="1">IFERROR(HC[[#This Row],[d (cm)]]+arredondarParaCimaMultiplo5cm(MAX(5,SQRT(PI())/2*HC[[#This Row],[Ø (cm)]]/5)),"N.S.")</f>
        <v>60</v>
      </c>
      <c r="AM114" s="5">
        <f ca="1">alpha(HC[[#This Row],[nE]],HC[[#This Row],[d (cm)]],HC[[#This Row],[e (cm)]],HC[[#This Row],[ap,eq (cm)]])</f>
        <v>45.684330203076314</v>
      </c>
      <c r="AN114" s="35">
        <f ca="1">IFERROR(HC[[#This Row],[Nsd (kN)]]/(HC[[#This Row],[Ap (cm²)]]*SIN(HC[[#This Row],[α]])^2),"N.S.")</f>
        <v>0.89024493430205986</v>
      </c>
      <c r="AO114" s="35">
        <f ca="1">IFERROR(HC[[#This Row],[Nsd (kN)]]/(HC[[#This Row],[nE]]*PI()*HC[[#This Row],[Ø (cm)]]^2/4*SIN(HC[[#This Row],[α]])^2),"N.S.")</f>
        <v>0.35421720464173106</v>
      </c>
      <c r="AP114" s="4">
        <f ca="1">IFERROR(INDEX(grupoEstacas[],HC[[#This Row],[nE]],MATCH("coef. Blévot",grupoEstacas[#Headers],0)),"N.S.")</f>
        <v>2.1</v>
      </c>
      <c r="AQ114" s="35">
        <f ca="1">IFERROR(HC[[#This Row],[coef. Blévot]]*0.9*INDEX(tipoEstaca[],MATCH($D$2,tipoEstaca[TIPO DE ESTACA],0),MATCH("fcd (kN/cm²)",tipoEstaca[#Headers],0)),"N.S.")</f>
        <v>2.1</v>
      </c>
      <c r="AR114" s="1" t="str">
        <f ca="1">IF(AND(HC[[#This Row],[cd,b,pil (kN/cm²)]]&lt;=HC[[#This Row],[cd,b,lim (kN/cm²)]],HC[[#This Row],[cd,b,est (kN/cm²)]]&lt;=HC[[#This Row],[cd,b,lim (kN/cm²)]]),"OK","ERRO")</f>
        <v>OK</v>
      </c>
      <c r="AS114" s="4">
        <f ca="1">As_lado(HC[[#This Row],[nE]],HC[[#This Row],[Nsd (kN)]],HC[[#This Row],[d (cm)]],HC[[#This Row],[e (cm)]],HC[[#This Row],[ap,eq (cm)]])</f>
        <v>9.8249565976408366</v>
      </c>
      <c r="AT114" s="4" t="str">
        <f ca="1">IF(HC[[#This Row],[nE]]=1,HC[[#This Row],[As,lado (cm²)]],IF(HC[[#This Row],[nE]]=2,0.075*2*HC[a (cm)],"N.A."))</f>
        <v>N.A.</v>
      </c>
      <c r="AU114" s="4">
        <f ca="1">IFERROR(IF(HC[[#This Row],[nE]]=1,"N.A.",0.2*HC[[#This Row],[As,lado (cm²)]]),"N.S.")</f>
        <v>1.9649913195281674</v>
      </c>
      <c r="AV114" s="4">
        <f ca="1">As_malha(HC[[#This Row],[nE]],HC[[#This Row],[As,lado (cm²)]],HC[[#This Row],[Nsd (kN)]])</f>
        <v>1.9649913195281674</v>
      </c>
      <c r="AW114" s="4">
        <f ca="1">As_susp_tot(HC[[#This Row],[nE]],HC[[#This Row],[Nsd (kN)]])</f>
        <v>6.708333333333333</v>
      </c>
      <c r="AX114" s="4">
        <f ca="1">Asp_face(HC[[#This Row],[nE]],HC[[#This Row],[As,lado (cm²)]])</f>
        <v>4.9124782988204183</v>
      </c>
      <c r="AY114" s="5">
        <f ca="1">acoBloco(HC[[#This Row],[nE]],HC[[#This Row],[e (cm)]],HC[[#This Row],[a (cm)]],HC[[#This Row],[h (cm)]],HC[[#This Row],[As,lado (cm²)]],HC[[#This Row],[Asp e Asw (cm²/m)]],HC[[#This Row],[As,sup (cm²)]],HC[[#This Row],[As,malha (cm²)]],HC[[#This Row],[As,susp,tot (cm²)]],HC[[#This Row],[Asp,face (cm²)]])</f>
        <v>136.43319625567841</v>
      </c>
      <c r="AZ114" s="4">
        <f ca="1">concretoBloco(HC[[#This Row],[nE]],HC[[#This Row],[e (cm)]],HC[[#This Row],[a (cm)]],HC[[#This Row],[h (cm)]])</f>
        <v>3.456</v>
      </c>
      <c r="BA114" s="5">
        <f ca="1">SUM(HC[[#This Row],[Aço Est (kg)]],HC[[#This Row],[Aço Bloco (kg)]])</f>
        <v>152.21655774731352</v>
      </c>
      <c r="BB114" s="4">
        <f>INDEX(composicoes[],MATCH(95580,composicoes[CÓDIGO],0),MATCH("CUSTO TOTAL",composicoes[#Headers],0))</f>
        <v>10.46</v>
      </c>
      <c r="BC114" s="4">
        <f ca="1">SUM(HC[[#This Row],[Conc Est (m³)]],HC[[#This Row],[Conc Bloco (m³)]])</f>
        <v>8.9852030703180361</v>
      </c>
      <c r="BD114" s="4">
        <f>INDEX(composicoes[],MATCH(94966,composicoes[CÓDIGO],0),MATCH("CUSTO TOTAL",composicoes[#Headers],0))</f>
        <v>439.52</v>
      </c>
      <c r="BE114" s="38">
        <f ca="1">HC[[#This Row],[Aço (kg)]]*HC[[#This Row],[Aço (R$/kg)]]+HC[[#This Row],[Conc (m³)]]*HC[[#This Row],[Conc (R$/m³)]]</f>
        <v>5541.3616475030822</v>
      </c>
      <c r="BF114" s="4" t="str">
        <f ca="1">IF(COUNTIF(HC[#This Row],"N.S.")&gt;0,"lim.","OK")</f>
        <v>OK</v>
      </c>
      <c r="BG114" s="4" t="str">
        <f>IF(HC[[#This Row],[Prof. (m)]]&lt;4,"lim.","OK")</f>
        <v>OK</v>
      </c>
      <c r="BH114" s="4" t="str">
        <f>IF(HC[[#This Row],[Prof. (m)]]&gt;=8*HC[[#This Row],[Ø (cm)]]/100,"OK","lim.")</f>
        <v>OK</v>
      </c>
      <c r="BI114" s="4" t="str">
        <f ca="1">IF(HC[[#This Row],[Verif. Biela]]="OK","OK","lim.")</f>
        <v>OK</v>
      </c>
      <c r="BJ114" s="4" t="str">
        <f ca="1">IF(COUNTA(HC[[#This Row],[Nº Est.]:[Biela comp.]])=COUNTIF(HC[[#This Row],[Nº Est.]:[Biela comp.]],"OK"),"OK","lim.")</f>
        <v>OK</v>
      </c>
      <c r="BK114" s="4" t="str">
        <f ca="1">IF(HC[[#This Row],[Controle]]="OK",HC[[#This Row],[nE]]&amp;" Ø"&amp;HC[[#This Row],[Ø (cm)]]&amp;"cm Prof. "&amp;HC[[#This Row],[Prof. (m)]]&amp;" m","")</f>
        <v>4 Ø40cm Prof. 11 m</v>
      </c>
      <c r="BL114" s="4" t="str">
        <f ca="1">IF(HC[[#This Row],[idDimensionamento]]="","",HC[[#This Row],[idPilar]]&amp;HC[[#This Row],[idDimensionamento]])</f>
        <v>24 Ø40cm Prof. 11 m</v>
      </c>
    </row>
    <row r="115" spans="2:64" x14ac:dyDescent="0.25">
      <c r="B115" s="12">
        <f>ROUNDUP((ROW(HC[[#This Row],[idDiâmetro]])-ROW(HC[[#Headers],[idDiâmetro]]))/(COUNT(SPT[Prof. (m)])*COUNT(PILARES[Pilar])),0)</f>
        <v>4</v>
      </c>
      <c r="C115" s="12">
        <f>IF(HC[[#This Row],[idDiâmetro]]&lt;&gt;B114,1,IF(HC[[#This Row],[Prof. (m)]]=0,C114+1,C114))</f>
        <v>2</v>
      </c>
      <c r="D115" s="1">
        <f>IFERROR(IF(D114=MAX(SPT[Prof. (m)]),0,D114+1),0)</f>
        <v>12</v>
      </c>
      <c r="E115" s="1">
        <f>INDEX(SPT[],MATCH(HC[[#This Row],[Prof. (m)]],SPT[Prof. (m)],0),2)</f>
        <v>52</v>
      </c>
      <c r="F115" s="1" t="str">
        <f>INDEX(SPT[],MATCH(HC[[#This Row],[Prof. (m)]],SPT[Prof. (m)],0),3)</f>
        <v>Areia siltosa</v>
      </c>
      <c r="G115" s="1">
        <f>INDEX(estacas[],HC[[#This Row],[idDiâmetro]],MATCH($B$2,estacas[#Headers],0))</f>
        <v>40</v>
      </c>
      <c r="H115" s="1">
        <f>INDEX(estacas[],MATCH(HC[[#This Row],[Ø (cm)]],estacas[Ø HC (cm)],0),MATCH(HC[[#Headers],[Pe HC (kN)]],estacas[#Headers],0))</f>
        <v>800</v>
      </c>
      <c r="I115" s="4">
        <f>INDEX(K_alpha_C[],MATCH(HC[[#This Row],[Solo]],K_alpha_C[Solo],0),2)</f>
        <v>0.8</v>
      </c>
      <c r="J115" s="5">
        <f>INDEX(K_alpha_C[],MATCH(HC[[#This Row],[Solo]],K_alpha_C[Solo],0),3)</f>
        <v>2</v>
      </c>
      <c r="K115" s="4">
        <f>INDEX(F1_F2[],MATCH($D$2,F1_F2[Tipo de estaca],0),2)</f>
        <v>2</v>
      </c>
      <c r="L115" s="4">
        <f>INDEX(F1_F2[],MATCH($D$2,F1_F2[Tipo de estaca],0),3)</f>
        <v>4</v>
      </c>
      <c r="M115" s="4">
        <f>PI()*(HC[[#This Row],[Ø (cm)]]/100)^2/4</f>
        <v>0.12566370614359174</v>
      </c>
      <c r="N115" s="4">
        <f>PI()*HC[[#This Row],[Ø (cm)]]/100</f>
        <v>1.2566370614359172</v>
      </c>
      <c r="O115" s="4">
        <f>IF(HC[[#This Row],[Prof. (m)]]=0,0,HC[[#This Row],[α (%)]]/100*HC[[#This Row],[K (MPa)]]*1000*HC[[#This Row],[NSPT]])</f>
        <v>832</v>
      </c>
      <c r="P115" s="4">
        <f>IF(HC[[#This Row],[Prof. (m)]]=0,0,(HC[[#This Row],[K (MPa)]]*1000*HC[[#This Row],[NSPT]]/HC[[#This Row],[F1]]*HC[[#This Row],[Ap (m²)]]+HC[[#This Row],[U (m)]]/HC[[#This Row],[F2]]*SUMIFS(HC[(α∙K∙NL∙ΔL)],HC[Prof. (m)],"&lt;="&amp;HC[[#This Row],[Prof. (m)]],HC[idDiâmetro],HC[[#This Row],[idDiâmetro]],HC[idPilar],HC[[#This Row],[idPilar]]))/'DADOS CAP. CARGA'!$D$2)</f>
        <v>1843.4708611632227</v>
      </c>
      <c r="Q115" s="12">
        <f>INDEX(C_alpha_beta[],MATCH(HC[[#This Row],[Solo]],C_alpha_beta[Solo],0),MATCH(HC[[#Headers],[C (kPa)]],C_alpha_beta[#Headers],0))</f>
        <v>400</v>
      </c>
      <c r="R115" s="4">
        <f>INDEX(C_alpha_beta[],MATCH(HC[[#This Row],[Solo]],C_alpha_beta[Solo],0),MATCH(HC[[#Headers],[α ESF]],C_alpha_beta[#Headers],0))</f>
        <v>0.5</v>
      </c>
      <c r="S115" s="4">
        <f>INDEX(C_alpha_beta[],MATCH(HC[[#This Row],[Solo]],C_alpha_beta[Solo],0),MATCH(HC[[#Headers],[β ESF]],C_alpha_beta[#Headers],0))</f>
        <v>0.5</v>
      </c>
      <c r="T115" s="4">
        <f>IF(HC[[#This Row],[Prof. (m)]]=0,0,10*(HC[[#This Row],[NSPT]]/3+1))</f>
        <v>183.33333333333331</v>
      </c>
      <c r="U115" s="4">
        <f>(HC[[#This Row],[α ESF]]*HC[[#This Row],[C (kPa)]]*HC[[#This Row],[NSPT]]*HC[[#This Row],[Ap (m²)]])/'DADOS CAP. CARGA'!$Q$2+(HC[[#This Row],[β ESF]]*SUMIFS(HC[10∙(NL/3+1)],HC[Prof. (m)],"&lt;="&amp;HC[[#This Row],[Prof. (m)]],HC[idDiâmetro],HC[[#This Row],[idDiâmetro]],HC[idPilar],HC[[#This Row],[idPilar]])*HC[[#This Row],[U (m)]])/'DADOS CAP. CARGA'!$S$2</f>
        <v>597.94980173325735</v>
      </c>
      <c r="V115" s="4">
        <f>IF(SPT!$M$5=1,MIN(HC[[#This Row],[Pe HC (kN)]],HC[[#This Row],[R_AV (kN)]]),IF(SPT!$M$5=2,MIN(HC[[#This Row],[Pe HC (kN)]],HC[[#This Row],[R_DC (kN)]]),MIN(HC[[#This Row],[Pe HC (kN)]],HC[[#This Row],[R_AV (kN)]],HC[[#This Row],[R_DC (kN)]])))</f>
        <v>597.94980173325735</v>
      </c>
      <c r="W115" s="4">
        <f>INDEX(PILARES[],HC[[#This Row],[idPilar]],MATCH("Carga (kN)",PILARES[#Headers],0))*1.4</f>
        <v>1750</v>
      </c>
      <c r="X115" s="12">
        <f>INDEX(PILARES[],HC[[#This Row],[idPilar]],MATCH(HC[[#Headers],[ap (cm)]],PILARES[#Headers],0))</f>
        <v>50</v>
      </c>
      <c r="Y115" s="12">
        <f>INDEX(PILARES[],HC[[#This Row],[idPilar]],MATCH(HC[[#Headers],[bp (cm)]],PILARES[#Headers],0))</f>
        <v>40</v>
      </c>
      <c r="Z115" s="4">
        <f>SQRT(HC[[#This Row],[ap (cm)]]*HC[[#This Row],[bp (cm)]])</f>
        <v>44.721359549995796</v>
      </c>
      <c r="AA115" s="12">
        <f>HC[[#This Row],[ap (cm)]]*HC[[#This Row],[bp (cm)]]</f>
        <v>2000</v>
      </c>
      <c r="AB115" s="12">
        <f ca="1">IF(HC[[#This Row],[Padm∙ε (kN)]]&gt;=HC[[#This Row],[Padm (kN)]],ROUNDUP(1.05*HC[[#This Row],[Nsd (kN)]]/HC[[#This Row],[Padm (kN)]],0),ROUNDUP(1.05*HC[[#This Row],[Nsd (kN)]]/HC[[#This Row],[Padm (kN)]],0)+1)</f>
        <v>4</v>
      </c>
      <c r="AC115" s="4">
        <f ca="1">IFERROR(IF(HC[[#This Row],[nE]]=1,HC[[#This Row],[Padm (kN)]],HC[[#This Row],[Padm (kN)]]*HC[[#This Row],[nE]]*INDEX(grupoEstacas[],HC[[#This Row],[nE]],MATCH("ε",grupoEstacas[#Headers],0))),"N.S.")</f>
        <v>1943.3368556330863</v>
      </c>
      <c r="AD115" s="4">
        <f ca="1">1.05*HC[[#This Row],[Nsd (kN)]]/(HC[[#This Row],[nE]]*PI()*HC[[#This Row],[Ø (cm)]]^2/4)*10</f>
        <v>3.6555900991419712</v>
      </c>
      <c r="AE115" s="4">
        <f ca="1">IF(HC[[#This Row],[σ (MPa)]]&lt;INDEX(tipoEstaca[],MATCH($D$2,tipoEstaca[TIPO DE ESTACA],0),MATCH("σmáx (MPa)",tipoEstaca[#Headers],0)),0.4%*PI()*HC[[#This Row],[Ø (cm)]]^2/4,"N.S.")</f>
        <v>5.026548245743669</v>
      </c>
      <c r="AF115" s="1">
        <f>INDEX(tipoEstaca[],MATCH($D$2,tipoEstaca[TIPO DE ESTACA],0),MATCH(HC[[#Headers],[Comprimento (m)]],tipoEstaca[#Headers],0))</f>
        <v>4</v>
      </c>
      <c r="AG115" s="5">
        <f ca="1">HC[[#This Row],[As,mín (cm²)]]/100^2*HC[[#This Row],[Comprimento (m)]]*7850</f>
        <v>15.783361491635119</v>
      </c>
      <c r="AH115" s="4">
        <f ca="1">HC[[#This Row],[nE]]*HC[[#This Row],[Prof. (m)]]*HC[[#This Row],[Ap (m²)]]</f>
        <v>6.0318578948924033</v>
      </c>
      <c r="AI115" s="1">
        <f ca="1">IF(HC[[#This Row],[nE]]=1,0,MAX(3*HC[[#This Row],[Ø (cm)]],60))</f>
        <v>120</v>
      </c>
      <c r="AJ115" s="1">
        <f ca="1">IF(HC[[#This Row],[nE]]=1,HC[[#This Row],[Ø (cm)]]+2*10,MAX(1.5*HC[[#This Row],[Ø (cm)]],HC[[#This Row],[Ø (cm)]]+15))</f>
        <v>60</v>
      </c>
      <c r="AK115" s="1">
        <f ca="1">alturaUtil(HC[[#This Row],[nE]],HC[[#This Row],[Ø (cm)]],HC[[#This Row],[e (cm)]],HC[[#This Row],[ap,eq (cm)]])</f>
        <v>50</v>
      </c>
      <c r="AL115" s="1">
        <f ca="1">IFERROR(HC[[#This Row],[d (cm)]]+arredondarParaCimaMultiplo5cm(MAX(5,SQRT(PI())/2*HC[[#This Row],[Ø (cm)]]/5)),"N.S.")</f>
        <v>60</v>
      </c>
      <c r="AM115" s="5">
        <f ca="1">alpha(HC[[#This Row],[nE]],HC[[#This Row],[d (cm)]],HC[[#This Row],[e (cm)]],HC[[#This Row],[ap,eq (cm)]])</f>
        <v>45.684330203076314</v>
      </c>
      <c r="AN115" s="35">
        <f ca="1">IFERROR(HC[[#This Row],[Nsd (kN)]]/(HC[[#This Row],[Ap (cm²)]]*SIN(HC[[#This Row],[α]])^2),"N.S.")</f>
        <v>0.89024493430205986</v>
      </c>
      <c r="AO115" s="35">
        <f ca="1">IFERROR(HC[[#This Row],[Nsd (kN)]]/(HC[[#This Row],[nE]]*PI()*HC[[#This Row],[Ø (cm)]]^2/4*SIN(HC[[#This Row],[α]])^2),"N.S.")</f>
        <v>0.35421720464173106</v>
      </c>
      <c r="AP115" s="4">
        <f ca="1">IFERROR(INDEX(grupoEstacas[],HC[[#This Row],[nE]],MATCH("coef. Blévot",grupoEstacas[#Headers],0)),"N.S.")</f>
        <v>2.1</v>
      </c>
      <c r="AQ115" s="35">
        <f ca="1">IFERROR(HC[[#This Row],[coef. Blévot]]*0.9*INDEX(tipoEstaca[],MATCH($D$2,tipoEstaca[TIPO DE ESTACA],0),MATCH("fcd (kN/cm²)",tipoEstaca[#Headers],0)),"N.S.")</f>
        <v>2.1</v>
      </c>
      <c r="AR115" s="1" t="str">
        <f ca="1">IF(AND(HC[[#This Row],[cd,b,pil (kN/cm²)]]&lt;=HC[[#This Row],[cd,b,lim (kN/cm²)]],HC[[#This Row],[cd,b,est (kN/cm²)]]&lt;=HC[[#This Row],[cd,b,lim (kN/cm²)]]),"OK","ERRO")</f>
        <v>OK</v>
      </c>
      <c r="AS115" s="4">
        <f ca="1">As_lado(HC[[#This Row],[nE]],HC[[#This Row],[Nsd (kN)]],HC[[#This Row],[d (cm)]],HC[[#This Row],[e (cm)]],HC[[#This Row],[ap,eq (cm)]])</f>
        <v>9.8249565976408366</v>
      </c>
      <c r="AT115" s="4" t="str">
        <f ca="1">IF(HC[[#This Row],[nE]]=1,HC[[#This Row],[As,lado (cm²)]],IF(HC[[#This Row],[nE]]=2,0.075*2*HC[a (cm)],"N.A."))</f>
        <v>N.A.</v>
      </c>
      <c r="AU115" s="4">
        <f ca="1">IFERROR(IF(HC[[#This Row],[nE]]=1,"N.A.",0.2*HC[[#This Row],[As,lado (cm²)]]),"N.S.")</f>
        <v>1.9649913195281674</v>
      </c>
      <c r="AV115" s="4">
        <f ca="1">As_malha(HC[[#This Row],[nE]],HC[[#This Row],[As,lado (cm²)]],HC[[#This Row],[Nsd (kN)]])</f>
        <v>1.9649913195281674</v>
      </c>
      <c r="AW115" s="4">
        <f ca="1">As_susp_tot(HC[[#This Row],[nE]],HC[[#This Row],[Nsd (kN)]])</f>
        <v>6.708333333333333</v>
      </c>
      <c r="AX115" s="4">
        <f ca="1">Asp_face(HC[[#This Row],[nE]],HC[[#This Row],[As,lado (cm²)]])</f>
        <v>4.9124782988204183</v>
      </c>
      <c r="AY115" s="5">
        <f ca="1">acoBloco(HC[[#This Row],[nE]],HC[[#This Row],[e (cm)]],HC[[#This Row],[a (cm)]],HC[[#This Row],[h (cm)]],HC[[#This Row],[As,lado (cm²)]],HC[[#This Row],[Asp e Asw (cm²/m)]],HC[[#This Row],[As,sup (cm²)]],HC[[#This Row],[As,malha (cm²)]],HC[[#This Row],[As,susp,tot (cm²)]],HC[[#This Row],[Asp,face (cm²)]])</f>
        <v>136.43319625567841</v>
      </c>
      <c r="AZ115" s="4">
        <f ca="1">concretoBloco(HC[[#This Row],[nE]],HC[[#This Row],[e (cm)]],HC[[#This Row],[a (cm)]],HC[[#This Row],[h (cm)]])</f>
        <v>3.456</v>
      </c>
      <c r="BA115" s="5">
        <f ca="1">SUM(HC[[#This Row],[Aço Est (kg)]],HC[[#This Row],[Aço Bloco (kg)]])</f>
        <v>152.21655774731352</v>
      </c>
      <c r="BB115" s="4">
        <f>INDEX(composicoes[],MATCH(95580,composicoes[CÓDIGO],0),MATCH("CUSTO TOTAL",composicoes[#Headers],0))</f>
        <v>10.46</v>
      </c>
      <c r="BC115" s="4">
        <f ca="1">SUM(HC[[#This Row],[Conc Est (m³)]],HC[[#This Row],[Conc Bloco (m³)]])</f>
        <v>9.4878578948924037</v>
      </c>
      <c r="BD115" s="4">
        <f>INDEX(composicoes[],MATCH(94966,composicoes[CÓDIGO],0),MATCH("CUSTO TOTAL",composicoes[#Headers],0))</f>
        <v>439.52</v>
      </c>
      <c r="BE115" s="38">
        <f ca="1">HC[[#This Row],[Aço (kg)]]*HC[[#This Row],[Aço (R$/kg)]]+HC[[#This Row],[Conc (m³)]]*HC[[#This Row],[Conc (R$/m³)]]</f>
        <v>5762.2884960000092</v>
      </c>
      <c r="BF115" s="4" t="str">
        <f ca="1">IF(COUNTIF(HC[#This Row],"N.S.")&gt;0,"lim.","OK")</f>
        <v>OK</v>
      </c>
      <c r="BG115" s="4" t="str">
        <f>IF(HC[[#This Row],[Prof. (m)]]&lt;4,"lim.","OK")</f>
        <v>OK</v>
      </c>
      <c r="BH115" s="4" t="str">
        <f>IF(HC[[#This Row],[Prof. (m)]]&gt;=8*HC[[#This Row],[Ø (cm)]]/100,"OK","lim.")</f>
        <v>OK</v>
      </c>
      <c r="BI115" s="4" t="str">
        <f ca="1">IF(HC[[#This Row],[Verif. Biela]]="OK","OK","lim.")</f>
        <v>OK</v>
      </c>
      <c r="BJ115" s="4" t="str">
        <f ca="1">IF(COUNTA(HC[[#This Row],[Nº Est.]:[Biela comp.]])=COUNTIF(HC[[#This Row],[Nº Est.]:[Biela comp.]],"OK"),"OK","lim.")</f>
        <v>OK</v>
      </c>
      <c r="BK115" s="4" t="str">
        <f ca="1">IF(HC[[#This Row],[Controle]]="OK",HC[[#This Row],[nE]]&amp;" Ø"&amp;HC[[#This Row],[Ø (cm)]]&amp;"cm Prof. "&amp;HC[[#This Row],[Prof. (m)]]&amp;" m","")</f>
        <v>4 Ø40cm Prof. 12 m</v>
      </c>
      <c r="BL115" s="4" t="str">
        <f ca="1">IF(HC[[#This Row],[idDimensionamento]]="","",HC[[#This Row],[idPilar]]&amp;HC[[#This Row],[idDimensionamento]])</f>
        <v>24 Ø40cm Prof. 12 m</v>
      </c>
    </row>
    <row r="116" spans="2:64" x14ac:dyDescent="0.25">
      <c r="B116" s="12">
        <f>ROUNDUP((ROW(HC[[#This Row],[idDiâmetro]])-ROW(HC[[#Headers],[idDiâmetro]]))/(COUNT(SPT[Prof. (m)])*COUNT(PILARES[Pilar])),0)</f>
        <v>4</v>
      </c>
      <c r="C116" s="12">
        <f>IF(HC[[#This Row],[idDiâmetro]]&lt;&gt;B115,1,IF(HC[[#This Row],[Prof. (m)]]=0,C115+1,C115))</f>
        <v>2</v>
      </c>
      <c r="D116" s="1">
        <f>IFERROR(IF(D115=MAX(SPT[Prof. (m)]),0,D115+1),0)</f>
        <v>13</v>
      </c>
      <c r="E116" s="1">
        <f>INDEX(SPT[],MATCH(HC[[#This Row],[Prof. (m)]],SPT[Prof. (m)],0),2)</f>
        <v>68</v>
      </c>
      <c r="F116" s="1" t="str">
        <f>INDEX(SPT[],MATCH(HC[[#This Row],[Prof. (m)]],SPT[Prof. (m)],0),3)</f>
        <v>Areia siltosa</v>
      </c>
      <c r="G116" s="1">
        <f>INDEX(estacas[],HC[[#This Row],[idDiâmetro]],MATCH($B$2,estacas[#Headers],0))</f>
        <v>40</v>
      </c>
      <c r="H116" s="1">
        <f>INDEX(estacas[],MATCH(HC[[#This Row],[Ø (cm)]],estacas[Ø HC (cm)],0),MATCH(HC[[#Headers],[Pe HC (kN)]],estacas[#Headers],0))</f>
        <v>800</v>
      </c>
      <c r="I116" s="4">
        <f>INDEX(K_alpha_C[],MATCH(HC[[#This Row],[Solo]],K_alpha_C[Solo],0),2)</f>
        <v>0.8</v>
      </c>
      <c r="J116" s="5">
        <f>INDEX(K_alpha_C[],MATCH(HC[[#This Row],[Solo]],K_alpha_C[Solo],0),3)</f>
        <v>2</v>
      </c>
      <c r="K116" s="4">
        <f>INDEX(F1_F2[],MATCH($D$2,F1_F2[Tipo de estaca],0),2)</f>
        <v>2</v>
      </c>
      <c r="L116" s="4">
        <f>INDEX(F1_F2[],MATCH($D$2,F1_F2[Tipo de estaca],0),3)</f>
        <v>4</v>
      </c>
      <c r="M116" s="4">
        <f>PI()*(HC[[#This Row],[Ø (cm)]]/100)^2/4</f>
        <v>0.12566370614359174</v>
      </c>
      <c r="N116" s="4">
        <f>PI()*HC[[#This Row],[Ø (cm)]]/100</f>
        <v>1.2566370614359172</v>
      </c>
      <c r="O116" s="4">
        <f>IF(HC[[#This Row],[Prof. (m)]]=0,0,HC[[#This Row],[α (%)]]/100*HC[[#This Row],[K (MPa)]]*1000*HC[[#This Row],[NSPT]])</f>
        <v>1088</v>
      </c>
      <c r="P116" s="4">
        <f>IF(HC[[#This Row],[Prof. (m)]]=0,0,(HC[[#This Row],[K (MPa)]]*1000*HC[[#This Row],[NSPT]]/HC[[#This Row],[F1]]*HC[[#This Row],[Ap (m²)]]+HC[[#This Row],[U (m)]]/HC[[#This Row],[F2]]*SUMIFS(HC[(α∙K∙NL∙ΔL)],HC[Prof. (m)],"&lt;="&amp;HC[[#This Row],[Prof. (m)]],HC[idDiâmetro],HC[[#This Row],[idDiâmetro]],HC[idPilar],HC[[#This Row],[idPilar]]))/'DADOS CAP. CARGA'!$D$2)</f>
        <v>2416.497361178001</v>
      </c>
      <c r="Q116" s="12">
        <f>INDEX(C_alpha_beta[],MATCH(HC[[#This Row],[Solo]],C_alpha_beta[Solo],0),MATCH(HC[[#Headers],[C (kPa)]],C_alpha_beta[#Headers],0))</f>
        <v>400</v>
      </c>
      <c r="R116" s="4">
        <f>INDEX(C_alpha_beta[],MATCH(HC[[#This Row],[Solo]],C_alpha_beta[Solo],0),MATCH(HC[[#Headers],[α ESF]],C_alpha_beta[#Headers],0))</f>
        <v>0.5</v>
      </c>
      <c r="S116" s="4">
        <f>INDEX(C_alpha_beta[],MATCH(HC[[#This Row],[Solo]],C_alpha_beta[Solo],0),MATCH(HC[[#Headers],[β ESF]],C_alpha_beta[#Headers],0))</f>
        <v>0.5</v>
      </c>
      <c r="T116" s="4">
        <f>IF(HC[[#This Row],[Prof. (m)]]=0,0,10*(HC[[#This Row],[NSPT]]/3+1))</f>
        <v>236.66666666666669</v>
      </c>
      <c r="U116" s="4">
        <f>(HC[[#This Row],[α ESF]]*HC[[#This Row],[C (kPa)]]*HC[[#This Row],[NSPT]]*HC[[#This Row],[Ap (m²)]])/'DADOS CAP. CARGA'!$Q$2+(HC[[#This Row],[β ESF]]*SUMIFS(HC[10∙(NL/3+1)],HC[Prof. (m)],"&lt;="&amp;HC[[#This Row],[Prof. (m)]],HC[idDiâmetro],HC[[#This Row],[idDiâmetro]],HC[idPilar],HC[[#This Row],[idPilar]])*HC[[#This Row],[U (m)]])/'DADOS CAP. CARGA'!$S$2</f>
        <v>772.83179278308921</v>
      </c>
      <c r="V116" s="4">
        <f>IF(SPT!$M$5=1,MIN(HC[[#This Row],[Pe HC (kN)]],HC[[#This Row],[R_AV (kN)]]),IF(SPT!$M$5=2,MIN(HC[[#This Row],[Pe HC (kN)]],HC[[#This Row],[R_DC (kN)]]),MIN(HC[[#This Row],[Pe HC (kN)]],HC[[#This Row],[R_AV (kN)]],HC[[#This Row],[R_DC (kN)]])))</f>
        <v>772.83179278308921</v>
      </c>
      <c r="W116" s="4">
        <f>INDEX(PILARES[],HC[[#This Row],[idPilar]],MATCH("Carga (kN)",PILARES[#Headers],0))*1.4</f>
        <v>1750</v>
      </c>
      <c r="X116" s="12">
        <f>INDEX(PILARES[],HC[[#This Row],[idPilar]],MATCH(HC[[#Headers],[ap (cm)]],PILARES[#Headers],0))</f>
        <v>50</v>
      </c>
      <c r="Y116" s="12">
        <f>INDEX(PILARES[],HC[[#This Row],[idPilar]],MATCH(HC[[#Headers],[bp (cm)]],PILARES[#Headers],0))</f>
        <v>40</v>
      </c>
      <c r="Z116" s="4">
        <f>SQRT(HC[[#This Row],[ap (cm)]]*HC[[#This Row],[bp (cm)]])</f>
        <v>44.721359549995796</v>
      </c>
      <c r="AA116" s="12">
        <f>HC[[#This Row],[ap (cm)]]*HC[[#This Row],[bp (cm)]]</f>
        <v>2000</v>
      </c>
      <c r="AB116" s="12">
        <f ca="1">IF(HC[[#This Row],[Padm∙ε (kN)]]&gt;=HC[[#This Row],[Padm (kN)]],ROUNDUP(1.05*HC[[#This Row],[Nsd (kN)]]/HC[[#This Row],[Padm (kN)]],0),ROUNDUP(1.05*HC[[#This Row],[Nsd (kN)]]/HC[[#This Row],[Padm (kN)]],0)+1)</f>
        <v>3</v>
      </c>
      <c r="AC116" s="4">
        <f ca="1">IFERROR(IF(HC[[#This Row],[nE]]=1,HC[[#This Row],[Padm (kN)]],HC[[#This Row],[Padm (kN)]]*HC[[#This Row],[nE]]*INDEX(grupoEstacas[],HC[[#This Row],[nE]],MATCH("ε",grupoEstacas[#Headers],0))),"N.S.")</f>
        <v>2028.683456055609</v>
      </c>
      <c r="AD116" s="4">
        <f ca="1">1.05*HC[[#This Row],[Nsd (kN)]]/(HC[[#This Row],[nE]]*PI()*HC[[#This Row],[Ø (cm)]]^2/4)*10</f>
        <v>4.8741201321892955</v>
      </c>
      <c r="AE116" s="4">
        <f ca="1">IF(HC[[#This Row],[σ (MPa)]]&lt;INDEX(tipoEstaca[],MATCH($D$2,tipoEstaca[TIPO DE ESTACA],0),MATCH("σmáx (MPa)",tipoEstaca[#Headers],0)),0.4%*PI()*HC[[#This Row],[Ø (cm)]]^2/4,"N.S.")</f>
        <v>5.026548245743669</v>
      </c>
      <c r="AF116" s="1">
        <f>INDEX(tipoEstaca[],MATCH($D$2,tipoEstaca[TIPO DE ESTACA],0),MATCH(HC[[#Headers],[Comprimento (m)]],tipoEstaca[#Headers],0))</f>
        <v>4</v>
      </c>
      <c r="AG116" s="5">
        <f ca="1">HC[[#This Row],[As,mín (cm²)]]/100^2*HC[[#This Row],[Comprimento (m)]]*7850</f>
        <v>15.783361491635119</v>
      </c>
      <c r="AH116" s="4">
        <f ca="1">HC[[#This Row],[nE]]*HC[[#This Row],[Prof. (m)]]*HC[[#This Row],[Ap (m²)]]</f>
        <v>4.900884539600078</v>
      </c>
      <c r="AI116" s="1">
        <f ca="1">IF(HC[[#This Row],[nE]]=1,0,MAX(3*HC[[#This Row],[Ø (cm)]],60))</f>
        <v>120</v>
      </c>
      <c r="AJ116" s="1">
        <f ca="1">IF(HC[[#This Row],[nE]]=1,HC[[#This Row],[Ø (cm)]]+2*10,MAX(1.5*HC[[#This Row],[Ø (cm)]],HC[[#This Row],[Ø (cm)]]+15))</f>
        <v>60</v>
      </c>
      <c r="AK116" s="1">
        <f ca="1">alturaUtil(HC[[#This Row],[nE]],HC[[#This Row],[Ø (cm)]],HC[[#This Row],[e (cm)]],HC[[#This Row],[ap,eq (cm)]])</f>
        <v>50</v>
      </c>
      <c r="AL116" s="1">
        <f ca="1">IFERROR(HC[[#This Row],[d (cm)]]+arredondarParaCimaMultiplo5cm(MAX(5,SQRT(PI())/2*HC[[#This Row],[Ø (cm)]]/5)),"N.S.")</f>
        <v>60</v>
      </c>
      <c r="AM116" s="5">
        <f ca="1">alpha(HC[[#This Row],[nE]],HC[[#This Row],[d (cm)]],HC[[#This Row],[e (cm)]],HC[[#This Row],[ap,eq (cm)]])</f>
        <v>47.025853134229614</v>
      </c>
      <c r="AN116" s="35">
        <f ca="1">IFERROR(HC[[#This Row],[Nsd (kN)]]/(HC[[#This Row],[Ap (cm²)]]*SIN(HC[[#This Row],[α]])^2),"N.S.")</f>
        <v>91.331956700374235</v>
      </c>
      <c r="AO116" s="35">
        <f ca="1">IFERROR(HC[[#This Row],[Nsd (kN)]]/(HC[[#This Row],[nE]]*PI()*HC[[#This Row],[Ø (cm)]]^2/4*SIN(HC[[#This Row],[α]])^2),"N.S.")</f>
        <v>48.453107903731706</v>
      </c>
      <c r="AP116" s="4">
        <f ca="1">IFERROR(INDEX(grupoEstacas[],HC[[#This Row],[nE]],MATCH("coef. Blévot",grupoEstacas[#Headers],0)),"N.S.")</f>
        <v>1.75</v>
      </c>
      <c r="AQ116" s="35">
        <f ca="1">IFERROR(HC[[#This Row],[coef. Blévot]]*0.9*INDEX(tipoEstaca[],MATCH($D$2,tipoEstaca[TIPO DE ESTACA],0),MATCH("fcd (kN/cm²)",tipoEstaca[#Headers],0)),"N.S.")</f>
        <v>1.75</v>
      </c>
      <c r="AR116" s="1" t="str">
        <f ca="1">IF(AND(HC[[#This Row],[cd,b,pil (kN/cm²)]]&lt;=HC[[#This Row],[cd,b,lim (kN/cm²)]],HC[[#This Row],[cd,b,est (kN/cm²)]]&lt;=HC[[#This Row],[cd,b,lim (kN/cm²)]]),"OK","ERRO")</f>
        <v>ERRO</v>
      </c>
      <c r="AS116" s="4">
        <f ca="1">As_lado(HC[[#This Row],[nE]],HC[[#This Row],[Nsd (kN)]],HC[[#This Row],[d (cm)]],HC[[#This Row],[e (cm)]],HC[[#This Row],[ap,eq (cm)]])</f>
        <v>8.6548322708686847</v>
      </c>
      <c r="AT116" s="4" t="str">
        <f ca="1">IF(HC[[#This Row],[nE]]=1,HC[[#This Row],[As,lado (cm²)]],IF(HC[[#This Row],[nE]]=2,0.075*2*HC[a (cm)],"N.A."))</f>
        <v>N.A.</v>
      </c>
      <c r="AU116" s="4">
        <f ca="1">IFERROR(IF(HC[[#This Row],[nE]]=1,"N.A.",0.2*HC[[#This Row],[As,lado (cm²)]]),"N.S.")</f>
        <v>1.7309664541737371</v>
      </c>
      <c r="AV116" s="4">
        <f ca="1">As_malha(HC[[#This Row],[nE]],HC[[#This Row],[As,lado (cm²)]],HC[[#This Row],[Nsd (kN)]])</f>
        <v>2.981481481481481</v>
      </c>
      <c r="AW116" s="4">
        <f ca="1">As_susp_tot(HC[[#This Row],[nE]],HC[[#This Row],[Nsd (kN)]])</f>
        <v>8.9444444444444429</v>
      </c>
      <c r="AX116" s="4">
        <f ca="1">Asp_face(HC[[#This Row],[nE]],HC[[#This Row],[As,lado (cm²)]])</f>
        <v>3.2455621015757568</v>
      </c>
      <c r="AY116" s="5">
        <f ca="1">acoBloco(HC[[#This Row],[nE]],HC[[#This Row],[e (cm)]],HC[[#This Row],[a (cm)]],HC[[#This Row],[h (cm)]],HC[[#This Row],[As,lado (cm²)]],HC[[#This Row],[Asp e Asw (cm²/m)]],HC[[#This Row],[As,sup (cm²)]],HC[[#This Row],[As,malha (cm²)]],HC[[#This Row],[As,susp,tot (cm²)]],HC[[#This Row],[Asp,face (cm²)]])</f>
        <v>102.90704246251101</v>
      </c>
      <c r="AZ116" s="4">
        <f ca="1">concretoBloco(HC[[#This Row],[nE]],HC[[#This Row],[e (cm)]],HC[[#This Row],[a (cm)]],HC[[#This Row],[h (cm)]])</f>
        <v>2.4183689233046324</v>
      </c>
      <c r="BA116" s="5">
        <f ca="1">SUM(HC[[#This Row],[Aço Est (kg)]],HC[[#This Row],[Aço Bloco (kg)]])</f>
        <v>118.69040395414613</v>
      </c>
      <c r="BB116" s="4">
        <f>INDEX(composicoes[],MATCH(95580,composicoes[CÓDIGO],0),MATCH("CUSTO TOTAL",composicoes[#Headers],0))</f>
        <v>10.46</v>
      </c>
      <c r="BC116" s="4">
        <f ca="1">SUM(HC[[#This Row],[Conc Est (m³)]],HC[[#This Row],[Conc Bloco (m³)]])</f>
        <v>7.3192534629047099</v>
      </c>
      <c r="BD116" s="4">
        <f>INDEX(composicoes[],MATCH(94966,composicoes[CÓDIGO],0),MATCH("CUSTO TOTAL",composicoes[#Headers],0))</f>
        <v>439.52</v>
      </c>
      <c r="BE116" s="38">
        <f ca="1">HC[[#This Row],[Aço (kg)]]*HC[[#This Row],[Aço (R$/kg)]]+HC[[#This Row],[Conc (m³)]]*HC[[#This Row],[Conc (R$/m³)]]</f>
        <v>4458.4599073762465</v>
      </c>
      <c r="BF116" s="4" t="str">
        <f ca="1">IF(COUNTIF(HC[#This Row],"N.S.")&gt;0,"lim.","OK")</f>
        <v>OK</v>
      </c>
      <c r="BG116" s="4" t="str">
        <f>IF(HC[[#This Row],[Prof. (m)]]&lt;4,"lim.","OK")</f>
        <v>OK</v>
      </c>
      <c r="BH116" s="4" t="str">
        <f>IF(HC[[#This Row],[Prof. (m)]]&gt;=8*HC[[#This Row],[Ø (cm)]]/100,"OK","lim.")</f>
        <v>OK</v>
      </c>
      <c r="BI116" s="4" t="str">
        <f ca="1">IF(HC[[#This Row],[Verif. Biela]]="OK","OK","lim.")</f>
        <v>lim.</v>
      </c>
      <c r="BJ116" s="4" t="str">
        <f ca="1">IF(COUNTA(HC[[#This Row],[Nº Est.]:[Biela comp.]])=COUNTIF(HC[[#This Row],[Nº Est.]:[Biela comp.]],"OK"),"OK","lim.")</f>
        <v>lim.</v>
      </c>
      <c r="BK116" s="4" t="str">
        <f ca="1">IF(HC[[#This Row],[Controle]]="OK",HC[[#This Row],[nE]]&amp;" Ø"&amp;HC[[#This Row],[Ø (cm)]]&amp;"cm Prof. "&amp;HC[[#This Row],[Prof. (m)]]&amp;" m","")</f>
        <v/>
      </c>
      <c r="BL116" s="4" t="str">
        <f ca="1">IF(HC[[#This Row],[idDimensionamento]]="","",HC[[#This Row],[idPilar]]&amp;HC[[#This Row],[idDimensionamento]])</f>
        <v/>
      </c>
    </row>
    <row r="117" spans="2:64" x14ac:dyDescent="0.25">
      <c r="B117" s="12">
        <f>ROUNDUP((ROW(HC[[#This Row],[idDiâmetro]])-ROW(HC[[#Headers],[idDiâmetro]]))/(COUNT(SPT[Prof. (m)])*COUNT(PILARES[Pilar])),0)</f>
        <v>5</v>
      </c>
      <c r="C117" s="12">
        <f>IF(HC[[#This Row],[idDiâmetro]]&lt;&gt;B116,1,IF(HC[[#This Row],[Prof. (m)]]=0,C116+1,C116))</f>
        <v>1</v>
      </c>
      <c r="D117" s="1">
        <f>IFERROR(IF(D116=MAX(SPT[Prof. (m)]),0,D116+1),0)</f>
        <v>0</v>
      </c>
      <c r="E117" s="1">
        <f>INDEX(SPT[],MATCH(HC[[#This Row],[Prof. (m)]],SPT[Prof. (m)],0),2)</f>
        <v>0</v>
      </c>
      <c r="F117" s="1" t="str">
        <f>INDEX(SPT[],MATCH(HC[[#This Row],[Prof. (m)]],SPT[Prof. (m)],0),3)</f>
        <v>Areia siltosa</v>
      </c>
      <c r="G117" s="1">
        <f>INDEX(estacas[],HC[[#This Row],[idDiâmetro]],MATCH($B$2,estacas[#Headers],0))</f>
        <v>42.5</v>
      </c>
      <c r="H117" s="1">
        <f>INDEX(estacas[],MATCH(HC[[#This Row],[Ø (cm)]],estacas[Ø HC (cm)],0),MATCH(HC[[#Headers],[Pe HC (kN)]],estacas[#Headers],0))</f>
        <v>900</v>
      </c>
      <c r="I117" s="4">
        <f>INDEX(K_alpha_C[],MATCH(HC[[#This Row],[Solo]],K_alpha_C[Solo],0),2)</f>
        <v>0.8</v>
      </c>
      <c r="J117" s="5">
        <f>INDEX(K_alpha_C[],MATCH(HC[[#This Row],[Solo]],K_alpha_C[Solo],0),3)</f>
        <v>2</v>
      </c>
      <c r="K117" s="4">
        <f>INDEX(F1_F2[],MATCH($D$2,F1_F2[Tipo de estaca],0),2)</f>
        <v>2</v>
      </c>
      <c r="L117" s="4">
        <f>INDEX(F1_F2[],MATCH($D$2,F1_F2[Tipo de estaca],0),3)</f>
        <v>4</v>
      </c>
      <c r="M117" s="4">
        <f>PI()*(HC[[#This Row],[Ø (cm)]]/100)^2/4</f>
        <v>0.14186254326366407</v>
      </c>
      <c r="N117" s="4">
        <f>PI()*HC[[#This Row],[Ø (cm)]]/100</f>
        <v>1.3351768777756621</v>
      </c>
      <c r="O117" s="4">
        <f>IF(HC[[#This Row],[Prof. (m)]]=0,0,HC[[#This Row],[α (%)]]/100*HC[[#This Row],[K (MPa)]]*1000*HC[[#This Row],[NSPT]])</f>
        <v>0</v>
      </c>
      <c r="P117" s="4">
        <f>IF(HC[[#This Row],[Prof. (m)]]=0,0,(HC[[#This Row],[K (MPa)]]*1000*HC[[#This Row],[NSPT]]/HC[[#This Row],[F1]]*HC[[#This Row],[Ap (m²)]]+HC[[#This Row],[U (m)]]/HC[[#This Row],[F2]]*SUMIFS(HC[(α∙K∙NL∙ΔL)],HC[Prof. (m)],"&lt;="&amp;HC[[#This Row],[Prof. (m)]],HC[idDiâmetro],HC[[#This Row],[idDiâmetro]],HC[idPilar],HC[[#This Row],[idPilar]]))/'DADOS CAP. CARGA'!$D$2)</f>
        <v>0</v>
      </c>
      <c r="Q117" s="12">
        <f>INDEX(C_alpha_beta[],MATCH(HC[[#This Row],[Solo]],C_alpha_beta[Solo],0),MATCH(HC[[#Headers],[C (kPa)]],C_alpha_beta[#Headers],0))</f>
        <v>400</v>
      </c>
      <c r="R117" s="4">
        <f>INDEX(C_alpha_beta[],MATCH(HC[[#This Row],[Solo]],C_alpha_beta[Solo],0),MATCH(HC[[#Headers],[α ESF]],C_alpha_beta[#Headers],0))</f>
        <v>0.5</v>
      </c>
      <c r="S117" s="4">
        <f>INDEX(C_alpha_beta[],MATCH(HC[[#This Row],[Solo]],C_alpha_beta[Solo],0),MATCH(HC[[#Headers],[β ESF]],C_alpha_beta[#Headers],0))</f>
        <v>0.5</v>
      </c>
      <c r="T117" s="4">
        <f>IF(HC[[#This Row],[Prof. (m)]]=0,0,10*(HC[[#This Row],[NSPT]]/3+1))</f>
        <v>0</v>
      </c>
      <c r="U117" s="4">
        <f>(HC[[#This Row],[α ESF]]*HC[[#This Row],[C (kPa)]]*HC[[#This Row],[NSPT]]*HC[[#This Row],[Ap (m²)]])/'DADOS CAP. CARGA'!$Q$2+(HC[[#This Row],[β ESF]]*SUMIFS(HC[10∙(NL/3+1)],HC[Prof. (m)],"&lt;="&amp;HC[[#This Row],[Prof. (m)]],HC[idDiâmetro],HC[[#This Row],[idDiâmetro]],HC[idPilar],HC[[#This Row],[idPilar]])*HC[[#This Row],[U (m)]])/'DADOS CAP. CARGA'!$S$2</f>
        <v>0</v>
      </c>
      <c r="V117" s="4">
        <f>IF(SPT!$M$5=1,MIN(HC[[#This Row],[Pe HC (kN)]],HC[[#This Row],[R_AV (kN)]]),IF(SPT!$M$5=2,MIN(HC[[#This Row],[Pe HC (kN)]],HC[[#This Row],[R_DC (kN)]]),MIN(HC[[#This Row],[Pe HC (kN)]],HC[[#This Row],[R_AV (kN)]],HC[[#This Row],[R_DC (kN)]])))</f>
        <v>0</v>
      </c>
      <c r="W117" s="4">
        <f>INDEX(PILARES[],HC[[#This Row],[idPilar]],MATCH("Carga (kN)",PILARES[#Headers],0))*1.4</f>
        <v>3500</v>
      </c>
      <c r="X117" s="12">
        <f>INDEX(PILARES[],HC[[#This Row],[idPilar]],MATCH(HC[[#Headers],[ap (cm)]],PILARES[#Headers],0))</f>
        <v>60</v>
      </c>
      <c r="Y117" s="12">
        <f>INDEX(PILARES[],HC[[#This Row],[idPilar]],MATCH(HC[[#Headers],[bp (cm)]],PILARES[#Headers],0))</f>
        <v>60</v>
      </c>
      <c r="Z117" s="4">
        <f>SQRT(HC[[#This Row],[ap (cm)]]*HC[[#This Row],[bp (cm)]])</f>
        <v>60</v>
      </c>
      <c r="AA117" s="12">
        <f>HC[[#This Row],[ap (cm)]]*HC[[#This Row],[bp (cm)]]</f>
        <v>3600</v>
      </c>
      <c r="AB117" s="12" t="e">
        <f ca="1">IF(HC[[#This Row],[Padm∙ε (kN)]]&gt;=HC[[#This Row],[Padm (kN)]],ROUNDUP(1.05*HC[[#This Row],[Nsd (kN)]]/HC[[#This Row],[Padm (kN)]],0),ROUNDUP(1.05*HC[[#This Row],[Nsd (kN)]]/HC[[#This Row],[Padm (kN)]],0)+1)</f>
        <v>#DIV/0!</v>
      </c>
      <c r="AC117" s="4" t="str">
        <f ca="1">IFERROR(IF(HC[[#This Row],[nE]]=1,HC[[#This Row],[Padm (kN)]],HC[[#This Row],[Padm (kN)]]*HC[[#This Row],[nE]]*INDEX(grupoEstacas[],HC[[#This Row],[nE]],MATCH("ε",grupoEstacas[#Headers],0))),"N.S.")</f>
        <v>N.S.</v>
      </c>
      <c r="AD117" s="4" t="e">
        <f ca="1">1.05*HC[[#This Row],[Nsd (kN)]]/(HC[[#This Row],[nE]]*PI()*HC[[#This Row],[Ø (cm)]]^2/4)*10</f>
        <v>#DIV/0!</v>
      </c>
      <c r="AE117" s="4" t="e">
        <f ca="1">IF(HC[[#This Row],[σ (MPa)]]&lt;INDEX(tipoEstaca[],MATCH($D$2,tipoEstaca[TIPO DE ESTACA],0),MATCH("σmáx (MPa)",tipoEstaca[#Headers],0)),0.4%*PI()*HC[[#This Row],[Ø (cm)]]^2/4,"N.S.")</f>
        <v>#DIV/0!</v>
      </c>
      <c r="AF117" s="1">
        <f>INDEX(tipoEstaca[],MATCH($D$2,tipoEstaca[TIPO DE ESTACA],0),MATCH(HC[[#Headers],[Comprimento (m)]],tipoEstaca[#Headers],0))</f>
        <v>4</v>
      </c>
      <c r="AG117" s="5" t="e">
        <f ca="1">HC[[#This Row],[As,mín (cm²)]]/100^2*HC[[#This Row],[Comprimento (m)]]*7850</f>
        <v>#DIV/0!</v>
      </c>
      <c r="AH117" s="4" t="e">
        <f ca="1">HC[[#This Row],[nE]]*HC[[#This Row],[Prof. (m)]]*HC[[#This Row],[Ap (m²)]]</f>
        <v>#DIV/0!</v>
      </c>
      <c r="AI117" s="1" t="e">
        <f ca="1">IF(HC[[#This Row],[nE]]=1,0,MAX(3*HC[[#This Row],[Ø (cm)]],60))</f>
        <v>#DIV/0!</v>
      </c>
      <c r="AJ117" s="1" t="e">
        <f ca="1">IF(HC[[#This Row],[nE]]=1,HC[[#This Row],[Ø (cm)]]+2*10,MAX(1.5*HC[[#This Row],[Ø (cm)]],HC[[#This Row],[Ø (cm)]]+15))</f>
        <v>#DIV/0!</v>
      </c>
      <c r="AK117" s="1" t="e">
        <f ca="1">alturaUtil(HC[[#This Row],[nE]],HC[[#This Row],[Ø (cm)]],HC[[#This Row],[e (cm)]],HC[[#This Row],[ap,eq (cm)]])</f>
        <v>#VALUE!</v>
      </c>
      <c r="AL117" s="1" t="str">
        <f ca="1">IFERROR(HC[[#This Row],[d (cm)]]+arredondarParaCimaMultiplo5cm(MAX(5,SQRT(PI())/2*HC[[#This Row],[Ø (cm)]]/5)),"N.S.")</f>
        <v>N.S.</v>
      </c>
      <c r="AM117" s="5" t="e">
        <f ca="1">alpha(HC[[#This Row],[nE]],HC[[#This Row],[d (cm)]],HC[[#This Row],[e (cm)]],HC[[#This Row],[ap,eq (cm)]])</f>
        <v>#VALUE!</v>
      </c>
      <c r="AN117" s="35" t="str">
        <f ca="1">IFERROR(HC[[#This Row],[Nsd (kN)]]/(HC[[#This Row],[Ap (cm²)]]*SIN(HC[[#This Row],[α]])^2),"N.S.")</f>
        <v>N.S.</v>
      </c>
      <c r="AO117" s="35" t="str">
        <f ca="1">IFERROR(HC[[#This Row],[Nsd (kN)]]/(HC[[#This Row],[nE]]*PI()*HC[[#This Row],[Ø (cm)]]^2/4*SIN(HC[[#This Row],[α]])^2),"N.S.")</f>
        <v>N.S.</v>
      </c>
      <c r="AP117" s="4" t="str">
        <f ca="1">IFERROR(INDEX(grupoEstacas[],HC[[#This Row],[nE]],MATCH("coef. Blévot",grupoEstacas[#Headers],0)),"N.S.")</f>
        <v>N.S.</v>
      </c>
      <c r="AQ117" s="35" t="str">
        <f ca="1">IFERROR(HC[[#This Row],[coef. Blévot]]*0.9*INDEX(tipoEstaca[],MATCH($D$2,tipoEstaca[TIPO DE ESTACA],0),MATCH("fcd (kN/cm²)",tipoEstaca[#Headers],0)),"N.S.")</f>
        <v>N.S.</v>
      </c>
      <c r="AR117" s="1" t="str">
        <f ca="1">IF(AND(HC[[#This Row],[cd,b,pil (kN/cm²)]]&lt;=HC[[#This Row],[cd,b,lim (kN/cm²)]],HC[[#This Row],[cd,b,est (kN/cm²)]]&lt;=HC[[#This Row],[cd,b,lim (kN/cm²)]]),"OK","ERRO")</f>
        <v>OK</v>
      </c>
      <c r="AS117" s="4" t="e">
        <f ca="1">As_lado(HC[[#This Row],[nE]],HC[[#This Row],[Nsd (kN)]],HC[[#This Row],[d (cm)]],HC[[#This Row],[e (cm)]],HC[[#This Row],[ap,eq (cm)]])</f>
        <v>#VALUE!</v>
      </c>
      <c r="AT117" s="4" t="e">
        <f ca="1">IF(HC[[#This Row],[nE]]=1,HC[[#This Row],[As,lado (cm²)]],IF(HC[[#This Row],[nE]]=2,0.075*2*HC[a (cm)],"N.A."))</f>
        <v>#DIV/0!</v>
      </c>
      <c r="AU117" s="4" t="str">
        <f ca="1">IFERROR(IF(HC[[#This Row],[nE]]=1,"N.A.",0.2*HC[[#This Row],[As,lado (cm²)]]),"N.S.")</f>
        <v>N.S.</v>
      </c>
      <c r="AV117" s="4" t="e">
        <f ca="1">As_malha(HC[[#This Row],[nE]],HC[[#This Row],[As,lado (cm²)]],HC[[#This Row],[Nsd (kN)]])</f>
        <v>#VALUE!</v>
      </c>
      <c r="AW117" s="4" t="e">
        <f ca="1">As_susp_tot(HC[[#This Row],[nE]],HC[[#This Row],[Nsd (kN)]])</f>
        <v>#VALUE!</v>
      </c>
      <c r="AX117" s="4" t="e">
        <f ca="1">Asp_face(HC[[#This Row],[nE]],HC[[#This Row],[As,lado (cm²)]])</f>
        <v>#VALUE!</v>
      </c>
      <c r="AY117" s="5" t="e">
        <f ca="1">acoBloco(HC[[#This Row],[nE]],HC[[#This Row],[e (cm)]],HC[[#This Row],[a (cm)]],HC[[#This Row],[h (cm)]],HC[[#This Row],[As,lado (cm²)]],HC[[#This Row],[Asp e Asw (cm²/m)]],HC[[#This Row],[As,sup (cm²)]],HC[[#This Row],[As,malha (cm²)]],HC[[#This Row],[As,susp,tot (cm²)]],HC[[#This Row],[Asp,face (cm²)]])</f>
        <v>#VALUE!</v>
      </c>
      <c r="AZ117" s="4" t="e">
        <f ca="1">concretoBloco(HC[[#This Row],[nE]],HC[[#This Row],[e (cm)]],HC[[#This Row],[a (cm)]],HC[[#This Row],[h (cm)]])</f>
        <v>#VALUE!</v>
      </c>
      <c r="BA117" s="5" t="e">
        <f ca="1">SUM(HC[[#This Row],[Aço Est (kg)]],HC[[#This Row],[Aço Bloco (kg)]])</f>
        <v>#DIV/0!</v>
      </c>
      <c r="BB117" s="4">
        <f>INDEX(composicoes[],MATCH(95580,composicoes[CÓDIGO],0),MATCH("CUSTO TOTAL",composicoes[#Headers],0))</f>
        <v>10.46</v>
      </c>
      <c r="BC117" s="4" t="e">
        <f ca="1">SUM(HC[[#This Row],[Conc Est (m³)]],HC[[#This Row],[Conc Bloco (m³)]])</f>
        <v>#DIV/0!</v>
      </c>
      <c r="BD117" s="4">
        <f>INDEX(composicoes[],MATCH(94966,composicoes[CÓDIGO],0),MATCH("CUSTO TOTAL",composicoes[#Headers],0))</f>
        <v>439.52</v>
      </c>
      <c r="BE117" s="38" t="e">
        <f ca="1">HC[[#This Row],[Aço (kg)]]*HC[[#This Row],[Aço (R$/kg)]]+HC[[#This Row],[Conc (m³)]]*HC[[#This Row],[Conc (R$/m³)]]</f>
        <v>#DIV/0!</v>
      </c>
      <c r="BF117" s="4" t="str">
        <f ca="1">IF(COUNTIF(HC[#This Row],"N.S.")&gt;0,"lim.","OK")</f>
        <v>lim.</v>
      </c>
      <c r="BG117" s="4" t="str">
        <f>IF(HC[[#This Row],[Prof. (m)]]&lt;4,"lim.","OK")</f>
        <v>lim.</v>
      </c>
      <c r="BH117" s="4" t="str">
        <f>IF(HC[[#This Row],[Prof. (m)]]&gt;=8*HC[[#This Row],[Ø (cm)]]/100,"OK","lim.")</f>
        <v>lim.</v>
      </c>
      <c r="BI117" s="4" t="str">
        <f ca="1">IF(HC[[#This Row],[Verif. Biela]]="OK","OK","lim.")</f>
        <v>OK</v>
      </c>
      <c r="BJ117" s="4" t="str">
        <f ca="1">IF(COUNTA(HC[[#This Row],[Nº Est.]:[Biela comp.]])=COUNTIF(HC[[#This Row],[Nº Est.]:[Biela comp.]],"OK"),"OK","lim.")</f>
        <v>lim.</v>
      </c>
      <c r="BK117" s="4" t="str">
        <f ca="1">IF(HC[[#This Row],[Controle]]="OK",HC[[#This Row],[nE]]&amp;" Ø"&amp;HC[[#This Row],[Ø (cm)]]&amp;"cm Prof. "&amp;HC[[#This Row],[Prof. (m)]]&amp;" m","")</f>
        <v/>
      </c>
      <c r="BL117" s="4" t="str">
        <f ca="1">IF(HC[[#This Row],[idDimensionamento]]="","",HC[[#This Row],[idPilar]]&amp;HC[[#This Row],[idDimensionamento]])</f>
        <v/>
      </c>
    </row>
    <row r="118" spans="2:64" x14ac:dyDescent="0.25">
      <c r="B118" s="12">
        <f>ROUNDUP((ROW(HC[[#This Row],[idDiâmetro]])-ROW(HC[[#Headers],[idDiâmetro]]))/(COUNT(SPT[Prof. (m)])*COUNT(PILARES[Pilar])),0)</f>
        <v>5</v>
      </c>
      <c r="C118" s="12">
        <f>IF(HC[[#This Row],[idDiâmetro]]&lt;&gt;B117,1,IF(HC[[#This Row],[Prof. (m)]]=0,C117+1,C117))</f>
        <v>1</v>
      </c>
      <c r="D118" s="1">
        <f>IFERROR(IF(D117=MAX(SPT[Prof. (m)]),0,D117+1),0)</f>
        <v>1</v>
      </c>
      <c r="E118" s="1">
        <f>INDEX(SPT[],MATCH(HC[[#This Row],[Prof. (m)]],SPT[Prof. (m)],0),2)</f>
        <v>2</v>
      </c>
      <c r="F118" s="1" t="str">
        <f>INDEX(SPT[],MATCH(HC[[#This Row],[Prof. (m)]],SPT[Prof. (m)],0),3)</f>
        <v>Areia siltosa</v>
      </c>
      <c r="G118" s="1">
        <f>INDEX(estacas[],HC[[#This Row],[idDiâmetro]],MATCH($B$2,estacas[#Headers],0))</f>
        <v>42.5</v>
      </c>
      <c r="H118" s="1">
        <f>INDEX(estacas[],MATCH(HC[[#This Row],[Ø (cm)]],estacas[Ø HC (cm)],0),MATCH(HC[[#Headers],[Pe HC (kN)]],estacas[#Headers],0))</f>
        <v>900</v>
      </c>
      <c r="I118" s="4">
        <f>INDEX(K_alpha_C[],MATCH(HC[[#This Row],[Solo]],K_alpha_C[Solo],0),2)</f>
        <v>0.8</v>
      </c>
      <c r="J118" s="5">
        <f>INDEX(K_alpha_C[],MATCH(HC[[#This Row],[Solo]],K_alpha_C[Solo],0),3)</f>
        <v>2</v>
      </c>
      <c r="K118" s="4">
        <f>INDEX(F1_F2[],MATCH($D$2,F1_F2[Tipo de estaca],0),2)</f>
        <v>2</v>
      </c>
      <c r="L118" s="4">
        <f>INDEX(F1_F2[],MATCH($D$2,F1_F2[Tipo de estaca],0),3)</f>
        <v>4</v>
      </c>
      <c r="M118" s="4">
        <f>PI()*(HC[[#This Row],[Ø (cm)]]/100)^2/4</f>
        <v>0.14186254326366407</v>
      </c>
      <c r="N118" s="4">
        <f>PI()*HC[[#This Row],[Ø (cm)]]/100</f>
        <v>1.3351768777756621</v>
      </c>
      <c r="O118" s="4">
        <f>IF(HC[[#This Row],[Prof. (m)]]=0,0,HC[[#This Row],[α (%)]]/100*HC[[#This Row],[K (MPa)]]*1000*HC[[#This Row],[NSPT]])</f>
        <v>32</v>
      </c>
      <c r="P118" s="4">
        <f>IF(HC[[#This Row],[Prof. (m)]]=0,0,(HC[[#This Row],[K (MPa)]]*1000*HC[[#This Row],[NSPT]]/HC[[#This Row],[F1]]*HC[[#This Row],[Ap (m²)]]+HC[[#This Row],[U (m)]]/HC[[#This Row],[F2]]*SUMIFS(HC[(α∙K∙NL∙ΔL)],HC[Prof. (m)],"&lt;="&amp;HC[[#This Row],[Prof. (m)]],HC[idDiâmetro],HC[[#This Row],[idDiâmetro]],HC[idPilar],HC[[#This Row],[idPilar]]))/'DADOS CAP. CARGA'!$D$2)</f>
        <v>62.08572481656828</v>
      </c>
      <c r="Q118" s="12">
        <f>INDEX(C_alpha_beta[],MATCH(HC[[#This Row],[Solo]],C_alpha_beta[Solo],0),MATCH(HC[[#Headers],[C (kPa)]],C_alpha_beta[#Headers],0))</f>
        <v>400</v>
      </c>
      <c r="R118" s="4">
        <f>INDEX(C_alpha_beta[],MATCH(HC[[#This Row],[Solo]],C_alpha_beta[Solo],0),MATCH(HC[[#Headers],[α ESF]],C_alpha_beta[#Headers],0))</f>
        <v>0.5</v>
      </c>
      <c r="S118" s="4">
        <f>INDEX(C_alpha_beta[],MATCH(HC[[#This Row],[Solo]],C_alpha_beta[Solo],0),MATCH(HC[[#Headers],[β ESF]],C_alpha_beta[#Headers],0))</f>
        <v>0.5</v>
      </c>
      <c r="T118" s="4">
        <f>IF(HC[[#This Row],[Prof. (m)]]=0,0,10*(HC[[#This Row],[NSPT]]/3+1))</f>
        <v>16.666666666666664</v>
      </c>
      <c r="U118" s="4">
        <f>(HC[[#This Row],[α ESF]]*HC[[#This Row],[C (kPa)]]*HC[[#This Row],[NSPT]]*HC[[#This Row],[Ap (m²)]])/'DADOS CAP. CARGA'!$Q$2+(HC[[#This Row],[β ESF]]*SUMIFS(HC[10∙(NL/3+1)],HC[Prof. (m)],"&lt;="&amp;HC[[#This Row],[Prof. (m)]],HC[idDiâmetro],HC[[#This Row],[idDiâmetro]],HC[idPilar],HC[[#This Row],[idPilar]])*HC[[#This Row],[U (m)]])/'DADOS CAP. CARGA'!$S$2</f>
        <v>19.749491317098332</v>
      </c>
      <c r="V118" s="4">
        <f>IF(SPT!$M$5=1,MIN(HC[[#This Row],[Pe HC (kN)]],HC[[#This Row],[R_AV (kN)]]),IF(SPT!$M$5=2,MIN(HC[[#This Row],[Pe HC (kN)]],HC[[#This Row],[R_DC (kN)]]),MIN(HC[[#This Row],[Pe HC (kN)]],HC[[#This Row],[R_AV (kN)]],HC[[#This Row],[R_DC (kN)]])))</f>
        <v>19.749491317098332</v>
      </c>
      <c r="W118" s="4">
        <f>INDEX(PILARES[],HC[[#This Row],[idPilar]],MATCH("Carga (kN)",PILARES[#Headers],0))*1.4</f>
        <v>3500</v>
      </c>
      <c r="X118" s="12">
        <f>INDEX(PILARES[],HC[[#This Row],[idPilar]],MATCH(HC[[#Headers],[ap (cm)]],PILARES[#Headers],0))</f>
        <v>60</v>
      </c>
      <c r="Y118" s="12">
        <f>INDEX(PILARES[],HC[[#This Row],[idPilar]],MATCH(HC[[#Headers],[bp (cm)]],PILARES[#Headers],0))</f>
        <v>60</v>
      </c>
      <c r="Z118" s="4">
        <f>SQRT(HC[[#This Row],[ap (cm)]]*HC[[#This Row],[bp (cm)]])</f>
        <v>60</v>
      </c>
      <c r="AA118" s="12">
        <f>HC[[#This Row],[ap (cm)]]*HC[[#This Row],[bp (cm)]]</f>
        <v>3600</v>
      </c>
      <c r="AB118" s="12">
        <f ca="1">IF(HC[[#This Row],[Padm∙ε (kN)]]&gt;=HC[[#This Row],[Padm (kN)]],ROUNDUP(1.05*HC[[#This Row],[Nsd (kN)]]/HC[[#This Row],[Padm (kN)]],0),ROUNDUP(1.05*HC[[#This Row],[Nsd (kN)]]/HC[[#This Row],[Padm (kN)]],0)+1)</f>
        <v>187</v>
      </c>
      <c r="AC118" s="4" t="str">
        <f ca="1">IFERROR(IF(HC[[#This Row],[nE]]=1,HC[[#This Row],[Padm (kN)]],HC[[#This Row],[Padm (kN)]]*HC[[#This Row],[nE]]*INDEX(grupoEstacas[],HC[[#This Row],[nE]],MATCH("ε",grupoEstacas[#Headers],0))),"N.S.")</f>
        <v>N.S.</v>
      </c>
      <c r="AD118" s="4">
        <f ca="1">1.05*HC[[#This Row],[Nsd (kN)]]/(HC[[#This Row],[nE]]*PI()*HC[[#This Row],[Ø (cm)]]^2/4)*10</f>
        <v>0.13853132733273052</v>
      </c>
      <c r="AE118" s="4">
        <f ca="1">IF(HC[[#This Row],[σ (MPa)]]&lt;INDEX(tipoEstaca[],MATCH($D$2,tipoEstaca[TIPO DE ESTACA],0),MATCH("σmáx (MPa)",tipoEstaca[#Headers],0)),0.4%*PI()*HC[[#This Row],[Ø (cm)]]^2/4,"N.S.")</f>
        <v>5.6745017305465639</v>
      </c>
      <c r="AF118" s="1">
        <f>INDEX(tipoEstaca[],MATCH($D$2,tipoEstaca[TIPO DE ESTACA],0),MATCH(HC[[#Headers],[Comprimento (m)]],tipoEstaca[#Headers],0))</f>
        <v>4</v>
      </c>
      <c r="AG118" s="5">
        <f ca="1">HC[[#This Row],[As,mín (cm²)]]/100^2*HC[[#This Row],[Comprimento (m)]]*7850</f>
        <v>17.817935433916212</v>
      </c>
      <c r="AH118" s="4">
        <f ca="1">HC[[#This Row],[nE]]*HC[[#This Row],[Prof. (m)]]*HC[[#This Row],[Ap (m²)]]</f>
        <v>26.528295590305181</v>
      </c>
      <c r="AI118" s="1">
        <f ca="1">IF(HC[[#This Row],[nE]]=1,0,MAX(3*HC[[#This Row],[Ø (cm)]],60))</f>
        <v>127.5</v>
      </c>
      <c r="AJ118" s="1">
        <f ca="1">IF(HC[[#This Row],[nE]]=1,HC[[#This Row],[Ø (cm)]]+2*10,MAX(1.5*HC[[#This Row],[Ø (cm)]],HC[[#This Row],[Ø (cm)]]+15))</f>
        <v>63.75</v>
      </c>
      <c r="AK118" s="1" t="str">
        <f ca="1">alturaUtil(HC[[#This Row],[nE]],HC[[#This Row],[Ø (cm)]],HC[[#This Row],[e (cm)]],HC[[#This Row],[ap,eq (cm)]])</f>
        <v>N.S.</v>
      </c>
      <c r="AL118" s="1" t="str">
        <f ca="1">IFERROR(HC[[#This Row],[d (cm)]]+arredondarParaCimaMultiplo5cm(MAX(5,SQRT(PI())/2*HC[[#This Row],[Ø (cm)]]/5)),"N.S.")</f>
        <v>N.S.</v>
      </c>
      <c r="AM118" s="5" t="str">
        <f ca="1">alpha(HC[[#This Row],[nE]],HC[[#This Row],[d (cm)]],HC[[#This Row],[e (cm)]],HC[[#This Row],[ap,eq (cm)]])</f>
        <v>N.S.</v>
      </c>
      <c r="AN118" s="35" t="str">
        <f ca="1">IFERROR(HC[[#This Row],[Nsd (kN)]]/(HC[[#This Row],[Ap (cm²)]]*SIN(HC[[#This Row],[α]])^2),"N.S.")</f>
        <v>N.S.</v>
      </c>
      <c r="AO118" s="35" t="str">
        <f ca="1">IFERROR(HC[[#This Row],[Nsd (kN)]]/(HC[[#This Row],[nE]]*PI()*HC[[#This Row],[Ø (cm)]]^2/4*SIN(HC[[#This Row],[α]])^2),"N.S.")</f>
        <v>N.S.</v>
      </c>
      <c r="AP118" s="4" t="str">
        <f ca="1">IFERROR(INDEX(grupoEstacas[],HC[[#This Row],[nE]],MATCH("coef. Blévot",grupoEstacas[#Headers],0)),"N.S.")</f>
        <v>N.S.</v>
      </c>
      <c r="AQ118" s="35" t="str">
        <f ca="1">IFERROR(HC[[#This Row],[coef. Blévot]]*0.9*INDEX(tipoEstaca[],MATCH($D$2,tipoEstaca[TIPO DE ESTACA],0),MATCH("fcd (kN/cm²)",tipoEstaca[#Headers],0)),"N.S.")</f>
        <v>N.S.</v>
      </c>
      <c r="AR118" s="1" t="str">
        <f ca="1">IF(AND(HC[[#This Row],[cd,b,pil (kN/cm²)]]&lt;=HC[[#This Row],[cd,b,lim (kN/cm²)]],HC[[#This Row],[cd,b,est (kN/cm²)]]&lt;=HC[[#This Row],[cd,b,lim (kN/cm²)]]),"OK","ERRO")</f>
        <v>OK</v>
      </c>
      <c r="AS118" s="4" t="str">
        <f ca="1">As_lado(HC[[#This Row],[nE]],HC[[#This Row],[Nsd (kN)]],HC[[#This Row],[d (cm)]],HC[[#This Row],[e (cm)]],HC[[#This Row],[ap,eq (cm)]])</f>
        <v>N.S.</v>
      </c>
      <c r="AT118" s="4" t="str">
        <f ca="1">IF(HC[[#This Row],[nE]]=1,HC[[#This Row],[As,lado (cm²)]],IF(HC[[#This Row],[nE]]=2,0.075*2*HC[a (cm)],"N.A."))</f>
        <v>N.A.</v>
      </c>
      <c r="AU118" s="4" t="str">
        <f ca="1">IFERROR(IF(HC[[#This Row],[nE]]=1,"N.A.",0.2*HC[[#This Row],[As,lado (cm²)]]),"N.S.")</f>
        <v>N.S.</v>
      </c>
      <c r="AV118" s="4" t="str">
        <f ca="1">As_malha(HC[[#This Row],[nE]],HC[[#This Row],[As,lado (cm²)]],HC[[#This Row],[Nsd (kN)]])</f>
        <v>N.S.</v>
      </c>
      <c r="AW118" s="4" t="str">
        <f ca="1">As_susp_tot(HC[[#This Row],[nE]],HC[[#This Row],[Nsd (kN)]])</f>
        <v>N.S.</v>
      </c>
      <c r="AX118" s="4" t="str">
        <f ca="1">Asp_face(HC[[#This Row],[nE]],HC[[#This Row],[As,lado (cm²)]])</f>
        <v>N.S.</v>
      </c>
      <c r="AY118" s="5" t="str">
        <f ca="1">acoBloco(HC[[#This Row],[nE]],HC[[#This Row],[e (cm)]],HC[[#This Row],[a (cm)]],HC[[#This Row],[h (cm)]],HC[[#This Row],[As,lado (cm²)]],HC[[#This Row],[Asp e Asw (cm²/m)]],HC[[#This Row],[As,sup (cm²)]],HC[[#This Row],[As,malha (cm²)]],HC[[#This Row],[As,susp,tot (cm²)]],HC[[#This Row],[Asp,face (cm²)]])</f>
        <v>N.S.</v>
      </c>
      <c r="AZ118" s="4" t="str">
        <f ca="1">concretoBloco(HC[[#This Row],[nE]],HC[[#This Row],[e (cm)]],HC[[#This Row],[a (cm)]],HC[[#This Row],[h (cm)]])</f>
        <v>N.S.</v>
      </c>
      <c r="BA118" s="5">
        <f ca="1">SUM(HC[[#This Row],[Aço Est (kg)]],HC[[#This Row],[Aço Bloco (kg)]])</f>
        <v>17.817935433916212</v>
      </c>
      <c r="BB118" s="4">
        <f>INDEX(composicoes[],MATCH(95580,composicoes[CÓDIGO],0),MATCH("CUSTO TOTAL",composicoes[#Headers],0))</f>
        <v>10.46</v>
      </c>
      <c r="BC118" s="4">
        <f ca="1">SUM(HC[[#This Row],[Conc Est (m³)]],HC[[#This Row],[Conc Bloco (m³)]])</f>
        <v>26.528295590305181</v>
      </c>
      <c r="BD118" s="4">
        <f>INDEX(composicoes[],MATCH(94966,composicoes[CÓDIGO],0),MATCH("CUSTO TOTAL",composicoes[#Headers],0))</f>
        <v>439.52</v>
      </c>
      <c r="BE118" s="38">
        <f ca="1">HC[[#This Row],[Aço (kg)]]*HC[[#This Row],[Aço (R$/kg)]]+HC[[#This Row],[Conc (m³)]]*HC[[#This Row],[Conc (R$/m³)]]</f>
        <v>11846.092082489697</v>
      </c>
      <c r="BF118" s="4" t="str">
        <f ca="1">IF(COUNTIF(HC[#This Row],"N.S.")&gt;0,"lim.","OK")</f>
        <v>lim.</v>
      </c>
      <c r="BG118" s="4" t="str">
        <f>IF(HC[[#This Row],[Prof. (m)]]&lt;4,"lim.","OK")</f>
        <v>lim.</v>
      </c>
      <c r="BH118" s="4" t="str">
        <f>IF(HC[[#This Row],[Prof. (m)]]&gt;=8*HC[[#This Row],[Ø (cm)]]/100,"OK","lim.")</f>
        <v>lim.</v>
      </c>
      <c r="BI118" s="4" t="str">
        <f ca="1">IF(HC[[#This Row],[Verif. Biela]]="OK","OK","lim.")</f>
        <v>OK</v>
      </c>
      <c r="BJ118" s="4" t="str">
        <f ca="1">IF(COUNTA(HC[[#This Row],[Nº Est.]:[Biela comp.]])=COUNTIF(HC[[#This Row],[Nº Est.]:[Biela comp.]],"OK"),"OK","lim.")</f>
        <v>lim.</v>
      </c>
      <c r="BK118" s="4" t="str">
        <f ca="1">IF(HC[[#This Row],[Controle]]="OK",HC[[#This Row],[nE]]&amp;" Ø"&amp;HC[[#This Row],[Ø (cm)]]&amp;"cm Prof. "&amp;HC[[#This Row],[Prof. (m)]]&amp;" m","")</f>
        <v/>
      </c>
      <c r="BL118" s="4" t="str">
        <f ca="1">IF(HC[[#This Row],[idDimensionamento]]="","",HC[[#This Row],[idPilar]]&amp;HC[[#This Row],[idDimensionamento]])</f>
        <v/>
      </c>
    </row>
    <row r="119" spans="2:64" x14ac:dyDescent="0.25">
      <c r="B119" s="12">
        <f>ROUNDUP((ROW(HC[[#This Row],[idDiâmetro]])-ROW(HC[[#Headers],[idDiâmetro]]))/(COUNT(SPT[Prof. (m)])*COUNT(PILARES[Pilar])),0)</f>
        <v>5</v>
      </c>
      <c r="C119" s="12">
        <f>IF(HC[[#This Row],[idDiâmetro]]&lt;&gt;B118,1,IF(HC[[#This Row],[Prof. (m)]]=0,C118+1,C118))</f>
        <v>1</v>
      </c>
      <c r="D119" s="1">
        <f>IFERROR(IF(D118=MAX(SPT[Prof. (m)]),0,D118+1),0)</f>
        <v>2</v>
      </c>
      <c r="E119" s="1">
        <f>INDEX(SPT[],MATCH(HC[[#This Row],[Prof. (m)]],SPT[Prof. (m)],0),2)</f>
        <v>2</v>
      </c>
      <c r="F119" s="1" t="str">
        <f>INDEX(SPT[],MATCH(HC[[#This Row],[Prof. (m)]],SPT[Prof. (m)],0),3)</f>
        <v>Areia siltosa</v>
      </c>
      <c r="G119" s="1">
        <f>INDEX(estacas[],HC[[#This Row],[idDiâmetro]],MATCH($B$2,estacas[#Headers],0))</f>
        <v>42.5</v>
      </c>
      <c r="H119" s="1">
        <f>INDEX(estacas[],MATCH(HC[[#This Row],[Ø (cm)]],estacas[Ø HC (cm)],0),MATCH(HC[[#Headers],[Pe HC (kN)]],estacas[#Headers],0))</f>
        <v>900</v>
      </c>
      <c r="I119" s="4">
        <f>INDEX(K_alpha_C[],MATCH(HC[[#This Row],[Solo]],K_alpha_C[Solo],0),2)</f>
        <v>0.8</v>
      </c>
      <c r="J119" s="5">
        <f>INDEX(K_alpha_C[],MATCH(HC[[#This Row],[Solo]],K_alpha_C[Solo],0),3)</f>
        <v>2</v>
      </c>
      <c r="K119" s="4">
        <f>INDEX(F1_F2[],MATCH($D$2,F1_F2[Tipo de estaca],0),2)</f>
        <v>2</v>
      </c>
      <c r="L119" s="4">
        <f>INDEX(F1_F2[],MATCH($D$2,F1_F2[Tipo de estaca],0),3)</f>
        <v>4</v>
      </c>
      <c r="M119" s="4">
        <f>PI()*(HC[[#This Row],[Ø (cm)]]/100)^2/4</f>
        <v>0.14186254326366407</v>
      </c>
      <c r="N119" s="4">
        <f>PI()*HC[[#This Row],[Ø (cm)]]/100</f>
        <v>1.3351768777756621</v>
      </c>
      <c r="O119" s="4">
        <f>IF(HC[[#This Row],[Prof. (m)]]=0,0,HC[[#This Row],[α (%)]]/100*HC[[#This Row],[K (MPa)]]*1000*HC[[#This Row],[NSPT]])</f>
        <v>32</v>
      </c>
      <c r="P119" s="4">
        <f>IF(HC[[#This Row],[Prof. (m)]]=0,0,(HC[[#This Row],[K (MPa)]]*1000*HC[[#This Row],[NSPT]]/HC[[#This Row],[F1]]*HC[[#This Row],[Ap (m²)]]+HC[[#This Row],[U (m)]]/HC[[#This Row],[F2]]*SUMIFS(HC[(α∙K∙NL∙ΔL)],HC[Prof. (m)],"&lt;="&amp;HC[[#This Row],[Prof. (m)]],HC[idDiâmetro],HC[[#This Row],[idDiâmetro]],HC[idPilar],HC[[#This Row],[idPilar]]))/'DADOS CAP. CARGA'!$D$2)</f>
        <v>67.426432327670923</v>
      </c>
      <c r="Q119" s="12">
        <f>INDEX(C_alpha_beta[],MATCH(HC[[#This Row],[Solo]],C_alpha_beta[Solo],0),MATCH(HC[[#Headers],[C (kPa)]],C_alpha_beta[#Headers],0))</f>
        <v>400</v>
      </c>
      <c r="R119" s="4">
        <f>INDEX(C_alpha_beta[],MATCH(HC[[#This Row],[Solo]],C_alpha_beta[Solo],0),MATCH(HC[[#Headers],[α ESF]],C_alpha_beta[#Headers],0))</f>
        <v>0.5</v>
      </c>
      <c r="S119" s="4">
        <f>INDEX(C_alpha_beta[],MATCH(HC[[#This Row],[Solo]],C_alpha_beta[Solo],0),MATCH(HC[[#Headers],[β ESF]],C_alpha_beta[#Headers],0))</f>
        <v>0.5</v>
      </c>
      <c r="T119" s="4">
        <f>IF(HC[[#This Row],[Prof. (m)]]=0,0,10*(HC[[#This Row],[NSPT]]/3+1))</f>
        <v>16.666666666666664</v>
      </c>
      <c r="U119" s="4">
        <f>(HC[[#This Row],[α ESF]]*HC[[#This Row],[C (kPa)]]*HC[[#This Row],[NSPT]]*HC[[#This Row],[Ap (m²)]])/'DADOS CAP. CARGA'!$Q$2+(HC[[#This Row],[β ESF]]*SUMIFS(HC[10∙(NL/3+1)],HC[Prof. (m)],"&lt;="&amp;HC[[#This Row],[Prof. (m)]],HC[idDiâmetro],HC[[#This Row],[idDiâmetro]],HC[idPilar],HC[[#This Row],[idPilar]])*HC[[#This Row],[U (m)]])/'DADOS CAP. CARGA'!$S$2</f>
        <v>25.312728307830255</v>
      </c>
      <c r="V119" s="4">
        <f>IF(SPT!$M$5=1,MIN(HC[[#This Row],[Pe HC (kN)]],HC[[#This Row],[R_AV (kN)]]),IF(SPT!$M$5=2,MIN(HC[[#This Row],[Pe HC (kN)]],HC[[#This Row],[R_DC (kN)]]),MIN(HC[[#This Row],[Pe HC (kN)]],HC[[#This Row],[R_AV (kN)]],HC[[#This Row],[R_DC (kN)]])))</f>
        <v>25.312728307830255</v>
      </c>
      <c r="W119" s="4">
        <f>INDEX(PILARES[],HC[[#This Row],[idPilar]],MATCH("Carga (kN)",PILARES[#Headers],0))*1.4</f>
        <v>3500</v>
      </c>
      <c r="X119" s="12">
        <f>INDEX(PILARES[],HC[[#This Row],[idPilar]],MATCH(HC[[#Headers],[ap (cm)]],PILARES[#Headers],0))</f>
        <v>60</v>
      </c>
      <c r="Y119" s="12">
        <f>INDEX(PILARES[],HC[[#This Row],[idPilar]],MATCH(HC[[#Headers],[bp (cm)]],PILARES[#Headers],0))</f>
        <v>60</v>
      </c>
      <c r="Z119" s="4">
        <f>SQRT(HC[[#This Row],[ap (cm)]]*HC[[#This Row],[bp (cm)]])</f>
        <v>60</v>
      </c>
      <c r="AA119" s="12">
        <f>HC[[#This Row],[ap (cm)]]*HC[[#This Row],[bp (cm)]]</f>
        <v>3600</v>
      </c>
      <c r="AB119" s="12">
        <f ca="1">IF(HC[[#This Row],[Padm∙ε (kN)]]&gt;=HC[[#This Row],[Padm (kN)]],ROUNDUP(1.05*HC[[#This Row],[Nsd (kN)]]/HC[[#This Row],[Padm (kN)]],0),ROUNDUP(1.05*HC[[#This Row],[Nsd (kN)]]/HC[[#This Row],[Padm (kN)]],0)+1)</f>
        <v>146</v>
      </c>
      <c r="AC119" s="4" t="str">
        <f ca="1">IFERROR(IF(HC[[#This Row],[nE]]=1,HC[[#This Row],[Padm (kN)]],HC[[#This Row],[Padm (kN)]]*HC[[#This Row],[nE]]*INDEX(grupoEstacas[],HC[[#This Row],[nE]],MATCH("ε",grupoEstacas[#Headers],0))),"N.S.")</f>
        <v>N.S.</v>
      </c>
      <c r="AD119" s="4">
        <f ca="1">1.05*HC[[#This Row],[Nsd (kN)]]/(HC[[#This Row],[nE]]*PI()*HC[[#This Row],[Ø (cm)]]^2/4)*10</f>
        <v>0.17743396035082612</v>
      </c>
      <c r="AE119" s="4">
        <f ca="1">IF(HC[[#This Row],[σ (MPa)]]&lt;INDEX(tipoEstaca[],MATCH($D$2,tipoEstaca[TIPO DE ESTACA],0),MATCH("σmáx (MPa)",tipoEstaca[#Headers],0)),0.4%*PI()*HC[[#This Row],[Ø (cm)]]^2/4,"N.S.")</f>
        <v>5.6745017305465639</v>
      </c>
      <c r="AF119" s="1">
        <f>INDEX(tipoEstaca[],MATCH($D$2,tipoEstaca[TIPO DE ESTACA],0),MATCH(HC[[#Headers],[Comprimento (m)]],tipoEstaca[#Headers],0))</f>
        <v>4</v>
      </c>
      <c r="AG119" s="5">
        <f ca="1">HC[[#This Row],[As,mín (cm²)]]/100^2*HC[[#This Row],[Comprimento (m)]]*7850</f>
        <v>17.817935433916212</v>
      </c>
      <c r="AH119" s="4">
        <f ca="1">HC[[#This Row],[nE]]*HC[[#This Row],[Prof. (m)]]*HC[[#This Row],[Ap (m²)]]</f>
        <v>41.423862632989909</v>
      </c>
      <c r="AI119" s="1">
        <f ca="1">IF(HC[[#This Row],[nE]]=1,0,MAX(3*HC[[#This Row],[Ø (cm)]],60))</f>
        <v>127.5</v>
      </c>
      <c r="AJ119" s="1">
        <f ca="1">IF(HC[[#This Row],[nE]]=1,HC[[#This Row],[Ø (cm)]]+2*10,MAX(1.5*HC[[#This Row],[Ø (cm)]],HC[[#This Row],[Ø (cm)]]+15))</f>
        <v>63.75</v>
      </c>
      <c r="AK119" s="1" t="str">
        <f ca="1">alturaUtil(HC[[#This Row],[nE]],HC[[#This Row],[Ø (cm)]],HC[[#This Row],[e (cm)]],HC[[#This Row],[ap,eq (cm)]])</f>
        <v>N.S.</v>
      </c>
      <c r="AL119" s="1" t="str">
        <f ca="1">IFERROR(HC[[#This Row],[d (cm)]]+arredondarParaCimaMultiplo5cm(MAX(5,SQRT(PI())/2*HC[[#This Row],[Ø (cm)]]/5)),"N.S.")</f>
        <v>N.S.</v>
      </c>
      <c r="AM119" s="5" t="str">
        <f ca="1">alpha(HC[[#This Row],[nE]],HC[[#This Row],[d (cm)]],HC[[#This Row],[e (cm)]],HC[[#This Row],[ap,eq (cm)]])</f>
        <v>N.S.</v>
      </c>
      <c r="AN119" s="35" t="str">
        <f ca="1">IFERROR(HC[[#This Row],[Nsd (kN)]]/(HC[[#This Row],[Ap (cm²)]]*SIN(HC[[#This Row],[α]])^2),"N.S.")</f>
        <v>N.S.</v>
      </c>
      <c r="AO119" s="35" t="str">
        <f ca="1">IFERROR(HC[[#This Row],[Nsd (kN)]]/(HC[[#This Row],[nE]]*PI()*HC[[#This Row],[Ø (cm)]]^2/4*SIN(HC[[#This Row],[α]])^2),"N.S.")</f>
        <v>N.S.</v>
      </c>
      <c r="AP119" s="4" t="str">
        <f ca="1">IFERROR(INDEX(grupoEstacas[],HC[[#This Row],[nE]],MATCH("coef. Blévot",grupoEstacas[#Headers],0)),"N.S.")</f>
        <v>N.S.</v>
      </c>
      <c r="AQ119" s="35" t="str">
        <f ca="1">IFERROR(HC[[#This Row],[coef. Blévot]]*0.9*INDEX(tipoEstaca[],MATCH($D$2,tipoEstaca[TIPO DE ESTACA],0),MATCH("fcd (kN/cm²)",tipoEstaca[#Headers],0)),"N.S.")</f>
        <v>N.S.</v>
      </c>
      <c r="AR119" s="1" t="str">
        <f ca="1">IF(AND(HC[[#This Row],[cd,b,pil (kN/cm²)]]&lt;=HC[[#This Row],[cd,b,lim (kN/cm²)]],HC[[#This Row],[cd,b,est (kN/cm²)]]&lt;=HC[[#This Row],[cd,b,lim (kN/cm²)]]),"OK","ERRO")</f>
        <v>OK</v>
      </c>
      <c r="AS119" s="4" t="str">
        <f ca="1">As_lado(HC[[#This Row],[nE]],HC[[#This Row],[Nsd (kN)]],HC[[#This Row],[d (cm)]],HC[[#This Row],[e (cm)]],HC[[#This Row],[ap,eq (cm)]])</f>
        <v>N.S.</v>
      </c>
      <c r="AT119" s="4" t="str">
        <f ca="1">IF(HC[[#This Row],[nE]]=1,HC[[#This Row],[As,lado (cm²)]],IF(HC[[#This Row],[nE]]=2,0.075*2*HC[a (cm)],"N.A."))</f>
        <v>N.A.</v>
      </c>
      <c r="AU119" s="4" t="str">
        <f ca="1">IFERROR(IF(HC[[#This Row],[nE]]=1,"N.A.",0.2*HC[[#This Row],[As,lado (cm²)]]),"N.S.")</f>
        <v>N.S.</v>
      </c>
      <c r="AV119" s="4" t="str">
        <f ca="1">As_malha(HC[[#This Row],[nE]],HC[[#This Row],[As,lado (cm²)]],HC[[#This Row],[Nsd (kN)]])</f>
        <v>N.S.</v>
      </c>
      <c r="AW119" s="4" t="str">
        <f ca="1">As_susp_tot(HC[[#This Row],[nE]],HC[[#This Row],[Nsd (kN)]])</f>
        <v>N.S.</v>
      </c>
      <c r="AX119" s="4" t="str">
        <f ca="1">Asp_face(HC[[#This Row],[nE]],HC[[#This Row],[As,lado (cm²)]])</f>
        <v>N.S.</v>
      </c>
      <c r="AY119" s="5" t="str">
        <f ca="1">acoBloco(HC[[#This Row],[nE]],HC[[#This Row],[e (cm)]],HC[[#This Row],[a (cm)]],HC[[#This Row],[h (cm)]],HC[[#This Row],[As,lado (cm²)]],HC[[#This Row],[Asp e Asw (cm²/m)]],HC[[#This Row],[As,sup (cm²)]],HC[[#This Row],[As,malha (cm²)]],HC[[#This Row],[As,susp,tot (cm²)]],HC[[#This Row],[Asp,face (cm²)]])</f>
        <v>N.S.</v>
      </c>
      <c r="AZ119" s="4" t="str">
        <f ca="1">concretoBloco(HC[[#This Row],[nE]],HC[[#This Row],[e (cm)]],HC[[#This Row],[a (cm)]],HC[[#This Row],[h (cm)]])</f>
        <v>N.S.</v>
      </c>
      <c r="BA119" s="5">
        <f ca="1">SUM(HC[[#This Row],[Aço Est (kg)]],HC[[#This Row],[Aço Bloco (kg)]])</f>
        <v>17.817935433916212</v>
      </c>
      <c r="BB119" s="4">
        <f>INDEX(composicoes[],MATCH(95580,composicoes[CÓDIGO],0),MATCH("CUSTO TOTAL",composicoes[#Headers],0))</f>
        <v>10.46</v>
      </c>
      <c r="BC119" s="4">
        <f ca="1">SUM(HC[[#This Row],[Conc Est (m³)]],HC[[#This Row],[Conc Bloco (m³)]])</f>
        <v>41.423862632989909</v>
      </c>
      <c r="BD119" s="4">
        <f>INDEX(composicoes[],MATCH(94966,composicoes[CÓDIGO],0),MATCH("CUSTO TOTAL",composicoes[#Headers],0))</f>
        <v>439.52</v>
      </c>
      <c r="BE119" s="38">
        <f ca="1">HC[[#This Row],[Aço (kg)]]*HC[[#This Row],[Aço (R$/kg)]]+HC[[#This Row],[Conc (m³)]]*HC[[#This Row],[Conc (R$/m³)]]</f>
        <v>18392.991709090489</v>
      </c>
      <c r="BF119" s="4" t="str">
        <f ca="1">IF(COUNTIF(HC[#This Row],"N.S.")&gt;0,"lim.","OK")</f>
        <v>lim.</v>
      </c>
      <c r="BG119" s="4" t="str">
        <f>IF(HC[[#This Row],[Prof. (m)]]&lt;4,"lim.","OK")</f>
        <v>lim.</v>
      </c>
      <c r="BH119" s="4" t="str">
        <f>IF(HC[[#This Row],[Prof. (m)]]&gt;=8*HC[[#This Row],[Ø (cm)]]/100,"OK","lim.")</f>
        <v>lim.</v>
      </c>
      <c r="BI119" s="4" t="str">
        <f ca="1">IF(HC[[#This Row],[Verif. Biela]]="OK","OK","lim.")</f>
        <v>OK</v>
      </c>
      <c r="BJ119" s="4" t="str">
        <f ca="1">IF(COUNTA(HC[[#This Row],[Nº Est.]:[Biela comp.]])=COUNTIF(HC[[#This Row],[Nº Est.]:[Biela comp.]],"OK"),"OK","lim.")</f>
        <v>lim.</v>
      </c>
      <c r="BK119" s="4" t="str">
        <f ca="1">IF(HC[[#This Row],[Controle]]="OK",HC[[#This Row],[nE]]&amp;" Ø"&amp;HC[[#This Row],[Ø (cm)]]&amp;"cm Prof. "&amp;HC[[#This Row],[Prof. (m)]]&amp;" m","")</f>
        <v/>
      </c>
      <c r="BL119" s="4" t="str">
        <f ca="1">IF(HC[[#This Row],[idDimensionamento]]="","",HC[[#This Row],[idPilar]]&amp;HC[[#This Row],[idDimensionamento]])</f>
        <v/>
      </c>
    </row>
    <row r="120" spans="2:64" x14ac:dyDescent="0.25">
      <c r="B120" s="12">
        <f>ROUNDUP((ROW(HC[[#This Row],[idDiâmetro]])-ROW(HC[[#Headers],[idDiâmetro]]))/(COUNT(SPT[Prof. (m)])*COUNT(PILARES[Pilar])),0)</f>
        <v>5</v>
      </c>
      <c r="C120" s="12">
        <f>IF(HC[[#This Row],[idDiâmetro]]&lt;&gt;B119,1,IF(HC[[#This Row],[Prof. (m)]]=0,C119+1,C119))</f>
        <v>1</v>
      </c>
      <c r="D120" s="1">
        <f>IFERROR(IF(D119=MAX(SPT[Prof. (m)]),0,D119+1),0)</f>
        <v>3</v>
      </c>
      <c r="E120" s="1">
        <f>INDEX(SPT[],MATCH(HC[[#This Row],[Prof. (m)]],SPT[Prof. (m)],0),2)</f>
        <v>4</v>
      </c>
      <c r="F120" s="1" t="str">
        <f>INDEX(SPT[],MATCH(HC[[#This Row],[Prof. (m)]],SPT[Prof. (m)],0),3)</f>
        <v>Areia siltosa</v>
      </c>
      <c r="G120" s="1">
        <f>INDEX(estacas[],HC[[#This Row],[idDiâmetro]],MATCH($B$2,estacas[#Headers],0))</f>
        <v>42.5</v>
      </c>
      <c r="H120" s="1">
        <f>INDEX(estacas[],MATCH(HC[[#This Row],[Ø (cm)]],estacas[Ø HC (cm)],0),MATCH(HC[[#Headers],[Pe HC (kN)]],estacas[#Headers],0))</f>
        <v>900</v>
      </c>
      <c r="I120" s="4">
        <f>INDEX(K_alpha_C[],MATCH(HC[[#This Row],[Solo]],K_alpha_C[Solo],0),2)</f>
        <v>0.8</v>
      </c>
      <c r="J120" s="5">
        <f>INDEX(K_alpha_C[],MATCH(HC[[#This Row],[Solo]],K_alpha_C[Solo],0),3)</f>
        <v>2</v>
      </c>
      <c r="K120" s="4">
        <f>INDEX(F1_F2[],MATCH($D$2,F1_F2[Tipo de estaca],0),2)</f>
        <v>2</v>
      </c>
      <c r="L120" s="4">
        <f>INDEX(F1_F2[],MATCH($D$2,F1_F2[Tipo de estaca],0),3)</f>
        <v>4</v>
      </c>
      <c r="M120" s="4">
        <f>PI()*(HC[[#This Row],[Ø (cm)]]/100)^2/4</f>
        <v>0.14186254326366407</v>
      </c>
      <c r="N120" s="4">
        <f>PI()*HC[[#This Row],[Ø (cm)]]/100</f>
        <v>1.3351768777756621</v>
      </c>
      <c r="O120" s="4">
        <f>IF(HC[[#This Row],[Prof. (m)]]=0,0,HC[[#This Row],[α (%)]]/100*HC[[#This Row],[K (MPa)]]*1000*HC[[#This Row],[NSPT]])</f>
        <v>64</v>
      </c>
      <c r="P120" s="4">
        <f>IF(HC[[#This Row],[Prof. (m)]]=0,0,(HC[[#This Row],[K (MPa)]]*1000*HC[[#This Row],[NSPT]]/HC[[#This Row],[F1]]*HC[[#This Row],[Ap (m²)]]+HC[[#This Row],[U (m)]]/HC[[#This Row],[F2]]*SUMIFS(HC[(α∙K∙NL∙ΔL)],HC[Prof. (m)],"&lt;="&amp;HC[[#This Row],[Prof. (m)]],HC[idDiâmetro],HC[[#This Row],[idDiâmetro]],HC[idPilar],HC[[#This Row],[idPilar]]))/'DADOS CAP. CARGA'!$D$2)</f>
        <v>134.85286465534185</v>
      </c>
      <c r="Q120" s="12">
        <f>INDEX(C_alpha_beta[],MATCH(HC[[#This Row],[Solo]],C_alpha_beta[Solo],0),MATCH(HC[[#Headers],[C (kPa)]],C_alpha_beta[#Headers],0))</f>
        <v>400</v>
      </c>
      <c r="R120" s="4">
        <f>INDEX(C_alpha_beta[],MATCH(HC[[#This Row],[Solo]],C_alpha_beta[Solo],0),MATCH(HC[[#Headers],[α ESF]],C_alpha_beta[#Headers],0))</f>
        <v>0.5</v>
      </c>
      <c r="S120" s="4">
        <f>INDEX(C_alpha_beta[],MATCH(HC[[#This Row],[Solo]],C_alpha_beta[Solo],0),MATCH(HC[[#Headers],[β ESF]],C_alpha_beta[#Headers],0))</f>
        <v>0.5</v>
      </c>
      <c r="T120" s="4">
        <f>IF(HC[[#This Row],[Prof. (m)]]=0,0,10*(HC[[#This Row],[NSPT]]/3+1))</f>
        <v>23.333333333333329</v>
      </c>
      <c r="U120" s="4">
        <f>(HC[[#This Row],[α ESF]]*HC[[#This Row],[C (kPa)]]*HC[[#This Row],[NSPT]]*HC[[#This Row],[Ap (m²)]])/'DADOS CAP. CARGA'!$Q$2+(HC[[#This Row],[β ESF]]*SUMIFS(HC[10∙(NL/3+1)],HC[Prof. (m)],"&lt;="&amp;HC[[#This Row],[Prof. (m)]],HC[idDiâmetro],HC[[#This Row],[idDiâmetro]],HC[idPilar],HC[[#This Row],[idPilar]])*HC[[#This Row],[U (m)]])/'DADOS CAP. CARGA'!$S$2</f>
        <v>47.28751442122136</v>
      </c>
      <c r="V120" s="4">
        <f>IF(SPT!$M$5=1,MIN(HC[[#This Row],[Pe HC (kN)]],HC[[#This Row],[R_AV (kN)]]),IF(SPT!$M$5=2,MIN(HC[[#This Row],[Pe HC (kN)]],HC[[#This Row],[R_DC (kN)]]),MIN(HC[[#This Row],[Pe HC (kN)]],HC[[#This Row],[R_AV (kN)]],HC[[#This Row],[R_DC (kN)]])))</f>
        <v>47.28751442122136</v>
      </c>
      <c r="W120" s="4">
        <f>INDEX(PILARES[],HC[[#This Row],[idPilar]],MATCH("Carga (kN)",PILARES[#Headers],0))*1.4</f>
        <v>3500</v>
      </c>
      <c r="X120" s="12">
        <f>INDEX(PILARES[],HC[[#This Row],[idPilar]],MATCH(HC[[#Headers],[ap (cm)]],PILARES[#Headers],0))</f>
        <v>60</v>
      </c>
      <c r="Y120" s="12">
        <f>INDEX(PILARES[],HC[[#This Row],[idPilar]],MATCH(HC[[#Headers],[bp (cm)]],PILARES[#Headers],0))</f>
        <v>60</v>
      </c>
      <c r="Z120" s="4">
        <f>SQRT(HC[[#This Row],[ap (cm)]]*HC[[#This Row],[bp (cm)]])</f>
        <v>60</v>
      </c>
      <c r="AA120" s="12">
        <f>HC[[#This Row],[ap (cm)]]*HC[[#This Row],[bp (cm)]]</f>
        <v>3600</v>
      </c>
      <c r="AB120" s="12">
        <f ca="1">IF(HC[[#This Row],[Padm∙ε (kN)]]&gt;=HC[[#This Row],[Padm (kN)]],ROUNDUP(1.05*HC[[#This Row],[Nsd (kN)]]/HC[[#This Row],[Padm (kN)]],0),ROUNDUP(1.05*HC[[#This Row],[Nsd (kN)]]/HC[[#This Row],[Padm (kN)]],0)+1)</f>
        <v>78</v>
      </c>
      <c r="AC120" s="4" t="str">
        <f ca="1">IFERROR(IF(HC[[#This Row],[nE]]=1,HC[[#This Row],[Padm (kN)]],HC[[#This Row],[Padm (kN)]]*HC[[#This Row],[nE]]*INDEX(grupoEstacas[],HC[[#This Row],[nE]],MATCH("ε",grupoEstacas[#Headers],0))),"N.S.")</f>
        <v>N.S.</v>
      </c>
      <c r="AD120" s="4">
        <f ca="1">1.05*HC[[#This Row],[Nsd (kN)]]/(HC[[#This Row],[nE]]*PI()*HC[[#This Row],[Ø (cm)]]^2/4)*10</f>
        <v>0.33211997706693092</v>
      </c>
      <c r="AE120" s="4">
        <f ca="1">IF(HC[[#This Row],[σ (MPa)]]&lt;INDEX(tipoEstaca[],MATCH($D$2,tipoEstaca[TIPO DE ESTACA],0),MATCH("σmáx (MPa)",tipoEstaca[#Headers],0)),0.4%*PI()*HC[[#This Row],[Ø (cm)]]^2/4,"N.S.")</f>
        <v>5.6745017305465639</v>
      </c>
      <c r="AF120" s="1">
        <f>INDEX(tipoEstaca[],MATCH($D$2,tipoEstaca[TIPO DE ESTACA],0),MATCH(HC[[#Headers],[Comprimento (m)]],tipoEstaca[#Headers],0))</f>
        <v>4</v>
      </c>
      <c r="AG120" s="5">
        <f ca="1">HC[[#This Row],[As,mín (cm²)]]/100^2*HC[[#This Row],[Comprimento (m)]]*7850</f>
        <v>17.817935433916212</v>
      </c>
      <c r="AH120" s="4">
        <f ca="1">HC[[#This Row],[nE]]*HC[[#This Row],[Prof. (m)]]*HC[[#This Row],[Ap (m²)]]</f>
        <v>33.195835123697393</v>
      </c>
      <c r="AI120" s="1">
        <f ca="1">IF(HC[[#This Row],[nE]]=1,0,MAX(3*HC[[#This Row],[Ø (cm)]],60))</f>
        <v>127.5</v>
      </c>
      <c r="AJ120" s="1">
        <f ca="1">IF(HC[[#This Row],[nE]]=1,HC[[#This Row],[Ø (cm)]]+2*10,MAX(1.5*HC[[#This Row],[Ø (cm)]],HC[[#This Row],[Ø (cm)]]+15))</f>
        <v>63.75</v>
      </c>
      <c r="AK120" s="1" t="str">
        <f ca="1">alturaUtil(HC[[#This Row],[nE]],HC[[#This Row],[Ø (cm)]],HC[[#This Row],[e (cm)]],HC[[#This Row],[ap,eq (cm)]])</f>
        <v>N.S.</v>
      </c>
      <c r="AL120" s="1" t="str">
        <f ca="1">IFERROR(HC[[#This Row],[d (cm)]]+arredondarParaCimaMultiplo5cm(MAX(5,SQRT(PI())/2*HC[[#This Row],[Ø (cm)]]/5)),"N.S.")</f>
        <v>N.S.</v>
      </c>
      <c r="AM120" s="5" t="str">
        <f ca="1">alpha(HC[[#This Row],[nE]],HC[[#This Row],[d (cm)]],HC[[#This Row],[e (cm)]],HC[[#This Row],[ap,eq (cm)]])</f>
        <v>N.S.</v>
      </c>
      <c r="AN120" s="35" t="str">
        <f ca="1">IFERROR(HC[[#This Row],[Nsd (kN)]]/(HC[[#This Row],[Ap (cm²)]]*SIN(HC[[#This Row],[α]])^2),"N.S.")</f>
        <v>N.S.</v>
      </c>
      <c r="AO120" s="35" t="str">
        <f ca="1">IFERROR(HC[[#This Row],[Nsd (kN)]]/(HC[[#This Row],[nE]]*PI()*HC[[#This Row],[Ø (cm)]]^2/4*SIN(HC[[#This Row],[α]])^2),"N.S.")</f>
        <v>N.S.</v>
      </c>
      <c r="AP120" s="4" t="str">
        <f ca="1">IFERROR(INDEX(grupoEstacas[],HC[[#This Row],[nE]],MATCH("coef. Blévot",grupoEstacas[#Headers],0)),"N.S.")</f>
        <v>N.S.</v>
      </c>
      <c r="AQ120" s="35" t="str">
        <f ca="1">IFERROR(HC[[#This Row],[coef. Blévot]]*0.9*INDEX(tipoEstaca[],MATCH($D$2,tipoEstaca[TIPO DE ESTACA],0),MATCH("fcd (kN/cm²)",tipoEstaca[#Headers],0)),"N.S.")</f>
        <v>N.S.</v>
      </c>
      <c r="AR120" s="1" t="str">
        <f ca="1">IF(AND(HC[[#This Row],[cd,b,pil (kN/cm²)]]&lt;=HC[[#This Row],[cd,b,lim (kN/cm²)]],HC[[#This Row],[cd,b,est (kN/cm²)]]&lt;=HC[[#This Row],[cd,b,lim (kN/cm²)]]),"OK","ERRO")</f>
        <v>OK</v>
      </c>
      <c r="AS120" s="4" t="str">
        <f ca="1">As_lado(HC[[#This Row],[nE]],HC[[#This Row],[Nsd (kN)]],HC[[#This Row],[d (cm)]],HC[[#This Row],[e (cm)]],HC[[#This Row],[ap,eq (cm)]])</f>
        <v>N.S.</v>
      </c>
      <c r="AT120" s="4" t="str">
        <f ca="1">IF(HC[[#This Row],[nE]]=1,HC[[#This Row],[As,lado (cm²)]],IF(HC[[#This Row],[nE]]=2,0.075*2*HC[a (cm)],"N.A."))</f>
        <v>N.A.</v>
      </c>
      <c r="AU120" s="4" t="str">
        <f ca="1">IFERROR(IF(HC[[#This Row],[nE]]=1,"N.A.",0.2*HC[[#This Row],[As,lado (cm²)]]),"N.S.")</f>
        <v>N.S.</v>
      </c>
      <c r="AV120" s="4" t="str">
        <f ca="1">As_malha(HC[[#This Row],[nE]],HC[[#This Row],[As,lado (cm²)]],HC[[#This Row],[Nsd (kN)]])</f>
        <v>N.S.</v>
      </c>
      <c r="AW120" s="4" t="str">
        <f ca="1">As_susp_tot(HC[[#This Row],[nE]],HC[[#This Row],[Nsd (kN)]])</f>
        <v>N.S.</v>
      </c>
      <c r="AX120" s="4" t="str">
        <f ca="1">Asp_face(HC[[#This Row],[nE]],HC[[#This Row],[As,lado (cm²)]])</f>
        <v>N.S.</v>
      </c>
      <c r="AY120" s="5" t="str">
        <f ca="1">acoBloco(HC[[#This Row],[nE]],HC[[#This Row],[e (cm)]],HC[[#This Row],[a (cm)]],HC[[#This Row],[h (cm)]],HC[[#This Row],[As,lado (cm²)]],HC[[#This Row],[Asp e Asw (cm²/m)]],HC[[#This Row],[As,sup (cm²)]],HC[[#This Row],[As,malha (cm²)]],HC[[#This Row],[As,susp,tot (cm²)]],HC[[#This Row],[Asp,face (cm²)]])</f>
        <v>N.S.</v>
      </c>
      <c r="AZ120" s="4" t="str">
        <f ca="1">concretoBloco(HC[[#This Row],[nE]],HC[[#This Row],[e (cm)]],HC[[#This Row],[a (cm)]],HC[[#This Row],[h (cm)]])</f>
        <v>N.S.</v>
      </c>
      <c r="BA120" s="5">
        <f ca="1">SUM(HC[[#This Row],[Aço Est (kg)]],HC[[#This Row],[Aço Bloco (kg)]])</f>
        <v>17.817935433916212</v>
      </c>
      <c r="BB120" s="4">
        <f>INDEX(composicoes[],MATCH(95580,composicoes[CÓDIGO],0),MATCH("CUSTO TOTAL",composicoes[#Headers],0))</f>
        <v>10.46</v>
      </c>
      <c r="BC120" s="4">
        <f ca="1">SUM(HC[[#This Row],[Conc Est (m³)]],HC[[#This Row],[Conc Bloco (m³)]])</f>
        <v>33.195835123697393</v>
      </c>
      <c r="BD120" s="4">
        <f>INDEX(composicoes[],MATCH(94966,composicoes[CÓDIGO],0),MATCH("CUSTO TOTAL",composicoes[#Headers],0))</f>
        <v>439.52</v>
      </c>
      <c r="BE120" s="38">
        <f ca="1">HC[[#This Row],[Aço (kg)]]*HC[[#This Row],[Aço (R$/kg)]]+HC[[#This Row],[Conc (m³)]]*HC[[#This Row],[Conc (R$/m³)]]</f>
        <v>14776.609058206242</v>
      </c>
      <c r="BF120" s="4" t="str">
        <f ca="1">IF(COUNTIF(HC[#This Row],"N.S.")&gt;0,"lim.","OK")</f>
        <v>lim.</v>
      </c>
      <c r="BG120" s="4" t="str">
        <f>IF(HC[[#This Row],[Prof. (m)]]&lt;4,"lim.","OK")</f>
        <v>lim.</v>
      </c>
      <c r="BH120" s="4" t="str">
        <f>IF(HC[[#This Row],[Prof. (m)]]&gt;=8*HC[[#This Row],[Ø (cm)]]/100,"OK","lim.")</f>
        <v>lim.</v>
      </c>
      <c r="BI120" s="4" t="str">
        <f ca="1">IF(HC[[#This Row],[Verif. Biela]]="OK","OK","lim.")</f>
        <v>OK</v>
      </c>
      <c r="BJ120" s="4" t="str">
        <f ca="1">IF(COUNTA(HC[[#This Row],[Nº Est.]:[Biela comp.]])=COUNTIF(HC[[#This Row],[Nº Est.]:[Biela comp.]],"OK"),"OK","lim.")</f>
        <v>lim.</v>
      </c>
      <c r="BK120" s="4" t="str">
        <f ca="1">IF(HC[[#This Row],[Controle]]="OK",HC[[#This Row],[nE]]&amp;" Ø"&amp;HC[[#This Row],[Ø (cm)]]&amp;"cm Prof. "&amp;HC[[#This Row],[Prof. (m)]]&amp;" m","")</f>
        <v/>
      </c>
      <c r="BL120" s="4" t="str">
        <f ca="1">IF(HC[[#This Row],[idDimensionamento]]="","",HC[[#This Row],[idPilar]]&amp;HC[[#This Row],[idDimensionamento]])</f>
        <v/>
      </c>
    </row>
    <row r="121" spans="2:64" x14ac:dyDescent="0.25">
      <c r="B121" s="12">
        <f>ROUNDUP((ROW(HC[[#This Row],[idDiâmetro]])-ROW(HC[[#Headers],[idDiâmetro]]))/(COUNT(SPT[Prof. (m)])*COUNT(PILARES[Pilar])),0)</f>
        <v>5</v>
      </c>
      <c r="C121" s="12">
        <f>IF(HC[[#This Row],[idDiâmetro]]&lt;&gt;B120,1,IF(HC[[#This Row],[Prof. (m)]]=0,C120+1,C120))</f>
        <v>1</v>
      </c>
      <c r="D121" s="1">
        <f>IFERROR(IF(D120=MAX(SPT[Prof. (m)]),0,D120+1),0)</f>
        <v>4</v>
      </c>
      <c r="E121" s="1">
        <f>INDEX(SPT[],MATCH(HC[[#This Row],[Prof. (m)]],SPT[Prof. (m)],0),2)</f>
        <v>8</v>
      </c>
      <c r="F121" s="1" t="str">
        <f>INDEX(SPT[],MATCH(HC[[#This Row],[Prof. (m)]],SPT[Prof. (m)],0),3)</f>
        <v>Areia siltosa</v>
      </c>
      <c r="G121" s="1">
        <f>INDEX(estacas[],HC[[#This Row],[idDiâmetro]],MATCH($B$2,estacas[#Headers],0))</f>
        <v>42.5</v>
      </c>
      <c r="H121" s="1">
        <f>INDEX(estacas[],MATCH(HC[[#This Row],[Ø (cm)]],estacas[Ø HC (cm)],0),MATCH(HC[[#Headers],[Pe HC (kN)]],estacas[#Headers],0))</f>
        <v>900</v>
      </c>
      <c r="I121" s="4">
        <f>INDEX(K_alpha_C[],MATCH(HC[[#This Row],[Solo]],K_alpha_C[Solo],0),2)</f>
        <v>0.8</v>
      </c>
      <c r="J121" s="5">
        <f>INDEX(K_alpha_C[],MATCH(HC[[#This Row],[Solo]],K_alpha_C[Solo],0),3)</f>
        <v>2</v>
      </c>
      <c r="K121" s="4">
        <f>INDEX(F1_F2[],MATCH($D$2,F1_F2[Tipo de estaca],0),2)</f>
        <v>2</v>
      </c>
      <c r="L121" s="4">
        <f>INDEX(F1_F2[],MATCH($D$2,F1_F2[Tipo de estaca],0),3)</f>
        <v>4</v>
      </c>
      <c r="M121" s="4">
        <f>PI()*(HC[[#This Row],[Ø (cm)]]/100)^2/4</f>
        <v>0.14186254326366407</v>
      </c>
      <c r="N121" s="4">
        <f>PI()*HC[[#This Row],[Ø (cm)]]/100</f>
        <v>1.3351768777756621</v>
      </c>
      <c r="O121" s="4">
        <f>IF(HC[[#This Row],[Prof. (m)]]=0,0,HC[[#This Row],[α (%)]]/100*HC[[#This Row],[K (MPa)]]*1000*HC[[#This Row],[NSPT]])</f>
        <v>128</v>
      </c>
      <c r="P121" s="4">
        <f>IF(HC[[#This Row],[Prof. (m)]]=0,0,(HC[[#This Row],[K (MPa)]]*1000*HC[[#This Row],[NSPT]]/HC[[#This Row],[F1]]*HC[[#This Row],[Ap (m²)]]+HC[[#This Row],[U (m)]]/HC[[#This Row],[F2]]*SUMIFS(HC[(α∙K∙NL∙ΔL)],HC[Prof. (m)],"&lt;="&amp;HC[[#This Row],[Prof. (m)]],HC[idDiâmetro],HC[[#This Row],[idDiâmetro]],HC[idPilar],HC[[#This Row],[idPilar]]))/'DADOS CAP. CARGA'!$D$2)</f>
        <v>269.70572931068369</v>
      </c>
      <c r="Q121" s="12">
        <f>INDEX(C_alpha_beta[],MATCH(HC[[#This Row],[Solo]],C_alpha_beta[Solo],0),MATCH(HC[[#Headers],[C (kPa)]],C_alpha_beta[#Headers],0))</f>
        <v>400</v>
      </c>
      <c r="R121" s="4">
        <f>INDEX(C_alpha_beta[],MATCH(HC[[#This Row],[Solo]],C_alpha_beta[Solo],0),MATCH(HC[[#Headers],[α ESF]],C_alpha_beta[#Headers],0))</f>
        <v>0.5</v>
      </c>
      <c r="S121" s="4">
        <f>INDEX(C_alpha_beta[],MATCH(HC[[#This Row],[Solo]],C_alpha_beta[Solo],0),MATCH(HC[[#Headers],[β ESF]],C_alpha_beta[#Headers],0))</f>
        <v>0.5</v>
      </c>
      <c r="T121" s="4">
        <f>IF(HC[[#This Row],[Prof. (m)]]=0,0,10*(HC[[#This Row],[NSPT]]/3+1))</f>
        <v>36.666666666666664</v>
      </c>
      <c r="U121" s="4">
        <f>(HC[[#This Row],[α ESF]]*HC[[#This Row],[C (kPa)]]*HC[[#This Row],[NSPT]]*HC[[#This Row],[Ap (m²)]])/'DADOS CAP. CARGA'!$Q$2+(HC[[#This Row],[β ESF]]*SUMIFS(HC[10∙(NL/3+1)],HC[Prof. (m)],"&lt;="&amp;HC[[#This Row],[Prof. (m)]],HC[idDiâmetro],HC[[#This Row],[idDiâmetro]],HC[idPilar],HC[[#This Row],[idPilar]])*HC[[#This Row],[U (m)]])/'DADOS CAP. CARGA'!$S$2</f>
        <v>87.899144453564404</v>
      </c>
      <c r="V121" s="4">
        <f>IF(SPT!$M$5=1,MIN(HC[[#This Row],[Pe HC (kN)]],HC[[#This Row],[R_AV (kN)]]),IF(SPT!$M$5=2,MIN(HC[[#This Row],[Pe HC (kN)]],HC[[#This Row],[R_DC (kN)]]),MIN(HC[[#This Row],[Pe HC (kN)]],HC[[#This Row],[R_AV (kN)]],HC[[#This Row],[R_DC (kN)]])))</f>
        <v>87.899144453564404</v>
      </c>
      <c r="W121" s="4">
        <f>INDEX(PILARES[],HC[[#This Row],[idPilar]],MATCH("Carga (kN)",PILARES[#Headers],0))*1.4</f>
        <v>3500</v>
      </c>
      <c r="X121" s="12">
        <f>INDEX(PILARES[],HC[[#This Row],[idPilar]],MATCH(HC[[#Headers],[ap (cm)]],PILARES[#Headers],0))</f>
        <v>60</v>
      </c>
      <c r="Y121" s="12">
        <f>INDEX(PILARES[],HC[[#This Row],[idPilar]],MATCH(HC[[#Headers],[bp (cm)]],PILARES[#Headers],0))</f>
        <v>60</v>
      </c>
      <c r="Z121" s="4">
        <f>SQRT(HC[[#This Row],[ap (cm)]]*HC[[#This Row],[bp (cm)]])</f>
        <v>60</v>
      </c>
      <c r="AA121" s="12">
        <f>HC[[#This Row],[ap (cm)]]*HC[[#This Row],[bp (cm)]]</f>
        <v>3600</v>
      </c>
      <c r="AB121" s="12">
        <f ca="1">IF(HC[[#This Row],[Padm∙ε (kN)]]&gt;=HC[[#This Row],[Padm (kN)]],ROUNDUP(1.05*HC[[#This Row],[Nsd (kN)]]/HC[[#This Row],[Padm (kN)]],0),ROUNDUP(1.05*HC[[#This Row],[Nsd (kN)]]/HC[[#This Row],[Padm (kN)]],0)+1)</f>
        <v>42</v>
      </c>
      <c r="AC121" s="4" t="str">
        <f ca="1">IFERROR(IF(HC[[#This Row],[nE]]=1,HC[[#This Row],[Padm (kN)]],HC[[#This Row],[Padm (kN)]]*HC[[#This Row],[nE]]*INDEX(grupoEstacas[],HC[[#This Row],[nE]],MATCH("ε",grupoEstacas[#Headers],0))),"N.S.")</f>
        <v>N.S.</v>
      </c>
      <c r="AD121" s="4">
        <f ca="1">1.05*HC[[#This Row],[Nsd (kN)]]/(HC[[#This Row],[nE]]*PI()*HC[[#This Row],[Ø (cm)]]^2/4)*10</f>
        <v>0.61679424312430031</v>
      </c>
      <c r="AE121" s="4">
        <f ca="1">IF(HC[[#This Row],[σ (MPa)]]&lt;INDEX(tipoEstaca[],MATCH($D$2,tipoEstaca[TIPO DE ESTACA],0),MATCH("σmáx (MPa)",tipoEstaca[#Headers],0)),0.4%*PI()*HC[[#This Row],[Ø (cm)]]^2/4,"N.S.")</f>
        <v>5.6745017305465639</v>
      </c>
      <c r="AF121" s="1">
        <f>INDEX(tipoEstaca[],MATCH($D$2,tipoEstaca[TIPO DE ESTACA],0),MATCH(HC[[#Headers],[Comprimento (m)]],tipoEstaca[#Headers],0))</f>
        <v>4</v>
      </c>
      <c r="AG121" s="5">
        <f ca="1">HC[[#This Row],[As,mín (cm²)]]/100^2*HC[[#This Row],[Comprimento (m)]]*7850</f>
        <v>17.817935433916212</v>
      </c>
      <c r="AH121" s="4">
        <f ca="1">HC[[#This Row],[nE]]*HC[[#This Row],[Prof. (m)]]*HC[[#This Row],[Ap (m²)]]</f>
        <v>23.832907268295564</v>
      </c>
      <c r="AI121" s="1">
        <f ca="1">IF(HC[[#This Row],[nE]]=1,0,MAX(3*HC[[#This Row],[Ø (cm)]],60))</f>
        <v>127.5</v>
      </c>
      <c r="AJ121" s="1">
        <f ca="1">IF(HC[[#This Row],[nE]]=1,HC[[#This Row],[Ø (cm)]]+2*10,MAX(1.5*HC[[#This Row],[Ø (cm)]],HC[[#This Row],[Ø (cm)]]+15))</f>
        <v>63.75</v>
      </c>
      <c r="AK121" s="1" t="str">
        <f ca="1">alturaUtil(HC[[#This Row],[nE]],HC[[#This Row],[Ø (cm)]],HC[[#This Row],[e (cm)]],HC[[#This Row],[ap,eq (cm)]])</f>
        <v>N.S.</v>
      </c>
      <c r="AL121" s="1" t="str">
        <f ca="1">IFERROR(HC[[#This Row],[d (cm)]]+arredondarParaCimaMultiplo5cm(MAX(5,SQRT(PI())/2*HC[[#This Row],[Ø (cm)]]/5)),"N.S.")</f>
        <v>N.S.</v>
      </c>
      <c r="AM121" s="5" t="str">
        <f ca="1">alpha(HC[[#This Row],[nE]],HC[[#This Row],[d (cm)]],HC[[#This Row],[e (cm)]],HC[[#This Row],[ap,eq (cm)]])</f>
        <v>N.S.</v>
      </c>
      <c r="AN121" s="35" t="str">
        <f ca="1">IFERROR(HC[[#This Row],[Nsd (kN)]]/(HC[[#This Row],[Ap (cm²)]]*SIN(HC[[#This Row],[α]])^2),"N.S.")</f>
        <v>N.S.</v>
      </c>
      <c r="AO121" s="35" t="str">
        <f ca="1">IFERROR(HC[[#This Row],[Nsd (kN)]]/(HC[[#This Row],[nE]]*PI()*HC[[#This Row],[Ø (cm)]]^2/4*SIN(HC[[#This Row],[α]])^2),"N.S.")</f>
        <v>N.S.</v>
      </c>
      <c r="AP121" s="4" t="str">
        <f ca="1">IFERROR(INDEX(grupoEstacas[],HC[[#This Row],[nE]],MATCH("coef. Blévot",grupoEstacas[#Headers],0)),"N.S.")</f>
        <v>N.S.</v>
      </c>
      <c r="AQ121" s="35" t="str">
        <f ca="1">IFERROR(HC[[#This Row],[coef. Blévot]]*0.9*INDEX(tipoEstaca[],MATCH($D$2,tipoEstaca[TIPO DE ESTACA],0),MATCH("fcd (kN/cm²)",tipoEstaca[#Headers],0)),"N.S.")</f>
        <v>N.S.</v>
      </c>
      <c r="AR121" s="1" t="str">
        <f ca="1">IF(AND(HC[[#This Row],[cd,b,pil (kN/cm²)]]&lt;=HC[[#This Row],[cd,b,lim (kN/cm²)]],HC[[#This Row],[cd,b,est (kN/cm²)]]&lt;=HC[[#This Row],[cd,b,lim (kN/cm²)]]),"OK","ERRO")</f>
        <v>OK</v>
      </c>
      <c r="AS121" s="4" t="str">
        <f ca="1">As_lado(HC[[#This Row],[nE]],HC[[#This Row],[Nsd (kN)]],HC[[#This Row],[d (cm)]],HC[[#This Row],[e (cm)]],HC[[#This Row],[ap,eq (cm)]])</f>
        <v>N.S.</v>
      </c>
      <c r="AT121" s="4" t="str">
        <f ca="1">IF(HC[[#This Row],[nE]]=1,HC[[#This Row],[As,lado (cm²)]],IF(HC[[#This Row],[nE]]=2,0.075*2*HC[a (cm)],"N.A."))</f>
        <v>N.A.</v>
      </c>
      <c r="AU121" s="4" t="str">
        <f ca="1">IFERROR(IF(HC[[#This Row],[nE]]=1,"N.A.",0.2*HC[[#This Row],[As,lado (cm²)]]),"N.S.")</f>
        <v>N.S.</v>
      </c>
      <c r="AV121" s="4" t="str">
        <f ca="1">As_malha(HC[[#This Row],[nE]],HC[[#This Row],[As,lado (cm²)]],HC[[#This Row],[Nsd (kN)]])</f>
        <v>N.S.</v>
      </c>
      <c r="AW121" s="4" t="str">
        <f ca="1">As_susp_tot(HC[[#This Row],[nE]],HC[[#This Row],[Nsd (kN)]])</f>
        <v>N.S.</v>
      </c>
      <c r="AX121" s="4" t="str">
        <f ca="1">Asp_face(HC[[#This Row],[nE]],HC[[#This Row],[As,lado (cm²)]])</f>
        <v>N.S.</v>
      </c>
      <c r="AY121" s="5" t="str">
        <f ca="1">acoBloco(HC[[#This Row],[nE]],HC[[#This Row],[e (cm)]],HC[[#This Row],[a (cm)]],HC[[#This Row],[h (cm)]],HC[[#This Row],[As,lado (cm²)]],HC[[#This Row],[Asp e Asw (cm²/m)]],HC[[#This Row],[As,sup (cm²)]],HC[[#This Row],[As,malha (cm²)]],HC[[#This Row],[As,susp,tot (cm²)]],HC[[#This Row],[Asp,face (cm²)]])</f>
        <v>N.S.</v>
      </c>
      <c r="AZ121" s="4" t="str">
        <f ca="1">concretoBloco(HC[[#This Row],[nE]],HC[[#This Row],[e (cm)]],HC[[#This Row],[a (cm)]],HC[[#This Row],[h (cm)]])</f>
        <v>N.S.</v>
      </c>
      <c r="BA121" s="5">
        <f ca="1">SUM(HC[[#This Row],[Aço Est (kg)]],HC[[#This Row],[Aço Bloco (kg)]])</f>
        <v>17.817935433916212</v>
      </c>
      <c r="BB121" s="4">
        <f>INDEX(composicoes[],MATCH(95580,composicoes[CÓDIGO],0),MATCH("CUSTO TOTAL",composicoes[#Headers],0))</f>
        <v>10.46</v>
      </c>
      <c r="BC121" s="4">
        <f ca="1">SUM(HC[[#This Row],[Conc Est (m³)]],HC[[#This Row],[Conc Bloco (m³)]])</f>
        <v>23.832907268295564</v>
      </c>
      <c r="BD121" s="4">
        <f>INDEX(composicoes[],MATCH(94966,composicoes[CÓDIGO],0),MATCH("CUSTO TOTAL",composicoes[#Headers],0))</f>
        <v>439.52</v>
      </c>
      <c r="BE121" s="38">
        <f ca="1">HC[[#This Row],[Aço (kg)]]*HC[[#This Row],[Aço (R$/kg)]]+HC[[#This Row],[Conc (m³)]]*HC[[#This Row],[Conc (R$/m³)]]</f>
        <v>10661.41500720003</v>
      </c>
      <c r="BF121" s="4" t="str">
        <f ca="1">IF(COUNTIF(HC[#This Row],"N.S.")&gt;0,"lim.","OK")</f>
        <v>lim.</v>
      </c>
      <c r="BG121" s="4" t="str">
        <f>IF(HC[[#This Row],[Prof. (m)]]&lt;4,"lim.","OK")</f>
        <v>OK</v>
      </c>
      <c r="BH121" s="4" t="str">
        <f>IF(HC[[#This Row],[Prof. (m)]]&gt;=8*HC[[#This Row],[Ø (cm)]]/100,"OK","lim.")</f>
        <v>OK</v>
      </c>
      <c r="BI121" s="4" t="str">
        <f ca="1">IF(HC[[#This Row],[Verif. Biela]]="OK","OK","lim.")</f>
        <v>OK</v>
      </c>
      <c r="BJ121" s="4" t="str">
        <f ca="1">IF(COUNTA(HC[[#This Row],[Nº Est.]:[Biela comp.]])=COUNTIF(HC[[#This Row],[Nº Est.]:[Biela comp.]],"OK"),"OK","lim.")</f>
        <v>lim.</v>
      </c>
      <c r="BK121" s="4" t="str">
        <f ca="1">IF(HC[[#This Row],[Controle]]="OK",HC[[#This Row],[nE]]&amp;" Ø"&amp;HC[[#This Row],[Ø (cm)]]&amp;"cm Prof. "&amp;HC[[#This Row],[Prof. (m)]]&amp;" m","")</f>
        <v/>
      </c>
      <c r="BL121" s="4" t="str">
        <f ca="1">IF(HC[[#This Row],[idDimensionamento]]="","",HC[[#This Row],[idPilar]]&amp;HC[[#This Row],[idDimensionamento]])</f>
        <v/>
      </c>
    </row>
    <row r="122" spans="2:64" x14ac:dyDescent="0.25">
      <c r="B122" s="12">
        <f>ROUNDUP((ROW(HC[[#This Row],[idDiâmetro]])-ROW(HC[[#Headers],[idDiâmetro]]))/(COUNT(SPT[Prof. (m)])*COUNT(PILARES[Pilar])),0)</f>
        <v>5</v>
      </c>
      <c r="C122" s="12">
        <f>IF(HC[[#This Row],[idDiâmetro]]&lt;&gt;B121,1,IF(HC[[#This Row],[Prof. (m)]]=0,C121+1,C121))</f>
        <v>1</v>
      </c>
      <c r="D122" s="1">
        <f>IFERROR(IF(D121=MAX(SPT[Prof. (m)]),0,D121+1),0)</f>
        <v>5</v>
      </c>
      <c r="E122" s="1">
        <f>INDEX(SPT[],MATCH(HC[[#This Row],[Prof. (m)]],SPT[Prof. (m)],0),2)</f>
        <v>17</v>
      </c>
      <c r="F122" s="1" t="str">
        <f>INDEX(SPT[],MATCH(HC[[#This Row],[Prof. (m)]],SPT[Prof. (m)],0),3)</f>
        <v>Areia siltosa</v>
      </c>
      <c r="G122" s="1">
        <f>INDEX(estacas[],HC[[#This Row],[idDiâmetro]],MATCH($B$2,estacas[#Headers],0))</f>
        <v>42.5</v>
      </c>
      <c r="H122" s="1">
        <f>INDEX(estacas[],MATCH(HC[[#This Row],[Ø (cm)]],estacas[Ø HC (cm)],0),MATCH(HC[[#Headers],[Pe HC (kN)]],estacas[#Headers],0))</f>
        <v>900</v>
      </c>
      <c r="I122" s="4">
        <f>INDEX(K_alpha_C[],MATCH(HC[[#This Row],[Solo]],K_alpha_C[Solo],0),2)</f>
        <v>0.8</v>
      </c>
      <c r="J122" s="5">
        <f>INDEX(K_alpha_C[],MATCH(HC[[#This Row],[Solo]],K_alpha_C[Solo],0),3)</f>
        <v>2</v>
      </c>
      <c r="K122" s="4">
        <f>INDEX(F1_F2[],MATCH($D$2,F1_F2[Tipo de estaca],0),2)</f>
        <v>2</v>
      </c>
      <c r="L122" s="4">
        <f>INDEX(F1_F2[],MATCH($D$2,F1_F2[Tipo de estaca],0),3)</f>
        <v>4</v>
      </c>
      <c r="M122" s="4">
        <f>PI()*(HC[[#This Row],[Ø (cm)]]/100)^2/4</f>
        <v>0.14186254326366407</v>
      </c>
      <c r="N122" s="4">
        <f>PI()*HC[[#This Row],[Ø (cm)]]/100</f>
        <v>1.3351768777756621</v>
      </c>
      <c r="O122" s="4">
        <f>IF(HC[[#This Row],[Prof. (m)]]=0,0,HC[[#This Row],[α (%)]]/100*HC[[#This Row],[K (MPa)]]*1000*HC[[#This Row],[NSPT]])</f>
        <v>272</v>
      </c>
      <c r="P122" s="4">
        <f>IF(HC[[#This Row],[Prof. (m)]]=0,0,(HC[[#This Row],[K (MPa)]]*1000*HC[[#This Row],[NSPT]]/HC[[#This Row],[F1]]*HC[[#This Row],[Ap (m²)]]+HC[[#This Row],[U (m)]]/HC[[#This Row],[F2]]*SUMIFS(HC[(α∙K∙NL∙ΔL)],HC[Prof. (m)],"&lt;="&amp;HC[[#This Row],[Prof. (m)]],HC[idDiâmetro],HC[[#This Row],[idDiâmetro]],HC[idPilar],HC[[#This Row],[idPilar]]))/'DADOS CAP. CARGA'!$D$2)</f>
        <v>570.45432102965151</v>
      </c>
      <c r="Q122" s="12">
        <f>INDEX(C_alpha_beta[],MATCH(HC[[#This Row],[Solo]],C_alpha_beta[Solo],0),MATCH(HC[[#Headers],[C (kPa)]],C_alpha_beta[#Headers],0))</f>
        <v>400</v>
      </c>
      <c r="R122" s="4">
        <f>INDEX(C_alpha_beta[],MATCH(HC[[#This Row],[Solo]],C_alpha_beta[Solo],0),MATCH(HC[[#Headers],[α ESF]],C_alpha_beta[#Headers],0))</f>
        <v>0.5</v>
      </c>
      <c r="S122" s="4">
        <f>INDEX(C_alpha_beta[],MATCH(HC[[#This Row],[Solo]],C_alpha_beta[Solo],0),MATCH(HC[[#Headers],[β ESF]],C_alpha_beta[#Headers],0))</f>
        <v>0.5</v>
      </c>
      <c r="T122" s="4">
        <f>IF(HC[[#This Row],[Prof. (m)]]=0,0,10*(HC[[#This Row],[NSPT]]/3+1))</f>
        <v>66.666666666666671</v>
      </c>
      <c r="U122" s="4">
        <f>(HC[[#This Row],[α ESF]]*HC[[#This Row],[C (kPa)]]*HC[[#This Row],[NSPT]]*HC[[#This Row],[Ap (m²)]])/'DADOS CAP. CARGA'!$Q$2+(HC[[#This Row],[β ESF]]*SUMIFS(HC[10∙(NL/3+1)],HC[Prof. (m)],"&lt;="&amp;HC[[#This Row],[Prof. (m)]],HC[idDiâmetro],HC[[#This Row],[idDiâmetro]],HC[idPilar],HC[[#This Row],[idPilar]])*HC[[#This Row],[U (m)]])/'DADOS CAP. CARGA'!$S$2</f>
        <v>173.99023688514094</v>
      </c>
      <c r="V122" s="4">
        <f>IF(SPT!$M$5=1,MIN(HC[[#This Row],[Pe HC (kN)]],HC[[#This Row],[R_AV (kN)]]),IF(SPT!$M$5=2,MIN(HC[[#This Row],[Pe HC (kN)]],HC[[#This Row],[R_DC (kN)]]),MIN(HC[[#This Row],[Pe HC (kN)]],HC[[#This Row],[R_AV (kN)]],HC[[#This Row],[R_DC (kN)]])))</f>
        <v>173.99023688514094</v>
      </c>
      <c r="W122" s="4">
        <f>INDEX(PILARES[],HC[[#This Row],[idPilar]],MATCH("Carga (kN)",PILARES[#Headers],0))*1.4</f>
        <v>3500</v>
      </c>
      <c r="X122" s="12">
        <f>INDEX(PILARES[],HC[[#This Row],[idPilar]],MATCH(HC[[#Headers],[ap (cm)]],PILARES[#Headers],0))</f>
        <v>60</v>
      </c>
      <c r="Y122" s="12">
        <f>INDEX(PILARES[],HC[[#This Row],[idPilar]],MATCH(HC[[#Headers],[bp (cm)]],PILARES[#Headers],0))</f>
        <v>60</v>
      </c>
      <c r="Z122" s="4">
        <f>SQRT(HC[[#This Row],[ap (cm)]]*HC[[#This Row],[bp (cm)]])</f>
        <v>60</v>
      </c>
      <c r="AA122" s="12">
        <f>HC[[#This Row],[ap (cm)]]*HC[[#This Row],[bp (cm)]]</f>
        <v>3600</v>
      </c>
      <c r="AB122" s="12">
        <f ca="1">IF(HC[[#This Row],[Padm∙ε (kN)]]&gt;=HC[[#This Row],[Padm (kN)]],ROUNDUP(1.05*HC[[#This Row],[Nsd (kN)]]/HC[[#This Row],[Padm (kN)]],0),ROUNDUP(1.05*HC[[#This Row],[Nsd (kN)]]/HC[[#This Row],[Padm (kN)]],0)+1)</f>
        <v>22</v>
      </c>
      <c r="AC122" s="4" t="str">
        <f ca="1">IFERROR(IF(HC[[#This Row],[nE]]=1,HC[[#This Row],[Padm (kN)]],HC[[#This Row],[Padm (kN)]]*HC[[#This Row],[nE]]*INDEX(grupoEstacas[],HC[[#This Row],[nE]],MATCH("ε",grupoEstacas[#Headers],0))),"N.S.")</f>
        <v>N.S.</v>
      </c>
      <c r="AD122" s="4">
        <f ca="1">1.05*HC[[#This Row],[Nsd (kN)]]/(HC[[#This Row],[nE]]*PI()*HC[[#This Row],[Ø (cm)]]^2/4)*10</f>
        <v>1.1775162823282099</v>
      </c>
      <c r="AE122" s="4">
        <f ca="1">IF(HC[[#This Row],[σ (MPa)]]&lt;INDEX(tipoEstaca[],MATCH($D$2,tipoEstaca[TIPO DE ESTACA],0),MATCH("σmáx (MPa)",tipoEstaca[#Headers],0)),0.4%*PI()*HC[[#This Row],[Ø (cm)]]^2/4,"N.S.")</f>
        <v>5.6745017305465639</v>
      </c>
      <c r="AF122" s="1">
        <f>INDEX(tipoEstaca[],MATCH($D$2,tipoEstaca[TIPO DE ESTACA],0),MATCH(HC[[#Headers],[Comprimento (m)]],tipoEstaca[#Headers],0))</f>
        <v>4</v>
      </c>
      <c r="AG122" s="5">
        <f ca="1">HC[[#This Row],[As,mín (cm²)]]/100^2*HC[[#This Row],[Comprimento (m)]]*7850</f>
        <v>17.817935433916212</v>
      </c>
      <c r="AH122" s="4">
        <f ca="1">HC[[#This Row],[nE]]*HC[[#This Row],[Prof. (m)]]*HC[[#This Row],[Ap (m²)]]</f>
        <v>15.604879759003047</v>
      </c>
      <c r="AI122" s="1">
        <f ca="1">IF(HC[[#This Row],[nE]]=1,0,MAX(3*HC[[#This Row],[Ø (cm)]],60))</f>
        <v>127.5</v>
      </c>
      <c r="AJ122" s="1">
        <f ca="1">IF(HC[[#This Row],[nE]]=1,HC[[#This Row],[Ø (cm)]]+2*10,MAX(1.5*HC[[#This Row],[Ø (cm)]],HC[[#This Row],[Ø (cm)]]+15))</f>
        <v>63.75</v>
      </c>
      <c r="AK122" s="1" t="str">
        <f ca="1">alturaUtil(HC[[#This Row],[nE]],HC[[#This Row],[Ø (cm)]],HC[[#This Row],[e (cm)]],HC[[#This Row],[ap,eq (cm)]])</f>
        <v>N.S.</v>
      </c>
      <c r="AL122" s="1" t="str">
        <f ca="1">IFERROR(HC[[#This Row],[d (cm)]]+arredondarParaCimaMultiplo5cm(MAX(5,SQRT(PI())/2*HC[[#This Row],[Ø (cm)]]/5)),"N.S.")</f>
        <v>N.S.</v>
      </c>
      <c r="AM122" s="5" t="str">
        <f ca="1">alpha(HC[[#This Row],[nE]],HC[[#This Row],[d (cm)]],HC[[#This Row],[e (cm)]],HC[[#This Row],[ap,eq (cm)]])</f>
        <v>N.S.</v>
      </c>
      <c r="AN122" s="35" t="str">
        <f ca="1">IFERROR(HC[[#This Row],[Nsd (kN)]]/(HC[[#This Row],[Ap (cm²)]]*SIN(HC[[#This Row],[α]])^2),"N.S.")</f>
        <v>N.S.</v>
      </c>
      <c r="AO122" s="35" t="str">
        <f ca="1">IFERROR(HC[[#This Row],[Nsd (kN)]]/(HC[[#This Row],[nE]]*PI()*HC[[#This Row],[Ø (cm)]]^2/4*SIN(HC[[#This Row],[α]])^2),"N.S.")</f>
        <v>N.S.</v>
      </c>
      <c r="AP122" s="4" t="str">
        <f ca="1">IFERROR(INDEX(grupoEstacas[],HC[[#This Row],[nE]],MATCH("coef. Blévot",grupoEstacas[#Headers],0)),"N.S.")</f>
        <v>N.S.</v>
      </c>
      <c r="AQ122" s="35" t="str">
        <f ca="1">IFERROR(HC[[#This Row],[coef. Blévot]]*0.9*INDEX(tipoEstaca[],MATCH($D$2,tipoEstaca[TIPO DE ESTACA],0),MATCH("fcd (kN/cm²)",tipoEstaca[#Headers],0)),"N.S.")</f>
        <v>N.S.</v>
      </c>
      <c r="AR122" s="1" t="str">
        <f ca="1">IF(AND(HC[[#This Row],[cd,b,pil (kN/cm²)]]&lt;=HC[[#This Row],[cd,b,lim (kN/cm²)]],HC[[#This Row],[cd,b,est (kN/cm²)]]&lt;=HC[[#This Row],[cd,b,lim (kN/cm²)]]),"OK","ERRO")</f>
        <v>OK</v>
      </c>
      <c r="AS122" s="4" t="str">
        <f ca="1">As_lado(HC[[#This Row],[nE]],HC[[#This Row],[Nsd (kN)]],HC[[#This Row],[d (cm)]],HC[[#This Row],[e (cm)]],HC[[#This Row],[ap,eq (cm)]])</f>
        <v>N.S.</v>
      </c>
      <c r="AT122" s="4" t="str">
        <f ca="1">IF(HC[[#This Row],[nE]]=1,HC[[#This Row],[As,lado (cm²)]],IF(HC[[#This Row],[nE]]=2,0.075*2*HC[a (cm)],"N.A."))</f>
        <v>N.A.</v>
      </c>
      <c r="AU122" s="4" t="str">
        <f ca="1">IFERROR(IF(HC[[#This Row],[nE]]=1,"N.A.",0.2*HC[[#This Row],[As,lado (cm²)]]),"N.S.")</f>
        <v>N.S.</v>
      </c>
      <c r="AV122" s="4" t="str">
        <f ca="1">As_malha(HC[[#This Row],[nE]],HC[[#This Row],[As,lado (cm²)]],HC[[#This Row],[Nsd (kN)]])</f>
        <v>N.S.</v>
      </c>
      <c r="AW122" s="4" t="str">
        <f ca="1">As_susp_tot(HC[[#This Row],[nE]],HC[[#This Row],[Nsd (kN)]])</f>
        <v>N.S.</v>
      </c>
      <c r="AX122" s="4" t="str">
        <f ca="1">Asp_face(HC[[#This Row],[nE]],HC[[#This Row],[As,lado (cm²)]])</f>
        <v>N.S.</v>
      </c>
      <c r="AY122" s="5" t="str">
        <f ca="1">acoBloco(HC[[#This Row],[nE]],HC[[#This Row],[e (cm)]],HC[[#This Row],[a (cm)]],HC[[#This Row],[h (cm)]],HC[[#This Row],[As,lado (cm²)]],HC[[#This Row],[Asp e Asw (cm²/m)]],HC[[#This Row],[As,sup (cm²)]],HC[[#This Row],[As,malha (cm²)]],HC[[#This Row],[As,susp,tot (cm²)]],HC[[#This Row],[Asp,face (cm²)]])</f>
        <v>N.S.</v>
      </c>
      <c r="AZ122" s="4" t="str">
        <f ca="1">concretoBloco(HC[[#This Row],[nE]],HC[[#This Row],[e (cm)]],HC[[#This Row],[a (cm)]],HC[[#This Row],[h (cm)]])</f>
        <v>N.S.</v>
      </c>
      <c r="BA122" s="5">
        <f ca="1">SUM(HC[[#This Row],[Aço Est (kg)]],HC[[#This Row],[Aço Bloco (kg)]])</f>
        <v>17.817935433916212</v>
      </c>
      <c r="BB122" s="4">
        <f>INDEX(composicoes[],MATCH(95580,composicoes[CÓDIGO],0),MATCH("CUSTO TOTAL",composicoes[#Headers],0))</f>
        <v>10.46</v>
      </c>
      <c r="BC122" s="4">
        <f ca="1">SUM(HC[[#This Row],[Conc Est (m³)]],HC[[#This Row],[Conc Bloco (m³)]])</f>
        <v>15.604879759003047</v>
      </c>
      <c r="BD122" s="4">
        <f>INDEX(composicoes[],MATCH(94966,composicoes[CÓDIGO],0),MATCH("CUSTO TOTAL",composicoes[#Headers],0))</f>
        <v>439.52</v>
      </c>
      <c r="BE122" s="38">
        <f ca="1">HC[[#This Row],[Aço (kg)]]*HC[[#This Row],[Aço (R$/kg)]]+HC[[#This Row],[Conc (m³)]]*HC[[#This Row],[Conc (R$/m³)]]</f>
        <v>7045.0323563157826</v>
      </c>
      <c r="BF122" s="4" t="str">
        <f ca="1">IF(COUNTIF(HC[#This Row],"N.S.")&gt;0,"lim.","OK")</f>
        <v>lim.</v>
      </c>
      <c r="BG122" s="4" t="str">
        <f>IF(HC[[#This Row],[Prof. (m)]]&lt;4,"lim.","OK")</f>
        <v>OK</v>
      </c>
      <c r="BH122" s="4" t="str">
        <f>IF(HC[[#This Row],[Prof. (m)]]&gt;=8*HC[[#This Row],[Ø (cm)]]/100,"OK","lim.")</f>
        <v>OK</v>
      </c>
      <c r="BI122" s="4" t="str">
        <f ca="1">IF(HC[[#This Row],[Verif. Biela]]="OK","OK","lim.")</f>
        <v>OK</v>
      </c>
      <c r="BJ122" s="4" t="str">
        <f ca="1">IF(COUNTA(HC[[#This Row],[Nº Est.]:[Biela comp.]])=COUNTIF(HC[[#This Row],[Nº Est.]:[Biela comp.]],"OK"),"OK","lim.")</f>
        <v>lim.</v>
      </c>
      <c r="BK122" s="4" t="str">
        <f ca="1">IF(HC[[#This Row],[Controle]]="OK",HC[[#This Row],[nE]]&amp;" Ø"&amp;HC[[#This Row],[Ø (cm)]]&amp;"cm Prof. "&amp;HC[[#This Row],[Prof. (m)]]&amp;" m","")</f>
        <v/>
      </c>
      <c r="BL122" s="4" t="str">
        <f ca="1">IF(HC[[#This Row],[idDimensionamento]]="","",HC[[#This Row],[idPilar]]&amp;HC[[#This Row],[idDimensionamento]])</f>
        <v/>
      </c>
    </row>
    <row r="123" spans="2:64" x14ac:dyDescent="0.25">
      <c r="B123" s="12">
        <f>ROUNDUP((ROW(HC[[#This Row],[idDiâmetro]])-ROW(HC[[#Headers],[idDiâmetro]]))/(COUNT(SPT[Prof. (m)])*COUNT(PILARES[Pilar])),0)</f>
        <v>5</v>
      </c>
      <c r="C123" s="12">
        <f>IF(HC[[#This Row],[idDiâmetro]]&lt;&gt;B122,1,IF(HC[[#This Row],[Prof. (m)]]=0,C122+1,C122))</f>
        <v>1</v>
      </c>
      <c r="D123" s="1">
        <f>IFERROR(IF(D122=MAX(SPT[Prof. (m)]),0,D122+1),0)</f>
        <v>6</v>
      </c>
      <c r="E123" s="1">
        <f>INDEX(SPT[],MATCH(HC[[#This Row],[Prof. (m)]],SPT[Prof. (m)],0),2)</f>
        <v>21</v>
      </c>
      <c r="F123" s="1" t="str">
        <f>INDEX(SPT[],MATCH(HC[[#This Row],[Prof. (m)]],SPT[Prof. (m)],0),3)</f>
        <v>Silte arenoso</v>
      </c>
      <c r="G123" s="1">
        <f>INDEX(estacas[],HC[[#This Row],[idDiâmetro]],MATCH($B$2,estacas[#Headers],0))</f>
        <v>42.5</v>
      </c>
      <c r="H123" s="1">
        <f>INDEX(estacas[],MATCH(HC[[#This Row],[Ø (cm)]],estacas[Ø HC (cm)],0),MATCH(HC[[#Headers],[Pe HC (kN)]],estacas[#Headers],0))</f>
        <v>900</v>
      </c>
      <c r="I123" s="4">
        <f>INDEX(K_alpha_C[],MATCH(HC[[#This Row],[Solo]],K_alpha_C[Solo],0),2)</f>
        <v>0.55000000000000004</v>
      </c>
      <c r="J123" s="5">
        <f>INDEX(K_alpha_C[],MATCH(HC[[#This Row],[Solo]],K_alpha_C[Solo],0),3)</f>
        <v>2.2000000000000002</v>
      </c>
      <c r="K123" s="4">
        <f>INDEX(F1_F2[],MATCH($D$2,F1_F2[Tipo de estaca],0),2)</f>
        <v>2</v>
      </c>
      <c r="L123" s="4">
        <f>INDEX(F1_F2[],MATCH($D$2,F1_F2[Tipo de estaca],0),3)</f>
        <v>4</v>
      </c>
      <c r="M123" s="4">
        <f>PI()*(HC[[#This Row],[Ø (cm)]]/100)^2/4</f>
        <v>0.14186254326366407</v>
      </c>
      <c r="N123" s="4">
        <f>PI()*HC[[#This Row],[Ø (cm)]]/100</f>
        <v>1.3351768777756621</v>
      </c>
      <c r="O123" s="4">
        <f>IF(HC[[#This Row],[Prof. (m)]]=0,0,HC[[#This Row],[α (%)]]/100*HC[[#This Row],[K (MPa)]]*1000*HC[[#This Row],[NSPT]])</f>
        <v>254.10000000000002</v>
      </c>
      <c r="P123" s="4">
        <f>IF(HC[[#This Row],[Prof. (m)]]=0,0,(HC[[#This Row],[K (MPa)]]*1000*HC[[#This Row],[NSPT]]/HC[[#This Row],[F1]]*HC[[#This Row],[Ap (m²)]]+HC[[#This Row],[U (m)]]/HC[[#This Row],[F2]]*SUMIFS(HC[(α∙K∙NL∙ΔL)],HC[Prof. (m)],"&lt;="&amp;HC[[#This Row],[Prof. (m)]],HC[idDiâmetro],HC[[#This Row],[idDiâmetro]],HC[idPilar],HC[[#This Row],[idPilar]]))/'DADOS CAP. CARGA'!$D$2)</f>
        <v>540.15832318737318</v>
      </c>
      <c r="Q123" s="12">
        <f>INDEX(C_alpha_beta[],MATCH(HC[[#This Row],[Solo]],C_alpha_beta[Solo],0),MATCH(HC[[#Headers],[C (kPa)]],C_alpha_beta[#Headers],0))</f>
        <v>250</v>
      </c>
      <c r="R123" s="4">
        <f>INDEX(C_alpha_beta[],MATCH(HC[[#This Row],[Solo]],C_alpha_beta[Solo],0),MATCH(HC[[#Headers],[α ESF]],C_alpha_beta[#Headers],0))</f>
        <v>0.6</v>
      </c>
      <c r="S123" s="4">
        <f>INDEX(C_alpha_beta[],MATCH(HC[[#This Row],[Solo]],C_alpha_beta[Solo],0),MATCH(HC[[#Headers],[β ESF]],C_alpha_beta[#Headers],0))</f>
        <v>0.65</v>
      </c>
      <c r="T123" s="4">
        <f>IF(HC[[#This Row],[Prof. (m)]]=0,0,10*(HC[[#This Row],[NSPT]]/3+1))</f>
        <v>80</v>
      </c>
      <c r="U123" s="4">
        <f>(HC[[#This Row],[α ESF]]*HC[[#This Row],[C (kPa)]]*HC[[#This Row],[NSPT]]*HC[[#This Row],[Ap (m²)]])/'DADOS CAP. CARGA'!$Q$2+(HC[[#This Row],[β ESF]]*SUMIFS(HC[10∙(NL/3+1)],HC[Prof. (m)],"&lt;="&amp;HC[[#This Row],[Prof. (m)]],HC[idDiâmetro],HC[[#This Row],[idDiâmetro]],HC[idPilar],HC[[#This Row],[idPilar]])*HC[[#This Row],[U (m)]])/'DADOS CAP. CARGA'!$S$2</f>
        <v>215.86054928663708</v>
      </c>
      <c r="V123" s="4">
        <f>IF(SPT!$M$5=1,MIN(HC[[#This Row],[Pe HC (kN)]],HC[[#This Row],[R_AV (kN)]]),IF(SPT!$M$5=2,MIN(HC[[#This Row],[Pe HC (kN)]],HC[[#This Row],[R_DC (kN)]]),MIN(HC[[#This Row],[Pe HC (kN)]],HC[[#This Row],[R_AV (kN)]],HC[[#This Row],[R_DC (kN)]])))</f>
        <v>215.86054928663708</v>
      </c>
      <c r="W123" s="4">
        <f>INDEX(PILARES[],HC[[#This Row],[idPilar]],MATCH("Carga (kN)",PILARES[#Headers],0))*1.4</f>
        <v>3500</v>
      </c>
      <c r="X123" s="12">
        <f>INDEX(PILARES[],HC[[#This Row],[idPilar]],MATCH(HC[[#Headers],[ap (cm)]],PILARES[#Headers],0))</f>
        <v>60</v>
      </c>
      <c r="Y123" s="12">
        <f>INDEX(PILARES[],HC[[#This Row],[idPilar]],MATCH(HC[[#Headers],[bp (cm)]],PILARES[#Headers],0))</f>
        <v>60</v>
      </c>
      <c r="Z123" s="4">
        <f>SQRT(HC[[#This Row],[ap (cm)]]*HC[[#This Row],[bp (cm)]])</f>
        <v>60</v>
      </c>
      <c r="AA123" s="12">
        <f>HC[[#This Row],[ap (cm)]]*HC[[#This Row],[bp (cm)]]</f>
        <v>3600</v>
      </c>
      <c r="AB123" s="12">
        <f ca="1">IF(HC[[#This Row],[Padm∙ε (kN)]]&gt;=HC[[#This Row],[Padm (kN)]],ROUNDUP(1.05*HC[[#This Row],[Nsd (kN)]]/HC[[#This Row],[Padm (kN)]],0),ROUNDUP(1.05*HC[[#This Row],[Nsd (kN)]]/HC[[#This Row],[Padm (kN)]],0)+1)</f>
        <v>18</v>
      </c>
      <c r="AC123" s="4" t="str">
        <f ca="1">IFERROR(IF(HC[[#This Row],[nE]]=1,HC[[#This Row],[Padm (kN)]],HC[[#This Row],[Padm (kN)]]*HC[[#This Row],[nE]]*INDEX(grupoEstacas[],HC[[#This Row],[nE]],MATCH("ε",grupoEstacas[#Headers],0))),"N.S.")</f>
        <v>N.S.</v>
      </c>
      <c r="AD123" s="4">
        <f ca="1">1.05*HC[[#This Row],[Nsd (kN)]]/(HC[[#This Row],[nE]]*PI()*HC[[#This Row],[Ø (cm)]]^2/4)*10</f>
        <v>1.4391865672900339</v>
      </c>
      <c r="AE123" s="4">
        <f ca="1">IF(HC[[#This Row],[σ (MPa)]]&lt;INDEX(tipoEstaca[],MATCH($D$2,tipoEstaca[TIPO DE ESTACA],0),MATCH("σmáx (MPa)",tipoEstaca[#Headers],0)),0.4%*PI()*HC[[#This Row],[Ø (cm)]]^2/4,"N.S.")</f>
        <v>5.6745017305465639</v>
      </c>
      <c r="AF123" s="1">
        <f>INDEX(tipoEstaca[],MATCH($D$2,tipoEstaca[TIPO DE ESTACA],0),MATCH(HC[[#Headers],[Comprimento (m)]],tipoEstaca[#Headers],0))</f>
        <v>4</v>
      </c>
      <c r="AG123" s="5">
        <f ca="1">HC[[#This Row],[As,mín (cm²)]]/100^2*HC[[#This Row],[Comprimento (m)]]*7850</f>
        <v>17.817935433916212</v>
      </c>
      <c r="AH123" s="4">
        <f ca="1">HC[[#This Row],[nE]]*HC[[#This Row],[Prof. (m)]]*HC[[#This Row],[Ap (m²)]]</f>
        <v>15.321154672475719</v>
      </c>
      <c r="AI123" s="1">
        <f ca="1">IF(HC[[#This Row],[nE]]=1,0,MAX(3*HC[[#This Row],[Ø (cm)]],60))</f>
        <v>127.5</v>
      </c>
      <c r="AJ123" s="1">
        <f ca="1">IF(HC[[#This Row],[nE]]=1,HC[[#This Row],[Ø (cm)]]+2*10,MAX(1.5*HC[[#This Row],[Ø (cm)]],HC[[#This Row],[Ø (cm)]]+15))</f>
        <v>63.75</v>
      </c>
      <c r="AK123" s="1" t="str">
        <f ca="1">alturaUtil(HC[[#This Row],[nE]],HC[[#This Row],[Ø (cm)]],HC[[#This Row],[e (cm)]],HC[[#This Row],[ap,eq (cm)]])</f>
        <v>N.S.</v>
      </c>
      <c r="AL123" s="1" t="str">
        <f ca="1">IFERROR(HC[[#This Row],[d (cm)]]+arredondarParaCimaMultiplo5cm(MAX(5,SQRT(PI())/2*HC[[#This Row],[Ø (cm)]]/5)),"N.S.")</f>
        <v>N.S.</v>
      </c>
      <c r="AM123" s="5" t="str">
        <f ca="1">alpha(HC[[#This Row],[nE]],HC[[#This Row],[d (cm)]],HC[[#This Row],[e (cm)]],HC[[#This Row],[ap,eq (cm)]])</f>
        <v>N.S.</v>
      </c>
      <c r="AN123" s="35" t="str">
        <f ca="1">IFERROR(HC[[#This Row],[Nsd (kN)]]/(HC[[#This Row],[Ap (cm²)]]*SIN(HC[[#This Row],[α]])^2),"N.S.")</f>
        <v>N.S.</v>
      </c>
      <c r="AO123" s="35" t="str">
        <f ca="1">IFERROR(HC[[#This Row],[Nsd (kN)]]/(HC[[#This Row],[nE]]*PI()*HC[[#This Row],[Ø (cm)]]^2/4*SIN(HC[[#This Row],[α]])^2),"N.S.")</f>
        <v>N.S.</v>
      </c>
      <c r="AP123" s="4" t="str">
        <f ca="1">IFERROR(INDEX(grupoEstacas[],HC[[#This Row],[nE]],MATCH("coef. Blévot",grupoEstacas[#Headers],0)),"N.S.")</f>
        <v>N.S.</v>
      </c>
      <c r="AQ123" s="35" t="str">
        <f ca="1">IFERROR(HC[[#This Row],[coef. Blévot]]*0.9*INDEX(tipoEstaca[],MATCH($D$2,tipoEstaca[TIPO DE ESTACA],0),MATCH("fcd (kN/cm²)",tipoEstaca[#Headers],0)),"N.S.")</f>
        <v>N.S.</v>
      </c>
      <c r="AR123" s="1" t="str">
        <f ca="1">IF(AND(HC[[#This Row],[cd,b,pil (kN/cm²)]]&lt;=HC[[#This Row],[cd,b,lim (kN/cm²)]],HC[[#This Row],[cd,b,est (kN/cm²)]]&lt;=HC[[#This Row],[cd,b,lim (kN/cm²)]]),"OK","ERRO")</f>
        <v>OK</v>
      </c>
      <c r="AS123" s="4" t="str">
        <f ca="1">As_lado(HC[[#This Row],[nE]],HC[[#This Row],[Nsd (kN)]],HC[[#This Row],[d (cm)]],HC[[#This Row],[e (cm)]],HC[[#This Row],[ap,eq (cm)]])</f>
        <v>N.S.</v>
      </c>
      <c r="AT123" s="4" t="str">
        <f ca="1">IF(HC[[#This Row],[nE]]=1,HC[[#This Row],[As,lado (cm²)]],IF(HC[[#This Row],[nE]]=2,0.075*2*HC[a (cm)],"N.A."))</f>
        <v>N.A.</v>
      </c>
      <c r="AU123" s="4" t="str">
        <f ca="1">IFERROR(IF(HC[[#This Row],[nE]]=1,"N.A.",0.2*HC[[#This Row],[As,lado (cm²)]]),"N.S.")</f>
        <v>N.S.</v>
      </c>
      <c r="AV123" s="4" t="str">
        <f ca="1">As_malha(HC[[#This Row],[nE]],HC[[#This Row],[As,lado (cm²)]],HC[[#This Row],[Nsd (kN)]])</f>
        <v>N.S.</v>
      </c>
      <c r="AW123" s="4" t="str">
        <f ca="1">As_susp_tot(HC[[#This Row],[nE]],HC[[#This Row],[Nsd (kN)]])</f>
        <v>N.S.</v>
      </c>
      <c r="AX123" s="4" t="str">
        <f ca="1">Asp_face(HC[[#This Row],[nE]],HC[[#This Row],[As,lado (cm²)]])</f>
        <v>N.S.</v>
      </c>
      <c r="AY123" s="5" t="str">
        <f ca="1">acoBloco(HC[[#This Row],[nE]],HC[[#This Row],[e (cm)]],HC[[#This Row],[a (cm)]],HC[[#This Row],[h (cm)]],HC[[#This Row],[As,lado (cm²)]],HC[[#This Row],[Asp e Asw (cm²/m)]],HC[[#This Row],[As,sup (cm²)]],HC[[#This Row],[As,malha (cm²)]],HC[[#This Row],[As,susp,tot (cm²)]],HC[[#This Row],[Asp,face (cm²)]])</f>
        <v>N.S.</v>
      </c>
      <c r="AZ123" s="4" t="str">
        <f ca="1">concretoBloco(HC[[#This Row],[nE]],HC[[#This Row],[e (cm)]],HC[[#This Row],[a (cm)]],HC[[#This Row],[h (cm)]])</f>
        <v>N.S.</v>
      </c>
      <c r="BA123" s="5">
        <f ca="1">SUM(HC[[#This Row],[Aço Est (kg)]],HC[[#This Row],[Aço Bloco (kg)]])</f>
        <v>17.817935433916212</v>
      </c>
      <c r="BB123" s="4">
        <f>INDEX(composicoes[],MATCH(95580,composicoes[CÓDIGO],0),MATCH("CUSTO TOTAL",composicoes[#Headers],0))</f>
        <v>10.46</v>
      </c>
      <c r="BC123" s="4">
        <f ca="1">SUM(HC[[#This Row],[Conc Est (m³)]],HC[[#This Row],[Conc Bloco (m³)]])</f>
        <v>15.321154672475719</v>
      </c>
      <c r="BD123" s="4">
        <f>INDEX(composicoes[],MATCH(94966,composicoes[CÓDIGO],0),MATCH("CUSTO TOTAL",composicoes[#Headers],0))</f>
        <v>439.52</v>
      </c>
      <c r="BE123" s="38">
        <f ca="1">HC[[#This Row],[Aço (kg)]]*HC[[#This Row],[Aço (R$/kg)]]+HC[[#This Row],[Conc (m³)]]*HC[[#This Row],[Conc (R$/m³)]]</f>
        <v>6920.3295062852912</v>
      </c>
      <c r="BF123" s="4" t="str">
        <f ca="1">IF(COUNTIF(HC[#This Row],"N.S.")&gt;0,"lim.","OK")</f>
        <v>lim.</v>
      </c>
      <c r="BG123" s="4" t="str">
        <f>IF(HC[[#This Row],[Prof. (m)]]&lt;4,"lim.","OK")</f>
        <v>OK</v>
      </c>
      <c r="BH123" s="4" t="str">
        <f>IF(HC[[#This Row],[Prof. (m)]]&gt;=8*HC[[#This Row],[Ø (cm)]]/100,"OK","lim.")</f>
        <v>OK</v>
      </c>
      <c r="BI123" s="4" t="str">
        <f ca="1">IF(HC[[#This Row],[Verif. Biela]]="OK","OK","lim.")</f>
        <v>OK</v>
      </c>
      <c r="BJ123" s="4" t="str">
        <f ca="1">IF(COUNTA(HC[[#This Row],[Nº Est.]:[Biela comp.]])=COUNTIF(HC[[#This Row],[Nº Est.]:[Biela comp.]],"OK"),"OK","lim.")</f>
        <v>lim.</v>
      </c>
      <c r="BK123" s="4" t="str">
        <f ca="1">IF(HC[[#This Row],[Controle]]="OK",HC[[#This Row],[nE]]&amp;" Ø"&amp;HC[[#This Row],[Ø (cm)]]&amp;"cm Prof. "&amp;HC[[#This Row],[Prof. (m)]]&amp;" m","")</f>
        <v/>
      </c>
      <c r="BL123" s="4" t="str">
        <f ca="1">IF(HC[[#This Row],[idDimensionamento]]="","",HC[[#This Row],[idPilar]]&amp;HC[[#This Row],[idDimensionamento]])</f>
        <v/>
      </c>
    </row>
    <row r="124" spans="2:64" x14ac:dyDescent="0.25">
      <c r="B124" s="12">
        <f>ROUNDUP((ROW(HC[[#This Row],[idDiâmetro]])-ROW(HC[[#Headers],[idDiâmetro]]))/(COUNT(SPT[Prof. (m)])*COUNT(PILARES[Pilar])),0)</f>
        <v>5</v>
      </c>
      <c r="C124" s="12">
        <f>IF(HC[[#This Row],[idDiâmetro]]&lt;&gt;B123,1,IF(HC[[#This Row],[Prof. (m)]]=0,C123+1,C123))</f>
        <v>1</v>
      </c>
      <c r="D124" s="1">
        <f>IFERROR(IF(D123=MAX(SPT[Prof. (m)]),0,D123+1),0)</f>
        <v>7</v>
      </c>
      <c r="E124" s="1">
        <f>INDEX(SPT[],MATCH(HC[[#This Row],[Prof. (m)]],SPT[Prof. (m)],0),2)</f>
        <v>8</v>
      </c>
      <c r="F124" s="1" t="str">
        <f>INDEX(SPT[],MATCH(HC[[#This Row],[Prof. (m)]],SPT[Prof. (m)],0),3)</f>
        <v>Silte arenoso</v>
      </c>
      <c r="G124" s="1">
        <f>INDEX(estacas[],HC[[#This Row],[idDiâmetro]],MATCH($B$2,estacas[#Headers],0))</f>
        <v>42.5</v>
      </c>
      <c r="H124" s="1">
        <f>INDEX(estacas[],MATCH(HC[[#This Row],[Ø (cm)]],estacas[Ø HC (cm)],0),MATCH(HC[[#Headers],[Pe HC (kN)]],estacas[#Headers],0))</f>
        <v>900</v>
      </c>
      <c r="I124" s="4">
        <f>INDEX(K_alpha_C[],MATCH(HC[[#This Row],[Solo]],K_alpha_C[Solo],0),2)</f>
        <v>0.55000000000000004</v>
      </c>
      <c r="J124" s="5">
        <f>INDEX(K_alpha_C[],MATCH(HC[[#This Row],[Solo]],K_alpha_C[Solo],0),3)</f>
        <v>2.2000000000000002</v>
      </c>
      <c r="K124" s="4">
        <f>INDEX(F1_F2[],MATCH($D$2,F1_F2[Tipo de estaca],0),2)</f>
        <v>2</v>
      </c>
      <c r="L124" s="4">
        <f>INDEX(F1_F2[],MATCH($D$2,F1_F2[Tipo de estaca],0),3)</f>
        <v>4</v>
      </c>
      <c r="M124" s="4">
        <f>PI()*(HC[[#This Row],[Ø (cm)]]/100)^2/4</f>
        <v>0.14186254326366407</v>
      </c>
      <c r="N124" s="4">
        <f>PI()*HC[[#This Row],[Ø (cm)]]/100</f>
        <v>1.3351768777756621</v>
      </c>
      <c r="O124" s="4">
        <f>IF(HC[[#This Row],[Prof. (m)]]=0,0,HC[[#This Row],[α (%)]]/100*HC[[#This Row],[K (MPa)]]*1000*HC[[#This Row],[NSPT]])</f>
        <v>96.800000000000011</v>
      </c>
      <c r="P124" s="4">
        <f>IF(HC[[#This Row],[Prof. (m)]]=0,0,(HC[[#This Row],[K (MPa)]]*1000*HC[[#This Row],[NSPT]]/HC[[#This Row],[F1]]*HC[[#This Row],[Ap (m²)]]+HC[[#This Row],[U (m)]]/HC[[#This Row],[F2]]*SUMIFS(HC[(α∙K∙NL∙ΔL)],HC[Prof. (m)],"&lt;="&amp;HC[[#This Row],[Prof. (m)]],HC[idDiâmetro],HC[[#This Row],[idDiâmetro]],HC[idPilar],HC[[#This Row],[idPilar]]))/'DADOS CAP. CARGA'!$D$2)</f>
        <v>302.7346673246592</v>
      </c>
      <c r="Q124" s="12">
        <f>INDEX(C_alpha_beta[],MATCH(HC[[#This Row],[Solo]],C_alpha_beta[Solo],0),MATCH(HC[[#Headers],[C (kPa)]],C_alpha_beta[#Headers],0))</f>
        <v>250</v>
      </c>
      <c r="R124" s="4">
        <f>INDEX(C_alpha_beta[],MATCH(HC[[#This Row],[Solo]],C_alpha_beta[Solo],0),MATCH(HC[[#Headers],[α ESF]],C_alpha_beta[#Headers],0))</f>
        <v>0.6</v>
      </c>
      <c r="S124" s="4">
        <f>INDEX(C_alpha_beta[],MATCH(HC[[#This Row],[Solo]],C_alpha_beta[Solo],0),MATCH(HC[[#Headers],[β ESF]],C_alpha_beta[#Headers],0))</f>
        <v>0.65</v>
      </c>
      <c r="T124" s="4">
        <f>IF(HC[[#This Row],[Prof. (m)]]=0,0,10*(HC[[#This Row],[NSPT]]/3+1))</f>
        <v>36.666666666666664</v>
      </c>
      <c r="U124" s="4">
        <f>(HC[[#This Row],[α ESF]]*HC[[#This Row],[C (kPa)]]*HC[[#This Row],[NSPT]]*HC[[#This Row],[Ap (m²)]])/'DADOS CAP. CARGA'!$Q$2+(HC[[#This Row],[β ESF]]*SUMIFS(HC[10∙(NL/3+1)],HC[Prof. (m)],"&lt;="&amp;HC[[#This Row],[Prof. (m)]],HC[idDiâmetro],HC[[#This Row],[idDiâmetro]],HC[idPilar],HC[[#This Row],[idPilar]])*HC[[#This Row],[U (m)]])/'DADOS CAP. CARGA'!$S$2</f>
        <v>162.61341723909416</v>
      </c>
      <c r="V124" s="4">
        <f>IF(SPT!$M$5=1,MIN(HC[[#This Row],[Pe HC (kN)]],HC[[#This Row],[R_AV (kN)]]),IF(SPT!$M$5=2,MIN(HC[[#This Row],[Pe HC (kN)]],HC[[#This Row],[R_DC (kN)]]),MIN(HC[[#This Row],[Pe HC (kN)]],HC[[#This Row],[R_AV (kN)]],HC[[#This Row],[R_DC (kN)]])))</f>
        <v>162.61341723909416</v>
      </c>
      <c r="W124" s="4">
        <f>INDEX(PILARES[],HC[[#This Row],[idPilar]],MATCH("Carga (kN)",PILARES[#Headers],0))*1.4</f>
        <v>3500</v>
      </c>
      <c r="X124" s="12">
        <f>INDEX(PILARES[],HC[[#This Row],[idPilar]],MATCH(HC[[#Headers],[ap (cm)]],PILARES[#Headers],0))</f>
        <v>60</v>
      </c>
      <c r="Y124" s="12">
        <f>INDEX(PILARES[],HC[[#This Row],[idPilar]],MATCH(HC[[#Headers],[bp (cm)]],PILARES[#Headers],0))</f>
        <v>60</v>
      </c>
      <c r="Z124" s="4">
        <f>SQRT(HC[[#This Row],[ap (cm)]]*HC[[#This Row],[bp (cm)]])</f>
        <v>60</v>
      </c>
      <c r="AA124" s="12">
        <f>HC[[#This Row],[ap (cm)]]*HC[[#This Row],[bp (cm)]]</f>
        <v>3600</v>
      </c>
      <c r="AB124" s="12">
        <f ca="1">IF(HC[[#This Row],[Padm∙ε (kN)]]&gt;=HC[[#This Row],[Padm (kN)]],ROUNDUP(1.05*HC[[#This Row],[Nsd (kN)]]/HC[[#This Row],[Padm (kN)]],0),ROUNDUP(1.05*HC[[#This Row],[Nsd (kN)]]/HC[[#This Row],[Padm (kN)]],0)+1)</f>
        <v>23</v>
      </c>
      <c r="AC124" s="4" t="str">
        <f ca="1">IFERROR(IF(HC[[#This Row],[nE]]=1,HC[[#This Row],[Padm (kN)]],HC[[#This Row],[Padm (kN)]]*HC[[#This Row],[nE]]*INDEX(grupoEstacas[],HC[[#This Row],[nE]],MATCH("ε",grupoEstacas[#Headers],0))),"N.S.")</f>
        <v>N.S.</v>
      </c>
      <c r="AD124" s="4">
        <f ca="1">1.05*HC[[#This Row],[Nsd (kN)]]/(HC[[#This Row],[nE]]*PI()*HC[[#This Row],[Ø (cm)]]^2/4)*10</f>
        <v>1.1263199222269833</v>
      </c>
      <c r="AE124" s="4">
        <f ca="1">IF(HC[[#This Row],[σ (MPa)]]&lt;INDEX(tipoEstaca[],MATCH($D$2,tipoEstaca[TIPO DE ESTACA],0),MATCH("σmáx (MPa)",tipoEstaca[#Headers],0)),0.4%*PI()*HC[[#This Row],[Ø (cm)]]^2/4,"N.S.")</f>
        <v>5.6745017305465639</v>
      </c>
      <c r="AF124" s="1">
        <f>INDEX(tipoEstaca[],MATCH($D$2,tipoEstaca[TIPO DE ESTACA],0),MATCH(HC[[#Headers],[Comprimento (m)]],tipoEstaca[#Headers],0))</f>
        <v>4</v>
      </c>
      <c r="AG124" s="5">
        <f ca="1">HC[[#This Row],[As,mín (cm²)]]/100^2*HC[[#This Row],[Comprimento (m)]]*7850</f>
        <v>17.817935433916212</v>
      </c>
      <c r="AH124" s="4">
        <f ca="1">HC[[#This Row],[nE]]*HC[[#This Row],[Prof. (m)]]*HC[[#This Row],[Ap (m²)]]</f>
        <v>22.839869465449915</v>
      </c>
      <c r="AI124" s="1">
        <f ca="1">IF(HC[[#This Row],[nE]]=1,0,MAX(3*HC[[#This Row],[Ø (cm)]],60))</f>
        <v>127.5</v>
      </c>
      <c r="AJ124" s="1">
        <f ca="1">IF(HC[[#This Row],[nE]]=1,HC[[#This Row],[Ø (cm)]]+2*10,MAX(1.5*HC[[#This Row],[Ø (cm)]],HC[[#This Row],[Ø (cm)]]+15))</f>
        <v>63.75</v>
      </c>
      <c r="AK124" s="1" t="str">
        <f ca="1">alturaUtil(HC[[#This Row],[nE]],HC[[#This Row],[Ø (cm)]],HC[[#This Row],[e (cm)]],HC[[#This Row],[ap,eq (cm)]])</f>
        <v>N.S.</v>
      </c>
      <c r="AL124" s="1" t="str">
        <f ca="1">IFERROR(HC[[#This Row],[d (cm)]]+arredondarParaCimaMultiplo5cm(MAX(5,SQRT(PI())/2*HC[[#This Row],[Ø (cm)]]/5)),"N.S.")</f>
        <v>N.S.</v>
      </c>
      <c r="AM124" s="5" t="str">
        <f ca="1">alpha(HC[[#This Row],[nE]],HC[[#This Row],[d (cm)]],HC[[#This Row],[e (cm)]],HC[[#This Row],[ap,eq (cm)]])</f>
        <v>N.S.</v>
      </c>
      <c r="AN124" s="35" t="str">
        <f ca="1">IFERROR(HC[[#This Row],[Nsd (kN)]]/(HC[[#This Row],[Ap (cm²)]]*SIN(HC[[#This Row],[α]])^2),"N.S.")</f>
        <v>N.S.</v>
      </c>
      <c r="AO124" s="35" t="str">
        <f ca="1">IFERROR(HC[[#This Row],[Nsd (kN)]]/(HC[[#This Row],[nE]]*PI()*HC[[#This Row],[Ø (cm)]]^2/4*SIN(HC[[#This Row],[α]])^2),"N.S.")</f>
        <v>N.S.</v>
      </c>
      <c r="AP124" s="4" t="str">
        <f ca="1">IFERROR(INDEX(grupoEstacas[],HC[[#This Row],[nE]],MATCH("coef. Blévot",grupoEstacas[#Headers],0)),"N.S.")</f>
        <v>N.S.</v>
      </c>
      <c r="AQ124" s="35" t="str">
        <f ca="1">IFERROR(HC[[#This Row],[coef. Blévot]]*0.9*INDEX(tipoEstaca[],MATCH($D$2,tipoEstaca[TIPO DE ESTACA],0),MATCH("fcd (kN/cm²)",tipoEstaca[#Headers],0)),"N.S.")</f>
        <v>N.S.</v>
      </c>
      <c r="AR124" s="1" t="str">
        <f ca="1">IF(AND(HC[[#This Row],[cd,b,pil (kN/cm²)]]&lt;=HC[[#This Row],[cd,b,lim (kN/cm²)]],HC[[#This Row],[cd,b,est (kN/cm²)]]&lt;=HC[[#This Row],[cd,b,lim (kN/cm²)]]),"OK","ERRO")</f>
        <v>OK</v>
      </c>
      <c r="AS124" s="4" t="str">
        <f ca="1">As_lado(HC[[#This Row],[nE]],HC[[#This Row],[Nsd (kN)]],HC[[#This Row],[d (cm)]],HC[[#This Row],[e (cm)]],HC[[#This Row],[ap,eq (cm)]])</f>
        <v>N.S.</v>
      </c>
      <c r="AT124" s="4" t="str">
        <f ca="1">IF(HC[[#This Row],[nE]]=1,HC[[#This Row],[As,lado (cm²)]],IF(HC[[#This Row],[nE]]=2,0.075*2*HC[a (cm)],"N.A."))</f>
        <v>N.A.</v>
      </c>
      <c r="AU124" s="4" t="str">
        <f ca="1">IFERROR(IF(HC[[#This Row],[nE]]=1,"N.A.",0.2*HC[[#This Row],[As,lado (cm²)]]),"N.S.")</f>
        <v>N.S.</v>
      </c>
      <c r="AV124" s="4" t="str">
        <f ca="1">As_malha(HC[[#This Row],[nE]],HC[[#This Row],[As,lado (cm²)]],HC[[#This Row],[Nsd (kN)]])</f>
        <v>N.S.</v>
      </c>
      <c r="AW124" s="4" t="str">
        <f ca="1">As_susp_tot(HC[[#This Row],[nE]],HC[[#This Row],[Nsd (kN)]])</f>
        <v>N.S.</v>
      </c>
      <c r="AX124" s="4" t="str">
        <f ca="1">Asp_face(HC[[#This Row],[nE]],HC[[#This Row],[As,lado (cm²)]])</f>
        <v>N.S.</v>
      </c>
      <c r="AY124" s="5" t="str">
        <f ca="1">acoBloco(HC[[#This Row],[nE]],HC[[#This Row],[e (cm)]],HC[[#This Row],[a (cm)]],HC[[#This Row],[h (cm)]],HC[[#This Row],[As,lado (cm²)]],HC[[#This Row],[Asp e Asw (cm²/m)]],HC[[#This Row],[As,sup (cm²)]],HC[[#This Row],[As,malha (cm²)]],HC[[#This Row],[As,susp,tot (cm²)]],HC[[#This Row],[Asp,face (cm²)]])</f>
        <v>N.S.</v>
      </c>
      <c r="AZ124" s="4" t="str">
        <f ca="1">concretoBloco(HC[[#This Row],[nE]],HC[[#This Row],[e (cm)]],HC[[#This Row],[a (cm)]],HC[[#This Row],[h (cm)]])</f>
        <v>N.S.</v>
      </c>
      <c r="BA124" s="5">
        <f ca="1">SUM(HC[[#This Row],[Aço Est (kg)]],HC[[#This Row],[Aço Bloco (kg)]])</f>
        <v>17.817935433916212</v>
      </c>
      <c r="BB124" s="4">
        <f>INDEX(composicoes[],MATCH(95580,composicoes[CÓDIGO],0),MATCH("CUSTO TOTAL",composicoes[#Headers],0))</f>
        <v>10.46</v>
      </c>
      <c r="BC124" s="4">
        <f ca="1">SUM(HC[[#This Row],[Conc Est (m³)]],HC[[#This Row],[Conc Bloco (m³)]])</f>
        <v>22.839869465449915</v>
      </c>
      <c r="BD124" s="4">
        <f>INDEX(composicoes[],MATCH(94966,composicoes[CÓDIGO],0),MATCH("CUSTO TOTAL",composicoes[#Headers],0))</f>
        <v>439.52</v>
      </c>
      <c r="BE124" s="38">
        <f ca="1">HC[[#This Row],[Aço (kg)]]*HC[[#This Row],[Aço (R$/kg)]]+HC[[#This Row],[Conc (m³)]]*HC[[#This Row],[Conc (R$/m³)]]</f>
        <v>10224.95503209331</v>
      </c>
      <c r="BF124" s="4" t="str">
        <f ca="1">IF(COUNTIF(HC[#This Row],"N.S.")&gt;0,"lim.","OK")</f>
        <v>lim.</v>
      </c>
      <c r="BG124" s="4" t="str">
        <f>IF(HC[[#This Row],[Prof. (m)]]&lt;4,"lim.","OK")</f>
        <v>OK</v>
      </c>
      <c r="BH124" s="4" t="str">
        <f>IF(HC[[#This Row],[Prof. (m)]]&gt;=8*HC[[#This Row],[Ø (cm)]]/100,"OK","lim.")</f>
        <v>OK</v>
      </c>
      <c r="BI124" s="4" t="str">
        <f ca="1">IF(HC[[#This Row],[Verif. Biela]]="OK","OK","lim.")</f>
        <v>OK</v>
      </c>
      <c r="BJ124" s="4" t="str">
        <f ca="1">IF(COUNTA(HC[[#This Row],[Nº Est.]:[Biela comp.]])=COUNTIF(HC[[#This Row],[Nº Est.]:[Biela comp.]],"OK"),"OK","lim.")</f>
        <v>lim.</v>
      </c>
      <c r="BK124" s="4" t="str">
        <f ca="1">IF(HC[[#This Row],[Controle]]="OK",HC[[#This Row],[nE]]&amp;" Ø"&amp;HC[[#This Row],[Ø (cm)]]&amp;"cm Prof. "&amp;HC[[#This Row],[Prof. (m)]]&amp;" m","")</f>
        <v/>
      </c>
      <c r="BL124" s="4" t="str">
        <f ca="1">IF(HC[[#This Row],[idDimensionamento]]="","",HC[[#This Row],[idPilar]]&amp;HC[[#This Row],[idDimensionamento]])</f>
        <v/>
      </c>
    </row>
    <row r="125" spans="2:64" x14ac:dyDescent="0.25">
      <c r="B125" s="12">
        <f>ROUNDUP((ROW(HC[[#This Row],[idDiâmetro]])-ROW(HC[[#Headers],[idDiâmetro]]))/(COUNT(SPT[Prof. (m)])*COUNT(PILARES[Pilar])),0)</f>
        <v>5</v>
      </c>
      <c r="C125" s="12">
        <f>IF(HC[[#This Row],[idDiâmetro]]&lt;&gt;B124,1,IF(HC[[#This Row],[Prof. (m)]]=0,C124+1,C124))</f>
        <v>1</v>
      </c>
      <c r="D125" s="1">
        <f>IFERROR(IF(D124=MAX(SPT[Prof. (m)]),0,D124+1),0)</f>
        <v>8</v>
      </c>
      <c r="E125" s="1">
        <f>INDEX(SPT[],MATCH(HC[[#This Row],[Prof. (m)]],SPT[Prof. (m)],0),2)</f>
        <v>10</v>
      </c>
      <c r="F125" s="1" t="str">
        <f>INDEX(SPT[],MATCH(HC[[#This Row],[Prof. (m)]],SPT[Prof. (m)],0),3)</f>
        <v>Silte arenoso</v>
      </c>
      <c r="G125" s="1">
        <f>INDEX(estacas[],HC[[#This Row],[idDiâmetro]],MATCH($B$2,estacas[#Headers],0))</f>
        <v>42.5</v>
      </c>
      <c r="H125" s="1">
        <f>INDEX(estacas[],MATCH(HC[[#This Row],[Ø (cm)]],estacas[Ø HC (cm)],0),MATCH(HC[[#Headers],[Pe HC (kN)]],estacas[#Headers],0))</f>
        <v>900</v>
      </c>
      <c r="I125" s="4">
        <f>INDEX(K_alpha_C[],MATCH(HC[[#This Row],[Solo]],K_alpha_C[Solo],0),2)</f>
        <v>0.55000000000000004</v>
      </c>
      <c r="J125" s="5">
        <f>INDEX(K_alpha_C[],MATCH(HC[[#This Row],[Solo]],K_alpha_C[Solo],0),3)</f>
        <v>2.2000000000000002</v>
      </c>
      <c r="K125" s="4">
        <f>INDEX(F1_F2[],MATCH($D$2,F1_F2[Tipo de estaca],0),2)</f>
        <v>2</v>
      </c>
      <c r="L125" s="4">
        <f>INDEX(F1_F2[],MATCH($D$2,F1_F2[Tipo de estaca],0),3)</f>
        <v>4</v>
      </c>
      <c r="M125" s="4">
        <f>PI()*(HC[[#This Row],[Ø (cm)]]/100)^2/4</f>
        <v>0.14186254326366407</v>
      </c>
      <c r="N125" s="4">
        <f>PI()*HC[[#This Row],[Ø (cm)]]/100</f>
        <v>1.3351768777756621</v>
      </c>
      <c r="O125" s="4">
        <f>IF(HC[[#This Row],[Prof. (m)]]=0,0,HC[[#This Row],[α (%)]]/100*HC[[#This Row],[K (MPa)]]*1000*HC[[#This Row],[NSPT]])</f>
        <v>121.00000000000001</v>
      </c>
      <c r="P125" s="4">
        <f>IF(HC[[#This Row],[Prof. (m)]]=0,0,(HC[[#This Row],[K (MPa)]]*1000*HC[[#This Row],[NSPT]]/HC[[#This Row],[F1]]*HC[[#This Row],[Ap (m²)]]+HC[[#This Row],[U (m)]]/HC[[#This Row],[F2]]*SUMIFS(HC[(α∙K∙NL∙ΔL)],HC[Prof. (m)],"&lt;="&amp;HC[[#This Row],[Prof. (m)]],HC[idDiâmetro],HC[[#This Row],[idDiâmetro]],HC[idPilar],HC[[#This Row],[idPilar]]))/'DADOS CAP. CARGA'!$D$2)</f>
        <v>361.94141699852366</v>
      </c>
      <c r="Q125" s="12">
        <f>INDEX(C_alpha_beta[],MATCH(HC[[#This Row],[Solo]],C_alpha_beta[Solo],0),MATCH(HC[[#Headers],[C (kPa)]],C_alpha_beta[#Headers],0))</f>
        <v>250</v>
      </c>
      <c r="R125" s="4">
        <f>INDEX(C_alpha_beta[],MATCH(HC[[#This Row],[Solo]],C_alpha_beta[Solo],0),MATCH(HC[[#Headers],[α ESF]],C_alpha_beta[#Headers],0))</f>
        <v>0.6</v>
      </c>
      <c r="S125" s="4">
        <f>INDEX(C_alpha_beta[],MATCH(HC[[#This Row],[Solo]],C_alpha_beta[Solo],0),MATCH(HC[[#Headers],[β ESF]],C_alpha_beta[#Headers],0))</f>
        <v>0.65</v>
      </c>
      <c r="T125" s="4">
        <f>IF(HC[[#This Row],[Prof. (m)]]=0,0,10*(HC[[#This Row],[NSPT]]/3+1))</f>
        <v>43.333333333333343</v>
      </c>
      <c r="U125" s="4">
        <f>(HC[[#This Row],[α ESF]]*HC[[#This Row],[C (kPa)]]*HC[[#This Row],[NSPT]]*HC[[#This Row],[Ap (m²)]])/'DADOS CAP. CARGA'!$Q$2+(HC[[#This Row],[β ESF]]*SUMIFS(HC[10∙(NL/3+1)],HC[Prof. (m)],"&lt;="&amp;HC[[#This Row],[Prof. (m)]],HC[idDiâmetro],HC[[#This Row],[idDiâmetro]],HC[idPilar],HC[[#This Row],[idPilar]])*HC[[#This Row],[U (m)]])/'DADOS CAP. CARGA'!$S$2</f>
        <v>192.05684901254287</v>
      </c>
      <c r="V125" s="4">
        <f>IF(SPT!$M$5=1,MIN(HC[[#This Row],[Pe HC (kN)]],HC[[#This Row],[R_AV (kN)]]),IF(SPT!$M$5=2,MIN(HC[[#This Row],[Pe HC (kN)]],HC[[#This Row],[R_DC (kN)]]),MIN(HC[[#This Row],[Pe HC (kN)]],HC[[#This Row],[R_AV (kN)]],HC[[#This Row],[R_DC (kN)]])))</f>
        <v>192.05684901254287</v>
      </c>
      <c r="W125" s="4">
        <f>INDEX(PILARES[],HC[[#This Row],[idPilar]],MATCH("Carga (kN)",PILARES[#Headers],0))*1.4</f>
        <v>3500</v>
      </c>
      <c r="X125" s="12">
        <f>INDEX(PILARES[],HC[[#This Row],[idPilar]],MATCH(HC[[#Headers],[ap (cm)]],PILARES[#Headers],0))</f>
        <v>60</v>
      </c>
      <c r="Y125" s="12">
        <f>INDEX(PILARES[],HC[[#This Row],[idPilar]],MATCH(HC[[#Headers],[bp (cm)]],PILARES[#Headers],0))</f>
        <v>60</v>
      </c>
      <c r="Z125" s="4">
        <f>SQRT(HC[[#This Row],[ap (cm)]]*HC[[#This Row],[bp (cm)]])</f>
        <v>60</v>
      </c>
      <c r="AA125" s="12">
        <f>HC[[#This Row],[ap (cm)]]*HC[[#This Row],[bp (cm)]]</f>
        <v>3600</v>
      </c>
      <c r="AB125" s="12">
        <f ca="1">IF(HC[[#This Row],[Padm∙ε (kN)]]&gt;=HC[[#This Row],[Padm (kN)]],ROUNDUP(1.05*HC[[#This Row],[Nsd (kN)]]/HC[[#This Row],[Padm (kN)]],0),ROUNDUP(1.05*HC[[#This Row],[Nsd (kN)]]/HC[[#This Row],[Padm (kN)]],0)+1)</f>
        <v>20</v>
      </c>
      <c r="AC125" s="4" t="str">
        <f ca="1">IFERROR(IF(HC[[#This Row],[nE]]=1,HC[[#This Row],[Padm (kN)]],HC[[#This Row],[Padm (kN)]]*HC[[#This Row],[nE]]*INDEX(grupoEstacas[],HC[[#This Row],[nE]],MATCH("ε",grupoEstacas[#Headers],0))),"N.S.")</f>
        <v>N.S.</v>
      </c>
      <c r="AD125" s="4">
        <f ca="1">1.05*HC[[#This Row],[Nsd (kN)]]/(HC[[#This Row],[nE]]*PI()*HC[[#This Row],[Ø (cm)]]^2/4)*10</f>
        <v>1.2952679105610305</v>
      </c>
      <c r="AE125" s="4">
        <f ca="1">IF(HC[[#This Row],[σ (MPa)]]&lt;INDEX(tipoEstaca[],MATCH($D$2,tipoEstaca[TIPO DE ESTACA],0),MATCH("σmáx (MPa)",tipoEstaca[#Headers],0)),0.4%*PI()*HC[[#This Row],[Ø (cm)]]^2/4,"N.S.")</f>
        <v>5.6745017305465639</v>
      </c>
      <c r="AF125" s="1">
        <f>INDEX(tipoEstaca[],MATCH($D$2,tipoEstaca[TIPO DE ESTACA],0),MATCH(HC[[#Headers],[Comprimento (m)]],tipoEstaca[#Headers],0))</f>
        <v>4</v>
      </c>
      <c r="AG125" s="5">
        <f ca="1">HC[[#This Row],[As,mín (cm²)]]/100^2*HC[[#This Row],[Comprimento (m)]]*7850</f>
        <v>17.817935433916212</v>
      </c>
      <c r="AH125" s="4">
        <f ca="1">HC[[#This Row],[nE]]*HC[[#This Row],[Prof. (m)]]*HC[[#This Row],[Ap (m²)]]</f>
        <v>22.698006922186252</v>
      </c>
      <c r="AI125" s="1">
        <f ca="1">IF(HC[[#This Row],[nE]]=1,0,MAX(3*HC[[#This Row],[Ø (cm)]],60))</f>
        <v>127.5</v>
      </c>
      <c r="AJ125" s="1">
        <f ca="1">IF(HC[[#This Row],[nE]]=1,HC[[#This Row],[Ø (cm)]]+2*10,MAX(1.5*HC[[#This Row],[Ø (cm)]],HC[[#This Row],[Ø (cm)]]+15))</f>
        <v>63.75</v>
      </c>
      <c r="AK125" s="1" t="str">
        <f ca="1">alturaUtil(HC[[#This Row],[nE]],HC[[#This Row],[Ø (cm)]],HC[[#This Row],[e (cm)]],HC[[#This Row],[ap,eq (cm)]])</f>
        <v>N.S.</v>
      </c>
      <c r="AL125" s="1" t="str">
        <f ca="1">IFERROR(HC[[#This Row],[d (cm)]]+arredondarParaCimaMultiplo5cm(MAX(5,SQRT(PI())/2*HC[[#This Row],[Ø (cm)]]/5)),"N.S.")</f>
        <v>N.S.</v>
      </c>
      <c r="AM125" s="5" t="str">
        <f ca="1">alpha(HC[[#This Row],[nE]],HC[[#This Row],[d (cm)]],HC[[#This Row],[e (cm)]],HC[[#This Row],[ap,eq (cm)]])</f>
        <v>N.S.</v>
      </c>
      <c r="AN125" s="35" t="str">
        <f ca="1">IFERROR(HC[[#This Row],[Nsd (kN)]]/(HC[[#This Row],[Ap (cm²)]]*SIN(HC[[#This Row],[α]])^2),"N.S.")</f>
        <v>N.S.</v>
      </c>
      <c r="AO125" s="35" t="str">
        <f ca="1">IFERROR(HC[[#This Row],[Nsd (kN)]]/(HC[[#This Row],[nE]]*PI()*HC[[#This Row],[Ø (cm)]]^2/4*SIN(HC[[#This Row],[α]])^2),"N.S.")</f>
        <v>N.S.</v>
      </c>
      <c r="AP125" s="4" t="str">
        <f ca="1">IFERROR(INDEX(grupoEstacas[],HC[[#This Row],[nE]],MATCH("coef. Blévot",grupoEstacas[#Headers],0)),"N.S.")</f>
        <v>N.S.</v>
      </c>
      <c r="AQ125" s="35" t="str">
        <f ca="1">IFERROR(HC[[#This Row],[coef. Blévot]]*0.9*INDEX(tipoEstaca[],MATCH($D$2,tipoEstaca[TIPO DE ESTACA],0),MATCH("fcd (kN/cm²)",tipoEstaca[#Headers],0)),"N.S.")</f>
        <v>N.S.</v>
      </c>
      <c r="AR125" s="1" t="str">
        <f ca="1">IF(AND(HC[[#This Row],[cd,b,pil (kN/cm²)]]&lt;=HC[[#This Row],[cd,b,lim (kN/cm²)]],HC[[#This Row],[cd,b,est (kN/cm²)]]&lt;=HC[[#This Row],[cd,b,lim (kN/cm²)]]),"OK","ERRO")</f>
        <v>OK</v>
      </c>
      <c r="AS125" s="4" t="str">
        <f ca="1">As_lado(HC[[#This Row],[nE]],HC[[#This Row],[Nsd (kN)]],HC[[#This Row],[d (cm)]],HC[[#This Row],[e (cm)]],HC[[#This Row],[ap,eq (cm)]])</f>
        <v>N.S.</v>
      </c>
      <c r="AT125" s="4" t="str">
        <f ca="1">IF(HC[[#This Row],[nE]]=1,HC[[#This Row],[As,lado (cm²)]],IF(HC[[#This Row],[nE]]=2,0.075*2*HC[a (cm)],"N.A."))</f>
        <v>N.A.</v>
      </c>
      <c r="AU125" s="4" t="str">
        <f ca="1">IFERROR(IF(HC[[#This Row],[nE]]=1,"N.A.",0.2*HC[[#This Row],[As,lado (cm²)]]),"N.S.")</f>
        <v>N.S.</v>
      </c>
      <c r="AV125" s="4" t="str">
        <f ca="1">As_malha(HC[[#This Row],[nE]],HC[[#This Row],[As,lado (cm²)]],HC[[#This Row],[Nsd (kN)]])</f>
        <v>N.S.</v>
      </c>
      <c r="AW125" s="4" t="str">
        <f ca="1">As_susp_tot(HC[[#This Row],[nE]],HC[[#This Row],[Nsd (kN)]])</f>
        <v>N.S.</v>
      </c>
      <c r="AX125" s="4" t="str">
        <f ca="1">Asp_face(HC[[#This Row],[nE]],HC[[#This Row],[As,lado (cm²)]])</f>
        <v>N.S.</v>
      </c>
      <c r="AY125" s="5" t="str">
        <f ca="1">acoBloco(HC[[#This Row],[nE]],HC[[#This Row],[e (cm)]],HC[[#This Row],[a (cm)]],HC[[#This Row],[h (cm)]],HC[[#This Row],[As,lado (cm²)]],HC[[#This Row],[Asp e Asw (cm²/m)]],HC[[#This Row],[As,sup (cm²)]],HC[[#This Row],[As,malha (cm²)]],HC[[#This Row],[As,susp,tot (cm²)]],HC[[#This Row],[Asp,face (cm²)]])</f>
        <v>N.S.</v>
      </c>
      <c r="AZ125" s="4" t="str">
        <f ca="1">concretoBloco(HC[[#This Row],[nE]],HC[[#This Row],[e (cm)]],HC[[#This Row],[a (cm)]],HC[[#This Row],[h (cm)]])</f>
        <v>N.S.</v>
      </c>
      <c r="BA125" s="5">
        <f ca="1">SUM(HC[[#This Row],[Aço Est (kg)]],HC[[#This Row],[Aço Bloco (kg)]])</f>
        <v>17.817935433916212</v>
      </c>
      <c r="BB125" s="4">
        <f>INDEX(composicoes[],MATCH(95580,composicoes[CÓDIGO],0),MATCH("CUSTO TOTAL",composicoes[#Headers],0))</f>
        <v>10.46</v>
      </c>
      <c r="BC125" s="4">
        <f ca="1">SUM(HC[[#This Row],[Conc Est (m³)]],HC[[#This Row],[Conc Bloco (m³)]])</f>
        <v>22.698006922186252</v>
      </c>
      <c r="BD125" s="4">
        <f>INDEX(composicoes[],MATCH(94966,composicoes[CÓDIGO],0),MATCH("CUSTO TOTAL",composicoes[#Headers],0))</f>
        <v>439.52</v>
      </c>
      <c r="BE125" s="38">
        <f ca="1">HC[[#This Row],[Aço (kg)]]*HC[[#This Row],[Aço (R$/kg)]]+HC[[#This Row],[Conc (m³)]]*HC[[#This Row],[Conc (R$/m³)]]</f>
        <v>10162.603607078065</v>
      </c>
      <c r="BF125" s="4" t="str">
        <f ca="1">IF(COUNTIF(HC[#This Row],"N.S.")&gt;0,"lim.","OK")</f>
        <v>lim.</v>
      </c>
      <c r="BG125" s="4" t="str">
        <f>IF(HC[[#This Row],[Prof. (m)]]&lt;4,"lim.","OK")</f>
        <v>OK</v>
      </c>
      <c r="BH125" s="4" t="str">
        <f>IF(HC[[#This Row],[Prof. (m)]]&gt;=8*HC[[#This Row],[Ø (cm)]]/100,"OK","lim.")</f>
        <v>OK</v>
      </c>
      <c r="BI125" s="4" t="str">
        <f ca="1">IF(HC[[#This Row],[Verif. Biela]]="OK","OK","lim.")</f>
        <v>OK</v>
      </c>
      <c r="BJ125" s="4" t="str">
        <f ca="1">IF(COUNTA(HC[[#This Row],[Nº Est.]:[Biela comp.]])=COUNTIF(HC[[#This Row],[Nº Est.]:[Biela comp.]],"OK"),"OK","lim.")</f>
        <v>lim.</v>
      </c>
      <c r="BK125" s="4" t="str">
        <f ca="1">IF(HC[[#This Row],[Controle]]="OK",HC[[#This Row],[nE]]&amp;" Ø"&amp;HC[[#This Row],[Ø (cm)]]&amp;"cm Prof. "&amp;HC[[#This Row],[Prof. (m)]]&amp;" m","")</f>
        <v/>
      </c>
      <c r="BL125" s="4" t="str">
        <f ca="1">IF(HC[[#This Row],[idDimensionamento]]="","",HC[[#This Row],[idPilar]]&amp;HC[[#This Row],[idDimensionamento]])</f>
        <v/>
      </c>
    </row>
    <row r="126" spans="2:64" x14ac:dyDescent="0.25">
      <c r="B126" s="12">
        <f>ROUNDUP((ROW(HC[[#This Row],[idDiâmetro]])-ROW(HC[[#Headers],[idDiâmetro]]))/(COUNT(SPT[Prof. (m)])*COUNT(PILARES[Pilar])),0)</f>
        <v>5</v>
      </c>
      <c r="C126" s="12">
        <f>IF(HC[[#This Row],[idDiâmetro]]&lt;&gt;B125,1,IF(HC[[#This Row],[Prof. (m)]]=0,C125+1,C125))</f>
        <v>1</v>
      </c>
      <c r="D126" s="1">
        <f>IFERROR(IF(D125=MAX(SPT[Prof. (m)]),0,D125+1),0)</f>
        <v>9</v>
      </c>
      <c r="E126" s="1">
        <f>INDEX(SPT[],MATCH(HC[[#This Row],[Prof. (m)]],SPT[Prof. (m)],0),2)</f>
        <v>26</v>
      </c>
      <c r="F126" s="1" t="str">
        <f>INDEX(SPT[],MATCH(HC[[#This Row],[Prof. (m)]],SPT[Prof. (m)],0),3)</f>
        <v>Areia siltosa</v>
      </c>
      <c r="G126" s="1">
        <f>INDEX(estacas[],HC[[#This Row],[idDiâmetro]],MATCH($B$2,estacas[#Headers],0))</f>
        <v>42.5</v>
      </c>
      <c r="H126" s="1">
        <f>INDEX(estacas[],MATCH(HC[[#This Row],[Ø (cm)]],estacas[Ø HC (cm)],0),MATCH(HC[[#Headers],[Pe HC (kN)]],estacas[#Headers],0))</f>
        <v>900</v>
      </c>
      <c r="I126" s="4">
        <f>INDEX(K_alpha_C[],MATCH(HC[[#This Row],[Solo]],K_alpha_C[Solo],0),2)</f>
        <v>0.8</v>
      </c>
      <c r="J126" s="5">
        <f>INDEX(K_alpha_C[],MATCH(HC[[#This Row],[Solo]],K_alpha_C[Solo],0),3)</f>
        <v>2</v>
      </c>
      <c r="K126" s="4">
        <f>INDEX(F1_F2[],MATCH($D$2,F1_F2[Tipo de estaca],0),2)</f>
        <v>2</v>
      </c>
      <c r="L126" s="4">
        <f>INDEX(F1_F2[],MATCH($D$2,F1_F2[Tipo de estaca],0),3)</f>
        <v>4</v>
      </c>
      <c r="M126" s="4">
        <f>PI()*(HC[[#This Row],[Ø (cm)]]/100)^2/4</f>
        <v>0.14186254326366407</v>
      </c>
      <c r="N126" s="4">
        <f>PI()*HC[[#This Row],[Ø (cm)]]/100</f>
        <v>1.3351768777756621</v>
      </c>
      <c r="O126" s="4">
        <f>IF(HC[[#This Row],[Prof. (m)]]=0,0,HC[[#This Row],[α (%)]]/100*HC[[#This Row],[K (MPa)]]*1000*HC[[#This Row],[NSPT]])</f>
        <v>416</v>
      </c>
      <c r="P126" s="4">
        <f>IF(HC[[#This Row],[Prof. (m)]]=0,0,(HC[[#This Row],[K (MPa)]]*1000*HC[[#This Row],[NSPT]]/HC[[#This Row],[F1]]*HC[[#This Row],[Ap (m²)]]+HC[[#This Row],[U (m)]]/HC[[#This Row],[F2]]*SUMIFS(HC[(α∙K∙NL∙ΔL)],HC[Prof. (m)],"&lt;="&amp;HC[[#This Row],[Prof. (m)]],HC[idDiâmetro],HC[[#This Row],[idDiâmetro]],HC[idPilar],HC[[#This Row],[idPilar]]))/'DADOS CAP. CARGA'!$D$2)</f>
        <v>973.99484262637316</v>
      </c>
      <c r="Q126" s="12">
        <f>INDEX(C_alpha_beta[],MATCH(HC[[#This Row],[Solo]],C_alpha_beta[Solo],0),MATCH(HC[[#Headers],[C (kPa)]],C_alpha_beta[#Headers],0))</f>
        <v>400</v>
      </c>
      <c r="R126" s="4">
        <f>INDEX(C_alpha_beta[],MATCH(HC[[#This Row],[Solo]],C_alpha_beta[Solo],0),MATCH(HC[[#Headers],[α ESF]],C_alpha_beta[#Headers],0))</f>
        <v>0.5</v>
      </c>
      <c r="S126" s="4">
        <f>INDEX(C_alpha_beta[],MATCH(HC[[#This Row],[Solo]],C_alpha_beta[Solo],0),MATCH(HC[[#Headers],[β ESF]],C_alpha_beta[#Headers],0))</f>
        <v>0.5</v>
      </c>
      <c r="T126" s="4">
        <f>IF(HC[[#This Row],[Prof. (m)]]=0,0,10*(HC[[#This Row],[NSPT]]/3+1))</f>
        <v>96.666666666666657</v>
      </c>
      <c r="U126" s="4">
        <f>(HC[[#This Row],[α ESF]]*HC[[#This Row],[C (kPa)]]*HC[[#This Row],[NSPT]]*HC[[#This Row],[Ap (m²)]])/'DADOS CAP. CARGA'!$Q$2+(HC[[#This Row],[β ESF]]*SUMIFS(HC[10∙(NL/3+1)],HC[Prof. (m)],"&lt;="&amp;HC[[#This Row],[Prof. (m)]],HC[idDiâmetro],HC[[#This Row],[idDiâmetro]],HC[idPilar],HC[[#This Row],[idPilar]])*HC[[#This Row],[U (m)]])/'DADOS CAP. CARGA'!$S$2</f>
        <v>323.50223101106144</v>
      </c>
      <c r="V126" s="4">
        <f>IF(SPT!$M$5=1,MIN(HC[[#This Row],[Pe HC (kN)]],HC[[#This Row],[R_AV (kN)]]),IF(SPT!$M$5=2,MIN(HC[[#This Row],[Pe HC (kN)]],HC[[#This Row],[R_DC (kN)]]),MIN(HC[[#This Row],[Pe HC (kN)]],HC[[#This Row],[R_AV (kN)]],HC[[#This Row],[R_DC (kN)]])))</f>
        <v>323.50223101106144</v>
      </c>
      <c r="W126" s="4">
        <f>INDEX(PILARES[],HC[[#This Row],[idPilar]],MATCH("Carga (kN)",PILARES[#Headers],0))*1.4</f>
        <v>3500</v>
      </c>
      <c r="X126" s="12">
        <f>INDEX(PILARES[],HC[[#This Row],[idPilar]],MATCH(HC[[#Headers],[ap (cm)]],PILARES[#Headers],0))</f>
        <v>60</v>
      </c>
      <c r="Y126" s="12">
        <f>INDEX(PILARES[],HC[[#This Row],[idPilar]],MATCH(HC[[#Headers],[bp (cm)]],PILARES[#Headers],0))</f>
        <v>60</v>
      </c>
      <c r="Z126" s="4">
        <f>SQRT(HC[[#This Row],[ap (cm)]]*HC[[#This Row],[bp (cm)]])</f>
        <v>60</v>
      </c>
      <c r="AA126" s="12">
        <f>HC[[#This Row],[ap (cm)]]*HC[[#This Row],[bp (cm)]]</f>
        <v>3600</v>
      </c>
      <c r="AB126" s="12">
        <f ca="1">IF(HC[[#This Row],[Padm∙ε (kN)]]&gt;=HC[[#This Row],[Padm (kN)]],ROUNDUP(1.05*HC[[#This Row],[Nsd (kN)]]/HC[[#This Row],[Padm (kN)]],0),ROUNDUP(1.05*HC[[#This Row],[Nsd (kN)]]/HC[[#This Row],[Padm (kN)]],0)+1)</f>
        <v>12</v>
      </c>
      <c r="AC126" s="4" t="str">
        <f ca="1">IFERROR(IF(HC[[#This Row],[nE]]=1,HC[[#This Row],[Padm (kN)]],HC[[#This Row],[Padm (kN)]]*HC[[#This Row],[nE]]*INDEX(grupoEstacas[],HC[[#This Row],[nE]],MATCH("ε",grupoEstacas[#Headers],0))),"N.S.")</f>
        <v>N.S.</v>
      </c>
      <c r="AD126" s="4">
        <f ca="1">1.05*HC[[#This Row],[Nsd (kN)]]/(HC[[#This Row],[nE]]*PI()*HC[[#This Row],[Ø (cm)]]^2/4)*10</f>
        <v>2.1587798509350509</v>
      </c>
      <c r="AE126" s="4">
        <f ca="1">IF(HC[[#This Row],[σ (MPa)]]&lt;INDEX(tipoEstaca[],MATCH($D$2,tipoEstaca[TIPO DE ESTACA],0),MATCH("σmáx (MPa)",tipoEstaca[#Headers],0)),0.4%*PI()*HC[[#This Row],[Ø (cm)]]^2/4,"N.S.")</f>
        <v>5.6745017305465639</v>
      </c>
      <c r="AF126" s="1">
        <f>INDEX(tipoEstaca[],MATCH($D$2,tipoEstaca[TIPO DE ESTACA],0),MATCH(HC[[#Headers],[Comprimento (m)]],tipoEstaca[#Headers],0))</f>
        <v>4</v>
      </c>
      <c r="AG126" s="5">
        <f ca="1">HC[[#This Row],[As,mín (cm²)]]/100^2*HC[[#This Row],[Comprimento (m)]]*7850</f>
        <v>17.817935433916212</v>
      </c>
      <c r="AH126" s="4">
        <f ca="1">HC[[#This Row],[nE]]*HC[[#This Row],[Prof. (m)]]*HC[[#This Row],[Ap (m²)]]</f>
        <v>15.321154672475719</v>
      </c>
      <c r="AI126" s="1">
        <f ca="1">IF(HC[[#This Row],[nE]]=1,0,MAX(3*HC[[#This Row],[Ø (cm)]],60))</f>
        <v>127.5</v>
      </c>
      <c r="AJ126" s="1">
        <f ca="1">IF(HC[[#This Row],[nE]]=1,HC[[#This Row],[Ø (cm)]]+2*10,MAX(1.5*HC[[#This Row],[Ø (cm)]],HC[[#This Row],[Ø (cm)]]+15))</f>
        <v>63.75</v>
      </c>
      <c r="AK126" s="1" t="str">
        <f ca="1">alturaUtil(HC[[#This Row],[nE]],HC[[#This Row],[Ø (cm)]],HC[[#This Row],[e (cm)]],HC[[#This Row],[ap,eq (cm)]])</f>
        <v>N.S.</v>
      </c>
      <c r="AL126" s="1" t="str">
        <f ca="1">IFERROR(HC[[#This Row],[d (cm)]]+arredondarParaCimaMultiplo5cm(MAX(5,SQRT(PI())/2*HC[[#This Row],[Ø (cm)]]/5)),"N.S.")</f>
        <v>N.S.</v>
      </c>
      <c r="AM126" s="5" t="str">
        <f ca="1">alpha(HC[[#This Row],[nE]],HC[[#This Row],[d (cm)]],HC[[#This Row],[e (cm)]],HC[[#This Row],[ap,eq (cm)]])</f>
        <v>N.S.</v>
      </c>
      <c r="AN126" s="35" t="str">
        <f ca="1">IFERROR(HC[[#This Row],[Nsd (kN)]]/(HC[[#This Row],[Ap (cm²)]]*SIN(HC[[#This Row],[α]])^2),"N.S.")</f>
        <v>N.S.</v>
      </c>
      <c r="AO126" s="35" t="str">
        <f ca="1">IFERROR(HC[[#This Row],[Nsd (kN)]]/(HC[[#This Row],[nE]]*PI()*HC[[#This Row],[Ø (cm)]]^2/4*SIN(HC[[#This Row],[α]])^2),"N.S.")</f>
        <v>N.S.</v>
      </c>
      <c r="AP126" s="4" t="str">
        <f ca="1">IFERROR(INDEX(grupoEstacas[],HC[[#This Row],[nE]],MATCH("coef. Blévot",grupoEstacas[#Headers],0)),"N.S.")</f>
        <v>N.S.</v>
      </c>
      <c r="AQ126" s="35" t="str">
        <f ca="1">IFERROR(HC[[#This Row],[coef. Blévot]]*0.9*INDEX(tipoEstaca[],MATCH($D$2,tipoEstaca[TIPO DE ESTACA],0),MATCH("fcd (kN/cm²)",tipoEstaca[#Headers],0)),"N.S.")</f>
        <v>N.S.</v>
      </c>
      <c r="AR126" s="1" t="str">
        <f ca="1">IF(AND(HC[[#This Row],[cd,b,pil (kN/cm²)]]&lt;=HC[[#This Row],[cd,b,lim (kN/cm²)]],HC[[#This Row],[cd,b,est (kN/cm²)]]&lt;=HC[[#This Row],[cd,b,lim (kN/cm²)]]),"OK","ERRO")</f>
        <v>OK</v>
      </c>
      <c r="AS126" s="4" t="str">
        <f ca="1">As_lado(HC[[#This Row],[nE]],HC[[#This Row],[Nsd (kN)]],HC[[#This Row],[d (cm)]],HC[[#This Row],[e (cm)]],HC[[#This Row],[ap,eq (cm)]])</f>
        <v>N.S.</v>
      </c>
      <c r="AT126" s="4" t="str">
        <f ca="1">IF(HC[[#This Row],[nE]]=1,HC[[#This Row],[As,lado (cm²)]],IF(HC[[#This Row],[nE]]=2,0.075*2*HC[a (cm)],"N.A."))</f>
        <v>N.A.</v>
      </c>
      <c r="AU126" s="4" t="str">
        <f ca="1">IFERROR(IF(HC[[#This Row],[nE]]=1,"N.A.",0.2*HC[[#This Row],[As,lado (cm²)]]),"N.S.")</f>
        <v>N.S.</v>
      </c>
      <c r="AV126" s="4" t="str">
        <f ca="1">As_malha(HC[[#This Row],[nE]],HC[[#This Row],[As,lado (cm²)]],HC[[#This Row],[Nsd (kN)]])</f>
        <v>N.S.</v>
      </c>
      <c r="AW126" s="4" t="str">
        <f ca="1">As_susp_tot(HC[[#This Row],[nE]],HC[[#This Row],[Nsd (kN)]])</f>
        <v>N.S.</v>
      </c>
      <c r="AX126" s="4" t="str">
        <f ca="1">Asp_face(HC[[#This Row],[nE]],HC[[#This Row],[As,lado (cm²)]])</f>
        <v>N.S.</v>
      </c>
      <c r="AY126" s="5" t="str">
        <f ca="1">acoBloco(HC[[#This Row],[nE]],HC[[#This Row],[e (cm)]],HC[[#This Row],[a (cm)]],HC[[#This Row],[h (cm)]],HC[[#This Row],[As,lado (cm²)]],HC[[#This Row],[Asp e Asw (cm²/m)]],HC[[#This Row],[As,sup (cm²)]],HC[[#This Row],[As,malha (cm²)]],HC[[#This Row],[As,susp,tot (cm²)]],HC[[#This Row],[Asp,face (cm²)]])</f>
        <v>N.S.</v>
      </c>
      <c r="AZ126" s="4" t="str">
        <f ca="1">concretoBloco(HC[[#This Row],[nE]],HC[[#This Row],[e (cm)]],HC[[#This Row],[a (cm)]],HC[[#This Row],[h (cm)]])</f>
        <v>N.S.</v>
      </c>
      <c r="BA126" s="5">
        <f ca="1">SUM(HC[[#This Row],[Aço Est (kg)]],HC[[#This Row],[Aço Bloco (kg)]])</f>
        <v>17.817935433916212</v>
      </c>
      <c r="BB126" s="4">
        <f>INDEX(composicoes[],MATCH(95580,composicoes[CÓDIGO],0),MATCH("CUSTO TOTAL",composicoes[#Headers],0))</f>
        <v>10.46</v>
      </c>
      <c r="BC126" s="4">
        <f ca="1">SUM(HC[[#This Row],[Conc Est (m³)]],HC[[#This Row],[Conc Bloco (m³)]])</f>
        <v>15.321154672475719</v>
      </c>
      <c r="BD126" s="4">
        <f>INDEX(composicoes[],MATCH(94966,composicoes[CÓDIGO],0),MATCH("CUSTO TOTAL",composicoes[#Headers],0))</f>
        <v>439.52</v>
      </c>
      <c r="BE126" s="38">
        <f ca="1">HC[[#This Row],[Aço (kg)]]*HC[[#This Row],[Aço (R$/kg)]]+HC[[#This Row],[Conc (m³)]]*HC[[#This Row],[Conc (R$/m³)]]</f>
        <v>6920.3295062852912</v>
      </c>
      <c r="BF126" s="4" t="str">
        <f ca="1">IF(COUNTIF(HC[#This Row],"N.S.")&gt;0,"lim.","OK")</f>
        <v>lim.</v>
      </c>
      <c r="BG126" s="4" t="str">
        <f>IF(HC[[#This Row],[Prof. (m)]]&lt;4,"lim.","OK")</f>
        <v>OK</v>
      </c>
      <c r="BH126" s="4" t="str">
        <f>IF(HC[[#This Row],[Prof. (m)]]&gt;=8*HC[[#This Row],[Ø (cm)]]/100,"OK","lim.")</f>
        <v>OK</v>
      </c>
      <c r="BI126" s="4" t="str">
        <f ca="1">IF(HC[[#This Row],[Verif. Biela]]="OK","OK","lim.")</f>
        <v>OK</v>
      </c>
      <c r="BJ126" s="4" t="str">
        <f ca="1">IF(COUNTA(HC[[#This Row],[Nº Est.]:[Biela comp.]])=COUNTIF(HC[[#This Row],[Nº Est.]:[Biela comp.]],"OK"),"OK","lim.")</f>
        <v>lim.</v>
      </c>
      <c r="BK126" s="4" t="str">
        <f ca="1">IF(HC[[#This Row],[Controle]]="OK",HC[[#This Row],[nE]]&amp;" Ø"&amp;HC[[#This Row],[Ø (cm)]]&amp;"cm Prof. "&amp;HC[[#This Row],[Prof. (m)]]&amp;" m","")</f>
        <v/>
      </c>
      <c r="BL126" s="4" t="str">
        <f ca="1">IF(HC[[#This Row],[idDimensionamento]]="","",HC[[#This Row],[idPilar]]&amp;HC[[#This Row],[idDimensionamento]])</f>
        <v/>
      </c>
    </row>
    <row r="127" spans="2:64" x14ac:dyDescent="0.25">
      <c r="B127" s="12">
        <f>ROUNDUP((ROW(HC[[#This Row],[idDiâmetro]])-ROW(HC[[#Headers],[idDiâmetro]]))/(COUNT(SPT[Prof. (m)])*COUNT(PILARES[Pilar])),0)</f>
        <v>5</v>
      </c>
      <c r="C127" s="12">
        <f>IF(HC[[#This Row],[idDiâmetro]]&lt;&gt;B126,1,IF(HC[[#This Row],[Prof. (m)]]=0,C126+1,C126))</f>
        <v>1</v>
      </c>
      <c r="D127" s="1">
        <f>IFERROR(IF(D126=MAX(SPT[Prof. (m)]),0,D126+1),0)</f>
        <v>10</v>
      </c>
      <c r="E127" s="1">
        <f>INDEX(SPT[],MATCH(HC[[#This Row],[Prof. (m)]],SPT[Prof. (m)],0),2)</f>
        <v>32</v>
      </c>
      <c r="F127" s="1" t="str">
        <f>INDEX(SPT[],MATCH(HC[[#This Row],[Prof. (m)]],SPT[Prof. (m)],0),3)</f>
        <v>Areia siltosa</v>
      </c>
      <c r="G127" s="1">
        <f>INDEX(estacas[],HC[[#This Row],[idDiâmetro]],MATCH($B$2,estacas[#Headers],0))</f>
        <v>42.5</v>
      </c>
      <c r="H127" s="1">
        <f>INDEX(estacas[],MATCH(HC[[#This Row],[Ø (cm)]],estacas[Ø HC (cm)],0),MATCH(HC[[#Headers],[Pe HC (kN)]],estacas[#Headers],0))</f>
        <v>900</v>
      </c>
      <c r="I127" s="4">
        <f>INDEX(K_alpha_C[],MATCH(HC[[#This Row],[Solo]],K_alpha_C[Solo],0),2)</f>
        <v>0.8</v>
      </c>
      <c r="J127" s="5">
        <f>INDEX(K_alpha_C[],MATCH(HC[[#This Row],[Solo]],K_alpha_C[Solo],0),3)</f>
        <v>2</v>
      </c>
      <c r="K127" s="4">
        <f>INDEX(F1_F2[],MATCH($D$2,F1_F2[Tipo de estaca],0),2)</f>
        <v>2</v>
      </c>
      <c r="L127" s="4">
        <f>INDEX(F1_F2[],MATCH($D$2,F1_F2[Tipo de estaca],0),3)</f>
        <v>4</v>
      </c>
      <c r="M127" s="4">
        <f>PI()*(HC[[#This Row],[Ø (cm)]]/100)^2/4</f>
        <v>0.14186254326366407</v>
      </c>
      <c r="N127" s="4">
        <f>PI()*HC[[#This Row],[Ø (cm)]]/100</f>
        <v>1.3351768777756621</v>
      </c>
      <c r="O127" s="4">
        <f>IF(HC[[#This Row],[Prof. (m)]]=0,0,HC[[#This Row],[α (%)]]/100*HC[[#This Row],[K (MPa)]]*1000*HC[[#This Row],[NSPT]])</f>
        <v>512</v>
      </c>
      <c r="P127" s="4">
        <f>IF(HC[[#This Row],[Prof. (m)]]=0,0,(HC[[#This Row],[K (MPa)]]*1000*HC[[#This Row],[NSPT]]/HC[[#This Row],[F1]]*HC[[#This Row],[Ap (m²)]]+HC[[#This Row],[U (m)]]/HC[[#This Row],[F2]]*SUMIFS(HC[(α∙K∙NL∙ΔL)],HC[Prof. (m)],"&lt;="&amp;HC[[#This Row],[Prof. (m)]],HC[idDiâmetro],HC[[#This Row],[idDiâmetro]],HC[idPilar],HC[[#This Row],[idPilar]]))/'DADOS CAP. CARGA'!$D$2)</f>
        <v>1229.6812147204125</v>
      </c>
      <c r="Q127" s="12">
        <f>INDEX(C_alpha_beta[],MATCH(HC[[#This Row],[Solo]],C_alpha_beta[Solo],0),MATCH(HC[[#Headers],[C (kPa)]],C_alpha_beta[#Headers],0))</f>
        <v>400</v>
      </c>
      <c r="R127" s="4">
        <f>INDEX(C_alpha_beta[],MATCH(HC[[#This Row],[Solo]],C_alpha_beta[Solo],0),MATCH(HC[[#Headers],[α ESF]],C_alpha_beta[#Headers],0))</f>
        <v>0.5</v>
      </c>
      <c r="S127" s="4">
        <f>INDEX(C_alpha_beta[],MATCH(HC[[#This Row],[Solo]],C_alpha_beta[Solo],0),MATCH(HC[[#Headers],[β ESF]],C_alpha_beta[#Headers],0))</f>
        <v>0.5</v>
      </c>
      <c r="T127" s="4">
        <f>IF(HC[[#This Row],[Prof. (m)]]=0,0,10*(HC[[#This Row],[NSPT]]/3+1))</f>
        <v>116.66666666666666</v>
      </c>
      <c r="U127" s="4">
        <f>(HC[[#This Row],[α ESF]]*HC[[#This Row],[C (kPa)]]*HC[[#This Row],[NSPT]]*HC[[#This Row],[Ap (m²)]])/'DADOS CAP. CARGA'!$Q$2+(HC[[#This Row],[β ESF]]*SUMIFS(HC[10∙(NL/3+1)],HC[Prof. (m)],"&lt;="&amp;HC[[#This Row],[Prof. (m)]],HC[idDiâmetro],HC[[#This Row],[idDiâmetro]],HC[idPilar],HC[[#This Row],[idPilar]])*HC[[#This Row],[U (m)]])/'DADOS CAP. CARGA'!$S$2</f>
        <v>405.00365292528409</v>
      </c>
      <c r="V127" s="4">
        <f>IF(SPT!$M$5=1,MIN(HC[[#This Row],[Pe HC (kN)]],HC[[#This Row],[R_AV (kN)]]),IF(SPT!$M$5=2,MIN(HC[[#This Row],[Pe HC (kN)]],HC[[#This Row],[R_DC (kN)]]),MIN(HC[[#This Row],[Pe HC (kN)]],HC[[#This Row],[R_AV (kN)]],HC[[#This Row],[R_DC (kN)]])))</f>
        <v>405.00365292528409</v>
      </c>
      <c r="W127" s="4">
        <f>INDEX(PILARES[],HC[[#This Row],[idPilar]],MATCH("Carga (kN)",PILARES[#Headers],0))*1.4</f>
        <v>3500</v>
      </c>
      <c r="X127" s="12">
        <f>INDEX(PILARES[],HC[[#This Row],[idPilar]],MATCH(HC[[#Headers],[ap (cm)]],PILARES[#Headers],0))</f>
        <v>60</v>
      </c>
      <c r="Y127" s="12">
        <f>INDEX(PILARES[],HC[[#This Row],[idPilar]],MATCH(HC[[#Headers],[bp (cm)]],PILARES[#Headers],0))</f>
        <v>60</v>
      </c>
      <c r="Z127" s="4">
        <f>SQRT(HC[[#This Row],[ap (cm)]]*HC[[#This Row],[bp (cm)]])</f>
        <v>60</v>
      </c>
      <c r="AA127" s="12">
        <f>HC[[#This Row],[ap (cm)]]*HC[[#This Row],[bp (cm)]]</f>
        <v>3600</v>
      </c>
      <c r="AB127" s="12">
        <f ca="1">IF(HC[[#This Row],[Padm∙ε (kN)]]&gt;=HC[[#This Row],[Padm (kN)]],ROUNDUP(1.05*HC[[#This Row],[Nsd (kN)]]/HC[[#This Row],[Padm (kN)]],0),ROUNDUP(1.05*HC[[#This Row],[Nsd (kN)]]/HC[[#This Row],[Padm (kN)]],0)+1)</f>
        <v>10</v>
      </c>
      <c r="AC127" s="4" t="str">
        <f ca="1">IFERROR(IF(HC[[#This Row],[nE]]=1,HC[[#This Row],[Padm (kN)]],HC[[#This Row],[Padm (kN)]]*HC[[#This Row],[nE]]*INDEX(grupoEstacas[],HC[[#This Row],[nE]],MATCH("ε",grupoEstacas[#Headers],0))),"N.S.")</f>
        <v>N.S.</v>
      </c>
      <c r="AD127" s="4">
        <f ca="1">1.05*HC[[#This Row],[Nsd (kN)]]/(HC[[#This Row],[nE]]*PI()*HC[[#This Row],[Ø (cm)]]^2/4)*10</f>
        <v>2.590535821122061</v>
      </c>
      <c r="AE127" s="4">
        <f ca="1">IF(HC[[#This Row],[σ (MPa)]]&lt;INDEX(tipoEstaca[],MATCH($D$2,tipoEstaca[TIPO DE ESTACA],0),MATCH("σmáx (MPa)",tipoEstaca[#Headers],0)),0.4%*PI()*HC[[#This Row],[Ø (cm)]]^2/4,"N.S.")</f>
        <v>5.6745017305465639</v>
      </c>
      <c r="AF127" s="1">
        <f>INDEX(tipoEstaca[],MATCH($D$2,tipoEstaca[TIPO DE ESTACA],0),MATCH(HC[[#Headers],[Comprimento (m)]],tipoEstaca[#Headers],0))</f>
        <v>4</v>
      </c>
      <c r="AG127" s="5">
        <f ca="1">HC[[#This Row],[As,mín (cm²)]]/100^2*HC[[#This Row],[Comprimento (m)]]*7850</f>
        <v>17.817935433916212</v>
      </c>
      <c r="AH127" s="4">
        <f ca="1">HC[[#This Row],[nE]]*HC[[#This Row],[Prof. (m)]]*HC[[#This Row],[Ap (m²)]]</f>
        <v>14.186254326366408</v>
      </c>
      <c r="AI127" s="1">
        <f ca="1">IF(HC[[#This Row],[nE]]=1,0,MAX(3*HC[[#This Row],[Ø (cm)]],60))</f>
        <v>127.5</v>
      </c>
      <c r="AJ127" s="1">
        <f ca="1">IF(HC[[#This Row],[nE]]=1,HC[[#This Row],[Ø (cm)]]+2*10,MAX(1.5*HC[[#This Row],[Ø (cm)]],HC[[#This Row],[Ø (cm)]]+15))</f>
        <v>63.75</v>
      </c>
      <c r="AK127" s="1" t="str">
        <f ca="1">alturaUtil(HC[[#This Row],[nE]],HC[[#This Row],[Ø (cm)]],HC[[#This Row],[e (cm)]],HC[[#This Row],[ap,eq (cm)]])</f>
        <v>N.S.</v>
      </c>
      <c r="AL127" s="1" t="str">
        <f ca="1">IFERROR(HC[[#This Row],[d (cm)]]+arredondarParaCimaMultiplo5cm(MAX(5,SQRT(PI())/2*HC[[#This Row],[Ø (cm)]]/5)),"N.S.")</f>
        <v>N.S.</v>
      </c>
      <c r="AM127" s="5" t="str">
        <f ca="1">alpha(HC[[#This Row],[nE]],HC[[#This Row],[d (cm)]],HC[[#This Row],[e (cm)]],HC[[#This Row],[ap,eq (cm)]])</f>
        <v>N.S.</v>
      </c>
      <c r="AN127" s="35" t="str">
        <f ca="1">IFERROR(HC[[#This Row],[Nsd (kN)]]/(HC[[#This Row],[Ap (cm²)]]*SIN(HC[[#This Row],[α]])^2),"N.S.")</f>
        <v>N.S.</v>
      </c>
      <c r="AO127" s="35" t="str">
        <f ca="1">IFERROR(HC[[#This Row],[Nsd (kN)]]/(HC[[#This Row],[nE]]*PI()*HC[[#This Row],[Ø (cm)]]^2/4*SIN(HC[[#This Row],[α]])^2),"N.S.")</f>
        <v>N.S.</v>
      </c>
      <c r="AP127" s="4" t="str">
        <f ca="1">IFERROR(INDEX(grupoEstacas[],HC[[#This Row],[nE]],MATCH("coef. Blévot",grupoEstacas[#Headers],0)),"N.S.")</f>
        <v>N.S.</v>
      </c>
      <c r="AQ127" s="35" t="str">
        <f ca="1">IFERROR(HC[[#This Row],[coef. Blévot]]*0.9*INDEX(tipoEstaca[],MATCH($D$2,tipoEstaca[TIPO DE ESTACA],0),MATCH("fcd (kN/cm²)",tipoEstaca[#Headers],0)),"N.S.")</f>
        <v>N.S.</v>
      </c>
      <c r="AR127" s="1" t="str">
        <f ca="1">IF(AND(HC[[#This Row],[cd,b,pil (kN/cm²)]]&lt;=HC[[#This Row],[cd,b,lim (kN/cm²)]],HC[[#This Row],[cd,b,est (kN/cm²)]]&lt;=HC[[#This Row],[cd,b,lim (kN/cm²)]]),"OK","ERRO")</f>
        <v>OK</v>
      </c>
      <c r="AS127" s="4" t="str">
        <f ca="1">As_lado(HC[[#This Row],[nE]],HC[[#This Row],[Nsd (kN)]],HC[[#This Row],[d (cm)]],HC[[#This Row],[e (cm)]],HC[[#This Row],[ap,eq (cm)]])</f>
        <v>N.S.</v>
      </c>
      <c r="AT127" s="4" t="str">
        <f ca="1">IF(HC[[#This Row],[nE]]=1,HC[[#This Row],[As,lado (cm²)]],IF(HC[[#This Row],[nE]]=2,0.075*2*HC[a (cm)],"N.A."))</f>
        <v>N.A.</v>
      </c>
      <c r="AU127" s="4" t="str">
        <f ca="1">IFERROR(IF(HC[[#This Row],[nE]]=1,"N.A.",0.2*HC[[#This Row],[As,lado (cm²)]]),"N.S.")</f>
        <v>N.S.</v>
      </c>
      <c r="AV127" s="4" t="str">
        <f ca="1">As_malha(HC[[#This Row],[nE]],HC[[#This Row],[As,lado (cm²)]],HC[[#This Row],[Nsd (kN)]])</f>
        <v>N.S.</v>
      </c>
      <c r="AW127" s="4" t="str">
        <f ca="1">As_susp_tot(HC[[#This Row],[nE]],HC[[#This Row],[Nsd (kN)]])</f>
        <v>N.S.</v>
      </c>
      <c r="AX127" s="4" t="str">
        <f ca="1">Asp_face(HC[[#This Row],[nE]],HC[[#This Row],[As,lado (cm²)]])</f>
        <v>N.S.</v>
      </c>
      <c r="AY127" s="5" t="str">
        <f ca="1">acoBloco(HC[[#This Row],[nE]],HC[[#This Row],[e (cm)]],HC[[#This Row],[a (cm)]],HC[[#This Row],[h (cm)]],HC[[#This Row],[As,lado (cm²)]],HC[[#This Row],[Asp e Asw (cm²/m)]],HC[[#This Row],[As,sup (cm²)]],HC[[#This Row],[As,malha (cm²)]],HC[[#This Row],[As,susp,tot (cm²)]],HC[[#This Row],[Asp,face (cm²)]])</f>
        <v>N.S.</v>
      </c>
      <c r="AZ127" s="4" t="str">
        <f ca="1">concretoBloco(HC[[#This Row],[nE]],HC[[#This Row],[e (cm)]],HC[[#This Row],[a (cm)]],HC[[#This Row],[h (cm)]])</f>
        <v>N.S.</v>
      </c>
      <c r="BA127" s="5">
        <f ca="1">SUM(HC[[#This Row],[Aço Est (kg)]],HC[[#This Row],[Aço Bloco (kg)]])</f>
        <v>17.817935433916212</v>
      </c>
      <c r="BB127" s="4">
        <f>INDEX(composicoes[],MATCH(95580,composicoes[CÓDIGO],0),MATCH("CUSTO TOTAL",composicoes[#Headers],0))</f>
        <v>10.46</v>
      </c>
      <c r="BC127" s="4">
        <f ca="1">SUM(HC[[#This Row],[Conc Est (m³)]],HC[[#This Row],[Conc Bloco (m³)]])</f>
        <v>14.186254326366408</v>
      </c>
      <c r="BD127" s="4">
        <f>INDEX(composicoes[],MATCH(94966,composicoes[CÓDIGO],0),MATCH("CUSTO TOTAL",composicoes[#Headers],0))</f>
        <v>439.52</v>
      </c>
      <c r="BE127" s="38">
        <f ca="1">HC[[#This Row],[Aço (kg)]]*HC[[#This Row],[Aço (R$/kg)]]+HC[[#This Row],[Conc (m³)]]*HC[[#This Row],[Conc (R$/m³)]]</f>
        <v>6421.5181061633266</v>
      </c>
      <c r="BF127" s="4" t="str">
        <f ca="1">IF(COUNTIF(HC[#This Row],"N.S.")&gt;0,"lim.","OK")</f>
        <v>lim.</v>
      </c>
      <c r="BG127" s="4" t="str">
        <f>IF(HC[[#This Row],[Prof. (m)]]&lt;4,"lim.","OK")</f>
        <v>OK</v>
      </c>
      <c r="BH127" s="4" t="str">
        <f>IF(HC[[#This Row],[Prof. (m)]]&gt;=8*HC[[#This Row],[Ø (cm)]]/100,"OK","lim.")</f>
        <v>OK</v>
      </c>
      <c r="BI127" s="4" t="str">
        <f ca="1">IF(HC[[#This Row],[Verif. Biela]]="OK","OK","lim.")</f>
        <v>OK</v>
      </c>
      <c r="BJ127" s="4" t="str">
        <f ca="1">IF(COUNTA(HC[[#This Row],[Nº Est.]:[Biela comp.]])=COUNTIF(HC[[#This Row],[Nº Est.]:[Biela comp.]],"OK"),"OK","lim.")</f>
        <v>lim.</v>
      </c>
      <c r="BK127" s="4" t="str">
        <f ca="1">IF(HC[[#This Row],[Controle]]="OK",HC[[#This Row],[nE]]&amp;" Ø"&amp;HC[[#This Row],[Ø (cm)]]&amp;"cm Prof. "&amp;HC[[#This Row],[Prof. (m)]]&amp;" m","")</f>
        <v/>
      </c>
      <c r="BL127" s="4" t="str">
        <f ca="1">IF(HC[[#This Row],[idDimensionamento]]="","",HC[[#This Row],[idPilar]]&amp;HC[[#This Row],[idDimensionamento]])</f>
        <v/>
      </c>
    </row>
    <row r="128" spans="2:64" x14ac:dyDescent="0.25">
      <c r="B128" s="12">
        <f>ROUNDUP((ROW(HC[[#This Row],[idDiâmetro]])-ROW(HC[[#Headers],[idDiâmetro]]))/(COUNT(SPT[Prof. (m)])*COUNT(PILARES[Pilar])),0)</f>
        <v>5</v>
      </c>
      <c r="C128" s="12">
        <f>IF(HC[[#This Row],[idDiâmetro]]&lt;&gt;B127,1,IF(HC[[#This Row],[Prof. (m)]]=0,C127+1,C127))</f>
        <v>1</v>
      </c>
      <c r="D128" s="1">
        <f>IFERROR(IF(D127=MAX(SPT[Prof. (m)]),0,D127+1),0)</f>
        <v>11</v>
      </c>
      <c r="E128" s="1">
        <f>INDEX(SPT[],MATCH(HC[[#This Row],[Prof. (m)]],SPT[Prof. (m)],0),2)</f>
        <v>41</v>
      </c>
      <c r="F128" s="1" t="str">
        <f>INDEX(SPT[],MATCH(HC[[#This Row],[Prof. (m)]],SPT[Prof. (m)],0),3)</f>
        <v>Areia siltosa</v>
      </c>
      <c r="G128" s="1">
        <f>INDEX(estacas[],HC[[#This Row],[idDiâmetro]],MATCH($B$2,estacas[#Headers],0))</f>
        <v>42.5</v>
      </c>
      <c r="H128" s="1">
        <f>INDEX(estacas[],MATCH(HC[[#This Row],[Ø (cm)]],estacas[Ø HC (cm)],0),MATCH(HC[[#Headers],[Pe HC (kN)]],estacas[#Headers],0))</f>
        <v>900</v>
      </c>
      <c r="I128" s="4">
        <f>INDEX(K_alpha_C[],MATCH(HC[[#This Row],[Solo]],K_alpha_C[Solo],0),2)</f>
        <v>0.8</v>
      </c>
      <c r="J128" s="5">
        <f>INDEX(K_alpha_C[],MATCH(HC[[#This Row],[Solo]],K_alpha_C[Solo],0),3)</f>
        <v>2</v>
      </c>
      <c r="K128" s="4">
        <f>INDEX(F1_F2[],MATCH($D$2,F1_F2[Tipo de estaca],0),2)</f>
        <v>2</v>
      </c>
      <c r="L128" s="4">
        <f>INDEX(F1_F2[],MATCH($D$2,F1_F2[Tipo de estaca],0),3)</f>
        <v>4</v>
      </c>
      <c r="M128" s="4">
        <f>PI()*(HC[[#This Row],[Ø (cm)]]/100)^2/4</f>
        <v>0.14186254326366407</v>
      </c>
      <c r="N128" s="4">
        <f>PI()*HC[[#This Row],[Ø (cm)]]/100</f>
        <v>1.3351768777756621</v>
      </c>
      <c r="O128" s="4">
        <f>IF(HC[[#This Row],[Prof. (m)]]=0,0,HC[[#This Row],[α (%)]]/100*HC[[#This Row],[K (MPa)]]*1000*HC[[#This Row],[NSPT]])</f>
        <v>656</v>
      </c>
      <c r="P128" s="4">
        <f>IF(HC[[#This Row],[Prof. (m)]]=0,0,(HC[[#This Row],[K (MPa)]]*1000*HC[[#This Row],[NSPT]]/HC[[#This Row],[F1]]*HC[[#This Row],[Ap (m²)]]+HC[[#This Row],[U (m)]]/HC[[#This Row],[F2]]*SUMIFS(HC[(α∙K∙NL∙ΔL)],HC[Prof. (m)],"&lt;="&amp;HC[[#This Row],[Prof. (m)]],HC[idDiâmetro],HC[[#This Row],[idDiâmetro]],HC[idPilar],HC[[#This Row],[idPilar]]))/'DADOS CAP. CARGA'!$D$2)</f>
        <v>1594.5182965726121</v>
      </c>
      <c r="Q128" s="12">
        <f>INDEX(C_alpha_beta[],MATCH(HC[[#This Row],[Solo]],C_alpha_beta[Solo],0),MATCH(HC[[#Headers],[C (kPa)]],C_alpha_beta[#Headers],0))</f>
        <v>400</v>
      </c>
      <c r="R128" s="4">
        <f>INDEX(C_alpha_beta[],MATCH(HC[[#This Row],[Solo]],C_alpha_beta[Solo],0),MATCH(HC[[#Headers],[α ESF]],C_alpha_beta[#Headers],0))</f>
        <v>0.5</v>
      </c>
      <c r="S128" s="4">
        <f>INDEX(C_alpha_beta[],MATCH(HC[[#This Row],[Solo]],C_alpha_beta[Solo],0),MATCH(HC[[#Headers],[β ESF]],C_alpha_beta[#Headers],0))</f>
        <v>0.5</v>
      </c>
      <c r="T128" s="4">
        <f>IF(HC[[#This Row],[Prof. (m)]]=0,0,10*(HC[[#This Row],[NSPT]]/3+1))</f>
        <v>146.66666666666666</v>
      </c>
      <c r="U128" s="4">
        <f>(HC[[#This Row],[α ESF]]*HC[[#This Row],[C (kPa)]]*HC[[#This Row],[NSPT]]*HC[[#This Row],[Ap (m²)]])/'DADOS CAP. CARGA'!$Q$2+(HC[[#This Row],[β ESF]]*SUMIFS(HC[10∙(NL/3+1)],HC[Prof. (m)],"&lt;="&amp;HC[[#This Row],[Prof. (m)]],HC[idDiâmetro],HC[[#This Row],[idDiâmetro]],HC[idPilar],HC[[#This Row],[idPilar]])*HC[[#This Row],[U (m)]])/'DADOS CAP. CARGA'!$S$2</f>
        <v>517.79828291237391</v>
      </c>
      <c r="V128" s="4">
        <f>IF(SPT!$M$5=1,MIN(HC[[#This Row],[Pe HC (kN)]],HC[[#This Row],[R_AV (kN)]]),IF(SPT!$M$5=2,MIN(HC[[#This Row],[Pe HC (kN)]],HC[[#This Row],[R_DC (kN)]]),MIN(HC[[#This Row],[Pe HC (kN)]],HC[[#This Row],[R_AV (kN)]],HC[[#This Row],[R_DC (kN)]])))</f>
        <v>517.79828291237391</v>
      </c>
      <c r="W128" s="4">
        <f>INDEX(PILARES[],HC[[#This Row],[idPilar]],MATCH("Carga (kN)",PILARES[#Headers],0))*1.4</f>
        <v>3500</v>
      </c>
      <c r="X128" s="12">
        <f>INDEX(PILARES[],HC[[#This Row],[idPilar]],MATCH(HC[[#Headers],[ap (cm)]],PILARES[#Headers],0))</f>
        <v>60</v>
      </c>
      <c r="Y128" s="12">
        <f>INDEX(PILARES[],HC[[#This Row],[idPilar]],MATCH(HC[[#Headers],[bp (cm)]],PILARES[#Headers],0))</f>
        <v>60</v>
      </c>
      <c r="Z128" s="4">
        <f>SQRT(HC[[#This Row],[ap (cm)]]*HC[[#This Row],[bp (cm)]])</f>
        <v>60</v>
      </c>
      <c r="AA128" s="12">
        <f>HC[[#This Row],[ap (cm)]]*HC[[#This Row],[bp (cm)]]</f>
        <v>3600</v>
      </c>
      <c r="AB128" s="12">
        <f ca="1">IF(HC[[#This Row],[Padm∙ε (kN)]]&gt;=HC[[#This Row],[Padm (kN)]],ROUNDUP(1.05*HC[[#This Row],[Nsd (kN)]]/HC[[#This Row],[Padm (kN)]],0),ROUNDUP(1.05*HC[[#This Row],[Nsd (kN)]]/HC[[#This Row],[Padm (kN)]],0)+1)</f>
        <v>8</v>
      </c>
      <c r="AC128" s="4" t="str">
        <f ca="1">IFERROR(IF(HC[[#This Row],[nE]]=1,HC[[#This Row],[Padm (kN)]],HC[[#This Row],[Padm (kN)]]*HC[[#This Row],[nE]]*INDEX(grupoEstacas[],HC[[#This Row],[nE]],MATCH("ε",grupoEstacas[#Headers],0))),"N.S.")</f>
        <v>N.S.</v>
      </c>
      <c r="AD128" s="4">
        <f ca="1">1.05*HC[[#This Row],[Nsd (kN)]]/(HC[[#This Row],[nE]]*PI()*HC[[#This Row],[Ø (cm)]]^2/4)*10</f>
        <v>3.238169776402577</v>
      </c>
      <c r="AE128" s="4">
        <f ca="1">IF(HC[[#This Row],[σ (MPa)]]&lt;INDEX(tipoEstaca[],MATCH($D$2,tipoEstaca[TIPO DE ESTACA],0),MATCH("σmáx (MPa)",tipoEstaca[#Headers],0)),0.4%*PI()*HC[[#This Row],[Ø (cm)]]^2/4,"N.S.")</f>
        <v>5.6745017305465639</v>
      </c>
      <c r="AF128" s="1">
        <f>INDEX(tipoEstaca[],MATCH($D$2,tipoEstaca[TIPO DE ESTACA],0),MATCH(HC[[#Headers],[Comprimento (m)]],tipoEstaca[#Headers],0))</f>
        <v>4</v>
      </c>
      <c r="AG128" s="5">
        <f ca="1">HC[[#This Row],[As,mín (cm²)]]/100^2*HC[[#This Row],[Comprimento (m)]]*7850</f>
        <v>17.817935433916212</v>
      </c>
      <c r="AH128" s="4">
        <f ca="1">HC[[#This Row],[nE]]*HC[[#This Row],[Prof. (m)]]*HC[[#This Row],[Ap (m²)]]</f>
        <v>12.483903807202438</v>
      </c>
      <c r="AI128" s="1">
        <f ca="1">IF(HC[[#This Row],[nE]]=1,0,MAX(3*HC[[#This Row],[Ø (cm)]],60))</f>
        <v>127.5</v>
      </c>
      <c r="AJ128" s="1">
        <f ca="1">IF(HC[[#This Row],[nE]]=1,HC[[#This Row],[Ø (cm)]]+2*10,MAX(1.5*HC[[#This Row],[Ø (cm)]],HC[[#This Row],[Ø (cm)]]+15))</f>
        <v>63.75</v>
      </c>
      <c r="AK128" s="1" t="str">
        <f ca="1">alturaUtil(HC[[#This Row],[nE]],HC[[#This Row],[Ø (cm)]],HC[[#This Row],[e (cm)]],HC[[#This Row],[ap,eq (cm)]])</f>
        <v>N.S.</v>
      </c>
      <c r="AL128" s="1" t="str">
        <f ca="1">IFERROR(HC[[#This Row],[d (cm)]]+arredondarParaCimaMultiplo5cm(MAX(5,SQRT(PI())/2*HC[[#This Row],[Ø (cm)]]/5)),"N.S.")</f>
        <v>N.S.</v>
      </c>
      <c r="AM128" s="5" t="str">
        <f ca="1">alpha(HC[[#This Row],[nE]],HC[[#This Row],[d (cm)]],HC[[#This Row],[e (cm)]],HC[[#This Row],[ap,eq (cm)]])</f>
        <v>N.S.</v>
      </c>
      <c r="AN128" s="35" t="str">
        <f ca="1">IFERROR(HC[[#This Row],[Nsd (kN)]]/(HC[[#This Row],[Ap (cm²)]]*SIN(HC[[#This Row],[α]])^2),"N.S.")</f>
        <v>N.S.</v>
      </c>
      <c r="AO128" s="35" t="str">
        <f ca="1">IFERROR(HC[[#This Row],[Nsd (kN)]]/(HC[[#This Row],[nE]]*PI()*HC[[#This Row],[Ø (cm)]]^2/4*SIN(HC[[#This Row],[α]])^2),"N.S.")</f>
        <v>N.S.</v>
      </c>
      <c r="AP128" s="4" t="str">
        <f ca="1">IFERROR(INDEX(grupoEstacas[],HC[[#This Row],[nE]],MATCH("coef. Blévot",grupoEstacas[#Headers],0)),"N.S.")</f>
        <v>N.S.</v>
      </c>
      <c r="AQ128" s="35" t="str">
        <f ca="1">IFERROR(HC[[#This Row],[coef. Blévot]]*0.9*INDEX(tipoEstaca[],MATCH($D$2,tipoEstaca[TIPO DE ESTACA],0),MATCH("fcd (kN/cm²)",tipoEstaca[#Headers],0)),"N.S.")</f>
        <v>N.S.</v>
      </c>
      <c r="AR128" s="1" t="str">
        <f ca="1">IF(AND(HC[[#This Row],[cd,b,pil (kN/cm²)]]&lt;=HC[[#This Row],[cd,b,lim (kN/cm²)]],HC[[#This Row],[cd,b,est (kN/cm²)]]&lt;=HC[[#This Row],[cd,b,lim (kN/cm²)]]),"OK","ERRO")</f>
        <v>OK</v>
      </c>
      <c r="AS128" s="4" t="str">
        <f ca="1">As_lado(HC[[#This Row],[nE]],HC[[#This Row],[Nsd (kN)]],HC[[#This Row],[d (cm)]],HC[[#This Row],[e (cm)]],HC[[#This Row],[ap,eq (cm)]])</f>
        <v>N.S.</v>
      </c>
      <c r="AT128" s="4" t="str">
        <f ca="1">IF(HC[[#This Row],[nE]]=1,HC[[#This Row],[As,lado (cm²)]],IF(HC[[#This Row],[nE]]=2,0.075*2*HC[a (cm)],"N.A."))</f>
        <v>N.A.</v>
      </c>
      <c r="AU128" s="4" t="str">
        <f ca="1">IFERROR(IF(HC[[#This Row],[nE]]=1,"N.A.",0.2*HC[[#This Row],[As,lado (cm²)]]),"N.S.")</f>
        <v>N.S.</v>
      </c>
      <c r="AV128" s="4" t="str">
        <f ca="1">As_malha(HC[[#This Row],[nE]],HC[[#This Row],[As,lado (cm²)]],HC[[#This Row],[Nsd (kN)]])</f>
        <v>N.S.</v>
      </c>
      <c r="AW128" s="4" t="str">
        <f ca="1">As_susp_tot(HC[[#This Row],[nE]],HC[[#This Row],[Nsd (kN)]])</f>
        <v>N.S.</v>
      </c>
      <c r="AX128" s="4" t="str">
        <f ca="1">Asp_face(HC[[#This Row],[nE]],HC[[#This Row],[As,lado (cm²)]])</f>
        <v>N.S.</v>
      </c>
      <c r="AY128" s="5" t="str">
        <f ca="1">acoBloco(HC[[#This Row],[nE]],HC[[#This Row],[e (cm)]],HC[[#This Row],[a (cm)]],HC[[#This Row],[h (cm)]],HC[[#This Row],[As,lado (cm²)]],HC[[#This Row],[Asp e Asw (cm²/m)]],HC[[#This Row],[As,sup (cm²)]],HC[[#This Row],[As,malha (cm²)]],HC[[#This Row],[As,susp,tot (cm²)]],HC[[#This Row],[Asp,face (cm²)]])</f>
        <v>N.S.</v>
      </c>
      <c r="AZ128" s="4" t="str">
        <f ca="1">concretoBloco(HC[[#This Row],[nE]],HC[[#This Row],[e (cm)]],HC[[#This Row],[a (cm)]],HC[[#This Row],[h (cm)]])</f>
        <v>N.S.</v>
      </c>
      <c r="BA128" s="5">
        <f ca="1">SUM(HC[[#This Row],[Aço Est (kg)]],HC[[#This Row],[Aço Bloco (kg)]])</f>
        <v>17.817935433916212</v>
      </c>
      <c r="BB128" s="4">
        <f>INDEX(composicoes[],MATCH(95580,composicoes[CÓDIGO],0),MATCH("CUSTO TOTAL",composicoes[#Headers],0))</f>
        <v>10.46</v>
      </c>
      <c r="BC128" s="4">
        <f ca="1">SUM(HC[[#This Row],[Conc Est (m³)]],HC[[#This Row],[Conc Bloco (m³)]])</f>
        <v>12.483903807202438</v>
      </c>
      <c r="BD128" s="4">
        <f>INDEX(composicoes[],MATCH(94966,composicoes[CÓDIGO],0),MATCH("CUSTO TOTAL",composicoes[#Headers],0))</f>
        <v>439.52</v>
      </c>
      <c r="BE128" s="38">
        <f ca="1">HC[[#This Row],[Aço (kg)]]*HC[[#This Row],[Aço (R$/kg)]]+HC[[#This Row],[Conc (m³)]]*HC[[#This Row],[Conc (R$/m³)]]</f>
        <v>5673.3010059803792</v>
      </c>
      <c r="BF128" s="4" t="str">
        <f ca="1">IF(COUNTIF(HC[#This Row],"N.S.")&gt;0,"lim.","OK")</f>
        <v>lim.</v>
      </c>
      <c r="BG128" s="4" t="str">
        <f>IF(HC[[#This Row],[Prof. (m)]]&lt;4,"lim.","OK")</f>
        <v>OK</v>
      </c>
      <c r="BH128" s="4" t="str">
        <f>IF(HC[[#This Row],[Prof. (m)]]&gt;=8*HC[[#This Row],[Ø (cm)]]/100,"OK","lim.")</f>
        <v>OK</v>
      </c>
      <c r="BI128" s="4" t="str">
        <f ca="1">IF(HC[[#This Row],[Verif. Biela]]="OK","OK","lim.")</f>
        <v>OK</v>
      </c>
      <c r="BJ128" s="4" t="str">
        <f ca="1">IF(COUNTA(HC[[#This Row],[Nº Est.]:[Biela comp.]])=COUNTIF(HC[[#This Row],[Nº Est.]:[Biela comp.]],"OK"),"OK","lim.")</f>
        <v>lim.</v>
      </c>
      <c r="BK128" s="4" t="str">
        <f ca="1">IF(HC[[#This Row],[Controle]]="OK",HC[[#This Row],[nE]]&amp;" Ø"&amp;HC[[#This Row],[Ø (cm)]]&amp;"cm Prof. "&amp;HC[[#This Row],[Prof. (m)]]&amp;" m","")</f>
        <v/>
      </c>
      <c r="BL128" s="4" t="str">
        <f ca="1">IF(HC[[#This Row],[idDimensionamento]]="","",HC[[#This Row],[idPilar]]&amp;HC[[#This Row],[idDimensionamento]])</f>
        <v/>
      </c>
    </row>
    <row r="129" spans="2:64" x14ac:dyDescent="0.25">
      <c r="B129" s="12">
        <f>ROUNDUP((ROW(HC[[#This Row],[idDiâmetro]])-ROW(HC[[#Headers],[idDiâmetro]]))/(COUNT(SPT[Prof. (m)])*COUNT(PILARES[Pilar])),0)</f>
        <v>5</v>
      </c>
      <c r="C129" s="12">
        <f>IF(HC[[#This Row],[idDiâmetro]]&lt;&gt;B128,1,IF(HC[[#This Row],[Prof. (m)]]=0,C128+1,C128))</f>
        <v>1</v>
      </c>
      <c r="D129" s="1">
        <f>IFERROR(IF(D128=MAX(SPT[Prof. (m)]),0,D128+1),0)</f>
        <v>12</v>
      </c>
      <c r="E129" s="1">
        <f>INDEX(SPT[],MATCH(HC[[#This Row],[Prof. (m)]],SPT[Prof. (m)],0),2)</f>
        <v>52</v>
      </c>
      <c r="F129" s="1" t="str">
        <f>INDEX(SPT[],MATCH(HC[[#This Row],[Prof. (m)]],SPT[Prof. (m)],0),3)</f>
        <v>Areia siltosa</v>
      </c>
      <c r="G129" s="1">
        <f>INDEX(estacas[],HC[[#This Row],[idDiâmetro]],MATCH($B$2,estacas[#Headers],0))</f>
        <v>42.5</v>
      </c>
      <c r="H129" s="1">
        <f>INDEX(estacas[],MATCH(HC[[#This Row],[Ø (cm)]],estacas[Ø HC (cm)],0),MATCH(HC[[#Headers],[Pe HC (kN)]],estacas[#Headers],0))</f>
        <v>900</v>
      </c>
      <c r="I129" s="4">
        <f>INDEX(K_alpha_C[],MATCH(HC[[#This Row],[Solo]],K_alpha_C[Solo],0),2)</f>
        <v>0.8</v>
      </c>
      <c r="J129" s="5">
        <f>INDEX(K_alpha_C[],MATCH(HC[[#This Row],[Solo]],K_alpha_C[Solo],0),3)</f>
        <v>2</v>
      </c>
      <c r="K129" s="4">
        <f>INDEX(F1_F2[],MATCH($D$2,F1_F2[Tipo de estaca],0),2)</f>
        <v>2</v>
      </c>
      <c r="L129" s="4">
        <f>INDEX(F1_F2[],MATCH($D$2,F1_F2[Tipo de estaca],0),3)</f>
        <v>4</v>
      </c>
      <c r="M129" s="4">
        <f>PI()*(HC[[#This Row],[Ø (cm)]]/100)^2/4</f>
        <v>0.14186254326366407</v>
      </c>
      <c r="N129" s="4">
        <f>PI()*HC[[#This Row],[Ø (cm)]]/100</f>
        <v>1.3351768777756621</v>
      </c>
      <c r="O129" s="4">
        <f>IF(HC[[#This Row],[Prof. (m)]]=0,0,HC[[#This Row],[α (%)]]/100*HC[[#This Row],[K (MPa)]]*1000*HC[[#This Row],[NSPT]])</f>
        <v>832</v>
      </c>
      <c r="P129" s="4">
        <f>IF(HC[[#This Row],[Prof. (m)]]=0,0,(HC[[#This Row],[K (MPa)]]*1000*HC[[#This Row],[NSPT]]/HC[[#This Row],[F1]]*HC[[#This Row],[Ap (m²)]]+HC[[#This Row],[U (m)]]/HC[[#This Row],[F2]]*SUMIFS(HC[(α∙K∙NL∙ΔL)],HC[Prof. (m)],"&lt;="&amp;HC[[#This Row],[Prof. (m)]],HC[idDiâmetro],HC[[#This Row],[idDiâmetro]],HC[idPilar],HC[[#This Row],[idPilar]]))/'DADOS CAP. CARGA'!$D$2)</f>
        <v>2045.4742870413418</v>
      </c>
      <c r="Q129" s="12">
        <f>INDEX(C_alpha_beta[],MATCH(HC[[#This Row],[Solo]],C_alpha_beta[Solo],0),MATCH(HC[[#Headers],[C (kPa)]],C_alpha_beta[#Headers],0))</f>
        <v>400</v>
      </c>
      <c r="R129" s="4">
        <f>INDEX(C_alpha_beta[],MATCH(HC[[#This Row],[Solo]],C_alpha_beta[Solo],0),MATCH(HC[[#Headers],[α ESF]],C_alpha_beta[#Headers],0))</f>
        <v>0.5</v>
      </c>
      <c r="S129" s="4">
        <f>INDEX(C_alpha_beta[],MATCH(HC[[#This Row],[Solo]],C_alpha_beta[Solo],0),MATCH(HC[[#Headers],[β ESF]],C_alpha_beta[#Headers],0))</f>
        <v>0.5</v>
      </c>
      <c r="T129" s="4">
        <f>IF(HC[[#This Row],[Prof. (m)]]=0,0,10*(HC[[#This Row],[NSPT]]/3+1))</f>
        <v>183.33333333333331</v>
      </c>
      <c r="U129" s="4">
        <f>(HC[[#This Row],[α ESF]]*HC[[#This Row],[C (kPa)]]*HC[[#This Row],[NSPT]]*HC[[#This Row],[Ap (m²)]])/'DADOS CAP. CARGA'!$Q$2+(HC[[#This Row],[β ESF]]*SUMIFS(HC[10∙(NL/3+1)],HC[Prof. (m)],"&lt;="&amp;HC[[#This Row],[Prof. (m)]],HC[idDiâmetro],HC[[#This Row],[idDiâmetro]],HC[idPilar],HC[[#This Row],[idPilar]])*HC[[#This Row],[U (m)]])/'DADOS CAP. CARGA'!$S$2</f>
        <v>657.01828860544026</v>
      </c>
      <c r="V129" s="4">
        <f>IF(SPT!$M$5=1,MIN(HC[[#This Row],[Pe HC (kN)]],HC[[#This Row],[R_AV (kN)]]),IF(SPT!$M$5=2,MIN(HC[[#This Row],[Pe HC (kN)]],HC[[#This Row],[R_DC (kN)]]),MIN(HC[[#This Row],[Pe HC (kN)]],HC[[#This Row],[R_AV (kN)]],HC[[#This Row],[R_DC (kN)]])))</f>
        <v>657.01828860544026</v>
      </c>
      <c r="W129" s="4">
        <f>INDEX(PILARES[],HC[[#This Row],[idPilar]],MATCH("Carga (kN)",PILARES[#Headers],0))*1.4</f>
        <v>3500</v>
      </c>
      <c r="X129" s="12">
        <f>INDEX(PILARES[],HC[[#This Row],[idPilar]],MATCH(HC[[#Headers],[ap (cm)]],PILARES[#Headers],0))</f>
        <v>60</v>
      </c>
      <c r="Y129" s="12">
        <f>INDEX(PILARES[],HC[[#This Row],[idPilar]],MATCH(HC[[#Headers],[bp (cm)]],PILARES[#Headers],0))</f>
        <v>60</v>
      </c>
      <c r="Z129" s="4">
        <f>SQRT(HC[[#This Row],[ap (cm)]]*HC[[#This Row],[bp (cm)]])</f>
        <v>60</v>
      </c>
      <c r="AA129" s="12">
        <f>HC[[#This Row],[ap (cm)]]*HC[[#This Row],[bp (cm)]]</f>
        <v>3600</v>
      </c>
      <c r="AB129" s="12">
        <f ca="1">IF(HC[[#This Row],[Padm∙ε (kN)]]&gt;=HC[[#This Row],[Padm (kN)]],ROUNDUP(1.05*HC[[#This Row],[Nsd (kN)]]/HC[[#This Row],[Padm (kN)]],0),ROUNDUP(1.05*HC[[#This Row],[Nsd (kN)]]/HC[[#This Row],[Padm (kN)]],0)+1)</f>
        <v>6</v>
      </c>
      <c r="AC129" s="4" t="str">
        <f ca="1">IFERROR(IF(HC[[#This Row],[nE]]=1,HC[[#This Row],[Padm (kN)]],HC[[#This Row],[Padm (kN)]]*HC[[#This Row],[nE]]*INDEX(grupoEstacas[],HC[[#This Row],[nE]],MATCH("ε",grupoEstacas[#Headers],0))),"N.S.")</f>
        <v>N.S.</v>
      </c>
      <c r="AD129" s="4">
        <f ca="1">1.05*HC[[#This Row],[Nsd (kN)]]/(HC[[#This Row],[nE]]*PI()*HC[[#This Row],[Ø (cm)]]^2/4)*10</f>
        <v>4.3175597018701017</v>
      </c>
      <c r="AE129" s="4">
        <f ca="1">IF(HC[[#This Row],[σ (MPa)]]&lt;INDEX(tipoEstaca[],MATCH($D$2,tipoEstaca[TIPO DE ESTACA],0),MATCH("σmáx (MPa)",tipoEstaca[#Headers],0)),0.4%*PI()*HC[[#This Row],[Ø (cm)]]^2/4,"N.S.")</f>
        <v>5.6745017305465639</v>
      </c>
      <c r="AF129" s="1">
        <f>INDEX(tipoEstaca[],MATCH($D$2,tipoEstaca[TIPO DE ESTACA],0),MATCH(HC[[#Headers],[Comprimento (m)]],tipoEstaca[#Headers],0))</f>
        <v>4</v>
      </c>
      <c r="AG129" s="5">
        <f ca="1">HC[[#This Row],[As,mín (cm²)]]/100^2*HC[[#This Row],[Comprimento (m)]]*7850</f>
        <v>17.817935433916212</v>
      </c>
      <c r="AH129" s="4">
        <f ca="1">HC[[#This Row],[nE]]*HC[[#This Row],[Prof. (m)]]*HC[[#This Row],[Ap (m²)]]</f>
        <v>10.214103114983812</v>
      </c>
      <c r="AI129" s="1">
        <f ca="1">IF(HC[[#This Row],[nE]]=1,0,MAX(3*HC[[#This Row],[Ø (cm)]],60))</f>
        <v>127.5</v>
      </c>
      <c r="AJ129" s="1">
        <f ca="1">IF(HC[[#This Row],[nE]]=1,HC[[#This Row],[Ø (cm)]]+2*10,MAX(1.5*HC[[#This Row],[Ø (cm)]],HC[[#This Row],[Ø (cm)]]+15))</f>
        <v>63.75</v>
      </c>
      <c r="AK129" s="1" t="str">
        <f ca="1">alturaUtil(HC[[#This Row],[nE]],HC[[#This Row],[Ø (cm)]],HC[[#This Row],[e (cm)]],HC[[#This Row],[ap,eq (cm)]])</f>
        <v>N.S.</v>
      </c>
      <c r="AL129" s="1" t="str">
        <f ca="1">IFERROR(HC[[#This Row],[d (cm)]]+arredondarParaCimaMultiplo5cm(MAX(5,SQRT(PI())/2*HC[[#This Row],[Ø (cm)]]/5)),"N.S.")</f>
        <v>N.S.</v>
      </c>
      <c r="AM129" s="5" t="str">
        <f ca="1">alpha(HC[[#This Row],[nE]],HC[[#This Row],[d (cm)]],HC[[#This Row],[e (cm)]],HC[[#This Row],[ap,eq (cm)]])</f>
        <v>N.S.</v>
      </c>
      <c r="AN129" s="35" t="str">
        <f ca="1">IFERROR(HC[[#This Row],[Nsd (kN)]]/(HC[[#This Row],[Ap (cm²)]]*SIN(HC[[#This Row],[α]])^2),"N.S.")</f>
        <v>N.S.</v>
      </c>
      <c r="AO129" s="35" t="str">
        <f ca="1">IFERROR(HC[[#This Row],[Nsd (kN)]]/(HC[[#This Row],[nE]]*PI()*HC[[#This Row],[Ø (cm)]]^2/4*SIN(HC[[#This Row],[α]])^2),"N.S.")</f>
        <v>N.S.</v>
      </c>
      <c r="AP129" s="4" t="str">
        <f ca="1">IFERROR(INDEX(grupoEstacas[],HC[[#This Row],[nE]],MATCH("coef. Blévot",grupoEstacas[#Headers],0)),"N.S.")</f>
        <v>N.S.</v>
      </c>
      <c r="AQ129" s="35" t="str">
        <f ca="1">IFERROR(HC[[#This Row],[coef. Blévot]]*0.9*INDEX(tipoEstaca[],MATCH($D$2,tipoEstaca[TIPO DE ESTACA],0),MATCH("fcd (kN/cm²)",tipoEstaca[#Headers],0)),"N.S.")</f>
        <v>N.S.</v>
      </c>
      <c r="AR129" s="1" t="str">
        <f ca="1">IF(AND(HC[[#This Row],[cd,b,pil (kN/cm²)]]&lt;=HC[[#This Row],[cd,b,lim (kN/cm²)]],HC[[#This Row],[cd,b,est (kN/cm²)]]&lt;=HC[[#This Row],[cd,b,lim (kN/cm²)]]),"OK","ERRO")</f>
        <v>OK</v>
      </c>
      <c r="AS129" s="4" t="str">
        <f ca="1">As_lado(HC[[#This Row],[nE]],HC[[#This Row],[Nsd (kN)]],HC[[#This Row],[d (cm)]],HC[[#This Row],[e (cm)]],HC[[#This Row],[ap,eq (cm)]])</f>
        <v>N.S.</v>
      </c>
      <c r="AT129" s="4" t="str">
        <f ca="1">IF(HC[[#This Row],[nE]]=1,HC[[#This Row],[As,lado (cm²)]],IF(HC[[#This Row],[nE]]=2,0.075*2*HC[a (cm)],"N.A."))</f>
        <v>N.A.</v>
      </c>
      <c r="AU129" s="4" t="str">
        <f ca="1">IFERROR(IF(HC[[#This Row],[nE]]=1,"N.A.",0.2*HC[[#This Row],[As,lado (cm²)]]),"N.S.")</f>
        <v>N.S.</v>
      </c>
      <c r="AV129" s="4" t="str">
        <f ca="1">As_malha(HC[[#This Row],[nE]],HC[[#This Row],[As,lado (cm²)]],HC[[#This Row],[Nsd (kN)]])</f>
        <v>N.S.</v>
      </c>
      <c r="AW129" s="4" t="str">
        <f ca="1">As_susp_tot(HC[[#This Row],[nE]],HC[[#This Row],[Nsd (kN)]])</f>
        <v>N.S.</v>
      </c>
      <c r="AX129" s="4" t="str">
        <f ca="1">Asp_face(HC[[#This Row],[nE]],HC[[#This Row],[As,lado (cm²)]])</f>
        <v>N.S.</v>
      </c>
      <c r="AY129" s="5" t="str">
        <f ca="1">acoBloco(HC[[#This Row],[nE]],HC[[#This Row],[e (cm)]],HC[[#This Row],[a (cm)]],HC[[#This Row],[h (cm)]],HC[[#This Row],[As,lado (cm²)]],HC[[#This Row],[Asp e Asw (cm²/m)]],HC[[#This Row],[As,sup (cm²)]],HC[[#This Row],[As,malha (cm²)]],HC[[#This Row],[As,susp,tot (cm²)]],HC[[#This Row],[Asp,face (cm²)]])</f>
        <v>N.S.</v>
      </c>
      <c r="AZ129" s="4" t="str">
        <f ca="1">concretoBloco(HC[[#This Row],[nE]],HC[[#This Row],[e (cm)]],HC[[#This Row],[a (cm)]],HC[[#This Row],[h (cm)]])</f>
        <v>N.S.</v>
      </c>
      <c r="BA129" s="5">
        <f ca="1">SUM(HC[[#This Row],[Aço Est (kg)]],HC[[#This Row],[Aço Bloco (kg)]])</f>
        <v>17.817935433916212</v>
      </c>
      <c r="BB129" s="4">
        <f>INDEX(composicoes[],MATCH(95580,composicoes[CÓDIGO],0),MATCH("CUSTO TOTAL",composicoes[#Headers],0))</f>
        <v>10.46</v>
      </c>
      <c r="BC129" s="4">
        <f ca="1">SUM(HC[[#This Row],[Conc Est (m³)]],HC[[#This Row],[Conc Bloco (m³)]])</f>
        <v>10.214103114983812</v>
      </c>
      <c r="BD129" s="4">
        <f>INDEX(composicoes[],MATCH(94966,composicoes[CÓDIGO],0),MATCH("CUSTO TOTAL",composicoes[#Headers],0))</f>
        <v>439.52</v>
      </c>
      <c r="BE129" s="38">
        <f ca="1">HC[[#This Row],[Aço (kg)]]*HC[[#This Row],[Aço (R$/kg)]]+HC[[#This Row],[Conc (m³)]]*HC[[#This Row],[Conc (R$/m³)]]</f>
        <v>4675.678205736448</v>
      </c>
      <c r="BF129" s="4" t="str">
        <f ca="1">IF(COUNTIF(HC[#This Row],"N.S.")&gt;0,"lim.","OK")</f>
        <v>lim.</v>
      </c>
      <c r="BG129" s="4" t="str">
        <f>IF(HC[[#This Row],[Prof. (m)]]&lt;4,"lim.","OK")</f>
        <v>OK</v>
      </c>
      <c r="BH129" s="4" t="str">
        <f>IF(HC[[#This Row],[Prof. (m)]]&gt;=8*HC[[#This Row],[Ø (cm)]]/100,"OK","lim.")</f>
        <v>OK</v>
      </c>
      <c r="BI129" s="4" t="str">
        <f ca="1">IF(HC[[#This Row],[Verif. Biela]]="OK","OK","lim.")</f>
        <v>OK</v>
      </c>
      <c r="BJ129" s="4" t="str">
        <f ca="1">IF(COUNTA(HC[[#This Row],[Nº Est.]:[Biela comp.]])=COUNTIF(HC[[#This Row],[Nº Est.]:[Biela comp.]],"OK"),"OK","lim.")</f>
        <v>lim.</v>
      </c>
      <c r="BK129" s="4" t="str">
        <f ca="1">IF(HC[[#This Row],[Controle]]="OK",HC[[#This Row],[nE]]&amp;" Ø"&amp;HC[[#This Row],[Ø (cm)]]&amp;"cm Prof. "&amp;HC[[#This Row],[Prof. (m)]]&amp;" m","")</f>
        <v/>
      </c>
      <c r="BL129" s="4" t="str">
        <f ca="1">IF(HC[[#This Row],[idDimensionamento]]="","",HC[[#This Row],[idPilar]]&amp;HC[[#This Row],[idDimensionamento]])</f>
        <v/>
      </c>
    </row>
    <row r="130" spans="2:64" x14ac:dyDescent="0.25">
      <c r="B130" s="12">
        <f>ROUNDUP((ROW(HC[[#This Row],[idDiâmetro]])-ROW(HC[[#Headers],[idDiâmetro]]))/(COUNT(SPT[Prof. (m)])*COUNT(PILARES[Pilar])),0)</f>
        <v>5</v>
      </c>
      <c r="C130" s="12">
        <f>IF(HC[[#This Row],[idDiâmetro]]&lt;&gt;B129,1,IF(HC[[#This Row],[Prof. (m)]]=0,C129+1,C129))</f>
        <v>1</v>
      </c>
      <c r="D130" s="1">
        <f>IFERROR(IF(D129=MAX(SPT[Prof. (m)]),0,D129+1),0)</f>
        <v>13</v>
      </c>
      <c r="E130" s="1">
        <f>INDEX(SPT[],MATCH(HC[[#This Row],[Prof. (m)]],SPT[Prof. (m)],0),2)</f>
        <v>68</v>
      </c>
      <c r="F130" s="1" t="str">
        <f>INDEX(SPT[],MATCH(HC[[#This Row],[Prof. (m)]],SPT[Prof. (m)],0),3)</f>
        <v>Areia siltosa</v>
      </c>
      <c r="G130" s="1">
        <f>INDEX(estacas[],HC[[#This Row],[idDiâmetro]],MATCH($B$2,estacas[#Headers],0))</f>
        <v>42.5</v>
      </c>
      <c r="H130" s="1">
        <f>INDEX(estacas[],MATCH(HC[[#This Row],[Ø (cm)]],estacas[Ø HC (cm)],0),MATCH(HC[[#Headers],[Pe HC (kN)]],estacas[#Headers],0))</f>
        <v>900</v>
      </c>
      <c r="I130" s="4">
        <f>INDEX(K_alpha_C[],MATCH(HC[[#This Row],[Solo]],K_alpha_C[Solo],0),2)</f>
        <v>0.8</v>
      </c>
      <c r="J130" s="5">
        <f>INDEX(K_alpha_C[],MATCH(HC[[#This Row],[Solo]],K_alpha_C[Solo],0),3)</f>
        <v>2</v>
      </c>
      <c r="K130" s="4">
        <f>INDEX(F1_F2[],MATCH($D$2,F1_F2[Tipo de estaca],0),2)</f>
        <v>2</v>
      </c>
      <c r="L130" s="4">
        <f>INDEX(F1_F2[],MATCH($D$2,F1_F2[Tipo de estaca],0),3)</f>
        <v>4</v>
      </c>
      <c r="M130" s="4">
        <f>PI()*(HC[[#This Row],[Ø (cm)]]/100)^2/4</f>
        <v>0.14186254326366407</v>
      </c>
      <c r="N130" s="4">
        <f>PI()*HC[[#This Row],[Ø (cm)]]/100</f>
        <v>1.3351768777756621</v>
      </c>
      <c r="O130" s="4">
        <f>IF(HC[[#This Row],[Prof. (m)]]=0,0,HC[[#This Row],[α (%)]]/100*HC[[#This Row],[K (MPa)]]*1000*HC[[#This Row],[NSPT]])</f>
        <v>1088</v>
      </c>
      <c r="P130" s="4">
        <f>IF(HC[[#This Row],[Prof. (m)]]=0,0,(HC[[#This Row],[K (MPa)]]*1000*HC[[#This Row],[NSPT]]/HC[[#This Row],[F1]]*HC[[#This Row],[Ap (m²)]]+HC[[#This Row],[U (m)]]/HC[[#This Row],[F2]]*SUMIFS(HC[(α∙K∙NL∙ΔL)],HC[Prof. (m)],"&lt;="&amp;HC[[#This Row],[Prof. (m)]],HC[idDiâmetro],HC[[#This Row],[idDiâmetro]],HC[idPilar],HC[[#This Row],[idPilar]]))/'DADOS CAP. CARGA'!$D$2)</f>
        <v>2681.0184808625568</v>
      </c>
      <c r="Q130" s="12">
        <f>INDEX(C_alpha_beta[],MATCH(HC[[#This Row],[Solo]],C_alpha_beta[Solo],0),MATCH(HC[[#Headers],[C (kPa)]],C_alpha_beta[#Headers],0))</f>
        <v>400</v>
      </c>
      <c r="R130" s="4">
        <f>INDEX(C_alpha_beta[],MATCH(HC[[#This Row],[Solo]],C_alpha_beta[Solo],0),MATCH(HC[[#Headers],[α ESF]],C_alpha_beta[#Headers],0))</f>
        <v>0.5</v>
      </c>
      <c r="S130" s="4">
        <f>INDEX(C_alpha_beta[],MATCH(HC[[#This Row],[Solo]],C_alpha_beta[Solo],0),MATCH(HC[[#Headers],[β ESF]],C_alpha_beta[#Headers],0))</f>
        <v>0.5</v>
      </c>
      <c r="T130" s="4">
        <f>IF(HC[[#This Row],[Prof. (m)]]=0,0,10*(HC[[#This Row],[NSPT]]/3+1))</f>
        <v>236.66666666666669</v>
      </c>
      <c r="U130" s="4">
        <f>(HC[[#This Row],[α ESF]]*HC[[#This Row],[C (kPa)]]*HC[[#This Row],[NSPT]]*HC[[#This Row],[Ap (m²)]])/'DADOS CAP. CARGA'!$Q$2+(HC[[#This Row],[β ESF]]*SUMIFS(HC[10∙(NL/3+1)],HC[Prof. (m)],"&lt;="&amp;HC[[#This Row],[Prof. (m)]],HC[idDiâmetro],HC[[#This Row],[idDiâmetro]],HC[idPilar],HC[[#This Row],[idPilar]])*HC[[#This Row],[U (m)]])/'DADOS CAP. CARGA'!$S$2</f>
        <v>849.50628848476492</v>
      </c>
      <c r="V130" s="4">
        <f>IF(SPT!$M$5=1,MIN(HC[[#This Row],[Pe HC (kN)]],HC[[#This Row],[R_AV (kN)]]),IF(SPT!$M$5=2,MIN(HC[[#This Row],[Pe HC (kN)]],HC[[#This Row],[R_DC (kN)]]),MIN(HC[[#This Row],[Pe HC (kN)]],HC[[#This Row],[R_AV (kN)]],HC[[#This Row],[R_DC (kN)]])))</f>
        <v>849.50628848476492</v>
      </c>
      <c r="W130" s="4">
        <f>INDEX(PILARES[],HC[[#This Row],[idPilar]],MATCH("Carga (kN)",PILARES[#Headers],0))*1.4</f>
        <v>3500</v>
      </c>
      <c r="X130" s="12">
        <f>INDEX(PILARES[],HC[[#This Row],[idPilar]],MATCH(HC[[#Headers],[ap (cm)]],PILARES[#Headers],0))</f>
        <v>60</v>
      </c>
      <c r="Y130" s="12">
        <f>INDEX(PILARES[],HC[[#This Row],[idPilar]],MATCH(HC[[#Headers],[bp (cm)]],PILARES[#Headers],0))</f>
        <v>60</v>
      </c>
      <c r="Z130" s="4">
        <f>SQRT(HC[[#This Row],[ap (cm)]]*HC[[#This Row],[bp (cm)]])</f>
        <v>60</v>
      </c>
      <c r="AA130" s="12">
        <f>HC[[#This Row],[ap (cm)]]*HC[[#This Row],[bp (cm)]]</f>
        <v>3600</v>
      </c>
      <c r="AB130" s="12">
        <f ca="1">IF(HC[[#This Row],[Padm∙ε (kN)]]&gt;=HC[[#This Row],[Padm (kN)]],ROUNDUP(1.05*HC[[#This Row],[Nsd (kN)]]/HC[[#This Row],[Padm (kN)]],0),ROUNDUP(1.05*HC[[#This Row],[Nsd (kN)]]/HC[[#This Row],[Padm (kN)]],0)+1)</f>
        <v>5</v>
      </c>
      <c r="AC130" s="4" t="str">
        <f ca="1">IFERROR(IF(HC[[#This Row],[nE]]=1,HC[[#This Row],[Padm (kN)]],HC[[#This Row],[Padm (kN)]]*HC[[#This Row],[nE]]*INDEX(grupoEstacas[],HC[[#This Row],[nE]],MATCH("ε",grupoEstacas[#Headers],0))),"N.S.")</f>
        <v>N.S.</v>
      </c>
      <c r="AD130" s="4">
        <f ca="1">1.05*HC[[#This Row],[Nsd (kN)]]/(HC[[#This Row],[nE]]*PI()*HC[[#This Row],[Ø (cm)]]^2/4)*10</f>
        <v>5.1810716422441221</v>
      </c>
      <c r="AE130" s="4">
        <f ca="1">IF(HC[[#This Row],[σ (MPa)]]&lt;INDEX(tipoEstaca[],MATCH($D$2,tipoEstaca[TIPO DE ESTACA],0),MATCH("σmáx (MPa)",tipoEstaca[#Headers],0)),0.4%*PI()*HC[[#This Row],[Ø (cm)]]^2/4,"N.S.")</f>
        <v>5.6745017305465639</v>
      </c>
      <c r="AF130" s="1">
        <f>INDEX(tipoEstaca[],MATCH($D$2,tipoEstaca[TIPO DE ESTACA],0),MATCH(HC[[#Headers],[Comprimento (m)]],tipoEstaca[#Headers],0))</f>
        <v>4</v>
      </c>
      <c r="AG130" s="5">
        <f ca="1">HC[[#This Row],[As,mín (cm²)]]/100^2*HC[[#This Row],[Comprimento (m)]]*7850</f>
        <v>17.817935433916212</v>
      </c>
      <c r="AH130" s="4">
        <f ca="1">HC[[#This Row],[nE]]*HC[[#This Row],[Prof. (m)]]*HC[[#This Row],[Ap (m²)]]</f>
        <v>9.2210653121381654</v>
      </c>
      <c r="AI130" s="1">
        <f ca="1">IF(HC[[#This Row],[nE]]=1,0,MAX(3*HC[[#This Row],[Ø (cm)]],60))</f>
        <v>127.5</v>
      </c>
      <c r="AJ130" s="1">
        <f ca="1">IF(HC[[#This Row],[nE]]=1,HC[[#This Row],[Ø (cm)]]+2*10,MAX(1.5*HC[[#This Row],[Ø (cm)]],HC[[#This Row],[Ø (cm)]]+15))</f>
        <v>63.75</v>
      </c>
      <c r="AK130" s="1" t="str">
        <f ca="1">alturaUtil(HC[[#This Row],[nE]],HC[[#This Row],[Ø (cm)]],HC[[#This Row],[e (cm)]],HC[[#This Row],[ap,eq (cm)]])</f>
        <v>N.S.</v>
      </c>
      <c r="AL130" s="1" t="str">
        <f ca="1">IFERROR(HC[[#This Row],[d (cm)]]+arredondarParaCimaMultiplo5cm(MAX(5,SQRT(PI())/2*HC[[#This Row],[Ø (cm)]]/5)),"N.S.")</f>
        <v>N.S.</v>
      </c>
      <c r="AM130" s="5" t="str">
        <f ca="1">alpha(HC[[#This Row],[nE]],HC[[#This Row],[d (cm)]],HC[[#This Row],[e (cm)]],HC[[#This Row],[ap,eq (cm)]])</f>
        <v>N.S.</v>
      </c>
      <c r="AN130" s="35" t="str">
        <f ca="1">IFERROR(HC[[#This Row],[Nsd (kN)]]/(HC[[#This Row],[Ap (cm²)]]*SIN(HC[[#This Row],[α]])^2),"N.S.")</f>
        <v>N.S.</v>
      </c>
      <c r="AO130" s="35" t="str">
        <f ca="1">IFERROR(HC[[#This Row],[Nsd (kN)]]/(HC[[#This Row],[nE]]*PI()*HC[[#This Row],[Ø (cm)]]^2/4*SIN(HC[[#This Row],[α]])^2),"N.S.")</f>
        <v>N.S.</v>
      </c>
      <c r="AP130" s="4" t="str">
        <f ca="1">IFERROR(INDEX(grupoEstacas[],HC[[#This Row],[nE]],MATCH("coef. Blévot",grupoEstacas[#Headers],0)),"N.S.")</f>
        <v>N.S.</v>
      </c>
      <c r="AQ130" s="35" t="str">
        <f ca="1">IFERROR(HC[[#This Row],[coef. Blévot]]*0.9*INDEX(tipoEstaca[],MATCH($D$2,tipoEstaca[TIPO DE ESTACA],0),MATCH("fcd (kN/cm²)",tipoEstaca[#Headers],0)),"N.S.")</f>
        <v>N.S.</v>
      </c>
      <c r="AR130" s="1" t="str">
        <f ca="1">IF(AND(HC[[#This Row],[cd,b,pil (kN/cm²)]]&lt;=HC[[#This Row],[cd,b,lim (kN/cm²)]],HC[[#This Row],[cd,b,est (kN/cm²)]]&lt;=HC[[#This Row],[cd,b,lim (kN/cm²)]]),"OK","ERRO")</f>
        <v>OK</v>
      </c>
      <c r="AS130" s="4" t="str">
        <f ca="1">As_lado(HC[[#This Row],[nE]],HC[[#This Row],[Nsd (kN)]],HC[[#This Row],[d (cm)]],HC[[#This Row],[e (cm)]],HC[[#This Row],[ap,eq (cm)]])</f>
        <v>N.S.</v>
      </c>
      <c r="AT130" s="4" t="str">
        <f ca="1">IF(HC[[#This Row],[nE]]=1,HC[[#This Row],[As,lado (cm²)]],IF(HC[[#This Row],[nE]]=2,0.075*2*HC[a (cm)],"N.A."))</f>
        <v>N.A.</v>
      </c>
      <c r="AU130" s="4" t="str">
        <f ca="1">IFERROR(IF(HC[[#This Row],[nE]]=1,"N.A.",0.2*HC[[#This Row],[As,lado (cm²)]]),"N.S.")</f>
        <v>N.S.</v>
      </c>
      <c r="AV130" s="4" t="str">
        <f ca="1">As_malha(HC[[#This Row],[nE]],HC[[#This Row],[As,lado (cm²)]],HC[[#This Row],[Nsd (kN)]])</f>
        <v>N.S.</v>
      </c>
      <c r="AW130" s="4" t="str">
        <f ca="1">As_susp_tot(HC[[#This Row],[nE]],HC[[#This Row],[Nsd (kN)]])</f>
        <v>N.S.</v>
      </c>
      <c r="AX130" s="4" t="str">
        <f ca="1">Asp_face(HC[[#This Row],[nE]],HC[[#This Row],[As,lado (cm²)]])</f>
        <v>N.S.</v>
      </c>
      <c r="AY130" s="5" t="str">
        <f ca="1">acoBloco(HC[[#This Row],[nE]],HC[[#This Row],[e (cm)]],HC[[#This Row],[a (cm)]],HC[[#This Row],[h (cm)]],HC[[#This Row],[As,lado (cm²)]],HC[[#This Row],[Asp e Asw (cm²/m)]],HC[[#This Row],[As,sup (cm²)]],HC[[#This Row],[As,malha (cm²)]],HC[[#This Row],[As,susp,tot (cm²)]],HC[[#This Row],[Asp,face (cm²)]])</f>
        <v>N.S.</v>
      </c>
      <c r="AZ130" s="4" t="str">
        <f ca="1">concretoBloco(HC[[#This Row],[nE]],HC[[#This Row],[e (cm)]],HC[[#This Row],[a (cm)]],HC[[#This Row],[h (cm)]])</f>
        <v>N.S.</v>
      </c>
      <c r="BA130" s="5">
        <f ca="1">SUM(HC[[#This Row],[Aço Est (kg)]],HC[[#This Row],[Aço Bloco (kg)]])</f>
        <v>17.817935433916212</v>
      </c>
      <c r="BB130" s="4">
        <f>INDEX(composicoes[],MATCH(95580,composicoes[CÓDIGO],0),MATCH("CUSTO TOTAL",composicoes[#Headers],0))</f>
        <v>10.46</v>
      </c>
      <c r="BC130" s="4">
        <f ca="1">SUM(HC[[#This Row],[Conc Est (m³)]],HC[[#This Row],[Conc Bloco (m³)]])</f>
        <v>9.2210653121381654</v>
      </c>
      <c r="BD130" s="4">
        <f>INDEX(composicoes[],MATCH(94966,composicoes[CÓDIGO],0),MATCH("CUSTO TOTAL",composicoes[#Headers],0))</f>
        <v>439.52</v>
      </c>
      <c r="BE130" s="38">
        <f ca="1">HC[[#This Row],[Aço (kg)]]*HC[[#This Row],[Aço (R$/kg)]]+HC[[#This Row],[Conc (m³)]]*HC[[#This Row],[Conc (R$/m³)]]</f>
        <v>4239.21823062973</v>
      </c>
      <c r="BF130" s="4" t="str">
        <f ca="1">IF(COUNTIF(HC[#This Row],"N.S.")&gt;0,"lim.","OK")</f>
        <v>lim.</v>
      </c>
      <c r="BG130" s="4" t="str">
        <f>IF(HC[[#This Row],[Prof. (m)]]&lt;4,"lim.","OK")</f>
        <v>OK</v>
      </c>
      <c r="BH130" s="4" t="str">
        <f>IF(HC[[#This Row],[Prof. (m)]]&gt;=8*HC[[#This Row],[Ø (cm)]]/100,"OK","lim.")</f>
        <v>OK</v>
      </c>
      <c r="BI130" s="4" t="str">
        <f ca="1">IF(HC[[#This Row],[Verif. Biela]]="OK","OK","lim.")</f>
        <v>OK</v>
      </c>
      <c r="BJ130" s="4" t="str">
        <f ca="1">IF(COUNTA(HC[[#This Row],[Nº Est.]:[Biela comp.]])=COUNTIF(HC[[#This Row],[Nº Est.]:[Biela comp.]],"OK"),"OK","lim.")</f>
        <v>lim.</v>
      </c>
      <c r="BK130" s="4" t="str">
        <f ca="1">IF(HC[[#This Row],[Controle]]="OK",HC[[#This Row],[nE]]&amp;" Ø"&amp;HC[[#This Row],[Ø (cm)]]&amp;"cm Prof. "&amp;HC[[#This Row],[Prof. (m)]]&amp;" m","")</f>
        <v/>
      </c>
      <c r="BL130" s="4" t="str">
        <f ca="1">IF(HC[[#This Row],[idDimensionamento]]="","",HC[[#This Row],[idPilar]]&amp;HC[[#This Row],[idDimensionamento]])</f>
        <v/>
      </c>
    </row>
    <row r="131" spans="2:64" x14ac:dyDescent="0.25">
      <c r="B131" s="12">
        <f>ROUNDUP((ROW(HC[[#This Row],[idDiâmetro]])-ROW(HC[[#Headers],[idDiâmetro]]))/(COUNT(SPT[Prof. (m)])*COUNT(PILARES[Pilar])),0)</f>
        <v>5</v>
      </c>
      <c r="C131" s="12">
        <f>IF(HC[[#This Row],[idDiâmetro]]&lt;&gt;B130,1,IF(HC[[#This Row],[Prof. (m)]]=0,C130+1,C130))</f>
        <v>2</v>
      </c>
      <c r="D131" s="1">
        <f>IFERROR(IF(D130=MAX(SPT[Prof. (m)]),0,D130+1),0)</f>
        <v>0</v>
      </c>
      <c r="E131" s="1">
        <f>INDEX(SPT[],MATCH(HC[[#This Row],[Prof. (m)]],SPT[Prof. (m)],0),2)</f>
        <v>0</v>
      </c>
      <c r="F131" s="1" t="str">
        <f>INDEX(SPT[],MATCH(HC[[#This Row],[Prof. (m)]],SPT[Prof. (m)],0),3)</f>
        <v>Areia siltosa</v>
      </c>
      <c r="G131" s="1">
        <f>INDEX(estacas[],HC[[#This Row],[idDiâmetro]],MATCH($B$2,estacas[#Headers],0))</f>
        <v>42.5</v>
      </c>
      <c r="H131" s="1">
        <f>INDEX(estacas[],MATCH(HC[[#This Row],[Ø (cm)]],estacas[Ø HC (cm)],0),MATCH(HC[[#Headers],[Pe HC (kN)]],estacas[#Headers],0))</f>
        <v>900</v>
      </c>
      <c r="I131" s="4">
        <f>INDEX(K_alpha_C[],MATCH(HC[[#This Row],[Solo]],K_alpha_C[Solo],0),2)</f>
        <v>0.8</v>
      </c>
      <c r="J131" s="5">
        <f>INDEX(K_alpha_C[],MATCH(HC[[#This Row],[Solo]],K_alpha_C[Solo],0),3)</f>
        <v>2</v>
      </c>
      <c r="K131" s="4">
        <f>INDEX(F1_F2[],MATCH($D$2,F1_F2[Tipo de estaca],0),2)</f>
        <v>2</v>
      </c>
      <c r="L131" s="4">
        <f>INDEX(F1_F2[],MATCH($D$2,F1_F2[Tipo de estaca],0),3)</f>
        <v>4</v>
      </c>
      <c r="M131" s="4">
        <f>PI()*(HC[[#This Row],[Ø (cm)]]/100)^2/4</f>
        <v>0.14186254326366407</v>
      </c>
      <c r="N131" s="4">
        <f>PI()*HC[[#This Row],[Ø (cm)]]/100</f>
        <v>1.3351768777756621</v>
      </c>
      <c r="O131" s="4">
        <f>IF(HC[[#This Row],[Prof. (m)]]=0,0,HC[[#This Row],[α (%)]]/100*HC[[#This Row],[K (MPa)]]*1000*HC[[#This Row],[NSPT]])</f>
        <v>0</v>
      </c>
      <c r="P131" s="4">
        <f>IF(HC[[#This Row],[Prof. (m)]]=0,0,(HC[[#This Row],[K (MPa)]]*1000*HC[[#This Row],[NSPT]]/HC[[#This Row],[F1]]*HC[[#This Row],[Ap (m²)]]+HC[[#This Row],[U (m)]]/HC[[#This Row],[F2]]*SUMIFS(HC[(α∙K∙NL∙ΔL)],HC[Prof. (m)],"&lt;="&amp;HC[[#This Row],[Prof. (m)]],HC[idDiâmetro],HC[[#This Row],[idDiâmetro]],HC[idPilar],HC[[#This Row],[idPilar]]))/'DADOS CAP. CARGA'!$D$2)</f>
        <v>0</v>
      </c>
      <c r="Q131" s="12">
        <f>INDEX(C_alpha_beta[],MATCH(HC[[#This Row],[Solo]],C_alpha_beta[Solo],0),MATCH(HC[[#Headers],[C (kPa)]],C_alpha_beta[#Headers],0))</f>
        <v>400</v>
      </c>
      <c r="R131" s="4">
        <f>INDEX(C_alpha_beta[],MATCH(HC[[#This Row],[Solo]],C_alpha_beta[Solo],0),MATCH(HC[[#Headers],[α ESF]],C_alpha_beta[#Headers],0))</f>
        <v>0.5</v>
      </c>
      <c r="S131" s="4">
        <f>INDEX(C_alpha_beta[],MATCH(HC[[#This Row],[Solo]],C_alpha_beta[Solo],0),MATCH(HC[[#Headers],[β ESF]],C_alpha_beta[#Headers],0))</f>
        <v>0.5</v>
      </c>
      <c r="T131" s="4">
        <f>IF(HC[[#This Row],[Prof. (m)]]=0,0,10*(HC[[#This Row],[NSPT]]/3+1))</f>
        <v>0</v>
      </c>
      <c r="U131" s="4">
        <f>(HC[[#This Row],[α ESF]]*HC[[#This Row],[C (kPa)]]*HC[[#This Row],[NSPT]]*HC[[#This Row],[Ap (m²)]])/'DADOS CAP. CARGA'!$Q$2+(HC[[#This Row],[β ESF]]*SUMIFS(HC[10∙(NL/3+1)],HC[Prof. (m)],"&lt;="&amp;HC[[#This Row],[Prof. (m)]],HC[idDiâmetro],HC[[#This Row],[idDiâmetro]],HC[idPilar],HC[[#This Row],[idPilar]])*HC[[#This Row],[U (m)]])/'DADOS CAP. CARGA'!$S$2</f>
        <v>0</v>
      </c>
      <c r="V131" s="4">
        <f>IF(SPT!$M$5=1,MIN(HC[[#This Row],[Pe HC (kN)]],HC[[#This Row],[R_AV (kN)]]),IF(SPT!$M$5=2,MIN(HC[[#This Row],[Pe HC (kN)]],HC[[#This Row],[R_DC (kN)]]),MIN(HC[[#This Row],[Pe HC (kN)]],HC[[#This Row],[R_AV (kN)]],HC[[#This Row],[R_DC (kN)]])))</f>
        <v>0</v>
      </c>
      <c r="W131" s="4">
        <f>INDEX(PILARES[],HC[[#This Row],[idPilar]],MATCH("Carga (kN)",PILARES[#Headers],0))*1.4</f>
        <v>1750</v>
      </c>
      <c r="X131" s="12">
        <f>INDEX(PILARES[],HC[[#This Row],[idPilar]],MATCH(HC[[#Headers],[ap (cm)]],PILARES[#Headers],0))</f>
        <v>50</v>
      </c>
      <c r="Y131" s="12">
        <f>INDEX(PILARES[],HC[[#This Row],[idPilar]],MATCH(HC[[#Headers],[bp (cm)]],PILARES[#Headers],0))</f>
        <v>40</v>
      </c>
      <c r="Z131" s="4">
        <f>SQRT(HC[[#This Row],[ap (cm)]]*HC[[#This Row],[bp (cm)]])</f>
        <v>44.721359549995796</v>
      </c>
      <c r="AA131" s="12">
        <f>HC[[#This Row],[ap (cm)]]*HC[[#This Row],[bp (cm)]]</f>
        <v>2000</v>
      </c>
      <c r="AB131" s="12" t="e">
        <f ca="1">IF(HC[[#This Row],[Padm∙ε (kN)]]&gt;=HC[[#This Row],[Padm (kN)]],ROUNDUP(1.05*HC[[#This Row],[Nsd (kN)]]/HC[[#This Row],[Padm (kN)]],0),ROUNDUP(1.05*HC[[#This Row],[Nsd (kN)]]/HC[[#This Row],[Padm (kN)]],0)+1)</f>
        <v>#DIV/0!</v>
      </c>
      <c r="AC131" s="4" t="str">
        <f ca="1">IFERROR(IF(HC[[#This Row],[nE]]=1,HC[[#This Row],[Padm (kN)]],HC[[#This Row],[Padm (kN)]]*HC[[#This Row],[nE]]*INDEX(grupoEstacas[],HC[[#This Row],[nE]],MATCH("ε",grupoEstacas[#Headers],0))),"N.S.")</f>
        <v>N.S.</v>
      </c>
      <c r="AD131" s="4" t="e">
        <f ca="1">1.05*HC[[#This Row],[Nsd (kN)]]/(HC[[#This Row],[nE]]*PI()*HC[[#This Row],[Ø (cm)]]^2/4)*10</f>
        <v>#DIV/0!</v>
      </c>
      <c r="AE131" s="4" t="e">
        <f ca="1">IF(HC[[#This Row],[σ (MPa)]]&lt;INDEX(tipoEstaca[],MATCH($D$2,tipoEstaca[TIPO DE ESTACA],0),MATCH("σmáx (MPa)",tipoEstaca[#Headers],0)),0.4%*PI()*HC[[#This Row],[Ø (cm)]]^2/4,"N.S.")</f>
        <v>#DIV/0!</v>
      </c>
      <c r="AF131" s="1">
        <f>INDEX(tipoEstaca[],MATCH($D$2,tipoEstaca[TIPO DE ESTACA],0),MATCH(HC[[#Headers],[Comprimento (m)]],tipoEstaca[#Headers],0))</f>
        <v>4</v>
      </c>
      <c r="AG131" s="5" t="e">
        <f ca="1">HC[[#This Row],[As,mín (cm²)]]/100^2*HC[[#This Row],[Comprimento (m)]]*7850</f>
        <v>#DIV/0!</v>
      </c>
      <c r="AH131" s="4" t="e">
        <f ca="1">HC[[#This Row],[nE]]*HC[[#This Row],[Prof. (m)]]*HC[[#This Row],[Ap (m²)]]</f>
        <v>#DIV/0!</v>
      </c>
      <c r="AI131" s="1" t="e">
        <f ca="1">IF(HC[[#This Row],[nE]]=1,0,MAX(3*HC[[#This Row],[Ø (cm)]],60))</f>
        <v>#DIV/0!</v>
      </c>
      <c r="AJ131" s="1" t="e">
        <f ca="1">IF(HC[[#This Row],[nE]]=1,HC[[#This Row],[Ø (cm)]]+2*10,MAX(1.5*HC[[#This Row],[Ø (cm)]],HC[[#This Row],[Ø (cm)]]+15))</f>
        <v>#DIV/0!</v>
      </c>
      <c r="AK131" s="1" t="e">
        <f ca="1">alturaUtil(HC[[#This Row],[nE]],HC[[#This Row],[Ø (cm)]],HC[[#This Row],[e (cm)]],HC[[#This Row],[ap,eq (cm)]])</f>
        <v>#VALUE!</v>
      </c>
      <c r="AL131" s="1" t="str">
        <f ca="1">IFERROR(HC[[#This Row],[d (cm)]]+arredondarParaCimaMultiplo5cm(MAX(5,SQRT(PI())/2*HC[[#This Row],[Ø (cm)]]/5)),"N.S.")</f>
        <v>N.S.</v>
      </c>
      <c r="AM131" s="5" t="e">
        <f ca="1">alpha(HC[[#This Row],[nE]],HC[[#This Row],[d (cm)]],HC[[#This Row],[e (cm)]],HC[[#This Row],[ap,eq (cm)]])</f>
        <v>#VALUE!</v>
      </c>
      <c r="AN131" s="35" t="str">
        <f ca="1">IFERROR(HC[[#This Row],[Nsd (kN)]]/(HC[[#This Row],[Ap (cm²)]]*SIN(HC[[#This Row],[α]])^2),"N.S.")</f>
        <v>N.S.</v>
      </c>
      <c r="AO131" s="35" t="str">
        <f ca="1">IFERROR(HC[[#This Row],[Nsd (kN)]]/(HC[[#This Row],[nE]]*PI()*HC[[#This Row],[Ø (cm)]]^2/4*SIN(HC[[#This Row],[α]])^2),"N.S.")</f>
        <v>N.S.</v>
      </c>
      <c r="AP131" s="4" t="str">
        <f ca="1">IFERROR(INDEX(grupoEstacas[],HC[[#This Row],[nE]],MATCH("coef. Blévot",grupoEstacas[#Headers],0)),"N.S.")</f>
        <v>N.S.</v>
      </c>
      <c r="AQ131" s="35" t="str">
        <f ca="1">IFERROR(HC[[#This Row],[coef. Blévot]]*0.9*INDEX(tipoEstaca[],MATCH($D$2,tipoEstaca[TIPO DE ESTACA],0),MATCH("fcd (kN/cm²)",tipoEstaca[#Headers],0)),"N.S.")</f>
        <v>N.S.</v>
      </c>
      <c r="AR131" s="1" t="str">
        <f ca="1">IF(AND(HC[[#This Row],[cd,b,pil (kN/cm²)]]&lt;=HC[[#This Row],[cd,b,lim (kN/cm²)]],HC[[#This Row],[cd,b,est (kN/cm²)]]&lt;=HC[[#This Row],[cd,b,lim (kN/cm²)]]),"OK","ERRO")</f>
        <v>OK</v>
      </c>
      <c r="AS131" s="4" t="e">
        <f ca="1">As_lado(HC[[#This Row],[nE]],HC[[#This Row],[Nsd (kN)]],HC[[#This Row],[d (cm)]],HC[[#This Row],[e (cm)]],HC[[#This Row],[ap,eq (cm)]])</f>
        <v>#VALUE!</v>
      </c>
      <c r="AT131" s="4" t="e">
        <f ca="1">IF(HC[[#This Row],[nE]]=1,HC[[#This Row],[As,lado (cm²)]],IF(HC[[#This Row],[nE]]=2,0.075*2*HC[a (cm)],"N.A."))</f>
        <v>#DIV/0!</v>
      </c>
      <c r="AU131" s="4" t="str">
        <f ca="1">IFERROR(IF(HC[[#This Row],[nE]]=1,"N.A.",0.2*HC[[#This Row],[As,lado (cm²)]]),"N.S.")</f>
        <v>N.S.</v>
      </c>
      <c r="AV131" s="4" t="e">
        <f ca="1">As_malha(HC[[#This Row],[nE]],HC[[#This Row],[As,lado (cm²)]],HC[[#This Row],[Nsd (kN)]])</f>
        <v>#VALUE!</v>
      </c>
      <c r="AW131" s="4" t="e">
        <f ca="1">As_susp_tot(HC[[#This Row],[nE]],HC[[#This Row],[Nsd (kN)]])</f>
        <v>#VALUE!</v>
      </c>
      <c r="AX131" s="4" t="e">
        <f ca="1">Asp_face(HC[[#This Row],[nE]],HC[[#This Row],[As,lado (cm²)]])</f>
        <v>#VALUE!</v>
      </c>
      <c r="AY131" s="5" t="e">
        <f ca="1">acoBloco(HC[[#This Row],[nE]],HC[[#This Row],[e (cm)]],HC[[#This Row],[a (cm)]],HC[[#This Row],[h (cm)]],HC[[#This Row],[As,lado (cm²)]],HC[[#This Row],[Asp e Asw (cm²/m)]],HC[[#This Row],[As,sup (cm²)]],HC[[#This Row],[As,malha (cm²)]],HC[[#This Row],[As,susp,tot (cm²)]],HC[[#This Row],[Asp,face (cm²)]])</f>
        <v>#VALUE!</v>
      </c>
      <c r="AZ131" s="4" t="e">
        <f ca="1">concretoBloco(HC[[#This Row],[nE]],HC[[#This Row],[e (cm)]],HC[[#This Row],[a (cm)]],HC[[#This Row],[h (cm)]])</f>
        <v>#VALUE!</v>
      </c>
      <c r="BA131" s="5" t="e">
        <f ca="1">SUM(HC[[#This Row],[Aço Est (kg)]],HC[[#This Row],[Aço Bloco (kg)]])</f>
        <v>#DIV/0!</v>
      </c>
      <c r="BB131" s="4">
        <f>INDEX(composicoes[],MATCH(95580,composicoes[CÓDIGO],0),MATCH("CUSTO TOTAL",composicoes[#Headers],0))</f>
        <v>10.46</v>
      </c>
      <c r="BC131" s="4" t="e">
        <f ca="1">SUM(HC[[#This Row],[Conc Est (m³)]],HC[[#This Row],[Conc Bloco (m³)]])</f>
        <v>#DIV/0!</v>
      </c>
      <c r="BD131" s="4">
        <f>INDEX(composicoes[],MATCH(94966,composicoes[CÓDIGO],0),MATCH("CUSTO TOTAL",composicoes[#Headers],0))</f>
        <v>439.52</v>
      </c>
      <c r="BE131" s="38" t="e">
        <f ca="1">HC[[#This Row],[Aço (kg)]]*HC[[#This Row],[Aço (R$/kg)]]+HC[[#This Row],[Conc (m³)]]*HC[[#This Row],[Conc (R$/m³)]]</f>
        <v>#DIV/0!</v>
      </c>
      <c r="BF131" s="4" t="str">
        <f ca="1">IF(COUNTIF(HC[#This Row],"N.S.")&gt;0,"lim.","OK")</f>
        <v>lim.</v>
      </c>
      <c r="BG131" s="4" t="str">
        <f>IF(HC[[#This Row],[Prof. (m)]]&lt;4,"lim.","OK")</f>
        <v>lim.</v>
      </c>
      <c r="BH131" s="4" t="str">
        <f>IF(HC[[#This Row],[Prof. (m)]]&gt;=8*HC[[#This Row],[Ø (cm)]]/100,"OK","lim.")</f>
        <v>lim.</v>
      </c>
      <c r="BI131" s="4" t="str">
        <f ca="1">IF(HC[[#This Row],[Verif. Biela]]="OK","OK","lim.")</f>
        <v>OK</v>
      </c>
      <c r="BJ131" s="4" t="str">
        <f ca="1">IF(COUNTA(HC[[#This Row],[Nº Est.]:[Biela comp.]])=COUNTIF(HC[[#This Row],[Nº Est.]:[Biela comp.]],"OK"),"OK","lim.")</f>
        <v>lim.</v>
      </c>
      <c r="BK131" s="4" t="str">
        <f ca="1">IF(HC[[#This Row],[Controle]]="OK",HC[[#This Row],[nE]]&amp;" Ø"&amp;HC[[#This Row],[Ø (cm)]]&amp;"cm Prof. "&amp;HC[[#This Row],[Prof. (m)]]&amp;" m","")</f>
        <v/>
      </c>
      <c r="BL131" s="4" t="str">
        <f ca="1">IF(HC[[#This Row],[idDimensionamento]]="","",HC[[#This Row],[idPilar]]&amp;HC[[#This Row],[idDimensionamento]])</f>
        <v/>
      </c>
    </row>
    <row r="132" spans="2:64" x14ac:dyDescent="0.25">
      <c r="B132" s="12">
        <f>ROUNDUP((ROW(HC[[#This Row],[idDiâmetro]])-ROW(HC[[#Headers],[idDiâmetro]]))/(COUNT(SPT[Prof. (m)])*COUNT(PILARES[Pilar])),0)</f>
        <v>5</v>
      </c>
      <c r="C132" s="12">
        <f>IF(HC[[#This Row],[idDiâmetro]]&lt;&gt;B131,1,IF(HC[[#This Row],[Prof. (m)]]=0,C131+1,C131))</f>
        <v>2</v>
      </c>
      <c r="D132" s="1">
        <f>IFERROR(IF(D131=MAX(SPT[Prof. (m)]),0,D131+1),0)</f>
        <v>1</v>
      </c>
      <c r="E132" s="1">
        <f>INDEX(SPT[],MATCH(HC[[#This Row],[Prof. (m)]],SPT[Prof. (m)],0),2)</f>
        <v>2</v>
      </c>
      <c r="F132" s="1" t="str">
        <f>INDEX(SPT[],MATCH(HC[[#This Row],[Prof. (m)]],SPT[Prof. (m)],0),3)</f>
        <v>Areia siltosa</v>
      </c>
      <c r="G132" s="1">
        <f>INDEX(estacas[],HC[[#This Row],[idDiâmetro]],MATCH($B$2,estacas[#Headers],0))</f>
        <v>42.5</v>
      </c>
      <c r="H132" s="1">
        <f>INDEX(estacas[],MATCH(HC[[#This Row],[Ø (cm)]],estacas[Ø HC (cm)],0),MATCH(HC[[#Headers],[Pe HC (kN)]],estacas[#Headers],0))</f>
        <v>900</v>
      </c>
      <c r="I132" s="4">
        <f>INDEX(K_alpha_C[],MATCH(HC[[#This Row],[Solo]],K_alpha_C[Solo],0),2)</f>
        <v>0.8</v>
      </c>
      <c r="J132" s="5">
        <f>INDEX(K_alpha_C[],MATCH(HC[[#This Row],[Solo]],K_alpha_C[Solo],0),3)</f>
        <v>2</v>
      </c>
      <c r="K132" s="4">
        <f>INDEX(F1_F2[],MATCH($D$2,F1_F2[Tipo de estaca],0),2)</f>
        <v>2</v>
      </c>
      <c r="L132" s="4">
        <f>INDEX(F1_F2[],MATCH($D$2,F1_F2[Tipo de estaca],0),3)</f>
        <v>4</v>
      </c>
      <c r="M132" s="4">
        <f>PI()*(HC[[#This Row],[Ø (cm)]]/100)^2/4</f>
        <v>0.14186254326366407</v>
      </c>
      <c r="N132" s="4">
        <f>PI()*HC[[#This Row],[Ø (cm)]]/100</f>
        <v>1.3351768777756621</v>
      </c>
      <c r="O132" s="4">
        <f>IF(HC[[#This Row],[Prof. (m)]]=0,0,HC[[#This Row],[α (%)]]/100*HC[[#This Row],[K (MPa)]]*1000*HC[[#This Row],[NSPT]])</f>
        <v>32</v>
      </c>
      <c r="P132" s="4">
        <f>IF(HC[[#This Row],[Prof. (m)]]=0,0,(HC[[#This Row],[K (MPa)]]*1000*HC[[#This Row],[NSPT]]/HC[[#This Row],[F1]]*HC[[#This Row],[Ap (m²)]]+HC[[#This Row],[U (m)]]/HC[[#This Row],[F2]]*SUMIFS(HC[(α∙K∙NL∙ΔL)],HC[Prof. (m)],"&lt;="&amp;HC[[#This Row],[Prof. (m)]],HC[idDiâmetro],HC[[#This Row],[idDiâmetro]],HC[idPilar],HC[[#This Row],[idPilar]]))/'DADOS CAP. CARGA'!$D$2)</f>
        <v>62.08572481656828</v>
      </c>
      <c r="Q132" s="12">
        <f>INDEX(C_alpha_beta[],MATCH(HC[[#This Row],[Solo]],C_alpha_beta[Solo],0),MATCH(HC[[#Headers],[C (kPa)]],C_alpha_beta[#Headers],0))</f>
        <v>400</v>
      </c>
      <c r="R132" s="4">
        <f>INDEX(C_alpha_beta[],MATCH(HC[[#This Row],[Solo]],C_alpha_beta[Solo],0),MATCH(HC[[#Headers],[α ESF]],C_alpha_beta[#Headers],0))</f>
        <v>0.5</v>
      </c>
      <c r="S132" s="4">
        <f>INDEX(C_alpha_beta[],MATCH(HC[[#This Row],[Solo]],C_alpha_beta[Solo],0),MATCH(HC[[#Headers],[β ESF]],C_alpha_beta[#Headers],0))</f>
        <v>0.5</v>
      </c>
      <c r="T132" s="4">
        <f>IF(HC[[#This Row],[Prof. (m)]]=0,0,10*(HC[[#This Row],[NSPT]]/3+1))</f>
        <v>16.666666666666664</v>
      </c>
      <c r="U132" s="4">
        <f>(HC[[#This Row],[α ESF]]*HC[[#This Row],[C (kPa)]]*HC[[#This Row],[NSPT]]*HC[[#This Row],[Ap (m²)]])/'DADOS CAP. CARGA'!$Q$2+(HC[[#This Row],[β ESF]]*SUMIFS(HC[10∙(NL/3+1)],HC[Prof. (m)],"&lt;="&amp;HC[[#This Row],[Prof. (m)]],HC[idDiâmetro],HC[[#This Row],[idDiâmetro]],HC[idPilar],HC[[#This Row],[idPilar]])*HC[[#This Row],[U (m)]])/'DADOS CAP. CARGA'!$S$2</f>
        <v>19.749491317098332</v>
      </c>
      <c r="V132" s="4">
        <f>IF(SPT!$M$5=1,MIN(HC[[#This Row],[Pe HC (kN)]],HC[[#This Row],[R_AV (kN)]]),IF(SPT!$M$5=2,MIN(HC[[#This Row],[Pe HC (kN)]],HC[[#This Row],[R_DC (kN)]]),MIN(HC[[#This Row],[Pe HC (kN)]],HC[[#This Row],[R_AV (kN)]],HC[[#This Row],[R_DC (kN)]])))</f>
        <v>19.749491317098332</v>
      </c>
      <c r="W132" s="4">
        <f>INDEX(PILARES[],HC[[#This Row],[idPilar]],MATCH("Carga (kN)",PILARES[#Headers],0))*1.4</f>
        <v>1750</v>
      </c>
      <c r="X132" s="12">
        <f>INDEX(PILARES[],HC[[#This Row],[idPilar]],MATCH(HC[[#Headers],[ap (cm)]],PILARES[#Headers],0))</f>
        <v>50</v>
      </c>
      <c r="Y132" s="12">
        <f>INDEX(PILARES[],HC[[#This Row],[idPilar]],MATCH(HC[[#Headers],[bp (cm)]],PILARES[#Headers],0))</f>
        <v>40</v>
      </c>
      <c r="Z132" s="4">
        <f>SQRT(HC[[#This Row],[ap (cm)]]*HC[[#This Row],[bp (cm)]])</f>
        <v>44.721359549995796</v>
      </c>
      <c r="AA132" s="12">
        <f>HC[[#This Row],[ap (cm)]]*HC[[#This Row],[bp (cm)]]</f>
        <v>2000</v>
      </c>
      <c r="AB132" s="12">
        <f ca="1">IF(HC[[#This Row],[Padm∙ε (kN)]]&gt;=HC[[#This Row],[Padm (kN)]],ROUNDUP(1.05*HC[[#This Row],[Nsd (kN)]]/HC[[#This Row],[Padm (kN)]],0),ROUNDUP(1.05*HC[[#This Row],[Nsd (kN)]]/HC[[#This Row],[Padm (kN)]],0)+1)</f>
        <v>94</v>
      </c>
      <c r="AC132" s="4" t="str">
        <f ca="1">IFERROR(IF(HC[[#This Row],[nE]]=1,HC[[#This Row],[Padm (kN)]],HC[[#This Row],[Padm (kN)]]*HC[[#This Row],[nE]]*INDEX(grupoEstacas[],HC[[#This Row],[nE]],MATCH("ε",grupoEstacas[#Headers],0))),"N.S.")</f>
        <v>N.S.</v>
      </c>
      <c r="AD132" s="4">
        <f ca="1">1.05*HC[[#This Row],[Nsd (kN)]]/(HC[[#This Row],[nE]]*PI()*HC[[#This Row],[Ø (cm)]]^2/4)*10</f>
        <v>0.13779445857032238</v>
      </c>
      <c r="AE132" s="4">
        <f ca="1">IF(HC[[#This Row],[σ (MPa)]]&lt;INDEX(tipoEstaca[],MATCH($D$2,tipoEstaca[TIPO DE ESTACA],0),MATCH("σmáx (MPa)",tipoEstaca[#Headers],0)),0.4%*PI()*HC[[#This Row],[Ø (cm)]]^2/4,"N.S.")</f>
        <v>5.6745017305465639</v>
      </c>
      <c r="AF132" s="1">
        <f>INDEX(tipoEstaca[],MATCH($D$2,tipoEstaca[TIPO DE ESTACA],0),MATCH(HC[[#Headers],[Comprimento (m)]],tipoEstaca[#Headers],0))</f>
        <v>4</v>
      </c>
      <c r="AG132" s="5">
        <f ca="1">HC[[#This Row],[As,mín (cm²)]]/100^2*HC[[#This Row],[Comprimento (m)]]*7850</f>
        <v>17.817935433916212</v>
      </c>
      <c r="AH132" s="4">
        <f ca="1">HC[[#This Row],[nE]]*HC[[#This Row],[Prof. (m)]]*HC[[#This Row],[Ap (m²)]]</f>
        <v>13.335079066784422</v>
      </c>
      <c r="AI132" s="1">
        <f ca="1">IF(HC[[#This Row],[nE]]=1,0,MAX(3*HC[[#This Row],[Ø (cm)]],60))</f>
        <v>127.5</v>
      </c>
      <c r="AJ132" s="1">
        <f ca="1">IF(HC[[#This Row],[nE]]=1,HC[[#This Row],[Ø (cm)]]+2*10,MAX(1.5*HC[[#This Row],[Ø (cm)]],HC[[#This Row],[Ø (cm)]]+15))</f>
        <v>63.75</v>
      </c>
      <c r="AK132" s="1" t="str">
        <f ca="1">alturaUtil(HC[[#This Row],[nE]],HC[[#This Row],[Ø (cm)]],HC[[#This Row],[e (cm)]],HC[[#This Row],[ap,eq (cm)]])</f>
        <v>N.S.</v>
      </c>
      <c r="AL132" s="1" t="str">
        <f ca="1">IFERROR(HC[[#This Row],[d (cm)]]+arredondarParaCimaMultiplo5cm(MAX(5,SQRT(PI())/2*HC[[#This Row],[Ø (cm)]]/5)),"N.S.")</f>
        <v>N.S.</v>
      </c>
      <c r="AM132" s="5" t="str">
        <f ca="1">alpha(HC[[#This Row],[nE]],HC[[#This Row],[d (cm)]],HC[[#This Row],[e (cm)]],HC[[#This Row],[ap,eq (cm)]])</f>
        <v>N.S.</v>
      </c>
      <c r="AN132" s="35" t="str">
        <f ca="1">IFERROR(HC[[#This Row],[Nsd (kN)]]/(HC[[#This Row],[Ap (cm²)]]*SIN(HC[[#This Row],[α]])^2),"N.S.")</f>
        <v>N.S.</v>
      </c>
      <c r="AO132" s="35" t="str">
        <f ca="1">IFERROR(HC[[#This Row],[Nsd (kN)]]/(HC[[#This Row],[nE]]*PI()*HC[[#This Row],[Ø (cm)]]^2/4*SIN(HC[[#This Row],[α]])^2),"N.S.")</f>
        <v>N.S.</v>
      </c>
      <c r="AP132" s="4" t="str">
        <f ca="1">IFERROR(INDEX(grupoEstacas[],HC[[#This Row],[nE]],MATCH("coef. Blévot",grupoEstacas[#Headers],0)),"N.S.")</f>
        <v>N.S.</v>
      </c>
      <c r="AQ132" s="35" t="str">
        <f ca="1">IFERROR(HC[[#This Row],[coef. Blévot]]*0.9*INDEX(tipoEstaca[],MATCH($D$2,tipoEstaca[TIPO DE ESTACA],0),MATCH("fcd (kN/cm²)",tipoEstaca[#Headers],0)),"N.S.")</f>
        <v>N.S.</v>
      </c>
      <c r="AR132" s="1" t="str">
        <f ca="1">IF(AND(HC[[#This Row],[cd,b,pil (kN/cm²)]]&lt;=HC[[#This Row],[cd,b,lim (kN/cm²)]],HC[[#This Row],[cd,b,est (kN/cm²)]]&lt;=HC[[#This Row],[cd,b,lim (kN/cm²)]]),"OK","ERRO")</f>
        <v>OK</v>
      </c>
      <c r="AS132" s="4" t="str">
        <f ca="1">As_lado(HC[[#This Row],[nE]],HC[[#This Row],[Nsd (kN)]],HC[[#This Row],[d (cm)]],HC[[#This Row],[e (cm)]],HC[[#This Row],[ap,eq (cm)]])</f>
        <v>N.S.</v>
      </c>
      <c r="AT132" s="4" t="str">
        <f ca="1">IF(HC[[#This Row],[nE]]=1,HC[[#This Row],[As,lado (cm²)]],IF(HC[[#This Row],[nE]]=2,0.075*2*HC[a (cm)],"N.A."))</f>
        <v>N.A.</v>
      </c>
      <c r="AU132" s="4" t="str">
        <f ca="1">IFERROR(IF(HC[[#This Row],[nE]]=1,"N.A.",0.2*HC[[#This Row],[As,lado (cm²)]]),"N.S.")</f>
        <v>N.S.</v>
      </c>
      <c r="AV132" s="4" t="str">
        <f ca="1">As_malha(HC[[#This Row],[nE]],HC[[#This Row],[As,lado (cm²)]],HC[[#This Row],[Nsd (kN)]])</f>
        <v>N.S.</v>
      </c>
      <c r="AW132" s="4" t="str">
        <f ca="1">As_susp_tot(HC[[#This Row],[nE]],HC[[#This Row],[Nsd (kN)]])</f>
        <v>N.S.</v>
      </c>
      <c r="AX132" s="4" t="str">
        <f ca="1">Asp_face(HC[[#This Row],[nE]],HC[[#This Row],[As,lado (cm²)]])</f>
        <v>N.S.</v>
      </c>
      <c r="AY132" s="5" t="str">
        <f ca="1">acoBloco(HC[[#This Row],[nE]],HC[[#This Row],[e (cm)]],HC[[#This Row],[a (cm)]],HC[[#This Row],[h (cm)]],HC[[#This Row],[As,lado (cm²)]],HC[[#This Row],[Asp e Asw (cm²/m)]],HC[[#This Row],[As,sup (cm²)]],HC[[#This Row],[As,malha (cm²)]],HC[[#This Row],[As,susp,tot (cm²)]],HC[[#This Row],[Asp,face (cm²)]])</f>
        <v>N.S.</v>
      </c>
      <c r="AZ132" s="4" t="str">
        <f ca="1">concretoBloco(HC[[#This Row],[nE]],HC[[#This Row],[e (cm)]],HC[[#This Row],[a (cm)]],HC[[#This Row],[h (cm)]])</f>
        <v>N.S.</v>
      </c>
      <c r="BA132" s="5">
        <f ca="1">SUM(HC[[#This Row],[Aço Est (kg)]],HC[[#This Row],[Aço Bloco (kg)]])</f>
        <v>17.817935433916212</v>
      </c>
      <c r="BB132" s="4">
        <f>INDEX(composicoes[],MATCH(95580,composicoes[CÓDIGO],0),MATCH("CUSTO TOTAL",composicoes[#Headers],0))</f>
        <v>10.46</v>
      </c>
      <c r="BC132" s="4">
        <f ca="1">SUM(HC[[#This Row],[Conc Est (m³)]],HC[[#This Row],[Conc Bloco (m³)]])</f>
        <v>13.335079066784422</v>
      </c>
      <c r="BD132" s="4">
        <f>INDEX(composicoes[],MATCH(94966,composicoes[CÓDIGO],0),MATCH("CUSTO TOTAL",composicoes[#Headers],0))</f>
        <v>439.52</v>
      </c>
      <c r="BE132" s="38">
        <f ca="1">HC[[#This Row],[Aço (kg)]]*HC[[#This Row],[Aço (R$/kg)]]+HC[[#This Row],[Conc (m³)]]*HC[[#This Row],[Conc (R$/m³)]]</f>
        <v>6047.4095560718524</v>
      </c>
      <c r="BF132" s="4" t="str">
        <f ca="1">IF(COUNTIF(HC[#This Row],"N.S.")&gt;0,"lim.","OK")</f>
        <v>lim.</v>
      </c>
      <c r="BG132" s="4" t="str">
        <f>IF(HC[[#This Row],[Prof. (m)]]&lt;4,"lim.","OK")</f>
        <v>lim.</v>
      </c>
      <c r="BH132" s="4" t="str">
        <f>IF(HC[[#This Row],[Prof. (m)]]&gt;=8*HC[[#This Row],[Ø (cm)]]/100,"OK","lim.")</f>
        <v>lim.</v>
      </c>
      <c r="BI132" s="4" t="str">
        <f ca="1">IF(HC[[#This Row],[Verif. Biela]]="OK","OK","lim.")</f>
        <v>OK</v>
      </c>
      <c r="BJ132" s="4" t="str">
        <f ca="1">IF(COUNTA(HC[[#This Row],[Nº Est.]:[Biela comp.]])=COUNTIF(HC[[#This Row],[Nº Est.]:[Biela comp.]],"OK"),"OK","lim.")</f>
        <v>lim.</v>
      </c>
      <c r="BK132" s="4" t="str">
        <f ca="1">IF(HC[[#This Row],[Controle]]="OK",HC[[#This Row],[nE]]&amp;" Ø"&amp;HC[[#This Row],[Ø (cm)]]&amp;"cm Prof. "&amp;HC[[#This Row],[Prof. (m)]]&amp;" m","")</f>
        <v/>
      </c>
      <c r="BL132" s="4" t="str">
        <f ca="1">IF(HC[[#This Row],[idDimensionamento]]="","",HC[[#This Row],[idPilar]]&amp;HC[[#This Row],[idDimensionamento]])</f>
        <v/>
      </c>
    </row>
    <row r="133" spans="2:64" x14ac:dyDescent="0.25">
      <c r="B133" s="12">
        <f>ROUNDUP((ROW(HC[[#This Row],[idDiâmetro]])-ROW(HC[[#Headers],[idDiâmetro]]))/(COUNT(SPT[Prof. (m)])*COUNT(PILARES[Pilar])),0)</f>
        <v>5</v>
      </c>
      <c r="C133" s="12">
        <f>IF(HC[[#This Row],[idDiâmetro]]&lt;&gt;B132,1,IF(HC[[#This Row],[Prof. (m)]]=0,C132+1,C132))</f>
        <v>2</v>
      </c>
      <c r="D133" s="1">
        <f>IFERROR(IF(D132=MAX(SPT[Prof. (m)]),0,D132+1),0)</f>
        <v>2</v>
      </c>
      <c r="E133" s="1">
        <f>INDEX(SPT[],MATCH(HC[[#This Row],[Prof. (m)]],SPT[Prof. (m)],0),2)</f>
        <v>2</v>
      </c>
      <c r="F133" s="1" t="str">
        <f>INDEX(SPT[],MATCH(HC[[#This Row],[Prof. (m)]],SPT[Prof. (m)],0),3)</f>
        <v>Areia siltosa</v>
      </c>
      <c r="G133" s="1">
        <f>INDEX(estacas[],HC[[#This Row],[idDiâmetro]],MATCH($B$2,estacas[#Headers],0))</f>
        <v>42.5</v>
      </c>
      <c r="H133" s="1">
        <f>INDEX(estacas[],MATCH(HC[[#This Row],[Ø (cm)]],estacas[Ø HC (cm)],0),MATCH(HC[[#Headers],[Pe HC (kN)]],estacas[#Headers],0))</f>
        <v>900</v>
      </c>
      <c r="I133" s="4">
        <f>INDEX(K_alpha_C[],MATCH(HC[[#This Row],[Solo]],K_alpha_C[Solo],0),2)</f>
        <v>0.8</v>
      </c>
      <c r="J133" s="5">
        <f>INDEX(K_alpha_C[],MATCH(HC[[#This Row],[Solo]],K_alpha_C[Solo],0),3)</f>
        <v>2</v>
      </c>
      <c r="K133" s="4">
        <f>INDEX(F1_F2[],MATCH($D$2,F1_F2[Tipo de estaca],0),2)</f>
        <v>2</v>
      </c>
      <c r="L133" s="4">
        <f>INDEX(F1_F2[],MATCH($D$2,F1_F2[Tipo de estaca],0),3)</f>
        <v>4</v>
      </c>
      <c r="M133" s="4">
        <f>PI()*(HC[[#This Row],[Ø (cm)]]/100)^2/4</f>
        <v>0.14186254326366407</v>
      </c>
      <c r="N133" s="4">
        <f>PI()*HC[[#This Row],[Ø (cm)]]/100</f>
        <v>1.3351768777756621</v>
      </c>
      <c r="O133" s="4">
        <f>IF(HC[[#This Row],[Prof. (m)]]=0,0,HC[[#This Row],[α (%)]]/100*HC[[#This Row],[K (MPa)]]*1000*HC[[#This Row],[NSPT]])</f>
        <v>32</v>
      </c>
      <c r="P133" s="4">
        <f>IF(HC[[#This Row],[Prof. (m)]]=0,0,(HC[[#This Row],[K (MPa)]]*1000*HC[[#This Row],[NSPT]]/HC[[#This Row],[F1]]*HC[[#This Row],[Ap (m²)]]+HC[[#This Row],[U (m)]]/HC[[#This Row],[F2]]*SUMIFS(HC[(α∙K∙NL∙ΔL)],HC[Prof. (m)],"&lt;="&amp;HC[[#This Row],[Prof. (m)]],HC[idDiâmetro],HC[[#This Row],[idDiâmetro]],HC[idPilar],HC[[#This Row],[idPilar]]))/'DADOS CAP. CARGA'!$D$2)</f>
        <v>67.426432327670923</v>
      </c>
      <c r="Q133" s="12">
        <f>INDEX(C_alpha_beta[],MATCH(HC[[#This Row],[Solo]],C_alpha_beta[Solo],0),MATCH(HC[[#Headers],[C (kPa)]],C_alpha_beta[#Headers],0))</f>
        <v>400</v>
      </c>
      <c r="R133" s="4">
        <f>INDEX(C_alpha_beta[],MATCH(HC[[#This Row],[Solo]],C_alpha_beta[Solo],0),MATCH(HC[[#Headers],[α ESF]],C_alpha_beta[#Headers],0))</f>
        <v>0.5</v>
      </c>
      <c r="S133" s="4">
        <f>INDEX(C_alpha_beta[],MATCH(HC[[#This Row],[Solo]],C_alpha_beta[Solo],0),MATCH(HC[[#Headers],[β ESF]],C_alpha_beta[#Headers],0))</f>
        <v>0.5</v>
      </c>
      <c r="T133" s="4">
        <f>IF(HC[[#This Row],[Prof. (m)]]=0,0,10*(HC[[#This Row],[NSPT]]/3+1))</f>
        <v>16.666666666666664</v>
      </c>
      <c r="U133" s="4">
        <f>(HC[[#This Row],[α ESF]]*HC[[#This Row],[C (kPa)]]*HC[[#This Row],[NSPT]]*HC[[#This Row],[Ap (m²)]])/'DADOS CAP. CARGA'!$Q$2+(HC[[#This Row],[β ESF]]*SUMIFS(HC[10∙(NL/3+1)],HC[Prof. (m)],"&lt;="&amp;HC[[#This Row],[Prof. (m)]],HC[idDiâmetro],HC[[#This Row],[idDiâmetro]],HC[idPilar],HC[[#This Row],[idPilar]])*HC[[#This Row],[U (m)]])/'DADOS CAP. CARGA'!$S$2</f>
        <v>25.312728307830255</v>
      </c>
      <c r="V133" s="4">
        <f>IF(SPT!$M$5=1,MIN(HC[[#This Row],[Pe HC (kN)]],HC[[#This Row],[R_AV (kN)]]),IF(SPT!$M$5=2,MIN(HC[[#This Row],[Pe HC (kN)]],HC[[#This Row],[R_DC (kN)]]),MIN(HC[[#This Row],[Pe HC (kN)]],HC[[#This Row],[R_AV (kN)]],HC[[#This Row],[R_DC (kN)]])))</f>
        <v>25.312728307830255</v>
      </c>
      <c r="W133" s="4">
        <f>INDEX(PILARES[],HC[[#This Row],[idPilar]],MATCH("Carga (kN)",PILARES[#Headers],0))*1.4</f>
        <v>1750</v>
      </c>
      <c r="X133" s="12">
        <f>INDEX(PILARES[],HC[[#This Row],[idPilar]],MATCH(HC[[#Headers],[ap (cm)]],PILARES[#Headers],0))</f>
        <v>50</v>
      </c>
      <c r="Y133" s="12">
        <f>INDEX(PILARES[],HC[[#This Row],[idPilar]],MATCH(HC[[#Headers],[bp (cm)]],PILARES[#Headers],0))</f>
        <v>40</v>
      </c>
      <c r="Z133" s="4">
        <f>SQRT(HC[[#This Row],[ap (cm)]]*HC[[#This Row],[bp (cm)]])</f>
        <v>44.721359549995796</v>
      </c>
      <c r="AA133" s="12">
        <f>HC[[#This Row],[ap (cm)]]*HC[[#This Row],[bp (cm)]]</f>
        <v>2000</v>
      </c>
      <c r="AB133" s="12">
        <f ca="1">IF(HC[[#This Row],[Padm∙ε (kN)]]&gt;=HC[[#This Row],[Padm (kN)]],ROUNDUP(1.05*HC[[#This Row],[Nsd (kN)]]/HC[[#This Row],[Padm (kN)]],0),ROUNDUP(1.05*HC[[#This Row],[Nsd (kN)]]/HC[[#This Row],[Padm (kN)]],0)+1)</f>
        <v>73</v>
      </c>
      <c r="AC133" s="4" t="str">
        <f ca="1">IFERROR(IF(HC[[#This Row],[nE]]=1,HC[[#This Row],[Padm (kN)]],HC[[#This Row],[Padm (kN)]]*HC[[#This Row],[nE]]*INDEX(grupoEstacas[],HC[[#This Row],[nE]],MATCH("ε",grupoEstacas[#Headers],0))),"N.S.")</f>
        <v>N.S.</v>
      </c>
      <c r="AD133" s="4">
        <f ca="1">1.05*HC[[#This Row],[Nsd (kN)]]/(HC[[#This Row],[nE]]*PI()*HC[[#This Row],[Ø (cm)]]^2/4)*10</f>
        <v>0.17743396035082612</v>
      </c>
      <c r="AE133" s="4">
        <f ca="1">IF(HC[[#This Row],[σ (MPa)]]&lt;INDEX(tipoEstaca[],MATCH($D$2,tipoEstaca[TIPO DE ESTACA],0),MATCH("σmáx (MPa)",tipoEstaca[#Headers],0)),0.4%*PI()*HC[[#This Row],[Ø (cm)]]^2/4,"N.S.")</f>
        <v>5.6745017305465639</v>
      </c>
      <c r="AF133" s="1">
        <f>INDEX(tipoEstaca[],MATCH($D$2,tipoEstaca[TIPO DE ESTACA],0),MATCH(HC[[#Headers],[Comprimento (m)]],tipoEstaca[#Headers],0))</f>
        <v>4</v>
      </c>
      <c r="AG133" s="5">
        <f ca="1">HC[[#This Row],[As,mín (cm²)]]/100^2*HC[[#This Row],[Comprimento (m)]]*7850</f>
        <v>17.817935433916212</v>
      </c>
      <c r="AH133" s="4">
        <f ca="1">HC[[#This Row],[nE]]*HC[[#This Row],[Prof. (m)]]*HC[[#This Row],[Ap (m²)]]</f>
        <v>20.711931316494955</v>
      </c>
      <c r="AI133" s="1">
        <f ca="1">IF(HC[[#This Row],[nE]]=1,0,MAX(3*HC[[#This Row],[Ø (cm)]],60))</f>
        <v>127.5</v>
      </c>
      <c r="AJ133" s="1">
        <f ca="1">IF(HC[[#This Row],[nE]]=1,HC[[#This Row],[Ø (cm)]]+2*10,MAX(1.5*HC[[#This Row],[Ø (cm)]],HC[[#This Row],[Ø (cm)]]+15))</f>
        <v>63.75</v>
      </c>
      <c r="AK133" s="1" t="str">
        <f ca="1">alturaUtil(HC[[#This Row],[nE]],HC[[#This Row],[Ø (cm)]],HC[[#This Row],[e (cm)]],HC[[#This Row],[ap,eq (cm)]])</f>
        <v>N.S.</v>
      </c>
      <c r="AL133" s="1" t="str">
        <f ca="1">IFERROR(HC[[#This Row],[d (cm)]]+arredondarParaCimaMultiplo5cm(MAX(5,SQRT(PI())/2*HC[[#This Row],[Ø (cm)]]/5)),"N.S.")</f>
        <v>N.S.</v>
      </c>
      <c r="AM133" s="5" t="str">
        <f ca="1">alpha(HC[[#This Row],[nE]],HC[[#This Row],[d (cm)]],HC[[#This Row],[e (cm)]],HC[[#This Row],[ap,eq (cm)]])</f>
        <v>N.S.</v>
      </c>
      <c r="AN133" s="35" t="str">
        <f ca="1">IFERROR(HC[[#This Row],[Nsd (kN)]]/(HC[[#This Row],[Ap (cm²)]]*SIN(HC[[#This Row],[α]])^2),"N.S.")</f>
        <v>N.S.</v>
      </c>
      <c r="AO133" s="35" t="str">
        <f ca="1">IFERROR(HC[[#This Row],[Nsd (kN)]]/(HC[[#This Row],[nE]]*PI()*HC[[#This Row],[Ø (cm)]]^2/4*SIN(HC[[#This Row],[α]])^2),"N.S.")</f>
        <v>N.S.</v>
      </c>
      <c r="AP133" s="4" t="str">
        <f ca="1">IFERROR(INDEX(grupoEstacas[],HC[[#This Row],[nE]],MATCH("coef. Blévot",grupoEstacas[#Headers],0)),"N.S.")</f>
        <v>N.S.</v>
      </c>
      <c r="AQ133" s="35" t="str">
        <f ca="1">IFERROR(HC[[#This Row],[coef. Blévot]]*0.9*INDEX(tipoEstaca[],MATCH($D$2,tipoEstaca[TIPO DE ESTACA],0),MATCH("fcd (kN/cm²)",tipoEstaca[#Headers],0)),"N.S.")</f>
        <v>N.S.</v>
      </c>
      <c r="AR133" s="1" t="str">
        <f ca="1">IF(AND(HC[[#This Row],[cd,b,pil (kN/cm²)]]&lt;=HC[[#This Row],[cd,b,lim (kN/cm²)]],HC[[#This Row],[cd,b,est (kN/cm²)]]&lt;=HC[[#This Row],[cd,b,lim (kN/cm²)]]),"OK","ERRO")</f>
        <v>OK</v>
      </c>
      <c r="AS133" s="4" t="str">
        <f ca="1">As_lado(HC[[#This Row],[nE]],HC[[#This Row],[Nsd (kN)]],HC[[#This Row],[d (cm)]],HC[[#This Row],[e (cm)]],HC[[#This Row],[ap,eq (cm)]])</f>
        <v>N.S.</v>
      </c>
      <c r="AT133" s="4" t="str">
        <f ca="1">IF(HC[[#This Row],[nE]]=1,HC[[#This Row],[As,lado (cm²)]],IF(HC[[#This Row],[nE]]=2,0.075*2*HC[a (cm)],"N.A."))</f>
        <v>N.A.</v>
      </c>
      <c r="AU133" s="4" t="str">
        <f ca="1">IFERROR(IF(HC[[#This Row],[nE]]=1,"N.A.",0.2*HC[[#This Row],[As,lado (cm²)]]),"N.S.")</f>
        <v>N.S.</v>
      </c>
      <c r="AV133" s="4" t="str">
        <f ca="1">As_malha(HC[[#This Row],[nE]],HC[[#This Row],[As,lado (cm²)]],HC[[#This Row],[Nsd (kN)]])</f>
        <v>N.S.</v>
      </c>
      <c r="AW133" s="4" t="str">
        <f ca="1">As_susp_tot(HC[[#This Row],[nE]],HC[[#This Row],[Nsd (kN)]])</f>
        <v>N.S.</v>
      </c>
      <c r="AX133" s="4" t="str">
        <f ca="1">Asp_face(HC[[#This Row],[nE]],HC[[#This Row],[As,lado (cm²)]])</f>
        <v>N.S.</v>
      </c>
      <c r="AY133" s="5" t="str">
        <f ca="1">acoBloco(HC[[#This Row],[nE]],HC[[#This Row],[e (cm)]],HC[[#This Row],[a (cm)]],HC[[#This Row],[h (cm)]],HC[[#This Row],[As,lado (cm²)]],HC[[#This Row],[Asp e Asw (cm²/m)]],HC[[#This Row],[As,sup (cm²)]],HC[[#This Row],[As,malha (cm²)]],HC[[#This Row],[As,susp,tot (cm²)]],HC[[#This Row],[Asp,face (cm²)]])</f>
        <v>N.S.</v>
      </c>
      <c r="AZ133" s="4" t="str">
        <f ca="1">concretoBloco(HC[[#This Row],[nE]],HC[[#This Row],[e (cm)]],HC[[#This Row],[a (cm)]],HC[[#This Row],[h (cm)]])</f>
        <v>N.S.</v>
      </c>
      <c r="BA133" s="5">
        <f ca="1">SUM(HC[[#This Row],[Aço Est (kg)]],HC[[#This Row],[Aço Bloco (kg)]])</f>
        <v>17.817935433916212</v>
      </c>
      <c r="BB133" s="4">
        <f>INDEX(composicoes[],MATCH(95580,composicoes[CÓDIGO],0),MATCH("CUSTO TOTAL",composicoes[#Headers],0))</f>
        <v>10.46</v>
      </c>
      <c r="BC133" s="4">
        <f ca="1">SUM(HC[[#This Row],[Conc Est (m³)]],HC[[#This Row],[Conc Bloco (m³)]])</f>
        <v>20.711931316494955</v>
      </c>
      <c r="BD133" s="4">
        <f>INDEX(composicoes[],MATCH(94966,composicoes[CÓDIGO],0),MATCH("CUSTO TOTAL",composicoes[#Headers],0))</f>
        <v>439.52</v>
      </c>
      <c r="BE133" s="38">
        <f ca="1">HC[[#This Row],[Aço (kg)]]*HC[[#This Row],[Aço (R$/kg)]]+HC[[#This Row],[Conc (m³)]]*HC[[#This Row],[Conc (R$/m³)]]</f>
        <v>9289.6836568646268</v>
      </c>
      <c r="BF133" s="4" t="str">
        <f ca="1">IF(COUNTIF(HC[#This Row],"N.S.")&gt;0,"lim.","OK")</f>
        <v>lim.</v>
      </c>
      <c r="BG133" s="4" t="str">
        <f>IF(HC[[#This Row],[Prof. (m)]]&lt;4,"lim.","OK")</f>
        <v>lim.</v>
      </c>
      <c r="BH133" s="4" t="str">
        <f>IF(HC[[#This Row],[Prof. (m)]]&gt;=8*HC[[#This Row],[Ø (cm)]]/100,"OK","lim.")</f>
        <v>lim.</v>
      </c>
      <c r="BI133" s="4" t="str">
        <f ca="1">IF(HC[[#This Row],[Verif. Biela]]="OK","OK","lim.")</f>
        <v>OK</v>
      </c>
      <c r="BJ133" s="4" t="str">
        <f ca="1">IF(COUNTA(HC[[#This Row],[Nº Est.]:[Biela comp.]])=COUNTIF(HC[[#This Row],[Nº Est.]:[Biela comp.]],"OK"),"OK","lim.")</f>
        <v>lim.</v>
      </c>
      <c r="BK133" s="4" t="str">
        <f ca="1">IF(HC[[#This Row],[Controle]]="OK",HC[[#This Row],[nE]]&amp;" Ø"&amp;HC[[#This Row],[Ø (cm)]]&amp;"cm Prof. "&amp;HC[[#This Row],[Prof. (m)]]&amp;" m","")</f>
        <v/>
      </c>
      <c r="BL133" s="4" t="str">
        <f ca="1">IF(HC[[#This Row],[idDimensionamento]]="","",HC[[#This Row],[idPilar]]&amp;HC[[#This Row],[idDimensionamento]])</f>
        <v/>
      </c>
    </row>
    <row r="134" spans="2:64" x14ac:dyDescent="0.25">
      <c r="B134" s="12">
        <f>ROUNDUP((ROW(HC[[#This Row],[idDiâmetro]])-ROW(HC[[#Headers],[idDiâmetro]]))/(COUNT(SPT[Prof. (m)])*COUNT(PILARES[Pilar])),0)</f>
        <v>5</v>
      </c>
      <c r="C134" s="12">
        <f>IF(HC[[#This Row],[idDiâmetro]]&lt;&gt;B133,1,IF(HC[[#This Row],[Prof. (m)]]=0,C133+1,C133))</f>
        <v>2</v>
      </c>
      <c r="D134" s="1">
        <f>IFERROR(IF(D133=MAX(SPT[Prof. (m)]),0,D133+1),0)</f>
        <v>3</v>
      </c>
      <c r="E134" s="1">
        <f>INDEX(SPT[],MATCH(HC[[#This Row],[Prof. (m)]],SPT[Prof. (m)],0),2)</f>
        <v>4</v>
      </c>
      <c r="F134" s="1" t="str">
        <f>INDEX(SPT[],MATCH(HC[[#This Row],[Prof. (m)]],SPT[Prof. (m)],0),3)</f>
        <v>Areia siltosa</v>
      </c>
      <c r="G134" s="1">
        <f>INDEX(estacas[],HC[[#This Row],[idDiâmetro]],MATCH($B$2,estacas[#Headers],0))</f>
        <v>42.5</v>
      </c>
      <c r="H134" s="1">
        <f>INDEX(estacas[],MATCH(HC[[#This Row],[Ø (cm)]],estacas[Ø HC (cm)],0),MATCH(HC[[#Headers],[Pe HC (kN)]],estacas[#Headers],0))</f>
        <v>900</v>
      </c>
      <c r="I134" s="4">
        <f>INDEX(K_alpha_C[],MATCH(HC[[#This Row],[Solo]],K_alpha_C[Solo],0),2)</f>
        <v>0.8</v>
      </c>
      <c r="J134" s="5">
        <f>INDEX(K_alpha_C[],MATCH(HC[[#This Row],[Solo]],K_alpha_C[Solo],0),3)</f>
        <v>2</v>
      </c>
      <c r="K134" s="4">
        <f>INDEX(F1_F2[],MATCH($D$2,F1_F2[Tipo de estaca],0),2)</f>
        <v>2</v>
      </c>
      <c r="L134" s="4">
        <f>INDEX(F1_F2[],MATCH($D$2,F1_F2[Tipo de estaca],0),3)</f>
        <v>4</v>
      </c>
      <c r="M134" s="4">
        <f>PI()*(HC[[#This Row],[Ø (cm)]]/100)^2/4</f>
        <v>0.14186254326366407</v>
      </c>
      <c r="N134" s="4">
        <f>PI()*HC[[#This Row],[Ø (cm)]]/100</f>
        <v>1.3351768777756621</v>
      </c>
      <c r="O134" s="4">
        <f>IF(HC[[#This Row],[Prof. (m)]]=0,0,HC[[#This Row],[α (%)]]/100*HC[[#This Row],[K (MPa)]]*1000*HC[[#This Row],[NSPT]])</f>
        <v>64</v>
      </c>
      <c r="P134" s="4">
        <f>IF(HC[[#This Row],[Prof. (m)]]=0,0,(HC[[#This Row],[K (MPa)]]*1000*HC[[#This Row],[NSPT]]/HC[[#This Row],[F1]]*HC[[#This Row],[Ap (m²)]]+HC[[#This Row],[U (m)]]/HC[[#This Row],[F2]]*SUMIFS(HC[(α∙K∙NL∙ΔL)],HC[Prof. (m)],"&lt;="&amp;HC[[#This Row],[Prof. (m)]],HC[idDiâmetro],HC[[#This Row],[idDiâmetro]],HC[idPilar],HC[[#This Row],[idPilar]]))/'DADOS CAP. CARGA'!$D$2)</f>
        <v>134.85286465534185</v>
      </c>
      <c r="Q134" s="12">
        <f>INDEX(C_alpha_beta[],MATCH(HC[[#This Row],[Solo]],C_alpha_beta[Solo],0),MATCH(HC[[#Headers],[C (kPa)]],C_alpha_beta[#Headers],0))</f>
        <v>400</v>
      </c>
      <c r="R134" s="4">
        <f>INDEX(C_alpha_beta[],MATCH(HC[[#This Row],[Solo]],C_alpha_beta[Solo],0),MATCH(HC[[#Headers],[α ESF]],C_alpha_beta[#Headers],0))</f>
        <v>0.5</v>
      </c>
      <c r="S134" s="4">
        <f>INDEX(C_alpha_beta[],MATCH(HC[[#This Row],[Solo]],C_alpha_beta[Solo],0),MATCH(HC[[#Headers],[β ESF]],C_alpha_beta[#Headers],0))</f>
        <v>0.5</v>
      </c>
      <c r="T134" s="4">
        <f>IF(HC[[#This Row],[Prof. (m)]]=0,0,10*(HC[[#This Row],[NSPT]]/3+1))</f>
        <v>23.333333333333329</v>
      </c>
      <c r="U134" s="4">
        <f>(HC[[#This Row],[α ESF]]*HC[[#This Row],[C (kPa)]]*HC[[#This Row],[NSPT]]*HC[[#This Row],[Ap (m²)]])/'DADOS CAP. CARGA'!$Q$2+(HC[[#This Row],[β ESF]]*SUMIFS(HC[10∙(NL/3+1)],HC[Prof. (m)],"&lt;="&amp;HC[[#This Row],[Prof. (m)]],HC[idDiâmetro],HC[[#This Row],[idDiâmetro]],HC[idPilar],HC[[#This Row],[idPilar]])*HC[[#This Row],[U (m)]])/'DADOS CAP. CARGA'!$S$2</f>
        <v>47.28751442122136</v>
      </c>
      <c r="V134" s="4">
        <f>IF(SPT!$M$5=1,MIN(HC[[#This Row],[Pe HC (kN)]],HC[[#This Row],[R_AV (kN)]]),IF(SPT!$M$5=2,MIN(HC[[#This Row],[Pe HC (kN)]],HC[[#This Row],[R_DC (kN)]]),MIN(HC[[#This Row],[Pe HC (kN)]],HC[[#This Row],[R_AV (kN)]],HC[[#This Row],[R_DC (kN)]])))</f>
        <v>47.28751442122136</v>
      </c>
      <c r="W134" s="4">
        <f>INDEX(PILARES[],HC[[#This Row],[idPilar]],MATCH("Carga (kN)",PILARES[#Headers],0))*1.4</f>
        <v>1750</v>
      </c>
      <c r="X134" s="12">
        <f>INDEX(PILARES[],HC[[#This Row],[idPilar]],MATCH(HC[[#Headers],[ap (cm)]],PILARES[#Headers],0))</f>
        <v>50</v>
      </c>
      <c r="Y134" s="12">
        <f>INDEX(PILARES[],HC[[#This Row],[idPilar]],MATCH(HC[[#Headers],[bp (cm)]],PILARES[#Headers],0))</f>
        <v>40</v>
      </c>
      <c r="Z134" s="4">
        <f>SQRT(HC[[#This Row],[ap (cm)]]*HC[[#This Row],[bp (cm)]])</f>
        <v>44.721359549995796</v>
      </c>
      <c r="AA134" s="12">
        <f>HC[[#This Row],[ap (cm)]]*HC[[#This Row],[bp (cm)]]</f>
        <v>2000</v>
      </c>
      <c r="AB134" s="12">
        <f ca="1">IF(HC[[#This Row],[Padm∙ε (kN)]]&gt;=HC[[#This Row],[Padm (kN)]],ROUNDUP(1.05*HC[[#This Row],[Nsd (kN)]]/HC[[#This Row],[Padm (kN)]],0),ROUNDUP(1.05*HC[[#This Row],[Nsd (kN)]]/HC[[#This Row],[Padm (kN)]],0)+1)</f>
        <v>39</v>
      </c>
      <c r="AC134" s="4" t="str">
        <f ca="1">IFERROR(IF(HC[[#This Row],[nE]]=1,HC[[#This Row],[Padm (kN)]],HC[[#This Row],[Padm (kN)]]*HC[[#This Row],[nE]]*INDEX(grupoEstacas[],HC[[#This Row],[nE]],MATCH("ε",grupoEstacas[#Headers],0))),"N.S.")</f>
        <v>N.S.</v>
      </c>
      <c r="AD134" s="4">
        <f ca="1">1.05*HC[[#This Row],[Nsd (kN)]]/(HC[[#This Row],[nE]]*PI()*HC[[#This Row],[Ø (cm)]]^2/4)*10</f>
        <v>0.33211997706693092</v>
      </c>
      <c r="AE134" s="4">
        <f ca="1">IF(HC[[#This Row],[σ (MPa)]]&lt;INDEX(tipoEstaca[],MATCH($D$2,tipoEstaca[TIPO DE ESTACA],0),MATCH("σmáx (MPa)",tipoEstaca[#Headers],0)),0.4%*PI()*HC[[#This Row],[Ø (cm)]]^2/4,"N.S.")</f>
        <v>5.6745017305465639</v>
      </c>
      <c r="AF134" s="1">
        <f>INDEX(tipoEstaca[],MATCH($D$2,tipoEstaca[TIPO DE ESTACA],0),MATCH(HC[[#Headers],[Comprimento (m)]],tipoEstaca[#Headers],0))</f>
        <v>4</v>
      </c>
      <c r="AG134" s="5">
        <f ca="1">HC[[#This Row],[As,mín (cm²)]]/100^2*HC[[#This Row],[Comprimento (m)]]*7850</f>
        <v>17.817935433916212</v>
      </c>
      <c r="AH134" s="4">
        <f ca="1">HC[[#This Row],[nE]]*HC[[#This Row],[Prof. (m)]]*HC[[#This Row],[Ap (m²)]]</f>
        <v>16.597917561848696</v>
      </c>
      <c r="AI134" s="1">
        <f ca="1">IF(HC[[#This Row],[nE]]=1,0,MAX(3*HC[[#This Row],[Ø (cm)]],60))</f>
        <v>127.5</v>
      </c>
      <c r="AJ134" s="1">
        <f ca="1">IF(HC[[#This Row],[nE]]=1,HC[[#This Row],[Ø (cm)]]+2*10,MAX(1.5*HC[[#This Row],[Ø (cm)]],HC[[#This Row],[Ø (cm)]]+15))</f>
        <v>63.75</v>
      </c>
      <c r="AK134" s="1" t="str">
        <f ca="1">alturaUtil(HC[[#This Row],[nE]],HC[[#This Row],[Ø (cm)]],HC[[#This Row],[e (cm)]],HC[[#This Row],[ap,eq (cm)]])</f>
        <v>N.S.</v>
      </c>
      <c r="AL134" s="1" t="str">
        <f ca="1">IFERROR(HC[[#This Row],[d (cm)]]+arredondarParaCimaMultiplo5cm(MAX(5,SQRT(PI())/2*HC[[#This Row],[Ø (cm)]]/5)),"N.S.")</f>
        <v>N.S.</v>
      </c>
      <c r="AM134" s="5" t="str">
        <f ca="1">alpha(HC[[#This Row],[nE]],HC[[#This Row],[d (cm)]],HC[[#This Row],[e (cm)]],HC[[#This Row],[ap,eq (cm)]])</f>
        <v>N.S.</v>
      </c>
      <c r="AN134" s="35" t="str">
        <f ca="1">IFERROR(HC[[#This Row],[Nsd (kN)]]/(HC[[#This Row],[Ap (cm²)]]*SIN(HC[[#This Row],[α]])^2),"N.S.")</f>
        <v>N.S.</v>
      </c>
      <c r="AO134" s="35" t="str">
        <f ca="1">IFERROR(HC[[#This Row],[Nsd (kN)]]/(HC[[#This Row],[nE]]*PI()*HC[[#This Row],[Ø (cm)]]^2/4*SIN(HC[[#This Row],[α]])^2),"N.S.")</f>
        <v>N.S.</v>
      </c>
      <c r="AP134" s="4" t="str">
        <f ca="1">IFERROR(INDEX(grupoEstacas[],HC[[#This Row],[nE]],MATCH("coef. Blévot",grupoEstacas[#Headers],0)),"N.S.")</f>
        <v>N.S.</v>
      </c>
      <c r="AQ134" s="35" t="str">
        <f ca="1">IFERROR(HC[[#This Row],[coef. Blévot]]*0.9*INDEX(tipoEstaca[],MATCH($D$2,tipoEstaca[TIPO DE ESTACA],0),MATCH("fcd (kN/cm²)",tipoEstaca[#Headers],0)),"N.S.")</f>
        <v>N.S.</v>
      </c>
      <c r="AR134" s="1" t="str">
        <f ca="1">IF(AND(HC[[#This Row],[cd,b,pil (kN/cm²)]]&lt;=HC[[#This Row],[cd,b,lim (kN/cm²)]],HC[[#This Row],[cd,b,est (kN/cm²)]]&lt;=HC[[#This Row],[cd,b,lim (kN/cm²)]]),"OK","ERRO")</f>
        <v>OK</v>
      </c>
      <c r="AS134" s="4" t="str">
        <f ca="1">As_lado(HC[[#This Row],[nE]],HC[[#This Row],[Nsd (kN)]],HC[[#This Row],[d (cm)]],HC[[#This Row],[e (cm)]],HC[[#This Row],[ap,eq (cm)]])</f>
        <v>N.S.</v>
      </c>
      <c r="AT134" s="4" t="str">
        <f ca="1">IF(HC[[#This Row],[nE]]=1,HC[[#This Row],[As,lado (cm²)]],IF(HC[[#This Row],[nE]]=2,0.075*2*HC[a (cm)],"N.A."))</f>
        <v>N.A.</v>
      </c>
      <c r="AU134" s="4" t="str">
        <f ca="1">IFERROR(IF(HC[[#This Row],[nE]]=1,"N.A.",0.2*HC[[#This Row],[As,lado (cm²)]]),"N.S.")</f>
        <v>N.S.</v>
      </c>
      <c r="AV134" s="4" t="str">
        <f ca="1">As_malha(HC[[#This Row],[nE]],HC[[#This Row],[As,lado (cm²)]],HC[[#This Row],[Nsd (kN)]])</f>
        <v>N.S.</v>
      </c>
      <c r="AW134" s="4" t="str">
        <f ca="1">As_susp_tot(HC[[#This Row],[nE]],HC[[#This Row],[Nsd (kN)]])</f>
        <v>N.S.</v>
      </c>
      <c r="AX134" s="4" t="str">
        <f ca="1">Asp_face(HC[[#This Row],[nE]],HC[[#This Row],[As,lado (cm²)]])</f>
        <v>N.S.</v>
      </c>
      <c r="AY134" s="5" t="str">
        <f ca="1">acoBloco(HC[[#This Row],[nE]],HC[[#This Row],[e (cm)]],HC[[#This Row],[a (cm)]],HC[[#This Row],[h (cm)]],HC[[#This Row],[As,lado (cm²)]],HC[[#This Row],[Asp e Asw (cm²/m)]],HC[[#This Row],[As,sup (cm²)]],HC[[#This Row],[As,malha (cm²)]],HC[[#This Row],[As,susp,tot (cm²)]],HC[[#This Row],[Asp,face (cm²)]])</f>
        <v>N.S.</v>
      </c>
      <c r="AZ134" s="4" t="str">
        <f ca="1">concretoBloco(HC[[#This Row],[nE]],HC[[#This Row],[e (cm)]],HC[[#This Row],[a (cm)]],HC[[#This Row],[h (cm)]])</f>
        <v>N.S.</v>
      </c>
      <c r="BA134" s="5">
        <f ca="1">SUM(HC[[#This Row],[Aço Est (kg)]],HC[[#This Row],[Aço Bloco (kg)]])</f>
        <v>17.817935433916212</v>
      </c>
      <c r="BB134" s="4">
        <f>INDEX(composicoes[],MATCH(95580,composicoes[CÓDIGO],0),MATCH("CUSTO TOTAL",composicoes[#Headers],0))</f>
        <v>10.46</v>
      </c>
      <c r="BC134" s="4">
        <f ca="1">SUM(HC[[#This Row],[Conc Est (m³)]],HC[[#This Row],[Conc Bloco (m³)]])</f>
        <v>16.597917561848696</v>
      </c>
      <c r="BD134" s="4">
        <f>INDEX(composicoes[],MATCH(94966,composicoes[CÓDIGO],0),MATCH("CUSTO TOTAL",composicoes[#Headers],0))</f>
        <v>439.52</v>
      </c>
      <c r="BE134" s="38">
        <f ca="1">HC[[#This Row],[Aço (kg)]]*HC[[#This Row],[Aço (R$/kg)]]+HC[[#This Row],[Conc (m³)]]*HC[[#This Row],[Conc (R$/m³)]]</f>
        <v>7481.4923314225025</v>
      </c>
      <c r="BF134" s="4" t="str">
        <f ca="1">IF(COUNTIF(HC[#This Row],"N.S.")&gt;0,"lim.","OK")</f>
        <v>lim.</v>
      </c>
      <c r="BG134" s="4" t="str">
        <f>IF(HC[[#This Row],[Prof. (m)]]&lt;4,"lim.","OK")</f>
        <v>lim.</v>
      </c>
      <c r="BH134" s="4" t="str">
        <f>IF(HC[[#This Row],[Prof. (m)]]&gt;=8*HC[[#This Row],[Ø (cm)]]/100,"OK","lim.")</f>
        <v>lim.</v>
      </c>
      <c r="BI134" s="4" t="str">
        <f ca="1">IF(HC[[#This Row],[Verif. Biela]]="OK","OK","lim.")</f>
        <v>OK</v>
      </c>
      <c r="BJ134" s="4" t="str">
        <f ca="1">IF(COUNTA(HC[[#This Row],[Nº Est.]:[Biela comp.]])=COUNTIF(HC[[#This Row],[Nº Est.]:[Biela comp.]],"OK"),"OK","lim.")</f>
        <v>lim.</v>
      </c>
      <c r="BK134" s="4" t="str">
        <f ca="1">IF(HC[[#This Row],[Controle]]="OK",HC[[#This Row],[nE]]&amp;" Ø"&amp;HC[[#This Row],[Ø (cm)]]&amp;"cm Prof. "&amp;HC[[#This Row],[Prof. (m)]]&amp;" m","")</f>
        <v/>
      </c>
      <c r="BL134" s="4" t="str">
        <f ca="1">IF(HC[[#This Row],[idDimensionamento]]="","",HC[[#This Row],[idPilar]]&amp;HC[[#This Row],[idDimensionamento]])</f>
        <v/>
      </c>
    </row>
    <row r="135" spans="2:64" x14ac:dyDescent="0.25">
      <c r="B135" s="12">
        <f>ROUNDUP((ROW(HC[[#This Row],[idDiâmetro]])-ROW(HC[[#Headers],[idDiâmetro]]))/(COUNT(SPT[Prof. (m)])*COUNT(PILARES[Pilar])),0)</f>
        <v>5</v>
      </c>
      <c r="C135" s="12">
        <f>IF(HC[[#This Row],[idDiâmetro]]&lt;&gt;B134,1,IF(HC[[#This Row],[Prof. (m)]]=0,C134+1,C134))</f>
        <v>2</v>
      </c>
      <c r="D135" s="1">
        <f>IFERROR(IF(D134=MAX(SPT[Prof. (m)]),0,D134+1),0)</f>
        <v>4</v>
      </c>
      <c r="E135" s="1">
        <f>INDEX(SPT[],MATCH(HC[[#This Row],[Prof. (m)]],SPT[Prof. (m)],0),2)</f>
        <v>8</v>
      </c>
      <c r="F135" s="1" t="str">
        <f>INDEX(SPT[],MATCH(HC[[#This Row],[Prof. (m)]],SPT[Prof. (m)],0),3)</f>
        <v>Areia siltosa</v>
      </c>
      <c r="G135" s="1">
        <f>INDEX(estacas[],HC[[#This Row],[idDiâmetro]],MATCH($B$2,estacas[#Headers],0))</f>
        <v>42.5</v>
      </c>
      <c r="H135" s="1">
        <f>INDEX(estacas[],MATCH(HC[[#This Row],[Ø (cm)]],estacas[Ø HC (cm)],0),MATCH(HC[[#Headers],[Pe HC (kN)]],estacas[#Headers],0))</f>
        <v>900</v>
      </c>
      <c r="I135" s="4">
        <f>INDEX(K_alpha_C[],MATCH(HC[[#This Row],[Solo]],K_alpha_C[Solo],0),2)</f>
        <v>0.8</v>
      </c>
      <c r="J135" s="5">
        <f>INDEX(K_alpha_C[],MATCH(HC[[#This Row],[Solo]],K_alpha_C[Solo],0),3)</f>
        <v>2</v>
      </c>
      <c r="K135" s="4">
        <f>INDEX(F1_F2[],MATCH($D$2,F1_F2[Tipo de estaca],0),2)</f>
        <v>2</v>
      </c>
      <c r="L135" s="4">
        <f>INDEX(F1_F2[],MATCH($D$2,F1_F2[Tipo de estaca],0),3)</f>
        <v>4</v>
      </c>
      <c r="M135" s="4">
        <f>PI()*(HC[[#This Row],[Ø (cm)]]/100)^2/4</f>
        <v>0.14186254326366407</v>
      </c>
      <c r="N135" s="4">
        <f>PI()*HC[[#This Row],[Ø (cm)]]/100</f>
        <v>1.3351768777756621</v>
      </c>
      <c r="O135" s="4">
        <f>IF(HC[[#This Row],[Prof. (m)]]=0,0,HC[[#This Row],[α (%)]]/100*HC[[#This Row],[K (MPa)]]*1000*HC[[#This Row],[NSPT]])</f>
        <v>128</v>
      </c>
      <c r="P135" s="4">
        <f>IF(HC[[#This Row],[Prof. (m)]]=0,0,(HC[[#This Row],[K (MPa)]]*1000*HC[[#This Row],[NSPT]]/HC[[#This Row],[F1]]*HC[[#This Row],[Ap (m²)]]+HC[[#This Row],[U (m)]]/HC[[#This Row],[F2]]*SUMIFS(HC[(α∙K∙NL∙ΔL)],HC[Prof. (m)],"&lt;="&amp;HC[[#This Row],[Prof. (m)]],HC[idDiâmetro],HC[[#This Row],[idDiâmetro]],HC[idPilar],HC[[#This Row],[idPilar]]))/'DADOS CAP. CARGA'!$D$2)</f>
        <v>269.70572931068369</v>
      </c>
      <c r="Q135" s="12">
        <f>INDEX(C_alpha_beta[],MATCH(HC[[#This Row],[Solo]],C_alpha_beta[Solo],0),MATCH(HC[[#Headers],[C (kPa)]],C_alpha_beta[#Headers],0))</f>
        <v>400</v>
      </c>
      <c r="R135" s="4">
        <f>INDEX(C_alpha_beta[],MATCH(HC[[#This Row],[Solo]],C_alpha_beta[Solo],0),MATCH(HC[[#Headers],[α ESF]],C_alpha_beta[#Headers],0))</f>
        <v>0.5</v>
      </c>
      <c r="S135" s="4">
        <f>INDEX(C_alpha_beta[],MATCH(HC[[#This Row],[Solo]],C_alpha_beta[Solo],0),MATCH(HC[[#Headers],[β ESF]],C_alpha_beta[#Headers],0))</f>
        <v>0.5</v>
      </c>
      <c r="T135" s="4">
        <f>IF(HC[[#This Row],[Prof. (m)]]=0,0,10*(HC[[#This Row],[NSPT]]/3+1))</f>
        <v>36.666666666666664</v>
      </c>
      <c r="U135" s="4">
        <f>(HC[[#This Row],[α ESF]]*HC[[#This Row],[C (kPa)]]*HC[[#This Row],[NSPT]]*HC[[#This Row],[Ap (m²)]])/'DADOS CAP. CARGA'!$Q$2+(HC[[#This Row],[β ESF]]*SUMIFS(HC[10∙(NL/3+1)],HC[Prof. (m)],"&lt;="&amp;HC[[#This Row],[Prof. (m)]],HC[idDiâmetro],HC[[#This Row],[idDiâmetro]],HC[idPilar],HC[[#This Row],[idPilar]])*HC[[#This Row],[U (m)]])/'DADOS CAP. CARGA'!$S$2</f>
        <v>87.899144453564404</v>
      </c>
      <c r="V135" s="4">
        <f>IF(SPT!$M$5=1,MIN(HC[[#This Row],[Pe HC (kN)]],HC[[#This Row],[R_AV (kN)]]),IF(SPT!$M$5=2,MIN(HC[[#This Row],[Pe HC (kN)]],HC[[#This Row],[R_DC (kN)]]),MIN(HC[[#This Row],[Pe HC (kN)]],HC[[#This Row],[R_AV (kN)]],HC[[#This Row],[R_DC (kN)]])))</f>
        <v>87.899144453564404</v>
      </c>
      <c r="W135" s="4">
        <f>INDEX(PILARES[],HC[[#This Row],[idPilar]],MATCH("Carga (kN)",PILARES[#Headers],0))*1.4</f>
        <v>1750</v>
      </c>
      <c r="X135" s="12">
        <f>INDEX(PILARES[],HC[[#This Row],[idPilar]],MATCH(HC[[#Headers],[ap (cm)]],PILARES[#Headers],0))</f>
        <v>50</v>
      </c>
      <c r="Y135" s="12">
        <f>INDEX(PILARES[],HC[[#This Row],[idPilar]],MATCH(HC[[#Headers],[bp (cm)]],PILARES[#Headers],0))</f>
        <v>40</v>
      </c>
      <c r="Z135" s="4">
        <f>SQRT(HC[[#This Row],[ap (cm)]]*HC[[#This Row],[bp (cm)]])</f>
        <v>44.721359549995796</v>
      </c>
      <c r="AA135" s="12">
        <f>HC[[#This Row],[ap (cm)]]*HC[[#This Row],[bp (cm)]]</f>
        <v>2000</v>
      </c>
      <c r="AB135" s="12">
        <f ca="1">IF(HC[[#This Row],[Padm∙ε (kN)]]&gt;=HC[[#This Row],[Padm (kN)]],ROUNDUP(1.05*HC[[#This Row],[Nsd (kN)]]/HC[[#This Row],[Padm (kN)]],0),ROUNDUP(1.05*HC[[#This Row],[Nsd (kN)]]/HC[[#This Row],[Padm (kN)]],0)+1)</f>
        <v>21</v>
      </c>
      <c r="AC135" s="4" t="str">
        <f ca="1">IFERROR(IF(HC[[#This Row],[nE]]=1,HC[[#This Row],[Padm (kN)]],HC[[#This Row],[Padm (kN)]]*HC[[#This Row],[nE]]*INDEX(grupoEstacas[],HC[[#This Row],[nE]],MATCH("ε",grupoEstacas[#Headers],0))),"N.S.")</f>
        <v>N.S.</v>
      </c>
      <c r="AD135" s="4">
        <f ca="1">1.05*HC[[#This Row],[Nsd (kN)]]/(HC[[#This Row],[nE]]*PI()*HC[[#This Row],[Ø (cm)]]^2/4)*10</f>
        <v>0.61679424312430031</v>
      </c>
      <c r="AE135" s="4">
        <f ca="1">IF(HC[[#This Row],[σ (MPa)]]&lt;INDEX(tipoEstaca[],MATCH($D$2,tipoEstaca[TIPO DE ESTACA],0),MATCH("σmáx (MPa)",tipoEstaca[#Headers],0)),0.4%*PI()*HC[[#This Row],[Ø (cm)]]^2/4,"N.S.")</f>
        <v>5.6745017305465639</v>
      </c>
      <c r="AF135" s="1">
        <f>INDEX(tipoEstaca[],MATCH($D$2,tipoEstaca[TIPO DE ESTACA],0),MATCH(HC[[#Headers],[Comprimento (m)]],tipoEstaca[#Headers],0))</f>
        <v>4</v>
      </c>
      <c r="AG135" s="5">
        <f ca="1">HC[[#This Row],[As,mín (cm²)]]/100^2*HC[[#This Row],[Comprimento (m)]]*7850</f>
        <v>17.817935433916212</v>
      </c>
      <c r="AH135" s="4">
        <f ca="1">HC[[#This Row],[nE]]*HC[[#This Row],[Prof. (m)]]*HC[[#This Row],[Ap (m²)]]</f>
        <v>11.916453634147782</v>
      </c>
      <c r="AI135" s="1">
        <f ca="1">IF(HC[[#This Row],[nE]]=1,0,MAX(3*HC[[#This Row],[Ø (cm)]],60))</f>
        <v>127.5</v>
      </c>
      <c r="AJ135" s="1">
        <f ca="1">IF(HC[[#This Row],[nE]]=1,HC[[#This Row],[Ø (cm)]]+2*10,MAX(1.5*HC[[#This Row],[Ø (cm)]],HC[[#This Row],[Ø (cm)]]+15))</f>
        <v>63.75</v>
      </c>
      <c r="AK135" s="1" t="str">
        <f ca="1">alturaUtil(HC[[#This Row],[nE]],HC[[#This Row],[Ø (cm)]],HC[[#This Row],[e (cm)]],HC[[#This Row],[ap,eq (cm)]])</f>
        <v>N.S.</v>
      </c>
      <c r="AL135" s="1" t="str">
        <f ca="1">IFERROR(HC[[#This Row],[d (cm)]]+arredondarParaCimaMultiplo5cm(MAX(5,SQRT(PI())/2*HC[[#This Row],[Ø (cm)]]/5)),"N.S.")</f>
        <v>N.S.</v>
      </c>
      <c r="AM135" s="5" t="str">
        <f ca="1">alpha(HC[[#This Row],[nE]],HC[[#This Row],[d (cm)]],HC[[#This Row],[e (cm)]],HC[[#This Row],[ap,eq (cm)]])</f>
        <v>N.S.</v>
      </c>
      <c r="AN135" s="35" t="str">
        <f ca="1">IFERROR(HC[[#This Row],[Nsd (kN)]]/(HC[[#This Row],[Ap (cm²)]]*SIN(HC[[#This Row],[α]])^2),"N.S.")</f>
        <v>N.S.</v>
      </c>
      <c r="AO135" s="35" t="str">
        <f ca="1">IFERROR(HC[[#This Row],[Nsd (kN)]]/(HC[[#This Row],[nE]]*PI()*HC[[#This Row],[Ø (cm)]]^2/4*SIN(HC[[#This Row],[α]])^2),"N.S.")</f>
        <v>N.S.</v>
      </c>
      <c r="AP135" s="4" t="str">
        <f ca="1">IFERROR(INDEX(grupoEstacas[],HC[[#This Row],[nE]],MATCH("coef. Blévot",grupoEstacas[#Headers],0)),"N.S.")</f>
        <v>N.S.</v>
      </c>
      <c r="AQ135" s="35" t="str">
        <f ca="1">IFERROR(HC[[#This Row],[coef. Blévot]]*0.9*INDEX(tipoEstaca[],MATCH($D$2,tipoEstaca[TIPO DE ESTACA],0),MATCH("fcd (kN/cm²)",tipoEstaca[#Headers],0)),"N.S.")</f>
        <v>N.S.</v>
      </c>
      <c r="AR135" s="1" t="str">
        <f ca="1">IF(AND(HC[[#This Row],[cd,b,pil (kN/cm²)]]&lt;=HC[[#This Row],[cd,b,lim (kN/cm²)]],HC[[#This Row],[cd,b,est (kN/cm²)]]&lt;=HC[[#This Row],[cd,b,lim (kN/cm²)]]),"OK","ERRO")</f>
        <v>OK</v>
      </c>
      <c r="AS135" s="4" t="str">
        <f ca="1">As_lado(HC[[#This Row],[nE]],HC[[#This Row],[Nsd (kN)]],HC[[#This Row],[d (cm)]],HC[[#This Row],[e (cm)]],HC[[#This Row],[ap,eq (cm)]])</f>
        <v>N.S.</v>
      </c>
      <c r="AT135" s="4" t="str">
        <f ca="1">IF(HC[[#This Row],[nE]]=1,HC[[#This Row],[As,lado (cm²)]],IF(HC[[#This Row],[nE]]=2,0.075*2*HC[a (cm)],"N.A."))</f>
        <v>N.A.</v>
      </c>
      <c r="AU135" s="4" t="str">
        <f ca="1">IFERROR(IF(HC[[#This Row],[nE]]=1,"N.A.",0.2*HC[[#This Row],[As,lado (cm²)]]),"N.S.")</f>
        <v>N.S.</v>
      </c>
      <c r="AV135" s="4" t="str">
        <f ca="1">As_malha(HC[[#This Row],[nE]],HC[[#This Row],[As,lado (cm²)]],HC[[#This Row],[Nsd (kN)]])</f>
        <v>N.S.</v>
      </c>
      <c r="AW135" s="4" t="str">
        <f ca="1">As_susp_tot(HC[[#This Row],[nE]],HC[[#This Row],[Nsd (kN)]])</f>
        <v>N.S.</v>
      </c>
      <c r="AX135" s="4" t="str">
        <f ca="1">Asp_face(HC[[#This Row],[nE]],HC[[#This Row],[As,lado (cm²)]])</f>
        <v>N.S.</v>
      </c>
      <c r="AY135" s="5" t="str">
        <f ca="1">acoBloco(HC[[#This Row],[nE]],HC[[#This Row],[e (cm)]],HC[[#This Row],[a (cm)]],HC[[#This Row],[h (cm)]],HC[[#This Row],[As,lado (cm²)]],HC[[#This Row],[Asp e Asw (cm²/m)]],HC[[#This Row],[As,sup (cm²)]],HC[[#This Row],[As,malha (cm²)]],HC[[#This Row],[As,susp,tot (cm²)]],HC[[#This Row],[Asp,face (cm²)]])</f>
        <v>N.S.</v>
      </c>
      <c r="AZ135" s="4" t="str">
        <f ca="1">concretoBloco(HC[[#This Row],[nE]],HC[[#This Row],[e (cm)]],HC[[#This Row],[a (cm)]],HC[[#This Row],[h (cm)]])</f>
        <v>N.S.</v>
      </c>
      <c r="BA135" s="5">
        <f ca="1">SUM(HC[[#This Row],[Aço Est (kg)]],HC[[#This Row],[Aço Bloco (kg)]])</f>
        <v>17.817935433916212</v>
      </c>
      <c r="BB135" s="4">
        <f>INDEX(composicoes[],MATCH(95580,composicoes[CÓDIGO],0),MATCH("CUSTO TOTAL",composicoes[#Headers],0))</f>
        <v>10.46</v>
      </c>
      <c r="BC135" s="4">
        <f ca="1">SUM(HC[[#This Row],[Conc Est (m³)]],HC[[#This Row],[Conc Bloco (m³)]])</f>
        <v>11.916453634147782</v>
      </c>
      <c r="BD135" s="4">
        <f>INDEX(composicoes[],MATCH(94966,composicoes[CÓDIGO],0),MATCH("CUSTO TOTAL",composicoes[#Headers],0))</f>
        <v>439.52</v>
      </c>
      <c r="BE135" s="38">
        <f ca="1">HC[[#This Row],[Aço (kg)]]*HC[[#This Row],[Aço (R$/kg)]]+HC[[#This Row],[Conc (m³)]]*HC[[#This Row],[Conc (R$/m³)]]</f>
        <v>5423.8953059193964</v>
      </c>
      <c r="BF135" s="4" t="str">
        <f ca="1">IF(COUNTIF(HC[#This Row],"N.S.")&gt;0,"lim.","OK")</f>
        <v>lim.</v>
      </c>
      <c r="BG135" s="4" t="str">
        <f>IF(HC[[#This Row],[Prof. (m)]]&lt;4,"lim.","OK")</f>
        <v>OK</v>
      </c>
      <c r="BH135" s="4" t="str">
        <f>IF(HC[[#This Row],[Prof. (m)]]&gt;=8*HC[[#This Row],[Ø (cm)]]/100,"OK","lim.")</f>
        <v>OK</v>
      </c>
      <c r="BI135" s="4" t="str">
        <f ca="1">IF(HC[[#This Row],[Verif. Biela]]="OK","OK","lim.")</f>
        <v>OK</v>
      </c>
      <c r="BJ135" s="4" t="str">
        <f ca="1">IF(COUNTA(HC[[#This Row],[Nº Est.]:[Biela comp.]])=COUNTIF(HC[[#This Row],[Nº Est.]:[Biela comp.]],"OK"),"OK","lim.")</f>
        <v>lim.</v>
      </c>
      <c r="BK135" s="4" t="str">
        <f ca="1">IF(HC[[#This Row],[Controle]]="OK",HC[[#This Row],[nE]]&amp;" Ø"&amp;HC[[#This Row],[Ø (cm)]]&amp;"cm Prof. "&amp;HC[[#This Row],[Prof. (m)]]&amp;" m","")</f>
        <v/>
      </c>
      <c r="BL135" s="4" t="str">
        <f ca="1">IF(HC[[#This Row],[idDimensionamento]]="","",HC[[#This Row],[idPilar]]&amp;HC[[#This Row],[idDimensionamento]])</f>
        <v/>
      </c>
    </row>
    <row r="136" spans="2:64" x14ac:dyDescent="0.25">
      <c r="B136" s="12">
        <f>ROUNDUP((ROW(HC[[#This Row],[idDiâmetro]])-ROW(HC[[#Headers],[idDiâmetro]]))/(COUNT(SPT[Prof. (m)])*COUNT(PILARES[Pilar])),0)</f>
        <v>5</v>
      </c>
      <c r="C136" s="12">
        <f>IF(HC[[#This Row],[idDiâmetro]]&lt;&gt;B135,1,IF(HC[[#This Row],[Prof. (m)]]=0,C135+1,C135))</f>
        <v>2</v>
      </c>
      <c r="D136" s="1">
        <f>IFERROR(IF(D135=MAX(SPT[Prof. (m)]),0,D135+1),0)</f>
        <v>5</v>
      </c>
      <c r="E136" s="1">
        <f>INDEX(SPT[],MATCH(HC[[#This Row],[Prof. (m)]],SPT[Prof. (m)],0),2)</f>
        <v>17</v>
      </c>
      <c r="F136" s="1" t="str">
        <f>INDEX(SPT[],MATCH(HC[[#This Row],[Prof. (m)]],SPT[Prof. (m)],0),3)</f>
        <v>Areia siltosa</v>
      </c>
      <c r="G136" s="1">
        <f>INDEX(estacas[],HC[[#This Row],[idDiâmetro]],MATCH($B$2,estacas[#Headers],0))</f>
        <v>42.5</v>
      </c>
      <c r="H136" s="1">
        <f>INDEX(estacas[],MATCH(HC[[#This Row],[Ø (cm)]],estacas[Ø HC (cm)],0),MATCH(HC[[#Headers],[Pe HC (kN)]],estacas[#Headers],0))</f>
        <v>900</v>
      </c>
      <c r="I136" s="4">
        <f>INDEX(K_alpha_C[],MATCH(HC[[#This Row],[Solo]],K_alpha_C[Solo],0),2)</f>
        <v>0.8</v>
      </c>
      <c r="J136" s="5">
        <f>INDEX(K_alpha_C[],MATCH(HC[[#This Row],[Solo]],K_alpha_C[Solo],0),3)</f>
        <v>2</v>
      </c>
      <c r="K136" s="4">
        <f>INDEX(F1_F2[],MATCH($D$2,F1_F2[Tipo de estaca],0),2)</f>
        <v>2</v>
      </c>
      <c r="L136" s="4">
        <f>INDEX(F1_F2[],MATCH($D$2,F1_F2[Tipo de estaca],0),3)</f>
        <v>4</v>
      </c>
      <c r="M136" s="4">
        <f>PI()*(HC[[#This Row],[Ø (cm)]]/100)^2/4</f>
        <v>0.14186254326366407</v>
      </c>
      <c r="N136" s="4">
        <f>PI()*HC[[#This Row],[Ø (cm)]]/100</f>
        <v>1.3351768777756621</v>
      </c>
      <c r="O136" s="4">
        <f>IF(HC[[#This Row],[Prof. (m)]]=0,0,HC[[#This Row],[α (%)]]/100*HC[[#This Row],[K (MPa)]]*1000*HC[[#This Row],[NSPT]])</f>
        <v>272</v>
      </c>
      <c r="P136" s="4">
        <f>IF(HC[[#This Row],[Prof. (m)]]=0,0,(HC[[#This Row],[K (MPa)]]*1000*HC[[#This Row],[NSPT]]/HC[[#This Row],[F1]]*HC[[#This Row],[Ap (m²)]]+HC[[#This Row],[U (m)]]/HC[[#This Row],[F2]]*SUMIFS(HC[(α∙K∙NL∙ΔL)],HC[Prof. (m)],"&lt;="&amp;HC[[#This Row],[Prof. (m)]],HC[idDiâmetro],HC[[#This Row],[idDiâmetro]],HC[idPilar],HC[[#This Row],[idPilar]]))/'DADOS CAP. CARGA'!$D$2)</f>
        <v>570.45432102965151</v>
      </c>
      <c r="Q136" s="12">
        <f>INDEX(C_alpha_beta[],MATCH(HC[[#This Row],[Solo]],C_alpha_beta[Solo],0),MATCH(HC[[#Headers],[C (kPa)]],C_alpha_beta[#Headers],0))</f>
        <v>400</v>
      </c>
      <c r="R136" s="4">
        <f>INDEX(C_alpha_beta[],MATCH(HC[[#This Row],[Solo]],C_alpha_beta[Solo],0),MATCH(HC[[#Headers],[α ESF]],C_alpha_beta[#Headers],0))</f>
        <v>0.5</v>
      </c>
      <c r="S136" s="4">
        <f>INDEX(C_alpha_beta[],MATCH(HC[[#This Row],[Solo]],C_alpha_beta[Solo],0),MATCH(HC[[#Headers],[β ESF]],C_alpha_beta[#Headers],0))</f>
        <v>0.5</v>
      </c>
      <c r="T136" s="4">
        <f>IF(HC[[#This Row],[Prof. (m)]]=0,0,10*(HC[[#This Row],[NSPT]]/3+1))</f>
        <v>66.666666666666671</v>
      </c>
      <c r="U136" s="4">
        <f>(HC[[#This Row],[α ESF]]*HC[[#This Row],[C (kPa)]]*HC[[#This Row],[NSPT]]*HC[[#This Row],[Ap (m²)]])/'DADOS CAP. CARGA'!$Q$2+(HC[[#This Row],[β ESF]]*SUMIFS(HC[10∙(NL/3+1)],HC[Prof. (m)],"&lt;="&amp;HC[[#This Row],[Prof. (m)]],HC[idDiâmetro],HC[[#This Row],[idDiâmetro]],HC[idPilar],HC[[#This Row],[idPilar]])*HC[[#This Row],[U (m)]])/'DADOS CAP. CARGA'!$S$2</f>
        <v>173.99023688514094</v>
      </c>
      <c r="V136" s="4">
        <f>IF(SPT!$M$5=1,MIN(HC[[#This Row],[Pe HC (kN)]],HC[[#This Row],[R_AV (kN)]]),IF(SPT!$M$5=2,MIN(HC[[#This Row],[Pe HC (kN)]],HC[[#This Row],[R_DC (kN)]]),MIN(HC[[#This Row],[Pe HC (kN)]],HC[[#This Row],[R_AV (kN)]],HC[[#This Row],[R_DC (kN)]])))</f>
        <v>173.99023688514094</v>
      </c>
      <c r="W136" s="4">
        <f>INDEX(PILARES[],HC[[#This Row],[idPilar]],MATCH("Carga (kN)",PILARES[#Headers],0))*1.4</f>
        <v>1750</v>
      </c>
      <c r="X136" s="12">
        <f>INDEX(PILARES[],HC[[#This Row],[idPilar]],MATCH(HC[[#Headers],[ap (cm)]],PILARES[#Headers],0))</f>
        <v>50</v>
      </c>
      <c r="Y136" s="12">
        <f>INDEX(PILARES[],HC[[#This Row],[idPilar]],MATCH(HC[[#Headers],[bp (cm)]],PILARES[#Headers],0))</f>
        <v>40</v>
      </c>
      <c r="Z136" s="4">
        <f>SQRT(HC[[#This Row],[ap (cm)]]*HC[[#This Row],[bp (cm)]])</f>
        <v>44.721359549995796</v>
      </c>
      <c r="AA136" s="12">
        <f>HC[[#This Row],[ap (cm)]]*HC[[#This Row],[bp (cm)]]</f>
        <v>2000</v>
      </c>
      <c r="AB136" s="12">
        <f ca="1">IF(HC[[#This Row],[Padm∙ε (kN)]]&gt;=HC[[#This Row],[Padm (kN)]],ROUNDUP(1.05*HC[[#This Row],[Nsd (kN)]]/HC[[#This Row],[Padm (kN)]],0),ROUNDUP(1.05*HC[[#This Row],[Nsd (kN)]]/HC[[#This Row],[Padm (kN)]],0)+1)</f>
        <v>11</v>
      </c>
      <c r="AC136" s="4" t="str">
        <f ca="1">IFERROR(IF(HC[[#This Row],[nE]]=1,HC[[#This Row],[Padm (kN)]],HC[[#This Row],[Padm (kN)]]*HC[[#This Row],[nE]]*INDEX(grupoEstacas[],HC[[#This Row],[nE]],MATCH("ε",grupoEstacas[#Headers],0))),"N.S.")</f>
        <v>N.S.</v>
      </c>
      <c r="AD136" s="4">
        <f ca="1">1.05*HC[[#This Row],[Nsd (kN)]]/(HC[[#This Row],[nE]]*PI()*HC[[#This Row],[Ø (cm)]]^2/4)*10</f>
        <v>1.1775162823282099</v>
      </c>
      <c r="AE136" s="4">
        <f ca="1">IF(HC[[#This Row],[σ (MPa)]]&lt;INDEX(tipoEstaca[],MATCH($D$2,tipoEstaca[TIPO DE ESTACA],0),MATCH("σmáx (MPa)",tipoEstaca[#Headers],0)),0.4%*PI()*HC[[#This Row],[Ø (cm)]]^2/4,"N.S.")</f>
        <v>5.6745017305465639</v>
      </c>
      <c r="AF136" s="1">
        <f>INDEX(tipoEstaca[],MATCH($D$2,tipoEstaca[TIPO DE ESTACA],0),MATCH(HC[[#Headers],[Comprimento (m)]],tipoEstaca[#Headers],0))</f>
        <v>4</v>
      </c>
      <c r="AG136" s="5">
        <f ca="1">HC[[#This Row],[As,mín (cm²)]]/100^2*HC[[#This Row],[Comprimento (m)]]*7850</f>
        <v>17.817935433916212</v>
      </c>
      <c r="AH136" s="4">
        <f ca="1">HC[[#This Row],[nE]]*HC[[#This Row],[Prof. (m)]]*HC[[#This Row],[Ap (m²)]]</f>
        <v>7.8024398795015237</v>
      </c>
      <c r="AI136" s="1">
        <f ca="1">IF(HC[[#This Row],[nE]]=1,0,MAX(3*HC[[#This Row],[Ø (cm)]],60))</f>
        <v>127.5</v>
      </c>
      <c r="AJ136" s="1">
        <f ca="1">IF(HC[[#This Row],[nE]]=1,HC[[#This Row],[Ø (cm)]]+2*10,MAX(1.5*HC[[#This Row],[Ø (cm)]],HC[[#This Row],[Ø (cm)]]+15))</f>
        <v>63.75</v>
      </c>
      <c r="AK136" s="1" t="str">
        <f ca="1">alturaUtil(HC[[#This Row],[nE]],HC[[#This Row],[Ø (cm)]],HC[[#This Row],[e (cm)]],HC[[#This Row],[ap,eq (cm)]])</f>
        <v>N.S.</v>
      </c>
      <c r="AL136" s="1" t="str">
        <f ca="1">IFERROR(HC[[#This Row],[d (cm)]]+arredondarParaCimaMultiplo5cm(MAX(5,SQRT(PI())/2*HC[[#This Row],[Ø (cm)]]/5)),"N.S.")</f>
        <v>N.S.</v>
      </c>
      <c r="AM136" s="5" t="str">
        <f ca="1">alpha(HC[[#This Row],[nE]],HC[[#This Row],[d (cm)]],HC[[#This Row],[e (cm)]],HC[[#This Row],[ap,eq (cm)]])</f>
        <v>N.S.</v>
      </c>
      <c r="AN136" s="35" t="str">
        <f ca="1">IFERROR(HC[[#This Row],[Nsd (kN)]]/(HC[[#This Row],[Ap (cm²)]]*SIN(HC[[#This Row],[α]])^2),"N.S.")</f>
        <v>N.S.</v>
      </c>
      <c r="AO136" s="35" t="str">
        <f ca="1">IFERROR(HC[[#This Row],[Nsd (kN)]]/(HC[[#This Row],[nE]]*PI()*HC[[#This Row],[Ø (cm)]]^2/4*SIN(HC[[#This Row],[α]])^2),"N.S.")</f>
        <v>N.S.</v>
      </c>
      <c r="AP136" s="4" t="str">
        <f ca="1">IFERROR(INDEX(grupoEstacas[],HC[[#This Row],[nE]],MATCH("coef. Blévot",grupoEstacas[#Headers],0)),"N.S.")</f>
        <v>N.S.</v>
      </c>
      <c r="AQ136" s="35" t="str">
        <f ca="1">IFERROR(HC[[#This Row],[coef. Blévot]]*0.9*INDEX(tipoEstaca[],MATCH($D$2,tipoEstaca[TIPO DE ESTACA],0),MATCH("fcd (kN/cm²)",tipoEstaca[#Headers],0)),"N.S.")</f>
        <v>N.S.</v>
      </c>
      <c r="AR136" s="1" t="str">
        <f ca="1">IF(AND(HC[[#This Row],[cd,b,pil (kN/cm²)]]&lt;=HC[[#This Row],[cd,b,lim (kN/cm²)]],HC[[#This Row],[cd,b,est (kN/cm²)]]&lt;=HC[[#This Row],[cd,b,lim (kN/cm²)]]),"OK","ERRO")</f>
        <v>OK</v>
      </c>
      <c r="AS136" s="4" t="str">
        <f ca="1">As_lado(HC[[#This Row],[nE]],HC[[#This Row],[Nsd (kN)]],HC[[#This Row],[d (cm)]],HC[[#This Row],[e (cm)]],HC[[#This Row],[ap,eq (cm)]])</f>
        <v>N.S.</v>
      </c>
      <c r="AT136" s="4" t="str">
        <f ca="1">IF(HC[[#This Row],[nE]]=1,HC[[#This Row],[As,lado (cm²)]],IF(HC[[#This Row],[nE]]=2,0.075*2*HC[a (cm)],"N.A."))</f>
        <v>N.A.</v>
      </c>
      <c r="AU136" s="4" t="str">
        <f ca="1">IFERROR(IF(HC[[#This Row],[nE]]=1,"N.A.",0.2*HC[[#This Row],[As,lado (cm²)]]),"N.S.")</f>
        <v>N.S.</v>
      </c>
      <c r="AV136" s="4" t="str">
        <f ca="1">As_malha(HC[[#This Row],[nE]],HC[[#This Row],[As,lado (cm²)]],HC[[#This Row],[Nsd (kN)]])</f>
        <v>N.S.</v>
      </c>
      <c r="AW136" s="4" t="str">
        <f ca="1">As_susp_tot(HC[[#This Row],[nE]],HC[[#This Row],[Nsd (kN)]])</f>
        <v>N.S.</v>
      </c>
      <c r="AX136" s="4" t="str">
        <f ca="1">Asp_face(HC[[#This Row],[nE]],HC[[#This Row],[As,lado (cm²)]])</f>
        <v>N.S.</v>
      </c>
      <c r="AY136" s="5" t="str">
        <f ca="1">acoBloco(HC[[#This Row],[nE]],HC[[#This Row],[e (cm)]],HC[[#This Row],[a (cm)]],HC[[#This Row],[h (cm)]],HC[[#This Row],[As,lado (cm²)]],HC[[#This Row],[Asp e Asw (cm²/m)]],HC[[#This Row],[As,sup (cm²)]],HC[[#This Row],[As,malha (cm²)]],HC[[#This Row],[As,susp,tot (cm²)]],HC[[#This Row],[Asp,face (cm²)]])</f>
        <v>N.S.</v>
      </c>
      <c r="AZ136" s="4" t="str">
        <f ca="1">concretoBloco(HC[[#This Row],[nE]],HC[[#This Row],[e (cm)]],HC[[#This Row],[a (cm)]],HC[[#This Row],[h (cm)]])</f>
        <v>N.S.</v>
      </c>
      <c r="BA136" s="5">
        <f ca="1">SUM(HC[[#This Row],[Aço Est (kg)]],HC[[#This Row],[Aço Bloco (kg)]])</f>
        <v>17.817935433916212</v>
      </c>
      <c r="BB136" s="4">
        <f>INDEX(composicoes[],MATCH(95580,composicoes[CÓDIGO],0),MATCH("CUSTO TOTAL",composicoes[#Headers],0))</f>
        <v>10.46</v>
      </c>
      <c r="BC136" s="4">
        <f ca="1">SUM(HC[[#This Row],[Conc Est (m³)]],HC[[#This Row],[Conc Bloco (m³)]])</f>
        <v>7.8024398795015237</v>
      </c>
      <c r="BD136" s="4">
        <f>INDEX(composicoes[],MATCH(94966,composicoes[CÓDIGO],0),MATCH("CUSTO TOTAL",composicoes[#Headers],0))</f>
        <v>439.52</v>
      </c>
      <c r="BE136" s="38">
        <f ca="1">HC[[#This Row],[Aço (kg)]]*HC[[#This Row],[Aço (R$/kg)]]+HC[[#This Row],[Conc (m³)]]*HC[[#This Row],[Conc (R$/m³)]]</f>
        <v>3615.703980477273</v>
      </c>
      <c r="BF136" s="4" t="str">
        <f ca="1">IF(COUNTIF(HC[#This Row],"N.S.")&gt;0,"lim.","OK")</f>
        <v>lim.</v>
      </c>
      <c r="BG136" s="4" t="str">
        <f>IF(HC[[#This Row],[Prof. (m)]]&lt;4,"lim.","OK")</f>
        <v>OK</v>
      </c>
      <c r="BH136" s="4" t="str">
        <f>IF(HC[[#This Row],[Prof. (m)]]&gt;=8*HC[[#This Row],[Ø (cm)]]/100,"OK","lim.")</f>
        <v>OK</v>
      </c>
      <c r="BI136" s="4" t="str">
        <f ca="1">IF(HC[[#This Row],[Verif. Biela]]="OK","OK","lim.")</f>
        <v>OK</v>
      </c>
      <c r="BJ136" s="4" t="str">
        <f ca="1">IF(COUNTA(HC[[#This Row],[Nº Est.]:[Biela comp.]])=COUNTIF(HC[[#This Row],[Nº Est.]:[Biela comp.]],"OK"),"OK","lim.")</f>
        <v>lim.</v>
      </c>
      <c r="BK136" s="4" t="str">
        <f ca="1">IF(HC[[#This Row],[Controle]]="OK",HC[[#This Row],[nE]]&amp;" Ø"&amp;HC[[#This Row],[Ø (cm)]]&amp;"cm Prof. "&amp;HC[[#This Row],[Prof. (m)]]&amp;" m","")</f>
        <v/>
      </c>
      <c r="BL136" s="4" t="str">
        <f ca="1">IF(HC[[#This Row],[idDimensionamento]]="","",HC[[#This Row],[idPilar]]&amp;HC[[#This Row],[idDimensionamento]])</f>
        <v/>
      </c>
    </row>
    <row r="137" spans="2:64" x14ac:dyDescent="0.25">
      <c r="B137" s="12">
        <f>ROUNDUP((ROW(HC[[#This Row],[idDiâmetro]])-ROW(HC[[#Headers],[idDiâmetro]]))/(COUNT(SPT[Prof. (m)])*COUNT(PILARES[Pilar])),0)</f>
        <v>5</v>
      </c>
      <c r="C137" s="12">
        <f>IF(HC[[#This Row],[idDiâmetro]]&lt;&gt;B136,1,IF(HC[[#This Row],[Prof. (m)]]=0,C136+1,C136))</f>
        <v>2</v>
      </c>
      <c r="D137" s="1">
        <f>IFERROR(IF(D136=MAX(SPT[Prof. (m)]),0,D136+1),0)</f>
        <v>6</v>
      </c>
      <c r="E137" s="1">
        <f>INDEX(SPT[],MATCH(HC[[#This Row],[Prof. (m)]],SPT[Prof. (m)],0),2)</f>
        <v>21</v>
      </c>
      <c r="F137" s="1" t="str">
        <f>INDEX(SPT[],MATCH(HC[[#This Row],[Prof. (m)]],SPT[Prof. (m)],0),3)</f>
        <v>Silte arenoso</v>
      </c>
      <c r="G137" s="1">
        <f>INDEX(estacas[],HC[[#This Row],[idDiâmetro]],MATCH($B$2,estacas[#Headers],0))</f>
        <v>42.5</v>
      </c>
      <c r="H137" s="1">
        <f>INDEX(estacas[],MATCH(HC[[#This Row],[Ø (cm)]],estacas[Ø HC (cm)],0),MATCH(HC[[#Headers],[Pe HC (kN)]],estacas[#Headers],0))</f>
        <v>900</v>
      </c>
      <c r="I137" s="4">
        <f>INDEX(K_alpha_C[],MATCH(HC[[#This Row],[Solo]],K_alpha_C[Solo],0),2)</f>
        <v>0.55000000000000004</v>
      </c>
      <c r="J137" s="5">
        <f>INDEX(K_alpha_C[],MATCH(HC[[#This Row],[Solo]],K_alpha_C[Solo],0),3)</f>
        <v>2.2000000000000002</v>
      </c>
      <c r="K137" s="4">
        <f>INDEX(F1_F2[],MATCH($D$2,F1_F2[Tipo de estaca],0),2)</f>
        <v>2</v>
      </c>
      <c r="L137" s="4">
        <f>INDEX(F1_F2[],MATCH($D$2,F1_F2[Tipo de estaca],0),3)</f>
        <v>4</v>
      </c>
      <c r="M137" s="4">
        <f>PI()*(HC[[#This Row],[Ø (cm)]]/100)^2/4</f>
        <v>0.14186254326366407</v>
      </c>
      <c r="N137" s="4">
        <f>PI()*HC[[#This Row],[Ø (cm)]]/100</f>
        <v>1.3351768777756621</v>
      </c>
      <c r="O137" s="4">
        <f>IF(HC[[#This Row],[Prof. (m)]]=0,0,HC[[#This Row],[α (%)]]/100*HC[[#This Row],[K (MPa)]]*1000*HC[[#This Row],[NSPT]])</f>
        <v>254.10000000000002</v>
      </c>
      <c r="P137" s="4">
        <f>IF(HC[[#This Row],[Prof. (m)]]=0,0,(HC[[#This Row],[K (MPa)]]*1000*HC[[#This Row],[NSPT]]/HC[[#This Row],[F1]]*HC[[#This Row],[Ap (m²)]]+HC[[#This Row],[U (m)]]/HC[[#This Row],[F2]]*SUMIFS(HC[(α∙K∙NL∙ΔL)],HC[Prof. (m)],"&lt;="&amp;HC[[#This Row],[Prof. (m)]],HC[idDiâmetro],HC[[#This Row],[idDiâmetro]],HC[idPilar],HC[[#This Row],[idPilar]]))/'DADOS CAP. CARGA'!$D$2)</f>
        <v>540.15832318737318</v>
      </c>
      <c r="Q137" s="12">
        <f>INDEX(C_alpha_beta[],MATCH(HC[[#This Row],[Solo]],C_alpha_beta[Solo],0),MATCH(HC[[#Headers],[C (kPa)]],C_alpha_beta[#Headers],0))</f>
        <v>250</v>
      </c>
      <c r="R137" s="4">
        <f>INDEX(C_alpha_beta[],MATCH(HC[[#This Row],[Solo]],C_alpha_beta[Solo],0),MATCH(HC[[#Headers],[α ESF]],C_alpha_beta[#Headers],0))</f>
        <v>0.6</v>
      </c>
      <c r="S137" s="4">
        <f>INDEX(C_alpha_beta[],MATCH(HC[[#This Row],[Solo]],C_alpha_beta[Solo],0),MATCH(HC[[#Headers],[β ESF]],C_alpha_beta[#Headers],0))</f>
        <v>0.65</v>
      </c>
      <c r="T137" s="4">
        <f>IF(HC[[#This Row],[Prof. (m)]]=0,0,10*(HC[[#This Row],[NSPT]]/3+1))</f>
        <v>80</v>
      </c>
      <c r="U137" s="4">
        <f>(HC[[#This Row],[α ESF]]*HC[[#This Row],[C (kPa)]]*HC[[#This Row],[NSPT]]*HC[[#This Row],[Ap (m²)]])/'DADOS CAP. CARGA'!$Q$2+(HC[[#This Row],[β ESF]]*SUMIFS(HC[10∙(NL/3+1)],HC[Prof. (m)],"&lt;="&amp;HC[[#This Row],[Prof. (m)]],HC[idDiâmetro],HC[[#This Row],[idDiâmetro]],HC[idPilar],HC[[#This Row],[idPilar]])*HC[[#This Row],[U (m)]])/'DADOS CAP. CARGA'!$S$2</f>
        <v>215.86054928663708</v>
      </c>
      <c r="V137" s="4">
        <f>IF(SPT!$M$5=1,MIN(HC[[#This Row],[Pe HC (kN)]],HC[[#This Row],[R_AV (kN)]]),IF(SPT!$M$5=2,MIN(HC[[#This Row],[Pe HC (kN)]],HC[[#This Row],[R_DC (kN)]]),MIN(HC[[#This Row],[Pe HC (kN)]],HC[[#This Row],[R_AV (kN)]],HC[[#This Row],[R_DC (kN)]])))</f>
        <v>215.86054928663708</v>
      </c>
      <c r="W137" s="4">
        <f>INDEX(PILARES[],HC[[#This Row],[idPilar]],MATCH("Carga (kN)",PILARES[#Headers],0))*1.4</f>
        <v>1750</v>
      </c>
      <c r="X137" s="12">
        <f>INDEX(PILARES[],HC[[#This Row],[idPilar]],MATCH(HC[[#Headers],[ap (cm)]],PILARES[#Headers],0))</f>
        <v>50</v>
      </c>
      <c r="Y137" s="12">
        <f>INDEX(PILARES[],HC[[#This Row],[idPilar]],MATCH(HC[[#Headers],[bp (cm)]],PILARES[#Headers],0))</f>
        <v>40</v>
      </c>
      <c r="Z137" s="4">
        <f>SQRT(HC[[#This Row],[ap (cm)]]*HC[[#This Row],[bp (cm)]])</f>
        <v>44.721359549995796</v>
      </c>
      <c r="AA137" s="12">
        <f>HC[[#This Row],[ap (cm)]]*HC[[#This Row],[bp (cm)]]</f>
        <v>2000</v>
      </c>
      <c r="AB137" s="12">
        <f ca="1">IF(HC[[#This Row],[Padm∙ε (kN)]]&gt;=HC[[#This Row],[Padm (kN)]],ROUNDUP(1.05*HC[[#This Row],[Nsd (kN)]]/HC[[#This Row],[Padm (kN)]],0),ROUNDUP(1.05*HC[[#This Row],[Nsd (kN)]]/HC[[#This Row],[Padm (kN)]],0)+1)</f>
        <v>9</v>
      </c>
      <c r="AC137" s="4" t="str">
        <f ca="1">IFERROR(IF(HC[[#This Row],[nE]]=1,HC[[#This Row],[Padm (kN)]],HC[[#This Row],[Padm (kN)]]*HC[[#This Row],[nE]]*INDEX(grupoEstacas[],HC[[#This Row],[nE]],MATCH("ε",grupoEstacas[#Headers],0))),"N.S.")</f>
        <v>N.S.</v>
      </c>
      <c r="AD137" s="4">
        <f ca="1">1.05*HC[[#This Row],[Nsd (kN)]]/(HC[[#This Row],[nE]]*PI()*HC[[#This Row],[Ø (cm)]]^2/4)*10</f>
        <v>1.4391865672900339</v>
      </c>
      <c r="AE137" s="4">
        <f ca="1">IF(HC[[#This Row],[σ (MPa)]]&lt;INDEX(tipoEstaca[],MATCH($D$2,tipoEstaca[TIPO DE ESTACA],0),MATCH("σmáx (MPa)",tipoEstaca[#Headers],0)),0.4%*PI()*HC[[#This Row],[Ø (cm)]]^2/4,"N.S.")</f>
        <v>5.6745017305465639</v>
      </c>
      <c r="AF137" s="1">
        <f>INDEX(tipoEstaca[],MATCH($D$2,tipoEstaca[TIPO DE ESTACA],0),MATCH(HC[[#Headers],[Comprimento (m)]],tipoEstaca[#Headers],0))</f>
        <v>4</v>
      </c>
      <c r="AG137" s="5">
        <f ca="1">HC[[#This Row],[As,mín (cm²)]]/100^2*HC[[#This Row],[Comprimento (m)]]*7850</f>
        <v>17.817935433916212</v>
      </c>
      <c r="AH137" s="4">
        <f ca="1">HC[[#This Row],[nE]]*HC[[#This Row],[Prof. (m)]]*HC[[#This Row],[Ap (m²)]]</f>
        <v>7.6605773362378597</v>
      </c>
      <c r="AI137" s="1">
        <f ca="1">IF(HC[[#This Row],[nE]]=1,0,MAX(3*HC[[#This Row],[Ø (cm)]],60))</f>
        <v>127.5</v>
      </c>
      <c r="AJ137" s="1">
        <f ca="1">IF(HC[[#This Row],[nE]]=1,HC[[#This Row],[Ø (cm)]]+2*10,MAX(1.5*HC[[#This Row],[Ø (cm)]],HC[[#This Row],[Ø (cm)]]+15))</f>
        <v>63.75</v>
      </c>
      <c r="AK137" s="1" t="str">
        <f ca="1">alturaUtil(HC[[#This Row],[nE]],HC[[#This Row],[Ø (cm)]],HC[[#This Row],[e (cm)]],HC[[#This Row],[ap,eq (cm)]])</f>
        <v>N.S.</v>
      </c>
      <c r="AL137" s="1" t="str">
        <f ca="1">IFERROR(HC[[#This Row],[d (cm)]]+arredondarParaCimaMultiplo5cm(MAX(5,SQRT(PI())/2*HC[[#This Row],[Ø (cm)]]/5)),"N.S.")</f>
        <v>N.S.</v>
      </c>
      <c r="AM137" s="5" t="str">
        <f ca="1">alpha(HC[[#This Row],[nE]],HC[[#This Row],[d (cm)]],HC[[#This Row],[e (cm)]],HC[[#This Row],[ap,eq (cm)]])</f>
        <v>N.S.</v>
      </c>
      <c r="AN137" s="35" t="str">
        <f ca="1">IFERROR(HC[[#This Row],[Nsd (kN)]]/(HC[[#This Row],[Ap (cm²)]]*SIN(HC[[#This Row],[α]])^2),"N.S.")</f>
        <v>N.S.</v>
      </c>
      <c r="AO137" s="35" t="str">
        <f ca="1">IFERROR(HC[[#This Row],[Nsd (kN)]]/(HC[[#This Row],[nE]]*PI()*HC[[#This Row],[Ø (cm)]]^2/4*SIN(HC[[#This Row],[α]])^2),"N.S.")</f>
        <v>N.S.</v>
      </c>
      <c r="AP137" s="4" t="str">
        <f ca="1">IFERROR(INDEX(grupoEstacas[],HC[[#This Row],[nE]],MATCH("coef. Blévot",grupoEstacas[#Headers],0)),"N.S.")</f>
        <v>N.S.</v>
      </c>
      <c r="AQ137" s="35" t="str">
        <f ca="1">IFERROR(HC[[#This Row],[coef. Blévot]]*0.9*INDEX(tipoEstaca[],MATCH($D$2,tipoEstaca[TIPO DE ESTACA],0),MATCH("fcd (kN/cm²)",tipoEstaca[#Headers],0)),"N.S.")</f>
        <v>N.S.</v>
      </c>
      <c r="AR137" s="1" t="str">
        <f ca="1">IF(AND(HC[[#This Row],[cd,b,pil (kN/cm²)]]&lt;=HC[[#This Row],[cd,b,lim (kN/cm²)]],HC[[#This Row],[cd,b,est (kN/cm²)]]&lt;=HC[[#This Row],[cd,b,lim (kN/cm²)]]),"OK","ERRO")</f>
        <v>OK</v>
      </c>
      <c r="AS137" s="4" t="str">
        <f ca="1">As_lado(HC[[#This Row],[nE]],HC[[#This Row],[Nsd (kN)]],HC[[#This Row],[d (cm)]],HC[[#This Row],[e (cm)]],HC[[#This Row],[ap,eq (cm)]])</f>
        <v>N.S.</v>
      </c>
      <c r="AT137" s="4" t="str">
        <f ca="1">IF(HC[[#This Row],[nE]]=1,HC[[#This Row],[As,lado (cm²)]],IF(HC[[#This Row],[nE]]=2,0.075*2*HC[a (cm)],"N.A."))</f>
        <v>N.A.</v>
      </c>
      <c r="AU137" s="4" t="str">
        <f ca="1">IFERROR(IF(HC[[#This Row],[nE]]=1,"N.A.",0.2*HC[[#This Row],[As,lado (cm²)]]),"N.S.")</f>
        <v>N.S.</v>
      </c>
      <c r="AV137" s="4" t="str">
        <f ca="1">As_malha(HC[[#This Row],[nE]],HC[[#This Row],[As,lado (cm²)]],HC[[#This Row],[Nsd (kN)]])</f>
        <v>N.S.</v>
      </c>
      <c r="AW137" s="4" t="str">
        <f ca="1">As_susp_tot(HC[[#This Row],[nE]],HC[[#This Row],[Nsd (kN)]])</f>
        <v>N.S.</v>
      </c>
      <c r="AX137" s="4" t="str">
        <f ca="1">Asp_face(HC[[#This Row],[nE]],HC[[#This Row],[As,lado (cm²)]])</f>
        <v>N.S.</v>
      </c>
      <c r="AY137" s="5" t="str">
        <f ca="1">acoBloco(HC[[#This Row],[nE]],HC[[#This Row],[e (cm)]],HC[[#This Row],[a (cm)]],HC[[#This Row],[h (cm)]],HC[[#This Row],[As,lado (cm²)]],HC[[#This Row],[Asp e Asw (cm²/m)]],HC[[#This Row],[As,sup (cm²)]],HC[[#This Row],[As,malha (cm²)]],HC[[#This Row],[As,susp,tot (cm²)]],HC[[#This Row],[Asp,face (cm²)]])</f>
        <v>N.S.</v>
      </c>
      <c r="AZ137" s="4" t="str">
        <f ca="1">concretoBloco(HC[[#This Row],[nE]],HC[[#This Row],[e (cm)]],HC[[#This Row],[a (cm)]],HC[[#This Row],[h (cm)]])</f>
        <v>N.S.</v>
      </c>
      <c r="BA137" s="5">
        <f ca="1">SUM(HC[[#This Row],[Aço Est (kg)]],HC[[#This Row],[Aço Bloco (kg)]])</f>
        <v>17.817935433916212</v>
      </c>
      <c r="BB137" s="4">
        <f>INDEX(composicoes[],MATCH(95580,composicoes[CÓDIGO],0),MATCH("CUSTO TOTAL",composicoes[#Headers],0))</f>
        <v>10.46</v>
      </c>
      <c r="BC137" s="4">
        <f ca="1">SUM(HC[[#This Row],[Conc Est (m³)]],HC[[#This Row],[Conc Bloco (m³)]])</f>
        <v>7.6605773362378597</v>
      </c>
      <c r="BD137" s="4">
        <f>INDEX(composicoes[],MATCH(94966,composicoes[CÓDIGO],0),MATCH("CUSTO TOTAL",composicoes[#Headers],0))</f>
        <v>439.52</v>
      </c>
      <c r="BE137" s="38">
        <f ca="1">HC[[#This Row],[Aço (kg)]]*HC[[#This Row],[Aço (R$/kg)]]+HC[[#This Row],[Conc (m³)]]*HC[[#This Row],[Conc (R$/m³)]]</f>
        <v>3553.3525554620273</v>
      </c>
      <c r="BF137" s="4" t="str">
        <f ca="1">IF(COUNTIF(HC[#This Row],"N.S.")&gt;0,"lim.","OK")</f>
        <v>lim.</v>
      </c>
      <c r="BG137" s="4" t="str">
        <f>IF(HC[[#This Row],[Prof. (m)]]&lt;4,"lim.","OK")</f>
        <v>OK</v>
      </c>
      <c r="BH137" s="4" t="str">
        <f>IF(HC[[#This Row],[Prof. (m)]]&gt;=8*HC[[#This Row],[Ø (cm)]]/100,"OK","lim.")</f>
        <v>OK</v>
      </c>
      <c r="BI137" s="4" t="str">
        <f ca="1">IF(HC[[#This Row],[Verif. Biela]]="OK","OK","lim.")</f>
        <v>OK</v>
      </c>
      <c r="BJ137" s="4" t="str">
        <f ca="1">IF(COUNTA(HC[[#This Row],[Nº Est.]:[Biela comp.]])=COUNTIF(HC[[#This Row],[Nº Est.]:[Biela comp.]],"OK"),"OK","lim.")</f>
        <v>lim.</v>
      </c>
      <c r="BK137" s="4" t="str">
        <f ca="1">IF(HC[[#This Row],[Controle]]="OK",HC[[#This Row],[nE]]&amp;" Ø"&amp;HC[[#This Row],[Ø (cm)]]&amp;"cm Prof. "&amp;HC[[#This Row],[Prof. (m)]]&amp;" m","")</f>
        <v/>
      </c>
      <c r="BL137" s="4" t="str">
        <f ca="1">IF(HC[[#This Row],[idDimensionamento]]="","",HC[[#This Row],[idPilar]]&amp;HC[[#This Row],[idDimensionamento]])</f>
        <v/>
      </c>
    </row>
    <row r="138" spans="2:64" x14ac:dyDescent="0.25">
      <c r="B138" s="12">
        <f>ROUNDUP((ROW(HC[[#This Row],[idDiâmetro]])-ROW(HC[[#Headers],[idDiâmetro]]))/(COUNT(SPT[Prof. (m)])*COUNT(PILARES[Pilar])),0)</f>
        <v>5</v>
      </c>
      <c r="C138" s="12">
        <f>IF(HC[[#This Row],[idDiâmetro]]&lt;&gt;B137,1,IF(HC[[#This Row],[Prof. (m)]]=0,C137+1,C137))</f>
        <v>2</v>
      </c>
      <c r="D138" s="1">
        <f>IFERROR(IF(D137=MAX(SPT[Prof. (m)]),0,D137+1),0)</f>
        <v>7</v>
      </c>
      <c r="E138" s="1">
        <f>INDEX(SPT[],MATCH(HC[[#This Row],[Prof. (m)]],SPT[Prof. (m)],0),2)</f>
        <v>8</v>
      </c>
      <c r="F138" s="1" t="str">
        <f>INDEX(SPT[],MATCH(HC[[#This Row],[Prof. (m)]],SPT[Prof. (m)],0),3)</f>
        <v>Silte arenoso</v>
      </c>
      <c r="G138" s="1">
        <f>INDEX(estacas[],HC[[#This Row],[idDiâmetro]],MATCH($B$2,estacas[#Headers],0))</f>
        <v>42.5</v>
      </c>
      <c r="H138" s="1">
        <f>INDEX(estacas[],MATCH(HC[[#This Row],[Ø (cm)]],estacas[Ø HC (cm)],0),MATCH(HC[[#Headers],[Pe HC (kN)]],estacas[#Headers],0))</f>
        <v>900</v>
      </c>
      <c r="I138" s="4">
        <f>INDEX(K_alpha_C[],MATCH(HC[[#This Row],[Solo]],K_alpha_C[Solo],0),2)</f>
        <v>0.55000000000000004</v>
      </c>
      <c r="J138" s="5">
        <f>INDEX(K_alpha_C[],MATCH(HC[[#This Row],[Solo]],K_alpha_C[Solo],0),3)</f>
        <v>2.2000000000000002</v>
      </c>
      <c r="K138" s="4">
        <f>INDEX(F1_F2[],MATCH($D$2,F1_F2[Tipo de estaca],0),2)</f>
        <v>2</v>
      </c>
      <c r="L138" s="4">
        <f>INDEX(F1_F2[],MATCH($D$2,F1_F2[Tipo de estaca],0),3)</f>
        <v>4</v>
      </c>
      <c r="M138" s="4">
        <f>PI()*(HC[[#This Row],[Ø (cm)]]/100)^2/4</f>
        <v>0.14186254326366407</v>
      </c>
      <c r="N138" s="4">
        <f>PI()*HC[[#This Row],[Ø (cm)]]/100</f>
        <v>1.3351768777756621</v>
      </c>
      <c r="O138" s="4">
        <f>IF(HC[[#This Row],[Prof. (m)]]=0,0,HC[[#This Row],[α (%)]]/100*HC[[#This Row],[K (MPa)]]*1000*HC[[#This Row],[NSPT]])</f>
        <v>96.800000000000011</v>
      </c>
      <c r="P138" s="4">
        <f>IF(HC[[#This Row],[Prof. (m)]]=0,0,(HC[[#This Row],[K (MPa)]]*1000*HC[[#This Row],[NSPT]]/HC[[#This Row],[F1]]*HC[[#This Row],[Ap (m²)]]+HC[[#This Row],[U (m)]]/HC[[#This Row],[F2]]*SUMIFS(HC[(α∙K∙NL∙ΔL)],HC[Prof. (m)],"&lt;="&amp;HC[[#This Row],[Prof. (m)]],HC[idDiâmetro],HC[[#This Row],[idDiâmetro]],HC[idPilar],HC[[#This Row],[idPilar]]))/'DADOS CAP. CARGA'!$D$2)</f>
        <v>302.7346673246592</v>
      </c>
      <c r="Q138" s="12">
        <f>INDEX(C_alpha_beta[],MATCH(HC[[#This Row],[Solo]],C_alpha_beta[Solo],0),MATCH(HC[[#Headers],[C (kPa)]],C_alpha_beta[#Headers],0))</f>
        <v>250</v>
      </c>
      <c r="R138" s="4">
        <f>INDEX(C_alpha_beta[],MATCH(HC[[#This Row],[Solo]],C_alpha_beta[Solo],0),MATCH(HC[[#Headers],[α ESF]],C_alpha_beta[#Headers],0))</f>
        <v>0.6</v>
      </c>
      <c r="S138" s="4">
        <f>INDEX(C_alpha_beta[],MATCH(HC[[#This Row],[Solo]],C_alpha_beta[Solo],0),MATCH(HC[[#Headers],[β ESF]],C_alpha_beta[#Headers],0))</f>
        <v>0.65</v>
      </c>
      <c r="T138" s="4">
        <f>IF(HC[[#This Row],[Prof. (m)]]=0,0,10*(HC[[#This Row],[NSPT]]/3+1))</f>
        <v>36.666666666666664</v>
      </c>
      <c r="U138" s="4">
        <f>(HC[[#This Row],[α ESF]]*HC[[#This Row],[C (kPa)]]*HC[[#This Row],[NSPT]]*HC[[#This Row],[Ap (m²)]])/'DADOS CAP. CARGA'!$Q$2+(HC[[#This Row],[β ESF]]*SUMIFS(HC[10∙(NL/3+1)],HC[Prof. (m)],"&lt;="&amp;HC[[#This Row],[Prof. (m)]],HC[idDiâmetro],HC[[#This Row],[idDiâmetro]],HC[idPilar],HC[[#This Row],[idPilar]])*HC[[#This Row],[U (m)]])/'DADOS CAP. CARGA'!$S$2</f>
        <v>162.61341723909416</v>
      </c>
      <c r="V138" s="4">
        <f>IF(SPT!$M$5=1,MIN(HC[[#This Row],[Pe HC (kN)]],HC[[#This Row],[R_AV (kN)]]),IF(SPT!$M$5=2,MIN(HC[[#This Row],[Pe HC (kN)]],HC[[#This Row],[R_DC (kN)]]),MIN(HC[[#This Row],[Pe HC (kN)]],HC[[#This Row],[R_AV (kN)]],HC[[#This Row],[R_DC (kN)]])))</f>
        <v>162.61341723909416</v>
      </c>
      <c r="W138" s="4">
        <f>INDEX(PILARES[],HC[[#This Row],[idPilar]],MATCH("Carga (kN)",PILARES[#Headers],0))*1.4</f>
        <v>1750</v>
      </c>
      <c r="X138" s="12">
        <f>INDEX(PILARES[],HC[[#This Row],[idPilar]],MATCH(HC[[#Headers],[ap (cm)]],PILARES[#Headers],0))</f>
        <v>50</v>
      </c>
      <c r="Y138" s="12">
        <f>INDEX(PILARES[],HC[[#This Row],[idPilar]],MATCH(HC[[#Headers],[bp (cm)]],PILARES[#Headers],0))</f>
        <v>40</v>
      </c>
      <c r="Z138" s="4">
        <f>SQRT(HC[[#This Row],[ap (cm)]]*HC[[#This Row],[bp (cm)]])</f>
        <v>44.721359549995796</v>
      </c>
      <c r="AA138" s="12">
        <f>HC[[#This Row],[ap (cm)]]*HC[[#This Row],[bp (cm)]]</f>
        <v>2000</v>
      </c>
      <c r="AB138" s="12">
        <f ca="1">IF(HC[[#This Row],[Padm∙ε (kN)]]&gt;=HC[[#This Row],[Padm (kN)]],ROUNDUP(1.05*HC[[#This Row],[Nsd (kN)]]/HC[[#This Row],[Padm (kN)]],0),ROUNDUP(1.05*HC[[#This Row],[Nsd (kN)]]/HC[[#This Row],[Padm (kN)]],0)+1)</f>
        <v>12</v>
      </c>
      <c r="AC138" s="4" t="str">
        <f ca="1">IFERROR(IF(HC[[#This Row],[nE]]=1,HC[[#This Row],[Padm (kN)]],HC[[#This Row],[Padm (kN)]]*HC[[#This Row],[nE]]*INDEX(grupoEstacas[],HC[[#This Row],[nE]],MATCH("ε",grupoEstacas[#Headers],0))),"N.S.")</f>
        <v>N.S.</v>
      </c>
      <c r="AD138" s="4">
        <f ca="1">1.05*HC[[#This Row],[Nsd (kN)]]/(HC[[#This Row],[nE]]*PI()*HC[[#This Row],[Ø (cm)]]^2/4)*10</f>
        <v>1.0793899254675254</v>
      </c>
      <c r="AE138" s="4">
        <f ca="1">IF(HC[[#This Row],[σ (MPa)]]&lt;INDEX(tipoEstaca[],MATCH($D$2,tipoEstaca[TIPO DE ESTACA],0),MATCH("σmáx (MPa)",tipoEstaca[#Headers],0)),0.4%*PI()*HC[[#This Row],[Ø (cm)]]^2/4,"N.S.")</f>
        <v>5.6745017305465639</v>
      </c>
      <c r="AF138" s="1">
        <f>INDEX(tipoEstaca[],MATCH($D$2,tipoEstaca[TIPO DE ESTACA],0),MATCH(HC[[#Headers],[Comprimento (m)]],tipoEstaca[#Headers],0))</f>
        <v>4</v>
      </c>
      <c r="AG138" s="5">
        <f ca="1">HC[[#This Row],[As,mín (cm²)]]/100^2*HC[[#This Row],[Comprimento (m)]]*7850</f>
        <v>17.817935433916212</v>
      </c>
      <c r="AH138" s="4">
        <f ca="1">HC[[#This Row],[nE]]*HC[[#This Row],[Prof. (m)]]*HC[[#This Row],[Ap (m²)]]</f>
        <v>11.916453634147782</v>
      </c>
      <c r="AI138" s="1">
        <f ca="1">IF(HC[[#This Row],[nE]]=1,0,MAX(3*HC[[#This Row],[Ø (cm)]],60))</f>
        <v>127.5</v>
      </c>
      <c r="AJ138" s="1">
        <f ca="1">IF(HC[[#This Row],[nE]]=1,HC[[#This Row],[Ø (cm)]]+2*10,MAX(1.5*HC[[#This Row],[Ø (cm)]],HC[[#This Row],[Ø (cm)]]+15))</f>
        <v>63.75</v>
      </c>
      <c r="AK138" s="1" t="str">
        <f ca="1">alturaUtil(HC[[#This Row],[nE]],HC[[#This Row],[Ø (cm)]],HC[[#This Row],[e (cm)]],HC[[#This Row],[ap,eq (cm)]])</f>
        <v>N.S.</v>
      </c>
      <c r="AL138" s="1" t="str">
        <f ca="1">IFERROR(HC[[#This Row],[d (cm)]]+arredondarParaCimaMultiplo5cm(MAX(5,SQRT(PI())/2*HC[[#This Row],[Ø (cm)]]/5)),"N.S.")</f>
        <v>N.S.</v>
      </c>
      <c r="AM138" s="5" t="str">
        <f ca="1">alpha(HC[[#This Row],[nE]],HC[[#This Row],[d (cm)]],HC[[#This Row],[e (cm)]],HC[[#This Row],[ap,eq (cm)]])</f>
        <v>N.S.</v>
      </c>
      <c r="AN138" s="35" t="str">
        <f ca="1">IFERROR(HC[[#This Row],[Nsd (kN)]]/(HC[[#This Row],[Ap (cm²)]]*SIN(HC[[#This Row],[α]])^2),"N.S.")</f>
        <v>N.S.</v>
      </c>
      <c r="AO138" s="35" t="str">
        <f ca="1">IFERROR(HC[[#This Row],[Nsd (kN)]]/(HC[[#This Row],[nE]]*PI()*HC[[#This Row],[Ø (cm)]]^2/4*SIN(HC[[#This Row],[α]])^2),"N.S.")</f>
        <v>N.S.</v>
      </c>
      <c r="AP138" s="4" t="str">
        <f ca="1">IFERROR(INDEX(grupoEstacas[],HC[[#This Row],[nE]],MATCH("coef. Blévot",grupoEstacas[#Headers],0)),"N.S.")</f>
        <v>N.S.</v>
      </c>
      <c r="AQ138" s="35" t="str">
        <f ca="1">IFERROR(HC[[#This Row],[coef. Blévot]]*0.9*INDEX(tipoEstaca[],MATCH($D$2,tipoEstaca[TIPO DE ESTACA],0),MATCH("fcd (kN/cm²)",tipoEstaca[#Headers],0)),"N.S.")</f>
        <v>N.S.</v>
      </c>
      <c r="AR138" s="1" t="str">
        <f ca="1">IF(AND(HC[[#This Row],[cd,b,pil (kN/cm²)]]&lt;=HC[[#This Row],[cd,b,lim (kN/cm²)]],HC[[#This Row],[cd,b,est (kN/cm²)]]&lt;=HC[[#This Row],[cd,b,lim (kN/cm²)]]),"OK","ERRO")</f>
        <v>OK</v>
      </c>
      <c r="AS138" s="4" t="str">
        <f ca="1">As_lado(HC[[#This Row],[nE]],HC[[#This Row],[Nsd (kN)]],HC[[#This Row],[d (cm)]],HC[[#This Row],[e (cm)]],HC[[#This Row],[ap,eq (cm)]])</f>
        <v>N.S.</v>
      </c>
      <c r="AT138" s="4" t="str">
        <f ca="1">IF(HC[[#This Row],[nE]]=1,HC[[#This Row],[As,lado (cm²)]],IF(HC[[#This Row],[nE]]=2,0.075*2*HC[a (cm)],"N.A."))</f>
        <v>N.A.</v>
      </c>
      <c r="AU138" s="4" t="str">
        <f ca="1">IFERROR(IF(HC[[#This Row],[nE]]=1,"N.A.",0.2*HC[[#This Row],[As,lado (cm²)]]),"N.S.")</f>
        <v>N.S.</v>
      </c>
      <c r="AV138" s="4" t="str">
        <f ca="1">As_malha(HC[[#This Row],[nE]],HC[[#This Row],[As,lado (cm²)]],HC[[#This Row],[Nsd (kN)]])</f>
        <v>N.S.</v>
      </c>
      <c r="AW138" s="4" t="str">
        <f ca="1">As_susp_tot(HC[[#This Row],[nE]],HC[[#This Row],[Nsd (kN)]])</f>
        <v>N.S.</v>
      </c>
      <c r="AX138" s="4" t="str">
        <f ca="1">Asp_face(HC[[#This Row],[nE]],HC[[#This Row],[As,lado (cm²)]])</f>
        <v>N.S.</v>
      </c>
      <c r="AY138" s="5" t="str">
        <f ca="1">acoBloco(HC[[#This Row],[nE]],HC[[#This Row],[e (cm)]],HC[[#This Row],[a (cm)]],HC[[#This Row],[h (cm)]],HC[[#This Row],[As,lado (cm²)]],HC[[#This Row],[Asp e Asw (cm²/m)]],HC[[#This Row],[As,sup (cm²)]],HC[[#This Row],[As,malha (cm²)]],HC[[#This Row],[As,susp,tot (cm²)]],HC[[#This Row],[Asp,face (cm²)]])</f>
        <v>N.S.</v>
      </c>
      <c r="AZ138" s="4" t="str">
        <f ca="1">concretoBloco(HC[[#This Row],[nE]],HC[[#This Row],[e (cm)]],HC[[#This Row],[a (cm)]],HC[[#This Row],[h (cm)]])</f>
        <v>N.S.</v>
      </c>
      <c r="BA138" s="5">
        <f ca="1">SUM(HC[[#This Row],[Aço Est (kg)]],HC[[#This Row],[Aço Bloco (kg)]])</f>
        <v>17.817935433916212</v>
      </c>
      <c r="BB138" s="4">
        <f>INDEX(composicoes[],MATCH(95580,composicoes[CÓDIGO],0),MATCH("CUSTO TOTAL",composicoes[#Headers],0))</f>
        <v>10.46</v>
      </c>
      <c r="BC138" s="4">
        <f ca="1">SUM(HC[[#This Row],[Conc Est (m³)]],HC[[#This Row],[Conc Bloco (m³)]])</f>
        <v>11.916453634147782</v>
      </c>
      <c r="BD138" s="4">
        <f>INDEX(composicoes[],MATCH(94966,composicoes[CÓDIGO],0),MATCH("CUSTO TOTAL",composicoes[#Headers],0))</f>
        <v>439.52</v>
      </c>
      <c r="BE138" s="38">
        <f ca="1">HC[[#This Row],[Aço (kg)]]*HC[[#This Row],[Aço (R$/kg)]]+HC[[#This Row],[Conc (m³)]]*HC[[#This Row],[Conc (R$/m³)]]</f>
        <v>5423.8953059193964</v>
      </c>
      <c r="BF138" s="4" t="str">
        <f ca="1">IF(COUNTIF(HC[#This Row],"N.S.")&gt;0,"lim.","OK")</f>
        <v>lim.</v>
      </c>
      <c r="BG138" s="4" t="str">
        <f>IF(HC[[#This Row],[Prof. (m)]]&lt;4,"lim.","OK")</f>
        <v>OK</v>
      </c>
      <c r="BH138" s="4" t="str">
        <f>IF(HC[[#This Row],[Prof. (m)]]&gt;=8*HC[[#This Row],[Ø (cm)]]/100,"OK","lim.")</f>
        <v>OK</v>
      </c>
      <c r="BI138" s="4" t="str">
        <f ca="1">IF(HC[[#This Row],[Verif. Biela]]="OK","OK","lim.")</f>
        <v>OK</v>
      </c>
      <c r="BJ138" s="4" t="str">
        <f ca="1">IF(COUNTA(HC[[#This Row],[Nº Est.]:[Biela comp.]])=COUNTIF(HC[[#This Row],[Nº Est.]:[Biela comp.]],"OK"),"OK","lim.")</f>
        <v>lim.</v>
      </c>
      <c r="BK138" s="4" t="str">
        <f ca="1">IF(HC[[#This Row],[Controle]]="OK",HC[[#This Row],[nE]]&amp;" Ø"&amp;HC[[#This Row],[Ø (cm)]]&amp;"cm Prof. "&amp;HC[[#This Row],[Prof. (m)]]&amp;" m","")</f>
        <v/>
      </c>
      <c r="BL138" s="4" t="str">
        <f ca="1">IF(HC[[#This Row],[idDimensionamento]]="","",HC[[#This Row],[idPilar]]&amp;HC[[#This Row],[idDimensionamento]])</f>
        <v/>
      </c>
    </row>
    <row r="139" spans="2:64" x14ac:dyDescent="0.25">
      <c r="B139" s="12">
        <f>ROUNDUP((ROW(HC[[#This Row],[idDiâmetro]])-ROW(HC[[#Headers],[idDiâmetro]]))/(COUNT(SPT[Prof. (m)])*COUNT(PILARES[Pilar])),0)</f>
        <v>5</v>
      </c>
      <c r="C139" s="12">
        <f>IF(HC[[#This Row],[idDiâmetro]]&lt;&gt;B138,1,IF(HC[[#This Row],[Prof. (m)]]=0,C138+1,C138))</f>
        <v>2</v>
      </c>
      <c r="D139" s="1">
        <f>IFERROR(IF(D138=MAX(SPT[Prof. (m)]),0,D138+1),0)</f>
        <v>8</v>
      </c>
      <c r="E139" s="1">
        <f>INDEX(SPT[],MATCH(HC[[#This Row],[Prof. (m)]],SPT[Prof. (m)],0),2)</f>
        <v>10</v>
      </c>
      <c r="F139" s="1" t="str">
        <f>INDEX(SPT[],MATCH(HC[[#This Row],[Prof. (m)]],SPT[Prof. (m)],0),3)</f>
        <v>Silte arenoso</v>
      </c>
      <c r="G139" s="1">
        <f>INDEX(estacas[],HC[[#This Row],[idDiâmetro]],MATCH($B$2,estacas[#Headers],0))</f>
        <v>42.5</v>
      </c>
      <c r="H139" s="1">
        <f>INDEX(estacas[],MATCH(HC[[#This Row],[Ø (cm)]],estacas[Ø HC (cm)],0),MATCH(HC[[#Headers],[Pe HC (kN)]],estacas[#Headers],0))</f>
        <v>900</v>
      </c>
      <c r="I139" s="4">
        <f>INDEX(K_alpha_C[],MATCH(HC[[#This Row],[Solo]],K_alpha_C[Solo],0),2)</f>
        <v>0.55000000000000004</v>
      </c>
      <c r="J139" s="5">
        <f>INDEX(K_alpha_C[],MATCH(HC[[#This Row],[Solo]],K_alpha_C[Solo],0),3)</f>
        <v>2.2000000000000002</v>
      </c>
      <c r="K139" s="4">
        <f>INDEX(F1_F2[],MATCH($D$2,F1_F2[Tipo de estaca],0),2)</f>
        <v>2</v>
      </c>
      <c r="L139" s="4">
        <f>INDEX(F1_F2[],MATCH($D$2,F1_F2[Tipo de estaca],0),3)</f>
        <v>4</v>
      </c>
      <c r="M139" s="4">
        <f>PI()*(HC[[#This Row],[Ø (cm)]]/100)^2/4</f>
        <v>0.14186254326366407</v>
      </c>
      <c r="N139" s="4">
        <f>PI()*HC[[#This Row],[Ø (cm)]]/100</f>
        <v>1.3351768777756621</v>
      </c>
      <c r="O139" s="4">
        <f>IF(HC[[#This Row],[Prof. (m)]]=0,0,HC[[#This Row],[α (%)]]/100*HC[[#This Row],[K (MPa)]]*1000*HC[[#This Row],[NSPT]])</f>
        <v>121.00000000000001</v>
      </c>
      <c r="P139" s="4">
        <f>IF(HC[[#This Row],[Prof. (m)]]=0,0,(HC[[#This Row],[K (MPa)]]*1000*HC[[#This Row],[NSPT]]/HC[[#This Row],[F1]]*HC[[#This Row],[Ap (m²)]]+HC[[#This Row],[U (m)]]/HC[[#This Row],[F2]]*SUMIFS(HC[(α∙K∙NL∙ΔL)],HC[Prof. (m)],"&lt;="&amp;HC[[#This Row],[Prof. (m)]],HC[idDiâmetro],HC[[#This Row],[idDiâmetro]],HC[idPilar],HC[[#This Row],[idPilar]]))/'DADOS CAP. CARGA'!$D$2)</f>
        <v>361.94141699852366</v>
      </c>
      <c r="Q139" s="12">
        <f>INDEX(C_alpha_beta[],MATCH(HC[[#This Row],[Solo]],C_alpha_beta[Solo],0),MATCH(HC[[#Headers],[C (kPa)]],C_alpha_beta[#Headers],0))</f>
        <v>250</v>
      </c>
      <c r="R139" s="4">
        <f>INDEX(C_alpha_beta[],MATCH(HC[[#This Row],[Solo]],C_alpha_beta[Solo],0),MATCH(HC[[#Headers],[α ESF]],C_alpha_beta[#Headers],0))</f>
        <v>0.6</v>
      </c>
      <c r="S139" s="4">
        <f>INDEX(C_alpha_beta[],MATCH(HC[[#This Row],[Solo]],C_alpha_beta[Solo],0),MATCH(HC[[#Headers],[β ESF]],C_alpha_beta[#Headers],0))</f>
        <v>0.65</v>
      </c>
      <c r="T139" s="4">
        <f>IF(HC[[#This Row],[Prof. (m)]]=0,0,10*(HC[[#This Row],[NSPT]]/3+1))</f>
        <v>43.333333333333343</v>
      </c>
      <c r="U139" s="4">
        <f>(HC[[#This Row],[α ESF]]*HC[[#This Row],[C (kPa)]]*HC[[#This Row],[NSPT]]*HC[[#This Row],[Ap (m²)]])/'DADOS CAP. CARGA'!$Q$2+(HC[[#This Row],[β ESF]]*SUMIFS(HC[10∙(NL/3+1)],HC[Prof. (m)],"&lt;="&amp;HC[[#This Row],[Prof. (m)]],HC[idDiâmetro],HC[[#This Row],[idDiâmetro]],HC[idPilar],HC[[#This Row],[idPilar]])*HC[[#This Row],[U (m)]])/'DADOS CAP. CARGA'!$S$2</f>
        <v>192.05684901254287</v>
      </c>
      <c r="V139" s="4">
        <f>IF(SPT!$M$5=1,MIN(HC[[#This Row],[Pe HC (kN)]],HC[[#This Row],[R_AV (kN)]]),IF(SPT!$M$5=2,MIN(HC[[#This Row],[Pe HC (kN)]],HC[[#This Row],[R_DC (kN)]]),MIN(HC[[#This Row],[Pe HC (kN)]],HC[[#This Row],[R_AV (kN)]],HC[[#This Row],[R_DC (kN)]])))</f>
        <v>192.05684901254287</v>
      </c>
      <c r="W139" s="4">
        <f>INDEX(PILARES[],HC[[#This Row],[idPilar]],MATCH("Carga (kN)",PILARES[#Headers],0))*1.4</f>
        <v>1750</v>
      </c>
      <c r="X139" s="12">
        <f>INDEX(PILARES[],HC[[#This Row],[idPilar]],MATCH(HC[[#Headers],[ap (cm)]],PILARES[#Headers],0))</f>
        <v>50</v>
      </c>
      <c r="Y139" s="12">
        <f>INDEX(PILARES[],HC[[#This Row],[idPilar]],MATCH(HC[[#Headers],[bp (cm)]],PILARES[#Headers],0))</f>
        <v>40</v>
      </c>
      <c r="Z139" s="4">
        <f>SQRT(HC[[#This Row],[ap (cm)]]*HC[[#This Row],[bp (cm)]])</f>
        <v>44.721359549995796</v>
      </c>
      <c r="AA139" s="12">
        <f>HC[[#This Row],[ap (cm)]]*HC[[#This Row],[bp (cm)]]</f>
        <v>2000</v>
      </c>
      <c r="AB139" s="12">
        <f ca="1">IF(HC[[#This Row],[Padm∙ε (kN)]]&gt;=HC[[#This Row],[Padm (kN)]],ROUNDUP(1.05*HC[[#This Row],[Nsd (kN)]]/HC[[#This Row],[Padm (kN)]],0),ROUNDUP(1.05*HC[[#This Row],[Nsd (kN)]]/HC[[#This Row],[Padm (kN)]],0)+1)</f>
        <v>10</v>
      </c>
      <c r="AC139" s="4" t="str">
        <f ca="1">IFERROR(IF(HC[[#This Row],[nE]]=1,HC[[#This Row],[Padm (kN)]],HC[[#This Row],[Padm (kN)]]*HC[[#This Row],[nE]]*INDEX(grupoEstacas[],HC[[#This Row],[nE]],MATCH("ε",grupoEstacas[#Headers],0))),"N.S.")</f>
        <v>N.S.</v>
      </c>
      <c r="AD139" s="4">
        <f ca="1">1.05*HC[[#This Row],[Nsd (kN)]]/(HC[[#This Row],[nE]]*PI()*HC[[#This Row],[Ø (cm)]]^2/4)*10</f>
        <v>1.2952679105610305</v>
      </c>
      <c r="AE139" s="4">
        <f ca="1">IF(HC[[#This Row],[σ (MPa)]]&lt;INDEX(tipoEstaca[],MATCH($D$2,tipoEstaca[TIPO DE ESTACA],0),MATCH("σmáx (MPa)",tipoEstaca[#Headers],0)),0.4%*PI()*HC[[#This Row],[Ø (cm)]]^2/4,"N.S.")</f>
        <v>5.6745017305465639</v>
      </c>
      <c r="AF139" s="1">
        <f>INDEX(tipoEstaca[],MATCH($D$2,tipoEstaca[TIPO DE ESTACA],0),MATCH(HC[[#Headers],[Comprimento (m)]],tipoEstaca[#Headers],0))</f>
        <v>4</v>
      </c>
      <c r="AG139" s="5">
        <f ca="1">HC[[#This Row],[As,mín (cm²)]]/100^2*HC[[#This Row],[Comprimento (m)]]*7850</f>
        <v>17.817935433916212</v>
      </c>
      <c r="AH139" s="4">
        <f ca="1">HC[[#This Row],[nE]]*HC[[#This Row],[Prof. (m)]]*HC[[#This Row],[Ap (m²)]]</f>
        <v>11.349003461093126</v>
      </c>
      <c r="AI139" s="1">
        <f ca="1">IF(HC[[#This Row],[nE]]=1,0,MAX(3*HC[[#This Row],[Ø (cm)]],60))</f>
        <v>127.5</v>
      </c>
      <c r="AJ139" s="1">
        <f ca="1">IF(HC[[#This Row],[nE]]=1,HC[[#This Row],[Ø (cm)]]+2*10,MAX(1.5*HC[[#This Row],[Ø (cm)]],HC[[#This Row],[Ø (cm)]]+15))</f>
        <v>63.75</v>
      </c>
      <c r="AK139" s="1" t="str">
        <f ca="1">alturaUtil(HC[[#This Row],[nE]],HC[[#This Row],[Ø (cm)]],HC[[#This Row],[e (cm)]],HC[[#This Row],[ap,eq (cm)]])</f>
        <v>N.S.</v>
      </c>
      <c r="AL139" s="1" t="str">
        <f ca="1">IFERROR(HC[[#This Row],[d (cm)]]+arredondarParaCimaMultiplo5cm(MAX(5,SQRT(PI())/2*HC[[#This Row],[Ø (cm)]]/5)),"N.S.")</f>
        <v>N.S.</v>
      </c>
      <c r="AM139" s="5" t="str">
        <f ca="1">alpha(HC[[#This Row],[nE]],HC[[#This Row],[d (cm)]],HC[[#This Row],[e (cm)]],HC[[#This Row],[ap,eq (cm)]])</f>
        <v>N.S.</v>
      </c>
      <c r="AN139" s="35" t="str">
        <f ca="1">IFERROR(HC[[#This Row],[Nsd (kN)]]/(HC[[#This Row],[Ap (cm²)]]*SIN(HC[[#This Row],[α]])^2),"N.S.")</f>
        <v>N.S.</v>
      </c>
      <c r="AO139" s="35" t="str">
        <f ca="1">IFERROR(HC[[#This Row],[Nsd (kN)]]/(HC[[#This Row],[nE]]*PI()*HC[[#This Row],[Ø (cm)]]^2/4*SIN(HC[[#This Row],[α]])^2),"N.S.")</f>
        <v>N.S.</v>
      </c>
      <c r="AP139" s="4" t="str">
        <f ca="1">IFERROR(INDEX(grupoEstacas[],HC[[#This Row],[nE]],MATCH("coef. Blévot",grupoEstacas[#Headers],0)),"N.S.")</f>
        <v>N.S.</v>
      </c>
      <c r="AQ139" s="35" t="str">
        <f ca="1">IFERROR(HC[[#This Row],[coef. Blévot]]*0.9*INDEX(tipoEstaca[],MATCH($D$2,tipoEstaca[TIPO DE ESTACA],0),MATCH("fcd (kN/cm²)",tipoEstaca[#Headers],0)),"N.S.")</f>
        <v>N.S.</v>
      </c>
      <c r="AR139" s="1" t="str">
        <f ca="1">IF(AND(HC[[#This Row],[cd,b,pil (kN/cm²)]]&lt;=HC[[#This Row],[cd,b,lim (kN/cm²)]],HC[[#This Row],[cd,b,est (kN/cm²)]]&lt;=HC[[#This Row],[cd,b,lim (kN/cm²)]]),"OK","ERRO")</f>
        <v>OK</v>
      </c>
      <c r="AS139" s="4" t="str">
        <f ca="1">As_lado(HC[[#This Row],[nE]],HC[[#This Row],[Nsd (kN)]],HC[[#This Row],[d (cm)]],HC[[#This Row],[e (cm)]],HC[[#This Row],[ap,eq (cm)]])</f>
        <v>N.S.</v>
      </c>
      <c r="AT139" s="4" t="str">
        <f ca="1">IF(HC[[#This Row],[nE]]=1,HC[[#This Row],[As,lado (cm²)]],IF(HC[[#This Row],[nE]]=2,0.075*2*HC[a (cm)],"N.A."))</f>
        <v>N.A.</v>
      </c>
      <c r="AU139" s="4" t="str">
        <f ca="1">IFERROR(IF(HC[[#This Row],[nE]]=1,"N.A.",0.2*HC[[#This Row],[As,lado (cm²)]]),"N.S.")</f>
        <v>N.S.</v>
      </c>
      <c r="AV139" s="4" t="str">
        <f ca="1">As_malha(HC[[#This Row],[nE]],HC[[#This Row],[As,lado (cm²)]],HC[[#This Row],[Nsd (kN)]])</f>
        <v>N.S.</v>
      </c>
      <c r="AW139" s="4" t="str">
        <f ca="1">As_susp_tot(HC[[#This Row],[nE]],HC[[#This Row],[Nsd (kN)]])</f>
        <v>N.S.</v>
      </c>
      <c r="AX139" s="4" t="str">
        <f ca="1">Asp_face(HC[[#This Row],[nE]],HC[[#This Row],[As,lado (cm²)]])</f>
        <v>N.S.</v>
      </c>
      <c r="AY139" s="5" t="str">
        <f ca="1">acoBloco(HC[[#This Row],[nE]],HC[[#This Row],[e (cm)]],HC[[#This Row],[a (cm)]],HC[[#This Row],[h (cm)]],HC[[#This Row],[As,lado (cm²)]],HC[[#This Row],[Asp e Asw (cm²/m)]],HC[[#This Row],[As,sup (cm²)]],HC[[#This Row],[As,malha (cm²)]],HC[[#This Row],[As,susp,tot (cm²)]],HC[[#This Row],[Asp,face (cm²)]])</f>
        <v>N.S.</v>
      </c>
      <c r="AZ139" s="4" t="str">
        <f ca="1">concretoBloco(HC[[#This Row],[nE]],HC[[#This Row],[e (cm)]],HC[[#This Row],[a (cm)]],HC[[#This Row],[h (cm)]])</f>
        <v>N.S.</v>
      </c>
      <c r="BA139" s="5">
        <f ca="1">SUM(HC[[#This Row],[Aço Est (kg)]],HC[[#This Row],[Aço Bloco (kg)]])</f>
        <v>17.817935433916212</v>
      </c>
      <c r="BB139" s="4">
        <f>INDEX(composicoes[],MATCH(95580,composicoes[CÓDIGO],0),MATCH("CUSTO TOTAL",composicoes[#Headers],0))</f>
        <v>10.46</v>
      </c>
      <c r="BC139" s="4">
        <f ca="1">SUM(HC[[#This Row],[Conc Est (m³)]],HC[[#This Row],[Conc Bloco (m³)]])</f>
        <v>11.349003461093126</v>
      </c>
      <c r="BD139" s="4">
        <f>INDEX(composicoes[],MATCH(94966,composicoes[CÓDIGO],0),MATCH("CUSTO TOTAL",composicoes[#Headers],0))</f>
        <v>439.52</v>
      </c>
      <c r="BE139" s="38">
        <f ca="1">HC[[#This Row],[Aço (kg)]]*HC[[#This Row],[Aço (R$/kg)]]+HC[[#This Row],[Conc (m³)]]*HC[[#This Row],[Conc (R$/m³)]]</f>
        <v>5174.4896058584136</v>
      </c>
      <c r="BF139" s="4" t="str">
        <f ca="1">IF(COUNTIF(HC[#This Row],"N.S.")&gt;0,"lim.","OK")</f>
        <v>lim.</v>
      </c>
      <c r="BG139" s="4" t="str">
        <f>IF(HC[[#This Row],[Prof. (m)]]&lt;4,"lim.","OK")</f>
        <v>OK</v>
      </c>
      <c r="BH139" s="4" t="str">
        <f>IF(HC[[#This Row],[Prof. (m)]]&gt;=8*HC[[#This Row],[Ø (cm)]]/100,"OK","lim.")</f>
        <v>OK</v>
      </c>
      <c r="BI139" s="4" t="str">
        <f ca="1">IF(HC[[#This Row],[Verif. Biela]]="OK","OK","lim.")</f>
        <v>OK</v>
      </c>
      <c r="BJ139" s="4" t="str">
        <f ca="1">IF(COUNTA(HC[[#This Row],[Nº Est.]:[Biela comp.]])=COUNTIF(HC[[#This Row],[Nº Est.]:[Biela comp.]],"OK"),"OK","lim.")</f>
        <v>lim.</v>
      </c>
      <c r="BK139" s="4" t="str">
        <f ca="1">IF(HC[[#This Row],[Controle]]="OK",HC[[#This Row],[nE]]&amp;" Ø"&amp;HC[[#This Row],[Ø (cm)]]&amp;"cm Prof. "&amp;HC[[#This Row],[Prof. (m)]]&amp;" m","")</f>
        <v/>
      </c>
      <c r="BL139" s="4" t="str">
        <f ca="1">IF(HC[[#This Row],[idDimensionamento]]="","",HC[[#This Row],[idPilar]]&amp;HC[[#This Row],[idDimensionamento]])</f>
        <v/>
      </c>
    </row>
    <row r="140" spans="2:64" x14ac:dyDescent="0.25">
      <c r="B140" s="12">
        <f>ROUNDUP((ROW(HC[[#This Row],[idDiâmetro]])-ROW(HC[[#Headers],[idDiâmetro]]))/(COUNT(SPT[Prof. (m)])*COUNT(PILARES[Pilar])),0)</f>
        <v>5</v>
      </c>
      <c r="C140" s="12">
        <f>IF(HC[[#This Row],[idDiâmetro]]&lt;&gt;B139,1,IF(HC[[#This Row],[Prof. (m)]]=0,C139+1,C139))</f>
        <v>2</v>
      </c>
      <c r="D140" s="1">
        <f>IFERROR(IF(D139=MAX(SPT[Prof. (m)]),0,D139+1),0)</f>
        <v>9</v>
      </c>
      <c r="E140" s="1">
        <f>INDEX(SPT[],MATCH(HC[[#This Row],[Prof. (m)]],SPT[Prof. (m)],0),2)</f>
        <v>26</v>
      </c>
      <c r="F140" s="1" t="str">
        <f>INDEX(SPT[],MATCH(HC[[#This Row],[Prof. (m)]],SPT[Prof. (m)],0),3)</f>
        <v>Areia siltosa</v>
      </c>
      <c r="G140" s="1">
        <f>INDEX(estacas[],HC[[#This Row],[idDiâmetro]],MATCH($B$2,estacas[#Headers],0))</f>
        <v>42.5</v>
      </c>
      <c r="H140" s="1">
        <f>INDEX(estacas[],MATCH(HC[[#This Row],[Ø (cm)]],estacas[Ø HC (cm)],0),MATCH(HC[[#Headers],[Pe HC (kN)]],estacas[#Headers],0))</f>
        <v>900</v>
      </c>
      <c r="I140" s="4">
        <f>INDEX(K_alpha_C[],MATCH(HC[[#This Row],[Solo]],K_alpha_C[Solo],0),2)</f>
        <v>0.8</v>
      </c>
      <c r="J140" s="5">
        <f>INDEX(K_alpha_C[],MATCH(HC[[#This Row],[Solo]],K_alpha_C[Solo],0),3)</f>
        <v>2</v>
      </c>
      <c r="K140" s="4">
        <f>INDEX(F1_F2[],MATCH($D$2,F1_F2[Tipo de estaca],0),2)</f>
        <v>2</v>
      </c>
      <c r="L140" s="4">
        <f>INDEX(F1_F2[],MATCH($D$2,F1_F2[Tipo de estaca],0),3)</f>
        <v>4</v>
      </c>
      <c r="M140" s="4">
        <f>PI()*(HC[[#This Row],[Ø (cm)]]/100)^2/4</f>
        <v>0.14186254326366407</v>
      </c>
      <c r="N140" s="4">
        <f>PI()*HC[[#This Row],[Ø (cm)]]/100</f>
        <v>1.3351768777756621</v>
      </c>
      <c r="O140" s="4">
        <f>IF(HC[[#This Row],[Prof. (m)]]=0,0,HC[[#This Row],[α (%)]]/100*HC[[#This Row],[K (MPa)]]*1000*HC[[#This Row],[NSPT]])</f>
        <v>416</v>
      </c>
      <c r="P140" s="4">
        <f>IF(HC[[#This Row],[Prof. (m)]]=0,0,(HC[[#This Row],[K (MPa)]]*1000*HC[[#This Row],[NSPT]]/HC[[#This Row],[F1]]*HC[[#This Row],[Ap (m²)]]+HC[[#This Row],[U (m)]]/HC[[#This Row],[F2]]*SUMIFS(HC[(α∙K∙NL∙ΔL)],HC[Prof. (m)],"&lt;="&amp;HC[[#This Row],[Prof. (m)]],HC[idDiâmetro],HC[[#This Row],[idDiâmetro]],HC[idPilar],HC[[#This Row],[idPilar]]))/'DADOS CAP. CARGA'!$D$2)</f>
        <v>973.99484262637316</v>
      </c>
      <c r="Q140" s="12">
        <f>INDEX(C_alpha_beta[],MATCH(HC[[#This Row],[Solo]],C_alpha_beta[Solo],0),MATCH(HC[[#Headers],[C (kPa)]],C_alpha_beta[#Headers],0))</f>
        <v>400</v>
      </c>
      <c r="R140" s="4">
        <f>INDEX(C_alpha_beta[],MATCH(HC[[#This Row],[Solo]],C_alpha_beta[Solo],0),MATCH(HC[[#Headers],[α ESF]],C_alpha_beta[#Headers],0))</f>
        <v>0.5</v>
      </c>
      <c r="S140" s="4">
        <f>INDEX(C_alpha_beta[],MATCH(HC[[#This Row],[Solo]],C_alpha_beta[Solo],0),MATCH(HC[[#Headers],[β ESF]],C_alpha_beta[#Headers],0))</f>
        <v>0.5</v>
      </c>
      <c r="T140" s="4">
        <f>IF(HC[[#This Row],[Prof. (m)]]=0,0,10*(HC[[#This Row],[NSPT]]/3+1))</f>
        <v>96.666666666666657</v>
      </c>
      <c r="U140" s="4">
        <f>(HC[[#This Row],[α ESF]]*HC[[#This Row],[C (kPa)]]*HC[[#This Row],[NSPT]]*HC[[#This Row],[Ap (m²)]])/'DADOS CAP. CARGA'!$Q$2+(HC[[#This Row],[β ESF]]*SUMIFS(HC[10∙(NL/3+1)],HC[Prof. (m)],"&lt;="&amp;HC[[#This Row],[Prof. (m)]],HC[idDiâmetro],HC[[#This Row],[idDiâmetro]],HC[idPilar],HC[[#This Row],[idPilar]])*HC[[#This Row],[U (m)]])/'DADOS CAP. CARGA'!$S$2</f>
        <v>323.50223101106144</v>
      </c>
      <c r="V140" s="4">
        <f>IF(SPT!$M$5=1,MIN(HC[[#This Row],[Pe HC (kN)]],HC[[#This Row],[R_AV (kN)]]),IF(SPT!$M$5=2,MIN(HC[[#This Row],[Pe HC (kN)]],HC[[#This Row],[R_DC (kN)]]),MIN(HC[[#This Row],[Pe HC (kN)]],HC[[#This Row],[R_AV (kN)]],HC[[#This Row],[R_DC (kN)]])))</f>
        <v>323.50223101106144</v>
      </c>
      <c r="W140" s="4">
        <f>INDEX(PILARES[],HC[[#This Row],[idPilar]],MATCH("Carga (kN)",PILARES[#Headers],0))*1.4</f>
        <v>1750</v>
      </c>
      <c r="X140" s="12">
        <f>INDEX(PILARES[],HC[[#This Row],[idPilar]],MATCH(HC[[#Headers],[ap (cm)]],PILARES[#Headers],0))</f>
        <v>50</v>
      </c>
      <c r="Y140" s="12">
        <f>INDEX(PILARES[],HC[[#This Row],[idPilar]],MATCH(HC[[#Headers],[bp (cm)]],PILARES[#Headers],0))</f>
        <v>40</v>
      </c>
      <c r="Z140" s="4">
        <f>SQRT(HC[[#This Row],[ap (cm)]]*HC[[#This Row],[bp (cm)]])</f>
        <v>44.721359549995796</v>
      </c>
      <c r="AA140" s="12">
        <f>HC[[#This Row],[ap (cm)]]*HC[[#This Row],[bp (cm)]]</f>
        <v>2000</v>
      </c>
      <c r="AB140" s="12">
        <f ca="1">IF(HC[[#This Row],[Padm∙ε (kN)]]&gt;=HC[[#This Row],[Padm (kN)]],ROUNDUP(1.05*HC[[#This Row],[Nsd (kN)]]/HC[[#This Row],[Padm (kN)]],0),ROUNDUP(1.05*HC[[#This Row],[Nsd (kN)]]/HC[[#This Row],[Padm (kN)]],0)+1)</f>
        <v>6</v>
      </c>
      <c r="AC140" s="4" t="str">
        <f ca="1">IFERROR(IF(HC[[#This Row],[nE]]=1,HC[[#This Row],[Padm (kN)]],HC[[#This Row],[Padm (kN)]]*HC[[#This Row],[nE]]*INDEX(grupoEstacas[],HC[[#This Row],[nE]],MATCH("ε",grupoEstacas[#Headers],0))),"N.S.")</f>
        <v>N.S.</v>
      </c>
      <c r="AD140" s="4">
        <f ca="1">1.05*HC[[#This Row],[Nsd (kN)]]/(HC[[#This Row],[nE]]*PI()*HC[[#This Row],[Ø (cm)]]^2/4)*10</f>
        <v>2.1587798509350509</v>
      </c>
      <c r="AE140" s="4">
        <f ca="1">IF(HC[[#This Row],[σ (MPa)]]&lt;INDEX(tipoEstaca[],MATCH($D$2,tipoEstaca[TIPO DE ESTACA],0),MATCH("σmáx (MPa)",tipoEstaca[#Headers],0)),0.4%*PI()*HC[[#This Row],[Ø (cm)]]^2/4,"N.S.")</f>
        <v>5.6745017305465639</v>
      </c>
      <c r="AF140" s="1">
        <f>INDEX(tipoEstaca[],MATCH($D$2,tipoEstaca[TIPO DE ESTACA],0),MATCH(HC[[#Headers],[Comprimento (m)]],tipoEstaca[#Headers],0))</f>
        <v>4</v>
      </c>
      <c r="AG140" s="5">
        <f ca="1">HC[[#This Row],[As,mín (cm²)]]/100^2*HC[[#This Row],[Comprimento (m)]]*7850</f>
        <v>17.817935433916212</v>
      </c>
      <c r="AH140" s="4">
        <f ca="1">HC[[#This Row],[nE]]*HC[[#This Row],[Prof. (m)]]*HC[[#This Row],[Ap (m²)]]</f>
        <v>7.6605773362378597</v>
      </c>
      <c r="AI140" s="1">
        <f ca="1">IF(HC[[#This Row],[nE]]=1,0,MAX(3*HC[[#This Row],[Ø (cm)]],60))</f>
        <v>127.5</v>
      </c>
      <c r="AJ140" s="1">
        <f ca="1">IF(HC[[#This Row],[nE]]=1,HC[[#This Row],[Ø (cm)]]+2*10,MAX(1.5*HC[[#This Row],[Ø (cm)]],HC[[#This Row],[Ø (cm)]]+15))</f>
        <v>63.75</v>
      </c>
      <c r="AK140" s="1" t="str">
        <f ca="1">alturaUtil(HC[[#This Row],[nE]],HC[[#This Row],[Ø (cm)]],HC[[#This Row],[e (cm)]],HC[[#This Row],[ap,eq (cm)]])</f>
        <v>N.S.</v>
      </c>
      <c r="AL140" s="1" t="str">
        <f ca="1">IFERROR(HC[[#This Row],[d (cm)]]+arredondarParaCimaMultiplo5cm(MAX(5,SQRT(PI())/2*HC[[#This Row],[Ø (cm)]]/5)),"N.S.")</f>
        <v>N.S.</v>
      </c>
      <c r="AM140" s="5" t="str">
        <f ca="1">alpha(HC[[#This Row],[nE]],HC[[#This Row],[d (cm)]],HC[[#This Row],[e (cm)]],HC[[#This Row],[ap,eq (cm)]])</f>
        <v>N.S.</v>
      </c>
      <c r="AN140" s="35" t="str">
        <f ca="1">IFERROR(HC[[#This Row],[Nsd (kN)]]/(HC[[#This Row],[Ap (cm²)]]*SIN(HC[[#This Row],[α]])^2),"N.S.")</f>
        <v>N.S.</v>
      </c>
      <c r="AO140" s="35" t="str">
        <f ca="1">IFERROR(HC[[#This Row],[Nsd (kN)]]/(HC[[#This Row],[nE]]*PI()*HC[[#This Row],[Ø (cm)]]^2/4*SIN(HC[[#This Row],[α]])^2),"N.S.")</f>
        <v>N.S.</v>
      </c>
      <c r="AP140" s="4" t="str">
        <f ca="1">IFERROR(INDEX(grupoEstacas[],HC[[#This Row],[nE]],MATCH("coef. Blévot",grupoEstacas[#Headers],0)),"N.S.")</f>
        <v>N.S.</v>
      </c>
      <c r="AQ140" s="35" t="str">
        <f ca="1">IFERROR(HC[[#This Row],[coef. Blévot]]*0.9*INDEX(tipoEstaca[],MATCH($D$2,tipoEstaca[TIPO DE ESTACA],0),MATCH("fcd (kN/cm²)",tipoEstaca[#Headers],0)),"N.S.")</f>
        <v>N.S.</v>
      </c>
      <c r="AR140" s="1" t="str">
        <f ca="1">IF(AND(HC[[#This Row],[cd,b,pil (kN/cm²)]]&lt;=HC[[#This Row],[cd,b,lim (kN/cm²)]],HC[[#This Row],[cd,b,est (kN/cm²)]]&lt;=HC[[#This Row],[cd,b,lim (kN/cm²)]]),"OK","ERRO")</f>
        <v>OK</v>
      </c>
      <c r="AS140" s="4" t="str">
        <f ca="1">As_lado(HC[[#This Row],[nE]],HC[[#This Row],[Nsd (kN)]],HC[[#This Row],[d (cm)]],HC[[#This Row],[e (cm)]],HC[[#This Row],[ap,eq (cm)]])</f>
        <v>N.S.</v>
      </c>
      <c r="AT140" s="4" t="str">
        <f ca="1">IF(HC[[#This Row],[nE]]=1,HC[[#This Row],[As,lado (cm²)]],IF(HC[[#This Row],[nE]]=2,0.075*2*HC[a (cm)],"N.A."))</f>
        <v>N.A.</v>
      </c>
      <c r="AU140" s="4" t="str">
        <f ca="1">IFERROR(IF(HC[[#This Row],[nE]]=1,"N.A.",0.2*HC[[#This Row],[As,lado (cm²)]]),"N.S.")</f>
        <v>N.S.</v>
      </c>
      <c r="AV140" s="4" t="str">
        <f ca="1">As_malha(HC[[#This Row],[nE]],HC[[#This Row],[As,lado (cm²)]],HC[[#This Row],[Nsd (kN)]])</f>
        <v>N.S.</v>
      </c>
      <c r="AW140" s="4" t="str">
        <f ca="1">As_susp_tot(HC[[#This Row],[nE]],HC[[#This Row],[Nsd (kN)]])</f>
        <v>N.S.</v>
      </c>
      <c r="AX140" s="4" t="str">
        <f ca="1">Asp_face(HC[[#This Row],[nE]],HC[[#This Row],[As,lado (cm²)]])</f>
        <v>N.S.</v>
      </c>
      <c r="AY140" s="5" t="str">
        <f ca="1">acoBloco(HC[[#This Row],[nE]],HC[[#This Row],[e (cm)]],HC[[#This Row],[a (cm)]],HC[[#This Row],[h (cm)]],HC[[#This Row],[As,lado (cm²)]],HC[[#This Row],[Asp e Asw (cm²/m)]],HC[[#This Row],[As,sup (cm²)]],HC[[#This Row],[As,malha (cm²)]],HC[[#This Row],[As,susp,tot (cm²)]],HC[[#This Row],[Asp,face (cm²)]])</f>
        <v>N.S.</v>
      </c>
      <c r="AZ140" s="4" t="str">
        <f ca="1">concretoBloco(HC[[#This Row],[nE]],HC[[#This Row],[e (cm)]],HC[[#This Row],[a (cm)]],HC[[#This Row],[h (cm)]])</f>
        <v>N.S.</v>
      </c>
      <c r="BA140" s="5">
        <f ca="1">SUM(HC[[#This Row],[Aço Est (kg)]],HC[[#This Row],[Aço Bloco (kg)]])</f>
        <v>17.817935433916212</v>
      </c>
      <c r="BB140" s="4">
        <f>INDEX(composicoes[],MATCH(95580,composicoes[CÓDIGO],0),MATCH("CUSTO TOTAL",composicoes[#Headers],0))</f>
        <v>10.46</v>
      </c>
      <c r="BC140" s="4">
        <f ca="1">SUM(HC[[#This Row],[Conc Est (m³)]],HC[[#This Row],[Conc Bloco (m³)]])</f>
        <v>7.6605773362378597</v>
      </c>
      <c r="BD140" s="4">
        <f>INDEX(composicoes[],MATCH(94966,composicoes[CÓDIGO],0),MATCH("CUSTO TOTAL",composicoes[#Headers],0))</f>
        <v>439.52</v>
      </c>
      <c r="BE140" s="38">
        <f ca="1">HC[[#This Row],[Aço (kg)]]*HC[[#This Row],[Aço (R$/kg)]]+HC[[#This Row],[Conc (m³)]]*HC[[#This Row],[Conc (R$/m³)]]</f>
        <v>3553.3525554620273</v>
      </c>
      <c r="BF140" s="4" t="str">
        <f ca="1">IF(COUNTIF(HC[#This Row],"N.S.")&gt;0,"lim.","OK")</f>
        <v>lim.</v>
      </c>
      <c r="BG140" s="4" t="str">
        <f>IF(HC[[#This Row],[Prof. (m)]]&lt;4,"lim.","OK")</f>
        <v>OK</v>
      </c>
      <c r="BH140" s="4" t="str">
        <f>IF(HC[[#This Row],[Prof. (m)]]&gt;=8*HC[[#This Row],[Ø (cm)]]/100,"OK","lim.")</f>
        <v>OK</v>
      </c>
      <c r="BI140" s="4" t="str">
        <f ca="1">IF(HC[[#This Row],[Verif. Biela]]="OK","OK","lim.")</f>
        <v>OK</v>
      </c>
      <c r="BJ140" s="4" t="str">
        <f ca="1">IF(COUNTA(HC[[#This Row],[Nº Est.]:[Biela comp.]])=COUNTIF(HC[[#This Row],[Nº Est.]:[Biela comp.]],"OK"),"OK","lim.")</f>
        <v>lim.</v>
      </c>
      <c r="BK140" s="4" t="str">
        <f ca="1">IF(HC[[#This Row],[Controle]]="OK",HC[[#This Row],[nE]]&amp;" Ø"&amp;HC[[#This Row],[Ø (cm)]]&amp;"cm Prof. "&amp;HC[[#This Row],[Prof. (m)]]&amp;" m","")</f>
        <v/>
      </c>
      <c r="BL140" s="4" t="str">
        <f ca="1">IF(HC[[#This Row],[idDimensionamento]]="","",HC[[#This Row],[idPilar]]&amp;HC[[#This Row],[idDimensionamento]])</f>
        <v/>
      </c>
    </row>
    <row r="141" spans="2:64" x14ac:dyDescent="0.25">
      <c r="B141" s="12">
        <f>ROUNDUP((ROW(HC[[#This Row],[idDiâmetro]])-ROW(HC[[#Headers],[idDiâmetro]]))/(COUNT(SPT[Prof. (m)])*COUNT(PILARES[Pilar])),0)</f>
        <v>5</v>
      </c>
      <c r="C141" s="12">
        <f>IF(HC[[#This Row],[idDiâmetro]]&lt;&gt;B140,1,IF(HC[[#This Row],[Prof. (m)]]=0,C140+1,C140))</f>
        <v>2</v>
      </c>
      <c r="D141" s="1">
        <f>IFERROR(IF(D140=MAX(SPT[Prof. (m)]),0,D140+1),0)</f>
        <v>10</v>
      </c>
      <c r="E141" s="1">
        <f>INDEX(SPT[],MATCH(HC[[#This Row],[Prof. (m)]],SPT[Prof. (m)],0),2)</f>
        <v>32</v>
      </c>
      <c r="F141" s="1" t="str">
        <f>INDEX(SPT[],MATCH(HC[[#This Row],[Prof. (m)]],SPT[Prof. (m)],0),3)</f>
        <v>Areia siltosa</v>
      </c>
      <c r="G141" s="1">
        <f>INDEX(estacas[],HC[[#This Row],[idDiâmetro]],MATCH($B$2,estacas[#Headers],0))</f>
        <v>42.5</v>
      </c>
      <c r="H141" s="1">
        <f>INDEX(estacas[],MATCH(HC[[#This Row],[Ø (cm)]],estacas[Ø HC (cm)],0),MATCH(HC[[#Headers],[Pe HC (kN)]],estacas[#Headers],0))</f>
        <v>900</v>
      </c>
      <c r="I141" s="4">
        <f>INDEX(K_alpha_C[],MATCH(HC[[#This Row],[Solo]],K_alpha_C[Solo],0),2)</f>
        <v>0.8</v>
      </c>
      <c r="J141" s="5">
        <f>INDEX(K_alpha_C[],MATCH(HC[[#This Row],[Solo]],K_alpha_C[Solo],0),3)</f>
        <v>2</v>
      </c>
      <c r="K141" s="4">
        <f>INDEX(F1_F2[],MATCH($D$2,F1_F2[Tipo de estaca],0),2)</f>
        <v>2</v>
      </c>
      <c r="L141" s="4">
        <f>INDEX(F1_F2[],MATCH($D$2,F1_F2[Tipo de estaca],0),3)</f>
        <v>4</v>
      </c>
      <c r="M141" s="4">
        <f>PI()*(HC[[#This Row],[Ø (cm)]]/100)^2/4</f>
        <v>0.14186254326366407</v>
      </c>
      <c r="N141" s="4">
        <f>PI()*HC[[#This Row],[Ø (cm)]]/100</f>
        <v>1.3351768777756621</v>
      </c>
      <c r="O141" s="4">
        <f>IF(HC[[#This Row],[Prof. (m)]]=0,0,HC[[#This Row],[α (%)]]/100*HC[[#This Row],[K (MPa)]]*1000*HC[[#This Row],[NSPT]])</f>
        <v>512</v>
      </c>
      <c r="P141" s="4">
        <f>IF(HC[[#This Row],[Prof. (m)]]=0,0,(HC[[#This Row],[K (MPa)]]*1000*HC[[#This Row],[NSPT]]/HC[[#This Row],[F1]]*HC[[#This Row],[Ap (m²)]]+HC[[#This Row],[U (m)]]/HC[[#This Row],[F2]]*SUMIFS(HC[(α∙K∙NL∙ΔL)],HC[Prof. (m)],"&lt;="&amp;HC[[#This Row],[Prof. (m)]],HC[idDiâmetro],HC[[#This Row],[idDiâmetro]],HC[idPilar],HC[[#This Row],[idPilar]]))/'DADOS CAP. CARGA'!$D$2)</f>
        <v>1229.6812147204125</v>
      </c>
      <c r="Q141" s="12">
        <f>INDEX(C_alpha_beta[],MATCH(HC[[#This Row],[Solo]],C_alpha_beta[Solo],0),MATCH(HC[[#Headers],[C (kPa)]],C_alpha_beta[#Headers],0))</f>
        <v>400</v>
      </c>
      <c r="R141" s="4">
        <f>INDEX(C_alpha_beta[],MATCH(HC[[#This Row],[Solo]],C_alpha_beta[Solo],0),MATCH(HC[[#Headers],[α ESF]],C_alpha_beta[#Headers],0))</f>
        <v>0.5</v>
      </c>
      <c r="S141" s="4">
        <f>INDEX(C_alpha_beta[],MATCH(HC[[#This Row],[Solo]],C_alpha_beta[Solo],0),MATCH(HC[[#Headers],[β ESF]],C_alpha_beta[#Headers],0))</f>
        <v>0.5</v>
      </c>
      <c r="T141" s="4">
        <f>IF(HC[[#This Row],[Prof. (m)]]=0,0,10*(HC[[#This Row],[NSPT]]/3+1))</f>
        <v>116.66666666666666</v>
      </c>
      <c r="U141" s="4">
        <f>(HC[[#This Row],[α ESF]]*HC[[#This Row],[C (kPa)]]*HC[[#This Row],[NSPT]]*HC[[#This Row],[Ap (m²)]])/'DADOS CAP. CARGA'!$Q$2+(HC[[#This Row],[β ESF]]*SUMIFS(HC[10∙(NL/3+1)],HC[Prof. (m)],"&lt;="&amp;HC[[#This Row],[Prof. (m)]],HC[idDiâmetro],HC[[#This Row],[idDiâmetro]],HC[idPilar],HC[[#This Row],[idPilar]])*HC[[#This Row],[U (m)]])/'DADOS CAP. CARGA'!$S$2</f>
        <v>405.00365292528409</v>
      </c>
      <c r="V141" s="4">
        <f>IF(SPT!$M$5=1,MIN(HC[[#This Row],[Pe HC (kN)]],HC[[#This Row],[R_AV (kN)]]),IF(SPT!$M$5=2,MIN(HC[[#This Row],[Pe HC (kN)]],HC[[#This Row],[R_DC (kN)]]),MIN(HC[[#This Row],[Pe HC (kN)]],HC[[#This Row],[R_AV (kN)]],HC[[#This Row],[R_DC (kN)]])))</f>
        <v>405.00365292528409</v>
      </c>
      <c r="W141" s="4">
        <f>INDEX(PILARES[],HC[[#This Row],[idPilar]],MATCH("Carga (kN)",PILARES[#Headers],0))*1.4</f>
        <v>1750</v>
      </c>
      <c r="X141" s="12">
        <f>INDEX(PILARES[],HC[[#This Row],[idPilar]],MATCH(HC[[#Headers],[ap (cm)]],PILARES[#Headers],0))</f>
        <v>50</v>
      </c>
      <c r="Y141" s="12">
        <f>INDEX(PILARES[],HC[[#This Row],[idPilar]],MATCH(HC[[#Headers],[bp (cm)]],PILARES[#Headers],0))</f>
        <v>40</v>
      </c>
      <c r="Z141" s="4">
        <f>SQRT(HC[[#This Row],[ap (cm)]]*HC[[#This Row],[bp (cm)]])</f>
        <v>44.721359549995796</v>
      </c>
      <c r="AA141" s="12">
        <f>HC[[#This Row],[ap (cm)]]*HC[[#This Row],[bp (cm)]]</f>
        <v>2000</v>
      </c>
      <c r="AB141" s="12">
        <f ca="1">IF(HC[[#This Row],[Padm∙ε (kN)]]&gt;=HC[[#This Row],[Padm (kN)]],ROUNDUP(1.05*HC[[#This Row],[Nsd (kN)]]/HC[[#This Row],[Padm (kN)]],0),ROUNDUP(1.05*HC[[#This Row],[Nsd (kN)]]/HC[[#This Row],[Padm (kN)]],0)+1)</f>
        <v>5</v>
      </c>
      <c r="AC141" s="4" t="str">
        <f ca="1">IFERROR(IF(HC[[#This Row],[nE]]=1,HC[[#This Row],[Padm (kN)]],HC[[#This Row],[Padm (kN)]]*HC[[#This Row],[nE]]*INDEX(grupoEstacas[],HC[[#This Row],[nE]],MATCH("ε",grupoEstacas[#Headers],0))),"N.S.")</f>
        <v>N.S.</v>
      </c>
      <c r="AD141" s="4">
        <f ca="1">1.05*HC[[#This Row],[Nsd (kN)]]/(HC[[#This Row],[nE]]*PI()*HC[[#This Row],[Ø (cm)]]^2/4)*10</f>
        <v>2.590535821122061</v>
      </c>
      <c r="AE141" s="4">
        <f ca="1">IF(HC[[#This Row],[σ (MPa)]]&lt;INDEX(tipoEstaca[],MATCH($D$2,tipoEstaca[TIPO DE ESTACA],0),MATCH("σmáx (MPa)",tipoEstaca[#Headers],0)),0.4%*PI()*HC[[#This Row],[Ø (cm)]]^2/4,"N.S.")</f>
        <v>5.6745017305465639</v>
      </c>
      <c r="AF141" s="1">
        <f>INDEX(tipoEstaca[],MATCH($D$2,tipoEstaca[TIPO DE ESTACA],0),MATCH(HC[[#Headers],[Comprimento (m)]],tipoEstaca[#Headers],0))</f>
        <v>4</v>
      </c>
      <c r="AG141" s="5">
        <f ca="1">HC[[#This Row],[As,mín (cm²)]]/100^2*HC[[#This Row],[Comprimento (m)]]*7850</f>
        <v>17.817935433916212</v>
      </c>
      <c r="AH141" s="4">
        <f ca="1">HC[[#This Row],[nE]]*HC[[#This Row],[Prof. (m)]]*HC[[#This Row],[Ap (m²)]]</f>
        <v>7.0931271631832038</v>
      </c>
      <c r="AI141" s="1">
        <f ca="1">IF(HC[[#This Row],[nE]]=1,0,MAX(3*HC[[#This Row],[Ø (cm)]],60))</f>
        <v>127.5</v>
      </c>
      <c r="AJ141" s="1">
        <f ca="1">IF(HC[[#This Row],[nE]]=1,HC[[#This Row],[Ø (cm)]]+2*10,MAX(1.5*HC[[#This Row],[Ø (cm)]],HC[[#This Row],[Ø (cm)]]+15))</f>
        <v>63.75</v>
      </c>
      <c r="AK141" s="1" t="str">
        <f ca="1">alturaUtil(HC[[#This Row],[nE]],HC[[#This Row],[Ø (cm)]],HC[[#This Row],[e (cm)]],HC[[#This Row],[ap,eq (cm)]])</f>
        <v>N.S.</v>
      </c>
      <c r="AL141" s="1" t="str">
        <f ca="1">IFERROR(HC[[#This Row],[d (cm)]]+arredondarParaCimaMultiplo5cm(MAX(5,SQRT(PI())/2*HC[[#This Row],[Ø (cm)]]/5)),"N.S.")</f>
        <v>N.S.</v>
      </c>
      <c r="AM141" s="5" t="str">
        <f ca="1">alpha(HC[[#This Row],[nE]],HC[[#This Row],[d (cm)]],HC[[#This Row],[e (cm)]],HC[[#This Row],[ap,eq (cm)]])</f>
        <v>N.S.</v>
      </c>
      <c r="AN141" s="35" t="str">
        <f ca="1">IFERROR(HC[[#This Row],[Nsd (kN)]]/(HC[[#This Row],[Ap (cm²)]]*SIN(HC[[#This Row],[α]])^2),"N.S.")</f>
        <v>N.S.</v>
      </c>
      <c r="AO141" s="35" t="str">
        <f ca="1">IFERROR(HC[[#This Row],[Nsd (kN)]]/(HC[[#This Row],[nE]]*PI()*HC[[#This Row],[Ø (cm)]]^2/4*SIN(HC[[#This Row],[α]])^2),"N.S.")</f>
        <v>N.S.</v>
      </c>
      <c r="AP141" s="4" t="str">
        <f ca="1">IFERROR(INDEX(grupoEstacas[],HC[[#This Row],[nE]],MATCH("coef. Blévot",grupoEstacas[#Headers],0)),"N.S.")</f>
        <v>N.S.</v>
      </c>
      <c r="AQ141" s="35" t="str">
        <f ca="1">IFERROR(HC[[#This Row],[coef. Blévot]]*0.9*INDEX(tipoEstaca[],MATCH($D$2,tipoEstaca[TIPO DE ESTACA],0),MATCH("fcd (kN/cm²)",tipoEstaca[#Headers],0)),"N.S.")</f>
        <v>N.S.</v>
      </c>
      <c r="AR141" s="1" t="str">
        <f ca="1">IF(AND(HC[[#This Row],[cd,b,pil (kN/cm²)]]&lt;=HC[[#This Row],[cd,b,lim (kN/cm²)]],HC[[#This Row],[cd,b,est (kN/cm²)]]&lt;=HC[[#This Row],[cd,b,lim (kN/cm²)]]),"OK","ERRO")</f>
        <v>OK</v>
      </c>
      <c r="AS141" s="4" t="str">
        <f ca="1">As_lado(HC[[#This Row],[nE]],HC[[#This Row],[Nsd (kN)]],HC[[#This Row],[d (cm)]],HC[[#This Row],[e (cm)]],HC[[#This Row],[ap,eq (cm)]])</f>
        <v>N.S.</v>
      </c>
      <c r="AT141" s="4" t="str">
        <f ca="1">IF(HC[[#This Row],[nE]]=1,HC[[#This Row],[As,lado (cm²)]],IF(HC[[#This Row],[nE]]=2,0.075*2*HC[a (cm)],"N.A."))</f>
        <v>N.A.</v>
      </c>
      <c r="AU141" s="4" t="str">
        <f ca="1">IFERROR(IF(HC[[#This Row],[nE]]=1,"N.A.",0.2*HC[[#This Row],[As,lado (cm²)]]),"N.S.")</f>
        <v>N.S.</v>
      </c>
      <c r="AV141" s="4" t="str">
        <f ca="1">As_malha(HC[[#This Row],[nE]],HC[[#This Row],[As,lado (cm²)]],HC[[#This Row],[Nsd (kN)]])</f>
        <v>N.S.</v>
      </c>
      <c r="AW141" s="4" t="str">
        <f ca="1">As_susp_tot(HC[[#This Row],[nE]],HC[[#This Row],[Nsd (kN)]])</f>
        <v>N.S.</v>
      </c>
      <c r="AX141" s="4" t="str">
        <f ca="1">Asp_face(HC[[#This Row],[nE]],HC[[#This Row],[As,lado (cm²)]])</f>
        <v>N.S.</v>
      </c>
      <c r="AY141" s="5" t="str">
        <f ca="1">acoBloco(HC[[#This Row],[nE]],HC[[#This Row],[e (cm)]],HC[[#This Row],[a (cm)]],HC[[#This Row],[h (cm)]],HC[[#This Row],[As,lado (cm²)]],HC[[#This Row],[Asp e Asw (cm²/m)]],HC[[#This Row],[As,sup (cm²)]],HC[[#This Row],[As,malha (cm²)]],HC[[#This Row],[As,susp,tot (cm²)]],HC[[#This Row],[Asp,face (cm²)]])</f>
        <v>N.S.</v>
      </c>
      <c r="AZ141" s="4" t="str">
        <f ca="1">concretoBloco(HC[[#This Row],[nE]],HC[[#This Row],[e (cm)]],HC[[#This Row],[a (cm)]],HC[[#This Row],[h (cm)]])</f>
        <v>N.S.</v>
      </c>
      <c r="BA141" s="5">
        <f ca="1">SUM(HC[[#This Row],[Aço Est (kg)]],HC[[#This Row],[Aço Bloco (kg)]])</f>
        <v>17.817935433916212</v>
      </c>
      <c r="BB141" s="4">
        <f>INDEX(composicoes[],MATCH(95580,composicoes[CÓDIGO],0),MATCH("CUSTO TOTAL",composicoes[#Headers],0))</f>
        <v>10.46</v>
      </c>
      <c r="BC141" s="4">
        <f ca="1">SUM(HC[[#This Row],[Conc Est (m³)]],HC[[#This Row],[Conc Bloco (m³)]])</f>
        <v>7.0931271631832038</v>
      </c>
      <c r="BD141" s="4">
        <f>INDEX(composicoes[],MATCH(94966,composicoes[CÓDIGO],0),MATCH("CUSTO TOTAL",composicoes[#Headers],0))</f>
        <v>439.52</v>
      </c>
      <c r="BE141" s="38">
        <f ca="1">HC[[#This Row],[Aço (kg)]]*HC[[#This Row],[Aço (R$/kg)]]+HC[[#This Row],[Conc (m³)]]*HC[[#This Row],[Conc (R$/m³)]]</f>
        <v>3303.946855401045</v>
      </c>
      <c r="BF141" s="4" t="str">
        <f ca="1">IF(COUNTIF(HC[#This Row],"N.S.")&gt;0,"lim.","OK")</f>
        <v>lim.</v>
      </c>
      <c r="BG141" s="4" t="str">
        <f>IF(HC[[#This Row],[Prof. (m)]]&lt;4,"lim.","OK")</f>
        <v>OK</v>
      </c>
      <c r="BH141" s="4" t="str">
        <f>IF(HC[[#This Row],[Prof. (m)]]&gt;=8*HC[[#This Row],[Ø (cm)]]/100,"OK","lim.")</f>
        <v>OK</v>
      </c>
      <c r="BI141" s="4" t="str">
        <f ca="1">IF(HC[[#This Row],[Verif. Biela]]="OK","OK","lim.")</f>
        <v>OK</v>
      </c>
      <c r="BJ141" s="4" t="str">
        <f ca="1">IF(COUNTA(HC[[#This Row],[Nº Est.]:[Biela comp.]])=COUNTIF(HC[[#This Row],[Nº Est.]:[Biela comp.]],"OK"),"OK","lim.")</f>
        <v>lim.</v>
      </c>
      <c r="BK141" s="4" t="str">
        <f ca="1">IF(HC[[#This Row],[Controle]]="OK",HC[[#This Row],[nE]]&amp;" Ø"&amp;HC[[#This Row],[Ø (cm)]]&amp;"cm Prof. "&amp;HC[[#This Row],[Prof. (m)]]&amp;" m","")</f>
        <v/>
      </c>
      <c r="BL141" s="4" t="str">
        <f ca="1">IF(HC[[#This Row],[idDimensionamento]]="","",HC[[#This Row],[idPilar]]&amp;HC[[#This Row],[idDimensionamento]])</f>
        <v/>
      </c>
    </row>
    <row r="142" spans="2:64" x14ac:dyDescent="0.25">
      <c r="B142" s="12">
        <f>ROUNDUP((ROW(HC[[#This Row],[idDiâmetro]])-ROW(HC[[#Headers],[idDiâmetro]]))/(COUNT(SPT[Prof. (m)])*COUNT(PILARES[Pilar])),0)</f>
        <v>5</v>
      </c>
      <c r="C142" s="12">
        <f>IF(HC[[#This Row],[idDiâmetro]]&lt;&gt;B141,1,IF(HC[[#This Row],[Prof. (m)]]=0,C141+1,C141))</f>
        <v>2</v>
      </c>
      <c r="D142" s="1">
        <f>IFERROR(IF(D141=MAX(SPT[Prof. (m)]),0,D141+1),0)</f>
        <v>11</v>
      </c>
      <c r="E142" s="1">
        <f>INDEX(SPT[],MATCH(HC[[#This Row],[Prof. (m)]],SPT[Prof. (m)],0),2)</f>
        <v>41</v>
      </c>
      <c r="F142" s="1" t="str">
        <f>INDEX(SPT[],MATCH(HC[[#This Row],[Prof. (m)]],SPT[Prof. (m)],0),3)</f>
        <v>Areia siltosa</v>
      </c>
      <c r="G142" s="1">
        <f>INDEX(estacas[],HC[[#This Row],[idDiâmetro]],MATCH($B$2,estacas[#Headers],0))</f>
        <v>42.5</v>
      </c>
      <c r="H142" s="1">
        <f>INDEX(estacas[],MATCH(HC[[#This Row],[Ø (cm)]],estacas[Ø HC (cm)],0),MATCH(HC[[#Headers],[Pe HC (kN)]],estacas[#Headers],0))</f>
        <v>900</v>
      </c>
      <c r="I142" s="4">
        <f>INDEX(K_alpha_C[],MATCH(HC[[#This Row],[Solo]],K_alpha_C[Solo],0),2)</f>
        <v>0.8</v>
      </c>
      <c r="J142" s="5">
        <f>INDEX(K_alpha_C[],MATCH(HC[[#This Row],[Solo]],K_alpha_C[Solo],0),3)</f>
        <v>2</v>
      </c>
      <c r="K142" s="4">
        <f>INDEX(F1_F2[],MATCH($D$2,F1_F2[Tipo de estaca],0),2)</f>
        <v>2</v>
      </c>
      <c r="L142" s="4">
        <f>INDEX(F1_F2[],MATCH($D$2,F1_F2[Tipo de estaca],0),3)</f>
        <v>4</v>
      </c>
      <c r="M142" s="4">
        <f>PI()*(HC[[#This Row],[Ø (cm)]]/100)^2/4</f>
        <v>0.14186254326366407</v>
      </c>
      <c r="N142" s="4">
        <f>PI()*HC[[#This Row],[Ø (cm)]]/100</f>
        <v>1.3351768777756621</v>
      </c>
      <c r="O142" s="4">
        <f>IF(HC[[#This Row],[Prof. (m)]]=0,0,HC[[#This Row],[α (%)]]/100*HC[[#This Row],[K (MPa)]]*1000*HC[[#This Row],[NSPT]])</f>
        <v>656</v>
      </c>
      <c r="P142" s="4">
        <f>IF(HC[[#This Row],[Prof. (m)]]=0,0,(HC[[#This Row],[K (MPa)]]*1000*HC[[#This Row],[NSPT]]/HC[[#This Row],[F1]]*HC[[#This Row],[Ap (m²)]]+HC[[#This Row],[U (m)]]/HC[[#This Row],[F2]]*SUMIFS(HC[(α∙K∙NL∙ΔL)],HC[Prof. (m)],"&lt;="&amp;HC[[#This Row],[Prof. (m)]],HC[idDiâmetro],HC[[#This Row],[idDiâmetro]],HC[idPilar],HC[[#This Row],[idPilar]]))/'DADOS CAP. CARGA'!$D$2)</f>
        <v>1594.5182965726121</v>
      </c>
      <c r="Q142" s="12">
        <f>INDEX(C_alpha_beta[],MATCH(HC[[#This Row],[Solo]],C_alpha_beta[Solo],0),MATCH(HC[[#Headers],[C (kPa)]],C_alpha_beta[#Headers],0))</f>
        <v>400</v>
      </c>
      <c r="R142" s="4">
        <f>INDEX(C_alpha_beta[],MATCH(HC[[#This Row],[Solo]],C_alpha_beta[Solo],0),MATCH(HC[[#Headers],[α ESF]],C_alpha_beta[#Headers],0))</f>
        <v>0.5</v>
      </c>
      <c r="S142" s="4">
        <f>INDEX(C_alpha_beta[],MATCH(HC[[#This Row],[Solo]],C_alpha_beta[Solo],0),MATCH(HC[[#Headers],[β ESF]],C_alpha_beta[#Headers],0))</f>
        <v>0.5</v>
      </c>
      <c r="T142" s="4">
        <f>IF(HC[[#This Row],[Prof. (m)]]=0,0,10*(HC[[#This Row],[NSPT]]/3+1))</f>
        <v>146.66666666666666</v>
      </c>
      <c r="U142" s="4">
        <f>(HC[[#This Row],[α ESF]]*HC[[#This Row],[C (kPa)]]*HC[[#This Row],[NSPT]]*HC[[#This Row],[Ap (m²)]])/'DADOS CAP. CARGA'!$Q$2+(HC[[#This Row],[β ESF]]*SUMIFS(HC[10∙(NL/3+1)],HC[Prof. (m)],"&lt;="&amp;HC[[#This Row],[Prof. (m)]],HC[idDiâmetro],HC[[#This Row],[idDiâmetro]],HC[idPilar],HC[[#This Row],[idPilar]])*HC[[#This Row],[U (m)]])/'DADOS CAP. CARGA'!$S$2</f>
        <v>517.79828291237391</v>
      </c>
      <c r="V142" s="4">
        <f>IF(SPT!$M$5=1,MIN(HC[[#This Row],[Pe HC (kN)]],HC[[#This Row],[R_AV (kN)]]),IF(SPT!$M$5=2,MIN(HC[[#This Row],[Pe HC (kN)]],HC[[#This Row],[R_DC (kN)]]),MIN(HC[[#This Row],[Pe HC (kN)]],HC[[#This Row],[R_AV (kN)]],HC[[#This Row],[R_DC (kN)]])))</f>
        <v>517.79828291237391</v>
      </c>
      <c r="W142" s="4">
        <f>INDEX(PILARES[],HC[[#This Row],[idPilar]],MATCH("Carga (kN)",PILARES[#Headers],0))*1.4</f>
        <v>1750</v>
      </c>
      <c r="X142" s="12">
        <f>INDEX(PILARES[],HC[[#This Row],[idPilar]],MATCH(HC[[#Headers],[ap (cm)]],PILARES[#Headers],0))</f>
        <v>50</v>
      </c>
      <c r="Y142" s="12">
        <f>INDEX(PILARES[],HC[[#This Row],[idPilar]],MATCH(HC[[#Headers],[bp (cm)]],PILARES[#Headers],0))</f>
        <v>40</v>
      </c>
      <c r="Z142" s="4">
        <f>SQRT(HC[[#This Row],[ap (cm)]]*HC[[#This Row],[bp (cm)]])</f>
        <v>44.721359549995796</v>
      </c>
      <c r="AA142" s="12">
        <f>HC[[#This Row],[ap (cm)]]*HC[[#This Row],[bp (cm)]]</f>
        <v>2000</v>
      </c>
      <c r="AB142" s="12">
        <f ca="1">IF(HC[[#This Row],[Padm∙ε (kN)]]&gt;=HC[[#This Row],[Padm (kN)]],ROUNDUP(1.05*HC[[#This Row],[Nsd (kN)]]/HC[[#This Row],[Padm (kN)]],0),ROUNDUP(1.05*HC[[#This Row],[Nsd (kN)]]/HC[[#This Row],[Padm (kN)]],0)+1)</f>
        <v>4</v>
      </c>
      <c r="AC142" s="4">
        <f ca="1">IFERROR(IF(HC[[#This Row],[nE]]=1,HC[[#This Row],[Padm (kN)]],HC[[#This Row],[Padm (kN)]]*HC[[#This Row],[nE]]*INDEX(grupoEstacas[],HC[[#This Row],[nE]],MATCH("ε",grupoEstacas[#Headers],0))),"N.S.")</f>
        <v>1682.8444194652152</v>
      </c>
      <c r="AD142" s="4">
        <f ca="1">1.05*HC[[#This Row],[Nsd (kN)]]/(HC[[#This Row],[nE]]*PI()*HC[[#This Row],[Ø (cm)]]^2/4)*10</f>
        <v>3.238169776402577</v>
      </c>
      <c r="AE142" s="4">
        <f ca="1">IF(HC[[#This Row],[σ (MPa)]]&lt;INDEX(tipoEstaca[],MATCH($D$2,tipoEstaca[TIPO DE ESTACA],0),MATCH("σmáx (MPa)",tipoEstaca[#Headers],0)),0.4%*PI()*HC[[#This Row],[Ø (cm)]]^2/4,"N.S.")</f>
        <v>5.6745017305465639</v>
      </c>
      <c r="AF142" s="1">
        <f>INDEX(tipoEstaca[],MATCH($D$2,tipoEstaca[TIPO DE ESTACA],0),MATCH(HC[[#Headers],[Comprimento (m)]],tipoEstaca[#Headers],0))</f>
        <v>4</v>
      </c>
      <c r="AG142" s="5">
        <f ca="1">HC[[#This Row],[As,mín (cm²)]]/100^2*HC[[#This Row],[Comprimento (m)]]*7850</f>
        <v>17.817935433916212</v>
      </c>
      <c r="AH142" s="4">
        <f ca="1">HC[[#This Row],[nE]]*HC[[#This Row],[Prof. (m)]]*HC[[#This Row],[Ap (m²)]]</f>
        <v>6.241951903601219</v>
      </c>
      <c r="AI142" s="1">
        <f ca="1">IF(HC[[#This Row],[nE]]=1,0,MAX(3*HC[[#This Row],[Ø (cm)]],60))</f>
        <v>127.5</v>
      </c>
      <c r="AJ142" s="1">
        <f ca="1">IF(HC[[#This Row],[nE]]=1,HC[[#This Row],[Ø (cm)]]+2*10,MAX(1.5*HC[[#This Row],[Ø (cm)]],HC[[#This Row],[Ø (cm)]]+15))</f>
        <v>63.75</v>
      </c>
      <c r="AK142" s="1">
        <f ca="1">alturaUtil(HC[[#This Row],[nE]],HC[[#This Row],[Ø (cm)]],HC[[#This Row],[e (cm)]],HC[[#This Row],[ap,eq (cm)]])</f>
        <v>55</v>
      </c>
      <c r="AL142" s="1">
        <f ca="1">IFERROR(HC[[#This Row],[d (cm)]]+arredondarParaCimaMultiplo5cm(MAX(5,SQRT(PI())/2*HC[[#This Row],[Ø (cm)]]/5)),"N.S.")</f>
        <v>65</v>
      </c>
      <c r="AM142" s="5">
        <f ca="1">alpha(HC[[#This Row],[nE]],HC[[#This Row],[d (cm)]],HC[[#This Row],[e (cm)]],HC[[#This Row],[ap,eq (cm)]])</f>
        <v>46.294273239246891</v>
      </c>
      <c r="AN142" s="35">
        <f ca="1">IFERROR(HC[[#This Row],[Nsd (kN)]]/(HC[[#This Row],[Ap (cm²)]]*SIN(HC[[#This Row],[α]])^2),"N.S.")</f>
        <v>1.6079806278613213</v>
      </c>
      <c r="AO142" s="35">
        <f ca="1">IFERROR(HC[[#This Row],[Nsd (kN)]]/(HC[[#This Row],[nE]]*PI()*HC[[#This Row],[Ø (cm)]]^2/4*SIN(HC[[#This Row],[α]])^2),"N.S.")</f>
        <v>0.56673896818300618</v>
      </c>
      <c r="AP142" s="4">
        <f ca="1">IFERROR(INDEX(grupoEstacas[],HC[[#This Row],[nE]],MATCH("coef. Blévot",grupoEstacas[#Headers],0)),"N.S.")</f>
        <v>2.1</v>
      </c>
      <c r="AQ142" s="35">
        <f ca="1">IFERROR(HC[[#This Row],[coef. Blévot]]*0.9*INDEX(tipoEstaca[],MATCH($D$2,tipoEstaca[TIPO DE ESTACA],0),MATCH("fcd (kN/cm²)",tipoEstaca[#Headers],0)),"N.S.")</f>
        <v>2.1</v>
      </c>
      <c r="AR142" s="1" t="str">
        <f ca="1">IF(AND(HC[[#This Row],[cd,b,pil (kN/cm²)]]&lt;=HC[[#This Row],[cd,b,lim (kN/cm²)]],HC[[#This Row],[cd,b,est (kN/cm²)]]&lt;=HC[[#This Row],[cd,b,lim (kN/cm²)]]),"OK","ERRO")</f>
        <v>OK</v>
      </c>
      <c r="AS142" s="4">
        <f ca="1">As_lado(HC[[#This Row],[nE]],HC[[#This Row],[Nsd (kN)]],HC[[#This Row],[d (cm)]],HC[[#This Row],[e (cm)]],HC[[#This Row],[ap,eq (cm)]])</f>
        <v>9.6178582705825786</v>
      </c>
      <c r="AT142" s="4" t="str">
        <f ca="1">IF(HC[[#This Row],[nE]]=1,HC[[#This Row],[As,lado (cm²)]],IF(HC[[#This Row],[nE]]=2,0.075*2*HC[a (cm)],"N.A."))</f>
        <v>N.A.</v>
      </c>
      <c r="AU142" s="4">
        <f ca="1">IFERROR(IF(HC[[#This Row],[nE]]=1,"N.A.",0.2*HC[[#This Row],[As,lado (cm²)]]),"N.S.")</f>
        <v>1.9235716541165158</v>
      </c>
      <c r="AV142" s="4">
        <f ca="1">As_malha(HC[[#This Row],[nE]],HC[[#This Row],[As,lado (cm²)]],HC[[#This Row],[Nsd (kN)]])</f>
        <v>1.9235716541165158</v>
      </c>
      <c r="AW142" s="4">
        <f ca="1">As_susp_tot(HC[[#This Row],[nE]],HC[[#This Row],[Nsd (kN)]])</f>
        <v>6.708333333333333</v>
      </c>
      <c r="AX142" s="4">
        <f ca="1">Asp_face(HC[[#This Row],[nE]],HC[[#This Row],[As,lado (cm²)]])</f>
        <v>4.8089291352912893</v>
      </c>
      <c r="AY142" s="5">
        <f ca="1">acoBloco(HC[[#This Row],[nE]],HC[[#This Row],[e (cm)]],HC[[#This Row],[a (cm)]],HC[[#This Row],[h (cm)]],HC[[#This Row],[As,lado (cm²)]],HC[[#This Row],[Asp e Asw (cm²/m)]],HC[[#This Row],[As,sup (cm²)]],HC[[#This Row],[As,malha (cm²)]],HC[[#This Row],[As,susp,tot (cm²)]],HC[[#This Row],[Asp,face (cm²)]])</f>
        <v>142.04127119393181</v>
      </c>
      <c r="AZ142" s="4">
        <f ca="1">concretoBloco(HC[[#This Row],[nE]],HC[[#This Row],[e (cm)]],HC[[#This Row],[a (cm)]],HC[[#This Row],[h (cm)]])</f>
        <v>4.2266250000000003</v>
      </c>
      <c r="BA142" s="5">
        <f ca="1">SUM(HC[[#This Row],[Aço Est (kg)]],HC[[#This Row],[Aço Bloco (kg)]])</f>
        <v>159.85920662784801</v>
      </c>
      <c r="BB142" s="4">
        <f>INDEX(composicoes[],MATCH(95580,composicoes[CÓDIGO],0),MATCH("CUSTO TOTAL",composicoes[#Headers],0))</f>
        <v>10.46</v>
      </c>
      <c r="BC142" s="4">
        <f ca="1">SUM(HC[[#This Row],[Conc Est (m³)]],HC[[#This Row],[Conc Bloco (m³)]])</f>
        <v>10.468576903601219</v>
      </c>
      <c r="BD142" s="4">
        <f>INDEX(composicoes[],MATCH(94966,composicoes[CÓDIGO],0),MATCH("CUSTO TOTAL",composicoes[#Headers],0))</f>
        <v>439.52</v>
      </c>
      <c r="BE142" s="38">
        <f ca="1">HC[[#This Row],[Aço (kg)]]*HC[[#This Row],[Aço (R$/kg)]]+HC[[#This Row],[Conc (m³)]]*HC[[#This Row],[Conc (R$/m³)]]</f>
        <v>6273.2762219980978</v>
      </c>
      <c r="BF142" s="4" t="str">
        <f ca="1">IF(COUNTIF(HC[#This Row],"N.S.")&gt;0,"lim.","OK")</f>
        <v>OK</v>
      </c>
      <c r="BG142" s="4" t="str">
        <f>IF(HC[[#This Row],[Prof. (m)]]&lt;4,"lim.","OK")</f>
        <v>OK</v>
      </c>
      <c r="BH142" s="4" t="str">
        <f>IF(HC[[#This Row],[Prof. (m)]]&gt;=8*HC[[#This Row],[Ø (cm)]]/100,"OK","lim.")</f>
        <v>OK</v>
      </c>
      <c r="BI142" s="4" t="str">
        <f ca="1">IF(HC[[#This Row],[Verif. Biela]]="OK","OK","lim.")</f>
        <v>OK</v>
      </c>
      <c r="BJ142" s="4" t="str">
        <f ca="1">IF(COUNTA(HC[[#This Row],[Nº Est.]:[Biela comp.]])=COUNTIF(HC[[#This Row],[Nº Est.]:[Biela comp.]],"OK"),"OK","lim.")</f>
        <v>OK</v>
      </c>
      <c r="BK142" s="4" t="str">
        <f ca="1">IF(HC[[#This Row],[Controle]]="OK",HC[[#This Row],[nE]]&amp;" Ø"&amp;HC[[#This Row],[Ø (cm)]]&amp;"cm Prof. "&amp;HC[[#This Row],[Prof. (m)]]&amp;" m","")</f>
        <v>4 Ø42,5cm Prof. 11 m</v>
      </c>
      <c r="BL142" s="4" t="str">
        <f ca="1">IF(HC[[#This Row],[idDimensionamento]]="","",HC[[#This Row],[idPilar]]&amp;HC[[#This Row],[idDimensionamento]])</f>
        <v>24 Ø42,5cm Prof. 11 m</v>
      </c>
    </row>
    <row r="143" spans="2:64" x14ac:dyDescent="0.25">
      <c r="B143" s="12">
        <f>ROUNDUP((ROW(HC[[#This Row],[idDiâmetro]])-ROW(HC[[#Headers],[idDiâmetro]]))/(COUNT(SPT[Prof. (m)])*COUNT(PILARES[Pilar])),0)</f>
        <v>5</v>
      </c>
      <c r="C143" s="12">
        <f>IF(HC[[#This Row],[idDiâmetro]]&lt;&gt;B142,1,IF(HC[[#This Row],[Prof. (m)]]=0,C142+1,C142))</f>
        <v>2</v>
      </c>
      <c r="D143" s="1">
        <f>IFERROR(IF(D142=MAX(SPT[Prof. (m)]),0,D142+1),0)</f>
        <v>12</v>
      </c>
      <c r="E143" s="1">
        <f>INDEX(SPT[],MATCH(HC[[#This Row],[Prof. (m)]],SPT[Prof. (m)],0),2)</f>
        <v>52</v>
      </c>
      <c r="F143" s="1" t="str">
        <f>INDEX(SPT[],MATCH(HC[[#This Row],[Prof. (m)]],SPT[Prof. (m)],0),3)</f>
        <v>Areia siltosa</v>
      </c>
      <c r="G143" s="1">
        <f>INDEX(estacas[],HC[[#This Row],[idDiâmetro]],MATCH($B$2,estacas[#Headers],0))</f>
        <v>42.5</v>
      </c>
      <c r="H143" s="1">
        <f>INDEX(estacas[],MATCH(HC[[#This Row],[Ø (cm)]],estacas[Ø HC (cm)],0),MATCH(HC[[#Headers],[Pe HC (kN)]],estacas[#Headers],0))</f>
        <v>900</v>
      </c>
      <c r="I143" s="4">
        <f>INDEX(K_alpha_C[],MATCH(HC[[#This Row],[Solo]],K_alpha_C[Solo],0),2)</f>
        <v>0.8</v>
      </c>
      <c r="J143" s="5">
        <f>INDEX(K_alpha_C[],MATCH(HC[[#This Row],[Solo]],K_alpha_C[Solo],0),3)</f>
        <v>2</v>
      </c>
      <c r="K143" s="4">
        <f>INDEX(F1_F2[],MATCH($D$2,F1_F2[Tipo de estaca],0),2)</f>
        <v>2</v>
      </c>
      <c r="L143" s="4">
        <f>INDEX(F1_F2[],MATCH($D$2,F1_F2[Tipo de estaca],0),3)</f>
        <v>4</v>
      </c>
      <c r="M143" s="4">
        <f>PI()*(HC[[#This Row],[Ø (cm)]]/100)^2/4</f>
        <v>0.14186254326366407</v>
      </c>
      <c r="N143" s="4">
        <f>PI()*HC[[#This Row],[Ø (cm)]]/100</f>
        <v>1.3351768777756621</v>
      </c>
      <c r="O143" s="4">
        <f>IF(HC[[#This Row],[Prof. (m)]]=0,0,HC[[#This Row],[α (%)]]/100*HC[[#This Row],[K (MPa)]]*1000*HC[[#This Row],[NSPT]])</f>
        <v>832</v>
      </c>
      <c r="P143" s="4">
        <f>IF(HC[[#This Row],[Prof. (m)]]=0,0,(HC[[#This Row],[K (MPa)]]*1000*HC[[#This Row],[NSPT]]/HC[[#This Row],[F1]]*HC[[#This Row],[Ap (m²)]]+HC[[#This Row],[U (m)]]/HC[[#This Row],[F2]]*SUMIFS(HC[(α∙K∙NL∙ΔL)],HC[Prof. (m)],"&lt;="&amp;HC[[#This Row],[Prof. (m)]],HC[idDiâmetro],HC[[#This Row],[idDiâmetro]],HC[idPilar],HC[[#This Row],[idPilar]]))/'DADOS CAP. CARGA'!$D$2)</f>
        <v>2045.4742870413418</v>
      </c>
      <c r="Q143" s="12">
        <f>INDEX(C_alpha_beta[],MATCH(HC[[#This Row],[Solo]],C_alpha_beta[Solo],0),MATCH(HC[[#Headers],[C (kPa)]],C_alpha_beta[#Headers],0))</f>
        <v>400</v>
      </c>
      <c r="R143" s="4">
        <f>INDEX(C_alpha_beta[],MATCH(HC[[#This Row],[Solo]],C_alpha_beta[Solo],0),MATCH(HC[[#Headers],[α ESF]],C_alpha_beta[#Headers],0))</f>
        <v>0.5</v>
      </c>
      <c r="S143" s="4">
        <f>INDEX(C_alpha_beta[],MATCH(HC[[#This Row],[Solo]],C_alpha_beta[Solo],0),MATCH(HC[[#Headers],[β ESF]],C_alpha_beta[#Headers],0))</f>
        <v>0.5</v>
      </c>
      <c r="T143" s="4">
        <f>IF(HC[[#This Row],[Prof. (m)]]=0,0,10*(HC[[#This Row],[NSPT]]/3+1))</f>
        <v>183.33333333333331</v>
      </c>
      <c r="U143" s="4">
        <f>(HC[[#This Row],[α ESF]]*HC[[#This Row],[C (kPa)]]*HC[[#This Row],[NSPT]]*HC[[#This Row],[Ap (m²)]])/'DADOS CAP. CARGA'!$Q$2+(HC[[#This Row],[β ESF]]*SUMIFS(HC[10∙(NL/3+1)],HC[Prof. (m)],"&lt;="&amp;HC[[#This Row],[Prof. (m)]],HC[idDiâmetro],HC[[#This Row],[idDiâmetro]],HC[idPilar],HC[[#This Row],[idPilar]])*HC[[#This Row],[U (m)]])/'DADOS CAP. CARGA'!$S$2</f>
        <v>657.01828860544026</v>
      </c>
      <c r="V143" s="4">
        <f>IF(SPT!$M$5=1,MIN(HC[[#This Row],[Pe HC (kN)]],HC[[#This Row],[R_AV (kN)]]),IF(SPT!$M$5=2,MIN(HC[[#This Row],[Pe HC (kN)]],HC[[#This Row],[R_DC (kN)]]),MIN(HC[[#This Row],[Pe HC (kN)]],HC[[#This Row],[R_AV (kN)]],HC[[#This Row],[R_DC (kN)]])))</f>
        <v>657.01828860544026</v>
      </c>
      <c r="W143" s="4">
        <f>INDEX(PILARES[],HC[[#This Row],[idPilar]],MATCH("Carga (kN)",PILARES[#Headers],0))*1.4</f>
        <v>1750</v>
      </c>
      <c r="X143" s="12">
        <f>INDEX(PILARES[],HC[[#This Row],[idPilar]],MATCH(HC[[#Headers],[ap (cm)]],PILARES[#Headers],0))</f>
        <v>50</v>
      </c>
      <c r="Y143" s="12">
        <f>INDEX(PILARES[],HC[[#This Row],[idPilar]],MATCH(HC[[#Headers],[bp (cm)]],PILARES[#Headers],0))</f>
        <v>40</v>
      </c>
      <c r="Z143" s="4">
        <f>SQRT(HC[[#This Row],[ap (cm)]]*HC[[#This Row],[bp (cm)]])</f>
        <v>44.721359549995796</v>
      </c>
      <c r="AA143" s="12">
        <f>HC[[#This Row],[ap (cm)]]*HC[[#This Row],[bp (cm)]]</f>
        <v>2000</v>
      </c>
      <c r="AB143" s="12">
        <f ca="1">IF(HC[[#This Row],[Padm∙ε (kN)]]&gt;=HC[[#This Row],[Padm (kN)]],ROUNDUP(1.05*HC[[#This Row],[Nsd (kN)]]/HC[[#This Row],[Padm (kN)]],0),ROUNDUP(1.05*HC[[#This Row],[Nsd (kN)]]/HC[[#This Row],[Padm (kN)]],0)+1)</f>
        <v>3</v>
      </c>
      <c r="AC143" s="4">
        <f ca="1">IFERROR(IF(HC[[#This Row],[nE]]=1,HC[[#This Row],[Padm (kN)]],HC[[#This Row],[Padm (kN)]]*HC[[#This Row],[nE]]*INDEX(grupoEstacas[],HC[[#This Row],[nE]],MATCH("ε",grupoEstacas[#Headers],0))),"N.S.")</f>
        <v>1724.6730075892806</v>
      </c>
      <c r="AD143" s="4">
        <f ca="1">1.05*HC[[#This Row],[Nsd (kN)]]/(HC[[#This Row],[nE]]*PI()*HC[[#This Row],[Ø (cm)]]^2/4)*10</f>
        <v>4.3175597018701017</v>
      </c>
      <c r="AE143" s="4">
        <f ca="1">IF(HC[[#This Row],[σ (MPa)]]&lt;INDEX(tipoEstaca[],MATCH($D$2,tipoEstaca[TIPO DE ESTACA],0),MATCH("σmáx (MPa)",tipoEstaca[#Headers],0)),0.4%*PI()*HC[[#This Row],[Ø (cm)]]^2/4,"N.S.")</f>
        <v>5.6745017305465639</v>
      </c>
      <c r="AF143" s="1">
        <f>INDEX(tipoEstaca[],MATCH($D$2,tipoEstaca[TIPO DE ESTACA],0),MATCH(HC[[#Headers],[Comprimento (m)]],tipoEstaca[#Headers],0))</f>
        <v>4</v>
      </c>
      <c r="AG143" s="5">
        <f ca="1">HC[[#This Row],[As,mín (cm²)]]/100^2*HC[[#This Row],[Comprimento (m)]]*7850</f>
        <v>17.817935433916212</v>
      </c>
      <c r="AH143" s="4">
        <f ca="1">HC[[#This Row],[nE]]*HC[[#This Row],[Prof. (m)]]*HC[[#This Row],[Ap (m²)]]</f>
        <v>5.1070515574919062</v>
      </c>
      <c r="AI143" s="1">
        <f ca="1">IF(HC[[#This Row],[nE]]=1,0,MAX(3*HC[[#This Row],[Ø (cm)]],60))</f>
        <v>127.5</v>
      </c>
      <c r="AJ143" s="1">
        <f ca="1">IF(HC[[#This Row],[nE]]=1,HC[[#This Row],[Ø (cm)]]+2*10,MAX(1.5*HC[[#This Row],[Ø (cm)]],HC[[#This Row],[Ø (cm)]]+15))</f>
        <v>63.75</v>
      </c>
      <c r="AK143" s="1">
        <f ca="1">alturaUtil(HC[[#This Row],[nE]],HC[[#This Row],[Ø (cm)]],HC[[#This Row],[e (cm)]],HC[[#This Row],[ap,eq (cm)]])</f>
        <v>55</v>
      </c>
      <c r="AL143" s="1">
        <f ca="1">IFERROR(HC[[#This Row],[d (cm)]]+arredondarParaCimaMultiplo5cm(MAX(5,SQRT(PI())/2*HC[[#This Row],[Ø (cm)]]/5)),"N.S.")</f>
        <v>65</v>
      </c>
      <c r="AM143" s="5">
        <f ca="1">alpha(HC[[#This Row],[nE]],HC[[#This Row],[d (cm)]],HC[[#This Row],[e (cm)]],HC[[#This Row],[ap,eq (cm)]])</f>
        <v>47.536615015191259</v>
      </c>
      <c r="AN143" s="35">
        <f ca="1">IFERROR(HC[[#This Row],[Nsd (kN)]]/(HC[[#This Row],[Ap (cm²)]]*SIN(HC[[#This Row],[α]])^2),"N.S.")</f>
        <v>5.4386004355153377</v>
      </c>
      <c r="AO143" s="35">
        <f ca="1">IFERROR(HC[[#This Row],[Nsd (kN)]]/(HC[[#This Row],[nE]]*PI()*HC[[#This Row],[Ø (cm)]]^2/4*SIN(HC[[#This Row],[α]])^2),"N.S.")</f>
        <v>2.5558075727841314</v>
      </c>
      <c r="AP143" s="4">
        <f ca="1">IFERROR(INDEX(grupoEstacas[],HC[[#This Row],[nE]],MATCH("coef. Blévot",grupoEstacas[#Headers],0)),"N.S.")</f>
        <v>1.75</v>
      </c>
      <c r="AQ143" s="35">
        <f ca="1">IFERROR(HC[[#This Row],[coef. Blévot]]*0.9*INDEX(tipoEstaca[],MATCH($D$2,tipoEstaca[TIPO DE ESTACA],0),MATCH("fcd (kN/cm²)",tipoEstaca[#Headers],0)),"N.S.")</f>
        <v>1.75</v>
      </c>
      <c r="AR143" s="1" t="str">
        <f ca="1">IF(AND(HC[[#This Row],[cd,b,pil (kN/cm²)]]&lt;=HC[[#This Row],[cd,b,lim (kN/cm²)]],HC[[#This Row],[cd,b,est (kN/cm²)]]&lt;=HC[[#This Row],[cd,b,lim (kN/cm²)]]),"OK","ERRO")</f>
        <v>ERRO</v>
      </c>
      <c r="AS143" s="4">
        <f ca="1">As_lado(HC[[#This Row],[nE]],HC[[#This Row],[Nsd (kN)]],HC[[#This Row],[d (cm)]],HC[[#This Row],[e (cm)]],HC[[#This Row],[ap,eq (cm)]])</f>
        <v>8.4778778220018332</v>
      </c>
      <c r="AT143" s="4" t="str">
        <f ca="1">IF(HC[[#This Row],[nE]]=1,HC[[#This Row],[As,lado (cm²)]],IF(HC[[#This Row],[nE]]=2,0.075*2*HC[a (cm)],"N.A."))</f>
        <v>N.A.</v>
      </c>
      <c r="AU143" s="4">
        <f ca="1">IFERROR(IF(HC[[#This Row],[nE]]=1,"N.A.",0.2*HC[[#This Row],[As,lado (cm²)]]),"N.S.")</f>
        <v>1.6955755644003667</v>
      </c>
      <c r="AV143" s="4">
        <f ca="1">As_malha(HC[[#This Row],[nE]],HC[[#This Row],[As,lado (cm²)]],HC[[#This Row],[Nsd (kN)]])</f>
        <v>2.981481481481481</v>
      </c>
      <c r="AW143" s="4">
        <f ca="1">As_susp_tot(HC[[#This Row],[nE]],HC[[#This Row],[Nsd (kN)]])</f>
        <v>8.9444444444444429</v>
      </c>
      <c r="AX143" s="4">
        <f ca="1">Asp_face(HC[[#This Row],[nE]],HC[[#This Row],[As,lado (cm²)]])</f>
        <v>3.1792041832506874</v>
      </c>
      <c r="AY143" s="5">
        <f ca="1">acoBloco(HC[[#This Row],[nE]],HC[[#This Row],[e (cm)]],HC[[#This Row],[a (cm)]],HC[[#This Row],[h (cm)]],HC[[#This Row],[As,lado (cm²)]],HC[[#This Row],[Asp e Asw (cm²/m)]],HC[[#This Row],[As,sup (cm²)]],HC[[#This Row],[As,malha (cm²)]],HC[[#This Row],[As,susp,tot (cm²)]],HC[[#This Row],[Asp,face (cm²)]])</f>
        <v>107.52940074635261</v>
      </c>
      <c r="AZ143" s="4">
        <f ca="1">concretoBloco(HC[[#This Row],[nE]],HC[[#This Row],[e (cm)]],HC[[#This Row],[a (cm)]],HC[[#This Row],[h (cm)]])</f>
        <v>2.9576211083514017</v>
      </c>
      <c r="BA143" s="5">
        <f ca="1">SUM(HC[[#This Row],[Aço Est (kg)]],HC[[#This Row],[Aço Bloco (kg)]])</f>
        <v>125.34733618026883</v>
      </c>
      <c r="BB143" s="4">
        <f>INDEX(composicoes[],MATCH(95580,composicoes[CÓDIGO],0),MATCH("CUSTO TOTAL",composicoes[#Headers],0))</f>
        <v>10.46</v>
      </c>
      <c r="BC143" s="4">
        <f ca="1">SUM(HC[[#This Row],[Conc Est (m³)]],HC[[#This Row],[Conc Bloco (m³)]])</f>
        <v>8.0646726658433074</v>
      </c>
      <c r="BD143" s="4">
        <f>INDEX(composicoes[],MATCH(94966,composicoes[CÓDIGO],0),MATCH("CUSTO TOTAL",composicoes[#Headers],0))</f>
        <v>439.52</v>
      </c>
      <c r="BE143" s="38">
        <f ca="1">HC[[#This Row],[Aço (kg)]]*HC[[#This Row],[Aço (R$/kg)]]+HC[[#This Row],[Conc (m³)]]*HC[[#This Row],[Conc (R$/m³)]]</f>
        <v>4855.7180665370624</v>
      </c>
      <c r="BF143" s="4" t="str">
        <f ca="1">IF(COUNTIF(HC[#This Row],"N.S.")&gt;0,"lim.","OK")</f>
        <v>OK</v>
      </c>
      <c r="BG143" s="4" t="str">
        <f>IF(HC[[#This Row],[Prof. (m)]]&lt;4,"lim.","OK")</f>
        <v>OK</v>
      </c>
      <c r="BH143" s="4" t="str">
        <f>IF(HC[[#This Row],[Prof. (m)]]&gt;=8*HC[[#This Row],[Ø (cm)]]/100,"OK","lim.")</f>
        <v>OK</v>
      </c>
      <c r="BI143" s="4" t="str">
        <f ca="1">IF(HC[[#This Row],[Verif. Biela]]="OK","OK","lim.")</f>
        <v>lim.</v>
      </c>
      <c r="BJ143" s="4" t="str">
        <f ca="1">IF(COUNTA(HC[[#This Row],[Nº Est.]:[Biela comp.]])=COUNTIF(HC[[#This Row],[Nº Est.]:[Biela comp.]],"OK"),"OK","lim.")</f>
        <v>lim.</v>
      </c>
      <c r="BK143" s="4" t="str">
        <f ca="1">IF(HC[[#This Row],[Controle]]="OK",HC[[#This Row],[nE]]&amp;" Ø"&amp;HC[[#This Row],[Ø (cm)]]&amp;"cm Prof. "&amp;HC[[#This Row],[Prof. (m)]]&amp;" m","")</f>
        <v/>
      </c>
      <c r="BL143" s="4" t="str">
        <f ca="1">IF(HC[[#This Row],[idDimensionamento]]="","",HC[[#This Row],[idPilar]]&amp;HC[[#This Row],[idDimensionamento]])</f>
        <v/>
      </c>
    </row>
    <row r="144" spans="2:64" x14ac:dyDescent="0.25">
      <c r="B144" s="12">
        <f>ROUNDUP((ROW(HC[[#This Row],[idDiâmetro]])-ROW(HC[[#Headers],[idDiâmetro]]))/(COUNT(SPT[Prof. (m)])*COUNT(PILARES[Pilar])),0)</f>
        <v>5</v>
      </c>
      <c r="C144" s="12">
        <f>IF(HC[[#This Row],[idDiâmetro]]&lt;&gt;B143,1,IF(HC[[#This Row],[Prof. (m)]]=0,C143+1,C143))</f>
        <v>2</v>
      </c>
      <c r="D144" s="1">
        <f>IFERROR(IF(D143=MAX(SPT[Prof. (m)]),0,D143+1),0)</f>
        <v>13</v>
      </c>
      <c r="E144" s="1">
        <f>INDEX(SPT[],MATCH(HC[[#This Row],[Prof. (m)]],SPT[Prof. (m)],0),2)</f>
        <v>68</v>
      </c>
      <c r="F144" s="1" t="str">
        <f>INDEX(SPT[],MATCH(HC[[#This Row],[Prof. (m)]],SPT[Prof. (m)],0),3)</f>
        <v>Areia siltosa</v>
      </c>
      <c r="G144" s="1">
        <f>INDEX(estacas[],HC[[#This Row],[idDiâmetro]],MATCH($B$2,estacas[#Headers],0))</f>
        <v>42.5</v>
      </c>
      <c r="H144" s="1">
        <f>INDEX(estacas[],MATCH(HC[[#This Row],[Ø (cm)]],estacas[Ø HC (cm)],0),MATCH(HC[[#Headers],[Pe HC (kN)]],estacas[#Headers],0))</f>
        <v>900</v>
      </c>
      <c r="I144" s="4">
        <f>INDEX(K_alpha_C[],MATCH(HC[[#This Row],[Solo]],K_alpha_C[Solo],0),2)</f>
        <v>0.8</v>
      </c>
      <c r="J144" s="5">
        <f>INDEX(K_alpha_C[],MATCH(HC[[#This Row],[Solo]],K_alpha_C[Solo],0),3)</f>
        <v>2</v>
      </c>
      <c r="K144" s="4">
        <f>INDEX(F1_F2[],MATCH($D$2,F1_F2[Tipo de estaca],0),2)</f>
        <v>2</v>
      </c>
      <c r="L144" s="4">
        <f>INDEX(F1_F2[],MATCH($D$2,F1_F2[Tipo de estaca],0),3)</f>
        <v>4</v>
      </c>
      <c r="M144" s="4">
        <f>PI()*(HC[[#This Row],[Ø (cm)]]/100)^2/4</f>
        <v>0.14186254326366407</v>
      </c>
      <c r="N144" s="4">
        <f>PI()*HC[[#This Row],[Ø (cm)]]/100</f>
        <v>1.3351768777756621</v>
      </c>
      <c r="O144" s="4">
        <f>IF(HC[[#This Row],[Prof. (m)]]=0,0,HC[[#This Row],[α (%)]]/100*HC[[#This Row],[K (MPa)]]*1000*HC[[#This Row],[NSPT]])</f>
        <v>1088</v>
      </c>
      <c r="P144" s="4">
        <f>IF(HC[[#This Row],[Prof. (m)]]=0,0,(HC[[#This Row],[K (MPa)]]*1000*HC[[#This Row],[NSPT]]/HC[[#This Row],[F1]]*HC[[#This Row],[Ap (m²)]]+HC[[#This Row],[U (m)]]/HC[[#This Row],[F2]]*SUMIFS(HC[(α∙K∙NL∙ΔL)],HC[Prof. (m)],"&lt;="&amp;HC[[#This Row],[Prof. (m)]],HC[idDiâmetro],HC[[#This Row],[idDiâmetro]],HC[idPilar],HC[[#This Row],[idPilar]]))/'DADOS CAP. CARGA'!$D$2)</f>
        <v>2681.0184808625568</v>
      </c>
      <c r="Q144" s="12">
        <f>INDEX(C_alpha_beta[],MATCH(HC[[#This Row],[Solo]],C_alpha_beta[Solo],0),MATCH(HC[[#Headers],[C (kPa)]],C_alpha_beta[#Headers],0))</f>
        <v>400</v>
      </c>
      <c r="R144" s="4">
        <f>INDEX(C_alpha_beta[],MATCH(HC[[#This Row],[Solo]],C_alpha_beta[Solo],0),MATCH(HC[[#Headers],[α ESF]],C_alpha_beta[#Headers],0))</f>
        <v>0.5</v>
      </c>
      <c r="S144" s="4">
        <f>INDEX(C_alpha_beta[],MATCH(HC[[#This Row],[Solo]],C_alpha_beta[Solo],0),MATCH(HC[[#Headers],[β ESF]],C_alpha_beta[#Headers],0))</f>
        <v>0.5</v>
      </c>
      <c r="T144" s="4">
        <f>IF(HC[[#This Row],[Prof. (m)]]=0,0,10*(HC[[#This Row],[NSPT]]/3+1))</f>
        <v>236.66666666666669</v>
      </c>
      <c r="U144" s="4">
        <f>(HC[[#This Row],[α ESF]]*HC[[#This Row],[C (kPa)]]*HC[[#This Row],[NSPT]]*HC[[#This Row],[Ap (m²)]])/'DADOS CAP. CARGA'!$Q$2+(HC[[#This Row],[β ESF]]*SUMIFS(HC[10∙(NL/3+1)],HC[Prof. (m)],"&lt;="&amp;HC[[#This Row],[Prof. (m)]],HC[idDiâmetro],HC[[#This Row],[idDiâmetro]],HC[idPilar],HC[[#This Row],[idPilar]])*HC[[#This Row],[U (m)]])/'DADOS CAP. CARGA'!$S$2</f>
        <v>849.50628848476492</v>
      </c>
      <c r="V144" s="4">
        <f>IF(SPT!$M$5=1,MIN(HC[[#This Row],[Pe HC (kN)]],HC[[#This Row],[R_AV (kN)]]),IF(SPT!$M$5=2,MIN(HC[[#This Row],[Pe HC (kN)]],HC[[#This Row],[R_DC (kN)]]),MIN(HC[[#This Row],[Pe HC (kN)]],HC[[#This Row],[R_AV (kN)]],HC[[#This Row],[R_DC (kN)]])))</f>
        <v>849.50628848476492</v>
      </c>
      <c r="W144" s="4">
        <f>INDEX(PILARES[],HC[[#This Row],[idPilar]],MATCH("Carga (kN)",PILARES[#Headers],0))*1.4</f>
        <v>1750</v>
      </c>
      <c r="X144" s="12">
        <f>INDEX(PILARES[],HC[[#This Row],[idPilar]],MATCH(HC[[#Headers],[ap (cm)]],PILARES[#Headers],0))</f>
        <v>50</v>
      </c>
      <c r="Y144" s="12">
        <f>INDEX(PILARES[],HC[[#This Row],[idPilar]],MATCH(HC[[#Headers],[bp (cm)]],PILARES[#Headers],0))</f>
        <v>40</v>
      </c>
      <c r="Z144" s="4">
        <f>SQRT(HC[[#This Row],[ap (cm)]]*HC[[#This Row],[bp (cm)]])</f>
        <v>44.721359549995796</v>
      </c>
      <c r="AA144" s="12">
        <f>HC[[#This Row],[ap (cm)]]*HC[[#This Row],[bp (cm)]]</f>
        <v>2000</v>
      </c>
      <c r="AB144" s="12">
        <f ca="1">IF(HC[[#This Row],[Padm∙ε (kN)]]&gt;=HC[[#This Row],[Padm (kN)]],ROUNDUP(1.05*HC[[#This Row],[Nsd (kN)]]/HC[[#This Row],[Padm (kN)]],0),ROUNDUP(1.05*HC[[#This Row],[Nsd (kN)]]/HC[[#This Row],[Padm (kN)]],0)+1)</f>
        <v>3</v>
      </c>
      <c r="AC144" s="4">
        <f ca="1">IFERROR(IF(HC[[#This Row],[nE]]=1,HC[[#This Row],[Padm (kN)]],HC[[#This Row],[Padm (kN)]]*HC[[#This Row],[nE]]*INDEX(grupoEstacas[],HC[[#This Row],[nE]],MATCH("ε",grupoEstacas[#Headers],0))),"N.S.")</f>
        <v>2229.9540072725081</v>
      </c>
      <c r="AD144" s="4">
        <f ca="1">1.05*HC[[#This Row],[Nsd (kN)]]/(HC[[#This Row],[nE]]*PI()*HC[[#This Row],[Ø (cm)]]^2/4)*10</f>
        <v>4.3175597018701017</v>
      </c>
      <c r="AE144" s="4">
        <f ca="1">IF(HC[[#This Row],[σ (MPa)]]&lt;INDEX(tipoEstaca[],MATCH($D$2,tipoEstaca[TIPO DE ESTACA],0),MATCH("σmáx (MPa)",tipoEstaca[#Headers],0)),0.4%*PI()*HC[[#This Row],[Ø (cm)]]^2/4,"N.S.")</f>
        <v>5.6745017305465639</v>
      </c>
      <c r="AF144" s="1">
        <f>INDEX(tipoEstaca[],MATCH($D$2,tipoEstaca[TIPO DE ESTACA],0),MATCH(HC[[#Headers],[Comprimento (m)]],tipoEstaca[#Headers],0))</f>
        <v>4</v>
      </c>
      <c r="AG144" s="5">
        <f ca="1">HC[[#This Row],[As,mín (cm²)]]/100^2*HC[[#This Row],[Comprimento (m)]]*7850</f>
        <v>17.817935433916212</v>
      </c>
      <c r="AH144" s="4">
        <f ca="1">HC[[#This Row],[nE]]*HC[[#This Row],[Prof. (m)]]*HC[[#This Row],[Ap (m²)]]</f>
        <v>5.5326391872828991</v>
      </c>
      <c r="AI144" s="1">
        <f ca="1">IF(HC[[#This Row],[nE]]=1,0,MAX(3*HC[[#This Row],[Ø (cm)]],60))</f>
        <v>127.5</v>
      </c>
      <c r="AJ144" s="1">
        <f ca="1">IF(HC[[#This Row],[nE]]=1,HC[[#This Row],[Ø (cm)]]+2*10,MAX(1.5*HC[[#This Row],[Ø (cm)]],HC[[#This Row],[Ø (cm)]]+15))</f>
        <v>63.75</v>
      </c>
      <c r="AK144" s="1">
        <f ca="1">alturaUtil(HC[[#This Row],[nE]],HC[[#This Row],[Ø (cm)]],HC[[#This Row],[e (cm)]],HC[[#This Row],[ap,eq (cm)]])</f>
        <v>55</v>
      </c>
      <c r="AL144" s="1">
        <f ca="1">IFERROR(HC[[#This Row],[d (cm)]]+arredondarParaCimaMultiplo5cm(MAX(5,SQRT(PI())/2*HC[[#This Row],[Ø (cm)]]/5)),"N.S.")</f>
        <v>65</v>
      </c>
      <c r="AM144" s="5">
        <f ca="1">alpha(HC[[#This Row],[nE]],HC[[#This Row],[d (cm)]],HC[[#This Row],[e (cm)]],HC[[#This Row],[ap,eq (cm)]])</f>
        <v>47.536615015191259</v>
      </c>
      <c r="AN144" s="35">
        <f ca="1">IFERROR(HC[[#This Row],[Nsd (kN)]]/(HC[[#This Row],[Ap (cm²)]]*SIN(HC[[#This Row],[α]])^2),"N.S.")</f>
        <v>5.4386004355153377</v>
      </c>
      <c r="AO144" s="35">
        <f ca="1">IFERROR(HC[[#This Row],[Nsd (kN)]]/(HC[[#This Row],[nE]]*PI()*HC[[#This Row],[Ø (cm)]]^2/4*SIN(HC[[#This Row],[α]])^2),"N.S.")</f>
        <v>2.5558075727841314</v>
      </c>
      <c r="AP144" s="4">
        <f ca="1">IFERROR(INDEX(grupoEstacas[],HC[[#This Row],[nE]],MATCH("coef. Blévot",grupoEstacas[#Headers],0)),"N.S.")</f>
        <v>1.75</v>
      </c>
      <c r="AQ144" s="35">
        <f ca="1">IFERROR(HC[[#This Row],[coef. Blévot]]*0.9*INDEX(tipoEstaca[],MATCH($D$2,tipoEstaca[TIPO DE ESTACA],0),MATCH("fcd (kN/cm²)",tipoEstaca[#Headers],0)),"N.S.")</f>
        <v>1.75</v>
      </c>
      <c r="AR144" s="1" t="str">
        <f ca="1">IF(AND(HC[[#This Row],[cd,b,pil (kN/cm²)]]&lt;=HC[[#This Row],[cd,b,lim (kN/cm²)]],HC[[#This Row],[cd,b,est (kN/cm²)]]&lt;=HC[[#This Row],[cd,b,lim (kN/cm²)]]),"OK","ERRO")</f>
        <v>ERRO</v>
      </c>
      <c r="AS144" s="4">
        <f ca="1">As_lado(HC[[#This Row],[nE]],HC[[#This Row],[Nsd (kN)]],HC[[#This Row],[d (cm)]],HC[[#This Row],[e (cm)]],HC[[#This Row],[ap,eq (cm)]])</f>
        <v>8.4778778220018332</v>
      </c>
      <c r="AT144" s="4" t="str">
        <f ca="1">IF(HC[[#This Row],[nE]]=1,HC[[#This Row],[As,lado (cm²)]],IF(HC[[#This Row],[nE]]=2,0.075*2*HC[a (cm)],"N.A."))</f>
        <v>N.A.</v>
      </c>
      <c r="AU144" s="4">
        <f ca="1">IFERROR(IF(HC[[#This Row],[nE]]=1,"N.A.",0.2*HC[[#This Row],[As,lado (cm²)]]),"N.S.")</f>
        <v>1.6955755644003667</v>
      </c>
      <c r="AV144" s="4">
        <f ca="1">As_malha(HC[[#This Row],[nE]],HC[[#This Row],[As,lado (cm²)]],HC[[#This Row],[Nsd (kN)]])</f>
        <v>2.981481481481481</v>
      </c>
      <c r="AW144" s="4">
        <f ca="1">As_susp_tot(HC[[#This Row],[nE]],HC[[#This Row],[Nsd (kN)]])</f>
        <v>8.9444444444444429</v>
      </c>
      <c r="AX144" s="4">
        <f ca="1">Asp_face(HC[[#This Row],[nE]],HC[[#This Row],[As,lado (cm²)]])</f>
        <v>3.1792041832506874</v>
      </c>
      <c r="AY144" s="5">
        <f ca="1">acoBloco(HC[[#This Row],[nE]],HC[[#This Row],[e (cm)]],HC[[#This Row],[a (cm)]],HC[[#This Row],[h (cm)]],HC[[#This Row],[As,lado (cm²)]],HC[[#This Row],[Asp e Asw (cm²/m)]],HC[[#This Row],[As,sup (cm²)]],HC[[#This Row],[As,malha (cm²)]],HC[[#This Row],[As,susp,tot (cm²)]],HC[[#This Row],[Asp,face (cm²)]])</f>
        <v>107.52940074635261</v>
      </c>
      <c r="AZ144" s="4">
        <f ca="1">concretoBloco(HC[[#This Row],[nE]],HC[[#This Row],[e (cm)]],HC[[#This Row],[a (cm)]],HC[[#This Row],[h (cm)]])</f>
        <v>2.9576211083514017</v>
      </c>
      <c r="BA144" s="5">
        <f ca="1">SUM(HC[[#This Row],[Aço Est (kg)]],HC[[#This Row],[Aço Bloco (kg)]])</f>
        <v>125.34733618026883</v>
      </c>
      <c r="BB144" s="4">
        <f>INDEX(composicoes[],MATCH(95580,composicoes[CÓDIGO],0),MATCH("CUSTO TOTAL",composicoes[#Headers],0))</f>
        <v>10.46</v>
      </c>
      <c r="BC144" s="4">
        <f ca="1">SUM(HC[[#This Row],[Conc Est (m³)]],HC[[#This Row],[Conc Bloco (m³)]])</f>
        <v>8.4902602956343003</v>
      </c>
      <c r="BD144" s="4">
        <f>INDEX(composicoes[],MATCH(94966,composicoes[CÓDIGO],0),MATCH("CUSTO TOTAL",composicoes[#Headers],0))</f>
        <v>439.52</v>
      </c>
      <c r="BE144" s="38">
        <f ca="1">HC[[#This Row],[Aço (kg)]]*HC[[#This Row],[Aço (R$/kg)]]+HC[[#This Row],[Conc (m³)]]*HC[[#This Row],[Conc (R$/m³)]]</f>
        <v>5042.7723415827995</v>
      </c>
      <c r="BF144" s="4" t="str">
        <f ca="1">IF(COUNTIF(HC[#This Row],"N.S.")&gt;0,"lim.","OK")</f>
        <v>OK</v>
      </c>
      <c r="BG144" s="4" t="str">
        <f>IF(HC[[#This Row],[Prof. (m)]]&lt;4,"lim.","OK")</f>
        <v>OK</v>
      </c>
      <c r="BH144" s="4" t="str">
        <f>IF(HC[[#This Row],[Prof. (m)]]&gt;=8*HC[[#This Row],[Ø (cm)]]/100,"OK","lim.")</f>
        <v>OK</v>
      </c>
      <c r="BI144" s="4" t="str">
        <f ca="1">IF(HC[[#This Row],[Verif. Biela]]="OK","OK","lim.")</f>
        <v>lim.</v>
      </c>
      <c r="BJ144" s="4" t="str">
        <f ca="1">IF(COUNTA(HC[[#This Row],[Nº Est.]:[Biela comp.]])=COUNTIF(HC[[#This Row],[Nº Est.]:[Biela comp.]],"OK"),"OK","lim.")</f>
        <v>lim.</v>
      </c>
      <c r="BK144" s="4" t="str">
        <f ca="1">IF(HC[[#This Row],[Controle]]="OK",HC[[#This Row],[nE]]&amp;" Ø"&amp;HC[[#This Row],[Ø (cm)]]&amp;"cm Prof. "&amp;HC[[#This Row],[Prof. (m)]]&amp;" m","")</f>
        <v/>
      </c>
      <c r="BL144" s="4" t="str">
        <f ca="1">IF(HC[[#This Row],[idDimensionamento]]="","",HC[[#This Row],[idPilar]]&amp;HC[[#This Row],[idDimensionamento]])</f>
        <v/>
      </c>
    </row>
    <row r="145" spans="2:64" x14ac:dyDescent="0.25">
      <c r="B145" s="12">
        <f>ROUNDUP((ROW(HC[[#This Row],[idDiâmetro]])-ROW(HC[[#Headers],[idDiâmetro]]))/(COUNT(SPT[Prof. (m)])*COUNT(PILARES[Pilar])),0)</f>
        <v>6</v>
      </c>
      <c r="C145" s="12">
        <f>IF(HC[[#This Row],[idDiâmetro]]&lt;&gt;B144,1,IF(HC[[#This Row],[Prof. (m)]]=0,C144+1,C144))</f>
        <v>1</v>
      </c>
      <c r="D145" s="1">
        <f>IFERROR(IF(D144=MAX(SPT[Prof. (m)]),0,D144+1),0)</f>
        <v>0</v>
      </c>
      <c r="E145" s="1">
        <f>INDEX(SPT[],MATCH(HC[[#This Row],[Prof. (m)]],SPT[Prof. (m)],0),2)</f>
        <v>0</v>
      </c>
      <c r="F145" s="1" t="str">
        <f>INDEX(SPT[],MATCH(HC[[#This Row],[Prof. (m)]],SPT[Prof. (m)],0),3)</f>
        <v>Areia siltosa</v>
      </c>
      <c r="G145" s="1">
        <f>INDEX(estacas[],HC[[#This Row],[idDiâmetro]],MATCH($B$2,estacas[#Headers],0))</f>
        <v>50</v>
      </c>
      <c r="H145" s="1">
        <f>INDEX(estacas[],MATCH(HC[[#This Row],[Ø (cm)]],estacas[Ø HC (cm)],0),MATCH(HC[[#Headers],[Pe HC (kN)]],estacas[#Headers],0))</f>
        <v>1250</v>
      </c>
      <c r="I145" s="4">
        <f>INDEX(K_alpha_C[],MATCH(HC[[#This Row],[Solo]],K_alpha_C[Solo],0),2)</f>
        <v>0.8</v>
      </c>
      <c r="J145" s="5">
        <f>INDEX(K_alpha_C[],MATCH(HC[[#This Row],[Solo]],K_alpha_C[Solo],0),3)</f>
        <v>2</v>
      </c>
      <c r="K145" s="4">
        <f>INDEX(F1_F2[],MATCH($D$2,F1_F2[Tipo de estaca],0),2)</f>
        <v>2</v>
      </c>
      <c r="L145" s="4">
        <f>INDEX(F1_F2[],MATCH($D$2,F1_F2[Tipo de estaca],0),3)</f>
        <v>4</v>
      </c>
      <c r="M145" s="4">
        <f>PI()*(HC[[#This Row],[Ø (cm)]]/100)^2/4</f>
        <v>0.19634954084936207</v>
      </c>
      <c r="N145" s="4">
        <f>PI()*HC[[#This Row],[Ø (cm)]]/100</f>
        <v>1.5707963267948966</v>
      </c>
      <c r="O145" s="4">
        <f>IF(HC[[#This Row],[Prof. (m)]]=0,0,HC[[#This Row],[α (%)]]/100*HC[[#This Row],[K (MPa)]]*1000*HC[[#This Row],[NSPT]])</f>
        <v>0</v>
      </c>
      <c r="P145" s="4">
        <f>IF(HC[[#This Row],[Prof. (m)]]=0,0,(HC[[#This Row],[K (MPa)]]*1000*HC[[#This Row],[NSPT]]/HC[[#This Row],[F1]]*HC[[#This Row],[Ap (m²)]]+HC[[#This Row],[U (m)]]/HC[[#This Row],[F2]]*SUMIFS(HC[(α∙K∙NL∙ΔL)],HC[Prof. (m)],"&lt;="&amp;HC[[#This Row],[Prof. (m)]],HC[idDiâmetro],HC[[#This Row],[idDiâmetro]],HC[idPilar],HC[[#This Row],[idPilar]]))/'DADOS CAP. CARGA'!$D$2)</f>
        <v>0</v>
      </c>
      <c r="Q145" s="12">
        <f>INDEX(C_alpha_beta[],MATCH(HC[[#This Row],[Solo]],C_alpha_beta[Solo],0),MATCH(HC[[#Headers],[C (kPa)]],C_alpha_beta[#Headers],0))</f>
        <v>400</v>
      </c>
      <c r="R145" s="4">
        <f>INDEX(C_alpha_beta[],MATCH(HC[[#This Row],[Solo]],C_alpha_beta[Solo],0),MATCH(HC[[#Headers],[α ESF]],C_alpha_beta[#Headers],0))</f>
        <v>0.5</v>
      </c>
      <c r="S145" s="4">
        <f>INDEX(C_alpha_beta[],MATCH(HC[[#This Row],[Solo]],C_alpha_beta[Solo],0),MATCH(HC[[#Headers],[β ESF]],C_alpha_beta[#Headers],0))</f>
        <v>0.5</v>
      </c>
      <c r="T145" s="4">
        <f>IF(HC[[#This Row],[Prof. (m)]]=0,0,10*(HC[[#This Row],[NSPT]]/3+1))</f>
        <v>0</v>
      </c>
      <c r="U145" s="4">
        <f>(HC[[#This Row],[α ESF]]*HC[[#This Row],[C (kPa)]]*HC[[#This Row],[NSPT]]*HC[[#This Row],[Ap (m²)]])/'DADOS CAP. CARGA'!$Q$2+(HC[[#This Row],[β ESF]]*SUMIFS(HC[10∙(NL/3+1)],HC[Prof. (m)],"&lt;="&amp;HC[[#This Row],[Prof. (m)]],HC[idDiâmetro],HC[[#This Row],[idDiâmetro]],HC[idPilar],HC[[#This Row],[idPilar]])*HC[[#This Row],[U (m)]])/'DADOS CAP. CARGA'!$S$2</f>
        <v>0</v>
      </c>
      <c r="V145" s="4">
        <f>IF(SPT!$M$5=1,MIN(HC[[#This Row],[Pe HC (kN)]],HC[[#This Row],[R_AV (kN)]]),IF(SPT!$M$5=2,MIN(HC[[#This Row],[Pe HC (kN)]],HC[[#This Row],[R_DC (kN)]]),MIN(HC[[#This Row],[Pe HC (kN)]],HC[[#This Row],[R_AV (kN)]],HC[[#This Row],[R_DC (kN)]])))</f>
        <v>0</v>
      </c>
      <c r="W145" s="4">
        <f>INDEX(PILARES[],HC[[#This Row],[idPilar]],MATCH("Carga (kN)",PILARES[#Headers],0))*1.4</f>
        <v>3500</v>
      </c>
      <c r="X145" s="12">
        <f>INDEX(PILARES[],HC[[#This Row],[idPilar]],MATCH(HC[[#Headers],[ap (cm)]],PILARES[#Headers],0))</f>
        <v>60</v>
      </c>
      <c r="Y145" s="12">
        <f>INDEX(PILARES[],HC[[#This Row],[idPilar]],MATCH(HC[[#Headers],[bp (cm)]],PILARES[#Headers],0))</f>
        <v>60</v>
      </c>
      <c r="Z145" s="4">
        <f>SQRT(HC[[#This Row],[ap (cm)]]*HC[[#This Row],[bp (cm)]])</f>
        <v>60</v>
      </c>
      <c r="AA145" s="12">
        <f>HC[[#This Row],[ap (cm)]]*HC[[#This Row],[bp (cm)]]</f>
        <v>3600</v>
      </c>
      <c r="AB145" s="12" t="e">
        <f ca="1">IF(HC[[#This Row],[Padm∙ε (kN)]]&gt;=HC[[#This Row],[Padm (kN)]],ROUNDUP(1.05*HC[[#This Row],[Nsd (kN)]]/HC[[#This Row],[Padm (kN)]],0),ROUNDUP(1.05*HC[[#This Row],[Nsd (kN)]]/HC[[#This Row],[Padm (kN)]],0)+1)</f>
        <v>#DIV/0!</v>
      </c>
      <c r="AC145" s="4" t="str">
        <f ca="1">IFERROR(IF(HC[[#This Row],[nE]]=1,HC[[#This Row],[Padm (kN)]],HC[[#This Row],[Padm (kN)]]*HC[[#This Row],[nE]]*INDEX(grupoEstacas[],HC[[#This Row],[nE]],MATCH("ε",grupoEstacas[#Headers],0))),"N.S.")</f>
        <v>N.S.</v>
      </c>
      <c r="AD145" s="4" t="e">
        <f ca="1">1.05*HC[[#This Row],[Nsd (kN)]]/(HC[[#This Row],[nE]]*PI()*HC[[#This Row],[Ø (cm)]]^2/4)*10</f>
        <v>#DIV/0!</v>
      </c>
      <c r="AE145" s="4" t="e">
        <f ca="1">IF(HC[[#This Row],[σ (MPa)]]&lt;INDEX(tipoEstaca[],MATCH($D$2,tipoEstaca[TIPO DE ESTACA],0),MATCH("σmáx (MPa)",tipoEstaca[#Headers],0)),0.4%*PI()*HC[[#This Row],[Ø (cm)]]^2/4,"N.S.")</f>
        <v>#DIV/0!</v>
      </c>
      <c r="AF145" s="1">
        <f>INDEX(tipoEstaca[],MATCH($D$2,tipoEstaca[TIPO DE ESTACA],0),MATCH(HC[[#Headers],[Comprimento (m)]],tipoEstaca[#Headers],0))</f>
        <v>4</v>
      </c>
      <c r="AG145" s="5" t="e">
        <f ca="1">HC[[#This Row],[As,mín (cm²)]]/100^2*HC[[#This Row],[Comprimento (m)]]*7850</f>
        <v>#DIV/0!</v>
      </c>
      <c r="AH145" s="4" t="e">
        <f ca="1">HC[[#This Row],[nE]]*HC[[#This Row],[Prof. (m)]]*HC[[#This Row],[Ap (m²)]]</f>
        <v>#DIV/0!</v>
      </c>
      <c r="AI145" s="1" t="e">
        <f ca="1">IF(HC[[#This Row],[nE]]=1,0,MAX(3*HC[[#This Row],[Ø (cm)]],60))</f>
        <v>#DIV/0!</v>
      </c>
      <c r="AJ145" s="1" t="e">
        <f ca="1">IF(HC[[#This Row],[nE]]=1,HC[[#This Row],[Ø (cm)]]+2*10,MAX(1.5*HC[[#This Row],[Ø (cm)]],HC[[#This Row],[Ø (cm)]]+15))</f>
        <v>#DIV/0!</v>
      </c>
      <c r="AK145" s="1" t="e">
        <f ca="1">alturaUtil(HC[[#This Row],[nE]],HC[[#This Row],[Ø (cm)]],HC[[#This Row],[e (cm)]],HC[[#This Row],[ap,eq (cm)]])</f>
        <v>#VALUE!</v>
      </c>
      <c r="AL145" s="1" t="str">
        <f ca="1">IFERROR(HC[[#This Row],[d (cm)]]+arredondarParaCimaMultiplo5cm(MAX(5,SQRT(PI())/2*HC[[#This Row],[Ø (cm)]]/5)),"N.S.")</f>
        <v>N.S.</v>
      </c>
      <c r="AM145" s="5" t="e">
        <f ca="1">alpha(HC[[#This Row],[nE]],HC[[#This Row],[d (cm)]],HC[[#This Row],[e (cm)]],HC[[#This Row],[ap,eq (cm)]])</f>
        <v>#VALUE!</v>
      </c>
      <c r="AN145" s="35" t="str">
        <f ca="1">IFERROR(HC[[#This Row],[Nsd (kN)]]/(HC[[#This Row],[Ap (cm²)]]*SIN(HC[[#This Row],[α]])^2),"N.S.")</f>
        <v>N.S.</v>
      </c>
      <c r="AO145" s="35" t="str">
        <f ca="1">IFERROR(HC[[#This Row],[Nsd (kN)]]/(HC[[#This Row],[nE]]*PI()*HC[[#This Row],[Ø (cm)]]^2/4*SIN(HC[[#This Row],[α]])^2),"N.S.")</f>
        <v>N.S.</v>
      </c>
      <c r="AP145" s="4" t="str">
        <f ca="1">IFERROR(INDEX(grupoEstacas[],HC[[#This Row],[nE]],MATCH("coef. Blévot",grupoEstacas[#Headers],0)),"N.S.")</f>
        <v>N.S.</v>
      </c>
      <c r="AQ145" s="35" t="str">
        <f ca="1">IFERROR(HC[[#This Row],[coef. Blévot]]*0.9*INDEX(tipoEstaca[],MATCH($D$2,tipoEstaca[TIPO DE ESTACA],0),MATCH("fcd (kN/cm²)",tipoEstaca[#Headers],0)),"N.S.")</f>
        <v>N.S.</v>
      </c>
      <c r="AR145" s="1" t="str">
        <f ca="1">IF(AND(HC[[#This Row],[cd,b,pil (kN/cm²)]]&lt;=HC[[#This Row],[cd,b,lim (kN/cm²)]],HC[[#This Row],[cd,b,est (kN/cm²)]]&lt;=HC[[#This Row],[cd,b,lim (kN/cm²)]]),"OK","ERRO")</f>
        <v>OK</v>
      </c>
      <c r="AS145" s="4" t="e">
        <f ca="1">As_lado(HC[[#This Row],[nE]],HC[[#This Row],[Nsd (kN)]],HC[[#This Row],[d (cm)]],HC[[#This Row],[e (cm)]],HC[[#This Row],[ap,eq (cm)]])</f>
        <v>#VALUE!</v>
      </c>
      <c r="AT145" s="4" t="e">
        <f ca="1">IF(HC[[#This Row],[nE]]=1,HC[[#This Row],[As,lado (cm²)]],IF(HC[[#This Row],[nE]]=2,0.075*2*HC[a (cm)],"N.A."))</f>
        <v>#DIV/0!</v>
      </c>
      <c r="AU145" s="4" t="str">
        <f ca="1">IFERROR(IF(HC[[#This Row],[nE]]=1,"N.A.",0.2*HC[[#This Row],[As,lado (cm²)]]),"N.S.")</f>
        <v>N.S.</v>
      </c>
      <c r="AV145" s="4" t="e">
        <f ca="1">As_malha(HC[[#This Row],[nE]],HC[[#This Row],[As,lado (cm²)]],HC[[#This Row],[Nsd (kN)]])</f>
        <v>#VALUE!</v>
      </c>
      <c r="AW145" s="4" t="e">
        <f ca="1">As_susp_tot(HC[[#This Row],[nE]],HC[[#This Row],[Nsd (kN)]])</f>
        <v>#VALUE!</v>
      </c>
      <c r="AX145" s="4" t="e">
        <f ca="1">Asp_face(HC[[#This Row],[nE]],HC[[#This Row],[As,lado (cm²)]])</f>
        <v>#VALUE!</v>
      </c>
      <c r="AY145" s="5" t="e">
        <f ca="1">acoBloco(HC[[#This Row],[nE]],HC[[#This Row],[e (cm)]],HC[[#This Row],[a (cm)]],HC[[#This Row],[h (cm)]],HC[[#This Row],[As,lado (cm²)]],HC[[#This Row],[Asp e Asw (cm²/m)]],HC[[#This Row],[As,sup (cm²)]],HC[[#This Row],[As,malha (cm²)]],HC[[#This Row],[As,susp,tot (cm²)]],HC[[#This Row],[Asp,face (cm²)]])</f>
        <v>#VALUE!</v>
      </c>
      <c r="AZ145" s="4" t="e">
        <f ca="1">concretoBloco(HC[[#This Row],[nE]],HC[[#This Row],[e (cm)]],HC[[#This Row],[a (cm)]],HC[[#This Row],[h (cm)]])</f>
        <v>#VALUE!</v>
      </c>
      <c r="BA145" s="5" t="e">
        <f ca="1">SUM(HC[[#This Row],[Aço Est (kg)]],HC[[#This Row],[Aço Bloco (kg)]])</f>
        <v>#DIV/0!</v>
      </c>
      <c r="BB145" s="4">
        <f>INDEX(composicoes[],MATCH(95580,composicoes[CÓDIGO],0),MATCH("CUSTO TOTAL",composicoes[#Headers],0))</f>
        <v>10.46</v>
      </c>
      <c r="BC145" s="4" t="e">
        <f ca="1">SUM(HC[[#This Row],[Conc Est (m³)]],HC[[#This Row],[Conc Bloco (m³)]])</f>
        <v>#DIV/0!</v>
      </c>
      <c r="BD145" s="4">
        <f>INDEX(composicoes[],MATCH(94966,composicoes[CÓDIGO],0),MATCH("CUSTO TOTAL",composicoes[#Headers],0))</f>
        <v>439.52</v>
      </c>
      <c r="BE145" s="38" t="e">
        <f ca="1">HC[[#This Row],[Aço (kg)]]*HC[[#This Row],[Aço (R$/kg)]]+HC[[#This Row],[Conc (m³)]]*HC[[#This Row],[Conc (R$/m³)]]</f>
        <v>#DIV/0!</v>
      </c>
      <c r="BF145" s="4" t="str">
        <f ca="1">IF(COUNTIF(HC[#This Row],"N.S.")&gt;0,"lim.","OK")</f>
        <v>lim.</v>
      </c>
      <c r="BG145" s="4" t="str">
        <f>IF(HC[[#This Row],[Prof. (m)]]&lt;4,"lim.","OK")</f>
        <v>lim.</v>
      </c>
      <c r="BH145" s="4" t="str">
        <f>IF(HC[[#This Row],[Prof. (m)]]&gt;=8*HC[[#This Row],[Ø (cm)]]/100,"OK","lim.")</f>
        <v>lim.</v>
      </c>
      <c r="BI145" s="4" t="str">
        <f ca="1">IF(HC[[#This Row],[Verif. Biela]]="OK","OK","lim.")</f>
        <v>OK</v>
      </c>
      <c r="BJ145" s="4" t="str">
        <f ca="1">IF(COUNTA(HC[[#This Row],[Nº Est.]:[Biela comp.]])=COUNTIF(HC[[#This Row],[Nº Est.]:[Biela comp.]],"OK"),"OK","lim.")</f>
        <v>lim.</v>
      </c>
      <c r="BK145" s="4" t="str">
        <f ca="1">IF(HC[[#This Row],[Controle]]="OK",HC[[#This Row],[nE]]&amp;" Ø"&amp;HC[[#This Row],[Ø (cm)]]&amp;"cm Prof. "&amp;HC[[#This Row],[Prof. (m)]]&amp;" m","")</f>
        <v/>
      </c>
      <c r="BL145" s="4" t="str">
        <f ca="1">IF(HC[[#This Row],[idDimensionamento]]="","",HC[[#This Row],[idPilar]]&amp;HC[[#This Row],[idDimensionamento]])</f>
        <v/>
      </c>
    </row>
    <row r="146" spans="2:64" x14ac:dyDescent="0.25">
      <c r="B146" s="12">
        <f>ROUNDUP((ROW(HC[[#This Row],[idDiâmetro]])-ROW(HC[[#Headers],[idDiâmetro]]))/(COUNT(SPT[Prof. (m)])*COUNT(PILARES[Pilar])),0)</f>
        <v>6</v>
      </c>
      <c r="C146" s="12">
        <f>IF(HC[[#This Row],[idDiâmetro]]&lt;&gt;B145,1,IF(HC[[#This Row],[Prof. (m)]]=0,C145+1,C145))</f>
        <v>1</v>
      </c>
      <c r="D146" s="1">
        <f>IFERROR(IF(D145=MAX(SPT[Prof. (m)]),0,D145+1),0)</f>
        <v>1</v>
      </c>
      <c r="E146" s="1">
        <f>INDEX(SPT[],MATCH(HC[[#This Row],[Prof. (m)]],SPT[Prof. (m)],0),2)</f>
        <v>2</v>
      </c>
      <c r="F146" s="1" t="str">
        <f>INDEX(SPT[],MATCH(HC[[#This Row],[Prof. (m)]],SPT[Prof. (m)],0),3)</f>
        <v>Areia siltosa</v>
      </c>
      <c r="G146" s="1">
        <f>INDEX(estacas[],HC[[#This Row],[idDiâmetro]],MATCH($B$2,estacas[#Headers],0))</f>
        <v>50</v>
      </c>
      <c r="H146" s="1">
        <f>INDEX(estacas[],MATCH(HC[[#This Row],[Ø (cm)]],estacas[Ø HC (cm)],0),MATCH(HC[[#Headers],[Pe HC (kN)]],estacas[#Headers],0))</f>
        <v>1250</v>
      </c>
      <c r="I146" s="4">
        <f>INDEX(K_alpha_C[],MATCH(HC[[#This Row],[Solo]],K_alpha_C[Solo],0),2)</f>
        <v>0.8</v>
      </c>
      <c r="J146" s="5">
        <f>INDEX(K_alpha_C[],MATCH(HC[[#This Row],[Solo]],K_alpha_C[Solo],0),3)</f>
        <v>2</v>
      </c>
      <c r="K146" s="4">
        <f>INDEX(F1_F2[],MATCH($D$2,F1_F2[Tipo de estaca],0),2)</f>
        <v>2</v>
      </c>
      <c r="L146" s="4">
        <f>INDEX(F1_F2[],MATCH($D$2,F1_F2[Tipo de estaca],0),3)</f>
        <v>4</v>
      </c>
      <c r="M146" s="4">
        <f>PI()*(HC[[#This Row],[Ø (cm)]]/100)^2/4</f>
        <v>0.19634954084936207</v>
      </c>
      <c r="N146" s="4">
        <f>PI()*HC[[#This Row],[Ø (cm)]]/100</f>
        <v>1.5707963267948966</v>
      </c>
      <c r="O146" s="4">
        <f>IF(HC[[#This Row],[Prof. (m)]]=0,0,HC[[#This Row],[α (%)]]/100*HC[[#This Row],[K (MPa)]]*1000*HC[[#This Row],[NSPT]])</f>
        <v>32</v>
      </c>
      <c r="P146" s="4">
        <f>IF(HC[[#This Row],[Prof. (m)]]=0,0,(HC[[#This Row],[K (MPa)]]*1000*HC[[#This Row],[NSPT]]/HC[[#This Row],[F1]]*HC[[#This Row],[Ap (m²)]]+HC[[#This Row],[U (m)]]/HC[[#This Row],[F2]]*SUMIFS(HC[(α∙K∙NL∙ΔL)],HC[Prof. (m)],"&lt;="&amp;HC[[#This Row],[Prof. (m)]],HC[idDiâmetro],HC[[#This Row],[idDiâmetro]],HC[idPilar],HC[[#This Row],[idPilar]]))/'DADOS CAP. CARGA'!$D$2)</f>
        <v>84.823001646924411</v>
      </c>
      <c r="Q146" s="12">
        <f>INDEX(C_alpha_beta[],MATCH(HC[[#This Row],[Solo]],C_alpha_beta[Solo],0),MATCH(HC[[#Headers],[C (kPa)]],C_alpha_beta[#Headers],0))</f>
        <v>400</v>
      </c>
      <c r="R146" s="4">
        <f>INDEX(C_alpha_beta[],MATCH(HC[[#This Row],[Solo]],C_alpha_beta[Solo],0),MATCH(HC[[#Headers],[α ESF]],C_alpha_beta[#Headers],0))</f>
        <v>0.5</v>
      </c>
      <c r="S146" s="4">
        <f>INDEX(C_alpha_beta[],MATCH(HC[[#This Row],[Solo]],C_alpha_beta[Solo],0),MATCH(HC[[#Headers],[β ESF]],C_alpha_beta[#Headers],0))</f>
        <v>0.5</v>
      </c>
      <c r="T146" s="4">
        <f>IF(HC[[#This Row],[Prof. (m)]]=0,0,10*(HC[[#This Row],[NSPT]]/3+1))</f>
        <v>16.666666666666664</v>
      </c>
      <c r="U146" s="4">
        <f>(HC[[#This Row],[α ESF]]*HC[[#This Row],[C (kPa)]]*HC[[#This Row],[NSPT]]*HC[[#This Row],[Ap (m²)]])/'DADOS CAP. CARGA'!$Q$2+(HC[[#This Row],[β ESF]]*SUMIFS(HC[10∙(NL/3+1)],HC[Prof. (m)],"&lt;="&amp;HC[[#This Row],[Prof. (m)]],HC[idDiâmetro],HC[[#This Row],[idDiâmetro]],HC[idPilar],HC[[#This Row],[idPilar]])*HC[[#This Row],[U (m)]])/'DADOS CAP. CARGA'!$S$2</f>
        <v>26.179938779914941</v>
      </c>
      <c r="V146" s="4">
        <f>IF(SPT!$M$5=1,MIN(HC[[#This Row],[Pe HC (kN)]],HC[[#This Row],[R_AV (kN)]]),IF(SPT!$M$5=2,MIN(HC[[#This Row],[Pe HC (kN)]],HC[[#This Row],[R_DC (kN)]]),MIN(HC[[#This Row],[Pe HC (kN)]],HC[[#This Row],[R_AV (kN)]],HC[[#This Row],[R_DC (kN)]])))</f>
        <v>26.179938779914941</v>
      </c>
      <c r="W146" s="4">
        <f>INDEX(PILARES[],HC[[#This Row],[idPilar]],MATCH("Carga (kN)",PILARES[#Headers],0))*1.4</f>
        <v>3500</v>
      </c>
      <c r="X146" s="12">
        <f>INDEX(PILARES[],HC[[#This Row],[idPilar]],MATCH(HC[[#Headers],[ap (cm)]],PILARES[#Headers],0))</f>
        <v>60</v>
      </c>
      <c r="Y146" s="12">
        <f>INDEX(PILARES[],HC[[#This Row],[idPilar]],MATCH(HC[[#Headers],[bp (cm)]],PILARES[#Headers],0))</f>
        <v>60</v>
      </c>
      <c r="Z146" s="4">
        <f>SQRT(HC[[#This Row],[ap (cm)]]*HC[[#This Row],[bp (cm)]])</f>
        <v>60</v>
      </c>
      <c r="AA146" s="12">
        <f>HC[[#This Row],[ap (cm)]]*HC[[#This Row],[bp (cm)]]</f>
        <v>3600</v>
      </c>
      <c r="AB146" s="12">
        <f ca="1">IF(HC[[#This Row],[Padm∙ε (kN)]]&gt;=HC[[#This Row],[Padm (kN)]],ROUNDUP(1.05*HC[[#This Row],[Nsd (kN)]]/HC[[#This Row],[Padm (kN)]],0),ROUNDUP(1.05*HC[[#This Row],[Nsd (kN)]]/HC[[#This Row],[Padm (kN)]],0)+1)</f>
        <v>141</v>
      </c>
      <c r="AC146" s="4" t="str">
        <f ca="1">IFERROR(IF(HC[[#This Row],[nE]]=1,HC[[#This Row],[Padm (kN)]],HC[[#This Row],[Padm (kN)]]*HC[[#This Row],[nE]]*INDEX(grupoEstacas[],HC[[#This Row],[nE]],MATCH("ε",grupoEstacas[#Headers],0))),"N.S.")</f>
        <v>N.S.</v>
      </c>
      <c r="AD146" s="4">
        <f ca="1">1.05*HC[[#This Row],[Nsd (kN)]]/(HC[[#This Row],[nE]]*PI()*HC[[#This Row],[Ø (cm)]]^2/4)*10</f>
        <v>0.13274199508941059</v>
      </c>
      <c r="AE146" s="4">
        <f ca="1">IF(HC[[#This Row],[σ (MPa)]]&lt;INDEX(tipoEstaca[],MATCH($D$2,tipoEstaca[TIPO DE ESTACA],0),MATCH("σmáx (MPa)",tipoEstaca[#Headers],0)),0.4%*PI()*HC[[#This Row],[Ø (cm)]]^2/4,"N.S.")</f>
        <v>7.8539816339744837</v>
      </c>
      <c r="AF146" s="1">
        <f>INDEX(tipoEstaca[],MATCH($D$2,tipoEstaca[TIPO DE ESTACA],0),MATCH(HC[[#Headers],[Comprimento (m)]],tipoEstaca[#Headers],0))</f>
        <v>4</v>
      </c>
      <c r="AG146" s="5">
        <f ca="1">HC[[#This Row],[As,mín (cm²)]]/100^2*HC[[#This Row],[Comprimento (m)]]*7850</f>
        <v>24.661502330679877</v>
      </c>
      <c r="AH146" s="4">
        <f ca="1">HC[[#This Row],[nE]]*HC[[#This Row],[Prof. (m)]]*HC[[#This Row],[Ap (m²)]]</f>
        <v>27.68528525976005</v>
      </c>
      <c r="AI146" s="1">
        <f ca="1">IF(HC[[#This Row],[nE]]=1,0,MAX(3*HC[[#This Row],[Ø (cm)]],60))</f>
        <v>150</v>
      </c>
      <c r="AJ146" s="1">
        <f ca="1">IF(HC[[#This Row],[nE]]=1,HC[[#This Row],[Ø (cm)]]+2*10,MAX(1.5*HC[[#This Row],[Ø (cm)]],HC[[#This Row],[Ø (cm)]]+15))</f>
        <v>75</v>
      </c>
      <c r="AK146" s="1" t="str">
        <f ca="1">alturaUtil(HC[[#This Row],[nE]],HC[[#This Row],[Ø (cm)]],HC[[#This Row],[e (cm)]],HC[[#This Row],[ap,eq (cm)]])</f>
        <v>N.S.</v>
      </c>
      <c r="AL146" s="1" t="str">
        <f ca="1">IFERROR(HC[[#This Row],[d (cm)]]+arredondarParaCimaMultiplo5cm(MAX(5,SQRT(PI())/2*HC[[#This Row],[Ø (cm)]]/5)),"N.S.")</f>
        <v>N.S.</v>
      </c>
      <c r="AM146" s="5" t="str">
        <f ca="1">alpha(HC[[#This Row],[nE]],HC[[#This Row],[d (cm)]],HC[[#This Row],[e (cm)]],HC[[#This Row],[ap,eq (cm)]])</f>
        <v>N.S.</v>
      </c>
      <c r="AN146" s="35" t="str">
        <f ca="1">IFERROR(HC[[#This Row],[Nsd (kN)]]/(HC[[#This Row],[Ap (cm²)]]*SIN(HC[[#This Row],[α]])^2),"N.S.")</f>
        <v>N.S.</v>
      </c>
      <c r="AO146" s="35" t="str">
        <f ca="1">IFERROR(HC[[#This Row],[Nsd (kN)]]/(HC[[#This Row],[nE]]*PI()*HC[[#This Row],[Ø (cm)]]^2/4*SIN(HC[[#This Row],[α]])^2),"N.S.")</f>
        <v>N.S.</v>
      </c>
      <c r="AP146" s="4" t="str">
        <f ca="1">IFERROR(INDEX(grupoEstacas[],HC[[#This Row],[nE]],MATCH("coef. Blévot",grupoEstacas[#Headers],0)),"N.S.")</f>
        <v>N.S.</v>
      </c>
      <c r="AQ146" s="35" t="str">
        <f ca="1">IFERROR(HC[[#This Row],[coef. Blévot]]*0.9*INDEX(tipoEstaca[],MATCH($D$2,tipoEstaca[TIPO DE ESTACA],0),MATCH("fcd (kN/cm²)",tipoEstaca[#Headers],0)),"N.S.")</f>
        <v>N.S.</v>
      </c>
      <c r="AR146" s="1" t="str">
        <f ca="1">IF(AND(HC[[#This Row],[cd,b,pil (kN/cm²)]]&lt;=HC[[#This Row],[cd,b,lim (kN/cm²)]],HC[[#This Row],[cd,b,est (kN/cm²)]]&lt;=HC[[#This Row],[cd,b,lim (kN/cm²)]]),"OK","ERRO")</f>
        <v>OK</v>
      </c>
      <c r="AS146" s="4" t="str">
        <f ca="1">As_lado(HC[[#This Row],[nE]],HC[[#This Row],[Nsd (kN)]],HC[[#This Row],[d (cm)]],HC[[#This Row],[e (cm)]],HC[[#This Row],[ap,eq (cm)]])</f>
        <v>N.S.</v>
      </c>
      <c r="AT146" s="4" t="str">
        <f ca="1">IF(HC[[#This Row],[nE]]=1,HC[[#This Row],[As,lado (cm²)]],IF(HC[[#This Row],[nE]]=2,0.075*2*HC[a (cm)],"N.A."))</f>
        <v>N.A.</v>
      </c>
      <c r="AU146" s="4" t="str">
        <f ca="1">IFERROR(IF(HC[[#This Row],[nE]]=1,"N.A.",0.2*HC[[#This Row],[As,lado (cm²)]]),"N.S.")</f>
        <v>N.S.</v>
      </c>
      <c r="AV146" s="4" t="str">
        <f ca="1">As_malha(HC[[#This Row],[nE]],HC[[#This Row],[As,lado (cm²)]],HC[[#This Row],[Nsd (kN)]])</f>
        <v>N.S.</v>
      </c>
      <c r="AW146" s="4" t="str">
        <f ca="1">As_susp_tot(HC[[#This Row],[nE]],HC[[#This Row],[Nsd (kN)]])</f>
        <v>N.S.</v>
      </c>
      <c r="AX146" s="4" t="str">
        <f ca="1">Asp_face(HC[[#This Row],[nE]],HC[[#This Row],[As,lado (cm²)]])</f>
        <v>N.S.</v>
      </c>
      <c r="AY146" s="5" t="str">
        <f ca="1">acoBloco(HC[[#This Row],[nE]],HC[[#This Row],[e (cm)]],HC[[#This Row],[a (cm)]],HC[[#This Row],[h (cm)]],HC[[#This Row],[As,lado (cm²)]],HC[[#This Row],[Asp e Asw (cm²/m)]],HC[[#This Row],[As,sup (cm²)]],HC[[#This Row],[As,malha (cm²)]],HC[[#This Row],[As,susp,tot (cm²)]],HC[[#This Row],[Asp,face (cm²)]])</f>
        <v>N.S.</v>
      </c>
      <c r="AZ146" s="4" t="str">
        <f ca="1">concretoBloco(HC[[#This Row],[nE]],HC[[#This Row],[e (cm)]],HC[[#This Row],[a (cm)]],HC[[#This Row],[h (cm)]])</f>
        <v>N.S.</v>
      </c>
      <c r="BA146" s="5">
        <f ca="1">SUM(HC[[#This Row],[Aço Est (kg)]],HC[[#This Row],[Aço Bloco (kg)]])</f>
        <v>24.661502330679877</v>
      </c>
      <c r="BB146" s="4">
        <f>INDEX(composicoes[],MATCH(95580,composicoes[CÓDIGO],0),MATCH("CUSTO TOTAL",composicoes[#Headers],0))</f>
        <v>10.46</v>
      </c>
      <c r="BC146" s="4">
        <f ca="1">SUM(HC[[#This Row],[Conc Est (m³)]],HC[[#This Row],[Conc Bloco (m³)]])</f>
        <v>27.68528525976005</v>
      </c>
      <c r="BD146" s="4">
        <f>INDEX(composicoes[],MATCH(94966,composicoes[CÓDIGO],0),MATCH("CUSTO TOTAL",composicoes[#Headers],0))</f>
        <v>439.52</v>
      </c>
      <c r="BE146" s="38">
        <f ca="1">HC[[#This Row],[Aço (kg)]]*HC[[#This Row],[Aço (R$/kg)]]+HC[[#This Row],[Conc (m³)]]*HC[[#This Row],[Conc (R$/m³)]]</f>
        <v>12426.195891748648</v>
      </c>
      <c r="BF146" s="4" t="str">
        <f ca="1">IF(COUNTIF(HC[#This Row],"N.S.")&gt;0,"lim.","OK")</f>
        <v>lim.</v>
      </c>
      <c r="BG146" s="4" t="str">
        <f>IF(HC[[#This Row],[Prof. (m)]]&lt;4,"lim.","OK")</f>
        <v>lim.</v>
      </c>
      <c r="BH146" s="4" t="str">
        <f>IF(HC[[#This Row],[Prof. (m)]]&gt;=8*HC[[#This Row],[Ø (cm)]]/100,"OK","lim.")</f>
        <v>lim.</v>
      </c>
      <c r="BI146" s="4" t="str">
        <f ca="1">IF(HC[[#This Row],[Verif. Biela]]="OK","OK","lim.")</f>
        <v>OK</v>
      </c>
      <c r="BJ146" s="4" t="str">
        <f ca="1">IF(COUNTA(HC[[#This Row],[Nº Est.]:[Biela comp.]])=COUNTIF(HC[[#This Row],[Nº Est.]:[Biela comp.]],"OK"),"OK","lim.")</f>
        <v>lim.</v>
      </c>
      <c r="BK146" s="4" t="str">
        <f ca="1">IF(HC[[#This Row],[Controle]]="OK",HC[[#This Row],[nE]]&amp;" Ø"&amp;HC[[#This Row],[Ø (cm)]]&amp;"cm Prof. "&amp;HC[[#This Row],[Prof. (m)]]&amp;" m","")</f>
        <v/>
      </c>
      <c r="BL146" s="4" t="str">
        <f ca="1">IF(HC[[#This Row],[idDimensionamento]]="","",HC[[#This Row],[idPilar]]&amp;HC[[#This Row],[idDimensionamento]])</f>
        <v/>
      </c>
    </row>
    <row r="147" spans="2:64" x14ac:dyDescent="0.25">
      <c r="B147" s="12">
        <f>ROUNDUP((ROW(HC[[#This Row],[idDiâmetro]])-ROW(HC[[#Headers],[idDiâmetro]]))/(COUNT(SPT[Prof. (m)])*COUNT(PILARES[Pilar])),0)</f>
        <v>6</v>
      </c>
      <c r="C147" s="12">
        <f>IF(HC[[#This Row],[idDiâmetro]]&lt;&gt;B146,1,IF(HC[[#This Row],[Prof. (m)]]=0,C146+1,C146))</f>
        <v>1</v>
      </c>
      <c r="D147" s="1">
        <f>IFERROR(IF(D146=MAX(SPT[Prof. (m)]),0,D146+1),0)</f>
        <v>2</v>
      </c>
      <c r="E147" s="1">
        <f>INDEX(SPT[],MATCH(HC[[#This Row],[Prof. (m)]],SPT[Prof. (m)],0),2)</f>
        <v>2</v>
      </c>
      <c r="F147" s="1" t="str">
        <f>INDEX(SPT[],MATCH(HC[[#This Row],[Prof. (m)]],SPT[Prof. (m)],0),3)</f>
        <v>Areia siltosa</v>
      </c>
      <c r="G147" s="1">
        <f>INDEX(estacas[],HC[[#This Row],[idDiâmetro]],MATCH($B$2,estacas[#Headers],0))</f>
        <v>50</v>
      </c>
      <c r="H147" s="1">
        <f>INDEX(estacas[],MATCH(HC[[#This Row],[Ø (cm)]],estacas[Ø HC (cm)],0),MATCH(HC[[#Headers],[Pe HC (kN)]],estacas[#Headers],0))</f>
        <v>1250</v>
      </c>
      <c r="I147" s="4">
        <f>INDEX(K_alpha_C[],MATCH(HC[[#This Row],[Solo]],K_alpha_C[Solo],0),2)</f>
        <v>0.8</v>
      </c>
      <c r="J147" s="5">
        <f>INDEX(K_alpha_C[],MATCH(HC[[#This Row],[Solo]],K_alpha_C[Solo],0),3)</f>
        <v>2</v>
      </c>
      <c r="K147" s="4">
        <f>INDEX(F1_F2[],MATCH($D$2,F1_F2[Tipo de estaca],0),2)</f>
        <v>2</v>
      </c>
      <c r="L147" s="4">
        <f>INDEX(F1_F2[],MATCH($D$2,F1_F2[Tipo de estaca],0),3)</f>
        <v>4</v>
      </c>
      <c r="M147" s="4">
        <f>PI()*(HC[[#This Row],[Ø (cm)]]/100)^2/4</f>
        <v>0.19634954084936207</v>
      </c>
      <c r="N147" s="4">
        <f>PI()*HC[[#This Row],[Ø (cm)]]/100</f>
        <v>1.5707963267948966</v>
      </c>
      <c r="O147" s="4">
        <f>IF(HC[[#This Row],[Prof. (m)]]=0,0,HC[[#This Row],[α (%)]]/100*HC[[#This Row],[K (MPa)]]*1000*HC[[#This Row],[NSPT]])</f>
        <v>32</v>
      </c>
      <c r="P147" s="4">
        <f>IF(HC[[#This Row],[Prof. (m)]]=0,0,(HC[[#This Row],[K (MPa)]]*1000*HC[[#This Row],[NSPT]]/HC[[#This Row],[F1]]*HC[[#This Row],[Ap (m²)]]+HC[[#This Row],[U (m)]]/HC[[#This Row],[F2]]*SUMIFS(HC[(α∙K∙NL∙ΔL)],HC[Prof. (m)],"&lt;="&amp;HC[[#This Row],[Prof. (m)]],HC[idDiâmetro],HC[[#This Row],[idDiâmetro]],HC[idPilar],HC[[#This Row],[idPilar]]))/'DADOS CAP. CARGA'!$D$2)</f>
        <v>91.106186954104004</v>
      </c>
      <c r="Q147" s="12">
        <f>INDEX(C_alpha_beta[],MATCH(HC[[#This Row],[Solo]],C_alpha_beta[Solo],0),MATCH(HC[[#Headers],[C (kPa)]],C_alpha_beta[#Headers],0))</f>
        <v>400</v>
      </c>
      <c r="R147" s="4">
        <f>INDEX(C_alpha_beta[],MATCH(HC[[#This Row],[Solo]],C_alpha_beta[Solo],0),MATCH(HC[[#Headers],[α ESF]],C_alpha_beta[#Headers],0))</f>
        <v>0.5</v>
      </c>
      <c r="S147" s="4">
        <f>INDEX(C_alpha_beta[],MATCH(HC[[#This Row],[Solo]],C_alpha_beta[Solo],0),MATCH(HC[[#Headers],[β ESF]],C_alpha_beta[#Headers],0))</f>
        <v>0.5</v>
      </c>
      <c r="T147" s="4">
        <f>IF(HC[[#This Row],[Prof. (m)]]=0,0,10*(HC[[#This Row],[NSPT]]/3+1))</f>
        <v>16.666666666666664</v>
      </c>
      <c r="U147" s="4">
        <f>(HC[[#This Row],[α ESF]]*HC[[#This Row],[C (kPa)]]*HC[[#This Row],[NSPT]]*HC[[#This Row],[Ap (m²)]])/'DADOS CAP. CARGA'!$Q$2+(HC[[#This Row],[β ESF]]*SUMIFS(HC[10∙(NL/3+1)],HC[Prof. (m)],"&lt;="&amp;HC[[#This Row],[Prof. (m)]],HC[idDiâmetro],HC[[#This Row],[idDiâmetro]],HC[idPilar],HC[[#This Row],[idPilar]])*HC[[#This Row],[U (m)]])/'DADOS CAP. CARGA'!$S$2</f>
        <v>32.724923474893679</v>
      </c>
      <c r="V147" s="4">
        <f>IF(SPT!$M$5=1,MIN(HC[[#This Row],[Pe HC (kN)]],HC[[#This Row],[R_AV (kN)]]),IF(SPT!$M$5=2,MIN(HC[[#This Row],[Pe HC (kN)]],HC[[#This Row],[R_DC (kN)]]),MIN(HC[[#This Row],[Pe HC (kN)]],HC[[#This Row],[R_AV (kN)]],HC[[#This Row],[R_DC (kN)]])))</f>
        <v>32.724923474893679</v>
      </c>
      <c r="W147" s="4">
        <f>INDEX(PILARES[],HC[[#This Row],[idPilar]],MATCH("Carga (kN)",PILARES[#Headers],0))*1.4</f>
        <v>3500</v>
      </c>
      <c r="X147" s="12">
        <f>INDEX(PILARES[],HC[[#This Row],[idPilar]],MATCH(HC[[#Headers],[ap (cm)]],PILARES[#Headers],0))</f>
        <v>60</v>
      </c>
      <c r="Y147" s="12">
        <f>INDEX(PILARES[],HC[[#This Row],[idPilar]],MATCH(HC[[#Headers],[bp (cm)]],PILARES[#Headers],0))</f>
        <v>60</v>
      </c>
      <c r="Z147" s="4">
        <f>SQRT(HC[[#This Row],[ap (cm)]]*HC[[#This Row],[bp (cm)]])</f>
        <v>60</v>
      </c>
      <c r="AA147" s="12">
        <f>HC[[#This Row],[ap (cm)]]*HC[[#This Row],[bp (cm)]]</f>
        <v>3600</v>
      </c>
      <c r="AB147" s="12">
        <f ca="1">IF(HC[[#This Row],[Padm∙ε (kN)]]&gt;=HC[[#This Row],[Padm (kN)]],ROUNDUP(1.05*HC[[#This Row],[Nsd (kN)]]/HC[[#This Row],[Padm (kN)]],0),ROUNDUP(1.05*HC[[#This Row],[Nsd (kN)]]/HC[[#This Row],[Padm (kN)]],0)+1)</f>
        <v>113</v>
      </c>
      <c r="AC147" s="4" t="str">
        <f ca="1">IFERROR(IF(HC[[#This Row],[nE]]=1,HC[[#This Row],[Padm (kN)]],HC[[#This Row],[Padm (kN)]]*HC[[#This Row],[nE]]*INDEX(grupoEstacas[],HC[[#This Row],[nE]],MATCH("ε",grupoEstacas[#Headers],0))),"N.S.")</f>
        <v>N.S.</v>
      </c>
      <c r="AD147" s="4">
        <f ca="1">1.05*HC[[#This Row],[Nsd (kN)]]/(HC[[#This Row],[nE]]*PI()*HC[[#This Row],[Ø (cm)]]^2/4)*10</f>
        <v>0.16563381688147694</v>
      </c>
      <c r="AE147" s="4">
        <f ca="1">IF(HC[[#This Row],[σ (MPa)]]&lt;INDEX(tipoEstaca[],MATCH($D$2,tipoEstaca[TIPO DE ESTACA],0),MATCH("σmáx (MPa)",tipoEstaca[#Headers],0)),0.4%*PI()*HC[[#This Row],[Ø (cm)]]^2/4,"N.S.")</f>
        <v>7.8539816339744837</v>
      </c>
      <c r="AF147" s="1">
        <f>INDEX(tipoEstaca[],MATCH($D$2,tipoEstaca[TIPO DE ESTACA],0),MATCH(HC[[#Headers],[Comprimento (m)]],tipoEstaca[#Headers],0))</f>
        <v>4</v>
      </c>
      <c r="AG147" s="5">
        <f ca="1">HC[[#This Row],[As,mín (cm²)]]/100^2*HC[[#This Row],[Comprimento (m)]]*7850</f>
        <v>24.661502330679877</v>
      </c>
      <c r="AH147" s="4">
        <f ca="1">HC[[#This Row],[nE]]*HC[[#This Row],[Prof. (m)]]*HC[[#This Row],[Ap (m²)]]</f>
        <v>44.374996231955826</v>
      </c>
      <c r="AI147" s="1">
        <f ca="1">IF(HC[[#This Row],[nE]]=1,0,MAX(3*HC[[#This Row],[Ø (cm)]],60))</f>
        <v>150</v>
      </c>
      <c r="AJ147" s="1">
        <f ca="1">IF(HC[[#This Row],[nE]]=1,HC[[#This Row],[Ø (cm)]]+2*10,MAX(1.5*HC[[#This Row],[Ø (cm)]],HC[[#This Row],[Ø (cm)]]+15))</f>
        <v>75</v>
      </c>
      <c r="AK147" s="1" t="str">
        <f ca="1">alturaUtil(HC[[#This Row],[nE]],HC[[#This Row],[Ø (cm)]],HC[[#This Row],[e (cm)]],HC[[#This Row],[ap,eq (cm)]])</f>
        <v>N.S.</v>
      </c>
      <c r="AL147" s="1" t="str">
        <f ca="1">IFERROR(HC[[#This Row],[d (cm)]]+arredondarParaCimaMultiplo5cm(MAX(5,SQRT(PI())/2*HC[[#This Row],[Ø (cm)]]/5)),"N.S.")</f>
        <v>N.S.</v>
      </c>
      <c r="AM147" s="5" t="str">
        <f ca="1">alpha(HC[[#This Row],[nE]],HC[[#This Row],[d (cm)]],HC[[#This Row],[e (cm)]],HC[[#This Row],[ap,eq (cm)]])</f>
        <v>N.S.</v>
      </c>
      <c r="AN147" s="35" t="str">
        <f ca="1">IFERROR(HC[[#This Row],[Nsd (kN)]]/(HC[[#This Row],[Ap (cm²)]]*SIN(HC[[#This Row],[α]])^2),"N.S.")</f>
        <v>N.S.</v>
      </c>
      <c r="AO147" s="35" t="str">
        <f ca="1">IFERROR(HC[[#This Row],[Nsd (kN)]]/(HC[[#This Row],[nE]]*PI()*HC[[#This Row],[Ø (cm)]]^2/4*SIN(HC[[#This Row],[α]])^2),"N.S.")</f>
        <v>N.S.</v>
      </c>
      <c r="AP147" s="4" t="str">
        <f ca="1">IFERROR(INDEX(grupoEstacas[],HC[[#This Row],[nE]],MATCH("coef. Blévot",grupoEstacas[#Headers],0)),"N.S.")</f>
        <v>N.S.</v>
      </c>
      <c r="AQ147" s="35" t="str">
        <f ca="1">IFERROR(HC[[#This Row],[coef. Blévot]]*0.9*INDEX(tipoEstaca[],MATCH($D$2,tipoEstaca[TIPO DE ESTACA],0),MATCH("fcd (kN/cm²)",tipoEstaca[#Headers],0)),"N.S.")</f>
        <v>N.S.</v>
      </c>
      <c r="AR147" s="1" t="str">
        <f ca="1">IF(AND(HC[[#This Row],[cd,b,pil (kN/cm²)]]&lt;=HC[[#This Row],[cd,b,lim (kN/cm²)]],HC[[#This Row],[cd,b,est (kN/cm²)]]&lt;=HC[[#This Row],[cd,b,lim (kN/cm²)]]),"OK","ERRO")</f>
        <v>OK</v>
      </c>
      <c r="AS147" s="4" t="str">
        <f ca="1">As_lado(HC[[#This Row],[nE]],HC[[#This Row],[Nsd (kN)]],HC[[#This Row],[d (cm)]],HC[[#This Row],[e (cm)]],HC[[#This Row],[ap,eq (cm)]])</f>
        <v>N.S.</v>
      </c>
      <c r="AT147" s="4" t="str">
        <f ca="1">IF(HC[[#This Row],[nE]]=1,HC[[#This Row],[As,lado (cm²)]],IF(HC[[#This Row],[nE]]=2,0.075*2*HC[a (cm)],"N.A."))</f>
        <v>N.A.</v>
      </c>
      <c r="AU147" s="4" t="str">
        <f ca="1">IFERROR(IF(HC[[#This Row],[nE]]=1,"N.A.",0.2*HC[[#This Row],[As,lado (cm²)]]),"N.S.")</f>
        <v>N.S.</v>
      </c>
      <c r="AV147" s="4" t="str">
        <f ca="1">As_malha(HC[[#This Row],[nE]],HC[[#This Row],[As,lado (cm²)]],HC[[#This Row],[Nsd (kN)]])</f>
        <v>N.S.</v>
      </c>
      <c r="AW147" s="4" t="str">
        <f ca="1">As_susp_tot(HC[[#This Row],[nE]],HC[[#This Row],[Nsd (kN)]])</f>
        <v>N.S.</v>
      </c>
      <c r="AX147" s="4" t="str">
        <f ca="1">Asp_face(HC[[#This Row],[nE]],HC[[#This Row],[As,lado (cm²)]])</f>
        <v>N.S.</v>
      </c>
      <c r="AY147" s="5" t="str">
        <f ca="1">acoBloco(HC[[#This Row],[nE]],HC[[#This Row],[e (cm)]],HC[[#This Row],[a (cm)]],HC[[#This Row],[h (cm)]],HC[[#This Row],[As,lado (cm²)]],HC[[#This Row],[Asp e Asw (cm²/m)]],HC[[#This Row],[As,sup (cm²)]],HC[[#This Row],[As,malha (cm²)]],HC[[#This Row],[As,susp,tot (cm²)]],HC[[#This Row],[Asp,face (cm²)]])</f>
        <v>N.S.</v>
      </c>
      <c r="AZ147" s="4" t="str">
        <f ca="1">concretoBloco(HC[[#This Row],[nE]],HC[[#This Row],[e (cm)]],HC[[#This Row],[a (cm)]],HC[[#This Row],[h (cm)]])</f>
        <v>N.S.</v>
      </c>
      <c r="BA147" s="5">
        <f ca="1">SUM(HC[[#This Row],[Aço Est (kg)]],HC[[#This Row],[Aço Bloco (kg)]])</f>
        <v>24.661502330679877</v>
      </c>
      <c r="BB147" s="4">
        <f>INDEX(composicoes[],MATCH(95580,composicoes[CÓDIGO],0),MATCH("CUSTO TOTAL",composicoes[#Headers],0))</f>
        <v>10.46</v>
      </c>
      <c r="BC147" s="4">
        <f ca="1">SUM(HC[[#This Row],[Conc Est (m³)]],HC[[#This Row],[Conc Bloco (m³)]])</f>
        <v>44.374996231955826</v>
      </c>
      <c r="BD147" s="4">
        <f>INDEX(composicoes[],MATCH(94966,composicoes[CÓDIGO],0),MATCH("CUSTO TOTAL",composicoes[#Headers],0))</f>
        <v>439.52</v>
      </c>
      <c r="BE147" s="38">
        <f ca="1">HC[[#This Row],[Aço (kg)]]*HC[[#This Row],[Aço (R$/kg)]]+HC[[#This Row],[Conc (m³)]]*HC[[#This Row],[Conc (R$/m³)]]</f>
        <v>19761.657658248132</v>
      </c>
      <c r="BF147" s="4" t="str">
        <f ca="1">IF(COUNTIF(HC[#This Row],"N.S.")&gt;0,"lim.","OK")</f>
        <v>lim.</v>
      </c>
      <c r="BG147" s="4" t="str">
        <f>IF(HC[[#This Row],[Prof. (m)]]&lt;4,"lim.","OK")</f>
        <v>lim.</v>
      </c>
      <c r="BH147" s="4" t="str">
        <f>IF(HC[[#This Row],[Prof. (m)]]&gt;=8*HC[[#This Row],[Ø (cm)]]/100,"OK","lim.")</f>
        <v>lim.</v>
      </c>
      <c r="BI147" s="4" t="str">
        <f ca="1">IF(HC[[#This Row],[Verif. Biela]]="OK","OK","lim.")</f>
        <v>OK</v>
      </c>
      <c r="BJ147" s="4" t="str">
        <f ca="1">IF(COUNTA(HC[[#This Row],[Nº Est.]:[Biela comp.]])=COUNTIF(HC[[#This Row],[Nº Est.]:[Biela comp.]],"OK"),"OK","lim.")</f>
        <v>lim.</v>
      </c>
      <c r="BK147" s="4" t="str">
        <f ca="1">IF(HC[[#This Row],[Controle]]="OK",HC[[#This Row],[nE]]&amp;" Ø"&amp;HC[[#This Row],[Ø (cm)]]&amp;"cm Prof. "&amp;HC[[#This Row],[Prof. (m)]]&amp;" m","")</f>
        <v/>
      </c>
      <c r="BL147" s="4" t="str">
        <f ca="1">IF(HC[[#This Row],[idDimensionamento]]="","",HC[[#This Row],[idPilar]]&amp;HC[[#This Row],[idDimensionamento]])</f>
        <v/>
      </c>
    </row>
    <row r="148" spans="2:64" x14ac:dyDescent="0.25">
      <c r="B148" s="12">
        <f>ROUNDUP((ROW(HC[[#This Row],[idDiâmetro]])-ROW(HC[[#Headers],[idDiâmetro]]))/(COUNT(SPT[Prof. (m)])*COUNT(PILARES[Pilar])),0)</f>
        <v>6</v>
      </c>
      <c r="C148" s="12">
        <f>IF(HC[[#This Row],[idDiâmetro]]&lt;&gt;B147,1,IF(HC[[#This Row],[Prof. (m)]]=0,C147+1,C147))</f>
        <v>1</v>
      </c>
      <c r="D148" s="1">
        <f>IFERROR(IF(D147=MAX(SPT[Prof. (m)]),0,D147+1),0)</f>
        <v>3</v>
      </c>
      <c r="E148" s="1">
        <f>INDEX(SPT[],MATCH(HC[[#This Row],[Prof. (m)]],SPT[Prof. (m)],0),2)</f>
        <v>4</v>
      </c>
      <c r="F148" s="1" t="str">
        <f>INDEX(SPT[],MATCH(HC[[#This Row],[Prof. (m)]],SPT[Prof. (m)],0),3)</f>
        <v>Areia siltosa</v>
      </c>
      <c r="G148" s="1">
        <f>INDEX(estacas[],HC[[#This Row],[idDiâmetro]],MATCH($B$2,estacas[#Headers],0))</f>
        <v>50</v>
      </c>
      <c r="H148" s="1">
        <f>INDEX(estacas[],MATCH(HC[[#This Row],[Ø (cm)]],estacas[Ø HC (cm)],0),MATCH(HC[[#Headers],[Pe HC (kN)]],estacas[#Headers],0))</f>
        <v>1250</v>
      </c>
      <c r="I148" s="4">
        <f>INDEX(K_alpha_C[],MATCH(HC[[#This Row],[Solo]],K_alpha_C[Solo],0),2)</f>
        <v>0.8</v>
      </c>
      <c r="J148" s="5">
        <f>INDEX(K_alpha_C[],MATCH(HC[[#This Row],[Solo]],K_alpha_C[Solo],0),3)</f>
        <v>2</v>
      </c>
      <c r="K148" s="4">
        <f>INDEX(F1_F2[],MATCH($D$2,F1_F2[Tipo de estaca],0),2)</f>
        <v>2</v>
      </c>
      <c r="L148" s="4">
        <f>INDEX(F1_F2[],MATCH($D$2,F1_F2[Tipo de estaca],0),3)</f>
        <v>4</v>
      </c>
      <c r="M148" s="4">
        <f>PI()*(HC[[#This Row],[Ø (cm)]]/100)^2/4</f>
        <v>0.19634954084936207</v>
      </c>
      <c r="N148" s="4">
        <f>PI()*HC[[#This Row],[Ø (cm)]]/100</f>
        <v>1.5707963267948966</v>
      </c>
      <c r="O148" s="4">
        <f>IF(HC[[#This Row],[Prof. (m)]]=0,0,HC[[#This Row],[α (%)]]/100*HC[[#This Row],[K (MPa)]]*1000*HC[[#This Row],[NSPT]])</f>
        <v>64</v>
      </c>
      <c r="P148" s="4">
        <f>IF(HC[[#This Row],[Prof. (m)]]=0,0,(HC[[#This Row],[K (MPa)]]*1000*HC[[#This Row],[NSPT]]/HC[[#This Row],[F1]]*HC[[#This Row],[Ap (m²)]]+HC[[#This Row],[U (m)]]/HC[[#This Row],[F2]]*SUMIFS(HC[(α∙K∙NL∙ΔL)],HC[Prof. (m)],"&lt;="&amp;HC[[#This Row],[Prof. (m)]],HC[idDiâmetro],HC[[#This Row],[idDiâmetro]],HC[idPilar],HC[[#This Row],[idPilar]]))/'DADOS CAP. CARGA'!$D$2)</f>
        <v>182.21237390820801</v>
      </c>
      <c r="Q148" s="12">
        <f>INDEX(C_alpha_beta[],MATCH(HC[[#This Row],[Solo]],C_alpha_beta[Solo],0),MATCH(HC[[#Headers],[C (kPa)]],C_alpha_beta[#Headers],0))</f>
        <v>400</v>
      </c>
      <c r="R148" s="4">
        <f>INDEX(C_alpha_beta[],MATCH(HC[[#This Row],[Solo]],C_alpha_beta[Solo],0),MATCH(HC[[#Headers],[α ESF]],C_alpha_beta[#Headers],0))</f>
        <v>0.5</v>
      </c>
      <c r="S148" s="4">
        <f>INDEX(C_alpha_beta[],MATCH(HC[[#This Row],[Solo]],C_alpha_beta[Solo],0),MATCH(HC[[#Headers],[β ESF]],C_alpha_beta[#Headers],0))</f>
        <v>0.5</v>
      </c>
      <c r="T148" s="4">
        <f>IF(HC[[#This Row],[Prof. (m)]]=0,0,10*(HC[[#This Row],[NSPT]]/3+1))</f>
        <v>23.333333333333329</v>
      </c>
      <c r="U148" s="4">
        <f>(HC[[#This Row],[α ESF]]*HC[[#This Row],[C (kPa)]]*HC[[#This Row],[NSPT]]*HC[[#This Row],[Ap (m²)]])/'DADOS CAP. CARGA'!$Q$2+(HC[[#This Row],[β ESF]]*SUMIFS(HC[10∙(NL/3+1)],HC[Prof. (m)],"&lt;="&amp;HC[[#This Row],[Prof. (m)]],HC[idDiâmetro],HC[[#This Row],[idDiâmetro]],HC[idPilar],HC[[#This Row],[idPilar]])*HC[[#This Row],[U (m)]])/'DADOS CAP. CARGA'!$S$2</f>
        <v>61.522856132800115</v>
      </c>
      <c r="V148" s="4">
        <f>IF(SPT!$M$5=1,MIN(HC[[#This Row],[Pe HC (kN)]],HC[[#This Row],[R_AV (kN)]]),IF(SPT!$M$5=2,MIN(HC[[#This Row],[Pe HC (kN)]],HC[[#This Row],[R_DC (kN)]]),MIN(HC[[#This Row],[Pe HC (kN)]],HC[[#This Row],[R_AV (kN)]],HC[[#This Row],[R_DC (kN)]])))</f>
        <v>61.522856132800115</v>
      </c>
      <c r="W148" s="4">
        <f>INDEX(PILARES[],HC[[#This Row],[idPilar]],MATCH("Carga (kN)",PILARES[#Headers],0))*1.4</f>
        <v>3500</v>
      </c>
      <c r="X148" s="12">
        <f>INDEX(PILARES[],HC[[#This Row],[idPilar]],MATCH(HC[[#Headers],[ap (cm)]],PILARES[#Headers],0))</f>
        <v>60</v>
      </c>
      <c r="Y148" s="12">
        <f>INDEX(PILARES[],HC[[#This Row],[idPilar]],MATCH(HC[[#Headers],[bp (cm)]],PILARES[#Headers],0))</f>
        <v>60</v>
      </c>
      <c r="Z148" s="4">
        <f>SQRT(HC[[#This Row],[ap (cm)]]*HC[[#This Row],[bp (cm)]])</f>
        <v>60</v>
      </c>
      <c r="AA148" s="12">
        <f>HC[[#This Row],[ap (cm)]]*HC[[#This Row],[bp (cm)]]</f>
        <v>3600</v>
      </c>
      <c r="AB148" s="12">
        <f ca="1">IF(HC[[#This Row],[Padm∙ε (kN)]]&gt;=HC[[#This Row],[Padm (kN)]],ROUNDUP(1.05*HC[[#This Row],[Nsd (kN)]]/HC[[#This Row],[Padm (kN)]],0),ROUNDUP(1.05*HC[[#This Row],[Nsd (kN)]]/HC[[#This Row],[Padm (kN)]],0)+1)</f>
        <v>60</v>
      </c>
      <c r="AC148" s="4" t="str">
        <f ca="1">IFERROR(IF(HC[[#This Row],[nE]]=1,HC[[#This Row],[Padm (kN)]],HC[[#This Row],[Padm (kN)]]*HC[[#This Row],[nE]]*INDEX(grupoEstacas[],HC[[#This Row],[nE]],MATCH("ε",grupoEstacas[#Headers],0))),"N.S.")</f>
        <v>N.S.</v>
      </c>
      <c r="AD148" s="4">
        <f ca="1">1.05*HC[[#This Row],[Nsd (kN)]]/(HC[[#This Row],[nE]]*PI()*HC[[#This Row],[Ø (cm)]]^2/4)*10</f>
        <v>0.31194368846011489</v>
      </c>
      <c r="AE148" s="4">
        <f ca="1">IF(HC[[#This Row],[σ (MPa)]]&lt;INDEX(tipoEstaca[],MATCH($D$2,tipoEstaca[TIPO DE ESTACA],0),MATCH("σmáx (MPa)",tipoEstaca[#Headers],0)),0.4%*PI()*HC[[#This Row],[Ø (cm)]]^2/4,"N.S.")</f>
        <v>7.8539816339744837</v>
      </c>
      <c r="AF148" s="1">
        <f>INDEX(tipoEstaca[],MATCH($D$2,tipoEstaca[TIPO DE ESTACA],0),MATCH(HC[[#Headers],[Comprimento (m)]],tipoEstaca[#Headers],0))</f>
        <v>4</v>
      </c>
      <c r="AG148" s="5">
        <f ca="1">HC[[#This Row],[As,mín (cm²)]]/100^2*HC[[#This Row],[Comprimento (m)]]*7850</f>
        <v>24.661502330679877</v>
      </c>
      <c r="AH148" s="4">
        <f ca="1">HC[[#This Row],[nE]]*HC[[#This Row],[Prof. (m)]]*HC[[#This Row],[Ap (m²)]]</f>
        <v>35.342917352885173</v>
      </c>
      <c r="AI148" s="1">
        <f ca="1">IF(HC[[#This Row],[nE]]=1,0,MAX(3*HC[[#This Row],[Ø (cm)]],60))</f>
        <v>150</v>
      </c>
      <c r="AJ148" s="1">
        <f ca="1">IF(HC[[#This Row],[nE]]=1,HC[[#This Row],[Ø (cm)]]+2*10,MAX(1.5*HC[[#This Row],[Ø (cm)]],HC[[#This Row],[Ø (cm)]]+15))</f>
        <v>75</v>
      </c>
      <c r="AK148" s="1" t="str">
        <f ca="1">alturaUtil(HC[[#This Row],[nE]],HC[[#This Row],[Ø (cm)]],HC[[#This Row],[e (cm)]],HC[[#This Row],[ap,eq (cm)]])</f>
        <v>N.S.</v>
      </c>
      <c r="AL148" s="1" t="str">
        <f ca="1">IFERROR(HC[[#This Row],[d (cm)]]+arredondarParaCimaMultiplo5cm(MAX(5,SQRT(PI())/2*HC[[#This Row],[Ø (cm)]]/5)),"N.S.")</f>
        <v>N.S.</v>
      </c>
      <c r="AM148" s="5" t="str">
        <f ca="1">alpha(HC[[#This Row],[nE]],HC[[#This Row],[d (cm)]],HC[[#This Row],[e (cm)]],HC[[#This Row],[ap,eq (cm)]])</f>
        <v>N.S.</v>
      </c>
      <c r="AN148" s="35" t="str">
        <f ca="1">IFERROR(HC[[#This Row],[Nsd (kN)]]/(HC[[#This Row],[Ap (cm²)]]*SIN(HC[[#This Row],[α]])^2),"N.S.")</f>
        <v>N.S.</v>
      </c>
      <c r="AO148" s="35" t="str">
        <f ca="1">IFERROR(HC[[#This Row],[Nsd (kN)]]/(HC[[#This Row],[nE]]*PI()*HC[[#This Row],[Ø (cm)]]^2/4*SIN(HC[[#This Row],[α]])^2),"N.S.")</f>
        <v>N.S.</v>
      </c>
      <c r="AP148" s="4" t="str">
        <f ca="1">IFERROR(INDEX(grupoEstacas[],HC[[#This Row],[nE]],MATCH("coef. Blévot",grupoEstacas[#Headers],0)),"N.S.")</f>
        <v>N.S.</v>
      </c>
      <c r="AQ148" s="35" t="str">
        <f ca="1">IFERROR(HC[[#This Row],[coef. Blévot]]*0.9*INDEX(tipoEstaca[],MATCH($D$2,tipoEstaca[TIPO DE ESTACA],0),MATCH("fcd (kN/cm²)",tipoEstaca[#Headers],0)),"N.S.")</f>
        <v>N.S.</v>
      </c>
      <c r="AR148" s="1" t="str">
        <f ca="1">IF(AND(HC[[#This Row],[cd,b,pil (kN/cm²)]]&lt;=HC[[#This Row],[cd,b,lim (kN/cm²)]],HC[[#This Row],[cd,b,est (kN/cm²)]]&lt;=HC[[#This Row],[cd,b,lim (kN/cm²)]]),"OK","ERRO")</f>
        <v>OK</v>
      </c>
      <c r="AS148" s="4" t="str">
        <f ca="1">As_lado(HC[[#This Row],[nE]],HC[[#This Row],[Nsd (kN)]],HC[[#This Row],[d (cm)]],HC[[#This Row],[e (cm)]],HC[[#This Row],[ap,eq (cm)]])</f>
        <v>N.S.</v>
      </c>
      <c r="AT148" s="4" t="str">
        <f ca="1">IF(HC[[#This Row],[nE]]=1,HC[[#This Row],[As,lado (cm²)]],IF(HC[[#This Row],[nE]]=2,0.075*2*HC[a (cm)],"N.A."))</f>
        <v>N.A.</v>
      </c>
      <c r="AU148" s="4" t="str">
        <f ca="1">IFERROR(IF(HC[[#This Row],[nE]]=1,"N.A.",0.2*HC[[#This Row],[As,lado (cm²)]]),"N.S.")</f>
        <v>N.S.</v>
      </c>
      <c r="AV148" s="4" t="str">
        <f ca="1">As_malha(HC[[#This Row],[nE]],HC[[#This Row],[As,lado (cm²)]],HC[[#This Row],[Nsd (kN)]])</f>
        <v>N.S.</v>
      </c>
      <c r="AW148" s="4" t="str">
        <f ca="1">As_susp_tot(HC[[#This Row],[nE]],HC[[#This Row],[Nsd (kN)]])</f>
        <v>N.S.</v>
      </c>
      <c r="AX148" s="4" t="str">
        <f ca="1">Asp_face(HC[[#This Row],[nE]],HC[[#This Row],[As,lado (cm²)]])</f>
        <v>N.S.</v>
      </c>
      <c r="AY148" s="5" t="str">
        <f ca="1">acoBloco(HC[[#This Row],[nE]],HC[[#This Row],[e (cm)]],HC[[#This Row],[a (cm)]],HC[[#This Row],[h (cm)]],HC[[#This Row],[As,lado (cm²)]],HC[[#This Row],[Asp e Asw (cm²/m)]],HC[[#This Row],[As,sup (cm²)]],HC[[#This Row],[As,malha (cm²)]],HC[[#This Row],[As,susp,tot (cm²)]],HC[[#This Row],[Asp,face (cm²)]])</f>
        <v>N.S.</v>
      </c>
      <c r="AZ148" s="4" t="str">
        <f ca="1">concretoBloco(HC[[#This Row],[nE]],HC[[#This Row],[e (cm)]],HC[[#This Row],[a (cm)]],HC[[#This Row],[h (cm)]])</f>
        <v>N.S.</v>
      </c>
      <c r="BA148" s="5">
        <f ca="1">SUM(HC[[#This Row],[Aço Est (kg)]],HC[[#This Row],[Aço Bloco (kg)]])</f>
        <v>24.661502330679877</v>
      </c>
      <c r="BB148" s="4">
        <f>INDEX(composicoes[],MATCH(95580,composicoes[CÓDIGO],0),MATCH("CUSTO TOTAL",composicoes[#Headers],0))</f>
        <v>10.46</v>
      </c>
      <c r="BC148" s="4">
        <f ca="1">SUM(HC[[#This Row],[Conc Est (m³)]],HC[[#This Row],[Conc Bloco (m³)]])</f>
        <v>35.342917352885173</v>
      </c>
      <c r="BD148" s="4">
        <f>INDEX(composicoes[],MATCH(94966,composicoes[CÓDIGO],0),MATCH("CUSTO TOTAL",composicoes[#Headers],0))</f>
        <v>439.52</v>
      </c>
      <c r="BE148" s="38">
        <f ca="1">HC[[#This Row],[Aço (kg)]]*HC[[#This Row],[Aço (R$/kg)]]+HC[[#This Row],[Conc (m³)]]*HC[[#This Row],[Conc (R$/m³)]]</f>
        <v>15791.878349319002</v>
      </c>
      <c r="BF148" s="4" t="str">
        <f ca="1">IF(COUNTIF(HC[#This Row],"N.S.")&gt;0,"lim.","OK")</f>
        <v>lim.</v>
      </c>
      <c r="BG148" s="4" t="str">
        <f>IF(HC[[#This Row],[Prof. (m)]]&lt;4,"lim.","OK")</f>
        <v>lim.</v>
      </c>
      <c r="BH148" s="4" t="str">
        <f>IF(HC[[#This Row],[Prof. (m)]]&gt;=8*HC[[#This Row],[Ø (cm)]]/100,"OK","lim.")</f>
        <v>lim.</v>
      </c>
      <c r="BI148" s="4" t="str">
        <f ca="1">IF(HC[[#This Row],[Verif. Biela]]="OK","OK","lim.")</f>
        <v>OK</v>
      </c>
      <c r="BJ148" s="4" t="str">
        <f ca="1">IF(COUNTA(HC[[#This Row],[Nº Est.]:[Biela comp.]])=COUNTIF(HC[[#This Row],[Nº Est.]:[Biela comp.]],"OK"),"OK","lim.")</f>
        <v>lim.</v>
      </c>
      <c r="BK148" s="4" t="str">
        <f ca="1">IF(HC[[#This Row],[Controle]]="OK",HC[[#This Row],[nE]]&amp;" Ø"&amp;HC[[#This Row],[Ø (cm)]]&amp;"cm Prof. "&amp;HC[[#This Row],[Prof. (m)]]&amp;" m","")</f>
        <v/>
      </c>
      <c r="BL148" s="4" t="str">
        <f ca="1">IF(HC[[#This Row],[idDimensionamento]]="","",HC[[#This Row],[idPilar]]&amp;HC[[#This Row],[idDimensionamento]])</f>
        <v/>
      </c>
    </row>
    <row r="149" spans="2:64" x14ac:dyDescent="0.25">
      <c r="B149" s="12">
        <f>ROUNDUP((ROW(HC[[#This Row],[idDiâmetro]])-ROW(HC[[#Headers],[idDiâmetro]]))/(COUNT(SPT[Prof. (m)])*COUNT(PILARES[Pilar])),0)</f>
        <v>6</v>
      </c>
      <c r="C149" s="12">
        <f>IF(HC[[#This Row],[idDiâmetro]]&lt;&gt;B148,1,IF(HC[[#This Row],[Prof. (m)]]=0,C148+1,C148))</f>
        <v>1</v>
      </c>
      <c r="D149" s="1">
        <f>IFERROR(IF(D148=MAX(SPT[Prof. (m)]),0,D148+1),0)</f>
        <v>4</v>
      </c>
      <c r="E149" s="1">
        <f>INDEX(SPT[],MATCH(HC[[#This Row],[Prof. (m)]],SPT[Prof. (m)],0),2)</f>
        <v>8</v>
      </c>
      <c r="F149" s="1" t="str">
        <f>INDEX(SPT[],MATCH(HC[[#This Row],[Prof. (m)]],SPT[Prof. (m)],0),3)</f>
        <v>Areia siltosa</v>
      </c>
      <c r="G149" s="1">
        <f>INDEX(estacas[],HC[[#This Row],[idDiâmetro]],MATCH($B$2,estacas[#Headers],0))</f>
        <v>50</v>
      </c>
      <c r="H149" s="1">
        <f>INDEX(estacas[],MATCH(HC[[#This Row],[Ø (cm)]],estacas[Ø HC (cm)],0),MATCH(HC[[#Headers],[Pe HC (kN)]],estacas[#Headers],0))</f>
        <v>1250</v>
      </c>
      <c r="I149" s="4">
        <f>INDEX(K_alpha_C[],MATCH(HC[[#This Row],[Solo]],K_alpha_C[Solo],0),2)</f>
        <v>0.8</v>
      </c>
      <c r="J149" s="5">
        <f>INDEX(K_alpha_C[],MATCH(HC[[#This Row],[Solo]],K_alpha_C[Solo],0),3)</f>
        <v>2</v>
      </c>
      <c r="K149" s="4">
        <f>INDEX(F1_F2[],MATCH($D$2,F1_F2[Tipo de estaca],0),2)</f>
        <v>2</v>
      </c>
      <c r="L149" s="4">
        <f>INDEX(F1_F2[],MATCH($D$2,F1_F2[Tipo de estaca],0),3)</f>
        <v>4</v>
      </c>
      <c r="M149" s="4">
        <f>PI()*(HC[[#This Row],[Ø (cm)]]/100)^2/4</f>
        <v>0.19634954084936207</v>
      </c>
      <c r="N149" s="4">
        <f>PI()*HC[[#This Row],[Ø (cm)]]/100</f>
        <v>1.5707963267948966</v>
      </c>
      <c r="O149" s="4">
        <f>IF(HC[[#This Row],[Prof. (m)]]=0,0,HC[[#This Row],[α (%)]]/100*HC[[#This Row],[K (MPa)]]*1000*HC[[#This Row],[NSPT]])</f>
        <v>128</v>
      </c>
      <c r="P149" s="4">
        <f>IF(HC[[#This Row],[Prof. (m)]]=0,0,(HC[[#This Row],[K (MPa)]]*1000*HC[[#This Row],[NSPT]]/HC[[#This Row],[F1]]*HC[[#This Row],[Ap (m²)]]+HC[[#This Row],[U (m)]]/HC[[#This Row],[F2]]*SUMIFS(HC[(α∙K∙NL∙ΔL)],HC[Prof. (m)],"&lt;="&amp;HC[[#This Row],[Prof. (m)]],HC[idDiâmetro],HC[[#This Row],[idDiâmetro]],HC[idPilar],HC[[#This Row],[idPilar]]))/'DADOS CAP. CARGA'!$D$2)</f>
        <v>364.42474781641602</v>
      </c>
      <c r="Q149" s="12">
        <f>INDEX(C_alpha_beta[],MATCH(HC[[#This Row],[Solo]],C_alpha_beta[Solo],0),MATCH(HC[[#Headers],[C (kPa)]],C_alpha_beta[#Headers],0))</f>
        <v>400</v>
      </c>
      <c r="R149" s="4">
        <f>INDEX(C_alpha_beta[],MATCH(HC[[#This Row],[Solo]],C_alpha_beta[Solo],0),MATCH(HC[[#Headers],[α ESF]],C_alpha_beta[#Headers],0))</f>
        <v>0.5</v>
      </c>
      <c r="S149" s="4">
        <f>INDEX(C_alpha_beta[],MATCH(HC[[#This Row],[Solo]],C_alpha_beta[Solo],0),MATCH(HC[[#Headers],[β ESF]],C_alpha_beta[#Headers],0))</f>
        <v>0.5</v>
      </c>
      <c r="T149" s="4">
        <f>IF(HC[[#This Row],[Prof. (m)]]=0,0,10*(HC[[#This Row],[NSPT]]/3+1))</f>
        <v>36.666666666666664</v>
      </c>
      <c r="U149" s="4">
        <f>(HC[[#This Row],[α ESF]]*HC[[#This Row],[C (kPa)]]*HC[[#This Row],[NSPT]]*HC[[#This Row],[Ap (m²)]])/'DADOS CAP. CARGA'!$Q$2+(HC[[#This Row],[β ESF]]*SUMIFS(HC[10∙(NL/3+1)],HC[Prof. (m)],"&lt;="&amp;HC[[#This Row],[Prof. (m)]],HC[idDiâmetro],HC[[#This Row],[idDiâmetro]],HC[idPilar],HC[[#This Row],[idPilar]])*HC[[#This Row],[U (m)]])/'DADOS CAP. CARGA'!$S$2</f>
        <v>115.19173063162575</v>
      </c>
      <c r="V149" s="4">
        <f>IF(SPT!$M$5=1,MIN(HC[[#This Row],[Pe HC (kN)]],HC[[#This Row],[R_AV (kN)]]),IF(SPT!$M$5=2,MIN(HC[[#This Row],[Pe HC (kN)]],HC[[#This Row],[R_DC (kN)]]),MIN(HC[[#This Row],[Pe HC (kN)]],HC[[#This Row],[R_AV (kN)]],HC[[#This Row],[R_DC (kN)]])))</f>
        <v>115.19173063162575</v>
      </c>
      <c r="W149" s="4">
        <f>INDEX(PILARES[],HC[[#This Row],[idPilar]],MATCH("Carga (kN)",PILARES[#Headers],0))*1.4</f>
        <v>3500</v>
      </c>
      <c r="X149" s="12">
        <f>INDEX(PILARES[],HC[[#This Row],[idPilar]],MATCH(HC[[#Headers],[ap (cm)]],PILARES[#Headers],0))</f>
        <v>60</v>
      </c>
      <c r="Y149" s="12">
        <f>INDEX(PILARES[],HC[[#This Row],[idPilar]],MATCH(HC[[#Headers],[bp (cm)]],PILARES[#Headers],0))</f>
        <v>60</v>
      </c>
      <c r="Z149" s="4">
        <f>SQRT(HC[[#This Row],[ap (cm)]]*HC[[#This Row],[bp (cm)]])</f>
        <v>60</v>
      </c>
      <c r="AA149" s="12">
        <f>HC[[#This Row],[ap (cm)]]*HC[[#This Row],[bp (cm)]]</f>
        <v>3600</v>
      </c>
      <c r="AB149" s="12">
        <f ca="1">IF(HC[[#This Row],[Padm∙ε (kN)]]&gt;=HC[[#This Row],[Padm (kN)]],ROUNDUP(1.05*HC[[#This Row],[Nsd (kN)]]/HC[[#This Row],[Padm (kN)]],0),ROUNDUP(1.05*HC[[#This Row],[Nsd (kN)]]/HC[[#This Row],[Padm (kN)]],0)+1)</f>
        <v>32</v>
      </c>
      <c r="AC149" s="4" t="str">
        <f ca="1">IFERROR(IF(HC[[#This Row],[nE]]=1,HC[[#This Row],[Padm (kN)]],HC[[#This Row],[Padm (kN)]]*HC[[#This Row],[nE]]*INDEX(grupoEstacas[],HC[[#This Row],[nE]],MATCH("ε",grupoEstacas[#Headers],0))),"N.S.")</f>
        <v>N.S.</v>
      </c>
      <c r="AD149" s="4">
        <f ca="1">1.05*HC[[#This Row],[Nsd (kN)]]/(HC[[#This Row],[nE]]*PI()*HC[[#This Row],[Ø (cm)]]^2/4)*10</f>
        <v>0.5848944158627154</v>
      </c>
      <c r="AE149" s="4">
        <f ca="1">IF(HC[[#This Row],[σ (MPa)]]&lt;INDEX(tipoEstaca[],MATCH($D$2,tipoEstaca[TIPO DE ESTACA],0),MATCH("σmáx (MPa)",tipoEstaca[#Headers],0)),0.4%*PI()*HC[[#This Row],[Ø (cm)]]^2/4,"N.S.")</f>
        <v>7.8539816339744837</v>
      </c>
      <c r="AF149" s="1">
        <f>INDEX(tipoEstaca[],MATCH($D$2,tipoEstaca[TIPO DE ESTACA],0),MATCH(HC[[#Headers],[Comprimento (m)]],tipoEstaca[#Headers],0))</f>
        <v>4</v>
      </c>
      <c r="AG149" s="5">
        <f ca="1">HC[[#This Row],[As,mín (cm²)]]/100^2*HC[[#This Row],[Comprimento (m)]]*7850</f>
        <v>24.661502330679877</v>
      </c>
      <c r="AH149" s="4">
        <f ca="1">HC[[#This Row],[nE]]*HC[[#This Row],[Prof. (m)]]*HC[[#This Row],[Ap (m²)]]</f>
        <v>25.132741228718345</v>
      </c>
      <c r="AI149" s="1">
        <f ca="1">IF(HC[[#This Row],[nE]]=1,0,MAX(3*HC[[#This Row],[Ø (cm)]],60))</f>
        <v>150</v>
      </c>
      <c r="AJ149" s="1">
        <f ca="1">IF(HC[[#This Row],[nE]]=1,HC[[#This Row],[Ø (cm)]]+2*10,MAX(1.5*HC[[#This Row],[Ø (cm)]],HC[[#This Row],[Ø (cm)]]+15))</f>
        <v>75</v>
      </c>
      <c r="AK149" s="1" t="str">
        <f ca="1">alturaUtil(HC[[#This Row],[nE]],HC[[#This Row],[Ø (cm)]],HC[[#This Row],[e (cm)]],HC[[#This Row],[ap,eq (cm)]])</f>
        <v>N.S.</v>
      </c>
      <c r="AL149" s="1" t="str">
        <f ca="1">IFERROR(HC[[#This Row],[d (cm)]]+arredondarParaCimaMultiplo5cm(MAX(5,SQRT(PI())/2*HC[[#This Row],[Ø (cm)]]/5)),"N.S.")</f>
        <v>N.S.</v>
      </c>
      <c r="AM149" s="5" t="str">
        <f ca="1">alpha(HC[[#This Row],[nE]],HC[[#This Row],[d (cm)]],HC[[#This Row],[e (cm)]],HC[[#This Row],[ap,eq (cm)]])</f>
        <v>N.S.</v>
      </c>
      <c r="AN149" s="35" t="str">
        <f ca="1">IFERROR(HC[[#This Row],[Nsd (kN)]]/(HC[[#This Row],[Ap (cm²)]]*SIN(HC[[#This Row],[α]])^2),"N.S.")</f>
        <v>N.S.</v>
      </c>
      <c r="AO149" s="35" t="str">
        <f ca="1">IFERROR(HC[[#This Row],[Nsd (kN)]]/(HC[[#This Row],[nE]]*PI()*HC[[#This Row],[Ø (cm)]]^2/4*SIN(HC[[#This Row],[α]])^2),"N.S.")</f>
        <v>N.S.</v>
      </c>
      <c r="AP149" s="4" t="str">
        <f ca="1">IFERROR(INDEX(grupoEstacas[],HC[[#This Row],[nE]],MATCH("coef. Blévot",grupoEstacas[#Headers],0)),"N.S.")</f>
        <v>N.S.</v>
      </c>
      <c r="AQ149" s="35" t="str">
        <f ca="1">IFERROR(HC[[#This Row],[coef. Blévot]]*0.9*INDEX(tipoEstaca[],MATCH($D$2,tipoEstaca[TIPO DE ESTACA],0),MATCH("fcd (kN/cm²)",tipoEstaca[#Headers],0)),"N.S.")</f>
        <v>N.S.</v>
      </c>
      <c r="AR149" s="1" t="str">
        <f ca="1">IF(AND(HC[[#This Row],[cd,b,pil (kN/cm²)]]&lt;=HC[[#This Row],[cd,b,lim (kN/cm²)]],HC[[#This Row],[cd,b,est (kN/cm²)]]&lt;=HC[[#This Row],[cd,b,lim (kN/cm²)]]),"OK","ERRO")</f>
        <v>OK</v>
      </c>
      <c r="AS149" s="4" t="str">
        <f ca="1">As_lado(HC[[#This Row],[nE]],HC[[#This Row],[Nsd (kN)]],HC[[#This Row],[d (cm)]],HC[[#This Row],[e (cm)]],HC[[#This Row],[ap,eq (cm)]])</f>
        <v>N.S.</v>
      </c>
      <c r="AT149" s="4" t="str">
        <f ca="1">IF(HC[[#This Row],[nE]]=1,HC[[#This Row],[As,lado (cm²)]],IF(HC[[#This Row],[nE]]=2,0.075*2*HC[a (cm)],"N.A."))</f>
        <v>N.A.</v>
      </c>
      <c r="AU149" s="4" t="str">
        <f ca="1">IFERROR(IF(HC[[#This Row],[nE]]=1,"N.A.",0.2*HC[[#This Row],[As,lado (cm²)]]),"N.S.")</f>
        <v>N.S.</v>
      </c>
      <c r="AV149" s="4" t="str">
        <f ca="1">As_malha(HC[[#This Row],[nE]],HC[[#This Row],[As,lado (cm²)]],HC[[#This Row],[Nsd (kN)]])</f>
        <v>N.S.</v>
      </c>
      <c r="AW149" s="4" t="str">
        <f ca="1">As_susp_tot(HC[[#This Row],[nE]],HC[[#This Row],[Nsd (kN)]])</f>
        <v>N.S.</v>
      </c>
      <c r="AX149" s="4" t="str">
        <f ca="1">Asp_face(HC[[#This Row],[nE]],HC[[#This Row],[As,lado (cm²)]])</f>
        <v>N.S.</v>
      </c>
      <c r="AY149" s="5" t="str">
        <f ca="1">acoBloco(HC[[#This Row],[nE]],HC[[#This Row],[e (cm)]],HC[[#This Row],[a (cm)]],HC[[#This Row],[h (cm)]],HC[[#This Row],[As,lado (cm²)]],HC[[#This Row],[Asp e Asw (cm²/m)]],HC[[#This Row],[As,sup (cm²)]],HC[[#This Row],[As,malha (cm²)]],HC[[#This Row],[As,susp,tot (cm²)]],HC[[#This Row],[Asp,face (cm²)]])</f>
        <v>N.S.</v>
      </c>
      <c r="AZ149" s="4" t="str">
        <f ca="1">concretoBloco(HC[[#This Row],[nE]],HC[[#This Row],[e (cm)]],HC[[#This Row],[a (cm)]],HC[[#This Row],[h (cm)]])</f>
        <v>N.S.</v>
      </c>
      <c r="BA149" s="5">
        <f ca="1">SUM(HC[[#This Row],[Aço Est (kg)]],HC[[#This Row],[Aço Bloco (kg)]])</f>
        <v>24.661502330679877</v>
      </c>
      <c r="BB149" s="4">
        <f>INDEX(composicoes[],MATCH(95580,composicoes[CÓDIGO],0),MATCH("CUSTO TOTAL",composicoes[#Headers],0))</f>
        <v>10.46</v>
      </c>
      <c r="BC149" s="4">
        <f ca="1">SUM(HC[[#This Row],[Conc Est (m³)]],HC[[#This Row],[Conc Bloco (m³)]])</f>
        <v>25.132741228718345</v>
      </c>
      <c r="BD149" s="4">
        <f>INDEX(composicoes[],MATCH(94966,composicoes[CÓDIGO],0),MATCH("CUSTO TOTAL",composicoes[#Headers],0))</f>
        <v>439.52</v>
      </c>
      <c r="BE149" s="38">
        <f ca="1">HC[[#This Row],[Aço (kg)]]*HC[[#This Row],[Aço (R$/kg)]]+HC[[#This Row],[Conc (m³)]]*HC[[#This Row],[Conc (R$/m³)]]</f>
        <v>11304.301739225199</v>
      </c>
      <c r="BF149" s="4" t="str">
        <f ca="1">IF(COUNTIF(HC[#This Row],"N.S.")&gt;0,"lim.","OK")</f>
        <v>lim.</v>
      </c>
      <c r="BG149" s="4" t="str">
        <f>IF(HC[[#This Row],[Prof. (m)]]&lt;4,"lim.","OK")</f>
        <v>OK</v>
      </c>
      <c r="BH149" s="4" t="str">
        <f>IF(HC[[#This Row],[Prof. (m)]]&gt;=8*HC[[#This Row],[Ø (cm)]]/100,"OK","lim.")</f>
        <v>OK</v>
      </c>
      <c r="BI149" s="4" t="str">
        <f ca="1">IF(HC[[#This Row],[Verif. Biela]]="OK","OK","lim.")</f>
        <v>OK</v>
      </c>
      <c r="BJ149" s="4" t="str">
        <f ca="1">IF(COUNTA(HC[[#This Row],[Nº Est.]:[Biela comp.]])=COUNTIF(HC[[#This Row],[Nº Est.]:[Biela comp.]],"OK"),"OK","lim.")</f>
        <v>lim.</v>
      </c>
      <c r="BK149" s="4" t="str">
        <f ca="1">IF(HC[[#This Row],[Controle]]="OK",HC[[#This Row],[nE]]&amp;" Ø"&amp;HC[[#This Row],[Ø (cm)]]&amp;"cm Prof. "&amp;HC[[#This Row],[Prof. (m)]]&amp;" m","")</f>
        <v/>
      </c>
      <c r="BL149" s="4" t="str">
        <f ca="1">IF(HC[[#This Row],[idDimensionamento]]="","",HC[[#This Row],[idPilar]]&amp;HC[[#This Row],[idDimensionamento]])</f>
        <v/>
      </c>
    </row>
    <row r="150" spans="2:64" x14ac:dyDescent="0.25">
      <c r="B150" s="12">
        <f>ROUNDUP((ROW(HC[[#This Row],[idDiâmetro]])-ROW(HC[[#Headers],[idDiâmetro]]))/(COUNT(SPT[Prof. (m)])*COUNT(PILARES[Pilar])),0)</f>
        <v>6</v>
      </c>
      <c r="C150" s="12">
        <f>IF(HC[[#This Row],[idDiâmetro]]&lt;&gt;B149,1,IF(HC[[#This Row],[Prof. (m)]]=0,C149+1,C149))</f>
        <v>1</v>
      </c>
      <c r="D150" s="1">
        <f>IFERROR(IF(D149=MAX(SPT[Prof. (m)]),0,D149+1),0)</f>
        <v>5</v>
      </c>
      <c r="E150" s="1">
        <f>INDEX(SPT[],MATCH(HC[[#This Row],[Prof. (m)]],SPT[Prof. (m)],0),2)</f>
        <v>17</v>
      </c>
      <c r="F150" s="1" t="str">
        <f>INDEX(SPT[],MATCH(HC[[#This Row],[Prof. (m)]],SPT[Prof. (m)],0),3)</f>
        <v>Areia siltosa</v>
      </c>
      <c r="G150" s="1">
        <f>INDEX(estacas[],HC[[#This Row],[idDiâmetro]],MATCH($B$2,estacas[#Headers],0))</f>
        <v>50</v>
      </c>
      <c r="H150" s="1">
        <f>INDEX(estacas[],MATCH(HC[[#This Row],[Ø (cm)]],estacas[Ø HC (cm)],0),MATCH(HC[[#Headers],[Pe HC (kN)]],estacas[#Headers],0))</f>
        <v>1250</v>
      </c>
      <c r="I150" s="4">
        <f>INDEX(K_alpha_C[],MATCH(HC[[#This Row],[Solo]],K_alpha_C[Solo],0),2)</f>
        <v>0.8</v>
      </c>
      <c r="J150" s="5">
        <f>INDEX(K_alpha_C[],MATCH(HC[[#This Row],[Solo]],K_alpha_C[Solo],0),3)</f>
        <v>2</v>
      </c>
      <c r="K150" s="4">
        <f>INDEX(F1_F2[],MATCH($D$2,F1_F2[Tipo de estaca],0),2)</f>
        <v>2</v>
      </c>
      <c r="L150" s="4">
        <f>INDEX(F1_F2[],MATCH($D$2,F1_F2[Tipo de estaca],0),3)</f>
        <v>4</v>
      </c>
      <c r="M150" s="4">
        <f>PI()*(HC[[#This Row],[Ø (cm)]]/100)^2/4</f>
        <v>0.19634954084936207</v>
      </c>
      <c r="N150" s="4">
        <f>PI()*HC[[#This Row],[Ø (cm)]]/100</f>
        <v>1.5707963267948966</v>
      </c>
      <c r="O150" s="4">
        <f>IF(HC[[#This Row],[Prof. (m)]]=0,0,HC[[#This Row],[α (%)]]/100*HC[[#This Row],[K (MPa)]]*1000*HC[[#This Row],[NSPT]])</f>
        <v>272</v>
      </c>
      <c r="P150" s="4">
        <f>IF(HC[[#This Row],[Prof. (m)]]=0,0,(HC[[#This Row],[K (MPa)]]*1000*HC[[#This Row],[NSPT]]/HC[[#This Row],[F1]]*HC[[#This Row],[Ap (m²)]]+HC[[#This Row],[U (m)]]/HC[[#This Row],[F2]]*SUMIFS(HC[(α∙K∙NL∙ΔL)],HC[Prof. (m)],"&lt;="&amp;HC[[#This Row],[Prof. (m)]],HC[idDiâmetro],HC[[#This Row],[idDiâmetro]],HC[idPilar],HC[[#This Row],[idPilar]]))/'DADOS CAP. CARGA'!$D$2)</f>
        <v>771.26099645629415</v>
      </c>
      <c r="Q150" s="12">
        <f>INDEX(C_alpha_beta[],MATCH(HC[[#This Row],[Solo]],C_alpha_beta[Solo],0),MATCH(HC[[#Headers],[C (kPa)]],C_alpha_beta[#Headers],0))</f>
        <v>400</v>
      </c>
      <c r="R150" s="4">
        <f>INDEX(C_alpha_beta[],MATCH(HC[[#This Row],[Solo]],C_alpha_beta[Solo],0),MATCH(HC[[#Headers],[α ESF]],C_alpha_beta[#Headers],0))</f>
        <v>0.5</v>
      </c>
      <c r="S150" s="4">
        <f>INDEX(C_alpha_beta[],MATCH(HC[[#This Row],[Solo]],C_alpha_beta[Solo],0),MATCH(HC[[#Headers],[β ESF]],C_alpha_beta[#Headers],0))</f>
        <v>0.5</v>
      </c>
      <c r="T150" s="4">
        <f>IF(HC[[#This Row],[Prof. (m)]]=0,0,10*(HC[[#This Row],[NSPT]]/3+1))</f>
        <v>66.666666666666671</v>
      </c>
      <c r="U150" s="4">
        <f>(HC[[#This Row],[α ESF]]*HC[[#This Row],[C (kPa)]]*HC[[#This Row],[NSPT]]*HC[[#This Row],[Ap (m²)]])/'DADOS CAP. CARGA'!$Q$2+(HC[[#This Row],[β ESF]]*SUMIFS(HC[10∙(NL/3+1)],HC[Prof. (m)],"&lt;="&amp;HC[[#This Row],[Prof. (m)]],HC[idDiâmetro],HC[[#This Row],[idDiâmetro]],HC[idPilar],HC[[#This Row],[idPilar]])*HC[[#This Row],[U (m)]])/'DADOS CAP. CARGA'!$S$2</f>
        <v>229.72896279375362</v>
      </c>
      <c r="V150" s="4">
        <f>IF(SPT!$M$5=1,MIN(HC[[#This Row],[Pe HC (kN)]],HC[[#This Row],[R_AV (kN)]]),IF(SPT!$M$5=2,MIN(HC[[#This Row],[Pe HC (kN)]],HC[[#This Row],[R_DC (kN)]]),MIN(HC[[#This Row],[Pe HC (kN)]],HC[[#This Row],[R_AV (kN)]],HC[[#This Row],[R_DC (kN)]])))</f>
        <v>229.72896279375362</v>
      </c>
      <c r="W150" s="4">
        <f>INDEX(PILARES[],HC[[#This Row],[idPilar]],MATCH("Carga (kN)",PILARES[#Headers],0))*1.4</f>
        <v>3500</v>
      </c>
      <c r="X150" s="12">
        <f>INDEX(PILARES[],HC[[#This Row],[idPilar]],MATCH(HC[[#Headers],[ap (cm)]],PILARES[#Headers],0))</f>
        <v>60</v>
      </c>
      <c r="Y150" s="12">
        <f>INDEX(PILARES[],HC[[#This Row],[idPilar]],MATCH(HC[[#Headers],[bp (cm)]],PILARES[#Headers],0))</f>
        <v>60</v>
      </c>
      <c r="Z150" s="4">
        <f>SQRT(HC[[#This Row],[ap (cm)]]*HC[[#This Row],[bp (cm)]])</f>
        <v>60</v>
      </c>
      <c r="AA150" s="12">
        <f>HC[[#This Row],[ap (cm)]]*HC[[#This Row],[bp (cm)]]</f>
        <v>3600</v>
      </c>
      <c r="AB150" s="12">
        <f ca="1">IF(HC[[#This Row],[Padm∙ε (kN)]]&gt;=HC[[#This Row],[Padm (kN)]],ROUNDUP(1.05*HC[[#This Row],[Nsd (kN)]]/HC[[#This Row],[Padm (kN)]],0),ROUNDUP(1.05*HC[[#This Row],[Nsd (kN)]]/HC[[#This Row],[Padm (kN)]],0)+1)</f>
        <v>16</v>
      </c>
      <c r="AC150" s="4" t="str">
        <f ca="1">IFERROR(IF(HC[[#This Row],[nE]]=1,HC[[#This Row],[Padm (kN)]],HC[[#This Row],[Padm (kN)]]*HC[[#This Row],[nE]]*INDEX(grupoEstacas[],HC[[#This Row],[nE]],MATCH("ε",grupoEstacas[#Headers],0))),"N.S.")</f>
        <v>N.S.</v>
      </c>
      <c r="AD150" s="4">
        <f ca="1">1.05*HC[[#This Row],[Nsd (kN)]]/(HC[[#This Row],[nE]]*PI()*HC[[#This Row],[Ø (cm)]]^2/4)*10</f>
        <v>1.1697888317254308</v>
      </c>
      <c r="AE150" s="4">
        <f ca="1">IF(HC[[#This Row],[σ (MPa)]]&lt;INDEX(tipoEstaca[],MATCH($D$2,tipoEstaca[TIPO DE ESTACA],0),MATCH("σmáx (MPa)",tipoEstaca[#Headers],0)),0.4%*PI()*HC[[#This Row],[Ø (cm)]]^2/4,"N.S.")</f>
        <v>7.8539816339744837</v>
      </c>
      <c r="AF150" s="1">
        <f>INDEX(tipoEstaca[],MATCH($D$2,tipoEstaca[TIPO DE ESTACA],0),MATCH(HC[[#Headers],[Comprimento (m)]],tipoEstaca[#Headers],0))</f>
        <v>4</v>
      </c>
      <c r="AG150" s="5">
        <f ca="1">HC[[#This Row],[As,mín (cm²)]]/100^2*HC[[#This Row],[Comprimento (m)]]*7850</f>
        <v>24.661502330679877</v>
      </c>
      <c r="AH150" s="4">
        <f ca="1">HC[[#This Row],[nE]]*HC[[#This Row],[Prof. (m)]]*HC[[#This Row],[Ap (m²)]]</f>
        <v>15.707963267948966</v>
      </c>
      <c r="AI150" s="1">
        <f ca="1">IF(HC[[#This Row],[nE]]=1,0,MAX(3*HC[[#This Row],[Ø (cm)]],60))</f>
        <v>150</v>
      </c>
      <c r="AJ150" s="1">
        <f ca="1">IF(HC[[#This Row],[nE]]=1,HC[[#This Row],[Ø (cm)]]+2*10,MAX(1.5*HC[[#This Row],[Ø (cm)]],HC[[#This Row],[Ø (cm)]]+15))</f>
        <v>75</v>
      </c>
      <c r="AK150" s="1" t="str">
        <f ca="1">alturaUtil(HC[[#This Row],[nE]],HC[[#This Row],[Ø (cm)]],HC[[#This Row],[e (cm)]],HC[[#This Row],[ap,eq (cm)]])</f>
        <v>N.S.</v>
      </c>
      <c r="AL150" s="1" t="str">
        <f ca="1">IFERROR(HC[[#This Row],[d (cm)]]+arredondarParaCimaMultiplo5cm(MAX(5,SQRT(PI())/2*HC[[#This Row],[Ø (cm)]]/5)),"N.S.")</f>
        <v>N.S.</v>
      </c>
      <c r="AM150" s="5" t="str">
        <f ca="1">alpha(HC[[#This Row],[nE]],HC[[#This Row],[d (cm)]],HC[[#This Row],[e (cm)]],HC[[#This Row],[ap,eq (cm)]])</f>
        <v>N.S.</v>
      </c>
      <c r="AN150" s="35" t="str">
        <f ca="1">IFERROR(HC[[#This Row],[Nsd (kN)]]/(HC[[#This Row],[Ap (cm²)]]*SIN(HC[[#This Row],[α]])^2),"N.S.")</f>
        <v>N.S.</v>
      </c>
      <c r="AO150" s="35" t="str">
        <f ca="1">IFERROR(HC[[#This Row],[Nsd (kN)]]/(HC[[#This Row],[nE]]*PI()*HC[[#This Row],[Ø (cm)]]^2/4*SIN(HC[[#This Row],[α]])^2),"N.S.")</f>
        <v>N.S.</v>
      </c>
      <c r="AP150" s="4" t="str">
        <f ca="1">IFERROR(INDEX(grupoEstacas[],HC[[#This Row],[nE]],MATCH("coef. Blévot",grupoEstacas[#Headers],0)),"N.S.")</f>
        <v>N.S.</v>
      </c>
      <c r="AQ150" s="35" t="str">
        <f ca="1">IFERROR(HC[[#This Row],[coef. Blévot]]*0.9*INDEX(tipoEstaca[],MATCH($D$2,tipoEstaca[TIPO DE ESTACA],0),MATCH("fcd (kN/cm²)",tipoEstaca[#Headers],0)),"N.S.")</f>
        <v>N.S.</v>
      </c>
      <c r="AR150" s="1" t="str">
        <f ca="1">IF(AND(HC[[#This Row],[cd,b,pil (kN/cm²)]]&lt;=HC[[#This Row],[cd,b,lim (kN/cm²)]],HC[[#This Row],[cd,b,est (kN/cm²)]]&lt;=HC[[#This Row],[cd,b,lim (kN/cm²)]]),"OK","ERRO")</f>
        <v>OK</v>
      </c>
      <c r="AS150" s="4" t="str">
        <f ca="1">As_lado(HC[[#This Row],[nE]],HC[[#This Row],[Nsd (kN)]],HC[[#This Row],[d (cm)]],HC[[#This Row],[e (cm)]],HC[[#This Row],[ap,eq (cm)]])</f>
        <v>N.S.</v>
      </c>
      <c r="AT150" s="4" t="str">
        <f ca="1">IF(HC[[#This Row],[nE]]=1,HC[[#This Row],[As,lado (cm²)]],IF(HC[[#This Row],[nE]]=2,0.075*2*HC[a (cm)],"N.A."))</f>
        <v>N.A.</v>
      </c>
      <c r="AU150" s="4" t="str">
        <f ca="1">IFERROR(IF(HC[[#This Row],[nE]]=1,"N.A.",0.2*HC[[#This Row],[As,lado (cm²)]]),"N.S.")</f>
        <v>N.S.</v>
      </c>
      <c r="AV150" s="4" t="str">
        <f ca="1">As_malha(HC[[#This Row],[nE]],HC[[#This Row],[As,lado (cm²)]],HC[[#This Row],[Nsd (kN)]])</f>
        <v>N.S.</v>
      </c>
      <c r="AW150" s="4" t="str">
        <f ca="1">As_susp_tot(HC[[#This Row],[nE]],HC[[#This Row],[Nsd (kN)]])</f>
        <v>N.S.</v>
      </c>
      <c r="AX150" s="4" t="str">
        <f ca="1">Asp_face(HC[[#This Row],[nE]],HC[[#This Row],[As,lado (cm²)]])</f>
        <v>N.S.</v>
      </c>
      <c r="AY150" s="5" t="str">
        <f ca="1">acoBloco(HC[[#This Row],[nE]],HC[[#This Row],[e (cm)]],HC[[#This Row],[a (cm)]],HC[[#This Row],[h (cm)]],HC[[#This Row],[As,lado (cm²)]],HC[[#This Row],[Asp e Asw (cm²/m)]],HC[[#This Row],[As,sup (cm²)]],HC[[#This Row],[As,malha (cm²)]],HC[[#This Row],[As,susp,tot (cm²)]],HC[[#This Row],[Asp,face (cm²)]])</f>
        <v>N.S.</v>
      </c>
      <c r="AZ150" s="4" t="str">
        <f ca="1">concretoBloco(HC[[#This Row],[nE]],HC[[#This Row],[e (cm)]],HC[[#This Row],[a (cm)]],HC[[#This Row],[h (cm)]])</f>
        <v>N.S.</v>
      </c>
      <c r="BA150" s="5">
        <f ca="1">SUM(HC[[#This Row],[Aço Est (kg)]],HC[[#This Row],[Aço Bloco (kg)]])</f>
        <v>24.661502330679877</v>
      </c>
      <c r="BB150" s="4">
        <f>INDEX(composicoes[],MATCH(95580,composicoes[CÓDIGO],0),MATCH("CUSTO TOTAL",composicoes[#Headers],0))</f>
        <v>10.46</v>
      </c>
      <c r="BC150" s="4">
        <f ca="1">SUM(HC[[#This Row],[Conc Est (m³)]],HC[[#This Row],[Conc Bloco (m³)]])</f>
        <v>15.707963267948966</v>
      </c>
      <c r="BD150" s="4">
        <f>INDEX(composicoes[],MATCH(94966,composicoes[CÓDIGO],0),MATCH("CUSTO TOTAL",composicoes[#Headers],0))</f>
        <v>439.52</v>
      </c>
      <c r="BE150" s="38">
        <f ca="1">HC[[#This Row],[Aço (kg)]]*HC[[#This Row],[Aço (R$/kg)]]+HC[[#This Row],[Conc (m³)]]*HC[[#This Row],[Conc (R$/m³)]]</f>
        <v>7161.9233299078405</v>
      </c>
      <c r="BF150" s="4" t="str">
        <f ca="1">IF(COUNTIF(HC[#This Row],"N.S.")&gt;0,"lim.","OK")</f>
        <v>lim.</v>
      </c>
      <c r="BG150" s="4" t="str">
        <f>IF(HC[[#This Row],[Prof. (m)]]&lt;4,"lim.","OK")</f>
        <v>OK</v>
      </c>
      <c r="BH150" s="4" t="str">
        <f>IF(HC[[#This Row],[Prof. (m)]]&gt;=8*HC[[#This Row],[Ø (cm)]]/100,"OK","lim.")</f>
        <v>OK</v>
      </c>
      <c r="BI150" s="4" t="str">
        <f ca="1">IF(HC[[#This Row],[Verif. Biela]]="OK","OK","lim.")</f>
        <v>OK</v>
      </c>
      <c r="BJ150" s="4" t="str">
        <f ca="1">IF(COUNTA(HC[[#This Row],[Nº Est.]:[Biela comp.]])=COUNTIF(HC[[#This Row],[Nº Est.]:[Biela comp.]],"OK"),"OK","lim.")</f>
        <v>lim.</v>
      </c>
      <c r="BK150" s="4" t="str">
        <f ca="1">IF(HC[[#This Row],[Controle]]="OK",HC[[#This Row],[nE]]&amp;" Ø"&amp;HC[[#This Row],[Ø (cm)]]&amp;"cm Prof. "&amp;HC[[#This Row],[Prof. (m)]]&amp;" m","")</f>
        <v/>
      </c>
      <c r="BL150" s="4" t="str">
        <f ca="1">IF(HC[[#This Row],[idDimensionamento]]="","",HC[[#This Row],[idPilar]]&amp;HC[[#This Row],[idDimensionamento]])</f>
        <v/>
      </c>
    </row>
    <row r="151" spans="2:64" x14ac:dyDescent="0.25">
      <c r="B151" s="12">
        <f>ROUNDUP((ROW(HC[[#This Row],[idDiâmetro]])-ROW(HC[[#Headers],[idDiâmetro]]))/(COUNT(SPT[Prof. (m)])*COUNT(PILARES[Pilar])),0)</f>
        <v>6</v>
      </c>
      <c r="C151" s="12">
        <f>IF(HC[[#This Row],[idDiâmetro]]&lt;&gt;B150,1,IF(HC[[#This Row],[Prof. (m)]]=0,C150+1,C150))</f>
        <v>1</v>
      </c>
      <c r="D151" s="1">
        <f>IFERROR(IF(D150=MAX(SPT[Prof. (m)]),0,D150+1),0)</f>
        <v>6</v>
      </c>
      <c r="E151" s="1">
        <f>INDEX(SPT[],MATCH(HC[[#This Row],[Prof. (m)]],SPT[Prof. (m)],0),2)</f>
        <v>21</v>
      </c>
      <c r="F151" s="1" t="str">
        <f>INDEX(SPT[],MATCH(HC[[#This Row],[Prof. (m)]],SPT[Prof. (m)],0),3)</f>
        <v>Silte arenoso</v>
      </c>
      <c r="G151" s="1">
        <f>INDEX(estacas[],HC[[#This Row],[idDiâmetro]],MATCH($B$2,estacas[#Headers],0))</f>
        <v>50</v>
      </c>
      <c r="H151" s="1">
        <f>INDEX(estacas[],MATCH(HC[[#This Row],[Ø (cm)]],estacas[Ø HC (cm)],0),MATCH(HC[[#Headers],[Pe HC (kN)]],estacas[#Headers],0))</f>
        <v>1250</v>
      </c>
      <c r="I151" s="4">
        <f>INDEX(K_alpha_C[],MATCH(HC[[#This Row],[Solo]],K_alpha_C[Solo],0),2)</f>
        <v>0.55000000000000004</v>
      </c>
      <c r="J151" s="5">
        <f>INDEX(K_alpha_C[],MATCH(HC[[#This Row],[Solo]],K_alpha_C[Solo],0),3)</f>
        <v>2.2000000000000002</v>
      </c>
      <c r="K151" s="4">
        <f>INDEX(F1_F2[],MATCH($D$2,F1_F2[Tipo de estaca],0),2)</f>
        <v>2</v>
      </c>
      <c r="L151" s="4">
        <f>INDEX(F1_F2[],MATCH($D$2,F1_F2[Tipo de estaca],0),3)</f>
        <v>4</v>
      </c>
      <c r="M151" s="4">
        <f>PI()*(HC[[#This Row],[Ø (cm)]]/100)^2/4</f>
        <v>0.19634954084936207</v>
      </c>
      <c r="N151" s="4">
        <f>PI()*HC[[#This Row],[Ø (cm)]]/100</f>
        <v>1.5707963267948966</v>
      </c>
      <c r="O151" s="4">
        <f>IF(HC[[#This Row],[Prof. (m)]]=0,0,HC[[#This Row],[α (%)]]/100*HC[[#This Row],[K (MPa)]]*1000*HC[[#This Row],[NSPT]])</f>
        <v>254.10000000000002</v>
      </c>
      <c r="P151" s="4">
        <f>IF(HC[[#This Row],[Prof. (m)]]=0,0,(HC[[#This Row],[K (MPa)]]*1000*HC[[#This Row],[NSPT]]/HC[[#This Row],[F1]]*HC[[#This Row],[Ap (m²)]]+HC[[#This Row],[U (m)]]/HC[[#This Row],[F2]]*SUMIFS(HC[(α∙K∙NL∙ΔL)],HC[Prof. (m)],"&lt;="&amp;HC[[#This Row],[Prof. (m)]],HC[idDiâmetro],HC[[#This Row],[idDiâmetro]],HC[idPilar],HC[[#This Row],[idPilar]]))/'DADOS CAP. CARGA'!$D$2)</f>
        <v>720.52427510081907</v>
      </c>
      <c r="Q151" s="12">
        <f>INDEX(C_alpha_beta[],MATCH(HC[[#This Row],[Solo]],C_alpha_beta[Solo],0),MATCH(HC[[#Headers],[C (kPa)]],C_alpha_beta[#Headers],0))</f>
        <v>250</v>
      </c>
      <c r="R151" s="4">
        <f>INDEX(C_alpha_beta[],MATCH(HC[[#This Row],[Solo]],C_alpha_beta[Solo],0),MATCH(HC[[#Headers],[α ESF]],C_alpha_beta[#Headers],0))</f>
        <v>0.6</v>
      </c>
      <c r="S151" s="4">
        <f>INDEX(C_alpha_beta[],MATCH(HC[[#This Row],[Solo]],C_alpha_beta[Solo],0),MATCH(HC[[#Headers],[β ESF]],C_alpha_beta[#Headers],0))</f>
        <v>0.65</v>
      </c>
      <c r="T151" s="4">
        <f>IF(HC[[#This Row],[Prof. (m)]]=0,0,10*(HC[[#This Row],[NSPT]]/3+1))</f>
        <v>80</v>
      </c>
      <c r="U151" s="4">
        <f>(HC[[#This Row],[α ESF]]*HC[[#This Row],[C (kPa)]]*HC[[#This Row],[NSPT]]*HC[[#This Row],[Ap (m²)]])/'DADOS CAP. CARGA'!$Q$2+(HC[[#This Row],[β ESF]]*SUMIFS(HC[10∙(NL/3+1)],HC[Prof. (m)],"&lt;="&amp;HC[[#This Row],[Prof. (m)]],HC[idDiâmetro],HC[[#This Row],[idDiâmetro]],HC[idPilar],HC[[#This Row],[idPilar]])*HC[[#This Row],[U (m)]])/'DADOS CAP. CARGA'!$S$2</f>
        <v>277.14737690887455</v>
      </c>
      <c r="V151" s="4">
        <f>IF(SPT!$M$5=1,MIN(HC[[#This Row],[Pe HC (kN)]],HC[[#This Row],[R_AV (kN)]]),IF(SPT!$M$5=2,MIN(HC[[#This Row],[Pe HC (kN)]],HC[[#This Row],[R_DC (kN)]]),MIN(HC[[#This Row],[Pe HC (kN)]],HC[[#This Row],[R_AV (kN)]],HC[[#This Row],[R_DC (kN)]])))</f>
        <v>277.14737690887455</v>
      </c>
      <c r="W151" s="4">
        <f>INDEX(PILARES[],HC[[#This Row],[idPilar]],MATCH("Carga (kN)",PILARES[#Headers],0))*1.4</f>
        <v>3500</v>
      </c>
      <c r="X151" s="12">
        <f>INDEX(PILARES[],HC[[#This Row],[idPilar]],MATCH(HC[[#Headers],[ap (cm)]],PILARES[#Headers],0))</f>
        <v>60</v>
      </c>
      <c r="Y151" s="12">
        <f>INDEX(PILARES[],HC[[#This Row],[idPilar]],MATCH(HC[[#Headers],[bp (cm)]],PILARES[#Headers],0))</f>
        <v>60</v>
      </c>
      <c r="Z151" s="4">
        <f>SQRT(HC[[#This Row],[ap (cm)]]*HC[[#This Row],[bp (cm)]])</f>
        <v>60</v>
      </c>
      <c r="AA151" s="12">
        <f>HC[[#This Row],[ap (cm)]]*HC[[#This Row],[bp (cm)]]</f>
        <v>3600</v>
      </c>
      <c r="AB151" s="12">
        <f ca="1">IF(HC[[#This Row],[Padm∙ε (kN)]]&gt;=HC[[#This Row],[Padm (kN)]],ROUNDUP(1.05*HC[[#This Row],[Nsd (kN)]]/HC[[#This Row],[Padm (kN)]],0),ROUNDUP(1.05*HC[[#This Row],[Nsd (kN)]]/HC[[#This Row],[Padm (kN)]],0)+1)</f>
        <v>14</v>
      </c>
      <c r="AC151" s="4" t="str">
        <f ca="1">IFERROR(IF(HC[[#This Row],[nE]]=1,HC[[#This Row],[Padm (kN)]],HC[[#This Row],[Padm (kN)]]*HC[[#This Row],[nE]]*INDEX(grupoEstacas[],HC[[#This Row],[nE]],MATCH("ε",grupoEstacas[#Headers],0))),"N.S.")</f>
        <v>N.S.</v>
      </c>
      <c r="AD151" s="4">
        <f ca="1">1.05*HC[[#This Row],[Nsd (kN)]]/(HC[[#This Row],[nE]]*PI()*HC[[#This Row],[Ø (cm)]]^2/4)*10</f>
        <v>1.3369015219719209</v>
      </c>
      <c r="AE151" s="4">
        <f ca="1">IF(HC[[#This Row],[σ (MPa)]]&lt;INDEX(tipoEstaca[],MATCH($D$2,tipoEstaca[TIPO DE ESTACA],0),MATCH("σmáx (MPa)",tipoEstaca[#Headers],0)),0.4%*PI()*HC[[#This Row],[Ø (cm)]]^2/4,"N.S.")</f>
        <v>7.8539816339744837</v>
      </c>
      <c r="AF151" s="1">
        <f>INDEX(tipoEstaca[],MATCH($D$2,tipoEstaca[TIPO DE ESTACA],0),MATCH(HC[[#Headers],[Comprimento (m)]],tipoEstaca[#Headers],0))</f>
        <v>4</v>
      </c>
      <c r="AG151" s="5">
        <f ca="1">HC[[#This Row],[As,mín (cm²)]]/100^2*HC[[#This Row],[Comprimento (m)]]*7850</f>
        <v>24.661502330679877</v>
      </c>
      <c r="AH151" s="4">
        <f ca="1">HC[[#This Row],[nE]]*HC[[#This Row],[Prof. (m)]]*HC[[#This Row],[Ap (m²)]]</f>
        <v>16.493361431346415</v>
      </c>
      <c r="AI151" s="1">
        <f ca="1">IF(HC[[#This Row],[nE]]=1,0,MAX(3*HC[[#This Row],[Ø (cm)]],60))</f>
        <v>150</v>
      </c>
      <c r="AJ151" s="1">
        <f ca="1">IF(HC[[#This Row],[nE]]=1,HC[[#This Row],[Ø (cm)]]+2*10,MAX(1.5*HC[[#This Row],[Ø (cm)]],HC[[#This Row],[Ø (cm)]]+15))</f>
        <v>75</v>
      </c>
      <c r="AK151" s="1" t="str">
        <f ca="1">alturaUtil(HC[[#This Row],[nE]],HC[[#This Row],[Ø (cm)]],HC[[#This Row],[e (cm)]],HC[[#This Row],[ap,eq (cm)]])</f>
        <v>N.S.</v>
      </c>
      <c r="AL151" s="1" t="str">
        <f ca="1">IFERROR(HC[[#This Row],[d (cm)]]+arredondarParaCimaMultiplo5cm(MAX(5,SQRT(PI())/2*HC[[#This Row],[Ø (cm)]]/5)),"N.S.")</f>
        <v>N.S.</v>
      </c>
      <c r="AM151" s="5" t="str">
        <f ca="1">alpha(HC[[#This Row],[nE]],HC[[#This Row],[d (cm)]],HC[[#This Row],[e (cm)]],HC[[#This Row],[ap,eq (cm)]])</f>
        <v>N.S.</v>
      </c>
      <c r="AN151" s="35" t="str">
        <f ca="1">IFERROR(HC[[#This Row],[Nsd (kN)]]/(HC[[#This Row],[Ap (cm²)]]*SIN(HC[[#This Row],[α]])^2),"N.S.")</f>
        <v>N.S.</v>
      </c>
      <c r="AO151" s="35" t="str">
        <f ca="1">IFERROR(HC[[#This Row],[Nsd (kN)]]/(HC[[#This Row],[nE]]*PI()*HC[[#This Row],[Ø (cm)]]^2/4*SIN(HC[[#This Row],[α]])^2),"N.S.")</f>
        <v>N.S.</v>
      </c>
      <c r="AP151" s="4" t="str">
        <f ca="1">IFERROR(INDEX(grupoEstacas[],HC[[#This Row],[nE]],MATCH("coef. Blévot",grupoEstacas[#Headers],0)),"N.S.")</f>
        <v>N.S.</v>
      </c>
      <c r="AQ151" s="35" t="str">
        <f ca="1">IFERROR(HC[[#This Row],[coef. Blévot]]*0.9*INDEX(tipoEstaca[],MATCH($D$2,tipoEstaca[TIPO DE ESTACA],0),MATCH("fcd (kN/cm²)",tipoEstaca[#Headers],0)),"N.S.")</f>
        <v>N.S.</v>
      </c>
      <c r="AR151" s="1" t="str">
        <f ca="1">IF(AND(HC[[#This Row],[cd,b,pil (kN/cm²)]]&lt;=HC[[#This Row],[cd,b,lim (kN/cm²)]],HC[[#This Row],[cd,b,est (kN/cm²)]]&lt;=HC[[#This Row],[cd,b,lim (kN/cm²)]]),"OK","ERRO")</f>
        <v>OK</v>
      </c>
      <c r="AS151" s="4" t="str">
        <f ca="1">As_lado(HC[[#This Row],[nE]],HC[[#This Row],[Nsd (kN)]],HC[[#This Row],[d (cm)]],HC[[#This Row],[e (cm)]],HC[[#This Row],[ap,eq (cm)]])</f>
        <v>N.S.</v>
      </c>
      <c r="AT151" s="4" t="str">
        <f ca="1">IF(HC[[#This Row],[nE]]=1,HC[[#This Row],[As,lado (cm²)]],IF(HC[[#This Row],[nE]]=2,0.075*2*HC[a (cm)],"N.A."))</f>
        <v>N.A.</v>
      </c>
      <c r="AU151" s="4" t="str">
        <f ca="1">IFERROR(IF(HC[[#This Row],[nE]]=1,"N.A.",0.2*HC[[#This Row],[As,lado (cm²)]]),"N.S.")</f>
        <v>N.S.</v>
      </c>
      <c r="AV151" s="4" t="str">
        <f ca="1">As_malha(HC[[#This Row],[nE]],HC[[#This Row],[As,lado (cm²)]],HC[[#This Row],[Nsd (kN)]])</f>
        <v>N.S.</v>
      </c>
      <c r="AW151" s="4" t="str">
        <f ca="1">As_susp_tot(HC[[#This Row],[nE]],HC[[#This Row],[Nsd (kN)]])</f>
        <v>N.S.</v>
      </c>
      <c r="AX151" s="4" t="str">
        <f ca="1">Asp_face(HC[[#This Row],[nE]],HC[[#This Row],[As,lado (cm²)]])</f>
        <v>N.S.</v>
      </c>
      <c r="AY151" s="5" t="str">
        <f ca="1">acoBloco(HC[[#This Row],[nE]],HC[[#This Row],[e (cm)]],HC[[#This Row],[a (cm)]],HC[[#This Row],[h (cm)]],HC[[#This Row],[As,lado (cm²)]],HC[[#This Row],[Asp e Asw (cm²/m)]],HC[[#This Row],[As,sup (cm²)]],HC[[#This Row],[As,malha (cm²)]],HC[[#This Row],[As,susp,tot (cm²)]],HC[[#This Row],[Asp,face (cm²)]])</f>
        <v>N.S.</v>
      </c>
      <c r="AZ151" s="4" t="str">
        <f ca="1">concretoBloco(HC[[#This Row],[nE]],HC[[#This Row],[e (cm)]],HC[[#This Row],[a (cm)]],HC[[#This Row],[h (cm)]])</f>
        <v>N.S.</v>
      </c>
      <c r="BA151" s="5">
        <f ca="1">SUM(HC[[#This Row],[Aço Est (kg)]],HC[[#This Row],[Aço Bloco (kg)]])</f>
        <v>24.661502330679877</v>
      </c>
      <c r="BB151" s="4">
        <f>INDEX(composicoes[],MATCH(95580,composicoes[CÓDIGO],0),MATCH("CUSTO TOTAL",composicoes[#Headers],0))</f>
        <v>10.46</v>
      </c>
      <c r="BC151" s="4">
        <f ca="1">SUM(HC[[#This Row],[Conc Est (m³)]],HC[[#This Row],[Conc Bloco (m³)]])</f>
        <v>16.493361431346415</v>
      </c>
      <c r="BD151" s="4">
        <f>INDEX(composicoes[],MATCH(94966,composicoes[CÓDIGO],0),MATCH("CUSTO TOTAL",composicoes[#Headers],0))</f>
        <v>439.52</v>
      </c>
      <c r="BE151" s="38">
        <f ca="1">HC[[#This Row],[Aço (kg)]]*HC[[#This Row],[Aço (R$/kg)]]+HC[[#This Row],[Conc (m³)]]*HC[[#This Row],[Conc (R$/m³)]]</f>
        <v>7507.1215306842878</v>
      </c>
      <c r="BF151" s="4" t="str">
        <f ca="1">IF(COUNTIF(HC[#This Row],"N.S.")&gt;0,"lim.","OK")</f>
        <v>lim.</v>
      </c>
      <c r="BG151" s="4" t="str">
        <f>IF(HC[[#This Row],[Prof. (m)]]&lt;4,"lim.","OK")</f>
        <v>OK</v>
      </c>
      <c r="BH151" s="4" t="str">
        <f>IF(HC[[#This Row],[Prof. (m)]]&gt;=8*HC[[#This Row],[Ø (cm)]]/100,"OK","lim.")</f>
        <v>OK</v>
      </c>
      <c r="BI151" s="4" t="str">
        <f ca="1">IF(HC[[#This Row],[Verif. Biela]]="OK","OK","lim.")</f>
        <v>OK</v>
      </c>
      <c r="BJ151" s="4" t="str">
        <f ca="1">IF(COUNTA(HC[[#This Row],[Nº Est.]:[Biela comp.]])=COUNTIF(HC[[#This Row],[Nº Est.]:[Biela comp.]],"OK"),"OK","lim.")</f>
        <v>lim.</v>
      </c>
      <c r="BK151" s="4" t="str">
        <f ca="1">IF(HC[[#This Row],[Controle]]="OK",HC[[#This Row],[nE]]&amp;" Ø"&amp;HC[[#This Row],[Ø (cm)]]&amp;"cm Prof. "&amp;HC[[#This Row],[Prof. (m)]]&amp;" m","")</f>
        <v/>
      </c>
      <c r="BL151" s="4" t="str">
        <f ca="1">IF(HC[[#This Row],[idDimensionamento]]="","",HC[[#This Row],[idPilar]]&amp;HC[[#This Row],[idDimensionamento]])</f>
        <v/>
      </c>
    </row>
    <row r="152" spans="2:64" x14ac:dyDescent="0.25">
      <c r="B152" s="12">
        <f>ROUNDUP((ROW(HC[[#This Row],[idDiâmetro]])-ROW(HC[[#Headers],[idDiâmetro]]))/(COUNT(SPT[Prof. (m)])*COUNT(PILARES[Pilar])),0)</f>
        <v>6</v>
      </c>
      <c r="C152" s="12">
        <f>IF(HC[[#This Row],[idDiâmetro]]&lt;&gt;B151,1,IF(HC[[#This Row],[Prof. (m)]]=0,C151+1,C151))</f>
        <v>1</v>
      </c>
      <c r="D152" s="1">
        <f>IFERROR(IF(D151=MAX(SPT[Prof. (m)]),0,D151+1),0)</f>
        <v>7</v>
      </c>
      <c r="E152" s="1">
        <f>INDEX(SPT[],MATCH(HC[[#This Row],[Prof. (m)]],SPT[Prof. (m)],0),2)</f>
        <v>8</v>
      </c>
      <c r="F152" s="1" t="str">
        <f>INDEX(SPT[],MATCH(HC[[#This Row],[Prof. (m)]],SPT[Prof. (m)],0),3)</f>
        <v>Silte arenoso</v>
      </c>
      <c r="G152" s="1">
        <f>INDEX(estacas[],HC[[#This Row],[idDiâmetro]],MATCH($B$2,estacas[#Headers],0))</f>
        <v>50</v>
      </c>
      <c r="H152" s="1">
        <f>INDEX(estacas[],MATCH(HC[[#This Row],[Ø (cm)]],estacas[Ø HC (cm)],0),MATCH(HC[[#Headers],[Pe HC (kN)]],estacas[#Headers],0))</f>
        <v>1250</v>
      </c>
      <c r="I152" s="4">
        <f>INDEX(K_alpha_C[],MATCH(HC[[#This Row],[Solo]],K_alpha_C[Solo],0),2)</f>
        <v>0.55000000000000004</v>
      </c>
      <c r="J152" s="5">
        <f>INDEX(K_alpha_C[],MATCH(HC[[#This Row],[Solo]],K_alpha_C[Solo],0),3)</f>
        <v>2.2000000000000002</v>
      </c>
      <c r="K152" s="4">
        <f>INDEX(F1_F2[],MATCH($D$2,F1_F2[Tipo de estaca],0),2)</f>
        <v>2</v>
      </c>
      <c r="L152" s="4">
        <f>INDEX(F1_F2[],MATCH($D$2,F1_F2[Tipo de estaca],0),3)</f>
        <v>4</v>
      </c>
      <c r="M152" s="4">
        <f>PI()*(HC[[#This Row],[Ø (cm)]]/100)^2/4</f>
        <v>0.19634954084936207</v>
      </c>
      <c r="N152" s="4">
        <f>PI()*HC[[#This Row],[Ø (cm)]]/100</f>
        <v>1.5707963267948966</v>
      </c>
      <c r="O152" s="4">
        <f>IF(HC[[#This Row],[Prof. (m)]]=0,0,HC[[#This Row],[α (%)]]/100*HC[[#This Row],[K (MPa)]]*1000*HC[[#This Row],[NSPT]])</f>
        <v>96.800000000000011</v>
      </c>
      <c r="P152" s="4">
        <f>IF(HC[[#This Row],[Prof. (m)]]=0,0,(HC[[#This Row],[K (MPa)]]*1000*HC[[#This Row],[NSPT]]/HC[[#This Row],[F1]]*HC[[#This Row],[Ap (m²)]]+HC[[#This Row],[U (m)]]/HC[[#This Row],[F2]]*SUMIFS(HC[(α∙K∙NL∙ΔL)],HC[Prof. (m)],"&lt;="&amp;HC[[#This Row],[Prof. (m)]],HC[idDiâmetro],HC[[#This Row],[idDiâmetro]],HC[idPilar],HC[[#This Row],[idPilar]]))/'DADOS CAP. CARGA'!$D$2)</f>
        <v>388.55610638680264</v>
      </c>
      <c r="Q152" s="12">
        <f>INDEX(C_alpha_beta[],MATCH(HC[[#This Row],[Solo]],C_alpha_beta[Solo],0),MATCH(HC[[#Headers],[C (kPa)]],C_alpha_beta[#Headers],0))</f>
        <v>250</v>
      </c>
      <c r="R152" s="4">
        <f>INDEX(C_alpha_beta[],MATCH(HC[[#This Row],[Solo]],C_alpha_beta[Solo],0),MATCH(HC[[#Headers],[α ESF]],C_alpha_beta[#Headers],0))</f>
        <v>0.6</v>
      </c>
      <c r="S152" s="4">
        <f>INDEX(C_alpha_beta[],MATCH(HC[[#This Row],[Solo]],C_alpha_beta[Solo],0),MATCH(HC[[#Headers],[β ESF]],C_alpha_beta[#Headers],0))</f>
        <v>0.65</v>
      </c>
      <c r="T152" s="4">
        <f>IF(HC[[#This Row],[Prof. (m)]]=0,0,10*(HC[[#This Row],[NSPT]]/3+1))</f>
        <v>36.666666666666664</v>
      </c>
      <c r="U152" s="4">
        <f>(HC[[#This Row],[α ESF]]*HC[[#This Row],[C (kPa)]]*HC[[#This Row],[NSPT]]*HC[[#This Row],[Ap (m²)]])/'DADOS CAP. CARGA'!$Q$2+(HC[[#This Row],[β ESF]]*SUMIFS(HC[10∙(NL/3+1)],HC[Prof. (m)],"&lt;="&amp;HC[[#This Row],[Prof. (m)]],HC[idDiâmetro],HC[[#This Row],[idDiâmetro]],HC[idPilar],HC[[#This Row],[idPilar]])*HC[[#This Row],[U (m)]])/'DADOS CAP. CARGA'!$S$2</f>
        <v>200.14563197244973</v>
      </c>
      <c r="V152" s="4">
        <f>IF(SPT!$M$5=1,MIN(HC[[#This Row],[Pe HC (kN)]],HC[[#This Row],[R_AV (kN)]]),IF(SPT!$M$5=2,MIN(HC[[#This Row],[Pe HC (kN)]],HC[[#This Row],[R_DC (kN)]]),MIN(HC[[#This Row],[Pe HC (kN)]],HC[[#This Row],[R_AV (kN)]],HC[[#This Row],[R_DC (kN)]])))</f>
        <v>200.14563197244973</v>
      </c>
      <c r="W152" s="4">
        <f>INDEX(PILARES[],HC[[#This Row],[idPilar]],MATCH("Carga (kN)",PILARES[#Headers],0))*1.4</f>
        <v>3500</v>
      </c>
      <c r="X152" s="12">
        <f>INDEX(PILARES[],HC[[#This Row],[idPilar]],MATCH(HC[[#Headers],[ap (cm)]],PILARES[#Headers],0))</f>
        <v>60</v>
      </c>
      <c r="Y152" s="12">
        <f>INDEX(PILARES[],HC[[#This Row],[idPilar]],MATCH(HC[[#Headers],[bp (cm)]],PILARES[#Headers],0))</f>
        <v>60</v>
      </c>
      <c r="Z152" s="4">
        <f>SQRT(HC[[#This Row],[ap (cm)]]*HC[[#This Row],[bp (cm)]])</f>
        <v>60</v>
      </c>
      <c r="AA152" s="12">
        <f>HC[[#This Row],[ap (cm)]]*HC[[#This Row],[bp (cm)]]</f>
        <v>3600</v>
      </c>
      <c r="AB152" s="12">
        <f ca="1">IF(HC[[#This Row],[Padm∙ε (kN)]]&gt;=HC[[#This Row],[Padm (kN)]],ROUNDUP(1.05*HC[[#This Row],[Nsd (kN)]]/HC[[#This Row],[Padm (kN)]],0),ROUNDUP(1.05*HC[[#This Row],[Nsd (kN)]]/HC[[#This Row],[Padm (kN)]],0)+1)</f>
        <v>19</v>
      </c>
      <c r="AC152" s="4" t="str">
        <f ca="1">IFERROR(IF(HC[[#This Row],[nE]]=1,HC[[#This Row],[Padm (kN)]],HC[[#This Row],[Padm (kN)]]*HC[[#This Row],[nE]]*INDEX(grupoEstacas[],HC[[#This Row],[nE]],MATCH("ε",grupoEstacas[#Headers],0))),"N.S.")</f>
        <v>N.S.</v>
      </c>
      <c r="AD152" s="4">
        <f ca="1">1.05*HC[[#This Row],[Nsd (kN)]]/(HC[[#This Row],[nE]]*PI()*HC[[#This Row],[Ø (cm)]]^2/4)*10</f>
        <v>0.98508533197931014</v>
      </c>
      <c r="AE152" s="4">
        <f ca="1">IF(HC[[#This Row],[σ (MPa)]]&lt;INDEX(tipoEstaca[],MATCH($D$2,tipoEstaca[TIPO DE ESTACA],0),MATCH("σmáx (MPa)",tipoEstaca[#Headers],0)),0.4%*PI()*HC[[#This Row],[Ø (cm)]]^2/4,"N.S.")</f>
        <v>7.8539816339744837</v>
      </c>
      <c r="AF152" s="1">
        <f>INDEX(tipoEstaca[],MATCH($D$2,tipoEstaca[TIPO DE ESTACA],0),MATCH(HC[[#Headers],[Comprimento (m)]],tipoEstaca[#Headers],0))</f>
        <v>4</v>
      </c>
      <c r="AG152" s="5">
        <f ca="1">HC[[#This Row],[As,mín (cm²)]]/100^2*HC[[#This Row],[Comprimento (m)]]*7850</f>
        <v>24.661502330679877</v>
      </c>
      <c r="AH152" s="4">
        <f ca="1">HC[[#This Row],[nE]]*HC[[#This Row],[Prof. (m)]]*HC[[#This Row],[Ap (m²)]]</f>
        <v>26.114488932965155</v>
      </c>
      <c r="AI152" s="1">
        <f ca="1">IF(HC[[#This Row],[nE]]=1,0,MAX(3*HC[[#This Row],[Ø (cm)]],60))</f>
        <v>150</v>
      </c>
      <c r="AJ152" s="1">
        <f ca="1">IF(HC[[#This Row],[nE]]=1,HC[[#This Row],[Ø (cm)]]+2*10,MAX(1.5*HC[[#This Row],[Ø (cm)]],HC[[#This Row],[Ø (cm)]]+15))</f>
        <v>75</v>
      </c>
      <c r="AK152" s="1" t="str">
        <f ca="1">alturaUtil(HC[[#This Row],[nE]],HC[[#This Row],[Ø (cm)]],HC[[#This Row],[e (cm)]],HC[[#This Row],[ap,eq (cm)]])</f>
        <v>N.S.</v>
      </c>
      <c r="AL152" s="1" t="str">
        <f ca="1">IFERROR(HC[[#This Row],[d (cm)]]+arredondarParaCimaMultiplo5cm(MAX(5,SQRT(PI())/2*HC[[#This Row],[Ø (cm)]]/5)),"N.S.")</f>
        <v>N.S.</v>
      </c>
      <c r="AM152" s="5" t="str">
        <f ca="1">alpha(HC[[#This Row],[nE]],HC[[#This Row],[d (cm)]],HC[[#This Row],[e (cm)]],HC[[#This Row],[ap,eq (cm)]])</f>
        <v>N.S.</v>
      </c>
      <c r="AN152" s="35" t="str">
        <f ca="1">IFERROR(HC[[#This Row],[Nsd (kN)]]/(HC[[#This Row],[Ap (cm²)]]*SIN(HC[[#This Row],[α]])^2),"N.S.")</f>
        <v>N.S.</v>
      </c>
      <c r="AO152" s="35" t="str">
        <f ca="1">IFERROR(HC[[#This Row],[Nsd (kN)]]/(HC[[#This Row],[nE]]*PI()*HC[[#This Row],[Ø (cm)]]^2/4*SIN(HC[[#This Row],[α]])^2),"N.S.")</f>
        <v>N.S.</v>
      </c>
      <c r="AP152" s="4" t="str">
        <f ca="1">IFERROR(INDEX(grupoEstacas[],HC[[#This Row],[nE]],MATCH("coef. Blévot",grupoEstacas[#Headers],0)),"N.S.")</f>
        <v>N.S.</v>
      </c>
      <c r="AQ152" s="35" t="str">
        <f ca="1">IFERROR(HC[[#This Row],[coef. Blévot]]*0.9*INDEX(tipoEstaca[],MATCH($D$2,tipoEstaca[TIPO DE ESTACA],0),MATCH("fcd (kN/cm²)",tipoEstaca[#Headers],0)),"N.S.")</f>
        <v>N.S.</v>
      </c>
      <c r="AR152" s="1" t="str">
        <f ca="1">IF(AND(HC[[#This Row],[cd,b,pil (kN/cm²)]]&lt;=HC[[#This Row],[cd,b,lim (kN/cm²)]],HC[[#This Row],[cd,b,est (kN/cm²)]]&lt;=HC[[#This Row],[cd,b,lim (kN/cm²)]]),"OK","ERRO")</f>
        <v>OK</v>
      </c>
      <c r="AS152" s="4" t="str">
        <f ca="1">As_lado(HC[[#This Row],[nE]],HC[[#This Row],[Nsd (kN)]],HC[[#This Row],[d (cm)]],HC[[#This Row],[e (cm)]],HC[[#This Row],[ap,eq (cm)]])</f>
        <v>N.S.</v>
      </c>
      <c r="AT152" s="4" t="str">
        <f ca="1">IF(HC[[#This Row],[nE]]=1,HC[[#This Row],[As,lado (cm²)]],IF(HC[[#This Row],[nE]]=2,0.075*2*HC[a (cm)],"N.A."))</f>
        <v>N.A.</v>
      </c>
      <c r="AU152" s="4" t="str">
        <f ca="1">IFERROR(IF(HC[[#This Row],[nE]]=1,"N.A.",0.2*HC[[#This Row],[As,lado (cm²)]]),"N.S.")</f>
        <v>N.S.</v>
      </c>
      <c r="AV152" s="4" t="str">
        <f ca="1">As_malha(HC[[#This Row],[nE]],HC[[#This Row],[As,lado (cm²)]],HC[[#This Row],[Nsd (kN)]])</f>
        <v>N.S.</v>
      </c>
      <c r="AW152" s="4" t="str">
        <f ca="1">As_susp_tot(HC[[#This Row],[nE]],HC[[#This Row],[Nsd (kN)]])</f>
        <v>N.S.</v>
      </c>
      <c r="AX152" s="4" t="str">
        <f ca="1">Asp_face(HC[[#This Row],[nE]],HC[[#This Row],[As,lado (cm²)]])</f>
        <v>N.S.</v>
      </c>
      <c r="AY152" s="5" t="str">
        <f ca="1">acoBloco(HC[[#This Row],[nE]],HC[[#This Row],[e (cm)]],HC[[#This Row],[a (cm)]],HC[[#This Row],[h (cm)]],HC[[#This Row],[As,lado (cm²)]],HC[[#This Row],[Asp e Asw (cm²/m)]],HC[[#This Row],[As,sup (cm²)]],HC[[#This Row],[As,malha (cm²)]],HC[[#This Row],[As,susp,tot (cm²)]],HC[[#This Row],[Asp,face (cm²)]])</f>
        <v>N.S.</v>
      </c>
      <c r="AZ152" s="4" t="str">
        <f ca="1">concretoBloco(HC[[#This Row],[nE]],HC[[#This Row],[e (cm)]],HC[[#This Row],[a (cm)]],HC[[#This Row],[h (cm)]])</f>
        <v>N.S.</v>
      </c>
      <c r="BA152" s="5">
        <f ca="1">SUM(HC[[#This Row],[Aço Est (kg)]],HC[[#This Row],[Aço Bloco (kg)]])</f>
        <v>24.661502330679877</v>
      </c>
      <c r="BB152" s="4">
        <f>INDEX(composicoes[],MATCH(95580,composicoes[CÓDIGO],0),MATCH("CUSTO TOTAL",composicoes[#Headers],0))</f>
        <v>10.46</v>
      </c>
      <c r="BC152" s="4">
        <f ca="1">SUM(HC[[#This Row],[Conc Est (m³)]],HC[[#This Row],[Conc Bloco (m³)]])</f>
        <v>26.114488932965155</v>
      </c>
      <c r="BD152" s="4">
        <f>INDEX(composicoes[],MATCH(94966,composicoes[CÓDIGO],0),MATCH("CUSTO TOTAL",composicoes[#Headers],0))</f>
        <v>439.52</v>
      </c>
      <c r="BE152" s="38">
        <f ca="1">HC[[#This Row],[Aço (kg)]]*HC[[#This Row],[Aço (R$/kg)]]+HC[[#This Row],[Conc (m³)]]*HC[[#This Row],[Conc (R$/m³)]]</f>
        <v>11735.799490195755</v>
      </c>
      <c r="BF152" s="4" t="str">
        <f ca="1">IF(COUNTIF(HC[#This Row],"N.S.")&gt;0,"lim.","OK")</f>
        <v>lim.</v>
      </c>
      <c r="BG152" s="4" t="str">
        <f>IF(HC[[#This Row],[Prof. (m)]]&lt;4,"lim.","OK")</f>
        <v>OK</v>
      </c>
      <c r="BH152" s="4" t="str">
        <f>IF(HC[[#This Row],[Prof. (m)]]&gt;=8*HC[[#This Row],[Ø (cm)]]/100,"OK","lim.")</f>
        <v>OK</v>
      </c>
      <c r="BI152" s="4" t="str">
        <f ca="1">IF(HC[[#This Row],[Verif. Biela]]="OK","OK","lim.")</f>
        <v>OK</v>
      </c>
      <c r="BJ152" s="4" t="str">
        <f ca="1">IF(COUNTA(HC[[#This Row],[Nº Est.]:[Biela comp.]])=COUNTIF(HC[[#This Row],[Nº Est.]:[Biela comp.]],"OK"),"OK","lim.")</f>
        <v>lim.</v>
      </c>
      <c r="BK152" s="4" t="str">
        <f ca="1">IF(HC[[#This Row],[Controle]]="OK",HC[[#This Row],[nE]]&amp;" Ø"&amp;HC[[#This Row],[Ø (cm)]]&amp;"cm Prof. "&amp;HC[[#This Row],[Prof. (m)]]&amp;" m","")</f>
        <v/>
      </c>
      <c r="BL152" s="4" t="str">
        <f ca="1">IF(HC[[#This Row],[idDimensionamento]]="","",HC[[#This Row],[idPilar]]&amp;HC[[#This Row],[idDimensionamento]])</f>
        <v/>
      </c>
    </row>
    <row r="153" spans="2:64" x14ac:dyDescent="0.25">
      <c r="B153" s="12">
        <f>ROUNDUP((ROW(HC[[#This Row],[idDiâmetro]])-ROW(HC[[#Headers],[idDiâmetro]]))/(COUNT(SPT[Prof. (m)])*COUNT(PILARES[Pilar])),0)</f>
        <v>6</v>
      </c>
      <c r="C153" s="12">
        <f>IF(HC[[#This Row],[idDiâmetro]]&lt;&gt;B152,1,IF(HC[[#This Row],[Prof. (m)]]=0,C152+1,C152))</f>
        <v>1</v>
      </c>
      <c r="D153" s="1">
        <f>IFERROR(IF(D152=MAX(SPT[Prof. (m)]),0,D152+1),0)</f>
        <v>8</v>
      </c>
      <c r="E153" s="1">
        <f>INDEX(SPT[],MATCH(HC[[#This Row],[Prof. (m)]],SPT[Prof. (m)],0),2)</f>
        <v>10</v>
      </c>
      <c r="F153" s="1" t="str">
        <f>INDEX(SPT[],MATCH(HC[[#This Row],[Prof. (m)]],SPT[Prof. (m)],0),3)</f>
        <v>Silte arenoso</v>
      </c>
      <c r="G153" s="1">
        <f>INDEX(estacas[],HC[[#This Row],[idDiâmetro]],MATCH($B$2,estacas[#Headers],0))</f>
        <v>50</v>
      </c>
      <c r="H153" s="1">
        <f>INDEX(estacas[],MATCH(HC[[#This Row],[Ø (cm)]],estacas[Ø HC (cm)],0),MATCH(HC[[#Headers],[Pe HC (kN)]],estacas[#Headers],0))</f>
        <v>1250</v>
      </c>
      <c r="I153" s="4">
        <f>INDEX(K_alpha_C[],MATCH(HC[[#This Row],[Solo]],K_alpha_C[Solo],0),2)</f>
        <v>0.55000000000000004</v>
      </c>
      <c r="J153" s="5">
        <f>INDEX(K_alpha_C[],MATCH(HC[[#This Row],[Solo]],K_alpha_C[Solo],0),3)</f>
        <v>2.2000000000000002</v>
      </c>
      <c r="K153" s="4">
        <f>INDEX(F1_F2[],MATCH($D$2,F1_F2[Tipo de estaca],0),2)</f>
        <v>2</v>
      </c>
      <c r="L153" s="4">
        <f>INDEX(F1_F2[],MATCH($D$2,F1_F2[Tipo de estaca],0),3)</f>
        <v>4</v>
      </c>
      <c r="M153" s="4">
        <f>PI()*(HC[[#This Row],[Ø (cm)]]/100)^2/4</f>
        <v>0.19634954084936207</v>
      </c>
      <c r="N153" s="4">
        <f>PI()*HC[[#This Row],[Ø (cm)]]/100</f>
        <v>1.5707963267948966</v>
      </c>
      <c r="O153" s="4">
        <f>IF(HC[[#This Row],[Prof. (m)]]=0,0,HC[[#This Row],[α (%)]]/100*HC[[#This Row],[K (MPa)]]*1000*HC[[#This Row],[NSPT]])</f>
        <v>121.00000000000001</v>
      </c>
      <c r="P153" s="4">
        <f>IF(HC[[#This Row],[Prof. (m)]]=0,0,(HC[[#This Row],[K (MPa)]]*1000*HC[[#This Row],[NSPT]]/HC[[#This Row],[F1]]*HC[[#This Row],[Ap (m²)]]+HC[[#This Row],[U (m)]]/HC[[#This Row],[F2]]*SUMIFS(HC[(α∙K∙NL∙ΔL)],HC[Prof. (m)],"&lt;="&amp;HC[[#This Row],[Prof. (m)]],HC[idDiâmetro],HC[[#This Row],[idDiâmetro]],HC[idPilar],HC[[#This Row],[idPilar]]))/'DADOS CAP. CARGA'!$D$2)</f>
        <v>466.31052456315001</v>
      </c>
      <c r="Q153" s="12">
        <f>INDEX(C_alpha_beta[],MATCH(HC[[#This Row],[Solo]],C_alpha_beta[Solo],0),MATCH(HC[[#Headers],[C (kPa)]],C_alpha_beta[#Headers],0))</f>
        <v>250</v>
      </c>
      <c r="R153" s="4">
        <f>INDEX(C_alpha_beta[],MATCH(HC[[#This Row],[Solo]],C_alpha_beta[Solo],0),MATCH(HC[[#Headers],[α ESF]],C_alpha_beta[#Headers],0))</f>
        <v>0.6</v>
      </c>
      <c r="S153" s="4">
        <f>INDEX(C_alpha_beta[],MATCH(HC[[#This Row],[Solo]],C_alpha_beta[Solo],0),MATCH(HC[[#Headers],[β ESF]],C_alpha_beta[#Headers],0))</f>
        <v>0.65</v>
      </c>
      <c r="T153" s="4">
        <f>IF(HC[[#This Row],[Prof. (m)]]=0,0,10*(HC[[#This Row],[NSPT]]/3+1))</f>
        <v>43.333333333333343</v>
      </c>
      <c r="U153" s="4">
        <f>(HC[[#This Row],[α ESF]]*HC[[#This Row],[C (kPa)]]*HC[[#This Row],[NSPT]]*HC[[#This Row],[Ap (m²)]])/'DADOS CAP. CARGA'!$Q$2+(HC[[#This Row],[β ESF]]*SUMIFS(HC[10∙(NL/3+1)],HC[Prof. (m)],"&lt;="&amp;HC[[#This Row],[Prof. (m)]],HC[idDiâmetro],HC[[#This Row],[idDiâmetro]],HC[idPilar],HC[[#This Row],[idPilar]])*HC[[#This Row],[U (m)]])/'DADOS CAP. CARGA'!$S$2</f>
        <v>236.99389580518005</v>
      </c>
      <c r="V153" s="4">
        <f>IF(SPT!$M$5=1,MIN(HC[[#This Row],[Pe HC (kN)]],HC[[#This Row],[R_AV (kN)]]),IF(SPT!$M$5=2,MIN(HC[[#This Row],[Pe HC (kN)]],HC[[#This Row],[R_DC (kN)]]),MIN(HC[[#This Row],[Pe HC (kN)]],HC[[#This Row],[R_AV (kN)]],HC[[#This Row],[R_DC (kN)]])))</f>
        <v>236.99389580518005</v>
      </c>
      <c r="W153" s="4">
        <f>INDEX(PILARES[],HC[[#This Row],[idPilar]],MATCH("Carga (kN)",PILARES[#Headers],0))*1.4</f>
        <v>3500</v>
      </c>
      <c r="X153" s="12">
        <f>INDEX(PILARES[],HC[[#This Row],[idPilar]],MATCH(HC[[#Headers],[ap (cm)]],PILARES[#Headers],0))</f>
        <v>60</v>
      </c>
      <c r="Y153" s="12">
        <f>INDEX(PILARES[],HC[[#This Row],[idPilar]],MATCH(HC[[#Headers],[bp (cm)]],PILARES[#Headers],0))</f>
        <v>60</v>
      </c>
      <c r="Z153" s="4">
        <f>SQRT(HC[[#This Row],[ap (cm)]]*HC[[#This Row],[bp (cm)]])</f>
        <v>60</v>
      </c>
      <c r="AA153" s="12">
        <f>HC[[#This Row],[ap (cm)]]*HC[[#This Row],[bp (cm)]]</f>
        <v>3600</v>
      </c>
      <c r="AB153" s="12">
        <f ca="1">IF(HC[[#This Row],[Padm∙ε (kN)]]&gt;=HC[[#This Row],[Padm (kN)]],ROUNDUP(1.05*HC[[#This Row],[Nsd (kN)]]/HC[[#This Row],[Padm (kN)]],0),ROUNDUP(1.05*HC[[#This Row],[Nsd (kN)]]/HC[[#This Row],[Padm (kN)]],0)+1)</f>
        <v>16</v>
      </c>
      <c r="AC153" s="4" t="str">
        <f ca="1">IFERROR(IF(HC[[#This Row],[nE]]=1,HC[[#This Row],[Padm (kN)]],HC[[#This Row],[Padm (kN)]]*HC[[#This Row],[nE]]*INDEX(grupoEstacas[],HC[[#This Row],[nE]],MATCH("ε",grupoEstacas[#Headers],0))),"N.S.")</f>
        <v>N.S.</v>
      </c>
      <c r="AD153" s="4">
        <f ca="1">1.05*HC[[#This Row],[Nsd (kN)]]/(HC[[#This Row],[nE]]*PI()*HC[[#This Row],[Ø (cm)]]^2/4)*10</f>
        <v>1.1697888317254308</v>
      </c>
      <c r="AE153" s="4">
        <f ca="1">IF(HC[[#This Row],[σ (MPa)]]&lt;INDEX(tipoEstaca[],MATCH($D$2,tipoEstaca[TIPO DE ESTACA],0),MATCH("σmáx (MPa)",tipoEstaca[#Headers],0)),0.4%*PI()*HC[[#This Row],[Ø (cm)]]^2/4,"N.S.")</f>
        <v>7.8539816339744837</v>
      </c>
      <c r="AF153" s="1">
        <f>INDEX(tipoEstaca[],MATCH($D$2,tipoEstaca[TIPO DE ESTACA],0),MATCH(HC[[#Headers],[Comprimento (m)]],tipoEstaca[#Headers],0))</f>
        <v>4</v>
      </c>
      <c r="AG153" s="5">
        <f ca="1">HC[[#This Row],[As,mín (cm²)]]/100^2*HC[[#This Row],[Comprimento (m)]]*7850</f>
        <v>24.661502330679877</v>
      </c>
      <c r="AH153" s="4">
        <f ca="1">HC[[#This Row],[nE]]*HC[[#This Row],[Prof. (m)]]*HC[[#This Row],[Ap (m²)]]</f>
        <v>25.132741228718345</v>
      </c>
      <c r="AI153" s="1">
        <f ca="1">IF(HC[[#This Row],[nE]]=1,0,MAX(3*HC[[#This Row],[Ø (cm)]],60))</f>
        <v>150</v>
      </c>
      <c r="AJ153" s="1">
        <f ca="1">IF(HC[[#This Row],[nE]]=1,HC[[#This Row],[Ø (cm)]]+2*10,MAX(1.5*HC[[#This Row],[Ø (cm)]],HC[[#This Row],[Ø (cm)]]+15))</f>
        <v>75</v>
      </c>
      <c r="AK153" s="1" t="str">
        <f ca="1">alturaUtil(HC[[#This Row],[nE]],HC[[#This Row],[Ø (cm)]],HC[[#This Row],[e (cm)]],HC[[#This Row],[ap,eq (cm)]])</f>
        <v>N.S.</v>
      </c>
      <c r="AL153" s="1" t="str">
        <f ca="1">IFERROR(HC[[#This Row],[d (cm)]]+arredondarParaCimaMultiplo5cm(MAX(5,SQRT(PI())/2*HC[[#This Row],[Ø (cm)]]/5)),"N.S.")</f>
        <v>N.S.</v>
      </c>
      <c r="AM153" s="5" t="str">
        <f ca="1">alpha(HC[[#This Row],[nE]],HC[[#This Row],[d (cm)]],HC[[#This Row],[e (cm)]],HC[[#This Row],[ap,eq (cm)]])</f>
        <v>N.S.</v>
      </c>
      <c r="AN153" s="35" t="str">
        <f ca="1">IFERROR(HC[[#This Row],[Nsd (kN)]]/(HC[[#This Row],[Ap (cm²)]]*SIN(HC[[#This Row],[α]])^2),"N.S.")</f>
        <v>N.S.</v>
      </c>
      <c r="AO153" s="35" t="str">
        <f ca="1">IFERROR(HC[[#This Row],[Nsd (kN)]]/(HC[[#This Row],[nE]]*PI()*HC[[#This Row],[Ø (cm)]]^2/4*SIN(HC[[#This Row],[α]])^2),"N.S.")</f>
        <v>N.S.</v>
      </c>
      <c r="AP153" s="4" t="str">
        <f ca="1">IFERROR(INDEX(grupoEstacas[],HC[[#This Row],[nE]],MATCH("coef. Blévot",grupoEstacas[#Headers],0)),"N.S.")</f>
        <v>N.S.</v>
      </c>
      <c r="AQ153" s="35" t="str">
        <f ca="1">IFERROR(HC[[#This Row],[coef. Blévot]]*0.9*INDEX(tipoEstaca[],MATCH($D$2,tipoEstaca[TIPO DE ESTACA],0),MATCH("fcd (kN/cm²)",tipoEstaca[#Headers],0)),"N.S.")</f>
        <v>N.S.</v>
      </c>
      <c r="AR153" s="1" t="str">
        <f ca="1">IF(AND(HC[[#This Row],[cd,b,pil (kN/cm²)]]&lt;=HC[[#This Row],[cd,b,lim (kN/cm²)]],HC[[#This Row],[cd,b,est (kN/cm²)]]&lt;=HC[[#This Row],[cd,b,lim (kN/cm²)]]),"OK","ERRO")</f>
        <v>OK</v>
      </c>
      <c r="AS153" s="4" t="str">
        <f ca="1">As_lado(HC[[#This Row],[nE]],HC[[#This Row],[Nsd (kN)]],HC[[#This Row],[d (cm)]],HC[[#This Row],[e (cm)]],HC[[#This Row],[ap,eq (cm)]])</f>
        <v>N.S.</v>
      </c>
      <c r="AT153" s="4" t="str">
        <f ca="1">IF(HC[[#This Row],[nE]]=1,HC[[#This Row],[As,lado (cm²)]],IF(HC[[#This Row],[nE]]=2,0.075*2*HC[a (cm)],"N.A."))</f>
        <v>N.A.</v>
      </c>
      <c r="AU153" s="4" t="str">
        <f ca="1">IFERROR(IF(HC[[#This Row],[nE]]=1,"N.A.",0.2*HC[[#This Row],[As,lado (cm²)]]),"N.S.")</f>
        <v>N.S.</v>
      </c>
      <c r="AV153" s="4" t="str">
        <f ca="1">As_malha(HC[[#This Row],[nE]],HC[[#This Row],[As,lado (cm²)]],HC[[#This Row],[Nsd (kN)]])</f>
        <v>N.S.</v>
      </c>
      <c r="AW153" s="4" t="str">
        <f ca="1">As_susp_tot(HC[[#This Row],[nE]],HC[[#This Row],[Nsd (kN)]])</f>
        <v>N.S.</v>
      </c>
      <c r="AX153" s="4" t="str">
        <f ca="1">Asp_face(HC[[#This Row],[nE]],HC[[#This Row],[As,lado (cm²)]])</f>
        <v>N.S.</v>
      </c>
      <c r="AY153" s="5" t="str">
        <f ca="1">acoBloco(HC[[#This Row],[nE]],HC[[#This Row],[e (cm)]],HC[[#This Row],[a (cm)]],HC[[#This Row],[h (cm)]],HC[[#This Row],[As,lado (cm²)]],HC[[#This Row],[Asp e Asw (cm²/m)]],HC[[#This Row],[As,sup (cm²)]],HC[[#This Row],[As,malha (cm²)]],HC[[#This Row],[As,susp,tot (cm²)]],HC[[#This Row],[Asp,face (cm²)]])</f>
        <v>N.S.</v>
      </c>
      <c r="AZ153" s="4" t="str">
        <f ca="1">concretoBloco(HC[[#This Row],[nE]],HC[[#This Row],[e (cm)]],HC[[#This Row],[a (cm)]],HC[[#This Row],[h (cm)]])</f>
        <v>N.S.</v>
      </c>
      <c r="BA153" s="5">
        <f ca="1">SUM(HC[[#This Row],[Aço Est (kg)]],HC[[#This Row],[Aço Bloco (kg)]])</f>
        <v>24.661502330679877</v>
      </c>
      <c r="BB153" s="4">
        <f>INDEX(composicoes[],MATCH(95580,composicoes[CÓDIGO],0),MATCH("CUSTO TOTAL",composicoes[#Headers],0))</f>
        <v>10.46</v>
      </c>
      <c r="BC153" s="4">
        <f ca="1">SUM(HC[[#This Row],[Conc Est (m³)]],HC[[#This Row],[Conc Bloco (m³)]])</f>
        <v>25.132741228718345</v>
      </c>
      <c r="BD153" s="4">
        <f>INDEX(composicoes[],MATCH(94966,composicoes[CÓDIGO],0),MATCH("CUSTO TOTAL",composicoes[#Headers],0))</f>
        <v>439.52</v>
      </c>
      <c r="BE153" s="38">
        <f ca="1">HC[[#This Row],[Aço (kg)]]*HC[[#This Row],[Aço (R$/kg)]]+HC[[#This Row],[Conc (m³)]]*HC[[#This Row],[Conc (R$/m³)]]</f>
        <v>11304.301739225199</v>
      </c>
      <c r="BF153" s="4" t="str">
        <f ca="1">IF(COUNTIF(HC[#This Row],"N.S.")&gt;0,"lim.","OK")</f>
        <v>lim.</v>
      </c>
      <c r="BG153" s="4" t="str">
        <f>IF(HC[[#This Row],[Prof. (m)]]&lt;4,"lim.","OK")</f>
        <v>OK</v>
      </c>
      <c r="BH153" s="4" t="str">
        <f>IF(HC[[#This Row],[Prof. (m)]]&gt;=8*HC[[#This Row],[Ø (cm)]]/100,"OK","lim.")</f>
        <v>OK</v>
      </c>
      <c r="BI153" s="4" t="str">
        <f ca="1">IF(HC[[#This Row],[Verif. Biela]]="OK","OK","lim.")</f>
        <v>OK</v>
      </c>
      <c r="BJ153" s="4" t="str">
        <f ca="1">IF(COUNTA(HC[[#This Row],[Nº Est.]:[Biela comp.]])=COUNTIF(HC[[#This Row],[Nº Est.]:[Biela comp.]],"OK"),"OK","lim.")</f>
        <v>lim.</v>
      </c>
      <c r="BK153" s="4" t="str">
        <f ca="1">IF(HC[[#This Row],[Controle]]="OK",HC[[#This Row],[nE]]&amp;" Ø"&amp;HC[[#This Row],[Ø (cm)]]&amp;"cm Prof. "&amp;HC[[#This Row],[Prof. (m)]]&amp;" m","")</f>
        <v/>
      </c>
      <c r="BL153" s="4" t="str">
        <f ca="1">IF(HC[[#This Row],[idDimensionamento]]="","",HC[[#This Row],[idPilar]]&amp;HC[[#This Row],[idDimensionamento]])</f>
        <v/>
      </c>
    </row>
    <row r="154" spans="2:64" x14ac:dyDescent="0.25">
      <c r="B154" s="12">
        <f>ROUNDUP((ROW(HC[[#This Row],[idDiâmetro]])-ROW(HC[[#Headers],[idDiâmetro]]))/(COUNT(SPT[Prof. (m)])*COUNT(PILARES[Pilar])),0)</f>
        <v>6</v>
      </c>
      <c r="C154" s="12">
        <f>IF(HC[[#This Row],[idDiâmetro]]&lt;&gt;B153,1,IF(HC[[#This Row],[Prof. (m)]]=0,C153+1,C153))</f>
        <v>1</v>
      </c>
      <c r="D154" s="1">
        <f>IFERROR(IF(D153=MAX(SPT[Prof. (m)]),0,D153+1),0)</f>
        <v>9</v>
      </c>
      <c r="E154" s="1">
        <f>INDEX(SPT[],MATCH(HC[[#This Row],[Prof. (m)]],SPT[Prof. (m)],0),2)</f>
        <v>26</v>
      </c>
      <c r="F154" s="1" t="str">
        <f>INDEX(SPT[],MATCH(HC[[#This Row],[Prof. (m)]],SPT[Prof. (m)],0),3)</f>
        <v>Areia siltosa</v>
      </c>
      <c r="G154" s="1">
        <f>INDEX(estacas[],HC[[#This Row],[idDiâmetro]],MATCH($B$2,estacas[#Headers],0))</f>
        <v>50</v>
      </c>
      <c r="H154" s="1">
        <f>INDEX(estacas[],MATCH(HC[[#This Row],[Ø (cm)]],estacas[Ø HC (cm)],0),MATCH(HC[[#Headers],[Pe HC (kN)]],estacas[#Headers],0))</f>
        <v>1250</v>
      </c>
      <c r="I154" s="4">
        <f>INDEX(K_alpha_C[],MATCH(HC[[#This Row],[Solo]],K_alpha_C[Solo],0),2)</f>
        <v>0.8</v>
      </c>
      <c r="J154" s="5">
        <f>INDEX(K_alpha_C[],MATCH(HC[[#This Row],[Solo]],K_alpha_C[Solo],0),3)</f>
        <v>2</v>
      </c>
      <c r="K154" s="4">
        <f>INDEX(F1_F2[],MATCH($D$2,F1_F2[Tipo de estaca],0),2)</f>
        <v>2</v>
      </c>
      <c r="L154" s="4">
        <f>INDEX(F1_F2[],MATCH($D$2,F1_F2[Tipo de estaca],0),3)</f>
        <v>4</v>
      </c>
      <c r="M154" s="4">
        <f>PI()*(HC[[#This Row],[Ø (cm)]]/100)^2/4</f>
        <v>0.19634954084936207</v>
      </c>
      <c r="N154" s="4">
        <f>PI()*HC[[#This Row],[Ø (cm)]]/100</f>
        <v>1.5707963267948966</v>
      </c>
      <c r="O154" s="4">
        <f>IF(HC[[#This Row],[Prof. (m)]]=0,0,HC[[#This Row],[α (%)]]/100*HC[[#This Row],[K (MPa)]]*1000*HC[[#This Row],[NSPT]])</f>
        <v>416</v>
      </c>
      <c r="P154" s="4">
        <f>IF(HC[[#This Row],[Prof. (m)]]=0,0,(HC[[#This Row],[K (MPa)]]*1000*HC[[#This Row],[NSPT]]/HC[[#This Row],[F1]]*HC[[#This Row],[Ap (m²)]]+HC[[#This Row],[U (m)]]/HC[[#This Row],[F2]]*SUMIFS(HC[(α∙K∙NL∙ΔL)],HC[Prof. (m)],"&lt;="&amp;HC[[#This Row],[Prof. (m)]],HC[idDiâmetro],HC[[#This Row],[idDiâmetro]],HC[idPilar],HC[[#This Row],[idPilar]]))/'DADOS CAP. CARGA'!$D$2)</f>
        <v>1299.0289273052945</v>
      </c>
      <c r="Q154" s="12">
        <f>INDEX(C_alpha_beta[],MATCH(HC[[#This Row],[Solo]],C_alpha_beta[Solo],0),MATCH(HC[[#Headers],[C (kPa)]],C_alpha_beta[#Headers],0))</f>
        <v>400</v>
      </c>
      <c r="R154" s="4">
        <f>INDEX(C_alpha_beta[],MATCH(HC[[#This Row],[Solo]],C_alpha_beta[Solo],0),MATCH(HC[[#Headers],[α ESF]],C_alpha_beta[#Headers],0))</f>
        <v>0.5</v>
      </c>
      <c r="S154" s="4">
        <f>INDEX(C_alpha_beta[],MATCH(HC[[#This Row],[Solo]],C_alpha_beta[Solo],0),MATCH(HC[[#Headers],[β ESF]],C_alpha_beta[#Headers],0))</f>
        <v>0.5</v>
      </c>
      <c r="T154" s="4">
        <f>IF(HC[[#This Row],[Prof. (m)]]=0,0,10*(HC[[#This Row],[NSPT]]/3+1))</f>
        <v>96.666666666666657</v>
      </c>
      <c r="U154" s="4">
        <f>(HC[[#This Row],[α ESF]]*HC[[#This Row],[C (kPa)]]*HC[[#This Row],[NSPT]]*HC[[#This Row],[Ap (m²)]])/'DADOS CAP. CARGA'!$Q$2+(HC[[#This Row],[β ESF]]*SUMIFS(HC[10∙(NL/3+1)],HC[Prof. (m)],"&lt;="&amp;HC[[#This Row],[Prof. (m)]],HC[idDiâmetro],HC[[#This Row],[idDiâmetro]],HC[idPilar],HC[[#This Row],[idPilar]])*HC[[#This Row],[U (m)]])/'DADOS CAP. CARGA'!$S$2</f>
        <v>418.87902047863906</v>
      </c>
      <c r="V154" s="4">
        <f>IF(SPT!$M$5=1,MIN(HC[[#This Row],[Pe HC (kN)]],HC[[#This Row],[R_AV (kN)]]),IF(SPT!$M$5=2,MIN(HC[[#This Row],[Pe HC (kN)]],HC[[#This Row],[R_DC (kN)]]),MIN(HC[[#This Row],[Pe HC (kN)]],HC[[#This Row],[R_AV (kN)]],HC[[#This Row],[R_DC (kN)]])))</f>
        <v>418.87902047863906</v>
      </c>
      <c r="W154" s="4">
        <f>INDEX(PILARES[],HC[[#This Row],[idPilar]],MATCH("Carga (kN)",PILARES[#Headers],0))*1.4</f>
        <v>3500</v>
      </c>
      <c r="X154" s="12">
        <f>INDEX(PILARES[],HC[[#This Row],[idPilar]],MATCH(HC[[#Headers],[ap (cm)]],PILARES[#Headers],0))</f>
        <v>60</v>
      </c>
      <c r="Y154" s="12">
        <f>INDEX(PILARES[],HC[[#This Row],[idPilar]],MATCH(HC[[#Headers],[bp (cm)]],PILARES[#Headers],0))</f>
        <v>60</v>
      </c>
      <c r="Z154" s="4">
        <f>SQRT(HC[[#This Row],[ap (cm)]]*HC[[#This Row],[bp (cm)]])</f>
        <v>60</v>
      </c>
      <c r="AA154" s="12">
        <f>HC[[#This Row],[ap (cm)]]*HC[[#This Row],[bp (cm)]]</f>
        <v>3600</v>
      </c>
      <c r="AB154" s="12">
        <f ca="1">IF(HC[[#This Row],[Padm∙ε (kN)]]&gt;=HC[[#This Row],[Padm (kN)]],ROUNDUP(1.05*HC[[#This Row],[Nsd (kN)]]/HC[[#This Row],[Padm (kN)]],0),ROUNDUP(1.05*HC[[#This Row],[Nsd (kN)]]/HC[[#This Row],[Padm (kN)]],0)+1)</f>
        <v>9</v>
      </c>
      <c r="AC154" s="4" t="str">
        <f ca="1">IFERROR(IF(HC[[#This Row],[nE]]=1,HC[[#This Row],[Padm (kN)]],HC[[#This Row],[Padm (kN)]]*HC[[#This Row],[nE]]*INDEX(grupoEstacas[],HC[[#This Row],[nE]],MATCH("ε",grupoEstacas[#Headers],0))),"N.S.")</f>
        <v>N.S.</v>
      </c>
      <c r="AD154" s="4">
        <f ca="1">1.05*HC[[#This Row],[Nsd (kN)]]/(HC[[#This Row],[nE]]*PI()*HC[[#This Row],[Ø (cm)]]^2/4)*10</f>
        <v>2.0796245897340988</v>
      </c>
      <c r="AE154" s="4">
        <f ca="1">IF(HC[[#This Row],[σ (MPa)]]&lt;INDEX(tipoEstaca[],MATCH($D$2,tipoEstaca[TIPO DE ESTACA],0),MATCH("σmáx (MPa)",tipoEstaca[#Headers],0)),0.4%*PI()*HC[[#This Row],[Ø (cm)]]^2/4,"N.S.")</f>
        <v>7.8539816339744837</v>
      </c>
      <c r="AF154" s="1">
        <f>INDEX(tipoEstaca[],MATCH($D$2,tipoEstaca[TIPO DE ESTACA],0),MATCH(HC[[#Headers],[Comprimento (m)]],tipoEstaca[#Headers],0))</f>
        <v>4</v>
      </c>
      <c r="AG154" s="5">
        <f ca="1">HC[[#This Row],[As,mín (cm²)]]/100^2*HC[[#This Row],[Comprimento (m)]]*7850</f>
        <v>24.661502330679877</v>
      </c>
      <c r="AH154" s="4">
        <f ca="1">HC[[#This Row],[nE]]*HC[[#This Row],[Prof. (m)]]*HC[[#This Row],[Ap (m²)]]</f>
        <v>15.904312808798327</v>
      </c>
      <c r="AI154" s="1">
        <f ca="1">IF(HC[[#This Row],[nE]]=1,0,MAX(3*HC[[#This Row],[Ø (cm)]],60))</f>
        <v>150</v>
      </c>
      <c r="AJ154" s="1">
        <f ca="1">IF(HC[[#This Row],[nE]]=1,HC[[#This Row],[Ø (cm)]]+2*10,MAX(1.5*HC[[#This Row],[Ø (cm)]],HC[[#This Row],[Ø (cm)]]+15))</f>
        <v>75</v>
      </c>
      <c r="AK154" s="1" t="str">
        <f ca="1">alturaUtil(HC[[#This Row],[nE]],HC[[#This Row],[Ø (cm)]],HC[[#This Row],[e (cm)]],HC[[#This Row],[ap,eq (cm)]])</f>
        <v>N.S.</v>
      </c>
      <c r="AL154" s="1" t="str">
        <f ca="1">IFERROR(HC[[#This Row],[d (cm)]]+arredondarParaCimaMultiplo5cm(MAX(5,SQRT(PI())/2*HC[[#This Row],[Ø (cm)]]/5)),"N.S.")</f>
        <v>N.S.</v>
      </c>
      <c r="AM154" s="5" t="str">
        <f ca="1">alpha(HC[[#This Row],[nE]],HC[[#This Row],[d (cm)]],HC[[#This Row],[e (cm)]],HC[[#This Row],[ap,eq (cm)]])</f>
        <v>N.S.</v>
      </c>
      <c r="AN154" s="35" t="str">
        <f ca="1">IFERROR(HC[[#This Row],[Nsd (kN)]]/(HC[[#This Row],[Ap (cm²)]]*SIN(HC[[#This Row],[α]])^2),"N.S.")</f>
        <v>N.S.</v>
      </c>
      <c r="AO154" s="35" t="str">
        <f ca="1">IFERROR(HC[[#This Row],[Nsd (kN)]]/(HC[[#This Row],[nE]]*PI()*HC[[#This Row],[Ø (cm)]]^2/4*SIN(HC[[#This Row],[α]])^2),"N.S.")</f>
        <v>N.S.</v>
      </c>
      <c r="AP154" s="4" t="str">
        <f ca="1">IFERROR(INDEX(grupoEstacas[],HC[[#This Row],[nE]],MATCH("coef. Blévot",grupoEstacas[#Headers],0)),"N.S.")</f>
        <v>N.S.</v>
      </c>
      <c r="AQ154" s="35" t="str">
        <f ca="1">IFERROR(HC[[#This Row],[coef. Blévot]]*0.9*INDEX(tipoEstaca[],MATCH($D$2,tipoEstaca[TIPO DE ESTACA],0),MATCH("fcd (kN/cm²)",tipoEstaca[#Headers],0)),"N.S.")</f>
        <v>N.S.</v>
      </c>
      <c r="AR154" s="1" t="str">
        <f ca="1">IF(AND(HC[[#This Row],[cd,b,pil (kN/cm²)]]&lt;=HC[[#This Row],[cd,b,lim (kN/cm²)]],HC[[#This Row],[cd,b,est (kN/cm²)]]&lt;=HC[[#This Row],[cd,b,lim (kN/cm²)]]),"OK","ERRO")</f>
        <v>OK</v>
      </c>
      <c r="AS154" s="4" t="str">
        <f ca="1">As_lado(HC[[#This Row],[nE]],HC[[#This Row],[Nsd (kN)]],HC[[#This Row],[d (cm)]],HC[[#This Row],[e (cm)]],HC[[#This Row],[ap,eq (cm)]])</f>
        <v>N.S.</v>
      </c>
      <c r="AT154" s="4" t="str">
        <f ca="1">IF(HC[[#This Row],[nE]]=1,HC[[#This Row],[As,lado (cm²)]],IF(HC[[#This Row],[nE]]=2,0.075*2*HC[a (cm)],"N.A."))</f>
        <v>N.A.</v>
      </c>
      <c r="AU154" s="4" t="str">
        <f ca="1">IFERROR(IF(HC[[#This Row],[nE]]=1,"N.A.",0.2*HC[[#This Row],[As,lado (cm²)]]),"N.S.")</f>
        <v>N.S.</v>
      </c>
      <c r="AV154" s="4" t="str">
        <f ca="1">As_malha(HC[[#This Row],[nE]],HC[[#This Row],[As,lado (cm²)]],HC[[#This Row],[Nsd (kN)]])</f>
        <v>N.S.</v>
      </c>
      <c r="AW154" s="4" t="str">
        <f ca="1">As_susp_tot(HC[[#This Row],[nE]],HC[[#This Row],[Nsd (kN)]])</f>
        <v>N.S.</v>
      </c>
      <c r="AX154" s="4" t="str">
        <f ca="1">Asp_face(HC[[#This Row],[nE]],HC[[#This Row],[As,lado (cm²)]])</f>
        <v>N.S.</v>
      </c>
      <c r="AY154" s="5" t="str">
        <f ca="1">acoBloco(HC[[#This Row],[nE]],HC[[#This Row],[e (cm)]],HC[[#This Row],[a (cm)]],HC[[#This Row],[h (cm)]],HC[[#This Row],[As,lado (cm²)]],HC[[#This Row],[Asp e Asw (cm²/m)]],HC[[#This Row],[As,sup (cm²)]],HC[[#This Row],[As,malha (cm²)]],HC[[#This Row],[As,susp,tot (cm²)]],HC[[#This Row],[Asp,face (cm²)]])</f>
        <v>N.S.</v>
      </c>
      <c r="AZ154" s="4" t="str">
        <f ca="1">concretoBloco(HC[[#This Row],[nE]],HC[[#This Row],[e (cm)]],HC[[#This Row],[a (cm)]],HC[[#This Row],[h (cm)]])</f>
        <v>N.S.</v>
      </c>
      <c r="BA154" s="5">
        <f ca="1">SUM(HC[[#This Row],[Aço Est (kg)]],HC[[#This Row],[Aço Bloco (kg)]])</f>
        <v>24.661502330679877</v>
      </c>
      <c r="BB154" s="4">
        <f>INDEX(composicoes[],MATCH(95580,composicoes[CÓDIGO],0),MATCH("CUSTO TOTAL",composicoes[#Headers],0))</f>
        <v>10.46</v>
      </c>
      <c r="BC154" s="4">
        <f ca="1">SUM(HC[[#This Row],[Conc Est (m³)]],HC[[#This Row],[Conc Bloco (m³)]])</f>
        <v>15.904312808798327</v>
      </c>
      <c r="BD154" s="4">
        <f>INDEX(composicoes[],MATCH(94966,composicoes[CÓDIGO],0),MATCH("CUSTO TOTAL",composicoes[#Headers],0))</f>
        <v>439.52</v>
      </c>
      <c r="BE154" s="38">
        <f ca="1">HC[[#This Row],[Aço (kg)]]*HC[[#This Row],[Aço (R$/kg)]]+HC[[#This Row],[Conc (m³)]]*HC[[#This Row],[Conc (R$/m³)]]</f>
        <v>7248.2228801019519</v>
      </c>
      <c r="BF154" s="4" t="str">
        <f ca="1">IF(COUNTIF(HC[#This Row],"N.S.")&gt;0,"lim.","OK")</f>
        <v>lim.</v>
      </c>
      <c r="BG154" s="4" t="str">
        <f>IF(HC[[#This Row],[Prof. (m)]]&lt;4,"lim.","OK")</f>
        <v>OK</v>
      </c>
      <c r="BH154" s="4" t="str">
        <f>IF(HC[[#This Row],[Prof. (m)]]&gt;=8*HC[[#This Row],[Ø (cm)]]/100,"OK","lim.")</f>
        <v>OK</v>
      </c>
      <c r="BI154" s="4" t="str">
        <f ca="1">IF(HC[[#This Row],[Verif. Biela]]="OK","OK","lim.")</f>
        <v>OK</v>
      </c>
      <c r="BJ154" s="4" t="str">
        <f ca="1">IF(COUNTA(HC[[#This Row],[Nº Est.]:[Biela comp.]])=COUNTIF(HC[[#This Row],[Nº Est.]:[Biela comp.]],"OK"),"OK","lim.")</f>
        <v>lim.</v>
      </c>
      <c r="BK154" s="4" t="str">
        <f ca="1">IF(HC[[#This Row],[Controle]]="OK",HC[[#This Row],[nE]]&amp;" Ø"&amp;HC[[#This Row],[Ø (cm)]]&amp;"cm Prof. "&amp;HC[[#This Row],[Prof. (m)]]&amp;" m","")</f>
        <v/>
      </c>
      <c r="BL154" s="4" t="str">
        <f ca="1">IF(HC[[#This Row],[idDimensionamento]]="","",HC[[#This Row],[idPilar]]&amp;HC[[#This Row],[idDimensionamento]])</f>
        <v/>
      </c>
    </row>
    <row r="155" spans="2:64" x14ac:dyDescent="0.25">
      <c r="B155" s="12">
        <f>ROUNDUP((ROW(HC[[#This Row],[idDiâmetro]])-ROW(HC[[#Headers],[idDiâmetro]]))/(COUNT(SPT[Prof. (m)])*COUNT(PILARES[Pilar])),0)</f>
        <v>6</v>
      </c>
      <c r="C155" s="12">
        <f>IF(HC[[#This Row],[idDiâmetro]]&lt;&gt;B154,1,IF(HC[[#This Row],[Prof. (m)]]=0,C154+1,C154))</f>
        <v>1</v>
      </c>
      <c r="D155" s="1">
        <f>IFERROR(IF(D154=MAX(SPT[Prof. (m)]),0,D154+1),0)</f>
        <v>10</v>
      </c>
      <c r="E155" s="1">
        <f>INDEX(SPT[],MATCH(HC[[#This Row],[Prof. (m)]],SPT[Prof. (m)],0),2)</f>
        <v>32</v>
      </c>
      <c r="F155" s="1" t="str">
        <f>INDEX(SPT[],MATCH(HC[[#This Row],[Prof. (m)]],SPT[Prof. (m)],0),3)</f>
        <v>Areia siltosa</v>
      </c>
      <c r="G155" s="1">
        <f>INDEX(estacas[],HC[[#This Row],[idDiâmetro]],MATCH($B$2,estacas[#Headers],0))</f>
        <v>50</v>
      </c>
      <c r="H155" s="1">
        <f>INDEX(estacas[],MATCH(HC[[#This Row],[Ø (cm)]],estacas[Ø HC (cm)],0),MATCH(HC[[#Headers],[Pe HC (kN)]],estacas[#Headers],0))</f>
        <v>1250</v>
      </c>
      <c r="I155" s="4">
        <f>INDEX(K_alpha_C[],MATCH(HC[[#This Row],[Solo]],K_alpha_C[Solo],0),2)</f>
        <v>0.8</v>
      </c>
      <c r="J155" s="5">
        <f>INDEX(K_alpha_C[],MATCH(HC[[#This Row],[Solo]],K_alpha_C[Solo],0),3)</f>
        <v>2</v>
      </c>
      <c r="K155" s="4">
        <f>INDEX(F1_F2[],MATCH($D$2,F1_F2[Tipo de estaca],0),2)</f>
        <v>2</v>
      </c>
      <c r="L155" s="4">
        <f>INDEX(F1_F2[],MATCH($D$2,F1_F2[Tipo de estaca],0),3)</f>
        <v>4</v>
      </c>
      <c r="M155" s="4">
        <f>PI()*(HC[[#This Row],[Ø (cm)]]/100)^2/4</f>
        <v>0.19634954084936207</v>
      </c>
      <c r="N155" s="4">
        <f>PI()*HC[[#This Row],[Ø (cm)]]/100</f>
        <v>1.5707963267948966</v>
      </c>
      <c r="O155" s="4">
        <f>IF(HC[[#This Row],[Prof. (m)]]=0,0,HC[[#This Row],[α (%)]]/100*HC[[#This Row],[K (MPa)]]*1000*HC[[#This Row],[NSPT]])</f>
        <v>512</v>
      </c>
      <c r="P155" s="4">
        <f>IF(HC[[#This Row],[Prof. (m)]]=0,0,(HC[[#This Row],[K (MPa)]]*1000*HC[[#This Row],[NSPT]]/HC[[#This Row],[F1]]*HC[[#This Row],[Ap (m²)]]+HC[[#This Row],[U (m)]]/HC[[#This Row],[F2]]*SUMIFS(HC[(α∙K∙NL∙ΔL)],HC[Prof. (m)],"&lt;="&amp;HC[[#This Row],[Prof. (m)]],HC[idDiâmetro],HC[[#This Row],[idDiâmetro]],HC[idPilar],HC[[#This Row],[idPilar]]))/'DADOS CAP. CARGA'!$D$2)</f>
        <v>1635.1793412394024</v>
      </c>
      <c r="Q155" s="12">
        <f>INDEX(C_alpha_beta[],MATCH(HC[[#This Row],[Solo]],C_alpha_beta[Solo],0),MATCH(HC[[#Headers],[C (kPa)]],C_alpha_beta[#Headers],0))</f>
        <v>400</v>
      </c>
      <c r="R155" s="4">
        <f>INDEX(C_alpha_beta[],MATCH(HC[[#This Row],[Solo]],C_alpha_beta[Solo],0),MATCH(HC[[#Headers],[α ESF]],C_alpha_beta[#Headers],0))</f>
        <v>0.5</v>
      </c>
      <c r="S155" s="4">
        <f>INDEX(C_alpha_beta[],MATCH(HC[[#This Row],[Solo]],C_alpha_beta[Solo],0),MATCH(HC[[#Headers],[β ESF]],C_alpha_beta[#Headers],0))</f>
        <v>0.5</v>
      </c>
      <c r="T155" s="4">
        <f>IF(HC[[#This Row],[Prof. (m)]]=0,0,10*(HC[[#This Row],[NSPT]]/3+1))</f>
        <v>116.66666666666666</v>
      </c>
      <c r="U155" s="4">
        <f>(HC[[#This Row],[α ESF]]*HC[[#This Row],[C (kPa)]]*HC[[#This Row],[NSPT]]*HC[[#This Row],[Ap (m²)]])/'DADOS CAP. CARGA'!$Q$2+(HC[[#This Row],[β ESF]]*SUMIFS(HC[10∙(NL/3+1)],HC[Prof. (m)],"&lt;="&amp;HC[[#This Row],[Prof. (m)]],HC[idDiâmetro],HC[[#This Row],[idDiâmetro]],HC[idPilar],HC[[#This Row],[idPilar]])*HC[[#This Row],[U (m)]])/'DADOS CAP. CARGA'!$S$2</f>
        <v>523.59877559829886</v>
      </c>
      <c r="V155" s="4">
        <f>IF(SPT!$M$5=1,MIN(HC[[#This Row],[Pe HC (kN)]],HC[[#This Row],[R_AV (kN)]]),IF(SPT!$M$5=2,MIN(HC[[#This Row],[Pe HC (kN)]],HC[[#This Row],[R_DC (kN)]]),MIN(HC[[#This Row],[Pe HC (kN)]],HC[[#This Row],[R_AV (kN)]],HC[[#This Row],[R_DC (kN)]])))</f>
        <v>523.59877559829886</v>
      </c>
      <c r="W155" s="4">
        <f>INDEX(PILARES[],HC[[#This Row],[idPilar]],MATCH("Carga (kN)",PILARES[#Headers],0))*1.4</f>
        <v>3500</v>
      </c>
      <c r="X155" s="12">
        <f>INDEX(PILARES[],HC[[#This Row],[idPilar]],MATCH(HC[[#Headers],[ap (cm)]],PILARES[#Headers],0))</f>
        <v>60</v>
      </c>
      <c r="Y155" s="12">
        <f>INDEX(PILARES[],HC[[#This Row],[idPilar]],MATCH(HC[[#Headers],[bp (cm)]],PILARES[#Headers],0))</f>
        <v>60</v>
      </c>
      <c r="Z155" s="4">
        <f>SQRT(HC[[#This Row],[ap (cm)]]*HC[[#This Row],[bp (cm)]])</f>
        <v>60</v>
      </c>
      <c r="AA155" s="12">
        <f>HC[[#This Row],[ap (cm)]]*HC[[#This Row],[bp (cm)]]</f>
        <v>3600</v>
      </c>
      <c r="AB155" s="12">
        <f ca="1">IF(HC[[#This Row],[Padm∙ε (kN)]]&gt;=HC[[#This Row],[Padm (kN)]],ROUNDUP(1.05*HC[[#This Row],[Nsd (kN)]]/HC[[#This Row],[Padm (kN)]],0),ROUNDUP(1.05*HC[[#This Row],[Nsd (kN)]]/HC[[#This Row],[Padm (kN)]],0)+1)</f>
        <v>8</v>
      </c>
      <c r="AC155" s="4" t="str">
        <f ca="1">IFERROR(IF(HC[[#This Row],[nE]]=1,HC[[#This Row],[Padm (kN)]],HC[[#This Row],[Padm (kN)]]*HC[[#This Row],[nE]]*INDEX(grupoEstacas[],HC[[#This Row],[nE]],MATCH("ε",grupoEstacas[#Headers],0))),"N.S.")</f>
        <v>N.S.</v>
      </c>
      <c r="AD155" s="4">
        <f ca="1">1.05*HC[[#This Row],[Nsd (kN)]]/(HC[[#This Row],[nE]]*PI()*HC[[#This Row],[Ø (cm)]]^2/4)*10</f>
        <v>2.3395776634508616</v>
      </c>
      <c r="AE155" s="4">
        <f ca="1">IF(HC[[#This Row],[σ (MPa)]]&lt;INDEX(tipoEstaca[],MATCH($D$2,tipoEstaca[TIPO DE ESTACA],0),MATCH("σmáx (MPa)",tipoEstaca[#Headers],0)),0.4%*PI()*HC[[#This Row],[Ø (cm)]]^2/4,"N.S.")</f>
        <v>7.8539816339744837</v>
      </c>
      <c r="AF155" s="1">
        <f>INDEX(tipoEstaca[],MATCH($D$2,tipoEstaca[TIPO DE ESTACA],0),MATCH(HC[[#Headers],[Comprimento (m)]],tipoEstaca[#Headers],0))</f>
        <v>4</v>
      </c>
      <c r="AG155" s="5">
        <f ca="1">HC[[#This Row],[As,mín (cm²)]]/100^2*HC[[#This Row],[Comprimento (m)]]*7850</f>
        <v>24.661502330679877</v>
      </c>
      <c r="AH155" s="4">
        <f ca="1">HC[[#This Row],[nE]]*HC[[#This Row],[Prof. (m)]]*HC[[#This Row],[Ap (m²)]]</f>
        <v>15.707963267948966</v>
      </c>
      <c r="AI155" s="1">
        <f ca="1">IF(HC[[#This Row],[nE]]=1,0,MAX(3*HC[[#This Row],[Ø (cm)]],60))</f>
        <v>150</v>
      </c>
      <c r="AJ155" s="1">
        <f ca="1">IF(HC[[#This Row],[nE]]=1,HC[[#This Row],[Ø (cm)]]+2*10,MAX(1.5*HC[[#This Row],[Ø (cm)]],HC[[#This Row],[Ø (cm)]]+15))</f>
        <v>75</v>
      </c>
      <c r="AK155" s="1" t="str">
        <f ca="1">alturaUtil(HC[[#This Row],[nE]],HC[[#This Row],[Ø (cm)]],HC[[#This Row],[e (cm)]],HC[[#This Row],[ap,eq (cm)]])</f>
        <v>N.S.</v>
      </c>
      <c r="AL155" s="1" t="str">
        <f ca="1">IFERROR(HC[[#This Row],[d (cm)]]+arredondarParaCimaMultiplo5cm(MAX(5,SQRT(PI())/2*HC[[#This Row],[Ø (cm)]]/5)),"N.S.")</f>
        <v>N.S.</v>
      </c>
      <c r="AM155" s="5" t="str">
        <f ca="1">alpha(HC[[#This Row],[nE]],HC[[#This Row],[d (cm)]],HC[[#This Row],[e (cm)]],HC[[#This Row],[ap,eq (cm)]])</f>
        <v>N.S.</v>
      </c>
      <c r="AN155" s="35" t="str">
        <f ca="1">IFERROR(HC[[#This Row],[Nsd (kN)]]/(HC[[#This Row],[Ap (cm²)]]*SIN(HC[[#This Row],[α]])^2),"N.S.")</f>
        <v>N.S.</v>
      </c>
      <c r="AO155" s="35" t="str">
        <f ca="1">IFERROR(HC[[#This Row],[Nsd (kN)]]/(HC[[#This Row],[nE]]*PI()*HC[[#This Row],[Ø (cm)]]^2/4*SIN(HC[[#This Row],[α]])^2),"N.S.")</f>
        <v>N.S.</v>
      </c>
      <c r="AP155" s="4" t="str">
        <f ca="1">IFERROR(INDEX(grupoEstacas[],HC[[#This Row],[nE]],MATCH("coef. Blévot",grupoEstacas[#Headers],0)),"N.S.")</f>
        <v>N.S.</v>
      </c>
      <c r="AQ155" s="35" t="str">
        <f ca="1">IFERROR(HC[[#This Row],[coef. Blévot]]*0.9*INDEX(tipoEstaca[],MATCH($D$2,tipoEstaca[TIPO DE ESTACA],0),MATCH("fcd (kN/cm²)",tipoEstaca[#Headers],0)),"N.S.")</f>
        <v>N.S.</v>
      </c>
      <c r="AR155" s="1" t="str">
        <f ca="1">IF(AND(HC[[#This Row],[cd,b,pil (kN/cm²)]]&lt;=HC[[#This Row],[cd,b,lim (kN/cm²)]],HC[[#This Row],[cd,b,est (kN/cm²)]]&lt;=HC[[#This Row],[cd,b,lim (kN/cm²)]]),"OK","ERRO")</f>
        <v>OK</v>
      </c>
      <c r="AS155" s="4" t="str">
        <f ca="1">As_lado(HC[[#This Row],[nE]],HC[[#This Row],[Nsd (kN)]],HC[[#This Row],[d (cm)]],HC[[#This Row],[e (cm)]],HC[[#This Row],[ap,eq (cm)]])</f>
        <v>N.S.</v>
      </c>
      <c r="AT155" s="4" t="str">
        <f ca="1">IF(HC[[#This Row],[nE]]=1,HC[[#This Row],[As,lado (cm²)]],IF(HC[[#This Row],[nE]]=2,0.075*2*HC[a (cm)],"N.A."))</f>
        <v>N.A.</v>
      </c>
      <c r="AU155" s="4" t="str">
        <f ca="1">IFERROR(IF(HC[[#This Row],[nE]]=1,"N.A.",0.2*HC[[#This Row],[As,lado (cm²)]]),"N.S.")</f>
        <v>N.S.</v>
      </c>
      <c r="AV155" s="4" t="str">
        <f ca="1">As_malha(HC[[#This Row],[nE]],HC[[#This Row],[As,lado (cm²)]],HC[[#This Row],[Nsd (kN)]])</f>
        <v>N.S.</v>
      </c>
      <c r="AW155" s="4" t="str">
        <f ca="1">As_susp_tot(HC[[#This Row],[nE]],HC[[#This Row],[Nsd (kN)]])</f>
        <v>N.S.</v>
      </c>
      <c r="AX155" s="4" t="str">
        <f ca="1">Asp_face(HC[[#This Row],[nE]],HC[[#This Row],[As,lado (cm²)]])</f>
        <v>N.S.</v>
      </c>
      <c r="AY155" s="5" t="str">
        <f ca="1">acoBloco(HC[[#This Row],[nE]],HC[[#This Row],[e (cm)]],HC[[#This Row],[a (cm)]],HC[[#This Row],[h (cm)]],HC[[#This Row],[As,lado (cm²)]],HC[[#This Row],[Asp e Asw (cm²/m)]],HC[[#This Row],[As,sup (cm²)]],HC[[#This Row],[As,malha (cm²)]],HC[[#This Row],[As,susp,tot (cm²)]],HC[[#This Row],[Asp,face (cm²)]])</f>
        <v>N.S.</v>
      </c>
      <c r="AZ155" s="4" t="str">
        <f ca="1">concretoBloco(HC[[#This Row],[nE]],HC[[#This Row],[e (cm)]],HC[[#This Row],[a (cm)]],HC[[#This Row],[h (cm)]])</f>
        <v>N.S.</v>
      </c>
      <c r="BA155" s="5">
        <f ca="1">SUM(HC[[#This Row],[Aço Est (kg)]],HC[[#This Row],[Aço Bloco (kg)]])</f>
        <v>24.661502330679877</v>
      </c>
      <c r="BB155" s="4">
        <f>INDEX(composicoes[],MATCH(95580,composicoes[CÓDIGO],0),MATCH("CUSTO TOTAL",composicoes[#Headers],0))</f>
        <v>10.46</v>
      </c>
      <c r="BC155" s="4">
        <f ca="1">SUM(HC[[#This Row],[Conc Est (m³)]],HC[[#This Row],[Conc Bloco (m³)]])</f>
        <v>15.707963267948966</v>
      </c>
      <c r="BD155" s="4">
        <f>INDEX(composicoes[],MATCH(94966,composicoes[CÓDIGO],0),MATCH("CUSTO TOTAL",composicoes[#Headers],0))</f>
        <v>439.52</v>
      </c>
      <c r="BE155" s="38">
        <f ca="1">HC[[#This Row],[Aço (kg)]]*HC[[#This Row],[Aço (R$/kg)]]+HC[[#This Row],[Conc (m³)]]*HC[[#This Row],[Conc (R$/m³)]]</f>
        <v>7161.9233299078405</v>
      </c>
      <c r="BF155" s="4" t="str">
        <f ca="1">IF(COUNTIF(HC[#This Row],"N.S.")&gt;0,"lim.","OK")</f>
        <v>lim.</v>
      </c>
      <c r="BG155" s="4" t="str">
        <f>IF(HC[[#This Row],[Prof. (m)]]&lt;4,"lim.","OK")</f>
        <v>OK</v>
      </c>
      <c r="BH155" s="4" t="str">
        <f>IF(HC[[#This Row],[Prof. (m)]]&gt;=8*HC[[#This Row],[Ø (cm)]]/100,"OK","lim.")</f>
        <v>OK</v>
      </c>
      <c r="BI155" s="4" t="str">
        <f ca="1">IF(HC[[#This Row],[Verif. Biela]]="OK","OK","lim.")</f>
        <v>OK</v>
      </c>
      <c r="BJ155" s="4" t="str">
        <f ca="1">IF(COUNTA(HC[[#This Row],[Nº Est.]:[Biela comp.]])=COUNTIF(HC[[#This Row],[Nº Est.]:[Biela comp.]],"OK"),"OK","lim.")</f>
        <v>lim.</v>
      </c>
      <c r="BK155" s="4" t="str">
        <f ca="1">IF(HC[[#This Row],[Controle]]="OK",HC[[#This Row],[nE]]&amp;" Ø"&amp;HC[[#This Row],[Ø (cm)]]&amp;"cm Prof. "&amp;HC[[#This Row],[Prof. (m)]]&amp;" m","")</f>
        <v/>
      </c>
      <c r="BL155" s="4" t="str">
        <f ca="1">IF(HC[[#This Row],[idDimensionamento]]="","",HC[[#This Row],[idPilar]]&amp;HC[[#This Row],[idDimensionamento]])</f>
        <v/>
      </c>
    </row>
    <row r="156" spans="2:64" x14ac:dyDescent="0.25">
      <c r="B156" s="12">
        <f>ROUNDUP((ROW(HC[[#This Row],[idDiâmetro]])-ROW(HC[[#Headers],[idDiâmetro]]))/(COUNT(SPT[Prof. (m)])*COUNT(PILARES[Pilar])),0)</f>
        <v>6</v>
      </c>
      <c r="C156" s="12">
        <f>IF(HC[[#This Row],[idDiâmetro]]&lt;&gt;B155,1,IF(HC[[#This Row],[Prof. (m)]]=0,C155+1,C155))</f>
        <v>1</v>
      </c>
      <c r="D156" s="1">
        <f>IFERROR(IF(D155=MAX(SPT[Prof. (m)]),0,D155+1),0)</f>
        <v>11</v>
      </c>
      <c r="E156" s="1">
        <f>INDEX(SPT[],MATCH(HC[[#This Row],[Prof. (m)]],SPT[Prof. (m)],0),2)</f>
        <v>41</v>
      </c>
      <c r="F156" s="1" t="str">
        <f>INDEX(SPT[],MATCH(HC[[#This Row],[Prof. (m)]],SPT[Prof. (m)],0),3)</f>
        <v>Areia siltosa</v>
      </c>
      <c r="G156" s="1">
        <f>INDEX(estacas[],HC[[#This Row],[idDiâmetro]],MATCH($B$2,estacas[#Headers],0))</f>
        <v>50</v>
      </c>
      <c r="H156" s="1">
        <f>INDEX(estacas[],MATCH(HC[[#This Row],[Ø (cm)]],estacas[Ø HC (cm)],0),MATCH(HC[[#Headers],[Pe HC (kN)]],estacas[#Headers],0))</f>
        <v>1250</v>
      </c>
      <c r="I156" s="4">
        <f>INDEX(K_alpha_C[],MATCH(HC[[#This Row],[Solo]],K_alpha_C[Solo],0),2)</f>
        <v>0.8</v>
      </c>
      <c r="J156" s="5">
        <f>INDEX(K_alpha_C[],MATCH(HC[[#This Row],[Solo]],K_alpha_C[Solo],0),3)</f>
        <v>2</v>
      </c>
      <c r="K156" s="4">
        <f>INDEX(F1_F2[],MATCH($D$2,F1_F2[Tipo de estaca],0),2)</f>
        <v>2</v>
      </c>
      <c r="L156" s="4">
        <f>INDEX(F1_F2[],MATCH($D$2,F1_F2[Tipo de estaca],0),3)</f>
        <v>4</v>
      </c>
      <c r="M156" s="4">
        <f>PI()*(HC[[#This Row],[Ø (cm)]]/100)^2/4</f>
        <v>0.19634954084936207</v>
      </c>
      <c r="N156" s="4">
        <f>PI()*HC[[#This Row],[Ø (cm)]]/100</f>
        <v>1.5707963267948966</v>
      </c>
      <c r="O156" s="4">
        <f>IF(HC[[#This Row],[Prof. (m)]]=0,0,HC[[#This Row],[α (%)]]/100*HC[[#This Row],[K (MPa)]]*1000*HC[[#This Row],[NSPT]])</f>
        <v>656</v>
      </c>
      <c r="P156" s="4">
        <f>IF(HC[[#This Row],[Prof. (m)]]=0,0,(HC[[#This Row],[K (MPa)]]*1000*HC[[#This Row],[NSPT]]/HC[[#This Row],[F1]]*HC[[#This Row],[Ap (m²)]]+HC[[#This Row],[U (m)]]/HC[[#This Row],[F2]]*SUMIFS(HC[(α∙K∙NL∙ΔL)],HC[Prof. (m)],"&lt;="&amp;HC[[#This Row],[Prof. (m)]],HC[idDiâmetro],HC[[#This Row],[idDiâmetro]],HC[idPilar],HC[[#This Row],[idPilar]]))/'DADOS CAP. CARGA'!$D$2)</f>
        <v>2117.4138135654357</v>
      </c>
      <c r="Q156" s="12">
        <f>INDEX(C_alpha_beta[],MATCH(HC[[#This Row],[Solo]],C_alpha_beta[Solo],0),MATCH(HC[[#Headers],[C (kPa)]],C_alpha_beta[#Headers],0))</f>
        <v>400</v>
      </c>
      <c r="R156" s="4">
        <f>INDEX(C_alpha_beta[],MATCH(HC[[#This Row],[Solo]],C_alpha_beta[Solo],0),MATCH(HC[[#Headers],[α ESF]],C_alpha_beta[#Headers],0))</f>
        <v>0.5</v>
      </c>
      <c r="S156" s="4">
        <f>INDEX(C_alpha_beta[],MATCH(HC[[#This Row],[Solo]],C_alpha_beta[Solo],0),MATCH(HC[[#Headers],[β ESF]],C_alpha_beta[#Headers],0))</f>
        <v>0.5</v>
      </c>
      <c r="T156" s="4">
        <f>IF(HC[[#This Row],[Prof. (m)]]=0,0,10*(HC[[#This Row],[NSPT]]/3+1))</f>
        <v>146.66666666666666</v>
      </c>
      <c r="U156" s="4">
        <f>(HC[[#This Row],[α ESF]]*HC[[#This Row],[C (kPa)]]*HC[[#This Row],[NSPT]]*HC[[#This Row],[Ap (m²)]])/'DADOS CAP. CARGA'!$Q$2+(HC[[#This Row],[β ESF]]*SUMIFS(HC[10∙(NL/3+1)],HC[Prof. (m)],"&lt;="&amp;HC[[#This Row],[Prof. (m)]],HC[idDiâmetro],HC[[#This Row],[idDiâmetro]],HC[idPilar],HC[[#This Row],[idPilar]])*HC[[#This Row],[U (m)]])/'DADOS CAP. CARGA'!$S$2</f>
        <v>669.55193429632459</v>
      </c>
      <c r="V156" s="4">
        <f>IF(SPT!$M$5=1,MIN(HC[[#This Row],[Pe HC (kN)]],HC[[#This Row],[R_AV (kN)]]),IF(SPT!$M$5=2,MIN(HC[[#This Row],[Pe HC (kN)]],HC[[#This Row],[R_DC (kN)]]),MIN(HC[[#This Row],[Pe HC (kN)]],HC[[#This Row],[R_AV (kN)]],HC[[#This Row],[R_DC (kN)]])))</f>
        <v>669.55193429632459</v>
      </c>
      <c r="W156" s="4">
        <f>INDEX(PILARES[],HC[[#This Row],[idPilar]],MATCH("Carga (kN)",PILARES[#Headers],0))*1.4</f>
        <v>3500</v>
      </c>
      <c r="X156" s="12">
        <f>INDEX(PILARES[],HC[[#This Row],[idPilar]],MATCH(HC[[#Headers],[ap (cm)]],PILARES[#Headers],0))</f>
        <v>60</v>
      </c>
      <c r="Y156" s="12">
        <f>INDEX(PILARES[],HC[[#This Row],[idPilar]],MATCH(HC[[#Headers],[bp (cm)]],PILARES[#Headers],0))</f>
        <v>60</v>
      </c>
      <c r="Z156" s="4">
        <f>SQRT(HC[[#This Row],[ap (cm)]]*HC[[#This Row],[bp (cm)]])</f>
        <v>60</v>
      </c>
      <c r="AA156" s="12">
        <f>HC[[#This Row],[ap (cm)]]*HC[[#This Row],[bp (cm)]]</f>
        <v>3600</v>
      </c>
      <c r="AB156" s="12">
        <f ca="1">IF(HC[[#This Row],[Padm∙ε (kN)]]&gt;=HC[[#This Row],[Padm (kN)]],ROUNDUP(1.05*HC[[#This Row],[Nsd (kN)]]/HC[[#This Row],[Padm (kN)]],0),ROUNDUP(1.05*HC[[#This Row],[Nsd (kN)]]/HC[[#This Row],[Padm (kN)]],0)+1)</f>
        <v>6</v>
      </c>
      <c r="AC156" s="4" t="str">
        <f ca="1">IFERROR(IF(HC[[#This Row],[nE]]=1,HC[[#This Row],[Padm (kN)]],HC[[#This Row],[Padm (kN)]]*HC[[#This Row],[nE]]*INDEX(grupoEstacas[],HC[[#This Row],[nE]],MATCH("ε",grupoEstacas[#Headers],0))),"N.S.")</f>
        <v>N.S.</v>
      </c>
      <c r="AD156" s="4">
        <f ca="1">1.05*HC[[#This Row],[Nsd (kN)]]/(HC[[#This Row],[nE]]*PI()*HC[[#This Row],[Ø (cm)]]^2/4)*10</f>
        <v>3.1194368846011491</v>
      </c>
      <c r="AE156" s="4">
        <f ca="1">IF(HC[[#This Row],[σ (MPa)]]&lt;INDEX(tipoEstaca[],MATCH($D$2,tipoEstaca[TIPO DE ESTACA],0),MATCH("σmáx (MPa)",tipoEstaca[#Headers],0)),0.4%*PI()*HC[[#This Row],[Ø (cm)]]^2/4,"N.S.")</f>
        <v>7.8539816339744837</v>
      </c>
      <c r="AF156" s="1">
        <f>INDEX(tipoEstaca[],MATCH($D$2,tipoEstaca[TIPO DE ESTACA],0),MATCH(HC[[#Headers],[Comprimento (m)]],tipoEstaca[#Headers],0))</f>
        <v>4</v>
      </c>
      <c r="AG156" s="5">
        <f ca="1">HC[[#This Row],[As,mín (cm²)]]/100^2*HC[[#This Row],[Comprimento (m)]]*7850</f>
        <v>24.661502330679877</v>
      </c>
      <c r="AH156" s="4">
        <f ca="1">HC[[#This Row],[nE]]*HC[[#This Row],[Prof. (m)]]*HC[[#This Row],[Ap (m²)]]</f>
        <v>12.959069696057897</v>
      </c>
      <c r="AI156" s="1">
        <f ca="1">IF(HC[[#This Row],[nE]]=1,0,MAX(3*HC[[#This Row],[Ø (cm)]],60))</f>
        <v>150</v>
      </c>
      <c r="AJ156" s="1">
        <f ca="1">IF(HC[[#This Row],[nE]]=1,HC[[#This Row],[Ø (cm)]]+2*10,MAX(1.5*HC[[#This Row],[Ø (cm)]],HC[[#This Row],[Ø (cm)]]+15))</f>
        <v>75</v>
      </c>
      <c r="AK156" s="1" t="str">
        <f ca="1">alturaUtil(HC[[#This Row],[nE]],HC[[#This Row],[Ø (cm)]],HC[[#This Row],[e (cm)]],HC[[#This Row],[ap,eq (cm)]])</f>
        <v>N.S.</v>
      </c>
      <c r="AL156" s="1" t="str">
        <f ca="1">IFERROR(HC[[#This Row],[d (cm)]]+arredondarParaCimaMultiplo5cm(MAX(5,SQRT(PI())/2*HC[[#This Row],[Ø (cm)]]/5)),"N.S.")</f>
        <v>N.S.</v>
      </c>
      <c r="AM156" s="5" t="str">
        <f ca="1">alpha(HC[[#This Row],[nE]],HC[[#This Row],[d (cm)]],HC[[#This Row],[e (cm)]],HC[[#This Row],[ap,eq (cm)]])</f>
        <v>N.S.</v>
      </c>
      <c r="AN156" s="35" t="str">
        <f ca="1">IFERROR(HC[[#This Row],[Nsd (kN)]]/(HC[[#This Row],[Ap (cm²)]]*SIN(HC[[#This Row],[α]])^2),"N.S.")</f>
        <v>N.S.</v>
      </c>
      <c r="AO156" s="35" t="str">
        <f ca="1">IFERROR(HC[[#This Row],[Nsd (kN)]]/(HC[[#This Row],[nE]]*PI()*HC[[#This Row],[Ø (cm)]]^2/4*SIN(HC[[#This Row],[α]])^2),"N.S.")</f>
        <v>N.S.</v>
      </c>
      <c r="AP156" s="4" t="str">
        <f ca="1">IFERROR(INDEX(grupoEstacas[],HC[[#This Row],[nE]],MATCH("coef. Blévot",grupoEstacas[#Headers],0)),"N.S.")</f>
        <v>N.S.</v>
      </c>
      <c r="AQ156" s="35" t="str">
        <f ca="1">IFERROR(HC[[#This Row],[coef. Blévot]]*0.9*INDEX(tipoEstaca[],MATCH($D$2,tipoEstaca[TIPO DE ESTACA],0),MATCH("fcd (kN/cm²)",tipoEstaca[#Headers],0)),"N.S.")</f>
        <v>N.S.</v>
      </c>
      <c r="AR156" s="1" t="str">
        <f ca="1">IF(AND(HC[[#This Row],[cd,b,pil (kN/cm²)]]&lt;=HC[[#This Row],[cd,b,lim (kN/cm²)]],HC[[#This Row],[cd,b,est (kN/cm²)]]&lt;=HC[[#This Row],[cd,b,lim (kN/cm²)]]),"OK","ERRO")</f>
        <v>OK</v>
      </c>
      <c r="AS156" s="4" t="str">
        <f ca="1">As_lado(HC[[#This Row],[nE]],HC[[#This Row],[Nsd (kN)]],HC[[#This Row],[d (cm)]],HC[[#This Row],[e (cm)]],HC[[#This Row],[ap,eq (cm)]])</f>
        <v>N.S.</v>
      </c>
      <c r="AT156" s="4" t="str">
        <f ca="1">IF(HC[[#This Row],[nE]]=1,HC[[#This Row],[As,lado (cm²)]],IF(HC[[#This Row],[nE]]=2,0.075*2*HC[a (cm)],"N.A."))</f>
        <v>N.A.</v>
      </c>
      <c r="AU156" s="4" t="str">
        <f ca="1">IFERROR(IF(HC[[#This Row],[nE]]=1,"N.A.",0.2*HC[[#This Row],[As,lado (cm²)]]),"N.S.")</f>
        <v>N.S.</v>
      </c>
      <c r="AV156" s="4" t="str">
        <f ca="1">As_malha(HC[[#This Row],[nE]],HC[[#This Row],[As,lado (cm²)]],HC[[#This Row],[Nsd (kN)]])</f>
        <v>N.S.</v>
      </c>
      <c r="AW156" s="4" t="str">
        <f ca="1">As_susp_tot(HC[[#This Row],[nE]],HC[[#This Row],[Nsd (kN)]])</f>
        <v>N.S.</v>
      </c>
      <c r="AX156" s="4" t="str">
        <f ca="1">Asp_face(HC[[#This Row],[nE]],HC[[#This Row],[As,lado (cm²)]])</f>
        <v>N.S.</v>
      </c>
      <c r="AY156" s="5" t="str">
        <f ca="1">acoBloco(HC[[#This Row],[nE]],HC[[#This Row],[e (cm)]],HC[[#This Row],[a (cm)]],HC[[#This Row],[h (cm)]],HC[[#This Row],[As,lado (cm²)]],HC[[#This Row],[Asp e Asw (cm²/m)]],HC[[#This Row],[As,sup (cm²)]],HC[[#This Row],[As,malha (cm²)]],HC[[#This Row],[As,susp,tot (cm²)]],HC[[#This Row],[Asp,face (cm²)]])</f>
        <v>N.S.</v>
      </c>
      <c r="AZ156" s="4" t="str">
        <f ca="1">concretoBloco(HC[[#This Row],[nE]],HC[[#This Row],[e (cm)]],HC[[#This Row],[a (cm)]],HC[[#This Row],[h (cm)]])</f>
        <v>N.S.</v>
      </c>
      <c r="BA156" s="5">
        <f ca="1">SUM(HC[[#This Row],[Aço Est (kg)]],HC[[#This Row],[Aço Bloco (kg)]])</f>
        <v>24.661502330679877</v>
      </c>
      <c r="BB156" s="4">
        <f>INDEX(composicoes[],MATCH(95580,composicoes[CÓDIGO],0),MATCH("CUSTO TOTAL",composicoes[#Headers],0))</f>
        <v>10.46</v>
      </c>
      <c r="BC156" s="4">
        <f ca="1">SUM(HC[[#This Row],[Conc Est (m³)]],HC[[#This Row],[Conc Bloco (m³)]])</f>
        <v>12.959069696057897</v>
      </c>
      <c r="BD156" s="4">
        <f>INDEX(composicoes[],MATCH(94966,composicoes[CÓDIGO],0),MATCH("CUSTO TOTAL",composicoes[#Headers],0))</f>
        <v>439.52</v>
      </c>
      <c r="BE156" s="38">
        <f ca="1">HC[[#This Row],[Aço (kg)]]*HC[[#This Row],[Aço (R$/kg)]]+HC[[#This Row],[Conc (m³)]]*HC[[#This Row],[Conc (R$/m³)]]</f>
        <v>5953.7296271902778</v>
      </c>
      <c r="BF156" s="4" t="str">
        <f ca="1">IF(COUNTIF(HC[#This Row],"N.S.")&gt;0,"lim.","OK")</f>
        <v>lim.</v>
      </c>
      <c r="BG156" s="4" t="str">
        <f>IF(HC[[#This Row],[Prof. (m)]]&lt;4,"lim.","OK")</f>
        <v>OK</v>
      </c>
      <c r="BH156" s="4" t="str">
        <f>IF(HC[[#This Row],[Prof. (m)]]&gt;=8*HC[[#This Row],[Ø (cm)]]/100,"OK","lim.")</f>
        <v>OK</v>
      </c>
      <c r="BI156" s="4" t="str">
        <f ca="1">IF(HC[[#This Row],[Verif. Biela]]="OK","OK","lim.")</f>
        <v>OK</v>
      </c>
      <c r="BJ156" s="4" t="str">
        <f ca="1">IF(COUNTA(HC[[#This Row],[Nº Est.]:[Biela comp.]])=COUNTIF(HC[[#This Row],[Nº Est.]:[Biela comp.]],"OK"),"OK","lim.")</f>
        <v>lim.</v>
      </c>
      <c r="BK156" s="4" t="str">
        <f ca="1">IF(HC[[#This Row],[Controle]]="OK",HC[[#This Row],[nE]]&amp;" Ø"&amp;HC[[#This Row],[Ø (cm)]]&amp;"cm Prof. "&amp;HC[[#This Row],[Prof. (m)]]&amp;" m","")</f>
        <v/>
      </c>
      <c r="BL156" s="4" t="str">
        <f ca="1">IF(HC[[#This Row],[idDimensionamento]]="","",HC[[#This Row],[idPilar]]&amp;HC[[#This Row],[idDimensionamento]])</f>
        <v/>
      </c>
    </row>
    <row r="157" spans="2:64" x14ac:dyDescent="0.25">
      <c r="B157" s="12">
        <f>ROUNDUP((ROW(HC[[#This Row],[idDiâmetro]])-ROW(HC[[#Headers],[idDiâmetro]]))/(COUNT(SPT[Prof. (m)])*COUNT(PILARES[Pilar])),0)</f>
        <v>6</v>
      </c>
      <c r="C157" s="12">
        <f>IF(HC[[#This Row],[idDiâmetro]]&lt;&gt;B156,1,IF(HC[[#This Row],[Prof. (m)]]=0,C156+1,C156))</f>
        <v>1</v>
      </c>
      <c r="D157" s="1">
        <f>IFERROR(IF(D156=MAX(SPT[Prof. (m)]),0,D156+1),0)</f>
        <v>12</v>
      </c>
      <c r="E157" s="1">
        <f>INDEX(SPT[],MATCH(HC[[#This Row],[Prof. (m)]],SPT[Prof. (m)],0),2)</f>
        <v>52</v>
      </c>
      <c r="F157" s="1" t="str">
        <f>INDEX(SPT[],MATCH(HC[[#This Row],[Prof. (m)]],SPT[Prof. (m)],0),3)</f>
        <v>Areia siltosa</v>
      </c>
      <c r="G157" s="1">
        <f>INDEX(estacas[],HC[[#This Row],[idDiâmetro]],MATCH($B$2,estacas[#Headers],0))</f>
        <v>50</v>
      </c>
      <c r="H157" s="1">
        <f>INDEX(estacas[],MATCH(HC[[#This Row],[Ø (cm)]],estacas[Ø HC (cm)],0),MATCH(HC[[#Headers],[Pe HC (kN)]],estacas[#Headers],0))</f>
        <v>1250</v>
      </c>
      <c r="I157" s="4">
        <f>INDEX(K_alpha_C[],MATCH(HC[[#This Row],[Solo]],K_alpha_C[Solo],0),2)</f>
        <v>0.8</v>
      </c>
      <c r="J157" s="5">
        <f>INDEX(K_alpha_C[],MATCH(HC[[#This Row],[Solo]],K_alpha_C[Solo],0),3)</f>
        <v>2</v>
      </c>
      <c r="K157" s="4">
        <f>INDEX(F1_F2[],MATCH($D$2,F1_F2[Tipo de estaca],0),2)</f>
        <v>2</v>
      </c>
      <c r="L157" s="4">
        <f>INDEX(F1_F2[],MATCH($D$2,F1_F2[Tipo de estaca],0),3)</f>
        <v>4</v>
      </c>
      <c r="M157" s="4">
        <f>PI()*(HC[[#This Row],[Ø (cm)]]/100)^2/4</f>
        <v>0.19634954084936207</v>
      </c>
      <c r="N157" s="4">
        <f>PI()*HC[[#This Row],[Ø (cm)]]/100</f>
        <v>1.5707963267948966</v>
      </c>
      <c r="O157" s="4">
        <f>IF(HC[[#This Row],[Prof. (m)]]=0,0,HC[[#This Row],[α (%)]]/100*HC[[#This Row],[K (MPa)]]*1000*HC[[#This Row],[NSPT]])</f>
        <v>832</v>
      </c>
      <c r="P157" s="4">
        <f>IF(HC[[#This Row],[Prof. (m)]]=0,0,(HC[[#This Row],[K (MPa)]]*1000*HC[[#This Row],[NSPT]]/HC[[#This Row],[F1]]*HC[[#This Row],[Ap (m²)]]+HC[[#This Row],[U (m)]]/HC[[#This Row],[F2]]*SUMIFS(HC[(α∙K∙NL∙ΔL)],HC[Prof. (m)],"&lt;="&amp;HC[[#This Row],[Prof. (m)]],HC[idDiâmetro],HC[[#This Row],[idDiâmetro]],HC[idPilar],HC[[#This Row],[idPilar]]))/'DADOS CAP. CARGA'!$D$2)</f>
        <v>2712.7456214207014</v>
      </c>
      <c r="Q157" s="12">
        <f>INDEX(C_alpha_beta[],MATCH(HC[[#This Row],[Solo]],C_alpha_beta[Solo],0),MATCH(HC[[#Headers],[C (kPa)]],C_alpha_beta[#Headers],0))</f>
        <v>400</v>
      </c>
      <c r="R157" s="4">
        <f>INDEX(C_alpha_beta[],MATCH(HC[[#This Row],[Solo]],C_alpha_beta[Solo],0),MATCH(HC[[#Headers],[α ESF]],C_alpha_beta[#Headers],0))</f>
        <v>0.5</v>
      </c>
      <c r="S157" s="4">
        <f>INDEX(C_alpha_beta[],MATCH(HC[[#This Row],[Solo]],C_alpha_beta[Solo],0),MATCH(HC[[#Headers],[β ESF]],C_alpha_beta[#Headers],0))</f>
        <v>0.5</v>
      </c>
      <c r="T157" s="4">
        <f>IF(HC[[#This Row],[Prof. (m)]]=0,0,10*(HC[[#This Row],[NSPT]]/3+1))</f>
        <v>183.33333333333331</v>
      </c>
      <c r="U157" s="4">
        <f>(HC[[#This Row],[α ESF]]*HC[[#This Row],[C (kPa)]]*HC[[#This Row],[NSPT]]*HC[[#This Row],[Ap (m²)]])/'DADOS CAP. CARGA'!$Q$2+(HC[[#This Row],[β ESF]]*SUMIFS(HC[10∙(NL/3+1)],HC[Prof. (m)],"&lt;="&amp;HC[[#This Row],[Prof. (m)]],HC[idDiâmetro],HC[[#This Row],[idDiâmetro]],HC[idPilar],HC[[#This Row],[idPilar]])*HC[[#This Row],[U (m)]])/'DADOS CAP. CARGA'!$S$2</f>
        <v>849.53901340823984</v>
      </c>
      <c r="V157" s="4">
        <f>IF(SPT!$M$5=1,MIN(HC[[#This Row],[Pe HC (kN)]],HC[[#This Row],[R_AV (kN)]]),IF(SPT!$M$5=2,MIN(HC[[#This Row],[Pe HC (kN)]],HC[[#This Row],[R_DC (kN)]]),MIN(HC[[#This Row],[Pe HC (kN)]],HC[[#This Row],[R_AV (kN)]],HC[[#This Row],[R_DC (kN)]])))</f>
        <v>849.53901340823984</v>
      </c>
      <c r="W157" s="4">
        <f>INDEX(PILARES[],HC[[#This Row],[idPilar]],MATCH("Carga (kN)",PILARES[#Headers],0))*1.4</f>
        <v>3500</v>
      </c>
      <c r="X157" s="12">
        <f>INDEX(PILARES[],HC[[#This Row],[idPilar]],MATCH(HC[[#Headers],[ap (cm)]],PILARES[#Headers],0))</f>
        <v>60</v>
      </c>
      <c r="Y157" s="12">
        <f>INDEX(PILARES[],HC[[#This Row],[idPilar]],MATCH(HC[[#Headers],[bp (cm)]],PILARES[#Headers],0))</f>
        <v>60</v>
      </c>
      <c r="Z157" s="4">
        <f>SQRT(HC[[#This Row],[ap (cm)]]*HC[[#This Row],[bp (cm)]])</f>
        <v>60</v>
      </c>
      <c r="AA157" s="12">
        <f>HC[[#This Row],[ap (cm)]]*HC[[#This Row],[bp (cm)]]</f>
        <v>3600</v>
      </c>
      <c r="AB157" s="12">
        <f ca="1">IF(HC[[#This Row],[Padm∙ε (kN)]]&gt;=HC[[#This Row],[Padm (kN)]],ROUNDUP(1.05*HC[[#This Row],[Nsd (kN)]]/HC[[#This Row],[Padm (kN)]],0),ROUNDUP(1.05*HC[[#This Row],[Nsd (kN)]]/HC[[#This Row],[Padm (kN)]],0)+1)</f>
        <v>5</v>
      </c>
      <c r="AC157" s="4" t="str">
        <f ca="1">IFERROR(IF(HC[[#This Row],[nE]]=1,HC[[#This Row],[Padm (kN)]],HC[[#This Row],[Padm (kN)]]*HC[[#This Row],[nE]]*INDEX(grupoEstacas[],HC[[#This Row],[nE]],MATCH("ε",grupoEstacas[#Headers],0))),"N.S.")</f>
        <v>N.S.</v>
      </c>
      <c r="AD157" s="4">
        <f ca="1">1.05*HC[[#This Row],[Nsd (kN)]]/(HC[[#This Row],[nE]]*PI()*HC[[#This Row],[Ø (cm)]]^2/4)*10</f>
        <v>3.7433242615213786</v>
      </c>
      <c r="AE157" s="4">
        <f ca="1">IF(HC[[#This Row],[σ (MPa)]]&lt;INDEX(tipoEstaca[],MATCH($D$2,tipoEstaca[TIPO DE ESTACA],0),MATCH("σmáx (MPa)",tipoEstaca[#Headers],0)),0.4%*PI()*HC[[#This Row],[Ø (cm)]]^2/4,"N.S.")</f>
        <v>7.8539816339744837</v>
      </c>
      <c r="AF157" s="1">
        <f>INDEX(tipoEstaca[],MATCH($D$2,tipoEstaca[TIPO DE ESTACA],0),MATCH(HC[[#Headers],[Comprimento (m)]],tipoEstaca[#Headers],0))</f>
        <v>4</v>
      </c>
      <c r="AG157" s="5">
        <f ca="1">HC[[#This Row],[As,mín (cm²)]]/100^2*HC[[#This Row],[Comprimento (m)]]*7850</f>
        <v>24.661502330679877</v>
      </c>
      <c r="AH157" s="4">
        <f ca="1">HC[[#This Row],[nE]]*HC[[#This Row],[Prof. (m)]]*HC[[#This Row],[Ap (m²)]]</f>
        <v>11.780972450961723</v>
      </c>
      <c r="AI157" s="1">
        <f ca="1">IF(HC[[#This Row],[nE]]=1,0,MAX(3*HC[[#This Row],[Ø (cm)]],60))</f>
        <v>150</v>
      </c>
      <c r="AJ157" s="1">
        <f ca="1">IF(HC[[#This Row],[nE]]=1,HC[[#This Row],[Ø (cm)]]+2*10,MAX(1.5*HC[[#This Row],[Ø (cm)]],HC[[#This Row],[Ø (cm)]]+15))</f>
        <v>75</v>
      </c>
      <c r="AK157" s="1" t="str">
        <f ca="1">alturaUtil(HC[[#This Row],[nE]],HC[[#This Row],[Ø (cm)]],HC[[#This Row],[e (cm)]],HC[[#This Row],[ap,eq (cm)]])</f>
        <v>N.S.</v>
      </c>
      <c r="AL157" s="1" t="str">
        <f ca="1">IFERROR(HC[[#This Row],[d (cm)]]+arredondarParaCimaMultiplo5cm(MAX(5,SQRT(PI())/2*HC[[#This Row],[Ø (cm)]]/5)),"N.S.")</f>
        <v>N.S.</v>
      </c>
      <c r="AM157" s="5" t="str">
        <f ca="1">alpha(HC[[#This Row],[nE]],HC[[#This Row],[d (cm)]],HC[[#This Row],[e (cm)]],HC[[#This Row],[ap,eq (cm)]])</f>
        <v>N.S.</v>
      </c>
      <c r="AN157" s="35" t="str">
        <f ca="1">IFERROR(HC[[#This Row],[Nsd (kN)]]/(HC[[#This Row],[Ap (cm²)]]*SIN(HC[[#This Row],[α]])^2),"N.S.")</f>
        <v>N.S.</v>
      </c>
      <c r="AO157" s="35" t="str">
        <f ca="1">IFERROR(HC[[#This Row],[Nsd (kN)]]/(HC[[#This Row],[nE]]*PI()*HC[[#This Row],[Ø (cm)]]^2/4*SIN(HC[[#This Row],[α]])^2),"N.S.")</f>
        <v>N.S.</v>
      </c>
      <c r="AP157" s="4" t="str">
        <f ca="1">IFERROR(INDEX(grupoEstacas[],HC[[#This Row],[nE]],MATCH("coef. Blévot",grupoEstacas[#Headers],0)),"N.S.")</f>
        <v>N.S.</v>
      </c>
      <c r="AQ157" s="35" t="str">
        <f ca="1">IFERROR(HC[[#This Row],[coef. Blévot]]*0.9*INDEX(tipoEstaca[],MATCH($D$2,tipoEstaca[TIPO DE ESTACA],0),MATCH("fcd (kN/cm²)",tipoEstaca[#Headers],0)),"N.S.")</f>
        <v>N.S.</v>
      </c>
      <c r="AR157" s="1" t="str">
        <f ca="1">IF(AND(HC[[#This Row],[cd,b,pil (kN/cm²)]]&lt;=HC[[#This Row],[cd,b,lim (kN/cm²)]],HC[[#This Row],[cd,b,est (kN/cm²)]]&lt;=HC[[#This Row],[cd,b,lim (kN/cm²)]]),"OK","ERRO")</f>
        <v>OK</v>
      </c>
      <c r="AS157" s="4" t="str">
        <f ca="1">As_lado(HC[[#This Row],[nE]],HC[[#This Row],[Nsd (kN)]],HC[[#This Row],[d (cm)]],HC[[#This Row],[e (cm)]],HC[[#This Row],[ap,eq (cm)]])</f>
        <v>N.S.</v>
      </c>
      <c r="AT157" s="4" t="str">
        <f ca="1">IF(HC[[#This Row],[nE]]=1,HC[[#This Row],[As,lado (cm²)]],IF(HC[[#This Row],[nE]]=2,0.075*2*HC[a (cm)],"N.A."))</f>
        <v>N.A.</v>
      </c>
      <c r="AU157" s="4" t="str">
        <f ca="1">IFERROR(IF(HC[[#This Row],[nE]]=1,"N.A.",0.2*HC[[#This Row],[As,lado (cm²)]]),"N.S.")</f>
        <v>N.S.</v>
      </c>
      <c r="AV157" s="4" t="str">
        <f ca="1">As_malha(HC[[#This Row],[nE]],HC[[#This Row],[As,lado (cm²)]],HC[[#This Row],[Nsd (kN)]])</f>
        <v>N.S.</v>
      </c>
      <c r="AW157" s="4" t="str">
        <f ca="1">As_susp_tot(HC[[#This Row],[nE]],HC[[#This Row],[Nsd (kN)]])</f>
        <v>N.S.</v>
      </c>
      <c r="AX157" s="4" t="str">
        <f ca="1">Asp_face(HC[[#This Row],[nE]],HC[[#This Row],[As,lado (cm²)]])</f>
        <v>N.S.</v>
      </c>
      <c r="AY157" s="5" t="str">
        <f ca="1">acoBloco(HC[[#This Row],[nE]],HC[[#This Row],[e (cm)]],HC[[#This Row],[a (cm)]],HC[[#This Row],[h (cm)]],HC[[#This Row],[As,lado (cm²)]],HC[[#This Row],[Asp e Asw (cm²/m)]],HC[[#This Row],[As,sup (cm²)]],HC[[#This Row],[As,malha (cm²)]],HC[[#This Row],[As,susp,tot (cm²)]],HC[[#This Row],[Asp,face (cm²)]])</f>
        <v>N.S.</v>
      </c>
      <c r="AZ157" s="4" t="str">
        <f ca="1">concretoBloco(HC[[#This Row],[nE]],HC[[#This Row],[e (cm)]],HC[[#This Row],[a (cm)]],HC[[#This Row],[h (cm)]])</f>
        <v>N.S.</v>
      </c>
      <c r="BA157" s="5">
        <f ca="1">SUM(HC[[#This Row],[Aço Est (kg)]],HC[[#This Row],[Aço Bloco (kg)]])</f>
        <v>24.661502330679877</v>
      </c>
      <c r="BB157" s="4">
        <f>INDEX(composicoes[],MATCH(95580,composicoes[CÓDIGO],0),MATCH("CUSTO TOTAL",composicoes[#Headers],0))</f>
        <v>10.46</v>
      </c>
      <c r="BC157" s="4">
        <f ca="1">SUM(HC[[#This Row],[Conc Est (m³)]],HC[[#This Row],[Conc Bloco (m³)]])</f>
        <v>11.780972450961723</v>
      </c>
      <c r="BD157" s="4">
        <f>INDEX(composicoes[],MATCH(94966,composicoes[CÓDIGO],0),MATCH("CUSTO TOTAL",composicoes[#Headers],0))</f>
        <v>439.52</v>
      </c>
      <c r="BE157" s="38">
        <f ca="1">HC[[#This Row],[Aço (kg)]]*HC[[#This Row],[Aço (R$/kg)]]+HC[[#This Row],[Conc (m³)]]*HC[[#This Row],[Conc (R$/m³)]]</f>
        <v>5435.9323260256078</v>
      </c>
      <c r="BF157" s="4" t="str">
        <f ca="1">IF(COUNTIF(HC[#This Row],"N.S.")&gt;0,"lim.","OK")</f>
        <v>lim.</v>
      </c>
      <c r="BG157" s="4" t="str">
        <f>IF(HC[[#This Row],[Prof. (m)]]&lt;4,"lim.","OK")</f>
        <v>OK</v>
      </c>
      <c r="BH157" s="4" t="str">
        <f>IF(HC[[#This Row],[Prof. (m)]]&gt;=8*HC[[#This Row],[Ø (cm)]]/100,"OK","lim.")</f>
        <v>OK</v>
      </c>
      <c r="BI157" s="4" t="str">
        <f ca="1">IF(HC[[#This Row],[Verif. Biela]]="OK","OK","lim.")</f>
        <v>OK</v>
      </c>
      <c r="BJ157" s="4" t="str">
        <f ca="1">IF(COUNTA(HC[[#This Row],[Nº Est.]:[Biela comp.]])=COUNTIF(HC[[#This Row],[Nº Est.]:[Biela comp.]],"OK"),"OK","lim.")</f>
        <v>lim.</v>
      </c>
      <c r="BK157" s="4" t="str">
        <f ca="1">IF(HC[[#This Row],[Controle]]="OK",HC[[#This Row],[nE]]&amp;" Ø"&amp;HC[[#This Row],[Ø (cm)]]&amp;"cm Prof. "&amp;HC[[#This Row],[Prof. (m)]]&amp;" m","")</f>
        <v/>
      </c>
      <c r="BL157" s="4" t="str">
        <f ca="1">IF(HC[[#This Row],[idDimensionamento]]="","",HC[[#This Row],[idPilar]]&amp;HC[[#This Row],[idDimensionamento]])</f>
        <v/>
      </c>
    </row>
    <row r="158" spans="2:64" x14ac:dyDescent="0.25">
      <c r="B158" s="12">
        <f>ROUNDUP((ROW(HC[[#This Row],[idDiâmetro]])-ROW(HC[[#Headers],[idDiâmetro]]))/(COUNT(SPT[Prof. (m)])*COUNT(PILARES[Pilar])),0)</f>
        <v>6</v>
      </c>
      <c r="C158" s="12">
        <f>IF(HC[[#This Row],[idDiâmetro]]&lt;&gt;B157,1,IF(HC[[#This Row],[Prof. (m)]]=0,C157+1,C157))</f>
        <v>1</v>
      </c>
      <c r="D158" s="1">
        <f>IFERROR(IF(D157=MAX(SPT[Prof. (m)]),0,D157+1),0)</f>
        <v>13</v>
      </c>
      <c r="E158" s="1">
        <f>INDEX(SPT[],MATCH(HC[[#This Row],[Prof. (m)]],SPT[Prof. (m)],0),2)</f>
        <v>68</v>
      </c>
      <c r="F158" s="1" t="str">
        <f>INDEX(SPT[],MATCH(HC[[#This Row],[Prof. (m)]],SPT[Prof. (m)],0),3)</f>
        <v>Areia siltosa</v>
      </c>
      <c r="G158" s="1">
        <f>INDEX(estacas[],HC[[#This Row],[idDiâmetro]],MATCH($B$2,estacas[#Headers],0))</f>
        <v>50</v>
      </c>
      <c r="H158" s="1">
        <f>INDEX(estacas[],MATCH(HC[[#This Row],[Ø (cm)]],estacas[Ø HC (cm)],0),MATCH(HC[[#Headers],[Pe HC (kN)]],estacas[#Headers],0))</f>
        <v>1250</v>
      </c>
      <c r="I158" s="4">
        <f>INDEX(K_alpha_C[],MATCH(HC[[#This Row],[Solo]],K_alpha_C[Solo],0),2)</f>
        <v>0.8</v>
      </c>
      <c r="J158" s="5">
        <f>INDEX(K_alpha_C[],MATCH(HC[[#This Row],[Solo]],K_alpha_C[Solo],0),3)</f>
        <v>2</v>
      </c>
      <c r="K158" s="4">
        <f>INDEX(F1_F2[],MATCH($D$2,F1_F2[Tipo de estaca],0),2)</f>
        <v>2</v>
      </c>
      <c r="L158" s="4">
        <f>INDEX(F1_F2[],MATCH($D$2,F1_F2[Tipo de estaca],0),3)</f>
        <v>4</v>
      </c>
      <c r="M158" s="4">
        <f>PI()*(HC[[#This Row],[Ø (cm)]]/100)^2/4</f>
        <v>0.19634954084936207</v>
      </c>
      <c r="N158" s="4">
        <f>PI()*HC[[#This Row],[Ø (cm)]]/100</f>
        <v>1.5707963267948966</v>
      </c>
      <c r="O158" s="4">
        <f>IF(HC[[#This Row],[Prof. (m)]]=0,0,HC[[#This Row],[α (%)]]/100*HC[[#This Row],[K (MPa)]]*1000*HC[[#This Row],[NSPT]])</f>
        <v>1088</v>
      </c>
      <c r="P158" s="4">
        <f>IF(HC[[#This Row],[Prof. (m)]]=0,0,(HC[[#This Row],[K (MPa)]]*1000*HC[[#This Row],[NSPT]]/HC[[#This Row],[F1]]*HC[[#This Row],[Ap (m²)]]+HC[[#This Row],[U (m)]]/HC[[#This Row],[F2]]*SUMIFS(HC[(α∙K∙NL∙ΔL)],HC[Prof. (m)],"&lt;="&amp;HC[[#This Row],[Prof. (m)]],HC[idDiâmetro],HC[[#This Row],[idDiâmetro]],HC[idPilar],HC[[#This Row],[idPilar]]))/'DADOS CAP. CARGA'!$D$2)</f>
        <v>3554.6924525827658</v>
      </c>
      <c r="Q158" s="12">
        <f>INDEX(C_alpha_beta[],MATCH(HC[[#This Row],[Solo]],C_alpha_beta[Solo],0),MATCH(HC[[#Headers],[C (kPa)]],C_alpha_beta[#Headers],0))</f>
        <v>400</v>
      </c>
      <c r="R158" s="4">
        <f>INDEX(C_alpha_beta[],MATCH(HC[[#This Row],[Solo]],C_alpha_beta[Solo],0),MATCH(HC[[#Headers],[α ESF]],C_alpha_beta[#Headers],0))</f>
        <v>0.5</v>
      </c>
      <c r="S158" s="4">
        <f>INDEX(C_alpha_beta[],MATCH(HC[[#This Row],[Solo]],C_alpha_beta[Solo],0),MATCH(HC[[#Headers],[β ESF]],C_alpha_beta[#Headers],0))</f>
        <v>0.5</v>
      </c>
      <c r="T158" s="4">
        <f>IF(HC[[#This Row],[Prof. (m)]]=0,0,10*(HC[[#This Row],[NSPT]]/3+1))</f>
        <v>236.66666666666669</v>
      </c>
      <c r="U158" s="4">
        <f>(HC[[#This Row],[α ESF]]*HC[[#This Row],[C (kPa)]]*HC[[#This Row],[NSPT]]*HC[[#This Row],[Ap (m²)]])/'DADOS CAP. CARGA'!$Q$2+(HC[[#This Row],[β ESF]]*SUMIFS(HC[10∙(NL/3+1)],HC[Prof. (m)],"&lt;="&amp;HC[[#This Row],[Prof. (m)]],HC[idDiâmetro],HC[[#This Row],[idDiâmetro]],HC[idPilar],HC[[#This Row],[idPilar]])*HC[[#This Row],[U (m)]])/'DADOS CAP. CARGA'!$S$2</f>
        <v>1099.5574287564275</v>
      </c>
      <c r="V158" s="4">
        <f>IF(SPT!$M$5=1,MIN(HC[[#This Row],[Pe HC (kN)]],HC[[#This Row],[R_AV (kN)]]),IF(SPT!$M$5=2,MIN(HC[[#This Row],[Pe HC (kN)]],HC[[#This Row],[R_DC (kN)]]),MIN(HC[[#This Row],[Pe HC (kN)]],HC[[#This Row],[R_AV (kN)]],HC[[#This Row],[R_DC (kN)]])))</f>
        <v>1099.5574287564275</v>
      </c>
      <c r="W158" s="4">
        <f>INDEX(PILARES[],HC[[#This Row],[idPilar]],MATCH("Carga (kN)",PILARES[#Headers],0))*1.4</f>
        <v>3500</v>
      </c>
      <c r="X158" s="12">
        <f>INDEX(PILARES[],HC[[#This Row],[idPilar]],MATCH(HC[[#Headers],[ap (cm)]],PILARES[#Headers],0))</f>
        <v>60</v>
      </c>
      <c r="Y158" s="12">
        <f>INDEX(PILARES[],HC[[#This Row],[idPilar]],MATCH(HC[[#Headers],[bp (cm)]],PILARES[#Headers],0))</f>
        <v>60</v>
      </c>
      <c r="Z158" s="4">
        <f>SQRT(HC[[#This Row],[ap (cm)]]*HC[[#This Row],[bp (cm)]])</f>
        <v>60</v>
      </c>
      <c r="AA158" s="12">
        <f>HC[[#This Row],[ap (cm)]]*HC[[#This Row],[bp (cm)]]</f>
        <v>3600</v>
      </c>
      <c r="AB158" s="12">
        <f ca="1">IF(HC[[#This Row],[Padm∙ε (kN)]]&gt;=HC[[#This Row],[Padm (kN)]],ROUNDUP(1.05*HC[[#This Row],[Nsd (kN)]]/HC[[#This Row],[Padm (kN)]],0),ROUNDUP(1.05*HC[[#This Row],[Nsd (kN)]]/HC[[#This Row],[Padm (kN)]],0)+1)</f>
        <v>4</v>
      </c>
      <c r="AC158" s="4">
        <f ca="1">IFERROR(IF(HC[[#This Row],[nE]]=1,HC[[#This Row],[Padm (kN)]],HC[[#This Row],[Padm (kN)]]*HC[[#This Row],[nE]]*INDEX(grupoEstacas[],HC[[#This Row],[nE]],MATCH("ε",grupoEstacas[#Headers],0))),"N.S.")</f>
        <v>3573.5616434583894</v>
      </c>
      <c r="AD158" s="4">
        <f ca="1">1.05*HC[[#This Row],[Nsd (kN)]]/(HC[[#This Row],[nE]]*PI()*HC[[#This Row],[Ø (cm)]]^2/4)*10</f>
        <v>4.6791553269017232</v>
      </c>
      <c r="AE158" s="4">
        <f ca="1">IF(HC[[#This Row],[σ (MPa)]]&lt;INDEX(tipoEstaca[],MATCH($D$2,tipoEstaca[TIPO DE ESTACA],0),MATCH("σmáx (MPa)",tipoEstaca[#Headers],0)),0.4%*PI()*HC[[#This Row],[Ø (cm)]]^2/4,"N.S.")</f>
        <v>7.8539816339744837</v>
      </c>
      <c r="AF158" s="1">
        <f>INDEX(tipoEstaca[],MATCH($D$2,tipoEstaca[TIPO DE ESTACA],0),MATCH(HC[[#Headers],[Comprimento (m)]],tipoEstaca[#Headers],0))</f>
        <v>4</v>
      </c>
      <c r="AG158" s="5">
        <f ca="1">HC[[#This Row],[As,mín (cm²)]]/100^2*HC[[#This Row],[Comprimento (m)]]*7850</f>
        <v>24.661502330679877</v>
      </c>
      <c r="AH158" s="4">
        <f ca="1">HC[[#This Row],[nE]]*HC[[#This Row],[Prof. (m)]]*HC[[#This Row],[Ap (m²)]]</f>
        <v>10.210176124166829</v>
      </c>
      <c r="AI158" s="1">
        <f ca="1">IF(HC[[#This Row],[nE]]=1,0,MAX(3*HC[[#This Row],[Ø (cm)]],60))</f>
        <v>150</v>
      </c>
      <c r="AJ158" s="1">
        <f ca="1">IF(HC[[#This Row],[nE]]=1,HC[[#This Row],[Ø (cm)]]+2*10,MAX(1.5*HC[[#This Row],[Ø (cm)]],HC[[#This Row],[Ø (cm)]]+15))</f>
        <v>75</v>
      </c>
      <c r="AK158" s="1">
        <f ca="1">alturaUtil(HC[[#This Row],[nE]],HC[[#This Row],[Ø (cm)]],HC[[#This Row],[e (cm)]],HC[[#This Row],[ap,eq (cm)]])</f>
        <v>60</v>
      </c>
      <c r="AL158" s="1">
        <f ca="1">IFERROR(HC[[#This Row],[d (cm)]]+arredondarParaCimaMultiplo5cm(MAX(5,SQRT(PI())/2*HC[[#This Row],[Ø (cm)]]/5)),"N.S.")</f>
        <v>70</v>
      </c>
      <c r="AM158" s="5">
        <f ca="1">alpha(HC[[#This Row],[nE]],HC[[#This Row],[d (cm)]],HC[[#This Row],[e (cm)]],HC[[#This Row],[ap,eq (cm)]])</f>
        <v>45</v>
      </c>
      <c r="AN158" s="35">
        <f ca="1">IFERROR(HC[[#This Row],[Nsd (kN)]]/(HC[[#This Row],[Ap (cm²)]]*SIN(HC[[#This Row],[α]])^2),"N.S.")</f>
        <v>1.3427801064714635</v>
      </c>
      <c r="AO158" s="35">
        <f ca="1">IFERROR(HC[[#This Row],[Nsd (kN)]]/(HC[[#This Row],[nE]]*PI()*HC[[#This Row],[Ø (cm)]]^2/4*SIN(HC[[#This Row],[α]])^2),"N.S.")</f>
        <v>0.61548506331953745</v>
      </c>
      <c r="AP158" s="4">
        <f ca="1">IFERROR(INDEX(grupoEstacas[],HC[[#This Row],[nE]],MATCH("coef. Blévot",grupoEstacas[#Headers],0)),"N.S.")</f>
        <v>2.1</v>
      </c>
      <c r="AQ158" s="35">
        <f ca="1">IFERROR(HC[[#This Row],[coef. Blévot]]*0.9*INDEX(tipoEstaca[],MATCH($D$2,tipoEstaca[TIPO DE ESTACA],0),MATCH("fcd (kN/cm²)",tipoEstaca[#Headers],0)),"N.S.")</f>
        <v>2.1</v>
      </c>
      <c r="AR158" s="1" t="str">
        <f ca="1">IF(AND(HC[[#This Row],[cd,b,pil (kN/cm²)]]&lt;=HC[[#This Row],[cd,b,lim (kN/cm²)]],HC[[#This Row],[cd,b,est (kN/cm²)]]&lt;=HC[[#This Row],[cd,b,lim (kN/cm²)]]),"OK","ERRO")</f>
        <v>OK</v>
      </c>
      <c r="AS158" s="4">
        <f ca="1">As_lado(HC[[#This Row],[nE]],HC[[#This Row],[Nsd (kN)]],HC[[#This Row],[d (cm)]],HC[[#This Row],[e (cm)]],HC[[#This Row],[ap,eq (cm)]])</f>
        <v>20.125</v>
      </c>
      <c r="AT158" s="4" t="str">
        <f ca="1">IF(HC[[#This Row],[nE]]=1,HC[[#This Row],[As,lado (cm²)]],IF(HC[[#This Row],[nE]]=2,0.075*2*HC[a (cm)],"N.A."))</f>
        <v>N.A.</v>
      </c>
      <c r="AU158" s="4">
        <f ca="1">IFERROR(IF(HC[[#This Row],[nE]]=1,"N.A.",0.2*HC[[#This Row],[As,lado (cm²)]]),"N.S.")</f>
        <v>4.0250000000000004</v>
      </c>
      <c r="AV158" s="4">
        <f ca="1">As_malha(HC[[#This Row],[nE]],HC[[#This Row],[As,lado (cm²)]],HC[[#This Row],[Nsd (kN)]])</f>
        <v>4.0250000000000004</v>
      </c>
      <c r="AW158" s="4">
        <f ca="1">As_susp_tot(HC[[#This Row],[nE]],HC[[#This Row],[Nsd (kN)]])</f>
        <v>13.416666666666666</v>
      </c>
      <c r="AX158" s="4">
        <f ca="1">Asp_face(HC[[#This Row],[nE]],HC[[#This Row],[As,lado (cm²)]])</f>
        <v>10.0625</v>
      </c>
      <c r="AY158" s="5">
        <f ca="1">acoBloco(HC[[#This Row],[nE]],HC[[#This Row],[e (cm)]],HC[[#This Row],[a (cm)]],HC[[#This Row],[h (cm)]],HC[[#This Row],[As,lado (cm²)]],HC[[#This Row],[Asp e Asw (cm²/m)]],HC[[#This Row],[As,sup (cm²)]],HC[[#This Row],[As,malha (cm²)]],HC[[#This Row],[As,susp,tot (cm²)]],HC[[#This Row],[Asp,face (cm²)]])</f>
        <v>348.61195833333335</v>
      </c>
      <c r="AZ158" s="4">
        <f ca="1">concretoBloco(HC[[#This Row],[nE]],HC[[#This Row],[e (cm)]],HC[[#This Row],[a (cm)]],HC[[#This Row],[h (cm)]])</f>
        <v>6.3</v>
      </c>
      <c r="BA158" s="5">
        <f ca="1">SUM(HC[[#This Row],[Aço Est (kg)]],HC[[#This Row],[Aço Bloco (kg)]])</f>
        <v>373.27346066401321</v>
      </c>
      <c r="BB158" s="4">
        <f>INDEX(composicoes[],MATCH(95580,composicoes[CÓDIGO],0),MATCH("CUSTO TOTAL",composicoes[#Headers],0))</f>
        <v>10.46</v>
      </c>
      <c r="BC158" s="4">
        <f ca="1">SUM(HC[[#This Row],[Conc Est (m³)]],HC[[#This Row],[Conc Bloco (m³)]])</f>
        <v>16.510176124166829</v>
      </c>
      <c r="BD158" s="4">
        <f>INDEX(composicoes[],MATCH(94966,composicoes[CÓDIGO],0),MATCH("CUSTO TOTAL",composicoes[#Headers],0))</f>
        <v>439.52</v>
      </c>
      <c r="BE158" s="38">
        <f ca="1">HC[[#This Row],[Aço (kg)]]*HC[[#This Row],[Aço (R$/kg)]]+HC[[#This Row],[Conc (m³)]]*HC[[#This Row],[Conc (R$/m³)]]</f>
        <v>11160.993008639383</v>
      </c>
      <c r="BF158" s="4" t="str">
        <f ca="1">IF(COUNTIF(HC[#This Row],"N.S.")&gt;0,"lim.","OK")</f>
        <v>OK</v>
      </c>
      <c r="BG158" s="4" t="str">
        <f>IF(HC[[#This Row],[Prof. (m)]]&lt;4,"lim.","OK")</f>
        <v>OK</v>
      </c>
      <c r="BH158" s="4" t="str">
        <f>IF(HC[[#This Row],[Prof. (m)]]&gt;=8*HC[[#This Row],[Ø (cm)]]/100,"OK","lim.")</f>
        <v>OK</v>
      </c>
      <c r="BI158" s="4" t="str">
        <f ca="1">IF(HC[[#This Row],[Verif. Biela]]="OK","OK","lim.")</f>
        <v>OK</v>
      </c>
      <c r="BJ158" s="4" t="str">
        <f ca="1">IF(COUNTA(HC[[#This Row],[Nº Est.]:[Biela comp.]])=COUNTIF(HC[[#This Row],[Nº Est.]:[Biela comp.]],"OK"),"OK","lim.")</f>
        <v>OK</v>
      </c>
      <c r="BK158" s="4" t="str">
        <f ca="1">IF(HC[[#This Row],[Controle]]="OK",HC[[#This Row],[nE]]&amp;" Ø"&amp;HC[[#This Row],[Ø (cm)]]&amp;"cm Prof. "&amp;HC[[#This Row],[Prof. (m)]]&amp;" m","")</f>
        <v>4 Ø50cm Prof. 13 m</v>
      </c>
      <c r="BL158" s="4" t="str">
        <f ca="1">IF(HC[[#This Row],[idDimensionamento]]="","",HC[[#This Row],[idPilar]]&amp;HC[[#This Row],[idDimensionamento]])</f>
        <v>14 Ø50cm Prof. 13 m</v>
      </c>
    </row>
    <row r="159" spans="2:64" x14ac:dyDescent="0.25">
      <c r="B159" s="12">
        <f>ROUNDUP((ROW(HC[[#This Row],[idDiâmetro]])-ROW(HC[[#Headers],[idDiâmetro]]))/(COUNT(SPT[Prof. (m)])*COUNT(PILARES[Pilar])),0)</f>
        <v>6</v>
      </c>
      <c r="C159" s="12">
        <f>IF(HC[[#This Row],[idDiâmetro]]&lt;&gt;B158,1,IF(HC[[#This Row],[Prof. (m)]]=0,C158+1,C158))</f>
        <v>2</v>
      </c>
      <c r="D159" s="1">
        <f>IFERROR(IF(D158=MAX(SPT[Prof. (m)]),0,D158+1),0)</f>
        <v>0</v>
      </c>
      <c r="E159" s="1">
        <f>INDEX(SPT[],MATCH(HC[[#This Row],[Prof. (m)]],SPT[Prof. (m)],0),2)</f>
        <v>0</v>
      </c>
      <c r="F159" s="1" t="str">
        <f>INDEX(SPT[],MATCH(HC[[#This Row],[Prof. (m)]],SPT[Prof. (m)],0),3)</f>
        <v>Areia siltosa</v>
      </c>
      <c r="G159" s="1">
        <f>INDEX(estacas[],HC[[#This Row],[idDiâmetro]],MATCH($B$2,estacas[#Headers],0))</f>
        <v>50</v>
      </c>
      <c r="H159" s="1">
        <f>INDEX(estacas[],MATCH(HC[[#This Row],[Ø (cm)]],estacas[Ø HC (cm)],0),MATCH(HC[[#Headers],[Pe HC (kN)]],estacas[#Headers],0))</f>
        <v>1250</v>
      </c>
      <c r="I159" s="4">
        <f>INDEX(K_alpha_C[],MATCH(HC[[#This Row],[Solo]],K_alpha_C[Solo],0),2)</f>
        <v>0.8</v>
      </c>
      <c r="J159" s="5">
        <f>INDEX(K_alpha_C[],MATCH(HC[[#This Row],[Solo]],K_alpha_C[Solo],0),3)</f>
        <v>2</v>
      </c>
      <c r="K159" s="4">
        <f>INDEX(F1_F2[],MATCH($D$2,F1_F2[Tipo de estaca],0),2)</f>
        <v>2</v>
      </c>
      <c r="L159" s="4">
        <f>INDEX(F1_F2[],MATCH($D$2,F1_F2[Tipo de estaca],0),3)</f>
        <v>4</v>
      </c>
      <c r="M159" s="4">
        <f>PI()*(HC[[#This Row],[Ø (cm)]]/100)^2/4</f>
        <v>0.19634954084936207</v>
      </c>
      <c r="N159" s="4">
        <f>PI()*HC[[#This Row],[Ø (cm)]]/100</f>
        <v>1.5707963267948966</v>
      </c>
      <c r="O159" s="4">
        <f>IF(HC[[#This Row],[Prof. (m)]]=0,0,HC[[#This Row],[α (%)]]/100*HC[[#This Row],[K (MPa)]]*1000*HC[[#This Row],[NSPT]])</f>
        <v>0</v>
      </c>
      <c r="P159" s="4">
        <f>IF(HC[[#This Row],[Prof. (m)]]=0,0,(HC[[#This Row],[K (MPa)]]*1000*HC[[#This Row],[NSPT]]/HC[[#This Row],[F1]]*HC[[#This Row],[Ap (m²)]]+HC[[#This Row],[U (m)]]/HC[[#This Row],[F2]]*SUMIFS(HC[(α∙K∙NL∙ΔL)],HC[Prof. (m)],"&lt;="&amp;HC[[#This Row],[Prof. (m)]],HC[idDiâmetro],HC[[#This Row],[idDiâmetro]],HC[idPilar],HC[[#This Row],[idPilar]]))/'DADOS CAP. CARGA'!$D$2)</f>
        <v>0</v>
      </c>
      <c r="Q159" s="12">
        <f>INDEX(C_alpha_beta[],MATCH(HC[[#This Row],[Solo]],C_alpha_beta[Solo],0),MATCH(HC[[#Headers],[C (kPa)]],C_alpha_beta[#Headers],0))</f>
        <v>400</v>
      </c>
      <c r="R159" s="4">
        <f>INDEX(C_alpha_beta[],MATCH(HC[[#This Row],[Solo]],C_alpha_beta[Solo],0),MATCH(HC[[#Headers],[α ESF]],C_alpha_beta[#Headers],0))</f>
        <v>0.5</v>
      </c>
      <c r="S159" s="4">
        <f>INDEX(C_alpha_beta[],MATCH(HC[[#This Row],[Solo]],C_alpha_beta[Solo],0),MATCH(HC[[#Headers],[β ESF]],C_alpha_beta[#Headers],0))</f>
        <v>0.5</v>
      </c>
      <c r="T159" s="4">
        <f>IF(HC[[#This Row],[Prof. (m)]]=0,0,10*(HC[[#This Row],[NSPT]]/3+1))</f>
        <v>0</v>
      </c>
      <c r="U159" s="4">
        <f>(HC[[#This Row],[α ESF]]*HC[[#This Row],[C (kPa)]]*HC[[#This Row],[NSPT]]*HC[[#This Row],[Ap (m²)]])/'DADOS CAP. CARGA'!$Q$2+(HC[[#This Row],[β ESF]]*SUMIFS(HC[10∙(NL/3+1)],HC[Prof. (m)],"&lt;="&amp;HC[[#This Row],[Prof. (m)]],HC[idDiâmetro],HC[[#This Row],[idDiâmetro]],HC[idPilar],HC[[#This Row],[idPilar]])*HC[[#This Row],[U (m)]])/'DADOS CAP. CARGA'!$S$2</f>
        <v>0</v>
      </c>
      <c r="V159" s="4">
        <f>IF(SPT!$M$5=1,MIN(HC[[#This Row],[Pe HC (kN)]],HC[[#This Row],[R_AV (kN)]]),IF(SPT!$M$5=2,MIN(HC[[#This Row],[Pe HC (kN)]],HC[[#This Row],[R_DC (kN)]]),MIN(HC[[#This Row],[Pe HC (kN)]],HC[[#This Row],[R_AV (kN)]],HC[[#This Row],[R_DC (kN)]])))</f>
        <v>0</v>
      </c>
      <c r="W159" s="4">
        <f>INDEX(PILARES[],HC[[#This Row],[idPilar]],MATCH("Carga (kN)",PILARES[#Headers],0))*1.4</f>
        <v>1750</v>
      </c>
      <c r="X159" s="12">
        <f>INDEX(PILARES[],HC[[#This Row],[idPilar]],MATCH(HC[[#Headers],[ap (cm)]],PILARES[#Headers],0))</f>
        <v>50</v>
      </c>
      <c r="Y159" s="12">
        <f>INDEX(PILARES[],HC[[#This Row],[idPilar]],MATCH(HC[[#Headers],[bp (cm)]],PILARES[#Headers],0))</f>
        <v>40</v>
      </c>
      <c r="Z159" s="4">
        <f>SQRT(HC[[#This Row],[ap (cm)]]*HC[[#This Row],[bp (cm)]])</f>
        <v>44.721359549995796</v>
      </c>
      <c r="AA159" s="12">
        <f>HC[[#This Row],[ap (cm)]]*HC[[#This Row],[bp (cm)]]</f>
        <v>2000</v>
      </c>
      <c r="AB159" s="12" t="e">
        <f ca="1">IF(HC[[#This Row],[Padm∙ε (kN)]]&gt;=HC[[#This Row],[Padm (kN)]],ROUNDUP(1.05*HC[[#This Row],[Nsd (kN)]]/HC[[#This Row],[Padm (kN)]],0),ROUNDUP(1.05*HC[[#This Row],[Nsd (kN)]]/HC[[#This Row],[Padm (kN)]],0)+1)</f>
        <v>#DIV/0!</v>
      </c>
      <c r="AC159" s="4" t="str">
        <f ca="1">IFERROR(IF(HC[[#This Row],[nE]]=1,HC[[#This Row],[Padm (kN)]],HC[[#This Row],[Padm (kN)]]*HC[[#This Row],[nE]]*INDEX(grupoEstacas[],HC[[#This Row],[nE]],MATCH("ε",grupoEstacas[#Headers],0))),"N.S.")</f>
        <v>N.S.</v>
      </c>
      <c r="AD159" s="4" t="e">
        <f ca="1">1.05*HC[[#This Row],[Nsd (kN)]]/(HC[[#This Row],[nE]]*PI()*HC[[#This Row],[Ø (cm)]]^2/4)*10</f>
        <v>#DIV/0!</v>
      </c>
      <c r="AE159" s="4" t="e">
        <f ca="1">IF(HC[[#This Row],[σ (MPa)]]&lt;INDEX(tipoEstaca[],MATCH($D$2,tipoEstaca[TIPO DE ESTACA],0),MATCH("σmáx (MPa)",tipoEstaca[#Headers],0)),0.4%*PI()*HC[[#This Row],[Ø (cm)]]^2/4,"N.S.")</f>
        <v>#DIV/0!</v>
      </c>
      <c r="AF159" s="1">
        <f>INDEX(tipoEstaca[],MATCH($D$2,tipoEstaca[TIPO DE ESTACA],0),MATCH(HC[[#Headers],[Comprimento (m)]],tipoEstaca[#Headers],0))</f>
        <v>4</v>
      </c>
      <c r="AG159" s="5" t="e">
        <f ca="1">HC[[#This Row],[As,mín (cm²)]]/100^2*HC[[#This Row],[Comprimento (m)]]*7850</f>
        <v>#DIV/0!</v>
      </c>
      <c r="AH159" s="4" t="e">
        <f ca="1">HC[[#This Row],[nE]]*HC[[#This Row],[Prof. (m)]]*HC[[#This Row],[Ap (m²)]]</f>
        <v>#DIV/0!</v>
      </c>
      <c r="AI159" s="1" t="e">
        <f ca="1">IF(HC[[#This Row],[nE]]=1,0,MAX(3*HC[[#This Row],[Ø (cm)]],60))</f>
        <v>#DIV/0!</v>
      </c>
      <c r="AJ159" s="1" t="e">
        <f ca="1">IF(HC[[#This Row],[nE]]=1,HC[[#This Row],[Ø (cm)]]+2*10,MAX(1.5*HC[[#This Row],[Ø (cm)]],HC[[#This Row],[Ø (cm)]]+15))</f>
        <v>#DIV/0!</v>
      </c>
      <c r="AK159" s="1" t="e">
        <f ca="1">alturaUtil(HC[[#This Row],[nE]],HC[[#This Row],[Ø (cm)]],HC[[#This Row],[e (cm)]],HC[[#This Row],[ap,eq (cm)]])</f>
        <v>#VALUE!</v>
      </c>
      <c r="AL159" s="1" t="str">
        <f ca="1">IFERROR(HC[[#This Row],[d (cm)]]+arredondarParaCimaMultiplo5cm(MAX(5,SQRT(PI())/2*HC[[#This Row],[Ø (cm)]]/5)),"N.S.")</f>
        <v>N.S.</v>
      </c>
      <c r="AM159" s="5" t="e">
        <f ca="1">alpha(HC[[#This Row],[nE]],HC[[#This Row],[d (cm)]],HC[[#This Row],[e (cm)]],HC[[#This Row],[ap,eq (cm)]])</f>
        <v>#VALUE!</v>
      </c>
      <c r="AN159" s="35" t="str">
        <f ca="1">IFERROR(HC[[#This Row],[Nsd (kN)]]/(HC[[#This Row],[Ap (cm²)]]*SIN(HC[[#This Row],[α]])^2),"N.S.")</f>
        <v>N.S.</v>
      </c>
      <c r="AO159" s="35" t="str">
        <f ca="1">IFERROR(HC[[#This Row],[Nsd (kN)]]/(HC[[#This Row],[nE]]*PI()*HC[[#This Row],[Ø (cm)]]^2/4*SIN(HC[[#This Row],[α]])^2),"N.S.")</f>
        <v>N.S.</v>
      </c>
      <c r="AP159" s="4" t="str">
        <f ca="1">IFERROR(INDEX(grupoEstacas[],HC[[#This Row],[nE]],MATCH("coef. Blévot",grupoEstacas[#Headers],0)),"N.S.")</f>
        <v>N.S.</v>
      </c>
      <c r="AQ159" s="35" t="str">
        <f ca="1">IFERROR(HC[[#This Row],[coef. Blévot]]*0.9*INDEX(tipoEstaca[],MATCH($D$2,tipoEstaca[TIPO DE ESTACA],0),MATCH("fcd (kN/cm²)",tipoEstaca[#Headers],0)),"N.S.")</f>
        <v>N.S.</v>
      </c>
      <c r="AR159" s="1" t="str">
        <f ca="1">IF(AND(HC[[#This Row],[cd,b,pil (kN/cm²)]]&lt;=HC[[#This Row],[cd,b,lim (kN/cm²)]],HC[[#This Row],[cd,b,est (kN/cm²)]]&lt;=HC[[#This Row],[cd,b,lim (kN/cm²)]]),"OK","ERRO")</f>
        <v>OK</v>
      </c>
      <c r="AS159" s="4" t="e">
        <f ca="1">As_lado(HC[[#This Row],[nE]],HC[[#This Row],[Nsd (kN)]],HC[[#This Row],[d (cm)]],HC[[#This Row],[e (cm)]],HC[[#This Row],[ap,eq (cm)]])</f>
        <v>#VALUE!</v>
      </c>
      <c r="AT159" s="4" t="e">
        <f ca="1">IF(HC[[#This Row],[nE]]=1,HC[[#This Row],[As,lado (cm²)]],IF(HC[[#This Row],[nE]]=2,0.075*2*HC[a (cm)],"N.A."))</f>
        <v>#DIV/0!</v>
      </c>
      <c r="AU159" s="4" t="str">
        <f ca="1">IFERROR(IF(HC[[#This Row],[nE]]=1,"N.A.",0.2*HC[[#This Row],[As,lado (cm²)]]),"N.S.")</f>
        <v>N.S.</v>
      </c>
      <c r="AV159" s="4" t="e">
        <f ca="1">As_malha(HC[[#This Row],[nE]],HC[[#This Row],[As,lado (cm²)]],HC[[#This Row],[Nsd (kN)]])</f>
        <v>#VALUE!</v>
      </c>
      <c r="AW159" s="4" t="e">
        <f ca="1">As_susp_tot(HC[[#This Row],[nE]],HC[[#This Row],[Nsd (kN)]])</f>
        <v>#VALUE!</v>
      </c>
      <c r="AX159" s="4" t="e">
        <f ca="1">Asp_face(HC[[#This Row],[nE]],HC[[#This Row],[As,lado (cm²)]])</f>
        <v>#VALUE!</v>
      </c>
      <c r="AY159" s="5" t="e">
        <f ca="1">acoBloco(HC[[#This Row],[nE]],HC[[#This Row],[e (cm)]],HC[[#This Row],[a (cm)]],HC[[#This Row],[h (cm)]],HC[[#This Row],[As,lado (cm²)]],HC[[#This Row],[Asp e Asw (cm²/m)]],HC[[#This Row],[As,sup (cm²)]],HC[[#This Row],[As,malha (cm²)]],HC[[#This Row],[As,susp,tot (cm²)]],HC[[#This Row],[Asp,face (cm²)]])</f>
        <v>#VALUE!</v>
      </c>
      <c r="AZ159" s="4" t="e">
        <f ca="1">concretoBloco(HC[[#This Row],[nE]],HC[[#This Row],[e (cm)]],HC[[#This Row],[a (cm)]],HC[[#This Row],[h (cm)]])</f>
        <v>#VALUE!</v>
      </c>
      <c r="BA159" s="5" t="e">
        <f ca="1">SUM(HC[[#This Row],[Aço Est (kg)]],HC[[#This Row],[Aço Bloco (kg)]])</f>
        <v>#DIV/0!</v>
      </c>
      <c r="BB159" s="4">
        <f>INDEX(composicoes[],MATCH(95580,composicoes[CÓDIGO],0),MATCH("CUSTO TOTAL",composicoes[#Headers],0))</f>
        <v>10.46</v>
      </c>
      <c r="BC159" s="4" t="e">
        <f ca="1">SUM(HC[[#This Row],[Conc Est (m³)]],HC[[#This Row],[Conc Bloco (m³)]])</f>
        <v>#DIV/0!</v>
      </c>
      <c r="BD159" s="4">
        <f>INDEX(composicoes[],MATCH(94966,composicoes[CÓDIGO],0),MATCH("CUSTO TOTAL",composicoes[#Headers],0))</f>
        <v>439.52</v>
      </c>
      <c r="BE159" s="38" t="e">
        <f ca="1">HC[[#This Row],[Aço (kg)]]*HC[[#This Row],[Aço (R$/kg)]]+HC[[#This Row],[Conc (m³)]]*HC[[#This Row],[Conc (R$/m³)]]</f>
        <v>#DIV/0!</v>
      </c>
      <c r="BF159" s="4" t="str">
        <f ca="1">IF(COUNTIF(HC[#This Row],"N.S.")&gt;0,"lim.","OK")</f>
        <v>lim.</v>
      </c>
      <c r="BG159" s="4" t="str">
        <f>IF(HC[[#This Row],[Prof. (m)]]&lt;4,"lim.","OK")</f>
        <v>lim.</v>
      </c>
      <c r="BH159" s="4" t="str">
        <f>IF(HC[[#This Row],[Prof. (m)]]&gt;=8*HC[[#This Row],[Ø (cm)]]/100,"OK","lim.")</f>
        <v>lim.</v>
      </c>
      <c r="BI159" s="4" t="str">
        <f ca="1">IF(HC[[#This Row],[Verif. Biela]]="OK","OK","lim.")</f>
        <v>OK</v>
      </c>
      <c r="BJ159" s="4" t="str">
        <f ca="1">IF(COUNTA(HC[[#This Row],[Nº Est.]:[Biela comp.]])=COUNTIF(HC[[#This Row],[Nº Est.]:[Biela comp.]],"OK"),"OK","lim.")</f>
        <v>lim.</v>
      </c>
      <c r="BK159" s="4" t="str">
        <f ca="1">IF(HC[[#This Row],[Controle]]="OK",HC[[#This Row],[nE]]&amp;" Ø"&amp;HC[[#This Row],[Ø (cm)]]&amp;"cm Prof. "&amp;HC[[#This Row],[Prof. (m)]]&amp;" m","")</f>
        <v/>
      </c>
      <c r="BL159" s="4" t="str">
        <f ca="1">IF(HC[[#This Row],[idDimensionamento]]="","",HC[[#This Row],[idPilar]]&amp;HC[[#This Row],[idDimensionamento]])</f>
        <v/>
      </c>
    </row>
    <row r="160" spans="2:64" x14ac:dyDescent="0.25">
      <c r="B160" s="12">
        <f>ROUNDUP((ROW(HC[[#This Row],[idDiâmetro]])-ROW(HC[[#Headers],[idDiâmetro]]))/(COUNT(SPT[Prof. (m)])*COUNT(PILARES[Pilar])),0)</f>
        <v>6</v>
      </c>
      <c r="C160" s="12">
        <f>IF(HC[[#This Row],[idDiâmetro]]&lt;&gt;B159,1,IF(HC[[#This Row],[Prof. (m)]]=0,C159+1,C159))</f>
        <v>2</v>
      </c>
      <c r="D160" s="1">
        <f>IFERROR(IF(D159=MAX(SPT[Prof. (m)]),0,D159+1),0)</f>
        <v>1</v>
      </c>
      <c r="E160" s="1">
        <f>INDEX(SPT[],MATCH(HC[[#This Row],[Prof. (m)]],SPT[Prof. (m)],0),2)</f>
        <v>2</v>
      </c>
      <c r="F160" s="1" t="str">
        <f>INDEX(SPT[],MATCH(HC[[#This Row],[Prof. (m)]],SPT[Prof. (m)],0),3)</f>
        <v>Areia siltosa</v>
      </c>
      <c r="G160" s="1">
        <f>INDEX(estacas[],HC[[#This Row],[idDiâmetro]],MATCH($B$2,estacas[#Headers],0))</f>
        <v>50</v>
      </c>
      <c r="H160" s="1">
        <f>INDEX(estacas[],MATCH(HC[[#This Row],[Ø (cm)]],estacas[Ø HC (cm)],0),MATCH(HC[[#Headers],[Pe HC (kN)]],estacas[#Headers],0))</f>
        <v>1250</v>
      </c>
      <c r="I160" s="4">
        <f>INDEX(K_alpha_C[],MATCH(HC[[#This Row],[Solo]],K_alpha_C[Solo],0),2)</f>
        <v>0.8</v>
      </c>
      <c r="J160" s="5">
        <f>INDEX(K_alpha_C[],MATCH(HC[[#This Row],[Solo]],K_alpha_C[Solo],0),3)</f>
        <v>2</v>
      </c>
      <c r="K160" s="4">
        <f>INDEX(F1_F2[],MATCH($D$2,F1_F2[Tipo de estaca],0),2)</f>
        <v>2</v>
      </c>
      <c r="L160" s="4">
        <f>INDEX(F1_F2[],MATCH($D$2,F1_F2[Tipo de estaca],0),3)</f>
        <v>4</v>
      </c>
      <c r="M160" s="4">
        <f>PI()*(HC[[#This Row],[Ø (cm)]]/100)^2/4</f>
        <v>0.19634954084936207</v>
      </c>
      <c r="N160" s="4">
        <f>PI()*HC[[#This Row],[Ø (cm)]]/100</f>
        <v>1.5707963267948966</v>
      </c>
      <c r="O160" s="4">
        <f>IF(HC[[#This Row],[Prof. (m)]]=0,0,HC[[#This Row],[α (%)]]/100*HC[[#This Row],[K (MPa)]]*1000*HC[[#This Row],[NSPT]])</f>
        <v>32</v>
      </c>
      <c r="P160" s="4">
        <f>IF(HC[[#This Row],[Prof. (m)]]=0,0,(HC[[#This Row],[K (MPa)]]*1000*HC[[#This Row],[NSPT]]/HC[[#This Row],[F1]]*HC[[#This Row],[Ap (m²)]]+HC[[#This Row],[U (m)]]/HC[[#This Row],[F2]]*SUMIFS(HC[(α∙K∙NL∙ΔL)],HC[Prof. (m)],"&lt;="&amp;HC[[#This Row],[Prof. (m)]],HC[idDiâmetro],HC[[#This Row],[idDiâmetro]],HC[idPilar],HC[[#This Row],[idPilar]]))/'DADOS CAP. CARGA'!$D$2)</f>
        <v>84.823001646924411</v>
      </c>
      <c r="Q160" s="12">
        <f>INDEX(C_alpha_beta[],MATCH(HC[[#This Row],[Solo]],C_alpha_beta[Solo],0),MATCH(HC[[#Headers],[C (kPa)]],C_alpha_beta[#Headers],0))</f>
        <v>400</v>
      </c>
      <c r="R160" s="4">
        <f>INDEX(C_alpha_beta[],MATCH(HC[[#This Row],[Solo]],C_alpha_beta[Solo],0),MATCH(HC[[#Headers],[α ESF]],C_alpha_beta[#Headers],0))</f>
        <v>0.5</v>
      </c>
      <c r="S160" s="4">
        <f>INDEX(C_alpha_beta[],MATCH(HC[[#This Row],[Solo]],C_alpha_beta[Solo],0),MATCH(HC[[#Headers],[β ESF]],C_alpha_beta[#Headers],0))</f>
        <v>0.5</v>
      </c>
      <c r="T160" s="4">
        <f>IF(HC[[#This Row],[Prof. (m)]]=0,0,10*(HC[[#This Row],[NSPT]]/3+1))</f>
        <v>16.666666666666664</v>
      </c>
      <c r="U160" s="4">
        <f>(HC[[#This Row],[α ESF]]*HC[[#This Row],[C (kPa)]]*HC[[#This Row],[NSPT]]*HC[[#This Row],[Ap (m²)]])/'DADOS CAP. CARGA'!$Q$2+(HC[[#This Row],[β ESF]]*SUMIFS(HC[10∙(NL/3+1)],HC[Prof. (m)],"&lt;="&amp;HC[[#This Row],[Prof. (m)]],HC[idDiâmetro],HC[[#This Row],[idDiâmetro]],HC[idPilar],HC[[#This Row],[idPilar]])*HC[[#This Row],[U (m)]])/'DADOS CAP. CARGA'!$S$2</f>
        <v>26.179938779914941</v>
      </c>
      <c r="V160" s="4">
        <f>IF(SPT!$M$5=1,MIN(HC[[#This Row],[Pe HC (kN)]],HC[[#This Row],[R_AV (kN)]]),IF(SPT!$M$5=2,MIN(HC[[#This Row],[Pe HC (kN)]],HC[[#This Row],[R_DC (kN)]]),MIN(HC[[#This Row],[Pe HC (kN)]],HC[[#This Row],[R_AV (kN)]],HC[[#This Row],[R_DC (kN)]])))</f>
        <v>26.179938779914941</v>
      </c>
      <c r="W160" s="4">
        <f>INDEX(PILARES[],HC[[#This Row],[idPilar]],MATCH("Carga (kN)",PILARES[#Headers],0))*1.4</f>
        <v>1750</v>
      </c>
      <c r="X160" s="12">
        <f>INDEX(PILARES[],HC[[#This Row],[idPilar]],MATCH(HC[[#Headers],[ap (cm)]],PILARES[#Headers],0))</f>
        <v>50</v>
      </c>
      <c r="Y160" s="12">
        <f>INDEX(PILARES[],HC[[#This Row],[idPilar]],MATCH(HC[[#Headers],[bp (cm)]],PILARES[#Headers],0))</f>
        <v>40</v>
      </c>
      <c r="Z160" s="4">
        <f>SQRT(HC[[#This Row],[ap (cm)]]*HC[[#This Row],[bp (cm)]])</f>
        <v>44.721359549995796</v>
      </c>
      <c r="AA160" s="12">
        <f>HC[[#This Row],[ap (cm)]]*HC[[#This Row],[bp (cm)]]</f>
        <v>2000</v>
      </c>
      <c r="AB160" s="12">
        <f ca="1">IF(HC[[#This Row],[Padm∙ε (kN)]]&gt;=HC[[#This Row],[Padm (kN)]],ROUNDUP(1.05*HC[[#This Row],[Nsd (kN)]]/HC[[#This Row],[Padm (kN)]],0),ROUNDUP(1.05*HC[[#This Row],[Nsd (kN)]]/HC[[#This Row],[Padm (kN)]],0)+1)</f>
        <v>71</v>
      </c>
      <c r="AC160" s="4" t="str">
        <f ca="1">IFERROR(IF(HC[[#This Row],[nE]]=1,HC[[#This Row],[Padm (kN)]],HC[[#This Row],[Padm (kN)]]*HC[[#This Row],[nE]]*INDEX(grupoEstacas[],HC[[#This Row],[nE]],MATCH("ε",grupoEstacas[#Headers],0))),"N.S.")</f>
        <v>N.S.</v>
      </c>
      <c r="AD160" s="4">
        <f ca="1">1.05*HC[[#This Row],[Nsd (kN)]]/(HC[[#This Row],[nE]]*PI()*HC[[#This Row],[Ø (cm)]]^2/4)*10</f>
        <v>0.13180719230709076</v>
      </c>
      <c r="AE160" s="4">
        <f ca="1">IF(HC[[#This Row],[σ (MPa)]]&lt;INDEX(tipoEstaca[],MATCH($D$2,tipoEstaca[TIPO DE ESTACA],0),MATCH("σmáx (MPa)",tipoEstaca[#Headers],0)),0.4%*PI()*HC[[#This Row],[Ø (cm)]]^2/4,"N.S.")</f>
        <v>7.8539816339744837</v>
      </c>
      <c r="AF160" s="1">
        <f>INDEX(tipoEstaca[],MATCH($D$2,tipoEstaca[TIPO DE ESTACA],0),MATCH(HC[[#Headers],[Comprimento (m)]],tipoEstaca[#Headers],0))</f>
        <v>4</v>
      </c>
      <c r="AG160" s="5">
        <f ca="1">HC[[#This Row],[As,mín (cm²)]]/100^2*HC[[#This Row],[Comprimento (m)]]*7850</f>
        <v>24.661502330679877</v>
      </c>
      <c r="AH160" s="4">
        <f ca="1">HC[[#This Row],[nE]]*HC[[#This Row],[Prof. (m)]]*HC[[#This Row],[Ap (m²)]]</f>
        <v>13.940817400304708</v>
      </c>
      <c r="AI160" s="1">
        <f ca="1">IF(HC[[#This Row],[nE]]=1,0,MAX(3*HC[[#This Row],[Ø (cm)]],60))</f>
        <v>150</v>
      </c>
      <c r="AJ160" s="1">
        <f ca="1">IF(HC[[#This Row],[nE]]=1,HC[[#This Row],[Ø (cm)]]+2*10,MAX(1.5*HC[[#This Row],[Ø (cm)]],HC[[#This Row],[Ø (cm)]]+15))</f>
        <v>75</v>
      </c>
      <c r="AK160" s="1" t="str">
        <f ca="1">alturaUtil(HC[[#This Row],[nE]],HC[[#This Row],[Ø (cm)]],HC[[#This Row],[e (cm)]],HC[[#This Row],[ap,eq (cm)]])</f>
        <v>N.S.</v>
      </c>
      <c r="AL160" s="1" t="str">
        <f ca="1">IFERROR(HC[[#This Row],[d (cm)]]+arredondarParaCimaMultiplo5cm(MAX(5,SQRT(PI())/2*HC[[#This Row],[Ø (cm)]]/5)),"N.S.")</f>
        <v>N.S.</v>
      </c>
      <c r="AM160" s="5" t="str">
        <f ca="1">alpha(HC[[#This Row],[nE]],HC[[#This Row],[d (cm)]],HC[[#This Row],[e (cm)]],HC[[#This Row],[ap,eq (cm)]])</f>
        <v>N.S.</v>
      </c>
      <c r="AN160" s="35" t="str">
        <f ca="1">IFERROR(HC[[#This Row],[Nsd (kN)]]/(HC[[#This Row],[Ap (cm²)]]*SIN(HC[[#This Row],[α]])^2),"N.S.")</f>
        <v>N.S.</v>
      </c>
      <c r="AO160" s="35" t="str">
        <f ca="1">IFERROR(HC[[#This Row],[Nsd (kN)]]/(HC[[#This Row],[nE]]*PI()*HC[[#This Row],[Ø (cm)]]^2/4*SIN(HC[[#This Row],[α]])^2),"N.S.")</f>
        <v>N.S.</v>
      </c>
      <c r="AP160" s="4" t="str">
        <f ca="1">IFERROR(INDEX(grupoEstacas[],HC[[#This Row],[nE]],MATCH("coef. Blévot",grupoEstacas[#Headers],0)),"N.S.")</f>
        <v>N.S.</v>
      </c>
      <c r="AQ160" s="35" t="str">
        <f ca="1">IFERROR(HC[[#This Row],[coef. Blévot]]*0.9*INDEX(tipoEstaca[],MATCH($D$2,tipoEstaca[TIPO DE ESTACA],0),MATCH("fcd (kN/cm²)",tipoEstaca[#Headers],0)),"N.S.")</f>
        <v>N.S.</v>
      </c>
      <c r="AR160" s="1" t="str">
        <f ca="1">IF(AND(HC[[#This Row],[cd,b,pil (kN/cm²)]]&lt;=HC[[#This Row],[cd,b,lim (kN/cm²)]],HC[[#This Row],[cd,b,est (kN/cm²)]]&lt;=HC[[#This Row],[cd,b,lim (kN/cm²)]]),"OK","ERRO")</f>
        <v>OK</v>
      </c>
      <c r="AS160" s="4" t="str">
        <f ca="1">As_lado(HC[[#This Row],[nE]],HC[[#This Row],[Nsd (kN)]],HC[[#This Row],[d (cm)]],HC[[#This Row],[e (cm)]],HC[[#This Row],[ap,eq (cm)]])</f>
        <v>N.S.</v>
      </c>
      <c r="AT160" s="4" t="str">
        <f ca="1">IF(HC[[#This Row],[nE]]=1,HC[[#This Row],[As,lado (cm²)]],IF(HC[[#This Row],[nE]]=2,0.075*2*HC[a (cm)],"N.A."))</f>
        <v>N.A.</v>
      </c>
      <c r="AU160" s="4" t="str">
        <f ca="1">IFERROR(IF(HC[[#This Row],[nE]]=1,"N.A.",0.2*HC[[#This Row],[As,lado (cm²)]]),"N.S.")</f>
        <v>N.S.</v>
      </c>
      <c r="AV160" s="4" t="str">
        <f ca="1">As_malha(HC[[#This Row],[nE]],HC[[#This Row],[As,lado (cm²)]],HC[[#This Row],[Nsd (kN)]])</f>
        <v>N.S.</v>
      </c>
      <c r="AW160" s="4" t="str">
        <f ca="1">As_susp_tot(HC[[#This Row],[nE]],HC[[#This Row],[Nsd (kN)]])</f>
        <v>N.S.</v>
      </c>
      <c r="AX160" s="4" t="str">
        <f ca="1">Asp_face(HC[[#This Row],[nE]],HC[[#This Row],[As,lado (cm²)]])</f>
        <v>N.S.</v>
      </c>
      <c r="AY160" s="5" t="str">
        <f ca="1">acoBloco(HC[[#This Row],[nE]],HC[[#This Row],[e (cm)]],HC[[#This Row],[a (cm)]],HC[[#This Row],[h (cm)]],HC[[#This Row],[As,lado (cm²)]],HC[[#This Row],[Asp e Asw (cm²/m)]],HC[[#This Row],[As,sup (cm²)]],HC[[#This Row],[As,malha (cm²)]],HC[[#This Row],[As,susp,tot (cm²)]],HC[[#This Row],[Asp,face (cm²)]])</f>
        <v>N.S.</v>
      </c>
      <c r="AZ160" s="4" t="str">
        <f ca="1">concretoBloco(HC[[#This Row],[nE]],HC[[#This Row],[e (cm)]],HC[[#This Row],[a (cm)]],HC[[#This Row],[h (cm)]])</f>
        <v>N.S.</v>
      </c>
      <c r="BA160" s="5">
        <f ca="1">SUM(HC[[#This Row],[Aço Est (kg)]],HC[[#This Row],[Aço Bloco (kg)]])</f>
        <v>24.661502330679877</v>
      </c>
      <c r="BB160" s="4">
        <f>INDEX(composicoes[],MATCH(95580,composicoes[CÓDIGO],0),MATCH("CUSTO TOTAL",composicoes[#Headers],0))</f>
        <v>10.46</v>
      </c>
      <c r="BC160" s="4">
        <f ca="1">SUM(HC[[#This Row],[Conc Est (m³)]],HC[[#This Row],[Conc Bloco (m³)]])</f>
        <v>13.940817400304708</v>
      </c>
      <c r="BD160" s="4">
        <f>INDEX(composicoes[],MATCH(94966,composicoes[CÓDIGO],0),MATCH("CUSTO TOTAL",composicoes[#Headers],0))</f>
        <v>439.52</v>
      </c>
      <c r="BE160" s="38">
        <f ca="1">HC[[#This Row],[Aço (kg)]]*HC[[#This Row],[Aço (R$/kg)]]+HC[[#This Row],[Conc (m³)]]*HC[[#This Row],[Conc (R$/m³)]]</f>
        <v>6385.2273781608365</v>
      </c>
      <c r="BF160" s="4" t="str">
        <f ca="1">IF(COUNTIF(HC[#This Row],"N.S.")&gt;0,"lim.","OK")</f>
        <v>lim.</v>
      </c>
      <c r="BG160" s="4" t="str">
        <f>IF(HC[[#This Row],[Prof. (m)]]&lt;4,"lim.","OK")</f>
        <v>lim.</v>
      </c>
      <c r="BH160" s="4" t="str">
        <f>IF(HC[[#This Row],[Prof. (m)]]&gt;=8*HC[[#This Row],[Ø (cm)]]/100,"OK","lim.")</f>
        <v>lim.</v>
      </c>
      <c r="BI160" s="4" t="str">
        <f ca="1">IF(HC[[#This Row],[Verif. Biela]]="OK","OK","lim.")</f>
        <v>OK</v>
      </c>
      <c r="BJ160" s="4" t="str">
        <f ca="1">IF(COUNTA(HC[[#This Row],[Nº Est.]:[Biela comp.]])=COUNTIF(HC[[#This Row],[Nº Est.]:[Biela comp.]],"OK"),"OK","lim.")</f>
        <v>lim.</v>
      </c>
      <c r="BK160" s="4" t="str">
        <f ca="1">IF(HC[[#This Row],[Controle]]="OK",HC[[#This Row],[nE]]&amp;" Ø"&amp;HC[[#This Row],[Ø (cm)]]&amp;"cm Prof. "&amp;HC[[#This Row],[Prof. (m)]]&amp;" m","")</f>
        <v/>
      </c>
      <c r="BL160" s="4" t="str">
        <f ca="1">IF(HC[[#This Row],[idDimensionamento]]="","",HC[[#This Row],[idPilar]]&amp;HC[[#This Row],[idDimensionamento]])</f>
        <v/>
      </c>
    </row>
    <row r="161" spans="2:64" x14ac:dyDescent="0.25">
      <c r="B161" s="12">
        <f>ROUNDUP((ROW(HC[[#This Row],[idDiâmetro]])-ROW(HC[[#Headers],[idDiâmetro]]))/(COUNT(SPT[Prof. (m)])*COUNT(PILARES[Pilar])),0)</f>
        <v>6</v>
      </c>
      <c r="C161" s="12">
        <f>IF(HC[[#This Row],[idDiâmetro]]&lt;&gt;B160,1,IF(HC[[#This Row],[Prof. (m)]]=0,C160+1,C160))</f>
        <v>2</v>
      </c>
      <c r="D161" s="1">
        <f>IFERROR(IF(D160=MAX(SPT[Prof. (m)]),0,D160+1),0)</f>
        <v>2</v>
      </c>
      <c r="E161" s="1">
        <f>INDEX(SPT[],MATCH(HC[[#This Row],[Prof. (m)]],SPT[Prof. (m)],0),2)</f>
        <v>2</v>
      </c>
      <c r="F161" s="1" t="str">
        <f>INDEX(SPT[],MATCH(HC[[#This Row],[Prof. (m)]],SPT[Prof. (m)],0),3)</f>
        <v>Areia siltosa</v>
      </c>
      <c r="G161" s="1">
        <f>INDEX(estacas[],HC[[#This Row],[idDiâmetro]],MATCH($B$2,estacas[#Headers],0))</f>
        <v>50</v>
      </c>
      <c r="H161" s="1">
        <f>INDEX(estacas[],MATCH(HC[[#This Row],[Ø (cm)]],estacas[Ø HC (cm)],0),MATCH(HC[[#Headers],[Pe HC (kN)]],estacas[#Headers],0))</f>
        <v>1250</v>
      </c>
      <c r="I161" s="4">
        <f>INDEX(K_alpha_C[],MATCH(HC[[#This Row],[Solo]],K_alpha_C[Solo],0),2)</f>
        <v>0.8</v>
      </c>
      <c r="J161" s="5">
        <f>INDEX(K_alpha_C[],MATCH(HC[[#This Row],[Solo]],K_alpha_C[Solo],0),3)</f>
        <v>2</v>
      </c>
      <c r="K161" s="4">
        <f>INDEX(F1_F2[],MATCH($D$2,F1_F2[Tipo de estaca],0),2)</f>
        <v>2</v>
      </c>
      <c r="L161" s="4">
        <f>INDEX(F1_F2[],MATCH($D$2,F1_F2[Tipo de estaca],0),3)</f>
        <v>4</v>
      </c>
      <c r="M161" s="4">
        <f>PI()*(HC[[#This Row],[Ø (cm)]]/100)^2/4</f>
        <v>0.19634954084936207</v>
      </c>
      <c r="N161" s="4">
        <f>PI()*HC[[#This Row],[Ø (cm)]]/100</f>
        <v>1.5707963267948966</v>
      </c>
      <c r="O161" s="4">
        <f>IF(HC[[#This Row],[Prof. (m)]]=0,0,HC[[#This Row],[α (%)]]/100*HC[[#This Row],[K (MPa)]]*1000*HC[[#This Row],[NSPT]])</f>
        <v>32</v>
      </c>
      <c r="P161" s="4">
        <f>IF(HC[[#This Row],[Prof. (m)]]=0,0,(HC[[#This Row],[K (MPa)]]*1000*HC[[#This Row],[NSPT]]/HC[[#This Row],[F1]]*HC[[#This Row],[Ap (m²)]]+HC[[#This Row],[U (m)]]/HC[[#This Row],[F2]]*SUMIFS(HC[(α∙K∙NL∙ΔL)],HC[Prof. (m)],"&lt;="&amp;HC[[#This Row],[Prof. (m)]],HC[idDiâmetro],HC[[#This Row],[idDiâmetro]],HC[idPilar],HC[[#This Row],[idPilar]]))/'DADOS CAP. CARGA'!$D$2)</f>
        <v>91.106186954104004</v>
      </c>
      <c r="Q161" s="12">
        <f>INDEX(C_alpha_beta[],MATCH(HC[[#This Row],[Solo]],C_alpha_beta[Solo],0),MATCH(HC[[#Headers],[C (kPa)]],C_alpha_beta[#Headers],0))</f>
        <v>400</v>
      </c>
      <c r="R161" s="4">
        <f>INDEX(C_alpha_beta[],MATCH(HC[[#This Row],[Solo]],C_alpha_beta[Solo],0),MATCH(HC[[#Headers],[α ESF]],C_alpha_beta[#Headers],0))</f>
        <v>0.5</v>
      </c>
      <c r="S161" s="4">
        <f>INDEX(C_alpha_beta[],MATCH(HC[[#This Row],[Solo]],C_alpha_beta[Solo],0),MATCH(HC[[#Headers],[β ESF]],C_alpha_beta[#Headers],0))</f>
        <v>0.5</v>
      </c>
      <c r="T161" s="4">
        <f>IF(HC[[#This Row],[Prof. (m)]]=0,0,10*(HC[[#This Row],[NSPT]]/3+1))</f>
        <v>16.666666666666664</v>
      </c>
      <c r="U161" s="4">
        <f>(HC[[#This Row],[α ESF]]*HC[[#This Row],[C (kPa)]]*HC[[#This Row],[NSPT]]*HC[[#This Row],[Ap (m²)]])/'DADOS CAP. CARGA'!$Q$2+(HC[[#This Row],[β ESF]]*SUMIFS(HC[10∙(NL/3+1)],HC[Prof. (m)],"&lt;="&amp;HC[[#This Row],[Prof. (m)]],HC[idDiâmetro],HC[[#This Row],[idDiâmetro]],HC[idPilar],HC[[#This Row],[idPilar]])*HC[[#This Row],[U (m)]])/'DADOS CAP. CARGA'!$S$2</f>
        <v>32.724923474893679</v>
      </c>
      <c r="V161" s="4">
        <f>IF(SPT!$M$5=1,MIN(HC[[#This Row],[Pe HC (kN)]],HC[[#This Row],[R_AV (kN)]]),IF(SPT!$M$5=2,MIN(HC[[#This Row],[Pe HC (kN)]],HC[[#This Row],[R_DC (kN)]]),MIN(HC[[#This Row],[Pe HC (kN)]],HC[[#This Row],[R_AV (kN)]],HC[[#This Row],[R_DC (kN)]])))</f>
        <v>32.724923474893679</v>
      </c>
      <c r="W161" s="4">
        <f>INDEX(PILARES[],HC[[#This Row],[idPilar]],MATCH("Carga (kN)",PILARES[#Headers],0))*1.4</f>
        <v>1750</v>
      </c>
      <c r="X161" s="12">
        <f>INDEX(PILARES[],HC[[#This Row],[idPilar]],MATCH(HC[[#Headers],[ap (cm)]],PILARES[#Headers],0))</f>
        <v>50</v>
      </c>
      <c r="Y161" s="12">
        <f>INDEX(PILARES[],HC[[#This Row],[idPilar]],MATCH(HC[[#Headers],[bp (cm)]],PILARES[#Headers],0))</f>
        <v>40</v>
      </c>
      <c r="Z161" s="4">
        <f>SQRT(HC[[#This Row],[ap (cm)]]*HC[[#This Row],[bp (cm)]])</f>
        <v>44.721359549995796</v>
      </c>
      <c r="AA161" s="12">
        <f>HC[[#This Row],[ap (cm)]]*HC[[#This Row],[bp (cm)]]</f>
        <v>2000</v>
      </c>
      <c r="AB161" s="12">
        <f ca="1">IF(HC[[#This Row],[Padm∙ε (kN)]]&gt;=HC[[#This Row],[Padm (kN)]],ROUNDUP(1.05*HC[[#This Row],[Nsd (kN)]]/HC[[#This Row],[Padm (kN)]],0),ROUNDUP(1.05*HC[[#This Row],[Nsd (kN)]]/HC[[#This Row],[Padm (kN)]],0)+1)</f>
        <v>57</v>
      </c>
      <c r="AC161" s="4" t="str">
        <f ca="1">IFERROR(IF(HC[[#This Row],[nE]]=1,HC[[#This Row],[Padm (kN)]],HC[[#This Row],[Padm (kN)]]*HC[[#This Row],[nE]]*INDEX(grupoEstacas[],HC[[#This Row],[nE]],MATCH("ε",grupoEstacas[#Headers],0))),"N.S.")</f>
        <v>N.S.</v>
      </c>
      <c r="AD161" s="4">
        <f ca="1">1.05*HC[[#This Row],[Nsd (kN)]]/(HC[[#This Row],[nE]]*PI()*HC[[#This Row],[Ø (cm)]]^2/4)*10</f>
        <v>0.16418088866321839</v>
      </c>
      <c r="AE161" s="4">
        <f ca="1">IF(HC[[#This Row],[σ (MPa)]]&lt;INDEX(tipoEstaca[],MATCH($D$2,tipoEstaca[TIPO DE ESTACA],0),MATCH("σmáx (MPa)",tipoEstaca[#Headers],0)),0.4%*PI()*HC[[#This Row],[Ø (cm)]]^2/4,"N.S.")</f>
        <v>7.8539816339744837</v>
      </c>
      <c r="AF161" s="1">
        <f>INDEX(tipoEstaca[],MATCH($D$2,tipoEstaca[TIPO DE ESTACA],0),MATCH(HC[[#Headers],[Comprimento (m)]],tipoEstaca[#Headers],0))</f>
        <v>4</v>
      </c>
      <c r="AG161" s="5">
        <f ca="1">HC[[#This Row],[As,mín (cm²)]]/100^2*HC[[#This Row],[Comprimento (m)]]*7850</f>
        <v>24.661502330679877</v>
      </c>
      <c r="AH161" s="4">
        <f ca="1">HC[[#This Row],[nE]]*HC[[#This Row],[Prof. (m)]]*HC[[#This Row],[Ap (m²)]]</f>
        <v>22.383847656827275</v>
      </c>
      <c r="AI161" s="1">
        <f ca="1">IF(HC[[#This Row],[nE]]=1,0,MAX(3*HC[[#This Row],[Ø (cm)]],60))</f>
        <v>150</v>
      </c>
      <c r="AJ161" s="1">
        <f ca="1">IF(HC[[#This Row],[nE]]=1,HC[[#This Row],[Ø (cm)]]+2*10,MAX(1.5*HC[[#This Row],[Ø (cm)]],HC[[#This Row],[Ø (cm)]]+15))</f>
        <v>75</v>
      </c>
      <c r="AK161" s="1" t="str">
        <f ca="1">alturaUtil(HC[[#This Row],[nE]],HC[[#This Row],[Ø (cm)]],HC[[#This Row],[e (cm)]],HC[[#This Row],[ap,eq (cm)]])</f>
        <v>N.S.</v>
      </c>
      <c r="AL161" s="1" t="str">
        <f ca="1">IFERROR(HC[[#This Row],[d (cm)]]+arredondarParaCimaMultiplo5cm(MAX(5,SQRT(PI())/2*HC[[#This Row],[Ø (cm)]]/5)),"N.S.")</f>
        <v>N.S.</v>
      </c>
      <c r="AM161" s="5" t="str">
        <f ca="1">alpha(HC[[#This Row],[nE]],HC[[#This Row],[d (cm)]],HC[[#This Row],[e (cm)]],HC[[#This Row],[ap,eq (cm)]])</f>
        <v>N.S.</v>
      </c>
      <c r="AN161" s="35" t="str">
        <f ca="1">IFERROR(HC[[#This Row],[Nsd (kN)]]/(HC[[#This Row],[Ap (cm²)]]*SIN(HC[[#This Row],[α]])^2),"N.S.")</f>
        <v>N.S.</v>
      </c>
      <c r="AO161" s="35" t="str">
        <f ca="1">IFERROR(HC[[#This Row],[Nsd (kN)]]/(HC[[#This Row],[nE]]*PI()*HC[[#This Row],[Ø (cm)]]^2/4*SIN(HC[[#This Row],[α]])^2),"N.S.")</f>
        <v>N.S.</v>
      </c>
      <c r="AP161" s="4" t="str">
        <f ca="1">IFERROR(INDEX(grupoEstacas[],HC[[#This Row],[nE]],MATCH("coef. Blévot",grupoEstacas[#Headers],0)),"N.S.")</f>
        <v>N.S.</v>
      </c>
      <c r="AQ161" s="35" t="str">
        <f ca="1">IFERROR(HC[[#This Row],[coef. Blévot]]*0.9*INDEX(tipoEstaca[],MATCH($D$2,tipoEstaca[TIPO DE ESTACA],0),MATCH("fcd (kN/cm²)",tipoEstaca[#Headers],0)),"N.S.")</f>
        <v>N.S.</v>
      </c>
      <c r="AR161" s="1" t="str">
        <f ca="1">IF(AND(HC[[#This Row],[cd,b,pil (kN/cm²)]]&lt;=HC[[#This Row],[cd,b,lim (kN/cm²)]],HC[[#This Row],[cd,b,est (kN/cm²)]]&lt;=HC[[#This Row],[cd,b,lim (kN/cm²)]]),"OK","ERRO")</f>
        <v>OK</v>
      </c>
      <c r="AS161" s="4" t="str">
        <f ca="1">As_lado(HC[[#This Row],[nE]],HC[[#This Row],[Nsd (kN)]],HC[[#This Row],[d (cm)]],HC[[#This Row],[e (cm)]],HC[[#This Row],[ap,eq (cm)]])</f>
        <v>N.S.</v>
      </c>
      <c r="AT161" s="4" t="str">
        <f ca="1">IF(HC[[#This Row],[nE]]=1,HC[[#This Row],[As,lado (cm²)]],IF(HC[[#This Row],[nE]]=2,0.075*2*HC[a (cm)],"N.A."))</f>
        <v>N.A.</v>
      </c>
      <c r="AU161" s="4" t="str">
        <f ca="1">IFERROR(IF(HC[[#This Row],[nE]]=1,"N.A.",0.2*HC[[#This Row],[As,lado (cm²)]]),"N.S.")</f>
        <v>N.S.</v>
      </c>
      <c r="AV161" s="4" t="str">
        <f ca="1">As_malha(HC[[#This Row],[nE]],HC[[#This Row],[As,lado (cm²)]],HC[[#This Row],[Nsd (kN)]])</f>
        <v>N.S.</v>
      </c>
      <c r="AW161" s="4" t="str">
        <f ca="1">As_susp_tot(HC[[#This Row],[nE]],HC[[#This Row],[Nsd (kN)]])</f>
        <v>N.S.</v>
      </c>
      <c r="AX161" s="4" t="str">
        <f ca="1">Asp_face(HC[[#This Row],[nE]],HC[[#This Row],[As,lado (cm²)]])</f>
        <v>N.S.</v>
      </c>
      <c r="AY161" s="5" t="str">
        <f ca="1">acoBloco(HC[[#This Row],[nE]],HC[[#This Row],[e (cm)]],HC[[#This Row],[a (cm)]],HC[[#This Row],[h (cm)]],HC[[#This Row],[As,lado (cm²)]],HC[[#This Row],[Asp e Asw (cm²/m)]],HC[[#This Row],[As,sup (cm²)]],HC[[#This Row],[As,malha (cm²)]],HC[[#This Row],[As,susp,tot (cm²)]],HC[[#This Row],[Asp,face (cm²)]])</f>
        <v>N.S.</v>
      </c>
      <c r="AZ161" s="4" t="str">
        <f ca="1">concretoBloco(HC[[#This Row],[nE]],HC[[#This Row],[e (cm)]],HC[[#This Row],[a (cm)]],HC[[#This Row],[h (cm)]])</f>
        <v>N.S.</v>
      </c>
      <c r="BA161" s="5">
        <f ca="1">SUM(HC[[#This Row],[Aço Est (kg)]],HC[[#This Row],[Aço Bloco (kg)]])</f>
        <v>24.661502330679877</v>
      </c>
      <c r="BB161" s="4">
        <f>INDEX(composicoes[],MATCH(95580,composicoes[CÓDIGO],0),MATCH("CUSTO TOTAL",composicoes[#Headers],0))</f>
        <v>10.46</v>
      </c>
      <c r="BC161" s="4">
        <f ca="1">SUM(HC[[#This Row],[Conc Est (m³)]],HC[[#This Row],[Conc Bloco (m³)]])</f>
        <v>22.383847656827275</v>
      </c>
      <c r="BD161" s="4">
        <f>INDEX(composicoes[],MATCH(94966,composicoes[CÓDIGO],0),MATCH("CUSTO TOTAL",composicoes[#Headers],0))</f>
        <v>439.52</v>
      </c>
      <c r="BE161" s="38">
        <f ca="1">HC[[#This Row],[Aço (kg)]]*HC[[#This Row],[Aço (R$/kg)]]+HC[[#This Row],[Conc (m³)]]*HC[[#This Row],[Conc (R$/m³)]]</f>
        <v>10096.108036507634</v>
      </c>
      <c r="BF161" s="4" t="str">
        <f ca="1">IF(COUNTIF(HC[#This Row],"N.S.")&gt;0,"lim.","OK")</f>
        <v>lim.</v>
      </c>
      <c r="BG161" s="4" t="str">
        <f>IF(HC[[#This Row],[Prof. (m)]]&lt;4,"lim.","OK")</f>
        <v>lim.</v>
      </c>
      <c r="BH161" s="4" t="str">
        <f>IF(HC[[#This Row],[Prof. (m)]]&gt;=8*HC[[#This Row],[Ø (cm)]]/100,"OK","lim.")</f>
        <v>lim.</v>
      </c>
      <c r="BI161" s="4" t="str">
        <f ca="1">IF(HC[[#This Row],[Verif. Biela]]="OK","OK","lim.")</f>
        <v>OK</v>
      </c>
      <c r="BJ161" s="4" t="str">
        <f ca="1">IF(COUNTA(HC[[#This Row],[Nº Est.]:[Biela comp.]])=COUNTIF(HC[[#This Row],[Nº Est.]:[Biela comp.]],"OK"),"OK","lim.")</f>
        <v>lim.</v>
      </c>
      <c r="BK161" s="4" t="str">
        <f ca="1">IF(HC[[#This Row],[Controle]]="OK",HC[[#This Row],[nE]]&amp;" Ø"&amp;HC[[#This Row],[Ø (cm)]]&amp;"cm Prof. "&amp;HC[[#This Row],[Prof. (m)]]&amp;" m","")</f>
        <v/>
      </c>
      <c r="BL161" s="4" t="str">
        <f ca="1">IF(HC[[#This Row],[idDimensionamento]]="","",HC[[#This Row],[idPilar]]&amp;HC[[#This Row],[idDimensionamento]])</f>
        <v/>
      </c>
    </row>
    <row r="162" spans="2:64" x14ac:dyDescent="0.25">
      <c r="B162" s="12">
        <f>ROUNDUP((ROW(HC[[#This Row],[idDiâmetro]])-ROW(HC[[#Headers],[idDiâmetro]]))/(COUNT(SPT[Prof. (m)])*COUNT(PILARES[Pilar])),0)</f>
        <v>6</v>
      </c>
      <c r="C162" s="12">
        <f>IF(HC[[#This Row],[idDiâmetro]]&lt;&gt;B161,1,IF(HC[[#This Row],[Prof. (m)]]=0,C161+1,C161))</f>
        <v>2</v>
      </c>
      <c r="D162" s="1">
        <f>IFERROR(IF(D161=MAX(SPT[Prof. (m)]),0,D161+1),0)</f>
        <v>3</v>
      </c>
      <c r="E162" s="1">
        <f>INDEX(SPT[],MATCH(HC[[#This Row],[Prof. (m)]],SPT[Prof. (m)],0),2)</f>
        <v>4</v>
      </c>
      <c r="F162" s="1" t="str">
        <f>INDEX(SPT[],MATCH(HC[[#This Row],[Prof. (m)]],SPT[Prof. (m)],0),3)</f>
        <v>Areia siltosa</v>
      </c>
      <c r="G162" s="1">
        <f>INDEX(estacas[],HC[[#This Row],[idDiâmetro]],MATCH($B$2,estacas[#Headers],0))</f>
        <v>50</v>
      </c>
      <c r="H162" s="1">
        <f>INDEX(estacas[],MATCH(HC[[#This Row],[Ø (cm)]],estacas[Ø HC (cm)],0),MATCH(HC[[#Headers],[Pe HC (kN)]],estacas[#Headers],0))</f>
        <v>1250</v>
      </c>
      <c r="I162" s="4">
        <f>INDEX(K_alpha_C[],MATCH(HC[[#This Row],[Solo]],K_alpha_C[Solo],0),2)</f>
        <v>0.8</v>
      </c>
      <c r="J162" s="5">
        <f>INDEX(K_alpha_C[],MATCH(HC[[#This Row],[Solo]],K_alpha_C[Solo],0),3)</f>
        <v>2</v>
      </c>
      <c r="K162" s="4">
        <f>INDEX(F1_F2[],MATCH($D$2,F1_F2[Tipo de estaca],0),2)</f>
        <v>2</v>
      </c>
      <c r="L162" s="4">
        <f>INDEX(F1_F2[],MATCH($D$2,F1_F2[Tipo de estaca],0),3)</f>
        <v>4</v>
      </c>
      <c r="M162" s="4">
        <f>PI()*(HC[[#This Row],[Ø (cm)]]/100)^2/4</f>
        <v>0.19634954084936207</v>
      </c>
      <c r="N162" s="4">
        <f>PI()*HC[[#This Row],[Ø (cm)]]/100</f>
        <v>1.5707963267948966</v>
      </c>
      <c r="O162" s="4">
        <f>IF(HC[[#This Row],[Prof. (m)]]=0,0,HC[[#This Row],[α (%)]]/100*HC[[#This Row],[K (MPa)]]*1000*HC[[#This Row],[NSPT]])</f>
        <v>64</v>
      </c>
      <c r="P162" s="4">
        <f>IF(HC[[#This Row],[Prof. (m)]]=0,0,(HC[[#This Row],[K (MPa)]]*1000*HC[[#This Row],[NSPT]]/HC[[#This Row],[F1]]*HC[[#This Row],[Ap (m²)]]+HC[[#This Row],[U (m)]]/HC[[#This Row],[F2]]*SUMIFS(HC[(α∙K∙NL∙ΔL)],HC[Prof. (m)],"&lt;="&amp;HC[[#This Row],[Prof. (m)]],HC[idDiâmetro],HC[[#This Row],[idDiâmetro]],HC[idPilar],HC[[#This Row],[idPilar]]))/'DADOS CAP. CARGA'!$D$2)</f>
        <v>182.21237390820801</v>
      </c>
      <c r="Q162" s="12">
        <f>INDEX(C_alpha_beta[],MATCH(HC[[#This Row],[Solo]],C_alpha_beta[Solo],0),MATCH(HC[[#Headers],[C (kPa)]],C_alpha_beta[#Headers],0))</f>
        <v>400</v>
      </c>
      <c r="R162" s="4">
        <f>INDEX(C_alpha_beta[],MATCH(HC[[#This Row],[Solo]],C_alpha_beta[Solo],0),MATCH(HC[[#Headers],[α ESF]],C_alpha_beta[#Headers],0))</f>
        <v>0.5</v>
      </c>
      <c r="S162" s="4">
        <f>INDEX(C_alpha_beta[],MATCH(HC[[#This Row],[Solo]],C_alpha_beta[Solo],0),MATCH(HC[[#Headers],[β ESF]],C_alpha_beta[#Headers],0))</f>
        <v>0.5</v>
      </c>
      <c r="T162" s="4">
        <f>IF(HC[[#This Row],[Prof. (m)]]=0,0,10*(HC[[#This Row],[NSPT]]/3+1))</f>
        <v>23.333333333333329</v>
      </c>
      <c r="U162" s="4">
        <f>(HC[[#This Row],[α ESF]]*HC[[#This Row],[C (kPa)]]*HC[[#This Row],[NSPT]]*HC[[#This Row],[Ap (m²)]])/'DADOS CAP. CARGA'!$Q$2+(HC[[#This Row],[β ESF]]*SUMIFS(HC[10∙(NL/3+1)],HC[Prof. (m)],"&lt;="&amp;HC[[#This Row],[Prof. (m)]],HC[idDiâmetro],HC[[#This Row],[idDiâmetro]],HC[idPilar],HC[[#This Row],[idPilar]])*HC[[#This Row],[U (m)]])/'DADOS CAP. CARGA'!$S$2</f>
        <v>61.522856132800115</v>
      </c>
      <c r="V162" s="4">
        <f>IF(SPT!$M$5=1,MIN(HC[[#This Row],[Pe HC (kN)]],HC[[#This Row],[R_AV (kN)]]),IF(SPT!$M$5=2,MIN(HC[[#This Row],[Pe HC (kN)]],HC[[#This Row],[R_DC (kN)]]),MIN(HC[[#This Row],[Pe HC (kN)]],HC[[#This Row],[R_AV (kN)]],HC[[#This Row],[R_DC (kN)]])))</f>
        <v>61.522856132800115</v>
      </c>
      <c r="W162" s="4">
        <f>INDEX(PILARES[],HC[[#This Row],[idPilar]],MATCH("Carga (kN)",PILARES[#Headers],0))*1.4</f>
        <v>1750</v>
      </c>
      <c r="X162" s="12">
        <f>INDEX(PILARES[],HC[[#This Row],[idPilar]],MATCH(HC[[#Headers],[ap (cm)]],PILARES[#Headers],0))</f>
        <v>50</v>
      </c>
      <c r="Y162" s="12">
        <f>INDEX(PILARES[],HC[[#This Row],[idPilar]],MATCH(HC[[#Headers],[bp (cm)]],PILARES[#Headers],0))</f>
        <v>40</v>
      </c>
      <c r="Z162" s="4">
        <f>SQRT(HC[[#This Row],[ap (cm)]]*HC[[#This Row],[bp (cm)]])</f>
        <v>44.721359549995796</v>
      </c>
      <c r="AA162" s="12">
        <f>HC[[#This Row],[ap (cm)]]*HC[[#This Row],[bp (cm)]]</f>
        <v>2000</v>
      </c>
      <c r="AB162" s="12">
        <f ca="1">IF(HC[[#This Row],[Padm∙ε (kN)]]&gt;=HC[[#This Row],[Padm (kN)]],ROUNDUP(1.05*HC[[#This Row],[Nsd (kN)]]/HC[[#This Row],[Padm (kN)]],0),ROUNDUP(1.05*HC[[#This Row],[Nsd (kN)]]/HC[[#This Row],[Padm (kN)]],0)+1)</f>
        <v>30</v>
      </c>
      <c r="AC162" s="4" t="str">
        <f ca="1">IFERROR(IF(HC[[#This Row],[nE]]=1,HC[[#This Row],[Padm (kN)]],HC[[#This Row],[Padm (kN)]]*HC[[#This Row],[nE]]*INDEX(grupoEstacas[],HC[[#This Row],[nE]],MATCH("ε",grupoEstacas[#Headers],0))),"N.S.")</f>
        <v>N.S.</v>
      </c>
      <c r="AD162" s="4">
        <f ca="1">1.05*HC[[#This Row],[Nsd (kN)]]/(HC[[#This Row],[nE]]*PI()*HC[[#This Row],[Ø (cm)]]^2/4)*10</f>
        <v>0.31194368846011489</v>
      </c>
      <c r="AE162" s="4">
        <f ca="1">IF(HC[[#This Row],[σ (MPa)]]&lt;INDEX(tipoEstaca[],MATCH($D$2,tipoEstaca[TIPO DE ESTACA],0),MATCH("σmáx (MPa)",tipoEstaca[#Headers],0)),0.4%*PI()*HC[[#This Row],[Ø (cm)]]^2/4,"N.S.")</f>
        <v>7.8539816339744837</v>
      </c>
      <c r="AF162" s="1">
        <f>INDEX(tipoEstaca[],MATCH($D$2,tipoEstaca[TIPO DE ESTACA],0),MATCH(HC[[#Headers],[Comprimento (m)]],tipoEstaca[#Headers],0))</f>
        <v>4</v>
      </c>
      <c r="AG162" s="5">
        <f ca="1">HC[[#This Row],[As,mín (cm²)]]/100^2*HC[[#This Row],[Comprimento (m)]]*7850</f>
        <v>24.661502330679877</v>
      </c>
      <c r="AH162" s="4">
        <f ca="1">HC[[#This Row],[nE]]*HC[[#This Row],[Prof. (m)]]*HC[[#This Row],[Ap (m²)]]</f>
        <v>17.671458676442587</v>
      </c>
      <c r="AI162" s="1">
        <f ca="1">IF(HC[[#This Row],[nE]]=1,0,MAX(3*HC[[#This Row],[Ø (cm)]],60))</f>
        <v>150</v>
      </c>
      <c r="AJ162" s="1">
        <f ca="1">IF(HC[[#This Row],[nE]]=1,HC[[#This Row],[Ø (cm)]]+2*10,MAX(1.5*HC[[#This Row],[Ø (cm)]],HC[[#This Row],[Ø (cm)]]+15))</f>
        <v>75</v>
      </c>
      <c r="AK162" s="1" t="str">
        <f ca="1">alturaUtil(HC[[#This Row],[nE]],HC[[#This Row],[Ø (cm)]],HC[[#This Row],[e (cm)]],HC[[#This Row],[ap,eq (cm)]])</f>
        <v>N.S.</v>
      </c>
      <c r="AL162" s="1" t="str">
        <f ca="1">IFERROR(HC[[#This Row],[d (cm)]]+arredondarParaCimaMultiplo5cm(MAX(5,SQRT(PI())/2*HC[[#This Row],[Ø (cm)]]/5)),"N.S.")</f>
        <v>N.S.</v>
      </c>
      <c r="AM162" s="5" t="str">
        <f ca="1">alpha(HC[[#This Row],[nE]],HC[[#This Row],[d (cm)]],HC[[#This Row],[e (cm)]],HC[[#This Row],[ap,eq (cm)]])</f>
        <v>N.S.</v>
      </c>
      <c r="AN162" s="35" t="str">
        <f ca="1">IFERROR(HC[[#This Row],[Nsd (kN)]]/(HC[[#This Row],[Ap (cm²)]]*SIN(HC[[#This Row],[α]])^2),"N.S.")</f>
        <v>N.S.</v>
      </c>
      <c r="AO162" s="35" t="str">
        <f ca="1">IFERROR(HC[[#This Row],[Nsd (kN)]]/(HC[[#This Row],[nE]]*PI()*HC[[#This Row],[Ø (cm)]]^2/4*SIN(HC[[#This Row],[α]])^2),"N.S.")</f>
        <v>N.S.</v>
      </c>
      <c r="AP162" s="4" t="str">
        <f ca="1">IFERROR(INDEX(grupoEstacas[],HC[[#This Row],[nE]],MATCH("coef. Blévot",grupoEstacas[#Headers],0)),"N.S.")</f>
        <v>N.S.</v>
      </c>
      <c r="AQ162" s="35" t="str">
        <f ca="1">IFERROR(HC[[#This Row],[coef. Blévot]]*0.9*INDEX(tipoEstaca[],MATCH($D$2,tipoEstaca[TIPO DE ESTACA],0),MATCH("fcd (kN/cm²)",tipoEstaca[#Headers],0)),"N.S.")</f>
        <v>N.S.</v>
      </c>
      <c r="AR162" s="1" t="str">
        <f ca="1">IF(AND(HC[[#This Row],[cd,b,pil (kN/cm²)]]&lt;=HC[[#This Row],[cd,b,lim (kN/cm²)]],HC[[#This Row],[cd,b,est (kN/cm²)]]&lt;=HC[[#This Row],[cd,b,lim (kN/cm²)]]),"OK","ERRO")</f>
        <v>OK</v>
      </c>
      <c r="AS162" s="4" t="str">
        <f ca="1">As_lado(HC[[#This Row],[nE]],HC[[#This Row],[Nsd (kN)]],HC[[#This Row],[d (cm)]],HC[[#This Row],[e (cm)]],HC[[#This Row],[ap,eq (cm)]])</f>
        <v>N.S.</v>
      </c>
      <c r="AT162" s="4" t="str">
        <f ca="1">IF(HC[[#This Row],[nE]]=1,HC[[#This Row],[As,lado (cm²)]],IF(HC[[#This Row],[nE]]=2,0.075*2*HC[a (cm)],"N.A."))</f>
        <v>N.A.</v>
      </c>
      <c r="AU162" s="4" t="str">
        <f ca="1">IFERROR(IF(HC[[#This Row],[nE]]=1,"N.A.",0.2*HC[[#This Row],[As,lado (cm²)]]),"N.S.")</f>
        <v>N.S.</v>
      </c>
      <c r="AV162" s="4" t="str">
        <f ca="1">As_malha(HC[[#This Row],[nE]],HC[[#This Row],[As,lado (cm²)]],HC[[#This Row],[Nsd (kN)]])</f>
        <v>N.S.</v>
      </c>
      <c r="AW162" s="4" t="str">
        <f ca="1">As_susp_tot(HC[[#This Row],[nE]],HC[[#This Row],[Nsd (kN)]])</f>
        <v>N.S.</v>
      </c>
      <c r="AX162" s="4" t="str">
        <f ca="1">Asp_face(HC[[#This Row],[nE]],HC[[#This Row],[As,lado (cm²)]])</f>
        <v>N.S.</v>
      </c>
      <c r="AY162" s="5" t="str">
        <f ca="1">acoBloco(HC[[#This Row],[nE]],HC[[#This Row],[e (cm)]],HC[[#This Row],[a (cm)]],HC[[#This Row],[h (cm)]],HC[[#This Row],[As,lado (cm²)]],HC[[#This Row],[Asp e Asw (cm²/m)]],HC[[#This Row],[As,sup (cm²)]],HC[[#This Row],[As,malha (cm²)]],HC[[#This Row],[As,susp,tot (cm²)]],HC[[#This Row],[Asp,face (cm²)]])</f>
        <v>N.S.</v>
      </c>
      <c r="AZ162" s="4" t="str">
        <f ca="1">concretoBloco(HC[[#This Row],[nE]],HC[[#This Row],[e (cm)]],HC[[#This Row],[a (cm)]],HC[[#This Row],[h (cm)]])</f>
        <v>N.S.</v>
      </c>
      <c r="BA162" s="5">
        <f ca="1">SUM(HC[[#This Row],[Aço Est (kg)]],HC[[#This Row],[Aço Bloco (kg)]])</f>
        <v>24.661502330679877</v>
      </c>
      <c r="BB162" s="4">
        <f>INDEX(composicoes[],MATCH(95580,composicoes[CÓDIGO],0),MATCH("CUSTO TOTAL",composicoes[#Headers],0))</f>
        <v>10.46</v>
      </c>
      <c r="BC162" s="4">
        <f ca="1">SUM(HC[[#This Row],[Conc Est (m³)]],HC[[#This Row],[Conc Bloco (m³)]])</f>
        <v>17.671458676442587</v>
      </c>
      <c r="BD162" s="4">
        <f>INDEX(composicoes[],MATCH(94966,composicoes[CÓDIGO],0),MATCH("CUSTO TOTAL",composicoes[#Headers],0))</f>
        <v>439.52</v>
      </c>
      <c r="BE162" s="38">
        <f ca="1">HC[[#This Row],[Aço (kg)]]*HC[[#This Row],[Aço (R$/kg)]]+HC[[#This Row],[Conc (m³)]]*HC[[#This Row],[Conc (R$/m³)]]</f>
        <v>8024.9188318489569</v>
      </c>
      <c r="BF162" s="4" t="str">
        <f ca="1">IF(COUNTIF(HC[#This Row],"N.S.")&gt;0,"lim.","OK")</f>
        <v>lim.</v>
      </c>
      <c r="BG162" s="4" t="str">
        <f>IF(HC[[#This Row],[Prof. (m)]]&lt;4,"lim.","OK")</f>
        <v>lim.</v>
      </c>
      <c r="BH162" s="4" t="str">
        <f>IF(HC[[#This Row],[Prof. (m)]]&gt;=8*HC[[#This Row],[Ø (cm)]]/100,"OK","lim.")</f>
        <v>lim.</v>
      </c>
      <c r="BI162" s="4" t="str">
        <f ca="1">IF(HC[[#This Row],[Verif. Biela]]="OK","OK","lim.")</f>
        <v>OK</v>
      </c>
      <c r="BJ162" s="4" t="str">
        <f ca="1">IF(COUNTA(HC[[#This Row],[Nº Est.]:[Biela comp.]])=COUNTIF(HC[[#This Row],[Nº Est.]:[Biela comp.]],"OK"),"OK","lim.")</f>
        <v>lim.</v>
      </c>
      <c r="BK162" s="4" t="str">
        <f ca="1">IF(HC[[#This Row],[Controle]]="OK",HC[[#This Row],[nE]]&amp;" Ø"&amp;HC[[#This Row],[Ø (cm)]]&amp;"cm Prof. "&amp;HC[[#This Row],[Prof. (m)]]&amp;" m","")</f>
        <v/>
      </c>
      <c r="BL162" s="4" t="str">
        <f ca="1">IF(HC[[#This Row],[idDimensionamento]]="","",HC[[#This Row],[idPilar]]&amp;HC[[#This Row],[idDimensionamento]])</f>
        <v/>
      </c>
    </row>
    <row r="163" spans="2:64" x14ac:dyDescent="0.25">
      <c r="B163" s="12">
        <f>ROUNDUP((ROW(HC[[#This Row],[idDiâmetro]])-ROW(HC[[#Headers],[idDiâmetro]]))/(COUNT(SPT[Prof. (m)])*COUNT(PILARES[Pilar])),0)</f>
        <v>6</v>
      </c>
      <c r="C163" s="12">
        <f>IF(HC[[#This Row],[idDiâmetro]]&lt;&gt;B162,1,IF(HC[[#This Row],[Prof. (m)]]=0,C162+1,C162))</f>
        <v>2</v>
      </c>
      <c r="D163" s="1">
        <f>IFERROR(IF(D162=MAX(SPT[Prof. (m)]),0,D162+1),0)</f>
        <v>4</v>
      </c>
      <c r="E163" s="1">
        <f>INDEX(SPT[],MATCH(HC[[#This Row],[Prof. (m)]],SPT[Prof. (m)],0),2)</f>
        <v>8</v>
      </c>
      <c r="F163" s="1" t="str">
        <f>INDEX(SPT[],MATCH(HC[[#This Row],[Prof. (m)]],SPT[Prof. (m)],0),3)</f>
        <v>Areia siltosa</v>
      </c>
      <c r="G163" s="1">
        <f>INDEX(estacas[],HC[[#This Row],[idDiâmetro]],MATCH($B$2,estacas[#Headers],0))</f>
        <v>50</v>
      </c>
      <c r="H163" s="1">
        <f>INDEX(estacas[],MATCH(HC[[#This Row],[Ø (cm)]],estacas[Ø HC (cm)],0),MATCH(HC[[#Headers],[Pe HC (kN)]],estacas[#Headers],0))</f>
        <v>1250</v>
      </c>
      <c r="I163" s="4">
        <f>INDEX(K_alpha_C[],MATCH(HC[[#This Row],[Solo]],K_alpha_C[Solo],0),2)</f>
        <v>0.8</v>
      </c>
      <c r="J163" s="5">
        <f>INDEX(K_alpha_C[],MATCH(HC[[#This Row],[Solo]],K_alpha_C[Solo],0),3)</f>
        <v>2</v>
      </c>
      <c r="K163" s="4">
        <f>INDEX(F1_F2[],MATCH($D$2,F1_F2[Tipo de estaca],0),2)</f>
        <v>2</v>
      </c>
      <c r="L163" s="4">
        <f>INDEX(F1_F2[],MATCH($D$2,F1_F2[Tipo de estaca],0),3)</f>
        <v>4</v>
      </c>
      <c r="M163" s="4">
        <f>PI()*(HC[[#This Row],[Ø (cm)]]/100)^2/4</f>
        <v>0.19634954084936207</v>
      </c>
      <c r="N163" s="4">
        <f>PI()*HC[[#This Row],[Ø (cm)]]/100</f>
        <v>1.5707963267948966</v>
      </c>
      <c r="O163" s="4">
        <f>IF(HC[[#This Row],[Prof. (m)]]=0,0,HC[[#This Row],[α (%)]]/100*HC[[#This Row],[K (MPa)]]*1000*HC[[#This Row],[NSPT]])</f>
        <v>128</v>
      </c>
      <c r="P163" s="4">
        <f>IF(HC[[#This Row],[Prof. (m)]]=0,0,(HC[[#This Row],[K (MPa)]]*1000*HC[[#This Row],[NSPT]]/HC[[#This Row],[F1]]*HC[[#This Row],[Ap (m²)]]+HC[[#This Row],[U (m)]]/HC[[#This Row],[F2]]*SUMIFS(HC[(α∙K∙NL∙ΔL)],HC[Prof. (m)],"&lt;="&amp;HC[[#This Row],[Prof. (m)]],HC[idDiâmetro],HC[[#This Row],[idDiâmetro]],HC[idPilar],HC[[#This Row],[idPilar]]))/'DADOS CAP. CARGA'!$D$2)</f>
        <v>364.42474781641602</v>
      </c>
      <c r="Q163" s="12">
        <f>INDEX(C_alpha_beta[],MATCH(HC[[#This Row],[Solo]],C_alpha_beta[Solo],0),MATCH(HC[[#Headers],[C (kPa)]],C_alpha_beta[#Headers],0))</f>
        <v>400</v>
      </c>
      <c r="R163" s="4">
        <f>INDEX(C_alpha_beta[],MATCH(HC[[#This Row],[Solo]],C_alpha_beta[Solo],0),MATCH(HC[[#Headers],[α ESF]],C_alpha_beta[#Headers],0))</f>
        <v>0.5</v>
      </c>
      <c r="S163" s="4">
        <f>INDEX(C_alpha_beta[],MATCH(HC[[#This Row],[Solo]],C_alpha_beta[Solo],0),MATCH(HC[[#Headers],[β ESF]],C_alpha_beta[#Headers],0))</f>
        <v>0.5</v>
      </c>
      <c r="T163" s="4">
        <f>IF(HC[[#This Row],[Prof. (m)]]=0,0,10*(HC[[#This Row],[NSPT]]/3+1))</f>
        <v>36.666666666666664</v>
      </c>
      <c r="U163" s="4">
        <f>(HC[[#This Row],[α ESF]]*HC[[#This Row],[C (kPa)]]*HC[[#This Row],[NSPT]]*HC[[#This Row],[Ap (m²)]])/'DADOS CAP. CARGA'!$Q$2+(HC[[#This Row],[β ESF]]*SUMIFS(HC[10∙(NL/3+1)],HC[Prof. (m)],"&lt;="&amp;HC[[#This Row],[Prof. (m)]],HC[idDiâmetro],HC[[#This Row],[idDiâmetro]],HC[idPilar],HC[[#This Row],[idPilar]])*HC[[#This Row],[U (m)]])/'DADOS CAP. CARGA'!$S$2</f>
        <v>115.19173063162575</v>
      </c>
      <c r="V163" s="4">
        <f>IF(SPT!$M$5=1,MIN(HC[[#This Row],[Pe HC (kN)]],HC[[#This Row],[R_AV (kN)]]),IF(SPT!$M$5=2,MIN(HC[[#This Row],[Pe HC (kN)]],HC[[#This Row],[R_DC (kN)]]),MIN(HC[[#This Row],[Pe HC (kN)]],HC[[#This Row],[R_AV (kN)]],HC[[#This Row],[R_DC (kN)]])))</f>
        <v>115.19173063162575</v>
      </c>
      <c r="W163" s="4">
        <f>INDEX(PILARES[],HC[[#This Row],[idPilar]],MATCH("Carga (kN)",PILARES[#Headers],0))*1.4</f>
        <v>1750</v>
      </c>
      <c r="X163" s="12">
        <f>INDEX(PILARES[],HC[[#This Row],[idPilar]],MATCH(HC[[#Headers],[ap (cm)]],PILARES[#Headers],0))</f>
        <v>50</v>
      </c>
      <c r="Y163" s="12">
        <f>INDEX(PILARES[],HC[[#This Row],[idPilar]],MATCH(HC[[#Headers],[bp (cm)]],PILARES[#Headers],0))</f>
        <v>40</v>
      </c>
      <c r="Z163" s="4">
        <f>SQRT(HC[[#This Row],[ap (cm)]]*HC[[#This Row],[bp (cm)]])</f>
        <v>44.721359549995796</v>
      </c>
      <c r="AA163" s="12">
        <f>HC[[#This Row],[ap (cm)]]*HC[[#This Row],[bp (cm)]]</f>
        <v>2000</v>
      </c>
      <c r="AB163" s="12">
        <f ca="1">IF(HC[[#This Row],[Padm∙ε (kN)]]&gt;=HC[[#This Row],[Padm (kN)]],ROUNDUP(1.05*HC[[#This Row],[Nsd (kN)]]/HC[[#This Row],[Padm (kN)]],0),ROUNDUP(1.05*HC[[#This Row],[Nsd (kN)]]/HC[[#This Row],[Padm (kN)]],0)+1)</f>
        <v>16</v>
      </c>
      <c r="AC163" s="4" t="str">
        <f ca="1">IFERROR(IF(HC[[#This Row],[nE]]=1,HC[[#This Row],[Padm (kN)]],HC[[#This Row],[Padm (kN)]]*HC[[#This Row],[nE]]*INDEX(grupoEstacas[],HC[[#This Row],[nE]],MATCH("ε",grupoEstacas[#Headers],0))),"N.S.")</f>
        <v>N.S.</v>
      </c>
      <c r="AD163" s="4">
        <f ca="1">1.05*HC[[#This Row],[Nsd (kN)]]/(HC[[#This Row],[nE]]*PI()*HC[[#This Row],[Ø (cm)]]^2/4)*10</f>
        <v>0.5848944158627154</v>
      </c>
      <c r="AE163" s="4">
        <f ca="1">IF(HC[[#This Row],[σ (MPa)]]&lt;INDEX(tipoEstaca[],MATCH($D$2,tipoEstaca[TIPO DE ESTACA],0),MATCH("σmáx (MPa)",tipoEstaca[#Headers],0)),0.4%*PI()*HC[[#This Row],[Ø (cm)]]^2/4,"N.S.")</f>
        <v>7.8539816339744837</v>
      </c>
      <c r="AF163" s="1">
        <f>INDEX(tipoEstaca[],MATCH($D$2,tipoEstaca[TIPO DE ESTACA],0),MATCH(HC[[#Headers],[Comprimento (m)]],tipoEstaca[#Headers],0))</f>
        <v>4</v>
      </c>
      <c r="AG163" s="5">
        <f ca="1">HC[[#This Row],[As,mín (cm²)]]/100^2*HC[[#This Row],[Comprimento (m)]]*7850</f>
        <v>24.661502330679877</v>
      </c>
      <c r="AH163" s="4">
        <f ca="1">HC[[#This Row],[nE]]*HC[[#This Row],[Prof. (m)]]*HC[[#This Row],[Ap (m²)]]</f>
        <v>12.566370614359172</v>
      </c>
      <c r="AI163" s="1">
        <f ca="1">IF(HC[[#This Row],[nE]]=1,0,MAX(3*HC[[#This Row],[Ø (cm)]],60))</f>
        <v>150</v>
      </c>
      <c r="AJ163" s="1">
        <f ca="1">IF(HC[[#This Row],[nE]]=1,HC[[#This Row],[Ø (cm)]]+2*10,MAX(1.5*HC[[#This Row],[Ø (cm)]],HC[[#This Row],[Ø (cm)]]+15))</f>
        <v>75</v>
      </c>
      <c r="AK163" s="1" t="str">
        <f ca="1">alturaUtil(HC[[#This Row],[nE]],HC[[#This Row],[Ø (cm)]],HC[[#This Row],[e (cm)]],HC[[#This Row],[ap,eq (cm)]])</f>
        <v>N.S.</v>
      </c>
      <c r="AL163" s="1" t="str">
        <f ca="1">IFERROR(HC[[#This Row],[d (cm)]]+arredondarParaCimaMultiplo5cm(MAX(5,SQRT(PI())/2*HC[[#This Row],[Ø (cm)]]/5)),"N.S.")</f>
        <v>N.S.</v>
      </c>
      <c r="AM163" s="5" t="str">
        <f ca="1">alpha(HC[[#This Row],[nE]],HC[[#This Row],[d (cm)]],HC[[#This Row],[e (cm)]],HC[[#This Row],[ap,eq (cm)]])</f>
        <v>N.S.</v>
      </c>
      <c r="AN163" s="35" t="str">
        <f ca="1">IFERROR(HC[[#This Row],[Nsd (kN)]]/(HC[[#This Row],[Ap (cm²)]]*SIN(HC[[#This Row],[α]])^2),"N.S.")</f>
        <v>N.S.</v>
      </c>
      <c r="AO163" s="35" t="str">
        <f ca="1">IFERROR(HC[[#This Row],[Nsd (kN)]]/(HC[[#This Row],[nE]]*PI()*HC[[#This Row],[Ø (cm)]]^2/4*SIN(HC[[#This Row],[α]])^2),"N.S.")</f>
        <v>N.S.</v>
      </c>
      <c r="AP163" s="4" t="str">
        <f ca="1">IFERROR(INDEX(grupoEstacas[],HC[[#This Row],[nE]],MATCH("coef. Blévot",grupoEstacas[#Headers],0)),"N.S.")</f>
        <v>N.S.</v>
      </c>
      <c r="AQ163" s="35" t="str">
        <f ca="1">IFERROR(HC[[#This Row],[coef. Blévot]]*0.9*INDEX(tipoEstaca[],MATCH($D$2,tipoEstaca[TIPO DE ESTACA],0),MATCH("fcd (kN/cm²)",tipoEstaca[#Headers],0)),"N.S.")</f>
        <v>N.S.</v>
      </c>
      <c r="AR163" s="1" t="str">
        <f ca="1">IF(AND(HC[[#This Row],[cd,b,pil (kN/cm²)]]&lt;=HC[[#This Row],[cd,b,lim (kN/cm²)]],HC[[#This Row],[cd,b,est (kN/cm²)]]&lt;=HC[[#This Row],[cd,b,lim (kN/cm²)]]),"OK","ERRO")</f>
        <v>OK</v>
      </c>
      <c r="AS163" s="4" t="str">
        <f ca="1">As_lado(HC[[#This Row],[nE]],HC[[#This Row],[Nsd (kN)]],HC[[#This Row],[d (cm)]],HC[[#This Row],[e (cm)]],HC[[#This Row],[ap,eq (cm)]])</f>
        <v>N.S.</v>
      </c>
      <c r="AT163" s="4" t="str">
        <f ca="1">IF(HC[[#This Row],[nE]]=1,HC[[#This Row],[As,lado (cm²)]],IF(HC[[#This Row],[nE]]=2,0.075*2*HC[a (cm)],"N.A."))</f>
        <v>N.A.</v>
      </c>
      <c r="AU163" s="4" t="str">
        <f ca="1">IFERROR(IF(HC[[#This Row],[nE]]=1,"N.A.",0.2*HC[[#This Row],[As,lado (cm²)]]),"N.S.")</f>
        <v>N.S.</v>
      </c>
      <c r="AV163" s="4" t="str">
        <f ca="1">As_malha(HC[[#This Row],[nE]],HC[[#This Row],[As,lado (cm²)]],HC[[#This Row],[Nsd (kN)]])</f>
        <v>N.S.</v>
      </c>
      <c r="AW163" s="4" t="str">
        <f ca="1">As_susp_tot(HC[[#This Row],[nE]],HC[[#This Row],[Nsd (kN)]])</f>
        <v>N.S.</v>
      </c>
      <c r="AX163" s="4" t="str">
        <f ca="1">Asp_face(HC[[#This Row],[nE]],HC[[#This Row],[As,lado (cm²)]])</f>
        <v>N.S.</v>
      </c>
      <c r="AY163" s="5" t="str">
        <f ca="1">acoBloco(HC[[#This Row],[nE]],HC[[#This Row],[e (cm)]],HC[[#This Row],[a (cm)]],HC[[#This Row],[h (cm)]],HC[[#This Row],[As,lado (cm²)]],HC[[#This Row],[Asp e Asw (cm²/m)]],HC[[#This Row],[As,sup (cm²)]],HC[[#This Row],[As,malha (cm²)]],HC[[#This Row],[As,susp,tot (cm²)]],HC[[#This Row],[Asp,face (cm²)]])</f>
        <v>N.S.</v>
      </c>
      <c r="AZ163" s="4" t="str">
        <f ca="1">concretoBloco(HC[[#This Row],[nE]],HC[[#This Row],[e (cm)]],HC[[#This Row],[a (cm)]],HC[[#This Row],[h (cm)]])</f>
        <v>N.S.</v>
      </c>
      <c r="BA163" s="5">
        <f ca="1">SUM(HC[[#This Row],[Aço Est (kg)]],HC[[#This Row],[Aço Bloco (kg)]])</f>
        <v>24.661502330679877</v>
      </c>
      <c r="BB163" s="4">
        <f>INDEX(composicoes[],MATCH(95580,composicoes[CÓDIGO],0),MATCH("CUSTO TOTAL",composicoes[#Headers],0))</f>
        <v>10.46</v>
      </c>
      <c r="BC163" s="4">
        <f ca="1">SUM(HC[[#This Row],[Conc Est (m³)]],HC[[#This Row],[Conc Bloco (m³)]])</f>
        <v>12.566370614359172</v>
      </c>
      <c r="BD163" s="4">
        <f>INDEX(composicoes[],MATCH(94966,composicoes[CÓDIGO],0),MATCH("CUSTO TOTAL",composicoes[#Headers],0))</f>
        <v>439.52</v>
      </c>
      <c r="BE163" s="38">
        <f ca="1">HC[[#This Row],[Aço (kg)]]*HC[[#This Row],[Aço (R$/kg)]]+HC[[#This Row],[Conc (m³)]]*HC[[#This Row],[Conc (R$/m³)]]</f>
        <v>5781.1305268020551</v>
      </c>
      <c r="BF163" s="4" t="str">
        <f ca="1">IF(COUNTIF(HC[#This Row],"N.S.")&gt;0,"lim.","OK")</f>
        <v>lim.</v>
      </c>
      <c r="BG163" s="4" t="str">
        <f>IF(HC[[#This Row],[Prof. (m)]]&lt;4,"lim.","OK")</f>
        <v>OK</v>
      </c>
      <c r="BH163" s="4" t="str">
        <f>IF(HC[[#This Row],[Prof. (m)]]&gt;=8*HC[[#This Row],[Ø (cm)]]/100,"OK","lim.")</f>
        <v>OK</v>
      </c>
      <c r="BI163" s="4" t="str">
        <f ca="1">IF(HC[[#This Row],[Verif. Biela]]="OK","OK","lim.")</f>
        <v>OK</v>
      </c>
      <c r="BJ163" s="4" t="str">
        <f ca="1">IF(COUNTA(HC[[#This Row],[Nº Est.]:[Biela comp.]])=COUNTIF(HC[[#This Row],[Nº Est.]:[Biela comp.]],"OK"),"OK","lim.")</f>
        <v>lim.</v>
      </c>
      <c r="BK163" s="4" t="str">
        <f ca="1">IF(HC[[#This Row],[Controle]]="OK",HC[[#This Row],[nE]]&amp;" Ø"&amp;HC[[#This Row],[Ø (cm)]]&amp;"cm Prof. "&amp;HC[[#This Row],[Prof. (m)]]&amp;" m","")</f>
        <v/>
      </c>
      <c r="BL163" s="4" t="str">
        <f ca="1">IF(HC[[#This Row],[idDimensionamento]]="","",HC[[#This Row],[idPilar]]&amp;HC[[#This Row],[idDimensionamento]])</f>
        <v/>
      </c>
    </row>
    <row r="164" spans="2:64" x14ac:dyDescent="0.25">
      <c r="B164" s="12">
        <f>ROUNDUP((ROW(HC[[#This Row],[idDiâmetro]])-ROW(HC[[#Headers],[idDiâmetro]]))/(COUNT(SPT[Prof. (m)])*COUNT(PILARES[Pilar])),0)</f>
        <v>6</v>
      </c>
      <c r="C164" s="12">
        <f>IF(HC[[#This Row],[idDiâmetro]]&lt;&gt;B163,1,IF(HC[[#This Row],[Prof. (m)]]=0,C163+1,C163))</f>
        <v>2</v>
      </c>
      <c r="D164" s="1">
        <f>IFERROR(IF(D163=MAX(SPT[Prof. (m)]),0,D163+1),0)</f>
        <v>5</v>
      </c>
      <c r="E164" s="1">
        <f>INDEX(SPT[],MATCH(HC[[#This Row],[Prof. (m)]],SPT[Prof. (m)],0),2)</f>
        <v>17</v>
      </c>
      <c r="F164" s="1" t="str">
        <f>INDEX(SPT[],MATCH(HC[[#This Row],[Prof. (m)]],SPT[Prof. (m)],0),3)</f>
        <v>Areia siltosa</v>
      </c>
      <c r="G164" s="1">
        <f>INDEX(estacas[],HC[[#This Row],[idDiâmetro]],MATCH($B$2,estacas[#Headers],0))</f>
        <v>50</v>
      </c>
      <c r="H164" s="1">
        <f>INDEX(estacas[],MATCH(HC[[#This Row],[Ø (cm)]],estacas[Ø HC (cm)],0),MATCH(HC[[#Headers],[Pe HC (kN)]],estacas[#Headers],0))</f>
        <v>1250</v>
      </c>
      <c r="I164" s="4">
        <f>INDEX(K_alpha_C[],MATCH(HC[[#This Row],[Solo]],K_alpha_C[Solo],0),2)</f>
        <v>0.8</v>
      </c>
      <c r="J164" s="5">
        <f>INDEX(K_alpha_C[],MATCH(HC[[#This Row],[Solo]],K_alpha_C[Solo],0),3)</f>
        <v>2</v>
      </c>
      <c r="K164" s="4">
        <f>INDEX(F1_F2[],MATCH($D$2,F1_F2[Tipo de estaca],0),2)</f>
        <v>2</v>
      </c>
      <c r="L164" s="4">
        <f>INDEX(F1_F2[],MATCH($D$2,F1_F2[Tipo de estaca],0),3)</f>
        <v>4</v>
      </c>
      <c r="M164" s="4">
        <f>PI()*(HC[[#This Row],[Ø (cm)]]/100)^2/4</f>
        <v>0.19634954084936207</v>
      </c>
      <c r="N164" s="4">
        <f>PI()*HC[[#This Row],[Ø (cm)]]/100</f>
        <v>1.5707963267948966</v>
      </c>
      <c r="O164" s="4">
        <f>IF(HC[[#This Row],[Prof. (m)]]=0,0,HC[[#This Row],[α (%)]]/100*HC[[#This Row],[K (MPa)]]*1000*HC[[#This Row],[NSPT]])</f>
        <v>272</v>
      </c>
      <c r="P164" s="4">
        <f>IF(HC[[#This Row],[Prof. (m)]]=0,0,(HC[[#This Row],[K (MPa)]]*1000*HC[[#This Row],[NSPT]]/HC[[#This Row],[F1]]*HC[[#This Row],[Ap (m²)]]+HC[[#This Row],[U (m)]]/HC[[#This Row],[F2]]*SUMIFS(HC[(α∙K∙NL∙ΔL)],HC[Prof. (m)],"&lt;="&amp;HC[[#This Row],[Prof. (m)]],HC[idDiâmetro],HC[[#This Row],[idDiâmetro]],HC[idPilar],HC[[#This Row],[idPilar]]))/'DADOS CAP. CARGA'!$D$2)</f>
        <v>771.26099645629415</v>
      </c>
      <c r="Q164" s="12">
        <f>INDEX(C_alpha_beta[],MATCH(HC[[#This Row],[Solo]],C_alpha_beta[Solo],0),MATCH(HC[[#Headers],[C (kPa)]],C_alpha_beta[#Headers],0))</f>
        <v>400</v>
      </c>
      <c r="R164" s="4">
        <f>INDEX(C_alpha_beta[],MATCH(HC[[#This Row],[Solo]],C_alpha_beta[Solo],0),MATCH(HC[[#Headers],[α ESF]],C_alpha_beta[#Headers],0))</f>
        <v>0.5</v>
      </c>
      <c r="S164" s="4">
        <f>INDEX(C_alpha_beta[],MATCH(HC[[#This Row],[Solo]],C_alpha_beta[Solo],0),MATCH(HC[[#Headers],[β ESF]],C_alpha_beta[#Headers],0))</f>
        <v>0.5</v>
      </c>
      <c r="T164" s="4">
        <f>IF(HC[[#This Row],[Prof. (m)]]=0,0,10*(HC[[#This Row],[NSPT]]/3+1))</f>
        <v>66.666666666666671</v>
      </c>
      <c r="U164" s="4">
        <f>(HC[[#This Row],[α ESF]]*HC[[#This Row],[C (kPa)]]*HC[[#This Row],[NSPT]]*HC[[#This Row],[Ap (m²)]])/'DADOS CAP. CARGA'!$Q$2+(HC[[#This Row],[β ESF]]*SUMIFS(HC[10∙(NL/3+1)],HC[Prof. (m)],"&lt;="&amp;HC[[#This Row],[Prof. (m)]],HC[idDiâmetro],HC[[#This Row],[idDiâmetro]],HC[idPilar],HC[[#This Row],[idPilar]])*HC[[#This Row],[U (m)]])/'DADOS CAP. CARGA'!$S$2</f>
        <v>229.72896279375362</v>
      </c>
      <c r="V164" s="4">
        <f>IF(SPT!$M$5=1,MIN(HC[[#This Row],[Pe HC (kN)]],HC[[#This Row],[R_AV (kN)]]),IF(SPT!$M$5=2,MIN(HC[[#This Row],[Pe HC (kN)]],HC[[#This Row],[R_DC (kN)]]),MIN(HC[[#This Row],[Pe HC (kN)]],HC[[#This Row],[R_AV (kN)]],HC[[#This Row],[R_DC (kN)]])))</f>
        <v>229.72896279375362</v>
      </c>
      <c r="W164" s="4">
        <f>INDEX(PILARES[],HC[[#This Row],[idPilar]],MATCH("Carga (kN)",PILARES[#Headers],0))*1.4</f>
        <v>1750</v>
      </c>
      <c r="X164" s="12">
        <f>INDEX(PILARES[],HC[[#This Row],[idPilar]],MATCH(HC[[#Headers],[ap (cm)]],PILARES[#Headers],0))</f>
        <v>50</v>
      </c>
      <c r="Y164" s="12">
        <f>INDEX(PILARES[],HC[[#This Row],[idPilar]],MATCH(HC[[#Headers],[bp (cm)]],PILARES[#Headers],0))</f>
        <v>40</v>
      </c>
      <c r="Z164" s="4">
        <f>SQRT(HC[[#This Row],[ap (cm)]]*HC[[#This Row],[bp (cm)]])</f>
        <v>44.721359549995796</v>
      </c>
      <c r="AA164" s="12">
        <f>HC[[#This Row],[ap (cm)]]*HC[[#This Row],[bp (cm)]]</f>
        <v>2000</v>
      </c>
      <c r="AB164" s="12">
        <f ca="1">IF(HC[[#This Row],[Padm∙ε (kN)]]&gt;=HC[[#This Row],[Padm (kN)]],ROUNDUP(1.05*HC[[#This Row],[Nsd (kN)]]/HC[[#This Row],[Padm (kN)]],0),ROUNDUP(1.05*HC[[#This Row],[Nsd (kN)]]/HC[[#This Row],[Padm (kN)]],0)+1)</f>
        <v>8</v>
      </c>
      <c r="AC164" s="4" t="str">
        <f ca="1">IFERROR(IF(HC[[#This Row],[nE]]=1,HC[[#This Row],[Padm (kN)]],HC[[#This Row],[Padm (kN)]]*HC[[#This Row],[nE]]*INDEX(grupoEstacas[],HC[[#This Row],[nE]],MATCH("ε",grupoEstacas[#Headers],0))),"N.S.")</f>
        <v>N.S.</v>
      </c>
      <c r="AD164" s="4">
        <f ca="1">1.05*HC[[#This Row],[Nsd (kN)]]/(HC[[#This Row],[nE]]*PI()*HC[[#This Row],[Ø (cm)]]^2/4)*10</f>
        <v>1.1697888317254308</v>
      </c>
      <c r="AE164" s="4">
        <f ca="1">IF(HC[[#This Row],[σ (MPa)]]&lt;INDEX(tipoEstaca[],MATCH($D$2,tipoEstaca[TIPO DE ESTACA],0),MATCH("σmáx (MPa)",tipoEstaca[#Headers],0)),0.4%*PI()*HC[[#This Row],[Ø (cm)]]^2/4,"N.S.")</f>
        <v>7.8539816339744837</v>
      </c>
      <c r="AF164" s="1">
        <f>INDEX(tipoEstaca[],MATCH($D$2,tipoEstaca[TIPO DE ESTACA],0),MATCH(HC[[#Headers],[Comprimento (m)]],tipoEstaca[#Headers],0))</f>
        <v>4</v>
      </c>
      <c r="AG164" s="5">
        <f ca="1">HC[[#This Row],[As,mín (cm²)]]/100^2*HC[[#This Row],[Comprimento (m)]]*7850</f>
        <v>24.661502330679877</v>
      </c>
      <c r="AH164" s="4">
        <f ca="1">HC[[#This Row],[nE]]*HC[[#This Row],[Prof. (m)]]*HC[[#This Row],[Ap (m²)]]</f>
        <v>7.8539816339744828</v>
      </c>
      <c r="AI164" s="1">
        <f ca="1">IF(HC[[#This Row],[nE]]=1,0,MAX(3*HC[[#This Row],[Ø (cm)]],60))</f>
        <v>150</v>
      </c>
      <c r="AJ164" s="1">
        <f ca="1">IF(HC[[#This Row],[nE]]=1,HC[[#This Row],[Ø (cm)]]+2*10,MAX(1.5*HC[[#This Row],[Ø (cm)]],HC[[#This Row],[Ø (cm)]]+15))</f>
        <v>75</v>
      </c>
      <c r="AK164" s="1" t="str">
        <f ca="1">alturaUtil(HC[[#This Row],[nE]],HC[[#This Row],[Ø (cm)]],HC[[#This Row],[e (cm)]],HC[[#This Row],[ap,eq (cm)]])</f>
        <v>N.S.</v>
      </c>
      <c r="AL164" s="1" t="str">
        <f ca="1">IFERROR(HC[[#This Row],[d (cm)]]+arredondarParaCimaMultiplo5cm(MAX(5,SQRT(PI())/2*HC[[#This Row],[Ø (cm)]]/5)),"N.S.")</f>
        <v>N.S.</v>
      </c>
      <c r="AM164" s="5" t="str">
        <f ca="1">alpha(HC[[#This Row],[nE]],HC[[#This Row],[d (cm)]],HC[[#This Row],[e (cm)]],HC[[#This Row],[ap,eq (cm)]])</f>
        <v>N.S.</v>
      </c>
      <c r="AN164" s="35" t="str">
        <f ca="1">IFERROR(HC[[#This Row],[Nsd (kN)]]/(HC[[#This Row],[Ap (cm²)]]*SIN(HC[[#This Row],[α]])^2),"N.S.")</f>
        <v>N.S.</v>
      </c>
      <c r="AO164" s="35" t="str">
        <f ca="1">IFERROR(HC[[#This Row],[Nsd (kN)]]/(HC[[#This Row],[nE]]*PI()*HC[[#This Row],[Ø (cm)]]^2/4*SIN(HC[[#This Row],[α]])^2),"N.S.")</f>
        <v>N.S.</v>
      </c>
      <c r="AP164" s="4" t="str">
        <f ca="1">IFERROR(INDEX(grupoEstacas[],HC[[#This Row],[nE]],MATCH("coef. Blévot",grupoEstacas[#Headers],0)),"N.S.")</f>
        <v>N.S.</v>
      </c>
      <c r="AQ164" s="35" t="str">
        <f ca="1">IFERROR(HC[[#This Row],[coef. Blévot]]*0.9*INDEX(tipoEstaca[],MATCH($D$2,tipoEstaca[TIPO DE ESTACA],0),MATCH("fcd (kN/cm²)",tipoEstaca[#Headers],0)),"N.S.")</f>
        <v>N.S.</v>
      </c>
      <c r="AR164" s="1" t="str">
        <f ca="1">IF(AND(HC[[#This Row],[cd,b,pil (kN/cm²)]]&lt;=HC[[#This Row],[cd,b,lim (kN/cm²)]],HC[[#This Row],[cd,b,est (kN/cm²)]]&lt;=HC[[#This Row],[cd,b,lim (kN/cm²)]]),"OK","ERRO")</f>
        <v>OK</v>
      </c>
      <c r="AS164" s="4" t="str">
        <f ca="1">As_lado(HC[[#This Row],[nE]],HC[[#This Row],[Nsd (kN)]],HC[[#This Row],[d (cm)]],HC[[#This Row],[e (cm)]],HC[[#This Row],[ap,eq (cm)]])</f>
        <v>N.S.</v>
      </c>
      <c r="AT164" s="4" t="str">
        <f ca="1">IF(HC[[#This Row],[nE]]=1,HC[[#This Row],[As,lado (cm²)]],IF(HC[[#This Row],[nE]]=2,0.075*2*HC[a (cm)],"N.A."))</f>
        <v>N.A.</v>
      </c>
      <c r="AU164" s="4" t="str">
        <f ca="1">IFERROR(IF(HC[[#This Row],[nE]]=1,"N.A.",0.2*HC[[#This Row],[As,lado (cm²)]]),"N.S.")</f>
        <v>N.S.</v>
      </c>
      <c r="AV164" s="4" t="str">
        <f ca="1">As_malha(HC[[#This Row],[nE]],HC[[#This Row],[As,lado (cm²)]],HC[[#This Row],[Nsd (kN)]])</f>
        <v>N.S.</v>
      </c>
      <c r="AW164" s="4" t="str">
        <f ca="1">As_susp_tot(HC[[#This Row],[nE]],HC[[#This Row],[Nsd (kN)]])</f>
        <v>N.S.</v>
      </c>
      <c r="AX164" s="4" t="str">
        <f ca="1">Asp_face(HC[[#This Row],[nE]],HC[[#This Row],[As,lado (cm²)]])</f>
        <v>N.S.</v>
      </c>
      <c r="AY164" s="5" t="str">
        <f ca="1">acoBloco(HC[[#This Row],[nE]],HC[[#This Row],[e (cm)]],HC[[#This Row],[a (cm)]],HC[[#This Row],[h (cm)]],HC[[#This Row],[As,lado (cm²)]],HC[[#This Row],[Asp e Asw (cm²/m)]],HC[[#This Row],[As,sup (cm²)]],HC[[#This Row],[As,malha (cm²)]],HC[[#This Row],[As,susp,tot (cm²)]],HC[[#This Row],[Asp,face (cm²)]])</f>
        <v>N.S.</v>
      </c>
      <c r="AZ164" s="4" t="str">
        <f ca="1">concretoBloco(HC[[#This Row],[nE]],HC[[#This Row],[e (cm)]],HC[[#This Row],[a (cm)]],HC[[#This Row],[h (cm)]])</f>
        <v>N.S.</v>
      </c>
      <c r="BA164" s="5">
        <f ca="1">SUM(HC[[#This Row],[Aço Est (kg)]],HC[[#This Row],[Aço Bloco (kg)]])</f>
        <v>24.661502330679877</v>
      </c>
      <c r="BB164" s="4">
        <f>INDEX(composicoes[],MATCH(95580,composicoes[CÓDIGO],0),MATCH("CUSTO TOTAL",composicoes[#Headers],0))</f>
        <v>10.46</v>
      </c>
      <c r="BC164" s="4">
        <f ca="1">SUM(HC[[#This Row],[Conc Est (m³)]],HC[[#This Row],[Conc Bloco (m³)]])</f>
        <v>7.8539816339744828</v>
      </c>
      <c r="BD164" s="4">
        <f>INDEX(composicoes[],MATCH(94966,composicoes[CÓDIGO],0),MATCH("CUSTO TOTAL",composicoes[#Headers],0))</f>
        <v>439.52</v>
      </c>
      <c r="BE164" s="38">
        <f ca="1">HC[[#This Row],[Aço (kg)]]*HC[[#This Row],[Aço (R$/kg)]]+HC[[#This Row],[Conc (m³)]]*HC[[#This Row],[Conc (R$/m³)]]</f>
        <v>3709.9413221433761</v>
      </c>
      <c r="BF164" s="4" t="str">
        <f ca="1">IF(COUNTIF(HC[#This Row],"N.S.")&gt;0,"lim.","OK")</f>
        <v>lim.</v>
      </c>
      <c r="BG164" s="4" t="str">
        <f>IF(HC[[#This Row],[Prof. (m)]]&lt;4,"lim.","OK")</f>
        <v>OK</v>
      </c>
      <c r="BH164" s="4" t="str">
        <f>IF(HC[[#This Row],[Prof. (m)]]&gt;=8*HC[[#This Row],[Ø (cm)]]/100,"OK","lim.")</f>
        <v>OK</v>
      </c>
      <c r="BI164" s="4" t="str">
        <f ca="1">IF(HC[[#This Row],[Verif. Biela]]="OK","OK","lim.")</f>
        <v>OK</v>
      </c>
      <c r="BJ164" s="4" t="str">
        <f ca="1">IF(COUNTA(HC[[#This Row],[Nº Est.]:[Biela comp.]])=COUNTIF(HC[[#This Row],[Nº Est.]:[Biela comp.]],"OK"),"OK","lim.")</f>
        <v>lim.</v>
      </c>
      <c r="BK164" s="4" t="str">
        <f ca="1">IF(HC[[#This Row],[Controle]]="OK",HC[[#This Row],[nE]]&amp;" Ø"&amp;HC[[#This Row],[Ø (cm)]]&amp;"cm Prof. "&amp;HC[[#This Row],[Prof. (m)]]&amp;" m","")</f>
        <v/>
      </c>
      <c r="BL164" s="4" t="str">
        <f ca="1">IF(HC[[#This Row],[idDimensionamento]]="","",HC[[#This Row],[idPilar]]&amp;HC[[#This Row],[idDimensionamento]])</f>
        <v/>
      </c>
    </row>
    <row r="165" spans="2:64" x14ac:dyDescent="0.25">
      <c r="B165" s="12">
        <f>ROUNDUP((ROW(HC[[#This Row],[idDiâmetro]])-ROW(HC[[#Headers],[idDiâmetro]]))/(COUNT(SPT[Prof. (m)])*COUNT(PILARES[Pilar])),0)</f>
        <v>6</v>
      </c>
      <c r="C165" s="12">
        <f>IF(HC[[#This Row],[idDiâmetro]]&lt;&gt;B164,1,IF(HC[[#This Row],[Prof. (m)]]=0,C164+1,C164))</f>
        <v>2</v>
      </c>
      <c r="D165" s="1">
        <f>IFERROR(IF(D164=MAX(SPT[Prof. (m)]),0,D164+1),0)</f>
        <v>6</v>
      </c>
      <c r="E165" s="1">
        <f>INDEX(SPT[],MATCH(HC[[#This Row],[Prof. (m)]],SPT[Prof. (m)],0),2)</f>
        <v>21</v>
      </c>
      <c r="F165" s="1" t="str">
        <f>INDEX(SPT[],MATCH(HC[[#This Row],[Prof. (m)]],SPT[Prof. (m)],0),3)</f>
        <v>Silte arenoso</v>
      </c>
      <c r="G165" s="1">
        <f>INDEX(estacas[],HC[[#This Row],[idDiâmetro]],MATCH($B$2,estacas[#Headers],0))</f>
        <v>50</v>
      </c>
      <c r="H165" s="1">
        <f>INDEX(estacas[],MATCH(HC[[#This Row],[Ø (cm)]],estacas[Ø HC (cm)],0),MATCH(HC[[#Headers],[Pe HC (kN)]],estacas[#Headers],0))</f>
        <v>1250</v>
      </c>
      <c r="I165" s="4">
        <f>INDEX(K_alpha_C[],MATCH(HC[[#This Row],[Solo]],K_alpha_C[Solo],0),2)</f>
        <v>0.55000000000000004</v>
      </c>
      <c r="J165" s="5">
        <f>INDEX(K_alpha_C[],MATCH(HC[[#This Row],[Solo]],K_alpha_C[Solo],0),3)</f>
        <v>2.2000000000000002</v>
      </c>
      <c r="K165" s="4">
        <f>INDEX(F1_F2[],MATCH($D$2,F1_F2[Tipo de estaca],0),2)</f>
        <v>2</v>
      </c>
      <c r="L165" s="4">
        <f>INDEX(F1_F2[],MATCH($D$2,F1_F2[Tipo de estaca],0),3)</f>
        <v>4</v>
      </c>
      <c r="M165" s="4">
        <f>PI()*(HC[[#This Row],[Ø (cm)]]/100)^2/4</f>
        <v>0.19634954084936207</v>
      </c>
      <c r="N165" s="4">
        <f>PI()*HC[[#This Row],[Ø (cm)]]/100</f>
        <v>1.5707963267948966</v>
      </c>
      <c r="O165" s="4">
        <f>IF(HC[[#This Row],[Prof. (m)]]=0,0,HC[[#This Row],[α (%)]]/100*HC[[#This Row],[K (MPa)]]*1000*HC[[#This Row],[NSPT]])</f>
        <v>254.10000000000002</v>
      </c>
      <c r="P165" s="4">
        <f>IF(HC[[#This Row],[Prof. (m)]]=0,0,(HC[[#This Row],[K (MPa)]]*1000*HC[[#This Row],[NSPT]]/HC[[#This Row],[F1]]*HC[[#This Row],[Ap (m²)]]+HC[[#This Row],[U (m)]]/HC[[#This Row],[F2]]*SUMIFS(HC[(α∙K∙NL∙ΔL)],HC[Prof. (m)],"&lt;="&amp;HC[[#This Row],[Prof. (m)]],HC[idDiâmetro],HC[[#This Row],[idDiâmetro]],HC[idPilar],HC[[#This Row],[idPilar]]))/'DADOS CAP. CARGA'!$D$2)</f>
        <v>720.52427510081907</v>
      </c>
      <c r="Q165" s="12">
        <f>INDEX(C_alpha_beta[],MATCH(HC[[#This Row],[Solo]],C_alpha_beta[Solo],0),MATCH(HC[[#Headers],[C (kPa)]],C_alpha_beta[#Headers],0))</f>
        <v>250</v>
      </c>
      <c r="R165" s="4">
        <f>INDEX(C_alpha_beta[],MATCH(HC[[#This Row],[Solo]],C_alpha_beta[Solo],0),MATCH(HC[[#Headers],[α ESF]],C_alpha_beta[#Headers],0))</f>
        <v>0.6</v>
      </c>
      <c r="S165" s="4">
        <f>INDEX(C_alpha_beta[],MATCH(HC[[#This Row],[Solo]],C_alpha_beta[Solo],0),MATCH(HC[[#Headers],[β ESF]],C_alpha_beta[#Headers],0))</f>
        <v>0.65</v>
      </c>
      <c r="T165" s="4">
        <f>IF(HC[[#This Row],[Prof. (m)]]=0,0,10*(HC[[#This Row],[NSPT]]/3+1))</f>
        <v>80</v>
      </c>
      <c r="U165" s="4">
        <f>(HC[[#This Row],[α ESF]]*HC[[#This Row],[C (kPa)]]*HC[[#This Row],[NSPT]]*HC[[#This Row],[Ap (m²)]])/'DADOS CAP. CARGA'!$Q$2+(HC[[#This Row],[β ESF]]*SUMIFS(HC[10∙(NL/3+1)],HC[Prof. (m)],"&lt;="&amp;HC[[#This Row],[Prof. (m)]],HC[idDiâmetro],HC[[#This Row],[idDiâmetro]],HC[idPilar],HC[[#This Row],[idPilar]])*HC[[#This Row],[U (m)]])/'DADOS CAP. CARGA'!$S$2</f>
        <v>277.14737690887455</v>
      </c>
      <c r="V165" s="4">
        <f>IF(SPT!$M$5=1,MIN(HC[[#This Row],[Pe HC (kN)]],HC[[#This Row],[R_AV (kN)]]),IF(SPT!$M$5=2,MIN(HC[[#This Row],[Pe HC (kN)]],HC[[#This Row],[R_DC (kN)]]),MIN(HC[[#This Row],[Pe HC (kN)]],HC[[#This Row],[R_AV (kN)]],HC[[#This Row],[R_DC (kN)]])))</f>
        <v>277.14737690887455</v>
      </c>
      <c r="W165" s="4">
        <f>INDEX(PILARES[],HC[[#This Row],[idPilar]],MATCH("Carga (kN)",PILARES[#Headers],0))*1.4</f>
        <v>1750</v>
      </c>
      <c r="X165" s="12">
        <f>INDEX(PILARES[],HC[[#This Row],[idPilar]],MATCH(HC[[#Headers],[ap (cm)]],PILARES[#Headers],0))</f>
        <v>50</v>
      </c>
      <c r="Y165" s="12">
        <f>INDEX(PILARES[],HC[[#This Row],[idPilar]],MATCH(HC[[#Headers],[bp (cm)]],PILARES[#Headers],0))</f>
        <v>40</v>
      </c>
      <c r="Z165" s="4">
        <f>SQRT(HC[[#This Row],[ap (cm)]]*HC[[#This Row],[bp (cm)]])</f>
        <v>44.721359549995796</v>
      </c>
      <c r="AA165" s="12">
        <f>HC[[#This Row],[ap (cm)]]*HC[[#This Row],[bp (cm)]]</f>
        <v>2000</v>
      </c>
      <c r="AB165" s="12">
        <f ca="1">IF(HC[[#This Row],[Padm∙ε (kN)]]&gt;=HC[[#This Row],[Padm (kN)]],ROUNDUP(1.05*HC[[#This Row],[Nsd (kN)]]/HC[[#This Row],[Padm (kN)]],0),ROUNDUP(1.05*HC[[#This Row],[Nsd (kN)]]/HC[[#This Row],[Padm (kN)]],0)+1)</f>
        <v>7</v>
      </c>
      <c r="AC165" s="4" t="str">
        <f ca="1">IFERROR(IF(HC[[#This Row],[nE]]=1,HC[[#This Row],[Padm (kN)]],HC[[#This Row],[Padm (kN)]]*HC[[#This Row],[nE]]*INDEX(grupoEstacas[],HC[[#This Row],[nE]],MATCH("ε",grupoEstacas[#Headers],0))),"N.S.")</f>
        <v>N.S.</v>
      </c>
      <c r="AD165" s="4">
        <f ca="1">1.05*HC[[#This Row],[Nsd (kN)]]/(HC[[#This Row],[nE]]*PI()*HC[[#This Row],[Ø (cm)]]^2/4)*10</f>
        <v>1.3369015219719209</v>
      </c>
      <c r="AE165" s="4">
        <f ca="1">IF(HC[[#This Row],[σ (MPa)]]&lt;INDEX(tipoEstaca[],MATCH($D$2,tipoEstaca[TIPO DE ESTACA],0),MATCH("σmáx (MPa)",tipoEstaca[#Headers],0)),0.4%*PI()*HC[[#This Row],[Ø (cm)]]^2/4,"N.S.")</f>
        <v>7.8539816339744837</v>
      </c>
      <c r="AF165" s="1">
        <f>INDEX(tipoEstaca[],MATCH($D$2,tipoEstaca[TIPO DE ESTACA],0),MATCH(HC[[#Headers],[Comprimento (m)]],tipoEstaca[#Headers],0))</f>
        <v>4</v>
      </c>
      <c r="AG165" s="5">
        <f ca="1">HC[[#This Row],[As,mín (cm²)]]/100^2*HC[[#This Row],[Comprimento (m)]]*7850</f>
        <v>24.661502330679877</v>
      </c>
      <c r="AH165" s="4">
        <f ca="1">HC[[#This Row],[nE]]*HC[[#This Row],[Prof. (m)]]*HC[[#This Row],[Ap (m²)]]</f>
        <v>8.2466807156732074</v>
      </c>
      <c r="AI165" s="1">
        <f ca="1">IF(HC[[#This Row],[nE]]=1,0,MAX(3*HC[[#This Row],[Ø (cm)]],60))</f>
        <v>150</v>
      </c>
      <c r="AJ165" s="1">
        <f ca="1">IF(HC[[#This Row],[nE]]=1,HC[[#This Row],[Ø (cm)]]+2*10,MAX(1.5*HC[[#This Row],[Ø (cm)]],HC[[#This Row],[Ø (cm)]]+15))</f>
        <v>75</v>
      </c>
      <c r="AK165" s="1" t="str">
        <f ca="1">alturaUtil(HC[[#This Row],[nE]],HC[[#This Row],[Ø (cm)]],HC[[#This Row],[e (cm)]],HC[[#This Row],[ap,eq (cm)]])</f>
        <v>N.S.</v>
      </c>
      <c r="AL165" s="1" t="str">
        <f ca="1">IFERROR(HC[[#This Row],[d (cm)]]+arredondarParaCimaMultiplo5cm(MAX(5,SQRT(PI())/2*HC[[#This Row],[Ø (cm)]]/5)),"N.S.")</f>
        <v>N.S.</v>
      </c>
      <c r="AM165" s="5" t="str">
        <f ca="1">alpha(HC[[#This Row],[nE]],HC[[#This Row],[d (cm)]],HC[[#This Row],[e (cm)]],HC[[#This Row],[ap,eq (cm)]])</f>
        <v>N.S.</v>
      </c>
      <c r="AN165" s="35" t="str">
        <f ca="1">IFERROR(HC[[#This Row],[Nsd (kN)]]/(HC[[#This Row],[Ap (cm²)]]*SIN(HC[[#This Row],[α]])^2),"N.S.")</f>
        <v>N.S.</v>
      </c>
      <c r="AO165" s="35" t="str">
        <f ca="1">IFERROR(HC[[#This Row],[Nsd (kN)]]/(HC[[#This Row],[nE]]*PI()*HC[[#This Row],[Ø (cm)]]^2/4*SIN(HC[[#This Row],[α]])^2),"N.S.")</f>
        <v>N.S.</v>
      </c>
      <c r="AP165" s="4" t="str">
        <f ca="1">IFERROR(INDEX(grupoEstacas[],HC[[#This Row],[nE]],MATCH("coef. Blévot",grupoEstacas[#Headers],0)),"N.S.")</f>
        <v>N.S.</v>
      </c>
      <c r="AQ165" s="35" t="str">
        <f ca="1">IFERROR(HC[[#This Row],[coef. Blévot]]*0.9*INDEX(tipoEstaca[],MATCH($D$2,tipoEstaca[TIPO DE ESTACA],0),MATCH("fcd (kN/cm²)",tipoEstaca[#Headers],0)),"N.S.")</f>
        <v>N.S.</v>
      </c>
      <c r="AR165" s="1" t="str">
        <f ca="1">IF(AND(HC[[#This Row],[cd,b,pil (kN/cm²)]]&lt;=HC[[#This Row],[cd,b,lim (kN/cm²)]],HC[[#This Row],[cd,b,est (kN/cm²)]]&lt;=HC[[#This Row],[cd,b,lim (kN/cm²)]]),"OK","ERRO")</f>
        <v>OK</v>
      </c>
      <c r="AS165" s="4" t="str">
        <f ca="1">As_lado(HC[[#This Row],[nE]],HC[[#This Row],[Nsd (kN)]],HC[[#This Row],[d (cm)]],HC[[#This Row],[e (cm)]],HC[[#This Row],[ap,eq (cm)]])</f>
        <v>N.S.</v>
      </c>
      <c r="AT165" s="4" t="str">
        <f ca="1">IF(HC[[#This Row],[nE]]=1,HC[[#This Row],[As,lado (cm²)]],IF(HC[[#This Row],[nE]]=2,0.075*2*HC[a (cm)],"N.A."))</f>
        <v>N.A.</v>
      </c>
      <c r="AU165" s="4" t="str">
        <f ca="1">IFERROR(IF(HC[[#This Row],[nE]]=1,"N.A.",0.2*HC[[#This Row],[As,lado (cm²)]]),"N.S.")</f>
        <v>N.S.</v>
      </c>
      <c r="AV165" s="4" t="str">
        <f ca="1">As_malha(HC[[#This Row],[nE]],HC[[#This Row],[As,lado (cm²)]],HC[[#This Row],[Nsd (kN)]])</f>
        <v>N.S.</v>
      </c>
      <c r="AW165" s="4" t="str">
        <f ca="1">As_susp_tot(HC[[#This Row],[nE]],HC[[#This Row],[Nsd (kN)]])</f>
        <v>N.S.</v>
      </c>
      <c r="AX165" s="4" t="str">
        <f ca="1">Asp_face(HC[[#This Row],[nE]],HC[[#This Row],[As,lado (cm²)]])</f>
        <v>N.S.</v>
      </c>
      <c r="AY165" s="5" t="str">
        <f ca="1">acoBloco(HC[[#This Row],[nE]],HC[[#This Row],[e (cm)]],HC[[#This Row],[a (cm)]],HC[[#This Row],[h (cm)]],HC[[#This Row],[As,lado (cm²)]],HC[[#This Row],[Asp e Asw (cm²/m)]],HC[[#This Row],[As,sup (cm²)]],HC[[#This Row],[As,malha (cm²)]],HC[[#This Row],[As,susp,tot (cm²)]],HC[[#This Row],[Asp,face (cm²)]])</f>
        <v>N.S.</v>
      </c>
      <c r="AZ165" s="4" t="str">
        <f ca="1">concretoBloco(HC[[#This Row],[nE]],HC[[#This Row],[e (cm)]],HC[[#This Row],[a (cm)]],HC[[#This Row],[h (cm)]])</f>
        <v>N.S.</v>
      </c>
      <c r="BA165" s="5">
        <f ca="1">SUM(HC[[#This Row],[Aço Est (kg)]],HC[[#This Row],[Aço Bloco (kg)]])</f>
        <v>24.661502330679877</v>
      </c>
      <c r="BB165" s="4">
        <f>INDEX(composicoes[],MATCH(95580,composicoes[CÓDIGO],0),MATCH("CUSTO TOTAL",composicoes[#Headers],0))</f>
        <v>10.46</v>
      </c>
      <c r="BC165" s="4">
        <f ca="1">SUM(HC[[#This Row],[Conc Est (m³)]],HC[[#This Row],[Conc Bloco (m³)]])</f>
        <v>8.2466807156732074</v>
      </c>
      <c r="BD165" s="4">
        <f>INDEX(composicoes[],MATCH(94966,composicoes[CÓDIGO],0),MATCH("CUSTO TOTAL",composicoes[#Headers],0))</f>
        <v>439.52</v>
      </c>
      <c r="BE165" s="38">
        <f ca="1">HC[[#This Row],[Aço (kg)]]*HC[[#This Row],[Aço (R$/kg)]]+HC[[#This Row],[Conc (m³)]]*HC[[#This Row],[Conc (R$/m³)]]</f>
        <v>3882.5404225315997</v>
      </c>
      <c r="BF165" s="4" t="str">
        <f ca="1">IF(COUNTIF(HC[#This Row],"N.S.")&gt;0,"lim.","OK")</f>
        <v>lim.</v>
      </c>
      <c r="BG165" s="4" t="str">
        <f>IF(HC[[#This Row],[Prof. (m)]]&lt;4,"lim.","OK")</f>
        <v>OK</v>
      </c>
      <c r="BH165" s="4" t="str">
        <f>IF(HC[[#This Row],[Prof. (m)]]&gt;=8*HC[[#This Row],[Ø (cm)]]/100,"OK","lim.")</f>
        <v>OK</v>
      </c>
      <c r="BI165" s="4" t="str">
        <f ca="1">IF(HC[[#This Row],[Verif. Biela]]="OK","OK","lim.")</f>
        <v>OK</v>
      </c>
      <c r="BJ165" s="4" t="str">
        <f ca="1">IF(COUNTA(HC[[#This Row],[Nº Est.]:[Biela comp.]])=COUNTIF(HC[[#This Row],[Nº Est.]:[Biela comp.]],"OK"),"OK","lim.")</f>
        <v>lim.</v>
      </c>
      <c r="BK165" s="4" t="str">
        <f ca="1">IF(HC[[#This Row],[Controle]]="OK",HC[[#This Row],[nE]]&amp;" Ø"&amp;HC[[#This Row],[Ø (cm)]]&amp;"cm Prof. "&amp;HC[[#This Row],[Prof. (m)]]&amp;" m","")</f>
        <v/>
      </c>
      <c r="BL165" s="4" t="str">
        <f ca="1">IF(HC[[#This Row],[idDimensionamento]]="","",HC[[#This Row],[idPilar]]&amp;HC[[#This Row],[idDimensionamento]])</f>
        <v/>
      </c>
    </row>
    <row r="166" spans="2:64" x14ac:dyDescent="0.25">
      <c r="B166" s="12">
        <f>ROUNDUP((ROW(HC[[#This Row],[idDiâmetro]])-ROW(HC[[#Headers],[idDiâmetro]]))/(COUNT(SPT[Prof. (m)])*COUNT(PILARES[Pilar])),0)</f>
        <v>6</v>
      </c>
      <c r="C166" s="12">
        <f>IF(HC[[#This Row],[idDiâmetro]]&lt;&gt;B165,1,IF(HC[[#This Row],[Prof. (m)]]=0,C165+1,C165))</f>
        <v>2</v>
      </c>
      <c r="D166" s="1">
        <f>IFERROR(IF(D165=MAX(SPT[Prof. (m)]),0,D165+1),0)</f>
        <v>7</v>
      </c>
      <c r="E166" s="1">
        <f>INDEX(SPT[],MATCH(HC[[#This Row],[Prof. (m)]],SPT[Prof. (m)],0),2)</f>
        <v>8</v>
      </c>
      <c r="F166" s="1" t="str">
        <f>INDEX(SPT[],MATCH(HC[[#This Row],[Prof. (m)]],SPT[Prof. (m)],0),3)</f>
        <v>Silte arenoso</v>
      </c>
      <c r="G166" s="1">
        <f>INDEX(estacas[],HC[[#This Row],[idDiâmetro]],MATCH($B$2,estacas[#Headers],0))</f>
        <v>50</v>
      </c>
      <c r="H166" s="1">
        <f>INDEX(estacas[],MATCH(HC[[#This Row],[Ø (cm)]],estacas[Ø HC (cm)],0),MATCH(HC[[#Headers],[Pe HC (kN)]],estacas[#Headers],0))</f>
        <v>1250</v>
      </c>
      <c r="I166" s="4">
        <f>INDEX(K_alpha_C[],MATCH(HC[[#This Row],[Solo]],K_alpha_C[Solo],0),2)</f>
        <v>0.55000000000000004</v>
      </c>
      <c r="J166" s="5">
        <f>INDEX(K_alpha_C[],MATCH(HC[[#This Row],[Solo]],K_alpha_C[Solo],0),3)</f>
        <v>2.2000000000000002</v>
      </c>
      <c r="K166" s="4">
        <f>INDEX(F1_F2[],MATCH($D$2,F1_F2[Tipo de estaca],0),2)</f>
        <v>2</v>
      </c>
      <c r="L166" s="4">
        <f>INDEX(F1_F2[],MATCH($D$2,F1_F2[Tipo de estaca],0),3)</f>
        <v>4</v>
      </c>
      <c r="M166" s="4">
        <f>PI()*(HC[[#This Row],[Ø (cm)]]/100)^2/4</f>
        <v>0.19634954084936207</v>
      </c>
      <c r="N166" s="4">
        <f>PI()*HC[[#This Row],[Ø (cm)]]/100</f>
        <v>1.5707963267948966</v>
      </c>
      <c r="O166" s="4">
        <f>IF(HC[[#This Row],[Prof. (m)]]=0,0,HC[[#This Row],[α (%)]]/100*HC[[#This Row],[K (MPa)]]*1000*HC[[#This Row],[NSPT]])</f>
        <v>96.800000000000011</v>
      </c>
      <c r="P166" s="4">
        <f>IF(HC[[#This Row],[Prof. (m)]]=0,0,(HC[[#This Row],[K (MPa)]]*1000*HC[[#This Row],[NSPT]]/HC[[#This Row],[F1]]*HC[[#This Row],[Ap (m²)]]+HC[[#This Row],[U (m)]]/HC[[#This Row],[F2]]*SUMIFS(HC[(α∙K∙NL∙ΔL)],HC[Prof. (m)],"&lt;="&amp;HC[[#This Row],[Prof. (m)]],HC[idDiâmetro],HC[[#This Row],[idDiâmetro]],HC[idPilar],HC[[#This Row],[idPilar]]))/'DADOS CAP. CARGA'!$D$2)</f>
        <v>388.55610638680264</v>
      </c>
      <c r="Q166" s="12">
        <f>INDEX(C_alpha_beta[],MATCH(HC[[#This Row],[Solo]],C_alpha_beta[Solo],0),MATCH(HC[[#Headers],[C (kPa)]],C_alpha_beta[#Headers],0))</f>
        <v>250</v>
      </c>
      <c r="R166" s="4">
        <f>INDEX(C_alpha_beta[],MATCH(HC[[#This Row],[Solo]],C_alpha_beta[Solo],0),MATCH(HC[[#Headers],[α ESF]],C_alpha_beta[#Headers],0))</f>
        <v>0.6</v>
      </c>
      <c r="S166" s="4">
        <f>INDEX(C_alpha_beta[],MATCH(HC[[#This Row],[Solo]],C_alpha_beta[Solo],0),MATCH(HC[[#Headers],[β ESF]],C_alpha_beta[#Headers],0))</f>
        <v>0.65</v>
      </c>
      <c r="T166" s="4">
        <f>IF(HC[[#This Row],[Prof. (m)]]=0,0,10*(HC[[#This Row],[NSPT]]/3+1))</f>
        <v>36.666666666666664</v>
      </c>
      <c r="U166" s="4">
        <f>(HC[[#This Row],[α ESF]]*HC[[#This Row],[C (kPa)]]*HC[[#This Row],[NSPT]]*HC[[#This Row],[Ap (m²)]])/'DADOS CAP. CARGA'!$Q$2+(HC[[#This Row],[β ESF]]*SUMIFS(HC[10∙(NL/3+1)],HC[Prof. (m)],"&lt;="&amp;HC[[#This Row],[Prof. (m)]],HC[idDiâmetro],HC[[#This Row],[idDiâmetro]],HC[idPilar],HC[[#This Row],[idPilar]])*HC[[#This Row],[U (m)]])/'DADOS CAP. CARGA'!$S$2</f>
        <v>200.14563197244973</v>
      </c>
      <c r="V166" s="4">
        <f>IF(SPT!$M$5=1,MIN(HC[[#This Row],[Pe HC (kN)]],HC[[#This Row],[R_AV (kN)]]),IF(SPT!$M$5=2,MIN(HC[[#This Row],[Pe HC (kN)]],HC[[#This Row],[R_DC (kN)]]),MIN(HC[[#This Row],[Pe HC (kN)]],HC[[#This Row],[R_AV (kN)]],HC[[#This Row],[R_DC (kN)]])))</f>
        <v>200.14563197244973</v>
      </c>
      <c r="W166" s="4">
        <f>INDEX(PILARES[],HC[[#This Row],[idPilar]],MATCH("Carga (kN)",PILARES[#Headers],0))*1.4</f>
        <v>1750</v>
      </c>
      <c r="X166" s="12">
        <f>INDEX(PILARES[],HC[[#This Row],[idPilar]],MATCH(HC[[#Headers],[ap (cm)]],PILARES[#Headers],0))</f>
        <v>50</v>
      </c>
      <c r="Y166" s="12">
        <f>INDEX(PILARES[],HC[[#This Row],[idPilar]],MATCH(HC[[#Headers],[bp (cm)]],PILARES[#Headers],0))</f>
        <v>40</v>
      </c>
      <c r="Z166" s="4">
        <f>SQRT(HC[[#This Row],[ap (cm)]]*HC[[#This Row],[bp (cm)]])</f>
        <v>44.721359549995796</v>
      </c>
      <c r="AA166" s="12">
        <f>HC[[#This Row],[ap (cm)]]*HC[[#This Row],[bp (cm)]]</f>
        <v>2000</v>
      </c>
      <c r="AB166" s="12">
        <f ca="1">IF(HC[[#This Row],[Padm∙ε (kN)]]&gt;=HC[[#This Row],[Padm (kN)]],ROUNDUP(1.05*HC[[#This Row],[Nsd (kN)]]/HC[[#This Row],[Padm (kN)]],0),ROUNDUP(1.05*HC[[#This Row],[Nsd (kN)]]/HC[[#This Row],[Padm (kN)]],0)+1)</f>
        <v>10</v>
      </c>
      <c r="AC166" s="4" t="str">
        <f ca="1">IFERROR(IF(HC[[#This Row],[nE]]=1,HC[[#This Row],[Padm (kN)]],HC[[#This Row],[Padm (kN)]]*HC[[#This Row],[nE]]*INDEX(grupoEstacas[],HC[[#This Row],[nE]],MATCH("ε",grupoEstacas[#Headers],0))),"N.S.")</f>
        <v>N.S.</v>
      </c>
      <c r="AD166" s="4">
        <f ca="1">1.05*HC[[#This Row],[Nsd (kN)]]/(HC[[#This Row],[nE]]*PI()*HC[[#This Row],[Ø (cm)]]^2/4)*10</f>
        <v>0.93583106538034466</v>
      </c>
      <c r="AE166" s="4">
        <f ca="1">IF(HC[[#This Row],[σ (MPa)]]&lt;INDEX(tipoEstaca[],MATCH($D$2,tipoEstaca[TIPO DE ESTACA],0),MATCH("σmáx (MPa)",tipoEstaca[#Headers],0)),0.4%*PI()*HC[[#This Row],[Ø (cm)]]^2/4,"N.S.")</f>
        <v>7.8539816339744837</v>
      </c>
      <c r="AF166" s="1">
        <f>INDEX(tipoEstaca[],MATCH($D$2,tipoEstaca[TIPO DE ESTACA],0),MATCH(HC[[#Headers],[Comprimento (m)]],tipoEstaca[#Headers],0))</f>
        <v>4</v>
      </c>
      <c r="AG166" s="5">
        <f ca="1">HC[[#This Row],[As,mín (cm²)]]/100^2*HC[[#This Row],[Comprimento (m)]]*7850</f>
        <v>24.661502330679877</v>
      </c>
      <c r="AH166" s="4">
        <f ca="1">HC[[#This Row],[nE]]*HC[[#This Row],[Prof. (m)]]*HC[[#This Row],[Ap (m²)]]</f>
        <v>13.744467859455344</v>
      </c>
      <c r="AI166" s="1">
        <f ca="1">IF(HC[[#This Row],[nE]]=1,0,MAX(3*HC[[#This Row],[Ø (cm)]],60))</f>
        <v>150</v>
      </c>
      <c r="AJ166" s="1">
        <f ca="1">IF(HC[[#This Row],[nE]]=1,HC[[#This Row],[Ø (cm)]]+2*10,MAX(1.5*HC[[#This Row],[Ø (cm)]],HC[[#This Row],[Ø (cm)]]+15))</f>
        <v>75</v>
      </c>
      <c r="AK166" s="1" t="str">
        <f ca="1">alturaUtil(HC[[#This Row],[nE]],HC[[#This Row],[Ø (cm)]],HC[[#This Row],[e (cm)]],HC[[#This Row],[ap,eq (cm)]])</f>
        <v>N.S.</v>
      </c>
      <c r="AL166" s="1" t="str">
        <f ca="1">IFERROR(HC[[#This Row],[d (cm)]]+arredondarParaCimaMultiplo5cm(MAX(5,SQRT(PI())/2*HC[[#This Row],[Ø (cm)]]/5)),"N.S.")</f>
        <v>N.S.</v>
      </c>
      <c r="AM166" s="5" t="str">
        <f ca="1">alpha(HC[[#This Row],[nE]],HC[[#This Row],[d (cm)]],HC[[#This Row],[e (cm)]],HC[[#This Row],[ap,eq (cm)]])</f>
        <v>N.S.</v>
      </c>
      <c r="AN166" s="35" t="str">
        <f ca="1">IFERROR(HC[[#This Row],[Nsd (kN)]]/(HC[[#This Row],[Ap (cm²)]]*SIN(HC[[#This Row],[α]])^2),"N.S.")</f>
        <v>N.S.</v>
      </c>
      <c r="AO166" s="35" t="str">
        <f ca="1">IFERROR(HC[[#This Row],[Nsd (kN)]]/(HC[[#This Row],[nE]]*PI()*HC[[#This Row],[Ø (cm)]]^2/4*SIN(HC[[#This Row],[α]])^2),"N.S.")</f>
        <v>N.S.</v>
      </c>
      <c r="AP166" s="4" t="str">
        <f ca="1">IFERROR(INDEX(grupoEstacas[],HC[[#This Row],[nE]],MATCH("coef. Blévot",grupoEstacas[#Headers],0)),"N.S.")</f>
        <v>N.S.</v>
      </c>
      <c r="AQ166" s="35" t="str">
        <f ca="1">IFERROR(HC[[#This Row],[coef. Blévot]]*0.9*INDEX(tipoEstaca[],MATCH($D$2,tipoEstaca[TIPO DE ESTACA],0),MATCH("fcd (kN/cm²)",tipoEstaca[#Headers],0)),"N.S.")</f>
        <v>N.S.</v>
      </c>
      <c r="AR166" s="1" t="str">
        <f ca="1">IF(AND(HC[[#This Row],[cd,b,pil (kN/cm²)]]&lt;=HC[[#This Row],[cd,b,lim (kN/cm²)]],HC[[#This Row],[cd,b,est (kN/cm²)]]&lt;=HC[[#This Row],[cd,b,lim (kN/cm²)]]),"OK","ERRO")</f>
        <v>OK</v>
      </c>
      <c r="AS166" s="4" t="str">
        <f ca="1">As_lado(HC[[#This Row],[nE]],HC[[#This Row],[Nsd (kN)]],HC[[#This Row],[d (cm)]],HC[[#This Row],[e (cm)]],HC[[#This Row],[ap,eq (cm)]])</f>
        <v>N.S.</v>
      </c>
      <c r="AT166" s="4" t="str">
        <f ca="1">IF(HC[[#This Row],[nE]]=1,HC[[#This Row],[As,lado (cm²)]],IF(HC[[#This Row],[nE]]=2,0.075*2*HC[a (cm)],"N.A."))</f>
        <v>N.A.</v>
      </c>
      <c r="AU166" s="4" t="str">
        <f ca="1">IFERROR(IF(HC[[#This Row],[nE]]=1,"N.A.",0.2*HC[[#This Row],[As,lado (cm²)]]),"N.S.")</f>
        <v>N.S.</v>
      </c>
      <c r="AV166" s="4" t="str">
        <f ca="1">As_malha(HC[[#This Row],[nE]],HC[[#This Row],[As,lado (cm²)]],HC[[#This Row],[Nsd (kN)]])</f>
        <v>N.S.</v>
      </c>
      <c r="AW166" s="4" t="str">
        <f ca="1">As_susp_tot(HC[[#This Row],[nE]],HC[[#This Row],[Nsd (kN)]])</f>
        <v>N.S.</v>
      </c>
      <c r="AX166" s="4" t="str">
        <f ca="1">Asp_face(HC[[#This Row],[nE]],HC[[#This Row],[As,lado (cm²)]])</f>
        <v>N.S.</v>
      </c>
      <c r="AY166" s="5" t="str">
        <f ca="1">acoBloco(HC[[#This Row],[nE]],HC[[#This Row],[e (cm)]],HC[[#This Row],[a (cm)]],HC[[#This Row],[h (cm)]],HC[[#This Row],[As,lado (cm²)]],HC[[#This Row],[Asp e Asw (cm²/m)]],HC[[#This Row],[As,sup (cm²)]],HC[[#This Row],[As,malha (cm²)]],HC[[#This Row],[As,susp,tot (cm²)]],HC[[#This Row],[Asp,face (cm²)]])</f>
        <v>N.S.</v>
      </c>
      <c r="AZ166" s="4" t="str">
        <f ca="1">concretoBloco(HC[[#This Row],[nE]],HC[[#This Row],[e (cm)]],HC[[#This Row],[a (cm)]],HC[[#This Row],[h (cm)]])</f>
        <v>N.S.</v>
      </c>
      <c r="BA166" s="5">
        <f ca="1">SUM(HC[[#This Row],[Aço Est (kg)]],HC[[#This Row],[Aço Bloco (kg)]])</f>
        <v>24.661502330679877</v>
      </c>
      <c r="BB166" s="4">
        <f>INDEX(composicoes[],MATCH(95580,composicoes[CÓDIGO],0),MATCH("CUSTO TOTAL",composicoes[#Headers],0))</f>
        <v>10.46</v>
      </c>
      <c r="BC166" s="4">
        <f ca="1">SUM(HC[[#This Row],[Conc Est (m³)]],HC[[#This Row],[Conc Bloco (m³)]])</f>
        <v>13.744467859455344</v>
      </c>
      <c r="BD166" s="4">
        <f>INDEX(composicoes[],MATCH(94966,composicoes[CÓDIGO],0),MATCH("CUSTO TOTAL",composicoes[#Headers],0))</f>
        <v>439.52</v>
      </c>
      <c r="BE166" s="38">
        <f ca="1">HC[[#This Row],[Aço (kg)]]*HC[[#This Row],[Aço (R$/kg)]]+HC[[#This Row],[Conc (m³)]]*HC[[#This Row],[Conc (R$/m³)]]</f>
        <v>6298.9278279667242</v>
      </c>
      <c r="BF166" s="4" t="str">
        <f ca="1">IF(COUNTIF(HC[#This Row],"N.S.")&gt;0,"lim.","OK")</f>
        <v>lim.</v>
      </c>
      <c r="BG166" s="4" t="str">
        <f>IF(HC[[#This Row],[Prof. (m)]]&lt;4,"lim.","OK")</f>
        <v>OK</v>
      </c>
      <c r="BH166" s="4" t="str">
        <f>IF(HC[[#This Row],[Prof. (m)]]&gt;=8*HC[[#This Row],[Ø (cm)]]/100,"OK","lim.")</f>
        <v>OK</v>
      </c>
      <c r="BI166" s="4" t="str">
        <f ca="1">IF(HC[[#This Row],[Verif. Biela]]="OK","OK","lim.")</f>
        <v>OK</v>
      </c>
      <c r="BJ166" s="4" t="str">
        <f ca="1">IF(COUNTA(HC[[#This Row],[Nº Est.]:[Biela comp.]])=COUNTIF(HC[[#This Row],[Nº Est.]:[Biela comp.]],"OK"),"OK","lim.")</f>
        <v>lim.</v>
      </c>
      <c r="BK166" s="4" t="str">
        <f ca="1">IF(HC[[#This Row],[Controle]]="OK",HC[[#This Row],[nE]]&amp;" Ø"&amp;HC[[#This Row],[Ø (cm)]]&amp;"cm Prof. "&amp;HC[[#This Row],[Prof. (m)]]&amp;" m","")</f>
        <v/>
      </c>
      <c r="BL166" s="4" t="str">
        <f ca="1">IF(HC[[#This Row],[idDimensionamento]]="","",HC[[#This Row],[idPilar]]&amp;HC[[#This Row],[idDimensionamento]])</f>
        <v/>
      </c>
    </row>
    <row r="167" spans="2:64" x14ac:dyDescent="0.25">
      <c r="B167" s="12">
        <f>ROUNDUP((ROW(HC[[#This Row],[idDiâmetro]])-ROW(HC[[#Headers],[idDiâmetro]]))/(COUNT(SPT[Prof. (m)])*COUNT(PILARES[Pilar])),0)</f>
        <v>6</v>
      </c>
      <c r="C167" s="12">
        <f>IF(HC[[#This Row],[idDiâmetro]]&lt;&gt;B166,1,IF(HC[[#This Row],[Prof. (m)]]=0,C166+1,C166))</f>
        <v>2</v>
      </c>
      <c r="D167" s="1">
        <f>IFERROR(IF(D166=MAX(SPT[Prof. (m)]),0,D166+1),0)</f>
        <v>8</v>
      </c>
      <c r="E167" s="1">
        <f>INDEX(SPT[],MATCH(HC[[#This Row],[Prof. (m)]],SPT[Prof. (m)],0),2)</f>
        <v>10</v>
      </c>
      <c r="F167" s="1" t="str">
        <f>INDEX(SPT[],MATCH(HC[[#This Row],[Prof. (m)]],SPT[Prof. (m)],0),3)</f>
        <v>Silte arenoso</v>
      </c>
      <c r="G167" s="1">
        <f>INDEX(estacas[],HC[[#This Row],[idDiâmetro]],MATCH($B$2,estacas[#Headers],0))</f>
        <v>50</v>
      </c>
      <c r="H167" s="1">
        <f>INDEX(estacas[],MATCH(HC[[#This Row],[Ø (cm)]],estacas[Ø HC (cm)],0),MATCH(HC[[#Headers],[Pe HC (kN)]],estacas[#Headers],0))</f>
        <v>1250</v>
      </c>
      <c r="I167" s="4">
        <f>INDEX(K_alpha_C[],MATCH(HC[[#This Row],[Solo]],K_alpha_C[Solo],0),2)</f>
        <v>0.55000000000000004</v>
      </c>
      <c r="J167" s="5">
        <f>INDEX(K_alpha_C[],MATCH(HC[[#This Row],[Solo]],K_alpha_C[Solo],0),3)</f>
        <v>2.2000000000000002</v>
      </c>
      <c r="K167" s="4">
        <f>INDEX(F1_F2[],MATCH($D$2,F1_F2[Tipo de estaca],0),2)</f>
        <v>2</v>
      </c>
      <c r="L167" s="4">
        <f>INDEX(F1_F2[],MATCH($D$2,F1_F2[Tipo de estaca],0),3)</f>
        <v>4</v>
      </c>
      <c r="M167" s="4">
        <f>PI()*(HC[[#This Row],[Ø (cm)]]/100)^2/4</f>
        <v>0.19634954084936207</v>
      </c>
      <c r="N167" s="4">
        <f>PI()*HC[[#This Row],[Ø (cm)]]/100</f>
        <v>1.5707963267948966</v>
      </c>
      <c r="O167" s="4">
        <f>IF(HC[[#This Row],[Prof. (m)]]=0,0,HC[[#This Row],[α (%)]]/100*HC[[#This Row],[K (MPa)]]*1000*HC[[#This Row],[NSPT]])</f>
        <v>121.00000000000001</v>
      </c>
      <c r="P167" s="4">
        <f>IF(HC[[#This Row],[Prof. (m)]]=0,0,(HC[[#This Row],[K (MPa)]]*1000*HC[[#This Row],[NSPT]]/HC[[#This Row],[F1]]*HC[[#This Row],[Ap (m²)]]+HC[[#This Row],[U (m)]]/HC[[#This Row],[F2]]*SUMIFS(HC[(α∙K∙NL∙ΔL)],HC[Prof. (m)],"&lt;="&amp;HC[[#This Row],[Prof. (m)]],HC[idDiâmetro],HC[[#This Row],[idDiâmetro]],HC[idPilar],HC[[#This Row],[idPilar]]))/'DADOS CAP. CARGA'!$D$2)</f>
        <v>466.31052456315001</v>
      </c>
      <c r="Q167" s="12">
        <f>INDEX(C_alpha_beta[],MATCH(HC[[#This Row],[Solo]],C_alpha_beta[Solo],0),MATCH(HC[[#Headers],[C (kPa)]],C_alpha_beta[#Headers],0))</f>
        <v>250</v>
      </c>
      <c r="R167" s="4">
        <f>INDEX(C_alpha_beta[],MATCH(HC[[#This Row],[Solo]],C_alpha_beta[Solo],0),MATCH(HC[[#Headers],[α ESF]],C_alpha_beta[#Headers],0))</f>
        <v>0.6</v>
      </c>
      <c r="S167" s="4">
        <f>INDEX(C_alpha_beta[],MATCH(HC[[#This Row],[Solo]],C_alpha_beta[Solo],0),MATCH(HC[[#Headers],[β ESF]],C_alpha_beta[#Headers],0))</f>
        <v>0.65</v>
      </c>
      <c r="T167" s="4">
        <f>IF(HC[[#This Row],[Prof. (m)]]=0,0,10*(HC[[#This Row],[NSPT]]/3+1))</f>
        <v>43.333333333333343</v>
      </c>
      <c r="U167" s="4">
        <f>(HC[[#This Row],[α ESF]]*HC[[#This Row],[C (kPa)]]*HC[[#This Row],[NSPT]]*HC[[#This Row],[Ap (m²)]])/'DADOS CAP. CARGA'!$Q$2+(HC[[#This Row],[β ESF]]*SUMIFS(HC[10∙(NL/3+1)],HC[Prof. (m)],"&lt;="&amp;HC[[#This Row],[Prof. (m)]],HC[idDiâmetro],HC[[#This Row],[idDiâmetro]],HC[idPilar],HC[[#This Row],[idPilar]])*HC[[#This Row],[U (m)]])/'DADOS CAP. CARGA'!$S$2</f>
        <v>236.99389580518005</v>
      </c>
      <c r="V167" s="4">
        <f>IF(SPT!$M$5=1,MIN(HC[[#This Row],[Pe HC (kN)]],HC[[#This Row],[R_AV (kN)]]),IF(SPT!$M$5=2,MIN(HC[[#This Row],[Pe HC (kN)]],HC[[#This Row],[R_DC (kN)]]),MIN(HC[[#This Row],[Pe HC (kN)]],HC[[#This Row],[R_AV (kN)]],HC[[#This Row],[R_DC (kN)]])))</f>
        <v>236.99389580518005</v>
      </c>
      <c r="W167" s="4">
        <f>INDEX(PILARES[],HC[[#This Row],[idPilar]],MATCH("Carga (kN)",PILARES[#Headers],0))*1.4</f>
        <v>1750</v>
      </c>
      <c r="X167" s="12">
        <f>INDEX(PILARES[],HC[[#This Row],[idPilar]],MATCH(HC[[#Headers],[ap (cm)]],PILARES[#Headers],0))</f>
        <v>50</v>
      </c>
      <c r="Y167" s="12">
        <f>INDEX(PILARES[],HC[[#This Row],[idPilar]],MATCH(HC[[#Headers],[bp (cm)]],PILARES[#Headers],0))</f>
        <v>40</v>
      </c>
      <c r="Z167" s="4">
        <f>SQRT(HC[[#This Row],[ap (cm)]]*HC[[#This Row],[bp (cm)]])</f>
        <v>44.721359549995796</v>
      </c>
      <c r="AA167" s="12">
        <f>HC[[#This Row],[ap (cm)]]*HC[[#This Row],[bp (cm)]]</f>
        <v>2000</v>
      </c>
      <c r="AB167" s="12">
        <f ca="1">IF(HC[[#This Row],[Padm∙ε (kN)]]&gt;=HC[[#This Row],[Padm (kN)]],ROUNDUP(1.05*HC[[#This Row],[Nsd (kN)]]/HC[[#This Row],[Padm (kN)]],0),ROUNDUP(1.05*HC[[#This Row],[Nsd (kN)]]/HC[[#This Row],[Padm (kN)]],0)+1)</f>
        <v>8</v>
      </c>
      <c r="AC167" s="4" t="str">
        <f ca="1">IFERROR(IF(HC[[#This Row],[nE]]=1,HC[[#This Row],[Padm (kN)]],HC[[#This Row],[Padm (kN)]]*HC[[#This Row],[nE]]*INDEX(grupoEstacas[],HC[[#This Row],[nE]],MATCH("ε",grupoEstacas[#Headers],0))),"N.S.")</f>
        <v>N.S.</v>
      </c>
      <c r="AD167" s="4">
        <f ca="1">1.05*HC[[#This Row],[Nsd (kN)]]/(HC[[#This Row],[nE]]*PI()*HC[[#This Row],[Ø (cm)]]^2/4)*10</f>
        <v>1.1697888317254308</v>
      </c>
      <c r="AE167" s="4">
        <f ca="1">IF(HC[[#This Row],[σ (MPa)]]&lt;INDEX(tipoEstaca[],MATCH($D$2,tipoEstaca[TIPO DE ESTACA],0),MATCH("σmáx (MPa)",tipoEstaca[#Headers],0)),0.4%*PI()*HC[[#This Row],[Ø (cm)]]^2/4,"N.S.")</f>
        <v>7.8539816339744837</v>
      </c>
      <c r="AF167" s="1">
        <f>INDEX(tipoEstaca[],MATCH($D$2,tipoEstaca[TIPO DE ESTACA],0),MATCH(HC[[#Headers],[Comprimento (m)]],tipoEstaca[#Headers],0))</f>
        <v>4</v>
      </c>
      <c r="AG167" s="5">
        <f ca="1">HC[[#This Row],[As,mín (cm²)]]/100^2*HC[[#This Row],[Comprimento (m)]]*7850</f>
        <v>24.661502330679877</v>
      </c>
      <c r="AH167" s="4">
        <f ca="1">HC[[#This Row],[nE]]*HC[[#This Row],[Prof. (m)]]*HC[[#This Row],[Ap (m²)]]</f>
        <v>12.566370614359172</v>
      </c>
      <c r="AI167" s="1">
        <f ca="1">IF(HC[[#This Row],[nE]]=1,0,MAX(3*HC[[#This Row],[Ø (cm)]],60))</f>
        <v>150</v>
      </c>
      <c r="AJ167" s="1">
        <f ca="1">IF(HC[[#This Row],[nE]]=1,HC[[#This Row],[Ø (cm)]]+2*10,MAX(1.5*HC[[#This Row],[Ø (cm)]],HC[[#This Row],[Ø (cm)]]+15))</f>
        <v>75</v>
      </c>
      <c r="AK167" s="1" t="str">
        <f ca="1">alturaUtil(HC[[#This Row],[nE]],HC[[#This Row],[Ø (cm)]],HC[[#This Row],[e (cm)]],HC[[#This Row],[ap,eq (cm)]])</f>
        <v>N.S.</v>
      </c>
      <c r="AL167" s="1" t="str">
        <f ca="1">IFERROR(HC[[#This Row],[d (cm)]]+arredondarParaCimaMultiplo5cm(MAX(5,SQRT(PI())/2*HC[[#This Row],[Ø (cm)]]/5)),"N.S.")</f>
        <v>N.S.</v>
      </c>
      <c r="AM167" s="5" t="str">
        <f ca="1">alpha(HC[[#This Row],[nE]],HC[[#This Row],[d (cm)]],HC[[#This Row],[e (cm)]],HC[[#This Row],[ap,eq (cm)]])</f>
        <v>N.S.</v>
      </c>
      <c r="AN167" s="35" t="str">
        <f ca="1">IFERROR(HC[[#This Row],[Nsd (kN)]]/(HC[[#This Row],[Ap (cm²)]]*SIN(HC[[#This Row],[α]])^2),"N.S.")</f>
        <v>N.S.</v>
      </c>
      <c r="AO167" s="35" t="str">
        <f ca="1">IFERROR(HC[[#This Row],[Nsd (kN)]]/(HC[[#This Row],[nE]]*PI()*HC[[#This Row],[Ø (cm)]]^2/4*SIN(HC[[#This Row],[α]])^2),"N.S.")</f>
        <v>N.S.</v>
      </c>
      <c r="AP167" s="4" t="str">
        <f ca="1">IFERROR(INDEX(grupoEstacas[],HC[[#This Row],[nE]],MATCH("coef. Blévot",grupoEstacas[#Headers],0)),"N.S.")</f>
        <v>N.S.</v>
      </c>
      <c r="AQ167" s="35" t="str">
        <f ca="1">IFERROR(HC[[#This Row],[coef. Blévot]]*0.9*INDEX(tipoEstaca[],MATCH($D$2,tipoEstaca[TIPO DE ESTACA],0),MATCH("fcd (kN/cm²)",tipoEstaca[#Headers],0)),"N.S.")</f>
        <v>N.S.</v>
      </c>
      <c r="AR167" s="1" t="str">
        <f ca="1">IF(AND(HC[[#This Row],[cd,b,pil (kN/cm²)]]&lt;=HC[[#This Row],[cd,b,lim (kN/cm²)]],HC[[#This Row],[cd,b,est (kN/cm²)]]&lt;=HC[[#This Row],[cd,b,lim (kN/cm²)]]),"OK","ERRO")</f>
        <v>OK</v>
      </c>
      <c r="AS167" s="4" t="str">
        <f ca="1">As_lado(HC[[#This Row],[nE]],HC[[#This Row],[Nsd (kN)]],HC[[#This Row],[d (cm)]],HC[[#This Row],[e (cm)]],HC[[#This Row],[ap,eq (cm)]])</f>
        <v>N.S.</v>
      </c>
      <c r="AT167" s="4" t="str">
        <f ca="1">IF(HC[[#This Row],[nE]]=1,HC[[#This Row],[As,lado (cm²)]],IF(HC[[#This Row],[nE]]=2,0.075*2*HC[a (cm)],"N.A."))</f>
        <v>N.A.</v>
      </c>
      <c r="AU167" s="4" t="str">
        <f ca="1">IFERROR(IF(HC[[#This Row],[nE]]=1,"N.A.",0.2*HC[[#This Row],[As,lado (cm²)]]),"N.S.")</f>
        <v>N.S.</v>
      </c>
      <c r="AV167" s="4" t="str">
        <f ca="1">As_malha(HC[[#This Row],[nE]],HC[[#This Row],[As,lado (cm²)]],HC[[#This Row],[Nsd (kN)]])</f>
        <v>N.S.</v>
      </c>
      <c r="AW167" s="4" t="str">
        <f ca="1">As_susp_tot(HC[[#This Row],[nE]],HC[[#This Row],[Nsd (kN)]])</f>
        <v>N.S.</v>
      </c>
      <c r="AX167" s="4" t="str">
        <f ca="1">Asp_face(HC[[#This Row],[nE]],HC[[#This Row],[As,lado (cm²)]])</f>
        <v>N.S.</v>
      </c>
      <c r="AY167" s="5" t="str">
        <f ca="1">acoBloco(HC[[#This Row],[nE]],HC[[#This Row],[e (cm)]],HC[[#This Row],[a (cm)]],HC[[#This Row],[h (cm)]],HC[[#This Row],[As,lado (cm²)]],HC[[#This Row],[Asp e Asw (cm²/m)]],HC[[#This Row],[As,sup (cm²)]],HC[[#This Row],[As,malha (cm²)]],HC[[#This Row],[As,susp,tot (cm²)]],HC[[#This Row],[Asp,face (cm²)]])</f>
        <v>N.S.</v>
      </c>
      <c r="AZ167" s="4" t="str">
        <f ca="1">concretoBloco(HC[[#This Row],[nE]],HC[[#This Row],[e (cm)]],HC[[#This Row],[a (cm)]],HC[[#This Row],[h (cm)]])</f>
        <v>N.S.</v>
      </c>
      <c r="BA167" s="5">
        <f ca="1">SUM(HC[[#This Row],[Aço Est (kg)]],HC[[#This Row],[Aço Bloco (kg)]])</f>
        <v>24.661502330679877</v>
      </c>
      <c r="BB167" s="4">
        <f>INDEX(composicoes[],MATCH(95580,composicoes[CÓDIGO],0),MATCH("CUSTO TOTAL",composicoes[#Headers],0))</f>
        <v>10.46</v>
      </c>
      <c r="BC167" s="4">
        <f ca="1">SUM(HC[[#This Row],[Conc Est (m³)]],HC[[#This Row],[Conc Bloco (m³)]])</f>
        <v>12.566370614359172</v>
      </c>
      <c r="BD167" s="4">
        <f>INDEX(composicoes[],MATCH(94966,composicoes[CÓDIGO],0),MATCH("CUSTO TOTAL",composicoes[#Headers],0))</f>
        <v>439.52</v>
      </c>
      <c r="BE167" s="38">
        <f ca="1">HC[[#This Row],[Aço (kg)]]*HC[[#This Row],[Aço (R$/kg)]]+HC[[#This Row],[Conc (m³)]]*HC[[#This Row],[Conc (R$/m³)]]</f>
        <v>5781.1305268020551</v>
      </c>
      <c r="BF167" s="4" t="str">
        <f ca="1">IF(COUNTIF(HC[#This Row],"N.S.")&gt;0,"lim.","OK")</f>
        <v>lim.</v>
      </c>
      <c r="BG167" s="4" t="str">
        <f>IF(HC[[#This Row],[Prof. (m)]]&lt;4,"lim.","OK")</f>
        <v>OK</v>
      </c>
      <c r="BH167" s="4" t="str">
        <f>IF(HC[[#This Row],[Prof. (m)]]&gt;=8*HC[[#This Row],[Ø (cm)]]/100,"OK","lim.")</f>
        <v>OK</v>
      </c>
      <c r="BI167" s="4" t="str">
        <f ca="1">IF(HC[[#This Row],[Verif. Biela]]="OK","OK","lim.")</f>
        <v>OK</v>
      </c>
      <c r="BJ167" s="4" t="str">
        <f ca="1">IF(COUNTA(HC[[#This Row],[Nº Est.]:[Biela comp.]])=COUNTIF(HC[[#This Row],[Nº Est.]:[Biela comp.]],"OK"),"OK","lim.")</f>
        <v>lim.</v>
      </c>
      <c r="BK167" s="4" t="str">
        <f ca="1">IF(HC[[#This Row],[Controle]]="OK",HC[[#This Row],[nE]]&amp;" Ø"&amp;HC[[#This Row],[Ø (cm)]]&amp;"cm Prof. "&amp;HC[[#This Row],[Prof. (m)]]&amp;" m","")</f>
        <v/>
      </c>
      <c r="BL167" s="4" t="str">
        <f ca="1">IF(HC[[#This Row],[idDimensionamento]]="","",HC[[#This Row],[idPilar]]&amp;HC[[#This Row],[idDimensionamento]])</f>
        <v/>
      </c>
    </row>
    <row r="168" spans="2:64" x14ac:dyDescent="0.25">
      <c r="B168" s="12">
        <f>ROUNDUP((ROW(HC[[#This Row],[idDiâmetro]])-ROW(HC[[#Headers],[idDiâmetro]]))/(COUNT(SPT[Prof. (m)])*COUNT(PILARES[Pilar])),0)</f>
        <v>6</v>
      </c>
      <c r="C168" s="12">
        <f>IF(HC[[#This Row],[idDiâmetro]]&lt;&gt;B167,1,IF(HC[[#This Row],[Prof. (m)]]=0,C167+1,C167))</f>
        <v>2</v>
      </c>
      <c r="D168" s="1">
        <f>IFERROR(IF(D167=MAX(SPT[Prof. (m)]),0,D167+1),0)</f>
        <v>9</v>
      </c>
      <c r="E168" s="1">
        <f>INDEX(SPT[],MATCH(HC[[#This Row],[Prof. (m)]],SPT[Prof. (m)],0),2)</f>
        <v>26</v>
      </c>
      <c r="F168" s="1" t="str">
        <f>INDEX(SPT[],MATCH(HC[[#This Row],[Prof. (m)]],SPT[Prof. (m)],0),3)</f>
        <v>Areia siltosa</v>
      </c>
      <c r="G168" s="1">
        <f>INDEX(estacas[],HC[[#This Row],[idDiâmetro]],MATCH($B$2,estacas[#Headers],0))</f>
        <v>50</v>
      </c>
      <c r="H168" s="1">
        <f>INDEX(estacas[],MATCH(HC[[#This Row],[Ø (cm)]],estacas[Ø HC (cm)],0),MATCH(HC[[#Headers],[Pe HC (kN)]],estacas[#Headers],0))</f>
        <v>1250</v>
      </c>
      <c r="I168" s="4">
        <f>INDEX(K_alpha_C[],MATCH(HC[[#This Row],[Solo]],K_alpha_C[Solo],0),2)</f>
        <v>0.8</v>
      </c>
      <c r="J168" s="5">
        <f>INDEX(K_alpha_C[],MATCH(HC[[#This Row],[Solo]],K_alpha_C[Solo],0),3)</f>
        <v>2</v>
      </c>
      <c r="K168" s="4">
        <f>INDEX(F1_F2[],MATCH($D$2,F1_F2[Tipo de estaca],0),2)</f>
        <v>2</v>
      </c>
      <c r="L168" s="4">
        <f>INDEX(F1_F2[],MATCH($D$2,F1_F2[Tipo de estaca],0),3)</f>
        <v>4</v>
      </c>
      <c r="M168" s="4">
        <f>PI()*(HC[[#This Row],[Ø (cm)]]/100)^2/4</f>
        <v>0.19634954084936207</v>
      </c>
      <c r="N168" s="4">
        <f>PI()*HC[[#This Row],[Ø (cm)]]/100</f>
        <v>1.5707963267948966</v>
      </c>
      <c r="O168" s="4">
        <f>IF(HC[[#This Row],[Prof. (m)]]=0,0,HC[[#This Row],[α (%)]]/100*HC[[#This Row],[K (MPa)]]*1000*HC[[#This Row],[NSPT]])</f>
        <v>416</v>
      </c>
      <c r="P168" s="4">
        <f>IF(HC[[#This Row],[Prof. (m)]]=0,0,(HC[[#This Row],[K (MPa)]]*1000*HC[[#This Row],[NSPT]]/HC[[#This Row],[F1]]*HC[[#This Row],[Ap (m²)]]+HC[[#This Row],[U (m)]]/HC[[#This Row],[F2]]*SUMIFS(HC[(α∙K∙NL∙ΔL)],HC[Prof. (m)],"&lt;="&amp;HC[[#This Row],[Prof. (m)]],HC[idDiâmetro],HC[[#This Row],[idDiâmetro]],HC[idPilar],HC[[#This Row],[idPilar]]))/'DADOS CAP. CARGA'!$D$2)</f>
        <v>1299.0289273052945</v>
      </c>
      <c r="Q168" s="12">
        <f>INDEX(C_alpha_beta[],MATCH(HC[[#This Row],[Solo]],C_alpha_beta[Solo],0),MATCH(HC[[#Headers],[C (kPa)]],C_alpha_beta[#Headers],0))</f>
        <v>400</v>
      </c>
      <c r="R168" s="4">
        <f>INDEX(C_alpha_beta[],MATCH(HC[[#This Row],[Solo]],C_alpha_beta[Solo],0),MATCH(HC[[#Headers],[α ESF]],C_alpha_beta[#Headers],0))</f>
        <v>0.5</v>
      </c>
      <c r="S168" s="4">
        <f>INDEX(C_alpha_beta[],MATCH(HC[[#This Row],[Solo]],C_alpha_beta[Solo],0),MATCH(HC[[#Headers],[β ESF]],C_alpha_beta[#Headers],0))</f>
        <v>0.5</v>
      </c>
      <c r="T168" s="4">
        <f>IF(HC[[#This Row],[Prof. (m)]]=0,0,10*(HC[[#This Row],[NSPT]]/3+1))</f>
        <v>96.666666666666657</v>
      </c>
      <c r="U168" s="4">
        <f>(HC[[#This Row],[α ESF]]*HC[[#This Row],[C (kPa)]]*HC[[#This Row],[NSPT]]*HC[[#This Row],[Ap (m²)]])/'DADOS CAP. CARGA'!$Q$2+(HC[[#This Row],[β ESF]]*SUMIFS(HC[10∙(NL/3+1)],HC[Prof. (m)],"&lt;="&amp;HC[[#This Row],[Prof. (m)]],HC[idDiâmetro],HC[[#This Row],[idDiâmetro]],HC[idPilar],HC[[#This Row],[idPilar]])*HC[[#This Row],[U (m)]])/'DADOS CAP. CARGA'!$S$2</f>
        <v>418.87902047863906</v>
      </c>
      <c r="V168" s="4">
        <f>IF(SPT!$M$5=1,MIN(HC[[#This Row],[Pe HC (kN)]],HC[[#This Row],[R_AV (kN)]]),IF(SPT!$M$5=2,MIN(HC[[#This Row],[Pe HC (kN)]],HC[[#This Row],[R_DC (kN)]]),MIN(HC[[#This Row],[Pe HC (kN)]],HC[[#This Row],[R_AV (kN)]],HC[[#This Row],[R_DC (kN)]])))</f>
        <v>418.87902047863906</v>
      </c>
      <c r="W168" s="4">
        <f>INDEX(PILARES[],HC[[#This Row],[idPilar]],MATCH("Carga (kN)",PILARES[#Headers],0))*1.4</f>
        <v>1750</v>
      </c>
      <c r="X168" s="12">
        <f>INDEX(PILARES[],HC[[#This Row],[idPilar]],MATCH(HC[[#Headers],[ap (cm)]],PILARES[#Headers],0))</f>
        <v>50</v>
      </c>
      <c r="Y168" s="12">
        <f>INDEX(PILARES[],HC[[#This Row],[idPilar]],MATCH(HC[[#Headers],[bp (cm)]],PILARES[#Headers],0))</f>
        <v>40</v>
      </c>
      <c r="Z168" s="4">
        <f>SQRT(HC[[#This Row],[ap (cm)]]*HC[[#This Row],[bp (cm)]])</f>
        <v>44.721359549995796</v>
      </c>
      <c r="AA168" s="12">
        <f>HC[[#This Row],[ap (cm)]]*HC[[#This Row],[bp (cm)]]</f>
        <v>2000</v>
      </c>
      <c r="AB168" s="12">
        <f ca="1">IF(HC[[#This Row],[Padm∙ε (kN)]]&gt;=HC[[#This Row],[Padm (kN)]],ROUNDUP(1.05*HC[[#This Row],[Nsd (kN)]]/HC[[#This Row],[Padm (kN)]],0),ROUNDUP(1.05*HC[[#This Row],[Nsd (kN)]]/HC[[#This Row],[Padm (kN)]],0)+1)</f>
        <v>5</v>
      </c>
      <c r="AC168" s="4" t="str">
        <f ca="1">IFERROR(IF(HC[[#This Row],[nE]]=1,HC[[#This Row],[Padm (kN)]],HC[[#This Row],[Padm (kN)]]*HC[[#This Row],[nE]]*INDEX(grupoEstacas[],HC[[#This Row],[nE]],MATCH("ε",grupoEstacas[#Headers],0))),"N.S.")</f>
        <v>N.S.</v>
      </c>
      <c r="AD168" s="4">
        <f ca="1">1.05*HC[[#This Row],[Nsd (kN)]]/(HC[[#This Row],[nE]]*PI()*HC[[#This Row],[Ø (cm)]]^2/4)*10</f>
        <v>1.8716621307606893</v>
      </c>
      <c r="AE168" s="4">
        <f ca="1">IF(HC[[#This Row],[σ (MPa)]]&lt;INDEX(tipoEstaca[],MATCH($D$2,tipoEstaca[TIPO DE ESTACA],0),MATCH("σmáx (MPa)",tipoEstaca[#Headers],0)),0.4%*PI()*HC[[#This Row],[Ø (cm)]]^2/4,"N.S.")</f>
        <v>7.8539816339744837</v>
      </c>
      <c r="AF168" s="1">
        <f>INDEX(tipoEstaca[],MATCH($D$2,tipoEstaca[TIPO DE ESTACA],0),MATCH(HC[[#Headers],[Comprimento (m)]],tipoEstaca[#Headers],0))</f>
        <v>4</v>
      </c>
      <c r="AG168" s="5">
        <f ca="1">HC[[#This Row],[As,mín (cm²)]]/100^2*HC[[#This Row],[Comprimento (m)]]*7850</f>
        <v>24.661502330679877</v>
      </c>
      <c r="AH168" s="4">
        <f ca="1">HC[[#This Row],[nE]]*HC[[#This Row],[Prof. (m)]]*HC[[#This Row],[Ap (m²)]]</f>
        <v>8.8357293382212934</v>
      </c>
      <c r="AI168" s="1">
        <f ca="1">IF(HC[[#This Row],[nE]]=1,0,MAX(3*HC[[#This Row],[Ø (cm)]],60))</f>
        <v>150</v>
      </c>
      <c r="AJ168" s="1">
        <f ca="1">IF(HC[[#This Row],[nE]]=1,HC[[#This Row],[Ø (cm)]]+2*10,MAX(1.5*HC[[#This Row],[Ø (cm)]],HC[[#This Row],[Ø (cm)]]+15))</f>
        <v>75</v>
      </c>
      <c r="AK168" s="1" t="str">
        <f ca="1">alturaUtil(HC[[#This Row],[nE]],HC[[#This Row],[Ø (cm)]],HC[[#This Row],[e (cm)]],HC[[#This Row],[ap,eq (cm)]])</f>
        <v>N.S.</v>
      </c>
      <c r="AL168" s="1" t="str">
        <f ca="1">IFERROR(HC[[#This Row],[d (cm)]]+arredondarParaCimaMultiplo5cm(MAX(5,SQRT(PI())/2*HC[[#This Row],[Ø (cm)]]/5)),"N.S.")</f>
        <v>N.S.</v>
      </c>
      <c r="AM168" s="5" t="str">
        <f ca="1">alpha(HC[[#This Row],[nE]],HC[[#This Row],[d (cm)]],HC[[#This Row],[e (cm)]],HC[[#This Row],[ap,eq (cm)]])</f>
        <v>N.S.</v>
      </c>
      <c r="AN168" s="35" t="str">
        <f ca="1">IFERROR(HC[[#This Row],[Nsd (kN)]]/(HC[[#This Row],[Ap (cm²)]]*SIN(HC[[#This Row],[α]])^2),"N.S.")</f>
        <v>N.S.</v>
      </c>
      <c r="AO168" s="35" t="str">
        <f ca="1">IFERROR(HC[[#This Row],[Nsd (kN)]]/(HC[[#This Row],[nE]]*PI()*HC[[#This Row],[Ø (cm)]]^2/4*SIN(HC[[#This Row],[α]])^2),"N.S.")</f>
        <v>N.S.</v>
      </c>
      <c r="AP168" s="4" t="str">
        <f ca="1">IFERROR(INDEX(grupoEstacas[],HC[[#This Row],[nE]],MATCH("coef. Blévot",grupoEstacas[#Headers],0)),"N.S.")</f>
        <v>N.S.</v>
      </c>
      <c r="AQ168" s="35" t="str">
        <f ca="1">IFERROR(HC[[#This Row],[coef. Blévot]]*0.9*INDEX(tipoEstaca[],MATCH($D$2,tipoEstaca[TIPO DE ESTACA],0),MATCH("fcd (kN/cm²)",tipoEstaca[#Headers],0)),"N.S.")</f>
        <v>N.S.</v>
      </c>
      <c r="AR168" s="1" t="str">
        <f ca="1">IF(AND(HC[[#This Row],[cd,b,pil (kN/cm²)]]&lt;=HC[[#This Row],[cd,b,lim (kN/cm²)]],HC[[#This Row],[cd,b,est (kN/cm²)]]&lt;=HC[[#This Row],[cd,b,lim (kN/cm²)]]),"OK","ERRO")</f>
        <v>OK</v>
      </c>
      <c r="AS168" s="4" t="str">
        <f ca="1">As_lado(HC[[#This Row],[nE]],HC[[#This Row],[Nsd (kN)]],HC[[#This Row],[d (cm)]],HC[[#This Row],[e (cm)]],HC[[#This Row],[ap,eq (cm)]])</f>
        <v>N.S.</v>
      </c>
      <c r="AT168" s="4" t="str">
        <f ca="1">IF(HC[[#This Row],[nE]]=1,HC[[#This Row],[As,lado (cm²)]],IF(HC[[#This Row],[nE]]=2,0.075*2*HC[a (cm)],"N.A."))</f>
        <v>N.A.</v>
      </c>
      <c r="AU168" s="4" t="str">
        <f ca="1">IFERROR(IF(HC[[#This Row],[nE]]=1,"N.A.",0.2*HC[[#This Row],[As,lado (cm²)]]),"N.S.")</f>
        <v>N.S.</v>
      </c>
      <c r="AV168" s="4" t="str">
        <f ca="1">As_malha(HC[[#This Row],[nE]],HC[[#This Row],[As,lado (cm²)]],HC[[#This Row],[Nsd (kN)]])</f>
        <v>N.S.</v>
      </c>
      <c r="AW168" s="4" t="str">
        <f ca="1">As_susp_tot(HC[[#This Row],[nE]],HC[[#This Row],[Nsd (kN)]])</f>
        <v>N.S.</v>
      </c>
      <c r="AX168" s="4" t="str">
        <f ca="1">Asp_face(HC[[#This Row],[nE]],HC[[#This Row],[As,lado (cm²)]])</f>
        <v>N.S.</v>
      </c>
      <c r="AY168" s="5" t="str">
        <f ca="1">acoBloco(HC[[#This Row],[nE]],HC[[#This Row],[e (cm)]],HC[[#This Row],[a (cm)]],HC[[#This Row],[h (cm)]],HC[[#This Row],[As,lado (cm²)]],HC[[#This Row],[Asp e Asw (cm²/m)]],HC[[#This Row],[As,sup (cm²)]],HC[[#This Row],[As,malha (cm²)]],HC[[#This Row],[As,susp,tot (cm²)]],HC[[#This Row],[Asp,face (cm²)]])</f>
        <v>N.S.</v>
      </c>
      <c r="AZ168" s="4" t="str">
        <f ca="1">concretoBloco(HC[[#This Row],[nE]],HC[[#This Row],[e (cm)]],HC[[#This Row],[a (cm)]],HC[[#This Row],[h (cm)]])</f>
        <v>N.S.</v>
      </c>
      <c r="BA168" s="5">
        <f ca="1">SUM(HC[[#This Row],[Aço Est (kg)]],HC[[#This Row],[Aço Bloco (kg)]])</f>
        <v>24.661502330679877</v>
      </c>
      <c r="BB168" s="4">
        <f>INDEX(composicoes[],MATCH(95580,composicoes[CÓDIGO],0),MATCH("CUSTO TOTAL",composicoes[#Headers],0))</f>
        <v>10.46</v>
      </c>
      <c r="BC168" s="4">
        <f ca="1">SUM(HC[[#This Row],[Conc Est (m³)]],HC[[#This Row],[Conc Bloco (m³)]])</f>
        <v>8.8357293382212934</v>
      </c>
      <c r="BD168" s="4">
        <f>INDEX(composicoes[],MATCH(94966,composicoes[CÓDIGO],0),MATCH("CUSTO TOTAL",composicoes[#Headers],0))</f>
        <v>439.52</v>
      </c>
      <c r="BE168" s="38">
        <f ca="1">HC[[#This Row],[Aço (kg)]]*HC[[#This Row],[Aço (R$/kg)]]+HC[[#This Row],[Conc (m³)]]*HC[[#This Row],[Conc (R$/m³)]]</f>
        <v>4141.4390731139338</v>
      </c>
      <c r="BF168" s="4" t="str">
        <f ca="1">IF(COUNTIF(HC[#This Row],"N.S.")&gt;0,"lim.","OK")</f>
        <v>lim.</v>
      </c>
      <c r="BG168" s="4" t="str">
        <f>IF(HC[[#This Row],[Prof. (m)]]&lt;4,"lim.","OK")</f>
        <v>OK</v>
      </c>
      <c r="BH168" s="4" t="str">
        <f>IF(HC[[#This Row],[Prof. (m)]]&gt;=8*HC[[#This Row],[Ø (cm)]]/100,"OK","lim.")</f>
        <v>OK</v>
      </c>
      <c r="BI168" s="4" t="str">
        <f ca="1">IF(HC[[#This Row],[Verif. Biela]]="OK","OK","lim.")</f>
        <v>OK</v>
      </c>
      <c r="BJ168" s="4" t="str">
        <f ca="1">IF(COUNTA(HC[[#This Row],[Nº Est.]:[Biela comp.]])=COUNTIF(HC[[#This Row],[Nº Est.]:[Biela comp.]],"OK"),"OK","lim.")</f>
        <v>lim.</v>
      </c>
      <c r="BK168" s="4" t="str">
        <f ca="1">IF(HC[[#This Row],[Controle]]="OK",HC[[#This Row],[nE]]&amp;" Ø"&amp;HC[[#This Row],[Ø (cm)]]&amp;"cm Prof. "&amp;HC[[#This Row],[Prof. (m)]]&amp;" m","")</f>
        <v/>
      </c>
      <c r="BL168" s="4" t="str">
        <f ca="1">IF(HC[[#This Row],[idDimensionamento]]="","",HC[[#This Row],[idPilar]]&amp;HC[[#This Row],[idDimensionamento]])</f>
        <v/>
      </c>
    </row>
    <row r="169" spans="2:64" x14ac:dyDescent="0.25">
      <c r="B169" s="12">
        <f>ROUNDUP((ROW(HC[[#This Row],[idDiâmetro]])-ROW(HC[[#Headers],[idDiâmetro]]))/(COUNT(SPT[Prof. (m)])*COUNT(PILARES[Pilar])),0)</f>
        <v>6</v>
      </c>
      <c r="C169" s="12">
        <f>IF(HC[[#This Row],[idDiâmetro]]&lt;&gt;B168,1,IF(HC[[#This Row],[Prof. (m)]]=0,C168+1,C168))</f>
        <v>2</v>
      </c>
      <c r="D169" s="1">
        <f>IFERROR(IF(D168=MAX(SPT[Prof. (m)]),0,D168+1),0)</f>
        <v>10</v>
      </c>
      <c r="E169" s="1">
        <f>INDEX(SPT[],MATCH(HC[[#This Row],[Prof. (m)]],SPT[Prof. (m)],0),2)</f>
        <v>32</v>
      </c>
      <c r="F169" s="1" t="str">
        <f>INDEX(SPT[],MATCH(HC[[#This Row],[Prof. (m)]],SPT[Prof. (m)],0),3)</f>
        <v>Areia siltosa</v>
      </c>
      <c r="G169" s="1">
        <f>INDEX(estacas[],HC[[#This Row],[idDiâmetro]],MATCH($B$2,estacas[#Headers],0))</f>
        <v>50</v>
      </c>
      <c r="H169" s="1">
        <f>INDEX(estacas[],MATCH(HC[[#This Row],[Ø (cm)]],estacas[Ø HC (cm)],0),MATCH(HC[[#Headers],[Pe HC (kN)]],estacas[#Headers],0))</f>
        <v>1250</v>
      </c>
      <c r="I169" s="4">
        <f>INDEX(K_alpha_C[],MATCH(HC[[#This Row],[Solo]],K_alpha_C[Solo],0),2)</f>
        <v>0.8</v>
      </c>
      <c r="J169" s="5">
        <f>INDEX(K_alpha_C[],MATCH(HC[[#This Row],[Solo]],K_alpha_C[Solo],0),3)</f>
        <v>2</v>
      </c>
      <c r="K169" s="4">
        <f>INDEX(F1_F2[],MATCH($D$2,F1_F2[Tipo de estaca],0),2)</f>
        <v>2</v>
      </c>
      <c r="L169" s="4">
        <f>INDEX(F1_F2[],MATCH($D$2,F1_F2[Tipo de estaca],0),3)</f>
        <v>4</v>
      </c>
      <c r="M169" s="4">
        <f>PI()*(HC[[#This Row],[Ø (cm)]]/100)^2/4</f>
        <v>0.19634954084936207</v>
      </c>
      <c r="N169" s="4">
        <f>PI()*HC[[#This Row],[Ø (cm)]]/100</f>
        <v>1.5707963267948966</v>
      </c>
      <c r="O169" s="4">
        <f>IF(HC[[#This Row],[Prof. (m)]]=0,0,HC[[#This Row],[α (%)]]/100*HC[[#This Row],[K (MPa)]]*1000*HC[[#This Row],[NSPT]])</f>
        <v>512</v>
      </c>
      <c r="P169" s="4">
        <f>IF(HC[[#This Row],[Prof. (m)]]=0,0,(HC[[#This Row],[K (MPa)]]*1000*HC[[#This Row],[NSPT]]/HC[[#This Row],[F1]]*HC[[#This Row],[Ap (m²)]]+HC[[#This Row],[U (m)]]/HC[[#This Row],[F2]]*SUMIFS(HC[(α∙K∙NL∙ΔL)],HC[Prof. (m)],"&lt;="&amp;HC[[#This Row],[Prof. (m)]],HC[idDiâmetro],HC[[#This Row],[idDiâmetro]],HC[idPilar],HC[[#This Row],[idPilar]]))/'DADOS CAP. CARGA'!$D$2)</f>
        <v>1635.1793412394024</v>
      </c>
      <c r="Q169" s="12">
        <f>INDEX(C_alpha_beta[],MATCH(HC[[#This Row],[Solo]],C_alpha_beta[Solo],0),MATCH(HC[[#Headers],[C (kPa)]],C_alpha_beta[#Headers],0))</f>
        <v>400</v>
      </c>
      <c r="R169" s="4">
        <f>INDEX(C_alpha_beta[],MATCH(HC[[#This Row],[Solo]],C_alpha_beta[Solo],0),MATCH(HC[[#Headers],[α ESF]],C_alpha_beta[#Headers],0))</f>
        <v>0.5</v>
      </c>
      <c r="S169" s="4">
        <f>INDEX(C_alpha_beta[],MATCH(HC[[#This Row],[Solo]],C_alpha_beta[Solo],0),MATCH(HC[[#Headers],[β ESF]],C_alpha_beta[#Headers],0))</f>
        <v>0.5</v>
      </c>
      <c r="T169" s="4">
        <f>IF(HC[[#This Row],[Prof. (m)]]=0,0,10*(HC[[#This Row],[NSPT]]/3+1))</f>
        <v>116.66666666666666</v>
      </c>
      <c r="U169" s="4">
        <f>(HC[[#This Row],[α ESF]]*HC[[#This Row],[C (kPa)]]*HC[[#This Row],[NSPT]]*HC[[#This Row],[Ap (m²)]])/'DADOS CAP. CARGA'!$Q$2+(HC[[#This Row],[β ESF]]*SUMIFS(HC[10∙(NL/3+1)],HC[Prof. (m)],"&lt;="&amp;HC[[#This Row],[Prof. (m)]],HC[idDiâmetro],HC[[#This Row],[idDiâmetro]],HC[idPilar],HC[[#This Row],[idPilar]])*HC[[#This Row],[U (m)]])/'DADOS CAP. CARGA'!$S$2</f>
        <v>523.59877559829886</v>
      </c>
      <c r="V169" s="4">
        <f>IF(SPT!$M$5=1,MIN(HC[[#This Row],[Pe HC (kN)]],HC[[#This Row],[R_AV (kN)]]),IF(SPT!$M$5=2,MIN(HC[[#This Row],[Pe HC (kN)]],HC[[#This Row],[R_DC (kN)]]),MIN(HC[[#This Row],[Pe HC (kN)]],HC[[#This Row],[R_AV (kN)]],HC[[#This Row],[R_DC (kN)]])))</f>
        <v>523.59877559829886</v>
      </c>
      <c r="W169" s="4">
        <f>INDEX(PILARES[],HC[[#This Row],[idPilar]],MATCH("Carga (kN)",PILARES[#Headers],0))*1.4</f>
        <v>1750</v>
      </c>
      <c r="X169" s="12">
        <f>INDEX(PILARES[],HC[[#This Row],[idPilar]],MATCH(HC[[#Headers],[ap (cm)]],PILARES[#Headers],0))</f>
        <v>50</v>
      </c>
      <c r="Y169" s="12">
        <f>INDEX(PILARES[],HC[[#This Row],[idPilar]],MATCH(HC[[#Headers],[bp (cm)]],PILARES[#Headers],0))</f>
        <v>40</v>
      </c>
      <c r="Z169" s="4">
        <f>SQRT(HC[[#This Row],[ap (cm)]]*HC[[#This Row],[bp (cm)]])</f>
        <v>44.721359549995796</v>
      </c>
      <c r="AA169" s="12">
        <f>HC[[#This Row],[ap (cm)]]*HC[[#This Row],[bp (cm)]]</f>
        <v>2000</v>
      </c>
      <c r="AB169" s="12">
        <f ca="1">IF(HC[[#This Row],[Padm∙ε (kN)]]&gt;=HC[[#This Row],[Padm (kN)]],ROUNDUP(1.05*HC[[#This Row],[Nsd (kN)]]/HC[[#This Row],[Padm (kN)]],0),ROUNDUP(1.05*HC[[#This Row],[Nsd (kN)]]/HC[[#This Row],[Padm (kN)]],0)+1)</f>
        <v>4</v>
      </c>
      <c r="AC169" s="4">
        <f ca="1">IFERROR(IF(HC[[#This Row],[nE]]=1,HC[[#This Row],[Padm (kN)]],HC[[#This Row],[Padm (kN)]]*HC[[#This Row],[nE]]*INDEX(grupoEstacas[],HC[[#This Row],[nE]],MATCH("ε",grupoEstacas[#Headers],0))),"N.S.")</f>
        <v>1701.6960206944714</v>
      </c>
      <c r="AD169" s="4">
        <f ca="1">1.05*HC[[#This Row],[Nsd (kN)]]/(HC[[#This Row],[nE]]*PI()*HC[[#This Row],[Ø (cm)]]^2/4)*10</f>
        <v>2.3395776634508616</v>
      </c>
      <c r="AE169" s="4">
        <f ca="1">IF(HC[[#This Row],[σ (MPa)]]&lt;INDEX(tipoEstaca[],MATCH($D$2,tipoEstaca[TIPO DE ESTACA],0),MATCH("σmáx (MPa)",tipoEstaca[#Headers],0)),0.4%*PI()*HC[[#This Row],[Ø (cm)]]^2/4,"N.S.")</f>
        <v>7.8539816339744837</v>
      </c>
      <c r="AF169" s="1">
        <f>INDEX(tipoEstaca[],MATCH($D$2,tipoEstaca[TIPO DE ESTACA],0),MATCH(HC[[#Headers],[Comprimento (m)]],tipoEstaca[#Headers],0))</f>
        <v>4</v>
      </c>
      <c r="AG169" s="5">
        <f ca="1">HC[[#This Row],[As,mín (cm²)]]/100^2*HC[[#This Row],[Comprimento (m)]]*7850</f>
        <v>24.661502330679877</v>
      </c>
      <c r="AH169" s="4">
        <f ca="1">HC[[#This Row],[nE]]*HC[[#This Row],[Prof. (m)]]*HC[[#This Row],[Ap (m²)]]</f>
        <v>7.8539816339744828</v>
      </c>
      <c r="AI169" s="1">
        <f ca="1">IF(HC[[#This Row],[nE]]=1,0,MAX(3*HC[[#This Row],[Ø (cm)]],60))</f>
        <v>150</v>
      </c>
      <c r="AJ169" s="1">
        <f ca="1">IF(HC[[#This Row],[nE]]=1,HC[[#This Row],[Ø (cm)]]+2*10,MAX(1.5*HC[[#This Row],[Ø (cm)]],HC[[#This Row],[Ø (cm)]]+15))</f>
        <v>75</v>
      </c>
      <c r="AK169" s="1">
        <f ca="1">alturaUtil(HC[[#This Row],[nE]],HC[[#This Row],[Ø (cm)]],HC[[#This Row],[e (cm)]],HC[[#This Row],[ap,eq (cm)]])</f>
        <v>65</v>
      </c>
      <c r="AL169" s="1">
        <f ca="1">IFERROR(HC[[#This Row],[d (cm)]]+arredondarParaCimaMultiplo5cm(MAX(5,SQRT(PI())/2*HC[[#This Row],[Ø (cm)]]/5)),"N.S.")</f>
        <v>75</v>
      </c>
      <c r="AM169" s="5">
        <f ca="1">alpha(HC[[#This Row],[nE]],HC[[#This Row],[d (cm)]],HC[[#This Row],[e (cm)]],HC[[#This Row],[ap,eq (cm)]])</f>
        <v>45.524971121512884</v>
      </c>
      <c r="AN169" s="35">
        <f ca="1">IFERROR(HC[[#This Row],[Nsd (kN)]]/(HC[[#This Row],[Ap (cm²)]]*SIN(HC[[#This Row],[α]])^2),"N.S.")</f>
        <v>0.87569237354226348</v>
      </c>
      <c r="AO169" s="35">
        <f ca="1">IFERROR(HC[[#This Row],[Nsd (kN)]]/(HC[[#This Row],[nE]]*PI()*HC[[#This Row],[Ø (cm)]]^2/4*SIN(HC[[#This Row],[α]])^2),"N.S.")</f>
        <v>0.22299323180340111</v>
      </c>
      <c r="AP169" s="4">
        <f ca="1">IFERROR(INDEX(grupoEstacas[],HC[[#This Row],[nE]],MATCH("coef. Blévot",grupoEstacas[#Headers],0)),"N.S.")</f>
        <v>2.1</v>
      </c>
      <c r="AQ169" s="35">
        <f ca="1">IFERROR(HC[[#This Row],[coef. Blévot]]*0.9*INDEX(tipoEstaca[],MATCH($D$2,tipoEstaca[TIPO DE ESTACA],0),MATCH("fcd (kN/cm²)",tipoEstaca[#Headers],0)),"N.S.")</f>
        <v>2.1</v>
      </c>
      <c r="AR169" s="1" t="str">
        <f ca="1">IF(AND(HC[[#This Row],[cd,b,pil (kN/cm²)]]&lt;=HC[[#This Row],[cd,b,lim (kN/cm²)]],HC[[#This Row],[cd,b,est (kN/cm²)]]&lt;=HC[[#This Row],[cd,b,lim (kN/cm²)]]),"OK","ERRO")</f>
        <v>OK</v>
      </c>
      <c r="AS169" s="4">
        <f ca="1">As_lado(HC[[#This Row],[nE]],HC[[#This Row],[Nsd (kN)]],HC[[#This Row],[d (cm)]],HC[[#This Row],[e (cm)]],HC[[#This Row],[ap,eq (cm)]])</f>
        <v>9.879774305877568</v>
      </c>
      <c r="AT169" s="4" t="str">
        <f ca="1">IF(HC[[#This Row],[nE]]=1,HC[[#This Row],[As,lado (cm²)]],IF(HC[[#This Row],[nE]]=2,0.075*2*HC[a (cm)],"N.A."))</f>
        <v>N.A.</v>
      </c>
      <c r="AU169" s="4">
        <f ca="1">IFERROR(IF(HC[[#This Row],[nE]]=1,"N.A.",0.2*HC[[#This Row],[As,lado (cm²)]]),"N.S.")</f>
        <v>1.9759548611755138</v>
      </c>
      <c r="AV169" s="4">
        <f ca="1">As_malha(HC[[#This Row],[nE]],HC[[#This Row],[As,lado (cm²)]],HC[[#This Row],[Nsd (kN)]])</f>
        <v>1.9759548611755138</v>
      </c>
      <c r="AW169" s="4">
        <f ca="1">As_susp_tot(HC[[#This Row],[nE]],HC[[#This Row],[Nsd (kN)]])</f>
        <v>6.708333333333333</v>
      </c>
      <c r="AX169" s="4">
        <f ca="1">Asp_face(HC[[#This Row],[nE]],HC[[#This Row],[As,lado (cm²)]])</f>
        <v>4.939887152938784</v>
      </c>
      <c r="AY169" s="5">
        <f ca="1">acoBloco(HC[[#This Row],[nE]],HC[[#This Row],[e (cm)]],HC[[#This Row],[a (cm)]],HC[[#This Row],[h (cm)]],HC[[#This Row],[As,lado (cm²)]],HC[[#This Row],[Asp e Asw (cm²/m)]],HC[[#This Row],[As,sup (cm²)]],HC[[#This Row],[As,malha (cm²)]],HC[[#This Row],[As,susp,tot (cm²)]],HC[[#This Row],[Asp,face (cm²)]])</f>
        <v>171.47098438046001</v>
      </c>
      <c r="AZ169" s="4">
        <f ca="1">concretoBloco(HC[[#This Row],[nE]],HC[[#This Row],[e (cm)]],HC[[#This Row],[a (cm)]],HC[[#This Row],[h (cm)]])</f>
        <v>6.75</v>
      </c>
      <c r="BA169" s="5">
        <f ca="1">SUM(HC[[#This Row],[Aço Est (kg)]],HC[[#This Row],[Aço Bloco (kg)]])</f>
        <v>196.13248671113988</v>
      </c>
      <c r="BB169" s="4">
        <f>INDEX(composicoes[],MATCH(95580,composicoes[CÓDIGO],0),MATCH("CUSTO TOTAL",composicoes[#Headers],0))</f>
        <v>10.46</v>
      </c>
      <c r="BC169" s="4">
        <f ca="1">SUM(HC[[#This Row],[Conc Est (m³)]],HC[[#This Row],[Conc Bloco (m³)]])</f>
        <v>14.603981633974483</v>
      </c>
      <c r="BD169" s="4">
        <f>INDEX(composicoes[],MATCH(94966,composicoes[CÓDIGO],0),MATCH("CUSTO TOTAL",composicoes[#Headers],0))</f>
        <v>439.52</v>
      </c>
      <c r="BE169" s="38">
        <f ca="1">HC[[#This Row],[Aço (kg)]]*HC[[#This Row],[Aço (R$/kg)]]+HC[[#This Row],[Conc (m³)]]*HC[[#This Row],[Conc (R$/m³)]]</f>
        <v>8470.2878187629885</v>
      </c>
      <c r="BF169" s="4" t="str">
        <f ca="1">IF(COUNTIF(HC[#This Row],"N.S.")&gt;0,"lim.","OK")</f>
        <v>OK</v>
      </c>
      <c r="BG169" s="4" t="str">
        <f>IF(HC[[#This Row],[Prof. (m)]]&lt;4,"lim.","OK")</f>
        <v>OK</v>
      </c>
      <c r="BH169" s="4" t="str">
        <f>IF(HC[[#This Row],[Prof. (m)]]&gt;=8*HC[[#This Row],[Ø (cm)]]/100,"OK","lim.")</f>
        <v>OK</v>
      </c>
      <c r="BI169" s="4" t="str">
        <f ca="1">IF(HC[[#This Row],[Verif. Biela]]="OK","OK","lim.")</f>
        <v>OK</v>
      </c>
      <c r="BJ169" s="4" t="str">
        <f ca="1">IF(COUNTA(HC[[#This Row],[Nº Est.]:[Biela comp.]])=COUNTIF(HC[[#This Row],[Nº Est.]:[Biela comp.]],"OK"),"OK","lim.")</f>
        <v>OK</v>
      </c>
      <c r="BK169" s="4" t="str">
        <f ca="1">IF(HC[[#This Row],[Controle]]="OK",HC[[#This Row],[nE]]&amp;" Ø"&amp;HC[[#This Row],[Ø (cm)]]&amp;"cm Prof. "&amp;HC[[#This Row],[Prof. (m)]]&amp;" m","")</f>
        <v>4 Ø50cm Prof. 10 m</v>
      </c>
      <c r="BL169" s="4" t="str">
        <f ca="1">IF(HC[[#This Row],[idDimensionamento]]="","",HC[[#This Row],[idPilar]]&amp;HC[[#This Row],[idDimensionamento]])</f>
        <v>24 Ø50cm Prof. 10 m</v>
      </c>
    </row>
    <row r="170" spans="2:64" x14ac:dyDescent="0.25">
      <c r="B170" s="12">
        <f>ROUNDUP((ROW(HC[[#This Row],[idDiâmetro]])-ROW(HC[[#Headers],[idDiâmetro]]))/(COUNT(SPT[Prof. (m)])*COUNT(PILARES[Pilar])),0)</f>
        <v>6</v>
      </c>
      <c r="C170" s="12">
        <f>IF(HC[[#This Row],[idDiâmetro]]&lt;&gt;B169,1,IF(HC[[#This Row],[Prof. (m)]]=0,C169+1,C169))</f>
        <v>2</v>
      </c>
      <c r="D170" s="1">
        <f>IFERROR(IF(D169=MAX(SPT[Prof. (m)]),0,D169+1),0)</f>
        <v>11</v>
      </c>
      <c r="E170" s="1">
        <f>INDEX(SPT[],MATCH(HC[[#This Row],[Prof. (m)]],SPT[Prof. (m)],0),2)</f>
        <v>41</v>
      </c>
      <c r="F170" s="1" t="str">
        <f>INDEX(SPT[],MATCH(HC[[#This Row],[Prof. (m)]],SPT[Prof. (m)],0),3)</f>
        <v>Areia siltosa</v>
      </c>
      <c r="G170" s="1">
        <f>INDEX(estacas[],HC[[#This Row],[idDiâmetro]],MATCH($B$2,estacas[#Headers],0))</f>
        <v>50</v>
      </c>
      <c r="H170" s="1">
        <f>INDEX(estacas[],MATCH(HC[[#This Row],[Ø (cm)]],estacas[Ø HC (cm)],0),MATCH(HC[[#Headers],[Pe HC (kN)]],estacas[#Headers],0))</f>
        <v>1250</v>
      </c>
      <c r="I170" s="4">
        <f>INDEX(K_alpha_C[],MATCH(HC[[#This Row],[Solo]],K_alpha_C[Solo],0),2)</f>
        <v>0.8</v>
      </c>
      <c r="J170" s="5">
        <f>INDEX(K_alpha_C[],MATCH(HC[[#This Row],[Solo]],K_alpha_C[Solo],0),3)</f>
        <v>2</v>
      </c>
      <c r="K170" s="4">
        <f>INDEX(F1_F2[],MATCH($D$2,F1_F2[Tipo de estaca],0),2)</f>
        <v>2</v>
      </c>
      <c r="L170" s="4">
        <f>INDEX(F1_F2[],MATCH($D$2,F1_F2[Tipo de estaca],0),3)</f>
        <v>4</v>
      </c>
      <c r="M170" s="4">
        <f>PI()*(HC[[#This Row],[Ø (cm)]]/100)^2/4</f>
        <v>0.19634954084936207</v>
      </c>
      <c r="N170" s="4">
        <f>PI()*HC[[#This Row],[Ø (cm)]]/100</f>
        <v>1.5707963267948966</v>
      </c>
      <c r="O170" s="4">
        <f>IF(HC[[#This Row],[Prof. (m)]]=0,0,HC[[#This Row],[α (%)]]/100*HC[[#This Row],[K (MPa)]]*1000*HC[[#This Row],[NSPT]])</f>
        <v>656</v>
      </c>
      <c r="P170" s="4">
        <f>IF(HC[[#This Row],[Prof. (m)]]=0,0,(HC[[#This Row],[K (MPa)]]*1000*HC[[#This Row],[NSPT]]/HC[[#This Row],[F1]]*HC[[#This Row],[Ap (m²)]]+HC[[#This Row],[U (m)]]/HC[[#This Row],[F2]]*SUMIFS(HC[(α∙K∙NL∙ΔL)],HC[Prof. (m)],"&lt;="&amp;HC[[#This Row],[Prof. (m)]],HC[idDiâmetro],HC[[#This Row],[idDiâmetro]],HC[idPilar],HC[[#This Row],[idPilar]]))/'DADOS CAP. CARGA'!$D$2)</f>
        <v>2117.4138135654357</v>
      </c>
      <c r="Q170" s="12">
        <f>INDEX(C_alpha_beta[],MATCH(HC[[#This Row],[Solo]],C_alpha_beta[Solo],0),MATCH(HC[[#Headers],[C (kPa)]],C_alpha_beta[#Headers],0))</f>
        <v>400</v>
      </c>
      <c r="R170" s="4">
        <f>INDEX(C_alpha_beta[],MATCH(HC[[#This Row],[Solo]],C_alpha_beta[Solo],0),MATCH(HC[[#Headers],[α ESF]],C_alpha_beta[#Headers],0))</f>
        <v>0.5</v>
      </c>
      <c r="S170" s="4">
        <f>INDEX(C_alpha_beta[],MATCH(HC[[#This Row],[Solo]],C_alpha_beta[Solo],0),MATCH(HC[[#Headers],[β ESF]],C_alpha_beta[#Headers],0))</f>
        <v>0.5</v>
      </c>
      <c r="T170" s="4">
        <f>IF(HC[[#This Row],[Prof. (m)]]=0,0,10*(HC[[#This Row],[NSPT]]/3+1))</f>
        <v>146.66666666666666</v>
      </c>
      <c r="U170" s="4">
        <f>(HC[[#This Row],[α ESF]]*HC[[#This Row],[C (kPa)]]*HC[[#This Row],[NSPT]]*HC[[#This Row],[Ap (m²)]])/'DADOS CAP. CARGA'!$Q$2+(HC[[#This Row],[β ESF]]*SUMIFS(HC[10∙(NL/3+1)],HC[Prof. (m)],"&lt;="&amp;HC[[#This Row],[Prof. (m)]],HC[idDiâmetro],HC[[#This Row],[idDiâmetro]],HC[idPilar],HC[[#This Row],[idPilar]])*HC[[#This Row],[U (m)]])/'DADOS CAP. CARGA'!$S$2</f>
        <v>669.55193429632459</v>
      </c>
      <c r="V170" s="4">
        <f>IF(SPT!$M$5=1,MIN(HC[[#This Row],[Pe HC (kN)]],HC[[#This Row],[R_AV (kN)]]),IF(SPT!$M$5=2,MIN(HC[[#This Row],[Pe HC (kN)]],HC[[#This Row],[R_DC (kN)]]),MIN(HC[[#This Row],[Pe HC (kN)]],HC[[#This Row],[R_AV (kN)]],HC[[#This Row],[R_DC (kN)]])))</f>
        <v>669.55193429632459</v>
      </c>
      <c r="W170" s="4">
        <f>INDEX(PILARES[],HC[[#This Row],[idPilar]],MATCH("Carga (kN)",PILARES[#Headers],0))*1.4</f>
        <v>1750</v>
      </c>
      <c r="X170" s="12">
        <f>INDEX(PILARES[],HC[[#This Row],[idPilar]],MATCH(HC[[#Headers],[ap (cm)]],PILARES[#Headers],0))</f>
        <v>50</v>
      </c>
      <c r="Y170" s="12">
        <f>INDEX(PILARES[],HC[[#This Row],[idPilar]],MATCH(HC[[#Headers],[bp (cm)]],PILARES[#Headers],0))</f>
        <v>40</v>
      </c>
      <c r="Z170" s="4">
        <f>SQRT(HC[[#This Row],[ap (cm)]]*HC[[#This Row],[bp (cm)]])</f>
        <v>44.721359549995796</v>
      </c>
      <c r="AA170" s="12">
        <f>HC[[#This Row],[ap (cm)]]*HC[[#This Row],[bp (cm)]]</f>
        <v>2000</v>
      </c>
      <c r="AB170" s="12">
        <f ca="1">IF(HC[[#This Row],[Padm∙ε (kN)]]&gt;=HC[[#This Row],[Padm (kN)]],ROUNDUP(1.05*HC[[#This Row],[Nsd (kN)]]/HC[[#This Row],[Padm (kN)]],0),ROUNDUP(1.05*HC[[#This Row],[Nsd (kN)]]/HC[[#This Row],[Padm (kN)]],0)+1)</f>
        <v>3</v>
      </c>
      <c r="AC170" s="4">
        <f ca="1">IFERROR(IF(HC[[#This Row],[nE]]=1,HC[[#This Row],[Padm (kN)]],HC[[#This Row],[Padm (kN)]]*HC[[#This Row],[nE]]*INDEX(grupoEstacas[],HC[[#This Row],[nE]],MATCH("ε",grupoEstacas[#Headers],0))),"N.S.")</f>
        <v>1757.573827527852</v>
      </c>
      <c r="AD170" s="4">
        <f ca="1">1.05*HC[[#This Row],[Nsd (kN)]]/(HC[[#This Row],[nE]]*PI()*HC[[#This Row],[Ø (cm)]]^2/4)*10</f>
        <v>3.1194368846011491</v>
      </c>
      <c r="AE170" s="4">
        <f ca="1">IF(HC[[#This Row],[σ (MPa)]]&lt;INDEX(tipoEstaca[],MATCH($D$2,tipoEstaca[TIPO DE ESTACA],0),MATCH("σmáx (MPa)",tipoEstaca[#Headers],0)),0.4%*PI()*HC[[#This Row],[Ø (cm)]]^2/4,"N.S.")</f>
        <v>7.8539816339744837</v>
      </c>
      <c r="AF170" s="1">
        <f>INDEX(tipoEstaca[],MATCH($D$2,tipoEstaca[TIPO DE ESTACA],0),MATCH(HC[[#Headers],[Comprimento (m)]],tipoEstaca[#Headers],0))</f>
        <v>4</v>
      </c>
      <c r="AG170" s="5">
        <f ca="1">HC[[#This Row],[As,mín (cm²)]]/100^2*HC[[#This Row],[Comprimento (m)]]*7850</f>
        <v>24.661502330679877</v>
      </c>
      <c r="AH170" s="4">
        <f ca="1">HC[[#This Row],[nE]]*HC[[#This Row],[Prof. (m)]]*HC[[#This Row],[Ap (m²)]]</f>
        <v>6.4795348480289485</v>
      </c>
      <c r="AI170" s="1">
        <f ca="1">IF(HC[[#This Row],[nE]]=1,0,MAX(3*HC[[#This Row],[Ø (cm)]],60))</f>
        <v>150</v>
      </c>
      <c r="AJ170" s="1">
        <f ca="1">IF(HC[[#This Row],[nE]]=1,HC[[#This Row],[Ø (cm)]]+2*10,MAX(1.5*HC[[#This Row],[Ø (cm)]],HC[[#This Row],[Ø (cm)]]+15))</f>
        <v>75</v>
      </c>
      <c r="AK170" s="1">
        <f ca="1">alturaUtil(HC[[#This Row],[nE]],HC[[#This Row],[Ø (cm)]],HC[[#This Row],[e (cm)]],HC[[#This Row],[ap,eq (cm)]])</f>
        <v>65</v>
      </c>
      <c r="AL170" s="1">
        <f ca="1">IFERROR(HC[[#This Row],[d (cm)]]+arredondarParaCimaMultiplo5cm(MAX(5,SQRT(PI())/2*HC[[#This Row],[Ø (cm)]]/5)),"N.S.")</f>
        <v>75</v>
      </c>
      <c r="AM170" s="5">
        <f ca="1">alpha(HC[[#This Row],[nE]],HC[[#This Row],[d (cm)]],HC[[#This Row],[e (cm)]],HC[[#This Row],[ap,eq (cm)]])</f>
        <v>46.546000082224388</v>
      </c>
      <c r="AN170" s="35">
        <f ca="1">IFERROR(HC[[#This Row],[Nsd (kN)]]/(HC[[#This Row],[Ap (cm²)]]*SIN(HC[[#This Row],[α]])^2),"N.S.")</f>
        <v>2.9323320678904792</v>
      </c>
      <c r="AO170" s="35">
        <f ca="1">IFERROR(HC[[#This Row],[Nsd (kN)]]/(HC[[#This Row],[nE]]*PI()*HC[[#This Row],[Ø (cm)]]^2/4*SIN(HC[[#This Row],[α]])^2),"N.S.")</f>
        <v>0.99561630590218453</v>
      </c>
      <c r="AP170" s="4">
        <f ca="1">IFERROR(INDEX(grupoEstacas[],HC[[#This Row],[nE]],MATCH("coef. Blévot",grupoEstacas[#Headers],0)),"N.S.")</f>
        <v>1.75</v>
      </c>
      <c r="AQ170" s="35">
        <f ca="1">IFERROR(HC[[#This Row],[coef. Blévot]]*0.9*INDEX(tipoEstaca[],MATCH($D$2,tipoEstaca[TIPO DE ESTACA],0),MATCH("fcd (kN/cm²)",tipoEstaca[#Headers],0)),"N.S.")</f>
        <v>1.75</v>
      </c>
      <c r="AR170" s="1" t="str">
        <f ca="1">IF(AND(HC[[#This Row],[cd,b,pil (kN/cm²)]]&lt;=HC[[#This Row],[cd,b,lim (kN/cm²)]],HC[[#This Row],[cd,b,est (kN/cm²)]]&lt;=HC[[#This Row],[cd,b,lim (kN/cm²)]]),"OK","ERRO")</f>
        <v>ERRO</v>
      </c>
      <c r="AS170" s="4">
        <f ca="1">As_lado(HC[[#This Row],[nE]],HC[[#This Row],[Nsd (kN)]],HC[[#This Row],[d (cm)]],HC[[#This Row],[e (cm)]],HC[[#This Row],[ap,eq (cm)]])</f>
        <v>8.7216658493861683</v>
      </c>
      <c r="AT170" s="4" t="str">
        <f ca="1">IF(HC[[#This Row],[nE]]=1,HC[[#This Row],[As,lado (cm²)]],IF(HC[[#This Row],[nE]]=2,0.075*2*HC[a (cm)],"N.A."))</f>
        <v>N.A.</v>
      </c>
      <c r="AU170" s="4">
        <f ca="1">IFERROR(IF(HC[[#This Row],[nE]]=1,"N.A.",0.2*HC[[#This Row],[As,lado (cm²)]]),"N.S.")</f>
        <v>1.7443331698772337</v>
      </c>
      <c r="AV170" s="4">
        <f ca="1">As_malha(HC[[#This Row],[nE]],HC[[#This Row],[As,lado (cm²)]],HC[[#This Row],[Nsd (kN)]])</f>
        <v>2.981481481481481</v>
      </c>
      <c r="AW170" s="4">
        <f ca="1">As_susp_tot(HC[[#This Row],[nE]],HC[[#This Row],[Nsd (kN)]])</f>
        <v>8.9444444444444429</v>
      </c>
      <c r="AX170" s="4">
        <f ca="1">Asp_face(HC[[#This Row],[nE]],HC[[#This Row],[As,lado (cm²)]])</f>
        <v>3.2706246935198129</v>
      </c>
      <c r="AY170" s="5">
        <f ca="1">acoBloco(HC[[#This Row],[nE]],HC[[#This Row],[e (cm)]],HC[[#This Row],[a (cm)]],HC[[#This Row],[h (cm)]],HC[[#This Row],[As,lado (cm²)]],HC[[#This Row],[Asp e Asw (cm²/m)]],HC[[#This Row],[As,sup (cm²)]],HC[[#This Row],[As,malha (cm²)]],HC[[#This Row],[As,susp,tot (cm²)]],HC[[#This Row],[Asp,face (cm²)]])</f>
        <v>129.47675800230948</v>
      </c>
      <c r="AZ170" s="4">
        <f ca="1">concretoBloco(HC[[#This Row],[nE]],HC[[#This Row],[e (cm)]],HC[[#This Row],[a (cm)]],HC[[#This Row],[h (cm)]])</f>
        <v>4.7233768033293595</v>
      </c>
      <c r="BA170" s="5">
        <f ca="1">SUM(HC[[#This Row],[Aço Est (kg)]],HC[[#This Row],[Aço Bloco (kg)]])</f>
        <v>154.13826033298935</v>
      </c>
      <c r="BB170" s="4">
        <f>INDEX(composicoes[],MATCH(95580,composicoes[CÓDIGO],0),MATCH("CUSTO TOTAL",composicoes[#Headers],0))</f>
        <v>10.46</v>
      </c>
      <c r="BC170" s="4">
        <f ca="1">SUM(HC[[#This Row],[Conc Est (m³)]],HC[[#This Row],[Conc Bloco (m³)]])</f>
        <v>11.202911651358308</v>
      </c>
      <c r="BD170" s="4">
        <f>INDEX(composicoes[],MATCH(94966,composicoes[CÓDIGO],0),MATCH("CUSTO TOTAL",composicoes[#Headers],0))</f>
        <v>439.52</v>
      </c>
      <c r="BE170" s="38">
        <f ca="1">HC[[#This Row],[Aço (kg)]]*HC[[#This Row],[Aço (R$/kg)]]+HC[[#This Row],[Conc (m³)]]*HC[[#This Row],[Conc (R$/m³)]]</f>
        <v>6536.189932088073</v>
      </c>
      <c r="BF170" s="4" t="str">
        <f ca="1">IF(COUNTIF(HC[#This Row],"N.S.")&gt;0,"lim.","OK")</f>
        <v>OK</v>
      </c>
      <c r="BG170" s="4" t="str">
        <f>IF(HC[[#This Row],[Prof. (m)]]&lt;4,"lim.","OK")</f>
        <v>OK</v>
      </c>
      <c r="BH170" s="4" t="str">
        <f>IF(HC[[#This Row],[Prof. (m)]]&gt;=8*HC[[#This Row],[Ø (cm)]]/100,"OK","lim.")</f>
        <v>OK</v>
      </c>
      <c r="BI170" s="4" t="str">
        <f ca="1">IF(HC[[#This Row],[Verif. Biela]]="OK","OK","lim.")</f>
        <v>lim.</v>
      </c>
      <c r="BJ170" s="4" t="str">
        <f ca="1">IF(COUNTA(HC[[#This Row],[Nº Est.]:[Biela comp.]])=COUNTIF(HC[[#This Row],[Nº Est.]:[Biela comp.]],"OK"),"OK","lim.")</f>
        <v>lim.</v>
      </c>
      <c r="BK170" s="4" t="str">
        <f ca="1">IF(HC[[#This Row],[Controle]]="OK",HC[[#This Row],[nE]]&amp;" Ø"&amp;HC[[#This Row],[Ø (cm)]]&amp;"cm Prof. "&amp;HC[[#This Row],[Prof. (m)]]&amp;" m","")</f>
        <v/>
      </c>
      <c r="BL170" s="4" t="str">
        <f ca="1">IF(HC[[#This Row],[idDimensionamento]]="","",HC[[#This Row],[idPilar]]&amp;HC[[#This Row],[idDimensionamento]])</f>
        <v/>
      </c>
    </row>
    <row r="171" spans="2:64" x14ac:dyDescent="0.25">
      <c r="B171" s="12">
        <f>ROUNDUP((ROW(HC[[#This Row],[idDiâmetro]])-ROW(HC[[#Headers],[idDiâmetro]]))/(COUNT(SPT[Prof. (m)])*COUNT(PILARES[Pilar])),0)</f>
        <v>6</v>
      </c>
      <c r="C171" s="12">
        <f>IF(HC[[#This Row],[idDiâmetro]]&lt;&gt;B170,1,IF(HC[[#This Row],[Prof. (m)]]=0,C170+1,C170))</f>
        <v>2</v>
      </c>
      <c r="D171" s="1">
        <f>IFERROR(IF(D170=MAX(SPT[Prof. (m)]),0,D170+1),0)</f>
        <v>12</v>
      </c>
      <c r="E171" s="1">
        <f>INDEX(SPT[],MATCH(HC[[#This Row],[Prof. (m)]],SPT[Prof. (m)],0),2)</f>
        <v>52</v>
      </c>
      <c r="F171" s="1" t="str">
        <f>INDEX(SPT[],MATCH(HC[[#This Row],[Prof. (m)]],SPT[Prof. (m)],0),3)</f>
        <v>Areia siltosa</v>
      </c>
      <c r="G171" s="1">
        <f>INDEX(estacas[],HC[[#This Row],[idDiâmetro]],MATCH($B$2,estacas[#Headers],0))</f>
        <v>50</v>
      </c>
      <c r="H171" s="1">
        <f>INDEX(estacas[],MATCH(HC[[#This Row],[Ø (cm)]],estacas[Ø HC (cm)],0),MATCH(HC[[#Headers],[Pe HC (kN)]],estacas[#Headers],0))</f>
        <v>1250</v>
      </c>
      <c r="I171" s="4">
        <f>INDEX(K_alpha_C[],MATCH(HC[[#This Row],[Solo]],K_alpha_C[Solo],0),2)</f>
        <v>0.8</v>
      </c>
      <c r="J171" s="5">
        <f>INDEX(K_alpha_C[],MATCH(HC[[#This Row],[Solo]],K_alpha_C[Solo],0),3)</f>
        <v>2</v>
      </c>
      <c r="K171" s="4">
        <f>INDEX(F1_F2[],MATCH($D$2,F1_F2[Tipo de estaca],0),2)</f>
        <v>2</v>
      </c>
      <c r="L171" s="4">
        <f>INDEX(F1_F2[],MATCH($D$2,F1_F2[Tipo de estaca],0),3)</f>
        <v>4</v>
      </c>
      <c r="M171" s="4">
        <f>PI()*(HC[[#This Row],[Ø (cm)]]/100)^2/4</f>
        <v>0.19634954084936207</v>
      </c>
      <c r="N171" s="4">
        <f>PI()*HC[[#This Row],[Ø (cm)]]/100</f>
        <v>1.5707963267948966</v>
      </c>
      <c r="O171" s="4">
        <f>IF(HC[[#This Row],[Prof. (m)]]=0,0,HC[[#This Row],[α (%)]]/100*HC[[#This Row],[K (MPa)]]*1000*HC[[#This Row],[NSPT]])</f>
        <v>832</v>
      </c>
      <c r="P171" s="4">
        <f>IF(HC[[#This Row],[Prof. (m)]]=0,0,(HC[[#This Row],[K (MPa)]]*1000*HC[[#This Row],[NSPT]]/HC[[#This Row],[F1]]*HC[[#This Row],[Ap (m²)]]+HC[[#This Row],[U (m)]]/HC[[#This Row],[F2]]*SUMIFS(HC[(α∙K∙NL∙ΔL)],HC[Prof. (m)],"&lt;="&amp;HC[[#This Row],[Prof. (m)]],HC[idDiâmetro],HC[[#This Row],[idDiâmetro]],HC[idPilar],HC[[#This Row],[idPilar]]))/'DADOS CAP. CARGA'!$D$2)</f>
        <v>2712.7456214207014</v>
      </c>
      <c r="Q171" s="12">
        <f>INDEX(C_alpha_beta[],MATCH(HC[[#This Row],[Solo]],C_alpha_beta[Solo],0),MATCH(HC[[#Headers],[C (kPa)]],C_alpha_beta[#Headers],0))</f>
        <v>400</v>
      </c>
      <c r="R171" s="4">
        <f>INDEX(C_alpha_beta[],MATCH(HC[[#This Row],[Solo]],C_alpha_beta[Solo],0),MATCH(HC[[#Headers],[α ESF]],C_alpha_beta[#Headers],0))</f>
        <v>0.5</v>
      </c>
      <c r="S171" s="4">
        <f>INDEX(C_alpha_beta[],MATCH(HC[[#This Row],[Solo]],C_alpha_beta[Solo],0),MATCH(HC[[#Headers],[β ESF]],C_alpha_beta[#Headers],0))</f>
        <v>0.5</v>
      </c>
      <c r="T171" s="4">
        <f>IF(HC[[#This Row],[Prof. (m)]]=0,0,10*(HC[[#This Row],[NSPT]]/3+1))</f>
        <v>183.33333333333331</v>
      </c>
      <c r="U171" s="4">
        <f>(HC[[#This Row],[α ESF]]*HC[[#This Row],[C (kPa)]]*HC[[#This Row],[NSPT]]*HC[[#This Row],[Ap (m²)]])/'DADOS CAP. CARGA'!$Q$2+(HC[[#This Row],[β ESF]]*SUMIFS(HC[10∙(NL/3+1)],HC[Prof. (m)],"&lt;="&amp;HC[[#This Row],[Prof. (m)]],HC[idDiâmetro],HC[[#This Row],[idDiâmetro]],HC[idPilar],HC[[#This Row],[idPilar]])*HC[[#This Row],[U (m)]])/'DADOS CAP. CARGA'!$S$2</f>
        <v>849.53901340823984</v>
      </c>
      <c r="V171" s="4">
        <f>IF(SPT!$M$5=1,MIN(HC[[#This Row],[Pe HC (kN)]],HC[[#This Row],[R_AV (kN)]]),IF(SPT!$M$5=2,MIN(HC[[#This Row],[Pe HC (kN)]],HC[[#This Row],[R_DC (kN)]]),MIN(HC[[#This Row],[Pe HC (kN)]],HC[[#This Row],[R_AV (kN)]],HC[[#This Row],[R_DC (kN)]])))</f>
        <v>849.53901340823984</v>
      </c>
      <c r="W171" s="4">
        <f>INDEX(PILARES[],HC[[#This Row],[idPilar]],MATCH("Carga (kN)",PILARES[#Headers],0))*1.4</f>
        <v>1750</v>
      </c>
      <c r="X171" s="12">
        <f>INDEX(PILARES[],HC[[#This Row],[idPilar]],MATCH(HC[[#Headers],[ap (cm)]],PILARES[#Headers],0))</f>
        <v>50</v>
      </c>
      <c r="Y171" s="12">
        <f>INDEX(PILARES[],HC[[#This Row],[idPilar]],MATCH(HC[[#Headers],[bp (cm)]],PILARES[#Headers],0))</f>
        <v>40</v>
      </c>
      <c r="Z171" s="4">
        <f>SQRT(HC[[#This Row],[ap (cm)]]*HC[[#This Row],[bp (cm)]])</f>
        <v>44.721359549995796</v>
      </c>
      <c r="AA171" s="12">
        <f>HC[[#This Row],[ap (cm)]]*HC[[#This Row],[bp (cm)]]</f>
        <v>2000</v>
      </c>
      <c r="AB171" s="12">
        <f ca="1">IF(HC[[#This Row],[Padm∙ε (kN)]]&gt;=HC[[#This Row],[Padm (kN)]],ROUNDUP(1.05*HC[[#This Row],[Nsd (kN)]]/HC[[#This Row],[Padm (kN)]],0),ROUNDUP(1.05*HC[[#This Row],[Nsd (kN)]]/HC[[#This Row],[Padm (kN)]],0)+1)</f>
        <v>3</v>
      </c>
      <c r="AC171" s="4">
        <f ca="1">IFERROR(IF(HC[[#This Row],[nE]]=1,HC[[#This Row],[Padm (kN)]],HC[[#This Row],[Padm (kN)]]*HC[[#This Row],[nE]]*INDEX(grupoEstacas[],HC[[#This Row],[nE]],MATCH("ε",grupoEstacas[#Headers],0))),"N.S.")</f>
        <v>2230.0399101966295</v>
      </c>
      <c r="AD171" s="4">
        <f ca="1">1.05*HC[[#This Row],[Nsd (kN)]]/(HC[[#This Row],[nE]]*PI()*HC[[#This Row],[Ø (cm)]]^2/4)*10</f>
        <v>3.1194368846011491</v>
      </c>
      <c r="AE171" s="4">
        <f ca="1">IF(HC[[#This Row],[σ (MPa)]]&lt;INDEX(tipoEstaca[],MATCH($D$2,tipoEstaca[TIPO DE ESTACA],0),MATCH("σmáx (MPa)",tipoEstaca[#Headers],0)),0.4%*PI()*HC[[#This Row],[Ø (cm)]]^2/4,"N.S.")</f>
        <v>7.8539816339744837</v>
      </c>
      <c r="AF171" s="1">
        <f>INDEX(tipoEstaca[],MATCH($D$2,tipoEstaca[TIPO DE ESTACA],0),MATCH(HC[[#Headers],[Comprimento (m)]],tipoEstaca[#Headers],0))</f>
        <v>4</v>
      </c>
      <c r="AG171" s="5">
        <f ca="1">HC[[#This Row],[As,mín (cm²)]]/100^2*HC[[#This Row],[Comprimento (m)]]*7850</f>
        <v>24.661502330679877</v>
      </c>
      <c r="AH171" s="4">
        <f ca="1">HC[[#This Row],[nE]]*HC[[#This Row],[Prof. (m)]]*HC[[#This Row],[Ap (m²)]]</f>
        <v>7.0685834705770345</v>
      </c>
      <c r="AI171" s="1">
        <f ca="1">IF(HC[[#This Row],[nE]]=1,0,MAX(3*HC[[#This Row],[Ø (cm)]],60))</f>
        <v>150</v>
      </c>
      <c r="AJ171" s="1">
        <f ca="1">IF(HC[[#This Row],[nE]]=1,HC[[#This Row],[Ø (cm)]]+2*10,MAX(1.5*HC[[#This Row],[Ø (cm)]],HC[[#This Row],[Ø (cm)]]+15))</f>
        <v>75</v>
      </c>
      <c r="AK171" s="1">
        <f ca="1">alturaUtil(HC[[#This Row],[nE]],HC[[#This Row],[Ø (cm)]],HC[[#This Row],[e (cm)]],HC[[#This Row],[ap,eq (cm)]])</f>
        <v>65</v>
      </c>
      <c r="AL171" s="1">
        <f ca="1">IFERROR(HC[[#This Row],[d (cm)]]+arredondarParaCimaMultiplo5cm(MAX(5,SQRT(PI())/2*HC[[#This Row],[Ø (cm)]]/5)),"N.S.")</f>
        <v>75</v>
      </c>
      <c r="AM171" s="5">
        <f ca="1">alpha(HC[[#This Row],[nE]],HC[[#This Row],[d (cm)]],HC[[#This Row],[e (cm)]],HC[[#This Row],[ap,eq (cm)]])</f>
        <v>46.546000082224388</v>
      </c>
      <c r="AN171" s="35">
        <f ca="1">IFERROR(HC[[#This Row],[Nsd (kN)]]/(HC[[#This Row],[Ap (cm²)]]*SIN(HC[[#This Row],[α]])^2),"N.S.")</f>
        <v>2.9323320678904792</v>
      </c>
      <c r="AO171" s="35">
        <f ca="1">IFERROR(HC[[#This Row],[Nsd (kN)]]/(HC[[#This Row],[nE]]*PI()*HC[[#This Row],[Ø (cm)]]^2/4*SIN(HC[[#This Row],[α]])^2),"N.S.")</f>
        <v>0.99561630590218453</v>
      </c>
      <c r="AP171" s="4">
        <f ca="1">IFERROR(INDEX(grupoEstacas[],HC[[#This Row],[nE]],MATCH("coef. Blévot",grupoEstacas[#Headers],0)),"N.S.")</f>
        <v>1.75</v>
      </c>
      <c r="AQ171" s="35">
        <f ca="1">IFERROR(HC[[#This Row],[coef. Blévot]]*0.9*INDEX(tipoEstaca[],MATCH($D$2,tipoEstaca[TIPO DE ESTACA],0),MATCH("fcd (kN/cm²)",tipoEstaca[#Headers],0)),"N.S.")</f>
        <v>1.75</v>
      </c>
      <c r="AR171" s="1" t="str">
        <f ca="1">IF(AND(HC[[#This Row],[cd,b,pil (kN/cm²)]]&lt;=HC[[#This Row],[cd,b,lim (kN/cm²)]],HC[[#This Row],[cd,b,est (kN/cm²)]]&lt;=HC[[#This Row],[cd,b,lim (kN/cm²)]]),"OK","ERRO")</f>
        <v>ERRO</v>
      </c>
      <c r="AS171" s="4">
        <f ca="1">As_lado(HC[[#This Row],[nE]],HC[[#This Row],[Nsd (kN)]],HC[[#This Row],[d (cm)]],HC[[#This Row],[e (cm)]],HC[[#This Row],[ap,eq (cm)]])</f>
        <v>8.7216658493861683</v>
      </c>
      <c r="AT171" s="4" t="str">
        <f ca="1">IF(HC[[#This Row],[nE]]=1,HC[[#This Row],[As,lado (cm²)]],IF(HC[[#This Row],[nE]]=2,0.075*2*HC[a (cm)],"N.A."))</f>
        <v>N.A.</v>
      </c>
      <c r="AU171" s="4">
        <f ca="1">IFERROR(IF(HC[[#This Row],[nE]]=1,"N.A.",0.2*HC[[#This Row],[As,lado (cm²)]]),"N.S.")</f>
        <v>1.7443331698772337</v>
      </c>
      <c r="AV171" s="4">
        <f ca="1">As_malha(HC[[#This Row],[nE]],HC[[#This Row],[As,lado (cm²)]],HC[[#This Row],[Nsd (kN)]])</f>
        <v>2.981481481481481</v>
      </c>
      <c r="AW171" s="4">
        <f ca="1">As_susp_tot(HC[[#This Row],[nE]],HC[[#This Row],[Nsd (kN)]])</f>
        <v>8.9444444444444429</v>
      </c>
      <c r="AX171" s="4">
        <f ca="1">Asp_face(HC[[#This Row],[nE]],HC[[#This Row],[As,lado (cm²)]])</f>
        <v>3.2706246935198129</v>
      </c>
      <c r="AY171" s="5">
        <f ca="1">acoBloco(HC[[#This Row],[nE]],HC[[#This Row],[e (cm)]],HC[[#This Row],[a (cm)]],HC[[#This Row],[h (cm)]],HC[[#This Row],[As,lado (cm²)]],HC[[#This Row],[Asp e Asw (cm²/m)]],HC[[#This Row],[As,sup (cm²)]],HC[[#This Row],[As,malha (cm²)]],HC[[#This Row],[As,susp,tot (cm²)]],HC[[#This Row],[Asp,face (cm²)]])</f>
        <v>129.47675800230948</v>
      </c>
      <c r="AZ171" s="4">
        <f ca="1">concretoBloco(HC[[#This Row],[nE]],HC[[#This Row],[e (cm)]],HC[[#This Row],[a (cm)]],HC[[#This Row],[h (cm)]])</f>
        <v>4.7233768033293595</v>
      </c>
      <c r="BA171" s="5">
        <f ca="1">SUM(HC[[#This Row],[Aço Est (kg)]],HC[[#This Row],[Aço Bloco (kg)]])</f>
        <v>154.13826033298935</v>
      </c>
      <c r="BB171" s="4">
        <f>INDEX(composicoes[],MATCH(95580,composicoes[CÓDIGO],0),MATCH("CUSTO TOTAL",composicoes[#Headers],0))</f>
        <v>10.46</v>
      </c>
      <c r="BC171" s="4">
        <f ca="1">SUM(HC[[#This Row],[Conc Est (m³)]],HC[[#This Row],[Conc Bloco (m³)]])</f>
        <v>11.791960273906394</v>
      </c>
      <c r="BD171" s="4">
        <f>INDEX(composicoes[],MATCH(94966,composicoes[CÓDIGO],0),MATCH("CUSTO TOTAL",composicoes[#Headers],0))</f>
        <v>439.52</v>
      </c>
      <c r="BE171" s="38">
        <f ca="1">HC[[#This Row],[Aço (kg)]]*HC[[#This Row],[Aço (R$/kg)]]+HC[[#This Row],[Conc (m³)]]*HC[[#This Row],[Conc (R$/m³)]]</f>
        <v>6795.088582670407</v>
      </c>
      <c r="BF171" s="4" t="str">
        <f ca="1">IF(COUNTIF(HC[#This Row],"N.S.")&gt;0,"lim.","OK")</f>
        <v>OK</v>
      </c>
      <c r="BG171" s="4" t="str">
        <f>IF(HC[[#This Row],[Prof. (m)]]&lt;4,"lim.","OK")</f>
        <v>OK</v>
      </c>
      <c r="BH171" s="4" t="str">
        <f>IF(HC[[#This Row],[Prof. (m)]]&gt;=8*HC[[#This Row],[Ø (cm)]]/100,"OK","lim.")</f>
        <v>OK</v>
      </c>
      <c r="BI171" s="4" t="str">
        <f ca="1">IF(HC[[#This Row],[Verif. Biela]]="OK","OK","lim.")</f>
        <v>lim.</v>
      </c>
      <c r="BJ171" s="4" t="str">
        <f ca="1">IF(COUNTA(HC[[#This Row],[Nº Est.]:[Biela comp.]])=COUNTIF(HC[[#This Row],[Nº Est.]:[Biela comp.]],"OK"),"OK","lim.")</f>
        <v>lim.</v>
      </c>
      <c r="BK171" s="4" t="str">
        <f ca="1">IF(HC[[#This Row],[Controle]]="OK",HC[[#This Row],[nE]]&amp;" Ø"&amp;HC[[#This Row],[Ø (cm)]]&amp;"cm Prof. "&amp;HC[[#This Row],[Prof. (m)]]&amp;" m","")</f>
        <v/>
      </c>
      <c r="BL171" s="4" t="str">
        <f ca="1">IF(HC[[#This Row],[idDimensionamento]]="","",HC[[#This Row],[idPilar]]&amp;HC[[#This Row],[idDimensionamento]])</f>
        <v/>
      </c>
    </row>
    <row r="172" spans="2:64" x14ac:dyDescent="0.25">
      <c r="B172" s="12">
        <f>ROUNDUP((ROW(HC[[#This Row],[idDiâmetro]])-ROW(HC[[#Headers],[idDiâmetro]]))/(COUNT(SPT[Prof. (m)])*COUNT(PILARES[Pilar])),0)</f>
        <v>6</v>
      </c>
      <c r="C172" s="12">
        <f>IF(HC[[#This Row],[idDiâmetro]]&lt;&gt;B171,1,IF(HC[[#This Row],[Prof. (m)]]=0,C171+1,C171))</f>
        <v>2</v>
      </c>
      <c r="D172" s="1">
        <f>IFERROR(IF(D171=MAX(SPT[Prof. (m)]),0,D171+1),0)</f>
        <v>13</v>
      </c>
      <c r="E172" s="1">
        <f>INDEX(SPT[],MATCH(HC[[#This Row],[Prof. (m)]],SPT[Prof. (m)],0),2)</f>
        <v>68</v>
      </c>
      <c r="F172" s="1" t="str">
        <f>INDEX(SPT[],MATCH(HC[[#This Row],[Prof. (m)]],SPT[Prof. (m)],0),3)</f>
        <v>Areia siltosa</v>
      </c>
      <c r="G172" s="1">
        <f>INDEX(estacas[],HC[[#This Row],[idDiâmetro]],MATCH($B$2,estacas[#Headers],0))</f>
        <v>50</v>
      </c>
      <c r="H172" s="1">
        <f>INDEX(estacas[],MATCH(HC[[#This Row],[Ø (cm)]],estacas[Ø HC (cm)],0),MATCH(HC[[#Headers],[Pe HC (kN)]],estacas[#Headers],0))</f>
        <v>1250</v>
      </c>
      <c r="I172" s="4">
        <f>INDEX(K_alpha_C[],MATCH(HC[[#This Row],[Solo]],K_alpha_C[Solo],0),2)</f>
        <v>0.8</v>
      </c>
      <c r="J172" s="5">
        <f>INDEX(K_alpha_C[],MATCH(HC[[#This Row],[Solo]],K_alpha_C[Solo],0),3)</f>
        <v>2</v>
      </c>
      <c r="K172" s="4">
        <f>INDEX(F1_F2[],MATCH($D$2,F1_F2[Tipo de estaca],0),2)</f>
        <v>2</v>
      </c>
      <c r="L172" s="4">
        <f>INDEX(F1_F2[],MATCH($D$2,F1_F2[Tipo de estaca],0),3)</f>
        <v>4</v>
      </c>
      <c r="M172" s="4">
        <f>PI()*(HC[[#This Row],[Ø (cm)]]/100)^2/4</f>
        <v>0.19634954084936207</v>
      </c>
      <c r="N172" s="4">
        <f>PI()*HC[[#This Row],[Ø (cm)]]/100</f>
        <v>1.5707963267948966</v>
      </c>
      <c r="O172" s="4">
        <f>IF(HC[[#This Row],[Prof. (m)]]=0,0,HC[[#This Row],[α (%)]]/100*HC[[#This Row],[K (MPa)]]*1000*HC[[#This Row],[NSPT]])</f>
        <v>1088</v>
      </c>
      <c r="P172" s="4">
        <f>IF(HC[[#This Row],[Prof. (m)]]=0,0,(HC[[#This Row],[K (MPa)]]*1000*HC[[#This Row],[NSPT]]/HC[[#This Row],[F1]]*HC[[#This Row],[Ap (m²)]]+HC[[#This Row],[U (m)]]/HC[[#This Row],[F2]]*SUMIFS(HC[(α∙K∙NL∙ΔL)],HC[Prof. (m)],"&lt;="&amp;HC[[#This Row],[Prof. (m)]],HC[idDiâmetro],HC[[#This Row],[idDiâmetro]],HC[idPilar],HC[[#This Row],[idPilar]]))/'DADOS CAP. CARGA'!$D$2)</f>
        <v>3554.6924525827658</v>
      </c>
      <c r="Q172" s="12">
        <f>INDEX(C_alpha_beta[],MATCH(HC[[#This Row],[Solo]],C_alpha_beta[Solo],0),MATCH(HC[[#Headers],[C (kPa)]],C_alpha_beta[#Headers],0))</f>
        <v>400</v>
      </c>
      <c r="R172" s="4">
        <f>INDEX(C_alpha_beta[],MATCH(HC[[#This Row],[Solo]],C_alpha_beta[Solo],0),MATCH(HC[[#Headers],[α ESF]],C_alpha_beta[#Headers],0))</f>
        <v>0.5</v>
      </c>
      <c r="S172" s="4">
        <f>INDEX(C_alpha_beta[],MATCH(HC[[#This Row],[Solo]],C_alpha_beta[Solo],0),MATCH(HC[[#Headers],[β ESF]],C_alpha_beta[#Headers],0))</f>
        <v>0.5</v>
      </c>
      <c r="T172" s="4">
        <f>IF(HC[[#This Row],[Prof. (m)]]=0,0,10*(HC[[#This Row],[NSPT]]/3+1))</f>
        <v>236.66666666666669</v>
      </c>
      <c r="U172" s="4">
        <f>(HC[[#This Row],[α ESF]]*HC[[#This Row],[C (kPa)]]*HC[[#This Row],[NSPT]]*HC[[#This Row],[Ap (m²)]])/'DADOS CAP. CARGA'!$Q$2+(HC[[#This Row],[β ESF]]*SUMIFS(HC[10∙(NL/3+1)],HC[Prof. (m)],"&lt;="&amp;HC[[#This Row],[Prof. (m)]],HC[idDiâmetro],HC[[#This Row],[idDiâmetro]],HC[idPilar],HC[[#This Row],[idPilar]])*HC[[#This Row],[U (m)]])/'DADOS CAP. CARGA'!$S$2</f>
        <v>1099.5574287564275</v>
      </c>
      <c r="V172" s="4">
        <f>IF(SPT!$M$5=1,MIN(HC[[#This Row],[Pe HC (kN)]],HC[[#This Row],[R_AV (kN)]]),IF(SPT!$M$5=2,MIN(HC[[#This Row],[Pe HC (kN)]],HC[[#This Row],[R_DC (kN)]]),MIN(HC[[#This Row],[Pe HC (kN)]],HC[[#This Row],[R_AV (kN)]],HC[[#This Row],[R_DC (kN)]])))</f>
        <v>1099.5574287564275</v>
      </c>
      <c r="W172" s="4">
        <f>INDEX(PILARES[],HC[[#This Row],[idPilar]],MATCH("Carga (kN)",PILARES[#Headers],0))*1.4</f>
        <v>1750</v>
      </c>
      <c r="X172" s="12">
        <f>INDEX(PILARES[],HC[[#This Row],[idPilar]],MATCH(HC[[#Headers],[ap (cm)]],PILARES[#Headers],0))</f>
        <v>50</v>
      </c>
      <c r="Y172" s="12">
        <f>INDEX(PILARES[],HC[[#This Row],[idPilar]],MATCH(HC[[#Headers],[bp (cm)]],PILARES[#Headers],0))</f>
        <v>40</v>
      </c>
      <c r="Z172" s="4">
        <f>SQRT(HC[[#This Row],[ap (cm)]]*HC[[#This Row],[bp (cm)]])</f>
        <v>44.721359549995796</v>
      </c>
      <c r="AA172" s="12">
        <f>HC[[#This Row],[ap (cm)]]*HC[[#This Row],[bp (cm)]]</f>
        <v>2000</v>
      </c>
      <c r="AB172" s="12">
        <f ca="1">IF(HC[[#This Row],[Padm∙ε (kN)]]&gt;=HC[[#This Row],[Padm (kN)]],ROUNDUP(1.05*HC[[#This Row],[Nsd (kN)]]/HC[[#This Row],[Padm (kN)]],0),ROUNDUP(1.05*HC[[#This Row],[Nsd (kN)]]/HC[[#This Row],[Padm (kN)]],0)+1)</f>
        <v>2</v>
      </c>
      <c r="AC172" s="4">
        <f ca="1">IFERROR(IF(HC[[#This Row],[nE]]=1,HC[[#This Row],[Padm (kN)]],HC[[#This Row],[Padm (kN)]]*HC[[#This Row],[nE]]*INDEX(grupoEstacas[],HC[[#This Row],[nE]],MATCH("ε",grupoEstacas[#Headers],0))),"N.S.")</f>
        <v>2061.6701789183016</v>
      </c>
      <c r="AD172" s="4">
        <f ca="1">1.05*HC[[#This Row],[Nsd (kN)]]/(HC[[#This Row],[nE]]*PI()*HC[[#This Row],[Ø (cm)]]^2/4)*10</f>
        <v>4.6791553269017232</v>
      </c>
      <c r="AE172" s="4">
        <f ca="1">IF(HC[[#This Row],[σ (MPa)]]&lt;INDEX(tipoEstaca[],MATCH($D$2,tipoEstaca[TIPO DE ESTACA],0),MATCH("σmáx (MPa)",tipoEstaca[#Headers],0)),0.4%*PI()*HC[[#This Row],[Ø (cm)]]^2/4,"N.S.")</f>
        <v>7.8539816339744837</v>
      </c>
      <c r="AF172" s="1">
        <f>INDEX(tipoEstaca[],MATCH($D$2,tipoEstaca[TIPO DE ESTACA],0),MATCH(HC[[#Headers],[Comprimento (m)]],tipoEstaca[#Headers],0))</f>
        <v>4</v>
      </c>
      <c r="AG172" s="5">
        <f ca="1">HC[[#This Row],[As,mín (cm²)]]/100^2*HC[[#This Row],[Comprimento (m)]]*7850</f>
        <v>24.661502330679877</v>
      </c>
      <c r="AH172" s="4">
        <f ca="1">HC[[#This Row],[nE]]*HC[[#This Row],[Prof. (m)]]*HC[[#This Row],[Ap (m²)]]</f>
        <v>5.1050880620834143</v>
      </c>
      <c r="AI172" s="1">
        <f ca="1">IF(HC[[#This Row],[nE]]=1,0,MAX(3*HC[[#This Row],[Ø (cm)]],60))</f>
        <v>150</v>
      </c>
      <c r="AJ172" s="1">
        <f ca="1">IF(HC[[#This Row],[nE]]=1,HC[[#This Row],[Ø (cm)]]+2*10,MAX(1.5*HC[[#This Row],[Ø (cm)]],HC[[#This Row],[Ø (cm)]]+15))</f>
        <v>75</v>
      </c>
      <c r="AK172" s="1">
        <f ca="1">alturaUtil(HC[[#This Row],[nE]],HC[[#This Row],[Ø (cm)]],HC[[#This Row],[e (cm)]],HC[[#This Row],[ap,eq (cm)]])</f>
        <v>65</v>
      </c>
      <c r="AL172" s="1">
        <f ca="1">IFERROR(HC[[#This Row],[d (cm)]]+arredondarParaCimaMultiplo5cm(MAX(5,SQRT(PI())/2*HC[[#This Row],[Ø (cm)]]/5)),"N.S.")</f>
        <v>75</v>
      </c>
      <c r="AM172" s="5">
        <f ca="1">alpha(HC[[#This Row],[nE]],HC[[#This Row],[d (cm)]],HC[[#This Row],[e (cm)]],HC[[#This Row],[ap,eq (cm)]])</f>
        <v>45.524971121512884</v>
      </c>
      <c r="AN172" s="35">
        <f ca="1">IFERROR(HC[[#This Row],[Nsd (kN)]]/(HC[[#This Row],[Ap (cm²)]]*SIN(HC[[#This Row],[α]])^2),"N.S.")</f>
        <v>0.87569237354226348</v>
      </c>
      <c r="AO172" s="35">
        <f ca="1">IFERROR(HC[[#This Row],[Nsd (kN)]]/(HC[[#This Row],[nE]]*PI()*HC[[#This Row],[Ø (cm)]]^2/4*SIN(HC[[#This Row],[α]])^2),"N.S.")</f>
        <v>0.44598646360680222</v>
      </c>
      <c r="AP172" s="4">
        <f ca="1">IFERROR(INDEX(grupoEstacas[],HC[[#This Row],[nE]],MATCH("coef. Blévot",grupoEstacas[#Headers],0)),"N.S.")</f>
        <v>1.4</v>
      </c>
      <c r="AQ172" s="35">
        <f ca="1">IFERROR(HC[[#This Row],[coef. Blévot]]*0.9*INDEX(tipoEstaca[],MATCH($D$2,tipoEstaca[TIPO DE ESTACA],0),MATCH("fcd (kN/cm²)",tipoEstaca[#Headers],0)),"N.S.")</f>
        <v>1.4000000000000001</v>
      </c>
      <c r="AR172" s="1" t="str">
        <f ca="1">IF(AND(HC[[#This Row],[cd,b,pil (kN/cm²)]]&lt;=HC[[#This Row],[cd,b,lim (kN/cm²)]],HC[[#This Row],[cd,b,est (kN/cm²)]]&lt;=HC[[#This Row],[cd,b,lim (kN/cm²)]]),"OK","ERRO")</f>
        <v>OK</v>
      </c>
      <c r="AS172" s="4">
        <f ca="1">As_lado(HC[[#This Row],[nE]],HC[[#This Row],[Nsd (kN)]],HC[[#This Row],[d (cm)]],HC[[#This Row],[e (cm)]],HC[[#This Row],[ap,eq (cm)]])</f>
        <v>22.723480903518404</v>
      </c>
      <c r="AT172" s="4">
        <f ca="1">IF(HC[[#This Row],[nE]]=1,HC[[#This Row],[As,lado (cm²)]],IF(HC[[#This Row],[nE]]=2,0.075*2*HC[a (cm)],"N.A."))</f>
        <v>11.25</v>
      </c>
      <c r="AU172" s="4">
        <f ca="1">IFERROR(IF(HC[[#This Row],[nE]]=1,"N.A.",0.2*HC[[#This Row],[As,lado (cm²)]]),"N.S.")</f>
        <v>4.5446961807036805</v>
      </c>
      <c r="AV172" s="4" t="str">
        <f ca="1">As_malha(HC[[#This Row],[nE]],HC[[#This Row],[As,lado (cm²)]],HC[[#This Row],[Nsd (kN)]])</f>
        <v>N.A.</v>
      </c>
      <c r="AW172" s="4" t="str">
        <f ca="1">As_susp_tot(HC[[#This Row],[nE]],HC[[#This Row],[Nsd (kN)]])</f>
        <v>N.A.</v>
      </c>
      <c r="AX172" s="4" t="str">
        <f ca="1">Asp_face(HC[[#This Row],[nE]],HC[[#This Row],[As,lado (cm²)]])</f>
        <v>N.A.</v>
      </c>
      <c r="AY172" s="5">
        <f ca="1">acoBloco(HC[[#This Row],[nE]],HC[[#This Row],[e (cm)]],HC[[#This Row],[a (cm)]],HC[[#This Row],[h (cm)]],HC[[#This Row],[As,lado (cm²)]],HC[[#This Row],[Asp e Asw (cm²/m)]],HC[[#This Row],[As,sup (cm²)]],HC[[#This Row],[As,malha (cm²)]],HC[[#This Row],[As,susp,tot (cm²)]],HC[[#This Row],[Asp,face (cm²)]])</f>
        <v>243.049369533343</v>
      </c>
      <c r="AZ172" s="4">
        <f ca="1">concretoBloco(HC[[#This Row],[nE]],HC[[#This Row],[e (cm)]],HC[[#This Row],[a (cm)]],HC[[#This Row],[h (cm)]])</f>
        <v>3.375</v>
      </c>
      <c r="BA172" s="5">
        <f ca="1">SUM(HC[[#This Row],[Aço Est (kg)]],HC[[#This Row],[Aço Bloco (kg)]])</f>
        <v>267.71087186402286</v>
      </c>
      <c r="BB172" s="4">
        <f>INDEX(composicoes[],MATCH(95580,composicoes[CÓDIGO],0),MATCH("CUSTO TOTAL",composicoes[#Headers],0))</f>
        <v>10.46</v>
      </c>
      <c r="BC172" s="4">
        <f ca="1">SUM(HC[[#This Row],[Conc Est (m³)]],HC[[#This Row],[Conc Bloco (m³)]])</f>
        <v>8.4800880620834143</v>
      </c>
      <c r="BD172" s="4">
        <f>INDEX(composicoes[],MATCH(94966,composicoes[CÓDIGO],0),MATCH("CUSTO TOTAL",composicoes[#Headers],0))</f>
        <v>439.52</v>
      </c>
      <c r="BE172" s="38">
        <f ca="1">HC[[#This Row],[Aço (kg)]]*HC[[#This Row],[Aço (R$/kg)]]+HC[[#This Row],[Conc (m³)]]*HC[[#This Row],[Conc (R$/m³)]]</f>
        <v>6527.4240247445814</v>
      </c>
      <c r="BF172" s="4" t="str">
        <f ca="1">IF(COUNTIF(HC[#This Row],"N.S.")&gt;0,"lim.","OK")</f>
        <v>OK</v>
      </c>
      <c r="BG172" s="4" t="str">
        <f>IF(HC[[#This Row],[Prof. (m)]]&lt;4,"lim.","OK")</f>
        <v>OK</v>
      </c>
      <c r="BH172" s="4" t="str">
        <f>IF(HC[[#This Row],[Prof. (m)]]&gt;=8*HC[[#This Row],[Ø (cm)]]/100,"OK","lim.")</f>
        <v>OK</v>
      </c>
      <c r="BI172" s="4" t="str">
        <f ca="1">IF(HC[[#This Row],[Verif. Biela]]="OK","OK","lim.")</f>
        <v>OK</v>
      </c>
      <c r="BJ172" s="4" t="str">
        <f ca="1">IF(COUNTA(HC[[#This Row],[Nº Est.]:[Biela comp.]])=COUNTIF(HC[[#This Row],[Nº Est.]:[Biela comp.]],"OK"),"OK","lim.")</f>
        <v>OK</v>
      </c>
      <c r="BK172" s="4" t="str">
        <f ca="1">IF(HC[[#This Row],[Controle]]="OK",HC[[#This Row],[nE]]&amp;" Ø"&amp;HC[[#This Row],[Ø (cm)]]&amp;"cm Prof. "&amp;HC[[#This Row],[Prof. (m)]]&amp;" m","")</f>
        <v>2 Ø50cm Prof. 13 m</v>
      </c>
      <c r="BL172" s="4" t="str">
        <f ca="1">IF(HC[[#This Row],[idDimensionamento]]="","",HC[[#This Row],[idPilar]]&amp;HC[[#This Row],[idDimensionamento]])</f>
        <v>22 Ø50cm Prof. 13 m</v>
      </c>
    </row>
    <row r="173" spans="2:64" x14ac:dyDescent="0.25">
      <c r="B173" s="12">
        <f>ROUNDUP((ROW(HC[[#This Row],[idDiâmetro]])-ROW(HC[[#Headers],[idDiâmetro]]))/(COUNT(SPT[Prof. (m)])*COUNT(PILARES[Pilar])),0)</f>
        <v>7</v>
      </c>
      <c r="C173" s="12">
        <f>IF(HC[[#This Row],[idDiâmetro]]&lt;&gt;B172,1,IF(HC[[#This Row],[Prof. (m)]]=0,C172+1,C172))</f>
        <v>1</v>
      </c>
      <c r="D173" s="1">
        <f>IFERROR(IF(D172=MAX(SPT[Prof. (m)]),0,D172+1),0)</f>
        <v>0</v>
      </c>
      <c r="E173" s="1">
        <f>INDEX(SPT[],MATCH(HC[[#This Row],[Prof. (m)]],SPT[Prof. (m)],0),2)</f>
        <v>0</v>
      </c>
      <c r="F173" s="1" t="str">
        <f>INDEX(SPT[],MATCH(HC[[#This Row],[Prof. (m)]],SPT[Prof. (m)],0),3)</f>
        <v>Areia siltosa</v>
      </c>
      <c r="G173" s="1">
        <f>INDEX(estacas[],HC[[#This Row],[idDiâmetro]],MATCH($B$2,estacas[#Headers],0))</f>
        <v>60</v>
      </c>
      <c r="H173" s="1">
        <f>INDEX(estacas[],MATCH(HC[[#This Row],[Ø (cm)]],estacas[Ø HC (cm)],0),MATCH(HC[[#Headers],[Pe HC (kN)]],estacas[#Headers],0))</f>
        <v>1800</v>
      </c>
      <c r="I173" s="4">
        <f>INDEX(K_alpha_C[],MATCH(HC[[#This Row],[Solo]],K_alpha_C[Solo],0),2)</f>
        <v>0.8</v>
      </c>
      <c r="J173" s="5">
        <f>INDEX(K_alpha_C[],MATCH(HC[[#This Row],[Solo]],K_alpha_C[Solo],0),3)</f>
        <v>2</v>
      </c>
      <c r="K173" s="4">
        <f>INDEX(F1_F2[],MATCH($D$2,F1_F2[Tipo de estaca],0),2)</f>
        <v>2</v>
      </c>
      <c r="L173" s="4">
        <f>INDEX(F1_F2[],MATCH($D$2,F1_F2[Tipo de estaca],0),3)</f>
        <v>4</v>
      </c>
      <c r="M173" s="4">
        <f>PI()*(HC[[#This Row],[Ø (cm)]]/100)^2/4</f>
        <v>0.28274333882308139</v>
      </c>
      <c r="N173" s="4">
        <f>PI()*HC[[#This Row],[Ø (cm)]]/100</f>
        <v>1.8849555921538756</v>
      </c>
      <c r="O173" s="4">
        <f>IF(HC[[#This Row],[Prof. (m)]]=0,0,HC[[#This Row],[α (%)]]/100*HC[[#This Row],[K (MPa)]]*1000*HC[[#This Row],[NSPT]])</f>
        <v>0</v>
      </c>
      <c r="P173" s="4">
        <f>IF(HC[[#This Row],[Prof. (m)]]=0,0,(HC[[#This Row],[K (MPa)]]*1000*HC[[#This Row],[NSPT]]/HC[[#This Row],[F1]]*HC[[#This Row],[Ap (m²)]]+HC[[#This Row],[U (m)]]/HC[[#This Row],[F2]]*SUMIFS(HC[(α∙K∙NL∙ΔL)],HC[Prof. (m)],"&lt;="&amp;HC[[#This Row],[Prof. (m)]],HC[idDiâmetro],HC[[#This Row],[idDiâmetro]],HC[idPilar],HC[[#This Row],[idPilar]]))/'DADOS CAP. CARGA'!$D$2)</f>
        <v>0</v>
      </c>
      <c r="Q173" s="12">
        <f>INDEX(C_alpha_beta[],MATCH(HC[[#This Row],[Solo]],C_alpha_beta[Solo],0),MATCH(HC[[#Headers],[C (kPa)]],C_alpha_beta[#Headers],0))</f>
        <v>400</v>
      </c>
      <c r="R173" s="4">
        <f>INDEX(C_alpha_beta[],MATCH(HC[[#This Row],[Solo]],C_alpha_beta[Solo],0),MATCH(HC[[#Headers],[α ESF]],C_alpha_beta[#Headers],0))</f>
        <v>0.5</v>
      </c>
      <c r="S173" s="4">
        <f>INDEX(C_alpha_beta[],MATCH(HC[[#This Row],[Solo]],C_alpha_beta[Solo],0),MATCH(HC[[#Headers],[β ESF]],C_alpha_beta[#Headers],0))</f>
        <v>0.5</v>
      </c>
      <c r="T173" s="4">
        <f>IF(HC[[#This Row],[Prof. (m)]]=0,0,10*(HC[[#This Row],[NSPT]]/3+1))</f>
        <v>0</v>
      </c>
      <c r="U173" s="4">
        <f>(HC[[#This Row],[α ESF]]*HC[[#This Row],[C (kPa)]]*HC[[#This Row],[NSPT]]*HC[[#This Row],[Ap (m²)]])/'DADOS CAP. CARGA'!$Q$2+(HC[[#This Row],[β ESF]]*SUMIFS(HC[10∙(NL/3+1)],HC[Prof. (m)],"&lt;="&amp;HC[[#This Row],[Prof. (m)]],HC[idDiâmetro],HC[[#This Row],[idDiâmetro]],HC[idPilar],HC[[#This Row],[idPilar]])*HC[[#This Row],[U (m)]])/'DADOS CAP. CARGA'!$S$2</f>
        <v>0</v>
      </c>
      <c r="V173" s="4">
        <f>IF(SPT!$M$5=1,MIN(HC[[#This Row],[Pe HC (kN)]],HC[[#This Row],[R_AV (kN)]]),IF(SPT!$M$5=2,MIN(HC[[#This Row],[Pe HC (kN)]],HC[[#This Row],[R_DC (kN)]]),MIN(HC[[#This Row],[Pe HC (kN)]],HC[[#This Row],[R_AV (kN)]],HC[[#This Row],[R_DC (kN)]])))</f>
        <v>0</v>
      </c>
      <c r="W173" s="4">
        <f>INDEX(PILARES[],HC[[#This Row],[idPilar]],MATCH("Carga (kN)",PILARES[#Headers],0))*1.4</f>
        <v>3500</v>
      </c>
      <c r="X173" s="12">
        <f>INDEX(PILARES[],HC[[#This Row],[idPilar]],MATCH(HC[[#Headers],[ap (cm)]],PILARES[#Headers],0))</f>
        <v>60</v>
      </c>
      <c r="Y173" s="12">
        <f>INDEX(PILARES[],HC[[#This Row],[idPilar]],MATCH(HC[[#Headers],[bp (cm)]],PILARES[#Headers],0))</f>
        <v>60</v>
      </c>
      <c r="Z173" s="4">
        <f>SQRT(HC[[#This Row],[ap (cm)]]*HC[[#This Row],[bp (cm)]])</f>
        <v>60</v>
      </c>
      <c r="AA173" s="12">
        <f>HC[[#This Row],[ap (cm)]]*HC[[#This Row],[bp (cm)]]</f>
        <v>3600</v>
      </c>
      <c r="AB173" s="12" t="e">
        <f ca="1">IF(HC[[#This Row],[Padm∙ε (kN)]]&gt;=HC[[#This Row],[Padm (kN)]],ROUNDUP(1.05*HC[[#This Row],[Nsd (kN)]]/HC[[#This Row],[Padm (kN)]],0),ROUNDUP(1.05*HC[[#This Row],[Nsd (kN)]]/HC[[#This Row],[Padm (kN)]],0)+1)</f>
        <v>#DIV/0!</v>
      </c>
      <c r="AC173" s="4" t="str">
        <f ca="1">IFERROR(IF(HC[[#This Row],[nE]]=1,HC[[#This Row],[Padm (kN)]],HC[[#This Row],[Padm (kN)]]*HC[[#This Row],[nE]]*INDEX(grupoEstacas[],HC[[#This Row],[nE]],MATCH("ε",grupoEstacas[#Headers],0))),"N.S.")</f>
        <v>N.S.</v>
      </c>
      <c r="AD173" s="4" t="e">
        <f ca="1">1.05*HC[[#This Row],[Nsd (kN)]]/(HC[[#This Row],[nE]]*PI()*HC[[#This Row],[Ø (cm)]]^2/4)*10</f>
        <v>#DIV/0!</v>
      </c>
      <c r="AE173" s="4" t="e">
        <f ca="1">IF(HC[[#This Row],[σ (MPa)]]&lt;INDEX(tipoEstaca[],MATCH($D$2,tipoEstaca[TIPO DE ESTACA],0),MATCH("σmáx (MPa)",tipoEstaca[#Headers],0)),0.4%*PI()*HC[[#This Row],[Ø (cm)]]^2/4,"N.S.")</f>
        <v>#DIV/0!</v>
      </c>
      <c r="AF173" s="1">
        <f>INDEX(tipoEstaca[],MATCH($D$2,tipoEstaca[TIPO DE ESTACA],0),MATCH(HC[[#Headers],[Comprimento (m)]],tipoEstaca[#Headers],0))</f>
        <v>4</v>
      </c>
      <c r="AG173" s="5" t="e">
        <f ca="1">HC[[#This Row],[As,mín (cm²)]]/100^2*HC[[#This Row],[Comprimento (m)]]*7850</f>
        <v>#DIV/0!</v>
      </c>
      <c r="AH173" s="4" t="e">
        <f ca="1">HC[[#This Row],[nE]]*HC[[#This Row],[Prof. (m)]]*HC[[#This Row],[Ap (m²)]]</f>
        <v>#DIV/0!</v>
      </c>
      <c r="AI173" s="1" t="e">
        <f ca="1">IF(HC[[#This Row],[nE]]=1,0,MAX(3*HC[[#This Row],[Ø (cm)]],60))</f>
        <v>#DIV/0!</v>
      </c>
      <c r="AJ173" s="1" t="e">
        <f ca="1">IF(HC[[#This Row],[nE]]=1,HC[[#This Row],[Ø (cm)]]+2*10,MAX(1.5*HC[[#This Row],[Ø (cm)]],HC[[#This Row],[Ø (cm)]]+15))</f>
        <v>#DIV/0!</v>
      </c>
      <c r="AK173" s="1" t="e">
        <f ca="1">alturaUtil(HC[[#This Row],[nE]],HC[[#This Row],[Ø (cm)]],HC[[#This Row],[e (cm)]],HC[[#This Row],[ap,eq (cm)]])</f>
        <v>#VALUE!</v>
      </c>
      <c r="AL173" s="1" t="str">
        <f ca="1">IFERROR(HC[[#This Row],[d (cm)]]+arredondarParaCimaMultiplo5cm(MAX(5,SQRT(PI())/2*HC[[#This Row],[Ø (cm)]]/5)),"N.S.")</f>
        <v>N.S.</v>
      </c>
      <c r="AM173" s="5" t="e">
        <f ca="1">alpha(HC[[#This Row],[nE]],HC[[#This Row],[d (cm)]],HC[[#This Row],[e (cm)]],HC[[#This Row],[ap,eq (cm)]])</f>
        <v>#VALUE!</v>
      </c>
      <c r="AN173" s="35" t="str">
        <f ca="1">IFERROR(HC[[#This Row],[Nsd (kN)]]/(HC[[#This Row],[Ap (cm²)]]*SIN(HC[[#This Row],[α]])^2),"N.S.")</f>
        <v>N.S.</v>
      </c>
      <c r="AO173" s="35" t="str">
        <f ca="1">IFERROR(HC[[#This Row],[Nsd (kN)]]/(HC[[#This Row],[nE]]*PI()*HC[[#This Row],[Ø (cm)]]^2/4*SIN(HC[[#This Row],[α]])^2),"N.S.")</f>
        <v>N.S.</v>
      </c>
      <c r="AP173" s="4" t="str">
        <f ca="1">IFERROR(INDEX(grupoEstacas[],HC[[#This Row],[nE]],MATCH("coef. Blévot",grupoEstacas[#Headers],0)),"N.S.")</f>
        <v>N.S.</v>
      </c>
      <c r="AQ173" s="35" t="str">
        <f ca="1">IFERROR(HC[[#This Row],[coef. Blévot]]*0.9*INDEX(tipoEstaca[],MATCH($D$2,tipoEstaca[TIPO DE ESTACA],0),MATCH("fcd (kN/cm²)",tipoEstaca[#Headers],0)),"N.S.")</f>
        <v>N.S.</v>
      </c>
      <c r="AR173" s="1" t="str">
        <f ca="1">IF(AND(HC[[#This Row],[cd,b,pil (kN/cm²)]]&lt;=HC[[#This Row],[cd,b,lim (kN/cm²)]],HC[[#This Row],[cd,b,est (kN/cm²)]]&lt;=HC[[#This Row],[cd,b,lim (kN/cm²)]]),"OK","ERRO")</f>
        <v>OK</v>
      </c>
      <c r="AS173" s="4" t="e">
        <f ca="1">As_lado(HC[[#This Row],[nE]],HC[[#This Row],[Nsd (kN)]],HC[[#This Row],[d (cm)]],HC[[#This Row],[e (cm)]],HC[[#This Row],[ap,eq (cm)]])</f>
        <v>#VALUE!</v>
      </c>
      <c r="AT173" s="4" t="e">
        <f ca="1">IF(HC[[#This Row],[nE]]=1,HC[[#This Row],[As,lado (cm²)]],IF(HC[[#This Row],[nE]]=2,0.075*2*HC[a (cm)],"N.A."))</f>
        <v>#DIV/0!</v>
      </c>
      <c r="AU173" s="4" t="str">
        <f ca="1">IFERROR(IF(HC[[#This Row],[nE]]=1,"N.A.",0.2*HC[[#This Row],[As,lado (cm²)]]),"N.S.")</f>
        <v>N.S.</v>
      </c>
      <c r="AV173" s="4" t="e">
        <f ca="1">As_malha(HC[[#This Row],[nE]],HC[[#This Row],[As,lado (cm²)]],HC[[#This Row],[Nsd (kN)]])</f>
        <v>#VALUE!</v>
      </c>
      <c r="AW173" s="4" t="e">
        <f ca="1">As_susp_tot(HC[[#This Row],[nE]],HC[[#This Row],[Nsd (kN)]])</f>
        <v>#VALUE!</v>
      </c>
      <c r="AX173" s="4" t="e">
        <f ca="1">Asp_face(HC[[#This Row],[nE]],HC[[#This Row],[As,lado (cm²)]])</f>
        <v>#VALUE!</v>
      </c>
      <c r="AY173" s="5" t="e">
        <f ca="1">acoBloco(HC[[#This Row],[nE]],HC[[#This Row],[e (cm)]],HC[[#This Row],[a (cm)]],HC[[#This Row],[h (cm)]],HC[[#This Row],[As,lado (cm²)]],HC[[#This Row],[Asp e Asw (cm²/m)]],HC[[#This Row],[As,sup (cm²)]],HC[[#This Row],[As,malha (cm²)]],HC[[#This Row],[As,susp,tot (cm²)]],HC[[#This Row],[Asp,face (cm²)]])</f>
        <v>#VALUE!</v>
      </c>
      <c r="AZ173" s="4" t="e">
        <f ca="1">concretoBloco(HC[[#This Row],[nE]],HC[[#This Row],[e (cm)]],HC[[#This Row],[a (cm)]],HC[[#This Row],[h (cm)]])</f>
        <v>#VALUE!</v>
      </c>
      <c r="BA173" s="5" t="e">
        <f ca="1">SUM(HC[[#This Row],[Aço Est (kg)]],HC[[#This Row],[Aço Bloco (kg)]])</f>
        <v>#DIV/0!</v>
      </c>
      <c r="BB173" s="4">
        <f>INDEX(composicoes[],MATCH(95580,composicoes[CÓDIGO],0),MATCH("CUSTO TOTAL",composicoes[#Headers],0))</f>
        <v>10.46</v>
      </c>
      <c r="BC173" s="4" t="e">
        <f ca="1">SUM(HC[[#This Row],[Conc Est (m³)]],HC[[#This Row],[Conc Bloco (m³)]])</f>
        <v>#DIV/0!</v>
      </c>
      <c r="BD173" s="4">
        <f>INDEX(composicoes[],MATCH(94966,composicoes[CÓDIGO],0),MATCH("CUSTO TOTAL",composicoes[#Headers],0))</f>
        <v>439.52</v>
      </c>
      <c r="BE173" s="38" t="e">
        <f ca="1">HC[[#This Row],[Aço (kg)]]*HC[[#This Row],[Aço (R$/kg)]]+HC[[#This Row],[Conc (m³)]]*HC[[#This Row],[Conc (R$/m³)]]</f>
        <v>#DIV/0!</v>
      </c>
      <c r="BF173" s="4" t="str">
        <f ca="1">IF(COUNTIF(HC[#This Row],"N.S.")&gt;0,"lim.","OK")</f>
        <v>lim.</v>
      </c>
      <c r="BG173" s="4" t="str">
        <f>IF(HC[[#This Row],[Prof. (m)]]&lt;4,"lim.","OK")</f>
        <v>lim.</v>
      </c>
      <c r="BH173" s="4" t="str">
        <f>IF(HC[[#This Row],[Prof. (m)]]&gt;=8*HC[[#This Row],[Ø (cm)]]/100,"OK","lim.")</f>
        <v>lim.</v>
      </c>
      <c r="BI173" s="4" t="str">
        <f ca="1">IF(HC[[#This Row],[Verif. Biela]]="OK","OK","lim.")</f>
        <v>OK</v>
      </c>
      <c r="BJ173" s="4" t="str">
        <f ca="1">IF(COUNTA(HC[[#This Row],[Nº Est.]:[Biela comp.]])=COUNTIF(HC[[#This Row],[Nº Est.]:[Biela comp.]],"OK"),"OK","lim.")</f>
        <v>lim.</v>
      </c>
      <c r="BK173" s="4" t="str">
        <f ca="1">IF(HC[[#This Row],[Controle]]="OK",HC[[#This Row],[nE]]&amp;" Ø"&amp;HC[[#This Row],[Ø (cm)]]&amp;"cm Prof. "&amp;HC[[#This Row],[Prof. (m)]]&amp;" m","")</f>
        <v/>
      </c>
      <c r="BL173" s="4" t="str">
        <f ca="1">IF(HC[[#This Row],[idDimensionamento]]="","",HC[[#This Row],[idPilar]]&amp;HC[[#This Row],[idDimensionamento]])</f>
        <v/>
      </c>
    </row>
    <row r="174" spans="2:64" x14ac:dyDescent="0.25">
      <c r="B174" s="12">
        <f>ROUNDUP((ROW(HC[[#This Row],[idDiâmetro]])-ROW(HC[[#Headers],[idDiâmetro]]))/(COUNT(SPT[Prof. (m)])*COUNT(PILARES[Pilar])),0)</f>
        <v>7</v>
      </c>
      <c r="C174" s="12">
        <f>IF(HC[[#This Row],[idDiâmetro]]&lt;&gt;B173,1,IF(HC[[#This Row],[Prof. (m)]]=0,C173+1,C173))</f>
        <v>1</v>
      </c>
      <c r="D174" s="1">
        <f>IFERROR(IF(D173=MAX(SPT[Prof. (m)]),0,D173+1),0)</f>
        <v>1</v>
      </c>
      <c r="E174" s="1">
        <f>INDEX(SPT[],MATCH(HC[[#This Row],[Prof. (m)]],SPT[Prof. (m)],0),2)</f>
        <v>2</v>
      </c>
      <c r="F174" s="1" t="str">
        <f>INDEX(SPT[],MATCH(HC[[#This Row],[Prof. (m)]],SPT[Prof. (m)],0),3)</f>
        <v>Areia siltosa</v>
      </c>
      <c r="G174" s="1">
        <f>INDEX(estacas[],HC[[#This Row],[idDiâmetro]],MATCH($B$2,estacas[#Headers],0))</f>
        <v>60</v>
      </c>
      <c r="H174" s="1">
        <f>INDEX(estacas[],MATCH(HC[[#This Row],[Ø (cm)]],estacas[Ø HC (cm)],0),MATCH(HC[[#Headers],[Pe HC (kN)]],estacas[#Headers],0))</f>
        <v>1800</v>
      </c>
      <c r="I174" s="4">
        <f>INDEX(K_alpha_C[],MATCH(HC[[#This Row],[Solo]],K_alpha_C[Solo],0),2)</f>
        <v>0.8</v>
      </c>
      <c r="J174" s="5">
        <f>INDEX(K_alpha_C[],MATCH(HC[[#This Row],[Solo]],K_alpha_C[Solo],0),3)</f>
        <v>2</v>
      </c>
      <c r="K174" s="4">
        <f>INDEX(F1_F2[],MATCH($D$2,F1_F2[Tipo de estaca],0),2)</f>
        <v>2</v>
      </c>
      <c r="L174" s="4">
        <f>INDEX(F1_F2[],MATCH($D$2,F1_F2[Tipo de estaca],0),3)</f>
        <v>4</v>
      </c>
      <c r="M174" s="4">
        <f>PI()*(HC[[#This Row],[Ø (cm)]]/100)^2/4</f>
        <v>0.28274333882308139</v>
      </c>
      <c r="N174" s="4">
        <f>PI()*HC[[#This Row],[Ø (cm)]]/100</f>
        <v>1.8849555921538756</v>
      </c>
      <c r="O174" s="4">
        <f>IF(HC[[#This Row],[Prof. (m)]]=0,0,HC[[#This Row],[α (%)]]/100*HC[[#This Row],[K (MPa)]]*1000*HC[[#This Row],[NSPT]])</f>
        <v>32</v>
      </c>
      <c r="P174" s="4">
        <f>IF(HC[[#This Row],[Prof. (m)]]=0,0,(HC[[#This Row],[K (MPa)]]*1000*HC[[#This Row],[NSPT]]/HC[[#This Row],[F1]]*HC[[#This Row],[Ap (m²)]]+HC[[#This Row],[U (m)]]/HC[[#This Row],[F2]]*SUMIFS(HC[(α∙K∙NL∙ΔL)],HC[Prof. (m)],"&lt;="&amp;HC[[#This Row],[Prof. (m)]],HC[idDiâmetro],HC[[#This Row],[idDiâmetro]],HC[idPilar],HC[[#This Row],[idPilar]]))/'DADOS CAP. CARGA'!$D$2)</f>
        <v>120.63715789784806</v>
      </c>
      <c r="Q174" s="12">
        <f>INDEX(C_alpha_beta[],MATCH(HC[[#This Row],[Solo]],C_alpha_beta[Solo],0),MATCH(HC[[#Headers],[C (kPa)]],C_alpha_beta[#Headers],0))</f>
        <v>400</v>
      </c>
      <c r="R174" s="4">
        <f>INDEX(C_alpha_beta[],MATCH(HC[[#This Row],[Solo]],C_alpha_beta[Solo],0),MATCH(HC[[#Headers],[α ESF]],C_alpha_beta[#Headers],0))</f>
        <v>0.5</v>
      </c>
      <c r="S174" s="4">
        <f>INDEX(C_alpha_beta[],MATCH(HC[[#This Row],[Solo]],C_alpha_beta[Solo],0),MATCH(HC[[#Headers],[β ESF]],C_alpha_beta[#Headers],0))</f>
        <v>0.5</v>
      </c>
      <c r="T174" s="4">
        <f>IF(HC[[#This Row],[Prof. (m)]]=0,0,10*(HC[[#This Row],[NSPT]]/3+1))</f>
        <v>16.666666666666664</v>
      </c>
      <c r="U174" s="4">
        <f>(HC[[#This Row],[α ESF]]*HC[[#This Row],[C (kPa)]]*HC[[#This Row],[NSPT]]*HC[[#This Row],[Ap (m²)]])/'DADOS CAP. CARGA'!$Q$2+(HC[[#This Row],[β ESF]]*SUMIFS(HC[10∙(NL/3+1)],HC[Prof. (m)],"&lt;="&amp;HC[[#This Row],[Prof. (m)]],HC[idDiâmetro],HC[[#This Row],[idDiâmetro]],HC[idPilar],HC[[#This Row],[idPilar]])*HC[[#This Row],[U (m)]])/'DADOS CAP. CARGA'!$S$2</f>
        <v>36.128315516282619</v>
      </c>
      <c r="V174" s="4">
        <f>IF(SPT!$M$5=1,MIN(HC[[#This Row],[Pe HC (kN)]],HC[[#This Row],[R_AV (kN)]]),IF(SPT!$M$5=2,MIN(HC[[#This Row],[Pe HC (kN)]],HC[[#This Row],[R_DC (kN)]]),MIN(HC[[#This Row],[Pe HC (kN)]],HC[[#This Row],[R_AV (kN)]],HC[[#This Row],[R_DC (kN)]])))</f>
        <v>36.128315516282619</v>
      </c>
      <c r="W174" s="4">
        <f>INDEX(PILARES[],HC[[#This Row],[idPilar]],MATCH("Carga (kN)",PILARES[#Headers],0))*1.4</f>
        <v>3500</v>
      </c>
      <c r="X174" s="12">
        <f>INDEX(PILARES[],HC[[#This Row],[idPilar]],MATCH(HC[[#Headers],[ap (cm)]],PILARES[#Headers],0))</f>
        <v>60</v>
      </c>
      <c r="Y174" s="12">
        <f>INDEX(PILARES[],HC[[#This Row],[idPilar]],MATCH(HC[[#Headers],[bp (cm)]],PILARES[#Headers],0))</f>
        <v>60</v>
      </c>
      <c r="Z174" s="4">
        <f>SQRT(HC[[#This Row],[ap (cm)]]*HC[[#This Row],[bp (cm)]])</f>
        <v>60</v>
      </c>
      <c r="AA174" s="12">
        <f>HC[[#This Row],[ap (cm)]]*HC[[#This Row],[bp (cm)]]</f>
        <v>3600</v>
      </c>
      <c r="AB174" s="12">
        <f ca="1">IF(HC[[#This Row],[Padm∙ε (kN)]]&gt;=HC[[#This Row],[Padm (kN)]],ROUNDUP(1.05*HC[[#This Row],[Nsd (kN)]]/HC[[#This Row],[Padm (kN)]],0),ROUNDUP(1.05*HC[[#This Row],[Nsd (kN)]]/HC[[#This Row],[Padm (kN)]],0)+1)</f>
        <v>102</v>
      </c>
      <c r="AC174" s="4" t="str">
        <f ca="1">IFERROR(IF(HC[[#This Row],[nE]]=1,HC[[#This Row],[Padm (kN)]],HC[[#This Row],[Padm (kN)]]*HC[[#This Row],[nE]]*INDEX(grupoEstacas[],HC[[#This Row],[nE]],MATCH("ε",grupoEstacas[#Headers],0))),"N.S.")</f>
        <v>N.S.</v>
      </c>
      <c r="AD174" s="4">
        <f ca="1">1.05*HC[[#This Row],[Nsd (kN)]]/(HC[[#This Row],[nE]]*PI()*HC[[#This Row],[Ø (cm)]]^2/4)*10</f>
        <v>0.12742797731213842</v>
      </c>
      <c r="AE174" s="4">
        <f ca="1">IF(HC[[#This Row],[σ (MPa)]]&lt;INDEX(tipoEstaca[],MATCH($D$2,tipoEstaca[TIPO DE ESTACA],0),MATCH("σmáx (MPa)",tipoEstaca[#Headers],0)),0.4%*PI()*HC[[#This Row],[Ø (cm)]]^2/4,"N.S.")</f>
        <v>11.309733552923255</v>
      </c>
      <c r="AF174" s="1">
        <f>INDEX(tipoEstaca[],MATCH($D$2,tipoEstaca[TIPO DE ESTACA],0),MATCH(HC[[#Headers],[Comprimento (m)]],tipoEstaca[#Headers],0))</f>
        <v>4</v>
      </c>
      <c r="AG174" s="5">
        <f ca="1">HC[[#This Row],[As,mín (cm²)]]/100^2*HC[[#This Row],[Comprimento (m)]]*7850</f>
        <v>35.512563356179022</v>
      </c>
      <c r="AH174" s="4">
        <f ca="1">HC[[#This Row],[nE]]*HC[[#This Row],[Prof. (m)]]*HC[[#This Row],[Ap (m²)]]</f>
        <v>28.839820559954301</v>
      </c>
      <c r="AI174" s="1">
        <f ca="1">IF(HC[[#This Row],[nE]]=1,0,MAX(3*HC[[#This Row],[Ø (cm)]],60))</f>
        <v>180</v>
      </c>
      <c r="AJ174" s="1">
        <f ca="1">IF(HC[[#This Row],[nE]]=1,HC[[#This Row],[Ø (cm)]]+2*10,MAX(1.5*HC[[#This Row],[Ø (cm)]],HC[[#This Row],[Ø (cm)]]+15))</f>
        <v>90</v>
      </c>
      <c r="AK174" s="1" t="str">
        <f ca="1">alturaUtil(HC[[#This Row],[nE]],HC[[#This Row],[Ø (cm)]],HC[[#This Row],[e (cm)]],HC[[#This Row],[ap,eq (cm)]])</f>
        <v>N.S.</v>
      </c>
      <c r="AL174" s="1" t="str">
        <f ca="1">IFERROR(HC[[#This Row],[d (cm)]]+arredondarParaCimaMultiplo5cm(MAX(5,SQRT(PI())/2*HC[[#This Row],[Ø (cm)]]/5)),"N.S.")</f>
        <v>N.S.</v>
      </c>
      <c r="AM174" s="5" t="str">
        <f ca="1">alpha(HC[[#This Row],[nE]],HC[[#This Row],[d (cm)]],HC[[#This Row],[e (cm)]],HC[[#This Row],[ap,eq (cm)]])</f>
        <v>N.S.</v>
      </c>
      <c r="AN174" s="35" t="str">
        <f ca="1">IFERROR(HC[[#This Row],[Nsd (kN)]]/(HC[[#This Row],[Ap (cm²)]]*SIN(HC[[#This Row],[α]])^2),"N.S.")</f>
        <v>N.S.</v>
      </c>
      <c r="AO174" s="35" t="str">
        <f ca="1">IFERROR(HC[[#This Row],[Nsd (kN)]]/(HC[[#This Row],[nE]]*PI()*HC[[#This Row],[Ø (cm)]]^2/4*SIN(HC[[#This Row],[α]])^2),"N.S.")</f>
        <v>N.S.</v>
      </c>
      <c r="AP174" s="4" t="str">
        <f ca="1">IFERROR(INDEX(grupoEstacas[],HC[[#This Row],[nE]],MATCH("coef. Blévot",grupoEstacas[#Headers],0)),"N.S.")</f>
        <v>N.S.</v>
      </c>
      <c r="AQ174" s="35" t="str">
        <f ca="1">IFERROR(HC[[#This Row],[coef. Blévot]]*0.9*INDEX(tipoEstaca[],MATCH($D$2,tipoEstaca[TIPO DE ESTACA],0),MATCH("fcd (kN/cm²)",tipoEstaca[#Headers],0)),"N.S.")</f>
        <v>N.S.</v>
      </c>
      <c r="AR174" s="1" t="str">
        <f ca="1">IF(AND(HC[[#This Row],[cd,b,pil (kN/cm²)]]&lt;=HC[[#This Row],[cd,b,lim (kN/cm²)]],HC[[#This Row],[cd,b,est (kN/cm²)]]&lt;=HC[[#This Row],[cd,b,lim (kN/cm²)]]),"OK","ERRO")</f>
        <v>OK</v>
      </c>
      <c r="AS174" s="4" t="str">
        <f ca="1">As_lado(HC[[#This Row],[nE]],HC[[#This Row],[Nsd (kN)]],HC[[#This Row],[d (cm)]],HC[[#This Row],[e (cm)]],HC[[#This Row],[ap,eq (cm)]])</f>
        <v>N.S.</v>
      </c>
      <c r="AT174" s="4" t="str">
        <f ca="1">IF(HC[[#This Row],[nE]]=1,HC[[#This Row],[As,lado (cm²)]],IF(HC[[#This Row],[nE]]=2,0.075*2*HC[a (cm)],"N.A."))</f>
        <v>N.A.</v>
      </c>
      <c r="AU174" s="4" t="str">
        <f ca="1">IFERROR(IF(HC[[#This Row],[nE]]=1,"N.A.",0.2*HC[[#This Row],[As,lado (cm²)]]),"N.S.")</f>
        <v>N.S.</v>
      </c>
      <c r="AV174" s="4" t="str">
        <f ca="1">As_malha(HC[[#This Row],[nE]],HC[[#This Row],[As,lado (cm²)]],HC[[#This Row],[Nsd (kN)]])</f>
        <v>N.S.</v>
      </c>
      <c r="AW174" s="4" t="str">
        <f ca="1">As_susp_tot(HC[[#This Row],[nE]],HC[[#This Row],[Nsd (kN)]])</f>
        <v>N.S.</v>
      </c>
      <c r="AX174" s="4" t="str">
        <f ca="1">Asp_face(HC[[#This Row],[nE]],HC[[#This Row],[As,lado (cm²)]])</f>
        <v>N.S.</v>
      </c>
      <c r="AY174" s="5" t="str">
        <f ca="1">acoBloco(HC[[#This Row],[nE]],HC[[#This Row],[e (cm)]],HC[[#This Row],[a (cm)]],HC[[#This Row],[h (cm)]],HC[[#This Row],[As,lado (cm²)]],HC[[#This Row],[Asp e Asw (cm²/m)]],HC[[#This Row],[As,sup (cm²)]],HC[[#This Row],[As,malha (cm²)]],HC[[#This Row],[As,susp,tot (cm²)]],HC[[#This Row],[Asp,face (cm²)]])</f>
        <v>N.S.</v>
      </c>
      <c r="AZ174" s="4" t="str">
        <f ca="1">concretoBloco(HC[[#This Row],[nE]],HC[[#This Row],[e (cm)]],HC[[#This Row],[a (cm)]],HC[[#This Row],[h (cm)]])</f>
        <v>N.S.</v>
      </c>
      <c r="BA174" s="5">
        <f ca="1">SUM(HC[[#This Row],[Aço Est (kg)]],HC[[#This Row],[Aço Bloco (kg)]])</f>
        <v>35.512563356179022</v>
      </c>
      <c r="BB174" s="4">
        <f>INDEX(composicoes[],MATCH(95580,composicoes[CÓDIGO],0),MATCH("CUSTO TOTAL",composicoes[#Headers],0))</f>
        <v>10.46</v>
      </c>
      <c r="BC174" s="4">
        <f ca="1">SUM(HC[[#This Row],[Conc Est (m³)]],HC[[#This Row],[Conc Bloco (m³)]])</f>
        <v>28.839820559954301</v>
      </c>
      <c r="BD174" s="4">
        <f>INDEX(composicoes[],MATCH(94966,composicoes[CÓDIGO],0),MATCH("CUSTO TOTAL",composicoes[#Headers],0))</f>
        <v>439.52</v>
      </c>
      <c r="BE174" s="38">
        <f ca="1">HC[[#This Row],[Aço (kg)]]*HC[[#This Row],[Aço (R$/kg)]]+HC[[#This Row],[Conc (m³)]]*HC[[#This Row],[Conc (R$/m³)]]</f>
        <v>13047.139345216747</v>
      </c>
      <c r="BF174" s="4" t="str">
        <f ca="1">IF(COUNTIF(HC[#This Row],"N.S.")&gt;0,"lim.","OK")</f>
        <v>lim.</v>
      </c>
      <c r="BG174" s="4" t="str">
        <f>IF(HC[[#This Row],[Prof. (m)]]&lt;4,"lim.","OK")</f>
        <v>lim.</v>
      </c>
      <c r="BH174" s="4" t="str">
        <f>IF(HC[[#This Row],[Prof. (m)]]&gt;=8*HC[[#This Row],[Ø (cm)]]/100,"OK","lim.")</f>
        <v>lim.</v>
      </c>
      <c r="BI174" s="4" t="str">
        <f ca="1">IF(HC[[#This Row],[Verif. Biela]]="OK","OK","lim.")</f>
        <v>OK</v>
      </c>
      <c r="BJ174" s="4" t="str">
        <f ca="1">IF(COUNTA(HC[[#This Row],[Nº Est.]:[Biela comp.]])=COUNTIF(HC[[#This Row],[Nº Est.]:[Biela comp.]],"OK"),"OK","lim.")</f>
        <v>lim.</v>
      </c>
      <c r="BK174" s="4" t="str">
        <f ca="1">IF(HC[[#This Row],[Controle]]="OK",HC[[#This Row],[nE]]&amp;" Ø"&amp;HC[[#This Row],[Ø (cm)]]&amp;"cm Prof. "&amp;HC[[#This Row],[Prof. (m)]]&amp;" m","")</f>
        <v/>
      </c>
      <c r="BL174" s="4" t="str">
        <f ca="1">IF(HC[[#This Row],[idDimensionamento]]="","",HC[[#This Row],[idPilar]]&amp;HC[[#This Row],[idDimensionamento]])</f>
        <v/>
      </c>
    </row>
    <row r="175" spans="2:64" x14ac:dyDescent="0.25">
      <c r="B175" s="12">
        <f>ROUNDUP((ROW(HC[[#This Row],[idDiâmetro]])-ROW(HC[[#Headers],[idDiâmetro]]))/(COUNT(SPT[Prof. (m)])*COUNT(PILARES[Pilar])),0)</f>
        <v>7</v>
      </c>
      <c r="C175" s="12">
        <f>IF(HC[[#This Row],[idDiâmetro]]&lt;&gt;B174,1,IF(HC[[#This Row],[Prof. (m)]]=0,C174+1,C174))</f>
        <v>1</v>
      </c>
      <c r="D175" s="1">
        <f>IFERROR(IF(D174=MAX(SPT[Prof. (m)]),0,D174+1),0)</f>
        <v>2</v>
      </c>
      <c r="E175" s="1">
        <f>INDEX(SPT[],MATCH(HC[[#This Row],[Prof. (m)]],SPT[Prof. (m)],0),2)</f>
        <v>2</v>
      </c>
      <c r="F175" s="1" t="str">
        <f>INDEX(SPT[],MATCH(HC[[#This Row],[Prof. (m)]],SPT[Prof. (m)],0),3)</f>
        <v>Areia siltosa</v>
      </c>
      <c r="G175" s="1">
        <f>INDEX(estacas[],HC[[#This Row],[idDiâmetro]],MATCH($B$2,estacas[#Headers],0))</f>
        <v>60</v>
      </c>
      <c r="H175" s="1">
        <f>INDEX(estacas[],MATCH(HC[[#This Row],[Ø (cm)]],estacas[Ø HC (cm)],0),MATCH(HC[[#Headers],[Pe HC (kN)]],estacas[#Headers],0))</f>
        <v>1800</v>
      </c>
      <c r="I175" s="4">
        <f>INDEX(K_alpha_C[],MATCH(HC[[#This Row],[Solo]],K_alpha_C[Solo],0),2)</f>
        <v>0.8</v>
      </c>
      <c r="J175" s="5">
        <f>INDEX(K_alpha_C[],MATCH(HC[[#This Row],[Solo]],K_alpha_C[Solo],0),3)</f>
        <v>2</v>
      </c>
      <c r="K175" s="4">
        <f>INDEX(F1_F2[],MATCH($D$2,F1_F2[Tipo de estaca],0),2)</f>
        <v>2</v>
      </c>
      <c r="L175" s="4">
        <f>INDEX(F1_F2[],MATCH($D$2,F1_F2[Tipo de estaca],0),3)</f>
        <v>4</v>
      </c>
      <c r="M175" s="4">
        <f>PI()*(HC[[#This Row],[Ø (cm)]]/100)^2/4</f>
        <v>0.28274333882308139</v>
      </c>
      <c r="N175" s="4">
        <f>PI()*HC[[#This Row],[Ø (cm)]]/100</f>
        <v>1.8849555921538756</v>
      </c>
      <c r="O175" s="4">
        <f>IF(HC[[#This Row],[Prof. (m)]]=0,0,HC[[#This Row],[α (%)]]/100*HC[[#This Row],[K (MPa)]]*1000*HC[[#This Row],[NSPT]])</f>
        <v>32</v>
      </c>
      <c r="P175" s="4">
        <f>IF(HC[[#This Row],[Prof. (m)]]=0,0,(HC[[#This Row],[K (MPa)]]*1000*HC[[#This Row],[NSPT]]/HC[[#This Row],[F1]]*HC[[#This Row],[Ap (m²)]]+HC[[#This Row],[U (m)]]/HC[[#This Row],[F2]]*SUMIFS(HC[(α∙K∙NL∙ΔL)],HC[Prof. (m)],"&lt;="&amp;HC[[#This Row],[Prof. (m)]],HC[idDiâmetro],HC[[#This Row],[idDiâmetro]],HC[idPilar],HC[[#This Row],[idPilar]]))/'DADOS CAP. CARGA'!$D$2)</f>
        <v>128.17698026646354</v>
      </c>
      <c r="Q175" s="12">
        <f>INDEX(C_alpha_beta[],MATCH(HC[[#This Row],[Solo]],C_alpha_beta[Solo],0),MATCH(HC[[#Headers],[C (kPa)]],C_alpha_beta[#Headers],0))</f>
        <v>400</v>
      </c>
      <c r="R175" s="4">
        <f>INDEX(C_alpha_beta[],MATCH(HC[[#This Row],[Solo]],C_alpha_beta[Solo],0),MATCH(HC[[#Headers],[α ESF]],C_alpha_beta[#Headers],0))</f>
        <v>0.5</v>
      </c>
      <c r="S175" s="4">
        <f>INDEX(C_alpha_beta[],MATCH(HC[[#This Row],[Solo]],C_alpha_beta[Solo],0),MATCH(HC[[#Headers],[β ESF]],C_alpha_beta[#Headers],0))</f>
        <v>0.5</v>
      </c>
      <c r="T175" s="4">
        <f>IF(HC[[#This Row],[Prof. (m)]]=0,0,10*(HC[[#This Row],[NSPT]]/3+1))</f>
        <v>16.666666666666664</v>
      </c>
      <c r="U175" s="4">
        <f>(HC[[#This Row],[α ESF]]*HC[[#This Row],[C (kPa)]]*HC[[#This Row],[NSPT]]*HC[[#This Row],[Ap (m²)]])/'DADOS CAP. CARGA'!$Q$2+(HC[[#This Row],[β ESF]]*SUMIFS(HC[10∙(NL/3+1)],HC[Prof. (m)],"&lt;="&amp;HC[[#This Row],[Prof. (m)]],HC[idDiâmetro],HC[[#This Row],[idDiâmetro]],HC[idPilar],HC[[#This Row],[idPilar]])*HC[[#This Row],[U (m)]])/'DADOS CAP. CARGA'!$S$2</f>
        <v>43.982297150257097</v>
      </c>
      <c r="V175" s="4">
        <f>IF(SPT!$M$5=1,MIN(HC[[#This Row],[Pe HC (kN)]],HC[[#This Row],[R_AV (kN)]]),IF(SPT!$M$5=2,MIN(HC[[#This Row],[Pe HC (kN)]],HC[[#This Row],[R_DC (kN)]]),MIN(HC[[#This Row],[Pe HC (kN)]],HC[[#This Row],[R_AV (kN)]],HC[[#This Row],[R_DC (kN)]])))</f>
        <v>43.982297150257097</v>
      </c>
      <c r="W175" s="4">
        <f>INDEX(PILARES[],HC[[#This Row],[idPilar]],MATCH("Carga (kN)",PILARES[#Headers],0))*1.4</f>
        <v>3500</v>
      </c>
      <c r="X175" s="12">
        <f>INDEX(PILARES[],HC[[#This Row],[idPilar]],MATCH(HC[[#Headers],[ap (cm)]],PILARES[#Headers],0))</f>
        <v>60</v>
      </c>
      <c r="Y175" s="12">
        <f>INDEX(PILARES[],HC[[#This Row],[idPilar]],MATCH(HC[[#Headers],[bp (cm)]],PILARES[#Headers],0))</f>
        <v>60</v>
      </c>
      <c r="Z175" s="4">
        <f>SQRT(HC[[#This Row],[ap (cm)]]*HC[[#This Row],[bp (cm)]])</f>
        <v>60</v>
      </c>
      <c r="AA175" s="12">
        <f>HC[[#This Row],[ap (cm)]]*HC[[#This Row],[bp (cm)]]</f>
        <v>3600</v>
      </c>
      <c r="AB175" s="12">
        <f ca="1">IF(HC[[#This Row],[Padm∙ε (kN)]]&gt;=HC[[#This Row],[Padm (kN)]],ROUNDUP(1.05*HC[[#This Row],[Nsd (kN)]]/HC[[#This Row],[Padm (kN)]],0),ROUNDUP(1.05*HC[[#This Row],[Nsd (kN)]]/HC[[#This Row],[Padm (kN)]],0)+1)</f>
        <v>84</v>
      </c>
      <c r="AC175" s="4" t="str">
        <f ca="1">IFERROR(IF(HC[[#This Row],[nE]]=1,HC[[#This Row],[Padm (kN)]],HC[[#This Row],[Padm (kN)]]*HC[[#This Row],[nE]]*INDEX(grupoEstacas[],HC[[#This Row],[nE]],MATCH("ε",grupoEstacas[#Headers],0))),"N.S.")</f>
        <v>N.S.</v>
      </c>
      <c r="AD175" s="4">
        <f ca="1">1.05*HC[[#This Row],[Nsd (kN)]]/(HC[[#This Row],[nE]]*PI()*HC[[#This Row],[Ø (cm)]]^2/4)*10</f>
        <v>0.15473397245045378</v>
      </c>
      <c r="AE175" s="4">
        <f ca="1">IF(HC[[#This Row],[σ (MPa)]]&lt;INDEX(tipoEstaca[],MATCH($D$2,tipoEstaca[TIPO DE ESTACA],0),MATCH("σmáx (MPa)",tipoEstaca[#Headers],0)),0.4%*PI()*HC[[#This Row],[Ø (cm)]]^2/4,"N.S.")</f>
        <v>11.309733552923255</v>
      </c>
      <c r="AF175" s="1">
        <f>INDEX(tipoEstaca[],MATCH($D$2,tipoEstaca[TIPO DE ESTACA],0),MATCH(HC[[#Headers],[Comprimento (m)]],tipoEstaca[#Headers],0))</f>
        <v>4</v>
      </c>
      <c r="AG175" s="5">
        <f ca="1">HC[[#This Row],[As,mín (cm²)]]/100^2*HC[[#This Row],[Comprimento (m)]]*7850</f>
        <v>35.512563356179022</v>
      </c>
      <c r="AH175" s="4">
        <f ca="1">HC[[#This Row],[nE]]*HC[[#This Row],[Prof. (m)]]*HC[[#This Row],[Ap (m²)]]</f>
        <v>47.500880922277673</v>
      </c>
      <c r="AI175" s="1">
        <f ca="1">IF(HC[[#This Row],[nE]]=1,0,MAX(3*HC[[#This Row],[Ø (cm)]],60))</f>
        <v>180</v>
      </c>
      <c r="AJ175" s="1">
        <f ca="1">IF(HC[[#This Row],[nE]]=1,HC[[#This Row],[Ø (cm)]]+2*10,MAX(1.5*HC[[#This Row],[Ø (cm)]],HC[[#This Row],[Ø (cm)]]+15))</f>
        <v>90</v>
      </c>
      <c r="AK175" s="1" t="str">
        <f ca="1">alturaUtil(HC[[#This Row],[nE]],HC[[#This Row],[Ø (cm)]],HC[[#This Row],[e (cm)]],HC[[#This Row],[ap,eq (cm)]])</f>
        <v>N.S.</v>
      </c>
      <c r="AL175" s="1" t="str">
        <f ca="1">IFERROR(HC[[#This Row],[d (cm)]]+arredondarParaCimaMultiplo5cm(MAX(5,SQRT(PI())/2*HC[[#This Row],[Ø (cm)]]/5)),"N.S.")</f>
        <v>N.S.</v>
      </c>
      <c r="AM175" s="5" t="str">
        <f ca="1">alpha(HC[[#This Row],[nE]],HC[[#This Row],[d (cm)]],HC[[#This Row],[e (cm)]],HC[[#This Row],[ap,eq (cm)]])</f>
        <v>N.S.</v>
      </c>
      <c r="AN175" s="35" t="str">
        <f ca="1">IFERROR(HC[[#This Row],[Nsd (kN)]]/(HC[[#This Row],[Ap (cm²)]]*SIN(HC[[#This Row],[α]])^2),"N.S.")</f>
        <v>N.S.</v>
      </c>
      <c r="AO175" s="35" t="str">
        <f ca="1">IFERROR(HC[[#This Row],[Nsd (kN)]]/(HC[[#This Row],[nE]]*PI()*HC[[#This Row],[Ø (cm)]]^2/4*SIN(HC[[#This Row],[α]])^2),"N.S.")</f>
        <v>N.S.</v>
      </c>
      <c r="AP175" s="4" t="str">
        <f ca="1">IFERROR(INDEX(grupoEstacas[],HC[[#This Row],[nE]],MATCH("coef. Blévot",grupoEstacas[#Headers],0)),"N.S.")</f>
        <v>N.S.</v>
      </c>
      <c r="AQ175" s="35" t="str">
        <f ca="1">IFERROR(HC[[#This Row],[coef. Blévot]]*0.9*INDEX(tipoEstaca[],MATCH($D$2,tipoEstaca[TIPO DE ESTACA],0),MATCH("fcd (kN/cm²)",tipoEstaca[#Headers],0)),"N.S.")</f>
        <v>N.S.</v>
      </c>
      <c r="AR175" s="1" t="str">
        <f ca="1">IF(AND(HC[[#This Row],[cd,b,pil (kN/cm²)]]&lt;=HC[[#This Row],[cd,b,lim (kN/cm²)]],HC[[#This Row],[cd,b,est (kN/cm²)]]&lt;=HC[[#This Row],[cd,b,lim (kN/cm²)]]),"OK","ERRO")</f>
        <v>OK</v>
      </c>
      <c r="AS175" s="4" t="str">
        <f ca="1">As_lado(HC[[#This Row],[nE]],HC[[#This Row],[Nsd (kN)]],HC[[#This Row],[d (cm)]],HC[[#This Row],[e (cm)]],HC[[#This Row],[ap,eq (cm)]])</f>
        <v>N.S.</v>
      </c>
      <c r="AT175" s="4" t="str">
        <f ca="1">IF(HC[[#This Row],[nE]]=1,HC[[#This Row],[As,lado (cm²)]],IF(HC[[#This Row],[nE]]=2,0.075*2*HC[a (cm)],"N.A."))</f>
        <v>N.A.</v>
      </c>
      <c r="AU175" s="4" t="str">
        <f ca="1">IFERROR(IF(HC[[#This Row],[nE]]=1,"N.A.",0.2*HC[[#This Row],[As,lado (cm²)]]),"N.S.")</f>
        <v>N.S.</v>
      </c>
      <c r="AV175" s="4" t="str">
        <f ca="1">As_malha(HC[[#This Row],[nE]],HC[[#This Row],[As,lado (cm²)]],HC[[#This Row],[Nsd (kN)]])</f>
        <v>N.S.</v>
      </c>
      <c r="AW175" s="4" t="str">
        <f ca="1">As_susp_tot(HC[[#This Row],[nE]],HC[[#This Row],[Nsd (kN)]])</f>
        <v>N.S.</v>
      </c>
      <c r="AX175" s="4" t="str">
        <f ca="1">Asp_face(HC[[#This Row],[nE]],HC[[#This Row],[As,lado (cm²)]])</f>
        <v>N.S.</v>
      </c>
      <c r="AY175" s="5" t="str">
        <f ca="1">acoBloco(HC[[#This Row],[nE]],HC[[#This Row],[e (cm)]],HC[[#This Row],[a (cm)]],HC[[#This Row],[h (cm)]],HC[[#This Row],[As,lado (cm²)]],HC[[#This Row],[Asp e Asw (cm²/m)]],HC[[#This Row],[As,sup (cm²)]],HC[[#This Row],[As,malha (cm²)]],HC[[#This Row],[As,susp,tot (cm²)]],HC[[#This Row],[Asp,face (cm²)]])</f>
        <v>N.S.</v>
      </c>
      <c r="AZ175" s="4" t="str">
        <f ca="1">concretoBloco(HC[[#This Row],[nE]],HC[[#This Row],[e (cm)]],HC[[#This Row],[a (cm)]],HC[[#This Row],[h (cm)]])</f>
        <v>N.S.</v>
      </c>
      <c r="BA175" s="5">
        <f ca="1">SUM(HC[[#This Row],[Aço Est (kg)]],HC[[#This Row],[Aço Bloco (kg)]])</f>
        <v>35.512563356179022</v>
      </c>
      <c r="BB175" s="4">
        <f>INDEX(composicoes[],MATCH(95580,composicoes[CÓDIGO],0),MATCH("CUSTO TOTAL",composicoes[#Headers],0))</f>
        <v>10.46</v>
      </c>
      <c r="BC175" s="4">
        <f ca="1">SUM(HC[[#This Row],[Conc Est (m³)]],HC[[#This Row],[Conc Bloco (m³)]])</f>
        <v>47.500880922277673</v>
      </c>
      <c r="BD175" s="4">
        <f>INDEX(composicoes[],MATCH(94966,composicoes[CÓDIGO],0),MATCH("CUSTO TOTAL",composicoes[#Headers],0))</f>
        <v>439.52</v>
      </c>
      <c r="BE175" s="38">
        <f ca="1">HC[[#This Row],[Aço (kg)]]*HC[[#This Row],[Aço (R$/kg)]]+HC[[#This Row],[Conc (m³)]]*HC[[#This Row],[Conc (R$/m³)]]</f>
        <v>21249.048595665117</v>
      </c>
      <c r="BF175" s="4" t="str">
        <f ca="1">IF(COUNTIF(HC[#This Row],"N.S.")&gt;0,"lim.","OK")</f>
        <v>lim.</v>
      </c>
      <c r="BG175" s="4" t="str">
        <f>IF(HC[[#This Row],[Prof. (m)]]&lt;4,"lim.","OK")</f>
        <v>lim.</v>
      </c>
      <c r="BH175" s="4" t="str">
        <f>IF(HC[[#This Row],[Prof. (m)]]&gt;=8*HC[[#This Row],[Ø (cm)]]/100,"OK","lim.")</f>
        <v>lim.</v>
      </c>
      <c r="BI175" s="4" t="str">
        <f ca="1">IF(HC[[#This Row],[Verif. Biela]]="OK","OK","lim.")</f>
        <v>OK</v>
      </c>
      <c r="BJ175" s="4" t="str">
        <f ca="1">IF(COUNTA(HC[[#This Row],[Nº Est.]:[Biela comp.]])=COUNTIF(HC[[#This Row],[Nº Est.]:[Biela comp.]],"OK"),"OK","lim.")</f>
        <v>lim.</v>
      </c>
      <c r="BK175" s="4" t="str">
        <f ca="1">IF(HC[[#This Row],[Controle]]="OK",HC[[#This Row],[nE]]&amp;" Ø"&amp;HC[[#This Row],[Ø (cm)]]&amp;"cm Prof. "&amp;HC[[#This Row],[Prof. (m)]]&amp;" m","")</f>
        <v/>
      </c>
      <c r="BL175" s="4" t="str">
        <f ca="1">IF(HC[[#This Row],[idDimensionamento]]="","",HC[[#This Row],[idPilar]]&amp;HC[[#This Row],[idDimensionamento]])</f>
        <v/>
      </c>
    </row>
    <row r="176" spans="2:64" x14ac:dyDescent="0.25">
      <c r="B176" s="12">
        <f>ROUNDUP((ROW(HC[[#This Row],[idDiâmetro]])-ROW(HC[[#Headers],[idDiâmetro]]))/(COUNT(SPT[Prof. (m)])*COUNT(PILARES[Pilar])),0)</f>
        <v>7</v>
      </c>
      <c r="C176" s="12">
        <f>IF(HC[[#This Row],[idDiâmetro]]&lt;&gt;B175,1,IF(HC[[#This Row],[Prof. (m)]]=0,C175+1,C175))</f>
        <v>1</v>
      </c>
      <c r="D176" s="1">
        <f>IFERROR(IF(D175=MAX(SPT[Prof. (m)]),0,D175+1),0)</f>
        <v>3</v>
      </c>
      <c r="E176" s="1">
        <f>INDEX(SPT[],MATCH(HC[[#This Row],[Prof. (m)]],SPT[Prof. (m)],0),2)</f>
        <v>4</v>
      </c>
      <c r="F176" s="1" t="str">
        <f>INDEX(SPT[],MATCH(HC[[#This Row],[Prof. (m)]],SPT[Prof. (m)],0),3)</f>
        <v>Areia siltosa</v>
      </c>
      <c r="G176" s="1">
        <f>INDEX(estacas[],HC[[#This Row],[idDiâmetro]],MATCH($B$2,estacas[#Headers],0))</f>
        <v>60</v>
      </c>
      <c r="H176" s="1">
        <f>INDEX(estacas[],MATCH(HC[[#This Row],[Ø (cm)]],estacas[Ø HC (cm)],0),MATCH(HC[[#Headers],[Pe HC (kN)]],estacas[#Headers],0))</f>
        <v>1800</v>
      </c>
      <c r="I176" s="4">
        <f>INDEX(K_alpha_C[],MATCH(HC[[#This Row],[Solo]],K_alpha_C[Solo],0),2)</f>
        <v>0.8</v>
      </c>
      <c r="J176" s="5">
        <f>INDEX(K_alpha_C[],MATCH(HC[[#This Row],[Solo]],K_alpha_C[Solo],0),3)</f>
        <v>2</v>
      </c>
      <c r="K176" s="4">
        <f>INDEX(F1_F2[],MATCH($D$2,F1_F2[Tipo de estaca],0),2)</f>
        <v>2</v>
      </c>
      <c r="L176" s="4">
        <f>INDEX(F1_F2[],MATCH($D$2,F1_F2[Tipo de estaca],0),3)</f>
        <v>4</v>
      </c>
      <c r="M176" s="4">
        <f>PI()*(HC[[#This Row],[Ø (cm)]]/100)^2/4</f>
        <v>0.28274333882308139</v>
      </c>
      <c r="N176" s="4">
        <f>PI()*HC[[#This Row],[Ø (cm)]]/100</f>
        <v>1.8849555921538756</v>
      </c>
      <c r="O176" s="4">
        <f>IF(HC[[#This Row],[Prof. (m)]]=0,0,HC[[#This Row],[α (%)]]/100*HC[[#This Row],[K (MPa)]]*1000*HC[[#This Row],[NSPT]])</f>
        <v>64</v>
      </c>
      <c r="P176" s="4">
        <f>IF(HC[[#This Row],[Prof. (m)]]=0,0,(HC[[#This Row],[K (MPa)]]*1000*HC[[#This Row],[NSPT]]/HC[[#This Row],[F1]]*HC[[#This Row],[Ap (m²)]]+HC[[#This Row],[U (m)]]/HC[[#This Row],[F2]]*SUMIFS(HC[(α∙K∙NL∙ΔL)],HC[Prof. (m)],"&lt;="&amp;HC[[#This Row],[Prof. (m)]],HC[idDiâmetro],HC[[#This Row],[idDiâmetro]],HC[idPilar],HC[[#This Row],[idPilar]]))/'DADOS CAP. CARGA'!$D$2)</f>
        <v>256.35396053292709</v>
      </c>
      <c r="Q176" s="12">
        <f>INDEX(C_alpha_beta[],MATCH(HC[[#This Row],[Solo]],C_alpha_beta[Solo],0),MATCH(HC[[#Headers],[C (kPa)]],C_alpha_beta[#Headers],0))</f>
        <v>400</v>
      </c>
      <c r="R176" s="4">
        <f>INDEX(C_alpha_beta[],MATCH(HC[[#This Row],[Solo]],C_alpha_beta[Solo],0),MATCH(HC[[#Headers],[α ESF]],C_alpha_beta[#Headers],0))</f>
        <v>0.5</v>
      </c>
      <c r="S176" s="4">
        <f>INDEX(C_alpha_beta[],MATCH(HC[[#This Row],[Solo]],C_alpha_beta[Solo],0),MATCH(HC[[#Headers],[β ESF]],C_alpha_beta[#Headers],0))</f>
        <v>0.5</v>
      </c>
      <c r="T176" s="4">
        <f>IF(HC[[#This Row],[Prof. (m)]]=0,0,10*(HC[[#This Row],[NSPT]]/3+1))</f>
        <v>23.333333333333329</v>
      </c>
      <c r="U176" s="4">
        <f>(HC[[#This Row],[α ESF]]*HC[[#This Row],[C (kPa)]]*HC[[#This Row],[NSPT]]*HC[[#This Row],[Ap (m²)]])/'DADOS CAP. CARGA'!$Q$2+(HC[[#This Row],[β ESF]]*SUMIFS(HC[10∙(NL/3+1)],HC[Prof. (m)],"&lt;="&amp;HC[[#This Row],[Prof. (m)]],HC[idDiâmetro],HC[[#This Row],[idDiâmetro]],HC[idPilar],HC[[#This Row],[idPilar]])*HC[[#This Row],[U (m)]])/'DADOS CAP. CARGA'!$S$2</f>
        <v>83.252205320129505</v>
      </c>
      <c r="V176" s="4">
        <f>IF(SPT!$M$5=1,MIN(HC[[#This Row],[Pe HC (kN)]],HC[[#This Row],[R_AV (kN)]]),IF(SPT!$M$5=2,MIN(HC[[#This Row],[Pe HC (kN)]],HC[[#This Row],[R_DC (kN)]]),MIN(HC[[#This Row],[Pe HC (kN)]],HC[[#This Row],[R_AV (kN)]],HC[[#This Row],[R_DC (kN)]])))</f>
        <v>83.252205320129505</v>
      </c>
      <c r="W176" s="4">
        <f>INDEX(PILARES[],HC[[#This Row],[idPilar]],MATCH("Carga (kN)",PILARES[#Headers],0))*1.4</f>
        <v>3500</v>
      </c>
      <c r="X176" s="12">
        <f>INDEX(PILARES[],HC[[#This Row],[idPilar]],MATCH(HC[[#Headers],[ap (cm)]],PILARES[#Headers],0))</f>
        <v>60</v>
      </c>
      <c r="Y176" s="12">
        <f>INDEX(PILARES[],HC[[#This Row],[idPilar]],MATCH(HC[[#Headers],[bp (cm)]],PILARES[#Headers],0))</f>
        <v>60</v>
      </c>
      <c r="Z176" s="4">
        <f>SQRT(HC[[#This Row],[ap (cm)]]*HC[[#This Row],[bp (cm)]])</f>
        <v>60</v>
      </c>
      <c r="AA176" s="12">
        <f>HC[[#This Row],[ap (cm)]]*HC[[#This Row],[bp (cm)]]</f>
        <v>3600</v>
      </c>
      <c r="AB176" s="12">
        <f ca="1">IF(HC[[#This Row],[Padm∙ε (kN)]]&gt;=HC[[#This Row],[Padm (kN)]],ROUNDUP(1.05*HC[[#This Row],[Nsd (kN)]]/HC[[#This Row],[Padm (kN)]],0),ROUNDUP(1.05*HC[[#This Row],[Nsd (kN)]]/HC[[#This Row],[Padm (kN)]],0)+1)</f>
        <v>45</v>
      </c>
      <c r="AC176" s="4" t="str">
        <f ca="1">IFERROR(IF(HC[[#This Row],[nE]]=1,HC[[#This Row],[Padm (kN)]],HC[[#This Row],[Padm (kN)]]*HC[[#This Row],[nE]]*INDEX(grupoEstacas[],HC[[#This Row],[nE]],MATCH("ε",grupoEstacas[#Headers],0))),"N.S.")</f>
        <v>N.S.</v>
      </c>
      <c r="AD176" s="4">
        <f ca="1">1.05*HC[[#This Row],[Nsd (kN)]]/(HC[[#This Row],[nE]]*PI()*HC[[#This Row],[Ø (cm)]]^2/4)*10</f>
        <v>0.28883674857418046</v>
      </c>
      <c r="AE176" s="4">
        <f ca="1">IF(HC[[#This Row],[σ (MPa)]]&lt;INDEX(tipoEstaca[],MATCH($D$2,tipoEstaca[TIPO DE ESTACA],0),MATCH("σmáx (MPa)",tipoEstaca[#Headers],0)),0.4%*PI()*HC[[#This Row],[Ø (cm)]]^2/4,"N.S.")</f>
        <v>11.309733552923255</v>
      </c>
      <c r="AF176" s="1">
        <f>INDEX(tipoEstaca[],MATCH($D$2,tipoEstaca[TIPO DE ESTACA],0),MATCH(HC[[#Headers],[Comprimento (m)]],tipoEstaca[#Headers],0))</f>
        <v>4</v>
      </c>
      <c r="AG176" s="5">
        <f ca="1">HC[[#This Row],[As,mín (cm²)]]/100^2*HC[[#This Row],[Comprimento (m)]]*7850</f>
        <v>35.512563356179022</v>
      </c>
      <c r="AH176" s="4">
        <f ca="1">HC[[#This Row],[nE]]*HC[[#This Row],[Prof. (m)]]*HC[[#This Row],[Ap (m²)]]</f>
        <v>38.170350741115989</v>
      </c>
      <c r="AI176" s="1">
        <f ca="1">IF(HC[[#This Row],[nE]]=1,0,MAX(3*HC[[#This Row],[Ø (cm)]],60))</f>
        <v>180</v>
      </c>
      <c r="AJ176" s="1">
        <f ca="1">IF(HC[[#This Row],[nE]]=1,HC[[#This Row],[Ø (cm)]]+2*10,MAX(1.5*HC[[#This Row],[Ø (cm)]],HC[[#This Row],[Ø (cm)]]+15))</f>
        <v>90</v>
      </c>
      <c r="AK176" s="1" t="str">
        <f ca="1">alturaUtil(HC[[#This Row],[nE]],HC[[#This Row],[Ø (cm)]],HC[[#This Row],[e (cm)]],HC[[#This Row],[ap,eq (cm)]])</f>
        <v>N.S.</v>
      </c>
      <c r="AL176" s="1" t="str">
        <f ca="1">IFERROR(HC[[#This Row],[d (cm)]]+arredondarParaCimaMultiplo5cm(MAX(5,SQRT(PI())/2*HC[[#This Row],[Ø (cm)]]/5)),"N.S.")</f>
        <v>N.S.</v>
      </c>
      <c r="AM176" s="5" t="str">
        <f ca="1">alpha(HC[[#This Row],[nE]],HC[[#This Row],[d (cm)]],HC[[#This Row],[e (cm)]],HC[[#This Row],[ap,eq (cm)]])</f>
        <v>N.S.</v>
      </c>
      <c r="AN176" s="35" t="str">
        <f ca="1">IFERROR(HC[[#This Row],[Nsd (kN)]]/(HC[[#This Row],[Ap (cm²)]]*SIN(HC[[#This Row],[α]])^2),"N.S.")</f>
        <v>N.S.</v>
      </c>
      <c r="AO176" s="35" t="str">
        <f ca="1">IFERROR(HC[[#This Row],[Nsd (kN)]]/(HC[[#This Row],[nE]]*PI()*HC[[#This Row],[Ø (cm)]]^2/4*SIN(HC[[#This Row],[α]])^2),"N.S.")</f>
        <v>N.S.</v>
      </c>
      <c r="AP176" s="4" t="str">
        <f ca="1">IFERROR(INDEX(grupoEstacas[],HC[[#This Row],[nE]],MATCH("coef. Blévot",grupoEstacas[#Headers],0)),"N.S.")</f>
        <v>N.S.</v>
      </c>
      <c r="AQ176" s="35" t="str">
        <f ca="1">IFERROR(HC[[#This Row],[coef. Blévot]]*0.9*INDEX(tipoEstaca[],MATCH($D$2,tipoEstaca[TIPO DE ESTACA],0),MATCH("fcd (kN/cm²)",tipoEstaca[#Headers],0)),"N.S.")</f>
        <v>N.S.</v>
      </c>
      <c r="AR176" s="1" t="str">
        <f ca="1">IF(AND(HC[[#This Row],[cd,b,pil (kN/cm²)]]&lt;=HC[[#This Row],[cd,b,lim (kN/cm²)]],HC[[#This Row],[cd,b,est (kN/cm²)]]&lt;=HC[[#This Row],[cd,b,lim (kN/cm²)]]),"OK","ERRO")</f>
        <v>OK</v>
      </c>
      <c r="AS176" s="4" t="str">
        <f ca="1">As_lado(HC[[#This Row],[nE]],HC[[#This Row],[Nsd (kN)]],HC[[#This Row],[d (cm)]],HC[[#This Row],[e (cm)]],HC[[#This Row],[ap,eq (cm)]])</f>
        <v>N.S.</v>
      </c>
      <c r="AT176" s="4" t="str">
        <f ca="1">IF(HC[[#This Row],[nE]]=1,HC[[#This Row],[As,lado (cm²)]],IF(HC[[#This Row],[nE]]=2,0.075*2*HC[a (cm)],"N.A."))</f>
        <v>N.A.</v>
      </c>
      <c r="AU176" s="4" t="str">
        <f ca="1">IFERROR(IF(HC[[#This Row],[nE]]=1,"N.A.",0.2*HC[[#This Row],[As,lado (cm²)]]),"N.S.")</f>
        <v>N.S.</v>
      </c>
      <c r="AV176" s="4" t="str">
        <f ca="1">As_malha(HC[[#This Row],[nE]],HC[[#This Row],[As,lado (cm²)]],HC[[#This Row],[Nsd (kN)]])</f>
        <v>N.S.</v>
      </c>
      <c r="AW176" s="4" t="str">
        <f ca="1">As_susp_tot(HC[[#This Row],[nE]],HC[[#This Row],[Nsd (kN)]])</f>
        <v>N.S.</v>
      </c>
      <c r="AX176" s="4" t="str">
        <f ca="1">Asp_face(HC[[#This Row],[nE]],HC[[#This Row],[As,lado (cm²)]])</f>
        <v>N.S.</v>
      </c>
      <c r="AY176" s="5" t="str">
        <f ca="1">acoBloco(HC[[#This Row],[nE]],HC[[#This Row],[e (cm)]],HC[[#This Row],[a (cm)]],HC[[#This Row],[h (cm)]],HC[[#This Row],[As,lado (cm²)]],HC[[#This Row],[Asp e Asw (cm²/m)]],HC[[#This Row],[As,sup (cm²)]],HC[[#This Row],[As,malha (cm²)]],HC[[#This Row],[As,susp,tot (cm²)]],HC[[#This Row],[Asp,face (cm²)]])</f>
        <v>N.S.</v>
      </c>
      <c r="AZ176" s="4" t="str">
        <f ca="1">concretoBloco(HC[[#This Row],[nE]],HC[[#This Row],[e (cm)]],HC[[#This Row],[a (cm)]],HC[[#This Row],[h (cm)]])</f>
        <v>N.S.</v>
      </c>
      <c r="BA176" s="5">
        <f ca="1">SUM(HC[[#This Row],[Aço Est (kg)]],HC[[#This Row],[Aço Bloco (kg)]])</f>
        <v>35.512563356179022</v>
      </c>
      <c r="BB176" s="4">
        <f>INDEX(composicoes[],MATCH(95580,composicoes[CÓDIGO],0),MATCH("CUSTO TOTAL",composicoes[#Headers],0))</f>
        <v>10.46</v>
      </c>
      <c r="BC176" s="4">
        <f ca="1">SUM(HC[[#This Row],[Conc Est (m³)]],HC[[#This Row],[Conc Bloco (m³)]])</f>
        <v>38.170350741115989</v>
      </c>
      <c r="BD176" s="4">
        <f>INDEX(composicoes[],MATCH(94966,composicoes[CÓDIGO],0),MATCH("CUSTO TOTAL",composicoes[#Headers],0))</f>
        <v>439.52</v>
      </c>
      <c r="BE176" s="38">
        <f ca="1">HC[[#This Row],[Aço (kg)]]*HC[[#This Row],[Aço (R$/kg)]]+HC[[#This Row],[Conc (m³)]]*HC[[#This Row],[Conc (R$/m³)]]</f>
        <v>17148.093970440932</v>
      </c>
      <c r="BF176" s="4" t="str">
        <f ca="1">IF(COUNTIF(HC[#This Row],"N.S.")&gt;0,"lim.","OK")</f>
        <v>lim.</v>
      </c>
      <c r="BG176" s="4" t="str">
        <f>IF(HC[[#This Row],[Prof. (m)]]&lt;4,"lim.","OK")</f>
        <v>lim.</v>
      </c>
      <c r="BH176" s="4" t="str">
        <f>IF(HC[[#This Row],[Prof. (m)]]&gt;=8*HC[[#This Row],[Ø (cm)]]/100,"OK","lim.")</f>
        <v>lim.</v>
      </c>
      <c r="BI176" s="4" t="str">
        <f ca="1">IF(HC[[#This Row],[Verif. Biela]]="OK","OK","lim.")</f>
        <v>OK</v>
      </c>
      <c r="BJ176" s="4" t="str">
        <f ca="1">IF(COUNTA(HC[[#This Row],[Nº Est.]:[Biela comp.]])=COUNTIF(HC[[#This Row],[Nº Est.]:[Biela comp.]],"OK"),"OK","lim.")</f>
        <v>lim.</v>
      </c>
      <c r="BK176" s="4" t="str">
        <f ca="1">IF(HC[[#This Row],[Controle]]="OK",HC[[#This Row],[nE]]&amp;" Ø"&amp;HC[[#This Row],[Ø (cm)]]&amp;"cm Prof. "&amp;HC[[#This Row],[Prof. (m)]]&amp;" m","")</f>
        <v/>
      </c>
      <c r="BL176" s="4" t="str">
        <f ca="1">IF(HC[[#This Row],[idDimensionamento]]="","",HC[[#This Row],[idPilar]]&amp;HC[[#This Row],[idDimensionamento]])</f>
        <v/>
      </c>
    </row>
    <row r="177" spans="2:64" x14ac:dyDescent="0.25">
      <c r="B177" s="12">
        <f>ROUNDUP((ROW(HC[[#This Row],[idDiâmetro]])-ROW(HC[[#Headers],[idDiâmetro]]))/(COUNT(SPT[Prof. (m)])*COUNT(PILARES[Pilar])),0)</f>
        <v>7</v>
      </c>
      <c r="C177" s="12">
        <f>IF(HC[[#This Row],[idDiâmetro]]&lt;&gt;B176,1,IF(HC[[#This Row],[Prof. (m)]]=0,C176+1,C176))</f>
        <v>1</v>
      </c>
      <c r="D177" s="1">
        <f>IFERROR(IF(D176=MAX(SPT[Prof. (m)]),0,D176+1),0)</f>
        <v>4</v>
      </c>
      <c r="E177" s="1">
        <f>INDEX(SPT[],MATCH(HC[[#This Row],[Prof. (m)]],SPT[Prof. (m)],0),2)</f>
        <v>8</v>
      </c>
      <c r="F177" s="1" t="str">
        <f>INDEX(SPT[],MATCH(HC[[#This Row],[Prof. (m)]],SPT[Prof. (m)],0),3)</f>
        <v>Areia siltosa</v>
      </c>
      <c r="G177" s="1">
        <f>INDEX(estacas[],HC[[#This Row],[idDiâmetro]],MATCH($B$2,estacas[#Headers],0))</f>
        <v>60</v>
      </c>
      <c r="H177" s="1">
        <f>INDEX(estacas[],MATCH(HC[[#This Row],[Ø (cm)]],estacas[Ø HC (cm)],0),MATCH(HC[[#Headers],[Pe HC (kN)]],estacas[#Headers],0))</f>
        <v>1800</v>
      </c>
      <c r="I177" s="4">
        <f>INDEX(K_alpha_C[],MATCH(HC[[#This Row],[Solo]],K_alpha_C[Solo],0),2)</f>
        <v>0.8</v>
      </c>
      <c r="J177" s="5">
        <f>INDEX(K_alpha_C[],MATCH(HC[[#This Row],[Solo]],K_alpha_C[Solo],0),3)</f>
        <v>2</v>
      </c>
      <c r="K177" s="4">
        <f>INDEX(F1_F2[],MATCH($D$2,F1_F2[Tipo de estaca],0),2)</f>
        <v>2</v>
      </c>
      <c r="L177" s="4">
        <f>INDEX(F1_F2[],MATCH($D$2,F1_F2[Tipo de estaca],0),3)</f>
        <v>4</v>
      </c>
      <c r="M177" s="4">
        <f>PI()*(HC[[#This Row],[Ø (cm)]]/100)^2/4</f>
        <v>0.28274333882308139</v>
      </c>
      <c r="N177" s="4">
        <f>PI()*HC[[#This Row],[Ø (cm)]]/100</f>
        <v>1.8849555921538756</v>
      </c>
      <c r="O177" s="4">
        <f>IF(HC[[#This Row],[Prof. (m)]]=0,0,HC[[#This Row],[α (%)]]/100*HC[[#This Row],[K (MPa)]]*1000*HC[[#This Row],[NSPT]])</f>
        <v>128</v>
      </c>
      <c r="P177" s="4">
        <f>IF(HC[[#This Row],[Prof. (m)]]=0,0,(HC[[#This Row],[K (MPa)]]*1000*HC[[#This Row],[NSPT]]/HC[[#This Row],[F1]]*HC[[#This Row],[Ap (m²)]]+HC[[#This Row],[U (m)]]/HC[[#This Row],[F2]]*SUMIFS(HC[(α∙K∙NL∙ΔL)],HC[Prof. (m)],"&lt;="&amp;HC[[#This Row],[Prof. (m)]],HC[idDiâmetro],HC[[#This Row],[idDiâmetro]],HC[idPilar],HC[[#This Row],[idPilar]]))/'DADOS CAP. CARGA'!$D$2)</f>
        <v>512.70792106585418</v>
      </c>
      <c r="Q177" s="12">
        <f>INDEX(C_alpha_beta[],MATCH(HC[[#This Row],[Solo]],C_alpha_beta[Solo],0),MATCH(HC[[#Headers],[C (kPa)]],C_alpha_beta[#Headers],0))</f>
        <v>400</v>
      </c>
      <c r="R177" s="4">
        <f>INDEX(C_alpha_beta[],MATCH(HC[[#This Row],[Solo]],C_alpha_beta[Solo],0),MATCH(HC[[#Headers],[α ESF]],C_alpha_beta[#Headers],0))</f>
        <v>0.5</v>
      </c>
      <c r="S177" s="4">
        <f>INDEX(C_alpha_beta[],MATCH(HC[[#This Row],[Solo]],C_alpha_beta[Solo],0),MATCH(HC[[#Headers],[β ESF]],C_alpha_beta[#Headers],0))</f>
        <v>0.5</v>
      </c>
      <c r="T177" s="4">
        <f>IF(HC[[#This Row],[Prof. (m)]]=0,0,10*(HC[[#This Row],[NSPT]]/3+1))</f>
        <v>36.666666666666664</v>
      </c>
      <c r="U177" s="4">
        <f>(HC[[#This Row],[α ESF]]*HC[[#This Row],[C (kPa)]]*HC[[#This Row],[NSPT]]*HC[[#This Row],[Ap (m²)]])/'DADOS CAP. CARGA'!$Q$2+(HC[[#This Row],[β ESF]]*SUMIFS(HC[10∙(NL/3+1)],HC[Prof. (m)],"&lt;="&amp;HC[[#This Row],[Prof. (m)]],HC[idDiâmetro],HC[[#This Row],[idDiâmetro]],HC[idPilar],HC[[#This Row],[idPilar]])*HC[[#This Row],[U (m)]])/'DADOS CAP. CARGA'!$S$2</f>
        <v>157.07963267948963</v>
      </c>
      <c r="V177" s="4">
        <f>IF(SPT!$M$5=1,MIN(HC[[#This Row],[Pe HC (kN)]],HC[[#This Row],[R_AV (kN)]]),IF(SPT!$M$5=2,MIN(HC[[#This Row],[Pe HC (kN)]],HC[[#This Row],[R_DC (kN)]]),MIN(HC[[#This Row],[Pe HC (kN)]],HC[[#This Row],[R_AV (kN)]],HC[[#This Row],[R_DC (kN)]])))</f>
        <v>157.07963267948963</v>
      </c>
      <c r="W177" s="4">
        <f>INDEX(PILARES[],HC[[#This Row],[idPilar]],MATCH("Carga (kN)",PILARES[#Headers],0))*1.4</f>
        <v>3500</v>
      </c>
      <c r="X177" s="12">
        <f>INDEX(PILARES[],HC[[#This Row],[idPilar]],MATCH(HC[[#Headers],[ap (cm)]],PILARES[#Headers],0))</f>
        <v>60</v>
      </c>
      <c r="Y177" s="12">
        <f>INDEX(PILARES[],HC[[#This Row],[idPilar]],MATCH(HC[[#Headers],[bp (cm)]],PILARES[#Headers],0))</f>
        <v>60</v>
      </c>
      <c r="Z177" s="4">
        <f>SQRT(HC[[#This Row],[ap (cm)]]*HC[[#This Row],[bp (cm)]])</f>
        <v>60</v>
      </c>
      <c r="AA177" s="12">
        <f>HC[[#This Row],[ap (cm)]]*HC[[#This Row],[bp (cm)]]</f>
        <v>3600</v>
      </c>
      <c r="AB177" s="12">
        <f ca="1">IF(HC[[#This Row],[Padm∙ε (kN)]]&gt;=HC[[#This Row],[Padm (kN)]],ROUNDUP(1.05*HC[[#This Row],[Nsd (kN)]]/HC[[#This Row],[Padm (kN)]],0),ROUNDUP(1.05*HC[[#This Row],[Nsd (kN)]]/HC[[#This Row],[Padm (kN)]],0)+1)</f>
        <v>24</v>
      </c>
      <c r="AC177" s="4" t="str">
        <f ca="1">IFERROR(IF(HC[[#This Row],[nE]]=1,HC[[#This Row],[Padm (kN)]],HC[[#This Row],[Padm (kN)]]*HC[[#This Row],[nE]]*INDEX(grupoEstacas[],HC[[#This Row],[nE]],MATCH("ε",grupoEstacas[#Headers],0))),"N.S.")</f>
        <v>N.S.</v>
      </c>
      <c r="AD177" s="4">
        <f ca="1">1.05*HC[[#This Row],[Nsd (kN)]]/(HC[[#This Row],[nE]]*PI()*HC[[#This Row],[Ø (cm)]]^2/4)*10</f>
        <v>0.54156890357658827</v>
      </c>
      <c r="AE177" s="4">
        <f ca="1">IF(HC[[#This Row],[σ (MPa)]]&lt;INDEX(tipoEstaca[],MATCH($D$2,tipoEstaca[TIPO DE ESTACA],0),MATCH("σmáx (MPa)",tipoEstaca[#Headers],0)),0.4%*PI()*HC[[#This Row],[Ø (cm)]]^2/4,"N.S.")</f>
        <v>11.309733552923255</v>
      </c>
      <c r="AF177" s="1">
        <f>INDEX(tipoEstaca[],MATCH($D$2,tipoEstaca[TIPO DE ESTACA],0),MATCH(HC[[#Headers],[Comprimento (m)]],tipoEstaca[#Headers],0))</f>
        <v>4</v>
      </c>
      <c r="AG177" s="5">
        <f ca="1">HC[[#This Row],[As,mín (cm²)]]/100^2*HC[[#This Row],[Comprimento (m)]]*7850</f>
        <v>35.512563356179022</v>
      </c>
      <c r="AH177" s="4">
        <f ca="1">HC[[#This Row],[nE]]*HC[[#This Row],[Prof. (m)]]*HC[[#This Row],[Ap (m²)]]</f>
        <v>27.143360527015815</v>
      </c>
      <c r="AI177" s="1">
        <f ca="1">IF(HC[[#This Row],[nE]]=1,0,MAX(3*HC[[#This Row],[Ø (cm)]],60))</f>
        <v>180</v>
      </c>
      <c r="AJ177" s="1">
        <f ca="1">IF(HC[[#This Row],[nE]]=1,HC[[#This Row],[Ø (cm)]]+2*10,MAX(1.5*HC[[#This Row],[Ø (cm)]],HC[[#This Row],[Ø (cm)]]+15))</f>
        <v>90</v>
      </c>
      <c r="AK177" s="1" t="str">
        <f ca="1">alturaUtil(HC[[#This Row],[nE]],HC[[#This Row],[Ø (cm)]],HC[[#This Row],[e (cm)]],HC[[#This Row],[ap,eq (cm)]])</f>
        <v>N.S.</v>
      </c>
      <c r="AL177" s="1" t="str">
        <f ca="1">IFERROR(HC[[#This Row],[d (cm)]]+arredondarParaCimaMultiplo5cm(MAX(5,SQRT(PI())/2*HC[[#This Row],[Ø (cm)]]/5)),"N.S.")</f>
        <v>N.S.</v>
      </c>
      <c r="AM177" s="5" t="str">
        <f ca="1">alpha(HC[[#This Row],[nE]],HC[[#This Row],[d (cm)]],HC[[#This Row],[e (cm)]],HC[[#This Row],[ap,eq (cm)]])</f>
        <v>N.S.</v>
      </c>
      <c r="AN177" s="35" t="str">
        <f ca="1">IFERROR(HC[[#This Row],[Nsd (kN)]]/(HC[[#This Row],[Ap (cm²)]]*SIN(HC[[#This Row],[α]])^2),"N.S.")</f>
        <v>N.S.</v>
      </c>
      <c r="AO177" s="35" t="str">
        <f ca="1">IFERROR(HC[[#This Row],[Nsd (kN)]]/(HC[[#This Row],[nE]]*PI()*HC[[#This Row],[Ø (cm)]]^2/4*SIN(HC[[#This Row],[α]])^2),"N.S.")</f>
        <v>N.S.</v>
      </c>
      <c r="AP177" s="4" t="str">
        <f ca="1">IFERROR(INDEX(grupoEstacas[],HC[[#This Row],[nE]],MATCH("coef. Blévot",grupoEstacas[#Headers],0)),"N.S.")</f>
        <v>N.S.</v>
      </c>
      <c r="AQ177" s="35" t="str">
        <f ca="1">IFERROR(HC[[#This Row],[coef. Blévot]]*0.9*INDEX(tipoEstaca[],MATCH($D$2,tipoEstaca[TIPO DE ESTACA],0),MATCH("fcd (kN/cm²)",tipoEstaca[#Headers],0)),"N.S.")</f>
        <v>N.S.</v>
      </c>
      <c r="AR177" s="1" t="str">
        <f ca="1">IF(AND(HC[[#This Row],[cd,b,pil (kN/cm²)]]&lt;=HC[[#This Row],[cd,b,lim (kN/cm²)]],HC[[#This Row],[cd,b,est (kN/cm²)]]&lt;=HC[[#This Row],[cd,b,lim (kN/cm²)]]),"OK","ERRO")</f>
        <v>OK</v>
      </c>
      <c r="AS177" s="4" t="str">
        <f ca="1">As_lado(HC[[#This Row],[nE]],HC[[#This Row],[Nsd (kN)]],HC[[#This Row],[d (cm)]],HC[[#This Row],[e (cm)]],HC[[#This Row],[ap,eq (cm)]])</f>
        <v>N.S.</v>
      </c>
      <c r="AT177" s="4" t="str">
        <f ca="1">IF(HC[[#This Row],[nE]]=1,HC[[#This Row],[As,lado (cm²)]],IF(HC[[#This Row],[nE]]=2,0.075*2*HC[a (cm)],"N.A."))</f>
        <v>N.A.</v>
      </c>
      <c r="AU177" s="4" t="str">
        <f ca="1">IFERROR(IF(HC[[#This Row],[nE]]=1,"N.A.",0.2*HC[[#This Row],[As,lado (cm²)]]),"N.S.")</f>
        <v>N.S.</v>
      </c>
      <c r="AV177" s="4" t="str">
        <f ca="1">As_malha(HC[[#This Row],[nE]],HC[[#This Row],[As,lado (cm²)]],HC[[#This Row],[Nsd (kN)]])</f>
        <v>N.S.</v>
      </c>
      <c r="AW177" s="4" t="str">
        <f ca="1">As_susp_tot(HC[[#This Row],[nE]],HC[[#This Row],[Nsd (kN)]])</f>
        <v>N.S.</v>
      </c>
      <c r="AX177" s="4" t="str">
        <f ca="1">Asp_face(HC[[#This Row],[nE]],HC[[#This Row],[As,lado (cm²)]])</f>
        <v>N.S.</v>
      </c>
      <c r="AY177" s="5" t="str">
        <f ca="1">acoBloco(HC[[#This Row],[nE]],HC[[#This Row],[e (cm)]],HC[[#This Row],[a (cm)]],HC[[#This Row],[h (cm)]],HC[[#This Row],[As,lado (cm²)]],HC[[#This Row],[Asp e Asw (cm²/m)]],HC[[#This Row],[As,sup (cm²)]],HC[[#This Row],[As,malha (cm²)]],HC[[#This Row],[As,susp,tot (cm²)]],HC[[#This Row],[Asp,face (cm²)]])</f>
        <v>N.S.</v>
      </c>
      <c r="AZ177" s="4" t="str">
        <f ca="1">concretoBloco(HC[[#This Row],[nE]],HC[[#This Row],[e (cm)]],HC[[#This Row],[a (cm)]],HC[[#This Row],[h (cm)]])</f>
        <v>N.S.</v>
      </c>
      <c r="BA177" s="5">
        <f ca="1">SUM(HC[[#This Row],[Aço Est (kg)]],HC[[#This Row],[Aço Bloco (kg)]])</f>
        <v>35.512563356179022</v>
      </c>
      <c r="BB177" s="4">
        <f>INDEX(composicoes[],MATCH(95580,composicoes[CÓDIGO],0),MATCH("CUSTO TOTAL",composicoes[#Headers],0))</f>
        <v>10.46</v>
      </c>
      <c r="BC177" s="4">
        <f ca="1">SUM(HC[[#This Row],[Conc Est (m³)]],HC[[#This Row],[Conc Bloco (m³)]])</f>
        <v>27.143360527015815</v>
      </c>
      <c r="BD177" s="4">
        <f>INDEX(composicoes[],MATCH(94966,composicoes[CÓDIGO],0),MATCH("CUSTO TOTAL",composicoes[#Headers],0))</f>
        <v>439.52</v>
      </c>
      <c r="BE177" s="38">
        <f ca="1">HC[[#This Row],[Aço (kg)]]*HC[[#This Row],[Aço (R$/kg)]]+HC[[#This Row],[Conc (m³)]]*HC[[#This Row],[Conc (R$/m³)]]</f>
        <v>12301.511231539622</v>
      </c>
      <c r="BF177" s="4" t="str">
        <f ca="1">IF(COUNTIF(HC[#This Row],"N.S.")&gt;0,"lim.","OK")</f>
        <v>lim.</v>
      </c>
      <c r="BG177" s="4" t="str">
        <f>IF(HC[[#This Row],[Prof. (m)]]&lt;4,"lim.","OK")</f>
        <v>OK</v>
      </c>
      <c r="BH177" s="4" t="str">
        <f>IF(HC[[#This Row],[Prof. (m)]]&gt;=8*HC[[#This Row],[Ø (cm)]]/100,"OK","lim.")</f>
        <v>lim.</v>
      </c>
      <c r="BI177" s="4" t="str">
        <f ca="1">IF(HC[[#This Row],[Verif. Biela]]="OK","OK","lim.")</f>
        <v>OK</v>
      </c>
      <c r="BJ177" s="4" t="str">
        <f ca="1">IF(COUNTA(HC[[#This Row],[Nº Est.]:[Biela comp.]])=COUNTIF(HC[[#This Row],[Nº Est.]:[Biela comp.]],"OK"),"OK","lim.")</f>
        <v>lim.</v>
      </c>
      <c r="BK177" s="4" t="str">
        <f ca="1">IF(HC[[#This Row],[Controle]]="OK",HC[[#This Row],[nE]]&amp;" Ø"&amp;HC[[#This Row],[Ø (cm)]]&amp;"cm Prof. "&amp;HC[[#This Row],[Prof. (m)]]&amp;" m","")</f>
        <v/>
      </c>
      <c r="BL177" s="4" t="str">
        <f ca="1">IF(HC[[#This Row],[idDimensionamento]]="","",HC[[#This Row],[idPilar]]&amp;HC[[#This Row],[idDimensionamento]])</f>
        <v/>
      </c>
    </row>
    <row r="178" spans="2:64" x14ac:dyDescent="0.25">
      <c r="B178" s="12">
        <f>ROUNDUP((ROW(HC[[#This Row],[idDiâmetro]])-ROW(HC[[#Headers],[idDiâmetro]]))/(COUNT(SPT[Prof. (m)])*COUNT(PILARES[Pilar])),0)</f>
        <v>7</v>
      </c>
      <c r="C178" s="12">
        <f>IF(HC[[#This Row],[idDiâmetro]]&lt;&gt;B177,1,IF(HC[[#This Row],[Prof. (m)]]=0,C177+1,C177))</f>
        <v>1</v>
      </c>
      <c r="D178" s="1">
        <f>IFERROR(IF(D177=MAX(SPT[Prof. (m)]),0,D177+1),0)</f>
        <v>5</v>
      </c>
      <c r="E178" s="1">
        <f>INDEX(SPT[],MATCH(HC[[#This Row],[Prof. (m)]],SPT[Prof. (m)],0),2)</f>
        <v>17</v>
      </c>
      <c r="F178" s="1" t="str">
        <f>INDEX(SPT[],MATCH(HC[[#This Row],[Prof. (m)]],SPT[Prof. (m)],0),3)</f>
        <v>Areia siltosa</v>
      </c>
      <c r="G178" s="1">
        <f>INDEX(estacas[],HC[[#This Row],[idDiâmetro]],MATCH($B$2,estacas[#Headers],0))</f>
        <v>60</v>
      </c>
      <c r="H178" s="1">
        <f>INDEX(estacas[],MATCH(HC[[#This Row],[Ø (cm)]],estacas[Ø HC (cm)],0),MATCH(HC[[#Headers],[Pe HC (kN)]],estacas[#Headers],0))</f>
        <v>1800</v>
      </c>
      <c r="I178" s="4">
        <f>INDEX(K_alpha_C[],MATCH(HC[[#This Row],[Solo]],K_alpha_C[Solo],0),2)</f>
        <v>0.8</v>
      </c>
      <c r="J178" s="5">
        <f>INDEX(K_alpha_C[],MATCH(HC[[#This Row],[Solo]],K_alpha_C[Solo],0),3)</f>
        <v>2</v>
      </c>
      <c r="K178" s="4">
        <f>INDEX(F1_F2[],MATCH($D$2,F1_F2[Tipo de estaca],0),2)</f>
        <v>2</v>
      </c>
      <c r="L178" s="4">
        <f>INDEX(F1_F2[],MATCH($D$2,F1_F2[Tipo de estaca],0),3)</f>
        <v>4</v>
      </c>
      <c r="M178" s="4">
        <f>PI()*(HC[[#This Row],[Ø (cm)]]/100)^2/4</f>
        <v>0.28274333882308139</v>
      </c>
      <c r="N178" s="4">
        <f>PI()*HC[[#This Row],[Ø (cm)]]/100</f>
        <v>1.8849555921538756</v>
      </c>
      <c r="O178" s="4">
        <f>IF(HC[[#This Row],[Prof. (m)]]=0,0,HC[[#This Row],[α (%)]]/100*HC[[#This Row],[K (MPa)]]*1000*HC[[#This Row],[NSPT]])</f>
        <v>272</v>
      </c>
      <c r="P178" s="4">
        <f>IF(HC[[#This Row],[Prof. (m)]]=0,0,(HC[[#This Row],[K (MPa)]]*1000*HC[[#This Row],[NSPT]]/HC[[#This Row],[F1]]*HC[[#This Row],[Ap (m²)]]+HC[[#This Row],[U (m)]]/HC[[#This Row],[F2]]*SUMIFS(HC[(α∙K∙NL∙ΔL)],HC[Prof. (m)],"&lt;="&amp;HC[[#This Row],[Prof. (m)]],HC[idDiâmetro],HC[[#This Row],[idDiâmetro]],HC[idPilar],HC[[#This Row],[idPilar]]))/'DADOS CAP. CARGA'!$D$2)</f>
        <v>1085.7344210806325</v>
      </c>
      <c r="Q178" s="12">
        <f>INDEX(C_alpha_beta[],MATCH(HC[[#This Row],[Solo]],C_alpha_beta[Solo],0),MATCH(HC[[#Headers],[C (kPa)]],C_alpha_beta[#Headers],0))</f>
        <v>400</v>
      </c>
      <c r="R178" s="4">
        <f>INDEX(C_alpha_beta[],MATCH(HC[[#This Row],[Solo]],C_alpha_beta[Solo],0),MATCH(HC[[#Headers],[α ESF]],C_alpha_beta[#Headers],0))</f>
        <v>0.5</v>
      </c>
      <c r="S178" s="4">
        <f>INDEX(C_alpha_beta[],MATCH(HC[[#This Row],[Solo]],C_alpha_beta[Solo],0),MATCH(HC[[#Headers],[β ESF]],C_alpha_beta[#Headers],0))</f>
        <v>0.5</v>
      </c>
      <c r="T178" s="4">
        <f>IF(HC[[#This Row],[Prof. (m)]]=0,0,10*(HC[[#This Row],[NSPT]]/3+1))</f>
        <v>66.666666666666671</v>
      </c>
      <c r="U178" s="4">
        <f>(HC[[#This Row],[α ESF]]*HC[[#This Row],[C (kPa)]]*HC[[#This Row],[NSPT]]*HC[[#This Row],[Ap (m²)]])/'DADOS CAP. CARGA'!$Q$2+(HC[[#This Row],[β ESF]]*SUMIFS(HC[10∙(NL/3+1)],HC[Prof. (m)],"&lt;="&amp;HC[[#This Row],[Prof. (m)]],HC[idDiâmetro],HC[[#This Row],[idDiâmetro]],HC[idPilar],HC[[#This Row],[idPilar]])*HC[[#This Row],[U (m)]])/'DADOS CAP. CARGA'!$S$2</f>
        <v>315.73006168577422</v>
      </c>
      <c r="V178" s="4">
        <f>IF(SPT!$M$5=1,MIN(HC[[#This Row],[Pe HC (kN)]],HC[[#This Row],[R_AV (kN)]]),IF(SPT!$M$5=2,MIN(HC[[#This Row],[Pe HC (kN)]],HC[[#This Row],[R_DC (kN)]]),MIN(HC[[#This Row],[Pe HC (kN)]],HC[[#This Row],[R_AV (kN)]],HC[[#This Row],[R_DC (kN)]])))</f>
        <v>315.73006168577422</v>
      </c>
      <c r="W178" s="4">
        <f>INDEX(PILARES[],HC[[#This Row],[idPilar]],MATCH("Carga (kN)",PILARES[#Headers],0))*1.4</f>
        <v>3500</v>
      </c>
      <c r="X178" s="12">
        <f>INDEX(PILARES[],HC[[#This Row],[idPilar]],MATCH(HC[[#Headers],[ap (cm)]],PILARES[#Headers],0))</f>
        <v>60</v>
      </c>
      <c r="Y178" s="12">
        <f>INDEX(PILARES[],HC[[#This Row],[idPilar]],MATCH(HC[[#Headers],[bp (cm)]],PILARES[#Headers],0))</f>
        <v>60</v>
      </c>
      <c r="Z178" s="4">
        <f>SQRT(HC[[#This Row],[ap (cm)]]*HC[[#This Row],[bp (cm)]])</f>
        <v>60</v>
      </c>
      <c r="AA178" s="12">
        <f>HC[[#This Row],[ap (cm)]]*HC[[#This Row],[bp (cm)]]</f>
        <v>3600</v>
      </c>
      <c r="AB178" s="12">
        <f ca="1">IF(HC[[#This Row],[Padm∙ε (kN)]]&gt;=HC[[#This Row],[Padm (kN)]],ROUNDUP(1.05*HC[[#This Row],[Nsd (kN)]]/HC[[#This Row],[Padm (kN)]],0),ROUNDUP(1.05*HC[[#This Row],[Nsd (kN)]]/HC[[#This Row],[Padm (kN)]],0)+1)</f>
        <v>12</v>
      </c>
      <c r="AC178" s="4" t="str">
        <f ca="1">IFERROR(IF(HC[[#This Row],[nE]]=1,HC[[#This Row],[Padm (kN)]],HC[[#This Row],[Padm (kN)]]*HC[[#This Row],[nE]]*INDEX(grupoEstacas[],HC[[#This Row],[nE]],MATCH("ε",grupoEstacas[#Headers],0))),"N.S.")</f>
        <v>N.S.</v>
      </c>
      <c r="AD178" s="4">
        <f ca="1">1.05*HC[[#This Row],[Nsd (kN)]]/(HC[[#This Row],[nE]]*PI()*HC[[#This Row],[Ø (cm)]]^2/4)*10</f>
        <v>1.0831378071531765</v>
      </c>
      <c r="AE178" s="4">
        <f ca="1">IF(HC[[#This Row],[σ (MPa)]]&lt;INDEX(tipoEstaca[],MATCH($D$2,tipoEstaca[TIPO DE ESTACA],0),MATCH("σmáx (MPa)",tipoEstaca[#Headers],0)),0.4%*PI()*HC[[#This Row],[Ø (cm)]]^2/4,"N.S.")</f>
        <v>11.309733552923255</v>
      </c>
      <c r="AF178" s="1">
        <f>INDEX(tipoEstaca[],MATCH($D$2,tipoEstaca[TIPO DE ESTACA],0),MATCH(HC[[#Headers],[Comprimento (m)]],tipoEstaca[#Headers],0))</f>
        <v>4</v>
      </c>
      <c r="AG178" s="5">
        <f ca="1">HC[[#This Row],[As,mín (cm²)]]/100^2*HC[[#This Row],[Comprimento (m)]]*7850</f>
        <v>35.512563356179022</v>
      </c>
      <c r="AH178" s="4">
        <f ca="1">HC[[#This Row],[nE]]*HC[[#This Row],[Prof. (m)]]*HC[[#This Row],[Ap (m²)]]</f>
        <v>16.964600329384883</v>
      </c>
      <c r="AI178" s="1">
        <f ca="1">IF(HC[[#This Row],[nE]]=1,0,MAX(3*HC[[#This Row],[Ø (cm)]],60))</f>
        <v>180</v>
      </c>
      <c r="AJ178" s="1">
        <f ca="1">IF(HC[[#This Row],[nE]]=1,HC[[#This Row],[Ø (cm)]]+2*10,MAX(1.5*HC[[#This Row],[Ø (cm)]],HC[[#This Row],[Ø (cm)]]+15))</f>
        <v>90</v>
      </c>
      <c r="AK178" s="1" t="str">
        <f ca="1">alturaUtil(HC[[#This Row],[nE]],HC[[#This Row],[Ø (cm)]],HC[[#This Row],[e (cm)]],HC[[#This Row],[ap,eq (cm)]])</f>
        <v>N.S.</v>
      </c>
      <c r="AL178" s="1" t="str">
        <f ca="1">IFERROR(HC[[#This Row],[d (cm)]]+arredondarParaCimaMultiplo5cm(MAX(5,SQRT(PI())/2*HC[[#This Row],[Ø (cm)]]/5)),"N.S.")</f>
        <v>N.S.</v>
      </c>
      <c r="AM178" s="5" t="str">
        <f ca="1">alpha(HC[[#This Row],[nE]],HC[[#This Row],[d (cm)]],HC[[#This Row],[e (cm)]],HC[[#This Row],[ap,eq (cm)]])</f>
        <v>N.S.</v>
      </c>
      <c r="AN178" s="35" t="str">
        <f ca="1">IFERROR(HC[[#This Row],[Nsd (kN)]]/(HC[[#This Row],[Ap (cm²)]]*SIN(HC[[#This Row],[α]])^2),"N.S.")</f>
        <v>N.S.</v>
      </c>
      <c r="AO178" s="35" t="str">
        <f ca="1">IFERROR(HC[[#This Row],[Nsd (kN)]]/(HC[[#This Row],[nE]]*PI()*HC[[#This Row],[Ø (cm)]]^2/4*SIN(HC[[#This Row],[α]])^2),"N.S.")</f>
        <v>N.S.</v>
      </c>
      <c r="AP178" s="4" t="str">
        <f ca="1">IFERROR(INDEX(grupoEstacas[],HC[[#This Row],[nE]],MATCH("coef. Blévot",grupoEstacas[#Headers],0)),"N.S.")</f>
        <v>N.S.</v>
      </c>
      <c r="AQ178" s="35" t="str">
        <f ca="1">IFERROR(HC[[#This Row],[coef. Blévot]]*0.9*INDEX(tipoEstaca[],MATCH($D$2,tipoEstaca[TIPO DE ESTACA],0),MATCH("fcd (kN/cm²)",tipoEstaca[#Headers],0)),"N.S.")</f>
        <v>N.S.</v>
      </c>
      <c r="AR178" s="1" t="str">
        <f ca="1">IF(AND(HC[[#This Row],[cd,b,pil (kN/cm²)]]&lt;=HC[[#This Row],[cd,b,lim (kN/cm²)]],HC[[#This Row],[cd,b,est (kN/cm²)]]&lt;=HC[[#This Row],[cd,b,lim (kN/cm²)]]),"OK","ERRO")</f>
        <v>OK</v>
      </c>
      <c r="AS178" s="4" t="str">
        <f ca="1">As_lado(HC[[#This Row],[nE]],HC[[#This Row],[Nsd (kN)]],HC[[#This Row],[d (cm)]],HC[[#This Row],[e (cm)]],HC[[#This Row],[ap,eq (cm)]])</f>
        <v>N.S.</v>
      </c>
      <c r="AT178" s="4" t="str">
        <f ca="1">IF(HC[[#This Row],[nE]]=1,HC[[#This Row],[As,lado (cm²)]],IF(HC[[#This Row],[nE]]=2,0.075*2*HC[a (cm)],"N.A."))</f>
        <v>N.A.</v>
      </c>
      <c r="AU178" s="4" t="str">
        <f ca="1">IFERROR(IF(HC[[#This Row],[nE]]=1,"N.A.",0.2*HC[[#This Row],[As,lado (cm²)]]),"N.S.")</f>
        <v>N.S.</v>
      </c>
      <c r="AV178" s="4" t="str">
        <f ca="1">As_malha(HC[[#This Row],[nE]],HC[[#This Row],[As,lado (cm²)]],HC[[#This Row],[Nsd (kN)]])</f>
        <v>N.S.</v>
      </c>
      <c r="AW178" s="4" t="str">
        <f ca="1">As_susp_tot(HC[[#This Row],[nE]],HC[[#This Row],[Nsd (kN)]])</f>
        <v>N.S.</v>
      </c>
      <c r="AX178" s="4" t="str">
        <f ca="1">Asp_face(HC[[#This Row],[nE]],HC[[#This Row],[As,lado (cm²)]])</f>
        <v>N.S.</v>
      </c>
      <c r="AY178" s="5" t="str">
        <f ca="1">acoBloco(HC[[#This Row],[nE]],HC[[#This Row],[e (cm)]],HC[[#This Row],[a (cm)]],HC[[#This Row],[h (cm)]],HC[[#This Row],[As,lado (cm²)]],HC[[#This Row],[Asp e Asw (cm²/m)]],HC[[#This Row],[As,sup (cm²)]],HC[[#This Row],[As,malha (cm²)]],HC[[#This Row],[As,susp,tot (cm²)]],HC[[#This Row],[Asp,face (cm²)]])</f>
        <v>N.S.</v>
      </c>
      <c r="AZ178" s="4" t="str">
        <f ca="1">concretoBloco(HC[[#This Row],[nE]],HC[[#This Row],[e (cm)]],HC[[#This Row],[a (cm)]],HC[[#This Row],[h (cm)]])</f>
        <v>N.S.</v>
      </c>
      <c r="BA178" s="5">
        <f ca="1">SUM(HC[[#This Row],[Aço Est (kg)]],HC[[#This Row],[Aço Bloco (kg)]])</f>
        <v>35.512563356179022</v>
      </c>
      <c r="BB178" s="4">
        <f>INDEX(composicoes[],MATCH(95580,composicoes[CÓDIGO],0),MATCH("CUSTO TOTAL",composicoes[#Headers],0))</f>
        <v>10.46</v>
      </c>
      <c r="BC178" s="4">
        <f ca="1">SUM(HC[[#This Row],[Conc Est (m³)]],HC[[#This Row],[Conc Bloco (m³)]])</f>
        <v>16.964600329384883</v>
      </c>
      <c r="BD178" s="4">
        <f>INDEX(composicoes[],MATCH(94966,composicoes[CÓDIGO],0),MATCH("CUSTO TOTAL",composicoes[#Headers],0))</f>
        <v>439.52</v>
      </c>
      <c r="BE178" s="38">
        <f ca="1">HC[[#This Row],[Aço (kg)]]*HC[[#This Row],[Aço (R$/kg)]]+HC[[#This Row],[Conc (m³)]]*HC[[#This Row],[Conc (R$/m³)]]</f>
        <v>7827.7425494768768</v>
      </c>
      <c r="BF178" s="4" t="str">
        <f ca="1">IF(COUNTIF(HC[#This Row],"N.S.")&gt;0,"lim.","OK")</f>
        <v>lim.</v>
      </c>
      <c r="BG178" s="4" t="str">
        <f>IF(HC[[#This Row],[Prof. (m)]]&lt;4,"lim.","OK")</f>
        <v>OK</v>
      </c>
      <c r="BH178" s="4" t="str">
        <f>IF(HC[[#This Row],[Prof. (m)]]&gt;=8*HC[[#This Row],[Ø (cm)]]/100,"OK","lim.")</f>
        <v>OK</v>
      </c>
      <c r="BI178" s="4" t="str">
        <f ca="1">IF(HC[[#This Row],[Verif. Biela]]="OK","OK","lim.")</f>
        <v>OK</v>
      </c>
      <c r="BJ178" s="4" t="str">
        <f ca="1">IF(COUNTA(HC[[#This Row],[Nº Est.]:[Biela comp.]])=COUNTIF(HC[[#This Row],[Nº Est.]:[Biela comp.]],"OK"),"OK","lim.")</f>
        <v>lim.</v>
      </c>
      <c r="BK178" s="4" t="str">
        <f ca="1">IF(HC[[#This Row],[Controle]]="OK",HC[[#This Row],[nE]]&amp;" Ø"&amp;HC[[#This Row],[Ø (cm)]]&amp;"cm Prof. "&amp;HC[[#This Row],[Prof. (m)]]&amp;" m","")</f>
        <v/>
      </c>
      <c r="BL178" s="4" t="str">
        <f ca="1">IF(HC[[#This Row],[idDimensionamento]]="","",HC[[#This Row],[idPilar]]&amp;HC[[#This Row],[idDimensionamento]])</f>
        <v/>
      </c>
    </row>
    <row r="179" spans="2:64" x14ac:dyDescent="0.25">
      <c r="B179" s="12">
        <f>ROUNDUP((ROW(HC[[#This Row],[idDiâmetro]])-ROW(HC[[#Headers],[idDiâmetro]]))/(COUNT(SPT[Prof. (m)])*COUNT(PILARES[Pilar])),0)</f>
        <v>7</v>
      </c>
      <c r="C179" s="12">
        <f>IF(HC[[#This Row],[idDiâmetro]]&lt;&gt;B178,1,IF(HC[[#This Row],[Prof. (m)]]=0,C178+1,C178))</f>
        <v>1</v>
      </c>
      <c r="D179" s="1">
        <f>IFERROR(IF(D178=MAX(SPT[Prof. (m)]),0,D178+1),0)</f>
        <v>6</v>
      </c>
      <c r="E179" s="1">
        <f>INDEX(SPT[],MATCH(HC[[#This Row],[Prof. (m)]],SPT[Prof. (m)],0),2)</f>
        <v>21</v>
      </c>
      <c r="F179" s="1" t="str">
        <f>INDEX(SPT[],MATCH(HC[[#This Row],[Prof. (m)]],SPT[Prof. (m)],0),3)</f>
        <v>Silte arenoso</v>
      </c>
      <c r="G179" s="1">
        <f>INDEX(estacas[],HC[[#This Row],[idDiâmetro]],MATCH($B$2,estacas[#Headers],0))</f>
        <v>60</v>
      </c>
      <c r="H179" s="1">
        <f>INDEX(estacas[],MATCH(HC[[#This Row],[Ø (cm)]],estacas[Ø HC (cm)],0),MATCH(HC[[#Headers],[Pe HC (kN)]],estacas[#Headers],0))</f>
        <v>1800</v>
      </c>
      <c r="I179" s="4">
        <f>INDEX(K_alpha_C[],MATCH(HC[[#This Row],[Solo]],K_alpha_C[Solo],0),2)</f>
        <v>0.55000000000000004</v>
      </c>
      <c r="J179" s="5">
        <f>INDEX(K_alpha_C[],MATCH(HC[[#This Row],[Solo]],K_alpha_C[Solo],0),3)</f>
        <v>2.2000000000000002</v>
      </c>
      <c r="K179" s="4">
        <f>INDEX(F1_F2[],MATCH($D$2,F1_F2[Tipo de estaca],0),2)</f>
        <v>2</v>
      </c>
      <c r="L179" s="4">
        <f>INDEX(F1_F2[],MATCH($D$2,F1_F2[Tipo de estaca],0),3)</f>
        <v>4</v>
      </c>
      <c r="M179" s="4">
        <f>PI()*(HC[[#This Row],[Ø (cm)]]/100)^2/4</f>
        <v>0.28274333882308139</v>
      </c>
      <c r="N179" s="4">
        <f>PI()*HC[[#This Row],[Ø (cm)]]/100</f>
        <v>1.8849555921538756</v>
      </c>
      <c r="O179" s="4">
        <f>IF(HC[[#This Row],[Prof. (m)]]=0,0,HC[[#This Row],[α (%)]]/100*HC[[#This Row],[K (MPa)]]*1000*HC[[#This Row],[NSPT]])</f>
        <v>254.10000000000002</v>
      </c>
      <c r="P179" s="4">
        <f>IF(HC[[#This Row],[Prof. (m)]]=0,0,(HC[[#This Row],[K (MPa)]]*1000*HC[[#This Row],[NSPT]]/HC[[#This Row],[F1]]*HC[[#This Row],[Ap (m²)]]+HC[[#This Row],[U (m)]]/HC[[#This Row],[F2]]*SUMIFS(HC[(α∙K∙NL∙ΔL)],HC[Prof. (m)],"&lt;="&amp;HC[[#This Row],[Prof. (m)]],HC[idDiâmetro],HC[[#This Row],[idDiâmetro]],HC[idPilar],HC[[#This Row],[idPilar]]))/'DADOS CAP. CARGA'!$D$2)</f>
        <v>1000.6993619295909</v>
      </c>
      <c r="Q179" s="12">
        <f>INDEX(C_alpha_beta[],MATCH(HC[[#This Row],[Solo]],C_alpha_beta[Solo],0),MATCH(HC[[#Headers],[C (kPa)]],C_alpha_beta[#Headers],0))</f>
        <v>250</v>
      </c>
      <c r="R179" s="4">
        <f>INDEX(C_alpha_beta[],MATCH(HC[[#This Row],[Solo]],C_alpha_beta[Solo],0),MATCH(HC[[#Headers],[α ESF]],C_alpha_beta[#Headers],0))</f>
        <v>0.6</v>
      </c>
      <c r="S179" s="4">
        <f>INDEX(C_alpha_beta[],MATCH(HC[[#This Row],[Solo]],C_alpha_beta[Solo],0),MATCH(HC[[#Headers],[β ESF]],C_alpha_beta[#Headers],0))</f>
        <v>0.65</v>
      </c>
      <c r="T179" s="4">
        <f>IF(HC[[#This Row],[Prof. (m)]]=0,0,10*(HC[[#This Row],[NSPT]]/3+1))</f>
        <v>80</v>
      </c>
      <c r="U179" s="4">
        <f>(HC[[#This Row],[α ESF]]*HC[[#This Row],[C (kPa)]]*HC[[#This Row],[NSPT]]*HC[[#This Row],[Ap (m²)]])/'DADOS CAP. CARGA'!$Q$2+(HC[[#This Row],[β ESF]]*SUMIFS(HC[10∙(NL/3+1)],HC[Prof. (m)],"&lt;="&amp;HC[[#This Row],[Prof. (m)]],HC[idDiâmetro],HC[[#This Row],[idDiâmetro]],HC[idPilar],HC[[#This Row],[idPilar]])*HC[[#This Row],[U (m)]])/'DADOS CAP. CARGA'!$S$2</f>
        <v>369.68691551117888</v>
      </c>
      <c r="V179" s="4">
        <f>IF(SPT!$M$5=1,MIN(HC[[#This Row],[Pe HC (kN)]],HC[[#This Row],[R_AV (kN)]]),IF(SPT!$M$5=2,MIN(HC[[#This Row],[Pe HC (kN)]],HC[[#This Row],[R_DC (kN)]]),MIN(HC[[#This Row],[Pe HC (kN)]],HC[[#This Row],[R_AV (kN)]],HC[[#This Row],[R_DC (kN)]])))</f>
        <v>369.68691551117888</v>
      </c>
      <c r="W179" s="4">
        <f>INDEX(PILARES[],HC[[#This Row],[idPilar]],MATCH("Carga (kN)",PILARES[#Headers],0))*1.4</f>
        <v>3500</v>
      </c>
      <c r="X179" s="12">
        <f>INDEX(PILARES[],HC[[#This Row],[idPilar]],MATCH(HC[[#Headers],[ap (cm)]],PILARES[#Headers],0))</f>
        <v>60</v>
      </c>
      <c r="Y179" s="12">
        <f>INDEX(PILARES[],HC[[#This Row],[idPilar]],MATCH(HC[[#Headers],[bp (cm)]],PILARES[#Headers],0))</f>
        <v>60</v>
      </c>
      <c r="Z179" s="4">
        <f>SQRT(HC[[#This Row],[ap (cm)]]*HC[[#This Row],[bp (cm)]])</f>
        <v>60</v>
      </c>
      <c r="AA179" s="12">
        <f>HC[[#This Row],[ap (cm)]]*HC[[#This Row],[bp (cm)]]</f>
        <v>3600</v>
      </c>
      <c r="AB179" s="12">
        <f ca="1">IF(HC[[#This Row],[Padm∙ε (kN)]]&gt;=HC[[#This Row],[Padm (kN)]],ROUNDUP(1.05*HC[[#This Row],[Nsd (kN)]]/HC[[#This Row],[Padm (kN)]],0),ROUNDUP(1.05*HC[[#This Row],[Nsd (kN)]]/HC[[#This Row],[Padm (kN)]],0)+1)</f>
        <v>10</v>
      </c>
      <c r="AC179" s="4" t="str">
        <f ca="1">IFERROR(IF(HC[[#This Row],[nE]]=1,HC[[#This Row],[Padm (kN)]],HC[[#This Row],[Padm (kN)]]*HC[[#This Row],[nE]]*INDEX(grupoEstacas[],HC[[#This Row],[nE]],MATCH("ε",grupoEstacas[#Headers],0))),"N.S.")</f>
        <v>N.S.</v>
      </c>
      <c r="AD179" s="4">
        <f ca="1">1.05*HC[[#This Row],[Nsd (kN)]]/(HC[[#This Row],[nE]]*PI()*HC[[#This Row],[Ø (cm)]]^2/4)*10</f>
        <v>1.299765368583812</v>
      </c>
      <c r="AE179" s="4">
        <f ca="1">IF(HC[[#This Row],[σ (MPa)]]&lt;INDEX(tipoEstaca[],MATCH($D$2,tipoEstaca[TIPO DE ESTACA],0),MATCH("σmáx (MPa)",tipoEstaca[#Headers],0)),0.4%*PI()*HC[[#This Row],[Ø (cm)]]^2/4,"N.S.")</f>
        <v>11.309733552923255</v>
      </c>
      <c r="AF179" s="1">
        <f>INDEX(tipoEstaca[],MATCH($D$2,tipoEstaca[TIPO DE ESTACA],0),MATCH(HC[[#Headers],[Comprimento (m)]],tipoEstaca[#Headers],0))</f>
        <v>4</v>
      </c>
      <c r="AG179" s="5">
        <f ca="1">HC[[#This Row],[As,mín (cm²)]]/100^2*HC[[#This Row],[Comprimento (m)]]*7850</f>
        <v>35.512563356179022</v>
      </c>
      <c r="AH179" s="4">
        <f ca="1">HC[[#This Row],[nE]]*HC[[#This Row],[Prof. (m)]]*HC[[#This Row],[Ap (m²)]]</f>
        <v>16.964600329384883</v>
      </c>
      <c r="AI179" s="1">
        <f ca="1">IF(HC[[#This Row],[nE]]=1,0,MAX(3*HC[[#This Row],[Ø (cm)]],60))</f>
        <v>180</v>
      </c>
      <c r="AJ179" s="1">
        <f ca="1">IF(HC[[#This Row],[nE]]=1,HC[[#This Row],[Ø (cm)]]+2*10,MAX(1.5*HC[[#This Row],[Ø (cm)]],HC[[#This Row],[Ø (cm)]]+15))</f>
        <v>90</v>
      </c>
      <c r="AK179" s="1" t="str">
        <f ca="1">alturaUtil(HC[[#This Row],[nE]],HC[[#This Row],[Ø (cm)]],HC[[#This Row],[e (cm)]],HC[[#This Row],[ap,eq (cm)]])</f>
        <v>N.S.</v>
      </c>
      <c r="AL179" s="1" t="str">
        <f ca="1">IFERROR(HC[[#This Row],[d (cm)]]+arredondarParaCimaMultiplo5cm(MAX(5,SQRT(PI())/2*HC[[#This Row],[Ø (cm)]]/5)),"N.S.")</f>
        <v>N.S.</v>
      </c>
      <c r="AM179" s="5" t="str">
        <f ca="1">alpha(HC[[#This Row],[nE]],HC[[#This Row],[d (cm)]],HC[[#This Row],[e (cm)]],HC[[#This Row],[ap,eq (cm)]])</f>
        <v>N.S.</v>
      </c>
      <c r="AN179" s="35" t="str">
        <f ca="1">IFERROR(HC[[#This Row],[Nsd (kN)]]/(HC[[#This Row],[Ap (cm²)]]*SIN(HC[[#This Row],[α]])^2),"N.S.")</f>
        <v>N.S.</v>
      </c>
      <c r="AO179" s="35" t="str">
        <f ca="1">IFERROR(HC[[#This Row],[Nsd (kN)]]/(HC[[#This Row],[nE]]*PI()*HC[[#This Row],[Ø (cm)]]^2/4*SIN(HC[[#This Row],[α]])^2),"N.S.")</f>
        <v>N.S.</v>
      </c>
      <c r="AP179" s="4" t="str">
        <f ca="1">IFERROR(INDEX(grupoEstacas[],HC[[#This Row],[nE]],MATCH("coef. Blévot",grupoEstacas[#Headers],0)),"N.S.")</f>
        <v>N.S.</v>
      </c>
      <c r="AQ179" s="35" t="str">
        <f ca="1">IFERROR(HC[[#This Row],[coef. Blévot]]*0.9*INDEX(tipoEstaca[],MATCH($D$2,tipoEstaca[TIPO DE ESTACA],0),MATCH("fcd (kN/cm²)",tipoEstaca[#Headers],0)),"N.S.")</f>
        <v>N.S.</v>
      </c>
      <c r="AR179" s="1" t="str">
        <f ca="1">IF(AND(HC[[#This Row],[cd,b,pil (kN/cm²)]]&lt;=HC[[#This Row],[cd,b,lim (kN/cm²)]],HC[[#This Row],[cd,b,est (kN/cm²)]]&lt;=HC[[#This Row],[cd,b,lim (kN/cm²)]]),"OK","ERRO")</f>
        <v>OK</v>
      </c>
      <c r="AS179" s="4" t="str">
        <f ca="1">As_lado(HC[[#This Row],[nE]],HC[[#This Row],[Nsd (kN)]],HC[[#This Row],[d (cm)]],HC[[#This Row],[e (cm)]],HC[[#This Row],[ap,eq (cm)]])</f>
        <v>N.S.</v>
      </c>
      <c r="AT179" s="4" t="str">
        <f ca="1">IF(HC[[#This Row],[nE]]=1,HC[[#This Row],[As,lado (cm²)]],IF(HC[[#This Row],[nE]]=2,0.075*2*HC[a (cm)],"N.A."))</f>
        <v>N.A.</v>
      </c>
      <c r="AU179" s="4" t="str">
        <f ca="1">IFERROR(IF(HC[[#This Row],[nE]]=1,"N.A.",0.2*HC[[#This Row],[As,lado (cm²)]]),"N.S.")</f>
        <v>N.S.</v>
      </c>
      <c r="AV179" s="4" t="str">
        <f ca="1">As_malha(HC[[#This Row],[nE]],HC[[#This Row],[As,lado (cm²)]],HC[[#This Row],[Nsd (kN)]])</f>
        <v>N.S.</v>
      </c>
      <c r="AW179" s="4" t="str">
        <f ca="1">As_susp_tot(HC[[#This Row],[nE]],HC[[#This Row],[Nsd (kN)]])</f>
        <v>N.S.</v>
      </c>
      <c r="AX179" s="4" t="str">
        <f ca="1">Asp_face(HC[[#This Row],[nE]],HC[[#This Row],[As,lado (cm²)]])</f>
        <v>N.S.</v>
      </c>
      <c r="AY179" s="5" t="str">
        <f ca="1">acoBloco(HC[[#This Row],[nE]],HC[[#This Row],[e (cm)]],HC[[#This Row],[a (cm)]],HC[[#This Row],[h (cm)]],HC[[#This Row],[As,lado (cm²)]],HC[[#This Row],[Asp e Asw (cm²/m)]],HC[[#This Row],[As,sup (cm²)]],HC[[#This Row],[As,malha (cm²)]],HC[[#This Row],[As,susp,tot (cm²)]],HC[[#This Row],[Asp,face (cm²)]])</f>
        <v>N.S.</v>
      </c>
      <c r="AZ179" s="4" t="str">
        <f ca="1">concretoBloco(HC[[#This Row],[nE]],HC[[#This Row],[e (cm)]],HC[[#This Row],[a (cm)]],HC[[#This Row],[h (cm)]])</f>
        <v>N.S.</v>
      </c>
      <c r="BA179" s="5">
        <f ca="1">SUM(HC[[#This Row],[Aço Est (kg)]],HC[[#This Row],[Aço Bloco (kg)]])</f>
        <v>35.512563356179022</v>
      </c>
      <c r="BB179" s="4">
        <f>INDEX(composicoes[],MATCH(95580,composicoes[CÓDIGO],0),MATCH("CUSTO TOTAL",composicoes[#Headers],0))</f>
        <v>10.46</v>
      </c>
      <c r="BC179" s="4">
        <f ca="1">SUM(HC[[#This Row],[Conc Est (m³)]],HC[[#This Row],[Conc Bloco (m³)]])</f>
        <v>16.964600329384883</v>
      </c>
      <c r="BD179" s="4">
        <f>INDEX(composicoes[],MATCH(94966,composicoes[CÓDIGO],0),MATCH("CUSTO TOTAL",composicoes[#Headers],0))</f>
        <v>439.52</v>
      </c>
      <c r="BE179" s="38">
        <f ca="1">HC[[#This Row],[Aço (kg)]]*HC[[#This Row],[Aço (R$/kg)]]+HC[[#This Row],[Conc (m³)]]*HC[[#This Row],[Conc (R$/m³)]]</f>
        <v>7827.7425494768768</v>
      </c>
      <c r="BF179" s="4" t="str">
        <f ca="1">IF(COUNTIF(HC[#This Row],"N.S.")&gt;0,"lim.","OK")</f>
        <v>lim.</v>
      </c>
      <c r="BG179" s="4" t="str">
        <f>IF(HC[[#This Row],[Prof. (m)]]&lt;4,"lim.","OK")</f>
        <v>OK</v>
      </c>
      <c r="BH179" s="4" t="str">
        <f>IF(HC[[#This Row],[Prof. (m)]]&gt;=8*HC[[#This Row],[Ø (cm)]]/100,"OK","lim.")</f>
        <v>OK</v>
      </c>
      <c r="BI179" s="4" t="str">
        <f ca="1">IF(HC[[#This Row],[Verif. Biela]]="OK","OK","lim.")</f>
        <v>OK</v>
      </c>
      <c r="BJ179" s="4" t="str">
        <f ca="1">IF(COUNTA(HC[[#This Row],[Nº Est.]:[Biela comp.]])=COUNTIF(HC[[#This Row],[Nº Est.]:[Biela comp.]],"OK"),"OK","lim.")</f>
        <v>lim.</v>
      </c>
      <c r="BK179" s="4" t="str">
        <f ca="1">IF(HC[[#This Row],[Controle]]="OK",HC[[#This Row],[nE]]&amp;" Ø"&amp;HC[[#This Row],[Ø (cm)]]&amp;"cm Prof. "&amp;HC[[#This Row],[Prof. (m)]]&amp;" m","")</f>
        <v/>
      </c>
      <c r="BL179" s="4" t="str">
        <f ca="1">IF(HC[[#This Row],[idDimensionamento]]="","",HC[[#This Row],[idPilar]]&amp;HC[[#This Row],[idDimensionamento]])</f>
        <v/>
      </c>
    </row>
    <row r="180" spans="2:64" x14ac:dyDescent="0.25">
      <c r="B180" s="12">
        <f>ROUNDUP((ROW(HC[[#This Row],[idDiâmetro]])-ROW(HC[[#Headers],[idDiâmetro]]))/(COUNT(SPT[Prof. (m)])*COUNT(PILARES[Pilar])),0)</f>
        <v>7</v>
      </c>
      <c r="C180" s="12">
        <f>IF(HC[[#This Row],[idDiâmetro]]&lt;&gt;B179,1,IF(HC[[#This Row],[Prof. (m)]]=0,C179+1,C179))</f>
        <v>1</v>
      </c>
      <c r="D180" s="1">
        <f>IFERROR(IF(D179=MAX(SPT[Prof. (m)]),0,D179+1),0)</f>
        <v>7</v>
      </c>
      <c r="E180" s="1">
        <f>INDEX(SPT[],MATCH(HC[[#This Row],[Prof. (m)]],SPT[Prof. (m)],0),2)</f>
        <v>8</v>
      </c>
      <c r="F180" s="1" t="str">
        <f>INDEX(SPT[],MATCH(HC[[#This Row],[Prof. (m)]],SPT[Prof. (m)],0),3)</f>
        <v>Silte arenoso</v>
      </c>
      <c r="G180" s="1">
        <f>INDEX(estacas[],HC[[#This Row],[idDiâmetro]],MATCH($B$2,estacas[#Headers],0))</f>
        <v>60</v>
      </c>
      <c r="H180" s="1">
        <f>INDEX(estacas[],MATCH(HC[[#This Row],[Ø (cm)]],estacas[Ø HC (cm)],0),MATCH(HC[[#Headers],[Pe HC (kN)]],estacas[#Headers],0))</f>
        <v>1800</v>
      </c>
      <c r="I180" s="4">
        <f>INDEX(K_alpha_C[],MATCH(HC[[#This Row],[Solo]],K_alpha_C[Solo],0),2)</f>
        <v>0.55000000000000004</v>
      </c>
      <c r="J180" s="5">
        <f>INDEX(K_alpha_C[],MATCH(HC[[#This Row],[Solo]],K_alpha_C[Solo],0),3)</f>
        <v>2.2000000000000002</v>
      </c>
      <c r="K180" s="4">
        <f>INDEX(F1_F2[],MATCH($D$2,F1_F2[Tipo de estaca],0),2)</f>
        <v>2</v>
      </c>
      <c r="L180" s="4">
        <f>INDEX(F1_F2[],MATCH($D$2,F1_F2[Tipo de estaca],0),3)</f>
        <v>4</v>
      </c>
      <c r="M180" s="4">
        <f>PI()*(HC[[#This Row],[Ø (cm)]]/100)^2/4</f>
        <v>0.28274333882308139</v>
      </c>
      <c r="N180" s="4">
        <f>PI()*HC[[#This Row],[Ø (cm)]]/100</f>
        <v>1.8849555921538756</v>
      </c>
      <c r="O180" s="4">
        <f>IF(HC[[#This Row],[Prof. (m)]]=0,0,HC[[#This Row],[α (%)]]/100*HC[[#This Row],[K (MPa)]]*1000*HC[[#This Row],[NSPT]])</f>
        <v>96.800000000000011</v>
      </c>
      <c r="P180" s="4">
        <f>IF(HC[[#This Row],[Prof. (m)]]=0,0,(HC[[#This Row],[K (MPa)]]*1000*HC[[#This Row],[NSPT]]/HC[[#This Row],[F1]]*HC[[#This Row],[Ap (m²)]]+HC[[#This Row],[U (m)]]/HC[[#This Row],[F2]]*SUMIFS(HC[(α∙K∙NL∙ΔL)],HC[Prof. (m)],"&lt;="&amp;HC[[#This Row],[Prof. (m)]],HC[idDiâmetro],HC[[#This Row],[idDiâmetro]],HC[idPilar],HC[[#This Row],[idPilar]]))/'DADOS CAP. CARGA'!$D$2)</f>
        <v>518.10360644839466</v>
      </c>
      <c r="Q180" s="12">
        <f>INDEX(C_alpha_beta[],MATCH(HC[[#This Row],[Solo]],C_alpha_beta[Solo],0),MATCH(HC[[#Headers],[C (kPa)]],C_alpha_beta[#Headers],0))</f>
        <v>250</v>
      </c>
      <c r="R180" s="4">
        <f>INDEX(C_alpha_beta[],MATCH(HC[[#This Row],[Solo]],C_alpha_beta[Solo],0),MATCH(HC[[#Headers],[α ESF]],C_alpha_beta[#Headers],0))</f>
        <v>0.6</v>
      </c>
      <c r="S180" s="4">
        <f>INDEX(C_alpha_beta[],MATCH(HC[[#This Row],[Solo]],C_alpha_beta[Solo],0),MATCH(HC[[#Headers],[β ESF]],C_alpha_beta[#Headers],0))</f>
        <v>0.65</v>
      </c>
      <c r="T180" s="4">
        <f>IF(HC[[#This Row],[Prof. (m)]]=0,0,10*(HC[[#This Row],[NSPT]]/3+1))</f>
        <v>36.666666666666664</v>
      </c>
      <c r="U180" s="4">
        <f>(HC[[#This Row],[α ESF]]*HC[[#This Row],[C (kPa)]]*HC[[#This Row],[NSPT]]*HC[[#This Row],[Ap (m²)]])/'DADOS CAP. CARGA'!$Q$2+(HC[[#This Row],[β ESF]]*SUMIFS(HC[10∙(NL/3+1)],HC[Prof. (m)],"&lt;="&amp;HC[[#This Row],[Prof. (m)]],HC[idDiâmetro],HC[[#This Row],[idDiâmetro]],HC[idPilar],HC[[#This Row],[idPilar]])*HC[[#This Row],[U (m)]])/'DADOS CAP. CARGA'!$S$2</f>
        <v>254.31192530809375</v>
      </c>
      <c r="V180" s="4">
        <f>IF(SPT!$M$5=1,MIN(HC[[#This Row],[Pe HC (kN)]],HC[[#This Row],[R_AV (kN)]]),IF(SPT!$M$5=2,MIN(HC[[#This Row],[Pe HC (kN)]],HC[[#This Row],[R_DC (kN)]]),MIN(HC[[#This Row],[Pe HC (kN)]],HC[[#This Row],[R_AV (kN)]],HC[[#This Row],[R_DC (kN)]])))</f>
        <v>254.31192530809375</v>
      </c>
      <c r="W180" s="4">
        <f>INDEX(PILARES[],HC[[#This Row],[idPilar]],MATCH("Carga (kN)",PILARES[#Headers],0))*1.4</f>
        <v>3500</v>
      </c>
      <c r="X180" s="12">
        <f>INDEX(PILARES[],HC[[#This Row],[idPilar]],MATCH(HC[[#Headers],[ap (cm)]],PILARES[#Headers],0))</f>
        <v>60</v>
      </c>
      <c r="Y180" s="12">
        <f>INDEX(PILARES[],HC[[#This Row],[idPilar]],MATCH(HC[[#Headers],[bp (cm)]],PILARES[#Headers],0))</f>
        <v>60</v>
      </c>
      <c r="Z180" s="4">
        <f>SQRT(HC[[#This Row],[ap (cm)]]*HC[[#This Row],[bp (cm)]])</f>
        <v>60</v>
      </c>
      <c r="AA180" s="12">
        <f>HC[[#This Row],[ap (cm)]]*HC[[#This Row],[bp (cm)]]</f>
        <v>3600</v>
      </c>
      <c r="AB180" s="12">
        <f ca="1">IF(HC[[#This Row],[Padm∙ε (kN)]]&gt;=HC[[#This Row],[Padm (kN)]],ROUNDUP(1.05*HC[[#This Row],[Nsd (kN)]]/HC[[#This Row],[Padm (kN)]],0),ROUNDUP(1.05*HC[[#This Row],[Nsd (kN)]]/HC[[#This Row],[Padm (kN)]],0)+1)</f>
        <v>15</v>
      </c>
      <c r="AC180" s="4" t="str">
        <f ca="1">IFERROR(IF(HC[[#This Row],[nE]]=1,HC[[#This Row],[Padm (kN)]],HC[[#This Row],[Padm (kN)]]*HC[[#This Row],[nE]]*INDEX(grupoEstacas[],HC[[#This Row],[nE]],MATCH("ε",grupoEstacas[#Headers],0))),"N.S.")</f>
        <v>N.S.</v>
      </c>
      <c r="AD180" s="4">
        <f ca="1">1.05*HC[[#This Row],[Nsd (kN)]]/(HC[[#This Row],[nE]]*PI()*HC[[#This Row],[Ø (cm)]]^2/4)*10</f>
        <v>0.86651024572254132</v>
      </c>
      <c r="AE180" s="4">
        <f ca="1">IF(HC[[#This Row],[σ (MPa)]]&lt;INDEX(tipoEstaca[],MATCH($D$2,tipoEstaca[TIPO DE ESTACA],0),MATCH("σmáx (MPa)",tipoEstaca[#Headers],0)),0.4%*PI()*HC[[#This Row],[Ø (cm)]]^2/4,"N.S.")</f>
        <v>11.309733552923255</v>
      </c>
      <c r="AF180" s="1">
        <f>INDEX(tipoEstaca[],MATCH($D$2,tipoEstaca[TIPO DE ESTACA],0),MATCH(HC[[#Headers],[Comprimento (m)]],tipoEstaca[#Headers],0))</f>
        <v>4</v>
      </c>
      <c r="AG180" s="5">
        <f ca="1">HC[[#This Row],[As,mín (cm²)]]/100^2*HC[[#This Row],[Comprimento (m)]]*7850</f>
        <v>35.512563356179022</v>
      </c>
      <c r="AH180" s="4">
        <f ca="1">HC[[#This Row],[nE]]*HC[[#This Row],[Prof. (m)]]*HC[[#This Row],[Ap (m²)]]</f>
        <v>29.688050576423546</v>
      </c>
      <c r="AI180" s="1">
        <f ca="1">IF(HC[[#This Row],[nE]]=1,0,MAX(3*HC[[#This Row],[Ø (cm)]],60))</f>
        <v>180</v>
      </c>
      <c r="AJ180" s="1">
        <f ca="1">IF(HC[[#This Row],[nE]]=1,HC[[#This Row],[Ø (cm)]]+2*10,MAX(1.5*HC[[#This Row],[Ø (cm)]],HC[[#This Row],[Ø (cm)]]+15))</f>
        <v>90</v>
      </c>
      <c r="AK180" s="1" t="str">
        <f ca="1">alturaUtil(HC[[#This Row],[nE]],HC[[#This Row],[Ø (cm)]],HC[[#This Row],[e (cm)]],HC[[#This Row],[ap,eq (cm)]])</f>
        <v>N.S.</v>
      </c>
      <c r="AL180" s="1" t="str">
        <f ca="1">IFERROR(HC[[#This Row],[d (cm)]]+arredondarParaCimaMultiplo5cm(MAX(5,SQRT(PI())/2*HC[[#This Row],[Ø (cm)]]/5)),"N.S.")</f>
        <v>N.S.</v>
      </c>
      <c r="AM180" s="5" t="str">
        <f ca="1">alpha(HC[[#This Row],[nE]],HC[[#This Row],[d (cm)]],HC[[#This Row],[e (cm)]],HC[[#This Row],[ap,eq (cm)]])</f>
        <v>N.S.</v>
      </c>
      <c r="AN180" s="35" t="str">
        <f ca="1">IFERROR(HC[[#This Row],[Nsd (kN)]]/(HC[[#This Row],[Ap (cm²)]]*SIN(HC[[#This Row],[α]])^2),"N.S.")</f>
        <v>N.S.</v>
      </c>
      <c r="AO180" s="35" t="str">
        <f ca="1">IFERROR(HC[[#This Row],[Nsd (kN)]]/(HC[[#This Row],[nE]]*PI()*HC[[#This Row],[Ø (cm)]]^2/4*SIN(HC[[#This Row],[α]])^2),"N.S.")</f>
        <v>N.S.</v>
      </c>
      <c r="AP180" s="4" t="str">
        <f ca="1">IFERROR(INDEX(grupoEstacas[],HC[[#This Row],[nE]],MATCH("coef. Blévot",grupoEstacas[#Headers],0)),"N.S.")</f>
        <v>N.S.</v>
      </c>
      <c r="AQ180" s="35" t="str">
        <f ca="1">IFERROR(HC[[#This Row],[coef. Blévot]]*0.9*INDEX(tipoEstaca[],MATCH($D$2,tipoEstaca[TIPO DE ESTACA],0),MATCH("fcd (kN/cm²)",tipoEstaca[#Headers],0)),"N.S.")</f>
        <v>N.S.</v>
      </c>
      <c r="AR180" s="1" t="str">
        <f ca="1">IF(AND(HC[[#This Row],[cd,b,pil (kN/cm²)]]&lt;=HC[[#This Row],[cd,b,lim (kN/cm²)]],HC[[#This Row],[cd,b,est (kN/cm²)]]&lt;=HC[[#This Row],[cd,b,lim (kN/cm²)]]),"OK","ERRO")</f>
        <v>OK</v>
      </c>
      <c r="AS180" s="4" t="str">
        <f ca="1">As_lado(HC[[#This Row],[nE]],HC[[#This Row],[Nsd (kN)]],HC[[#This Row],[d (cm)]],HC[[#This Row],[e (cm)]],HC[[#This Row],[ap,eq (cm)]])</f>
        <v>N.S.</v>
      </c>
      <c r="AT180" s="4" t="str">
        <f ca="1">IF(HC[[#This Row],[nE]]=1,HC[[#This Row],[As,lado (cm²)]],IF(HC[[#This Row],[nE]]=2,0.075*2*HC[a (cm)],"N.A."))</f>
        <v>N.A.</v>
      </c>
      <c r="AU180" s="4" t="str">
        <f ca="1">IFERROR(IF(HC[[#This Row],[nE]]=1,"N.A.",0.2*HC[[#This Row],[As,lado (cm²)]]),"N.S.")</f>
        <v>N.S.</v>
      </c>
      <c r="AV180" s="4" t="str">
        <f ca="1">As_malha(HC[[#This Row],[nE]],HC[[#This Row],[As,lado (cm²)]],HC[[#This Row],[Nsd (kN)]])</f>
        <v>N.S.</v>
      </c>
      <c r="AW180" s="4" t="str">
        <f ca="1">As_susp_tot(HC[[#This Row],[nE]],HC[[#This Row],[Nsd (kN)]])</f>
        <v>N.S.</v>
      </c>
      <c r="AX180" s="4" t="str">
        <f ca="1">Asp_face(HC[[#This Row],[nE]],HC[[#This Row],[As,lado (cm²)]])</f>
        <v>N.S.</v>
      </c>
      <c r="AY180" s="5" t="str">
        <f ca="1">acoBloco(HC[[#This Row],[nE]],HC[[#This Row],[e (cm)]],HC[[#This Row],[a (cm)]],HC[[#This Row],[h (cm)]],HC[[#This Row],[As,lado (cm²)]],HC[[#This Row],[Asp e Asw (cm²/m)]],HC[[#This Row],[As,sup (cm²)]],HC[[#This Row],[As,malha (cm²)]],HC[[#This Row],[As,susp,tot (cm²)]],HC[[#This Row],[Asp,face (cm²)]])</f>
        <v>N.S.</v>
      </c>
      <c r="AZ180" s="4" t="str">
        <f ca="1">concretoBloco(HC[[#This Row],[nE]],HC[[#This Row],[e (cm)]],HC[[#This Row],[a (cm)]],HC[[#This Row],[h (cm)]])</f>
        <v>N.S.</v>
      </c>
      <c r="BA180" s="5">
        <f ca="1">SUM(HC[[#This Row],[Aço Est (kg)]],HC[[#This Row],[Aço Bloco (kg)]])</f>
        <v>35.512563356179022</v>
      </c>
      <c r="BB180" s="4">
        <f>INDEX(composicoes[],MATCH(95580,composicoes[CÓDIGO],0),MATCH("CUSTO TOTAL",composicoes[#Headers],0))</f>
        <v>10.46</v>
      </c>
      <c r="BC180" s="4">
        <f ca="1">SUM(HC[[#This Row],[Conc Est (m³)]],HC[[#This Row],[Conc Bloco (m³)]])</f>
        <v>29.688050576423546</v>
      </c>
      <c r="BD180" s="4">
        <f>INDEX(composicoes[],MATCH(94966,composicoes[CÓDIGO],0),MATCH("CUSTO TOTAL",composicoes[#Headers],0))</f>
        <v>439.52</v>
      </c>
      <c r="BE180" s="38">
        <f ca="1">HC[[#This Row],[Aço (kg)]]*HC[[#This Row],[Aço (R$/kg)]]+HC[[#This Row],[Conc (m³)]]*HC[[#This Row],[Conc (R$/m³)]]</f>
        <v>13419.953402055309</v>
      </c>
      <c r="BF180" s="4" t="str">
        <f ca="1">IF(COUNTIF(HC[#This Row],"N.S.")&gt;0,"lim.","OK")</f>
        <v>lim.</v>
      </c>
      <c r="BG180" s="4" t="str">
        <f>IF(HC[[#This Row],[Prof. (m)]]&lt;4,"lim.","OK")</f>
        <v>OK</v>
      </c>
      <c r="BH180" s="4" t="str">
        <f>IF(HC[[#This Row],[Prof. (m)]]&gt;=8*HC[[#This Row],[Ø (cm)]]/100,"OK","lim.")</f>
        <v>OK</v>
      </c>
      <c r="BI180" s="4" t="str">
        <f ca="1">IF(HC[[#This Row],[Verif. Biela]]="OK","OK","lim.")</f>
        <v>OK</v>
      </c>
      <c r="BJ180" s="4" t="str">
        <f ca="1">IF(COUNTA(HC[[#This Row],[Nº Est.]:[Biela comp.]])=COUNTIF(HC[[#This Row],[Nº Est.]:[Biela comp.]],"OK"),"OK","lim.")</f>
        <v>lim.</v>
      </c>
      <c r="BK180" s="4" t="str">
        <f ca="1">IF(HC[[#This Row],[Controle]]="OK",HC[[#This Row],[nE]]&amp;" Ø"&amp;HC[[#This Row],[Ø (cm)]]&amp;"cm Prof. "&amp;HC[[#This Row],[Prof. (m)]]&amp;" m","")</f>
        <v/>
      </c>
      <c r="BL180" s="4" t="str">
        <f ca="1">IF(HC[[#This Row],[idDimensionamento]]="","",HC[[#This Row],[idPilar]]&amp;HC[[#This Row],[idDimensionamento]])</f>
        <v/>
      </c>
    </row>
    <row r="181" spans="2:64" x14ac:dyDescent="0.25">
      <c r="B181" s="12">
        <f>ROUNDUP((ROW(HC[[#This Row],[idDiâmetro]])-ROW(HC[[#Headers],[idDiâmetro]]))/(COUNT(SPT[Prof. (m)])*COUNT(PILARES[Pilar])),0)</f>
        <v>7</v>
      </c>
      <c r="C181" s="12">
        <f>IF(HC[[#This Row],[idDiâmetro]]&lt;&gt;B180,1,IF(HC[[#This Row],[Prof. (m)]]=0,C180+1,C180))</f>
        <v>1</v>
      </c>
      <c r="D181" s="1">
        <f>IFERROR(IF(D180=MAX(SPT[Prof. (m)]),0,D180+1),0)</f>
        <v>8</v>
      </c>
      <c r="E181" s="1">
        <f>INDEX(SPT[],MATCH(HC[[#This Row],[Prof. (m)]],SPT[Prof. (m)],0),2)</f>
        <v>10</v>
      </c>
      <c r="F181" s="1" t="str">
        <f>INDEX(SPT[],MATCH(HC[[#This Row],[Prof. (m)]],SPT[Prof. (m)],0),3)</f>
        <v>Silte arenoso</v>
      </c>
      <c r="G181" s="1">
        <f>INDEX(estacas[],HC[[#This Row],[idDiâmetro]],MATCH($B$2,estacas[#Headers],0))</f>
        <v>60</v>
      </c>
      <c r="H181" s="1">
        <f>INDEX(estacas[],MATCH(HC[[#This Row],[Ø (cm)]],estacas[Ø HC (cm)],0),MATCH(HC[[#Headers],[Pe HC (kN)]],estacas[#Headers],0))</f>
        <v>1800</v>
      </c>
      <c r="I181" s="4">
        <f>INDEX(K_alpha_C[],MATCH(HC[[#This Row],[Solo]],K_alpha_C[Solo],0),2)</f>
        <v>0.55000000000000004</v>
      </c>
      <c r="J181" s="5">
        <f>INDEX(K_alpha_C[],MATCH(HC[[#This Row],[Solo]],K_alpha_C[Solo],0),3)</f>
        <v>2.2000000000000002</v>
      </c>
      <c r="K181" s="4">
        <f>INDEX(F1_F2[],MATCH($D$2,F1_F2[Tipo de estaca],0),2)</f>
        <v>2</v>
      </c>
      <c r="L181" s="4">
        <f>INDEX(F1_F2[],MATCH($D$2,F1_F2[Tipo de estaca],0),3)</f>
        <v>4</v>
      </c>
      <c r="M181" s="4">
        <f>PI()*(HC[[#This Row],[Ø (cm)]]/100)^2/4</f>
        <v>0.28274333882308139</v>
      </c>
      <c r="N181" s="4">
        <f>PI()*HC[[#This Row],[Ø (cm)]]/100</f>
        <v>1.8849555921538756</v>
      </c>
      <c r="O181" s="4">
        <f>IF(HC[[#This Row],[Prof. (m)]]=0,0,HC[[#This Row],[α (%)]]/100*HC[[#This Row],[K (MPa)]]*1000*HC[[#This Row],[NSPT]])</f>
        <v>121.00000000000001</v>
      </c>
      <c r="P181" s="4">
        <f>IF(HC[[#This Row],[Prof. (m)]]=0,0,(HC[[#This Row],[K (MPa)]]*1000*HC[[#This Row],[NSPT]]/HC[[#This Row],[F1]]*HC[[#This Row],[Ap (m²)]]+HC[[#This Row],[U (m)]]/HC[[#This Row],[F2]]*SUMIFS(HC[(α∙K∙NL∙ΔL)],HC[Prof. (m)],"&lt;="&amp;HC[[#This Row],[Prof. (m)]],HC[idDiâmetro],HC[[#This Row],[idDiâmetro]],HC[idPilar],HC[[#This Row],[idPilar]]))/'DADOS CAP. CARGA'!$D$2)</f>
        <v>624.36797795606947</v>
      </c>
      <c r="Q181" s="12">
        <f>INDEX(C_alpha_beta[],MATCH(HC[[#This Row],[Solo]],C_alpha_beta[Solo],0),MATCH(HC[[#Headers],[C (kPa)]],C_alpha_beta[#Headers],0))</f>
        <v>250</v>
      </c>
      <c r="R181" s="4">
        <f>INDEX(C_alpha_beta[],MATCH(HC[[#This Row],[Solo]],C_alpha_beta[Solo],0),MATCH(HC[[#Headers],[α ESF]],C_alpha_beta[#Headers],0))</f>
        <v>0.6</v>
      </c>
      <c r="S181" s="4">
        <f>INDEX(C_alpha_beta[],MATCH(HC[[#This Row],[Solo]],C_alpha_beta[Solo],0),MATCH(HC[[#Headers],[β ESF]],C_alpha_beta[#Headers],0))</f>
        <v>0.65</v>
      </c>
      <c r="T181" s="4">
        <f>IF(HC[[#This Row],[Prof. (m)]]=0,0,10*(HC[[#This Row],[NSPT]]/3+1))</f>
        <v>43.333333333333343</v>
      </c>
      <c r="U181" s="4">
        <f>(HC[[#This Row],[α ESF]]*HC[[#This Row],[C (kPa)]]*HC[[#This Row],[NSPT]]*HC[[#This Row],[Ap (m²)]])/'DADOS CAP. CARGA'!$Q$2+(HC[[#This Row],[β ESF]]*SUMIFS(HC[10∙(NL/3+1)],HC[Prof. (m)],"&lt;="&amp;HC[[#This Row],[Prof. (m)]],HC[idDiâmetro],HC[[#This Row],[idDiâmetro]],HC[idPilar],HC[[#This Row],[idPilar]])*HC[[#This Row],[U (m)]])/'DADOS CAP. CARGA'!$S$2</f>
        <v>302.06413364265859</v>
      </c>
      <c r="V181" s="4">
        <f>IF(SPT!$M$5=1,MIN(HC[[#This Row],[Pe HC (kN)]],HC[[#This Row],[R_AV (kN)]]),IF(SPT!$M$5=2,MIN(HC[[#This Row],[Pe HC (kN)]],HC[[#This Row],[R_DC (kN)]]),MIN(HC[[#This Row],[Pe HC (kN)]],HC[[#This Row],[R_AV (kN)]],HC[[#This Row],[R_DC (kN)]])))</f>
        <v>302.06413364265859</v>
      </c>
      <c r="W181" s="4">
        <f>INDEX(PILARES[],HC[[#This Row],[idPilar]],MATCH("Carga (kN)",PILARES[#Headers],0))*1.4</f>
        <v>3500</v>
      </c>
      <c r="X181" s="12">
        <f>INDEX(PILARES[],HC[[#This Row],[idPilar]],MATCH(HC[[#Headers],[ap (cm)]],PILARES[#Headers],0))</f>
        <v>60</v>
      </c>
      <c r="Y181" s="12">
        <f>INDEX(PILARES[],HC[[#This Row],[idPilar]],MATCH(HC[[#Headers],[bp (cm)]],PILARES[#Headers],0))</f>
        <v>60</v>
      </c>
      <c r="Z181" s="4">
        <f>SQRT(HC[[#This Row],[ap (cm)]]*HC[[#This Row],[bp (cm)]])</f>
        <v>60</v>
      </c>
      <c r="AA181" s="12">
        <f>HC[[#This Row],[ap (cm)]]*HC[[#This Row],[bp (cm)]]</f>
        <v>3600</v>
      </c>
      <c r="AB181" s="12">
        <f ca="1">IF(HC[[#This Row],[Padm∙ε (kN)]]&gt;=HC[[#This Row],[Padm (kN)]],ROUNDUP(1.05*HC[[#This Row],[Nsd (kN)]]/HC[[#This Row],[Padm (kN)]],0),ROUNDUP(1.05*HC[[#This Row],[Nsd (kN)]]/HC[[#This Row],[Padm (kN)]],0)+1)</f>
        <v>13</v>
      </c>
      <c r="AC181" s="4" t="str">
        <f ca="1">IFERROR(IF(HC[[#This Row],[nE]]=1,HC[[#This Row],[Padm (kN)]],HC[[#This Row],[Padm (kN)]]*HC[[#This Row],[nE]]*INDEX(grupoEstacas[],HC[[#This Row],[nE]],MATCH("ε",grupoEstacas[#Headers],0))),"N.S.")</f>
        <v>N.S.</v>
      </c>
      <c r="AD181" s="4">
        <f ca="1">1.05*HC[[#This Row],[Nsd (kN)]]/(HC[[#This Row],[nE]]*PI()*HC[[#This Row],[Ø (cm)]]^2/4)*10</f>
        <v>0.99981951429523985</v>
      </c>
      <c r="AE181" s="4">
        <f ca="1">IF(HC[[#This Row],[σ (MPa)]]&lt;INDEX(tipoEstaca[],MATCH($D$2,tipoEstaca[TIPO DE ESTACA],0),MATCH("σmáx (MPa)",tipoEstaca[#Headers],0)),0.4%*PI()*HC[[#This Row],[Ø (cm)]]^2/4,"N.S.")</f>
        <v>11.309733552923255</v>
      </c>
      <c r="AF181" s="1">
        <f>INDEX(tipoEstaca[],MATCH($D$2,tipoEstaca[TIPO DE ESTACA],0),MATCH(HC[[#Headers],[Comprimento (m)]],tipoEstaca[#Headers],0))</f>
        <v>4</v>
      </c>
      <c r="AG181" s="5">
        <f ca="1">HC[[#This Row],[As,mín (cm²)]]/100^2*HC[[#This Row],[Comprimento (m)]]*7850</f>
        <v>35.512563356179022</v>
      </c>
      <c r="AH181" s="4">
        <f ca="1">HC[[#This Row],[nE]]*HC[[#This Row],[Prof. (m)]]*HC[[#This Row],[Ap (m²)]]</f>
        <v>29.405307237600464</v>
      </c>
      <c r="AI181" s="1">
        <f ca="1">IF(HC[[#This Row],[nE]]=1,0,MAX(3*HC[[#This Row],[Ø (cm)]],60))</f>
        <v>180</v>
      </c>
      <c r="AJ181" s="1">
        <f ca="1">IF(HC[[#This Row],[nE]]=1,HC[[#This Row],[Ø (cm)]]+2*10,MAX(1.5*HC[[#This Row],[Ø (cm)]],HC[[#This Row],[Ø (cm)]]+15))</f>
        <v>90</v>
      </c>
      <c r="AK181" s="1" t="str">
        <f ca="1">alturaUtil(HC[[#This Row],[nE]],HC[[#This Row],[Ø (cm)]],HC[[#This Row],[e (cm)]],HC[[#This Row],[ap,eq (cm)]])</f>
        <v>N.S.</v>
      </c>
      <c r="AL181" s="1" t="str">
        <f ca="1">IFERROR(HC[[#This Row],[d (cm)]]+arredondarParaCimaMultiplo5cm(MAX(5,SQRT(PI())/2*HC[[#This Row],[Ø (cm)]]/5)),"N.S.")</f>
        <v>N.S.</v>
      </c>
      <c r="AM181" s="5" t="str">
        <f ca="1">alpha(HC[[#This Row],[nE]],HC[[#This Row],[d (cm)]],HC[[#This Row],[e (cm)]],HC[[#This Row],[ap,eq (cm)]])</f>
        <v>N.S.</v>
      </c>
      <c r="AN181" s="35" t="str">
        <f ca="1">IFERROR(HC[[#This Row],[Nsd (kN)]]/(HC[[#This Row],[Ap (cm²)]]*SIN(HC[[#This Row],[α]])^2),"N.S.")</f>
        <v>N.S.</v>
      </c>
      <c r="AO181" s="35" t="str">
        <f ca="1">IFERROR(HC[[#This Row],[Nsd (kN)]]/(HC[[#This Row],[nE]]*PI()*HC[[#This Row],[Ø (cm)]]^2/4*SIN(HC[[#This Row],[α]])^2),"N.S.")</f>
        <v>N.S.</v>
      </c>
      <c r="AP181" s="4" t="str">
        <f ca="1">IFERROR(INDEX(grupoEstacas[],HC[[#This Row],[nE]],MATCH("coef. Blévot",grupoEstacas[#Headers],0)),"N.S.")</f>
        <v>N.S.</v>
      </c>
      <c r="AQ181" s="35" t="str">
        <f ca="1">IFERROR(HC[[#This Row],[coef. Blévot]]*0.9*INDEX(tipoEstaca[],MATCH($D$2,tipoEstaca[TIPO DE ESTACA],0),MATCH("fcd (kN/cm²)",tipoEstaca[#Headers],0)),"N.S.")</f>
        <v>N.S.</v>
      </c>
      <c r="AR181" s="1" t="str">
        <f ca="1">IF(AND(HC[[#This Row],[cd,b,pil (kN/cm²)]]&lt;=HC[[#This Row],[cd,b,lim (kN/cm²)]],HC[[#This Row],[cd,b,est (kN/cm²)]]&lt;=HC[[#This Row],[cd,b,lim (kN/cm²)]]),"OK","ERRO")</f>
        <v>OK</v>
      </c>
      <c r="AS181" s="4" t="str">
        <f ca="1">As_lado(HC[[#This Row],[nE]],HC[[#This Row],[Nsd (kN)]],HC[[#This Row],[d (cm)]],HC[[#This Row],[e (cm)]],HC[[#This Row],[ap,eq (cm)]])</f>
        <v>N.S.</v>
      </c>
      <c r="AT181" s="4" t="str">
        <f ca="1">IF(HC[[#This Row],[nE]]=1,HC[[#This Row],[As,lado (cm²)]],IF(HC[[#This Row],[nE]]=2,0.075*2*HC[a (cm)],"N.A."))</f>
        <v>N.A.</v>
      </c>
      <c r="AU181" s="4" t="str">
        <f ca="1">IFERROR(IF(HC[[#This Row],[nE]]=1,"N.A.",0.2*HC[[#This Row],[As,lado (cm²)]]),"N.S.")</f>
        <v>N.S.</v>
      </c>
      <c r="AV181" s="4" t="str">
        <f ca="1">As_malha(HC[[#This Row],[nE]],HC[[#This Row],[As,lado (cm²)]],HC[[#This Row],[Nsd (kN)]])</f>
        <v>N.S.</v>
      </c>
      <c r="AW181" s="4" t="str">
        <f ca="1">As_susp_tot(HC[[#This Row],[nE]],HC[[#This Row],[Nsd (kN)]])</f>
        <v>N.S.</v>
      </c>
      <c r="AX181" s="4" t="str">
        <f ca="1">Asp_face(HC[[#This Row],[nE]],HC[[#This Row],[As,lado (cm²)]])</f>
        <v>N.S.</v>
      </c>
      <c r="AY181" s="5" t="str">
        <f ca="1">acoBloco(HC[[#This Row],[nE]],HC[[#This Row],[e (cm)]],HC[[#This Row],[a (cm)]],HC[[#This Row],[h (cm)]],HC[[#This Row],[As,lado (cm²)]],HC[[#This Row],[Asp e Asw (cm²/m)]],HC[[#This Row],[As,sup (cm²)]],HC[[#This Row],[As,malha (cm²)]],HC[[#This Row],[As,susp,tot (cm²)]],HC[[#This Row],[Asp,face (cm²)]])</f>
        <v>N.S.</v>
      </c>
      <c r="AZ181" s="4" t="str">
        <f ca="1">concretoBloco(HC[[#This Row],[nE]],HC[[#This Row],[e (cm)]],HC[[#This Row],[a (cm)]],HC[[#This Row],[h (cm)]])</f>
        <v>N.S.</v>
      </c>
      <c r="BA181" s="5">
        <f ca="1">SUM(HC[[#This Row],[Aço Est (kg)]],HC[[#This Row],[Aço Bloco (kg)]])</f>
        <v>35.512563356179022</v>
      </c>
      <c r="BB181" s="4">
        <f>INDEX(composicoes[],MATCH(95580,composicoes[CÓDIGO],0),MATCH("CUSTO TOTAL",composicoes[#Headers],0))</f>
        <v>10.46</v>
      </c>
      <c r="BC181" s="4">
        <f ca="1">SUM(HC[[#This Row],[Conc Est (m³)]],HC[[#This Row],[Conc Bloco (m³)]])</f>
        <v>29.405307237600464</v>
      </c>
      <c r="BD181" s="4">
        <f>INDEX(composicoes[],MATCH(94966,composicoes[CÓDIGO],0),MATCH("CUSTO TOTAL",composicoes[#Headers],0))</f>
        <v>439.52</v>
      </c>
      <c r="BE181" s="38">
        <f ca="1">HC[[#This Row],[Aço (kg)]]*HC[[#This Row],[Aço (R$/kg)]]+HC[[#This Row],[Conc (m³)]]*HC[[#This Row],[Conc (R$/m³)]]</f>
        <v>13295.682049775787</v>
      </c>
      <c r="BF181" s="4" t="str">
        <f ca="1">IF(COUNTIF(HC[#This Row],"N.S.")&gt;0,"lim.","OK")</f>
        <v>lim.</v>
      </c>
      <c r="BG181" s="4" t="str">
        <f>IF(HC[[#This Row],[Prof. (m)]]&lt;4,"lim.","OK")</f>
        <v>OK</v>
      </c>
      <c r="BH181" s="4" t="str">
        <f>IF(HC[[#This Row],[Prof. (m)]]&gt;=8*HC[[#This Row],[Ø (cm)]]/100,"OK","lim.")</f>
        <v>OK</v>
      </c>
      <c r="BI181" s="4" t="str">
        <f ca="1">IF(HC[[#This Row],[Verif. Biela]]="OK","OK","lim.")</f>
        <v>OK</v>
      </c>
      <c r="BJ181" s="4" t="str">
        <f ca="1">IF(COUNTA(HC[[#This Row],[Nº Est.]:[Biela comp.]])=COUNTIF(HC[[#This Row],[Nº Est.]:[Biela comp.]],"OK"),"OK","lim.")</f>
        <v>lim.</v>
      </c>
      <c r="BK181" s="4" t="str">
        <f ca="1">IF(HC[[#This Row],[Controle]]="OK",HC[[#This Row],[nE]]&amp;" Ø"&amp;HC[[#This Row],[Ø (cm)]]&amp;"cm Prof. "&amp;HC[[#This Row],[Prof. (m)]]&amp;" m","")</f>
        <v/>
      </c>
      <c r="BL181" s="4" t="str">
        <f ca="1">IF(HC[[#This Row],[idDimensionamento]]="","",HC[[#This Row],[idPilar]]&amp;HC[[#This Row],[idDimensionamento]])</f>
        <v/>
      </c>
    </row>
    <row r="182" spans="2:64" x14ac:dyDescent="0.25">
      <c r="B182" s="12">
        <f>ROUNDUP((ROW(HC[[#This Row],[idDiâmetro]])-ROW(HC[[#Headers],[idDiâmetro]]))/(COUNT(SPT[Prof. (m)])*COUNT(PILARES[Pilar])),0)</f>
        <v>7</v>
      </c>
      <c r="C182" s="12">
        <f>IF(HC[[#This Row],[idDiâmetro]]&lt;&gt;B181,1,IF(HC[[#This Row],[Prof. (m)]]=0,C181+1,C181))</f>
        <v>1</v>
      </c>
      <c r="D182" s="1">
        <f>IFERROR(IF(D181=MAX(SPT[Prof. (m)]),0,D181+1),0)</f>
        <v>9</v>
      </c>
      <c r="E182" s="1">
        <f>INDEX(SPT[],MATCH(HC[[#This Row],[Prof. (m)]],SPT[Prof. (m)],0),2)</f>
        <v>26</v>
      </c>
      <c r="F182" s="1" t="str">
        <f>INDEX(SPT[],MATCH(HC[[#This Row],[Prof. (m)]],SPT[Prof. (m)],0),3)</f>
        <v>Areia siltosa</v>
      </c>
      <c r="G182" s="1">
        <f>INDEX(estacas[],HC[[#This Row],[idDiâmetro]],MATCH($B$2,estacas[#Headers],0))</f>
        <v>60</v>
      </c>
      <c r="H182" s="1">
        <f>INDEX(estacas[],MATCH(HC[[#This Row],[Ø (cm)]],estacas[Ø HC (cm)],0),MATCH(HC[[#Headers],[Pe HC (kN)]],estacas[#Headers],0))</f>
        <v>1800</v>
      </c>
      <c r="I182" s="4">
        <f>INDEX(K_alpha_C[],MATCH(HC[[#This Row],[Solo]],K_alpha_C[Solo],0),2)</f>
        <v>0.8</v>
      </c>
      <c r="J182" s="5">
        <f>INDEX(K_alpha_C[],MATCH(HC[[#This Row],[Solo]],K_alpha_C[Solo],0),3)</f>
        <v>2</v>
      </c>
      <c r="K182" s="4">
        <f>INDEX(F1_F2[],MATCH($D$2,F1_F2[Tipo de estaca],0),2)</f>
        <v>2</v>
      </c>
      <c r="L182" s="4">
        <f>INDEX(F1_F2[],MATCH($D$2,F1_F2[Tipo de estaca],0),3)</f>
        <v>4</v>
      </c>
      <c r="M182" s="4">
        <f>PI()*(HC[[#This Row],[Ø (cm)]]/100)^2/4</f>
        <v>0.28274333882308139</v>
      </c>
      <c r="N182" s="4">
        <f>PI()*HC[[#This Row],[Ø (cm)]]/100</f>
        <v>1.8849555921538756</v>
      </c>
      <c r="O182" s="4">
        <f>IF(HC[[#This Row],[Prof. (m)]]=0,0,HC[[#This Row],[α (%)]]/100*HC[[#This Row],[K (MPa)]]*1000*HC[[#This Row],[NSPT]])</f>
        <v>416</v>
      </c>
      <c r="P182" s="4">
        <f>IF(HC[[#This Row],[Prof. (m)]]=0,0,(HC[[#This Row],[K (MPa)]]*1000*HC[[#This Row],[NSPT]]/HC[[#This Row],[F1]]*HC[[#This Row],[Ap (m²)]]+HC[[#This Row],[U (m)]]/HC[[#This Row],[F2]]*SUMIFS(HC[(α∙K∙NL∙ΔL)],HC[Prof. (m)],"&lt;="&amp;HC[[#This Row],[Prof. (m)]],HC[idDiâmetro],HC[[#This Row],[idDiâmetro]],HC[idPilar],HC[[#This Row],[idPilar]]))/'DADOS CAP. CARGA'!$D$2)</f>
        <v>1803.8789397463572</v>
      </c>
      <c r="Q182" s="12">
        <f>INDEX(C_alpha_beta[],MATCH(HC[[#This Row],[Solo]],C_alpha_beta[Solo],0),MATCH(HC[[#Headers],[C (kPa)]],C_alpha_beta[#Headers],0))</f>
        <v>400</v>
      </c>
      <c r="R182" s="4">
        <f>INDEX(C_alpha_beta[],MATCH(HC[[#This Row],[Solo]],C_alpha_beta[Solo],0),MATCH(HC[[#Headers],[α ESF]],C_alpha_beta[#Headers],0))</f>
        <v>0.5</v>
      </c>
      <c r="S182" s="4">
        <f>INDEX(C_alpha_beta[],MATCH(HC[[#This Row],[Solo]],C_alpha_beta[Solo],0),MATCH(HC[[#Headers],[β ESF]],C_alpha_beta[#Headers],0))</f>
        <v>0.5</v>
      </c>
      <c r="T182" s="4">
        <f>IF(HC[[#This Row],[Prof. (m)]]=0,0,10*(HC[[#This Row],[NSPT]]/3+1))</f>
        <v>96.666666666666657</v>
      </c>
      <c r="U182" s="4">
        <f>(HC[[#This Row],[α ESF]]*HC[[#This Row],[C (kPa)]]*HC[[#This Row],[NSPT]]*HC[[#This Row],[Ap (m²)]])/'DADOS CAP. CARGA'!$Q$2+(HC[[#This Row],[β ESF]]*SUMIFS(HC[10∙(NL/3+1)],HC[Prof. (m)],"&lt;="&amp;HC[[#This Row],[Prof. (m)]],HC[idDiâmetro],HC[[#This Row],[idDiâmetro]],HC[idPilar],HC[[#This Row],[idPilar]])*HC[[#This Row],[U (m)]])/'DADOS CAP. CARGA'!$S$2</f>
        <v>563.91588131936783</v>
      </c>
      <c r="V182" s="4">
        <f>IF(SPT!$M$5=1,MIN(HC[[#This Row],[Pe HC (kN)]],HC[[#This Row],[R_AV (kN)]]),IF(SPT!$M$5=2,MIN(HC[[#This Row],[Pe HC (kN)]],HC[[#This Row],[R_DC (kN)]]),MIN(HC[[#This Row],[Pe HC (kN)]],HC[[#This Row],[R_AV (kN)]],HC[[#This Row],[R_DC (kN)]])))</f>
        <v>563.91588131936783</v>
      </c>
      <c r="W182" s="4">
        <f>INDEX(PILARES[],HC[[#This Row],[idPilar]],MATCH("Carga (kN)",PILARES[#Headers],0))*1.4</f>
        <v>3500</v>
      </c>
      <c r="X182" s="12">
        <f>INDEX(PILARES[],HC[[#This Row],[idPilar]],MATCH(HC[[#Headers],[ap (cm)]],PILARES[#Headers],0))</f>
        <v>60</v>
      </c>
      <c r="Y182" s="12">
        <f>INDEX(PILARES[],HC[[#This Row],[idPilar]],MATCH(HC[[#Headers],[bp (cm)]],PILARES[#Headers],0))</f>
        <v>60</v>
      </c>
      <c r="Z182" s="4">
        <f>SQRT(HC[[#This Row],[ap (cm)]]*HC[[#This Row],[bp (cm)]])</f>
        <v>60</v>
      </c>
      <c r="AA182" s="12">
        <f>HC[[#This Row],[ap (cm)]]*HC[[#This Row],[bp (cm)]]</f>
        <v>3600</v>
      </c>
      <c r="AB182" s="12">
        <f ca="1">IF(HC[[#This Row],[Padm∙ε (kN)]]&gt;=HC[[#This Row],[Padm (kN)]],ROUNDUP(1.05*HC[[#This Row],[Nsd (kN)]]/HC[[#This Row],[Padm (kN)]],0),ROUNDUP(1.05*HC[[#This Row],[Nsd (kN)]]/HC[[#This Row],[Padm (kN)]],0)+1)</f>
        <v>7</v>
      </c>
      <c r="AC182" s="4" t="str">
        <f ca="1">IFERROR(IF(HC[[#This Row],[nE]]=1,HC[[#This Row],[Padm (kN)]],HC[[#This Row],[Padm (kN)]]*HC[[#This Row],[nE]]*INDEX(grupoEstacas[],HC[[#This Row],[nE]],MATCH("ε",grupoEstacas[#Headers],0))),"N.S.")</f>
        <v>N.S.</v>
      </c>
      <c r="AD182" s="4">
        <f ca="1">1.05*HC[[#This Row],[Nsd (kN)]]/(HC[[#This Row],[nE]]*PI()*HC[[#This Row],[Ø (cm)]]^2/4)*10</f>
        <v>1.8568076694054456</v>
      </c>
      <c r="AE182" s="4">
        <f ca="1">IF(HC[[#This Row],[σ (MPa)]]&lt;INDEX(tipoEstaca[],MATCH($D$2,tipoEstaca[TIPO DE ESTACA],0),MATCH("σmáx (MPa)",tipoEstaca[#Headers],0)),0.4%*PI()*HC[[#This Row],[Ø (cm)]]^2/4,"N.S.")</f>
        <v>11.309733552923255</v>
      </c>
      <c r="AF182" s="1">
        <f>INDEX(tipoEstaca[],MATCH($D$2,tipoEstaca[TIPO DE ESTACA],0),MATCH(HC[[#Headers],[Comprimento (m)]],tipoEstaca[#Headers],0))</f>
        <v>4</v>
      </c>
      <c r="AG182" s="5">
        <f ca="1">HC[[#This Row],[As,mín (cm²)]]/100^2*HC[[#This Row],[Comprimento (m)]]*7850</f>
        <v>35.512563356179022</v>
      </c>
      <c r="AH182" s="4">
        <f ca="1">HC[[#This Row],[nE]]*HC[[#This Row],[Prof. (m)]]*HC[[#This Row],[Ap (m²)]]</f>
        <v>17.812830345854128</v>
      </c>
      <c r="AI182" s="1">
        <f ca="1">IF(HC[[#This Row],[nE]]=1,0,MAX(3*HC[[#This Row],[Ø (cm)]],60))</f>
        <v>180</v>
      </c>
      <c r="AJ182" s="1">
        <f ca="1">IF(HC[[#This Row],[nE]]=1,HC[[#This Row],[Ø (cm)]]+2*10,MAX(1.5*HC[[#This Row],[Ø (cm)]],HC[[#This Row],[Ø (cm)]]+15))</f>
        <v>90</v>
      </c>
      <c r="AK182" s="1" t="str">
        <f ca="1">alturaUtil(HC[[#This Row],[nE]],HC[[#This Row],[Ø (cm)]],HC[[#This Row],[e (cm)]],HC[[#This Row],[ap,eq (cm)]])</f>
        <v>N.S.</v>
      </c>
      <c r="AL182" s="1" t="str">
        <f ca="1">IFERROR(HC[[#This Row],[d (cm)]]+arredondarParaCimaMultiplo5cm(MAX(5,SQRT(PI())/2*HC[[#This Row],[Ø (cm)]]/5)),"N.S.")</f>
        <v>N.S.</v>
      </c>
      <c r="AM182" s="5" t="str">
        <f ca="1">alpha(HC[[#This Row],[nE]],HC[[#This Row],[d (cm)]],HC[[#This Row],[e (cm)]],HC[[#This Row],[ap,eq (cm)]])</f>
        <v>N.S.</v>
      </c>
      <c r="AN182" s="35" t="str">
        <f ca="1">IFERROR(HC[[#This Row],[Nsd (kN)]]/(HC[[#This Row],[Ap (cm²)]]*SIN(HC[[#This Row],[α]])^2),"N.S.")</f>
        <v>N.S.</v>
      </c>
      <c r="AO182" s="35" t="str">
        <f ca="1">IFERROR(HC[[#This Row],[Nsd (kN)]]/(HC[[#This Row],[nE]]*PI()*HC[[#This Row],[Ø (cm)]]^2/4*SIN(HC[[#This Row],[α]])^2),"N.S.")</f>
        <v>N.S.</v>
      </c>
      <c r="AP182" s="4" t="str">
        <f ca="1">IFERROR(INDEX(grupoEstacas[],HC[[#This Row],[nE]],MATCH("coef. Blévot",grupoEstacas[#Headers],0)),"N.S.")</f>
        <v>N.S.</v>
      </c>
      <c r="AQ182" s="35" t="str">
        <f ca="1">IFERROR(HC[[#This Row],[coef. Blévot]]*0.9*INDEX(tipoEstaca[],MATCH($D$2,tipoEstaca[TIPO DE ESTACA],0),MATCH("fcd (kN/cm²)",tipoEstaca[#Headers],0)),"N.S.")</f>
        <v>N.S.</v>
      </c>
      <c r="AR182" s="1" t="str">
        <f ca="1">IF(AND(HC[[#This Row],[cd,b,pil (kN/cm²)]]&lt;=HC[[#This Row],[cd,b,lim (kN/cm²)]],HC[[#This Row],[cd,b,est (kN/cm²)]]&lt;=HC[[#This Row],[cd,b,lim (kN/cm²)]]),"OK","ERRO")</f>
        <v>OK</v>
      </c>
      <c r="AS182" s="4" t="str">
        <f ca="1">As_lado(HC[[#This Row],[nE]],HC[[#This Row],[Nsd (kN)]],HC[[#This Row],[d (cm)]],HC[[#This Row],[e (cm)]],HC[[#This Row],[ap,eq (cm)]])</f>
        <v>N.S.</v>
      </c>
      <c r="AT182" s="4" t="str">
        <f ca="1">IF(HC[[#This Row],[nE]]=1,HC[[#This Row],[As,lado (cm²)]],IF(HC[[#This Row],[nE]]=2,0.075*2*HC[a (cm)],"N.A."))</f>
        <v>N.A.</v>
      </c>
      <c r="AU182" s="4" t="str">
        <f ca="1">IFERROR(IF(HC[[#This Row],[nE]]=1,"N.A.",0.2*HC[[#This Row],[As,lado (cm²)]]),"N.S.")</f>
        <v>N.S.</v>
      </c>
      <c r="AV182" s="4" t="str">
        <f ca="1">As_malha(HC[[#This Row],[nE]],HC[[#This Row],[As,lado (cm²)]],HC[[#This Row],[Nsd (kN)]])</f>
        <v>N.S.</v>
      </c>
      <c r="AW182" s="4" t="str">
        <f ca="1">As_susp_tot(HC[[#This Row],[nE]],HC[[#This Row],[Nsd (kN)]])</f>
        <v>N.S.</v>
      </c>
      <c r="AX182" s="4" t="str">
        <f ca="1">Asp_face(HC[[#This Row],[nE]],HC[[#This Row],[As,lado (cm²)]])</f>
        <v>N.S.</v>
      </c>
      <c r="AY182" s="5" t="str">
        <f ca="1">acoBloco(HC[[#This Row],[nE]],HC[[#This Row],[e (cm)]],HC[[#This Row],[a (cm)]],HC[[#This Row],[h (cm)]],HC[[#This Row],[As,lado (cm²)]],HC[[#This Row],[Asp e Asw (cm²/m)]],HC[[#This Row],[As,sup (cm²)]],HC[[#This Row],[As,malha (cm²)]],HC[[#This Row],[As,susp,tot (cm²)]],HC[[#This Row],[Asp,face (cm²)]])</f>
        <v>N.S.</v>
      </c>
      <c r="AZ182" s="4" t="str">
        <f ca="1">concretoBloco(HC[[#This Row],[nE]],HC[[#This Row],[e (cm)]],HC[[#This Row],[a (cm)]],HC[[#This Row],[h (cm)]])</f>
        <v>N.S.</v>
      </c>
      <c r="BA182" s="5">
        <f ca="1">SUM(HC[[#This Row],[Aço Est (kg)]],HC[[#This Row],[Aço Bloco (kg)]])</f>
        <v>35.512563356179022</v>
      </c>
      <c r="BB182" s="4">
        <f>INDEX(composicoes[],MATCH(95580,composicoes[CÓDIGO],0),MATCH("CUSTO TOTAL",composicoes[#Headers],0))</f>
        <v>10.46</v>
      </c>
      <c r="BC182" s="4">
        <f ca="1">SUM(HC[[#This Row],[Conc Est (m³)]],HC[[#This Row],[Conc Bloco (m³)]])</f>
        <v>17.812830345854128</v>
      </c>
      <c r="BD182" s="4">
        <f>INDEX(composicoes[],MATCH(94966,composicoes[CÓDIGO],0),MATCH("CUSTO TOTAL",composicoes[#Headers],0))</f>
        <v>439.52</v>
      </c>
      <c r="BE182" s="38">
        <f ca="1">HC[[#This Row],[Aço (kg)]]*HC[[#This Row],[Aço (R$/kg)]]+HC[[#This Row],[Conc (m³)]]*HC[[#This Row],[Conc (R$/m³)]]</f>
        <v>8200.5566063154383</v>
      </c>
      <c r="BF182" s="4" t="str">
        <f ca="1">IF(COUNTIF(HC[#This Row],"N.S.")&gt;0,"lim.","OK")</f>
        <v>lim.</v>
      </c>
      <c r="BG182" s="4" t="str">
        <f>IF(HC[[#This Row],[Prof. (m)]]&lt;4,"lim.","OK")</f>
        <v>OK</v>
      </c>
      <c r="BH182" s="4" t="str">
        <f>IF(HC[[#This Row],[Prof. (m)]]&gt;=8*HC[[#This Row],[Ø (cm)]]/100,"OK","lim.")</f>
        <v>OK</v>
      </c>
      <c r="BI182" s="4" t="str">
        <f ca="1">IF(HC[[#This Row],[Verif. Biela]]="OK","OK","lim.")</f>
        <v>OK</v>
      </c>
      <c r="BJ182" s="4" t="str">
        <f ca="1">IF(COUNTA(HC[[#This Row],[Nº Est.]:[Biela comp.]])=COUNTIF(HC[[#This Row],[Nº Est.]:[Biela comp.]],"OK"),"OK","lim.")</f>
        <v>lim.</v>
      </c>
      <c r="BK182" s="4" t="str">
        <f ca="1">IF(HC[[#This Row],[Controle]]="OK",HC[[#This Row],[nE]]&amp;" Ø"&amp;HC[[#This Row],[Ø (cm)]]&amp;"cm Prof. "&amp;HC[[#This Row],[Prof. (m)]]&amp;" m","")</f>
        <v/>
      </c>
      <c r="BL182" s="4" t="str">
        <f ca="1">IF(HC[[#This Row],[idDimensionamento]]="","",HC[[#This Row],[idPilar]]&amp;HC[[#This Row],[idDimensionamento]])</f>
        <v/>
      </c>
    </row>
    <row r="183" spans="2:64" x14ac:dyDescent="0.25">
      <c r="B183" s="12">
        <f>ROUNDUP((ROW(HC[[#This Row],[idDiâmetro]])-ROW(HC[[#Headers],[idDiâmetro]]))/(COUNT(SPT[Prof. (m)])*COUNT(PILARES[Pilar])),0)</f>
        <v>7</v>
      </c>
      <c r="C183" s="12">
        <f>IF(HC[[#This Row],[idDiâmetro]]&lt;&gt;B182,1,IF(HC[[#This Row],[Prof. (m)]]=0,C182+1,C182))</f>
        <v>1</v>
      </c>
      <c r="D183" s="1">
        <f>IFERROR(IF(D182=MAX(SPT[Prof. (m)]),0,D182+1),0)</f>
        <v>10</v>
      </c>
      <c r="E183" s="1">
        <f>INDEX(SPT[],MATCH(HC[[#This Row],[Prof. (m)]],SPT[Prof. (m)],0),2)</f>
        <v>32</v>
      </c>
      <c r="F183" s="1" t="str">
        <f>INDEX(SPT[],MATCH(HC[[#This Row],[Prof. (m)]],SPT[Prof. (m)],0),3)</f>
        <v>Areia siltosa</v>
      </c>
      <c r="G183" s="1">
        <f>INDEX(estacas[],HC[[#This Row],[idDiâmetro]],MATCH($B$2,estacas[#Headers],0))</f>
        <v>60</v>
      </c>
      <c r="H183" s="1">
        <f>INDEX(estacas[],MATCH(HC[[#This Row],[Ø (cm)]],estacas[Ø HC (cm)],0),MATCH(HC[[#Headers],[Pe HC (kN)]],estacas[#Headers],0))</f>
        <v>1800</v>
      </c>
      <c r="I183" s="4">
        <f>INDEX(K_alpha_C[],MATCH(HC[[#This Row],[Solo]],K_alpha_C[Solo],0),2)</f>
        <v>0.8</v>
      </c>
      <c r="J183" s="5">
        <f>INDEX(K_alpha_C[],MATCH(HC[[#This Row],[Solo]],K_alpha_C[Solo],0),3)</f>
        <v>2</v>
      </c>
      <c r="K183" s="4">
        <f>INDEX(F1_F2[],MATCH($D$2,F1_F2[Tipo de estaca],0),2)</f>
        <v>2</v>
      </c>
      <c r="L183" s="4">
        <f>INDEX(F1_F2[],MATCH($D$2,F1_F2[Tipo de estaca],0),3)</f>
        <v>4</v>
      </c>
      <c r="M183" s="4">
        <f>PI()*(HC[[#This Row],[Ø (cm)]]/100)^2/4</f>
        <v>0.28274333882308139</v>
      </c>
      <c r="N183" s="4">
        <f>PI()*HC[[#This Row],[Ø (cm)]]/100</f>
        <v>1.8849555921538756</v>
      </c>
      <c r="O183" s="4">
        <f>IF(HC[[#This Row],[Prof. (m)]]=0,0,HC[[#This Row],[α (%)]]/100*HC[[#This Row],[K (MPa)]]*1000*HC[[#This Row],[NSPT]])</f>
        <v>512</v>
      </c>
      <c r="P183" s="4">
        <f>IF(HC[[#This Row],[Prof. (m)]]=0,0,(HC[[#This Row],[K (MPa)]]*1000*HC[[#This Row],[NSPT]]/HC[[#This Row],[F1]]*HC[[#This Row],[Ap (m²)]]+HC[[#This Row],[U (m)]]/HC[[#This Row],[F2]]*SUMIFS(HC[(α∙K∙NL∙ΔL)],HC[Prof. (m)],"&lt;="&amp;HC[[#This Row],[Prof. (m)]],HC[idDiâmetro],HC[[#This Row],[idDiâmetro]],HC[idPilar],HC[[#This Row],[idPilar]]))/'DADOS CAP. CARGA'!$D$2)</f>
        <v>2263.8081042319031</v>
      </c>
      <c r="Q183" s="12">
        <f>INDEX(C_alpha_beta[],MATCH(HC[[#This Row],[Solo]],C_alpha_beta[Solo],0),MATCH(HC[[#Headers],[C (kPa)]],C_alpha_beta[#Headers],0))</f>
        <v>400</v>
      </c>
      <c r="R183" s="4">
        <f>INDEX(C_alpha_beta[],MATCH(HC[[#This Row],[Solo]],C_alpha_beta[Solo],0),MATCH(HC[[#Headers],[α ESF]],C_alpha_beta[#Headers],0))</f>
        <v>0.5</v>
      </c>
      <c r="S183" s="4">
        <f>INDEX(C_alpha_beta[],MATCH(HC[[#This Row],[Solo]],C_alpha_beta[Solo],0),MATCH(HC[[#Headers],[β ESF]],C_alpha_beta[#Headers],0))</f>
        <v>0.5</v>
      </c>
      <c r="T183" s="4">
        <f>IF(HC[[#This Row],[Prof. (m)]]=0,0,10*(HC[[#This Row],[NSPT]]/3+1))</f>
        <v>116.66666666666666</v>
      </c>
      <c r="U183" s="4">
        <f>(HC[[#This Row],[α ESF]]*HC[[#This Row],[C (kPa)]]*HC[[#This Row],[NSPT]]*HC[[#This Row],[Ap (m²)]])/'DADOS CAP. CARGA'!$Q$2+(HC[[#This Row],[β ESF]]*SUMIFS(HC[10∙(NL/3+1)],HC[Prof. (m)],"&lt;="&amp;HC[[#This Row],[Prof. (m)]],HC[idDiâmetro],HC[[#This Row],[idDiâmetro]],HC[idPilar],HC[[#This Row],[idPilar]])*HC[[#This Row],[U (m)]])/'DADOS CAP. CARGA'!$S$2</f>
        <v>703.71675440411354</v>
      </c>
      <c r="V183" s="4">
        <f>IF(SPT!$M$5=1,MIN(HC[[#This Row],[Pe HC (kN)]],HC[[#This Row],[R_AV (kN)]]),IF(SPT!$M$5=2,MIN(HC[[#This Row],[Pe HC (kN)]],HC[[#This Row],[R_DC (kN)]]),MIN(HC[[#This Row],[Pe HC (kN)]],HC[[#This Row],[R_AV (kN)]],HC[[#This Row],[R_DC (kN)]])))</f>
        <v>703.71675440411354</v>
      </c>
      <c r="W183" s="4">
        <f>INDEX(PILARES[],HC[[#This Row],[idPilar]],MATCH("Carga (kN)",PILARES[#Headers],0))*1.4</f>
        <v>3500</v>
      </c>
      <c r="X183" s="12">
        <f>INDEX(PILARES[],HC[[#This Row],[idPilar]],MATCH(HC[[#Headers],[ap (cm)]],PILARES[#Headers],0))</f>
        <v>60</v>
      </c>
      <c r="Y183" s="12">
        <f>INDEX(PILARES[],HC[[#This Row],[idPilar]],MATCH(HC[[#Headers],[bp (cm)]],PILARES[#Headers],0))</f>
        <v>60</v>
      </c>
      <c r="Z183" s="4">
        <f>SQRT(HC[[#This Row],[ap (cm)]]*HC[[#This Row],[bp (cm)]])</f>
        <v>60</v>
      </c>
      <c r="AA183" s="12">
        <f>HC[[#This Row],[ap (cm)]]*HC[[#This Row],[bp (cm)]]</f>
        <v>3600</v>
      </c>
      <c r="AB183" s="12">
        <f ca="1">IF(HC[[#This Row],[Padm∙ε (kN)]]&gt;=HC[[#This Row],[Padm (kN)]],ROUNDUP(1.05*HC[[#This Row],[Nsd (kN)]]/HC[[#This Row],[Padm (kN)]],0),ROUNDUP(1.05*HC[[#This Row],[Nsd (kN)]]/HC[[#This Row],[Padm (kN)]],0)+1)</f>
        <v>6</v>
      </c>
      <c r="AC183" s="4" t="str">
        <f ca="1">IFERROR(IF(HC[[#This Row],[nE]]=1,HC[[#This Row],[Padm (kN)]],HC[[#This Row],[Padm (kN)]]*HC[[#This Row],[nE]]*INDEX(grupoEstacas[],HC[[#This Row],[nE]],MATCH("ε",grupoEstacas[#Headers],0))),"N.S.")</f>
        <v>N.S.</v>
      </c>
      <c r="AD183" s="4">
        <f ca="1">1.05*HC[[#This Row],[Nsd (kN)]]/(HC[[#This Row],[nE]]*PI()*HC[[#This Row],[Ø (cm)]]^2/4)*10</f>
        <v>2.1662756143063531</v>
      </c>
      <c r="AE183" s="4">
        <f ca="1">IF(HC[[#This Row],[σ (MPa)]]&lt;INDEX(tipoEstaca[],MATCH($D$2,tipoEstaca[TIPO DE ESTACA],0),MATCH("σmáx (MPa)",tipoEstaca[#Headers],0)),0.4%*PI()*HC[[#This Row],[Ø (cm)]]^2/4,"N.S.")</f>
        <v>11.309733552923255</v>
      </c>
      <c r="AF183" s="1">
        <f>INDEX(tipoEstaca[],MATCH($D$2,tipoEstaca[TIPO DE ESTACA],0),MATCH(HC[[#Headers],[Comprimento (m)]],tipoEstaca[#Headers],0))</f>
        <v>4</v>
      </c>
      <c r="AG183" s="5">
        <f ca="1">HC[[#This Row],[As,mín (cm²)]]/100^2*HC[[#This Row],[Comprimento (m)]]*7850</f>
        <v>35.512563356179022</v>
      </c>
      <c r="AH183" s="4">
        <f ca="1">HC[[#This Row],[nE]]*HC[[#This Row],[Prof. (m)]]*HC[[#This Row],[Ap (m²)]]</f>
        <v>16.964600329384883</v>
      </c>
      <c r="AI183" s="1">
        <f ca="1">IF(HC[[#This Row],[nE]]=1,0,MAX(3*HC[[#This Row],[Ø (cm)]],60))</f>
        <v>180</v>
      </c>
      <c r="AJ183" s="1">
        <f ca="1">IF(HC[[#This Row],[nE]]=1,HC[[#This Row],[Ø (cm)]]+2*10,MAX(1.5*HC[[#This Row],[Ø (cm)]],HC[[#This Row],[Ø (cm)]]+15))</f>
        <v>90</v>
      </c>
      <c r="AK183" s="1" t="str">
        <f ca="1">alturaUtil(HC[[#This Row],[nE]],HC[[#This Row],[Ø (cm)]],HC[[#This Row],[e (cm)]],HC[[#This Row],[ap,eq (cm)]])</f>
        <v>N.S.</v>
      </c>
      <c r="AL183" s="1" t="str">
        <f ca="1">IFERROR(HC[[#This Row],[d (cm)]]+arredondarParaCimaMultiplo5cm(MAX(5,SQRT(PI())/2*HC[[#This Row],[Ø (cm)]]/5)),"N.S.")</f>
        <v>N.S.</v>
      </c>
      <c r="AM183" s="5" t="str">
        <f ca="1">alpha(HC[[#This Row],[nE]],HC[[#This Row],[d (cm)]],HC[[#This Row],[e (cm)]],HC[[#This Row],[ap,eq (cm)]])</f>
        <v>N.S.</v>
      </c>
      <c r="AN183" s="35" t="str">
        <f ca="1">IFERROR(HC[[#This Row],[Nsd (kN)]]/(HC[[#This Row],[Ap (cm²)]]*SIN(HC[[#This Row],[α]])^2),"N.S.")</f>
        <v>N.S.</v>
      </c>
      <c r="AO183" s="35" t="str">
        <f ca="1">IFERROR(HC[[#This Row],[Nsd (kN)]]/(HC[[#This Row],[nE]]*PI()*HC[[#This Row],[Ø (cm)]]^2/4*SIN(HC[[#This Row],[α]])^2),"N.S.")</f>
        <v>N.S.</v>
      </c>
      <c r="AP183" s="4" t="str">
        <f ca="1">IFERROR(INDEX(grupoEstacas[],HC[[#This Row],[nE]],MATCH("coef. Blévot",grupoEstacas[#Headers],0)),"N.S.")</f>
        <v>N.S.</v>
      </c>
      <c r="AQ183" s="35" t="str">
        <f ca="1">IFERROR(HC[[#This Row],[coef. Blévot]]*0.9*INDEX(tipoEstaca[],MATCH($D$2,tipoEstaca[TIPO DE ESTACA],0),MATCH("fcd (kN/cm²)",tipoEstaca[#Headers],0)),"N.S.")</f>
        <v>N.S.</v>
      </c>
      <c r="AR183" s="1" t="str">
        <f ca="1">IF(AND(HC[[#This Row],[cd,b,pil (kN/cm²)]]&lt;=HC[[#This Row],[cd,b,lim (kN/cm²)]],HC[[#This Row],[cd,b,est (kN/cm²)]]&lt;=HC[[#This Row],[cd,b,lim (kN/cm²)]]),"OK","ERRO")</f>
        <v>OK</v>
      </c>
      <c r="AS183" s="4" t="str">
        <f ca="1">As_lado(HC[[#This Row],[nE]],HC[[#This Row],[Nsd (kN)]],HC[[#This Row],[d (cm)]],HC[[#This Row],[e (cm)]],HC[[#This Row],[ap,eq (cm)]])</f>
        <v>N.S.</v>
      </c>
      <c r="AT183" s="4" t="str">
        <f ca="1">IF(HC[[#This Row],[nE]]=1,HC[[#This Row],[As,lado (cm²)]],IF(HC[[#This Row],[nE]]=2,0.075*2*HC[a (cm)],"N.A."))</f>
        <v>N.A.</v>
      </c>
      <c r="AU183" s="4" t="str">
        <f ca="1">IFERROR(IF(HC[[#This Row],[nE]]=1,"N.A.",0.2*HC[[#This Row],[As,lado (cm²)]]),"N.S.")</f>
        <v>N.S.</v>
      </c>
      <c r="AV183" s="4" t="str">
        <f ca="1">As_malha(HC[[#This Row],[nE]],HC[[#This Row],[As,lado (cm²)]],HC[[#This Row],[Nsd (kN)]])</f>
        <v>N.S.</v>
      </c>
      <c r="AW183" s="4" t="str">
        <f ca="1">As_susp_tot(HC[[#This Row],[nE]],HC[[#This Row],[Nsd (kN)]])</f>
        <v>N.S.</v>
      </c>
      <c r="AX183" s="4" t="str">
        <f ca="1">Asp_face(HC[[#This Row],[nE]],HC[[#This Row],[As,lado (cm²)]])</f>
        <v>N.S.</v>
      </c>
      <c r="AY183" s="5" t="str">
        <f ca="1">acoBloco(HC[[#This Row],[nE]],HC[[#This Row],[e (cm)]],HC[[#This Row],[a (cm)]],HC[[#This Row],[h (cm)]],HC[[#This Row],[As,lado (cm²)]],HC[[#This Row],[Asp e Asw (cm²/m)]],HC[[#This Row],[As,sup (cm²)]],HC[[#This Row],[As,malha (cm²)]],HC[[#This Row],[As,susp,tot (cm²)]],HC[[#This Row],[Asp,face (cm²)]])</f>
        <v>N.S.</v>
      </c>
      <c r="AZ183" s="4" t="str">
        <f ca="1">concretoBloco(HC[[#This Row],[nE]],HC[[#This Row],[e (cm)]],HC[[#This Row],[a (cm)]],HC[[#This Row],[h (cm)]])</f>
        <v>N.S.</v>
      </c>
      <c r="BA183" s="5">
        <f ca="1">SUM(HC[[#This Row],[Aço Est (kg)]],HC[[#This Row],[Aço Bloco (kg)]])</f>
        <v>35.512563356179022</v>
      </c>
      <c r="BB183" s="4">
        <f>INDEX(composicoes[],MATCH(95580,composicoes[CÓDIGO],0),MATCH("CUSTO TOTAL",composicoes[#Headers],0))</f>
        <v>10.46</v>
      </c>
      <c r="BC183" s="4">
        <f ca="1">SUM(HC[[#This Row],[Conc Est (m³)]],HC[[#This Row],[Conc Bloco (m³)]])</f>
        <v>16.964600329384883</v>
      </c>
      <c r="BD183" s="4">
        <f>INDEX(composicoes[],MATCH(94966,composicoes[CÓDIGO],0),MATCH("CUSTO TOTAL",composicoes[#Headers],0))</f>
        <v>439.52</v>
      </c>
      <c r="BE183" s="38">
        <f ca="1">HC[[#This Row],[Aço (kg)]]*HC[[#This Row],[Aço (R$/kg)]]+HC[[#This Row],[Conc (m³)]]*HC[[#This Row],[Conc (R$/m³)]]</f>
        <v>7827.7425494768768</v>
      </c>
      <c r="BF183" s="4" t="str">
        <f ca="1">IF(COUNTIF(HC[#This Row],"N.S.")&gt;0,"lim.","OK")</f>
        <v>lim.</v>
      </c>
      <c r="BG183" s="4" t="str">
        <f>IF(HC[[#This Row],[Prof. (m)]]&lt;4,"lim.","OK")</f>
        <v>OK</v>
      </c>
      <c r="BH183" s="4" t="str">
        <f>IF(HC[[#This Row],[Prof. (m)]]&gt;=8*HC[[#This Row],[Ø (cm)]]/100,"OK","lim.")</f>
        <v>OK</v>
      </c>
      <c r="BI183" s="4" t="str">
        <f ca="1">IF(HC[[#This Row],[Verif. Biela]]="OK","OK","lim.")</f>
        <v>OK</v>
      </c>
      <c r="BJ183" s="4" t="str">
        <f ca="1">IF(COUNTA(HC[[#This Row],[Nº Est.]:[Biela comp.]])=COUNTIF(HC[[#This Row],[Nº Est.]:[Biela comp.]],"OK"),"OK","lim.")</f>
        <v>lim.</v>
      </c>
      <c r="BK183" s="4" t="str">
        <f ca="1">IF(HC[[#This Row],[Controle]]="OK",HC[[#This Row],[nE]]&amp;" Ø"&amp;HC[[#This Row],[Ø (cm)]]&amp;"cm Prof. "&amp;HC[[#This Row],[Prof. (m)]]&amp;" m","")</f>
        <v/>
      </c>
      <c r="BL183" s="4" t="str">
        <f ca="1">IF(HC[[#This Row],[idDimensionamento]]="","",HC[[#This Row],[idPilar]]&amp;HC[[#This Row],[idDimensionamento]])</f>
        <v/>
      </c>
    </row>
    <row r="184" spans="2:64" x14ac:dyDescent="0.25">
      <c r="B184" s="12">
        <f>ROUNDUP((ROW(HC[[#This Row],[idDiâmetro]])-ROW(HC[[#Headers],[idDiâmetro]]))/(COUNT(SPT[Prof. (m)])*COUNT(PILARES[Pilar])),0)</f>
        <v>7</v>
      </c>
      <c r="C184" s="12">
        <f>IF(HC[[#This Row],[idDiâmetro]]&lt;&gt;B183,1,IF(HC[[#This Row],[Prof. (m)]]=0,C183+1,C183))</f>
        <v>1</v>
      </c>
      <c r="D184" s="1">
        <f>IFERROR(IF(D183=MAX(SPT[Prof. (m)]),0,D183+1),0)</f>
        <v>11</v>
      </c>
      <c r="E184" s="1">
        <f>INDEX(SPT[],MATCH(HC[[#This Row],[Prof. (m)]],SPT[Prof. (m)],0),2)</f>
        <v>41</v>
      </c>
      <c r="F184" s="1" t="str">
        <f>INDEX(SPT[],MATCH(HC[[#This Row],[Prof. (m)]],SPT[Prof. (m)],0),3)</f>
        <v>Areia siltosa</v>
      </c>
      <c r="G184" s="1">
        <f>INDEX(estacas[],HC[[#This Row],[idDiâmetro]],MATCH($B$2,estacas[#Headers],0))</f>
        <v>60</v>
      </c>
      <c r="H184" s="1">
        <f>INDEX(estacas[],MATCH(HC[[#This Row],[Ø (cm)]],estacas[Ø HC (cm)],0),MATCH(HC[[#Headers],[Pe HC (kN)]],estacas[#Headers],0))</f>
        <v>1800</v>
      </c>
      <c r="I184" s="4">
        <f>INDEX(K_alpha_C[],MATCH(HC[[#This Row],[Solo]],K_alpha_C[Solo],0),2)</f>
        <v>0.8</v>
      </c>
      <c r="J184" s="5">
        <f>INDEX(K_alpha_C[],MATCH(HC[[#This Row],[Solo]],K_alpha_C[Solo],0),3)</f>
        <v>2</v>
      </c>
      <c r="K184" s="4">
        <f>INDEX(F1_F2[],MATCH($D$2,F1_F2[Tipo de estaca],0),2)</f>
        <v>2</v>
      </c>
      <c r="L184" s="4">
        <f>INDEX(F1_F2[],MATCH($D$2,F1_F2[Tipo de estaca],0),3)</f>
        <v>4</v>
      </c>
      <c r="M184" s="4">
        <f>PI()*(HC[[#This Row],[Ø (cm)]]/100)^2/4</f>
        <v>0.28274333882308139</v>
      </c>
      <c r="N184" s="4">
        <f>PI()*HC[[#This Row],[Ø (cm)]]/100</f>
        <v>1.8849555921538756</v>
      </c>
      <c r="O184" s="4">
        <f>IF(HC[[#This Row],[Prof. (m)]]=0,0,HC[[#This Row],[α (%)]]/100*HC[[#This Row],[K (MPa)]]*1000*HC[[#This Row],[NSPT]])</f>
        <v>656</v>
      </c>
      <c r="P184" s="4">
        <f>IF(HC[[#This Row],[Prof. (m)]]=0,0,(HC[[#This Row],[K (MPa)]]*1000*HC[[#This Row],[NSPT]]/HC[[#This Row],[F1]]*HC[[#This Row],[Ap (m²)]]+HC[[#This Row],[U (m)]]/HC[[#This Row],[F2]]*SUMIFS(HC[(α∙K∙NL∙ΔL)],HC[Prof. (m)],"&lt;="&amp;HC[[#This Row],[Prof. (m)]],HC[idDiâmetro],HC[[#This Row],[idDiâmetro]],HC[idPilar],HC[[#This Row],[idPilar]]))/'DADOS CAP. CARGA'!$D$2)</f>
        <v>2927.3124726700671</v>
      </c>
      <c r="Q184" s="12">
        <f>INDEX(C_alpha_beta[],MATCH(HC[[#This Row],[Solo]],C_alpha_beta[Solo],0),MATCH(HC[[#Headers],[C (kPa)]],C_alpha_beta[#Headers],0))</f>
        <v>400</v>
      </c>
      <c r="R184" s="4">
        <f>INDEX(C_alpha_beta[],MATCH(HC[[#This Row],[Solo]],C_alpha_beta[Solo],0),MATCH(HC[[#Headers],[α ESF]],C_alpha_beta[#Headers],0))</f>
        <v>0.5</v>
      </c>
      <c r="S184" s="4">
        <f>INDEX(C_alpha_beta[],MATCH(HC[[#This Row],[Solo]],C_alpha_beta[Solo],0),MATCH(HC[[#Headers],[β ESF]],C_alpha_beta[#Headers],0))</f>
        <v>0.5</v>
      </c>
      <c r="T184" s="4">
        <f>IF(HC[[#This Row],[Prof. (m)]]=0,0,10*(HC[[#This Row],[NSPT]]/3+1))</f>
        <v>146.66666666666666</v>
      </c>
      <c r="U184" s="4">
        <f>(HC[[#This Row],[α ESF]]*HC[[#This Row],[C (kPa)]]*HC[[#This Row],[NSPT]]*HC[[#This Row],[Ap (m²)]])/'DADOS CAP. CARGA'!$Q$2+(HC[[#This Row],[β ESF]]*SUMIFS(HC[10∙(NL/3+1)],HC[Prof. (m)],"&lt;="&amp;HC[[#This Row],[Prof. (m)]],HC[idDiâmetro],HC[[#This Row],[idDiâmetro]],HC[idPilar],HC[[#This Row],[idPilar]])*HC[[#This Row],[U (m)]])/'DADOS CAP. CARGA'!$S$2</f>
        <v>900.06629525347569</v>
      </c>
      <c r="V184" s="4">
        <f>IF(SPT!$M$5=1,MIN(HC[[#This Row],[Pe HC (kN)]],HC[[#This Row],[R_AV (kN)]]),IF(SPT!$M$5=2,MIN(HC[[#This Row],[Pe HC (kN)]],HC[[#This Row],[R_DC (kN)]]),MIN(HC[[#This Row],[Pe HC (kN)]],HC[[#This Row],[R_AV (kN)]],HC[[#This Row],[R_DC (kN)]])))</f>
        <v>900.06629525347569</v>
      </c>
      <c r="W184" s="4">
        <f>INDEX(PILARES[],HC[[#This Row],[idPilar]],MATCH("Carga (kN)",PILARES[#Headers],0))*1.4</f>
        <v>3500</v>
      </c>
      <c r="X184" s="12">
        <f>INDEX(PILARES[],HC[[#This Row],[idPilar]],MATCH(HC[[#Headers],[ap (cm)]],PILARES[#Headers],0))</f>
        <v>60</v>
      </c>
      <c r="Y184" s="12">
        <f>INDEX(PILARES[],HC[[#This Row],[idPilar]],MATCH(HC[[#Headers],[bp (cm)]],PILARES[#Headers],0))</f>
        <v>60</v>
      </c>
      <c r="Z184" s="4">
        <f>SQRT(HC[[#This Row],[ap (cm)]]*HC[[#This Row],[bp (cm)]])</f>
        <v>60</v>
      </c>
      <c r="AA184" s="12">
        <f>HC[[#This Row],[ap (cm)]]*HC[[#This Row],[bp (cm)]]</f>
        <v>3600</v>
      </c>
      <c r="AB184" s="12">
        <f ca="1">IF(HC[[#This Row],[Padm∙ε (kN)]]&gt;=HC[[#This Row],[Padm (kN)]],ROUNDUP(1.05*HC[[#This Row],[Nsd (kN)]]/HC[[#This Row],[Padm (kN)]],0),ROUNDUP(1.05*HC[[#This Row],[Nsd (kN)]]/HC[[#This Row],[Padm (kN)]],0)+1)</f>
        <v>5</v>
      </c>
      <c r="AC184" s="4" t="str">
        <f ca="1">IFERROR(IF(HC[[#This Row],[nE]]=1,HC[[#This Row],[Padm (kN)]],HC[[#This Row],[Padm (kN)]]*HC[[#This Row],[nE]]*INDEX(grupoEstacas[],HC[[#This Row],[nE]],MATCH("ε",grupoEstacas[#Headers],0))),"N.S.")</f>
        <v>N.S.</v>
      </c>
      <c r="AD184" s="4">
        <f ca="1">1.05*HC[[#This Row],[Nsd (kN)]]/(HC[[#This Row],[nE]]*PI()*HC[[#This Row],[Ø (cm)]]^2/4)*10</f>
        <v>2.599530737167624</v>
      </c>
      <c r="AE184" s="4">
        <f ca="1">IF(HC[[#This Row],[σ (MPa)]]&lt;INDEX(tipoEstaca[],MATCH($D$2,tipoEstaca[TIPO DE ESTACA],0),MATCH("σmáx (MPa)",tipoEstaca[#Headers],0)),0.4%*PI()*HC[[#This Row],[Ø (cm)]]^2/4,"N.S.")</f>
        <v>11.309733552923255</v>
      </c>
      <c r="AF184" s="1">
        <f>INDEX(tipoEstaca[],MATCH($D$2,tipoEstaca[TIPO DE ESTACA],0),MATCH(HC[[#Headers],[Comprimento (m)]],tipoEstaca[#Headers],0))</f>
        <v>4</v>
      </c>
      <c r="AG184" s="5">
        <f ca="1">HC[[#This Row],[As,mín (cm²)]]/100^2*HC[[#This Row],[Comprimento (m)]]*7850</f>
        <v>35.512563356179022</v>
      </c>
      <c r="AH184" s="4">
        <f ca="1">HC[[#This Row],[nE]]*HC[[#This Row],[Prof. (m)]]*HC[[#This Row],[Ap (m²)]]</f>
        <v>15.550883635269477</v>
      </c>
      <c r="AI184" s="1">
        <f ca="1">IF(HC[[#This Row],[nE]]=1,0,MAX(3*HC[[#This Row],[Ø (cm)]],60))</f>
        <v>180</v>
      </c>
      <c r="AJ184" s="1">
        <f ca="1">IF(HC[[#This Row],[nE]]=1,HC[[#This Row],[Ø (cm)]]+2*10,MAX(1.5*HC[[#This Row],[Ø (cm)]],HC[[#This Row],[Ø (cm)]]+15))</f>
        <v>90</v>
      </c>
      <c r="AK184" s="1" t="str">
        <f ca="1">alturaUtil(HC[[#This Row],[nE]],HC[[#This Row],[Ø (cm)]],HC[[#This Row],[e (cm)]],HC[[#This Row],[ap,eq (cm)]])</f>
        <v>N.S.</v>
      </c>
      <c r="AL184" s="1" t="str">
        <f ca="1">IFERROR(HC[[#This Row],[d (cm)]]+arredondarParaCimaMultiplo5cm(MAX(5,SQRT(PI())/2*HC[[#This Row],[Ø (cm)]]/5)),"N.S.")</f>
        <v>N.S.</v>
      </c>
      <c r="AM184" s="5" t="str">
        <f ca="1">alpha(HC[[#This Row],[nE]],HC[[#This Row],[d (cm)]],HC[[#This Row],[e (cm)]],HC[[#This Row],[ap,eq (cm)]])</f>
        <v>N.S.</v>
      </c>
      <c r="AN184" s="35" t="str">
        <f ca="1">IFERROR(HC[[#This Row],[Nsd (kN)]]/(HC[[#This Row],[Ap (cm²)]]*SIN(HC[[#This Row],[α]])^2),"N.S.")</f>
        <v>N.S.</v>
      </c>
      <c r="AO184" s="35" t="str">
        <f ca="1">IFERROR(HC[[#This Row],[Nsd (kN)]]/(HC[[#This Row],[nE]]*PI()*HC[[#This Row],[Ø (cm)]]^2/4*SIN(HC[[#This Row],[α]])^2),"N.S.")</f>
        <v>N.S.</v>
      </c>
      <c r="AP184" s="4" t="str">
        <f ca="1">IFERROR(INDEX(grupoEstacas[],HC[[#This Row],[nE]],MATCH("coef. Blévot",grupoEstacas[#Headers],0)),"N.S.")</f>
        <v>N.S.</v>
      </c>
      <c r="AQ184" s="35" t="str">
        <f ca="1">IFERROR(HC[[#This Row],[coef. Blévot]]*0.9*INDEX(tipoEstaca[],MATCH($D$2,tipoEstaca[TIPO DE ESTACA],0),MATCH("fcd (kN/cm²)",tipoEstaca[#Headers],0)),"N.S.")</f>
        <v>N.S.</v>
      </c>
      <c r="AR184" s="1" t="str">
        <f ca="1">IF(AND(HC[[#This Row],[cd,b,pil (kN/cm²)]]&lt;=HC[[#This Row],[cd,b,lim (kN/cm²)]],HC[[#This Row],[cd,b,est (kN/cm²)]]&lt;=HC[[#This Row],[cd,b,lim (kN/cm²)]]),"OK","ERRO")</f>
        <v>OK</v>
      </c>
      <c r="AS184" s="4" t="str">
        <f ca="1">As_lado(HC[[#This Row],[nE]],HC[[#This Row],[Nsd (kN)]],HC[[#This Row],[d (cm)]],HC[[#This Row],[e (cm)]],HC[[#This Row],[ap,eq (cm)]])</f>
        <v>N.S.</v>
      </c>
      <c r="AT184" s="4" t="str">
        <f ca="1">IF(HC[[#This Row],[nE]]=1,HC[[#This Row],[As,lado (cm²)]],IF(HC[[#This Row],[nE]]=2,0.075*2*HC[a (cm)],"N.A."))</f>
        <v>N.A.</v>
      </c>
      <c r="AU184" s="4" t="str">
        <f ca="1">IFERROR(IF(HC[[#This Row],[nE]]=1,"N.A.",0.2*HC[[#This Row],[As,lado (cm²)]]),"N.S.")</f>
        <v>N.S.</v>
      </c>
      <c r="AV184" s="4" t="str">
        <f ca="1">As_malha(HC[[#This Row],[nE]],HC[[#This Row],[As,lado (cm²)]],HC[[#This Row],[Nsd (kN)]])</f>
        <v>N.S.</v>
      </c>
      <c r="AW184" s="4" t="str">
        <f ca="1">As_susp_tot(HC[[#This Row],[nE]],HC[[#This Row],[Nsd (kN)]])</f>
        <v>N.S.</v>
      </c>
      <c r="AX184" s="4" t="str">
        <f ca="1">Asp_face(HC[[#This Row],[nE]],HC[[#This Row],[As,lado (cm²)]])</f>
        <v>N.S.</v>
      </c>
      <c r="AY184" s="5" t="str">
        <f ca="1">acoBloco(HC[[#This Row],[nE]],HC[[#This Row],[e (cm)]],HC[[#This Row],[a (cm)]],HC[[#This Row],[h (cm)]],HC[[#This Row],[As,lado (cm²)]],HC[[#This Row],[Asp e Asw (cm²/m)]],HC[[#This Row],[As,sup (cm²)]],HC[[#This Row],[As,malha (cm²)]],HC[[#This Row],[As,susp,tot (cm²)]],HC[[#This Row],[Asp,face (cm²)]])</f>
        <v>N.S.</v>
      </c>
      <c r="AZ184" s="4" t="str">
        <f ca="1">concretoBloco(HC[[#This Row],[nE]],HC[[#This Row],[e (cm)]],HC[[#This Row],[a (cm)]],HC[[#This Row],[h (cm)]])</f>
        <v>N.S.</v>
      </c>
      <c r="BA184" s="5">
        <f ca="1">SUM(HC[[#This Row],[Aço Est (kg)]],HC[[#This Row],[Aço Bloco (kg)]])</f>
        <v>35.512563356179022</v>
      </c>
      <c r="BB184" s="4">
        <f>INDEX(composicoes[],MATCH(95580,composicoes[CÓDIGO],0),MATCH("CUSTO TOTAL",composicoes[#Headers],0))</f>
        <v>10.46</v>
      </c>
      <c r="BC184" s="4">
        <f ca="1">SUM(HC[[#This Row],[Conc Est (m³)]],HC[[#This Row],[Conc Bloco (m³)]])</f>
        <v>15.550883635269477</v>
      </c>
      <c r="BD184" s="4">
        <f>INDEX(composicoes[],MATCH(94966,composicoes[CÓDIGO],0),MATCH("CUSTO TOTAL",composicoes[#Headers],0))</f>
        <v>439.52</v>
      </c>
      <c r="BE184" s="38">
        <f ca="1">HC[[#This Row],[Aço (kg)]]*HC[[#This Row],[Aço (R$/kg)]]+HC[[#This Row],[Conc (m³)]]*HC[[#This Row],[Conc (R$/m³)]]</f>
        <v>7206.385788079273</v>
      </c>
      <c r="BF184" s="4" t="str">
        <f ca="1">IF(COUNTIF(HC[#This Row],"N.S.")&gt;0,"lim.","OK")</f>
        <v>lim.</v>
      </c>
      <c r="BG184" s="4" t="str">
        <f>IF(HC[[#This Row],[Prof. (m)]]&lt;4,"lim.","OK")</f>
        <v>OK</v>
      </c>
      <c r="BH184" s="4" t="str">
        <f>IF(HC[[#This Row],[Prof. (m)]]&gt;=8*HC[[#This Row],[Ø (cm)]]/100,"OK","lim.")</f>
        <v>OK</v>
      </c>
      <c r="BI184" s="4" t="str">
        <f ca="1">IF(HC[[#This Row],[Verif. Biela]]="OK","OK","lim.")</f>
        <v>OK</v>
      </c>
      <c r="BJ184" s="4" t="str">
        <f ca="1">IF(COUNTA(HC[[#This Row],[Nº Est.]:[Biela comp.]])=COUNTIF(HC[[#This Row],[Nº Est.]:[Biela comp.]],"OK"),"OK","lim.")</f>
        <v>lim.</v>
      </c>
      <c r="BK184" s="4" t="str">
        <f ca="1">IF(HC[[#This Row],[Controle]]="OK",HC[[#This Row],[nE]]&amp;" Ø"&amp;HC[[#This Row],[Ø (cm)]]&amp;"cm Prof. "&amp;HC[[#This Row],[Prof. (m)]]&amp;" m","")</f>
        <v/>
      </c>
      <c r="BL184" s="4" t="str">
        <f ca="1">IF(HC[[#This Row],[idDimensionamento]]="","",HC[[#This Row],[idPilar]]&amp;HC[[#This Row],[idDimensionamento]])</f>
        <v/>
      </c>
    </row>
    <row r="185" spans="2:64" x14ac:dyDescent="0.25">
      <c r="B185" s="12">
        <f>ROUNDUP((ROW(HC[[#This Row],[idDiâmetro]])-ROW(HC[[#Headers],[idDiâmetro]]))/(COUNT(SPT[Prof. (m)])*COUNT(PILARES[Pilar])),0)</f>
        <v>7</v>
      </c>
      <c r="C185" s="12">
        <f>IF(HC[[#This Row],[idDiâmetro]]&lt;&gt;B184,1,IF(HC[[#This Row],[Prof. (m)]]=0,C184+1,C184))</f>
        <v>1</v>
      </c>
      <c r="D185" s="1">
        <f>IFERROR(IF(D184=MAX(SPT[Prof. (m)]),0,D184+1),0)</f>
        <v>12</v>
      </c>
      <c r="E185" s="1">
        <f>INDEX(SPT[],MATCH(HC[[#This Row],[Prof. (m)]],SPT[Prof. (m)],0),2)</f>
        <v>52</v>
      </c>
      <c r="F185" s="1" t="str">
        <f>INDEX(SPT[],MATCH(HC[[#This Row],[Prof. (m)]],SPT[Prof. (m)],0),3)</f>
        <v>Areia siltosa</v>
      </c>
      <c r="G185" s="1">
        <f>INDEX(estacas[],HC[[#This Row],[idDiâmetro]],MATCH($B$2,estacas[#Headers],0))</f>
        <v>60</v>
      </c>
      <c r="H185" s="1">
        <f>INDEX(estacas[],MATCH(HC[[#This Row],[Ø (cm)]],estacas[Ø HC (cm)],0),MATCH(HC[[#Headers],[Pe HC (kN)]],estacas[#Headers],0))</f>
        <v>1800</v>
      </c>
      <c r="I185" s="4">
        <f>INDEX(K_alpha_C[],MATCH(HC[[#This Row],[Solo]],K_alpha_C[Solo],0),2)</f>
        <v>0.8</v>
      </c>
      <c r="J185" s="5">
        <f>INDEX(K_alpha_C[],MATCH(HC[[#This Row],[Solo]],K_alpha_C[Solo],0),3)</f>
        <v>2</v>
      </c>
      <c r="K185" s="4">
        <f>INDEX(F1_F2[],MATCH($D$2,F1_F2[Tipo de estaca],0),2)</f>
        <v>2</v>
      </c>
      <c r="L185" s="4">
        <f>INDEX(F1_F2[],MATCH($D$2,F1_F2[Tipo de estaca],0),3)</f>
        <v>4</v>
      </c>
      <c r="M185" s="4">
        <f>PI()*(HC[[#This Row],[Ø (cm)]]/100)^2/4</f>
        <v>0.28274333882308139</v>
      </c>
      <c r="N185" s="4">
        <f>PI()*HC[[#This Row],[Ø (cm)]]/100</f>
        <v>1.8849555921538756</v>
      </c>
      <c r="O185" s="4">
        <f>IF(HC[[#This Row],[Prof. (m)]]=0,0,HC[[#This Row],[α (%)]]/100*HC[[#This Row],[K (MPa)]]*1000*HC[[#This Row],[NSPT]])</f>
        <v>832</v>
      </c>
      <c r="P185" s="4">
        <f>IF(HC[[#This Row],[Prof. (m)]]=0,0,(HC[[#This Row],[K (MPa)]]*1000*HC[[#This Row],[NSPT]]/HC[[#This Row],[F1]]*HC[[#This Row],[Ap (m²)]]+HC[[#This Row],[U (m)]]/HC[[#This Row],[F2]]*SUMIFS(HC[(α∙K∙NL∙ΔL)],HC[Prof. (m)],"&lt;="&amp;HC[[#This Row],[Prof. (m)]],HC[idDiâmetro],HC[[#This Row],[idDiâmetro]],HC[idPilar],HC[[#This Row],[idPilar]]))/'DADOS CAP. CARGA'!$D$2)</f>
        <v>3745.3831996648496</v>
      </c>
      <c r="Q185" s="12">
        <f>INDEX(C_alpha_beta[],MATCH(HC[[#This Row],[Solo]],C_alpha_beta[Solo],0),MATCH(HC[[#Headers],[C (kPa)]],C_alpha_beta[#Headers],0))</f>
        <v>400</v>
      </c>
      <c r="R185" s="4">
        <f>INDEX(C_alpha_beta[],MATCH(HC[[#This Row],[Solo]],C_alpha_beta[Solo],0),MATCH(HC[[#Headers],[α ESF]],C_alpha_beta[#Headers],0))</f>
        <v>0.5</v>
      </c>
      <c r="S185" s="4">
        <f>INDEX(C_alpha_beta[],MATCH(HC[[#This Row],[Solo]],C_alpha_beta[Solo],0),MATCH(HC[[#Headers],[β ESF]],C_alpha_beta[#Headers],0))</f>
        <v>0.5</v>
      </c>
      <c r="T185" s="4">
        <f>IF(HC[[#This Row],[Prof. (m)]]=0,0,10*(HC[[#This Row],[NSPT]]/3+1))</f>
        <v>183.33333333333331</v>
      </c>
      <c r="U185" s="4">
        <f>(HC[[#This Row],[α ESF]]*HC[[#This Row],[C (kPa)]]*HC[[#This Row],[NSPT]]*HC[[#This Row],[Ap (m²)]])/'DADOS CAP. CARGA'!$Q$2+(HC[[#This Row],[β ESF]]*SUMIFS(HC[10∙(NL/3+1)],HC[Prof. (m)],"&lt;="&amp;HC[[#This Row],[Prof. (m)]],HC[idDiâmetro],HC[[#This Row],[idDiâmetro]],HC[idPilar],HC[[#This Row],[idPilar]])*HC[[#This Row],[U (m)]])/'DADOS CAP. CARGA'!$S$2</f>
        <v>1141.9689295798898</v>
      </c>
      <c r="V185" s="4">
        <f>IF(SPT!$M$5=1,MIN(HC[[#This Row],[Pe HC (kN)]],HC[[#This Row],[R_AV (kN)]]),IF(SPT!$M$5=2,MIN(HC[[#This Row],[Pe HC (kN)]],HC[[#This Row],[R_DC (kN)]]),MIN(HC[[#This Row],[Pe HC (kN)]],HC[[#This Row],[R_AV (kN)]],HC[[#This Row],[R_DC (kN)]])))</f>
        <v>1141.9689295798898</v>
      </c>
      <c r="W185" s="4">
        <f>INDEX(PILARES[],HC[[#This Row],[idPilar]],MATCH("Carga (kN)",PILARES[#Headers],0))*1.4</f>
        <v>3500</v>
      </c>
      <c r="X185" s="12">
        <f>INDEX(PILARES[],HC[[#This Row],[idPilar]],MATCH(HC[[#Headers],[ap (cm)]],PILARES[#Headers],0))</f>
        <v>60</v>
      </c>
      <c r="Y185" s="12">
        <f>INDEX(PILARES[],HC[[#This Row],[idPilar]],MATCH(HC[[#Headers],[bp (cm)]],PILARES[#Headers],0))</f>
        <v>60</v>
      </c>
      <c r="Z185" s="4">
        <f>SQRT(HC[[#This Row],[ap (cm)]]*HC[[#This Row],[bp (cm)]])</f>
        <v>60</v>
      </c>
      <c r="AA185" s="12">
        <f>HC[[#This Row],[ap (cm)]]*HC[[#This Row],[bp (cm)]]</f>
        <v>3600</v>
      </c>
      <c r="AB185" s="12">
        <f ca="1">IF(HC[[#This Row],[Padm∙ε (kN)]]&gt;=HC[[#This Row],[Padm (kN)]],ROUNDUP(1.05*HC[[#This Row],[Nsd (kN)]]/HC[[#This Row],[Padm (kN)]],0),ROUNDUP(1.05*HC[[#This Row],[Nsd (kN)]]/HC[[#This Row],[Padm (kN)]],0)+1)</f>
        <v>4</v>
      </c>
      <c r="AC185" s="4">
        <f ca="1">IFERROR(IF(HC[[#This Row],[nE]]=1,HC[[#This Row],[Padm (kN)]],HC[[#This Row],[Padm (kN)]]*HC[[#This Row],[nE]]*INDEX(grupoEstacas[],HC[[#This Row],[nE]],MATCH("ε",grupoEstacas[#Headers],0))),"N.S.")</f>
        <v>3711.3990211346418</v>
      </c>
      <c r="AD185" s="4">
        <f ca="1">1.05*HC[[#This Row],[Nsd (kN)]]/(HC[[#This Row],[nE]]*PI()*HC[[#This Row],[Ø (cm)]]^2/4)*10</f>
        <v>3.24941342145953</v>
      </c>
      <c r="AE185" s="4">
        <f ca="1">IF(HC[[#This Row],[σ (MPa)]]&lt;INDEX(tipoEstaca[],MATCH($D$2,tipoEstaca[TIPO DE ESTACA],0),MATCH("σmáx (MPa)",tipoEstaca[#Headers],0)),0.4%*PI()*HC[[#This Row],[Ø (cm)]]^2/4,"N.S.")</f>
        <v>11.309733552923255</v>
      </c>
      <c r="AF185" s="1">
        <f>INDEX(tipoEstaca[],MATCH($D$2,tipoEstaca[TIPO DE ESTACA],0),MATCH(HC[[#Headers],[Comprimento (m)]],tipoEstaca[#Headers],0))</f>
        <v>4</v>
      </c>
      <c r="AG185" s="5">
        <f ca="1">HC[[#This Row],[As,mín (cm²)]]/100^2*HC[[#This Row],[Comprimento (m)]]*7850</f>
        <v>35.512563356179022</v>
      </c>
      <c r="AH185" s="4">
        <f ca="1">HC[[#This Row],[nE]]*HC[[#This Row],[Prof. (m)]]*HC[[#This Row],[Ap (m²)]]</f>
        <v>13.571680263507908</v>
      </c>
      <c r="AI185" s="1">
        <f ca="1">IF(HC[[#This Row],[nE]]=1,0,MAX(3*HC[[#This Row],[Ø (cm)]],60))</f>
        <v>180</v>
      </c>
      <c r="AJ185" s="1">
        <f ca="1">IF(HC[[#This Row],[nE]]=1,HC[[#This Row],[Ø (cm)]]+2*10,MAX(1.5*HC[[#This Row],[Ø (cm)]],HC[[#This Row],[Ø (cm)]]+15))</f>
        <v>90</v>
      </c>
      <c r="AK185" s="1">
        <f ca="1">alturaUtil(HC[[#This Row],[nE]],HC[[#This Row],[Ø (cm)]],HC[[#This Row],[e (cm)]],HC[[#This Row],[ap,eq (cm)]])</f>
        <v>75</v>
      </c>
      <c r="AL185" s="1">
        <f ca="1">IFERROR(HC[[#This Row],[d (cm)]]+arredondarParaCimaMultiplo5cm(MAX(5,SQRT(PI())/2*HC[[#This Row],[Ø (cm)]]/5)),"N.S.")</f>
        <v>90</v>
      </c>
      <c r="AM185" s="5">
        <f ca="1">alpha(HC[[#This Row],[nE]],HC[[#This Row],[d (cm)]],HC[[#This Row],[e (cm)]],HC[[#This Row],[ap,eq (cm)]])</f>
        <v>45</v>
      </c>
      <c r="AN185" s="35">
        <f ca="1">IFERROR(HC[[#This Row],[Nsd (kN)]]/(HC[[#This Row],[Ap (cm²)]]*SIN(HC[[#This Row],[α]])^2),"N.S.")</f>
        <v>1.3427801064714635</v>
      </c>
      <c r="AO185" s="35">
        <f ca="1">IFERROR(HC[[#This Row],[Nsd (kN)]]/(HC[[#This Row],[nE]]*PI()*HC[[#This Row],[Ø (cm)]]^2/4*SIN(HC[[#This Row],[α]])^2),"N.S.")</f>
        <v>0.42742018286078987</v>
      </c>
      <c r="AP185" s="4">
        <f ca="1">IFERROR(INDEX(grupoEstacas[],HC[[#This Row],[nE]],MATCH("coef. Blévot",grupoEstacas[#Headers],0)),"N.S.")</f>
        <v>2.1</v>
      </c>
      <c r="AQ185" s="35">
        <f ca="1">IFERROR(HC[[#This Row],[coef. Blévot]]*0.9*INDEX(tipoEstaca[],MATCH($D$2,tipoEstaca[TIPO DE ESTACA],0),MATCH("fcd (kN/cm²)",tipoEstaca[#Headers],0)),"N.S.")</f>
        <v>2.1</v>
      </c>
      <c r="AR185" s="1" t="str">
        <f ca="1">IF(AND(HC[[#This Row],[cd,b,pil (kN/cm²)]]&lt;=HC[[#This Row],[cd,b,lim (kN/cm²)]],HC[[#This Row],[cd,b,est (kN/cm²)]]&lt;=HC[[#This Row],[cd,b,lim (kN/cm²)]]),"OK","ERRO")</f>
        <v>OK</v>
      </c>
      <c r="AS185" s="4">
        <f ca="1">As_lado(HC[[#This Row],[nE]],HC[[#This Row],[Nsd (kN)]],HC[[#This Row],[d (cm)]],HC[[#This Row],[e (cm)]],HC[[#This Row],[ap,eq (cm)]])</f>
        <v>20.125</v>
      </c>
      <c r="AT185" s="4" t="str">
        <f ca="1">IF(HC[[#This Row],[nE]]=1,HC[[#This Row],[As,lado (cm²)]],IF(HC[[#This Row],[nE]]=2,0.075*2*HC[a (cm)],"N.A."))</f>
        <v>N.A.</v>
      </c>
      <c r="AU185" s="4">
        <f ca="1">IFERROR(IF(HC[[#This Row],[nE]]=1,"N.A.",0.2*HC[[#This Row],[As,lado (cm²)]]),"N.S.")</f>
        <v>4.0250000000000004</v>
      </c>
      <c r="AV185" s="4">
        <f ca="1">As_malha(HC[[#This Row],[nE]],HC[[#This Row],[As,lado (cm²)]],HC[[#This Row],[Nsd (kN)]])</f>
        <v>4.0250000000000004</v>
      </c>
      <c r="AW185" s="4">
        <f ca="1">As_susp_tot(HC[[#This Row],[nE]],HC[[#This Row],[Nsd (kN)]])</f>
        <v>13.416666666666666</v>
      </c>
      <c r="AX185" s="4">
        <f ca="1">Asp_face(HC[[#This Row],[nE]],HC[[#This Row],[As,lado (cm²)]])</f>
        <v>10.0625</v>
      </c>
      <c r="AY185" s="5">
        <f ca="1">acoBloco(HC[[#This Row],[nE]],HC[[#This Row],[e (cm)]],HC[[#This Row],[a (cm)]],HC[[#This Row],[h (cm)]],HC[[#This Row],[As,lado (cm²)]],HC[[#This Row],[Asp e Asw (cm²/m)]],HC[[#This Row],[As,sup (cm²)]],HC[[#This Row],[As,malha (cm²)]],HC[[#This Row],[As,susp,tot (cm²)]],HC[[#This Row],[Asp,face (cm²)]])</f>
        <v>418.966275</v>
      </c>
      <c r="AZ185" s="4">
        <f ca="1">concretoBloco(HC[[#This Row],[nE]],HC[[#This Row],[e (cm)]],HC[[#This Row],[a (cm)]],HC[[#This Row],[h (cm)]])</f>
        <v>11.664</v>
      </c>
      <c r="BA185" s="5">
        <f ca="1">SUM(HC[[#This Row],[Aço Est (kg)]],HC[[#This Row],[Aço Bloco (kg)]])</f>
        <v>454.47883835617904</v>
      </c>
      <c r="BB185" s="4">
        <f>INDEX(composicoes[],MATCH(95580,composicoes[CÓDIGO],0),MATCH("CUSTO TOTAL",composicoes[#Headers],0))</f>
        <v>10.46</v>
      </c>
      <c r="BC185" s="4">
        <f ca="1">SUM(HC[[#This Row],[Conc Est (m³)]],HC[[#This Row],[Conc Bloco (m³)]])</f>
        <v>25.235680263507909</v>
      </c>
      <c r="BD185" s="4">
        <f>INDEX(composicoes[],MATCH(94966,composicoes[CÓDIGO],0),MATCH("CUSTO TOTAL",composicoes[#Headers],0))</f>
        <v>439.52</v>
      </c>
      <c r="BE185" s="38">
        <f ca="1">HC[[#This Row],[Aço (kg)]]*HC[[#This Row],[Aço (R$/kg)]]+HC[[#This Row],[Conc (m³)]]*HC[[#This Row],[Conc (R$/m³)]]</f>
        <v>15845.43483862263</v>
      </c>
      <c r="BF185" s="4" t="str">
        <f ca="1">IF(COUNTIF(HC[#This Row],"N.S.")&gt;0,"lim.","OK")</f>
        <v>OK</v>
      </c>
      <c r="BG185" s="4" t="str">
        <f>IF(HC[[#This Row],[Prof. (m)]]&lt;4,"lim.","OK")</f>
        <v>OK</v>
      </c>
      <c r="BH185" s="4" t="str">
        <f>IF(HC[[#This Row],[Prof. (m)]]&gt;=8*HC[[#This Row],[Ø (cm)]]/100,"OK","lim.")</f>
        <v>OK</v>
      </c>
      <c r="BI185" s="4" t="str">
        <f ca="1">IF(HC[[#This Row],[Verif. Biela]]="OK","OK","lim.")</f>
        <v>OK</v>
      </c>
      <c r="BJ185" s="4" t="str">
        <f ca="1">IF(COUNTA(HC[[#This Row],[Nº Est.]:[Biela comp.]])=COUNTIF(HC[[#This Row],[Nº Est.]:[Biela comp.]],"OK"),"OK","lim.")</f>
        <v>OK</v>
      </c>
      <c r="BK185" s="4" t="str">
        <f ca="1">IF(HC[[#This Row],[Controle]]="OK",HC[[#This Row],[nE]]&amp;" Ø"&amp;HC[[#This Row],[Ø (cm)]]&amp;"cm Prof. "&amp;HC[[#This Row],[Prof. (m)]]&amp;" m","")</f>
        <v>4 Ø60cm Prof. 12 m</v>
      </c>
      <c r="BL185" s="4" t="str">
        <f ca="1">IF(HC[[#This Row],[idDimensionamento]]="","",HC[[#This Row],[idPilar]]&amp;HC[[#This Row],[idDimensionamento]])</f>
        <v>14 Ø60cm Prof. 12 m</v>
      </c>
    </row>
    <row r="186" spans="2:64" x14ac:dyDescent="0.25">
      <c r="B186" s="12">
        <f>ROUNDUP((ROW(HC[[#This Row],[idDiâmetro]])-ROW(HC[[#Headers],[idDiâmetro]]))/(COUNT(SPT[Prof. (m)])*COUNT(PILARES[Pilar])),0)</f>
        <v>7</v>
      </c>
      <c r="C186" s="12">
        <f>IF(HC[[#This Row],[idDiâmetro]]&lt;&gt;B185,1,IF(HC[[#This Row],[Prof. (m)]]=0,C185+1,C185))</f>
        <v>1</v>
      </c>
      <c r="D186" s="1">
        <f>IFERROR(IF(D185=MAX(SPT[Prof. (m)]),0,D185+1),0)</f>
        <v>13</v>
      </c>
      <c r="E186" s="1">
        <f>INDEX(SPT[],MATCH(HC[[#This Row],[Prof. (m)]],SPT[Prof. (m)],0),2)</f>
        <v>68</v>
      </c>
      <c r="F186" s="1" t="str">
        <f>INDEX(SPT[],MATCH(HC[[#This Row],[Prof. (m)]],SPT[Prof. (m)],0),3)</f>
        <v>Areia siltosa</v>
      </c>
      <c r="G186" s="1">
        <f>INDEX(estacas[],HC[[#This Row],[idDiâmetro]],MATCH($B$2,estacas[#Headers],0))</f>
        <v>60</v>
      </c>
      <c r="H186" s="1">
        <f>INDEX(estacas[],MATCH(HC[[#This Row],[Ø (cm)]],estacas[Ø HC (cm)],0),MATCH(HC[[#Headers],[Pe HC (kN)]],estacas[#Headers],0))</f>
        <v>1800</v>
      </c>
      <c r="I186" s="4">
        <f>INDEX(K_alpha_C[],MATCH(HC[[#This Row],[Solo]],K_alpha_C[Solo],0),2)</f>
        <v>0.8</v>
      </c>
      <c r="J186" s="5">
        <f>INDEX(K_alpha_C[],MATCH(HC[[#This Row],[Solo]],K_alpha_C[Solo],0),3)</f>
        <v>2</v>
      </c>
      <c r="K186" s="4">
        <f>INDEX(F1_F2[],MATCH($D$2,F1_F2[Tipo de estaca],0),2)</f>
        <v>2</v>
      </c>
      <c r="L186" s="4">
        <f>INDEX(F1_F2[],MATCH($D$2,F1_F2[Tipo de estaca],0),3)</f>
        <v>4</v>
      </c>
      <c r="M186" s="4">
        <f>PI()*(HC[[#This Row],[Ø (cm)]]/100)^2/4</f>
        <v>0.28274333882308139</v>
      </c>
      <c r="N186" s="4">
        <f>PI()*HC[[#This Row],[Ø (cm)]]/100</f>
        <v>1.8849555921538756</v>
      </c>
      <c r="O186" s="4">
        <f>IF(HC[[#This Row],[Prof. (m)]]=0,0,HC[[#This Row],[α (%)]]/100*HC[[#This Row],[K (MPa)]]*1000*HC[[#This Row],[NSPT]])</f>
        <v>1088</v>
      </c>
      <c r="P186" s="4">
        <f>IF(HC[[#This Row],[Prof. (m)]]=0,0,(HC[[#This Row],[K (MPa)]]*1000*HC[[#This Row],[NSPT]]/HC[[#This Row],[F1]]*HC[[#This Row],[Ap (m²)]]+HC[[#This Row],[U (m)]]/HC[[#This Row],[F2]]*SUMIFS(HC[(α∙K∙NL∙ΔL)],HC[Prof. (m)],"&lt;="&amp;HC[[#This Row],[Prof. (m)]],HC[idDiâmetro],HC[[#This Row],[idDiâmetro]],HC[idPilar],HC[[#This Row],[idPilar]]))/'DADOS CAP. CARGA'!$D$2)</f>
        <v>4906.5158444316367</v>
      </c>
      <c r="Q186" s="12">
        <f>INDEX(C_alpha_beta[],MATCH(HC[[#This Row],[Solo]],C_alpha_beta[Solo],0),MATCH(HC[[#Headers],[C (kPa)]],C_alpha_beta[#Headers],0))</f>
        <v>400</v>
      </c>
      <c r="R186" s="4">
        <f>INDEX(C_alpha_beta[],MATCH(HC[[#This Row],[Solo]],C_alpha_beta[Solo],0),MATCH(HC[[#Headers],[α ESF]],C_alpha_beta[#Headers],0))</f>
        <v>0.5</v>
      </c>
      <c r="S186" s="4">
        <f>INDEX(C_alpha_beta[],MATCH(HC[[#This Row],[Solo]],C_alpha_beta[Solo],0),MATCH(HC[[#Headers],[β ESF]],C_alpha_beta[#Headers],0))</f>
        <v>0.5</v>
      </c>
      <c r="T186" s="4">
        <f>IF(HC[[#This Row],[Prof. (m)]]=0,0,10*(HC[[#This Row],[NSPT]]/3+1))</f>
        <v>236.66666666666669</v>
      </c>
      <c r="U186" s="4">
        <f>(HC[[#This Row],[α ESF]]*HC[[#This Row],[C (kPa)]]*HC[[#This Row],[NSPT]]*HC[[#This Row],[Ap (m²)]])/'DADOS CAP. CARGA'!$Q$2+(HC[[#This Row],[β ESF]]*SUMIFS(HC[10∙(NL/3+1)],HC[Prof. (m)],"&lt;="&amp;HC[[#This Row],[Prof. (m)]],HC[idDiâmetro],HC[[#This Row],[idDiâmetro]],HC[idPilar],HC[[#This Row],[idPilar]])*HC[[#This Row],[U (m)]])/'DADOS CAP. CARGA'!$S$2</f>
        <v>1479.6901398407927</v>
      </c>
      <c r="V186" s="4">
        <f>IF(SPT!$M$5=1,MIN(HC[[#This Row],[Pe HC (kN)]],HC[[#This Row],[R_AV (kN)]]),IF(SPT!$M$5=2,MIN(HC[[#This Row],[Pe HC (kN)]],HC[[#This Row],[R_DC (kN)]]),MIN(HC[[#This Row],[Pe HC (kN)]],HC[[#This Row],[R_AV (kN)]],HC[[#This Row],[R_DC (kN)]])))</f>
        <v>1479.6901398407927</v>
      </c>
      <c r="W186" s="4">
        <f>INDEX(PILARES[],HC[[#This Row],[idPilar]],MATCH("Carga (kN)",PILARES[#Headers],0))*1.4</f>
        <v>3500</v>
      </c>
      <c r="X186" s="12">
        <f>INDEX(PILARES[],HC[[#This Row],[idPilar]],MATCH(HC[[#Headers],[ap (cm)]],PILARES[#Headers],0))</f>
        <v>60</v>
      </c>
      <c r="Y186" s="12">
        <f>INDEX(PILARES[],HC[[#This Row],[idPilar]],MATCH(HC[[#Headers],[bp (cm)]],PILARES[#Headers],0))</f>
        <v>60</v>
      </c>
      <c r="Z186" s="4">
        <f>SQRT(HC[[#This Row],[ap (cm)]]*HC[[#This Row],[bp (cm)]])</f>
        <v>60</v>
      </c>
      <c r="AA186" s="12">
        <f>HC[[#This Row],[ap (cm)]]*HC[[#This Row],[bp (cm)]]</f>
        <v>3600</v>
      </c>
      <c r="AB186" s="12">
        <f ca="1">IF(HC[[#This Row],[Padm∙ε (kN)]]&gt;=HC[[#This Row],[Padm (kN)]],ROUNDUP(1.05*HC[[#This Row],[Nsd (kN)]]/HC[[#This Row],[Padm (kN)]],0),ROUNDUP(1.05*HC[[#This Row],[Nsd (kN)]]/HC[[#This Row],[Padm (kN)]],0)+1)</f>
        <v>3</v>
      </c>
      <c r="AC186" s="4">
        <f ca="1">IFERROR(IF(HC[[#This Row],[nE]]=1,HC[[#This Row],[Padm (kN)]],HC[[#This Row],[Padm (kN)]]*HC[[#This Row],[nE]]*INDEX(grupoEstacas[],HC[[#This Row],[nE]],MATCH("ε",grupoEstacas[#Headers],0))),"N.S.")</f>
        <v>3884.1866170820808</v>
      </c>
      <c r="AD186" s="4">
        <f ca="1">1.05*HC[[#This Row],[Nsd (kN)]]/(HC[[#This Row],[nE]]*PI()*HC[[#This Row],[Ø (cm)]]^2/4)*10</f>
        <v>4.3325512286127061</v>
      </c>
      <c r="AE186" s="4">
        <f ca="1">IF(HC[[#This Row],[σ (MPa)]]&lt;INDEX(tipoEstaca[],MATCH($D$2,tipoEstaca[TIPO DE ESTACA],0),MATCH("σmáx (MPa)",tipoEstaca[#Headers],0)),0.4%*PI()*HC[[#This Row],[Ø (cm)]]^2/4,"N.S.")</f>
        <v>11.309733552923255</v>
      </c>
      <c r="AF186" s="1">
        <f>INDEX(tipoEstaca[],MATCH($D$2,tipoEstaca[TIPO DE ESTACA],0),MATCH(HC[[#Headers],[Comprimento (m)]],tipoEstaca[#Headers],0))</f>
        <v>4</v>
      </c>
      <c r="AG186" s="5">
        <f ca="1">HC[[#This Row],[As,mín (cm²)]]/100^2*HC[[#This Row],[Comprimento (m)]]*7850</f>
        <v>35.512563356179022</v>
      </c>
      <c r="AH186" s="4">
        <f ca="1">HC[[#This Row],[nE]]*HC[[#This Row],[Prof. (m)]]*HC[[#This Row],[Ap (m²)]]</f>
        <v>11.026990214100174</v>
      </c>
      <c r="AI186" s="1">
        <f ca="1">IF(HC[[#This Row],[nE]]=1,0,MAX(3*HC[[#This Row],[Ø (cm)]],60))</f>
        <v>180</v>
      </c>
      <c r="AJ186" s="1">
        <f ca="1">IF(HC[[#This Row],[nE]]=1,HC[[#This Row],[Ø (cm)]]+2*10,MAX(1.5*HC[[#This Row],[Ø (cm)]],HC[[#This Row],[Ø (cm)]]+15))</f>
        <v>90</v>
      </c>
      <c r="AK186" s="1">
        <f ca="1">alturaUtil(HC[[#This Row],[nE]],HC[[#This Row],[Ø (cm)]],HC[[#This Row],[e (cm)]],HC[[#This Row],[ap,eq (cm)]])</f>
        <v>75</v>
      </c>
      <c r="AL186" s="1">
        <f ca="1">IFERROR(HC[[#This Row],[d (cm)]]+arredondarParaCimaMultiplo5cm(MAX(5,SQRT(PI())/2*HC[[#This Row],[Ø (cm)]]/5)),"N.S.")</f>
        <v>90</v>
      </c>
      <c r="AM186" s="5">
        <f ca="1">alpha(HC[[#This Row],[nE]],HC[[#This Row],[d (cm)]],HC[[#This Row],[e (cm)]],HC[[#This Row],[ap,eq (cm)]])</f>
        <v>46.169139327907423</v>
      </c>
      <c r="AN186" s="35">
        <f ca="1">IFERROR(HC[[#This Row],[Nsd (kN)]]/(HC[[#This Row],[Ap (cm²)]]*SIN(HC[[#This Row],[α]])^2),"N.S.")</f>
        <v>1.4595021114449656</v>
      </c>
      <c r="AO186" s="35">
        <f ca="1">IFERROR(HC[[#This Row],[Nsd (kN)]]/(HC[[#This Row],[nE]]*PI()*HC[[#This Row],[Ø (cm)]]^2/4*SIN(HC[[#This Row],[α]])^2),"N.S.")</f>
        <v>0.61943193463873225</v>
      </c>
      <c r="AP186" s="4">
        <f ca="1">IFERROR(INDEX(grupoEstacas[],HC[[#This Row],[nE]],MATCH("coef. Blévot",grupoEstacas[#Headers],0)),"N.S.")</f>
        <v>1.75</v>
      </c>
      <c r="AQ186" s="35">
        <f ca="1">IFERROR(HC[[#This Row],[coef. Blévot]]*0.9*INDEX(tipoEstaca[],MATCH($D$2,tipoEstaca[TIPO DE ESTACA],0),MATCH("fcd (kN/cm²)",tipoEstaca[#Headers],0)),"N.S.")</f>
        <v>1.75</v>
      </c>
      <c r="AR186" s="1" t="str">
        <f ca="1">IF(AND(HC[[#This Row],[cd,b,pil (kN/cm²)]]&lt;=HC[[#This Row],[cd,b,lim (kN/cm²)]],HC[[#This Row],[cd,b,est (kN/cm²)]]&lt;=HC[[#This Row],[cd,b,lim (kN/cm²)]]),"OK","ERRO")</f>
        <v>OK</v>
      </c>
      <c r="AS186" s="4">
        <f ca="1">As_lado(HC[[#This Row],[nE]],HC[[#This Row],[Nsd (kN)]],HC[[#This Row],[d (cm)]],HC[[#This Row],[e (cm)]],HC[[#This Row],[ap,eq (cm)]])</f>
        <v>17.748530933085476</v>
      </c>
      <c r="AT186" s="4" t="str">
        <f ca="1">IF(HC[[#This Row],[nE]]=1,HC[[#This Row],[As,lado (cm²)]],IF(HC[[#This Row],[nE]]=2,0.075*2*HC[a (cm)],"N.A."))</f>
        <v>N.A.</v>
      </c>
      <c r="AU186" s="4">
        <f ca="1">IFERROR(IF(HC[[#This Row],[nE]]=1,"N.A.",0.2*HC[[#This Row],[As,lado (cm²)]]),"N.S.")</f>
        <v>3.5497061866170956</v>
      </c>
      <c r="AV186" s="4">
        <f ca="1">As_malha(HC[[#This Row],[nE]],HC[[#This Row],[As,lado (cm²)]],HC[[#This Row],[Nsd (kN)]])</f>
        <v>5.9629629629629619</v>
      </c>
      <c r="AW186" s="4">
        <f ca="1">As_susp_tot(HC[[#This Row],[nE]],HC[[#This Row],[Nsd (kN)]])</f>
        <v>17.888888888888886</v>
      </c>
      <c r="AX186" s="4">
        <f ca="1">Asp_face(HC[[#This Row],[nE]],HC[[#This Row],[As,lado (cm²)]])</f>
        <v>6.6556990999070536</v>
      </c>
      <c r="AY186" s="5">
        <f ca="1">acoBloco(HC[[#This Row],[nE]],HC[[#This Row],[e (cm)]],HC[[#This Row],[a (cm)]],HC[[#This Row],[h (cm)]],HC[[#This Row],[As,lado (cm²)]],HC[[#This Row],[Asp e Asw (cm²/m)]],HC[[#This Row],[As,sup (cm²)]],HC[[#This Row],[As,malha (cm²)]],HC[[#This Row],[As,susp,tot (cm²)]],HC[[#This Row],[Asp,face (cm²)]])</f>
        <v>315.36349956953069</v>
      </c>
      <c r="AZ186" s="4">
        <f ca="1">concretoBloco(HC[[#This Row],[nE]],HC[[#This Row],[e (cm)]],HC[[#This Row],[a (cm)]],HC[[#This Row],[h (cm)]])</f>
        <v>8.1619951161531343</v>
      </c>
      <c r="BA186" s="5">
        <f ca="1">SUM(HC[[#This Row],[Aço Est (kg)]],HC[[#This Row],[Aço Bloco (kg)]])</f>
        <v>350.87606292570973</v>
      </c>
      <c r="BB186" s="4">
        <f>INDEX(composicoes[],MATCH(95580,composicoes[CÓDIGO],0),MATCH("CUSTO TOTAL",composicoes[#Headers],0))</f>
        <v>10.46</v>
      </c>
      <c r="BC186" s="4">
        <f ca="1">SUM(HC[[#This Row],[Conc Est (m³)]],HC[[#This Row],[Conc Bloco (m³)]])</f>
        <v>19.18898533025331</v>
      </c>
      <c r="BD186" s="4">
        <f>INDEX(composicoes[],MATCH(94966,composicoes[CÓDIGO],0),MATCH("CUSTO TOTAL",composicoes[#Headers],0))</f>
        <v>439.52</v>
      </c>
      <c r="BE186" s="38">
        <f ca="1">HC[[#This Row],[Aço (kg)]]*HC[[#This Row],[Aço (R$/kg)]]+HC[[#This Row],[Conc (m³)]]*HC[[#This Row],[Conc (R$/m³)]]</f>
        <v>12104.106450555857</v>
      </c>
      <c r="BF186" s="4" t="str">
        <f ca="1">IF(COUNTIF(HC[#This Row],"N.S.")&gt;0,"lim.","OK")</f>
        <v>OK</v>
      </c>
      <c r="BG186" s="4" t="str">
        <f>IF(HC[[#This Row],[Prof. (m)]]&lt;4,"lim.","OK")</f>
        <v>OK</v>
      </c>
      <c r="BH186" s="4" t="str">
        <f>IF(HC[[#This Row],[Prof. (m)]]&gt;=8*HC[[#This Row],[Ø (cm)]]/100,"OK","lim.")</f>
        <v>OK</v>
      </c>
      <c r="BI186" s="4" t="str">
        <f ca="1">IF(HC[[#This Row],[Verif. Biela]]="OK","OK","lim.")</f>
        <v>OK</v>
      </c>
      <c r="BJ186" s="4" t="str">
        <f ca="1">IF(COUNTA(HC[[#This Row],[Nº Est.]:[Biela comp.]])=COUNTIF(HC[[#This Row],[Nº Est.]:[Biela comp.]],"OK"),"OK","lim.")</f>
        <v>OK</v>
      </c>
      <c r="BK186" s="4" t="str">
        <f ca="1">IF(HC[[#This Row],[Controle]]="OK",HC[[#This Row],[nE]]&amp;" Ø"&amp;HC[[#This Row],[Ø (cm)]]&amp;"cm Prof. "&amp;HC[[#This Row],[Prof. (m)]]&amp;" m","")</f>
        <v>3 Ø60cm Prof. 13 m</v>
      </c>
      <c r="BL186" s="4" t="str">
        <f ca="1">IF(HC[[#This Row],[idDimensionamento]]="","",HC[[#This Row],[idPilar]]&amp;HC[[#This Row],[idDimensionamento]])</f>
        <v>13 Ø60cm Prof. 13 m</v>
      </c>
    </row>
    <row r="187" spans="2:64" x14ac:dyDescent="0.25">
      <c r="B187" s="12">
        <f>ROUNDUP((ROW(HC[[#This Row],[idDiâmetro]])-ROW(HC[[#Headers],[idDiâmetro]]))/(COUNT(SPT[Prof. (m)])*COUNT(PILARES[Pilar])),0)</f>
        <v>7</v>
      </c>
      <c r="C187" s="12">
        <f>IF(HC[[#This Row],[idDiâmetro]]&lt;&gt;B186,1,IF(HC[[#This Row],[Prof. (m)]]=0,C186+1,C186))</f>
        <v>2</v>
      </c>
      <c r="D187" s="1">
        <f>IFERROR(IF(D186=MAX(SPT[Prof. (m)]),0,D186+1),0)</f>
        <v>0</v>
      </c>
      <c r="E187" s="1">
        <f>INDEX(SPT[],MATCH(HC[[#This Row],[Prof. (m)]],SPT[Prof. (m)],0),2)</f>
        <v>0</v>
      </c>
      <c r="F187" s="1" t="str">
        <f>INDEX(SPT[],MATCH(HC[[#This Row],[Prof. (m)]],SPT[Prof. (m)],0),3)</f>
        <v>Areia siltosa</v>
      </c>
      <c r="G187" s="1">
        <f>INDEX(estacas[],HC[[#This Row],[idDiâmetro]],MATCH($B$2,estacas[#Headers],0))</f>
        <v>60</v>
      </c>
      <c r="H187" s="1">
        <f>INDEX(estacas[],MATCH(HC[[#This Row],[Ø (cm)]],estacas[Ø HC (cm)],0),MATCH(HC[[#Headers],[Pe HC (kN)]],estacas[#Headers],0))</f>
        <v>1800</v>
      </c>
      <c r="I187" s="4">
        <f>INDEX(K_alpha_C[],MATCH(HC[[#This Row],[Solo]],K_alpha_C[Solo],0),2)</f>
        <v>0.8</v>
      </c>
      <c r="J187" s="5">
        <f>INDEX(K_alpha_C[],MATCH(HC[[#This Row],[Solo]],K_alpha_C[Solo],0),3)</f>
        <v>2</v>
      </c>
      <c r="K187" s="4">
        <f>INDEX(F1_F2[],MATCH($D$2,F1_F2[Tipo de estaca],0),2)</f>
        <v>2</v>
      </c>
      <c r="L187" s="4">
        <f>INDEX(F1_F2[],MATCH($D$2,F1_F2[Tipo de estaca],0),3)</f>
        <v>4</v>
      </c>
      <c r="M187" s="4">
        <f>PI()*(HC[[#This Row],[Ø (cm)]]/100)^2/4</f>
        <v>0.28274333882308139</v>
      </c>
      <c r="N187" s="4">
        <f>PI()*HC[[#This Row],[Ø (cm)]]/100</f>
        <v>1.8849555921538756</v>
      </c>
      <c r="O187" s="4">
        <f>IF(HC[[#This Row],[Prof. (m)]]=0,0,HC[[#This Row],[α (%)]]/100*HC[[#This Row],[K (MPa)]]*1000*HC[[#This Row],[NSPT]])</f>
        <v>0</v>
      </c>
      <c r="P187" s="4">
        <f>IF(HC[[#This Row],[Prof. (m)]]=0,0,(HC[[#This Row],[K (MPa)]]*1000*HC[[#This Row],[NSPT]]/HC[[#This Row],[F1]]*HC[[#This Row],[Ap (m²)]]+HC[[#This Row],[U (m)]]/HC[[#This Row],[F2]]*SUMIFS(HC[(α∙K∙NL∙ΔL)],HC[Prof. (m)],"&lt;="&amp;HC[[#This Row],[Prof. (m)]],HC[idDiâmetro],HC[[#This Row],[idDiâmetro]],HC[idPilar],HC[[#This Row],[idPilar]]))/'DADOS CAP. CARGA'!$D$2)</f>
        <v>0</v>
      </c>
      <c r="Q187" s="12">
        <f>INDEX(C_alpha_beta[],MATCH(HC[[#This Row],[Solo]],C_alpha_beta[Solo],0),MATCH(HC[[#Headers],[C (kPa)]],C_alpha_beta[#Headers],0))</f>
        <v>400</v>
      </c>
      <c r="R187" s="4">
        <f>INDEX(C_alpha_beta[],MATCH(HC[[#This Row],[Solo]],C_alpha_beta[Solo],0),MATCH(HC[[#Headers],[α ESF]],C_alpha_beta[#Headers],0))</f>
        <v>0.5</v>
      </c>
      <c r="S187" s="4">
        <f>INDEX(C_alpha_beta[],MATCH(HC[[#This Row],[Solo]],C_alpha_beta[Solo],0),MATCH(HC[[#Headers],[β ESF]],C_alpha_beta[#Headers],0))</f>
        <v>0.5</v>
      </c>
      <c r="T187" s="4">
        <f>IF(HC[[#This Row],[Prof. (m)]]=0,0,10*(HC[[#This Row],[NSPT]]/3+1))</f>
        <v>0</v>
      </c>
      <c r="U187" s="4">
        <f>(HC[[#This Row],[α ESF]]*HC[[#This Row],[C (kPa)]]*HC[[#This Row],[NSPT]]*HC[[#This Row],[Ap (m²)]])/'DADOS CAP. CARGA'!$Q$2+(HC[[#This Row],[β ESF]]*SUMIFS(HC[10∙(NL/3+1)],HC[Prof. (m)],"&lt;="&amp;HC[[#This Row],[Prof. (m)]],HC[idDiâmetro],HC[[#This Row],[idDiâmetro]],HC[idPilar],HC[[#This Row],[idPilar]])*HC[[#This Row],[U (m)]])/'DADOS CAP. CARGA'!$S$2</f>
        <v>0</v>
      </c>
      <c r="V187" s="4">
        <f>IF(SPT!$M$5=1,MIN(HC[[#This Row],[Pe HC (kN)]],HC[[#This Row],[R_AV (kN)]]),IF(SPT!$M$5=2,MIN(HC[[#This Row],[Pe HC (kN)]],HC[[#This Row],[R_DC (kN)]]),MIN(HC[[#This Row],[Pe HC (kN)]],HC[[#This Row],[R_AV (kN)]],HC[[#This Row],[R_DC (kN)]])))</f>
        <v>0</v>
      </c>
      <c r="W187" s="4">
        <f>INDEX(PILARES[],HC[[#This Row],[idPilar]],MATCH("Carga (kN)",PILARES[#Headers],0))*1.4</f>
        <v>1750</v>
      </c>
      <c r="X187" s="12">
        <f>INDEX(PILARES[],HC[[#This Row],[idPilar]],MATCH(HC[[#Headers],[ap (cm)]],PILARES[#Headers],0))</f>
        <v>50</v>
      </c>
      <c r="Y187" s="12">
        <f>INDEX(PILARES[],HC[[#This Row],[idPilar]],MATCH(HC[[#Headers],[bp (cm)]],PILARES[#Headers],0))</f>
        <v>40</v>
      </c>
      <c r="Z187" s="4">
        <f>SQRT(HC[[#This Row],[ap (cm)]]*HC[[#This Row],[bp (cm)]])</f>
        <v>44.721359549995796</v>
      </c>
      <c r="AA187" s="12">
        <f>HC[[#This Row],[ap (cm)]]*HC[[#This Row],[bp (cm)]]</f>
        <v>2000</v>
      </c>
      <c r="AB187" s="12" t="e">
        <f ca="1">IF(HC[[#This Row],[Padm∙ε (kN)]]&gt;=HC[[#This Row],[Padm (kN)]],ROUNDUP(1.05*HC[[#This Row],[Nsd (kN)]]/HC[[#This Row],[Padm (kN)]],0),ROUNDUP(1.05*HC[[#This Row],[Nsd (kN)]]/HC[[#This Row],[Padm (kN)]],0)+1)</f>
        <v>#DIV/0!</v>
      </c>
      <c r="AC187" s="4" t="str">
        <f ca="1">IFERROR(IF(HC[[#This Row],[nE]]=1,HC[[#This Row],[Padm (kN)]],HC[[#This Row],[Padm (kN)]]*HC[[#This Row],[nE]]*INDEX(grupoEstacas[],HC[[#This Row],[nE]],MATCH("ε",grupoEstacas[#Headers],0))),"N.S.")</f>
        <v>N.S.</v>
      </c>
      <c r="AD187" s="4" t="e">
        <f ca="1">1.05*HC[[#This Row],[Nsd (kN)]]/(HC[[#This Row],[nE]]*PI()*HC[[#This Row],[Ø (cm)]]^2/4)*10</f>
        <v>#DIV/0!</v>
      </c>
      <c r="AE187" s="4" t="e">
        <f ca="1">IF(HC[[#This Row],[σ (MPa)]]&lt;INDEX(tipoEstaca[],MATCH($D$2,tipoEstaca[TIPO DE ESTACA],0),MATCH("σmáx (MPa)",tipoEstaca[#Headers],0)),0.4%*PI()*HC[[#This Row],[Ø (cm)]]^2/4,"N.S.")</f>
        <v>#DIV/0!</v>
      </c>
      <c r="AF187" s="1">
        <f>INDEX(tipoEstaca[],MATCH($D$2,tipoEstaca[TIPO DE ESTACA],0),MATCH(HC[[#Headers],[Comprimento (m)]],tipoEstaca[#Headers],0))</f>
        <v>4</v>
      </c>
      <c r="AG187" s="5" t="e">
        <f ca="1">HC[[#This Row],[As,mín (cm²)]]/100^2*HC[[#This Row],[Comprimento (m)]]*7850</f>
        <v>#DIV/0!</v>
      </c>
      <c r="AH187" s="4" t="e">
        <f ca="1">HC[[#This Row],[nE]]*HC[[#This Row],[Prof. (m)]]*HC[[#This Row],[Ap (m²)]]</f>
        <v>#DIV/0!</v>
      </c>
      <c r="AI187" s="1" t="e">
        <f ca="1">IF(HC[[#This Row],[nE]]=1,0,MAX(3*HC[[#This Row],[Ø (cm)]],60))</f>
        <v>#DIV/0!</v>
      </c>
      <c r="AJ187" s="1" t="e">
        <f ca="1">IF(HC[[#This Row],[nE]]=1,HC[[#This Row],[Ø (cm)]]+2*10,MAX(1.5*HC[[#This Row],[Ø (cm)]],HC[[#This Row],[Ø (cm)]]+15))</f>
        <v>#DIV/0!</v>
      </c>
      <c r="AK187" s="1" t="e">
        <f ca="1">alturaUtil(HC[[#This Row],[nE]],HC[[#This Row],[Ø (cm)]],HC[[#This Row],[e (cm)]],HC[[#This Row],[ap,eq (cm)]])</f>
        <v>#VALUE!</v>
      </c>
      <c r="AL187" s="1" t="str">
        <f ca="1">IFERROR(HC[[#This Row],[d (cm)]]+arredondarParaCimaMultiplo5cm(MAX(5,SQRT(PI())/2*HC[[#This Row],[Ø (cm)]]/5)),"N.S.")</f>
        <v>N.S.</v>
      </c>
      <c r="AM187" s="5" t="e">
        <f ca="1">alpha(HC[[#This Row],[nE]],HC[[#This Row],[d (cm)]],HC[[#This Row],[e (cm)]],HC[[#This Row],[ap,eq (cm)]])</f>
        <v>#VALUE!</v>
      </c>
      <c r="AN187" s="35" t="str">
        <f ca="1">IFERROR(HC[[#This Row],[Nsd (kN)]]/(HC[[#This Row],[Ap (cm²)]]*SIN(HC[[#This Row],[α]])^2),"N.S.")</f>
        <v>N.S.</v>
      </c>
      <c r="AO187" s="35" t="str">
        <f ca="1">IFERROR(HC[[#This Row],[Nsd (kN)]]/(HC[[#This Row],[nE]]*PI()*HC[[#This Row],[Ø (cm)]]^2/4*SIN(HC[[#This Row],[α]])^2),"N.S.")</f>
        <v>N.S.</v>
      </c>
      <c r="AP187" s="4" t="str">
        <f ca="1">IFERROR(INDEX(grupoEstacas[],HC[[#This Row],[nE]],MATCH("coef. Blévot",grupoEstacas[#Headers],0)),"N.S.")</f>
        <v>N.S.</v>
      </c>
      <c r="AQ187" s="35" t="str">
        <f ca="1">IFERROR(HC[[#This Row],[coef. Blévot]]*0.9*INDEX(tipoEstaca[],MATCH($D$2,tipoEstaca[TIPO DE ESTACA],0),MATCH("fcd (kN/cm²)",tipoEstaca[#Headers],0)),"N.S.")</f>
        <v>N.S.</v>
      </c>
      <c r="AR187" s="1" t="str">
        <f ca="1">IF(AND(HC[[#This Row],[cd,b,pil (kN/cm²)]]&lt;=HC[[#This Row],[cd,b,lim (kN/cm²)]],HC[[#This Row],[cd,b,est (kN/cm²)]]&lt;=HC[[#This Row],[cd,b,lim (kN/cm²)]]),"OK","ERRO")</f>
        <v>OK</v>
      </c>
      <c r="AS187" s="4" t="e">
        <f ca="1">As_lado(HC[[#This Row],[nE]],HC[[#This Row],[Nsd (kN)]],HC[[#This Row],[d (cm)]],HC[[#This Row],[e (cm)]],HC[[#This Row],[ap,eq (cm)]])</f>
        <v>#VALUE!</v>
      </c>
      <c r="AT187" s="4" t="e">
        <f ca="1">IF(HC[[#This Row],[nE]]=1,HC[[#This Row],[As,lado (cm²)]],IF(HC[[#This Row],[nE]]=2,0.075*2*HC[a (cm)],"N.A."))</f>
        <v>#DIV/0!</v>
      </c>
      <c r="AU187" s="4" t="str">
        <f ca="1">IFERROR(IF(HC[[#This Row],[nE]]=1,"N.A.",0.2*HC[[#This Row],[As,lado (cm²)]]),"N.S.")</f>
        <v>N.S.</v>
      </c>
      <c r="AV187" s="4" t="e">
        <f ca="1">As_malha(HC[[#This Row],[nE]],HC[[#This Row],[As,lado (cm²)]],HC[[#This Row],[Nsd (kN)]])</f>
        <v>#VALUE!</v>
      </c>
      <c r="AW187" s="4" t="e">
        <f ca="1">As_susp_tot(HC[[#This Row],[nE]],HC[[#This Row],[Nsd (kN)]])</f>
        <v>#VALUE!</v>
      </c>
      <c r="AX187" s="4" t="e">
        <f ca="1">Asp_face(HC[[#This Row],[nE]],HC[[#This Row],[As,lado (cm²)]])</f>
        <v>#VALUE!</v>
      </c>
      <c r="AY187" s="5" t="e">
        <f ca="1">acoBloco(HC[[#This Row],[nE]],HC[[#This Row],[e (cm)]],HC[[#This Row],[a (cm)]],HC[[#This Row],[h (cm)]],HC[[#This Row],[As,lado (cm²)]],HC[[#This Row],[Asp e Asw (cm²/m)]],HC[[#This Row],[As,sup (cm²)]],HC[[#This Row],[As,malha (cm²)]],HC[[#This Row],[As,susp,tot (cm²)]],HC[[#This Row],[Asp,face (cm²)]])</f>
        <v>#VALUE!</v>
      </c>
      <c r="AZ187" s="4" t="e">
        <f ca="1">concretoBloco(HC[[#This Row],[nE]],HC[[#This Row],[e (cm)]],HC[[#This Row],[a (cm)]],HC[[#This Row],[h (cm)]])</f>
        <v>#VALUE!</v>
      </c>
      <c r="BA187" s="5" t="e">
        <f ca="1">SUM(HC[[#This Row],[Aço Est (kg)]],HC[[#This Row],[Aço Bloco (kg)]])</f>
        <v>#DIV/0!</v>
      </c>
      <c r="BB187" s="4">
        <f>INDEX(composicoes[],MATCH(95580,composicoes[CÓDIGO],0),MATCH("CUSTO TOTAL",composicoes[#Headers],0))</f>
        <v>10.46</v>
      </c>
      <c r="BC187" s="4" t="e">
        <f ca="1">SUM(HC[[#This Row],[Conc Est (m³)]],HC[[#This Row],[Conc Bloco (m³)]])</f>
        <v>#DIV/0!</v>
      </c>
      <c r="BD187" s="4">
        <f>INDEX(composicoes[],MATCH(94966,composicoes[CÓDIGO],0),MATCH("CUSTO TOTAL",composicoes[#Headers],0))</f>
        <v>439.52</v>
      </c>
      <c r="BE187" s="38" t="e">
        <f ca="1">HC[[#This Row],[Aço (kg)]]*HC[[#This Row],[Aço (R$/kg)]]+HC[[#This Row],[Conc (m³)]]*HC[[#This Row],[Conc (R$/m³)]]</f>
        <v>#DIV/0!</v>
      </c>
      <c r="BF187" s="4" t="str">
        <f ca="1">IF(COUNTIF(HC[#This Row],"N.S.")&gt;0,"lim.","OK")</f>
        <v>lim.</v>
      </c>
      <c r="BG187" s="4" t="str">
        <f>IF(HC[[#This Row],[Prof. (m)]]&lt;4,"lim.","OK")</f>
        <v>lim.</v>
      </c>
      <c r="BH187" s="4" t="str">
        <f>IF(HC[[#This Row],[Prof. (m)]]&gt;=8*HC[[#This Row],[Ø (cm)]]/100,"OK","lim.")</f>
        <v>lim.</v>
      </c>
      <c r="BI187" s="4" t="str">
        <f ca="1">IF(HC[[#This Row],[Verif. Biela]]="OK","OK","lim.")</f>
        <v>OK</v>
      </c>
      <c r="BJ187" s="4" t="str">
        <f ca="1">IF(COUNTA(HC[[#This Row],[Nº Est.]:[Biela comp.]])=COUNTIF(HC[[#This Row],[Nº Est.]:[Biela comp.]],"OK"),"OK","lim.")</f>
        <v>lim.</v>
      </c>
      <c r="BK187" s="4" t="str">
        <f ca="1">IF(HC[[#This Row],[Controle]]="OK",HC[[#This Row],[nE]]&amp;" Ø"&amp;HC[[#This Row],[Ø (cm)]]&amp;"cm Prof. "&amp;HC[[#This Row],[Prof. (m)]]&amp;" m","")</f>
        <v/>
      </c>
      <c r="BL187" s="4" t="str">
        <f ca="1">IF(HC[[#This Row],[idDimensionamento]]="","",HC[[#This Row],[idPilar]]&amp;HC[[#This Row],[idDimensionamento]])</f>
        <v/>
      </c>
    </row>
    <row r="188" spans="2:64" x14ac:dyDescent="0.25">
      <c r="B188" s="12">
        <f>ROUNDUP((ROW(HC[[#This Row],[idDiâmetro]])-ROW(HC[[#Headers],[idDiâmetro]]))/(COUNT(SPT[Prof. (m)])*COUNT(PILARES[Pilar])),0)</f>
        <v>7</v>
      </c>
      <c r="C188" s="12">
        <f>IF(HC[[#This Row],[idDiâmetro]]&lt;&gt;B187,1,IF(HC[[#This Row],[Prof. (m)]]=0,C187+1,C187))</f>
        <v>2</v>
      </c>
      <c r="D188" s="1">
        <f>IFERROR(IF(D187=MAX(SPT[Prof. (m)]),0,D187+1),0)</f>
        <v>1</v>
      </c>
      <c r="E188" s="1">
        <f>INDEX(SPT[],MATCH(HC[[#This Row],[Prof. (m)]],SPT[Prof. (m)],0),2)</f>
        <v>2</v>
      </c>
      <c r="F188" s="1" t="str">
        <f>INDEX(SPT[],MATCH(HC[[#This Row],[Prof. (m)]],SPT[Prof. (m)],0),3)</f>
        <v>Areia siltosa</v>
      </c>
      <c r="G188" s="1">
        <f>INDEX(estacas[],HC[[#This Row],[idDiâmetro]],MATCH($B$2,estacas[#Headers],0))</f>
        <v>60</v>
      </c>
      <c r="H188" s="1">
        <f>INDEX(estacas[],MATCH(HC[[#This Row],[Ø (cm)]],estacas[Ø HC (cm)],0),MATCH(HC[[#Headers],[Pe HC (kN)]],estacas[#Headers],0))</f>
        <v>1800</v>
      </c>
      <c r="I188" s="4">
        <f>INDEX(K_alpha_C[],MATCH(HC[[#This Row],[Solo]],K_alpha_C[Solo],0),2)</f>
        <v>0.8</v>
      </c>
      <c r="J188" s="5">
        <f>INDEX(K_alpha_C[],MATCH(HC[[#This Row],[Solo]],K_alpha_C[Solo],0),3)</f>
        <v>2</v>
      </c>
      <c r="K188" s="4">
        <f>INDEX(F1_F2[],MATCH($D$2,F1_F2[Tipo de estaca],0),2)</f>
        <v>2</v>
      </c>
      <c r="L188" s="4">
        <f>INDEX(F1_F2[],MATCH($D$2,F1_F2[Tipo de estaca],0),3)</f>
        <v>4</v>
      </c>
      <c r="M188" s="4">
        <f>PI()*(HC[[#This Row],[Ø (cm)]]/100)^2/4</f>
        <v>0.28274333882308139</v>
      </c>
      <c r="N188" s="4">
        <f>PI()*HC[[#This Row],[Ø (cm)]]/100</f>
        <v>1.8849555921538756</v>
      </c>
      <c r="O188" s="4">
        <f>IF(HC[[#This Row],[Prof. (m)]]=0,0,HC[[#This Row],[α (%)]]/100*HC[[#This Row],[K (MPa)]]*1000*HC[[#This Row],[NSPT]])</f>
        <v>32</v>
      </c>
      <c r="P188" s="4">
        <f>IF(HC[[#This Row],[Prof. (m)]]=0,0,(HC[[#This Row],[K (MPa)]]*1000*HC[[#This Row],[NSPT]]/HC[[#This Row],[F1]]*HC[[#This Row],[Ap (m²)]]+HC[[#This Row],[U (m)]]/HC[[#This Row],[F2]]*SUMIFS(HC[(α∙K∙NL∙ΔL)],HC[Prof. (m)],"&lt;="&amp;HC[[#This Row],[Prof. (m)]],HC[idDiâmetro],HC[[#This Row],[idDiâmetro]],HC[idPilar],HC[[#This Row],[idPilar]]))/'DADOS CAP. CARGA'!$D$2)</f>
        <v>120.63715789784806</v>
      </c>
      <c r="Q188" s="12">
        <f>INDEX(C_alpha_beta[],MATCH(HC[[#This Row],[Solo]],C_alpha_beta[Solo],0),MATCH(HC[[#Headers],[C (kPa)]],C_alpha_beta[#Headers],0))</f>
        <v>400</v>
      </c>
      <c r="R188" s="4">
        <f>INDEX(C_alpha_beta[],MATCH(HC[[#This Row],[Solo]],C_alpha_beta[Solo],0),MATCH(HC[[#Headers],[α ESF]],C_alpha_beta[#Headers],0))</f>
        <v>0.5</v>
      </c>
      <c r="S188" s="4">
        <f>INDEX(C_alpha_beta[],MATCH(HC[[#This Row],[Solo]],C_alpha_beta[Solo],0),MATCH(HC[[#Headers],[β ESF]],C_alpha_beta[#Headers],0))</f>
        <v>0.5</v>
      </c>
      <c r="T188" s="4">
        <f>IF(HC[[#This Row],[Prof. (m)]]=0,0,10*(HC[[#This Row],[NSPT]]/3+1))</f>
        <v>16.666666666666664</v>
      </c>
      <c r="U188" s="4">
        <f>(HC[[#This Row],[α ESF]]*HC[[#This Row],[C (kPa)]]*HC[[#This Row],[NSPT]]*HC[[#This Row],[Ap (m²)]])/'DADOS CAP. CARGA'!$Q$2+(HC[[#This Row],[β ESF]]*SUMIFS(HC[10∙(NL/3+1)],HC[Prof. (m)],"&lt;="&amp;HC[[#This Row],[Prof. (m)]],HC[idDiâmetro],HC[[#This Row],[idDiâmetro]],HC[idPilar],HC[[#This Row],[idPilar]])*HC[[#This Row],[U (m)]])/'DADOS CAP. CARGA'!$S$2</f>
        <v>36.128315516282619</v>
      </c>
      <c r="V188" s="4">
        <f>IF(SPT!$M$5=1,MIN(HC[[#This Row],[Pe HC (kN)]],HC[[#This Row],[R_AV (kN)]]),IF(SPT!$M$5=2,MIN(HC[[#This Row],[Pe HC (kN)]],HC[[#This Row],[R_DC (kN)]]),MIN(HC[[#This Row],[Pe HC (kN)]],HC[[#This Row],[R_AV (kN)]],HC[[#This Row],[R_DC (kN)]])))</f>
        <v>36.128315516282619</v>
      </c>
      <c r="W188" s="4">
        <f>INDEX(PILARES[],HC[[#This Row],[idPilar]],MATCH("Carga (kN)",PILARES[#Headers],0))*1.4</f>
        <v>1750</v>
      </c>
      <c r="X188" s="12">
        <f>INDEX(PILARES[],HC[[#This Row],[idPilar]],MATCH(HC[[#Headers],[ap (cm)]],PILARES[#Headers],0))</f>
        <v>50</v>
      </c>
      <c r="Y188" s="12">
        <f>INDEX(PILARES[],HC[[#This Row],[idPilar]],MATCH(HC[[#Headers],[bp (cm)]],PILARES[#Headers],0))</f>
        <v>40</v>
      </c>
      <c r="Z188" s="4">
        <f>SQRT(HC[[#This Row],[ap (cm)]]*HC[[#This Row],[bp (cm)]])</f>
        <v>44.721359549995796</v>
      </c>
      <c r="AA188" s="12">
        <f>HC[[#This Row],[ap (cm)]]*HC[[#This Row],[bp (cm)]]</f>
        <v>2000</v>
      </c>
      <c r="AB188" s="12">
        <f ca="1">IF(HC[[#This Row],[Padm∙ε (kN)]]&gt;=HC[[#This Row],[Padm (kN)]],ROUNDUP(1.05*HC[[#This Row],[Nsd (kN)]]/HC[[#This Row],[Padm (kN)]],0),ROUNDUP(1.05*HC[[#This Row],[Nsd (kN)]]/HC[[#This Row],[Padm (kN)]],0)+1)</f>
        <v>51</v>
      </c>
      <c r="AC188" s="4" t="str">
        <f ca="1">IFERROR(IF(HC[[#This Row],[nE]]=1,HC[[#This Row],[Padm (kN)]],HC[[#This Row],[Padm (kN)]]*HC[[#This Row],[nE]]*INDEX(grupoEstacas[],HC[[#This Row],[nE]],MATCH("ε",grupoEstacas[#Headers],0))),"N.S.")</f>
        <v>N.S.</v>
      </c>
      <c r="AD188" s="4">
        <f ca="1">1.05*HC[[#This Row],[Nsd (kN)]]/(HC[[#This Row],[nE]]*PI()*HC[[#This Row],[Ø (cm)]]^2/4)*10</f>
        <v>0.12742797731213842</v>
      </c>
      <c r="AE188" s="4">
        <f ca="1">IF(HC[[#This Row],[σ (MPa)]]&lt;INDEX(tipoEstaca[],MATCH($D$2,tipoEstaca[TIPO DE ESTACA],0),MATCH("σmáx (MPa)",tipoEstaca[#Headers],0)),0.4%*PI()*HC[[#This Row],[Ø (cm)]]^2/4,"N.S.")</f>
        <v>11.309733552923255</v>
      </c>
      <c r="AF188" s="1">
        <f>INDEX(tipoEstaca[],MATCH($D$2,tipoEstaca[TIPO DE ESTACA],0),MATCH(HC[[#Headers],[Comprimento (m)]],tipoEstaca[#Headers],0))</f>
        <v>4</v>
      </c>
      <c r="AG188" s="5">
        <f ca="1">HC[[#This Row],[As,mín (cm²)]]/100^2*HC[[#This Row],[Comprimento (m)]]*7850</f>
        <v>35.512563356179022</v>
      </c>
      <c r="AH188" s="4">
        <f ca="1">HC[[#This Row],[nE]]*HC[[#This Row],[Prof. (m)]]*HC[[#This Row],[Ap (m²)]]</f>
        <v>14.419910279977151</v>
      </c>
      <c r="AI188" s="1">
        <f ca="1">IF(HC[[#This Row],[nE]]=1,0,MAX(3*HC[[#This Row],[Ø (cm)]],60))</f>
        <v>180</v>
      </c>
      <c r="AJ188" s="1">
        <f ca="1">IF(HC[[#This Row],[nE]]=1,HC[[#This Row],[Ø (cm)]]+2*10,MAX(1.5*HC[[#This Row],[Ø (cm)]],HC[[#This Row],[Ø (cm)]]+15))</f>
        <v>90</v>
      </c>
      <c r="AK188" s="1" t="str">
        <f ca="1">alturaUtil(HC[[#This Row],[nE]],HC[[#This Row],[Ø (cm)]],HC[[#This Row],[e (cm)]],HC[[#This Row],[ap,eq (cm)]])</f>
        <v>N.S.</v>
      </c>
      <c r="AL188" s="1" t="str">
        <f ca="1">IFERROR(HC[[#This Row],[d (cm)]]+arredondarParaCimaMultiplo5cm(MAX(5,SQRT(PI())/2*HC[[#This Row],[Ø (cm)]]/5)),"N.S.")</f>
        <v>N.S.</v>
      </c>
      <c r="AM188" s="5" t="str">
        <f ca="1">alpha(HC[[#This Row],[nE]],HC[[#This Row],[d (cm)]],HC[[#This Row],[e (cm)]],HC[[#This Row],[ap,eq (cm)]])</f>
        <v>N.S.</v>
      </c>
      <c r="AN188" s="35" t="str">
        <f ca="1">IFERROR(HC[[#This Row],[Nsd (kN)]]/(HC[[#This Row],[Ap (cm²)]]*SIN(HC[[#This Row],[α]])^2),"N.S.")</f>
        <v>N.S.</v>
      </c>
      <c r="AO188" s="35" t="str">
        <f ca="1">IFERROR(HC[[#This Row],[Nsd (kN)]]/(HC[[#This Row],[nE]]*PI()*HC[[#This Row],[Ø (cm)]]^2/4*SIN(HC[[#This Row],[α]])^2),"N.S.")</f>
        <v>N.S.</v>
      </c>
      <c r="AP188" s="4" t="str">
        <f ca="1">IFERROR(INDEX(grupoEstacas[],HC[[#This Row],[nE]],MATCH("coef. Blévot",grupoEstacas[#Headers],0)),"N.S.")</f>
        <v>N.S.</v>
      </c>
      <c r="AQ188" s="35" t="str">
        <f ca="1">IFERROR(HC[[#This Row],[coef. Blévot]]*0.9*INDEX(tipoEstaca[],MATCH($D$2,tipoEstaca[TIPO DE ESTACA],0),MATCH("fcd (kN/cm²)",tipoEstaca[#Headers],0)),"N.S.")</f>
        <v>N.S.</v>
      </c>
      <c r="AR188" s="1" t="str">
        <f ca="1">IF(AND(HC[[#This Row],[cd,b,pil (kN/cm²)]]&lt;=HC[[#This Row],[cd,b,lim (kN/cm²)]],HC[[#This Row],[cd,b,est (kN/cm²)]]&lt;=HC[[#This Row],[cd,b,lim (kN/cm²)]]),"OK","ERRO")</f>
        <v>OK</v>
      </c>
      <c r="AS188" s="4" t="str">
        <f ca="1">As_lado(HC[[#This Row],[nE]],HC[[#This Row],[Nsd (kN)]],HC[[#This Row],[d (cm)]],HC[[#This Row],[e (cm)]],HC[[#This Row],[ap,eq (cm)]])</f>
        <v>N.S.</v>
      </c>
      <c r="AT188" s="4" t="str">
        <f ca="1">IF(HC[[#This Row],[nE]]=1,HC[[#This Row],[As,lado (cm²)]],IF(HC[[#This Row],[nE]]=2,0.075*2*HC[a (cm)],"N.A."))</f>
        <v>N.A.</v>
      </c>
      <c r="AU188" s="4" t="str">
        <f ca="1">IFERROR(IF(HC[[#This Row],[nE]]=1,"N.A.",0.2*HC[[#This Row],[As,lado (cm²)]]),"N.S.")</f>
        <v>N.S.</v>
      </c>
      <c r="AV188" s="4" t="str">
        <f ca="1">As_malha(HC[[#This Row],[nE]],HC[[#This Row],[As,lado (cm²)]],HC[[#This Row],[Nsd (kN)]])</f>
        <v>N.S.</v>
      </c>
      <c r="AW188" s="4" t="str">
        <f ca="1">As_susp_tot(HC[[#This Row],[nE]],HC[[#This Row],[Nsd (kN)]])</f>
        <v>N.S.</v>
      </c>
      <c r="AX188" s="4" t="str">
        <f ca="1">Asp_face(HC[[#This Row],[nE]],HC[[#This Row],[As,lado (cm²)]])</f>
        <v>N.S.</v>
      </c>
      <c r="AY188" s="5" t="str">
        <f ca="1">acoBloco(HC[[#This Row],[nE]],HC[[#This Row],[e (cm)]],HC[[#This Row],[a (cm)]],HC[[#This Row],[h (cm)]],HC[[#This Row],[As,lado (cm²)]],HC[[#This Row],[Asp e Asw (cm²/m)]],HC[[#This Row],[As,sup (cm²)]],HC[[#This Row],[As,malha (cm²)]],HC[[#This Row],[As,susp,tot (cm²)]],HC[[#This Row],[Asp,face (cm²)]])</f>
        <v>N.S.</v>
      </c>
      <c r="AZ188" s="4" t="str">
        <f ca="1">concretoBloco(HC[[#This Row],[nE]],HC[[#This Row],[e (cm)]],HC[[#This Row],[a (cm)]],HC[[#This Row],[h (cm)]])</f>
        <v>N.S.</v>
      </c>
      <c r="BA188" s="5">
        <f ca="1">SUM(HC[[#This Row],[Aço Est (kg)]],HC[[#This Row],[Aço Bloco (kg)]])</f>
        <v>35.512563356179022</v>
      </c>
      <c r="BB188" s="4">
        <f>INDEX(composicoes[],MATCH(95580,composicoes[CÓDIGO],0),MATCH("CUSTO TOTAL",composicoes[#Headers],0))</f>
        <v>10.46</v>
      </c>
      <c r="BC188" s="4">
        <f ca="1">SUM(HC[[#This Row],[Conc Est (m³)]],HC[[#This Row],[Conc Bloco (m³)]])</f>
        <v>14.419910279977151</v>
      </c>
      <c r="BD188" s="4">
        <f>INDEX(composicoes[],MATCH(94966,composicoes[CÓDIGO],0),MATCH("CUSTO TOTAL",composicoes[#Headers],0))</f>
        <v>439.52</v>
      </c>
      <c r="BE188" s="38">
        <f ca="1">HC[[#This Row],[Aço (kg)]]*HC[[#This Row],[Aço (R$/kg)]]+HC[[#This Row],[Conc (m³)]]*HC[[#This Row],[Conc (R$/m³)]]</f>
        <v>6709.3003789611903</v>
      </c>
      <c r="BF188" s="4" t="str">
        <f ca="1">IF(COUNTIF(HC[#This Row],"N.S.")&gt;0,"lim.","OK")</f>
        <v>lim.</v>
      </c>
      <c r="BG188" s="4" t="str">
        <f>IF(HC[[#This Row],[Prof. (m)]]&lt;4,"lim.","OK")</f>
        <v>lim.</v>
      </c>
      <c r="BH188" s="4" t="str">
        <f>IF(HC[[#This Row],[Prof. (m)]]&gt;=8*HC[[#This Row],[Ø (cm)]]/100,"OK","lim.")</f>
        <v>lim.</v>
      </c>
      <c r="BI188" s="4" t="str">
        <f ca="1">IF(HC[[#This Row],[Verif. Biela]]="OK","OK","lim.")</f>
        <v>OK</v>
      </c>
      <c r="BJ188" s="4" t="str">
        <f ca="1">IF(COUNTA(HC[[#This Row],[Nº Est.]:[Biela comp.]])=COUNTIF(HC[[#This Row],[Nº Est.]:[Biela comp.]],"OK"),"OK","lim.")</f>
        <v>lim.</v>
      </c>
      <c r="BK188" s="4" t="str">
        <f ca="1">IF(HC[[#This Row],[Controle]]="OK",HC[[#This Row],[nE]]&amp;" Ø"&amp;HC[[#This Row],[Ø (cm)]]&amp;"cm Prof. "&amp;HC[[#This Row],[Prof. (m)]]&amp;" m","")</f>
        <v/>
      </c>
      <c r="BL188" s="4" t="str">
        <f ca="1">IF(HC[[#This Row],[idDimensionamento]]="","",HC[[#This Row],[idPilar]]&amp;HC[[#This Row],[idDimensionamento]])</f>
        <v/>
      </c>
    </row>
    <row r="189" spans="2:64" x14ac:dyDescent="0.25">
      <c r="B189" s="12">
        <f>ROUNDUP((ROW(HC[[#This Row],[idDiâmetro]])-ROW(HC[[#Headers],[idDiâmetro]]))/(COUNT(SPT[Prof. (m)])*COUNT(PILARES[Pilar])),0)</f>
        <v>7</v>
      </c>
      <c r="C189" s="12">
        <f>IF(HC[[#This Row],[idDiâmetro]]&lt;&gt;B188,1,IF(HC[[#This Row],[Prof. (m)]]=0,C188+1,C188))</f>
        <v>2</v>
      </c>
      <c r="D189" s="1">
        <f>IFERROR(IF(D188=MAX(SPT[Prof. (m)]),0,D188+1),0)</f>
        <v>2</v>
      </c>
      <c r="E189" s="1">
        <f>INDEX(SPT[],MATCH(HC[[#This Row],[Prof. (m)]],SPT[Prof. (m)],0),2)</f>
        <v>2</v>
      </c>
      <c r="F189" s="1" t="str">
        <f>INDEX(SPT[],MATCH(HC[[#This Row],[Prof. (m)]],SPT[Prof. (m)],0),3)</f>
        <v>Areia siltosa</v>
      </c>
      <c r="G189" s="1">
        <f>INDEX(estacas[],HC[[#This Row],[idDiâmetro]],MATCH($B$2,estacas[#Headers],0))</f>
        <v>60</v>
      </c>
      <c r="H189" s="1">
        <f>INDEX(estacas[],MATCH(HC[[#This Row],[Ø (cm)]],estacas[Ø HC (cm)],0),MATCH(HC[[#Headers],[Pe HC (kN)]],estacas[#Headers],0))</f>
        <v>1800</v>
      </c>
      <c r="I189" s="4">
        <f>INDEX(K_alpha_C[],MATCH(HC[[#This Row],[Solo]],K_alpha_C[Solo],0),2)</f>
        <v>0.8</v>
      </c>
      <c r="J189" s="5">
        <f>INDEX(K_alpha_C[],MATCH(HC[[#This Row],[Solo]],K_alpha_C[Solo],0),3)</f>
        <v>2</v>
      </c>
      <c r="K189" s="4">
        <f>INDEX(F1_F2[],MATCH($D$2,F1_F2[Tipo de estaca],0),2)</f>
        <v>2</v>
      </c>
      <c r="L189" s="4">
        <f>INDEX(F1_F2[],MATCH($D$2,F1_F2[Tipo de estaca],0),3)</f>
        <v>4</v>
      </c>
      <c r="M189" s="4">
        <f>PI()*(HC[[#This Row],[Ø (cm)]]/100)^2/4</f>
        <v>0.28274333882308139</v>
      </c>
      <c r="N189" s="4">
        <f>PI()*HC[[#This Row],[Ø (cm)]]/100</f>
        <v>1.8849555921538756</v>
      </c>
      <c r="O189" s="4">
        <f>IF(HC[[#This Row],[Prof. (m)]]=0,0,HC[[#This Row],[α (%)]]/100*HC[[#This Row],[K (MPa)]]*1000*HC[[#This Row],[NSPT]])</f>
        <v>32</v>
      </c>
      <c r="P189" s="4">
        <f>IF(HC[[#This Row],[Prof. (m)]]=0,0,(HC[[#This Row],[K (MPa)]]*1000*HC[[#This Row],[NSPT]]/HC[[#This Row],[F1]]*HC[[#This Row],[Ap (m²)]]+HC[[#This Row],[U (m)]]/HC[[#This Row],[F2]]*SUMIFS(HC[(α∙K∙NL∙ΔL)],HC[Prof. (m)],"&lt;="&amp;HC[[#This Row],[Prof. (m)]],HC[idDiâmetro],HC[[#This Row],[idDiâmetro]],HC[idPilar],HC[[#This Row],[idPilar]]))/'DADOS CAP. CARGA'!$D$2)</f>
        <v>128.17698026646354</v>
      </c>
      <c r="Q189" s="12">
        <f>INDEX(C_alpha_beta[],MATCH(HC[[#This Row],[Solo]],C_alpha_beta[Solo],0),MATCH(HC[[#Headers],[C (kPa)]],C_alpha_beta[#Headers],0))</f>
        <v>400</v>
      </c>
      <c r="R189" s="4">
        <f>INDEX(C_alpha_beta[],MATCH(HC[[#This Row],[Solo]],C_alpha_beta[Solo],0),MATCH(HC[[#Headers],[α ESF]],C_alpha_beta[#Headers],0))</f>
        <v>0.5</v>
      </c>
      <c r="S189" s="4">
        <f>INDEX(C_alpha_beta[],MATCH(HC[[#This Row],[Solo]],C_alpha_beta[Solo],0),MATCH(HC[[#Headers],[β ESF]],C_alpha_beta[#Headers],0))</f>
        <v>0.5</v>
      </c>
      <c r="T189" s="4">
        <f>IF(HC[[#This Row],[Prof. (m)]]=0,0,10*(HC[[#This Row],[NSPT]]/3+1))</f>
        <v>16.666666666666664</v>
      </c>
      <c r="U189" s="4">
        <f>(HC[[#This Row],[α ESF]]*HC[[#This Row],[C (kPa)]]*HC[[#This Row],[NSPT]]*HC[[#This Row],[Ap (m²)]])/'DADOS CAP. CARGA'!$Q$2+(HC[[#This Row],[β ESF]]*SUMIFS(HC[10∙(NL/3+1)],HC[Prof. (m)],"&lt;="&amp;HC[[#This Row],[Prof. (m)]],HC[idDiâmetro],HC[[#This Row],[idDiâmetro]],HC[idPilar],HC[[#This Row],[idPilar]])*HC[[#This Row],[U (m)]])/'DADOS CAP. CARGA'!$S$2</f>
        <v>43.982297150257097</v>
      </c>
      <c r="V189" s="4">
        <f>IF(SPT!$M$5=1,MIN(HC[[#This Row],[Pe HC (kN)]],HC[[#This Row],[R_AV (kN)]]),IF(SPT!$M$5=2,MIN(HC[[#This Row],[Pe HC (kN)]],HC[[#This Row],[R_DC (kN)]]),MIN(HC[[#This Row],[Pe HC (kN)]],HC[[#This Row],[R_AV (kN)]],HC[[#This Row],[R_DC (kN)]])))</f>
        <v>43.982297150257097</v>
      </c>
      <c r="W189" s="4">
        <f>INDEX(PILARES[],HC[[#This Row],[idPilar]],MATCH("Carga (kN)",PILARES[#Headers],0))*1.4</f>
        <v>1750</v>
      </c>
      <c r="X189" s="12">
        <f>INDEX(PILARES[],HC[[#This Row],[idPilar]],MATCH(HC[[#Headers],[ap (cm)]],PILARES[#Headers],0))</f>
        <v>50</v>
      </c>
      <c r="Y189" s="12">
        <f>INDEX(PILARES[],HC[[#This Row],[idPilar]],MATCH(HC[[#Headers],[bp (cm)]],PILARES[#Headers],0))</f>
        <v>40</v>
      </c>
      <c r="Z189" s="4">
        <f>SQRT(HC[[#This Row],[ap (cm)]]*HC[[#This Row],[bp (cm)]])</f>
        <v>44.721359549995796</v>
      </c>
      <c r="AA189" s="12">
        <f>HC[[#This Row],[ap (cm)]]*HC[[#This Row],[bp (cm)]]</f>
        <v>2000</v>
      </c>
      <c r="AB189" s="12">
        <f ca="1">IF(HC[[#This Row],[Padm∙ε (kN)]]&gt;=HC[[#This Row],[Padm (kN)]],ROUNDUP(1.05*HC[[#This Row],[Nsd (kN)]]/HC[[#This Row],[Padm (kN)]],0),ROUNDUP(1.05*HC[[#This Row],[Nsd (kN)]]/HC[[#This Row],[Padm (kN)]],0)+1)</f>
        <v>42</v>
      </c>
      <c r="AC189" s="4" t="str">
        <f ca="1">IFERROR(IF(HC[[#This Row],[nE]]=1,HC[[#This Row],[Padm (kN)]],HC[[#This Row],[Padm (kN)]]*HC[[#This Row],[nE]]*INDEX(grupoEstacas[],HC[[#This Row],[nE]],MATCH("ε",grupoEstacas[#Headers],0))),"N.S.")</f>
        <v>N.S.</v>
      </c>
      <c r="AD189" s="4">
        <f ca="1">1.05*HC[[#This Row],[Nsd (kN)]]/(HC[[#This Row],[nE]]*PI()*HC[[#This Row],[Ø (cm)]]^2/4)*10</f>
        <v>0.15473397245045378</v>
      </c>
      <c r="AE189" s="4">
        <f ca="1">IF(HC[[#This Row],[σ (MPa)]]&lt;INDEX(tipoEstaca[],MATCH($D$2,tipoEstaca[TIPO DE ESTACA],0),MATCH("σmáx (MPa)",tipoEstaca[#Headers],0)),0.4%*PI()*HC[[#This Row],[Ø (cm)]]^2/4,"N.S.")</f>
        <v>11.309733552923255</v>
      </c>
      <c r="AF189" s="1">
        <f>INDEX(tipoEstaca[],MATCH($D$2,tipoEstaca[TIPO DE ESTACA],0),MATCH(HC[[#Headers],[Comprimento (m)]],tipoEstaca[#Headers],0))</f>
        <v>4</v>
      </c>
      <c r="AG189" s="5">
        <f ca="1">HC[[#This Row],[As,mín (cm²)]]/100^2*HC[[#This Row],[Comprimento (m)]]*7850</f>
        <v>35.512563356179022</v>
      </c>
      <c r="AH189" s="4">
        <f ca="1">HC[[#This Row],[nE]]*HC[[#This Row],[Prof. (m)]]*HC[[#This Row],[Ap (m²)]]</f>
        <v>23.750440461138837</v>
      </c>
      <c r="AI189" s="1">
        <f ca="1">IF(HC[[#This Row],[nE]]=1,0,MAX(3*HC[[#This Row],[Ø (cm)]],60))</f>
        <v>180</v>
      </c>
      <c r="AJ189" s="1">
        <f ca="1">IF(HC[[#This Row],[nE]]=1,HC[[#This Row],[Ø (cm)]]+2*10,MAX(1.5*HC[[#This Row],[Ø (cm)]],HC[[#This Row],[Ø (cm)]]+15))</f>
        <v>90</v>
      </c>
      <c r="AK189" s="1" t="str">
        <f ca="1">alturaUtil(HC[[#This Row],[nE]],HC[[#This Row],[Ø (cm)]],HC[[#This Row],[e (cm)]],HC[[#This Row],[ap,eq (cm)]])</f>
        <v>N.S.</v>
      </c>
      <c r="AL189" s="1" t="str">
        <f ca="1">IFERROR(HC[[#This Row],[d (cm)]]+arredondarParaCimaMultiplo5cm(MAX(5,SQRT(PI())/2*HC[[#This Row],[Ø (cm)]]/5)),"N.S.")</f>
        <v>N.S.</v>
      </c>
      <c r="AM189" s="5" t="str">
        <f ca="1">alpha(HC[[#This Row],[nE]],HC[[#This Row],[d (cm)]],HC[[#This Row],[e (cm)]],HC[[#This Row],[ap,eq (cm)]])</f>
        <v>N.S.</v>
      </c>
      <c r="AN189" s="35" t="str">
        <f ca="1">IFERROR(HC[[#This Row],[Nsd (kN)]]/(HC[[#This Row],[Ap (cm²)]]*SIN(HC[[#This Row],[α]])^2),"N.S.")</f>
        <v>N.S.</v>
      </c>
      <c r="AO189" s="35" t="str">
        <f ca="1">IFERROR(HC[[#This Row],[Nsd (kN)]]/(HC[[#This Row],[nE]]*PI()*HC[[#This Row],[Ø (cm)]]^2/4*SIN(HC[[#This Row],[α]])^2),"N.S.")</f>
        <v>N.S.</v>
      </c>
      <c r="AP189" s="4" t="str">
        <f ca="1">IFERROR(INDEX(grupoEstacas[],HC[[#This Row],[nE]],MATCH("coef. Blévot",grupoEstacas[#Headers],0)),"N.S.")</f>
        <v>N.S.</v>
      </c>
      <c r="AQ189" s="35" t="str">
        <f ca="1">IFERROR(HC[[#This Row],[coef. Blévot]]*0.9*INDEX(tipoEstaca[],MATCH($D$2,tipoEstaca[TIPO DE ESTACA],0),MATCH("fcd (kN/cm²)",tipoEstaca[#Headers],0)),"N.S.")</f>
        <v>N.S.</v>
      </c>
      <c r="AR189" s="1" t="str">
        <f ca="1">IF(AND(HC[[#This Row],[cd,b,pil (kN/cm²)]]&lt;=HC[[#This Row],[cd,b,lim (kN/cm²)]],HC[[#This Row],[cd,b,est (kN/cm²)]]&lt;=HC[[#This Row],[cd,b,lim (kN/cm²)]]),"OK","ERRO")</f>
        <v>OK</v>
      </c>
      <c r="AS189" s="4" t="str">
        <f ca="1">As_lado(HC[[#This Row],[nE]],HC[[#This Row],[Nsd (kN)]],HC[[#This Row],[d (cm)]],HC[[#This Row],[e (cm)]],HC[[#This Row],[ap,eq (cm)]])</f>
        <v>N.S.</v>
      </c>
      <c r="AT189" s="4" t="str">
        <f ca="1">IF(HC[[#This Row],[nE]]=1,HC[[#This Row],[As,lado (cm²)]],IF(HC[[#This Row],[nE]]=2,0.075*2*HC[a (cm)],"N.A."))</f>
        <v>N.A.</v>
      </c>
      <c r="AU189" s="4" t="str">
        <f ca="1">IFERROR(IF(HC[[#This Row],[nE]]=1,"N.A.",0.2*HC[[#This Row],[As,lado (cm²)]]),"N.S.")</f>
        <v>N.S.</v>
      </c>
      <c r="AV189" s="4" t="str">
        <f ca="1">As_malha(HC[[#This Row],[nE]],HC[[#This Row],[As,lado (cm²)]],HC[[#This Row],[Nsd (kN)]])</f>
        <v>N.S.</v>
      </c>
      <c r="AW189" s="4" t="str">
        <f ca="1">As_susp_tot(HC[[#This Row],[nE]],HC[[#This Row],[Nsd (kN)]])</f>
        <v>N.S.</v>
      </c>
      <c r="AX189" s="4" t="str">
        <f ca="1">Asp_face(HC[[#This Row],[nE]],HC[[#This Row],[As,lado (cm²)]])</f>
        <v>N.S.</v>
      </c>
      <c r="AY189" s="5" t="str">
        <f ca="1">acoBloco(HC[[#This Row],[nE]],HC[[#This Row],[e (cm)]],HC[[#This Row],[a (cm)]],HC[[#This Row],[h (cm)]],HC[[#This Row],[As,lado (cm²)]],HC[[#This Row],[Asp e Asw (cm²/m)]],HC[[#This Row],[As,sup (cm²)]],HC[[#This Row],[As,malha (cm²)]],HC[[#This Row],[As,susp,tot (cm²)]],HC[[#This Row],[Asp,face (cm²)]])</f>
        <v>N.S.</v>
      </c>
      <c r="AZ189" s="4" t="str">
        <f ca="1">concretoBloco(HC[[#This Row],[nE]],HC[[#This Row],[e (cm)]],HC[[#This Row],[a (cm)]],HC[[#This Row],[h (cm)]])</f>
        <v>N.S.</v>
      </c>
      <c r="BA189" s="5">
        <f ca="1">SUM(HC[[#This Row],[Aço Est (kg)]],HC[[#This Row],[Aço Bloco (kg)]])</f>
        <v>35.512563356179022</v>
      </c>
      <c r="BB189" s="4">
        <f>INDEX(composicoes[],MATCH(95580,composicoes[CÓDIGO],0),MATCH("CUSTO TOTAL",composicoes[#Headers],0))</f>
        <v>10.46</v>
      </c>
      <c r="BC189" s="4">
        <f ca="1">SUM(HC[[#This Row],[Conc Est (m³)]],HC[[#This Row],[Conc Bloco (m³)]])</f>
        <v>23.750440461138837</v>
      </c>
      <c r="BD189" s="4">
        <f>INDEX(composicoes[],MATCH(94966,composicoes[CÓDIGO],0),MATCH("CUSTO TOTAL",composicoes[#Headers],0))</f>
        <v>439.52</v>
      </c>
      <c r="BE189" s="38">
        <f ca="1">HC[[#This Row],[Aço (kg)]]*HC[[#This Row],[Aço (R$/kg)]]+HC[[#This Row],[Conc (m³)]]*HC[[#This Row],[Conc (R$/m³)]]</f>
        <v>10810.255004185374</v>
      </c>
      <c r="BF189" s="4" t="str">
        <f ca="1">IF(COUNTIF(HC[#This Row],"N.S.")&gt;0,"lim.","OK")</f>
        <v>lim.</v>
      </c>
      <c r="BG189" s="4" t="str">
        <f>IF(HC[[#This Row],[Prof. (m)]]&lt;4,"lim.","OK")</f>
        <v>lim.</v>
      </c>
      <c r="BH189" s="4" t="str">
        <f>IF(HC[[#This Row],[Prof. (m)]]&gt;=8*HC[[#This Row],[Ø (cm)]]/100,"OK","lim.")</f>
        <v>lim.</v>
      </c>
      <c r="BI189" s="4" t="str">
        <f ca="1">IF(HC[[#This Row],[Verif. Biela]]="OK","OK","lim.")</f>
        <v>OK</v>
      </c>
      <c r="BJ189" s="4" t="str">
        <f ca="1">IF(COUNTA(HC[[#This Row],[Nº Est.]:[Biela comp.]])=COUNTIF(HC[[#This Row],[Nº Est.]:[Biela comp.]],"OK"),"OK","lim.")</f>
        <v>lim.</v>
      </c>
      <c r="BK189" s="4" t="str">
        <f ca="1">IF(HC[[#This Row],[Controle]]="OK",HC[[#This Row],[nE]]&amp;" Ø"&amp;HC[[#This Row],[Ø (cm)]]&amp;"cm Prof. "&amp;HC[[#This Row],[Prof. (m)]]&amp;" m","")</f>
        <v/>
      </c>
      <c r="BL189" s="4" t="str">
        <f ca="1">IF(HC[[#This Row],[idDimensionamento]]="","",HC[[#This Row],[idPilar]]&amp;HC[[#This Row],[idDimensionamento]])</f>
        <v/>
      </c>
    </row>
    <row r="190" spans="2:64" x14ac:dyDescent="0.25">
      <c r="B190" s="12">
        <f>ROUNDUP((ROW(HC[[#This Row],[idDiâmetro]])-ROW(HC[[#Headers],[idDiâmetro]]))/(COUNT(SPT[Prof. (m)])*COUNT(PILARES[Pilar])),0)</f>
        <v>7</v>
      </c>
      <c r="C190" s="12">
        <f>IF(HC[[#This Row],[idDiâmetro]]&lt;&gt;B189,1,IF(HC[[#This Row],[Prof. (m)]]=0,C189+1,C189))</f>
        <v>2</v>
      </c>
      <c r="D190" s="1">
        <f>IFERROR(IF(D189=MAX(SPT[Prof. (m)]),0,D189+1),0)</f>
        <v>3</v>
      </c>
      <c r="E190" s="1">
        <f>INDEX(SPT[],MATCH(HC[[#This Row],[Prof. (m)]],SPT[Prof. (m)],0),2)</f>
        <v>4</v>
      </c>
      <c r="F190" s="1" t="str">
        <f>INDEX(SPT[],MATCH(HC[[#This Row],[Prof. (m)]],SPT[Prof. (m)],0),3)</f>
        <v>Areia siltosa</v>
      </c>
      <c r="G190" s="1">
        <f>INDEX(estacas[],HC[[#This Row],[idDiâmetro]],MATCH($B$2,estacas[#Headers],0))</f>
        <v>60</v>
      </c>
      <c r="H190" s="1">
        <f>INDEX(estacas[],MATCH(HC[[#This Row],[Ø (cm)]],estacas[Ø HC (cm)],0),MATCH(HC[[#Headers],[Pe HC (kN)]],estacas[#Headers],0))</f>
        <v>1800</v>
      </c>
      <c r="I190" s="4">
        <f>INDEX(K_alpha_C[],MATCH(HC[[#This Row],[Solo]],K_alpha_C[Solo],0),2)</f>
        <v>0.8</v>
      </c>
      <c r="J190" s="5">
        <f>INDEX(K_alpha_C[],MATCH(HC[[#This Row],[Solo]],K_alpha_C[Solo],0),3)</f>
        <v>2</v>
      </c>
      <c r="K190" s="4">
        <f>INDEX(F1_F2[],MATCH($D$2,F1_F2[Tipo de estaca],0),2)</f>
        <v>2</v>
      </c>
      <c r="L190" s="4">
        <f>INDEX(F1_F2[],MATCH($D$2,F1_F2[Tipo de estaca],0),3)</f>
        <v>4</v>
      </c>
      <c r="M190" s="4">
        <f>PI()*(HC[[#This Row],[Ø (cm)]]/100)^2/4</f>
        <v>0.28274333882308139</v>
      </c>
      <c r="N190" s="4">
        <f>PI()*HC[[#This Row],[Ø (cm)]]/100</f>
        <v>1.8849555921538756</v>
      </c>
      <c r="O190" s="4">
        <f>IF(HC[[#This Row],[Prof. (m)]]=0,0,HC[[#This Row],[α (%)]]/100*HC[[#This Row],[K (MPa)]]*1000*HC[[#This Row],[NSPT]])</f>
        <v>64</v>
      </c>
      <c r="P190" s="4">
        <f>IF(HC[[#This Row],[Prof. (m)]]=0,0,(HC[[#This Row],[K (MPa)]]*1000*HC[[#This Row],[NSPT]]/HC[[#This Row],[F1]]*HC[[#This Row],[Ap (m²)]]+HC[[#This Row],[U (m)]]/HC[[#This Row],[F2]]*SUMIFS(HC[(α∙K∙NL∙ΔL)],HC[Prof. (m)],"&lt;="&amp;HC[[#This Row],[Prof. (m)]],HC[idDiâmetro],HC[[#This Row],[idDiâmetro]],HC[idPilar],HC[[#This Row],[idPilar]]))/'DADOS CAP. CARGA'!$D$2)</f>
        <v>256.35396053292709</v>
      </c>
      <c r="Q190" s="12">
        <f>INDEX(C_alpha_beta[],MATCH(HC[[#This Row],[Solo]],C_alpha_beta[Solo],0),MATCH(HC[[#Headers],[C (kPa)]],C_alpha_beta[#Headers],0))</f>
        <v>400</v>
      </c>
      <c r="R190" s="4">
        <f>INDEX(C_alpha_beta[],MATCH(HC[[#This Row],[Solo]],C_alpha_beta[Solo],0),MATCH(HC[[#Headers],[α ESF]],C_alpha_beta[#Headers],0))</f>
        <v>0.5</v>
      </c>
      <c r="S190" s="4">
        <f>INDEX(C_alpha_beta[],MATCH(HC[[#This Row],[Solo]],C_alpha_beta[Solo],0),MATCH(HC[[#Headers],[β ESF]],C_alpha_beta[#Headers],0))</f>
        <v>0.5</v>
      </c>
      <c r="T190" s="4">
        <f>IF(HC[[#This Row],[Prof. (m)]]=0,0,10*(HC[[#This Row],[NSPT]]/3+1))</f>
        <v>23.333333333333329</v>
      </c>
      <c r="U190" s="4">
        <f>(HC[[#This Row],[α ESF]]*HC[[#This Row],[C (kPa)]]*HC[[#This Row],[NSPT]]*HC[[#This Row],[Ap (m²)]])/'DADOS CAP. CARGA'!$Q$2+(HC[[#This Row],[β ESF]]*SUMIFS(HC[10∙(NL/3+1)],HC[Prof. (m)],"&lt;="&amp;HC[[#This Row],[Prof. (m)]],HC[idDiâmetro],HC[[#This Row],[idDiâmetro]],HC[idPilar],HC[[#This Row],[idPilar]])*HC[[#This Row],[U (m)]])/'DADOS CAP. CARGA'!$S$2</f>
        <v>83.252205320129505</v>
      </c>
      <c r="V190" s="4">
        <f>IF(SPT!$M$5=1,MIN(HC[[#This Row],[Pe HC (kN)]],HC[[#This Row],[R_AV (kN)]]),IF(SPT!$M$5=2,MIN(HC[[#This Row],[Pe HC (kN)]],HC[[#This Row],[R_DC (kN)]]),MIN(HC[[#This Row],[Pe HC (kN)]],HC[[#This Row],[R_AV (kN)]],HC[[#This Row],[R_DC (kN)]])))</f>
        <v>83.252205320129505</v>
      </c>
      <c r="W190" s="4">
        <f>INDEX(PILARES[],HC[[#This Row],[idPilar]],MATCH("Carga (kN)",PILARES[#Headers],0))*1.4</f>
        <v>1750</v>
      </c>
      <c r="X190" s="12">
        <f>INDEX(PILARES[],HC[[#This Row],[idPilar]],MATCH(HC[[#Headers],[ap (cm)]],PILARES[#Headers],0))</f>
        <v>50</v>
      </c>
      <c r="Y190" s="12">
        <f>INDEX(PILARES[],HC[[#This Row],[idPilar]],MATCH(HC[[#Headers],[bp (cm)]],PILARES[#Headers],0))</f>
        <v>40</v>
      </c>
      <c r="Z190" s="4">
        <f>SQRT(HC[[#This Row],[ap (cm)]]*HC[[#This Row],[bp (cm)]])</f>
        <v>44.721359549995796</v>
      </c>
      <c r="AA190" s="12">
        <f>HC[[#This Row],[ap (cm)]]*HC[[#This Row],[bp (cm)]]</f>
        <v>2000</v>
      </c>
      <c r="AB190" s="12">
        <f ca="1">IF(HC[[#This Row],[Padm∙ε (kN)]]&gt;=HC[[#This Row],[Padm (kN)]],ROUNDUP(1.05*HC[[#This Row],[Nsd (kN)]]/HC[[#This Row],[Padm (kN)]],0),ROUNDUP(1.05*HC[[#This Row],[Nsd (kN)]]/HC[[#This Row],[Padm (kN)]],0)+1)</f>
        <v>23</v>
      </c>
      <c r="AC190" s="4" t="str">
        <f ca="1">IFERROR(IF(HC[[#This Row],[nE]]=1,HC[[#This Row],[Padm (kN)]],HC[[#This Row],[Padm (kN)]]*HC[[#This Row],[nE]]*INDEX(grupoEstacas[],HC[[#This Row],[nE]],MATCH("ε",grupoEstacas[#Headers],0))),"N.S.")</f>
        <v>N.S.</v>
      </c>
      <c r="AD190" s="4">
        <f ca="1">1.05*HC[[#This Row],[Nsd (kN)]]/(HC[[#This Row],[nE]]*PI()*HC[[#This Row],[Ø (cm)]]^2/4)*10</f>
        <v>0.28255768882256782</v>
      </c>
      <c r="AE190" s="4">
        <f ca="1">IF(HC[[#This Row],[σ (MPa)]]&lt;INDEX(tipoEstaca[],MATCH($D$2,tipoEstaca[TIPO DE ESTACA],0),MATCH("σmáx (MPa)",tipoEstaca[#Headers],0)),0.4%*PI()*HC[[#This Row],[Ø (cm)]]^2/4,"N.S.")</f>
        <v>11.309733552923255</v>
      </c>
      <c r="AF190" s="1">
        <f>INDEX(tipoEstaca[],MATCH($D$2,tipoEstaca[TIPO DE ESTACA],0),MATCH(HC[[#Headers],[Comprimento (m)]],tipoEstaca[#Headers],0))</f>
        <v>4</v>
      </c>
      <c r="AG190" s="5">
        <f ca="1">HC[[#This Row],[As,mín (cm²)]]/100^2*HC[[#This Row],[Comprimento (m)]]*7850</f>
        <v>35.512563356179022</v>
      </c>
      <c r="AH190" s="4">
        <f ca="1">HC[[#This Row],[nE]]*HC[[#This Row],[Prof. (m)]]*HC[[#This Row],[Ap (m²)]]</f>
        <v>19.509290378792617</v>
      </c>
      <c r="AI190" s="1">
        <f ca="1">IF(HC[[#This Row],[nE]]=1,0,MAX(3*HC[[#This Row],[Ø (cm)]],60))</f>
        <v>180</v>
      </c>
      <c r="AJ190" s="1">
        <f ca="1">IF(HC[[#This Row],[nE]]=1,HC[[#This Row],[Ø (cm)]]+2*10,MAX(1.5*HC[[#This Row],[Ø (cm)]],HC[[#This Row],[Ø (cm)]]+15))</f>
        <v>90</v>
      </c>
      <c r="AK190" s="1" t="str">
        <f ca="1">alturaUtil(HC[[#This Row],[nE]],HC[[#This Row],[Ø (cm)]],HC[[#This Row],[e (cm)]],HC[[#This Row],[ap,eq (cm)]])</f>
        <v>N.S.</v>
      </c>
      <c r="AL190" s="1" t="str">
        <f ca="1">IFERROR(HC[[#This Row],[d (cm)]]+arredondarParaCimaMultiplo5cm(MAX(5,SQRT(PI())/2*HC[[#This Row],[Ø (cm)]]/5)),"N.S.")</f>
        <v>N.S.</v>
      </c>
      <c r="AM190" s="5" t="str">
        <f ca="1">alpha(HC[[#This Row],[nE]],HC[[#This Row],[d (cm)]],HC[[#This Row],[e (cm)]],HC[[#This Row],[ap,eq (cm)]])</f>
        <v>N.S.</v>
      </c>
      <c r="AN190" s="35" t="str">
        <f ca="1">IFERROR(HC[[#This Row],[Nsd (kN)]]/(HC[[#This Row],[Ap (cm²)]]*SIN(HC[[#This Row],[α]])^2),"N.S.")</f>
        <v>N.S.</v>
      </c>
      <c r="AO190" s="35" t="str">
        <f ca="1">IFERROR(HC[[#This Row],[Nsd (kN)]]/(HC[[#This Row],[nE]]*PI()*HC[[#This Row],[Ø (cm)]]^2/4*SIN(HC[[#This Row],[α]])^2),"N.S.")</f>
        <v>N.S.</v>
      </c>
      <c r="AP190" s="4" t="str">
        <f ca="1">IFERROR(INDEX(grupoEstacas[],HC[[#This Row],[nE]],MATCH("coef. Blévot",grupoEstacas[#Headers],0)),"N.S.")</f>
        <v>N.S.</v>
      </c>
      <c r="AQ190" s="35" t="str">
        <f ca="1">IFERROR(HC[[#This Row],[coef. Blévot]]*0.9*INDEX(tipoEstaca[],MATCH($D$2,tipoEstaca[TIPO DE ESTACA],0),MATCH("fcd (kN/cm²)",tipoEstaca[#Headers],0)),"N.S.")</f>
        <v>N.S.</v>
      </c>
      <c r="AR190" s="1" t="str">
        <f ca="1">IF(AND(HC[[#This Row],[cd,b,pil (kN/cm²)]]&lt;=HC[[#This Row],[cd,b,lim (kN/cm²)]],HC[[#This Row],[cd,b,est (kN/cm²)]]&lt;=HC[[#This Row],[cd,b,lim (kN/cm²)]]),"OK","ERRO")</f>
        <v>OK</v>
      </c>
      <c r="AS190" s="4" t="str">
        <f ca="1">As_lado(HC[[#This Row],[nE]],HC[[#This Row],[Nsd (kN)]],HC[[#This Row],[d (cm)]],HC[[#This Row],[e (cm)]],HC[[#This Row],[ap,eq (cm)]])</f>
        <v>N.S.</v>
      </c>
      <c r="AT190" s="4" t="str">
        <f ca="1">IF(HC[[#This Row],[nE]]=1,HC[[#This Row],[As,lado (cm²)]],IF(HC[[#This Row],[nE]]=2,0.075*2*HC[a (cm)],"N.A."))</f>
        <v>N.A.</v>
      </c>
      <c r="AU190" s="4" t="str">
        <f ca="1">IFERROR(IF(HC[[#This Row],[nE]]=1,"N.A.",0.2*HC[[#This Row],[As,lado (cm²)]]),"N.S.")</f>
        <v>N.S.</v>
      </c>
      <c r="AV190" s="4" t="str">
        <f ca="1">As_malha(HC[[#This Row],[nE]],HC[[#This Row],[As,lado (cm²)]],HC[[#This Row],[Nsd (kN)]])</f>
        <v>N.S.</v>
      </c>
      <c r="AW190" s="4" t="str">
        <f ca="1">As_susp_tot(HC[[#This Row],[nE]],HC[[#This Row],[Nsd (kN)]])</f>
        <v>N.S.</v>
      </c>
      <c r="AX190" s="4" t="str">
        <f ca="1">Asp_face(HC[[#This Row],[nE]],HC[[#This Row],[As,lado (cm²)]])</f>
        <v>N.S.</v>
      </c>
      <c r="AY190" s="5" t="str">
        <f ca="1">acoBloco(HC[[#This Row],[nE]],HC[[#This Row],[e (cm)]],HC[[#This Row],[a (cm)]],HC[[#This Row],[h (cm)]],HC[[#This Row],[As,lado (cm²)]],HC[[#This Row],[Asp e Asw (cm²/m)]],HC[[#This Row],[As,sup (cm²)]],HC[[#This Row],[As,malha (cm²)]],HC[[#This Row],[As,susp,tot (cm²)]],HC[[#This Row],[Asp,face (cm²)]])</f>
        <v>N.S.</v>
      </c>
      <c r="AZ190" s="4" t="str">
        <f ca="1">concretoBloco(HC[[#This Row],[nE]],HC[[#This Row],[e (cm)]],HC[[#This Row],[a (cm)]],HC[[#This Row],[h (cm)]])</f>
        <v>N.S.</v>
      </c>
      <c r="BA190" s="5">
        <f ca="1">SUM(HC[[#This Row],[Aço Est (kg)]],HC[[#This Row],[Aço Bloco (kg)]])</f>
        <v>35.512563356179022</v>
      </c>
      <c r="BB190" s="4">
        <f>INDEX(composicoes[],MATCH(95580,composicoes[CÓDIGO],0),MATCH("CUSTO TOTAL",composicoes[#Headers],0))</f>
        <v>10.46</v>
      </c>
      <c r="BC190" s="4">
        <f ca="1">SUM(HC[[#This Row],[Conc Est (m³)]],HC[[#This Row],[Conc Bloco (m³)]])</f>
        <v>19.509290378792617</v>
      </c>
      <c r="BD190" s="4">
        <f>INDEX(composicoes[],MATCH(94966,composicoes[CÓDIGO],0),MATCH("CUSTO TOTAL",composicoes[#Headers],0))</f>
        <v>439.52</v>
      </c>
      <c r="BE190" s="38">
        <f ca="1">HC[[#This Row],[Aço (kg)]]*HC[[#This Row],[Aço (R$/kg)]]+HC[[#This Row],[Conc (m³)]]*HC[[#This Row],[Conc (R$/m³)]]</f>
        <v>8946.1847199925633</v>
      </c>
      <c r="BF190" s="4" t="str">
        <f ca="1">IF(COUNTIF(HC[#This Row],"N.S.")&gt;0,"lim.","OK")</f>
        <v>lim.</v>
      </c>
      <c r="BG190" s="4" t="str">
        <f>IF(HC[[#This Row],[Prof. (m)]]&lt;4,"lim.","OK")</f>
        <v>lim.</v>
      </c>
      <c r="BH190" s="4" t="str">
        <f>IF(HC[[#This Row],[Prof. (m)]]&gt;=8*HC[[#This Row],[Ø (cm)]]/100,"OK","lim.")</f>
        <v>lim.</v>
      </c>
      <c r="BI190" s="4" t="str">
        <f ca="1">IF(HC[[#This Row],[Verif. Biela]]="OK","OK","lim.")</f>
        <v>OK</v>
      </c>
      <c r="BJ190" s="4" t="str">
        <f ca="1">IF(COUNTA(HC[[#This Row],[Nº Est.]:[Biela comp.]])=COUNTIF(HC[[#This Row],[Nº Est.]:[Biela comp.]],"OK"),"OK","lim.")</f>
        <v>lim.</v>
      </c>
      <c r="BK190" s="4" t="str">
        <f ca="1">IF(HC[[#This Row],[Controle]]="OK",HC[[#This Row],[nE]]&amp;" Ø"&amp;HC[[#This Row],[Ø (cm)]]&amp;"cm Prof. "&amp;HC[[#This Row],[Prof. (m)]]&amp;" m","")</f>
        <v/>
      </c>
      <c r="BL190" s="4" t="str">
        <f ca="1">IF(HC[[#This Row],[idDimensionamento]]="","",HC[[#This Row],[idPilar]]&amp;HC[[#This Row],[idDimensionamento]])</f>
        <v/>
      </c>
    </row>
    <row r="191" spans="2:64" x14ac:dyDescent="0.25">
      <c r="B191" s="12">
        <f>ROUNDUP((ROW(HC[[#This Row],[idDiâmetro]])-ROW(HC[[#Headers],[idDiâmetro]]))/(COUNT(SPT[Prof. (m)])*COUNT(PILARES[Pilar])),0)</f>
        <v>7</v>
      </c>
      <c r="C191" s="12">
        <f>IF(HC[[#This Row],[idDiâmetro]]&lt;&gt;B190,1,IF(HC[[#This Row],[Prof. (m)]]=0,C190+1,C190))</f>
        <v>2</v>
      </c>
      <c r="D191" s="1">
        <f>IFERROR(IF(D190=MAX(SPT[Prof. (m)]),0,D190+1),0)</f>
        <v>4</v>
      </c>
      <c r="E191" s="1">
        <f>INDEX(SPT[],MATCH(HC[[#This Row],[Prof. (m)]],SPT[Prof. (m)],0),2)</f>
        <v>8</v>
      </c>
      <c r="F191" s="1" t="str">
        <f>INDEX(SPT[],MATCH(HC[[#This Row],[Prof. (m)]],SPT[Prof. (m)],0),3)</f>
        <v>Areia siltosa</v>
      </c>
      <c r="G191" s="1">
        <f>INDEX(estacas[],HC[[#This Row],[idDiâmetro]],MATCH($B$2,estacas[#Headers],0))</f>
        <v>60</v>
      </c>
      <c r="H191" s="1">
        <f>INDEX(estacas[],MATCH(HC[[#This Row],[Ø (cm)]],estacas[Ø HC (cm)],0),MATCH(HC[[#Headers],[Pe HC (kN)]],estacas[#Headers],0))</f>
        <v>1800</v>
      </c>
      <c r="I191" s="4">
        <f>INDEX(K_alpha_C[],MATCH(HC[[#This Row],[Solo]],K_alpha_C[Solo],0),2)</f>
        <v>0.8</v>
      </c>
      <c r="J191" s="5">
        <f>INDEX(K_alpha_C[],MATCH(HC[[#This Row],[Solo]],K_alpha_C[Solo],0),3)</f>
        <v>2</v>
      </c>
      <c r="K191" s="4">
        <f>INDEX(F1_F2[],MATCH($D$2,F1_F2[Tipo de estaca],0),2)</f>
        <v>2</v>
      </c>
      <c r="L191" s="4">
        <f>INDEX(F1_F2[],MATCH($D$2,F1_F2[Tipo de estaca],0),3)</f>
        <v>4</v>
      </c>
      <c r="M191" s="4">
        <f>PI()*(HC[[#This Row],[Ø (cm)]]/100)^2/4</f>
        <v>0.28274333882308139</v>
      </c>
      <c r="N191" s="4">
        <f>PI()*HC[[#This Row],[Ø (cm)]]/100</f>
        <v>1.8849555921538756</v>
      </c>
      <c r="O191" s="4">
        <f>IF(HC[[#This Row],[Prof. (m)]]=0,0,HC[[#This Row],[α (%)]]/100*HC[[#This Row],[K (MPa)]]*1000*HC[[#This Row],[NSPT]])</f>
        <v>128</v>
      </c>
      <c r="P191" s="4">
        <f>IF(HC[[#This Row],[Prof. (m)]]=0,0,(HC[[#This Row],[K (MPa)]]*1000*HC[[#This Row],[NSPT]]/HC[[#This Row],[F1]]*HC[[#This Row],[Ap (m²)]]+HC[[#This Row],[U (m)]]/HC[[#This Row],[F2]]*SUMIFS(HC[(α∙K∙NL∙ΔL)],HC[Prof. (m)],"&lt;="&amp;HC[[#This Row],[Prof. (m)]],HC[idDiâmetro],HC[[#This Row],[idDiâmetro]],HC[idPilar],HC[[#This Row],[idPilar]]))/'DADOS CAP. CARGA'!$D$2)</f>
        <v>512.70792106585418</v>
      </c>
      <c r="Q191" s="12">
        <f>INDEX(C_alpha_beta[],MATCH(HC[[#This Row],[Solo]],C_alpha_beta[Solo],0),MATCH(HC[[#Headers],[C (kPa)]],C_alpha_beta[#Headers],0))</f>
        <v>400</v>
      </c>
      <c r="R191" s="4">
        <f>INDEX(C_alpha_beta[],MATCH(HC[[#This Row],[Solo]],C_alpha_beta[Solo],0),MATCH(HC[[#Headers],[α ESF]],C_alpha_beta[#Headers],0))</f>
        <v>0.5</v>
      </c>
      <c r="S191" s="4">
        <f>INDEX(C_alpha_beta[],MATCH(HC[[#This Row],[Solo]],C_alpha_beta[Solo],0),MATCH(HC[[#Headers],[β ESF]],C_alpha_beta[#Headers],0))</f>
        <v>0.5</v>
      </c>
      <c r="T191" s="4">
        <f>IF(HC[[#This Row],[Prof. (m)]]=0,0,10*(HC[[#This Row],[NSPT]]/3+1))</f>
        <v>36.666666666666664</v>
      </c>
      <c r="U191" s="4">
        <f>(HC[[#This Row],[α ESF]]*HC[[#This Row],[C (kPa)]]*HC[[#This Row],[NSPT]]*HC[[#This Row],[Ap (m²)]])/'DADOS CAP. CARGA'!$Q$2+(HC[[#This Row],[β ESF]]*SUMIFS(HC[10∙(NL/3+1)],HC[Prof. (m)],"&lt;="&amp;HC[[#This Row],[Prof. (m)]],HC[idDiâmetro],HC[[#This Row],[idDiâmetro]],HC[idPilar],HC[[#This Row],[idPilar]])*HC[[#This Row],[U (m)]])/'DADOS CAP. CARGA'!$S$2</f>
        <v>157.07963267948963</v>
      </c>
      <c r="V191" s="4">
        <f>IF(SPT!$M$5=1,MIN(HC[[#This Row],[Pe HC (kN)]],HC[[#This Row],[R_AV (kN)]]),IF(SPT!$M$5=2,MIN(HC[[#This Row],[Pe HC (kN)]],HC[[#This Row],[R_DC (kN)]]),MIN(HC[[#This Row],[Pe HC (kN)]],HC[[#This Row],[R_AV (kN)]],HC[[#This Row],[R_DC (kN)]])))</f>
        <v>157.07963267948963</v>
      </c>
      <c r="W191" s="4">
        <f>INDEX(PILARES[],HC[[#This Row],[idPilar]],MATCH("Carga (kN)",PILARES[#Headers],0))*1.4</f>
        <v>1750</v>
      </c>
      <c r="X191" s="12">
        <f>INDEX(PILARES[],HC[[#This Row],[idPilar]],MATCH(HC[[#Headers],[ap (cm)]],PILARES[#Headers],0))</f>
        <v>50</v>
      </c>
      <c r="Y191" s="12">
        <f>INDEX(PILARES[],HC[[#This Row],[idPilar]],MATCH(HC[[#Headers],[bp (cm)]],PILARES[#Headers],0))</f>
        <v>40</v>
      </c>
      <c r="Z191" s="4">
        <f>SQRT(HC[[#This Row],[ap (cm)]]*HC[[#This Row],[bp (cm)]])</f>
        <v>44.721359549995796</v>
      </c>
      <c r="AA191" s="12">
        <f>HC[[#This Row],[ap (cm)]]*HC[[#This Row],[bp (cm)]]</f>
        <v>2000</v>
      </c>
      <c r="AB191" s="12">
        <f ca="1">IF(HC[[#This Row],[Padm∙ε (kN)]]&gt;=HC[[#This Row],[Padm (kN)]],ROUNDUP(1.05*HC[[#This Row],[Nsd (kN)]]/HC[[#This Row],[Padm (kN)]],0),ROUNDUP(1.05*HC[[#This Row],[Nsd (kN)]]/HC[[#This Row],[Padm (kN)]],0)+1)</f>
        <v>12</v>
      </c>
      <c r="AC191" s="4" t="str">
        <f ca="1">IFERROR(IF(HC[[#This Row],[nE]]=1,HC[[#This Row],[Padm (kN)]],HC[[#This Row],[Padm (kN)]]*HC[[#This Row],[nE]]*INDEX(grupoEstacas[],HC[[#This Row],[nE]],MATCH("ε",grupoEstacas[#Headers],0))),"N.S.")</f>
        <v>N.S.</v>
      </c>
      <c r="AD191" s="4">
        <f ca="1">1.05*HC[[#This Row],[Nsd (kN)]]/(HC[[#This Row],[nE]]*PI()*HC[[#This Row],[Ø (cm)]]^2/4)*10</f>
        <v>0.54156890357658827</v>
      </c>
      <c r="AE191" s="4">
        <f ca="1">IF(HC[[#This Row],[σ (MPa)]]&lt;INDEX(tipoEstaca[],MATCH($D$2,tipoEstaca[TIPO DE ESTACA],0),MATCH("σmáx (MPa)",tipoEstaca[#Headers],0)),0.4%*PI()*HC[[#This Row],[Ø (cm)]]^2/4,"N.S.")</f>
        <v>11.309733552923255</v>
      </c>
      <c r="AF191" s="1">
        <f>INDEX(tipoEstaca[],MATCH($D$2,tipoEstaca[TIPO DE ESTACA],0),MATCH(HC[[#Headers],[Comprimento (m)]],tipoEstaca[#Headers],0))</f>
        <v>4</v>
      </c>
      <c r="AG191" s="5">
        <f ca="1">HC[[#This Row],[As,mín (cm²)]]/100^2*HC[[#This Row],[Comprimento (m)]]*7850</f>
        <v>35.512563356179022</v>
      </c>
      <c r="AH191" s="4">
        <f ca="1">HC[[#This Row],[nE]]*HC[[#This Row],[Prof. (m)]]*HC[[#This Row],[Ap (m²)]]</f>
        <v>13.571680263507908</v>
      </c>
      <c r="AI191" s="1">
        <f ca="1">IF(HC[[#This Row],[nE]]=1,0,MAX(3*HC[[#This Row],[Ø (cm)]],60))</f>
        <v>180</v>
      </c>
      <c r="AJ191" s="1">
        <f ca="1">IF(HC[[#This Row],[nE]]=1,HC[[#This Row],[Ø (cm)]]+2*10,MAX(1.5*HC[[#This Row],[Ø (cm)]],HC[[#This Row],[Ø (cm)]]+15))</f>
        <v>90</v>
      </c>
      <c r="AK191" s="1" t="str">
        <f ca="1">alturaUtil(HC[[#This Row],[nE]],HC[[#This Row],[Ø (cm)]],HC[[#This Row],[e (cm)]],HC[[#This Row],[ap,eq (cm)]])</f>
        <v>N.S.</v>
      </c>
      <c r="AL191" s="1" t="str">
        <f ca="1">IFERROR(HC[[#This Row],[d (cm)]]+arredondarParaCimaMultiplo5cm(MAX(5,SQRT(PI())/2*HC[[#This Row],[Ø (cm)]]/5)),"N.S.")</f>
        <v>N.S.</v>
      </c>
      <c r="AM191" s="5" t="str">
        <f ca="1">alpha(HC[[#This Row],[nE]],HC[[#This Row],[d (cm)]],HC[[#This Row],[e (cm)]],HC[[#This Row],[ap,eq (cm)]])</f>
        <v>N.S.</v>
      </c>
      <c r="AN191" s="35" t="str">
        <f ca="1">IFERROR(HC[[#This Row],[Nsd (kN)]]/(HC[[#This Row],[Ap (cm²)]]*SIN(HC[[#This Row],[α]])^2),"N.S.")</f>
        <v>N.S.</v>
      </c>
      <c r="AO191" s="35" t="str">
        <f ca="1">IFERROR(HC[[#This Row],[Nsd (kN)]]/(HC[[#This Row],[nE]]*PI()*HC[[#This Row],[Ø (cm)]]^2/4*SIN(HC[[#This Row],[α]])^2),"N.S.")</f>
        <v>N.S.</v>
      </c>
      <c r="AP191" s="4" t="str">
        <f ca="1">IFERROR(INDEX(grupoEstacas[],HC[[#This Row],[nE]],MATCH("coef. Blévot",grupoEstacas[#Headers],0)),"N.S.")</f>
        <v>N.S.</v>
      </c>
      <c r="AQ191" s="35" t="str">
        <f ca="1">IFERROR(HC[[#This Row],[coef. Blévot]]*0.9*INDEX(tipoEstaca[],MATCH($D$2,tipoEstaca[TIPO DE ESTACA],0),MATCH("fcd (kN/cm²)",tipoEstaca[#Headers],0)),"N.S.")</f>
        <v>N.S.</v>
      </c>
      <c r="AR191" s="1" t="str">
        <f ca="1">IF(AND(HC[[#This Row],[cd,b,pil (kN/cm²)]]&lt;=HC[[#This Row],[cd,b,lim (kN/cm²)]],HC[[#This Row],[cd,b,est (kN/cm²)]]&lt;=HC[[#This Row],[cd,b,lim (kN/cm²)]]),"OK","ERRO")</f>
        <v>OK</v>
      </c>
      <c r="AS191" s="4" t="str">
        <f ca="1">As_lado(HC[[#This Row],[nE]],HC[[#This Row],[Nsd (kN)]],HC[[#This Row],[d (cm)]],HC[[#This Row],[e (cm)]],HC[[#This Row],[ap,eq (cm)]])</f>
        <v>N.S.</v>
      </c>
      <c r="AT191" s="4" t="str">
        <f ca="1">IF(HC[[#This Row],[nE]]=1,HC[[#This Row],[As,lado (cm²)]],IF(HC[[#This Row],[nE]]=2,0.075*2*HC[a (cm)],"N.A."))</f>
        <v>N.A.</v>
      </c>
      <c r="AU191" s="4" t="str">
        <f ca="1">IFERROR(IF(HC[[#This Row],[nE]]=1,"N.A.",0.2*HC[[#This Row],[As,lado (cm²)]]),"N.S.")</f>
        <v>N.S.</v>
      </c>
      <c r="AV191" s="4" t="str">
        <f ca="1">As_malha(HC[[#This Row],[nE]],HC[[#This Row],[As,lado (cm²)]],HC[[#This Row],[Nsd (kN)]])</f>
        <v>N.S.</v>
      </c>
      <c r="AW191" s="4" t="str">
        <f ca="1">As_susp_tot(HC[[#This Row],[nE]],HC[[#This Row],[Nsd (kN)]])</f>
        <v>N.S.</v>
      </c>
      <c r="AX191" s="4" t="str">
        <f ca="1">Asp_face(HC[[#This Row],[nE]],HC[[#This Row],[As,lado (cm²)]])</f>
        <v>N.S.</v>
      </c>
      <c r="AY191" s="5" t="str">
        <f ca="1">acoBloco(HC[[#This Row],[nE]],HC[[#This Row],[e (cm)]],HC[[#This Row],[a (cm)]],HC[[#This Row],[h (cm)]],HC[[#This Row],[As,lado (cm²)]],HC[[#This Row],[Asp e Asw (cm²/m)]],HC[[#This Row],[As,sup (cm²)]],HC[[#This Row],[As,malha (cm²)]],HC[[#This Row],[As,susp,tot (cm²)]],HC[[#This Row],[Asp,face (cm²)]])</f>
        <v>N.S.</v>
      </c>
      <c r="AZ191" s="4" t="str">
        <f ca="1">concretoBloco(HC[[#This Row],[nE]],HC[[#This Row],[e (cm)]],HC[[#This Row],[a (cm)]],HC[[#This Row],[h (cm)]])</f>
        <v>N.S.</v>
      </c>
      <c r="BA191" s="5">
        <f ca="1">SUM(HC[[#This Row],[Aço Est (kg)]],HC[[#This Row],[Aço Bloco (kg)]])</f>
        <v>35.512563356179022</v>
      </c>
      <c r="BB191" s="4">
        <f>INDEX(composicoes[],MATCH(95580,composicoes[CÓDIGO],0),MATCH("CUSTO TOTAL",composicoes[#Headers],0))</f>
        <v>10.46</v>
      </c>
      <c r="BC191" s="4">
        <f ca="1">SUM(HC[[#This Row],[Conc Est (m³)]],HC[[#This Row],[Conc Bloco (m³)]])</f>
        <v>13.571680263507908</v>
      </c>
      <c r="BD191" s="4">
        <f>INDEX(composicoes[],MATCH(94966,composicoes[CÓDIGO],0),MATCH("CUSTO TOTAL",composicoes[#Headers],0))</f>
        <v>439.52</v>
      </c>
      <c r="BE191" s="38">
        <f ca="1">HC[[#This Row],[Aço (kg)]]*HC[[#This Row],[Aço (R$/kg)]]+HC[[#This Row],[Conc (m³)]]*HC[[#This Row],[Conc (R$/m³)]]</f>
        <v>6336.4863221226278</v>
      </c>
      <c r="BF191" s="4" t="str">
        <f ca="1">IF(COUNTIF(HC[#This Row],"N.S.")&gt;0,"lim.","OK")</f>
        <v>lim.</v>
      </c>
      <c r="BG191" s="4" t="str">
        <f>IF(HC[[#This Row],[Prof. (m)]]&lt;4,"lim.","OK")</f>
        <v>OK</v>
      </c>
      <c r="BH191" s="4" t="str">
        <f>IF(HC[[#This Row],[Prof. (m)]]&gt;=8*HC[[#This Row],[Ø (cm)]]/100,"OK","lim.")</f>
        <v>lim.</v>
      </c>
      <c r="BI191" s="4" t="str">
        <f ca="1">IF(HC[[#This Row],[Verif. Biela]]="OK","OK","lim.")</f>
        <v>OK</v>
      </c>
      <c r="BJ191" s="4" t="str">
        <f ca="1">IF(COUNTA(HC[[#This Row],[Nº Est.]:[Biela comp.]])=COUNTIF(HC[[#This Row],[Nº Est.]:[Biela comp.]],"OK"),"OK","lim.")</f>
        <v>lim.</v>
      </c>
      <c r="BK191" s="4" t="str">
        <f ca="1">IF(HC[[#This Row],[Controle]]="OK",HC[[#This Row],[nE]]&amp;" Ø"&amp;HC[[#This Row],[Ø (cm)]]&amp;"cm Prof. "&amp;HC[[#This Row],[Prof. (m)]]&amp;" m","")</f>
        <v/>
      </c>
      <c r="BL191" s="4" t="str">
        <f ca="1">IF(HC[[#This Row],[idDimensionamento]]="","",HC[[#This Row],[idPilar]]&amp;HC[[#This Row],[idDimensionamento]])</f>
        <v/>
      </c>
    </row>
    <row r="192" spans="2:64" x14ac:dyDescent="0.25">
      <c r="B192" s="12">
        <f>ROUNDUP((ROW(HC[[#This Row],[idDiâmetro]])-ROW(HC[[#Headers],[idDiâmetro]]))/(COUNT(SPT[Prof. (m)])*COUNT(PILARES[Pilar])),0)</f>
        <v>7</v>
      </c>
      <c r="C192" s="12">
        <f>IF(HC[[#This Row],[idDiâmetro]]&lt;&gt;B191,1,IF(HC[[#This Row],[Prof. (m)]]=0,C191+1,C191))</f>
        <v>2</v>
      </c>
      <c r="D192" s="1">
        <f>IFERROR(IF(D191=MAX(SPT[Prof. (m)]),0,D191+1),0)</f>
        <v>5</v>
      </c>
      <c r="E192" s="1">
        <f>INDEX(SPT[],MATCH(HC[[#This Row],[Prof. (m)]],SPT[Prof. (m)],0),2)</f>
        <v>17</v>
      </c>
      <c r="F192" s="1" t="str">
        <f>INDEX(SPT[],MATCH(HC[[#This Row],[Prof. (m)]],SPT[Prof. (m)],0),3)</f>
        <v>Areia siltosa</v>
      </c>
      <c r="G192" s="1">
        <f>INDEX(estacas[],HC[[#This Row],[idDiâmetro]],MATCH($B$2,estacas[#Headers],0))</f>
        <v>60</v>
      </c>
      <c r="H192" s="1">
        <f>INDEX(estacas[],MATCH(HC[[#This Row],[Ø (cm)]],estacas[Ø HC (cm)],0),MATCH(HC[[#Headers],[Pe HC (kN)]],estacas[#Headers],0))</f>
        <v>1800</v>
      </c>
      <c r="I192" s="4">
        <f>INDEX(K_alpha_C[],MATCH(HC[[#This Row],[Solo]],K_alpha_C[Solo],0),2)</f>
        <v>0.8</v>
      </c>
      <c r="J192" s="5">
        <f>INDEX(K_alpha_C[],MATCH(HC[[#This Row],[Solo]],K_alpha_C[Solo],0),3)</f>
        <v>2</v>
      </c>
      <c r="K192" s="4">
        <f>INDEX(F1_F2[],MATCH($D$2,F1_F2[Tipo de estaca],0),2)</f>
        <v>2</v>
      </c>
      <c r="L192" s="4">
        <f>INDEX(F1_F2[],MATCH($D$2,F1_F2[Tipo de estaca],0),3)</f>
        <v>4</v>
      </c>
      <c r="M192" s="4">
        <f>PI()*(HC[[#This Row],[Ø (cm)]]/100)^2/4</f>
        <v>0.28274333882308139</v>
      </c>
      <c r="N192" s="4">
        <f>PI()*HC[[#This Row],[Ø (cm)]]/100</f>
        <v>1.8849555921538756</v>
      </c>
      <c r="O192" s="4">
        <f>IF(HC[[#This Row],[Prof. (m)]]=0,0,HC[[#This Row],[α (%)]]/100*HC[[#This Row],[K (MPa)]]*1000*HC[[#This Row],[NSPT]])</f>
        <v>272</v>
      </c>
      <c r="P192" s="4">
        <f>IF(HC[[#This Row],[Prof. (m)]]=0,0,(HC[[#This Row],[K (MPa)]]*1000*HC[[#This Row],[NSPT]]/HC[[#This Row],[F1]]*HC[[#This Row],[Ap (m²)]]+HC[[#This Row],[U (m)]]/HC[[#This Row],[F2]]*SUMIFS(HC[(α∙K∙NL∙ΔL)],HC[Prof. (m)],"&lt;="&amp;HC[[#This Row],[Prof. (m)]],HC[idDiâmetro],HC[[#This Row],[idDiâmetro]],HC[idPilar],HC[[#This Row],[idPilar]]))/'DADOS CAP. CARGA'!$D$2)</f>
        <v>1085.7344210806325</v>
      </c>
      <c r="Q192" s="12">
        <f>INDEX(C_alpha_beta[],MATCH(HC[[#This Row],[Solo]],C_alpha_beta[Solo],0),MATCH(HC[[#Headers],[C (kPa)]],C_alpha_beta[#Headers],0))</f>
        <v>400</v>
      </c>
      <c r="R192" s="4">
        <f>INDEX(C_alpha_beta[],MATCH(HC[[#This Row],[Solo]],C_alpha_beta[Solo],0),MATCH(HC[[#Headers],[α ESF]],C_alpha_beta[#Headers],0))</f>
        <v>0.5</v>
      </c>
      <c r="S192" s="4">
        <f>INDEX(C_alpha_beta[],MATCH(HC[[#This Row],[Solo]],C_alpha_beta[Solo],0),MATCH(HC[[#Headers],[β ESF]],C_alpha_beta[#Headers],0))</f>
        <v>0.5</v>
      </c>
      <c r="T192" s="4">
        <f>IF(HC[[#This Row],[Prof. (m)]]=0,0,10*(HC[[#This Row],[NSPT]]/3+1))</f>
        <v>66.666666666666671</v>
      </c>
      <c r="U192" s="4">
        <f>(HC[[#This Row],[α ESF]]*HC[[#This Row],[C (kPa)]]*HC[[#This Row],[NSPT]]*HC[[#This Row],[Ap (m²)]])/'DADOS CAP. CARGA'!$Q$2+(HC[[#This Row],[β ESF]]*SUMIFS(HC[10∙(NL/3+1)],HC[Prof. (m)],"&lt;="&amp;HC[[#This Row],[Prof. (m)]],HC[idDiâmetro],HC[[#This Row],[idDiâmetro]],HC[idPilar],HC[[#This Row],[idPilar]])*HC[[#This Row],[U (m)]])/'DADOS CAP. CARGA'!$S$2</f>
        <v>315.73006168577422</v>
      </c>
      <c r="V192" s="4">
        <f>IF(SPT!$M$5=1,MIN(HC[[#This Row],[Pe HC (kN)]],HC[[#This Row],[R_AV (kN)]]),IF(SPT!$M$5=2,MIN(HC[[#This Row],[Pe HC (kN)]],HC[[#This Row],[R_DC (kN)]]),MIN(HC[[#This Row],[Pe HC (kN)]],HC[[#This Row],[R_AV (kN)]],HC[[#This Row],[R_DC (kN)]])))</f>
        <v>315.73006168577422</v>
      </c>
      <c r="W192" s="4">
        <f>INDEX(PILARES[],HC[[#This Row],[idPilar]],MATCH("Carga (kN)",PILARES[#Headers],0))*1.4</f>
        <v>1750</v>
      </c>
      <c r="X192" s="12">
        <f>INDEX(PILARES[],HC[[#This Row],[idPilar]],MATCH(HC[[#Headers],[ap (cm)]],PILARES[#Headers],0))</f>
        <v>50</v>
      </c>
      <c r="Y192" s="12">
        <f>INDEX(PILARES[],HC[[#This Row],[idPilar]],MATCH(HC[[#Headers],[bp (cm)]],PILARES[#Headers],0))</f>
        <v>40</v>
      </c>
      <c r="Z192" s="4">
        <f>SQRT(HC[[#This Row],[ap (cm)]]*HC[[#This Row],[bp (cm)]])</f>
        <v>44.721359549995796</v>
      </c>
      <c r="AA192" s="12">
        <f>HC[[#This Row],[ap (cm)]]*HC[[#This Row],[bp (cm)]]</f>
        <v>2000</v>
      </c>
      <c r="AB192" s="12">
        <f ca="1">IF(HC[[#This Row],[Padm∙ε (kN)]]&gt;=HC[[#This Row],[Padm (kN)]],ROUNDUP(1.05*HC[[#This Row],[Nsd (kN)]]/HC[[#This Row],[Padm (kN)]],0),ROUNDUP(1.05*HC[[#This Row],[Nsd (kN)]]/HC[[#This Row],[Padm (kN)]],0)+1)</f>
        <v>6</v>
      </c>
      <c r="AC192" s="4" t="str">
        <f ca="1">IFERROR(IF(HC[[#This Row],[nE]]=1,HC[[#This Row],[Padm (kN)]],HC[[#This Row],[Padm (kN)]]*HC[[#This Row],[nE]]*INDEX(grupoEstacas[],HC[[#This Row],[nE]],MATCH("ε",grupoEstacas[#Headers],0))),"N.S.")</f>
        <v>N.S.</v>
      </c>
      <c r="AD192" s="4">
        <f ca="1">1.05*HC[[#This Row],[Nsd (kN)]]/(HC[[#This Row],[nE]]*PI()*HC[[#This Row],[Ø (cm)]]^2/4)*10</f>
        <v>1.0831378071531765</v>
      </c>
      <c r="AE192" s="4">
        <f ca="1">IF(HC[[#This Row],[σ (MPa)]]&lt;INDEX(tipoEstaca[],MATCH($D$2,tipoEstaca[TIPO DE ESTACA],0),MATCH("σmáx (MPa)",tipoEstaca[#Headers],0)),0.4%*PI()*HC[[#This Row],[Ø (cm)]]^2/4,"N.S.")</f>
        <v>11.309733552923255</v>
      </c>
      <c r="AF192" s="1">
        <f>INDEX(tipoEstaca[],MATCH($D$2,tipoEstaca[TIPO DE ESTACA],0),MATCH(HC[[#Headers],[Comprimento (m)]],tipoEstaca[#Headers],0))</f>
        <v>4</v>
      </c>
      <c r="AG192" s="5">
        <f ca="1">HC[[#This Row],[As,mín (cm²)]]/100^2*HC[[#This Row],[Comprimento (m)]]*7850</f>
        <v>35.512563356179022</v>
      </c>
      <c r="AH192" s="4">
        <f ca="1">HC[[#This Row],[nE]]*HC[[#This Row],[Prof. (m)]]*HC[[#This Row],[Ap (m²)]]</f>
        <v>8.4823001646924414</v>
      </c>
      <c r="AI192" s="1">
        <f ca="1">IF(HC[[#This Row],[nE]]=1,0,MAX(3*HC[[#This Row],[Ø (cm)]],60))</f>
        <v>180</v>
      </c>
      <c r="AJ192" s="1">
        <f ca="1">IF(HC[[#This Row],[nE]]=1,HC[[#This Row],[Ø (cm)]]+2*10,MAX(1.5*HC[[#This Row],[Ø (cm)]],HC[[#This Row],[Ø (cm)]]+15))</f>
        <v>90</v>
      </c>
      <c r="AK192" s="1" t="str">
        <f ca="1">alturaUtil(HC[[#This Row],[nE]],HC[[#This Row],[Ø (cm)]],HC[[#This Row],[e (cm)]],HC[[#This Row],[ap,eq (cm)]])</f>
        <v>N.S.</v>
      </c>
      <c r="AL192" s="1" t="str">
        <f ca="1">IFERROR(HC[[#This Row],[d (cm)]]+arredondarParaCimaMultiplo5cm(MAX(5,SQRT(PI())/2*HC[[#This Row],[Ø (cm)]]/5)),"N.S.")</f>
        <v>N.S.</v>
      </c>
      <c r="AM192" s="5" t="str">
        <f ca="1">alpha(HC[[#This Row],[nE]],HC[[#This Row],[d (cm)]],HC[[#This Row],[e (cm)]],HC[[#This Row],[ap,eq (cm)]])</f>
        <v>N.S.</v>
      </c>
      <c r="AN192" s="35" t="str">
        <f ca="1">IFERROR(HC[[#This Row],[Nsd (kN)]]/(HC[[#This Row],[Ap (cm²)]]*SIN(HC[[#This Row],[α]])^2),"N.S.")</f>
        <v>N.S.</v>
      </c>
      <c r="AO192" s="35" t="str">
        <f ca="1">IFERROR(HC[[#This Row],[Nsd (kN)]]/(HC[[#This Row],[nE]]*PI()*HC[[#This Row],[Ø (cm)]]^2/4*SIN(HC[[#This Row],[α]])^2),"N.S.")</f>
        <v>N.S.</v>
      </c>
      <c r="AP192" s="4" t="str">
        <f ca="1">IFERROR(INDEX(grupoEstacas[],HC[[#This Row],[nE]],MATCH("coef. Blévot",grupoEstacas[#Headers],0)),"N.S.")</f>
        <v>N.S.</v>
      </c>
      <c r="AQ192" s="35" t="str">
        <f ca="1">IFERROR(HC[[#This Row],[coef. Blévot]]*0.9*INDEX(tipoEstaca[],MATCH($D$2,tipoEstaca[TIPO DE ESTACA],0),MATCH("fcd (kN/cm²)",tipoEstaca[#Headers],0)),"N.S.")</f>
        <v>N.S.</v>
      </c>
      <c r="AR192" s="1" t="str">
        <f ca="1">IF(AND(HC[[#This Row],[cd,b,pil (kN/cm²)]]&lt;=HC[[#This Row],[cd,b,lim (kN/cm²)]],HC[[#This Row],[cd,b,est (kN/cm²)]]&lt;=HC[[#This Row],[cd,b,lim (kN/cm²)]]),"OK","ERRO")</f>
        <v>OK</v>
      </c>
      <c r="AS192" s="4" t="str">
        <f ca="1">As_lado(HC[[#This Row],[nE]],HC[[#This Row],[Nsd (kN)]],HC[[#This Row],[d (cm)]],HC[[#This Row],[e (cm)]],HC[[#This Row],[ap,eq (cm)]])</f>
        <v>N.S.</v>
      </c>
      <c r="AT192" s="4" t="str">
        <f ca="1">IF(HC[[#This Row],[nE]]=1,HC[[#This Row],[As,lado (cm²)]],IF(HC[[#This Row],[nE]]=2,0.075*2*HC[a (cm)],"N.A."))</f>
        <v>N.A.</v>
      </c>
      <c r="AU192" s="4" t="str">
        <f ca="1">IFERROR(IF(HC[[#This Row],[nE]]=1,"N.A.",0.2*HC[[#This Row],[As,lado (cm²)]]),"N.S.")</f>
        <v>N.S.</v>
      </c>
      <c r="AV192" s="4" t="str">
        <f ca="1">As_malha(HC[[#This Row],[nE]],HC[[#This Row],[As,lado (cm²)]],HC[[#This Row],[Nsd (kN)]])</f>
        <v>N.S.</v>
      </c>
      <c r="AW192" s="4" t="str">
        <f ca="1">As_susp_tot(HC[[#This Row],[nE]],HC[[#This Row],[Nsd (kN)]])</f>
        <v>N.S.</v>
      </c>
      <c r="AX192" s="4" t="str">
        <f ca="1">Asp_face(HC[[#This Row],[nE]],HC[[#This Row],[As,lado (cm²)]])</f>
        <v>N.S.</v>
      </c>
      <c r="AY192" s="5" t="str">
        <f ca="1">acoBloco(HC[[#This Row],[nE]],HC[[#This Row],[e (cm)]],HC[[#This Row],[a (cm)]],HC[[#This Row],[h (cm)]],HC[[#This Row],[As,lado (cm²)]],HC[[#This Row],[Asp e Asw (cm²/m)]],HC[[#This Row],[As,sup (cm²)]],HC[[#This Row],[As,malha (cm²)]],HC[[#This Row],[As,susp,tot (cm²)]],HC[[#This Row],[Asp,face (cm²)]])</f>
        <v>N.S.</v>
      </c>
      <c r="AZ192" s="4" t="str">
        <f ca="1">concretoBloco(HC[[#This Row],[nE]],HC[[#This Row],[e (cm)]],HC[[#This Row],[a (cm)]],HC[[#This Row],[h (cm)]])</f>
        <v>N.S.</v>
      </c>
      <c r="BA192" s="5">
        <f ca="1">SUM(HC[[#This Row],[Aço Est (kg)]],HC[[#This Row],[Aço Bloco (kg)]])</f>
        <v>35.512563356179022</v>
      </c>
      <c r="BB192" s="4">
        <f>INDEX(composicoes[],MATCH(95580,composicoes[CÓDIGO],0),MATCH("CUSTO TOTAL",composicoes[#Headers],0))</f>
        <v>10.46</v>
      </c>
      <c r="BC192" s="4">
        <f ca="1">SUM(HC[[#This Row],[Conc Est (m³)]],HC[[#This Row],[Conc Bloco (m³)]])</f>
        <v>8.4823001646924414</v>
      </c>
      <c r="BD192" s="4">
        <f>INDEX(composicoes[],MATCH(94966,composicoes[CÓDIGO],0),MATCH("CUSTO TOTAL",composicoes[#Headers],0))</f>
        <v>439.52</v>
      </c>
      <c r="BE192" s="38">
        <f ca="1">HC[[#This Row],[Aço (kg)]]*HC[[#This Row],[Aço (R$/kg)]]+HC[[#This Row],[Conc (m³)]]*HC[[#This Row],[Conc (R$/m³)]]</f>
        <v>4099.6019810912549</v>
      </c>
      <c r="BF192" s="4" t="str">
        <f ca="1">IF(COUNTIF(HC[#This Row],"N.S.")&gt;0,"lim.","OK")</f>
        <v>lim.</v>
      </c>
      <c r="BG192" s="4" t="str">
        <f>IF(HC[[#This Row],[Prof. (m)]]&lt;4,"lim.","OK")</f>
        <v>OK</v>
      </c>
      <c r="BH192" s="4" t="str">
        <f>IF(HC[[#This Row],[Prof. (m)]]&gt;=8*HC[[#This Row],[Ø (cm)]]/100,"OK","lim.")</f>
        <v>OK</v>
      </c>
      <c r="BI192" s="4" t="str">
        <f ca="1">IF(HC[[#This Row],[Verif. Biela]]="OK","OK","lim.")</f>
        <v>OK</v>
      </c>
      <c r="BJ192" s="4" t="str">
        <f ca="1">IF(COUNTA(HC[[#This Row],[Nº Est.]:[Biela comp.]])=COUNTIF(HC[[#This Row],[Nº Est.]:[Biela comp.]],"OK"),"OK","lim.")</f>
        <v>lim.</v>
      </c>
      <c r="BK192" s="4" t="str">
        <f ca="1">IF(HC[[#This Row],[Controle]]="OK",HC[[#This Row],[nE]]&amp;" Ø"&amp;HC[[#This Row],[Ø (cm)]]&amp;"cm Prof. "&amp;HC[[#This Row],[Prof. (m)]]&amp;" m","")</f>
        <v/>
      </c>
      <c r="BL192" s="4" t="str">
        <f ca="1">IF(HC[[#This Row],[idDimensionamento]]="","",HC[[#This Row],[idPilar]]&amp;HC[[#This Row],[idDimensionamento]])</f>
        <v/>
      </c>
    </row>
    <row r="193" spans="2:64" x14ac:dyDescent="0.25">
      <c r="B193" s="12">
        <f>ROUNDUP((ROW(HC[[#This Row],[idDiâmetro]])-ROW(HC[[#Headers],[idDiâmetro]]))/(COUNT(SPT[Prof. (m)])*COUNT(PILARES[Pilar])),0)</f>
        <v>7</v>
      </c>
      <c r="C193" s="12">
        <f>IF(HC[[#This Row],[idDiâmetro]]&lt;&gt;B192,1,IF(HC[[#This Row],[Prof. (m)]]=0,C192+1,C192))</f>
        <v>2</v>
      </c>
      <c r="D193" s="1">
        <f>IFERROR(IF(D192=MAX(SPT[Prof. (m)]),0,D192+1),0)</f>
        <v>6</v>
      </c>
      <c r="E193" s="1">
        <f>INDEX(SPT[],MATCH(HC[[#This Row],[Prof. (m)]],SPT[Prof. (m)],0),2)</f>
        <v>21</v>
      </c>
      <c r="F193" s="1" t="str">
        <f>INDEX(SPT[],MATCH(HC[[#This Row],[Prof. (m)]],SPT[Prof. (m)],0),3)</f>
        <v>Silte arenoso</v>
      </c>
      <c r="G193" s="1">
        <f>INDEX(estacas[],HC[[#This Row],[idDiâmetro]],MATCH($B$2,estacas[#Headers],0))</f>
        <v>60</v>
      </c>
      <c r="H193" s="1">
        <f>INDEX(estacas[],MATCH(HC[[#This Row],[Ø (cm)]],estacas[Ø HC (cm)],0),MATCH(HC[[#Headers],[Pe HC (kN)]],estacas[#Headers],0))</f>
        <v>1800</v>
      </c>
      <c r="I193" s="4">
        <f>INDEX(K_alpha_C[],MATCH(HC[[#This Row],[Solo]],K_alpha_C[Solo],0),2)</f>
        <v>0.55000000000000004</v>
      </c>
      <c r="J193" s="5">
        <f>INDEX(K_alpha_C[],MATCH(HC[[#This Row],[Solo]],K_alpha_C[Solo],0),3)</f>
        <v>2.2000000000000002</v>
      </c>
      <c r="K193" s="4">
        <f>INDEX(F1_F2[],MATCH($D$2,F1_F2[Tipo de estaca],0),2)</f>
        <v>2</v>
      </c>
      <c r="L193" s="4">
        <f>INDEX(F1_F2[],MATCH($D$2,F1_F2[Tipo de estaca],0),3)</f>
        <v>4</v>
      </c>
      <c r="M193" s="4">
        <f>PI()*(HC[[#This Row],[Ø (cm)]]/100)^2/4</f>
        <v>0.28274333882308139</v>
      </c>
      <c r="N193" s="4">
        <f>PI()*HC[[#This Row],[Ø (cm)]]/100</f>
        <v>1.8849555921538756</v>
      </c>
      <c r="O193" s="4">
        <f>IF(HC[[#This Row],[Prof. (m)]]=0,0,HC[[#This Row],[α (%)]]/100*HC[[#This Row],[K (MPa)]]*1000*HC[[#This Row],[NSPT]])</f>
        <v>254.10000000000002</v>
      </c>
      <c r="P193" s="4">
        <f>IF(HC[[#This Row],[Prof. (m)]]=0,0,(HC[[#This Row],[K (MPa)]]*1000*HC[[#This Row],[NSPT]]/HC[[#This Row],[F1]]*HC[[#This Row],[Ap (m²)]]+HC[[#This Row],[U (m)]]/HC[[#This Row],[F2]]*SUMIFS(HC[(α∙K∙NL∙ΔL)],HC[Prof. (m)],"&lt;="&amp;HC[[#This Row],[Prof. (m)]],HC[idDiâmetro],HC[[#This Row],[idDiâmetro]],HC[idPilar],HC[[#This Row],[idPilar]]))/'DADOS CAP. CARGA'!$D$2)</f>
        <v>1000.6993619295909</v>
      </c>
      <c r="Q193" s="12">
        <f>INDEX(C_alpha_beta[],MATCH(HC[[#This Row],[Solo]],C_alpha_beta[Solo],0),MATCH(HC[[#Headers],[C (kPa)]],C_alpha_beta[#Headers],0))</f>
        <v>250</v>
      </c>
      <c r="R193" s="4">
        <f>INDEX(C_alpha_beta[],MATCH(HC[[#This Row],[Solo]],C_alpha_beta[Solo],0),MATCH(HC[[#Headers],[α ESF]],C_alpha_beta[#Headers],0))</f>
        <v>0.6</v>
      </c>
      <c r="S193" s="4">
        <f>INDEX(C_alpha_beta[],MATCH(HC[[#This Row],[Solo]],C_alpha_beta[Solo],0),MATCH(HC[[#Headers],[β ESF]],C_alpha_beta[#Headers],0))</f>
        <v>0.65</v>
      </c>
      <c r="T193" s="4">
        <f>IF(HC[[#This Row],[Prof. (m)]]=0,0,10*(HC[[#This Row],[NSPT]]/3+1))</f>
        <v>80</v>
      </c>
      <c r="U193" s="4">
        <f>(HC[[#This Row],[α ESF]]*HC[[#This Row],[C (kPa)]]*HC[[#This Row],[NSPT]]*HC[[#This Row],[Ap (m²)]])/'DADOS CAP. CARGA'!$Q$2+(HC[[#This Row],[β ESF]]*SUMIFS(HC[10∙(NL/3+1)],HC[Prof. (m)],"&lt;="&amp;HC[[#This Row],[Prof. (m)]],HC[idDiâmetro],HC[[#This Row],[idDiâmetro]],HC[idPilar],HC[[#This Row],[idPilar]])*HC[[#This Row],[U (m)]])/'DADOS CAP. CARGA'!$S$2</f>
        <v>369.68691551117888</v>
      </c>
      <c r="V193" s="4">
        <f>IF(SPT!$M$5=1,MIN(HC[[#This Row],[Pe HC (kN)]],HC[[#This Row],[R_AV (kN)]]),IF(SPT!$M$5=2,MIN(HC[[#This Row],[Pe HC (kN)]],HC[[#This Row],[R_DC (kN)]]),MIN(HC[[#This Row],[Pe HC (kN)]],HC[[#This Row],[R_AV (kN)]],HC[[#This Row],[R_DC (kN)]])))</f>
        <v>369.68691551117888</v>
      </c>
      <c r="W193" s="4">
        <f>INDEX(PILARES[],HC[[#This Row],[idPilar]],MATCH("Carga (kN)",PILARES[#Headers],0))*1.4</f>
        <v>1750</v>
      </c>
      <c r="X193" s="12">
        <f>INDEX(PILARES[],HC[[#This Row],[idPilar]],MATCH(HC[[#Headers],[ap (cm)]],PILARES[#Headers],0))</f>
        <v>50</v>
      </c>
      <c r="Y193" s="12">
        <f>INDEX(PILARES[],HC[[#This Row],[idPilar]],MATCH(HC[[#Headers],[bp (cm)]],PILARES[#Headers],0))</f>
        <v>40</v>
      </c>
      <c r="Z193" s="4">
        <f>SQRT(HC[[#This Row],[ap (cm)]]*HC[[#This Row],[bp (cm)]])</f>
        <v>44.721359549995796</v>
      </c>
      <c r="AA193" s="12">
        <f>HC[[#This Row],[ap (cm)]]*HC[[#This Row],[bp (cm)]]</f>
        <v>2000</v>
      </c>
      <c r="AB193" s="12">
        <f ca="1">IF(HC[[#This Row],[Padm∙ε (kN)]]&gt;=HC[[#This Row],[Padm (kN)]],ROUNDUP(1.05*HC[[#This Row],[Nsd (kN)]]/HC[[#This Row],[Padm (kN)]],0),ROUNDUP(1.05*HC[[#This Row],[Nsd (kN)]]/HC[[#This Row],[Padm (kN)]],0)+1)</f>
        <v>5</v>
      </c>
      <c r="AC193" s="4" t="str">
        <f ca="1">IFERROR(IF(HC[[#This Row],[nE]]=1,HC[[#This Row],[Padm (kN)]],HC[[#This Row],[Padm (kN)]]*HC[[#This Row],[nE]]*INDEX(grupoEstacas[],HC[[#This Row],[nE]],MATCH("ε",grupoEstacas[#Headers],0))),"N.S.")</f>
        <v>N.S.</v>
      </c>
      <c r="AD193" s="4">
        <f ca="1">1.05*HC[[#This Row],[Nsd (kN)]]/(HC[[#This Row],[nE]]*PI()*HC[[#This Row],[Ø (cm)]]^2/4)*10</f>
        <v>1.299765368583812</v>
      </c>
      <c r="AE193" s="4">
        <f ca="1">IF(HC[[#This Row],[σ (MPa)]]&lt;INDEX(tipoEstaca[],MATCH($D$2,tipoEstaca[TIPO DE ESTACA],0),MATCH("σmáx (MPa)",tipoEstaca[#Headers],0)),0.4%*PI()*HC[[#This Row],[Ø (cm)]]^2/4,"N.S.")</f>
        <v>11.309733552923255</v>
      </c>
      <c r="AF193" s="1">
        <f>INDEX(tipoEstaca[],MATCH($D$2,tipoEstaca[TIPO DE ESTACA],0),MATCH(HC[[#Headers],[Comprimento (m)]],tipoEstaca[#Headers],0))</f>
        <v>4</v>
      </c>
      <c r="AG193" s="5">
        <f ca="1">HC[[#This Row],[As,mín (cm²)]]/100^2*HC[[#This Row],[Comprimento (m)]]*7850</f>
        <v>35.512563356179022</v>
      </c>
      <c r="AH193" s="4">
        <f ca="1">HC[[#This Row],[nE]]*HC[[#This Row],[Prof. (m)]]*HC[[#This Row],[Ap (m²)]]</f>
        <v>8.4823001646924414</v>
      </c>
      <c r="AI193" s="1">
        <f ca="1">IF(HC[[#This Row],[nE]]=1,0,MAX(3*HC[[#This Row],[Ø (cm)]],60))</f>
        <v>180</v>
      </c>
      <c r="AJ193" s="1">
        <f ca="1">IF(HC[[#This Row],[nE]]=1,HC[[#This Row],[Ø (cm)]]+2*10,MAX(1.5*HC[[#This Row],[Ø (cm)]],HC[[#This Row],[Ø (cm)]]+15))</f>
        <v>90</v>
      </c>
      <c r="AK193" s="1" t="str">
        <f ca="1">alturaUtil(HC[[#This Row],[nE]],HC[[#This Row],[Ø (cm)]],HC[[#This Row],[e (cm)]],HC[[#This Row],[ap,eq (cm)]])</f>
        <v>N.S.</v>
      </c>
      <c r="AL193" s="1" t="str">
        <f ca="1">IFERROR(HC[[#This Row],[d (cm)]]+arredondarParaCimaMultiplo5cm(MAX(5,SQRT(PI())/2*HC[[#This Row],[Ø (cm)]]/5)),"N.S.")</f>
        <v>N.S.</v>
      </c>
      <c r="AM193" s="5" t="str">
        <f ca="1">alpha(HC[[#This Row],[nE]],HC[[#This Row],[d (cm)]],HC[[#This Row],[e (cm)]],HC[[#This Row],[ap,eq (cm)]])</f>
        <v>N.S.</v>
      </c>
      <c r="AN193" s="35" t="str">
        <f ca="1">IFERROR(HC[[#This Row],[Nsd (kN)]]/(HC[[#This Row],[Ap (cm²)]]*SIN(HC[[#This Row],[α]])^2),"N.S.")</f>
        <v>N.S.</v>
      </c>
      <c r="AO193" s="35" t="str">
        <f ca="1">IFERROR(HC[[#This Row],[Nsd (kN)]]/(HC[[#This Row],[nE]]*PI()*HC[[#This Row],[Ø (cm)]]^2/4*SIN(HC[[#This Row],[α]])^2),"N.S.")</f>
        <v>N.S.</v>
      </c>
      <c r="AP193" s="4" t="str">
        <f ca="1">IFERROR(INDEX(grupoEstacas[],HC[[#This Row],[nE]],MATCH("coef. Blévot",grupoEstacas[#Headers],0)),"N.S.")</f>
        <v>N.S.</v>
      </c>
      <c r="AQ193" s="35" t="str">
        <f ca="1">IFERROR(HC[[#This Row],[coef. Blévot]]*0.9*INDEX(tipoEstaca[],MATCH($D$2,tipoEstaca[TIPO DE ESTACA],0),MATCH("fcd (kN/cm²)",tipoEstaca[#Headers],0)),"N.S.")</f>
        <v>N.S.</v>
      </c>
      <c r="AR193" s="1" t="str">
        <f ca="1">IF(AND(HC[[#This Row],[cd,b,pil (kN/cm²)]]&lt;=HC[[#This Row],[cd,b,lim (kN/cm²)]],HC[[#This Row],[cd,b,est (kN/cm²)]]&lt;=HC[[#This Row],[cd,b,lim (kN/cm²)]]),"OK","ERRO")</f>
        <v>OK</v>
      </c>
      <c r="AS193" s="4" t="str">
        <f ca="1">As_lado(HC[[#This Row],[nE]],HC[[#This Row],[Nsd (kN)]],HC[[#This Row],[d (cm)]],HC[[#This Row],[e (cm)]],HC[[#This Row],[ap,eq (cm)]])</f>
        <v>N.S.</v>
      </c>
      <c r="AT193" s="4" t="str">
        <f ca="1">IF(HC[[#This Row],[nE]]=1,HC[[#This Row],[As,lado (cm²)]],IF(HC[[#This Row],[nE]]=2,0.075*2*HC[a (cm)],"N.A."))</f>
        <v>N.A.</v>
      </c>
      <c r="AU193" s="4" t="str">
        <f ca="1">IFERROR(IF(HC[[#This Row],[nE]]=1,"N.A.",0.2*HC[[#This Row],[As,lado (cm²)]]),"N.S.")</f>
        <v>N.S.</v>
      </c>
      <c r="AV193" s="4" t="str">
        <f ca="1">As_malha(HC[[#This Row],[nE]],HC[[#This Row],[As,lado (cm²)]],HC[[#This Row],[Nsd (kN)]])</f>
        <v>N.S.</v>
      </c>
      <c r="AW193" s="4" t="str">
        <f ca="1">As_susp_tot(HC[[#This Row],[nE]],HC[[#This Row],[Nsd (kN)]])</f>
        <v>N.S.</v>
      </c>
      <c r="AX193" s="4" t="str">
        <f ca="1">Asp_face(HC[[#This Row],[nE]],HC[[#This Row],[As,lado (cm²)]])</f>
        <v>N.S.</v>
      </c>
      <c r="AY193" s="5" t="str">
        <f ca="1">acoBloco(HC[[#This Row],[nE]],HC[[#This Row],[e (cm)]],HC[[#This Row],[a (cm)]],HC[[#This Row],[h (cm)]],HC[[#This Row],[As,lado (cm²)]],HC[[#This Row],[Asp e Asw (cm²/m)]],HC[[#This Row],[As,sup (cm²)]],HC[[#This Row],[As,malha (cm²)]],HC[[#This Row],[As,susp,tot (cm²)]],HC[[#This Row],[Asp,face (cm²)]])</f>
        <v>N.S.</v>
      </c>
      <c r="AZ193" s="4" t="str">
        <f ca="1">concretoBloco(HC[[#This Row],[nE]],HC[[#This Row],[e (cm)]],HC[[#This Row],[a (cm)]],HC[[#This Row],[h (cm)]])</f>
        <v>N.S.</v>
      </c>
      <c r="BA193" s="5">
        <f ca="1">SUM(HC[[#This Row],[Aço Est (kg)]],HC[[#This Row],[Aço Bloco (kg)]])</f>
        <v>35.512563356179022</v>
      </c>
      <c r="BB193" s="4">
        <f>INDEX(composicoes[],MATCH(95580,composicoes[CÓDIGO],0),MATCH("CUSTO TOTAL",composicoes[#Headers],0))</f>
        <v>10.46</v>
      </c>
      <c r="BC193" s="4">
        <f ca="1">SUM(HC[[#This Row],[Conc Est (m³)]],HC[[#This Row],[Conc Bloco (m³)]])</f>
        <v>8.4823001646924414</v>
      </c>
      <c r="BD193" s="4">
        <f>INDEX(composicoes[],MATCH(94966,composicoes[CÓDIGO],0),MATCH("CUSTO TOTAL",composicoes[#Headers],0))</f>
        <v>439.52</v>
      </c>
      <c r="BE193" s="38">
        <f ca="1">HC[[#This Row],[Aço (kg)]]*HC[[#This Row],[Aço (R$/kg)]]+HC[[#This Row],[Conc (m³)]]*HC[[#This Row],[Conc (R$/m³)]]</f>
        <v>4099.6019810912549</v>
      </c>
      <c r="BF193" s="4" t="str">
        <f ca="1">IF(COUNTIF(HC[#This Row],"N.S.")&gt;0,"lim.","OK")</f>
        <v>lim.</v>
      </c>
      <c r="BG193" s="4" t="str">
        <f>IF(HC[[#This Row],[Prof. (m)]]&lt;4,"lim.","OK")</f>
        <v>OK</v>
      </c>
      <c r="BH193" s="4" t="str">
        <f>IF(HC[[#This Row],[Prof. (m)]]&gt;=8*HC[[#This Row],[Ø (cm)]]/100,"OK","lim.")</f>
        <v>OK</v>
      </c>
      <c r="BI193" s="4" t="str">
        <f ca="1">IF(HC[[#This Row],[Verif. Biela]]="OK","OK","lim.")</f>
        <v>OK</v>
      </c>
      <c r="BJ193" s="4" t="str">
        <f ca="1">IF(COUNTA(HC[[#This Row],[Nº Est.]:[Biela comp.]])=COUNTIF(HC[[#This Row],[Nº Est.]:[Biela comp.]],"OK"),"OK","lim.")</f>
        <v>lim.</v>
      </c>
      <c r="BK193" s="4" t="str">
        <f ca="1">IF(HC[[#This Row],[Controle]]="OK",HC[[#This Row],[nE]]&amp;" Ø"&amp;HC[[#This Row],[Ø (cm)]]&amp;"cm Prof. "&amp;HC[[#This Row],[Prof. (m)]]&amp;" m","")</f>
        <v/>
      </c>
      <c r="BL193" s="4" t="str">
        <f ca="1">IF(HC[[#This Row],[idDimensionamento]]="","",HC[[#This Row],[idPilar]]&amp;HC[[#This Row],[idDimensionamento]])</f>
        <v/>
      </c>
    </row>
    <row r="194" spans="2:64" x14ac:dyDescent="0.25">
      <c r="B194" s="12">
        <f>ROUNDUP((ROW(HC[[#This Row],[idDiâmetro]])-ROW(HC[[#Headers],[idDiâmetro]]))/(COUNT(SPT[Prof. (m)])*COUNT(PILARES[Pilar])),0)</f>
        <v>7</v>
      </c>
      <c r="C194" s="12">
        <f>IF(HC[[#This Row],[idDiâmetro]]&lt;&gt;B193,1,IF(HC[[#This Row],[Prof. (m)]]=0,C193+1,C193))</f>
        <v>2</v>
      </c>
      <c r="D194" s="1">
        <f>IFERROR(IF(D193=MAX(SPT[Prof. (m)]),0,D193+1),0)</f>
        <v>7</v>
      </c>
      <c r="E194" s="1">
        <f>INDEX(SPT[],MATCH(HC[[#This Row],[Prof. (m)]],SPT[Prof. (m)],0),2)</f>
        <v>8</v>
      </c>
      <c r="F194" s="1" t="str">
        <f>INDEX(SPT[],MATCH(HC[[#This Row],[Prof. (m)]],SPT[Prof. (m)],0),3)</f>
        <v>Silte arenoso</v>
      </c>
      <c r="G194" s="1">
        <f>INDEX(estacas[],HC[[#This Row],[idDiâmetro]],MATCH($B$2,estacas[#Headers],0))</f>
        <v>60</v>
      </c>
      <c r="H194" s="1">
        <f>INDEX(estacas[],MATCH(HC[[#This Row],[Ø (cm)]],estacas[Ø HC (cm)],0),MATCH(HC[[#Headers],[Pe HC (kN)]],estacas[#Headers],0))</f>
        <v>1800</v>
      </c>
      <c r="I194" s="4">
        <f>INDEX(K_alpha_C[],MATCH(HC[[#This Row],[Solo]],K_alpha_C[Solo],0),2)</f>
        <v>0.55000000000000004</v>
      </c>
      <c r="J194" s="5">
        <f>INDEX(K_alpha_C[],MATCH(HC[[#This Row],[Solo]],K_alpha_C[Solo],0),3)</f>
        <v>2.2000000000000002</v>
      </c>
      <c r="K194" s="4">
        <f>INDEX(F1_F2[],MATCH($D$2,F1_F2[Tipo de estaca],0),2)</f>
        <v>2</v>
      </c>
      <c r="L194" s="4">
        <f>INDEX(F1_F2[],MATCH($D$2,F1_F2[Tipo de estaca],0),3)</f>
        <v>4</v>
      </c>
      <c r="M194" s="4">
        <f>PI()*(HC[[#This Row],[Ø (cm)]]/100)^2/4</f>
        <v>0.28274333882308139</v>
      </c>
      <c r="N194" s="4">
        <f>PI()*HC[[#This Row],[Ø (cm)]]/100</f>
        <v>1.8849555921538756</v>
      </c>
      <c r="O194" s="4">
        <f>IF(HC[[#This Row],[Prof. (m)]]=0,0,HC[[#This Row],[α (%)]]/100*HC[[#This Row],[K (MPa)]]*1000*HC[[#This Row],[NSPT]])</f>
        <v>96.800000000000011</v>
      </c>
      <c r="P194" s="4">
        <f>IF(HC[[#This Row],[Prof. (m)]]=0,0,(HC[[#This Row],[K (MPa)]]*1000*HC[[#This Row],[NSPT]]/HC[[#This Row],[F1]]*HC[[#This Row],[Ap (m²)]]+HC[[#This Row],[U (m)]]/HC[[#This Row],[F2]]*SUMIFS(HC[(α∙K∙NL∙ΔL)],HC[Prof. (m)],"&lt;="&amp;HC[[#This Row],[Prof. (m)]],HC[idDiâmetro],HC[[#This Row],[idDiâmetro]],HC[idPilar],HC[[#This Row],[idPilar]]))/'DADOS CAP. CARGA'!$D$2)</f>
        <v>518.10360644839466</v>
      </c>
      <c r="Q194" s="12">
        <f>INDEX(C_alpha_beta[],MATCH(HC[[#This Row],[Solo]],C_alpha_beta[Solo],0),MATCH(HC[[#Headers],[C (kPa)]],C_alpha_beta[#Headers],0))</f>
        <v>250</v>
      </c>
      <c r="R194" s="4">
        <f>INDEX(C_alpha_beta[],MATCH(HC[[#This Row],[Solo]],C_alpha_beta[Solo],0),MATCH(HC[[#Headers],[α ESF]],C_alpha_beta[#Headers],0))</f>
        <v>0.6</v>
      </c>
      <c r="S194" s="4">
        <f>INDEX(C_alpha_beta[],MATCH(HC[[#This Row],[Solo]],C_alpha_beta[Solo],0),MATCH(HC[[#Headers],[β ESF]],C_alpha_beta[#Headers],0))</f>
        <v>0.65</v>
      </c>
      <c r="T194" s="4">
        <f>IF(HC[[#This Row],[Prof. (m)]]=0,0,10*(HC[[#This Row],[NSPT]]/3+1))</f>
        <v>36.666666666666664</v>
      </c>
      <c r="U194" s="4">
        <f>(HC[[#This Row],[α ESF]]*HC[[#This Row],[C (kPa)]]*HC[[#This Row],[NSPT]]*HC[[#This Row],[Ap (m²)]])/'DADOS CAP. CARGA'!$Q$2+(HC[[#This Row],[β ESF]]*SUMIFS(HC[10∙(NL/3+1)],HC[Prof. (m)],"&lt;="&amp;HC[[#This Row],[Prof. (m)]],HC[idDiâmetro],HC[[#This Row],[idDiâmetro]],HC[idPilar],HC[[#This Row],[idPilar]])*HC[[#This Row],[U (m)]])/'DADOS CAP. CARGA'!$S$2</f>
        <v>254.31192530809375</v>
      </c>
      <c r="V194" s="4">
        <f>IF(SPT!$M$5=1,MIN(HC[[#This Row],[Pe HC (kN)]],HC[[#This Row],[R_AV (kN)]]),IF(SPT!$M$5=2,MIN(HC[[#This Row],[Pe HC (kN)]],HC[[#This Row],[R_DC (kN)]]),MIN(HC[[#This Row],[Pe HC (kN)]],HC[[#This Row],[R_AV (kN)]],HC[[#This Row],[R_DC (kN)]])))</f>
        <v>254.31192530809375</v>
      </c>
      <c r="W194" s="4">
        <f>INDEX(PILARES[],HC[[#This Row],[idPilar]],MATCH("Carga (kN)",PILARES[#Headers],0))*1.4</f>
        <v>1750</v>
      </c>
      <c r="X194" s="12">
        <f>INDEX(PILARES[],HC[[#This Row],[idPilar]],MATCH(HC[[#Headers],[ap (cm)]],PILARES[#Headers],0))</f>
        <v>50</v>
      </c>
      <c r="Y194" s="12">
        <f>INDEX(PILARES[],HC[[#This Row],[idPilar]],MATCH(HC[[#Headers],[bp (cm)]],PILARES[#Headers],0))</f>
        <v>40</v>
      </c>
      <c r="Z194" s="4">
        <f>SQRT(HC[[#This Row],[ap (cm)]]*HC[[#This Row],[bp (cm)]])</f>
        <v>44.721359549995796</v>
      </c>
      <c r="AA194" s="12">
        <f>HC[[#This Row],[ap (cm)]]*HC[[#This Row],[bp (cm)]]</f>
        <v>2000</v>
      </c>
      <c r="AB194" s="12">
        <f ca="1">IF(HC[[#This Row],[Padm∙ε (kN)]]&gt;=HC[[#This Row],[Padm (kN)]],ROUNDUP(1.05*HC[[#This Row],[Nsd (kN)]]/HC[[#This Row],[Padm (kN)]],0),ROUNDUP(1.05*HC[[#This Row],[Nsd (kN)]]/HC[[#This Row],[Padm (kN)]],0)+1)</f>
        <v>8</v>
      </c>
      <c r="AC194" s="4" t="str">
        <f ca="1">IFERROR(IF(HC[[#This Row],[nE]]=1,HC[[#This Row],[Padm (kN)]],HC[[#This Row],[Padm (kN)]]*HC[[#This Row],[nE]]*INDEX(grupoEstacas[],HC[[#This Row],[nE]],MATCH("ε",grupoEstacas[#Headers],0))),"N.S.")</f>
        <v>N.S.</v>
      </c>
      <c r="AD194" s="4">
        <f ca="1">1.05*HC[[#This Row],[Nsd (kN)]]/(HC[[#This Row],[nE]]*PI()*HC[[#This Row],[Ø (cm)]]^2/4)*10</f>
        <v>0.81235335536488251</v>
      </c>
      <c r="AE194" s="4">
        <f ca="1">IF(HC[[#This Row],[σ (MPa)]]&lt;INDEX(tipoEstaca[],MATCH($D$2,tipoEstaca[TIPO DE ESTACA],0),MATCH("σmáx (MPa)",tipoEstaca[#Headers],0)),0.4%*PI()*HC[[#This Row],[Ø (cm)]]^2/4,"N.S.")</f>
        <v>11.309733552923255</v>
      </c>
      <c r="AF194" s="1">
        <f>INDEX(tipoEstaca[],MATCH($D$2,tipoEstaca[TIPO DE ESTACA],0),MATCH(HC[[#Headers],[Comprimento (m)]],tipoEstaca[#Headers],0))</f>
        <v>4</v>
      </c>
      <c r="AG194" s="5">
        <f ca="1">HC[[#This Row],[As,mín (cm²)]]/100^2*HC[[#This Row],[Comprimento (m)]]*7850</f>
        <v>35.512563356179022</v>
      </c>
      <c r="AH194" s="4">
        <f ca="1">HC[[#This Row],[nE]]*HC[[#This Row],[Prof. (m)]]*HC[[#This Row],[Ap (m²)]]</f>
        <v>15.833626974092558</v>
      </c>
      <c r="AI194" s="1">
        <f ca="1">IF(HC[[#This Row],[nE]]=1,0,MAX(3*HC[[#This Row],[Ø (cm)]],60))</f>
        <v>180</v>
      </c>
      <c r="AJ194" s="1">
        <f ca="1">IF(HC[[#This Row],[nE]]=1,HC[[#This Row],[Ø (cm)]]+2*10,MAX(1.5*HC[[#This Row],[Ø (cm)]],HC[[#This Row],[Ø (cm)]]+15))</f>
        <v>90</v>
      </c>
      <c r="AK194" s="1" t="str">
        <f ca="1">alturaUtil(HC[[#This Row],[nE]],HC[[#This Row],[Ø (cm)]],HC[[#This Row],[e (cm)]],HC[[#This Row],[ap,eq (cm)]])</f>
        <v>N.S.</v>
      </c>
      <c r="AL194" s="1" t="str">
        <f ca="1">IFERROR(HC[[#This Row],[d (cm)]]+arredondarParaCimaMultiplo5cm(MAX(5,SQRT(PI())/2*HC[[#This Row],[Ø (cm)]]/5)),"N.S.")</f>
        <v>N.S.</v>
      </c>
      <c r="AM194" s="5" t="str">
        <f ca="1">alpha(HC[[#This Row],[nE]],HC[[#This Row],[d (cm)]],HC[[#This Row],[e (cm)]],HC[[#This Row],[ap,eq (cm)]])</f>
        <v>N.S.</v>
      </c>
      <c r="AN194" s="35" t="str">
        <f ca="1">IFERROR(HC[[#This Row],[Nsd (kN)]]/(HC[[#This Row],[Ap (cm²)]]*SIN(HC[[#This Row],[α]])^2),"N.S.")</f>
        <v>N.S.</v>
      </c>
      <c r="AO194" s="35" t="str">
        <f ca="1">IFERROR(HC[[#This Row],[Nsd (kN)]]/(HC[[#This Row],[nE]]*PI()*HC[[#This Row],[Ø (cm)]]^2/4*SIN(HC[[#This Row],[α]])^2),"N.S.")</f>
        <v>N.S.</v>
      </c>
      <c r="AP194" s="4" t="str">
        <f ca="1">IFERROR(INDEX(grupoEstacas[],HC[[#This Row],[nE]],MATCH("coef. Blévot",grupoEstacas[#Headers],0)),"N.S.")</f>
        <v>N.S.</v>
      </c>
      <c r="AQ194" s="35" t="str">
        <f ca="1">IFERROR(HC[[#This Row],[coef. Blévot]]*0.9*INDEX(tipoEstaca[],MATCH($D$2,tipoEstaca[TIPO DE ESTACA],0),MATCH("fcd (kN/cm²)",tipoEstaca[#Headers],0)),"N.S.")</f>
        <v>N.S.</v>
      </c>
      <c r="AR194" s="1" t="str">
        <f ca="1">IF(AND(HC[[#This Row],[cd,b,pil (kN/cm²)]]&lt;=HC[[#This Row],[cd,b,lim (kN/cm²)]],HC[[#This Row],[cd,b,est (kN/cm²)]]&lt;=HC[[#This Row],[cd,b,lim (kN/cm²)]]),"OK","ERRO")</f>
        <v>OK</v>
      </c>
      <c r="AS194" s="4" t="str">
        <f ca="1">As_lado(HC[[#This Row],[nE]],HC[[#This Row],[Nsd (kN)]],HC[[#This Row],[d (cm)]],HC[[#This Row],[e (cm)]],HC[[#This Row],[ap,eq (cm)]])</f>
        <v>N.S.</v>
      </c>
      <c r="AT194" s="4" t="str">
        <f ca="1">IF(HC[[#This Row],[nE]]=1,HC[[#This Row],[As,lado (cm²)]],IF(HC[[#This Row],[nE]]=2,0.075*2*HC[a (cm)],"N.A."))</f>
        <v>N.A.</v>
      </c>
      <c r="AU194" s="4" t="str">
        <f ca="1">IFERROR(IF(HC[[#This Row],[nE]]=1,"N.A.",0.2*HC[[#This Row],[As,lado (cm²)]]),"N.S.")</f>
        <v>N.S.</v>
      </c>
      <c r="AV194" s="4" t="str">
        <f ca="1">As_malha(HC[[#This Row],[nE]],HC[[#This Row],[As,lado (cm²)]],HC[[#This Row],[Nsd (kN)]])</f>
        <v>N.S.</v>
      </c>
      <c r="AW194" s="4" t="str">
        <f ca="1">As_susp_tot(HC[[#This Row],[nE]],HC[[#This Row],[Nsd (kN)]])</f>
        <v>N.S.</v>
      </c>
      <c r="AX194" s="4" t="str">
        <f ca="1">Asp_face(HC[[#This Row],[nE]],HC[[#This Row],[As,lado (cm²)]])</f>
        <v>N.S.</v>
      </c>
      <c r="AY194" s="5" t="str">
        <f ca="1">acoBloco(HC[[#This Row],[nE]],HC[[#This Row],[e (cm)]],HC[[#This Row],[a (cm)]],HC[[#This Row],[h (cm)]],HC[[#This Row],[As,lado (cm²)]],HC[[#This Row],[Asp e Asw (cm²/m)]],HC[[#This Row],[As,sup (cm²)]],HC[[#This Row],[As,malha (cm²)]],HC[[#This Row],[As,susp,tot (cm²)]],HC[[#This Row],[Asp,face (cm²)]])</f>
        <v>N.S.</v>
      </c>
      <c r="AZ194" s="4" t="str">
        <f ca="1">concretoBloco(HC[[#This Row],[nE]],HC[[#This Row],[e (cm)]],HC[[#This Row],[a (cm)]],HC[[#This Row],[h (cm)]])</f>
        <v>N.S.</v>
      </c>
      <c r="BA194" s="5">
        <f ca="1">SUM(HC[[#This Row],[Aço Est (kg)]],HC[[#This Row],[Aço Bloco (kg)]])</f>
        <v>35.512563356179022</v>
      </c>
      <c r="BB194" s="4">
        <f>INDEX(composicoes[],MATCH(95580,composicoes[CÓDIGO],0),MATCH("CUSTO TOTAL",composicoes[#Headers],0))</f>
        <v>10.46</v>
      </c>
      <c r="BC194" s="4">
        <f ca="1">SUM(HC[[#This Row],[Conc Est (m³)]],HC[[#This Row],[Conc Bloco (m³)]])</f>
        <v>15.833626974092558</v>
      </c>
      <c r="BD194" s="4">
        <f>INDEX(composicoes[],MATCH(94966,composicoes[CÓDIGO],0),MATCH("CUSTO TOTAL",composicoes[#Headers],0))</f>
        <v>439.52</v>
      </c>
      <c r="BE194" s="38">
        <f ca="1">HC[[#This Row],[Aço (kg)]]*HC[[#This Row],[Aço (R$/kg)]]+HC[[#This Row],[Conc (m³)]]*HC[[#This Row],[Conc (R$/m³)]]</f>
        <v>7330.6571403587941</v>
      </c>
      <c r="BF194" s="4" t="str">
        <f ca="1">IF(COUNTIF(HC[#This Row],"N.S.")&gt;0,"lim.","OK")</f>
        <v>lim.</v>
      </c>
      <c r="BG194" s="4" t="str">
        <f>IF(HC[[#This Row],[Prof. (m)]]&lt;4,"lim.","OK")</f>
        <v>OK</v>
      </c>
      <c r="BH194" s="4" t="str">
        <f>IF(HC[[#This Row],[Prof. (m)]]&gt;=8*HC[[#This Row],[Ø (cm)]]/100,"OK","lim.")</f>
        <v>OK</v>
      </c>
      <c r="BI194" s="4" t="str">
        <f ca="1">IF(HC[[#This Row],[Verif. Biela]]="OK","OK","lim.")</f>
        <v>OK</v>
      </c>
      <c r="BJ194" s="4" t="str">
        <f ca="1">IF(COUNTA(HC[[#This Row],[Nº Est.]:[Biela comp.]])=COUNTIF(HC[[#This Row],[Nº Est.]:[Biela comp.]],"OK"),"OK","lim.")</f>
        <v>lim.</v>
      </c>
      <c r="BK194" s="4" t="str">
        <f ca="1">IF(HC[[#This Row],[Controle]]="OK",HC[[#This Row],[nE]]&amp;" Ø"&amp;HC[[#This Row],[Ø (cm)]]&amp;"cm Prof. "&amp;HC[[#This Row],[Prof. (m)]]&amp;" m","")</f>
        <v/>
      </c>
      <c r="BL194" s="4" t="str">
        <f ca="1">IF(HC[[#This Row],[idDimensionamento]]="","",HC[[#This Row],[idPilar]]&amp;HC[[#This Row],[idDimensionamento]])</f>
        <v/>
      </c>
    </row>
    <row r="195" spans="2:64" x14ac:dyDescent="0.25">
      <c r="B195" s="12">
        <f>ROUNDUP((ROW(HC[[#This Row],[idDiâmetro]])-ROW(HC[[#Headers],[idDiâmetro]]))/(COUNT(SPT[Prof. (m)])*COUNT(PILARES[Pilar])),0)</f>
        <v>7</v>
      </c>
      <c r="C195" s="12">
        <f>IF(HC[[#This Row],[idDiâmetro]]&lt;&gt;B194,1,IF(HC[[#This Row],[Prof. (m)]]=0,C194+1,C194))</f>
        <v>2</v>
      </c>
      <c r="D195" s="1">
        <f>IFERROR(IF(D194=MAX(SPT[Prof. (m)]),0,D194+1),0)</f>
        <v>8</v>
      </c>
      <c r="E195" s="1">
        <f>INDEX(SPT[],MATCH(HC[[#This Row],[Prof. (m)]],SPT[Prof. (m)],0),2)</f>
        <v>10</v>
      </c>
      <c r="F195" s="1" t="str">
        <f>INDEX(SPT[],MATCH(HC[[#This Row],[Prof. (m)]],SPT[Prof. (m)],0),3)</f>
        <v>Silte arenoso</v>
      </c>
      <c r="G195" s="1">
        <f>INDEX(estacas[],HC[[#This Row],[idDiâmetro]],MATCH($B$2,estacas[#Headers],0))</f>
        <v>60</v>
      </c>
      <c r="H195" s="1">
        <f>INDEX(estacas[],MATCH(HC[[#This Row],[Ø (cm)]],estacas[Ø HC (cm)],0),MATCH(HC[[#Headers],[Pe HC (kN)]],estacas[#Headers],0))</f>
        <v>1800</v>
      </c>
      <c r="I195" s="4">
        <f>INDEX(K_alpha_C[],MATCH(HC[[#This Row],[Solo]],K_alpha_C[Solo],0),2)</f>
        <v>0.55000000000000004</v>
      </c>
      <c r="J195" s="5">
        <f>INDEX(K_alpha_C[],MATCH(HC[[#This Row],[Solo]],K_alpha_C[Solo],0),3)</f>
        <v>2.2000000000000002</v>
      </c>
      <c r="K195" s="4">
        <f>INDEX(F1_F2[],MATCH($D$2,F1_F2[Tipo de estaca],0),2)</f>
        <v>2</v>
      </c>
      <c r="L195" s="4">
        <f>INDEX(F1_F2[],MATCH($D$2,F1_F2[Tipo de estaca],0),3)</f>
        <v>4</v>
      </c>
      <c r="M195" s="4">
        <f>PI()*(HC[[#This Row],[Ø (cm)]]/100)^2/4</f>
        <v>0.28274333882308139</v>
      </c>
      <c r="N195" s="4">
        <f>PI()*HC[[#This Row],[Ø (cm)]]/100</f>
        <v>1.8849555921538756</v>
      </c>
      <c r="O195" s="4">
        <f>IF(HC[[#This Row],[Prof. (m)]]=0,0,HC[[#This Row],[α (%)]]/100*HC[[#This Row],[K (MPa)]]*1000*HC[[#This Row],[NSPT]])</f>
        <v>121.00000000000001</v>
      </c>
      <c r="P195" s="4">
        <f>IF(HC[[#This Row],[Prof. (m)]]=0,0,(HC[[#This Row],[K (MPa)]]*1000*HC[[#This Row],[NSPT]]/HC[[#This Row],[F1]]*HC[[#This Row],[Ap (m²)]]+HC[[#This Row],[U (m)]]/HC[[#This Row],[F2]]*SUMIFS(HC[(α∙K∙NL∙ΔL)],HC[Prof. (m)],"&lt;="&amp;HC[[#This Row],[Prof. (m)]],HC[idDiâmetro],HC[[#This Row],[idDiâmetro]],HC[idPilar],HC[[#This Row],[idPilar]]))/'DADOS CAP. CARGA'!$D$2)</f>
        <v>624.36797795606947</v>
      </c>
      <c r="Q195" s="12">
        <f>INDEX(C_alpha_beta[],MATCH(HC[[#This Row],[Solo]],C_alpha_beta[Solo],0),MATCH(HC[[#Headers],[C (kPa)]],C_alpha_beta[#Headers],0))</f>
        <v>250</v>
      </c>
      <c r="R195" s="4">
        <f>INDEX(C_alpha_beta[],MATCH(HC[[#This Row],[Solo]],C_alpha_beta[Solo],0),MATCH(HC[[#Headers],[α ESF]],C_alpha_beta[#Headers],0))</f>
        <v>0.6</v>
      </c>
      <c r="S195" s="4">
        <f>INDEX(C_alpha_beta[],MATCH(HC[[#This Row],[Solo]],C_alpha_beta[Solo],0),MATCH(HC[[#Headers],[β ESF]],C_alpha_beta[#Headers],0))</f>
        <v>0.65</v>
      </c>
      <c r="T195" s="4">
        <f>IF(HC[[#This Row],[Prof. (m)]]=0,0,10*(HC[[#This Row],[NSPT]]/3+1))</f>
        <v>43.333333333333343</v>
      </c>
      <c r="U195" s="4">
        <f>(HC[[#This Row],[α ESF]]*HC[[#This Row],[C (kPa)]]*HC[[#This Row],[NSPT]]*HC[[#This Row],[Ap (m²)]])/'DADOS CAP. CARGA'!$Q$2+(HC[[#This Row],[β ESF]]*SUMIFS(HC[10∙(NL/3+1)],HC[Prof. (m)],"&lt;="&amp;HC[[#This Row],[Prof. (m)]],HC[idDiâmetro],HC[[#This Row],[idDiâmetro]],HC[idPilar],HC[[#This Row],[idPilar]])*HC[[#This Row],[U (m)]])/'DADOS CAP. CARGA'!$S$2</f>
        <v>302.06413364265859</v>
      </c>
      <c r="V195" s="4">
        <f>IF(SPT!$M$5=1,MIN(HC[[#This Row],[Pe HC (kN)]],HC[[#This Row],[R_AV (kN)]]),IF(SPT!$M$5=2,MIN(HC[[#This Row],[Pe HC (kN)]],HC[[#This Row],[R_DC (kN)]]),MIN(HC[[#This Row],[Pe HC (kN)]],HC[[#This Row],[R_AV (kN)]],HC[[#This Row],[R_DC (kN)]])))</f>
        <v>302.06413364265859</v>
      </c>
      <c r="W195" s="4">
        <f>INDEX(PILARES[],HC[[#This Row],[idPilar]],MATCH("Carga (kN)",PILARES[#Headers],0))*1.4</f>
        <v>1750</v>
      </c>
      <c r="X195" s="12">
        <f>INDEX(PILARES[],HC[[#This Row],[idPilar]],MATCH(HC[[#Headers],[ap (cm)]],PILARES[#Headers],0))</f>
        <v>50</v>
      </c>
      <c r="Y195" s="12">
        <f>INDEX(PILARES[],HC[[#This Row],[idPilar]],MATCH(HC[[#Headers],[bp (cm)]],PILARES[#Headers],0))</f>
        <v>40</v>
      </c>
      <c r="Z195" s="4">
        <f>SQRT(HC[[#This Row],[ap (cm)]]*HC[[#This Row],[bp (cm)]])</f>
        <v>44.721359549995796</v>
      </c>
      <c r="AA195" s="12">
        <f>HC[[#This Row],[ap (cm)]]*HC[[#This Row],[bp (cm)]]</f>
        <v>2000</v>
      </c>
      <c r="AB195" s="12">
        <f ca="1">IF(HC[[#This Row],[Padm∙ε (kN)]]&gt;=HC[[#This Row],[Padm (kN)]],ROUNDUP(1.05*HC[[#This Row],[Nsd (kN)]]/HC[[#This Row],[Padm (kN)]],0),ROUNDUP(1.05*HC[[#This Row],[Nsd (kN)]]/HC[[#This Row],[Padm (kN)]],0)+1)</f>
        <v>7</v>
      </c>
      <c r="AC195" s="4" t="str">
        <f ca="1">IFERROR(IF(HC[[#This Row],[nE]]=1,HC[[#This Row],[Padm (kN)]],HC[[#This Row],[Padm (kN)]]*HC[[#This Row],[nE]]*INDEX(grupoEstacas[],HC[[#This Row],[nE]],MATCH("ε",grupoEstacas[#Headers],0))),"N.S.")</f>
        <v>N.S.</v>
      </c>
      <c r="AD195" s="4">
        <f ca="1">1.05*HC[[#This Row],[Nsd (kN)]]/(HC[[#This Row],[nE]]*PI()*HC[[#This Row],[Ø (cm)]]^2/4)*10</f>
        <v>0.92840383470272281</v>
      </c>
      <c r="AE195" s="4">
        <f ca="1">IF(HC[[#This Row],[σ (MPa)]]&lt;INDEX(tipoEstaca[],MATCH($D$2,tipoEstaca[TIPO DE ESTACA],0),MATCH("σmáx (MPa)",tipoEstaca[#Headers],0)),0.4%*PI()*HC[[#This Row],[Ø (cm)]]^2/4,"N.S.")</f>
        <v>11.309733552923255</v>
      </c>
      <c r="AF195" s="1">
        <f>INDEX(tipoEstaca[],MATCH($D$2,tipoEstaca[TIPO DE ESTACA],0),MATCH(HC[[#Headers],[Comprimento (m)]],tipoEstaca[#Headers],0))</f>
        <v>4</v>
      </c>
      <c r="AG195" s="5">
        <f ca="1">HC[[#This Row],[As,mín (cm²)]]/100^2*HC[[#This Row],[Comprimento (m)]]*7850</f>
        <v>35.512563356179022</v>
      </c>
      <c r="AH195" s="4">
        <f ca="1">HC[[#This Row],[nE]]*HC[[#This Row],[Prof. (m)]]*HC[[#This Row],[Ap (m²)]]</f>
        <v>15.833626974092558</v>
      </c>
      <c r="AI195" s="1">
        <f ca="1">IF(HC[[#This Row],[nE]]=1,0,MAX(3*HC[[#This Row],[Ø (cm)]],60))</f>
        <v>180</v>
      </c>
      <c r="AJ195" s="1">
        <f ca="1">IF(HC[[#This Row],[nE]]=1,HC[[#This Row],[Ø (cm)]]+2*10,MAX(1.5*HC[[#This Row],[Ø (cm)]],HC[[#This Row],[Ø (cm)]]+15))</f>
        <v>90</v>
      </c>
      <c r="AK195" s="1" t="str">
        <f ca="1">alturaUtil(HC[[#This Row],[nE]],HC[[#This Row],[Ø (cm)]],HC[[#This Row],[e (cm)]],HC[[#This Row],[ap,eq (cm)]])</f>
        <v>N.S.</v>
      </c>
      <c r="AL195" s="1" t="str">
        <f ca="1">IFERROR(HC[[#This Row],[d (cm)]]+arredondarParaCimaMultiplo5cm(MAX(5,SQRT(PI())/2*HC[[#This Row],[Ø (cm)]]/5)),"N.S.")</f>
        <v>N.S.</v>
      </c>
      <c r="AM195" s="5" t="str">
        <f ca="1">alpha(HC[[#This Row],[nE]],HC[[#This Row],[d (cm)]],HC[[#This Row],[e (cm)]],HC[[#This Row],[ap,eq (cm)]])</f>
        <v>N.S.</v>
      </c>
      <c r="AN195" s="35" t="str">
        <f ca="1">IFERROR(HC[[#This Row],[Nsd (kN)]]/(HC[[#This Row],[Ap (cm²)]]*SIN(HC[[#This Row],[α]])^2),"N.S.")</f>
        <v>N.S.</v>
      </c>
      <c r="AO195" s="35" t="str">
        <f ca="1">IFERROR(HC[[#This Row],[Nsd (kN)]]/(HC[[#This Row],[nE]]*PI()*HC[[#This Row],[Ø (cm)]]^2/4*SIN(HC[[#This Row],[α]])^2),"N.S.")</f>
        <v>N.S.</v>
      </c>
      <c r="AP195" s="4" t="str">
        <f ca="1">IFERROR(INDEX(grupoEstacas[],HC[[#This Row],[nE]],MATCH("coef. Blévot",grupoEstacas[#Headers],0)),"N.S.")</f>
        <v>N.S.</v>
      </c>
      <c r="AQ195" s="35" t="str">
        <f ca="1">IFERROR(HC[[#This Row],[coef. Blévot]]*0.9*INDEX(tipoEstaca[],MATCH($D$2,tipoEstaca[TIPO DE ESTACA],0),MATCH("fcd (kN/cm²)",tipoEstaca[#Headers],0)),"N.S.")</f>
        <v>N.S.</v>
      </c>
      <c r="AR195" s="1" t="str">
        <f ca="1">IF(AND(HC[[#This Row],[cd,b,pil (kN/cm²)]]&lt;=HC[[#This Row],[cd,b,lim (kN/cm²)]],HC[[#This Row],[cd,b,est (kN/cm²)]]&lt;=HC[[#This Row],[cd,b,lim (kN/cm²)]]),"OK","ERRO")</f>
        <v>OK</v>
      </c>
      <c r="AS195" s="4" t="str">
        <f ca="1">As_lado(HC[[#This Row],[nE]],HC[[#This Row],[Nsd (kN)]],HC[[#This Row],[d (cm)]],HC[[#This Row],[e (cm)]],HC[[#This Row],[ap,eq (cm)]])</f>
        <v>N.S.</v>
      </c>
      <c r="AT195" s="4" t="str">
        <f ca="1">IF(HC[[#This Row],[nE]]=1,HC[[#This Row],[As,lado (cm²)]],IF(HC[[#This Row],[nE]]=2,0.075*2*HC[a (cm)],"N.A."))</f>
        <v>N.A.</v>
      </c>
      <c r="AU195" s="4" t="str">
        <f ca="1">IFERROR(IF(HC[[#This Row],[nE]]=1,"N.A.",0.2*HC[[#This Row],[As,lado (cm²)]]),"N.S.")</f>
        <v>N.S.</v>
      </c>
      <c r="AV195" s="4" t="str">
        <f ca="1">As_malha(HC[[#This Row],[nE]],HC[[#This Row],[As,lado (cm²)]],HC[[#This Row],[Nsd (kN)]])</f>
        <v>N.S.</v>
      </c>
      <c r="AW195" s="4" t="str">
        <f ca="1">As_susp_tot(HC[[#This Row],[nE]],HC[[#This Row],[Nsd (kN)]])</f>
        <v>N.S.</v>
      </c>
      <c r="AX195" s="4" t="str">
        <f ca="1">Asp_face(HC[[#This Row],[nE]],HC[[#This Row],[As,lado (cm²)]])</f>
        <v>N.S.</v>
      </c>
      <c r="AY195" s="5" t="str">
        <f ca="1">acoBloco(HC[[#This Row],[nE]],HC[[#This Row],[e (cm)]],HC[[#This Row],[a (cm)]],HC[[#This Row],[h (cm)]],HC[[#This Row],[As,lado (cm²)]],HC[[#This Row],[Asp e Asw (cm²/m)]],HC[[#This Row],[As,sup (cm²)]],HC[[#This Row],[As,malha (cm²)]],HC[[#This Row],[As,susp,tot (cm²)]],HC[[#This Row],[Asp,face (cm²)]])</f>
        <v>N.S.</v>
      </c>
      <c r="AZ195" s="4" t="str">
        <f ca="1">concretoBloco(HC[[#This Row],[nE]],HC[[#This Row],[e (cm)]],HC[[#This Row],[a (cm)]],HC[[#This Row],[h (cm)]])</f>
        <v>N.S.</v>
      </c>
      <c r="BA195" s="5">
        <f ca="1">SUM(HC[[#This Row],[Aço Est (kg)]],HC[[#This Row],[Aço Bloco (kg)]])</f>
        <v>35.512563356179022</v>
      </c>
      <c r="BB195" s="4">
        <f>INDEX(composicoes[],MATCH(95580,composicoes[CÓDIGO],0),MATCH("CUSTO TOTAL",composicoes[#Headers],0))</f>
        <v>10.46</v>
      </c>
      <c r="BC195" s="4">
        <f ca="1">SUM(HC[[#This Row],[Conc Est (m³)]],HC[[#This Row],[Conc Bloco (m³)]])</f>
        <v>15.833626974092558</v>
      </c>
      <c r="BD195" s="4">
        <f>INDEX(composicoes[],MATCH(94966,composicoes[CÓDIGO],0),MATCH("CUSTO TOTAL",composicoes[#Headers],0))</f>
        <v>439.52</v>
      </c>
      <c r="BE195" s="38">
        <f ca="1">HC[[#This Row],[Aço (kg)]]*HC[[#This Row],[Aço (R$/kg)]]+HC[[#This Row],[Conc (m³)]]*HC[[#This Row],[Conc (R$/m³)]]</f>
        <v>7330.6571403587941</v>
      </c>
      <c r="BF195" s="4" t="str">
        <f ca="1">IF(COUNTIF(HC[#This Row],"N.S.")&gt;0,"lim.","OK")</f>
        <v>lim.</v>
      </c>
      <c r="BG195" s="4" t="str">
        <f>IF(HC[[#This Row],[Prof. (m)]]&lt;4,"lim.","OK")</f>
        <v>OK</v>
      </c>
      <c r="BH195" s="4" t="str">
        <f>IF(HC[[#This Row],[Prof. (m)]]&gt;=8*HC[[#This Row],[Ø (cm)]]/100,"OK","lim.")</f>
        <v>OK</v>
      </c>
      <c r="BI195" s="4" t="str">
        <f ca="1">IF(HC[[#This Row],[Verif. Biela]]="OK","OK","lim.")</f>
        <v>OK</v>
      </c>
      <c r="BJ195" s="4" t="str">
        <f ca="1">IF(COUNTA(HC[[#This Row],[Nº Est.]:[Biela comp.]])=COUNTIF(HC[[#This Row],[Nº Est.]:[Biela comp.]],"OK"),"OK","lim.")</f>
        <v>lim.</v>
      </c>
      <c r="BK195" s="4" t="str">
        <f ca="1">IF(HC[[#This Row],[Controle]]="OK",HC[[#This Row],[nE]]&amp;" Ø"&amp;HC[[#This Row],[Ø (cm)]]&amp;"cm Prof. "&amp;HC[[#This Row],[Prof. (m)]]&amp;" m","")</f>
        <v/>
      </c>
      <c r="BL195" s="4" t="str">
        <f ca="1">IF(HC[[#This Row],[idDimensionamento]]="","",HC[[#This Row],[idPilar]]&amp;HC[[#This Row],[idDimensionamento]])</f>
        <v/>
      </c>
    </row>
    <row r="196" spans="2:64" x14ac:dyDescent="0.25">
      <c r="B196" s="12">
        <f>ROUNDUP((ROW(HC[[#This Row],[idDiâmetro]])-ROW(HC[[#Headers],[idDiâmetro]]))/(COUNT(SPT[Prof. (m)])*COUNT(PILARES[Pilar])),0)</f>
        <v>7</v>
      </c>
      <c r="C196" s="12">
        <f>IF(HC[[#This Row],[idDiâmetro]]&lt;&gt;B195,1,IF(HC[[#This Row],[Prof. (m)]]=0,C195+1,C195))</f>
        <v>2</v>
      </c>
      <c r="D196" s="1">
        <f>IFERROR(IF(D195=MAX(SPT[Prof. (m)]),0,D195+1),0)</f>
        <v>9</v>
      </c>
      <c r="E196" s="1">
        <f>INDEX(SPT[],MATCH(HC[[#This Row],[Prof. (m)]],SPT[Prof. (m)],0),2)</f>
        <v>26</v>
      </c>
      <c r="F196" s="1" t="str">
        <f>INDEX(SPT[],MATCH(HC[[#This Row],[Prof. (m)]],SPT[Prof. (m)],0),3)</f>
        <v>Areia siltosa</v>
      </c>
      <c r="G196" s="1">
        <f>INDEX(estacas[],HC[[#This Row],[idDiâmetro]],MATCH($B$2,estacas[#Headers],0))</f>
        <v>60</v>
      </c>
      <c r="H196" s="1">
        <f>INDEX(estacas[],MATCH(HC[[#This Row],[Ø (cm)]],estacas[Ø HC (cm)],0),MATCH(HC[[#Headers],[Pe HC (kN)]],estacas[#Headers],0))</f>
        <v>1800</v>
      </c>
      <c r="I196" s="4">
        <f>INDEX(K_alpha_C[],MATCH(HC[[#This Row],[Solo]],K_alpha_C[Solo],0),2)</f>
        <v>0.8</v>
      </c>
      <c r="J196" s="5">
        <f>INDEX(K_alpha_C[],MATCH(HC[[#This Row],[Solo]],K_alpha_C[Solo],0),3)</f>
        <v>2</v>
      </c>
      <c r="K196" s="4">
        <f>INDEX(F1_F2[],MATCH($D$2,F1_F2[Tipo de estaca],0),2)</f>
        <v>2</v>
      </c>
      <c r="L196" s="4">
        <f>INDEX(F1_F2[],MATCH($D$2,F1_F2[Tipo de estaca],0),3)</f>
        <v>4</v>
      </c>
      <c r="M196" s="4">
        <f>PI()*(HC[[#This Row],[Ø (cm)]]/100)^2/4</f>
        <v>0.28274333882308139</v>
      </c>
      <c r="N196" s="4">
        <f>PI()*HC[[#This Row],[Ø (cm)]]/100</f>
        <v>1.8849555921538756</v>
      </c>
      <c r="O196" s="4">
        <f>IF(HC[[#This Row],[Prof. (m)]]=0,0,HC[[#This Row],[α (%)]]/100*HC[[#This Row],[K (MPa)]]*1000*HC[[#This Row],[NSPT]])</f>
        <v>416</v>
      </c>
      <c r="P196" s="4">
        <f>IF(HC[[#This Row],[Prof. (m)]]=0,0,(HC[[#This Row],[K (MPa)]]*1000*HC[[#This Row],[NSPT]]/HC[[#This Row],[F1]]*HC[[#This Row],[Ap (m²)]]+HC[[#This Row],[U (m)]]/HC[[#This Row],[F2]]*SUMIFS(HC[(α∙K∙NL∙ΔL)],HC[Prof. (m)],"&lt;="&amp;HC[[#This Row],[Prof. (m)]],HC[idDiâmetro],HC[[#This Row],[idDiâmetro]],HC[idPilar],HC[[#This Row],[idPilar]]))/'DADOS CAP. CARGA'!$D$2)</f>
        <v>1803.8789397463572</v>
      </c>
      <c r="Q196" s="12">
        <f>INDEX(C_alpha_beta[],MATCH(HC[[#This Row],[Solo]],C_alpha_beta[Solo],0),MATCH(HC[[#Headers],[C (kPa)]],C_alpha_beta[#Headers],0))</f>
        <v>400</v>
      </c>
      <c r="R196" s="4">
        <f>INDEX(C_alpha_beta[],MATCH(HC[[#This Row],[Solo]],C_alpha_beta[Solo],0),MATCH(HC[[#Headers],[α ESF]],C_alpha_beta[#Headers],0))</f>
        <v>0.5</v>
      </c>
      <c r="S196" s="4">
        <f>INDEX(C_alpha_beta[],MATCH(HC[[#This Row],[Solo]],C_alpha_beta[Solo],0),MATCH(HC[[#Headers],[β ESF]],C_alpha_beta[#Headers],0))</f>
        <v>0.5</v>
      </c>
      <c r="T196" s="4">
        <f>IF(HC[[#This Row],[Prof. (m)]]=0,0,10*(HC[[#This Row],[NSPT]]/3+1))</f>
        <v>96.666666666666657</v>
      </c>
      <c r="U196" s="4">
        <f>(HC[[#This Row],[α ESF]]*HC[[#This Row],[C (kPa)]]*HC[[#This Row],[NSPT]]*HC[[#This Row],[Ap (m²)]])/'DADOS CAP. CARGA'!$Q$2+(HC[[#This Row],[β ESF]]*SUMIFS(HC[10∙(NL/3+1)],HC[Prof. (m)],"&lt;="&amp;HC[[#This Row],[Prof. (m)]],HC[idDiâmetro],HC[[#This Row],[idDiâmetro]],HC[idPilar],HC[[#This Row],[idPilar]])*HC[[#This Row],[U (m)]])/'DADOS CAP. CARGA'!$S$2</f>
        <v>563.91588131936783</v>
      </c>
      <c r="V196" s="4">
        <f>IF(SPT!$M$5=1,MIN(HC[[#This Row],[Pe HC (kN)]],HC[[#This Row],[R_AV (kN)]]),IF(SPT!$M$5=2,MIN(HC[[#This Row],[Pe HC (kN)]],HC[[#This Row],[R_DC (kN)]]),MIN(HC[[#This Row],[Pe HC (kN)]],HC[[#This Row],[R_AV (kN)]],HC[[#This Row],[R_DC (kN)]])))</f>
        <v>563.91588131936783</v>
      </c>
      <c r="W196" s="4">
        <f>INDEX(PILARES[],HC[[#This Row],[idPilar]],MATCH("Carga (kN)",PILARES[#Headers],0))*1.4</f>
        <v>1750</v>
      </c>
      <c r="X196" s="12">
        <f>INDEX(PILARES[],HC[[#This Row],[idPilar]],MATCH(HC[[#Headers],[ap (cm)]],PILARES[#Headers],0))</f>
        <v>50</v>
      </c>
      <c r="Y196" s="12">
        <f>INDEX(PILARES[],HC[[#This Row],[idPilar]],MATCH(HC[[#Headers],[bp (cm)]],PILARES[#Headers],0))</f>
        <v>40</v>
      </c>
      <c r="Z196" s="4">
        <f>SQRT(HC[[#This Row],[ap (cm)]]*HC[[#This Row],[bp (cm)]])</f>
        <v>44.721359549995796</v>
      </c>
      <c r="AA196" s="12">
        <f>HC[[#This Row],[ap (cm)]]*HC[[#This Row],[bp (cm)]]</f>
        <v>2000</v>
      </c>
      <c r="AB196" s="12">
        <f ca="1">IF(HC[[#This Row],[Padm∙ε (kN)]]&gt;=HC[[#This Row],[Padm (kN)]],ROUNDUP(1.05*HC[[#This Row],[Nsd (kN)]]/HC[[#This Row],[Padm (kN)]],0),ROUNDUP(1.05*HC[[#This Row],[Nsd (kN)]]/HC[[#This Row],[Padm (kN)]],0)+1)</f>
        <v>4</v>
      </c>
      <c r="AC196" s="4">
        <f ca="1">IFERROR(IF(HC[[#This Row],[nE]]=1,HC[[#This Row],[Padm (kN)]],HC[[#This Row],[Padm (kN)]]*HC[[#This Row],[nE]]*INDEX(grupoEstacas[],HC[[#This Row],[nE]],MATCH("ε",grupoEstacas[#Headers],0))),"N.S.")</f>
        <v>1832.7266142879455</v>
      </c>
      <c r="AD196" s="4">
        <f ca="1">1.05*HC[[#This Row],[Nsd (kN)]]/(HC[[#This Row],[nE]]*PI()*HC[[#This Row],[Ø (cm)]]^2/4)*10</f>
        <v>1.624706710729765</v>
      </c>
      <c r="AE196" s="4">
        <f ca="1">IF(HC[[#This Row],[σ (MPa)]]&lt;INDEX(tipoEstaca[],MATCH($D$2,tipoEstaca[TIPO DE ESTACA],0),MATCH("σmáx (MPa)",tipoEstaca[#Headers],0)),0.4%*PI()*HC[[#This Row],[Ø (cm)]]^2/4,"N.S.")</f>
        <v>11.309733552923255</v>
      </c>
      <c r="AF196" s="1">
        <f>INDEX(tipoEstaca[],MATCH($D$2,tipoEstaca[TIPO DE ESTACA],0),MATCH(HC[[#Headers],[Comprimento (m)]],tipoEstaca[#Headers],0))</f>
        <v>4</v>
      </c>
      <c r="AG196" s="5">
        <f ca="1">HC[[#This Row],[As,mín (cm²)]]/100^2*HC[[#This Row],[Comprimento (m)]]*7850</f>
        <v>35.512563356179022</v>
      </c>
      <c r="AH196" s="4">
        <f ca="1">HC[[#This Row],[nE]]*HC[[#This Row],[Prof. (m)]]*HC[[#This Row],[Ap (m²)]]</f>
        <v>10.178760197630931</v>
      </c>
      <c r="AI196" s="1">
        <f ca="1">IF(HC[[#This Row],[nE]]=1,0,MAX(3*HC[[#This Row],[Ø (cm)]],60))</f>
        <v>180</v>
      </c>
      <c r="AJ196" s="1">
        <f ca="1">IF(HC[[#This Row],[nE]]=1,HC[[#This Row],[Ø (cm)]]+2*10,MAX(1.5*HC[[#This Row],[Ø (cm)]],HC[[#This Row],[Ø (cm)]]+15))</f>
        <v>90</v>
      </c>
      <c r="AK196" s="1">
        <f ca="1">alturaUtil(HC[[#This Row],[nE]],HC[[#This Row],[Ø (cm)]],HC[[#This Row],[e (cm)]],HC[[#This Row],[ap,eq (cm)]])</f>
        <v>80</v>
      </c>
      <c r="AL196" s="1">
        <f ca="1">IFERROR(HC[[#This Row],[d (cm)]]+arredondarParaCimaMultiplo5cm(MAX(5,SQRT(PI())/2*HC[[#This Row],[Ø (cm)]]/5)),"N.S.")</f>
        <v>95</v>
      </c>
      <c r="AM196" s="5">
        <f ca="1">alpha(HC[[#This Row],[nE]],HC[[#This Row],[d (cm)]],HC[[#This Row],[e (cm)]],HC[[#This Row],[ap,eq (cm)]])</f>
        <v>45.425811570240704</v>
      </c>
      <c r="AN196" s="35">
        <f ca="1">IFERROR(HC[[#This Row],[Nsd (kN)]]/(HC[[#This Row],[Ap (cm²)]]*SIN(HC[[#This Row],[α]])^2),"N.S.")</f>
        <v>0.88933011875433565</v>
      </c>
      <c r="AO196" s="35">
        <f ca="1">IFERROR(HC[[#This Row],[Nsd (kN)]]/(HC[[#This Row],[nE]]*PI()*HC[[#This Row],[Ø (cm)]]^2/4*SIN(HC[[#This Row],[α]])^2),"N.S.")</f>
        <v>0.15726809382250537</v>
      </c>
      <c r="AP196" s="4">
        <f ca="1">IFERROR(INDEX(grupoEstacas[],HC[[#This Row],[nE]],MATCH("coef. Blévot",grupoEstacas[#Headers],0)),"N.S.")</f>
        <v>2.1</v>
      </c>
      <c r="AQ196" s="35">
        <f ca="1">IFERROR(HC[[#This Row],[coef. Blévot]]*0.9*INDEX(tipoEstaca[],MATCH($D$2,tipoEstaca[TIPO DE ESTACA],0),MATCH("fcd (kN/cm²)",tipoEstaca[#Headers],0)),"N.S.")</f>
        <v>2.1</v>
      </c>
      <c r="AR196" s="1" t="str">
        <f ca="1">IF(AND(HC[[#This Row],[cd,b,pil (kN/cm²)]]&lt;=HC[[#This Row],[cd,b,lim (kN/cm²)]],HC[[#This Row],[cd,b,est (kN/cm²)]]&lt;=HC[[#This Row],[cd,b,lim (kN/cm²)]]),"OK","ERRO")</f>
        <v>OK</v>
      </c>
      <c r="AS196" s="4">
        <f ca="1">As_lado(HC[[#This Row],[nE]],HC[[#This Row],[Nsd (kN)]],HC[[#This Row],[d (cm)]],HC[[#This Row],[e (cm)]],HC[[#This Row],[ap,eq (cm)]])</f>
        <v>9.9140353735255218</v>
      </c>
      <c r="AT196" s="4" t="str">
        <f ca="1">IF(HC[[#This Row],[nE]]=1,HC[[#This Row],[As,lado (cm²)]],IF(HC[[#This Row],[nE]]=2,0.075*2*HC[a (cm)],"N.A."))</f>
        <v>N.A.</v>
      </c>
      <c r="AU196" s="4">
        <f ca="1">IFERROR(IF(HC[[#This Row],[nE]]=1,"N.A.",0.2*HC[[#This Row],[As,lado (cm²)]]),"N.S.")</f>
        <v>1.9828070747051045</v>
      </c>
      <c r="AV196" s="4">
        <f ca="1">As_malha(HC[[#This Row],[nE]],HC[[#This Row],[As,lado (cm²)]],HC[[#This Row],[Nsd (kN)]])</f>
        <v>1.9828070747051045</v>
      </c>
      <c r="AW196" s="4">
        <f ca="1">As_susp_tot(HC[[#This Row],[nE]],HC[[#This Row],[Nsd (kN)]])</f>
        <v>6.708333333333333</v>
      </c>
      <c r="AX196" s="4">
        <f ca="1">Asp_face(HC[[#This Row],[nE]],HC[[#This Row],[As,lado (cm²)]])</f>
        <v>4.9570176867627609</v>
      </c>
      <c r="AY196" s="5">
        <f ca="1">acoBloco(HC[[#This Row],[nE]],HC[[#This Row],[e (cm)]],HC[[#This Row],[a (cm)]],HC[[#This Row],[h (cm)]],HC[[#This Row],[As,lado (cm²)]],HC[[#This Row],[Asp e Asw (cm²/m)]],HC[[#This Row],[As,sup (cm²)]],HC[[#This Row],[As,malha (cm²)]],HC[[#This Row],[As,susp,tot (cm²)]],HC[[#This Row],[Asp,face (cm²)]])</f>
        <v>206.72560013553183</v>
      </c>
      <c r="AZ196" s="4">
        <f ca="1">concretoBloco(HC[[#This Row],[nE]],HC[[#This Row],[e (cm)]],HC[[#This Row],[a (cm)]],HC[[#This Row],[h (cm)]])</f>
        <v>12.311999999999999</v>
      </c>
      <c r="BA196" s="5">
        <f ca="1">SUM(HC[[#This Row],[Aço Est (kg)]],HC[[#This Row],[Aço Bloco (kg)]])</f>
        <v>242.23816349171085</v>
      </c>
      <c r="BB196" s="4">
        <f>INDEX(composicoes[],MATCH(95580,composicoes[CÓDIGO],0),MATCH("CUSTO TOTAL",composicoes[#Headers],0))</f>
        <v>10.46</v>
      </c>
      <c r="BC196" s="4">
        <f ca="1">SUM(HC[[#This Row],[Conc Est (m³)]],HC[[#This Row],[Conc Bloco (m³)]])</f>
        <v>22.49076019763093</v>
      </c>
      <c r="BD196" s="4">
        <f>INDEX(composicoes[],MATCH(94966,composicoes[CÓDIGO],0),MATCH("CUSTO TOTAL",composicoes[#Headers],0))</f>
        <v>439.52</v>
      </c>
      <c r="BE196" s="38">
        <f ca="1">HC[[#This Row],[Aço (kg)]]*HC[[#This Row],[Aço (R$/kg)]]+HC[[#This Row],[Conc (m³)]]*HC[[#This Row],[Conc (R$/m³)]]</f>
        <v>12418.950112186041</v>
      </c>
      <c r="BF196" s="4" t="str">
        <f ca="1">IF(COUNTIF(HC[#This Row],"N.S.")&gt;0,"lim.","OK")</f>
        <v>OK</v>
      </c>
      <c r="BG196" s="4" t="str">
        <f>IF(HC[[#This Row],[Prof. (m)]]&lt;4,"lim.","OK")</f>
        <v>OK</v>
      </c>
      <c r="BH196" s="4" t="str">
        <f>IF(HC[[#This Row],[Prof. (m)]]&gt;=8*HC[[#This Row],[Ø (cm)]]/100,"OK","lim.")</f>
        <v>OK</v>
      </c>
      <c r="BI196" s="4" t="str">
        <f ca="1">IF(HC[[#This Row],[Verif. Biela]]="OK","OK","lim.")</f>
        <v>OK</v>
      </c>
      <c r="BJ196" s="4" t="str">
        <f ca="1">IF(COUNTA(HC[[#This Row],[Nº Est.]:[Biela comp.]])=COUNTIF(HC[[#This Row],[Nº Est.]:[Biela comp.]],"OK"),"OK","lim.")</f>
        <v>OK</v>
      </c>
      <c r="BK196" s="4" t="str">
        <f ca="1">IF(HC[[#This Row],[Controle]]="OK",HC[[#This Row],[nE]]&amp;" Ø"&amp;HC[[#This Row],[Ø (cm)]]&amp;"cm Prof. "&amp;HC[[#This Row],[Prof. (m)]]&amp;" m","")</f>
        <v>4 Ø60cm Prof. 9 m</v>
      </c>
      <c r="BL196" s="4" t="str">
        <f ca="1">IF(HC[[#This Row],[idDimensionamento]]="","",HC[[#This Row],[idPilar]]&amp;HC[[#This Row],[idDimensionamento]])</f>
        <v>24 Ø60cm Prof. 9 m</v>
      </c>
    </row>
    <row r="197" spans="2:64" x14ac:dyDescent="0.25">
      <c r="B197" s="12">
        <f>ROUNDUP((ROW(HC[[#This Row],[idDiâmetro]])-ROW(HC[[#Headers],[idDiâmetro]]))/(COUNT(SPT[Prof. (m)])*COUNT(PILARES[Pilar])),0)</f>
        <v>7</v>
      </c>
      <c r="C197" s="12">
        <f>IF(HC[[#This Row],[idDiâmetro]]&lt;&gt;B196,1,IF(HC[[#This Row],[Prof. (m)]]=0,C196+1,C196))</f>
        <v>2</v>
      </c>
      <c r="D197" s="1">
        <f>IFERROR(IF(D196=MAX(SPT[Prof. (m)]),0,D196+1),0)</f>
        <v>10</v>
      </c>
      <c r="E197" s="1">
        <f>INDEX(SPT[],MATCH(HC[[#This Row],[Prof. (m)]],SPT[Prof. (m)],0),2)</f>
        <v>32</v>
      </c>
      <c r="F197" s="1" t="str">
        <f>INDEX(SPT[],MATCH(HC[[#This Row],[Prof. (m)]],SPT[Prof. (m)],0),3)</f>
        <v>Areia siltosa</v>
      </c>
      <c r="G197" s="1">
        <f>INDEX(estacas[],HC[[#This Row],[idDiâmetro]],MATCH($B$2,estacas[#Headers],0))</f>
        <v>60</v>
      </c>
      <c r="H197" s="1">
        <f>INDEX(estacas[],MATCH(HC[[#This Row],[Ø (cm)]],estacas[Ø HC (cm)],0),MATCH(HC[[#Headers],[Pe HC (kN)]],estacas[#Headers],0))</f>
        <v>1800</v>
      </c>
      <c r="I197" s="4">
        <f>INDEX(K_alpha_C[],MATCH(HC[[#This Row],[Solo]],K_alpha_C[Solo],0),2)</f>
        <v>0.8</v>
      </c>
      <c r="J197" s="5">
        <f>INDEX(K_alpha_C[],MATCH(HC[[#This Row],[Solo]],K_alpha_C[Solo],0),3)</f>
        <v>2</v>
      </c>
      <c r="K197" s="4">
        <f>INDEX(F1_F2[],MATCH($D$2,F1_F2[Tipo de estaca],0),2)</f>
        <v>2</v>
      </c>
      <c r="L197" s="4">
        <f>INDEX(F1_F2[],MATCH($D$2,F1_F2[Tipo de estaca],0),3)</f>
        <v>4</v>
      </c>
      <c r="M197" s="4">
        <f>PI()*(HC[[#This Row],[Ø (cm)]]/100)^2/4</f>
        <v>0.28274333882308139</v>
      </c>
      <c r="N197" s="4">
        <f>PI()*HC[[#This Row],[Ø (cm)]]/100</f>
        <v>1.8849555921538756</v>
      </c>
      <c r="O197" s="4">
        <f>IF(HC[[#This Row],[Prof. (m)]]=0,0,HC[[#This Row],[α (%)]]/100*HC[[#This Row],[K (MPa)]]*1000*HC[[#This Row],[NSPT]])</f>
        <v>512</v>
      </c>
      <c r="P197" s="4">
        <f>IF(HC[[#This Row],[Prof. (m)]]=0,0,(HC[[#This Row],[K (MPa)]]*1000*HC[[#This Row],[NSPT]]/HC[[#This Row],[F1]]*HC[[#This Row],[Ap (m²)]]+HC[[#This Row],[U (m)]]/HC[[#This Row],[F2]]*SUMIFS(HC[(α∙K∙NL∙ΔL)],HC[Prof. (m)],"&lt;="&amp;HC[[#This Row],[Prof. (m)]],HC[idDiâmetro],HC[[#This Row],[idDiâmetro]],HC[idPilar],HC[[#This Row],[idPilar]]))/'DADOS CAP. CARGA'!$D$2)</f>
        <v>2263.8081042319031</v>
      </c>
      <c r="Q197" s="12">
        <f>INDEX(C_alpha_beta[],MATCH(HC[[#This Row],[Solo]],C_alpha_beta[Solo],0),MATCH(HC[[#Headers],[C (kPa)]],C_alpha_beta[#Headers],0))</f>
        <v>400</v>
      </c>
      <c r="R197" s="4">
        <f>INDEX(C_alpha_beta[],MATCH(HC[[#This Row],[Solo]],C_alpha_beta[Solo],0),MATCH(HC[[#Headers],[α ESF]],C_alpha_beta[#Headers],0))</f>
        <v>0.5</v>
      </c>
      <c r="S197" s="4">
        <f>INDEX(C_alpha_beta[],MATCH(HC[[#This Row],[Solo]],C_alpha_beta[Solo],0),MATCH(HC[[#Headers],[β ESF]],C_alpha_beta[#Headers],0))</f>
        <v>0.5</v>
      </c>
      <c r="T197" s="4">
        <f>IF(HC[[#This Row],[Prof. (m)]]=0,0,10*(HC[[#This Row],[NSPT]]/3+1))</f>
        <v>116.66666666666666</v>
      </c>
      <c r="U197" s="4">
        <f>(HC[[#This Row],[α ESF]]*HC[[#This Row],[C (kPa)]]*HC[[#This Row],[NSPT]]*HC[[#This Row],[Ap (m²)]])/'DADOS CAP. CARGA'!$Q$2+(HC[[#This Row],[β ESF]]*SUMIFS(HC[10∙(NL/3+1)],HC[Prof. (m)],"&lt;="&amp;HC[[#This Row],[Prof. (m)]],HC[idDiâmetro],HC[[#This Row],[idDiâmetro]],HC[idPilar],HC[[#This Row],[idPilar]])*HC[[#This Row],[U (m)]])/'DADOS CAP. CARGA'!$S$2</f>
        <v>703.71675440411354</v>
      </c>
      <c r="V197" s="4">
        <f>IF(SPT!$M$5=1,MIN(HC[[#This Row],[Pe HC (kN)]],HC[[#This Row],[R_AV (kN)]]),IF(SPT!$M$5=2,MIN(HC[[#This Row],[Pe HC (kN)]],HC[[#This Row],[R_DC (kN)]]),MIN(HC[[#This Row],[Pe HC (kN)]],HC[[#This Row],[R_AV (kN)]],HC[[#This Row],[R_DC (kN)]])))</f>
        <v>703.71675440411354</v>
      </c>
      <c r="W197" s="4">
        <f>INDEX(PILARES[],HC[[#This Row],[idPilar]],MATCH("Carga (kN)",PILARES[#Headers],0))*1.4</f>
        <v>1750</v>
      </c>
      <c r="X197" s="12">
        <f>INDEX(PILARES[],HC[[#This Row],[idPilar]],MATCH(HC[[#Headers],[ap (cm)]],PILARES[#Headers],0))</f>
        <v>50</v>
      </c>
      <c r="Y197" s="12">
        <f>INDEX(PILARES[],HC[[#This Row],[idPilar]],MATCH(HC[[#Headers],[bp (cm)]],PILARES[#Headers],0))</f>
        <v>40</v>
      </c>
      <c r="Z197" s="4">
        <f>SQRT(HC[[#This Row],[ap (cm)]]*HC[[#This Row],[bp (cm)]])</f>
        <v>44.721359549995796</v>
      </c>
      <c r="AA197" s="12">
        <f>HC[[#This Row],[ap (cm)]]*HC[[#This Row],[bp (cm)]]</f>
        <v>2000</v>
      </c>
      <c r="AB197" s="12">
        <f ca="1">IF(HC[[#This Row],[Padm∙ε (kN)]]&gt;=HC[[#This Row],[Padm (kN)]],ROUNDUP(1.05*HC[[#This Row],[Nsd (kN)]]/HC[[#This Row],[Padm (kN)]],0),ROUNDUP(1.05*HC[[#This Row],[Nsd (kN)]]/HC[[#This Row],[Padm (kN)]],0)+1)</f>
        <v>3</v>
      </c>
      <c r="AC197" s="4">
        <f ca="1">IFERROR(IF(HC[[#This Row],[nE]]=1,HC[[#This Row],[Padm (kN)]],HC[[#This Row],[Padm (kN)]]*HC[[#This Row],[nE]]*INDEX(grupoEstacas[],HC[[#This Row],[nE]],MATCH("ε",grupoEstacas[#Headers],0))),"N.S.")</f>
        <v>1847.256480310798</v>
      </c>
      <c r="AD197" s="4">
        <f ca="1">1.05*HC[[#This Row],[Nsd (kN)]]/(HC[[#This Row],[nE]]*PI()*HC[[#This Row],[Ø (cm)]]^2/4)*10</f>
        <v>2.1662756143063531</v>
      </c>
      <c r="AE197" s="4">
        <f ca="1">IF(HC[[#This Row],[σ (MPa)]]&lt;INDEX(tipoEstaca[],MATCH($D$2,tipoEstaca[TIPO DE ESTACA],0),MATCH("σmáx (MPa)",tipoEstaca[#Headers],0)),0.4%*PI()*HC[[#This Row],[Ø (cm)]]^2/4,"N.S.")</f>
        <v>11.309733552923255</v>
      </c>
      <c r="AF197" s="1">
        <f>INDEX(tipoEstaca[],MATCH($D$2,tipoEstaca[TIPO DE ESTACA],0),MATCH(HC[[#Headers],[Comprimento (m)]],tipoEstaca[#Headers],0))</f>
        <v>4</v>
      </c>
      <c r="AG197" s="5">
        <f ca="1">HC[[#This Row],[As,mín (cm²)]]/100^2*HC[[#This Row],[Comprimento (m)]]*7850</f>
        <v>35.512563356179022</v>
      </c>
      <c r="AH197" s="4">
        <f ca="1">HC[[#This Row],[nE]]*HC[[#This Row],[Prof. (m)]]*HC[[#This Row],[Ap (m²)]]</f>
        <v>8.4823001646924414</v>
      </c>
      <c r="AI197" s="1">
        <f ca="1">IF(HC[[#This Row],[nE]]=1,0,MAX(3*HC[[#This Row],[Ø (cm)]],60))</f>
        <v>180</v>
      </c>
      <c r="AJ197" s="1">
        <f ca="1">IF(HC[[#This Row],[nE]]=1,HC[[#This Row],[Ø (cm)]]+2*10,MAX(1.5*HC[[#This Row],[Ø (cm)]],HC[[#This Row],[Ø (cm)]]+15))</f>
        <v>90</v>
      </c>
      <c r="AK197" s="1">
        <f ca="1">alturaUtil(HC[[#This Row],[nE]],HC[[#This Row],[Ø (cm)]],HC[[#This Row],[e (cm)]],HC[[#This Row],[ap,eq (cm)]])</f>
        <v>80</v>
      </c>
      <c r="AL197" s="1">
        <f ca="1">IFERROR(HC[[#This Row],[d (cm)]]+arredondarParaCimaMultiplo5cm(MAX(5,SQRT(PI())/2*HC[[#This Row],[Ø (cm)]]/5)),"N.S.")</f>
        <v>95</v>
      </c>
      <c r="AM197" s="5">
        <f ca="1">alpha(HC[[#This Row],[nE]],HC[[#This Row],[d (cm)]],HC[[#This Row],[e (cm)]],HC[[#This Row],[ap,eq (cm)]])</f>
        <v>46.249905541031318</v>
      </c>
      <c r="AN197" s="35">
        <f ca="1">IFERROR(HC[[#This Row],[Nsd (kN)]]/(HC[[#This Row],[Ap (cm²)]]*SIN(HC[[#This Row],[α]])^2),"N.S.")</f>
        <v>1.4877830731291637</v>
      </c>
      <c r="AO197" s="35">
        <f ca="1">IFERROR(HC[[#This Row],[Nsd (kN)]]/(HC[[#This Row],[nE]]*PI()*HC[[#This Row],[Ø (cm)]]^2/4*SIN(HC[[#This Row],[α]])^2),"N.S.")</f>
        <v>0.35079708198067733</v>
      </c>
      <c r="AP197" s="4">
        <f ca="1">IFERROR(INDEX(grupoEstacas[],HC[[#This Row],[nE]],MATCH("coef. Blévot",grupoEstacas[#Headers],0)),"N.S.")</f>
        <v>1.75</v>
      </c>
      <c r="AQ197" s="35">
        <f ca="1">IFERROR(HC[[#This Row],[coef. Blévot]]*0.9*INDEX(tipoEstaca[],MATCH($D$2,tipoEstaca[TIPO DE ESTACA],0),MATCH("fcd (kN/cm²)",tipoEstaca[#Headers],0)),"N.S.")</f>
        <v>1.75</v>
      </c>
      <c r="AR197" s="1" t="str">
        <f ca="1">IF(AND(HC[[#This Row],[cd,b,pil (kN/cm²)]]&lt;=HC[[#This Row],[cd,b,lim (kN/cm²)]],HC[[#This Row],[cd,b,est (kN/cm²)]]&lt;=HC[[#This Row],[cd,b,lim (kN/cm²)]]),"OK","ERRO")</f>
        <v>OK</v>
      </c>
      <c r="AS197" s="4">
        <f ca="1">As_lado(HC[[#This Row],[nE]],HC[[#This Row],[Nsd (kN)]],HC[[#This Row],[d (cm)]],HC[[#This Row],[e (cm)]],HC[[#This Row],[ap,eq (cm)]])</f>
        <v>8.7634368359595936</v>
      </c>
      <c r="AT197" s="4" t="str">
        <f ca="1">IF(HC[[#This Row],[nE]]=1,HC[[#This Row],[As,lado (cm²)]],IF(HC[[#This Row],[nE]]=2,0.075*2*HC[a (cm)],"N.A."))</f>
        <v>N.A.</v>
      </c>
      <c r="AU197" s="4">
        <f ca="1">IFERROR(IF(HC[[#This Row],[nE]]=1,"N.A.",0.2*HC[[#This Row],[As,lado (cm²)]]),"N.S.")</f>
        <v>1.7526873671919188</v>
      </c>
      <c r="AV197" s="4">
        <f ca="1">As_malha(HC[[#This Row],[nE]],HC[[#This Row],[As,lado (cm²)]],HC[[#This Row],[Nsd (kN)]])</f>
        <v>2.981481481481481</v>
      </c>
      <c r="AW197" s="4">
        <f ca="1">As_susp_tot(HC[[#This Row],[nE]],HC[[#This Row],[Nsd (kN)]])</f>
        <v>8.9444444444444429</v>
      </c>
      <c r="AX197" s="4">
        <f ca="1">Asp_face(HC[[#This Row],[nE]],HC[[#This Row],[As,lado (cm²)]])</f>
        <v>3.2862888134848474</v>
      </c>
      <c r="AY197" s="5">
        <f ca="1">acoBloco(HC[[#This Row],[nE]],HC[[#This Row],[e (cm)]],HC[[#This Row],[a (cm)]],HC[[#This Row],[h (cm)]],HC[[#This Row],[As,lado (cm²)]],HC[[#This Row],[Asp e Asw (cm²/m)]],HC[[#This Row],[As,sup (cm²)]],HC[[#This Row],[As,malha (cm²)]],HC[[#This Row],[As,susp,tot (cm²)]],HC[[#This Row],[Asp,face (cm²)]])</f>
        <v>156.35539524034374</v>
      </c>
      <c r="AZ197" s="4">
        <f ca="1">concretoBloco(HC[[#This Row],[nE]],HC[[#This Row],[e (cm)]],HC[[#This Row],[a (cm)]],HC[[#This Row],[h (cm)]])</f>
        <v>8.6154392892727536</v>
      </c>
      <c r="BA197" s="5">
        <f ca="1">SUM(HC[[#This Row],[Aço Est (kg)]],HC[[#This Row],[Aço Bloco (kg)]])</f>
        <v>191.86795859652275</v>
      </c>
      <c r="BB197" s="4">
        <f>INDEX(composicoes[],MATCH(95580,composicoes[CÓDIGO],0),MATCH("CUSTO TOTAL",composicoes[#Headers],0))</f>
        <v>10.46</v>
      </c>
      <c r="BC197" s="4">
        <f ca="1">SUM(HC[[#This Row],[Conc Est (m³)]],HC[[#This Row],[Conc Bloco (m³)]])</f>
        <v>17.097739453965197</v>
      </c>
      <c r="BD197" s="4">
        <f>INDEX(composicoes[],MATCH(94966,composicoes[CÓDIGO],0),MATCH("CUSTO TOTAL",composicoes[#Headers],0))</f>
        <v>439.52</v>
      </c>
      <c r="BE197" s="38">
        <f ca="1">HC[[#This Row],[Aço (kg)]]*HC[[#This Row],[Aço (R$/kg)]]+HC[[#This Row],[Conc (m³)]]*HC[[#This Row],[Conc (R$/m³)]]</f>
        <v>9521.7372917264111</v>
      </c>
      <c r="BF197" s="4" t="str">
        <f ca="1">IF(COUNTIF(HC[#This Row],"N.S.")&gt;0,"lim.","OK")</f>
        <v>OK</v>
      </c>
      <c r="BG197" s="4" t="str">
        <f>IF(HC[[#This Row],[Prof. (m)]]&lt;4,"lim.","OK")</f>
        <v>OK</v>
      </c>
      <c r="BH197" s="4" t="str">
        <f>IF(HC[[#This Row],[Prof. (m)]]&gt;=8*HC[[#This Row],[Ø (cm)]]/100,"OK","lim.")</f>
        <v>OK</v>
      </c>
      <c r="BI197" s="4" t="str">
        <f ca="1">IF(HC[[#This Row],[Verif. Biela]]="OK","OK","lim.")</f>
        <v>OK</v>
      </c>
      <c r="BJ197" s="4" t="str">
        <f ca="1">IF(COUNTA(HC[[#This Row],[Nº Est.]:[Biela comp.]])=COUNTIF(HC[[#This Row],[Nº Est.]:[Biela comp.]],"OK"),"OK","lim.")</f>
        <v>OK</v>
      </c>
      <c r="BK197" s="4" t="str">
        <f ca="1">IF(HC[[#This Row],[Controle]]="OK",HC[[#This Row],[nE]]&amp;" Ø"&amp;HC[[#This Row],[Ø (cm)]]&amp;"cm Prof. "&amp;HC[[#This Row],[Prof. (m)]]&amp;" m","")</f>
        <v>3 Ø60cm Prof. 10 m</v>
      </c>
      <c r="BL197" s="4" t="str">
        <f ca="1">IF(HC[[#This Row],[idDimensionamento]]="","",HC[[#This Row],[idPilar]]&amp;HC[[#This Row],[idDimensionamento]])</f>
        <v>23 Ø60cm Prof. 10 m</v>
      </c>
    </row>
    <row r="198" spans="2:64" x14ac:dyDescent="0.25">
      <c r="B198" s="12">
        <f>ROUNDUP((ROW(HC[[#This Row],[idDiâmetro]])-ROW(HC[[#Headers],[idDiâmetro]]))/(COUNT(SPT[Prof. (m)])*COUNT(PILARES[Pilar])),0)</f>
        <v>7</v>
      </c>
      <c r="C198" s="12">
        <f>IF(HC[[#This Row],[idDiâmetro]]&lt;&gt;B197,1,IF(HC[[#This Row],[Prof. (m)]]=0,C197+1,C197))</f>
        <v>2</v>
      </c>
      <c r="D198" s="1">
        <f>IFERROR(IF(D197=MAX(SPT[Prof. (m)]),0,D197+1),0)</f>
        <v>11</v>
      </c>
      <c r="E198" s="1">
        <f>INDEX(SPT[],MATCH(HC[[#This Row],[Prof. (m)]],SPT[Prof. (m)],0),2)</f>
        <v>41</v>
      </c>
      <c r="F198" s="1" t="str">
        <f>INDEX(SPT[],MATCH(HC[[#This Row],[Prof. (m)]],SPT[Prof. (m)],0),3)</f>
        <v>Areia siltosa</v>
      </c>
      <c r="G198" s="1">
        <f>INDEX(estacas[],HC[[#This Row],[idDiâmetro]],MATCH($B$2,estacas[#Headers],0))</f>
        <v>60</v>
      </c>
      <c r="H198" s="1">
        <f>INDEX(estacas[],MATCH(HC[[#This Row],[Ø (cm)]],estacas[Ø HC (cm)],0),MATCH(HC[[#Headers],[Pe HC (kN)]],estacas[#Headers],0))</f>
        <v>1800</v>
      </c>
      <c r="I198" s="4">
        <f>INDEX(K_alpha_C[],MATCH(HC[[#This Row],[Solo]],K_alpha_C[Solo],0),2)</f>
        <v>0.8</v>
      </c>
      <c r="J198" s="5">
        <f>INDEX(K_alpha_C[],MATCH(HC[[#This Row],[Solo]],K_alpha_C[Solo],0),3)</f>
        <v>2</v>
      </c>
      <c r="K198" s="4">
        <f>INDEX(F1_F2[],MATCH($D$2,F1_F2[Tipo de estaca],0),2)</f>
        <v>2</v>
      </c>
      <c r="L198" s="4">
        <f>INDEX(F1_F2[],MATCH($D$2,F1_F2[Tipo de estaca],0),3)</f>
        <v>4</v>
      </c>
      <c r="M198" s="4">
        <f>PI()*(HC[[#This Row],[Ø (cm)]]/100)^2/4</f>
        <v>0.28274333882308139</v>
      </c>
      <c r="N198" s="4">
        <f>PI()*HC[[#This Row],[Ø (cm)]]/100</f>
        <v>1.8849555921538756</v>
      </c>
      <c r="O198" s="4">
        <f>IF(HC[[#This Row],[Prof. (m)]]=0,0,HC[[#This Row],[α (%)]]/100*HC[[#This Row],[K (MPa)]]*1000*HC[[#This Row],[NSPT]])</f>
        <v>656</v>
      </c>
      <c r="P198" s="4">
        <f>IF(HC[[#This Row],[Prof. (m)]]=0,0,(HC[[#This Row],[K (MPa)]]*1000*HC[[#This Row],[NSPT]]/HC[[#This Row],[F1]]*HC[[#This Row],[Ap (m²)]]+HC[[#This Row],[U (m)]]/HC[[#This Row],[F2]]*SUMIFS(HC[(α∙K∙NL∙ΔL)],HC[Prof. (m)],"&lt;="&amp;HC[[#This Row],[Prof. (m)]],HC[idDiâmetro],HC[[#This Row],[idDiâmetro]],HC[idPilar],HC[[#This Row],[idPilar]]))/'DADOS CAP. CARGA'!$D$2)</f>
        <v>2927.3124726700671</v>
      </c>
      <c r="Q198" s="12">
        <f>INDEX(C_alpha_beta[],MATCH(HC[[#This Row],[Solo]],C_alpha_beta[Solo],0),MATCH(HC[[#Headers],[C (kPa)]],C_alpha_beta[#Headers],0))</f>
        <v>400</v>
      </c>
      <c r="R198" s="4">
        <f>INDEX(C_alpha_beta[],MATCH(HC[[#This Row],[Solo]],C_alpha_beta[Solo],0),MATCH(HC[[#Headers],[α ESF]],C_alpha_beta[#Headers],0))</f>
        <v>0.5</v>
      </c>
      <c r="S198" s="4">
        <f>INDEX(C_alpha_beta[],MATCH(HC[[#This Row],[Solo]],C_alpha_beta[Solo],0),MATCH(HC[[#Headers],[β ESF]],C_alpha_beta[#Headers],0))</f>
        <v>0.5</v>
      </c>
      <c r="T198" s="4">
        <f>IF(HC[[#This Row],[Prof. (m)]]=0,0,10*(HC[[#This Row],[NSPT]]/3+1))</f>
        <v>146.66666666666666</v>
      </c>
      <c r="U198" s="4">
        <f>(HC[[#This Row],[α ESF]]*HC[[#This Row],[C (kPa)]]*HC[[#This Row],[NSPT]]*HC[[#This Row],[Ap (m²)]])/'DADOS CAP. CARGA'!$Q$2+(HC[[#This Row],[β ESF]]*SUMIFS(HC[10∙(NL/3+1)],HC[Prof. (m)],"&lt;="&amp;HC[[#This Row],[Prof. (m)]],HC[idDiâmetro],HC[[#This Row],[idDiâmetro]],HC[idPilar],HC[[#This Row],[idPilar]])*HC[[#This Row],[U (m)]])/'DADOS CAP. CARGA'!$S$2</f>
        <v>900.06629525347569</v>
      </c>
      <c r="V198" s="4">
        <f>IF(SPT!$M$5=1,MIN(HC[[#This Row],[Pe HC (kN)]],HC[[#This Row],[R_AV (kN)]]),IF(SPT!$M$5=2,MIN(HC[[#This Row],[Pe HC (kN)]],HC[[#This Row],[R_DC (kN)]]),MIN(HC[[#This Row],[Pe HC (kN)]],HC[[#This Row],[R_AV (kN)]],HC[[#This Row],[R_DC (kN)]])))</f>
        <v>900.06629525347569</v>
      </c>
      <c r="W198" s="4">
        <f>INDEX(PILARES[],HC[[#This Row],[idPilar]],MATCH("Carga (kN)",PILARES[#Headers],0))*1.4</f>
        <v>1750</v>
      </c>
      <c r="X198" s="12">
        <f>INDEX(PILARES[],HC[[#This Row],[idPilar]],MATCH(HC[[#Headers],[ap (cm)]],PILARES[#Headers],0))</f>
        <v>50</v>
      </c>
      <c r="Y198" s="12">
        <f>INDEX(PILARES[],HC[[#This Row],[idPilar]],MATCH(HC[[#Headers],[bp (cm)]],PILARES[#Headers],0))</f>
        <v>40</v>
      </c>
      <c r="Z198" s="4">
        <f>SQRT(HC[[#This Row],[ap (cm)]]*HC[[#This Row],[bp (cm)]])</f>
        <v>44.721359549995796</v>
      </c>
      <c r="AA198" s="12">
        <f>HC[[#This Row],[ap (cm)]]*HC[[#This Row],[bp (cm)]]</f>
        <v>2000</v>
      </c>
      <c r="AB198" s="12">
        <f ca="1">IF(HC[[#This Row],[Padm∙ε (kN)]]&gt;=HC[[#This Row],[Padm (kN)]],ROUNDUP(1.05*HC[[#This Row],[Nsd (kN)]]/HC[[#This Row],[Padm (kN)]],0),ROUNDUP(1.05*HC[[#This Row],[Nsd (kN)]]/HC[[#This Row],[Padm (kN)]],0)+1)</f>
        <v>3</v>
      </c>
      <c r="AC198" s="4">
        <f ca="1">IFERROR(IF(HC[[#This Row],[nE]]=1,HC[[#This Row],[Padm (kN)]],HC[[#This Row],[Padm (kN)]]*HC[[#This Row],[nE]]*INDEX(grupoEstacas[],HC[[#This Row],[nE]],MATCH("ε",grupoEstacas[#Headers],0))),"N.S.")</f>
        <v>2362.6740250403736</v>
      </c>
      <c r="AD198" s="4">
        <f ca="1">1.05*HC[[#This Row],[Nsd (kN)]]/(HC[[#This Row],[nE]]*PI()*HC[[#This Row],[Ø (cm)]]^2/4)*10</f>
        <v>2.1662756143063531</v>
      </c>
      <c r="AE198" s="4">
        <f ca="1">IF(HC[[#This Row],[σ (MPa)]]&lt;INDEX(tipoEstaca[],MATCH($D$2,tipoEstaca[TIPO DE ESTACA],0),MATCH("σmáx (MPa)",tipoEstaca[#Headers],0)),0.4%*PI()*HC[[#This Row],[Ø (cm)]]^2/4,"N.S.")</f>
        <v>11.309733552923255</v>
      </c>
      <c r="AF198" s="1">
        <f>INDEX(tipoEstaca[],MATCH($D$2,tipoEstaca[TIPO DE ESTACA],0),MATCH(HC[[#Headers],[Comprimento (m)]],tipoEstaca[#Headers],0))</f>
        <v>4</v>
      </c>
      <c r="AG198" s="5">
        <f ca="1">HC[[#This Row],[As,mín (cm²)]]/100^2*HC[[#This Row],[Comprimento (m)]]*7850</f>
        <v>35.512563356179022</v>
      </c>
      <c r="AH198" s="4">
        <f ca="1">HC[[#This Row],[nE]]*HC[[#This Row],[Prof. (m)]]*HC[[#This Row],[Ap (m²)]]</f>
        <v>9.3305301811616861</v>
      </c>
      <c r="AI198" s="1">
        <f ca="1">IF(HC[[#This Row],[nE]]=1,0,MAX(3*HC[[#This Row],[Ø (cm)]],60))</f>
        <v>180</v>
      </c>
      <c r="AJ198" s="1">
        <f ca="1">IF(HC[[#This Row],[nE]]=1,HC[[#This Row],[Ø (cm)]]+2*10,MAX(1.5*HC[[#This Row],[Ø (cm)]],HC[[#This Row],[Ø (cm)]]+15))</f>
        <v>90</v>
      </c>
      <c r="AK198" s="1">
        <f ca="1">alturaUtil(HC[[#This Row],[nE]],HC[[#This Row],[Ø (cm)]],HC[[#This Row],[e (cm)]],HC[[#This Row],[ap,eq (cm)]])</f>
        <v>80</v>
      </c>
      <c r="AL198" s="1">
        <f ca="1">IFERROR(HC[[#This Row],[d (cm)]]+arredondarParaCimaMultiplo5cm(MAX(5,SQRT(PI())/2*HC[[#This Row],[Ø (cm)]]/5)),"N.S.")</f>
        <v>95</v>
      </c>
      <c r="AM198" s="5">
        <f ca="1">alpha(HC[[#This Row],[nE]],HC[[#This Row],[d (cm)]],HC[[#This Row],[e (cm)]],HC[[#This Row],[ap,eq (cm)]])</f>
        <v>46.249905541031318</v>
      </c>
      <c r="AN198" s="35">
        <f ca="1">IFERROR(HC[[#This Row],[Nsd (kN)]]/(HC[[#This Row],[Ap (cm²)]]*SIN(HC[[#This Row],[α]])^2),"N.S.")</f>
        <v>1.4877830731291637</v>
      </c>
      <c r="AO198" s="35">
        <f ca="1">IFERROR(HC[[#This Row],[Nsd (kN)]]/(HC[[#This Row],[nE]]*PI()*HC[[#This Row],[Ø (cm)]]^2/4*SIN(HC[[#This Row],[α]])^2),"N.S.")</f>
        <v>0.35079708198067733</v>
      </c>
      <c r="AP198" s="4">
        <f ca="1">IFERROR(INDEX(grupoEstacas[],HC[[#This Row],[nE]],MATCH("coef. Blévot",grupoEstacas[#Headers],0)),"N.S.")</f>
        <v>1.75</v>
      </c>
      <c r="AQ198" s="35">
        <f ca="1">IFERROR(HC[[#This Row],[coef. Blévot]]*0.9*INDEX(tipoEstaca[],MATCH($D$2,tipoEstaca[TIPO DE ESTACA],0),MATCH("fcd (kN/cm²)",tipoEstaca[#Headers],0)),"N.S.")</f>
        <v>1.75</v>
      </c>
      <c r="AR198" s="1" t="str">
        <f ca="1">IF(AND(HC[[#This Row],[cd,b,pil (kN/cm²)]]&lt;=HC[[#This Row],[cd,b,lim (kN/cm²)]],HC[[#This Row],[cd,b,est (kN/cm²)]]&lt;=HC[[#This Row],[cd,b,lim (kN/cm²)]]),"OK","ERRO")</f>
        <v>OK</v>
      </c>
      <c r="AS198" s="4">
        <f ca="1">As_lado(HC[[#This Row],[nE]],HC[[#This Row],[Nsd (kN)]],HC[[#This Row],[d (cm)]],HC[[#This Row],[e (cm)]],HC[[#This Row],[ap,eq (cm)]])</f>
        <v>8.7634368359595936</v>
      </c>
      <c r="AT198" s="4" t="str">
        <f ca="1">IF(HC[[#This Row],[nE]]=1,HC[[#This Row],[As,lado (cm²)]],IF(HC[[#This Row],[nE]]=2,0.075*2*HC[a (cm)],"N.A."))</f>
        <v>N.A.</v>
      </c>
      <c r="AU198" s="4">
        <f ca="1">IFERROR(IF(HC[[#This Row],[nE]]=1,"N.A.",0.2*HC[[#This Row],[As,lado (cm²)]]),"N.S.")</f>
        <v>1.7526873671919188</v>
      </c>
      <c r="AV198" s="4">
        <f ca="1">As_malha(HC[[#This Row],[nE]],HC[[#This Row],[As,lado (cm²)]],HC[[#This Row],[Nsd (kN)]])</f>
        <v>2.981481481481481</v>
      </c>
      <c r="AW198" s="4">
        <f ca="1">As_susp_tot(HC[[#This Row],[nE]],HC[[#This Row],[Nsd (kN)]])</f>
        <v>8.9444444444444429</v>
      </c>
      <c r="AX198" s="4">
        <f ca="1">Asp_face(HC[[#This Row],[nE]],HC[[#This Row],[As,lado (cm²)]])</f>
        <v>3.2862888134848474</v>
      </c>
      <c r="AY198" s="5">
        <f ca="1">acoBloco(HC[[#This Row],[nE]],HC[[#This Row],[e (cm)]],HC[[#This Row],[a (cm)]],HC[[#This Row],[h (cm)]],HC[[#This Row],[As,lado (cm²)]],HC[[#This Row],[Asp e Asw (cm²/m)]],HC[[#This Row],[As,sup (cm²)]],HC[[#This Row],[As,malha (cm²)]],HC[[#This Row],[As,susp,tot (cm²)]],HC[[#This Row],[Asp,face (cm²)]])</f>
        <v>156.35539524034374</v>
      </c>
      <c r="AZ198" s="4">
        <f ca="1">concretoBloco(HC[[#This Row],[nE]],HC[[#This Row],[e (cm)]],HC[[#This Row],[a (cm)]],HC[[#This Row],[h (cm)]])</f>
        <v>8.6154392892727536</v>
      </c>
      <c r="BA198" s="5">
        <f ca="1">SUM(HC[[#This Row],[Aço Est (kg)]],HC[[#This Row],[Aço Bloco (kg)]])</f>
        <v>191.86795859652275</v>
      </c>
      <c r="BB198" s="4">
        <f>INDEX(composicoes[],MATCH(95580,composicoes[CÓDIGO],0),MATCH("CUSTO TOTAL",composicoes[#Headers],0))</f>
        <v>10.46</v>
      </c>
      <c r="BC198" s="4">
        <f ca="1">SUM(HC[[#This Row],[Conc Est (m³)]],HC[[#This Row],[Conc Bloco (m³)]])</f>
        <v>17.945969470434441</v>
      </c>
      <c r="BD198" s="4">
        <f>INDEX(composicoes[],MATCH(94966,composicoes[CÓDIGO],0),MATCH("CUSTO TOTAL",composicoes[#Headers],0))</f>
        <v>439.52</v>
      </c>
      <c r="BE198" s="38">
        <f ca="1">HC[[#This Row],[Aço (kg)]]*HC[[#This Row],[Aço (R$/kg)]]+HC[[#This Row],[Conc (m³)]]*HC[[#This Row],[Conc (R$/m³)]]</f>
        <v>9894.5513485649735</v>
      </c>
      <c r="BF198" s="4" t="str">
        <f ca="1">IF(COUNTIF(HC[#This Row],"N.S.")&gt;0,"lim.","OK")</f>
        <v>OK</v>
      </c>
      <c r="BG198" s="4" t="str">
        <f>IF(HC[[#This Row],[Prof. (m)]]&lt;4,"lim.","OK")</f>
        <v>OK</v>
      </c>
      <c r="BH198" s="4" t="str">
        <f>IF(HC[[#This Row],[Prof. (m)]]&gt;=8*HC[[#This Row],[Ø (cm)]]/100,"OK","lim.")</f>
        <v>OK</v>
      </c>
      <c r="BI198" s="4" t="str">
        <f ca="1">IF(HC[[#This Row],[Verif. Biela]]="OK","OK","lim.")</f>
        <v>OK</v>
      </c>
      <c r="BJ198" s="4" t="str">
        <f ca="1">IF(COUNTA(HC[[#This Row],[Nº Est.]:[Biela comp.]])=COUNTIF(HC[[#This Row],[Nº Est.]:[Biela comp.]],"OK"),"OK","lim.")</f>
        <v>OK</v>
      </c>
      <c r="BK198" s="4" t="str">
        <f ca="1">IF(HC[[#This Row],[Controle]]="OK",HC[[#This Row],[nE]]&amp;" Ø"&amp;HC[[#This Row],[Ø (cm)]]&amp;"cm Prof. "&amp;HC[[#This Row],[Prof. (m)]]&amp;" m","")</f>
        <v>3 Ø60cm Prof. 11 m</v>
      </c>
      <c r="BL198" s="4" t="str">
        <f ca="1">IF(HC[[#This Row],[idDimensionamento]]="","",HC[[#This Row],[idPilar]]&amp;HC[[#This Row],[idDimensionamento]])</f>
        <v>23 Ø60cm Prof. 11 m</v>
      </c>
    </row>
    <row r="199" spans="2:64" x14ac:dyDescent="0.25">
      <c r="B199" s="12">
        <f>ROUNDUP((ROW(HC[[#This Row],[idDiâmetro]])-ROW(HC[[#Headers],[idDiâmetro]]))/(COUNT(SPT[Prof. (m)])*COUNT(PILARES[Pilar])),0)</f>
        <v>7</v>
      </c>
      <c r="C199" s="12">
        <f>IF(HC[[#This Row],[idDiâmetro]]&lt;&gt;B198,1,IF(HC[[#This Row],[Prof. (m)]]=0,C198+1,C198))</f>
        <v>2</v>
      </c>
      <c r="D199" s="1">
        <f>IFERROR(IF(D198=MAX(SPT[Prof. (m)]),0,D198+1),0)</f>
        <v>12</v>
      </c>
      <c r="E199" s="1">
        <f>INDEX(SPT[],MATCH(HC[[#This Row],[Prof. (m)]],SPT[Prof. (m)],0),2)</f>
        <v>52</v>
      </c>
      <c r="F199" s="1" t="str">
        <f>INDEX(SPT[],MATCH(HC[[#This Row],[Prof. (m)]],SPT[Prof. (m)],0),3)</f>
        <v>Areia siltosa</v>
      </c>
      <c r="G199" s="1">
        <f>INDEX(estacas[],HC[[#This Row],[idDiâmetro]],MATCH($B$2,estacas[#Headers],0))</f>
        <v>60</v>
      </c>
      <c r="H199" s="1">
        <f>INDEX(estacas[],MATCH(HC[[#This Row],[Ø (cm)]],estacas[Ø HC (cm)],0),MATCH(HC[[#Headers],[Pe HC (kN)]],estacas[#Headers],0))</f>
        <v>1800</v>
      </c>
      <c r="I199" s="4">
        <f>INDEX(K_alpha_C[],MATCH(HC[[#This Row],[Solo]],K_alpha_C[Solo],0),2)</f>
        <v>0.8</v>
      </c>
      <c r="J199" s="5">
        <f>INDEX(K_alpha_C[],MATCH(HC[[#This Row],[Solo]],K_alpha_C[Solo],0),3)</f>
        <v>2</v>
      </c>
      <c r="K199" s="4">
        <f>INDEX(F1_F2[],MATCH($D$2,F1_F2[Tipo de estaca],0),2)</f>
        <v>2</v>
      </c>
      <c r="L199" s="4">
        <f>INDEX(F1_F2[],MATCH($D$2,F1_F2[Tipo de estaca],0),3)</f>
        <v>4</v>
      </c>
      <c r="M199" s="4">
        <f>PI()*(HC[[#This Row],[Ø (cm)]]/100)^2/4</f>
        <v>0.28274333882308139</v>
      </c>
      <c r="N199" s="4">
        <f>PI()*HC[[#This Row],[Ø (cm)]]/100</f>
        <v>1.8849555921538756</v>
      </c>
      <c r="O199" s="4">
        <f>IF(HC[[#This Row],[Prof. (m)]]=0,0,HC[[#This Row],[α (%)]]/100*HC[[#This Row],[K (MPa)]]*1000*HC[[#This Row],[NSPT]])</f>
        <v>832</v>
      </c>
      <c r="P199" s="4">
        <f>IF(HC[[#This Row],[Prof. (m)]]=0,0,(HC[[#This Row],[K (MPa)]]*1000*HC[[#This Row],[NSPT]]/HC[[#This Row],[F1]]*HC[[#This Row],[Ap (m²)]]+HC[[#This Row],[U (m)]]/HC[[#This Row],[F2]]*SUMIFS(HC[(α∙K∙NL∙ΔL)],HC[Prof. (m)],"&lt;="&amp;HC[[#This Row],[Prof. (m)]],HC[idDiâmetro],HC[[#This Row],[idDiâmetro]],HC[idPilar],HC[[#This Row],[idPilar]]))/'DADOS CAP. CARGA'!$D$2)</f>
        <v>3745.3831996648496</v>
      </c>
      <c r="Q199" s="12">
        <f>INDEX(C_alpha_beta[],MATCH(HC[[#This Row],[Solo]],C_alpha_beta[Solo],0),MATCH(HC[[#Headers],[C (kPa)]],C_alpha_beta[#Headers],0))</f>
        <v>400</v>
      </c>
      <c r="R199" s="4">
        <f>INDEX(C_alpha_beta[],MATCH(HC[[#This Row],[Solo]],C_alpha_beta[Solo],0),MATCH(HC[[#Headers],[α ESF]],C_alpha_beta[#Headers],0))</f>
        <v>0.5</v>
      </c>
      <c r="S199" s="4">
        <f>INDEX(C_alpha_beta[],MATCH(HC[[#This Row],[Solo]],C_alpha_beta[Solo],0),MATCH(HC[[#Headers],[β ESF]],C_alpha_beta[#Headers],0))</f>
        <v>0.5</v>
      </c>
      <c r="T199" s="4">
        <f>IF(HC[[#This Row],[Prof. (m)]]=0,0,10*(HC[[#This Row],[NSPT]]/3+1))</f>
        <v>183.33333333333331</v>
      </c>
      <c r="U199" s="4">
        <f>(HC[[#This Row],[α ESF]]*HC[[#This Row],[C (kPa)]]*HC[[#This Row],[NSPT]]*HC[[#This Row],[Ap (m²)]])/'DADOS CAP. CARGA'!$Q$2+(HC[[#This Row],[β ESF]]*SUMIFS(HC[10∙(NL/3+1)],HC[Prof. (m)],"&lt;="&amp;HC[[#This Row],[Prof. (m)]],HC[idDiâmetro],HC[[#This Row],[idDiâmetro]],HC[idPilar],HC[[#This Row],[idPilar]])*HC[[#This Row],[U (m)]])/'DADOS CAP. CARGA'!$S$2</f>
        <v>1141.9689295798898</v>
      </c>
      <c r="V199" s="4">
        <f>IF(SPT!$M$5=1,MIN(HC[[#This Row],[Pe HC (kN)]],HC[[#This Row],[R_AV (kN)]]),IF(SPT!$M$5=2,MIN(HC[[#This Row],[Pe HC (kN)]],HC[[#This Row],[R_DC (kN)]]),MIN(HC[[#This Row],[Pe HC (kN)]],HC[[#This Row],[R_AV (kN)]],HC[[#This Row],[R_DC (kN)]])))</f>
        <v>1141.9689295798898</v>
      </c>
      <c r="W199" s="4">
        <f>INDEX(PILARES[],HC[[#This Row],[idPilar]],MATCH("Carga (kN)",PILARES[#Headers],0))*1.4</f>
        <v>1750</v>
      </c>
      <c r="X199" s="12">
        <f>INDEX(PILARES[],HC[[#This Row],[idPilar]],MATCH(HC[[#Headers],[ap (cm)]],PILARES[#Headers],0))</f>
        <v>50</v>
      </c>
      <c r="Y199" s="12">
        <f>INDEX(PILARES[],HC[[#This Row],[idPilar]],MATCH(HC[[#Headers],[bp (cm)]],PILARES[#Headers],0))</f>
        <v>40</v>
      </c>
      <c r="Z199" s="4">
        <f>SQRT(HC[[#This Row],[ap (cm)]]*HC[[#This Row],[bp (cm)]])</f>
        <v>44.721359549995796</v>
      </c>
      <c r="AA199" s="12">
        <f>HC[[#This Row],[ap (cm)]]*HC[[#This Row],[bp (cm)]]</f>
        <v>2000</v>
      </c>
      <c r="AB199" s="12">
        <f ca="1">IF(HC[[#This Row],[Padm∙ε (kN)]]&gt;=HC[[#This Row],[Padm (kN)]],ROUNDUP(1.05*HC[[#This Row],[Nsd (kN)]]/HC[[#This Row],[Padm (kN)]],0),ROUNDUP(1.05*HC[[#This Row],[Nsd (kN)]]/HC[[#This Row],[Padm (kN)]],0)+1)</f>
        <v>2</v>
      </c>
      <c r="AC199" s="4">
        <f ca="1">IFERROR(IF(HC[[#This Row],[nE]]=1,HC[[#This Row],[Padm (kN)]],HC[[#This Row],[Padm (kN)]]*HC[[#This Row],[nE]]*INDEX(grupoEstacas[],HC[[#This Row],[nE]],MATCH("ε",grupoEstacas[#Headers],0))),"N.S.")</f>
        <v>2141.1917429622936</v>
      </c>
      <c r="AD199" s="4">
        <f ca="1">1.05*HC[[#This Row],[Nsd (kN)]]/(HC[[#This Row],[nE]]*PI()*HC[[#This Row],[Ø (cm)]]^2/4)*10</f>
        <v>3.24941342145953</v>
      </c>
      <c r="AE199" s="4">
        <f ca="1">IF(HC[[#This Row],[σ (MPa)]]&lt;INDEX(tipoEstaca[],MATCH($D$2,tipoEstaca[TIPO DE ESTACA],0),MATCH("σmáx (MPa)",tipoEstaca[#Headers],0)),0.4%*PI()*HC[[#This Row],[Ø (cm)]]^2/4,"N.S.")</f>
        <v>11.309733552923255</v>
      </c>
      <c r="AF199" s="1">
        <f>INDEX(tipoEstaca[],MATCH($D$2,tipoEstaca[TIPO DE ESTACA],0),MATCH(HC[[#Headers],[Comprimento (m)]],tipoEstaca[#Headers],0))</f>
        <v>4</v>
      </c>
      <c r="AG199" s="5">
        <f ca="1">HC[[#This Row],[As,mín (cm²)]]/100^2*HC[[#This Row],[Comprimento (m)]]*7850</f>
        <v>35.512563356179022</v>
      </c>
      <c r="AH199" s="4">
        <f ca="1">HC[[#This Row],[nE]]*HC[[#This Row],[Prof. (m)]]*HC[[#This Row],[Ap (m²)]]</f>
        <v>6.7858401317539538</v>
      </c>
      <c r="AI199" s="1">
        <f ca="1">IF(HC[[#This Row],[nE]]=1,0,MAX(3*HC[[#This Row],[Ø (cm)]],60))</f>
        <v>180</v>
      </c>
      <c r="AJ199" s="1">
        <f ca="1">IF(HC[[#This Row],[nE]]=1,HC[[#This Row],[Ø (cm)]]+2*10,MAX(1.5*HC[[#This Row],[Ø (cm)]],HC[[#This Row],[Ø (cm)]]+15))</f>
        <v>90</v>
      </c>
      <c r="AK199" s="1">
        <f ca="1">alturaUtil(HC[[#This Row],[nE]],HC[[#This Row],[Ø (cm)]],HC[[#This Row],[e (cm)]],HC[[#This Row],[ap,eq (cm)]])</f>
        <v>80</v>
      </c>
      <c r="AL199" s="1">
        <f ca="1">IFERROR(HC[[#This Row],[d (cm)]]+arredondarParaCimaMultiplo5cm(MAX(5,SQRT(PI())/2*HC[[#This Row],[Ø (cm)]]/5)),"N.S.")</f>
        <v>95</v>
      </c>
      <c r="AM199" s="5">
        <f ca="1">alpha(HC[[#This Row],[nE]],HC[[#This Row],[d (cm)]],HC[[#This Row],[e (cm)]],HC[[#This Row],[ap,eq (cm)]])</f>
        <v>45.425811570240704</v>
      </c>
      <c r="AN199" s="35">
        <f ca="1">IFERROR(HC[[#This Row],[Nsd (kN)]]/(HC[[#This Row],[Ap (cm²)]]*SIN(HC[[#This Row],[α]])^2),"N.S.")</f>
        <v>0.88933011875433565</v>
      </c>
      <c r="AO199" s="35">
        <f ca="1">IFERROR(HC[[#This Row],[Nsd (kN)]]/(HC[[#This Row],[nE]]*PI()*HC[[#This Row],[Ø (cm)]]^2/4*SIN(HC[[#This Row],[α]])^2),"N.S.")</f>
        <v>0.31453618764501073</v>
      </c>
      <c r="AP199" s="4">
        <f ca="1">IFERROR(INDEX(grupoEstacas[],HC[[#This Row],[nE]],MATCH("coef. Blévot",grupoEstacas[#Headers],0)),"N.S.")</f>
        <v>1.4</v>
      </c>
      <c r="AQ199" s="35">
        <f ca="1">IFERROR(HC[[#This Row],[coef. Blévot]]*0.9*INDEX(tipoEstaca[],MATCH($D$2,tipoEstaca[TIPO DE ESTACA],0),MATCH("fcd (kN/cm²)",tipoEstaca[#Headers],0)),"N.S.")</f>
        <v>1.4000000000000001</v>
      </c>
      <c r="AR199" s="1" t="str">
        <f ca="1">IF(AND(HC[[#This Row],[cd,b,pil (kN/cm²)]]&lt;=HC[[#This Row],[cd,b,lim (kN/cm²)]],HC[[#This Row],[cd,b,est (kN/cm²)]]&lt;=HC[[#This Row],[cd,b,lim (kN/cm²)]]),"OK","ERRO")</f>
        <v>OK</v>
      </c>
      <c r="AS199" s="4">
        <f ca="1">As_lado(HC[[#This Row],[nE]],HC[[#This Row],[Nsd (kN)]],HC[[#This Row],[d (cm)]],HC[[#This Row],[e (cm)]],HC[[#This Row],[ap,eq (cm)]])</f>
        <v>22.802281359108701</v>
      </c>
      <c r="AT199" s="4">
        <f ca="1">IF(HC[[#This Row],[nE]]=1,HC[[#This Row],[As,lado (cm²)]],IF(HC[[#This Row],[nE]]=2,0.075*2*HC[a (cm)],"N.A."))</f>
        <v>13.5</v>
      </c>
      <c r="AU199" s="4">
        <f ca="1">IFERROR(IF(HC[[#This Row],[nE]]=1,"N.A.",0.2*HC[[#This Row],[As,lado (cm²)]]),"N.S.")</f>
        <v>4.5604562718217405</v>
      </c>
      <c r="AV199" s="4" t="str">
        <f ca="1">As_malha(HC[[#This Row],[nE]],HC[[#This Row],[As,lado (cm²)]],HC[[#This Row],[Nsd (kN)]])</f>
        <v>N.A.</v>
      </c>
      <c r="AW199" s="4" t="str">
        <f ca="1">As_susp_tot(HC[[#This Row],[nE]],HC[[#This Row],[Nsd (kN)]])</f>
        <v>N.A.</v>
      </c>
      <c r="AX199" s="4" t="str">
        <f ca="1">Asp_face(HC[[#This Row],[nE]],HC[[#This Row],[As,lado (cm²)]])</f>
        <v>N.A.</v>
      </c>
      <c r="AY199" s="5">
        <f ca="1">acoBloco(HC[[#This Row],[nE]],HC[[#This Row],[e (cm)]],HC[[#This Row],[a (cm)]],HC[[#This Row],[h (cm)]],HC[[#This Row],[As,lado (cm²)]],HC[[#This Row],[Asp e Asw (cm²/m)]],HC[[#This Row],[As,sup (cm²)]],HC[[#This Row],[As,malha (cm²)]],HC[[#This Row],[As,susp,tot (cm²)]],HC[[#This Row],[Asp,face (cm²)]])</f>
        <v>395.88794654500941</v>
      </c>
      <c r="AZ199" s="4">
        <f ca="1">concretoBloco(HC[[#This Row],[nE]],HC[[#This Row],[e (cm)]],HC[[#This Row],[a (cm)]],HC[[#This Row],[h (cm)]])</f>
        <v>6.1559999999999997</v>
      </c>
      <c r="BA199" s="5">
        <f ca="1">SUM(HC[[#This Row],[Aço Est (kg)]],HC[[#This Row],[Aço Bloco (kg)]])</f>
        <v>431.40050990118846</v>
      </c>
      <c r="BB199" s="4">
        <f>INDEX(composicoes[],MATCH(95580,composicoes[CÓDIGO],0),MATCH("CUSTO TOTAL",composicoes[#Headers],0))</f>
        <v>10.46</v>
      </c>
      <c r="BC199" s="4">
        <f ca="1">SUM(HC[[#This Row],[Conc Est (m³)]],HC[[#This Row],[Conc Bloco (m³)]])</f>
        <v>12.941840131753953</v>
      </c>
      <c r="BD199" s="4">
        <f>INDEX(composicoes[],MATCH(94966,composicoes[CÓDIGO],0),MATCH("CUSTO TOTAL",composicoes[#Headers],0))</f>
        <v>439.52</v>
      </c>
      <c r="BE199" s="38">
        <f ca="1">HC[[#This Row],[Aço (kg)]]*HC[[#This Row],[Aço (R$/kg)]]+HC[[#This Row],[Conc (m³)]]*HC[[#This Row],[Conc (R$/m³)]]</f>
        <v>10200.646908274928</v>
      </c>
      <c r="BF199" s="4" t="str">
        <f ca="1">IF(COUNTIF(HC[#This Row],"N.S.")&gt;0,"lim.","OK")</f>
        <v>OK</v>
      </c>
      <c r="BG199" s="4" t="str">
        <f>IF(HC[[#This Row],[Prof. (m)]]&lt;4,"lim.","OK")</f>
        <v>OK</v>
      </c>
      <c r="BH199" s="4" t="str">
        <f>IF(HC[[#This Row],[Prof. (m)]]&gt;=8*HC[[#This Row],[Ø (cm)]]/100,"OK","lim.")</f>
        <v>OK</v>
      </c>
      <c r="BI199" s="4" t="str">
        <f ca="1">IF(HC[[#This Row],[Verif. Biela]]="OK","OK","lim.")</f>
        <v>OK</v>
      </c>
      <c r="BJ199" s="4" t="str">
        <f ca="1">IF(COUNTA(HC[[#This Row],[Nº Est.]:[Biela comp.]])=COUNTIF(HC[[#This Row],[Nº Est.]:[Biela comp.]],"OK"),"OK","lim.")</f>
        <v>OK</v>
      </c>
      <c r="BK199" s="4" t="str">
        <f ca="1">IF(HC[[#This Row],[Controle]]="OK",HC[[#This Row],[nE]]&amp;" Ø"&amp;HC[[#This Row],[Ø (cm)]]&amp;"cm Prof. "&amp;HC[[#This Row],[Prof. (m)]]&amp;" m","")</f>
        <v>2 Ø60cm Prof. 12 m</v>
      </c>
      <c r="BL199" s="4" t="str">
        <f ca="1">IF(HC[[#This Row],[idDimensionamento]]="","",HC[[#This Row],[idPilar]]&amp;HC[[#This Row],[idDimensionamento]])</f>
        <v>22 Ø60cm Prof. 12 m</v>
      </c>
    </row>
    <row r="200" spans="2:64" x14ac:dyDescent="0.25">
      <c r="B200" s="12">
        <f>ROUNDUP((ROW(HC[[#This Row],[idDiâmetro]])-ROW(HC[[#Headers],[idDiâmetro]]))/(COUNT(SPT[Prof. (m)])*COUNT(PILARES[Pilar])),0)</f>
        <v>7</v>
      </c>
      <c r="C200" s="12">
        <f>IF(HC[[#This Row],[idDiâmetro]]&lt;&gt;B199,1,IF(HC[[#This Row],[Prof. (m)]]=0,C199+1,C199))</f>
        <v>2</v>
      </c>
      <c r="D200" s="1">
        <f>IFERROR(IF(D199=MAX(SPT[Prof. (m)]),0,D199+1),0)</f>
        <v>13</v>
      </c>
      <c r="E200" s="1">
        <f>INDEX(SPT[],MATCH(HC[[#This Row],[Prof. (m)]],SPT[Prof. (m)],0),2)</f>
        <v>68</v>
      </c>
      <c r="F200" s="1" t="str">
        <f>INDEX(SPT[],MATCH(HC[[#This Row],[Prof. (m)]],SPT[Prof. (m)],0),3)</f>
        <v>Areia siltosa</v>
      </c>
      <c r="G200" s="1">
        <f>INDEX(estacas[],HC[[#This Row],[idDiâmetro]],MATCH($B$2,estacas[#Headers],0))</f>
        <v>60</v>
      </c>
      <c r="H200" s="1">
        <f>INDEX(estacas[],MATCH(HC[[#This Row],[Ø (cm)]],estacas[Ø HC (cm)],0),MATCH(HC[[#Headers],[Pe HC (kN)]],estacas[#Headers],0))</f>
        <v>1800</v>
      </c>
      <c r="I200" s="4">
        <f>INDEX(K_alpha_C[],MATCH(HC[[#This Row],[Solo]],K_alpha_C[Solo],0),2)</f>
        <v>0.8</v>
      </c>
      <c r="J200" s="5">
        <f>INDEX(K_alpha_C[],MATCH(HC[[#This Row],[Solo]],K_alpha_C[Solo],0),3)</f>
        <v>2</v>
      </c>
      <c r="K200" s="4">
        <f>INDEX(F1_F2[],MATCH($D$2,F1_F2[Tipo de estaca],0),2)</f>
        <v>2</v>
      </c>
      <c r="L200" s="4">
        <f>INDEX(F1_F2[],MATCH($D$2,F1_F2[Tipo de estaca],0),3)</f>
        <v>4</v>
      </c>
      <c r="M200" s="4">
        <f>PI()*(HC[[#This Row],[Ø (cm)]]/100)^2/4</f>
        <v>0.28274333882308139</v>
      </c>
      <c r="N200" s="4">
        <f>PI()*HC[[#This Row],[Ø (cm)]]/100</f>
        <v>1.8849555921538756</v>
      </c>
      <c r="O200" s="4">
        <f>IF(HC[[#This Row],[Prof. (m)]]=0,0,HC[[#This Row],[α (%)]]/100*HC[[#This Row],[K (MPa)]]*1000*HC[[#This Row],[NSPT]])</f>
        <v>1088</v>
      </c>
      <c r="P200" s="4">
        <f>IF(HC[[#This Row],[Prof. (m)]]=0,0,(HC[[#This Row],[K (MPa)]]*1000*HC[[#This Row],[NSPT]]/HC[[#This Row],[F1]]*HC[[#This Row],[Ap (m²)]]+HC[[#This Row],[U (m)]]/HC[[#This Row],[F2]]*SUMIFS(HC[(α∙K∙NL∙ΔL)],HC[Prof. (m)],"&lt;="&amp;HC[[#This Row],[Prof. (m)]],HC[idDiâmetro],HC[[#This Row],[idDiâmetro]],HC[idPilar],HC[[#This Row],[idPilar]]))/'DADOS CAP. CARGA'!$D$2)</f>
        <v>4906.5158444316367</v>
      </c>
      <c r="Q200" s="12">
        <f>INDEX(C_alpha_beta[],MATCH(HC[[#This Row],[Solo]],C_alpha_beta[Solo],0),MATCH(HC[[#Headers],[C (kPa)]],C_alpha_beta[#Headers],0))</f>
        <v>400</v>
      </c>
      <c r="R200" s="4">
        <f>INDEX(C_alpha_beta[],MATCH(HC[[#This Row],[Solo]],C_alpha_beta[Solo],0),MATCH(HC[[#Headers],[α ESF]],C_alpha_beta[#Headers],0))</f>
        <v>0.5</v>
      </c>
      <c r="S200" s="4">
        <f>INDEX(C_alpha_beta[],MATCH(HC[[#This Row],[Solo]],C_alpha_beta[Solo],0),MATCH(HC[[#Headers],[β ESF]],C_alpha_beta[#Headers],0))</f>
        <v>0.5</v>
      </c>
      <c r="T200" s="4">
        <f>IF(HC[[#This Row],[Prof. (m)]]=0,0,10*(HC[[#This Row],[NSPT]]/3+1))</f>
        <v>236.66666666666669</v>
      </c>
      <c r="U200" s="4">
        <f>(HC[[#This Row],[α ESF]]*HC[[#This Row],[C (kPa)]]*HC[[#This Row],[NSPT]]*HC[[#This Row],[Ap (m²)]])/'DADOS CAP. CARGA'!$Q$2+(HC[[#This Row],[β ESF]]*SUMIFS(HC[10∙(NL/3+1)],HC[Prof. (m)],"&lt;="&amp;HC[[#This Row],[Prof. (m)]],HC[idDiâmetro],HC[[#This Row],[idDiâmetro]],HC[idPilar],HC[[#This Row],[idPilar]])*HC[[#This Row],[U (m)]])/'DADOS CAP. CARGA'!$S$2</f>
        <v>1479.6901398407927</v>
      </c>
      <c r="V200" s="4">
        <f>IF(SPT!$M$5=1,MIN(HC[[#This Row],[Pe HC (kN)]],HC[[#This Row],[R_AV (kN)]]),IF(SPT!$M$5=2,MIN(HC[[#This Row],[Pe HC (kN)]],HC[[#This Row],[R_DC (kN)]]),MIN(HC[[#This Row],[Pe HC (kN)]],HC[[#This Row],[R_AV (kN)]],HC[[#This Row],[R_DC (kN)]])))</f>
        <v>1479.6901398407927</v>
      </c>
      <c r="W200" s="4">
        <f>INDEX(PILARES[],HC[[#This Row],[idPilar]],MATCH("Carga (kN)",PILARES[#Headers],0))*1.4</f>
        <v>1750</v>
      </c>
      <c r="X200" s="12">
        <f>INDEX(PILARES[],HC[[#This Row],[idPilar]],MATCH(HC[[#Headers],[ap (cm)]],PILARES[#Headers],0))</f>
        <v>50</v>
      </c>
      <c r="Y200" s="12">
        <f>INDEX(PILARES[],HC[[#This Row],[idPilar]],MATCH(HC[[#Headers],[bp (cm)]],PILARES[#Headers],0))</f>
        <v>40</v>
      </c>
      <c r="Z200" s="4">
        <f>SQRT(HC[[#This Row],[ap (cm)]]*HC[[#This Row],[bp (cm)]])</f>
        <v>44.721359549995796</v>
      </c>
      <c r="AA200" s="12">
        <f>HC[[#This Row],[ap (cm)]]*HC[[#This Row],[bp (cm)]]</f>
        <v>2000</v>
      </c>
      <c r="AB200" s="12">
        <f ca="1">IF(HC[[#This Row],[Padm∙ε (kN)]]&gt;=HC[[#This Row],[Padm (kN)]],ROUNDUP(1.05*HC[[#This Row],[Nsd (kN)]]/HC[[#This Row],[Padm (kN)]],0),ROUNDUP(1.05*HC[[#This Row],[Nsd (kN)]]/HC[[#This Row],[Padm (kN)]],0)+1)</f>
        <v>2</v>
      </c>
      <c r="AC200" s="4">
        <f ca="1">IFERROR(IF(HC[[#This Row],[nE]]=1,HC[[#This Row],[Padm (kN)]],HC[[#This Row],[Padm (kN)]]*HC[[#This Row],[nE]]*INDEX(grupoEstacas[],HC[[#This Row],[nE]],MATCH("ε",grupoEstacas[#Headers],0))),"N.S.")</f>
        <v>2774.4190122014861</v>
      </c>
      <c r="AD200" s="4">
        <f ca="1">1.05*HC[[#This Row],[Nsd (kN)]]/(HC[[#This Row],[nE]]*PI()*HC[[#This Row],[Ø (cm)]]^2/4)*10</f>
        <v>3.24941342145953</v>
      </c>
      <c r="AE200" s="4">
        <f ca="1">IF(HC[[#This Row],[σ (MPa)]]&lt;INDEX(tipoEstaca[],MATCH($D$2,tipoEstaca[TIPO DE ESTACA],0),MATCH("σmáx (MPa)",tipoEstaca[#Headers],0)),0.4%*PI()*HC[[#This Row],[Ø (cm)]]^2/4,"N.S.")</f>
        <v>11.309733552923255</v>
      </c>
      <c r="AF200" s="1">
        <f>INDEX(tipoEstaca[],MATCH($D$2,tipoEstaca[TIPO DE ESTACA],0),MATCH(HC[[#Headers],[Comprimento (m)]],tipoEstaca[#Headers],0))</f>
        <v>4</v>
      </c>
      <c r="AG200" s="5">
        <f ca="1">HC[[#This Row],[As,mín (cm²)]]/100^2*HC[[#This Row],[Comprimento (m)]]*7850</f>
        <v>35.512563356179022</v>
      </c>
      <c r="AH200" s="4">
        <f ca="1">HC[[#This Row],[nE]]*HC[[#This Row],[Prof. (m)]]*HC[[#This Row],[Ap (m²)]]</f>
        <v>7.3513268094001161</v>
      </c>
      <c r="AI200" s="1">
        <f ca="1">IF(HC[[#This Row],[nE]]=1,0,MAX(3*HC[[#This Row],[Ø (cm)]],60))</f>
        <v>180</v>
      </c>
      <c r="AJ200" s="1">
        <f ca="1">IF(HC[[#This Row],[nE]]=1,HC[[#This Row],[Ø (cm)]]+2*10,MAX(1.5*HC[[#This Row],[Ø (cm)]],HC[[#This Row],[Ø (cm)]]+15))</f>
        <v>90</v>
      </c>
      <c r="AK200" s="1">
        <f ca="1">alturaUtil(HC[[#This Row],[nE]],HC[[#This Row],[Ø (cm)]],HC[[#This Row],[e (cm)]],HC[[#This Row],[ap,eq (cm)]])</f>
        <v>80</v>
      </c>
      <c r="AL200" s="1">
        <f ca="1">IFERROR(HC[[#This Row],[d (cm)]]+arredondarParaCimaMultiplo5cm(MAX(5,SQRT(PI())/2*HC[[#This Row],[Ø (cm)]]/5)),"N.S.")</f>
        <v>95</v>
      </c>
      <c r="AM200" s="5">
        <f ca="1">alpha(HC[[#This Row],[nE]],HC[[#This Row],[d (cm)]],HC[[#This Row],[e (cm)]],HC[[#This Row],[ap,eq (cm)]])</f>
        <v>45.425811570240704</v>
      </c>
      <c r="AN200" s="35">
        <f ca="1">IFERROR(HC[[#This Row],[Nsd (kN)]]/(HC[[#This Row],[Ap (cm²)]]*SIN(HC[[#This Row],[α]])^2),"N.S.")</f>
        <v>0.88933011875433565</v>
      </c>
      <c r="AO200" s="35">
        <f ca="1">IFERROR(HC[[#This Row],[Nsd (kN)]]/(HC[[#This Row],[nE]]*PI()*HC[[#This Row],[Ø (cm)]]^2/4*SIN(HC[[#This Row],[α]])^2),"N.S.")</f>
        <v>0.31453618764501073</v>
      </c>
      <c r="AP200" s="4">
        <f ca="1">IFERROR(INDEX(grupoEstacas[],HC[[#This Row],[nE]],MATCH("coef. Blévot",grupoEstacas[#Headers],0)),"N.S.")</f>
        <v>1.4</v>
      </c>
      <c r="AQ200" s="35">
        <f ca="1">IFERROR(HC[[#This Row],[coef. Blévot]]*0.9*INDEX(tipoEstaca[],MATCH($D$2,tipoEstaca[TIPO DE ESTACA],0),MATCH("fcd (kN/cm²)",tipoEstaca[#Headers],0)),"N.S.")</f>
        <v>1.4000000000000001</v>
      </c>
      <c r="AR200" s="1" t="str">
        <f ca="1">IF(AND(HC[[#This Row],[cd,b,pil (kN/cm²)]]&lt;=HC[[#This Row],[cd,b,lim (kN/cm²)]],HC[[#This Row],[cd,b,est (kN/cm²)]]&lt;=HC[[#This Row],[cd,b,lim (kN/cm²)]]),"OK","ERRO")</f>
        <v>OK</v>
      </c>
      <c r="AS200" s="4">
        <f ca="1">As_lado(HC[[#This Row],[nE]],HC[[#This Row],[Nsd (kN)]],HC[[#This Row],[d (cm)]],HC[[#This Row],[e (cm)]],HC[[#This Row],[ap,eq (cm)]])</f>
        <v>22.802281359108701</v>
      </c>
      <c r="AT200" s="4">
        <f ca="1">IF(HC[[#This Row],[nE]]=1,HC[[#This Row],[As,lado (cm²)]],IF(HC[[#This Row],[nE]]=2,0.075*2*HC[a (cm)],"N.A."))</f>
        <v>13.5</v>
      </c>
      <c r="AU200" s="4">
        <f ca="1">IFERROR(IF(HC[[#This Row],[nE]]=1,"N.A.",0.2*HC[[#This Row],[As,lado (cm²)]]),"N.S.")</f>
        <v>4.5604562718217405</v>
      </c>
      <c r="AV200" s="4" t="str">
        <f ca="1">As_malha(HC[[#This Row],[nE]],HC[[#This Row],[As,lado (cm²)]],HC[[#This Row],[Nsd (kN)]])</f>
        <v>N.A.</v>
      </c>
      <c r="AW200" s="4" t="str">
        <f ca="1">As_susp_tot(HC[[#This Row],[nE]],HC[[#This Row],[Nsd (kN)]])</f>
        <v>N.A.</v>
      </c>
      <c r="AX200" s="4" t="str">
        <f ca="1">Asp_face(HC[[#This Row],[nE]],HC[[#This Row],[As,lado (cm²)]])</f>
        <v>N.A.</v>
      </c>
      <c r="AY200" s="5">
        <f ca="1">acoBloco(HC[[#This Row],[nE]],HC[[#This Row],[e (cm)]],HC[[#This Row],[a (cm)]],HC[[#This Row],[h (cm)]],HC[[#This Row],[As,lado (cm²)]],HC[[#This Row],[Asp e Asw (cm²/m)]],HC[[#This Row],[As,sup (cm²)]],HC[[#This Row],[As,malha (cm²)]],HC[[#This Row],[As,susp,tot (cm²)]],HC[[#This Row],[Asp,face (cm²)]])</f>
        <v>395.88794654500941</v>
      </c>
      <c r="AZ200" s="4">
        <f ca="1">concretoBloco(HC[[#This Row],[nE]],HC[[#This Row],[e (cm)]],HC[[#This Row],[a (cm)]],HC[[#This Row],[h (cm)]])</f>
        <v>6.1559999999999997</v>
      </c>
      <c r="BA200" s="5">
        <f ca="1">SUM(HC[[#This Row],[Aço Est (kg)]],HC[[#This Row],[Aço Bloco (kg)]])</f>
        <v>431.40050990118846</v>
      </c>
      <c r="BB200" s="4">
        <f>INDEX(composicoes[],MATCH(95580,composicoes[CÓDIGO],0),MATCH("CUSTO TOTAL",composicoes[#Headers],0))</f>
        <v>10.46</v>
      </c>
      <c r="BC200" s="4">
        <f ca="1">SUM(HC[[#This Row],[Conc Est (m³)]],HC[[#This Row],[Conc Bloco (m³)]])</f>
        <v>13.507326809400116</v>
      </c>
      <c r="BD200" s="4">
        <f>INDEX(composicoes[],MATCH(94966,composicoes[CÓDIGO],0),MATCH("CUSTO TOTAL",composicoes[#Headers],0))</f>
        <v>439.52</v>
      </c>
      <c r="BE200" s="38">
        <f ca="1">HC[[#This Row],[Aço (kg)]]*HC[[#This Row],[Aço (R$/kg)]]+HC[[#This Row],[Conc (m³)]]*HC[[#This Row],[Conc (R$/m³)]]</f>
        <v>10449.18961283397</v>
      </c>
      <c r="BF200" s="4" t="str">
        <f ca="1">IF(COUNTIF(HC[#This Row],"N.S.")&gt;0,"lim.","OK")</f>
        <v>OK</v>
      </c>
      <c r="BG200" s="4" t="str">
        <f>IF(HC[[#This Row],[Prof. (m)]]&lt;4,"lim.","OK")</f>
        <v>OK</v>
      </c>
      <c r="BH200" s="4" t="str">
        <f>IF(HC[[#This Row],[Prof. (m)]]&gt;=8*HC[[#This Row],[Ø (cm)]]/100,"OK","lim.")</f>
        <v>OK</v>
      </c>
      <c r="BI200" s="4" t="str">
        <f ca="1">IF(HC[[#This Row],[Verif. Biela]]="OK","OK","lim.")</f>
        <v>OK</v>
      </c>
      <c r="BJ200" s="4" t="str">
        <f ca="1">IF(COUNTA(HC[[#This Row],[Nº Est.]:[Biela comp.]])=COUNTIF(HC[[#This Row],[Nº Est.]:[Biela comp.]],"OK"),"OK","lim.")</f>
        <v>OK</v>
      </c>
      <c r="BK200" s="4" t="str">
        <f ca="1">IF(HC[[#This Row],[Controle]]="OK",HC[[#This Row],[nE]]&amp;" Ø"&amp;HC[[#This Row],[Ø (cm)]]&amp;"cm Prof. "&amp;HC[[#This Row],[Prof. (m)]]&amp;" m","")</f>
        <v>2 Ø60cm Prof. 13 m</v>
      </c>
      <c r="BL200" s="4" t="str">
        <f ca="1">IF(HC[[#This Row],[idDimensionamento]]="","",HC[[#This Row],[idPilar]]&amp;HC[[#This Row],[idDimensionamento]])</f>
        <v>22 Ø60cm Prof. 13 m</v>
      </c>
    </row>
    <row r="201" spans="2:64" x14ac:dyDescent="0.25">
      <c r="B201" s="12">
        <f>ROUNDUP((ROW(HC[[#This Row],[idDiâmetro]])-ROW(HC[[#Headers],[idDiâmetro]]))/(COUNT(SPT[Prof. (m)])*COUNT(PILARES[Pilar])),0)</f>
        <v>8</v>
      </c>
      <c r="C201" s="12">
        <f>IF(HC[[#This Row],[idDiâmetro]]&lt;&gt;B200,1,IF(HC[[#This Row],[Prof. (m)]]=0,C200+1,C200))</f>
        <v>1</v>
      </c>
      <c r="D201" s="1">
        <f>IFERROR(IF(D200=MAX(SPT[Prof. (m)]),0,D200+1),0)</f>
        <v>0</v>
      </c>
      <c r="E201" s="1">
        <f>INDEX(SPT[],MATCH(HC[[#This Row],[Prof. (m)]],SPT[Prof. (m)],0),2)</f>
        <v>0</v>
      </c>
      <c r="F201" s="1" t="str">
        <f>INDEX(SPT[],MATCH(HC[[#This Row],[Prof. (m)]],SPT[Prof. (m)],0),3)</f>
        <v>Areia siltosa</v>
      </c>
      <c r="G201" s="1">
        <f>INDEX(estacas[],HC[[#This Row],[idDiâmetro]],MATCH($B$2,estacas[#Headers],0))</f>
        <v>70</v>
      </c>
      <c r="H201" s="1">
        <f>INDEX(estacas[],MATCH(HC[[#This Row],[Ø (cm)]],estacas[Ø HC (cm)],0),MATCH(HC[[#Headers],[Pe HC (kN)]],estacas[#Headers],0))</f>
        <v>2450</v>
      </c>
      <c r="I201" s="4">
        <f>INDEX(K_alpha_C[],MATCH(HC[[#This Row],[Solo]],K_alpha_C[Solo],0),2)</f>
        <v>0.8</v>
      </c>
      <c r="J201" s="5">
        <f>INDEX(K_alpha_C[],MATCH(HC[[#This Row],[Solo]],K_alpha_C[Solo],0),3)</f>
        <v>2</v>
      </c>
      <c r="K201" s="4">
        <f>INDEX(F1_F2[],MATCH($D$2,F1_F2[Tipo de estaca],0),2)</f>
        <v>2</v>
      </c>
      <c r="L201" s="4">
        <f>INDEX(F1_F2[],MATCH($D$2,F1_F2[Tipo de estaca],0),3)</f>
        <v>4</v>
      </c>
      <c r="M201" s="4">
        <f>PI()*(HC[[#This Row],[Ø (cm)]]/100)^2/4</f>
        <v>0.38484510006474959</v>
      </c>
      <c r="N201" s="4">
        <f>PI()*HC[[#This Row],[Ø (cm)]]/100</f>
        <v>2.1991148575128552</v>
      </c>
      <c r="O201" s="4">
        <f>IF(HC[[#This Row],[Prof. (m)]]=0,0,HC[[#This Row],[α (%)]]/100*HC[[#This Row],[K (MPa)]]*1000*HC[[#This Row],[NSPT]])</f>
        <v>0</v>
      </c>
      <c r="P201" s="4">
        <f>IF(HC[[#This Row],[Prof. (m)]]=0,0,(HC[[#This Row],[K (MPa)]]*1000*HC[[#This Row],[NSPT]]/HC[[#This Row],[F1]]*HC[[#This Row],[Ap (m²)]]+HC[[#This Row],[U (m)]]/HC[[#This Row],[F2]]*SUMIFS(HC[(α∙K∙NL∙ΔL)],HC[Prof. (m)],"&lt;="&amp;HC[[#This Row],[Prof. (m)]],HC[idDiâmetro],HC[[#This Row],[idDiâmetro]],HC[idPilar],HC[[#This Row],[idPilar]]))/'DADOS CAP. CARGA'!$D$2)</f>
        <v>0</v>
      </c>
      <c r="Q201" s="12">
        <f>INDEX(C_alpha_beta[],MATCH(HC[[#This Row],[Solo]],C_alpha_beta[Solo],0),MATCH(HC[[#Headers],[C (kPa)]],C_alpha_beta[#Headers],0))</f>
        <v>400</v>
      </c>
      <c r="R201" s="4">
        <f>INDEX(C_alpha_beta[],MATCH(HC[[#This Row],[Solo]],C_alpha_beta[Solo],0),MATCH(HC[[#Headers],[α ESF]],C_alpha_beta[#Headers],0))</f>
        <v>0.5</v>
      </c>
      <c r="S201" s="4">
        <f>INDEX(C_alpha_beta[],MATCH(HC[[#This Row],[Solo]],C_alpha_beta[Solo],0),MATCH(HC[[#Headers],[β ESF]],C_alpha_beta[#Headers],0))</f>
        <v>0.5</v>
      </c>
      <c r="T201" s="4">
        <f>IF(HC[[#This Row],[Prof. (m)]]=0,0,10*(HC[[#This Row],[NSPT]]/3+1))</f>
        <v>0</v>
      </c>
      <c r="U201" s="4">
        <f>(HC[[#This Row],[α ESF]]*HC[[#This Row],[C (kPa)]]*HC[[#This Row],[NSPT]]*HC[[#This Row],[Ap (m²)]])/'DADOS CAP. CARGA'!$Q$2+(HC[[#This Row],[β ESF]]*SUMIFS(HC[10∙(NL/3+1)],HC[Prof. (m)],"&lt;="&amp;HC[[#This Row],[Prof. (m)]],HC[idDiâmetro],HC[[#This Row],[idDiâmetro]],HC[idPilar],HC[[#This Row],[idPilar]])*HC[[#This Row],[U (m)]])/'DADOS CAP. CARGA'!$S$2</f>
        <v>0</v>
      </c>
      <c r="V201" s="4">
        <f>IF(SPT!$M$5=1,MIN(HC[[#This Row],[Pe HC (kN)]],HC[[#This Row],[R_AV (kN)]]),IF(SPT!$M$5=2,MIN(HC[[#This Row],[Pe HC (kN)]],HC[[#This Row],[R_DC (kN)]]),MIN(HC[[#This Row],[Pe HC (kN)]],HC[[#This Row],[R_AV (kN)]],HC[[#This Row],[R_DC (kN)]])))</f>
        <v>0</v>
      </c>
      <c r="W201" s="4">
        <f>INDEX(PILARES[],HC[[#This Row],[idPilar]],MATCH("Carga (kN)",PILARES[#Headers],0))*1.4</f>
        <v>3500</v>
      </c>
      <c r="X201" s="12">
        <f>INDEX(PILARES[],HC[[#This Row],[idPilar]],MATCH(HC[[#Headers],[ap (cm)]],PILARES[#Headers],0))</f>
        <v>60</v>
      </c>
      <c r="Y201" s="12">
        <f>INDEX(PILARES[],HC[[#This Row],[idPilar]],MATCH(HC[[#Headers],[bp (cm)]],PILARES[#Headers],0))</f>
        <v>60</v>
      </c>
      <c r="Z201" s="4">
        <f>SQRT(HC[[#This Row],[ap (cm)]]*HC[[#This Row],[bp (cm)]])</f>
        <v>60</v>
      </c>
      <c r="AA201" s="12">
        <f>HC[[#This Row],[ap (cm)]]*HC[[#This Row],[bp (cm)]]</f>
        <v>3600</v>
      </c>
      <c r="AB201" s="12" t="e">
        <f ca="1">IF(HC[[#This Row],[Padm∙ε (kN)]]&gt;=HC[[#This Row],[Padm (kN)]],ROUNDUP(1.05*HC[[#This Row],[Nsd (kN)]]/HC[[#This Row],[Padm (kN)]],0),ROUNDUP(1.05*HC[[#This Row],[Nsd (kN)]]/HC[[#This Row],[Padm (kN)]],0)+1)</f>
        <v>#DIV/0!</v>
      </c>
      <c r="AC201" s="4" t="str">
        <f ca="1">IFERROR(IF(HC[[#This Row],[nE]]=1,HC[[#This Row],[Padm (kN)]],HC[[#This Row],[Padm (kN)]]*HC[[#This Row],[nE]]*INDEX(grupoEstacas[],HC[[#This Row],[nE]],MATCH("ε",grupoEstacas[#Headers],0))),"N.S.")</f>
        <v>N.S.</v>
      </c>
      <c r="AD201" s="4" t="e">
        <f ca="1">1.05*HC[[#This Row],[Nsd (kN)]]/(HC[[#This Row],[nE]]*PI()*HC[[#This Row],[Ø (cm)]]^2/4)*10</f>
        <v>#DIV/0!</v>
      </c>
      <c r="AE201" s="4" t="e">
        <f ca="1">IF(HC[[#This Row],[σ (MPa)]]&lt;INDEX(tipoEstaca[],MATCH($D$2,tipoEstaca[TIPO DE ESTACA],0),MATCH("σmáx (MPa)",tipoEstaca[#Headers],0)),0.4%*PI()*HC[[#This Row],[Ø (cm)]]^2/4,"N.S.")</f>
        <v>#DIV/0!</v>
      </c>
      <c r="AF201" s="1">
        <f>INDEX(tipoEstaca[],MATCH($D$2,tipoEstaca[TIPO DE ESTACA],0),MATCH(HC[[#Headers],[Comprimento (m)]],tipoEstaca[#Headers],0))</f>
        <v>4</v>
      </c>
      <c r="AG201" s="5" t="e">
        <f ca="1">HC[[#This Row],[As,mín (cm²)]]/100^2*HC[[#This Row],[Comprimento (m)]]*7850</f>
        <v>#DIV/0!</v>
      </c>
      <c r="AH201" s="4" t="e">
        <f ca="1">HC[[#This Row],[nE]]*HC[[#This Row],[Prof. (m)]]*HC[[#This Row],[Ap (m²)]]</f>
        <v>#DIV/0!</v>
      </c>
      <c r="AI201" s="1" t="e">
        <f ca="1">IF(HC[[#This Row],[nE]]=1,0,MAX(3*HC[[#This Row],[Ø (cm)]],60))</f>
        <v>#DIV/0!</v>
      </c>
      <c r="AJ201" s="1" t="e">
        <f ca="1">IF(HC[[#This Row],[nE]]=1,HC[[#This Row],[Ø (cm)]]+2*10,MAX(1.5*HC[[#This Row],[Ø (cm)]],HC[[#This Row],[Ø (cm)]]+15))</f>
        <v>#DIV/0!</v>
      </c>
      <c r="AK201" s="1" t="e">
        <f ca="1">alturaUtil(HC[[#This Row],[nE]],HC[[#This Row],[Ø (cm)]],HC[[#This Row],[e (cm)]],HC[[#This Row],[ap,eq (cm)]])</f>
        <v>#VALUE!</v>
      </c>
      <c r="AL201" s="1" t="str">
        <f ca="1">IFERROR(HC[[#This Row],[d (cm)]]+arredondarParaCimaMultiplo5cm(MAX(5,SQRT(PI())/2*HC[[#This Row],[Ø (cm)]]/5)),"N.S.")</f>
        <v>N.S.</v>
      </c>
      <c r="AM201" s="5" t="e">
        <f ca="1">alpha(HC[[#This Row],[nE]],HC[[#This Row],[d (cm)]],HC[[#This Row],[e (cm)]],HC[[#This Row],[ap,eq (cm)]])</f>
        <v>#VALUE!</v>
      </c>
      <c r="AN201" s="35" t="str">
        <f ca="1">IFERROR(HC[[#This Row],[Nsd (kN)]]/(HC[[#This Row],[Ap (cm²)]]*SIN(HC[[#This Row],[α]])^2),"N.S.")</f>
        <v>N.S.</v>
      </c>
      <c r="AO201" s="35" t="str">
        <f ca="1">IFERROR(HC[[#This Row],[Nsd (kN)]]/(HC[[#This Row],[nE]]*PI()*HC[[#This Row],[Ø (cm)]]^2/4*SIN(HC[[#This Row],[α]])^2),"N.S.")</f>
        <v>N.S.</v>
      </c>
      <c r="AP201" s="4" t="str">
        <f ca="1">IFERROR(INDEX(grupoEstacas[],HC[[#This Row],[nE]],MATCH("coef. Blévot",grupoEstacas[#Headers],0)),"N.S.")</f>
        <v>N.S.</v>
      </c>
      <c r="AQ201" s="35" t="str">
        <f ca="1">IFERROR(HC[[#This Row],[coef. Blévot]]*0.9*INDEX(tipoEstaca[],MATCH($D$2,tipoEstaca[TIPO DE ESTACA],0),MATCH("fcd (kN/cm²)",tipoEstaca[#Headers],0)),"N.S.")</f>
        <v>N.S.</v>
      </c>
      <c r="AR201" s="1" t="str">
        <f ca="1">IF(AND(HC[[#This Row],[cd,b,pil (kN/cm²)]]&lt;=HC[[#This Row],[cd,b,lim (kN/cm²)]],HC[[#This Row],[cd,b,est (kN/cm²)]]&lt;=HC[[#This Row],[cd,b,lim (kN/cm²)]]),"OK","ERRO")</f>
        <v>OK</v>
      </c>
      <c r="AS201" s="4" t="e">
        <f ca="1">As_lado(HC[[#This Row],[nE]],HC[[#This Row],[Nsd (kN)]],HC[[#This Row],[d (cm)]],HC[[#This Row],[e (cm)]],HC[[#This Row],[ap,eq (cm)]])</f>
        <v>#VALUE!</v>
      </c>
      <c r="AT201" s="4" t="e">
        <f ca="1">IF(HC[[#This Row],[nE]]=1,HC[[#This Row],[As,lado (cm²)]],IF(HC[[#This Row],[nE]]=2,0.075*2*HC[a (cm)],"N.A."))</f>
        <v>#DIV/0!</v>
      </c>
      <c r="AU201" s="4" t="str">
        <f ca="1">IFERROR(IF(HC[[#This Row],[nE]]=1,"N.A.",0.2*HC[[#This Row],[As,lado (cm²)]]),"N.S.")</f>
        <v>N.S.</v>
      </c>
      <c r="AV201" s="4" t="e">
        <f ca="1">As_malha(HC[[#This Row],[nE]],HC[[#This Row],[As,lado (cm²)]],HC[[#This Row],[Nsd (kN)]])</f>
        <v>#VALUE!</v>
      </c>
      <c r="AW201" s="4" t="e">
        <f ca="1">As_susp_tot(HC[[#This Row],[nE]],HC[[#This Row],[Nsd (kN)]])</f>
        <v>#VALUE!</v>
      </c>
      <c r="AX201" s="4" t="e">
        <f ca="1">Asp_face(HC[[#This Row],[nE]],HC[[#This Row],[As,lado (cm²)]])</f>
        <v>#VALUE!</v>
      </c>
      <c r="AY201" s="5" t="e">
        <f ca="1">acoBloco(HC[[#This Row],[nE]],HC[[#This Row],[e (cm)]],HC[[#This Row],[a (cm)]],HC[[#This Row],[h (cm)]],HC[[#This Row],[As,lado (cm²)]],HC[[#This Row],[Asp e Asw (cm²/m)]],HC[[#This Row],[As,sup (cm²)]],HC[[#This Row],[As,malha (cm²)]],HC[[#This Row],[As,susp,tot (cm²)]],HC[[#This Row],[Asp,face (cm²)]])</f>
        <v>#VALUE!</v>
      </c>
      <c r="AZ201" s="4" t="e">
        <f ca="1">concretoBloco(HC[[#This Row],[nE]],HC[[#This Row],[e (cm)]],HC[[#This Row],[a (cm)]],HC[[#This Row],[h (cm)]])</f>
        <v>#VALUE!</v>
      </c>
      <c r="BA201" s="5" t="e">
        <f ca="1">SUM(HC[[#This Row],[Aço Est (kg)]],HC[[#This Row],[Aço Bloco (kg)]])</f>
        <v>#DIV/0!</v>
      </c>
      <c r="BB201" s="4">
        <f>INDEX(composicoes[],MATCH(95580,composicoes[CÓDIGO],0),MATCH("CUSTO TOTAL",composicoes[#Headers],0))</f>
        <v>10.46</v>
      </c>
      <c r="BC201" s="4" t="e">
        <f ca="1">SUM(HC[[#This Row],[Conc Est (m³)]],HC[[#This Row],[Conc Bloco (m³)]])</f>
        <v>#DIV/0!</v>
      </c>
      <c r="BD201" s="4">
        <f>INDEX(composicoes[],MATCH(94966,composicoes[CÓDIGO],0),MATCH("CUSTO TOTAL",composicoes[#Headers],0))</f>
        <v>439.52</v>
      </c>
      <c r="BE201" s="38" t="e">
        <f ca="1">HC[[#This Row],[Aço (kg)]]*HC[[#This Row],[Aço (R$/kg)]]+HC[[#This Row],[Conc (m³)]]*HC[[#This Row],[Conc (R$/m³)]]</f>
        <v>#DIV/0!</v>
      </c>
      <c r="BF201" s="4" t="str">
        <f ca="1">IF(COUNTIF(HC[#This Row],"N.S.")&gt;0,"lim.","OK")</f>
        <v>lim.</v>
      </c>
      <c r="BG201" s="4" t="str">
        <f>IF(HC[[#This Row],[Prof. (m)]]&lt;4,"lim.","OK")</f>
        <v>lim.</v>
      </c>
      <c r="BH201" s="4" t="str">
        <f>IF(HC[[#This Row],[Prof. (m)]]&gt;=8*HC[[#This Row],[Ø (cm)]]/100,"OK","lim.")</f>
        <v>lim.</v>
      </c>
      <c r="BI201" s="4" t="str">
        <f ca="1">IF(HC[[#This Row],[Verif. Biela]]="OK","OK","lim.")</f>
        <v>OK</v>
      </c>
      <c r="BJ201" s="4" t="str">
        <f ca="1">IF(COUNTA(HC[[#This Row],[Nº Est.]:[Biela comp.]])=COUNTIF(HC[[#This Row],[Nº Est.]:[Biela comp.]],"OK"),"OK","lim.")</f>
        <v>lim.</v>
      </c>
      <c r="BK201" s="4" t="str">
        <f ca="1">IF(HC[[#This Row],[Controle]]="OK",HC[[#This Row],[nE]]&amp;" Ø"&amp;HC[[#This Row],[Ø (cm)]]&amp;"cm Prof. "&amp;HC[[#This Row],[Prof. (m)]]&amp;" m","")</f>
        <v/>
      </c>
      <c r="BL201" s="4" t="str">
        <f ca="1">IF(HC[[#This Row],[idDimensionamento]]="","",HC[[#This Row],[idPilar]]&amp;HC[[#This Row],[idDimensionamento]])</f>
        <v/>
      </c>
    </row>
    <row r="202" spans="2:64" x14ac:dyDescent="0.25">
      <c r="B202" s="12">
        <f>ROUNDUP((ROW(HC[[#This Row],[idDiâmetro]])-ROW(HC[[#Headers],[idDiâmetro]]))/(COUNT(SPT[Prof. (m)])*COUNT(PILARES[Pilar])),0)</f>
        <v>8</v>
      </c>
      <c r="C202" s="12">
        <f>IF(HC[[#This Row],[idDiâmetro]]&lt;&gt;B201,1,IF(HC[[#This Row],[Prof. (m)]]=0,C201+1,C201))</f>
        <v>1</v>
      </c>
      <c r="D202" s="1">
        <f>IFERROR(IF(D201=MAX(SPT[Prof. (m)]),0,D201+1),0)</f>
        <v>1</v>
      </c>
      <c r="E202" s="1">
        <f>INDEX(SPT[],MATCH(HC[[#This Row],[Prof. (m)]],SPT[Prof. (m)],0),2)</f>
        <v>2</v>
      </c>
      <c r="F202" s="1" t="str">
        <f>INDEX(SPT[],MATCH(HC[[#This Row],[Prof. (m)]],SPT[Prof. (m)],0),3)</f>
        <v>Areia siltosa</v>
      </c>
      <c r="G202" s="1">
        <f>INDEX(estacas[],HC[[#This Row],[idDiâmetro]],MATCH($B$2,estacas[#Headers],0))</f>
        <v>70</v>
      </c>
      <c r="H202" s="1">
        <f>INDEX(estacas[],MATCH(HC[[#This Row],[Ø (cm)]],estacas[Ø HC (cm)],0),MATCH(HC[[#Headers],[Pe HC (kN)]],estacas[#Headers],0))</f>
        <v>2450</v>
      </c>
      <c r="I202" s="4">
        <f>INDEX(K_alpha_C[],MATCH(HC[[#This Row],[Solo]],K_alpha_C[Solo],0),2)</f>
        <v>0.8</v>
      </c>
      <c r="J202" s="5">
        <f>INDEX(K_alpha_C[],MATCH(HC[[#This Row],[Solo]],K_alpha_C[Solo],0),3)</f>
        <v>2</v>
      </c>
      <c r="K202" s="4">
        <f>INDEX(F1_F2[],MATCH($D$2,F1_F2[Tipo de estaca],0),2)</f>
        <v>2</v>
      </c>
      <c r="L202" s="4">
        <f>INDEX(F1_F2[],MATCH($D$2,F1_F2[Tipo de estaca],0),3)</f>
        <v>4</v>
      </c>
      <c r="M202" s="4">
        <f>PI()*(HC[[#This Row],[Ø (cm)]]/100)^2/4</f>
        <v>0.38484510006474959</v>
      </c>
      <c r="N202" s="4">
        <f>PI()*HC[[#This Row],[Ø (cm)]]/100</f>
        <v>2.1991148575128552</v>
      </c>
      <c r="O202" s="4">
        <f>IF(HC[[#This Row],[Prof. (m)]]=0,0,HC[[#This Row],[α (%)]]/100*HC[[#This Row],[K (MPa)]]*1000*HC[[#This Row],[NSPT]])</f>
        <v>32</v>
      </c>
      <c r="P202" s="4">
        <f>IF(HC[[#This Row],[Prof. (m)]]=0,0,(HC[[#This Row],[K (MPa)]]*1000*HC[[#This Row],[NSPT]]/HC[[#This Row],[F1]]*HC[[#This Row],[Ap (m²)]]+HC[[#This Row],[U (m)]]/HC[[#This Row],[F2]]*SUMIFS(HC[(α∙K∙NL∙ΔL)],HC[Prof. (m)],"&lt;="&amp;HC[[#This Row],[Prof. (m)]],HC[idDiâmetro],HC[[#This Row],[idDiâmetro]],HC[idPilar],HC[[#This Row],[idPilar]]))/'DADOS CAP. CARGA'!$D$2)</f>
        <v>162.73449945595124</v>
      </c>
      <c r="Q202" s="12">
        <f>INDEX(C_alpha_beta[],MATCH(HC[[#This Row],[Solo]],C_alpha_beta[Solo],0),MATCH(HC[[#Headers],[C (kPa)]],C_alpha_beta[#Headers],0))</f>
        <v>400</v>
      </c>
      <c r="R202" s="4">
        <f>INDEX(C_alpha_beta[],MATCH(HC[[#This Row],[Solo]],C_alpha_beta[Solo],0),MATCH(HC[[#Headers],[α ESF]],C_alpha_beta[#Headers],0))</f>
        <v>0.5</v>
      </c>
      <c r="S202" s="4">
        <f>INDEX(C_alpha_beta[],MATCH(HC[[#This Row],[Solo]],C_alpha_beta[Solo],0),MATCH(HC[[#Headers],[β ESF]],C_alpha_beta[#Headers],0))</f>
        <v>0.5</v>
      </c>
      <c r="T202" s="4">
        <f>IF(HC[[#This Row],[Prof. (m)]]=0,0,10*(HC[[#This Row],[NSPT]]/3+1))</f>
        <v>16.666666666666664</v>
      </c>
      <c r="U202" s="4">
        <f>(HC[[#This Row],[α ESF]]*HC[[#This Row],[C (kPa)]]*HC[[#This Row],[NSPT]]*HC[[#This Row],[Ap (m²)]])/'DADOS CAP. CARGA'!$Q$2+(HC[[#This Row],[β ESF]]*SUMIFS(HC[10∙(NL/3+1)],HC[Prof. (m)],"&lt;="&amp;HC[[#This Row],[Prof. (m)]],HC[idDiâmetro],HC[[#This Row],[idDiâmetro]],HC[idPilar],HC[[#This Row],[idPilar]])*HC[[#This Row],[U (m)]])/'DADOS CAP. CARGA'!$S$2</f>
        <v>47.647488579445181</v>
      </c>
      <c r="V202" s="4">
        <f>IF(SPT!$M$5=1,MIN(HC[[#This Row],[Pe HC (kN)]],HC[[#This Row],[R_AV (kN)]]),IF(SPT!$M$5=2,MIN(HC[[#This Row],[Pe HC (kN)]],HC[[#This Row],[R_DC (kN)]]),MIN(HC[[#This Row],[Pe HC (kN)]],HC[[#This Row],[R_AV (kN)]],HC[[#This Row],[R_DC (kN)]])))</f>
        <v>47.647488579445181</v>
      </c>
      <c r="W202" s="4">
        <f>INDEX(PILARES[],HC[[#This Row],[idPilar]],MATCH("Carga (kN)",PILARES[#Headers],0))*1.4</f>
        <v>3500</v>
      </c>
      <c r="X202" s="12">
        <f>INDEX(PILARES[],HC[[#This Row],[idPilar]],MATCH(HC[[#Headers],[ap (cm)]],PILARES[#Headers],0))</f>
        <v>60</v>
      </c>
      <c r="Y202" s="12">
        <f>INDEX(PILARES[],HC[[#This Row],[idPilar]],MATCH(HC[[#Headers],[bp (cm)]],PILARES[#Headers],0))</f>
        <v>60</v>
      </c>
      <c r="Z202" s="4">
        <f>SQRT(HC[[#This Row],[ap (cm)]]*HC[[#This Row],[bp (cm)]])</f>
        <v>60</v>
      </c>
      <c r="AA202" s="12">
        <f>HC[[#This Row],[ap (cm)]]*HC[[#This Row],[bp (cm)]]</f>
        <v>3600</v>
      </c>
      <c r="AB202" s="12">
        <f ca="1">IF(HC[[#This Row],[Padm∙ε (kN)]]&gt;=HC[[#This Row],[Padm (kN)]],ROUNDUP(1.05*HC[[#This Row],[Nsd (kN)]]/HC[[#This Row],[Padm (kN)]],0),ROUNDUP(1.05*HC[[#This Row],[Nsd (kN)]]/HC[[#This Row],[Padm (kN)]],0)+1)</f>
        <v>78</v>
      </c>
      <c r="AC202" s="4" t="str">
        <f ca="1">IFERROR(IF(HC[[#This Row],[nE]]=1,HC[[#This Row],[Padm (kN)]],HC[[#This Row],[Padm (kN)]]*HC[[#This Row],[nE]]*INDEX(grupoEstacas[],HC[[#This Row],[nE]],MATCH("ε",grupoEstacas[#Headers],0))),"N.S.")</f>
        <v>N.S.</v>
      </c>
      <c r="AD202" s="4">
        <f ca="1">1.05*HC[[#This Row],[Nsd (kN)]]/(HC[[#This Row],[nE]]*PI()*HC[[#This Row],[Ø (cm)]]^2/4)*10</f>
        <v>0.12242687930145796</v>
      </c>
      <c r="AE202" s="4">
        <f ca="1">IF(HC[[#This Row],[σ (MPa)]]&lt;INDEX(tipoEstaca[],MATCH($D$2,tipoEstaca[TIPO DE ESTACA],0),MATCH("σmáx (MPa)",tipoEstaca[#Headers],0)),0.4%*PI()*HC[[#This Row],[Ø (cm)]]^2/4,"N.S.")</f>
        <v>15.393804002589988</v>
      </c>
      <c r="AF202" s="1">
        <f>INDEX(tipoEstaca[],MATCH($D$2,tipoEstaca[TIPO DE ESTACA],0),MATCH(HC[[#Headers],[Comprimento (m)]],tipoEstaca[#Headers],0))</f>
        <v>4</v>
      </c>
      <c r="AG202" s="5">
        <f ca="1">HC[[#This Row],[As,mín (cm²)]]/100^2*HC[[#This Row],[Comprimento (m)]]*7850</f>
        <v>48.33654456813256</v>
      </c>
      <c r="AH202" s="4">
        <f ca="1">HC[[#This Row],[nE]]*HC[[#This Row],[Prof. (m)]]*HC[[#This Row],[Ap (m²)]]</f>
        <v>30.01791780505047</v>
      </c>
      <c r="AI202" s="1">
        <f ca="1">IF(HC[[#This Row],[nE]]=1,0,MAX(3*HC[[#This Row],[Ø (cm)]],60))</f>
        <v>210</v>
      </c>
      <c r="AJ202" s="1">
        <f ca="1">IF(HC[[#This Row],[nE]]=1,HC[[#This Row],[Ø (cm)]]+2*10,MAX(1.5*HC[[#This Row],[Ø (cm)]],HC[[#This Row],[Ø (cm)]]+15))</f>
        <v>105</v>
      </c>
      <c r="AK202" s="1" t="str">
        <f ca="1">alturaUtil(HC[[#This Row],[nE]],HC[[#This Row],[Ø (cm)]],HC[[#This Row],[e (cm)]],HC[[#This Row],[ap,eq (cm)]])</f>
        <v>N.S.</v>
      </c>
      <c r="AL202" s="1" t="str">
        <f ca="1">IFERROR(HC[[#This Row],[d (cm)]]+arredondarParaCimaMultiplo5cm(MAX(5,SQRT(PI())/2*HC[[#This Row],[Ø (cm)]]/5)),"N.S.")</f>
        <v>N.S.</v>
      </c>
      <c r="AM202" s="5" t="str">
        <f ca="1">alpha(HC[[#This Row],[nE]],HC[[#This Row],[d (cm)]],HC[[#This Row],[e (cm)]],HC[[#This Row],[ap,eq (cm)]])</f>
        <v>N.S.</v>
      </c>
      <c r="AN202" s="35" t="str">
        <f ca="1">IFERROR(HC[[#This Row],[Nsd (kN)]]/(HC[[#This Row],[Ap (cm²)]]*SIN(HC[[#This Row],[α]])^2),"N.S.")</f>
        <v>N.S.</v>
      </c>
      <c r="AO202" s="35" t="str">
        <f ca="1">IFERROR(HC[[#This Row],[Nsd (kN)]]/(HC[[#This Row],[nE]]*PI()*HC[[#This Row],[Ø (cm)]]^2/4*SIN(HC[[#This Row],[α]])^2),"N.S.")</f>
        <v>N.S.</v>
      </c>
      <c r="AP202" s="4" t="str">
        <f ca="1">IFERROR(INDEX(grupoEstacas[],HC[[#This Row],[nE]],MATCH("coef. Blévot",grupoEstacas[#Headers],0)),"N.S.")</f>
        <v>N.S.</v>
      </c>
      <c r="AQ202" s="35" t="str">
        <f ca="1">IFERROR(HC[[#This Row],[coef. Blévot]]*0.9*INDEX(tipoEstaca[],MATCH($D$2,tipoEstaca[TIPO DE ESTACA],0),MATCH("fcd (kN/cm²)",tipoEstaca[#Headers],0)),"N.S.")</f>
        <v>N.S.</v>
      </c>
      <c r="AR202" s="1" t="str">
        <f ca="1">IF(AND(HC[[#This Row],[cd,b,pil (kN/cm²)]]&lt;=HC[[#This Row],[cd,b,lim (kN/cm²)]],HC[[#This Row],[cd,b,est (kN/cm²)]]&lt;=HC[[#This Row],[cd,b,lim (kN/cm²)]]),"OK","ERRO")</f>
        <v>OK</v>
      </c>
      <c r="AS202" s="4" t="str">
        <f ca="1">As_lado(HC[[#This Row],[nE]],HC[[#This Row],[Nsd (kN)]],HC[[#This Row],[d (cm)]],HC[[#This Row],[e (cm)]],HC[[#This Row],[ap,eq (cm)]])</f>
        <v>N.S.</v>
      </c>
      <c r="AT202" s="4" t="str">
        <f ca="1">IF(HC[[#This Row],[nE]]=1,HC[[#This Row],[As,lado (cm²)]],IF(HC[[#This Row],[nE]]=2,0.075*2*HC[a (cm)],"N.A."))</f>
        <v>N.A.</v>
      </c>
      <c r="AU202" s="4" t="str">
        <f ca="1">IFERROR(IF(HC[[#This Row],[nE]]=1,"N.A.",0.2*HC[[#This Row],[As,lado (cm²)]]),"N.S.")</f>
        <v>N.S.</v>
      </c>
      <c r="AV202" s="4" t="str">
        <f ca="1">As_malha(HC[[#This Row],[nE]],HC[[#This Row],[As,lado (cm²)]],HC[[#This Row],[Nsd (kN)]])</f>
        <v>N.S.</v>
      </c>
      <c r="AW202" s="4" t="str">
        <f ca="1">As_susp_tot(HC[[#This Row],[nE]],HC[[#This Row],[Nsd (kN)]])</f>
        <v>N.S.</v>
      </c>
      <c r="AX202" s="4" t="str">
        <f ca="1">Asp_face(HC[[#This Row],[nE]],HC[[#This Row],[As,lado (cm²)]])</f>
        <v>N.S.</v>
      </c>
      <c r="AY202" s="5" t="str">
        <f ca="1">acoBloco(HC[[#This Row],[nE]],HC[[#This Row],[e (cm)]],HC[[#This Row],[a (cm)]],HC[[#This Row],[h (cm)]],HC[[#This Row],[As,lado (cm²)]],HC[[#This Row],[Asp e Asw (cm²/m)]],HC[[#This Row],[As,sup (cm²)]],HC[[#This Row],[As,malha (cm²)]],HC[[#This Row],[As,susp,tot (cm²)]],HC[[#This Row],[Asp,face (cm²)]])</f>
        <v>N.S.</v>
      </c>
      <c r="AZ202" s="4" t="str">
        <f ca="1">concretoBloco(HC[[#This Row],[nE]],HC[[#This Row],[e (cm)]],HC[[#This Row],[a (cm)]],HC[[#This Row],[h (cm)]])</f>
        <v>N.S.</v>
      </c>
      <c r="BA202" s="5">
        <f ca="1">SUM(HC[[#This Row],[Aço Est (kg)]],HC[[#This Row],[Aço Bloco (kg)]])</f>
        <v>48.33654456813256</v>
      </c>
      <c r="BB202" s="4">
        <f>INDEX(composicoes[],MATCH(95580,composicoes[CÓDIGO],0),MATCH("CUSTO TOTAL",composicoes[#Headers],0))</f>
        <v>10.46</v>
      </c>
      <c r="BC202" s="4">
        <f ca="1">SUM(HC[[#This Row],[Conc Est (m³)]],HC[[#This Row],[Conc Bloco (m³)]])</f>
        <v>30.01791780505047</v>
      </c>
      <c r="BD202" s="4">
        <f>INDEX(composicoes[],MATCH(94966,composicoes[CÓDIGO],0),MATCH("CUSTO TOTAL",composicoes[#Headers],0))</f>
        <v>439.52</v>
      </c>
      <c r="BE202" s="38">
        <f ca="1">HC[[#This Row],[Aço (kg)]]*HC[[#This Row],[Aço (R$/kg)]]+HC[[#This Row],[Conc (m³)]]*HC[[#This Row],[Conc (R$/m³)]]</f>
        <v>13699.075489858447</v>
      </c>
      <c r="BF202" s="4" t="str">
        <f ca="1">IF(COUNTIF(HC[#This Row],"N.S.")&gt;0,"lim.","OK")</f>
        <v>lim.</v>
      </c>
      <c r="BG202" s="4" t="str">
        <f>IF(HC[[#This Row],[Prof. (m)]]&lt;4,"lim.","OK")</f>
        <v>lim.</v>
      </c>
      <c r="BH202" s="4" t="str">
        <f>IF(HC[[#This Row],[Prof. (m)]]&gt;=8*HC[[#This Row],[Ø (cm)]]/100,"OK","lim.")</f>
        <v>lim.</v>
      </c>
      <c r="BI202" s="4" t="str">
        <f ca="1">IF(HC[[#This Row],[Verif. Biela]]="OK","OK","lim.")</f>
        <v>OK</v>
      </c>
      <c r="BJ202" s="4" t="str">
        <f ca="1">IF(COUNTA(HC[[#This Row],[Nº Est.]:[Biela comp.]])=COUNTIF(HC[[#This Row],[Nº Est.]:[Biela comp.]],"OK"),"OK","lim.")</f>
        <v>lim.</v>
      </c>
      <c r="BK202" s="4" t="str">
        <f ca="1">IF(HC[[#This Row],[Controle]]="OK",HC[[#This Row],[nE]]&amp;" Ø"&amp;HC[[#This Row],[Ø (cm)]]&amp;"cm Prof. "&amp;HC[[#This Row],[Prof. (m)]]&amp;" m","")</f>
        <v/>
      </c>
      <c r="BL202" s="4" t="str">
        <f ca="1">IF(HC[[#This Row],[idDimensionamento]]="","",HC[[#This Row],[idPilar]]&amp;HC[[#This Row],[idDimensionamento]])</f>
        <v/>
      </c>
    </row>
    <row r="203" spans="2:64" x14ac:dyDescent="0.25">
      <c r="B203" s="12">
        <f>ROUNDUP((ROW(HC[[#This Row],[idDiâmetro]])-ROW(HC[[#Headers],[idDiâmetro]]))/(COUNT(SPT[Prof. (m)])*COUNT(PILARES[Pilar])),0)</f>
        <v>8</v>
      </c>
      <c r="C203" s="12">
        <f>IF(HC[[#This Row],[idDiâmetro]]&lt;&gt;B202,1,IF(HC[[#This Row],[Prof. (m)]]=0,C202+1,C202))</f>
        <v>1</v>
      </c>
      <c r="D203" s="1">
        <f>IFERROR(IF(D202=MAX(SPT[Prof. (m)]),0,D202+1),0)</f>
        <v>2</v>
      </c>
      <c r="E203" s="1">
        <f>INDEX(SPT[],MATCH(HC[[#This Row],[Prof. (m)]],SPT[Prof. (m)],0),2)</f>
        <v>2</v>
      </c>
      <c r="F203" s="1" t="str">
        <f>INDEX(SPT[],MATCH(HC[[#This Row],[Prof. (m)]],SPT[Prof. (m)],0),3)</f>
        <v>Areia siltosa</v>
      </c>
      <c r="G203" s="1">
        <f>INDEX(estacas[],HC[[#This Row],[idDiâmetro]],MATCH($B$2,estacas[#Headers],0))</f>
        <v>70</v>
      </c>
      <c r="H203" s="1">
        <f>INDEX(estacas[],MATCH(HC[[#This Row],[Ø (cm)]],estacas[Ø HC (cm)],0),MATCH(HC[[#Headers],[Pe HC (kN)]],estacas[#Headers],0))</f>
        <v>2450</v>
      </c>
      <c r="I203" s="4">
        <f>INDEX(K_alpha_C[],MATCH(HC[[#This Row],[Solo]],K_alpha_C[Solo],0),2)</f>
        <v>0.8</v>
      </c>
      <c r="J203" s="5">
        <f>INDEX(K_alpha_C[],MATCH(HC[[#This Row],[Solo]],K_alpha_C[Solo],0),3)</f>
        <v>2</v>
      </c>
      <c r="K203" s="4">
        <f>INDEX(F1_F2[],MATCH($D$2,F1_F2[Tipo de estaca],0),2)</f>
        <v>2</v>
      </c>
      <c r="L203" s="4">
        <f>INDEX(F1_F2[],MATCH($D$2,F1_F2[Tipo de estaca],0),3)</f>
        <v>4</v>
      </c>
      <c r="M203" s="4">
        <f>PI()*(HC[[#This Row],[Ø (cm)]]/100)^2/4</f>
        <v>0.38484510006474959</v>
      </c>
      <c r="N203" s="4">
        <f>PI()*HC[[#This Row],[Ø (cm)]]/100</f>
        <v>2.1991148575128552</v>
      </c>
      <c r="O203" s="4">
        <f>IF(HC[[#This Row],[Prof. (m)]]=0,0,HC[[#This Row],[α (%)]]/100*HC[[#This Row],[K (MPa)]]*1000*HC[[#This Row],[NSPT]])</f>
        <v>32</v>
      </c>
      <c r="P203" s="4">
        <f>IF(HC[[#This Row],[Prof. (m)]]=0,0,(HC[[#This Row],[K (MPa)]]*1000*HC[[#This Row],[NSPT]]/HC[[#This Row],[F1]]*HC[[#This Row],[Ap (m²)]]+HC[[#This Row],[U (m)]]/HC[[#This Row],[F2]]*SUMIFS(HC[(α∙K∙NL∙ΔL)],HC[Prof. (m)],"&lt;="&amp;HC[[#This Row],[Prof. (m)]],HC[idDiâmetro],HC[[#This Row],[idDiâmetro]],HC[idPilar],HC[[#This Row],[idPilar]]))/'DADOS CAP. CARGA'!$D$2)</f>
        <v>171.53095888600268</v>
      </c>
      <c r="Q203" s="12">
        <f>INDEX(C_alpha_beta[],MATCH(HC[[#This Row],[Solo]],C_alpha_beta[Solo],0),MATCH(HC[[#Headers],[C (kPa)]],C_alpha_beta[#Headers],0))</f>
        <v>400</v>
      </c>
      <c r="R203" s="4">
        <f>INDEX(C_alpha_beta[],MATCH(HC[[#This Row],[Solo]],C_alpha_beta[Solo],0),MATCH(HC[[#Headers],[α ESF]],C_alpha_beta[#Headers],0))</f>
        <v>0.5</v>
      </c>
      <c r="S203" s="4">
        <f>INDEX(C_alpha_beta[],MATCH(HC[[#This Row],[Solo]],C_alpha_beta[Solo],0),MATCH(HC[[#Headers],[β ESF]],C_alpha_beta[#Headers],0))</f>
        <v>0.5</v>
      </c>
      <c r="T203" s="4">
        <f>IF(HC[[#This Row],[Prof. (m)]]=0,0,10*(HC[[#This Row],[NSPT]]/3+1))</f>
        <v>16.666666666666664</v>
      </c>
      <c r="U203" s="4">
        <f>(HC[[#This Row],[α ESF]]*HC[[#This Row],[C (kPa)]]*HC[[#This Row],[NSPT]]*HC[[#This Row],[Ap (m²)]])/'DADOS CAP. CARGA'!$Q$2+(HC[[#This Row],[β ESF]]*SUMIFS(HC[10∙(NL/3+1)],HC[Prof. (m)],"&lt;="&amp;HC[[#This Row],[Prof. (m)]],HC[idDiâmetro],HC[[#This Row],[idDiâmetro]],HC[idPilar],HC[[#This Row],[idPilar]])*HC[[#This Row],[U (m)]])/'DADOS CAP. CARGA'!$S$2</f>
        <v>56.810467152415413</v>
      </c>
      <c r="V203" s="4">
        <f>IF(SPT!$M$5=1,MIN(HC[[#This Row],[Pe HC (kN)]],HC[[#This Row],[R_AV (kN)]]),IF(SPT!$M$5=2,MIN(HC[[#This Row],[Pe HC (kN)]],HC[[#This Row],[R_DC (kN)]]),MIN(HC[[#This Row],[Pe HC (kN)]],HC[[#This Row],[R_AV (kN)]],HC[[#This Row],[R_DC (kN)]])))</f>
        <v>56.810467152415413</v>
      </c>
      <c r="W203" s="4">
        <f>INDEX(PILARES[],HC[[#This Row],[idPilar]],MATCH("Carga (kN)",PILARES[#Headers],0))*1.4</f>
        <v>3500</v>
      </c>
      <c r="X203" s="12">
        <f>INDEX(PILARES[],HC[[#This Row],[idPilar]],MATCH(HC[[#Headers],[ap (cm)]],PILARES[#Headers],0))</f>
        <v>60</v>
      </c>
      <c r="Y203" s="12">
        <f>INDEX(PILARES[],HC[[#This Row],[idPilar]],MATCH(HC[[#Headers],[bp (cm)]],PILARES[#Headers],0))</f>
        <v>60</v>
      </c>
      <c r="Z203" s="4">
        <f>SQRT(HC[[#This Row],[ap (cm)]]*HC[[#This Row],[bp (cm)]])</f>
        <v>60</v>
      </c>
      <c r="AA203" s="12">
        <f>HC[[#This Row],[ap (cm)]]*HC[[#This Row],[bp (cm)]]</f>
        <v>3600</v>
      </c>
      <c r="AB203" s="12">
        <f ca="1">IF(HC[[#This Row],[Padm∙ε (kN)]]&gt;=HC[[#This Row],[Padm (kN)]],ROUNDUP(1.05*HC[[#This Row],[Nsd (kN)]]/HC[[#This Row],[Padm (kN)]],0),ROUNDUP(1.05*HC[[#This Row],[Nsd (kN)]]/HC[[#This Row],[Padm (kN)]],0)+1)</f>
        <v>65</v>
      </c>
      <c r="AC203" s="4" t="str">
        <f ca="1">IFERROR(IF(HC[[#This Row],[nE]]=1,HC[[#This Row],[Padm (kN)]],HC[[#This Row],[Padm (kN)]]*HC[[#This Row],[nE]]*INDEX(grupoEstacas[],HC[[#This Row],[nE]],MATCH("ε",grupoEstacas[#Headers],0))),"N.S.")</f>
        <v>N.S.</v>
      </c>
      <c r="AD203" s="4">
        <f ca="1">1.05*HC[[#This Row],[Nsd (kN)]]/(HC[[#This Row],[nE]]*PI()*HC[[#This Row],[Ø (cm)]]^2/4)*10</f>
        <v>0.14691225516174955</v>
      </c>
      <c r="AE203" s="4">
        <f ca="1">IF(HC[[#This Row],[σ (MPa)]]&lt;INDEX(tipoEstaca[],MATCH($D$2,tipoEstaca[TIPO DE ESTACA],0),MATCH("σmáx (MPa)",tipoEstaca[#Headers],0)),0.4%*PI()*HC[[#This Row],[Ø (cm)]]^2/4,"N.S.")</f>
        <v>15.393804002589988</v>
      </c>
      <c r="AF203" s="1">
        <f>INDEX(tipoEstaca[],MATCH($D$2,tipoEstaca[TIPO DE ESTACA],0),MATCH(HC[[#Headers],[Comprimento (m)]],tipoEstaca[#Headers],0))</f>
        <v>4</v>
      </c>
      <c r="AG203" s="5">
        <f ca="1">HC[[#This Row],[As,mín (cm²)]]/100^2*HC[[#This Row],[Comprimento (m)]]*7850</f>
        <v>48.33654456813256</v>
      </c>
      <c r="AH203" s="4">
        <f ca="1">HC[[#This Row],[nE]]*HC[[#This Row],[Prof. (m)]]*HC[[#This Row],[Ap (m²)]]</f>
        <v>50.029863008417443</v>
      </c>
      <c r="AI203" s="1">
        <f ca="1">IF(HC[[#This Row],[nE]]=1,0,MAX(3*HC[[#This Row],[Ø (cm)]],60))</f>
        <v>210</v>
      </c>
      <c r="AJ203" s="1">
        <f ca="1">IF(HC[[#This Row],[nE]]=1,HC[[#This Row],[Ø (cm)]]+2*10,MAX(1.5*HC[[#This Row],[Ø (cm)]],HC[[#This Row],[Ø (cm)]]+15))</f>
        <v>105</v>
      </c>
      <c r="AK203" s="1" t="str">
        <f ca="1">alturaUtil(HC[[#This Row],[nE]],HC[[#This Row],[Ø (cm)]],HC[[#This Row],[e (cm)]],HC[[#This Row],[ap,eq (cm)]])</f>
        <v>N.S.</v>
      </c>
      <c r="AL203" s="1" t="str">
        <f ca="1">IFERROR(HC[[#This Row],[d (cm)]]+arredondarParaCimaMultiplo5cm(MAX(5,SQRT(PI())/2*HC[[#This Row],[Ø (cm)]]/5)),"N.S.")</f>
        <v>N.S.</v>
      </c>
      <c r="AM203" s="5" t="str">
        <f ca="1">alpha(HC[[#This Row],[nE]],HC[[#This Row],[d (cm)]],HC[[#This Row],[e (cm)]],HC[[#This Row],[ap,eq (cm)]])</f>
        <v>N.S.</v>
      </c>
      <c r="AN203" s="35" t="str">
        <f ca="1">IFERROR(HC[[#This Row],[Nsd (kN)]]/(HC[[#This Row],[Ap (cm²)]]*SIN(HC[[#This Row],[α]])^2),"N.S.")</f>
        <v>N.S.</v>
      </c>
      <c r="AO203" s="35" t="str">
        <f ca="1">IFERROR(HC[[#This Row],[Nsd (kN)]]/(HC[[#This Row],[nE]]*PI()*HC[[#This Row],[Ø (cm)]]^2/4*SIN(HC[[#This Row],[α]])^2),"N.S.")</f>
        <v>N.S.</v>
      </c>
      <c r="AP203" s="4" t="str">
        <f ca="1">IFERROR(INDEX(grupoEstacas[],HC[[#This Row],[nE]],MATCH("coef. Blévot",grupoEstacas[#Headers],0)),"N.S.")</f>
        <v>N.S.</v>
      </c>
      <c r="AQ203" s="35" t="str">
        <f ca="1">IFERROR(HC[[#This Row],[coef. Blévot]]*0.9*INDEX(tipoEstaca[],MATCH($D$2,tipoEstaca[TIPO DE ESTACA],0),MATCH("fcd (kN/cm²)",tipoEstaca[#Headers],0)),"N.S.")</f>
        <v>N.S.</v>
      </c>
      <c r="AR203" s="1" t="str">
        <f ca="1">IF(AND(HC[[#This Row],[cd,b,pil (kN/cm²)]]&lt;=HC[[#This Row],[cd,b,lim (kN/cm²)]],HC[[#This Row],[cd,b,est (kN/cm²)]]&lt;=HC[[#This Row],[cd,b,lim (kN/cm²)]]),"OK","ERRO")</f>
        <v>OK</v>
      </c>
      <c r="AS203" s="4" t="str">
        <f ca="1">As_lado(HC[[#This Row],[nE]],HC[[#This Row],[Nsd (kN)]],HC[[#This Row],[d (cm)]],HC[[#This Row],[e (cm)]],HC[[#This Row],[ap,eq (cm)]])</f>
        <v>N.S.</v>
      </c>
      <c r="AT203" s="4" t="str">
        <f ca="1">IF(HC[[#This Row],[nE]]=1,HC[[#This Row],[As,lado (cm²)]],IF(HC[[#This Row],[nE]]=2,0.075*2*HC[a (cm)],"N.A."))</f>
        <v>N.A.</v>
      </c>
      <c r="AU203" s="4" t="str">
        <f ca="1">IFERROR(IF(HC[[#This Row],[nE]]=1,"N.A.",0.2*HC[[#This Row],[As,lado (cm²)]]),"N.S.")</f>
        <v>N.S.</v>
      </c>
      <c r="AV203" s="4" t="str">
        <f ca="1">As_malha(HC[[#This Row],[nE]],HC[[#This Row],[As,lado (cm²)]],HC[[#This Row],[Nsd (kN)]])</f>
        <v>N.S.</v>
      </c>
      <c r="AW203" s="4" t="str">
        <f ca="1">As_susp_tot(HC[[#This Row],[nE]],HC[[#This Row],[Nsd (kN)]])</f>
        <v>N.S.</v>
      </c>
      <c r="AX203" s="4" t="str">
        <f ca="1">Asp_face(HC[[#This Row],[nE]],HC[[#This Row],[As,lado (cm²)]])</f>
        <v>N.S.</v>
      </c>
      <c r="AY203" s="5" t="str">
        <f ca="1">acoBloco(HC[[#This Row],[nE]],HC[[#This Row],[e (cm)]],HC[[#This Row],[a (cm)]],HC[[#This Row],[h (cm)]],HC[[#This Row],[As,lado (cm²)]],HC[[#This Row],[Asp e Asw (cm²/m)]],HC[[#This Row],[As,sup (cm²)]],HC[[#This Row],[As,malha (cm²)]],HC[[#This Row],[As,susp,tot (cm²)]],HC[[#This Row],[Asp,face (cm²)]])</f>
        <v>N.S.</v>
      </c>
      <c r="AZ203" s="4" t="str">
        <f ca="1">concretoBloco(HC[[#This Row],[nE]],HC[[#This Row],[e (cm)]],HC[[#This Row],[a (cm)]],HC[[#This Row],[h (cm)]])</f>
        <v>N.S.</v>
      </c>
      <c r="BA203" s="5">
        <f ca="1">SUM(HC[[#This Row],[Aço Est (kg)]],HC[[#This Row],[Aço Bloco (kg)]])</f>
        <v>48.33654456813256</v>
      </c>
      <c r="BB203" s="4">
        <f>INDEX(composicoes[],MATCH(95580,composicoes[CÓDIGO],0),MATCH("CUSTO TOTAL",composicoes[#Headers],0))</f>
        <v>10.46</v>
      </c>
      <c r="BC203" s="4">
        <f ca="1">SUM(HC[[#This Row],[Conc Est (m³)]],HC[[#This Row],[Conc Bloco (m³)]])</f>
        <v>50.029863008417443</v>
      </c>
      <c r="BD203" s="4">
        <f>INDEX(composicoes[],MATCH(94966,composicoes[CÓDIGO],0),MATCH("CUSTO TOTAL",composicoes[#Headers],0))</f>
        <v>439.52</v>
      </c>
      <c r="BE203" s="38">
        <f ca="1">HC[[#This Row],[Aço (kg)]]*HC[[#This Row],[Aço (R$/kg)]]+HC[[#This Row],[Conc (m³)]]*HC[[#This Row],[Conc (R$/m³)]]</f>
        <v>22494.725645642302</v>
      </c>
      <c r="BF203" s="4" t="str">
        <f ca="1">IF(COUNTIF(HC[#This Row],"N.S.")&gt;0,"lim.","OK")</f>
        <v>lim.</v>
      </c>
      <c r="BG203" s="4" t="str">
        <f>IF(HC[[#This Row],[Prof. (m)]]&lt;4,"lim.","OK")</f>
        <v>lim.</v>
      </c>
      <c r="BH203" s="4" t="str">
        <f>IF(HC[[#This Row],[Prof. (m)]]&gt;=8*HC[[#This Row],[Ø (cm)]]/100,"OK","lim.")</f>
        <v>lim.</v>
      </c>
      <c r="BI203" s="4" t="str">
        <f ca="1">IF(HC[[#This Row],[Verif. Biela]]="OK","OK","lim.")</f>
        <v>OK</v>
      </c>
      <c r="BJ203" s="4" t="str">
        <f ca="1">IF(COUNTA(HC[[#This Row],[Nº Est.]:[Biela comp.]])=COUNTIF(HC[[#This Row],[Nº Est.]:[Biela comp.]],"OK"),"OK","lim.")</f>
        <v>lim.</v>
      </c>
      <c r="BK203" s="4" t="str">
        <f ca="1">IF(HC[[#This Row],[Controle]]="OK",HC[[#This Row],[nE]]&amp;" Ø"&amp;HC[[#This Row],[Ø (cm)]]&amp;"cm Prof. "&amp;HC[[#This Row],[Prof. (m)]]&amp;" m","")</f>
        <v/>
      </c>
      <c r="BL203" s="4" t="str">
        <f ca="1">IF(HC[[#This Row],[idDimensionamento]]="","",HC[[#This Row],[idPilar]]&amp;HC[[#This Row],[idDimensionamento]])</f>
        <v/>
      </c>
    </row>
    <row r="204" spans="2:64" x14ac:dyDescent="0.25">
      <c r="B204" s="12">
        <f>ROUNDUP((ROW(HC[[#This Row],[idDiâmetro]])-ROW(HC[[#Headers],[idDiâmetro]]))/(COUNT(SPT[Prof. (m)])*COUNT(PILARES[Pilar])),0)</f>
        <v>8</v>
      </c>
      <c r="C204" s="12">
        <f>IF(HC[[#This Row],[idDiâmetro]]&lt;&gt;B203,1,IF(HC[[#This Row],[Prof. (m)]]=0,C203+1,C203))</f>
        <v>1</v>
      </c>
      <c r="D204" s="1">
        <f>IFERROR(IF(D203=MAX(SPT[Prof. (m)]),0,D203+1),0)</f>
        <v>3</v>
      </c>
      <c r="E204" s="1">
        <f>INDEX(SPT[],MATCH(HC[[#This Row],[Prof. (m)]],SPT[Prof. (m)],0),2)</f>
        <v>4</v>
      </c>
      <c r="F204" s="1" t="str">
        <f>INDEX(SPT[],MATCH(HC[[#This Row],[Prof. (m)]],SPT[Prof. (m)],0),3)</f>
        <v>Areia siltosa</v>
      </c>
      <c r="G204" s="1">
        <f>INDEX(estacas[],HC[[#This Row],[idDiâmetro]],MATCH($B$2,estacas[#Headers],0))</f>
        <v>70</v>
      </c>
      <c r="H204" s="1">
        <f>INDEX(estacas[],MATCH(HC[[#This Row],[Ø (cm)]],estacas[Ø HC (cm)],0),MATCH(HC[[#Headers],[Pe HC (kN)]],estacas[#Headers],0))</f>
        <v>2450</v>
      </c>
      <c r="I204" s="4">
        <f>INDEX(K_alpha_C[],MATCH(HC[[#This Row],[Solo]],K_alpha_C[Solo],0),2)</f>
        <v>0.8</v>
      </c>
      <c r="J204" s="5">
        <f>INDEX(K_alpha_C[],MATCH(HC[[#This Row],[Solo]],K_alpha_C[Solo],0),3)</f>
        <v>2</v>
      </c>
      <c r="K204" s="4">
        <f>INDEX(F1_F2[],MATCH($D$2,F1_F2[Tipo de estaca],0),2)</f>
        <v>2</v>
      </c>
      <c r="L204" s="4">
        <f>INDEX(F1_F2[],MATCH($D$2,F1_F2[Tipo de estaca],0),3)</f>
        <v>4</v>
      </c>
      <c r="M204" s="4">
        <f>PI()*(HC[[#This Row],[Ø (cm)]]/100)^2/4</f>
        <v>0.38484510006474959</v>
      </c>
      <c r="N204" s="4">
        <f>PI()*HC[[#This Row],[Ø (cm)]]/100</f>
        <v>2.1991148575128552</v>
      </c>
      <c r="O204" s="4">
        <f>IF(HC[[#This Row],[Prof. (m)]]=0,0,HC[[#This Row],[α (%)]]/100*HC[[#This Row],[K (MPa)]]*1000*HC[[#This Row],[NSPT]])</f>
        <v>64</v>
      </c>
      <c r="P204" s="4">
        <f>IF(HC[[#This Row],[Prof. (m)]]=0,0,(HC[[#This Row],[K (MPa)]]*1000*HC[[#This Row],[NSPT]]/HC[[#This Row],[F1]]*HC[[#This Row],[Ap (m²)]]+HC[[#This Row],[U (m)]]/HC[[#This Row],[F2]]*SUMIFS(HC[(α∙K∙NL∙ΔL)],HC[Prof. (m)],"&lt;="&amp;HC[[#This Row],[Prof. (m)]],HC[idDiâmetro],HC[[#This Row],[idDiâmetro]],HC[idPilar],HC[[#This Row],[idPilar]]))/'DADOS CAP. CARGA'!$D$2)</f>
        <v>343.06191777200536</v>
      </c>
      <c r="Q204" s="12">
        <f>INDEX(C_alpha_beta[],MATCH(HC[[#This Row],[Solo]],C_alpha_beta[Solo],0),MATCH(HC[[#Headers],[C (kPa)]],C_alpha_beta[#Headers],0))</f>
        <v>400</v>
      </c>
      <c r="R204" s="4">
        <f>INDEX(C_alpha_beta[],MATCH(HC[[#This Row],[Solo]],C_alpha_beta[Solo],0),MATCH(HC[[#Headers],[α ESF]],C_alpha_beta[#Headers],0))</f>
        <v>0.5</v>
      </c>
      <c r="S204" s="4">
        <f>INDEX(C_alpha_beta[],MATCH(HC[[#This Row],[Solo]],C_alpha_beta[Solo],0),MATCH(HC[[#Headers],[β ESF]],C_alpha_beta[#Headers],0))</f>
        <v>0.5</v>
      </c>
      <c r="T204" s="4">
        <f>IF(HC[[#This Row],[Prof. (m)]]=0,0,10*(HC[[#This Row],[NSPT]]/3+1))</f>
        <v>23.333333333333329</v>
      </c>
      <c r="U204" s="4">
        <f>(HC[[#This Row],[α ESF]]*HC[[#This Row],[C (kPa)]]*HC[[#This Row],[NSPT]]*HC[[#This Row],[Ap (m²)]])/'DADOS CAP. CARGA'!$Q$2+(HC[[#This Row],[β ESF]]*SUMIFS(HC[10∙(NL/3+1)],HC[Prof. (m)],"&lt;="&amp;HC[[#This Row],[Prof. (m)]],HC[idDiâmetro],HC[[#This Row],[idDiâmetro]],HC[idPilar],HC[[#This Row],[idPilar]])*HC[[#This Row],[U (m)]])/'DADOS CAP. CARGA'!$S$2</f>
        <v>108.12314716104869</v>
      </c>
      <c r="V204" s="4">
        <f>IF(SPT!$M$5=1,MIN(HC[[#This Row],[Pe HC (kN)]],HC[[#This Row],[R_AV (kN)]]),IF(SPT!$M$5=2,MIN(HC[[#This Row],[Pe HC (kN)]],HC[[#This Row],[R_DC (kN)]]),MIN(HC[[#This Row],[Pe HC (kN)]],HC[[#This Row],[R_AV (kN)]],HC[[#This Row],[R_DC (kN)]])))</f>
        <v>108.12314716104869</v>
      </c>
      <c r="W204" s="4">
        <f>INDEX(PILARES[],HC[[#This Row],[idPilar]],MATCH("Carga (kN)",PILARES[#Headers],0))*1.4</f>
        <v>3500</v>
      </c>
      <c r="X204" s="12">
        <f>INDEX(PILARES[],HC[[#This Row],[idPilar]],MATCH(HC[[#Headers],[ap (cm)]],PILARES[#Headers],0))</f>
        <v>60</v>
      </c>
      <c r="Y204" s="12">
        <f>INDEX(PILARES[],HC[[#This Row],[idPilar]],MATCH(HC[[#Headers],[bp (cm)]],PILARES[#Headers],0))</f>
        <v>60</v>
      </c>
      <c r="Z204" s="4">
        <f>SQRT(HC[[#This Row],[ap (cm)]]*HC[[#This Row],[bp (cm)]])</f>
        <v>60</v>
      </c>
      <c r="AA204" s="12">
        <f>HC[[#This Row],[ap (cm)]]*HC[[#This Row],[bp (cm)]]</f>
        <v>3600</v>
      </c>
      <c r="AB204" s="12">
        <f ca="1">IF(HC[[#This Row],[Padm∙ε (kN)]]&gt;=HC[[#This Row],[Padm (kN)]],ROUNDUP(1.05*HC[[#This Row],[Nsd (kN)]]/HC[[#This Row],[Padm (kN)]],0),ROUNDUP(1.05*HC[[#This Row],[Nsd (kN)]]/HC[[#This Row],[Padm (kN)]],0)+1)</f>
        <v>34</v>
      </c>
      <c r="AC204" s="4" t="str">
        <f ca="1">IFERROR(IF(HC[[#This Row],[nE]]=1,HC[[#This Row],[Padm (kN)]],HC[[#This Row],[Padm (kN)]]*HC[[#This Row],[nE]]*INDEX(grupoEstacas[],HC[[#This Row],[nE]],MATCH("ε",grupoEstacas[#Headers],0))),"N.S.")</f>
        <v>N.S.</v>
      </c>
      <c r="AD204" s="4">
        <f ca="1">1.05*HC[[#This Row],[Nsd (kN)]]/(HC[[#This Row],[nE]]*PI()*HC[[#This Row],[Ø (cm)]]^2/4)*10</f>
        <v>0.28086166427981529</v>
      </c>
      <c r="AE204" s="4">
        <f ca="1">IF(HC[[#This Row],[σ (MPa)]]&lt;INDEX(tipoEstaca[],MATCH($D$2,tipoEstaca[TIPO DE ESTACA],0),MATCH("σmáx (MPa)",tipoEstaca[#Headers],0)),0.4%*PI()*HC[[#This Row],[Ø (cm)]]^2/4,"N.S.")</f>
        <v>15.393804002589988</v>
      </c>
      <c r="AF204" s="1">
        <f>INDEX(tipoEstaca[],MATCH($D$2,tipoEstaca[TIPO DE ESTACA],0),MATCH(HC[[#Headers],[Comprimento (m)]],tipoEstaca[#Headers],0))</f>
        <v>4</v>
      </c>
      <c r="AG204" s="5">
        <f ca="1">HC[[#This Row],[As,mín (cm²)]]/100^2*HC[[#This Row],[Comprimento (m)]]*7850</f>
        <v>48.33654456813256</v>
      </c>
      <c r="AH204" s="4">
        <f ca="1">HC[[#This Row],[nE]]*HC[[#This Row],[Prof. (m)]]*HC[[#This Row],[Ap (m²)]]</f>
        <v>39.254200206604459</v>
      </c>
      <c r="AI204" s="1">
        <f ca="1">IF(HC[[#This Row],[nE]]=1,0,MAX(3*HC[[#This Row],[Ø (cm)]],60))</f>
        <v>210</v>
      </c>
      <c r="AJ204" s="1">
        <f ca="1">IF(HC[[#This Row],[nE]]=1,HC[[#This Row],[Ø (cm)]]+2*10,MAX(1.5*HC[[#This Row],[Ø (cm)]],HC[[#This Row],[Ø (cm)]]+15))</f>
        <v>105</v>
      </c>
      <c r="AK204" s="1" t="str">
        <f ca="1">alturaUtil(HC[[#This Row],[nE]],HC[[#This Row],[Ø (cm)]],HC[[#This Row],[e (cm)]],HC[[#This Row],[ap,eq (cm)]])</f>
        <v>N.S.</v>
      </c>
      <c r="AL204" s="1" t="str">
        <f ca="1">IFERROR(HC[[#This Row],[d (cm)]]+arredondarParaCimaMultiplo5cm(MAX(5,SQRT(PI())/2*HC[[#This Row],[Ø (cm)]]/5)),"N.S.")</f>
        <v>N.S.</v>
      </c>
      <c r="AM204" s="5" t="str">
        <f ca="1">alpha(HC[[#This Row],[nE]],HC[[#This Row],[d (cm)]],HC[[#This Row],[e (cm)]],HC[[#This Row],[ap,eq (cm)]])</f>
        <v>N.S.</v>
      </c>
      <c r="AN204" s="35" t="str">
        <f ca="1">IFERROR(HC[[#This Row],[Nsd (kN)]]/(HC[[#This Row],[Ap (cm²)]]*SIN(HC[[#This Row],[α]])^2),"N.S.")</f>
        <v>N.S.</v>
      </c>
      <c r="AO204" s="35" t="str">
        <f ca="1">IFERROR(HC[[#This Row],[Nsd (kN)]]/(HC[[#This Row],[nE]]*PI()*HC[[#This Row],[Ø (cm)]]^2/4*SIN(HC[[#This Row],[α]])^2),"N.S.")</f>
        <v>N.S.</v>
      </c>
      <c r="AP204" s="4" t="str">
        <f ca="1">IFERROR(INDEX(grupoEstacas[],HC[[#This Row],[nE]],MATCH("coef. Blévot",grupoEstacas[#Headers],0)),"N.S.")</f>
        <v>N.S.</v>
      </c>
      <c r="AQ204" s="35" t="str">
        <f ca="1">IFERROR(HC[[#This Row],[coef. Blévot]]*0.9*INDEX(tipoEstaca[],MATCH($D$2,tipoEstaca[TIPO DE ESTACA],0),MATCH("fcd (kN/cm²)",tipoEstaca[#Headers],0)),"N.S.")</f>
        <v>N.S.</v>
      </c>
      <c r="AR204" s="1" t="str">
        <f ca="1">IF(AND(HC[[#This Row],[cd,b,pil (kN/cm²)]]&lt;=HC[[#This Row],[cd,b,lim (kN/cm²)]],HC[[#This Row],[cd,b,est (kN/cm²)]]&lt;=HC[[#This Row],[cd,b,lim (kN/cm²)]]),"OK","ERRO")</f>
        <v>OK</v>
      </c>
      <c r="AS204" s="4" t="str">
        <f ca="1">As_lado(HC[[#This Row],[nE]],HC[[#This Row],[Nsd (kN)]],HC[[#This Row],[d (cm)]],HC[[#This Row],[e (cm)]],HC[[#This Row],[ap,eq (cm)]])</f>
        <v>N.S.</v>
      </c>
      <c r="AT204" s="4" t="str">
        <f ca="1">IF(HC[[#This Row],[nE]]=1,HC[[#This Row],[As,lado (cm²)]],IF(HC[[#This Row],[nE]]=2,0.075*2*HC[a (cm)],"N.A."))</f>
        <v>N.A.</v>
      </c>
      <c r="AU204" s="4" t="str">
        <f ca="1">IFERROR(IF(HC[[#This Row],[nE]]=1,"N.A.",0.2*HC[[#This Row],[As,lado (cm²)]]),"N.S.")</f>
        <v>N.S.</v>
      </c>
      <c r="AV204" s="4" t="str">
        <f ca="1">As_malha(HC[[#This Row],[nE]],HC[[#This Row],[As,lado (cm²)]],HC[[#This Row],[Nsd (kN)]])</f>
        <v>N.S.</v>
      </c>
      <c r="AW204" s="4" t="str">
        <f ca="1">As_susp_tot(HC[[#This Row],[nE]],HC[[#This Row],[Nsd (kN)]])</f>
        <v>N.S.</v>
      </c>
      <c r="AX204" s="4" t="str">
        <f ca="1">Asp_face(HC[[#This Row],[nE]],HC[[#This Row],[As,lado (cm²)]])</f>
        <v>N.S.</v>
      </c>
      <c r="AY204" s="5" t="str">
        <f ca="1">acoBloco(HC[[#This Row],[nE]],HC[[#This Row],[e (cm)]],HC[[#This Row],[a (cm)]],HC[[#This Row],[h (cm)]],HC[[#This Row],[As,lado (cm²)]],HC[[#This Row],[Asp e Asw (cm²/m)]],HC[[#This Row],[As,sup (cm²)]],HC[[#This Row],[As,malha (cm²)]],HC[[#This Row],[As,susp,tot (cm²)]],HC[[#This Row],[Asp,face (cm²)]])</f>
        <v>N.S.</v>
      </c>
      <c r="AZ204" s="4" t="str">
        <f ca="1">concretoBloco(HC[[#This Row],[nE]],HC[[#This Row],[e (cm)]],HC[[#This Row],[a (cm)]],HC[[#This Row],[h (cm)]])</f>
        <v>N.S.</v>
      </c>
      <c r="BA204" s="5">
        <f ca="1">SUM(HC[[#This Row],[Aço Est (kg)]],HC[[#This Row],[Aço Bloco (kg)]])</f>
        <v>48.33654456813256</v>
      </c>
      <c r="BB204" s="4">
        <f>INDEX(composicoes[],MATCH(95580,composicoes[CÓDIGO],0),MATCH("CUSTO TOTAL",composicoes[#Headers],0))</f>
        <v>10.46</v>
      </c>
      <c r="BC204" s="4">
        <f ca="1">SUM(HC[[#This Row],[Conc Est (m³)]],HC[[#This Row],[Conc Bloco (m³)]])</f>
        <v>39.254200206604459</v>
      </c>
      <c r="BD204" s="4">
        <f>INDEX(composicoes[],MATCH(94966,composicoes[CÓDIGO],0),MATCH("CUSTO TOTAL",composicoes[#Headers],0))</f>
        <v>439.52</v>
      </c>
      <c r="BE204" s="38">
        <f ca="1">HC[[#This Row],[Aço (kg)]]*HC[[#This Row],[Aço (R$/kg)]]+HC[[#This Row],[Conc (m³)]]*HC[[#This Row],[Conc (R$/m³)]]</f>
        <v>17758.60633098946</v>
      </c>
      <c r="BF204" s="4" t="str">
        <f ca="1">IF(COUNTIF(HC[#This Row],"N.S.")&gt;0,"lim.","OK")</f>
        <v>lim.</v>
      </c>
      <c r="BG204" s="4" t="str">
        <f>IF(HC[[#This Row],[Prof. (m)]]&lt;4,"lim.","OK")</f>
        <v>lim.</v>
      </c>
      <c r="BH204" s="4" t="str">
        <f>IF(HC[[#This Row],[Prof. (m)]]&gt;=8*HC[[#This Row],[Ø (cm)]]/100,"OK","lim.")</f>
        <v>lim.</v>
      </c>
      <c r="BI204" s="4" t="str">
        <f ca="1">IF(HC[[#This Row],[Verif. Biela]]="OK","OK","lim.")</f>
        <v>OK</v>
      </c>
      <c r="BJ204" s="4" t="str">
        <f ca="1">IF(COUNTA(HC[[#This Row],[Nº Est.]:[Biela comp.]])=COUNTIF(HC[[#This Row],[Nº Est.]:[Biela comp.]],"OK"),"OK","lim.")</f>
        <v>lim.</v>
      </c>
      <c r="BK204" s="4" t="str">
        <f ca="1">IF(HC[[#This Row],[Controle]]="OK",HC[[#This Row],[nE]]&amp;" Ø"&amp;HC[[#This Row],[Ø (cm)]]&amp;"cm Prof. "&amp;HC[[#This Row],[Prof. (m)]]&amp;" m","")</f>
        <v/>
      </c>
      <c r="BL204" s="4" t="str">
        <f ca="1">IF(HC[[#This Row],[idDimensionamento]]="","",HC[[#This Row],[idPilar]]&amp;HC[[#This Row],[idDimensionamento]])</f>
        <v/>
      </c>
    </row>
    <row r="205" spans="2:64" x14ac:dyDescent="0.25">
      <c r="B205" s="12">
        <f>ROUNDUP((ROW(HC[[#This Row],[idDiâmetro]])-ROW(HC[[#Headers],[idDiâmetro]]))/(COUNT(SPT[Prof. (m)])*COUNT(PILARES[Pilar])),0)</f>
        <v>8</v>
      </c>
      <c r="C205" s="12">
        <f>IF(HC[[#This Row],[idDiâmetro]]&lt;&gt;B204,1,IF(HC[[#This Row],[Prof. (m)]]=0,C204+1,C204))</f>
        <v>1</v>
      </c>
      <c r="D205" s="1">
        <f>IFERROR(IF(D204=MAX(SPT[Prof. (m)]),0,D204+1),0)</f>
        <v>4</v>
      </c>
      <c r="E205" s="1">
        <f>INDEX(SPT[],MATCH(HC[[#This Row],[Prof. (m)]],SPT[Prof. (m)],0),2)</f>
        <v>8</v>
      </c>
      <c r="F205" s="1" t="str">
        <f>INDEX(SPT[],MATCH(HC[[#This Row],[Prof. (m)]],SPT[Prof. (m)],0),3)</f>
        <v>Areia siltosa</v>
      </c>
      <c r="G205" s="1">
        <f>INDEX(estacas[],HC[[#This Row],[idDiâmetro]],MATCH($B$2,estacas[#Headers],0))</f>
        <v>70</v>
      </c>
      <c r="H205" s="1">
        <f>INDEX(estacas[],MATCH(HC[[#This Row],[Ø (cm)]],estacas[Ø HC (cm)],0),MATCH(HC[[#Headers],[Pe HC (kN)]],estacas[#Headers],0))</f>
        <v>2450</v>
      </c>
      <c r="I205" s="4">
        <f>INDEX(K_alpha_C[],MATCH(HC[[#This Row],[Solo]],K_alpha_C[Solo],0),2)</f>
        <v>0.8</v>
      </c>
      <c r="J205" s="5">
        <f>INDEX(K_alpha_C[],MATCH(HC[[#This Row],[Solo]],K_alpha_C[Solo],0),3)</f>
        <v>2</v>
      </c>
      <c r="K205" s="4">
        <f>INDEX(F1_F2[],MATCH($D$2,F1_F2[Tipo de estaca],0),2)</f>
        <v>2</v>
      </c>
      <c r="L205" s="4">
        <f>INDEX(F1_F2[],MATCH($D$2,F1_F2[Tipo de estaca],0),3)</f>
        <v>4</v>
      </c>
      <c r="M205" s="4">
        <f>PI()*(HC[[#This Row],[Ø (cm)]]/100)^2/4</f>
        <v>0.38484510006474959</v>
      </c>
      <c r="N205" s="4">
        <f>PI()*HC[[#This Row],[Ø (cm)]]/100</f>
        <v>2.1991148575128552</v>
      </c>
      <c r="O205" s="4">
        <f>IF(HC[[#This Row],[Prof. (m)]]=0,0,HC[[#This Row],[α (%)]]/100*HC[[#This Row],[K (MPa)]]*1000*HC[[#This Row],[NSPT]])</f>
        <v>128</v>
      </c>
      <c r="P205" s="4">
        <f>IF(HC[[#This Row],[Prof. (m)]]=0,0,(HC[[#This Row],[K (MPa)]]*1000*HC[[#This Row],[NSPT]]/HC[[#This Row],[F1]]*HC[[#This Row],[Ap (m²)]]+HC[[#This Row],[U (m)]]/HC[[#This Row],[F2]]*SUMIFS(HC[(α∙K∙NL∙ΔL)],HC[Prof. (m)],"&lt;="&amp;HC[[#This Row],[Prof. (m)]],HC[idDiâmetro],HC[[#This Row],[idDiâmetro]],HC[idPilar],HC[[#This Row],[idPilar]]))/'DADOS CAP. CARGA'!$D$2)</f>
        <v>686.12383554401072</v>
      </c>
      <c r="Q205" s="12">
        <f>INDEX(C_alpha_beta[],MATCH(HC[[#This Row],[Solo]],C_alpha_beta[Solo],0),MATCH(HC[[#Headers],[C (kPa)]],C_alpha_beta[#Headers],0))</f>
        <v>400</v>
      </c>
      <c r="R205" s="4">
        <f>INDEX(C_alpha_beta[],MATCH(HC[[#This Row],[Solo]],C_alpha_beta[Solo],0),MATCH(HC[[#Headers],[α ESF]],C_alpha_beta[#Headers],0))</f>
        <v>0.5</v>
      </c>
      <c r="S205" s="4">
        <f>INDEX(C_alpha_beta[],MATCH(HC[[#This Row],[Solo]],C_alpha_beta[Solo],0),MATCH(HC[[#Headers],[β ESF]],C_alpha_beta[#Headers],0))</f>
        <v>0.5</v>
      </c>
      <c r="T205" s="4">
        <f>IF(HC[[#This Row],[Prof. (m)]]=0,0,10*(HC[[#This Row],[NSPT]]/3+1))</f>
        <v>36.666666666666664</v>
      </c>
      <c r="U205" s="4">
        <f>(HC[[#This Row],[α ESF]]*HC[[#This Row],[C (kPa)]]*HC[[#This Row],[NSPT]]*HC[[#This Row],[Ap (m²)]])/'DADOS CAP. CARGA'!$Q$2+(HC[[#This Row],[β ESF]]*SUMIFS(HC[10∙(NL/3+1)],HC[Prof. (m)],"&lt;="&amp;HC[[#This Row],[Prof. (m)]],HC[idDiâmetro],HC[[#This Row],[idDiâmetro]],HC[idPilar],HC[[#This Row],[idPilar]])*HC[[#This Row],[U (m)]])/'DADOS CAP. CARGA'!$S$2</f>
        <v>205.25072003453312</v>
      </c>
      <c r="V205" s="4">
        <f>IF(SPT!$M$5=1,MIN(HC[[#This Row],[Pe HC (kN)]],HC[[#This Row],[R_AV (kN)]]),IF(SPT!$M$5=2,MIN(HC[[#This Row],[Pe HC (kN)]],HC[[#This Row],[R_DC (kN)]]),MIN(HC[[#This Row],[Pe HC (kN)]],HC[[#This Row],[R_AV (kN)]],HC[[#This Row],[R_DC (kN)]])))</f>
        <v>205.25072003453312</v>
      </c>
      <c r="W205" s="4">
        <f>INDEX(PILARES[],HC[[#This Row],[idPilar]],MATCH("Carga (kN)",PILARES[#Headers],0))*1.4</f>
        <v>3500</v>
      </c>
      <c r="X205" s="12">
        <f>INDEX(PILARES[],HC[[#This Row],[idPilar]],MATCH(HC[[#Headers],[ap (cm)]],PILARES[#Headers],0))</f>
        <v>60</v>
      </c>
      <c r="Y205" s="12">
        <f>INDEX(PILARES[],HC[[#This Row],[idPilar]],MATCH(HC[[#Headers],[bp (cm)]],PILARES[#Headers],0))</f>
        <v>60</v>
      </c>
      <c r="Z205" s="4">
        <f>SQRT(HC[[#This Row],[ap (cm)]]*HC[[#This Row],[bp (cm)]])</f>
        <v>60</v>
      </c>
      <c r="AA205" s="12">
        <f>HC[[#This Row],[ap (cm)]]*HC[[#This Row],[bp (cm)]]</f>
        <v>3600</v>
      </c>
      <c r="AB205" s="12">
        <f ca="1">IF(HC[[#This Row],[Padm∙ε (kN)]]&gt;=HC[[#This Row],[Padm (kN)]],ROUNDUP(1.05*HC[[#This Row],[Nsd (kN)]]/HC[[#This Row],[Padm (kN)]],0),ROUNDUP(1.05*HC[[#This Row],[Nsd (kN)]]/HC[[#This Row],[Padm (kN)]],0)+1)</f>
        <v>18</v>
      </c>
      <c r="AC205" s="4" t="str">
        <f ca="1">IFERROR(IF(HC[[#This Row],[nE]]=1,HC[[#This Row],[Padm (kN)]],HC[[#This Row],[Padm (kN)]]*HC[[#This Row],[nE]]*INDEX(grupoEstacas[],HC[[#This Row],[nE]],MATCH("ε",grupoEstacas[#Headers],0))),"N.S.")</f>
        <v>N.S.</v>
      </c>
      <c r="AD205" s="4">
        <f ca="1">1.05*HC[[#This Row],[Nsd (kN)]]/(HC[[#This Row],[nE]]*PI()*HC[[#This Row],[Ø (cm)]]^2/4)*10</f>
        <v>0.53051647697298443</v>
      </c>
      <c r="AE205" s="4">
        <f ca="1">IF(HC[[#This Row],[σ (MPa)]]&lt;INDEX(tipoEstaca[],MATCH($D$2,tipoEstaca[TIPO DE ESTACA],0),MATCH("σmáx (MPa)",tipoEstaca[#Headers],0)),0.4%*PI()*HC[[#This Row],[Ø (cm)]]^2/4,"N.S.")</f>
        <v>15.393804002589988</v>
      </c>
      <c r="AF205" s="1">
        <f>INDEX(tipoEstaca[],MATCH($D$2,tipoEstaca[TIPO DE ESTACA],0),MATCH(HC[[#Headers],[Comprimento (m)]],tipoEstaca[#Headers],0))</f>
        <v>4</v>
      </c>
      <c r="AG205" s="5">
        <f ca="1">HC[[#This Row],[As,mín (cm²)]]/100^2*HC[[#This Row],[Comprimento (m)]]*7850</f>
        <v>48.33654456813256</v>
      </c>
      <c r="AH205" s="4">
        <f ca="1">HC[[#This Row],[nE]]*HC[[#This Row],[Prof. (m)]]*HC[[#This Row],[Ap (m²)]]</f>
        <v>27.708847204661971</v>
      </c>
      <c r="AI205" s="1">
        <f ca="1">IF(HC[[#This Row],[nE]]=1,0,MAX(3*HC[[#This Row],[Ø (cm)]],60))</f>
        <v>210</v>
      </c>
      <c r="AJ205" s="1">
        <f ca="1">IF(HC[[#This Row],[nE]]=1,HC[[#This Row],[Ø (cm)]]+2*10,MAX(1.5*HC[[#This Row],[Ø (cm)]],HC[[#This Row],[Ø (cm)]]+15))</f>
        <v>105</v>
      </c>
      <c r="AK205" s="1" t="str">
        <f ca="1">alturaUtil(HC[[#This Row],[nE]],HC[[#This Row],[Ø (cm)]],HC[[#This Row],[e (cm)]],HC[[#This Row],[ap,eq (cm)]])</f>
        <v>N.S.</v>
      </c>
      <c r="AL205" s="1" t="str">
        <f ca="1">IFERROR(HC[[#This Row],[d (cm)]]+arredondarParaCimaMultiplo5cm(MAX(5,SQRT(PI())/2*HC[[#This Row],[Ø (cm)]]/5)),"N.S.")</f>
        <v>N.S.</v>
      </c>
      <c r="AM205" s="5" t="str">
        <f ca="1">alpha(HC[[#This Row],[nE]],HC[[#This Row],[d (cm)]],HC[[#This Row],[e (cm)]],HC[[#This Row],[ap,eq (cm)]])</f>
        <v>N.S.</v>
      </c>
      <c r="AN205" s="35" t="str">
        <f ca="1">IFERROR(HC[[#This Row],[Nsd (kN)]]/(HC[[#This Row],[Ap (cm²)]]*SIN(HC[[#This Row],[α]])^2),"N.S.")</f>
        <v>N.S.</v>
      </c>
      <c r="AO205" s="35" t="str">
        <f ca="1">IFERROR(HC[[#This Row],[Nsd (kN)]]/(HC[[#This Row],[nE]]*PI()*HC[[#This Row],[Ø (cm)]]^2/4*SIN(HC[[#This Row],[α]])^2),"N.S.")</f>
        <v>N.S.</v>
      </c>
      <c r="AP205" s="4" t="str">
        <f ca="1">IFERROR(INDEX(grupoEstacas[],HC[[#This Row],[nE]],MATCH("coef. Blévot",grupoEstacas[#Headers],0)),"N.S.")</f>
        <v>N.S.</v>
      </c>
      <c r="AQ205" s="35" t="str">
        <f ca="1">IFERROR(HC[[#This Row],[coef. Blévot]]*0.9*INDEX(tipoEstaca[],MATCH($D$2,tipoEstaca[TIPO DE ESTACA],0),MATCH("fcd (kN/cm²)",tipoEstaca[#Headers],0)),"N.S.")</f>
        <v>N.S.</v>
      </c>
      <c r="AR205" s="1" t="str">
        <f ca="1">IF(AND(HC[[#This Row],[cd,b,pil (kN/cm²)]]&lt;=HC[[#This Row],[cd,b,lim (kN/cm²)]],HC[[#This Row],[cd,b,est (kN/cm²)]]&lt;=HC[[#This Row],[cd,b,lim (kN/cm²)]]),"OK","ERRO")</f>
        <v>OK</v>
      </c>
      <c r="AS205" s="4" t="str">
        <f ca="1">As_lado(HC[[#This Row],[nE]],HC[[#This Row],[Nsd (kN)]],HC[[#This Row],[d (cm)]],HC[[#This Row],[e (cm)]],HC[[#This Row],[ap,eq (cm)]])</f>
        <v>N.S.</v>
      </c>
      <c r="AT205" s="4" t="str">
        <f ca="1">IF(HC[[#This Row],[nE]]=1,HC[[#This Row],[As,lado (cm²)]],IF(HC[[#This Row],[nE]]=2,0.075*2*HC[a (cm)],"N.A."))</f>
        <v>N.A.</v>
      </c>
      <c r="AU205" s="4" t="str">
        <f ca="1">IFERROR(IF(HC[[#This Row],[nE]]=1,"N.A.",0.2*HC[[#This Row],[As,lado (cm²)]]),"N.S.")</f>
        <v>N.S.</v>
      </c>
      <c r="AV205" s="4" t="str">
        <f ca="1">As_malha(HC[[#This Row],[nE]],HC[[#This Row],[As,lado (cm²)]],HC[[#This Row],[Nsd (kN)]])</f>
        <v>N.S.</v>
      </c>
      <c r="AW205" s="4" t="str">
        <f ca="1">As_susp_tot(HC[[#This Row],[nE]],HC[[#This Row],[Nsd (kN)]])</f>
        <v>N.S.</v>
      </c>
      <c r="AX205" s="4" t="str">
        <f ca="1">Asp_face(HC[[#This Row],[nE]],HC[[#This Row],[As,lado (cm²)]])</f>
        <v>N.S.</v>
      </c>
      <c r="AY205" s="5" t="str">
        <f ca="1">acoBloco(HC[[#This Row],[nE]],HC[[#This Row],[e (cm)]],HC[[#This Row],[a (cm)]],HC[[#This Row],[h (cm)]],HC[[#This Row],[As,lado (cm²)]],HC[[#This Row],[Asp e Asw (cm²/m)]],HC[[#This Row],[As,sup (cm²)]],HC[[#This Row],[As,malha (cm²)]],HC[[#This Row],[As,susp,tot (cm²)]],HC[[#This Row],[Asp,face (cm²)]])</f>
        <v>N.S.</v>
      </c>
      <c r="AZ205" s="4" t="str">
        <f ca="1">concretoBloco(HC[[#This Row],[nE]],HC[[#This Row],[e (cm)]],HC[[#This Row],[a (cm)]],HC[[#This Row],[h (cm)]])</f>
        <v>N.S.</v>
      </c>
      <c r="BA205" s="5">
        <f ca="1">SUM(HC[[#This Row],[Aço Est (kg)]],HC[[#This Row],[Aço Bloco (kg)]])</f>
        <v>48.33654456813256</v>
      </c>
      <c r="BB205" s="4">
        <f>INDEX(composicoes[],MATCH(95580,composicoes[CÓDIGO],0),MATCH("CUSTO TOTAL",composicoes[#Headers],0))</f>
        <v>10.46</v>
      </c>
      <c r="BC205" s="4">
        <f ca="1">SUM(HC[[#This Row],[Conc Est (m³)]],HC[[#This Row],[Conc Bloco (m³)]])</f>
        <v>27.708847204661971</v>
      </c>
      <c r="BD205" s="4">
        <f>INDEX(composicoes[],MATCH(94966,composicoes[CÓDIGO],0),MATCH("CUSTO TOTAL",composicoes[#Headers],0))</f>
        <v>439.52</v>
      </c>
      <c r="BE205" s="38">
        <f ca="1">HC[[#This Row],[Aço (kg)]]*HC[[#This Row],[Aço (R$/kg)]]+HC[[#This Row],[Conc (m³)]]*HC[[#This Row],[Conc (R$/m³)]]</f>
        <v>12684.192779575695</v>
      </c>
      <c r="BF205" s="4" t="str">
        <f ca="1">IF(COUNTIF(HC[#This Row],"N.S.")&gt;0,"lim.","OK")</f>
        <v>lim.</v>
      </c>
      <c r="BG205" s="4" t="str">
        <f>IF(HC[[#This Row],[Prof. (m)]]&lt;4,"lim.","OK")</f>
        <v>OK</v>
      </c>
      <c r="BH205" s="4" t="str">
        <f>IF(HC[[#This Row],[Prof. (m)]]&gt;=8*HC[[#This Row],[Ø (cm)]]/100,"OK","lim.")</f>
        <v>lim.</v>
      </c>
      <c r="BI205" s="4" t="str">
        <f ca="1">IF(HC[[#This Row],[Verif. Biela]]="OK","OK","lim.")</f>
        <v>OK</v>
      </c>
      <c r="BJ205" s="4" t="str">
        <f ca="1">IF(COUNTA(HC[[#This Row],[Nº Est.]:[Biela comp.]])=COUNTIF(HC[[#This Row],[Nº Est.]:[Biela comp.]],"OK"),"OK","lim.")</f>
        <v>lim.</v>
      </c>
      <c r="BK205" s="4" t="str">
        <f ca="1">IF(HC[[#This Row],[Controle]]="OK",HC[[#This Row],[nE]]&amp;" Ø"&amp;HC[[#This Row],[Ø (cm)]]&amp;"cm Prof. "&amp;HC[[#This Row],[Prof. (m)]]&amp;" m","")</f>
        <v/>
      </c>
      <c r="BL205" s="4" t="str">
        <f ca="1">IF(HC[[#This Row],[idDimensionamento]]="","",HC[[#This Row],[idPilar]]&amp;HC[[#This Row],[idDimensionamento]])</f>
        <v/>
      </c>
    </row>
    <row r="206" spans="2:64" x14ac:dyDescent="0.25">
      <c r="B206" s="12">
        <f>ROUNDUP((ROW(HC[[#This Row],[idDiâmetro]])-ROW(HC[[#Headers],[idDiâmetro]]))/(COUNT(SPT[Prof. (m)])*COUNT(PILARES[Pilar])),0)</f>
        <v>8</v>
      </c>
      <c r="C206" s="12">
        <f>IF(HC[[#This Row],[idDiâmetro]]&lt;&gt;B205,1,IF(HC[[#This Row],[Prof. (m)]]=0,C205+1,C205))</f>
        <v>1</v>
      </c>
      <c r="D206" s="1">
        <f>IFERROR(IF(D205=MAX(SPT[Prof. (m)]),0,D205+1),0)</f>
        <v>5</v>
      </c>
      <c r="E206" s="1">
        <f>INDEX(SPT[],MATCH(HC[[#This Row],[Prof. (m)]],SPT[Prof. (m)],0),2)</f>
        <v>17</v>
      </c>
      <c r="F206" s="1" t="str">
        <f>INDEX(SPT[],MATCH(HC[[#This Row],[Prof. (m)]],SPT[Prof. (m)],0),3)</f>
        <v>Areia siltosa</v>
      </c>
      <c r="G206" s="1">
        <f>INDEX(estacas[],HC[[#This Row],[idDiâmetro]],MATCH($B$2,estacas[#Headers],0))</f>
        <v>70</v>
      </c>
      <c r="H206" s="1">
        <f>INDEX(estacas[],MATCH(HC[[#This Row],[Ø (cm)]],estacas[Ø HC (cm)],0),MATCH(HC[[#Headers],[Pe HC (kN)]],estacas[#Headers],0))</f>
        <v>2450</v>
      </c>
      <c r="I206" s="4">
        <f>INDEX(K_alpha_C[],MATCH(HC[[#This Row],[Solo]],K_alpha_C[Solo],0),2)</f>
        <v>0.8</v>
      </c>
      <c r="J206" s="5">
        <f>INDEX(K_alpha_C[],MATCH(HC[[#This Row],[Solo]],K_alpha_C[Solo],0),3)</f>
        <v>2</v>
      </c>
      <c r="K206" s="4">
        <f>INDEX(F1_F2[],MATCH($D$2,F1_F2[Tipo de estaca],0),2)</f>
        <v>2</v>
      </c>
      <c r="L206" s="4">
        <f>INDEX(F1_F2[],MATCH($D$2,F1_F2[Tipo de estaca],0),3)</f>
        <v>4</v>
      </c>
      <c r="M206" s="4">
        <f>PI()*(HC[[#This Row],[Ø (cm)]]/100)^2/4</f>
        <v>0.38484510006474959</v>
      </c>
      <c r="N206" s="4">
        <f>PI()*HC[[#This Row],[Ø (cm)]]/100</f>
        <v>2.1991148575128552</v>
      </c>
      <c r="O206" s="4">
        <f>IF(HC[[#This Row],[Prof. (m)]]=0,0,HC[[#This Row],[α (%)]]/100*HC[[#This Row],[K (MPa)]]*1000*HC[[#This Row],[NSPT]])</f>
        <v>272</v>
      </c>
      <c r="P206" s="4">
        <f>IF(HC[[#This Row],[Prof. (m)]]=0,0,(HC[[#This Row],[K (MPa)]]*1000*HC[[#This Row],[NSPT]]/HC[[#This Row],[F1]]*HC[[#This Row],[Ap (m²)]]+HC[[#This Row],[U (m)]]/HC[[#This Row],[F2]]*SUMIFS(HC[(α∙K∙NL∙ΔL)],HC[Prof. (m)],"&lt;="&amp;HC[[#This Row],[Prof. (m)]],HC[idDiâmetro],HC[[#This Row],[idDiâmetro]],HC[idPilar],HC[[#This Row],[idPilar]]))/'DADOS CAP. CARGA'!$D$2)</f>
        <v>1453.614920815997</v>
      </c>
      <c r="Q206" s="12">
        <f>INDEX(C_alpha_beta[],MATCH(HC[[#This Row],[Solo]],C_alpha_beta[Solo],0),MATCH(HC[[#Headers],[C (kPa)]],C_alpha_beta[#Headers],0))</f>
        <v>400</v>
      </c>
      <c r="R206" s="4">
        <f>INDEX(C_alpha_beta[],MATCH(HC[[#This Row],[Solo]],C_alpha_beta[Solo],0),MATCH(HC[[#Headers],[α ESF]],C_alpha_beta[#Headers],0))</f>
        <v>0.5</v>
      </c>
      <c r="S206" s="4">
        <f>INDEX(C_alpha_beta[],MATCH(HC[[#This Row],[Solo]],C_alpha_beta[Solo],0),MATCH(HC[[#Headers],[β ESF]],C_alpha_beta[#Headers],0))</f>
        <v>0.5</v>
      </c>
      <c r="T206" s="4">
        <f>IF(HC[[#This Row],[Prof. (m)]]=0,0,10*(HC[[#This Row],[NSPT]]/3+1))</f>
        <v>66.666666666666671</v>
      </c>
      <c r="U206" s="4">
        <f>(HC[[#This Row],[α ESF]]*HC[[#This Row],[C (kPa)]]*HC[[#This Row],[NSPT]]*HC[[#This Row],[Ap (m²)]])/'DADOS CAP. CARGA'!$Q$2+(HC[[#This Row],[β ESF]]*SUMIFS(HC[10∙(NL/3+1)],HC[Prof. (m)],"&lt;="&amp;HC[[#This Row],[Prof. (m)]],HC[idDiâmetro],HC[[#This Row],[idDiâmetro]],HC[idPilar],HC[[#This Row],[idPilar]])*HC[[#This Row],[U (m)]])/'DADOS CAP. CARGA'!$S$2</f>
        <v>415.08292935555136</v>
      </c>
      <c r="V206" s="4">
        <f>IF(SPT!$M$5=1,MIN(HC[[#This Row],[Pe HC (kN)]],HC[[#This Row],[R_AV (kN)]]),IF(SPT!$M$5=2,MIN(HC[[#This Row],[Pe HC (kN)]],HC[[#This Row],[R_DC (kN)]]),MIN(HC[[#This Row],[Pe HC (kN)]],HC[[#This Row],[R_AV (kN)]],HC[[#This Row],[R_DC (kN)]])))</f>
        <v>415.08292935555136</v>
      </c>
      <c r="W206" s="4">
        <f>INDEX(PILARES[],HC[[#This Row],[idPilar]],MATCH("Carga (kN)",PILARES[#Headers],0))*1.4</f>
        <v>3500</v>
      </c>
      <c r="X206" s="12">
        <f>INDEX(PILARES[],HC[[#This Row],[idPilar]],MATCH(HC[[#Headers],[ap (cm)]],PILARES[#Headers],0))</f>
        <v>60</v>
      </c>
      <c r="Y206" s="12">
        <f>INDEX(PILARES[],HC[[#This Row],[idPilar]],MATCH(HC[[#Headers],[bp (cm)]],PILARES[#Headers],0))</f>
        <v>60</v>
      </c>
      <c r="Z206" s="4">
        <f>SQRT(HC[[#This Row],[ap (cm)]]*HC[[#This Row],[bp (cm)]])</f>
        <v>60</v>
      </c>
      <c r="AA206" s="12">
        <f>HC[[#This Row],[ap (cm)]]*HC[[#This Row],[bp (cm)]]</f>
        <v>3600</v>
      </c>
      <c r="AB206" s="12">
        <f ca="1">IF(HC[[#This Row],[Padm∙ε (kN)]]&gt;=HC[[#This Row],[Padm (kN)]],ROUNDUP(1.05*HC[[#This Row],[Nsd (kN)]]/HC[[#This Row],[Padm (kN)]],0),ROUNDUP(1.05*HC[[#This Row],[Nsd (kN)]]/HC[[#This Row],[Padm (kN)]],0)+1)</f>
        <v>9</v>
      </c>
      <c r="AC206" s="4" t="str">
        <f ca="1">IFERROR(IF(HC[[#This Row],[nE]]=1,HC[[#This Row],[Padm (kN)]],HC[[#This Row],[Padm (kN)]]*HC[[#This Row],[nE]]*INDEX(grupoEstacas[],HC[[#This Row],[nE]],MATCH("ε",grupoEstacas[#Headers],0))),"N.S.")</f>
        <v>N.S.</v>
      </c>
      <c r="AD206" s="4">
        <f ca="1">1.05*HC[[#This Row],[Nsd (kN)]]/(HC[[#This Row],[nE]]*PI()*HC[[#This Row],[Ø (cm)]]^2/4)*10</f>
        <v>1.0610329539459689</v>
      </c>
      <c r="AE206" s="4">
        <f ca="1">IF(HC[[#This Row],[σ (MPa)]]&lt;INDEX(tipoEstaca[],MATCH($D$2,tipoEstaca[TIPO DE ESTACA],0),MATCH("σmáx (MPa)",tipoEstaca[#Headers],0)),0.4%*PI()*HC[[#This Row],[Ø (cm)]]^2/4,"N.S.")</f>
        <v>15.393804002589988</v>
      </c>
      <c r="AF206" s="1">
        <f>INDEX(tipoEstaca[],MATCH($D$2,tipoEstaca[TIPO DE ESTACA],0),MATCH(HC[[#Headers],[Comprimento (m)]],tipoEstaca[#Headers],0))</f>
        <v>4</v>
      </c>
      <c r="AG206" s="5">
        <f ca="1">HC[[#This Row],[As,mín (cm²)]]/100^2*HC[[#This Row],[Comprimento (m)]]*7850</f>
        <v>48.33654456813256</v>
      </c>
      <c r="AH206" s="4">
        <f ca="1">HC[[#This Row],[nE]]*HC[[#This Row],[Prof. (m)]]*HC[[#This Row],[Ap (m²)]]</f>
        <v>17.318029502913731</v>
      </c>
      <c r="AI206" s="1">
        <f ca="1">IF(HC[[#This Row],[nE]]=1,0,MAX(3*HC[[#This Row],[Ø (cm)]],60))</f>
        <v>210</v>
      </c>
      <c r="AJ206" s="1">
        <f ca="1">IF(HC[[#This Row],[nE]]=1,HC[[#This Row],[Ø (cm)]]+2*10,MAX(1.5*HC[[#This Row],[Ø (cm)]],HC[[#This Row],[Ø (cm)]]+15))</f>
        <v>105</v>
      </c>
      <c r="AK206" s="1" t="str">
        <f ca="1">alturaUtil(HC[[#This Row],[nE]],HC[[#This Row],[Ø (cm)]],HC[[#This Row],[e (cm)]],HC[[#This Row],[ap,eq (cm)]])</f>
        <v>N.S.</v>
      </c>
      <c r="AL206" s="1" t="str">
        <f ca="1">IFERROR(HC[[#This Row],[d (cm)]]+arredondarParaCimaMultiplo5cm(MAX(5,SQRT(PI())/2*HC[[#This Row],[Ø (cm)]]/5)),"N.S.")</f>
        <v>N.S.</v>
      </c>
      <c r="AM206" s="5" t="str">
        <f ca="1">alpha(HC[[#This Row],[nE]],HC[[#This Row],[d (cm)]],HC[[#This Row],[e (cm)]],HC[[#This Row],[ap,eq (cm)]])</f>
        <v>N.S.</v>
      </c>
      <c r="AN206" s="35" t="str">
        <f ca="1">IFERROR(HC[[#This Row],[Nsd (kN)]]/(HC[[#This Row],[Ap (cm²)]]*SIN(HC[[#This Row],[α]])^2),"N.S.")</f>
        <v>N.S.</v>
      </c>
      <c r="AO206" s="35" t="str">
        <f ca="1">IFERROR(HC[[#This Row],[Nsd (kN)]]/(HC[[#This Row],[nE]]*PI()*HC[[#This Row],[Ø (cm)]]^2/4*SIN(HC[[#This Row],[α]])^2),"N.S.")</f>
        <v>N.S.</v>
      </c>
      <c r="AP206" s="4" t="str">
        <f ca="1">IFERROR(INDEX(grupoEstacas[],HC[[#This Row],[nE]],MATCH("coef. Blévot",grupoEstacas[#Headers],0)),"N.S.")</f>
        <v>N.S.</v>
      </c>
      <c r="AQ206" s="35" t="str">
        <f ca="1">IFERROR(HC[[#This Row],[coef. Blévot]]*0.9*INDEX(tipoEstaca[],MATCH($D$2,tipoEstaca[TIPO DE ESTACA],0),MATCH("fcd (kN/cm²)",tipoEstaca[#Headers],0)),"N.S.")</f>
        <v>N.S.</v>
      </c>
      <c r="AR206" s="1" t="str">
        <f ca="1">IF(AND(HC[[#This Row],[cd,b,pil (kN/cm²)]]&lt;=HC[[#This Row],[cd,b,lim (kN/cm²)]],HC[[#This Row],[cd,b,est (kN/cm²)]]&lt;=HC[[#This Row],[cd,b,lim (kN/cm²)]]),"OK","ERRO")</f>
        <v>OK</v>
      </c>
      <c r="AS206" s="4" t="str">
        <f ca="1">As_lado(HC[[#This Row],[nE]],HC[[#This Row],[Nsd (kN)]],HC[[#This Row],[d (cm)]],HC[[#This Row],[e (cm)]],HC[[#This Row],[ap,eq (cm)]])</f>
        <v>N.S.</v>
      </c>
      <c r="AT206" s="4" t="str">
        <f ca="1">IF(HC[[#This Row],[nE]]=1,HC[[#This Row],[As,lado (cm²)]],IF(HC[[#This Row],[nE]]=2,0.075*2*HC[a (cm)],"N.A."))</f>
        <v>N.A.</v>
      </c>
      <c r="AU206" s="4" t="str">
        <f ca="1">IFERROR(IF(HC[[#This Row],[nE]]=1,"N.A.",0.2*HC[[#This Row],[As,lado (cm²)]]),"N.S.")</f>
        <v>N.S.</v>
      </c>
      <c r="AV206" s="4" t="str">
        <f ca="1">As_malha(HC[[#This Row],[nE]],HC[[#This Row],[As,lado (cm²)]],HC[[#This Row],[Nsd (kN)]])</f>
        <v>N.S.</v>
      </c>
      <c r="AW206" s="4" t="str">
        <f ca="1">As_susp_tot(HC[[#This Row],[nE]],HC[[#This Row],[Nsd (kN)]])</f>
        <v>N.S.</v>
      </c>
      <c r="AX206" s="4" t="str">
        <f ca="1">Asp_face(HC[[#This Row],[nE]],HC[[#This Row],[As,lado (cm²)]])</f>
        <v>N.S.</v>
      </c>
      <c r="AY206" s="5" t="str">
        <f ca="1">acoBloco(HC[[#This Row],[nE]],HC[[#This Row],[e (cm)]],HC[[#This Row],[a (cm)]],HC[[#This Row],[h (cm)]],HC[[#This Row],[As,lado (cm²)]],HC[[#This Row],[Asp e Asw (cm²/m)]],HC[[#This Row],[As,sup (cm²)]],HC[[#This Row],[As,malha (cm²)]],HC[[#This Row],[As,susp,tot (cm²)]],HC[[#This Row],[Asp,face (cm²)]])</f>
        <v>N.S.</v>
      </c>
      <c r="AZ206" s="4" t="str">
        <f ca="1">concretoBloco(HC[[#This Row],[nE]],HC[[#This Row],[e (cm)]],HC[[#This Row],[a (cm)]],HC[[#This Row],[h (cm)]])</f>
        <v>N.S.</v>
      </c>
      <c r="BA206" s="5">
        <f ca="1">SUM(HC[[#This Row],[Aço Est (kg)]],HC[[#This Row],[Aço Bloco (kg)]])</f>
        <v>48.33654456813256</v>
      </c>
      <c r="BB206" s="4">
        <f>INDEX(composicoes[],MATCH(95580,composicoes[CÓDIGO],0),MATCH("CUSTO TOTAL",composicoes[#Headers],0))</f>
        <v>10.46</v>
      </c>
      <c r="BC206" s="4">
        <f ca="1">SUM(HC[[#This Row],[Conc Est (m³)]],HC[[#This Row],[Conc Bloco (m³)]])</f>
        <v>17.318029502913731</v>
      </c>
      <c r="BD206" s="4">
        <f>INDEX(composicoes[],MATCH(94966,composicoes[CÓDIGO],0),MATCH("CUSTO TOTAL",composicoes[#Headers],0))</f>
        <v>439.52</v>
      </c>
      <c r="BE206" s="38">
        <f ca="1">HC[[#This Row],[Aço (kg)]]*HC[[#This Row],[Aço (R$/kg)]]+HC[[#This Row],[Conc (m³)]]*HC[[#This Row],[Conc (R$/m³)]]</f>
        <v>8117.2205833033095</v>
      </c>
      <c r="BF206" s="4" t="str">
        <f ca="1">IF(COUNTIF(HC[#This Row],"N.S.")&gt;0,"lim.","OK")</f>
        <v>lim.</v>
      </c>
      <c r="BG206" s="4" t="str">
        <f>IF(HC[[#This Row],[Prof. (m)]]&lt;4,"lim.","OK")</f>
        <v>OK</v>
      </c>
      <c r="BH206" s="4" t="str">
        <f>IF(HC[[#This Row],[Prof. (m)]]&gt;=8*HC[[#This Row],[Ø (cm)]]/100,"OK","lim.")</f>
        <v>lim.</v>
      </c>
      <c r="BI206" s="4" t="str">
        <f ca="1">IF(HC[[#This Row],[Verif. Biela]]="OK","OK","lim.")</f>
        <v>OK</v>
      </c>
      <c r="BJ206" s="4" t="str">
        <f ca="1">IF(COUNTA(HC[[#This Row],[Nº Est.]:[Biela comp.]])=COUNTIF(HC[[#This Row],[Nº Est.]:[Biela comp.]],"OK"),"OK","lim.")</f>
        <v>lim.</v>
      </c>
      <c r="BK206" s="4" t="str">
        <f ca="1">IF(HC[[#This Row],[Controle]]="OK",HC[[#This Row],[nE]]&amp;" Ø"&amp;HC[[#This Row],[Ø (cm)]]&amp;"cm Prof. "&amp;HC[[#This Row],[Prof. (m)]]&amp;" m","")</f>
        <v/>
      </c>
      <c r="BL206" s="4" t="str">
        <f ca="1">IF(HC[[#This Row],[idDimensionamento]]="","",HC[[#This Row],[idPilar]]&amp;HC[[#This Row],[idDimensionamento]])</f>
        <v/>
      </c>
    </row>
    <row r="207" spans="2:64" x14ac:dyDescent="0.25">
      <c r="B207" s="12">
        <f>ROUNDUP((ROW(HC[[#This Row],[idDiâmetro]])-ROW(HC[[#Headers],[idDiâmetro]]))/(COUNT(SPT[Prof. (m)])*COUNT(PILARES[Pilar])),0)</f>
        <v>8</v>
      </c>
      <c r="C207" s="12">
        <f>IF(HC[[#This Row],[idDiâmetro]]&lt;&gt;B206,1,IF(HC[[#This Row],[Prof. (m)]]=0,C206+1,C206))</f>
        <v>1</v>
      </c>
      <c r="D207" s="1">
        <f>IFERROR(IF(D206=MAX(SPT[Prof. (m)]),0,D206+1),0)</f>
        <v>6</v>
      </c>
      <c r="E207" s="1">
        <f>INDEX(SPT[],MATCH(HC[[#This Row],[Prof. (m)]],SPT[Prof. (m)],0),2)</f>
        <v>21</v>
      </c>
      <c r="F207" s="1" t="str">
        <f>INDEX(SPT[],MATCH(HC[[#This Row],[Prof. (m)]],SPT[Prof. (m)],0),3)</f>
        <v>Silte arenoso</v>
      </c>
      <c r="G207" s="1">
        <f>INDEX(estacas[],HC[[#This Row],[idDiâmetro]],MATCH($B$2,estacas[#Headers],0))</f>
        <v>70</v>
      </c>
      <c r="H207" s="1">
        <f>INDEX(estacas[],MATCH(HC[[#This Row],[Ø (cm)]],estacas[Ø HC (cm)],0),MATCH(HC[[#Headers],[Pe HC (kN)]],estacas[#Headers],0))</f>
        <v>2450</v>
      </c>
      <c r="I207" s="4">
        <f>INDEX(K_alpha_C[],MATCH(HC[[#This Row],[Solo]],K_alpha_C[Solo],0),2)</f>
        <v>0.55000000000000004</v>
      </c>
      <c r="J207" s="5">
        <f>INDEX(K_alpha_C[],MATCH(HC[[#This Row],[Solo]],K_alpha_C[Solo],0),3)</f>
        <v>2.2000000000000002</v>
      </c>
      <c r="K207" s="4">
        <f>INDEX(F1_F2[],MATCH($D$2,F1_F2[Tipo de estaca],0),2)</f>
        <v>2</v>
      </c>
      <c r="L207" s="4">
        <f>INDEX(F1_F2[],MATCH($D$2,F1_F2[Tipo de estaca],0),3)</f>
        <v>4</v>
      </c>
      <c r="M207" s="4">
        <f>PI()*(HC[[#This Row],[Ø (cm)]]/100)^2/4</f>
        <v>0.38484510006474959</v>
      </c>
      <c r="N207" s="4">
        <f>PI()*HC[[#This Row],[Ø (cm)]]/100</f>
        <v>2.1991148575128552</v>
      </c>
      <c r="O207" s="4">
        <f>IF(HC[[#This Row],[Prof. (m)]]=0,0,HC[[#This Row],[α (%)]]/100*HC[[#This Row],[K (MPa)]]*1000*HC[[#This Row],[NSPT]])</f>
        <v>254.10000000000002</v>
      </c>
      <c r="P207" s="4">
        <f>IF(HC[[#This Row],[Prof. (m)]]=0,0,(HC[[#This Row],[K (MPa)]]*1000*HC[[#This Row],[NSPT]]/HC[[#This Row],[F1]]*HC[[#This Row],[Ap (m²)]]+HC[[#This Row],[U (m)]]/HC[[#This Row],[F2]]*SUMIFS(HC[(α∙K∙NL∙ΔL)],HC[Prof. (m)],"&lt;="&amp;HC[[#This Row],[Prof. (m)]],HC[idDiâmetro],HC[[#This Row],[idDiâmetro]],HC[idPilar],HC[[#This Row],[idPilar]]))/'DADOS CAP. CARGA'!$D$2)</f>
        <v>1326.2311926945649</v>
      </c>
      <c r="Q207" s="12">
        <f>INDEX(C_alpha_beta[],MATCH(HC[[#This Row],[Solo]],C_alpha_beta[Solo],0),MATCH(HC[[#Headers],[C (kPa)]],C_alpha_beta[#Headers],0))</f>
        <v>250</v>
      </c>
      <c r="R207" s="4">
        <f>INDEX(C_alpha_beta[],MATCH(HC[[#This Row],[Solo]],C_alpha_beta[Solo],0),MATCH(HC[[#Headers],[α ESF]],C_alpha_beta[#Headers],0))</f>
        <v>0.6</v>
      </c>
      <c r="S207" s="4">
        <f>INDEX(C_alpha_beta[],MATCH(HC[[#This Row],[Solo]],C_alpha_beta[Solo],0),MATCH(HC[[#Headers],[β ESF]],C_alpha_beta[#Headers],0))</f>
        <v>0.65</v>
      </c>
      <c r="T207" s="4">
        <f>IF(HC[[#This Row],[Prof. (m)]]=0,0,10*(HC[[#This Row],[NSPT]]/3+1))</f>
        <v>80</v>
      </c>
      <c r="U207" s="4">
        <f>(HC[[#This Row],[α ESF]]*HC[[#This Row],[C (kPa)]]*HC[[#This Row],[NSPT]]*HC[[#This Row],[Ap (m²)]])/'DADOS CAP. CARGA'!$Q$2+(HC[[#This Row],[β ESF]]*SUMIFS(HC[10∙(NL/3+1)],HC[Prof. (m)],"&lt;="&amp;HC[[#This Row],[Prof. (m)]],HC[idDiâmetro],HC[[#This Row],[idDiâmetro]],HC[idPilar],HC[[#This Row],[idPilar]])*HC[[#This Row],[U (m)]])/'DADOS CAP. CARGA'!$S$2</f>
        <v>474.59647518699296</v>
      </c>
      <c r="V207" s="4">
        <f>IF(SPT!$M$5=1,MIN(HC[[#This Row],[Pe HC (kN)]],HC[[#This Row],[R_AV (kN)]]),IF(SPT!$M$5=2,MIN(HC[[#This Row],[Pe HC (kN)]],HC[[#This Row],[R_DC (kN)]]),MIN(HC[[#This Row],[Pe HC (kN)]],HC[[#This Row],[R_AV (kN)]],HC[[#This Row],[R_DC (kN)]])))</f>
        <v>474.59647518699296</v>
      </c>
      <c r="W207" s="4">
        <f>INDEX(PILARES[],HC[[#This Row],[idPilar]],MATCH("Carga (kN)",PILARES[#Headers],0))*1.4</f>
        <v>3500</v>
      </c>
      <c r="X207" s="12">
        <f>INDEX(PILARES[],HC[[#This Row],[idPilar]],MATCH(HC[[#Headers],[ap (cm)]],PILARES[#Headers],0))</f>
        <v>60</v>
      </c>
      <c r="Y207" s="12">
        <f>INDEX(PILARES[],HC[[#This Row],[idPilar]],MATCH(HC[[#Headers],[bp (cm)]],PILARES[#Headers],0))</f>
        <v>60</v>
      </c>
      <c r="Z207" s="4">
        <f>SQRT(HC[[#This Row],[ap (cm)]]*HC[[#This Row],[bp (cm)]])</f>
        <v>60</v>
      </c>
      <c r="AA207" s="12">
        <f>HC[[#This Row],[ap (cm)]]*HC[[#This Row],[bp (cm)]]</f>
        <v>3600</v>
      </c>
      <c r="AB207" s="12">
        <f ca="1">IF(HC[[#This Row],[Padm∙ε (kN)]]&gt;=HC[[#This Row],[Padm (kN)]],ROUNDUP(1.05*HC[[#This Row],[Nsd (kN)]]/HC[[#This Row],[Padm (kN)]],0),ROUNDUP(1.05*HC[[#This Row],[Nsd (kN)]]/HC[[#This Row],[Padm (kN)]],0)+1)</f>
        <v>8</v>
      </c>
      <c r="AC207" s="4" t="str">
        <f ca="1">IFERROR(IF(HC[[#This Row],[nE]]=1,HC[[#This Row],[Padm (kN)]],HC[[#This Row],[Padm (kN)]]*HC[[#This Row],[nE]]*INDEX(grupoEstacas[],HC[[#This Row],[nE]],MATCH("ε",grupoEstacas[#Headers],0))),"N.S.")</f>
        <v>N.S.</v>
      </c>
      <c r="AD207" s="4">
        <f ca="1">1.05*HC[[#This Row],[Nsd (kN)]]/(HC[[#This Row],[nE]]*PI()*HC[[#This Row],[Ø (cm)]]^2/4)*10</f>
        <v>1.1936620731892149</v>
      </c>
      <c r="AE207" s="4">
        <f ca="1">IF(HC[[#This Row],[σ (MPa)]]&lt;INDEX(tipoEstaca[],MATCH($D$2,tipoEstaca[TIPO DE ESTACA],0),MATCH("σmáx (MPa)",tipoEstaca[#Headers],0)),0.4%*PI()*HC[[#This Row],[Ø (cm)]]^2/4,"N.S.")</f>
        <v>15.393804002589988</v>
      </c>
      <c r="AF207" s="1">
        <f>INDEX(tipoEstaca[],MATCH($D$2,tipoEstaca[TIPO DE ESTACA],0),MATCH(HC[[#Headers],[Comprimento (m)]],tipoEstaca[#Headers],0))</f>
        <v>4</v>
      </c>
      <c r="AG207" s="5">
        <f ca="1">HC[[#This Row],[As,mín (cm²)]]/100^2*HC[[#This Row],[Comprimento (m)]]*7850</f>
        <v>48.33654456813256</v>
      </c>
      <c r="AH207" s="4">
        <f ca="1">HC[[#This Row],[nE]]*HC[[#This Row],[Prof. (m)]]*HC[[#This Row],[Ap (m²)]]</f>
        <v>18.472564803107979</v>
      </c>
      <c r="AI207" s="1">
        <f ca="1">IF(HC[[#This Row],[nE]]=1,0,MAX(3*HC[[#This Row],[Ø (cm)]],60))</f>
        <v>210</v>
      </c>
      <c r="AJ207" s="1">
        <f ca="1">IF(HC[[#This Row],[nE]]=1,HC[[#This Row],[Ø (cm)]]+2*10,MAX(1.5*HC[[#This Row],[Ø (cm)]],HC[[#This Row],[Ø (cm)]]+15))</f>
        <v>105</v>
      </c>
      <c r="AK207" s="1" t="str">
        <f ca="1">alturaUtil(HC[[#This Row],[nE]],HC[[#This Row],[Ø (cm)]],HC[[#This Row],[e (cm)]],HC[[#This Row],[ap,eq (cm)]])</f>
        <v>N.S.</v>
      </c>
      <c r="AL207" s="1" t="str">
        <f ca="1">IFERROR(HC[[#This Row],[d (cm)]]+arredondarParaCimaMultiplo5cm(MAX(5,SQRT(PI())/2*HC[[#This Row],[Ø (cm)]]/5)),"N.S.")</f>
        <v>N.S.</v>
      </c>
      <c r="AM207" s="5" t="str">
        <f ca="1">alpha(HC[[#This Row],[nE]],HC[[#This Row],[d (cm)]],HC[[#This Row],[e (cm)]],HC[[#This Row],[ap,eq (cm)]])</f>
        <v>N.S.</v>
      </c>
      <c r="AN207" s="35" t="str">
        <f ca="1">IFERROR(HC[[#This Row],[Nsd (kN)]]/(HC[[#This Row],[Ap (cm²)]]*SIN(HC[[#This Row],[α]])^2),"N.S.")</f>
        <v>N.S.</v>
      </c>
      <c r="AO207" s="35" t="str">
        <f ca="1">IFERROR(HC[[#This Row],[Nsd (kN)]]/(HC[[#This Row],[nE]]*PI()*HC[[#This Row],[Ø (cm)]]^2/4*SIN(HC[[#This Row],[α]])^2),"N.S.")</f>
        <v>N.S.</v>
      </c>
      <c r="AP207" s="4" t="str">
        <f ca="1">IFERROR(INDEX(grupoEstacas[],HC[[#This Row],[nE]],MATCH("coef. Blévot",grupoEstacas[#Headers],0)),"N.S.")</f>
        <v>N.S.</v>
      </c>
      <c r="AQ207" s="35" t="str">
        <f ca="1">IFERROR(HC[[#This Row],[coef. Blévot]]*0.9*INDEX(tipoEstaca[],MATCH($D$2,tipoEstaca[TIPO DE ESTACA],0),MATCH("fcd (kN/cm²)",tipoEstaca[#Headers],0)),"N.S.")</f>
        <v>N.S.</v>
      </c>
      <c r="AR207" s="1" t="str">
        <f ca="1">IF(AND(HC[[#This Row],[cd,b,pil (kN/cm²)]]&lt;=HC[[#This Row],[cd,b,lim (kN/cm²)]],HC[[#This Row],[cd,b,est (kN/cm²)]]&lt;=HC[[#This Row],[cd,b,lim (kN/cm²)]]),"OK","ERRO")</f>
        <v>OK</v>
      </c>
      <c r="AS207" s="4" t="str">
        <f ca="1">As_lado(HC[[#This Row],[nE]],HC[[#This Row],[Nsd (kN)]],HC[[#This Row],[d (cm)]],HC[[#This Row],[e (cm)]],HC[[#This Row],[ap,eq (cm)]])</f>
        <v>N.S.</v>
      </c>
      <c r="AT207" s="4" t="str">
        <f ca="1">IF(HC[[#This Row],[nE]]=1,HC[[#This Row],[As,lado (cm²)]],IF(HC[[#This Row],[nE]]=2,0.075*2*HC[a (cm)],"N.A."))</f>
        <v>N.A.</v>
      </c>
      <c r="AU207" s="4" t="str">
        <f ca="1">IFERROR(IF(HC[[#This Row],[nE]]=1,"N.A.",0.2*HC[[#This Row],[As,lado (cm²)]]),"N.S.")</f>
        <v>N.S.</v>
      </c>
      <c r="AV207" s="4" t="str">
        <f ca="1">As_malha(HC[[#This Row],[nE]],HC[[#This Row],[As,lado (cm²)]],HC[[#This Row],[Nsd (kN)]])</f>
        <v>N.S.</v>
      </c>
      <c r="AW207" s="4" t="str">
        <f ca="1">As_susp_tot(HC[[#This Row],[nE]],HC[[#This Row],[Nsd (kN)]])</f>
        <v>N.S.</v>
      </c>
      <c r="AX207" s="4" t="str">
        <f ca="1">Asp_face(HC[[#This Row],[nE]],HC[[#This Row],[As,lado (cm²)]])</f>
        <v>N.S.</v>
      </c>
      <c r="AY207" s="5" t="str">
        <f ca="1">acoBloco(HC[[#This Row],[nE]],HC[[#This Row],[e (cm)]],HC[[#This Row],[a (cm)]],HC[[#This Row],[h (cm)]],HC[[#This Row],[As,lado (cm²)]],HC[[#This Row],[Asp e Asw (cm²/m)]],HC[[#This Row],[As,sup (cm²)]],HC[[#This Row],[As,malha (cm²)]],HC[[#This Row],[As,susp,tot (cm²)]],HC[[#This Row],[Asp,face (cm²)]])</f>
        <v>N.S.</v>
      </c>
      <c r="AZ207" s="4" t="str">
        <f ca="1">concretoBloco(HC[[#This Row],[nE]],HC[[#This Row],[e (cm)]],HC[[#This Row],[a (cm)]],HC[[#This Row],[h (cm)]])</f>
        <v>N.S.</v>
      </c>
      <c r="BA207" s="5">
        <f ca="1">SUM(HC[[#This Row],[Aço Est (kg)]],HC[[#This Row],[Aço Bloco (kg)]])</f>
        <v>48.33654456813256</v>
      </c>
      <c r="BB207" s="4">
        <f>INDEX(composicoes[],MATCH(95580,composicoes[CÓDIGO],0),MATCH("CUSTO TOTAL",composicoes[#Headers],0))</f>
        <v>10.46</v>
      </c>
      <c r="BC207" s="4">
        <f ca="1">SUM(HC[[#This Row],[Conc Est (m³)]],HC[[#This Row],[Conc Bloco (m³)]])</f>
        <v>18.472564803107979</v>
      </c>
      <c r="BD207" s="4">
        <f>INDEX(composicoes[],MATCH(94966,composicoes[CÓDIGO],0),MATCH("CUSTO TOTAL",composicoes[#Headers],0))</f>
        <v>439.52</v>
      </c>
      <c r="BE207" s="38">
        <f ca="1">HC[[#This Row],[Aço (kg)]]*HC[[#This Row],[Aço (R$/kg)]]+HC[[#This Row],[Conc (m³)]]*HC[[#This Row],[Conc (R$/m³)]]</f>
        <v>8624.6619384446858</v>
      </c>
      <c r="BF207" s="4" t="str">
        <f ca="1">IF(COUNTIF(HC[#This Row],"N.S.")&gt;0,"lim.","OK")</f>
        <v>lim.</v>
      </c>
      <c r="BG207" s="4" t="str">
        <f>IF(HC[[#This Row],[Prof. (m)]]&lt;4,"lim.","OK")</f>
        <v>OK</v>
      </c>
      <c r="BH207" s="4" t="str">
        <f>IF(HC[[#This Row],[Prof. (m)]]&gt;=8*HC[[#This Row],[Ø (cm)]]/100,"OK","lim.")</f>
        <v>OK</v>
      </c>
      <c r="BI207" s="4" t="str">
        <f ca="1">IF(HC[[#This Row],[Verif. Biela]]="OK","OK","lim.")</f>
        <v>OK</v>
      </c>
      <c r="BJ207" s="4" t="str">
        <f ca="1">IF(COUNTA(HC[[#This Row],[Nº Est.]:[Biela comp.]])=COUNTIF(HC[[#This Row],[Nº Est.]:[Biela comp.]],"OK"),"OK","lim.")</f>
        <v>lim.</v>
      </c>
      <c r="BK207" s="4" t="str">
        <f ca="1">IF(HC[[#This Row],[Controle]]="OK",HC[[#This Row],[nE]]&amp;" Ø"&amp;HC[[#This Row],[Ø (cm)]]&amp;"cm Prof. "&amp;HC[[#This Row],[Prof. (m)]]&amp;" m","")</f>
        <v/>
      </c>
      <c r="BL207" s="4" t="str">
        <f ca="1">IF(HC[[#This Row],[idDimensionamento]]="","",HC[[#This Row],[idPilar]]&amp;HC[[#This Row],[idDimensionamento]])</f>
        <v/>
      </c>
    </row>
    <row r="208" spans="2:64" x14ac:dyDescent="0.25">
      <c r="B208" s="12">
        <f>ROUNDUP((ROW(HC[[#This Row],[idDiâmetro]])-ROW(HC[[#Headers],[idDiâmetro]]))/(COUNT(SPT[Prof. (m)])*COUNT(PILARES[Pilar])),0)</f>
        <v>8</v>
      </c>
      <c r="C208" s="12">
        <f>IF(HC[[#This Row],[idDiâmetro]]&lt;&gt;B207,1,IF(HC[[#This Row],[Prof. (m)]]=0,C207+1,C207))</f>
        <v>1</v>
      </c>
      <c r="D208" s="1">
        <f>IFERROR(IF(D207=MAX(SPT[Prof. (m)]),0,D207+1),0)</f>
        <v>7</v>
      </c>
      <c r="E208" s="1">
        <f>INDEX(SPT[],MATCH(HC[[#This Row],[Prof. (m)]],SPT[Prof. (m)],0),2)</f>
        <v>8</v>
      </c>
      <c r="F208" s="1" t="str">
        <f>INDEX(SPT[],MATCH(HC[[#This Row],[Prof. (m)]],SPT[Prof. (m)],0),3)</f>
        <v>Silte arenoso</v>
      </c>
      <c r="G208" s="1">
        <f>INDEX(estacas[],HC[[#This Row],[idDiâmetro]],MATCH($B$2,estacas[#Headers],0))</f>
        <v>70</v>
      </c>
      <c r="H208" s="1">
        <f>INDEX(estacas[],MATCH(HC[[#This Row],[Ø (cm)]],estacas[Ø HC (cm)],0),MATCH(HC[[#Headers],[Pe HC (kN)]],estacas[#Headers],0))</f>
        <v>2450</v>
      </c>
      <c r="I208" s="4">
        <f>INDEX(K_alpha_C[],MATCH(HC[[#This Row],[Solo]],K_alpha_C[Solo],0),2)</f>
        <v>0.55000000000000004</v>
      </c>
      <c r="J208" s="5">
        <f>INDEX(K_alpha_C[],MATCH(HC[[#This Row],[Solo]],K_alpha_C[Solo],0),3)</f>
        <v>2.2000000000000002</v>
      </c>
      <c r="K208" s="4">
        <f>INDEX(F1_F2[],MATCH($D$2,F1_F2[Tipo de estaca],0),2)</f>
        <v>2</v>
      </c>
      <c r="L208" s="4">
        <f>INDEX(F1_F2[],MATCH($D$2,F1_F2[Tipo de estaca],0),3)</f>
        <v>4</v>
      </c>
      <c r="M208" s="4">
        <f>PI()*(HC[[#This Row],[Ø (cm)]]/100)^2/4</f>
        <v>0.38484510006474959</v>
      </c>
      <c r="N208" s="4">
        <f>PI()*HC[[#This Row],[Ø (cm)]]/100</f>
        <v>2.1991148575128552</v>
      </c>
      <c r="O208" s="4">
        <f>IF(HC[[#This Row],[Prof. (m)]]=0,0,HC[[#This Row],[α (%)]]/100*HC[[#This Row],[K (MPa)]]*1000*HC[[#This Row],[NSPT]])</f>
        <v>96.800000000000011</v>
      </c>
      <c r="P208" s="4">
        <f>IF(HC[[#This Row],[Prof. (m)]]=0,0,(HC[[#This Row],[K (MPa)]]*1000*HC[[#This Row],[NSPT]]/HC[[#This Row],[F1]]*HC[[#This Row],[Ap (m²)]]+HC[[#This Row],[U (m)]]/HC[[#This Row],[F2]]*SUMIFS(HC[(α∙K∙NL∙ΔL)],HC[Prof. (m)],"&lt;="&amp;HC[[#This Row],[Prof. (m)]],HC[idDiâmetro],HC[[#This Row],[idDiâmetro]],HC[idPilar],HC[[#This Row],[idPilar]]))/'DADOS CAP. CARGA'!$D$2)</f>
        <v>664.92986610473054</v>
      </c>
      <c r="Q208" s="12">
        <f>INDEX(C_alpha_beta[],MATCH(HC[[#This Row],[Solo]],C_alpha_beta[Solo],0),MATCH(HC[[#Headers],[C (kPa)]],C_alpha_beta[#Headers],0))</f>
        <v>250</v>
      </c>
      <c r="R208" s="4">
        <f>INDEX(C_alpha_beta[],MATCH(HC[[#This Row],[Solo]],C_alpha_beta[Solo],0),MATCH(HC[[#Headers],[α ESF]],C_alpha_beta[#Headers],0))</f>
        <v>0.6</v>
      </c>
      <c r="S208" s="4">
        <f>INDEX(C_alpha_beta[],MATCH(HC[[#This Row],[Solo]],C_alpha_beta[Solo],0),MATCH(HC[[#Headers],[β ESF]],C_alpha_beta[#Headers],0))</f>
        <v>0.65</v>
      </c>
      <c r="T208" s="4">
        <f>IF(HC[[#This Row],[Prof. (m)]]=0,0,10*(HC[[#This Row],[NSPT]]/3+1))</f>
        <v>36.666666666666664</v>
      </c>
      <c r="U208" s="4">
        <f>(HC[[#This Row],[α ESF]]*HC[[#This Row],[C (kPa)]]*HC[[#This Row],[NSPT]]*HC[[#This Row],[Ap (m²)]])/'DADOS CAP. CARGA'!$Q$2+(HC[[#This Row],[β ESF]]*SUMIFS(HC[10∙(NL/3+1)],HC[Prof. (m)],"&lt;="&amp;HC[[#This Row],[Prof. (m)]],HC[idDiâmetro],HC[[#This Row],[idDiâmetro]],HC[idPilar],HC[[#This Row],[idPilar]])*HC[[#This Row],[U (m)]])/'DADOS CAP. CARGA'!$S$2</f>
        <v>313.19060762412244</v>
      </c>
      <c r="V208" s="4">
        <f>IF(SPT!$M$5=1,MIN(HC[[#This Row],[Pe HC (kN)]],HC[[#This Row],[R_AV (kN)]]),IF(SPT!$M$5=2,MIN(HC[[#This Row],[Pe HC (kN)]],HC[[#This Row],[R_DC (kN)]]),MIN(HC[[#This Row],[Pe HC (kN)]],HC[[#This Row],[R_AV (kN)]],HC[[#This Row],[R_DC (kN)]])))</f>
        <v>313.19060762412244</v>
      </c>
      <c r="W208" s="4">
        <f>INDEX(PILARES[],HC[[#This Row],[idPilar]],MATCH("Carga (kN)",PILARES[#Headers],0))*1.4</f>
        <v>3500</v>
      </c>
      <c r="X208" s="12">
        <f>INDEX(PILARES[],HC[[#This Row],[idPilar]],MATCH(HC[[#Headers],[ap (cm)]],PILARES[#Headers],0))</f>
        <v>60</v>
      </c>
      <c r="Y208" s="12">
        <f>INDEX(PILARES[],HC[[#This Row],[idPilar]],MATCH(HC[[#Headers],[bp (cm)]],PILARES[#Headers],0))</f>
        <v>60</v>
      </c>
      <c r="Z208" s="4">
        <f>SQRT(HC[[#This Row],[ap (cm)]]*HC[[#This Row],[bp (cm)]])</f>
        <v>60</v>
      </c>
      <c r="AA208" s="12">
        <f>HC[[#This Row],[ap (cm)]]*HC[[#This Row],[bp (cm)]]</f>
        <v>3600</v>
      </c>
      <c r="AB208" s="12">
        <f ca="1">IF(HC[[#This Row],[Padm∙ε (kN)]]&gt;=HC[[#This Row],[Padm (kN)]],ROUNDUP(1.05*HC[[#This Row],[Nsd (kN)]]/HC[[#This Row],[Padm (kN)]],0),ROUNDUP(1.05*HC[[#This Row],[Nsd (kN)]]/HC[[#This Row],[Padm (kN)]],0)+1)</f>
        <v>12</v>
      </c>
      <c r="AC208" s="4" t="str">
        <f ca="1">IFERROR(IF(HC[[#This Row],[nE]]=1,HC[[#This Row],[Padm (kN)]],HC[[#This Row],[Padm (kN)]]*HC[[#This Row],[nE]]*INDEX(grupoEstacas[],HC[[#This Row],[nE]],MATCH("ε",grupoEstacas[#Headers],0))),"N.S.")</f>
        <v>N.S.</v>
      </c>
      <c r="AD208" s="4">
        <f ca="1">1.05*HC[[#This Row],[Nsd (kN)]]/(HC[[#This Row],[nE]]*PI()*HC[[#This Row],[Ø (cm)]]^2/4)*10</f>
        <v>0.79577471545947676</v>
      </c>
      <c r="AE208" s="4">
        <f ca="1">IF(HC[[#This Row],[σ (MPa)]]&lt;INDEX(tipoEstaca[],MATCH($D$2,tipoEstaca[TIPO DE ESTACA],0),MATCH("σmáx (MPa)",tipoEstaca[#Headers],0)),0.4%*PI()*HC[[#This Row],[Ø (cm)]]^2/4,"N.S.")</f>
        <v>15.393804002589988</v>
      </c>
      <c r="AF208" s="1">
        <f>INDEX(tipoEstaca[],MATCH($D$2,tipoEstaca[TIPO DE ESTACA],0),MATCH(HC[[#Headers],[Comprimento (m)]],tipoEstaca[#Headers],0))</f>
        <v>4</v>
      </c>
      <c r="AG208" s="5">
        <f ca="1">HC[[#This Row],[As,mín (cm²)]]/100^2*HC[[#This Row],[Comprimento (m)]]*7850</f>
        <v>48.33654456813256</v>
      </c>
      <c r="AH208" s="4">
        <f ca="1">HC[[#This Row],[nE]]*HC[[#This Row],[Prof. (m)]]*HC[[#This Row],[Ap (m²)]]</f>
        <v>32.326988405438968</v>
      </c>
      <c r="AI208" s="1">
        <f ca="1">IF(HC[[#This Row],[nE]]=1,0,MAX(3*HC[[#This Row],[Ø (cm)]],60))</f>
        <v>210</v>
      </c>
      <c r="AJ208" s="1">
        <f ca="1">IF(HC[[#This Row],[nE]]=1,HC[[#This Row],[Ø (cm)]]+2*10,MAX(1.5*HC[[#This Row],[Ø (cm)]],HC[[#This Row],[Ø (cm)]]+15))</f>
        <v>105</v>
      </c>
      <c r="AK208" s="1" t="str">
        <f ca="1">alturaUtil(HC[[#This Row],[nE]],HC[[#This Row],[Ø (cm)]],HC[[#This Row],[e (cm)]],HC[[#This Row],[ap,eq (cm)]])</f>
        <v>N.S.</v>
      </c>
      <c r="AL208" s="1" t="str">
        <f ca="1">IFERROR(HC[[#This Row],[d (cm)]]+arredondarParaCimaMultiplo5cm(MAX(5,SQRT(PI())/2*HC[[#This Row],[Ø (cm)]]/5)),"N.S.")</f>
        <v>N.S.</v>
      </c>
      <c r="AM208" s="5" t="str">
        <f ca="1">alpha(HC[[#This Row],[nE]],HC[[#This Row],[d (cm)]],HC[[#This Row],[e (cm)]],HC[[#This Row],[ap,eq (cm)]])</f>
        <v>N.S.</v>
      </c>
      <c r="AN208" s="35" t="str">
        <f ca="1">IFERROR(HC[[#This Row],[Nsd (kN)]]/(HC[[#This Row],[Ap (cm²)]]*SIN(HC[[#This Row],[α]])^2),"N.S.")</f>
        <v>N.S.</v>
      </c>
      <c r="AO208" s="35" t="str">
        <f ca="1">IFERROR(HC[[#This Row],[Nsd (kN)]]/(HC[[#This Row],[nE]]*PI()*HC[[#This Row],[Ø (cm)]]^2/4*SIN(HC[[#This Row],[α]])^2),"N.S.")</f>
        <v>N.S.</v>
      </c>
      <c r="AP208" s="4" t="str">
        <f ca="1">IFERROR(INDEX(grupoEstacas[],HC[[#This Row],[nE]],MATCH("coef. Blévot",grupoEstacas[#Headers],0)),"N.S.")</f>
        <v>N.S.</v>
      </c>
      <c r="AQ208" s="35" t="str">
        <f ca="1">IFERROR(HC[[#This Row],[coef. Blévot]]*0.9*INDEX(tipoEstaca[],MATCH($D$2,tipoEstaca[TIPO DE ESTACA],0),MATCH("fcd (kN/cm²)",tipoEstaca[#Headers],0)),"N.S.")</f>
        <v>N.S.</v>
      </c>
      <c r="AR208" s="1" t="str">
        <f ca="1">IF(AND(HC[[#This Row],[cd,b,pil (kN/cm²)]]&lt;=HC[[#This Row],[cd,b,lim (kN/cm²)]],HC[[#This Row],[cd,b,est (kN/cm²)]]&lt;=HC[[#This Row],[cd,b,lim (kN/cm²)]]),"OK","ERRO")</f>
        <v>OK</v>
      </c>
      <c r="AS208" s="4" t="str">
        <f ca="1">As_lado(HC[[#This Row],[nE]],HC[[#This Row],[Nsd (kN)]],HC[[#This Row],[d (cm)]],HC[[#This Row],[e (cm)]],HC[[#This Row],[ap,eq (cm)]])</f>
        <v>N.S.</v>
      </c>
      <c r="AT208" s="4" t="str">
        <f ca="1">IF(HC[[#This Row],[nE]]=1,HC[[#This Row],[As,lado (cm²)]],IF(HC[[#This Row],[nE]]=2,0.075*2*HC[a (cm)],"N.A."))</f>
        <v>N.A.</v>
      </c>
      <c r="AU208" s="4" t="str">
        <f ca="1">IFERROR(IF(HC[[#This Row],[nE]]=1,"N.A.",0.2*HC[[#This Row],[As,lado (cm²)]]),"N.S.")</f>
        <v>N.S.</v>
      </c>
      <c r="AV208" s="4" t="str">
        <f ca="1">As_malha(HC[[#This Row],[nE]],HC[[#This Row],[As,lado (cm²)]],HC[[#This Row],[Nsd (kN)]])</f>
        <v>N.S.</v>
      </c>
      <c r="AW208" s="4" t="str">
        <f ca="1">As_susp_tot(HC[[#This Row],[nE]],HC[[#This Row],[Nsd (kN)]])</f>
        <v>N.S.</v>
      </c>
      <c r="AX208" s="4" t="str">
        <f ca="1">Asp_face(HC[[#This Row],[nE]],HC[[#This Row],[As,lado (cm²)]])</f>
        <v>N.S.</v>
      </c>
      <c r="AY208" s="5" t="str">
        <f ca="1">acoBloco(HC[[#This Row],[nE]],HC[[#This Row],[e (cm)]],HC[[#This Row],[a (cm)]],HC[[#This Row],[h (cm)]],HC[[#This Row],[As,lado (cm²)]],HC[[#This Row],[Asp e Asw (cm²/m)]],HC[[#This Row],[As,sup (cm²)]],HC[[#This Row],[As,malha (cm²)]],HC[[#This Row],[As,susp,tot (cm²)]],HC[[#This Row],[Asp,face (cm²)]])</f>
        <v>N.S.</v>
      </c>
      <c r="AZ208" s="4" t="str">
        <f ca="1">concretoBloco(HC[[#This Row],[nE]],HC[[#This Row],[e (cm)]],HC[[#This Row],[a (cm)]],HC[[#This Row],[h (cm)]])</f>
        <v>N.S.</v>
      </c>
      <c r="BA208" s="5">
        <f ca="1">SUM(HC[[#This Row],[Aço Est (kg)]],HC[[#This Row],[Aço Bloco (kg)]])</f>
        <v>48.33654456813256</v>
      </c>
      <c r="BB208" s="4">
        <f>INDEX(composicoes[],MATCH(95580,composicoes[CÓDIGO],0),MATCH("CUSTO TOTAL",composicoes[#Headers],0))</f>
        <v>10.46</v>
      </c>
      <c r="BC208" s="4">
        <f ca="1">SUM(HC[[#This Row],[Conc Est (m³)]],HC[[#This Row],[Conc Bloco (m³)]])</f>
        <v>32.326988405438968</v>
      </c>
      <c r="BD208" s="4">
        <f>INDEX(composicoes[],MATCH(94966,composicoes[CÓDIGO],0),MATCH("CUSTO TOTAL",composicoes[#Headers],0))</f>
        <v>439.52</v>
      </c>
      <c r="BE208" s="38">
        <f ca="1">HC[[#This Row],[Aço (kg)]]*HC[[#This Row],[Aço (R$/kg)]]+HC[[#This Row],[Conc (m³)]]*HC[[#This Row],[Conc (R$/m³)]]</f>
        <v>14713.9582001412</v>
      </c>
      <c r="BF208" s="4" t="str">
        <f ca="1">IF(COUNTIF(HC[#This Row],"N.S.")&gt;0,"lim.","OK")</f>
        <v>lim.</v>
      </c>
      <c r="BG208" s="4" t="str">
        <f>IF(HC[[#This Row],[Prof. (m)]]&lt;4,"lim.","OK")</f>
        <v>OK</v>
      </c>
      <c r="BH208" s="4" t="str">
        <f>IF(HC[[#This Row],[Prof. (m)]]&gt;=8*HC[[#This Row],[Ø (cm)]]/100,"OK","lim.")</f>
        <v>OK</v>
      </c>
      <c r="BI208" s="4" t="str">
        <f ca="1">IF(HC[[#This Row],[Verif. Biela]]="OK","OK","lim.")</f>
        <v>OK</v>
      </c>
      <c r="BJ208" s="4" t="str">
        <f ca="1">IF(COUNTA(HC[[#This Row],[Nº Est.]:[Biela comp.]])=COUNTIF(HC[[#This Row],[Nº Est.]:[Biela comp.]],"OK"),"OK","lim.")</f>
        <v>lim.</v>
      </c>
      <c r="BK208" s="4" t="str">
        <f ca="1">IF(HC[[#This Row],[Controle]]="OK",HC[[#This Row],[nE]]&amp;" Ø"&amp;HC[[#This Row],[Ø (cm)]]&amp;"cm Prof. "&amp;HC[[#This Row],[Prof. (m)]]&amp;" m","")</f>
        <v/>
      </c>
      <c r="BL208" s="4" t="str">
        <f ca="1">IF(HC[[#This Row],[idDimensionamento]]="","",HC[[#This Row],[idPilar]]&amp;HC[[#This Row],[idDimensionamento]])</f>
        <v/>
      </c>
    </row>
    <row r="209" spans="2:64" x14ac:dyDescent="0.25">
      <c r="B209" s="12">
        <f>ROUNDUP((ROW(HC[[#This Row],[idDiâmetro]])-ROW(HC[[#Headers],[idDiâmetro]]))/(COUNT(SPT[Prof. (m)])*COUNT(PILARES[Pilar])),0)</f>
        <v>8</v>
      </c>
      <c r="C209" s="12">
        <f>IF(HC[[#This Row],[idDiâmetro]]&lt;&gt;B208,1,IF(HC[[#This Row],[Prof. (m)]]=0,C208+1,C208))</f>
        <v>1</v>
      </c>
      <c r="D209" s="1">
        <f>IFERROR(IF(D208=MAX(SPT[Prof. (m)]),0,D208+1),0)</f>
        <v>8</v>
      </c>
      <c r="E209" s="1">
        <f>INDEX(SPT[],MATCH(HC[[#This Row],[Prof. (m)]],SPT[Prof. (m)],0),2)</f>
        <v>10</v>
      </c>
      <c r="F209" s="1" t="str">
        <f>INDEX(SPT[],MATCH(HC[[#This Row],[Prof. (m)]],SPT[Prof. (m)],0),3)</f>
        <v>Silte arenoso</v>
      </c>
      <c r="G209" s="1">
        <f>INDEX(estacas[],HC[[#This Row],[idDiâmetro]],MATCH($B$2,estacas[#Headers],0))</f>
        <v>70</v>
      </c>
      <c r="H209" s="1">
        <f>INDEX(estacas[],MATCH(HC[[#This Row],[Ø (cm)]],estacas[Ø HC (cm)],0),MATCH(HC[[#Headers],[Pe HC (kN)]],estacas[#Headers],0))</f>
        <v>2450</v>
      </c>
      <c r="I209" s="4">
        <f>INDEX(K_alpha_C[],MATCH(HC[[#This Row],[Solo]],K_alpha_C[Solo],0),2)</f>
        <v>0.55000000000000004</v>
      </c>
      <c r="J209" s="5">
        <f>INDEX(K_alpha_C[],MATCH(HC[[#This Row],[Solo]],K_alpha_C[Solo],0),3)</f>
        <v>2.2000000000000002</v>
      </c>
      <c r="K209" s="4">
        <f>INDEX(F1_F2[],MATCH($D$2,F1_F2[Tipo de estaca],0),2)</f>
        <v>2</v>
      </c>
      <c r="L209" s="4">
        <f>INDEX(F1_F2[],MATCH($D$2,F1_F2[Tipo de estaca],0),3)</f>
        <v>4</v>
      </c>
      <c r="M209" s="4">
        <f>PI()*(HC[[#This Row],[Ø (cm)]]/100)^2/4</f>
        <v>0.38484510006474959</v>
      </c>
      <c r="N209" s="4">
        <f>PI()*HC[[#This Row],[Ø (cm)]]/100</f>
        <v>2.1991148575128552</v>
      </c>
      <c r="O209" s="4">
        <f>IF(HC[[#This Row],[Prof. (m)]]=0,0,HC[[#This Row],[α (%)]]/100*HC[[#This Row],[K (MPa)]]*1000*HC[[#This Row],[NSPT]])</f>
        <v>121.00000000000001</v>
      </c>
      <c r="P209" s="4">
        <f>IF(HC[[#This Row],[Prof. (m)]]=0,0,(HC[[#This Row],[K (MPa)]]*1000*HC[[#This Row],[NSPT]]/HC[[#This Row],[F1]]*HC[[#This Row],[Ap (m²)]]+HC[[#This Row],[U (m)]]/HC[[#This Row],[F2]]*SUMIFS(HC[(α∙K∙NL∙ΔL)],HC[Prof. (m)],"&lt;="&amp;HC[[#This Row],[Prof. (m)]],HC[idDiâmetro],HC[[#This Row],[idDiâmetro]],HC[idPilar],HC[[#This Row],[idPilar]]))/'DADOS CAP. CARGA'!$D$2)</f>
        <v>804.02388084241875</v>
      </c>
      <c r="Q209" s="12">
        <f>INDEX(C_alpha_beta[],MATCH(HC[[#This Row],[Solo]],C_alpha_beta[Solo],0),MATCH(HC[[#Headers],[C (kPa)]],C_alpha_beta[#Headers],0))</f>
        <v>250</v>
      </c>
      <c r="R209" s="4">
        <f>INDEX(C_alpha_beta[],MATCH(HC[[#This Row],[Solo]],C_alpha_beta[Solo],0),MATCH(HC[[#Headers],[α ESF]],C_alpha_beta[#Headers],0))</f>
        <v>0.6</v>
      </c>
      <c r="S209" s="4">
        <f>INDEX(C_alpha_beta[],MATCH(HC[[#This Row],[Solo]],C_alpha_beta[Solo],0),MATCH(HC[[#Headers],[β ESF]],C_alpha_beta[#Headers],0))</f>
        <v>0.65</v>
      </c>
      <c r="T209" s="4">
        <f>IF(HC[[#This Row],[Prof. (m)]]=0,0,10*(HC[[#This Row],[NSPT]]/3+1))</f>
        <v>43.333333333333343</v>
      </c>
      <c r="U209" s="4">
        <f>(HC[[#This Row],[α ESF]]*HC[[#This Row],[C (kPa)]]*HC[[#This Row],[NSPT]]*HC[[#This Row],[Ap (m²)]])/'DADOS CAP. CARGA'!$Q$2+(HC[[#This Row],[β ESF]]*SUMIFS(HC[10∙(NL/3+1)],HC[Prof. (m)],"&lt;="&amp;HC[[#This Row],[Prof. (m)]],HC[idDiâmetro],HC[[#This Row],[idDiâmetro]],HC[idPilar],HC[[#This Row],[idPilar]])*HC[[#This Row],[U (m)]])/'DADOS CAP. CARGA'!$S$2</f>
        <v>373.02485770561805</v>
      </c>
      <c r="V209" s="4">
        <f>IF(SPT!$M$5=1,MIN(HC[[#This Row],[Pe HC (kN)]],HC[[#This Row],[R_AV (kN)]]),IF(SPT!$M$5=2,MIN(HC[[#This Row],[Pe HC (kN)]],HC[[#This Row],[R_DC (kN)]]),MIN(HC[[#This Row],[Pe HC (kN)]],HC[[#This Row],[R_AV (kN)]],HC[[#This Row],[R_DC (kN)]])))</f>
        <v>373.02485770561805</v>
      </c>
      <c r="W209" s="4">
        <f>INDEX(PILARES[],HC[[#This Row],[idPilar]],MATCH("Carga (kN)",PILARES[#Headers],0))*1.4</f>
        <v>3500</v>
      </c>
      <c r="X209" s="12">
        <f>INDEX(PILARES[],HC[[#This Row],[idPilar]],MATCH(HC[[#Headers],[ap (cm)]],PILARES[#Headers],0))</f>
        <v>60</v>
      </c>
      <c r="Y209" s="12">
        <f>INDEX(PILARES[],HC[[#This Row],[idPilar]],MATCH(HC[[#Headers],[bp (cm)]],PILARES[#Headers],0))</f>
        <v>60</v>
      </c>
      <c r="Z209" s="4">
        <f>SQRT(HC[[#This Row],[ap (cm)]]*HC[[#This Row],[bp (cm)]])</f>
        <v>60</v>
      </c>
      <c r="AA209" s="12">
        <f>HC[[#This Row],[ap (cm)]]*HC[[#This Row],[bp (cm)]]</f>
        <v>3600</v>
      </c>
      <c r="AB209" s="12">
        <f ca="1">IF(HC[[#This Row],[Padm∙ε (kN)]]&gt;=HC[[#This Row],[Padm (kN)]],ROUNDUP(1.05*HC[[#This Row],[Nsd (kN)]]/HC[[#This Row],[Padm (kN)]],0),ROUNDUP(1.05*HC[[#This Row],[Nsd (kN)]]/HC[[#This Row],[Padm (kN)]],0)+1)</f>
        <v>10</v>
      </c>
      <c r="AC209" s="4" t="str">
        <f ca="1">IFERROR(IF(HC[[#This Row],[nE]]=1,HC[[#This Row],[Padm (kN)]],HC[[#This Row],[Padm (kN)]]*HC[[#This Row],[nE]]*INDEX(grupoEstacas[],HC[[#This Row],[nE]],MATCH("ε",grupoEstacas[#Headers],0))),"N.S.")</f>
        <v>N.S.</v>
      </c>
      <c r="AD209" s="4">
        <f ca="1">1.05*HC[[#This Row],[Nsd (kN)]]/(HC[[#This Row],[nE]]*PI()*HC[[#This Row],[Ø (cm)]]^2/4)*10</f>
        <v>0.95492965855137213</v>
      </c>
      <c r="AE209" s="4">
        <f ca="1">IF(HC[[#This Row],[σ (MPa)]]&lt;INDEX(tipoEstaca[],MATCH($D$2,tipoEstaca[TIPO DE ESTACA],0),MATCH("σmáx (MPa)",tipoEstaca[#Headers],0)),0.4%*PI()*HC[[#This Row],[Ø (cm)]]^2/4,"N.S.")</f>
        <v>15.393804002589988</v>
      </c>
      <c r="AF209" s="1">
        <f>INDEX(tipoEstaca[],MATCH($D$2,tipoEstaca[TIPO DE ESTACA],0),MATCH(HC[[#Headers],[Comprimento (m)]],tipoEstaca[#Headers],0))</f>
        <v>4</v>
      </c>
      <c r="AG209" s="5">
        <f ca="1">HC[[#This Row],[As,mín (cm²)]]/100^2*HC[[#This Row],[Comprimento (m)]]*7850</f>
        <v>48.33654456813256</v>
      </c>
      <c r="AH209" s="4">
        <f ca="1">HC[[#This Row],[nE]]*HC[[#This Row],[Prof. (m)]]*HC[[#This Row],[Ap (m²)]]</f>
        <v>30.787608005179969</v>
      </c>
      <c r="AI209" s="1">
        <f ca="1">IF(HC[[#This Row],[nE]]=1,0,MAX(3*HC[[#This Row],[Ø (cm)]],60))</f>
        <v>210</v>
      </c>
      <c r="AJ209" s="1">
        <f ca="1">IF(HC[[#This Row],[nE]]=1,HC[[#This Row],[Ø (cm)]]+2*10,MAX(1.5*HC[[#This Row],[Ø (cm)]],HC[[#This Row],[Ø (cm)]]+15))</f>
        <v>105</v>
      </c>
      <c r="AK209" s="1" t="str">
        <f ca="1">alturaUtil(HC[[#This Row],[nE]],HC[[#This Row],[Ø (cm)]],HC[[#This Row],[e (cm)]],HC[[#This Row],[ap,eq (cm)]])</f>
        <v>N.S.</v>
      </c>
      <c r="AL209" s="1" t="str">
        <f ca="1">IFERROR(HC[[#This Row],[d (cm)]]+arredondarParaCimaMultiplo5cm(MAX(5,SQRT(PI())/2*HC[[#This Row],[Ø (cm)]]/5)),"N.S.")</f>
        <v>N.S.</v>
      </c>
      <c r="AM209" s="5" t="str">
        <f ca="1">alpha(HC[[#This Row],[nE]],HC[[#This Row],[d (cm)]],HC[[#This Row],[e (cm)]],HC[[#This Row],[ap,eq (cm)]])</f>
        <v>N.S.</v>
      </c>
      <c r="AN209" s="35" t="str">
        <f ca="1">IFERROR(HC[[#This Row],[Nsd (kN)]]/(HC[[#This Row],[Ap (cm²)]]*SIN(HC[[#This Row],[α]])^2),"N.S.")</f>
        <v>N.S.</v>
      </c>
      <c r="AO209" s="35" t="str">
        <f ca="1">IFERROR(HC[[#This Row],[Nsd (kN)]]/(HC[[#This Row],[nE]]*PI()*HC[[#This Row],[Ø (cm)]]^2/4*SIN(HC[[#This Row],[α]])^2),"N.S.")</f>
        <v>N.S.</v>
      </c>
      <c r="AP209" s="4" t="str">
        <f ca="1">IFERROR(INDEX(grupoEstacas[],HC[[#This Row],[nE]],MATCH("coef. Blévot",grupoEstacas[#Headers],0)),"N.S.")</f>
        <v>N.S.</v>
      </c>
      <c r="AQ209" s="35" t="str">
        <f ca="1">IFERROR(HC[[#This Row],[coef. Blévot]]*0.9*INDEX(tipoEstaca[],MATCH($D$2,tipoEstaca[TIPO DE ESTACA],0),MATCH("fcd (kN/cm²)",tipoEstaca[#Headers],0)),"N.S.")</f>
        <v>N.S.</v>
      </c>
      <c r="AR209" s="1" t="str">
        <f ca="1">IF(AND(HC[[#This Row],[cd,b,pil (kN/cm²)]]&lt;=HC[[#This Row],[cd,b,lim (kN/cm²)]],HC[[#This Row],[cd,b,est (kN/cm²)]]&lt;=HC[[#This Row],[cd,b,lim (kN/cm²)]]),"OK","ERRO")</f>
        <v>OK</v>
      </c>
      <c r="AS209" s="4" t="str">
        <f ca="1">As_lado(HC[[#This Row],[nE]],HC[[#This Row],[Nsd (kN)]],HC[[#This Row],[d (cm)]],HC[[#This Row],[e (cm)]],HC[[#This Row],[ap,eq (cm)]])</f>
        <v>N.S.</v>
      </c>
      <c r="AT209" s="4" t="str">
        <f ca="1">IF(HC[[#This Row],[nE]]=1,HC[[#This Row],[As,lado (cm²)]],IF(HC[[#This Row],[nE]]=2,0.075*2*HC[a (cm)],"N.A."))</f>
        <v>N.A.</v>
      </c>
      <c r="AU209" s="4" t="str">
        <f ca="1">IFERROR(IF(HC[[#This Row],[nE]]=1,"N.A.",0.2*HC[[#This Row],[As,lado (cm²)]]),"N.S.")</f>
        <v>N.S.</v>
      </c>
      <c r="AV209" s="4" t="str">
        <f ca="1">As_malha(HC[[#This Row],[nE]],HC[[#This Row],[As,lado (cm²)]],HC[[#This Row],[Nsd (kN)]])</f>
        <v>N.S.</v>
      </c>
      <c r="AW209" s="4" t="str">
        <f ca="1">As_susp_tot(HC[[#This Row],[nE]],HC[[#This Row],[Nsd (kN)]])</f>
        <v>N.S.</v>
      </c>
      <c r="AX209" s="4" t="str">
        <f ca="1">Asp_face(HC[[#This Row],[nE]],HC[[#This Row],[As,lado (cm²)]])</f>
        <v>N.S.</v>
      </c>
      <c r="AY209" s="5" t="str">
        <f ca="1">acoBloco(HC[[#This Row],[nE]],HC[[#This Row],[e (cm)]],HC[[#This Row],[a (cm)]],HC[[#This Row],[h (cm)]],HC[[#This Row],[As,lado (cm²)]],HC[[#This Row],[Asp e Asw (cm²/m)]],HC[[#This Row],[As,sup (cm²)]],HC[[#This Row],[As,malha (cm²)]],HC[[#This Row],[As,susp,tot (cm²)]],HC[[#This Row],[Asp,face (cm²)]])</f>
        <v>N.S.</v>
      </c>
      <c r="AZ209" s="4" t="str">
        <f ca="1">concretoBloco(HC[[#This Row],[nE]],HC[[#This Row],[e (cm)]],HC[[#This Row],[a (cm)]],HC[[#This Row],[h (cm)]])</f>
        <v>N.S.</v>
      </c>
      <c r="BA209" s="5">
        <f ca="1">SUM(HC[[#This Row],[Aço Est (kg)]],HC[[#This Row],[Aço Bloco (kg)]])</f>
        <v>48.33654456813256</v>
      </c>
      <c r="BB209" s="4">
        <f>INDEX(composicoes[],MATCH(95580,composicoes[CÓDIGO],0),MATCH("CUSTO TOTAL",composicoes[#Headers],0))</f>
        <v>10.46</v>
      </c>
      <c r="BC209" s="4">
        <f ca="1">SUM(HC[[#This Row],[Conc Est (m³)]],HC[[#This Row],[Conc Bloco (m³)]])</f>
        <v>30.787608005179969</v>
      </c>
      <c r="BD209" s="4">
        <f>INDEX(composicoes[],MATCH(94966,composicoes[CÓDIGO],0),MATCH("CUSTO TOTAL",composicoes[#Headers],0))</f>
        <v>439.52</v>
      </c>
      <c r="BE209" s="38">
        <f ca="1">HC[[#This Row],[Aço (kg)]]*HC[[#This Row],[Aço (R$/kg)]]+HC[[#This Row],[Conc (m³)]]*HC[[#This Row],[Conc (R$/m³)]]</f>
        <v>14037.369726619365</v>
      </c>
      <c r="BF209" s="4" t="str">
        <f ca="1">IF(COUNTIF(HC[#This Row],"N.S.")&gt;0,"lim.","OK")</f>
        <v>lim.</v>
      </c>
      <c r="BG209" s="4" t="str">
        <f>IF(HC[[#This Row],[Prof. (m)]]&lt;4,"lim.","OK")</f>
        <v>OK</v>
      </c>
      <c r="BH209" s="4" t="str">
        <f>IF(HC[[#This Row],[Prof. (m)]]&gt;=8*HC[[#This Row],[Ø (cm)]]/100,"OK","lim.")</f>
        <v>OK</v>
      </c>
      <c r="BI209" s="4" t="str">
        <f ca="1">IF(HC[[#This Row],[Verif. Biela]]="OK","OK","lim.")</f>
        <v>OK</v>
      </c>
      <c r="BJ209" s="4" t="str">
        <f ca="1">IF(COUNTA(HC[[#This Row],[Nº Est.]:[Biela comp.]])=COUNTIF(HC[[#This Row],[Nº Est.]:[Biela comp.]],"OK"),"OK","lim.")</f>
        <v>lim.</v>
      </c>
      <c r="BK209" s="4" t="str">
        <f ca="1">IF(HC[[#This Row],[Controle]]="OK",HC[[#This Row],[nE]]&amp;" Ø"&amp;HC[[#This Row],[Ø (cm)]]&amp;"cm Prof. "&amp;HC[[#This Row],[Prof. (m)]]&amp;" m","")</f>
        <v/>
      </c>
      <c r="BL209" s="4" t="str">
        <f ca="1">IF(HC[[#This Row],[idDimensionamento]]="","",HC[[#This Row],[idPilar]]&amp;HC[[#This Row],[idDimensionamento]])</f>
        <v/>
      </c>
    </row>
    <row r="210" spans="2:64" x14ac:dyDescent="0.25">
      <c r="B210" s="12">
        <f>ROUNDUP((ROW(HC[[#This Row],[idDiâmetro]])-ROW(HC[[#Headers],[idDiâmetro]]))/(COUNT(SPT[Prof. (m)])*COUNT(PILARES[Pilar])),0)</f>
        <v>8</v>
      </c>
      <c r="C210" s="12">
        <f>IF(HC[[#This Row],[idDiâmetro]]&lt;&gt;B209,1,IF(HC[[#This Row],[Prof. (m)]]=0,C209+1,C209))</f>
        <v>1</v>
      </c>
      <c r="D210" s="1">
        <f>IFERROR(IF(D209=MAX(SPT[Prof. (m)]),0,D209+1),0)</f>
        <v>9</v>
      </c>
      <c r="E210" s="1">
        <f>INDEX(SPT[],MATCH(HC[[#This Row],[Prof. (m)]],SPT[Prof. (m)],0),2)</f>
        <v>26</v>
      </c>
      <c r="F210" s="1" t="str">
        <f>INDEX(SPT[],MATCH(HC[[#This Row],[Prof. (m)]],SPT[Prof. (m)],0),3)</f>
        <v>Areia siltosa</v>
      </c>
      <c r="G210" s="1">
        <f>INDEX(estacas[],HC[[#This Row],[idDiâmetro]],MATCH($B$2,estacas[#Headers],0))</f>
        <v>70</v>
      </c>
      <c r="H210" s="1">
        <f>INDEX(estacas[],MATCH(HC[[#This Row],[Ø (cm)]],estacas[Ø HC (cm)],0),MATCH(HC[[#Headers],[Pe HC (kN)]],estacas[#Headers],0))</f>
        <v>2450</v>
      </c>
      <c r="I210" s="4">
        <f>INDEX(K_alpha_C[],MATCH(HC[[#This Row],[Solo]],K_alpha_C[Solo],0),2)</f>
        <v>0.8</v>
      </c>
      <c r="J210" s="5">
        <f>INDEX(K_alpha_C[],MATCH(HC[[#This Row],[Solo]],K_alpha_C[Solo],0),3)</f>
        <v>2</v>
      </c>
      <c r="K210" s="4">
        <f>INDEX(F1_F2[],MATCH($D$2,F1_F2[Tipo de estaca],0),2)</f>
        <v>2</v>
      </c>
      <c r="L210" s="4">
        <f>INDEX(F1_F2[],MATCH($D$2,F1_F2[Tipo de estaca],0),3)</f>
        <v>4</v>
      </c>
      <c r="M210" s="4">
        <f>PI()*(HC[[#This Row],[Ø (cm)]]/100)^2/4</f>
        <v>0.38484510006474959</v>
      </c>
      <c r="N210" s="4">
        <f>PI()*HC[[#This Row],[Ø (cm)]]/100</f>
        <v>2.1991148575128552</v>
      </c>
      <c r="O210" s="4">
        <f>IF(HC[[#This Row],[Prof. (m)]]=0,0,HC[[#This Row],[α (%)]]/100*HC[[#This Row],[K (MPa)]]*1000*HC[[#This Row],[NSPT]])</f>
        <v>416</v>
      </c>
      <c r="P210" s="4">
        <f>IF(HC[[#This Row],[Prof. (m)]]=0,0,(HC[[#This Row],[K (MPa)]]*1000*HC[[#This Row],[NSPT]]/HC[[#This Row],[F1]]*HC[[#This Row],[Ap (m²)]]+HC[[#This Row],[U (m)]]/HC[[#This Row],[F2]]*SUMIFS(HC[(α∙K∙NL∙ΔL)],HC[Prof. (m)],"&lt;="&amp;HC[[#This Row],[Prof. (m)]],HC[idDiâmetro],HC[[#This Row],[idDiâmetro]],HC[idPilar],HC[[#This Row],[idPilar]]))/'DADOS CAP. CARGA'!$D$2)</f>
        <v>2390.4103611807545</v>
      </c>
      <c r="Q210" s="12">
        <f>INDEX(C_alpha_beta[],MATCH(HC[[#This Row],[Solo]],C_alpha_beta[Solo],0),MATCH(HC[[#Headers],[C (kPa)]],C_alpha_beta[#Headers],0))</f>
        <v>400</v>
      </c>
      <c r="R210" s="4">
        <f>INDEX(C_alpha_beta[],MATCH(HC[[#This Row],[Solo]],C_alpha_beta[Solo],0),MATCH(HC[[#Headers],[α ESF]],C_alpha_beta[#Headers],0))</f>
        <v>0.5</v>
      </c>
      <c r="S210" s="4">
        <f>INDEX(C_alpha_beta[],MATCH(HC[[#This Row],[Solo]],C_alpha_beta[Solo],0),MATCH(HC[[#Headers],[β ESF]],C_alpha_beta[#Headers],0))</f>
        <v>0.5</v>
      </c>
      <c r="T210" s="4">
        <f>IF(HC[[#This Row],[Prof. (m)]]=0,0,10*(HC[[#This Row],[NSPT]]/3+1))</f>
        <v>96.666666666666657</v>
      </c>
      <c r="U210" s="4">
        <f>(HC[[#This Row],[α ESF]]*HC[[#This Row],[C (kPa)]]*HC[[#This Row],[NSPT]]*HC[[#This Row],[Ap (m²)]])/'DADOS CAP. CARGA'!$Q$2+(HC[[#This Row],[β ESF]]*SUMIFS(HC[10∙(NL/3+1)],HC[Prof. (m)],"&lt;="&amp;HC[[#This Row],[Prof. (m)]],HC[idDiâmetro],HC[[#This Row],[idDiâmetro]],HC[idPilar],HC[[#This Row],[idPilar]])*HC[[#This Row],[U (m)]])/'DADOS CAP. CARGA'!$S$2</f>
        <v>729.37309440843023</v>
      </c>
      <c r="V210" s="4">
        <f>IF(SPT!$M$5=1,MIN(HC[[#This Row],[Pe HC (kN)]],HC[[#This Row],[R_AV (kN)]]),IF(SPT!$M$5=2,MIN(HC[[#This Row],[Pe HC (kN)]],HC[[#This Row],[R_DC (kN)]]),MIN(HC[[#This Row],[Pe HC (kN)]],HC[[#This Row],[R_AV (kN)]],HC[[#This Row],[R_DC (kN)]])))</f>
        <v>729.37309440843023</v>
      </c>
      <c r="W210" s="4">
        <f>INDEX(PILARES[],HC[[#This Row],[idPilar]],MATCH("Carga (kN)",PILARES[#Headers],0))*1.4</f>
        <v>3500</v>
      </c>
      <c r="X210" s="12">
        <f>INDEX(PILARES[],HC[[#This Row],[idPilar]],MATCH(HC[[#Headers],[ap (cm)]],PILARES[#Headers],0))</f>
        <v>60</v>
      </c>
      <c r="Y210" s="12">
        <f>INDEX(PILARES[],HC[[#This Row],[idPilar]],MATCH(HC[[#Headers],[bp (cm)]],PILARES[#Headers],0))</f>
        <v>60</v>
      </c>
      <c r="Z210" s="4">
        <f>SQRT(HC[[#This Row],[ap (cm)]]*HC[[#This Row],[bp (cm)]])</f>
        <v>60</v>
      </c>
      <c r="AA210" s="12">
        <f>HC[[#This Row],[ap (cm)]]*HC[[#This Row],[bp (cm)]]</f>
        <v>3600</v>
      </c>
      <c r="AB210" s="12">
        <f ca="1">IF(HC[[#This Row],[Padm∙ε (kN)]]&gt;=HC[[#This Row],[Padm (kN)]],ROUNDUP(1.05*HC[[#This Row],[Nsd (kN)]]/HC[[#This Row],[Padm (kN)]],0),ROUNDUP(1.05*HC[[#This Row],[Nsd (kN)]]/HC[[#This Row],[Padm (kN)]],0)+1)</f>
        <v>6</v>
      </c>
      <c r="AC210" s="4" t="str">
        <f ca="1">IFERROR(IF(HC[[#This Row],[nE]]=1,HC[[#This Row],[Padm (kN)]],HC[[#This Row],[Padm (kN)]]*HC[[#This Row],[nE]]*INDEX(grupoEstacas[],HC[[#This Row],[nE]],MATCH("ε",grupoEstacas[#Headers],0))),"N.S.")</f>
        <v>N.S.</v>
      </c>
      <c r="AD210" s="4">
        <f ca="1">1.05*HC[[#This Row],[Nsd (kN)]]/(HC[[#This Row],[nE]]*PI()*HC[[#This Row],[Ø (cm)]]^2/4)*10</f>
        <v>1.5915494309189535</v>
      </c>
      <c r="AE210" s="4">
        <f ca="1">IF(HC[[#This Row],[σ (MPa)]]&lt;INDEX(tipoEstaca[],MATCH($D$2,tipoEstaca[TIPO DE ESTACA],0),MATCH("σmáx (MPa)",tipoEstaca[#Headers],0)),0.4%*PI()*HC[[#This Row],[Ø (cm)]]^2/4,"N.S.")</f>
        <v>15.393804002589988</v>
      </c>
      <c r="AF210" s="1">
        <f>INDEX(tipoEstaca[],MATCH($D$2,tipoEstaca[TIPO DE ESTACA],0),MATCH(HC[[#Headers],[Comprimento (m)]],tipoEstaca[#Headers],0))</f>
        <v>4</v>
      </c>
      <c r="AG210" s="5">
        <f ca="1">HC[[#This Row],[As,mín (cm²)]]/100^2*HC[[#This Row],[Comprimento (m)]]*7850</f>
        <v>48.33654456813256</v>
      </c>
      <c r="AH210" s="4">
        <f ca="1">HC[[#This Row],[nE]]*HC[[#This Row],[Prof. (m)]]*HC[[#This Row],[Ap (m²)]]</f>
        <v>20.781635403496477</v>
      </c>
      <c r="AI210" s="1">
        <f ca="1">IF(HC[[#This Row],[nE]]=1,0,MAX(3*HC[[#This Row],[Ø (cm)]],60))</f>
        <v>210</v>
      </c>
      <c r="AJ210" s="1">
        <f ca="1">IF(HC[[#This Row],[nE]]=1,HC[[#This Row],[Ø (cm)]]+2*10,MAX(1.5*HC[[#This Row],[Ø (cm)]],HC[[#This Row],[Ø (cm)]]+15))</f>
        <v>105</v>
      </c>
      <c r="AK210" s="1" t="str">
        <f ca="1">alturaUtil(HC[[#This Row],[nE]],HC[[#This Row],[Ø (cm)]],HC[[#This Row],[e (cm)]],HC[[#This Row],[ap,eq (cm)]])</f>
        <v>N.S.</v>
      </c>
      <c r="AL210" s="1" t="str">
        <f ca="1">IFERROR(HC[[#This Row],[d (cm)]]+arredondarParaCimaMultiplo5cm(MAX(5,SQRT(PI())/2*HC[[#This Row],[Ø (cm)]]/5)),"N.S.")</f>
        <v>N.S.</v>
      </c>
      <c r="AM210" s="5" t="str">
        <f ca="1">alpha(HC[[#This Row],[nE]],HC[[#This Row],[d (cm)]],HC[[#This Row],[e (cm)]],HC[[#This Row],[ap,eq (cm)]])</f>
        <v>N.S.</v>
      </c>
      <c r="AN210" s="35" t="str">
        <f ca="1">IFERROR(HC[[#This Row],[Nsd (kN)]]/(HC[[#This Row],[Ap (cm²)]]*SIN(HC[[#This Row],[α]])^2),"N.S.")</f>
        <v>N.S.</v>
      </c>
      <c r="AO210" s="35" t="str">
        <f ca="1">IFERROR(HC[[#This Row],[Nsd (kN)]]/(HC[[#This Row],[nE]]*PI()*HC[[#This Row],[Ø (cm)]]^2/4*SIN(HC[[#This Row],[α]])^2),"N.S.")</f>
        <v>N.S.</v>
      </c>
      <c r="AP210" s="4" t="str">
        <f ca="1">IFERROR(INDEX(grupoEstacas[],HC[[#This Row],[nE]],MATCH("coef. Blévot",grupoEstacas[#Headers],0)),"N.S.")</f>
        <v>N.S.</v>
      </c>
      <c r="AQ210" s="35" t="str">
        <f ca="1">IFERROR(HC[[#This Row],[coef. Blévot]]*0.9*INDEX(tipoEstaca[],MATCH($D$2,tipoEstaca[TIPO DE ESTACA],0),MATCH("fcd (kN/cm²)",tipoEstaca[#Headers],0)),"N.S.")</f>
        <v>N.S.</v>
      </c>
      <c r="AR210" s="1" t="str">
        <f ca="1">IF(AND(HC[[#This Row],[cd,b,pil (kN/cm²)]]&lt;=HC[[#This Row],[cd,b,lim (kN/cm²)]],HC[[#This Row],[cd,b,est (kN/cm²)]]&lt;=HC[[#This Row],[cd,b,lim (kN/cm²)]]),"OK","ERRO")</f>
        <v>OK</v>
      </c>
      <c r="AS210" s="4" t="str">
        <f ca="1">As_lado(HC[[#This Row],[nE]],HC[[#This Row],[Nsd (kN)]],HC[[#This Row],[d (cm)]],HC[[#This Row],[e (cm)]],HC[[#This Row],[ap,eq (cm)]])</f>
        <v>N.S.</v>
      </c>
      <c r="AT210" s="4" t="str">
        <f ca="1">IF(HC[[#This Row],[nE]]=1,HC[[#This Row],[As,lado (cm²)]],IF(HC[[#This Row],[nE]]=2,0.075*2*HC[a (cm)],"N.A."))</f>
        <v>N.A.</v>
      </c>
      <c r="AU210" s="4" t="str">
        <f ca="1">IFERROR(IF(HC[[#This Row],[nE]]=1,"N.A.",0.2*HC[[#This Row],[As,lado (cm²)]]),"N.S.")</f>
        <v>N.S.</v>
      </c>
      <c r="AV210" s="4" t="str">
        <f ca="1">As_malha(HC[[#This Row],[nE]],HC[[#This Row],[As,lado (cm²)]],HC[[#This Row],[Nsd (kN)]])</f>
        <v>N.S.</v>
      </c>
      <c r="AW210" s="4" t="str">
        <f ca="1">As_susp_tot(HC[[#This Row],[nE]],HC[[#This Row],[Nsd (kN)]])</f>
        <v>N.S.</v>
      </c>
      <c r="AX210" s="4" t="str">
        <f ca="1">Asp_face(HC[[#This Row],[nE]],HC[[#This Row],[As,lado (cm²)]])</f>
        <v>N.S.</v>
      </c>
      <c r="AY210" s="5" t="str">
        <f ca="1">acoBloco(HC[[#This Row],[nE]],HC[[#This Row],[e (cm)]],HC[[#This Row],[a (cm)]],HC[[#This Row],[h (cm)]],HC[[#This Row],[As,lado (cm²)]],HC[[#This Row],[Asp e Asw (cm²/m)]],HC[[#This Row],[As,sup (cm²)]],HC[[#This Row],[As,malha (cm²)]],HC[[#This Row],[As,susp,tot (cm²)]],HC[[#This Row],[Asp,face (cm²)]])</f>
        <v>N.S.</v>
      </c>
      <c r="AZ210" s="4" t="str">
        <f ca="1">concretoBloco(HC[[#This Row],[nE]],HC[[#This Row],[e (cm)]],HC[[#This Row],[a (cm)]],HC[[#This Row],[h (cm)]])</f>
        <v>N.S.</v>
      </c>
      <c r="BA210" s="5">
        <f ca="1">SUM(HC[[#This Row],[Aço Est (kg)]],HC[[#This Row],[Aço Bloco (kg)]])</f>
        <v>48.33654456813256</v>
      </c>
      <c r="BB210" s="4">
        <f>INDEX(composicoes[],MATCH(95580,composicoes[CÓDIGO],0),MATCH("CUSTO TOTAL",composicoes[#Headers],0))</f>
        <v>10.46</v>
      </c>
      <c r="BC210" s="4">
        <f ca="1">SUM(HC[[#This Row],[Conc Est (m³)]],HC[[#This Row],[Conc Bloco (m³)]])</f>
        <v>20.781635403496477</v>
      </c>
      <c r="BD210" s="4">
        <f>INDEX(composicoes[],MATCH(94966,composicoes[CÓDIGO],0),MATCH("CUSTO TOTAL",composicoes[#Headers],0))</f>
        <v>439.52</v>
      </c>
      <c r="BE210" s="38">
        <f ca="1">HC[[#This Row],[Aço (kg)]]*HC[[#This Row],[Aço (R$/kg)]]+HC[[#This Row],[Conc (m³)]]*HC[[#This Row],[Conc (R$/m³)]]</f>
        <v>9639.5446487274367</v>
      </c>
      <c r="BF210" s="4" t="str">
        <f ca="1">IF(COUNTIF(HC[#This Row],"N.S.")&gt;0,"lim.","OK")</f>
        <v>lim.</v>
      </c>
      <c r="BG210" s="4" t="str">
        <f>IF(HC[[#This Row],[Prof. (m)]]&lt;4,"lim.","OK")</f>
        <v>OK</v>
      </c>
      <c r="BH210" s="4" t="str">
        <f>IF(HC[[#This Row],[Prof. (m)]]&gt;=8*HC[[#This Row],[Ø (cm)]]/100,"OK","lim.")</f>
        <v>OK</v>
      </c>
      <c r="BI210" s="4" t="str">
        <f ca="1">IF(HC[[#This Row],[Verif. Biela]]="OK","OK","lim.")</f>
        <v>OK</v>
      </c>
      <c r="BJ210" s="4" t="str">
        <f ca="1">IF(COUNTA(HC[[#This Row],[Nº Est.]:[Biela comp.]])=COUNTIF(HC[[#This Row],[Nº Est.]:[Biela comp.]],"OK"),"OK","lim.")</f>
        <v>lim.</v>
      </c>
      <c r="BK210" s="4" t="str">
        <f ca="1">IF(HC[[#This Row],[Controle]]="OK",HC[[#This Row],[nE]]&amp;" Ø"&amp;HC[[#This Row],[Ø (cm)]]&amp;"cm Prof. "&amp;HC[[#This Row],[Prof. (m)]]&amp;" m","")</f>
        <v/>
      </c>
      <c r="BL210" s="4" t="str">
        <f ca="1">IF(HC[[#This Row],[idDimensionamento]]="","",HC[[#This Row],[idPilar]]&amp;HC[[#This Row],[idDimensionamento]])</f>
        <v/>
      </c>
    </row>
    <row r="211" spans="2:64" x14ac:dyDescent="0.25">
      <c r="B211" s="12">
        <f>ROUNDUP((ROW(HC[[#This Row],[idDiâmetro]])-ROW(HC[[#Headers],[idDiâmetro]]))/(COUNT(SPT[Prof. (m)])*COUNT(PILARES[Pilar])),0)</f>
        <v>8</v>
      </c>
      <c r="C211" s="12">
        <f>IF(HC[[#This Row],[idDiâmetro]]&lt;&gt;B210,1,IF(HC[[#This Row],[Prof. (m)]]=0,C210+1,C210))</f>
        <v>1</v>
      </c>
      <c r="D211" s="1">
        <f>IFERROR(IF(D210=MAX(SPT[Prof. (m)]),0,D210+1),0)</f>
        <v>10</v>
      </c>
      <c r="E211" s="1">
        <f>INDEX(SPT[],MATCH(HC[[#This Row],[Prof. (m)]],SPT[Prof. (m)],0),2)</f>
        <v>32</v>
      </c>
      <c r="F211" s="1" t="str">
        <f>INDEX(SPT[],MATCH(HC[[#This Row],[Prof. (m)]],SPT[Prof. (m)],0),3)</f>
        <v>Areia siltosa</v>
      </c>
      <c r="G211" s="1">
        <f>INDEX(estacas[],HC[[#This Row],[idDiâmetro]],MATCH($B$2,estacas[#Headers],0))</f>
        <v>70</v>
      </c>
      <c r="H211" s="1">
        <f>INDEX(estacas[],MATCH(HC[[#This Row],[Ø (cm)]],estacas[Ø HC (cm)],0),MATCH(HC[[#Headers],[Pe HC (kN)]],estacas[#Headers],0))</f>
        <v>2450</v>
      </c>
      <c r="I211" s="4">
        <f>INDEX(K_alpha_C[],MATCH(HC[[#This Row],[Solo]],K_alpha_C[Solo],0),2)</f>
        <v>0.8</v>
      </c>
      <c r="J211" s="5">
        <f>INDEX(K_alpha_C[],MATCH(HC[[#This Row],[Solo]],K_alpha_C[Solo],0),3)</f>
        <v>2</v>
      </c>
      <c r="K211" s="4">
        <f>INDEX(F1_F2[],MATCH($D$2,F1_F2[Tipo de estaca],0),2)</f>
        <v>2</v>
      </c>
      <c r="L211" s="4">
        <f>INDEX(F1_F2[],MATCH($D$2,F1_F2[Tipo de estaca],0),3)</f>
        <v>4</v>
      </c>
      <c r="M211" s="4">
        <f>PI()*(HC[[#This Row],[Ø (cm)]]/100)^2/4</f>
        <v>0.38484510006474959</v>
      </c>
      <c r="N211" s="4">
        <f>PI()*HC[[#This Row],[Ø (cm)]]/100</f>
        <v>2.1991148575128552</v>
      </c>
      <c r="O211" s="4">
        <f>IF(HC[[#This Row],[Prof. (m)]]=0,0,HC[[#This Row],[α (%)]]/100*HC[[#This Row],[K (MPa)]]*1000*HC[[#This Row],[NSPT]])</f>
        <v>512</v>
      </c>
      <c r="P211" s="4">
        <f>IF(HC[[#This Row],[Prof. (m)]]=0,0,(HC[[#This Row],[K (MPa)]]*1000*HC[[#This Row],[NSPT]]/HC[[#This Row],[F1]]*HC[[#This Row],[Ap (m²)]]+HC[[#This Row],[U (m)]]/HC[[#This Row],[F2]]*SUMIFS(HC[(α∙K∙NL∙ΔL)],HC[Prof. (m)],"&lt;="&amp;HC[[#This Row],[Prof. (m)]],HC[idDiâmetro],HC[[#This Row],[idDiâmetro]],HC[idPilar],HC[[#This Row],[idPilar]]))/'DADOS CAP. CARGA'!$D$2)</f>
        <v>2992.9678321392767</v>
      </c>
      <c r="Q211" s="12">
        <f>INDEX(C_alpha_beta[],MATCH(HC[[#This Row],[Solo]],C_alpha_beta[Solo],0),MATCH(HC[[#Headers],[C (kPa)]],C_alpha_beta[#Headers],0))</f>
        <v>400</v>
      </c>
      <c r="R211" s="4">
        <f>INDEX(C_alpha_beta[],MATCH(HC[[#This Row],[Solo]],C_alpha_beta[Solo],0),MATCH(HC[[#Headers],[α ESF]],C_alpha_beta[#Headers],0))</f>
        <v>0.5</v>
      </c>
      <c r="S211" s="4">
        <f>INDEX(C_alpha_beta[],MATCH(HC[[#This Row],[Solo]],C_alpha_beta[Solo],0),MATCH(HC[[#Headers],[β ESF]],C_alpha_beta[#Headers],0))</f>
        <v>0.5</v>
      </c>
      <c r="T211" s="4">
        <f>IF(HC[[#This Row],[Prof. (m)]]=0,0,10*(HC[[#This Row],[NSPT]]/3+1))</f>
        <v>116.66666666666666</v>
      </c>
      <c r="U211" s="4">
        <f>(HC[[#This Row],[α ESF]]*HC[[#This Row],[C (kPa)]]*HC[[#This Row],[NSPT]]*HC[[#This Row],[Ap (m²)]])/'DADOS CAP. CARGA'!$Q$2+(HC[[#This Row],[β ESF]]*SUMIFS(HC[10∙(NL/3+1)],HC[Prof. (m)],"&lt;="&amp;HC[[#This Row],[Prof. (m)]],HC[idDiâmetro],HC[[#This Row],[idDiâmetro]],HC[idPilar],HC[[#This Row],[idPilar]])*HC[[#This Row],[U (m)]])/'DADOS CAP. CARGA'!$S$2</f>
        <v>908.9674744386466</v>
      </c>
      <c r="V211" s="4">
        <f>IF(SPT!$M$5=1,MIN(HC[[#This Row],[Pe HC (kN)]],HC[[#This Row],[R_AV (kN)]]),IF(SPT!$M$5=2,MIN(HC[[#This Row],[Pe HC (kN)]],HC[[#This Row],[R_DC (kN)]]),MIN(HC[[#This Row],[Pe HC (kN)]],HC[[#This Row],[R_AV (kN)]],HC[[#This Row],[R_DC (kN)]])))</f>
        <v>908.9674744386466</v>
      </c>
      <c r="W211" s="4">
        <f>INDEX(PILARES[],HC[[#This Row],[idPilar]],MATCH("Carga (kN)",PILARES[#Headers],0))*1.4</f>
        <v>3500</v>
      </c>
      <c r="X211" s="12">
        <f>INDEX(PILARES[],HC[[#This Row],[idPilar]],MATCH(HC[[#Headers],[ap (cm)]],PILARES[#Headers],0))</f>
        <v>60</v>
      </c>
      <c r="Y211" s="12">
        <f>INDEX(PILARES[],HC[[#This Row],[idPilar]],MATCH(HC[[#Headers],[bp (cm)]],PILARES[#Headers],0))</f>
        <v>60</v>
      </c>
      <c r="Z211" s="4">
        <f>SQRT(HC[[#This Row],[ap (cm)]]*HC[[#This Row],[bp (cm)]])</f>
        <v>60</v>
      </c>
      <c r="AA211" s="12">
        <f>HC[[#This Row],[ap (cm)]]*HC[[#This Row],[bp (cm)]]</f>
        <v>3600</v>
      </c>
      <c r="AB211" s="12">
        <f ca="1">IF(HC[[#This Row],[Padm∙ε (kN)]]&gt;=HC[[#This Row],[Padm (kN)]],ROUNDUP(1.05*HC[[#This Row],[Nsd (kN)]]/HC[[#This Row],[Padm (kN)]],0),ROUNDUP(1.05*HC[[#This Row],[Nsd (kN)]]/HC[[#This Row],[Padm (kN)]],0)+1)</f>
        <v>5</v>
      </c>
      <c r="AC211" s="4" t="str">
        <f ca="1">IFERROR(IF(HC[[#This Row],[nE]]=1,HC[[#This Row],[Padm (kN)]],HC[[#This Row],[Padm (kN)]]*HC[[#This Row],[nE]]*INDEX(grupoEstacas[],HC[[#This Row],[nE]],MATCH("ε",grupoEstacas[#Headers],0))),"N.S.")</f>
        <v>N.S.</v>
      </c>
      <c r="AD211" s="4">
        <f ca="1">1.05*HC[[#This Row],[Nsd (kN)]]/(HC[[#This Row],[nE]]*PI()*HC[[#This Row],[Ø (cm)]]^2/4)*10</f>
        <v>1.9098593171027443</v>
      </c>
      <c r="AE211" s="4">
        <f ca="1">IF(HC[[#This Row],[σ (MPa)]]&lt;INDEX(tipoEstaca[],MATCH($D$2,tipoEstaca[TIPO DE ESTACA],0),MATCH("σmáx (MPa)",tipoEstaca[#Headers],0)),0.4%*PI()*HC[[#This Row],[Ø (cm)]]^2/4,"N.S.")</f>
        <v>15.393804002589988</v>
      </c>
      <c r="AF211" s="1">
        <f>INDEX(tipoEstaca[],MATCH($D$2,tipoEstaca[TIPO DE ESTACA],0),MATCH(HC[[#Headers],[Comprimento (m)]],tipoEstaca[#Headers],0))</f>
        <v>4</v>
      </c>
      <c r="AG211" s="5">
        <f ca="1">HC[[#This Row],[As,mín (cm²)]]/100^2*HC[[#This Row],[Comprimento (m)]]*7850</f>
        <v>48.33654456813256</v>
      </c>
      <c r="AH211" s="4">
        <f ca="1">HC[[#This Row],[nE]]*HC[[#This Row],[Prof. (m)]]*HC[[#This Row],[Ap (m²)]]</f>
        <v>19.242255003237478</v>
      </c>
      <c r="AI211" s="1">
        <f ca="1">IF(HC[[#This Row],[nE]]=1,0,MAX(3*HC[[#This Row],[Ø (cm)]],60))</f>
        <v>210</v>
      </c>
      <c r="AJ211" s="1">
        <f ca="1">IF(HC[[#This Row],[nE]]=1,HC[[#This Row],[Ø (cm)]]+2*10,MAX(1.5*HC[[#This Row],[Ø (cm)]],HC[[#This Row],[Ø (cm)]]+15))</f>
        <v>105</v>
      </c>
      <c r="AK211" s="1" t="str">
        <f ca="1">alturaUtil(HC[[#This Row],[nE]],HC[[#This Row],[Ø (cm)]],HC[[#This Row],[e (cm)]],HC[[#This Row],[ap,eq (cm)]])</f>
        <v>N.S.</v>
      </c>
      <c r="AL211" s="1" t="str">
        <f ca="1">IFERROR(HC[[#This Row],[d (cm)]]+arredondarParaCimaMultiplo5cm(MAX(5,SQRT(PI())/2*HC[[#This Row],[Ø (cm)]]/5)),"N.S.")</f>
        <v>N.S.</v>
      </c>
      <c r="AM211" s="5" t="str">
        <f ca="1">alpha(HC[[#This Row],[nE]],HC[[#This Row],[d (cm)]],HC[[#This Row],[e (cm)]],HC[[#This Row],[ap,eq (cm)]])</f>
        <v>N.S.</v>
      </c>
      <c r="AN211" s="35" t="str">
        <f ca="1">IFERROR(HC[[#This Row],[Nsd (kN)]]/(HC[[#This Row],[Ap (cm²)]]*SIN(HC[[#This Row],[α]])^2),"N.S.")</f>
        <v>N.S.</v>
      </c>
      <c r="AO211" s="35" t="str">
        <f ca="1">IFERROR(HC[[#This Row],[Nsd (kN)]]/(HC[[#This Row],[nE]]*PI()*HC[[#This Row],[Ø (cm)]]^2/4*SIN(HC[[#This Row],[α]])^2),"N.S.")</f>
        <v>N.S.</v>
      </c>
      <c r="AP211" s="4" t="str">
        <f ca="1">IFERROR(INDEX(grupoEstacas[],HC[[#This Row],[nE]],MATCH("coef. Blévot",grupoEstacas[#Headers],0)),"N.S.")</f>
        <v>N.S.</v>
      </c>
      <c r="AQ211" s="35" t="str">
        <f ca="1">IFERROR(HC[[#This Row],[coef. Blévot]]*0.9*INDEX(tipoEstaca[],MATCH($D$2,tipoEstaca[TIPO DE ESTACA],0),MATCH("fcd (kN/cm²)",tipoEstaca[#Headers],0)),"N.S.")</f>
        <v>N.S.</v>
      </c>
      <c r="AR211" s="1" t="str">
        <f ca="1">IF(AND(HC[[#This Row],[cd,b,pil (kN/cm²)]]&lt;=HC[[#This Row],[cd,b,lim (kN/cm²)]],HC[[#This Row],[cd,b,est (kN/cm²)]]&lt;=HC[[#This Row],[cd,b,lim (kN/cm²)]]),"OK","ERRO")</f>
        <v>OK</v>
      </c>
      <c r="AS211" s="4" t="str">
        <f ca="1">As_lado(HC[[#This Row],[nE]],HC[[#This Row],[Nsd (kN)]],HC[[#This Row],[d (cm)]],HC[[#This Row],[e (cm)]],HC[[#This Row],[ap,eq (cm)]])</f>
        <v>N.S.</v>
      </c>
      <c r="AT211" s="4" t="str">
        <f ca="1">IF(HC[[#This Row],[nE]]=1,HC[[#This Row],[As,lado (cm²)]],IF(HC[[#This Row],[nE]]=2,0.075*2*HC[a (cm)],"N.A."))</f>
        <v>N.A.</v>
      </c>
      <c r="AU211" s="4" t="str">
        <f ca="1">IFERROR(IF(HC[[#This Row],[nE]]=1,"N.A.",0.2*HC[[#This Row],[As,lado (cm²)]]),"N.S.")</f>
        <v>N.S.</v>
      </c>
      <c r="AV211" s="4" t="str">
        <f ca="1">As_malha(HC[[#This Row],[nE]],HC[[#This Row],[As,lado (cm²)]],HC[[#This Row],[Nsd (kN)]])</f>
        <v>N.S.</v>
      </c>
      <c r="AW211" s="4" t="str">
        <f ca="1">As_susp_tot(HC[[#This Row],[nE]],HC[[#This Row],[Nsd (kN)]])</f>
        <v>N.S.</v>
      </c>
      <c r="AX211" s="4" t="str">
        <f ca="1">Asp_face(HC[[#This Row],[nE]],HC[[#This Row],[As,lado (cm²)]])</f>
        <v>N.S.</v>
      </c>
      <c r="AY211" s="5" t="str">
        <f ca="1">acoBloco(HC[[#This Row],[nE]],HC[[#This Row],[e (cm)]],HC[[#This Row],[a (cm)]],HC[[#This Row],[h (cm)]],HC[[#This Row],[As,lado (cm²)]],HC[[#This Row],[Asp e Asw (cm²/m)]],HC[[#This Row],[As,sup (cm²)]],HC[[#This Row],[As,malha (cm²)]],HC[[#This Row],[As,susp,tot (cm²)]],HC[[#This Row],[Asp,face (cm²)]])</f>
        <v>N.S.</v>
      </c>
      <c r="AZ211" s="4" t="str">
        <f ca="1">concretoBloco(HC[[#This Row],[nE]],HC[[#This Row],[e (cm)]],HC[[#This Row],[a (cm)]],HC[[#This Row],[h (cm)]])</f>
        <v>N.S.</v>
      </c>
      <c r="BA211" s="5">
        <f ca="1">SUM(HC[[#This Row],[Aço Est (kg)]],HC[[#This Row],[Aço Bloco (kg)]])</f>
        <v>48.33654456813256</v>
      </c>
      <c r="BB211" s="4">
        <f>INDEX(composicoes[],MATCH(95580,composicoes[CÓDIGO],0),MATCH("CUSTO TOTAL",composicoes[#Headers],0))</f>
        <v>10.46</v>
      </c>
      <c r="BC211" s="4">
        <f ca="1">SUM(HC[[#This Row],[Conc Est (m³)]],HC[[#This Row],[Conc Bloco (m³)]])</f>
        <v>19.242255003237478</v>
      </c>
      <c r="BD211" s="4">
        <f>INDEX(composicoes[],MATCH(94966,composicoes[CÓDIGO],0),MATCH("CUSTO TOTAL",composicoes[#Headers],0))</f>
        <v>439.52</v>
      </c>
      <c r="BE211" s="38">
        <f ca="1">HC[[#This Row],[Aço (kg)]]*HC[[#This Row],[Aço (R$/kg)]]+HC[[#This Row],[Conc (m³)]]*HC[[#This Row],[Conc (R$/m³)]]</f>
        <v>8962.9561752056015</v>
      </c>
      <c r="BF211" s="4" t="str">
        <f ca="1">IF(COUNTIF(HC[#This Row],"N.S.")&gt;0,"lim.","OK")</f>
        <v>lim.</v>
      </c>
      <c r="BG211" s="4" t="str">
        <f>IF(HC[[#This Row],[Prof. (m)]]&lt;4,"lim.","OK")</f>
        <v>OK</v>
      </c>
      <c r="BH211" s="4" t="str">
        <f>IF(HC[[#This Row],[Prof. (m)]]&gt;=8*HC[[#This Row],[Ø (cm)]]/100,"OK","lim.")</f>
        <v>OK</v>
      </c>
      <c r="BI211" s="4" t="str">
        <f ca="1">IF(HC[[#This Row],[Verif. Biela]]="OK","OK","lim.")</f>
        <v>OK</v>
      </c>
      <c r="BJ211" s="4" t="str">
        <f ca="1">IF(COUNTA(HC[[#This Row],[Nº Est.]:[Biela comp.]])=COUNTIF(HC[[#This Row],[Nº Est.]:[Biela comp.]],"OK"),"OK","lim.")</f>
        <v>lim.</v>
      </c>
      <c r="BK211" s="4" t="str">
        <f ca="1">IF(HC[[#This Row],[Controle]]="OK",HC[[#This Row],[nE]]&amp;" Ø"&amp;HC[[#This Row],[Ø (cm)]]&amp;"cm Prof. "&amp;HC[[#This Row],[Prof. (m)]]&amp;" m","")</f>
        <v/>
      </c>
      <c r="BL211" s="4" t="str">
        <f ca="1">IF(HC[[#This Row],[idDimensionamento]]="","",HC[[#This Row],[idPilar]]&amp;HC[[#This Row],[idDimensionamento]])</f>
        <v/>
      </c>
    </row>
    <row r="212" spans="2:64" x14ac:dyDescent="0.25">
      <c r="B212" s="12">
        <f>ROUNDUP((ROW(HC[[#This Row],[idDiâmetro]])-ROW(HC[[#Headers],[idDiâmetro]]))/(COUNT(SPT[Prof. (m)])*COUNT(PILARES[Pilar])),0)</f>
        <v>8</v>
      </c>
      <c r="C212" s="12">
        <f>IF(HC[[#This Row],[idDiâmetro]]&lt;&gt;B211,1,IF(HC[[#This Row],[Prof. (m)]]=0,C211+1,C211))</f>
        <v>1</v>
      </c>
      <c r="D212" s="1">
        <f>IFERROR(IF(D211=MAX(SPT[Prof. (m)]),0,D211+1),0)</f>
        <v>11</v>
      </c>
      <c r="E212" s="1">
        <f>INDEX(SPT[],MATCH(HC[[#This Row],[Prof. (m)]],SPT[Prof. (m)],0),2)</f>
        <v>41</v>
      </c>
      <c r="F212" s="1" t="str">
        <f>INDEX(SPT[],MATCH(HC[[#This Row],[Prof. (m)]],SPT[Prof. (m)],0),3)</f>
        <v>Areia siltosa</v>
      </c>
      <c r="G212" s="1">
        <f>INDEX(estacas[],HC[[#This Row],[idDiâmetro]],MATCH($B$2,estacas[#Headers],0))</f>
        <v>70</v>
      </c>
      <c r="H212" s="1">
        <f>INDEX(estacas[],MATCH(HC[[#This Row],[Ø (cm)]],estacas[Ø HC (cm)],0),MATCH(HC[[#Headers],[Pe HC (kN)]],estacas[#Headers],0))</f>
        <v>2450</v>
      </c>
      <c r="I212" s="4">
        <f>INDEX(K_alpha_C[],MATCH(HC[[#This Row],[Solo]],K_alpha_C[Solo],0),2)</f>
        <v>0.8</v>
      </c>
      <c r="J212" s="5">
        <f>INDEX(K_alpha_C[],MATCH(HC[[#This Row],[Solo]],K_alpha_C[Solo],0),3)</f>
        <v>2</v>
      </c>
      <c r="K212" s="4">
        <f>INDEX(F1_F2[],MATCH($D$2,F1_F2[Tipo de estaca],0),2)</f>
        <v>2</v>
      </c>
      <c r="L212" s="4">
        <f>INDEX(F1_F2[],MATCH($D$2,F1_F2[Tipo de estaca],0),3)</f>
        <v>4</v>
      </c>
      <c r="M212" s="4">
        <f>PI()*(HC[[#This Row],[Ø (cm)]]/100)^2/4</f>
        <v>0.38484510006474959</v>
      </c>
      <c r="N212" s="4">
        <f>PI()*HC[[#This Row],[Ø (cm)]]/100</f>
        <v>2.1991148575128552</v>
      </c>
      <c r="O212" s="4">
        <f>IF(HC[[#This Row],[Prof. (m)]]=0,0,HC[[#This Row],[α (%)]]/100*HC[[#This Row],[K (MPa)]]*1000*HC[[#This Row],[NSPT]])</f>
        <v>656</v>
      </c>
      <c r="P212" s="4">
        <f>IF(HC[[#This Row],[Prof. (m)]]=0,0,(HC[[#This Row],[K (MPa)]]*1000*HC[[#This Row],[NSPT]]/HC[[#This Row],[F1]]*HC[[#This Row],[Ap (m²)]]+HC[[#This Row],[U (m)]]/HC[[#This Row],[F2]]*SUMIFS(HC[(α∙K∙NL∙ΔL)],HC[Prof. (m)],"&lt;="&amp;HC[[#This Row],[Prof. (m)]],HC[idDiâmetro],HC[[#This Row],[idDiâmetro]],HC[idPilar],HC[[#This Row],[idPilar]]))/'DADOS CAP. CARGA'!$D$2)</f>
        <v>3866.0164305718799</v>
      </c>
      <c r="Q212" s="12">
        <f>INDEX(C_alpha_beta[],MATCH(HC[[#This Row],[Solo]],C_alpha_beta[Solo],0),MATCH(HC[[#Headers],[C (kPa)]],C_alpha_beta[#Headers],0))</f>
        <v>400</v>
      </c>
      <c r="R212" s="4">
        <f>INDEX(C_alpha_beta[],MATCH(HC[[#This Row],[Solo]],C_alpha_beta[Solo],0),MATCH(HC[[#Headers],[α ESF]],C_alpha_beta[#Headers],0))</f>
        <v>0.5</v>
      </c>
      <c r="S212" s="4">
        <f>INDEX(C_alpha_beta[],MATCH(HC[[#This Row],[Solo]],C_alpha_beta[Solo],0),MATCH(HC[[#Headers],[β ESF]],C_alpha_beta[#Headers],0))</f>
        <v>0.5</v>
      </c>
      <c r="T212" s="4">
        <f>IF(HC[[#This Row],[Prof. (m)]]=0,0,10*(HC[[#This Row],[NSPT]]/3+1))</f>
        <v>146.66666666666666</v>
      </c>
      <c r="U212" s="4">
        <f>(HC[[#This Row],[α ESF]]*HC[[#This Row],[C (kPa)]]*HC[[#This Row],[NSPT]]*HC[[#This Row],[Ap (m²)]])/'DADOS CAP. CARGA'!$Q$2+(HC[[#This Row],[β ESF]]*SUMIFS(HC[10∙(NL/3+1)],HC[Prof. (m)],"&lt;="&amp;HC[[#This Row],[Prof. (m)]],HC[idDiâmetro],HC[[#This Row],[idDiâmetro]],HC[idPilar],HC[[#This Row],[idPilar]])*HC[[#This Row],[U (m)]])/'DADOS CAP. CARGA'!$S$2</f>
        <v>1162.7819809099219</v>
      </c>
      <c r="V212" s="4">
        <f>IF(SPT!$M$5=1,MIN(HC[[#This Row],[Pe HC (kN)]],HC[[#This Row],[R_AV (kN)]]),IF(SPT!$M$5=2,MIN(HC[[#This Row],[Pe HC (kN)]],HC[[#This Row],[R_DC (kN)]]),MIN(HC[[#This Row],[Pe HC (kN)]],HC[[#This Row],[R_AV (kN)]],HC[[#This Row],[R_DC (kN)]])))</f>
        <v>1162.7819809099219</v>
      </c>
      <c r="W212" s="4">
        <f>INDEX(PILARES[],HC[[#This Row],[idPilar]],MATCH("Carga (kN)",PILARES[#Headers],0))*1.4</f>
        <v>3500</v>
      </c>
      <c r="X212" s="12">
        <f>INDEX(PILARES[],HC[[#This Row],[idPilar]],MATCH(HC[[#Headers],[ap (cm)]],PILARES[#Headers],0))</f>
        <v>60</v>
      </c>
      <c r="Y212" s="12">
        <f>INDEX(PILARES[],HC[[#This Row],[idPilar]],MATCH(HC[[#Headers],[bp (cm)]],PILARES[#Headers],0))</f>
        <v>60</v>
      </c>
      <c r="Z212" s="4">
        <f>SQRT(HC[[#This Row],[ap (cm)]]*HC[[#This Row],[bp (cm)]])</f>
        <v>60</v>
      </c>
      <c r="AA212" s="12">
        <f>HC[[#This Row],[ap (cm)]]*HC[[#This Row],[bp (cm)]]</f>
        <v>3600</v>
      </c>
      <c r="AB212" s="12">
        <f ca="1">IF(HC[[#This Row],[Padm∙ε (kN)]]&gt;=HC[[#This Row],[Padm (kN)]],ROUNDUP(1.05*HC[[#This Row],[Nsd (kN)]]/HC[[#This Row],[Padm (kN)]],0),ROUNDUP(1.05*HC[[#This Row],[Nsd (kN)]]/HC[[#This Row],[Padm (kN)]],0)+1)</f>
        <v>4</v>
      </c>
      <c r="AC212" s="4">
        <f ca="1">IFERROR(IF(HC[[#This Row],[nE]]=1,HC[[#This Row],[Padm (kN)]],HC[[#This Row],[Padm (kN)]]*HC[[#This Row],[nE]]*INDEX(grupoEstacas[],HC[[#This Row],[nE]],MATCH("ε",grupoEstacas[#Headers],0))),"N.S.")</f>
        <v>3779.0414379572462</v>
      </c>
      <c r="AD212" s="4">
        <f ca="1">1.05*HC[[#This Row],[Nsd (kN)]]/(HC[[#This Row],[nE]]*PI()*HC[[#This Row],[Ø (cm)]]^2/4)*10</f>
        <v>2.3873241463784298</v>
      </c>
      <c r="AE212" s="4">
        <f ca="1">IF(HC[[#This Row],[σ (MPa)]]&lt;INDEX(tipoEstaca[],MATCH($D$2,tipoEstaca[TIPO DE ESTACA],0),MATCH("σmáx (MPa)",tipoEstaca[#Headers],0)),0.4%*PI()*HC[[#This Row],[Ø (cm)]]^2/4,"N.S.")</f>
        <v>15.393804002589988</v>
      </c>
      <c r="AF212" s="1">
        <f>INDEX(tipoEstaca[],MATCH($D$2,tipoEstaca[TIPO DE ESTACA],0),MATCH(HC[[#Headers],[Comprimento (m)]],tipoEstaca[#Headers],0))</f>
        <v>4</v>
      </c>
      <c r="AG212" s="5">
        <f ca="1">HC[[#This Row],[As,mín (cm²)]]/100^2*HC[[#This Row],[Comprimento (m)]]*7850</f>
        <v>48.33654456813256</v>
      </c>
      <c r="AH212" s="4">
        <f ca="1">HC[[#This Row],[nE]]*HC[[#This Row],[Prof. (m)]]*HC[[#This Row],[Ap (m²)]]</f>
        <v>16.933184402848983</v>
      </c>
      <c r="AI212" s="1">
        <f ca="1">IF(HC[[#This Row],[nE]]=1,0,MAX(3*HC[[#This Row],[Ø (cm)]],60))</f>
        <v>210</v>
      </c>
      <c r="AJ212" s="1">
        <f ca="1">IF(HC[[#This Row],[nE]]=1,HC[[#This Row],[Ø (cm)]]+2*10,MAX(1.5*HC[[#This Row],[Ø (cm)]],HC[[#This Row],[Ø (cm)]]+15))</f>
        <v>105</v>
      </c>
      <c r="AK212" s="1">
        <f ca="1">alturaUtil(HC[[#This Row],[nE]],HC[[#This Row],[Ø (cm)]],HC[[#This Row],[e (cm)]],HC[[#This Row],[ap,eq (cm)]])</f>
        <v>90</v>
      </c>
      <c r="AL212" s="1">
        <f ca="1">IFERROR(HC[[#This Row],[d (cm)]]+arredondarParaCimaMultiplo5cm(MAX(5,SQRT(PI())/2*HC[[#This Row],[Ø (cm)]]/5)),"N.S.")</f>
        <v>105</v>
      </c>
      <c r="AM212" s="5">
        <f ca="1">alpha(HC[[#This Row],[nE]],HC[[#This Row],[d (cm)]],HC[[#This Row],[e (cm)]],HC[[#This Row],[ap,eq (cm)]])</f>
        <v>45</v>
      </c>
      <c r="AN212" s="35">
        <f ca="1">IFERROR(HC[[#This Row],[Nsd (kN)]]/(HC[[#This Row],[Ap (cm²)]]*SIN(HC[[#This Row],[α]])^2),"N.S.")</f>
        <v>1.3427801064714635</v>
      </c>
      <c r="AO212" s="35">
        <f ca="1">IFERROR(HC[[#This Row],[Nsd (kN)]]/(HC[[#This Row],[nE]]*PI()*HC[[#This Row],[Ø (cm)]]^2/4*SIN(HC[[#This Row],[α]])^2),"N.S.")</f>
        <v>0.31402299148955992</v>
      </c>
      <c r="AP212" s="4">
        <f ca="1">IFERROR(INDEX(grupoEstacas[],HC[[#This Row],[nE]],MATCH("coef. Blévot",grupoEstacas[#Headers],0)),"N.S.")</f>
        <v>2.1</v>
      </c>
      <c r="AQ212" s="35">
        <f ca="1">IFERROR(HC[[#This Row],[coef. Blévot]]*0.9*INDEX(tipoEstaca[],MATCH($D$2,tipoEstaca[TIPO DE ESTACA],0),MATCH("fcd (kN/cm²)",tipoEstaca[#Headers],0)),"N.S.")</f>
        <v>2.1</v>
      </c>
      <c r="AR212" s="1" t="str">
        <f ca="1">IF(AND(HC[[#This Row],[cd,b,pil (kN/cm²)]]&lt;=HC[[#This Row],[cd,b,lim (kN/cm²)]],HC[[#This Row],[cd,b,est (kN/cm²)]]&lt;=HC[[#This Row],[cd,b,lim (kN/cm²)]]),"OK","ERRO")</f>
        <v>OK</v>
      </c>
      <c r="AS212" s="4">
        <f ca="1">As_lado(HC[[#This Row],[nE]],HC[[#This Row],[Nsd (kN)]],HC[[#This Row],[d (cm)]],HC[[#This Row],[e (cm)]],HC[[#This Row],[ap,eq (cm)]])</f>
        <v>20.125</v>
      </c>
      <c r="AT212" s="4" t="str">
        <f ca="1">IF(HC[[#This Row],[nE]]=1,HC[[#This Row],[As,lado (cm²)]],IF(HC[[#This Row],[nE]]=2,0.075*2*HC[a (cm)],"N.A."))</f>
        <v>N.A.</v>
      </c>
      <c r="AU212" s="4">
        <f ca="1">IFERROR(IF(HC[[#This Row],[nE]]=1,"N.A.",0.2*HC[[#This Row],[As,lado (cm²)]]),"N.S.")</f>
        <v>4.0250000000000004</v>
      </c>
      <c r="AV212" s="4">
        <f ca="1">As_malha(HC[[#This Row],[nE]],HC[[#This Row],[As,lado (cm²)]],HC[[#This Row],[Nsd (kN)]])</f>
        <v>4.0250000000000004</v>
      </c>
      <c r="AW212" s="4">
        <f ca="1">As_susp_tot(HC[[#This Row],[nE]],HC[[#This Row],[Nsd (kN)]])</f>
        <v>13.416666666666666</v>
      </c>
      <c r="AX212" s="4">
        <f ca="1">Asp_face(HC[[#This Row],[nE]],HC[[#This Row],[As,lado (cm²)]])</f>
        <v>10.0625</v>
      </c>
      <c r="AY212" s="5">
        <f ca="1">acoBloco(HC[[#This Row],[nE]],HC[[#This Row],[e (cm)]],HC[[#This Row],[a (cm)]],HC[[#This Row],[h (cm)]],HC[[#This Row],[As,lado (cm²)]],HC[[#This Row],[Asp e Asw (cm²/m)]],HC[[#This Row],[As,sup (cm²)]],HC[[#This Row],[As,malha (cm²)]],HC[[#This Row],[As,susp,tot (cm²)]],HC[[#This Row],[Asp,face (cm²)]])</f>
        <v>488.79398750000001</v>
      </c>
      <c r="AZ212" s="4">
        <f ca="1">concretoBloco(HC[[#This Row],[nE]],HC[[#This Row],[e (cm)]],HC[[#This Row],[a (cm)]],HC[[#This Row],[h (cm)]])</f>
        <v>18.521999999999998</v>
      </c>
      <c r="BA212" s="5">
        <f ca="1">SUM(HC[[#This Row],[Aço Est (kg)]],HC[[#This Row],[Aço Bloco (kg)]])</f>
        <v>537.13053206813254</v>
      </c>
      <c r="BB212" s="4">
        <f>INDEX(composicoes[],MATCH(95580,composicoes[CÓDIGO],0),MATCH("CUSTO TOTAL",composicoes[#Headers],0))</f>
        <v>10.46</v>
      </c>
      <c r="BC212" s="4">
        <f ca="1">SUM(HC[[#This Row],[Conc Est (m³)]],HC[[#This Row],[Conc Bloco (m³)]])</f>
        <v>35.455184402848985</v>
      </c>
      <c r="BD212" s="4">
        <f>INDEX(composicoes[],MATCH(94966,composicoes[CÓDIGO],0),MATCH("CUSTO TOTAL",composicoes[#Headers],0))</f>
        <v>439.52</v>
      </c>
      <c r="BE212" s="38">
        <f ca="1">HC[[#This Row],[Aço (kg)]]*HC[[#This Row],[Aço (R$/kg)]]+HC[[#This Row],[Conc (m³)]]*HC[[#This Row],[Conc (R$/m³)]]</f>
        <v>21201.648014172853</v>
      </c>
      <c r="BF212" s="4" t="str">
        <f ca="1">IF(COUNTIF(HC[#This Row],"N.S.")&gt;0,"lim.","OK")</f>
        <v>OK</v>
      </c>
      <c r="BG212" s="4" t="str">
        <f>IF(HC[[#This Row],[Prof. (m)]]&lt;4,"lim.","OK")</f>
        <v>OK</v>
      </c>
      <c r="BH212" s="4" t="str">
        <f>IF(HC[[#This Row],[Prof. (m)]]&gt;=8*HC[[#This Row],[Ø (cm)]]/100,"OK","lim.")</f>
        <v>OK</v>
      </c>
      <c r="BI212" s="4" t="str">
        <f ca="1">IF(HC[[#This Row],[Verif. Biela]]="OK","OK","lim.")</f>
        <v>OK</v>
      </c>
      <c r="BJ212" s="4" t="str">
        <f ca="1">IF(COUNTA(HC[[#This Row],[Nº Est.]:[Biela comp.]])=COUNTIF(HC[[#This Row],[Nº Est.]:[Biela comp.]],"OK"),"OK","lim.")</f>
        <v>OK</v>
      </c>
      <c r="BK212" s="4" t="str">
        <f ca="1">IF(HC[[#This Row],[Controle]]="OK",HC[[#This Row],[nE]]&amp;" Ø"&amp;HC[[#This Row],[Ø (cm)]]&amp;"cm Prof. "&amp;HC[[#This Row],[Prof. (m)]]&amp;" m","")</f>
        <v>4 Ø70cm Prof. 11 m</v>
      </c>
      <c r="BL212" s="4" t="str">
        <f ca="1">IF(HC[[#This Row],[idDimensionamento]]="","",HC[[#This Row],[idPilar]]&amp;HC[[#This Row],[idDimensionamento]])</f>
        <v>14 Ø70cm Prof. 11 m</v>
      </c>
    </row>
    <row r="213" spans="2:64" x14ac:dyDescent="0.25">
      <c r="B213" s="12">
        <f>ROUNDUP((ROW(HC[[#This Row],[idDiâmetro]])-ROW(HC[[#Headers],[idDiâmetro]]))/(COUNT(SPT[Prof. (m)])*COUNT(PILARES[Pilar])),0)</f>
        <v>8</v>
      </c>
      <c r="C213" s="12">
        <f>IF(HC[[#This Row],[idDiâmetro]]&lt;&gt;B212,1,IF(HC[[#This Row],[Prof. (m)]]=0,C212+1,C212))</f>
        <v>1</v>
      </c>
      <c r="D213" s="1">
        <f>IFERROR(IF(D212=MAX(SPT[Prof. (m)]),0,D212+1),0)</f>
        <v>12</v>
      </c>
      <c r="E213" s="1">
        <f>INDEX(SPT[],MATCH(HC[[#This Row],[Prof. (m)]],SPT[Prof. (m)],0),2)</f>
        <v>52</v>
      </c>
      <c r="F213" s="1" t="str">
        <f>INDEX(SPT[],MATCH(HC[[#This Row],[Prof. (m)]],SPT[Prof. (m)],0),3)</f>
        <v>Areia siltosa</v>
      </c>
      <c r="G213" s="1">
        <f>INDEX(estacas[],HC[[#This Row],[idDiâmetro]],MATCH($B$2,estacas[#Headers],0))</f>
        <v>70</v>
      </c>
      <c r="H213" s="1">
        <f>INDEX(estacas[],MATCH(HC[[#This Row],[Ø (cm)]],estacas[Ø HC (cm)],0),MATCH(HC[[#Headers],[Pe HC (kN)]],estacas[#Headers],0))</f>
        <v>2450</v>
      </c>
      <c r="I213" s="4">
        <f>INDEX(K_alpha_C[],MATCH(HC[[#This Row],[Solo]],K_alpha_C[Solo],0),2)</f>
        <v>0.8</v>
      </c>
      <c r="J213" s="5">
        <f>INDEX(K_alpha_C[],MATCH(HC[[#This Row],[Solo]],K_alpha_C[Solo],0),3)</f>
        <v>2</v>
      </c>
      <c r="K213" s="4">
        <f>INDEX(F1_F2[],MATCH($D$2,F1_F2[Tipo de estaca],0),2)</f>
        <v>2</v>
      </c>
      <c r="L213" s="4">
        <f>INDEX(F1_F2[],MATCH($D$2,F1_F2[Tipo de estaca],0),3)</f>
        <v>4</v>
      </c>
      <c r="M213" s="4">
        <f>PI()*(HC[[#This Row],[Ø (cm)]]/100)^2/4</f>
        <v>0.38484510006474959</v>
      </c>
      <c r="N213" s="4">
        <f>PI()*HC[[#This Row],[Ø (cm)]]/100</f>
        <v>2.1991148575128552</v>
      </c>
      <c r="O213" s="4">
        <f>IF(HC[[#This Row],[Prof. (m)]]=0,0,HC[[#This Row],[α (%)]]/100*HC[[#This Row],[K (MPa)]]*1000*HC[[#This Row],[NSPT]])</f>
        <v>832</v>
      </c>
      <c r="P213" s="4">
        <f>IF(HC[[#This Row],[Prof. (m)]]=0,0,(HC[[#This Row],[K (MPa)]]*1000*HC[[#This Row],[NSPT]]/HC[[#This Row],[F1]]*HC[[#This Row],[Ap (m²)]]+HC[[#This Row],[U (m)]]/HC[[#This Row],[F2]]*SUMIFS(HC[(α∙K∙NL∙ΔL)],HC[Prof. (m)],"&lt;="&amp;HC[[#This Row],[Prof. (m)]],HC[idDiâmetro],HC[[#This Row],[idDiâmetro]],HC[idPilar],HC[[#This Row],[idPilar]]))/'DADOS CAP. CARGA'!$D$2)</f>
        <v>4941.3835958956661</v>
      </c>
      <c r="Q213" s="12">
        <f>INDEX(C_alpha_beta[],MATCH(HC[[#This Row],[Solo]],C_alpha_beta[Solo],0),MATCH(HC[[#Headers],[C (kPa)]],C_alpha_beta[#Headers],0))</f>
        <v>400</v>
      </c>
      <c r="R213" s="4">
        <f>INDEX(C_alpha_beta[],MATCH(HC[[#This Row],[Solo]],C_alpha_beta[Solo],0),MATCH(HC[[#Headers],[α ESF]],C_alpha_beta[#Headers],0))</f>
        <v>0.5</v>
      </c>
      <c r="S213" s="4">
        <f>INDEX(C_alpha_beta[],MATCH(HC[[#This Row],[Solo]],C_alpha_beta[Solo],0),MATCH(HC[[#Headers],[β ESF]],C_alpha_beta[#Headers],0))</f>
        <v>0.5</v>
      </c>
      <c r="T213" s="4">
        <f>IF(HC[[#This Row],[Prof. (m)]]=0,0,10*(HC[[#This Row],[NSPT]]/3+1))</f>
        <v>183.33333333333331</v>
      </c>
      <c r="U213" s="4">
        <f>(HC[[#This Row],[α ESF]]*HC[[#This Row],[C (kPa)]]*HC[[#This Row],[NSPT]]*HC[[#This Row],[Ap (m²)]])/'DADOS CAP. CARGA'!$Q$2+(HC[[#This Row],[β ESF]]*SUMIFS(HC[10∙(NL/3+1)],HC[Prof. (m)],"&lt;="&amp;HC[[#This Row],[Prof. (m)]],HC[idDiâmetro],HC[[#This Row],[idDiâmetro]],HC[idPilar],HC[[#This Row],[idPilar]])*HC[[#This Row],[U (m)]])/'DADOS CAP. CARGA'!$S$2</f>
        <v>1475.2395502482068</v>
      </c>
      <c r="V213" s="4">
        <f>IF(SPT!$M$5=1,MIN(HC[[#This Row],[Pe HC (kN)]],HC[[#This Row],[R_AV (kN)]]),IF(SPT!$M$5=2,MIN(HC[[#This Row],[Pe HC (kN)]],HC[[#This Row],[R_DC (kN)]]),MIN(HC[[#This Row],[Pe HC (kN)]],HC[[#This Row],[R_AV (kN)]],HC[[#This Row],[R_DC (kN)]])))</f>
        <v>1475.2395502482068</v>
      </c>
      <c r="W213" s="4">
        <f>INDEX(PILARES[],HC[[#This Row],[idPilar]],MATCH("Carga (kN)",PILARES[#Headers],0))*1.4</f>
        <v>3500</v>
      </c>
      <c r="X213" s="12">
        <f>INDEX(PILARES[],HC[[#This Row],[idPilar]],MATCH(HC[[#Headers],[ap (cm)]],PILARES[#Headers],0))</f>
        <v>60</v>
      </c>
      <c r="Y213" s="12">
        <f>INDEX(PILARES[],HC[[#This Row],[idPilar]],MATCH(HC[[#Headers],[bp (cm)]],PILARES[#Headers],0))</f>
        <v>60</v>
      </c>
      <c r="Z213" s="4">
        <f>SQRT(HC[[#This Row],[ap (cm)]]*HC[[#This Row],[bp (cm)]])</f>
        <v>60</v>
      </c>
      <c r="AA213" s="12">
        <f>HC[[#This Row],[ap (cm)]]*HC[[#This Row],[bp (cm)]]</f>
        <v>3600</v>
      </c>
      <c r="AB213" s="12">
        <f ca="1">IF(HC[[#This Row],[Padm∙ε (kN)]]&gt;=HC[[#This Row],[Padm (kN)]],ROUNDUP(1.05*HC[[#This Row],[Nsd (kN)]]/HC[[#This Row],[Padm (kN)]],0),ROUNDUP(1.05*HC[[#This Row],[Nsd (kN)]]/HC[[#This Row],[Padm (kN)]],0)+1)</f>
        <v>3</v>
      </c>
      <c r="AC213" s="4">
        <f ca="1">IFERROR(IF(HC[[#This Row],[nE]]=1,HC[[#This Row],[Padm (kN)]],HC[[#This Row],[Padm (kN)]]*HC[[#This Row],[nE]]*INDEX(grupoEstacas[],HC[[#This Row],[nE]],MATCH("ε",grupoEstacas[#Headers],0))),"N.S.")</f>
        <v>3872.5038194015428</v>
      </c>
      <c r="AD213" s="4">
        <f ca="1">1.05*HC[[#This Row],[Nsd (kN)]]/(HC[[#This Row],[nE]]*PI()*HC[[#This Row],[Ø (cm)]]^2/4)*10</f>
        <v>3.183098861837907</v>
      </c>
      <c r="AE213" s="4">
        <f ca="1">IF(HC[[#This Row],[σ (MPa)]]&lt;INDEX(tipoEstaca[],MATCH($D$2,tipoEstaca[TIPO DE ESTACA],0),MATCH("σmáx (MPa)",tipoEstaca[#Headers],0)),0.4%*PI()*HC[[#This Row],[Ø (cm)]]^2/4,"N.S.")</f>
        <v>15.393804002589988</v>
      </c>
      <c r="AF213" s="1">
        <f>INDEX(tipoEstaca[],MATCH($D$2,tipoEstaca[TIPO DE ESTACA],0),MATCH(HC[[#Headers],[Comprimento (m)]],tipoEstaca[#Headers],0))</f>
        <v>4</v>
      </c>
      <c r="AG213" s="5">
        <f ca="1">HC[[#This Row],[As,mín (cm²)]]/100^2*HC[[#This Row],[Comprimento (m)]]*7850</f>
        <v>48.33654456813256</v>
      </c>
      <c r="AH213" s="4">
        <f ca="1">HC[[#This Row],[nE]]*HC[[#This Row],[Prof. (m)]]*HC[[#This Row],[Ap (m²)]]</f>
        <v>13.854423602330986</v>
      </c>
      <c r="AI213" s="1">
        <f ca="1">IF(HC[[#This Row],[nE]]=1,0,MAX(3*HC[[#This Row],[Ø (cm)]],60))</f>
        <v>210</v>
      </c>
      <c r="AJ213" s="1">
        <f ca="1">IF(HC[[#This Row],[nE]]=1,HC[[#This Row],[Ø (cm)]]+2*10,MAX(1.5*HC[[#This Row],[Ø (cm)]],HC[[#This Row],[Ø (cm)]]+15))</f>
        <v>105</v>
      </c>
      <c r="AK213" s="1">
        <f ca="1">alturaUtil(HC[[#This Row],[nE]],HC[[#This Row],[Ø (cm)]],HC[[#This Row],[e (cm)]],HC[[#This Row],[ap,eq (cm)]])</f>
        <v>90</v>
      </c>
      <c r="AL213" s="1">
        <f ca="1">IFERROR(HC[[#This Row],[d (cm)]]+arredondarParaCimaMultiplo5cm(MAX(5,SQRT(PI())/2*HC[[#This Row],[Ø (cm)]]/5)),"N.S.")</f>
        <v>105</v>
      </c>
      <c r="AM213" s="5">
        <f ca="1">alpha(HC[[#This Row],[nE]],HC[[#This Row],[d (cm)]],HC[[#This Row],[e (cm)]],HC[[#This Row],[ap,eq (cm)]])</f>
        <v>45.971021931079171</v>
      </c>
      <c r="AN213" s="35">
        <f ca="1">IFERROR(HC[[#This Row],[Nsd (kN)]]/(HC[[#This Row],[Ap (cm²)]]*SIN(HC[[#This Row],[α]])^2),"N.S.")</f>
        <v>1.163960077684304</v>
      </c>
      <c r="AO213" s="35">
        <f ca="1">IFERROR(HC[[#This Row],[Nsd (kN)]]/(HC[[#This Row],[nE]]*PI()*HC[[#This Row],[Ø (cm)]]^2/4*SIN(HC[[#This Row],[α]])^2),"N.S.")</f>
        <v>0.36293877536342883</v>
      </c>
      <c r="AP213" s="4">
        <f ca="1">IFERROR(INDEX(grupoEstacas[],HC[[#This Row],[nE]],MATCH("coef. Blévot",grupoEstacas[#Headers],0)),"N.S.")</f>
        <v>1.75</v>
      </c>
      <c r="AQ213" s="35">
        <f ca="1">IFERROR(HC[[#This Row],[coef. Blévot]]*0.9*INDEX(tipoEstaca[],MATCH($D$2,tipoEstaca[TIPO DE ESTACA],0),MATCH("fcd (kN/cm²)",tipoEstaca[#Headers],0)),"N.S.")</f>
        <v>1.75</v>
      </c>
      <c r="AR213" s="1" t="str">
        <f ca="1">IF(AND(HC[[#This Row],[cd,b,pil (kN/cm²)]]&lt;=HC[[#This Row],[cd,b,lim (kN/cm²)]],HC[[#This Row],[cd,b,est (kN/cm²)]]&lt;=HC[[#This Row],[cd,b,lim (kN/cm²)]]),"OK","ERRO")</f>
        <v>OK</v>
      </c>
      <c r="AS213" s="4">
        <f ca="1">As_lado(HC[[#This Row],[nE]],HC[[#This Row],[Nsd (kN)]],HC[[#This Row],[d (cm)]],HC[[#This Row],[e (cm)]],HC[[#This Row],[ap,eq (cm)]])</f>
        <v>17.771923925719374</v>
      </c>
      <c r="AT213" s="4" t="str">
        <f ca="1">IF(HC[[#This Row],[nE]]=1,HC[[#This Row],[As,lado (cm²)]],IF(HC[[#This Row],[nE]]=2,0.075*2*HC[a (cm)],"N.A."))</f>
        <v>N.A.</v>
      </c>
      <c r="AU213" s="4">
        <f ca="1">IFERROR(IF(HC[[#This Row],[nE]]=1,"N.A.",0.2*HC[[#This Row],[As,lado (cm²)]]),"N.S.")</f>
        <v>3.554384785143875</v>
      </c>
      <c r="AV213" s="4">
        <f ca="1">As_malha(HC[[#This Row],[nE]],HC[[#This Row],[As,lado (cm²)]],HC[[#This Row],[Nsd (kN)]])</f>
        <v>5.9629629629629619</v>
      </c>
      <c r="AW213" s="4">
        <f ca="1">As_susp_tot(HC[[#This Row],[nE]],HC[[#This Row],[Nsd (kN)]])</f>
        <v>17.888888888888886</v>
      </c>
      <c r="AX213" s="4">
        <f ca="1">Asp_face(HC[[#This Row],[nE]],HC[[#This Row],[As,lado (cm²)]])</f>
        <v>6.6644714721447649</v>
      </c>
      <c r="AY213" s="5">
        <f ca="1">acoBloco(HC[[#This Row],[nE]],HC[[#This Row],[e (cm)]],HC[[#This Row],[a (cm)]],HC[[#This Row],[h (cm)]],HC[[#This Row],[As,lado (cm²)]],HC[[#This Row],[Asp e Asw (cm²/m)]],HC[[#This Row],[As,sup (cm²)]],HC[[#This Row],[As,malha (cm²)]],HC[[#This Row],[As,susp,tot (cm²)]],HC[[#This Row],[Asp,face (cm²)]])</f>
        <v>368.3371526423868</v>
      </c>
      <c r="AZ213" s="4">
        <f ca="1">concretoBloco(HC[[#This Row],[nE]],HC[[#This Row],[e (cm)]],HC[[#This Row],[a (cm)]],HC[[#This Row],[h (cm)]])</f>
        <v>12.960945948335764</v>
      </c>
      <c r="BA213" s="5">
        <f ca="1">SUM(HC[[#This Row],[Aço Est (kg)]],HC[[#This Row],[Aço Bloco (kg)]])</f>
        <v>416.67369721051938</v>
      </c>
      <c r="BB213" s="4">
        <f>INDEX(composicoes[],MATCH(95580,composicoes[CÓDIGO],0),MATCH("CUSTO TOTAL",composicoes[#Headers],0))</f>
        <v>10.46</v>
      </c>
      <c r="BC213" s="4">
        <f ca="1">SUM(HC[[#This Row],[Conc Est (m³)]],HC[[#This Row],[Conc Bloco (m³)]])</f>
        <v>26.815369550666752</v>
      </c>
      <c r="BD213" s="4">
        <f>INDEX(composicoes[],MATCH(94966,composicoes[CÓDIGO],0),MATCH("CUSTO TOTAL",composicoes[#Headers],0))</f>
        <v>439.52</v>
      </c>
      <c r="BE213" s="38">
        <f ca="1">HC[[#This Row],[Aço (kg)]]*HC[[#This Row],[Aço (R$/kg)]]+HC[[#This Row],[Conc (m³)]]*HC[[#This Row],[Conc (R$/m³)]]</f>
        <v>16144.298097731084</v>
      </c>
      <c r="BF213" s="4" t="str">
        <f ca="1">IF(COUNTIF(HC[#This Row],"N.S.")&gt;0,"lim.","OK")</f>
        <v>OK</v>
      </c>
      <c r="BG213" s="4" t="str">
        <f>IF(HC[[#This Row],[Prof. (m)]]&lt;4,"lim.","OK")</f>
        <v>OK</v>
      </c>
      <c r="BH213" s="4" t="str">
        <f>IF(HC[[#This Row],[Prof. (m)]]&gt;=8*HC[[#This Row],[Ø (cm)]]/100,"OK","lim.")</f>
        <v>OK</v>
      </c>
      <c r="BI213" s="4" t="str">
        <f ca="1">IF(HC[[#This Row],[Verif. Biela]]="OK","OK","lim.")</f>
        <v>OK</v>
      </c>
      <c r="BJ213" s="4" t="str">
        <f ca="1">IF(COUNTA(HC[[#This Row],[Nº Est.]:[Biela comp.]])=COUNTIF(HC[[#This Row],[Nº Est.]:[Biela comp.]],"OK"),"OK","lim.")</f>
        <v>OK</v>
      </c>
      <c r="BK213" s="4" t="str">
        <f ca="1">IF(HC[[#This Row],[Controle]]="OK",HC[[#This Row],[nE]]&amp;" Ø"&amp;HC[[#This Row],[Ø (cm)]]&amp;"cm Prof. "&amp;HC[[#This Row],[Prof. (m)]]&amp;" m","")</f>
        <v>3 Ø70cm Prof. 12 m</v>
      </c>
      <c r="BL213" s="4" t="str">
        <f ca="1">IF(HC[[#This Row],[idDimensionamento]]="","",HC[[#This Row],[idPilar]]&amp;HC[[#This Row],[idDimensionamento]])</f>
        <v>13 Ø70cm Prof. 12 m</v>
      </c>
    </row>
    <row r="214" spans="2:64" x14ac:dyDescent="0.25">
      <c r="B214" s="12">
        <f>ROUNDUP((ROW(HC[[#This Row],[idDiâmetro]])-ROW(HC[[#Headers],[idDiâmetro]]))/(COUNT(SPT[Prof. (m)])*COUNT(PILARES[Pilar])),0)</f>
        <v>8</v>
      </c>
      <c r="C214" s="12">
        <f>IF(HC[[#This Row],[idDiâmetro]]&lt;&gt;B213,1,IF(HC[[#This Row],[Prof. (m)]]=0,C213+1,C213))</f>
        <v>1</v>
      </c>
      <c r="D214" s="1">
        <f>IFERROR(IF(D213=MAX(SPT[Prof. (m)]),0,D213+1),0)</f>
        <v>13</v>
      </c>
      <c r="E214" s="1">
        <f>INDEX(SPT[],MATCH(HC[[#This Row],[Prof. (m)]],SPT[Prof. (m)],0),2)</f>
        <v>68</v>
      </c>
      <c r="F214" s="1" t="str">
        <f>INDEX(SPT[],MATCH(HC[[#This Row],[Prof. (m)]],SPT[Prof. (m)],0),3)</f>
        <v>Areia siltosa</v>
      </c>
      <c r="G214" s="1">
        <f>INDEX(estacas[],HC[[#This Row],[idDiâmetro]],MATCH($B$2,estacas[#Headers],0))</f>
        <v>70</v>
      </c>
      <c r="H214" s="1">
        <f>INDEX(estacas[],MATCH(HC[[#This Row],[Ø (cm)]],estacas[Ø HC (cm)],0),MATCH(HC[[#Headers],[Pe HC (kN)]],estacas[#Headers],0))</f>
        <v>2450</v>
      </c>
      <c r="I214" s="4">
        <f>INDEX(K_alpha_C[],MATCH(HC[[#This Row],[Solo]],K_alpha_C[Solo],0),2)</f>
        <v>0.8</v>
      </c>
      <c r="J214" s="5">
        <f>INDEX(K_alpha_C[],MATCH(HC[[#This Row],[Solo]],K_alpha_C[Solo],0),3)</f>
        <v>2</v>
      </c>
      <c r="K214" s="4">
        <f>INDEX(F1_F2[],MATCH($D$2,F1_F2[Tipo de estaca],0),2)</f>
        <v>2</v>
      </c>
      <c r="L214" s="4">
        <f>INDEX(F1_F2[],MATCH($D$2,F1_F2[Tipo de estaca],0),3)</f>
        <v>4</v>
      </c>
      <c r="M214" s="4">
        <f>PI()*(HC[[#This Row],[Ø (cm)]]/100)^2/4</f>
        <v>0.38484510006474959</v>
      </c>
      <c r="N214" s="4">
        <f>PI()*HC[[#This Row],[Ø (cm)]]/100</f>
        <v>2.1991148575128552</v>
      </c>
      <c r="O214" s="4">
        <f>IF(HC[[#This Row],[Prof. (m)]]=0,0,HC[[#This Row],[α (%)]]/100*HC[[#This Row],[K (MPa)]]*1000*HC[[#This Row],[NSPT]])</f>
        <v>1088</v>
      </c>
      <c r="P214" s="4">
        <f>IF(HC[[#This Row],[Prof. (m)]]=0,0,(HC[[#This Row],[K (MPa)]]*1000*HC[[#This Row],[NSPT]]/HC[[#This Row],[F1]]*HC[[#This Row],[Ap (m²)]]+HC[[#This Row],[U (m)]]/HC[[#This Row],[F2]]*SUMIFS(HC[(α∙K∙NL∙ΔL)],HC[Prof. (m)],"&lt;="&amp;HC[[#This Row],[Prof. (m)]],HC[idDiâmetro],HC[[#This Row],[idDiâmetro]],HC[idPilar],HC[[#This Row],[idPilar]]))/'DADOS CAP. CARGA'!$D$2)</f>
        <v>6471.9675367246127</v>
      </c>
      <c r="Q214" s="12">
        <f>INDEX(C_alpha_beta[],MATCH(HC[[#This Row],[Solo]],C_alpha_beta[Solo],0),MATCH(HC[[#Headers],[C (kPa)]],C_alpha_beta[#Headers],0))</f>
        <v>400</v>
      </c>
      <c r="R214" s="4">
        <f>INDEX(C_alpha_beta[],MATCH(HC[[#This Row],[Solo]],C_alpha_beta[Solo],0),MATCH(HC[[#Headers],[α ESF]],C_alpha_beta[#Headers],0))</f>
        <v>0.5</v>
      </c>
      <c r="S214" s="4">
        <f>INDEX(C_alpha_beta[],MATCH(HC[[#This Row],[Solo]],C_alpha_beta[Solo],0),MATCH(HC[[#Headers],[β ESF]],C_alpha_beta[#Headers],0))</f>
        <v>0.5</v>
      </c>
      <c r="T214" s="4">
        <f>IF(HC[[#This Row],[Prof. (m)]]=0,0,10*(HC[[#This Row],[NSPT]]/3+1))</f>
        <v>236.66666666666669</v>
      </c>
      <c r="U214" s="4">
        <f>(HC[[#This Row],[α ESF]]*HC[[#This Row],[C (kPa)]]*HC[[#This Row],[NSPT]]*HC[[#This Row],[Ap (m²)]])/'DADOS CAP. CARGA'!$Q$2+(HC[[#This Row],[β ESF]]*SUMIFS(HC[10∙(NL/3+1)],HC[Prof. (m)],"&lt;="&amp;HC[[#This Row],[Prof. (m)]],HC[idDiâmetro],HC[[#This Row],[idDiâmetro]],HC[idPilar],HC[[#This Row],[idPilar]])*HC[[#This Row],[U (m)]])/'DADOS CAP. CARGA'!$S$2</f>
        <v>1913.2299260361838</v>
      </c>
      <c r="V214" s="4">
        <f>IF(SPT!$M$5=1,MIN(HC[[#This Row],[Pe HC (kN)]],HC[[#This Row],[R_AV (kN)]]),IF(SPT!$M$5=2,MIN(HC[[#This Row],[Pe HC (kN)]],HC[[#This Row],[R_DC (kN)]]),MIN(HC[[#This Row],[Pe HC (kN)]],HC[[#This Row],[R_AV (kN)]],HC[[#This Row],[R_DC (kN)]])))</f>
        <v>1913.2299260361838</v>
      </c>
      <c r="W214" s="4">
        <f>INDEX(PILARES[],HC[[#This Row],[idPilar]],MATCH("Carga (kN)",PILARES[#Headers],0))*1.4</f>
        <v>3500</v>
      </c>
      <c r="X214" s="12">
        <f>INDEX(PILARES[],HC[[#This Row],[idPilar]],MATCH(HC[[#Headers],[ap (cm)]],PILARES[#Headers],0))</f>
        <v>60</v>
      </c>
      <c r="Y214" s="12">
        <f>INDEX(PILARES[],HC[[#This Row],[idPilar]],MATCH(HC[[#Headers],[bp (cm)]],PILARES[#Headers],0))</f>
        <v>60</v>
      </c>
      <c r="Z214" s="4">
        <f>SQRT(HC[[#This Row],[ap (cm)]]*HC[[#This Row],[bp (cm)]])</f>
        <v>60</v>
      </c>
      <c r="AA214" s="12">
        <f>HC[[#This Row],[ap (cm)]]*HC[[#This Row],[bp (cm)]]</f>
        <v>3600</v>
      </c>
      <c r="AB214" s="12">
        <f ca="1">IF(HC[[#This Row],[Padm∙ε (kN)]]&gt;=HC[[#This Row],[Padm (kN)]],ROUNDUP(1.05*HC[[#This Row],[Nsd (kN)]]/HC[[#This Row],[Padm (kN)]],0),ROUNDUP(1.05*HC[[#This Row],[Nsd (kN)]]/HC[[#This Row],[Padm (kN)]],0)+1)</f>
        <v>2</v>
      </c>
      <c r="AC214" s="4">
        <f ca="1">IFERROR(IF(HC[[#This Row],[nE]]=1,HC[[#This Row],[Padm (kN)]],HC[[#This Row],[Padm (kN)]]*HC[[#This Row],[nE]]*INDEX(grupoEstacas[],HC[[#This Row],[nE]],MATCH("ε",grupoEstacas[#Headers],0))),"N.S.")</f>
        <v>3587.3061113178446</v>
      </c>
      <c r="AD214" s="4">
        <f ca="1">1.05*HC[[#This Row],[Nsd (kN)]]/(HC[[#This Row],[nE]]*PI()*HC[[#This Row],[Ø (cm)]]^2/4)*10</f>
        <v>4.7746482927568596</v>
      </c>
      <c r="AE214" s="4">
        <f ca="1">IF(HC[[#This Row],[σ (MPa)]]&lt;INDEX(tipoEstaca[],MATCH($D$2,tipoEstaca[TIPO DE ESTACA],0),MATCH("σmáx (MPa)",tipoEstaca[#Headers],0)),0.4%*PI()*HC[[#This Row],[Ø (cm)]]^2/4,"N.S.")</f>
        <v>15.393804002589988</v>
      </c>
      <c r="AF214" s="1">
        <f>INDEX(tipoEstaca[],MATCH($D$2,tipoEstaca[TIPO DE ESTACA],0),MATCH(HC[[#Headers],[Comprimento (m)]],tipoEstaca[#Headers],0))</f>
        <v>4</v>
      </c>
      <c r="AG214" s="5">
        <f ca="1">HC[[#This Row],[As,mín (cm²)]]/100^2*HC[[#This Row],[Comprimento (m)]]*7850</f>
        <v>48.33654456813256</v>
      </c>
      <c r="AH214" s="4">
        <f ca="1">HC[[#This Row],[nE]]*HC[[#This Row],[Prof. (m)]]*HC[[#This Row],[Ap (m²)]]</f>
        <v>10.005972601683489</v>
      </c>
      <c r="AI214" s="1">
        <f ca="1">IF(HC[[#This Row],[nE]]=1,0,MAX(3*HC[[#This Row],[Ø (cm)]],60))</f>
        <v>210</v>
      </c>
      <c r="AJ214" s="1">
        <f ca="1">IF(HC[[#This Row],[nE]]=1,HC[[#This Row],[Ø (cm)]]+2*10,MAX(1.5*HC[[#This Row],[Ø (cm)]],HC[[#This Row],[Ø (cm)]]+15))</f>
        <v>105</v>
      </c>
      <c r="AK214" s="1">
        <f ca="1">alturaUtil(HC[[#This Row],[nE]],HC[[#This Row],[Ø (cm)]],HC[[#This Row],[e (cm)]],HC[[#This Row],[ap,eq (cm)]])</f>
        <v>90</v>
      </c>
      <c r="AL214" s="1">
        <f ca="1">IFERROR(HC[[#This Row],[d (cm)]]+arredondarParaCimaMultiplo5cm(MAX(5,SQRT(PI())/2*HC[[#This Row],[Ø (cm)]]/5)),"N.S.")</f>
        <v>105</v>
      </c>
      <c r="AM214" s="5">
        <f ca="1">alpha(HC[[#This Row],[nE]],HC[[#This Row],[d (cm)]],HC[[#This Row],[e (cm)]],HC[[#This Row],[ap,eq (cm)]])</f>
        <v>45</v>
      </c>
      <c r="AN214" s="35">
        <f ca="1">IFERROR(HC[[#This Row],[Nsd (kN)]]/(HC[[#This Row],[Ap (cm²)]]*SIN(HC[[#This Row],[α]])^2),"N.S.")</f>
        <v>1.3427801064714635</v>
      </c>
      <c r="AO214" s="35">
        <f ca="1">IFERROR(HC[[#This Row],[Nsd (kN)]]/(HC[[#This Row],[nE]]*PI()*HC[[#This Row],[Ø (cm)]]^2/4*SIN(HC[[#This Row],[α]])^2),"N.S.")</f>
        <v>0.62804598297911984</v>
      </c>
      <c r="AP214" s="4">
        <f ca="1">IFERROR(INDEX(grupoEstacas[],HC[[#This Row],[nE]],MATCH("coef. Blévot",grupoEstacas[#Headers],0)),"N.S.")</f>
        <v>1.4</v>
      </c>
      <c r="AQ214" s="35">
        <f ca="1">IFERROR(HC[[#This Row],[coef. Blévot]]*0.9*INDEX(tipoEstaca[],MATCH($D$2,tipoEstaca[TIPO DE ESTACA],0),MATCH("fcd (kN/cm²)",tipoEstaca[#Headers],0)),"N.S.")</f>
        <v>1.4000000000000001</v>
      </c>
      <c r="AR214" s="1" t="str">
        <f ca="1">IF(AND(HC[[#This Row],[cd,b,pil (kN/cm²)]]&lt;=HC[[#This Row],[cd,b,lim (kN/cm²)]],HC[[#This Row],[cd,b,est (kN/cm²)]]&lt;=HC[[#This Row],[cd,b,lim (kN/cm²)]]),"OK","ERRO")</f>
        <v>OK</v>
      </c>
      <c r="AS214" s="4">
        <f ca="1">As_lado(HC[[#This Row],[nE]],HC[[#This Row],[Nsd (kN)]],HC[[#This Row],[d (cm)]],HC[[#This Row],[e (cm)]],HC[[#This Row],[ap,eq (cm)]])</f>
        <v>46.287499999999994</v>
      </c>
      <c r="AT214" s="4">
        <f ca="1">IF(HC[[#This Row],[nE]]=1,HC[[#This Row],[As,lado (cm²)]],IF(HC[[#This Row],[nE]]=2,0.075*2*HC[a (cm)],"N.A."))</f>
        <v>15.75</v>
      </c>
      <c r="AU214" s="4">
        <f ca="1">IFERROR(IF(HC[[#This Row],[nE]]=1,"N.A.",0.2*HC[[#This Row],[As,lado (cm²)]]),"N.S.")</f>
        <v>9.2574999999999985</v>
      </c>
      <c r="AV214" s="4" t="str">
        <f ca="1">As_malha(HC[[#This Row],[nE]],HC[[#This Row],[As,lado (cm²)]],HC[[#This Row],[Nsd (kN)]])</f>
        <v>N.A.</v>
      </c>
      <c r="AW214" s="4" t="str">
        <f ca="1">As_susp_tot(HC[[#This Row],[nE]],HC[[#This Row],[Nsd (kN)]])</f>
        <v>N.A.</v>
      </c>
      <c r="AX214" s="4" t="str">
        <f ca="1">Asp_face(HC[[#This Row],[nE]],HC[[#This Row],[As,lado (cm²)]])</f>
        <v>N.A.</v>
      </c>
      <c r="AY214" s="5">
        <f ca="1">acoBloco(HC[[#This Row],[nE]],HC[[#This Row],[e (cm)]],HC[[#This Row],[a (cm)]],HC[[#This Row],[h (cm)]],HC[[#This Row],[As,lado (cm²)]],HC[[#This Row],[Asp e Asw (cm²/m)]],HC[[#This Row],[As,sup (cm²)]],HC[[#This Row],[As,malha (cm²)]],HC[[#This Row],[As,susp,tot (cm²)]],HC[[#This Row],[Asp,face (cm²)]])</f>
        <v>673.84910249999996</v>
      </c>
      <c r="AZ214" s="4">
        <f ca="1">concretoBloco(HC[[#This Row],[nE]],HC[[#This Row],[e (cm)]],HC[[#This Row],[a (cm)]],HC[[#This Row],[h (cm)]])</f>
        <v>9.2609999999999992</v>
      </c>
      <c r="BA214" s="5">
        <f ca="1">SUM(HC[[#This Row],[Aço Est (kg)]],HC[[#This Row],[Aço Bloco (kg)]])</f>
        <v>722.18564706813254</v>
      </c>
      <c r="BB214" s="4">
        <f>INDEX(composicoes[],MATCH(95580,composicoes[CÓDIGO],0),MATCH("CUSTO TOTAL",composicoes[#Headers],0))</f>
        <v>10.46</v>
      </c>
      <c r="BC214" s="4">
        <f ca="1">SUM(HC[[#This Row],[Conc Est (m³)]],HC[[#This Row],[Conc Bloco (m³)]])</f>
        <v>19.266972601683488</v>
      </c>
      <c r="BD214" s="4">
        <f>INDEX(composicoes[],MATCH(94966,composicoes[CÓDIGO],0),MATCH("CUSTO TOTAL",composicoes[#Headers],0))</f>
        <v>439.52</v>
      </c>
      <c r="BE214" s="38">
        <f ca="1">HC[[#This Row],[Aço (kg)]]*HC[[#This Row],[Aço (R$/kg)]]+HC[[#This Row],[Conc (m³)]]*HC[[#This Row],[Conc (R$/m³)]]</f>
        <v>16022.281666224593</v>
      </c>
      <c r="BF214" s="4" t="str">
        <f ca="1">IF(COUNTIF(HC[#This Row],"N.S.")&gt;0,"lim.","OK")</f>
        <v>OK</v>
      </c>
      <c r="BG214" s="4" t="str">
        <f>IF(HC[[#This Row],[Prof. (m)]]&lt;4,"lim.","OK")</f>
        <v>OK</v>
      </c>
      <c r="BH214" s="4" t="str">
        <f>IF(HC[[#This Row],[Prof. (m)]]&gt;=8*HC[[#This Row],[Ø (cm)]]/100,"OK","lim.")</f>
        <v>OK</v>
      </c>
      <c r="BI214" s="4" t="str">
        <f ca="1">IF(HC[[#This Row],[Verif. Biela]]="OK","OK","lim.")</f>
        <v>OK</v>
      </c>
      <c r="BJ214" s="4" t="str">
        <f ca="1">IF(COUNTA(HC[[#This Row],[Nº Est.]:[Biela comp.]])=COUNTIF(HC[[#This Row],[Nº Est.]:[Biela comp.]],"OK"),"OK","lim.")</f>
        <v>OK</v>
      </c>
      <c r="BK214" s="4" t="str">
        <f ca="1">IF(HC[[#This Row],[Controle]]="OK",HC[[#This Row],[nE]]&amp;" Ø"&amp;HC[[#This Row],[Ø (cm)]]&amp;"cm Prof. "&amp;HC[[#This Row],[Prof. (m)]]&amp;" m","")</f>
        <v>2 Ø70cm Prof. 13 m</v>
      </c>
      <c r="BL214" s="4" t="str">
        <f ca="1">IF(HC[[#This Row],[idDimensionamento]]="","",HC[[#This Row],[idPilar]]&amp;HC[[#This Row],[idDimensionamento]])</f>
        <v>12 Ø70cm Prof. 13 m</v>
      </c>
    </row>
    <row r="215" spans="2:64" x14ac:dyDescent="0.25">
      <c r="B215" s="12">
        <f>ROUNDUP((ROW(HC[[#This Row],[idDiâmetro]])-ROW(HC[[#Headers],[idDiâmetro]]))/(COUNT(SPT[Prof. (m)])*COUNT(PILARES[Pilar])),0)</f>
        <v>8</v>
      </c>
      <c r="C215" s="12">
        <f>IF(HC[[#This Row],[idDiâmetro]]&lt;&gt;B214,1,IF(HC[[#This Row],[Prof. (m)]]=0,C214+1,C214))</f>
        <v>2</v>
      </c>
      <c r="D215" s="1">
        <f>IFERROR(IF(D214=MAX(SPT[Prof. (m)]),0,D214+1),0)</f>
        <v>0</v>
      </c>
      <c r="E215" s="1">
        <f>INDEX(SPT[],MATCH(HC[[#This Row],[Prof. (m)]],SPT[Prof. (m)],0),2)</f>
        <v>0</v>
      </c>
      <c r="F215" s="1" t="str">
        <f>INDEX(SPT[],MATCH(HC[[#This Row],[Prof. (m)]],SPT[Prof. (m)],0),3)</f>
        <v>Areia siltosa</v>
      </c>
      <c r="G215" s="1">
        <f>INDEX(estacas[],HC[[#This Row],[idDiâmetro]],MATCH($B$2,estacas[#Headers],0))</f>
        <v>70</v>
      </c>
      <c r="H215" s="1">
        <f>INDEX(estacas[],MATCH(HC[[#This Row],[Ø (cm)]],estacas[Ø HC (cm)],0),MATCH(HC[[#Headers],[Pe HC (kN)]],estacas[#Headers],0))</f>
        <v>2450</v>
      </c>
      <c r="I215" s="4">
        <f>INDEX(K_alpha_C[],MATCH(HC[[#This Row],[Solo]],K_alpha_C[Solo],0),2)</f>
        <v>0.8</v>
      </c>
      <c r="J215" s="5">
        <f>INDEX(K_alpha_C[],MATCH(HC[[#This Row],[Solo]],K_alpha_C[Solo],0),3)</f>
        <v>2</v>
      </c>
      <c r="K215" s="4">
        <f>INDEX(F1_F2[],MATCH($D$2,F1_F2[Tipo de estaca],0),2)</f>
        <v>2</v>
      </c>
      <c r="L215" s="4">
        <f>INDEX(F1_F2[],MATCH($D$2,F1_F2[Tipo de estaca],0),3)</f>
        <v>4</v>
      </c>
      <c r="M215" s="4">
        <f>PI()*(HC[[#This Row],[Ø (cm)]]/100)^2/4</f>
        <v>0.38484510006474959</v>
      </c>
      <c r="N215" s="4">
        <f>PI()*HC[[#This Row],[Ø (cm)]]/100</f>
        <v>2.1991148575128552</v>
      </c>
      <c r="O215" s="4">
        <f>IF(HC[[#This Row],[Prof. (m)]]=0,0,HC[[#This Row],[α (%)]]/100*HC[[#This Row],[K (MPa)]]*1000*HC[[#This Row],[NSPT]])</f>
        <v>0</v>
      </c>
      <c r="P215" s="4">
        <f>IF(HC[[#This Row],[Prof. (m)]]=0,0,(HC[[#This Row],[K (MPa)]]*1000*HC[[#This Row],[NSPT]]/HC[[#This Row],[F1]]*HC[[#This Row],[Ap (m²)]]+HC[[#This Row],[U (m)]]/HC[[#This Row],[F2]]*SUMIFS(HC[(α∙K∙NL∙ΔL)],HC[Prof. (m)],"&lt;="&amp;HC[[#This Row],[Prof. (m)]],HC[idDiâmetro],HC[[#This Row],[idDiâmetro]],HC[idPilar],HC[[#This Row],[idPilar]]))/'DADOS CAP. CARGA'!$D$2)</f>
        <v>0</v>
      </c>
      <c r="Q215" s="12">
        <f>INDEX(C_alpha_beta[],MATCH(HC[[#This Row],[Solo]],C_alpha_beta[Solo],0),MATCH(HC[[#Headers],[C (kPa)]],C_alpha_beta[#Headers],0))</f>
        <v>400</v>
      </c>
      <c r="R215" s="4">
        <f>INDEX(C_alpha_beta[],MATCH(HC[[#This Row],[Solo]],C_alpha_beta[Solo],0),MATCH(HC[[#Headers],[α ESF]],C_alpha_beta[#Headers],0))</f>
        <v>0.5</v>
      </c>
      <c r="S215" s="4">
        <f>INDEX(C_alpha_beta[],MATCH(HC[[#This Row],[Solo]],C_alpha_beta[Solo],0),MATCH(HC[[#Headers],[β ESF]],C_alpha_beta[#Headers],0))</f>
        <v>0.5</v>
      </c>
      <c r="T215" s="4">
        <f>IF(HC[[#This Row],[Prof. (m)]]=0,0,10*(HC[[#This Row],[NSPT]]/3+1))</f>
        <v>0</v>
      </c>
      <c r="U215" s="4">
        <f>(HC[[#This Row],[α ESF]]*HC[[#This Row],[C (kPa)]]*HC[[#This Row],[NSPT]]*HC[[#This Row],[Ap (m²)]])/'DADOS CAP. CARGA'!$Q$2+(HC[[#This Row],[β ESF]]*SUMIFS(HC[10∙(NL/3+1)],HC[Prof. (m)],"&lt;="&amp;HC[[#This Row],[Prof. (m)]],HC[idDiâmetro],HC[[#This Row],[idDiâmetro]],HC[idPilar],HC[[#This Row],[idPilar]])*HC[[#This Row],[U (m)]])/'DADOS CAP. CARGA'!$S$2</f>
        <v>0</v>
      </c>
      <c r="V215" s="4">
        <f>IF(SPT!$M$5=1,MIN(HC[[#This Row],[Pe HC (kN)]],HC[[#This Row],[R_AV (kN)]]),IF(SPT!$M$5=2,MIN(HC[[#This Row],[Pe HC (kN)]],HC[[#This Row],[R_DC (kN)]]),MIN(HC[[#This Row],[Pe HC (kN)]],HC[[#This Row],[R_AV (kN)]],HC[[#This Row],[R_DC (kN)]])))</f>
        <v>0</v>
      </c>
      <c r="W215" s="4">
        <f>INDEX(PILARES[],HC[[#This Row],[idPilar]],MATCH("Carga (kN)",PILARES[#Headers],0))*1.4</f>
        <v>1750</v>
      </c>
      <c r="X215" s="12">
        <f>INDEX(PILARES[],HC[[#This Row],[idPilar]],MATCH(HC[[#Headers],[ap (cm)]],PILARES[#Headers],0))</f>
        <v>50</v>
      </c>
      <c r="Y215" s="12">
        <f>INDEX(PILARES[],HC[[#This Row],[idPilar]],MATCH(HC[[#Headers],[bp (cm)]],PILARES[#Headers],0))</f>
        <v>40</v>
      </c>
      <c r="Z215" s="4">
        <f>SQRT(HC[[#This Row],[ap (cm)]]*HC[[#This Row],[bp (cm)]])</f>
        <v>44.721359549995796</v>
      </c>
      <c r="AA215" s="12">
        <f>HC[[#This Row],[ap (cm)]]*HC[[#This Row],[bp (cm)]]</f>
        <v>2000</v>
      </c>
      <c r="AB215" s="12" t="e">
        <f ca="1">IF(HC[[#This Row],[Padm∙ε (kN)]]&gt;=HC[[#This Row],[Padm (kN)]],ROUNDUP(1.05*HC[[#This Row],[Nsd (kN)]]/HC[[#This Row],[Padm (kN)]],0),ROUNDUP(1.05*HC[[#This Row],[Nsd (kN)]]/HC[[#This Row],[Padm (kN)]],0)+1)</f>
        <v>#DIV/0!</v>
      </c>
      <c r="AC215" s="4" t="str">
        <f ca="1">IFERROR(IF(HC[[#This Row],[nE]]=1,HC[[#This Row],[Padm (kN)]],HC[[#This Row],[Padm (kN)]]*HC[[#This Row],[nE]]*INDEX(grupoEstacas[],HC[[#This Row],[nE]],MATCH("ε",grupoEstacas[#Headers],0))),"N.S.")</f>
        <v>N.S.</v>
      </c>
      <c r="AD215" s="4" t="e">
        <f ca="1">1.05*HC[[#This Row],[Nsd (kN)]]/(HC[[#This Row],[nE]]*PI()*HC[[#This Row],[Ø (cm)]]^2/4)*10</f>
        <v>#DIV/0!</v>
      </c>
      <c r="AE215" s="4" t="e">
        <f ca="1">IF(HC[[#This Row],[σ (MPa)]]&lt;INDEX(tipoEstaca[],MATCH($D$2,tipoEstaca[TIPO DE ESTACA],0),MATCH("σmáx (MPa)",tipoEstaca[#Headers],0)),0.4%*PI()*HC[[#This Row],[Ø (cm)]]^2/4,"N.S.")</f>
        <v>#DIV/0!</v>
      </c>
      <c r="AF215" s="1">
        <f>INDEX(tipoEstaca[],MATCH($D$2,tipoEstaca[TIPO DE ESTACA],0),MATCH(HC[[#Headers],[Comprimento (m)]],tipoEstaca[#Headers],0))</f>
        <v>4</v>
      </c>
      <c r="AG215" s="5" t="e">
        <f ca="1">HC[[#This Row],[As,mín (cm²)]]/100^2*HC[[#This Row],[Comprimento (m)]]*7850</f>
        <v>#DIV/0!</v>
      </c>
      <c r="AH215" s="4" t="e">
        <f ca="1">HC[[#This Row],[nE]]*HC[[#This Row],[Prof. (m)]]*HC[[#This Row],[Ap (m²)]]</f>
        <v>#DIV/0!</v>
      </c>
      <c r="AI215" s="1" t="e">
        <f ca="1">IF(HC[[#This Row],[nE]]=1,0,MAX(3*HC[[#This Row],[Ø (cm)]],60))</f>
        <v>#DIV/0!</v>
      </c>
      <c r="AJ215" s="1" t="e">
        <f ca="1">IF(HC[[#This Row],[nE]]=1,HC[[#This Row],[Ø (cm)]]+2*10,MAX(1.5*HC[[#This Row],[Ø (cm)]],HC[[#This Row],[Ø (cm)]]+15))</f>
        <v>#DIV/0!</v>
      </c>
      <c r="AK215" s="1" t="e">
        <f ca="1">alturaUtil(HC[[#This Row],[nE]],HC[[#This Row],[Ø (cm)]],HC[[#This Row],[e (cm)]],HC[[#This Row],[ap,eq (cm)]])</f>
        <v>#VALUE!</v>
      </c>
      <c r="AL215" s="1" t="str">
        <f ca="1">IFERROR(HC[[#This Row],[d (cm)]]+arredondarParaCimaMultiplo5cm(MAX(5,SQRT(PI())/2*HC[[#This Row],[Ø (cm)]]/5)),"N.S.")</f>
        <v>N.S.</v>
      </c>
      <c r="AM215" s="5" t="e">
        <f ca="1">alpha(HC[[#This Row],[nE]],HC[[#This Row],[d (cm)]],HC[[#This Row],[e (cm)]],HC[[#This Row],[ap,eq (cm)]])</f>
        <v>#VALUE!</v>
      </c>
      <c r="AN215" s="35" t="str">
        <f ca="1">IFERROR(HC[[#This Row],[Nsd (kN)]]/(HC[[#This Row],[Ap (cm²)]]*SIN(HC[[#This Row],[α]])^2),"N.S.")</f>
        <v>N.S.</v>
      </c>
      <c r="AO215" s="35" t="str">
        <f ca="1">IFERROR(HC[[#This Row],[Nsd (kN)]]/(HC[[#This Row],[nE]]*PI()*HC[[#This Row],[Ø (cm)]]^2/4*SIN(HC[[#This Row],[α]])^2),"N.S.")</f>
        <v>N.S.</v>
      </c>
      <c r="AP215" s="4" t="str">
        <f ca="1">IFERROR(INDEX(grupoEstacas[],HC[[#This Row],[nE]],MATCH("coef. Blévot",grupoEstacas[#Headers],0)),"N.S.")</f>
        <v>N.S.</v>
      </c>
      <c r="AQ215" s="35" t="str">
        <f ca="1">IFERROR(HC[[#This Row],[coef. Blévot]]*0.9*INDEX(tipoEstaca[],MATCH($D$2,tipoEstaca[TIPO DE ESTACA],0),MATCH("fcd (kN/cm²)",tipoEstaca[#Headers],0)),"N.S.")</f>
        <v>N.S.</v>
      </c>
      <c r="AR215" s="1" t="str">
        <f ca="1">IF(AND(HC[[#This Row],[cd,b,pil (kN/cm²)]]&lt;=HC[[#This Row],[cd,b,lim (kN/cm²)]],HC[[#This Row],[cd,b,est (kN/cm²)]]&lt;=HC[[#This Row],[cd,b,lim (kN/cm²)]]),"OK","ERRO")</f>
        <v>OK</v>
      </c>
      <c r="AS215" s="4" t="e">
        <f ca="1">As_lado(HC[[#This Row],[nE]],HC[[#This Row],[Nsd (kN)]],HC[[#This Row],[d (cm)]],HC[[#This Row],[e (cm)]],HC[[#This Row],[ap,eq (cm)]])</f>
        <v>#VALUE!</v>
      </c>
      <c r="AT215" s="4" t="e">
        <f ca="1">IF(HC[[#This Row],[nE]]=1,HC[[#This Row],[As,lado (cm²)]],IF(HC[[#This Row],[nE]]=2,0.075*2*HC[a (cm)],"N.A."))</f>
        <v>#DIV/0!</v>
      </c>
      <c r="AU215" s="4" t="str">
        <f ca="1">IFERROR(IF(HC[[#This Row],[nE]]=1,"N.A.",0.2*HC[[#This Row],[As,lado (cm²)]]),"N.S.")</f>
        <v>N.S.</v>
      </c>
      <c r="AV215" s="4" t="e">
        <f ca="1">As_malha(HC[[#This Row],[nE]],HC[[#This Row],[As,lado (cm²)]],HC[[#This Row],[Nsd (kN)]])</f>
        <v>#VALUE!</v>
      </c>
      <c r="AW215" s="4" t="e">
        <f ca="1">As_susp_tot(HC[[#This Row],[nE]],HC[[#This Row],[Nsd (kN)]])</f>
        <v>#VALUE!</v>
      </c>
      <c r="AX215" s="4" t="e">
        <f ca="1">Asp_face(HC[[#This Row],[nE]],HC[[#This Row],[As,lado (cm²)]])</f>
        <v>#VALUE!</v>
      </c>
      <c r="AY215" s="5" t="e">
        <f ca="1">acoBloco(HC[[#This Row],[nE]],HC[[#This Row],[e (cm)]],HC[[#This Row],[a (cm)]],HC[[#This Row],[h (cm)]],HC[[#This Row],[As,lado (cm²)]],HC[[#This Row],[Asp e Asw (cm²/m)]],HC[[#This Row],[As,sup (cm²)]],HC[[#This Row],[As,malha (cm²)]],HC[[#This Row],[As,susp,tot (cm²)]],HC[[#This Row],[Asp,face (cm²)]])</f>
        <v>#VALUE!</v>
      </c>
      <c r="AZ215" s="4" t="e">
        <f ca="1">concretoBloco(HC[[#This Row],[nE]],HC[[#This Row],[e (cm)]],HC[[#This Row],[a (cm)]],HC[[#This Row],[h (cm)]])</f>
        <v>#VALUE!</v>
      </c>
      <c r="BA215" s="5" t="e">
        <f ca="1">SUM(HC[[#This Row],[Aço Est (kg)]],HC[[#This Row],[Aço Bloco (kg)]])</f>
        <v>#DIV/0!</v>
      </c>
      <c r="BB215" s="4">
        <f>INDEX(composicoes[],MATCH(95580,composicoes[CÓDIGO],0),MATCH("CUSTO TOTAL",composicoes[#Headers],0))</f>
        <v>10.46</v>
      </c>
      <c r="BC215" s="4" t="e">
        <f ca="1">SUM(HC[[#This Row],[Conc Est (m³)]],HC[[#This Row],[Conc Bloco (m³)]])</f>
        <v>#DIV/0!</v>
      </c>
      <c r="BD215" s="4">
        <f>INDEX(composicoes[],MATCH(94966,composicoes[CÓDIGO],0),MATCH("CUSTO TOTAL",composicoes[#Headers],0))</f>
        <v>439.52</v>
      </c>
      <c r="BE215" s="38" t="e">
        <f ca="1">HC[[#This Row],[Aço (kg)]]*HC[[#This Row],[Aço (R$/kg)]]+HC[[#This Row],[Conc (m³)]]*HC[[#This Row],[Conc (R$/m³)]]</f>
        <v>#DIV/0!</v>
      </c>
      <c r="BF215" s="4" t="str">
        <f ca="1">IF(COUNTIF(HC[#This Row],"N.S.")&gt;0,"lim.","OK")</f>
        <v>lim.</v>
      </c>
      <c r="BG215" s="4" t="str">
        <f>IF(HC[[#This Row],[Prof. (m)]]&lt;4,"lim.","OK")</f>
        <v>lim.</v>
      </c>
      <c r="BH215" s="4" t="str">
        <f>IF(HC[[#This Row],[Prof. (m)]]&gt;=8*HC[[#This Row],[Ø (cm)]]/100,"OK","lim.")</f>
        <v>lim.</v>
      </c>
      <c r="BI215" s="4" t="str">
        <f ca="1">IF(HC[[#This Row],[Verif. Biela]]="OK","OK","lim.")</f>
        <v>OK</v>
      </c>
      <c r="BJ215" s="4" t="str">
        <f ca="1">IF(COUNTA(HC[[#This Row],[Nº Est.]:[Biela comp.]])=COUNTIF(HC[[#This Row],[Nº Est.]:[Biela comp.]],"OK"),"OK","lim.")</f>
        <v>lim.</v>
      </c>
      <c r="BK215" s="4" t="str">
        <f ca="1">IF(HC[[#This Row],[Controle]]="OK",HC[[#This Row],[nE]]&amp;" Ø"&amp;HC[[#This Row],[Ø (cm)]]&amp;"cm Prof. "&amp;HC[[#This Row],[Prof. (m)]]&amp;" m","")</f>
        <v/>
      </c>
      <c r="BL215" s="4" t="str">
        <f ca="1">IF(HC[[#This Row],[idDimensionamento]]="","",HC[[#This Row],[idPilar]]&amp;HC[[#This Row],[idDimensionamento]])</f>
        <v/>
      </c>
    </row>
    <row r="216" spans="2:64" x14ac:dyDescent="0.25">
      <c r="B216" s="12">
        <f>ROUNDUP((ROW(HC[[#This Row],[idDiâmetro]])-ROW(HC[[#Headers],[idDiâmetro]]))/(COUNT(SPT[Prof. (m)])*COUNT(PILARES[Pilar])),0)</f>
        <v>8</v>
      </c>
      <c r="C216" s="12">
        <f>IF(HC[[#This Row],[idDiâmetro]]&lt;&gt;B215,1,IF(HC[[#This Row],[Prof. (m)]]=0,C215+1,C215))</f>
        <v>2</v>
      </c>
      <c r="D216" s="1">
        <f>IFERROR(IF(D215=MAX(SPT[Prof. (m)]),0,D215+1),0)</f>
        <v>1</v>
      </c>
      <c r="E216" s="1">
        <f>INDEX(SPT[],MATCH(HC[[#This Row],[Prof. (m)]],SPT[Prof. (m)],0),2)</f>
        <v>2</v>
      </c>
      <c r="F216" s="1" t="str">
        <f>INDEX(SPT[],MATCH(HC[[#This Row],[Prof. (m)]],SPT[Prof. (m)],0),3)</f>
        <v>Areia siltosa</v>
      </c>
      <c r="G216" s="1">
        <f>INDEX(estacas[],HC[[#This Row],[idDiâmetro]],MATCH($B$2,estacas[#Headers],0))</f>
        <v>70</v>
      </c>
      <c r="H216" s="1">
        <f>INDEX(estacas[],MATCH(HC[[#This Row],[Ø (cm)]],estacas[Ø HC (cm)],0),MATCH(HC[[#Headers],[Pe HC (kN)]],estacas[#Headers],0))</f>
        <v>2450</v>
      </c>
      <c r="I216" s="4">
        <f>INDEX(K_alpha_C[],MATCH(HC[[#This Row],[Solo]],K_alpha_C[Solo],0),2)</f>
        <v>0.8</v>
      </c>
      <c r="J216" s="5">
        <f>INDEX(K_alpha_C[],MATCH(HC[[#This Row],[Solo]],K_alpha_C[Solo],0),3)</f>
        <v>2</v>
      </c>
      <c r="K216" s="4">
        <f>INDEX(F1_F2[],MATCH($D$2,F1_F2[Tipo de estaca],0),2)</f>
        <v>2</v>
      </c>
      <c r="L216" s="4">
        <f>INDEX(F1_F2[],MATCH($D$2,F1_F2[Tipo de estaca],0),3)</f>
        <v>4</v>
      </c>
      <c r="M216" s="4">
        <f>PI()*(HC[[#This Row],[Ø (cm)]]/100)^2/4</f>
        <v>0.38484510006474959</v>
      </c>
      <c r="N216" s="4">
        <f>PI()*HC[[#This Row],[Ø (cm)]]/100</f>
        <v>2.1991148575128552</v>
      </c>
      <c r="O216" s="4">
        <f>IF(HC[[#This Row],[Prof. (m)]]=0,0,HC[[#This Row],[α (%)]]/100*HC[[#This Row],[K (MPa)]]*1000*HC[[#This Row],[NSPT]])</f>
        <v>32</v>
      </c>
      <c r="P216" s="4">
        <f>IF(HC[[#This Row],[Prof. (m)]]=0,0,(HC[[#This Row],[K (MPa)]]*1000*HC[[#This Row],[NSPT]]/HC[[#This Row],[F1]]*HC[[#This Row],[Ap (m²)]]+HC[[#This Row],[U (m)]]/HC[[#This Row],[F2]]*SUMIFS(HC[(α∙K∙NL∙ΔL)],HC[Prof. (m)],"&lt;="&amp;HC[[#This Row],[Prof. (m)]],HC[idDiâmetro],HC[[#This Row],[idDiâmetro]],HC[idPilar],HC[[#This Row],[idPilar]]))/'DADOS CAP. CARGA'!$D$2)</f>
        <v>162.73449945595124</v>
      </c>
      <c r="Q216" s="12">
        <f>INDEX(C_alpha_beta[],MATCH(HC[[#This Row],[Solo]],C_alpha_beta[Solo],0),MATCH(HC[[#Headers],[C (kPa)]],C_alpha_beta[#Headers],0))</f>
        <v>400</v>
      </c>
      <c r="R216" s="4">
        <f>INDEX(C_alpha_beta[],MATCH(HC[[#This Row],[Solo]],C_alpha_beta[Solo],0),MATCH(HC[[#Headers],[α ESF]],C_alpha_beta[#Headers],0))</f>
        <v>0.5</v>
      </c>
      <c r="S216" s="4">
        <f>INDEX(C_alpha_beta[],MATCH(HC[[#This Row],[Solo]],C_alpha_beta[Solo],0),MATCH(HC[[#Headers],[β ESF]],C_alpha_beta[#Headers],0))</f>
        <v>0.5</v>
      </c>
      <c r="T216" s="4">
        <f>IF(HC[[#This Row],[Prof. (m)]]=0,0,10*(HC[[#This Row],[NSPT]]/3+1))</f>
        <v>16.666666666666664</v>
      </c>
      <c r="U216" s="4">
        <f>(HC[[#This Row],[α ESF]]*HC[[#This Row],[C (kPa)]]*HC[[#This Row],[NSPT]]*HC[[#This Row],[Ap (m²)]])/'DADOS CAP. CARGA'!$Q$2+(HC[[#This Row],[β ESF]]*SUMIFS(HC[10∙(NL/3+1)],HC[Prof. (m)],"&lt;="&amp;HC[[#This Row],[Prof. (m)]],HC[idDiâmetro],HC[[#This Row],[idDiâmetro]],HC[idPilar],HC[[#This Row],[idPilar]])*HC[[#This Row],[U (m)]])/'DADOS CAP. CARGA'!$S$2</f>
        <v>47.647488579445181</v>
      </c>
      <c r="V216" s="4">
        <f>IF(SPT!$M$5=1,MIN(HC[[#This Row],[Pe HC (kN)]],HC[[#This Row],[R_AV (kN)]]),IF(SPT!$M$5=2,MIN(HC[[#This Row],[Pe HC (kN)]],HC[[#This Row],[R_DC (kN)]]),MIN(HC[[#This Row],[Pe HC (kN)]],HC[[#This Row],[R_AV (kN)]],HC[[#This Row],[R_DC (kN)]])))</f>
        <v>47.647488579445181</v>
      </c>
      <c r="W216" s="4">
        <f>INDEX(PILARES[],HC[[#This Row],[idPilar]],MATCH("Carga (kN)",PILARES[#Headers],0))*1.4</f>
        <v>1750</v>
      </c>
      <c r="X216" s="12">
        <f>INDEX(PILARES[],HC[[#This Row],[idPilar]],MATCH(HC[[#Headers],[ap (cm)]],PILARES[#Headers],0))</f>
        <v>50</v>
      </c>
      <c r="Y216" s="12">
        <f>INDEX(PILARES[],HC[[#This Row],[idPilar]],MATCH(HC[[#Headers],[bp (cm)]],PILARES[#Headers],0))</f>
        <v>40</v>
      </c>
      <c r="Z216" s="4">
        <f>SQRT(HC[[#This Row],[ap (cm)]]*HC[[#This Row],[bp (cm)]])</f>
        <v>44.721359549995796</v>
      </c>
      <c r="AA216" s="12">
        <f>HC[[#This Row],[ap (cm)]]*HC[[#This Row],[bp (cm)]]</f>
        <v>2000</v>
      </c>
      <c r="AB216" s="12">
        <f ca="1">IF(HC[[#This Row],[Padm∙ε (kN)]]&gt;=HC[[#This Row],[Padm (kN)]],ROUNDUP(1.05*HC[[#This Row],[Nsd (kN)]]/HC[[#This Row],[Padm (kN)]],0),ROUNDUP(1.05*HC[[#This Row],[Nsd (kN)]]/HC[[#This Row],[Padm (kN)]],0)+1)</f>
        <v>39</v>
      </c>
      <c r="AC216" s="4" t="str">
        <f ca="1">IFERROR(IF(HC[[#This Row],[nE]]=1,HC[[#This Row],[Padm (kN)]],HC[[#This Row],[Padm (kN)]]*HC[[#This Row],[nE]]*INDEX(grupoEstacas[],HC[[#This Row],[nE]],MATCH("ε",grupoEstacas[#Headers],0))),"N.S.")</f>
        <v>N.S.</v>
      </c>
      <c r="AD216" s="4">
        <f ca="1">1.05*HC[[#This Row],[Nsd (kN)]]/(HC[[#This Row],[nE]]*PI()*HC[[#This Row],[Ø (cm)]]^2/4)*10</f>
        <v>0.12242687930145796</v>
      </c>
      <c r="AE216" s="4">
        <f ca="1">IF(HC[[#This Row],[σ (MPa)]]&lt;INDEX(tipoEstaca[],MATCH($D$2,tipoEstaca[TIPO DE ESTACA],0),MATCH("σmáx (MPa)",tipoEstaca[#Headers],0)),0.4%*PI()*HC[[#This Row],[Ø (cm)]]^2/4,"N.S.")</f>
        <v>15.393804002589988</v>
      </c>
      <c r="AF216" s="1">
        <f>INDEX(tipoEstaca[],MATCH($D$2,tipoEstaca[TIPO DE ESTACA],0),MATCH(HC[[#Headers],[Comprimento (m)]],tipoEstaca[#Headers],0))</f>
        <v>4</v>
      </c>
      <c r="AG216" s="5">
        <f ca="1">HC[[#This Row],[As,mín (cm²)]]/100^2*HC[[#This Row],[Comprimento (m)]]*7850</f>
        <v>48.33654456813256</v>
      </c>
      <c r="AH216" s="4">
        <f ca="1">HC[[#This Row],[nE]]*HC[[#This Row],[Prof. (m)]]*HC[[#This Row],[Ap (m²)]]</f>
        <v>15.008958902525235</v>
      </c>
      <c r="AI216" s="1">
        <f ca="1">IF(HC[[#This Row],[nE]]=1,0,MAX(3*HC[[#This Row],[Ø (cm)]],60))</f>
        <v>210</v>
      </c>
      <c r="AJ216" s="1">
        <f ca="1">IF(HC[[#This Row],[nE]]=1,HC[[#This Row],[Ø (cm)]]+2*10,MAX(1.5*HC[[#This Row],[Ø (cm)]],HC[[#This Row],[Ø (cm)]]+15))</f>
        <v>105</v>
      </c>
      <c r="AK216" s="1" t="str">
        <f ca="1">alturaUtil(HC[[#This Row],[nE]],HC[[#This Row],[Ø (cm)]],HC[[#This Row],[e (cm)]],HC[[#This Row],[ap,eq (cm)]])</f>
        <v>N.S.</v>
      </c>
      <c r="AL216" s="1" t="str">
        <f ca="1">IFERROR(HC[[#This Row],[d (cm)]]+arredondarParaCimaMultiplo5cm(MAX(5,SQRT(PI())/2*HC[[#This Row],[Ø (cm)]]/5)),"N.S.")</f>
        <v>N.S.</v>
      </c>
      <c r="AM216" s="5" t="str">
        <f ca="1">alpha(HC[[#This Row],[nE]],HC[[#This Row],[d (cm)]],HC[[#This Row],[e (cm)]],HC[[#This Row],[ap,eq (cm)]])</f>
        <v>N.S.</v>
      </c>
      <c r="AN216" s="35" t="str">
        <f ca="1">IFERROR(HC[[#This Row],[Nsd (kN)]]/(HC[[#This Row],[Ap (cm²)]]*SIN(HC[[#This Row],[α]])^2),"N.S.")</f>
        <v>N.S.</v>
      </c>
      <c r="AO216" s="35" t="str">
        <f ca="1">IFERROR(HC[[#This Row],[Nsd (kN)]]/(HC[[#This Row],[nE]]*PI()*HC[[#This Row],[Ø (cm)]]^2/4*SIN(HC[[#This Row],[α]])^2),"N.S.")</f>
        <v>N.S.</v>
      </c>
      <c r="AP216" s="4" t="str">
        <f ca="1">IFERROR(INDEX(grupoEstacas[],HC[[#This Row],[nE]],MATCH("coef. Blévot",grupoEstacas[#Headers],0)),"N.S.")</f>
        <v>N.S.</v>
      </c>
      <c r="AQ216" s="35" t="str">
        <f ca="1">IFERROR(HC[[#This Row],[coef. Blévot]]*0.9*INDEX(tipoEstaca[],MATCH($D$2,tipoEstaca[TIPO DE ESTACA],0),MATCH("fcd (kN/cm²)",tipoEstaca[#Headers],0)),"N.S.")</f>
        <v>N.S.</v>
      </c>
      <c r="AR216" s="1" t="str">
        <f ca="1">IF(AND(HC[[#This Row],[cd,b,pil (kN/cm²)]]&lt;=HC[[#This Row],[cd,b,lim (kN/cm²)]],HC[[#This Row],[cd,b,est (kN/cm²)]]&lt;=HC[[#This Row],[cd,b,lim (kN/cm²)]]),"OK","ERRO")</f>
        <v>OK</v>
      </c>
      <c r="AS216" s="4" t="str">
        <f ca="1">As_lado(HC[[#This Row],[nE]],HC[[#This Row],[Nsd (kN)]],HC[[#This Row],[d (cm)]],HC[[#This Row],[e (cm)]],HC[[#This Row],[ap,eq (cm)]])</f>
        <v>N.S.</v>
      </c>
      <c r="AT216" s="4" t="str">
        <f ca="1">IF(HC[[#This Row],[nE]]=1,HC[[#This Row],[As,lado (cm²)]],IF(HC[[#This Row],[nE]]=2,0.075*2*HC[a (cm)],"N.A."))</f>
        <v>N.A.</v>
      </c>
      <c r="AU216" s="4" t="str">
        <f ca="1">IFERROR(IF(HC[[#This Row],[nE]]=1,"N.A.",0.2*HC[[#This Row],[As,lado (cm²)]]),"N.S.")</f>
        <v>N.S.</v>
      </c>
      <c r="AV216" s="4" t="str">
        <f ca="1">As_malha(HC[[#This Row],[nE]],HC[[#This Row],[As,lado (cm²)]],HC[[#This Row],[Nsd (kN)]])</f>
        <v>N.S.</v>
      </c>
      <c r="AW216" s="4" t="str">
        <f ca="1">As_susp_tot(HC[[#This Row],[nE]],HC[[#This Row],[Nsd (kN)]])</f>
        <v>N.S.</v>
      </c>
      <c r="AX216" s="4" t="str">
        <f ca="1">Asp_face(HC[[#This Row],[nE]],HC[[#This Row],[As,lado (cm²)]])</f>
        <v>N.S.</v>
      </c>
      <c r="AY216" s="5" t="str">
        <f ca="1">acoBloco(HC[[#This Row],[nE]],HC[[#This Row],[e (cm)]],HC[[#This Row],[a (cm)]],HC[[#This Row],[h (cm)]],HC[[#This Row],[As,lado (cm²)]],HC[[#This Row],[Asp e Asw (cm²/m)]],HC[[#This Row],[As,sup (cm²)]],HC[[#This Row],[As,malha (cm²)]],HC[[#This Row],[As,susp,tot (cm²)]],HC[[#This Row],[Asp,face (cm²)]])</f>
        <v>N.S.</v>
      </c>
      <c r="AZ216" s="4" t="str">
        <f ca="1">concretoBloco(HC[[#This Row],[nE]],HC[[#This Row],[e (cm)]],HC[[#This Row],[a (cm)]],HC[[#This Row],[h (cm)]])</f>
        <v>N.S.</v>
      </c>
      <c r="BA216" s="5">
        <f ca="1">SUM(HC[[#This Row],[Aço Est (kg)]],HC[[#This Row],[Aço Bloco (kg)]])</f>
        <v>48.33654456813256</v>
      </c>
      <c r="BB216" s="4">
        <f>INDEX(composicoes[],MATCH(95580,composicoes[CÓDIGO],0),MATCH("CUSTO TOTAL",composicoes[#Headers],0))</f>
        <v>10.46</v>
      </c>
      <c r="BC216" s="4">
        <f ca="1">SUM(HC[[#This Row],[Conc Est (m³)]],HC[[#This Row],[Conc Bloco (m³)]])</f>
        <v>15.008958902525235</v>
      </c>
      <c r="BD216" s="4">
        <f>INDEX(composicoes[],MATCH(94966,composicoes[CÓDIGO],0),MATCH("CUSTO TOTAL",composicoes[#Headers],0))</f>
        <v>439.52</v>
      </c>
      <c r="BE216" s="38">
        <f ca="1">HC[[#This Row],[Aço (kg)]]*HC[[#This Row],[Aço (R$/kg)]]+HC[[#This Row],[Conc (m³)]]*HC[[#This Row],[Conc (R$/m³)]]</f>
        <v>7102.3378730205568</v>
      </c>
      <c r="BF216" s="4" t="str">
        <f ca="1">IF(COUNTIF(HC[#This Row],"N.S.")&gt;0,"lim.","OK")</f>
        <v>lim.</v>
      </c>
      <c r="BG216" s="4" t="str">
        <f>IF(HC[[#This Row],[Prof. (m)]]&lt;4,"lim.","OK")</f>
        <v>lim.</v>
      </c>
      <c r="BH216" s="4" t="str">
        <f>IF(HC[[#This Row],[Prof. (m)]]&gt;=8*HC[[#This Row],[Ø (cm)]]/100,"OK","lim.")</f>
        <v>lim.</v>
      </c>
      <c r="BI216" s="4" t="str">
        <f ca="1">IF(HC[[#This Row],[Verif. Biela]]="OK","OK","lim.")</f>
        <v>OK</v>
      </c>
      <c r="BJ216" s="4" t="str">
        <f ca="1">IF(COUNTA(HC[[#This Row],[Nº Est.]:[Biela comp.]])=COUNTIF(HC[[#This Row],[Nº Est.]:[Biela comp.]],"OK"),"OK","lim.")</f>
        <v>lim.</v>
      </c>
      <c r="BK216" s="4" t="str">
        <f ca="1">IF(HC[[#This Row],[Controle]]="OK",HC[[#This Row],[nE]]&amp;" Ø"&amp;HC[[#This Row],[Ø (cm)]]&amp;"cm Prof. "&amp;HC[[#This Row],[Prof. (m)]]&amp;" m","")</f>
        <v/>
      </c>
      <c r="BL216" s="4" t="str">
        <f ca="1">IF(HC[[#This Row],[idDimensionamento]]="","",HC[[#This Row],[idPilar]]&amp;HC[[#This Row],[idDimensionamento]])</f>
        <v/>
      </c>
    </row>
    <row r="217" spans="2:64" x14ac:dyDescent="0.25">
      <c r="B217" s="12">
        <f>ROUNDUP((ROW(HC[[#This Row],[idDiâmetro]])-ROW(HC[[#Headers],[idDiâmetro]]))/(COUNT(SPT[Prof. (m)])*COUNT(PILARES[Pilar])),0)</f>
        <v>8</v>
      </c>
      <c r="C217" s="12">
        <f>IF(HC[[#This Row],[idDiâmetro]]&lt;&gt;B216,1,IF(HC[[#This Row],[Prof. (m)]]=0,C216+1,C216))</f>
        <v>2</v>
      </c>
      <c r="D217" s="1">
        <f>IFERROR(IF(D216=MAX(SPT[Prof. (m)]),0,D216+1),0)</f>
        <v>2</v>
      </c>
      <c r="E217" s="1">
        <f>INDEX(SPT[],MATCH(HC[[#This Row],[Prof. (m)]],SPT[Prof. (m)],0),2)</f>
        <v>2</v>
      </c>
      <c r="F217" s="1" t="str">
        <f>INDEX(SPT[],MATCH(HC[[#This Row],[Prof. (m)]],SPT[Prof. (m)],0),3)</f>
        <v>Areia siltosa</v>
      </c>
      <c r="G217" s="1">
        <f>INDEX(estacas[],HC[[#This Row],[idDiâmetro]],MATCH($B$2,estacas[#Headers],0))</f>
        <v>70</v>
      </c>
      <c r="H217" s="1">
        <f>INDEX(estacas[],MATCH(HC[[#This Row],[Ø (cm)]],estacas[Ø HC (cm)],0),MATCH(HC[[#Headers],[Pe HC (kN)]],estacas[#Headers],0))</f>
        <v>2450</v>
      </c>
      <c r="I217" s="4">
        <f>INDEX(K_alpha_C[],MATCH(HC[[#This Row],[Solo]],K_alpha_C[Solo],0),2)</f>
        <v>0.8</v>
      </c>
      <c r="J217" s="5">
        <f>INDEX(K_alpha_C[],MATCH(HC[[#This Row],[Solo]],K_alpha_C[Solo],0),3)</f>
        <v>2</v>
      </c>
      <c r="K217" s="4">
        <f>INDEX(F1_F2[],MATCH($D$2,F1_F2[Tipo de estaca],0),2)</f>
        <v>2</v>
      </c>
      <c r="L217" s="4">
        <f>INDEX(F1_F2[],MATCH($D$2,F1_F2[Tipo de estaca],0),3)</f>
        <v>4</v>
      </c>
      <c r="M217" s="4">
        <f>PI()*(HC[[#This Row],[Ø (cm)]]/100)^2/4</f>
        <v>0.38484510006474959</v>
      </c>
      <c r="N217" s="4">
        <f>PI()*HC[[#This Row],[Ø (cm)]]/100</f>
        <v>2.1991148575128552</v>
      </c>
      <c r="O217" s="4">
        <f>IF(HC[[#This Row],[Prof. (m)]]=0,0,HC[[#This Row],[α (%)]]/100*HC[[#This Row],[K (MPa)]]*1000*HC[[#This Row],[NSPT]])</f>
        <v>32</v>
      </c>
      <c r="P217" s="4">
        <f>IF(HC[[#This Row],[Prof. (m)]]=0,0,(HC[[#This Row],[K (MPa)]]*1000*HC[[#This Row],[NSPT]]/HC[[#This Row],[F1]]*HC[[#This Row],[Ap (m²)]]+HC[[#This Row],[U (m)]]/HC[[#This Row],[F2]]*SUMIFS(HC[(α∙K∙NL∙ΔL)],HC[Prof. (m)],"&lt;="&amp;HC[[#This Row],[Prof. (m)]],HC[idDiâmetro],HC[[#This Row],[idDiâmetro]],HC[idPilar],HC[[#This Row],[idPilar]]))/'DADOS CAP. CARGA'!$D$2)</f>
        <v>171.53095888600268</v>
      </c>
      <c r="Q217" s="12">
        <f>INDEX(C_alpha_beta[],MATCH(HC[[#This Row],[Solo]],C_alpha_beta[Solo],0),MATCH(HC[[#Headers],[C (kPa)]],C_alpha_beta[#Headers],0))</f>
        <v>400</v>
      </c>
      <c r="R217" s="4">
        <f>INDEX(C_alpha_beta[],MATCH(HC[[#This Row],[Solo]],C_alpha_beta[Solo],0),MATCH(HC[[#Headers],[α ESF]],C_alpha_beta[#Headers],0))</f>
        <v>0.5</v>
      </c>
      <c r="S217" s="4">
        <f>INDEX(C_alpha_beta[],MATCH(HC[[#This Row],[Solo]],C_alpha_beta[Solo],0),MATCH(HC[[#Headers],[β ESF]],C_alpha_beta[#Headers],0))</f>
        <v>0.5</v>
      </c>
      <c r="T217" s="4">
        <f>IF(HC[[#This Row],[Prof. (m)]]=0,0,10*(HC[[#This Row],[NSPT]]/3+1))</f>
        <v>16.666666666666664</v>
      </c>
      <c r="U217" s="4">
        <f>(HC[[#This Row],[α ESF]]*HC[[#This Row],[C (kPa)]]*HC[[#This Row],[NSPT]]*HC[[#This Row],[Ap (m²)]])/'DADOS CAP. CARGA'!$Q$2+(HC[[#This Row],[β ESF]]*SUMIFS(HC[10∙(NL/3+1)],HC[Prof. (m)],"&lt;="&amp;HC[[#This Row],[Prof. (m)]],HC[idDiâmetro],HC[[#This Row],[idDiâmetro]],HC[idPilar],HC[[#This Row],[idPilar]])*HC[[#This Row],[U (m)]])/'DADOS CAP. CARGA'!$S$2</f>
        <v>56.810467152415413</v>
      </c>
      <c r="V217" s="4">
        <f>IF(SPT!$M$5=1,MIN(HC[[#This Row],[Pe HC (kN)]],HC[[#This Row],[R_AV (kN)]]),IF(SPT!$M$5=2,MIN(HC[[#This Row],[Pe HC (kN)]],HC[[#This Row],[R_DC (kN)]]),MIN(HC[[#This Row],[Pe HC (kN)]],HC[[#This Row],[R_AV (kN)]],HC[[#This Row],[R_DC (kN)]])))</f>
        <v>56.810467152415413</v>
      </c>
      <c r="W217" s="4">
        <f>INDEX(PILARES[],HC[[#This Row],[idPilar]],MATCH("Carga (kN)",PILARES[#Headers],0))*1.4</f>
        <v>1750</v>
      </c>
      <c r="X217" s="12">
        <f>INDEX(PILARES[],HC[[#This Row],[idPilar]],MATCH(HC[[#Headers],[ap (cm)]],PILARES[#Headers],0))</f>
        <v>50</v>
      </c>
      <c r="Y217" s="12">
        <f>INDEX(PILARES[],HC[[#This Row],[idPilar]],MATCH(HC[[#Headers],[bp (cm)]],PILARES[#Headers],0))</f>
        <v>40</v>
      </c>
      <c r="Z217" s="4">
        <f>SQRT(HC[[#This Row],[ap (cm)]]*HC[[#This Row],[bp (cm)]])</f>
        <v>44.721359549995796</v>
      </c>
      <c r="AA217" s="12">
        <f>HC[[#This Row],[ap (cm)]]*HC[[#This Row],[bp (cm)]]</f>
        <v>2000</v>
      </c>
      <c r="AB217" s="12">
        <f ca="1">IF(HC[[#This Row],[Padm∙ε (kN)]]&gt;=HC[[#This Row],[Padm (kN)]],ROUNDUP(1.05*HC[[#This Row],[Nsd (kN)]]/HC[[#This Row],[Padm (kN)]],0),ROUNDUP(1.05*HC[[#This Row],[Nsd (kN)]]/HC[[#This Row],[Padm (kN)]],0)+1)</f>
        <v>33</v>
      </c>
      <c r="AC217" s="4" t="str">
        <f ca="1">IFERROR(IF(HC[[#This Row],[nE]]=1,HC[[#This Row],[Padm (kN)]],HC[[#This Row],[Padm (kN)]]*HC[[#This Row],[nE]]*INDEX(grupoEstacas[],HC[[#This Row],[nE]],MATCH("ε",grupoEstacas[#Headers],0))),"N.S.")</f>
        <v>N.S.</v>
      </c>
      <c r="AD217" s="4">
        <f ca="1">1.05*HC[[#This Row],[Nsd (kN)]]/(HC[[#This Row],[nE]]*PI()*HC[[#This Row],[Ø (cm)]]^2/4)*10</f>
        <v>0.14468631190172301</v>
      </c>
      <c r="AE217" s="4">
        <f ca="1">IF(HC[[#This Row],[σ (MPa)]]&lt;INDEX(tipoEstaca[],MATCH($D$2,tipoEstaca[TIPO DE ESTACA],0),MATCH("σmáx (MPa)",tipoEstaca[#Headers],0)),0.4%*PI()*HC[[#This Row],[Ø (cm)]]^2/4,"N.S.")</f>
        <v>15.393804002589988</v>
      </c>
      <c r="AF217" s="1">
        <f>INDEX(tipoEstaca[],MATCH($D$2,tipoEstaca[TIPO DE ESTACA],0),MATCH(HC[[#Headers],[Comprimento (m)]],tipoEstaca[#Headers],0))</f>
        <v>4</v>
      </c>
      <c r="AG217" s="5">
        <f ca="1">HC[[#This Row],[As,mín (cm²)]]/100^2*HC[[#This Row],[Comprimento (m)]]*7850</f>
        <v>48.33654456813256</v>
      </c>
      <c r="AH217" s="4">
        <f ca="1">HC[[#This Row],[nE]]*HC[[#This Row],[Prof. (m)]]*HC[[#This Row],[Ap (m²)]]</f>
        <v>25.399776604273473</v>
      </c>
      <c r="AI217" s="1">
        <f ca="1">IF(HC[[#This Row],[nE]]=1,0,MAX(3*HC[[#This Row],[Ø (cm)]],60))</f>
        <v>210</v>
      </c>
      <c r="AJ217" s="1">
        <f ca="1">IF(HC[[#This Row],[nE]]=1,HC[[#This Row],[Ø (cm)]]+2*10,MAX(1.5*HC[[#This Row],[Ø (cm)]],HC[[#This Row],[Ø (cm)]]+15))</f>
        <v>105</v>
      </c>
      <c r="AK217" s="1" t="str">
        <f ca="1">alturaUtil(HC[[#This Row],[nE]],HC[[#This Row],[Ø (cm)]],HC[[#This Row],[e (cm)]],HC[[#This Row],[ap,eq (cm)]])</f>
        <v>N.S.</v>
      </c>
      <c r="AL217" s="1" t="str">
        <f ca="1">IFERROR(HC[[#This Row],[d (cm)]]+arredondarParaCimaMultiplo5cm(MAX(5,SQRT(PI())/2*HC[[#This Row],[Ø (cm)]]/5)),"N.S.")</f>
        <v>N.S.</v>
      </c>
      <c r="AM217" s="5" t="str">
        <f ca="1">alpha(HC[[#This Row],[nE]],HC[[#This Row],[d (cm)]],HC[[#This Row],[e (cm)]],HC[[#This Row],[ap,eq (cm)]])</f>
        <v>N.S.</v>
      </c>
      <c r="AN217" s="35" t="str">
        <f ca="1">IFERROR(HC[[#This Row],[Nsd (kN)]]/(HC[[#This Row],[Ap (cm²)]]*SIN(HC[[#This Row],[α]])^2),"N.S.")</f>
        <v>N.S.</v>
      </c>
      <c r="AO217" s="35" t="str">
        <f ca="1">IFERROR(HC[[#This Row],[Nsd (kN)]]/(HC[[#This Row],[nE]]*PI()*HC[[#This Row],[Ø (cm)]]^2/4*SIN(HC[[#This Row],[α]])^2),"N.S.")</f>
        <v>N.S.</v>
      </c>
      <c r="AP217" s="4" t="str">
        <f ca="1">IFERROR(INDEX(grupoEstacas[],HC[[#This Row],[nE]],MATCH("coef. Blévot",grupoEstacas[#Headers],0)),"N.S.")</f>
        <v>N.S.</v>
      </c>
      <c r="AQ217" s="35" t="str">
        <f ca="1">IFERROR(HC[[#This Row],[coef. Blévot]]*0.9*INDEX(tipoEstaca[],MATCH($D$2,tipoEstaca[TIPO DE ESTACA],0),MATCH("fcd (kN/cm²)",tipoEstaca[#Headers],0)),"N.S.")</f>
        <v>N.S.</v>
      </c>
      <c r="AR217" s="1" t="str">
        <f ca="1">IF(AND(HC[[#This Row],[cd,b,pil (kN/cm²)]]&lt;=HC[[#This Row],[cd,b,lim (kN/cm²)]],HC[[#This Row],[cd,b,est (kN/cm²)]]&lt;=HC[[#This Row],[cd,b,lim (kN/cm²)]]),"OK","ERRO")</f>
        <v>OK</v>
      </c>
      <c r="AS217" s="4" t="str">
        <f ca="1">As_lado(HC[[#This Row],[nE]],HC[[#This Row],[Nsd (kN)]],HC[[#This Row],[d (cm)]],HC[[#This Row],[e (cm)]],HC[[#This Row],[ap,eq (cm)]])</f>
        <v>N.S.</v>
      </c>
      <c r="AT217" s="4" t="str">
        <f ca="1">IF(HC[[#This Row],[nE]]=1,HC[[#This Row],[As,lado (cm²)]],IF(HC[[#This Row],[nE]]=2,0.075*2*HC[a (cm)],"N.A."))</f>
        <v>N.A.</v>
      </c>
      <c r="AU217" s="4" t="str">
        <f ca="1">IFERROR(IF(HC[[#This Row],[nE]]=1,"N.A.",0.2*HC[[#This Row],[As,lado (cm²)]]),"N.S.")</f>
        <v>N.S.</v>
      </c>
      <c r="AV217" s="4" t="str">
        <f ca="1">As_malha(HC[[#This Row],[nE]],HC[[#This Row],[As,lado (cm²)]],HC[[#This Row],[Nsd (kN)]])</f>
        <v>N.S.</v>
      </c>
      <c r="AW217" s="4" t="str">
        <f ca="1">As_susp_tot(HC[[#This Row],[nE]],HC[[#This Row],[Nsd (kN)]])</f>
        <v>N.S.</v>
      </c>
      <c r="AX217" s="4" t="str">
        <f ca="1">Asp_face(HC[[#This Row],[nE]],HC[[#This Row],[As,lado (cm²)]])</f>
        <v>N.S.</v>
      </c>
      <c r="AY217" s="5" t="str">
        <f ca="1">acoBloco(HC[[#This Row],[nE]],HC[[#This Row],[e (cm)]],HC[[#This Row],[a (cm)]],HC[[#This Row],[h (cm)]],HC[[#This Row],[As,lado (cm²)]],HC[[#This Row],[Asp e Asw (cm²/m)]],HC[[#This Row],[As,sup (cm²)]],HC[[#This Row],[As,malha (cm²)]],HC[[#This Row],[As,susp,tot (cm²)]],HC[[#This Row],[Asp,face (cm²)]])</f>
        <v>N.S.</v>
      </c>
      <c r="AZ217" s="4" t="str">
        <f ca="1">concretoBloco(HC[[#This Row],[nE]],HC[[#This Row],[e (cm)]],HC[[#This Row],[a (cm)]],HC[[#This Row],[h (cm)]])</f>
        <v>N.S.</v>
      </c>
      <c r="BA217" s="5">
        <f ca="1">SUM(HC[[#This Row],[Aço Est (kg)]],HC[[#This Row],[Aço Bloco (kg)]])</f>
        <v>48.33654456813256</v>
      </c>
      <c r="BB217" s="4">
        <f>INDEX(composicoes[],MATCH(95580,composicoes[CÓDIGO],0),MATCH("CUSTO TOTAL",composicoes[#Headers],0))</f>
        <v>10.46</v>
      </c>
      <c r="BC217" s="4">
        <f ca="1">SUM(HC[[#This Row],[Conc Est (m³)]],HC[[#This Row],[Conc Bloco (m³)]])</f>
        <v>25.399776604273473</v>
      </c>
      <c r="BD217" s="4">
        <f>INDEX(composicoes[],MATCH(94966,composicoes[CÓDIGO],0),MATCH("CUSTO TOTAL",composicoes[#Headers],0))</f>
        <v>439.52</v>
      </c>
      <c r="BE217" s="38">
        <f ca="1">HC[[#This Row],[Aço (kg)]]*HC[[#This Row],[Aço (R$/kg)]]+HC[[#This Row],[Conc (m³)]]*HC[[#This Row],[Conc (R$/m³)]]</f>
        <v>11669.310069292942</v>
      </c>
      <c r="BF217" s="4" t="str">
        <f ca="1">IF(COUNTIF(HC[#This Row],"N.S.")&gt;0,"lim.","OK")</f>
        <v>lim.</v>
      </c>
      <c r="BG217" s="4" t="str">
        <f>IF(HC[[#This Row],[Prof. (m)]]&lt;4,"lim.","OK")</f>
        <v>lim.</v>
      </c>
      <c r="BH217" s="4" t="str">
        <f>IF(HC[[#This Row],[Prof. (m)]]&gt;=8*HC[[#This Row],[Ø (cm)]]/100,"OK","lim.")</f>
        <v>lim.</v>
      </c>
      <c r="BI217" s="4" t="str">
        <f ca="1">IF(HC[[#This Row],[Verif. Biela]]="OK","OK","lim.")</f>
        <v>OK</v>
      </c>
      <c r="BJ217" s="4" t="str">
        <f ca="1">IF(COUNTA(HC[[#This Row],[Nº Est.]:[Biela comp.]])=COUNTIF(HC[[#This Row],[Nº Est.]:[Biela comp.]],"OK"),"OK","lim.")</f>
        <v>lim.</v>
      </c>
      <c r="BK217" s="4" t="str">
        <f ca="1">IF(HC[[#This Row],[Controle]]="OK",HC[[#This Row],[nE]]&amp;" Ø"&amp;HC[[#This Row],[Ø (cm)]]&amp;"cm Prof. "&amp;HC[[#This Row],[Prof. (m)]]&amp;" m","")</f>
        <v/>
      </c>
      <c r="BL217" s="4" t="str">
        <f ca="1">IF(HC[[#This Row],[idDimensionamento]]="","",HC[[#This Row],[idPilar]]&amp;HC[[#This Row],[idDimensionamento]])</f>
        <v/>
      </c>
    </row>
    <row r="218" spans="2:64" x14ac:dyDescent="0.25">
      <c r="B218" s="12">
        <f>ROUNDUP((ROW(HC[[#This Row],[idDiâmetro]])-ROW(HC[[#Headers],[idDiâmetro]]))/(COUNT(SPT[Prof. (m)])*COUNT(PILARES[Pilar])),0)</f>
        <v>8</v>
      </c>
      <c r="C218" s="12">
        <f>IF(HC[[#This Row],[idDiâmetro]]&lt;&gt;B217,1,IF(HC[[#This Row],[Prof. (m)]]=0,C217+1,C217))</f>
        <v>2</v>
      </c>
      <c r="D218" s="1">
        <f>IFERROR(IF(D217=MAX(SPT[Prof. (m)]),0,D217+1),0)</f>
        <v>3</v>
      </c>
      <c r="E218" s="1">
        <f>INDEX(SPT[],MATCH(HC[[#This Row],[Prof. (m)]],SPT[Prof. (m)],0),2)</f>
        <v>4</v>
      </c>
      <c r="F218" s="1" t="str">
        <f>INDEX(SPT[],MATCH(HC[[#This Row],[Prof. (m)]],SPT[Prof. (m)],0),3)</f>
        <v>Areia siltosa</v>
      </c>
      <c r="G218" s="1">
        <f>INDEX(estacas[],HC[[#This Row],[idDiâmetro]],MATCH($B$2,estacas[#Headers],0))</f>
        <v>70</v>
      </c>
      <c r="H218" s="1">
        <f>INDEX(estacas[],MATCH(HC[[#This Row],[Ø (cm)]],estacas[Ø HC (cm)],0),MATCH(HC[[#Headers],[Pe HC (kN)]],estacas[#Headers],0))</f>
        <v>2450</v>
      </c>
      <c r="I218" s="4">
        <f>INDEX(K_alpha_C[],MATCH(HC[[#This Row],[Solo]],K_alpha_C[Solo],0),2)</f>
        <v>0.8</v>
      </c>
      <c r="J218" s="5">
        <f>INDEX(K_alpha_C[],MATCH(HC[[#This Row],[Solo]],K_alpha_C[Solo],0),3)</f>
        <v>2</v>
      </c>
      <c r="K218" s="4">
        <f>INDEX(F1_F2[],MATCH($D$2,F1_F2[Tipo de estaca],0),2)</f>
        <v>2</v>
      </c>
      <c r="L218" s="4">
        <f>INDEX(F1_F2[],MATCH($D$2,F1_F2[Tipo de estaca],0),3)</f>
        <v>4</v>
      </c>
      <c r="M218" s="4">
        <f>PI()*(HC[[#This Row],[Ø (cm)]]/100)^2/4</f>
        <v>0.38484510006474959</v>
      </c>
      <c r="N218" s="4">
        <f>PI()*HC[[#This Row],[Ø (cm)]]/100</f>
        <v>2.1991148575128552</v>
      </c>
      <c r="O218" s="4">
        <f>IF(HC[[#This Row],[Prof. (m)]]=0,0,HC[[#This Row],[α (%)]]/100*HC[[#This Row],[K (MPa)]]*1000*HC[[#This Row],[NSPT]])</f>
        <v>64</v>
      </c>
      <c r="P218" s="4">
        <f>IF(HC[[#This Row],[Prof. (m)]]=0,0,(HC[[#This Row],[K (MPa)]]*1000*HC[[#This Row],[NSPT]]/HC[[#This Row],[F1]]*HC[[#This Row],[Ap (m²)]]+HC[[#This Row],[U (m)]]/HC[[#This Row],[F2]]*SUMIFS(HC[(α∙K∙NL∙ΔL)],HC[Prof. (m)],"&lt;="&amp;HC[[#This Row],[Prof. (m)]],HC[idDiâmetro],HC[[#This Row],[idDiâmetro]],HC[idPilar],HC[[#This Row],[idPilar]]))/'DADOS CAP. CARGA'!$D$2)</f>
        <v>343.06191777200536</v>
      </c>
      <c r="Q218" s="12">
        <f>INDEX(C_alpha_beta[],MATCH(HC[[#This Row],[Solo]],C_alpha_beta[Solo],0),MATCH(HC[[#Headers],[C (kPa)]],C_alpha_beta[#Headers],0))</f>
        <v>400</v>
      </c>
      <c r="R218" s="4">
        <f>INDEX(C_alpha_beta[],MATCH(HC[[#This Row],[Solo]],C_alpha_beta[Solo],0),MATCH(HC[[#Headers],[α ESF]],C_alpha_beta[#Headers],0))</f>
        <v>0.5</v>
      </c>
      <c r="S218" s="4">
        <f>INDEX(C_alpha_beta[],MATCH(HC[[#This Row],[Solo]],C_alpha_beta[Solo],0),MATCH(HC[[#Headers],[β ESF]],C_alpha_beta[#Headers],0))</f>
        <v>0.5</v>
      </c>
      <c r="T218" s="4">
        <f>IF(HC[[#This Row],[Prof. (m)]]=0,0,10*(HC[[#This Row],[NSPT]]/3+1))</f>
        <v>23.333333333333329</v>
      </c>
      <c r="U218" s="4">
        <f>(HC[[#This Row],[α ESF]]*HC[[#This Row],[C (kPa)]]*HC[[#This Row],[NSPT]]*HC[[#This Row],[Ap (m²)]])/'DADOS CAP. CARGA'!$Q$2+(HC[[#This Row],[β ESF]]*SUMIFS(HC[10∙(NL/3+1)],HC[Prof. (m)],"&lt;="&amp;HC[[#This Row],[Prof. (m)]],HC[idDiâmetro],HC[[#This Row],[idDiâmetro]],HC[idPilar],HC[[#This Row],[idPilar]])*HC[[#This Row],[U (m)]])/'DADOS CAP. CARGA'!$S$2</f>
        <v>108.12314716104869</v>
      </c>
      <c r="V218" s="4">
        <f>IF(SPT!$M$5=1,MIN(HC[[#This Row],[Pe HC (kN)]],HC[[#This Row],[R_AV (kN)]]),IF(SPT!$M$5=2,MIN(HC[[#This Row],[Pe HC (kN)]],HC[[#This Row],[R_DC (kN)]]),MIN(HC[[#This Row],[Pe HC (kN)]],HC[[#This Row],[R_AV (kN)]],HC[[#This Row],[R_DC (kN)]])))</f>
        <v>108.12314716104869</v>
      </c>
      <c r="W218" s="4">
        <f>INDEX(PILARES[],HC[[#This Row],[idPilar]],MATCH("Carga (kN)",PILARES[#Headers],0))*1.4</f>
        <v>1750</v>
      </c>
      <c r="X218" s="12">
        <f>INDEX(PILARES[],HC[[#This Row],[idPilar]],MATCH(HC[[#Headers],[ap (cm)]],PILARES[#Headers],0))</f>
        <v>50</v>
      </c>
      <c r="Y218" s="12">
        <f>INDEX(PILARES[],HC[[#This Row],[idPilar]],MATCH(HC[[#Headers],[bp (cm)]],PILARES[#Headers],0))</f>
        <v>40</v>
      </c>
      <c r="Z218" s="4">
        <f>SQRT(HC[[#This Row],[ap (cm)]]*HC[[#This Row],[bp (cm)]])</f>
        <v>44.721359549995796</v>
      </c>
      <c r="AA218" s="12">
        <f>HC[[#This Row],[ap (cm)]]*HC[[#This Row],[bp (cm)]]</f>
        <v>2000</v>
      </c>
      <c r="AB218" s="12">
        <f ca="1">IF(HC[[#This Row],[Padm∙ε (kN)]]&gt;=HC[[#This Row],[Padm (kN)]],ROUNDUP(1.05*HC[[#This Row],[Nsd (kN)]]/HC[[#This Row],[Padm (kN)]],0),ROUNDUP(1.05*HC[[#This Row],[Nsd (kN)]]/HC[[#This Row],[Padm (kN)]],0)+1)</f>
        <v>17</v>
      </c>
      <c r="AC218" s="4" t="str">
        <f ca="1">IFERROR(IF(HC[[#This Row],[nE]]=1,HC[[#This Row],[Padm (kN)]],HC[[#This Row],[Padm (kN)]]*HC[[#This Row],[nE]]*INDEX(grupoEstacas[],HC[[#This Row],[nE]],MATCH("ε",grupoEstacas[#Headers],0))),"N.S.")</f>
        <v>N.S.</v>
      </c>
      <c r="AD218" s="4">
        <f ca="1">1.05*HC[[#This Row],[Nsd (kN)]]/(HC[[#This Row],[nE]]*PI()*HC[[#This Row],[Ø (cm)]]^2/4)*10</f>
        <v>0.28086166427981529</v>
      </c>
      <c r="AE218" s="4">
        <f ca="1">IF(HC[[#This Row],[σ (MPa)]]&lt;INDEX(tipoEstaca[],MATCH($D$2,tipoEstaca[TIPO DE ESTACA],0),MATCH("σmáx (MPa)",tipoEstaca[#Headers],0)),0.4%*PI()*HC[[#This Row],[Ø (cm)]]^2/4,"N.S.")</f>
        <v>15.393804002589988</v>
      </c>
      <c r="AF218" s="1">
        <f>INDEX(tipoEstaca[],MATCH($D$2,tipoEstaca[TIPO DE ESTACA],0),MATCH(HC[[#Headers],[Comprimento (m)]],tipoEstaca[#Headers],0))</f>
        <v>4</v>
      </c>
      <c r="AG218" s="5">
        <f ca="1">HC[[#This Row],[As,mín (cm²)]]/100^2*HC[[#This Row],[Comprimento (m)]]*7850</f>
        <v>48.33654456813256</v>
      </c>
      <c r="AH218" s="4">
        <f ca="1">HC[[#This Row],[nE]]*HC[[#This Row],[Prof. (m)]]*HC[[#This Row],[Ap (m²)]]</f>
        <v>19.627100103302229</v>
      </c>
      <c r="AI218" s="1">
        <f ca="1">IF(HC[[#This Row],[nE]]=1,0,MAX(3*HC[[#This Row],[Ø (cm)]],60))</f>
        <v>210</v>
      </c>
      <c r="AJ218" s="1">
        <f ca="1">IF(HC[[#This Row],[nE]]=1,HC[[#This Row],[Ø (cm)]]+2*10,MAX(1.5*HC[[#This Row],[Ø (cm)]],HC[[#This Row],[Ø (cm)]]+15))</f>
        <v>105</v>
      </c>
      <c r="AK218" s="1" t="str">
        <f ca="1">alturaUtil(HC[[#This Row],[nE]],HC[[#This Row],[Ø (cm)]],HC[[#This Row],[e (cm)]],HC[[#This Row],[ap,eq (cm)]])</f>
        <v>N.S.</v>
      </c>
      <c r="AL218" s="1" t="str">
        <f ca="1">IFERROR(HC[[#This Row],[d (cm)]]+arredondarParaCimaMultiplo5cm(MAX(5,SQRT(PI())/2*HC[[#This Row],[Ø (cm)]]/5)),"N.S.")</f>
        <v>N.S.</v>
      </c>
      <c r="AM218" s="5" t="str">
        <f ca="1">alpha(HC[[#This Row],[nE]],HC[[#This Row],[d (cm)]],HC[[#This Row],[e (cm)]],HC[[#This Row],[ap,eq (cm)]])</f>
        <v>N.S.</v>
      </c>
      <c r="AN218" s="35" t="str">
        <f ca="1">IFERROR(HC[[#This Row],[Nsd (kN)]]/(HC[[#This Row],[Ap (cm²)]]*SIN(HC[[#This Row],[α]])^2),"N.S.")</f>
        <v>N.S.</v>
      </c>
      <c r="AO218" s="35" t="str">
        <f ca="1">IFERROR(HC[[#This Row],[Nsd (kN)]]/(HC[[#This Row],[nE]]*PI()*HC[[#This Row],[Ø (cm)]]^2/4*SIN(HC[[#This Row],[α]])^2),"N.S.")</f>
        <v>N.S.</v>
      </c>
      <c r="AP218" s="4" t="str">
        <f ca="1">IFERROR(INDEX(grupoEstacas[],HC[[#This Row],[nE]],MATCH("coef. Blévot",grupoEstacas[#Headers],0)),"N.S.")</f>
        <v>N.S.</v>
      </c>
      <c r="AQ218" s="35" t="str">
        <f ca="1">IFERROR(HC[[#This Row],[coef. Blévot]]*0.9*INDEX(tipoEstaca[],MATCH($D$2,tipoEstaca[TIPO DE ESTACA],0),MATCH("fcd (kN/cm²)",tipoEstaca[#Headers],0)),"N.S.")</f>
        <v>N.S.</v>
      </c>
      <c r="AR218" s="1" t="str">
        <f ca="1">IF(AND(HC[[#This Row],[cd,b,pil (kN/cm²)]]&lt;=HC[[#This Row],[cd,b,lim (kN/cm²)]],HC[[#This Row],[cd,b,est (kN/cm²)]]&lt;=HC[[#This Row],[cd,b,lim (kN/cm²)]]),"OK","ERRO")</f>
        <v>OK</v>
      </c>
      <c r="AS218" s="4" t="str">
        <f ca="1">As_lado(HC[[#This Row],[nE]],HC[[#This Row],[Nsd (kN)]],HC[[#This Row],[d (cm)]],HC[[#This Row],[e (cm)]],HC[[#This Row],[ap,eq (cm)]])</f>
        <v>N.S.</v>
      </c>
      <c r="AT218" s="4" t="str">
        <f ca="1">IF(HC[[#This Row],[nE]]=1,HC[[#This Row],[As,lado (cm²)]],IF(HC[[#This Row],[nE]]=2,0.075*2*HC[a (cm)],"N.A."))</f>
        <v>N.A.</v>
      </c>
      <c r="AU218" s="4" t="str">
        <f ca="1">IFERROR(IF(HC[[#This Row],[nE]]=1,"N.A.",0.2*HC[[#This Row],[As,lado (cm²)]]),"N.S.")</f>
        <v>N.S.</v>
      </c>
      <c r="AV218" s="4" t="str">
        <f ca="1">As_malha(HC[[#This Row],[nE]],HC[[#This Row],[As,lado (cm²)]],HC[[#This Row],[Nsd (kN)]])</f>
        <v>N.S.</v>
      </c>
      <c r="AW218" s="4" t="str">
        <f ca="1">As_susp_tot(HC[[#This Row],[nE]],HC[[#This Row],[Nsd (kN)]])</f>
        <v>N.S.</v>
      </c>
      <c r="AX218" s="4" t="str">
        <f ca="1">Asp_face(HC[[#This Row],[nE]],HC[[#This Row],[As,lado (cm²)]])</f>
        <v>N.S.</v>
      </c>
      <c r="AY218" s="5" t="str">
        <f ca="1">acoBloco(HC[[#This Row],[nE]],HC[[#This Row],[e (cm)]],HC[[#This Row],[a (cm)]],HC[[#This Row],[h (cm)]],HC[[#This Row],[As,lado (cm²)]],HC[[#This Row],[Asp e Asw (cm²/m)]],HC[[#This Row],[As,sup (cm²)]],HC[[#This Row],[As,malha (cm²)]],HC[[#This Row],[As,susp,tot (cm²)]],HC[[#This Row],[Asp,face (cm²)]])</f>
        <v>N.S.</v>
      </c>
      <c r="AZ218" s="4" t="str">
        <f ca="1">concretoBloco(HC[[#This Row],[nE]],HC[[#This Row],[e (cm)]],HC[[#This Row],[a (cm)]],HC[[#This Row],[h (cm)]])</f>
        <v>N.S.</v>
      </c>
      <c r="BA218" s="5">
        <f ca="1">SUM(HC[[#This Row],[Aço Est (kg)]],HC[[#This Row],[Aço Bloco (kg)]])</f>
        <v>48.33654456813256</v>
      </c>
      <c r="BB218" s="4">
        <f>INDEX(composicoes[],MATCH(95580,composicoes[CÓDIGO],0),MATCH("CUSTO TOTAL",composicoes[#Headers],0))</f>
        <v>10.46</v>
      </c>
      <c r="BC218" s="4">
        <f ca="1">SUM(HC[[#This Row],[Conc Est (m³)]],HC[[#This Row],[Conc Bloco (m³)]])</f>
        <v>19.627100103302229</v>
      </c>
      <c r="BD218" s="4">
        <f>INDEX(composicoes[],MATCH(94966,composicoes[CÓDIGO],0),MATCH("CUSTO TOTAL",composicoes[#Headers],0))</f>
        <v>439.52</v>
      </c>
      <c r="BE218" s="38">
        <f ca="1">HC[[#This Row],[Aço (kg)]]*HC[[#This Row],[Aço (R$/kg)]]+HC[[#This Row],[Conc (m³)]]*HC[[#This Row],[Conc (R$/m³)]]</f>
        <v>9132.1032935860621</v>
      </c>
      <c r="BF218" s="4" t="str">
        <f ca="1">IF(COUNTIF(HC[#This Row],"N.S.")&gt;0,"lim.","OK")</f>
        <v>lim.</v>
      </c>
      <c r="BG218" s="4" t="str">
        <f>IF(HC[[#This Row],[Prof. (m)]]&lt;4,"lim.","OK")</f>
        <v>lim.</v>
      </c>
      <c r="BH218" s="4" t="str">
        <f>IF(HC[[#This Row],[Prof. (m)]]&gt;=8*HC[[#This Row],[Ø (cm)]]/100,"OK","lim.")</f>
        <v>lim.</v>
      </c>
      <c r="BI218" s="4" t="str">
        <f ca="1">IF(HC[[#This Row],[Verif. Biela]]="OK","OK","lim.")</f>
        <v>OK</v>
      </c>
      <c r="BJ218" s="4" t="str">
        <f ca="1">IF(COUNTA(HC[[#This Row],[Nº Est.]:[Biela comp.]])=COUNTIF(HC[[#This Row],[Nº Est.]:[Biela comp.]],"OK"),"OK","lim.")</f>
        <v>lim.</v>
      </c>
      <c r="BK218" s="4" t="str">
        <f ca="1">IF(HC[[#This Row],[Controle]]="OK",HC[[#This Row],[nE]]&amp;" Ø"&amp;HC[[#This Row],[Ø (cm)]]&amp;"cm Prof. "&amp;HC[[#This Row],[Prof. (m)]]&amp;" m","")</f>
        <v/>
      </c>
      <c r="BL218" s="4" t="str">
        <f ca="1">IF(HC[[#This Row],[idDimensionamento]]="","",HC[[#This Row],[idPilar]]&amp;HC[[#This Row],[idDimensionamento]])</f>
        <v/>
      </c>
    </row>
    <row r="219" spans="2:64" x14ac:dyDescent="0.25">
      <c r="B219" s="12">
        <f>ROUNDUP((ROW(HC[[#This Row],[idDiâmetro]])-ROW(HC[[#Headers],[idDiâmetro]]))/(COUNT(SPT[Prof. (m)])*COUNT(PILARES[Pilar])),0)</f>
        <v>8</v>
      </c>
      <c r="C219" s="12">
        <f>IF(HC[[#This Row],[idDiâmetro]]&lt;&gt;B218,1,IF(HC[[#This Row],[Prof. (m)]]=0,C218+1,C218))</f>
        <v>2</v>
      </c>
      <c r="D219" s="1">
        <f>IFERROR(IF(D218=MAX(SPT[Prof. (m)]),0,D218+1),0)</f>
        <v>4</v>
      </c>
      <c r="E219" s="1">
        <f>INDEX(SPT[],MATCH(HC[[#This Row],[Prof. (m)]],SPT[Prof. (m)],0),2)</f>
        <v>8</v>
      </c>
      <c r="F219" s="1" t="str">
        <f>INDEX(SPT[],MATCH(HC[[#This Row],[Prof. (m)]],SPT[Prof. (m)],0),3)</f>
        <v>Areia siltosa</v>
      </c>
      <c r="G219" s="1">
        <f>INDEX(estacas[],HC[[#This Row],[idDiâmetro]],MATCH($B$2,estacas[#Headers],0))</f>
        <v>70</v>
      </c>
      <c r="H219" s="1">
        <f>INDEX(estacas[],MATCH(HC[[#This Row],[Ø (cm)]],estacas[Ø HC (cm)],0),MATCH(HC[[#Headers],[Pe HC (kN)]],estacas[#Headers],0))</f>
        <v>2450</v>
      </c>
      <c r="I219" s="4">
        <f>INDEX(K_alpha_C[],MATCH(HC[[#This Row],[Solo]],K_alpha_C[Solo],0),2)</f>
        <v>0.8</v>
      </c>
      <c r="J219" s="5">
        <f>INDEX(K_alpha_C[],MATCH(HC[[#This Row],[Solo]],K_alpha_C[Solo],0),3)</f>
        <v>2</v>
      </c>
      <c r="K219" s="4">
        <f>INDEX(F1_F2[],MATCH($D$2,F1_F2[Tipo de estaca],0),2)</f>
        <v>2</v>
      </c>
      <c r="L219" s="4">
        <f>INDEX(F1_F2[],MATCH($D$2,F1_F2[Tipo de estaca],0),3)</f>
        <v>4</v>
      </c>
      <c r="M219" s="4">
        <f>PI()*(HC[[#This Row],[Ø (cm)]]/100)^2/4</f>
        <v>0.38484510006474959</v>
      </c>
      <c r="N219" s="4">
        <f>PI()*HC[[#This Row],[Ø (cm)]]/100</f>
        <v>2.1991148575128552</v>
      </c>
      <c r="O219" s="4">
        <f>IF(HC[[#This Row],[Prof. (m)]]=0,0,HC[[#This Row],[α (%)]]/100*HC[[#This Row],[K (MPa)]]*1000*HC[[#This Row],[NSPT]])</f>
        <v>128</v>
      </c>
      <c r="P219" s="4">
        <f>IF(HC[[#This Row],[Prof. (m)]]=0,0,(HC[[#This Row],[K (MPa)]]*1000*HC[[#This Row],[NSPT]]/HC[[#This Row],[F1]]*HC[[#This Row],[Ap (m²)]]+HC[[#This Row],[U (m)]]/HC[[#This Row],[F2]]*SUMIFS(HC[(α∙K∙NL∙ΔL)],HC[Prof. (m)],"&lt;="&amp;HC[[#This Row],[Prof. (m)]],HC[idDiâmetro],HC[[#This Row],[idDiâmetro]],HC[idPilar],HC[[#This Row],[idPilar]]))/'DADOS CAP. CARGA'!$D$2)</f>
        <v>686.12383554401072</v>
      </c>
      <c r="Q219" s="12">
        <f>INDEX(C_alpha_beta[],MATCH(HC[[#This Row],[Solo]],C_alpha_beta[Solo],0),MATCH(HC[[#Headers],[C (kPa)]],C_alpha_beta[#Headers],0))</f>
        <v>400</v>
      </c>
      <c r="R219" s="4">
        <f>INDEX(C_alpha_beta[],MATCH(HC[[#This Row],[Solo]],C_alpha_beta[Solo],0),MATCH(HC[[#Headers],[α ESF]],C_alpha_beta[#Headers],0))</f>
        <v>0.5</v>
      </c>
      <c r="S219" s="4">
        <f>INDEX(C_alpha_beta[],MATCH(HC[[#This Row],[Solo]],C_alpha_beta[Solo],0),MATCH(HC[[#Headers],[β ESF]],C_alpha_beta[#Headers],0))</f>
        <v>0.5</v>
      </c>
      <c r="T219" s="4">
        <f>IF(HC[[#This Row],[Prof. (m)]]=0,0,10*(HC[[#This Row],[NSPT]]/3+1))</f>
        <v>36.666666666666664</v>
      </c>
      <c r="U219" s="4">
        <f>(HC[[#This Row],[α ESF]]*HC[[#This Row],[C (kPa)]]*HC[[#This Row],[NSPT]]*HC[[#This Row],[Ap (m²)]])/'DADOS CAP. CARGA'!$Q$2+(HC[[#This Row],[β ESF]]*SUMIFS(HC[10∙(NL/3+1)],HC[Prof. (m)],"&lt;="&amp;HC[[#This Row],[Prof. (m)]],HC[idDiâmetro],HC[[#This Row],[idDiâmetro]],HC[idPilar],HC[[#This Row],[idPilar]])*HC[[#This Row],[U (m)]])/'DADOS CAP. CARGA'!$S$2</f>
        <v>205.25072003453312</v>
      </c>
      <c r="V219" s="4">
        <f>IF(SPT!$M$5=1,MIN(HC[[#This Row],[Pe HC (kN)]],HC[[#This Row],[R_AV (kN)]]),IF(SPT!$M$5=2,MIN(HC[[#This Row],[Pe HC (kN)]],HC[[#This Row],[R_DC (kN)]]),MIN(HC[[#This Row],[Pe HC (kN)]],HC[[#This Row],[R_AV (kN)]],HC[[#This Row],[R_DC (kN)]])))</f>
        <v>205.25072003453312</v>
      </c>
      <c r="W219" s="4">
        <f>INDEX(PILARES[],HC[[#This Row],[idPilar]],MATCH("Carga (kN)",PILARES[#Headers],0))*1.4</f>
        <v>1750</v>
      </c>
      <c r="X219" s="12">
        <f>INDEX(PILARES[],HC[[#This Row],[idPilar]],MATCH(HC[[#Headers],[ap (cm)]],PILARES[#Headers],0))</f>
        <v>50</v>
      </c>
      <c r="Y219" s="12">
        <f>INDEX(PILARES[],HC[[#This Row],[idPilar]],MATCH(HC[[#Headers],[bp (cm)]],PILARES[#Headers],0))</f>
        <v>40</v>
      </c>
      <c r="Z219" s="4">
        <f>SQRT(HC[[#This Row],[ap (cm)]]*HC[[#This Row],[bp (cm)]])</f>
        <v>44.721359549995796</v>
      </c>
      <c r="AA219" s="12">
        <f>HC[[#This Row],[ap (cm)]]*HC[[#This Row],[bp (cm)]]</f>
        <v>2000</v>
      </c>
      <c r="AB219" s="12">
        <f ca="1">IF(HC[[#This Row],[Padm∙ε (kN)]]&gt;=HC[[#This Row],[Padm (kN)]],ROUNDUP(1.05*HC[[#This Row],[Nsd (kN)]]/HC[[#This Row],[Padm (kN)]],0),ROUNDUP(1.05*HC[[#This Row],[Nsd (kN)]]/HC[[#This Row],[Padm (kN)]],0)+1)</f>
        <v>9</v>
      </c>
      <c r="AC219" s="4" t="str">
        <f ca="1">IFERROR(IF(HC[[#This Row],[nE]]=1,HC[[#This Row],[Padm (kN)]],HC[[#This Row],[Padm (kN)]]*HC[[#This Row],[nE]]*INDEX(grupoEstacas[],HC[[#This Row],[nE]],MATCH("ε",grupoEstacas[#Headers],0))),"N.S.")</f>
        <v>N.S.</v>
      </c>
      <c r="AD219" s="4">
        <f ca="1">1.05*HC[[#This Row],[Nsd (kN)]]/(HC[[#This Row],[nE]]*PI()*HC[[#This Row],[Ø (cm)]]^2/4)*10</f>
        <v>0.53051647697298443</v>
      </c>
      <c r="AE219" s="4">
        <f ca="1">IF(HC[[#This Row],[σ (MPa)]]&lt;INDEX(tipoEstaca[],MATCH($D$2,tipoEstaca[TIPO DE ESTACA],0),MATCH("σmáx (MPa)",tipoEstaca[#Headers],0)),0.4%*PI()*HC[[#This Row],[Ø (cm)]]^2/4,"N.S.")</f>
        <v>15.393804002589988</v>
      </c>
      <c r="AF219" s="1">
        <f>INDEX(tipoEstaca[],MATCH($D$2,tipoEstaca[TIPO DE ESTACA],0),MATCH(HC[[#Headers],[Comprimento (m)]],tipoEstaca[#Headers],0))</f>
        <v>4</v>
      </c>
      <c r="AG219" s="5">
        <f ca="1">HC[[#This Row],[As,mín (cm²)]]/100^2*HC[[#This Row],[Comprimento (m)]]*7850</f>
        <v>48.33654456813256</v>
      </c>
      <c r="AH219" s="4">
        <f ca="1">HC[[#This Row],[nE]]*HC[[#This Row],[Prof. (m)]]*HC[[#This Row],[Ap (m²)]]</f>
        <v>13.854423602330986</v>
      </c>
      <c r="AI219" s="1">
        <f ca="1">IF(HC[[#This Row],[nE]]=1,0,MAX(3*HC[[#This Row],[Ø (cm)]],60))</f>
        <v>210</v>
      </c>
      <c r="AJ219" s="1">
        <f ca="1">IF(HC[[#This Row],[nE]]=1,HC[[#This Row],[Ø (cm)]]+2*10,MAX(1.5*HC[[#This Row],[Ø (cm)]],HC[[#This Row],[Ø (cm)]]+15))</f>
        <v>105</v>
      </c>
      <c r="AK219" s="1" t="str">
        <f ca="1">alturaUtil(HC[[#This Row],[nE]],HC[[#This Row],[Ø (cm)]],HC[[#This Row],[e (cm)]],HC[[#This Row],[ap,eq (cm)]])</f>
        <v>N.S.</v>
      </c>
      <c r="AL219" s="1" t="str">
        <f ca="1">IFERROR(HC[[#This Row],[d (cm)]]+arredondarParaCimaMultiplo5cm(MAX(5,SQRT(PI())/2*HC[[#This Row],[Ø (cm)]]/5)),"N.S.")</f>
        <v>N.S.</v>
      </c>
      <c r="AM219" s="5" t="str">
        <f ca="1">alpha(HC[[#This Row],[nE]],HC[[#This Row],[d (cm)]],HC[[#This Row],[e (cm)]],HC[[#This Row],[ap,eq (cm)]])</f>
        <v>N.S.</v>
      </c>
      <c r="AN219" s="35" t="str">
        <f ca="1">IFERROR(HC[[#This Row],[Nsd (kN)]]/(HC[[#This Row],[Ap (cm²)]]*SIN(HC[[#This Row],[α]])^2),"N.S.")</f>
        <v>N.S.</v>
      </c>
      <c r="AO219" s="35" t="str">
        <f ca="1">IFERROR(HC[[#This Row],[Nsd (kN)]]/(HC[[#This Row],[nE]]*PI()*HC[[#This Row],[Ø (cm)]]^2/4*SIN(HC[[#This Row],[α]])^2),"N.S.")</f>
        <v>N.S.</v>
      </c>
      <c r="AP219" s="4" t="str">
        <f ca="1">IFERROR(INDEX(grupoEstacas[],HC[[#This Row],[nE]],MATCH("coef. Blévot",grupoEstacas[#Headers],0)),"N.S.")</f>
        <v>N.S.</v>
      </c>
      <c r="AQ219" s="35" t="str">
        <f ca="1">IFERROR(HC[[#This Row],[coef. Blévot]]*0.9*INDEX(tipoEstaca[],MATCH($D$2,tipoEstaca[TIPO DE ESTACA],0),MATCH("fcd (kN/cm²)",tipoEstaca[#Headers],0)),"N.S.")</f>
        <v>N.S.</v>
      </c>
      <c r="AR219" s="1" t="str">
        <f ca="1">IF(AND(HC[[#This Row],[cd,b,pil (kN/cm²)]]&lt;=HC[[#This Row],[cd,b,lim (kN/cm²)]],HC[[#This Row],[cd,b,est (kN/cm²)]]&lt;=HC[[#This Row],[cd,b,lim (kN/cm²)]]),"OK","ERRO")</f>
        <v>OK</v>
      </c>
      <c r="AS219" s="4" t="str">
        <f ca="1">As_lado(HC[[#This Row],[nE]],HC[[#This Row],[Nsd (kN)]],HC[[#This Row],[d (cm)]],HC[[#This Row],[e (cm)]],HC[[#This Row],[ap,eq (cm)]])</f>
        <v>N.S.</v>
      </c>
      <c r="AT219" s="4" t="str">
        <f ca="1">IF(HC[[#This Row],[nE]]=1,HC[[#This Row],[As,lado (cm²)]],IF(HC[[#This Row],[nE]]=2,0.075*2*HC[a (cm)],"N.A."))</f>
        <v>N.A.</v>
      </c>
      <c r="AU219" s="4" t="str">
        <f ca="1">IFERROR(IF(HC[[#This Row],[nE]]=1,"N.A.",0.2*HC[[#This Row],[As,lado (cm²)]]),"N.S.")</f>
        <v>N.S.</v>
      </c>
      <c r="AV219" s="4" t="str">
        <f ca="1">As_malha(HC[[#This Row],[nE]],HC[[#This Row],[As,lado (cm²)]],HC[[#This Row],[Nsd (kN)]])</f>
        <v>N.S.</v>
      </c>
      <c r="AW219" s="4" t="str">
        <f ca="1">As_susp_tot(HC[[#This Row],[nE]],HC[[#This Row],[Nsd (kN)]])</f>
        <v>N.S.</v>
      </c>
      <c r="AX219" s="4" t="str">
        <f ca="1">Asp_face(HC[[#This Row],[nE]],HC[[#This Row],[As,lado (cm²)]])</f>
        <v>N.S.</v>
      </c>
      <c r="AY219" s="5" t="str">
        <f ca="1">acoBloco(HC[[#This Row],[nE]],HC[[#This Row],[e (cm)]],HC[[#This Row],[a (cm)]],HC[[#This Row],[h (cm)]],HC[[#This Row],[As,lado (cm²)]],HC[[#This Row],[Asp e Asw (cm²/m)]],HC[[#This Row],[As,sup (cm²)]],HC[[#This Row],[As,malha (cm²)]],HC[[#This Row],[As,susp,tot (cm²)]],HC[[#This Row],[Asp,face (cm²)]])</f>
        <v>N.S.</v>
      </c>
      <c r="AZ219" s="4" t="str">
        <f ca="1">concretoBloco(HC[[#This Row],[nE]],HC[[#This Row],[e (cm)]],HC[[#This Row],[a (cm)]],HC[[#This Row],[h (cm)]])</f>
        <v>N.S.</v>
      </c>
      <c r="BA219" s="5">
        <f ca="1">SUM(HC[[#This Row],[Aço Est (kg)]],HC[[#This Row],[Aço Bloco (kg)]])</f>
        <v>48.33654456813256</v>
      </c>
      <c r="BB219" s="4">
        <f>INDEX(composicoes[],MATCH(95580,composicoes[CÓDIGO],0),MATCH("CUSTO TOTAL",composicoes[#Headers],0))</f>
        <v>10.46</v>
      </c>
      <c r="BC219" s="4">
        <f ca="1">SUM(HC[[#This Row],[Conc Est (m³)]],HC[[#This Row],[Conc Bloco (m³)]])</f>
        <v>13.854423602330986</v>
      </c>
      <c r="BD219" s="4">
        <f>INDEX(composicoes[],MATCH(94966,composicoes[CÓDIGO],0),MATCH("CUSTO TOTAL",composicoes[#Headers],0))</f>
        <v>439.52</v>
      </c>
      <c r="BE219" s="38">
        <f ca="1">HC[[#This Row],[Aço (kg)]]*HC[[#This Row],[Aço (R$/kg)]]+HC[[#This Row],[Conc (m³)]]*HC[[#This Row],[Conc (R$/m³)]]</f>
        <v>6594.8965178791805</v>
      </c>
      <c r="BF219" s="4" t="str">
        <f ca="1">IF(COUNTIF(HC[#This Row],"N.S.")&gt;0,"lim.","OK")</f>
        <v>lim.</v>
      </c>
      <c r="BG219" s="4" t="str">
        <f>IF(HC[[#This Row],[Prof. (m)]]&lt;4,"lim.","OK")</f>
        <v>OK</v>
      </c>
      <c r="BH219" s="4" t="str">
        <f>IF(HC[[#This Row],[Prof. (m)]]&gt;=8*HC[[#This Row],[Ø (cm)]]/100,"OK","lim.")</f>
        <v>lim.</v>
      </c>
      <c r="BI219" s="4" t="str">
        <f ca="1">IF(HC[[#This Row],[Verif. Biela]]="OK","OK","lim.")</f>
        <v>OK</v>
      </c>
      <c r="BJ219" s="4" t="str">
        <f ca="1">IF(COUNTA(HC[[#This Row],[Nº Est.]:[Biela comp.]])=COUNTIF(HC[[#This Row],[Nº Est.]:[Biela comp.]],"OK"),"OK","lim.")</f>
        <v>lim.</v>
      </c>
      <c r="BK219" s="4" t="str">
        <f ca="1">IF(HC[[#This Row],[Controle]]="OK",HC[[#This Row],[nE]]&amp;" Ø"&amp;HC[[#This Row],[Ø (cm)]]&amp;"cm Prof. "&amp;HC[[#This Row],[Prof. (m)]]&amp;" m","")</f>
        <v/>
      </c>
      <c r="BL219" s="4" t="str">
        <f ca="1">IF(HC[[#This Row],[idDimensionamento]]="","",HC[[#This Row],[idPilar]]&amp;HC[[#This Row],[idDimensionamento]])</f>
        <v/>
      </c>
    </row>
    <row r="220" spans="2:64" x14ac:dyDescent="0.25">
      <c r="B220" s="12">
        <f>ROUNDUP((ROW(HC[[#This Row],[idDiâmetro]])-ROW(HC[[#Headers],[idDiâmetro]]))/(COUNT(SPT[Prof. (m)])*COUNT(PILARES[Pilar])),0)</f>
        <v>8</v>
      </c>
      <c r="C220" s="12">
        <f>IF(HC[[#This Row],[idDiâmetro]]&lt;&gt;B219,1,IF(HC[[#This Row],[Prof. (m)]]=0,C219+1,C219))</f>
        <v>2</v>
      </c>
      <c r="D220" s="1">
        <f>IFERROR(IF(D219=MAX(SPT[Prof. (m)]),0,D219+1),0)</f>
        <v>5</v>
      </c>
      <c r="E220" s="1">
        <f>INDEX(SPT[],MATCH(HC[[#This Row],[Prof. (m)]],SPT[Prof. (m)],0),2)</f>
        <v>17</v>
      </c>
      <c r="F220" s="1" t="str">
        <f>INDEX(SPT[],MATCH(HC[[#This Row],[Prof. (m)]],SPT[Prof. (m)],0),3)</f>
        <v>Areia siltosa</v>
      </c>
      <c r="G220" s="1">
        <f>INDEX(estacas[],HC[[#This Row],[idDiâmetro]],MATCH($B$2,estacas[#Headers],0))</f>
        <v>70</v>
      </c>
      <c r="H220" s="1">
        <f>INDEX(estacas[],MATCH(HC[[#This Row],[Ø (cm)]],estacas[Ø HC (cm)],0),MATCH(HC[[#Headers],[Pe HC (kN)]],estacas[#Headers],0))</f>
        <v>2450</v>
      </c>
      <c r="I220" s="4">
        <f>INDEX(K_alpha_C[],MATCH(HC[[#This Row],[Solo]],K_alpha_C[Solo],0),2)</f>
        <v>0.8</v>
      </c>
      <c r="J220" s="5">
        <f>INDEX(K_alpha_C[],MATCH(HC[[#This Row],[Solo]],K_alpha_C[Solo],0),3)</f>
        <v>2</v>
      </c>
      <c r="K220" s="4">
        <f>INDEX(F1_F2[],MATCH($D$2,F1_F2[Tipo de estaca],0),2)</f>
        <v>2</v>
      </c>
      <c r="L220" s="4">
        <f>INDEX(F1_F2[],MATCH($D$2,F1_F2[Tipo de estaca],0),3)</f>
        <v>4</v>
      </c>
      <c r="M220" s="4">
        <f>PI()*(HC[[#This Row],[Ø (cm)]]/100)^2/4</f>
        <v>0.38484510006474959</v>
      </c>
      <c r="N220" s="4">
        <f>PI()*HC[[#This Row],[Ø (cm)]]/100</f>
        <v>2.1991148575128552</v>
      </c>
      <c r="O220" s="4">
        <f>IF(HC[[#This Row],[Prof. (m)]]=0,0,HC[[#This Row],[α (%)]]/100*HC[[#This Row],[K (MPa)]]*1000*HC[[#This Row],[NSPT]])</f>
        <v>272</v>
      </c>
      <c r="P220" s="4">
        <f>IF(HC[[#This Row],[Prof. (m)]]=0,0,(HC[[#This Row],[K (MPa)]]*1000*HC[[#This Row],[NSPT]]/HC[[#This Row],[F1]]*HC[[#This Row],[Ap (m²)]]+HC[[#This Row],[U (m)]]/HC[[#This Row],[F2]]*SUMIFS(HC[(α∙K∙NL∙ΔL)],HC[Prof. (m)],"&lt;="&amp;HC[[#This Row],[Prof. (m)]],HC[idDiâmetro],HC[[#This Row],[idDiâmetro]],HC[idPilar],HC[[#This Row],[idPilar]]))/'DADOS CAP. CARGA'!$D$2)</f>
        <v>1453.614920815997</v>
      </c>
      <c r="Q220" s="12">
        <f>INDEX(C_alpha_beta[],MATCH(HC[[#This Row],[Solo]],C_alpha_beta[Solo],0),MATCH(HC[[#Headers],[C (kPa)]],C_alpha_beta[#Headers],0))</f>
        <v>400</v>
      </c>
      <c r="R220" s="4">
        <f>INDEX(C_alpha_beta[],MATCH(HC[[#This Row],[Solo]],C_alpha_beta[Solo],0),MATCH(HC[[#Headers],[α ESF]],C_alpha_beta[#Headers],0))</f>
        <v>0.5</v>
      </c>
      <c r="S220" s="4">
        <f>INDEX(C_alpha_beta[],MATCH(HC[[#This Row],[Solo]],C_alpha_beta[Solo],0),MATCH(HC[[#Headers],[β ESF]],C_alpha_beta[#Headers],0))</f>
        <v>0.5</v>
      </c>
      <c r="T220" s="4">
        <f>IF(HC[[#This Row],[Prof. (m)]]=0,0,10*(HC[[#This Row],[NSPT]]/3+1))</f>
        <v>66.666666666666671</v>
      </c>
      <c r="U220" s="4">
        <f>(HC[[#This Row],[α ESF]]*HC[[#This Row],[C (kPa)]]*HC[[#This Row],[NSPT]]*HC[[#This Row],[Ap (m²)]])/'DADOS CAP. CARGA'!$Q$2+(HC[[#This Row],[β ESF]]*SUMIFS(HC[10∙(NL/3+1)],HC[Prof. (m)],"&lt;="&amp;HC[[#This Row],[Prof. (m)]],HC[idDiâmetro],HC[[#This Row],[idDiâmetro]],HC[idPilar],HC[[#This Row],[idPilar]])*HC[[#This Row],[U (m)]])/'DADOS CAP. CARGA'!$S$2</f>
        <v>415.08292935555136</v>
      </c>
      <c r="V220" s="4">
        <f>IF(SPT!$M$5=1,MIN(HC[[#This Row],[Pe HC (kN)]],HC[[#This Row],[R_AV (kN)]]),IF(SPT!$M$5=2,MIN(HC[[#This Row],[Pe HC (kN)]],HC[[#This Row],[R_DC (kN)]]),MIN(HC[[#This Row],[Pe HC (kN)]],HC[[#This Row],[R_AV (kN)]],HC[[#This Row],[R_DC (kN)]])))</f>
        <v>415.08292935555136</v>
      </c>
      <c r="W220" s="4">
        <f>INDEX(PILARES[],HC[[#This Row],[idPilar]],MATCH("Carga (kN)",PILARES[#Headers],0))*1.4</f>
        <v>1750</v>
      </c>
      <c r="X220" s="12">
        <f>INDEX(PILARES[],HC[[#This Row],[idPilar]],MATCH(HC[[#Headers],[ap (cm)]],PILARES[#Headers],0))</f>
        <v>50</v>
      </c>
      <c r="Y220" s="12">
        <f>INDEX(PILARES[],HC[[#This Row],[idPilar]],MATCH(HC[[#Headers],[bp (cm)]],PILARES[#Headers],0))</f>
        <v>40</v>
      </c>
      <c r="Z220" s="4">
        <f>SQRT(HC[[#This Row],[ap (cm)]]*HC[[#This Row],[bp (cm)]])</f>
        <v>44.721359549995796</v>
      </c>
      <c r="AA220" s="12">
        <f>HC[[#This Row],[ap (cm)]]*HC[[#This Row],[bp (cm)]]</f>
        <v>2000</v>
      </c>
      <c r="AB220" s="12">
        <f ca="1">IF(HC[[#This Row],[Padm∙ε (kN)]]&gt;=HC[[#This Row],[Padm (kN)]],ROUNDUP(1.05*HC[[#This Row],[Nsd (kN)]]/HC[[#This Row],[Padm (kN)]],0),ROUNDUP(1.05*HC[[#This Row],[Nsd (kN)]]/HC[[#This Row],[Padm (kN)]],0)+1)</f>
        <v>5</v>
      </c>
      <c r="AC220" s="4" t="str">
        <f ca="1">IFERROR(IF(HC[[#This Row],[nE]]=1,HC[[#This Row],[Padm (kN)]],HC[[#This Row],[Padm (kN)]]*HC[[#This Row],[nE]]*INDEX(grupoEstacas[],HC[[#This Row],[nE]],MATCH("ε",grupoEstacas[#Headers],0))),"N.S.")</f>
        <v>N.S.</v>
      </c>
      <c r="AD220" s="4">
        <f ca="1">1.05*HC[[#This Row],[Nsd (kN)]]/(HC[[#This Row],[nE]]*PI()*HC[[#This Row],[Ø (cm)]]^2/4)*10</f>
        <v>0.95492965855137213</v>
      </c>
      <c r="AE220" s="4">
        <f ca="1">IF(HC[[#This Row],[σ (MPa)]]&lt;INDEX(tipoEstaca[],MATCH($D$2,tipoEstaca[TIPO DE ESTACA],0),MATCH("σmáx (MPa)",tipoEstaca[#Headers],0)),0.4%*PI()*HC[[#This Row],[Ø (cm)]]^2/4,"N.S.")</f>
        <v>15.393804002589988</v>
      </c>
      <c r="AF220" s="1">
        <f>INDEX(tipoEstaca[],MATCH($D$2,tipoEstaca[TIPO DE ESTACA],0),MATCH(HC[[#Headers],[Comprimento (m)]],tipoEstaca[#Headers],0))</f>
        <v>4</v>
      </c>
      <c r="AG220" s="5">
        <f ca="1">HC[[#This Row],[As,mín (cm²)]]/100^2*HC[[#This Row],[Comprimento (m)]]*7850</f>
        <v>48.33654456813256</v>
      </c>
      <c r="AH220" s="4">
        <f ca="1">HC[[#This Row],[nE]]*HC[[#This Row],[Prof. (m)]]*HC[[#This Row],[Ap (m²)]]</f>
        <v>9.621127501618739</v>
      </c>
      <c r="AI220" s="1">
        <f ca="1">IF(HC[[#This Row],[nE]]=1,0,MAX(3*HC[[#This Row],[Ø (cm)]],60))</f>
        <v>210</v>
      </c>
      <c r="AJ220" s="1">
        <f ca="1">IF(HC[[#This Row],[nE]]=1,HC[[#This Row],[Ø (cm)]]+2*10,MAX(1.5*HC[[#This Row],[Ø (cm)]],HC[[#This Row],[Ø (cm)]]+15))</f>
        <v>105</v>
      </c>
      <c r="AK220" s="1" t="str">
        <f ca="1">alturaUtil(HC[[#This Row],[nE]],HC[[#This Row],[Ø (cm)]],HC[[#This Row],[e (cm)]],HC[[#This Row],[ap,eq (cm)]])</f>
        <v>N.S.</v>
      </c>
      <c r="AL220" s="1" t="str">
        <f ca="1">IFERROR(HC[[#This Row],[d (cm)]]+arredondarParaCimaMultiplo5cm(MAX(5,SQRT(PI())/2*HC[[#This Row],[Ø (cm)]]/5)),"N.S.")</f>
        <v>N.S.</v>
      </c>
      <c r="AM220" s="5" t="str">
        <f ca="1">alpha(HC[[#This Row],[nE]],HC[[#This Row],[d (cm)]],HC[[#This Row],[e (cm)]],HC[[#This Row],[ap,eq (cm)]])</f>
        <v>N.S.</v>
      </c>
      <c r="AN220" s="35" t="str">
        <f ca="1">IFERROR(HC[[#This Row],[Nsd (kN)]]/(HC[[#This Row],[Ap (cm²)]]*SIN(HC[[#This Row],[α]])^2),"N.S.")</f>
        <v>N.S.</v>
      </c>
      <c r="AO220" s="35" t="str">
        <f ca="1">IFERROR(HC[[#This Row],[Nsd (kN)]]/(HC[[#This Row],[nE]]*PI()*HC[[#This Row],[Ø (cm)]]^2/4*SIN(HC[[#This Row],[α]])^2),"N.S.")</f>
        <v>N.S.</v>
      </c>
      <c r="AP220" s="4" t="str">
        <f ca="1">IFERROR(INDEX(grupoEstacas[],HC[[#This Row],[nE]],MATCH("coef. Blévot",grupoEstacas[#Headers],0)),"N.S.")</f>
        <v>N.S.</v>
      </c>
      <c r="AQ220" s="35" t="str">
        <f ca="1">IFERROR(HC[[#This Row],[coef. Blévot]]*0.9*INDEX(tipoEstaca[],MATCH($D$2,tipoEstaca[TIPO DE ESTACA],0),MATCH("fcd (kN/cm²)",tipoEstaca[#Headers],0)),"N.S.")</f>
        <v>N.S.</v>
      </c>
      <c r="AR220" s="1" t="str">
        <f ca="1">IF(AND(HC[[#This Row],[cd,b,pil (kN/cm²)]]&lt;=HC[[#This Row],[cd,b,lim (kN/cm²)]],HC[[#This Row],[cd,b,est (kN/cm²)]]&lt;=HC[[#This Row],[cd,b,lim (kN/cm²)]]),"OK","ERRO")</f>
        <v>OK</v>
      </c>
      <c r="AS220" s="4" t="str">
        <f ca="1">As_lado(HC[[#This Row],[nE]],HC[[#This Row],[Nsd (kN)]],HC[[#This Row],[d (cm)]],HC[[#This Row],[e (cm)]],HC[[#This Row],[ap,eq (cm)]])</f>
        <v>N.S.</v>
      </c>
      <c r="AT220" s="4" t="str">
        <f ca="1">IF(HC[[#This Row],[nE]]=1,HC[[#This Row],[As,lado (cm²)]],IF(HC[[#This Row],[nE]]=2,0.075*2*HC[a (cm)],"N.A."))</f>
        <v>N.A.</v>
      </c>
      <c r="AU220" s="4" t="str">
        <f ca="1">IFERROR(IF(HC[[#This Row],[nE]]=1,"N.A.",0.2*HC[[#This Row],[As,lado (cm²)]]),"N.S.")</f>
        <v>N.S.</v>
      </c>
      <c r="AV220" s="4" t="str">
        <f ca="1">As_malha(HC[[#This Row],[nE]],HC[[#This Row],[As,lado (cm²)]],HC[[#This Row],[Nsd (kN)]])</f>
        <v>N.S.</v>
      </c>
      <c r="AW220" s="4" t="str">
        <f ca="1">As_susp_tot(HC[[#This Row],[nE]],HC[[#This Row],[Nsd (kN)]])</f>
        <v>N.S.</v>
      </c>
      <c r="AX220" s="4" t="str">
        <f ca="1">Asp_face(HC[[#This Row],[nE]],HC[[#This Row],[As,lado (cm²)]])</f>
        <v>N.S.</v>
      </c>
      <c r="AY220" s="5" t="str">
        <f ca="1">acoBloco(HC[[#This Row],[nE]],HC[[#This Row],[e (cm)]],HC[[#This Row],[a (cm)]],HC[[#This Row],[h (cm)]],HC[[#This Row],[As,lado (cm²)]],HC[[#This Row],[Asp e Asw (cm²/m)]],HC[[#This Row],[As,sup (cm²)]],HC[[#This Row],[As,malha (cm²)]],HC[[#This Row],[As,susp,tot (cm²)]],HC[[#This Row],[Asp,face (cm²)]])</f>
        <v>N.S.</v>
      </c>
      <c r="AZ220" s="4" t="str">
        <f ca="1">concretoBloco(HC[[#This Row],[nE]],HC[[#This Row],[e (cm)]],HC[[#This Row],[a (cm)]],HC[[#This Row],[h (cm)]])</f>
        <v>N.S.</v>
      </c>
      <c r="BA220" s="5">
        <f ca="1">SUM(HC[[#This Row],[Aço Est (kg)]],HC[[#This Row],[Aço Bloco (kg)]])</f>
        <v>48.33654456813256</v>
      </c>
      <c r="BB220" s="4">
        <f>INDEX(composicoes[],MATCH(95580,composicoes[CÓDIGO],0),MATCH("CUSTO TOTAL",composicoes[#Headers],0))</f>
        <v>10.46</v>
      </c>
      <c r="BC220" s="4">
        <f ca="1">SUM(HC[[#This Row],[Conc Est (m³)]],HC[[#This Row],[Conc Bloco (m³)]])</f>
        <v>9.621127501618739</v>
      </c>
      <c r="BD220" s="4">
        <f>INDEX(composicoes[],MATCH(94966,composicoes[CÓDIGO],0),MATCH("CUSTO TOTAL",composicoes[#Headers],0))</f>
        <v>439.52</v>
      </c>
      <c r="BE220" s="38">
        <f ca="1">HC[[#This Row],[Aço (kg)]]*HC[[#This Row],[Aço (R$/kg)]]+HC[[#This Row],[Conc (m³)]]*HC[[#This Row],[Conc (R$/m³)]]</f>
        <v>4734.2782156941339</v>
      </c>
      <c r="BF220" s="4" t="str">
        <f ca="1">IF(COUNTIF(HC[#This Row],"N.S.")&gt;0,"lim.","OK")</f>
        <v>lim.</v>
      </c>
      <c r="BG220" s="4" t="str">
        <f>IF(HC[[#This Row],[Prof. (m)]]&lt;4,"lim.","OK")</f>
        <v>OK</v>
      </c>
      <c r="BH220" s="4" t="str">
        <f>IF(HC[[#This Row],[Prof. (m)]]&gt;=8*HC[[#This Row],[Ø (cm)]]/100,"OK","lim.")</f>
        <v>lim.</v>
      </c>
      <c r="BI220" s="4" t="str">
        <f ca="1">IF(HC[[#This Row],[Verif. Biela]]="OK","OK","lim.")</f>
        <v>OK</v>
      </c>
      <c r="BJ220" s="4" t="str">
        <f ca="1">IF(COUNTA(HC[[#This Row],[Nº Est.]:[Biela comp.]])=COUNTIF(HC[[#This Row],[Nº Est.]:[Biela comp.]],"OK"),"OK","lim.")</f>
        <v>lim.</v>
      </c>
      <c r="BK220" s="4" t="str">
        <f ca="1">IF(HC[[#This Row],[Controle]]="OK",HC[[#This Row],[nE]]&amp;" Ø"&amp;HC[[#This Row],[Ø (cm)]]&amp;"cm Prof. "&amp;HC[[#This Row],[Prof. (m)]]&amp;" m","")</f>
        <v/>
      </c>
      <c r="BL220" s="4" t="str">
        <f ca="1">IF(HC[[#This Row],[idDimensionamento]]="","",HC[[#This Row],[idPilar]]&amp;HC[[#This Row],[idDimensionamento]])</f>
        <v/>
      </c>
    </row>
    <row r="221" spans="2:64" x14ac:dyDescent="0.25">
      <c r="B221" s="12">
        <f>ROUNDUP((ROW(HC[[#This Row],[idDiâmetro]])-ROW(HC[[#Headers],[idDiâmetro]]))/(COUNT(SPT[Prof. (m)])*COUNT(PILARES[Pilar])),0)</f>
        <v>8</v>
      </c>
      <c r="C221" s="12">
        <f>IF(HC[[#This Row],[idDiâmetro]]&lt;&gt;B220,1,IF(HC[[#This Row],[Prof. (m)]]=0,C220+1,C220))</f>
        <v>2</v>
      </c>
      <c r="D221" s="1">
        <f>IFERROR(IF(D220=MAX(SPT[Prof. (m)]),0,D220+1),0)</f>
        <v>6</v>
      </c>
      <c r="E221" s="1">
        <f>INDEX(SPT[],MATCH(HC[[#This Row],[Prof. (m)]],SPT[Prof. (m)],0),2)</f>
        <v>21</v>
      </c>
      <c r="F221" s="1" t="str">
        <f>INDEX(SPT[],MATCH(HC[[#This Row],[Prof. (m)]],SPT[Prof. (m)],0),3)</f>
        <v>Silte arenoso</v>
      </c>
      <c r="G221" s="1">
        <f>INDEX(estacas[],HC[[#This Row],[idDiâmetro]],MATCH($B$2,estacas[#Headers],0))</f>
        <v>70</v>
      </c>
      <c r="H221" s="1">
        <f>INDEX(estacas[],MATCH(HC[[#This Row],[Ø (cm)]],estacas[Ø HC (cm)],0),MATCH(HC[[#Headers],[Pe HC (kN)]],estacas[#Headers],0))</f>
        <v>2450</v>
      </c>
      <c r="I221" s="4">
        <f>INDEX(K_alpha_C[],MATCH(HC[[#This Row],[Solo]],K_alpha_C[Solo],0),2)</f>
        <v>0.55000000000000004</v>
      </c>
      <c r="J221" s="5">
        <f>INDEX(K_alpha_C[],MATCH(HC[[#This Row],[Solo]],K_alpha_C[Solo],0),3)</f>
        <v>2.2000000000000002</v>
      </c>
      <c r="K221" s="4">
        <f>INDEX(F1_F2[],MATCH($D$2,F1_F2[Tipo de estaca],0),2)</f>
        <v>2</v>
      </c>
      <c r="L221" s="4">
        <f>INDEX(F1_F2[],MATCH($D$2,F1_F2[Tipo de estaca],0),3)</f>
        <v>4</v>
      </c>
      <c r="M221" s="4">
        <f>PI()*(HC[[#This Row],[Ø (cm)]]/100)^2/4</f>
        <v>0.38484510006474959</v>
      </c>
      <c r="N221" s="4">
        <f>PI()*HC[[#This Row],[Ø (cm)]]/100</f>
        <v>2.1991148575128552</v>
      </c>
      <c r="O221" s="4">
        <f>IF(HC[[#This Row],[Prof. (m)]]=0,0,HC[[#This Row],[α (%)]]/100*HC[[#This Row],[K (MPa)]]*1000*HC[[#This Row],[NSPT]])</f>
        <v>254.10000000000002</v>
      </c>
      <c r="P221" s="4">
        <f>IF(HC[[#This Row],[Prof. (m)]]=0,0,(HC[[#This Row],[K (MPa)]]*1000*HC[[#This Row],[NSPT]]/HC[[#This Row],[F1]]*HC[[#This Row],[Ap (m²)]]+HC[[#This Row],[U (m)]]/HC[[#This Row],[F2]]*SUMIFS(HC[(α∙K∙NL∙ΔL)],HC[Prof. (m)],"&lt;="&amp;HC[[#This Row],[Prof. (m)]],HC[idDiâmetro],HC[[#This Row],[idDiâmetro]],HC[idPilar],HC[[#This Row],[idPilar]]))/'DADOS CAP. CARGA'!$D$2)</f>
        <v>1326.2311926945649</v>
      </c>
      <c r="Q221" s="12">
        <f>INDEX(C_alpha_beta[],MATCH(HC[[#This Row],[Solo]],C_alpha_beta[Solo],0),MATCH(HC[[#Headers],[C (kPa)]],C_alpha_beta[#Headers],0))</f>
        <v>250</v>
      </c>
      <c r="R221" s="4">
        <f>INDEX(C_alpha_beta[],MATCH(HC[[#This Row],[Solo]],C_alpha_beta[Solo],0),MATCH(HC[[#Headers],[α ESF]],C_alpha_beta[#Headers],0))</f>
        <v>0.6</v>
      </c>
      <c r="S221" s="4">
        <f>INDEX(C_alpha_beta[],MATCH(HC[[#This Row],[Solo]],C_alpha_beta[Solo],0),MATCH(HC[[#Headers],[β ESF]],C_alpha_beta[#Headers],0))</f>
        <v>0.65</v>
      </c>
      <c r="T221" s="4">
        <f>IF(HC[[#This Row],[Prof. (m)]]=0,0,10*(HC[[#This Row],[NSPT]]/3+1))</f>
        <v>80</v>
      </c>
      <c r="U221" s="4">
        <f>(HC[[#This Row],[α ESF]]*HC[[#This Row],[C (kPa)]]*HC[[#This Row],[NSPT]]*HC[[#This Row],[Ap (m²)]])/'DADOS CAP. CARGA'!$Q$2+(HC[[#This Row],[β ESF]]*SUMIFS(HC[10∙(NL/3+1)],HC[Prof. (m)],"&lt;="&amp;HC[[#This Row],[Prof. (m)]],HC[idDiâmetro],HC[[#This Row],[idDiâmetro]],HC[idPilar],HC[[#This Row],[idPilar]])*HC[[#This Row],[U (m)]])/'DADOS CAP. CARGA'!$S$2</f>
        <v>474.59647518699296</v>
      </c>
      <c r="V221" s="4">
        <f>IF(SPT!$M$5=1,MIN(HC[[#This Row],[Pe HC (kN)]],HC[[#This Row],[R_AV (kN)]]),IF(SPT!$M$5=2,MIN(HC[[#This Row],[Pe HC (kN)]],HC[[#This Row],[R_DC (kN)]]),MIN(HC[[#This Row],[Pe HC (kN)]],HC[[#This Row],[R_AV (kN)]],HC[[#This Row],[R_DC (kN)]])))</f>
        <v>474.59647518699296</v>
      </c>
      <c r="W221" s="4">
        <f>INDEX(PILARES[],HC[[#This Row],[idPilar]],MATCH("Carga (kN)",PILARES[#Headers],0))*1.4</f>
        <v>1750</v>
      </c>
      <c r="X221" s="12">
        <f>INDEX(PILARES[],HC[[#This Row],[idPilar]],MATCH(HC[[#Headers],[ap (cm)]],PILARES[#Headers],0))</f>
        <v>50</v>
      </c>
      <c r="Y221" s="12">
        <f>INDEX(PILARES[],HC[[#This Row],[idPilar]],MATCH(HC[[#Headers],[bp (cm)]],PILARES[#Headers],0))</f>
        <v>40</v>
      </c>
      <c r="Z221" s="4">
        <f>SQRT(HC[[#This Row],[ap (cm)]]*HC[[#This Row],[bp (cm)]])</f>
        <v>44.721359549995796</v>
      </c>
      <c r="AA221" s="12">
        <f>HC[[#This Row],[ap (cm)]]*HC[[#This Row],[bp (cm)]]</f>
        <v>2000</v>
      </c>
      <c r="AB221" s="12">
        <f ca="1">IF(HC[[#This Row],[Padm∙ε (kN)]]&gt;=HC[[#This Row],[Padm (kN)]],ROUNDUP(1.05*HC[[#This Row],[Nsd (kN)]]/HC[[#This Row],[Padm (kN)]],0),ROUNDUP(1.05*HC[[#This Row],[Nsd (kN)]]/HC[[#This Row],[Padm (kN)]],0)+1)</f>
        <v>4</v>
      </c>
      <c r="AC221" s="4">
        <f ca="1">IFERROR(IF(HC[[#This Row],[nE]]=1,HC[[#This Row],[Padm (kN)]],HC[[#This Row],[Padm (kN)]]*HC[[#This Row],[nE]]*INDEX(grupoEstacas[],HC[[#This Row],[nE]],MATCH("ε",grupoEstacas[#Headers],0))),"N.S.")</f>
        <v>1542.4385443577271</v>
      </c>
      <c r="AD221" s="4">
        <f ca="1">1.05*HC[[#This Row],[Nsd (kN)]]/(HC[[#This Row],[nE]]*PI()*HC[[#This Row],[Ø (cm)]]^2/4)*10</f>
        <v>1.1936620731892149</v>
      </c>
      <c r="AE221" s="4">
        <f ca="1">IF(HC[[#This Row],[σ (MPa)]]&lt;INDEX(tipoEstaca[],MATCH($D$2,tipoEstaca[TIPO DE ESTACA],0),MATCH("σmáx (MPa)",tipoEstaca[#Headers],0)),0.4%*PI()*HC[[#This Row],[Ø (cm)]]^2/4,"N.S.")</f>
        <v>15.393804002589988</v>
      </c>
      <c r="AF221" s="1">
        <f>INDEX(tipoEstaca[],MATCH($D$2,tipoEstaca[TIPO DE ESTACA],0),MATCH(HC[[#Headers],[Comprimento (m)]],tipoEstaca[#Headers],0))</f>
        <v>4</v>
      </c>
      <c r="AG221" s="5">
        <f ca="1">HC[[#This Row],[As,mín (cm²)]]/100^2*HC[[#This Row],[Comprimento (m)]]*7850</f>
        <v>48.33654456813256</v>
      </c>
      <c r="AH221" s="4">
        <f ca="1">HC[[#This Row],[nE]]*HC[[#This Row],[Prof. (m)]]*HC[[#This Row],[Ap (m²)]]</f>
        <v>9.2362824015539893</v>
      </c>
      <c r="AI221" s="1">
        <f ca="1">IF(HC[[#This Row],[nE]]=1,0,MAX(3*HC[[#This Row],[Ø (cm)]],60))</f>
        <v>210</v>
      </c>
      <c r="AJ221" s="1">
        <f ca="1">IF(HC[[#This Row],[nE]]=1,HC[[#This Row],[Ø (cm)]]+2*10,MAX(1.5*HC[[#This Row],[Ø (cm)]],HC[[#This Row],[Ø (cm)]]+15))</f>
        <v>105</v>
      </c>
      <c r="AK221" s="1">
        <f ca="1">alturaUtil(HC[[#This Row],[nE]],HC[[#This Row],[Ø (cm)]],HC[[#This Row],[e (cm)]],HC[[#This Row],[ap,eq (cm)]])</f>
        <v>95</v>
      </c>
      <c r="AL221" s="1">
        <f ca="1">IFERROR(HC[[#This Row],[d (cm)]]+arredondarParaCimaMultiplo5cm(MAX(5,SQRT(PI())/2*HC[[#This Row],[Ø (cm)]]/5)),"N.S.")</f>
        <v>110</v>
      </c>
      <c r="AM221" s="5">
        <f ca="1">alpha(HC[[#This Row],[nE]],HC[[#This Row],[d (cm)]],HC[[#This Row],[e (cm)]],HC[[#This Row],[ap,eq (cm)]])</f>
        <v>45.358159807203123</v>
      </c>
      <c r="AN221" s="35">
        <f ca="1">IFERROR(HC[[#This Row],[Nsd (kN)]]/(HC[[#This Row],[Ap (cm²)]]*SIN(HC[[#This Row],[α]])^2),"N.S.")</f>
        <v>0.9091100416642347</v>
      </c>
      <c r="AO221" s="35">
        <f ca="1">IFERROR(HC[[#This Row],[Nsd (kN)]]/(HC[[#This Row],[nE]]*PI()*HC[[#This Row],[Ø (cm)]]^2/4*SIN(HC[[#This Row],[α]])^2),"N.S.")</f>
        <v>0.11811376077170765</v>
      </c>
      <c r="AP221" s="4">
        <f ca="1">IFERROR(INDEX(grupoEstacas[],HC[[#This Row],[nE]],MATCH("coef. Blévot",grupoEstacas[#Headers],0)),"N.S.")</f>
        <v>2.1</v>
      </c>
      <c r="AQ221" s="35">
        <f ca="1">IFERROR(HC[[#This Row],[coef. Blévot]]*0.9*INDEX(tipoEstaca[],MATCH($D$2,tipoEstaca[TIPO DE ESTACA],0),MATCH("fcd (kN/cm²)",tipoEstaca[#Headers],0)),"N.S.")</f>
        <v>2.1</v>
      </c>
      <c r="AR221" s="1" t="str">
        <f ca="1">IF(AND(HC[[#This Row],[cd,b,pil (kN/cm²)]]&lt;=HC[[#This Row],[cd,b,lim (kN/cm²)]],HC[[#This Row],[cd,b,est (kN/cm²)]]&lt;=HC[[#This Row],[cd,b,lim (kN/cm²)]]),"OK","ERRO")</f>
        <v>OK</v>
      </c>
      <c r="AS221" s="4">
        <f ca="1">As_lado(HC[[#This Row],[nE]],HC[[#This Row],[Nsd (kN)]],HC[[#This Row],[d (cm)]],HC[[#This Row],[e (cm)]],HC[[#This Row],[ap,eq (cm)]])</f>
        <v>9.9374771566530722</v>
      </c>
      <c r="AT221" s="4" t="str">
        <f ca="1">IF(HC[[#This Row],[nE]]=1,HC[[#This Row],[As,lado (cm²)]],IF(HC[[#This Row],[nE]]=2,0.075*2*HC[a (cm)],"N.A."))</f>
        <v>N.A.</v>
      </c>
      <c r="AU221" s="4">
        <f ca="1">IFERROR(IF(HC[[#This Row],[nE]]=1,"N.A.",0.2*HC[[#This Row],[As,lado (cm²)]]),"N.S.")</f>
        <v>1.9874954313306146</v>
      </c>
      <c r="AV221" s="4">
        <f ca="1">As_malha(HC[[#This Row],[nE]],HC[[#This Row],[As,lado (cm²)]],HC[[#This Row],[Nsd (kN)]])</f>
        <v>1.9874954313306146</v>
      </c>
      <c r="AW221" s="4">
        <f ca="1">As_susp_tot(HC[[#This Row],[nE]],HC[[#This Row],[Nsd (kN)]])</f>
        <v>6.708333333333333</v>
      </c>
      <c r="AX221" s="4">
        <f ca="1">Asp_face(HC[[#This Row],[nE]],HC[[#This Row],[As,lado (cm²)]])</f>
        <v>4.9687385783265361</v>
      </c>
      <c r="AY221" s="5">
        <f ca="1">acoBloco(HC[[#This Row],[nE]],HC[[#This Row],[e (cm)]],HC[[#This Row],[a (cm)]],HC[[#This Row],[h (cm)]],HC[[#This Row],[As,lado (cm²)]],HC[[#This Row],[Asp e Asw (cm²/m)]],HC[[#This Row],[As,sup (cm²)]],HC[[#This Row],[As,malha (cm²)]],HC[[#This Row],[As,susp,tot (cm²)]],HC[[#This Row],[Asp,face (cm²)]])</f>
        <v>241.69245356882661</v>
      </c>
      <c r="AZ221" s="4">
        <f ca="1">concretoBloco(HC[[#This Row],[nE]],HC[[#This Row],[e (cm)]],HC[[#This Row],[a (cm)]],HC[[#This Row],[h (cm)]])</f>
        <v>19.404</v>
      </c>
      <c r="BA221" s="5">
        <f ca="1">SUM(HC[[#This Row],[Aço Est (kg)]],HC[[#This Row],[Aço Bloco (kg)]])</f>
        <v>290.02899813695916</v>
      </c>
      <c r="BB221" s="4">
        <f>INDEX(composicoes[],MATCH(95580,composicoes[CÓDIGO],0),MATCH("CUSTO TOTAL",composicoes[#Headers],0))</f>
        <v>10.46</v>
      </c>
      <c r="BC221" s="4">
        <f ca="1">SUM(HC[[#This Row],[Conc Est (m³)]],HC[[#This Row],[Conc Bloco (m³)]])</f>
        <v>28.640282401553989</v>
      </c>
      <c r="BD221" s="4">
        <f>INDEX(composicoes[],MATCH(94966,composicoes[CÓDIGO],0),MATCH("CUSTO TOTAL",composicoes[#Headers],0))</f>
        <v>439.52</v>
      </c>
      <c r="BE221" s="38">
        <f ca="1">HC[[#This Row],[Aço (kg)]]*HC[[#This Row],[Aço (R$/kg)]]+HC[[#This Row],[Conc (m³)]]*HC[[#This Row],[Conc (R$/m³)]]</f>
        <v>15621.680241643602</v>
      </c>
      <c r="BF221" s="4" t="str">
        <f ca="1">IF(COUNTIF(HC[#This Row],"N.S.")&gt;0,"lim.","OK")</f>
        <v>OK</v>
      </c>
      <c r="BG221" s="4" t="str">
        <f>IF(HC[[#This Row],[Prof. (m)]]&lt;4,"lim.","OK")</f>
        <v>OK</v>
      </c>
      <c r="BH221" s="4" t="str">
        <f>IF(HC[[#This Row],[Prof. (m)]]&gt;=8*HC[[#This Row],[Ø (cm)]]/100,"OK","lim.")</f>
        <v>OK</v>
      </c>
      <c r="BI221" s="4" t="str">
        <f ca="1">IF(HC[[#This Row],[Verif. Biela]]="OK","OK","lim.")</f>
        <v>OK</v>
      </c>
      <c r="BJ221" s="4" t="str">
        <f ca="1">IF(COUNTA(HC[[#This Row],[Nº Est.]:[Biela comp.]])=COUNTIF(HC[[#This Row],[Nº Est.]:[Biela comp.]],"OK"),"OK","lim.")</f>
        <v>OK</v>
      </c>
      <c r="BK221" s="4" t="str">
        <f ca="1">IF(HC[[#This Row],[Controle]]="OK",HC[[#This Row],[nE]]&amp;" Ø"&amp;HC[[#This Row],[Ø (cm)]]&amp;"cm Prof. "&amp;HC[[#This Row],[Prof. (m)]]&amp;" m","")</f>
        <v>4 Ø70cm Prof. 6 m</v>
      </c>
      <c r="BL221" s="4" t="str">
        <f ca="1">IF(HC[[#This Row],[idDimensionamento]]="","",HC[[#This Row],[idPilar]]&amp;HC[[#This Row],[idDimensionamento]])</f>
        <v>24 Ø70cm Prof. 6 m</v>
      </c>
    </row>
    <row r="222" spans="2:64" x14ac:dyDescent="0.25">
      <c r="B222" s="12">
        <f>ROUNDUP((ROW(HC[[#This Row],[idDiâmetro]])-ROW(HC[[#Headers],[idDiâmetro]]))/(COUNT(SPT[Prof. (m)])*COUNT(PILARES[Pilar])),0)</f>
        <v>8</v>
      </c>
      <c r="C222" s="12">
        <f>IF(HC[[#This Row],[idDiâmetro]]&lt;&gt;B221,1,IF(HC[[#This Row],[Prof. (m)]]=0,C221+1,C221))</f>
        <v>2</v>
      </c>
      <c r="D222" s="1">
        <f>IFERROR(IF(D221=MAX(SPT[Prof. (m)]),0,D221+1),0)</f>
        <v>7</v>
      </c>
      <c r="E222" s="1">
        <f>INDEX(SPT[],MATCH(HC[[#This Row],[Prof. (m)]],SPT[Prof. (m)],0),2)</f>
        <v>8</v>
      </c>
      <c r="F222" s="1" t="str">
        <f>INDEX(SPT[],MATCH(HC[[#This Row],[Prof. (m)]],SPT[Prof. (m)],0),3)</f>
        <v>Silte arenoso</v>
      </c>
      <c r="G222" s="1">
        <f>INDEX(estacas[],HC[[#This Row],[idDiâmetro]],MATCH($B$2,estacas[#Headers],0))</f>
        <v>70</v>
      </c>
      <c r="H222" s="1">
        <f>INDEX(estacas[],MATCH(HC[[#This Row],[Ø (cm)]],estacas[Ø HC (cm)],0),MATCH(HC[[#Headers],[Pe HC (kN)]],estacas[#Headers],0))</f>
        <v>2450</v>
      </c>
      <c r="I222" s="4">
        <f>INDEX(K_alpha_C[],MATCH(HC[[#This Row],[Solo]],K_alpha_C[Solo],0),2)</f>
        <v>0.55000000000000004</v>
      </c>
      <c r="J222" s="5">
        <f>INDEX(K_alpha_C[],MATCH(HC[[#This Row],[Solo]],K_alpha_C[Solo],0),3)</f>
        <v>2.2000000000000002</v>
      </c>
      <c r="K222" s="4">
        <f>INDEX(F1_F2[],MATCH($D$2,F1_F2[Tipo de estaca],0),2)</f>
        <v>2</v>
      </c>
      <c r="L222" s="4">
        <f>INDEX(F1_F2[],MATCH($D$2,F1_F2[Tipo de estaca],0),3)</f>
        <v>4</v>
      </c>
      <c r="M222" s="4">
        <f>PI()*(HC[[#This Row],[Ø (cm)]]/100)^2/4</f>
        <v>0.38484510006474959</v>
      </c>
      <c r="N222" s="4">
        <f>PI()*HC[[#This Row],[Ø (cm)]]/100</f>
        <v>2.1991148575128552</v>
      </c>
      <c r="O222" s="4">
        <f>IF(HC[[#This Row],[Prof. (m)]]=0,0,HC[[#This Row],[α (%)]]/100*HC[[#This Row],[K (MPa)]]*1000*HC[[#This Row],[NSPT]])</f>
        <v>96.800000000000011</v>
      </c>
      <c r="P222" s="4">
        <f>IF(HC[[#This Row],[Prof. (m)]]=0,0,(HC[[#This Row],[K (MPa)]]*1000*HC[[#This Row],[NSPT]]/HC[[#This Row],[F1]]*HC[[#This Row],[Ap (m²)]]+HC[[#This Row],[U (m)]]/HC[[#This Row],[F2]]*SUMIFS(HC[(α∙K∙NL∙ΔL)],HC[Prof. (m)],"&lt;="&amp;HC[[#This Row],[Prof. (m)]],HC[idDiâmetro],HC[[#This Row],[idDiâmetro]],HC[idPilar],HC[[#This Row],[idPilar]]))/'DADOS CAP. CARGA'!$D$2)</f>
        <v>664.92986610473054</v>
      </c>
      <c r="Q222" s="12">
        <f>INDEX(C_alpha_beta[],MATCH(HC[[#This Row],[Solo]],C_alpha_beta[Solo],0),MATCH(HC[[#Headers],[C (kPa)]],C_alpha_beta[#Headers],0))</f>
        <v>250</v>
      </c>
      <c r="R222" s="4">
        <f>INDEX(C_alpha_beta[],MATCH(HC[[#This Row],[Solo]],C_alpha_beta[Solo],0),MATCH(HC[[#Headers],[α ESF]],C_alpha_beta[#Headers],0))</f>
        <v>0.6</v>
      </c>
      <c r="S222" s="4">
        <f>INDEX(C_alpha_beta[],MATCH(HC[[#This Row],[Solo]],C_alpha_beta[Solo],0),MATCH(HC[[#Headers],[β ESF]],C_alpha_beta[#Headers],0))</f>
        <v>0.65</v>
      </c>
      <c r="T222" s="4">
        <f>IF(HC[[#This Row],[Prof. (m)]]=0,0,10*(HC[[#This Row],[NSPT]]/3+1))</f>
        <v>36.666666666666664</v>
      </c>
      <c r="U222" s="4">
        <f>(HC[[#This Row],[α ESF]]*HC[[#This Row],[C (kPa)]]*HC[[#This Row],[NSPT]]*HC[[#This Row],[Ap (m²)]])/'DADOS CAP. CARGA'!$Q$2+(HC[[#This Row],[β ESF]]*SUMIFS(HC[10∙(NL/3+1)],HC[Prof. (m)],"&lt;="&amp;HC[[#This Row],[Prof. (m)]],HC[idDiâmetro],HC[[#This Row],[idDiâmetro]],HC[idPilar],HC[[#This Row],[idPilar]])*HC[[#This Row],[U (m)]])/'DADOS CAP. CARGA'!$S$2</f>
        <v>313.19060762412244</v>
      </c>
      <c r="V222" s="4">
        <f>IF(SPT!$M$5=1,MIN(HC[[#This Row],[Pe HC (kN)]],HC[[#This Row],[R_AV (kN)]]),IF(SPT!$M$5=2,MIN(HC[[#This Row],[Pe HC (kN)]],HC[[#This Row],[R_DC (kN)]]),MIN(HC[[#This Row],[Pe HC (kN)]],HC[[#This Row],[R_AV (kN)]],HC[[#This Row],[R_DC (kN)]])))</f>
        <v>313.19060762412244</v>
      </c>
      <c r="W222" s="4">
        <f>INDEX(PILARES[],HC[[#This Row],[idPilar]],MATCH("Carga (kN)",PILARES[#Headers],0))*1.4</f>
        <v>1750</v>
      </c>
      <c r="X222" s="12">
        <f>INDEX(PILARES[],HC[[#This Row],[idPilar]],MATCH(HC[[#Headers],[ap (cm)]],PILARES[#Headers],0))</f>
        <v>50</v>
      </c>
      <c r="Y222" s="12">
        <f>INDEX(PILARES[],HC[[#This Row],[idPilar]],MATCH(HC[[#Headers],[bp (cm)]],PILARES[#Headers],0))</f>
        <v>40</v>
      </c>
      <c r="Z222" s="4">
        <f>SQRT(HC[[#This Row],[ap (cm)]]*HC[[#This Row],[bp (cm)]])</f>
        <v>44.721359549995796</v>
      </c>
      <c r="AA222" s="12">
        <f>HC[[#This Row],[ap (cm)]]*HC[[#This Row],[bp (cm)]]</f>
        <v>2000</v>
      </c>
      <c r="AB222" s="12">
        <f ca="1">IF(HC[[#This Row],[Padm∙ε (kN)]]&gt;=HC[[#This Row],[Padm (kN)]],ROUNDUP(1.05*HC[[#This Row],[Nsd (kN)]]/HC[[#This Row],[Padm (kN)]],0),ROUNDUP(1.05*HC[[#This Row],[Nsd (kN)]]/HC[[#This Row],[Padm (kN)]],0)+1)</f>
        <v>6</v>
      </c>
      <c r="AC222" s="4" t="str">
        <f ca="1">IFERROR(IF(HC[[#This Row],[nE]]=1,HC[[#This Row],[Padm (kN)]],HC[[#This Row],[Padm (kN)]]*HC[[#This Row],[nE]]*INDEX(grupoEstacas[],HC[[#This Row],[nE]],MATCH("ε",grupoEstacas[#Headers],0))),"N.S.")</f>
        <v>N.S.</v>
      </c>
      <c r="AD222" s="4">
        <f ca="1">1.05*HC[[#This Row],[Nsd (kN)]]/(HC[[#This Row],[nE]]*PI()*HC[[#This Row],[Ø (cm)]]^2/4)*10</f>
        <v>0.79577471545947676</v>
      </c>
      <c r="AE222" s="4">
        <f ca="1">IF(HC[[#This Row],[σ (MPa)]]&lt;INDEX(tipoEstaca[],MATCH($D$2,tipoEstaca[TIPO DE ESTACA],0),MATCH("σmáx (MPa)",tipoEstaca[#Headers],0)),0.4%*PI()*HC[[#This Row],[Ø (cm)]]^2/4,"N.S.")</f>
        <v>15.393804002589988</v>
      </c>
      <c r="AF222" s="1">
        <f>INDEX(tipoEstaca[],MATCH($D$2,tipoEstaca[TIPO DE ESTACA],0),MATCH(HC[[#Headers],[Comprimento (m)]],tipoEstaca[#Headers],0))</f>
        <v>4</v>
      </c>
      <c r="AG222" s="5">
        <f ca="1">HC[[#This Row],[As,mín (cm²)]]/100^2*HC[[#This Row],[Comprimento (m)]]*7850</f>
        <v>48.33654456813256</v>
      </c>
      <c r="AH222" s="4">
        <f ca="1">HC[[#This Row],[nE]]*HC[[#This Row],[Prof. (m)]]*HC[[#This Row],[Ap (m²)]]</f>
        <v>16.163494202719484</v>
      </c>
      <c r="AI222" s="1">
        <f ca="1">IF(HC[[#This Row],[nE]]=1,0,MAX(3*HC[[#This Row],[Ø (cm)]],60))</f>
        <v>210</v>
      </c>
      <c r="AJ222" s="1">
        <f ca="1">IF(HC[[#This Row],[nE]]=1,HC[[#This Row],[Ø (cm)]]+2*10,MAX(1.5*HC[[#This Row],[Ø (cm)]],HC[[#This Row],[Ø (cm)]]+15))</f>
        <v>105</v>
      </c>
      <c r="AK222" s="1" t="str">
        <f ca="1">alturaUtil(HC[[#This Row],[nE]],HC[[#This Row],[Ø (cm)]],HC[[#This Row],[e (cm)]],HC[[#This Row],[ap,eq (cm)]])</f>
        <v>N.S.</v>
      </c>
      <c r="AL222" s="1" t="str">
        <f ca="1">IFERROR(HC[[#This Row],[d (cm)]]+arredondarParaCimaMultiplo5cm(MAX(5,SQRT(PI())/2*HC[[#This Row],[Ø (cm)]]/5)),"N.S.")</f>
        <v>N.S.</v>
      </c>
      <c r="AM222" s="5" t="str">
        <f ca="1">alpha(HC[[#This Row],[nE]],HC[[#This Row],[d (cm)]],HC[[#This Row],[e (cm)]],HC[[#This Row],[ap,eq (cm)]])</f>
        <v>N.S.</v>
      </c>
      <c r="AN222" s="35" t="str">
        <f ca="1">IFERROR(HC[[#This Row],[Nsd (kN)]]/(HC[[#This Row],[Ap (cm²)]]*SIN(HC[[#This Row],[α]])^2),"N.S.")</f>
        <v>N.S.</v>
      </c>
      <c r="AO222" s="35" t="str">
        <f ca="1">IFERROR(HC[[#This Row],[Nsd (kN)]]/(HC[[#This Row],[nE]]*PI()*HC[[#This Row],[Ø (cm)]]^2/4*SIN(HC[[#This Row],[α]])^2),"N.S.")</f>
        <v>N.S.</v>
      </c>
      <c r="AP222" s="4" t="str">
        <f ca="1">IFERROR(INDEX(grupoEstacas[],HC[[#This Row],[nE]],MATCH("coef. Blévot",grupoEstacas[#Headers],0)),"N.S.")</f>
        <v>N.S.</v>
      </c>
      <c r="AQ222" s="35" t="str">
        <f ca="1">IFERROR(HC[[#This Row],[coef. Blévot]]*0.9*INDEX(tipoEstaca[],MATCH($D$2,tipoEstaca[TIPO DE ESTACA],0),MATCH("fcd (kN/cm²)",tipoEstaca[#Headers],0)),"N.S.")</f>
        <v>N.S.</v>
      </c>
      <c r="AR222" s="1" t="str">
        <f ca="1">IF(AND(HC[[#This Row],[cd,b,pil (kN/cm²)]]&lt;=HC[[#This Row],[cd,b,lim (kN/cm²)]],HC[[#This Row],[cd,b,est (kN/cm²)]]&lt;=HC[[#This Row],[cd,b,lim (kN/cm²)]]),"OK","ERRO")</f>
        <v>OK</v>
      </c>
      <c r="AS222" s="4" t="str">
        <f ca="1">As_lado(HC[[#This Row],[nE]],HC[[#This Row],[Nsd (kN)]],HC[[#This Row],[d (cm)]],HC[[#This Row],[e (cm)]],HC[[#This Row],[ap,eq (cm)]])</f>
        <v>N.S.</v>
      </c>
      <c r="AT222" s="4" t="str">
        <f ca="1">IF(HC[[#This Row],[nE]]=1,HC[[#This Row],[As,lado (cm²)]],IF(HC[[#This Row],[nE]]=2,0.075*2*HC[a (cm)],"N.A."))</f>
        <v>N.A.</v>
      </c>
      <c r="AU222" s="4" t="str">
        <f ca="1">IFERROR(IF(HC[[#This Row],[nE]]=1,"N.A.",0.2*HC[[#This Row],[As,lado (cm²)]]),"N.S.")</f>
        <v>N.S.</v>
      </c>
      <c r="AV222" s="4" t="str">
        <f ca="1">As_malha(HC[[#This Row],[nE]],HC[[#This Row],[As,lado (cm²)]],HC[[#This Row],[Nsd (kN)]])</f>
        <v>N.S.</v>
      </c>
      <c r="AW222" s="4" t="str">
        <f ca="1">As_susp_tot(HC[[#This Row],[nE]],HC[[#This Row],[Nsd (kN)]])</f>
        <v>N.S.</v>
      </c>
      <c r="AX222" s="4" t="str">
        <f ca="1">Asp_face(HC[[#This Row],[nE]],HC[[#This Row],[As,lado (cm²)]])</f>
        <v>N.S.</v>
      </c>
      <c r="AY222" s="5" t="str">
        <f ca="1">acoBloco(HC[[#This Row],[nE]],HC[[#This Row],[e (cm)]],HC[[#This Row],[a (cm)]],HC[[#This Row],[h (cm)]],HC[[#This Row],[As,lado (cm²)]],HC[[#This Row],[Asp e Asw (cm²/m)]],HC[[#This Row],[As,sup (cm²)]],HC[[#This Row],[As,malha (cm²)]],HC[[#This Row],[As,susp,tot (cm²)]],HC[[#This Row],[Asp,face (cm²)]])</f>
        <v>N.S.</v>
      </c>
      <c r="AZ222" s="4" t="str">
        <f ca="1">concretoBloco(HC[[#This Row],[nE]],HC[[#This Row],[e (cm)]],HC[[#This Row],[a (cm)]],HC[[#This Row],[h (cm)]])</f>
        <v>N.S.</v>
      </c>
      <c r="BA222" s="5">
        <f ca="1">SUM(HC[[#This Row],[Aço Est (kg)]],HC[[#This Row],[Aço Bloco (kg)]])</f>
        <v>48.33654456813256</v>
      </c>
      <c r="BB222" s="4">
        <f>INDEX(composicoes[],MATCH(95580,composicoes[CÓDIGO],0),MATCH("CUSTO TOTAL",composicoes[#Headers],0))</f>
        <v>10.46</v>
      </c>
      <c r="BC222" s="4">
        <f ca="1">SUM(HC[[#This Row],[Conc Est (m³)]],HC[[#This Row],[Conc Bloco (m³)]])</f>
        <v>16.163494202719484</v>
      </c>
      <c r="BD222" s="4">
        <f>INDEX(composicoes[],MATCH(94966,composicoes[CÓDIGO],0),MATCH("CUSTO TOTAL",composicoes[#Headers],0))</f>
        <v>439.52</v>
      </c>
      <c r="BE222" s="38">
        <f ca="1">HC[[#This Row],[Aço (kg)]]*HC[[#This Row],[Aço (R$/kg)]]+HC[[#This Row],[Conc (m³)]]*HC[[#This Row],[Conc (R$/m³)]]</f>
        <v>7609.7792281619331</v>
      </c>
      <c r="BF222" s="4" t="str">
        <f ca="1">IF(COUNTIF(HC[#This Row],"N.S.")&gt;0,"lim.","OK")</f>
        <v>lim.</v>
      </c>
      <c r="BG222" s="4" t="str">
        <f>IF(HC[[#This Row],[Prof. (m)]]&lt;4,"lim.","OK")</f>
        <v>OK</v>
      </c>
      <c r="BH222" s="4" t="str">
        <f>IF(HC[[#This Row],[Prof. (m)]]&gt;=8*HC[[#This Row],[Ø (cm)]]/100,"OK","lim.")</f>
        <v>OK</v>
      </c>
      <c r="BI222" s="4" t="str">
        <f ca="1">IF(HC[[#This Row],[Verif. Biela]]="OK","OK","lim.")</f>
        <v>OK</v>
      </c>
      <c r="BJ222" s="4" t="str">
        <f ca="1">IF(COUNTA(HC[[#This Row],[Nº Est.]:[Biela comp.]])=COUNTIF(HC[[#This Row],[Nº Est.]:[Biela comp.]],"OK"),"OK","lim.")</f>
        <v>lim.</v>
      </c>
      <c r="BK222" s="4" t="str">
        <f ca="1">IF(HC[[#This Row],[Controle]]="OK",HC[[#This Row],[nE]]&amp;" Ø"&amp;HC[[#This Row],[Ø (cm)]]&amp;"cm Prof. "&amp;HC[[#This Row],[Prof. (m)]]&amp;" m","")</f>
        <v/>
      </c>
      <c r="BL222" s="4" t="str">
        <f ca="1">IF(HC[[#This Row],[idDimensionamento]]="","",HC[[#This Row],[idPilar]]&amp;HC[[#This Row],[idDimensionamento]])</f>
        <v/>
      </c>
    </row>
    <row r="223" spans="2:64" x14ac:dyDescent="0.25">
      <c r="B223" s="12">
        <f>ROUNDUP((ROW(HC[[#This Row],[idDiâmetro]])-ROW(HC[[#Headers],[idDiâmetro]]))/(COUNT(SPT[Prof. (m)])*COUNT(PILARES[Pilar])),0)</f>
        <v>8</v>
      </c>
      <c r="C223" s="12">
        <f>IF(HC[[#This Row],[idDiâmetro]]&lt;&gt;B222,1,IF(HC[[#This Row],[Prof. (m)]]=0,C222+1,C222))</f>
        <v>2</v>
      </c>
      <c r="D223" s="1">
        <f>IFERROR(IF(D222=MAX(SPT[Prof. (m)]),0,D222+1),0)</f>
        <v>8</v>
      </c>
      <c r="E223" s="1">
        <f>INDEX(SPT[],MATCH(HC[[#This Row],[Prof. (m)]],SPT[Prof. (m)],0),2)</f>
        <v>10</v>
      </c>
      <c r="F223" s="1" t="str">
        <f>INDEX(SPT[],MATCH(HC[[#This Row],[Prof. (m)]],SPT[Prof. (m)],0),3)</f>
        <v>Silte arenoso</v>
      </c>
      <c r="G223" s="1">
        <f>INDEX(estacas[],HC[[#This Row],[idDiâmetro]],MATCH($B$2,estacas[#Headers],0))</f>
        <v>70</v>
      </c>
      <c r="H223" s="1">
        <f>INDEX(estacas[],MATCH(HC[[#This Row],[Ø (cm)]],estacas[Ø HC (cm)],0),MATCH(HC[[#Headers],[Pe HC (kN)]],estacas[#Headers],0))</f>
        <v>2450</v>
      </c>
      <c r="I223" s="4">
        <f>INDEX(K_alpha_C[],MATCH(HC[[#This Row],[Solo]],K_alpha_C[Solo],0),2)</f>
        <v>0.55000000000000004</v>
      </c>
      <c r="J223" s="5">
        <f>INDEX(K_alpha_C[],MATCH(HC[[#This Row],[Solo]],K_alpha_C[Solo],0),3)</f>
        <v>2.2000000000000002</v>
      </c>
      <c r="K223" s="4">
        <f>INDEX(F1_F2[],MATCH($D$2,F1_F2[Tipo de estaca],0),2)</f>
        <v>2</v>
      </c>
      <c r="L223" s="4">
        <f>INDEX(F1_F2[],MATCH($D$2,F1_F2[Tipo de estaca],0),3)</f>
        <v>4</v>
      </c>
      <c r="M223" s="4">
        <f>PI()*(HC[[#This Row],[Ø (cm)]]/100)^2/4</f>
        <v>0.38484510006474959</v>
      </c>
      <c r="N223" s="4">
        <f>PI()*HC[[#This Row],[Ø (cm)]]/100</f>
        <v>2.1991148575128552</v>
      </c>
      <c r="O223" s="4">
        <f>IF(HC[[#This Row],[Prof. (m)]]=0,0,HC[[#This Row],[α (%)]]/100*HC[[#This Row],[K (MPa)]]*1000*HC[[#This Row],[NSPT]])</f>
        <v>121.00000000000001</v>
      </c>
      <c r="P223" s="4">
        <f>IF(HC[[#This Row],[Prof. (m)]]=0,0,(HC[[#This Row],[K (MPa)]]*1000*HC[[#This Row],[NSPT]]/HC[[#This Row],[F1]]*HC[[#This Row],[Ap (m²)]]+HC[[#This Row],[U (m)]]/HC[[#This Row],[F2]]*SUMIFS(HC[(α∙K∙NL∙ΔL)],HC[Prof. (m)],"&lt;="&amp;HC[[#This Row],[Prof. (m)]],HC[idDiâmetro],HC[[#This Row],[idDiâmetro]],HC[idPilar],HC[[#This Row],[idPilar]]))/'DADOS CAP. CARGA'!$D$2)</f>
        <v>804.02388084241875</v>
      </c>
      <c r="Q223" s="12">
        <f>INDEX(C_alpha_beta[],MATCH(HC[[#This Row],[Solo]],C_alpha_beta[Solo],0),MATCH(HC[[#Headers],[C (kPa)]],C_alpha_beta[#Headers],0))</f>
        <v>250</v>
      </c>
      <c r="R223" s="4">
        <f>INDEX(C_alpha_beta[],MATCH(HC[[#This Row],[Solo]],C_alpha_beta[Solo],0),MATCH(HC[[#Headers],[α ESF]],C_alpha_beta[#Headers],0))</f>
        <v>0.6</v>
      </c>
      <c r="S223" s="4">
        <f>INDEX(C_alpha_beta[],MATCH(HC[[#This Row],[Solo]],C_alpha_beta[Solo],0),MATCH(HC[[#Headers],[β ESF]],C_alpha_beta[#Headers],0))</f>
        <v>0.65</v>
      </c>
      <c r="T223" s="4">
        <f>IF(HC[[#This Row],[Prof. (m)]]=0,0,10*(HC[[#This Row],[NSPT]]/3+1))</f>
        <v>43.333333333333343</v>
      </c>
      <c r="U223" s="4">
        <f>(HC[[#This Row],[α ESF]]*HC[[#This Row],[C (kPa)]]*HC[[#This Row],[NSPT]]*HC[[#This Row],[Ap (m²)]])/'DADOS CAP. CARGA'!$Q$2+(HC[[#This Row],[β ESF]]*SUMIFS(HC[10∙(NL/3+1)],HC[Prof. (m)],"&lt;="&amp;HC[[#This Row],[Prof. (m)]],HC[idDiâmetro],HC[[#This Row],[idDiâmetro]],HC[idPilar],HC[[#This Row],[idPilar]])*HC[[#This Row],[U (m)]])/'DADOS CAP. CARGA'!$S$2</f>
        <v>373.02485770561805</v>
      </c>
      <c r="V223" s="4">
        <f>IF(SPT!$M$5=1,MIN(HC[[#This Row],[Pe HC (kN)]],HC[[#This Row],[R_AV (kN)]]),IF(SPT!$M$5=2,MIN(HC[[#This Row],[Pe HC (kN)]],HC[[#This Row],[R_DC (kN)]]),MIN(HC[[#This Row],[Pe HC (kN)]],HC[[#This Row],[R_AV (kN)]],HC[[#This Row],[R_DC (kN)]])))</f>
        <v>373.02485770561805</v>
      </c>
      <c r="W223" s="4">
        <f>INDEX(PILARES[],HC[[#This Row],[idPilar]],MATCH("Carga (kN)",PILARES[#Headers],0))*1.4</f>
        <v>1750</v>
      </c>
      <c r="X223" s="12">
        <f>INDEX(PILARES[],HC[[#This Row],[idPilar]],MATCH(HC[[#Headers],[ap (cm)]],PILARES[#Headers],0))</f>
        <v>50</v>
      </c>
      <c r="Y223" s="12">
        <f>INDEX(PILARES[],HC[[#This Row],[idPilar]],MATCH(HC[[#Headers],[bp (cm)]],PILARES[#Headers],0))</f>
        <v>40</v>
      </c>
      <c r="Z223" s="4">
        <f>SQRT(HC[[#This Row],[ap (cm)]]*HC[[#This Row],[bp (cm)]])</f>
        <v>44.721359549995796</v>
      </c>
      <c r="AA223" s="12">
        <f>HC[[#This Row],[ap (cm)]]*HC[[#This Row],[bp (cm)]]</f>
        <v>2000</v>
      </c>
      <c r="AB223" s="12">
        <f ca="1">IF(HC[[#This Row],[Padm∙ε (kN)]]&gt;=HC[[#This Row],[Padm (kN)]],ROUNDUP(1.05*HC[[#This Row],[Nsd (kN)]]/HC[[#This Row],[Padm (kN)]],0),ROUNDUP(1.05*HC[[#This Row],[Nsd (kN)]]/HC[[#This Row],[Padm (kN)]],0)+1)</f>
        <v>5</v>
      </c>
      <c r="AC223" s="4" t="str">
        <f ca="1">IFERROR(IF(HC[[#This Row],[nE]]=1,HC[[#This Row],[Padm (kN)]],HC[[#This Row],[Padm (kN)]]*HC[[#This Row],[nE]]*INDEX(grupoEstacas[],HC[[#This Row],[nE]],MATCH("ε",grupoEstacas[#Headers],0))),"N.S.")</f>
        <v>N.S.</v>
      </c>
      <c r="AD223" s="4">
        <f ca="1">1.05*HC[[#This Row],[Nsd (kN)]]/(HC[[#This Row],[nE]]*PI()*HC[[#This Row],[Ø (cm)]]^2/4)*10</f>
        <v>0.95492965855137213</v>
      </c>
      <c r="AE223" s="4">
        <f ca="1">IF(HC[[#This Row],[σ (MPa)]]&lt;INDEX(tipoEstaca[],MATCH($D$2,tipoEstaca[TIPO DE ESTACA],0),MATCH("σmáx (MPa)",tipoEstaca[#Headers],0)),0.4%*PI()*HC[[#This Row],[Ø (cm)]]^2/4,"N.S.")</f>
        <v>15.393804002589988</v>
      </c>
      <c r="AF223" s="1">
        <f>INDEX(tipoEstaca[],MATCH($D$2,tipoEstaca[TIPO DE ESTACA],0),MATCH(HC[[#Headers],[Comprimento (m)]],tipoEstaca[#Headers],0))</f>
        <v>4</v>
      </c>
      <c r="AG223" s="5">
        <f ca="1">HC[[#This Row],[As,mín (cm²)]]/100^2*HC[[#This Row],[Comprimento (m)]]*7850</f>
        <v>48.33654456813256</v>
      </c>
      <c r="AH223" s="4">
        <f ca="1">HC[[#This Row],[nE]]*HC[[#This Row],[Prof. (m)]]*HC[[#This Row],[Ap (m²)]]</f>
        <v>15.393804002589984</v>
      </c>
      <c r="AI223" s="1">
        <f ca="1">IF(HC[[#This Row],[nE]]=1,0,MAX(3*HC[[#This Row],[Ø (cm)]],60))</f>
        <v>210</v>
      </c>
      <c r="AJ223" s="1">
        <f ca="1">IF(HC[[#This Row],[nE]]=1,HC[[#This Row],[Ø (cm)]]+2*10,MAX(1.5*HC[[#This Row],[Ø (cm)]],HC[[#This Row],[Ø (cm)]]+15))</f>
        <v>105</v>
      </c>
      <c r="AK223" s="1" t="str">
        <f ca="1">alturaUtil(HC[[#This Row],[nE]],HC[[#This Row],[Ø (cm)]],HC[[#This Row],[e (cm)]],HC[[#This Row],[ap,eq (cm)]])</f>
        <v>N.S.</v>
      </c>
      <c r="AL223" s="1" t="str">
        <f ca="1">IFERROR(HC[[#This Row],[d (cm)]]+arredondarParaCimaMultiplo5cm(MAX(5,SQRT(PI())/2*HC[[#This Row],[Ø (cm)]]/5)),"N.S.")</f>
        <v>N.S.</v>
      </c>
      <c r="AM223" s="5" t="str">
        <f ca="1">alpha(HC[[#This Row],[nE]],HC[[#This Row],[d (cm)]],HC[[#This Row],[e (cm)]],HC[[#This Row],[ap,eq (cm)]])</f>
        <v>N.S.</v>
      </c>
      <c r="AN223" s="35" t="str">
        <f ca="1">IFERROR(HC[[#This Row],[Nsd (kN)]]/(HC[[#This Row],[Ap (cm²)]]*SIN(HC[[#This Row],[α]])^2),"N.S.")</f>
        <v>N.S.</v>
      </c>
      <c r="AO223" s="35" t="str">
        <f ca="1">IFERROR(HC[[#This Row],[Nsd (kN)]]/(HC[[#This Row],[nE]]*PI()*HC[[#This Row],[Ø (cm)]]^2/4*SIN(HC[[#This Row],[α]])^2),"N.S.")</f>
        <v>N.S.</v>
      </c>
      <c r="AP223" s="4" t="str">
        <f ca="1">IFERROR(INDEX(grupoEstacas[],HC[[#This Row],[nE]],MATCH("coef. Blévot",grupoEstacas[#Headers],0)),"N.S.")</f>
        <v>N.S.</v>
      </c>
      <c r="AQ223" s="35" t="str">
        <f ca="1">IFERROR(HC[[#This Row],[coef. Blévot]]*0.9*INDEX(tipoEstaca[],MATCH($D$2,tipoEstaca[TIPO DE ESTACA],0),MATCH("fcd (kN/cm²)",tipoEstaca[#Headers],0)),"N.S.")</f>
        <v>N.S.</v>
      </c>
      <c r="AR223" s="1" t="str">
        <f ca="1">IF(AND(HC[[#This Row],[cd,b,pil (kN/cm²)]]&lt;=HC[[#This Row],[cd,b,lim (kN/cm²)]],HC[[#This Row],[cd,b,est (kN/cm²)]]&lt;=HC[[#This Row],[cd,b,lim (kN/cm²)]]),"OK","ERRO")</f>
        <v>OK</v>
      </c>
      <c r="AS223" s="4" t="str">
        <f ca="1">As_lado(HC[[#This Row],[nE]],HC[[#This Row],[Nsd (kN)]],HC[[#This Row],[d (cm)]],HC[[#This Row],[e (cm)]],HC[[#This Row],[ap,eq (cm)]])</f>
        <v>N.S.</v>
      </c>
      <c r="AT223" s="4" t="str">
        <f ca="1">IF(HC[[#This Row],[nE]]=1,HC[[#This Row],[As,lado (cm²)]],IF(HC[[#This Row],[nE]]=2,0.075*2*HC[a (cm)],"N.A."))</f>
        <v>N.A.</v>
      </c>
      <c r="AU223" s="4" t="str">
        <f ca="1">IFERROR(IF(HC[[#This Row],[nE]]=1,"N.A.",0.2*HC[[#This Row],[As,lado (cm²)]]),"N.S.")</f>
        <v>N.S.</v>
      </c>
      <c r="AV223" s="4" t="str">
        <f ca="1">As_malha(HC[[#This Row],[nE]],HC[[#This Row],[As,lado (cm²)]],HC[[#This Row],[Nsd (kN)]])</f>
        <v>N.S.</v>
      </c>
      <c r="AW223" s="4" t="str">
        <f ca="1">As_susp_tot(HC[[#This Row],[nE]],HC[[#This Row],[Nsd (kN)]])</f>
        <v>N.S.</v>
      </c>
      <c r="AX223" s="4" t="str">
        <f ca="1">Asp_face(HC[[#This Row],[nE]],HC[[#This Row],[As,lado (cm²)]])</f>
        <v>N.S.</v>
      </c>
      <c r="AY223" s="5" t="str">
        <f ca="1">acoBloco(HC[[#This Row],[nE]],HC[[#This Row],[e (cm)]],HC[[#This Row],[a (cm)]],HC[[#This Row],[h (cm)]],HC[[#This Row],[As,lado (cm²)]],HC[[#This Row],[Asp e Asw (cm²/m)]],HC[[#This Row],[As,sup (cm²)]],HC[[#This Row],[As,malha (cm²)]],HC[[#This Row],[As,susp,tot (cm²)]],HC[[#This Row],[Asp,face (cm²)]])</f>
        <v>N.S.</v>
      </c>
      <c r="AZ223" s="4" t="str">
        <f ca="1">concretoBloco(HC[[#This Row],[nE]],HC[[#This Row],[e (cm)]],HC[[#This Row],[a (cm)]],HC[[#This Row],[h (cm)]])</f>
        <v>N.S.</v>
      </c>
      <c r="BA223" s="5">
        <f ca="1">SUM(HC[[#This Row],[Aço Est (kg)]],HC[[#This Row],[Aço Bloco (kg)]])</f>
        <v>48.33654456813256</v>
      </c>
      <c r="BB223" s="4">
        <f>INDEX(composicoes[],MATCH(95580,composicoes[CÓDIGO],0),MATCH("CUSTO TOTAL",composicoes[#Headers],0))</f>
        <v>10.46</v>
      </c>
      <c r="BC223" s="4">
        <f ca="1">SUM(HC[[#This Row],[Conc Est (m³)]],HC[[#This Row],[Conc Bloco (m³)]])</f>
        <v>15.393804002589984</v>
      </c>
      <c r="BD223" s="4">
        <f>INDEX(composicoes[],MATCH(94966,composicoes[CÓDIGO],0),MATCH("CUSTO TOTAL",composicoes[#Headers],0))</f>
        <v>439.52</v>
      </c>
      <c r="BE223" s="38">
        <f ca="1">HC[[#This Row],[Aço (kg)]]*HC[[#This Row],[Aço (R$/kg)]]+HC[[#This Row],[Conc (m³)]]*HC[[#This Row],[Conc (R$/m³)]]</f>
        <v>7271.4849914010156</v>
      </c>
      <c r="BF223" s="4" t="str">
        <f ca="1">IF(COUNTIF(HC[#This Row],"N.S.")&gt;0,"lim.","OK")</f>
        <v>lim.</v>
      </c>
      <c r="BG223" s="4" t="str">
        <f>IF(HC[[#This Row],[Prof. (m)]]&lt;4,"lim.","OK")</f>
        <v>OK</v>
      </c>
      <c r="BH223" s="4" t="str">
        <f>IF(HC[[#This Row],[Prof. (m)]]&gt;=8*HC[[#This Row],[Ø (cm)]]/100,"OK","lim.")</f>
        <v>OK</v>
      </c>
      <c r="BI223" s="4" t="str">
        <f ca="1">IF(HC[[#This Row],[Verif. Biela]]="OK","OK","lim.")</f>
        <v>OK</v>
      </c>
      <c r="BJ223" s="4" t="str">
        <f ca="1">IF(COUNTA(HC[[#This Row],[Nº Est.]:[Biela comp.]])=COUNTIF(HC[[#This Row],[Nº Est.]:[Biela comp.]],"OK"),"OK","lim.")</f>
        <v>lim.</v>
      </c>
      <c r="BK223" s="4" t="str">
        <f ca="1">IF(HC[[#This Row],[Controle]]="OK",HC[[#This Row],[nE]]&amp;" Ø"&amp;HC[[#This Row],[Ø (cm)]]&amp;"cm Prof. "&amp;HC[[#This Row],[Prof. (m)]]&amp;" m","")</f>
        <v/>
      </c>
      <c r="BL223" s="4" t="str">
        <f ca="1">IF(HC[[#This Row],[idDimensionamento]]="","",HC[[#This Row],[idPilar]]&amp;HC[[#This Row],[idDimensionamento]])</f>
        <v/>
      </c>
    </row>
    <row r="224" spans="2:64" x14ac:dyDescent="0.25">
      <c r="B224" s="12">
        <f>ROUNDUP((ROW(HC[[#This Row],[idDiâmetro]])-ROW(HC[[#Headers],[idDiâmetro]]))/(COUNT(SPT[Prof. (m)])*COUNT(PILARES[Pilar])),0)</f>
        <v>8</v>
      </c>
      <c r="C224" s="12">
        <f>IF(HC[[#This Row],[idDiâmetro]]&lt;&gt;B223,1,IF(HC[[#This Row],[Prof. (m)]]=0,C223+1,C223))</f>
        <v>2</v>
      </c>
      <c r="D224" s="1">
        <f>IFERROR(IF(D223=MAX(SPT[Prof. (m)]),0,D223+1),0)</f>
        <v>9</v>
      </c>
      <c r="E224" s="1">
        <f>INDEX(SPT[],MATCH(HC[[#This Row],[Prof. (m)]],SPT[Prof. (m)],0),2)</f>
        <v>26</v>
      </c>
      <c r="F224" s="1" t="str">
        <f>INDEX(SPT[],MATCH(HC[[#This Row],[Prof. (m)]],SPT[Prof. (m)],0),3)</f>
        <v>Areia siltosa</v>
      </c>
      <c r="G224" s="1">
        <f>INDEX(estacas[],HC[[#This Row],[idDiâmetro]],MATCH($B$2,estacas[#Headers],0))</f>
        <v>70</v>
      </c>
      <c r="H224" s="1">
        <f>INDEX(estacas[],MATCH(HC[[#This Row],[Ø (cm)]],estacas[Ø HC (cm)],0),MATCH(HC[[#Headers],[Pe HC (kN)]],estacas[#Headers],0))</f>
        <v>2450</v>
      </c>
      <c r="I224" s="4">
        <f>INDEX(K_alpha_C[],MATCH(HC[[#This Row],[Solo]],K_alpha_C[Solo],0),2)</f>
        <v>0.8</v>
      </c>
      <c r="J224" s="5">
        <f>INDEX(K_alpha_C[],MATCH(HC[[#This Row],[Solo]],K_alpha_C[Solo],0),3)</f>
        <v>2</v>
      </c>
      <c r="K224" s="4">
        <f>INDEX(F1_F2[],MATCH($D$2,F1_F2[Tipo de estaca],0),2)</f>
        <v>2</v>
      </c>
      <c r="L224" s="4">
        <f>INDEX(F1_F2[],MATCH($D$2,F1_F2[Tipo de estaca],0),3)</f>
        <v>4</v>
      </c>
      <c r="M224" s="4">
        <f>PI()*(HC[[#This Row],[Ø (cm)]]/100)^2/4</f>
        <v>0.38484510006474959</v>
      </c>
      <c r="N224" s="4">
        <f>PI()*HC[[#This Row],[Ø (cm)]]/100</f>
        <v>2.1991148575128552</v>
      </c>
      <c r="O224" s="4">
        <f>IF(HC[[#This Row],[Prof. (m)]]=0,0,HC[[#This Row],[α (%)]]/100*HC[[#This Row],[K (MPa)]]*1000*HC[[#This Row],[NSPT]])</f>
        <v>416</v>
      </c>
      <c r="P224" s="4">
        <f>IF(HC[[#This Row],[Prof. (m)]]=0,0,(HC[[#This Row],[K (MPa)]]*1000*HC[[#This Row],[NSPT]]/HC[[#This Row],[F1]]*HC[[#This Row],[Ap (m²)]]+HC[[#This Row],[U (m)]]/HC[[#This Row],[F2]]*SUMIFS(HC[(α∙K∙NL∙ΔL)],HC[Prof. (m)],"&lt;="&amp;HC[[#This Row],[Prof. (m)]],HC[idDiâmetro],HC[[#This Row],[idDiâmetro]],HC[idPilar],HC[[#This Row],[idPilar]]))/'DADOS CAP. CARGA'!$D$2)</f>
        <v>2390.4103611807545</v>
      </c>
      <c r="Q224" s="12">
        <f>INDEX(C_alpha_beta[],MATCH(HC[[#This Row],[Solo]],C_alpha_beta[Solo],0),MATCH(HC[[#Headers],[C (kPa)]],C_alpha_beta[#Headers],0))</f>
        <v>400</v>
      </c>
      <c r="R224" s="4">
        <f>INDEX(C_alpha_beta[],MATCH(HC[[#This Row],[Solo]],C_alpha_beta[Solo],0),MATCH(HC[[#Headers],[α ESF]],C_alpha_beta[#Headers],0))</f>
        <v>0.5</v>
      </c>
      <c r="S224" s="4">
        <f>INDEX(C_alpha_beta[],MATCH(HC[[#This Row],[Solo]],C_alpha_beta[Solo],0),MATCH(HC[[#Headers],[β ESF]],C_alpha_beta[#Headers],0))</f>
        <v>0.5</v>
      </c>
      <c r="T224" s="4">
        <f>IF(HC[[#This Row],[Prof. (m)]]=0,0,10*(HC[[#This Row],[NSPT]]/3+1))</f>
        <v>96.666666666666657</v>
      </c>
      <c r="U224" s="4">
        <f>(HC[[#This Row],[α ESF]]*HC[[#This Row],[C (kPa)]]*HC[[#This Row],[NSPT]]*HC[[#This Row],[Ap (m²)]])/'DADOS CAP. CARGA'!$Q$2+(HC[[#This Row],[β ESF]]*SUMIFS(HC[10∙(NL/3+1)],HC[Prof. (m)],"&lt;="&amp;HC[[#This Row],[Prof. (m)]],HC[idDiâmetro],HC[[#This Row],[idDiâmetro]],HC[idPilar],HC[[#This Row],[idPilar]])*HC[[#This Row],[U (m)]])/'DADOS CAP. CARGA'!$S$2</f>
        <v>729.37309440843023</v>
      </c>
      <c r="V224" s="4">
        <f>IF(SPT!$M$5=1,MIN(HC[[#This Row],[Pe HC (kN)]],HC[[#This Row],[R_AV (kN)]]),IF(SPT!$M$5=2,MIN(HC[[#This Row],[Pe HC (kN)]],HC[[#This Row],[R_DC (kN)]]),MIN(HC[[#This Row],[Pe HC (kN)]],HC[[#This Row],[R_AV (kN)]],HC[[#This Row],[R_DC (kN)]])))</f>
        <v>729.37309440843023</v>
      </c>
      <c r="W224" s="4">
        <f>INDEX(PILARES[],HC[[#This Row],[idPilar]],MATCH("Carga (kN)",PILARES[#Headers],0))*1.4</f>
        <v>1750</v>
      </c>
      <c r="X224" s="12">
        <f>INDEX(PILARES[],HC[[#This Row],[idPilar]],MATCH(HC[[#Headers],[ap (cm)]],PILARES[#Headers],0))</f>
        <v>50</v>
      </c>
      <c r="Y224" s="12">
        <f>INDEX(PILARES[],HC[[#This Row],[idPilar]],MATCH(HC[[#Headers],[bp (cm)]],PILARES[#Headers],0))</f>
        <v>40</v>
      </c>
      <c r="Z224" s="4">
        <f>SQRT(HC[[#This Row],[ap (cm)]]*HC[[#This Row],[bp (cm)]])</f>
        <v>44.721359549995796</v>
      </c>
      <c r="AA224" s="12">
        <f>HC[[#This Row],[ap (cm)]]*HC[[#This Row],[bp (cm)]]</f>
        <v>2000</v>
      </c>
      <c r="AB224" s="12">
        <f ca="1">IF(HC[[#This Row],[Padm∙ε (kN)]]&gt;=HC[[#This Row],[Padm (kN)]],ROUNDUP(1.05*HC[[#This Row],[Nsd (kN)]]/HC[[#This Row],[Padm (kN)]],0),ROUNDUP(1.05*HC[[#This Row],[Nsd (kN)]]/HC[[#This Row],[Padm (kN)]],0)+1)</f>
        <v>3</v>
      </c>
      <c r="AC224" s="4">
        <f ca="1">IFERROR(IF(HC[[#This Row],[nE]]=1,HC[[#This Row],[Padm (kN)]],HC[[#This Row],[Padm (kN)]]*HC[[#This Row],[nE]]*INDEX(grupoEstacas[],HC[[#This Row],[nE]],MATCH("ε",grupoEstacas[#Headers],0))),"N.S.")</f>
        <v>1914.6043728221296</v>
      </c>
      <c r="AD224" s="4">
        <f ca="1">1.05*HC[[#This Row],[Nsd (kN)]]/(HC[[#This Row],[nE]]*PI()*HC[[#This Row],[Ø (cm)]]^2/4)*10</f>
        <v>1.5915494309189535</v>
      </c>
      <c r="AE224" s="4">
        <f ca="1">IF(HC[[#This Row],[σ (MPa)]]&lt;INDEX(tipoEstaca[],MATCH($D$2,tipoEstaca[TIPO DE ESTACA],0),MATCH("σmáx (MPa)",tipoEstaca[#Headers],0)),0.4%*PI()*HC[[#This Row],[Ø (cm)]]^2/4,"N.S.")</f>
        <v>15.393804002589988</v>
      </c>
      <c r="AF224" s="1">
        <f>INDEX(tipoEstaca[],MATCH($D$2,tipoEstaca[TIPO DE ESTACA],0),MATCH(HC[[#Headers],[Comprimento (m)]],tipoEstaca[#Headers],0))</f>
        <v>4</v>
      </c>
      <c r="AG224" s="5">
        <f ca="1">HC[[#This Row],[As,mín (cm²)]]/100^2*HC[[#This Row],[Comprimento (m)]]*7850</f>
        <v>48.33654456813256</v>
      </c>
      <c r="AH224" s="4">
        <f ca="1">HC[[#This Row],[nE]]*HC[[#This Row],[Prof. (m)]]*HC[[#This Row],[Ap (m²)]]</f>
        <v>10.390817701748238</v>
      </c>
      <c r="AI224" s="1">
        <f ca="1">IF(HC[[#This Row],[nE]]=1,0,MAX(3*HC[[#This Row],[Ø (cm)]],60))</f>
        <v>210</v>
      </c>
      <c r="AJ224" s="1">
        <f ca="1">IF(HC[[#This Row],[nE]]=1,HC[[#This Row],[Ø (cm)]]+2*10,MAX(1.5*HC[[#This Row],[Ø (cm)]],HC[[#This Row],[Ø (cm)]]+15))</f>
        <v>105</v>
      </c>
      <c r="AK224" s="1">
        <f ca="1">alturaUtil(HC[[#This Row],[nE]],HC[[#This Row],[Ø (cm)]],HC[[#This Row],[e (cm)]],HC[[#This Row],[ap,eq (cm)]])</f>
        <v>95</v>
      </c>
      <c r="AL224" s="1">
        <f ca="1">IFERROR(HC[[#This Row],[d (cm)]]+arredondarParaCimaMultiplo5cm(MAX(5,SQRT(PI())/2*HC[[#This Row],[Ø (cm)]]/5)),"N.S.")</f>
        <v>110</v>
      </c>
      <c r="AM224" s="5">
        <f ca="1">alpha(HC[[#This Row],[nE]],HC[[#This Row],[d (cm)]],HC[[#This Row],[e (cm)]],HC[[#This Row],[ap,eq (cm)]])</f>
        <v>46.048987631421006</v>
      </c>
      <c r="AN224" s="35">
        <f ca="1">IFERROR(HC[[#This Row],[Nsd (kN)]]/(HC[[#This Row],[Ap (cm²)]]*SIN(HC[[#This Row],[α]])^2),"N.S.")</f>
        <v>1.1310799422436715</v>
      </c>
      <c r="AO224" s="35">
        <f ca="1">IFERROR(HC[[#This Row],[Nsd (kN)]]/(HC[[#This Row],[nE]]*PI()*HC[[#This Row],[Ø (cm)]]^2/4*SIN(HC[[#This Row],[α]])^2),"N.S.")</f>
        <v>0.19593683139066756</v>
      </c>
      <c r="AP224" s="4">
        <f ca="1">IFERROR(INDEX(grupoEstacas[],HC[[#This Row],[nE]],MATCH("coef. Blévot",grupoEstacas[#Headers],0)),"N.S.")</f>
        <v>1.75</v>
      </c>
      <c r="AQ224" s="35">
        <f ca="1">IFERROR(HC[[#This Row],[coef. Blévot]]*0.9*INDEX(tipoEstaca[],MATCH($D$2,tipoEstaca[TIPO DE ESTACA],0),MATCH("fcd (kN/cm²)",tipoEstaca[#Headers],0)),"N.S.")</f>
        <v>1.75</v>
      </c>
      <c r="AR224" s="1" t="str">
        <f ca="1">IF(AND(HC[[#This Row],[cd,b,pil (kN/cm²)]]&lt;=HC[[#This Row],[cd,b,lim (kN/cm²)]],HC[[#This Row],[cd,b,est (kN/cm²)]]&lt;=HC[[#This Row],[cd,b,lim (kN/cm²)]]),"OK","ERRO")</f>
        <v>OK</v>
      </c>
      <c r="AS224" s="4">
        <f ca="1">As_lado(HC[[#This Row],[nE]],HC[[#This Row],[Nsd (kN)]],HC[[#This Row],[d (cm)]],HC[[#This Row],[e (cm)]],HC[[#This Row],[ap,eq (cm)]])</f>
        <v>8.7920169846677272</v>
      </c>
      <c r="AT224" s="4" t="str">
        <f ca="1">IF(HC[[#This Row],[nE]]=1,HC[[#This Row],[As,lado (cm²)]],IF(HC[[#This Row],[nE]]=2,0.075*2*HC[a (cm)],"N.A."))</f>
        <v>N.A.</v>
      </c>
      <c r="AU224" s="4">
        <f ca="1">IFERROR(IF(HC[[#This Row],[nE]]=1,"N.A.",0.2*HC[[#This Row],[As,lado (cm²)]]),"N.S.")</f>
        <v>1.7584033969335455</v>
      </c>
      <c r="AV224" s="4">
        <f ca="1">As_malha(HC[[#This Row],[nE]],HC[[#This Row],[As,lado (cm²)]],HC[[#This Row],[Nsd (kN)]])</f>
        <v>2.981481481481481</v>
      </c>
      <c r="AW224" s="4">
        <f ca="1">As_susp_tot(HC[[#This Row],[nE]],HC[[#This Row],[Nsd (kN)]])</f>
        <v>8.9444444444444429</v>
      </c>
      <c r="AX224" s="4">
        <f ca="1">Asp_face(HC[[#This Row],[nE]],HC[[#This Row],[As,lado (cm²)]])</f>
        <v>3.2970063692503979</v>
      </c>
      <c r="AY224" s="5">
        <f ca="1">acoBloco(HC[[#This Row],[nE]],HC[[#This Row],[e (cm)]],HC[[#This Row],[a (cm)]],HC[[#This Row],[h (cm)]],HC[[#This Row],[As,lado (cm²)]],HC[[#This Row],[Asp e Asw (cm²/m)]],HC[[#This Row],[As,sup (cm²)]],HC[[#This Row],[As,malha (cm²)]],HC[[#This Row],[As,susp,tot (cm²)]],HC[[#This Row],[Asp,face (cm²)]])</f>
        <v>182.86078000961334</v>
      </c>
      <c r="AZ224" s="4">
        <f ca="1">concretoBloco(HC[[#This Row],[nE]],HC[[#This Row],[e (cm)]],HC[[#This Row],[a (cm)]],HC[[#This Row],[h (cm)]])</f>
        <v>13.578133850637467</v>
      </c>
      <c r="BA224" s="5">
        <f ca="1">SUM(HC[[#This Row],[Aço Est (kg)]],HC[[#This Row],[Aço Bloco (kg)]])</f>
        <v>231.19732457774589</v>
      </c>
      <c r="BB224" s="4">
        <f>INDEX(composicoes[],MATCH(95580,composicoes[CÓDIGO],0),MATCH("CUSTO TOTAL",composicoes[#Headers],0))</f>
        <v>10.46</v>
      </c>
      <c r="BC224" s="4">
        <f ca="1">SUM(HC[[#This Row],[Conc Est (m³)]],HC[[#This Row],[Conc Bloco (m³)]])</f>
        <v>23.968951552385704</v>
      </c>
      <c r="BD224" s="4">
        <f>INDEX(composicoes[],MATCH(94966,composicoes[CÓDIGO],0),MATCH("CUSTO TOTAL",composicoes[#Headers],0))</f>
        <v>439.52</v>
      </c>
      <c r="BE224" s="38">
        <f ca="1">HC[[#This Row],[Aço (kg)]]*HC[[#This Row],[Aço (R$/kg)]]+HC[[#This Row],[Conc (m³)]]*HC[[#This Row],[Conc (R$/m³)]]</f>
        <v>12953.157601387788</v>
      </c>
      <c r="BF224" s="4" t="str">
        <f ca="1">IF(COUNTIF(HC[#This Row],"N.S.")&gt;0,"lim.","OK")</f>
        <v>OK</v>
      </c>
      <c r="BG224" s="4" t="str">
        <f>IF(HC[[#This Row],[Prof. (m)]]&lt;4,"lim.","OK")</f>
        <v>OK</v>
      </c>
      <c r="BH224" s="4" t="str">
        <f>IF(HC[[#This Row],[Prof. (m)]]&gt;=8*HC[[#This Row],[Ø (cm)]]/100,"OK","lim.")</f>
        <v>OK</v>
      </c>
      <c r="BI224" s="4" t="str">
        <f ca="1">IF(HC[[#This Row],[Verif. Biela]]="OK","OK","lim.")</f>
        <v>OK</v>
      </c>
      <c r="BJ224" s="4" t="str">
        <f ca="1">IF(COUNTA(HC[[#This Row],[Nº Est.]:[Biela comp.]])=COUNTIF(HC[[#This Row],[Nº Est.]:[Biela comp.]],"OK"),"OK","lim.")</f>
        <v>OK</v>
      </c>
      <c r="BK224" s="4" t="str">
        <f ca="1">IF(HC[[#This Row],[Controle]]="OK",HC[[#This Row],[nE]]&amp;" Ø"&amp;HC[[#This Row],[Ø (cm)]]&amp;"cm Prof. "&amp;HC[[#This Row],[Prof. (m)]]&amp;" m","")</f>
        <v>3 Ø70cm Prof. 9 m</v>
      </c>
      <c r="BL224" s="4" t="str">
        <f ca="1">IF(HC[[#This Row],[idDimensionamento]]="","",HC[[#This Row],[idPilar]]&amp;HC[[#This Row],[idDimensionamento]])</f>
        <v>23 Ø70cm Prof. 9 m</v>
      </c>
    </row>
    <row r="225" spans="2:64" x14ac:dyDescent="0.25">
      <c r="B225" s="12">
        <f>ROUNDUP((ROW(HC[[#This Row],[idDiâmetro]])-ROW(HC[[#Headers],[idDiâmetro]]))/(COUNT(SPT[Prof. (m)])*COUNT(PILARES[Pilar])),0)</f>
        <v>8</v>
      </c>
      <c r="C225" s="12">
        <f>IF(HC[[#This Row],[idDiâmetro]]&lt;&gt;B224,1,IF(HC[[#This Row],[Prof. (m)]]=0,C224+1,C224))</f>
        <v>2</v>
      </c>
      <c r="D225" s="1">
        <f>IFERROR(IF(D224=MAX(SPT[Prof. (m)]),0,D224+1),0)</f>
        <v>10</v>
      </c>
      <c r="E225" s="1">
        <f>INDEX(SPT[],MATCH(HC[[#This Row],[Prof. (m)]],SPT[Prof. (m)],0),2)</f>
        <v>32</v>
      </c>
      <c r="F225" s="1" t="str">
        <f>INDEX(SPT[],MATCH(HC[[#This Row],[Prof. (m)]],SPT[Prof. (m)],0),3)</f>
        <v>Areia siltosa</v>
      </c>
      <c r="G225" s="1">
        <f>INDEX(estacas[],HC[[#This Row],[idDiâmetro]],MATCH($B$2,estacas[#Headers],0))</f>
        <v>70</v>
      </c>
      <c r="H225" s="1">
        <f>INDEX(estacas[],MATCH(HC[[#This Row],[Ø (cm)]],estacas[Ø HC (cm)],0),MATCH(HC[[#Headers],[Pe HC (kN)]],estacas[#Headers],0))</f>
        <v>2450</v>
      </c>
      <c r="I225" s="4">
        <f>INDEX(K_alpha_C[],MATCH(HC[[#This Row],[Solo]],K_alpha_C[Solo],0),2)</f>
        <v>0.8</v>
      </c>
      <c r="J225" s="5">
        <f>INDEX(K_alpha_C[],MATCH(HC[[#This Row],[Solo]],K_alpha_C[Solo],0),3)</f>
        <v>2</v>
      </c>
      <c r="K225" s="4">
        <f>INDEX(F1_F2[],MATCH($D$2,F1_F2[Tipo de estaca],0),2)</f>
        <v>2</v>
      </c>
      <c r="L225" s="4">
        <f>INDEX(F1_F2[],MATCH($D$2,F1_F2[Tipo de estaca],0),3)</f>
        <v>4</v>
      </c>
      <c r="M225" s="4">
        <f>PI()*(HC[[#This Row],[Ø (cm)]]/100)^2/4</f>
        <v>0.38484510006474959</v>
      </c>
      <c r="N225" s="4">
        <f>PI()*HC[[#This Row],[Ø (cm)]]/100</f>
        <v>2.1991148575128552</v>
      </c>
      <c r="O225" s="4">
        <f>IF(HC[[#This Row],[Prof. (m)]]=0,0,HC[[#This Row],[α (%)]]/100*HC[[#This Row],[K (MPa)]]*1000*HC[[#This Row],[NSPT]])</f>
        <v>512</v>
      </c>
      <c r="P225" s="4">
        <f>IF(HC[[#This Row],[Prof. (m)]]=0,0,(HC[[#This Row],[K (MPa)]]*1000*HC[[#This Row],[NSPT]]/HC[[#This Row],[F1]]*HC[[#This Row],[Ap (m²)]]+HC[[#This Row],[U (m)]]/HC[[#This Row],[F2]]*SUMIFS(HC[(α∙K∙NL∙ΔL)],HC[Prof. (m)],"&lt;="&amp;HC[[#This Row],[Prof. (m)]],HC[idDiâmetro],HC[[#This Row],[idDiâmetro]],HC[idPilar],HC[[#This Row],[idPilar]]))/'DADOS CAP. CARGA'!$D$2)</f>
        <v>2992.9678321392767</v>
      </c>
      <c r="Q225" s="12">
        <f>INDEX(C_alpha_beta[],MATCH(HC[[#This Row],[Solo]],C_alpha_beta[Solo],0),MATCH(HC[[#Headers],[C (kPa)]],C_alpha_beta[#Headers],0))</f>
        <v>400</v>
      </c>
      <c r="R225" s="4">
        <f>INDEX(C_alpha_beta[],MATCH(HC[[#This Row],[Solo]],C_alpha_beta[Solo],0),MATCH(HC[[#Headers],[α ESF]],C_alpha_beta[#Headers],0))</f>
        <v>0.5</v>
      </c>
      <c r="S225" s="4">
        <f>INDEX(C_alpha_beta[],MATCH(HC[[#This Row],[Solo]],C_alpha_beta[Solo],0),MATCH(HC[[#Headers],[β ESF]],C_alpha_beta[#Headers],0))</f>
        <v>0.5</v>
      </c>
      <c r="T225" s="4">
        <f>IF(HC[[#This Row],[Prof. (m)]]=0,0,10*(HC[[#This Row],[NSPT]]/3+1))</f>
        <v>116.66666666666666</v>
      </c>
      <c r="U225" s="4">
        <f>(HC[[#This Row],[α ESF]]*HC[[#This Row],[C (kPa)]]*HC[[#This Row],[NSPT]]*HC[[#This Row],[Ap (m²)]])/'DADOS CAP. CARGA'!$Q$2+(HC[[#This Row],[β ESF]]*SUMIFS(HC[10∙(NL/3+1)],HC[Prof. (m)],"&lt;="&amp;HC[[#This Row],[Prof. (m)]],HC[idDiâmetro],HC[[#This Row],[idDiâmetro]],HC[idPilar],HC[[#This Row],[idPilar]])*HC[[#This Row],[U (m)]])/'DADOS CAP. CARGA'!$S$2</f>
        <v>908.9674744386466</v>
      </c>
      <c r="V225" s="4">
        <f>IF(SPT!$M$5=1,MIN(HC[[#This Row],[Pe HC (kN)]],HC[[#This Row],[R_AV (kN)]]),IF(SPT!$M$5=2,MIN(HC[[#This Row],[Pe HC (kN)]],HC[[#This Row],[R_DC (kN)]]),MIN(HC[[#This Row],[Pe HC (kN)]],HC[[#This Row],[R_AV (kN)]],HC[[#This Row],[R_DC (kN)]])))</f>
        <v>908.9674744386466</v>
      </c>
      <c r="W225" s="4">
        <f>INDEX(PILARES[],HC[[#This Row],[idPilar]],MATCH("Carga (kN)",PILARES[#Headers],0))*1.4</f>
        <v>1750</v>
      </c>
      <c r="X225" s="12">
        <f>INDEX(PILARES[],HC[[#This Row],[idPilar]],MATCH(HC[[#Headers],[ap (cm)]],PILARES[#Headers],0))</f>
        <v>50</v>
      </c>
      <c r="Y225" s="12">
        <f>INDEX(PILARES[],HC[[#This Row],[idPilar]],MATCH(HC[[#Headers],[bp (cm)]],PILARES[#Headers],0))</f>
        <v>40</v>
      </c>
      <c r="Z225" s="4">
        <f>SQRT(HC[[#This Row],[ap (cm)]]*HC[[#This Row],[bp (cm)]])</f>
        <v>44.721359549995796</v>
      </c>
      <c r="AA225" s="12">
        <f>HC[[#This Row],[ap (cm)]]*HC[[#This Row],[bp (cm)]]</f>
        <v>2000</v>
      </c>
      <c r="AB225" s="12">
        <f ca="1">IF(HC[[#This Row],[Padm∙ε (kN)]]&gt;=HC[[#This Row],[Padm (kN)]],ROUNDUP(1.05*HC[[#This Row],[Nsd (kN)]]/HC[[#This Row],[Padm (kN)]],0),ROUNDUP(1.05*HC[[#This Row],[Nsd (kN)]]/HC[[#This Row],[Padm (kN)]],0)+1)</f>
        <v>3</v>
      </c>
      <c r="AC225" s="4">
        <f ca="1">IFERROR(IF(HC[[#This Row],[nE]]=1,HC[[#This Row],[Padm (kN)]],HC[[#This Row],[Padm (kN)]]*HC[[#This Row],[nE]]*INDEX(grupoEstacas[],HC[[#This Row],[nE]],MATCH("ε",grupoEstacas[#Headers],0))),"N.S.")</f>
        <v>2386.0396204014473</v>
      </c>
      <c r="AD225" s="4">
        <f ca="1">1.05*HC[[#This Row],[Nsd (kN)]]/(HC[[#This Row],[nE]]*PI()*HC[[#This Row],[Ø (cm)]]^2/4)*10</f>
        <v>1.5915494309189535</v>
      </c>
      <c r="AE225" s="4">
        <f ca="1">IF(HC[[#This Row],[σ (MPa)]]&lt;INDEX(tipoEstaca[],MATCH($D$2,tipoEstaca[TIPO DE ESTACA],0),MATCH("σmáx (MPa)",tipoEstaca[#Headers],0)),0.4%*PI()*HC[[#This Row],[Ø (cm)]]^2/4,"N.S.")</f>
        <v>15.393804002589988</v>
      </c>
      <c r="AF225" s="1">
        <f>INDEX(tipoEstaca[],MATCH($D$2,tipoEstaca[TIPO DE ESTACA],0),MATCH(HC[[#Headers],[Comprimento (m)]],tipoEstaca[#Headers],0))</f>
        <v>4</v>
      </c>
      <c r="AG225" s="5">
        <f ca="1">HC[[#This Row],[As,mín (cm²)]]/100^2*HC[[#This Row],[Comprimento (m)]]*7850</f>
        <v>48.33654456813256</v>
      </c>
      <c r="AH225" s="4">
        <f ca="1">HC[[#This Row],[nE]]*HC[[#This Row],[Prof. (m)]]*HC[[#This Row],[Ap (m²)]]</f>
        <v>11.545353001942487</v>
      </c>
      <c r="AI225" s="1">
        <f ca="1">IF(HC[[#This Row],[nE]]=1,0,MAX(3*HC[[#This Row],[Ø (cm)]],60))</f>
        <v>210</v>
      </c>
      <c r="AJ225" s="1">
        <f ca="1">IF(HC[[#This Row],[nE]]=1,HC[[#This Row],[Ø (cm)]]+2*10,MAX(1.5*HC[[#This Row],[Ø (cm)]],HC[[#This Row],[Ø (cm)]]+15))</f>
        <v>105</v>
      </c>
      <c r="AK225" s="1">
        <f ca="1">alturaUtil(HC[[#This Row],[nE]],HC[[#This Row],[Ø (cm)]],HC[[#This Row],[e (cm)]],HC[[#This Row],[ap,eq (cm)]])</f>
        <v>95</v>
      </c>
      <c r="AL225" s="1">
        <f ca="1">IFERROR(HC[[#This Row],[d (cm)]]+arredondarParaCimaMultiplo5cm(MAX(5,SQRT(PI())/2*HC[[#This Row],[Ø (cm)]]/5)),"N.S.")</f>
        <v>110</v>
      </c>
      <c r="AM225" s="5">
        <f ca="1">alpha(HC[[#This Row],[nE]],HC[[#This Row],[d (cm)]],HC[[#This Row],[e (cm)]],HC[[#This Row],[ap,eq (cm)]])</f>
        <v>46.048987631421006</v>
      </c>
      <c r="AN225" s="35">
        <f ca="1">IFERROR(HC[[#This Row],[Nsd (kN)]]/(HC[[#This Row],[Ap (cm²)]]*SIN(HC[[#This Row],[α]])^2),"N.S.")</f>
        <v>1.1310799422436715</v>
      </c>
      <c r="AO225" s="35">
        <f ca="1">IFERROR(HC[[#This Row],[Nsd (kN)]]/(HC[[#This Row],[nE]]*PI()*HC[[#This Row],[Ø (cm)]]^2/4*SIN(HC[[#This Row],[α]])^2),"N.S.")</f>
        <v>0.19593683139066756</v>
      </c>
      <c r="AP225" s="4">
        <f ca="1">IFERROR(INDEX(grupoEstacas[],HC[[#This Row],[nE]],MATCH("coef. Blévot",grupoEstacas[#Headers],0)),"N.S.")</f>
        <v>1.75</v>
      </c>
      <c r="AQ225" s="35">
        <f ca="1">IFERROR(HC[[#This Row],[coef. Blévot]]*0.9*INDEX(tipoEstaca[],MATCH($D$2,tipoEstaca[TIPO DE ESTACA],0),MATCH("fcd (kN/cm²)",tipoEstaca[#Headers],0)),"N.S.")</f>
        <v>1.75</v>
      </c>
      <c r="AR225" s="1" t="str">
        <f ca="1">IF(AND(HC[[#This Row],[cd,b,pil (kN/cm²)]]&lt;=HC[[#This Row],[cd,b,lim (kN/cm²)]],HC[[#This Row],[cd,b,est (kN/cm²)]]&lt;=HC[[#This Row],[cd,b,lim (kN/cm²)]]),"OK","ERRO")</f>
        <v>OK</v>
      </c>
      <c r="AS225" s="4">
        <f ca="1">As_lado(HC[[#This Row],[nE]],HC[[#This Row],[Nsd (kN)]],HC[[#This Row],[d (cm)]],HC[[#This Row],[e (cm)]],HC[[#This Row],[ap,eq (cm)]])</f>
        <v>8.7920169846677272</v>
      </c>
      <c r="AT225" s="4" t="str">
        <f ca="1">IF(HC[[#This Row],[nE]]=1,HC[[#This Row],[As,lado (cm²)]],IF(HC[[#This Row],[nE]]=2,0.075*2*HC[a (cm)],"N.A."))</f>
        <v>N.A.</v>
      </c>
      <c r="AU225" s="4">
        <f ca="1">IFERROR(IF(HC[[#This Row],[nE]]=1,"N.A.",0.2*HC[[#This Row],[As,lado (cm²)]]),"N.S.")</f>
        <v>1.7584033969335455</v>
      </c>
      <c r="AV225" s="4">
        <f ca="1">As_malha(HC[[#This Row],[nE]],HC[[#This Row],[As,lado (cm²)]],HC[[#This Row],[Nsd (kN)]])</f>
        <v>2.981481481481481</v>
      </c>
      <c r="AW225" s="4">
        <f ca="1">As_susp_tot(HC[[#This Row],[nE]],HC[[#This Row],[Nsd (kN)]])</f>
        <v>8.9444444444444429</v>
      </c>
      <c r="AX225" s="4">
        <f ca="1">Asp_face(HC[[#This Row],[nE]],HC[[#This Row],[As,lado (cm²)]])</f>
        <v>3.2970063692503979</v>
      </c>
      <c r="AY225" s="5">
        <f ca="1">acoBloco(HC[[#This Row],[nE]],HC[[#This Row],[e (cm)]],HC[[#This Row],[a (cm)]],HC[[#This Row],[h (cm)]],HC[[#This Row],[As,lado (cm²)]],HC[[#This Row],[Asp e Asw (cm²/m)]],HC[[#This Row],[As,sup (cm²)]],HC[[#This Row],[As,malha (cm²)]],HC[[#This Row],[As,susp,tot (cm²)]],HC[[#This Row],[Asp,face (cm²)]])</f>
        <v>182.86078000961334</v>
      </c>
      <c r="AZ225" s="4">
        <f ca="1">concretoBloco(HC[[#This Row],[nE]],HC[[#This Row],[e (cm)]],HC[[#This Row],[a (cm)]],HC[[#This Row],[h (cm)]])</f>
        <v>13.578133850637467</v>
      </c>
      <c r="BA225" s="5">
        <f ca="1">SUM(HC[[#This Row],[Aço Est (kg)]],HC[[#This Row],[Aço Bloco (kg)]])</f>
        <v>231.19732457774589</v>
      </c>
      <c r="BB225" s="4">
        <f>INDEX(composicoes[],MATCH(95580,composicoes[CÓDIGO],0),MATCH("CUSTO TOTAL",composicoes[#Headers],0))</f>
        <v>10.46</v>
      </c>
      <c r="BC225" s="4">
        <f ca="1">SUM(HC[[#This Row],[Conc Est (m³)]],HC[[#This Row],[Conc Bloco (m³)]])</f>
        <v>25.123486852579955</v>
      </c>
      <c r="BD225" s="4">
        <f>INDEX(composicoes[],MATCH(94966,composicoes[CÓDIGO],0),MATCH("CUSTO TOTAL",composicoes[#Headers],0))</f>
        <v>439.52</v>
      </c>
      <c r="BE225" s="38">
        <f ca="1">HC[[#This Row],[Aço (kg)]]*HC[[#This Row],[Aço (R$/kg)]]+HC[[#This Row],[Conc (m³)]]*HC[[#This Row],[Conc (R$/m³)]]</f>
        <v>13460.598956529164</v>
      </c>
      <c r="BF225" s="4" t="str">
        <f ca="1">IF(COUNTIF(HC[#This Row],"N.S.")&gt;0,"lim.","OK")</f>
        <v>OK</v>
      </c>
      <c r="BG225" s="4" t="str">
        <f>IF(HC[[#This Row],[Prof. (m)]]&lt;4,"lim.","OK")</f>
        <v>OK</v>
      </c>
      <c r="BH225" s="4" t="str">
        <f>IF(HC[[#This Row],[Prof. (m)]]&gt;=8*HC[[#This Row],[Ø (cm)]]/100,"OK","lim.")</f>
        <v>OK</v>
      </c>
      <c r="BI225" s="4" t="str">
        <f ca="1">IF(HC[[#This Row],[Verif. Biela]]="OK","OK","lim.")</f>
        <v>OK</v>
      </c>
      <c r="BJ225" s="4" t="str">
        <f ca="1">IF(COUNTA(HC[[#This Row],[Nº Est.]:[Biela comp.]])=COUNTIF(HC[[#This Row],[Nº Est.]:[Biela comp.]],"OK"),"OK","lim.")</f>
        <v>OK</v>
      </c>
      <c r="BK225" s="4" t="str">
        <f ca="1">IF(HC[[#This Row],[Controle]]="OK",HC[[#This Row],[nE]]&amp;" Ø"&amp;HC[[#This Row],[Ø (cm)]]&amp;"cm Prof. "&amp;HC[[#This Row],[Prof. (m)]]&amp;" m","")</f>
        <v>3 Ø70cm Prof. 10 m</v>
      </c>
      <c r="BL225" s="4" t="str">
        <f ca="1">IF(HC[[#This Row],[idDimensionamento]]="","",HC[[#This Row],[idPilar]]&amp;HC[[#This Row],[idDimensionamento]])</f>
        <v>23 Ø70cm Prof. 10 m</v>
      </c>
    </row>
    <row r="226" spans="2:64" x14ac:dyDescent="0.25">
      <c r="B226" s="12">
        <f>ROUNDUP((ROW(HC[[#This Row],[idDiâmetro]])-ROW(HC[[#Headers],[idDiâmetro]]))/(COUNT(SPT[Prof. (m)])*COUNT(PILARES[Pilar])),0)</f>
        <v>8</v>
      </c>
      <c r="C226" s="12">
        <f>IF(HC[[#This Row],[idDiâmetro]]&lt;&gt;B225,1,IF(HC[[#This Row],[Prof. (m)]]=0,C225+1,C225))</f>
        <v>2</v>
      </c>
      <c r="D226" s="1">
        <f>IFERROR(IF(D225=MAX(SPT[Prof. (m)]),0,D225+1),0)</f>
        <v>11</v>
      </c>
      <c r="E226" s="1">
        <f>INDEX(SPT[],MATCH(HC[[#This Row],[Prof. (m)]],SPT[Prof. (m)],0),2)</f>
        <v>41</v>
      </c>
      <c r="F226" s="1" t="str">
        <f>INDEX(SPT[],MATCH(HC[[#This Row],[Prof. (m)]],SPT[Prof. (m)],0),3)</f>
        <v>Areia siltosa</v>
      </c>
      <c r="G226" s="1">
        <f>INDEX(estacas[],HC[[#This Row],[idDiâmetro]],MATCH($B$2,estacas[#Headers],0))</f>
        <v>70</v>
      </c>
      <c r="H226" s="1">
        <f>INDEX(estacas[],MATCH(HC[[#This Row],[Ø (cm)]],estacas[Ø HC (cm)],0),MATCH(HC[[#Headers],[Pe HC (kN)]],estacas[#Headers],0))</f>
        <v>2450</v>
      </c>
      <c r="I226" s="4">
        <f>INDEX(K_alpha_C[],MATCH(HC[[#This Row],[Solo]],K_alpha_C[Solo],0),2)</f>
        <v>0.8</v>
      </c>
      <c r="J226" s="5">
        <f>INDEX(K_alpha_C[],MATCH(HC[[#This Row],[Solo]],K_alpha_C[Solo],0),3)</f>
        <v>2</v>
      </c>
      <c r="K226" s="4">
        <f>INDEX(F1_F2[],MATCH($D$2,F1_F2[Tipo de estaca],0),2)</f>
        <v>2</v>
      </c>
      <c r="L226" s="4">
        <f>INDEX(F1_F2[],MATCH($D$2,F1_F2[Tipo de estaca],0),3)</f>
        <v>4</v>
      </c>
      <c r="M226" s="4">
        <f>PI()*(HC[[#This Row],[Ø (cm)]]/100)^2/4</f>
        <v>0.38484510006474959</v>
      </c>
      <c r="N226" s="4">
        <f>PI()*HC[[#This Row],[Ø (cm)]]/100</f>
        <v>2.1991148575128552</v>
      </c>
      <c r="O226" s="4">
        <f>IF(HC[[#This Row],[Prof. (m)]]=0,0,HC[[#This Row],[α (%)]]/100*HC[[#This Row],[K (MPa)]]*1000*HC[[#This Row],[NSPT]])</f>
        <v>656</v>
      </c>
      <c r="P226" s="4">
        <f>IF(HC[[#This Row],[Prof. (m)]]=0,0,(HC[[#This Row],[K (MPa)]]*1000*HC[[#This Row],[NSPT]]/HC[[#This Row],[F1]]*HC[[#This Row],[Ap (m²)]]+HC[[#This Row],[U (m)]]/HC[[#This Row],[F2]]*SUMIFS(HC[(α∙K∙NL∙ΔL)],HC[Prof. (m)],"&lt;="&amp;HC[[#This Row],[Prof. (m)]],HC[idDiâmetro],HC[[#This Row],[idDiâmetro]],HC[idPilar],HC[[#This Row],[idPilar]]))/'DADOS CAP. CARGA'!$D$2)</f>
        <v>3866.0164305718799</v>
      </c>
      <c r="Q226" s="12">
        <f>INDEX(C_alpha_beta[],MATCH(HC[[#This Row],[Solo]],C_alpha_beta[Solo],0),MATCH(HC[[#Headers],[C (kPa)]],C_alpha_beta[#Headers],0))</f>
        <v>400</v>
      </c>
      <c r="R226" s="4">
        <f>INDEX(C_alpha_beta[],MATCH(HC[[#This Row],[Solo]],C_alpha_beta[Solo],0),MATCH(HC[[#Headers],[α ESF]],C_alpha_beta[#Headers],0))</f>
        <v>0.5</v>
      </c>
      <c r="S226" s="4">
        <f>INDEX(C_alpha_beta[],MATCH(HC[[#This Row],[Solo]],C_alpha_beta[Solo],0),MATCH(HC[[#Headers],[β ESF]],C_alpha_beta[#Headers],0))</f>
        <v>0.5</v>
      </c>
      <c r="T226" s="4">
        <f>IF(HC[[#This Row],[Prof. (m)]]=0,0,10*(HC[[#This Row],[NSPT]]/3+1))</f>
        <v>146.66666666666666</v>
      </c>
      <c r="U226" s="4">
        <f>(HC[[#This Row],[α ESF]]*HC[[#This Row],[C (kPa)]]*HC[[#This Row],[NSPT]]*HC[[#This Row],[Ap (m²)]])/'DADOS CAP. CARGA'!$Q$2+(HC[[#This Row],[β ESF]]*SUMIFS(HC[10∙(NL/3+1)],HC[Prof. (m)],"&lt;="&amp;HC[[#This Row],[Prof. (m)]],HC[idDiâmetro],HC[[#This Row],[idDiâmetro]],HC[idPilar],HC[[#This Row],[idPilar]])*HC[[#This Row],[U (m)]])/'DADOS CAP. CARGA'!$S$2</f>
        <v>1162.7819809099219</v>
      </c>
      <c r="V226" s="4">
        <f>IF(SPT!$M$5=1,MIN(HC[[#This Row],[Pe HC (kN)]],HC[[#This Row],[R_AV (kN)]]),IF(SPT!$M$5=2,MIN(HC[[#This Row],[Pe HC (kN)]],HC[[#This Row],[R_DC (kN)]]),MIN(HC[[#This Row],[Pe HC (kN)]],HC[[#This Row],[R_AV (kN)]],HC[[#This Row],[R_DC (kN)]])))</f>
        <v>1162.7819809099219</v>
      </c>
      <c r="W226" s="4">
        <f>INDEX(PILARES[],HC[[#This Row],[idPilar]],MATCH("Carga (kN)",PILARES[#Headers],0))*1.4</f>
        <v>1750</v>
      </c>
      <c r="X226" s="12">
        <f>INDEX(PILARES[],HC[[#This Row],[idPilar]],MATCH(HC[[#Headers],[ap (cm)]],PILARES[#Headers],0))</f>
        <v>50</v>
      </c>
      <c r="Y226" s="12">
        <f>INDEX(PILARES[],HC[[#This Row],[idPilar]],MATCH(HC[[#Headers],[bp (cm)]],PILARES[#Headers],0))</f>
        <v>40</v>
      </c>
      <c r="Z226" s="4">
        <f>SQRT(HC[[#This Row],[ap (cm)]]*HC[[#This Row],[bp (cm)]])</f>
        <v>44.721359549995796</v>
      </c>
      <c r="AA226" s="12">
        <f>HC[[#This Row],[ap (cm)]]*HC[[#This Row],[bp (cm)]]</f>
        <v>2000</v>
      </c>
      <c r="AB226" s="12">
        <f ca="1">IF(HC[[#This Row],[Padm∙ε (kN)]]&gt;=HC[[#This Row],[Padm (kN)]],ROUNDUP(1.05*HC[[#This Row],[Nsd (kN)]]/HC[[#This Row],[Padm (kN)]],0),ROUNDUP(1.05*HC[[#This Row],[Nsd (kN)]]/HC[[#This Row],[Padm (kN)]],0)+1)</f>
        <v>2</v>
      </c>
      <c r="AC226" s="4">
        <f ca="1">IFERROR(IF(HC[[#This Row],[nE]]=1,HC[[#This Row],[Padm (kN)]],HC[[#This Row],[Padm (kN)]]*HC[[#This Row],[nE]]*INDEX(grupoEstacas[],HC[[#This Row],[nE]],MATCH("ε",grupoEstacas[#Headers],0))),"N.S.")</f>
        <v>2180.2162142061034</v>
      </c>
      <c r="AD226" s="4">
        <f ca="1">1.05*HC[[#This Row],[Nsd (kN)]]/(HC[[#This Row],[nE]]*PI()*HC[[#This Row],[Ø (cm)]]^2/4)*10</f>
        <v>2.3873241463784298</v>
      </c>
      <c r="AE226" s="4">
        <f ca="1">IF(HC[[#This Row],[σ (MPa)]]&lt;INDEX(tipoEstaca[],MATCH($D$2,tipoEstaca[TIPO DE ESTACA],0),MATCH("σmáx (MPa)",tipoEstaca[#Headers],0)),0.4%*PI()*HC[[#This Row],[Ø (cm)]]^2/4,"N.S.")</f>
        <v>15.393804002589988</v>
      </c>
      <c r="AF226" s="1">
        <f>INDEX(tipoEstaca[],MATCH($D$2,tipoEstaca[TIPO DE ESTACA],0),MATCH(HC[[#Headers],[Comprimento (m)]],tipoEstaca[#Headers],0))</f>
        <v>4</v>
      </c>
      <c r="AG226" s="5">
        <f ca="1">HC[[#This Row],[As,mín (cm²)]]/100^2*HC[[#This Row],[Comprimento (m)]]*7850</f>
        <v>48.33654456813256</v>
      </c>
      <c r="AH226" s="4">
        <f ca="1">HC[[#This Row],[nE]]*HC[[#This Row],[Prof. (m)]]*HC[[#This Row],[Ap (m²)]]</f>
        <v>8.4665922014244916</v>
      </c>
      <c r="AI226" s="1">
        <f ca="1">IF(HC[[#This Row],[nE]]=1,0,MAX(3*HC[[#This Row],[Ø (cm)]],60))</f>
        <v>210</v>
      </c>
      <c r="AJ226" s="1">
        <f ca="1">IF(HC[[#This Row],[nE]]=1,HC[[#This Row],[Ø (cm)]]+2*10,MAX(1.5*HC[[#This Row],[Ø (cm)]],HC[[#This Row],[Ø (cm)]]+15))</f>
        <v>105</v>
      </c>
      <c r="AK226" s="1">
        <f ca="1">alturaUtil(HC[[#This Row],[nE]],HC[[#This Row],[Ø (cm)]],HC[[#This Row],[e (cm)]],HC[[#This Row],[ap,eq (cm)]])</f>
        <v>95</v>
      </c>
      <c r="AL226" s="1">
        <f ca="1">IFERROR(HC[[#This Row],[d (cm)]]+arredondarParaCimaMultiplo5cm(MAX(5,SQRT(PI())/2*HC[[#This Row],[Ø (cm)]]/5)),"N.S.")</f>
        <v>110</v>
      </c>
      <c r="AM226" s="5">
        <f ca="1">alpha(HC[[#This Row],[nE]],HC[[#This Row],[d (cm)]],HC[[#This Row],[e (cm)]],HC[[#This Row],[ap,eq (cm)]])</f>
        <v>45.358159807203123</v>
      </c>
      <c r="AN226" s="35">
        <f ca="1">IFERROR(HC[[#This Row],[Nsd (kN)]]/(HC[[#This Row],[Ap (cm²)]]*SIN(HC[[#This Row],[α]])^2),"N.S.")</f>
        <v>0.9091100416642347</v>
      </c>
      <c r="AO226" s="35">
        <f ca="1">IFERROR(HC[[#This Row],[Nsd (kN)]]/(HC[[#This Row],[nE]]*PI()*HC[[#This Row],[Ø (cm)]]^2/4*SIN(HC[[#This Row],[α]])^2),"N.S.")</f>
        <v>0.23622752154341531</v>
      </c>
      <c r="AP226" s="4">
        <f ca="1">IFERROR(INDEX(grupoEstacas[],HC[[#This Row],[nE]],MATCH("coef. Blévot",grupoEstacas[#Headers],0)),"N.S.")</f>
        <v>1.4</v>
      </c>
      <c r="AQ226" s="35">
        <f ca="1">IFERROR(HC[[#This Row],[coef. Blévot]]*0.9*INDEX(tipoEstaca[],MATCH($D$2,tipoEstaca[TIPO DE ESTACA],0),MATCH("fcd (kN/cm²)",tipoEstaca[#Headers],0)),"N.S.")</f>
        <v>1.4000000000000001</v>
      </c>
      <c r="AR226" s="1" t="str">
        <f ca="1">IF(AND(HC[[#This Row],[cd,b,pil (kN/cm²)]]&lt;=HC[[#This Row],[cd,b,lim (kN/cm²)]],HC[[#This Row],[cd,b,est (kN/cm²)]]&lt;=HC[[#This Row],[cd,b,lim (kN/cm²)]]),"OK","ERRO")</f>
        <v>OK</v>
      </c>
      <c r="AS226" s="4">
        <f ca="1">As_lado(HC[[#This Row],[nE]],HC[[#This Row],[Nsd (kN)]],HC[[#This Row],[d (cm)]],HC[[#This Row],[e (cm)]],HC[[#This Row],[ap,eq (cm)]])</f>
        <v>22.856197460302063</v>
      </c>
      <c r="AT226" s="4">
        <f ca="1">IF(HC[[#This Row],[nE]]=1,HC[[#This Row],[As,lado (cm²)]],IF(HC[[#This Row],[nE]]=2,0.075*2*HC[a (cm)],"N.A."))</f>
        <v>15.75</v>
      </c>
      <c r="AU226" s="4">
        <f ca="1">IFERROR(IF(HC[[#This Row],[nE]]=1,"N.A.",0.2*HC[[#This Row],[As,lado (cm²)]]),"N.S.")</f>
        <v>4.5712394920604131</v>
      </c>
      <c r="AV226" s="4" t="str">
        <f ca="1">As_malha(HC[[#This Row],[nE]],HC[[#This Row],[As,lado (cm²)]],HC[[#This Row],[Nsd (kN)]])</f>
        <v>N.A.</v>
      </c>
      <c r="AW226" s="4" t="str">
        <f ca="1">As_susp_tot(HC[[#This Row],[nE]],HC[[#This Row],[Nsd (kN)]])</f>
        <v>N.A.</v>
      </c>
      <c r="AX226" s="4" t="str">
        <f ca="1">Asp_face(HC[[#This Row],[nE]],HC[[#This Row],[As,lado (cm²)]])</f>
        <v>N.A.</v>
      </c>
      <c r="AY226" s="5">
        <f ca="1">acoBloco(HC[[#This Row],[nE]],HC[[#This Row],[e (cm)]],HC[[#This Row],[a (cm)]],HC[[#This Row],[h (cm)]],HC[[#This Row],[As,lado (cm²)]],HC[[#This Row],[Asp e Asw (cm²/m)]],HC[[#This Row],[As,sup (cm²)]],HC[[#This Row],[As,malha (cm²)]],HC[[#This Row],[As,susp,tot (cm²)]],HC[[#This Row],[Asp,face (cm²)]])</f>
        <v>594.1274346319392</v>
      </c>
      <c r="AZ226" s="4">
        <f ca="1">concretoBloco(HC[[#This Row],[nE]],HC[[#This Row],[e (cm)]],HC[[#This Row],[a (cm)]],HC[[#This Row],[h (cm)]])</f>
        <v>9.702</v>
      </c>
      <c r="BA226" s="5">
        <f ca="1">SUM(HC[[#This Row],[Aço Est (kg)]],HC[[#This Row],[Aço Bloco (kg)]])</f>
        <v>642.46397920007178</v>
      </c>
      <c r="BB226" s="4">
        <f>INDEX(composicoes[],MATCH(95580,composicoes[CÓDIGO],0),MATCH("CUSTO TOTAL",composicoes[#Headers],0))</f>
        <v>10.46</v>
      </c>
      <c r="BC226" s="4">
        <f ca="1">SUM(HC[[#This Row],[Conc Est (m³)]],HC[[#This Row],[Conc Bloco (m³)]])</f>
        <v>18.168592201424492</v>
      </c>
      <c r="BD226" s="4">
        <f>INDEX(composicoes[],MATCH(94966,composicoes[CÓDIGO],0),MATCH("CUSTO TOTAL",composicoes[#Headers],0))</f>
        <v>439.52</v>
      </c>
      <c r="BE226" s="38">
        <f ca="1">HC[[#This Row],[Aço (kg)]]*HC[[#This Row],[Aço (R$/kg)]]+HC[[#This Row],[Conc (m³)]]*HC[[#This Row],[Conc (R$/m³)]]</f>
        <v>14705.632866802844</v>
      </c>
      <c r="BF226" s="4" t="str">
        <f ca="1">IF(COUNTIF(HC[#This Row],"N.S.")&gt;0,"lim.","OK")</f>
        <v>OK</v>
      </c>
      <c r="BG226" s="4" t="str">
        <f>IF(HC[[#This Row],[Prof. (m)]]&lt;4,"lim.","OK")</f>
        <v>OK</v>
      </c>
      <c r="BH226" s="4" t="str">
        <f>IF(HC[[#This Row],[Prof. (m)]]&gt;=8*HC[[#This Row],[Ø (cm)]]/100,"OK","lim.")</f>
        <v>OK</v>
      </c>
      <c r="BI226" s="4" t="str">
        <f ca="1">IF(HC[[#This Row],[Verif. Biela]]="OK","OK","lim.")</f>
        <v>OK</v>
      </c>
      <c r="BJ226" s="4" t="str">
        <f ca="1">IF(COUNTA(HC[[#This Row],[Nº Est.]:[Biela comp.]])=COUNTIF(HC[[#This Row],[Nº Est.]:[Biela comp.]],"OK"),"OK","lim.")</f>
        <v>OK</v>
      </c>
      <c r="BK226" s="4" t="str">
        <f ca="1">IF(HC[[#This Row],[Controle]]="OK",HC[[#This Row],[nE]]&amp;" Ø"&amp;HC[[#This Row],[Ø (cm)]]&amp;"cm Prof. "&amp;HC[[#This Row],[Prof. (m)]]&amp;" m","")</f>
        <v>2 Ø70cm Prof. 11 m</v>
      </c>
      <c r="BL226" s="4" t="str">
        <f ca="1">IF(HC[[#This Row],[idDimensionamento]]="","",HC[[#This Row],[idPilar]]&amp;HC[[#This Row],[idDimensionamento]])</f>
        <v>22 Ø70cm Prof. 11 m</v>
      </c>
    </row>
    <row r="227" spans="2:64" x14ac:dyDescent="0.25">
      <c r="B227" s="12">
        <f>ROUNDUP((ROW(HC[[#This Row],[idDiâmetro]])-ROW(HC[[#Headers],[idDiâmetro]]))/(COUNT(SPT[Prof. (m)])*COUNT(PILARES[Pilar])),0)</f>
        <v>8</v>
      </c>
      <c r="C227" s="12">
        <f>IF(HC[[#This Row],[idDiâmetro]]&lt;&gt;B226,1,IF(HC[[#This Row],[Prof. (m)]]=0,C226+1,C226))</f>
        <v>2</v>
      </c>
      <c r="D227" s="1">
        <f>IFERROR(IF(D226=MAX(SPT[Prof. (m)]),0,D226+1),0)</f>
        <v>12</v>
      </c>
      <c r="E227" s="1">
        <f>INDEX(SPT[],MATCH(HC[[#This Row],[Prof. (m)]],SPT[Prof. (m)],0),2)</f>
        <v>52</v>
      </c>
      <c r="F227" s="1" t="str">
        <f>INDEX(SPT[],MATCH(HC[[#This Row],[Prof. (m)]],SPT[Prof. (m)],0),3)</f>
        <v>Areia siltosa</v>
      </c>
      <c r="G227" s="1">
        <f>INDEX(estacas[],HC[[#This Row],[idDiâmetro]],MATCH($B$2,estacas[#Headers],0))</f>
        <v>70</v>
      </c>
      <c r="H227" s="1">
        <f>INDEX(estacas[],MATCH(HC[[#This Row],[Ø (cm)]],estacas[Ø HC (cm)],0),MATCH(HC[[#Headers],[Pe HC (kN)]],estacas[#Headers],0))</f>
        <v>2450</v>
      </c>
      <c r="I227" s="4">
        <f>INDEX(K_alpha_C[],MATCH(HC[[#This Row],[Solo]],K_alpha_C[Solo],0),2)</f>
        <v>0.8</v>
      </c>
      <c r="J227" s="5">
        <f>INDEX(K_alpha_C[],MATCH(HC[[#This Row],[Solo]],K_alpha_C[Solo],0),3)</f>
        <v>2</v>
      </c>
      <c r="K227" s="4">
        <f>INDEX(F1_F2[],MATCH($D$2,F1_F2[Tipo de estaca],0),2)</f>
        <v>2</v>
      </c>
      <c r="L227" s="4">
        <f>INDEX(F1_F2[],MATCH($D$2,F1_F2[Tipo de estaca],0),3)</f>
        <v>4</v>
      </c>
      <c r="M227" s="4">
        <f>PI()*(HC[[#This Row],[Ø (cm)]]/100)^2/4</f>
        <v>0.38484510006474959</v>
      </c>
      <c r="N227" s="4">
        <f>PI()*HC[[#This Row],[Ø (cm)]]/100</f>
        <v>2.1991148575128552</v>
      </c>
      <c r="O227" s="4">
        <f>IF(HC[[#This Row],[Prof. (m)]]=0,0,HC[[#This Row],[α (%)]]/100*HC[[#This Row],[K (MPa)]]*1000*HC[[#This Row],[NSPT]])</f>
        <v>832</v>
      </c>
      <c r="P227" s="4">
        <f>IF(HC[[#This Row],[Prof. (m)]]=0,0,(HC[[#This Row],[K (MPa)]]*1000*HC[[#This Row],[NSPT]]/HC[[#This Row],[F1]]*HC[[#This Row],[Ap (m²)]]+HC[[#This Row],[U (m)]]/HC[[#This Row],[F2]]*SUMIFS(HC[(α∙K∙NL∙ΔL)],HC[Prof. (m)],"&lt;="&amp;HC[[#This Row],[Prof. (m)]],HC[idDiâmetro],HC[[#This Row],[idDiâmetro]],HC[idPilar],HC[[#This Row],[idPilar]]))/'DADOS CAP. CARGA'!$D$2)</f>
        <v>4941.3835958956661</v>
      </c>
      <c r="Q227" s="12">
        <f>INDEX(C_alpha_beta[],MATCH(HC[[#This Row],[Solo]],C_alpha_beta[Solo],0),MATCH(HC[[#Headers],[C (kPa)]],C_alpha_beta[#Headers],0))</f>
        <v>400</v>
      </c>
      <c r="R227" s="4">
        <f>INDEX(C_alpha_beta[],MATCH(HC[[#This Row],[Solo]],C_alpha_beta[Solo],0),MATCH(HC[[#Headers],[α ESF]],C_alpha_beta[#Headers],0))</f>
        <v>0.5</v>
      </c>
      <c r="S227" s="4">
        <f>INDEX(C_alpha_beta[],MATCH(HC[[#This Row],[Solo]],C_alpha_beta[Solo],0),MATCH(HC[[#Headers],[β ESF]],C_alpha_beta[#Headers],0))</f>
        <v>0.5</v>
      </c>
      <c r="T227" s="4">
        <f>IF(HC[[#This Row],[Prof. (m)]]=0,0,10*(HC[[#This Row],[NSPT]]/3+1))</f>
        <v>183.33333333333331</v>
      </c>
      <c r="U227" s="4">
        <f>(HC[[#This Row],[α ESF]]*HC[[#This Row],[C (kPa)]]*HC[[#This Row],[NSPT]]*HC[[#This Row],[Ap (m²)]])/'DADOS CAP. CARGA'!$Q$2+(HC[[#This Row],[β ESF]]*SUMIFS(HC[10∙(NL/3+1)],HC[Prof. (m)],"&lt;="&amp;HC[[#This Row],[Prof. (m)]],HC[idDiâmetro],HC[[#This Row],[idDiâmetro]],HC[idPilar],HC[[#This Row],[idPilar]])*HC[[#This Row],[U (m)]])/'DADOS CAP. CARGA'!$S$2</f>
        <v>1475.2395502482068</v>
      </c>
      <c r="V227" s="4">
        <f>IF(SPT!$M$5=1,MIN(HC[[#This Row],[Pe HC (kN)]],HC[[#This Row],[R_AV (kN)]]),IF(SPT!$M$5=2,MIN(HC[[#This Row],[Pe HC (kN)]],HC[[#This Row],[R_DC (kN)]]),MIN(HC[[#This Row],[Pe HC (kN)]],HC[[#This Row],[R_AV (kN)]],HC[[#This Row],[R_DC (kN)]])))</f>
        <v>1475.2395502482068</v>
      </c>
      <c r="W227" s="4">
        <f>INDEX(PILARES[],HC[[#This Row],[idPilar]],MATCH("Carga (kN)",PILARES[#Headers],0))*1.4</f>
        <v>1750</v>
      </c>
      <c r="X227" s="12">
        <f>INDEX(PILARES[],HC[[#This Row],[idPilar]],MATCH(HC[[#Headers],[ap (cm)]],PILARES[#Headers],0))</f>
        <v>50</v>
      </c>
      <c r="Y227" s="12">
        <f>INDEX(PILARES[],HC[[#This Row],[idPilar]],MATCH(HC[[#Headers],[bp (cm)]],PILARES[#Headers],0))</f>
        <v>40</v>
      </c>
      <c r="Z227" s="4">
        <f>SQRT(HC[[#This Row],[ap (cm)]]*HC[[#This Row],[bp (cm)]])</f>
        <v>44.721359549995796</v>
      </c>
      <c r="AA227" s="12">
        <f>HC[[#This Row],[ap (cm)]]*HC[[#This Row],[bp (cm)]]</f>
        <v>2000</v>
      </c>
      <c r="AB227" s="12">
        <f ca="1">IF(HC[[#This Row],[Padm∙ε (kN)]]&gt;=HC[[#This Row],[Padm (kN)]],ROUNDUP(1.05*HC[[#This Row],[Nsd (kN)]]/HC[[#This Row],[Padm (kN)]],0),ROUNDUP(1.05*HC[[#This Row],[Nsd (kN)]]/HC[[#This Row],[Padm (kN)]],0)+1)</f>
        <v>2</v>
      </c>
      <c r="AC227" s="4">
        <f ca="1">IFERROR(IF(HC[[#This Row],[nE]]=1,HC[[#This Row],[Padm (kN)]],HC[[#This Row],[Padm (kN)]]*HC[[#This Row],[nE]]*INDEX(grupoEstacas[],HC[[#This Row],[nE]],MATCH("ε",grupoEstacas[#Headers],0))),"N.S.")</f>
        <v>2766.0741567153877</v>
      </c>
      <c r="AD227" s="4">
        <f ca="1">1.05*HC[[#This Row],[Nsd (kN)]]/(HC[[#This Row],[nE]]*PI()*HC[[#This Row],[Ø (cm)]]^2/4)*10</f>
        <v>2.3873241463784298</v>
      </c>
      <c r="AE227" s="4">
        <f ca="1">IF(HC[[#This Row],[σ (MPa)]]&lt;INDEX(tipoEstaca[],MATCH($D$2,tipoEstaca[TIPO DE ESTACA],0),MATCH("σmáx (MPa)",tipoEstaca[#Headers],0)),0.4%*PI()*HC[[#This Row],[Ø (cm)]]^2/4,"N.S.")</f>
        <v>15.393804002589988</v>
      </c>
      <c r="AF227" s="1">
        <f>INDEX(tipoEstaca[],MATCH($D$2,tipoEstaca[TIPO DE ESTACA],0),MATCH(HC[[#Headers],[Comprimento (m)]],tipoEstaca[#Headers],0))</f>
        <v>4</v>
      </c>
      <c r="AG227" s="5">
        <f ca="1">HC[[#This Row],[As,mín (cm²)]]/100^2*HC[[#This Row],[Comprimento (m)]]*7850</f>
        <v>48.33654456813256</v>
      </c>
      <c r="AH227" s="4">
        <f ca="1">HC[[#This Row],[nE]]*HC[[#This Row],[Prof. (m)]]*HC[[#This Row],[Ap (m²)]]</f>
        <v>9.2362824015539893</v>
      </c>
      <c r="AI227" s="1">
        <f ca="1">IF(HC[[#This Row],[nE]]=1,0,MAX(3*HC[[#This Row],[Ø (cm)]],60))</f>
        <v>210</v>
      </c>
      <c r="AJ227" s="1">
        <f ca="1">IF(HC[[#This Row],[nE]]=1,HC[[#This Row],[Ø (cm)]]+2*10,MAX(1.5*HC[[#This Row],[Ø (cm)]],HC[[#This Row],[Ø (cm)]]+15))</f>
        <v>105</v>
      </c>
      <c r="AK227" s="1">
        <f ca="1">alturaUtil(HC[[#This Row],[nE]],HC[[#This Row],[Ø (cm)]],HC[[#This Row],[e (cm)]],HC[[#This Row],[ap,eq (cm)]])</f>
        <v>95</v>
      </c>
      <c r="AL227" s="1">
        <f ca="1">IFERROR(HC[[#This Row],[d (cm)]]+arredondarParaCimaMultiplo5cm(MAX(5,SQRT(PI())/2*HC[[#This Row],[Ø (cm)]]/5)),"N.S.")</f>
        <v>110</v>
      </c>
      <c r="AM227" s="5">
        <f ca="1">alpha(HC[[#This Row],[nE]],HC[[#This Row],[d (cm)]],HC[[#This Row],[e (cm)]],HC[[#This Row],[ap,eq (cm)]])</f>
        <v>45.358159807203123</v>
      </c>
      <c r="AN227" s="35">
        <f ca="1">IFERROR(HC[[#This Row],[Nsd (kN)]]/(HC[[#This Row],[Ap (cm²)]]*SIN(HC[[#This Row],[α]])^2),"N.S.")</f>
        <v>0.9091100416642347</v>
      </c>
      <c r="AO227" s="35">
        <f ca="1">IFERROR(HC[[#This Row],[Nsd (kN)]]/(HC[[#This Row],[nE]]*PI()*HC[[#This Row],[Ø (cm)]]^2/4*SIN(HC[[#This Row],[α]])^2),"N.S.")</f>
        <v>0.23622752154341531</v>
      </c>
      <c r="AP227" s="4">
        <f ca="1">IFERROR(INDEX(grupoEstacas[],HC[[#This Row],[nE]],MATCH("coef. Blévot",grupoEstacas[#Headers],0)),"N.S.")</f>
        <v>1.4</v>
      </c>
      <c r="AQ227" s="35">
        <f ca="1">IFERROR(HC[[#This Row],[coef. Blévot]]*0.9*INDEX(tipoEstaca[],MATCH($D$2,tipoEstaca[TIPO DE ESTACA],0),MATCH("fcd (kN/cm²)",tipoEstaca[#Headers],0)),"N.S.")</f>
        <v>1.4000000000000001</v>
      </c>
      <c r="AR227" s="1" t="str">
        <f ca="1">IF(AND(HC[[#This Row],[cd,b,pil (kN/cm²)]]&lt;=HC[[#This Row],[cd,b,lim (kN/cm²)]],HC[[#This Row],[cd,b,est (kN/cm²)]]&lt;=HC[[#This Row],[cd,b,lim (kN/cm²)]]),"OK","ERRO")</f>
        <v>OK</v>
      </c>
      <c r="AS227" s="4">
        <f ca="1">As_lado(HC[[#This Row],[nE]],HC[[#This Row],[Nsd (kN)]],HC[[#This Row],[d (cm)]],HC[[#This Row],[e (cm)]],HC[[#This Row],[ap,eq (cm)]])</f>
        <v>22.856197460302063</v>
      </c>
      <c r="AT227" s="4">
        <f ca="1">IF(HC[[#This Row],[nE]]=1,HC[[#This Row],[As,lado (cm²)]],IF(HC[[#This Row],[nE]]=2,0.075*2*HC[a (cm)],"N.A."))</f>
        <v>15.75</v>
      </c>
      <c r="AU227" s="4">
        <f ca="1">IFERROR(IF(HC[[#This Row],[nE]]=1,"N.A.",0.2*HC[[#This Row],[As,lado (cm²)]]),"N.S.")</f>
        <v>4.5712394920604131</v>
      </c>
      <c r="AV227" s="4" t="str">
        <f ca="1">As_malha(HC[[#This Row],[nE]],HC[[#This Row],[As,lado (cm²)]],HC[[#This Row],[Nsd (kN)]])</f>
        <v>N.A.</v>
      </c>
      <c r="AW227" s="4" t="str">
        <f ca="1">As_susp_tot(HC[[#This Row],[nE]],HC[[#This Row],[Nsd (kN)]])</f>
        <v>N.A.</v>
      </c>
      <c r="AX227" s="4" t="str">
        <f ca="1">Asp_face(HC[[#This Row],[nE]],HC[[#This Row],[As,lado (cm²)]])</f>
        <v>N.A.</v>
      </c>
      <c r="AY227" s="5">
        <f ca="1">acoBloco(HC[[#This Row],[nE]],HC[[#This Row],[e (cm)]],HC[[#This Row],[a (cm)]],HC[[#This Row],[h (cm)]],HC[[#This Row],[As,lado (cm²)]],HC[[#This Row],[Asp e Asw (cm²/m)]],HC[[#This Row],[As,sup (cm²)]],HC[[#This Row],[As,malha (cm²)]],HC[[#This Row],[As,susp,tot (cm²)]],HC[[#This Row],[Asp,face (cm²)]])</f>
        <v>594.1274346319392</v>
      </c>
      <c r="AZ227" s="4">
        <f ca="1">concretoBloco(HC[[#This Row],[nE]],HC[[#This Row],[e (cm)]],HC[[#This Row],[a (cm)]],HC[[#This Row],[h (cm)]])</f>
        <v>9.702</v>
      </c>
      <c r="BA227" s="5">
        <f ca="1">SUM(HC[[#This Row],[Aço Est (kg)]],HC[[#This Row],[Aço Bloco (kg)]])</f>
        <v>642.46397920007178</v>
      </c>
      <c r="BB227" s="4">
        <f>INDEX(composicoes[],MATCH(95580,composicoes[CÓDIGO],0),MATCH("CUSTO TOTAL",composicoes[#Headers],0))</f>
        <v>10.46</v>
      </c>
      <c r="BC227" s="4">
        <f ca="1">SUM(HC[[#This Row],[Conc Est (m³)]],HC[[#This Row],[Conc Bloco (m³)]])</f>
        <v>18.938282401553991</v>
      </c>
      <c r="BD227" s="4">
        <f>INDEX(composicoes[],MATCH(94966,composicoes[CÓDIGO],0),MATCH("CUSTO TOTAL",composicoes[#Headers],0))</f>
        <v>439.52</v>
      </c>
      <c r="BE227" s="38">
        <f ca="1">HC[[#This Row],[Aço (kg)]]*HC[[#This Row],[Aço (R$/kg)]]+HC[[#This Row],[Conc (m³)]]*HC[[#This Row],[Conc (R$/m³)]]</f>
        <v>15043.927103563761</v>
      </c>
      <c r="BF227" s="4" t="str">
        <f ca="1">IF(COUNTIF(HC[#This Row],"N.S.")&gt;0,"lim.","OK")</f>
        <v>OK</v>
      </c>
      <c r="BG227" s="4" t="str">
        <f>IF(HC[[#This Row],[Prof. (m)]]&lt;4,"lim.","OK")</f>
        <v>OK</v>
      </c>
      <c r="BH227" s="4" t="str">
        <f>IF(HC[[#This Row],[Prof. (m)]]&gt;=8*HC[[#This Row],[Ø (cm)]]/100,"OK","lim.")</f>
        <v>OK</v>
      </c>
      <c r="BI227" s="4" t="str">
        <f ca="1">IF(HC[[#This Row],[Verif. Biela]]="OK","OK","lim.")</f>
        <v>OK</v>
      </c>
      <c r="BJ227" s="4" t="str">
        <f ca="1">IF(COUNTA(HC[[#This Row],[Nº Est.]:[Biela comp.]])=COUNTIF(HC[[#This Row],[Nº Est.]:[Biela comp.]],"OK"),"OK","lim.")</f>
        <v>OK</v>
      </c>
      <c r="BK227" s="4" t="str">
        <f ca="1">IF(HC[[#This Row],[Controle]]="OK",HC[[#This Row],[nE]]&amp;" Ø"&amp;HC[[#This Row],[Ø (cm)]]&amp;"cm Prof. "&amp;HC[[#This Row],[Prof. (m)]]&amp;" m","")</f>
        <v>2 Ø70cm Prof. 12 m</v>
      </c>
      <c r="BL227" s="4" t="str">
        <f ca="1">IF(HC[[#This Row],[idDimensionamento]]="","",HC[[#This Row],[idPilar]]&amp;HC[[#This Row],[idDimensionamento]])</f>
        <v>22 Ø70cm Prof. 12 m</v>
      </c>
    </row>
    <row r="228" spans="2:64" x14ac:dyDescent="0.25">
      <c r="B228" s="12">
        <f>ROUNDUP((ROW(HC[[#This Row],[idDiâmetro]])-ROW(HC[[#Headers],[idDiâmetro]]))/(COUNT(SPT[Prof. (m)])*COUNT(PILARES[Pilar])),0)</f>
        <v>8</v>
      </c>
      <c r="C228" s="12">
        <f>IF(HC[[#This Row],[idDiâmetro]]&lt;&gt;B227,1,IF(HC[[#This Row],[Prof. (m)]]=0,C227+1,C227))</f>
        <v>2</v>
      </c>
      <c r="D228" s="1">
        <f>IFERROR(IF(D227=MAX(SPT[Prof. (m)]),0,D227+1),0)</f>
        <v>13</v>
      </c>
      <c r="E228" s="1">
        <f>INDEX(SPT[],MATCH(HC[[#This Row],[Prof. (m)]],SPT[Prof. (m)],0),2)</f>
        <v>68</v>
      </c>
      <c r="F228" s="1" t="str">
        <f>INDEX(SPT[],MATCH(HC[[#This Row],[Prof. (m)]],SPT[Prof. (m)],0),3)</f>
        <v>Areia siltosa</v>
      </c>
      <c r="G228" s="1">
        <f>INDEX(estacas[],HC[[#This Row],[idDiâmetro]],MATCH($B$2,estacas[#Headers],0))</f>
        <v>70</v>
      </c>
      <c r="H228" s="1">
        <f>INDEX(estacas[],MATCH(HC[[#This Row],[Ø (cm)]],estacas[Ø HC (cm)],0),MATCH(HC[[#Headers],[Pe HC (kN)]],estacas[#Headers],0))</f>
        <v>2450</v>
      </c>
      <c r="I228" s="4">
        <f>INDEX(K_alpha_C[],MATCH(HC[[#This Row],[Solo]],K_alpha_C[Solo],0),2)</f>
        <v>0.8</v>
      </c>
      <c r="J228" s="5">
        <f>INDEX(K_alpha_C[],MATCH(HC[[#This Row],[Solo]],K_alpha_C[Solo],0),3)</f>
        <v>2</v>
      </c>
      <c r="K228" s="4">
        <f>INDEX(F1_F2[],MATCH($D$2,F1_F2[Tipo de estaca],0),2)</f>
        <v>2</v>
      </c>
      <c r="L228" s="4">
        <f>INDEX(F1_F2[],MATCH($D$2,F1_F2[Tipo de estaca],0),3)</f>
        <v>4</v>
      </c>
      <c r="M228" s="4">
        <f>PI()*(HC[[#This Row],[Ø (cm)]]/100)^2/4</f>
        <v>0.38484510006474959</v>
      </c>
      <c r="N228" s="4">
        <f>PI()*HC[[#This Row],[Ø (cm)]]/100</f>
        <v>2.1991148575128552</v>
      </c>
      <c r="O228" s="4">
        <f>IF(HC[[#This Row],[Prof. (m)]]=0,0,HC[[#This Row],[α (%)]]/100*HC[[#This Row],[K (MPa)]]*1000*HC[[#This Row],[NSPT]])</f>
        <v>1088</v>
      </c>
      <c r="P228" s="4">
        <f>IF(HC[[#This Row],[Prof. (m)]]=0,0,(HC[[#This Row],[K (MPa)]]*1000*HC[[#This Row],[NSPT]]/HC[[#This Row],[F1]]*HC[[#This Row],[Ap (m²)]]+HC[[#This Row],[U (m)]]/HC[[#This Row],[F2]]*SUMIFS(HC[(α∙K∙NL∙ΔL)],HC[Prof. (m)],"&lt;="&amp;HC[[#This Row],[Prof. (m)]],HC[idDiâmetro],HC[[#This Row],[idDiâmetro]],HC[idPilar],HC[[#This Row],[idPilar]]))/'DADOS CAP. CARGA'!$D$2)</f>
        <v>6471.9675367246127</v>
      </c>
      <c r="Q228" s="12">
        <f>INDEX(C_alpha_beta[],MATCH(HC[[#This Row],[Solo]],C_alpha_beta[Solo],0),MATCH(HC[[#Headers],[C (kPa)]],C_alpha_beta[#Headers],0))</f>
        <v>400</v>
      </c>
      <c r="R228" s="4">
        <f>INDEX(C_alpha_beta[],MATCH(HC[[#This Row],[Solo]],C_alpha_beta[Solo],0),MATCH(HC[[#Headers],[α ESF]],C_alpha_beta[#Headers],0))</f>
        <v>0.5</v>
      </c>
      <c r="S228" s="4">
        <f>INDEX(C_alpha_beta[],MATCH(HC[[#This Row],[Solo]],C_alpha_beta[Solo],0),MATCH(HC[[#Headers],[β ESF]],C_alpha_beta[#Headers],0))</f>
        <v>0.5</v>
      </c>
      <c r="T228" s="4">
        <f>IF(HC[[#This Row],[Prof. (m)]]=0,0,10*(HC[[#This Row],[NSPT]]/3+1))</f>
        <v>236.66666666666669</v>
      </c>
      <c r="U228" s="4">
        <f>(HC[[#This Row],[α ESF]]*HC[[#This Row],[C (kPa)]]*HC[[#This Row],[NSPT]]*HC[[#This Row],[Ap (m²)]])/'DADOS CAP. CARGA'!$Q$2+(HC[[#This Row],[β ESF]]*SUMIFS(HC[10∙(NL/3+1)],HC[Prof. (m)],"&lt;="&amp;HC[[#This Row],[Prof. (m)]],HC[idDiâmetro],HC[[#This Row],[idDiâmetro]],HC[idPilar],HC[[#This Row],[idPilar]])*HC[[#This Row],[U (m)]])/'DADOS CAP. CARGA'!$S$2</f>
        <v>1913.2299260361838</v>
      </c>
      <c r="V228" s="4">
        <f>IF(SPT!$M$5=1,MIN(HC[[#This Row],[Pe HC (kN)]],HC[[#This Row],[R_AV (kN)]]),IF(SPT!$M$5=2,MIN(HC[[#This Row],[Pe HC (kN)]],HC[[#This Row],[R_DC (kN)]]),MIN(HC[[#This Row],[Pe HC (kN)]],HC[[#This Row],[R_AV (kN)]],HC[[#This Row],[R_DC (kN)]])))</f>
        <v>1913.2299260361838</v>
      </c>
      <c r="W228" s="4">
        <f>INDEX(PILARES[],HC[[#This Row],[idPilar]],MATCH("Carga (kN)",PILARES[#Headers],0))*1.4</f>
        <v>1750</v>
      </c>
      <c r="X228" s="12">
        <f>INDEX(PILARES[],HC[[#This Row],[idPilar]],MATCH(HC[[#Headers],[ap (cm)]],PILARES[#Headers],0))</f>
        <v>50</v>
      </c>
      <c r="Y228" s="12">
        <f>INDEX(PILARES[],HC[[#This Row],[idPilar]],MATCH(HC[[#Headers],[bp (cm)]],PILARES[#Headers],0))</f>
        <v>40</v>
      </c>
      <c r="Z228" s="4">
        <f>SQRT(HC[[#This Row],[ap (cm)]]*HC[[#This Row],[bp (cm)]])</f>
        <v>44.721359549995796</v>
      </c>
      <c r="AA228" s="12">
        <f>HC[[#This Row],[ap (cm)]]*HC[[#This Row],[bp (cm)]]</f>
        <v>2000</v>
      </c>
      <c r="AB228" s="12">
        <f ca="1">IF(HC[[#This Row],[Padm∙ε (kN)]]&gt;=HC[[#This Row],[Padm (kN)]],ROUNDUP(1.05*HC[[#This Row],[Nsd (kN)]]/HC[[#This Row],[Padm (kN)]],0),ROUNDUP(1.05*HC[[#This Row],[Nsd (kN)]]/HC[[#This Row],[Padm (kN)]],0)+1)</f>
        <v>1</v>
      </c>
      <c r="AC228" s="4">
        <f ca="1">IFERROR(IF(HC[[#This Row],[nE]]=1,HC[[#This Row],[Padm (kN)]],HC[[#This Row],[Padm (kN)]]*HC[[#This Row],[nE]]*INDEX(grupoEstacas[],HC[[#This Row],[nE]],MATCH("ε",grupoEstacas[#Headers],0))),"N.S.")</f>
        <v>1913.2299260361838</v>
      </c>
      <c r="AD228" s="4">
        <f ca="1">1.05*HC[[#This Row],[Nsd (kN)]]/(HC[[#This Row],[nE]]*PI()*HC[[#This Row],[Ø (cm)]]^2/4)*10</f>
        <v>4.7746482927568596</v>
      </c>
      <c r="AE228" s="4">
        <f ca="1">IF(HC[[#This Row],[σ (MPa)]]&lt;INDEX(tipoEstaca[],MATCH($D$2,tipoEstaca[TIPO DE ESTACA],0),MATCH("σmáx (MPa)",tipoEstaca[#Headers],0)),0.4%*PI()*HC[[#This Row],[Ø (cm)]]^2/4,"N.S.")</f>
        <v>15.393804002589988</v>
      </c>
      <c r="AF228" s="1">
        <f>INDEX(tipoEstaca[],MATCH($D$2,tipoEstaca[TIPO DE ESTACA],0),MATCH(HC[[#Headers],[Comprimento (m)]],tipoEstaca[#Headers],0))</f>
        <v>4</v>
      </c>
      <c r="AG228" s="5">
        <f ca="1">HC[[#This Row],[As,mín (cm²)]]/100^2*HC[[#This Row],[Comprimento (m)]]*7850</f>
        <v>48.33654456813256</v>
      </c>
      <c r="AH228" s="4">
        <f ca="1">HC[[#This Row],[nE]]*HC[[#This Row],[Prof. (m)]]*HC[[#This Row],[Ap (m²)]]</f>
        <v>5.0029863008417443</v>
      </c>
      <c r="AI228" s="1">
        <f ca="1">IF(HC[[#This Row],[nE]]=1,0,MAX(3*HC[[#This Row],[Ø (cm)]],60))</f>
        <v>0</v>
      </c>
      <c r="AJ228" s="1">
        <f ca="1">IF(HC[[#This Row],[nE]]=1,HC[[#This Row],[Ø (cm)]]+2*10,MAX(1.5*HC[[#This Row],[Ø (cm)]],HC[[#This Row],[Ø (cm)]]+15))</f>
        <v>90</v>
      </c>
      <c r="AK228" s="1">
        <f ca="1">alturaUtil(HC[[#This Row],[nE]],HC[[#This Row],[Ø (cm)]],HC[[#This Row],[e (cm)]],HC[[#This Row],[ap,eq (cm)]])</f>
        <v>85</v>
      </c>
      <c r="AL228" s="1">
        <f ca="1">IFERROR(HC[[#This Row],[d (cm)]]+arredondarParaCimaMultiplo5cm(MAX(5,SQRT(PI())/2*HC[[#This Row],[Ø (cm)]]/5)),"N.S.")</f>
        <v>100</v>
      </c>
      <c r="AM228" s="5">
        <f ca="1">alpha(HC[[#This Row],[nE]],HC[[#This Row],[d (cm)]],HC[[#This Row],[e (cm)]],HC[[#This Row],[ap,eq (cm)]])</f>
        <v>90</v>
      </c>
      <c r="AN228" s="35">
        <f ca="1">IFERROR(HC[[#This Row],[Nsd (kN)]]/(HC[[#This Row],[Ap (cm²)]]*SIN(HC[[#This Row],[α]])^2),"N.S.")</f>
        <v>1.0948037013095111</v>
      </c>
      <c r="AO228" s="35">
        <f ca="1">IFERROR(HC[[#This Row],[Nsd (kN)]]/(HC[[#This Row],[nE]]*PI()*HC[[#This Row],[Ø (cm)]]^2/4*SIN(HC[[#This Row],[α]])^2),"N.S.")</f>
        <v>0.56895810866518093</v>
      </c>
      <c r="AP228" s="4">
        <f ca="1">IFERROR(INDEX(grupoEstacas[],HC[[#This Row],[nE]],MATCH("coef. Blévot",grupoEstacas[#Headers],0)),"N.S.")</f>
        <v>1</v>
      </c>
      <c r="AQ228" s="35">
        <f ca="1">IFERROR(HC[[#This Row],[coef. Blévot]]*0.9*INDEX(tipoEstaca[],MATCH($D$2,tipoEstaca[TIPO DE ESTACA],0),MATCH("fcd (kN/cm²)",tipoEstaca[#Headers],0)),"N.S.")</f>
        <v>1</v>
      </c>
      <c r="AR228" s="1" t="str">
        <f ca="1">IF(AND(HC[[#This Row],[cd,b,pil (kN/cm²)]]&lt;=HC[[#This Row],[cd,b,lim (kN/cm²)]],HC[[#This Row],[cd,b,est (kN/cm²)]]&lt;=HC[[#This Row],[cd,b,lim (kN/cm²)]]),"OK","ERRO")</f>
        <v>ERRO</v>
      </c>
      <c r="AS228" s="4">
        <f ca="1">As_lado(HC[[#This Row],[nE]],HC[[#This Row],[Nsd (kN)]],HC[[#This Row],[d (cm)]],HC[[#This Row],[e (cm)]],HC[[#This Row],[ap,eq (cm)]])</f>
        <v>10.0625</v>
      </c>
      <c r="AT228" s="4">
        <f ca="1">IF(HC[[#This Row],[nE]]=1,HC[[#This Row],[As,lado (cm²)]],IF(HC[[#This Row],[nE]]=2,0.075*2*HC[a (cm)],"N.A."))</f>
        <v>10.0625</v>
      </c>
      <c r="AU228" s="4" t="str">
        <f ca="1">IFERROR(IF(HC[[#This Row],[nE]]=1,"N.A.",0.2*HC[[#This Row],[As,lado (cm²)]]),"N.S.")</f>
        <v>N.A.</v>
      </c>
      <c r="AV228" s="4" t="str">
        <f ca="1">As_malha(HC[[#This Row],[nE]],HC[[#This Row],[As,lado (cm²)]],HC[[#This Row],[Nsd (kN)]])</f>
        <v>N.A.</v>
      </c>
      <c r="AW228" s="4" t="str">
        <f ca="1">As_susp_tot(HC[[#This Row],[nE]],HC[[#This Row],[Nsd (kN)]])</f>
        <v>N.A.</v>
      </c>
      <c r="AX228" s="4" t="str">
        <f ca="1">Asp_face(HC[[#This Row],[nE]],HC[[#This Row],[As,lado (cm²)]])</f>
        <v>N.A.</v>
      </c>
      <c r="AY228" s="5">
        <f ca="1">acoBloco(HC[[#This Row],[nE]],HC[[#This Row],[e (cm)]],HC[[#This Row],[a (cm)]],HC[[#This Row],[h (cm)]],HC[[#This Row],[As,lado (cm²)]],HC[[#This Row],[Asp e Asw (cm²/m)]],HC[[#This Row],[As,sup (cm²)]],HC[[#This Row],[As,malha (cm²)]],HC[[#This Row],[As,susp,tot (cm²)]],HC[[#This Row],[Asp,face (cm²)]])</f>
        <v>88.469499999999996</v>
      </c>
      <c r="AZ228" s="4">
        <f ca="1">concretoBloco(HC[[#This Row],[nE]],HC[[#This Row],[e (cm)]],HC[[#This Row],[a (cm)]],HC[[#This Row],[h (cm)]])</f>
        <v>0.81</v>
      </c>
      <c r="BA228" s="5">
        <f ca="1">SUM(HC[[#This Row],[Aço Est (kg)]],HC[[#This Row],[Aço Bloco (kg)]])</f>
        <v>136.80604456813256</v>
      </c>
      <c r="BB228" s="4">
        <f>INDEX(composicoes[],MATCH(95580,composicoes[CÓDIGO],0),MATCH("CUSTO TOTAL",composicoes[#Headers],0))</f>
        <v>10.46</v>
      </c>
      <c r="BC228" s="4">
        <f ca="1">SUM(HC[[#This Row],[Conc Est (m³)]],HC[[#This Row],[Conc Bloco (m³)]])</f>
        <v>5.8129863008417448</v>
      </c>
      <c r="BD228" s="4">
        <f>INDEX(composicoes[],MATCH(94966,composicoes[CÓDIGO],0),MATCH("CUSTO TOTAL",composicoes[#Headers],0))</f>
        <v>439.52</v>
      </c>
      <c r="BE228" s="38">
        <f ca="1">HC[[#This Row],[Aço (kg)]]*HC[[#This Row],[Aço (R$/kg)]]+HC[[#This Row],[Conc (m³)]]*HC[[#This Row],[Conc (R$/m³)]]</f>
        <v>3985.9149651286302</v>
      </c>
      <c r="BF228" s="4" t="str">
        <f ca="1">IF(COUNTIF(HC[#This Row],"N.S.")&gt;0,"lim.","OK")</f>
        <v>OK</v>
      </c>
      <c r="BG228" s="4" t="str">
        <f>IF(HC[[#This Row],[Prof. (m)]]&lt;4,"lim.","OK")</f>
        <v>OK</v>
      </c>
      <c r="BH228" s="4" t="str">
        <f>IF(HC[[#This Row],[Prof. (m)]]&gt;=8*HC[[#This Row],[Ø (cm)]]/100,"OK","lim.")</f>
        <v>OK</v>
      </c>
      <c r="BI228" s="4" t="str">
        <f ca="1">IF(HC[[#This Row],[Verif. Biela]]="OK","OK","lim.")</f>
        <v>lim.</v>
      </c>
      <c r="BJ228" s="4" t="str">
        <f ca="1">IF(COUNTA(HC[[#This Row],[Nº Est.]:[Biela comp.]])=COUNTIF(HC[[#This Row],[Nº Est.]:[Biela comp.]],"OK"),"OK","lim.")</f>
        <v>lim.</v>
      </c>
      <c r="BK228" s="4" t="str">
        <f ca="1">IF(HC[[#This Row],[Controle]]="OK",HC[[#This Row],[nE]]&amp;" Ø"&amp;HC[[#This Row],[Ø (cm)]]&amp;"cm Prof. "&amp;HC[[#This Row],[Prof. (m)]]&amp;" m","")</f>
        <v/>
      </c>
      <c r="BL228" s="4" t="str">
        <f ca="1">IF(HC[[#This Row],[idDimensionamento]]="","",HC[[#This Row],[idPilar]]&amp;HC[[#This Row],[idDimensionamento]])</f>
        <v/>
      </c>
    </row>
    <row r="229" spans="2:64" x14ac:dyDescent="0.25">
      <c r="B229" s="12">
        <f>ROUNDUP((ROW(HC[[#This Row],[idDiâmetro]])-ROW(HC[[#Headers],[idDiâmetro]]))/(COUNT(SPT[Prof. (m)])*COUNT(PILARES[Pilar])),0)</f>
        <v>9</v>
      </c>
      <c r="C229" s="12">
        <f>IF(HC[[#This Row],[idDiâmetro]]&lt;&gt;B228,1,IF(HC[[#This Row],[Prof. (m)]]=0,C228+1,C228))</f>
        <v>1</v>
      </c>
      <c r="D229" s="1">
        <f>IFERROR(IF(D228=MAX(SPT[Prof. (m)]),0,D228+1),0)</f>
        <v>0</v>
      </c>
      <c r="E229" s="1">
        <f>INDEX(SPT[],MATCH(HC[[#This Row],[Prof. (m)]],SPT[Prof. (m)],0),2)</f>
        <v>0</v>
      </c>
      <c r="F229" s="1" t="str">
        <f>INDEX(SPT[],MATCH(HC[[#This Row],[Prof. (m)]],SPT[Prof. (m)],0),3)</f>
        <v>Areia siltosa</v>
      </c>
      <c r="G229" s="1">
        <f>INDEX(estacas[],HC[[#This Row],[idDiâmetro]],MATCH($B$2,estacas[#Headers],0))</f>
        <v>80</v>
      </c>
      <c r="H229" s="1">
        <f>INDEX(estacas[],MATCH(HC[[#This Row],[Ø (cm)]],estacas[Ø HC (cm)],0),MATCH(HC[[#Headers],[Pe HC (kN)]],estacas[#Headers],0))</f>
        <v>3200</v>
      </c>
      <c r="I229" s="4">
        <f>INDEX(K_alpha_C[],MATCH(HC[[#This Row],[Solo]],K_alpha_C[Solo],0),2)</f>
        <v>0.8</v>
      </c>
      <c r="J229" s="5">
        <f>INDEX(K_alpha_C[],MATCH(HC[[#This Row],[Solo]],K_alpha_C[Solo],0),3)</f>
        <v>2</v>
      </c>
      <c r="K229" s="4">
        <f>INDEX(F1_F2[],MATCH($D$2,F1_F2[Tipo de estaca],0),2)</f>
        <v>2</v>
      </c>
      <c r="L229" s="4">
        <f>INDEX(F1_F2[],MATCH($D$2,F1_F2[Tipo de estaca],0),3)</f>
        <v>4</v>
      </c>
      <c r="M229" s="4">
        <f>PI()*(HC[[#This Row],[Ø (cm)]]/100)^2/4</f>
        <v>0.50265482457436694</v>
      </c>
      <c r="N229" s="4">
        <f>PI()*HC[[#This Row],[Ø (cm)]]/100</f>
        <v>2.5132741228718345</v>
      </c>
      <c r="O229" s="4">
        <f>IF(HC[[#This Row],[Prof. (m)]]=0,0,HC[[#This Row],[α (%)]]/100*HC[[#This Row],[K (MPa)]]*1000*HC[[#This Row],[NSPT]])</f>
        <v>0</v>
      </c>
      <c r="P229" s="4">
        <f>IF(HC[[#This Row],[Prof. (m)]]=0,0,(HC[[#This Row],[K (MPa)]]*1000*HC[[#This Row],[NSPT]]/HC[[#This Row],[F1]]*HC[[#This Row],[Ap (m²)]]+HC[[#This Row],[U (m)]]/HC[[#This Row],[F2]]*SUMIFS(HC[(α∙K∙NL∙ΔL)],HC[Prof. (m)],"&lt;="&amp;HC[[#This Row],[Prof. (m)]],HC[idDiâmetro],HC[[#This Row],[idDiâmetro]],HC[idPilar],HC[[#This Row],[idPilar]]))/'DADOS CAP. CARGA'!$D$2)</f>
        <v>0</v>
      </c>
      <c r="Q229" s="12">
        <f>INDEX(C_alpha_beta[],MATCH(HC[[#This Row],[Solo]],C_alpha_beta[Solo],0),MATCH(HC[[#Headers],[C (kPa)]],C_alpha_beta[#Headers],0))</f>
        <v>400</v>
      </c>
      <c r="R229" s="4">
        <f>INDEX(C_alpha_beta[],MATCH(HC[[#This Row],[Solo]],C_alpha_beta[Solo],0),MATCH(HC[[#Headers],[α ESF]],C_alpha_beta[#Headers],0))</f>
        <v>0.5</v>
      </c>
      <c r="S229" s="4">
        <f>INDEX(C_alpha_beta[],MATCH(HC[[#This Row],[Solo]],C_alpha_beta[Solo],0),MATCH(HC[[#Headers],[β ESF]],C_alpha_beta[#Headers],0))</f>
        <v>0.5</v>
      </c>
      <c r="T229" s="4">
        <f>IF(HC[[#This Row],[Prof. (m)]]=0,0,10*(HC[[#This Row],[NSPT]]/3+1))</f>
        <v>0</v>
      </c>
      <c r="U229" s="4">
        <f>(HC[[#This Row],[α ESF]]*HC[[#This Row],[C (kPa)]]*HC[[#This Row],[NSPT]]*HC[[#This Row],[Ap (m²)]])/'DADOS CAP. CARGA'!$Q$2+(HC[[#This Row],[β ESF]]*SUMIFS(HC[10∙(NL/3+1)],HC[Prof. (m)],"&lt;="&amp;HC[[#This Row],[Prof. (m)]],HC[idDiâmetro],HC[[#This Row],[idDiâmetro]],HC[idPilar],HC[[#This Row],[idPilar]])*HC[[#This Row],[U (m)]])/'DADOS CAP. CARGA'!$S$2</f>
        <v>0</v>
      </c>
      <c r="V229" s="4">
        <f>IF(SPT!$M$5=1,MIN(HC[[#This Row],[Pe HC (kN)]],HC[[#This Row],[R_AV (kN)]]),IF(SPT!$M$5=2,MIN(HC[[#This Row],[Pe HC (kN)]],HC[[#This Row],[R_DC (kN)]]),MIN(HC[[#This Row],[Pe HC (kN)]],HC[[#This Row],[R_AV (kN)]],HC[[#This Row],[R_DC (kN)]])))</f>
        <v>0</v>
      </c>
      <c r="W229" s="4">
        <f>INDEX(PILARES[],HC[[#This Row],[idPilar]],MATCH("Carga (kN)",PILARES[#Headers],0))*1.4</f>
        <v>3500</v>
      </c>
      <c r="X229" s="12">
        <f>INDEX(PILARES[],HC[[#This Row],[idPilar]],MATCH(HC[[#Headers],[ap (cm)]],PILARES[#Headers],0))</f>
        <v>60</v>
      </c>
      <c r="Y229" s="12">
        <f>INDEX(PILARES[],HC[[#This Row],[idPilar]],MATCH(HC[[#Headers],[bp (cm)]],PILARES[#Headers],0))</f>
        <v>60</v>
      </c>
      <c r="Z229" s="4">
        <f>SQRT(HC[[#This Row],[ap (cm)]]*HC[[#This Row],[bp (cm)]])</f>
        <v>60</v>
      </c>
      <c r="AA229" s="12">
        <f>HC[[#This Row],[ap (cm)]]*HC[[#This Row],[bp (cm)]]</f>
        <v>3600</v>
      </c>
      <c r="AB229" s="12" t="e">
        <f ca="1">IF(HC[[#This Row],[Padm∙ε (kN)]]&gt;=HC[[#This Row],[Padm (kN)]],ROUNDUP(1.05*HC[[#This Row],[Nsd (kN)]]/HC[[#This Row],[Padm (kN)]],0),ROUNDUP(1.05*HC[[#This Row],[Nsd (kN)]]/HC[[#This Row],[Padm (kN)]],0)+1)</f>
        <v>#DIV/0!</v>
      </c>
      <c r="AC229" s="4" t="str">
        <f ca="1">IFERROR(IF(HC[[#This Row],[nE]]=1,HC[[#This Row],[Padm (kN)]],HC[[#This Row],[Padm (kN)]]*HC[[#This Row],[nE]]*INDEX(grupoEstacas[],HC[[#This Row],[nE]],MATCH("ε",grupoEstacas[#Headers],0))),"N.S.")</f>
        <v>N.S.</v>
      </c>
      <c r="AD229" s="4" t="e">
        <f ca="1">1.05*HC[[#This Row],[Nsd (kN)]]/(HC[[#This Row],[nE]]*PI()*HC[[#This Row],[Ø (cm)]]^2/4)*10</f>
        <v>#DIV/0!</v>
      </c>
      <c r="AE229" s="4" t="e">
        <f ca="1">IF(HC[[#This Row],[σ (MPa)]]&lt;INDEX(tipoEstaca[],MATCH($D$2,tipoEstaca[TIPO DE ESTACA],0),MATCH("σmáx (MPa)",tipoEstaca[#Headers],0)),0.4%*PI()*HC[[#This Row],[Ø (cm)]]^2/4,"N.S.")</f>
        <v>#DIV/0!</v>
      </c>
      <c r="AF229" s="1">
        <f>INDEX(tipoEstaca[],MATCH($D$2,tipoEstaca[TIPO DE ESTACA],0),MATCH(HC[[#Headers],[Comprimento (m)]],tipoEstaca[#Headers],0))</f>
        <v>4</v>
      </c>
      <c r="AG229" s="5" t="e">
        <f ca="1">HC[[#This Row],[As,mín (cm²)]]/100^2*HC[[#This Row],[Comprimento (m)]]*7850</f>
        <v>#DIV/0!</v>
      </c>
      <c r="AH229" s="4" t="e">
        <f ca="1">HC[[#This Row],[nE]]*HC[[#This Row],[Prof. (m)]]*HC[[#This Row],[Ap (m²)]]</f>
        <v>#DIV/0!</v>
      </c>
      <c r="AI229" s="1" t="e">
        <f ca="1">IF(HC[[#This Row],[nE]]=1,0,MAX(3*HC[[#This Row],[Ø (cm)]],60))</f>
        <v>#DIV/0!</v>
      </c>
      <c r="AJ229" s="1" t="e">
        <f ca="1">IF(HC[[#This Row],[nE]]=1,HC[[#This Row],[Ø (cm)]]+2*10,MAX(1.5*HC[[#This Row],[Ø (cm)]],HC[[#This Row],[Ø (cm)]]+15))</f>
        <v>#DIV/0!</v>
      </c>
      <c r="AK229" s="1" t="e">
        <f ca="1">alturaUtil(HC[[#This Row],[nE]],HC[[#This Row],[Ø (cm)]],HC[[#This Row],[e (cm)]],HC[[#This Row],[ap,eq (cm)]])</f>
        <v>#VALUE!</v>
      </c>
      <c r="AL229" s="1" t="str">
        <f ca="1">IFERROR(HC[[#This Row],[d (cm)]]+arredondarParaCimaMultiplo5cm(MAX(5,SQRT(PI())/2*HC[[#This Row],[Ø (cm)]]/5)),"N.S.")</f>
        <v>N.S.</v>
      </c>
      <c r="AM229" s="5" t="e">
        <f ca="1">alpha(HC[[#This Row],[nE]],HC[[#This Row],[d (cm)]],HC[[#This Row],[e (cm)]],HC[[#This Row],[ap,eq (cm)]])</f>
        <v>#VALUE!</v>
      </c>
      <c r="AN229" s="35" t="str">
        <f ca="1">IFERROR(HC[[#This Row],[Nsd (kN)]]/(HC[[#This Row],[Ap (cm²)]]*SIN(HC[[#This Row],[α]])^2),"N.S.")</f>
        <v>N.S.</v>
      </c>
      <c r="AO229" s="35" t="str">
        <f ca="1">IFERROR(HC[[#This Row],[Nsd (kN)]]/(HC[[#This Row],[nE]]*PI()*HC[[#This Row],[Ø (cm)]]^2/4*SIN(HC[[#This Row],[α]])^2),"N.S.")</f>
        <v>N.S.</v>
      </c>
      <c r="AP229" s="4" t="str">
        <f ca="1">IFERROR(INDEX(grupoEstacas[],HC[[#This Row],[nE]],MATCH("coef. Blévot",grupoEstacas[#Headers],0)),"N.S.")</f>
        <v>N.S.</v>
      </c>
      <c r="AQ229" s="35" t="str">
        <f ca="1">IFERROR(HC[[#This Row],[coef. Blévot]]*0.9*INDEX(tipoEstaca[],MATCH($D$2,tipoEstaca[TIPO DE ESTACA],0),MATCH("fcd (kN/cm²)",tipoEstaca[#Headers],0)),"N.S.")</f>
        <v>N.S.</v>
      </c>
      <c r="AR229" s="1" t="str">
        <f ca="1">IF(AND(HC[[#This Row],[cd,b,pil (kN/cm²)]]&lt;=HC[[#This Row],[cd,b,lim (kN/cm²)]],HC[[#This Row],[cd,b,est (kN/cm²)]]&lt;=HC[[#This Row],[cd,b,lim (kN/cm²)]]),"OK","ERRO")</f>
        <v>OK</v>
      </c>
      <c r="AS229" s="4" t="e">
        <f ca="1">As_lado(HC[[#This Row],[nE]],HC[[#This Row],[Nsd (kN)]],HC[[#This Row],[d (cm)]],HC[[#This Row],[e (cm)]],HC[[#This Row],[ap,eq (cm)]])</f>
        <v>#VALUE!</v>
      </c>
      <c r="AT229" s="4" t="e">
        <f ca="1">IF(HC[[#This Row],[nE]]=1,HC[[#This Row],[As,lado (cm²)]],IF(HC[[#This Row],[nE]]=2,0.075*2*HC[a (cm)],"N.A."))</f>
        <v>#DIV/0!</v>
      </c>
      <c r="AU229" s="4" t="str">
        <f ca="1">IFERROR(IF(HC[[#This Row],[nE]]=1,"N.A.",0.2*HC[[#This Row],[As,lado (cm²)]]),"N.S.")</f>
        <v>N.S.</v>
      </c>
      <c r="AV229" s="4" t="e">
        <f ca="1">As_malha(HC[[#This Row],[nE]],HC[[#This Row],[As,lado (cm²)]],HC[[#This Row],[Nsd (kN)]])</f>
        <v>#VALUE!</v>
      </c>
      <c r="AW229" s="4" t="e">
        <f ca="1">As_susp_tot(HC[[#This Row],[nE]],HC[[#This Row],[Nsd (kN)]])</f>
        <v>#VALUE!</v>
      </c>
      <c r="AX229" s="4" t="e">
        <f ca="1">Asp_face(HC[[#This Row],[nE]],HC[[#This Row],[As,lado (cm²)]])</f>
        <v>#VALUE!</v>
      </c>
      <c r="AY229" s="5" t="e">
        <f ca="1">acoBloco(HC[[#This Row],[nE]],HC[[#This Row],[e (cm)]],HC[[#This Row],[a (cm)]],HC[[#This Row],[h (cm)]],HC[[#This Row],[As,lado (cm²)]],HC[[#This Row],[Asp e Asw (cm²/m)]],HC[[#This Row],[As,sup (cm²)]],HC[[#This Row],[As,malha (cm²)]],HC[[#This Row],[As,susp,tot (cm²)]],HC[[#This Row],[Asp,face (cm²)]])</f>
        <v>#VALUE!</v>
      </c>
      <c r="AZ229" s="4" t="e">
        <f ca="1">concretoBloco(HC[[#This Row],[nE]],HC[[#This Row],[e (cm)]],HC[[#This Row],[a (cm)]],HC[[#This Row],[h (cm)]])</f>
        <v>#VALUE!</v>
      </c>
      <c r="BA229" s="5" t="e">
        <f ca="1">SUM(HC[[#This Row],[Aço Est (kg)]],HC[[#This Row],[Aço Bloco (kg)]])</f>
        <v>#DIV/0!</v>
      </c>
      <c r="BB229" s="4">
        <f>INDEX(composicoes[],MATCH(95580,composicoes[CÓDIGO],0),MATCH("CUSTO TOTAL",composicoes[#Headers],0))</f>
        <v>10.46</v>
      </c>
      <c r="BC229" s="4" t="e">
        <f ca="1">SUM(HC[[#This Row],[Conc Est (m³)]],HC[[#This Row],[Conc Bloco (m³)]])</f>
        <v>#DIV/0!</v>
      </c>
      <c r="BD229" s="4">
        <f>INDEX(composicoes[],MATCH(94966,composicoes[CÓDIGO],0),MATCH("CUSTO TOTAL",composicoes[#Headers],0))</f>
        <v>439.52</v>
      </c>
      <c r="BE229" s="38" t="e">
        <f ca="1">HC[[#This Row],[Aço (kg)]]*HC[[#This Row],[Aço (R$/kg)]]+HC[[#This Row],[Conc (m³)]]*HC[[#This Row],[Conc (R$/m³)]]</f>
        <v>#DIV/0!</v>
      </c>
      <c r="BF229" s="4" t="str">
        <f ca="1">IF(COUNTIF(HC[#This Row],"N.S.")&gt;0,"lim.","OK")</f>
        <v>lim.</v>
      </c>
      <c r="BG229" s="4" t="str">
        <f>IF(HC[[#This Row],[Prof. (m)]]&lt;4,"lim.","OK")</f>
        <v>lim.</v>
      </c>
      <c r="BH229" s="4" t="str">
        <f>IF(HC[[#This Row],[Prof. (m)]]&gt;=8*HC[[#This Row],[Ø (cm)]]/100,"OK","lim.")</f>
        <v>lim.</v>
      </c>
      <c r="BI229" s="4" t="str">
        <f ca="1">IF(HC[[#This Row],[Verif. Biela]]="OK","OK","lim.")</f>
        <v>OK</v>
      </c>
      <c r="BJ229" s="4" t="str">
        <f ca="1">IF(COUNTA(HC[[#This Row],[Nº Est.]:[Biela comp.]])=COUNTIF(HC[[#This Row],[Nº Est.]:[Biela comp.]],"OK"),"OK","lim.")</f>
        <v>lim.</v>
      </c>
      <c r="BK229" s="4" t="str">
        <f ca="1">IF(HC[[#This Row],[Controle]]="OK",HC[[#This Row],[nE]]&amp;" Ø"&amp;HC[[#This Row],[Ø (cm)]]&amp;"cm Prof. "&amp;HC[[#This Row],[Prof. (m)]]&amp;" m","")</f>
        <v/>
      </c>
      <c r="BL229" s="4" t="str">
        <f ca="1">IF(HC[[#This Row],[idDimensionamento]]="","",HC[[#This Row],[idPilar]]&amp;HC[[#This Row],[idDimensionamento]])</f>
        <v/>
      </c>
    </row>
    <row r="230" spans="2:64" x14ac:dyDescent="0.25">
      <c r="B230" s="12">
        <f>ROUNDUP((ROW(HC[[#This Row],[idDiâmetro]])-ROW(HC[[#Headers],[idDiâmetro]]))/(COUNT(SPT[Prof. (m)])*COUNT(PILARES[Pilar])),0)</f>
        <v>9</v>
      </c>
      <c r="C230" s="12">
        <f>IF(HC[[#This Row],[idDiâmetro]]&lt;&gt;B229,1,IF(HC[[#This Row],[Prof. (m)]]=0,C229+1,C229))</f>
        <v>1</v>
      </c>
      <c r="D230" s="1">
        <f>IFERROR(IF(D229=MAX(SPT[Prof. (m)]),0,D229+1),0)</f>
        <v>1</v>
      </c>
      <c r="E230" s="1">
        <f>INDEX(SPT[],MATCH(HC[[#This Row],[Prof. (m)]],SPT[Prof. (m)],0),2)</f>
        <v>2</v>
      </c>
      <c r="F230" s="1" t="str">
        <f>INDEX(SPT[],MATCH(HC[[#This Row],[Prof. (m)]],SPT[Prof. (m)],0),3)</f>
        <v>Areia siltosa</v>
      </c>
      <c r="G230" s="1">
        <f>INDEX(estacas[],HC[[#This Row],[idDiâmetro]],MATCH($B$2,estacas[#Headers],0))</f>
        <v>80</v>
      </c>
      <c r="H230" s="1">
        <f>INDEX(estacas[],MATCH(HC[[#This Row],[Ø (cm)]],estacas[Ø HC (cm)],0),MATCH(HC[[#Headers],[Pe HC (kN)]],estacas[#Headers],0))</f>
        <v>3200</v>
      </c>
      <c r="I230" s="4">
        <f>INDEX(K_alpha_C[],MATCH(HC[[#This Row],[Solo]],K_alpha_C[Solo],0),2)</f>
        <v>0.8</v>
      </c>
      <c r="J230" s="5">
        <f>INDEX(K_alpha_C[],MATCH(HC[[#This Row],[Solo]],K_alpha_C[Solo],0),3)</f>
        <v>2</v>
      </c>
      <c r="K230" s="4">
        <f>INDEX(F1_F2[],MATCH($D$2,F1_F2[Tipo de estaca],0),2)</f>
        <v>2</v>
      </c>
      <c r="L230" s="4">
        <f>INDEX(F1_F2[],MATCH($D$2,F1_F2[Tipo de estaca],0),3)</f>
        <v>4</v>
      </c>
      <c r="M230" s="4">
        <f>PI()*(HC[[#This Row],[Ø (cm)]]/100)^2/4</f>
        <v>0.50265482457436694</v>
      </c>
      <c r="N230" s="4">
        <f>PI()*HC[[#This Row],[Ø (cm)]]/100</f>
        <v>2.5132741228718345</v>
      </c>
      <c r="O230" s="4">
        <f>IF(HC[[#This Row],[Prof. (m)]]=0,0,HC[[#This Row],[α (%)]]/100*HC[[#This Row],[K (MPa)]]*1000*HC[[#This Row],[NSPT]])</f>
        <v>32</v>
      </c>
      <c r="P230" s="4">
        <f>IF(HC[[#This Row],[Prof. (m)]]=0,0,(HC[[#This Row],[K (MPa)]]*1000*HC[[#This Row],[NSPT]]/HC[[#This Row],[F1]]*HC[[#This Row],[Ap (m²)]]+HC[[#This Row],[U (m)]]/HC[[#This Row],[F2]]*SUMIFS(HC[(α∙K∙NL∙ΔL)],HC[Prof. (m)],"&lt;="&amp;HC[[#This Row],[Prof. (m)]],HC[idDiâmetro],HC[[#This Row],[idDiâmetro]],HC[idPilar],HC[[#This Row],[idPilar]]))/'DADOS CAP. CARGA'!$D$2)</f>
        <v>211.11502632123413</v>
      </c>
      <c r="Q230" s="12">
        <f>INDEX(C_alpha_beta[],MATCH(HC[[#This Row],[Solo]],C_alpha_beta[Solo],0),MATCH(HC[[#Headers],[C (kPa)]],C_alpha_beta[#Headers],0))</f>
        <v>400</v>
      </c>
      <c r="R230" s="4">
        <f>INDEX(C_alpha_beta[],MATCH(HC[[#This Row],[Solo]],C_alpha_beta[Solo],0),MATCH(HC[[#Headers],[α ESF]],C_alpha_beta[#Headers],0))</f>
        <v>0.5</v>
      </c>
      <c r="S230" s="4">
        <f>INDEX(C_alpha_beta[],MATCH(HC[[#This Row],[Solo]],C_alpha_beta[Solo],0),MATCH(HC[[#Headers],[β ESF]],C_alpha_beta[#Headers],0))</f>
        <v>0.5</v>
      </c>
      <c r="T230" s="4">
        <f>IF(HC[[#This Row],[Prof. (m)]]=0,0,10*(HC[[#This Row],[NSPT]]/3+1))</f>
        <v>16.666666666666664</v>
      </c>
      <c r="U230" s="4">
        <f>(HC[[#This Row],[α ESF]]*HC[[#This Row],[C (kPa)]]*HC[[#This Row],[NSPT]]*HC[[#This Row],[Ap (m²)]])/'DADOS CAP. CARGA'!$Q$2+(HC[[#This Row],[β ESF]]*SUMIFS(HC[10∙(NL/3+1)],HC[Prof. (m)],"&lt;="&amp;HC[[#This Row],[Prof. (m)]],HC[idDiâmetro],HC[[#This Row],[idDiâmetro]],HC[idPilar],HC[[#This Row],[idPilar]])*HC[[#This Row],[U (m)]])/'DADOS CAP. CARGA'!$S$2</f>
        <v>60.737457969402669</v>
      </c>
      <c r="V230" s="4">
        <f>IF(SPT!$M$5=1,MIN(HC[[#This Row],[Pe HC (kN)]],HC[[#This Row],[R_AV (kN)]]),IF(SPT!$M$5=2,MIN(HC[[#This Row],[Pe HC (kN)]],HC[[#This Row],[R_DC (kN)]]),MIN(HC[[#This Row],[Pe HC (kN)]],HC[[#This Row],[R_AV (kN)]],HC[[#This Row],[R_DC (kN)]])))</f>
        <v>60.737457969402669</v>
      </c>
      <c r="W230" s="4">
        <f>INDEX(PILARES[],HC[[#This Row],[idPilar]],MATCH("Carga (kN)",PILARES[#Headers],0))*1.4</f>
        <v>3500</v>
      </c>
      <c r="X230" s="12">
        <f>INDEX(PILARES[],HC[[#This Row],[idPilar]],MATCH(HC[[#Headers],[ap (cm)]],PILARES[#Headers],0))</f>
        <v>60</v>
      </c>
      <c r="Y230" s="12">
        <f>INDEX(PILARES[],HC[[#This Row],[idPilar]],MATCH(HC[[#Headers],[bp (cm)]],PILARES[#Headers],0))</f>
        <v>60</v>
      </c>
      <c r="Z230" s="4">
        <f>SQRT(HC[[#This Row],[ap (cm)]]*HC[[#This Row],[bp (cm)]])</f>
        <v>60</v>
      </c>
      <c r="AA230" s="12">
        <f>HC[[#This Row],[ap (cm)]]*HC[[#This Row],[bp (cm)]]</f>
        <v>3600</v>
      </c>
      <c r="AB230" s="12">
        <f ca="1">IF(HC[[#This Row],[Padm∙ε (kN)]]&gt;=HC[[#This Row],[Padm (kN)]],ROUNDUP(1.05*HC[[#This Row],[Nsd (kN)]]/HC[[#This Row],[Padm (kN)]],0),ROUNDUP(1.05*HC[[#This Row],[Nsd (kN)]]/HC[[#This Row],[Padm (kN)]],0)+1)</f>
        <v>61</v>
      </c>
      <c r="AC230" s="4" t="str">
        <f ca="1">IFERROR(IF(HC[[#This Row],[nE]]=1,HC[[#This Row],[Padm (kN)]],HC[[#This Row],[Padm (kN)]]*HC[[#This Row],[nE]]*INDEX(grupoEstacas[],HC[[#This Row],[nE]],MATCH("ε",grupoEstacas[#Headers],0))),"N.S.")</f>
        <v>N.S.</v>
      </c>
      <c r="AD230" s="4">
        <f ca="1">1.05*HC[[#This Row],[Nsd (kN)]]/(HC[[#This Row],[nE]]*PI()*HC[[#This Row],[Ø (cm)]]^2/4)*10</f>
        <v>0.11985541308662201</v>
      </c>
      <c r="AE230" s="4">
        <f ca="1">IF(HC[[#This Row],[σ (MPa)]]&lt;INDEX(tipoEstaca[],MATCH($D$2,tipoEstaca[TIPO DE ESTACA],0),MATCH("σmáx (MPa)",tipoEstaca[#Headers],0)),0.4%*PI()*HC[[#This Row],[Ø (cm)]]^2/4,"N.S.")</f>
        <v>20.106192982974676</v>
      </c>
      <c r="AF230" s="1">
        <f>INDEX(tipoEstaca[],MATCH($D$2,tipoEstaca[TIPO DE ESTACA],0),MATCH(HC[[#Headers],[Comprimento (m)]],tipoEstaca[#Headers],0))</f>
        <v>4</v>
      </c>
      <c r="AG230" s="5">
        <f ca="1">HC[[#This Row],[As,mín (cm²)]]/100^2*HC[[#This Row],[Comprimento (m)]]*7850</f>
        <v>63.133445966540478</v>
      </c>
      <c r="AH230" s="4">
        <f ca="1">HC[[#This Row],[nE]]*HC[[#This Row],[Prof. (m)]]*HC[[#This Row],[Ap (m²)]]</f>
        <v>30.661944299036385</v>
      </c>
      <c r="AI230" s="1">
        <f ca="1">IF(HC[[#This Row],[nE]]=1,0,MAX(3*HC[[#This Row],[Ø (cm)]],60))</f>
        <v>240</v>
      </c>
      <c r="AJ230" s="1">
        <f ca="1">IF(HC[[#This Row],[nE]]=1,HC[[#This Row],[Ø (cm)]]+2*10,MAX(1.5*HC[[#This Row],[Ø (cm)]],HC[[#This Row],[Ø (cm)]]+15))</f>
        <v>120</v>
      </c>
      <c r="AK230" s="1" t="str">
        <f ca="1">alturaUtil(HC[[#This Row],[nE]],HC[[#This Row],[Ø (cm)]],HC[[#This Row],[e (cm)]],HC[[#This Row],[ap,eq (cm)]])</f>
        <v>N.S.</v>
      </c>
      <c r="AL230" s="1" t="str">
        <f ca="1">IFERROR(HC[[#This Row],[d (cm)]]+arredondarParaCimaMultiplo5cm(MAX(5,SQRT(PI())/2*HC[[#This Row],[Ø (cm)]]/5)),"N.S.")</f>
        <v>N.S.</v>
      </c>
      <c r="AM230" s="5" t="str">
        <f ca="1">alpha(HC[[#This Row],[nE]],HC[[#This Row],[d (cm)]],HC[[#This Row],[e (cm)]],HC[[#This Row],[ap,eq (cm)]])</f>
        <v>N.S.</v>
      </c>
      <c r="AN230" s="35" t="str">
        <f ca="1">IFERROR(HC[[#This Row],[Nsd (kN)]]/(HC[[#This Row],[Ap (cm²)]]*SIN(HC[[#This Row],[α]])^2),"N.S.")</f>
        <v>N.S.</v>
      </c>
      <c r="AO230" s="35" t="str">
        <f ca="1">IFERROR(HC[[#This Row],[Nsd (kN)]]/(HC[[#This Row],[nE]]*PI()*HC[[#This Row],[Ø (cm)]]^2/4*SIN(HC[[#This Row],[α]])^2),"N.S.")</f>
        <v>N.S.</v>
      </c>
      <c r="AP230" s="4" t="str">
        <f ca="1">IFERROR(INDEX(grupoEstacas[],HC[[#This Row],[nE]],MATCH("coef. Blévot",grupoEstacas[#Headers],0)),"N.S.")</f>
        <v>N.S.</v>
      </c>
      <c r="AQ230" s="35" t="str">
        <f ca="1">IFERROR(HC[[#This Row],[coef. Blévot]]*0.9*INDEX(tipoEstaca[],MATCH($D$2,tipoEstaca[TIPO DE ESTACA],0),MATCH("fcd (kN/cm²)",tipoEstaca[#Headers],0)),"N.S.")</f>
        <v>N.S.</v>
      </c>
      <c r="AR230" s="1" t="str">
        <f ca="1">IF(AND(HC[[#This Row],[cd,b,pil (kN/cm²)]]&lt;=HC[[#This Row],[cd,b,lim (kN/cm²)]],HC[[#This Row],[cd,b,est (kN/cm²)]]&lt;=HC[[#This Row],[cd,b,lim (kN/cm²)]]),"OK","ERRO")</f>
        <v>OK</v>
      </c>
      <c r="AS230" s="4" t="str">
        <f ca="1">As_lado(HC[[#This Row],[nE]],HC[[#This Row],[Nsd (kN)]],HC[[#This Row],[d (cm)]],HC[[#This Row],[e (cm)]],HC[[#This Row],[ap,eq (cm)]])</f>
        <v>N.S.</v>
      </c>
      <c r="AT230" s="4" t="str">
        <f ca="1">IF(HC[[#This Row],[nE]]=1,HC[[#This Row],[As,lado (cm²)]],IF(HC[[#This Row],[nE]]=2,0.075*2*HC[a (cm)],"N.A."))</f>
        <v>N.A.</v>
      </c>
      <c r="AU230" s="4" t="str">
        <f ca="1">IFERROR(IF(HC[[#This Row],[nE]]=1,"N.A.",0.2*HC[[#This Row],[As,lado (cm²)]]),"N.S.")</f>
        <v>N.S.</v>
      </c>
      <c r="AV230" s="4" t="str">
        <f ca="1">As_malha(HC[[#This Row],[nE]],HC[[#This Row],[As,lado (cm²)]],HC[[#This Row],[Nsd (kN)]])</f>
        <v>N.S.</v>
      </c>
      <c r="AW230" s="4" t="str">
        <f ca="1">As_susp_tot(HC[[#This Row],[nE]],HC[[#This Row],[Nsd (kN)]])</f>
        <v>N.S.</v>
      </c>
      <c r="AX230" s="4" t="str">
        <f ca="1">Asp_face(HC[[#This Row],[nE]],HC[[#This Row],[As,lado (cm²)]])</f>
        <v>N.S.</v>
      </c>
      <c r="AY230" s="5" t="str">
        <f ca="1">acoBloco(HC[[#This Row],[nE]],HC[[#This Row],[e (cm)]],HC[[#This Row],[a (cm)]],HC[[#This Row],[h (cm)]],HC[[#This Row],[As,lado (cm²)]],HC[[#This Row],[Asp e Asw (cm²/m)]],HC[[#This Row],[As,sup (cm²)]],HC[[#This Row],[As,malha (cm²)]],HC[[#This Row],[As,susp,tot (cm²)]],HC[[#This Row],[Asp,face (cm²)]])</f>
        <v>N.S.</v>
      </c>
      <c r="AZ230" s="4" t="str">
        <f ca="1">concretoBloco(HC[[#This Row],[nE]],HC[[#This Row],[e (cm)]],HC[[#This Row],[a (cm)]],HC[[#This Row],[h (cm)]])</f>
        <v>N.S.</v>
      </c>
      <c r="BA230" s="5">
        <f ca="1">SUM(HC[[#This Row],[Aço Est (kg)]],HC[[#This Row],[Aço Bloco (kg)]])</f>
        <v>63.133445966540478</v>
      </c>
      <c r="BB230" s="4">
        <f>INDEX(composicoes[],MATCH(95580,composicoes[CÓDIGO],0),MATCH("CUSTO TOTAL",composicoes[#Headers],0))</f>
        <v>10.46</v>
      </c>
      <c r="BC230" s="4">
        <f ca="1">SUM(HC[[#This Row],[Conc Est (m³)]],HC[[#This Row],[Conc Bloco (m³)]])</f>
        <v>30.661944299036385</v>
      </c>
      <c r="BD230" s="4">
        <f>INDEX(composicoes[],MATCH(94966,composicoes[CÓDIGO],0),MATCH("CUSTO TOTAL",composicoes[#Headers],0))</f>
        <v>439.52</v>
      </c>
      <c r="BE230" s="38">
        <f ca="1">HC[[#This Row],[Aço (kg)]]*HC[[#This Row],[Aço (R$/kg)]]+HC[[#This Row],[Conc (m³)]]*HC[[#This Row],[Conc (R$/m³)]]</f>
        <v>14136.913603122484</v>
      </c>
      <c r="BF230" s="4" t="str">
        <f ca="1">IF(COUNTIF(HC[#This Row],"N.S.")&gt;0,"lim.","OK")</f>
        <v>lim.</v>
      </c>
      <c r="BG230" s="4" t="str">
        <f>IF(HC[[#This Row],[Prof. (m)]]&lt;4,"lim.","OK")</f>
        <v>lim.</v>
      </c>
      <c r="BH230" s="4" t="str">
        <f>IF(HC[[#This Row],[Prof. (m)]]&gt;=8*HC[[#This Row],[Ø (cm)]]/100,"OK","lim.")</f>
        <v>lim.</v>
      </c>
      <c r="BI230" s="4" t="str">
        <f ca="1">IF(HC[[#This Row],[Verif. Biela]]="OK","OK","lim.")</f>
        <v>OK</v>
      </c>
      <c r="BJ230" s="4" t="str">
        <f ca="1">IF(COUNTA(HC[[#This Row],[Nº Est.]:[Biela comp.]])=COUNTIF(HC[[#This Row],[Nº Est.]:[Biela comp.]],"OK"),"OK","lim.")</f>
        <v>lim.</v>
      </c>
      <c r="BK230" s="4" t="str">
        <f ca="1">IF(HC[[#This Row],[Controle]]="OK",HC[[#This Row],[nE]]&amp;" Ø"&amp;HC[[#This Row],[Ø (cm)]]&amp;"cm Prof. "&amp;HC[[#This Row],[Prof. (m)]]&amp;" m","")</f>
        <v/>
      </c>
      <c r="BL230" s="4" t="str">
        <f ca="1">IF(HC[[#This Row],[idDimensionamento]]="","",HC[[#This Row],[idPilar]]&amp;HC[[#This Row],[idDimensionamento]])</f>
        <v/>
      </c>
    </row>
    <row r="231" spans="2:64" x14ac:dyDescent="0.25">
      <c r="B231" s="12">
        <f>ROUNDUP((ROW(HC[[#This Row],[idDiâmetro]])-ROW(HC[[#Headers],[idDiâmetro]]))/(COUNT(SPT[Prof. (m)])*COUNT(PILARES[Pilar])),0)</f>
        <v>9</v>
      </c>
      <c r="C231" s="12">
        <f>IF(HC[[#This Row],[idDiâmetro]]&lt;&gt;B230,1,IF(HC[[#This Row],[Prof. (m)]]=0,C230+1,C230))</f>
        <v>1</v>
      </c>
      <c r="D231" s="1">
        <f>IFERROR(IF(D230=MAX(SPT[Prof. (m)]),0,D230+1),0)</f>
        <v>2</v>
      </c>
      <c r="E231" s="1">
        <f>INDEX(SPT[],MATCH(HC[[#This Row],[Prof. (m)]],SPT[Prof. (m)],0),2)</f>
        <v>2</v>
      </c>
      <c r="F231" s="1" t="str">
        <f>INDEX(SPT[],MATCH(HC[[#This Row],[Prof. (m)]],SPT[Prof. (m)],0),3)</f>
        <v>Areia siltosa</v>
      </c>
      <c r="G231" s="1">
        <f>INDEX(estacas[],HC[[#This Row],[idDiâmetro]],MATCH($B$2,estacas[#Headers],0))</f>
        <v>80</v>
      </c>
      <c r="H231" s="1">
        <f>INDEX(estacas[],MATCH(HC[[#This Row],[Ø (cm)]],estacas[Ø HC (cm)],0),MATCH(HC[[#Headers],[Pe HC (kN)]],estacas[#Headers],0))</f>
        <v>3200</v>
      </c>
      <c r="I231" s="4">
        <f>INDEX(K_alpha_C[],MATCH(HC[[#This Row],[Solo]],K_alpha_C[Solo],0),2)</f>
        <v>0.8</v>
      </c>
      <c r="J231" s="5">
        <f>INDEX(K_alpha_C[],MATCH(HC[[#This Row],[Solo]],K_alpha_C[Solo],0),3)</f>
        <v>2</v>
      </c>
      <c r="K231" s="4">
        <f>INDEX(F1_F2[],MATCH($D$2,F1_F2[Tipo de estaca],0),2)</f>
        <v>2</v>
      </c>
      <c r="L231" s="4">
        <f>INDEX(F1_F2[],MATCH($D$2,F1_F2[Tipo de estaca],0),3)</f>
        <v>4</v>
      </c>
      <c r="M231" s="4">
        <f>PI()*(HC[[#This Row],[Ø (cm)]]/100)^2/4</f>
        <v>0.50265482457436694</v>
      </c>
      <c r="N231" s="4">
        <f>PI()*HC[[#This Row],[Ø (cm)]]/100</f>
        <v>2.5132741228718345</v>
      </c>
      <c r="O231" s="4">
        <f>IF(HC[[#This Row],[Prof. (m)]]=0,0,HC[[#This Row],[α (%)]]/100*HC[[#This Row],[K (MPa)]]*1000*HC[[#This Row],[NSPT]])</f>
        <v>32</v>
      </c>
      <c r="P231" s="4">
        <f>IF(HC[[#This Row],[Prof. (m)]]=0,0,(HC[[#This Row],[K (MPa)]]*1000*HC[[#This Row],[NSPT]]/HC[[#This Row],[F1]]*HC[[#This Row],[Ap (m²)]]+HC[[#This Row],[U (m)]]/HC[[#This Row],[F2]]*SUMIFS(HC[(α∙K∙NL∙ΔL)],HC[Prof. (m)],"&lt;="&amp;HC[[#This Row],[Prof. (m)]],HC[idDiâmetro],HC[[#This Row],[idDiâmetro]],HC[idPilar],HC[[#This Row],[idPilar]]))/'DADOS CAP. CARGA'!$D$2)</f>
        <v>221.16812281272146</v>
      </c>
      <c r="Q231" s="12">
        <f>INDEX(C_alpha_beta[],MATCH(HC[[#This Row],[Solo]],C_alpha_beta[Solo],0),MATCH(HC[[#Headers],[C (kPa)]],C_alpha_beta[#Headers],0))</f>
        <v>400</v>
      </c>
      <c r="R231" s="4">
        <f>INDEX(C_alpha_beta[],MATCH(HC[[#This Row],[Solo]],C_alpha_beta[Solo],0),MATCH(HC[[#Headers],[α ESF]],C_alpha_beta[#Headers],0))</f>
        <v>0.5</v>
      </c>
      <c r="S231" s="4">
        <f>INDEX(C_alpha_beta[],MATCH(HC[[#This Row],[Solo]],C_alpha_beta[Solo],0),MATCH(HC[[#Headers],[β ESF]],C_alpha_beta[#Headers],0))</f>
        <v>0.5</v>
      </c>
      <c r="T231" s="4">
        <f>IF(HC[[#This Row],[Prof. (m)]]=0,0,10*(HC[[#This Row],[NSPT]]/3+1))</f>
        <v>16.666666666666664</v>
      </c>
      <c r="U231" s="4">
        <f>(HC[[#This Row],[α ESF]]*HC[[#This Row],[C (kPa)]]*HC[[#This Row],[NSPT]]*HC[[#This Row],[Ap (m²)]])/'DADOS CAP. CARGA'!$Q$2+(HC[[#This Row],[β ESF]]*SUMIFS(HC[10∙(NL/3+1)],HC[Prof. (m)],"&lt;="&amp;HC[[#This Row],[Prof. (m)]],HC[idDiâmetro],HC[[#This Row],[idDiâmetro]],HC[idPilar],HC[[#This Row],[idPilar]])*HC[[#This Row],[U (m)]])/'DADOS CAP. CARGA'!$S$2</f>
        <v>71.209433481368649</v>
      </c>
      <c r="V231" s="4">
        <f>IF(SPT!$M$5=1,MIN(HC[[#This Row],[Pe HC (kN)]],HC[[#This Row],[R_AV (kN)]]),IF(SPT!$M$5=2,MIN(HC[[#This Row],[Pe HC (kN)]],HC[[#This Row],[R_DC (kN)]]),MIN(HC[[#This Row],[Pe HC (kN)]],HC[[#This Row],[R_AV (kN)]],HC[[#This Row],[R_DC (kN)]])))</f>
        <v>71.209433481368649</v>
      </c>
      <c r="W231" s="4">
        <f>INDEX(PILARES[],HC[[#This Row],[idPilar]],MATCH("Carga (kN)",PILARES[#Headers],0))*1.4</f>
        <v>3500</v>
      </c>
      <c r="X231" s="12">
        <f>INDEX(PILARES[],HC[[#This Row],[idPilar]],MATCH(HC[[#Headers],[ap (cm)]],PILARES[#Headers],0))</f>
        <v>60</v>
      </c>
      <c r="Y231" s="12">
        <f>INDEX(PILARES[],HC[[#This Row],[idPilar]],MATCH(HC[[#Headers],[bp (cm)]],PILARES[#Headers],0))</f>
        <v>60</v>
      </c>
      <c r="Z231" s="4">
        <f>SQRT(HC[[#This Row],[ap (cm)]]*HC[[#This Row],[bp (cm)]])</f>
        <v>60</v>
      </c>
      <c r="AA231" s="12">
        <f>HC[[#This Row],[ap (cm)]]*HC[[#This Row],[bp (cm)]]</f>
        <v>3600</v>
      </c>
      <c r="AB231" s="12">
        <f ca="1">IF(HC[[#This Row],[Padm∙ε (kN)]]&gt;=HC[[#This Row],[Padm (kN)]],ROUNDUP(1.05*HC[[#This Row],[Nsd (kN)]]/HC[[#This Row],[Padm (kN)]],0),ROUNDUP(1.05*HC[[#This Row],[Nsd (kN)]]/HC[[#This Row],[Padm (kN)]],0)+1)</f>
        <v>52</v>
      </c>
      <c r="AC231" s="4" t="str">
        <f ca="1">IFERROR(IF(HC[[#This Row],[nE]]=1,HC[[#This Row],[Padm (kN)]],HC[[#This Row],[Padm (kN)]]*HC[[#This Row],[nE]]*INDEX(grupoEstacas[],HC[[#This Row],[nE]],MATCH("ε",grupoEstacas[#Headers],0))),"N.S.")</f>
        <v>N.S.</v>
      </c>
      <c r="AD231" s="4">
        <f ca="1">1.05*HC[[#This Row],[Nsd (kN)]]/(HC[[#This Row],[nE]]*PI()*HC[[#This Row],[Ø (cm)]]^2/4)*10</f>
        <v>0.14059961919776812</v>
      </c>
      <c r="AE231" s="4">
        <f ca="1">IF(HC[[#This Row],[σ (MPa)]]&lt;INDEX(tipoEstaca[],MATCH($D$2,tipoEstaca[TIPO DE ESTACA],0),MATCH("σmáx (MPa)",tipoEstaca[#Headers],0)),0.4%*PI()*HC[[#This Row],[Ø (cm)]]^2/4,"N.S.")</f>
        <v>20.106192982974676</v>
      </c>
      <c r="AF231" s="1">
        <f>INDEX(tipoEstaca[],MATCH($D$2,tipoEstaca[TIPO DE ESTACA],0),MATCH(HC[[#Headers],[Comprimento (m)]],tipoEstaca[#Headers],0))</f>
        <v>4</v>
      </c>
      <c r="AG231" s="5">
        <f ca="1">HC[[#This Row],[As,mín (cm²)]]/100^2*HC[[#This Row],[Comprimento (m)]]*7850</f>
        <v>63.133445966540478</v>
      </c>
      <c r="AH231" s="4">
        <f ca="1">HC[[#This Row],[nE]]*HC[[#This Row],[Prof. (m)]]*HC[[#This Row],[Ap (m²)]]</f>
        <v>52.27610175573416</v>
      </c>
      <c r="AI231" s="1">
        <f ca="1">IF(HC[[#This Row],[nE]]=1,0,MAX(3*HC[[#This Row],[Ø (cm)]],60))</f>
        <v>240</v>
      </c>
      <c r="AJ231" s="1">
        <f ca="1">IF(HC[[#This Row],[nE]]=1,HC[[#This Row],[Ø (cm)]]+2*10,MAX(1.5*HC[[#This Row],[Ø (cm)]],HC[[#This Row],[Ø (cm)]]+15))</f>
        <v>120</v>
      </c>
      <c r="AK231" s="1" t="str">
        <f ca="1">alturaUtil(HC[[#This Row],[nE]],HC[[#This Row],[Ø (cm)]],HC[[#This Row],[e (cm)]],HC[[#This Row],[ap,eq (cm)]])</f>
        <v>N.S.</v>
      </c>
      <c r="AL231" s="1" t="str">
        <f ca="1">IFERROR(HC[[#This Row],[d (cm)]]+arredondarParaCimaMultiplo5cm(MAX(5,SQRT(PI())/2*HC[[#This Row],[Ø (cm)]]/5)),"N.S.")</f>
        <v>N.S.</v>
      </c>
      <c r="AM231" s="5" t="str">
        <f ca="1">alpha(HC[[#This Row],[nE]],HC[[#This Row],[d (cm)]],HC[[#This Row],[e (cm)]],HC[[#This Row],[ap,eq (cm)]])</f>
        <v>N.S.</v>
      </c>
      <c r="AN231" s="35" t="str">
        <f ca="1">IFERROR(HC[[#This Row],[Nsd (kN)]]/(HC[[#This Row],[Ap (cm²)]]*SIN(HC[[#This Row],[α]])^2),"N.S.")</f>
        <v>N.S.</v>
      </c>
      <c r="AO231" s="35" t="str">
        <f ca="1">IFERROR(HC[[#This Row],[Nsd (kN)]]/(HC[[#This Row],[nE]]*PI()*HC[[#This Row],[Ø (cm)]]^2/4*SIN(HC[[#This Row],[α]])^2),"N.S.")</f>
        <v>N.S.</v>
      </c>
      <c r="AP231" s="4" t="str">
        <f ca="1">IFERROR(INDEX(grupoEstacas[],HC[[#This Row],[nE]],MATCH("coef. Blévot",grupoEstacas[#Headers],0)),"N.S.")</f>
        <v>N.S.</v>
      </c>
      <c r="AQ231" s="35" t="str">
        <f ca="1">IFERROR(HC[[#This Row],[coef. Blévot]]*0.9*INDEX(tipoEstaca[],MATCH($D$2,tipoEstaca[TIPO DE ESTACA],0),MATCH("fcd (kN/cm²)",tipoEstaca[#Headers],0)),"N.S.")</f>
        <v>N.S.</v>
      </c>
      <c r="AR231" s="1" t="str">
        <f ca="1">IF(AND(HC[[#This Row],[cd,b,pil (kN/cm²)]]&lt;=HC[[#This Row],[cd,b,lim (kN/cm²)]],HC[[#This Row],[cd,b,est (kN/cm²)]]&lt;=HC[[#This Row],[cd,b,lim (kN/cm²)]]),"OK","ERRO")</f>
        <v>OK</v>
      </c>
      <c r="AS231" s="4" t="str">
        <f ca="1">As_lado(HC[[#This Row],[nE]],HC[[#This Row],[Nsd (kN)]],HC[[#This Row],[d (cm)]],HC[[#This Row],[e (cm)]],HC[[#This Row],[ap,eq (cm)]])</f>
        <v>N.S.</v>
      </c>
      <c r="AT231" s="4" t="str">
        <f ca="1">IF(HC[[#This Row],[nE]]=1,HC[[#This Row],[As,lado (cm²)]],IF(HC[[#This Row],[nE]]=2,0.075*2*HC[a (cm)],"N.A."))</f>
        <v>N.A.</v>
      </c>
      <c r="AU231" s="4" t="str">
        <f ca="1">IFERROR(IF(HC[[#This Row],[nE]]=1,"N.A.",0.2*HC[[#This Row],[As,lado (cm²)]]),"N.S.")</f>
        <v>N.S.</v>
      </c>
      <c r="AV231" s="4" t="str">
        <f ca="1">As_malha(HC[[#This Row],[nE]],HC[[#This Row],[As,lado (cm²)]],HC[[#This Row],[Nsd (kN)]])</f>
        <v>N.S.</v>
      </c>
      <c r="AW231" s="4" t="str">
        <f ca="1">As_susp_tot(HC[[#This Row],[nE]],HC[[#This Row],[Nsd (kN)]])</f>
        <v>N.S.</v>
      </c>
      <c r="AX231" s="4" t="str">
        <f ca="1">Asp_face(HC[[#This Row],[nE]],HC[[#This Row],[As,lado (cm²)]])</f>
        <v>N.S.</v>
      </c>
      <c r="AY231" s="5" t="str">
        <f ca="1">acoBloco(HC[[#This Row],[nE]],HC[[#This Row],[e (cm)]],HC[[#This Row],[a (cm)]],HC[[#This Row],[h (cm)]],HC[[#This Row],[As,lado (cm²)]],HC[[#This Row],[Asp e Asw (cm²/m)]],HC[[#This Row],[As,sup (cm²)]],HC[[#This Row],[As,malha (cm²)]],HC[[#This Row],[As,susp,tot (cm²)]],HC[[#This Row],[Asp,face (cm²)]])</f>
        <v>N.S.</v>
      </c>
      <c r="AZ231" s="4" t="str">
        <f ca="1">concretoBloco(HC[[#This Row],[nE]],HC[[#This Row],[e (cm)]],HC[[#This Row],[a (cm)]],HC[[#This Row],[h (cm)]])</f>
        <v>N.S.</v>
      </c>
      <c r="BA231" s="5">
        <f ca="1">SUM(HC[[#This Row],[Aço Est (kg)]],HC[[#This Row],[Aço Bloco (kg)]])</f>
        <v>63.133445966540478</v>
      </c>
      <c r="BB231" s="4">
        <f>INDEX(composicoes[],MATCH(95580,composicoes[CÓDIGO],0),MATCH("CUSTO TOTAL",composicoes[#Headers],0))</f>
        <v>10.46</v>
      </c>
      <c r="BC231" s="4">
        <f ca="1">SUM(HC[[#This Row],[Conc Est (m³)]],HC[[#This Row],[Conc Bloco (m³)]])</f>
        <v>52.27610175573416</v>
      </c>
      <c r="BD231" s="4">
        <f>INDEX(composicoes[],MATCH(94966,composicoes[CÓDIGO],0),MATCH("CUSTO TOTAL",composicoes[#Headers],0))</f>
        <v>439.52</v>
      </c>
      <c r="BE231" s="38">
        <f ca="1">HC[[#This Row],[Aço (kg)]]*HC[[#This Row],[Aço (R$/kg)]]+HC[[#This Row],[Conc (m³)]]*HC[[#This Row],[Conc (R$/m³)]]</f>
        <v>23636.768088490291</v>
      </c>
      <c r="BF231" s="4" t="str">
        <f ca="1">IF(COUNTIF(HC[#This Row],"N.S.")&gt;0,"lim.","OK")</f>
        <v>lim.</v>
      </c>
      <c r="BG231" s="4" t="str">
        <f>IF(HC[[#This Row],[Prof. (m)]]&lt;4,"lim.","OK")</f>
        <v>lim.</v>
      </c>
      <c r="BH231" s="4" t="str">
        <f>IF(HC[[#This Row],[Prof. (m)]]&gt;=8*HC[[#This Row],[Ø (cm)]]/100,"OK","lim.")</f>
        <v>lim.</v>
      </c>
      <c r="BI231" s="4" t="str">
        <f ca="1">IF(HC[[#This Row],[Verif. Biela]]="OK","OK","lim.")</f>
        <v>OK</v>
      </c>
      <c r="BJ231" s="4" t="str">
        <f ca="1">IF(COUNTA(HC[[#This Row],[Nº Est.]:[Biela comp.]])=COUNTIF(HC[[#This Row],[Nº Est.]:[Biela comp.]],"OK"),"OK","lim.")</f>
        <v>lim.</v>
      </c>
      <c r="BK231" s="4" t="str">
        <f ca="1">IF(HC[[#This Row],[Controle]]="OK",HC[[#This Row],[nE]]&amp;" Ø"&amp;HC[[#This Row],[Ø (cm)]]&amp;"cm Prof. "&amp;HC[[#This Row],[Prof. (m)]]&amp;" m","")</f>
        <v/>
      </c>
      <c r="BL231" s="4" t="str">
        <f ca="1">IF(HC[[#This Row],[idDimensionamento]]="","",HC[[#This Row],[idPilar]]&amp;HC[[#This Row],[idDimensionamento]])</f>
        <v/>
      </c>
    </row>
    <row r="232" spans="2:64" x14ac:dyDescent="0.25">
      <c r="B232" s="12">
        <f>ROUNDUP((ROW(HC[[#This Row],[idDiâmetro]])-ROW(HC[[#Headers],[idDiâmetro]]))/(COUNT(SPT[Prof. (m)])*COUNT(PILARES[Pilar])),0)</f>
        <v>9</v>
      </c>
      <c r="C232" s="12">
        <f>IF(HC[[#This Row],[idDiâmetro]]&lt;&gt;B231,1,IF(HC[[#This Row],[Prof. (m)]]=0,C231+1,C231))</f>
        <v>1</v>
      </c>
      <c r="D232" s="1">
        <f>IFERROR(IF(D231=MAX(SPT[Prof. (m)]),0,D231+1),0)</f>
        <v>3</v>
      </c>
      <c r="E232" s="1">
        <f>INDEX(SPT[],MATCH(HC[[#This Row],[Prof. (m)]],SPT[Prof. (m)],0),2)</f>
        <v>4</v>
      </c>
      <c r="F232" s="1" t="str">
        <f>INDEX(SPT[],MATCH(HC[[#This Row],[Prof. (m)]],SPT[Prof. (m)],0),3)</f>
        <v>Areia siltosa</v>
      </c>
      <c r="G232" s="1">
        <f>INDEX(estacas[],HC[[#This Row],[idDiâmetro]],MATCH($B$2,estacas[#Headers],0))</f>
        <v>80</v>
      </c>
      <c r="H232" s="1">
        <f>INDEX(estacas[],MATCH(HC[[#This Row],[Ø (cm)]],estacas[Ø HC (cm)],0),MATCH(HC[[#Headers],[Pe HC (kN)]],estacas[#Headers],0))</f>
        <v>3200</v>
      </c>
      <c r="I232" s="4">
        <f>INDEX(K_alpha_C[],MATCH(HC[[#This Row],[Solo]],K_alpha_C[Solo],0),2)</f>
        <v>0.8</v>
      </c>
      <c r="J232" s="5">
        <f>INDEX(K_alpha_C[],MATCH(HC[[#This Row],[Solo]],K_alpha_C[Solo],0),3)</f>
        <v>2</v>
      </c>
      <c r="K232" s="4">
        <f>INDEX(F1_F2[],MATCH($D$2,F1_F2[Tipo de estaca],0),2)</f>
        <v>2</v>
      </c>
      <c r="L232" s="4">
        <f>INDEX(F1_F2[],MATCH($D$2,F1_F2[Tipo de estaca],0),3)</f>
        <v>4</v>
      </c>
      <c r="M232" s="4">
        <f>PI()*(HC[[#This Row],[Ø (cm)]]/100)^2/4</f>
        <v>0.50265482457436694</v>
      </c>
      <c r="N232" s="4">
        <f>PI()*HC[[#This Row],[Ø (cm)]]/100</f>
        <v>2.5132741228718345</v>
      </c>
      <c r="O232" s="4">
        <f>IF(HC[[#This Row],[Prof. (m)]]=0,0,HC[[#This Row],[α (%)]]/100*HC[[#This Row],[K (MPa)]]*1000*HC[[#This Row],[NSPT]])</f>
        <v>64</v>
      </c>
      <c r="P232" s="4">
        <f>IF(HC[[#This Row],[Prof. (m)]]=0,0,(HC[[#This Row],[K (MPa)]]*1000*HC[[#This Row],[NSPT]]/HC[[#This Row],[F1]]*HC[[#This Row],[Ap (m²)]]+HC[[#This Row],[U (m)]]/HC[[#This Row],[F2]]*SUMIFS(HC[(α∙K∙NL∙ΔL)],HC[Prof. (m)],"&lt;="&amp;HC[[#This Row],[Prof. (m)]],HC[idDiâmetro],HC[[#This Row],[idDiâmetro]],HC[idPilar],HC[[#This Row],[idPilar]]))/'DADOS CAP. CARGA'!$D$2)</f>
        <v>442.33624562544293</v>
      </c>
      <c r="Q232" s="12">
        <f>INDEX(C_alpha_beta[],MATCH(HC[[#This Row],[Solo]],C_alpha_beta[Solo],0),MATCH(HC[[#Headers],[C (kPa)]],C_alpha_beta[#Headers],0))</f>
        <v>400</v>
      </c>
      <c r="R232" s="4">
        <f>INDEX(C_alpha_beta[],MATCH(HC[[#This Row],[Solo]],C_alpha_beta[Solo],0),MATCH(HC[[#Headers],[α ESF]],C_alpha_beta[#Headers],0))</f>
        <v>0.5</v>
      </c>
      <c r="S232" s="4">
        <f>INDEX(C_alpha_beta[],MATCH(HC[[#This Row],[Solo]],C_alpha_beta[Solo],0),MATCH(HC[[#Headers],[β ESF]],C_alpha_beta[#Headers],0))</f>
        <v>0.5</v>
      </c>
      <c r="T232" s="4">
        <f>IF(HC[[#This Row],[Prof. (m)]]=0,0,10*(HC[[#This Row],[NSPT]]/3+1))</f>
        <v>23.333333333333329</v>
      </c>
      <c r="U232" s="4">
        <f>(HC[[#This Row],[α ESF]]*HC[[#This Row],[C (kPa)]]*HC[[#This Row],[NSPT]]*HC[[#This Row],[Ap (m²)]])/'DADOS CAP. CARGA'!$Q$2+(HC[[#This Row],[β ESF]]*SUMIFS(HC[10∙(NL/3+1)],HC[Prof. (m)],"&lt;="&amp;HC[[#This Row],[Prof. (m)]],HC[idDiâmetro],HC[[#This Row],[idDiâmetro]],HC[idPilar],HC[[#This Row],[idPilar]])*HC[[#This Row],[U (m)]])/'DADOS CAP. CARGA'!$S$2</f>
        <v>136.1356816555577</v>
      </c>
      <c r="V232" s="4">
        <f>IF(SPT!$M$5=1,MIN(HC[[#This Row],[Pe HC (kN)]],HC[[#This Row],[R_AV (kN)]]),IF(SPT!$M$5=2,MIN(HC[[#This Row],[Pe HC (kN)]],HC[[#This Row],[R_DC (kN)]]),MIN(HC[[#This Row],[Pe HC (kN)]],HC[[#This Row],[R_AV (kN)]],HC[[#This Row],[R_DC (kN)]])))</f>
        <v>136.1356816555577</v>
      </c>
      <c r="W232" s="4">
        <f>INDEX(PILARES[],HC[[#This Row],[idPilar]],MATCH("Carga (kN)",PILARES[#Headers],0))*1.4</f>
        <v>3500</v>
      </c>
      <c r="X232" s="12">
        <f>INDEX(PILARES[],HC[[#This Row],[idPilar]],MATCH(HC[[#Headers],[ap (cm)]],PILARES[#Headers],0))</f>
        <v>60</v>
      </c>
      <c r="Y232" s="12">
        <f>INDEX(PILARES[],HC[[#This Row],[idPilar]],MATCH(HC[[#Headers],[bp (cm)]],PILARES[#Headers],0))</f>
        <v>60</v>
      </c>
      <c r="Z232" s="4">
        <f>SQRT(HC[[#This Row],[ap (cm)]]*HC[[#This Row],[bp (cm)]])</f>
        <v>60</v>
      </c>
      <c r="AA232" s="12">
        <f>HC[[#This Row],[ap (cm)]]*HC[[#This Row],[bp (cm)]]</f>
        <v>3600</v>
      </c>
      <c r="AB232" s="12">
        <f ca="1">IF(HC[[#This Row],[Padm∙ε (kN)]]&gt;=HC[[#This Row],[Padm (kN)]],ROUNDUP(1.05*HC[[#This Row],[Nsd (kN)]]/HC[[#This Row],[Padm (kN)]],0),ROUNDUP(1.05*HC[[#This Row],[Nsd (kN)]]/HC[[#This Row],[Padm (kN)]],0)+1)</f>
        <v>27</v>
      </c>
      <c r="AC232" s="4" t="str">
        <f ca="1">IFERROR(IF(HC[[#This Row],[nE]]=1,HC[[#This Row],[Padm (kN)]],HC[[#This Row],[Padm (kN)]]*HC[[#This Row],[nE]]*INDEX(grupoEstacas[],HC[[#This Row],[nE]],MATCH("ε",grupoEstacas[#Headers],0))),"N.S.")</f>
        <v>N.S.</v>
      </c>
      <c r="AD232" s="4">
        <f ca="1">1.05*HC[[#This Row],[Nsd (kN)]]/(HC[[#This Row],[nE]]*PI()*HC[[#This Row],[Ø (cm)]]^2/4)*10</f>
        <v>0.27078445178829419</v>
      </c>
      <c r="AE232" s="4">
        <f ca="1">IF(HC[[#This Row],[σ (MPa)]]&lt;INDEX(tipoEstaca[],MATCH($D$2,tipoEstaca[TIPO DE ESTACA],0),MATCH("σmáx (MPa)",tipoEstaca[#Headers],0)),0.4%*PI()*HC[[#This Row],[Ø (cm)]]^2/4,"N.S.")</f>
        <v>20.106192982974676</v>
      </c>
      <c r="AF232" s="1">
        <f>INDEX(tipoEstaca[],MATCH($D$2,tipoEstaca[TIPO DE ESTACA],0),MATCH(HC[[#Headers],[Comprimento (m)]],tipoEstaca[#Headers],0))</f>
        <v>4</v>
      </c>
      <c r="AG232" s="5">
        <f ca="1">HC[[#This Row],[As,mín (cm²)]]/100^2*HC[[#This Row],[Comprimento (m)]]*7850</f>
        <v>63.133445966540478</v>
      </c>
      <c r="AH232" s="4">
        <f ca="1">HC[[#This Row],[nE]]*HC[[#This Row],[Prof. (m)]]*HC[[#This Row],[Ap (m²)]]</f>
        <v>40.715040790523723</v>
      </c>
      <c r="AI232" s="1">
        <f ca="1">IF(HC[[#This Row],[nE]]=1,0,MAX(3*HC[[#This Row],[Ø (cm)]],60))</f>
        <v>240</v>
      </c>
      <c r="AJ232" s="1">
        <f ca="1">IF(HC[[#This Row],[nE]]=1,HC[[#This Row],[Ø (cm)]]+2*10,MAX(1.5*HC[[#This Row],[Ø (cm)]],HC[[#This Row],[Ø (cm)]]+15))</f>
        <v>120</v>
      </c>
      <c r="AK232" s="1" t="str">
        <f ca="1">alturaUtil(HC[[#This Row],[nE]],HC[[#This Row],[Ø (cm)]],HC[[#This Row],[e (cm)]],HC[[#This Row],[ap,eq (cm)]])</f>
        <v>N.S.</v>
      </c>
      <c r="AL232" s="1" t="str">
        <f ca="1">IFERROR(HC[[#This Row],[d (cm)]]+arredondarParaCimaMultiplo5cm(MAX(5,SQRT(PI())/2*HC[[#This Row],[Ø (cm)]]/5)),"N.S.")</f>
        <v>N.S.</v>
      </c>
      <c r="AM232" s="5" t="str">
        <f ca="1">alpha(HC[[#This Row],[nE]],HC[[#This Row],[d (cm)]],HC[[#This Row],[e (cm)]],HC[[#This Row],[ap,eq (cm)]])</f>
        <v>N.S.</v>
      </c>
      <c r="AN232" s="35" t="str">
        <f ca="1">IFERROR(HC[[#This Row],[Nsd (kN)]]/(HC[[#This Row],[Ap (cm²)]]*SIN(HC[[#This Row],[α]])^2),"N.S.")</f>
        <v>N.S.</v>
      </c>
      <c r="AO232" s="35" t="str">
        <f ca="1">IFERROR(HC[[#This Row],[Nsd (kN)]]/(HC[[#This Row],[nE]]*PI()*HC[[#This Row],[Ø (cm)]]^2/4*SIN(HC[[#This Row],[α]])^2),"N.S.")</f>
        <v>N.S.</v>
      </c>
      <c r="AP232" s="4" t="str">
        <f ca="1">IFERROR(INDEX(grupoEstacas[],HC[[#This Row],[nE]],MATCH("coef. Blévot",grupoEstacas[#Headers],0)),"N.S.")</f>
        <v>N.S.</v>
      </c>
      <c r="AQ232" s="35" t="str">
        <f ca="1">IFERROR(HC[[#This Row],[coef. Blévot]]*0.9*INDEX(tipoEstaca[],MATCH($D$2,tipoEstaca[TIPO DE ESTACA],0),MATCH("fcd (kN/cm²)",tipoEstaca[#Headers],0)),"N.S.")</f>
        <v>N.S.</v>
      </c>
      <c r="AR232" s="1" t="str">
        <f ca="1">IF(AND(HC[[#This Row],[cd,b,pil (kN/cm²)]]&lt;=HC[[#This Row],[cd,b,lim (kN/cm²)]],HC[[#This Row],[cd,b,est (kN/cm²)]]&lt;=HC[[#This Row],[cd,b,lim (kN/cm²)]]),"OK","ERRO")</f>
        <v>OK</v>
      </c>
      <c r="AS232" s="4" t="str">
        <f ca="1">As_lado(HC[[#This Row],[nE]],HC[[#This Row],[Nsd (kN)]],HC[[#This Row],[d (cm)]],HC[[#This Row],[e (cm)]],HC[[#This Row],[ap,eq (cm)]])</f>
        <v>N.S.</v>
      </c>
      <c r="AT232" s="4" t="str">
        <f ca="1">IF(HC[[#This Row],[nE]]=1,HC[[#This Row],[As,lado (cm²)]],IF(HC[[#This Row],[nE]]=2,0.075*2*HC[a (cm)],"N.A."))</f>
        <v>N.A.</v>
      </c>
      <c r="AU232" s="4" t="str">
        <f ca="1">IFERROR(IF(HC[[#This Row],[nE]]=1,"N.A.",0.2*HC[[#This Row],[As,lado (cm²)]]),"N.S.")</f>
        <v>N.S.</v>
      </c>
      <c r="AV232" s="4" t="str">
        <f ca="1">As_malha(HC[[#This Row],[nE]],HC[[#This Row],[As,lado (cm²)]],HC[[#This Row],[Nsd (kN)]])</f>
        <v>N.S.</v>
      </c>
      <c r="AW232" s="4" t="str">
        <f ca="1">As_susp_tot(HC[[#This Row],[nE]],HC[[#This Row],[Nsd (kN)]])</f>
        <v>N.S.</v>
      </c>
      <c r="AX232" s="4" t="str">
        <f ca="1">Asp_face(HC[[#This Row],[nE]],HC[[#This Row],[As,lado (cm²)]])</f>
        <v>N.S.</v>
      </c>
      <c r="AY232" s="5" t="str">
        <f ca="1">acoBloco(HC[[#This Row],[nE]],HC[[#This Row],[e (cm)]],HC[[#This Row],[a (cm)]],HC[[#This Row],[h (cm)]],HC[[#This Row],[As,lado (cm²)]],HC[[#This Row],[Asp e Asw (cm²/m)]],HC[[#This Row],[As,sup (cm²)]],HC[[#This Row],[As,malha (cm²)]],HC[[#This Row],[As,susp,tot (cm²)]],HC[[#This Row],[Asp,face (cm²)]])</f>
        <v>N.S.</v>
      </c>
      <c r="AZ232" s="4" t="str">
        <f ca="1">concretoBloco(HC[[#This Row],[nE]],HC[[#This Row],[e (cm)]],HC[[#This Row],[a (cm)]],HC[[#This Row],[h (cm)]])</f>
        <v>N.S.</v>
      </c>
      <c r="BA232" s="5">
        <f ca="1">SUM(HC[[#This Row],[Aço Est (kg)]],HC[[#This Row],[Aço Bloco (kg)]])</f>
        <v>63.133445966540478</v>
      </c>
      <c r="BB232" s="4">
        <f>INDEX(composicoes[],MATCH(95580,composicoes[CÓDIGO],0),MATCH("CUSTO TOTAL",composicoes[#Headers],0))</f>
        <v>10.46</v>
      </c>
      <c r="BC232" s="4">
        <f ca="1">SUM(HC[[#This Row],[Conc Est (m³)]],HC[[#This Row],[Conc Bloco (m³)]])</f>
        <v>40.715040790523723</v>
      </c>
      <c r="BD232" s="4">
        <f>INDEX(composicoes[],MATCH(94966,composicoes[CÓDIGO],0),MATCH("CUSTO TOTAL",composicoes[#Headers],0))</f>
        <v>439.52</v>
      </c>
      <c r="BE232" s="38">
        <f ca="1">HC[[#This Row],[Aço (kg)]]*HC[[#This Row],[Aço (R$/kg)]]+HC[[#This Row],[Conc (m³)]]*HC[[#This Row],[Conc (R$/m³)]]</f>
        <v>18555.450573061</v>
      </c>
      <c r="BF232" s="4" t="str">
        <f ca="1">IF(COUNTIF(HC[#This Row],"N.S.")&gt;0,"lim.","OK")</f>
        <v>lim.</v>
      </c>
      <c r="BG232" s="4" t="str">
        <f>IF(HC[[#This Row],[Prof. (m)]]&lt;4,"lim.","OK")</f>
        <v>lim.</v>
      </c>
      <c r="BH232" s="4" t="str">
        <f>IF(HC[[#This Row],[Prof. (m)]]&gt;=8*HC[[#This Row],[Ø (cm)]]/100,"OK","lim.")</f>
        <v>lim.</v>
      </c>
      <c r="BI232" s="4" t="str">
        <f ca="1">IF(HC[[#This Row],[Verif. Biela]]="OK","OK","lim.")</f>
        <v>OK</v>
      </c>
      <c r="BJ232" s="4" t="str">
        <f ca="1">IF(COUNTA(HC[[#This Row],[Nº Est.]:[Biela comp.]])=COUNTIF(HC[[#This Row],[Nº Est.]:[Biela comp.]],"OK"),"OK","lim.")</f>
        <v>lim.</v>
      </c>
      <c r="BK232" s="4" t="str">
        <f ca="1">IF(HC[[#This Row],[Controle]]="OK",HC[[#This Row],[nE]]&amp;" Ø"&amp;HC[[#This Row],[Ø (cm)]]&amp;"cm Prof. "&amp;HC[[#This Row],[Prof. (m)]]&amp;" m","")</f>
        <v/>
      </c>
      <c r="BL232" s="4" t="str">
        <f ca="1">IF(HC[[#This Row],[idDimensionamento]]="","",HC[[#This Row],[idPilar]]&amp;HC[[#This Row],[idDimensionamento]])</f>
        <v/>
      </c>
    </row>
    <row r="233" spans="2:64" x14ac:dyDescent="0.25">
      <c r="B233" s="12">
        <f>ROUNDUP((ROW(HC[[#This Row],[idDiâmetro]])-ROW(HC[[#Headers],[idDiâmetro]]))/(COUNT(SPT[Prof. (m)])*COUNT(PILARES[Pilar])),0)</f>
        <v>9</v>
      </c>
      <c r="C233" s="12">
        <f>IF(HC[[#This Row],[idDiâmetro]]&lt;&gt;B232,1,IF(HC[[#This Row],[Prof. (m)]]=0,C232+1,C232))</f>
        <v>1</v>
      </c>
      <c r="D233" s="1">
        <f>IFERROR(IF(D232=MAX(SPT[Prof. (m)]),0,D232+1),0)</f>
        <v>4</v>
      </c>
      <c r="E233" s="1">
        <f>INDEX(SPT[],MATCH(HC[[#This Row],[Prof. (m)]],SPT[Prof. (m)],0),2)</f>
        <v>8</v>
      </c>
      <c r="F233" s="1" t="str">
        <f>INDEX(SPT[],MATCH(HC[[#This Row],[Prof. (m)]],SPT[Prof. (m)],0),3)</f>
        <v>Areia siltosa</v>
      </c>
      <c r="G233" s="1">
        <f>INDEX(estacas[],HC[[#This Row],[idDiâmetro]],MATCH($B$2,estacas[#Headers],0))</f>
        <v>80</v>
      </c>
      <c r="H233" s="1">
        <f>INDEX(estacas[],MATCH(HC[[#This Row],[Ø (cm)]],estacas[Ø HC (cm)],0),MATCH(HC[[#Headers],[Pe HC (kN)]],estacas[#Headers],0))</f>
        <v>3200</v>
      </c>
      <c r="I233" s="4">
        <f>INDEX(K_alpha_C[],MATCH(HC[[#This Row],[Solo]],K_alpha_C[Solo],0),2)</f>
        <v>0.8</v>
      </c>
      <c r="J233" s="5">
        <f>INDEX(K_alpha_C[],MATCH(HC[[#This Row],[Solo]],K_alpha_C[Solo],0),3)</f>
        <v>2</v>
      </c>
      <c r="K233" s="4">
        <f>INDEX(F1_F2[],MATCH($D$2,F1_F2[Tipo de estaca],0),2)</f>
        <v>2</v>
      </c>
      <c r="L233" s="4">
        <f>INDEX(F1_F2[],MATCH($D$2,F1_F2[Tipo de estaca],0),3)</f>
        <v>4</v>
      </c>
      <c r="M233" s="4">
        <f>PI()*(HC[[#This Row],[Ø (cm)]]/100)^2/4</f>
        <v>0.50265482457436694</v>
      </c>
      <c r="N233" s="4">
        <f>PI()*HC[[#This Row],[Ø (cm)]]/100</f>
        <v>2.5132741228718345</v>
      </c>
      <c r="O233" s="4">
        <f>IF(HC[[#This Row],[Prof. (m)]]=0,0,HC[[#This Row],[α (%)]]/100*HC[[#This Row],[K (MPa)]]*1000*HC[[#This Row],[NSPT]])</f>
        <v>128</v>
      </c>
      <c r="P233" s="4">
        <f>IF(HC[[#This Row],[Prof. (m)]]=0,0,(HC[[#This Row],[K (MPa)]]*1000*HC[[#This Row],[NSPT]]/HC[[#This Row],[F1]]*HC[[#This Row],[Ap (m²)]]+HC[[#This Row],[U (m)]]/HC[[#This Row],[F2]]*SUMIFS(HC[(α∙K∙NL∙ΔL)],HC[Prof. (m)],"&lt;="&amp;HC[[#This Row],[Prof. (m)]],HC[idDiâmetro],HC[[#This Row],[idDiâmetro]],HC[idPilar],HC[[#This Row],[idPilar]]))/'DADOS CAP. CARGA'!$D$2)</f>
        <v>884.67249125088586</v>
      </c>
      <c r="Q233" s="12">
        <f>INDEX(C_alpha_beta[],MATCH(HC[[#This Row],[Solo]],C_alpha_beta[Solo],0),MATCH(HC[[#Headers],[C (kPa)]],C_alpha_beta[#Headers],0))</f>
        <v>400</v>
      </c>
      <c r="R233" s="4">
        <f>INDEX(C_alpha_beta[],MATCH(HC[[#This Row],[Solo]],C_alpha_beta[Solo],0),MATCH(HC[[#Headers],[α ESF]],C_alpha_beta[#Headers],0))</f>
        <v>0.5</v>
      </c>
      <c r="S233" s="4">
        <f>INDEX(C_alpha_beta[],MATCH(HC[[#This Row],[Solo]],C_alpha_beta[Solo],0),MATCH(HC[[#Headers],[β ESF]],C_alpha_beta[#Headers],0))</f>
        <v>0.5</v>
      </c>
      <c r="T233" s="4">
        <f>IF(HC[[#This Row],[Prof. (m)]]=0,0,10*(HC[[#This Row],[NSPT]]/3+1))</f>
        <v>36.666666666666664</v>
      </c>
      <c r="U233" s="4">
        <f>(HC[[#This Row],[α ESF]]*HC[[#This Row],[C (kPa)]]*HC[[#This Row],[NSPT]]*HC[[#This Row],[Ap (m²)]])/'DADOS CAP. CARGA'!$Q$2+(HC[[#This Row],[β ESF]]*SUMIFS(HC[10∙(NL/3+1)],HC[Prof. (m)],"&lt;="&amp;HC[[#This Row],[Prof. (m)]],HC[idDiâmetro],HC[[#This Row],[idDiâmetro]],HC[idPilar],HC[[#This Row],[idPilar]])*HC[[#This Row],[U (m)]])/'DADOS CAP. CARGA'!$S$2</f>
        <v>259.70499269675622</v>
      </c>
      <c r="V233" s="4">
        <f>IF(SPT!$M$5=1,MIN(HC[[#This Row],[Pe HC (kN)]],HC[[#This Row],[R_AV (kN)]]),IF(SPT!$M$5=2,MIN(HC[[#This Row],[Pe HC (kN)]],HC[[#This Row],[R_DC (kN)]]),MIN(HC[[#This Row],[Pe HC (kN)]],HC[[#This Row],[R_AV (kN)]],HC[[#This Row],[R_DC (kN)]])))</f>
        <v>259.70499269675622</v>
      </c>
      <c r="W233" s="4">
        <f>INDEX(PILARES[],HC[[#This Row],[idPilar]],MATCH("Carga (kN)",PILARES[#Headers],0))*1.4</f>
        <v>3500</v>
      </c>
      <c r="X233" s="12">
        <f>INDEX(PILARES[],HC[[#This Row],[idPilar]],MATCH(HC[[#Headers],[ap (cm)]],PILARES[#Headers],0))</f>
        <v>60</v>
      </c>
      <c r="Y233" s="12">
        <f>INDEX(PILARES[],HC[[#This Row],[idPilar]],MATCH(HC[[#Headers],[bp (cm)]],PILARES[#Headers],0))</f>
        <v>60</v>
      </c>
      <c r="Z233" s="4">
        <f>SQRT(HC[[#This Row],[ap (cm)]]*HC[[#This Row],[bp (cm)]])</f>
        <v>60</v>
      </c>
      <c r="AA233" s="12">
        <f>HC[[#This Row],[ap (cm)]]*HC[[#This Row],[bp (cm)]]</f>
        <v>3600</v>
      </c>
      <c r="AB233" s="12">
        <f ca="1">IF(HC[[#This Row],[Padm∙ε (kN)]]&gt;=HC[[#This Row],[Padm (kN)]],ROUNDUP(1.05*HC[[#This Row],[Nsd (kN)]]/HC[[#This Row],[Padm (kN)]],0),ROUNDUP(1.05*HC[[#This Row],[Nsd (kN)]]/HC[[#This Row],[Padm (kN)]],0)+1)</f>
        <v>15</v>
      </c>
      <c r="AC233" s="4" t="str">
        <f ca="1">IFERROR(IF(HC[[#This Row],[nE]]=1,HC[[#This Row],[Padm (kN)]],HC[[#This Row],[Padm (kN)]]*HC[[#This Row],[nE]]*INDEX(grupoEstacas[],HC[[#This Row],[nE]],MATCH("ε",grupoEstacas[#Headers],0))),"N.S.")</f>
        <v>N.S.</v>
      </c>
      <c r="AD233" s="4">
        <f ca="1">1.05*HC[[#This Row],[Nsd (kN)]]/(HC[[#This Row],[nE]]*PI()*HC[[#This Row],[Ø (cm)]]^2/4)*10</f>
        <v>0.48741201321892946</v>
      </c>
      <c r="AE233" s="4">
        <f ca="1">IF(HC[[#This Row],[σ (MPa)]]&lt;INDEX(tipoEstaca[],MATCH($D$2,tipoEstaca[TIPO DE ESTACA],0),MATCH("σmáx (MPa)",tipoEstaca[#Headers],0)),0.4%*PI()*HC[[#This Row],[Ø (cm)]]^2/4,"N.S.")</f>
        <v>20.106192982974676</v>
      </c>
      <c r="AF233" s="1">
        <f>INDEX(tipoEstaca[],MATCH($D$2,tipoEstaca[TIPO DE ESTACA],0),MATCH(HC[[#Headers],[Comprimento (m)]],tipoEstaca[#Headers],0))</f>
        <v>4</v>
      </c>
      <c r="AG233" s="5">
        <f ca="1">HC[[#This Row],[As,mín (cm²)]]/100^2*HC[[#This Row],[Comprimento (m)]]*7850</f>
        <v>63.133445966540478</v>
      </c>
      <c r="AH233" s="4">
        <f ca="1">HC[[#This Row],[nE]]*HC[[#This Row],[Prof. (m)]]*HC[[#This Row],[Ap (m²)]]</f>
        <v>30.159289474462017</v>
      </c>
      <c r="AI233" s="1">
        <f ca="1">IF(HC[[#This Row],[nE]]=1,0,MAX(3*HC[[#This Row],[Ø (cm)]],60))</f>
        <v>240</v>
      </c>
      <c r="AJ233" s="1">
        <f ca="1">IF(HC[[#This Row],[nE]]=1,HC[[#This Row],[Ø (cm)]]+2*10,MAX(1.5*HC[[#This Row],[Ø (cm)]],HC[[#This Row],[Ø (cm)]]+15))</f>
        <v>120</v>
      </c>
      <c r="AK233" s="1" t="str">
        <f ca="1">alturaUtil(HC[[#This Row],[nE]],HC[[#This Row],[Ø (cm)]],HC[[#This Row],[e (cm)]],HC[[#This Row],[ap,eq (cm)]])</f>
        <v>N.S.</v>
      </c>
      <c r="AL233" s="1" t="str">
        <f ca="1">IFERROR(HC[[#This Row],[d (cm)]]+arredondarParaCimaMultiplo5cm(MAX(5,SQRT(PI())/2*HC[[#This Row],[Ø (cm)]]/5)),"N.S.")</f>
        <v>N.S.</v>
      </c>
      <c r="AM233" s="5" t="str">
        <f ca="1">alpha(HC[[#This Row],[nE]],HC[[#This Row],[d (cm)]],HC[[#This Row],[e (cm)]],HC[[#This Row],[ap,eq (cm)]])</f>
        <v>N.S.</v>
      </c>
      <c r="AN233" s="35" t="str">
        <f ca="1">IFERROR(HC[[#This Row],[Nsd (kN)]]/(HC[[#This Row],[Ap (cm²)]]*SIN(HC[[#This Row],[α]])^2),"N.S.")</f>
        <v>N.S.</v>
      </c>
      <c r="AO233" s="35" t="str">
        <f ca="1">IFERROR(HC[[#This Row],[Nsd (kN)]]/(HC[[#This Row],[nE]]*PI()*HC[[#This Row],[Ø (cm)]]^2/4*SIN(HC[[#This Row],[α]])^2),"N.S.")</f>
        <v>N.S.</v>
      </c>
      <c r="AP233" s="4" t="str">
        <f ca="1">IFERROR(INDEX(grupoEstacas[],HC[[#This Row],[nE]],MATCH("coef. Blévot",grupoEstacas[#Headers],0)),"N.S.")</f>
        <v>N.S.</v>
      </c>
      <c r="AQ233" s="35" t="str">
        <f ca="1">IFERROR(HC[[#This Row],[coef. Blévot]]*0.9*INDEX(tipoEstaca[],MATCH($D$2,tipoEstaca[TIPO DE ESTACA],0),MATCH("fcd (kN/cm²)",tipoEstaca[#Headers],0)),"N.S.")</f>
        <v>N.S.</v>
      </c>
      <c r="AR233" s="1" t="str">
        <f ca="1">IF(AND(HC[[#This Row],[cd,b,pil (kN/cm²)]]&lt;=HC[[#This Row],[cd,b,lim (kN/cm²)]],HC[[#This Row],[cd,b,est (kN/cm²)]]&lt;=HC[[#This Row],[cd,b,lim (kN/cm²)]]),"OK","ERRO")</f>
        <v>OK</v>
      </c>
      <c r="AS233" s="4" t="str">
        <f ca="1">As_lado(HC[[#This Row],[nE]],HC[[#This Row],[Nsd (kN)]],HC[[#This Row],[d (cm)]],HC[[#This Row],[e (cm)]],HC[[#This Row],[ap,eq (cm)]])</f>
        <v>N.S.</v>
      </c>
      <c r="AT233" s="4" t="str">
        <f ca="1">IF(HC[[#This Row],[nE]]=1,HC[[#This Row],[As,lado (cm²)]],IF(HC[[#This Row],[nE]]=2,0.075*2*HC[a (cm)],"N.A."))</f>
        <v>N.A.</v>
      </c>
      <c r="AU233" s="4" t="str">
        <f ca="1">IFERROR(IF(HC[[#This Row],[nE]]=1,"N.A.",0.2*HC[[#This Row],[As,lado (cm²)]]),"N.S.")</f>
        <v>N.S.</v>
      </c>
      <c r="AV233" s="4" t="str">
        <f ca="1">As_malha(HC[[#This Row],[nE]],HC[[#This Row],[As,lado (cm²)]],HC[[#This Row],[Nsd (kN)]])</f>
        <v>N.S.</v>
      </c>
      <c r="AW233" s="4" t="str">
        <f ca="1">As_susp_tot(HC[[#This Row],[nE]],HC[[#This Row],[Nsd (kN)]])</f>
        <v>N.S.</v>
      </c>
      <c r="AX233" s="4" t="str">
        <f ca="1">Asp_face(HC[[#This Row],[nE]],HC[[#This Row],[As,lado (cm²)]])</f>
        <v>N.S.</v>
      </c>
      <c r="AY233" s="5" t="str">
        <f ca="1">acoBloco(HC[[#This Row],[nE]],HC[[#This Row],[e (cm)]],HC[[#This Row],[a (cm)]],HC[[#This Row],[h (cm)]],HC[[#This Row],[As,lado (cm²)]],HC[[#This Row],[Asp e Asw (cm²/m)]],HC[[#This Row],[As,sup (cm²)]],HC[[#This Row],[As,malha (cm²)]],HC[[#This Row],[As,susp,tot (cm²)]],HC[[#This Row],[Asp,face (cm²)]])</f>
        <v>N.S.</v>
      </c>
      <c r="AZ233" s="4" t="str">
        <f ca="1">concretoBloco(HC[[#This Row],[nE]],HC[[#This Row],[e (cm)]],HC[[#This Row],[a (cm)]],HC[[#This Row],[h (cm)]])</f>
        <v>N.S.</v>
      </c>
      <c r="BA233" s="5">
        <f ca="1">SUM(HC[[#This Row],[Aço Est (kg)]],HC[[#This Row],[Aço Bloco (kg)]])</f>
        <v>63.133445966540478</v>
      </c>
      <c r="BB233" s="4">
        <f>INDEX(composicoes[],MATCH(95580,composicoes[CÓDIGO],0),MATCH("CUSTO TOTAL",composicoes[#Headers],0))</f>
        <v>10.46</v>
      </c>
      <c r="BC233" s="4">
        <f ca="1">SUM(HC[[#This Row],[Conc Est (m³)]],HC[[#This Row],[Conc Bloco (m³)]])</f>
        <v>30.159289474462017</v>
      </c>
      <c r="BD233" s="4">
        <f>INDEX(composicoes[],MATCH(94966,composicoes[CÓDIGO],0),MATCH("CUSTO TOTAL",composicoes[#Headers],0))</f>
        <v>439.52</v>
      </c>
      <c r="BE233" s="38">
        <f ca="1">HC[[#This Row],[Aço (kg)]]*HC[[#This Row],[Aço (R$/kg)]]+HC[[#This Row],[Conc (m³)]]*HC[[#This Row],[Conc (R$/m³)]]</f>
        <v>13915.986754625559</v>
      </c>
      <c r="BF233" s="4" t="str">
        <f ca="1">IF(COUNTIF(HC[#This Row],"N.S.")&gt;0,"lim.","OK")</f>
        <v>lim.</v>
      </c>
      <c r="BG233" s="4" t="str">
        <f>IF(HC[[#This Row],[Prof. (m)]]&lt;4,"lim.","OK")</f>
        <v>OK</v>
      </c>
      <c r="BH233" s="4" t="str">
        <f>IF(HC[[#This Row],[Prof. (m)]]&gt;=8*HC[[#This Row],[Ø (cm)]]/100,"OK","lim.")</f>
        <v>lim.</v>
      </c>
      <c r="BI233" s="4" t="str">
        <f ca="1">IF(HC[[#This Row],[Verif. Biela]]="OK","OK","lim.")</f>
        <v>OK</v>
      </c>
      <c r="BJ233" s="4" t="str">
        <f ca="1">IF(COUNTA(HC[[#This Row],[Nº Est.]:[Biela comp.]])=COUNTIF(HC[[#This Row],[Nº Est.]:[Biela comp.]],"OK"),"OK","lim.")</f>
        <v>lim.</v>
      </c>
      <c r="BK233" s="4" t="str">
        <f ca="1">IF(HC[[#This Row],[Controle]]="OK",HC[[#This Row],[nE]]&amp;" Ø"&amp;HC[[#This Row],[Ø (cm)]]&amp;"cm Prof. "&amp;HC[[#This Row],[Prof. (m)]]&amp;" m","")</f>
        <v/>
      </c>
      <c r="BL233" s="4" t="str">
        <f ca="1">IF(HC[[#This Row],[idDimensionamento]]="","",HC[[#This Row],[idPilar]]&amp;HC[[#This Row],[idDimensionamento]])</f>
        <v/>
      </c>
    </row>
    <row r="234" spans="2:64" x14ac:dyDescent="0.25">
      <c r="B234" s="12">
        <f>ROUNDUP((ROW(HC[[#This Row],[idDiâmetro]])-ROW(HC[[#Headers],[idDiâmetro]]))/(COUNT(SPT[Prof. (m)])*COUNT(PILARES[Pilar])),0)</f>
        <v>9</v>
      </c>
      <c r="C234" s="12">
        <f>IF(HC[[#This Row],[idDiâmetro]]&lt;&gt;B233,1,IF(HC[[#This Row],[Prof. (m)]]=0,C233+1,C233))</f>
        <v>1</v>
      </c>
      <c r="D234" s="1">
        <f>IFERROR(IF(D233=MAX(SPT[Prof. (m)]),0,D233+1),0)</f>
        <v>5</v>
      </c>
      <c r="E234" s="1">
        <f>INDEX(SPT[],MATCH(HC[[#This Row],[Prof. (m)]],SPT[Prof. (m)],0),2)</f>
        <v>17</v>
      </c>
      <c r="F234" s="1" t="str">
        <f>INDEX(SPT[],MATCH(HC[[#This Row],[Prof. (m)]],SPT[Prof. (m)],0),3)</f>
        <v>Areia siltosa</v>
      </c>
      <c r="G234" s="1">
        <f>INDEX(estacas[],HC[[#This Row],[idDiâmetro]],MATCH($B$2,estacas[#Headers],0))</f>
        <v>80</v>
      </c>
      <c r="H234" s="1">
        <f>INDEX(estacas[],MATCH(HC[[#This Row],[Ø (cm)]],estacas[Ø HC (cm)],0),MATCH(HC[[#Headers],[Pe HC (kN)]],estacas[#Headers],0))</f>
        <v>3200</v>
      </c>
      <c r="I234" s="4">
        <f>INDEX(K_alpha_C[],MATCH(HC[[#This Row],[Solo]],K_alpha_C[Solo],0),2)</f>
        <v>0.8</v>
      </c>
      <c r="J234" s="5">
        <f>INDEX(K_alpha_C[],MATCH(HC[[#This Row],[Solo]],K_alpha_C[Solo],0),3)</f>
        <v>2</v>
      </c>
      <c r="K234" s="4">
        <f>INDEX(F1_F2[],MATCH($D$2,F1_F2[Tipo de estaca],0),2)</f>
        <v>2</v>
      </c>
      <c r="L234" s="4">
        <f>INDEX(F1_F2[],MATCH($D$2,F1_F2[Tipo de estaca],0),3)</f>
        <v>4</v>
      </c>
      <c r="M234" s="4">
        <f>PI()*(HC[[#This Row],[Ø (cm)]]/100)^2/4</f>
        <v>0.50265482457436694</v>
      </c>
      <c r="N234" s="4">
        <f>PI()*HC[[#This Row],[Ø (cm)]]/100</f>
        <v>2.5132741228718345</v>
      </c>
      <c r="O234" s="4">
        <f>IF(HC[[#This Row],[Prof. (m)]]=0,0,HC[[#This Row],[α (%)]]/100*HC[[#This Row],[K (MPa)]]*1000*HC[[#This Row],[NSPT]])</f>
        <v>272</v>
      </c>
      <c r="P234" s="4">
        <f>IF(HC[[#This Row],[Prof. (m)]]=0,0,(HC[[#This Row],[K (MPa)]]*1000*HC[[#This Row],[NSPT]]/HC[[#This Row],[F1]]*HC[[#This Row],[Ap (m²)]]+HC[[#This Row],[U (m)]]/HC[[#This Row],[F2]]*SUMIFS(HC[(α∙K∙NL∙ΔL)],HC[Prof. (m)],"&lt;="&amp;HC[[#This Row],[Prof. (m)]],HC[idDiâmetro],HC[[#This Row],[idDiâmetro]],HC[idPilar],HC[[#This Row],[idPilar]]))/'DADOS CAP. CARGA'!$D$2)</f>
        <v>1874.9024956623887</v>
      </c>
      <c r="Q234" s="12">
        <f>INDEX(C_alpha_beta[],MATCH(HC[[#This Row],[Solo]],C_alpha_beta[Solo],0),MATCH(HC[[#Headers],[C (kPa)]],C_alpha_beta[#Headers],0))</f>
        <v>400</v>
      </c>
      <c r="R234" s="4">
        <f>INDEX(C_alpha_beta[],MATCH(HC[[#This Row],[Solo]],C_alpha_beta[Solo],0),MATCH(HC[[#Headers],[α ESF]],C_alpha_beta[#Headers],0))</f>
        <v>0.5</v>
      </c>
      <c r="S234" s="4">
        <f>INDEX(C_alpha_beta[],MATCH(HC[[#This Row],[Solo]],C_alpha_beta[Solo],0),MATCH(HC[[#Headers],[β ESF]],C_alpha_beta[#Headers],0))</f>
        <v>0.5</v>
      </c>
      <c r="T234" s="4">
        <f>IF(HC[[#This Row],[Prof. (m)]]=0,0,10*(HC[[#This Row],[NSPT]]/3+1))</f>
        <v>66.666666666666671</v>
      </c>
      <c r="U234" s="4">
        <f>(HC[[#This Row],[α ESF]]*HC[[#This Row],[C (kPa)]]*HC[[#This Row],[NSPT]]*HC[[#This Row],[Ap (m²)]])/'DADOS CAP. CARGA'!$Q$2+(HC[[#This Row],[β ESF]]*SUMIFS(HC[10∙(NL/3+1)],HC[Prof. (m)],"&lt;="&amp;HC[[#This Row],[Prof. (m)]],HC[idDiâmetro],HC[[#This Row],[idDiâmetro]],HC[idPilar],HC[[#This Row],[idPilar]])*HC[[#This Row],[U (m)]])/'DADOS CAP. CARGA'!$S$2</f>
        <v>527.78756580308527</v>
      </c>
      <c r="V234" s="4">
        <f>IF(SPT!$M$5=1,MIN(HC[[#This Row],[Pe HC (kN)]],HC[[#This Row],[R_AV (kN)]]),IF(SPT!$M$5=2,MIN(HC[[#This Row],[Pe HC (kN)]],HC[[#This Row],[R_DC (kN)]]),MIN(HC[[#This Row],[Pe HC (kN)]],HC[[#This Row],[R_AV (kN)]],HC[[#This Row],[R_DC (kN)]])))</f>
        <v>527.78756580308527</v>
      </c>
      <c r="W234" s="4">
        <f>INDEX(PILARES[],HC[[#This Row],[idPilar]],MATCH("Carga (kN)",PILARES[#Headers],0))*1.4</f>
        <v>3500</v>
      </c>
      <c r="X234" s="12">
        <f>INDEX(PILARES[],HC[[#This Row],[idPilar]],MATCH(HC[[#Headers],[ap (cm)]],PILARES[#Headers],0))</f>
        <v>60</v>
      </c>
      <c r="Y234" s="12">
        <f>INDEX(PILARES[],HC[[#This Row],[idPilar]],MATCH(HC[[#Headers],[bp (cm)]],PILARES[#Headers],0))</f>
        <v>60</v>
      </c>
      <c r="Z234" s="4">
        <f>SQRT(HC[[#This Row],[ap (cm)]]*HC[[#This Row],[bp (cm)]])</f>
        <v>60</v>
      </c>
      <c r="AA234" s="12">
        <f>HC[[#This Row],[ap (cm)]]*HC[[#This Row],[bp (cm)]]</f>
        <v>3600</v>
      </c>
      <c r="AB234" s="12">
        <f ca="1">IF(HC[[#This Row],[Padm∙ε (kN)]]&gt;=HC[[#This Row],[Padm (kN)]],ROUNDUP(1.05*HC[[#This Row],[Nsd (kN)]]/HC[[#This Row],[Padm (kN)]],0),ROUNDUP(1.05*HC[[#This Row],[Nsd (kN)]]/HC[[#This Row],[Padm (kN)]],0)+1)</f>
        <v>7</v>
      </c>
      <c r="AC234" s="4" t="str">
        <f ca="1">IFERROR(IF(HC[[#This Row],[nE]]=1,HC[[#This Row],[Padm (kN)]],HC[[#This Row],[Padm (kN)]]*HC[[#This Row],[nE]]*INDEX(grupoEstacas[],HC[[#This Row],[nE]],MATCH("ε",grupoEstacas[#Headers],0))),"N.S.")</f>
        <v>N.S.</v>
      </c>
      <c r="AD234" s="4">
        <f ca="1">1.05*HC[[#This Row],[Nsd (kN)]]/(HC[[#This Row],[nE]]*PI()*HC[[#This Row],[Ø (cm)]]^2/4)*10</f>
        <v>1.0444543140405633</v>
      </c>
      <c r="AE234" s="4">
        <f ca="1">IF(HC[[#This Row],[σ (MPa)]]&lt;INDEX(tipoEstaca[],MATCH($D$2,tipoEstaca[TIPO DE ESTACA],0),MATCH("σmáx (MPa)",tipoEstaca[#Headers],0)),0.4%*PI()*HC[[#This Row],[Ø (cm)]]^2/4,"N.S.")</f>
        <v>20.106192982974676</v>
      </c>
      <c r="AF234" s="1">
        <f>INDEX(tipoEstaca[],MATCH($D$2,tipoEstaca[TIPO DE ESTACA],0),MATCH(HC[[#Headers],[Comprimento (m)]],tipoEstaca[#Headers],0))</f>
        <v>4</v>
      </c>
      <c r="AG234" s="5">
        <f ca="1">HC[[#This Row],[As,mín (cm²)]]/100^2*HC[[#This Row],[Comprimento (m)]]*7850</f>
        <v>63.133445966540478</v>
      </c>
      <c r="AH234" s="4">
        <f ca="1">HC[[#This Row],[nE]]*HC[[#This Row],[Prof. (m)]]*HC[[#This Row],[Ap (m²)]]</f>
        <v>17.592918860102841</v>
      </c>
      <c r="AI234" s="1">
        <f ca="1">IF(HC[[#This Row],[nE]]=1,0,MAX(3*HC[[#This Row],[Ø (cm)]],60))</f>
        <v>240</v>
      </c>
      <c r="AJ234" s="1">
        <f ca="1">IF(HC[[#This Row],[nE]]=1,HC[[#This Row],[Ø (cm)]]+2*10,MAX(1.5*HC[[#This Row],[Ø (cm)]],HC[[#This Row],[Ø (cm)]]+15))</f>
        <v>120</v>
      </c>
      <c r="AK234" s="1" t="str">
        <f ca="1">alturaUtil(HC[[#This Row],[nE]],HC[[#This Row],[Ø (cm)]],HC[[#This Row],[e (cm)]],HC[[#This Row],[ap,eq (cm)]])</f>
        <v>N.S.</v>
      </c>
      <c r="AL234" s="1" t="str">
        <f ca="1">IFERROR(HC[[#This Row],[d (cm)]]+arredondarParaCimaMultiplo5cm(MAX(5,SQRT(PI())/2*HC[[#This Row],[Ø (cm)]]/5)),"N.S.")</f>
        <v>N.S.</v>
      </c>
      <c r="AM234" s="5" t="str">
        <f ca="1">alpha(HC[[#This Row],[nE]],HC[[#This Row],[d (cm)]],HC[[#This Row],[e (cm)]],HC[[#This Row],[ap,eq (cm)]])</f>
        <v>N.S.</v>
      </c>
      <c r="AN234" s="35" t="str">
        <f ca="1">IFERROR(HC[[#This Row],[Nsd (kN)]]/(HC[[#This Row],[Ap (cm²)]]*SIN(HC[[#This Row],[α]])^2),"N.S.")</f>
        <v>N.S.</v>
      </c>
      <c r="AO234" s="35" t="str">
        <f ca="1">IFERROR(HC[[#This Row],[Nsd (kN)]]/(HC[[#This Row],[nE]]*PI()*HC[[#This Row],[Ø (cm)]]^2/4*SIN(HC[[#This Row],[α]])^2),"N.S.")</f>
        <v>N.S.</v>
      </c>
      <c r="AP234" s="4" t="str">
        <f ca="1">IFERROR(INDEX(grupoEstacas[],HC[[#This Row],[nE]],MATCH("coef. Blévot",grupoEstacas[#Headers],0)),"N.S.")</f>
        <v>N.S.</v>
      </c>
      <c r="AQ234" s="35" t="str">
        <f ca="1">IFERROR(HC[[#This Row],[coef. Blévot]]*0.9*INDEX(tipoEstaca[],MATCH($D$2,tipoEstaca[TIPO DE ESTACA],0),MATCH("fcd (kN/cm²)",tipoEstaca[#Headers],0)),"N.S.")</f>
        <v>N.S.</v>
      </c>
      <c r="AR234" s="1" t="str">
        <f ca="1">IF(AND(HC[[#This Row],[cd,b,pil (kN/cm²)]]&lt;=HC[[#This Row],[cd,b,lim (kN/cm²)]],HC[[#This Row],[cd,b,est (kN/cm²)]]&lt;=HC[[#This Row],[cd,b,lim (kN/cm²)]]),"OK","ERRO")</f>
        <v>OK</v>
      </c>
      <c r="AS234" s="4" t="str">
        <f ca="1">As_lado(HC[[#This Row],[nE]],HC[[#This Row],[Nsd (kN)]],HC[[#This Row],[d (cm)]],HC[[#This Row],[e (cm)]],HC[[#This Row],[ap,eq (cm)]])</f>
        <v>N.S.</v>
      </c>
      <c r="AT234" s="4" t="str">
        <f ca="1">IF(HC[[#This Row],[nE]]=1,HC[[#This Row],[As,lado (cm²)]],IF(HC[[#This Row],[nE]]=2,0.075*2*HC[a (cm)],"N.A."))</f>
        <v>N.A.</v>
      </c>
      <c r="AU234" s="4" t="str">
        <f ca="1">IFERROR(IF(HC[[#This Row],[nE]]=1,"N.A.",0.2*HC[[#This Row],[As,lado (cm²)]]),"N.S.")</f>
        <v>N.S.</v>
      </c>
      <c r="AV234" s="4" t="str">
        <f ca="1">As_malha(HC[[#This Row],[nE]],HC[[#This Row],[As,lado (cm²)]],HC[[#This Row],[Nsd (kN)]])</f>
        <v>N.S.</v>
      </c>
      <c r="AW234" s="4" t="str">
        <f ca="1">As_susp_tot(HC[[#This Row],[nE]],HC[[#This Row],[Nsd (kN)]])</f>
        <v>N.S.</v>
      </c>
      <c r="AX234" s="4" t="str">
        <f ca="1">Asp_face(HC[[#This Row],[nE]],HC[[#This Row],[As,lado (cm²)]])</f>
        <v>N.S.</v>
      </c>
      <c r="AY234" s="5" t="str">
        <f ca="1">acoBloco(HC[[#This Row],[nE]],HC[[#This Row],[e (cm)]],HC[[#This Row],[a (cm)]],HC[[#This Row],[h (cm)]],HC[[#This Row],[As,lado (cm²)]],HC[[#This Row],[Asp e Asw (cm²/m)]],HC[[#This Row],[As,sup (cm²)]],HC[[#This Row],[As,malha (cm²)]],HC[[#This Row],[As,susp,tot (cm²)]],HC[[#This Row],[Asp,face (cm²)]])</f>
        <v>N.S.</v>
      </c>
      <c r="AZ234" s="4" t="str">
        <f ca="1">concretoBloco(HC[[#This Row],[nE]],HC[[#This Row],[e (cm)]],HC[[#This Row],[a (cm)]],HC[[#This Row],[h (cm)]])</f>
        <v>N.S.</v>
      </c>
      <c r="BA234" s="5">
        <f ca="1">SUM(HC[[#This Row],[Aço Est (kg)]],HC[[#This Row],[Aço Bloco (kg)]])</f>
        <v>63.133445966540478</v>
      </c>
      <c r="BB234" s="4">
        <f>INDEX(composicoes[],MATCH(95580,composicoes[CÓDIGO],0),MATCH("CUSTO TOTAL",composicoes[#Headers],0))</f>
        <v>10.46</v>
      </c>
      <c r="BC234" s="4">
        <f ca="1">SUM(HC[[#This Row],[Conc Est (m³)]],HC[[#This Row],[Conc Bloco (m³)]])</f>
        <v>17.592918860102841</v>
      </c>
      <c r="BD234" s="4">
        <f>INDEX(composicoes[],MATCH(94966,composicoes[CÓDIGO],0),MATCH("CUSTO TOTAL",composicoes[#Headers],0))</f>
        <v>439.52</v>
      </c>
      <c r="BE234" s="38">
        <f ca="1">HC[[#This Row],[Aço (kg)]]*HC[[#This Row],[Aço (R$/kg)]]+HC[[#This Row],[Conc (m³)]]*HC[[#This Row],[Conc (R$/m³)]]</f>
        <v>8392.8155422024138</v>
      </c>
      <c r="BF234" s="4" t="str">
        <f ca="1">IF(COUNTIF(HC[#This Row],"N.S.")&gt;0,"lim.","OK")</f>
        <v>lim.</v>
      </c>
      <c r="BG234" s="4" t="str">
        <f>IF(HC[[#This Row],[Prof. (m)]]&lt;4,"lim.","OK")</f>
        <v>OK</v>
      </c>
      <c r="BH234" s="4" t="str">
        <f>IF(HC[[#This Row],[Prof. (m)]]&gt;=8*HC[[#This Row],[Ø (cm)]]/100,"OK","lim.")</f>
        <v>lim.</v>
      </c>
      <c r="BI234" s="4" t="str">
        <f ca="1">IF(HC[[#This Row],[Verif. Biela]]="OK","OK","lim.")</f>
        <v>OK</v>
      </c>
      <c r="BJ234" s="4" t="str">
        <f ca="1">IF(COUNTA(HC[[#This Row],[Nº Est.]:[Biela comp.]])=COUNTIF(HC[[#This Row],[Nº Est.]:[Biela comp.]],"OK"),"OK","lim.")</f>
        <v>lim.</v>
      </c>
      <c r="BK234" s="4" t="str">
        <f ca="1">IF(HC[[#This Row],[Controle]]="OK",HC[[#This Row],[nE]]&amp;" Ø"&amp;HC[[#This Row],[Ø (cm)]]&amp;"cm Prof. "&amp;HC[[#This Row],[Prof. (m)]]&amp;" m","")</f>
        <v/>
      </c>
      <c r="BL234" s="4" t="str">
        <f ca="1">IF(HC[[#This Row],[idDimensionamento]]="","",HC[[#This Row],[idPilar]]&amp;HC[[#This Row],[idDimensionamento]])</f>
        <v/>
      </c>
    </row>
    <row r="235" spans="2:64" x14ac:dyDescent="0.25">
      <c r="B235" s="12">
        <f>ROUNDUP((ROW(HC[[#This Row],[idDiâmetro]])-ROW(HC[[#Headers],[idDiâmetro]]))/(COUNT(SPT[Prof. (m)])*COUNT(PILARES[Pilar])),0)</f>
        <v>9</v>
      </c>
      <c r="C235" s="12">
        <f>IF(HC[[#This Row],[idDiâmetro]]&lt;&gt;B234,1,IF(HC[[#This Row],[Prof. (m)]]=0,C234+1,C234))</f>
        <v>1</v>
      </c>
      <c r="D235" s="1">
        <f>IFERROR(IF(D234=MAX(SPT[Prof. (m)]),0,D234+1),0)</f>
        <v>6</v>
      </c>
      <c r="E235" s="1">
        <f>INDEX(SPT[],MATCH(HC[[#This Row],[Prof. (m)]],SPT[Prof. (m)],0),2)</f>
        <v>21</v>
      </c>
      <c r="F235" s="1" t="str">
        <f>INDEX(SPT[],MATCH(HC[[#This Row],[Prof. (m)]],SPT[Prof. (m)],0),3)</f>
        <v>Silte arenoso</v>
      </c>
      <c r="G235" s="1">
        <f>INDEX(estacas[],HC[[#This Row],[idDiâmetro]],MATCH($B$2,estacas[#Headers],0))</f>
        <v>80</v>
      </c>
      <c r="H235" s="1">
        <f>INDEX(estacas[],MATCH(HC[[#This Row],[Ø (cm)]],estacas[Ø HC (cm)],0),MATCH(HC[[#Headers],[Pe HC (kN)]],estacas[#Headers],0))</f>
        <v>3200</v>
      </c>
      <c r="I235" s="4">
        <f>INDEX(K_alpha_C[],MATCH(HC[[#This Row],[Solo]],K_alpha_C[Solo],0),2)</f>
        <v>0.55000000000000004</v>
      </c>
      <c r="J235" s="5">
        <f>INDEX(K_alpha_C[],MATCH(HC[[#This Row],[Solo]],K_alpha_C[Solo],0),3)</f>
        <v>2.2000000000000002</v>
      </c>
      <c r="K235" s="4">
        <f>INDEX(F1_F2[],MATCH($D$2,F1_F2[Tipo de estaca],0),2)</f>
        <v>2</v>
      </c>
      <c r="L235" s="4">
        <f>INDEX(F1_F2[],MATCH($D$2,F1_F2[Tipo de estaca],0),3)</f>
        <v>4</v>
      </c>
      <c r="M235" s="4">
        <f>PI()*(HC[[#This Row],[Ø (cm)]]/100)^2/4</f>
        <v>0.50265482457436694</v>
      </c>
      <c r="N235" s="4">
        <f>PI()*HC[[#This Row],[Ø (cm)]]/100</f>
        <v>2.5132741228718345</v>
      </c>
      <c r="O235" s="4">
        <f>IF(HC[[#This Row],[Prof. (m)]]=0,0,HC[[#This Row],[α (%)]]/100*HC[[#This Row],[K (MPa)]]*1000*HC[[#This Row],[NSPT]])</f>
        <v>254.10000000000002</v>
      </c>
      <c r="P235" s="4">
        <f>IF(HC[[#This Row],[Prof. (m)]]=0,0,(HC[[#This Row],[K (MPa)]]*1000*HC[[#This Row],[NSPT]]/HC[[#This Row],[F1]]*HC[[#This Row],[Ap (m²)]]+HC[[#This Row],[U (m)]]/HC[[#This Row],[F2]]*SUMIFS(HC[(α∙K∙NL∙ΔL)],HC[Prof. (m)],"&lt;="&amp;HC[[#This Row],[Prof. (m)]],HC[idDiâmetro],HC[[#This Row],[idDiâmetro]],HC[idPilar],HC[[#This Row],[idPilar]]))/'DADOS CAP. CARGA'!$D$2)</f>
        <v>1697.1197673957422</v>
      </c>
      <c r="Q235" s="12">
        <f>INDEX(C_alpha_beta[],MATCH(HC[[#This Row],[Solo]],C_alpha_beta[Solo],0),MATCH(HC[[#Headers],[C (kPa)]],C_alpha_beta[#Headers],0))</f>
        <v>250</v>
      </c>
      <c r="R235" s="4">
        <f>INDEX(C_alpha_beta[],MATCH(HC[[#This Row],[Solo]],C_alpha_beta[Solo],0),MATCH(HC[[#Headers],[α ESF]],C_alpha_beta[#Headers],0))</f>
        <v>0.6</v>
      </c>
      <c r="S235" s="4">
        <f>INDEX(C_alpha_beta[],MATCH(HC[[#This Row],[Solo]],C_alpha_beta[Solo],0),MATCH(HC[[#Headers],[β ESF]],C_alpha_beta[#Headers],0))</f>
        <v>0.65</v>
      </c>
      <c r="T235" s="4">
        <f>IF(HC[[#This Row],[Prof. (m)]]=0,0,10*(HC[[#This Row],[NSPT]]/3+1))</f>
        <v>80</v>
      </c>
      <c r="U235" s="4">
        <f>(HC[[#This Row],[α ESF]]*HC[[#This Row],[C (kPa)]]*HC[[#This Row],[NSPT]]*HC[[#This Row],[Ap (m²)]])/'DADOS CAP. CARGA'!$Q$2+(HC[[#This Row],[β ESF]]*SUMIFS(HC[10∙(NL/3+1)],HC[Prof. (m)],"&lt;="&amp;HC[[#This Row],[Prof. (m)]],HC[idDiâmetro],HC[[#This Row],[idDiâmetro]],HC[idPilar],HC[[#This Row],[idPilar]])*HC[[#This Row],[U (m)]])/'DADOS CAP. CARGA'!$S$2</f>
        <v>591.87605593631702</v>
      </c>
      <c r="V235" s="4">
        <f>IF(SPT!$M$5=1,MIN(HC[[#This Row],[Pe HC (kN)]],HC[[#This Row],[R_AV (kN)]]),IF(SPT!$M$5=2,MIN(HC[[#This Row],[Pe HC (kN)]],HC[[#This Row],[R_DC (kN)]]),MIN(HC[[#This Row],[Pe HC (kN)]],HC[[#This Row],[R_AV (kN)]],HC[[#This Row],[R_DC (kN)]])))</f>
        <v>591.87605593631702</v>
      </c>
      <c r="W235" s="4">
        <f>INDEX(PILARES[],HC[[#This Row],[idPilar]],MATCH("Carga (kN)",PILARES[#Headers],0))*1.4</f>
        <v>3500</v>
      </c>
      <c r="X235" s="12">
        <f>INDEX(PILARES[],HC[[#This Row],[idPilar]],MATCH(HC[[#Headers],[ap (cm)]],PILARES[#Headers],0))</f>
        <v>60</v>
      </c>
      <c r="Y235" s="12">
        <f>INDEX(PILARES[],HC[[#This Row],[idPilar]],MATCH(HC[[#Headers],[bp (cm)]],PILARES[#Headers],0))</f>
        <v>60</v>
      </c>
      <c r="Z235" s="4">
        <f>SQRT(HC[[#This Row],[ap (cm)]]*HC[[#This Row],[bp (cm)]])</f>
        <v>60</v>
      </c>
      <c r="AA235" s="12">
        <f>HC[[#This Row],[ap (cm)]]*HC[[#This Row],[bp (cm)]]</f>
        <v>3600</v>
      </c>
      <c r="AB235" s="12">
        <f ca="1">IF(HC[[#This Row],[Padm∙ε (kN)]]&gt;=HC[[#This Row],[Padm (kN)]],ROUNDUP(1.05*HC[[#This Row],[Nsd (kN)]]/HC[[#This Row],[Padm (kN)]],0),ROUNDUP(1.05*HC[[#This Row],[Nsd (kN)]]/HC[[#This Row],[Padm (kN)]],0)+1)</f>
        <v>7</v>
      </c>
      <c r="AC235" s="4" t="str">
        <f ca="1">IFERROR(IF(HC[[#This Row],[nE]]=1,HC[[#This Row],[Padm (kN)]],HC[[#This Row],[Padm (kN)]]*HC[[#This Row],[nE]]*INDEX(grupoEstacas[],HC[[#This Row],[nE]],MATCH("ε",grupoEstacas[#Headers],0))),"N.S.")</f>
        <v>N.S.</v>
      </c>
      <c r="AD235" s="4">
        <f ca="1">1.05*HC[[#This Row],[Nsd (kN)]]/(HC[[#This Row],[nE]]*PI()*HC[[#This Row],[Ø (cm)]]^2/4)*10</f>
        <v>1.0444543140405633</v>
      </c>
      <c r="AE235" s="4">
        <f ca="1">IF(HC[[#This Row],[σ (MPa)]]&lt;INDEX(tipoEstaca[],MATCH($D$2,tipoEstaca[TIPO DE ESTACA],0),MATCH("σmáx (MPa)",tipoEstaca[#Headers],0)),0.4%*PI()*HC[[#This Row],[Ø (cm)]]^2/4,"N.S.")</f>
        <v>20.106192982974676</v>
      </c>
      <c r="AF235" s="1">
        <f>INDEX(tipoEstaca[],MATCH($D$2,tipoEstaca[TIPO DE ESTACA],0),MATCH(HC[[#Headers],[Comprimento (m)]],tipoEstaca[#Headers],0))</f>
        <v>4</v>
      </c>
      <c r="AG235" s="5">
        <f ca="1">HC[[#This Row],[As,mín (cm²)]]/100^2*HC[[#This Row],[Comprimento (m)]]*7850</f>
        <v>63.133445966540478</v>
      </c>
      <c r="AH235" s="4">
        <f ca="1">HC[[#This Row],[nE]]*HC[[#This Row],[Prof. (m)]]*HC[[#This Row],[Ap (m²)]]</f>
        <v>21.111502632123411</v>
      </c>
      <c r="AI235" s="1">
        <f ca="1">IF(HC[[#This Row],[nE]]=1,0,MAX(3*HC[[#This Row],[Ø (cm)]],60))</f>
        <v>240</v>
      </c>
      <c r="AJ235" s="1">
        <f ca="1">IF(HC[[#This Row],[nE]]=1,HC[[#This Row],[Ø (cm)]]+2*10,MAX(1.5*HC[[#This Row],[Ø (cm)]],HC[[#This Row],[Ø (cm)]]+15))</f>
        <v>120</v>
      </c>
      <c r="AK235" s="1" t="str">
        <f ca="1">alturaUtil(HC[[#This Row],[nE]],HC[[#This Row],[Ø (cm)]],HC[[#This Row],[e (cm)]],HC[[#This Row],[ap,eq (cm)]])</f>
        <v>N.S.</v>
      </c>
      <c r="AL235" s="1" t="str">
        <f ca="1">IFERROR(HC[[#This Row],[d (cm)]]+arredondarParaCimaMultiplo5cm(MAX(5,SQRT(PI())/2*HC[[#This Row],[Ø (cm)]]/5)),"N.S.")</f>
        <v>N.S.</v>
      </c>
      <c r="AM235" s="5" t="str">
        <f ca="1">alpha(HC[[#This Row],[nE]],HC[[#This Row],[d (cm)]],HC[[#This Row],[e (cm)]],HC[[#This Row],[ap,eq (cm)]])</f>
        <v>N.S.</v>
      </c>
      <c r="AN235" s="35" t="str">
        <f ca="1">IFERROR(HC[[#This Row],[Nsd (kN)]]/(HC[[#This Row],[Ap (cm²)]]*SIN(HC[[#This Row],[α]])^2),"N.S.")</f>
        <v>N.S.</v>
      </c>
      <c r="AO235" s="35" t="str">
        <f ca="1">IFERROR(HC[[#This Row],[Nsd (kN)]]/(HC[[#This Row],[nE]]*PI()*HC[[#This Row],[Ø (cm)]]^2/4*SIN(HC[[#This Row],[α]])^2),"N.S.")</f>
        <v>N.S.</v>
      </c>
      <c r="AP235" s="4" t="str">
        <f ca="1">IFERROR(INDEX(grupoEstacas[],HC[[#This Row],[nE]],MATCH("coef. Blévot",grupoEstacas[#Headers],0)),"N.S.")</f>
        <v>N.S.</v>
      </c>
      <c r="AQ235" s="35" t="str">
        <f ca="1">IFERROR(HC[[#This Row],[coef. Blévot]]*0.9*INDEX(tipoEstaca[],MATCH($D$2,tipoEstaca[TIPO DE ESTACA],0),MATCH("fcd (kN/cm²)",tipoEstaca[#Headers],0)),"N.S.")</f>
        <v>N.S.</v>
      </c>
      <c r="AR235" s="1" t="str">
        <f ca="1">IF(AND(HC[[#This Row],[cd,b,pil (kN/cm²)]]&lt;=HC[[#This Row],[cd,b,lim (kN/cm²)]],HC[[#This Row],[cd,b,est (kN/cm²)]]&lt;=HC[[#This Row],[cd,b,lim (kN/cm²)]]),"OK","ERRO")</f>
        <v>OK</v>
      </c>
      <c r="AS235" s="4" t="str">
        <f ca="1">As_lado(HC[[#This Row],[nE]],HC[[#This Row],[Nsd (kN)]],HC[[#This Row],[d (cm)]],HC[[#This Row],[e (cm)]],HC[[#This Row],[ap,eq (cm)]])</f>
        <v>N.S.</v>
      </c>
      <c r="AT235" s="4" t="str">
        <f ca="1">IF(HC[[#This Row],[nE]]=1,HC[[#This Row],[As,lado (cm²)]],IF(HC[[#This Row],[nE]]=2,0.075*2*HC[a (cm)],"N.A."))</f>
        <v>N.A.</v>
      </c>
      <c r="AU235" s="4" t="str">
        <f ca="1">IFERROR(IF(HC[[#This Row],[nE]]=1,"N.A.",0.2*HC[[#This Row],[As,lado (cm²)]]),"N.S.")</f>
        <v>N.S.</v>
      </c>
      <c r="AV235" s="4" t="str">
        <f ca="1">As_malha(HC[[#This Row],[nE]],HC[[#This Row],[As,lado (cm²)]],HC[[#This Row],[Nsd (kN)]])</f>
        <v>N.S.</v>
      </c>
      <c r="AW235" s="4" t="str">
        <f ca="1">As_susp_tot(HC[[#This Row],[nE]],HC[[#This Row],[Nsd (kN)]])</f>
        <v>N.S.</v>
      </c>
      <c r="AX235" s="4" t="str">
        <f ca="1">Asp_face(HC[[#This Row],[nE]],HC[[#This Row],[As,lado (cm²)]])</f>
        <v>N.S.</v>
      </c>
      <c r="AY235" s="5" t="str">
        <f ca="1">acoBloco(HC[[#This Row],[nE]],HC[[#This Row],[e (cm)]],HC[[#This Row],[a (cm)]],HC[[#This Row],[h (cm)]],HC[[#This Row],[As,lado (cm²)]],HC[[#This Row],[Asp e Asw (cm²/m)]],HC[[#This Row],[As,sup (cm²)]],HC[[#This Row],[As,malha (cm²)]],HC[[#This Row],[As,susp,tot (cm²)]],HC[[#This Row],[Asp,face (cm²)]])</f>
        <v>N.S.</v>
      </c>
      <c r="AZ235" s="4" t="str">
        <f ca="1">concretoBloco(HC[[#This Row],[nE]],HC[[#This Row],[e (cm)]],HC[[#This Row],[a (cm)]],HC[[#This Row],[h (cm)]])</f>
        <v>N.S.</v>
      </c>
      <c r="BA235" s="5">
        <f ca="1">SUM(HC[[#This Row],[Aço Est (kg)]],HC[[#This Row],[Aço Bloco (kg)]])</f>
        <v>63.133445966540478</v>
      </c>
      <c r="BB235" s="4">
        <f>INDEX(composicoes[],MATCH(95580,composicoes[CÓDIGO],0),MATCH("CUSTO TOTAL",composicoes[#Headers],0))</f>
        <v>10.46</v>
      </c>
      <c r="BC235" s="4">
        <f ca="1">SUM(HC[[#This Row],[Conc Est (m³)]],HC[[#This Row],[Conc Bloco (m³)]])</f>
        <v>21.111502632123411</v>
      </c>
      <c r="BD235" s="4">
        <f>INDEX(composicoes[],MATCH(94966,composicoes[CÓDIGO],0),MATCH("CUSTO TOTAL",composicoes[#Headers],0))</f>
        <v>439.52</v>
      </c>
      <c r="BE235" s="38">
        <f ca="1">HC[[#This Row],[Aço (kg)]]*HC[[#This Row],[Aço (R$/kg)]]+HC[[#This Row],[Conc (m³)]]*HC[[#This Row],[Conc (R$/m³)]]</f>
        <v>9939.303481680894</v>
      </c>
      <c r="BF235" s="4" t="str">
        <f ca="1">IF(COUNTIF(HC[#This Row],"N.S.")&gt;0,"lim.","OK")</f>
        <v>lim.</v>
      </c>
      <c r="BG235" s="4" t="str">
        <f>IF(HC[[#This Row],[Prof. (m)]]&lt;4,"lim.","OK")</f>
        <v>OK</v>
      </c>
      <c r="BH235" s="4" t="str">
        <f>IF(HC[[#This Row],[Prof. (m)]]&gt;=8*HC[[#This Row],[Ø (cm)]]/100,"OK","lim.")</f>
        <v>lim.</v>
      </c>
      <c r="BI235" s="4" t="str">
        <f ca="1">IF(HC[[#This Row],[Verif. Biela]]="OK","OK","lim.")</f>
        <v>OK</v>
      </c>
      <c r="BJ235" s="4" t="str">
        <f ca="1">IF(COUNTA(HC[[#This Row],[Nº Est.]:[Biela comp.]])=COUNTIF(HC[[#This Row],[Nº Est.]:[Biela comp.]],"OK"),"OK","lim.")</f>
        <v>lim.</v>
      </c>
      <c r="BK235" s="4" t="str">
        <f ca="1">IF(HC[[#This Row],[Controle]]="OK",HC[[#This Row],[nE]]&amp;" Ø"&amp;HC[[#This Row],[Ø (cm)]]&amp;"cm Prof. "&amp;HC[[#This Row],[Prof. (m)]]&amp;" m","")</f>
        <v/>
      </c>
      <c r="BL235" s="4" t="str">
        <f ca="1">IF(HC[[#This Row],[idDimensionamento]]="","",HC[[#This Row],[idPilar]]&amp;HC[[#This Row],[idDimensionamento]])</f>
        <v/>
      </c>
    </row>
    <row r="236" spans="2:64" x14ac:dyDescent="0.25">
      <c r="B236" s="12">
        <f>ROUNDUP((ROW(HC[[#This Row],[idDiâmetro]])-ROW(HC[[#Headers],[idDiâmetro]]))/(COUNT(SPT[Prof. (m)])*COUNT(PILARES[Pilar])),0)</f>
        <v>9</v>
      </c>
      <c r="C236" s="12">
        <f>IF(HC[[#This Row],[idDiâmetro]]&lt;&gt;B235,1,IF(HC[[#This Row],[Prof. (m)]]=0,C235+1,C235))</f>
        <v>1</v>
      </c>
      <c r="D236" s="1">
        <f>IFERROR(IF(D235=MAX(SPT[Prof. (m)]),0,D235+1),0)</f>
        <v>7</v>
      </c>
      <c r="E236" s="1">
        <f>INDEX(SPT[],MATCH(HC[[#This Row],[Prof. (m)]],SPT[Prof. (m)],0),2)</f>
        <v>8</v>
      </c>
      <c r="F236" s="1" t="str">
        <f>INDEX(SPT[],MATCH(HC[[#This Row],[Prof. (m)]],SPT[Prof. (m)],0),3)</f>
        <v>Silte arenoso</v>
      </c>
      <c r="G236" s="1">
        <f>INDEX(estacas[],HC[[#This Row],[idDiâmetro]],MATCH($B$2,estacas[#Headers],0))</f>
        <v>80</v>
      </c>
      <c r="H236" s="1">
        <f>INDEX(estacas[],MATCH(HC[[#This Row],[Ø (cm)]],estacas[Ø HC (cm)],0),MATCH(HC[[#Headers],[Pe HC (kN)]],estacas[#Headers],0))</f>
        <v>3200</v>
      </c>
      <c r="I236" s="4">
        <f>INDEX(K_alpha_C[],MATCH(HC[[#This Row],[Solo]],K_alpha_C[Solo],0),2)</f>
        <v>0.55000000000000004</v>
      </c>
      <c r="J236" s="5">
        <f>INDEX(K_alpha_C[],MATCH(HC[[#This Row],[Solo]],K_alpha_C[Solo],0),3)</f>
        <v>2.2000000000000002</v>
      </c>
      <c r="K236" s="4">
        <f>INDEX(F1_F2[],MATCH($D$2,F1_F2[Tipo de estaca],0),2)</f>
        <v>2</v>
      </c>
      <c r="L236" s="4">
        <f>INDEX(F1_F2[],MATCH($D$2,F1_F2[Tipo de estaca],0),3)</f>
        <v>4</v>
      </c>
      <c r="M236" s="4">
        <f>PI()*(HC[[#This Row],[Ø (cm)]]/100)^2/4</f>
        <v>0.50265482457436694</v>
      </c>
      <c r="N236" s="4">
        <f>PI()*HC[[#This Row],[Ø (cm)]]/100</f>
        <v>2.5132741228718345</v>
      </c>
      <c r="O236" s="4">
        <f>IF(HC[[#This Row],[Prof. (m)]]=0,0,HC[[#This Row],[α (%)]]/100*HC[[#This Row],[K (MPa)]]*1000*HC[[#This Row],[NSPT]])</f>
        <v>96.800000000000011</v>
      </c>
      <c r="P236" s="4">
        <f>IF(HC[[#This Row],[Prof. (m)]]=0,0,(HC[[#This Row],[K (MPa)]]*1000*HC[[#This Row],[NSPT]]/HC[[#This Row],[F1]]*HC[[#This Row],[Ap (m²)]]+HC[[#This Row],[U (m)]]/HC[[#This Row],[F2]]*SUMIFS(HC[(α∙K∙NL∙ΔL)],HC[Prof. (m)],"&lt;="&amp;HC[[#This Row],[Prof. (m)]],HC[idDiâmetro],HC[[#This Row],[idDiâmetro]],HC[idPilar],HC[[#This Row],[idPilar]]))/'DADOS CAP. CARGA'!$D$2)</f>
        <v>829.03488535581062</v>
      </c>
      <c r="Q236" s="12">
        <f>INDEX(C_alpha_beta[],MATCH(HC[[#This Row],[Solo]],C_alpha_beta[Solo],0),MATCH(HC[[#Headers],[C (kPa)]],C_alpha_beta[#Headers],0))</f>
        <v>250</v>
      </c>
      <c r="R236" s="4">
        <f>INDEX(C_alpha_beta[],MATCH(HC[[#This Row],[Solo]],C_alpha_beta[Solo],0),MATCH(HC[[#Headers],[α ESF]],C_alpha_beta[#Headers],0))</f>
        <v>0.6</v>
      </c>
      <c r="S236" s="4">
        <f>INDEX(C_alpha_beta[],MATCH(HC[[#This Row],[Solo]],C_alpha_beta[Solo],0),MATCH(HC[[#Headers],[β ESF]],C_alpha_beta[#Headers],0))</f>
        <v>0.65</v>
      </c>
      <c r="T236" s="4">
        <f>IF(HC[[#This Row],[Prof. (m)]]=0,0,10*(HC[[#This Row],[NSPT]]/3+1))</f>
        <v>36.666666666666664</v>
      </c>
      <c r="U236" s="4">
        <f>(HC[[#This Row],[α ESF]]*HC[[#This Row],[C (kPa)]]*HC[[#This Row],[NSPT]]*HC[[#This Row],[Ap (m²)]])/'DADOS CAP. CARGA'!$Q$2+(HC[[#This Row],[β ESF]]*SUMIFS(HC[10∙(NL/3+1)],HC[Prof. (m)],"&lt;="&amp;HC[[#This Row],[Prof. (m)]],HC[idDiâmetro],HC[[#This Row],[idDiâmetro]],HC[idPilar],HC[[#This Row],[idPilar]])*HC[[#This Row],[U (m)]])/'DADOS CAP. CARGA'!$S$2</f>
        <v>376.78167892053585</v>
      </c>
      <c r="V236" s="4">
        <f>IF(SPT!$M$5=1,MIN(HC[[#This Row],[Pe HC (kN)]],HC[[#This Row],[R_AV (kN)]]),IF(SPT!$M$5=2,MIN(HC[[#This Row],[Pe HC (kN)]],HC[[#This Row],[R_DC (kN)]]),MIN(HC[[#This Row],[Pe HC (kN)]],HC[[#This Row],[R_AV (kN)]],HC[[#This Row],[R_DC (kN)]])))</f>
        <v>376.78167892053585</v>
      </c>
      <c r="W236" s="4">
        <f>INDEX(PILARES[],HC[[#This Row],[idPilar]],MATCH("Carga (kN)",PILARES[#Headers],0))*1.4</f>
        <v>3500</v>
      </c>
      <c r="X236" s="12">
        <f>INDEX(PILARES[],HC[[#This Row],[idPilar]],MATCH(HC[[#Headers],[ap (cm)]],PILARES[#Headers],0))</f>
        <v>60</v>
      </c>
      <c r="Y236" s="12">
        <f>INDEX(PILARES[],HC[[#This Row],[idPilar]],MATCH(HC[[#Headers],[bp (cm)]],PILARES[#Headers],0))</f>
        <v>60</v>
      </c>
      <c r="Z236" s="4">
        <f>SQRT(HC[[#This Row],[ap (cm)]]*HC[[#This Row],[bp (cm)]])</f>
        <v>60</v>
      </c>
      <c r="AA236" s="12">
        <f>HC[[#This Row],[ap (cm)]]*HC[[#This Row],[bp (cm)]]</f>
        <v>3600</v>
      </c>
      <c r="AB236" s="12">
        <f ca="1">IF(HC[[#This Row],[Padm∙ε (kN)]]&gt;=HC[[#This Row],[Padm (kN)]],ROUNDUP(1.05*HC[[#This Row],[Nsd (kN)]]/HC[[#This Row],[Padm (kN)]],0),ROUNDUP(1.05*HC[[#This Row],[Nsd (kN)]]/HC[[#This Row],[Padm (kN)]],0)+1)</f>
        <v>10</v>
      </c>
      <c r="AC236" s="4" t="str">
        <f ca="1">IFERROR(IF(HC[[#This Row],[nE]]=1,HC[[#This Row],[Padm (kN)]],HC[[#This Row],[Padm (kN)]]*HC[[#This Row],[nE]]*INDEX(grupoEstacas[],HC[[#This Row],[nE]],MATCH("ε",grupoEstacas[#Headers],0))),"N.S.")</f>
        <v>N.S.</v>
      </c>
      <c r="AD236" s="4">
        <f ca="1">1.05*HC[[#This Row],[Nsd (kN)]]/(HC[[#This Row],[nE]]*PI()*HC[[#This Row],[Ø (cm)]]^2/4)*10</f>
        <v>0.73111801982839419</v>
      </c>
      <c r="AE236" s="4">
        <f ca="1">IF(HC[[#This Row],[σ (MPa)]]&lt;INDEX(tipoEstaca[],MATCH($D$2,tipoEstaca[TIPO DE ESTACA],0),MATCH("σmáx (MPa)",tipoEstaca[#Headers],0)),0.4%*PI()*HC[[#This Row],[Ø (cm)]]^2/4,"N.S.")</f>
        <v>20.106192982974676</v>
      </c>
      <c r="AF236" s="1">
        <f>INDEX(tipoEstaca[],MATCH($D$2,tipoEstaca[TIPO DE ESTACA],0),MATCH(HC[[#Headers],[Comprimento (m)]],tipoEstaca[#Headers],0))</f>
        <v>4</v>
      </c>
      <c r="AG236" s="5">
        <f ca="1">HC[[#This Row],[As,mín (cm²)]]/100^2*HC[[#This Row],[Comprimento (m)]]*7850</f>
        <v>63.133445966540478</v>
      </c>
      <c r="AH236" s="4">
        <f ca="1">HC[[#This Row],[nE]]*HC[[#This Row],[Prof. (m)]]*HC[[#This Row],[Ap (m²)]]</f>
        <v>35.185837720205683</v>
      </c>
      <c r="AI236" s="1">
        <f ca="1">IF(HC[[#This Row],[nE]]=1,0,MAX(3*HC[[#This Row],[Ø (cm)]],60))</f>
        <v>240</v>
      </c>
      <c r="AJ236" s="1">
        <f ca="1">IF(HC[[#This Row],[nE]]=1,HC[[#This Row],[Ø (cm)]]+2*10,MAX(1.5*HC[[#This Row],[Ø (cm)]],HC[[#This Row],[Ø (cm)]]+15))</f>
        <v>120</v>
      </c>
      <c r="AK236" s="1" t="str">
        <f ca="1">alturaUtil(HC[[#This Row],[nE]],HC[[#This Row],[Ø (cm)]],HC[[#This Row],[e (cm)]],HC[[#This Row],[ap,eq (cm)]])</f>
        <v>N.S.</v>
      </c>
      <c r="AL236" s="1" t="str">
        <f ca="1">IFERROR(HC[[#This Row],[d (cm)]]+arredondarParaCimaMultiplo5cm(MAX(5,SQRT(PI())/2*HC[[#This Row],[Ø (cm)]]/5)),"N.S.")</f>
        <v>N.S.</v>
      </c>
      <c r="AM236" s="5" t="str">
        <f ca="1">alpha(HC[[#This Row],[nE]],HC[[#This Row],[d (cm)]],HC[[#This Row],[e (cm)]],HC[[#This Row],[ap,eq (cm)]])</f>
        <v>N.S.</v>
      </c>
      <c r="AN236" s="35" t="str">
        <f ca="1">IFERROR(HC[[#This Row],[Nsd (kN)]]/(HC[[#This Row],[Ap (cm²)]]*SIN(HC[[#This Row],[α]])^2),"N.S.")</f>
        <v>N.S.</v>
      </c>
      <c r="AO236" s="35" t="str">
        <f ca="1">IFERROR(HC[[#This Row],[Nsd (kN)]]/(HC[[#This Row],[nE]]*PI()*HC[[#This Row],[Ø (cm)]]^2/4*SIN(HC[[#This Row],[α]])^2),"N.S.")</f>
        <v>N.S.</v>
      </c>
      <c r="AP236" s="4" t="str">
        <f ca="1">IFERROR(INDEX(grupoEstacas[],HC[[#This Row],[nE]],MATCH("coef. Blévot",grupoEstacas[#Headers],0)),"N.S.")</f>
        <v>N.S.</v>
      </c>
      <c r="AQ236" s="35" t="str">
        <f ca="1">IFERROR(HC[[#This Row],[coef. Blévot]]*0.9*INDEX(tipoEstaca[],MATCH($D$2,tipoEstaca[TIPO DE ESTACA],0),MATCH("fcd (kN/cm²)",tipoEstaca[#Headers],0)),"N.S.")</f>
        <v>N.S.</v>
      </c>
      <c r="AR236" s="1" t="str">
        <f ca="1">IF(AND(HC[[#This Row],[cd,b,pil (kN/cm²)]]&lt;=HC[[#This Row],[cd,b,lim (kN/cm²)]],HC[[#This Row],[cd,b,est (kN/cm²)]]&lt;=HC[[#This Row],[cd,b,lim (kN/cm²)]]),"OK","ERRO")</f>
        <v>OK</v>
      </c>
      <c r="AS236" s="4" t="str">
        <f ca="1">As_lado(HC[[#This Row],[nE]],HC[[#This Row],[Nsd (kN)]],HC[[#This Row],[d (cm)]],HC[[#This Row],[e (cm)]],HC[[#This Row],[ap,eq (cm)]])</f>
        <v>N.S.</v>
      </c>
      <c r="AT236" s="4" t="str">
        <f ca="1">IF(HC[[#This Row],[nE]]=1,HC[[#This Row],[As,lado (cm²)]],IF(HC[[#This Row],[nE]]=2,0.075*2*HC[a (cm)],"N.A."))</f>
        <v>N.A.</v>
      </c>
      <c r="AU236" s="4" t="str">
        <f ca="1">IFERROR(IF(HC[[#This Row],[nE]]=1,"N.A.",0.2*HC[[#This Row],[As,lado (cm²)]]),"N.S.")</f>
        <v>N.S.</v>
      </c>
      <c r="AV236" s="4" t="str">
        <f ca="1">As_malha(HC[[#This Row],[nE]],HC[[#This Row],[As,lado (cm²)]],HC[[#This Row],[Nsd (kN)]])</f>
        <v>N.S.</v>
      </c>
      <c r="AW236" s="4" t="str">
        <f ca="1">As_susp_tot(HC[[#This Row],[nE]],HC[[#This Row],[Nsd (kN)]])</f>
        <v>N.S.</v>
      </c>
      <c r="AX236" s="4" t="str">
        <f ca="1">Asp_face(HC[[#This Row],[nE]],HC[[#This Row],[As,lado (cm²)]])</f>
        <v>N.S.</v>
      </c>
      <c r="AY236" s="5" t="str">
        <f ca="1">acoBloco(HC[[#This Row],[nE]],HC[[#This Row],[e (cm)]],HC[[#This Row],[a (cm)]],HC[[#This Row],[h (cm)]],HC[[#This Row],[As,lado (cm²)]],HC[[#This Row],[Asp e Asw (cm²/m)]],HC[[#This Row],[As,sup (cm²)]],HC[[#This Row],[As,malha (cm²)]],HC[[#This Row],[As,susp,tot (cm²)]],HC[[#This Row],[Asp,face (cm²)]])</f>
        <v>N.S.</v>
      </c>
      <c r="AZ236" s="4" t="str">
        <f ca="1">concretoBloco(HC[[#This Row],[nE]],HC[[#This Row],[e (cm)]],HC[[#This Row],[a (cm)]],HC[[#This Row],[h (cm)]])</f>
        <v>N.S.</v>
      </c>
      <c r="BA236" s="5">
        <f ca="1">SUM(HC[[#This Row],[Aço Est (kg)]],HC[[#This Row],[Aço Bloco (kg)]])</f>
        <v>63.133445966540478</v>
      </c>
      <c r="BB236" s="4">
        <f>INDEX(composicoes[],MATCH(95580,composicoes[CÓDIGO],0),MATCH("CUSTO TOTAL",composicoes[#Headers],0))</f>
        <v>10.46</v>
      </c>
      <c r="BC236" s="4">
        <f ca="1">SUM(HC[[#This Row],[Conc Est (m³)]],HC[[#This Row],[Conc Bloco (m³)]])</f>
        <v>35.185837720205683</v>
      </c>
      <c r="BD236" s="4">
        <f>INDEX(composicoes[],MATCH(94966,composicoes[CÓDIGO],0),MATCH("CUSTO TOTAL",composicoes[#Headers],0))</f>
        <v>439.52</v>
      </c>
      <c r="BE236" s="38">
        <f ca="1">HC[[#This Row],[Aço (kg)]]*HC[[#This Row],[Aço (R$/kg)]]+HC[[#This Row],[Conc (m³)]]*HC[[#This Row],[Conc (R$/m³)]]</f>
        <v>16125.255239594815</v>
      </c>
      <c r="BF236" s="4" t="str">
        <f ca="1">IF(COUNTIF(HC[#This Row],"N.S.")&gt;0,"lim.","OK")</f>
        <v>lim.</v>
      </c>
      <c r="BG236" s="4" t="str">
        <f>IF(HC[[#This Row],[Prof. (m)]]&lt;4,"lim.","OK")</f>
        <v>OK</v>
      </c>
      <c r="BH236" s="4" t="str">
        <f>IF(HC[[#This Row],[Prof. (m)]]&gt;=8*HC[[#This Row],[Ø (cm)]]/100,"OK","lim.")</f>
        <v>OK</v>
      </c>
      <c r="BI236" s="4" t="str">
        <f ca="1">IF(HC[[#This Row],[Verif. Biela]]="OK","OK","lim.")</f>
        <v>OK</v>
      </c>
      <c r="BJ236" s="4" t="str">
        <f ca="1">IF(COUNTA(HC[[#This Row],[Nº Est.]:[Biela comp.]])=COUNTIF(HC[[#This Row],[Nº Est.]:[Biela comp.]],"OK"),"OK","lim.")</f>
        <v>lim.</v>
      </c>
      <c r="BK236" s="4" t="str">
        <f ca="1">IF(HC[[#This Row],[Controle]]="OK",HC[[#This Row],[nE]]&amp;" Ø"&amp;HC[[#This Row],[Ø (cm)]]&amp;"cm Prof. "&amp;HC[[#This Row],[Prof. (m)]]&amp;" m","")</f>
        <v/>
      </c>
      <c r="BL236" s="4" t="str">
        <f ca="1">IF(HC[[#This Row],[idDimensionamento]]="","",HC[[#This Row],[idPilar]]&amp;HC[[#This Row],[idDimensionamento]])</f>
        <v/>
      </c>
    </row>
    <row r="237" spans="2:64" x14ac:dyDescent="0.25">
      <c r="B237" s="12">
        <f>ROUNDUP((ROW(HC[[#This Row],[idDiâmetro]])-ROW(HC[[#Headers],[idDiâmetro]]))/(COUNT(SPT[Prof. (m)])*COUNT(PILARES[Pilar])),0)</f>
        <v>9</v>
      </c>
      <c r="C237" s="12">
        <f>IF(HC[[#This Row],[idDiâmetro]]&lt;&gt;B236,1,IF(HC[[#This Row],[Prof. (m)]]=0,C236+1,C236))</f>
        <v>1</v>
      </c>
      <c r="D237" s="1">
        <f>IFERROR(IF(D236=MAX(SPT[Prof. (m)]),0,D236+1),0)</f>
        <v>8</v>
      </c>
      <c r="E237" s="1">
        <f>INDEX(SPT[],MATCH(HC[[#This Row],[Prof. (m)]],SPT[Prof. (m)],0),2)</f>
        <v>10</v>
      </c>
      <c r="F237" s="1" t="str">
        <f>INDEX(SPT[],MATCH(HC[[#This Row],[Prof. (m)]],SPT[Prof. (m)],0),3)</f>
        <v>Silte arenoso</v>
      </c>
      <c r="G237" s="1">
        <f>INDEX(estacas[],HC[[#This Row],[idDiâmetro]],MATCH($B$2,estacas[#Headers],0))</f>
        <v>80</v>
      </c>
      <c r="H237" s="1">
        <f>INDEX(estacas[],MATCH(HC[[#This Row],[Ø (cm)]],estacas[Ø HC (cm)],0),MATCH(HC[[#Headers],[Pe HC (kN)]],estacas[#Headers],0))</f>
        <v>3200</v>
      </c>
      <c r="I237" s="4">
        <f>INDEX(K_alpha_C[],MATCH(HC[[#This Row],[Solo]],K_alpha_C[Solo],0),2)</f>
        <v>0.55000000000000004</v>
      </c>
      <c r="J237" s="5">
        <f>INDEX(K_alpha_C[],MATCH(HC[[#This Row],[Solo]],K_alpha_C[Solo],0),3)</f>
        <v>2.2000000000000002</v>
      </c>
      <c r="K237" s="4">
        <f>INDEX(F1_F2[],MATCH($D$2,F1_F2[Tipo de estaca],0),2)</f>
        <v>2</v>
      </c>
      <c r="L237" s="4">
        <f>INDEX(F1_F2[],MATCH($D$2,F1_F2[Tipo de estaca],0),3)</f>
        <v>4</v>
      </c>
      <c r="M237" s="4">
        <f>PI()*(HC[[#This Row],[Ø (cm)]]/100)^2/4</f>
        <v>0.50265482457436694</v>
      </c>
      <c r="N237" s="4">
        <f>PI()*HC[[#This Row],[Ø (cm)]]/100</f>
        <v>2.5132741228718345</v>
      </c>
      <c r="O237" s="4">
        <f>IF(HC[[#This Row],[Prof. (m)]]=0,0,HC[[#This Row],[α (%)]]/100*HC[[#This Row],[K (MPa)]]*1000*HC[[#This Row],[NSPT]])</f>
        <v>121.00000000000001</v>
      </c>
      <c r="P237" s="4">
        <f>IF(HC[[#This Row],[Prof. (m)]]=0,0,(HC[[#This Row],[K (MPa)]]*1000*HC[[#This Row],[NSPT]]/HC[[#This Row],[F1]]*HC[[#This Row],[Ap (m²)]]+HC[[#This Row],[U (m)]]/HC[[#This Row],[F2]]*SUMIFS(HC[(α∙K∙NL∙ΔL)],HC[Prof. (m)],"&lt;="&amp;HC[[#This Row],[Prof. (m)]],HC[idDiâmetro],HC[[#This Row],[idDiâmetro]],HC[idPilar],HC[[#This Row],[idPilar]]))/'DADOS CAP. CARGA'!$D$2)</f>
        <v>1005.278233222198</v>
      </c>
      <c r="Q237" s="12">
        <f>INDEX(C_alpha_beta[],MATCH(HC[[#This Row],[Solo]],C_alpha_beta[Solo],0),MATCH(HC[[#Headers],[C (kPa)]],C_alpha_beta[#Headers],0))</f>
        <v>250</v>
      </c>
      <c r="R237" s="4">
        <f>INDEX(C_alpha_beta[],MATCH(HC[[#This Row],[Solo]],C_alpha_beta[Solo],0),MATCH(HC[[#Headers],[α ESF]],C_alpha_beta[#Headers],0))</f>
        <v>0.6</v>
      </c>
      <c r="S237" s="4">
        <f>INDEX(C_alpha_beta[],MATCH(HC[[#This Row],[Solo]],C_alpha_beta[Solo],0),MATCH(HC[[#Headers],[β ESF]],C_alpha_beta[#Headers],0))</f>
        <v>0.65</v>
      </c>
      <c r="T237" s="4">
        <f>IF(HC[[#This Row],[Prof. (m)]]=0,0,10*(HC[[#This Row],[NSPT]]/3+1))</f>
        <v>43.333333333333343</v>
      </c>
      <c r="U237" s="4">
        <f>(HC[[#This Row],[α ESF]]*HC[[#This Row],[C (kPa)]]*HC[[#This Row],[NSPT]]*HC[[#This Row],[Ap (m²)]])/'DADOS CAP. CARGA'!$Q$2+(HC[[#This Row],[β ESF]]*SUMIFS(HC[10∙(NL/3+1)],HC[Prof. (m)],"&lt;="&amp;HC[[#This Row],[Prof. (m)]],HC[idDiâmetro],HC[[#This Row],[idDiâmetro]],HC[idPilar],HC[[#This Row],[idPilar]])*HC[[#This Row],[U (m)]])/'DADOS CAP. CARGA'!$S$2</f>
        <v>449.87606799405842</v>
      </c>
      <c r="V237" s="4">
        <f>IF(SPT!$M$5=1,MIN(HC[[#This Row],[Pe HC (kN)]],HC[[#This Row],[R_AV (kN)]]),IF(SPT!$M$5=2,MIN(HC[[#This Row],[Pe HC (kN)]],HC[[#This Row],[R_DC (kN)]]),MIN(HC[[#This Row],[Pe HC (kN)]],HC[[#This Row],[R_AV (kN)]],HC[[#This Row],[R_DC (kN)]])))</f>
        <v>449.87606799405842</v>
      </c>
      <c r="W237" s="4">
        <f>INDEX(PILARES[],HC[[#This Row],[idPilar]],MATCH("Carga (kN)",PILARES[#Headers],0))*1.4</f>
        <v>3500</v>
      </c>
      <c r="X237" s="12">
        <f>INDEX(PILARES[],HC[[#This Row],[idPilar]],MATCH(HC[[#Headers],[ap (cm)]],PILARES[#Headers],0))</f>
        <v>60</v>
      </c>
      <c r="Y237" s="12">
        <f>INDEX(PILARES[],HC[[#This Row],[idPilar]],MATCH(HC[[#Headers],[bp (cm)]],PILARES[#Headers],0))</f>
        <v>60</v>
      </c>
      <c r="Z237" s="4">
        <f>SQRT(HC[[#This Row],[ap (cm)]]*HC[[#This Row],[bp (cm)]])</f>
        <v>60</v>
      </c>
      <c r="AA237" s="12">
        <f>HC[[#This Row],[ap (cm)]]*HC[[#This Row],[bp (cm)]]</f>
        <v>3600</v>
      </c>
      <c r="AB237" s="12">
        <f ca="1">IF(HC[[#This Row],[Padm∙ε (kN)]]&gt;=HC[[#This Row],[Padm (kN)]],ROUNDUP(1.05*HC[[#This Row],[Nsd (kN)]]/HC[[#This Row],[Padm (kN)]],0),ROUNDUP(1.05*HC[[#This Row],[Nsd (kN)]]/HC[[#This Row],[Padm (kN)]],0)+1)</f>
        <v>9</v>
      </c>
      <c r="AC237" s="4" t="str">
        <f ca="1">IFERROR(IF(HC[[#This Row],[nE]]=1,HC[[#This Row],[Padm (kN)]],HC[[#This Row],[Padm (kN)]]*HC[[#This Row],[nE]]*INDEX(grupoEstacas[],HC[[#This Row],[nE]],MATCH("ε",grupoEstacas[#Headers],0))),"N.S.")</f>
        <v>N.S.</v>
      </c>
      <c r="AD237" s="4">
        <f ca="1">1.05*HC[[#This Row],[Nsd (kN)]]/(HC[[#This Row],[nE]]*PI()*HC[[#This Row],[Ø (cm)]]^2/4)*10</f>
        <v>0.81235335536488251</v>
      </c>
      <c r="AE237" s="4">
        <f ca="1">IF(HC[[#This Row],[σ (MPa)]]&lt;INDEX(tipoEstaca[],MATCH($D$2,tipoEstaca[TIPO DE ESTACA],0),MATCH("σmáx (MPa)",tipoEstaca[#Headers],0)),0.4%*PI()*HC[[#This Row],[Ø (cm)]]^2/4,"N.S.")</f>
        <v>20.106192982974676</v>
      </c>
      <c r="AF237" s="1">
        <f>INDEX(tipoEstaca[],MATCH($D$2,tipoEstaca[TIPO DE ESTACA],0),MATCH(HC[[#Headers],[Comprimento (m)]],tipoEstaca[#Headers],0))</f>
        <v>4</v>
      </c>
      <c r="AG237" s="5">
        <f ca="1">HC[[#This Row],[As,mín (cm²)]]/100^2*HC[[#This Row],[Comprimento (m)]]*7850</f>
        <v>63.133445966540478</v>
      </c>
      <c r="AH237" s="4">
        <f ca="1">HC[[#This Row],[nE]]*HC[[#This Row],[Prof. (m)]]*HC[[#This Row],[Ap (m²)]]</f>
        <v>36.191147369354418</v>
      </c>
      <c r="AI237" s="1">
        <f ca="1">IF(HC[[#This Row],[nE]]=1,0,MAX(3*HC[[#This Row],[Ø (cm)]],60))</f>
        <v>240</v>
      </c>
      <c r="AJ237" s="1">
        <f ca="1">IF(HC[[#This Row],[nE]]=1,HC[[#This Row],[Ø (cm)]]+2*10,MAX(1.5*HC[[#This Row],[Ø (cm)]],HC[[#This Row],[Ø (cm)]]+15))</f>
        <v>120</v>
      </c>
      <c r="AK237" s="1" t="str">
        <f ca="1">alturaUtil(HC[[#This Row],[nE]],HC[[#This Row],[Ø (cm)]],HC[[#This Row],[e (cm)]],HC[[#This Row],[ap,eq (cm)]])</f>
        <v>N.S.</v>
      </c>
      <c r="AL237" s="1" t="str">
        <f ca="1">IFERROR(HC[[#This Row],[d (cm)]]+arredondarParaCimaMultiplo5cm(MAX(5,SQRT(PI())/2*HC[[#This Row],[Ø (cm)]]/5)),"N.S.")</f>
        <v>N.S.</v>
      </c>
      <c r="AM237" s="5" t="str">
        <f ca="1">alpha(HC[[#This Row],[nE]],HC[[#This Row],[d (cm)]],HC[[#This Row],[e (cm)]],HC[[#This Row],[ap,eq (cm)]])</f>
        <v>N.S.</v>
      </c>
      <c r="AN237" s="35" t="str">
        <f ca="1">IFERROR(HC[[#This Row],[Nsd (kN)]]/(HC[[#This Row],[Ap (cm²)]]*SIN(HC[[#This Row],[α]])^2),"N.S.")</f>
        <v>N.S.</v>
      </c>
      <c r="AO237" s="35" t="str">
        <f ca="1">IFERROR(HC[[#This Row],[Nsd (kN)]]/(HC[[#This Row],[nE]]*PI()*HC[[#This Row],[Ø (cm)]]^2/4*SIN(HC[[#This Row],[α]])^2),"N.S.")</f>
        <v>N.S.</v>
      </c>
      <c r="AP237" s="4" t="str">
        <f ca="1">IFERROR(INDEX(grupoEstacas[],HC[[#This Row],[nE]],MATCH("coef. Blévot",grupoEstacas[#Headers],0)),"N.S.")</f>
        <v>N.S.</v>
      </c>
      <c r="AQ237" s="35" t="str">
        <f ca="1">IFERROR(HC[[#This Row],[coef. Blévot]]*0.9*INDEX(tipoEstaca[],MATCH($D$2,tipoEstaca[TIPO DE ESTACA],0),MATCH("fcd (kN/cm²)",tipoEstaca[#Headers],0)),"N.S.")</f>
        <v>N.S.</v>
      </c>
      <c r="AR237" s="1" t="str">
        <f ca="1">IF(AND(HC[[#This Row],[cd,b,pil (kN/cm²)]]&lt;=HC[[#This Row],[cd,b,lim (kN/cm²)]],HC[[#This Row],[cd,b,est (kN/cm²)]]&lt;=HC[[#This Row],[cd,b,lim (kN/cm²)]]),"OK","ERRO")</f>
        <v>OK</v>
      </c>
      <c r="AS237" s="4" t="str">
        <f ca="1">As_lado(HC[[#This Row],[nE]],HC[[#This Row],[Nsd (kN)]],HC[[#This Row],[d (cm)]],HC[[#This Row],[e (cm)]],HC[[#This Row],[ap,eq (cm)]])</f>
        <v>N.S.</v>
      </c>
      <c r="AT237" s="4" t="str">
        <f ca="1">IF(HC[[#This Row],[nE]]=1,HC[[#This Row],[As,lado (cm²)]],IF(HC[[#This Row],[nE]]=2,0.075*2*HC[a (cm)],"N.A."))</f>
        <v>N.A.</v>
      </c>
      <c r="AU237" s="4" t="str">
        <f ca="1">IFERROR(IF(HC[[#This Row],[nE]]=1,"N.A.",0.2*HC[[#This Row],[As,lado (cm²)]]),"N.S.")</f>
        <v>N.S.</v>
      </c>
      <c r="AV237" s="4" t="str">
        <f ca="1">As_malha(HC[[#This Row],[nE]],HC[[#This Row],[As,lado (cm²)]],HC[[#This Row],[Nsd (kN)]])</f>
        <v>N.S.</v>
      </c>
      <c r="AW237" s="4" t="str">
        <f ca="1">As_susp_tot(HC[[#This Row],[nE]],HC[[#This Row],[Nsd (kN)]])</f>
        <v>N.S.</v>
      </c>
      <c r="AX237" s="4" t="str">
        <f ca="1">Asp_face(HC[[#This Row],[nE]],HC[[#This Row],[As,lado (cm²)]])</f>
        <v>N.S.</v>
      </c>
      <c r="AY237" s="5" t="str">
        <f ca="1">acoBloco(HC[[#This Row],[nE]],HC[[#This Row],[e (cm)]],HC[[#This Row],[a (cm)]],HC[[#This Row],[h (cm)]],HC[[#This Row],[As,lado (cm²)]],HC[[#This Row],[Asp e Asw (cm²/m)]],HC[[#This Row],[As,sup (cm²)]],HC[[#This Row],[As,malha (cm²)]],HC[[#This Row],[As,susp,tot (cm²)]],HC[[#This Row],[Asp,face (cm²)]])</f>
        <v>N.S.</v>
      </c>
      <c r="AZ237" s="4" t="str">
        <f ca="1">concretoBloco(HC[[#This Row],[nE]],HC[[#This Row],[e (cm)]],HC[[#This Row],[a (cm)]],HC[[#This Row],[h (cm)]])</f>
        <v>N.S.</v>
      </c>
      <c r="BA237" s="5">
        <f ca="1">SUM(HC[[#This Row],[Aço Est (kg)]],HC[[#This Row],[Aço Bloco (kg)]])</f>
        <v>63.133445966540478</v>
      </c>
      <c r="BB237" s="4">
        <f>INDEX(composicoes[],MATCH(95580,composicoes[CÓDIGO],0),MATCH("CUSTO TOTAL",composicoes[#Headers],0))</f>
        <v>10.46</v>
      </c>
      <c r="BC237" s="4">
        <f ca="1">SUM(HC[[#This Row],[Conc Est (m³)]],HC[[#This Row],[Conc Bloco (m³)]])</f>
        <v>36.191147369354418</v>
      </c>
      <c r="BD237" s="4">
        <f>INDEX(composicoes[],MATCH(94966,composicoes[CÓDIGO],0),MATCH("CUSTO TOTAL",composicoes[#Headers],0))</f>
        <v>439.52</v>
      </c>
      <c r="BE237" s="38">
        <f ca="1">HC[[#This Row],[Aço (kg)]]*HC[[#This Row],[Aço (R$/kg)]]+HC[[#This Row],[Conc (m³)]]*HC[[#This Row],[Conc (R$/m³)]]</f>
        <v>16567.108936588666</v>
      </c>
      <c r="BF237" s="4" t="str">
        <f ca="1">IF(COUNTIF(HC[#This Row],"N.S.")&gt;0,"lim.","OK")</f>
        <v>lim.</v>
      </c>
      <c r="BG237" s="4" t="str">
        <f>IF(HC[[#This Row],[Prof. (m)]]&lt;4,"lim.","OK")</f>
        <v>OK</v>
      </c>
      <c r="BH237" s="4" t="str">
        <f>IF(HC[[#This Row],[Prof. (m)]]&gt;=8*HC[[#This Row],[Ø (cm)]]/100,"OK","lim.")</f>
        <v>OK</v>
      </c>
      <c r="BI237" s="4" t="str">
        <f ca="1">IF(HC[[#This Row],[Verif. Biela]]="OK","OK","lim.")</f>
        <v>OK</v>
      </c>
      <c r="BJ237" s="4" t="str">
        <f ca="1">IF(COUNTA(HC[[#This Row],[Nº Est.]:[Biela comp.]])=COUNTIF(HC[[#This Row],[Nº Est.]:[Biela comp.]],"OK"),"OK","lim.")</f>
        <v>lim.</v>
      </c>
      <c r="BK237" s="4" t="str">
        <f ca="1">IF(HC[[#This Row],[Controle]]="OK",HC[[#This Row],[nE]]&amp;" Ø"&amp;HC[[#This Row],[Ø (cm)]]&amp;"cm Prof. "&amp;HC[[#This Row],[Prof. (m)]]&amp;" m","")</f>
        <v/>
      </c>
      <c r="BL237" s="4" t="str">
        <f ca="1">IF(HC[[#This Row],[idDimensionamento]]="","",HC[[#This Row],[idPilar]]&amp;HC[[#This Row],[idDimensionamento]])</f>
        <v/>
      </c>
    </row>
    <row r="238" spans="2:64" x14ac:dyDescent="0.25">
      <c r="B238" s="12">
        <f>ROUNDUP((ROW(HC[[#This Row],[idDiâmetro]])-ROW(HC[[#Headers],[idDiâmetro]]))/(COUNT(SPT[Prof. (m)])*COUNT(PILARES[Pilar])),0)</f>
        <v>9</v>
      </c>
      <c r="C238" s="12">
        <f>IF(HC[[#This Row],[idDiâmetro]]&lt;&gt;B237,1,IF(HC[[#This Row],[Prof. (m)]]=0,C237+1,C237))</f>
        <v>1</v>
      </c>
      <c r="D238" s="1">
        <f>IFERROR(IF(D237=MAX(SPT[Prof. (m)]),0,D237+1),0)</f>
        <v>9</v>
      </c>
      <c r="E238" s="1">
        <f>INDEX(SPT[],MATCH(HC[[#This Row],[Prof. (m)]],SPT[Prof. (m)],0),2)</f>
        <v>26</v>
      </c>
      <c r="F238" s="1" t="str">
        <f>INDEX(SPT[],MATCH(HC[[#This Row],[Prof. (m)]],SPT[Prof. (m)],0),3)</f>
        <v>Areia siltosa</v>
      </c>
      <c r="G238" s="1">
        <f>INDEX(estacas[],HC[[#This Row],[idDiâmetro]],MATCH($B$2,estacas[#Headers],0))</f>
        <v>80</v>
      </c>
      <c r="H238" s="1">
        <f>INDEX(estacas[],MATCH(HC[[#This Row],[Ø (cm)]],estacas[Ø HC (cm)],0),MATCH(HC[[#Headers],[Pe HC (kN)]],estacas[#Headers],0))</f>
        <v>3200</v>
      </c>
      <c r="I238" s="4">
        <f>INDEX(K_alpha_C[],MATCH(HC[[#This Row],[Solo]],K_alpha_C[Solo],0),2)</f>
        <v>0.8</v>
      </c>
      <c r="J238" s="5">
        <f>INDEX(K_alpha_C[],MATCH(HC[[#This Row],[Solo]],K_alpha_C[Solo],0),3)</f>
        <v>2</v>
      </c>
      <c r="K238" s="4">
        <f>INDEX(F1_F2[],MATCH($D$2,F1_F2[Tipo de estaca],0),2)</f>
        <v>2</v>
      </c>
      <c r="L238" s="4">
        <f>INDEX(F1_F2[],MATCH($D$2,F1_F2[Tipo de estaca],0),3)</f>
        <v>4</v>
      </c>
      <c r="M238" s="4">
        <f>PI()*(HC[[#This Row],[Ø (cm)]]/100)^2/4</f>
        <v>0.50265482457436694</v>
      </c>
      <c r="N238" s="4">
        <f>PI()*HC[[#This Row],[Ø (cm)]]/100</f>
        <v>2.5132741228718345</v>
      </c>
      <c r="O238" s="4">
        <f>IF(HC[[#This Row],[Prof. (m)]]=0,0,HC[[#This Row],[α (%)]]/100*HC[[#This Row],[K (MPa)]]*1000*HC[[#This Row],[NSPT]])</f>
        <v>416</v>
      </c>
      <c r="P238" s="4">
        <f>IF(HC[[#This Row],[Prof. (m)]]=0,0,(HC[[#This Row],[K (MPa)]]*1000*HC[[#This Row],[NSPT]]/HC[[#This Row],[F1]]*HC[[#This Row],[Ap (m²)]]+HC[[#This Row],[U (m)]]/HC[[#This Row],[F2]]*SUMIFS(HC[(α∙K∙NL∙ΔL)],HC[Prof. (m)],"&lt;="&amp;HC[[#This Row],[Prof. (m)]],HC[idDiâmetro],HC[[#This Row],[idDiâmetro]],HC[idPilar],HC[[#This Row],[idPilar]]))/'DADOS CAP. CARGA'!$D$2)</f>
        <v>3058.6231916084871</v>
      </c>
      <c r="Q238" s="12">
        <f>INDEX(C_alpha_beta[],MATCH(HC[[#This Row],[Solo]],C_alpha_beta[Solo],0),MATCH(HC[[#Headers],[C (kPa)]],C_alpha_beta[#Headers],0))</f>
        <v>400</v>
      </c>
      <c r="R238" s="4">
        <f>INDEX(C_alpha_beta[],MATCH(HC[[#This Row],[Solo]],C_alpha_beta[Solo],0),MATCH(HC[[#Headers],[α ESF]],C_alpha_beta[#Headers],0))</f>
        <v>0.5</v>
      </c>
      <c r="S238" s="4">
        <f>INDEX(C_alpha_beta[],MATCH(HC[[#This Row],[Solo]],C_alpha_beta[Solo],0),MATCH(HC[[#Headers],[β ESF]],C_alpha_beta[#Headers],0))</f>
        <v>0.5</v>
      </c>
      <c r="T238" s="4">
        <f>IF(HC[[#This Row],[Prof. (m)]]=0,0,10*(HC[[#This Row],[NSPT]]/3+1))</f>
        <v>96.666666666666657</v>
      </c>
      <c r="U238" s="4">
        <f>(HC[[#This Row],[α ESF]]*HC[[#This Row],[C (kPa)]]*HC[[#This Row],[NSPT]]*HC[[#This Row],[Ap (m²)]])/'DADOS CAP. CARGA'!$Q$2+(HC[[#This Row],[β ESF]]*SUMIFS(HC[10∙(NL/3+1)],HC[Prof. (m)],"&lt;="&amp;HC[[#This Row],[Prof. (m)]],HC[idDiâmetro],HC[[#This Row],[idDiâmetro]],HC[idPilar],HC[[#This Row],[idPilar]])*HC[[#This Row],[U (m)]])/'DADOS CAP. CARGA'!$S$2</f>
        <v>915.2506597458264</v>
      </c>
      <c r="V238" s="4">
        <f>IF(SPT!$M$5=1,MIN(HC[[#This Row],[Pe HC (kN)]],HC[[#This Row],[R_AV (kN)]]),IF(SPT!$M$5=2,MIN(HC[[#This Row],[Pe HC (kN)]],HC[[#This Row],[R_DC (kN)]]),MIN(HC[[#This Row],[Pe HC (kN)]],HC[[#This Row],[R_AV (kN)]],HC[[#This Row],[R_DC (kN)]])))</f>
        <v>915.2506597458264</v>
      </c>
      <c r="W238" s="4">
        <f>INDEX(PILARES[],HC[[#This Row],[idPilar]],MATCH("Carga (kN)",PILARES[#Headers],0))*1.4</f>
        <v>3500</v>
      </c>
      <c r="X238" s="12">
        <f>INDEX(PILARES[],HC[[#This Row],[idPilar]],MATCH(HC[[#Headers],[ap (cm)]],PILARES[#Headers],0))</f>
        <v>60</v>
      </c>
      <c r="Y238" s="12">
        <f>INDEX(PILARES[],HC[[#This Row],[idPilar]],MATCH(HC[[#Headers],[bp (cm)]],PILARES[#Headers],0))</f>
        <v>60</v>
      </c>
      <c r="Z238" s="4">
        <f>SQRT(HC[[#This Row],[ap (cm)]]*HC[[#This Row],[bp (cm)]])</f>
        <v>60</v>
      </c>
      <c r="AA238" s="12">
        <f>HC[[#This Row],[ap (cm)]]*HC[[#This Row],[bp (cm)]]</f>
        <v>3600</v>
      </c>
      <c r="AB238" s="12">
        <f ca="1">IF(HC[[#This Row],[Padm∙ε (kN)]]&gt;=HC[[#This Row],[Padm (kN)]],ROUNDUP(1.05*HC[[#This Row],[Nsd (kN)]]/HC[[#This Row],[Padm (kN)]],0),ROUNDUP(1.05*HC[[#This Row],[Nsd (kN)]]/HC[[#This Row],[Padm (kN)]],0)+1)</f>
        <v>5</v>
      </c>
      <c r="AC238" s="4" t="str">
        <f ca="1">IFERROR(IF(HC[[#This Row],[nE]]=1,HC[[#This Row],[Padm (kN)]],HC[[#This Row],[Padm (kN)]]*HC[[#This Row],[nE]]*INDEX(grupoEstacas[],HC[[#This Row],[nE]],MATCH("ε",grupoEstacas[#Headers],0))),"N.S.")</f>
        <v>N.S.</v>
      </c>
      <c r="AD238" s="4">
        <f ca="1">1.05*HC[[#This Row],[Nsd (kN)]]/(HC[[#This Row],[nE]]*PI()*HC[[#This Row],[Ø (cm)]]^2/4)*10</f>
        <v>1.4622360396567884</v>
      </c>
      <c r="AE238" s="4">
        <f ca="1">IF(HC[[#This Row],[σ (MPa)]]&lt;INDEX(tipoEstaca[],MATCH($D$2,tipoEstaca[TIPO DE ESTACA],0),MATCH("σmáx (MPa)",tipoEstaca[#Headers],0)),0.4%*PI()*HC[[#This Row],[Ø (cm)]]^2/4,"N.S.")</f>
        <v>20.106192982974676</v>
      </c>
      <c r="AF238" s="1">
        <f>INDEX(tipoEstaca[],MATCH($D$2,tipoEstaca[TIPO DE ESTACA],0),MATCH(HC[[#Headers],[Comprimento (m)]],tipoEstaca[#Headers],0))</f>
        <v>4</v>
      </c>
      <c r="AG238" s="5">
        <f ca="1">HC[[#This Row],[As,mín (cm²)]]/100^2*HC[[#This Row],[Comprimento (m)]]*7850</f>
        <v>63.133445966540478</v>
      </c>
      <c r="AH238" s="4">
        <f ca="1">HC[[#This Row],[nE]]*HC[[#This Row],[Prof. (m)]]*HC[[#This Row],[Ap (m²)]]</f>
        <v>22.619467105846514</v>
      </c>
      <c r="AI238" s="1">
        <f ca="1">IF(HC[[#This Row],[nE]]=1,0,MAX(3*HC[[#This Row],[Ø (cm)]],60))</f>
        <v>240</v>
      </c>
      <c r="AJ238" s="1">
        <f ca="1">IF(HC[[#This Row],[nE]]=1,HC[[#This Row],[Ø (cm)]]+2*10,MAX(1.5*HC[[#This Row],[Ø (cm)]],HC[[#This Row],[Ø (cm)]]+15))</f>
        <v>120</v>
      </c>
      <c r="AK238" s="1" t="str">
        <f ca="1">alturaUtil(HC[[#This Row],[nE]],HC[[#This Row],[Ø (cm)]],HC[[#This Row],[e (cm)]],HC[[#This Row],[ap,eq (cm)]])</f>
        <v>N.S.</v>
      </c>
      <c r="AL238" s="1" t="str">
        <f ca="1">IFERROR(HC[[#This Row],[d (cm)]]+arredondarParaCimaMultiplo5cm(MAX(5,SQRT(PI())/2*HC[[#This Row],[Ø (cm)]]/5)),"N.S.")</f>
        <v>N.S.</v>
      </c>
      <c r="AM238" s="5" t="str">
        <f ca="1">alpha(HC[[#This Row],[nE]],HC[[#This Row],[d (cm)]],HC[[#This Row],[e (cm)]],HC[[#This Row],[ap,eq (cm)]])</f>
        <v>N.S.</v>
      </c>
      <c r="AN238" s="35" t="str">
        <f ca="1">IFERROR(HC[[#This Row],[Nsd (kN)]]/(HC[[#This Row],[Ap (cm²)]]*SIN(HC[[#This Row],[α]])^2),"N.S.")</f>
        <v>N.S.</v>
      </c>
      <c r="AO238" s="35" t="str">
        <f ca="1">IFERROR(HC[[#This Row],[Nsd (kN)]]/(HC[[#This Row],[nE]]*PI()*HC[[#This Row],[Ø (cm)]]^2/4*SIN(HC[[#This Row],[α]])^2),"N.S.")</f>
        <v>N.S.</v>
      </c>
      <c r="AP238" s="4" t="str">
        <f ca="1">IFERROR(INDEX(grupoEstacas[],HC[[#This Row],[nE]],MATCH("coef. Blévot",grupoEstacas[#Headers],0)),"N.S.")</f>
        <v>N.S.</v>
      </c>
      <c r="AQ238" s="35" t="str">
        <f ca="1">IFERROR(HC[[#This Row],[coef. Blévot]]*0.9*INDEX(tipoEstaca[],MATCH($D$2,tipoEstaca[TIPO DE ESTACA],0),MATCH("fcd (kN/cm²)",tipoEstaca[#Headers],0)),"N.S.")</f>
        <v>N.S.</v>
      </c>
      <c r="AR238" s="1" t="str">
        <f ca="1">IF(AND(HC[[#This Row],[cd,b,pil (kN/cm²)]]&lt;=HC[[#This Row],[cd,b,lim (kN/cm²)]],HC[[#This Row],[cd,b,est (kN/cm²)]]&lt;=HC[[#This Row],[cd,b,lim (kN/cm²)]]),"OK","ERRO")</f>
        <v>OK</v>
      </c>
      <c r="AS238" s="4" t="str">
        <f ca="1">As_lado(HC[[#This Row],[nE]],HC[[#This Row],[Nsd (kN)]],HC[[#This Row],[d (cm)]],HC[[#This Row],[e (cm)]],HC[[#This Row],[ap,eq (cm)]])</f>
        <v>N.S.</v>
      </c>
      <c r="AT238" s="4" t="str">
        <f ca="1">IF(HC[[#This Row],[nE]]=1,HC[[#This Row],[As,lado (cm²)]],IF(HC[[#This Row],[nE]]=2,0.075*2*HC[a (cm)],"N.A."))</f>
        <v>N.A.</v>
      </c>
      <c r="AU238" s="4" t="str">
        <f ca="1">IFERROR(IF(HC[[#This Row],[nE]]=1,"N.A.",0.2*HC[[#This Row],[As,lado (cm²)]]),"N.S.")</f>
        <v>N.S.</v>
      </c>
      <c r="AV238" s="4" t="str">
        <f ca="1">As_malha(HC[[#This Row],[nE]],HC[[#This Row],[As,lado (cm²)]],HC[[#This Row],[Nsd (kN)]])</f>
        <v>N.S.</v>
      </c>
      <c r="AW238" s="4" t="str">
        <f ca="1">As_susp_tot(HC[[#This Row],[nE]],HC[[#This Row],[Nsd (kN)]])</f>
        <v>N.S.</v>
      </c>
      <c r="AX238" s="4" t="str">
        <f ca="1">Asp_face(HC[[#This Row],[nE]],HC[[#This Row],[As,lado (cm²)]])</f>
        <v>N.S.</v>
      </c>
      <c r="AY238" s="5" t="str">
        <f ca="1">acoBloco(HC[[#This Row],[nE]],HC[[#This Row],[e (cm)]],HC[[#This Row],[a (cm)]],HC[[#This Row],[h (cm)]],HC[[#This Row],[As,lado (cm²)]],HC[[#This Row],[Asp e Asw (cm²/m)]],HC[[#This Row],[As,sup (cm²)]],HC[[#This Row],[As,malha (cm²)]],HC[[#This Row],[As,susp,tot (cm²)]],HC[[#This Row],[Asp,face (cm²)]])</f>
        <v>N.S.</v>
      </c>
      <c r="AZ238" s="4" t="str">
        <f ca="1">concretoBloco(HC[[#This Row],[nE]],HC[[#This Row],[e (cm)]],HC[[#This Row],[a (cm)]],HC[[#This Row],[h (cm)]])</f>
        <v>N.S.</v>
      </c>
      <c r="BA238" s="5">
        <f ca="1">SUM(HC[[#This Row],[Aço Est (kg)]],HC[[#This Row],[Aço Bloco (kg)]])</f>
        <v>63.133445966540478</v>
      </c>
      <c r="BB238" s="4">
        <f>INDEX(composicoes[],MATCH(95580,composicoes[CÓDIGO],0),MATCH("CUSTO TOTAL",composicoes[#Headers],0))</f>
        <v>10.46</v>
      </c>
      <c r="BC238" s="4">
        <f ca="1">SUM(HC[[#This Row],[Conc Est (m³)]],HC[[#This Row],[Conc Bloco (m³)]])</f>
        <v>22.619467105846514</v>
      </c>
      <c r="BD238" s="4">
        <f>INDEX(composicoes[],MATCH(94966,composicoes[CÓDIGO],0),MATCH("CUSTO TOTAL",composicoes[#Headers],0))</f>
        <v>439.52</v>
      </c>
      <c r="BE238" s="38">
        <f ca="1">HC[[#This Row],[Aço (kg)]]*HC[[#This Row],[Aço (R$/kg)]]+HC[[#This Row],[Conc (m³)]]*HC[[#This Row],[Conc (R$/m³)]]</f>
        <v>10602.084027171673</v>
      </c>
      <c r="BF238" s="4" t="str">
        <f ca="1">IF(COUNTIF(HC[#This Row],"N.S.")&gt;0,"lim.","OK")</f>
        <v>lim.</v>
      </c>
      <c r="BG238" s="4" t="str">
        <f>IF(HC[[#This Row],[Prof. (m)]]&lt;4,"lim.","OK")</f>
        <v>OK</v>
      </c>
      <c r="BH238" s="4" t="str">
        <f>IF(HC[[#This Row],[Prof. (m)]]&gt;=8*HC[[#This Row],[Ø (cm)]]/100,"OK","lim.")</f>
        <v>OK</v>
      </c>
      <c r="BI238" s="4" t="str">
        <f ca="1">IF(HC[[#This Row],[Verif. Biela]]="OK","OK","lim.")</f>
        <v>OK</v>
      </c>
      <c r="BJ238" s="4" t="str">
        <f ca="1">IF(COUNTA(HC[[#This Row],[Nº Est.]:[Biela comp.]])=COUNTIF(HC[[#This Row],[Nº Est.]:[Biela comp.]],"OK"),"OK","lim.")</f>
        <v>lim.</v>
      </c>
      <c r="BK238" s="4" t="str">
        <f ca="1">IF(HC[[#This Row],[Controle]]="OK",HC[[#This Row],[nE]]&amp;" Ø"&amp;HC[[#This Row],[Ø (cm)]]&amp;"cm Prof. "&amp;HC[[#This Row],[Prof. (m)]]&amp;" m","")</f>
        <v/>
      </c>
      <c r="BL238" s="4" t="str">
        <f ca="1">IF(HC[[#This Row],[idDimensionamento]]="","",HC[[#This Row],[idPilar]]&amp;HC[[#This Row],[idDimensionamento]])</f>
        <v/>
      </c>
    </row>
    <row r="239" spans="2:64" x14ac:dyDescent="0.25">
      <c r="B239" s="12">
        <f>ROUNDUP((ROW(HC[[#This Row],[idDiâmetro]])-ROW(HC[[#Headers],[idDiâmetro]]))/(COUNT(SPT[Prof. (m)])*COUNT(PILARES[Pilar])),0)</f>
        <v>9</v>
      </c>
      <c r="C239" s="12">
        <f>IF(HC[[#This Row],[idDiâmetro]]&lt;&gt;B238,1,IF(HC[[#This Row],[Prof. (m)]]=0,C238+1,C238))</f>
        <v>1</v>
      </c>
      <c r="D239" s="1">
        <f>IFERROR(IF(D238=MAX(SPT[Prof. (m)]),0,D238+1),0)</f>
        <v>10</v>
      </c>
      <c r="E239" s="1">
        <f>INDEX(SPT[],MATCH(HC[[#This Row],[Prof. (m)]],SPT[Prof. (m)],0),2)</f>
        <v>32</v>
      </c>
      <c r="F239" s="1" t="str">
        <f>INDEX(SPT[],MATCH(HC[[#This Row],[Prof. (m)]],SPT[Prof. (m)],0),3)</f>
        <v>Areia siltosa</v>
      </c>
      <c r="G239" s="1">
        <f>INDEX(estacas[],HC[[#This Row],[idDiâmetro]],MATCH($B$2,estacas[#Headers],0))</f>
        <v>80</v>
      </c>
      <c r="H239" s="1">
        <f>INDEX(estacas[],MATCH(HC[[#This Row],[Ø (cm)]],estacas[Ø HC (cm)],0),MATCH(HC[[#Headers],[Pe HC (kN)]],estacas[#Headers],0))</f>
        <v>3200</v>
      </c>
      <c r="I239" s="4">
        <f>INDEX(K_alpha_C[],MATCH(HC[[#This Row],[Solo]],K_alpha_C[Solo],0),2)</f>
        <v>0.8</v>
      </c>
      <c r="J239" s="5">
        <f>INDEX(K_alpha_C[],MATCH(HC[[#This Row],[Solo]],K_alpha_C[Solo],0),3)</f>
        <v>2</v>
      </c>
      <c r="K239" s="4">
        <f>INDEX(F1_F2[],MATCH($D$2,F1_F2[Tipo de estaca],0),2)</f>
        <v>2</v>
      </c>
      <c r="L239" s="4">
        <f>INDEX(F1_F2[],MATCH($D$2,F1_F2[Tipo de estaca],0),3)</f>
        <v>4</v>
      </c>
      <c r="M239" s="4">
        <f>PI()*(HC[[#This Row],[Ø (cm)]]/100)^2/4</f>
        <v>0.50265482457436694</v>
      </c>
      <c r="N239" s="4">
        <f>PI()*HC[[#This Row],[Ø (cm)]]/100</f>
        <v>2.5132741228718345</v>
      </c>
      <c r="O239" s="4">
        <f>IF(HC[[#This Row],[Prof. (m)]]=0,0,HC[[#This Row],[α (%)]]/100*HC[[#This Row],[K (MPa)]]*1000*HC[[#This Row],[NSPT]])</f>
        <v>512</v>
      </c>
      <c r="P239" s="4">
        <f>IF(HC[[#This Row],[Prof. (m)]]=0,0,(HC[[#This Row],[K (MPa)]]*1000*HC[[#This Row],[NSPT]]/HC[[#This Row],[F1]]*HC[[#This Row],[Ap (m²)]]+HC[[#This Row],[U (m)]]/HC[[#This Row],[F2]]*SUMIFS(HC[(α∙K∙NL∙ΔL)],HC[Prof. (m)],"&lt;="&amp;HC[[#This Row],[Prof. (m)]],HC[idDiâmetro],HC[[#This Row],[idDiâmetro]],HC[idPilar],HC[[#This Row],[idPilar]]))/'DADOS CAP. CARGA'!$D$2)</f>
        <v>3822.658524961525</v>
      </c>
      <c r="Q239" s="12">
        <f>INDEX(C_alpha_beta[],MATCH(HC[[#This Row],[Solo]],C_alpha_beta[Solo],0),MATCH(HC[[#Headers],[C (kPa)]],C_alpha_beta[#Headers],0))</f>
        <v>400</v>
      </c>
      <c r="R239" s="4">
        <f>INDEX(C_alpha_beta[],MATCH(HC[[#This Row],[Solo]],C_alpha_beta[Solo],0),MATCH(HC[[#Headers],[α ESF]],C_alpha_beta[#Headers],0))</f>
        <v>0.5</v>
      </c>
      <c r="S239" s="4">
        <f>INDEX(C_alpha_beta[],MATCH(HC[[#This Row],[Solo]],C_alpha_beta[Solo],0),MATCH(HC[[#Headers],[β ESF]],C_alpha_beta[#Headers],0))</f>
        <v>0.5</v>
      </c>
      <c r="T239" s="4">
        <f>IF(HC[[#This Row],[Prof. (m)]]=0,0,10*(HC[[#This Row],[NSPT]]/3+1))</f>
        <v>116.66666666666666</v>
      </c>
      <c r="U239" s="4">
        <f>(HC[[#This Row],[α ESF]]*HC[[#This Row],[C (kPa)]]*HC[[#This Row],[NSPT]]*HC[[#This Row],[Ap (m²)]])/'DADOS CAP. CARGA'!$Q$2+(HC[[#This Row],[β ESF]]*SUMIFS(HC[10∙(NL/3+1)],HC[Prof. (m)],"&lt;="&amp;HC[[#This Row],[Prof. (m)]],HC[idDiâmetro],HC[[#This Row],[idDiâmetro]],HC[idPilar],HC[[#This Row],[idPilar]])*HC[[#This Row],[U (m)]])/'DADOS CAP. CARGA'!$S$2</f>
        <v>1139.3509357018984</v>
      </c>
      <c r="V239" s="4">
        <f>IF(SPT!$M$5=1,MIN(HC[[#This Row],[Pe HC (kN)]],HC[[#This Row],[R_AV (kN)]]),IF(SPT!$M$5=2,MIN(HC[[#This Row],[Pe HC (kN)]],HC[[#This Row],[R_DC (kN)]]),MIN(HC[[#This Row],[Pe HC (kN)]],HC[[#This Row],[R_AV (kN)]],HC[[#This Row],[R_DC (kN)]])))</f>
        <v>1139.3509357018984</v>
      </c>
      <c r="W239" s="4">
        <f>INDEX(PILARES[],HC[[#This Row],[idPilar]],MATCH("Carga (kN)",PILARES[#Headers],0))*1.4</f>
        <v>3500</v>
      </c>
      <c r="X239" s="12">
        <f>INDEX(PILARES[],HC[[#This Row],[idPilar]],MATCH(HC[[#Headers],[ap (cm)]],PILARES[#Headers],0))</f>
        <v>60</v>
      </c>
      <c r="Y239" s="12">
        <f>INDEX(PILARES[],HC[[#This Row],[idPilar]],MATCH(HC[[#Headers],[bp (cm)]],PILARES[#Headers],0))</f>
        <v>60</v>
      </c>
      <c r="Z239" s="4">
        <f>SQRT(HC[[#This Row],[ap (cm)]]*HC[[#This Row],[bp (cm)]])</f>
        <v>60</v>
      </c>
      <c r="AA239" s="12">
        <f>HC[[#This Row],[ap (cm)]]*HC[[#This Row],[bp (cm)]]</f>
        <v>3600</v>
      </c>
      <c r="AB239" s="12">
        <f ca="1">IF(HC[[#This Row],[Padm∙ε (kN)]]&gt;=HC[[#This Row],[Padm (kN)]],ROUNDUP(1.05*HC[[#This Row],[Nsd (kN)]]/HC[[#This Row],[Padm (kN)]],0),ROUNDUP(1.05*HC[[#This Row],[Nsd (kN)]]/HC[[#This Row],[Padm (kN)]],0)+1)</f>
        <v>4</v>
      </c>
      <c r="AC239" s="4">
        <f ca="1">IFERROR(IF(HC[[#This Row],[nE]]=1,HC[[#This Row],[Padm (kN)]],HC[[#This Row],[Padm (kN)]]*HC[[#This Row],[nE]]*INDEX(grupoEstacas[],HC[[#This Row],[nE]],MATCH("ε",grupoEstacas[#Headers],0))),"N.S.")</f>
        <v>3702.89054103117</v>
      </c>
      <c r="AD239" s="4">
        <f ca="1">1.05*HC[[#This Row],[Nsd (kN)]]/(HC[[#This Row],[nE]]*PI()*HC[[#This Row],[Ø (cm)]]^2/4)*10</f>
        <v>1.8277950495709856</v>
      </c>
      <c r="AE239" s="4">
        <f ca="1">IF(HC[[#This Row],[σ (MPa)]]&lt;INDEX(tipoEstaca[],MATCH($D$2,tipoEstaca[TIPO DE ESTACA],0),MATCH("σmáx (MPa)",tipoEstaca[#Headers],0)),0.4%*PI()*HC[[#This Row],[Ø (cm)]]^2/4,"N.S.")</f>
        <v>20.106192982974676</v>
      </c>
      <c r="AF239" s="1">
        <f>INDEX(tipoEstaca[],MATCH($D$2,tipoEstaca[TIPO DE ESTACA],0),MATCH(HC[[#Headers],[Comprimento (m)]],tipoEstaca[#Headers],0))</f>
        <v>4</v>
      </c>
      <c r="AG239" s="5">
        <f ca="1">HC[[#This Row],[As,mín (cm²)]]/100^2*HC[[#This Row],[Comprimento (m)]]*7850</f>
        <v>63.133445966540478</v>
      </c>
      <c r="AH239" s="4">
        <f ca="1">HC[[#This Row],[nE]]*HC[[#This Row],[Prof. (m)]]*HC[[#This Row],[Ap (m²)]]</f>
        <v>20.106192982974676</v>
      </c>
      <c r="AI239" s="1">
        <f ca="1">IF(HC[[#This Row],[nE]]=1,0,MAX(3*HC[[#This Row],[Ø (cm)]],60))</f>
        <v>240</v>
      </c>
      <c r="AJ239" s="1">
        <f ca="1">IF(HC[[#This Row],[nE]]=1,HC[[#This Row],[Ø (cm)]]+2*10,MAX(1.5*HC[[#This Row],[Ø (cm)]],HC[[#This Row],[Ø (cm)]]+15))</f>
        <v>120</v>
      </c>
      <c r="AK239" s="1">
        <f ca="1">alturaUtil(HC[[#This Row],[nE]],HC[[#This Row],[Ø (cm)]],HC[[#This Row],[e (cm)]],HC[[#This Row],[ap,eq (cm)]])</f>
        <v>105</v>
      </c>
      <c r="AL239" s="1">
        <f ca="1">IFERROR(HC[[#This Row],[d (cm)]]+arredondarParaCimaMultiplo5cm(MAX(5,SQRT(PI())/2*HC[[#This Row],[Ø (cm)]]/5)),"N.S.")</f>
        <v>120</v>
      </c>
      <c r="AM239" s="5">
        <f ca="1">alpha(HC[[#This Row],[nE]],HC[[#This Row],[d (cm)]],HC[[#This Row],[e (cm)]],HC[[#This Row],[ap,eq (cm)]])</f>
        <v>45</v>
      </c>
      <c r="AN239" s="35">
        <f ca="1">IFERROR(HC[[#This Row],[Nsd (kN)]]/(HC[[#This Row],[Ap (cm²)]]*SIN(HC[[#This Row],[α]])^2),"N.S.")</f>
        <v>1.3427801064714635</v>
      </c>
      <c r="AO239" s="35">
        <f ca="1">IFERROR(HC[[#This Row],[Nsd (kN)]]/(HC[[#This Row],[nE]]*PI()*HC[[#This Row],[Ø (cm)]]^2/4*SIN(HC[[#This Row],[α]])^2),"N.S.")</f>
        <v>0.24042385285919432</v>
      </c>
      <c r="AP239" s="4">
        <f ca="1">IFERROR(INDEX(grupoEstacas[],HC[[#This Row],[nE]],MATCH("coef. Blévot",grupoEstacas[#Headers],0)),"N.S.")</f>
        <v>2.1</v>
      </c>
      <c r="AQ239" s="35">
        <f ca="1">IFERROR(HC[[#This Row],[coef. Blévot]]*0.9*INDEX(tipoEstaca[],MATCH($D$2,tipoEstaca[TIPO DE ESTACA],0),MATCH("fcd (kN/cm²)",tipoEstaca[#Headers],0)),"N.S.")</f>
        <v>2.1</v>
      </c>
      <c r="AR239" s="1" t="str">
        <f ca="1">IF(AND(HC[[#This Row],[cd,b,pil (kN/cm²)]]&lt;=HC[[#This Row],[cd,b,lim (kN/cm²)]],HC[[#This Row],[cd,b,est (kN/cm²)]]&lt;=HC[[#This Row],[cd,b,lim (kN/cm²)]]),"OK","ERRO")</f>
        <v>OK</v>
      </c>
      <c r="AS239" s="4">
        <f ca="1">As_lado(HC[[#This Row],[nE]],HC[[#This Row],[Nsd (kN)]],HC[[#This Row],[d (cm)]],HC[[#This Row],[e (cm)]],HC[[#This Row],[ap,eq (cm)]])</f>
        <v>20.125</v>
      </c>
      <c r="AT239" s="4" t="str">
        <f ca="1">IF(HC[[#This Row],[nE]]=1,HC[[#This Row],[As,lado (cm²)]],IF(HC[[#This Row],[nE]]=2,0.075*2*HC[a (cm)],"N.A."))</f>
        <v>N.A.</v>
      </c>
      <c r="AU239" s="4">
        <f ca="1">IFERROR(IF(HC[[#This Row],[nE]]=1,"N.A.",0.2*HC[[#This Row],[As,lado (cm²)]]),"N.S.")</f>
        <v>4.0250000000000004</v>
      </c>
      <c r="AV239" s="4">
        <f ca="1">As_malha(HC[[#This Row],[nE]],HC[[#This Row],[As,lado (cm²)]],HC[[#This Row],[Nsd (kN)]])</f>
        <v>4.0250000000000004</v>
      </c>
      <c r="AW239" s="4">
        <f ca="1">As_susp_tot(HC[[#This Row],[nE]],HC[[#This Row],[Nsd (kN)]])</f>
        <v>13.416666666666666</v>
      </c>
      <c r="AX239" s="4">
        <f ca="1">Asp_face(HC[[#This Row],[nE]],HC[[#This Row],[As,lado (cm²)]])</f>
        <v>10.0625</v>
      </c>
      <c r="AY239" s="5">
        <f ca="1">acoBloco(HC[[#This Row],[nE]],HC[[#This Row],[e (cm)]],HC[[#This Row],[a (cm)]],HC[[#This Row],[h (cm)]],HC[[#This Row],[As,lado (cm²)]],HC[[#This Row],[Asp e Asw (cm²/m)]],HC[[#This Row],[As,sup (cm²)]],HC[[#This Row],[As,malha (cm²)]],HC[[#This Row],[As,susp,tot (cm²)]],HC[[#This Row],[Asp,face (cm²)]])</f>
        <v>558.62170000000003</v>
      </c>
      <c r="AZ239" s="4">
        <f ca="1">concretoBloco(HC[[#This Row],[nE]],HC[[#This Row],[e (cm)]],HC[[#This Row],[a (cm)]],HC[[#This Row],[h (cm)]])</f>
        <v>27.648</v>
      </c>
      <c r="BA239" s="5">
        <f ca="1">SUM(HC[[#This Row],[Aço Est (kg)]],HC[[#This Row],[Aço Bloco (kg)]])</f>
        <v>621.75514596654057</v>
      </c>
      <c r="BB239" s="4">
        <f>INDEX(composicoes[],MATCH(95580,composicoes[CÓDIGO],0),MATCH("CUSTO TOTAL",composicoes[#Headers],0))</f>
        <v>10.46</v>
      </c>
      <c r="BC239" s="4">
        <f ca="1">SUM(HC[[#This Row],[Conc Est (m³)]],HC[[#This Row],[Conc Bloco (m³)]])</f>
        <v>47.754192982974672</v>
      </c>
      <c r="BD239" s="4">
        <f>INDEX(composicoes[],MATCH(94966,composicoes[CÓDIGO],0),MATCH("CUSTO TOTAL",composicoes[#Headers],0))</f>
        <v>439.52</v>
      </c>
      <c r="BE239" s="38">
        <f ca="1">HC[[#This Row],[Aço (kg)]]*HC[[#This Row],[Aço (R$/kg)]]+HC[[#This Row],[Conc (m³)]]*HC[[#This Row],[Conc (R$/m³)]]</f>
        <v>27492.481726687041</v>
      </c>
      <c r="BF239" s="4" t="str">
        <f ca="1">IF(COUNTIF(HC[#This Row],"N.S.")&gt;0,"lim.","OK")</f>
        <v>OK</v>
      </c>
      <c r="BG239" s="4" t="str">
        <f>IF(HC[[#This Row],[Prof. (m)]]&lt;4,"lim.","OK")</f>
        <v>OK</v>
      </c>
      <c r="BH239" s="4" t="str">
        <f>IF(HC[[#This Row],[Prof. (m)]]&gt;=8*HC[[#This Row],[Ø (cm)]]/100,"OK","lim.")</f>
        <v>OK</v>
      </c>
      <c r="BI239" s="4" t="str">
        <f ca="1">IF(HC[[#This Row],[Verif. Biela]]="OK","OK","lim.")</f>
        <v>OK</v>
      </c>
      <c r="BJ239" s="4" t="str">
        <f ca="1">IF(COUNTA(HC[[#This Row],[Nº Est.]:[Biela comp.]])=COUNTIF(HC[[#This Row],[Nº Est.]:[Biela comp.]],"OK"),"OK","lim.")</f>
        <v>OK</v>
      </c>
      <c r="BK239" s="4" t="str">
        <f ca="1">IF(HC[[#This Row],[Controle]]="OK",HC[[#This Row],[nE]]&amp;" Ø"&amp;HC[[#This Row],[Ø (cm)]]&amp;"cm Prof. "&amp;HC[[#This Row],[Prof. (m)]]&amp;" m","")</f>
        <v>4 Ø80cm Prof. 10 m</v>
      </c>
      <c r="BL239" s="4" t="str">
        <f ca="1">IF(HC[[#This Row],[idDimensionamento]]="","",HC[[#This Row],[idPilar]]&amp;HC[[#This Row],[idDimensionamento]])</f>
        <v>14 Ø80cm Prof. 10 m</v>
      </c>
    </row>
    <row r="240" spans="2:64" x14ac:dyDescent="0.25">
      <c r="B240" s="12">
        <f>ROUNDUP((ROW(HC[[#This Row],[idDiâmetro]])-ROW(HC[[#Headers],[idDiâmetro]]))/(COUNT(SPT[Prof. (m)])*COUNT(PILARES[Pilar])),0)</f>
        <v>9</v>
      </c>
      <c r="C240" s="12">
        <f>IF(HC[[#This Row],[idDiâmetro]]&lt;&gt;B239,1,IF(HC[[#This Row],[Prof. (m)]]=0,C239+1,C239))</f>
        <v>1</v>
      </c>
      <c r="D240" s="1">
        <f>IFERROR(IF(D239=MAX(SPT[Prof. (m)]),0,D239+1),0)</f>
        <v>11</v>
      </c>
      <c r="E240" s="1">
        <f>INDEX(SPT[],MATCH(HC[[#This Row],[Prof. (m)]],SPT[Prof. (m)],0),2)</f>
        <v>41</v>
      </c>
      <c r="F240" s="1" t="str">
        <f>INDEX(SPT[],MATCH(HC[[#This Row],[Prof. (m)]],SPT[Prof. (m)],0),3)</f>
        <v>Areia siltosa</v>
      </c>
      <c r="G240" s="1">
        <f>INDEX(estacas[],HC[[#This Row],[idDiâmetro]],MATCH($B$2,estacas[#Headers],0))</f>
        <v>80</v>
      </c>
      <c r="H240" s="1">
        <f>INDEX(estacas[],MATCH(HC[[#This Row],[Ø (cm)]],estacas[Ø HC (cm)],0),MATCH(HC[[#Headers],[Pe HC (kN)]],estacas[#Headers],0))</f>
        <v>3200</v>
      </c>
      <c r="I240" s="4">
        <f>INDEX(K_alpha_C[],MATCH(HC[[#This Row],[Solo]],K_alpha_C[Solo],0),2)</f>
        <v>0.8</v>
      </c>
      <c r="J240" s="5">
        <f>INDEX(K_alpha_C[],MATCH(HC[[#This Row],[Solo]],K_alpha_C[Solo],0),3)</f>
        <v>2</v>
      </c>
      <c r="K240" s="4">
        <f>INDEX(F1_F2[],MATCH($D$2,F1_F2[Tipo de estaca],0),2)</f>
        <v>2</v>
      </c>
      <c r="L240" s="4">
        <f>INDEX(F1_F2[],MATCH($D$2,F1_F2[Tipo de estaca],0),3)</f>
        <v>4</v>
      </c>
      <c r="M240" s="4">
        <f>PI()*(HC[[#This Row],[Ø (cm)]]/100)^2/4</f>
        <v>0.50265482457436694</v>
      </c>
      <c r="N240" s="4">
        <f>PI()*HC[[#This Row],[Ø (cm)]]/100</f>
        <v>2.5132741228718345</v>
      </c>
      <c r="O240" s="4">
        <f>IF(HC[[#This Row],[Prof. (m)]]=0,0,HC[[#This Row],[α (%)]]/100*HC[[#This Row],[K (MPa)]]*1000*HC[[#This Row],[NSPT]])</f>
        <v>656</v>
      </c>
      <c r="P240" s="4">
        <f>IF(HC[[#This Row],[Prof. (m)]]=0,0,(HC[[#This Row],[K (MPa)]]*1000*HC[[#This Row],[NSPT]]/HC[[#This Row],[F1]]*HC[[#This Row],[Ap (m²)]]+HC[[#This Row],[U (m)]]/HC[[#This Row],[F2]]*SUMIFS(HC[(α∙K∙NL∙ΔL)],HC[Prof. (m)],"&lt;="&amp;HC[[#This Row],[Prof. (m)]],HC[idDiâmetro],HC[[#This Row],[idDiâmetro]],HC[idPilar],HC[[#This Row],[idPilar]]))/'DADOS CAP. CARGA'!$D$2)</f>
        <v>4933.525687270876</v>
      </c>
      <c r="Q240" s="12">
        <f>INDEX(C_alpha_beta[],MATCH(HC[[#This Row],[Solo]],C_alpha_beta[Solo],0),MATCH(HC[[#Headers],[C (kPa)]],C_alpha_beta[#Headers],0))</f>
        <v>400</v>
      </c>
      <c r="R240" s="4">
        <f>INDEX(C_alpha_beta[],MATCH(HC[[#This Row],[Solo]],C_alpha_beta[Solo],0),MATCH(HC[[#Headers],[α ESF]],C_alpha_beta[#Headers],0))</f>
        <v>0.5</v>
      </c>
      <c r="S240" s="4">
        <f>INDEX(C_alpha_beta[],MATCH(HC[[#This Row],[Solo]],C_alpha_beta[Solo],0),MATCH(HC[[#Headers],[β ESF]],C_alpha_beta[#Headers],0))</f>
        <v>0.5</v>
      </c>
      <c r="T240" s="4">
        <f>IF(HC[[#This Row],[Prof. (m)]]=0,0,10*(HC[[#This Row],[NSPT]]/3+1))</f>
        <v>146.66666666666666</v>
      </c>
      <c r="U240" s="4">
        <f>(HC[[#This Row],[α ESF]]*HC[[#This Row],[C (kPa)]]*HC[[#This Row],[NSPT]]*HC[[#This Row],[Ap (m²)]])/'DADOS CAP. CARGA'!$Q$2+(HC[[#This Row],[β ESF]]*SUMIFS(HC[10∙(NL/3+1)],HC[Prof. (m)],"&lt;="&amp;HC[[#This Row],[Prof. (m)]],HC[idDiâmetro],HC[[#This Row],[idDiâmetro]],HC[idPilar],HC[[#This Row],[idPilar]])*HC[[#This Row],[U (m)]])/'DADOS CAP. CARGA'!$S$2</f>
        <v>1457.6989912656641</v>
      </c>
      <c r="V240" s="4">
        <f>IF(SPT!$M$5=1,MIN(HC[[#This Row],[Pe HC (kN)]],HC[[#This Row],[R_AV (kN)]]),IF(SPT!$M$5=2,MIN(HC[[#This Row],[Pe HC (kN)]],HC[[#This Row],[R_DC (kN)]]),MIN(HC[[#This Row],[Pe HC (kN)]],HC[[#This Row],[R_AV (kN)]],HC[[#This Row],[R_DC (kN)]])))</f>
        <v>1457.6989912656641</v>
      </c>
      <c r="W240" s="4">
        <f>INDEX(PILARES[],HC[[#This Row],[idPilar]],MATCH("Carga (kN)",PILARES[#Headers],0))*1.4</f>
        <v>3500</v>
      </c>
      <c r="X240" s="12">
        <f>INDEX(PILARES[],HC[[#This Row],[idPilar]],MATCH(HC[[#Headers],[ap (cm)]],PILARES[#Headers],0))</f>
        <v>60</v>
      </c>
      <c r="Y240" s="12">
        <f>INDEX(PILARES[],HC[[#This Row],[idPilar]],MATCH(HC[[#Headers],[bp (cm)]],PILARES[#Headers],0))</f>
        <v>60</v>
      </c>
      <c r="Z240" s="4">
        <f>SQRT(HC[[#This Row],[ap (cm)]]*HC[[#This Row],[bp (cm)]])</f>
        <v>60</v>
      </c>
      <c r="AA240" s="12">
        <f>HC[[#This Row],[ap (cm)]]*HC[[#This Row],[bp (cm)]]</f>
        <v>3600</v>
      </c>
      <c r="AB240" s="12">
        <f ca="1">IF(HC[[#This Row],[Padm∙ε (kN)]]&gt;=HC[[#This Row],[Padm (kN)]],ROUNDUP(1.05*HC[[#This Row],[Nsd (kN)]]/HC[[#This Row],[Padm (kN)]],0),ROUNDUP(1.05*HC[[#This Row],[Nsd (kN)]]/HC[[#This Row],[Padm (kN)]],0)+1)</f>
        <v>3</v>
      </c>
      <c r="AC240" s="4">
        <f ca="1">IFERROR(IF(HC[[#This Row],[nE]]=1,HC[[#This Row],[Padm (kN)]],HC[[#This Row],[Padm (kN)]]*HC[[#This Row],[nE]]*INDEX(grupoEstacas[],HC[[#This Row],[nE]],MATCH("ε",grupoEstacas[#Headers],0))),"N.S.")</f>
        <v>3826.4598520723675</v>
      </c>
      <c r="AD240" s="4">
        <f ca="1">1.05*HC[[#This Row],[Nsd (kN)]]/(HC[[#This Row],[nE]]*PI()*HC[[#This Row],[Ø (cm)]]^2/4)*10</f>
        <v>2.4370600660946478</v>
      </c>
      <c r="AE240" s="4">
        <f ca="1">IF(HC[[#This Row],[σ (MPa)]]&lt;INDEX(tipoEstaca[],MATCH($D$2,tipoEstaca[TIPO DE ESTACA],0),MATCH("σmáx (MPa)",tipoEstaca[#Headers],0)),0.4%*PI()*HC[[#This Row],[Ø (cm)]]^2/4,"N.S.")</f>
        <v>20.106192982974676</v>
      </c>
      <c r="AF240" s="1">
        <f>INDEX(tipoEstaca[],MATCH($D$2,tipoEstaca[TIPO DE ESTACA],0),MATCH(HC[[#Headers],[Comprimento (m)]],tipoEstaca[#Headers],0))</f>
        <v>4</v>
      </c>
      <c r="AG240" s="5">
        <f ca="1">HC[[#This Row],[As,mín (cm²)]]/100^2*HC[[#This Row],[Comprimento (m)]]*7850</f>
        <v>63.133445966540478</v>
      </c>
      <c r="AH240" s="4">
        <f ca="1">HC[[#This Row],[nE]]*HC[[#This Row],[Prof. (m)]]*HC[[#This Row],[Ap (m²)]]</f>
        <v>16.58760921095411</v>
      </c>
      <c r="AI240" s="1">
        <f ca="1">IF(HC[[#This Row],[nE]]=1,0,MAX(3*HC[[#This Row],[Ø (cm)]],60))</f>
        <v>240</v>
      </c>
      <c r="AJ240" s="1">
        <f ca="1">IF(HC[[#This Row],[nE]]=1,HC[[#This Row],[Ø (cm)]]+2*10,MAX(1.5*HC[[#This Row],[Ø (cm)]],HC[[#This Row],[Ø (cm)]]+15))</f>
        <v>120</v>
      </c>
      <c r="AK240" s="1">
        <f ca="1">alturaUtil(HC[[#This Row],[nE]],HC[[#This Row],[Ø (cm)]],HC[[#This Row],[e (cm)]],HC[[#This Row],[ap,eq (cm)]])</f>
        <v>105</v>
      </c>
      <c r="AL240" s="1">
        <f ca="1">IFERROR(HC[[#This Row],[d (cm)]]+arredondarParaCimaMultiplo5cm(MAX(5,SQRT(PI())/2*HC[[#This Row],[Ø (cm)]]/5)),"N.S.")</f>
        <v>120</v>
      </c>
      <c r="AM240" s="5">
        <f ca="1">alpha(HC[[#This Row],[nE]],HC[[#This Row],[d (cm)]],HC[[#This Row],[e (cm)]],HC[[#This Row],[ap,eq (cm)]])</f>
        <v>45.830315486258016</v>
      </c>
      <c r="AN240" s="35">
        <f ca="1">IFERROR(HC[[#This Row],[Nsd (kN)]]/(HC[[#This Row],[Ap (cm²)]]*SIN(HC[[#This Row],[α]])^2),"N.S.")</f>
        <v>1.0509412534416214</v>
      </c>
      <c r="AO240" s="35">
        <f ca="1">IFERROR(HC[[#This Row],[Nsd (kN)]]/(HC[[#This Row],[nE]]*PI()*HC[[#This Row],[Ø (cm)]]^2/4*SIN(HC[[#This Row],[α]])^2),"N.S.")</f>
        <v>0.25089374307663964</v>
      </c>
      <c r="AP240" s="4">
        <f ca="1">IFERROR(INDEX(grupoEstacas[],HC[[#This Row],[nE]],MATCH("coef. Blévot",grupoEstacas[#Headers],0)),"N.S.")</f>
        <v>1.75</v>
      </c>
      <c r="AQ240" s="35">
        <f ca="1">IFERROR(HC[[#This Row],[coef. Blévot]]*0.9*INDEX(tipoEstaca[],MATCH($D$2,tipoEstaca[TIPO DE ESTACA],0),MATCH("fcd (kN/cm²)",tipoEstaca[#Headers],0)),"N.S.")</f>
        <v>1.75</v>
      </c>
      <c r="AR240" s="1" t="str">
        <f ca="1">IF(AND(HC[[#This Row],[cd,b,pil (kN/cm²)]]&lt;=HC[[#This Row],[cd,b,lim (kN/cm²)]],HC[[#This Row],[cd,b,est (kN/cm²)]]&lt;=HC[[#This Row],[cd,b,lim (kN/cm²)]]),"OK","ERRO")</f>
        <v>OK</v>
      </c>
      <c r="AS240" s="4">
        <f ca="1">As_lado(HC[[#This Row],[nE]],HC[[#This Row],[Nsd (kN)]],HC[[#This Row],[d (cm)]],HC[[#This Row],[e (cm)]],HC[[#This Row],[ap,eq (cm)]])</f>
        <v>17.788633206172161</v>
      </c>
      <c r="AT240" s="4" t="str">
        <f ca="1">IF(HC[[#This Row],[nE]]=1,HC[[#This Row],[As,lado (cm²)]],IF(HC[[#This Row],[nE]]=2,0.075*2*HC[a (cm)],"N.A."))</f>
        <v>N.A.</v>
      </c>
      <c r="AU240" s="4">
        <f ca="1">IFERROR(IF(HC[[#This Row],[nE]]=1,"N.A.",0.2*HC[[#This Row],[As,lado (cm²)]]),"N.S.")</f>
        <v>3.5577266412344324</v>
      </c>
      <c r="AV240" s="4">
        <f ca="1">As_malha(HC[[#This Row],[nE]],HC[[#This Row],[As,lado (cm²)]],HC[[#This Row],[Nsd (kN)]])</f>
        <v>5.9629629629629619</v>
      </c>
      <c r="AW240" s="4">
        <f ca="1">As_susp_tot(HC[[#This Row],[nE]],HC[[#This Row],[Nsd (kN)]])</f>
        <v>17.888888888888886</v>
      </c>
      <c r="AX240" s="4">
        <f ca="1">Asp_face(HC[[#This Row],[nE]],HC[[#This Row],[As,lado (cm²)]])</f>
        <v>6.6707374523145599</v>
      </c>
      <c r="AY240" s="5">
        <f ca="1">acoBloco(HC[[#This Row],[nE]],HC[[#This Row],[e (cm)]],HC[[#This Row],[a (cm)]],HC[[#This Row],[h (cm)]],HC[[#This Row],[As,lado (cm²)]],HC[[#This Row],[Asp e Asw (cm²/m)]],HC[[#This Row],[As,sup (cm²)]],HC[[#This Row],[As,malha (cm²)]],HC[[#This Row],[As,susp,tot (cm²)]],HC[[#This Row],[Asp,face (cm²)]])</f>
        <v>421.29394572294649</v>
      </c>
      <c r="AZ240" s="4">
        <f ca="1">concretoBloco(HC[[#This Row],[nE]],HC[[#This Row],[e (cm)]],HC[[#This Row],[a (cm)]],HC[[#This Row],[h (cm)]])</f>
        <v>19.346951386437059</v>
      </c>
      <c r="BA240" s="5">
        <f ca="1">SUM(HC[[#This Row],[Aço Est (kg)]],HC[[#This Row],[Aço Bloco (kg)]])</f>
        <v>484.42739168948697</v>
      </c>
      <c r="BB240" s="4">
        <f>INDEX(composicoes[],MATCH(95580,composicoes[CÓDIGO],0),MATCH("CUSTO TOTAL",composicoes[#Headers],0))</f>
        <v>10.46</v>
      </c>
      <c r="BC240" s="4">
        <f ca="1">SUM(HC[[#This Row],[Conc Est (m³)]],HC[[#This Row],[Conc Bloco (m³)]])</f>
        <v>35.934560597391169</v>
      </c>
      <c r="BD240" s="4">
        <f>INDEX(composicoes[],MATCH(94966,composicoes[CÓDIGO],0),MATCH("CUSTO TOTAL",composicoes[#Headers],0))</f>
        <v>439.52</v>
      </c>
      <c r="BE240" s="38">
        <f ca="1">HC[[#This Row],[Aço (kg)]]*HC[[#This Row],[Aço (R$/kg)]]+HC[[#This Row],[Conc (m³)]]*HC[[#This Row],[Conc (R$/m³)]]</f>
        <v>20861.0685908374</v>
      </c>
      <c r="BF240" s="4" t="str">
        <f ca="1">IF(COUNTIF(HC[#This Row],"N.S.")&gt;0,"lim.","OK")</f>
        <v>OK</v>
      </c>
      <c r="BG240" s="4" t="str">
        <f>IF(HC[[#This Row],[Prof. (m)]]&lt;4,"lim.","OK")</f>
        <v>OK</v>
      </c>
      <c r="BH240" s="4" t="str">
        <f>IF(HC[[#This Row],[Prof. (m)]]&gt;=8*HC[[#This Row],[Ø (cm)]]/100,"OK","lim.")</f>
        <v>OK</v>
      </c>
      <c r="BI240" s="4" t="str">
        <f ca="1">IF(HC[[#This Row],[Verif. Biela]]="OK","OK","lim.")</f>
        <v>OK</v>
      </c>
      <c r="BJ240" s="4" t="str">
        <f ca="1">IF(COUNTA(HC[[#This Row],[Nº Est.]:[Biela comp.]])=COUNTIF(HC[[#This Row],[Nº Est.]:[Biela comp.]],"OK"),"OK","lim.")</f>
        <v>OK</v>
      </c>
      <c r="BK240" s="4" t="str">
        <f ca="1">IF(HC[[#This Row],[Controle]]="OK",HC[[#This Row],[nE]]&amp;" Ø"&amp;HC[[#This Row],[Ø (cm)]]&amp;"cm Prof. "&amp;HC[[#This Row],[Prof. (m)]]&amp;" m","")</f>
        <v>3 Ø80cm Prof. 11 m</v>
      </c>
      <c r="BL240" s="4" t="str">
        <f ca="1">IF(HC[[#This Row],[idDimensionamento]]="","",HC[[#This Row],[idPilar]]&amp;HC[[#This Row],[idDimensionamento]])</f>
        <v>13 Ø80cm Prof. 11 m</v>
      </c>
    </row>
    <row r="241" spans="2:64" x14ac:dyDescent="0.25">
      <c r="B241" s="12">
        <f>ROUNDUP((ROW(HC[[#This Row],[idDiâmetro]])-ROW(HC[[#Headers],[idDiâmetro]]))/(COUNT(SPT[Prof. (m)])*COUNT(PILARES[Pilar])),0)</f>
        <v>9</v>
      </c>
      <c r="C241" s="12">
        <f>IF(HC[[#This Row],[idDiâmetro]]&lt;&gt;B240,1,IF(HC[[#This Row],[Prof. (m)]]=0,C240+1,C240))</f>
        <v>1</v>
      </c>
      <c r="D241" s="1">
        <f>IFERROR(IF(D240=MAX(SPT[Prof. (m)]),0,D240+1),0)</f>
        <v>12</v>
      </c>
      <c r="E241" s="1">
        <f>INDEX(SPT[],MATCH(HC[[#This Row],[Prof. (m)]],SPT[Prof. (m)],0),2)</f>
        <v>52</v>
      </c>
      <c r="F241" s="1" t="str">
        <f>INDEX(SPT[],MATCH(HC[[#This Row],[Prof. (m)]],SPT[Prof. (m)],0),3)</f>
        <v>Areia siltosa</v>
      </c>
      <c r="G241" s="1">
        <f>INDEX(estacas[],HC[[#This Row],[idDiâmetro]],MATCH($B$2,estacas[#Headers],0))</f>
        <v>80</v>
      </c>
      <c r="H241" s="1">
        <f>INDEX(estacas[],MATCH(HC[[#This Row],[Ø (cm)]],estacas[Ø HC (cm)],0),MATCH(HC[[#Headers],[Pe HC (kN)]],estacas[#Headers],0))</f>
        <v>3200</v>
      </c>
      <c r="I241" s="4">
        <f>INDEX(K_alpha_C[],MATCH(HC[[#This Row],[Solo]],K_alpha_C[Solo],0),2)</f>
        <v>0.8</v>
      </c>
      <c r="J241" s="5">
        <f>INDEX(K_alpha_C[],MATCH(HC[[#This Row],[Solo]],K_alpha_C[Solo],0),3)</f>
        <v>2</v>
      </c>
      <c r="K241" s="4">
        <f>INDEX(F1_F2[],MATCH($D$2,F1_F2[Tipo de estaca],0),2)</f>
        <v>2</v>
      </c>
      <c r="L241" s="4">
        <f>INDEX(F1_F2[],MATCH($D$2,F1_F2[Tipo de estaca],0),3)</f>
        <v>4</v>
      </c>
      <c r="M241" s="4">
        <f>PI()*(HC[[#This Row],[Ø (cm)]]/100)^2/4</f>
        <v>0.50265482457436694</v>
      </c>
      <c r="N241" s="4">
        <f>PI()*HC[[#This Row],[Ø (cm)]]/100</f>
        <v>2.5132741228718345</v>
      </c>
      <c r="O241" s="4">
        <f>IF(HC[[#This Row],[Prof. (m)]]=0,0,HC[[#This Row],[α (%)]]/100*HC[[#This Row],[K (MPa)]]*1000*HC[[#This Row],[NSPT]])</f>
        <v>832</v>
      </c>
      <c r="P241" s="4">
        <f>IF(HC[[#This Row],[Prof. (m)]]=0,0,(HC[[#This Row],[K (MPa)]]*1000*HC[[#This Row],[NSPT]]/HC[[#This Row],[F1]]*HC[[#This Row],[Ap (m²)]]+HC[[#This Row],[U (m)]]/HC[[#This Row],[F2]]*SUMIFS(HC[(α∙K∙NL∙ΔL)],HC[Prof. (m)],"&lt;="&amp;HC[[#This Row],[Prof. (m)]],HC[idDiâmetro],HC[[#This Row],[idDiâmetro]],HC[idPilar],HC[[#This Row],[idPilar]]))/'DADOS CAP. CARGA'!$D$2)</f>
        <v>6300.7468101131535</v>
      </c>
      <c r="Q241" s="12">
        <f>INDEX(C_alpha_beta[],MATCH(HC[[#This Row],[Solo]],C_alpha_beta[Solo],0),MATCH(HC[[#Headers],[C (kPa)]],C_alpha_beta[#Headers],0))</f>
        <v>400</v>
      </c>
      <c r="R241" s="4">
        <f>INDEX(C_alpha_beta[],MATCH(HC[[#This Row],[Solo]],C_alpha_beta[Solo],0),MATCH(HC[[#Headers],[α ESF]],C_alpha_beta[#Headers],0))</f>
        <v>0.5</v>
      </c>
      <c r="S241" s="4">
        <f>INDEX(C_alpha_beta[],MATCH(HC[[#This Row],[Solo]],C_alpha_beta[Solo],0),MATCH(HC[[#Headers],[β ESF]],C_alpha_beta[#Headers],0))</f>
        <v>0.5</v>
      </c>
      <c r="T241" s="4">
        <f>IF(HC[[#This Row],[Prof. (m)]]=0,0,10*(HC[[#This Row],[NSPT]]/3+1))</f>
        <v>183.33333333333331</v>
      </c>
      <c r="U241" s="4">
        <f>(HC[[#This Row],[α ESF]]*HC[[#This Row],[C (kPa)]]*HC[[#This Row],[NSPT]]*HC[[#This Row],[Ap (m²)]])/'DADOS CAP. CARGA'!$Q$2+(HC[[#This Row],[β ESF]]*SUMIFS(HC[10∙(NL/3+1)],HC[Prof. (m)],"&lt;="&amp;HC[[#This Row],[Prof. (m)]],HC[idDiâmetro],HC[[#This Row],[idDiâmetro]],HC[idPilar],HC[[#This Row],[idPilar]])*HC[[#This Row],[U (m)]])/'DADOS CAP. CARGA'!$S$2</f>
        <v>1849.3508754131917</v>
      </c>
      <c r="V241" s="4">
        <f>IF(SPT!$M$5=1,MIN(HC[[#This Row],[Pe HC (kN)]],HC[[#This Row],[R_AV (kN)]]),IF(SPT!$M$5=2,MIN(HC[[#This Row],[Pe HC (kN)]],HC[[#This Row],[R_DC (kN)]]),MIN(HC[[#This Row],[Pe HC (kN)]],HC[[#This Row],[R_AV (kN)]],HC[[#This Row],[R_DC (kN)]])))</f>
        <v>1849.3508754131917</v>
      </c>
      <c r="W241" s="4">
        <f>INDEX(PILARES[],HC[[#This Row],[idPilar]],MATCH("Carga (kN)",PILARES[#Headers],0))*1.4</f>
        <v>3500</v>
      </c>
      <c r="X241" s="12">
        <f>INDEX(PILARES[],HC[[#This Row],[idPilar]],MATCH(HC[[#Headers],[ap (cm)]],PILARES[#Headers],0))</f>
        <v>60</v>
      </c>
      <c r="Y241" s="12">
        <f>INDEX(PILARES[],HC[[#This Row],[idPilar]],MATCH(HC[[#Headers],[bp (cm)]],PILARES[#Headers],0))</f>
        <v>60</v>
      </c>
      <c r="Z241" s="4">
        <f>SQRT(HC[[#This Row],[ap (cm)]]*HC[[#This Row],[bp (cm)]])</f>
        <v>60</v>
      </c>
      <c r="AA241" s="12">
        <f>HC[[#This Row],[ap (cm)]]*HC[[#This Row],[bp (cm)]]</f>
        <v>3600</v>
      </c>
      <c r="AB241" s="12">
        <f ca="1">IF(HC[[#This Row],[Padm∙ε (kN)]]&gt;=HC[[#This Row],[Padm (kN)]],ROUNDUP(1.05*HC[[#This Row],[Nsd (kN)]]/HC[[#This Row],[Padm (kN)]],0),ROUNDUP(1.05*HC[[#This Row],[Nsd (kN)]]/HC[[#This Row],[Padm (kN)]],0)+1)</f>
        <v>2</v>
      </c>
      <c r="AC241" s="4">
        <f ca="1">IFERROR(IF(HC[[#This Row],[nE]]=1,HC[[#This Row],[Padm (kN)]],HC[[#This Row],[Padm (kN)]]*HC[[#This Row],[nE]]*INDEX(grupoEstacas[],HC[[#This Row],[nE]],MATCH("ε",grupoEstacas[#Headers],0))),"N.S.")</f>
        <v>3467.5328913997346</v>
      </c>
      <c r="AD241" s="4">
        <f ca="1">1.05*HC[[#This Row],[Nsd (kN)]]/(HC[[#This Row],[nE]]*PI()*HC[[#This Row],[Ø (cm)]]^2/4)*10</f>
        <v>3.6555900991419712</v>
      </c>
      <c r="AE241" s="4">
        <f ca="1">IF(HC[[#This Row],[σ (MPa)]]&lt;INDEX(tipoEstaca[],MATCH($D$2,tipoEstaca[TIPO DE ESTACA],0),MATCH("σmáx (MPa)",tipoEstaca[#Headers],0)),0.4%*PI()*HC[[#This Row],[Ø (cm)]]^2/4,"N.S.")</f>
        <v>20.106192982974676</v>
      </c>
      <c r="AF241" s="1">
        <f>INDEX(tipoEstaca[],MATCH($D$2,tipoEstaca[TIPO DE ESTACA],0),MATCH(HC[[#Headers],[Comprimento (m)]],tipoEstaca[#Headers],0))</f>
        <v>4</v>
      </c>
      <c r="AG241" s="5">
        <f ca="1">HC[[#This Row],[As,mín (cm²)]]/100^2*HC[[#This Row],[Comprimento (m)]]*7850</f>
        <v>63.133445966540478</v>
      </c>
      <c r="AH241" s="4">
        <f ca="1">HC[[#This Row],[nE]]*HC[[#This Row],[Prof. (m)]]*HC[[#This Row],[Ap (m²)]]</f>
        <v>12.063715789784807</v>
      </c>
      <c r="AI241" s="1">
        <f ca="1">IF(HC[[#This Row],[nE]]=1,0,MAX(3*HC[[#This Row],[Ø (cm)]],60))</f>
        <v>240</v>
      </c>
      <c r="AJ241" s="1">
        <f ca="1">IF(HC[[#This Row],[nE]]=1,HC[[#This Row],[Ø (cm)]]+2*10,MAX(1.5*HC[[#This Row],[Ø (cm)]],HC[[#This Row],[Ø (cm)]]+15))</f>
        <v>120</v>
      </c>
      <c r="AK241" s="1">
        <f ca="1">alturaUtil(HC[[#This Row],[nE]],HC[[#This Row],[Ø (cm)]],HC[[#This Row],[e (cm)]],HC[[#This Row],[ap,eq (cm)]])</f>
        <v>105</v>
      </c>
      <c r="AL241" s="1">
        <f ca="1">IFERROR(HC[[#This Row],[d (cm)]]+arredondarParaCimaMultiplo5cm(MAX(5,SQRT(PI())/2*HC[[#This Row],[Ø (cm)]]/5)),"N.S.")</f>
        <v>120</v>
      </c>
      <c r="AM241" s="5">
        <f ca="1">alpha(HC[[#This Row],[nE]],HC[[#This Row],[d (cm)]],HC[[#This Row],[e (cm)]],HC[[#This Row],[ap,eq (cm)]])</f>
        <v>45</v>
      </c>
      <c r="AN241" s="35">
        <f ca="1">IFERROR(HC[[#This Row],[Nsd (kN)]]/(HC[[#This Row],[Ap (cm²)]]*SIN(HC[[#This Row],[α]])^2),"N.S.")</f>
        <v>1.3427801064714635</v>
      </c>
      <c r="AO241" s="35">
        <f ca="1">IFERROR(HC[[#This Row],[Nsd (kN)]]/(HC[[#This Row],[nE]]*PI()*HC[[#This Row],[Ø (cm)]]^2/4*SIN(HC[[#This Row],[α]])^2),"N.S.")</f>
        <v>0.48084770571838864</v>
      </c>
      <c r="AP241" s="4">
        <f ca="1">IFERROR(INDEX(grupoEstacas[],HC[[#This Row],[nE]],MATCH("coef. Blévot",grupoEstacas[#Headers],0)),"N.S.")</f>
        <v>1.4</v>
      </c>
      <c r="AQ241" s="35">
        <f ca="1">IFERROR(HC[[#This Row],[coef. Blévot]]*0.9*INDEX(tipoEstaca[],MATCH($D$2,tipoEstaca[TIPO DE ESTACA],0),MATCH("fcd (kN/cm²)",tipoEstaca[#Headers],0)),"N.S.")</f>
        <v>1.4000000000000001</v>
      </c>
      <c r="AR241" s="1" t="str">
        <f ca="1">IF(AND(HC[[#This Row],[cd,b,pil (kN/cm²)]]&lt;=HC[[#This Row],[cd,b,lim (kN/cm²)]],HC[[#This Row],[cd,b,est (kN/cm²)]]&lt;=HC[[#This Row],[cd,b,lim (kN/cm²)]]),"OK","ERRO")</f>
        <v>OK</v>
      </c>
      <c r="AS241" s="4">
        <f ca="1">As_lado(HC[[#This Row],[nE]],HC[[#This Row],[Nsd (kN)]],HC[[#This Row],[d (cm)]],HC[[#This Row],[e (cm)]],HC[[#This Row],[ap,eq (cm)]])</f>
        <v>46.287499999999987</v>
      </c>
      <c r="AT241" s="4">
        <f ca="1">IF(HC[[#This Row],[nE]]=1,HC[[#This Row],[As,lado (cm²)]],IF(HC[[#This Row],[nE]]=2,0.075*2*HC[a (cm)],"N.A."))</f>
        <v>18</v>
      </c>
      <c r="AU241" s="4">
        <f ca="1">IFERROR(IF(HC[[#This Row],[nE]]=1,"N.A.",0.2*HC[[#This Row],[As,lado (cm²)]]),"N.S.")</f>
        <v>9.2574999999999985</v>
      </c>
      <c r="AV241" s="4" t="str">
        <f ca="1">As_malha(HC[[#This Row],[nE]],HC[[#This Row],[As,lado (cm²)]],HC[[#This Row],[Nsd (kN)]])</f>
        <v>N.A.</v>
      </c>
      <c r="AW241" s="4" t="str">
        <f ca="1">As_susp_tot(HC[[#This Row],[nE]],HC[[#This Row],[Nsd (kN)]])</f>
        <v>N.A.</v>
      </c>
      <c r="AX241" s="4" t="str">
        <f ca="1">Asp_face(HC[[#This Row],[nE]],HC[[#This Row],[As,lado (cm²)]])</f>
        <v>N.A.</v>
      </c>
      <c r="AY241" s="5">
        <f ca="1">acoBloco(HC[[#This Row],[nE]],HC[[#This Row],[e (cm)]],HC[[#This Row],[a (cm)]],HC[[#This Row],[h (cm)]],HC[[#This Row],[As,lado (cm²)]],HC[[#This Row],[Asp e Asw (cm²/m)]],HC[[#This Row],[As,sup (cm²)]],HC[[#This Row],[As,malha (cm²)]],HC[[#This Row],[As,susp,tot (cm²)]],HC[[#This Row],[Asp,face (cm²)]])</f>
        <v>941.79275999999993</v>
      </c>
      <c r="AZ241" s="4">
        <f ca="1">concretoBloco(HC[[#This Row],[nE]],HC[[#This Row],[e (cm)]],HC[[#This Row],[a (cm)]],HC[[#This Row],[h (cm)]])</f>
        <v>13.824</v>
      </c>
      <c r="BA241" s="5">
        <f ca="1">SUM(HC[[#This Row],[Aço Est (kg)]],HC[[#This Row],[Aço Bloco (kg)]])</f>
        <v>1004.9262059665405</v>
      </c>
      <c r="BB241" s="4">
        <f>INDEX(composicoes[],MATCH(95580,composicoes[CÓDIGO],0),MATCH("CUSTO TOTAL",composicoes[#Headers],0))</f>
        <v>10.46</v>
      </c>
      <c r="BC241" s="4">
        <f ca="1">SUM(HC[[#This Row],[Conc Est (m³)]],HC[[#This Row],[Conc Bloco (m³)]])</f>
        <v>25.887715789784806</v>
      </c>
      <c r="BD241" s="4">
        <f>INDEX(composicoes[],MATCH(94966,composicoes[CÓDIGO],0),MATCH("CUSTO TOTAL",composicoes[#Headers],0))</f>
        <v>439.52</v>
      </c>
      <c r="BE241" s="38">
        <f ca="1">HC[[#This Row],[Aço (kg)]]*HC[[#This Row],[Aço (R$/kg)]]+HC[[#This Row],[Conc (m³)]]*HC[[#This Row],[Conc (R$/m³)]]</f>
        <v>21889.69695833623</v>
      </c>
      <c r="BF241" s="4" t="str">
        <f ca="1">IF(COUNTIF(HC[#This Row],"N.S.")&gt;0,"lim.","OK")</f>
        <v>OK</v>
      </c>
      <c r="BG241" s="4" t="str">
        <f>IF(HC[[#This Row],[Prof. (m)]]&lt;4,"lim.","OK")</f>
        <v>OK</v>
      </c>
      <c r="BH241" s="4" t="str">
        <f>IF(HC[[#This Row],[Prof. (m)]]&gt;=8*HC[[#This Row],[Ø (cm)]]/100,"OK","lim.")</f>
        <v>OK</v>
      </c>
      <c r="BI241" s="4" t="str">
        <f ca="1">IF(HC[[#This Row],[Verif. Biela]]="OK","OK","lim.")</f>
        <v>OK</v>
      </c>
      <c r="BJ241" s="4" t="str">
        <f ca="1">IF(COUNTA(HC[[#This Row],[Nº Est.]:[Biela comp.]])=COUNTIF(HC[[#This Row],[Nº Est.]:[Biela comp.]],"OK"),"OK","lim.")</f>
        <v>OK</v>
      </c>
      <c r="BK241" s="4" t="str">
        <f ca="1">IF(HC[[#This Row],[Controle]]="OK",HC[[#This Row],[nE]]&amp;" Ø"&amp;HC[[#This Row],[Ø (cm)]]&amp;"cm Prof. "&amp;HC[[#This Row],[Prof. (m)]]&amp;" m","")</f>
        <v>2 Ø80cm Prof. 12 m</v>
      </c>
      <c r="BL241" s="4" t="str">
        <f ca="1">IF(HC[[#This Row],[idDimensionamento]]="","",HC[[#This Row],[idPilar]]&amp;HC[[#This Row],[idDimensionamento]])</f>
        <v>12 Ø80cm Prof. 12 m</v>
      </c>
    </row>
    <row r="242" spans="2:64" x14ac:dyDescent="0.25">
      <c r="B242" s="12">
        <f>ROUNDUP((ROW(HC[[#This Row],[idDiâmetro]])-ROW(HC[[#Headers],[idDiâmetro]]))/(COUNT(SPT[Prof. (m)])*COUNT(PILARES[Pilar])),0)</f>
        <v>9</v>
      </c>
      <c r="C242" s="12">
        <f>IF(HC[[#This Row],[idDiâmetro]]&lt;&gt;B241,1,IF(HC[[#This Row],[Prof. (m)]]=0,C241+1,C241))</f>
        <v>1</v>
      </c>
      <c r="D242" s="1">
        <f>IFERROR(IF(D241=MAX(SPT[Prof. (m)]),0,D241+1),0)</f>
        <v>13</v>
      </c>
      <c r="E242" s="1">
        <f>INDEX(SPT[],MATCH(HC[[#This Row],[Prof. (m)]],SPT[Prof. (m)],0),2)</f>
        <v>68</v>
      </c>
      <c r="F242" s="1" t="str">
        <f>INDEX(SPT[],MATCH(HC[[#This Row],[Prof. (m)]],SPT[Prof. (m)],0),3)</f>
        <v>Areia siltosa</v>
      </c>
      <c r="G242" s="1">
        <f>INDEX(estacas[],HC[[#This Row],[idDiâmetro]],MATCH($B$2,estacas[#Headers],0))</f>
        <v>80</v>
      </c>
      <c r="H242" s="1">
        <f>INDEX(estacas[],MATCH(HC[[#This Row],[Ø (cm)]],estacas[Ø HC (cm)],0),MATCH(HC[[#Headers],[Pe HC (kN)]],estacas[#Headers],0))</f>
        <v>3200</v>
      </c>
      <c r="I242" s="4">
        <f>INDEX(K_alpha_C[],MATCH(HC[[#This Row],[Solo]],K_alpha_C[Solo],0),2)</f>
        <v>0.8</v>
      </c>
      <c r="J242" s="5">
        <f>INDEX(K_alpha_C[],MATCH(HC[[#This Row],[Solo]],K_alpha_C[Solo],0),3)</f>
        <v>2</v>
      </c>
      <c r="K242" s="4">
        <f>INDEX(F1_F2[],MATCH($D$2,F1_F2[Tipo de estaca],0),2)</f>
        <v>2</v>
      </c>
      <c r="L242" s="4">
        <f>INDEX(F1_F2[],MATCH($D$2,F1_F2[Tipo de estaca],0),3)</f>
        <v>4</v>
      </c>
      <c r="M242" s="4">
        <f>PI()*(HC[[#This Row],[Ø (cm)]]/100)^2/4</f>
        <v>0.50265482457436694</v>
      </c>
      <c r="N242" s="4">
        <f>PI()*HC[[#This Row],[Ø (cm)]]/100</f>
        <v>2.5132741228718345</v>
      </c>
      <c r="O242" s="4">
        <f>IF(HC[[#This Row],[Prof. (m)]]=0,0,HC[[#This Row],[α (%)]]/100*HC[[#This Row],[K (MPa)]]*1000*HC[[#This Row],[NSPT]])</f>
        <v>1088</v>
      </c>
      <c r="P242" s="4">
        <f>IF(HC[[#This Row],[Prof. (m)]]=0,0,(HC[[#This Row],[K (MPa)]]*1000*HC[[#This Row],[NSPT]]/HC[[#This Row],[F1]]*HC[[#This Row],[Ap (m²)]]+HC[[#This Row],[U (m)]]/HC[[#This Row],[F2]]*SUMIFS(HC[(α∙K∙NL∙ΔL)],HC[Prof. (m)],"&lt;="&amp;HC[[#This Row],[Prof. (m)]],HC[idDiâmetro],HC[[#This Row],[idDiâmetro]],HC[idPilar],HC[[#This Row],[idPilar]]))/'DADOS CAP. CARGA'!$D$2)</f>
        <v>8251.0475294616972</v>
      </c>
      <c r="Q242" s="12">
        <f>INDEX(C_alpha_beta[],MATCH(HC[[#This Row],[Solo]],C_alpha_beta[Solo],0),MATCH(HC[[#Headers],[C (kPa)]],C_alpha_beta[#Headers],0))</f>
        <v>400</v>
      </c>
      <c r="R242" s="4">
        <f>INDEX(C_alpha_beta[],MATCH(HC[[#This Row],[Solo]],C_alpha_beta[Solo],0),MATCH(HC[[#Headers],[α ESF]],C_alpha_beta[#Headers],0))</f>
        <v>0.5</v>
      </c>
      <c r="S242" s="4">
        <f>INDEX(C_alpha_beta[],MATCH(HC[[#This Row],[Solo]],C_alpha_beta[Solo],0),MATCH(HC[[#Headers],[β ESF]],C_alpha_beta[#Headers],0))</f>
        <v>0.5</v>
      </c>
      <c r="T242" s="4">
        <f>IF(HC[[#This Row],[Prof. (m)]]=0,0,10*(HC[[#This Row],[NSPT]]/3+1))</f>
        <v>236.66666666666669</v>
      </c>
      <c r="U242" s="4">
        <f>(HC[[#This Row],[α ESF]]*HC[[#This Row],[C (kPa)]]*HC[[#This Row],[NSPT]]*HC[[#This Row],[Ap (m²)]])/'DADOS CAP. CARGA'!$Q$2+(HC[[#This Row],[β ESF]]*SUMIFS(HC[10∙(NL/3+1)],HC[Prof. (m)],"&lt;="&amp;HC[[#This Row],[Prof. (m)]],HC[idDiâmetro],HC[[#This Row],[idDiâmetro]],HC[idPilar],HC[[#This Row],[idPilar]])*HC[[#This Row],[U (m)]])/'DADOS CAP. CARGA'!$S$2</f>
        <v>2400.176787342602</v>
      </c>
      <c r="V242" s="4">
        <f>IF(SPT!$M$5=1,MIN(HC[[#This Row],[Pe HC (kN)]],HC[[#This Row],[R_AV (kN)]]),IF(SPT!$M$5=2,MIN(HC[[#This Row],[Pe HC (kN)]],HC[[#This Row],[R_DC (kN)]]),MIN(HC[[#This Row],[Pe HC (kN)]],HC[[#This Row],[R_AV (kN)]],HC[[#This Row],[R_DC (kN)]])))</f>
        <v>2400.176787342602</v>
      </c>
      <c r="W242" s="4">
        <f>INDEX(PILARES[],HC[[#This Row],[idPilar]],MATCH("Carga (kN)",PILARES[#Headers],0))*1.4</f>
        <v>3500</v>
      </c>
      <c r="X242" s="12">
        <f>INDEX(PILARES[],HC[[#This Row],[idPilar]],MATCH(HC[[#Headers],[ap (cm)]],PILARES[#Headers],0))</f>
        <v>60</v>
      </c>
      <c r="Y242" s="12">
        <f>INDEX(PILARES[],HC[[#This Row],[idPilar]],MATCH(HC[[#Headers],[bp (cm)]],PILARES[#Headers],0))</f>
        <v>60</v>
      </c>
      <c r="Z242" s="4">
        <f>SQRT(HC[[#This Row],[ap (cm)]]*HC[[#This Row],[bp (cm)]])</f>
        <v>60</v>
      </c>
      <c r="AA242" s="12">
        <f>HC[[#This Row],[ap (cm)]]*HC[[#This Row],[bp (cm)]]</f>
        <v>3600</v>
      </c>
      <c r="AB242" s="12">
        <f ca="1">IF(HC[[#This Row],[Padm∙ε (kN)]]&gt;=HC[[#This Row],[Padm (kN)]],ROUNDUP(1.05*HC[[#This Row],[Nsd (kN)]]/HC[[#This Row],[Padm (kN)]],0),ROUNDUP(1.05*HC[[#This Row],[Nsd (kN)]]/HC[[#This Row],[Padm (kN)]],0)+1)</f>
        <v>2</v>
      </c>
      <c r="AC242" s="4">
        <f ca="1">IFERROR(IF(HC[[#This Row],[nE]]=1,HC[[#This Row],[Padm (kN)]],HC[[#This Row],[Padm (kN)]]*HC[[#This Row],[nE]]*INDEX(grupoEstacas[],HC[[#This Row],[nE]],MATCH("ε",grupoEstacas[#Headers],0))),"N.S.")</f>
        <v>4500.331476267379</v>
      </c>
      <c r="AD242" s="4">
        <f ca="1">1.05*HC[[#This Row],[Nsd (kN)]]/(HC[[#This Row],[nE]]*PI()*HC[[#This Row],[Ø (cm)]]^2/4)*10</f>
        <v>3.6555900991419712</v>
      </c>
      <c r="AE242" s="4">
        <f ca="1">IF(HC[[#This Row],[σ (MPa)]]&lt;INDEX(tipoEstaca[],MATCH($D$2,tipoEstaca[TIPO DE ESTACA],0),MATCH("σmáx (MPa)",tipoEstaca[#Headers],0)),0.4%*PI()*HC[[#This Row],[Ø (cm)]]^2/4,"N.S.")</f>
        <v>20.106192982974676</v>
      </c>
      <c r="AF242" s="1">
        <f>INDEX(tipoEstaca[],MATCH($D$2,tipoEstaca[TIPO DE ESTACA],0),MATCH(HC[[#Headers],[Comprimento (m)]],tipoEstaca[#Headers],0))</f>
        <v>4</v>
      </c>
      <c r="AG242" s="5">
        <f ca="1">HC[[#This Row],[As,mín (cm²)]]/100^2*HC[[#This Row],[Comprimento (m)]]*7850</f>
        <v>63.133445966540478</v>
      </c>
      <c r="AH242" s="4">
        <f ca="1">HC[[#This Row],[nE]]*HC[[#This Row],[Prof. (m)]]*HC[[#This Row],[Ap (m²)]]</f>
        <v>13.06902543893354</v>
      </c>
      <c r="AI242" s="1">
        <f ca="1">IF(HC[[#This Row],[nE]]=1,0,MAX(3*HC[[#This Row],[Ø (cm)]],60))</f>
        <v>240</v>
      </c>
      <c r="AJ242" s="1">
        <f ca="1">IF(HC[[#This Row],[nE]]=1,HC[[#This Row],[Ø (cm)]]+2*10,MAX(1.5*HC[[#This Row],[Ø (cm)]],HC[[#This Row],[Ø (cm)]]+15))</f>
        <v>120</v>
      </c>
      <c r="AK242" s="1">
        <f ca="1">alturaUtil(HC[[#This Row],[nE]],HC[[#This Row],[Ø (cm)]],HC[[#This Row],[e (cm)]],HC[[#This Row],[ap,eq (cm)]])</f>
        <v>105</v>
      </c>
      <c r="AL242" s="1">
        <f ca="1">IFERROR(HC[[#This Row],[d (cm)]]+arredondarParaCimaMultiplo5cm(MAX(5,SQRT(PI())/2*HC[[#This Row],[Ø (cm)]]/5)),"N.S.")</f>
        <v>120</v>
      </c>
      <c r="AM242" s="5">
        <f ca="1">alpha(HC[[#This Row],[nE]],HC[[#This Row],[d (cm)]],HC[[#This Row],[e (cm)]],HC[[#This Row],[ap,eq (cm)]])</f>
        <v>45</v>
      </c>
      <c r="AN242" s="35">
        <f ca="1">IFERROR(HC[[#This Row],[Nsd (kN)]]/(HC[[#This Row],[Ap (cm²)]]*SIN(HC[[#This Row],[α]])^2),"N.S.")</f>
        <v>1.3427801064714635</v>
      </c>
      <c r="AO242" s="35">
        <f ca="1">IFERROR(HC[[#This Row],[Nsd (kN)]]/(HC[[#This Row],[nE]]*PI()*HC[[#This Row],[Ø (cm)]]^2/4*SIN(HC[[#This Row],[α]])^2),"N.S.")</f>
        <v>0.48084770571838864</v>
      </c>
      <c r="AP242" s="4">
        <f ca="1">IFERROR(INDEX(grupoEstacas[],HC[[#This Row],[nE]],MATCH("coef. Blévot",grupoEstacas[#Headers],0)),"N.S.")</f>
        <v>1.4</v>
      </c>
      <c r="AQ242" s="35">
        <f ca="1">IFERROR(HC[[#This Row],[coef. Blévot]]*0.9*INDEX(tipoEstaca[],MATCH($D$2,tipoEstaca[TIPO DE ESTACA],0),MATCH("fcd (kN/cm²)",tipoEstaca[#Headers],0)),"N.S.")</f>
        <v>1.4000000000000001</v>
      </c>
      <c r="AR242" s="1" t="str">
        <f ca="1">IF(AND(HC[[#This Row],[cd,b,pil (kN/cm²)]]&lt;=HC[[#This Row],[cd,b,lim (kN/cm²)]],HC[[#This Row],[cd,b,est (kN/cm²)]]&lt;=HC[[#This Row],[cd,b,lim (kN/cm²)]]),"OK","ERRO")</f>
        <v>OK</v>
      </c>
      <c r="AS242" s="4">
        <f ca="1">As_lado(HC[[#This Row],[nE]],HC[[#This Row],[Nsd (kN)]],HC[[#This Row],[d (cm)]],HC[[#This Row],[e (cm)]],HC[[#This Row],[ap,eq (cm)]])</f>
        <v>46.287499999999987</v>
      </c>
      <c r="AT242" s="4">
        <f ca="1">IF(HC[[#This Row],[nE]]=1,HC[[#This Row],[As,lado (cm²)]],IF(HC[[#This Row],[nE]]=2,0.075*2*HC[a (cm)],"N.A."))</f>
        <v>18</v>
      </c>
      <c r="AU242" s="4">
        <f ca="1">IFERROR(IF(HC[[#This Row],[nE]]=1,"N.A.",0.2*HC[[#This Row],[As,lado (cm²)]]),"N.S.")</f>
        <v>9.2574999999999985</v>
      </c>
      <c r="AV242" s="4" t="str">
        <f ca="1">As_malha(HC[[#This Row],[nE]],HC[[#This Row],[As,lado (cm²)]],HC[[#This Row],[Nsd (kN)]])</f>
        <v>N.A.</v>
      </c>
      <c r="AW242" s="4" t="str">
        <f ca="1">As_susp_tot(HC[[#This Row],[nE]],HC[[#This Row],[Nsd (kN)]])</f>
        <v>N.A.</v>
      </c>
      <c r="AX242" s="4" t="str">
        <f ca="1">Asp_face(HC[[#This Row],[nE]],HC[[#This Row],[As,lado (cm²)]])</f>
        <v>N.A.</v>
      </c>
      <c r="AY242" s="5">
        <f ca="1">acoBloco(HC[[#This Row],[nE]],HC[[#This Row],[e (cm)]],HC[[#This Row],[a (cm)]],HC[[#This Row],[h (cm)]],HC[[#This Row],[As,lado (cm²)]],HC[[#This Row],[Asp e Asw (cm²/m)]],HC[[#This Row],[As,sup (cm²)]],HC[[#This Row],[As,malha (cm²)]],HC[[#This Row],[As,susp,tot (cm²)]],HC[[#This Row],[Asp,face (cm²)]])</f>
        <v>941.79275999999993</v>
      </c>
      <c r="AZ242" s="4">
        <f ca="1">concretoBloco(HC[[#This Row],[nE]],HC[[#This Row],[e (cm)]],HC[[#This Row],[a (cm)]],HC[[#This Row],[h (cm)]])</f>
        <v>13.824</v>
      </c>
      <c r="BA242" s="5">
        <f ca="1">SUM(HC[[#This Row],[Aço Est (kg)]],HC[[#This Row],[Aço Bloco (kg)]])</f>
        <v>1004.9262059665405</v>
      </c>
      <c r="BB242" s="4">
        <f>INDEX(composicoes[],MATCH(95580,composicoes[CÓDIGO],0),MATCH("CUSTO TOTAL",composicoes[#Headers],0))</f>
        <v>10.46</v>
      </c>
      <c r="BC242" s="4">
        <f ca="1">SUM(HC[[#This Row],[Conc Est (m³)]],HC[[#This Row],[Conc Bloco (m³)]])</f>
        <v>26.893025438933542</v>
      </c>
      <c r="BD242" s="4">
        <f>INDEX(composicoes[],MATCH(94966,composicoes[CÓDIGO],0),MATCH("CUSTO TOTAL",composicoes[#Headers],0))</f>
        <v>439.52</v>
      </c>
      <c r="BE242" s="38">
        <f ca="1">HC[[#This Row],[Aço (kg)]]*HC[[#This Row],[Aço (R$/kg)]]+HC[[#This Row],[Conc (m³)]]*HC[[#This Row],[Conc (R$/m³)]]</f>
        <v>22331.550655330084</v>
      </c>
      <c r="BF242" s="4" t="str">
        <f ca="1">IF(COUNTIF(HC[#This Row],"N.S.")&gt;0,"lim.","OK")</f>
        <v>OK</v>
      </c>
      <c r="BG242" s="4" t="str">
        <f>IF(HC[[#This Row],[Prof. (m)]]&lt;4,"lim.","OK")</f>
        <v>OK</v>
      </c>
      <c r="BH242" s="4" t="str">
        <f>IF(HC[[#This Row],[Prof. (m)]]&gt;=8*HC[[#This Row],[Ø (cm)]]/100,"OK","lim.")</f>
        <v>OK</v>
      </c>
      <c r="BI242" s="4" t="str">
        <f ca="1">IF(HC[[#This Row],[Verif. Biela]]="OK","OK","lim.")</f>
        <v>OK</v>
      </c>
      <c r="BJ242" s="4" t="str">
        <f ca="1">IF(COUNTA(HC[[#This Row],[Nº Est.]:[Biela comp.]])=COUNTIF(HC[[#This Row],[Nº Est.]:[Biela comp.]],"OK"),"OK","lim.")</f>
        <v>OK</v>
      </c>
      <c r="BK242" s="4" t="str">
        <f ca="1">IF(HC[[#This Row],[Controle]]="OK",HC[[#This Row],[nE]]&amp;" Ø"&amp;HC[[#This Row],[Ø (cm)]]&amp;"cm Prof. "&amp;HC[[#This Row],[Prof. (m)]]&amp;" m","")</f>
        <v>2 Ø80cm Prof. 13 m</v>
      </c>
      <c r="BL242" s="4" t="str">
        <f ca="1">IF(HC[[#This Row],[idDimensionamento]]="","",HC[[#This Row],[idPilar]]&amp;HC[[#This Row],[idDimensionamento]])</f>
        <v>12 Ø80cm Prof. 13 m</v>
      </c>
    </row>
    <row r="243" spans="2:64" x14ac:dyDescent="0.25">
      <c r="B243" s="12">
        <f>ROUNDUP((ROW(HC[[#This Row],[idDiâmetro]])-ROW(HC[[#Headers],[idDiâmetro]]))/(COUNT(SPT[Prof. (m)])*COUNT(PILARES[Pilar])),0)</f>
        <v>9</v>
      </c>
      <c r="C243" s="12">
        <f>IF(HC[[#This Row],[idDiâmetro]]&lt;&gt;B242,1,IF(HC[[#This Row],[Prof. (m)]]=0,C242+1,C242))</f>
        <v>2</v>
      </c>
      <c r="D243" s="1">
        <f>IFERROR(IF(D242=MAX(SPT[Prof. (m)]),0,D242+1),0)</f>
        <v>0</v>
      </c>
      <c r="E243" s="1">
        <f>INDEX(SPT[],MATCH(HC[[#This Row],[Prof. (m)]],SPT[Prof. (m)],0),2)</f>
        <v>0</v>
      </c>
      <c r="F243" s="1" t="str">
        <f>INDEX(SPT[],MATCH(HC[[#This Row],[Prof. (m)]],SPT[Prof. (m)],0),3)</f>
        <v>Areia siltosa</v>
      </c>
      <c r="G243" s="1">
        <f>INDEX(estacas[],HC[[#This Row],[idDiâmetro]],MATCH($B$2,estacas[#Headers],0))</f>
        <v>80</v>
      </c>
      <c r="H243" s="1">
        <f>INDEX(estacas[],MATCH(HC[[#This Row],[Ø (cm)]],estacas[Ø HC (cm)],0),MATCH(HC[[#Headers],[Pe HC (kN)]],estacas[#Headers],0))</f>
        <v>3200</v>
      </c>
      <c r="I243" s="4">
        <f>INDEX(K_alpha_C[],MATCH(HC[[#This Row],[Solo]],K_alpha_C[Solo],0),2)</f>
        <v>0.8</v>
      </c>
      <c r="J243" s="5">
        <f>INDEX(K_alpha_C[],MATCH(HC[[#This Row],[Solo]],K_alpha_C[Solo],0),3)</f>
        <v>2</v>
      </c>
      <c r="K243" s="4">
        <f>INDEX(F1_F2[],MATCH($D$2,F1_F2[Tipo de estaca],0),2)</f>
        <v>2</v>
      </c>
      <c r="L243" s="4">
        <f>INDEX(F1_F2[],MATCH($D$2,F1_F2[Tipo de estaca],0),3)</f>
        <v>4</v>
      </c>
      <c r="M243" s="4">
        <f>PI()*(HC[[#This Row],[Ø (cm)]]/100)^2/4</f>
        <v>0.50265482457436694</v>
      </c>
      <c r="N243" s="4">
        <f>PI()*HC[[#This Row],[Ø (cm)]]/100</f>
        <v>2.5132741228718345</v>
      </c>
      <c r="O243" s="4">
        <f>IF(HC[[#This Row],[Prof. (m)]]=0,0,HC[[#This Row],[α (%)]]/100*HC[[#This Row],[K (MPa)]]*1000*HC[[#This Row],[NSPT]])</f>
        <v>0</v>
      </c>
      <c r="P243" s="4">
        <f>IF(HC[[#This Row],[Prof. (m)]]=0,0,(HC[[#This Row],[K (MPa)]]*1000*HC[[#This Row],[NSPT]]/HC[[#This Row],[F1]]*HC[[#This Row],[Ap (m²)]]+HC[[#This Row],[U (m)]]/HC[[#This Row],[F2]]*SUMIFS(HC[(α∙K∙NL∙ΔL)],HC[Prof. (m)],"&lt;="&amp;HC[[#This Row],[Prof. (m)]],HC[idDiâmetro],HC[[#This Row],[idDiâmetro]],HC[idPilar],HC[[#This Row],[idPilar]]))/'DADOS CAP. CARGA'!$D$2)</f>
        <v>0</v>
      </c>
      <c r="Q243" s="12">
        <f>INDEX(C_alpha_beta[],MATCH(HC[[#This Row],[Solo]],C_alpha_beta[Solo],0),MATCH(HC[[#Headers],[C (kPa)]],C_alpha_beta[#Headers],0))</f>
        <v>400</v>
      </c>
      <c r="R243" s="4">
        <f>INDEX(C_alpha_beta[],MATCH(HC[[#This Row],[Solo]],C_alpha_beta[Solo],0),MATCH(HC[[#Headers],[α ESF]],C_alpha_beta[#Headers],0))</f>
        <v>0.5</v>
      </c>
      <c r="S243" s="4">
        <f>INDEX(C_alpha_beta[],MATCH(HC[[#This Row],[Solo]],C_alpha_beta[Solo],0),MATCH(HC[[#Headers],[β ESF]],C_alpha_beta[#Headers],0))</f>
        <v>0.5</v>
      </c>
      <c r="T243" s="4">
        <f>IF(HC[[#This Row],[Prof. (m)]]=0,0,10*(HC[[#This Row],[NSPT]]/3+1))</f>
        <v>0</v>
      </c>
      <c r="U243" s="4">
        <f>(HC[[#This Row],[α ESF]]*HC[[#This Row],[C (kPa)]]*HC[[#This Row],[NSPT]]*HC[[#This Row],[Ap (m²)]])/'DADOS CAP. CARGA'!$Q$2+(HC[[#This Row],[β ESF]]*SUMIFS(HC[10∙(NL/3+1)],HC[Prof. (m)],"&lt;="&amp;HC[[#This Row],[Prof. (m)]],HC[idDiâmetro],HC[[#This Row],[idDiâmetro]],HC[idPilar],HC[[#This Row],[idPilar]])*HC[[#This Row],[U (m)]])/'DADOS CAP. CARGA'!$S$2</f>
        <v>0</v>
      </c>
      <c r="V243" s="4">
        <f>IF(SPT!$M$5=1,MIN(HC[[#This Row],[Pe HC (kN)]],HC[[#This Row],[R_AV (kN)]]),IF(SPT!$M$5=2,MIN(HC[[#This Row],[Pe HC (kN)]],HC[[#This Row],[R_DC (kN)]]),MIN(HC[[#This Row],[Pe HC (kN)]],HC[[#This Row],[R_AV (kN)]],HC[[#This Row],[R_DC (kN)]])))</f>
        <v>0</v>
      </c>
      <c r="W243" s="4">
        <f>INDEX(PILARES[],HC[[#This Row],[idPilar]],MATCH("Carga (kN)",PILARES[#Headers],0))*1.4</f>
        <v>1750</v>
      </c>
      <c r="X243" s="12">
        <f>INDEX(PILARES[],HC[[#This Row],[idPilar]],MATCH(HC[[#Headers],[ap (cm)]],PILARES[#Headers],0))</f>
        <v>50</v>
      </c>
      <c r="Y243" s="12">
        <f>INDEX(PILARES[],HC[[#This Row],[idPilar]],MATCH(HC[[#Headers],[bp (cm)]],PILARES[#Headers],0))</f>
        <v>40</v>
      </c>
      <c r="Z243" s="4">
        <f>SQRT(HC[[#This Row],[ap (cm)]]*HC[[#This Row],[bp (cm)]])</f>
        <v>44.721359549995796</v>
      </c>
      <c r="AA243" s="12">
        <f>HC[[#This Row],[ap (cm)]]*HC[[#This Row],[bp (cm)]]</f>
        <v>2000</v>
      </c>
      <c r="AB243" s="12" t="e">
        <f ca="1">IF(HC[[#This Row],[Padm∙ε (kN)]]&gt;=HC[[#This Row],[Padm (kN)]],ROUNDUP(1.05*HC[[#This Row],[Nsd (kN)]]/HC[[#This Row],[Padm (kN)]],0),ROUNDUP(1.05*HC[[#This Row],[Nsd (kN)]]/HC[[#This Row],[Padm (kN)]],0)+1)</f>
        <v>#DIV/0!</v>
      </c>
      <c r="AC243" s="4" t="str">
        <f ca="1">IFERROR(IF(HC[[#This Row],[nE]]=1,HC[[#This Row],[Padm (kN)]],HC[[#This Row],[Padm (kN)]]*HC[[#This Row],[nE]]*INDEX(grupoEstacas[],HC[[#This Row],[nE]],MATCH("ε",grupoEstacas[#Headers],0))),"N.S.")</f>
        <v>N.S.</v>
      </c>
      <c r="AD243" s="4" t="e">
        <f ca="1">1.05*HC[[#This Row],[Nsd (kN)]]/(HC[[#This Row],[nE]]*PI()*HC[[#This Row],[Ø (cm)]]^2/4)*10</f>
        <v>#DIV/0!</v>
      </c>
      <c r="AE243" s="4" t="e">
        <f ca="1">IF(HC[[#This Row],[σ (MPa)]]&lt;INDEX(tipoEstaca[],MATCH($D$2,tipoEstaca[TIPO DE ESTACA],0),MATCH("σmáx (MPa)",tipoEstaca[#Headers],0)),0.4%*PI()*HC[[#This Row],[Ø (cm)]]^2/4,"N.S.")</f>
        <v>#DIV/0!</v>
      </c>
      <c r="AF243" s="1">
        <f>INDEX(tipoEstaca[],MATCH($D$2,tipoEstaca[TIPO DE ESTACA],0),MATCH(HC[[#Headers],[Comprimento (m)]],tipoEstaca[#Headers],0))</f>
        <v>4</v>
      </c>
      <c r="AG243" s="5" t="e">
        <f ca="1">HC[[#This Row],[As,mín (cm²)]]/100^2*HC[[#This Row],[Comprimento (m)]]*7850</f>
        <v>#DIV/0!</v>
      </c>
      <c r="AH243" s="4" t="e">
        <f ca="1">HC[[#This Row],[nE]]*HC[[#This Row],[Prof. (m)]]*HC[[#This Row],[Ap (m²)]]</f>
        <v>#DIV/0!</v>
      </c>
      <c r="AI243" s="1" t="e">
        <f ca="1">IF(HC[[#This Row],[nE]]=1,0,MAX(3*HC[[#This Row],[Ø (cm)]],60))</f>
        <v>#DIV/0!</v>
      </c>
      <c r="AJ243" s="1" t="e">
        <f ca="1">IF(HC[[#This Row],[nE]]=1,HC[[#This Row],[Ø (cm)]]+2*10,MAX(1.5*HC[[#This Row],[Ø (cm)]],HC[[#This Row],[Ø (cm)]]+15))</f>
        <v>#DIV/0!</v>
      </c>
      <c r="AK243" s="1" t="e">
        <f ca="1">alturaUtil(HC[[#This Row],[nE]],HC[[#This Row],[Ø (cm)]],HC[[#This Row],[e (cm)]],HC[[#This Row],[ap,eq (cm)]])</f>
        <v>#VALUE!</v>
      </c>
      <c r="AL243" s="1" t="str">
        <f ca="1">IFERROR(HC[[#This Row],[d (cm)]]+arredondarParaCimaMultiplo5cm(MAX(5,SQRT(PI())/2*HC[[#This Row],[Ø (cm)]]/5)),"N.S.")</f>
        <v>N.S.</v>
      </c>
      <c r="AM243" s="5" t="e">
        <f ca="1">alpha(HC[[#This Row],[nE]],HC[[#This Row],[d (cm)]],HC[[#This Row],[e (cm)]],HC[[#This Row],[ap,eq (cm)]])</f>
        <v>#VALUE!</v>
      </c>
      <c r="AN243" s="35" t="str">
        <f ca="1">IFERROR(HC[[#This Row],[Nsd (kN)]]/(HC[[#This Row],[Ap (cm²)]]*SIN(HC[[#This Row],[α]])^2),"N.S.")</f>
        <v>N.S.</v>
      </c>
      <c r="AO243" s="35" t="str">
        <f ca="1">IFERROR(HC[[#This Row],[Nsd (kN)]]/(HC[[#This Row],[nE]]*PI()*HC[[#This Row],[Ø (cm)]]^2/4*SIN(HC[[#This Row],[α]])^2),"N.S.")</f>
        <v>N.S.</v>
      </c>
      <c r="AP243" s="4" t="str">
        <f ca="1">IFERROR(INDEX(grupoEstacas[],HC[[#This Row],[nE]],MATCH("coef. Blévot",grupoEstacas[#Headers],0)),"N.S.")</f>
        <v>N.S.</v>
      </c>
      <c r="AQ243" s="35" t="str">
        <f ca="1">IFERROR(HC[[#This Row],[coef. Blévot]]*0.9*INDEX(tipoEstaca[],MATCH($D$2,tipoEstaca[TIPO DE ESTACA],0),MATCH("fcd (kN/cm²)",tipoEstaca[#Headers],0)),"N.S.")</f>
        <v>N.S.</v>
      </c>
      <c r="AR243" s="1" t="str">
        <f ca="1">IF(AND(HC[[#This Row],[cd,b,pil (kN/cm²)]]&lt;=HC[[#This Row],[cd,b,lim (kN/cm²)]],HC[[#This Row],[cd,b,est (kN/cm²)]]&lt;=HC[[#This Row],[cd,b,lim (kN/cm²)]]),"OK","ERRO")</f>
        <v>OK</v>
      </c>
      <c r="AS243" s="4" t="e">
        <f ca="1">As_lado(HC[[#This Row],[nE]],HC[[#This Row],[Nsd (kN)]],HC[[#This Row],[d (cm)]],HC[[#This Row],[e (cm)]],HC[[#This Row],[ap,eq (cm)]])</f>
        <v>#VALUE!</v>
      </c>
      <c r="AT243" s="4" t="e">
        <f ca="1">IF(HC[[#This Row],[nE]]=1,HC[[#This Row],[As,lado (cm²)]],IF(HC[[#This Row],[nE]]=2,0.075*2*HC[a (cm)],"N.A."))</f>
        <v>#DIV/0!</v>
      </c>
      <c r="AU243" s="4" t="str">
        <f ca="1">IFERROR(IF(HC[[#This Row],[nE]]=1,"N.A.",0.2*HC[[#This Row],[As,lado (cm²)]]),"N.S.")</f>
        <v>N.S.</v>
      </c>
      <c r="AV243" s="4" t="e">
        <f ca="1">As_malha(HC[[#This Row],[nE]],HC[[#This Row],[As,lado (cm²)]],HC[[#This Row],[Nsd (kN)]])</f>
        <v>#VALUE!</v>
      </c>
      <c r="AW243" s="4" t="e">
        <f ca="1">As_susp_tot(HC[[#This Row],[nE]],HC[[#This Row],[Nsd (kN)]])</f>
        <v>#VALUE!</v>
      </c>
      <c r="AX243" s="4" t="e">
        <f ca="1">Asp_face(HC[[#This Row],[nE]],HC[[#This Row],[As,lado (cm²)]])</f>
        <v>#VALUE!</v>
      </c>
      <c r="AY243" s="5" t="e">
        <f ca="1">acoBloco(HC[[#This Row],[nE]],HC[[#This Row],[e (cm)]],HC[[#This Row],[a (cm)]],HC[[#This Row],[h (cm)]],HC[[#This Row],[As,lado (cm²)]],HC[[#This Row],[Asp e Asw (cm²/m)]],HC[[#This Row],[As,sup (cm²)]],HC[[#This Row],[As,malha (cm²)]],HC[[#This Row],[As,susp,tot (cm²)]],HC[[#This Row],[Asp,face (cm²)]])</f>
        <v>#VALUE!</v>
      </c>
      <c r="AZ243" s="4" t="e">
        <f ca="1">concretoBloco(HC[[#This Row],[nE]],HC[[#This Row],[e (cm)]],HC[[#This Row],[a (cm)]],HC[[#This Row],[h (cm)]])</f>
        <v>#VALUE!</v>
      </c>
      <c r="BA243" s="5" t="e">
        <f ca="1">SUM(HC[[#This Row],[Aço Est (kg)]],HC[[#This Row],[Aço Bloco (kg)]])</f>
        <v>#DIV/0!</v>
      </c>
      <c r="BB243" s="4">
        <f>INDEX(composicoes[],MATCH(95580,composicoes[CÓDIGO],0),MATCH("CUSTO TOTAL",composicoes[#Headers],0))</f>
        <v>10.46</v>
      </c>
      <c r="BC243" s="4" t="e">
        <f ca="1">SUM(HC[[#This Row],[Conc Est (m³)]],HC[[#This Row],[Conc Bloco (m³)]])</f>
        <v>#DIV/0!</v>
      </c>
      <c r="BD243" s="4">
        <f>INDEX(composicoes[],MATCH(94966,composicoes[CÓDIGO],0),MATCH("CUSTO TOTAL",composicoes[#Headers],0))</f>
        <v>439.52</v>
      </c>
      <c r="BE243" s="38" t="e">
        <f ca="1">HC[[#This Row],[Aço (kg)]]*HC[[#This Row],[Aço (R$/kg)]]+HC[[#This Row],[Conc (m³)]]*HC[[#This Row],[Conc (R$/m³)]]</f>
        <v>#DIV/0!</v>
      </c>
      <c r="BF243" s="4" t="str">
        <f ca="1">IF(COUNTIF(HC[#This Row],"N.S.")&gt;0,"lim.","OK")</f>
        <v>lim.</v>
      </c>
      <c r="BG243" s="4" t="str">
        <f>IF(HC[[#This Row],[Prof. (m)]]&lt;4,"lim.","OK")</f>
        <v>lim.</v>
      </c>
      <c r="BH243" s="4" t="str">
        <f>IF(HC[[#This Row],[Prof. (m)]]&gt;=8*HC[[#This Row],[Ø (cm)]]/100,"OK","lim.")</f>
        <v>lim.</v>
      </c>
      <c r="BI243" s="4" t="str">
        <f ca="1">IF(HC[[#This Row],[Verif. Biela]]="OK","OK","lim.")</f>
        <v>OK</v>
      </c>
      <c r="BJ243" s="4" t="str">
        <f ca="1">IF(COUNTA(HC[[#This Row],[Nº Est.]:[Biela comp.]])=COUNTIF(HC[[#This Row],[Nº Est.]:[Biela comp.]],"OK"),"OK","lim.")</f>
        <v>lim.</v>
      </c>
      <c r="BK243" s="4" t="str">
        <f ca="1">IF(HC[[#This Row],[Controle]]="OK",HC[[#This Row],[nE]]&amp;" Ø"&amp;HC[[#This Row],[Ø (cm)]]&amp;"cm Prof. "&amp;HC[[#This Row],[Prof. (m)]]&amp;" m","")</f>
        <v/>
      </c>
      <c r="BL243" s="4" t="str">
        <f ca="1">IF(HC[[#This Row],[idDimensionamento]]="","",HC[[#This Row],[idPilar]]&amp;HC[[#This Row],[idDimensionamento]])</f>
        <v/>
      </c>
    </row>
    <row r="244" spans="2:64" x14ac:dyDescent="0.25">
      <c r="B244" s="12">
        <f>ROUNDUP((ROW(HC[[#This Row],[idDiâmetro]])-ROW(HC[[#Headers],[idDiâmetro]]))/(COUNT(SPT[Prof. (m)])*COUNT(PILARES[Pilar])),0)</f>
        <v>9</v>
      </c>
      <c r="C244" s="12">
        <f>IF(HC[[#This Row],[idDiâmetro]]&lt;&gt;B243,1,IF(HC[[#This Row],[Prof. (m)]]=0,C243+1,C243))</f>
        <v>2</v>
      </c>
      <c r="D244" s="1">
        <f>IFERROR(IF(D243=MAX(SPT[Prof. (m)]),0,D243+1),0)</f>
        <v>1</v>
      </c>
      <c r="E244" s="1">
        <f>INDEX(SPT[],MATCH(HC[[#This Row],[Prof. (m)]],SPT[Prof. (m)],0),2)</f>
        <v>2</v>
      </c>
      <c r="F244" s="1" t="str">
        <f>INDEX(SPT[],MATCH(HC[[#This Row],[Prof. (m)]],SPT[Prof. (m)],0),3)</f>
        <v>Areia siltosa</v>
      </c>
      <c r="G244" s="1">
        <f>INDEX(estacas[],HC[[#This Row],[idDiâmetro]],MATCH($B$2,estacas[#Headers],0))</f>
        <v>80</v>
      </c>
      <c r="H244" s="1">
        <f>INDEX(estacas[],MATCH(HC[[#This Row],[Ø (cm)]],estacas[Ø HC (cm)],0),MATCH(HC[[#Headers],[Pe HC (kN)]],estacas[#Headers],0))</f>
        <v>3200</v>
      </c>
      <c r="I244" s="4">
        <f>INDEX(K_alpha_C[],MATCH(HC[[#This Row],[Solo]],K_alpha_C[Solo],0),2)</f>
        <v>0.8</v>
      </c>
      <c r="J244" s="5">
        <f>INDEX(K_alpha_C[],MATCH(HC[[#This Row],[Solo]],K_alpha_C[Solo],0),3)</f>
        <v>2</v>
      </c>
      <c r="K244" s="4">
        <f>INDEX(F1_F2[],MATCH($D$2,F1_F2[Tipo de estaca],0),2)</f>
        <v>2</v>
      </c>
      <c r="L244" s="4">
        <f>INDEX(F1_F2[],MATCH($D$2,F1_F2[Tipo de estaca],0),3)</f>
        <v>4</v>
      </c>
      <c r="M244" s="4">
        <f>PI()*(HC[[#This Row],[Ø (cm)]]/100)^2/4</f>
        <v>0.50265482457436694</v>
      </c>
      <c r="N244" s="4">
        <f>PI()*HC[[#This Row],[Ø (cm)]]/100</f>
        <v>2.5132741228718345</v>
      </c>
      <c r="O244" s="4">
        <f>IF(HC[[#This Row],[Prof. (m)]]=0,0,HC[[#This Row],[α (%)]]/100*HC[[#This Row],[K (MPa)]]*1000*HC[[#This Row],[NSPT]])</f>
        <v>32</v>
      </c>
      <c r="P244" s="4">
        <f>IF(HC[[#This Row],[Prof. (m)]]=0,0,(HC[[#This Row],[K (MPa)]]*1000*HC[[#This Row],[NSPT]]/HC[[#This Row],[F1]]*HC[[#This Row],[Ap (m²)]]+HC[[#This Row],[U (m)]]/HC[[#This Row],[F2]]*SUMIFS(HC[(α∙K∙NL∙ΔL)],HC[Prof. (m)],"&lt;="&amp;HC[[#This Row],[Prof. (m)]],HC[idDiâmetro],HC[[#This Row],[idDiâmetro]],HC[idPilar],HC[[#This Row],[idPilar]]))/'DADOS CAP. CARGA'!$D$2)</f>
        <v>211.11502632123413</v>
      </c>
      <c r="Q244" s="12">
        <f>INDEX(C_alpha_beta[],MATCH(HC[[#This Row],[Solo]],C_alpha_beta[Solo],0),MATCH(HC[[#Headers],[C (kPa)]],C_alpha_beta[#Headers],0))</f>
        <v>400</v>
      </c>
      <c r="R244" s="4">
        <f>INDEX(C_alpha_beta[],MATCH(HC[[#This Row],[Solo]],C_alpha_beta[Solo],0),MATCH(HC[[#Headers],[α ESF]],C_alpha_beta[#Headers],0))</f>
        <v>0.5</v>
      </c>
      <c r="S244" s="4">
        <f>INDEX(C_alpha_beta[],MATCH(HC[[#This Row],[Solo]],C_alpha_beta[Solo],0),MATCH(HC[[#Headers],[β ESF]],C_alpha_beta[#Headers],0))</f>
        <v>0.5</v>
      </c>
      <c r="T244" s="4">
        <f>IF(HC[[#This Row],[Prof. (m)]]=0,0,10*(HC[[#This Row],[NSPT]]/3+1))</f>
        <v>16.666666666666664</v>
      </c>
      <c r="U244" s="4">
        <f>(HC[[#This Row],[α ESF]]*HC[[#This Row],[C (kPa)]]*HC[[#This Row],[NSPT]]*HC[[#This Row],[Ap (m²)]])/'DADOS CAP. CARGA'!$Q$2+(HC[[#This Row],[β ESF]]*SUMIFS(HC[10∙(NL/3+1)],HC[Prof. (m)],"&lt;="&amp;HC[[#This Row],[Prof. (m)]],HC[idDiâmetro],HC[[#This Row],[idDiâmetro]],HC[idPilar],HC[[#This Row],[idPilar]])*HC[[#This Row],[U (m)]])/'DADOS CAP. CARGA'!$S$2</f>
        <v>60.737457969402669</v>
      </c>
      <c r="V244" s="4">
        <f>IF(SPT!$M$5=1,MIN(HC[[#This Row],[Pe HC (kN)]],HC[[#This Row],[R_AV (kN)]]),IF(SPT!$M$5=2,MIN(HC[[#This Row],[Pe HC (kN)]],HC[[#This Row],[R_DC (kN)]]),MIN(HC[[#This Row],[Pe HC (kN)]],HC[[#This Row],[R_AV (kN)]],HC[[#This Row],[R_DC (kN)]])))</f>
        <v>60.737457969402669</v>
      </c>
      <c r="W244" s="4">
        <f>INDEX(PILARES[],HC[[#This Row],[idPilar]],MATCH("Carga (kN)",PILARES[#Headers],0))*1.4</f>
        <v>1750</v>
      </c>
      <c r="X244" s="12">
        <f>INDEX(PILARES[],HC[[#This Row],[idPilar]],MATCH(HC[[#Headers],[ap (cm)]],PILARES[#Headers],0))</f>
        <v>50</v>
      </c>
      <c r="Y244" s="12">
        <f>INDEX(PILARES[],HC[[#This Row],[idPilar]],MATCH(HC[[#Headers],[bp (cm)]],PILARES[#Headers],0))</f>
        <v>40</v>
      </c>
      <c r="Z244" s="4">
        <f>SQRT(HC[[#This Row],[ap (cm)]]*HC[[#This Row],[bp (cm)]])</f>
        <v>44.721359549995796</v>
      </c>
      <c r="AA244" s="12">
        <f>HC[[#This Row],[ap (cm)]]*HC[[#This Row],[bp (cm)]]</f>
        <v>2000</v>
      </c>
      <c r="AB244" s="12">
        <f ca="1">IF(HC[[#This Row],[Padm∙ε (kN)]]&gt;=HC[[#This Row],[Padm (kN)]],ROUNDUP(1.05*HC[[#This Row],[Nsd (kN)]]/HC[[#This Row],[Padm (kN)]],0),ROUNDUP(1.05*HC[[#This Row],[Nsd (kN)]]/HC[[#This Row],[Padm (kN)]],0)+1)</f>
        <v>31</v>
      </c>
      <c r="AC244" s="4" t="str">
        <f ca="1">IFERROR(IF(HC[[#This Row],[nE]]=1,HC[[#This Row],[Padm (kN)]],HC[[#This Row],[Padm (kN)]]*HC[[#This Row],[nE]]*INDEX(grupoEstacas[],HC[[#This Row],[nE]],MATCH("ε",grupoEstacas[#Headers],0))),"N.S.")</f>
        <v>N.S.</v>
      </c>
      <c r="AD244" s="4">
        <f ca="1">1.05*HC[[#This Row],[Nsd (kN)]]/(HC[[#This Row],[nE]]*PI()*HC[[#This Row],[Ø (cm)]]^2/4)*10</f>
        <v>0.11792226126264424</v>
      </c>
      <c r="AE244" s="4">
        <f ca="1">IF(HC[[#This Row],[σ (MPa)]]&lt;INDEX(tipoEstaca[],MATCH($D$2,tipoEstaca[TIPO DE ESTACA],0),MATCH("σmáx (MPa)",tipoEstaca[#Headers],0)),0.4%*PI()*HC[[#This Row],[Ø (cm)]]^2/4,"N.S.")</f>
        <v>20.106192982974676</v>
      </c>
      <c r="AF244" s="1">
        <f>INDEX(tipoEstaca[],MATCH($D$2,tipoEstaca[TIPO DE ESTACA],0),MATCH(HC[[#Headers],[Comprimento (m)]],tipoEstaca[#Headers],0))</f>
        <v>4</v>
      </c>
      <c r="AG244" s="5">
        <f ca="1">HC[[#This Row],[As,mín (cm²)]]/100^2*HC[[#This Row],[Comprimento (m)]]*7850</f>
        <v>63.133445966540478</v>
      </c>
      <c r="AH244" s="4">
        <f ca="1">HC[[#This Row],[nE]]*HC[[#This Row],[Prof. (m)]]*HC[[#This Row],[Ap (m²)]]</f>
        <v>15.582299561805375</v>
      </c>
      <c r="AI244" s="1">
        <f ca="1">IF(HC[[#This Row],[nE]]=1,0,MAX(3*HC[[#This Row],[Ø (cm)]],60))</f>
        <v>240</v>
      </c>
      <c r="AJ244" s="1">
        <f ca="1">IF(HC[[#This Row],[nE]]=1,HC[[#This Row],[Ø (cm)]]+2*10,MAX(1.5*HC[[#This Row],[Ø (cm)]],HC[[#This Row],[Ø (cm)]]+15))</f>
        <v>120</v>
      </c>
      <c r="AK244" s="1" t="str">
        <f ca="1">alturaUtil(HC[[#This Row],[nE]],HC[[#This Row],[Ø (cm)]],HC[[#This Row],[e (cm)]],HC[[#This Row],[ap,eq (cm)]])</f>
        <v>N.S.</v>
      </c>
      <c r="AL244" s="1" t="str">
        <f ca="1">IFERROR(HC[[#This Row],[d (cm)]]+arredondarParaCimaMultiplo5cm(MAX(5,SQRT(PI())/2*HC[[#This Row],[Ø (cm)]]/5)),"N.S.")</f>
        <v>N.S.</v>
      </c>
      <c r="AM244" s="5" t="str">
        <f ca="1">alpha(HC[[#This Row],[nE]],HC[[#This Row],[d (cm)]],HC[[#This Row],[e (cm)]],HC[[#This Row],[ap,eq (cm)]])</f>
        <v>N.S.</v>
      </c>
      <c r="AN244" s="35" t="str">
        <f ca="1">IFERROR(HC[[#This Row],[Nsd (kN)]]/(HC[[#This Row],[Ap (cm²)]]*SIN(HC[[#This Row],[α]])^2),"N.S.")</f>
        <v>N.S.</v>
      </c>
      <c r="AO244" s="35" t="str">
        <f ca="1">IFERROR(HC[[#This Row],[Nsd (kN)]]/(HC[[#This Row],[nE]]*PI()*HC[[#This Row],[Ø (cm)]]^2/4*SIN(HC[[#This Row],[α]])^2),"N.S.")</f>
        <v>N.S.</v>
      </c>
      <c r="AP244" s="4" t="str">
        <f ca="1">IFERROR(INDEX(grupoEstacas[],HC[[#This Row],[nE]],MATCH("coef. Blévot",grupoEstacas[#Headers],0)),"N.S.")</f>
        <v>N.S.</v>
      </c>
      <c r="AQ244" s="35" t="str">
        <f ca="1">IFERROR(HC[[#This Row],[coef. Blévot]]*0.9*INDEX(tipoEstaca[],MATCH($D$2,tipoEstaca[TIPO DE ESTACA],0),MATCH("fcd (kN/cm²)",tipoEstaca[#Headers],0)),"N.S.")</f>
        <v>N.S.</v>
      </c>
      <c r="AR244" s="1" t="str">
        <f ca="1">IF(AND(HC[[#This Row],[cd,b,pil (kN/cm²)]]&lt;=HC[[#This Row],[cd,b,lim (kN/cm²)]],HC[[#This Row],[cd,b,est (kN/cm²)]]&lt;=HC[[#This Row],[cd,b,lim (kN/cm²)]]),"OK","ERRO")</f>
        <v>OK</v>
      </c>
      <c r="AS244" s="4" t="str">
        <f ca="1">As_lado(HC[[#This Row],[nE]],HC[[#This Row],[Nsd (kN)]],HC[[#This Row],[d (cm)]],HC[[#This Row],[e (cm)]],HC[[#This Row],[ap,eq (cm)]])</f>
        <v>N.S.</v>
      </c>
      <c r="AT244" s="4" t="str">
        <f ca="1">IF(HC[[#This Row],[nE]]=1,HC[[#This Row],[As,lado (cm²)]],IF(HC[[#This Row],[nE]]=2,0.075*2*HC[a (cm)],"N.A."))</f>
        <v>N.A.</v>
      </c>
      <c r="AU244" s="4" t="str">
        <f ca="1">IFERROR(IF(HC[[#This Row],[nE]]=1,"N.A.",0.2*HC[[#This Row],[As,lado (cm²)]]),"N.S.")</f>
        <v>N.S.</v>
      </c>
      <c r="AV244" s="4" t="str">
        <f ca="1">As_malha(HC[[#This Row],[nE]],HC[[#This Row],[As,lado (cm²)]],HC[[#This Row],[Nsd (kN)]])</f>
        <v>N.S.</v>
      </c>
      <c r="AW244" s="4" t="str">
        <f ca="1">As_susp_tot(HC[[#This Row],[nE]],HC[[#This Row],[Nsd (kN)]])</f>
        <v>N.S.</v>
      </c>
      <c r="AX244" s="4" t="str">
        <f ca="1">Asp_face(HC[[#This Row],[nE]],HC[[#This Row],[As,lado (cm²)]])</f>
        <v>N.S.</v>
      </c>
      <c r="AY244" s="5" t="str">
        <f ca="1">acoBloco(HC[[#This Row],[nE]],HC[[#This Row],[e (cm)]],HC[[#This Row],[a (cm)]],HC[[#This Row],[h (cm)]],HC[[#This Row],[As,lado (cm²)]],HC[[#This Row],[Asp e Asw (cm²/m)]],HC[[#This Row],[As,sup (cm²)]],HC[[#This Row],[As,malha (cm²)]],HC[[#This Row],[As,susp,tot (cm²)]],HC[[#This Row],[Asp,face (cm²)]])</f>
        <v>N.S.</v>
      </c>
      <c r="AZ244" s="4" t="str">
        <f ca="1">concretoBloco(HC[[#This Row],[nE]],HC[[#This Row],[e (cm)]],HC[[#This Row],[a (cm)]],HC[[#This Row],[h (cm)]])</f>
        <v>N.S.</v>
      </c>
      <c r="BA244" s="5">
        <f ca="1">SUM(HC[[#This Row],[Aço Est (kg)]],HC[[#This Row],[Aço Bloco (kg)]])</f>
        <v>63.133445966540478</v>
      </c>
      <c r="BB244" s="4">
        <f>INDEX(composicoes[],MATCH(95580,composicoes[CÓDIGO],0),MATCH("CUSTO TOTAL",composicoes[#Headers],0))</f>
        <v>10.46</v>
      </c>
      <c r="BC244" s="4">
        <f ca="1">SUM(HC[[#This Row],[Conc Est (m³)]],HC[[#This Row],[Conc Bloco (m³)]])</f>
        <v>15.582299561805375</v>
      </c>
      <c r="BD244" s="4">
        <f>INDEX(composicoes[],MATCH(94966,composicoes[CÓDIGO],0),MATCH("CUSTO TOTAL",composicoes[#Headers],0))</f>
        <v>439.52</v>
      </c>
      <c r="BE244" s="38">
        <f ca="1">HC[[#This Row],[Aço (kg)]]*HC[[#This Row],[Aço (R$/kg)]]+HC[[#This Row],[Conc (m³)]]*HC[[#This Row],[Conc (R$/m³)]]</f>
        <v>7509.108148214711</v>
      </c>
      <c r="BF244" s="4" t="str">
        <f ca="1">IF(COUNTIF(HC[#This Row],"N.S.")&gt;0,"lim.","OK")</f>
        <v>lim.</v>
      </c>
      <c r="BG244" s="4" t="str">
        <f>IF(HC[[#This Row],[Prof. (m)]]&lt;4,"lim.","OK")</f>
        <v>lim.</v>
      </c>
      <c r="BH244" s="4" t="str">
        <f>IF(HC[[#This Row],[Prof. (m)]]&gt;=8*HC[[#This Row],[Ø (cm)]]/100,"OK","lim.")</f>
        <v>lim.</v>
      </c>
      <c r="BI244" s="4" t="str">
        <f ca="1">IF(HC[[#This Row],[Verif. Biela]]="OK","OK","lim.")</f>
        <v>OK</v>
      </c>
      <c r="BJ244" s="4" t="str">
        <f ca="1">IF(COUNTA(HC[[#This Row],[Nº Est.]:[Biela comp.]])=COUNTIF(HC[[#This Row],[Nº Est.]:[Biela comp.]],"OK"),"OK","lim.")</f>
        <v>lim.</v>
      </c>
      <c r="BK244" s="4" t="str">
        <f ca="1">IF(HC[[#This Row],[Controle]]="OK",HC[[#This Row],[nE]]&amp;" Ø"&amp;HC[[#This Row],[Ø (cm)]]&amp;"cm Prof. "&amp;HC[[#This Row],[Prof. (m)]]&amp;" m","")</f>
        <v/>
      </c>
      <c r="BL244" s="4" t="str">
        <f ca="1">IF(HC[[#This Row],[idDimensionamento]]="","",HC[[#This Row],[idPilar]]&amp;HC[[#This Row],[idDimensionamento]])</f>
        <v/>
      </c>
    </row>
    <row r="245" spans="2:64" x14ac:dyDescent="0.25">
      <c r="B245" s="12">
        <f>ROUNDUP((ROW(HC[[#This Row],[idDiâmetro]])-ROW(HC[[#Headers],[idDiâmetro]]))/(COUNT(SPT[Prof. (m)])*COUNT(PILARES[Pilar])),0)</f>
        <v>9</v>
      </c>
      <c r="C245" s="12">
        <f>IF(HC[[#This Row],[idDiâmetro]]&lt;&gt;B244,1,IF(HC[[#This Row],[Prof. (m)]]=0,C244+1,C244))</f>
        <v>2</v>
      </c>
      <c r="D245" s="1">
        <f>IFERROR(IF(D244=MAX(SPT[Prof. (m)]),0,D244+1),0)</f>
        <v>2</v>
      </c>
      <c r="E245" s="1">
        <f>INDEX(SPT[],MATCH(HC[[#This Row],[Prof. (m)]],SPT[Prof. (m)],0),2)</f>
        <v>2</v>
      </c>
      <c r="F245" s="1" t="str">
        <f>INDEX(SPT[],MATCH(HC[[#This Row],[Prof. (m)]],SPT[Prof. (m)],0),3)</f>
        <v>Areia siltosa</v>
      </c>
      <c r="G245" s="1">
        <f>INDEX(estacas[],HC[[#This Row],[idDiâmetro]],MATCH($B$2,estacas[#Headers],0))</f>
        <v>80</v>
      </c>
      <c r="H245" s="1">
        <f>INDEX(estacas[],MATCH(HC[[#This Row],[Ø (cm)]],estacas[Ø HC (cm)],0),MATCH(HC[[#Headers],[Pe HC (kN)]],estacas[#Headers],0))</f>
        <v>3200</v>
      </c>
      <c r="I245" s="4">
        <f>INDEX(K_alpha_C[],MATCH(HC[[#This Row],[Solo]],K_alpha_C[Solo],0),2)</f>
        <v>0.8</v>
      </c>
      <c r="J245" s="5">
        <f>INDEX(K_alpha_C[],MATCH(HC[[#This Row],[Solo]],K_alpha_C[Solo],0),3)</f>
        <v>2</v>
      </c>
      <c r="K245" s="4">
        <f>INDEX(F1_F2[],MATCH($D$2,F1_F2[Tipo de estaca],0),2)</f>
        <v>2</v>
      </c>
      <c r="L245" s="4">
        <f>INDEX(F1_F2[],MATCH($D$2,F1_F2[Tipo de estaca],0),3)</f>
        <v>4</v>
      </c>
      <c r="M245" s="4">
        <f>PI()*(HC[[#This Row],[Ø (cm)]]/100)^2/4</f>
        <v>0.50265482457436694</v>
      </c>
      <c r="N245" s="4">
        <f>PI()*HC[[#This Row],[Ø (cm)]]/100</f>
        <v>2.5132741228718345</v>
      </c>
      <c r="O245" s="4">
        <f>IF(HC[[#This Row],[Prof. (m)]]=0,0,HC[[#This Row],[α (%)]]/100*HC[[#This Row],[K (MPa)]]*1000*HC[[#This Row],[NSPT]])</f>
        <v>32</v>
      </c>
      <c r="P245" s="4">
        <f>IF(HC[[#This Row],[Prof. (m)]]=0,0,(HC[[#This Row],[K (MPa)]]*1000*HC[[#This Row],[NSPT]]/HC[[#This Row],[F1]]*HC[[#This Row],[Ap (m²)]]+HC[[#This Row],[U (m)]]/HC[[#This Row],[F2]]*SUMIFS(HC[(α∙K∙NL∙ΔL)],HC[Prof. (m)],"&lt;="&amp;HC[[#This Row],[Prof. (m)]],HC[idDiâmetro],HC[[#This Row],[idDiâmetro]],HC[idPilar],HC[[#This Row],[idPilar]]))/'DADOS CAP. CARGA'!$D$2)</f>
        <v>221.16812281272146</v>
      </c>
      <c r="Q245" s="12">
        <f>INDEX(C_alpha_beta[],MATCH(HC[[#This Row],[Solo]],C_alpha_beta[Solo],0),MATCH(HC[[#Headers],[C (kPa)]],C_alpha_beta[#Headers],0))</f>
        <v>400</v>
      </c>
      <c r="R245" s="4">
        <f>INDEX(C_alpha_beta[],MATCH(HC[[#This Row],[Solo]],C_alpha_beta[Solo],0),MATCH(HC[[#Headers],[α ESF]],C_alpha_beta[#Headers],0))</f>
        <v>0.5</v>
      </c>
      <c r="S245" s="4">
        <f>INDEX(C_alpha_beta[],MATCH(HC[[#This Row],[Solo]],C_alpha_beta[Solo],0),MATCH(HC[[#Headers],[β ESF]],C_alpha_beta[#Headers],0))</f>
        <v>0.5</v>
      </c>
      <c r="T245" s="4">
        <f>IF(HC[[#This Row],[Prof. (m)]]=0,0,10*(HC[[#This Row],[NSPT]]/3+1))</f>
        <v>16.666666666666664</v>
      </c>
      <c r="U245" s="4">
        <f>(HC[[#This Row],[α ESF]]*HC[[#This Row],[C (kPa)]]*HC[[#This Row],[NSPT]]*HC[[#This Row],[Ap (m²)]])/'DADOS CAP. CARGA'!$Q$2+(HC[[#This Row],[β ESF]]*SUMIFS(HC[10∙(NL/3+1)],HC[Prof. (m)],"&lt;="&amp;HC[[#This Row],[Prof. (m)]],HC[idDiâmetro],HC[[#This Row],[idDiâmetro]],HC[idPilar],HC[[#This Row],[idPilar]])*HC[[#This Row],[U (m)]])/'DADOS CAP. CARGA'!$S$2</f>
        <v>71.209433481368649</v>
      </c>
      <c r="V245" s="4">
        <f>IF(SPT!$M$5=1,MIN(HC[[#This Row],[Pe HC (kN)]],HC[[#This Row],[R_AV (kN)]]),IF(SPT!$M$5=2,MIN(HC[[#This Row],[Pe HC (kN)]],HC[[#This Row],[R_DC (kN)]]),MIN(HC[[#This Row],[Pe HC (kN)]],HC[[#This Row],[R_AV (kN)]],HC[[#This Row],[R_DC (kN)]])))</f>
        <v>71.209433481368649</v>
      </c>
      <c r="W245" s="4">
        <f>INDEX(PILARES[],HC[[#This Row],[idPilar]],MATCH("Carga (kN)",PILARES[#Headers],0))*1.4</f>
        <v>1750</v>
      </c>
      <c r="X245" s="12">
        <f>INDEX(PILARES[],HC[[#This Row],[idPilar]],MATCH(HC[[#Headers],[ap (cm)]],PILARES[#Headers],0))</f>
        <v>50</v>
      </c>
      <c r="Y245" s="12">
        <f>INDEX(PILARES[],HC[[#This Row],[idPilar]],MATCH(HC[[#Headers],[bp (cm)]],PILARES[#Headers],0))</f>
        <v>40</v>
      </c>
      <c r="Z245" s="4">
        <f>SQRT(HC[[#This Row],[ap (cm)]]*HC[[#This Row],[bp (cm)]])</f>
        <v>44.721359549995796</v>
      </c>
      <c r="AA245" s="12">
        <f>HC[[#This Row],[ap (cm)]]*HC[[#This Row],[bp (cm)]]</f>
        <v>2000</v>
      </c>
      <c r="AB245" s="12">
        <f ca="1">IF(HC[[#This Row],[Padm∙ε (kN)]]&gt;=HC[[#This Row],[Padm (kN)]],ROUNDUP(1.05*HC[[#This Row],[Nsd (kN)]]/HC[[#This Row],[Padm (kN)]],0),ROUNDUP(1.05*HC[[#This Row],[Nsd (kN)]]/HC[[#This Row],[Padm (kN)]],0)+1)</f>
        <v>26</v>
      </c>
      <c r="AC245" s="4" t="str">
        <f ca="1">IFERROR(IF(HC[[#This Row],[nE]]=1,HC[[#This Row],[Padm (kN)]],HC[[#This Row],[Padm (kN)]]*HC[[#This Row],[nE]]*INDEX(grupoEstacas[],HC[[#This Row],[nE]],MATCH("ε",grupoEstacas[#Headers],0))),"N.S.")</f>
        <v>N.S.</v>
      </c>
      <c r="AD245" s="4">
        <f ca="1">1.05*HC[[#This Row],[Nsd (kN)]]/(HC[[#This Row],[nE]]*PI()*HC[[#This Row],[Ø (cm)]]^2/4)*10</f>
        <v>0.14059961919776812</v>
      </c>
      <c r="AE245" s="4">
        <f ca="1">IF(HC[[#This Row],[σ (MPa)]]&lt;INDEX(tipoEstaca[],MATCH($D$2,tipoEstaca[TIPO DE ESTACA],0),MATCH("σmáx (MPa)",tipoEstaca[#Headers],0)),0.4%*PI()*HC[[#This Row],[Ø (cm)]]^2/4,"N.S.")</f>
        <v>20.106192982974676</v>
      </c>
      <c r="AF245" s="1">
        <f>INDEX(tipoEstaca[],MATCH($D$2,tipoEstaca[TIPO DE ESTACA],0),MATCH(HC[[#Headers],[Comprimento (m)]],tipoEstaca[#Headers],0))</f>
        <v>4</v>
      </c>
      <c r="AG245" s="5">
        <f ca="1">HC[[#This Row],[As,mín (cm²)]]/100^2*HC[[#This Row],[Comprimento (m)]]*7850</f>
        <v>63.133445966540478</v>
      </c>
      <c r="AH245" s="4">
        <f ca="1">HC[[#This Row],[nE]]*HC[[#This Row],[Prof. (m)]]*HC[[#This Row],[Ap (m²)]]</f>
        <v>26.13805087786708</v>
      </c>
      <c r="AI245" s="1">
        <f ca="1">IF(HC[[#This Row],[nE]]=1,0,MAX(3*HC[[#This Row],[Ø (cm)]],60))</f>
        <v>240</v>
      </c>
      <c r="AJ245" s="1">
        <f ca="1">IF(HC[[#This Row],[nE]]=1,HC[[#This Row],[Ø (cm)]]+2*10,MAX(1.5*HC[[#This Row],[Ø (cm)]],HC[[#This Row],[Ø (cm)]]+15))</f>
        <v>120</v>
      </c>
      <c r="AK245" s="1" t="str">
        <f ca="1">alturaUtil(HC[[#This Row],[nE]],HC[[#This Row],[Ø (cm)]],HC[[#This Row],[e (cm)]],HC[[#This Row],[ap,eq (cm)]])</f>
        <v>N.S.</v>
      </c>
      <c r="AL245" s="1" t="str">
        <f ca="1">IFERROR(HC[[#This Row],[d (cm)]]+arredondarParaCimaMultiplo5cm(MAX(5,SQRT(PI())/2*HC[[#This Row],[Ø (cm)]]/5)),"N.S.")</f>
        <v>N.S.</v>
      </c>
      <c r="AM245" s="5" t="str">
        <f ca="1">alpha(HC[[#This Row],[nE]],HC[[#This Row],[d (cm)]],HC[[#This Row],[e (cm)]],HC[[#This Row],[ap,eq (cm)]])</f>
        <v>N.S.</v>
      </c>
      <c r="AN245" s="35" t="str">
        <f ca="1">IFERROR(HC[[#This Row],[Nsd (kN)]]/(HC[[#This Row],[Ap (cm²)]]*SIN(HC[[#This Row],[α]])^2),"N.S.")</f>
        <v>N.S.</v>
      </c>
      <c r="AO245" s="35" t="str">
        <f ca="1">IFERROR(HC[[#This Row],[Nsd (kN)]]/(HC[[#This Row],[nE]]*PI()*HC[[#This Row],[Ø (cm)]]^2/4*SIN(HC[[#This Row],[α]])^2),"N.S.")</f>
        <v>N.S.</v>
      </c>
      <c r="AP245" s="4" t="str">
        <f ca="1">IFERROR(INDEX(grupoEstacas[],HC[[#This Row],[nE]],MATCH("coef. Blévot",grupoEstacas[#Headers],0)),"N.S.")</f>
        <v>N.S.</v>
      </c>
      <c r="AQ245" s="35" t="str">
        <f ca="1">IFERROR(HC[[#This Row],[coef. Blévot]]*0.9*INDEX(tipoEstaca[],MATCH($D$2,tipoEstaca[TIPO DE ESTACA],0),MATCH("fcd (kN/cm²)",tipoEstaca[#Headers],0)),"N.S.")</f>
        <v>N.S.</v>
      </c>
      <c r="AR245" s="1" t="str">
        <f ca="1">IF(AND(HC[[#This Row],[cd,b,pil (kN/cm²)]]&lt;=HC[[#This Row],[cd,b,lim (kN/cm²)]],HC[[#This Row],[cd,b,est (kN/cm²)]]&lt;=HC[[#This Row],[cd,b,lim (kN/cm²)]]),"OK","ERRO")</f>
        <v>OK</v>
      </c>
      <c r="AS245" s="4" t="str">
        <f ca="1">As_lado(HC[[#This Row],[nE]],HC[[#This Row],[Nsd (kN)]],HC[[#This Row],[d (cm)]],HC[[#This Row],[e (cm)]],HC[[#This Row],[ap,eq (cm)]])</f>
        <v>N.S.</v>
      </c>
      <c r="AT245" s="4" t="str">
        <f ca="1">IF(HC[[#This Row],[nE]]=1,HC[[#This Row],[As,lado (cm²)]],IF(HC[[#This Row],[nE]]=2,0.075*2*HC[a (cm)],"N.A."))</f>
        <v>N.A.</v>
      </c>
      <c r="AU245" s="4" t="str">
        <f ca="1">IFERROR(IF(HC[[#This Row],[nE]]=1,"N.A.",0.2*HC[[#This Row],[As,lado (cm²)]]),"N.S.")</f>
        <v>N.S.</v>
      </c>
      <c r="AV245" s="4" t="str">
        <f ca="1">As_malha(HC[[#This Row],[nE]],HC[[#This Row],[As,lado (cm²)]],HC[[#This Row],[Nsd (kN)]])</f>
        <v>N.S.</v>
      </c>
      <c r="AW245" s="4" t="str">
        <f ca="1">As_susp_tot(HC[[#This Row],[nE]],HC[[#This Row],[Nsd (kN)]])</f>
        <v>N.S.</v>
      </c>
      <c r="AX245" s="4" t="str">
        <f ca="1">Asp_face(HC[[#This Row],[nE]],HC[[#This Row],[As,lado (cm²)]])</f>
        <v>N.S.</v>
      </c>
      <c r="AY245" s="5" t="str">
        <f ca="1">acoBloco(HC[[#This Row],[nE]],HC[[#This Row],[e (cm)]],HC[[#This Row],[a (cm)]],HC[[#This Row],[h (cm)]],HC[[#This Row],[As,lado (cm²)]],HC[[#This Row],[Asp e Asw (cm²/m)]],HC[[#This Row],[As,sup (cm²)]],HC[[#This Row],[As,malha (cm²)]],HC[[#This Row],[As,susp,tot (cm²)]],HC[[#This Row],[Asp,face (cm²)]])</f>
        <v>N.S.</v>
      </c>
      <c r="AZ245" s="4" t="str">
        <f ca="1">concretoBloco(HC[[#This Row],[nE]],HC[[#This Row],[e (cm)]],HC[[#This Row],[a (cm)]],HC[[#This Row],[h (cm)]])</f>
        <v>N.S.</v>
      </c>
      <c r="BA245" s="5">
        <f ca="1">SUM(HC[[#This Row],[Aço Est (kg)]],HC[[#This Row],[Aço Bloco (kg)]])</f>
        <v>63.133445966540478</v>
      </c>
      <c r="BB245" s="4">
        <f>INDEX(composicoes[],MATCH(95580,composicoes[CÓDIGO],0),MATCH("CUSTO TOTAL",composicoes[#Headers],0))</f>
        <v>10.46</v>
      </c>
      <c r="BC245" s="4">
        <f ca="1">SUM(HC[[#This Row],[Conc Est (m³)]],HC[[#This Row],[Conc Bloco (m³)]])</f>
        <v>26.13805087786708</v>
      </c>
      <c r="BD245" s="4">
        <f>INDEX(composicoes[],MATCH(94966,composicoes[CÓDIGO],0),MATCH("CUSTO TOTAL",composicoes[#Headers],0))</f>
        <v>439.52</v>
      </c>
      <c r="BE245" s="38">
        <f ca="1">HC[[#This Row],[Aço (kg)]]*HC[[#This Row],[Aço (R$/kg)]]+HC[[#This Row],[Conc (m³)]]*HC[[#This Row],[Conc (R$/m³)]]</f>
        <v>12148.571966650154</v>
      </c>
      <c r="BF245" s="4" t="str">
        <f ca="1">IF(COUNTIF(HC[#This Row],"N.S.")&gt;0,"lim.","OK")</f>
        <v>lim.</v>
      </c>
      <c r="BG245" s="4" t="str">
        <f>IF(HC[[#This Row],[Prof. (m)]]&lt;4,"lim.","OK")</f>
        <v>lim.</v>
      </c>
      <c r="BH245" s="4" t="str">
        <f>IF(HC[[#This Row],[Prof. (m)]]&gt;=8*HC[[#This Row],[Ø (cm)]]/100,"OK","lim.")</f>
        <v>lim.</v>
      </c>
      <c r="BI245" s="4" t="str">
        <f ca="1">IF(HC[[#This Row],[Verif. Biela]]="OK","OK","lim.")</f>
        <v>OK</v>
      </c>
      <c r="BJ245" s="4" t="str">
        <f ca="1">IF(COUNTA(HC[[#This Row],[Nº Est.]:[Biela comp.]])=COUNTIF(HC[[#This Row],[Nº Est.]:[Biela comp.]],"OK"),"OK","lim.")</f>
        <v>lim.</v>
      </c>
      <c r="BK245" s="4" t="str">
        <f ca="1">IF(HC[[#This Row],[Controle]]="OK",HC[[#This Row],[nE]]&amp;" Ø"&amp;HC[[#This Row],[Ø (cm)]]&amp;"cm Prof. "&amp;HC[[#This Row],[Prof. (m)]]&amp;" m","")</f>
        <v/>
      </c>
      <c r="BL245" s="4" t="str">
        <f ca="1">IF(HC[[#This Row],[idDimensionamento]]="","",HC[[#This Row],[idPilar]]&amp;HC[[#This Row],[idDimensionamento]])</f>
        <v/>
      </c>
    </row>
    <row r="246" spans="2:64" x14ac:dyDescent="0.25">
      <c r="B246" s="12">
        <f>ROUNDUP((ROW(HC[[#This Row],[idDiâmetro]])-ROW(HC[[#Headers],[idDiâmetro]]))/(COUNT(SPT[Prof. (m)])*COUNT(PILARES[Pilar])),0)</f>
        <v>9</v>
      </c>
      <c r="C246" s="12">
        <f>IF(HC[[#This Row],[idDiâmetro]]&lt;&gt;B245,1,IF(HC[[#This Row],[Prof. (m)]]=0,C245+1,C245))</f>
        <v>2</v>
      </c>
      <c r="D246" s="1">
        <f>IFERROR(IF(D245=MAX(SPT[Prof. (m)]),0,D245+1),0)</f>
        <v>3</v>
      </c>
      <c r="E246" s="1">
        <f>INDEX(SPT[],MATCH(HC[[#This Row],[Prof. (m)]],SPT[Prof. (m)],0),2)</f>
        <v>4</v>
      </c>
      <c r="F246" s="1" t="str">
        <f>INDEX(SPT[],MATCH(HC[[#This Row],[Prof. (m)]],SPT[Prof. (m)],0),3)</f>
        <v>Areia siltosa</v>
      </c>
      <c r="G246" s="1">
        <f>INDEX(estacas[],HC[[#This Row],[idDiâmetro]],MATCH($B$2,estacas[#Headers],0))</f>
        <v>80</v>
      </c>
      <c r="H246" s="1">
        <f>INDEX(estacas[],MATCH(HC[[#This Row],[Ø (cm)]],estacas[Ø HC (cm)],0),MATCH(HC[[#Headers],[Pe HC (kN)]],estacas[#Headers],0))</f>
        <v>3200</v>
      </c>
      <c r="I246" s="4">
        <f>INDEX(K_alpha_C[],MATCH(HC[[#This Row],[Solo]],K_alpha_C[Solo],0),2)</f>
        <v>0.8</v>
      </c>
      <c r="J246" s="5">
        <f>INDEX(K_alpha_C[],MATCH(HC[[#This Row],[Solo]],K_alpha_C[Solo],0),3)</f>
        <v>2</v>
      </c>
      <c r="K246" s="4">
        <f>INDEX(F1_F2[],MATCH($D$2,F1_F2[Tipo de estaca],0),2)</f>
        <v>2</v>
      </c>
      <c r="L246" s="4">
        <f>INDEX(F1_F2[],MATCH($D$2,F1_F2[Tipo de estaca],0),3)</f>
        <v>4</v>
      </c>
      <c r="M246" s="4">
        <f>PI()*(HC[[#This Row],[Ø (cm)]]/100)^2/4</f>
        <v>0.50265482457436694</v>
      </c>
      <c r="N246" s="4">
        <f>PI()*HC[[#This Row],[Ø (cm)]]/100</f>
        <v>2.5132741228718345</v>
      </c>
      <c r="O246" s="4">
        <f>IF(HC[[#This Row],[Prof. (m)]]=0,0,HC[[#This Row],[α (%)]]/100*HC[[#This Row],[K (MPa)]]*1000*HC[[#This Row],[NSPT]])</f>
        <v>64</v>
      </c>
      <c r="P246" s="4">
        <f>IF(HC[[#This Row],[Prof. (m)]]=0,0,(HC[[#This Row],[K (MPa)]]*1000*HC[[#This Row],[NSPT]]/HC[[#This Row],[F1]]*HC[[#This Row],[Ap (m²)]]+HC[[#This Row],[U (m)]]/HC[[#This Row],[F2]]*SUMIFS(HC[(α∙K∙NL∙ΔL)],HC[Prof. (m)],"&lt;="&amp;HC[[#This Row],[Prof. (m)]],HC[idDiâmetro],HC[[#This Row],[idDiâmetro]],HC[idPilar],HC[[#This Row],[idPilar]]))/'DADOS CAP. CARGA'!$D$2)</f>
        <v>442.33624562544293</v>
      </c>
      <c r="Q246" s="12">
        <f>INDEX(C_alpha_beta[],MATCH(HC[[#This Row],[Solo]],C_alpha_beta[Solo],0),MATCH(HC[[#Headers],[C (kPa)]],C_alpha_beta[#Headers],0))</f>
        <v>400</v>
      </c>
      <c r="R246" s="4">
        <f>INDEX(C_alpha_beta[],MATCH(HC[[#This Row],[Solo]],C_alpha_beta[Solo],0),MATCH(HC[[#Headers],[α ESF]],C_alpha_beta[#Headers],0))</f>
        <v>0.5</v>
      </c>
      <c r="S246" s="4">
        <f>INDEX(C_alpha_beta[],MATCH(HC[[#This Row],[Solo]],C_alpha_beta[Solo],0),MATCH(HC[[#Headers],[β ESF]],C_alpha_beta[#Headers],0))</f>
        <v>0.5</v>
      </c>
      <c r="T246" s="4">
        <f>IF(HC[[#This Row],[Prof. (m)]]=0,0,10*(HC[[#This Row],[NSPT]]/3+1))</f>
        <v>23.333333333333329</v>
      </c>
      <c r="U246" s="4">
        <f>(HC[[#This Row],[α ESF]]*HC[[#This Row],[C (kPa)]]*HC[[#This Row],[NSPT]]*HC[[#This Row],[Ap (m²)]])/'DADOS CAP. CARGA'!$Q$2+(HC[[#This Row],[β ESF]]*SUMIFS(HC[10∙(NL/3+1)],HC[Prof. (m)],"&lt;="&amp;HC[[#This Row],[Prof. (m)]],HC[idDiâmetro],HC[[#This Row],[idDiâmetro]],HC[idPilar],HC[[#This Row],[idPilar]])*HC[[#This Row],[U (m)]])/'DADOS CAP. CARGA'!$S$2</f>
        <v>136.1356816555577</v>
      </c>
      <c r="V246" s="4">
        <f>IF(SPT!$M$5=1,MIN(HC[[#This Row],[Pe HC (kN)]],HC[[#This Row],[R_AV (kN)]]),IF(SPT!$M$5=2,MIN(HC[[#This Row],[Pe HC (kN)]],HC[[#This Row],[R_DC (kN)]]),MIN(HC[[#This Row],[Pe HC (kN)]],HC[[#This Row],[R_AV (kN)]],HC[[#This Row],[R_DC (kN)]])))</f>
        <v>136.1356816555577</v>
      </c>
      <c r="W246" s="4">
        <f>INDEX(PILARES[],HC[[#This Row],[idPilar]],MATCH("Carga (kN)",PILARES[#Headers],0))*1.4</f>
        <v>1750</v>
      </c>
      <c r="X246" s="12">
        <f>INDEX(PILARES[],HC[[#This Row],[idPilar]],MATCH(HC[[#Headers],[ap (cm)]],PILARES[#Headers],0))</f>
        <v>50</v>
      </c>
      <c r="Y246" s="12">
        <f>INDEX(PILARES[],HC[[#This Row],[idPilar]],MATCH(HC[[#Headers],[bp (cm)]],PILARES[#Headers],0))</f>
        <v>40</v>
      </c>
      <c r="Z246" s="4">
        <f>SQRT(HC[[#This Row],[ap (cm)]]*HC[[#This Row],[bp (cm)]])</f>
        <v>44.721359549995796</v>
      </c>
      <c r="AA246" s="12">
        <f>HC[[#This Row],[ap (cm)]]*HC[[#This Row],[bp (cm)]]</f>
        <v>2000</v>
      </c>
      <c r="AB246" s="12">
        <f ca="1">IF(HC[[#This Row],[Padm∙ε (kN)]]&gt;=HC[[#This Row],[Padm (kN)]],ROUNDUP(1.05*HC[[#This Row],[Nsd (kN)]]/HC[[#This Row],[Padm (kN)]],0),ROUNDUP(1.05*HC[[#This Row],[Nsd (kN)]]/HC[[#This Row],[Padm (kN)]],0)+1)</f>
        <v>14</v>
      </c>
      <c r="AC246" s="4" t="str">
        <f ca="1">IFERROR(IF(HC[[#This Row],[nE]]=1,HC[[#This Row],[Padm (kN)]],HC[[#This Row],[Padm (kN)]]*HC[[#This Row],[nE]]*INDEX(grupoEstacas[],HC[[#This Row],[nE]],MATCH("ε",grupoEstacas[#Headers],0))),"N.S.")</f>
        <v>N.S.</v>
      </c>
      <c r="AD246" s="4">
        <f ca="1">1.05*HC[[#This Row],[Nsd (kN)]]/(HC[[#This Row],[nE]]*PI()*HC[[#This Row],[Ø (cm)]]^2/4)*10</f>
        <v>0.26111357851014083</v>
      </c>
      <c r="AE246" s="4">
        <f ca="1">IF(HC[[#This Row],[σ (MPa)]]&lt;INDEX(tipoEstaca[],MATCH($D$2,tipoEstaca[TIPO DE ESTACA],0),MATCH("σmáx (MPa)",tipoEstaca[#Headers],0)),0.4%*PI()*HC[[#This Row],[Ø (cm)]]^2/4,"N.S.")</f>
        <v>20.106192982974676</v>
      </c>
      <c r="AF246" s="1">
        <f>INDEX(tipoEstaca[],MATCH($D$2,tipoEstaca[TIPO DE ESTACA],0),MATCH(HC[[#Headers],[Comprimento (m)]],tipoEstaca[#Headers],0))</f>
        <v>4</v>
      </c>
      <c r="AG246" s="5">
        <f ca="1">HC[[#This Row],[As,mín (cm²)]]/100^2*HC[[#This Row],[Comprimento (m)]]*7850</f>
        <v>63.133445966540478</v>
      </c>
      <c r="AH246" s="4">
        <f ca="1">HC[[#This Row],[nE]]*HC[[#This Row],[Prof. (m)]]*HC[[#This Row],[Ap (m²)]]</f>
        <v>21.111502632123411</v>
      </c>
      <c r="AI246" s="1">
        <f ca="1">IF(HC[[#This Row],[nE]]=1,0,MAX(3*HC[[#This Row],[Ø (cm)]],60))</f>
        <v>240</v>
      </c>
      <c r="AJ246" s="1">
        <f ca="1">IF(HC[[#This Row],[nE]]=1,HC[[#This Row],[Ø (cm)]]+2*10,MAX(1.5*HC[[#This Row],[Ø (cm)]],HC[[#This Row],[Ø (cm)]]+15))</f>
        <v>120</v>
      </c>
      <c r="AK246" s="1" t="str">
        <f ca="1">alturaUtil(HC[[#This Row],[nE]],HC[[#This Row],[Ø (cm)]],HC[[#This Row],[e (cm)]],HC[[#This Row],[ap,eq (cm)]])</f>
        <v>N.S.</v>
      </c>
      <c r="AL246" s="1" t="str">
        <f ca="1">IFERROR(HC[[#This Row],[d (cm)]]+arredondarParaCimaMultiplo5cm(MAX(5,SQRT(PI())/2*HC[[#This Row],[Ø (cm)]]/5)),"N.S.")</f>
        <v>N.S.</v>
      </c>
      <c r="AM246" s="5" t="str">
        <f ca="1">alpha(HC[[#This Row],[nE]],HC[[#This Row],[d (cm)]],HC[[#This Row],[e (cm)]],HC[[#This Row],[ap,eq (cm)]])</f>
        <v>N.S.</v>
      </c>
      <c r="AN246" s="35" t="str">
        <f ca="1">IFERROR(HC[[#This Row],[Nsd (kN)]]/(HC[[#This Row],[Ap (cm²)]]*SIN(HC[[#This Row],[α]])^2),"N.S.")</f>
        <v>N.S.</v>
      </c>
      <c r="AO246" s="35" t="str">
        <f ca="1">IFERROR(HC[[#This Row],[Nsd (kN)]]/(HC[[#This Row],[nE]]*PI()*HC[[#This Row],[Ø (cm)]]^2/4*SIN(HC[[#This Row],[α]])^2),"N.S.")</f>
        <v>N.S.</v>
      </c>
      <c r="AP246" s="4" t="str">
        <f ca="1">IFERROR(INDEX(grupoEstacas[],HC[[#This Row],[nE]],MATCH("coef. Blévot",grupoEstacas[#Headers],0)),"N.S.")</f>
        <v>N.S.</v>
      </c>
      <c r="AQ246" s="35" t="str">
        <f ca="1">IFERROR(HC[[#This Row],[coef. Blévot]]*0.9*INDEX(tipoEstaca[],MATCH($D$2,tipoEstaca[TIPO DE ESTACA],0),MATCH("fcd (kN/cm²)",tipoEstaca[#Headers],0)),"N.S.")</f>
        <v>N.S.</v>
      </c>
      <c r="AR246" s="1" t="str">
        <f ca="1">IF(AND(HC[[#This Row],[cd,b,pil (kN/cm²)]]&lt;=HC[[#This Row],[cd,b,lim (kN/cm²)]],HC[[#This Row],[cd,b,est (kN/cm²)]]&lt;=HC[[#This Row],[cd,b,lim (kN/cm²)]]),"OK","ERRO")</f>
        <v>OK</v>
      </c>
      <c r="AS246" s="4" t="str">
        <f ca="1">As_lado(HC[[#This Row],[nE]],HC[[#This Row],[Nsd (kN)]],HC[[#This Row],[d (cm)]],HC[[#This Row],[e (cm)]],HC[[#This Row],[ap,eq (cm)]])</f>
        <v>N.S.</v>
      </c>
      <c r="AT246" s="4" t="str">
        <f ca="1">IF(HC[[#This Row],[nE]]=1,HC[[#This Row],[As,lado (cm²)]],IF(HC[[#This Row],[nE]]=2,0.075*2*HC[a (cm)],"N.A."))</f>
        <v>N.A.</v>
      </c>
      <c r="AU246" s="4" t="str">
        <f ca="1">IFERROR(IF(HC[[#This Row],[nE]]=1,"N.A.",0.2*HC[[#This Row],[As,lado (cm²)]]),"N.S.")</f>
        <v>N.S.</v>
      </c>
      <c r="AV246" s="4" t="str">
        <f ca="1">As_malha(HC[[#This Row],[nE]],HC[[#This Row],[As,lado (cm²)]],HC[[#This Row],[Nsd (kN)]])</f>
        <v>N.S.</v>
      </c>
      <c r="AW246" s="4" t="str">
        <f ca="1">As_susp_tot(HC[[#This Row],[nE]],HC[[#This Row],[Nsd (kN)]])</f>
        <v>N.S.</v>
      </c>
      <c r="AX246" s="4" t="str">
        <f ca="1">Asp_face(HC[[#This Row],[nE]],HC[[#This Row],[As,lado (cm²)]])</f>
        <v>N.S.</v>
      </c>
      <c r="AY246" s="5" t="str">
        <f ca="1">acoBloco(HC[[#This Row],[nE]],HC[[#This Row],[e (cm)]],HC[[#This Row],[a (cm)]],HC[[#This Row],[h (cm)]],HC[[#This Row],[As,lado (cm²)]],HC[[#This Row],[Asp e Asw (cm²/m)]],HC[[#This Row],[As,sup (cm²)]],HC[[#This Row],[As,malha (cm²)]],HC[[#This Row],[As,susp,tot (cm²)]],HC[[#This Row],[Asp,face (cm²)]])</f>
        <v>N.S.</v>
      </c>
      <c r="AZ246" s="4" t="str">
        <f ca="1">concretoBloco(HC[[#This Row],[nE]],HC[[#This Row],[e (cm)]],HC[[#This Row],[a (cm)]],HC[[#This Row],[h (cm)]])</f>
        <v>N.S.</v>
      </c>
      <c r="BA246" s="5">
        <f ca="1">SUM(HC[[#This Row],[Aço Est (kg)]],HC[[#This Row],[Aço Bloco (kg)]])</f>
        <v>63.133445966540478</v>
      </c>
      <c r="BB246" s="4">
        <f>INDEX(composicoes[],MATCH(95580,composicoes[CÓDIGO],0),MATCH("CUSTO TOTAL",composicoes[#Headers],0))</f>
        <v>10.46</v>
      </c>
      <c r="BC246" s="4">
        <f ca="1">SUM(HC[[#This Row],[Conc Est (m³)]],HC[[#This Row],[Conc Bloco (m³)]])</f>
        <v>21.111502632123411</v>
      </c>
      <c r="BD246" s="4">
        <f>INDEX(composicoes[],MATCH(94966,composicoes[CÓDIGO],0),MATCH("CUSTO TOTAL",composicoes[#Headers],0))</f>
        <v>439.52</v>
      </c>
      <c r="BE246" s="38">
        <f ca="1">HC[[#This Row],[Aço (kg)]]*HC[[#This Row],[Aço (R$/kg)]]+HC[[#This Row],[Conc (m³)]]*HC[[#This Row],[Conc (R$/m³)]]</f>
        <v>9939.303481680894</v>
      </c>
      <c r="BF246" s="4" t="str">
        <f ca="1">IF(COUNTIF(HC[#This Row],"N.S.")&gt;0,"lim.","OK")</f>
        <v>lim.</v>
      </c>
      <c r="BG246" s="4" t="str">
        <f>IF(HC[[#This Row],[Prof. (m)]]&lt;4,"lim.","OK")</f>
        <v>lim.</v>
      </c>
      <c r="BH246" s="4" t="str">
        <f>IF(HC[[#This Row],[Prof. (m)]]&gt;=8*HC[[#This Row],[Ø (cm)]]/100,"OK","lim.")</f>
        <v>lim.</v>
      </c>
      <c r="BI246" s="4" t="str">
        <f ca="1">IF(HC[[#This Row],[Verif. Biela]]="OK","OK","lim.")</f>
        <v>OK</v>
      </c>
      <c r="BJ246" s="4" t="str">
        <f ca="1">IF(COUNTA(HC[[#This Row],[Nº Est.]:[Biela comp.]])=COUNTIF(HC[[#This Row],[Nº Est.]:[Biela comp.]],"OK"),"OK","lim.")</f>
        <v>lim.</v>
      </c>
      <c r="BK246" s="4" t="str">
        <f ca="1">IF(HC[[#This Row],[Controle]]="OK",HC[[#This Row],[nE]]&amp;" Ø"&amp;HC[[#This Row],[Ø (cm)]]&amp;"cm Prof. "&amp;HC[[#This Row],[Prof. (m)]]&amp;" m","")</f>
        <v/>
      </c>
      <c r="BL246" s="4" t="str">
        <f ca="1">IF(HC[[#This Row],[idDimensionamento]]="","",HC[[#This Row],[idPilar]]&amp;HC[[#This Row],[idDimensionamento]])</f>
        <v/>
      </c>
    </row>
    <row r="247" spans="2:64" x14ac:dyDescent="0.25">
      <c r="B247" s="12">
        <f>ROUNDUP((ROW(HC[[#This Row],[idDiâmetro]])-ROW(HC[[#Headers],[idDiâmetro]]))/(COUNT(SPT[Prof. (m)])*COUNT(PILARES[Pilar])),0)</f>
        <v>9</v>
      </c>
      <c r="C247" s="12">
        <f>IF(HC[[#This Row],[idDiâmetro]]&lt;&gt;B246,1,IF(HC[[#This Row],[Prof. (m)]]=0,C246+1,C246))</f>
        <v>2</v>
      </c>
      <c r="D247" s="82">
        <f>IFERROR(IF(D246=MAX(SPT[Prof. (m)]),0,D246+1),0)</f>
        <v>4</v>
      </c>
      <c r="E247" s="82">
        <f>INDEX(SPT[],MATCH(HC[[#This Row],[Prof. (m)]],SPT[Prof. (m)],0),2)</f>
        <v>8</v>
      </c>
      <c r="F247" s="82" t="str">
        <f>INDEX(SPT[],MATCH(HC[[#This Row],[Prof. (m)]],SPT[Prof. (m)],0),3)</f>
        <v>Areia siltosa</v>
      </c>
      <c r="G247" s="82">
        <f>INDEX(estacas[],HC[[#This Row],[idDiâmetro]],MATCH($B$2,estacas[#Headers],0))</f>
        <v>80</v>
      </c>
      <c r="H247" s="82">
        <f>INDEX(estacas[],MATCH(HC[[#This Row],[Ø (cm)]],estacas[Ø HC (cm)],0),MATCH(HC[[#Headers],[Pe HC (kN)]],estacas[#Headers],0))</f>
        <v>3200</v>
      </c>
      <c r="I247" s="4">
        <f>INDEX(K_alpha_C[],MATCH(HC[[#This Row],[Solo]],K_alpha_C[Solo],0),2)</f>
        <v>0.8</v>
      </c>
      <c r="J247" s="5">
        <f>INDEX(K_alpha_C[],MATCH(HC[[#This Row],[Solo]],K_alpha_C[Solo],0),3)</f>
        <v>2</v>
      </c>
      <c r="K247" s="4">
        <f>INDEX(F1_F2[],MATCH($D$2,F1_F2[Tipo de estaca],0),2)</f>
        <v>2</v>
      </c>
      <c r="L247" s="4">
        <f>INDEX(F1_F2[],MATCH($D$2,F1_F2[Tipo de estaca],0),3)</f>
        <v>4</v>
      </c>
      <c r="M247" s="4">
        <f>PI()*(HC[[#This Row],[Ø (cm)]]/100)^2/4</f>
        <v>0.50265482457436694</v>
      </c>
      <c r="N247" s="4">
        <f>PI()*HC[[#This Row],[Ø (cm)]]/100</f>
        <v>2.5132741228718345</v>
      </c>
      <c r="O247" s="4">
        <f>IF(HC[[#This Row],[Prof. (m)]]=0,0,HC[[#This Row],[α (%)]]/100*HC[[#This Row],[K (MPa)]]*1000*HC[[#This Row],[NSPT]])</f>
        <v>128</v>
      </c>
      <c r="P247" s="4">
        <f>IF(HC[[#This Row],[Prof. (m)]]=0,0,(HC[[#This Row],[K (MPa)]]*1000*HC[[#This Row],[NSPT]]/HC[[#This Row],[F1]]*HC[[#This Row],[Ap (m²)]]+HC[[#This Row],[U (m)]]/HC[[#This Row],[F2]]*SUMIFS(HC[(α∙K∙NL∙ΔL)],HC[Prof. (m)],"&lt;="&amp;HC[[#This Row],[Prof. (m)]],HC[idDiâmetro],HC[[#This Row],[idDiâmetro]],HC[idPilar],HC[[#This Row],[idPilar]]))/'DADOS CAP. CARGA'!$D$2)</f>
        <v>884.67249125088586</v>
      </c>
      <c r="Q247" s="12">
        <f>INDEX(C_alpha_beta[],MATCH(HC[[#This Row],[Solo]],C_alpha_beta[Solo],0),MATCH(HC[[#Headers],[C (kPa)]],C_alpha_beta[#Headers],0))</f>
        <v>400</v>
      </c>
      <c r="R247" s="4">
        <f>INDEX(C_alpha_beta[],MATCH(HC[[#This Row],[Solo]],C_alpha_beta[Solo],0),MATCH(HC[[#Headers],[α ESF]],C_alpha_beta[#Headers],0))</f>
        <v>0.5</v>
      </c>
      <c r="S247" s="4">
        <f>INDEX(C_alpha_beta[],MATCH(HC[[#This Row],[Solo]],C_alpha_beta[Solo],0),MATCH(HC[[#Headers],[β ESF]],C_alpha_beta[#Headers],0))</f>
        <v>0.5</v>
      </c>
      <c r="T247" s="4">
        <f>IF(HC[[#This Row],[Prof. (m)]]=0,0,10*(HC[[#This Row],[NSPT]]/3+1))</f>
        <v>36.666666666666664</v>
      </c>
      <c r="U247" s="4">
        <f>(HC[[#This Row],[α ESF]]*HC[[#This Row],[C (kPa)]]*HC[[#This Row],[NSPT]]*HC[[#This Row],[Ap (m²)]])/'DADOS CAP. CARGA'!$Q$2+(HC[[#This Row],[β ESF]]*SUMIFS(HC[10∙(NL/3+1)],HC[Prof. (m)],"&lt;="&amp;HC[[#This Row],[Prof. (m)]],HC[idDiâmetro],HC[[#This Row],[idDiâmetro]],HC[idPilar],HC[[#This Row],[idPilar]])*HC[[#This Row],[U (m)]])/'DADOS CAP. CARGA'!$S$2</f>
        <v>259.70499269675622</v>
      </c>
      <c r="V247" s="4">
        <f>IF(SPT!$M$5=1,MIN(HC[[#This Row],[Pe HC (kN)]],HC[[#This Row],[R_AV (kN)]]),IF(SPT!$M$5=2,MIN(HC[[#This Row],[Pe HC (kN)]],HC[[#This Row],[R_DC (kN)]]),MIN(HC[[#This Row],[Pe HC (kN)]],HC[[#This Row],[R_AV (kN)]],HC[[#This Row],[R_DC (kN)]])))</f>
        <v>259.70499269675622</v>
      </c>
      <c r="W247" s="4">
        <f>INDEX(PILARES[],HC[[#This Row],[idPilar]],MATCH("Carga (kN)",PILARES[#Headers],0))*1.4</f>
        <v>1750</v>
      </c>
      <c r="X247" s="12">
        <f>INDEX(PILARES[],HC[[#This Row],[idPilar]],MATCH(HC[[#Headers],[ap (cm)]],PILARES[#Headers],0))</f>
        <v>50</v>
      </c>
      <c r="Y247" s="12">
        <f>INDEX(PILARES[],HC[[#This Row],[idPilar]],MATCH(HC[[#Headers],[bp (cm)]],PILARES[#Headers],0))</f>
        <v>40</v>
      </c>
      <c r="Z247" s="4">
        <f>SQRT(HC[[#This Row],[ap (cm)]]*HC[[#This Row],[bp (cm)]])</f>
        <v>44.721359549995796</v>
      </c>
      <c r="AA247" s="12">
        <f>HC[[#This Row],[ap (cm)]]*HC[[#This Row],[bp (cm)]]</f>
        <v>2000</v>
      </c>
      <c r="AB247" s="12">
        <f ca="1">IF(HC[[#This Row],[Padm∙ε (kN)]]&gt;=HC[[#This Row],[Padm (kN)]],ROUNDUP(1.05*HC[[#This Row],[Nsd (kN)]]/HC[[#This Row],[Padm (kN)]],0),ROUNDUP(1.05*HC[[#This Row],[Nsd (kN)]]/HC[[#This Row],[Padm (kN)]],0)+1)</f>
        <v>8</v>
      </c>
      <c r="AC247" s="4" t="str">
        <f ca="1">IFERROR(IF(HC[[#This Row],[nE]]=1,HC[[#This Row],[Padm (kN)]],HC[[#This Row],[Padm (kN)]]*HC[[#This Row],[nE]]*INDEX(grupoEstacas[],HC[[#This Row],[nE]],MATCH("ε",grupoEstacas[#Headers],0))),"N.S.")</f>
        <v>N.S.</v>
      </c>
      <c r="AD247" s="4">
        <f ca="1">1.05*HC[[#This Row],[Nsd (kN)]]/(HC[[#This Row],[nE]]*PI()*HC[[#This Row],[Ø (cm)]]^2/4)*10</f>
        <v>0.4569487623927464</v>
      </c>
      <c r="AE247" s="4">
        <f ca="1">IF(HC[[#This Row],[σ (MPa)]]&lt;INDEX(tipoEstaca[],MATCH($D$2,tipoEstaca[TIPO DE ESTACA],0),MATCH("σmáx (MPa)",tipoEstaca[#Headers],0)),0.4%*PI()*HC[[#This Row],[Ø (cm)]]^2/4,"N.S.")</f>
        <v>20.106192982974676</v>
      </c>
      <c r="AF247" s="82">
        <f>INDEX(tipoEstaca[],MATCH($D$2,tipoEstaca[TIPO DE ESTACA],0),MATCH(HC[[#Headers],[Comprimento (m)]],tipoEstaca[#Headers],0))</f>
        <v>4</v>
      </c>
      <c r="AG247" s="5">
        <f ca="1">HC[[#This Row],[As,mín (cm²)]]/100^2*HC[[#This Row],[Comprimento (m)]]*7850</f>
        <v>63.133445966540478</v>
      </c>
      <c r="AH247" s="4">
        <f ca="1">HC[[#This Row],[nE]]*HC[[#This Row],[Prof. (m)]]*HC[[#This Row],[Ap (m²)]]</f>
        <v>16.084954386379742</v>
      </c>
      <c r="AI247" s="82">
        <f ca="1">IF(HC[[#This Row],[nE]]=1,0,MAX(3*HC[[#This Row],[Ø (cm)]],60))</f>
        <v>240</v>
      </c>
      <c r="AJ247" s="82">
        <f ca="1">IF(HC[[#This Row],[nE]]=1,HC[[#This Row],[Ø (cm)]]+2*10,MAX(1.5*HC[[#This Row],[Ø (cm)]],HC[[#This Row],[Ø (cm)]]+15))</f>
        <v>120</v>
      </c>
      <c r="AK247" s="82" t="str">
        <f ca="1">alturaUtil(HC[[#This Row],[nE]],HC[[#This Row],[Ø (cm)]],HC[[#This Row],[e (cm)]],HC[[#This Row],[ap,eq (cm)]])</f>
        <v>N.S.</v>
      </c>
      <c r="AL247" s="82" t="str">
        <f ca="1">IFERROR(HC[[#This Row],[d (cm)]]+arredondarParaCimaMultiplo5cm(MAX(5,SQRT(PI())/2*HC[[#This Row],[Ø (cm)]]/5)),"N.S.")</f>
        <v>N.S.</v>
      </c>
      <c r="AM247" s="5" t="str">
        <f ca="1">alpha(HC[[#This Row],[nE]],HC[[#This Row],[d (cm)]],HC[[#This Row],[e (cm)]],HC[[#This Row],[ap,eq (cm)]])</f>
        <v>N.S.</v>
      </c>
      <c r="AN247" s="35" t="str">
        <f ca="1">IFERROR(HC[[#This Row],[Nsd (kN)]]/(HC[[#This Row],[Ap (cm²)]]*SIN(HC[[#This Row],[α]])^2),"N.S.")</f>
        <v>N.S.</v>
      </c>
      <c r="AO247" s="35" t="str">
        <f ca="1">IFERROR(HC[[#This Row],[Nsd (kN)]]/(HC[[#This Row],[nE]]*PI()*HC[[#This Row],[Ø (cm)]]^2/4*SIN(HC[[#This Row],[α]])^2),"N.S.")</f>
        <v>N.S.</v>
      </c>
      <c r="AP247" s="4" t="str">
        <f ca="1">IFERROR(INDEX(grupoEstacas[],HC[[#This Row],[nE]],MATCH("coef. Blévot",grupoEstacas[#Headers],0)),"N.S.")</f>
        <v>N.S.</v>
      </c>
      <c r="AQ247" s="35" t="str">
        <f ca="1">IFERROR(HC[[#This Row],[coef. Blévot]]*0.9*INDEX(tipoEstaca[],MATCH($D$2,tipoEstaca[TIPO DE ESTACA],0),MATCH("fcd (kN/cm²)",tipoEstaca[#Headers],0)),"N.S.")</f>
        <v>N.S.</v>
      </c>
      <c r="AR247" s="82" t="str">
        <f ca="1">IF(AND(HC[[#This Row],[cd,b,pil (kN/cm²)]]&lt;=HC[[#This Row],[cd,b,lim (kN/cm²)]],HC[[#This Row],[cd,b,est (kN/cm²)]]&lt;=HC[[#This Row],[cd,b,lim (kN/cm²)]]),"OK","ERRO")</f>
        <v>OK</v>
      </c>
      <c r="AS247" s="4" t="str">
        <f ca="1">As_lado(HC[[#This Row],[nE]],HC[[#This Row],[Nsd (kN)]],HC[[#This Row],[d (cm)]],HC[[#This Row],[e (cm)]],HC[[#This Row],[ap,eq (cm)]])</f>
        <v>N.S.</v>
      </c>
      <c r="AT247" s="4" t="str">
        <f ca="1">IF(HC[[#This Row],[nE]]=1,HC[[#This Row],[As,lado (cm²)]],IF(HC[[#This Row],[nE]]=2,0.075*2*HC[a (cm)],"N.A."))</f>
        <v>N.A.</v>
      </c>
      <c r="AU247" s="4" t="str">
        <f ca="1">IFERROR(IF(HC[[#This Row],[nE]]=1,"N.A.",0.2*HC[[#This Row],[As,lado (cm²)]]),"N.S.")</f>
        <v>N.S.</v>
      </c>
      <c r="AV247" s="4" t="str">
        <f ca="1">As_malha(HC[[#This Row],[nE]],HC[[#This Row],[As,lado (cm²)]],HC[[#This Row],[Nsd (kN)]])</f>
        <v>N.S.</v>
      </c>
      <c r="AW247" s="4" t="str">
        <f ca="1">As_susp_tot(HC[[#This Row],[nE]],HC[[#This Row],[Nsd (kN)]])</f>
        <v>N.S.</v>
      </c>
      <c r="AX247" s="4" t="str">
        <f ca="1">Asp_face(HC[[#This Row],[nE]],HC[[#This Row],[As,lado (cm²)]])</f>
        <v>N.S.</v>
      </c>
      <c r="AY247" s="5" t="str">
        <f ca="1">acoBloco(HC[[#This Row],[nE]],HC[[#This Row],[e (cm)]],HC[[#This Row],[a (cm)]],HC[[#This Row],[h (cm)]],HC[[#This Row],[As,lado (cm²)]],HC[[#This Row],[Asp e Asw (cm²/m)]],HC[[#This Row],[As,sup (cm²)]],HC[[#This Row],[As,malha (cm²)]],HC[[#This Row],[As,susp,tot (cm²)]],HC[[#This Row],[Asp,face (cm²)]])</f>
        <v>N.S.</v>
      </c>
      <c r="AZ247" s="4" t="str">
        <f ca="1">concretoBloco(HC[[#This Row],[nE]],HC[[#This Row],[e (cm)]],HC[[#This Row],[a (cm)]],HC[[#This Row],[h (cm)]])</f>
        <v>N.S.</v>
      </c>
      <c r="BA247" s="5">
        <f ca="1">SUM(HC[[#This Row],[Aço Est (kg)]],HC[[#This Row],[Aço Bloco (kg)]])</f>
        <v>63.133445966540478</v>
      </c>
      <c r="BB247" s="4">
        <f>INDEX(composicoes[],MATCH(95580,composicoes[CÓDIGO],0),MATCH("CUSTO TOTAL",composicoes[#Headers],0))</f>
        <v>10.46</v>
      </c>
      <c r="BC247" s="4">
        <f ca="1">SUM(HC[[#This Row],[Conc Est (m³)]],HC[[#This Row],[Conc Bloco (m³)]])</f>
        <v>16.084954386379742</v>
      </c>
      <c r="BD247" s="4">
        <f>INDEX(composicoes[],MATCH(94966,composicoes[CÓDIGO],0),MATCH("CUSTO TOTAL",composicoes[#Headers],0))</f>
        <v>439.52</v>
      </c>
      <c r="BE247" s="38">
        <f ca="1">HC[[#This Row],[Aço (kg)]]*HC[[#This Row],[Aço (R$/kg)]]+HC[[#This Row],[Conc (m³)]]*HC[[#This Row],[Conc (R$/m³)]]</f>
        <v>7730.0349967116372</v>
      </c>
      <c r="BF247" s="4" t="str">
        <f ca="1">IF(COUNTIF(HC[#This Row],"N.S.")&gt;0,"lim.","OK")</f>
        <v>lim.</v>
      </c>
      <c r="BG247" s="4" t="str">
        <f>IF(HC[[#This Row],[Prof. (m)]]&lt;4,"lim.","OK")</f>
        <v>OK</v>
      </c>
      <c r="BH247" s="4" t="str">
        <f>IF(HC[[#This Row],[Prof. (m)]]&gt;=8*HC[[#This Row],[Ø (cm)]]/100,"OK","lim.")</f>
        <v>lim.</v>
      </c>
      <c r="BI247" s="4" t="str">
        <f ca="1">IF(HC[[#This Row],[Verif. Biela]]="OK","OK","lim.")</f>
        <v>OK</v>
      </c>
      <c r="BJ247" s="4" t="str">
        <f ca="1">IF(COUNTA(HC[[#This Row],[Nº Est.]:[Biela comp.]])=COUNTIF(HC[[#This Row],[Nº Est.]:[Biela comp.]],"OK"),"OK","lim.")</f>
        <v>lim.</v>
      </c>
      <c r="BK247" s="4" t="str">
        <f ca="1">IF(HC[[#This Row],[Controle]]="OK",HC[[#This Row],[nE]]&amp;" Ø "&amp;HC[[#This Row],[Ø (cm)]]&amp;" cm, Prof. "&amp;HC[[#This Row],[Prof. (m)]]&amp;" m","")</f>
        <v/>
      </c>
      <c r="BL247" s="4" t="str">
        <f ca="1">IF(HC[[#This Row],[idDimensionamento]]="","",HC[[#This Row],[idPilar]]&amp;HC[[#This Row],[idDimensionamento]])</f>
        <v/>
      </c>
    </row>
    <row r="248" spans="2:64" x14ac:dyDescent="0.25">
      <c r="B248" s="12">
        <f>ROUNDUP((ROW(HC[[#This Row],[idDiâmetro]])-ROW(HC[[#Headers],[idDiâmetro]]))/(COUNT(SPT[Prof. (m)])*COUNT(PILARES[Pilar])),0)</f>
        <v>9</v>
      </c>
      <c r="C248" s="12">
        <f>IF(HC[[#This Row],[idDiâmetro]]&lt;&gt;B247,1,IF(HC[[#This Row],[Prof. (m)]]=0,C247+1,C247))</f>
        <v>2</v>
      </c>
      <c r="D248" s="82">
        <f>IFERROR(IF(D247=MAX(SPT[Prof. (m)]),0,D247+1),0)</f>
        <v>5</v>
      </c>
      <c r="E248" s="82">
        <f>INDEX(SPT[],MATCH(HC[[#This Row],[Prof. (m)]],SPT[Prof. (m)],0),2)</f>
        <v>17</v>
      </c>
      <c r="F248" s="82" t="str">
        <f>INDEX(SPT[],MATCH(HC[[#This Row],[Prof. (m)]],SPT[Prof. (m)],0),3)</f>
        <v>Areia siltosa</v>
      </c>
      <c r="G248" s="82">
        <f>INDEX(estacas[],HC[[#This Row],[idDiâmetro]],MATCH($B$2,estacas[#Headers],0))</f>
        <v>80</v>
      </c>
      <c r="H248" s="82">
        <f>INDEX(estacas[],MATCH(HC[[#This Row],[Ø (cm)]],estacas[Ø HC (cm)],0),MATCH(HC[[#Headers],[Pe HC (kN)]],estacas[#Headers],0))</f>
        <v>3200</v>
      </c>
      <c r="I248" s="4">
        <f>INDEX(K_alpha_C[],MATCH(HC[[#This Row],[Solo]],K_alpha_C[Solo],0),2)</f>
        <v>0.8</v>
      </c>
      <c r="J248" s="5">
        <f>INDEX(K_alpha_C[],MATCH(HC[[#This Row],[Solo]],K_alpha_C[Solo],0),3)</f>
        <v>2</v>
      </c>
      <c r="K248" s="4">
        <f>INDEX(F1_F2[],MATCH($D$2,F1_F2[Tipo de estaca],0),2)</f>
        <v>2</v>
      </c>
      <c r="L248" s="4">
        <f>INDEX(F1_F2[],MATCH($D$2,F1_F2[Tipo de estaca],0),3)</f>
        <v>4</v>
      </c>
      <c r="M248" s="4">
        <f>PI()*(HC[[#This Row],[Ø (cm)]]/100)^2/4</f>
        <v>0.50265482457436694</v>
      </c>
      <c r="N248" s="4">
        <f>PI()*HC[[#This Row],[Ø (cm)]]/100</f>
        <v>2.5132741228718345</v>
      </c>
      <c r="O248" s="4">
        <f>IF(HC[[#This Row],[Prof. (m)]]=0,0,HC[[#This Row],[α (%)]]/100*HC[[#This Row],[K (MPa)]]*1000*HC[[#This Row],[NSPT]])</f>
        <v>272</v>
      </c>
      <c r="P248" s="4">
        <f>IF(HC[[#This Row],[Prof. (m)]]=0,0,(HC[[#This Row],[K (MPa)]]*1000*HC[[#This Row],[NSPT]]/HC[[#This Row],[F1]]*HC[[#This Row],[Ap (m²)]]+HC[[#This Row],[U (m)]]/HC[[#This Row],[F2]]*SUMIFS(HC[(α∙K∙NL∙ΔL)],HC[Prof. (m)],"&lt;="&amp;HC[[#This Row],[Prof. (m)]],HC[idDiâmetro],HC[[#This Row],[idDiâmetro]],HC[idPilar],HC[[#This Row],[idPilar]]))/'DADOS CAP. CARGA'!$D$2)</f>
        <v>1874.9024956623887</v>
      </c>
      <c r="Q248" s="12">
        <f>INDEX(C_alpha_beta[],MATCH(HC[[#This Row],[Solo]],C_alpha_beta[Solo],0),MATCH(HC[[#Headers],[C (kPa)]],C_alpha_beta[#Headers],0))</f>
        <v>400</v>
      </c>
      <c r="R248" s="4">
        <f>INDEX(C_alpha_beta[],MATCH(HC[[#This Row],[Solo]],C_alpha_beta[Solo],0),MATCH(HC[[#Headers],[α ESF]],C_alpha_beta[#Headers],0))</f>
        <v>0.5</v>
      </c>
      <c r="S248" s="4">
        <f>INDEX(C_alpha_beta[],MATCH(HC[[#This Row],[Solo]],C_alpha_beta[Solo],0),MATCH(HC[[#Headers],[β ESF]],C_alpha_beta[#Headers],0))</f>
        <v>0.5</v>
      </c>
      <c r="T248" s="4">
        <f>IF(HC[[#This Row],[Prof. (m)]]=0,0,10*(HC[[#This Row],[NSPT]]/3+1))</f>
        <v>66.666666666666671</v>
      </c>
      <c r="U248" s="4">
        <f>(HC[[#This Row],[α ESF]]*HC[[#This Row],[C (kPa)]]*HC[[#This Row],[NSPT]]*HC[[#This Row],[Ap (m²)]])/'DADOS CAP. CARGA'!$Q$2+(HC[[#This Row],[β ESF]]*SUMIFS(HC[10∙(NL/3+1)],HC[Prof. (m)],"&lt;="&amp;HC[[#This Row],[Prof. (m)]],HC[idDiâmetro],HC[[#This Row],[idDiâmetro]],HC[idPilar],HC[[#This Row],[idPilar]])*HC[[#This Row],[U (m)]])/'DADOS CAP. CARGA'!$S$2</f>
        <v>527.78756580308527</v>
      </c>
      <c r="V248" s="4">
        <f>IF(SPT!$M$5=1,MIN(HC[[#This Row],[Pe HC (kN)]],HC[[#This Row],[R_AV (kN)]]),IF(SPT!$M$5=2,MIN(HC[[#This Row],[Pe HC (kN)]],HC[[#This Row],[R_DC (kN)]]),MIN(HC[[#This Row],[Pe HC (kN)]],HC[[#This Row],[R_AV (kN)]],HC[[#This Row],[R_DC (kN)]])))</f>
        <v>527.78756580308527</v>
      </c>
      <c r="W248" s="4">
        <f>INDEX(PILARES[],HC[[#This Row],[idPilar]],MATCH("Carga (kN)",PILARES[#Headers],0))*1.4</f>
        <v>1750</v>
      </c>
      <c r="X248" s="12">
        <f>INDEX(PILARES[],HC[[#This Row],[idPilar]],MATCH(HC[[#Headers],[ap (cm)]],PILARES[#Headers],0))</f>
        <v>50</v>
      </c>
      <c r="Y248" s="12">
        <f>INDEX(PILARES[],HC[[#This Row],[idPilar]],MATCH(HC[[#Headers],[bp (cm)]],PILARES[#Headers],0))</f>
        <v>40</v>
      </c>
      <c r="Z248" s="4">
        <f>SQRT(HC[[#This Row],[ap (cm)]]*HC[[#This Row],[bp (cm)]])</f>
        <v>44.721359549995796</v>
      </c>
      <c r="AA248" s="12">
        <f>HC[[#This Row],[ap (cm)]]*HC[[#This Row],[bp (cm)]]</f>
        <v>2000</v>
      </c>
      <c r="AB248" s="12">
        <f ca="1">IF(HC[[#This Row],[Padm∙ε (kN)]]&gt;=HC[[#This Row],[Padm (kN)]],ROUNDUP(1.05*HC[[#This Row],[Nsd (kN)]]/HC[[#This Row],[Padm (kN)]],0),ROUNDUP(1.05*HC[[#This Row],[Nsd (kN)]]/HC[[#This Row],[Padm (kN)]],0)+1)</f>
        <v>4</v>
      </c>
      <c r="AC248" s="4">
        <f ca="1">IFERROR(IF(HC[[#This Row],[nE]]=1,HC[[#This Row],[Padm (kN)]],HC[[#This Row],[Padm (kN)]]*HC[[#This Row],[nE]]*INDEX(grupoEstacas[],HC[[#This Row],[nE]],MATCH("ε",grupoEstacas[#Headers],0))),"N.S.")</f>
        <v>1715.3095888600271</v>
      </c>
      <c r="AD248" s="4">
        <f ca="1">1.05*HC[[#This Row],[Nsd (kN)]]/(HC[[#This Row],[nE]]*PI()*HC[[#This Row],[Ø (cm)]]^2/4)*10</f>
        <v>0.9138975247854928</v>
      </c>
      <c r="AE248" s="4">
        <f ca="1">IF(HC[[#This Row],[σ (MPa)]]&lt;INDEX(tipoEstaca[],MATCH($D$2,tipoEstaca[TIPO DE ESTACA],0),MATCH("σmáx (MPa)",tipoEstaca[#Headers],0)),0.4%*PI()*HC[[#This Row],[Ø (cm)]]^2/4,"N.S.")</f>
        <v>20.106192982974676</v>
      </c>
      <c r="AF248" s="82">
        <f>INDEX(tipoEstaca[],MATCH($D$2,tipoEstaca[TIPO DE ESTACA],0),MATCH(HC[[#Headers],[Comprimento (m)]],tipoEstaca[#Headers],0))</f>
        <v>4</v>
      </c>
      <c r="AG248" s="5">
        <f ca="1">HC[[#This Row],[As,mín (cm²)]]/100^2*HC[[#This Row],[Comprimento (m)]]*7850</f>
        <v>63.133445966540478</v>
      </c>
      <c r="AH248" s="4">
        <f ca="1">HC[[#This Row],[nE]]*HC[[#This Row],[Prof. (m)]]*HC[[#This Row],[Ap (m²)]]</f>
        <v>10.053096491487338</v>
      </c>
      <c r="AI248" s="82">
        <f ca="1">IF(HC[[#This Row],[nE]]=1,0,MAX(3*HC[[#This Row],[Ø (cm)]],60))</f>
        <v>240</v>
      </c>
      <c r="AJ248" s="82">
        <f ca="1">IF(HC[[#This Row],[nE]]=1,HC[[#This Row],[Ø (cm)]]+2*10,MAX(1.5*HC[[#This Row],[Ø (cm)]],HC[[#This Row],[Ø (cm)]]+15))</f>
        <v>120</v>
      </c>
      <c r="AK248" s="82">
        <f ca="1">alturaUtil(HC[[#This Row],[nE]],HC[[#This Row],[Ø (cm)]],HC[[#This Row],[e (cm)]],HC[[#This Row],[ap,eq (cm)]])</f>
        <v>110</v>
      </c>
      <c r="AL248" s="82">
        <f ca="1">IFERROR(HC[[#This Row],[d (cm)]]+arredondarParaCimaMultiplo5cm(MAX(5,SQRT(PI())/2*HC[[#This Row],[Ø (cm)]]/5)),"N.S.")</f>
        <v>125</v>
      </c>
      <c r="AM248" s="5">
        <f ca="1">alpha(HC[[#This Row],[nE]],HC[[#This Row],[d (cm)]],HC[[#This Row],[e (cm)]],HC[[#This Row],[ap,eq (cm)]])</f>
        <v>45.309057412860952</v>
      </c>
      <c r="AN248" s="35">
        <f ca="1">IFERROR(HC[[#This Row],[Nsd (kN)]]/(HC[[#This Row],[Ap (cm²)]]*SIN(HC[[#This Row],[α]])^2),"N.S.")</f>
        <v>0.92925031910840006</v>
      </c>
      <c r="AO248" s="35">
        <f ca="1">IFERROR(HC[[#This Row],[Nsd (kN)]]/(HC[[#This Row],[nE]]*PI()*HC[[#This Row],[Ø (cm)]]^2/4*SIN(HC[[#This Row],[α]])^2),"N.S.")</f>
        <v>9.2434238534889357E-2</v>
      </c>
      <c r="AP248" s="4">
        <f ca="1">IFERROR(INDEX(grupoEstacas[],HC[[#This Row],[nE]],MATCH("coef. Blévot",grupoEstacas[#Headers],0)),"N.S.")</f>
        <v>2.1</v>
      </c>
      <c r="AQ248" s="35">
        <f ca="1">IFERROR(HC[[#This Row],[coef. Blévot]]*0.9*INDEX(tipoEstaca[],MATCH($D$2,tipoEstaca[TIPO DE ESTACA],0),MATCH("fcd (kN/cm²)",tipoEstaca[#Headers],0)),"N.S.")</f>
        <v>2.1</v>
      </c>
      <c r="AR248" s="82" t="str">
        <f ca="1">IF(AND(HC[[#This Row],[cd,b,pil (kN/cm²)]]&lt;=HC[[#This Row],[cd,b,lim (kN/cm²)]],HC[[#This Row],[cd,b,est (kN/cm²)]]&lt;=HC[[#This Row],[cd,b,lim (kN/cm²)]]),"OK","ERRO")</f>
        <v>OK</v>
      </c>
      <c r="AS248" s="4">
        <f ca="1">As_lado(HC[[#This Row],[nE]],HC[[#This Row],[Nsd (kN)]],HC[[#This Row],[d (cm)]],HC[[#This Row],[e (cm)]],HC[[#This Row],[ap,eq (cm)]])</f>
        <v>9.9545257262003801</v>
      </c>
      <c r="AT248" s="4" t="str">
        <f ca="1">IF(HC[[#This Row],[nE]]=1,HC[[#This Row],[As,lado (cm²)]],IF(HC[[#This Row],[nE]]=2,0.075*2*HC[a (cm)],"N.A."))</f>
        <v>N.A.</v>
      </c>
      <c r="AU248" s="4">
        <f ca="1">IFERROR(IF(HC[[#This Row],[nE]]=1,"N.A.",0.2*HC[[#This Row],[As,lado (cm²)]]),"N.S.")</f>
        <v>1.9909051452400761</v>
      </c>
      <c r="AV248" s="4">
        <f ca="1">As_malha(HC[[#This Row],[nE]],HC[[#This Row],[As,lado (cm²)]],HC[[#This Row],[Nsd (kN)]])</f>
        <v>1.9909051452400761</v>
      </c>
      <c r="AW248" s="4">
        <f ca="1">As_susp_tot(HC[[#This Row],[nE]],HC[[#This Row],[Nsd (kN)]])</f>
        <v>6.708333333333333</v>
      </c>
      <c r="AX248" s="4">
        <f ca="1">Asp_face(HC[[#This Row],[nE]],HC[[#This Row],[As,lado (cm²)]])</f>
        <v>4.9772628631001901</v>
      </c>
      <c r="AY248" s="5">
        <f ca="1">acoBloco(HC[[#This Row],[nE]],HC[[#This Row],[e (cm)]],HC[[#This Row],[a (cm)]],HC[[#This Row],[h (cm)]],HC[[#This Row],[As,lado (cm²)]],HC[[#This Row],[Asp e Asw (cm²/m)]],HC[[#This Row],[As,sup (cm²)]],HC[[#This Row],[As,malha (cm²)]],HC[[#This Row],[As,susp,tot (cm²)]],HC[[#This Row],[Asp,face (cm²)]])</f>
        <v>276.64485322485911</v>
      </c>
      <c r="AZ248" s="4">
        <f ca="1">concretoBloco(HC[[#This Row],[nE]],HC[[#This Row],[e (cm)]],HC[[#This Row],[a (cm)]],HC[[#This Row],[h (cm)]])</f>
        <v>28.8</v>
      </c>
      <c r="BA248" s="5">
        <f ca="1">SUM(HC[[#This Row],[Aço Est (kg)]],HC[[#This Row],[Aço Bloco (kg)]])</f>
        <v>339.77829919139958</v>
      </c>
      <c r="BB248" s="4">
        <f>INDEX(composicoes[],MATCH(95580,composicoes[CÓDIGO],0),MATCH("CUSTO TOTAL",composicoes[#Headers],0))</f>
        <v>10.46</v>
      </c>
      <c r="BC248" s="4">
        <f ca="1">SUM(HC[[#This Row],[Conc Est (m³)]],HC[[#This Row],[Conc Bloco (m³)]])</f>
        <v>38.853096491487335</v>
      </c>
      <c r="BD248" s="4">
        <f>INDEX(composicoes[],MATCH(94966,composicoes[CÓDIGO],0),MATCH("CUSTO TOTAL",composicoes[#Headers],0))</f>
        <v>439.52</v>
      </c>
      <c r="BE248" s="38">
        <f ca="1">HC[[#This Row],[Aço (kg)]]*HC[[#This Row],[Aço (R$/kg)]]+HC[[#This Row],[Conc (m³)]]*HC[[#This Row],[Conc (R$/m³)]]</f>
        <v>20630.79397948055</v>
      </c>
      <c r="BF248" s="4" t="str">
        <f ca="1">IF(COUNTIF(HC[#This Row],"N.S.")&gt;0,"lim.","OK")</f>
        <v>OK</v>
      </c>
      <c r="BG248" s="4" t="str">
        <f>IF(HC[[#This Row],[Prof. (m)]]&lt;4,"lim.","OK")</f>
        <v>OK</v>
      </c>
      <c r="BH248" s="4" t="str">
        <f>IF(HC[[#This Row],[Prof. (m)]]&gt;=8*HC[[#This Row],[Ø (cm)]]/100,"OK","lim.")</f>
        <v>lim.</v>
      </c>
      <c r="BI248" s="4" t="str">
        <f ca="1">IF(HC[[#This Row],[Verif. Biela]]="OK","OK","lim.")</f>
        <v>OK</v>
      </c>
      <c r="BJ248" s="4" t="str">
        <f ca="1">IF(COUNTA(HC[[#This Row],[Nº Est.]:[Biela comp.]])=COUNTIF(HC[[#This Row],[Nº Est.]:[Biela comp.]],"OK"),"OK","lim.")</f>
        <v>lim.</v>
      </c>
      <c r="BK248" s="4" t="str">
        <f ca="1">IF(HC[[#This Row],[Controle]]="OK",HC[[#This Row],[nE]]&amp;" Ø "&amp;HC[[#This Row],[Ø (cm)]]&amp;" cm, Prof. "&amp;HC[[#This Row],[Prof. (m)]]&amp;" m","")</f>
        <v/>
      </c>
      <c r="BL248" s="4" t="str">
        <f ca="1">IF(HC[[#This Row],[idDimensionamento]]="","",HC[[#This Row],[idPilar]]&amp;HC[[#This Row],[idDimensionamento]])</f>
        <v/>
      </c>
    </row>
    <row r="249" spans="2:64" x14ac:dyDescent="0.25">
      <c r="B249" s="12">
        <f>ROUNDUP((ROW(HC[[#This Row],[idDiâmetro]])-ROW(HC[[#Headers],[idDiâmetro]]))/(COUNT(SPT[Prof. (m)])*COUNT(PILARES[Pilar])),0)</f>
        <v>9</v>
      </c>
      <c r="C249" s="12">
        <f>IF(HC[[#This Row],[idDiâmetro]]&lt;&gt;B248,1,IF(HC[[#This Row],[Prof. (m)]]=0,C248+1,C248))</f>
        <v>2</v>
      </c>
      <c r="D249" s="82">
        <f>IFERROR(IF(D248=MAX(SPT[Prof. (m)]),0,D248+1),0)</f>
        <v>6</v>
      </c>
      <c r="E249" s="82">
        <f>INDEX(SPT[],MATCH(HC[[#This Row],[Prof. (m)]],SPT[Prof. (m)],0),2)</f>
        <v>21</v>
      </c>
      <c r="F249" s="82" t="str">
        <f>INDEX(SPT[],MATCH(HC[[#This Row],[Prof. (m)]],SPT[Prof. (m)],0),3)</f>
        <v>Silte arenoso</v>
      </c>
      <c r="G249" s="82">
        <f>INDEX(estacas[],HC[[#This Row],[idDiâmetro]],MATCH($B$2,estacas[#Headers],0))</f>
        <v>80</v>
      </c>
      <c r="H249" s="82">
        <f>INDEX(estacas[],MATCH(HC[[#This Row],[Ø (cm)]],estacas[Ø HC (cm)],0),MATCH(HC[[#Headers],[Pe HC (kN)]],estacas[#Headers],0))</f>
        <v>3200</v>
      </c>
      <c r="I249" s="4">
        <f>INDEX(K_alpha_C[],MATCH(HC[[#This Row],[Solo]],K_alpha_C[Solo],0),2)</f>
        <v>0.55000000000000004</v>
      </c>
      <c r="J249" s="5">
        <f>INDEX(K_alpha_C[],MATCH(HC[[#This Row],[Solo]],K_alpha_C[Solo],0),3)</f>
        <v>2.2000000000000002</v>
      </c>
      <c r="K249" s="4">
        <f>INDEX(F1_F2[],MATCH($D$2,F1_F2[Tipo de estaca],0),2)</f>
        <v>2</v>
      </c>
      <c r="L249" s="4">
        <f>INDEX(F1_F2[],MATCH($D$2,F1_F2[Tipo de estaca],0),3)</f>
        <v>4</v>
      </c>
      <c r="M249" s="4">
        <f>PI()*(HC[[#This Row],[Ø (cm)]]/100)^2/4</f>
        <v>0.50265482457436694</v>
      </c>
      <c r="N249" s="4">
        <f>PI()*HC[[#This Row],[Ø (cm)]]/100</f>
        <v>2.5132741228718345</v>
      </c>
      <c r="O249" s="4">
        <f>IF(HC[[#This Row],[Prof. (m)]]=0,0,HC[[#This Row],[α (%)]]/100*HC[[#This Row],[K (MPa)]]*1000*HC[[#This Row],[NSPT]])</f>
        <v>254.10000000000002</v>
      </c>
      <c r="P249" s="4">
        <f>IF(HC[[#This Row],[Prof. (m)]]=0,0,(HC[[#This Row],[K (MPa)]]*1000*HC[[#This Row],[NSPT]]/HC[[#This Row],[F1]]*HC[[#This Row],[Ap (m²)]]+HC[[#This Row],[U (m)]]/HC[[#This Row],[F2]]*SUMIFS(HC[(α∙K∙NL∙ΔL)],HC[Prof. (m)],"&lt;="&amp;HC[[#This Row],[Prof. (m)]],HC[idDiâmetro],HC[[#This Row],[idDiâmetro]],HC[idPilar],HC[[#This Row],[idPilar]]))/'DADOS CAP. CARGA'!$D$2)</f>
        <v>1697.1197673957422</v>
      </c>
      <c r="Q249" s="12">
        <f>INDEX(C_alpha_beta[],MATCH(HC[[#This Row],[Solo]],C_alpha_beta[Solo],0),MATCH(HC[[#Headers],[C (kPa)]],C_alpha_beta[#Headers],0))</f>
        <v>250</v>
      </c>
      <c r="R249" s="4">
        <f>INDEX(C_alpha_beta[],MATCH(HC[[#This Row],[Solo]],C_alpha_beta[Solo],0),MATCH(HC[[#Headers],[α ESF]],C_alpha_beta[#Headers],0))</f>
        <v>0.6</v>
      </c>
      <c r="S249" s="4">
        <f>INDEX(C_alpha_beta[],MATCH(HC[[#This Row],[Solo]],C_alpha_beta[Solo],0),MATCH(HC[[#Headers],[β ESF]],C_alpha_beta[#Headers],0))</f>
        <v>0.65</v>
      </c>
      <c r="T249" s="4">
        <f>IF(HC[[#This Row],[Prof. (m)]]=0,0,10*(HC[[#This Row],[NSPT]]/3+1))</f>
        <v>80</v>
      </c>
      <c r="U249" s="4">
        <f>(HC[[#This Row],[α ESF]]*HC[[#This Row],[C (kPa)]]*HC[[#This Row],[NSPT]]*HC[[#This Row],[Ap (m²)]])/'DADOS CAP. CARGA'!$Q$2+(HC[[#This Row],[β ESF]]*SUMIFS(HC[10∙(NL/3+1)],HC[Prof. (m)],"&lt;="&amp;HC[[#This Row],[Prof. (m)]],HC[idDiâmetro],HC[[#This Row],[idDiâmetro]],HC[idPilar],HC[[#This Row],[idPilar]])*HC[[#This Row],[U (m)]])/'DADOS CAP. CARGA'!$S$2</f>
        <v>591.87605593631702</v>
      </c>
      <c r="V249" s="4">
        <f>IF(SPT!$M$5=1,MIN(HC[[#This Row],[Pe HC (kN)]],HC[[#This Row],[R_AV (kN)]]),IF(SPT!$M$5=2,MIN(HC[[#This Row],[Pe HC (kN)]],HC[[#This Row],[R_DC (kN)]]),MIN(HC[[#This Row],[Pe HC (kN)]],HC[[#This Row],[R_AV (kN)]],HC[[#This Row],[R_DC (kN)]])))</f>
        <v>591.87605593631702</v>
      </c>
      <c r="W249" s="4">
        <f>INDEX(PILARES[],HC[[#This Row],[idPilar]],MATCH("Carga (kN)",PILARES[#Headers],0))*1.4</f>
        <v>1750</v>
      </c>
      <c r="X249" s="12">
        <f>INDEX(PILARES[],HC[[#This Row],[idPilar]],MATCH(HC[[#Headers],[ap (cm)]],PILARES[#Headers],0))</f>
        <v>50</v>
      </c>
      <c r="Y249" s="12">
        <f>INDEX(PILARES[],HC[[#This Row],[idPilar]],MATCH(HC[[#Headers],[bp (cm)]],PILARES[#Headers],0))</f>
        <v>40</v>
      </c>
      <c r="Z249" s="4">
        <f>SQRT(HC[[#This Row],[ap (cm)]]*HC[[#This Row],[bp (cm)]])</f>
        <v>44.721359549995796</v>
      </c>
      <c r="AA249" s="12">
        <f>HC[[#This Row],[ap (cm)]]*HC[[#This Row],[bp (cm)]]</f>
        <v>2000</v>
      </c>
      <c r="AB249" s="12">
        <f ca="1">IF(HC[[#This Row],[Padm∙ε (kN)]]&gt;=HC[[#This Row],[Padm (kN)]],ROUNDUP(1.05*HC[[#This Row],[Nsd (kN)]]/HC[[#This Row],[Padm (kN)]],0),ROUNDUP(1.05*HC[[#This Row],[Nsd (kN)]]/HC[[#This Row],[Padm (kN)]],0)+1)</f>
        <v>4</v>
      </c>
      <c r="AC249" s="4">
        <f ca="1">IFERROR(IF(HC[[#This Row],[nE]]=1,HC[[#This Row],[Padm (kN)]],HC[[#This Row],[Padm (kN)]]*HC[[#This Row],[nE]]*INDEX(grupoEstacas[],HC[[#This Row],[nE]],MATCH("ε",grupoEstacas[#Headers],0))),"N.S.")</f>
        <v>1923.5971817930304</v>
      </c>
      <c r="AD249" s="4">
        <f ca="1">1.05*HC[[#This Row],[Nsd (kN)]]/(HC[[#This Row],[nE]]*PI()*HC[[#This Row],[Ø (cm)]]^2/4)*10</f>
        <v>0.9138975247854928</v>
      </c>
      <c r="AE249" s="4">
        <f ca="1">IF(HC[[#This Row],[σ (MPa)]]&lt;INDEX(tipoEstaca[],MATCH($D$2,tipoEstaca[TIPO DE ESTACA],0),MATCH("σmáx (MPa)",tipoEstaca[#Headers],0)),0.4%*PI()*HC[[#This Row],[Ø (cm)]]^2/4,"N.S.")</f>
        <v>20.106192982974676</v>
      </c>
      <c r="AF249" s="82">
        <f>INDEX(tipoEstaca[],MATCH($D$2,tipoEstaca[TIPO DE ESTACA],0),MATCH(HC[[#Headers],[Comprimento (m)]],tipoEstaca[#Headers],0))</f>
        <v>4</v>
      </c>
      <c r="AG249" s="5">
        <f ca="1">HC[[#This Row],[As,mín (cm²)]]/100^2*HC[[#This Row],[Comprimento (m)]]*7850</f>
        <v>63.133445966540478</v>
      </c>
      <c r="AH249" s="4">
        <f ca="1">HC[[#This Row],[nE]]*HC[[#This Row],[Prof. (m)]]*HC[[#This Row],[Ap (m²)]]</f>
        <v>12.063715789784807</v>
      </c>
      <c r="AI249" s="82">
        <f ca="1">IF(HC[[#This Row],[nE]]=1,0,MAX(3*HC[[#This Row],[Ø (cm)]],60))</f>
        <v>240</v>
      </c>
      <c r="AJ249" s="82">
        <f ca="1">IF(HC[[#This Row],[nE]]=1,HC[[#This Row],[Ø (cm)]]+2*10,MAX(1.5*HC[[#This Row],[Ø (cm)]],HC[[#This Row],[Ø (cm)]]+15))</f>
        <v>120</v>
      </c>
      <c r="AK249" s="82">
        <f ca="1">alturaUtil(HC[[#This Row],[nE]],HC[[#This Row],[Ø (cm)]],HC[[#This Row],[e (cm)]],HC[[#This Row],[ap,eq (cm)]])</f>
        <v>110</v>
      </c>
      <c r="AL249" s="82">
        <f ca="1">IFERROR(HC[[#This Row],[d (cm)]]+arredondarParaCimaMultiplo5cm(MAX(5,SQRT(PI())/2*HC[[#This Row],[Ø (cm)]]/5)),"N.S.")</f>
        <v>125</v>
      </c>
      <c r="AM249" s="5">
        <f ca="1">alpha(HC[[#This Row],[nE]],HC[[#This Row],[d (cm)]],HC[[#This Row],[e (cm)]],HC[[#This Row],[ap,eq (cm)]])</f>
        <v>45.309057412860952</v>
      </c>
      <c r="AN249" s="35">
        <f ca="1">IFERROR(HC[[#This Row],[Nsd (kN)]]/(HC[[#This Row],[Ap (cm²)]]*SIN(HC[[#This Row],[α]])^2),"N.S.")</f>
        <v>0.92925031910840006</v>
      </c>
      <c r="AO249" s="35">
        <f ca="1">IFERROR(HC[[#This Row],[Nsd (kN)]]/(HC[[#This Row],[nE]]*PI()*HC[[#This Row],[Ø (cm)]]^2/4*SIN(HC[[#This Row],[α]])^2),"N.S.")</f>
        <v>9.2434238534889357E-2</v>
      </c>
      <c r="AP249" s="4">
        <f ca="1">IFERROR(INDEX(grupoEstacas[],HC[[#This Row],[nE]],MATCH("coef. Blévot",grupoEstacas[#Headers],0)),"N.S.")</f>
        <v>2.1</v>
      </c>
      <c r="AQ249" s="35">
        <f ca="1">IFERROR(HC[[#This Row],[coef. Blévot]]*0.9*INDEX(tipoEstaca[],MATCH($D$2,tipoEstaca[TIPO DE ESTACA],0),MATCH("fcd (kN/cm²)",tipoEstaca[#Headers],0)),"N.S.")</f>
        <v>2.1</v>
      </c>
      <c r="AR249" s="82" t="str">
        <f ca="1">IF(AND(HC[[#This Row],[cd,b,pil (kN/cm²)]]&lt;=HC[[#This Row],[cd,b,lim (kN/cm²)]],HC[[#This Row],[cd,b,est (kN/cm²)]]&lt;=HC[[#This Row],[cd,b,lim (kN/cm²)]]),"OK","ERRO")</f>
        <v>OK</v>
      </c>
      <c r="AS249" s="4">
        <f ca="1">As_lado(HC[[#This Row],[nE]],HC[[#This Row],[Nsd (kN)]],HC[[#This Row],[d (cm)]],HC[[#This Row],[e (cm)]],HC[[#This Row],[ap,eq (cm)]])</f>
        <v>9.9545257262003801</v>
      </c>
      <c r="AT249" s="4" t="str">
        <f ca="1">IF(HC[[#This Row],[nE]]=1,HC[[#This Row],[As,lado (cm²)]],IF(HC[[#This Row],[nE]]=2,0.075*2*HC[a (cm)],"N.A."))</f>
        <v>N.A.</v>
      </c>
      <c r="AU249" s="4">
        <f ca="1">IFERROR(IF(HC[[#This Row],[nE]]=1,"N.A.",0.2*HC[[#This Row],[As,lado (cm²)]]),"N.S.")</f>
        <v>1.9909051452400761</v>
      </c>
      <c r="AV249" s="4">
        <f ca="1">As_malha(HC[[#This Row],[nE]],HC[[#This Row],[As,lado (cm²)]],HC[[#This Row],[Nsd (kN)]])</f>
        <v>1.9909051452400761</v>
      </c>
      <c r="AW249" s="4">
        <f ca="1">As_susp_tot(HC[[#This Row],[nE]],HC[[#This Row],[Nsd (kN)]])</f>
        <v>6.708333333333333</v>
      </c>
      <c r="AX249" s="4">
        <f ca="1">Asp_face(HC[[#This Row],[nE]],HC[[#This Row],[As,lado (cm²)]])</f>
        <v>4.9772628631001901</v>
      </c>
      <c r="AY249" s="5">
        <f ca="1">acoBloco(HC[[#This Row],[nE]],HC[[#This Row],[e (cm)]],HC[[#This Row],[a (cm)]],HC[[#This Row],[h (cm)]],HC[[#This Row],[As,lado (cm²)]],HC[[#This Row],[Asp e Asw (cm²/m)]],HC[[#This Row],[As,sup (cm²)]],HC[[#This Row],[As,malha (cm²)]],HC[[#This Row],[As,susp,tot (cm²)]],HC[[#This Row],[Asp,face (cm²)]])</f>
        <v>276.64485322485911</v>
      </c>
      <c r="AZ249" s="4">
        <f ca="1">concretoBloco(HC[[#This Row],[nE]],HC[[#This Row],[e (cm)]],HC[[#This Row],[a (cm)]],HC[[#This Row],[h (cm)]])</f>
        <v>28.8</v>
      </c>
      <c r="BA249" s="5">
        <f ca="1">SUM(HC[[#This Row],[Aço Est (kg)]],HC[[#This Row],[Aço Bloco (kg)]])</f>
        <v>339.77829919139958</v>
      </c>
      <c r="BB249" s="4">
        <f>INDEX(composicoes[],MATCH(95580,composicoes[CÓDIGO],0),MATCH("CUSTO TOTAL",composicoes[#Headers],0))</f>
        <v>10.46</v>
      </c>
      <c r="BC249" s="4">
        <f ca="1">SUM(HC[[#This Row],[Conc Est (m³)]],HC[[#This Row],[Conc Bloco (m³)]])</f>
        <v>40.863715789784806</v>
      </c>
      <c r="BD249" s="4">
        <f>INDEX(composicoes[],MATCH(94966,composicoes[CÓDIGO],0),MATCH("CUSTO TOTAL",composicoes[#Headers],0))</f>
        <v>439.52</v>
      </c>
      <c r="BE249" s="38">
        <f ca="1">HC[[#This Row],[Aço (kg)]]*HC[[#This Row],[Aço (R$/kg)]]+HC[[#This Row],[Conc (m³)]]*HC[[#This Row],[Conc (R$/m³)]]</f>
        <v>21514.501373468254</v>
      </c>
      <c r="BF249" s="4" t="str">
        <f ca="1">IF(COUNTIF(HC[#This Row],"N.S.")&gt;0,"lim.","OK")</f>
        <v>OK</v>
      </c>
      <c r="BG249" s="4" t="str">
        <f>IF(HC[[#This Row],[Prof. (m)]]&lt;4,"lim.","OK")</f>
        <v>OK</v>
      </c>
      <c r="BH249" s="4" t="str">
        <f>IF(HC[[#This Row],[Prof. (m)]]&gt;=8*HC[[#This Row],[Ø (cm)]]/100,"OK","lim.")</f>
        <v>lim.</v>
      </c>
      <c r="BI249" s="4" t="str">
        <f ca="1">IF(HC[[#This Row],[Verif. Biela]]="OK","OK","lim.")</f>
        <v>OK</v>
      </c>
      <c r="BJ249" s="4" t="str">
        <f ca="1">IF(COUNTA(HC[[#This Row],[Nº Est.]:[Biela comp.]])=COUNTIF(HC[[#This Row],[Nº Est.]:[Biela comp.]],"OK"),"OK","lim.")</f>
        <v>lim.</v>
      </c>
      <c r="BK249" s="4" t="str">
        <f ca="1">IF(HC[[#This Row],[Controle]]="OK",HC[[#This Row],[nE]]&amp;" Ø "&amp;HC[[#This Row],[Ø (cm)]]&amp;" cm, Prof. "&amp;HC[[#This Row],[Prof. (m)]]&amp;" m","")</f>
        <v/>
      </c>
      <c r="BL249" s="4" t="str">
        <f ca="1">IF(HC[[#This Row],[idDimensionamento]]="","",HC[[#This Row],[idPilar]]&amp;HC[[#This Row],[idDimensionamento]])</f>
        <v/>
      </c>
    </row>
    <row r="250" spans="2:64" x14ac:dyDescent="0.25">
      <c r="B250" s="12">
        <f>ROUNDUP((ROW(HC[[#This Row],[idDiâmetro]])-ROW(HC[[#Headers],[idDiâmetro]]))/(COUNT(SPT[Prof. (m)])*COUNT(PILARES[Pilar])),0)</f>
        <v>9</v>
      </c>
      <c r="C250" s="12">
        <f>IF(HC[[#This Row],[idDiâmetro]]&lt;&gt;B249,1,IF(HC[[#This Row],[Prof. (m)]]=0,C249+1,C249))</f>
        <v>2</v>
      </c>
      <c r="D250" s="82">
        <f>IFERROR(IF(D249=MAX(SPT[Prof. (m)]),0,D249+1),0)</f>
        <v>7</v>
      </c>
      <c r="E250" s="82">
        <f>INDEX(SPT[],MATCH(HC[[#This Row],[Prof. (m)]],SPT[Prof. (m)],0),2)</f>
        <v>8</v>
      </c>
      <c r="F250" s="82" t="str">
        <f>INDEX(SPT[],MATCH(HC[[#This Row],[Prof. (m)]],SPT[Prof. (m)],0),3)</f>
        <v>Silte arenoso</v>
      </c>
      <c r="G250" s="82">
        <f>INDEX(estacas[],HC[[#This Row],[idDiâmetro]],MATCH($B$2,estacas[#Headers],0))</f>
        <v>80</v>
      </c>
      <c r="H250" s="82">
        <f>INDEX(estacas[],MATCH(HC[[#This Row],[Ø (cm)]],estacas[Ø HC (cm)],0),MATCH(HC[[#Headers],[Pe HC (kN)]],estacas[#Headers],0))</f>
        <v>3200</v>
      </c>
      <c r="I250" s="4">
        <f>INDEX(K_alpha_C[],MATCH(HC[[#This Row],[Solo]],K_alpha_C[Solo],0),2)</f>
        <v>0.55000000000000004</v>
      </c>
      <c r="J250" s="5">
        <f>INDEX(K_alpha_C[],MATCH(HC[[#This Row],[Solo]],K_alpha_C[Solo],0),3)</f>
        <v>2.2000000000000002</v>
      </c>
      <c r="K250" s="4">
        <f>INDEX(F1_F2[],MATCH($D$2,F1_F2[Tipo de estaca],0),2)</f>
        <v>2</v>
      </c>
      <c r="L250" s="4">
        <f>INDEX(F1_F2[],MATCH($D$2,F1_F2[Tipo de estaca],0),3)</f>
        <v>4</v>
      </c>
      <c r="M250" s="4">
        <f>PI()*(HC[[#This Row],[Ø (cm)]]/100)^2/4</f>
        <v>0.50265482457436694</v>
      </c>
      <c r="N250" s="4">
        <f>PI()*HC[[#This Row],[Ø (cm)]]/100</f>
        <v>2.5132741228718345</v>
      </c>
      <c r="O250" s="4">
        <f>IF(HC[[#This Row],[Prof. (m)]]=0,0,HC[[#This Row],[α (%)]]/100*HC[[#This Row],[K (MPa)]]*1000*HC[[#This Row],[NSPT]])</f>
        <v>96.800000000000011</v>
      </c>
      <c r="P250" s="4">
        <f>IF(HC[[#This Row],[Prof. (m)]]=0,0,(HC[[#This Row],[K (MPa)]]*1000*HC[[#This Row],[NSPT]]/HC[[#This Row],[F1]]*HC[[#This Row],[Ap (m²)]]+HC[[#This Row],[U (m)]]/HC[[#This Row],[F2]]*SUMIFS(HC[(α∙K∙NL∙ΔL)],HC[Prof. (m)],"&lt;="&amp;HC[[#This Row],[Prof. (m)]],HC[idDiâmetro],HC[[#This Row],[idDiâmetro]],HC[idPilar],HC[[#This Row],[idPilar]]))/'DADOS CAP. CARGA'!$D$2)</f>
        <v>829.03488535581062</v>
      </c>
      <c r="Q250" s="12">
        <f>INDEX(C_alpha_beta[],MATCH(HC[[#This Row],[Solo]],C_alpha_beta[Solo],0),MATCH(HC[[#Headers],[C (kPa)]],C_alpha_beta[#Headers],0))</f>
        <v>250</v>
      </c>
      <c r="R250" s="4">
        <f>INDEX(C_alpha_beta[],MATCH(HC[[#This Row],[Solo]],C_alpha_beta[Solo],0),MATCH(HC[[#Headers],[α ESF]],C_alpha_beta[#Headers],0))</f>
        <v>0.6</v>
      </c>
      <c r="S250" s="4">
        <f>INDEX(C_alpha_beta[],MATCH(HC[[#This Row],[Solo]],C_alpha_beta[Solo],0),MATCH(HC[[#Headers],[β ESF]],C_alpha_beta[#Headers],0))</f>
        <v>0.65</v>
      </c>
      <c r="T250" s="4">
        <f>IF(HC[[#This Row],[Prof. (m)]]=0,0,10*(HC[[#This Row],[NSPT]]/3+1))</f>
        <v>36.666666666666664</v>
      </c>
      <c r="U250" s="4">
        <f>(HC[[#This Row],[α ESF]]*HC[[#This Row],[C (kPa)]]*HC[[#This Row],[NSPT]]*HC[[#This Row],[Ap (m²)]])/'DADOS CAP. CARGA'!$Q$2+(HC[[#This Row],[β ESF]]*SUMIFS(HC[10∙(NL/3+1)],HC[Prof. (m)],"&lt;="&amp;HC[[#This Row],[Prof. (m)]],HC[idDiâmetro],HC[[#This Row],[idDiâmetro]],HC[idPilar],HC[[#This Row],[idPilar]])*HC[[#This Row],[U (m)]])/'DADOS CAP. CARGA'!$S$2</f>
        <v>376.78167892053585</v>
      </c>
      <c r="V250" s="4">
        <f>IF(SPT!$M$5=1,MIN(HC[[#This Row],[Pe HC (kN)]],HC[[#This Row],[R_AV (kN)]]),IF(SPT!$M$5=2,MIN(HC[[#This Row],[Pe HC (kN)]],HC[[#This Row],[R_DC (kN)]]),MIN(HC[[#This Row],[Pe HC (kN)]],HC[[#This Row],[R_AV (kN)]],HC[[#This Row],[R_DC (kN)]])))</f>
        <v>376.78167892053585</v>
      </c>
      <c r="W250" s="4">
        <f>INDEX(PILARES[],HC[[#This Row],[idPilar]],MATCH("Carga (kN)",PILARES[#Headers],0))*1.4</f>
        <v>1750</v>
      </c>
      <c r="X250" s="12">
        <f>INDEX(PILARES[],HC[[#This Row],[idPilar]],MATCH(HC[[#Headers],[ap (cm)]],PILARES[#Headers],0))</f>
        <v>50</v>
      </c>
      <c r="Y250" s="12">
        <f>INDEX(PILARES[],HC[[#This Row],[idPilar]],MATCH(HC[[#Headers],[bp (cm)]],PILARES[#Headers],0))</f>
        <v>40</v>
      </c>
      <c r="Z250" s="4">
        <f>SQRT(HC[[#This Row],[ap (cm)]]*HC[[#This Row],[bp (cm)]])</f>
        <v>44.721359549995796</v>
      </c>
      <c r="AA250" s="12">
        <f>HC[[#This Row],[ap (cm)]]*HC[[#This Row],[bp (cm)]]</f>
        <v>2000</v>
      </c>
      <c r="AB250" s="12">
        <f ca="1">IF(HC[[#This Row],[Padm∙ε (kN)]]&gt;=HC[[#This Row],[Padm (kN)]],ROUNDUP(1.05*HC[[#This Row],[Nsd (kN)]]/HC[[#This Row],[Padm (kN)]],0),ROUNDUP(1.05*HC[[#This Row],[Nsd (kN)]]/HC[[#This Row],[Padm (kN)]],0)+1)</f>
        <v>5</v>
      </c>
      <c r="AC250" s="4" t="str">
        <f ca="1">IFERROR(IF(HC[[#This Row],[nE]]=1,HC[[#This Row],[Padm (kN)]],HC[[#This Row],[Padm (kN)]]*HC[[#This Row],[nE]]*INDEX(grupoEstacas[],HC[[#This Row],[nE]],MATCH("ε",grupoEstacas[#Headers],0))),"N.S.")</f>
        <v>N.S.</v>
      </c>
      <c r="AD250" s="4">
        <f ca="1">1.05*HC[[#This Row],[Nsd (kN)]]/(HC[[#This Row],[nE]]*PI()*HC[[#This Row],[Ø (cm)]]^2/4)*10</f>
        <v>0.73111801982839419</v>
      </c>
      <c r="AE250" s="4">
        <f ca="1">IF(HC[[#This Row],[σ (MPa)]]&lt;INDEX(tipoEstaca[],MATCH($D$2,tipoEstaca[TIPO DE ESTACA],0),MATCH("σmáx (MPa)",tipoEstaca[#Headers],0)),0.4%*PI()*HC[[#This Row],[Ø (cm)]]^2/4,"N.S.")</f>
        <v>20.106192982974676</v>
      </c>
      <c r="AF250" s="82">
        <f>INDEX(tipoEstaca[],MATCH($D$2,tipoEstaca[TIPO DE ESTACA],0),MATCH(HC[[#Headers],[Comprimento (m)]],tipoEstaca[#Headers],0))</f>
        <v>4</v>
      </c>
      <c r="AG250" s="5">
        <f ca="1">HC[[#This Row],[As,mín (cm²)]]/100^2*HC[[#This Row],[Comprimento (m)]]*7850</f>
        <v>63.133445966540478</v>
      </c>
      <c r="AH250" s="4">
        <f ca="1">HC[[#This Row],[nE]]*HC[[#This Row],[Prof. (m)]]*HC[[#This Row],[Ap (m²)]]</f>
        <v>17.592918860102841</v>
      </c>
      <c r="AI250" s="82">
        <f ca="1">IF(HC[[#This Row],[nE]]=1,0,MAX(3*HC[[#This Row],[Ø (cm)]],60))</f>
        <v>240</v>
      </c>
      <c r="AJ250" s="82">
        <f ca="1">IF(HC[[#This Row],[nE]]=1,HC[[#This Row],[Ø (cm)]]+2*10,MAX(1.5*HC[[#This Row],[Ø (cm)]],HC[[#This Row],[Ø (cm)]]+15))</f>
        <v>120</v>
      </c>
      <c r="AK250" s="82" t="str">
        <f ca="1">alturaUtil(HC[[#This Row],[nE]],HC[[#This Row],[Ø (cm)]],HC[[#This Row],[e (cm)]],HC[[#This Row],[ap,eq (cm)]])</f>
        <v>N.S.</v>
      </c>
      <c r="AL250" s="82" t="str">
        <f ca="1">IFERROR(HC[[#This Row],[d (cm)]]+arredondarParaCimaMultiplo5cm(MAX(5,SQRT(PI())/2*HC[[#This Row],[Ø (cm)]]/5)),"N.S.")</f>
        <v>N.S.</v>
      </c>
      <c r="AM250" s="5" t="str">
        <f ca="1">alpha(HC[[#This Row],[nE]],HC[[#This Row],[d (cm)]],HC[[#This Row],[e (cm)]],HC[[#This Row],[ap,eq (cm)]])</f>
        <v>N.S.</v>
      </c>
      <c r="AN250" s="35" t="str">
        <f ca="1">IFERROR(HC[[#This Row],[Nsd (kN)]]/(HC[[#This Row],[Ap (cm²)]]*SIN(HC[[#This Row],[α]])^2),"N.S.")</f>
        <v>N.S.</v>
      </c>
      <c r="AO250" s="35" t="str">
        <f ca="1">IFERROR(HC[[#This Row],[Nsd (kN)]]/(HC[[#This Row],[nE]]*PI()*HC[[#This Row],[Ø (cm)]]^2/4*SIN(HC[[#This Row],[α]])^2),"N.S.")</f>
        <v>N.S.</v>
      </c>
      <c r="AP250" s="4" t="str">
        <f ca="1">IFERROR(INDEX(grupoEstacas[],HC[[#This Row],[nE]],MATCH("coef. Blévot",grupoEstacas[#Headers],0)),"N.S.")</f>
        <v>N.S.</v>
      </c>
      <c r="AQ250" s="35" t="str">
        <f ca="1">IFERROR(HC[[#This Row],[coef. Blévot]]*0.9*INDEX(tipoEstaca[],MATCH($D$2,tipoEstaca[TIPO DE ESTACA],0),MATCH("fcd (kN/cm²)",tipoEstaca[#Headers],0)),"N.S.")</f>
        <v>N.S.</v>
      </c>
      <c r="AR250" s="82" t="str">
        <f ca="1">IF(AND(HC[[#This Row],[cd,b,pil (kN/cm²)]]&lt;=HC[[#This Row],[cd,b,lim (kN/cm²)]],HC[[#This Row],[cd,b,est (kN/cm²)]]&lt;=HC[[#This Row],[cd,b,lim (kN/cm²)]]),"OK","ERRO")</f>
        <v>OK</v>
      </c>
      <c r="AS250" s="4" t="str">
        <f ca="1">As_lado(HC[[#This Row],[nE]],HC[[#This Row],[Nsd (kN)]],HC[[#This Row],[d (cm)]],HC[[#This Row],[e (cm)]],HC[[#This Row],[ap,eq (cm)]])</f>
        <v>N.S.</v>
      </c>
      <c r="AT250" s="4" t="str">
        <f ca="1">IF(HC[[#This Row],[nE]]=1,HC[[#This Row],[As,lado (cm²)]],IF(HC[[#This Row],[nE]]=2,0.075*2*HC[a (cm)],"N.A."))</f>
        <v>N.A.</v>
      </c>
      <c r="AU250" s="4" t="str">
        <f ca="1">IFERROR(IF(HC[[#This Row],[nE]]=1,"N.A.",0.2*HC[[#This Row],[As,lado (cm²)]]),"N.S.")</f>
        <v>N.S.</v>
      </c>
      <c r="AV250" s="4" t="str">
        <f ca="1">As_malha(HC[[#This Row],[nE]],HC[[#This Row],[As,lado (cm²)]],HC[[#This Row],[Nsd (kN)]])</f>
        <v>N.S.</v>
      </c>
      <c r="AW250" s="4" t="str">
        <f ca="1">As_susp_tot(HC[[#This Row],[nE]],HC[[#This Row],[Nsd (kN)]])</f>
        <v>N.S.</v>
      </c>
      <c r="AX250" s="4" t="str">
        <f ca="1">Asp_face(HC[[#This Row],[nE]],HC[[#This Row],[As,lado (cm²)]])</f>
        <v>N.S.</v>
      </c>
      <c r="AY250" s="5" t="str">
        <f ca="1">acoBloco(HC[[#This Row],[nE]],HC[[#This Row],[e (cm)]],HC[[#This Row],[a (cm)]],HC[[#This Row],[h (cm)]],HC[[#This Row],[As,lado (cm²)]],HC[[#This Row],[Asp e Asw (cm²/m)]],HC[[#This Row],[As,sup (cm²)]],HC[[#This Row],[As,malha (cm²)]],HC[[#This Row],[As,susp,tot (cm²)]],HC[[#This Row],[Asp,face (cm²)]])</f>
        <v>N.S.</v>
      </c>
      <c r="AZ250" s="4" t="str">
        <f ca="1">concretoBloco(HC[[#This Row],[nE]],HC[[#This Row],[e (cm)]],HC[[#This Row],[a (cm)]],HC[[#This Row],[h (cm)]])</f>
        <v>N.S.</v>
      </c>
      <c r="BA250" s="5">
        <f ca="1">SUM(HC[[#This Row],[Aço Est (kg)]],HC[[#This Row],[Aço Bloco (kg)]])</f>
        <v>63.133445966540478</v>
      </c>
      <c r="BB250" s="4">
        <f>INDEX(composicoes[],MATCH(95580,composicoes[CÓDIGO],0),MATCH("CUSTO TOTAL",composicoes[#Headers],0))</f>
        <v>10.46</v>
      </c>
      <c r="BC250" s="4">
        <f ca="1">SUM(HC[[#This Row],[Conc Est (m³)]],HC[[#This Row],[Conc Bloco (m³)]])</f>
        <v>17.592918860102841</v>
      </c>
      <c r="BD250" s="4">
        <f>INDEX(composicoes[],MATCH(94966,composicoes[CÓDIGO],0),MATCH("CUSTO TOTAL",composicoes[#Headers],0))</f>
        <v>439.52</v>
      </c>
      <c r="BE250" s="38">
        <f ca="1">HC[[#This Row],[Aço (kg)]]*HC[[#This Row],[Aço (R$/kg)]]+HC[[#This Row],[Conc (m³)]]*HC[[#This Row],[Conc (R$/m³)]]</f>
        <v>8392.8155422024138</v>
      </c>
      <c r="BF250" s="4" t="str">
        <f ca="1">IF(COUNTIF(HC[#This Row],"N.S.")&gt;0,"lim.","OK")</f>
        <v>lim.</v>
      </c>
      <c r="BG250" s="4" t="str">
        <f>IF(HC[[#This Row],[Prof. (m)]]&lt;4,"lim.","OK")</f>
        <v>OK</v>
      </c>
      <c r="BH250" s="4" t="str">
        <f>IF(HC[[#This Row],[Prof. (m)]]&gt;=8*HC[[#This Row],[Ø (cm)]]/100,"OK","lim.")</f>
        <v>OK</v>
      </c>
      <c r="BI250" s="4" t="str">
        <f ca="1">IF(HC[[#This Row],[Verif. Biela]]="OK","OK","lim.")</f>
        <v>OK</v>
      </c>
      <c r="BJ250" s="4" t="str">
        <f ca="1">IF(COUNTA(HC[[#This Row],[Nº Est.]:[Biela comp.]])=COUNTIF(HC[[#This Row],[Nº Est.]:[Biela comp.]],"OK"),"OK","lim.")</f>
        <v>lim.</v>
      </c>
      <c r="BK250" s="4" t="str">
        <f ca="1">IF(HC[[#This Row],[Controle]]="OK",HC[[#This Row],[nE]]&amp;" Ø "&amp;HC[[#This Row],[Ø (cm)]]&amp;" cm, Prof. "&amp;HC[[#This Row],[Prof. (m)]]&amp;" m","")</f>
        <v/>
      </c>
      <c r="BL250" s="4" t="str">
        <f ca="1">IF(HC[[#This Row],[idDimensionamento]]="","",HC[[#This Row],[idPilar]]&amp;HC[[#This Row],[idDimensionamento]])</f>
        <v/>
      </c>
    </row>
    <row r="251" spans="2:64" x14ac:dyDescent="0.25">
      <c r="B251" s="12">
        <f>ROUNDUP((ROW(HC[[#This Row],[idDiâmetro]])-ROW(HC[[#Headers],[idDiâmetro]]))/(COUNT(SPT[Prof. (m)])*COUNT(PILARES[Pilar])),0)</f>
        <v>9</v>
      </c>
      <c r="C251" s="12">
        <f>IF(HC[[#This Row],[idDiâmetro]]&lt;&gt;B250,1,IF(HC[[#This Row],[Prof. (m)]]=0,C250+1,C250))</f>
        <v>2</v>
      </c>
      <c r="D251" s="82">
        <f>IFERROR(IF(D250=MAX(SPT[Prof. (m)]),0,D250+1),0)</f>
        <v>8</v>
      </c>
      <c r="E251" s="82">
        <f>INDEX(SPT[],MATCH(HC[[#This Row],[Prof. (m)]],SPT[Prof. (m)],0),2)</f>
        <v>10</v>
      </c>
      <c r="F251" s="82" t="str">
        <f>INDEX(SPT[],MATCH(HC[[#This Row],[Prof. (m)]],SPT[Prof. (m)],0),3)</f>
        <v>Silte arenoso</v>
      </c>
      <c r="G251" s="82">
        <f>INDEX(estacas[],HC[[#This Row],[idDiâmetro]],MATCH($B$2,estacas[#Headers],0))</f>
        <v>80</v>
      </c>
      <c r="H251" s="82">
        <f>INDEX(estacas[],MATCH(HC[[#This Row],[Ø (cm)]],estacas[Ø HC (cm)],0),MATCH(HC[[#Headers],[Pe HC (kN)]],estacas[#Headers],0))</f>
        <v>3200</v>
      </c>
      <c r="I251" s="4">
        <f>INDEX(K_alpha_C[],MATCH(HC[[#This Row],[Solo]],K_alpha_C[Solo],0),2)</f>
        <v>0.55000000000000004</v>
      </c>
      <c r="J251" s="5">
        <f>INDEX(K_alpha_C[],MATCH(HC[[#This Row],[Solo]],K_alpha_C[Solo],0),3)</f>
        <v>2.2000000000000002</v>
      </c>
      <c r="K251" s="4">
        <f>INDEX(F1_F2[],MATCH($D$2,F1_F2[Tipo de estaca],0),2)</f>
        <v>2</v>
      </c>
      <c r="L251" s="4">
        <f>INDEX(F1_F2[],MATCH($D$2,F1_F2[Tipo de estaca],0),3)</f>
        <v>4</v>
      </c>
      <c r="M251" s="4">
        <f>PI()*(HC[[#This Row],[Ø (cm)]]/100)^2/4</f>
        <v>0.50265482457436694</v>
      </c>
      <c r="N251" s="4">
        <f>PI()*HC[[#This Row],[Ø (cm)]]/100</f>
        <v>2.5132741228718345</v>
      </c>
      <c r="O251" s="4">
        <f>IF(HC[[#This Row],[Prof. (m)]]=0,0,HC[[#This Row],[α (%)]]/100*HC[[#This Row],[K (MPa)]]*1000*HC[[#This Row],[NSPT]])</f>
        <v>121.00000000000001</v>
      </c>
      <c r="P251" s="4">
        <f>IF(HC[[#This Row],[Prof. (m)]]=0,0,(HC[[#This Row],[K (MPa)]]*1000*HC[[#This Row],[NSPT]]/HC[[#This Row],[F1]]*HC[[#This Row],[Ap (m²)]]+HC[[#This Row],[U (m)]]/HC[[#This Row],[F2]]*SUMIFS(HC[(α∙K∙NL∙ΔL)],HC[Prof. (m)],"&lt;="&amp;HC[[#This Row],[Prof. (m)]],HC[idDiâmetro],HC[[#This Row],[idDiâmetro]],HC[idPilar],HC[[#This Row],[idPilar]]))/'DADOS CAP. CARGA'!$D$2)</f>
        <v>1005.278233222198</v>
      </c>
      <c r="Q251" s="12">
        <f>INDEX(C_alpha_beta[],MATCH(HC[[#This Row],[Solo]],C_alpha_beta[Solo],0),MATCH(HC[[#Headers],[C (kPa)]],C_alpha_beta[#Headers],0))</f>
        <v>250</v>
      </c>
      <c r="R251" s="4">
        <f>INDEX(C_alpha_beta[],MATCH(HC[[#This Row],[Solo]],C_alpha_beta[Solo],0),MATCH(HC[[#Headers],[α ESF]],C_alpha_beta[#Headers],0))</f>
        <v>0.6</v>
      </c>
      <c r="S251" s="4">
        <f>INDEX(C_alpha_beta[],MATCH(HC[[#This Row],[Solo]],C_alpha_beta[Solo],0),MATCH(HC[[#Headers],[β ESF]],C_alpha_beta[#Headers],0))</f>
        <v>0.65</v>
      </c>
      <c r="T251" s="4">
        <f>IF(HC[[#This Row],[Prof. (m)]]=0,0,10*(HC[[#This Row],[NSPT]]/3+1))</f>
        <v>43.333333333333343</v>
      </c>
      <c r="U251" s="4">
        <f>(HC[[#This Row],[α ESF]]*HC[[#This Row],[C (kPa)]]*HC[[#This Row],[NSPT]]*HC[[#This Row],[Ap (m²)]])/'DADOS CAP. CARGA'!$Q$2+(HC[[#This Row],[β ESF]]*SUMIFS(HC[10∙(NL/3+1)],HC[Prof. (m)],"&lt;="&amp;HC[[#This Row],[Prof. (m)]],HC[idDiâmetro],HC[[#This Row],[idDiâmetro]],HC[idPilar],HC[[#This Row],[idPilar]])*HC[[#This Row],[U (m)]])/'DADOS CAP. CARGA'!$S$2</f>
        <v>449.87606799405842</v>
      </c>
      <c r="V251" s="4">
        <f>IF(SPT!$M$5=1,MIN(HC[[#This Row],[Pe HC (kN)]],HC[[#This Row],[R_AV (kN)]]),IF(SPT!$M$5=2,MIN(HC[[#This Row],[Pe HC (kN)]],HC[[#This Row],[R_DC (kN)]]),MIN(HC[[#This Row],[Pe HC (kN)]],HC[[#This Row],[R_AV (kN)]],HC[[#This Row],[R_DC (kN)]])))</f>
        <v>449.87606799405842</v>
      </c>
      <c r="W251" s="4">
        <f>INDEX(PILARES[],HC[[#This Row],[idPilar]],MATCH("Carga (kN)",PILARES[#Headers],0))*1.4</f>
        <v>1750</v>
      </c>
      <c r="X251" s="12">
        <f>INDEX(PILARES[],HC[[#This Row],[idPilar]],MATCH(HC[[#Headers],[ap (cm)]],PILARES[#Headers],0))</f>
        <v>50</v>
      </c>
      <c r="Y251" s="12">
        <f>INDEX(PILARES[],HC[[#This Row],[idPilar]],MATCH(HC[[#Headers],[bp (cm)]],PILARES[#Headers],0))</f>
        <v>40</v>
      </c>
      <c r="Z251" s="4">
        <f>SQRT(HC[[#This Row],[ap (cm)]]*HC[[#This Row],[bp (cm)]])</f>
        <v>44.721359549995796</v>
      </c>
      <c r="AA251" s="12">
        <f>HC[[#This Row],[ap (cm)]]*HC[[#This Row],[bp (cm)]]</f>
        <v>2000</v>
      </c>
      <c r="AB251" s="12">
        <f ca="1">IF(HC[[#This Row],[Padm∙ε (kN)]]&gt;=HC[[#This Row],[Padm (kN)]],ROUNDUP(1.05*HC[[#This Row],[Nsd (kN)]]/HC[[#This Row],[Padm (kN)]],0),ROUNDUP(1.05*HC[[#This Row],[Nsd (kN)]]/HC[[#This Row],[Padm (kN)]],0)+1)</f>
        <v>5</v>
      </c>
      <c r="AC251" s="4" t="str">
        <f ca="1">IFERROR(IF(HC[[#This Row],[nE]]=1,HC[[#This Row],[Padm (kN)]],HC[[#This Row],[Padm (kN)]]*HC[[#This Row],[nE]]*INDEX(grupoEstacas[],HC[[#This Row],[nE]],MATCH("ε",grupoEstacas[#Headers],0))),"N.S.")</f>
        <v>N.S.</v>
      </c>
      <c r="AD251" s="4">
        <f ca="1">1.05*HC[[#This Row],[Nsd (kN)]]/(HC[[#This Row],[nE]]*PI()*HC[[#This Row],[Ø (cm)]]^2/4)*10</f>
        <v>0.73111801982839419</v>
      </c>
      <c r="AE251" s="4">
        <f ca="1">IF(HC[[#This Row],[σ (MPa)]]&lt;INDEX(tipoEstaca[],MATCH($D$2,tipoEstaca[TIPO DE ESTACA],0),MATCH("σmáx (MPa)",tipoEstaca[#Headers],0)),0.4%*PI()*HC[[#This Row],[Ø (cm)]]^2/4,"N.S.")</f>
        <v>20.106192982974676</v>
      </c>
      <c r="AF251" s="82">
        <f>INDEX(tipoEstaca[],MATCH($D$2,tipoEstaca[TIPO DE ESTACA],0),MATCH(HC[[#Headers],[Comprimento (m)]],tipoEstaca[#Headers],0))</f>
        <v>4</v>
      </c>
      <c r="AG251" s="5">
        <f ca="1">HC[[#This Row],[As,mín (cm²)]]/100^2*HC[[#This Row],[Comprimento (m)]]*7850</f>
        <v>63.133445966540478</v>
      </c>
      <c r="AH251" s="4">
        <f ca="1">HC[[#This Row],[nE]]*HC[[#This Row],[Prof. (m)]]*HC[[#This Row],[Ap (m²)]]</f>
        <v>20.106192982974676</v>
      </c>
      <c r="AI251" s="82">
        <f ca="1">IF(HC[[#This Row],[nE]]=1,0,MAX(3*HC[[#This Row],[Ø (cm)]],60))</f>
        <v>240</v>
      </c>
      <c r="AJ251" s="82">
        <f ca="1">IF(HC[[#This Row],[nE]]=1,HC[[#This Row],[Ø (cm)]]+2*10,MAX(1.5*HC[[#This Row],[Ø (cm)]],HC[[#This Row],[Ø (cm)]]+15))</f>
        <v>120</v>
      </c>
      <c r="AK251" s="82" t="str">
        <f ca="1">alturaUtil(HC[[#This Row],[nE]],HC[[#This Row],[Ø (cm)]],HC[[#This Row],[e (cm)]],HC[[#This Row],[ap,eq (cm)]])</f>
        <v>N.S.</v>
      </c>
      <c r="AL251" s="82" t="str">
        <f ca="1">IFERROR(HC[[#This Row],[d (cm)]]+arredondarParaCimaMultiplo5cm(MAX(5,SQRT(PI())/2*HC[[#This Row],[Ø (cm)]]/5)),"N.S.")</f>
        <v>N.S.</v>
      </c>
      <c r="AM251" s="5" t="str">
        <f ca="1">alpha(HC[[#This Row],[nE]],HC[[#This Row],[d (cm)]],HC[[#This Row],[e (cm)]],HC[[#This Row],[ap,eq (cm)]])</f>
        <v>N.S.</v>
      </c>
      <c r="AN251" s="35" t="str">
        <f ca="1">IFERROR(HC[[#This Row],[Nsd (kN)]]/(HC[[#This Row],[Ap (cm²)]]*SIN(HC[[#This Row],[α]])^2),"N.S.")</f>
        <v>N.S.</v>
      </c>
      <c r="AO251" s="35" t="str">
        <f ca="1">IFERROR(HC[[#This Row],[Nsd (kN)]]/(HC[[#This Row],[nE]]*PI()*HC[[#This Row],[Ø (cm)]]^2/4*SIN(HC[[#This Row],[α]])^2),"N.S.")</f>
        <v>N.S.</v>
      </c>
      <c r="AP251" s="4" t="str">
        <f ca="1">IFERROR(INDEX(grupoEstacas[],HC[[#This Row],[nE]],MATCH("coef. Blévot",grupoEstacas[#Headers],0)),"N.S.")</f>
        <v>N.S.</v>
      </c>
      <c r="AQ251" s="35" t="str">
        <f ca="1">IFERROR(HC[[#This Row],[coef. Blévot]]*0.9*INDEX(tipoEstaca[],MATCH($D$2,tipoEstaca[TIPO DE ESTACA],0),MATCH("fcd (kN/cm²)",tipoEstaca[#Headers],0)),"N.S.")</f>
        <v>N.S.</v>
      </c>
      <c r="AR251" s="82" t="str">
        <f ca="1">IF(AND(HC[[#This Row],[cd,b,pil (kN/cm²)]]&lt;=HC[[#This Row],[cd,b,lim (kN/cm²)]],HC[[#This Row],[cd,b,est (kN/cm²)]]&lt;=HC[[#This Row],[cd,b,lim (kN/cm²)]]),"OK","ERRO")</f>
        <v>OK</v>
      </c>
      <c r="AS251" s="4" t="str">
        <f ca="1">As_lado(HC[[#This Row],[nE]],HC[[#This Row],[Nsd (kN)]],HC[[#This Row],[d (cm)]],HC[[#This Row],[e (cm)]],HC[[#This Row],[ap,eq (cm)]])</f>
        <v>N.S.</v>
      </c>
      <c r="AT251" s="4" t="str">
        <f ca="1">IF(HC[[#This Row],[nE]]=1,HC[[#This Row],[As,lado (cm²)]],IF(HC[[#This Row],[nE]]=2,0.075*2*HC[a (cm)],"N.A."))</f>
        <v>N.A.</v>
      </c>
      <c r="AU251" s="4" t="str">
        <f ca="1">IFERROR(IF(HC[[#This Row],[nE]]=1,"N.A.",0.2*HC[[#This Row],[As,lado (cm²)]]),"N.S.")</f>
        <v>N.S.</v>
      </c>
      <c r="AV251" s="4" t="str">
        <f ca="1">As_malha(HC[[#This Row],[nE]],HC[[#This Row],[As,lado (cm²)]],HC[[#This Row],[Nsd (kN)]])</f>
        <v>N.S.</v>
      </c>
      <c r="AW251" s="4" t="str">
        <f ca="1">As_susp_tot(HC[[#This Row],[nE]],HC[[#This Row],[Nsd (kN)]])</f>
        <v>N.S.</v>
      </c>
      <c r="AX251" s="4" t="str">
        <f ca="1">Asp_face(HC[[#This Row],[nE]],HC[[#This Row],[As,lado (cm²)]])</f>
        <v>N.S.</v>
      </c>
      <c r="AY251" s="5" t="str">
        <f ca="1">acoBloco(HC[[#This Row],[nE]],HC[[#This Row],[e (cm)]],HC[[#This Row],[a (cm)]],HC[[#This Row],[h (cm)]],HC[[#This Row],[As,lado (cm²)]],HC[[#This Row],[Asp e Asw (cm²/m)]],HC[[#This Row],[As,sup (cm²)]],HC[[#This Row],[As,malha (cm²)]],HC[[#This Row],[As,susp,tot (cm²)]],HC[[#This Row],[Asp,face (cm²)]])</f>
        <v>N.S.</v>
      </c>
      <c r="AZ251" s="4" t="str">
        <f ca="1">concretoBloco(HC[[#This Row],[nE]],HC[[#This Row],[e (cm)]],HC[[#This Row],[a (cm)]],HC[[#This Row],[h (cm)]])</f>
        <v>N.S.</v>
      </c>
      <c r="BA251" s="5">
        <f ca="1">SUM(HC[[#This Row],[Aço Est (kg)]],HC[[#This Row],[Aço Bloco (kg)]])</f>
        <v>63.133445966540478</v>
      </c>
      <c r="BB251" s="4">
        <f>INDEX(composicoes[],MATCH(95580,composicoes[CÓDIGO],0),MATCH("CUSTO TOTAL",composicoes[#Headers],0))</f>
        <v>10.46</v>
      </c>
      <c r="BC251" s="4">
        <f ca="1">SUM(HC[[#This Row],[Conc Est (m³)]],HC[[#This Row],[Conc Bloco (m³)]])</f>
        <v>20.106192982974676</v>
      </c>
      <c r="BD251" s="4">
        <f>INDEX(composicoes[],MATCH(94966,composicoes[CÓDIGO],0),MATCH("CUSTO TOTAL",composicoes[#Headers],0))</f>
        <v>439.52</v>
      </c>
      <c r="BE251" s="38">
        <f ca="1">HC[[#This Row],[Aço (kg)]]*HC[[#This Row],[Aço (R$/kg)]]+HC[[#This Row],[Conc (m³)]]*HC[[#This Row],[Conc (R$/m³)]]</f>
        <v>9497.4497846870436</v>
      </c>
      <c r="BF251" s="4" t="str">
        <f ca="1">IF(COUNTIF(HC[#This Row],"N.S.")&gt;0,"lim.","OK")</f>
        <v>lim.</v>
      </c>
      <c r="BG251" s="4" t="str">
        <f>IF(HC[[#This Row],[Prof. (m)]]&lt;4,"lim.","OK")</f>
        <v>OK</v>
      </c>
      <c r="BH251" s="4" t="str">
        <f>IF(HC[[#This Row],[Prof. (m)]]&gt;=8*HC[[#This Row],[Ø (cm)]]/100,"OK","lim.")</f>
        <v>OK</v>
      </c>
      <c r="BI251" s="4" t="str">
        <f ca="1">IF(HC[[#This Row],[Verif. Biela]]="OK","OK","lim.")</f>
        <v>OK</v>
      </c>
      <c r="BJ251" s="4" t="str">
        <f ca="1">IF(COUNTA(HC[[#This Row],[Nº Est.]:[Biela comp.]])=COUNTIF(HC[[#This Row],[Nº Est.]:[Biela comp.]],"OK"),"OK","lim.")</f>
        <v>lim.</v>
      </c>
      <c r="BK251" s="4" t="str">
        <f ca="1">IF(HC[[#This Row],[Controle]]="OK",HC[[#This Row],[nE]]&amp;" Ø "&amp;HC[[#This Row],[Ø (cm)]]&amp;" cm, Prof. "&amp;HC[[#This Row],[Prof. (m)]]&amp;" m","")</f>
        <v/>
      </c>
      <c r="BL251" s="4" t="str">
        <f ca="1">IF(HC[[#This Row],[idDimensionamento]]="","",HC[[#This Row],[idPilar]]&amp;HC[[#This Row],[idDimensionamento]])</f>
        <v/>
      </c>
    </row>
    <row r="252" spans="2:64" x14ac:dyDescent="0.25">
      <c r="B252" s="12">
        <f>ROUNDUP((ROW(HC[[#This Row],[idDiâmetro]])-ROW(HC[[#Headers],[idDiâmetro]]))/(COUNT(SPT[Prof. (m)])*COUNT(PILARES[Pilar])),0)</f>
        <v>9</v>
      </c>
      <c r="C252" s="12">
        <f>IF(HC[[#This Row],[idDiâmetro]]&lt;&gt;B251,1,IF(HC[[#This Row],[Prof. (m)]]=0,C251+1,C251))</f>
        <v>2</v>
      </c>
      <c r="D252" s="82">
        <f>IFERROR(IF(D251=MAX(SPT[Prof. (m)]),0,D251+1),0)</f>
        <v>9</v>
      </c>
      <c r="E252" s="82">
        <f>INDEX(SPT[],MATCH(HC[[#This Row],[Prof. (m)]],SPT[Prof. (m)],0),2)</f>
        <v>26</v>
      </c>
      <c r="F252" s="82" t="str">
        <f>INDEX(SPT[],MATCH(HC[[#This Row],[Prof. (m)]],SPT[Prof. (m)],0),3)</f>
        <v>Areia siltosa</v>
      </c>
      <c r="G252" s="82">
        <f>INDEX(estacas[],HC[[#This Row],[idDiâmetro]],MATCH($B$2,estacas[#Headers],0))</f>
        <v>80</v>
      </c>
      <c r="H252" s="82">
        <f>INDEX(estacas[],MATCH(HC[[#This Row],[Ø (cm)]],estacas[Ø HC (cm)],0),MATCH(HC[[#Headers],[Pe HC (kN)]],estacas[#Headers],0))</f>
        <v>3200</v>
      </c>
      <c r="I252" s="4">
        <f>INDEX(K_alpha_C[],MATCH(HC[[#This Row],[Solo]],K_alpha_C[Solo],0),2)</f>
        <v>0.8</v>
      </c>
      <c r="J252" s="5">
        <f>INDEX(K_alpha_C[],MATCH(HC[[#This Row],[Solo]],K_alpha_C[Solo],0),3)</f>
        <v>2</v>
      </c>
      <c r="K252" s="4">
        <f>INDEX(F1_F2[],MATCH($D$2,F1_F2[Tipo de estaca],0),2)</f>
        <v>2</v>
      </c>
      <c r="L252" s="4">
        <f>INDEX(F1_F2[],MATCH($D$2,F1_F2[Tipo de estaca],0),3)</f>
        <v>4</v>
      </c>
      <c r="M252" s="4">
        <f>PI()*(HC[[#This Row],[Ø (cm)]]/100)^2/4</f>
        <v>0.50265482457436694</v>
      </c>
      <c r="N252" s="4">
        <f>PI()*HC[[#This Row],[Ø (cm)]]/100</f>
        <v>2.5132741228718345</v>
      </c>
      <c r="O252" s="4">
        <f>IF(HC[[#This Row],[Prof. (m)]]=0,0,HC[[#This Row],[α (%)]]/100*HC[[#This Row],[K (MPa)]]*1000*HC[[#This Row],[NSPT]])</f>
        <v>416</v>
      </c>
      <c r="P252" s="4">
        <f>IF(HC[[#This Row],[Prof. (m)]]=0,0,(HC[[#This Row],[K (MPa)]]*1000*HC[[#This Row],[NSPT]]/HC[[#This Row],[F1]]*HC[[#This Row],[Ap (m²)]]+HC[[#This Row],[U (m)]]/HC[[#This Row],[F2]]*SUMIFS(HC[(α∙K∙NL∙ΔL)],HC[Prof. (m)],"&lt;="&amp;HC[[#This Row],[Prof. (m)]],HC[idDiâmetro],HC[[#This Row],[idDiâmetro]],HC[idPilar],HC[[#This Row],[idPilar]]))/'DADOS CAP. CARGA'!$D$2)</f>
        <v>3058.6231916084871</v>
      </c>
      <c r="Q252" s="12">
        <f>INDEX(C_alpha_beta[],MATCH(HC[[#This Row],[Solo]],C_alpha_beta[Solo],0),MATCH(HC[[#Headers],[C (kPa)]],C_alpha_beta[#Headers],0))</f>
        <v>400</v>
      </c>
      <c r="R252" s="4">
        <f>INDEX(C_alpha_beta[],MATCH(HC[[#This Row],[Solo]],C_alpha_beta[Solo],0),MATCH(HC[[#Headers],[α ESF]],C_alpha_beta[#Headers],0))</f>
        <v>0.5</v>
      </c>
      <c r="S252" s="4">
        <f>INDEX(C_alpha_beta[],MATCH(HC[[#This Row],[Solo]],C_alpha_beta[Solo],0),MATCH(HC[[#Headers],[β ESF]],C_alpha_beta[#Headers],0))</f>
        <v>0.5</v>
      </c>
      <c r="T252" s="4">
        <f>IF(HC[[#This Row],[Prof. (m)]]=0,0,10*(HC[[#This Row],[NSPT]]/3+1))</f>
        <v>96.666666666666657</v>
      </c>
      <c r="U252" s="4">
        <f>(HC[[#This Row],[α ESF]]*HC[[#This Row],[C (kPa)]]*HC[[#This Row],[NSPT]]*HC[[#This Row],[Ap (m²)]])/'DADOS CAP. CARGA'!$Q$2+(HC[[#This Row],[β ESF]]*SUMIFS(HC[10∙(NL/3+1)],HC[Prof. (m)],"&lt;="&amp;HC[[#This Row],[Prof. (m)]],HC[idDiâmetro],HC[[#This Row],[idDiâmetro]],HC[idPilar],HC[[#This Row],[idPilar]])*HC[[#This Row],[U (m)]])/'DADOS CAP. CARGA'!$S$2</f>
        <v>915.2506597458264</v>
      </c>
      <c r="V252" s="4">
        <f>IF(SPT!$M$5=1,MIN(HC[[#This Row],[Pe HC (kN)]],HC[[#This Row],[R_AV (kN)]]),IF(SPT!$M$5=2,MIN(HC[[#This Row],[Pe HC (kN)]],HC[[#This Row],[R_DC (kN)]]),MIN(HC[[#This Row],[Pe HC (kN)]],HC[[#This Row],[R_AV (kN)]],HC[[#This Row],[R_DC (kN)]])))</f>
        <v>915.2506597458264</v>
      </c>
      <c r="W252" s="4">
        <f>INDEX(PILARES[],HC[[#This Row],[idPilar]],MATCH("Carga (kN)",PILARES[#Headers],0))*1.4</f>
        <v>1750</v>
      </c>
      <c r="X252" s="12">
        <f>INDEX(PILARES[],HC[[#This Row],[idPilar]],MATCH(HC[[#Headers],[ap (cm)]],PILARES[#Headers],0))</f>
        <v>50</v>
      </c>
      <c r="Y252" s="12">
        <f>INDEX(PILARES[],HC[[#This Row],[idPilar]],MATCH(HC[[#Headers],[bp (cm)]],PILARES[#Headers],0))</f>
        <v>40</v>
      </c>
      <c r="Z252" s="4">
        <f>SQRT(HC[[#This Row],[ap (cm)]]*HC[[#This Row],[bp (cm)]])</f>
        <v>44.721359549995796</v>
      </c>
      <c r="AA252" s="12">
        <f>HC[[#This Row],[ap (cm)]]*HC[[#This Row],[bp (cm)]]</f>
        <v>2000</v>
      </c>
      <c r="AB252" s="12">
        <f ca="1">IF(HC[[#This Row],[Padm∙ε (kN)]]&gt;=HC[[#This Row],[Padm (kN)]],ROUNDUP(1.05*HC[[#This Row],[Nsd (kN)]]/HC[[#This Row],[Padm (kN)]],0),ROUNDUP(1.05*HC[[#This Row],[Nsd (kN)]]/HC[[#This Row],[Padm (kN)]],0)+1)</f>
        <v>3</v>
      </c>
      <c r="AC252" s="4">
        <f ca="1">IFERROR(IF(HC[[#This Row],[nE]]=1,HC[[#This Row],[Padm (kN)]],HC[[#This Row],[Padm (kN)]]*HC[[#This Row],[nE]]*INDEX(grupoEstacas[],HC[[#This Row],[nE]],MATCH("ε",grupoEstacas[#Headers],0))),"N.S.")</f>
        <v>2402.5329818327941</v>
      </c>
      <c r="AD252" s="4">
        <f ca="1">1.05*HC[[#This Row],[Nsd (kN)]]/(HC[[#This Row],[nE]]*PI()*HC[[#This Row],[Ø (cm)]]^2/4)*10</f>
        <v>1.2185300330473239</v>
      </c>
      <c r="AE252" s="4">
        <f ca="1">IF(HC[[#This Row],[σ (MPa)]]&lt;INDEX(tipoEstaca[],MATCH($D$2,tipoEstaca[TIPO DE ESTACA],0),MATCH("σmáx (MPa)",tipoEstaca[#Headers],0)),0.4%*PI()*HC[[#This Row],[Ø (cm)]]^2/4,"N.S.")</f>
        <v>20.106192982974676</v>
      </c>
      <c r="AF252" s="82">
        <f>INDEX(tipoEstaca[],MATCH($D$2,tipoEstaca[TIPO DE ESTACA],0),MATCH(HC[[#Headers],[Comprimento (m)]],tipoEstaca[#Headers],0))</f>
        <v>4</v>
      </c>
      <c r="AG252" s="5">
        <f ca="1">HC[[#This Row],[As,mín (cm²)]]/100^2*HC[[#This Row],[Comprimento (m)]]*7850</f>
        <v>63.133445966540478</v>
      </c>
      <c r="AH252" s="4">
        <f ca="1">HC[[#This Row],[nE]]*HC[[#This Row],[Prof. (m)]]*HC[[#This Row],[Ap (m²)]]</f>
        <v>13.571680263507908</v>
      </c>
      <c r="AI252" s="82">
        <f ca="1">IF(HC[[#This Row],[nE]]=1,0,MAX(3*HC[[#This Row],[Ø (cm)]],60))</f>
        <v>240</v>
      </c>
      <c r="AJ252" s="82">
        <f ca="1">IF(HC[[#This Row],[nE]]=1,HC[[#This Row],[Ø (cm)]]+2*10,MAX(1.5*HC[[#This Row],[Ø (cm)]],HC[[#This Row],[Ø (cm)]]+15))</f>
        <v>120</v>
      </c>
      <c r="AK252" s="82">
        <f ca="1">alturaUtil(HC[[#This Row],[nE]],HC[[#This Row],[Ø (cm)]],HC[[#This Row],[e (cm)]],HC[[#This Row],[ap,eq (cm)]])</f>
        <v>110</v>
      </c>
      <c r="AL252" s="82">
        <f ca="1">IFERROR(HC[[#This Row],[d (cm)]]+arredondarParaCimaMultiplo5cm(MAX(5,SQRT(PI())/2*HC[[#This Row],[Ø (cm)]]/5)),"N.S.")</f>
        <v>125</v>
      </c>
      <c r="AM252" s="5">
        <f ca="1">alpha(HC[[#This Row],[nE]],HC[[#This Row],[d (cm)]],HC[[#This Row],[e (cm)]],HC[[#This Row],[ap,eq (cm)]])</f>
        <v>45.903713513048501</v>
      </c>
      <c r="AN252" s="35">
        <f ca="1">IFERROR(HC[[#This Row],[Nsd (kN)]]/(HC[[#This Row],[Ap (cm²)]]*SIN(HC[[#This Row],[α]])^2),"N.S.")</f>
        <v>0.9920394654193232</v>
      </c>
      <c r="AO252" s="35">
        <f ca="1">IFERROR(HC[[#This Row],[Nsd (kN)]]/(HC[[#This Row],[nE]]*PI()*HC[[#This Row],[Ø (cm)]]^2/4*SIN(HC[[#This Row],[α]])^2),"N.S.")</f>
        <v>0.13157332055310555</v>
      </c>
      <c r="AP252" s="4">
        <f ca="1">IFERROR(INDEX(grupoEstacas[],HC[[#This Row],[nE]],MATCH("coef. Blévot",grupoEstacas[#Headers],0)),"N.S.")</f>
        <v>1.75</v>
      </c>
      <c r="AQ252" s="35">
        <f ca="1">IFERROR(HC[[#This Row],[coef. Blévot]]*0.9*INDEX(tipoEstaca[],MATCH($D$2,tipoEstaca[TIPO DE ESTACA],0),MATCH("fcd (kN/cm²)",tipoEstaca[#Headers],0)),"N.S.")</f>
        <v>1.75</v>
      </c>
      <c r="AR252" s="82" t="str">
        <f ca="1">IF(AND(HC[[#This Row],[cd,b,pil (kN/cm²)]]&lt;=HC[[#This Row],[cd,b,lim (kN/cm²)]],HC[[#This Row],[cd,b,est (kN/cm²)]]&lt;=HC[[#This Row],[cd,b,lim (kN/cm²)]]),"OK","ERRO")</f>
        <v>OK</v>
      </c>
      <c r="AS252" s="4">
        <f ca="1">As_lado(HC[[#This Row],[nE]],HC[[#This Row],[Nsd (kN)]],HC[[#This Row],[d (cm)]],HC[[#This Row],[e (cm)]],HC[[#This Row],[ap,eq (cm)]])</f>
        <v>8.8128025473645515</v>
      </c>
      <c r="AT252" s="4" t="str">
        <f ca="1">IF(HC[[#This Row],[nE]]=1,HC[[#This Row],[As,lado (cm²)]],IF(HC[[#This Row],[nE]]=2,0.075*2*HC[a (cm)],"N.A."))</f>
        <v>N.A.</v>
      </c>
      <c r="AU252" s="4">
        <f ca="1">IFERROR(IF(HC[[#This Row],[nE]]=1,"N.A.",0.2*HC[[#This Row],[As,lado (cm²)]]),"N.S.")</f>
        <v>1.7625605094729104</v>
      </c>
      <c r="AV252" s="4">
        <f ca="1">As_malha(HC[[#This Row],[nE]],HC[[#This Row],[As,lado (cm²)]],HC[[#This Row],[Nsd (kN)]])</f>
        <v>2.981481481481481</v>
      </c>
      <c r="AW252" s="4">
        <f ca="1">As_susp_tot(HC[[#This Row],[nE]],HC[[#This Row],[Nsd (kN)]])</f>
        <v>8.9444444444444429</v>
      </c>
      <c r="AX252" s="4">
        <f ca="1">Asp_face(HC[[#This Row],[nE]],HC[[#This Row],[As,lado (cm²)]])</f>
        <v>3.3048009552617068</v>
      </c>
      <c r="AY252" s="5">
        <f ca="1">acoBloco(HC[[#This Row],[nE]],HC[[#This Row],[e (cm)]],HC[[#This Row],[a (cm)]],HC[[#This Row],[h (cm)]],HC[[#This Row],[As,lado (cm²)]],HC[[#This Row],[Asp e Asw (cm²/m)]],HC[[#This Row],[As,sup (cm²)]],HC[[#This Row],[As,malha (cm²)]],HC[[#This Row],[As,susp,tot (cm²)]],HC[[#This Row],[Asp,face (cm²)]])</f>
        <v>209.35305662814827</v>
      </c>
      <c r="AZ252" s="4">
        <f ca="1">concretoBloco(HC[[#This Row],[nE]],HC[[#This Row],[e (cm)]],HC[[#This Row],[a (cm)]],HC[[#This Row],[h (cm)]])</f>
        <v>20.153074360871933</v>
      </c>
      <c r="BA252" s="5">
        <f ca="1">SUM(HC[[#This Row],[Aço Est (kg)]],HC[[#This Row],[Aço Bloco (kg)]])</f>
        <v>272.48650259468877</v>
      </c>
      <c r="BB252" s="4">
        <f>INDEX(composicoes[],MATCH(95580,composicoes[CÓDIGO],0),MATCH("CUSTO TOTAL",composicoes[#Headers],0))</f>
        <v>10.46</v>
      </c>
      <c r="BC252" s="4">
        <f ca="1">SUM(HC[[#This Row],[Conc Est (m³)]],HC[[#This Row],[Conc Bloco (m³)]])</f>
        <v>33.724754624379841</v>
      </c>
      <c r="BD252" s="4">
        <f>INDEX(composicoes[],MATCH(94966,composicoes[CÓDIGO],0),MATCH("CUSTO TOTAL",composicoes[#Headers],0))</f>
        <v>439.52</v>
      </c>
      <c r="BE252" s="38">
        <f ca="1">HC[[#This Row],[Aço (kg)]]*HC[[#This Row],[Aço (R$/kg)]]+HC[[#This Row],[Conc (m³)]]*HC[[#This Row],[Conc (R$/m³)]]</f>
        <v>17672.91296964787</v>
      </c>
      <c r="BF252" s="4" t="str">
        <f ca="1">IF(COUNTIF(HC[#This Row],"N.S.")&gt;0,"lim.","OK")</f>
        <v>OK</v>
      </c>
      <c r="BG252" s="4" t="str">
        <f>IF(HC[[#This Row],[Prof. (m)]]&lt;4,"lim.","OK")</f>
        <v>OK</v>
      </c>
      <c r="BH252" s="4" t="str">
        <f>IF(HC[[#This Row],[Prof. (m)]]&gt;=8*HC[[#This Row],[Ø (cm)]]/100,"OK","lim.")</f>
        <v>OK</v>
      </c>
      <c r="BI252" s="4" t="str">
        <f ca="1">IF(HC[[#This Row],[Verif. Biela]]="OK","OK","lim.")</f>
        <v>OK</v>
      </c>
      <c r="BJ252" s="4" t="str">
        <f ca="1">IF(COUNTA(HC[[#This Row],[Nº Est.]:[Biela comp.]])=COUNTIF(HC[[#This Row],[Nº Est.]:[Biela comp.]],"OK"),"OK","lim.")</f>
        <v>OK</v>
      </c>
      <c r="BK252" s="4" t="str">
        <f ca="1">IF(HC[[#This Row],[Controle]]="OK",HC[[#This Row],[nE]]&amp;" Ø "&amp;HC[[#This Row],[Ø (cm)]]&amp;" cm, Prof. "&amp;HC[[#This Row],[Prof. (m)]]&amp;" m","")</f>
        <v>3 Ø 80 cm, Prof. 9 m</v>
      </c>
      <c r="BL252" s="4" t="str">
        <f ca="1">IF(HC[[#This Row],[idDimensionamento]]="","",HC[[#This Row],[idPilar]]&amp;HC[[#This Row],[idDimensionamento]])</f>
        <v>23 Ø 80 cm, Prof. 9 m</v>
      </c>
    </row>
    <row r="253" spans="2:64" x14ac:dyDescent="0.25">
      <c r="B253" s="12">
        <f>ROUNDUP((ROW(HC[[#This Row],[idDiâmetro]])-ROW(HC[[#Headers],[idDiâmetro]]))/(COUNT(SPT[Prof. (m)])*COUNT(PILARES[Pilar])),0)</f>
        <v>9</v>
      </c>
      <c r="C253" s="12">
        <f>IF(HC[[#This Row],[idDiâmetro]]&lt;&gt;B252,1,IF(HC[[#This Row],[Prof. (m)]]=0,C252+1,C252))</f>
        <v>2</v>
      </c>
      <c r="D253" s="82">
        <f>IFERROR(IF(D252=MAX(SPT[Prof. (m)]),0,D252+1),0)</f>
        <v>10</v>
      </c>
      <c r="E253" s="82">
        <f>INDEX(SPT[],MATCH(HC[[#This Row],[Prof. (m)]],SPT[Prof. (m)],0),2)</f>
        <v>32</v>
      </c>
      <c r="F253" s="82" t="str">
        <f>INDEX(SPT[],MATCH(HC[[#This Row],[Prof. (m)]],SPT[Prof. (m)],0),3)</f>
        <v>Areia siltosa</v>
      </c>
      <c r="G253" s="82">
        <f>INDEX(estacas[],HC[[#This Row],[idDiâmetro]],MATCH($B$2,estacas[#Headers],0))</f>
        <v>80</v>
      </c>
      <c r="H253" s="82">
        <f>INDEX(estacas[],MATCH(HC[[#This Row],[Ø (cm)]],estacas[Ø HC (cm)],0),MATCH(HC[[#Headers],[Pe HC (kN)]],estacas[#Headers],0))</f>
        <v>3200</v>
      </c>
      <c r="I253" s="4">
        <f>INDEX(K_alpha_C[],MATCH(HC[[#This Row],[Solo]],K_alpha_C[Solo],0),2)</f>
        <v>0.8</v>
      </c>
      <c r="J253" s="5">
        <f>INDEX(K_alpha_C[],MATCH(HC[[#This Row],[Solo]],K_alpha_C[Solo],0),3)</f>
        <v>2</v>
      </c>
      <c r="K253" s="4">
        <f>INDEX(F1_F2[],MATCH($D$2,F1_F2[Tipo de estaca],0),2)</f>
        <v>2</v>
      </c>
      <c r="L253" s="4">
        <f>INDEX(F1_F2[],MATCH($D$2,F1_F2[Tipo de estaca],0),3)</f>
        <v>4</v>
      </c>
      <c r="M253" s="4">
        <f>PI()*(HC[[#This Row],[Ø (cm)]]/100)^2/4</f>
        <v>0.50265482457436694</v>
      </c>
      <c r="N253" s="4">
        <f>PI()*HC[[#This Row],[Ø (cm)]]/100</f>
        <v>2.5132741228718345</v>
      </c>
      <c r="O253" s="4">
        <f>IF(HC[[#This Row],[Prof. (m)]]=0,0,HC[[#This Row],[α (%)]]/100*HC[[#This Row],[K (MPa)]]*1000*HC[[#This Row],[NSPT]])</f>
        <v>512</v>
      </c>
      <c r="P253" s="4">
        <f>IF(HC[[#This Row],[Prof. (m)]]=0,0,(HC[[#This Row],[K (MPa)]]*1000*HC[[#This Row],[NSPT]]/HC[[#This Row],[F1]]*HC[[#This Row],[Ap (m²)]]+HC[[#This Row],[U (m)]]/HC[[#This Row],[F2]]*SUMIFS(HC[(α∙K∙NL∙ΔL)],HC[Prof. (m)],"&lt;="&amp;HC[[#This Row],[Prof. (m)]],HC[idDiâmetro],HC[[#This Row],[idDiâmetro]],HC[idPilar],HC[[#This Row],[idPilar]]))/'DADOS CAP. CARGA'!$D$2)</f>
        <v>3822.658524961525</v>
      </c>
      <c r="Q253" s="12">
        <f>INDEX(C_alpha_beta[],MATCH(HC[[#This Row],[Solo]],C_alpha_beta[Solo],0),MATCH(HC[[#Headers],[C (kPa)]],C_alpha_beta[#Headers],0))</f>
        <v>400</v>
      </c>
      <c r="R253" s="4">
        <f>INDEX(C_alpha_beta[],MATCH(HC[[#This Row],[Solo]],C_alpha_beta[Solo],0),MATCH(HC[[#Headers],[α ESF]],C_alpha_beta[#Headers],0))</f>
        <v>0.5</v>
      </c>
      <c r="S253" s="4">
        <f>INDEX(C_alpha_beta[],MATCH(HC[[#This Row],[Solo]],C_alpha_beta[Solo],0),MATCH(HC[[#Headers],[β ESF]],C_alpha_beta[#Headers],0))</f>
        <v>0.5</v>
      </c>
      <c r="T253" s="4">
        <f>IF(HC[[#This Row],[Prof. (m)]]=0,0,10*(HC[[#This Row],[NSPT]]/3+1))</f>
        <v>116.66666666666666</v>
      </c>
      <c r="U253" s="4">
        <f>(HC[[#This Row],[α ESF]]*HC[[#This Row],[C (kPa)]]*HC[[#This Row],[NSPT]]*HC[[#This Row],[Ap (m²)]])/'DADOS CAP. CARGA'!$Q$2+(HC[[#This Row],[β ESF]]*SUMIFS(HC[10∙(NL/3+1)],HC[Prof. (m)],"&lt;="&amp;HC[[#This Row],[Prof. (m)]],HC[idDiâmetro],HC[[#This Row],[idDiâmetro]],HC[idPilar],HC[[#This Row],[idPilar]])*HC[[#This Row],[U (m)]])/'DADOS CAP. CARGA'!$S$2</f>
        <v>1139.3509357018984</v>
      </c>
      <c r="V253" s="4">
        <f>IF(SPT!$M$5=1,MIN(HC[[#This Row],[Pe HC (kN)]],HC[[#This Row],[R_AV (kN)]]),IF(SPT!$M$5=2,MIN(HC[[#This Row],[Pe HC (kN)]],HC[[#This Row],[R_DC (kN)]]),MIN(HC[[#This Row],[Pe HC (kN)]],HC[[#This Row],[R_AV (kN)]],HC[[#This Row],[R_DC (kN)]])))</f>
        <v>1139.3509357018984</v>
      </c>
      <c r="W253" s="4">
        <f>INDEX(PILARES[],HC[[#This Row],[idPilar]],MATCH("Carga (kN)",PILARES[#Headers],0))*1.4</f>
        <v>1750</v>
      </c>
      <c r="X253" s="12">
        <f>INDEX(PILARES[],HC[[#This Row],[idPilar]],MATCH(HC[[#Headers],[ap (cm)]],PILARES[#Headers],0))</f>
        <v>50</v>
      </c>
      <c r="Y253" s="12">
        <f>INDEX(PILARES[],HC[[#This Row],[idPilar]],MATCH(HC[[#Headers],[bp (cm)]],PILARES[#Headers],0))</f>
        <v>40</v>
      </c>
      <c r="Z253" s="4">
        <f>SQRT(HC[[#This Row],[ap (cm)]]*HC[[#This Row],[bp (cm)]])</f>
        <v>44.721359549995796</v>
      </c>
      <c r="AA253" s="12">
        <f>HC[[#This Row],[ap (cm)]]*HC[[#This Row],[bp (cm)]]</f>
        <v>2000</v>
      </c>
      <c r="AB253" s="12">
        <f ca="1">IF(HC[[#This Row],[Padm∙ε (kN)]]&gt;=HC[[#This Row],[Padm (kN)]],ROUNDUP(1.05*HC[[#This Row],[Nsd (kN)]]/HC[[#This Row],[Padm (kN)]],0),ROUNDUP(1.05*HC[[#This Row],[Nsd (kN)]]/HC[[#This Row],[Padm (kN)]],0)+1)</f>
        <v>2</v>
      </c>
      <c r="AC253" s="4">
        <f ca="1">IFERROR(IF(HC[[#This Row],[nE]]=1,HC[[#This Row],[Padm (kN)]],HC[[#This Row],[Padm (kN)]]*HC[[#This Row],[nE]]*INDEX(grupoEstacas[],HC[[#This Row],[nE]],MATCH("ε",grupoEstacas[#Headers],0))),"N.S.")</f>
        <v>2136.2830044410593</v>
      </c>
      <c r="AD253" s="4">
        <f ca="1">1.05*HC[[#This Row],[Nsd (kN)]]/(HC[[#This Row],[nE]]*PI()*HC[[#This Row],[Ø (cm)]]^2/4)*10</f>
        <v>1.8277950495709856</v>
      </c>
      <c r="AE253" s="4">
        <f ca="1">IF(HC[[#This Row],[σ (MPa)]]&lt;INDEX(tipoEstaca[],MATCH($D$2,tipoEstaca[TIPO DE ESTACA],0),MATCH("σmáx (MPa)",tipoEstaca[#Headers],0)),0.4%*PI()*HC[[#This Row],[Ø (cm)]]^2/4,"N.S.")</f>
        <v>20.106192982974676</v>
      </c>
      <c r="AF253" s="82">
        <f>INDEX(tipoEstaca[],MATCH($D$2,tipoEstaca[TIPO DE ESTACA],0),MATCH(HC[[#Headers],[Comprimento (m)]],tipoEstaca[#Headers],0))</f>
        <v>4</v>
      </c>
      <c r="AG253" s="5">
        <f ca="1">HC[[#This Row],[As,mín (cm²)]]/100^2*HC[[#This Row],[Comprimento (m)]]*7850</f>
        <v>63.133445966540478</v>
      </c>
      <c r="AH253" s="4">
        <f ca="1">HC[[#This Row],[nE]]*HC[[#This Row],[Prof. (m)]]*HC[[#This Row],[Ap (m²)]]</f>
        <v>10.053096491487338</v>
      </c>
      <c r="AI253" s="82">
        <f ca="1">IF(HC[[#This Row],[nE]]=1,0,MAX(3*HC[[#This Row],[Ø (cm)]],60))</f>
        <v>240</v>
      </c>
      <c r="AJ253" s="82">
        <f ca="1">IF(HC[[#This Row],[nE]]=1,HC[[#This Row],[Ø (cm)]]+2*10,MAX(1.5*HC[[#This Row],[Ø (cm)]],HC[[#This Row],[Ø (cm)]]+15))</f>
        <v>120</v>
      </c>
      <c r="AK253" s="82">
        <f ca="1">alturaUtil(HC[[#This Row],[nE]],HC[[#This Row],[Ø (cm)]],HC[[#This Row],[e (cm)]],HC[[#This Row],[ap,eq (cm)]])</f>
        <v>110</v>
      </c>
      <c r="AL253" s="82">
        <f ca="1">IFERROR(HC[[#This Row],[d (cm)]]+arredondarParaCimaMultiplo5cm(MAX(5,SQRT(PI())/2*HC[[#This Row],[Ø (cm)]]/5)),"N.S.")</f>
        <v>125</v>
      </c>
      <c r="AM253" s="5">
        <f ca="1">alpha(HC[[#This Row],[nE]],HC[[#This Row],[d (cm)]],HC[[#This Row],[e (cm)]],HC[[#This Row],[ap,eq (cm)]])</f>
        <v>45.309057412860952</v>
      </c>
      <c r="AN253" s="35">
        <f ca="1">IFERROR(HC[[#This Row],[Nsd (kN)]]/(HC[[#This Row],[Ap (cm²)]]*SIN(HC[[#This Row],[α]])^2),"N.S.")</f>
        <v>0.92925031910840006</v>
      </c>
      <c r="AO253" s="35">
        <f ca="1">IFERROR(HC[[#This Row],[Nsd (kN)]]/(HC[[#This Row],[nE]]*PI()*HC[[#This Row],[Ø (cm)]]^2/4*SIN(HC[[#This Row],[α]])^2),"N.S.")</f>
        <v>0.18486847706977871</v>
      </c>
      <c r="AP253" s="4">
        <f ca="1">IFERROR(INDEX(grupoEstacas[],HC[[#This Row],[nE]],MATCH("coef. Blévot",grupoEstacas[#Headers],0)),"N.S.")</f>
        <v>1.4</v>
      </c>
      <c r="AQ253" s="35">
        <f ca="1">IFERROR(HC[[#This Row],[coef. Blévot]]*0.9*INDEX(tipoEstaca[],MATCH($D$2,tipoEstaca[TIPO DE ESTACA],0),MATCH("fcd (kN/cm²)",tipoEstaca[#Headers],0)),"N.S.")</f>
        <v>1.4000000000000001</v>
      </c>
      <c r="AR253" s="82" t="str">
        <f ca="1">IF(AND(HC[[#This Row],[cd,b,pil (kN/cm²)]]&lt;=HC[[#This Row],[cd,b,lim (kN/cm²)]],HC[[#This Row],[cd,b,est (kN/cm²)]]&lt;=HC[[#This Row],[cd,b,lim (kN/cm²)]]),"OK","ERRO")</f>
        <v>OK</v>
      </c>
      <c r="AS253" s="4">
        <f ca="1">As_lado(HC[[#This Row],[nE]],HC[[#This Row],[Nsd (kN)]],HC[[#This Row],[d (cm)]],HC[[#This Row],[e (cm)]],HC[[#This Row],[ap,eq (cm)]])</f>
        <v>22.895409170260873</v>
      </c>
      <c r="AT253" s="4">
        <f ca="1">IF(HC[[#This Row],[nE]]=1,HC[[#This Row],[As,lado (cm²)]],IF(HC[[#This Row],[nE]]=2,0.075*2*HC[a (cm)],"N.A."))</f>
        <v>18</v>
      </c>
      <c r="AU253" s="4">
        <f ca="1">IFERROR(IF(HC[[#This Row],[nE]]=1,"N.A.",0.2*HC[[#This Row],[As,lado (cm²)]]),"N.S.")</f>
        <v>4.5790818340521744</v>
      </c>
      <c r="AV253" s="4" t="str">
        <f ca="1">As_malha(HC[[#This Row],[nE]],HC[[#This Row],[As,lado (cm²)]],HC[[#This Row],[Nsd (kN)]])</f>
        <v>N.A.</v>
      </c>
      <c r="AW253" s="4" t="str">
        <f ca="1">As_susp_tot(HC[[#This Row],[nE]],HC[[#This Row],[Nsd (kN)]])</f>
        <v>N.A.</v>
      </c>
      <c r="AX253" s="4" t="str">
        <f ca="1">Asp_face(HC[[#This Row],[nE]],HC[[#This Row],[As,lado (cm²)]])</f>
        <v>N.A.</v>
      </c>
      <c r="AY253" s="5">
        <f ca="1">acoBloco(HC[[#This Row],[nE]],HC[[#This Row],[e (cm)]],HC[[#This Row],[a (cm)]],HC[[#This Row],[h (cm)]],HC[[#This Row],[As,lado (cm²)]],HC[[#This Row],[Asp e Asw (cm²/m)]],HC[[#This Row],[As,sup (cm²)]],HC[[#This Row],[As,malha (cm²)]],HC[[#This Row],[As,susp,tot (cm²)]],HC[[#This Row],[Asp,face (cm²)]])</f>
        <v>852.97908210425146</v>
      </c>
      <c r="AZ253" s="4">
        <f ca="1">concretoBloco(HC[[#This Row],[nE]],HC[[#This Row],[e (cm)]],HC[[#This Row],[a (cm)]],HC[[#This Row],[h (cm)]])</f>
        <v>14.4</v>
      </c>
      <c r="BA253" s="5">
        <f ca="1">SUM(HC[[#This Row],[Aço Est (kg)]],HC[[#This Row],[Aço Bloco (kg)]])</f>
        <v>916.112528070792</v>
      </c>
      <c r="BB253" s="4">
        <f>INDEX(composicoes[],MATCH(95580,composicoes[CÓDIGO],0),MATCH("CUSTO TOTAL",composicoes[#Headers],0))</f>
        <v>10.46</v>
      </c>
      <c r="BC253" s="4">
        <f ca="1">SUM(HC[[#This Row],[Conc Est (m³)]],HC[[#This Row],[Conc Bloco (m³)]])</f>
        <v>24.453096491487337</v>
      </c>
      <c r="BD253" s="4">
        <f>INDEX(composicoes[],MATCH(94966,composicoes[CÓDIGO],0),MATCH("CUSTO TOTAL",composicoes[#Headers],0))</f>
        <v>439.52</v>
      </c>
      <c r="BE253" s="38">
        <f ca="1">HC[[#This Row],[Aço (kg)]]*HC[[#This Row],[Aço (R$/kg)]]+HC[[#This Row],[Conc (m³)]]*HC[[#This Row],[Conc (R$/m³)]]</f>
        <v>20330.162013558998</v>
      </c>
      <c r="BF253" s="4" t="str">
        <f ca="1">IF(COUNTIF(HC[#This Row],"N.S.")&gt;0,"lim.","OK")</f>
        <v>OK</v>
      </c>
      <c r="BG253" s="4" t="str">
        <f>IF(HC[[#This Row],[Prof. (m)]]&lt;4,"lim.","OK")</f>
        <v>OK</v>
      </c>
      <c r="BH253" s="4" t="str">
        <f>IF(HC[[#This Row],[Prof. (m)]]&gt;=8*HC[[#This Row],[Ø (cm)]]/100,"OK","lim.")</f>
        <v>OK</v>
      </c>
      <c r="BI253" s="4" t="str">
        <f ca="1">IF(HC[[#This Row],[Verif. Biela]]="OK","OK","lim.")</f>
        <v>OK</v>
      </c>
      <c r="BJ253" s="4" t="str">
        <f ca="1">IF(COUNTA(HC[[#This Row],[Nº Est.]:[Biela comp.]])=COUNTIF(HC[[#This Row],[Nº Est.]:[Biela comp.]],"OK"),"OK","lim.")</f>
        <v>OK</v>
      </c>
      <c r="BK253" s="4" t="str">
        <f ca="1">IF(HC[[#This Row],[Controle]]="OK",HC[[#This Row],[nE]]&amp;" Ø "&amp;HC[[#This Row],[Ø (cm)]]&amp;" cm, Prof. "&amp;HC[[#This Row],[Prof. (m)]]&amp;" m","")</f>
        <v>2 Ø 80 cm, Prof. 10 m</v>
      </c>
      <c r="BL253" s="4" t="str">
        <f ca="1">IF(HC[[#This Row],[idDimensionamento]]="","",HC[[#This Row],[idPilar]]&amp;HC[[#This Row],[idDimensionamento]])</f>
        <v>22 Ø 80 cm, Prof. 10 m</v>
      </c>
    </row>
    <row r="254" spans="2:64" x14ac:dyDescent="0.25">
      <c r="B254" s="12">
        <f>ROUNDUP((ROW(HC[[#This Row],[idDiâmetro]])-ROW(HC[[#Headers],[idDiâmetro]]))/(COUNT(SPT[Prof. (m)])*COUNT(PILARES[Pilar])),0)</f>
        <v>9</v>
      </c>
      <c r="C254" s="12">
        <f>IF(HC[[#This Row],[idDiâmetro]]&lt;&gt;B253,1,IF(HC[[#This Row],[Prof. (m)]]=0,C253+1,C253))</f>
        <v>2</v>
      </c>
      <c r="D254" s="82">
        <f>IFERROR(IF(D253=MAX(SPT[Prof. (m)]),0,D253+1),0)</f>
        <v>11</v>
      </c>
      <c r="E254" s="82">
        <f>INDEX(SPT[],MATCH(HC[[#This Row],[Prof. (m)]],SPT[Prof. (m)],0),2)</f>
        <v>41</v>
      </c>
      <c r="F254" s="82" t="str">
        <f>INDEX(SPT[],MATCH(HC[[#This Row],[Prof. (m)]],SPT[Prof. (m)],0),3)</f>
        <v>Areia siltosa</v>
      </c>
      <c r="G254" s="82">
        <f>INDEX(estacas[],HC[[#This Row],[idDiâmetro]],MATCH($B$2,estacas[#Headers],0))</f>
        <v>80</v>
      </c>
      <c r="H254" s="82">
        <f>INDEX(estacas[],MATCH(HC[[#This Row],[Ø (cm)]],estacas[Ø HC (cm)],0),MATCH(HC[[#Headers],[Pe HC (kN)]],estacas[#Headers],0))</f>
        <v>3200</v>
      </c>
      <c r="I254" s="4">
        <f>INDEX(K_alpha_C[],MATCH(HC[[#This Row],[Solo]],K_alpha_C[Solo],0),2)</f>
        <v>0.8</v>
      </c>
      <c r="J254" s="5">
        <f>INDEX(K_alpha_C[],MATCH(HC[[#This Row],[Solo]],K_alpha_C[Solo],0),3)</f>
        <v>2</v>
      </c>
      <c r="K254" s="4">
        <f>INDEX(F1_F2[],MATCH($D$2,F1_F2[Tipo de estaca],0),2)</f>
        <v>2</v>
      </c>
      <c r="L254" s="4">
        <f>INDEX(F1_F2[],MATCH($D$2,F1_F2[Tipo de estaca],0),3)</f>
        <v>4</v>
      </c>
      <c r="M254" s="4">
        <f>PI()*(HC[[#This Row],[Ø (cm)]]/100)^2/4</f>
        <v>0.50265482457436694</v>
      </c>
      <c r="N254" s="4">
        <f>PI()*HC[[#This Row],[Ø (cm)]]/100</f>
        <v>2.5132741228718345</v>
      </c>
      <c r="O254" s="4">
        <f>IF(HC[[#This Row],[Prof. (m)]]=0,0,HC[[#This Row],[α (%)]]/100*HC[[#This Row],[K (MPa)]]*1000*HC[[#This Row],[NSPT]])</f>
        <v>656</v>
      </c>
      <c r="P254" s="4">
        <f>IF(HC[[#This Row],[Prof. (m)]]=0,0,(HC[[#This Row],[K (MPa)]]*1000*HC[[#This Row],[NSPT]]/HC[[#This Row],[F1]]*HC[[#This Row],[Ap (m²)]]+HC[[#This Row],[U (m)]]/HC[[#This Row],[F2]]*SUMIFS(HC[(α∙K∙NL∙ΔL)],HC[Prof. (m)],"&lt;="&amp;HC[[#This Row],[Prof. (m)]],HC[idDiâmetro],HC[[#This Row],[idDiâmetro]],HC[idPilar],HC[[#This Row],[idPilar]]))/'DADOS CAP. CARGA'!$D$2)</f>
        <v>4933.525687270876</v>
      </c>
      <c r="Q254" s="12">
        <f>INDEX(C_alpha_beta[],MATCH(HC[[#This Row],[Solo]],C_alpha_beta[Solo],0),MATCH(HC[[#Headers],[C (kPa)]],C_alpha_beta[#Headers],0))</f>
        <v>400</v>
      </c>
      <c r="R254" s="4">
        <f>INDEX(C_alpha_beta[],MATCH(HC[[#This Row],[Solo]],C_alpha_beta[Solo],0),MATCH(HC[[#Headers],[α ESF]],C_alpha_beta[#Headers],0))</f>
        <v>0.5</v>
      </c>
      <c r="S254" s="4">
        <f>INDEX(C_alpha_beta[],MATCH(HC[[#This Row],[Solo]],C_alpha_beta[Solo],0),MATCH(HC[[#Headers],[β ESF]],C_alpha_beta[#Headers],0))</f>
        <v>0.5</v>
      </c>
      <c r="T254" s="4">
        <f>IF(HC[[#This Row],[Prof. (m)]]=0,0,10*(HC[[#This Row],[NSPT]]/3+1))</f>
        <v>146.66666666666666</v>
      </c>
      <c r="U254" s="4">
        <f>(HC[[#This Row],[α ESF]]*HC[[#This Row],[C (kPa)]]*HC[[#This Row],[NSPT]]*HC[[#This Row],[Ap (m²)]])/'DADOS CAP. CARGA'!$Q$2+(HC[[#This Row],[β ESF]]*SUMIFS(HC[10∙(NL/3+1)],HC[Prof. (m)],"&lt;="&amp;HC[[#This Row],[Prof. (m)]],HC[idDiâmetro],HC[[#This Row],[idDiâmetro]],HC[idPilar],HC[[#This Row],[idPilar]])*HC[[#This Row],[U (m)]])/'DADOS CAP. CARGA'!$S$2</f>
        <v>1457.6989912656641</v>
      </c>
      <c r="V254" s="4">
        <f>IF(SPT!$M$5=1,MIN(HC[[#This Row],[Pe HC (kN)]],HC[[#This Row],[R_AV (kN)]]),IF(SPT!$M$5=2,MIN(HC[[#This Row],[Pe HC (kN)]],HC[[#This Row],[R_DC (kN)]]),MIN(HC[[#This Row],[Pe HC (kN)]],HC[[#This Row],[R_AV (kN)]],HC[[#This Row],[R_DC (kN)]])))</f>
        <v>1457.6989912656641</v>
      </c>
      <c r="W254" s="4">
        <f>INDEX(PILARES[],HC[[#This Row],[idPilar]],MATCH("Carga (kN)",PILARES[#Headers],0))*1.4</f>
        <v>1750</v>
      </c>
      <c r="X254" s="12">
        <f>INDEX(PILARES[],HC[[#This Row],[idPilar]],MATCH(HC[[#Headers],[ap (cm)]],PILARES[#Headers],0))</f>
        <v>50</v>
      </c>
      <c r="Y254" s="12">
        <f>INDEX(PILARES[],HC[[#This Row],[idPilar]],MATCH(HC[[#Headers],[bp (cm)]],PILARES[#Headers],0))</f>
        <v>40</v>
      </c>
      <c r="Z254" s="4">
        <f>SQRT(HC[[#This Row],[ap (cm)]]*HC[[#This Row],[bp (cm)]])</f>
        <v>44.721359549995796</v>
      </c>
      <c r="AA254" s="12">
        <f>HC[[#This Row],[ap (cm)]]*HC[[#This Row],[bp (cm)]]</f>
        <v>2000</v>
      </c>
      <c r="AB254" s="12">
        <f ca="1">IF(HC[[#This Row],[Padm∙ε (kN)]]&gt;=HC[[#This Row],[Padm (kN)]],ROUNDUP(1.05*HC[[#This Row],[Nsd (kN)]]/HC[[#This Row],[Padm (kN)]],0),ROUNDUP(1.05*HC[[#This Row],[Nsd (kN)]]/HC[[#This Row],[Padm (kN)]],0)+1)</f>
        <v>2</v>
      </c>
      <c r="AC254" s="4">
        <f ca="1">IFERROR(IF(HC[[#This Row],[nE]]=1,HC[[#This Row],[Padm (kN)]],HC[[#This Row],[Padm (kN)]]*HC[[#This Row],[nE]]*INDEX(grupoEstacas[],HC[[#This Row],[nE]],MATCH("ε",grupoEstacas[#Headers],0))),"N.S.")</f>
        <v>2733.1856086231201</v>
      </c>
      <c r="AD254" s="4">
        <f ca="1">1.05*HC[[#This Row],[Nsd (kN)]]/(HC[[#This Row],[nE]]*PI()*HC[[#This Row],[Ø (cm)]]^2/4)*10</f>
        <v>1.8277950495709856</v>
      </c>
      <c r="AE254" s="4">
        <f ca="1">IF(HC[[#This Row],[σ (MPa)]]&lt;INDEX(tipoEstaca[],MATCH($D$2,tipoEstaca[TIPO DE ESTACA],0),MATCH("σmáx (MPa)",tipoEstaca[#Headers],0)),0.4%*PI()*HC[[#This Row],[Ø (cm)]]^2/4,"N.S.")</f>
        <v>20.106192982974676</v>
      </c>
      <c r="AF254" s="82">
        <f>INDEX(tipoEstaca[],MATCH($D$2,tipoEstaca[TIPO DE ESTACA],0),MATCH(HC[[#Headers],[Comprimento (m)]],tipoEstaca[#Headers],0))</f>
        <v>4</v>
      </c>
      <c r="AG254" s="5">
        <f ca="1">HC[[#This Row],[As,mín (cm²)]]/100^2*HC[[#This Row],[Comprimento (m)]]*7850</f>
        <v>63.133445966540478</v>
      </c>
      <c r="AH254" s="4">
        <f ca="1">HC[[#This Row],[nE]]*HC[[#This Row],[Prof. (m)]]*HC[[#This Row],[Ap (m²)]]</f>
        <v>11.058406140636073</v>
      </c>
      <c r="AI254" s="82">
        <f ca="1">IF(HC[[#This Row],[nE]]=1,0,MAX(3*HC[[#This Row],[Ø (cm)]],60))</f>
        <v>240</v>
      </c>
      <c r="AJ254" s="82">
        <f ca="1">IF(HC[[#This Row],[nE]]=1,HC[[#This Row],[Ø (cm)]]+2*10,MAX(1.5*HC[[#This Row],[Ø (cm)]],HC[[#This Row],[Ø (cm)]]+15))</f>
        <v>120</v>
      </c>
      <c r="AK254" s="82">
        <f ca="1">alturaUtil(HC[[#This Row],[nE]],HC[[#This Row],[Ø (cm)]],HC[[#This Row],[e (cm)]],HC[[#This Row],[ap,eq (cm)]])</f>
        <v>110</v>
      </c>
      <c r="AL254" s="82">
        <f ca="1">IFERROR(HC[[#This Row],[d (cm)]]+arredondarParaCimaMultiplo5cm(MAX(5,SQRT(PI())/2*HC[[#This Row],[Ø (cm)]]/5)),"N.S.")</f>
        <v>125</v>
      </c>
      <c r="AM254" s="5">
        <f ca="1">alpha(HC[[#This Row],[nE]],HC[[#This Row],[d (cm)]],HC[[#This Row],[e (cm)]],HC[[#This Row],[ap,eq (cm)]])</f>
        <v>45.309057412860952</v>
      </c>
      <c r="AN254" s="35">
        <f ca="1">IFERROR(HC[[#This Row],[Nsd (kN)]]/(HC[[#This Row],[Ap (cm²)]]*SIN(HC[[#This Row],[α]])^2),"N.S.")</f>
        <v>0.92925031910840006</v>
      </c>
      <c r="AO254" s="35">
        <f ca="1">IFERROR(HC[[#This Row],[Nsd (kN)]]/(HC[[#This Row],[nE]]*PI()*HC[[#This Row],[Ø (cm)]]^2/4*SIN(HC[[#This Row],[α]])^2),"N.S.")</f>
        <v>0.18486847706977871</v>
      </c>
      <c r="AP254" s="4">
        <f ca="1">IFERROR(INDEX(grupoEstacas[],HC[[#This Row],[nE]],MATCH("coef. Blévot",grupoEstacas[#Headers],0)),"N.S.")</f>
        <v>1.4</v>
      </c>
      <c r="AQ254" s="35">
        <f ca="1">IFERROR(HC[[#This Row],[coef. Blévot]]*0.9*INDEX(tipoEstaca[],MATCH($D$2,tipoEstaca[TIPO DE ESTACA],0),MATCH("fcd (kN/cm²)",tipoEstaca[#Headers],0)),"N.S.")</f>
        <v>1.4000000000000001</v>
      </c>
      <c r="AR254" s="82" t="str">
        <f ca="1">IF(AND(HC[[#This Row],[cd,b,pil (kN/cm²)]]&lt;=HC[[#This Row],[cd,b,lim (kN/cm²)]],HC[[#This Row],[cd,b,est (kN/cm²)]]&lt;=HC[[#This Row],[cd,b,lim (kN/cm²)]]),"OK","ERRO")</f>
        <v>OK</v>
      </c>
      <c r="AS254" s="4">
        <f ca="1">As_lado(HC[[#This Row],[nE]],HC[[#This Row],[Nsd (kN)]],HC[[#This Row],[d (cm)]],HC[[#This Row],[e (cm)]],HC[[#This Row],[ap,eq (cm)]])</f>
        <v>22.895409170260873</v>
      </c>
      <c r="AT254" s="4">
        <f ca="1">IF(HC[[#This Row],[nE]]=1,HC[[#This Row],[As,lado (cm²)]],IF(HC[[#This Row],[nE]]=2,0.075*2*HC[a (cm)],"N.A."))</f>
        <v>18</v>
      </c>
      <c r="AU254" s="4">
        <f ca="1">IFERROR(IF(HC[[#This Row],[nE]]=1,"N.A.",0.2*HC[[#This Row],[As,lado (cm²)]]),"N.S.")</f>
        <v>4.5790818340521744</v>
      </c>
      <c r="AV254" s="4" t="str">
        <f ca="1">As_malha(HC[[#This Row],[nE]],HC[[#This Row],[As,lado (cm²)]],HC[[#This Row],[Nsd (kN)]])</f>
        <v>N.A.</v>
      </c>
      <c r="AW254" s="4" t="str">
        <f ca="1">As_susp_tot(HC[[#This Row],[nE]],HC[[#This Row],[Nsd (kN)]])</f>
        <v>N.A.</v>
      </c>
      <c r="AX254" s="4" t="str">
        <f ca="1">Asp_face(HC[[#This Row],[nE]],HC[[#This Row],[As,lado (cm²)]])</f>
        <v>N.A.</v>
      </c>
      <c r="AY254" s="5">
        <f ca="1">acoBloco(HC[[#This Row],[nE]],HC[[#This Row],[e (cm)]],HC[[#This Row],[a (cm)]],HC[[#This Row],[h (cm)]],HC[[#This Row],[As,lado (cm²)]],HC[[#This Row],[Asp e Asw (cm²/m)]],HC[[#This Row],[As,sup (cm²)]],HC[[#This Row],[As,malha (cm²)]],HC[[#This Row],[As,susp,tot (cm²)]],HC[[#This Row],[Asp,face (cm²)]])</f>
        <v>852.97908210425146</v>
      </c>
      <c r="AZ254" s="4">
        <f ca="1">concretoBloco(HC[[#This Row],[nE]],HC[[#This Row],[e (cm)]],HC[[#This Row],[a (cm)]],HC[[#This Row],[h (cm)]])</f>
        <v>14.4</v>
      </c>
      <c r="BA254" s="5">
        <f ca="1">SUM(HC[[#This Row],[Aço Est (kg)]],HC[[#This Row],[Aço Bloco (kg)]])</f>
        <v>916.112528070792</v>
      </c>
      <c r="BB254" s="4">
        <f>INDEX(composicoes[],MATCH(95580,composicoes[CÓDIGO],0),MATCH("CUSTO TOTAL",composicoes[#Headers],0))</f>
        <v>10.46</v>
      </c>
      <c r="BC254" s="4">
        <f ca="1">SUM(HC[[#This Row],[Conc Est (m³)]],HC[[#This Row],[Conc Bloco (m³)]])</f>
        <v>25.458406140636072</v>
      </c>
      <c r="BD254" s="4">
        <f>INDEX(composicoes[],MATCH(94966,composicoes[CÓDIGO],0),MATCH("CUSTO TOTAL",composicoes[#Headers],0))</f>
        <v>439.52</v>
      </c>
      <c r="BE254" s="38">
        <f ca="1">HC[[#This Row],[Aço (kg)]]*HC[[#This Row],[Aço (R$/kg)]]+HC[[#This Row],[Conc (m³)]]*HC[[#This Row],[Conc (R$/m³)]]</f>
        <v>20772.015710552849</v>
      </c>
      <c r="BF254" s="4" t="str">
        <f ca="1">IF(COUNTIF(HC[#This Row],"N.S.")&gt;0,"lim.","OK")</f>
        <v>OK</v>
      </c>
      <c r="BG254" s="4" t="str">
        <f>IF(HC[[#This Row],[Prof. (m)]]&lt;4,"lim.","OK")</f>
        <v>OK</v>
      </c>
      <c r="BH254" s="4" t="str">
        <f>IF(HC[[#This Row],[Prof. (m)]]&gt;=8*HC[[#This Row],[Ø (cm)]]/100,"OK","lim.")</f>
        <v>OK</v>
      </c>
      <c r="BI254" s="4" t="str">
        <f ca="1">IF(HC[[#This Row],[Verif. Biela]]="OK","OK","lim.")</f>
        <v>OK</v>
      </c>
      <c r="BJ254" s="4" t="str">
        <f ca="1">IF(COUNTA(HC[[#This Row],[Nº Est.]:[Biela comp.]])=COUNTIF(HC[[#This Row],[Nº Est.]:[Biela comp.]],"OK"),"OK","lim.")</f>
        <v>OK</v>
      </c>
      <c r="BK254" s="4" t="str">
        <f ca="1">IF(HC[[#This Row],[Controle]]="OK",HC[[#This Row],[nE]]&amp;" Ø "&amp;HC[[#This Row],[Ø (cm)]]&amp;" cm, Prof. "&amp;HC[[#This Row],[Prof. (m)]]&amp;" m","")</f>
        <v>2 Ø 80 cm, Prof. 11 m</v>
      </c>
      <c r="BL254" s="4" t="str">
        <f ca="1">IF(HC[[#This Row],[idDimensionamento]]="","",HC[[#This Row],[idPilar]]&amp;HC[[#This Row],[idDimensionamento]])</f>
        <v>22 Ø 80 cm, Prof. 11 m</v>
      </c>
    </row>
    <row r="255" spans="2:64" x14ac:dyDescent="0.25">
      <c r="B255" s="12">
        <f>ROUNDUP((ROW(HC[[#This Row],[idDiâmetro]])-ROW(HC[[#Headers],[idDiâmetro]]))/(COUNT(SPT[Prof. (m)])*COUNT(PILARES[Pilar])),0)</f>
        <v>9</v>
      </c>
      <c r="C255" s="12">
        <f>IF(HC[[#This Row],[idDiâmetro]]&lt;&gt;B254,1,IF(HC[[#This Row],[Prof. (m)]]=0,C254+1,C254))</f>
        <v>2</v>
      </c>
      <c r="D255" s="82">
        <f>IFERROR(IF(D254=MAX(SPT[Prof. (m)]),0,D254+1),0)</f>
        <v>12</v>
      </c>
      <c r="E255" s="82">
        <f>INDEX(SPT[],MATCH(HC[[#This Row],[Prof. (m)]],SPT[Prof. (m)],0),2)</f>
        <v>52</v>
      </c>
      <c r="F255" s="82" t="str">
        <f>INDEX(SPT[],MATCH(HC[[#This Row],[Prof. (m)]],SPT[Prof. (m)],0),3)</f>
        <v>Areia siltosa</v>
      </c>
      <c r="G255" s="82">
        <f>INDEX(estacas[],HC[[#This Row],[idDiâmetro]],MATCH($B$2,estacas[#Headers],0))</f>
        <v>80</v>
      </c>
      <c r="H255" s="82">
        <f>INDEX(estacas[],MATCH(HC[[#This Row],[Ø (cm)]],estacas[Ø HC (cm)],0),MATCH(HC[[#Headers],[Pe HC (kN)]],estacas[#Headers],0))</f>
        <v>3200</v>
      </c>
      <c r="I255" s="4">
        <f>INDEX(K_alpha_C[],MATCH(HC[[#This Row],[Solo]],K_alpha_C[Solo],0),2)</f>
        <v>0.8</v>
      </c>
      <c r="J255" s="5">
        <f>INDEX(K_alpha_C[],MATCH(HC[[#This Row],[Solo]],K_alpha_C[Solo],0),3)</f>
        <v>2</v>
      </c>
      <c r="K255" s="4">
        <f>INDEX(F1_F2[],MATCH($D$2,F1_F2[Tipo de estaca],0),2)</f>
        <v>2</v>
      </c>
      <c r="L255" s="4">
        <f>INDEX(F1_F2[],MATCH($D$2,F1_F2[Tipo de estaca],0),3)</f>
        <v>4</v>
      </c>
      <c r="M255" s="4">
        <f>PI()*(HC[[#This Row],[Ø (cm)]]/100)^2/4</f>
        <v>0.50265482457436694</v>
      </c>
      <c r="N255" s="4">
        <f>PI()*HC[[#This Row],[Ø (cm)]]/100</f>
        <v>2.5132741228718345</v>
      </c>
      <c r="O255" s="4">
        <f>IF(HC[[#This Row],[Prof. (m)]]=0,0,HC[[#This Row],[α (%)]]/100*HC[[#This Row],[K (MPa)]]*1000*HC[[#This Row],[NSPT]])</f>
        <v>832</v>
      </c>
      <c r="P255" s="4">
        <f>IF(HC[[#This Row],[Prof. (m)]]=0,0,(HC[[#This Row],[K (MPa)]]*1000*HC[[#This Row],[NSPT]]/HC[[#This Row],[F1]]*HC[[#This Row],[Ap (m²)]]+HC[[#This Row],[U (m)]]/HC[[#This Row],[F2]]*SUMIFS(HC[(α∙K∙NL∙ΔL)],HC[Prof. (m)],"&lt;="&amp;HC[[#This Row],[Prof. (m)]],HC[idDiâmetro],HC[[#This Row],[idDiâmetro]],HC[idPilar],HC[[#This Row],[idPilar]]))/'DADOS CAP. CARGA'!$D$2)</f>
        <v>6300.7468101131535</v>
      </c>
      <c r="Q255" s="12">
        <f>INDEX(C_alpha_beta[],MATCH(HC[[#This Row],[Solo]],C_alpha_beta[Solo],0),MATCH(HC[[#Headers],[C (kPa)]],C_alpha_beta[#Headers],0))</f>
        <v>400</v>
      </c>
      <c r="R255" s="4">
        <f>INDEX(C_alpha_beta[],MATCH(HC[[#This Row],[Solo]],C_alpha_beta[Solo],0),MATCH(HC[[#Headers],[α ESF]],C_alpha_beta[#Headers],0))</f>
        <v>0.5</v>
      </c>
      <c r="S255" s="4">
        <f>INDEX(C_alpha_beta[],MATCH(HC[[#This Row],[Solo]],C_alpha_beta[Solo],0),MATCH(HC[[#Headers],[β ESF]],C_alpha_beta[#Headers],0))</f>
        <v>0.5</v>
      </c>
      <c r="T255" s="4">
        <f>IF(HC[[#This Row],[Prof. (m)]]=0,0,10*(HC[[#This Row],[NSPT]]/3+1))</f>
        <v>183.33333333333331</v>
      </c>
      <c r="U255" s="4">
        <f>(HC[[#This Row],[α ESF]]*HC[[#This Row],[C (kPa)]]*HC[[#This Row],[NSPT]]*HC[[#This Row],[Ap (m²)]])/'DADOS CAP. CARGA'!$Q$2+(HC[[#This Row],[β ESF]]*SUMIFS(HC[10∙(NL/3+1)],HC[Prof. (m)],"&lt;="&amp;HC[[#This Row],[Prof. (m)]],HC[idDiâmetro],HC[[#This Row],[idDiâmetro]],HC[idPilar],HC[[#This Row],[idPilar]])*HC[[#This Row],[U (m)]])/'DADOS CAP. CARGA'!$S$2</f>
        <v>1849.3508754131917</v>
      </c>
      <c r="V255" s="4">
        <f>IF(SPT!$M$5=1,MIN(HC[[#This Row],[Pe HC (kN)]],HC[[#This Row],[R_AV (kN)]]),IF(SPT!$M$5=2,MIN(HC[[#This Row],[Pe HC (kN)]],HC[[#This Row],[R_DC (kN)]]),MIN(HC[[#This Row],[Pe HC (kN)]],HC[[#This Row],[R_AV (kN)]],HC[[#This Row],[R_DC (kN)]])))</f>
        <v>1849.3508754131917</v>
      </c>
      <c r="W255" s="4">
        <f>INDEX(PILARES[],HC[[#This Row],[idPilar]],MATCH("Carga (kN)",PILARES[#Headers],0))*1.4</f>
        <v>1750</v>
      </c>
      <c r="X255" s="12">
        <f>INDEX(PILARES[],HC[[#This Row],[idPilar]],MATCH(HC[[#Headers],[ap (cm)]],PILARES[#Headers],0))</f>
        <v>50</v>
      </c>
      <c r="Y255" s="12">
        <f>INDEX(PILARES[],HC[[#This Row],[idPilar]],MATCH(HC[[#Headers],[bp (cm)]],PILARES[#Headers],0))</f>
        <v>40</v>
      </c>
      <c r="Z255" s="4">
        <f>SQRT(HC[[#This Row],[ap (cm)]]*HC[[#This Row],[bp (cm)]])</f>
        <v>44.721359549995796</v>
      </c>
      <c r="AA255" s="12">
        <f>HC[[#This Row],[ap (cm)]]*HC[[#This Row],[bp (cm)]]</f>
        <v>2000</v>
      </c>
      <c r="AB255" s="12">
        <f ca="1">IF(HC[[#This Row],[Padm∙ε (kN)]]&gt;=HC[[#This Row],[Padm (kN)]],ROUNDUP(1.05*HC[[#This Row],[Nsd (kN)]]/HC[[#This Row],[Padm (kN)]],0),ROUNDUP(1.05*HC[[#This Row],[Nsd (kN)]]/HC[[#This Row],[Padm (kN)]],0)+1)</f>
        <v>1</v>
      </c>
      <c r="AC255" s="4">
        <f ca="1">IFERROR(IF(HC[[#This Row],[nE]]=1,HC[[#This Row],[Padm (kN)]],HC[[#This Row],[Padm (kN)]]*HC[[#This Row],[nE]]*INDEX(grupoEstacas[],HC[[#This Row],[nE]],MATCH("ε",grupoEstacas[#Headers],0))),"N.S.")</f>
        <v>1849.3508754131917</v>
      </c>
      <c r="AD255" s="4">
        <f ca="1">1.05*HC[[#This Row],[Nsd (kN)]]/(HC[[#This Row],[nE]]*PI()*HC[[#This Row],[Ø (cm)]]^2/4)*10</f>
        <v>3.6555900991419712</v>
      </c>
      <c r="AE255" s="4">
        <f ca="1">IF(HC[[#This Row],[σ (MPa)]]&lt;INDEX(tipoEstaca[],MATCH($D$2,tipoEstaca[TIPO DE ESTACA],0),MATCH("σmáx (MPa)",tipoEstaca[#Headers],0)),0.4%*PI()*HC[[#This Row],[Ø (cm)]]^2/4,"N.S.")</f>
        <v>20.106192982974676</v>
      </c>
      <c r="AF255" s="82">
        <f>INDEX(tipoEstaca[],MATCH($D$2,tipoEstaca[TIPO DE ESTACA],0),MATCH(HC[[#Headers],[Comprimento (m)]],tipoEstaca[#Headers],0))</f>
        <v>4</v>
      </c>
      <c r="AG255" s="5">
        <f ca="1">HC[[#This Row],[As,mín (cm²)]]/100^2*HC[[#This Row],[Comprimento (m)]]*7850</f>
        <v>63.133445966540478</v>
      </c>
      <c r="AH255" s="4">
        <f ca="1">HC[[#This Row],[nE]]*HC[[#This Row],[Prof. (m)]]*HC[[#This Row],[Ap (m²)]]</f>
        <v>6.0318578948924033</v>
      </c>
      <c r="AI255" s="82">
        <f ca="1">IF(HC[[#This Row],[nE]]=1,0,MAX(3*HC[[#This Row],[Ø (cm)]],60))</f>
        <v>0</v>
      </c>
      <c r="AJ255" s="82">
        <f ca="1">IF(HC[[#This Row],[nE]]=1,HC[[#This Row],[Ø (cm)]]+2*10,MAX(1.5*HC[[#This Row],[Ø (cm)]],HC[[#This Row],[Ø (cm)]]+15))</f>
        <v>100</v>
      </c>
      <c r="AK255" s="82">
        <f ca="1">alturaUtil(HC[[#This Row],[nE]],HC[[#This Row],[Ø (cm)]],HC[[#This Row],[e (cm)]],HC[[#This Row],[ap,eq (cm)]])</f>
        <v>100</v>
      </c>
      <c r="AL255" s="82">
        <f ca="1">IFERROR(HC[[#This Row],[d (cm)]]+arredondarParaCimaMultiplo5cm(MAX(5,SQRT(PI())/2*HC[[#This Row],[Ø (cm)]]/5)),"N.S.")</f>
        <v>115</v>
      </c>
      <c r="AM255" s="5">
        <f ca="1">alpha(HC[[#This Row],[nE]],HC[[#This Row],[d (cm)]],HC[[#This Row],[e (cm)]],HC[[#This Row],[ap,eq (cm)]])</f>
        <v>90</v>
      </c>
      <c r="AN255" s="35">
        <f ca="1">IFERROR(HC[[#This Row],[Nsd (kN)]]/(HC[[#This Row],[Ap (cm²)]]*SIN(HC[[#This Row],[α]])^2),"N.S.")</f>
        <v>1.0948037013095111</v>
      </c>
      <c r="AO255" s="35">
        <f ca="1">IFERROR(HC[[#This Row],[Nsd (kN)]]/(HC[[#This Row],[nE]]*PI()*HC[[#This Row],[Ø (cm)]]^2/4*SIN(HC[[#This Row],[α]])^2),"N.S.")</f>
        <v>0.43560855194677911</v>
      </c>
      <c r="AP255" s="4">
        <f ca="1">IFERROR(INDEX(grupoEstacas[],HC[[#This Row],[nE]],MATCH("coef. Blévot",grupoEstacas[#Headers],0)),"N.S.")</f>
        <v>1</v>
      </c>
      <c r="AQ255" s="35">
        <f ca="1">IFERROR(HC[[#This Row],[coef. Blévot]]*0.9*INDEX(tipoEstaca[],MATCH($D$2,tipoEstaca[TIPO DE ESTACA],0),MATCH("fcd (kN/cm²)",tipoEstaca[#Headers],0)),"N.S.")</f>
        <v>1</v>
      </c>
      <c r="AR255" s="82" t="str">
        <f ca="1">IF(AND(HC[[#This Row],[cd,b,pil (kN/cm²)]]&lt;=HC[[#This Row],[cd,b,lim (kN/cm²)]],HC[[#This Row],[cd,b,est (kN/cm²)]]&lt;=HC[[#This Row],[cd,b,lim (kN/cm²)]]),"OK","ERRO")</f>
        <v>ERRO</v>
      </c>
      <c r="AS255" s="4">
        <f ca="1">As_lado(HC[[#This Row],[nE]],HC[[#This Row],[Nsd (kN)]],HC[[#This Row],[d (cm)]],HC[[#This Row],[e (cm)]],HC[[#This Row],[ap,eq (cm)]])</f>
        <v>10.0625</v>
      </c>
      <c r="AT255" s="4">
        <f ca="1">IF(HC[[#This Row],[nE]]=1,HC[[#This Row],[As,lado (cm²)]],IF(HC[[#This Row],[nE]]=2,0.075*2*HC[a (cm)],"N.A."))</f>
        <v>10.0625</v>
      </c>
      <c r="AU255" s="4" t="str">
        <f ca="1">IFERROR(IF(HC[[#This Row],[nE]]=1,"N.A.",0.2*HC[[#This Row],[As,lado (cm²)]]),"N.S.")</f>
        <v>N.A.</v>
      </c>
      <c r="AV255" s="4" t="str">
        <f ca="1">As_malha(HC[[#This Row],[nE]],HC[[#This Row],[As,lado (cm²)]],HC[[#This Row],[Nsd (kN)]])</f>
        <v>N.A.</v>
      </c>
      <c r="AW255" s="4" t="str">
        <f ca="1">As_susp_tot(HC[[#This Row],[nE]],HC[[#This Row],[Nsd (kN)]])</f>
        <v>N.A.</v>
      </c>
      <c r="AX255" s="4" t="str">
        <f ca="1">Asp_face(HC[[#This Row],[nE]],HC[[#This Row],[As,lado (cm²)]])</f>
        <v>N.A.</v>
      </c>
      <c r="AY255" s="5">
        <f ca="1">acoBloco(HC[[#This Row],[nE]],HC[[#This Row],[e (cm)]],HC[[#This Row],[a (cm)]],HC[[#This Row],[h (cm)]],HC[[#This Row],[As,lado (cm²)]],HC[[#This Row],[Asp e Asw (cm²/m)]],HC[[#This Row],[As,sup (cm²)]],HC[[#This Row],[As,malha (cm²)]],HC[[#This Row],[As,susp,tot (cm²)]],HC[[#This Row],[Asp,face (cm²)]])</f>
        <v>99.528187500000001</v>
      </c>
      <c r="AZ255" s="4">
        <f ca="1">concretoBloco(HC[[#This Row],[nE]],HC[[#This Row],[e (cm)]],HC[[#This Row],[a (cm)]],HC[[#This Row],[h (cm)]])</f>
        <v>1.1499999999999999</v>
      </c>
      <c r="BA255" s="5">
        <f ca="1">SUM(HC[[#This Row],[Aço Est (kg)]],HC[[#This Row],[Aço Bloco (kg)]])</f>
        <v>162.66163346654048</v>
      </c>
      <c r="BB255" s="4">
        <f>INDEX(composicoes[],MATCH(95580,composicoes[CÓDIGO],0),MATCH("CUSTO TOTAL",composicoes[#Headers],0))</f>
        <v>10.46</v>
      </c>
      <c r="BC255" s="4">
        <f ca="1">SUM(HC[[#This Row],[Conc Est (m³)]],HC[[#This Row],[Conc Bloco (m³)]])</f>
        <v>7.1818578948924028</v>
      </c>
      <c r="BD255" s="4">
        <f>INDEX(composicoes[],MATCH(94966,composicoes[CÓDIGO],0),MATCH("CUSTO TOTAL",composicoes[#Headers],0))</f>
        <v>439.52</v>
      </c>
      <c r="BE255" s="38">
        <f ca="1">HC[[#This Row],[Aço (kg)]]*HC[[#This Row],[Aço (R$/kg)]]+HC[[#This Row],[Conc (m³)]]*HC[[#This Row],[Conc (R$/m³)]]</f>
        <v>4858.0108680231224</v>
      </c>
      <c r="BF255" s="4" t="str">
        <f ca="1">IF(COUNTIF(HC[#This Row],"N.S.")&gt;0,"lim.","OK")</f>
        <v>OK</v>
      </c>
      <c r="BG255" s="4" t="str">
        <f>IF(HC[[#This Row],[Prof. (m)]]&lt;4,"lim.","OK")</f>
        <v>OK</v>
      </c>
      <c r="BH255" s="4" t="str">
        <f>IF(HC[[#This Row],[Prof. (m)]]&gt;=8*HC[[#This Row],[Ø (cm)]]/100,"OK","lim.")</f>
        <v>OK</v>
      </c>
      <c r="BI255" s="4" t="str">
        <f ca="1">IF(HC[[#This Row],[Verif. Biela]]="OK","OK","lim.")</f>
        <v>lim.</v>
      </c>
      <c r="BJ255" s="4" t="str">
        <f ca="1">IF(COUNTA(HC[[#This Row],[Nº Est.]:[Biela comp.]])=COUNTIF(HC[[#This Row],[Nº Est.]:[Biela comp.]],"OK"),"OK","lim.")</f>
        <v>lim.</v>
      </c>
      <c r="BK255" s="4" t="str">
        <f ca="1">IF(HC[[#This Row],[Controle]]="OK",HC[[#This Row],[nE]]&amp;" Ø "&amp;HC[[#This Row],[Ø (cm)]]&amp;" cm, Prof. "&amp;HC[[#This Row],[Prof. (m)]]&amp;" m","")</f>
        <v/>
      </c>
      <c r="BL255" s="4" t="str">
        <f ca="1">IF(HC[[#This Row],[idDimensionamento]]="","",HC[[#This Row],[idPilar]]&amp;HC[[#This Row],[idDimensionamento]])</f>
        <v/>
      </c>
    </row>
    <row r="256" spans="2:64" x14ac:dyDescent="0.25">
      <c r="B256" s="12">
        <f>ROUNDUP((ROW(HC[[#This Row],[idDiâmetro]])-ROW(HC[[#Headers],[idDiâmetro]]))/(COUNT(SPT[Prof. (m)])*COUNT(PILARES[Pilar])),0)</f>
        <v>9</v>
      </c>
      <c r="C256" s="12">
        <f>IF(HC[[#This Row],[idDiâmetro]]&lt;&gt;B255,1,IF(HC[[#This Row],[Prof. (m)]]=0,C255+1,C255))</f>
        <v>2</v>
      </c>
      <c r="D256" s="82">
        <f>IFERROR(IF(D255=MAX(SPT[Prof. (m)]),0,D255+1),0)</f>
        <v>13</v>
      </c>
      <c r="E256" s="82">
        <f>INDEX(SPT[],MATCH(HC[[#This Row],[Prof. (m)]],SPT[Prof. (m)],0),2)</f>
        <v>68</v>
      </c>
      <c r="F256" s="82" t="str">
        <f>INDEX(SPT[],MATCH(HC[[#This Row],[Prof. (m)]],SPT[Prof. (m)],0),3)</f>
        <v>Areia siltosa</v>
      </c>
      <c r="G256" s="82">
        <f>INDEX(estacas[],HC[[#This Row],[idDiâmetro]],MATCH($B$2,estacas[#Headers],0))</f>
        <v>80</v>
      </c>
      <c r="H256" s="82">
        <f>INDEX(estacas[],MATCH(HC[[#This Row],[Ø (cm)]],estacas[Ø HC (cm)],0),MATCH(HC[[#Headers],[Pe HC (kN)]],estacas[#Headers],0))</f>
        <v>3200</v>
      </c>
      <c r="I256" s="4">
        <f>INDEX(K_alpha_C[],MATCH(HC[[#This Row],[Solo]],K_alpha_C[Solo],0),2)</f>
        <v>0.8</v>
      </c>
      <c r="J256" s="5">
        <f>INDEX(K_alpha_C[],MATCH(HC[[#This Row],[Solo]],K_alpha_C[Solo],0),3)</f>
        <v>2</v>
      </c>
      <c r="K256" s="4">
        <f>INDEX(F1_F2[],MATCH($D$2,F1_F2[Tipo de estaca],0),2)</f>
        <v>2</v>
      </c>
      <c r="L256" s="4">
        <f>INDEX(F1_F2[],MATCH($D$2,F1_F2[Tipo de estaca],0),3)</f>
        <v>4</v>
      </c>
      <c r="M256" s="4">
        <f>PI()*(HC[[#This Row],[Ø (cm)]]/100)^2/4</f>
        <v>0.50265482457436694</v>
      </c>
      <c r="N256" s="4">
        <f>PI()*HC[[#This Row],[Ø (cm)]]/100</f>
        <v>2.5132741228718345</v>
      </c>
      <c r="O256" s="4">
        <f>IF(HC[[#This Row],[Prof. (m)]]=0,0,HC[[#This Row],[α (%)]]/100*HC[[#This Row],[K (MPa)]]*1000*HC[[#This Row],[NSPT]])</f>
        <v>1088</v>
      </c>
      <c r="P256" s="4">
        <f>IF(HC[[#This Row],[Prof. (m)]]=0,0,(HC[[#This Row],[K (MPa)]]*1000*HC[[#This Row],[NSPT]]/HC[[#This Row],[F1]]*HC[[#This Row],[Ap (m²)]]+HC[[#This Row],[U (m)]]/HC[[#This Row],[F2]]*SUMIFS(HC[(α∙K∙NL∙ΔL)],HC[Prof. (m)],"&lt;="&amp;HC[[#This Row],[Prof. (m)]],HC[idDiâmetro],HC[[#This Row],[idDiâmetro]],HC[idPilar],HC[[#This Row],[idPilar]]))/'DADOS CAP. CARGA'!$D$2)</f>
        <v>8251.0475294616972</v>
      </c>
      <c r="Q256" s="12">
        <f>INDEX(C_alpha_beta[],MATCH(HC[[#This Row],[Solo]],C_alpha_beta[Solo],0),MATCH(HC[[#Headers],[C (kPa)]],C_alpha_beta[#Headers],0))</f>
        <v>400</v>
      </c>
      <c r="R256" s="4">
        <f>INDEX(C_alpha_beta[],MATCH(HC[[#This Row],[Solo]],C_alpha_beta[Solo],0),MATCH(HC[[#Headers],[α ESF]],C_alpha_beta[#Headers],0))</f>
        <v>0.5</v>
      </c>
      <c r="S256" s="4">
        <f>INDEX(C_alpha_beta[],MATCH(HC[[#This Row],[Solo]],C_alpha_beta[Solo],0),MATCH(HC[[#Headers],[β ESF]],C_alpha_beta[#Headers],0))</f>
        <v>0.5</v>
      </c>
      <c r="T256" s="4">
        <f>IF(HC[[#This Row],[Prof. (m)]]=0,0,10*(HC[[#This Row],[NSPT]]/3+1))</f>
        <v>236.66666666666669</v>
      </c>
      <c r="U256" s="4">
        <f>(HC[[#This Row],[α ESF]]*HC[[#This Row],[C (kPa)]]*HC[[#This Row],[NSPT]]*HC[[#This Row],[Ap (m²)]])/'DADOS CAP. CARGA'!$Q$2+(HC[[#This Row],[β ESF]]*SUMIFS(HC[10∙(NL/3+1)],HC[Prof. (m)],"&lt;="&amp;HC[[#This Row],[Prof. (m)]],HC[idDiâmetro],HC[[#This Row],[idDiâmetro]],HC[idPilar],HC[[#This Row],[idPilar]])*HC[[#This Row],[U (m)]])/'DADOS CAP. CARGA'!$S$2</f>
        <v>2400.176787342602</v>
      </c>
      <c r="V256" s="4">
        <f>IF(SPT!$M$5=1,MIN(HC[[#This Row],[Pe HC (kN)]],HC[[#This Row],[R_AV (kN)]]),IF(SPT!$M$5=2,MIN(HC[[#This Row],[Pe HC (kN)]],HC[[#This Row],[R_DC (kN)]]),MIN(HC[[#This Row],[Pe HC (kN)]],HC[[#This Row],[R_AV (kN)]],HC[[#This Row],[R_DC (kN)]])))</f>
        <v>2400.176787342602</v>
      </c>
      <c r="W256" s="4">
        <f>INDEX(PILARES[],HC[[#This Row],[idPilar]],MATCH("Carga (kN)",PILARES[#Headers],0))*1.4</f>
        <v>1750</v>
      </c>
      <c r="X256" s="12">
        <f>INDEX(PILARES[],HC[[#This Row],[idPilar]],MATCH(HC[[#Headers],[ap (cm)]],PILARES[#Headers],0))</f>
        <v>50</v>
      </c>
      <c r="Y256" s="12">
        <f>INDEX(PILARES[],HC[[#This Row],[idPilar]],MATCH(HC[[#Headers],[bp (cm)]],PILARES[#Headers],0))</f>
        <v>40</v>
      </c>
      <c r="Z256" s="4">
        <f>SQRT(HC[[#This Row],[ap (cm)]]*HC[[#This Row],[bp (cm)]])</f>
        <v>44.721359549995796</v>
      </c>
      <c r="AA256" s="12">
        <f>HC[[#This Row],[ap (cm)]]*HC[[#This Row],[bp (cm)]]</f>
        <v>2000</v>
      </c>
      <c r="AB256" s="12">
        <f ca="1">IF(HC[[#This Row],[Padm∙ε (kN)]]&gt;=HC[[#This Row],[Padm (kN)]],ROUNDUP(1.05*HC[[#This Row],[Nsd (kN)]]/HC[[#This Row],[Padm (kN)]],0),ROUNDUP(1.05*HC[[#This Row],[Nsd (kN)]]/HC[[#This Row],[Padm (kN)]],0)+1)</f>
        <v>1</v>
      </c>
      <c r="AC256" s="4">
        <f ca="1">IFERROR(IF(HC[[#This Row],[nE]]=1,HC[[#This Row],[Padm (kN)]],HC[[#This Row],[Padm (kN)]]*HC[[#This Row],[nE]]*INDEX(grupoEstacas[],HC[[#This Row],[nE]],MATCH("ε",grupoEstacas[#Headers],0))),"N.S.")</f>
        <v>2400.176787342602</v>
      </c>
      <c r="AD256" s="4">
        <f ca="1">1.05*HC[[#This Row],[Nsd (kN)]]/(HC[[#This Row],[nE]]*PI()*HC[[#This Row],[Ø (cm)]]^2/4)*10</f>
        <v>3.6555900991419712</v>
      </c>
      <c r="AE256" s="4">
        <f ca="1">IF(HC[[#This Row],[σ (MPa)]]&lt;INDEX(tipoEstaca[],MATCH($D$2,tipoEstaca[TIPO DE ESTACA],0),MATCH("σmáx (MPa)",tipoEstaca[#Headers],0)),0.4%*PI()*HC[[#This Row],[Ø (cm)]]^2/4,"N.S.")</f>
        <v>20.106192982974676</v>
      </c>
      <c r="AF256" s="82">
        <f>INDEX(tipoEstaca[],MATCH($D$2,tipoEstaca[TIPO DE ESTACA],0),MATCH(HC[[#Headers],[Comprimento (m)]],tipoEstaca[#Headers],0))</f>
        <v>4</v>
      </c>
      <c r="AG256" s="5">
        <f ca="1">HC[[#This Row],[As,mín (cm²)]]/100^2*HC[[#This Row],[Comprimento (m)]]*7850</f>
        <v>63.133445966540478</v>
      </c>
      <c r="AH256" s="4">
        <f ca="1">HC[[#This Row],[nE]]*HC[[#This Row],[Prof. (m)]]*HC[[#This Row],[Ap (m²)]]</f>
        <v>6.53451271946677</v>
      </c>
      <c r="AI256" s="82">
        <f ca="1">IF(HC[[#This Row],[nE]]=1,0,MAX(3*HC[[#This Row],[Ø (cm)]],60))</f>
        <v>0</v>
      </c>
      <c r="AJ256" s="82">
        <f ca="1">IF(HC[[#This Row],[nE]]=1,HC[[#This Row],[Ø (cm)]]+2*10,MAX(1.5*HC[[#This Row],[Ø (cm)]],HC[[#This Row],[Ø (cm)]]+15))</f>
        <v>100</v>
      </c>
      <c r="AK256" s="82">
        <f ca="1">alturaUtil(HC[[#This Row],[nE]],HC[[#This Row],[Ø (cm)]],HC[[#This Row],[e (cm)]],HC[[#This Row],[ap,eq (cm)]])</f>
        <v>100</v>
      </c>
      <c r="AL256" s="82">
        <f ca="1">IFERROR(HC[[#This Row],[d (cm)]]+arredondarParaCimaMultiplo5cm(MAX(5,SQRT(PI())/2*HC[[#This Row],[Ø (cm)]]/5)),"N.S.")</f>
        <v>115</v>
      </c>
      <c r="AM256" s="5">
        <f ca="1">alpha(HC[[#This Row],[nE]],HC[[#This Row],[d (cm)]],HC[[#This Row],[e (cm)]],HC[[#This Row],[ap,eq (cm)]])</f>
        <v>90</v>
      </c>
      <c r="AN256" s="35">
        <f ca="1">IFERROR(HC[[#This Row],[Nsd (kN)]]/(HC[[#This Row],[Ap (cm²)]]*SIN(HC[[#This Row],[α]])^2),"N.S.")</f>
        <v>1.0948037013095111</v>
      </c>
      <c r="AO256" s="35">
        <f ca="1">IFERROR(HC[[#This Row],[Nsd (kN)]]/(HC[[#This Row],[nE]]*PI()*HC[[#This Row],[Ø (cm)]]^2/4*SIN(HC[[#This Row],[α]])^2),"N.S.")</f>
        <v>0.43560855194677911</v>
      </c>
      <c r="AP256" s="4">
        <f ca="1">IFERROR(INDEX(grupoEstacas[],HC[[#This Row],[nE]],MATCH("coef. Blévot",grupoEstacas[#Headers],0)),"N.S.")</f>
        <v>1</v>
      </c>
      <c r="AQ256" s="35">
        <f ca="1">IFERROR(HC[[#This Row],[coef. Blévot]]*0.9*INDEX(tipoEstaca[],MATCH($D$2,tipoEstaca[TIPO DE ESTACA],0),MATCH("fcd (kN/cm²)",tipoEstaca[#Headers],0)),"N.S.")</f>
        <v>1</v>
      </c>
      <c r="AR256" s="82" t="str">
        <f ca="1">IF(AND(HC[[#This Row],[cd,b,pil (kN/cm²)]]&lt;=HC[[#This Row],[cd,b,lim (kN/cm²)]],HC[[#This Row],[cd,b,est (kN/cm²)]]&lt;=HC[[#This Row],[cd,b,lim (kN/cm²)]]),"OK","ERRO")</f>
        <v>ERRO</v>
      </c>
      <c r="AS256" s="4">
        <f ca="1">As_lado(HC[[#This Row],[nE]],HC[[#This Row],[Nsd (kN)]],HC[[#This Row],[d (cm)]],HC[[#This Row],[e (cm)]],HC[[#This Row],[ap,eq (cm)]])</f>
        <v>10.0625</v>
      </c>
      <c r="AT256" s="4">
        <f ca="1">IF(HC[[#This Row],[nE]]=1,HC[[#This Row],[As,lado (cm²)]],IF(HC[[#This Row],[nE]]=2,0.075*2*HC[a (cm)],"N.A."))</f>
        <v>10.0625</v>
      </c>
      <c r="AU256" s="4" t="str">
        <f ca="1">IFERROR(IF(HC[[#This Row],[nE]]=1,"N.A.",0.2*HC[[#This Row],[As,lado (cm²)]]),"N.S.")</f>
        <v>N.A.</v>
      </c>
      <c r="AV256" s="4" t="str">
        <f ca="1">As_malha(HC[[#This Row],[nE]],HC[[#This Row],[As,lado (cm²)]],HC[[#This Row],[Nsd (kN)]])</f>
        <v>N.A.</v>
      </c>
      <c r="AW256" s="4" t="str">
        <f ca="1">As_susp_tot(HC[[#This Row],[nE]],HC[[#This Row],[Nsd (kN)]])</f>
        <v>N.A.</v>
      </c>
      <c r="AX256" s="4" t="str">
        <f ca="1">Asp_face(HC[[#This Row],[nE]],HC[[#This Row],[As,lado (cm²)]])</f>
        <v>N.A.</v>
      </c>
      <c r="AY256" s="5">
        <f ca="1">acoBloco(HC[[#This Row],[nE]],HC[[#This Row],[e (cm)]],HC[[#This Row],[a (cm)]],HC[[#This Row],[h (cm)]],HC[[#This Row],[As,lado (cm²)]],HC[[#This Row],[Asp e Asw (cm²/m)]],HC[[#This Row],[As,sup (cm²)]],HC[[#This Row],[As,malha (cm²)]],HC[[#This Row],[As,susp,tot (cm²)]],HC[[#This Row],[Asp,face (cm²)]])</f>
        <v>99.528187500000001</v>
      </c>
      <c r="AZ256" s="4">
        <f ca="1">concretoBloco(HC[[#This Row],[nE]],HC[[#This Row],[e (cm)]],HC[[#This Row],[a (cm)]],HC[[#This Row],[h (cm)]])</f>
        <v>1.1499999999999999</v>
      </c>
      <c r="BA256" s="5">
        <f ca="1">SUM(HC[[#This Row],[Aço Est (kg)]],HC[[#This Row],[Aço Bloco (kg)]])</f>
        <v>162.66163346654048</v>
      </c>
      <c r="BB256" s="4">
        <f>INDEX(composicoes[],MATCH(95580,composicoes[CÓDIGO],0),MATCH("CUSTO TOTAL",composicoes[#Headers],0))</f>
        <v>10.46</v>
      </c>
      <c r="BC256" s="4">
        <f ca="1">SUM(HC[[#This Row],[Conc Est (m³)]],HC[[#This Row],[Conc Bloco (m³)]])</f>
        <v>7.6845127194667704</v>
      </c>
      <c r="BD256" s="4">
        <f>INDEX(composicoes[],MATCH(94966,composicoes[CÓDIGO],0),MATCH("CUSTO TOTAL",composicoes[#Headers],0))</f>
        <v>439.52</v>
      </c>
      <c r="BE256" s="38">
        <f ca="1">HC[[#This Row],[Aço (kg)]]*HC[[#This Row],[Aço (R$/kg)]]+HC[[#This Row],[Conc (m³)]]*HC[[#This Row],[Conc (R$/m³)]]</f>
        <v>5078.9377165200485</v>
      </c>
      <c r="BF256" s="4" t="str">
        <f ca="1">IF(COUNTIF(HC[#This Row],"N.S.")&gt;0,"lim.","OK")</f>
        <v>OK</v>
      </c>
      <c r="BG256" s="4" t="str">
        <f>IF(HC[[#This Row],[Prof. (m)]]&lt;4,"lim.","OK")</f>
        <v>OK</v>
      </c>
      <c r="BH256" s="4" t="str">
        <f>IF(HC[[#This Row],[Prof. (m)]]&gt;=8*HC[[#This Row],[Ø (cm)]]/100,"OK","lim.")</f>
        <v>OK</v>
      </c>
      <c r="BI256" s="4" t="str">
        <f ca="1">IF(HC[[#This Row],[Verif. Biela]]="OK","OK","lim.")</f>
        <v>lim.</v>
      </c>
      <c r="BJ256" s="4" t="str">
        <f ca="1">IF(COUNTA(HC[[#This Row],[Nº Est.]:[Biela comp.]])=COUNTIF(HC[[#This Row],[Nº Est.]:[Biela comp.]],"OK"),"OK","lim.")</f>
        <v>lim.</v>
      </c>
      <c r="BK256" s="4" t="str">
        <f ca="1">IF(HC[[#This Row],[Controle]]="OK",HC[[#This Row],[nE]]&amp;" Ø "&amp;HC[[#This Row],[Ø (cm)]]&amp;" cm, Prof. "&amp;HC[[#This Row],[Prof. (m)]]&amp;" m","")</f>
        <v/>
      </c>
      <c r="BL256" s="4" t="str">
        <f ca="1">IF(HC[[#This Row],[idDimensionamento]]="","",HC[[#This Row],[idPilar]]&amp;HC[[#This Row],[idDimensionamento]])</f>
        <v/>
      </c>
    </row>
    <row r="257" spans="2:64" x14ac:dyDescent="0.25">
      <c r="B257" s="12">
        <f>ROUNDUP((ROW(HC[[#This Row],[idDiâmetro]])-ROW(HC[[#Headers],[idDiâmetro]]))/(COUNT(SPT[Prof. (m)])*COUNT(PILARES[Pilar])),0)</f>
        <v>10</v>
      </c>
      <c r="C257" s="12">
        <f>IF(HC[[#This Row],[idDiâmetro]]&lt;&gt;B256,1,IF(HC[[#This Row],[Prof. (m)]]=0,C256+1,C256))</f>
        <v>1</v>
      </c>
      <c r="D257" s="82">
        <f>IFERROR(IF(D256=MAX(SPT[Prof. (m)]),0,D256+1),0)</f>
        <v>0</v>
      </c>
      <c r="E257" s="82">
        <f>INDEX(SPT[],MATCH(HC[[#This Row],[Prof. (m)]],SPT[Prof. (m)],0),2)</f>
        <v>0</v>
      </c>
      <c r="F257" s="82" t="str">
        <f>INDEX(SPT[],MATCH(HC[[#This Row],[Prof. (m)]],SPT[Prof. (m)],0),3)</f>
        <v>Areia siltosa</v>
      </c>
      <c r="G257" s="82">
        <f>INDEX(estacas[],HC[[#This Row],[idDiâmetro]],MATCH($B$2,estacas[#Headers],0))</f>
        <v>90</v>
      </c>
      <c r="H257" s="82">
        <f>INDEX(estacas[],MATCH(HC[[#This Row],[Ø (cm)]],estacas[Ø HC (cm)],0),MATCH(HC[[#Headers],[Pe HC (kN)]],estacas[#Headers],0))</f>
        <v>4000</v>
      </c>
      <c r="I257" s="4">
        <f>INDEX(K_alpha_C[],MATCH(HC[[#This Row],[Solo]],K_alpha_C[Solo],0),2)</f>
        <v>0.8</v>
      </c>
      <c r="J257" s="5">
        <f>INDEX(K_alpha_C[],MATCH(HC[[#This Row],[Solo]],K_alpha_C[Solo],0),3)</f>
        <v>2</v>
      </c>
      <c r="K257" s="4">
        <f>INDEX(F1_F2[],MATCH($D$2,F1_F2[Tipo de estaca],0),2)</f>
        <v>2</v>
      </c>
      <c r="L257" s="4">
        <f>INDEX(F1_F2[],MATCH($D$2,F1_F2[Tipo de estaca],0),3)</f>
        <v>4</v>
      </c>
      <c r="M257" s="4">
        <f>PI()*(HC[[#This Row],[Ø (cm)]]/100)^2/4</f>
        <v>0.63617251235193317</v>
      </c>
      <c r="N257" s="4">
        <f>PI()*HC[[#This Row],[Ø (cm)]]/100</f>
        <v>2.8274333882308138</v>
      </c>
      <c r="O257" s="4">
        <f>IF(HC[[#This Row],[Prof. (m)]]=0,0,HC[[#This Row],[α (%)]]/100*HC[[#This Row],[K (MPa)]]*1000*HC[[#This Row],[NSPT]])</f>
        <v>0</v>
      </c>
      <c r="P257" s="4">
        <f>IF(HC[[#This Row],[Prof. (m)]]=0,0,(HC[[#This Row],[K (MPa)]]*1000*HC[[#This Row],[NSPT]]/HC[[#This Row],[F1]]*HC[[#This Row],[Ap (m²)]]+HC[[#This Row],[U (m)]]/HC[[#This Row],[F2]]*SUMIFS(HC[(α∙K∙NL∙ΔL)],HC[Prof. (m)],"&lt;="&amp;HC[[#This Row],[Prof. (m)]],HC[idDiâmetro],HC[[#This Row],[idDiâmetro]],HC[idPilar],HC[[#This Row],[idPilar]]))/'DADOS CAP. CARGA'!$D$2)</f>
        <v>0</v>
      </c>
      <c r="Q257" s="12">
        <f>INDEX(C_alpha_beta[],MATCH(HC[[#This Row],[Solo]],C_alpha_beta[Solo],0),MATCH(HC[[#Headers],[C (kPa)]],C_alpha_beta[#Headers],0))</f>
        <v>400</v>
      </c>
      <c r="R257" s="4">
        <f>INDEX(C_alpha_beta[],MATCH(HC[[#This Row],[Solo]],C_alpha_beta[Solo],0),MATCH(HC[[#Headers],[α ESF]],C_alpha_beta[#Headers],0))</f>
        <v>0.5</v>
      </c>
      <c r="S257" s="4">
        <f>INDEX(C_alpha_beta[],MATCH(HC[[#This Row],[Solo]],C_alpha_beta[Solo],0),MATCH(HC[[#Headers],[β ESF]],C_alpha_beta[#Headers],0))</f>
        <v>0.5</v>
      </c>
      <c r="T257" s="4">
        <f>IF(HC[[#This Row],[Prof. (m)]]=0,0,10*(HC[[#This Row],[NSPT]]/3+1))</f>
        <v>0</v>
      </c>
      <c r="U257" s="4">
        <f>(HC[[#This Row],[α ESF]]*HC[[#This Row],[C (kPa)]]*HC[[#This Row],[NSPT]]*HC[[#This Row],[Ap (m²)]])/'DADOS CAP. CARGA'!$Q$2+(HC[[#This Row],[β ESF]]*SUMIFS(HC[10∙(NL/3+1)],HC[Prof. (m)],"&lt;="&amp;HC[[#This Row],[Prof. (m)]],HC[idDiâmetro],HC[[#This Row],[idDiâmetro]],HC[idPilar],HC[[#This Row],[idPilar]])*HC[[#This Row],[U (m)]])/'DADOS CAP. CARGA'!$S$2</f>
        <v>0</v>
      </c>
      <c r="V257" s="4">
        <f>IF(SPT!$M$5=1,MIN(HC[[#This Row],[Pe HC (kN)]],HC[[#This Row],[R_AV (kN)]]),IF(SPT!$M$5=2,MIN(HC[[#This Row],[Pe HC (kN)]],HC[[#This Row],[R_DC (kN)]]),MIN(HC[[#This Row],[Pe HC (kN)]],HC[[#This Row],[R_AV (kN)]],HC[[#This Row],[R_DC (kN)]])))</f>
        <v>0</v>
      </c>
      <c r="W257" s="4">
        <f>INDEX(PILARES[],HC[[#This Row],[idPilar]],MATCH("Carga (kN)",PILARES[#Headers],0))*1.4</f>
        <v>3500</v>
      </c>
      <c r="X257" s="12">
        <f>INDEX(PILARES[],HC[[#This Row],[idPilar]],MATCH(HC[[#Headers],[ap (cm)]],PILARES[#Headers],0))</f>
        <v>60</v>
      </c>
      <c r="Y257" s="12">
        <f>INDEX(PILARES[],HC[[#This Row],[idPilar]],MATCH(HC[[#Headers],[bp (cm)]],PILARES[#Headers],0))</f>
        <v>60</v>
      </c>
      <c r="Z257" s="4">
        <f>SQRT(HC[[#This Row],[ap (cm)]]*HC[[#This Row],[bp (cm)]])</f>
        <v>60</v>
      </c>
      <c r="AA257" s="12">
        <f>HC[[#This Row],[ap (cm)]]*HC[[#This Row],[bp (cm)]]</f>
        <v>3600</v>
      </c>
      <c r="AB257" s="12" t="e">
        <f ca="1">IF(HC[[#This Row],[Padm∙ε (kN)]]&gt;=HC[[#This Row],[Padm (kN)]],ROUNDUP(1.05*HC[[#This Row],[Nsd (kN)]]/HC[[#This Row],[Padm (kN)]],0),ROUNDUP(1.05*HC[[#This Row],[Nsd (kN)]]/HC[[#This Row],[Padm (kN)]],0)+1)</f>
        <v>#DIV/0!</v>
      </c>
      <c r="AC257" s="4" t="str">
        <f ca="1">IFERROR(IF(HC[[#This Row],[nE]]=1,HC[[#This Row],[Padm (kN)]],HC[[#This Row],[Padm (kN)]]*HC[[#This Row],[nE]]*INDEX(grupoEstacas[],HC[[#This Row],[nE]],MATCH("ε",grupoEstacas[#Headers],0))),"N.S.")</f>
        <v>N.S.</v>
      </c>
      <c r="AD257" s="4" t="e">
        <f ca="1">1.05*HC[[#This Row],[Nsd (kN)]]/(HC[[#This Row],[nE]]*PI()*HC[[#This Row],[Ø (cm)]]^2/4)*10</f>
        <v>#DIV/0!</v>
      </c>
      <c r="AE257" s="4" t="e">
        <f ca="1">IF(HC[[#This Row],[σ (MPa)]]&lt;INDEX(tipoEstaca[],MATCH($D$2,tipoEstaca[TIPO DE ESTACA],0),MATCH("σmáx (MPa)",tipoEstaca[#Headers],0)),0.4%*PI()*HC[[#This Row],[Ø (cm)]]^2/4,"N.S.")</f>
        <v>#DIV/0!</v>
      </c>
      <c r="AF257" s="82">
        <f>INDEX(tipoEstaca[],MATCH($D$2,tipoEstaca[TIPO DE ESTACA],0),MATCH(HC[[#Headers],[Comprimento (m)]],tipoEstaca[#Headers],0))</f>
        <v>4</v>
      </c>
      <c r="AG257" s="5" t="e">
        <f ca="1">HC[[#This Row],[As,mín (cm²)]]/100^2*HC[[#This Row],[Comprimento (m)]]*7850</f>
        <v>#DIV/0!</v>
      </c>
      <c r="AH257" s="4" t="e">
        <f ca="1">HC[[#This Row],[nE]]*HC[[#This Row],[Prof. (m)]]*HC[[#This Row],[Ap (m²)]]</f>
        <v>#DIV/0!</v>
      </c>
      <c r="AI257" s="82" t="e">
        <f ca="1">IF(HC[[#This Row],[nE]]=1,0,MAX(3*HC[[#This Row],[Ø (cm)]],60))</f>
        <v>#DIV/0!</v>
      </c>
      <c r="AJ257" s="82" t="e">
        <f ca="1">IF(HC[[#This Row],[nE]]=1,HC[[#This Row],[Ø (cm)]]+2*10,MAX(1.5*HC[[#This Row],[Ø (cm)]],HC[[#This Row],[Ø (cm)]]+15))</f>
        <v>#DIV/0!</v>
      </c>
      <c r="AK257" s="82" t="e">
        <f ca="1">alturaUtil(HC[[#This Row],[nE]],HC[[#This Row],[Ø (cm)]],HC[[#This Row],[e (cm)]],HC[[#This Row],[ap,eq (cm)]])</f>
        <v>#VALUE!</v>
      </c>
      <c r="AL257" s="82" t="str">
        <f ca="1">IFERROR(HC[[#This Row],[d (cm)]]+arredondarParaCimaMultiplo5cm(MAX(5,SQRT(PI())/2*HC[[#This Row],[Ø (cm)]]/5)),"N.S.")</f>
        <v>N.S.</v>
      </c>
      <c r="AM257" s="5" t="e">
        <f ca="1">alpha(HC[[#This Row],[nE]],HC[[#This Row],[d (cm)]],HC[[#This Row],[e (cm)]],HC[[#This Row],[ap,eq (cm)]])</f>
        <v>#VALUE!</v>
      </c>
      <c r="AN257" s="35" t="str">
        <f ca="1">IFERROR(HC[[#This Row],[Nsd (kN)]]/(HC[[#This Row],[Ap (cm²)]]*SIN(HC[[#This Row],[α]])^2),"N.S.")</f>
        <v>N.S.</v>
      </c>
      <c r="AO257" s="35" t="str">
        <f ca="1">IFERROR(HC[[#This Row],[Nsd (kN)]]/(HC[[#This Row],[nE]]*PI()*HC[[#This Row],[Ø (cm)]]^2/4*SIN(HC[[#This Row],[α]])^2),"N.S.")</f>
        <v>N.S.</v>
      </c>
      <c r="AP257" s="4" t="str">
        <f ca="1">IFERROR(INDEX(grupoEstacas[],HC[[#This Row],[nE]],MATCH("coef. Blévot",grupoEstacas[#Headers],0)),"N.S.")</f>
        <v>N.S.</v>
      </c>
      <c r="AQ257" s="35" t="str">
        <f ca="1">IFERROR(HC[[#This Row],[coef. Blévot]]*0.9*INDEX(tipoEstaca[],MATCH($D$2,tipoEstaca[TIPO DE ESTACA],0),MATCH("fcd (kN/cm²)",tipoEstaca[#Headers],0)),"N.S.")</f>
        <v>N.S.</v>
      </c>
      <c r="AR257" s="82" t="str">
        <f ca="1">IF(AND(HC[[#This Row],[cd,b,pil (kN/cm²)]]&lt;=HC[[#This Row],[cd,b,lim (kN/cm²)]],HC[[#This Row],[cd,b,est (kN/cm²)]]&lt;=HC[[#This Row],[cd,b,lim (kN/cm²)]]),"OK","ERRO")</f>
        <v>OK</v>
      </c>
      <c r="AS257" s="4" t="e">
        <f ca="1">As_lado(HC[[#This Row],[nE]],HC[[#This Row],[Nsd (kN)]],HC[[#This Row],[d (cm)]],HC[[#This Row],[e (cm)]],HC[[#This Row],[ap,eq (cm)]])</f>
        <v>#VALUE!</v>
      </c>
      <c r="AT257" s="4" t="e">
        <f ca="1">IF(HC[[#This Row],[nE]]=1,HC[[#This Row],[As,lado (cm²)]],IF(HC[[#This Row],[nE]]=2,0.075*2*HC[a (cm)],"N.A."))</f>
        <v>#DIV/0!</v>
      </c>
      <c r="AU257" s="4" t="str">
        <f ca="1">IFERROR(IF(HC[[#This Row],[nE]]=1,"N.A.",0.2*HC[[#This Row],[As,lado (cm²)]]),"N.S.")</f>
        <v>N.S.</v>
      </c>
      <c r="AV257" s="4" t="e">
        <f ca="1">As_malha(HC[[#This Row],[nE]],HC[[#This Row],[As,lado (cm²)]],HC[[#This Row],[Nsd (kN)]])</f>
        <v>#VALUE!</v>
      </c>
      <c r="AW257" s="4" t="e">
        <f ca="1">As_susp_tot(HC[[#This Row],[nE]],HC[[#This Row],[Nsd (kN)]])</f>
        <v>#VALUE!</v>
      </c>
      <c r="AX257" s="4" t="e">
        <f ca="1">Asp_face(HC[[#This Row],[nE]],HC[[#This Row],[As,lado (cm²)]])</f>
        <v>#VALUE!</v>
      </c>
      <c r="AY257" s="5" t="e">
        <f ca="1">acoBloco(HC[[#This Row],[nE]],HC[[#This Row],[e (cm)]],HC[[#This Row],[a (cm)]],HC[[#This Row],[h (cm)]],HC[[#This Row],[As,lado (cm²)]],HC[[#This Row],[Asp e Asw (cm²/m)]],HC[[#This Row],[As,sup (cm²)]],HC[[#This Row],[As,malha (cm²)]],HC[[#This Row],[As,susp,tot (cm²)]],HC[[#This Row],[Asp,face (cm²)]])</f>
        <v>#VALUE!</v>
      </c>
      <c r="AZ257" s="4" t="e">
        <f ca="1">concretoBloco(HC[[#This Row],[nE]],HC[[#This Row],[e (cm)]],HC[[#This Row],[a (cm)]],HC[[#This Row],[h (cm)]])</f>
        <v>#VALUE!</v>
      </c>
      <c r="BA257" s="5" t="e">
        <f ca="1">SUM(HC[[#This Row],[Aço Est (kg)]],HC[[#This Row],[Aço Bloco (kg)]])</f>
        <v>#DIV/0!</v>
      </c>
      <c r="BB257" s="4">
        <f>INDEX(composicoes[],MATCH(95580,composicoes[CÓDIGO],0),MATCH("CUSTO TOTAL",composicoes[#Headers],0))</f>
        <v>10.46</v>
      </c>
      <c r="BC257" s="4" t="e">
        <f ca="1">SUM(HC[[#This Row],[Conc Est (m³)]],HC[[#This Row],[Conc Bloco (m³)]])</f>
        <v>#DIV/0!</v>
      </c>
      <c r="BD257" s="4">
        <f>INDEX(composicoes[],MATCH(94966,composicoes[CÓDIGO],0),MATCH("CUSTO TOTAL",composicoes[#Headers],0))</f>
        <v>439.52</v>
      </c>
      <c r="BE257" s="38" t="e">
        <f ca="1">HC[[#This Row],[Aço (kg)]]*HC[[#This Row],[Aço (R$/kg)]]+HC[[#This Row],[Conc (m³)]]*HC[[#This Row],[Conc (R$/m³)]]</f>
        <v>#DIV/0!</v>
      </c>
      <c r="BF257" s="4" t="str">
        <f ca="1">IF(COUNTIF(HC[#This Row],"N.S.")&gt;0,"lim.","OK")</f>
        <v>lim.</v>
      </c>
      <c r="BG257" s="4" t="str">
        <f>IF(HC[[#This Row],[Prof. (m)]]&lt;4,"lim.","OK")</f>
        <v>lim.</v>
      </c>
      <c r="BH257" s="4" t="str">
        <f>IF(HC[[#This Row],[Prof. (m)]]&gt;=8*HC[[#This Row],[Ø (cm)]]/100,"OK","lim.")</f>
        <v>lim.</v>
      </c>
      <c r="BI257" s="4" t="str">
        <f ca="1">IF(HC[[#This Row],[Verif. Biela]]="OK","OK","lim.")</f>
        <v>OK</v>
      </c>
      <c r="BJ257" s="4" t="str">
        <f ca="1">IF(COUNTA(HC[[#This Row],[Nº Est.]:[Biela comp.]])=COUNTIF(HC[[#This Row],[Nº Est.]:[Biela comp.]],"OK"),"OK","lim.")</f>
        <v>lim.</v>
      </c>
      <c r="BK257" s="4" t="str">
        <f ca="1">IF(HC[[#This Row],[Controle]]="OK",HC[[#This Row],[nE]]&amp;" Ø "&amp;HC[[#This Row],[Ø (cm)]]&amp;" cm, Prof. "&amp;HC[[#This Row],[Prof. (m)]]&amp;" m","")</f>
        <v/>
      </c>
      <c r="BL257" s="4" t="str">
        <f ca="1">IF(HC[[#This Row],[idDimensionamento]]="","",HC[[#This Row],[idPilar]]&amp;HC[[#This Row],[idDimensionamento]])</f>
        <v/>
      </c>
    </row>
    <row r="258" spans="2:64" x14ac:dyDescent="0.25">
      <c r="B258" s="12">
        <f>ROUNDUP((ROW(HC[[#This Row],[idDiâmetro]])-ROW(HC[[#Headers],[idDiâmetro]]))/(COUNT(SPT[Prof. (m)])*COUNT(PILARES[Pilar])),0)</f>
        <v>10</v>
      </c>
      <c r="C258" s="12">
        <f>IF(HC[[#This Row],[idDiâmetro]]&lt;&gt;B257,1,IF(HC[[#This Row],[Prof. (m)]]=0,C257+1,C257))</f>
        <v>1</v>
      </c>
      <c r="D258" s="82">
        <f>IFERROR(IF(D257=MAX(SPT[Prof. (m)]),0,D257+1),0)</f>
        <v>1</v>
      </c>
      <c r="E258" s="82">
        <f>INDEX(SPT[],MATCH(HC[[#This Row],[Prof. (m)]],SPT[Prof. (m)],0),2)</f>
        <v>2</v>
      </c>
      <c r="F258" s="82" t="str">
        <f>INDEX(SPT[],MATCH(HC[[#This Row],[Prof. (m)]],SPT[Prof. (m)],0),3)</f>
        <v>Areia siltosa</v>
      </c>
      <c r="G258" s="82">
        <f>INDEX(estacas[],HC[[#This Row],[idDiâmetro]],MATCH($B$2,estacas[#Headers],0))</f>
        <v>90</v>
      </c>
      <c r="H258" s="82">
        <f>INDEX(estacas[],MATCH(HC[[#This Row],[Ø (cm)]],estacas[Ø HC (cm)],0),MATCH(HC[[#Headers],[Pe HC (kN)]],estacas[#Headers],0))</f>
        <v>4000</v>
      </c>
      <c r="I258" s="4">
        <f>INDEX(K_alpha_C[],MATCH(HC[[#This Row],[Solo]],K_alpha_C[Solo],0),2)</f>
        <v>0.8</v>
      </c>
      <c r="J258" s="5">
        <f>INDEX(K_alpha_C[],MATCH(HC[[#This Row],[Solo]],K_alpha_C[Solo],0),3)</f>
        <v>2</v>
      </c>
      <c r="K258" s="4">
        <f>INDEX(F1_F2[],MATCH($D$2,F1_F2[Tipo de estaca],0),2)</f>
        <v>2</v>
      </c>
      <c r="L258" s="4">
        <f>INDEX(F1_F2[],MATCH($D$2,F1_F2[Tipo de estaca],0),3)</f>
        <v>4</v>
      </c>
      <c r="M258" s="4">
        <f>PI()*(HC[[#This Row],[Ø (cm)]]/100)^2/4</f>
        <v>0.63617251235193317</v>
      </c>
      <c r="N258" s="4">
        <f>PI()*HC[[#This Row],[Ø (cm)]]/100</f>
        <v>2.8274333882308138</v>
      </c>
      <c r="O258" s="4">
        <f>IF(HC[[#This Row],[Prof. (m)]]=0,0,HC[[#This Row],[α (%)]]/100*HC[[#This Row],[K (MPa)]]*1000*HC[[#This Row],[NSPT]])</f>
        <v>32</v>
      </c>
      <c r="P258" s="4">
        <f>IF(HC[[#This Row],[Prof. (m)]]=0,0,(HC[[#This Row],[K (MPa)]]*1000*HC[[#This Row],[NSPT]]/HC[[#This Row],[F1]]*HC[[#This Row],[Ap (m²)]]+HC[[#This Row],[U (m)]]/HC[[#This Row],[F2]]*SUMIFS(HC[(α∙K∙NL∙ΔL)],HC[Prof. (m)],"&lt;="&amp;HC[[#This Row],[Prof. (m)]],HC[idDiâmetro],HC[[#This Row],[idDiâmetro]],HC[idPilar],HC[[#This Row],[idPilar]]))/'DADOS CAP. CARGA'!$D$2)</f>
        <v>265.77873849369649</v>
      </c>
      <c r="Q258" s="12">
        <f>INDEX(C_alpha_beta[],MATCH(HC[[#This Row],[Solo]],C_alpha_beta[Solo],0),MATCH(HC[[#Headers],[C (kPa)]],C_alpha_beta[#Headers],0))</f>
        <v>400</v>
      </c>
      <c r="R258" s="4">
        <f>INDEX(C_alpha_beta[],MATCH(HC[[#This Row],[Solo]],C_alpha_beta[Solo],0),MATCH(HC[[#Headers],[α ESF]],C_alpha_beta[#Headers],0))</f>
        <v>0.5</v>
      </c>
      <c r="S258" s="4">
        <f>INDEX(C_alpha_beta[],MATCH(HC[[#This Row],[Solo]],C_alpha_beta[Solo],0),MATCH(HC[[#Headers],[β ESF]],C_alpha_beta[#Headers],0))</f>
        <v>0.5</v>
      </c>
      <c r="T258" s="4">
        <f>IF(HC[[#This Row],[Prof. (m)]]=0,0,10*(HC[[#This Row],[NSPT]]/3+1))</f>
        <v>16.666666666666664</v>
      </c>
      <c r="U258" s="4">
        <f>(HC[[#This Row],[α ESF]]*HC[[#This Row],[C (kPa)]]*HC[[#This Row],[NSPT]]*HC[[#This Row],[Ap (m²)]])/'DADOS CAP. CARGA'!$Q$2+(HC[[#This Row],[β ESF]]*SUMIFS(HC[10∙(NL/3+1)],HC[Prof. (m)],"&lt;="&amp;HC[[#This Row],[Prof. (m)]],HC[idDiâmetro],HC[[#This Row],[idDiâmetro]],HC[idPilar],HC[[#This Row],[idPilar]])*HC[[#This Row],[U (m)]])/'DADOS CAP. CARGA'!$S$2</f>
        <v>75.398223686155035</v>
      </c>
      <c r="V258" s="4">
        <f>IF(SPT!$M$5=1,MIN(HC[[#This Row],[Pe HC (kN)]],HC[[#This Row],[R_AV (kN)]]),IF(SPT!$M$5=2,MIN(HC[[#This Row],[Pe HC (kN)]],HC[[#This Row],[R_DC (kN)]]),MIN(HC[[#This Row],[Pe HC (kN)]],HC[[#This Row],[R_AV (kN)]],HC[[#This Row],[R_DC (kN)]])))</f>
        <v>75.398223686155035</v>
      </c>
      <c r="W258" s="4">
        <f>INDEX(PILARES[],HC[[#This Row],[idPilar]],MATCH("Carga (kN)",PILARES[#Headers],0))*1.4</f>
        <v>3500</v>
      </c>
      <c r="X258" s="12">
        <f>INDEX(PILARES[],HC[[#This Row],[idPilar]],MATCH(HC[[#Headers],[ap (cm)]],PILARES[#Headers],0))</f>
        <v>60</v>
      </c>
      <c r="Y258" s="12">
        <f>INDEX(PILARES[],HC[[#This Row],[idPilar]],MATCH(HC[[#Headers],[bp (cm)]],PILARES[#Headers],0))</f>
        <v>60</v>
      </c>
      <c r="Z258" s="4">
        <f>SQRT(HC[[#This Row],[ap (cm)]]*HC[[#This Row],[bp (cm)]])</f>
        <v>60</v>
      </c>
      <c r="AA258" s="12">
        <f>HC[[#This Row],[ap (cm)]]*HC[[#This Row],[bp (cm)]]</f>
        <v>3600</v>
      </c>
      <c r="AB258" s="12">
        <f ca="1">IF(HC[[#This Row],[Padm∙ε (kN)]]&gt;=HC[[#This Row],[Padm (kN)]],ROUNDUP(1.05*HC[[#This Row],[Nsd (kN)]]/HC[[#This Row],[Padm (kN)]],0),ROUNDUP(1.05*HC[[#This Row],[Nsd (kN)]]/HC[[#This Row],[Padm (kN)]],0)+1)</f>
        <v>49</v>
      </c>
      <c r="AC258" s="4" t="str">
        <f ca="1">IFERROR(IF(HC[[#This Row],[nE]]=1,HC[[#This Row],[Padm (kN)]],HC[[#This Row],[Padm (kN)]]*HC[[#This Row],[nE]]*INDEX(grupoEstacas[],HC[[#This Row],[nE]],MATCH("ε",grupoEstacas[#Headers],0))),"N.S.")</f>
        <v>N.S.</v>
      </c>
      <c r="AD258" s="4">
        <f ca="1">1.05*HC[[#This Row],[Nsd (kN)]]/(HC[[#This Row],[nE]]*PI()*HC[[#This Row],[Ø (cm)]]^2/4)*10</f>
        <v>0.117892550438441</v>
      </c>
      <c r="AE258" s="4">
        <f ca="1">IF(HC[[#This Row],[σ (MPa)]]&lt;INDEX(tipoEstaca[],MATCH($D$2,tipoEstaca[TIPO DE ESTACA],0),MATCH("σmáx (MPa)",tipoEstaca[#Headers],0)),0.4%*PI()*HC[[#This Row],[Ø (cm)]]^2/4,"N.S.")</f>
        <v>25.446900494077326</v>
      </c>
      <c r="AF258" s="82">
        <f>INDEX(tipoEstaca[],MATCH($D$2,tipoEstaca[TIPO DE ESTACA],0),MATCH(HC[[#Headers],[Comprimento (m)]],tipoEstaca[#Headers],0))</f>
        <v>4</v>
      </c>
      <c r="AG258" s="5">
        <f ca="1">HC[[#This Row],[As,mín (cm²)]]/100^2*HC[[#This Row],[Comprimento (m)]]*7850</f>
        <v>79.903267551402806</v>
      </c>
      <c r="AH258" s="4">
        <f ca="1">HC[[#This Row],[nE]]*HC[[#This Row],[Prof. (m)]]*HC[[#This Row],[Ap (m²)]]</f>
        <v>31.172453105244724</v>
      </c>
      <c r="AI258" s="82">
        <f ca="1">IF(HC[[#This Row],[nE]]=1,0,MAX(3*HC[[#This Row],[Ø (cm)]],60))</f>
        <v>270</v>
      </c>
      <c r="AJ258" s="82">
        <f ca="1">IF(HC[[#This Row],[nE]]=1,HC[[#This Row],[Ø (cm)]]+2*10,MAX(1.5*HC[[#This Row],[Ø (cm)]],HC[[#This Row],[Ø (cm)]]+15))</f>
        <v>135</v>
      </c>
      <c r="AK258" s="82" t="str">
        <f ca="1">alturaUtil(HC[[#This Row],[nE]],HC[[#This Row],[Ø (cm)]],HC[[#This Row],[e (cm)]],HC[[#This Row],[ap,eq (cm)]])</f>
        <v>N.S.</v>
      </c>
      <c r="AL258" s="82" t="str">
        <f ca="1">IFERROR(HC[[#This Row],[d (cm)]]+arredondarParaCimaMultiplo5cm(MAX(5,SQRT(PI())/2*HC[[#This Row],[Ø (cm)]]/5)),"N.S.")</f>
        <v>N.S.</v>
      </c>
      <c r="AM258" s="5" t="str">
        <f ca="1">alpha(HC[[#This Row],[nE]],HC[[#This Row],[d (cm)]],HC[[#This Row],[e (cm)]],HC[[#This Row],[ap,eq (cm)]])</f>
        <v>N.S.</v>
      </c>
      <c r="AN258" s="35" t="str">
        <f ca="1">IFERROR(HC[[#This Row],[Nsd (kN)]]/(HC[[#This Row],[Ap (cm²)]]*SIN(HC[[#This Row],[α]])^2),"N.S.")</f>
        <v>N.S.</v>
      </c>
      <c r="AO258" s="35" t="str">
        <f ca="1">IFERROR(HC[[#This Row],[Nsd (kN)]]/(HC[[#This Row],[nE]]*PI()*HC[[#This Row],[Ø (cm)]]^2/4*SIN(HC[[#This Row],[α]])^2),"N.S.")</f>
        <v>N.S.</v>
      </c>
      <c r="AP258" s="4" t="str">
        <f ca="1">IFERROR(INDEX(grupoEstacas[],HC[[#This Row],[nE]],MATCH("coef. Blévot",grupoEstacas[#Headers],0)),"N.S.")</f>
        <v>N.S.</v>
      </c>
      <c r="AQ258" s="35" t="str">
        <f ca="1">IFERROR(HC[[#This Row],[coef. Blévot]]*0.9*INDEX(tipoEstaca[],MATCH($D$2,tipoEstaca[TIPO DE ESTACA],0),MATCH("fcd (kN/cm²)",tipoEstaca[#Headers],0)),"N.S.")</f>
        <v>N.S.</v>
      </c>
      <c r="AR258" s="82" t="str">
        <f ca="1">IF(AND(HC[[#This Row],[cd,b,pil (kN/cm²)]]&lt;=HC[[#This Row],[cd,b,lim (kN/cm²)]],HC[[#This Row],[cd,b,est (kN/cm²)]]&lt;=HC[[#This Row],[cd,b,lim (kN/cm²)]]),"OK","ERRO")</f>
        <v>OK</v>
      </c>
      <c r="AS258" s="4" t="str">
        <f ca="1">As_lado(HC[[#This Row],[nE]],HC[[#This Row],[Nsd (kN)]],HC[[#This Row],[d (cm)]],HC[[#This Row],[e (cm)]],HC[[#This Row],[ap,eq (cm)]])</f>
        <v>N.S.</v>
      </c>
      <c r="AT258" s="4" t="str">
        <f ca="1">IF(HC[[#This Row],[nE]]=1,HC[[#This Row],[As,lado (cm²)]],IF(HC[[#This Row],[nE]]=2,0.075*2*HC[a (cm)],"N.A."))</f>
        <v>N.A.</v>
      </c>
      <c r="AU258" s="4" t="str">
        <f ca="1">IFERROR(IF(HC[[#This Row],[nE]]=1,"N.A.",0.2*HC[[#This Row],[As,lado (cm²)]]),"N.S.")</f>
        <v>N.S.</v>
      </c>
      <c r="AV258" s="4" t="str">
        <f ca="1">As_malha(HC[[#This Row],[nE]],HC[[#This Row],[As,lado (cm²)]],HC[[#This Row],[Nsd (kN)]])</f>
        <v>N.S.</v>
      </c>
      <c r="AW258" s="4" t="str">
        <f ca="1">As_susp_tot(HC[[#This Row],[nE]],HC[[#This Row],[Nsd (kN)]])</f>
        <v>N.S.</v>
      </c>
      <c r="AX258" s="4" t="str">
        <f ca="1">Asp_face(HC[[#This Row],[nE]],HC[[#This Row],[As,lado (cm²)]])</f>
        <v>N.S.</v>
      </c>
      <c r="AY258" s="5" t="str">
        <f ca="1">acoBloco(HC[[#This Row],[nE]],HC[[#This Row],[e (cm)]],HC[[#This Row],[a (cm)]],HC[[#This Row],[h (cm)]],HC[[#This Row],[As,lado (cm²)]],HC[[#This Row],[Asp e Asw (cm²/m)]],HC[[#This Row],[As,sup (cm²)]],HC[[#This Row],[As,malha (cm²)]],HC[[#This Row],[As,susp,tot (cm²)]],HC[[#This Row],[Asp,face (cm²)]])</f>
        <v>N.S.</v>
      </c>
      <c r="AZ258" s="4" t="str">
        <f ca="1">concretoBloco(HC[[#This Row],[nE]],HC[[#This Row],[e (cm)]],HC[[#This Row],[a (cm)]],HC[[#This Row],[h (cm)]])</f>
        <v>N.S.</v>
      </c>
      <c r="BA258" s="5">
        <f ca="1">SUM(HC[[#This Row],[Aço Est (kg)]],HC[[#This Row],[Aço Bloco (kg)]])</f>
        <v>79.903267551402806</v>
      </c>
      <c r="BB258" s="4">
        <f>INDEX(composicoes[],MATCH(95580,composicoes[CÓDIGO],0),MATCH("CUSTO TOTAL",composicoes[#Headers],0))</f>
        <v>10.46</v>
      </c>
      <c r="BC258" s="4">
        <f ca="1">SUM(HC[[#This Row],[Conc Est (m³)]],HC[[#This Row],[Conc Bloco (m³)]])</f>
        <v>31.172453105244724</v>
      </c>
      <c r="BD258" s="4">
        <f>INDEX(composicoes[],MATCH(94966,composicoes[CÓDIGO],0),MATCH("CUSTO TOTAL",composicoes[#Headers],0))</f>
        <v>439.52</v>
      </c>
      <c r="BE258" s="38">
        <f ca="1">HC[[#This Row],[Aço (kg)]]*HC[[#This Row],[Aço (R$/kg)]]+HC[[#This Row],[Conc (m³)]]*HC[[#This Row],[Conc (R$/m³)]]</f>
        <v>14536.704767404834</v>
      </c>
      <c r="BF258" s="4" t="str">
        <f ca="1">IF(COUNTIF(HC[#This Row],"N.S.")&gt;0,"lim.","OK")</f>
        <v>lim.</v>
      </c>
      <c r="BG258" s="4" t="str">
        <f>IF(HC[[#This Row],[Prof. (m)]]&lt;4,"lim.","OK")</f>
        <v>lim.</v>
      </c>
      <c r="BH258" s="4" t="str">
        <f>IF(HC[[#This Row],[Prof. (m)]]&gt;=8*HC[[#This Row],[Ø (cm)]]/100,"OK","lim.")</f>
        <v>lim.</v>
      </c>
      <c r="BI258" s="4" t="str">
        <f ca="1">IF(HC[[#This Row],[Verif. Biela]]="OK","OK","lim.")</f>
        <v>OK</v>
      </c>
      <c r="BJ258" s="4" t="str">
        <f ca="1">IF(COUNTA(HC[[#This Row],[Nº Est.]:[Biela comp.]])=COUNTIF(HC[[#This Row],[Nº Est.]:[Biela comp.]],"OK"),"OK","lim.")</f>
        <v>lim.</v>
      </c>
      <c r="BK258" s="4" t="str">
        <f ca="1">IF(HC[[#This Row],[Controle]]="OK",HC[[#This Row],[nE]]&amp;" Ø "&amp;HC[[#This Row],[Ø (cm)]]&amp;" cm, Prof. "&amp;HC[[#This Row],[Prof. (m)]]&amp;" m","")</f>
        <v/>
      </c>
      <c r="BL258" s="4" t="str">
        <f ca="1">IF(HC[[#This Row],[idDimensionamento]]="","",HC[[#This Row],[idPilar]]&amp;HC[[#This Row],[idDimensionamento]])</f>
        <v/>
      </c>
    </row>
    <row r="259" spans="2:64" x14ac:dyDescent="0.25">
      <c r="B259" s="12">
        <f>ROUNDUP((ROW(HC[[#This Row],[idDiâmetro]])-ROW(HC[[#Headers],[idDiâmetro]]))/(COUNT(SPT[Prof. (m)])*COUNT(PILARES[Pilar])),0)</f>
        <v>10</v>
      </c>
      <c r="C259" s="12">
        <f>IF(HC[[#This Row],[idDiâmetro]]&lt;&gt;B258,1,IF(HC[[#This Row],[Prof. (m)]]=0,C258+1,C258))</f>
        <v>1</v>
      </c>
      <c r="D259" s="82">
        <f>IFERROR(IF(D258=MAX(SPT[Prof. (m)]),0,D258+1),0)</f>
        <v>2</v>
      </c>
      <c r="E259" s="82">
        <f>INDEX(SPT[],MATCH(HC[[#This Row],[Prof. (m)]],SPT[Prof. (m)],0),2)</f>
        <v>2</v>
      </c>
      <c r="F259" s="82" t="str">
        <f>INDEX(SPT[],MATCH(HC[[#This Row],[Prof. (m)]],SPT[Prof. (m)],0),3)</f>
        <v>Areia siltosa</v>
      </c>
      <c r="G259" s="82">
        <f>INDEX(estacas[],HC[[#This Row],[idDiâmetro]],MATCH($B$2,estacas[#Headers],0))</f>
        <v>90</v>
      </c>
      <c r="H259" s="82">
        <f>INDEX(estacas[],MATCH(HC[[#This Row],[Ø (cm)]],estacas[Ø HC (cm)],0),MATCH(HC[[#Headers],[Pe HC (kN)]],estacas[#Headers],0))</f>
        <v>4000</v>
      </c>
      <c r="I259" s="4">
        <f>INDEX(K_alpha_C[],MATCH(HC[[#This Row],[Solo]],K_alpha_C[Solo],0),2)</f>
        <v>0.8</v>
      </c>
      <c r="J259" s="5">
        <f>INDEX(K_alpha_C[],MATCH(HC[[#This Row],[Solo]],K_alpha_C[Solo],0),3)</f>
        <v>2</v>
      </c>
      <c r="K259" s="4">
        <f>INDEX(F1_F2[],MATCH($D$2,F1_F2[Tipo de estaca],0),2)</f>
        <v>2</v>
      </c>
      <c r="L259" s="4">
        <f>INDEX(F1_F2[],MATCH($D$2,F1_F2[Tipo de estaca],0),3)</f>
        <v>4</v>
      </c>
      <c r="M259" s="4">
        <f>PI()*(HC[[#This Row],[Ø (cm)]]/100)^2/4</f>
        <v>0.63617251235193317</v>
      </c>
      <c r="N259" s="4">
        <f>PI()*HC[[#This Row],[Ø (cm)]]/100</f>
        <v>2.8274333882308138</v>
      </c>
      <c r="O259" s="4">
        <f>IF(HC[[#This Row],[Prof. (m)]]=0,0,HC[[#This Row],[α (%)]]/100*HC[[#This Row],[K (MPa)]]*1000*HC[[#This Row],[NSPT]])</f>
        <v>32</v>
      </c>
      <c r="P259" s="4">
        <f>IF(HC[[#This Row],[Prof. (m)]]=0,0,(HC[[#This Row],[K (MPa)]]*1000*HC[[#This Row],[NSPT]]/HC[[#This Row],[F1]]*HC[[#This Row],[Ap (m²)]]+HC[[#This Row],[U (m)]]/HC[[#This Row],[F2]]*SUMIFS(HC[(α∙K∙NL∙ΔL)],HC[Prof. (m)],"&lt;="&amp;HC[[#This Row],[Prof. (m)]],HC[idDiâmetro],HC[[#This Row],[idDiâmetro]],HC[idPilar],HC[[#This Row],[idPilar]]))/'DADOS CAP. CARGA'!$D$2)</f>
        <v>277.08847204661976</v>
      </c>
      <c r="Q259" s="12">
        <f>INDEX(C_alpha_beta[],MATCH(HC[[#This Row],[Solo]],C_alpha_beta[Solo],0),MATCH(HC[[#Headers],[C (kPa)]],C_alpha_beta[#Headers],0))</f>
        <v>400</v>
      </c>
      <c r="R259" s="4">
        <f>INDEX(C_alpha_beta[],MATCH(HC[[#This Row],[Solo]],C_alpha_beta[Solo],0),MATCH(HC[[#Headers],[α ESF]],C_alpha_beta[#Headers],0))</f>
        <v>0.5</v>
      </c>
      <c r="S259" s="4">
        <f>INDEX(C_alpha_beta[],MATCH(HC[[#This Row],[Solo]],C_alpha_beta[Solo],0),MATCH(HC[[#Headers],[β ESF]],C_alpha_beta[#Headers],0))</f>
        <v>0.5</v>
      </c>
      <c r="T259" s="4">
        <f>IF(HC[[#This Row],[Prof. (m)]]=0,0,10*(HC[[#This Row],[NSPT]]/3+1))</f>
        <v>16.666666666666664</v>
      </c>
      <c r="U259" s="4">
        <f>(HC[[#This Row],[α ESF]]*HC[[#This Row],[C (kPa)]]*HC[[#This Row],[NSPT]]*HC[[#This Row],[Ap (m²)]])/'DADOS CAP. CARGA'!$Q$2+(HC[[#This Row],[β ESF]]*SUMIFS(HC[10∙(NL/3+1)],HC[Prof. (m)],"&lt;="&amp;HC[[#This Row],[Prof. (m)]],HC[idDiâmetro],HC[[#This Row],[idDiâmetro]],HC[idPilar],HC[[#This Row],[idPilar]])*HC[[#This Row],[U (m)]])/'DADOS CAP. CARGA'!$S$2</f>
        <v>87.179196137116762</v>
      </c>
      <c r="V259" s="4">
        <f>IF(SPT!$M$5=1,MIN(HC[[#This Row],[Pe HC (kN)]],HC[[#This Row],[R_AV (kN)]]),IF(SPT!$M$5=2,MIN(HC[[#This Row],[Pe HC (kN)]],HC[[#This Row],[R_DC (kN)]]),MIN(HC[[#This Row],[Pe HC (kN)]],HC[[#This Row],[R_AV (kN)]],HC[[#This Row],[R_DC (kN)]])))</f>
        <v>87.179196137116762</v>
      </c>
      <c r="W259" s="4">
        <f>INDEX(PILARES[],HC[[#This Row],[idPilar]],MATCH("Carga (kN)",PILARES[#Headers],0))*1.4</f>
        <v>3500</v>
      </c>
      <c r="X259" s="12">
        <f>INDEX(PILARES[],HC[[#This Row],[idPilar]],MATCH(HC[[#Headers],[ap (cm)]],PILARES[#Headers],0))</f>
        <v>60</v>
      </c>
      <c r="Y259" s="12">
        <f>INDEX(PILARES[],HC[[#This Row],[idPilar]],MATCH(HC[[#Headers],[bp (cm)]],PILARES[#Headers],0))</f>
        <v>60</v>
      </c>
      <c r="Z259" s="4">
        <f>SQRT(HC[[#This Row],[ap (cm)]]*HC[[#This Row],[bp (cm)]])</f>
        <v>60</v>
      </c>
      <c r="AA259" s="12">
        <f>HC[[#This Row],[ap (cm)]]*HC[[#This Row],[bp (cm)]]</f>
        <v>3600</v>
      </c>
      <c r="AB259" s="12">
        <f ca="1">IF(HC[[#This Row],[Padm∙ε (kN)]]&gt;=HC[[#This Row],[Padm (kN)]],ROUNDUP(1.05*HC[[#This Row],[Nsd (kN)]]/HC[[#This Row],[Padm (kN)]],0),ROUNDUP(1.05*HC[[#This Row],[Nsd (kN)]]/HC[[#This Row],[Padm (kN)]],0)+1)</f>
        <v>43</v>
      </c>
      <c r="AC259" s="4" t="str">
        <f ca="1">IFERROR(IF(HC[[#This Row],[nE]]=1,HC[[#This Row],[Padm (kN)]],HC[[#This Row],[Padm (kN)]]*HC[[#This Row],[nE]]*INDEX(grupoEstacas[],HC[[#This Row],[nE]],MATCH("ε",grupoEstacas[#Headers],0))),"N.S.")</f>
        <v>N.S.</v>
      </c>
      <c r="AD259" s="4">
        <f ca="1">1.05*HC[[#This Row],[Nsd (kN)]]/(HC[[#This Row],[nE]]*PI()*HC[[#This Row],[Ø (cm)]]^2/4)*10</f>
        <v>0.13434267375543277</v>
      </c>
      <c r="AE259" s="4">
        <f ca="1">IF(HC[[#This Row],[σ (MPa)]]&lt;INDEX(tipoEstaca[],MATCH($D$2,tipoEstaca[TIPO DE ESTACA],0),MATCH("σmáx (MPa)",tipoEstaca[#Headers],0)),0.4%*PI()*HC[[#This Row],[Ø (cm)]]^2/4,"N.S.")</f>
        <v>25.446900494077326</v>
      </c>
      <c r="AF259" s="82">
        <f>INDEX(tipoEstaca[],MATCH($D$2,tipoEstaca[TIPO DE ESTACA],0),MATCH(HC[[#Headers],[Comprimento (m)]],tipoEstaca[#Headers],0))</f>
        <v>4</v>
      </c>
      <c r="AG259" s="5">
        <f ca="1">HC[[#This Row],[As,mín (cm²)]]/100^2*HC[[#This Row],[Comprimento (m)]]*7850</f>
        <v>79.903267551402806</v>
      </c>
      <c r="AH259" s="4">
        <f ca="1">HC[[#This Row],[nE]]*HC[[#This Row],[Prof. (m)]]*HC[[#This Row],[Ap (m²)]]</f>
        <v>54.710836062266253</v>
      </c>
      <c r="AI259" s="82">
        <f ca="1">IF(HC[[#This Row],[nE]]=1,0,MAX(3*HC[[#This Row],[Ø (cm)]],60))</f>
        <v>270</v>
      </c>
      <c r="AJ259" s="82">
        <f ca="1">IF(HC[[#This Row],[nE]]=1,HC[[#This Row],[Ø (cm)]]+2*10,MAX(1.5*HC[[#This Row],[Ø (cm)]],HC[[#This Row],[Ø (cm)]]+15))</f>
        <v>135</v>
      </c>
      <c r="AK259" s="82" t="str">
        <f ca="1">alturaUtil(HC[[#This Row],[nE]],HC[[#This Row],[Ø (cm)]],HC[[#This Row],[e (cm)]],HC[[#This Row],[ap,eq (cm)]])</f>
        <v>N.S.</v>
      </c>
      <c r="AL259" s="82" t="str">
        <f ca="1">IFERROR(HC[[#This Row],[d (cm)]]+arredondarParaCimaMultiplo5cm(MAX(5,SQRT(PI())/2*HC[[#This Row],[Ø (cm)]]/5)),"N.S.")</f>
        <v>N.S.</v>
      </c>
      <c r="AM259" s="5" t="str">
        <f ca="1">alpha(HC[[#This Row],[nE]],HC[[#This Row],[d (cm)]],HC[[#This Row],[e (cm)]],HC[[#This Row],[ap,eq (cm)]])</f>
        <v>N.S.</v>
      </c>
      <c r="AN259" s="35" t="str">
        <f ca="1">IFERROR(HC[[#This Row],[Nsd (kN)]]/(HC[[#This Row],[Ap (cm²)]]*SIN(HC[[#This Row],[α]])^2),"N.S.")</f>
        <v>N.S.</v>
      </c>
      <c r="AO259" s="35" t="str">
        <f ca="1">IFERROR(HC[[#This Row],[Nsd (kN)]]/(HC[[#This Row],[nE]]*PI()*HC[[#This Row],[Ø (cm)]]^2/4*SIN(HC[[#This Row],[α]])^2),"N.S.")</f>
        <v>N.S.</v>
      </c>
      <c r="AP259" s="4" t="str">
        <f ca="1">IFERROR(INDEX(grupoEstacas[],HC[[#This Row],[nE]],MATCH("coef. Blévot",grupoEstacas[#Headers],0)),"N.S.")</f>
        <v>N.S.</v>
      </c>
      <c r="AQ259" s="35" t="str">
        <f ca="1">IFERROR(HC[[#This Row],[coef. Blévot]]*0.9*INDEX(tipoEstaca[],MATCH($D$2,tipoEstaca[TIPO DE ESTACA],0),MATCH("fcd (kN/cm²)",tipoEstaca[#Headers],0)),"N.S.")</f>
        <v>N.S.</v>
      </c>
      <c r="AR259" s="82" t="str">
        <f ca="1">IF(AND(HC[[#This Row],[cd,b,pil (kN/cm²)]]&lt;=HC[[#This Row],[cd,b,lim (kN/cm²)]],HC[[#This Row],[cd,b,est (kN/cm²)]]&lt;=HC[[#This Row],[cd,b,lim (kN/cm²)]]),"OK","ERRO")</f>
        <v>OK</v>
      </c>
      <c r="AS259" s="4" t="str">
        <f ca="1">As_lado(HC[[#This Row],[nE]],HC[[#This Row],[Nsd (kN)]],HC[[#This Row],[d (cm)]],HC[[#This Row],[e (cm)]],HC[[#This Row],[ap,eq (cm)]])</f>
        <v>N.S.</v>
      </c>
      <c r="AT259" s="4" t="str">
        <f ca="1">IF(HC[[#This Row],[nE]]=1,HC[[#This Row],[As,lado (cm²)]],IF(HC[[#This Row],[nE]]=2,0.075*2*HC[a (cm)],"N.A."))</f>
        <v>N.A.</v>
      </c>
      <c r="AU259" s="4" t="str">
        <f ca="1">IFERROR(IF(HC[[#This Row],[nE]]=1,"N.A.",0.2*HC[[#This Row],[As,lado (cm²)]]),"N.S.")</f>
        <v>N.S.</v>
      </c>
      <c r="AV259" s="4" t="str">
        <f ca="1">As_malha(HC[[#This Row],[nE]],HC[[#This Row],[As,lado (cm²)]],HC[[#This Row],[Nsd (kN)]])</f>
        <v>N.S.</v>
      </c>
      <c r="AW259" s="4" t="str">
        <f ca="1">As_susp_tot(HC[[#This Row],[nE]],HC[[#This Row],[Nsd (kN)]])</f>
        <v>N.S.</v>
      </c>
      <c r="AX259" s="4" t="str">
        <f ca="1">Asp_face(HC[[#This Row],[nE]],HC[[#This Row],[As,lado (cm²)]])</f>
        <v>N.S.</v>
      </c>
      <c r="AY259" s="5" t="str">
        <f ca="1">acoBloco(HC[[#This Row],[nE]],HC[[#This Row],[e (cm)]],HC[[#This Row],[a (cm)]],HC[[#This Row],[h (cm)]],HC[[#This Row],[As,lado (cm²)]],HC[[#This Row],[Asp e Asw (cm²/m)]],HC[[#This Row],[As,sup (cm²)]],HC[[#This Row],[As,malha (cm²)]],HC[[#This Row],[As,susp,tot (cm²)]],HC[[#This Row],[Asp,face (cm²)]])</f>
        <v>N.S.</v>
      </c>
      <c r="AZ259" s="4" t="str">
        <f ca="1">concretoBloco(HC[[#This Row],[nE]],HC[[#This Row],[e (cm)]],HC[[#This Row],[a (cm)]],HC[[#This Row],[h (cm)]])</f>
        <v>N.S.</v>
      </c>
      <c r="BA259" s="5">
        <f ca="1">SUM(HC[[#This Row],[Aço Est (kg)]],HC[[#This Row],[Aço Bloco (kg)]])</f>
        <v>79.903267551402806</v>
      </c>
      <c r="BB259" s="4">
        <f>INDEX(composicoes[],MATCH(95580,composicoes[CÓDIGO],0),MATCH("CUSTO TOTAL",composicoes[#Headers],0))</f>
        <v>10.46</v>
      </c>
      <c r="BC259" s="4">
        <f ca="1">SUM(HC[[#This Row],[Conc Est (m³)]],HC[[#This Row],[Conc Bloco (m³)]])</f>
        <v>54.710836062266253</v>
      </c>
      <c r="BD259" s="4">
        <f>INDEX(composicoes[],MATCH(94966,composicoes[CÓDIGO],0),MATCH("CUSTO TOTAL",composicoes[#Headers],0))</f>
        <v>439.52</v>
      </c>
      <c r="BE259" s="38">
        <f ca="1">HC[[#This Row],[Aço (kg)]]*HC[[#This Row],[Aço (R$/kg)]]+HC[[#This Row],[Conc (m³)]]*HC[[#This Row],[Conc (R$/m³)]]</f>
        <v>24882.294844674936</v>
      </c>
      <c r="BF259" s="4" t="str">
        <f ca="1">IF(COUNTIF(HC[#This Row],"N.S.")&gt;0,"lim.","OK")</f>
        <v>lim.</v>
      </c>
      <c r="BG259" s="4" t="str">
        <f>IF(HC[[#This Row],[Prof. (m)]]&lt;4,"lim.","OK")</f>
        <v>lim.</v>
      </c>
      <c r="BH259" s="4" t="str">
        <f>IF(HC[[#This Row],[Prof. (m)]]&gt;=8*HC[[#This Row],[Ø (cm)]]/100,"OK","lim.")</f>
        <v>lim.</v>
      </c>
      <c r="BI259" s="4" t="str">
        <f ca="1">IF(HC[[#This Row],[Verif. Biela]]="OK","OK","lim.")</f>
        <v>OK</v>
      </c>
      <c r="BJ259" s="4" t="str">
        <f ca="1">IF(COUNTA(HC[[#This Row],[Nº Est.]:[Biela comp.]])=COUNTIF(HC[[#This Row],[Nº Est.]:[Biela comp.]],"OK"),"OK","lim.")</f>
        <v>lim.</v>
      </c>
      <c r="BK259" s="4" t="str">
        <f ca="1">IF(HC[[#This Row],[Controle]]="OK",HC[[#This Row],[nE]]&amp;" Ø "&amp;HC[[#This Row],[Ø (cm)]]&amp;" cm, Prof. "&amp;HC[[#This Row],[Prof. (m)]]&amp;" m","")</f>
        <v/>
      </c>
      <c r="BL259" s="4" t="str">
        <f ca="1">IF(HC[[#This Row],[idDimensionamento]]="","",HC[[#This Row],[idPilar]]&amp;HC[[#This Row],[idDimensionamento]])</f>
        <v/>
      </c>
    </row>
    <row r="260" spans="2:64" x14ac:dyDescent="0.25">
      <c r="B260" s="12">
        <f>ROUNDUP((ROW(HC[[#This Row],[idDiâmetro]])-ROW(HC[[#Headers],[idDiâmetro]]))/(COUNT(SPT[Prof. (m)])*COUNT(PILARES[Pilar])),0)</f>
        <v>10</v>
      </c>
      <c r="C260" s="12">
        <f>IF(HC[[#This Row],[idDiâmetro]]&lt;&gt;B259,1,IF(HC[[#This Row],[Prof. (m)]]=0,C259+1,C259))</f>
        <v>1</v>
      </c>
      <c r="D260" s="82">
        <f>IFERROR(IF(D259=MAX(SPT[Prof. (m)]),0,D259+1),0)</f>
        <v>3</v>
      </c>
      <c r="E260" s="82">
        <f>INDEX(SPT[],MATCH(HC[[#This Row],[Prof. (m)]],SPT[Prof. (m)],0),2)</f>
        <v>4</v>
      </c>
      <c r="F260" s="82" t="str">
        <f>INDEX(SPT[],MATCH(HC[[#This Row],[Prof. (m)]],SPT[Prof. (m)],0),3)</f>
        <v>Areia siltosa</v>
      </c>
      <c r="G260" s="82">
        <f>INDEX(estacas[],HC[[#This Row],[idDiâmetro]],MATCH($B$2,estacas[#Headers],0))</f>
        <v>90</v>
      </c>
      <c r="H260" s="82">
        <f>INDEX(estacas[],MATCH(HC[[#This Row],[Ø (cm)]],estacas[Ø HC (cm)],0),MATCH(HC[[#Headers],[Pe HC (kN)]],estacas[#Headers],0))</f>
        <v>4000</v>
      </c>
      <c r="I260" s="4">
        <f>INDEX(K_alpha_C[],MATCH(HC[[#This Row],[Solo]],K_alpha_C[Solo],0),2)</f>
        <v>0.8</v>
      </c>
      <c r="J260" s="5">
        <f>INDEX(K_alpha_C[],MATCH(HC[[#This Row],[Solo]],K_alpha_C[Solo],0),3)</f>
        <v>2</v>
      </c>
      <c r="K260" s="4">
        <f>INDEX(F1_F2[],MATCH($D$2,F1_F2[Tipo de estaca],0),2)</f>
        <v>2</v>
      </c>
      <c r="L260" s="4">
        <f>INDEX(F1_F2[],MATCH($D$2,F1_F2[Tipo de estaca],0),3)</f>
        <v>4</v>
      </c>
      <c r="M260" s="4">
        <f>PI()*(HC[[#This Row],[Ø (cm)]]/100)^2/4</f>
        <v>0.63617251235193317</v>
      </c>
      <c r="N260" s="4">
        <f>PI()*HC[[#This Row],[Ø (cm)]]/100</f>
        <v>2.8274333882308138</v>
      </c>
      <c r="O260" s="4">
        <f>IF(HC[[#This Row],[Prof. (m)]]=0,0,HC[[#This Row],[α (%)]]/100*HC[[#This Row],[K (MPa)]]*1000*HC[[#This Row],[NSPT]])</f>
        <v>64</v>
      </c>
      <c r="P260" s="4">
        <f>IF(HC[[#This Row],[Prof. (m)]]=0,0,(HC[[#This Row],[K (MPa)]]*1000*HC[[#This Row],[NSPT]]/HC[[#This Row],[F1]]*HC[[#This Row],[Ap (m²)]]+HC[[#This Row],[U (m)]]/HC[[#This Row],[F2]]*SUMIFS(HC[(α∙K∙NL∙ΔL)],HC[Prof. (m)],"&lt;="&amp;HC[[#This Row],[Prof. (m)]],HC[idDiâmetro],HC[[#This Row],[idDiâmetro]],HC[idPilar],HC[[#This Row],[idPilar]]))/'DADOS CAP. CARGA'!$D$2)</f>
        <v>554.17694409323951</v>
      </c>
      <c r="Q260" s="12">
        <f>INDEX(C_alpha_beta[],MATCH(HC[[#This Row],[Solo]],C_alpha_beta[Solo],0),MATCH(HC[[#Headers],[C (kPa)]],C_alpha_beta[#Headers],0))</f>
        <v>400</v>
      </c>
      <c r="R260" s="4">
        <f>INDEX(C_alpha_beta[],MATCH(HC[[#This Row],[Solo]],C_alpha_beta[Solo],0),MATCH(HC[[#Headers],[α ESF]],C_alpha_beta[#Headers],0))</f>
        <v>0.5</v>
      </c>
      <c r="S260" s="4">
        <f>INDEX(C_alpha_beta[],MATCH(HC[[#This Row],[Solo]],C_alpha_beta[Solo],0),MATCH(HC[[#Headers],[β ESF]],C_alpha_beta[#Headers],0))</f>
        <v>0.5</v>
      </c>
      <c r="T260" s="4">
        <f>IF(HC[[#This Row],[Prof. (m)]]=0,0,10*(HC[[#This Row],[NSPT]]/3+1))</f>
        <v>23.333333333333329</v>
      </c>
      <c r="U260" s="4">
        <f>(HC[[#This Row],[α ESF]]*HC[[#This Row],[C (kPa)]]*HC[[#This Row],[NSPT]]*HC[[#This Row],[Ap (m²)]])/'DADOS CAP. CARGA'!$Q$2+(HC[[#This Row],[β ESF]]*SUMIFS(HC[10∙(NL/3+1)],HC[Prof. (m)],"&lt;="&amp;HC[[#This Row],[Prof. (m)]],HC[idDiâmetro],HC[[#This Row],[idDiâmetro]],HC[idPilar],HC[[#This Row],[idPilar]])*HC[[#This Row],[U (m)]])/'DADOS CAP. CARGA'!$S$2</f>
        <v>167.28980880365648</v>
      </c>
      <c r="V260" s="4">
        <f>IF(SPT!$M$5=1,MIN(HC[[#This Row],[Pe HC (kN)]],HC[[#This Row],[R_AV (kN)]]),IF(SPT!$M$5=2,MIN(HC[[#This Row],[Pe HC (kN)]],HC[[#This Row],[R_DC (kN)]]),MIN(HC[[#This Row],[Pe HC (kN)]],HC[[#This Row],[R_AV (kN)]],HC[[#This Row],[R_DC (kN)]])))</f>
        <v>167.28980880365648</v>
      </c>
      <c r="W260" s="4">
        <f>INDEX(PILARES[],HC[[#This Row],[idPilar]],MATCH("Carga (kN)",PILARES[#Headers],0))*1.4</f>
        <v>3500</v>
      </c>
      <c r="X260" s="12">
        <f>INDEX(PILARES[],HC[[#This Row],[idPilar]],MATCH(HC[[#Headers],[ap (cm)]],PILARES[#Headers],0))</f>
        <v>60</v>
      </c>
      <c r="Y260" s="12">
        <f>INDEX(PILARES[],HC[[#This Row],[idPilar]],MATCH(HC[[#Headers],[bp (cm)]],PILARES[#Headers],0))</f>
        <v>60</v>
      </c>
      <c r="Z260" s="4">
        <f>SQRT(HC[[#This Row],[ap (cm)]]*HC[[#This Row],[bp (cm)]])</f>
        <v>60</v>
      </c>
      <c r="AA260" s="12">
        <f>HC[[#This Row],[ap (cm)]]*HC[[#This Row],[bp (cm)]]</f>
        <v>3600</v>
      </c>
      <c r="AB260" s="12">
        <f ca="1">IF(HC[[#This Row],[Padm∙ε (kN)]]&gt;=HC[[#This Row],[Padm (kN)]],ROUNDUP(1.05*HC[[#This Row],[Nsd (kN)]]/HC[[#This Row],[Padm (kN)]],0),ROUNDUP(1.05*HC[[#This Row],[Nsd (kN)]]/HC[[#This Row],[Padm (kN)]],0)+1)</f>
        <v>22</v>
      </c>
      <c r="AC260" s="4" t="str">
        <f ca="1">IFERROR(IF(HC[[#This Row],[nE]]=1,HC[[#This Row],[Padm (kN)]],HC[[#This Row],[Padm (kN)]]*HC[[#This Row],[nE]]*INDEX(grupoEstacas[],HC[[#This Row],[nE]],MATCH("ε",grupoEstacas[#Headers],0))),"N.S.")</f>
        <v>N.S.</v>
      </c>
      <c r="AD260" s="4">
        <f ca="1">1.05*HC[[#This Row],[Nsd (kN)]]/(HC[[#This Row],[nE]]*PI()*HC[[#This Row],[Ø (cm)]]^2/4)*10</f>
        <v>0.26257886234016403</v>
      </c>
      <c r="AE260" s="4">
        <f ca="1">IF(HC[[#This Row],[σ (MPa)]]&lt;INDEX(tipoEstaca[],MATCH($D$2,tipoEstaca[TIPO DE ESTACA],0),MATCH("σmáx (MPa)",tipoEstaca[#Headers],0)),0.4%*PI()*HC[[#This Row],[Ø (cm)]]^2/4,"N.S.")</f>
        <v>25.446900494077326</v>
      </c>
      <c r="AF260" s="82">
        <f>INDEX(tipoEstaca[],MATCH($D$2,tipoEstaca[TIPO DE ESTACA],0),MATCH(HC[[#Headers],[Comprimento (m)]],tipoEstaca[#Headers],0))</f>
        <v>4</v>
      </c>
      <c r="AG260" s="5">
        <f ca="1">HC[[#This Row],[As,mín (cm²)]]/100^2*HC[[#This Row],[Comprimento (m)]]*7850</f>
        <v>79.903267551402806</v>
      </c>
      <c r="AH260" s="4">
        <f ca="1">HC[[#This Row],[nE]]*HC[[#This Row],[Prof. (m)]]*HC[[#This Row],[Ap (m²)]]</f>
        <v>41.98738581522759</v>
      </c>
      <c r="AI260" s="82">
        <f ca="1">IF(HC[[#This Row],[nE]]=1,0,MAX(3*HC[[#This Row],[Ø (cm)]],60))</f>
        <v>270</v>
      </c>
      <c r="AJ260" s="82">
        <f ca="1">IF(HC[[#This Row],[nE]]=1,HC[[#This Row],[Ø (cm)]]+2*10,MAX(1.5*HC[[#This Row],[Ø (cm)]],HC[[#This Row],[Ø (cm)]]+15))</f>
        <v>135</v>
      </c>
      <c r="AK260" s="82" t="str">
        <f ca="1">alturaUtil(HC[[#This Row],[nE]],HC[[#This Row],[Ø (cm)]],HC[[#This Row],[e (cm)]],HC[[#This Row],[ap,eq (cm)]])</f>
        <v>N.S.</v>
      </c>
      <c r="AL260" s="82" t="str">
        <f ca="1">IFERROR(HC[[#This Row],[d (cm)]]+arredondarParaCimaMultiplo5cm(MAX(5,SQRT(PI())/2*HC[[#This Row],[Ø (cm)]]/5)),"N.S.")</f>
        <v>N.S.</v>
      </c>
      <c r="AM260" s="5" t="str">
        <f ca="1">alpha(HC[[#This Row],[nE]],HC[[#This Row],[d (cm)]],HC[[#This Row],[e (cm)]],HC[[#This Row],[ap,eq (cm)]])</f>
        <v>N.S.</v>
      </c>
      <c r="AN260" s="35" t="str">
        <f ca="1">IFERROR(HC[[#This Row],[Nsd (kN)]]/(HC[[#This Row],[Ap (cm²)]]*SIN(HC[[#This Row],[α]])^2),"N.S.")</f>
        <v>N.S.</v>
      </c>
      <c r="AO260" s="35" t="str">
        <f ca="1">IFERROR(HC[[#This Row],[Nsd (kN)]]/(HC[[#This Row],[nE]]*PI()*HC[[#This Row],[Ø (cm)]]^2/4*SIN(HC[[#This Row],[α]])^2),"N.S.")</f>
        <v>N.S.</v>
      </c>
      <c r="AP260" s="4" t="str">
        <f ca="1">IFERROR(INDEX(grupoEstacas[],HC[[#This Row],[nE]],MATCH("coef. Blévot",grupoEstacas[#Headers],0)),"N.S.")</f>
        <v>N.S.</v>
      </c>
      <c r="AQ260" s="35" t="str">
        <f ca="1">IFERROR(HC[[#This Row],[coef. Blévot]]*0.9*INDEX(tipoEstaca[],MATCH($D$2,tipoEstaca[TIPO DE ESTACA],0),MATCH("fcd (kN/cm²)",tipoEstaca[#Headers],0)),"N.S.")</f>
        <v>N.S.</v>
      </c>
      <c r="AR260" s="82" t="str">
        <f ca="1">IF(AND(HC[[#This Row],[cd,b,pil (kN/cm²)]]&lt;=HC[[#This Row],[cd,b,lim (kN/cm²)]],HC[[#This Row],[cd,b,est (kN/cm²)]]&lt;=HC[[#This Row],[cd,b,lim (kN/cm²)]]),"OK","ERRO")</f>
        <v>OK</v>
      </c>
      <c r="AS260" s="4" t="str">
        <f ca="1">As_lado(HC[[#This Row],[nE]],HC[[#This Row],[Nsd (kN)]],HC[[#This Row],[d (cm)]],HC[[#This Row],[e (cm)]],HC[[#This Row],[ap,eq (cm)]])</f>
        <v>N.S.</v>
      </c>
      <c r="AT260" s="4" t="str">
        <f ca="1">IF(HC[[#This Row],[nE]]=1,HC[[#This Row],[As,lado (cm²)]],IF(HC[[#This Row],[nE]]=2,0.075*2*HC[a (cm)],"N.A."))</f>
        <v>N.A.</v>
      </c>
      <c r="AU260" s="4" t="str">
        <f ca="1">IFERROR(IF(HC[[#This Row],[nE]]=1,"N.A.",0.2*HC[[#This Row],[As,lado (cm²)]]),"N.S.")</f>
        <v>N.S.</v>
      </c>
      <c r="AV260" s="4" t="str">
        <f ca="1">As_malha(HC[[#This Row],[nE]],HC[[#This Row],[As,lado (cm²)]],HC[[#This Row],[Nsd (kN)]])</f>
        <v>N.S.</v>
      </c>
      <c r="AW260" s="4" t="str">
        <f ca="1">As_susp_tot(HC[[#This Row],[nE]],HC[[#This Row],[Nsd (kN)]])</f>
        <v>N.S.</v>
      </c>
      <c r="AX260" s="4" t="str">
        <f ca="1">Asp_face(HC[[#This Row],[nE]],HC[[#This Row],[As,lado (cm²)]])</f>
        <v>N.S.</v>
      </c>
      <c r="AY260" s="5" t="str">
        <f ca="1">acoBloco(HC[[#This Row],[nE]],HC[[#This Row],[e (cm)]],HC[[#This Row],[a (cm)]],HC[[#This Row],[h (cm)]],HC[[#This Row],[As,lado (cm²)]],HC[[#This Row],[Asp e Asw (cm²/m)]],HC[[#This Row],[As,sup (cm²)]],HC[[#This Row],[As,malha (cm²)]],HC[[#This Row],[As,susp,tot (cm²)]],HC[[#This Row],[Asp,face (cm²)]])</f>
        <v>N.S.</v>
      </c>
      <c r="AZ260" s="4" t="str">
        <f ca="1">concretoBloco(HC[[#This Row],[nE]],HC[[#This Row],[e (cm)]],HC[[#This Row],[a (cm)]],HC[[#This Row],[h (cm)]])</f>
        <v>N.S.</v>
      </c>
      <c r="BA260" s="5">
        <f ca="1">SUM(HC[[#This Row],[Aço Est (kg)]],HC[[#This Row],[Aço Bloco (kg)]])</f>
        <v>79.903267551402806</v>
      </c>
      <c r="BB260" s="4">
        <f>INDEX(composicoes[],MATCH(95580,composicoes[CÓDIGO],0),MATCH("CUSTO TOTAL",composicoes[#Headers],0))</f>
        <v>10.46</v>
      </c>
      <c r="BC260" s="4">
        <f ca="1">SUM(HC[[#This Row],[Conc Est (m³)]],HC[[#This Row],[Conc Bloco (m³)]])</f>
        <v>41.98738581522759</v>
      </c>
      <c r="BD260" s="4">
        <f>INDEX(composicoes[],MATCH(94966,composicoes[CÓDIGO],0),MATCH("CUSTO TOTAL",composicoes[#Headers],0))</f>
        <v>439.52</v>
      </c>
      <c r="BE260" s="38">
        <f ca="1">HC[[#This Row],[Aço (kg)]]*HC[[#This Row],[Aço (R$/kg)]]+HC[[#This Row],[Conc (m³)]]*HC[[#This Row],[Conc (R$/m³)]]</f>
        <v>19290.083992096505</v>
      </c>
      <c r="BF260" s="4" t="str">
        <f ca="1">IF(COUNTIF(HC[#This Row],"N.S.")&gt;0,"lim.","OK")</f>
        <v>lim.</v>
      </c>
      <c r="BG260" s="4" t="str">
        <f>IF(HC[[#This Row],[Prof. (m)]]&lt;4,"lim.","OK")</f>
        <v>lim.</v>
      </c>
      <c r="BH260" s="4" t="str">
        <f>IF(HC[[#This Row],[Prof. (m)]]&gt;=8*HC[[#This Row],[Ø (cm)]]/100,"OK","lim.")</f>
        <v>lim.</v>
      </c>
      <c r="BI260" s="4" t="str">
        <f ca="1">IF(HC[[#This Row],[Verif. Biela]]="OK","OK","lim.")</f>
        <v>OK</v>
      </c>
      <c r="BJ260" s="4" t="str">
        <f ca="1">IF(COUNTA(HC[[#This Row],[Nº Est.]:[Biela comp.]])=COUNTIF(HC[[#This Row],[Nº Est.]:[Biela comp.]],"OK"),"OK","lim.")</f>
        <v>lim.</v>
      </c>
      <c r="BK260" s="4" t="str">
        <f ca="1">IF(HC[[#This Row],[Controle]]="OK",HC[[#This Row],[nE]]&amp;" Ø "&amp;HC[[#This Row],[Ø (cm)]]&amp;" cm, Prof. "&amp;HC[[#This Row],[Prof. (m)]]&amp;" m","")</f>
        <v/>
      </c>
      <c r="BL260" s="4" t="str">
        <f ca="1">IF(HC[[#This Row],[idDimensionamento]]="","",HC[[#This Row],[idPilar]]&amp;HC[[#This Row],[idDimensionamento]])</f>
        <v/>
      </c>
    </row>
    <row r="261" spans="2:64" x14ac:dyDescent="0.25">
      <c r="B261" s="12">
        <f>ROUNDUP((ROW(HC[[#This Row],[idDiâmetro]])-ROW(HC[[#Headers],[idDiâmetro]]))/(COUNT(SPT[Prof. (m)])*COUNT(PILARES[Pilar])),0)</f>
        <v>10</v>
      </c>
      <c r="C261" s="12">
        <f>IF(HC[[#This Row],[idDiâmetro]]&lt;&gt;B260,1,IF(HC[[#This Row],[Prof. (m)]]=0,C260+1,C260))</f>
        <v>1</v>
      </c>
      <c r="D261" s="82">
        <f>IFERROR(IF(D260=MAX(SPT[Prof. (m)]),0,D260+1),0)</f>
        <v>4</v>
      </c>
      <c r="E261" s="82">
        <f>INDEX(SPT[],MATCH(HC[[#This Row],[Prof. (m)]],SPT[Prof. (m)],0),2)</f>
        <v>8</v>
      </c>
      <c r="F261" s="82" t="str">
        <f>INDEX(SPT[],MATCH(HC[[#This Row],[Prof. (m)]],SPT[Prof. (m)],0),3)</f>
        <v>Areia siltosa</v>
      </c>
      <c r="G261" s="82">
        <f>INDEX(estacas[],HC[[#This Row],[idDiâmetro]],MATCH($B$2,estacas[#Headers],0))</f>
        <v>90</v>
      </c>
      <c r="H261" s="82">
        <f>INDEX(estacas[],MATCH(HC[[#This Row],[Ø (cm)]],estacas[Ø HC (cm)],0),MATCH(HC[[#Headers],[Pe HC (kN)]],estacas[#Headers],0))</f>
        <v>4000</v>
      </c>
      <c r="I261" s="4">
        <f>INDEX(K_alpha_C[],MATCH(HC[[#This Row],[Solo]],K_alpha_C[Solo],0),2)</f>
        <v>0.8</v>
      </c>
      <c r="J261" s="5">
        <f>INDEX(K_alpha_C[],MATCH(HC[[#This Row],[Solo]],K_alpha_C[Solo],0),3)</f>
        <v>2</v>
      </c>
      <c r="K261" s="4">
        <f>INDEX(F1_F2[],MATCH($D$2,F1_F2[Tipo de estaca],0),2)</f>
        <v>2</v>
      </c>
      <c r="L261" s="4">
        <f>INDEX(F1_F2[],MATCH($D$2,F1_F2[Tipo de estaca],0),3)</f>
        <v>4</v>
      </c>
      <c r="M261" s="4">
        <f>PI()*(HC[[#This Row],[Ø (cm)]]/100)^2/4</f>
        <v>0.63617251235193317</v>
      </c>
      <c r="N261" s="4">
        <f>PI()*HC[[#This Row],[Ø (cm)]]/100</f>
        <v>2.8274333882308138</v>
      </c>
      <c r="O261" s="4">
        <f>IF(HC[[#This Row],[Prof. (m)]]=0,0,HC[[#This Row],[α (%)]]/100*HC[[#This Row],[K (MPa)]]*1000*HC[[#This Row],[NSPT]])</f>
        <v>128</v>
      </c>
      <c r="P261" s="4">
        <f>IF(HC[[#This Row],[Prof. (m)]]=0,0,(HC[[#This Row],[K (MPa)]]*1000*HC[[#This Row],[NSPT]]/HC[[#This Row],[F1]]*HC[[#This Row],[Ap (m²)]]+HC[[#This Row],[U (m)]]/HC[[#This Row],[F2]]*SUMIFS(HC[(α∙K∙NL∙ΔL)],HC[Prof. (m)],"&lt;="&amp;HC[[#This Row],[Prof. (m)]],HC[idDiâmetro],HC[[#This Row],[idDiâmetro]],HC[idPilar],HC[[#This Row],[idPilar]]))/'DADOS CAP. CARGA'!$D$2)</f>
        <v>1108.353888186479</v>
      </c>
      <c r="Q261" s="12">
        <f>INDEX(C_alpha_beta[],MATCH(HC[[#This Row],[Solo]],C_alpha_beta[Solo],0),MATCH(HC[[#Headers],[C (kPa)]],C_alpha_beta[#Headers],0))</f>
        <v>400</v>
      </c>
      <c r="R261" s="4">
        <f>INDEX(C_alpha_beta[],MATCH(HC[[#This Row],[Solo]],C_alpha_beta[Solo],0),MATCH(HC[[#Headers],[α ESF]],C_alpha_beta[#Headers],0))</f>
        <v>0.5</v>
      </c>
      <c r="S261" s="4">
        <f>INDEX(C_alpha_beta[],MATCH(HC[[#This Row],[Solo]],C_alpha_beta[Solo],0),MATCH(HC[[#Headers],[β ESF]],C_alpha_beta[#Headers],0))</f>
        <v>0.5</v>
      </c>
      <c r="T261" s="4">
        <f>IF(HC[[#This Row],[Prof. (m)]]=0,0,10*(HC[[#This Row],[NSPT]]/3+1))</f>
        <v>36.666666666666664</v>
      </c>
      <c r="U261" s="4">
        <f>(HC[[#This Row],[α ESF]]*HC[[#This Row],[C (kPa)]]*HC[[#This Row],[NSPT]]*HC[[#This Row],[Ap (m²)]])/'DADOS CAP. CARGA'!$Q$2+(HC[[#This Row],[β ESF]]*SUMIFS(HC[10∙(NL/3+1)],HC[Prof. (m)],"&lt;="&amp;HC[[#This Row],[Prof. (m)]],HC[idDiâmetro],HC[[#This Row],[idDiâmetro]],HC[idPilar],HC[[#This Row],[idPilar]])*HC[[#This Row],[U (m)]])/'DADOS CAP. CARGA'!$S$2</f>
        <v>320.44245066615889</v>
      </c>
      <c r="V261" s="4">
        <f>IF(SPT!$M$5=1,MIN(HC[[#This Row],[Pe HC (kN)]],HC[[#This Row],[R_AV (kN)]]),IF(SPT!$M$5=2,MIN(HC[[#This Row],[Pe HC (kN)]],HC[[#This Row],[R_DC (kN)]]),MIN(HC[[#This Row],[Pe HC (kN)]],HC[[#This Row],[R_AV (kN)]],HC[[#This Row],[R_DC (kN)]])))</f>
        <v>320.44245066615889</v>
      </c>
      <c r="W261" s="4">
        <f>INDEX(PILARES[],HC[[#This Row],[idPilar]],MATCH("Carga (kN)",PILARES[#Headers],0))*1.4</f>
        <v>3500</v>
      </c>
      <c r="X261" s="12">
        <f>INDEX(PILARES[],HC[[#This Row],[idPilar]],MATCH(HC[[#Headers],[ap (cm)]],PILARES[#Headers],0))</f>
        <v>60</v>
      </c>
      <c r="Y261" s="12">
        <f>INDEX(PILARES[],HC[[#This Row],[idPilar]],MATCH(HC[[#Headers],[bp (cm)]],PILARES[#Headers],0))</f>
        <v>60</v>
      </c>
      <c r="Z261" s="4">
        <f>SQRT(HC[[#This Row],[ap (cm)]]*HC[[#This Row],[bp (cm)]])</f>
        <v>60</v>
      </c>
      <c r="AA261" s="12">
        <f>HC[[#This Row],[ap (cm)]]*HC[[#This Row],[bp (cm)]]</f>
        <v>3600</v>
      </c>
      <c r="AB261" s="12">
        <f ca="1">IF(HC[[#This Row],[Padm∙ε (kN)]]&gt;=HC[[#This Row],[Padm (kN)]],ROUNDUP(1.05*HC[[#This Row],[Nsd (kN)]]/HC[[#This Row],[Padm (kN)]],0),ROUNDUP(1.05*HC[[#This Row],[Nsd (kN)]]/HC[[#This Row],[Padm (kN)]],0)+1)</f>
        <v>12</v>
      </c>
      <c r="AC261" s="4" t="str">
        <f ca="1">IFERROR(IF(HC[[#This Row],[nE]]=1,HC[[#This Row],[Padm (kN)]],HC[[#This Row],[Padm (kN)]]*HC[[#This Row],[nE]]*INDEX(grupoEstacas[],HC[[#This Row],[nE]],MATCH("ε",grupoEstacas[#Headers],0))),"N.S.")</f>
        <v>N.S.</v>
      </c>
      <c r="AD261" s="4">
        <f ca="1">1.05*HC[[#This Row],[Nsd (kN)]]/(HC[[#This Row],[nE]]*PI()*HC[[#This Row],[Ø (cm)]]^2/4)*10</f>
        <v>0.48139458095696741</v>
      </c>
      <c r="AE261" s="4">
        <f ca="1">IF(HC[[#This Row],[σ (MPa)]]&lt;INDEX(tipoEstaca[],MATCH($D$2,tipoEstaca[TIPO DE ESTACA],0),MATCH("σmáx (MPa)",tipoEstaca[#Headers],0)),0.4%*PI()*HC[[#This Row],[Ø (cm)]]^2/4,"N.S.")</f>
        <v>25.446900494077326</v>
      </c>
      <c r="AF261" s="82">
        <f>INDEX(tipoEstaca[],MATCH($D$2,tipoEstaca[TIPO DE ESTACA],0),MATCH(HC[[#Headers],[Comprimento (m)]],tipoEstaca[#Headers],0))</f>
        <v>4</v>
      </c>
      <c r="AG261" s="5">
        <f ca="1">HC[[#This Row],[As,mín (cm²)]]/100^2*HC[[#This Row],[Comprimento (m)]]*7850</f>
        <v>79.903267551402806</v>
      </c>
      <c r="AH261" s="4">
        <f ca="1">HC[[#This Row],[nE]]*HC[[#This Row],[Prof. (m)]]*HC[[#This Row],[Ap (m²)]]</f>
        <v>30.536280592892794</v>
      </c>
      <c r="AI261" s="82">
        <f ca="1">IF(HC[[#This Row],[nE]]=1,0,MAX(3*HC[[#This Row],[Ø (cm)]],60))</f>
        <v>270</v>
      </c>
      <c r="AJ261" s="82">
        <f ca="1">IF(HC[[#This Row],[nE]]=1,HC[[#This Row],[Ø (cm)]]+2*10,MAX(1.5*HC[[#This Row],[Ø (cm)]],HC[[#This Row],[Ø (cm)]]+15))</f>
        <v>135</v>
      </c>
      <c r="AK261" s="82" t="str">
        <f ca="1">alturaUtil(HC[[#This Row],[nE]],HC[[#This Row],[Ø (cm)]],HC[[#This Row],[e (cm)]],HC[[#This Row],[ap,eq (cm)]])</f>
        <v>N.S.</v>
      </c>
      <c r="AL261" s="82" t="str">
        <f ca="1">IFERROR(HC[[#This Row],[d (cm)]]+arredondarParaCimaMultiplo5cm(MAX(5,SQRT(PI())/2*HC[[#This Row],[Ø (cm)]]/5)),"N.S.")</f>
        <v>N.S.</v>
      </c>
      <c r="AM261" s="5" t="str">
        <f ca="1">alpha(HC[[#This Row],[nE]],HC[[#This Row],[d (cm)]],HC[[#This Row],[e (cm)]],HC[[#This Row],[ap,eq (cm)]])</f>
        <v>N.S.</v>
      </c>
      <c r="AN261" s="35" t="str">
        <f ca="1">IFERROR(HC[[#This Row],[Nsd (kN)]]/(HC[[#This Row],[Ap (cm²)]]*SIN(HC[[#This Row],[α]])^2),"N.S.")</f>
        <v>N.S.</v>
      </c>
      <c r="AO261" s="35" t="str">
        <f ca="1">IFERROR(HC[[#This Row],[Nsd (kN)]]/(HC[[#This Row],[nE]]*PI()*HC[[#This Row],[Ø (cm)]]^2/4*SIN(HC[[#This Row],[α]])^2),"N.S.")</f>
        <v>N.S.</v>
      </c>
      <c r="AP261" s="4" t="str">
        <f ca="1">IFERROR(INDEX(grupoEstacas[],HC[[#This Row],[nE]],MATCH("coef. Blévot",grupoEstacas[#Headers],0)),"N.S.")</f>
        <v>N.S.</v>
      </c>
      <c r="AQ261" s="35" t="str">
        <f ca="1">IFERROR(HC[[#This Row],[coef. Blévot]]*0.9*INDEX(tipoEstaca[],MATCH($D$2,tipoEstaca[TIPO DE ESTACA],0),MATCH("fcd (kN/cm²)",tipoEstaca[#Headers],0)),"N.S.")</f>
        <v>N.S.</v>
      </c>
      <c r="AR261" s="82" t="str">
        <f ca="1">IF(AND(HC[[#This Row],[cd,b,pil (kN/cm²)]]&lt;=HC[[#This Row],[cd,b,lim (kN/cm²)]],HC[[#This Row],[cd,b,est (kN/cm²)]]&lt;=HC[[#This Row],[cd,b,lim (kN/cm²)]]),"OK","ERRO")</f>
        <v>OK</v>
      </c>
      <c r="AS261" s="4" t="str">
        <f ca="1">As_lado(HC[[#This Row],[nE]],HC[[#This Row],[Nsd (kN)]],HC[[#This Row],[d (cm)]],HC[[#This Row],[e (cm)]],HC[[#This Row],[ap,eq (cm)]])</f>
        <v>N.S.</v>
      </c>
      <c r="AT261" s="4" t="str">
        <f ca="1">IF(HC[[#This Row],[nE]]=1,HC[[#This Row],[As,lado (cm²)]],IF(HC[[#This Row],[nE]]=2,0.075*2*HC[a (cm)],"N.A."))</f>
        <v>N.A.</v>
      </c>
      <c r="AU261" s="4" t="str">
        <f ca="1">IFERROR(IF(HC[[#This Row],[nE]]=1,"N.A.",0.2*HC[[#This Row],[As,lado (cm²)]]),"N.S.")</f>
        <v>N.S.</v>
      </c>
      <c r="AV261" s="4" t="str">
        <f ca="1">As_malha(HC[[#This Row],[nE]],HC[[#This Row],[As,lado (cm²)]],HC[[#This Row],[Nsd (kN)]])</f>
        <v>N.S.</v>
      </c>
      <c r="AW261" s="4" t="str">
        <f ca="1">As_susp_tot(HC[[#This Row],[nE]],HC[[#This Row],[Nsd (kN)]])</f>
        <v>N.S.</v>
      </c>
      <c r="AX261" s="4" t="str">
        <f ca="1">Asp_face(HC[[#This Row],[nE]],HC[[#This Row],[As,lado (cm²)]])</f>
        <v>N.S.</v>
      </c>
      <c r="AY261" s="5" t="str">
        <f ca="1">acoBloco(HC[[#This Row],[nE]],HC[[#This Row],[e (cm)]],HC[[#This Row],[a (cm)]],HC[[#This Row],[h (cm)]],HC[[#This Row],[As,lado (cm²)]],HC[[#This Row],[Asp e Asw (cm²/m)]],HC[[#This Row],[As,sup (cm²)]],HC[[#This Row],[As,malha (cm²)]],HC[[#This Row],[As,susp,tot (cm²)]],HC[[#This Row],[Asp,face (cm²)]])</f>
        <v>N.S.</v>
      </c>
      <c r="AZ261" s="4" t="str">
        <f ca="1">concretoBloco(HC[[#This Row],[nE]],HC[[#This Row],[e (cm)]],HC[[#This Row],[a (cm)]],HC[[#This Row],[h (cm)]])</f>
        <v>N.S.</v>
      </c>
      <c r="BA261" s="5">
        <f ca="1">SUM(HC[[#This Row],[Aço Est (kg)]],HC[[#This Row],[Aço Bloco (kg)]])</f>
        <v>79.903267551402806</v>
      </c>
      <c r="BB261" s="4">
        <f>INDEX(composicoes[],MATCH(95580,composicoes[CÓDIGO],0),MATCH("CUSTO TOTAL",composicoes[#Headers],0))</f>
        <v>10.46</v>
      </c>
      <c r="BC261" s="4">
        <f ca="1">SUM(HC[[#This Row],[Conc Est (m³)]],HC[[#This Row],[Conc Bloco (m³)]])</f>
        <v>30.536280592892794</v>
      </c>
      <c r="BD261" s="4">
        <f>INDEX(composicoes[],MATCH(94966,composicoes[CÓDIGO],0),MATCH("CUSTO TOTAL",composicoes[#Headers],0))</f>
        <v>439.52</v>
      </c>
      <c r="BE261" s="38">
        <f ca="1">HC[[#This Row],[Aço (kg)]]*HC[[#This Row],[Aço (R$/kg)]]+HC[[#This Row],[Conc (m³)]]*HC[[#This Row],[Conc (R$/m³)]]</f>
        <v>14257.094224775912</v>
      </c>
      <c r="BF261" s="4" t="str">
        <f ca="1">IF(COUNTIF(HC[#This Row],"N.S.")&gt;0,"lim.","OK")</f>
        <v>lim.</v>
      </c>
      <c r="BG261" s="4" t="str">
        <f>IF(HC[[#This Row],[Prof. (m)]]&lt;4,"lim.","OK")</f>
        <v>OK</v>
      </c>
      <c r="BH261" s="4" t="str">
        <f>IF(HC[[#This Row],[Prof. (m)]]&gt;=8*HC[[#This Row],[Ø (cm)]]/100,"OK","lim.")</f>
        <v>lim.</v>
      </c>
      <c r="BI261" s="4" t="str">
        <f ca="1">IF(HC[[#This Row],[Verif. Biela]]="OK","OK","lim.")</f>
        <v>OK</v>
      </c>
      <c r="BJ261" s="4" t="str">
        <f ca="1">IF(COUNTA(HC[[#This Row],[Nº Est.]:[Biela comp.]])=COUNTIF(HC[[#This Row],[Nº Est.]:[Biela comp.]],"OK"),"OK","lim.")</f>
        <v>lim.</v>
      </c>
      <c r="BK261" s="4" t="str">
        <f ca="1">IF(HC[[#This Row],[Controle]]="OK",HC[[#This Row],[nE]]&amp;" Ø "&amp;HC[[#This Row],[Ø (cm)]]&amp;" cm, Prof. "&amp;HC[[#This Row],[Prof. (m)]]&amp;" m","")</f>
        <v/>
      </c>
      <c r="BL261" s="4" t="str">
        <f ca="1">IF(HC[[#This Row],[idDimensionamento]]="","",HC[[#This Row],[idPilar]]&amp;HC[[#This Row],[idDimensionamento]])</f>
        <v/>
      </c>
    </row>
    <row r="262" spans="2:64" x14ac:dyDescent="0.25">
      <c r="B262" s="12">
        <f>ROUNDUP((ROW(HC[[#This Row],[idDiâmetro]])-ROW(HC[[#Headers],[idDiâmetro]]))/(COUNT(SPT[Prof. (m)])*COUNT(PILARES[Pilar])),0)</f>
        <v>10</v>
      </c>
      <c r="C262" s="12">
        <f>IF(HC[[#This Row],[idDiâmetro]]&lt;&gt;B261,1,IF(HC[[#This Row],[Prof. (m)]]=0,C261+1,C261))</f>
        <v>1</v>
      </c>
      <c r="D262" s="82">
        <f>IFERROR(IF(D261=MAX(SPT[Prof. (m)]),0,D261+1),0)</f>
        <v>5</v>
      </c>
      <c r="E262" s="82">
        <f>INDEX(SPT[],MATCH(HC[[#This Row],[Prof. (m)]],SPT[Prof. (m)],0),2)</f>
        <v>17</v>
      </c>
      <c r="F262" s="82" t="str">
        <f>INDEX(SPT[],MATCH(HC[[#This Row],[Prof. (m)]],SPT[Prof. (m)],0),3)</f>
        <v>Areia siltosa</v>
      </c>
      <c r="G262" s="82">
        <f>INDEX(estacas[],HC[[#This Row],[idDiâmetro]],MATCH($B$2,estacas[#Headers],0))</f>
        <v>90</v>
      </c>
      <c r="H262" s="82">
        <f>INDEX(estacas[],MATCH(HC[[#This Row],[Ø (cm)]],estacas[Ø HC (cm)],0),MATCH(HC[[#Headers],[Pe HC (kN)]],estacas[#Headers],0))</f>
        <v>4000</v>
      </c>
      <c r="I262" s="4">
        <f>INDEX(K_alpha_C[],MATCH(HC[[#This Row],[Solo]],K_alpha_C[Solo],0),2)</f>
        <v>0.8</v>
      </c>
      <c r="J262" s="5">
        <f>INDEX(K_alpha_C[],MATCH(HC[[#This Row],[Solo]],K_alpha_C[Solo],0),3)</f>
        <v>2</v>
      </c>
      <c r="K262" s="4">
        <f>INDEX(F1_F2[],MATCH($D$2,F1_F2[Tipo de estaca],0),2)</f>
        <v>2</v>
      </c>
      <c r="L262" s="4">
        <f>INDEX(F1_F2[],MATCH($D$2,F1_F2[Tipo de estaca],0),3)</f>
        <v>4</v>
      </c>
      <c r="M262" s="4">
        <f>PI()*(HC[[#This Row],[Ø (cm)]]/100)^2/4</f>
        <v>0.63617251235193317</v>
      </c>
      <c r="N262" s="4">
        <f>PI()*HC[[#This Row],[Ø (cm)]]/100</f>
        <v>2.8274333882308138</v>
      </c>
      <c r="O262" s="4">
        <f>IF(HC[[#This Row],[Prof. (m)]]=0,0,HC[[#This Row],[α (%)]]/100*HC[[#This Row],[K (MPa)]]*1000*HC[[#This Row],[NSPT]])</f>
        <v>272</v>
      </c>
      <c r="P262" s="4">
        <f>IF(HC[[#This Row],[Prof. (m)]]=0,0,(HC[[#This Row],[K (MPa)]]*1000*HC[[#This Row],[NSPT]]/HC[[#This Row],[F1]]*HC[[#This Row],[Ap (m²)]]+HC[[#This Row],[U (m)]]/HC[[#This Row],[F2]]*SUMIFS(HC[(α∙K∙NL∙ΔL)],HC[Prof. (m)],"&lt;="&amp;HC[[#This Row],[Prof. (m)]],HC[idDiâmetro],HC[[#This Row],[idDiâmetro]],HC[idPilar],HC[[#This Row],[idPilar]]))/'DADOS CAP. CARGA'!$D$2)</f>
        <v>2349.5971456198063</v>
      </c>
      <c r="Q262" s="12">
        <f>INDEX(C_alpha_beta[],MATCH(HC[[#This Row],[Solo]],C_alpha_beta[Solo],0),MATCH(HC[[#Headers],[C (kPa)]],C_alpha_beta[#Headers],0))</f>
        <v>400</v>
      </c>
      <c r="R262" s="4">
        <f>INDEX(C_alpha_beta[],MATCH(HC[[#This Row],[Solo]],C_alpha_beta[Solo],0),MATCH(HC[[#Headers],[α ESF]],C_alpha_beta[#Headers],0))</f>
        <v>0.5</v>
      </c>
      <c r="S262" s="4">
        <f>INDEX(C_alpha_beta[],MATCH(HC[[#This Row],[Solo]],C_alpha_beta[Solo],0),MATCH(HC[[#Headers],[β ESF]],C_alpha_beta[#Headers],0))</f>
        <v>0.5</v>
      </c>
      <c r="T262" s="4">
        <f>IF(HC[[#This Row],[Prof. (m)]]=0,0,10*(HC[[#This Row],[NSPT]]/3+1))</f>
        <v>66.666666666666671</v>
      </c>
      <c r="U262" s="4">
        <f>(HC[[#This Row],[α ESF]]*HC[[#This Row],[C (kPa)]]*HC[[#This Row],[NSPT]]*HC[[#This Row],[Ap (m²)]])/'DADOS CAP. CARGA'!$Q$2+(HC[[#This Row],[β ESF]]*SUMIFS(HC[10∙(NL/3+1)],HC[Prof. (m)],"&lt;="&amp;HC[[#This Row],[Prof. (m)]],HC[idDiâmetro],HC[[#This Row],[idDiâmetro]],HC[idPilar],HC[[#This Row],[idPilar]])*HC[[#This Row],[U (m)]])/'DADOS CAP. CARGA'!$S$2</f>
        <v>653.84397102837568</v>
      </c>
      <c r="V262" s="4">
        <f>IF(SPT!$M$5=1,MIN(HC[[#This Row],[Pe HC (kN)]],HC[[#This Row],[R_AV (kN)]]),IF(SPT!$M$5=2,MIN(HC[[#This Row],[Pe HC (kN)]],HC[[#This Row],[R_DC (kN)]]),MIN(HC[[#This Row],[Pe HC (kN)]],HC[[#This Row],[R_AV (kN)]],HC[[#This Row],[R_DC (kN)]])))</f>
        <v>653.84397102837568</v>
      </c>
      <c r="W262" s="4">
        <f>INDEX(PILARES[],HC[[#This Row],[idPilar]],MATCH("Carga (kN)",PILARES[#Headers],0))*1.4</f>
        <v>3500</v>
      </c>
      <c r="X262" s="12">
        <f>INDEX(PILARES[],HC[[#This Row],[idPilar]],MATCH(HC[[#Headers],[ap (cm)]],PILARES[#Headers],0))</f>
        <v>60</v>
      </c>
      <c r="Y262" s="12">
        <f>INDEX(PILARES[],HC[[#This Row],[idPilar]],MATCH(HC[[#Headers],[bp (cm)]],PILARES[#Headers],0))</f>
        <v>60</v>
      </c>
      <c r="Z262" s="4">
        <f>SQRT(HC[[#This Row],[ap (cm)]]*HC[[#This Row],[bp (cm)]])</f>
        <v>60</v>
      </c>
      <c r="AA262" s="12">
        <f>HC[[#This Row],[ap (cm)]]*HC[[#This Row],[bp (cm)]]</f>
        <v>3600</v>
      </c>
      <c r="AB262" s="12">
        <f ca="1">IF(HC[[#This Row],[Padm∙ε (kN)]]&gt;=HC[[#This Row],[Padm (kN)]],ROUNDUP(1.05*HC[[#This Row],[Nsd (kN)]]/HC[[#This Row],[Padm (kN)]],0),ROUNDUP(1.05*HC[[#This Row],[Nsd (kN)]]/HC[[#This Row],[Padm (kN)]],0)+1)</f>
        <v>6</v>
      </c>
      <c r="AC262" s="4" t="str">
        <f ca="1">IFERROR(IF(HC[[#This Row],[nE]]=1,HC[[#This Row],[Padm (kN)]],HC[[#This Row],[Padm (kN)]]*HC[[#This Row],[nE]]*INDEX(grupoEstacas[],HC[[#This Row],[nE]],MATCH("ε",grupoEstacas[#Headers],0))),"N.S.")</f>
        <v>N.S.</v>
      </c>
      <c r="AD262" s="4">
        <f ca="1">1.05*HC[[#This Row],[Nsd (kN)]]/(HC[[#This Row],[nE]]*PI()*HC[[#This Row],[Ø (cm)]]^2/4)*10</f>
        <v>0.96278916191393482</v>
      </c>
      <c r="AE262" s="4">
        <f ca="1">IF(HC[[#This Row],[σ (MPa)]]&lt;INDEX(tipoEstaca[],MATCH($D$2,tipoEstaca[TIPO DE ESTACA],0),MATCH("σmáx (MPa)",tipoEstaca[#Headers],0)),0.4%*PI()*HC[[#This Row],[Ø (cm)]]^2/4,"N.S.")</f>
        <v>25.446900494077326</v>
      </c>
      <c r="AF262" s="82">
        <f>INDEX(tipoEstaca[],MATCH($D$2,tipoEstaca[TIPO DE ESTACA],0),MATCH(HC[[#Headers],[Comprimento (m)]],tipoEstaca[#Headers],0))</f>
        <v>4</v>
      </c>
      <c r="AG262" s="5">
        <f ca="1">HC[[#This Row],[As,mín (cm²)]]/100^2*HC[[#This Row],[Comprimento (m)]]*7850</f>
        <v>79.903267551402806</v>
      </c>
      <c r="AH262" s="4">
        <f ca="1">HC[[#This Row],[nE]]*HC[[#This Row],[Prof. (m)]]*HC[[#This Row],[Ap (m²)]]</f>
        <v>19.085175370557995</v>
      </c>
      <c r="AI262" s="82">
        <f ca="1">IF(HC[[#This Row],[nE]]=1,0,MAX(3*HC[[#This Row],[Ø (cm)]],60))</f>
        <v>270</v>
      </c>
      <c r="AJ262" s="82">
        <f ca="1">IF(HC[[#This Row],[nE]]=1,HC[[#This Row],[Ø (cm)]]+2*10,MAX(1.5*HC[[#This Row],[Ø (cm)]],HC[[#This Row],[Ø (cm)]]+15))</f>
        <v>135</v>
      </c>
      <c r="AK262" s="82" t="str">
        <f ca="1">alturaUtil(HC[[#This Row],[nE]],HC[[#This Row],[Ø (cm)]],HC[[#This Row],[e (cm)]],HC[[#This Row],[ap,eq (cm)]])</f>
        <v>N.S.</v>
      </c>
      <c r="AL262" s="82" t="str">
        <f ca="1">IFERROR(HC[[#This Row],[d (cm)]]+arredondarParaCimaMultiplo5cm(MAX(5,SQRT(PI())/2*HC[[#This Row],[Ø (cm)]]/5)),"N.S.")</f>
        <v>N.S.</v>
      </c>
      <c r="AM262" s="5" t="str">
        <f ca="1">alpha(HC[[#This Row],[nE]],HC[[#This Row],[d (cm)]],HC[[#This Row],[e (cm)]],HC[[#This Row],[ap,eq (cm)]])</f>
        <v>N.S.</v>
      </c>
      <c r="AN262" s="35" t="str">
        <f ca="1">IFERROR(HC[[#This Row],[Nsd (kN)]]/(HC[[#This Row],[Ap (cm²)]]*SIN(HC[[#This Row],[α]])^2),"N.S.")</f>
        <v>N.S.</v>
      </c>
      <c r="AO262" s="35" t="str">
        <f ca="1">IFERROR(HC[[#This Row],[Nsd (kN)]]/(HC[[#This Row],[nE]]*PI()*HC[[#This Row],[Ø (cm)]]^2/4*SIN(HC[[#This Row],[α]])^2),"N.S.")</f>
        <v>N.S.</v>
      </c>
      <c r="AP262" s="4" t="str">
        <f ca="1">IFERROR(INDEX(grupoEstacas[],HC[[#This Row],[nE]],MATCH("coef. Blévot",grupoEstacas[#Headers],0)),"N.S.")</f>
        <v>N.S.</v>
      </c>
      <c r="AQ262" s="35" t="str">
        <f ca="1">IFERROR(HC[[#This Row],[coef. Blévot]]*0.9*INDEX(tipoEstaca[],MATCH($D$2,tipoEstaca[TIPO DE ESTACA],0),MATCH("fcd (kN/cm²)",tipoEstaca[#Headers],0)),"N.S.")</f>
        <v>N.S.</v>
      </c>
      <c r="AR262" s="82" t="str">
        <f ca="1">IF(AND(HC[[#This Row],[cd,b,pil (kN/cm²)]]&lt;=HC[[#This Row],[cd,b,lim (kN/cm²)]],HC[[#This Row],[cd,b,est (kN/cm²)]]&lt;=HC[[#This Row],[cd,b,lim (kN/cm²)]]),"OK","ERRO")</f>
        <v>OK</v>
      </c>
      <c r="AS262" s="4" t="str">
        <f ca="1">As_lado(HC[[#This Row],[nE]],HC[[#This Row],[Nsd (kN)]],HC[[#This Row],[d (cm)]],HC[[#This Row],[e (cm)]],HC[[#This Row],[ap,eq (cm)]])</f>
        <v>N.S.</v>
      </c>
      <c r="AT262" s="4" t="str">
        <f ca="1">IF(HC[[#This Row],[nE]]=1,HC[[#This Row],[As,lado (cm²)]],IF(HC[[#This Row],[nE]]=2,0.075*2*HC[a (cm)],"N.A."))</f>
        <v>N.A.</v>
      </c>
      <c r="AU262" s="4" t="str">
        <f ca="1">IFERROR(IF(HC[[#This Row],[nE]]=1,"N.A.",0.2*HC[[#This Row],[As,lado (cm²)]]),"N.S.")</f>
        <v>N.S.</v>
      </c>
      <c r="AV262" s="4" t="str">
        <f ca="1">As_malha(HC[[#This Row],[nE]],HC[[#This Row],[As,lado (cm²)]],HC[[#This Row],[Nsd (kN)]])</f>
        <v>N.S.</v>
      </c>
      <c r="AW262" s="4" t="str">
        <f ca="1">As_susp_tot(HC[[#This Row],[nE]],HC[[#This Row],[Nsd (kN)]])</f>
        <v>N.S.</v>
      </c>
      <c r="AX262" s="4" t="str">
        <f ca="1">Asp_face(HC[[#This Row],[nE]],HC[[#This Row],[As,lado (cm²)]])</f>
        <v>N.S.</v>
      </c>
      <c r="AY262" s="5" t="str">
        <f ca="1">acoBloco(HC[[#This Row],[nE]],HC[[#This Row],[e (cm)]],HC[[#This Row],[a (cm)]],HC[[#This Row],[h (cm)]],HC[[#This Row],[As,lado (cm²)]],HC[[#This Row],[Asp e Asw (cm²/m)]],HC[[#This Row],[As,sup (cm²)]],HC[[#This Row],[As,malha (cm²)]],HC[[#This Row],[As,susp,tot (cm²)]],HC[[#This Row],[Asp,face (cm²)]])</f>
        <v>N.S.</v>
      </c>
      <c r="AZ262" s="4" t="str">
        <f ca="1">concretoBloco(HC[[#This Row],[nE]],HC[[#This Row],[e (cm)]],HC[[#This Row],[a (cm)]],HC[[#This Row],[h (cm)]])</f>
        <v>N.S.</v>
      </c>
      <c r="BA262" s="5">
        <f ca="1">SUM(HC[[#This Row],[Aço Est (kg)]],HC[[#This Row],[Aço Bloco (kg)]])</f>
        <v>79.903267551402806</v>
      </c>
      <c r="BB262" s="4">
        <f>INDEX(composicoes[],MATCH(95580,composicoes[CÓDIGO],0),MATCH("CUSTO TOTAL",composicoes[#Headers],0))</f>
        <v>10.46</v>
      </c>
      <c r="BC262" s="4">
        <f ca="1">SUM(HC[[#This Row],[Conc Est (m³)]],HC[[#This Row],[Conc Bloco (m³)]])</f>
        <v>19.085175370557995</v>
      </c>
      <c r="BD262" s="4">
        <f>INDEX(composicoes[],MATCH(94966,composicoes[CÓDIGO],0),MATCH("CUSTO TOTAL",composicoes[#Headers],0))</f>
        <v>439.52</v>
      </c>
      <c r="BE262" s="38">
        <f ca="1">HC[[#This Row],[Aço (kg)]]*HC[[#This Row],[Aço (R$/kg)]]+HC[[#This Row],[Conc (m³)]]*HC[[#This Row],[Conc (R$/m³)]]</f>
        <v>9224.1044574553234</v>
      </c>
      <c r="BF262" s="4" t="str">
        <f ca="1">IF(COUNTIF(HC[#This Row],"N.S.")&gt;0,"lim.","OK")</f>
        <v>lim.</v>
      </c>
      <c r="BG262" s="4" t="str">
        <f>IF(HC[[#This Row],[Prof. (m)]]&lt;4,"lim.","OK")</f>
        <v>OK</v>
      </c>
      <c r="BH262" s="4" t="str">
        <f>IF(HC[[#This Row],[Prof. (m)]]&gt;=8*HC[[#This Row],[Ø (cm)]]/100,"OK","lim.")</f>
        <v>lim.</v>
      </c>
      <c r="BI262" s="4" t="str">
        <f ca="1">IF(HC[[#This Row],[Verif. Biela]]="OK","OK","lim.")</f>
        <v>OK</v>
      </c>
      <c r="BJ262" s="4" t="str">
        <f ca="1">IF(COUNTA(HC[[#This Row],[Nº Est.]:[Biela comp.]])=COUNTIF(HC[[#This Row],[Nº Est.]:[Biela comp.]],"OK"),"OK","lim.")</f>
        <v>lim.</v>
      </c>
      <c r="BK262" s="4" t="str">
        <f ca="1">IF(HC[[#This Row],[Controle]]="OK",HC[[#This Row],[nE]]&amp;" Ø "&amp;HC[[#This Row],[Ø (cm)]]&amp;" cm, Prof. "&amp;HC[[#This Row],[Prof. (m)]]&amp;" m","")</f>
        <v/>
      </c>
      <c r="BL262" s="4" t="str">
        <f ca="1">IF(HC[[#This Row],[idDimensionamento]]="","",HC[[#This Row],[idPilar]]&amp;HC[[#This Row],[idDimensionamento]])</f>
        <v/>
      </c>
    </row>
    <row r="263" spans="2:64" x14ac:dyDescent="0.25">
      <c r="B263" s="12">
        <f>ROUNDUP((ROW(HC[[#This Row],[idDiâmetro]])-ROW(HC[[#Headers],[idDiâmetro]]))/(COUNT(SPT[Prof. (m)])*COUNT(PILARES[Pilar])),0)</f>
        <v>10</v>
      </c>
      <c r="C263" s="12">
        <f>IF(HC[[#This Row],[idDiâmetro]]&lt;&gt;B262,1,IF(HC[[#This Row],[Prof. (m)]]=0,C262+1,C262))</f>
        <v>1</v>
      </c>
      <c r="D263" s="82">
        <f>IFERROR(IF(D262=MAX(SPT[Prof. (m)]),0,D262+1),0)</f>
        <v>6</v>
      </c>
      <c r="E263" s="82">
        <f>INDEX(SPT[],MATCH(HC[[#This Row],[Prof. (m)]],SPT[Prof. (m)],0),2)</f>
        <v>21</v>
      </c>
      <c r="F263" s="82" t="str">
        <f>INDEX(SPT[],MATCH(HC[[#This Row],[Prof. (m)]],SPT[Prof. (m)],0),3)</f>
        <v>Silte arenoso</v>
      </c>
      <c r="G263" s="82">
        <f>INDEX(estacas[],HC[[#This Row],[idDiâmetro]],MATCH($B$2,estacas[#Headers],0))</f>
        <v>90</v>
      </c>
      <c r="H263" s="82">
        <f>INDEX(estacas[],MATCH(HC[[#This Row],[Ø (cm)]],estacas[Ø HC (cm)],0),MATCH(HC[[#Headers],[Pe HC (kN)]],estacas[#Headers],0))</f>
        <v>4000</v>
      </c>
      <c r="I263" s="4">
        <f>INDEX(K_alpha_C[],MATCH(HC[[#This Row],[Solo]],K_alpha_C[Solo],0),2)</f>
        <v>0.55000000000000004</v>
      </c>
      <c r="J263" s="5">
        <f>INDEX(K_alpha_C[],MATCH(HC[[#This Row],[Solo]],K_alpha_C[Solo],0),3)</f>
        <v>2.2000000000000002</v>
      </c>
      <c r="K263" s="4">
        <f>INDEX(F1_F2[],MATCH($D$2,F1_F2[Tipo de estaca],0),2)</f>
        <v>2</v>
      </c>
      <c r="L263" s="4">
        <f>INDEX(F1_F2[],MATCH($D$2,F1_F2[Tipo de estaca],0),3)</f>
        <v>4</v>
      </c>
      <c r="M263" s="4">
        <f>PI()*(HC[[#This Row],[Ø (cm)]]/100)^2/4</f>
        <v>0.63617251235193317</v>
      </c>
      <c r="N263" s="4">
        <f>PI()*HC[[#This Row],[Ø (cm)]]/100</f>
        <v>2.8274333882308138</v>
      </c>
      <c r="O263" s="4">
        <f>IF(HC[[#This Row],[Prof. (m)]]=0,0,HC[[#This Row],[α (%)]]/100*HC[[#This Row],[K (MPa)]]*1000*HC[[#This Row],[NSPT]])</f>
        <v>254.10000000000002</v>
      </c>
      <c r="P263" s="4">
        <f>IF(HC[[#This Row],[Prof. (m)]]=0,0,(HC[[#This Row],[K (MPa)]]*1000*HC[[#This Row],[NSPT]]/HC[[#This Row],[F1]]*HC[[#This Row],[Ap (m²)]]+HC[[#This Row],[U (m)]]/HC[[#This Row],[F2]]*SUMIFS(HC[(α∙K∙NL∙ΔL)],HC[Prof. (m)],"&lt;="&amp;HC[[#This Row],[Prof. (m)]],HC[idDiâmetro],HC[[#This Row],[idDiâmetro]],HC[idPilar],HC[[#This Row],[idPilar]]))/'DADOS CAP. CARGA'!$D$2)</f>
        <v>2113.3650860331218</v>
      </c>
      <c r="Q263" s="12">
        <f>INDEX(C_alpha_beta[],MATCH(HC[[#This Row],[Solo]],C_alpha_beta[Solo],0),MATCH(HC[[#Headers],[C (kPa)]],C_alpha_beta[#Headers],0))</f>
        <v>250</v>
      </c>
      <c r="R263" s="4">
        <f>INDEX(C_alpha_beta[],MATCH(HC[[#This Row],[Solo]],C_alpha_beta[Solo],0),MATCH(HC[[#Headers],[α ESF]],C_alpha_beta[#Headers],0))</f>
        <v>0.6</v>
      </c>
      <c r="S263" s="4">
        <f>INDEX(C_alpha_beta[],MATCH(HC[[#This Row],[Solo]],C_alpha_beta[Solo],0),MATCH(HC[[#Headers],[β ESF]],C_alpha_beta[#Headers],0))</f>
        <v>0.65</v>
      </c>
      <c r="T263" s="4">
        <f>IF(HC[[#This Row],[Prof. (m)]]=0,0,10*(HC[[#This Row],[NSPT]]/3+1))</f>
        <v>80</v>
      </c>
      <c r="U263" s="4">
        <f>(HC[[#This Row],[α ESF]]*HC[[#This Row],[C (kPa)]]*HC[[#This Row],[NSPT]]*HC[[#This Row],[Ap (m²)]])/'DADOS CAP. CARGA'!$Q$2+(HC[[#This Row],[β ESF]]*SUMIFS(HC[10∙(NL/3+1)],HC[Prof. (m)],"&lt;="&amp;HC[[#This Row],[Prof. (m)]],HC[idDiâmetro],HC[[#This Row],[idDiâmetro]],HC[idPilar],HC[[#This Row],[idPilar]])*HC[[#This Row],[U (m)]])/'DADOS CAP. CARGA'!$S$2</f>
        <v>721.52565775915082</v>
      </c>
      <c r="V263" s="4">
        <f>IF(SPT!$M$5=1,MIN(HC[[#This Row],[Pe HC (kN)]],HC[[#This Row],[R_AV (kN)]]),IF(SPT!$M$5=2,MIN(HC[[#This Row],[Pe HC (kN)]],HC[[#This Row],[R_DC (kN)]]),MIN(HC[[#This Row],[Pe HC (kN)]],HC[[#This Row],[R_AV (kN)]],HC[[#This Row],[R_DC (kN)]])))</f>
        <v>721.52565775915082</v>
      </c>
      <c r="W263" s="4">
        <f>INDEX(PILARES[],HC[[#This Row],[idPilar]],MATCH("Carga (kN)",PILARES[#Headers],0))*1.4</f>
        <v>3500</v>
      </c>
      <c r="X263" s="12">
        <f>INDEX(PILARES[],HC[[#This Row],[idPilar]],MATCH(HC[[#Headers],[ap (cm)]],PILARES[#Headers],0))</f>
        <v>60</v>
      </c>
      <c r="Y263" s="12">
        <f>INDEX(PILARES[],HC[[#This Row],[idPilar]],MATCH(HC[[#Headers],[bp (cm)]],PILARES[#Headers],0))</f>
        <v>60</v>
      </c>
      <c r="Z263" s="4">
        <f>SQRT(HC[[#This Row],[ap (cm)]]*HC[[#This Row],[bp (cm)]])</f>
        <v>60</v>
      </c>
      <c r="AA263" s="12">
        <f>HC[[#This Row],[ap (cm)]]*HC[[#This Row],[bp (cm)]]</f>
        <v>3600</v>
      </c>
      <c r="AB263" s="12">
        <f ca="1">IF(HC[[#This Row],[Padm∙ε (kN)]]&gt;=HC[[#This Row],[Padm (kN)]],ROUNDUP(1.05*HC[[#This Row],[Nsd (kN)]]/HC[[#This Row],[Padm (kN)]],0),ROUNDUP(1.05*HC[[#This Row],[Nsd (kN)]]/HC[[#This Row],[Padm (kN)]],0)+1)</f>
        <v>6</v>
      </c>
      <c r="AC263" s="4" t="str">
        <f ca="1">IFERROR(IF(HC[[#This Row],[nE]]=1,HC[[#This Row],[Padm (kN)]],HC[[#This Row],[Padm (kN)]]*HC[[#This Row],[nE]]*INDEX(grupoEstacas[],HC[[#This Row],[nE]],MATCH("ε",grupoEstacas[#Headers],0))),"N.S.")</f>
        <v>N.S.</v>
      </c>
      <c r="AD263" s="4">
        <f ca="1">1.05*HC[[#This Row],[Nsd (kN)]]/(HC[[#This Row],[nE]]*PI()*HC[[#This Row],[Ø (cm)]]^2/4)*10</f>
        <v>0.96278916191393482</v>
      </c>
      <c r="AE263" s="4">
        <f ca="1">IF(HC[[#This Row],[σ (MPa)]]&lt;INDEX(tipoEstaca[],MATCH($D$2,tipoEstaca[TIPO DE ESTACA],0),MATCH("σmáx (MPa)",tipoEstaca[#Headers],0)),0.4%*PI()*HC[[#This Row],[Ø (cm)]]^2/4,"N.S.")</f>
        <v>25.446900494077326</v>
      </c>
      <c r="AF263" s="82">
        <f>INDEX(tipoEstaca[],MATCH($D$2,tipoEstaca[TIPO DE ESTACA],0),MATCH(HC[[#Headers],[Comprimento (m)]],tipoEstaca[#Headers],0))</f>
        <v>4</v>
      </c>
      <c r="AG263" s="5">
        <f ca="1">HC[[#This Row],[As,mín (cm²)]]/100^2*HC[[#This Row],[Comprimento (m)]]*7850</f>
        <v>79.903267551402806</v>
      </c>
      <c r="AH263" s="4">
        <f ca="1">HC[[#This Row],[nE]]*HC[[#This Row],[Prof. (m)]]*HC[[#This Row],[Ap (m²)]]</f>
        <v>22.902210444669596</v>
      </c>
      <c r="AI263" s="82">
        <f ca="1">IF(HC[[#This Row],[nE]]=1,0,MAX(3*HC[[#This Row],[Ø (cm)]],60))</f>
        <v>270</v>
      </c>
      <c r="AJ263" s="82">
        <f ca="1">IF(HC[[#This Row],[nE]]=1,HC[[#This Row],[Ø (cm)]]+2*10,MAX(1.5*HC[[#This Row],[Ø (cm)]],HC[[#This Row],[Ø (cm)]]+15))</f>
        <v>135</v>
      </c>
      <c r="AK263" s="82" t="str">
        <f ca="1">alturaUtil(HC[[#This Row],[nE]],HC[[#This Row],[Ø (cm)]],HC[[#This Row],[e (cm)]],HC[[#This Row],[ap,eq (cm)]])</f>
        <v>N.S.</v>
      </c>
      <c r="AL263" s="82" t="str">
        <f ca="1">IFERROR(HC[[#This Row],[d (cm)]]+arredondarParaCimaMultiplo5cm(MAX(5,SQRT(PI())/2*HC[[#This Row],[Ø (cm)]]/5)),"N.S.")</f>
        <v>N.S.</v>
      </c>
      <c r="AM263" s="5" t="str">
        <f ca="1">alpha(HC[[#This Row],[nE]],HC[[#This Row],[d (cm)]],HC[[#This Row],[e (cm)]],HC[[#This Row],[ap,eq (cm)]])</f>
        <v>N.S.</v>
      </c>
      <c r="AN263" s="35" t="str">
        <f ca="1">IFERROR(HC[[#This Row],[Nsd (kN)]]/(HC[[#This Row],[Ap (cm²)]]*SIN(HC[[#This Row],[α]])^2),"N.S.")</f>
        <v>N.S.</v>
      </c>
      <c r="AO263" s="35" t="str">
        <f ca="1">IFERROR(HC[[#This Row],[Nsd (kN)]]/(HC[[#This Row],[nE]]*PI()*HC[[#This Row],[Ø (cm)]]^2/4*SIN(HC[[#This Row],[α]])^2),"N.S.")</f>
        <v>N.S.</v>
      </c>
      <c r="AP263" s="4" t="str">
        <f ca="1">IFERROR(INDEX(grupoEstacas[],HC[[#This Row],[nE]],MATCH("coef. Blévot",grupoEstacas[#Headers],0)),"N.S.")</f>
        <v>N.S.</v>
      </c>
      <c r="AQ263" s="35" t="str">
        <f ca="1">IFERROR(HC[[#This Row],[coef. Blévot]]*0.9*INDEX(tipoEstaca[],MATCH($D$2,tipoEstaca[TIPO DE ESTACA],0),MATCH("fcd (kN/cm²)",tipoEstaca[#Headers],0)),"N.S.")</f>
        <v>N.S.</v>
      </c>
      <c r="AR263" s="82" t="str">
        <f ca="1">IF(AND(HC[[#This Row],[cd,b,pil (kN/cm²)]]&lt;=HC[[#This Row],[cd,b,lim (kN/cm²)]],HC[[#This Row],[cd,b,est (kN/cm²)]]&lt;=HC[[#This Row],[cd,b,lim (kN/cm²)]]),"OK","ERRO")</f>
        <v>OK</v>
      </c>
      <c r="AS263" s="4" t="str">
        <f ca="1">As_lado(HC[[#This Row],[nE]],HC[[#This Row],[Nsd (kN)]],HC[[#This Row],[d (cm)]],HC[[#This Row],[e (cm)]],HC[[#This Row],[ap,eq (cm)]])</f>
        <v>N.S.</v>
      </c>
      <c r="AT263" s="4" t="str">
        <f ca="1">IF(HC[[#This Row],[nE]]=1,HC[[#This Row],[As,lado (cm²)]],IF(HC[[#This Row],[nE]]=2,0.075*2*HC[a (cm)],"N.A."))</f>
        <v>N.A.</v>
      </c>
      <c r="AU263" s="4" t="str">
        <f ca="1">IFERROR(IF(HC[[#This Row],[nE]]=1,"N.A.",0.2*HC[[#This Row],[As,lado (cm²)]]),"N.S.")</f>
        <v>N.S.</v>
      </c>
      <c r="AV263" s="4" t="str">
        <f ca="1">As_malha(HC[[#This Row],[nE]],HC[[#This Row],[As,lado (cm²)]],HC[[#This Row],[Nsd (kN)]])</f>
        <v>N.S.</v>
      </c>
      <c r="AW263" s="4" t="str">
        <f ca="1">As_susp_tot(HC[[#This Row],[nE]],HC[[#This Row],[Nsd (kN)]])</f>
        <v>N.S.</v>
      </c>
      <c r="AX263" s="4" t="str">
        <f ca="1">Asp_face(HC[[#This Row],[nE]],HC[[#This Row],[As,lado (cm²)]])</f>
        <v>N.S.</v>
      </c>
      <c r="AY263" s="5" t="str">
        <f ca="1">acoBloco(HC[[#This Row],[nE]],HC[[#This Row],[e (cm)]],HC[[#This Row],[a (cm)]],HC[[#This Row],[h (cm)]],HC[[#This Row],[As,lado (cm²)]],HC[[#This Row],[Asp e Asw (cm²/m)]],HC[[#This Row],[As,sup (cm²)]],HC[[#This Row],[As,malha (cm²)]],HC[[#This Row],[As,susp,tot (cm²)]],HC[[#This Row],[Asp,face (cm²)]])</f>
        <v>N.S.</v>
      </c>
      <c r="AZ263" s="4" t="str">
        <f ca="1">concretoBloco(HC[[#This Row],[nE]],HC[[#This Row],[e (cm)]],HC[[#This Row],[a (cm)]],HC[[#This Row],[h (cm)]])</f>
        <v>N.S.</v>
      </c>
      <c r="BA263" s="5">
        <f ca="1">SUM(HC[[#This Row],[Aço Est (kg)]],HC[[#This Row],[Aço Bloco (kg)]])</f>
        <v>79.903267551402806</v>
      </c>
      <c r="BB263" s="4">
        <f>INDEX(composicoes[],MATCH(95580,composicoes[CÓDIGO],0),MATCH("CUSTO TOTAL",composicoes[#Headers],0))</f>
        <v>10.46</v>
      </c>
      <c r="BC263" s="4">
        <f ca="1">SUM(HC[[#This Row],[Conc Est (m³)]],HC[[#This Row],[Conc Bloco (m³)]])</f>
        <v>22.902210444669596</v>
      </c>
      <c r="BD263" s="4">
        <f>INDEX(composicoes[],MATCH(94966,composicoes[CÓDIGO],0),MATCH("CUSTO TOTAL",composicoes[#Headers],0))</f>
        <v>439.52</v>
      </c>
      <c r="BE263" s="38">
        <f ca="1">HC[[#This Row],[Aço (kg)]]*HC[[#This Row],[Aço (R$/kg)]]+HC[[#This Row],[Conc (m³)]]*HC[[#This Row],[Conc (R$/m³)]]</f>
        <v>10901.767713228855</v>
      </c>
      <c r="BF263" s="4" t="str">
        <f ca="1">IF(COUNTIF(HC[#This Row],"N.S.")&gt;0,"lim.","OK")</f>
        <v>lim.</v>
      </c>
      <c r="BG263" s="4" t="str">
        <f>IF(HC[[#This Row],[Prof. (m)]]&lt;4,"lim.","OK")</f>
        <v>OK</v>
      </c>
      <c r="BH263" s="4" t="str">
        <f>IF(HC[[#This Row],[Prof. (m)]]&gt;=8*HC[[#This Row],[Ø (cm)]]/100,"OK","lim.")</f>
        <v>lim.</v>
      </c>
      <c r="BI263" s="4" t="str">
        <f ca="1">IF(HC[[#This Row],[Verif. Biela]]="OK","OK","lim.")</f>
        <v>OK</v>
      </c>
      <c r="BJ263" s="4" t="str">
        <f ca="1">IF(COUNTA(HC[[#This Row],[Nº Est.]:[Biela comp.]])=COUNTIF(HC[[#This Row],[Nº Est.]:[Biela comp.]],"OK"),"OK","lim.")</f>
        <v>lim.</v>
      </c>
      <c r="BK263" s="4" t="str">
        <f ca="1">IF(HC[[#This Row],[Controle]]="OK",HC[[#This Row],[nE]]&amp;" Ø "&amp;HC[[#This Row],[Ø (cm)]]&amp;" cm, Prof. "&amp;HC[[#This Row],[Prof. (m)]]&amp;" m","")</f>
        <v/>
      </c>
      <c r="BL263" s="4" t="str">
        <f ca="1">IF(HC[[#This Row],[idDimensionamento]]="","",HC[[#This Row],[idPilar]]&amp;HC[[#This Row],[idDimensionamento]])</f>
        <v/>
      </c>
    </row>
    <row r="264" spans="2:64" x14ac:dyDescent="0.25">
      <c r="B264" s="12">
        <f>ROUNDUP((ROW(HC[[#This Row],[idDiâmetro]])-ROW(HC[[#Headers],[idDiâmetro]]))/(COUNT(SPT[Prof. (m)])*COUNT(PILARES[Pilar])),0)</f>
        <v>10</v>
      </c>
      <c r="C264" s="12">
        <f>IF(HC[[#This Row],[idDiâmetro]]&lt;&gt;B263,1,IF(HC[[#This Row],[Prof. (m)]]=0,C263+1,C263))</f>
        <v>1</v>
      </c>
      <c r="D264" s="82">
        <f>IFERROR(IF(D263=MAX(SPT[Prof. (m)]),0,D263+1),0)</f>
        <v>7</v>
      </c>
      <c r="E264" s="82">
        <f>INDEX(SPT[],MATCH(HC[[#This Row],[Prof. (m)]],SPT[Prof. (m)],0),2)</f>
        <v>8</v>
      </c>
      <c r="F264" s="82" t="str">
        <f>INDEX(SPT[],MATCH(HC[[#This Row],[Prof. (m)]],SPT[Prof. (m)],0),3)</f>
        <v>Silte arenoso</v>
      </c>
      <c r="G264" s="82">
        <f>INDEX(estacas[],HC[[#This Row],[idDiâmetro]],MATCH($B$2,estacas[#Headers],0))</f>
        <v>90</v>
      </c>
      <c r="H264" s="82">
        <f>INDEX(estacas[],MATCH(HC[[#This Row],[Ø (cm)]],estacas[Ø HC (cm)],0),MATCH(HC[[#Headers],[Pe HC (kN)]],estacas[#Headers],0))</f>
        <v>4000</v>
      </c>
      <c r="I264" s="4">
        <f>INDEX(K_alpha_C[],MATCH(HC[[#This Row],[Solo]],K_alpha_C[Solo],0),2)</f>
        <v>0.55000000000000004</v>
      </c>
      <c r="J264" s="5">
        <f>INDEX(K_alpha_C[],MATCH(HC[[#This Row],[Solo]],K_alpha_C[Solo],0),3)</f>
        <v>2.2000000000000002</v>
      </c>
      <c r="K264" s="4">
        <f>INDEX(F1_F2[],MATCH($D$2,F1_F2[Tipo de estaca],0),2)</f>
        <v>2</v>
      </c>
      <c r="L264" s="4">
        <f>INDEX(F1_F2[],MATCH($D$2,F1_F2[Tipo de estaca],0),3)</f>
        <v>4</v>
      </c>
      <c r="M264" s="4">
        <f>PI()*(HC[[#This Row],[Ø (cm)]]/100)^2/4</f>
        <v>0.63617251235193317</v>
      </c>
      <c r="N264" s="4">
        <f>PI()*HC[[#This Row],[Ø (cm)]]/100</f>
        <v>2.8274333882308138</v>
      </c>
      <c r="O264" s="4">
        <f>IF(HC[[#This Row],[Prof. (m)]]=0,0,HC[[#This Row],[α (%)]]/100*HC[[#This Row],[K (MPa)]]*1000*HC[[#This Row],[NSPT]])</f>
        <v>96.800000000000011</v>
      </c>
      <c r="P264" s="4">
        <f>IF(HC[[#This Row],[Prof. (m)]]=0,0,(HC[[#This Row],[K (MPa)]]*1000*HC[[#This Row],[NSPT]]/HC[[#This Row],[F1]]*HC[[#This Row],[Ap (m²)]]+HC[[#This Row],[U (m)]]/HC[[#This Row],[F2]]*SUMIFS(HC[(α∙K∙NL∙ΔL)],HC[Prof. (m)],"&lt;="&amp;HC[[#This Row],[Prof. (m)]],HC[idDiâmetro],HC[[#This Row],[idDiâmetro]],HC[idPilar],HC[[#This Row],[idPilar]]))/'DADOS CAP. CARGA'!$D$2)</f>
        <v>1010.4186642016343</v>
      </c>
      <c r="Q264" s="12">
        <f>INDEX(C_alpha_beta[],MATCH(HC[[#This Row],[Solo]],C_alpha_beta[Solo],0),MATCH(HC[[#Headers],[C (kPa)]],C_alpha_beta[#Headers],0))</f>
        <v>250</v>
      </c>
      <c r="R264" s="4">
        <f>INDEX(C_alpha_beta[],MATCH(HC[[#This Row],[Solo]],C_alpha_beta[Solo],0),MATCH(HC[[#Headers],[α ESF]],C_alpha_beta[#Headers],0))</f>
        <v>0.6</v>
      </c>
      <c r="S264" s="4">
        <f>INDEX(C_alpha_beta[],MATCH(HC[[#This Row],[Solo]],C_alpha_beta[Solo],0),MATCH(HC[[#Headers],[β ESF]],C_alpha_beta[#Headers],0))</f>
        <v>0.65</v>
      </c>
      <c r="T264" s="4">
        <f>IF(HC[[#This Row],[Prof. (m)]]=0,0,10*(HC[[#This Row],[NSPT]]/3+1))</f>
        <v>36.666666666666664</v>
      </c>
      <c r="U264" s="4">
        <f>(HC[[#This Row],[α ESF]]*HC[[#This Row],[C (kPa)]]*HC[[#This Row],[NSPT]]*HC[[#This Row],[Ap (m²)]])/'DADOS CAP. CARGA'!$Q$2+(HC[[#This Row],[β ESF]]*SUMIFS(HC[10∙(NL/3+1)],HC[Prof. (m)],"&lt;="&amp;HC[[#This Row],[Prof. (m)]],HC[idDiâmetro],HC[[#This Row],[idDiâmetro]],HC[idPilar],HC[[#This Row],[idPilar]])*HC[[#This Row],[U (m)]])/'DADOS CAP. CARGA'!$S$2</f>
        <v>445.085139197334</v>
      </c>
      <c r="V264" s="4">
        <f>IF(SPT!$M$5=1,MIN(HC[[#This Row],[Pe HC (kN)]],HC[[#This Row],[R_AV (kN)]]),IF(SPT!$M$5=2,MIN(HC[[#This Row],[Pe HC (kN)]],HC[[#This Row],[R_DC (kN)]]),MIN(HC[[#This Row],[Pe HC (kN)]],HC[[#This Row],[R_AV (kN)]],HC[[#This Row],[R_DC (kN)]])))</f>
        <v>445.085139197334</v>
      </c>
      <c r="W264" s="4">
        <f>INDEX(PILARES[],HC[[#This Row],[idPilar]],MATCH("Carga (kN)",PILARES[#Headers],0))*1.4</f>
        <v>3500</v>
      </c>
      <c r="X264" s="12">
        <f>INDEX(PILARES[],HC[[#This Row],[idPilar]],MATCH(HC[[#Headers],[ap (cm)]],PILARES[#Headers],0))</f>
        <v>60</v>
      </c>
      <c r="Y264" s="12">
        <f>INDEX(PILARES[],HC[[#This Row],[idPilar]],MATCH(HC[[#Headers],[bp (cm)]],PILARES[#Headers],0))</f>
        <v>60</v>
      </c>
      <c r="Z264" s="4">
        <f>SQRT(HC[[#This Row],[ap (cm)]]*HC[[#This Row],[bp (cm)]])</f>
        <v>60</v>
      </c>
      <c r="AA264" s="12">
        <f>HC[[#This Row],[ap (cm)]]*HC[[#This Row],[bp (cm)]]</f>
        <v>3600</v>
      </c>
      <c r="AB264" s="12">
        <f ca="1">IF(HC[[#This Row],[Padm∙ε (kN)]]&gt;=HC[[#This Row],[Padm (kN)]],ROUNDUP(1.05*HC[[#This Row],[Nsd (kN)]]/HC[[#This Row],[Padm (kN)]],0),ROUNDUP(1.05*HC[[#This Row],[Nsd (kN)]]/HC[[#This Row],[Padm (kN)]],0)+1)</f>
        <v>9</v>
      </c>
      <c r="AC264" s="4" t="str">
        <f ca="1">IFERROR(IF(HC[[#This Row],[nE]]=1,HC[[#This Row],[Padm (kN)]],HC[[#This Row],[Padm (kN)]]*HC[[#This Row],[nE]]*INDEX(grupoEstacas[],HC[[#This Row],[nE]],MATCH("ε",grupoEstacas[#Headers],0))),"N.S.")</f>
        <v>N.S.</v>
      </c>
      <c r="AD264" s="4">
        <f ca="1">1.05*HC[[#This Row],[Nsd (kN)]]/(HC[[#This Row],[nE]]*PI()*HC[[#This Row],[Ø (cm)]]^2/4)*10</f>
        <v>0.64185944127595651</v>
      </c>
      <c r="AE264" s="4">
        <f ca="1">IF(HC[[#This Row],[σ (MPa)]]&lt;INDEX(tipoEstaca[],MATCH($D$2,tipoEstaca[TIPO DE ESTACA],0),MATCH("σmáx (MPa)",tipoEstaca[#Headers],0)),0.4%*PI()*HC[[#This Row],[Ø (cm)]]^2/4,"N.S.")</f>
        <v>25.446900494077326</v>
      </c>
      <c r="AF264" s="82">
        <f>INDEX(tipoEstaca[],MATCH($D$2,tipoEstaca[TIPO DE ESTACA],0),MATCH(HC[[#Headers],[Comprimento (m)]],tipoEstaca[#Headers],0))</f>
        <v>4</v>
      </c>
      <c r="AG264" s="5">
        <f ca="1">HC[[#This Row],[As,mín (cm²)]]/100^2*HC[[#This Row],[Comprimento (m)]]*7850</f>
        <v>79.903267551402806</v>
      </c>
      <c r="AH264" s="4">
        <f ca="1">HC[[#This Row],[nE]]*HC[[#This Row],[Prof. (m)]]*HC[[#This Row],[Ap (m²)]]</f>
        <v>40.07886827817179</v>
      </c>
      <c r="AI264" s="82">
        <f ca="1">IF(HC[[#This Row],[nE]]=1,0,MAX(3*HC[[#This Row],[Ø (cm)]],60))</f>
        <v>270</v>
      </c>
      <c r="AJ264" s="82">
        <f ca="1">IF(HC[[#This Row],[nE]]=1,HC[[#This Row],[Ø (cm)]]+2*10,MAX(1.5*HC[[#This Row],[Ø (cm)]],HC[[#This Row],[Ø (cm)]]+15))</f>
        <v>135</v>
      </c>
      <c r="AK264" s="82" t="str">
        <f ca="1">alturaUtil(HC[[#This Row],[nE]],HC[[#This Row],[Ø (cm)]],HC[[#This Row],[e (cm)]],HC[[#This Row],[ap,eq (cm)]])</f>
        <v>N.S.</v>
      </c>
      <c r="AL264" s="82" t="str">
        <f ca="1">IFERROR(HC[[#This Row],[d (cm)]]+arredondarParaCimaMultiplo5cm(MAX(5,SQRT(PI())/2*HC[[#This Row],[Ø (cm)]]/5)),"N.S.")</f>
        <v>N.S.</v>
      </c>
      <c r="AM264" s="5" t="str">
        <f ca="1">alpha(HC[[#This Row],[nE]],HC[[#This Row],[d (cm)]],HC[[#This Row],[e (cm)]],HC[[#This Row],[ap,eq (cm)]])</f>
        <v>N.S.</v>
      </c>
      <c r="AN264" s="35" t="str">
        <f ca="1">IFERROR(HC[[#This Row],[Nsd (kN)]]/(HC[[#This Row],[Ap (cm²)]]*SIN(HC[[#This Row],[α]])^2),"N.S.")</f>
        <v>N.S.</v>
      </c>
      <c r="AO264" s="35" t="str">
        <f ca="1">IFERROR(HC[[#This Row],[Nsd (kN)]]/(HC[[#This Row],[nE]]*PI()*HC[[#This Row],[Ø (cm)]]^2/4*SIN(HC[[#This Row],[α]])^2),"N.S.")</f>
        <v>N.S.</v>
      </c>
      <c r="AP264" s="4" t="str">
        <f ca="1">IFERROR(INDEX(grupoEstacas[],HC[[#This Row],[nE]],MATCH("coef. Blévot",grupoEstacas[#Headers],0)),"N.S.")</f>
        <v>N.S.</v>
      </c>
      <c r="AQ264" s="35" t="str">
        <f ca="1">IFERROR(HC[[#This Row],[coef. Blévot]]*0.9*INDEX(tipoEstaca[],MATCH($D$2,tipoEstaca[TIPO DE ESTACA],0),MATCH("fcd (kN/cm²)",tipoEstaca[#Headers],0)),"N.S.")</f>
        <v>N.S.</v>
      </c>
      <c r="AR264" s="82" t="str">
        <f ca="1">IF(AND(HC[[#This Row],[cd,b,pil (kN/cm²)]]&lt;=HC[[#This Row],[cd,b,lim (kN/cm²)]],HC[[#This Row],[cd,b,est (kN/cm²)]]&lt;=HC[[#This Row],[cd,b,lim (kN/cm²)]]),"OK","ERRO")</f>
        <v>OK</v>
      </c>
      <c r="AS264" s="4" t="str">
        <f ca="1">As_lado(HC[[#This Row],[nE]],HC[[#This Row],[Nsd (kN)]],HC[[#This Row],[d (cm)]],HC[[#This Row],[e (cm)]],HC[[#This Row],[ap,eq (cm)]])</f>
        <v>N.S.</v>
      </c>
      <c r="AT264" s="4" t="str">
        <f ca="1">IF(HC[[#This Row],[nE]]=1,HC[[#This Row],[As,lado (cm²)]],IF(HC[[#This Row],[nE]]=2,0.075*2*HC[a (cm)],"N.A."))</f>
        <v>N.A.</v>
      </c>
      <c r="AU264" s="4" t="str">
        <f ca="1">IFERROR(IF(HC[[#This Row],[nE]]=1,"N.A.",0.2*HC[[#This Row],[As,lado (cm²)]]),"N.S.")</f>
        <v>N.S.</v>
      </c>
      <c r="AV264" s="4" t="str">
        <f ca="1">As_malha(HC[[#This Row],[nE]],HC[[#This Row],[As,lado (cm²)]],HC[[#This Row],[Nsd (kN)]])</f>
        <v>N.S.</v>
      </c>
      <c r="AW264" s="4" t="str">
        <f ca="1">As_susp_tot(HC[[#This Row],[nE]],HC[[#This Row],[Nsd (kN)]])</f>
        <v>N.S.</v>
      </c>
      <c r="AX264" s="4" t="str">
        <f ca="1">Asp_face(HC[[#This Row],[nE]],HC[[#This Row],[As,lado (cm²)]])</f>
        <v>N.S.</v>
      </c>
      <c r="AY264" s="5" t="str">
        <f ca="1">acoBloco(HC[[#This Row],[nE]],HC[[#This Row],[e (cm)]],HC[[#This Row],[a (cm)]],HC[[#This Row],[h (cm)]],HC[[#This Row],[As,lado (cm²)]],HC[[#This Row],[Asp e Asw (cm²/m)]],HC[[#This Row],[As,sup (cm²)]],HC[[#This Row],[As,malha (cm²)]],HC[[#This Row],[As,susp,tot (cm²)]],HC[[#This Row],[Asp,face (cm²)]])</f>
        <v>N.S.</v>
      </c>
      <c r="AZ264" s="4" t="str">
        <f ca="1">concretoBloco(HC[[#This Row],[nE]],HC[[#This Row],[e (cm)]],HC[[#This Row],[a (cm)]],HC[[#This Row],[h (cm)]])</f>
        <v>N.S.</v>
      </c>
      <c r="BA264" s="5">
        <f ca="1">SUM(HC[[#This Row],[Aço Est (kg)]],HC[[#This Row],[Aço Bloco (kg)]])</f>
        <v>79.903267551402806</v>
      </c>
      <c r="BB264" s="4">
        <f>INDEX(composicoes[],MATCH(95580,composicoes[CÓDIGO],0),MATCH("CUSTO TOTAL",composicoes[#Headers],0))</f>
        <v>10.46</v>
      </c>
      <c r="BC264" s="4">
        <f ca="1">SUM(HC[[#This Row],[Conc Est (m³)]],HC[[#This Row],[Conc Bloco (m³)]])</f>
        <v>40.07886827817179</v>
      </c>
      <c r="BD264" s="4">
        <f>INDEX(composicoes[],MATCH(94966,composicoes[CÓDIGO],0),MATCH("CUSTO TOTAL",composicoes[#Headers],0))</f>
        <v>439.52</v>
      </c>
      <c r="BE264" s="38">
        <f ca="1">HC[[#This Row],[Aço (kg)]]*HC[[#This Row],[Aço (R$/kg)]]+HC[[#This Row],[Conc (m³)]]*HC[[#This Row],[Conc (R$/m³)]]</f>
        <v>18451.25236420974</v>
      </c>
      <c r="BF264" s="4" t="str">
        <f ca="1">IF(COUNTIF(HC[#This Row],"N.S.")&gt;0,"lim.","OK")</f>
        <v>lim.</v>
      </c>
      <c r="BG264" s="4" t="str">
        <f>IF(HC[[#This Row],[Prof. (m)]]&lt;4,"lim.","OK")</f>
        <v>OK</v>
      </c>
      <c r="BH264" s="4" t="str">
        <f>IF(HC[[#This Row],[Prof. (m)]]&gt;=8*HC[[#This Row],[Ø (cm)]]/100,"OK","lim.")</f>
        <v>lim.</v>
      </c>
      <c r="BI264" s="4" t="str">
        <f ca="1">IF(HC[[#This Row],[Verif. Biela]]="OK","OK","lim.")</f>
        <v>OK</v>
      </c>
      <c r="BJ264" s="4" t="str">
        <f ca="1">IF(COUNTA(HC[[#This Row],[Nº Est.]:[Biela comp.]])=COUNTIF(HC[[#This Row],[Nº Est.]:[Biela comp.]],"OK"),"OK","lim.")</f>
        <v>lim.</v>
      </c>
      <c r="BK264" s="4" t="str">
        <f ca="1">IF(HC[[#This Row],[Controle]]="OK",HC[[#This Row],[nE]]&amp;" Ø "&amp;HC[[#This Row],[Ø (cm)]]&amp;" cm, Prof. "&amp;HC[[#This Row],[Prof. (m)]]&amp;" m","")</f>
        <v/>
      </c>
      <c r="BL264" s="4" t="str">
        <f ca="1">IF(HC[[#This Row],[idDimensionamento]]="","",HC[[#This Row],[idPilar]]&amp;HC[[#This Row],[idDimensionamento]])</f>
        <v/>
      </c>
    </row>
    <row r="265" spans="2:64" x14ac:dyDescent="0.25">
      <c r="B265" s="12">
        <f>ROUNDUP((ROW(HC[[#This Row],[idDiâmetro]])-ROW(HC[[#Headers],[idDiâmetro]]))/(COUNT(SPT[Prof. (m)])*COUNT(PILARES[Pilar])),0)</f>
        <v>10</v>
      </c>
      <c r="C265" s="12">
        <f>IF(HC[[#This Row],[idDiâmetro]]&lt;&gt;B264,1,IF(HC[[#This Row],[Prof. (m)]]=0,C264+1,C264))</f>
        <v>1</v>
      </c>
      <c r="D265" s="82">
        <f>IFERROR(IF(D264=MAX(SPT[Prof. (m)]),0,D264+1),0)</f>
        <v>8</v>
      </c>
      <c r="E265" s="82">
        <f>INDEX(SPT[],MATCH(HC[[#This Row],[Prof. (m)]],SPT[Prof. (m)],0),2)</f>
        <v>10</v>
      </c>
      <c r="F265" s="82" t="str">
        <f>INDEX(SPT[],MATCH(HC[[#This Row],[Prof. (m)]],SPT[Prof. (m)],0),3)</f>
        <v>Silte arenoso</v>
      </c>
      <c r="G265" s="82">
        <f>INDEX(estacas[],HC[[#This Row],[idDiâmetro]],MATCH($B$2,estacas[#Headers],0))</f>
        <v>90</v>
      </c>
      <c r="H265" s="82">
        <f>INDEX(estacas[],MATCH(HC[[#This Row],[Ø (cm)]],estacas[Ø HC (cm)],0),MATCH(HC[[#Headers],[Pe HC (kN)]],estacas[#Headers],0))</f>
        <v>4000</v>
      </c>
      <c r="I265" s="4">
        <f>INDEX(K_alpha_C[],MATCH(HC[[#This Row],[Solo]],K_alpha_C[Solo],0),2)</f>
        <v>0.55000000000000004</v>
      </c>
      <c r="J265" s="5">
        <f>INDEX(K_alpha_C[],MATCH(HC[[#This Row],[Solo]],K_alpha_C[Solo],0),3)</f>
        <v>2.2000000000000002</v>
      </c>
      <c r="K265" s="4">
        <f>INDEX(F1_F2[],MATCH($D$2,F1_F2[Tipo de estaca],0),2)</f>
        <v>2</v>
      </c>
      <c r="L265" s="4">
        <f>INDEX(F1_F2[],MATCH($D$2,F1_F2[Tipo de estaca],0),3)</f>
        <v>4</v>
      </c>
      <c r="M265" s="4">
        <f>PI()*(HC[[#This Row],[Ø (cm)]]/100)^2/4</f>
        <v>0.63617251235193317</v>
      </c>
      <c r="N265" s="4">
        <f>PI()*HC[[#This Row],[Ø (cm)]]/100</f>
        <v>2.8274333882308138</v>
      </c>
      <c r="O265" s="4">
        <f>IF(HC[[#This Row],[Prof. (m)]]=0,0,HC[[#This Row],[α (%)]]/100*HC[[#This Row],[K (MPa)]]*1000*HC[[#This Row],[NSPT]])</f>
        <v>121.00000000000001</v>
      </c>
      <c r="P265" s="4">
        <f>IF(HC[[#This Row],[Prof. (m)]]=0,0,(HC[[#This Row],[K (MPa)]]*1000*HC[[#This Row],[NSPT]]/HC[[#This Row],[F1]]*HC[[#This Row],[Ap (m²)]]+HC[[#This Row],[U (m)]]/HC[[#This Row],[F2]]*SUMIFS(HC[(α∙K∙NL∙ΔL)],HC[Prof. (m)],"&lt;="&amp;HC[[#This Row],[Prof. (m)]],HC[idDiâmetro],HC[[#This Row],[idDiâmetro]],HC[idPilar],HC[[#This Row],[idPilar]]))/'DADOS CAP. CARGA'!$D$2)</f>
        <v>1228.131035095407</v>
      </c>
      <c r="Q265" s="12">
        <f>INDEX(C_alpha_beta[],MATCH(HC[[#This Row],[Solo]],C_alpha_beta[Solo],0),MATCH(HC[[#Headers],[C (kPa)]],C_alpha_beta[#Headers],0))</f>
        <v>250</v>
      </c>
      <c r="R265" s="4">
        <f>INDEX(C_alpha_beta[],MATCH(HC[[#This Row],[Solo]],C_alpha_beta[Solo],0),MATCH(HC[[#Headers],[α ESF]],C_alpha_beta[#Headers],0))</f>
        <v>0.6</v>
      </c>
      <c r="S265" s="4">
        <f>INDEX(C_alpha_beta[],MATCH(HC[[#This Row],[Solo]],C_alpha_beta[Solo],0),MATCH(HC[[#Headers],[β ESF]],C_alpha_beta[#Headers],0))</f>
        <v>0.65</v>
      </c>
      <c r="T265" s="4">
        <f>IF(HC[[#This Row],[Prof. (m)]]=0,0,10*(HC[[#This Row],[NSPT]]/3+1))</f>
        <v>43.333333333333343</v>
      </c>
      <c r="U265" s="4">
        <f>(HC[[#This Row],[α ESF]]*HC[[#This Row],[C (kPa)]]*HC[[#This Row],[NSPT]]*HC[[#This Row],[Ap (m²)]])/'DADOS CAP. CARGA'!$Q$2+(HC[[#This Row],[β ESF]]*SUMIFS(HC[10∙(NL/3+1)],HC[Prof. (m)],"&lt;="&amp;HC[[#This Row],[Prof. (m)]],HC[idDiâmetro],HC[[#This Row],[idDiâmetro]],HC[idPilar],HC[[#This Row],[idPilar]])*HC[[#This Row],[U (m)]])/'DADOS CAP. CARGA'!$S$2</f>
        <v>532.61776450797959</v>
      </c>
      <c r="V265" s="4">
        <f>IF(SPT!$M$5=1,MIN(HC[[#This Row],[Pe HC (kN)]],HC[[#This Row],[R_AV (kN)]]),IF(SPT!$M$5=2,MIN(HC[[#This Row],[Pe HC (kN)]],HC[[#This Row],[R_DC (kN)]]),MIN(HC[[#This Row],[Pe HC (kN)]],HC[[#This Row],[R_AV (kN)]],HC[[#This Row],[R_DC (kN)]])))</f>
        <v>532.61776450797959</v>
      </c>
      <c r="W265" s="4">
        <f>INDEX(PILARES[],HC[[#This Row],[idPilar]],MATCH("Carga (kN)",PILARES[#Headers],0))*1.4</f>
        <v>3500</v>
      </c>
      <c r="X265" s="12">
        <f>INDEX(PILARES[],HC[[#This Row],[idPilar]],MATCH(HC[[#Headers],[ap (cm)]],PILARES[#Headers],0))</f>
        <v>60</v>
      </c>
      <c r="Y265" s="12">
        <f>INDEX(PILARES[],HC[[#This Row],[idPilar]],MATCH(HC[[#Headers],[bp (cm)]],PILARES[#Headers],0))</f>
        <v>60</v>
      </c>
      <c r="Z265" s="4">
        <f>SQRT(HC[[#This Row],[ap (cm)]]*HC[[#This Row],[bp (cm)]])</f>
        <v>60</v>
      </c>
      <c r="AA265" s="12">
        <f>HC[[#This Row],[ap (cm)]]*HC[[#This Row],[bp (cm)]]</f>
        <v>3600</v>
      </c>
      <c r="AB265" s="12">
        <f ca="1">IF(HC[[#This Row],[Padm∙ε (kN)]]&gt;=HC[[#This Row],[Padm (kN)]],ROUNDUP(1.05*HC[[#This Row],[Nsd (kN)]]/HC[[#This Row],[Padm (kN)]],0),ROUNDUP(1.05*HC[[#This Row],[Nsd (kN)]]/HC[[#This Row],[Padm (kN)]],0)+1)</f>
        <v>7</v>
      </c>
      <c r="AC265" s="4" t="str">
        <f ca="1">IFERROR(IF(HC[[#This Row],[nE]]=1,HC[[#This Row],[Padm (kN)]],HC[[#This Row],[Padm (kN)]]*HC[[#This Row],[nE]]*INDEX(grupoEstacas[],HC[[#This Row],[nE]],MATCH("ε",grupoEstacas[#Headers],0))),"N.S.")</f>
        <v>N.S.</v>
      </c>
      <c r="AD265" s="4">
        <f ca="1">1.05*HC[[#This Row],[Nsd (kN)]]/(HC[[#This Row],[nE]]*PI()*HC[[#This Row],[Ø (cm)]]^2/4)*10</f>
        <v>0.82524785306908699</v>
      </c>
      <c r="AE265" s="4">
        <f ca="1">IF(HC[[#This Row],[σ (MPa)]]&lt;INDEX(tipoEstaca[],MATCH($D$2,tipoEstaca[TIPO DE ESTACA],0),MATCH("σmáx (MPa)",tipoEstaca[#Headers],0)),0.4%*PI()*HC[[#This Row],[Ø (cm)]]^2/4,"N.S.")</f>
        <v>25.446900494077326</v>
      </c>
      <c r="AF265" s="82">
        <f>INDEX(tipoEstaca[],MATCH($D$2,tipoEstaca[TIPO DE ESTACA],0),MATCH(HC[[#Headers],[Comprimento (m)]],tipoEstaca[#Headers],0))</f>
        <v>4</v>
      </c>
      <c r="AG265" s="5">
        <f ca="1">HC[[#This Row],[As,mín (cm²)]]/100^2*HC[[#This Row],[Comprimento (m)]]*7850</f>
        <v>79.903267551402806</v>
      </c>
      <c r="AH265" s="4">
        <f ca="1">HC[[#This Row],[nE]]*HC[[#This Row],[Prof. (m)]]*HC[[#This Row],[Ap (m²)]]</f>
        <v>35.625660691708255</v>
      </c>
      <c r="AI265" s="82">
        <f ca="1">IF(HC[[#This Row],[nE]]=1,0,MAX(3*HC[[#This Row],[Ø (cm)]],60))</f>
        <v>270</v>
      </c>
      <c r="AJ265" s="82">
        <f ca="1">IF(HC[[#This Row],[nE]]=1,HC[[#This Row],[Ø (cm)]]+2*10,MAX(1.5*HC[[#This Row],[Ø (cm)]],HC[[#This Row],[Ø (cm)]]+15))</f>
        <v>135</v>
      </c>
      <c r="AK265" s="82" t="str">
        <f ca="1">alturaUtil(HC[[#This Row],[nE]],HC[[#This Row],[Ø (cm)]],HC[[#This Row],[e (cm)]],HC[[#This Row],[ap,eq (cm)]])</f>
        <v>N.S.</v>
      </c>
      <c r="AL265" s="82" t="str">
        <f ca="1">IFERROR(HC[[#This Row],[d (cm)]]+arredondarParaCimaMultiplo5cm(MAX(5,SQRT(PI())/2*HC[[#This Row],[Ø (cm)]]/5)),"N.S.")</f>
        <v>N.S.</v>
      </c>
      <c r="AM265" s="5" t="str">
        <f ca="1">alpha(HC[[#This Row],[nE]],HC[[#This Row],[d (cm)]],HC[[#This Row],[e (cm)]],HC[[#This Row],[ap,eq (cm)]])</f>
        <v>N.S.</v>
      </c>
      <c r="AN265" s="35" t="str">
        <f ca="1">IFERROR(HC[[#This Row],[Nsd (kN)]]/(HC[[#This Row],[Ap (cm²)]]*SIN(HC[[#This Row],[α]])^2),"N.S.")</f>
        <v>N.S.</v>
      </c>
      <c r="AO265" s="35" t="str">
        <f ca="1">IFERROR(HC[[#This Row],[Nsd (kN)]]/(HC[[#This Row],[nE]]*PI()*HC[[#This Row],[Ø (cm)]]^2/4*SIN(HC[[#This Row],[α]])^2),"N.S.")</f>
        <v>N.S.</v>
      </c>
      <c r="AP265" s="4" t="str">
        <f ca="1">IFERROR(INDEX(grupoEstacas[],HC[[#This Row],[nE]],MATCH("coef. Blévot",grupoEstacas[#Headers],0)),"N.S.")</f>
        <v>N.S.</v>
      </c>
      <c r="AQ265" s="35" t="str">
        <f ca="1">IFERROR(HC[[#This Row],[coef. Blévot]]*0.9*INDEX(tipoEstaca[],MATCH($D$2,tipoEstaca[TIPO DE ESTACA],0),MATCH("fcd (kN/cm²)",tipoEstaca[#Headers],0)),"N.S.")</f>
        <v>N.S.</v>
      </c>
      <c r="AR265" s="82" t="str">
        <f ca="1">IF(AND(HC[[#This Row],[cd,b,pil (kN/cm²)]]&lt;=HC[[#This Row],[cd,b,lim (kN/cm²)]],HC[[#This Row],[cd,b,est (kN/cm²)]]&lt;=HC[[#This Row],[cd,b,lim (kN/cm²)]]),"OK","ERRO")</f>
        <v>OK</v>
      </c>
      <c r="AS265" s="4" t="str">
        <f ca="1">As_lado(HC[[#This Row],[nE]],HC[[#This Row],[Nsd (kN)]],HC[[#This Row],[d (cm)]],HC[[#This Row],[e (cm)]],HC[[#This Row],[ap,eq (cm)]])</f>
        <v>N.S.</v>
      </c>
      <c r="AT265" s="4" t="str">
        <f ca="1">IF(HC[[#This Row],[nE]]=1,HC[[#This Row],[As,lado (cm²)]],IF(HC[[#This Row],[nE]]=2,0.075*2*HC[a (cm)],"N.A."))</f>
        <v>N.A.</v>
      </c>
      <c r="AU265" s="4" t="str">
        <f ca="1">IFERROR(IF(HC[[#This Row],[nE]]=1,"N.A.",0.2*HC[[#This Row],[As,lado (cm²)]]),"N.S.")</f>
        <v>N.S.</v>
      </c>
      <c r="AV265" s="4" t="str">
        <f ca="1">As_malha(HC[[#This Row],[nE]],HC[[#This Row],[As,lado (cm²)]],HC[[#This Row],[Nsd (kN)]])</f>
        <v>N.S.</v>
      </c>
      <c r="AW265" s="4" t="str">
        <f ca="1">As_susp_tot(HC[[#This Row],[nE]],HC[[#This Row],[Nsd (kN)]])</f>
        <v>N.S.</v>
      </c>
      <c r="AX265" s="4" t="str">
        <f ca="1">Asp_face(HC[[#This Row],[nE]],HC[[#This Row],[As,lado (cm²)]])</f>
        <v>N.S.</v>
      </c>
      <c r="AY265" s="5" t="str">
        <f ca="1">acoBloco(HC[[#This Row],[nE]],HC[[#This Row],[e (cm)]],HC[[#This Row],[a (cm)]],HC[[#This Row],[h (cm)]],HC[[#This Row],[As,lado (cm²)]],HC[[#This Row],[Asp e Asw (cm²/m)]],HC[[#This Row],[As,sup (cm²)]],HC[[#This Row],[As,malha (cm²)]],HC[[#This Row],[As,susp,tot (cm²)]],HC[[#This Row],[Asp,face (cm²)]])</f>
        <v>N.S.</v>
      </c>
      <c r="AZ265" s="4" t="str">
        <f ca="1">concretoBloco(HC[[#This Row],[nE]],HC[[#This Row],[e (cm)]],HC[[#This Row],[a (cm)]],HC[[#This Row],[h (cm)]])</f>
        <v>N.S.</v>
      </c>
      <c r="BA265" s="5">
        <f ca="1">SUM(HC[[#This Row],[Aço Est (kg)]],HC[[#This Row],[Aço Bloco (kg)]])</f>
        <v>79.903267551402806</v>
      </c>
      <c r="BB265" s="4">
        <f>INDEX(composicoes[],MATCH(95580,composicoes[CÓDIGO],0),MATCH("CUSTO TOTAL",composicoes[#Headers],0))</f>
        <v>10.46</v>
      </c>
      <c r="BC265" s="4">
        <f ca="1">SUM(HC[[#This Row],[Conc Est (m³)]],HC[[#This Row],[Conc Bloco (m³)]])</f>
        <v>35.625660691708255</v>
      </c>
      <c r="BD265" s="4">
        <f>INDEX(composicoes[],MATCH(94966,composicoes[CÓDIGO],0),MATCH("CUSTO TOTAL",composicoes[#Headers],0))</f>
        <v>439.52</v>
      </c>
      <c r="BE265" s="38">
        <f ca="1">HC[[#This Row],[Aço (kg)]]*HC[[#This Row],[Aço (R$/kg)]]+HC[[#This Row],[Conc (m³)]]*HC[[#This Row],[Conc (R$/m³)]]</f>
        <v>16493.978565807283</v>
      </c>
      <c r="BF265" s="4" t="str">
        <f ca="1">IF(COUNTIF(HC[#This Row],"N.S.")&gt;0,"lim.","OK")</f>
        <v>lim.</v>
      </c>
      <c r="BG265" s="4" t="str">
        <f>IF(HC[[#This Row],[Prof. (m)]]&lt;4,"lim.","OK")</f>
        <v>OK</v>
      </c>
      <c r="BH265" s="4" t="str">
        <f>IF(HC[[#This Row],[Prof. (m)]]&gt;=8*HC[[#This Row],[Ø (cm)]]/100,"OK","lim.")</f>
        <v>OK</v>
      </c>
      <c r="BI265" s="4" t="str">
        <f ca="1">IF(HC[[#This Row],[Verif. Biela]]="OK","OK","lim.")</f>
        <v>OK</v>
      </c>
      <c r="BJ265" s="4" t="str">
        <f ca="1">IF(COUNTA(HC[[#This Row],[Nº Est.]:[Biela comp.]])=COUNTIF(HC[[#This Row],[Nº Est.]:[Biela comp.]],"OK"),"OK","lim.")</f>
        <v>lim.</v>
      </c>
      <c r="BK265" s="4" t="str">
        <f ca="1">IF(HC[[#This Row],[Controle]]="OK",HC[[#This Row],[nE]]&amp;" Ø "&amp;HC[[#This Row],[Ø (cm)]]&amp;" cm, Prof. "&amp;HC[[#This Row],[Prof. (m)]]&amp;" m","")</f>
        <v/>
      </c>
      <c r="BL265" s="4" t="str">
        <f ca="1">IF(HC[[#This Row],[idDimensionamento]]="","",HC[[#This Row],[idPilar]]&amp;HC[[#This Row],[idDimensionamento]])</f>
        <v/>
      </c>
    </row>
    <row r="266" spans="2:64" x14ac:dyDescent="0.25">
      <c r="B266" s="12">
        <f>ROUNDUP((ROW(HC[[#This Row],[idDiâmetro]])-ROW(HC[[#Headers],[idDiâmetro]]))/(COUNT(SPT[Prof. (m)])*COUNT(PILARES[Pilar])),0)</f>
        <v>10</v>
      </c>
      <c r="C266" s="12">
        <f>IF(HC[[#This Row],[idDiâmetro]]&lt;&gt;B265,1,IF(HC[[#This Row],[Prof. (m)]]=0,C265+1,C265))</f>
        <v>1</v>
      </c>
      <c r="D266" s="82">
        <f>IFERROR(IF(D265=MAX(SPT[Prof. (m)]),0,D265+1),0)</f>
        <v>9</v>
      </c>
      <c r="E266" s="82">
        <f>INDEX(SPT[],MATCH(HC[[#This Row],[Prof. (m)]],SPT[Prof. (m)],0),2)</f>
        <v>26</v>
      </c>
      <c r="F266" s="82" t="str">
        <f>INDEX(SPT[],MATCH(HC[[#This Row],[Prof. (m)]],SPT[Prof. (m)],0),3)</f>
        <v>Areia siltosa</v>
      </c>
      <c r="G266" s="82">
        <f>INDEX(estacas[],HC[[#This Row],[idDiâmetro]],MATCH($B$2,estacas[#Headers],0))</f>
        <v>90</v>
      </c>
      <c r="H266" s="82">
        <f>INDEX(estacas[],MATCH(HC[[#This Row],[Ø (cm)]],estacas[Ø HC (cm)],0),MATCH(HC[[#Headers],[Pe HC (kN)]],estacas[#Headers],0))</f>
        <v>4000</v>
      </c>
      <c r="I266" s="4">
        <f>INDEX(K_alpha_C[],MATCH(HC[[#This Row],[Solo]],K_alpha_C[Solo],0),2)</f>
        <v>0.8</v>
      </c>
      <c r="J266" s="5">
        <f>INDEX(K_alpha_C[],MATCH(HC[[#This Row],[Solo]],K_alpha_C[Solo],0),3)</f>
        <v>2</v>
      </c>
      <c r="K266" s="4">
        <f>INDEX(F1_F2[],MATCH($D$2,F1_F2[Tipo de estaca],0),2)</f>
        <v>2</v>
      </c>
      <c r="L266" s="4">
        <f>INDEX(F1_F2[],MATCH($D$2,F1_F2[Tipo de estaca],0),3)</f>
        <v>4</v>
      </c>
      <c r="M266" s="4">
        <f>PI()*(HC[[#This Row],[Ø (cm)]]/100)^2/4</f>
        <v>0.63617251235193317</v>
      </c>
      <c r="N266" s="4">
        <f>PI()*HC[[#This Row],[Ø (cm)]]/100</f>
        <v>2.8274333882308138</v>
      </c>
      <c r="O266" s="4">
        <f>IF(HC[[#This Row],[Prof. (m)]]=0,0,HC[[#This Row],[α (%)]]/100*HC[[#This Row],[K (MPa)]]*1000*HC[[#This Row],[NSPT]])</f>
        <v>416</v>
      </c>
      <c r="P266" s="4">
        <f>IF(HC[[#This Row],[Prof. (m)]]=0,0,(HC[[#This Row],[K (MPa)]]*1000*HC[[#This Row],[NSPT]]/HC[[#This Row],[F1]]*HC[[#This Row],[Ap (m²)]]+HC[[#This Row],[U (m)]]/HC[[#This Row],[F2]]*SUMIFS(HC[(α∙K∙NL∙ΔL)],HC[Prof. (m)],"&lt;="&amp;HC[[#This Row],[Prof. (m)]],HC[idDiâmetro],HC[[#This Row],[idDiâmetro]],HC[idPilar],HC[[#This Row],[idPilar]]))/'DADOS CAP. CARGA'!$D$2)</f>
        <v>3808.5174310295538</v>
      </c>
      <c r="Q266" s="12">
        <f>INDEX(C_alpha_beta[],MATCH(HC[[#This Row],[Solo]],C_alpha_beta[Solo],0),MATCH(HC[[#Headers],[C (kPa)]],C_alpha_beta[#Headers],0))</f>
        <v>400</v>
      </c>
      <c r="R266" s="4">
        <f>INDEX(C_alpha_beta[],MATCH(HC[[#This Row],[Solo]],C_alpha_beta[Solo],0),MATCH(HC[[#Headers],[α ESF]],C_alpha_beta[#Headers],0))</f>
        <v>0.5</v>
      </c>
      <c r="S266" s="4">
        <f>INDEX(C_alpha_beta[],MATCH(HC[[#This Row],[Solo]],C_alpha_beta[Solo],0),MATCH(HC[[#Headers],[β ESF]],C_alpha_beta[#Headers],0))</f>
        <v>0.5</v>
      </c>
      <c r="T266" s="4">
        <f>IF(HC[[#This Row],[Prof. (m)]]=0,0,10*(HC[[#This Row],[NSPT]]/3+1))</f>
        <v>96.666666666666657</v>
      </c>
      <c r="U266" s="4">
        <f>(HC[[#This Row],[α ESF]]*HC[[#This Row],[C (kPa)]]*HC[[#This Row],[NSPT]]*HC[[#This Row],[Ap (m²)]])/'DADOS CAP. CARGA'!$Q$2+(HC[[#This Row],[β ESF]]*SUMIFS(HC[10∙(NL/3+1)],HC[Prof. (m)],"&lt;="&amp;HC[[#This Row],[Prof. (m)]],HC[idDiâmetro],HC[[#This Row],[idDiâmetro]],HC[idPilar],HC[[#This Row],[idPilar]])*HC[[#This Row],[U (m)]])/'DADOS CAP. CARGA'!$S$2</f>
        <v>1121.5485773315563</v>
      </c>
      <c r="V266" s="4">
        <f>IF(SPT!$M$5=1,MIN(HC[[#This Row],[Pe HC (kN)]],HC[[#This Row],[R_AV (kN)]]),IF(SPT!$M$5=2,MIN(HC[[#This Row],[Pe HC (kN)]],HC[[#This Row],[R_DC (kN)]]),MIN(HC[[#This Row],[Pe HC (kN)]],HC[[#This Row],[R_AV (kN)]],HC[[#This Row],[R_DC (kN)]])))</f>
        <v>1121.5485773315563</v>
      </c>
      <c r="W266" s="4">
        <f>INDEX(PILARES[],HC[[#This Row],[idPilar]],MATCH("Carga (kN)",PILARES[#Headers],0))*1.4</f>
        <v>3500</v>
      </c>
      <c r="X266" s="12">
        <f>INDEX(PILARES[],HC[[#This Row],[idPilar]],MATCH(HC[[#Headers],[ap (cm)]],PILARES[#Headers],0))</f>
        <v>60</v>
      </c>
      <c r="Y266" s="12">
        <f>INDEX(PILARES[],HC[[#This Row],[idPilar]],MATCH(HC[[#Headers],[bp (cm)]],PILARES[#Headers],0))</f>
        <v>60</v>
      </c>
      <c r="Z266" s="4">
        <f>SQRT(HC[[#This Row],[ap (cm)]]*HC[[#This Row],[bp (cm)]])</f>
        <v>60</v>
      </c>
      <c r="AA266" s="12">
        <f>HC[[#This Row],[ap (cm)]]*HC[[#This Row],[bp (cm)]]</f>
        <v>3600</v>
      </c>
      <c r="AB266" s="12">
        <f ca="1">IF(HC[[#This Row],[Padm∙ε (kN)]]&gt;=HC[[#This Row],[Padm (kN)]],ROUNDUP(1.05*HC[[#This Row],[Nsd (kN)]]/HC[[#This Row],[Padm (kN)]],0),ROUNDUP(1.05*HC[[#This Row],[Nsd (kN)]]/HC[[#This Row],[Padm (kN)]],0)+1)</f>
        <v>4</v>
      </c>
      <c r="AC266" s="4">
        <f ca="1">IFERROR(IF(HC[[#This Row],[nE]]=1,HC[[#This Row],[Padm (kN)]],HC[[#This Row],[Padm (kN)]]*HC[[#This Row],[nE]]*INDEX(grupoEstacas[],HC[[#This Row],[nE]],MATCH("ε",grupoEstacas[#Headers],0))),"N.S.")</f>
        <v>3645.0328763275579</v>
      </c>
      <c r="AD266" s="4">
        <f ca="1">1.05*HC[[#This Row],[Nsd (kN)]]/(HC[[#This Row],[nE]]*PI()*HC[[#This Row],[Ø (cm)]]^2/4)*10</f>
        <v>1.4441837428709023</v>
      </c>
      <c r="AE266" s="4">
        <f ca="1">IF(HC[[#This Row],[σ (MPa)]]&lt;INDEX(tipoEstaca[],MATCH($D$2,tipoEstaca[TIPO DE ESTACA],0),MATCH("σmáx (MPa)",tipoEstaca[#Headers],0)),0.4%*PI()*HC[[#This Row],[Ø (cm)]]^2/4,"N.S.")</f>
        <v>25.446900494077326</v>
      </c>
      <c r="AF266" s="82">
        <f>INDEX(tipoEstaca[],MATCH($D$2,tipoEstaca[TIPO DE ESTACA],0),MATCH(HC[[#Headers],[Comprimento (m)]],tipoEstaca[#Headers],0))</f>
        <v>4</v>
      </c>
      <c r="AG266" s="5">
        <f ca="1">HC[[#This Row],[As,mín (cm²)]]/100^2*HC[[#This Row],[Comprimento (m)]]*7850</f>
        <v>79.903267551402806</v>
      </c>
      <c r="AH266" s="4">
        <f ca="1">HC[[#This Row],[nE]]*HC[[#This Row],[Prof. (m)]]*HC[[#This Row],[Ap (m²)]]</f>
        <v>22.902210444669596</v>
      </c>
      <c r="AI266" s="82">
        <f ca="1">IF(HC[[#This Row],[nE]]=1,0,MAX(3*HC[[#This Row],[Ø (cm)]],60))</f>
        <v>270</v>
      </c>
      <c r="AJ266" s="82">
        <f ca="1">IF(HC[[#This Row],[nE]]=1,HC[[#This Row],[Ø (cm)]]+2*10,MAX(1.5*HC[[#This Row],[Ø (cm)]],HC[[#This Row],[Ø (cm)]]+15))</f>
        <v>135</v>
      </c>
      <c r="AK266" s="82">
        <f ca="1">alturaUtil(HC[[#This Row],[nE]],HC[[#This Row],[Ø (cm)]],HC[[#This Row],[e (cm)]],HC[[#This Row],[ap,eq (cm)]])</f>
        <v>120</v>
      </c>
      <c r="AL266" s="82">
        <f ca="1">IFERROR(HC[[#This Row],[d (cm)]]+arredondarParaCimaMultiplo5cm(MAX(5,SQRT(PI())/2*HC[[#This Row],[Ø (cm)]]/5)),"N.S.")</f>
        <v>140</v>
      </c>
      <c r="AM266" s="5">
        <f ca="1">alpha(HC[[#This Row],[nE]],HC[[#This Row],[d (cm)]],HC[[#This Row],[e (cm)]],HC[[#This Row],[ap,eq (cm)]])</f>
        <v>45</v>
      </c>
      <c r="AN266" s="35">
        <f ca="1">IFERROR(HC[[#This Row],[Nsd (kN)]]/(HC[[#This Row],[Ap (cm²)]]*SIN(HC[[#This Row],[α]])^2),"N.S.")</f>
        <v>1.3427801064714635</v>
      </c>
      <c r="AO266" s="35">
        <f ca="1">IFERROR(HC[[#This Row],[Nsd (kN)]]/(HC[[#This Row],[nE]]*PI()*HC[[#This Row],[Ø (cm)]]^2/4*SIN(HC[[#This Row],[α]])^2),"N.S.")</f>
        <v>0.18996452571590663</v>
      </c>
      <c r="AP266" s="4">
        <f ca="1">IFERROR(INDEX(grupoEstacas[],HC[[#This Row],[nE]],MATCH("coef. Blévot",grupoEstacas[#Headers],0)),"N.S.")</f>
        <v>2.1</v>
      </c>
      <c r="AQ266" s="35">
        <f ca="1">IFERROR(HC[[#This Row],[coef. Blévot]]*0.9*INDEX(tipoEstaca[],MATCH($D$2,tipoEstaca[TIPO DE ESTACA],0),MATCH("fcd (kN/cm²)",tipoEstaca[#Headers],0)),"N.S.")</f>
        <v>2.1</v>
      </c>
      <c r="AR266" s="82" t="str">
        <f ca="1">IF(AND(HC[[#This Row],[cd,b,pil (kN/cm²)]]&lt;=HC[[#This Row],[cd,b,lim (kN/cm²)]],HC[[#This Row],[cd,b,est (kN/cm²)]]&lt;=HC[[#This Row],[cd,b,lim (kN/cm²)]]),"OK","ERRO")</f>
        <v>OK</v>
      </c>
      <c r="AS266" s="4">
        <f ca="1">As_lado(HC[[#This Row],[nE]],HC[[#This Row],[Nsd (kN)]],HC[[#This Row],[d (cm)]],HC[[#This Row],[e (cm)]],HC[[#This Row],[ap,eq (cm)]])</f>
        <v>20.125</v>
      </c>
      <c r="AT266" s="4" t="str">
        <f ca="1">IF(HC[[#This Row],[nE]]=1,HC[[#This Row],[As,lado (cm²)]],IF(HC[[#This Row],[nE]]=2,0.075*2*HC[a (cm)],"N.A."))</f>
        <v>N.A.</v>
      </c>
      <c r="AU266" s="4">
        <f ca="1">IFERROR(IF(HC[[#This Row],[nE]]=1,"N.A.",0.2*HC[[#This Row],[As,lado (cm²)]]),"N.S.")</f>
        <v>4.0250000000000004</v>
      </c>
      <c r="AV266" s="4">
        <f ca="1">As_malha(HC[[#This Row],[nE]],HC[[#This Row],[As,lado (cm²)]],HC[[#This Row],[Nsd (kN)]])</f>
        <v>4.0250000000000004</v>
      </c>
      <c r="AW266" s="4">
        <f ca="1">As_susp_tot(HC[[#This Row],[nE]],HC[[#This Row],[Nsd (kN)]])</f>
        <v>13.416666666666666</v>
      </c>
      <c r="AX266" s="4">
        <f ca="1">Asp_face(HC[[#This Row],[nE]],HC[[#This Row],[As,lado (cm²)]])</f>
        <v>10.0625</v>
      </c>
      <c r="AY266" s="5">
        <f ca="1">acoBloco(HC[[#This Row],[nE]],HC[[#This Row],[e (cm)]],HC[[#This Row],[a (cm)]],HC[[#This Row],[h (cm)]],HC[[#This Row],[As,lado (cm²)]],HC[[#This Row],[Asp e Asw (cm²/m)]],HC[[#This Row],[As,sup (cm²)]],HC[[#This Row],[As,malha (cm²)]],HC[[#This Row],[As,susp,tot (cm²)]],HC[[#This Row],[Asp,face (cm²)]])</f>
        <v>628.97601666666674</v>
      </c>
      <c r="AZ266" s="4">
        <f ca="1">concretoBloco(HC[[#This Row],[nE]],HC[[#This Row],[e (cm)]],HC[[#This Row],[a (cm)]],HC[[#This Row],[h (cm)]])</f>
        <v>40.823999999999998</v>
      </c>
      <c r="BA266" s="5">
        <f ca="1">SUM(HC[[#This Row],[Aço Est (kg)]],HC[[#This Row],[Aço Bloco (kg)]])</f>
        <v>708.87928421806953</v>
      </c>
      <c r="BB266" s="4">
        <f>INDEX(composicoes[],MATCH(95580,composicoes[CÓDIGO],0),MATCH("CUSTO TOTAL",composicoes[#Headers],0))</f>
        <v>10.46</v>
      </c>
      <c r="BC266" s="4">
        <f ca="1">SUM(HC[[#This Row],[Conc Est (m³)]],HC[[#This Row],[Conc Bloco (m³)]])</f>
        <v>63.72621044466959</v>
      </c>
      <c r="BD266" s="4">
        <f>INDEX(composicoes[],MATCH(94966,composicoes[CÓDIGO],0),MATCH("CUSTO TOTAL",composicoes[#Headers],0))</f>
        <v>439.52</v>
      </c>
      <c r="BE266" s="38">
        <f ca="1">HC[[#This Row],[Aço (kg)]]*HC[[#This Row],[Aço (R$/kg)]]+HC[[#This Row],[Conc (m³)]]*HC[[#This Row],[Conc (R$/m³)]]</f>
        <v>35423.821327562182</v>
      </c>
      <c r="BF266" s="4" t="str">
        <f ca="1">IF(COUNTIF(HC[#This Row],"N.S.")&gt;0,"lim.","OK")</f>
        <v>OK</v>
      </c>
      <c r="BG266" s="4" t="str">
        <f>IF(HC[[#This Row],[Prof. (m)]]&lt;4,"lim.","OK")</f>
        <v>OK</v>
      </c>
      <c r="BH266" s="4" t="str">
        <f>IF(HC[[#This Row],[Prof. (m)]]&gt;=8*HC[[#This Row],[Ø (cm)]]/100,"OK","lim.")</f>
        <v>OK</v>
      </c>
      <c r="BI266" s="4" t="str">
        <f ca="1">IF(HC[[#This Row],[Verif. Biela]]="OK","OK","lim.")</f>
        <v>OK</v>
      </c>
      <c r="BJ266" s="4" t="str">
        <f ca="1">IF(COUNTA(HC[[#This Row],[Nº Est.]:[Biela comp.]])=COUNTIF(HC[[#This Row],[Nº Est.]:[Biela comp.]],"OK"),"OK","lim.")</f>
        <v>OK</v>
      </c>
      <c r="BK266" s="4" t="str">
        <f ca="1">IF(HC[[#This Row],[Controle]]="OK",HC[[#This Row],[nE]]&amp;" Ø "&amp;HC[[#This Row],[Ø (cm)]]&amp;" cm, Prof. "&amp;HC[[#This Row],[Prof. (m)]]&amp;" m","")</f>
        <v>4 Ø 90 cm, Prof. 9 m</v>
      </c>
      <c r="BL266" s="4" t="str">
        <f ca="1">IF(HC[[#This Row],[idDimensionamento]]="","",HC[[#This Row],[idPilar]]&amp;HC[[#This Row],[idDimensionamento]])</f>
        <v>14 Ø 90 cm, Prof. 9 m</v>
      </c>
    </row>
    <row r="267" spans="2:64" x14ac:dyDescent="0.25">
      <c r="B267" s="12">
        <f>ROUNDUP((ROW(HC[[#This Row],[idDiâmetro]])-ROW(HC[[#Headers],[idDiâmetro]]))/(COUNT(SPT[Prof. (m)])*COUNT(PILARES[Pilar])),0)</f>
        <v>10</v>
      </c>
      <c r="C267" s="12">
        <f>IF(HC[[#This Row],[idDiâmetro]]&lt;&gt;B266,1,IF(HC[[#This Row],[Prof. (m)]]=0,C266+1,C266))</f>
        <v>1</v>
      </c>
      <c r="D267" s="82">
        <f>IFERROR(IF(D266=MAX(SPT[Prof. (m)]),0,D266+1),0)</f>
        <v>10</v>
      </c>
      <c r="E267" s="82">
        <f>INDEX(SPT[],MATCH(HC[[#This Row],[Prof. (m)]],SPT[Prof. (m)],0),2)</f>
        <v>32</v>
      </c>
      <c r="F267" s="82" t="str">
        <f>INDEX(SPT[],MATCH(HC[[#This Row],[Prof. (m)]],SPT[Prof. (m)],0),3)</f>
        <v>Areia siltosa</v>
      </c>
      <c r="G267" s="82">
        <f>INDEX(estacas[],HC[[#This Row],[idDiâmetro]],MATCH($B$2,estacas[#Headers],0))</f>
        <v>90</v>
      </c>
      <c r="H267" s="82">
        <f>INDEX(estacas[],MATCH(HC[[#This Row],[Ø (cm)]],estacas[Ø HC (cm)],0),MATCH(HC[[#Headers],[Pe HC (kN)]],estacas[#Headers],0))</f>
        <v>4000</v>
      </c>
      <c r="I267" s="4">
        <f>INDEX(K_alpha_C[],MATCH(HC[[#This Row],[Solo]],K_alpha_C[Solo],0),2)</f>
        <v>0.8</v>
      </c>
      <c r="J267" s="5">
        <f>INDEX(K_alpha_C[],MATCH(HC[[#This Row],[Solo]],K_alpha_C[Solo],0),3)</f>
        <v>2</v>
      </c>
      <c r="K267" s="4">
        <f>INDEX(F1_F2[],MATCH($D$2,F1_F2[Tipo de estaca],0),2)</f>
        <v>2</v>
      </c>
      <c r="L267" s="4">
        <f>INDEX(F1_F2[],MATCH($D$2,F1_F2[Tipo de estaca],0),3)</f>
        <v>4</v>
      </c>
      <c r="M267" s="4">
        <f>PI()*(HC[[#This Row],[Ø (cm)]]/100)^2/4</f>
        <v>0.63617251235193317</v>
      </c>
      <c r="N267" s="4">
        <f>PI()*HC[[#This Row],[Ø (cm)]]/100</f>
        <v>2.8274333882308138</v>
      </c>
      <c r="O267" s="4">
        <f>IF(HC[[#This Row],[Prof. (m)]]=0,0,HC[[#This Row],[α (%)]]/100*HC[[#This Row],[K (MPa)]]*1000*HC[[#This Row],[NSPT]])</f>
        <v>512</v>
      </c>
      <c r="P267" s="4">
        <f>IF(HC[[#This Row],[Prof. (m)]]=0,0,(HC[[#This Row],[K (MPa)]]*1000*HC[[#This Row],[NSPT]]/HC[[#This Row],[F1]]*HC[[#This Row],[Ap (m²)]]+HC[[#This Row],[U (m)]]/HC[[#This Row],[F2]]*SUMIFS(HC[(α∙K∙NL∙ΔL)],HC[Prof. (m)],"&lt;="&amp;HC[[#This Row],[Prof. (m)]],HC[idDiâmetro],HC[[#This Row],[idDiâmetro]],HC[idPilar],HC[[#This Row],[idPilar]]))/'DADOS CAP. CARGA'!$D$2)</f>
        <v>4752.8801826986455</v>
      </c>
      <c r="Q267" s="12">
        <f>INDEX(C_alpha_beta[],MATCH(HC[[#This Row],[Solo]],C_alpha_beta[Solo],0),MATCH(HC[[#Headers],[C (kPa)]],C_alpha_beta[#Headers],0))</f>
        <v>400</v>
      </c>
      <c r="R267" s="4">
        <f>INDEX(C_alpha_beta[],MATCH(HC[[#This Row],[Solo]],C_alpha_beta[Solo],0),MATCH(HC[[#Headers],[α ESF]],C_alpha_beta[#Headers],0))</f>
        <v>0.5</v>
      </c>
      <c r="S267" s="4">
        <f>INDEX(C_alpha_beta[],MATCH(HC[[#This Row],[Solo]],C_alpha_beta[Solo],0),MATCH(HC[[#Headers],[β ESF]],C_alpha_beta[#Headers],0))</f>
        <v>0.5</v>
      </c>
      <c r="T267" s="4">
        <f>IF(HC[[#This Row],[Prof. (m)]]=0,0,10*(HC[[#This Row],[NSPT]]/3+1))</f>
        <v>116.66666666666666</v>
      </c>
      <c r="U267" s="4">
        <f>(HC[[#This Row],[α ESF]]*HC[[#This Row],[C (kPa)]]*HC[[#This Row],[NSPT]]*HC[[#This Row],[Ap (m²)]])/'DADOS CAP. CARGA'!$Q$2+(HC[[#This Row],[β ESF]]*SUMIFS(HC[10∙(NL/3+1)],HC[Prof. (m)],"&lt;="&amp;HC[[#This Row],[Prof. (m)]],HC[idDiâmetro],HC[[#This Row],[idDiâmetro]],HC[idPilar],HC[[#This Row],[idPilar]])*HC[[#This Row],[U (m)]])/'DADOS CAP. CARGA'!$S$2</f>
        <v>1394.8671381938682</v>
      </c>
      <c r="V267" s="4">
        <f>IF(SPT!$M$5=1,MIN(HC[[#This Row],[Pe HC (kN)]],HC[[#This Row],[R_AV (kN)]]),IF(SPT!$M$5=2,MIN(HC[[#This Row],[Pe HC (kN)]],HC[[#This Row],[R_DC (kN)]]),MIN(HC[[#This Row],[Pe HC (kN)]],HC[[#This Row],[R_AV (kN)]],HC[[#This Row],[R_DC (kN)]])))</f>
        <v>1394.8671381938682</v>
      </c>
      <c r="W267" s="4">
        <f>INDEX(PILARES[],HC[[#This Row],[idPilar]],MATCH("Carga (kN)",PILARES[#Headers],0))*1.4</f>
        <v>3500</v>
      </c>
      <c r="X267" s="12">
        <f>INDEX(PILARES[],HC[[#This Row],[idPilar]],MATCH(HC[[#Headers],[ap (cm)]],PILARES[#Headers],0))</f>
        <v>60</v>
      </c>
      <c r="Y267" s="12">
        <f>INDEX(PILARES[],HC[[#This Row],[idPilar]],MATCH(HC[[#Headers],[bp (cm)]],PILARES[#Headers],0))</f>
        <v>60</v>
      </c>
      <c r="Z267" s="4">
        <f>SQRT(HC[[#This Row],[ap (cm)]]*HC[[#This Row],[bp (cm)]])</f>
        <v>60</v>
      </c>
      <c r="AA267" s="12">
        <f>HC[[#This Row],[ap (cm)]]*HC[[#This Row],[bp (cm)]]</f>
        <v>3600</v>
      </c>
      <c r="AB267" s="12">
        <f ca="1">IF(HC[[#This Row],[Padm∙ε (kN)]]&gt;=HC[[#This Row],[Padm (kN)]],ROUNDUP(1.05*HC[[#This Row],[Nsd (kN)]]/HC[[#This Row],[Padm (kN)]],0),ROUNDUP(1.05*HC[[#This Row],[Nsd (kN)]]/HC[[#This Row],[Padm (kN)]],0)+1)</f>
        <v>3</v>
      </c>
      <c r="AC267" s="4">
        <f ca="1">IFERROR(IF(HC[[#This Row],[nE]]=1,HC[[#This Row],[Padm (kN)]],HC[[#This Row],[Padm (kN)]]*HC[[#This Row],[nE]]*INDEX(grupoEstacas[],HC[[#This Row],[nE]],MATCH("ε",grupoEstacas[#Headers],0))),"N.S.")</f>
        <v>3661.5262377589038</v>
      </c>
      <c r="AD267" s="4">
        <f ca="1">1.05*HC[[#This Row],[Nsd (kN)]]/(HC[[#This Row],[nE]]*PI()*HC[[#This Row],[Ø (cm)]]^2/4)*10</f>
        <v>1.9255783238278696</v>
      </c>
      <c r="AE267" s="4">
        <f ca="1">IF(HC[[#This Row],[σ (MPa)]]&lt;INDEX(tipoEstaca[],MATCH($D$2,tipoEstaca[TIPO DE ESTACA],0),MATCH("σmáx (MPa)",tipoEstaca[#Headers],0)),0.4%*PI()*HC[[#This Row],[Ø (cm)]]^2/4,"N.S.")</f>
        <v>25.446900494077326</v>
      </c>
      <c r="AF267" s="82">
        <f>INDEX(tipoEstaca[],MATCH($D$2,tipoEstaca[TIPO DE ESTACA],0),MATCH(HC[[#Headers],[Comprimento (m)]],tipoEstaca[#Headers],0))</f>
        <v>4</v>
      </c>
      <c r="AG267" s="5">
        <f ca="1">HC[[#This Row],[As,mín (cm²)]]/100^2*HC[[#This Row],[Comprimento (m)]]*7850</f>
        <v>79.903267551402806</v>
      </c>
      <c r="AH267" s="4">
        <f ca="1">HC[[#This Row],[nE]]*HC[[#This Row],[Prof. (m)]]*HC[[#This Row],[Ap (m²)]]</f>
        <v>19.085175370557995</v>
      </c>
      <c r="AI267" s="82">
        <f ca="1">IF(HC[[#This Row],[nE]]=1,0,MAX(3*HC[[#This Row],[Ø (cm)]],60))</f>
        <v>270</v>
      </c>
      <c r="AJ267" s="82">
        <f ca="1">IF(HC[[#This Row],[nE]]=1,HC[[#This Row],[Ø (cm)]]+2*10,MAX(1.5*HC[[#This Row],[Ø (cm)]],HC[[#This Row],[Ø (cm)]]+15))</f>
        <v>135</v>
      </c>
      <c r="AK267" s="82">
        <f ca="1">alturaUtil(HC[[#This Row],[nE]],HC[[#This Row],[Ø (cm)]],HC[[#This Row],[e (cm)]],HC[[#This Row],[ap,eq (cm)]])</f>
        <v>120</v>
      </c>
      <c r="AL267" s="82">
        <f ca="1">IFERROR(HC[[#This Row],[d (cm)]]+arredondarParaCimaMultiplo5cm(MAX(5,SQRT(PI())/2*HC[[#This Row],[Ø (cm)]]/5)),"N.S.")</f>
        <v>140</v>
      </c>
      <c r="AM267" s="5">
        <f ca="1">alpha(HC[[#This Row],[nE]],HC[[#This Row],[d (cm)]],HC[[#This Row],[e (cm)]],HC[[#This Row],[ap,eq (cm)]])</f>
        <v>45.725224299059249</v>
      </c>
      <c r="AN267" s="35">
        <f ca="1">IFERROR(HC[[#This Row],[Nsd (kN)]]/(HC[[#This Row],[Ap (cm²)]]*SIN(HC[[#This Row],[α]])^2),"N.S.")</f>
        <v>1.0016069122863096</v>
      </c>
      <c r="AO267" s="35">
        <f ca="1">IFERROR(HC[[#This Row],[Nsd (kN)]]/(HC[[#This Row],[nE]]*PI()*HC[[#This Row],[Ø (cm)]]^2/4*SIN(HC[[#This Row],[α]])^2),"N.S.")</f>
        <v>0.18893118948192783</v>
      </c>
      <c r="AP267" s="4">
        <f ca="1">IFERROR(INDEX(grupoEstacas[],HC[[#This Row],[nE]],MATCH("coef. Blévot",grupoEstacas[#Headers],0)),"N.S.")</f>
        <v>1.75</v>
      </c>
      <c r="AQ267" s="35">
        <f ca="1">IFERROR(HC[[#This Row],[coef. Blévot]]*0.9*INDEX(tipoEstaca[],MATCH($D$2,tipoEstaca[TIPO DE ESTACA],0),MATCH("fcd (kN/cm²)",tipoEstaca[#Headers],0)),"N.S.")</f>
        <v>1.75</v>
      </c>
      <c r="AR267" s="82" t="str">
        <f ca="1">IF(AND(HC[[#This Row],[cd,b,pil (kN/cm²)]]&lt;=HC[[#This Row],[cd,b,lim (kN/cm²)]],HC[[#This Row],[cd,b,est (kN/cm²)]]&lt;=HC[[#This Row],[cd,b,lim (kN/cm²)]]),"OK","ERRO")</f>
        <v>OK</v>
      </c>
      <c r="AS267" s="4">
        <f ca="1">As_lado(HC[[#This Row],[nE]],HC[[#This Row],[Nsd (kN)]],HC[[#This Row],[d (cm)]],HC[[#This Row],[e (cm)]],HC[[#This Row],[ap,eq (cm)]])</f>
        <v>17.801165166511755</v>
      </c>
      <c r="AT267" s="4" t="str">
        <f ca="1">IF(HC[[#This Row],[nE]]=1,HC[[#This Row],[As,lado (cm²)]],IF(HC[[#This Row],[nE]]=2,0.075*2*HC[a (cm)],"N.A."))</f>
        <v>N.A.</v>
      </c>
      <c r="AU267" s="4">
        <f ca="1">IFERROR(IF(HC[[#This Row],[nE]]=1,"N.A.",0.2*HC[[#This Row],[As,lado (cm²)]]),"N.S.")</f>
        <v>3.5602330333023513</v>
      </c>
      <c r="AV267" s="4">
        <f ca="1">As_malha(HC[[#This Row],[nE]],HC[[#This Row],[As,lado (cm²)]],HC[[#This Row],[Nsd (kN)]])</f>
        <v>5.9629629629629619</v>
      </c>
      <c r="AW267" s="4">
        <f ca="1">As_susp_tot(HC[[#This Row],[nE]],HC[[#This Row],[Nsd (kN)]])</f>
        <v>17.888888888888886</v>
      </c>
      <c r="AX267" s="4">
        <f ca="1">Asp_face(HC[[#This Row],[nE]],HC[[#This Row],[As,lado (cm²)]])</f>
        <v>6.6754369374419085</v>
      </c>
      <c r="AY267" s="5">
        <f ca="1">acoBloco(HC[[#This Row],[nE]],HC[[#This Row],[e (cm)]],HC[[#This Row],[a (cm)]],HC[[#This Row],[h (cm)]],HC[[#This Row],[As,lado (cm²)]],HC[[#This Row],[Asp e Asw (cm²/m)]],HC[[#This Row],[As,sup (cm²)]],HC[[#This Row],[As,malha (cm²)]],HC[[#This Row],[As,susp,tot (cm²)]],HC[[#This Row],[Asp,face (cm²)]])</f>
        <v>474.94234019720972</v>
      </c>
      <c r="AZ267" s="4">
        <f ca="1">concretoBloco(HC[[#This Row],[nE]],HC[[#This Row],[e (cm)]],HC[[#This Row],[a (cm)]],HC[[#This Row],[h (cm)]])</f>
        <v>28.566982906535969</v>
      </c>
      <c r="BA267" s="5">
        <f ca="1">SUM(HC[[#This Row],[Aço Est (kg)]],HC[[#This Row],[Aço Bloco (kg)]])</f>
        <v>554.84560774861257</v>
      </c>
      <c r="BB267" s="4">
        <f>INDEX(composicoes[],MATCH(95580,composicoes[CÓDIGO],0),MATCH("CUSTO TOTAL",composicoes[#Headers],0))</f>
        <v>10.46</v>
      </c>
      <c r="BC267" s="4">
        <f ca="1">SUM(HC[[#This Row],[Conc Est (m³)]],HC[[#This Row],[Conc Bloco (m³)]])</f>
        <v>47.65215827709396</v>
      </c>
      <c r="BD267" s="4">
        <f>INDEX(composicoes[],MATCH(94966,composicoes[CÓDIGO],0),MATCH("CUSTO TOTAL",composicoes[#Headers],0))</f>
        <v>439.52</v>
      </c>
      <c r="BE267" s="38">
        <f ca="1">HC[[#This Row],[Aço (kg)]]*HC[[#This Row],[Aço (R$/kg)]]+HC[[#This Row],[Conc (m³)]]*HC[[#This Row],[Conc (R$/m³)]]</f>
        <v>26747.761662998822</v>
      </c>
      <c r="BF267" s="4" t="str">
        <f ca="1">IF(COUNTIF(HC[#This Row],"N.S.")&gt;0,"lim.","OK")</f>
        <v>OK</v>
      </c>
      <c r="BG267" s="4" t="str">
        <f>IF(HC[[#This Row],[Prof. (m)]]&lt;4,"lim.","OK")</f>
        <v>OK</v>
      </c>
      <c r="BH267" s="4" t="str">
        <f>IF(HC[[#This Row],[Prof. (m)]]&gt;=8*HC[[#This Row],[Ø (cm)]]/100,"OK","lim.")</f>
        <v>OK</v>
      </c>
      <c r="BI267" s="4" t="str">
        <f ca="1">IF(HC[[#This Row],[Verif. Biela]]="OK","OK","lim.")</f>
        <v>OK</v>
      </c>
      <c r="BJ267" s="4" t="str">
        <f ca="1">IF(COUNTA(HC[[#This Row],[Nº Est.]:[Biela comp.]])=COUNTIF(HC[[#This Row],[Nº Est.]:[Biela comp.]],"OK"),"OK","lim.")</f>
        <v>OK</v>
      </c>
      <c r="BK267" s="4" t="str">
        <f ca="1">IF(HC[[#This Row],[Controle]]="OK",HC[[#This Row],[nE]]&amp;" Ø "&amp;HC[[#This Row],[Ø (cm)]]&amp;" cm, Prof. "&amp;HC[[#This Row],[Prof. (m)]]&amp;" m","")</f>
        <v>3 Ø 90 cm, Prof. 10 m</v>
      </c>
      <c r="BL267" s="4" t="str">
        <f ca="1">IF(HC[[#This Row],[idDimensionamento]]="","",HC[[#This Row],[idPilar]]&amp;HC[[#This Row],[idDimensionamento]])</f>
        <v>13 Ø 90 cm, Prof. 10 m</v>
      </c>
    </row>
    <row r="268" spans="2:64" x14ac:dyDescent="0.25">
      <c r="B268" s="12">
        <f>ROUNDUP((ROW(HC[[#This Row],[idDiâmetro]])-ROW(HC[[#Headers],[idDiâmetro]]))/(COUNT(SPT[Prof. (m)])*COUNT(PILARES[Pilar])),0)</f>
        <v>10</v>
      </c>
      <c r="C268" s="12">
        <f>IF(HC[[#This Row],[idDiâmetro]]&lt;&gt;B267,1,IF(HC[[#This Row],[Prof. (m)]]=0,C267+1,C267))</f>
        <v>1</v>
      </c>
      <c r="D268" s="82">
        <f>IFERROR(IF(D267=MAX(SPT[Prof. (m)]),0,D267+1),0)</f>
        <v>11</v>
      </c>
      <c r="E268" s="82">
        <f>INDEX(SPT[],MATCH(HC[[#This Row],[Prof. (m)]],SPT[Prof. (m)],0),2)</f>
        <v>41</v>
      </c>
      <c r="F268" s="82" t="str">
        <f>INDEX(SPT[],MATCH(HC[[#This Row],[Prof. (m)]],SPT[Prof. (m)],0),3)</f>
        <v>Areia siltosa</v>
      </c>
      <c r="G268" s="82">
        <f>INDEX(estacas[],HC[[#This Row],[idDiâmetro]],MATCH($B$2,estacas[#Headers],0))</f>
        <v>90</v>
      </c>
      <c r="H268" s="82">
        <f>INDEX(estacas[],MATCH(HC[[#This Row],[Ø (cm)]],estacas[Ø HC (cm)],0),MATCH(HC[[#Headers],[Pe HC (kN)]],estacas[#Headers],0))</f>
        <v>4000</v>
      </c>
      <c r="I268" s="4">
        <f>INDEX(K_alpha_C[],MATCH(HC[[#This Row],[Solo]],K_alpha_C[Solo],0),2)</f>
        <v>0.8</v>
      </c>
      <c r="J268" s="5">
        <f>INDEX(K_alpha_C[],MATCH(HC[[#This Row],[Solo]],K_alpha_C[Solo],0),3)</f>
        <v>2</v>
      </c>
      <c r="K268" s="4">
        <f>INDEX(F1_F2[],MATCH($D$2,F1_F2[Tipo de estaca],0),2)</f>
        <v>2</v>
      </c>
      <c r="L268" s="4">
        <f>INDEX(F1_F2[],MATCH($D$2,F1_F2[Tipo de estaca],0),3)</f>
        <v>4</v>
      </c>
      <c r="M268" s="4">
        <f>PI()*(HC[[#This Row],[Ø (cm)]]/100)^2/4</f>
        <v>0.63617251235193317</v>
      </c>
      <c r="N268" s="4">
        <f>PI()*HC[[#This Row],[Ø (cm)]]/100</f>
        <v>2.8274333882308138</v>
      </c>
      <c r="O268" s="4">
        <f>IF(HC[[#This Row],[Prof. (m)]]=0,0,HC[[#This Row],[α (%)]]/100*HC[[#This Row],[K (MPa)]]*1000*HC[[#This Row],[NSPT]])</f>
        <v>656</v>
      </c>
      <c r="P268" s="4">
        <f>IF(HC[[#This Row],[Prof. (m)]]=0,0,(HC[[#This Row],[K (MPa)]]*1000*HC[[#This Row],[NSPT]]/HC[[#This Row],[F1]]*HC[[#This Row],[Ap (m²)]]+HC[[#This Row],[U (m)]]/HC[[#This Row],[F2]]*SUMIFS(HC[(α∙K∙NL∙ΔL)],HC[Prof. (m)],"&lt;="&amp;HC[[#This Row],[Prof. (m)]],HC[idDiâmetro],HC[[#This Row],[idDiâmetro]],HC[idPilar],HC[[#This Row],[idPilar]]))/'DADOS CAP. CARGA'!$D$2)</f>
        <v>6129.8402427670517</v>
      </c>
      <c r="Q268" s="12">
        <f>INDEX(C_alpha_beta[],MATCH(HC[[#This Row],[Solo]],C_alpha_beta[Solo],0),MATCH(HC[[#Headers],[C (kPa)]],C_alpha_beta[#Headers],0))</f>
        <v>400</v>
      </c>
      <c r="R268" s="4">
        <f>INDEX(C_alpha_beta[],MATCH(HC[[#This Row],[Solo]],C_alpha_beta[Solo],0),MATCH(HC[[#Headers],[α ESF]],C_alpha_beta[#Headers],0))</f>
        <v>0.5</v>
      </c>
      <c r="S268" s="4">
        <f>INDEX(C_alpha_beta[],MATCH(HC[[#This Row],[Solo]],C_alpha_beta[Solo],0),MATCH(HC[[#Headers],[β ESF]],C_alpha_beta[#Headers],0))</f>
        <v>0.5</v>
      </c>
      <c r="T268" s="4">
        <f>IF(HC[[#This Row],[Prof. (m)]]=0,0,10*(HC[[#This Row],[NSPT]]/3+1))</f>
        <v>146.66666666666666</v>
      </c>
      <c r="U268" s="4">
        <f>(HC[[#This Row],[α ESF]]*HC[[#This Row],[C (kPa)]]*HC[[#This Row],[NSPT]]*HC[[#This Row],[Ap (m²)]])/'DADOS CAP. CARGA'!$Q$2+(HC[[#This Row],[β ESF]]*SUMIFS(HC[10∙(NL/3+1)],HC[Prof. (m)],"&lt;="&amp;HC[[#This Row],[Prof. (m)]],HC[idDiâmetro],HC[[#This Row],[idDiâmetro]],HC[idPilar],HC[[#This Row],[idPilar]])*HC[[#This Row],[U (m)]])/'DADOS CAP. CARGA'!$S$2</f>
        <v>1784.8173263207011</v>
      </c>
      <c r="V268" s="4">
        <f>IF(SPT!$M$5=1,MIN(HC[[#This Row],[Pe HC (kN)]],HC[[#This Row],[R_AV (kN)]]),IF(SPT!$M$5=2,MIN(HC[[#This Row],[Pe HC (kN)]],HC[[#This Row],[R_DC (kN)]]),MIN(HC[[#This Row],[Pe HC (kN)]],HC[[#This Row],[R_AV (kN)]],HC[[#This Row],[R_DC (kN)]])))</f>
        <v>1784.8173263207011</v>
      </c>
      <c r="W268" s="4">
        <f>INDEX(PILARES[],HC[[#This Row],[idPilar]],MATCH("Carga (kN)",PILARES[#Headers],0))*1.4</f>
        <v>3500</v>
      </c>
      <c r="X268" s="12">
        <f>INDEX(PILARES[],HC[[#This Row],[idPilar]],MATCH(HC[[#Headers],[ap (cm)]],PILARES[#Headers],0))</f>
        <v>60</v>
      </c>
      <c r="Y268" s="12">
        <f>INDEX(PILARES[],HC[[#This Row],[idPilar]],MATCH(HC[[#Headers],[bp (cm)]],PILARES[#Headers],0))</f>
        <v>60</v>
      </c>
      <c r="Z268" s="4">
        <f>SQRT(HC[[#This Row],[ap (cm)]]*HC[[#This Row],[bp (cm)]])</f>
        <v>60</v>
      </c>
      <c r="AA268" s="12">
        <f>HC[[#This Row],[ap (cm)]]*HC[[#This Row],[bp (cm)]]</f>
        <v>3600</v>
      </c>
      <c r="AB268" s="12">
        <f ca="1">IF(HC[[#This Row],[Padm∙ε (kN)]]&gt;=HC[[#This Row],[Padm (kN)]],ROUNDUP(1.05*HC[[#This Row],[Nsd (kN)]]/HC[[#This Row],[Padm (kN)]],0),ROUNDUP(1.05*HC[[#This Row],[Nsd (kN)]]/HC[[#This Row],[Padm (kN)]],0)+1)</f>
        <v>3</v>
      </c>
      <c r="AC268" s="4">
        <f ca="1">IFERROR(IF(HC[[#This Row],[nE]]=1,HC[[#This Row],[Padm (kN)]],HC[[#This Row],[Padm (kN)]]*HC[[#This Row],[nE]]*INDEX(grupoEstacas[],HC[[#This Row],[nE]],MATCH("ε",grupoEstacas[#Headers],0))),"N.S.")</f>
        <v>4685.1454815918405</v>
      </c>
      <c r="AD268" s="4">
        <f ca="1">1.05*HC[[#This Row],[Nsd (kN)]]/(HC[[#This Row],[nE]]*PI()*HC[[#This Row],[Ø (cm)]]^2/4)*10</f>
        <v>1.9255783238278696</v>
      </c>
      <c r="AE268" s="4">
        <f ca="1">IF(HC[[#This Row],[σ (MPa)]]&lt;INDEX(tipoEstaca[],MATCH($D$2,tipoEstaca[TIPO DE ESTACA],0),MATCH("σmáx (MPa)",tipoEstaca[#Headers],0)),0.4%*PI()*HC[[#This Row],[Ø (cm)]]^2/4,"N.S.")</f>
        <v>25.446900494077326</v>
      </c>
      <c r="AF268" s="82">
        <f>INDEX(tipoEstaca[],MATCH($D$2,tipoEstaca[TIPO DE ESTACA],0),MATCH(HC[[#Headers],[Comprimento (m)]],tipoEstaca[#Headers],0))</f>
        <v>4</v>
      </c>
      <c r="AG268" s="5">
        <f ca="1">HC[[#This Row],[As,mín (cm²)]]/100^2*HC[[#This Row],[Comprimento (m)]]*7850</f>
        <v>79.903267551402806</v>
      </c>
      <c r="AH268" s="4">
        <f ca="1">HC[[#This Row],[nE]]*HC[[#This Row],[Prof. (m)]]*HC[[#This Row],[Ap (m²)]]</f>
        <v>20.993692907613795</v>
      </c>
      <c r="AI268" s="82">
        <f ca="1">IF(HC[[#This Row],[nE]]=1,0,MAX(3*HC[[#This Row],[Ø (cm)]],60))</f>
        <v>270</v>
      </c>
      <c r="AJ268" s="82">
        <f ca="1">IF(HC[[#This Row],[nE]]=1,HC[[#This Row],[Ø (cm)]]+2*10,MAX(1.5*HC[[#This Row],[Ø (cm)]],HC[[#This Row],[Ø (cm)]]+15))</f>
        <v>135</v>
      </c>
      <c r="AK268" s="82">
        <f ca="1">alturaUtil(HC[[#This Row],[nE]],HC[[#This Row],[Ø (cm)]],HC[[#This Row],[e (cm)]],HC[[#This Row],[ap,eq (cm)]])</f>
        <v>120</v>
      </c>
      <c r="AL268" s="82">
        <f ca="1">IFERROR(HC[[#This Row],[d (cm)]]+arredondarParaCimaMultiplo5cm(MAX(5,SQRT(PI())/2*HC[[#This Row],[Ø (cm)]]/5)),"N.S.")</f>
        <v>140</v>
      </c>
      <c r="AM268" s="5">
        <f ca="1">alpha(HC[[#This Row],[nE]],HC[[#This Row],[d (cm)]],HC[[#This Row],[e (cm)]],HC[[#This Row],[ap,eq (cm)]])</f>
        <v>45.725224299059249</v>
      </c>
      <c r="AN268" s="35">
        <f ca="1">IFERROR(HC[[#This Row],[Nsd (kN)]]/(HC[[#This Row],[Ap (cm²)]]*SIN(HC[[#This Row],[α]])^2),"N.S.")</f>
        <v>1.0016069122863096</v>
      </c>
      <c r="AO268" s="35">
        <f ca="1">IFERROR(HC[[#This Row],[Nsd (kN)]]/(HC[[#This Row],[nE]]*PI()*HC[[#This Row],[Ø (cm)]]^2/4*SIN(HC[[#This Row],[α]])^2),"N.S.")</f>
        <v>0.18893118948192783</v>
      </c>
      <c r="AP268" s="4">
        <f ca="1">IFERROR(INDEX(grupoEstacas[],HC[[#This Row],[nE]],MATCH("coef. Blévot",grupoEstacas[#Headers],0)),"N.S.")</f>
        <v>1.75</v>
      </c>
      <c r="AQ268" s="35">
        <f ca="1">IFERROR(HC[[#This Row],[coef. Blévot]]*0.9*INDEX(tipoEstaca[],MATCH($D$2,tipoEstaca[TIPO DE ESTACA],0),MATCH("fcd (kN/cm²)",tipoEstaca[#Headers],0)),"N.S.")</f>
        <v>1.75</v>
      </c>
      <c r="AR268" s="82" t="str">
        <f ca="1">IF(AND(HC[[#This Row],[cd,b,pil (kN/cm²)]]&lt;=HC[[#This Row],[cd,b,lim (kN/cm²)]],HC[[#This Row],[cd,b,est (kN/cm²)]]&lt;=HC[[#This Row],[cd,b,lim (kN/cm²)]]),"OK","ERRO")</f>
        <v>OK</v>
      </c>
      <c r="AS268" s="4">
        <f ca="1">As_lado(HC[[#This Row],[nE]],HC[[#This Row],[Nsd (kN)]],HC[[#This Row],[d (cm)]],HC[[#This Row],[e (cm)]],HC[[#This Row],[ap,eq (cm)]])</f>
        <v>17.801165166511755</v>
      </c>
      <c r="AT268" s="4" t="str">
        <f ca="1">IF(HC[[#This Row],[nE]]=1,HC[[#This Row],[As,lado (cm²)]],IF(HC[[#This Row],[nE]]=2,0.075*2*HC[a (cm)],"N.A."))</f>
        <v>N.A.</v>
      </c>
      <c r="AU268" s="4">
        <f ca="1">IFERROR(IF(HC[[#This Row],[nE]]=1,"N.A.",0.2*HC[[#This Row],[As,lado (cm²)]]),"N.S.")</f>
        <v>3.5602330333023513</v>
      </c>
      <c r="AV268" s="4">
        <f ca="1">As_malha(HC[[#This Row],[nE]],HC[[#This Row],[As,lado (cm²)]],HC[[#This Row],[Nsd (kN)]])</f>
        <v>5.9629629629629619</v>
      </c>
      <c r="AW268" s="4">
        <f ca="1">As_susp_tot(HC[[#This Row],[nE]],HC[[#This Row],[Nsd (kN)]])</f>
        <v>17.888888888888886</v>
      </c>
      <c r="AX268" s="4">
        <f ca="1">Asp_face(HC[[#This Row],[nE]],HC[[#This Row],[As,lado (cm²)]])</f>
        <v>6.6754369374419085</v>
      </c>
      <c r="AY268" s="5">
        <f ca="1">acoBloco(HC[[#This Row],[nE]],HC[[#This Row],[e (cm)]],HC[[#This Row],[a (cm)]],HC[[#This Row],[h (cm)]],HC[[#This Row],[As,lado (cm²)]],HC[[#This Row],[Asp e Asw (cm²/m)]],HC[[#This Row],[As,sup (cm²)]],HC[[#This Row],[As,malha (cm²)]],HC[[#This Row],[As,susp,tot (cm²)]],HC[[#This Row],[Asp,face (cm²)]])</f>
        <v>474.94234019720972</v>
      </c>
      <c r="AZ268" s="4">
        <f ca="1">concretoBloco(HC[[#This Row],[nE]],HC[[#This Row],[e (cm)]],HC[[#This Row],[a (cm)]],HC[[#This Row],[h (cm)]])</f>
        <v>28.566982906535969</v>
      </c>
      <c r="BA268" s="5">
        <f ca="1">SUM(HC[[#This Row],[Aço Est (kg)]],HC[[#This Row],[Aço Bloco (kg)]])</f>
        <v>554.84560774861257</v>
      </c>
      <c r="BB268" s="4">
        <f>INDEX(composicoes[],MATCH(95580,composicoes[CÓDIGO],0),MATCH("CUSTO TOTAL",composicoes[#Headers],0))</f>
        <v>10.46</v>
      </c>
      <c r="BC268" s="4">
        <f ca="1">SUM(HC[[#This Row],[Conc Est (m³)]],HC[[#This Row],[Conc Bloco (m³)]])</f>
        <v>49.560675814149761</v>
      </c>
      <c r="BD268" s="4">
        <f>INDEX(composicoes[],MATCH(94966,composicoes[CÓDIGO],0),MATCH("CUSTO TOTAL",composicoes[#Headers],0))</f>
        <v>439.52</v>
      </c>
      <c r="BE268" s="38">
        <f ca="1">HC[[#This Row],[Aço (kg)]]*HC[[#This Row],[Aço (R$/kg)]]+HC[[#This Row],[Conc (m³)]]*HC[[#This Row],[Conc (R$/m³)]]</f>
        <v>27586.59329088559</v>
      </c>
      <c r="BF268" s="4" t="str">
        <f ca="1">IF(COUNTIF(HC[#This Row],"N.S.")&gt;0,"lim.","OK")</f>
        <v>OK</v>
      </c>
      <c r="BG268" s="4" t="str">
        <f>IF(HC[[#This Row],[Prof. (m)]]&lt;4,"lim.","OK")</f>
        <v>OK</v>
      </c>
      <c r="BH268" s="4" t="str">
        <f>IF(HC[[#This Row],[Prof. (m)]]&gt;=8*HC[[#This Row],[Ø (cm)]]/100,"OK","lim.")</f>
        <v>OK</v>
      </c>
      <c r="BI268" s="4" t="str">
        <f ca="1">IF(HC[[#This Row],[Verif. Biela]]="OK","OK","lim.")</f>
        <v>OK</v>
      </c>
      <c r="BJ268" s="4" t="str">
        <f ca="1">IF(COUNTA(HC[[#This Row],[Nº Est.]:[Biela comp.]])=COUNTIF(HC[[#This Row],[Nº Est.]:[Biela comp.]],"OK"),"OK","lim.")</f>
        <v>OK</v>
      </c>
      <c r="BK268" s="4" t="str">
        <f ca="1">IF(HC[[#This Row],[Controle]]="OK",HC[[#This Row],[nE]]&amp;" Ø "&amp;HC[[#This Row],[Ø (cm)]]&amp;" cm, Prof. "&amp;HC[[#This Row],[Prof. (m)]]&amp;" m","")</f>
        <v>3 Ø 90 cm, Prof. 11 m</v>
      </c>
      <c r="BL268" s="4" t="str">
        <f ca="1">IF(HC[[#This Row],[idDimensionamento]]="","",HC[[#This Row],[idPilar]]&amp;HC[[#This Row],[idDimensionamento]])</f>
        <v>13 Ø 90 cm, Prof. 11 m</v>
      </c>
    </row>
    <row r="269" spans="2:64" x14ac:dyDescent="0.25">
      <c r="B269" s="12">
        <f>ROUNDUP((ROW(HC[[#This Row],[idDiâmetro]])-ROW(HC[[#Headers],[idDiâmetro]]))/(COUNT(SPT[Prof. (m)])*COUNT(PILARES[Pilar])),0)</f>
        <v>10</v>
      </c>
      <c r="C269" s="12">
        <f>IF(HC[[#This Row],[idDiâmetro]]&lt;&gt;B268,1,IF(HC[[#This Row],[Prof. (m)]]=0,C268+1,C268))</f>
        <v>1</v>
      </c>
      <c r="D269" s="82">
        <f>IFERROR(IF(D268=MAX(SPT[Prof. (m)]),0,D268+1),0)</f>
        <v>12</v>
      </c>
      <c r="E269" s="82">
        <f>INDEX(SPT[],MATCH(HC[[#This Row],[Prof. (m)]],SPT[Prof. (m)],0),2)</f>
        <v>52</v>
      </c>
      <c r="F269" s="82" t="str">
        <f>INDEX(SPT[],MATCH(HC[[#This Row],[Prof. (m)]],SPT[Prof. (m)],0),3)</f>
        <v>Areia siltosa</v>
      </c>
      <c r="G269" s="82">
        <f>INDEX(estacas[],HC[[#This Row],[idDiâmetro]],MATCH($B$2,estacas[#Headers],0))</f>
        <v>90</v>
      </c>
      <c r="H269" s="82">
        <f>INDEX(estacas[],MATCH(HC[[#This Row],[Ø (cm)]],estacas[Ø HC (cm)],0),MATCH(HC[[#Headers],[Pe HC (kN)]],estacas[#Headers],0))</f>
        <v>4000</v>
      </c>
      <c r="I269" s="4">
        <f>INDEX(K_alpha_C[],MATCH(HC[[#This Row],[Solo]],K_alpha_C[Solo],0),2)</f>
        <v>0.8</v>
      </c>
      <c r="J269" s="5">
        <f>INDEX(K_alpha_C[],MATCH(HC[[#This Row],[Solo]],K_alpha_C[Solo],0),3)</f>
        <v>2</v>
      </c>
      <c r="K269" s="4">
        <f>INDEX(F1_F2[],MATCH($D$2,F1_F2[Tipo de estaca],0),2)</f>
        <v>2</v>
      </c>
      <c r="L269" s="4">
        <f>INDEX(F1_F2[],MATCH($D$2,F1_F2[Tipo de estaca],0),3)</f>
        <v>4</v>
      </c>
      <c r="M269" s="4">
        <f>PI()*(HC[[#This Row],[Ø (cm)]]/100)^2/4</f>
        <v>0.63617251235193317</v>
      </c>
      <c r="N269" s="4">
        <f>PI()*HC[[#This Row],[Ø (cm)]]/100</f>
        <v>2.8274333882308138</v>
      </c>
      <c r="O269" s="4">
        <f>IF(HC[[#This Row],[Prof. (m)]]=0,0,HC[[#This Row],[α (%)]]/100*HC[[#This Row],[K (MPa)]]*1000*HC[[#This Row],[NSPT]])</f>
        <v>832</v>
      </c>
      <c r="P269" s="4">
        <f>IF(HC[[#This Row],[Prof. (m)]]=0,0,(HC[[#This Row],[K (MPa)]]*1000*HC[[#This Row],[NSPT]]/HC[[#This Row],[F1]]*HC[[#This Row],[Ap (m²)]]+HC[[#This Row],[U (m)]]/HC[[#This Row],[F2]]*SUMIFS(HC[(α∙K∙NL∙ΔL)],HC[Prof. (m)],"&lt;="&amp;HC[[#This Row],[Prof. (m)]],HC[idDiâmetro],HC[[#This Row],[idDiâmetro]],HC[idPilar],HC[[#This Row],[idPilar]]))/'DADOS CAP. CARGA'!$D$2)</f>
        <v>7823.4728423173101</v>
      </c>
      <c r="Q269" s="12">
        <f>INDEX(C_alpha_beta[],MATCH(HC[[#This Row],[Solo]],C_alpha_beta[Solo],0),MATCH(HC[[#Headers],[C (kPa)]],C_alpha_beta[#Headers],0))</f>
        <v>400</v>
      </c>
      <c r="R269" s="4">
        <f>INDEX(C_alpha_beta[],MATCH(HC[[#This Row],[Solo]],C_alpha_beta[Solo],0),MATCH(HC[[#Headers],[α ESF]],C_alpha_beta[#Headers],0))</f>
        <v>0.5</v>
      </c>
      <c r="S269" s="4">
        <f>INDEX(C_alpha_beta[],MATCH(HC[[#This Row],[Solo]],C_alpha_beta[Solo],0),MATCH(HC[[#Headers],[β ESF]],C_alpha_beta[#Headers],0))</f>
        <v>0.5</v>
      </c>
      <c r="T269" s="4">
        <f>IF(HC[[#This Row],[Prof. (m)]]=0,0,10*(HC[[#This Row],[NSPT]]/3+1))</f>
        <v>183.33333333333331</v>
      </c>
      <c r="U269" s="4">
        <f>(HC[[#This Row],[α ESF]]*HC[[#This Row],[C (kPa)]]*HC[[#This Row],[NSPT]]*HC[[#This Row],[Ap (m²)]])/'DADOS CAP. CARGA'!$Q$2+(HC[[#This Row],[β ESF]]*SUMIFS(HC[10∙(NL/3+1)],HC[Prof. (m)],"&lt;="&amp;HC[[#This Row],[Prof. (m)]],HC[idDiâmetro],HC[[#This Row],[idDiâmetro]],HC[idPilar],HC[[#This Row],[idPilar]])*HC[[#This Row],[U (m)]])/'DADOS CAP. CARGA'!$S$2</f>
        <v>2264.3029050748437</v>
      </c>
      <c r="V269" s="4">
        <f>IF(SPT!$M$5=1,MIN(HC[[#This Row],[Pe HC (kN)]],HC[[#This Row],[R_AV (kN)]]),IF(SPT!$M$5=2,MIN(HC[[#This Row],[Pe HC (kN)]],HC[[#This Row],[R_DC (kN)]]),MIN(HC[[#This Row],[Pe HC (kN)]],HC[[#This Row],[R_AV (kN)]],HC[[#This Row],[R_DC (kN)]])))</f>
        <v>2264.3029050748437</v>
      </c>
      <c r="W269" s="4">
        <f>INDEX(PILARES[],HC[[#This Row],[idPilar]],MATCH("Carga (kN)",PILARES[#Headers],0))*1.4</f>
        <v>3500</v>
      </c>
      <c r="X269" s="12">
        <f>INDEX(PILARES[],HC[[#This Row],[idPilar]],MATCH(HC[[#Headers],[ap (cm)]],PILARES[#Headers],0))</f>
        <v>60</v>
      </c>
      <c r="Y269" s="12">
        <f>INDEX(PILARES[],HC[[#This Row],[idPilar]],MATCH(HC[[#Headers],[bp (cm)]],PILARES[#Headers],0))</f>
        <v>60</v>
      </c>
      <c r="Z269" s="4">
        <f>SQRT(HC[[#This Row],[ap (cm)]]*HC[[#This Row],[bp (cm)]])</f>
        <v>60</v>
      </c>
      <c r="AA269" s="12">
        <f>HC[[#This Row],[ap (cm)]]*HC[[#This Row],[bp (cm)]]</f>
        <v>3600</v>
      </c>
      <c r="AB269" s="12">
        <f ca="1">IF(HC[[#This Row],[Padm∙ε (kN)]]&gt;=HC[[#This Row],[Padm (kN)]],ROUNDUP(1.05*HC[[#This Row],[Nsd (kN)]]/HC[[#This Row],[Padm (kN)]],0),ROUNDUP(1.05*HC[[#This Row],[Nsd (kN)]]/HC[[#This Row],[Padm (kN)]],0)+1)</f>
        <v>2</v>
      </c>
      <c r="AC269" s="4">
        <f ca="1">IFERROR(IF(HC[[#This Row],[nE]]=1,HC[[#This Row],[Padm (kN)]],HC[[#This Row],[Padm (kN)]]*HC[[#This Row],[nE]]*INDEX(grupoEstacas[],HC[[#This Row],[nE]],MATCH("ε",grupoEstacas[#Headers],0))),"N.S.")</f>
        <v>4245.5679470153318</v>
      </c>
      <c r="AD269" s="4">
        <f ca="1">1.05*HC[[#This Row],[Nsd (kN)]]/(HC[[#This Row],[nE]]*PI()*HC[[#This Row],[Ø (cm)]]^2/4)*10</f>
        <v>2.8883674857418047</v>
      </c>
      <c r="AE269" s="4">
        <f ca="1">IF(HC[[#This Row],[σ (MPa)]]&lt;INDEX(tipoEstaca[],MATCH($D$2,tipoEstaca[TIPO DE ESTACA],0),MATCH("σmáx (MPa)",tipoEstaca[#Headers],0)),0.4%*PI()*HC[[#This Row],[Ø (cm)]]^2/4,"N.S.")</f>
        <v>25.446900494077326</v>
      </c>
      <c r="AF269" s="82">
        <f>INDEX(tipoEstaca[],MATCH($D$2,tipoEstaca[TIPO DE ESTACA],0),MATCH(HC[[#Headers],[Comprimento (m)]],tipoEstaca[#Headers],0))</f>
        <v>4</v>
      </c>
      <c r="AG269" s="5">
        <f ca="1">HC[[#This Row],[As,mín (cm²)]]/100^2*HC[[#This Row],[Comprimento (m)]]*7850</f>
        <v>79.903267551402806</v>
      </c>
      <c r="AH269" s="4">
        <f ca="1">HC[[#This Row],[nE]]*HC[[#This Row],[Prof. (m)]]*HC[[#This Row],[Ap (m²)]]</f>
        <v>15.268140296446397</v>
      </c>
      <c r="AI269" s="82">
        <f ca="1">IF(HC[[#This Row],[nE]]=1,0,MAX(3*HC[[#This Row],[Ø (cm)]],60))</f>
        <v>270</v>
      </c>
      <c r="AJ269" s="82">
        <f ca="1">IF(HC[[#This Row],[nE]]=1,HC[[#This Row],[Ø (cm)]]+2*10,MAX(1.5*HC[[#This Row],[Ø (cm)]],HC[[#This Row],[Ø (cm)]]+15))</f>
        <v>135</v>
      </c>
      <c r="AK269" s="82">
        <f ca="1">alturaUtil(HC[[#This Row],[nE]],HC[[#This Row],[Ø (cm)]],HC[[#This Row],[e (cm)]],HC[[#This Row],[ap,eq (cm)]])</f>
        <v>120</v>
      </c>
      <c r="AL269" s="82">
        <f ca="1">IFERROR(HC[[#This Row],[d (cm)]]+arredondarParaCimaMultiplo5cm(MAX(5,SQRT(PI())/2*HC[[#This Row],[Ø (cm)]]/5)),"N.S.")</f>
        <v>140</v>
      </c>
      <c r="AM269" s="5">
        <f ca="1">alpha(HC[[#This Row],[nE]],HC[[#This Row],[d (cm)]],HC[[#This Row],[e (cm)]],HC[[#This Row],[ap,eq (cm)]])</f>
        <v>45</v>
      </c>
      <c r="AN269" s="35">
        <f ca="1">IFERROR(HC[[#This Row],[Nsd (kN)]]/(HC[[#This Row],[Ap (cm²)]]*SIN(HC[[#This Row],[α]])^2),"N.S.")</f>
        <v>1.3427801064714635</v>
      </c>
      <c r="AO269" s="35">
        <f ca="1">IFERROR(HC[[#This Row],[Nsd (kN)]]/(HC[[#This Row],[nE]]*PI()*HC[[#This Row],[Ø (cm)]]^2/4*SIN(HC[[#This Row],[α]])^2),"N.S.")</f>
        <v>0.37992905143181327</v>
      </c>
      <c r="AP269" s="4">
        <f ca="1">IFERROR(INDEX(grupoEstacas[],HC[[#This Row],[nE]],MATCH("coef. Blévot",grupoEstacas[#Headers],0)),"N.S.")</f>
        <v>1.4</v>
      </c>
      <c r="AQ269" s="35">
        <f ca="1">IFERROR(HC[[#This Row],[coef. Blévot]]*0.9*INDEX(tipoEstaca[],MATCH($D$2,tipoEstaca[TIPO DE ESTACA],0),MATCH("fcd (kN/cm²)",tipoEstaca[#Headers],0)),"N.S.")</f>
        <v>1.4000000000000001</v>
      </c>
      <c r="AR269" s="82" t="str">
        <f ca="1">IF(AND(HC[[#This Row],[cd,b,pil (kN/cm²)]]&lt;=HC[[#This Row],[cd,b,lim (kN/cm²)]],HC[[#This Row],[cd,b,est (kN/cm²)]]&lt;=HC[[#This Row],[cd,b,lim (kN/cm²)]]),"OK","ERRO")</f>
        <v>OK</v>
      </c>
      <c r="AS269" s="4">
        <f ca="1">As_lado(HC[[#This Row],[nE]],HC[[#This Row],[Nsd (kN)]],HC[[#This Row],[d (cm)]],HC[[#This Row],[e (cm)]],HC[[#This Row],[ap,eq (cm)]])</f>
        <v>46.287499999999994</v>
      </c>
      <c r="AT269" s="4">
        <f ca="1">IF(HC[[#This Row],[nE]]=1,HC[[#This Row],[As,lado (cm²)]],IF(HC[[#This Row],[nE]]=2,0.075*2*HC[a (cm)],"N.A."))</f>
        <v>20.25</v>
      </c>
      <c r="AU269" s="4">
        <f ca="1">IFERROR(IF(HC[[#This Row],[nE]]=1,"N.A.",0.2*HC[[#This Row],[As,lado (cm²)]]),"N.S.")</f>
        <v>9.2574999999999985</v>
      </c>
      <c r="AV269" s="4" t="str">
        <f ca="1">As_malha(HC[[#This Row],[nE]],HC[[#This Row],[As,lado (cm²)]],HC[[#This Row],[Nsd (kN)]])</f>
        <v>N.A.</v>
      </c>
      <c r="AW269" s="4" t="str">
        <f ca="1">As_susp_tot(HC[[#This Row],[nE]],HC[[#This Row],[Nsd (kN)]])</f>
        <v>N.A.</v>
      </c>
      <c r="AX269" s="4" t="str">
        <f ca="1">Asp_face(HC[[#This Row],[nE]],HC[[#This Row],[As,lado (cm²)]])</f>
        <v>N.A.</v>
      </c>
      <c r="AY269" s="5">
        <f ca="1">acoBloco(HC[[#This Row],[nE]],HC[[#This Row],[e (cm)]],HC[[#This Row],[a (cm)]],HC[[#This Row],[h (cm)]],HC[[#This Row],[As,lado (cm²)]],HC[[#This Row],[Asp e Asw (cm²/m)]],HC[[#This Row],[As,sup (cm²)]],HC[[#This Row],[As,malha (cm²)]],HC[[#This Row],[As,susp,tot (cm²)]],HC[[#This Row],[Asp,face (cm²)]])</f>
        <v>1299.8681549999999</v>
      </c>
      <c r="AZ269" s="4">
        <f ca="1">concretoBloco(HC[[#This Row],[nE]],HC[[#This Row],[e (cm)]],HC[[#This Row],[a (cm)]],HC[[#This Row],[h (cm)]])</f>
        <v>20.411999999999999</v>
      </c>
      <c r="BA269" s="5">
        <f ca="1">SUM(HC[[#This Row],[Aço Est (kg)]],HC[[#This Row],[Aço Bloco (kg)]])</f>
        <v>1379.7714225514028</v>
      </c>
      <c r="BB269" s="4">
        <f>INDEX(composicoes[],MATCH(95580,composicoes[CÓDIGO],0),MATCH("CUSTO TOTAL",composicoes[#Headers],0))</f>
        <v>10.46</v>
      </c>
      <c r="BC269" s="4">
        <f ca="1">SUM(HC[[#This Row],[Conc Est (m³)]],HC[[#This Row],[Conc Bloco (m³)]])</f>
        <v>35.680140296446396</v>
      </c>
      <c r="BD269" s="4">
        <f>INDEX(composicoes[],MATCH(94966,composicoes[CÓDIGO],0),MATCH("CUSTO TOTAL",composicoes[#Headers],0))</f>
        <v>439.52</v>
      </c>
      <c r="BE269" s="38">
        <f ca="1">HC[[#This Row],[Aço (kg)]]*HC[[#This Row],[Aço (R$/kg)]]+HC[[#This Row],[Conc (m³)]]*HC[[#This Row],[Conc (R$/m³)]]</f>
        <v>30114.544342981797</v>
      </c>
      <c r="BF269" s="4" t="str">
        <f ca="1">IF(COUNTIF(HC[#This Row],"N.S.")&gt;0,"lim.","OK")</f>
        <v>OK</v>
      </c>
      <c r="BG269" s="4" t="str">
        <f>IF(HC[[#This Row],[Prof. (m)]]&lt;4,"lim.","OK")</f>
        <v>OK</v>
      </c>
      <c r="BH269" s="4" t="str">
        <f>IF(HC[[#This Row],[Prof. (m)]]&gt;=8*HC[[#This Row],[Ø (cm)]]/100,"OK","lim.")</f>
        <v>OK</v>
      </c>
      <c r="BI269" s="4" t="str">
        <f ca="1">IF(HC[[#This Row],[Verif. Biela]]="OK","OK","lim.")</f>
        <v>OK</v>
      </c>
      <c r="BJ269" s="4" t="str">
        <f ca="1">IF(COUNTA(HC[[#This Row],[Nº Est.]:[Biela comp.]])=COUNTIF(HC[[#This Row],[Nº Est.]:[Biela comp.]],"OK"),"OK","lim.")</f>
        <v>OK</v>
      </c>
      <c r="BK269" s="4" t="str">
        <f ca="1">IF(HC[[#This Row],[Controle]]="OK",HC[[#This Row],[nE]]&amp;" Ø "&amp;HC[[#This Row],[Ø (cm)]]&amp;" cm, Prof. "&amp;HC[[#This Row],[Prof. (m)]]&amp;" m","")</f>
        <v>2 Ø 90 cm, Prof. 12 m</v>
      </c>
      <c r="BL269" s="4" t="str">
        <f ca="1">IF(HC[[#This Row],[idDimensionamento]]="","",HC[[#This Row],[idPilar]]&amp;HC[[#This Row],[idDimensionamento]])</f>
        <v>12 Ø 90 cm, Prof. 12 m</v>
      </c>
    </row>
    <row r="270" spans="2:64" x14ac:dyDescent="0.25">
      <c r="B270" s="12">
        <f>ROUNDUP((ROW(HC[[#This Row],[idDiâmetro]])-ROW(HC[[#Headers],[idDiâmetro]]))/(COUNT(SPT[Prof. (m)])*COUNT(PILARES[Pilar])),0)</f>
        <v>10</v>
      </c>
      <c r="C270" s="12">
        <f>IF(HC[[#This Row],[idDiâmetro]]&lt;&gt;B269,1,IF(HC[[#This Row],[Prof. (m)]]=0,C269+1,C269))</f>
        <v>1</v>
      </c>
      <c r="D270" s="82">
        <f>IFERROR(IF(D269=MAX(SPT[Prof. (m)]),0,D269+1),0)</f>
        <v>13</v>
      </c>
      <c r="E270" s="82">
        <f>INDEX(SPT[],MATCH(HC[[#This Row],[Prof. (m)]],SPT[Prof. (m)],0),2)</f>
        <v>68</v>
      </c>
      <c r="F270" s="82" t="str">
        <f>INDEX(SPT[],MATCH(HC[[#This Row],[Prof. (m)]],SPT[Prof. (m)],0),3)</f>
        <v>Areia siltosa</v>
      </c>
      <c r="G270" s="82">
        <f>INDEX(estacas[],HC[[#This Row],[idDiâmetro]],MATCH($B$2,estacas[#Headers],0))</f>
        <v>90</v>
      </c>
      <c r="H270" s="82">
        <f>INDEX(estacas[],MATCH(HC[[#This Row],[Ø (cm)]],estacas[Ø HC (cm)],0),MATCH(HC[[#Headers],[Pe HC (kN)]],estacas[#Headers],0))</f>
        <v>4000</v>
      </c>
      <c r="I270" s="4">
        <f>INDEX(K_alpha_C[],MATCH(HC[[#This Row],[Solo]],K_alpha_C[Solo],0),2)</f>
        <v>0.8</v>
      </c>
      <c r="J270" s="5">
        <f>INDEX(K_alpha_C[],MATCH(HC[[#This Row],[Solo]],K_alpha_C[Solo],0),3)</f>
        <v>2</v>
      </c>
      <c r="K270" s="4">
        <f>INDEX(F1_F2[],MATCH($D$2,F1_F2[Tipo de estaca],0),2)</f>
        <v>2</v>
      </c>
      <c r="L270" s="4">
        <f>INDEX(F1_F2[],MATCH($D$2,F1_F2[Tipo de estaca],0),3)</f>
        <v>4</v>
      </c>
      <c r="M270" s="4">
        <f>PI()*(HC[[#This Row],[Ø (cm)]]/100)^2/4</f>
        <v>0.63617251235193317</v>
      </c>
      <c r="N270" s="4">
        <f>PI()*HC[[#This Row],[Ø (cm)]]/100</f>
        <v>2.8274333882308138</v>
      </c>
      <c r="O270" s="4">
        <f>IF(HC[[#This Row],[Prof. (m)]]=0,0,HC[[#This Row],[α (%)]]/100*HC[[#This Row],[K (MPa)]]*1000*HC[[#This Row],[NSPT]])</f>
        <v>1088</v>
      </c>
      <c r="P270" s="4">
        <f>IF(HC[[#This Row],[Prof. (m)]]=0,0,(HC[[#This Row],[K (MPa)]]*1000*HC[[#This Row],[NSPT]]/HC[[#This Row],[F1]]*HC[[#This Row],[Ap (m²)]]+HC[[#This Row],[U (m)]]/HC[[#This Row],[F2]]*SUMIFS(HC[(α∙K∙NL∙ΔL)],HC[Prof. (m)],"&lt;="&amp;HC[[#This Row],[Prof. (m)]],HC[idDiâmetro],HC[[#This Row],[idDiâmetro]],HC[idPilar],HC[[#This Row],[idPilar]]))/'DADOS CAP. CARGA'!$D$2)</f>
        <v>10243.755822642886</v>
      </c>
      <c r="Q270" s="12">
        <f>INDEX(C_alpha_beta[],MATCH(HC[[#This Row],[Solo]],C_alpha_beta[Solo],0),MATCH(HC[[#Headers],[C (kPa)]],C_alpha_beta[#Headers],0))</f>
        <v>400</v>
      </c>
      <c r="R270" s="4">
        <f>INDEX(C_alpha_beta[],MATCH(HC[[#This Row],[Solo]],C_alpha_beta[Solo],0),MATCH(HC[[#Headers],[α ESF]],C_alpha_beta[#Headers],0))</f>
        <v>0.5</v>
      </c>
      <c r="S270" s="4">
        <f>INDEX(C_alpha_beta[],MATCH(HC[[#This Row],[Solo]],C_alpha_beta[Solo],0),MATCH(HC[[#Headers],[β ESF]],C_alpha_beta[#Headers],0))</f>
        <v>0.5</v>
      </c>
      <c r="T270" s="4">
        <f>IF(HC[[#This Row],[Prof. (m)]]=0,0,10*(HC[[#This Row],[NSPT]]/3+1))</f>
        <v>236.66666666666669</v>
      </c>
      <c r="U270" s="4">
        <f>(HC[[#This Row],[α ESF]]*HC[[#This Row],[C (kPa)]]*HC[[#This Row],[NSPT]]*HC[[#This Row],[Ap (m²)]])/'DADOS CAP. CARGA'!$Q$2+(HC[[#This Row],[β ESF]]*SUMIFS(HC[10∙(NL/3+1)],HC[Prof. (m)],"&lt;="&amp;HC[[#This Row],[Prof. (m)]],HC[idDiâmetro],HC[[#This Row],[idDiâmetro]],HC[idPilar],HC[[#This Row],[idPilar]])*HC[[#This Row],[U (m)]])/'DADOS CAP. CARGA'!$S$2</f>
        <v>2940.5307237600464</v>
      </c>
      <c r="V270" s="4">
        <f>IF(SPT!$M$5=1,MIN(HC[[#This Row],[Pe HC (kN)]],HC[[#This Row],[R_AV (kN)]]),IF(SPT!$M$5=2,MIN(HC[[#This Row],[Pe HC (kN)]],HC[[#This Row],[R_DC (kN)]]),MIN(HC[[#This Row],[Pe HC (kN)]],HC[[#This Row],[R_AV (kN)]],HC[[#This Row],[R_DC (kN)]])))</f>
        <v>2940.5307237600464</v>
      </c>
      <c r="W270" s="4">
        <f>INDEX(PILARES[],HC[[#This Row],[idPilar]],MATCH("Carga (kN)",PILARES[#Headers],0))*1.4</f>
        <v>3500</v>
      </c>
      <c r="X270" s="12">
        <f>INDEX(PILARES[],HC[[#This Row],[idPilar]],MATCH(HC[[#Headers],[ap (cm)]],PILARES[#Headers],0))</f>
        <v>60</v>
      </c>
      <c r="Y270" s="12">
        <f>INDEX(PILARES[],HC[[#This Row],[idPilar]],MATCH(HC[[#Headers],[bp (cm)]],PILARES[#Headers],0))</f>
        <v>60</v>
      </c>
      <c r="Z270" s="4">
        <f>SQRT(HC[[#This Row],[ap (cm)]]*HC[[#This Row],[bp (cm)]])</f>
        <v>60</v>
      </c>
      <c r="AA270" s="12">
        <f>HC[[#This Row],[ap (cm)]]*HC[[#This Row],[bp (cm)]]</f>
        <v>3600</v>
      </c>
      <c r="AB270" s="12">
        <f ca="1">IF(HC[[#This Row],[Padm∙ε (kN)]]&gt;=HC[[#This Row],[Padm (kN)]],ROUNDUP(1.05*HC[[#This Row],[Nsd (kN)]]/HC[[#This Row],[Padm (kN)]],0),ROUNDUP(1.05*HC[[#This Row],[Nsd (kN)]]/HC[[#This Row],[Padm (kN)]],0)+1)</f>
        <v>2</v>
      </c>
      <c r="AC270" s="4">
        <f ca="1">IFERROR(IF(HC[[#This Row],[nE]]=1,HC[[#This Row],[Padm (kN)]],HC[[#This Row],[Padm (kN)]]*HC[[#This Row],[nE]]*INDEX(grupoEstacas[],HC[[#This Row],[nE]],MATCH("ε",grupoEstacas[#Headers],0))),"N.S.")</f>
        <v>5513.4951070500865</v>
      </c>
      <c r="AD270" s="4">
        <f ca="1">1.05*HC[[#This Row],[Nsd (kN)]]/(HC[[#This Row],[nE]]*PI()*HC[[#This Row],[Ø (cm)]]^2/4)*10</f>
        <v>2.8883674857418047</v>
      </c>
      <c r="AE270" s="4">
        <f ca="1">IF(HC[[#This Row],[σ (MPa)]]&lt;INDEX(tipoEstaca[],MATCH($D$2,tipoEstaca[TIPO DE ESTACA],0),MATCH("σmáx (MPa)",tipoEstaca[#Headers],0)),0.4%*PI()*HC[[#This Row],[Ø (cm)]]^2/4,"N.S.")</f>
        <v>25.446900494077326</v>
      </c>
      <c r="AF270" s="82">
        <f>INDEX(tipoEstaca[],MATCH($D$2,tipoEstaca[TIPO DE ESTACA],0),MATCH(HC[[#Headers],[Comprimento (m)]],tipoEstaca[#Headers],0))</f>
        <v>4</v>
      </c>
      <c r="AG270" s="5">
        <f ca="1">HC[[#This Row],[As,mín (cm²)]]/100^2*HC[[#This Row],[Comprimento (m)]]*7850</f>
        <v>79.903267551402806</v>
      </c>
      <c r="AH270" s="4">
        <f ca="1">HC[[#This Row],[nE]]*HC[[#This Row],[Prof. (m)]]*HC[[#This Row],[Ap (m²)]]</f>
        <v>16.540485321150264</v>
      </c>
      <c r="AI270" s="82">
        <f ca="1">IF(HC[[#This Row],[nE]]=1,0,MAX(3*HC[[#This Row],[Ø (cm)]],60))</f>
        <v>270</v>
      </c>
      <c r="AJ270" s="82">
        <f ca="1">IF(HC[[#This Row],[nE]]=1,HC[[#This Row],[Ø (cm)]]+2*10,MAX(1.5*HC[[#This Row],[Ø (cm)]],HC[[#This Row],[Ø (cm)]]+15))</f>
        <v>135</v>
      </c>
      <c r="AK270" s="82">
        <f ca="1">alturaUtil(HC[[#This Row],[nE]],HC[[#This Row],[Ø (cm)]],HC[[#This Row],[e (cm)]],HC[[#This Row],[ap,eq (cm)]])</f>
        <v>120</v>
      </c>
      <c r="AL270" s="82">
        <f ca="1">IFERROR(HC[[#This Row],[d (cm)]]+arredondarParaCimaMultiplo5cm(MAX(5,SQRT(PI())/2*HC[[#This Row],[Ø (cm)]]/5)),"N.S.")</f>
        <v>140</v>
      </c>
      <c r="AM270" s="5">
        <f ca="1">alpha(HC[[#This Row],[nE]],HC[[#This Row],[d (cm)]],HC[[#This Row],[e (cm)]],HC[[#This Row],[ap,eq (cm)]])</f>
        <v>45</v>
      </c>
      <c r="AN270" s="35">
        <f ca="1">IFERROR(HC[[#This Row],[Nsd (kN)]]/(HC[[#This Row],[Ap (cm²)]]*SIN(HC[[#This Row],[α]])^2),"N.S.")</f>
        <v>1.3427801064714635</v>
      </c>
      <c r="AO270" s="35">
        <f ca="1">IFERROR(HC[[#This Row],[Nsd (kN)]]/(HC[[#This Row],[nE]]*PI()*HC[[#This Row],[Ø (cm)]]^2/4*SIN(HC[[#This Row],[α]])^2),"N.S.")</f>
        <v>0.37992905143181327</v>
      </c>
      <c r="AP270" s="4">
        <f ca="1">IFERROR(INDEX(grupoEstacas[],HC[[#This Row],[nE]],MATCH("coef. Blévot",grupoEstacas[#Headers],0)),"N.S.")</f>
        <v>1.4</v>
      </c>
      <c r="AQ270" s="35">
        <f ca="1">IFERROR(HC[[#This Row],[coef. Blévot]]*0.9*INDEX(tipoEstaca[],MATCH($D$2,tipoEstaca[TIPO DE ESTACA],0),MATCH("fcd (kN/cm²)",tipoEstaca[#Headers],0)),"N.S.")</f>
        <v>1.4000000000000001</v>
      </c>
      <c r="AR270" s="82" t="str">
        <f ca="1">IF(AND(HC[[#This Row],[cd,b,pil (kN/cm²)]]&lt;=HC[[#This Row],[cd,b,lim (kN/cm²)]],HC[[#This Row],[cd,b,est (kN/cm²)]]&lt;=HC[[#This Row],[cd,b,lim (kN/cm²)]]),"OK","ERRO")</f>
        <v>OK</v>
      </c>
      <c r="AS270" s="4">
        <f ca="1">As_lado(HC[[#This Row],[nE]],HC[[#This Row],[Nsd (kN)]],HC[[#This Row],[d (cm)]],HC[[#This Row],[e (cm)]],HC[[#This Row],[ap,eq (cm)]])</f>
        <v>46.287499999999994</v>
      </c>
      <c r="AT270" s="4">
        <f ca="1">IF(HC[[#This Row],[nE]]=1,HC[[#This Row],[As,lado (cm²)]],IF(HC[[#This Row],[nE]]=2,0.075*2*HC[a (cm)],"N.A."))</f>
        <v>20.25</v>
      </c>
      <c r="AU270" s="4">
        <f ca="1">IFERROR(IF(HC[[#This Row],[nE]]=1,"N.A.",0.2*HC[[#This Row],[As,lado (cm²)]]),"N.S.")</f>
        <v>9.2574999999999985</v>
      </c>
      <c r="AV270" s="4" t="str">
        <f ca="1">As_malha(HC[[#This Row],[nE]],HC[[#This Row],[As,lado (cm²)]],HC[[#This Row],[Nsd (kN)]])</f>
        <v>N.A.</v>
      </c>
      <c r="AW270" s="4" t="str">
        <f ca="1">As_susp_tot(HC[[#This Row],[nE]],HC[[#This Row],[Nsd (kN)]])</f>
        <v>N.A.</v>
      </c>
      <c r="AX270" s="4" t="str">
        <f ca="1">Asp_face(HC[[#This Row],[nE]],HC[[#This Row],[As,lado (cm²)]])</f>
        <v>N.A.</v>
      </c>
      <c r="AY270" s="5">
        <f ca="1">acoBloco(HC[[#This Row],[nE]],HC[[#This Row],[e (cm)]],HC[[#This Row],[a (cm)]],HC[[#This Row],[h (cm)]],HC[[#This Row],[As,lado (cm²)]],HC[[#This Row],[Asp e Asw (cm²/m)]],HC[[#This Row],[As,sup (cm²)]],HC[[#This Row],[As,malha (cm²)]],HC[[#This Row],[As,susp,tot (cm²)]],HC[[#This Row],[Asp,face (cm²)]])</f>
        <v>1299.8681549999999</v>
      </c>
      <c r="AZ270" s="4">
        <f ca="1">concretoBloco(HC[[#This Row],[nE]],HC[[#This Row],[e (cm)]],HC[[#This Row],[a (cm)]],HC[[#This Row],[h (cm)]])</f>
        <v>20.411999999999999</v>
      </c>
      <c r="BA270" s="5">
        <f ca="1">SUM(HC[[#This Row],[Aço Est (kg)]],HC[[#This Row],[Aço Bloco (kg)]])</f>
        <v>1379.7714225514028</v>
      </c>
      <c r="BB270" s="4">
        <f>INDEX(composicoes[],MATCH(95580,composicoes[CÓDIGO],0),MATCH("CUSTO TOTAL",composicoes[#Headers],0))</f>
        <v>10.46</v>
      </c>
      <c r="BC270" s="4">
        <f ca="1">SUM(HC[[#This Row],[Conc Est (m³)]],HC[[#This Row],[Conc Bloco (m³)]])</f>
        <v>36.952485321150263</v>
      </c>
      <c r="BD270" s="4">
        <f>INDEX(composicoes[],MATCH(94966,composicoes[CÓDIGO],0),MATCH("CUSTO TOTAL",composicoes[#Headers],0))</f>
        <v>439.52</v>
      </c>
      <c r="BE270" s="38">
        <f ca="1">HC[[#This Row],[Aço (kg)]]*HC[[#This Row],[Aço (R$/kg)]]+HC[[#This Row],[Conc (m³)]]*HC[[#This Row],[Conc (R$/m³)]]</f>
        <v>30673.76542823964</v>
      </c>
      <c r="BF270" s="4" t="str">
        <f ca="1">IF(COUNTIF(HC[#This Row],"N.S.")&gt;0,"lim.","OK")</f>
        <v>OK</v>
      </c>
      <c r="BG270" s="4" t="str">
        <f>IF(HC[[#This Row],[Prof. (m)]]&lt;4,"lim.","OK")</f>
        <v>OK</v>
      </c>
      <c r="BH270" s="4" t="str">
        <f>IF(HC[[#This Row],[Prof. (m)]]&gt;=8*HC[[#This Row],[Ø (cm)]]/100,"OK","lim.")</f>
        <v>OK</v>
      </c>
      <c r="BI270" s="4" t="str">
        <f ca="1">IF(HC[[#This Row],[Verif. Biela]]="OK","OK","lim.")</f>
        <v>OK</v>
      </c>
      <c r="BJ270" s="4" t="str">
        <f ca="1">IF(COUNTA(HC[[#This Row],[Nº Est.]:[Biela comp.]])=COUNTIF(HC[[#This Row],[Nº Est.]:[Biela comp.]],"OK"),"OK","lim.")</f>
        <v>OK</v>
      </c>
      <c r="BK270" s="4" t="str">
        <f ca="1">IF(HC[[#This Row],[Controle]]="OK",HC[[#This Row],[nE]]&amp;" Ø "&amp;HC[[#This Row],[Ø (cm)]]&amp;" cm, Prof. "&amp;HC[[#This Row],[Prof. (m)]]&amp;" m","")</f>
        <v>2 Ø 90 cm, Prof. 13 m</v>
      </c>
      <c r="BL270" s="4" t="str">
        <f ca="1">IF(HC[[#This Row],[idDimensionamento]]="","",HC[[#This Row],[idPilar]]&amp;HC[[#This Row],[idDimensionamento]])</f>
        <v>12 Ø 90 cm, Prof. 13 m</v>
      </c>
    </row>
    <row r="271" spans="2:64" x14ac:dyDescent="0.25">
      <c r="B271" s="12">
        <f>ROUNDUP((ROW(HC[[#This Row],[idDiâmetro]])-ROW(HC[[#Headers],[idDiâmetro]]))/(COUNT(SPT[Prof. (m)])*COUNT(PILARES[Pilar])),0)</f>
        <v>10</v>
      </c>
      <c r="C271" s="12">
        <f>IF(HC[[#This Row],[idDiâmetro]]&lt;&gt;B270,1,IF(HC[[#This Row],[Prof. (m)]]=0,C270+1,C270))</f>
        <v>2</v>
      </c>
      <c r="D271" s="82">
        <f>IFERROR(IF(D270=MAX(SPT[Prof. (m)]),0,D270+1),0)</f>
        <v>0</v>
      </c>
      <c r="E271" s="82">
        <f>INDEX(SPT[],MATCH(HC[[#This Row],[Prof. (m)]],SPT[Prof. (m)],0),2)</f>
        <v>0</v>
      </c>
      <c r="F271" s="82" t="str">
        <f>INDEX(SPT[],MATCH(HC[[#This Row],[Prof. (m)]],SPT[Prof. (m)],0),3)</f>
        <v>Areia siltosa</v>
      </c>
      <c r="G271" s="82">
        <f>INDEX(estacas[],HC[[#This Row],[idDiâmetro]],MATCH($B$2,estacas[#Headers],0))</f>
        <v>90</v>
      </c>
      <c r="H271" s="82">
        <f>INDEX(estacas[],MATCH(HC[[#This Row],[Ø (cm)]],estacas[Ø HC (cm)],0),MATCH(HC[[#Headers],[Pe HC (kN)]],estacas[#Headers],0))</f>
        <v>4000</v>
      </c>
      <c r="I271" s="4">
        <f>INDEX(K_alpha_C[],MATCH(HC[[#This Row],[Solo]],K_alpha_C[Solo],0),2)</f>
        <v>0.8</v>
      </c>
      <c r="J271" s="5">
        <f>INDEX(K_alpha_C[],MATCH(HC[[#This Row],[Solo]],K_alpha_C[Solo],0),3)</f>
        <v>2</v>
      </c>
      <c r="K271" s="4">
        <f>INDEX(F1_F2[],MATCH($D$2,F1_F2[Tipo de estaca],0),2)</f>
        <v>2</v>
      </c>
      <c r="L271" s="4">
        <f>INDEX(F1_F2[],MATCH($D$2,F1_F2[Tipo de estaca],0),3)</f>
        <v>4</v>
      </c>
      <c r="M271" s="4">
        <f>PI()*(HC[[#This Row],[Ø (cm)]]/100)^2/4</f>
        <v>0.63617251235193317</v>
      </c>
      <c r="N271" s="4">
        <f>PI()*HC[[#This Row],[Ø (cm)]]/100</f>
        <v>2.8274333882308138</v>
      </c>
      <c r="O271" s="4">
        <f>IF(HC[[#This Row],[Prof. (m)]]=0,0,HC[[#This Row],[α (%)]]/100*HC[[#This Row],[K (MPa)]]*1000*HC[[#This Row],[NSPT]])</f>
        <v>0</v>
      </c>
      <c r="P271" s="4">
        <f>IF(HC[[#This Row],[Prof. (m)]]=0,0,(HC[[#This Row],[K (MPa)]]*1000*HC[[#This Row],[NSPT]]/HC[[#This Row],[F1]]*HC[[#This Row],[Ap (m²)]]+HC[[#This Row],[U (m)]]/HC[[#This Row],[F2]]*SUMIFS(HC[(α∙K∙NL∙ΔL)],HC[Prof. (m)],"&lt;="&amp;HC[[#This Row],[Prof. (m)]],HC[idDiâmetro],HC[[#This Row],[idDiâmetro]],HC[idPilar],HC[[#This Row],[idPilar]]))/'DADOS CAP. CARGA'!$D$2)</f>
        <v>0</v>
      </c>
      <c r="Q271" s="12">
        <f>INDEX(C_alpha_beta[],MATCH(HC[[#This Row],[Solo]],C_alpha_beta[Solo],0),MATCH(HC[[#Headers],[C (kPa)]],C_alpha_beta[#Headers],0))</f>
        <v>400</v>
      </c>
      <c r="R271" s="4">
        <f>INDEX(C_alpha_beta[],MATCH(HC[[#This Row],[Solo]],C_alpha_beta[Solo],0),MATCH(HC[[#Headers],[α ESF]],C_alpha_beta[#Headers],0))</f>
        <v>0.5</v>
      </c>
      <c r="S271" s="4">
        <f>INDEX(C_alpha_beta[],MATCH(HC[[#This Row],[Solo]],C_alpha_beta[Solo],0),MATCH(HC[[#Headers],[β ESF]],C_alpha_beta[#Headers],0))</f>
        <v>0.5</v>
      </c>
      <c r="T271" s="4">
        <f>IF(HC[[#This Row],[Prof. (m)]]=0,0,10*(HC[[#This Row],[NSPT]]/3+1))</f>
        <v>0</v>
      </c>
      <c r="U271" s="4">
        <f>(HC[[#This Row],[α ESF]]*HC[[#This Row],[C (kPa)]]*HC[[#This Row],[NSPT]]*HC[[#This Row],[Ap (m²)]])/'DADOS CAP. CARGA'!$Q$2+(HC[[#This Row],[β ESF]]*SUMIFS(HC[10∙(NL/3+1)],HC[Prof. (m)],"&lt;="&amp;HC[[#This Row],[Prof. (m)]],HC[idDiâmetro],HC[[#This Row],[idDiâmetro]],HC[idPilar],HC[[#This Row],[idPilar]])*HC[[#This Row],[U (m)]])/'DADOS CAP. CARGA'!$S$2</f>
        <v>0</v>
      </c>
      <c r="V271" s="4">
        <f>IF(SPT!$M$5=1,MIN(HC[[#This Row],[Pe HC (kN)]],HC[[#This Row],[R_AV (kN)]]),IF(SPT!$M$5=2,MIN(HC[[#This Row],[Pe HC (kN)]],HC[[#This Row],[R_DC (kN)]]),MIN(HC[[#This Row],[Pe HC (kN)]],HC[[#This Row],[R_AV (kN)]],HC[[#This Row],[R_DC (kN)]])))</f>
        <v>0</v>
      </c>
      <c r="W271" s="4">
        <f>INDEX(PILARES[],HC[[#This Row],[idPilar]],MATCH("Carga (kN)",PILARES[#Headers],0))*1.4</f>
        <v>1750</v>
      </c>
      <c r="X271" s="12">
        <f>INDEX(PILARES[],HC[[#This Row],[idPilar]],MATCH(HC[[#Headers],[ap (cm)]],PILARES[#Headers],0))</f>
        <v>50</v>
      </c>
      <c r="Y271" s="12">
        <f>INDEX(PILARES[],HC[[#This Row],[idPilar]],MATCH(HC[[#Headers],[bp (cm)]],PILARES[#Headers],0))</f>
        <v>40</v>
      </c>
      <c r="Z271" s="4">
        <f>SQRT(HC[[#This Row],[ap (cm)]]*HC[[#This Row],[bp (cm)]])</f>
        <v>44.721359549995796</v>
      </c>
      <c r="AA271" s="12">
        <f>HC[[#This Row],[ap (cm)]]*HC[[#This Row],[bp (cm)]]</f>
        <v>2000</v>
      </c>
      <c r="AB271" s="12" t="e">
        <f ca="1">IF(HC[[#This Row],[Padm∙ε (kN)]]&gt;=HC[[#This Row],[Padm (kN)]],ROUNDUP(1.05*HC[[#This Row],[Nsd (kN)]]/HC[[#This Row],[Padm (kN)]],0),ROUNDUP(1.05*HC[[#This Row],[Nsd (kN)]]/HC[[#This Row],[Padm (kN)]],0)+1)</f>
        <v>#DIV/0!</v>
      </c>
      <c r="AC271" s="4" t="str">
        <f ca="1">IFERROR(IF(HC[[#This Row],[nE]]=1,HC[[#This Row],[Padm (kN)]],HC[[#This Row],[Padm (kN)]]*HC[[#This Row],[nE]]*INDEX(grupoEstacas[],HC[[#This Row],[nE]],MATCH("ε",grupoEstacas[#Headers],0))),"N.S.")</f>
        <v>N.S.</v>
      </c>
      <c r="AD271" s="4" t="e">
        <f ca="1">1.05*HC[[#This Row],[Nsd (kN)]]/(HC[[#This Row],[nE]]*PI()*HC[[#This Row],[Ø (cm)]]^2/4)*10</f>
        <v>#DIV/0!</v>
      </c>
      <c r="AE271" s="4" t="e">
        <f ca="1">IF(HC[[#This Row],[σ (MPa)]]&lt;INDEX(tipoEstaca[],MATCH($D$2,tipoEstaca[TIPO DE ESTACA],0),MATCH("σmáx (MPa)",tipoEstaca[#Headers],0)),0.4%*PI()*HC[[#This Row],[Ø (cm)]]^2/4,"N.S.")</f>
        <v>#DIV/0!</v>
      </c>
      <c r="AF271" s="82">
        <f>INDEX(tipoEstaca[],MATCH($D$2,tipoEstaca[TIPO DE ESTACA],0),MATCH(HC[[#Headers],[Comprimento (m)]],tipoEstaca[#Headers],0))</f>
        <v>4</v>
      </c>
      <c r="AG271" s="5" t="e">
        <f ca="1">HC[[#This Row],[As,mín (cm²)]]/100^2*HC[[#This Row],[Comprimento (m)]]*7850</f>
        <v>#DIV/0!</v>
      </c>
      <c r="AH271" s="4" t="e">
        <f ca="1">HC[[#This Row],[nE]]*HC[[#This Row],[Prof. (m)]]*HC[[#This Row],[Ap (m²)]]</f>
        <v>#DIV/0!</v>
      </c>
      <c r="AI271" s="82" t="e">
        <f ca="1">IF(HC[[#This Row],[nE]]=1,0,MAX(3*HC[[#This Row],[Ø (cm)]],60))</f>
        <v>#DIV/0!</v>
      </c>
      <c r="AJ271" s="82" t="e">
        <f ca="1">IF(HC[[#This Row],[nE]]=1,HC[[#This Row],[Ø (cm)]]+2*10,MAX(1.5*HC[[#This Row],[Ø (cm)]],HC[[#This Row],[Ø (cm)]]+15))</f>
        <v>#DIV/0!</v>
      </c>
      <c r="AK271" s="82" t="e">
        <f ca="1">alturaUtil(HC[[#This Row],[nE]],HC[[#This Row],[Ø (cm)]],HC[[#This Row],[e (cm)]],HC[[#This Row],[ap,eq (cm)]])</f>
        <v>#VALUE!</v>
      </c>
      <c r="AL271" s="82" t="str">
        <f ca="1">IFERROR(HC[[#This Row],[d (cm)]]+arredondarParaCimaMultiplo5cm(MAX(5,SQRT(PI())/2*HC[[#This Row],[Ø (cm)]]/5)),"N.S.")</f>
        <v>N.S.</v>
      </c>
      <c r="AM271" s="5" t="e">
        <f ca="1">alpha(HC[[#This Row],[nE]],HC[[#This Row],[d (cm)]],HC[[#This Row],[e (cm)]],HC[[#This Row],[ap,eq (cm)]])</f>
        <v>#VALUE!</v>
      </c>
      <c r="AN271" s="35" t="str">
        <f ca="1">IFERROR(HC[[#This Row],[Nsd (kN)]]/(HC[[#This Row],[Ap (cm²)]]*SIN(HC[[#This Row],[α]])^2),"N.S.")</f>
        <v>N.S.</v>
      </c>
      <c r="AO271" s="35" t="str">
        <f ca="1">IFERROR(HC[[#This Row],[Nsd (kN)]]/(HC[[#This Row],[nE]]*PI()*HC[[#This Row],[Ø (cm)]]^2/4*SIN(HC[[#This Row],[α]])^2),"N.S.")</f>
        <v>N.S.</v>
      </c>
      <c r="AP271" s="4" t="str">
        <f ca="1">IFERROR(INDEX(grupoEstacas[],HC[[#This Row],[nE]],MATCH("coef. Blévot",grupoEstacas[#Headers],0)),"N.S.")</f>
        <v>N.S.</v>
      </c>
      <c r="AQ271" s="35" t="str">
        <f ca="1">IFERROR(HC[[#This Row],[coef. Blévot]]*0.9*INDEX(tipoEstaca[],MATCH($D$2,tipoEstaca[TIPO DE ESTACA],0),MATCH("fcd (kN/cm²)",tipoEstaca[#Headers],0)),"N.S.")</f>
        <v>N.S.</v>
      </c>
      <c r="AR271" s="82" t="str">
        <f ca="1">IF(AND(HC[[#This Row],[cd,b,pil (kN/cm²)]]&lt;=HC[[#This Row],[cd,b,lim (kN/cm²)]],HC[[#This Row],[cd,b,est (kN/cm²)]]&lt;=HC[[#This Row],[cd,b,lim (kN/cm²)]]),"OK","ERRO")</f>
        <v>OK</v>
      </c>
      <c r="AS271" s="4" t="e">
        <f ca="1">As_lado(HC[[#This Row],[nE]],HC[[#This Row],[Nsd (kN)]],HC[[#This Row],[d (cm)]],HC[[#This Row],[e (cm)]],HC[[#This Row],[ap,eq (cm)]])</f>
        <v>#VALUE!</v>
      </c>
      <c r="AT271" s="4" t="e">
        <f ca="1">IF(HC[[#This Row],[nE]]=1,HC[[#This Row],[As,lado (cm²)]],IF(HC[[#This Row],[nE]]=2,0.075*2*HC[a (cm)],"N.A."))</f>
        <v>#DIV/0!</v>
      </c>
      <c r="AU271" s="4" t="str">
        <f ca="1">IFERROR(IF(HC[[#This Row],[nE]]=1,"N.A.",0.2*HC[[#This Row],[As,lado (cm²)]]),"N.S.")</f>
        <v>N.S.</v>
      </c>
      <c r="AV271" s="4" t="e">
        <f ca="1">As_malha(HC[[#This Row],[nE]],HC[[#This Row],[As,lado (cm²)]],HC[[#This Row],[Nsd (kN)]])</f>
        <v>#VALUE!</v>
      </c>
      <c r="AW271" s="4" t="e">
        <f ca="1">As_susp_tot(HC[[#This Row],[nE]],HC[[#This Row],[Nsd (kN)]])</f>
        <v>#VALUE!</v>
      </c>
      <c r="AX271" s="4" t="e">
        <f ca="1">Asp_face(HC[[#This Row],[nE]],HC[[#This Row],[As,lado (cm²)]])</f>
        <v>#VALUE!</v>
      </c>
      <c r="AY271" s="5" t="e">
        <f ca="1">acoBloco(HC[[#This Row],[nE]],HC[[#This Row],[e (cm)]],HC[[#This Row],[a (cm)]],HC[[#This Row],[h (cm)]],HC[[#This Row],[As,lado (cm²)]],HC[[#This Row],[Asp e Asw (cm²/m)]],HC[[#This Row],[As,sup (cm²)]],HC[[#This Row],[As,malha (cm²)]],HC[[#This Row],[As,susp,tot (cm²)]],HC[[#This Row],[Asp,face (cm²)]])</f>
        <v>#VALUE!</v>
      </c>
      <c r="AZ271" s="4" t="e">
        <f ca="1">concretoBloco(HC[[#This Row],[nE]],HC[[#This Row],[e (cm)]],HC[[#This Row],[a (cm)]],HC[[#This Row],[h (cm)]])</f>
        <v>#VALUE!</v>
      </c>
      <c r="BA271" s="5" t="e">
        <f ca="1">SUM(HC[[#This Row],[Aço Est (kg)]],HC[[#This Row],[Aço Bloco (kg)]])</f>
        <v>#DIV/0!</v>
      </c>
      <c r="BB271" s="4">
        <f>INDEX(composicoes[],MATCH(95580,composicoes[CÓDIGO],0),MATCH("CUSTO TOTAL",composicoes[#Headers],0))</f>
        <v>10.46</v>
      </c>
      <c r="BC271" s="4" t="e">
        <f ca="1">SUM(HC[[#This Row],[Conc Est (m³)]],HC[[#This Row],[Conc Bloco (m³)]])</f>
        <v>#DIV/0!</v>
      </c>
      <c r="BD271" s="4">
        <f>INDEX(composicoes[],MATCH(94966,composicoes[CÓDIGO],0),MATCH("CUSTO TOTAL",composicoes[#Headers],0))</f>
        <v>439.52</v>
      </c>
      <c r="BE271" s="38" t="e">
        <f ca="1">HC[[#This Row],[Aço (kg)]]*HC[[#This Row],[Aço (R$/kg)]]+HC[[#This Row],[Conc (m³)]]*HC[[#This Row],[Conc (R$/m³)]]</f>
        <v>#DIV/0!</v>
      </c>
      <c r="BF271" s="4" t="str">
        <f ca="1">IF(COUNTIF(HC[#This Row],"N.S.")&gt;0,"lim.","OK")</f>
        <v>lim.</v>
      </c>
      <c r="BG271" s="4" t="str">
        <f>IF(HC[[#This Row],[Prof. (m)]]&lt;4,"lim.","OK")</f>
        <v>lim.</v>
      </c>
      <c r="BH271" s="4" t="str">
        <f>IF(HC[[#This Row],[Prof. (m)]]&gt;=8*HC[[#This Row],[Ø (cm)]]/100,"OK","lim.")</f>
        <v>lim.</v>
      </c>
      <c r="BI271" s="4" t="str">
        <f ca="1">IF(HC[[#This Row],[Verif. Biela]]="OK","OK","lim.")</f>
        <v>OK</v>
      </c>
      <c r="BJ271" s="4" t="str">
        <f ca="1">IF(COUNTA(HC[[#This Row],[Nº Est.]:[Biela comp.]])=COUNTIF(HC[[#This Row],[Nº Est.]:[Biela comp.]],"OK"),"OK","lim.")</f>
        <v>lim.</v>
      </c>
      <c r="BK271" s="4" t="str">
        <f ca="1">IF(HC[[#This Row],[Controle]]="OK",HC[[#This Row],[nE]]&amp;" Ø "&amp;HC[[#This Row],[Ø (cm)]]&amp;" cm, Prof. "&amp;HC[[#This Row],[Prof. (m)]]&amp;" m","")</f>
        <v/>
      </c>
      <c r="BL271" s="4" t="str">
        <f ca="1">IF(HC[[#This Row],[idDimensionamento]]="","",HC[[#This Row],[idPilar]]&amp;HC[[#This Row],[idDimensionamento]])</f>
        <v/>
      </c>
    </row>
    <row r="272" spans="2:64" x14ac:dyDescent="0.25">
      <c r="B272" s="12">
        <f>ROUNDUP((ROW(HC[[#This Row],[idDiâmetro]])-ROW(HC[[#Headers],[idDiâmetro]]))/(COUNT(SPT[Prof. (m)])*COUNT(PILARES[Pilar])),0)</f>
        <v>10</v>
      </c>
      <c r="C272" s="12">
        <f>IF(HC[[#This Row],[idDiâmetro]]&lt;&gt;B271,1,IF(HC[[#This Row],[Prof. (m)]]=0,C271+1,C271))</f>
        <v>2</v>
      </c>
      <c r="D272" s="82">
        <f>IFERROR(IF(D271=MAX(SPT[Prof. (m)]),0,D271+1),0)</f>
        <v>1</v>
      </c>
      <c r="E272" s="82">
        <f>INDEX(SPT[],MATCH(HC[[#This Row],[Prof. (m)]],SPT[Prof. (m)],0),2)</f>
        <v>2</v>
      </c>
      <c r="F272" s="82" t="str">
        <f>INDEX(SPT[],MATCH(HC[[#This Row],[Prof. (m)]],SPT[Prof. (m)],0),3)</f>
        <v>Areia siltosa</v>
      </c>
      <c r="G272" s="82">
        <f>INDEX(estacas[],HC[[#This Row],[idDiâmetro]],MATCH($B$2,estacas[#Headers],0))</f>
        <v>90</v>
      </c>
      <c r="H272" s="82">
        <f>INDEX(estacas[],MATCH(HC[[#This Row],[Ø (cm)]],estacas[Ø HC (cm)],0),MATCH(HC[[#Headers],[Pe HC (kN)]],estacas[#Headers],0))</f>
        <v>4000</v>
      </c>
      <c r="I272" s="4">
        <f>INDEX(K_alpha_C[],MATCH(HC[[#This Row],[Solo]],K_alpha_C[Solo],0),2)</f>
        <v>0.8</v>
      </c>
      <c r="J272" s="5">
        <f>INDEX(K_alpha_C[],MATCH(HC[[#This Row],[Solo]],K_alpha_C[Solo],0),3)</f>
        <v>2</v>
      </c>
      <c r="K272" s="4">
        <f>INDEX(F1_F2[],MATCH($D$2,F1_F2[Tipo de estaca],0),2)</f>
        <v>2</v>
      </c>
      <c r="L272" s="4">
        <f>INDEX(F1_F2[],MATCH($D$2,F1_F2[Tipo de estaca],0),3)</f>
        <v>4</v>
      </c>
      <c r="M272" s="4">
        <f>PI()*(HC[[#This Row],[Ø (cm)]]/100)^2/4</f>
        <v>0.63617251235193317</v>
      </c>
      <c r="N272" s="4">
        <f>PI()*HC[[#This Row],[Ø (cm)]]/100</f>
        <v>2.8274333882308138</v>
      </c>
      <c r="O272" s="4">
        <f>IF(HC[[#This Row],[Prof. (m)]]=0,0,HC[[#This Row],[α (%)]]/100*HC[[#This Row],[K (MPa)]]*1000*HC[[#This Row],[NSPT]])</f>
        <v>32</v>
      </c>
      <c r="P272" s="4">
        <f>IF(HC[[#This Row],[Prof. (m)]]=0,0,(HC[[#This Row],[K (MPa)]]*1000*HC[[#This Row],[NSPT]]/HC[[#This Row],[F1]]*HC[[#This Row],[Ap (m²)]]+HC[[#This Row],[U (m)]]/HC[[#This Row],[F2]]*SUMIFS(HC[(α∙K∙NL∙ΔL)],HC[Prof. (m)],"&lt;="&amp;HC[[#This Row],[Prof. (m)]],HC[idDiâmetro],HC[[#This Row],[idDiâmetro]],HC[idPilar],HC[[#This Row],[idPilar]]))/'DADOS CAP. CARGA'!$D$2)</f>
        <v>265.77873849369649</v>
      </c>
      <c r="Q272" s="12">
        <f>INDEX(C_alpha_beta[],MATCH(HC[[#This Row],[Solo]],C_alpha_beta[Solo],0),MATCH(HC[[#Headers],[C (kPa)]],C_alpha_beta[#Headers],0))</f>
        <v>400</v>
      </c>
      <c r="R272" s="4">
        <f>INDEX(C_alpha_beta[],MATCH(HC[[#This Row],[Solo]],C_alpha_beta[Solo],0),MATCH(HC[[#Headers],[α ESF]],C_alpha_beta[#Headers],0))</f>
        <v>0.5</v>
      </c>
      <c r="S272" s="4">
        <f>INDEX(C_alpha_beta[],MATCH(HC[[#This Row],[Solo]],C_alpha_beta[Solo],0),MATCH(HC[[#Headers],[β ESF]],C_alpha_beta[#Headers],0))</f>
        <v>0.5</v>
      </c>
      <c r="T272" s="4">
        <f>IF(HC[[#This Row],[Prof. (m)]]=0,0,10*(HC[[#This Row],[NSPT]]/3+1))</f>
        <v>16.666666666666664</v>
      </c>
      <c r="U272" s="4">
        <f>(HC[[#This Row],[α ESF]]*HC[[#This Row],[C (kPa)]]*HC[[#This Row],[NSPT]]*HC[[#This Row],[Ap (m²)]])/'DADOS CAP. CARGA'!$Q$2+(HC[[#This Row],[β ESF]]*SUMIFS(HC[10∙(NL/3+1)],HC[Prof. (m)],"&lt;="&amp;HC[[#This Row],[Prof. (m)]],HC[idDiâmetro],HC[[#This Row],[idDiâmetro]],HC[idPilar],HC[[#This Row],[idPilar]])*HC[[#This Row],[U (m)]])/'DADOS CAP. CARGA'!$S$2</f>
        <v>75.398223686155035</v>
      </c>
      <c r="V272" s="4">
        <f>IF(SPT!$M$5=1,MIN(HC[[#This Row],[Pe HC (kN)]],HC[[#This Row],[R_AV (kN)]]),IF(SPT!$M$5=2,MIN(HC[[#This Row],[Pe HC (kN)]],HC[[#This Row],[R_DC (kN)]]),MIN(HC[[#This Row],[Pe HC (kN)]],HC[[#This Row],[R_AV (kN)]],HC[[#This Row],[R_DC (kN)]])))</f>
        <v>75.398223686155035</v>
      </c>
      <c r="W272" s="4">
        <f>INDEX(PILARES[],HC[[#This Row],[idPilar]],MATCH("Carga (kN)",PILARES[#Headers],0))*1.4</f>
        <v>1750</v>
      </c>
      <c r="X272" s="12">
        <f>INDEX(PILARES[],HC[[#This Row],[idPilar]],MATCH(HC[[#Headers],[ap (cm)]],PILARES[#Headers],0))</f>
        <v>50</v>
      </c>
      <c r="Y272" s="12">
        <f>INDEX(PILARES[],HC[[#This Row],[idPilar]],MATCH(HC[[#Headers],[bp (cm)]],PILARES[#Headers],0))</f>
        <v>40</v>
      </c>
      <c r="Z272" s="4">
        <f>SQRT(HC[[#This Row],[ap (cm)]]*HC[[#This Row],[bp (cm)]])</f>
        <v>44.721359549995796</v>
      </c>
      <c r="AA272" s="12">
        <f>HC[[#This Row],[ap (cm)]]*HC[[#This Row],[bp (cm)]]</f>
        <v>2000</v>
      </c>
      <c r="AB272" s="12">
        <f ca="1">IF(HC[[#This Row],[Padm∙ε (kN)]]&gt;=HC[[#This Row],[Padm (kN)]],ROUNDUP(1.05*HC[[#This Row],[Nsd (kN)]]/HC[[#This Row],[Padm (kN)]],0),ROUNDUP(1.05*HC[[#This Row],[Nsd (kN)]]/HC[[#This Row],[Padm (kN)]],0)+1)</f>
        <v>25</v>
      </c>
      <c r="AC272" s="4" t="str">
        <f ca="1">IFERROR(IF(HC[[#This Row],[nE]]=1,HC[[#This Row],[Padm (kN)]],HC[[#This Row],[Padm (kN)]]*HC[[#This Row],[nE]]*INDEX(grupoEstacas[],HC[[#This Row],[nE]],MATCH("ε",grupoEstacas[#Headers],0))),"N.S.")</f>
        <v>N.S.</v>
      </c>
      <c r="AD272" s="4">
        <f ca="1">1.05*HC[[#This Row],[Nsd (kN)]]/(HC[[#This Row],[nE]]*PI()*HC[[#This Row],[Ø (cm)]]^2/4)*10</f>
        <v>0.11553469942967216</v>
      </c>
      <c r="AE272" s="4">
        <f ca="1">IF(HC[[#This Row],[σ (MPa)]]&lt;INDEX(tipoEstaca[],MATCH($D$2,tipoEstaca[TIPO DE ESTACA],0),MATCH("σmáx (MPa)",tipoEstaca[#Headers],0)),0.4%*PI()*HC[[#This Row],[Ø (cm)]]^2/4,"N.S.")</f>
        <v>25.446900494077326</v>
      </c>
      <c r="AF272" s="82">
        <f>INDEX(tipoEstaca[],MATCH($D$2,tipoEstaca[TIPO DE ESTACA],0),MATCH(HC[[#Headers],[Comprimento (m)]],tipoEstaca[#Headers],0))</f>
        <v>4</v>
      </c>
      <c r="AG272" s="5">
        <f ca="1">HC[[#This Row],[As,mín (cm²)]]/100^2*HC[[#This Row],[Comprimento (m)]]*7850</f>
        <v>79.903267551402806</v>
      </c>
      <c r="AH272" s="4">
        <f ca="1">HC[[#This Row],[nE]]*HC[[#This Row],[Prof. (m)]]*HC[[#This Row],[Ap (m²)]]</f>
        <v>15.904312808798329</v>
      </c>
      <c r="AI272" s="82">
        <f ca="1">IF(HC[[#This Row],[nE]]=1,0,MAX(3*HC[[#This Row],[Ø (cm)]],60))</f>
        <v>270</v>
      </c>
      <c r="AJ272" s="82">
        <f ca="1">IF(HC[[#This Row],[nE]]=1,HC[[#This Row],[Ø (cm)]]+2*10,MAX(1.5*HC[[#This Row],[Ø (cm)]],HC[[#This Row],[Ø (cm)]]+15))</f>
        <v>135</v>
      </c>
      <c r="AK272" s="82" t="str">
        <f ca="1">alturaUtil(HC[[#This Row],[nE]],HC[[#This Row],[Ø (cm)]],HC[[#This Row],[e (cm)]],HC[[#This Row],[ap,eq (cm)]])</f>
        <v>N.S.</v>
      </c>
      <c r="AL272" s="82" t="str">
        <f ca="1">IFERROR(HC[[#This Row],[d (cm)]]+arredondarParaCimaMultiplo5cm(MAX(5,SQRT(PI())/2*HC[[#This Row],[Ø (cm)]]/5)),"N.S.")</f>
        <v>N.S.</v>
      </c>
      <c r="AM272" s="5" t="str">
        <f ca="1">alpha(HC[[#This Row],[nE]],HC[[#This Row],[d (cm)]],HC[[#This Row],[e (cm)]],HC[[#This Row],[ap,eq (cm)]])</f>
        <v>N.S.</v>
      </c>
      <c r="AN272" s="35" t="str">
        <f ca="1">IFERROR(HC[[#This Row],[Nsd (kN)]]/(HC[[#This Row],[Ap (cm²)]]*SIN(HC[[#This Row],[α]])^2),"N.S.")</f>
        <v>N.S.</v>
      </c>
      <c r="AO272" s="35" t="str">
        <f ca="1">IFERROR(HC[[#This Row],[Nsd (kN)]]/(HC[[#This Row],[nE]]*PI()*HC[[#This Row],[Ø (cm)]]^2/4*SIN(HC[[#This Row],[α]])^2),"N.S.")</f>
        <v>N.S.</v>
      </c>
      <c r="AP272" s="4" t="str">
        <f ca="1">IFERROR(INDEX(grupoEstacas[],HC[[#This Row],[nE]],MATCH("coef. Blévot",grupoEstacas[#Headers],0)),"N.S.")</f>
        <v>N.S.</v>
      </c>
      <c r="AQ272" s="35" t="str">
        <f ca="1">IFERROR(HC[[#This Row],[coef. Blévot]]*0.9*INDEX(tipoEstaca[],MATCH($D$2,tipoEstaca[TIPO DE ESTACA],0),MATCH("fcd (kN/cm²)",tipoEstaca[#Headers],0)),"N.S.")</f>
        <v>N.S.</v>
      </c>
      <c r="AR272" s="82" t="str">
        <f ca="1">IF(AND(HC[[#This Row],[cd,b,pil (kN/cm²)]]&lt;=HC[[#This Row],[cd,b,lim (kN/cm²)]],HC[[#This Row],[cd,b,est (kN/cm²)]]&lt;=HC[[#This Row],[cd,b,lim (kN/cm²)]]),"OK","ERRO")</f>
        <v>OK</v>
      </c>
      <c r="AS272" s="4" t="str">
        <f ca="1">As_lado(HC[[#This Row],[nE]],HC[[#This Row],[Nsd (kN)]],HC[[#This Row],[d (cm)]],HC[[#This Row],[e (cm)]],HC[[#This Row],[ap,eq (cm)]])</f>
        <v>N.S.</v>
      </c>
      <c r="AT272" s="4" t="str">
        <f ca="1">IF(HC[[#This Row],[nE]]=1,HC[[#This Row],[As,lado (cm²)]],IF(HC[[#This Row],[nE]]=2,0.075*2*HC[a (cm)],"N.A."))</f>
        <v>N.A.</v>
      </c>
      <c r="AU272" s="4" t="str">
        <f ca="1">IFERROR(IF(HC[[#This Row],[nE]]=1,"N.A.",0.2*HC[[#This Row],[As,lado (cm²)]]),"N.S.")</f>
        <v>N.S.</v>
      </c>
      <c r="AV272" s="4" t="str">
        <f ca="1">As_malha(HC[[#This Row],[nE]],HC[[#This Row],[As,lado (cm²)]],HC[[#This Row],[Nsd (kN)]])</f>
        <v>N.S.</v>
      </c>
      <c r="AW272" s="4" t="str">
        <f ca="1">As_susp_tot(HC[[#This Row],[nE]],HC[[#This Row],[Nsd (kN)]])</f>
        <v>N.S.</v>
      </c>
      <c r="AX272" s="4" t="str">
        <f ca="1">Asp_face(HC[[#This Row],[nE]],HC[[#This Row],[As,lado (cm²)]])</f>
        <v>N.S.</v>
      </c>
      <c r="AY272" s="5" t="str">
        <f ca="1">acoBloco(HC[[#This Row],[nE]],HC[[#This Row],[e (cm)]],HC[[#This Row],[a (cm)]],HC[[#This Row],[h (cm)]],HC[[#This Row],[As,lado (cm²)]],HC[[#This Row],[Asp e Asw (cm²/m)]],HC[[#This Row],[As,sup (cm²)]],HC[[#This Row],[As,malha (cm²)]],HC[[#This Row],[As,susp,tot (cm²)]],HC[[#This Row],[Asp,face (cm²)]])</f>
        <v>N.S.</v>
      </c>
      <c r="AZ272" s="4" t="str">
        <f ca="1">concretoBloco(HC[[#This Row],[nE]],HC[[#This Row],[e (cm)]],HC[[#This Row],[a (cm)]],HC[[#This Row],[h (cm)]])</f>
        <v>N.S.</v>
      </c>
      <c r="BA272" s="5">
        <f ca="1">SUM(HC[[#This Row],[Aço Est (kg)]],HC[[#This Row],[Aço Bloco (kg)]])</f>
        <v>79.903267551402806</v>
      </c>
      <c r="BB272" s="4">
        <f>INDEX(composicoes[],MATCH(95580,composicoes[CÓDIGO],0),MATCH("CUSTO TOTAL",composicoes[#Headers],0))</f>
        <v>10.46</v>
      </c>
      <c r="BC272" s="4">
        <f ca="1">SUM(HC[[#This Row],[Conc Est (m³)]],HC[[#This Row],[Conc Bloco (m³)]])</f>
        <v>15.904312808798329</v>
      </c>
      <c r="BD272" s="4">
        <f>INDEX(composicoes[],MATCH(94966,composicoes[CÓDIGO],0),MATCH("CUSTO TOTAL",composicoes[#Headers],0))</f>
        <v>439.52</v>
      </c>
      <c r="BE272" s="38">
        <f ca="1">HC[[#This Row],[Aço (kg)]]*HC[[#This Row],[Aço (R$/kg)]]+HC[[#This Row],[Conc (m³)]]*HC[[#This Row],[Conc (R$/m³)]]</f>
        <v>7826.0517443107146</v>
      </c>
      <c r="BF272" s="4" t="str">
        <f ca="1">IF(COUNTIF(HC[#This Row],"N.S.")&gt;0,"lim.","OK")</f>
        <v>lim.</v>
      </c>
      <c r="BG272" s="4" t="str">
        <f>IF(HC[[#This Row],[Prof. (m)]]&lt;4,"lim.","OK")</f>
        <v>lim.</v>
      </c>
      <c r="BH272" s="4" t="str">
        <f>IF(HC[[#This Row],[Prof. (m)]]&gt;=8*HC[[#This Row],[Ø (cm)]]/100,"OK","lim.")</f>
        <v>lim.</v>
      </c>
      <c r="BI272" s="4" t="str">
        <f ca="1">IF(HC[[#This Row],[Verif. Biela]]="OK","OK","lim.")</f>
        <v>OK</v>
      </c>
      <c r="BJ272" s="4" t="str">
        <f ca="1">IF(COUNTA(HC[[#This Row],[Nº Est.]:[Biela comp.]])=COUNTIF(HC[[#This Row],[Nº Est.]:[Biela comp.]],"OK"),"OK","lim.")</f>
        <v>lim.</v>
      </c>
      <c r="BK272" s="4" t="str">
        <f ca="1">IF(HC[[#This Row],[Controle]]="OK",HC[[#This Row],[nE]]&amp;" Ø "&amp;HC[[#This Row],[Ø (cm)]]&amp;" cm, Prof. "&amp;HC[[#This Row],[Prof. (m)]]&amp;" m","")</f>
        <v/>
      </c>
      <c r="BL272" s="4" t="str">
        <f ca="1">IF(HC[[#This Row],[idDimensionamento]]="","",HC[[#This Row],[idPilar]]&amp;HC[[#This Row],[idDimensionamento]])</f>
        <v/>
      </c>
    </row>
    <row r="273" spans="2:64" x14ac:dyDescent="0.25">
      <c r="B273" s="12">
        <f>ROUNDUP((ROW(HC[[#This Row],[idDiâmetro]])-ROW(HC[[#Headers],[idDiâmetro]]))/(COUNT(SPT[Prof. (m)])*COUNT(PILARES[Pilar])),0)</f>
        <v>10</v>
      </c>
      <c r="C273" s="12">
        <f>IF(HC[[#This Row],[idDiâmetro]]&lt;&gt;B272,1,IF(HC[[#This Row],[Prof. (m)]]=0,C272+1,C272))</f>
        <v>2</v>
      </c>
      <c r="D273" s="82">
        <f>IFERROR(IF(D272=MAX(SPT[Prof. (m)]),0,D272+1),0)</f>
        <v>2</v>
      </c>
      <c r="E273" s="82">
        <f>INDEX(SPT[],MATCH(HC[[#This Row],[Prof. (m)]],SPT[Prof. (m)],0),2)</f>
        <v>2</v>
      </c>
      <c r="F273" s="82" t="str">
        <f>INDEX(SPT[],MATCH(HC[[#This Row],[Prof. (m)]],SPT[Prof. (m)],0),3)</f>
        <v>Areia siltosa</v>
      </c>
      <c r="G273" s="82">
        <f>INDEX(estacas[],HC[[#This Row],[idDiâmetro]],MATCH($B$2,estacas[#Headers],0))</f>
        <v>90</v>
      </c>
      <c r="H273" s="82">
        <f>INDEX(estacas[],MATCH(HC[[#This Row],[Ø (cm)]],estacas[Ø HC (cm)],0),MATCH(HC[[#Headers],[Pe HC (kN)]],estacas[#Headers],0))</f>
        <v>4000</v>
      </c>
      <c r="I273" s="4">
        <f>INDEX(K_alpha_C[],MATCH(HC[[#This Row],[Solo]],K_alpha_C[Solo],0),2)</f>
        <v>0.8</v>
      </c>
      <c r="J273" s="5">
        <f>INDEX(K_alpha_C[],MATCH(HC[[#This Row],[Solo]],K_alpha_C[Solo],0),3)</f>
        <v>2</v>
      </c>
      <c r="K273" s="4">
        <f>INDEX(F1_F2[],MATCH($D$2,F1_F2[Tipo de estaca],0),2)</f>
        <v>2</v>
      </c>
      <c r="L273" s="4">
        <f>INDEX(F1_F2[],MATCH($D$2,F1_F2[Tipo de estaca],0),3)</f>
        <v>4</v>
      </c>
      <c r="M273" s="4">
        <f>PI()*(HC[[#This Row],[Ø (cm)]]/100)^2/4</f>
        <v>0.63617251235193317</v>
      </c>
      <c r="N273" s="4">
        <f>PI()*HC[[#This Row],[Ø (cm)]]/100</f>
        <v>2.8274333882308138</v>
      </c>
      <c r="O273" s="4">
        <f>IF(HC[[#This Row],[Prof. (m)]]=0,0,HC[[#This Row],[α (%)]]/100*HC[[#This Row],[K (MPa)]]*1000*HC[[#This Row],[NSPT]])</f>
        <v>32</v>
      </c>
      <c r="P273" s="4">
        <f>IF(HC[[#This Row],[Prof. (m)]]=0,0,(HC[[#This Row],[K (MPa)]]*1000*HC[[#This Row],[NSPT]]/HC[[#This Row],[F1]]*HC[[#This Row],[Ap (m²)]]+HC[[#This Row],[U (m)]]/HC[[#This Row],[F2]]*SUMIFS(HC[(α∙K∙NL∙ΔL)],HC[Prof. (m)],"&lt;="&amp;HC[[#This Row],[Prof. (m)]],HC[idDiâmetro],HC[[#This Row],[idDiâmetro]],HC[idPilar],HC[[#This Row],[idPilar]]))/'DADOS CAP. CARGA'!$D$2)</f>
        <v>277.08847204661976</v>
      </c>
      <c r="Q273" s="12">
        <f>INDEX(C_alpha_beta[],MATCH(HC[[#This Row],[Solo]],C_alpha_beta[Solo],0),MATCH(HC[[#Headers],[C (kPa)]],C_alpha_beta[#Headers],0))</f>
        <v>400</v>
      </c>
      <c r="R273" s="4">
        <f>INDEX(C_alpha_beta[],MATCH(HC[[#This Row],[Solo]],C_alpha_beta[Solo],0),MATCH(HC[[#Headers],[α ESF]],C_alpha_beta[#Headers],0))</f>
        <v>0.5</v>
      </c>
      <c r="S273" s="4">
        <f>INDEX(C_alpha_beta[],MATCH(HC[[#This Row],[Solo]],C_alpha_beta[Solo],0),MATCH(HC[[#Headers],[β ESF]],C_alpha_beta[#Headers],0))</f>
        <v>0.5</v>
      </c>
      <c r="T273" s="4">
        <f>IF(HC[[#This Row],[Prof. (m)]]=0,0,10*(HC[[#This Row],[NSPT]]/3+1))</f>
        <v>16.666666666666664</v>
      </c>
      <c r="U273" s="4">
        <f>(HC[[#This Row],[α ESF]]*HC[[#This Row],[C (kPa)]]*HC[[#This Row],[NSPT]]*HC[[#This Row],[Ap (m²)]])/'DADOS CAP. CARGA'!$Q$2+(HC[[#This Row],[β ESF]]*SUMIFS(HC[10∙(NL/3+1)],HC[Prof. (m)],"&lt;="&amp;HC[[#This Row],[Prof. (m)]],HC[idDiâmetro],HC[[#This Row],[idDiâmetro]],HC[idPilar],HC[[#This Row],[idPilar]])*HC[[#This Row],[U (m)]])/'DADOS CAP. CARGA'!$S$2</f>
        <v>87.179196137116762</v>
      </c>
      <c r="V273" s="4">
        <f>IF(SPT!$M$5=1,MIN(HC[[#This Row],[Pe HC (kN)]],HC[[#This Row],[R_AV (kN)]]),IF(SPT!$M$5=2,MIN(HC[[#This Row],[Pe HC (kN)]],HC[[#This Row],[R_DC (kN)]]),MIN(HC[[#This Row],[Pe HC (kN)]],HC[[#This Row],[R_AV (kN)]],HC[[#This Row],[R_DC (kN)]])))</f>
        <v>87.179196137116762</v>
      </c>
      <c r="W273" s="4">
        <f>INDEX(PILARES[],HC[[#This Row],[idPilar]],MATCH("Carga (kN)",PILARES[#Headers],0))*1.4</f>
        <v>1750</v>
      </c>
      <c r="X273" s="12">
        <f>INDEX(PILARES[],HC[[#This Row],[idPilar]],MATCH(HC[[#Headers],[ap (cm)]],PILARES[#Headers],0))</f>
        <v>50</v>
      </c>
      <c r="Y273" s="12">
        <f>INDEX(PILARES[],HC[[#This Row],[idPilar]],MATCH(HC[[#Headers],[bp (cm)]],PILARES[#Headers],0))</f>
        <v>40</v>
      </c>
      <c r="Z273" s="4">
        <f>SQRT(HC[[#This Row],[ap (cm)]]*HC[[#This Row],[bp (cm)]])</f>
        <v>44.721359549995796</v>
      </c>
      <c r="AA273" s="12">
        <f>HC[[#This Row],[ap (cm)]]*HC[[#This Row],[bp (cm)]]</f>
        <v>2000</v>
      </c>
      <c r="AB273" s="12">
        <f ca="1">IF(HC[[#This Row],[Padm∙ε (kN)]]&gt;=HC[[#This Row],[Padm (kN)]],ROUNDUP(1.05*HC[[#This Row],[Nsd (kN)]]/HC[[#This Row],[Padm (kN)]],0),ROUNDUP(1.05*HC[[#This Row],[Nsd (kN)]]/HC[[#This Row],[Padm (kN)]],0)+1)</f>
        <v>22</v>
      </c>
      <c r="AC273" s="4" t="str">
        <f ca="1">IFERROR(IF(HC[[#This Row],[nE]]=1,HC[[#This Row],[Padm (kN)]],HC[[#This Row],[Padm (kN)]]*HC[[#This Row],[nE]]*INDEX(grupoEstacas[],HC[[#This Row],[nE]],MATCH("ε",grupoEstacas[#Headers],0))),"N.S.")</f>
        <v>N.S.</v>
      </c>
      <c r="AD273" s="4">
        <f ca="1">1.05*HC[[#This Row],[Nsd (kN)]]/(HC[[#This Row],[nE]]*PI()*HC[[#This Row],[Ø (cm)]]^2/4)*10</f>
        <v>0.13128943117008202</v>
      </c>
      <c r="AE273" s="4">
        <f ca="1">IF(HC[[#This Row],[σ (MPa)]]&lt;INDEX(tipoEstaca[],MATCH($D$2,tipoEstaca[TIPO DE ESTACA],0),MATCH("σmáx (MPa)",tipoEstaca[#Headers],0)),0.4%*PI()*HC[[#This Row],[Ø (cm)]]^2/4,"N.S.")</f>
        <v>25.446900494077326</v>
      </c>
      <c r="AF273" s="82">
        <f>INDEX(tipoEstaca[],MATCH($D$2,tipoEstaca[TIPO DE ESTACA],0),MATCH(HC[[#Headers],[Comprimento (m)]],tipoEstaca[#Headers],0))</f>
        <v>4</v>
      </c>
      <c r="AG273" s="5">
        <f ca="1">HC[[#This Row],[As,mín (cm²)]]/100^2*HC[[#This Row],[Comprimento (m)]]*7850</f>
        <v>79.903267551402806</v>
      </c>
      <c r="AH273" s="4">
        <f ca="1">HC[[#This Row],[nE]]*HC[[#This Row],[Prof. (m)]]*HC[[#This Row],[Ap (m²)]]</f>
        <v>27.99159054348506</v>
      </c>
      <c r="AI273" s="82">
        <f ca="1">IF(HC[[#This Row],[nE]]=1,0,MAX(3*HC[[#This Row],[Ø (cm)]],60))</f>
        <v>270</v>
      </c>
      <c r="AJ273" s="82">
        <f ca="1">IF(HC[[#This Row],[nE]]=1,HC[[#This Row],[Ø (cm)]]+2*10,MAX(1.5*HC[[#This Row],[Ø (cm)]],HC[[#This Row],[Ø (cm)]]+15))</f>
        <v>135</v>
      </c>
      <c r="AK273" s="82" t="str">
        <f ca="1">alturaUtil(HC[[#This Row],[nE]],HC[[#This Row],[Ø (cm)]],HC[[#This Row],[e (cm)]],HC[[#This Row],[ap,eq (cm)]])</f>
        <v>N.S.</v>
      </c>
      <c r="AL273" s="82" t="str">
        <f ca="1">IFERROR(HC[[#This Row],[d (cm)]]+arredondarParaCimaMultiplo5cm(MAX(5,SQRT(PI())/2*HC[[#This Row],[Ø (cm)]]/5)),"N.S.")</f>
        <v>N.S.</v>
      </c>
      <c r="AM273" s="5" t="str">
        <f ca="1">alpha(HC[[#This Row],[nE]],HC[[#This Row],[d (cm)]],HC[[#This Row],[e (cm)]],HC[[#This Row],[ap,eq (cm)]])</f>
        <v>N.S.</v>
      </c>
      <c r="AN273" s="35" t="str">
        <f ca="1">IFERROR(HC[[#This Row],[Nsd (kN)]]/(HC[[#This Row],[Ap (cm²)]]*SIN(HC[[#This Row],[α]])^2),"N.S.")</f>
        <v>N.S.</v>
      </c>
      <c r="AO273" s="35" t="str">
        <f ca="1">IFERROR(HC[[#This Row],[Nsd (kN)]]/(HC[[#This Row],[nE]]*PI()*HC[[#This Row],[Ø (cm)]]^2/4*SIN(HC[[#This Row],[α]])^2),"N.S.")</f>
        <v>N.S.</v>
      </c>
      <c r="AP273" s="4" t="str">
        <f ca="1">IFERROR(INDEX(grupoEstacas[],HC[[#This Row],[nE]],MATCH("coef. Blévot",grupoEstacas[#Headers],0)),"N.S.")</f>
        <v>N.S.</v>
      </c>
      <c r="AQ273" s="35" t="str">
        <f ca="1">IFERROR(HC[[#This Row],[coef. Blévot]]*0.9*INDEX(tipoEstaca[],MATCH($D$2,tipoEstaca[TIPO DE ESTACA],0),MATCH("fcd (kN/cm²)",tipoEstaca[#Headers],0)),"N.S.")</f>
        <v>N.S.</v>
      </c>
      <c r="AR273" s="82" t="str">
        <f ca="1">IF(AND(HC[[#This Row],[cd,b,pil (kN/cm²)]]&lt;=HC[[#This Row],[cd,b,lim (kN/cm²)]],HC[[#This Row],[cd,b,est (kN/cm²)]]&lt;=HC[[#This Row],[cd,b,lim (kN/cm²)]]),"OK","ERRO")</f>
        <v>OK</v>
      </c>
      <c r="AS273" s="4" t="str">
        <f ca="1">As_lado(HC[[#This Row],[nE]],HC[[#This Row],[Nsd (kN)]],HC[[#This Row],[d (cm)]],HC[[#This Row],[e (cm)]],HC[[#This Row],[ap,eq (cm)]])</f>
        <v>N.S.</v>
      </c>
      <c r="AT273" s="4" t="str">
        <f ca="1">IF(HC[[#This Row],[nE]]=1,HC[[#This Row],[As,lado (cm²)]],IF(HC[[#This Row],[nE]]=2,0.075*2*HC[a (cm)],"N.A."))</f>
        <v>N.A.</v>
      </c>
      <c r="AU273" s="4" t="str">
        <f ca="1">IFERROR(IF(HC[[#This Row],[nE]]=1,"N.A.",0.2*HC[[#This Row],[As,lado (cm²)]]),"N.S.")</f>
        <v>N.S.</v>
      </c>
      <c r="AV273" s="4" t="str">
        <f ca="1">As_malha(HC[[#This Row],[nE]],HC[[#This Row],[As,lado (cm²)]],HC[[#This Row],[Nsd (kN)]])</f>
        <v>N.S.</v>
      </c>
      <c r="AW273" s="4" t="str">
        <f ca="1">As_susp_tot(HC[[#This Row],[nE]],HC[[#This Row],[Nsd (kN)]])</f>
        <v>N.S.</v>
      </c>
      <c r="AX273" s="4" t="str">
        <f ca="1">Asp_face(HC[[#This Row],[nE]],HC[[#This Row],[As,lado (cm²)]])</f>
        <v>N.S.</v>
      </c>
      <c r="AY273" s="5" t="str">
        <f ca="1">acoBloco(HC[[#This Row],[nE]],HC[[#This Row],[e (cm)]],HC[[#This Row],[a (cm)]],HC[[#This Row],[h (cm)]],HC[[#This Row],[As,lado (cm²)]],HC[[#This Row],[Asp e Asw (cm²/m)]],HC[[#This Row],[As,sup (cm²)]],HC[[#This Row],[As,malha (cm²)]],HC[[#This Row],[As,susp,tot (cm²)]],HC[[#This Row],[Asp,face (cm²)]])</f>
        <v>N.S.</v>
      </c>
      <c r="AZ273" s="4" t="str">
        <f ca="1">concretoBloco(HC[[#This Row],[nE]],HC[[#This Row],[e (cm)]],HC[[#This Row],[a (cm)]],HC[[#This Row],[h (cm)]])</f>
        <v>N.S.</v>
      </c>
      <c r="BA273" s="5">
        <f ca="1">SUM(HC[[#This Row],[Aço Est (kg)]],HC[[#This Row],[Aço Bloco (kg)]])</f>
        <v>79.903267551402806</v>
      </c>
      <c r="BB273" s="4">
        <f>INDEX(composicoes[],MATCH(95580,composicoes[CÓDIGO],0),MATCH("CUSTO TOTAL",composicoes[#Headers],0))</f>
        <v>10.46</v>
      </c>
      <c r="BC273" s="4">
        <f ca="1">SUM(HC[[#This Row],[Conc Est (m³)]],HC[[#This Row],[Conc Bloco (m³)]])</f>
        <v>27.99159054348506</v>
      </c>
      <c r="BD273" s="4">
        <f>INDEX(composicoes[],MATCH(94966,composicoes[CÓDIGO],0),MATCH("CUSTO TOTAL",composicoes[#Headers],0))</f>
        <v>439.52</v>
      </c>
      <c r="BE273" s="38">
        <f ca="1">HC[[#This Row],[Aço (kg)]]*HC[[#This Row],[Aço (R$/kg)]]+HC[[#This Row],[Conc (m³)]]*HC[[#This Row],[Conc (R$/m³)]]</f>
        <v>13138.652054260227</v>
      </c>
      <c r="BF273" s="4" t="str">
        <f ca="1">IF(COUNTIF(HC[#This Row],"N.S.")&gt;0,"lim.","OK")</f>
        <v>lim.</v>
      </c>
      <c r="BG273" s="4" t="str">
        <f>IF(HC[[#This Row],[Prof. (m)]]&lt;4,"lim.","OK")</f>
        <v>lim.</v>
      </c>
      <c r="BH273" s="4" t="str">
        <f>IF(HC[[#This Row],[Prof. (m)]]&gt;=8*HC[[#This Row],[Ø (cm)]]/100,"OK","lim.")</f>
        <v>lim.</v>
      </c>
      <c r="BI273" s="4" t="str">
        <f ca="1">IF(HC[[#This Row],[Verif. Biela]]="OK","OK","lim.")</f>
        <v>OK</v>
      </c>
      <c r="BJ273" s="4" t="str">
        <f ca="1">IF(COUNTA(HC[[#This Row],[Nº Est.]:[Biela comp.]])=COUNTIF(HC[[#This Row],[Nº Est.]:[Biela comp.]],"OK"),"OK","lim.")</f>
        <v>lim.</v>
      </c>
      <c r="BK273" s="4" t="str">
        <f ca="1">IF(HC[[#This Row],[Controle]]="OK",HC[[#This Row],[nE]]&amp;" Ø "&amp;HC[[#This Row],[Ø (cm)]]&amp;" cm, Prof. "&amp;HC[[#This Row],[Prof. (m)]]&amp;" m","")</f>
        <v/>
      </c>
      <c r="BL273" s="4" t="str">
        <f ca="1">IF(HC[[#This Row],[idDimensionamento]]="","",HC[[#This Row],[idPilar]]&amp;HC[[#This Row],[idDimensionamento]])</f>
        <v/>
      </c>
    </row>
    <row r="274" spans="2:64" x14ac:dyDescent="0.25">
      <c r="B274" s="12">
        <f>ROUNDUP((ROW(HC[[#This Row],[idDiâmetro]])-ROW(HC[[#Headers],[idDiâmetro]]))/(COUNT(SPT[Prof. (m)])*COUNT(PILARES[Pilar])),0)</f>
        <v>10</v>
      </c>
      <c r="C274" s="12">
        <f>IF(HC[[#This Row],[idDiâmetro]]&lt;&gt;B273,1,IF(HC[[#This Row],[Prof. (m)]]=0,C273+1,C273))</f>
        <v>2</v>
      </c>
      <c r="D274" s="82">
        <f>IFERROR(IF(D273=MAX(SPT[Prof. (m)]),0,D273+1),0)</f>
        <v>3</v>
      </c>
      <c r="E274" s="82">
        <f>INDEX(SPT[],MATCH(HC[[#This Row],[Prof. (m)]],SPT[Prof. (m)],0),2)</f>
        <v>4</v>
      </c>
      <c r="F274" s="82" t="str">
        <f>INDEX(SPT[],MATCH(HC[[#This Row],[Prof. (m)]],SPT[Prof. (m)],0),3)</f>
        <v>Areia siltosa</v>
      </c>
      <c r="G274" s="82">
        <f>INDEX(estacas[],HC[[#This Row],[idDiâmetro]],MATCH($B$2,estacas[#Headers],0))</f>
        <v>90</v>
      </c>
      <c r="H274" s="82">
        <f>INDEX(estacas[],MATCH(HC[[#This Row],[Ø (cm)]],estacas[Ø HC (cm)],0),MATCH(HC[[#Headers],[Pe HC (kN)]],estacas[#Headers],0))</f>
        <v>4000</v>
      </c>
      <c r="I274" s="4">
        <f>INDEX(K_alpha_C[],MATCH(HC[[#This Row],[Solo]],K_alpha_C[Solo],0),2)</f>
        <v>0.8</v>
      </c>
      <c r="J274" s="5">
        <f>INDEX(K_alpha_C[],MATCH(HC[[#This Row],[Solo]],K_alpha_C[Solo],0),3)</f>
        <v>2</v>
      </c>
      <c r="K274" s="4">
        <f>INDEX(F1_F2[],MATCH($D$2,F1_F2[Tipo de estaca],0),2)</f>
        <v>2</v>
      </c>
      <c r="L274" s="4">
        <f>INDEX(F1_F2[],MATCH($D$2,F1_F2[Tipo de estaca],0),3)</f>
        <v>4</v>
      </c>
      <c r="M274" s="4">
        <f>PI()*(HC[[#This Row],[Ø (cm)]]/100)^2/4</f>
        <v>0.63617251235193317</v>
      </c>
      <c r="N274" s="4">
        <f>PI()*HC[[#This Row],[Ø (cm)]]/100</f>
        <v>2.8274333882308138</v>
      </c>
      <c r="O274" s="4">
        <f>IF(HC[[#This Row],[Prof. (m)]]=0,0,HC[[#This Row],[α (%)]]/100*HC[[#This Row],[K (MPa)]]*1000*HC[[#This Row],[NSPT]])</f>
        <v>64</v>
      </c>
      <c r="P274" s="4">
        <f>IF(HC[[#This Row],[Prof. (m)]]=0,0,(HC[[#This Row],[K (MPa)]]*1000*HC[[#This Row],[NSPT]]/HC[[#This Row],[F1]]*HC[[#This Row],[Ap (m²)]]+HC[[#This Row],[U (m)]]/HC[[#This Row],[F2]]*SUMIFS(HC[(α∙K∙NL∙ΔL)],HC[Prof. (m)],"&lt;="&amp;HC[[#This Row],[Prof. (m)]],HC[idDiâmetro],HC[[#This Row],[idDiâmetro]],HC[idPilar],HC[[#This Row],[idPilar]]))/'DADOS CAP. CARGA'!$D$2)</f>
        <v>554.17694409323951</v>
      </c>
      <c r="Q274" s="12">
        <f>INDEX(C_alpha_beta[],MATCH(HC[[#This Row],[Solo]],C_alpha_beta[Solo],0),MATCH(HC[[#Headers],[C (kPa)]],C_alpha_beta[#Headers],0))</f>
        <v>400</v>
      </c>
      <c r="R274" s="4">
        <f>INDEX(C_alpha_beta[],MATCH(HC[[#This Row],[Solo]],C_alpha_beta[Solo],0),MATCH(HC[[#Headers],[α ESF]],C_alpha_beta[#Headers],0))</f>
        <v>0.5</v>
      </c>
      <c r="S274" s="4">
        <f>INDEX(C_alpha_beta[],MATCH(HC[[#This Row],[Solo]],C_alpha_beta[Solo],0),MATCH(HC[[#Headers],[β ESF]],C_alpha_beta[#Headers],0))</f>
        <v>0.5</v>
      </c>
      <c r="T274" s="4">
        <f>IF(HC[[#This Row],[Prof. (m)]]=0,0,10*(HC[[#This Row],[NSPT]]/3+1))</f>
        <v>23.333333333333329</v>
      </c>
      <c r="U274" s="4">
        <f>(HC[[#This Row],[α ESF]]*HC[[#This Row],[C (kPa)]]*HC[[#This Row],[NSPT]]*HC[[#This Row],[Ap (m²)]])/'DADOS CAP. CARGA'!$Q$2+(HC[[#This Row],[β ESF]]*SUMIFS(HC[10∙(NL/3+1)],HC[Prof. (m)],"&lt;="&amp;HC[[#This Row],[Prof. (m)]],HC[idDiâmetro],HC[[#This Row],[idDiâmetro]],HC[idPilar],HC[[#This Row],[idPilar]])*HC[[#This Row],[U (m)]])/'DADOS CAP. CARGA'!$S$2</f>
        <v>167.28980880365648</v>
      </c>
      <c r="V274" s="4">
        <f>IF(SPT!$M$5=1,MIN(HC[[#This Row],[Pe HC (kN)]],HC[[#This Row],[R_AV (kN)]]),IF(SPT!$M$5=2,MIN(HC[[#This Row],[Pe HC (kN)]],HC[[#This Row],[R_DC (kN)]]),MIN(HC[[#This Row],[Pe HC (kN)]],HC[[#This Row],[R_AV (kN)]],HC[[#This Row],[R_DC (kN)]])))</f>
        <v>167.28980880365648</v>
      </c>
      <c r="W274" s="4">
        <f>INDEX(PILARES[],HC[[#This Row],[idPilar]],MATCH("Carga (kN)",PILARES[#Headers],0))*1.4</f>
        <v>1750</v>
      </c>
      <c r="X274" s="12">
        <f>INDEX(PILARES[],HC[[#This Row],[idPilar]],MATCH(HC[[#Headers],[ap (cm)]],PILARES[#Headers],0))</f>
        <v>50</v>
      </c>
      <c r="Y274" s="12">
        <f>INDEX(PILARES[],HC[[#This Row],[idPilar]],MATCH(HC[[#Headers],[bp (cm)]],PILARES[#Headers],0))</f>
        <v>40</v>
      </c>
      <c r="Z274" s="4">
        <f>SQRT(HC[[#This Row],[ap (cm)]]*HC[[#This Row],[bp (cm)]])</f>
        <v>44.721359549995796</v>
      </c>
      <c r="AA274" s="12">
        <f>HC[[#This Row],[ap (cm)]]*HC[[#This Row],[bp (cm)]]</f>
        <v>2000</v>
      </c>
      <c r="AB274" s="12">
        <f ca="1">IF(HC[[#This Row],[Padm∙ε (kN)]]&gt;=HC[[#This Row],[Padm (kN)]],ROUNDUP(1.05*HC[[#This Row],[Nsd (kN)]]/HC[[#This Row],[Padm (kN)]],0),ROUNDUP(1.05*HC[[#This Row],[Nsd (kN)]]/HC[[#This Row],[Padm (kN)]],0)+1)</f>
        <v>11</v>
      </c>
      <c r="AC274" s="4" t="str">
        <f ca="1">IFERROR(IF(HC[[#This Row],[nE]]=1,HC[[#This Row],[Padm (kN)]],HC[[#This Row],[Padm (kN)]]*HC[[#This Row],[nE]]*INDEX(grupoEstacas[],HC[[#This Row],[nE]],MATCH("ε",grupoEstacas[#Headers],0))),"N.S.")</f>
        <v>N.S.</v>
      </c>
      <c r="AD274" s="4">
        <f ca="1">1.05*HC[[#This Row],[Nsd (kN)]]/(HC[[#This Row],[nE]]*PI()*HC[[#This Row],[Ø (cm)]]^2/4)*10</f>
        <v>0.26257886234016403</v>
      </c>
      <c r="AE274" s="4">
        <f ca="1">IF(HC[[#This Row],[σ (MPa)]]&lt;INDEX(tipoEstaca[],MATCH($D$2,tipoEstaca[TIPO DE ESTACA],0),MATCH("σmáx (MPa)",tipoEstaca[#Headers],0)),0.4%*PI()*HC[[#This Row],[Ø (cm)]]^2/4,"N.S.")</f>
        <v>25.446900494077326</v>
      </c>
      <c r="AF274" s="82">
        <f>INDEX(tipoEstaca[],MATCH($D$2,tipoEstaca[TIPO DE ESTACA],0),MATCH(HC[[#Headers],[Comprimento (m)]],tipoEstaca[#Headers],0))</f>
        <v>4</v>
      </c>
      <c r="AG274" s="5">
        <f ca="1">HC[[#This Row],[As,mín (cm²)]]/100^2*HC[[#This Row],[Comprimento (m)]]*7850</f>
        <v>79.903267551402806</v>
      </c>
      <c r="AH274" s="4">
        <f ca="1">HC[[#This Row],[nE]]*HC[[#This Row],[Prof. (m)]]*HC[[#This Row],[Ap (m²)]]</f>
        <v>20.993692907613795</v>
      </c>
      <c r="AI274" s="82">
        <f ca="1">IF(HC[[#This Row],[nE]]=1,0,MAX(3*HC[[#This Row],[Ø (cm)]],60))</f>
        <v>270</v>
      </c>
      <c r="AJ274" s="82">
        <f ca="1">IF(HC[[#This Row],[nE]]=1,HC[[#This Row],[Ø (cm)]]+2*10,MAX(1.5*HC[[#This Row],[Ø (cm)]],HC[[#This Row],[Ø (cm)]]+15))</f>
        <v>135</v>
      </c>
      <c r="AK274" s="82" t="str">
        <f ca="1">alturaUtil(HC[[#This Row],[nE]],HC[[#This Row],[Ø (cm)]],HC[[#This Row],[e (cm)]],HC[[#This Row],[ap,eq (cm)]])</f>
        <v>N.S.</v>
      </c>
      <c r="AL274" s="82" t="str">
        <f ca="1">IFERROR(HC[[#This Row],[d (cm)]]+arredondarParaCimaMultiplo5cm(MAX(5,SQRT(PI())/2*HC[[#This Row],[Ø (cm)]]/5)),"N.S.")</f>
        <v>N.S.</v>
      </c>
      <c r="AM274" s="5" t="str">
        <f ca="1">alpha(HC[[#This Row],[nE]],HC[[#This Row],[d (cm)]],HC[[#This Row],[e (cm)]],HC[[#This Row],[ap,eq (cm)]])</f>
        <v>N.S.</v>
      </c>
      <c r="AN274" s="35" t="str">
        <f ca="1">IFERROR(HC[[#This Row],[Nsd (kN)]]/(HC[[#This Row],[Ap (cm²)]]*SIN(HC[[#This Row],[α]])^2),"N.S.")</f>
        <v>N.S.</v>
      </c>
      <c r="AO274" s="35" t="str">
        <f ca="1">IFERROR(HC[[#This Row],[Nsd (kN)]]/(HC[[#This Row],[nE]]*PI()*HC[[#This Row],[Ø (cm)]]^2/4*SIN(HC[[#This Row],[α]])^2),"N.S.")</f>
        <v>N.S.</v>
      </c>
      <c r="AP274" s="4" t="str">
        <f ca="1">IFERROR(INDEX(grupoEstacas[],HC[[#This Row],[nE]],MATCH("coef. Blévot",grupoEstacas[#Headers],0)),"N.S.")</f>
        <v>N.S.</v>
      </c>
      <c r="AQ274" s="35" t="str">
        <f ca="1">IFERROR(HC[[#This Row],[coef. Blévot]]*0.9*INDEX(tipoEstaca[],MATCH($D$2,tipoEstaca[TIPO DE ESTACA],0),MATCH("fcd (kN/cm²)",tipoEstaca[#Headers],0)),"N.S.")</f>
        <v>N.S.</v>
      </c>
      <c r="AR274" s="82" t="str">
        <f ca="1">IF(AND(HC[[#This Row],[cd,b,pil (kN/cm²)]]&lt;=HC[[#This Row],[cd,b,lim (kN/cm²)]],HC[[#This Row],[cd,b,est (kN/cm²)]]&lt;=HC[[#This Row],[cd,b,lim (kN/cm²)]]),"OK","ERRO")</f>
        <v>OK</v>
      </c>
      <c r="AS274" s="4" t="str">
        <f ca="1">As_lado(HC[[#This Row],[nE]],HC[[#This Row],[Nsd (kN)]],HC[[#This Row],[d (cm)]],HC[[#This Row],[e (cm)]],HC[[#This Row],[ap,eq (cm)]])</f>
        <v>N.S.</v>
      </c>
      <c r="AT274" s="4" t="str">
        <f ca="1">IF(HC[[#This Row],[nE]]=1,HC[[#This Row],[As,lado (cm²)]],IF(HC[[#This Row],[nE]]=2,0.075*2*HC[a (cm)],"N.A."))</f>
        <v>N.A.</v>
      </c>
      <c r="AU274" s="4" t="str">
        <f ca="1">IFERROR(IF(HC[[#This Row],[nE]]=1,"N.A.",0.2*HC[[#This Row],[As,lado (cm²)]]),"N.S.")</f>
        <v>N.S.</v>
      </c>
      <c r="AV274" s="4" t="str">
        <f ca="1">As_malha(HC[[#This Row],[nE]],HC[[#This Row],[As,lado (cm²)]],HC[[#This Row],[Nsd (kN)]])</f>
        <v>N.S.</v>
      </c>
      <c r="AW274" s="4" t="str">
        <f ca="1">As_susp_tot(HC[[#This Row],[nE]],HC[[#This Row],[Nsd (kN)]])</f>
        <v>N.S.</v>
      </c>
      <c r="AX274" s="4" t="str">
        <f ca="1">Asp_face(HC[[#This Row],[nE]],HC[[#This Row],[As,lado (cm²)]])</f>
        <v>N.S.</v>
      </c>
      <c r="AY274" s="5" t="str">
        <f ca="1">acoBloco(HC[[#This Row],[nE]],HC[[#This Row],[e (cm)]],HC[[#This Row],[a (cm)]],HC[[#This Row],[h (cm)]],HC[[#This Row],[As,lado (cm²)]],HC[[#This Row],[Asp e Asw (cm²/m)]],HC[[#This Row],[As,sup (cm²)]],HC[[#This Row],[As,malha (cm²)]],HC[[#This Row],[As,susp,tot (cm²)]],HC[[#This Row],[Asp,face (cm²)]])</f>
        <v>N.S.</v>
      </c>
      <c r="AZ274" s="4" t="str">
        <f ca="1">concretoBloco(HC[[#This Row],[nE]],HC[[#This Row],[e (cm)]],HC[[#This Row],[a (cm)]],HC[[#This Row],[h (cm)]])</f>
        <v>N.S.</v>
      </c>
      <c r="BA274" s="5">
        <f ca="1">SUM(HC[[#This Row],[Aço Est (kg)]],HC[[#This Row],[Aço Bloco (kg)]])</f>
        <v>79.903267551402806</v>
      </c>
      <c r="BB274" s="4">
        <f>INDEX(composicoes[],MATCH(95580,composicoes[CÓDIGO],0),MATCH("CUSTO TOTAL",composicoes[#Headers],0))</f>
        <v>10.46</v>
      </c>
      <c r="BC274" s="4">
        <f ca="1">SUM(HC[[#This Row],[Conc Est (m³)]],HC[[#This Row],[Conc Bloco (m³)]])</f>
        <v>20.993692907613795</v>
      </c>
      <c r="BD274" s="4">
        <f>INDEX(composicoes[],MATCH(94966,composicoes[CÓDIGO],0),MATCH("CUSTO TOTAL",composicoes[#Headers],0))</f>
        <v>439.52</v>
      </c>
      <c r="BE274" s="38">
        <f ca="1">HC[[#This Row],[Aço (kg)]]*HC[[#This Row],[Aço (R$/kg)]]+HC[[#This Row],[Conc (m³)]]*HC[[#This Row],[Conc (R$/m³)]]</f>
        <v>10062.936085342088</v>
      </c>
      <c r="BF274" s="4" t="str">
        <f ca="1">IF(COUNTIF(HC[#This Row],"N.S.")&gt;0,"lim.","OK")</f>
        <v>lim.</v>
      </c>
      <c r="BG274" s="4" t="str">
        <f>IF(HC[[#This Row],[Prof. (m)]]&lt;4,"lim.","OK")</f>
        <v>lim.</v>
      </c>
      <c r="BH274" s="4" t="str">
        <f>IF(HC[[#This Row],[Prof. (m)]]&gt;=8*HC[[#This Row],[Ø (cm)]]/100,"OK","lim.")</f>
        <v>lim.</v>
      </c>
      <c r="BI274" s="4" t="str">
        <f ca="1">IF(HC[[#This Row],[Verif. Biela]]="OK","OK","lim.")</f>
        <v>OK</v>
      </c>
      <c r="BJ274" s="4" t="str">
        <f ca="1">IF(COUNTA(HC[[#This Row],[Nº Est.]:[Biela comp.]])=COUNTIF(HC[[#This Row],[Nº Est.]:[Biela comp.]],"OK"),"OK","lim.")</f>
        <v>lim.</v>
      </c>
      <c r="BK274" s="4" t="str">
        <f ca="1">IF(HC[[#This Row],[Controle]]="OK",HC[[#This Row],[nE]]&amp;" Ø "&amp;HC[[#This Row],[Ø (cm)]]&amp;" cm, Prof. "&amp;HC[[#This Row],[Prof. (m)]]&amp;" m","")</f>
        <v/>
      </c>
      <c r="BL274" s="4" t="str">
        <f ca="1">IF(HC[[#This Row],[idDimensionamento]]="","",HC[[#This Row],[idPilar]]&amp;HC[[#This Row],[idDimensionamento]])</f>
        <v/>
      </c>
    </row>
    <row r="275" spans="2:64" x14ac:dyDescent="0.25">
      <c r="B275" s="12">
        <f>ROUNDUP((ROW(HC[[#This Row],[idDiâmetro]])-ROW(HC[[#Headers],[idDiâmetro]]))/(COUNT(SPT[Prof. (m)])*COUNT(PILARES[Pilar])),0)</f>
        <v>10</v>
      </c>
      <c r="C275" s="12">
        <f>IF(HC[[#This Row],[idDiâmetro]]&lt;&gt;B274,1,IF(HC[[#This Row],[Prof. (m)]]=0,C274+1,C274))</f>
        <v>2</v>
      </c>
      <c r="D275" s="82">
        <f>IFERROR(IF(D274=MAX(SPT[Prof. (m)]),0,D274+1),0)</f>
        <v>4</v>
      </c>
      <c r="E275" s="82">
        <f>INDEX(SPT[],MATCH(HC[[#This Row],[Prof. (m)]],SPT[Prof. (m)],0),2)</f>
        <v>8</v>
      </c>
      <c r="F275" s="82" t="str">
        <f>INDEX(SPT[],MATCH(HC[[#This Row],[Prof. (m)]],SPT[Prof. (m)],0),3)</f>
        <v>Areia siltosa</v>
      </c>
      <c r="G275" s="82">
        <f>INDEX(estacas[],HC[[#This Row],[idDiâmetro]],MATCH($B$2,estacas[#Headers],0))</f>
        <v>90</v>
      </c>
      <c r="H275" s="82">
        <f>INDEX(estacas[],MATCH(HC[[#This Row],[Ø (cm)]],estacas[Ø HC (cm)],0),MATCH(HC[[#Headers],[Pe HC (kN)]],estacas[#Headers],0))</f>
        <v>4000</v>
      </c>
      <c r="I275" s="4">
        <f>INDEX(K_alpha_C[],MATCH(HC[[#This Row],[Solo]],K_alpha_C[Solo],0),2)</f>
        <v>0.8</v>
      </c>
      <c r="J275" s="5">
        <f>INDEX(K_alpha_C[],MATCH(HC[[#This Row],[Solo]],K_alpha_C[Solo],0),3)</f>
        <v>2</v>
      </c>
      <c r="K275" s="4">
        <f>INDEX(F1_F2[],MATCH($D$2,F1_F2[Tipo de estaca],0),2)</f>
        <v>2</v>
      </c>
      <c r="L275" s="4">
        <f>INDEX(F1_F2[],MATCH($D$2,F1_F2[Tipo de estaca],0),3)</f>
        <v>4</v>
      </c>
      <c r="M275" s="4">
        <f>PI()*(HC[[#This Row],[Ø (cm)]]/100)^2/4</f>
        <v>0.63617251235193317</v>
      </c>
      <c r="N275" s="4">
        <f>PI()*HC[[#This Row],[Ø (cm)]]/100</f>
        <v>2.8274333882308138</v>
      </c>
      <c r="O275" s="4">
        <f>IF(HC[[#This Row],[Prof. (m)]]=0,0,HC[[#This Row],[α (%)]]/100*HC[[#This Row],[K (MPa)]]*1000*HC[[#This Row],[NSPT]])</f>
        <v>128</v>
      </c>
      <c r="P275" s="4">
        <f>IF(HC[[#This Row],[Prof. (m)]]=0,0,(HC[[#This Row],[K (MPa)]]*1000*HC[[#This Row],[NSPT]]/HC[[#This Row],[F1]]*HC[[#This Row],[Ap (m²)]]+HC[[#This Row],[U (m)]]/HC[[#This Row],[F2]]*SUMIFS(HC[(α∙K∙NL∙ΔL)],HC[Prof. (m)],"&lt;="&amp;HC[[#This Row],[Prof. (m)]],HC[idDiâmetro],HC[[#This Row],[idDiâmetro]],HC[idPilar],HC[[#This Row],[idPilar]]))/'DADOS CAP. CARGA'!$D$2)</f>
        <v>1108.353888186479</v>
      </c>
      <c r="Q275" s="12">
        <f>INDEX(C_alpha_beta[],MATCH(HC[[#This Row],[Solo]],C_alpha_beta[Solo],0),MATCH(HC[[#Headers],[C (kPa)]],C_alpha_beta[#Headers],0))</f>
        <v>400</v>
      </c>
      <c r="R275" s="4">
        <f>INDEX(C_alpha_beta[],MATCH(HC[[#This Row],[Solo]],C_alpha_beta[Solo],0),MATCH(HC[[#Headers],[α ESF]],C_alpha_beta[#Headers],0))</f>
        <v>0.5</v>
      </c>
      <c r="S275" s="4">
        <f>INDEX(C_alpha_beta[],MATCH(HC[[#This Row],[Solo]],C_alpha_beta[Solo],0),MATCH(HC[[#Headers],[β ESF]],C_alpha_beta[#Headers],0))</f>
        <v>0.5</v>
      </c>
      <c r="T275" s="4">
        <f>IF(HC[[#This Row],[Prof. (m)]]=0,0,10*(HC[[#This Row],[NSPT]]/3+1))</f>
        <v>36.666666666666664</v>
      </c>
      <c r="U275" s="4">
        <f>(HC[[#This Row],[α ESF]]*HC[[#This Row],[C (kPa)]]*HC[[#This Row],[NSPT]]*HC[[#This Row],[Ap (m²)]])/'DADOS CAP. CARGA'!$Q$2+(HC[[#This Row],[β ESF]]*SUMIFS(HC[10∙(NL/3+1)],HC[Prof. (m)],"&lt;="&amp;HC[[#This Row],[Prof. (m)]],HC[idDiâmetro],HC[[#This Row],[idDiâmetro]],HC[idPilar],HC[[#This Row],[idPilar]])*HC[[#This Row],[U (m)]])/'DADOS CAP. CARGA'!$S$2</f>
        <v>320.44245066615889</v>
      </c>
      <c r="V275" s="4">
        <f>IF(SPT!$M$5=1,MIN(HC[[#This Row],[Pe HC (kN)]],HC[[#This Row],[R_AV (kN)]]),IF(SPT!$M$5=2,MIN(HC[[#This Row],[Pe HC (kN)]],HC[[#This Row],[R_DC (kN)]]),MIN(HC[[#This Row],[Pe HC (kN)]],HC[[#This Row],[R_AV (kN)]],HC[[#This Row],[R_DC (kN)]])))</f>
        <v>320.44245066615889</v>
      </c>
      <c r="W275" s="4">
        <f>INDEX(PILARES[],HC[[#This Row],[idPilar]],MATCH("Carga (kN)",PILARES[#Headers],0))*1.4</f>
        <v>1750</v>
      </c>
      <c r="X275" s="12">
        <f>INDEX(PILARES[],HC[[#This Row],[idPilar]],MATCH(HC[[#Headers],[ap (cm)]],PILARES[#Headers],0))</f>
        <v>50</v>
      </c>
      <c r="Y275" s="12">
        <f>INDEX(PILARES[],HC[[#This Row],[idPilar]],MATCH(HC[[#Headers],[bp (cm)]],PILARES[#Headers],0))</f>
        <v>40</v>
      </c>
      <c r="Z275" s="4">
        <f>SQRT(HC[[#This Row],[ap (cm)]]*HC[[#This Row],[bp (cm)]])</f>
        <v>44.721359549995796</v>
      </c>
      <c r="AA275" s="12">
        <f>HC[[#This Row],[ap (cm)]]*HC[[#This Row],[bp (cm)]]</f>
        <v>2000</v>
      </c>
      <c r="AB275" s="12">
        <f ca="1">IF(HC[[#This Row],[Padm∙ε (kN)]]&gt;=HC[[#This Row],[Padm (kN)]],ROUNDUP(1.05*HC[[#This Row],[Nsd (kN)]]/HC[[#This Row],[Padm (kN)]],0),ROUNDUP(1.05*HC[[#This Row],[Nsd (kN)]]/HC[[#This Row],[Padm (kN)]],0)+1)</f>
        <v>6</v>
      </c>
      <c r="AC275" s="4" t="str">
        <f ca="1">IFERROR(IF(HC[[#This Row],[nE]]=1,HC[[#This Row],[Padm (kN)]],HC[[#This Row],[Padm (kN)]]*HC[[#This Row],[nE]]*INDEX(grupoEstacas[],HC[[#This Row],[nE]],MATCH("ε",grupoEstacas[#Headers],0))),"N.S.")</f>
        <v>N.S.</v>
      </c>
      <c r="AD275" s="4">
        <f ca="1">1.05*HC[[#This Row],[Nsd (kN)]]/(HC[[#This Row],[nE]]*PI()*HC[[#This Row],[Ø (cm)]]^2/4)*10</f>
        <v>0.48139458095696741</v>
      </c>
      <c r="AE275" s="4">
        <f ca="1">IF(HC[[#This Row],[σ (MPa)]]&lt;INDEX(tipoEstaca[],MATCH($D$2,tipoEstaca[TIPO DE ESTACA],0),MATCH("σmáx (MPa)",tipoEstaca[#Headers],0)),0.4%*PI()*HC[[#This Row],[Ø (cm)]]^2/4,"N.S.")</f>
        <v>25.446900494077326</v>
      </c>
      <c r="AF275" s="82">
        <f>INDEX(tipoEstaca[],MATCH($D$2,tipoEstaca[TIPO DE ESTACA],0),MATCH(HC[[#Headers],[Comprimento (m)]],tipoEstaca[#Headers],0))</f>
        <v>4</v>
      </c>
      <c r="AG275" s="5">
        <f ca="1">HC[[#This Row],[As,mín (cm²)]]/100^2*HC[[#This Row],[Comprimento (m)]]*7850</f>
        <v>79.903267551402806</v>
      </c>
      <c r="AH275" s="4">
        <f ca="1">HC[[#This Row],[nE]]*HC[[#This Row],[Prof. (m)]]*HC[[#This Row],[Ap (m²)]]</f>
        <v>15.268140296446397</v>
      </c>
      <c r="AI275" s="82">
        <f ca="1">IF(HC[[#This Row],[nE]]=1,0,MAX(3*HC[[#This Row],[Ø (cm)]],60))</f>
        <v>270</v>
      </c>
      <c r="AJ275" s="82">
        <f ca="1">IF(HC[[#This Row],[nE]]=1,HC[[#This Row],[Ø (cm)]]+2*10,MAX(1.5*HC[[#This Row],[Ø (cm)]],HC[[#This Row],[Ø (cm)]]+15))</f>
        <v>135</v>
      </c>
      <c r="AK275" s="82" t="str">
        <f ca="1">alturaUtil(HC[[#This Row],[nE]],HC[[#This Row],[Ø (cm)]],HC[[#This Row],[e (cm)]],HC[[#This Row],[ap,eq (cm)]])</f>
        <v>N.S.</v>
      </c>
      <c r="AL275" s="82" t="str">
        <f ca="1">IFERROR(HC[[#This Row],[d (cm)]]+arredondarParaCimaMultiplo5cm(MAX(5,SQRT(PI())/2*HC[[#This Row],[Ø (cm)]]/5)),"N.S.")</f>
        <v>N.S.</v>
      </c>
      <c r="AM275" s="5" t="str">
        <f ca="1">alpha(HC[[#This Row],[nE]],HC[[#This Row],[d (cm)]],HC[[#This Row],[e (cm)]],HC[[#This Row],[ap,eq (cm)]])</f>
        <v>N.S.</v>
      </c>
      <c r="AN275" s="35" t="str">
        <f ca="1">IFERROR(HC[[#This Row],[Nsd (kN)]]/(HC[[#This Row],[Ap (cm²)]]*SIN(HC[[#This Row],[α]])^2),"N.S.")</f>
        <v>N.S.</v>
      </c>
      <c r="AO275" s="35" t="str">
        <f ca="1">IFERROR(HC[[#This Row],[Nsd (kN)]]/(HC[[#This Row],[nE]]*PI()*HC[[#This Row],[Ø (cm)]]^2/4*SIN(HC[[#This Row],[α]])^2),"N.S.")</f>
        <v>N.S.</v>
      </c>
      <c r="AP275" s="4" t="str">
        <f ca="1">IFERROR(INDEX(grupoEstacas[],HC[[#This Row],[nE]],MATCH("coef. Blévot",grupoEstacas[#Headers],0)),"N.S.")</f>
        <v>N.S.</v>
      </c>
      <c r="AQ275" s="35" t="str">
        <f ca="1">IFERROR(HC[[#This Row],[coef. Blévot]]*0.9*INDEX(tipoEstaca[],MATCH($D$2,tipoEstaca[TIPO DE ESTACA],0),MATCH("fcd (kN/cm²)",tipoEstaca[#Headers],0)),"N.S.")</f>
        <v>N.S.</v>
      </c>
      <c r="AR275" s="82" t="str">
        <f ca="1">IF(AND(HC[[#This Row],[cd,b,pil (kN/cm²)]]&lt;=HC[[#This Row],[cd,b,lim (kN/cm²)]],HC[[#This Row],[cd,b,est (kN/cm²)]]&lt;=HC[[#This Row],[cd,b,lim (kN/cm²)]]),"OK","ERRO")</f>
        <v>OK</v>
      </c>
      <c r="AS275" s="4" t="str">
        <f ca="1">As_lado(HC[[#This Row],[nE]],HC[[#This Row],[Nsd (kN)]],HC[[#This Row],[d (cm)]],HC[[#This Row],[e (cm)]],HC[[#This Row],[ap,eq (cm)]])</f>
        <v>N.S.</v>
      </c>
      <c r="AT275" s="4" t="str">
        <f ca="1">IF(HC[[#This Row],[nE]]=1,HC[[#This Row],[As,lado (cm²)]],IF(HC[[#This Row],[nE]]=2,0.075*2*HC[a (cm)],"N.A."))</f>
        <v>N.A.</v>
      </c>
      <c r="AU275" s="4" t="str">
        <f ca="1">IFERROR(IF(HC[[#This Row],[nE]]=1,"N.A.",0.2*HC[[#This Row],[As,lado (cm²)]]),"N.S.")</f>
        <v>N.S.</v>
      </c>
      <c r="AV275" s="4" t="str">
        <f ca="1">As_malha(HC[[#This Row],[nE]],HC[[#This Row],[As,lado (cm²)]],HC[[#This Row],[Nsd (kN)]])</f>
        <v>N.S.</v>
      </c>
      <c r="AW275" s="4" t="str">
        <f ca="1">As_susp_tot(HC[[#This Row],[nE]],HC[[#This Row],[Nsd (kN)]])</f>
        <v>N.S.</v>
      </c>
      <c r="AX275" s="4" t="str">
        <f ca="1">Asp_face(HC[[#This Row],[nE]],HC[[#This Row],[As,lado (cm²)]])</f>
        <v>N.S.</v>
      </c>
      <c r="AY275" s="5" t="str">
        <f ca="1">acoBloco(HC[[#This Row],[nE]],HC[[#This Row],[e (cm)]],HC[[#This Row],[a (cm)]],HC[[#This Row],[h (cm)]],HC[[#This Row],[As,lado (cm²)]],HC[[#This Row],[Asp e Asw (cm²/m)]],HC[[#This Row],[As,sup (cm²)]],HC[[#This Row],[As,malha (cm²)]],HC[[#This Row],[As,susp,tot (cm²)]],HC[[#This Row],[Asp,face (cm²)]])</f>
        <v>N.S.</v>
      </c>
      <c r="AZ275" s="4" t="str">
        <f ca="1">concretoBloco(HC[[#This Row],[nE]],HC[[#This Row],[e (cm)]],HC[[#This Row],[a (cm)]],HC[[#This Row],[h (cm)]])</f>
        <v>N.S.</v>
      </c>
      <c r="BA275" s="5">
        <f ca="1">SUM(HC[[#This Row],[Aço Est (kg)]],HC[[#This Row],[Aço Bloco (kg)]])</f>
        <v>79.903267551402806</v>
      </c>
      <c r="BB275" s="4">
        <f>INDEX(composicoes[],MATCH(95580,composicoes[CÓDIGO],0),MATCH("CUSTO TOTAL",composicoes[#Headers],0))</f>
        <v>10.46</v>
      </c>
      <c r="BC275" s="4">
        <f ca="1">SUM(HC[[#This Row],[Conc Est (m³)]],HC[[#This Row],[Conc Bloco (m³)]])</f>
        <v>15.268140296446397</v>
      </c>
      <c r="BD275" s="4">
        <f>INDEX(composicoes[],MATCH(94966,composicoes[CÓDIGO],0),MATCH("CUSTO TOTAL",composicoes[#Headers],0))</f>
        <v>439.52</v>
      </c>
      <c r="BE275" s="38">
        <f ca="1">HC[[#This Row],[Aço (kg)]]*HC[[#This Row],[Aço (R$/kg)]]+HC[[#This Row],[Conc (m³)]]*HC[[#This Row],[Conc (R$/m³)]]</f>
        <v>7546.4412016817932</v>
      </c>
      <c r="BF275" s="4" t="str">
        <f ca="1">IF(COUNTIF(HC[#This Row],"N.S.")&gt;0,"lim.","OK")</f>
        <v>lim.</v>
      </c>
      <c r="BG275" s="4" t="str">
        <f>IF(HC[[#This Row],[Prof. (m)]]&lt;4,"lim.","OK")</f>
        <v>OK</v>
      </c>
      <c r="BH275" s="4" t="str">
        <f>IF(HC[[#This Row],[Prof. (m)]]&gt;=8*HC[[#This Row],[Ø (cm)]]/100,"OK","lim.")</f>
        <v>lim.</v>
      </c>
      <c r="BI275" s="4" t="str">
        <f ca="1">IF(HC[[#This Row],[Verif. Biela]]="OK","OK","lim.")</f>
        <v>OK</v>
      </c>
      <c r="BJ275" s="4" t="str">
        <f ca="1">IF(COUNTA(HC[[#This Row],[Nº Est.]:[Biela comp.]])=COUNTIF(HC[[#This Row],[Nº Est.]:[Biela comp.]],"OK"),"OK","lim.")</f>
        <v>lim.</v>
      </c>
      <c r="BK275" s="4" t="str">
        <f ca="1">IF(HC[[#This Row],[Controle]]="OK",HC[[#This Row],[nE]]&amp;" Ø "&amp;HC[[#This Row],[Ø (cm)]]&amp;" cm, Prof. "&amp;HC[[#This Row],[Prof. (m)]]&amp;" m","")</f>
        <v/>
      </c>
      <c r="BL275" s="4" t="str">
        <f ca="1">IF(HC[[#This Row],[idDimensionamento]]="","",HC[[#This Row],[idPilar]]&amp;HC[[#This Row],[idDimensionamento]])</f>
        <v/>
      </c>
    </row>
    <row r="276" spans="2:64" x14ac:dyDescent="0.25">
      <c r="B276" s="12">
        <f>ROUNDUP((ROW(HC[[#This Row],[idDiâmetro]])-ROW(HC[[#Headers],[idDiâmetro]]))/(COUNT(SPT[Prof. (m)])*COUNT(PILARES[Pilar])),0)</f>
        <v>10</v>
      </c>
      <c r="C276" s="12">
        <f>IF(HC[[#This Row],[idDiâmetro]]&lt;&gt;B275,1,IF(HC[[#This Row],[Prof. (m)]]=0,C275+1,C275))</f>
        <v>2</v>
      </c>
      <c r="D276" s="82">
        <f>IFERROR(IF(D275=MAX(SPT[Prof. (m)]),0,D275+1),0)</f>
        <v>5</v>
      </c>
      <c r="E276" s="82">
        <f>INDEX(SPT[],MATCH(HC[[#This Row],[Prof. (m)]],SPT[Prof. (m)],0),2)</f>
        <v>17</v>
      </c>
      <c r="F276" s="82" t="str">
        <f>INDEX(SPT[],MATCH(HC[[#This Row],[Prof. (m)]],SPT[Prof. (m)],0),3)</f>
        <v>Areia siltosa</v>
      </c>
      <c r="G276" s="82">
        <f>INDEX(estacas[],HC[[#This Row],[idDiâmetro]],MATCH($B$2,estacas[#Headers],0))</f>
        <v>90</v>
      </c>
      <c r="H276" s="82">
        <f>INDEX(estacas[],MATCH(HC[[#This Row],[Ø (cm)]],estacas[Ø HC (cm)],0),MATCH(HC[[#Headers],[Pe HC (kN)]],estacas[#Headers],0))</f>
        <v>4000</v>
      </c>
      <c r="I276" s="4">
        <f>INDEX(K_alpha_C[],MATCH(HC[[#This Row],[Solo]],K_alpha_C[Solo],0),2)</f>
        <v>0.8</v>
      </c>
      <c r="J276" s="5">
        <f>INDEX(K_alpha_C[],MATCH(HC[[#This Row],[Solo]],K_alpha_C[Solo],0),3)</f>
        <v>2</v>
      </c>
      <c r="K276" s="4">
        <f>INDEX(F1_F2[],MATCH($D$2,F1_F2[Tipo de estaca],0),2)</f>
        <v>2</v>
      </c>
      <c r="L276" s="4">
        <f>INDEX(F1_F2[],MATCH($D$2,F1_F2[Tipo de estaca],0),3)</f>
        <v>4</v>
      </c>
      <c r="M276" s="4">
        <f>PI()*(HC[[#This Row],[Ø (cm)]]/100)^2/4</f>
        <v>0.63617251235193317</v>
      </c>
      <c r="N276" s="4">
        <f>PI()*HC[[#This Row],[Ø (cm)]]/100</f>
        <v>2.8274333882308138</v>
      </c>
      <c r="O276" s="4">
        <f>IF(HC[[#This Row],[Prof. (m)]]=0,0,HC[[#This Row],[α (%)]]/100*HC[[#This Row],[K (MPa)]]*1000*HC[[#This Row],[NSPT]])</f>
        <v>272</v>
      </c>
      <c r="P276" s="4">
        <f>IF(HC[[#This Row],[Prof. (m)]]=0,0,(HC[[#This Row],[K (MPa)]]*1000*HC[[#This Row],[NSPT]]/HC[[#This Row],[F1]]*HC[[#This Row],[Ap (m²)]]+HC[[#This Row],[U (m)]]/HC[[#This Row],[F2]]*SUMIFS(HC[(α∙K∙NL∙ΔL)],HC[Prof. (m)],"&lt;="&amp;HC[[#This Row],[Prof. (m)]],HC[idDiâmetro],HC[[#This Row],[idDiâmetro]],HC[idPilar],HC[[#This Row],[idPilar]]))/'DADOS CAP. CARGA'!$D$2)</f>
        <v>2349.5971456198063</v>
      </c>
      <c r="Q276" s="12">
        <f>INDEX(C_alpha_beta[],MATCH(HC[[#This Row],[Solo]],C_alpha_beta[Solo],0),MATCH(HC[[#Headers],[C (kPa)]],C_alpha_beta[#Headers],0))</f>
        <v>400</v>
      </c>
      <c r="R276" s="4">
        <f>INDEX(C_alpha_beta[],MATCH(HC[[#This Row],[Solo]],C_alpha_beta[Solo],0),MATCH(HC[[#Headers],[α ESF]],C_alpha_beta[#Headers],0))</f>
        <v>0.5</v>
      </c>
      <c r="S276" s="4">
        <f>INDEX(C_alpha_beta[],MATCH(HC[[#This Row],[Solo]],C_alpha_beta[Solo],0),MATCH(HC[[#Headers],[β ESF]],C_alpha_beta[#Headers],0))</f>
        <v>0.5</v>
      </c>
      <c r="T276" s="4">
        <f>IF(HC[[#This Row],[Prof. (m)]]=0,0,10*(HC[[#This Row],[NSPT]]/3+1))</f>
        <v>66.666666666666671</v>
      </c>
      <c r="U276" s="4">
        <f>(HC[[#This Row],[α ESF]]*HC[[#This Row],[C (kPa)]]*HC[[#This Row],[NSPT]]*HC[[#This Row],[Ap (m²)]])/'DADOS CAP. CARGA'!$Q$2+(HC[[#This Row],[β ESF]]*SUMIFS(HC[10∙(NL/3+1)],HC[Prof. (m)],"&lt;="&amp;HC[[#This Row],[Prof. (m)]],HC[idDiâmetro],HC[[#This Row],[idDiâmetro]],HC[idPilar],HC[[#This Row],[idPilar]])*HC[[#This Row],[U (m)]])/'DADOS CAP. CARGA'!$S$2</f>
        <v>653.84397102837568</v>
      </c>
      <c r="V276" s="4">
        <f>IF(SPT!$M$5=1,MIN(HC[[#This Row],[Pe HC (kN)]],HC[[#This Row],[R_AV (kN)]]),IF(SPT!$M$5=2,MIN(HC[[#This Row],[Pe HC (kN)]],HC[[#This Row],[R_DC (kN)]]),MIN(HC[[#This Row],[Pe HC (kN)]],HC[[#This Row],[R_AV (kN)]],HC[[#This Row],[R_DC (kN)]])))</f>
        <v>653.84397102837568</v>
      </c>
      <c r="W276" s="4">
        <f>INDEX(PILARES[],HC[[#This Row],[idPilar]],MATCH("Carga (kN)",PILARES[#Headers],0))*1.4</f>
        <v>1750</v>
      </c>
      <c r="X276" s="12">
        <f>INDEX(PILARES[],HC[[#This Row],[idPilar]],MATCH(HC[[#Headers],[ap (cm)]],PILARES[#Headers],0))</f>
        <v>50</v>
      </c>
      <c r="Y276" s="12">
        <f>INDEX(PILARES[],HC[[#This Row],[idPilar]],MATCH(HC[[#Headers],[bp (cm)]],PILARES[#Headers],0))</f>
        <v>40</v>
      </c>
      <c r="Z276" s="4">
        <f>SQRT(HC[[#This Row],[ap (cm)]]*HC[[#This Row],[bp (cm)]])</f>
        <v>44.721359549995796</v>
      </c>
      <c r="AA276" s="12">
        <f>HC[[#This Row],[ap (cm)]]*HC[[#This Row],[bp (cm)]]</f>
        <v>2000</v>
      </c>
      <c r="AB276" s="12">
        <f ca="1">IF(HC[[#This Row],[Padm∙ε (kN)]]&gt;=HC[[#This Row],[Padm (kN)]],ROUNDUP(1.05*HC[[#This Row],[Nsd (kN)]]/HC[[#This Row],[Padm (kN)]],0),ROUNDUP(1.05*HC[[#This Row],[Nsd (kN)]]/HC[[#This Row],[Padm (kN)]],0)+1)</f>
        <v>3</v>
      </c>
      <c r="AC276" s="4">
        <f ca="1">IFERROR(IF(HC[[#This Row],[nE]]=1,HC[[#This Row],[Padm (kN)]],HC[[#This Row],[Padm (kN)]]*HC[[#This Row],[nE]]*INDEX(grupoEstacas[],HC[[#This Row],[nE]],MATCH("ε",grupoEstacas[#Headers],0))),"N.S.")</f>
        <v>1716.3404239494862</v>
      </c>
      <c r="AD276" s="4">
        <f ca="1">1.05*HC[[#This Row],[Nsd (kN)]]/(HC[[#This Row],[nE]]*PI()*HC[[#This Row],[Ø (cm)]]^2/4)*10</f>
        <v>0.96278916191393482</v>
      </c>
      <c r="AE276" s="4">
        <f ca="1">IF(HC[[#This Row],[σ (MPa)]]&lt;INDEX(tipoEstaca[],MATCH($D$2,tipoEstaca[TIPO DE ESTACA],0),MATCH("σmáx (MPa)",tipoEstaca[#Headers],0)),0.4%*PI()*HC[[#This Row],[Ø (cm)]]^2/4,"N.S.")</f>
        <v>25.446900494077326</v>
      </c>
      <c r="AF276" s="82">
        <f>INDEX(tipoEstaca[],MATCH($D$2,tipoEstaca[TIPO DE ESTACA],0),MATCH(HC[[#Headers],[Comprimento (m)]],tipoEstaca[#Headers],0))</f>
        <v>4</v>
      </c>
      <c r="AG276" s="5">
        <f ca="1">HC[[#This Row],[As,mín (cm²)]]/100^2*HC[[#This Row],[Comprimento (m)]]*7850</f>
        <v>79.903267551402806</v>
      </c>
      <c r="AH276" s="4">
        <f ca="1">HC[[#This Row],[nE]]*HC[[#This Row],[Prof. (m)]]*HC[[#This Row],[Ap (m²)]]</f>
        <v>9.5425876852789973</v>
      </c>
      <c r="AI276" s="82">
        <f ca="1">IF(HC[[#This Row],[nE]]=1,0,MAX(3*HC[[#This Row],[Ø (cm)]],60))</f>
        <v>270</v>
      </c>
      <c r="AJ276" s="82">
        <f ca="1">IF(HC[[#This Row],[nE]]=1,HC[[#This Row],[Ø (cm)]]+2*10,MAX(1.5*HC[[#This Row],[Ø (cm)]],HC[[#This Row],[Ø (cm)]]+15))</f>
        <v>135</v>
      </c>
      <c r="AK276" s="82">
        <f ca="1">alturaUtil(HC[[#This Row],[nE]],HC[[#This Row],[Ø (cm)]],HC[[#This Row],[e (cm)]],HC[[#This Row],[ap,eq (cm)]])</f>
        <v>125</v>
      </c>
      <c r="AL276" s="82">
        <f ca="1">IFERROR(HC[[#This Row],[d (cm)]]+arredondarParaCimaMultiplo5cm(MAX(5,SQRT(PI())/2*HC[[#This Row],[Ø (cm)]]/5)),"N.S.")</f>
        <v>145</v>
      </c>
      <c r="AM276" s="5">
        <f ca="1">alpha(HC[[#This Row],[nE]],HC[[#This Row],[d (cm)]],HC[[#This Row],[e (cm)]],HC[[#This Row],[ap,eq (cm)]])</f>
        <v>45.793780423018326</v>
      </c>
      <c r="AN276" s="35">
        <f ca="1">IFERROR(HC[[#This Row],[Nsd (kN)]]/(HC[[#This Row],[Ap (cm²)]]*SIN(HC[[#This Row],[α]])^2),"N.S.")</f>
        <v>0.92771280329559436</v>
      </c>
      <c r="AO276" s="35">
        <f ca="1">IFERROR(HC[[#This Row],[Nsd (kN)]]/(HC[[#This Row],[nE]]*PI()*HC[[#This Row],[Ø (cm)]]^2/4*SIN(HC[[#This Row],[α]])^2),"N.S.")</f>
        <v>9.721815862658964E-2</v>
      </c>
      <c r="AP276" s="4">
        <f ca="1">IFERROR(INDEX(grupoEstacas[],HC[[#This Row],[nE]],MATCH("coef. Blévot",grupoEstacas[#Headers],0)),"N.S.")</f>
        <v>1.75</v>
      </c>
      <c r="AQ276" s="35">
        <f ca="1">IFERROR(HC[[#This Row],[coef. Blévot]]*0.9*INDEX(tipoEstaca[],MATCH($D$2,tipoEstaca[TIPO DE ESTACA],0),MATCH("fcd (kN/cm²)",tipoEstaca[#Headers],0)),"N.S.")</f>
        <v>1.75</v>
      </c>
      <c r="AR276" s="82" t="str">
        <f ca="1">IF(AND(HC[[#This Row],[cd,b,pil (kN/cm²)]]&lt;=HC[[#This Row],[cd,b,lim (kN/cm²)]],HC[[#This Row],[cd,b,est (kN/cm²)]]&lt;=HC[[#This Row],[cd,b,lim (kN/cm²)]]),"OK","ERRO")</f>
        <v>OK</v>
      </c>
      <c r="AS276" s="4">
        <f ca="1">As_lado(HC[[#This Row],[nE]],HC[[#This Row],[Nsd (kN)]],HC[[#This Row],[d (cm)]],HC[[#This Row],[e (cm)]],HC[[#This Row],[ap,eq (cm)]])</f>
        <v>8.8285995750141382</v>
      </c>
      <c r="AT276" s="4" t="str">
        <f ca="1">IF(HC[[#This Row],[nE]]=1,HC[[#This Row],[As,lado (cm²)]],IF(HC[[#This Row],[nE]]=2,0.075*2*HC[a (cm)],"N.A."))</f>
        <v>N.A.</v>
      </c>
      <c r="AU276" s="4">
        <f ca="1">IFERROR(IF(HC[[#This Row],[nE]]=1,"N.A.",0.2*HC[[#This Row],[As,lado (cm²)]]),"N.S.")</f>
        <v>1.7657199150028278</v>
      </c>
      <c r="AV276" s="4">
        <f ca="1">As_malha(HC[[#This Row],[nE]],HC[[#This Row],[As,lado (cm²)]],HC[[#This Row],[Nsd (kN)]])</f>
        <v>2.981481481481481</v>
      </c>
      <c r="AW276" s="4">
        <f ca="1">As_susp_tot(HC[[#This Row],[nE]],HC[[#This Row],[Nsd (kN)]])</f>
        <v>8.9444444444444429</v>
      </c>
      <c r="AX276" s="4">
        <f ca="1">Asp_face(HC[[#This Row],[nE]],HC[[#This Row],[As,lado (cm²)]])</f>
        <v>3.3107248406303018</v>
      </c>
      <c r="AY276" s="5">
        <f ca="1">acoBloco(HC[[#This Row],[nE]],HC[[#This Row],[e (cm)]],HC[[#This Row],[a (cm)]],HC[[#This Row],[h (cm)]],HC[[#This Row],[As,lado (cm²)]],HC[[#This Row],[Asp e Asw (cm²/m)]],HC[[#This Row],[As,sup (cm²)]],HC[[#This Row],[As,malha (cm²)]],HC[[#This Row],[As,susp,tot (cm²)]],HC[[#This Row],[Asp,face (cm²)]])</f>
        <v>236.18801347465742</v>
      </c>
      <c r="AZ276" s="4">
        <f ca="1">concretoBloco(HC[[#This Row],[nE]],HC[[#This Row],[e (cm)]],HC[[#This Row],[a (cm)]],HC[[#This Row],[h (cm)]])</f>
        <v>29.58723229605511</v>
      </c>
      <c r="BA276" s="5">
        <f ca="1">SUM(HC[[#This Row],[Aço Est (kg)]],HC[[#This Row],[Aço Bloco (kg)]])</f>
        <v>316.09128102606024</v>
      </c>
      <c r="BB276" s="4">
        <f>INDEX(composicoes[],MATCH(95580,composicoes[CÓDIGO],0),MATCH("CUSTO TOTAL",composicoes[#Headers],0))</f>
        <v>10.46</v>
      </c>
      <c r="BC276" s="4">
        <f ca="1">SUM(HC[[#This Row],[Conc Est (m³)]],HC[[#This Row],[Conc Bloco (m³)]])</f>
        <v>39.129819981334109</v>
      </c>
      <c r="BD276" s="4">
        <f>INDEX(composicoes[],MATCH(94966,composicoes[CÓDIGO],0),MATCH("CUSTO TOTAL",composicoes[#Headers],0))</f>
        <v>439.52</v>
      </c>
      <c r="BE276" s="38">
        <f ca="1">HC[[#This Row],[Aço (kg)]]*HC[[#This Row],[Aço (R$/kg)]]+HC[[#This Row],[Conc (m³)]]*HC[[#This Row],[Conc (R$/m³)]]</f>
        <v>20504.653277728557</v>
      </c>
      <c r="BF276" s="4" t="str">
        <f ca="1">IF(COUNTIF(HC[#This Row],"N.S.")&gt;0,"lim.","OK")</f>
        <v>OK</v>
      </c>
      <c r="BG276" s="4" t="str">
        <f>IF(HC[[#This Row],[Prof. (m)]]&lt;4,"lim.","OK")</f>
        <v>OK</v>
      </c>
      <c r="BH276" s="4" t="str">
        <f>IF(HC[[#This Row],[Prof. (m)]]&gt;=8*HC[[#This Row],[Ø (cm)]]/100,"OK","lim.")</f>
        <v>lim.</v>
      </c>
      <c r="BI276" s="4" t="str">
        <f ca="1">IF(HC[[#This Row],[Verif. Biela]]="OK","OK","lim.")</f>
        <v>OK</v>
      </c>
      <c r="BJ276" s="4" t="str">
        <f ca="1">IF(COUNTA(HC[[#This Row],[Nº Est.]:[Biela comp.]])=COUNTIF(HC[[#This Row],[Nº Est.]:[Biela comp.]],"OK"),"OK","lim.")</f>
        <v>lim.</v>
      </c>
      <c r="BK276" s="4" t="str">
        <f ca="1">IF(HC[[#This Row],[Controle]]="OK",HC[[#This Row],[nE]]&amp;" Ø "&amp;HC[[#This Row],[Ø (cm)]]&amp;" cm, Prof. "&amp;HC[[#This Row],[Prof. (m)]]&amp;" m","")</f>
        <v/>
      </c>
      <c r="BL276" s="4" t="str">
        <f ca="1">IF(HC[[#This Row],[idDimensionamento]]="","",HC[[#This Row],[idPilar]]&amp;HC[[#This Row],[idDimensionamento]])</f>
        <v/>
      </c>
    </row>
    <row r="277" spans="2:64" x14ac:dyDescent="0.25">
      <c r="B277" s="12">
        <f>ROUNDUP((ROW(HC[[#This Row],[idDiâmetro]])-ROW(HC[[#Headers],[idDiâmetro]]))/(COUNT(SPT[Prof. (m)])*COUNT(PILARES[Pilar])),0)</f>
        <v>10</v>
      </c>
      <c r="C277" s="12">
        <f>IF(HC[[#This Row],[idDiâmetro]]&lt;&gt;B276,1,IF(HC[[#This Row],[Prof. (m)]]=0,C276+1,C276))</f>
        <v>2</v>
      </c>
      <c r="D277" s="82">
        <f>IFERROR(IF(D276=MAX(SPT[Prof. (m)]),0,D276+1),0)</f>
        <v>6</v>
      </c>
      <c r="E277" s="82">
        <f>INDEX(SPT[],MATCH(HC[[#This Row],[Prof. (m)]],SPT[Prof. (m)],0),2)</f>
        <v>21</v>
      </c>
      <c r="F277" s="82" t="str">
        <f>INDEX(SPT[],MATCH(HC[[#This Row],[Prof. (m)]],SPT[Prof. (m)],0),3)</f>
        <v>Silte arenoso</v>
      </c>
      <c r="G277" s="82">
        <f>INDEX(estacas[],HC[[#This Row],[idDiâmetro]],MATCH($B$2,estacas[#Headers],0))</f>
        <v>90</v>
      </c>
      <c r="H277" s="82">
        <f>INDEX(estacas[],MATCH(HC[[#This Row],[Ø (cm)]],estacas[Ø HC (cm)],0),MATCH(HC[[#Headers],[Pe HC (kN)]],estacas[#Headers],0))</f>
        <v>4000</v>
      </c>
      <c r="I277" s="4">
        <f>INDEX(K_alpha_C[],MATCH(HC[[#This Row],[Solo]],K_alpha_C[Solo],0),2)</f>
        <v>0.55000000000000004</v>
      </c>
      <c r="J277" s="5">
        <f>INDEX(K_alpha_C[],MATCH(HC[[#This Row],[Solo]],K_alpha_C[Solo],0),3)</f>
        <v>2.2000000000000002</v>
      </c>
      <c r="K277" s="4">
        <f>INDEX(F1_F2[],MATCH($D$2,F1_F2[Tipo de estaca],0),2)</f>
        <v>2</v>
      </c>
      <c r="L277" s="4">
        <f>INDEX(F1_F2[],MATCH($D$2,F1_F2[Tipo de estaca],0),3)</f>
        <v>4</v>
      </c>
      <c r="M277" s="4">
        <f>PI()*(HC[[#This Row],[Ø (cm)]]/100)^2/4</f>
        <v>0.63617251235193317</v>
      </c>
      <c r="N277" s="4">
        <f>PI()*HC[[#This Row],[Ø (cm)]]/100</f>
        <v>2.8274333882308138</v>
      </c>
      <c r="O277" s="4">
        <f>IF(HC[[#This Row],[Prof. (m)]]=0,0,HC[[#This Row],[α (%)]]/100*HC[[#This Row],[K (MPa)]]*1000*HC[[#This Row],[NSPT]])</f>
        <v>254.10000000000002</v>
      </c>
      <c r="P277" s="4">
        <f>IF(HC[[#This Row],[Prof. (m)]]=0,0,(HC[[#This Row],[K (MPa)]]*1000*HC[[#This Row],[NSPT]]/HC[[#This Row],[F1]]*HC[[#This Row],[Ap (m²)]]+HC[[#This Row],[U (m)]]/HC[[#This Row],[F2]]*SUMIFS(HC[(α∙K∙NL∙ΔL)],HC[Prof. (m)],"&lt;="&amp;HC[[#This Row],[Prof. (m)]],HC[idDiâmetro],HC[[#This Row],[idDiâmetro]],HC[idPilar],HC[[#This Row],[idPilar]]))/'DADOS CAP. CARGA'!$D$2)</f>
        <v>2113.3650860331218</v>
      </c>
      <c r="Q277" s="12">
        <f>INDEX(C_alpha_beta[],MATCH(HC[[#This Row],[Solo]],C_alpha_beta[Solo],0),MATCH(HC[[#Headers],[C (kPa)]],C_alpha_beta[#Headers],0))</f>
        <v>250</v>
      </c>
      <c r="R277" s="4">
        <f>INDEX(C_alpha_beta[],MATCH(HC[[#This Row],[Solo]],C_alpha_beta[Solo],0),MATCH(HC[[#Headers],[α ESF]],C_alpha_beta[#Headers],0))</f>
        <v>0.6</v>
      </c>
      <c r="S277" s="4">
        <f>INDEX(C_alpha_beta[],MATCH(HC[[#This Row],[Solo]],C_alpha_beta[Solo],0),MATCH(HC[[#Headers],[β ESF]],C_alpha_beta[#Headers],0))</f>
        <v>0.65</v>
      </c>
      <c r="T277" s="4">
        <f>IF(HC[[#This Row],[Prof. (m)]]=0,0,10*(HC[[#This Row],[NSPT]]/3+1))</f>
        <v>80</v>
      </c>
      <c r="U277" s="4">
        <f>(HC[[#This Row],[α ESF]]*HC[[#This Row],[C (kPa)]]*HC[[#This Row],[NSPT]]*HC[[#This Row],[Ap (m²)]])/'DADOS CAP. CARGA'!$Q$2+(HC[[#This Row],[β ESF]]*SUMIFS(HC[10∙(NL/3+1)],HC[Prof. (m)],"&lt;="&amp;HC[[#This Row],[Prof. (m)]],HC[idDiâmetro],HC[[#This Row],[idDiâmetro]],HC[idPilar],HC[[#This Row],[idPilar]])*HC[[#This Row],[U (m)]])/'DADOS CAP. CARGA'!$S$2</f>
        <v>721.52565775915082</v>
      </c>
      <c r="V277" s="4">
        <f>IF(SPT!$M$5=1,MIN(HC[[#This Row],[Pe HC (kN)]],HC[[#This Row],[R_AV (kN)]]),IF(SPT!$M$5=2,MIN(HC[[#This Row],[Pe HC (kN)]],HC[[#This Row],[R_DC (kN)]]),MIN(HC[[#This Row],[Pe HC (kN)]],HC[[#This Row],[R_AV (kN)]],HC[[#This Row],[R_DC (kN)]])))</f>
        <v>721.52565775915082</v>
      </c>
      <c r="W277" s="4">
        <f>INDEX(PILARES[],HC[[#This Row],[idPilar]],MATCH("Carga (kN)",PILARES[#Headers],0))*1.4</f>
        <v>1750</v>
      </c>
      <c r="X277" s="12">
        <f>INDEX(PILARES[],HC[[#This Row],[idPilar]],MATCH(HC[[#Headers],[ap (cm)]],PILARES[#Headers],0))</f>
        <v>50</v>
      </c>
      <c r="Y277" s="12">
        <f>INDEX(PILARES[],HC[[#This Row],[idPilar]],MATCH(HC[[#Headers],[bp (cm)]],PILARES[#Headers],0))</f>
        <v>40</v>
      </c>
      <c r="Z277" s="4">
        <f>SQRT(HC[[#This Row],[ap (cm)]]*HC[[#This Row],[bp (cm)]])</f>
        <v>44.721359549995796</v>
      </c>
      <c r="AA277" s="12">
        <f>HC[[#This Row],[ap (cm)]]*HC[[#This Row],[bp (cm)]]</f>
        <v>2000</v>
      </c>
      <c r="AB277" s="12">
        <f ca="1">IF(HC[[#This Row],[Padm∙ε (kN)]]&gt;=HC[[#This Row],[Padm (kN)]],ROUNDUP(1.05*HC[[#This Row],[Nsd (kN)]]/HC[[#This Row],[Padm (kN)]],0),ROUNDUP(1.05*HC[[#This Row],[Nsd (kN)]]/HC[[#This Row],[Padm (kN)]],0)+1)</f>
        <v>3</v>
      </c>
      <c r="AC277" s="4">
        <f ca="1">IFERROR(IF(HC[[#This Row],[nE]]=1,HC[[#This Row],[Padm (kN)]],HC[[#This Row],[Padm (kN)]]*HC[[#This Row],[nE]]*INDEX(grupoEstacas[],HC[[#This Row],[nE]],MATCH("ε",grupoEstacas[#Headers],0))),"N.S.")</f>
        <v>1894.0048516177708</v>
      </c>
      <c r="AD277" s="4">
        <f ca="1">1.05*HC[[#This Row],[Nsd (kN)]]/(HC[[#This Row],[nE]]*PI()*HC[[#This Row],[Ø (cm)]]^2/4)*10</f>
        <v>0.96278916191393482</v>
      </c>
      <c r="AE277" s="4">
        <f ca="1">IF(HC[[#This Row],[σ (MPa)]]&lt;INDEX(tipoEstaca[],MATCH($D$2,tipoEstaca[TIPO DE ESTACA],0),MATCH("σmáx (MPa)",tipoEstaca[#Headers],0)),0.4%*PI()*HC[[#This Row],[Ø (cm)]]^2/4,"N.S.")</f>
        <v>25.446900494077326</v>
      </c>
      <c r="AF277" s="82">
        <f>INDEX(tipoEstaca[],MATCH($D$2,tipoEstaca[TIPO DE ESTACA],0),MATCH(HC[[#Headers],[Comprimento (m)]],tipoEstaca[#Headers],0))</f>
        <v>4</v>
      </c>
      <c r="AG277" s="5">
        <f ca="1">HC[[#This Row],[As,mín (cm²)]]/100^2*HC[[#This Row],[Comprimento (m)]]*7850</f>
        <v>79.903267551402806</v>
      </c>
      <c r="AH277" s="4">
        <f ca="1">HC[[#This Row],[nE]]*HC[[#This Row],[Prof. (m)]]*HC[[#This Row],[Ap (m²)]]</f>
        <v>11.451105222334798</v>
      </c>
      <c r="AI277" s="82">
        <f ca="1">IF(HC[[#This Row],[nE]]=1,0,MAX(3*HC[[#This Row],[Ø (cm)]],60))</f>
        <v>270</v>
      </c>
      <c r="AJ277" s="82">
        <f ca="1">IF(HC[[#This Row],[nE]]=1,HC[[#This Row],[Ø (cm)]]+2*10,MAX(1.5*HC[[#This Row],[Ø (cm)]],HC[[#This Row],[Ø (cm)]]+15))</f>
        <v>135</v>
      </c>
      <c r="AK277" s="82">
        <f ca="1">alturaUtil(HC[[#This Row],[nE]],HC[[#This Row],[Ø (cm)]],HC[[#This Row],[e (cm)]],HC[[#This Row],[ap,eq (cm)]])</f>
        <v>125</v>
      </c>
      <c r="AL277" s="82">
        <f ca="1">IFERROR(HC[[#This Row],[d (cm)]]+arredondarParaCimaMultiplo5cm(MAX(5,SQRT(PI())/2*HC[[#This Row],[Ø (cm)]]/5)),"N.S.")</f>
        <v>145</v>
      </c>
      <c r="AM277" s="5">
        <f ca="1">alpha(HC[[#This Row],[nE]],HC[[#This Row],[d (cm)]],HC[[#This Row],[e (cm)]],HC[[#This Row],[ap,eq (cm)]])</f>
        <v>45.793780423018326</v>
      </c>
      <c r="AN277" s="35">
        <f ca="1">IFERROR(HC[[#This Row],[Nsd (kN)]]/(HC[[#This Row],[Ap (cm²)]]*SIN(HC[[#This Row],[α]])^2),"N.S.")</f>
        <v>0.92771280329559436</v>
      </c>
      <c r="AO277" s="35">
        <f ca="1">IFERROR(HC[[#This Row],[Nsd (kN)]]/(HC[[#This Row],[nE]]*PI()*HC[[#This Row],[Ø (cm)]]^2/4*SIN(HC[[#This Row],[α]])^2),"N.S.")</f>
        <v>9.721815862658964E-2</v>
      </c>
      <c r="AP277" s="4">
        <f ca="1">IFERROR(INDEX(grupoEstacas[],HC[[#This Row],[nE]],MATCH("coef. Blévot",grupoEstacas[#Headers],0)),"N.S.")</f>
        <v>1.75</v>
      </c>
      <c r="AQ277" s="35">
        <f ca="1">IFERROR(HC[[#This Row],[coef. Blévot]]*0.9*INDEX(tipoEstaca[],MATCH($D$2,tipoEstaca[TIPO DE ESTACA],0),MATCH("fcd (kN/cm²)",tipoEstaca[#Headers],0)),"N.S.")</f>
        <v>1.75</v>
      </c>
      <c r="AR277" s="82" t="str">
        <f ca="1">IF(AND(HC[[#This Row],[cd,b,pil (kN/cm²)]]&lt;=HC[[#This Row],[cd,b,lim (kN/cm²)]],HC[[#This Row],[cd,b,est (kN/cm²)]]&lt;=HC[[#This Row],[cd,b,lim (kN/cm²)]]),"OK","ERRO")</f>
        <v>OK</v>
      </c>
      <c r="AS277" s="4">
        <f ca="1">As_lado(HC[[#This Row],[nE]],HC[[#This Row],[Nsd (kN)]],HC[[#This Row],[d (cm)]],HC[[#This Row],[e (cm)]],HC[[#This Row],[ap,eq (cm)]])</f>
        <v>8.8285995750141382</v>
      </c>
      <c r="AT277" s="4" t="str">
        <f ca="1">IF(HC[[#This Row],[nE]]=1,HC[[#This Row],[As,lado (cm²)]],IF(HC[[#This Row],[nE]]=2,0.075*2*HC[a (cm)],"N.A."))</f>
        <v>N.A.</v>
      </c>
      <c r="AU277" s="4">
        <f ca="1">IFERROR(IF(HC[[#This Row],[nE]]=1,"N.A.",0.2*HC[[#This Row],[As,lado (cm²)]]),"N.S.")</f>
        <v>1.7657199150028278</v>
      </c>
      <c r="AV277" s="4">
        <f ca="1">As_malha(HC[[#This Row],[nE]],HC[[#This Row],[As,lado (cm²)]],HC[[#This Row],[Nsd (kN)]])</f>
        <v>2.981481481481481</v>
      </c>
      <c r="AW277" s="4">
        <f ca="1">As_susp_tot(HC[[#This Row],[nE]],HC[[#This Row],[Nsd (kN)]])</f>
        <v>8.9444444444444429</v>
      </c>
      <c r="AX277" s="4">
        <f ca="1">Asp_face(HC[[#This Row],[nE]],HC[[#This Row],[As,lado (cm²)]])</f>
        <v>3.3107248406303018</v>
      </c>
      <c r="AY277" s="5">
        <f ca="1">acoBloco(HC[[#This Row],[nE]],HC[[#This Row],[e (cm)]],HC[[#This Row],[a (cm)]],HC[[#This Row],[h (cm)]],HC[[#This Row],[As,lado (cm²)]],HC[[#This Row],[Asp e Asw (cm²/m)]],HC[[#This Row],[As,sup (cm²)]],HC[[#This Row],[As,malha (cm²)]],HC[[#This Row],[As,susp,tot (cm²)]],HC[[#This Row],[Asp,face (cm²)]])</f>
        <v>236.18801347465742</v>
      </c>
      <c r="AZ277" s="4">
        <f ca="1">concretoBloco(HC[[#This Row],[nE]],HC[[#This Row],[e (cm)]],HC[[#This Row],[a (cm)]],HC[[#This Row],[h (cm)]])</f>
        <v>29.58723229605511</v>
      </c>
      <c r="BA277" s="5">
        <f ca="1">SUM(HC[[#This Row],[Aço Est (kg)]],HC[[#This Row],[Aço Bloco (kg)]])</f>
        <v>316.09128102606024</v>
      </c>
      <c r="BB277" s="4">
        <f>INDEX(composicoes[],MATCH(95580,composicoes[CÓDIGO],0),MATCH("CUSTO TOTAL",composicoes[#Headers],0))</f>
        <v>10.46</v>
      </c>
      <c r="BC277" s="4">
        <f ca="1">SUM(HC[[#This Row],[Conc Est (m³)]],HC[[#This Row],[Conc Bloco (m³)]])</f>
        <v>41.038337518389909</v>
      </c>
      <c r="BD277" s="4">
        <f>INDEX(composicoes[],MATCH(94966,composicoes[CÓDIGO],0),MATCH("CUSTO TOTAL",composicoes[#Headers],0))</f>
        <v>439.52</v>
      </c>
      <c r="BE277" s="38">
        <f ca="1">HC[[#This Row],[Aço (kg)]]*HC[[#This Row],[Aço (R$/kg)]]+HC[[#This Row],[Conc (m³)]]*HC[[#This Row],[Conc (R$/m³)]]</f>
        <v>21343.484905615322</v>
      </c>
      <c r="BF277" s="4" t="str">
        <f ca="1">IF(COUNTIF(HC[#This Row],"N.S.")&gt;0,"lim.","OK")</f>
        <v>OK</v>
      </c>
      <c r="BG277" s="4" t="str">
        <f>IF(HC[[#This Row],[Prof. (m)]]&lt;4,"lim.","OK")</f>
        <v>OK</v>
      </c>
      <c r="BH277" s="4" t="str">
        <f>IF(HC[[#This Row],[Prof. (m)]]&gt;=8*HC[[#This Row],[Ø (cm)]]/100,"OK","lim.")</f>
        <v>lim.</v>
      </c>
      <c r="BI277" s="4" t="str">
        <f ca="1">IF(HC[[#This Row],[Verif. Biela]]="OK","OK","lim.")</f>
        <v>OK</v>
      </c>
      <c r="BJ277" s="4" t="str">
        <f ca="1">IF(COUNTA(HC[[#This Row],[Nº Est.]:[Biela comp.]])=COUNTIF(HC[[#This Row],[Nº Est.]:[Biela comp.]],"OK"),"OK","lim.")</f>
        <v>lim.</v>
      </c>
      <c r="BK277" s="4" t="str">
        <f ca="1">IF(HC[[#This Row],[Controle]]="OK",HC[[#This Row],[nE]]&amp;" Ø "&amp;HC[[#This Row],[Ø (cm)]]&amp;" cm, Prof. "&amp;HC[[#This Row],[Prof. (m)]]&amp;" m","")</f>
        <v/>
      </c>
      <c r="BL277" s="4" t="str">
        <f ca="1">IF(HC[[#This Row],[idDimensionamento]]="","",HC[[#This Row],[idPilar]]&amp;HC[[#This Row],[idDimensionamento]])</f>
        <v/>
      </c>
    </row>
    <row r="278" spans="2:64" x14ac:dyDescent="0.25">
      <c r="B278" s="12">
        <f>ROUNDUP((ROW(HC[[#This Row],[idDiâmetro]])-ROW(HC[[#Headers],[idDiâmetro]]))/(COUNT(SPT[Prof. (m)])*COUNT(PILARES[Pilar])),0)</f>
        <v>10</v>
      </c>
      <c r="C278" s="12">
        <f>IF(HC[[#This Row],[idDiâmetro]]&lt;&gt;B277,1,IF(HC[[#This Row],[Prof. (m)]]=0,C277+1,C277))</f>
        <v>2</v>
      </c>
      <c r="D278" s="82">
        <f>IFERROR(IF(D277=MAX(SPT[Prof. (m)]),0,D277+1),0)</f>
        <v>7</v>
      </c>
      <c r="E278" s="82">
        <f>INDEX(SPT[],MATCH(HC[[#This Row],[Prof. (m)]],SPT[Prof. (m)],0),2)</f>
        <v>8</v>
      </c>
      <c r="F278" s="82" t="str">
        <f>INDEX(SPT[],MATCH(HC[[#This Row],[Prof. (m)]],SPT[Prof. (m)],0),3)</f>
        <v>Silte arenoso</v>
      </c>
      <c r="G278" s="82">
        <f>INDEX(estacas[],HC[[#This Row],[idDiâmetro]],MATCH($B$2,estacas[#Headers],0))</f>
        <v>90</v>
      </c>
      <c r="H278" s="82">
        <f>INDEX(estacas[],MATCH(HC[[#This Row],[Ø (cm)]],estacas[Ø HC (cm)],0),MATCH(HC[[#Headers],[Pe HC (kN)]],estacas[#Headers],0))</f>
        <v>4000</v>
      </c>
      <c r="I278" s="4">
        <f>INDEX(K_alpha_C[],MATCH(HC[[#This Row],[Solo]],K_alpha_C[Solo],0),2)</f>
        <v>0.55000000000000004</v>
      </c>
      <c r="J278" s="5">
        <f>INDEX(K_alpha_C[],MATCH(HC[[#This Row],[Solo]],K_alpha_C[Solo],0),3)</f>
        <v>2.2000000000000002</v>
      </c>
      <c r="K278" s="4">
        <f>INDEX(F1_F2[],MATCH($D$2,F1_F2[Tipo de estaca],0),2)</f>
        <v>2</v>
      </c>
      <c r="L278" s="4">
        <f>INDEX(F1_F2[],MATCH($D$2,F1_F2[Tipo de estaca],0),3)</f>
        <v>4</v>
      </c>
      <c r="M278" s="4">
        <f>PI()*(HC[[#This Row],[Ø (cm)]]/100)^2/4</f>
        <v>0.63617251235193317</v>
      </c>
      <c r="N278" s="4">
        <f>PI()*HC[[#This Row],[Ø (cm)]]/100</f>
        <v>2.8274333882308138</v>
      </c>
      <c r="O278" s="4">
        <f>IF(HC[[#This Row],[Prof. (m)]]=0,0,HC[[#This Row],[α (%)]]/100*HC[[#This Row],[K (MPa)]]*1000*HC[[#This Row],[NSPT]])</f>
        <v>96.800000000000011</v>
      </c>
      <c r="P278" s="4">
        <f>IF(HC[[#This Row],[Prof. (m)]]=0,0,(HC[[#This Row],[K (MPa)]]*1000*HC[[#This Row],[NSPT]]/HC[[#This Row],[F1]]*HC[[#This Row],[Ap (m²)]]+HC[[#This Row],[U (m)]]/HC[[#This Row],[F2]]*SUMIFS(HC[(α∙K∙NL∙ΔL)],HC[Prof. (m)],"&lt;="&amp;HC[[#This Row],[Prof. (m)]],HC[idDiâmetro],HC[[#This Row],[idDiâmetro]],HC[idPilar],HC[[#This Row],[idPilar]]))/'DADOS CAP. CARGA'!$D$2)</f>
        <v>1010.4186642016343</v>
      </c>
      <c r="Q278" s="12">
        <f>INDEX(C_alpha_beta[],MATCH(HC[[#This Row],[Solo]],C_alpha_beta[Solo],0),MATCH(HC[[#Headers],[C (kPa)]],C_alpha_beta[#Headers],0))</f>
        <v>250</v>
      </c>
      <c r="R278" s="4">
        <f>INDEX(C_alpha_beta[],MATCH(HC[[#This Row],[Solo]],C_alpha_beta[Solo],0),MATCH(HC[[#Headers],[α ESF]],C_alpha_beta[#Headers],0))</f>
        <v>0.6</v>
      </c>
      <c r="S278" s="4">
        <f>INDEX(C_alpha_beta[],MATCH(HC[[#This Row],[Solo]],C_alpha_beta[Solo],0),MATCH(HC[[#Headers],[β ESF]],C_alpha_beta[#Headers],0))</f>
        <v>0.65</v>
      </c>
      <c r="T278" s="4">
        <f>IF(HC[[#This Row],[Prof. (m)]]=0,0,10*(HC[[#This Row],[NSPT]]/3+1))</f>
        <v>36.666666666666664</v>
      </c>
      <c r="U278" s="4">
        <f>(HC[[#This Row],[α ESF]]*HC[[#This Row],[C (kPa)]]*HC[[#This Row],[NSPT]]*HC[[#This Row],[Ap (m²)]])/'DADOS CAP. CARGA'!$Q$2+(HC[[#This Row],[β ESF]]*SUMIFS(HC[10∙(NL/3+1)],HC[Prof. (m)],"&lt;="&amp;HC[[#This Row],[Prof. (m)]],HC[idDiâmetro],HC[[#This Row],[idDiâmetro]],HC[idPilar],HC[[#This Row],[idPilar]])*HC[[#This Row],[U (m)]])/'DADOS CAP. CARGA'!$S$2</f>
        <v>445.085139197334</v>
      </c>
      <c r="V278" s="4">
        <f>IF(SPT!$M$5=1,MIN(HC[[#This Row],[Pe HC (kN)]],HC[[#This Row],[R_AV (kN)]]),IF(SPT!$M$5=2,MIN(HC[[#This Row],[Pe HC (kN)]],HC[[#This Row],[R_DC (kN)]]),MIN(HC[[#This Row],[Pe HC (kN)]],HC[[#This Row],[R_AV (kN)]],HC[[#This Row],[R_DC (kN)]])))</f>
        <v>445.085139197334</v>
      </c>
      <c r="W278" s="4">
        <f>INDEX(PILARES[],HC[[#This Row],[idPilar]],MATCH("Carga (kN)",PILARES[#Headers],0))*1.4</f>
        <v>1750</v>
      </c>
      <c r="X278" s="12">
        <f>INDEX(PILARES[],HC[[#This Row],[idPilar]],MATCH(HC[[#Headers],[ap (cm)]],PILARES[#Headers],0))</f>
        <v>50</v>
      </c>
      <c r="Y278" s="12">
        <f>INDEX(PILARES[],HC[[#This Row],[idPilar]],MATCH(HC[[#Headers],[bp (cm)]],PILARES[#Headers],0))</f>
        <v>40</v>
      </c>
      <c r="Z278" s="4">
        <f>SQRT(HC[[#This Row],[ap (cm)]]*HC[[#This Row],[bp (cm)]])</f>
        <v>44.721359549995796</v>
      </c>
      <c r="AA278" s="12">
        <f>HC[[#This Row],[ap (cm)]]*HC[[#This Row],[bp (cm)]]</f>
        <v>2000</v>
      </c>
      <c r="AB278" s="12">
        <f ca="1">IF(HC[[#This Row],[Padm∙ε (kN)]]&gt;=HC[[#This Row],[Padm (kN)]],ROUNDUP(1.05*HC[[#This Row],[Nsd (kN)]]/HC[[#This Row],[Padm (kN)]],0),ROUNDUP(1.05*HC[[#This Row],[Nsd (kN)]]/HC[[#This Row],[Padm (kN)]],0)+1)</f>
        <v>5</v>
      </c>
      <c r="AC278" s="4" t="str">
        <f ca="1">IFERROR(IF(HC[[#This Row],[nE]]=1,HC[[#This Row],[Padm (kN)]],HC[[#This Row],[Padm (kN)]]*HC[[#This Row],[nE]]*INDEX(grupoEstacas[],HC[[#This Row],[nE]],MATCH("ε",grupoEstacas[#Headers],0))),"N.S.")</f>
        <v>N.S.</v>
      </c>
      <c r="AD278" s="4">
        <f ca="1">1.05*HC[[#This Row],[Nsd (kN)]]/(HC[[#This Row],[nE]]*PI()*HC[[#This Row],[Ø (cm)]]^2/4)*10</f>
        <v>0.57767349714836091</v>
      </c>
      <c r="AE278" s="4">
        <f ca="1">IF(HC[[#This Row],[σ (MPa)]]&lt;INDEX(tipoEstaca[],MATCH($D$2,tipoEstaca[TIPO DE ESTACA],0),MATCH("σmáx (MPa)",tipoEstaca[#Headers],0)),0.4%*PI()*HC[[#This Row],[Ø (cm)]]^2/4,"N.S.")</f>
        <v>25.446900494077326</v>
      </c>
      <c r="AF278" s="82">
        <f>INDEX(tipoEstaca[],MATCH($D$2,tipoEstaca[TIPO DE ESTACA],0),MATCH(HC[[#Headers],[Comprimento (m)]],tipoEstaca[#Headers],0))</f>
        <v>4</v>
      </c>
      <c r="AG278" s="5">
        <f ca="1">HC[[#This Row],[As,mín (cm²)]]/100^2*HC[[#This Row],[Comprimento (m)]]*7850</f>
        <v>79.903267551402806</v>
      </c>
      <c r="AH278" s="4">
        <f ca="1">HC[[#This Row],[nE]]*HC[[#This Row],[Prof. (m)]]*HC[[#This Row],[Ap (m²)]]</f>
        <v>22.266037932317662</v>
      </c>
      <c r="AI278" s="82">
        <f ca="1">IF(HC[[#This Row],[nE]]=1,0,MAX(3*HC[[#This Row],[Ø (cm)]],60))</f>
        <v>270</v>
      </c>
      <c r="AJ278" s="82">
        <f ca="1">IF(HC[[#This Row],[nE]]=1,HC[[#This Row],[Ø (cm)]]+2*10,MAX(1.5*HC[[#This Row],[Ø (cm)]],HC[[#This Row],[Ø (cm)]]+15))</f>
        <v>135</v>
      </c>
      <c r="AK278" s="82" t="str">
        <f ca="1">alturaUtil(HC[[#This Row],[nE]],HC[[#This Row],[Ø (cm)]],HC[[#This Row],[e (cm)]],HC[[#This Row],[ap,eq (cm)]])</f>
        <v>N.S.</v>
      </c>
      <c r="AL278" s="82" t="str">
        <f ca="1">IFERROR(HC[[#This Row],[d (cm)]]+arredondarParaCimaMultiplo5cm(MAX(5,SQRT(PI())/2*HC[[#This Row],[Ø (cm)]]/5)),"N.S.")</f>
        <v>N.S.</v>
      </c>
      <c r="AM278" s="5" t="str">
        <f ca="1">alpha(HC[[#This Row],[nE]],HC[[#This Row],[d (cm)]],HC[[#This Row],[e (cm)]],HC[[#This Row],[ap,eq (cm)]])</f>
        <v>N.S.</v>
      </c>
      <c r="AN278" s="35" t="str">
        <f ca="1">IFERROR(HC[[#This Row],[Nsd (kN)]]/(HC[[#This Row],[Ap (cm²)]]*SIN(HC[[#This Row],[α]])^2),"N.S.")</f>
        <v>N.S.</v>
      </c>
      <c r="AO278" s="35" t="str">
        <f ca="1">IFERROR(HC[[#This Row],[Nsd (kN)]]/(HC[[#This Row],[nE]]*PI()*HC[[#This Row],[Ø (cm)]]^2/4*SIN(HC[[#This Row],[α]])^2),"N.S.")</f>
        <v>N.S.</v>
      </c>
      <c r="AP278" s="4" t="str">
        <f ca="1">IFERROR(INDEX(grupoEstacas[],HC[[#This Row],[nE]],MATCH("coef. Blévot",grupoEstacas[#Headers],0)),"N.S.")</f>
        <v>N.S.</v>
      </c>
      <c r="AQ278" s="35" t="str">
        <f ca="1">IFERROR(HC[[#This Row],[coef. Blévot]]*0.9*INDEX(tipoEstaca[],MATCH($D$2,tipoEstaca[TIPO DE ESTACA],0),MATCH("fcd (kN/cm²)",tipoEstaca[#Headers],0)),"N.S.")</f>
        <v>N.S.</v>
      </c>
      <c r="AR278" s="82" t="str">
        <f ca="1">IF(AND(HC[[#This Row],[cd,b,pil (kN/cm²)]]&lt;=HC[[#This Row],[cd,b,lim (kN/cm²)]],HC[[#This Row],[cd,b,est (kN/cm²)]]&lt;=HC[[#This Row],[cd,b,lim (kN/cm²)]]),"OK","ERRO")</f>
        <v>OK</v>
      </c>
      <c r="AS278" s="4" t="str">
        <f ca="1">As_lado(HC[[#This Row],[nE]],HC[[#This Row],[Nsd (kN)]],HC[[#This Row],[d (cm)]],HC[[#This Row],[e (cm)]],HC[[#This Row],[ap,eq (cm)]])</f>
        <v>N.S.</v>
      </c>
      <c r="AT278" s="4" t="str">
        <f ca="1">IF(HC[[#This Row],[nE]]=1,HC[[#This Row],[As,lado (cm²)]],IF(HC[[#This Row],[nE]]=2,0.075*2*HC[a (cm)],"N.A."))</f>
        <v>N.A.</v>
      </c>
      <c r="AU278" s="4" t="str">
        <f ca="1">IFERROR(IF(HC[[#This Row],[nE]]=1,"N.A.",0.2*HC[[#This Row],[As,lado (cm²)]]),"N.S.")</f>
        <v>N.S.</v>
      </c>
      <c r="AV278" s="4" t="str">
        <f ca="1">As_malha(HC[[#This Row],[nE]],HC[[#This Row],[As,lado (cm²)]],HC[[#This Row],[Nsd (kN)]])</f>
        <v>N.S.</v>
      </c>
      <c r="AW278" s="4" t="str">
        <f ca="1">As_susp_tot(HC[[#This Row],[nE]],HC[[#This Row],[Nsd (kN)]])</f>
        <v>N.S.</v>
      </c>
      <c r="AX278" s="4" t="str">
        <f ca="1">Asp_face(HC[[#This Row],[nE]],HC[[#This Row],[As,lado (cm²)]])</f>
        <v>N.S.</v>
      </c>
      <c r="AY278" s="5" t="str">
        <f ca="1">acoBloco(HC[[#This Row],[nE]],HC[[#This Row],[e (cm)]],HC[[#This Row],[a (cm)]],HC[[#This Row],[h (cm)]],HC[[#This Row],[As,lado (cm²)]],HC[[#This Row],[Asp e Asw (cm²/m)]],HC[[#This Row],[As,sup (cm²)]],HC[[#This Row],[As,malha (cm²)]],HC[[#This Row],[As,susp,tot (cm²)]],HC[[#This Row],[Asp,face (cm²)]])</f>
        <v>N.S.</v>
      </c>
      <c r="AZ278" s="4" t="str">
        <f ca="1">concretoBloco(HC[[#This Row],[nE]],HC[[#This Row],[e (cm)]],HC[[#This Row],[a (cm)]],HC[[#This Row],[h (cm)]])</f>
        <v>N.S.</v>
      </c>
      <c r="BA278" s="5">
        <f ca="1">SUM(HC[[#This Row],[Aço Est (kg)]],HC[[#This Row],[Aço Bloco (kg)]])</f>
        <v>79.903267551402806</v>
      </c>
      <c r="BB278" s="4">
        <f>INDEX(composicoes[],MATCH(95580,composicoes[CÓDIGO],0),MATCH("CUSTO TOTAL",composicoes[#Headers],0))</f>
        <v>10.46</v>
      </c>
      <c r="BC278" s="4">
        <f ca="1">SUM(HC[[#This Row],[Conc Est (m³)]],HC[[#This Row],[Conc Bloco (m³)]])</f>
        <v>22.266037932317662</v>
      </c>
      <c r="BD278" s="4">
        <f>INDEX(composicoes[],MATCH(94966,composicoes[CÓDIGO],0),MATCH("CUSTO TOTAL",composicoes[#Headers],0))</f>
        <v>439.52</v>
      </c>
      <c r="BE278" s="38">
        <f ca="1">HC[[#This Row],[Aço (kg)]]*HC[[#This Row],[Aço (R$/kg)]]+HC[[#This Row],[Conc (m³)]]*HC[[#This Row],[Conc (R$/m³)]]</f>
        <v>10622.15717059993</v>
      </c>
      <c r="BF278" s="4" t="str">
        <f ca="1">IF(COUNTIF(HC[#This Row],"N.S.")&gt;0,"lim.","OK")</f>
        <v>lim.</v>
      </c>
      <c r="BG278" s="4" t="str">
        <f>IF(HC[[#This Row],[Prof. (m)]]&lt;4,"lim.","OK")</f>
        <v>OK</v>
      </c>
      <c r="BH278" s="4" t="str">
        <f>IF(HC[[#This Row],[Prof. (m)]]&gt;=8*HC[[#This Row],[Ø (cm)]]/100,"OK","lim.")</f>
        <v>lim.</v>
      </c>
      <c r="BI278" s="4" t="str">
        <f ca="1">IF(HC[[#This Row],[Verif. Biela]]="OK","OK","lim.")</f>
        <v>OK</v>
      </c>
      <c r="BJ278" s="4" t="str">
        <f ca="1">IF(COUNTA(HC[[#This Row],[Nº Est.]:[Biela comp.]])=COUNTIF(HC[[#This Row],[Nº Est.]:[Biela comp.]],"OK"),"OK","lim.")</f>
        <v>lim.</v>
      </c>
      <c r="BK278" s="4" t="str">
        <f ca="1">IF(HC[[#This Row],[Controle]]="OK",HC[[#This Row],[nE]]&amp;" Ø "&amp;HC[[#This Row],[Ø (cm)]]&amp;" cm, Prof. "&amp;HC[[#This Row],[Prof. (m)]]&amp;" m","")</f>
        <v/>
      </c>
      <c r="BL278" s="4" t="str">
        <f ca="1">IF(HC[[#This Row],[idDimensionamento]]="","",HC[[#This Row],[idPilar]]&amp;HC[[#This Row],[idDimensionamento]])</f>
        <v/>
      </c>
    </row>
    <row r="279" spans="2:64" x14ac:dyDescent="0.25">
      <c r="B279" s="12">
        <f>ROUNDUP((ROW(HC[[#This Row],[idDiâmetro]])-ROW(HC[[#Headers],[idDiâmetro]]))/(COUNT(SPT[Prof. (m)])*COUNT(PILARES[Pilar])),0)</f>
        <v>10</v>
      </c>
      <c r="C279" s="12">
        <f>IF(HC[[#This Row],[idDiâmetro]]&lt;&gt;B278,1,IF(HC[[#This Row],[Prof. (m)]]=0,C278+1,C278))</f>
        <v>2</v>
      </c>
      <c r="D279" s="82">
        <f>IFERROR(IF(D278=MAX(SPT[Prof. (m)]),0,D278+1),0)</f>
        <v>8</v>
      </c>
      <c r="E279" s="82">
        <f>INDEX(SPT[],MATCH(HC[[#This Row],[Prof. (m)]],SPT[Prof. (m)],0),2)</f>
        <v>10</v>
      </c>
      <c r="F279" s="82" t="str">
        <f>INDEX(SPT[],MATCH(HC[[#This Row],[Prof. (m)]],SPT[Prof. (m)],0),3)</f>
        <v>Silte arenoso</v>
      </c>
      <c r="G279" s="82">
        <f>INDEX(estacas[],HC[[#This Row],[idDiâmetro]],MATCH($B$2,estacas[#Headers],0))</f>
        <v>90</v>
      </c>
      <c r="H279" s="82">
        <f>INDEX(estacas[],MATCH(HC[[#This Row],[Ø (cm)]],estacas[Ø HC (cm)],0),MATCH(HC[[#Headers],[Pe HC (kN)]],estacas[#Headers],0))</f>
        <v>4000</v>
      </c>
      <c r="I279" s="4">
        <f>INDEX(K_alpha_C[],MATCH(HC[[#This Row],[Solo]],K_alpha_C[Solo],0),2)</f>
        <v>0.55000000000000004</v>
      </c>
      <c r="J279" s="5">
        <f>INDEX(K_alpha_C[],MATCH(HC[[#This Row],[Solo]],K_alpha_C[Solo],0),3)</f>
        <v>2.2000000000000002</v>
      </c>
      <c r="K279" s="4">
        <f>INDEX(F1_F2[],MATCH($D$2,F1_F2[Tipo de estaca],0),2)</f>
        <v>2</v>
      </c>
      <c r="L279" s="4">
        <f>INDEX(F1_F2[],MATCH($D$2,F1_F2[Tipo de estaca],0),3)</f>
        <v>4</v>
      </c>
      <c r="M279" s="4">
        <f>PI()*(HC[[#This Row],[Ø (cm)]]/100)^2/4</f>
        <v>0.63617251235193317</v>
      </c>
      <c r="N279" s="4">
        <f>PI()*HC[[#This Row],[Ø (cm)]]/100</f>
        <v>2.8274333882308138</v>
      </c>
      <c r="O279" s="4">
        <f>IF(HC[[#This Row],[Prof. (m)]]=0,0,HC[[#This Row],[α (%)]]/100*HC[[#This Row],[K (MPa)]]*1000*HC[[#This Row],[NSPT]])</f>
        <v>121.00000000000001</v>
      </c>
      <c r="P279" s="4">
        <f>IF(HC[[#This Row],[Prof. (m)]]=0,0,(HC[[#This Row],[K (MPa)]]*1000*HC[[#This Row],[NSPT]]/HC[[#This Row],[F1]]*HC[[#This Row],[Ap (m²)]]+HC[[#This Row],[U (m)]]/HC[[#This Row],[F2]]*SUMIFS(HC[(α∙K∙NL∙ΔL)],HC[Prof. (m)],"&lt;="&amp;HC[[#This Row],[Prof. (m)]],HC[idDiâmetro],HC[[#This Row],[idDiâmetro]],HC[idPilar],HC[[#This Row],[idPilar]]))/'DADOS CAP. CARGA'!$D$2)</f>
        <v>1228.131035095407</v>
      </c>
      <c r="Q279" s="12">
        <f>INDEX(C_alpha_beta[],MATCH(HC[[#This Row],[Solo]],C_alpha_beta[Solo],0),MATCH(HC[[#Headers],[C (kPa)]],C_alpha_beta[#Headers],0))</f>
        <v>250</v>
      </c>
      <c r="R279" s="4">
        <f>INDEX(C_alpha_beta[],MATCH(HC[[#This Row],[Solo]],C_alpha_beta[Solo],0),MATCH(HC[[#Headers],[α ESF]],C_alpha_beta[#Headers],0))</f>
        <v>0.6</v>
      </c>
      <c r="S279" s="4">
        <f>INDEX(C_alpha_beta[],MATCH(HC[[#This Row],[Solo]],C_alpha_beta[Solo],0),MATCH(HC[[#Headers],[β ESF]],C_alpha_beta[#Headers],0))</f>
        <v>0.65</v>
      </c>
      <c r="T279" s="4">
        <f>IF(HC[[#This Row],[Prof. (m)]]=0,0,10*(HC[[#This Row],[NSPT]]/3+1))</f>
        <v>43.333333333333343</v>
      </c>
      <c r="U279" s="4">
        <f>(HC[[#This Row],[α ESF]]*HC[[#This Row],[C (kPa)]]*HC[[#This Row],[NSPT]]*HC[[#This Row],[Ap (m²)]])/'DADOS CAP. CARGA'!$Q$2+(HC[[#This Row],[β ESF]]*SUMIFS(HC[10∙(NL/3+1)],HC[Prof. (m)],"&lt;="&amp;HC[[#This Row],[Prof. (m)]],HC[idDiâmetro],HC[[#This Row],[idDiâmetro]],HC[idPilar],HC[[#This Row],[idPilar]])*HC[[#This Row],[U (m)]])/'DADOS CAP. CARGA'!$S$2</f>
        <v>532.61776450797959</v>
      </c>
      <c r="V279" s="4">
        <f>IF(SPT!$M$5=1,MIN(HC[[#This Row],[Pe HC (kN)]],HC[[#This Row],[R_AV (kN)]]),IF(SPT!$M$5=2,MIN(HC[[#This Row],[Pe HC (kN)]],HC[[#This Row],[R_DC (kN)]]),MIN(HC[[#This Row],[Pe HC (kN)]],HC[[#This Row],[R_AV (kN)]],HC[[#This Row],[R_DC (kN)]])))</f>
        <v>532.61776450797959</v>
      </c>
      <c r="W279" s="4">
        <f>INDEX(PILARES[],HC[[#This Row],[idPilar]],MATCH("Carga (kN)",PILARES[#Headers],0))*1.4</f>
        <v>1750</v>
      </c>
      <c r="X279" s="12">
        <f>INDEX(PILARES[],HC[[#This Row],[idPilar]],MATCH(HC[[#Headers],[ap (cm)]],PILARES[#Headers],0))</f>
        <v>50</v>
      </c>
      <c r="Y279" s="12">
        <f>INDEX(PILARES[],HC[[#This Row],[idPilar]],MATCH(HC[[#Headers],[bp (cm)]],PILARES[#Headers],0))</f>
        <v>40</v>
      </c>
      <c r="Z279" s="4">
        <f>SQRT(HC[[#This Row],[ap (cm)]]*HC[[#This Row],[bp (cm)]])</f>
        <v>44.721359549995796</v>
      </c>
      <c r="AA279" s="12">
        <f>HC[[#This Row],[ap (cm)]]*HC[[#This Row],[bp (cm)]]</f>
        <v>2000</v>
      </c>
      <c r="AB279" s="12">
        <f ca="1">IF(HC[[#This Row],[Padm∙ε (kN)]]&gt;=HC[[#This Row],[Padm (kN)]],ROUNDUP(1.05*HC[[#This Row],[Nsd (kN)]]/HC[[#This Row],[Padm (kN)]],0),ROUNDUP(1.05*HC[[#This Row],[Nsd (kN)]]/HC[[#This Row],[Padm (kN)]],0)+1)</f>
        <v>4</v>
      </c>
      <c r="AC279" s="4">
        <f ca="1">IFERROR(IF(HC[[#This Row],[nE]]=1,HC[[#This Row],[Padm (kN)]],HC[[#This Row],[Padm (kN)]]*HC[[#This Row],[nE]]*INDEX(grupoEstacas[],HC[[#This Row],[nE]],MATCH("ε",grupoEstacas[#Headers],0))),"N.S.")</f>
        <v>1731.0077346509336</v>
      </c>
      <c r="AD279" s="4">
        <f ca="1">1.05*HC[[#This Row],[Nsd (kN)]]/(HC[[#This Row],[nE]]*PI()*HC[[#This Row],[Ø (cm)]]^2/4)*10</f>
        <v>0.72209187143545117</v>
      </c>
      <c r="AE279" s="4">
        <f ca="1">IF(HC[[#This Row],[σ (MPa)]]&lt;INDEX(tipoEstaca[],MATCH($D$2,tipoEstaca[TIPO DE ESTACA],0),MATCH("σmáx (MPa)",tipoEstaca[#Headers],0)),0.4%*PI()*HC[[#This Row],[Ø (cm)]]^2/4,"N.S.")</f>
        <v>25.446900494077326</v>
      </c>
      <c r="AF279" s="82">
        <f>INDEX(tipoEstaca[],MATCH($D$2,tipoEstaca[TIPO DE ESTACA],0),MATCH(HC[[#Headers],[Comprimento (m)]],tipoEstaca[#Headers],0))</f>
        <v>4</v>
      </c>
      <c r="AG279" s="5">
        <f ca="1">HC[[#This Row],[As,mín (cm²)]]/100^2*HC[[#This Row],[Comprimento (m)]]*7850</f>
        <v>79.903267551402806</v>
      </c>
      <c r="AH279" s="4">
        <f ca="1">HC[[#This Row],[nE]]*HC[[#This Row],[Prof. (m)]]*HC[[#This Row],[Ap (m²)]]</f>
        <v>20.357520395261862</v>
      </c>
      <c r="AI279" s="82">
        <f ca="1">IF(HC[[#This Row],[nE]]=1,0,MAX(3*HC[[#This Row],[Ø (cm)]],60))</f>
        <v>270</v>
      </c>
      <c r="AJ279" s="82">
        <f ca="1">IF(HC[[#This Row],[nE]]=1,HC[[#This Row],[Ø (cm)]]+2*10,MAX(1.5*HC[[#This Row],[Ø (cm)]],HC[[#This Row],[Ø (cm)]]+15))</f>
        <v>135</v>
      </c>
      <c r="AK279" s="82">
        <f ca="1">alturaUtil(HC[[#This Row],[nE]],HC[[#This Row],[Ø (cm)]],HC[[#This Row],[e (cm)]],HC[[#This Row],[ap,eq (cm)]])</f>
        <v>125</v>
      </c>
      <c r="AL279" s="82">
        <f ca="1">IFERROR(HC[[#This Row],[d (cm)]]+arredondarParaCimaMultiplo5cm(MAX(5,SQRT(PI())/2*HC[[#This Row],[Ø (cm)]]/5)),"N.S.")</f>
        <v>145</v>
      </c>
      <c r="AM279" s="5">
        <f ca="1">alpha(HC[[#This Row],[nE]],HC[[#This Row],[d (cm)]],HC[[#This Row],[e (cm)]],HC[[#This Row],[ap,eq (cm)]])</f>
        <v>45.271795189473693</v>
      </c>
      <c r="AN279" s="35">
        <f ca="1">IFERROR(HC[[#This Row],[Nsd (kN)]]/(HC[[#This Row],[Ap (cm²)]]*SIN(HC[[#This Row],[α]])^2),"N.S.")</f>
        <v>0.94806089479682865</v>
      </c>
      <c r="AO279" s="35">
        <f ca="1">IFERROR(HC[[#This Row],[Nsd (kN)]]/(HC[[#This Row],[nE]]*PI()*HC[[#This Row],[Ø (cm)]]^2/4*SIN(HC[[#This Row],[α]])^2),"N.S.")</f>
        <v>7.451287790569909E-2</v>
      </c>
      <c r="AP279" s="4">
        <f ca="1">IFERROR(INDEX(grupoEstacas[],HC[[#This Row],[nE]],MATCH("coef. Blévot",grupoEstacas[#Headers],0)),"N.S.")</f>
        <v>2.1</v>
      </c>
      <c r="AQ279" s="35">
        <f ca="1">IFERROR(HC[[#This Row],[coef. Blévot]]*0.9*INDEX(tipoEstaca[],MATCH($D$2,tipoEstaca[TIPO DE ESTACA],0),MATCH("fcd (kN/cm²)",tipoEstaca[#Headers],0)),"N.S.")</f>
        <v>2.1</v>
      </c>
      <c r="AR279" s="82" t="str">
        <f ca="1">IF(AND(HC[[#This Row],[cd,b,pil (kN/cm²)]]&lt;=HC[[#This Row],[cd,b,lim (kN/cm²)]],HC[[#This Row],[cd,b,est (kN/cm²)]]&lt;=HC[[#This Row],[cd,b,lim (kN/cm²)]]),"OK","ERRO")</f>
        <v>OK</v>
      </c>
      <c r="AS279" s="4">
        <f ca="1">As_lado(HC[[#This Row],[nE]],HC[[#This Row],[Nsd (kN)]],HC[[#This Row],[d (cm)]],HC[[#This Row],[e (cm)]],HC[[#This Row],[ap,eq (cm)]])</f>
        <v>9.9674826390563354</v>
      </c>
      <c r="AT279" s="4" t="str">
        <f ca="1">IF(HC[[#This Row],[nE]]=1,HC[[#This Row],[As,lado (cm²)]],IF(HC[[#This Row],[nE]]=2,0.075*2*HC[a (cm)],"N.A."))</f>
        <v>N.A.</v>
      </c>
      <c r="AU279" s="4">
        <f ca="1">IFERROR(IF(HC[[#This Row],[nE]]=1,"N.A.",0.2*HC[[#This Row],[As,lado (cm²)]]),"N.S.")</f>
        <v>1.9934965278112671</v>
      </c>
      <c r="AV279" s="4">
        <f ca="1">As_malha(HC[[#This Row],[nE]],HC[[#This Row],[As,lado (cm²)]],HC[[#This Row],[Nsd (kN)]])</f>
        <v>1.9934965278112671</v>
      </c>
      <c r="AW279" s="4">
        <f ca="1">As_susp_tot(HC[[#This Row],[nE]],HC[[#This Row],[Nsd (kN)]])</f>
        <v>6.708333333333333</v>
      </c>
      <c r="AX279" s="4">
        <f ca="1">Asp_face(HC[[#This Row],[nE]],HC[[#This Row],[As,lado (cm²)]])</f>
        <v>4.9837413195281677</v>
      </c>
      <c r="AY279" s="5">
        <f ca="1">acoBloco(HC[[#This Row],[nE]],HC[[#This Row],[e (cm)]],HC[[#This Row],[a (cm)]],HC[[#This Row],[h (cm)]],HC[[#This Row],[As,lado (cm²)]],HC[[#This Row],[Asp e Asw (cm²/m)]],HC[[#This Row],[As,sup (cm²)]],HC[[#This Row],[As,malha (cm²)]],HC[[#This Row],[As,susp,tot (cm²)]],HC[[#This Row],[Asp,face (cm²)]])</f>
        <v>311.85130454677727</v>
      </c>
      <c r="AZ279" s="4">
        <f ca="1">concretoBloco(HC[[#This Row],[nE]],HC[[#This Row],[e (cm)]],HC[[#This Row],[a (cm)]],HC[[#This Row],[h (cm)]])</f>
        <v>42.281999999999996</v>
      </c>
      <c r="BA279" s="5">
        <f ca="1">SUM(HC[[#This Row],[Aço Est (kg)]],HC[[#This Row],[Aço Bloco (kg)]])</f>
        <v>391.75457209818006</v>
      </c>
      <c r="BB279" s="4">
        <f>INDEX(composicoes[],MATCH(95580,composicoes[CÓDIGO],0),MATCH("CUSTO TOTAL",composicoes[#Headers],0))</f>
        <v>10.46</v>
      </c>
      <c r="BC279" s="4">
        <f ca="1">SUM(HC[[#This Row],[Conc Est (m³)]],HC[[#This Row],[Conc Bloco (m³)]])</f>
        <v>62.639520395261854</v>
      </c>
      <c r="BD279" s="4">
        <f>INDEX(composicoes[],MATCH(94966,composicoes[CÓDIGO],0),MATCH("CUSTO TOTAL",composicoes[#Headers],0))</f>
        <v>439.52</v>
      </c>
      <c r="BE279" s="38">
        <f ca="1">HC[[#This Row],[Aço (kg)]]*HC[[#This Row],[Aço (R$/kg)]]+HC[[#This Row],[Conc (m³)]]*HC[[#This Row],[Conc (R$/m³)]]</f>
        <v>31629.074828272453</v>
      </c>
      <c r="BF279" s="4" t="str">
        <f ca="1">IF(COUNTIF(HC[#This Row],"N.S.")&gt;0,"lim.","OK")</f>
        <v>OK</v>
      </c>
      <c r="BG279" s="4" t="str">
        <f>IF(HC[[#This Row],[Prof. (m)]]&lt;4,"lim.","OK")</f>
        <v>OK</v>
      </c>
      <c r="BH279" s="4" t="str">
        <f>IF(HC[[#This Row],[Prof. (m)]]&gt;=8*HC[[#This Row],[Ø (cm)]]/100,"OK","lim.")</f>
        <v>OK</v>
      </c>
      <c r="BI279" s="4" t="str">
        <f ca="1">IF(HC[[#This Row],[Verif. Biela]]="OK","OK","lim.")</f>
        <v>OK</v>
      </c>
      <c r="BJ279" s="4" t="str">
        <f ca="1">IF(COUNTA(HC[[#This Row],[Nº Est.]:[Biela comp.]])=COUNTIF(HC[[#This Row],[Nº Est.]:[Biela comp.]],"OK"),"OK","lim.")</f>
        <v>OK</v>
      </c>
      <c r="BK279" s="4" t="str">
        <f ca="1">IF(HC[[#This Row],[Controle]]="OK",HC[[#This Row],[nE]]&amp;" Ø "&amp;HC[[#This Row],[Ø (cm)]]&amp;" cm, Prof. "&amp;HC[[#This Row],[Prof. (m)]]&amp;" m","")</f>
        <v>4 Ø 90 cm, Prof. 8 m</v>
      </c>
      <c r="BL279" s="4" t="str">
        <f ca="1">IF(HC[[#This Row],[idDimensionamento]]="","",HC[[#This Row],[idPilar]]&amp;HC[[#This Row],[idDimensionamento]])</f>
        <v>24 Ø 90 cm, Prof. 8 m</v>
      </c>
    </row>
    <row r="280" spans="2:64" x14ac:dyDescent="0.25">
      <c r="B280" s="12">
        <f>ROUNDUP((ROW(HC[[#This Row],[idDiâmetro]])-ROW(HC[[#Headers],[idDiâmetro]]))/(COUNT(SPT[Prof. (m)])*COUNT(PILARES[Pilar])),0)</f>
        <v>10</v>
      </c>
      <c r="C280" s="12">
        <f>IF(HC[[#This Row],[idDiâmetro]]&lt;&gt;B279,1,IF(HC[[#This Row],[Prof. (m)]]=0,C279+1,C279))</f>
        <v>2</v>
      </c>
      <c r="D280" s="82">
        <f>IFERROR(IF(D279=MAX(SPT[Prof. (m)]),0,D279+1),0)</f>
        <v>9</v>
      </c>
      <c r="E280" s="82">
        <f>INDEX(SPT[],MATCH(HC[[#This Row],[Prof. (m)]],SPT[Prof. (m)],0),2)</f>
        <v>26</v>
      </c>
      <c r="F280" s="82" t="str">
        <f>INDEX(SPT[],MATCH(HC[[#This Row],[Prof. (m)]],SPT[Prof. (m)],0),3)</f>
        <v>Areia siltosa</v>
      </c>
      <c r="G280" s="82">
        <f>INDEX(estacas[],HC[[#This Row],[idDiâmetro]],MATCH($B$2,estacas[#Headers],0))</f>
        <v>90</v>
      </c>
      <c r="H280" s="82">
        <f>INDEX(estacas[],MATCH(HC[[#This Row],[Ø (cm)]],estacas[Ø HC (cm)],0),MATCH(HC[[#Headers],[Pe HC (kN)]],estacas[#Headers],0))</f>
        <v>4000</v>
      </c>
      <c r="I280" s="4">
        <f>INDEX(K_alpha_C[],MATCH(HC[[#This Row],[Solo]],K_alpha_C[Solo],0),2)</f>
        <v>0.8</v>
      </c>
      <c r="J280" s="5">
        <f>INDEX(K_alpha_C[],MATCH(HC[[#This Row],[Solo]],K_alpha_C[Solo],0),3)</f>
        <v>2</v>
      </c>
      <c r="K280" s="4">
        <f>INDEX(F1_F2[],MATCH($D$2,F1_F2[Tipo de estaca],0),2)</f>
        <v>2</v>
      </c>
      <c r="L280" s="4">
        <f>INDEX(F1_F2[],MATCH($D$2,F1_F2[Tipo de estaca],0),3)</f>
        <v>4</v>
      </c>
      <c r="M280" s="4">
        <f>PI()*(HC[[#This Row],[Ø (cm)]]/100)^2/4</f>
        <v>0.63617251235193317</v>
      </c>
      <c r="N280" s="4">
        <f>PI()*HC[[#This Row],[Ø (cm)]]/100</f>
        <v>2.8274333882308138</v>
      </c>
      <c r="O280" s="4">
        <f>IF(HC[[#This Row],[Prof. (m)]]=0,0,HC[[#This Row],[α (%)]]/100*HC[[#This Row],[K (MPa)]]*1000*HC[[#This Row],[NSPT]])</f>
        <v>416</v>
      </c>
      <c r="P280" s="4">
        <f>IF(HC[[#This Row],[Prof. (m)]]=0,0,(HC[[#This Row],[K (MPa)]]*1000*HC[[#This Row],[NSPT]]/HC[[#This Row],[F1]]*HC[[#This Row],[Ap (m²)]]+HC[[#This Row],[U (m)]]/HC[[#This Row],[F2]]*SUMIFS(HC[(α∙K∙NL∙ΔL)],HC[Prof. (m)],"&lt;="&amp;HC[[#This Row],[Prof. (m)]],HC[idDiâmetro],HC[[#This Row],[idDiâmetro]],HC[idPilar],HC[[#This Row],[idPilar]]))/'DADOS CAP. CARGA'!$D$2)</f>
        <v>3808.5174310295538</v>
      </c>
      <c r="Q280" s="12">
        <f>INDEX(C_alpha_beta[],MATCH(HC[[#This Row],[Solo]],C_alpha_beta[Solo],0),MATCH(HC[[#Headers],[C (kPa)]],C_alpha_beta[#Headers],0))</f>
        <v>400</v>
      </c>
      <c r="R280" s="4">
        <f>INDEX(C_alpha_beta[],MATCH(HC[[#This Row],[Solo]],C_alpha_beta[Solo],0),MATCH(HC[[#Headers],[α ESF]],C_alpha_beta[#Headers],0))</f>
        <v>0.5</v>
      </c>
      <c r="S280" s="4">
        <f>INDEX(C_alpha_beta[],MATCH(HC[[#This Row],[Solo]],C_alpha_beta[Solo],0),MATCH(HC[[#Headers],[β ESF]],C_alpha_beta[#Headers],0))</f>
        <v>0.5</v>
      </c>
      <c r="T280" s="4">
        <f>IF(HC[[#This Row],[Prof. (m)]]=0,0,10*(HC[[#This Row],[NSPT]]/3+1))</f>
        <v>96.666666666666657</v>
      </c>
      <c r="U280" s="4">
        <f>(HC[[#This Row],[α ESF]]*HC[[#This Row],[C (kPa)]]*HC[[#This Row],[NSPT]]*HC[[#This Row],[Ap (m²)]])/'DADOS CAP. CARGA'!$Q$2+(HC[[#This Row],[β ESF]]*SUMIFS(HC[10∙(NL/3+1)],HC[Prof. (m)],"&lt;="&amp;HC[[#This Row],[Prof. (m)]],HC[idDiâmetro],HC[[#This Row],[idDiâmetro]],HC[idPilar],HC[[#This Row],[idPilar]])*HC[[#This Row],[U (m)]])/'DADOS CAP. CARGA'!$S$2</f>
        <v>1121.5485773315563</v>
      </c>
      <c r="V280" s="4">
        <f>IF(SPT!$M$5=1,MIN(HC[[#This Row],[Pe HC (kN)]],HC[[#This Row],[R_AV (kN)]]),IF(SPT!$M$5=2,MIN(HC[[#This Row],[Pe HC (kN)]],HC[[#This Row],[R_DC (kN)]]),MIN(HC[[#This Row],[Pe HC (kN)]],HC[[#This Row],[R_AV (kN)]],HC[[#This Row],[R_DC (kN)]])))</f>
        <v>1121.5485773315563</v>
      </c>
      <c r="W280" s="4">
        <f>INDEX(PILARES[],HC[[#This Row],[idPilar]],MATCH("Carga (kN)",PILARES[#Headers],0))*1.4</f>
        <v>1750</v>
      </c>
      <c r="X280" s="12">
        <f>INDEX(PILARES[],HC[[#This Row],[idPilar]],MATCH(HC[[#Headers],[ap (cm)]],PILARES[#Headers],0))</f>
        <v>50</v>
      </c>
      <c r="Y280" s="12">
        <f>INDEX(PILARES[],HC[[#This Row],[idPilar]],MATCH(HC[[#Headers],[bp (cm)]],PILARES[#Headers],0))</f>
        <v>40</v>
      </c>
      <c r="Z280" s="4">
        <f>SQRT(HC[[#This Row],[ap (cm)]]*HC[[#This Row],[bp (cm)]])</f>
        <v>44.721359549995796</v>
      </c>
      <c r="AA280" s="12">
        <f>HC[[#This Row],[ap (cm)]]*HC[[#This Row],[bp (cm)]]</f>
        <v>2000</v>
      </c>
      <c r="AB280" s="12">
        <f ca="1">IF(HC[[#This Row],[Padm∙ε (kN)]]&gt;=HC[[#This Row],[Padm (kN)]],ROUNDUP(1.05*HC[[#This Row],[Nsd (kN)]]/HC[[#This Row],[Padm (kN)]],0),ROUNDUP(1.05*HC[[#This Row],[Nsd (kN)]]/HC[[#This Row],[Padm (kN)]],0)+1)</f>
        <v>2</v>
      </c>
      <c r="AC280" s="4">
        <f ca="1">IFERROR(IF(HC[[#This Row],[nE]]=1,HC[[#This Row],[Padm (kN)]],HC[[#This Row],[Padm (kN)]]*HC[[#This Row],[nE]]*INDEX(grupoEstacas[],HC[[#This Row],[nE]],MATCH("ε",grupoEstacas[#Headers],0))),"N.S.")</f>
        <v>2102.9035824966682</v>
      </c>
      <c r="AD280" s="4">
        <f ca="1">1.05*HC[[#This Row],[Nsd (kN)]]/(HC[[#This Row],[nE]]*PI()*HC[[#This Row],[Ø (cm)]]^2/4)*10</f>
        <v>1.4441837428709023</v>
      </c>
      <c r="AE280" s="4">
        <f ca="1">IF(HC[[#This Row],[σ (MPa)]]&lt;INDEX(tipoEstaca[],MATCH($D$2,tipoEstaca[TIPO DE ESTACA],0),MATCH("σmáx (MPa)",tipoEstaca[#Headers],0)),0.4%*PI()*HC[[#This Row],[Ø (cm)]]^2/4,"N.S.")</f>
        <v>25.446900494077326</v>
      </c>
      <c r="AF280" s="82">
        <f>INDEX(tipoEstaca[],MATCH($D$2,tipoEstaca[TIPO DE ESTACA],0),MATCH(HC[[#Headers],[Comprimento (m)]],tipoEstaca[#Headers],0))</f>
        <v>4</v>
      </c>
      <c r="AG280" s="5">
        <f ca="1">HC[[#This Row],[As,mín (cm²)]]/100^2*HC[[#This Row],[Comprimento (m)]]*7850</f>
        <v>79.903267551402806</v>
      </c>
      <c r="AH280" s="4">
        <f ca="1">HC[[#This Row],[nE]]*HC[[#This Row],[Prof. (m)]]*HC[[#This Row],[Ap (m²)]]</f>
        <v>11.451105222334798</v>
      </c>
      <c r="AI280" s="82">
        <f ca="1">IF(HC[[#This Row],[nE]]=1,0,MAX(3*HC[[#This Row],[Ø (cm)]],60))</f>
        <v>270</v>
      </c>
      <c r="AJ280" s="82">
        <f ca="1">IF(HC[[#This Row],[nE]]=1,HC[[#This Row],[Ø (cm)]]+2*10,MAX(1.5*HC[[#This Row],[Ø (cm)]],HC[[#This Row],[Ø (cm)]]+15))</f>
        <v>135</v>
      </c>
      <c r="AK280" s="82">
        <f ca="1">alturaUtil(HC[[#This Row],[nE]],HC[[#This Row],[Ø (cm)]],HC[[#This Row],[e (cm)]],HC[[#This Row],[ap,eq (cm)]])</f>
        <v>125</v>
      </c>
      <c r="AL280" s="82">
        <f ca="1">IFERROR(HC[[#This Row],[d (cm)]]+arredondarParaCimaMultiplo5cm(MAX(5,SQRT(PI())/2*HC[[#This Row],[Ø (cm)]]/5)),"N.S.")</f>
        <v>145</v>
      </c>
      <c r="AM280" s="5">
        <f ca="1">alpha(HC[[#This Row],[nE]],HC[[#This Row],[d (cm)]],HC[[#This Row],[e (cm)]],HC[[#This Row],[ap,eq (cm)]])</f>
        <v>45.271795189473693</v>
      </c>
      <c r="AN280" s="35">
        <f ca="1">IFERROR(HC[[#This Row],[Nsd (kN)]]/(HC[[#This Row],[Ap (cm²)]]*SIN(HC[[#This Row],[α]])^2),"N.S.")</f>
        <v>0.94806089479682865</v>
      </c>
      <c r="AO280" s="35">
        <f ca="1">IFERROR(HC[[#This Row],[Nsd (kN)]]/(HC[[#This Row],[nE]]*PI()*HC[[#This Row],[Ø (cm)]]^2/4*SIN(HC[[#This Row],[α]])^2),"N.S.")</f>
        <v>0.14902575581139818</v>
      </c>
      <c r="AP280" s="4">
        <f ca="1">IFERROR(INDEX(grupoEstacas[],HC[[#This Row],[nE]],MATCH("coef. Blévot",grupoEstacas[#Headers],0)),"N.S.")</f>
        <v>1.4</v>
      </c>
      <c r="AQ280" s="35">
        <f ca="1">IFERROR(HC[[#This Row],[coef. Blévot]]*0.9*INDEX(tipoEstaca[],MATCH($D$2,tipoEstaca[TIPO DE ESTACA],0),MATCH("fcd (kN/cm²)",tipoEstaca[#Headers],0)),"N.S.")</f>
        <v>1.4000000000000001</v>
      </c>
      <c r="AR280" s="82" t="str">
        <f ca="1">IF(AND(HC[[#This Row],[cd,b,pil (kN/cm²)]]&lt;=HC[[#This Row],[cd,b,lim (kN/cm²)]],HC[[#This Row],[cd,b,est (kN/cm²)]]&lt;=HC[[#This Row],[cd,b,lim (kN/cm²)]]),"OK","ERRO")</f>
        <v>OK</v>
      </c>
      <c r="AS280" s="4">
        <f ca="1">As_lado(HC[[#This Row],[nE]],HC[[#This Row],[Nsd (kN)]],HC[[#This Row],[d (cm)]],HC[[#This Row],[e (cm)]],HC[[#This Row],[ap,eq (cm)]])</f>
        <v>22.925210069829568</v>
      </c>
      <c r="AT280" s="4">
        <f ca="1">IF(HC[[#This Row],[nE]]=1,HC[[#This Row],[As,lado (cm²)]],IF(HC[[#This Row],[nE]]=2,0.075*2*HC[a (cm)],"N.A."))</f>
        <v>20.25</v>
      </c>
      <c r="AU280" s="4">
        <f ca="1">IFERROR(IF(HC[[#This Row],[nE]]=1,"N.A.",0.2*HC[[#This Row],[As,lado (cm²)]]),"N.S.")</f>
        <v>4.5850420139659134</v>
      </c>
      <c r="AV280" s="4" t="str">
        <f ca="1">As_malha(HC[[#This Row],[nE]],HC[[#This Row],[As,lado (cm²)]],HC[[#This Row],[Nsd (kN)]])</f>
        <v>N.A.</v>
      </c>
      <c r="AW280" s="4" t="str">
        <f ca="1">As_susp_tot(HC[[#This Row],[nE]],HC[[#This Row],[Nsd (kN)]])</f>
        <v>N.A.</v>
      </c>
      <c r="AX280" s="4" t="str">
        <f ca="1">Asp_face(HC[[#This Row],[nE]],HC[[#This Row],[As,lado (cm²)]])</f>
        <v>N.A.</v>
      </c>
      <c r="AY280" s="5">
        <f ca="1">acoBloco(HC[[#This Row],[nE]],HC[[#This Row],[e (cm)]],HC[[#This Row],[a (cm)]],HC[[#This Row],[h (cm)]],HC[[#This Row],[As,lado (cm²)]],HC[[#This Row],[Asp e Asw (cm²/m)]],HC[[#This Row],[As,sup (cm²)]],HC[[#This Row],[As,malha (cm²)]],HC[[#This Row],[As,susp,tot (cm²)]],HC[[#This Row],[Asp,face (cm²)]])</f>
        <v>1202.4887960832093</v>
      </c>
      <c r="AZ280" s="4">
        <f ca="1">concretoBloco(HC[[#This Row],[nE]],HC[[#This Row],[e (cm)]],HC[[#This Row],[a (cm)]],HC[[#This Row],[h (cm)]])</f>
        <v>21.140999999999998</v>
      </c>
      <c r="BA280" s="5">
        <f ca="1">SUM(HC[[#This Row],[Aço Est (kg)]],HC[[#This Row],[Aço Bloco (kg)]])</f>
        <v>1282.3920636346122</v>
      </c>
      <c r="BB280" s="4">
        <f>INDEX(composicoes[],MATCH(95580,composicoes[CÓDIGO],0),MATCH("CUSTO TOTAL",composicoes[#Headers],0))</f>
        <v>10.46</v>
      </c>
      <c r="BC280" s="4">
        <f ca="1">SUM(HC[[#This Row],[Conc Est (m³)]],HC[[#This Row],[Conc Bloco (m³)]])</f>
        <v>32.592105222334794</v>
      </c>
      <c r="BD280" s="4">
        <f>INDEX(composicoes[],MATCH(94966,composicoes[CÓDIGO],0),MATCH("CUSTO TOTAL",composicoes[#Headers],0))</f>
        <v>439.52</v>
      </c>
      <c r="BE280" s="38">
        <f ca="1">HC[[#This Row],[Aço (kg)]]*HC[[#This Row],[Aço (R$/kg)]]+HC[[#This Row],[Conc (m³)]]*HC[[#This Row],[Conc (R$/m³)]]</f>
        <v>27738.703072938632</v>
      </c>
      <c r="BF280" s="4" t="str">
        <f ca="1">IF(COUNTIF(HC[#This Row],"N.S.")&gt;0,"lim.","OK")</f>
        <v>OK</v>
      </c>
      <c r="BG280" s="4" t="str">
        <f>IF(HC[[#This Row],[Prof. (m)]]&lt;4,"lim.","OK")</f>
        <v>OK</v>
      </c>
      <c r="BH280" s="4" t="str">
        <f>IF(HC[[#This Row],[Prof. (m)]]&gt;=8*HC[[#This Row],[Ø (cm)]]/100,"OK","lim.")</f>
        <v>OK</v>
      </c>
      <c r="BI280" s="4" t="str">
        <f ca="1">IF(HC[[#This Row],[Verif. Biela]]="OK","OK","lim.")</f>
        <v>OK</v>
      </c>
      <c r="BJ280" s="4" t="str">
        <f ca="1">IF(COUNTA(HC[[#This Row],[Nº Est.]:[Biela comp.]])=COUNTIF(HC[[#This Row],[Nº Est.]:[Biela comp.]],"OK"),"OK","lim.")</f>
        <v>OK</v>
      </c>
      <c r="BK280" s="4" t="str">
        <f ca="1">IF(HC[[#This Row],[Controle]]="OK",HC[[#This Row],[nE]]&amp;" Ø "&amp;HC[[#This Row],[Ø (cm)]]&amp;" cm, Prof. "&amp;HC[[#This Row],[Prof. (m)]]&amp;" m","")</f>
        <v>2 Ø 90 cm, Prof. 9 m</v>
      </c>
      <c r="BL280" s="4" t="str">
        <f ca="1">IF(HC[[#This Row],[idDimensionamento]]="","",HC[[#This Row],[idPilar]]&amp;HC[[#This Row],[idDimensionamento]])</f>
        <v>22 Ø 90 cm, Prof. 9 m</v>
      </c>
    </row>
    <row r="281" spans="2:64" x14ac:dyDescent="0.25">
      <c r="B281" s="12">
        <f>ROUNDUP((ROW(HC[[#This Row],[idDiâmetro]])-ROW(HC[[#Headers],[idDiâmetro]]))/(COUNT(SPT[Prof. (m)])*COUNT(PILARES[Pilar])),0)</f>
        <v>10</v>
      </c>
      <c r="C281" s="12">
        <f>IF(HC[[#This Row],[idDiâmetro]]&lt;&gt;B280,1,IF(HC[[#This Row],[Prof. (m)]]=0,C280+1,C280))</f>
        <v>2</v>
      </c>
      <c r="D281" s="82">
        <f>IFERROR(IF(D280=MAX(SPT[Prof. (m)]),0,D280+1),0)</f>
        <v>10</v>
      </c>
      <c r="E281" s="82">
        <f>INDEX(SPT[],MATCH(HC[[#This Row],[Prof. (m)]],SPT[Prof. (m)],0),2)</f>
        <v>32</v>
      </c>
      <c r="F281" s="82" t="str">
        <f>INDEX(SPT[],MATCH(HC[[#This Row],[Prof. (m)]],SPT[Prof. (m)],0),3)</f>
        <v>Areia siltosa</v>
      </c>
      <c r="G281" s="82">
        <f>INDEX(estacas[],HC[[#This Row],[idDiâmetro]],MATCH($B$2,estacas[#Headers],0))</f>
        <v>90</v>
      </c>
      <c r="H281" s="82">
        <f>INDEX(estacas[],MATCH(HC[[#This Row],[Ø (cm)]],estacas[Ø HC (cm)],0),MATCH(HC[[#Headers],[Pe HC (kN)]],estacas[#Headers],0))</f>
        <v>4000</v>
      </c>
      <c r="I281" s="4">
        <f>INDEX(K_alpha_C[],MATCH(HC[[#This Row],[Solo]],K_alpha_C[Solo],0),2)</f>
        <v>0.8</v>
      </c>
      <c r="J281" s="5">
        <f>INDEX(K_alpha_C[],MATCH(HC[[#This Row],[Solo]],K_alpha_C[Solo],0),3)</f>
        <v>2</v>
      </c>
      <c r="K281" s="4">
        <f>INDEX(F1_F2[],MATCH($D$2,F1_F2[Tipo de estaca],0),2)</f>
        <v>2</v>
      </c>
      <c r="L281" s="4">
        <f>INDEX(F1_F2[],MATCH($D$2,F1_F2[Tipo de estaca],0),3)</f>
        <v>4</v>
      </c>
      <c r="M281" s="4">
        <f>PI()*(HC[[#This Row],[Ø (cm)]]/100)^2/4</f>
        <v>0.63617251235193317</v>
      </c>
      <c r="N281" s="4">
        <f>PI()*HC[[#This Row],[Ø (cm)]]/100</f>
        <v>2.8274333882308138</v>
      </c>
      <c r="O281" s="4">
        <f>IF(HC[[#This Row],[Prof. (m)]]=0,0,HC[[#This Row],[α (%)]]/100*HC[[#This Row],[K (MPa)]]*1000*HC[[#This Row],[NSPT]])</f>
        <v>512</v>
      </c>
      <c r="P281" s="4">
        <f>IF(HC[[#This Row],[Prof. (m)]]=0,0,(HC[[#This Row],[K (MPa)]]*1000*HC[[#This Row],[NSPT]]/HC[[#This Row],[F1]]*HC[[#This Row],[Ap (m²)]]+HC[[#This Row],[U (m)]]/HC[[#This Row],[F2]]*SUMIFS(HC[(α∙K∙NL∙ΔL)],HC[Prof. (m)],"&lt;="&amp;HC[[#This Row],[Prof. (m)]],HC[idDiâmetro],HC[[#This Row],[idDiâmetro]],HC[idPilar],HC[[#This Row],[idPilar]]))/'DADOS CAP. CARGA'!$D$2)</f>
        <v>4752.8801826986455</v>
      </c>
      <c r="Q281" s="12">
        <f>INDEX(C_alpha_beta[],MATCH(HC[[#This Row],[Solo]],C_alpha_beta[Solo],0),MATCH(HC[[#Headers],[C (kPa)]],C_alpha_beta[#Headers],0))</f>
        <v>400</v>
      </c>
      <c r="R281" s="4">
        <f>INDEX(C_alpha_beta[],MATCH(HC[[#This Row],[Solo]],C_alpha_beta[Solo],0),MATCH(HC[[#Headers],[α ESF]],C_alpha_beta[#Headers],0))</f>
        <v>0.5</v>
      </c>
      <c r="S281" s="4">
        <f>INDEX(C_alpha_beta[],MATCH(HC[[#This Row],[Solo]],C_alpha_beta[Solo],0),MATCH(HC[[#Headers],[β ESF]],C_alpha_beta[#Headers],0))</f>
        <v>0.5</v>
      </c>
      <c r="T281" s="4">
        <f>IF(HC[[#This Row],[Prof. (m)]]=0,0,10*(HC[[#This Row],[NSPT]]/3+1))</f>
        <v>116.66666666666666</v>
      </c>
      <c r="U281" s="4">
        <f>(HC[[#This Row],[α ESF]]*HC[[#This Row],[C (kPa)]]*HC[[#This Row],[NSPT]]*HC[[#This Row],[Ap (m²)]])/'DADOS CAP. CARGA'!$Q$2+(HC[[#This Row],[β ESF]]*SUMIFS(HC[10∙(NL/3+1)],HC[Prof. (m)],"&lt;="&amp;HC[[#This Row],[Prof. (m)]],HC[idDiâmetro],HC[[#This Row],[idDiâmetro]],HC[idPilar],HC[[#This Row],[idPilar]])*HC[[#This Row],[U (m)]])/'DADOS CAP. CARGA'!$S$2</f>
        <v>1394.8671381938682</v>
      </c>
      <c r="V281" s="4">
        <f>IF(SPT!$M$5=1,MIN(HC[[#This Row],[Pe HC (kN)]],HC[[#This Row],[R_AV (kN)]]),IF(SPT!$M$5=2,MIN(HC[[#This Row],[Pe HC (kN)]],HC[[#This Row],[R_DC (kN)]]),MIN(HC[[#This Row],[Pe HC (kN)]],HC[[#This Row],[R_AV (kN)]],HC[[#This Row],[R_DC (kN)]])))</f>
        <v>1394.8671381938682</v>
      </c>
      <c r="W281" s="4">
        <f>INDEX(PILARES[],HC[[#This Row],[idPilar]],MATCH("Carga (kN)",PILARES[#Headers],0))*1.4</f>
        <v>1750</v>
      </c>
      <c r="X281" s="12">
        <f>INDEX(PILARES[],HC[[#This Row],[idPilar]],MATCH(HC[[#Headers],[ap (cm)]],PILARES[#Headers],0))</f>
        <v>50</v>
      </c>
      <c r="Y281" s="12">
        <f>INDEX(PILARES[],HC[[#This Row],[idPilar]],MATCH(HC[[#Headers],[bp (cm)]],PILARES[#Headers],0))</f>
        <v>40</v>
      </c>
      <c r="Z281" s="4">
        <f>SQRT(HC[[#This Row],[ap (cm)]]*HC[[#This Row],[bp (cm)]])</f>
        <v>44.721359549995796</v>
      </c>
      <c r="AA281" s="12">
        <f>HC[[#This Row],[ap (cm)]]*HC[[#This Row],[bp (cm)]]</f>
        <v>2000</v>
      </c>
      <c r="AB281" s="12">
        <f ca="1">IF(HC[[#This Row],[Padm∙ε (kN)]]&gt;=HC[[#This Row],[Padm (kN)]],ROUNDUP(1.05*HC[[#This Row],[Nsd (kN)]]/HC[[#This Row],[Padm (kN)]],0),ROUNDUP(1.05*HC[[#This Row],[Nsd (kN)]]/HC[[#This Row],[Padm (kN)]],0)+1)</f>
        <v>2</v>
      </c>
      <c r="AC281" s="4">
        <f ca="1">IFERROR(IF(HC[[#This Row],[nE]]=1,HC[[#This Row],[Padm (kN)]],HC[[#This Row],[Padm (kN)]]*HC[[#This Row],[nE]]*INDEX(grupoEstacas[],HC[[#This Row],[nE]],MATCH("ε",grupoEstacas[#Headers],0))),"N.S.")</f>
        <v>2615.3758841135027</v>
      </c>
      <c r="AD281" s="4">
        <f ca="1">1.05*HC[[#This Row],[Nsd (kN)]]/(HC[[#This Row],[nE]]*PI()*HC[[#This Row],[Ø (cm)]]^2/4)*10</f>
        <v>1.4441837428709023</v>
      </c>
      <c r="AE281" s="4">
        <f ca="1">IF(HC[[#This Row],[σ (MPa)]]&lt;INDEX(tipoEstaca[],MATCH($D$2,tipoEstaca[TIPO DE ESTACA],0),MATCH("σmáx (MPa)",tipoEstaca[#Headers],0)),0.4%*PI()*HC[[#This Row],[Ø (cm)]]^2/4,"N.S.")</f>
        <v>25.446900494077326</v>
      </c>
      <c r="AF281" s="82">
        <f>INDEX(tipoEstaca[],MATCH($D$2,tipoEstaca[TIPO DE ESTACA],0),MATCH(HC[[#Headers],[Comprimento (m)]],tipoEstaca[#Headers],0))</f>
        <v>4</v>
      </c>
      <c r="AG281" s="5">
        <f ca="1">HC[[#This Row],[As,mín (cm²)]]/100^2*HC[[#This Row],[Comprimento (m)]]*7850</f>
        <v>79.903267551402806</v>
      </c>
      <c r="AH281" s="4">
        <f ca="1">HC[[#This Row],[nE]]*HC[[#This Row],[Prof. (m)]]*HC[[#This Row],[Ap (m²)]]</f>
        <v>12.723450247038663</v>
      </c>
      <c r="AI281" s="82">
        <f ca="1">IF(HC[[#This Row],[nE]]=1,0,MAX(3*HC[[#This Row],[Ø (cm)]],60))</f>
        <v>270</v>
      </c>
      <c r="AJ281" s="82">
        <f ca="1">IF(HC[[#This Row],[nE]]=1,HC[[#This Row],[Ø (cm)]]+2*10,MAX(1.5*HC[[#This Row],[Ø (cm)]],HC[[#This Row],[Ø (cm)]]+15))</f>
        <v>135</v>
      </c>
      <c r="AK281" s="82">
        <f ca="1">alturaUtil(HC[[#This Row],[nE]],HC[[#This Row],[Ø (cm)]],HC[[#This Row],[e (cm)]],HC[[#This Row],[ap,eq (cm)]])</f>
        <v>125</v>
      </c>
      <c r="AL281" s="82">
        <f ca="1">IFERROR(HC[[#This Row],[d (cm)]]+arredondarParaCimaMultiplo5cm(MAX(5,SQRT(PI())/2*HC[[#This Row],[Ø (cm)]]/5)),"N.S.")</f>
        <v>145</v>
      </c>
      <c r="AM281" s="5">
        <f ca="1">alpha(HC[[#This Row],[nE]],HC[[#This Row],[d (cm)]],HC[[#This Row],[e (cm)]],HC[[#This Row],[ap,eq (cm)]])</f>
        <v>45.271795189473693</v>
      </c>
      <c r="AN281" s="35">
        <f ca="1">IFERROR(HC[[#This Row],[Nsd (kN)]]/(HC[[#This Row],[Ap (cm²)]]*SIN(HC[[#This Row],[α]])^2),"N.S.")</f>
        <v>0.94806089479682865</v>
      </c>
      <c r="AO281" s="35">
        <f ca="1">IFERROR(HC[[#This Row],[Nsd (kN)]]/(HC[[#This Row],[nE]]*PI()*HC[[#This Row],[Ø (cm)]]^2/4*SIN(HC[[#This Row],[α]])^2),"N.S.")</f>
        <v>0.14902575581139818</v>
      </c>
      <c r="AP281" s="4">
        <f ca="1">IFERROR(INDEX(grupoEstacas[],HC[[#This Row],[nE]],MATCH("coef. Blévot",grupoEstacas[#Headers],0)),"N.S.")</f>
        <v>1.4</v>
      </c>
      <c r="AQ281" s="35">
        <f ca="1">IFERROR(HC[[#This Row],[coef. Blévot]]*0.9*INDEX(tipoEstaca[],MATCH($D$2,tipoEstaca[TIPO DE ESTACA],0),MATCH("fcd (kN/cm²)",tipoEstaca[#Headers],0)),"N.S.")</f>
        <v>1.4000000000000001</v>
      </c>
      <c r="AR281" s="82" t="str">
        <f ca="1">IF(AND(HC[[#This Row],[cd,b,pil (kN/cm²)]]&lt;=HC[[#This Row],[cd,b,lim (kN/cm²)]],HC[[#This Row],[cd,b,est (kN/cm²)]]&lt;=HC[[#This Row],[cd,b,lim (kN/cm²)]]),"OK","ERRO")</f>
        <v>OK</v>
      </c>
      <c r="AS281" s="4">
        <f ca="1">As_lado(HC[[#This Row],[nE]],HC[[#This Row],[Nsd (kN)]],HC[[#This Row],[d (cm)]],HC[[#This Row],[e (cm)]],HC[[#This Row],[ap,eq (cm)]])</f>
        <v>22.925210069829568</v>
      </c>
      <c r="AT281" s="4">
        <f ca="1">IF(HC[[#This Row],[nE]]=1,HC[[#This Row],[As,lado (cm²)]],IF(HC[[#This Row],[nE]]=2,0.075*2*HC[a (cm)],"N.A."))</f>
        <v>20.25</v>
      </c>
      <c r="AU281" s="4">
        <f ca="1">IFERROR(IF(HC[[#This Row],[nE]]=1,"N.A.",0.2*HC[[#This Row],[As,lado (cm²)]]),"N.S.")</f>
        <v>4.5850420139659134</v>
      </c>
      <c r="AV281" s="4" t="str">
        <f ca="1">As_malha(HC[[#This Row],[nE]],HC[[#This Row],[As,lado (cm²)]],HC[[#This Row],[Nsd (kN)]])</f>
        <v>N.A.</v>
      </c>
      <c r="AW281" s="4" t="str">
        <f ca="1">As_susp_tot(HC[[#This Row],[nE]],HC[[#This Row],[Nsd (kN)]])</f>
        <v>N.A.</v>
      </c>
      <c r="AX281" s="4" t="str">
        <f ca="1">Asp_face(HC[[#This Row],[nE]],HC[[#This Row],[As,lado (cm²)]])</f>
        <v>N.A.</v>
      </c>
      <c r="AY281" s="5">
        <f ca="1">acoBloco(HC[[#This Row],[nE]],HC[[#This Row],[e (cm)]],HC[[#This Row],[a (cm)]],HC[[#This Row],[h (cm)]],HC[[#This Row],[As,lado (cm²)]],HC[[#This Row],[Asp e Asw (cm²/m)]],HC[[#This Row],[As,sup (cm²)]],HC[[#This Row],[As,malha (cm²)]],HC[[#This Row],[As,susp,tot (cm²)]],HC[[#This Row],[Asp,face (cm²)]])</f>
        <v>1202.4887960832093</v>
      </c>
      <c r="AZ281" s="4">
        <f ca="1">concretoBloco(HC[[#This Row],[nE]],HC[[#This Row],[e (cm)]],HC[[#This Row],[a (cm)]],HC[[#This Row],[h (cm)]])</f>
        <v>21.140999999999998</v>
      </c>
      <c r="BA281" s="5">
        <f ca="1">SUM(HC[[#This Row],[Aço Est (kg)]],HC[[#This Row],[Aço Bloco (kg)]])</f>
        <v>1282.3920636346122</v>
      </c>
      <c r="BB281" s="4">
        <f>INDEX(composicoes[],MATCH(95580,composicoes[CÓDIGO],0),MATCH("CUSTO TOTAL",composicoes[#Headers],0))</f>
        <v>10.46</v>
      </c>
      <c r="BC281" s="4">
        <f ca="1">SUM(HC[[#This Row],[Conc Est (m³)]],HC[[#This Row],[Conc Bloco (m³)]])</f>
        <v>33.864450247038661</v>
      </c>
      <c r="BD281" s="4">
        <f>INDEX(composicoes[],MATCH(94966,composicoes[CÓDIGO],0),MATCH("CUSTO TOTAL",composicoes[#Headers],0))</f>
        <v>439.52</v>
      </c>
      <c r="BE281" s="38">
        <f ca="1">HC[[#This Row],[Aço (kg)]]*HC[[#This Row],[Aço (R$/kg)]]+HC[[#This Row],[Conc (m³)]]*HC[[#This Row],[Conc (R$/m³)]]</f>
        <v>28297.924158196478</v>
      </c>
      <c r="BF281" s="4" t="str">
        <f ca="1">IF(COUNTIF(HC[#This Row],"N.S.")&gt;0,"lim.","OK")</f>
        <v>OK</v>
      </c>
      <c r="BG281" s="4" t="str">
        <f>IF(HC[[#This Row],[Prof. (m)]]&lt;4,"lim.","OK")</f>
        <v>OK</v>
      </c>
      <c r="BH281" s="4" t="str">
        <f>IF(HC[[#This Row],[Prof. (m)]]&gt;=8*HC[[#This Row],[Ø (cm)]]/100,"OK","lim.")</f>
        <v>OK</v>
      </c>
      <c r="BI281" s="4" t="str">
        <f ca="1">IF(HC[[#This Row],[Verif. Biela]]="OK","OK","lim.")</f>
        <v>OK</v>
      </c>
      <c r="BJ281" s="4" t="str">
        <f ca="1">IF(COUNTA(HC[[#This Row],[Nº Est.]:[Biela comp.]])=COUNTIF(HC[[#This Row],[Nº Est.]:[Biela comp.]],"OK"),"OK","lim.")</f>
        <v>OK</v>
      </c>
      <c r="BK281" s="4" t="str">
        <f ca="1">IF(HC[[#This Row],[Controle]]="OK",HC[[#This Row],[nE]]&amp;" Ø "&amp;HC[[#This Row],[Ø (cm)]]&amp;" cm, Prof. "&amp;HC[[#This Row],[Prof. (m)]]&amp;" m","")</f>
        <v>2 Ø 90 cm, Prof. 10 m</v>
      </c>
      <c r="BL281" s="4" t="str">
        <f ca="1">IF(HC[[#This Row],[idDimensionamento]]="","",HC[[#This Row],[idPilar]]&amp;HC[[#This Row],[idDimensionamento]])</f>
        <v>22 Ø 90 cm, Prof. 10 m</v>
      </c>
    </row>
    <row r="282" spans="2:64" x14ac:dyDescent="0.25">
      <c r="B282" s="12">
        <f>ROUNDUP((ROW(HC[[#This Row],[idDiâmetro]])-ROW(HC[[#Headers],[idDiâmetro]]))/(COUNT(SPT[Prof. (m)])*COUNT(PILARES[Pilar])),0)</f>
        <v>10</v>
      </c>
      <c r="C282" s="12">
        <f>IF(HC[[#This Row],[idDiâmetro]]&lt;&gt;B281,1,IF(HC[[#This Row],[Prof. (m)]]=0,C281+1,C281))</f>
        <v>2</v>
      </c>
      <c r="D282" s="82">
        <f>IFERROR(IF(D281=MAX(SPT[Prof. (m)]),0,D281+1),0)</f>
        <v>11</v>
      </c>
      <c r="E282" s="82">
        <f>INDEX(SPT[],MATCH(HC[[#This Row],[Prof. (m)]],SPT[Prof. (m)],0),2)</f>
        <v>41</v>
      </c>
      <c r="F282" s="82" t="str">
        <f>INDEX(SPT[],MATCH(HC[[#This Row],[Prof. (m)]],SPT[Prof. (m)],0),3)</f>
        <v>Areia siltosa</v>
      </c>
      <c r="G282" s="82">
        <f>INDEX(estacas[],HC[[#This Row],[idDiâmetro]],MATCH($B$2,estacas[#Headers],0))</f>
        <v>90</v>
      </c>
      <c r="H282" s="82">
        <f>INDEX(estacas[],MATCH(HC[[#This Row],[Ø (cm)]],estacas[Ø HC (cm)],0),MATCH(HC[[#Headers],[Pe HC (kN)]],estacas[#Headers],0))</f>
        <v>4000</v>
      </c>
      <c r="I282" s="4">
        <f>INDEX(K_alpha_C[],MATCH(HC[[#This Row],[Solo]],K_alpha_C[Solo],0),2)</f>
        <v>0.8</v>
      </c>
      <c r="J282" s="5">
        <f>INDEX(K_alpha_C[],MATCH(HC[[#This Row],[Solo]],K_alpha_C[Solo],0),3)</f>
        <v>2</v>
      </c>
      <c r="K282" s="4">
        <f>INDEX(F1_F2[],MATCH($D$2,F1_F2[Tipo de estaca],0),2)</f>
        <v>2</v>
      </c>
      <c r="L282" s="4">
        <f>INDEX(F1_F2[],MATCH($D$2,F1_F2[Tipo de estaca],0),3)</f>
        <v>4</v>
      </c>
      <c r="M282" s="4">
        <f>PI()*(HC[[#This Row],[Ø (cm)]]/100)^2/4</f>
        <v>0.63617251235193317</v>
      </c>
      <c r="N282" s="4">
        <f>PI()*HC[[#This Row],[Ø (cm)]]/100</f>
        <v>2.8274333882308138</v>
      </c>
      <c r="O282" s="4">
        <f>IF(HC[[#This Row],[Prof. (m)]]=0,0,HC[[#This Row],[α (%)]]/100*HC[[#This Row],[K (MPa)]]*1000*HC[[#This Row],[NSPT]])</f>
        <v>656</v>
      </c>
      <c r="P282" s="4">
        <f>IF(HC[[#This Row],[Prof. (m)]]=0,0,(HC[[#This Row],[K (MPa)]]*1000*HC[[#This Row],[NSPT]]/HC[[#This Row],[F1]]*HC[[#This Row],[Ap (m²)]]+HC[[#This Row],[U (m)]]/HC[[#This Row],[F2]]*SUMIFS(HC[(α∙K∙NL∙ΔL)],HC[Prof. (m)],"&lt;="&amp;HC[[#This Row],[Prof. (m)]],HC[idDiâmetro],HC[[#This Row],[idDiâmetro]],HC[idPilar],HC[[#This Row],[idPilar]]))/'DADOS CAP. CARGA'!$D$2)</f>
        <v>6129.8402427670517</v>
      </c>
      <c r="Q282" s="12">
        <f>INDEX(C_alpha_beta[],MATCH(HC[[#This Row],[Solo]],C_alpha_beta[Solo],0),MATCH(HC[[#Headers],[C (kPa)]],C_alpha_beta[#Headers],0))</f>
        <v>400</v>
      </c>
      <c r="R282" s="4">
        <f>INDEX(C_alpha_beta[],MATCH(HC[[#This Row],[Solo]],C_alpha_beta[Solo],0),MATCH(HC[[#Headers],[α ESF]],C_alpha_beta[#Headers],0))</f>
        <v>0.5</v>
      </c>
      <c r="S282" s="4">
        <f>INDEX(C_alpha_beta[],MATCH(HC[[#This Row],[Solo]],C_alpha_beta[Solo],0),MATCH(HC[[#Headers],[β ESF]],C_alpha_beta[#Headers],0))</f>
        <v>0.5</v>
      </c>
      <c r="T282" s="4">
        <f>IF(HC[[#This Row],[Prof. (m)]]=0,0,10*(HC[[#This Row],[NSPT]]/3+1))</f>
        <v>146.66666666666666</v>
      </c>
      <c r="U282" s="4">
        <f>(HC[[#This Row],[α ESF]]*HC[[#This Row],[C (kPa)]]*HC[[#This Row],[NSPT]]*HC[[#This Row],[Ap (m²)]])/'DADOS CAP. CARGA'!$Q$2+(HC[[#This Row],[β ESF]]*SUMIFS(HC[10∙(NL/3+1)],HC[Prof. (m)],"&lt;="&amp;HC[[#This Row],[Prof. (m)]],HC[idDiâmetro],HC[[#This Row],[idDiâmetro]],HC[idPilar],HC[[#This Row],[idPilar]])*HC[[#This Row],[U (m)]])/'DADOS CAP. CARGA'!$S$2</f>
        <v>1784.8173263207011</v>
      </c>
      <c r="V282" s="4">
        <f>IF(SPT!$M$5=1,MIN(HC[[#This Row],[Pe HC (kN)]],HC[[#This Row],[R_AV (kN)]]),IF(SPT!$M$5=2,MIN(HC[[#This Row],[Pe HC (kN)]],HC[[#This Row],[R_DC (kN)]]),MIN(HC[[#This Row],[Pe HC (kN)]],HC[[#This Row],[R_AV (kN)]],HC[[#This Row],[R_DC (kN)]])))</f>
        <v>1784.8173263207011</v>
      </c>
      <c r="W282" s="4">
        <f>INDEX(PILARES[],HC[[#This Row],[idPilar]],MATCH("Carga (kN)",PILARES[#Headers],0))*1.4</f>
        <v>1750</v>
      </c>
      <c r="X282" s="12">
        <f>INDEX(PILARES[],HC[[#This Row],[idPilar]],MATCH(HC[[#Headers],[ap (cm)]],PILARES[#Headers],0))</f>
        <v>50</v>
      </c>
      <c r="Y282" s="12">
        <f>INDEX(PILARES[],HC[[#This Row],[idPilar]],MATCH(HC[[#Headers],[bp (cm)]],PILARES[#Headers],0))</f>
        <v>40</v>
      </c>
      <c r="Z282" s="4">
        <f>SQRT(HC[[#This Row],[ap (cm)]]*HC[[#This Row],[bp (cm)]])</f>
        <v>44.721359549995796</v>
      </c>
      <c r="AA282" s="12">
        <f>HC[[#This Row],[ap (cm)]]*HC[[#This Row],[bp (cm)]]</f>
        <v>2000</v>
      </c>
      <c r="AB282" s="12">
        <f ca="1">IF(HC[[#This Row],[Padm∙ε (kN)]]&gt;=HC[[#This Row],[Padm (kN)]],ROUNDUP(1.05*HC[[#This Row],[Nsd (kN)]]/HC[[#This Row],[Padm (kN)]],0),ROUNDUP(1.05*HC[[#This Row],[Nsd (kN)]]/HC[[#This Row],[Padm (kN)]],0)+1)</f>
        <v>2</v>
      </c>
      <c r="AC282" s="4">
        <f ca="1">IFERROR(IF(HC[[#This Row],[nE]]=1,HC[[#This Row],[Padm (kN)]],HC[[#This Row],[Padm (kN)]]*HC[[#This Row],[nE]]*INDEX(grupoEstacas[],HC[[#This Row],[nE]],MATCH("ε",grupoEstacas[#Headers],0))),"N.S.")</f>
        <v>3346.5324868513144</v>
      </c>
      <c r="AD282" s="4">
        <f ca="1">1.05*HC[[#This Row],[Nsd (kN)]]/(HC[[#This Row],[nE]]*PI()*HC[[#This Row],[Ø (cm)]]^2/4)*10</f>
        <v>1.4441837428709023</v>
      </c>
      <c r="AE282" s="4">
        <f ca="1">IF(HC[[#This Row],[σ (MPa)]]&lt;INDEX(tipoEstaca[],MATCH($D$2,tipoEstaca[TIPO DE ESTACA],0),MATCH("σmáx (MPa)",tipoEstaca[#Headers],0)),0.4%*PI()*HC[[#This Row],[Ø (cm)]]^2/4,"N.S.")</f>
        <v>25.446900494077326</v>
      </c>
      <c r="AF282" s="82">
        <f>INDEX(tipoEstaca[],MATCH($D$2,tipoEstaca[TIPO DE ESTACA],0),MATCH(HC[[#Headers],[Comprimento (m)]],tipoEstaca[#Headers],0))</f>
        <v>4</v>
      </c>
      <c r="AG282" s="5">
        <f ca="1">HC[[#This Row],[As,mín (cm²)]]/100^2*HC[[#This Row],[Comprimento (m)]]*7850</f>
        <v>79.903267551402806</v>
      </c>
      <c r="AH282" s="4">
        <f ca="1">HC[[#This Row],[nE]]*HC[[#This Row],[Prof. (m)]]*HC[[#This Row],[Ap (m²)]]</f>
        <v>13.99579527174253</v>
      </c>
      <c r="AI282" s="82">
        <f ca="1">IF(HC[[#This Row],[nE]]=1,0,MAX(3*HC[[#This Row],[Ø (cm)]],60))</f>
        <v>270</v>
      </c>
      <c r="AJ282" s="82">
        <f ca="1">IF(HC[[#This Row],[nE]]=1,HC[[#This Row],[Ø (cm)]]+2*10,MAX(1.5*HC[[#This Row],[Ø (cm)]],HC[[#This Row],[Ø (cm)]]+15))</f>
        <v>135</v>
      </c>
      <c r="AK282" s="82">
        <f ca="1">alturaUtil(HC[[#This Row],[nE]],HC[[#This Row],[Ø (cm)]],HC[[#This Row],[e (cm)]],HC[[#This Row],[ap,eq (cm)]])</f>
        <v>125</v>
      </c>
      <c r="AL282" s="82">
        <f ca="1">IFERROR(HC[[#This Row],[d (cm)]]+arredondarParaCimaMultiplo5cm(MAX(5,SQRT(PI())/2*HC[[#This Row],[Ø (cm)]]/5)),"N.S.")</f>
        <v>145</v>
      </c>
      <c r="AM282" s="5">
        <f ca="1">alpha(HC[[#This Row],[nE]],HC[[#This Row],[d (cm)]],HC[[#This Row],[e (cm)]],HC[[#This Row],[ap,eq (cm)]])</f>
        <v>45.271795189473693</v>
      </c>
      <c r="AN282" s="35">
        <f ca="1">IFERROR(HC[[#This Row],[Nsd (kN)]]/(HC[[#This Row],[Ap (cm²)]]*SIN(HC[[#This Row],[α]])^2),"N.S.")</f>
        <v>0.94806089479682865</v>
      </c>
      <c r="AO282" s="35">
        <f ca="1">IFERROR(HC[[#This Row],[Nsd (kN)]]/(HC[[#This Row],[nE]]*PI()*HC[[#This Row],[Ø (cm)]]^2/4*SIN(HC[[#This Row],[α]])^2),"N.S.")</f>
        <v>0.14902575581139818</v>
      </c>
      <c r="AP282" s="4">
        <f ca="1">IFERROR(INDEX(grupoEstacas[],HC[[#This Row],[nE]],MATCH("coef. Blévot",grupoEstacas[#Headers],0)),"N.S.")</f>
        <v>1.4</v>
      </c>
      <c r="AQ282" s="35">
        <f ca="1">IFERROR(HC[[#This Row],[coef. Blévot]]*0.9*INDEX(tipoEstaca[],MATCH($D$2,tipoEstaca[TIPO DE ESTACA],0),MATCH("fcd (kN/cm²)",tipoEstaca[#Headers],0)),"N.S.")</f>
        <v>1.4000000000000001</v>
      </c>
      <c r="AR282" s="82" t="str">
        <f ca="1">IF(AND(HC[[#This Row],[cd,b,pil (kN/cm²)]]&lt;=HC[[#This Row],[cd,b,lim (kN/cm²)]],HC[[#This Row],[cd,b,est (kN/cm²)]]&lt;=HC[[#This Row],[cd,b,lim (kN/cm²)]]),"OK","ERRO")</f>
        <v>OK</v>
      </c>
      <c r="AS282" s="4">
        <f ca="1">As_lado(HC[[#This Row],[nE]],HC[[#This Row],[Nsd (kN)]],HC[[#This Row],[d (cm)]],HC[[#This Row],[e (cm)]],HC[[#This Row],[ap,eq (cm)]])</f>
        <v>22.925210069829568</v>
      </c>
      <c r="AT282" s="4">
        <f ca="1">IF(HC[[#This Row],[nE]]=1,HC[[#This Row],[As,lado (cm²)]],IF(HC[[#This Row],[nE]]=2,0.075*2*HC[a (cm)],"N.A."))</f>
        <v>20.25</v>
      </c>
      <c r="AU282" s="4">
        <f ca="1">IFERROR(IF(HC[[#This Row],[nE]]=1,"N.A.",0.2*HC[[#This Row],[As,lado (cm²)]]),"N.S.")</f>
        <v>4.5850420139659134</v>
      </c>
      <c r="AV282" s="4" t="str">
        <f ca="1">As_malha(HC[[#This Row],[nE]],HC[[#This Row],[As,lado (cm²)]],HC[[#This Row],[Nsd (kN)]])</f>
        <v>N.A.</v>
      </c>
      <c r="AW282" s="4" t="str">
        <f ca="1">As_susp_tot(HC[[#This Row],[nE]],HC[[#This Row],[Nsd (kN)]])</f>
        <v>N.A.</v>
      </c>
      <c r="AX282" s="4" t="str">
        <f ca="1">Asp_face(HC[[#This Row],[nE]],HC[[#This Row],[As,lado (cm²)]])</f>
        <v>N.A.</v>
      </c>
      <c r="AY282" s="5">
        <f ca="1">acoBloco(HC[[#This Row],[nE]],HC[[#This Row],[e (cm)]],HC[[#This Row],[a (cm)]],HC[[#This Row],[h (cm)]],HC[[#This Row],[As,lado (cm²)]],HC[[#This Row],[Asp e Asw (cm²/m)]],HC[[#This Row],[As,sup (cm²)]],HC[[#This Row],[As,malha (cm²)]],HC[[#This Row],[As,susp,tot (cm²)]],HC[[#This Row],[Asp,face (cm²)]])</f>
        <v>1202.4887960832093</v>
      </c>
      <c r="AZ282" s="4">
        <f ca="1">concretoBloco(HC[[#This Row],[nE]],HC[[#This Row],[e (cm)]],HC[[#This Row],[a (cm)]],HC[[#This Row],[h (cm)]])</f>
        <v>21.140999999999998</v>
      </c>
      <c r="BA282" s="5">
        <f ca="1">SUM(HC[[#This Row],[Aço Est (kg)]],HC[[#This Row],[Aço Bloco (kg)]])</f>
        <v>1282.3920636346122</v>
      </c>
      <c r="BB282" s="4">
        <f>INDEX(composicoes[],MATCH(95580,composicoes[CÓDIGO],0),MATCH("CUSTO TOTAL",composicoes[#Headers],0))</f>
        <v>10.46</v>
      </c>
      <c r="BC282" s="4">
        <f ca="1">SUM(HC[[#This Row],[Conc Est (m³)]],HC[[#This Row],[Conc Bloco (m³)]])</f>
        <v>35.136795271742528</v>
      </c>
      <c r="BD282" s="4">
        <f>INDEX(composicoes[],MATCH(94966,composicoes[CÓDIGO],0),MATCH("CUSTO TOTAL",composicoes[#Headers],0))</f>
        <v>439.52</v>
      </c>
      <c r="BE282" s="38">
        <f ca="1">HC[[#This Row],[Aço (kg)]]*HC[[#This Row],[Aço (R$/kg)]]+HC[[#This Row],[Conc (m³)]]*HC[[#This Row],[Conc (R$/m³)]]</f>
        <v>28857.145243454321</v>
      </c>
      <c r="BF282" s="4" t="str">
        <f ca="1">IF(COUNTIF(HC[#This Row],"N.S.")&gt;0,"lim.","OK")</f>
        <v>OK</v>
      </c>
      <c r="BG282" s="4" t="str">
        <f>IF(HC[[#This Row],[Prof. (m)]]&lt;4,"lim.","OK")</f>
        <v>OK</v>
      </c>
      <c r="BH282" s="4" t="str">
        <f>IF(HC[[#This Row],[Prof. (m)]]&gt;=8*HC[[#This Row],[Ø (cm)]]/100,"OK","lim.")</f>
        <v>OK</v>
      </c>
      <c r="BI282" s="4" t="str">
        <f ca="1">IF(HC[[#This Row],[Verif. Biela]]="OK","OK","lim.")</f>
        <v>OK</v>
      </c>
      <c r="BJ282" s="4" t="str">
        <f ca="1">IF(COUNTA(HC[[#This Row],[Nº Est.]:[Biela comp.]])=COUNTIF(HC[[#This Row],[Nº Est.]:[Biela comp.]],"OK"),"OK","lim.")</f>
        <v>OK</v>
      </c>
      <c r="BK282" s="4" t="str">
        <f ca="1">IF(HC[[#This Row],[Controle]]="OK",HC[[#This Row],[nE]]&amp;" Ø "&amp;HC[[#This Row],[Ø (cm)]]&amp;" cm, Prof. "&amp;HC[[#This Row],[Prof. (m)]]&amp;" m","")</f>
        <v>2 Ø 90 cm, Prof. 11 m</v>
      </c>
      <c r="BL282" s="4" t="str">
        <f ca="1">IF(HC[[#This Row],[idDimensionamento]]="","",HC[[#This Row],[idPilar]]&amp;HC[[#This Row],[idDimensionamento]])</f>
        <v>22 Ø 90 cm, Prof. 11 m</v>
      </c>
    </row>
    <row r="283" spans="2:64" x14ac:dyDescent="0.25">
      <c r="B283" s="12">
        <f>ROUNDUP((ROW(HC[[#This Row],[idDiâmetro]])-ROW(HC[[#Headers],[idDiâmetro]]))/(COUNT(SPT[Prof. (m)])*COUNT(PILARES[Pilar])),0)</f>
        <v>10</v>
      </c>
      <c r="C283" s="12">
        <f>IF(HC[[#This Row],[idDiâmetro]]&lt;&gt;B282,1,IF(HC[[#This Row],[Prof. (m)]]=0,C282+1,C282))</f>
        <v>2</v>
      </c>
      <c r="D283" s="82">
        <f>IFERROR(IF(D282=MAX(SPT[Prof. (m)]),0,D282+1),0)</f>
        <v>12</v>
      </c>
      <c r="E283" s="82">
        <f>INDEX(SPT[],MATCH(HC[[#This Row],[Prof. (m)]],SPT[Prof. (m)],0),2)</f>
        <v>52</v>
      </c>
      <c r="F283" s="82" t="str">
        <f>INDEX(SPT[],MATCH(HC[[#This Row],[Prof. (m)]],SPT[Prof. (m)],0),3)</f>
        <v>Areia siltosa</v>
      </c>
      <c r="G283" s="82">
        <f>INDEX(estacas[],HC[[#This Row],[idDiâmetro]],MATCH($B$2,estacas[#Headers],0))</f>
        <v>90</v>
      </c>
      <c r="H283" s="82">
        <f>INDEX(estacas[],MATCH(HC[[#This Row],[Ø (cm)]],estacas[Ø HC (cm)],0),MATCH(HC[[#Headers],[Pe HC (kN)]],estacas[#Headers],0))</f>
        <v>4000</v>
      </c>
      <c r="I283" s="4">
        <f>INDEX(K_alpha_C[],MATCH(HC[[#This Row],[Solo]],K_alpha_C[Solo],0),2)</f>
        <v>0.8</v>
      </c>
      <c r="J283" s="5">
        <f>INDEX(K_alpha_C[],MATCH(HC[[#This Row],[Solo]],K_alpha_C[Solo],0),3)</f>
        <v>2</v>
      </c>
      <c r="K283" s="4">
        <f>INDEX(F1_F2[],MATCH($D$2,F1_F2[Tipo de estaca],0),2)</f>
        <v>2</v>
      </c>
      <c r="L283" s="4">
        <f>INDEX(F1_F2[],MATCH($D$2,F1_F2[Tipo de estaca],0),3)</f>
        <v>4</v>
      </c>
      <c r="M283" s="4">
        <f>PI()*(HC[[#This Row],[Ø (cm)]]/100)^2/4</f>
        <v>0.63617251235193317</v>
      </c>
      <c r="N283" s="4">
        <f>PI()*HC[[#This Row],[Ø (cm)]]/100</f>
        <v>2.8274333882308138</v>
      </c>
      <c r="O283" s="4">
        <f>IF(HC[[#This Row],[Prof. (m)]]=0,0,HC[[#This Row],[α (%)]]/100*HC[[#This Row],[K (MPa)]]*1000*HC[[#This Row],[NSPT]])</f>
        <v>832</v>
      </c>
      <c r="P283" s="4">
        <f>IF(HC[[#This Row],[Prof. (m)]]=0,0,(HC[[#This Row],[K (MPa)]]*1000*HC[[#This Row],[NSPT]]/HC[[#This Row],[F1]]*HC[[#This Row],[Ap (m²)]]+HC[[#This Row],[U (m)]]/HC[[#This Row],[F2]]*SUMIFS(HC[(α∙K∙NL∙ΔL)],HC[Prof. (m)],"&lt;="&amp;HC[[#This Row],[Prof. (m)]],HC[idDiâmetro],HC[[#This Row],[idDiâmetro]],HC[idPilar],HC[[#This Row],[idPilar]]))/'DADOS CAP. CARGA'!$D$2)</f>
        <v>7823.4728423173101</v>
      </c>
      <c r="Q283" s="12">
        <f>INDEX(C_alpha_beta[],MATCH(HC[[#This Row],[Solo]],C_alpha_beta[Solo],0),MATCH(HC[[#Headers],[C (kPa)]],C_alpha_beta[#Headers],0))</f>
        <v>400</v>
      </c>
      <c r="R283" s="4">
        <f>INDEX(C_alpha_beta[],MATCH(HC[[#This Row],[Solo]],C_alpha_beta[Solo],0),MATCH(HC[[#Headers],[α ESF]],C_alpha_beta[#Headers],0))</f>
        <v>0.5</v>
      </c>
      <c r="S283" s="4">
        <f>INDEX(C_alpha_beta[],MATCH(HC[[#This Row],[Solo]],C_alpha_beta[Solo],0),MATCH(HC[[#Headers],[β ESF]],C_alpha_beta[#Headers],0))</f>
        <v>0.5</v>
      </c>
      <c r="T283" s="4">
        <f>IF(HC[[#This Row],[Prof. (m)]]=0,0,10*(HC[[#This Row],[NSPT]]/3+1))</f>
        <v>183.33333333333331</v>
      </c>
      <c r="U283" s="4">
        <f>(HC[[#This Row],[α ESF]]*HC[[#This Row],[C (kPa)]]*HC[[#This Row],[NSPT]]*HC[[#This Row],[Ap (m²)]])/'DADOS CAP. CARGA'!$Q$2+(HC[[#This Row],[β ESF]]*SUMIFS(HC[10∙(NL/3+1)],HC[Prof. (m)],"&lt;="&amp;HC[[#This Row],[Prof. (m)]],HC[idDiâmetro],HC[[#This Row],[idDiâmetro]],HC[idPilar],HC[[#This Row],[idPilar]])*HC[[#This Row],[U (m)]])/'DADOS CAP. CARGA'!$S$2</f>
        <v>2264.3029050748437</v>
      </c>
      <c r="V283" s="4">
        <f>IF(SPT!$M$5=1,MIN(HC[[#This Row],[Pe HC (kN)]],HC[[#This Row],[R_AV (kN)]]),IF(SPT!$M$5=2,MIN(HC[[#This Row],[Pe HC (kN)]],HC[[#This Row],[R_DC (kN)]]),MIN(HC[[#This Row],[Pe HC (kN)]],HC[[#This Row],[R_AV (kN)]],HC[[#This Row],[R_DC (kN)]])))</f>
        <v>2264.3029050748437</v>
      </c>
      <c r="W283" s="4">
        <f>INDEX(PILARES[],HC[[#This Row],[idPilar]],MATCH("Carga (kN)",PILARES[#Headers],0))*1.4</f>
        <v>1750</v>
      </c>
      <c r="X283" s="12">
        <f>INDEX(PILARES[],HC[[#This Row],[idPilar]],MATCH(HC[[#Headers],[ap (cm)]],PILARES[#Headers],0))</f>
        <v>50</v>
      </c>
      <c r="Y283" s="12">
        <f>INDEX(PILARES[],HC[[#This Row],[idPilar]],MATCH(HC[[#Headers],[bp (cm)]],PILARES[#Headers],0))</f>
        <v>40</v>
      </c>
      <c r="Z283" s="4">
        <f>SQRT(HC[[#This Row],[ap (cm)]]*HC[[#This Row],[bp (cm)]])</f>
        <v>44.721359549995796</v>
      </c>
      <c r="AA283" s="12">
        <f>HC[[#This Row],[ap (cm)]]*HC[[#This Row],[bp (cm)]]</f>
        <v>2000</v>
      </c>
      <c r="AB283" s="12">
        <f ca="1">IF(HC[[#This Row],[Padm∙ε (kN)]]&gt;=HC[[#This Row],[Padm (kN)]],ROUNDUP(1.05*HC[[#This Row],[Nsd (kN)]]/HC[[#This Row],[Padm (kN)]],0),ROUNDUP(1.05*HC[[#This Row],[Nsd (kN)]]/HC[[#This Row],[Padm (kN)]],0)+1)</f>
        <v>1</v>
      </c>
      <c r="AC283" s="4">
        <f ca="1">IFERROR(IF(HC[[#This Row],[nE]]=1,HC[[#This Row],[Padm (kN)]],HC[[#This Row],[Padm (kN)]]*HC[[#This Row],[nE]]*INDEX(grupoEstacas[],HC[[#This Row],[nE]],MATCH("ε",grupoEstacas[#Headers],0))),"N.S.")</f>
        <v>2264.3029050748437</v>
      </c>
      <c r="AD283" s="4">
        <f ca="1">1.05*HC[[#This Row],[Nsd (kN)]]/(HC[[#This Row],[nE]]*PI()*HC[[#This Row],[Ø (cm)]]^2/4)*10</f>
        <v>2.8883674857418047</v>
      </c>
      <c r="AE283" s="4">
        <f ca="1">IF(HC[[#This Row],[σ (MPa)]]&lt;INDEX(tipoEstaca[],MATCH($D$2,tipoEstaca[TIPO DE ESTACA],0),MATCH("σmáx (MPa)",tipoEstaca[#Headers],0)),0.4%*PI()*HC[[#This Row],[Ø (cm)]]^2/4,"N.S.")</f>
        <v>25.446900494077326</v>
      </c>
      <c r="AF283" s="82">
        <f>INDEX(tipoEstaca[],MATCH($D$2,tipoEstaca[TIPO DE ESTACA],0),MATCH(HC[[#Headers],[Comprimento (m)]],tipoEstaca[#Headers],0))</f>
        <v>4</v>
      </c>
      <c r="AG283" s="5">
        <f ca="1">HC[[#This Row],[As,mín (cm²)]]/100^2*HC[[#This Row],[Comprimento (m)]]*7850</f>
        <v>79.903267551402806</v>
      </c>
      <c r="AH283" s="4">
        <f ca="1">HC[[#This Row],[nE]]*HC[[#This Row],[Prof. (m)]]*HC[[#This Row],[Ap (m²)]]</f>
        <v>7.6340701482231985</v>
      </c>
      <c r="AI283" s="82">
        <f ca="1">IF(HC[[#This Row],[nE]]=1,0,MAX(3*HC[[#This Row],[Ø (cm)]],60))</f>
        <v>0</v>
      </c>
      <c r="AJ283" s="82">
        <f ca="1">IF(HC[[#This Row],[nE]]=1,HC[[#This Row],[Ø (cm)]]+2*10,MAX(1.5*HC[[#This Row],[Ø (cm)]],HC[[#This Row],[Ø (cm)]]+15))</f>
        <v>110</v>
      </c>
      <c r="AK283" s="82">
        <f ca="1">alturaUtil(HC[[#This Row],[nE]],HC[[#This Row],[Ø (cm)]],HC[[#This Row],[e (cm)]],HC[[#This Row],[ap,eq (cm)]])</f>
        <v>110</v>
      </c>
      <c r="AL283" s="82">
        <f ca="1">IFERROR(HC[[#This Row],[d (cm)]]+arredondarParaCimaMultiplo5cm(MAX(5,SQRT(PI())/2*HC[[#This Row],[Ø (cm)]]/5)),"N.S.")</f>
        <v>130</v>
      </c>
      <c r="AM283" s="5">
        <f ca="1">alpha(HC[[#This Row],[nE]],HC[[#This Row],[d (cm)]],HC[[#This Row],[e (cm)]],HC[[#This Row],[ap,eq (cm)]])</f>
        <v>90</v>
      </c>
      <c r="AN283" s="35">
        <f ca="1">IFERROR(HC[[#This Row],[Nsd (kN)]]/(HC[[#This Row],[Ap (cm²)]]*SIN(HC[[#This Row],[α]])^2),"N.S.")</f>
        <v>1.0948037013095111</v>
      </c>
      <c r="AO283" s="35">
        <f ca="1">IFERROR(HC[[#This Row],[Nsd (kN)]]/(HC[[#This Row],[nE]]*PI()*HC[[#This Row],[Ø (cm)]]^2/4*SIN(HC[[#This Row],[α]])^2),"N.S.")</f>
        <v>0.34418453487152917</v>
      </c>
      <c r="AP283" s="4">
        <f ca="1">IFERROR(INDEX(grupoEstacas[],HC[[#This Row],[nE]],MATCH("coef. Blévot",grupoEstacas[#Headers],0)),"N.S.")</f>
        <v>1</v>
      </c>
      <c r="AQ283" s="35">
        <f ca="1">IFERROR(HC[[#This Row],[coef. Blévot]]*0.9*INDEX(tipoEstaca[],MATCH($D$2,tipoEstaca[TIPO DE ESTACA],0),MATCH("fcd (kN/cm²)",tipoEstaca[#Headers],0)),"N.S.")</f>
        <v>1</v>
      </c>
      <c r="AR283" s="82" t="str">
        <f ca="1">IF(AND(HC[[#This Row],[cd,b,pil (kN/cm²)]]&lt;=HC[[#This Row],[cd,b,lim (kN/cm²)]],HC[[#This Row],[cd,b,est (kN/cm²)]]&lt;=HC[[#This Row],[cd,b,lim (kN/cm²)]]),"OK","ERRO")</f>
        <v>ERRO</v>
      </c>
      <c r="AS283" s="4">
        <f ca="1">As_lado(HC[[#This Row],[nE]],HC[[#This Row],[Nsd (kN)]],HC[[#This Row],[d (cm)]],HC[[#This Row],[e (cm)]],HC[[#This Row],[ap,eq (cm)]])</f>
        <v>10.0625</v>
      </c>
      <c r="AT283" s="4">
        <f ca="1">IF(HC[[#This Row],[nE]]=1,HC[[#This Row],[As,lado (cm²)]],IF(HC[[#This Row],[nE]]=2,0.075*2*HC[a (cm)],"N.A."))</f>
        <v>10.0625</v>
      </c>
      <c r="AU283" s="4" t="str">
        <f ca="1">IFERROR(IF(HC[[#This Row],[nE]]=1,"N.A.",0.2*HC[[#This Row],[As,lado (cm²)]]),"N.S.")</f>
        <v>N.A.</v>
      </c>
      <c r="AV283" s="4" t="str">
        <f ca="1">As_malha(HC[[#This Row],[nE]],HC[[#This Row],[As,lado (cm²)]],HC[[#This Row],[Nsd (kN)]])</f>
        <v>N.A.</v>
      </c>
      <c r="AW283" s="4" t="str">
        <f ca="1">As_susp_tot(HC[[#This Row],[nE]],HC[[#This Row],[Nsd (kN)]])</f>
        <v>N.A.</v>
      </c>
      <c r="AX283" s="4" t="str">
        <f ca="1">Asp_face(HC[[#This Row],[nE]],HC[[#This Row],[As,lado (cm²)]])</f>
        <v>N.A.</v>
      </c>
      <c r="AY283" s="5">
        <f ca="1">acoBloco(HC[[#This Row],[nE]],HC[[#This Row],[e (cm)]],HC[[#This Row],[a (cm)]],HC[[#This Row],[h (cm)]],HC[[#This Row],[As,lado (cm²)]],HC[[#This Row],[Asp e Asw (cm²/m)]],HC[[#This Row],[As,sup (cm²)]],HC[[#This Row],[As,malha (cm²)]],HC[[#This Row],[As,susp,tot (cm²)]],HC[[#This Row],[Asp,face (cm²)]])</f>
        <v>110.58687500000001</v>
      </c>
      <c r="AZ283" s="4">
        <f ca="1">concretoBloco(HC[[#This Row],[nE]],HC[[#This Row],[e (cm)]],HC[[#This Row],[a (cm)]],HC[[#This Row],[h (cm)]])</f>
        <v>1.573</v>
      </c>
      <c r="BA283" s="5">
        <f ca="1">SUM(HC[[#This Row],[Aço Est (kg)]],HC[[#This Row],[Aço Bloco (kg)]])</f>
        <v>190.49014255140281</v>
      </c>
      <c r="BB283" s="4">
        <f>INDEX(composicoes[],MATCH(95580,composicoes[CÓDIGO],0),MATCH("CUSTO TOTAL",composicoes[#Headers],0))</f>
        <v>10.46</v>
      </c>
      <c r="BC283" s="4">
        <f ca="1">SUM(HC[[#This Row],[Conc Est (m³)]],HC[[#This Row],[Conc Bloco (m³)]])</f>
        <v>9.2070701482231989</v>
      </c>
      <c r="BD283" s="4">
        <f>INDEX(composicoes[],MATCH(94966,composicoes[CÓDIGO],0),MATCH("CUSTO TOTAL",composicoes[#Headers],0))</f>
        <v>439.52</v>
      </c>
      <c r="BE283" s="38">
        <f ca="1">HC[[#This Row],[Aço (kg)]]*HC[[#This Row],[Aço (R$/kg)]]+HC[[#This Row],[Conc (m³)]]*HC[[#This Row],[Conc (R$/m³)]]</f>
        <v>6039.2183626347341</v>
      </c>
      <c r="BF283" s="4" t="str">
        <f ca="1">IF(COUNTIF(HC[#This Row],"N.S.")&gt;0,"lim.","OK")</f>
        <v>OK</v>
      </c>
      <c r="BG283" s="4" t="str">
        <f>IF(HC[[#This Row],[Prof. (m)]]&lt;4,"lim.","OK")</f>
        <v>OK</v>
      </c>
      <c r="BH283" s="4" t="str">
        <f>IF(HC[[#This Row],[Prof. (m)]]&gt;=8*HC[[#This Row],[Ø (cm)]]/100,"OK","lim.")</f>
        <v>OK</v>
      </c>
      <c r="BI283" s="4" t="str">
        <f ca="1">IF(HC[[#This Row],[Verif. Biela]]="OK","OK","lim.")</f>
        <v>lim.</v>
      </c>
      <c r="BJ283" s="4" t="str">
        <f ca="1">IF(COUNTA(HC[[#This Row],[Nº Est.]:[Biela comp.]])=COUNTIF(HC[[#This Row],[Nº Est.]:[Biela comp.]],"OK"),"OK","lim.")</f>
        <v>lim.</v>
      </c>
      <c r="BK283" s="4" t="str">
        <f ca="1">IF(HC[[#This Row],[Controle]]="OK",HC[[#This Row],[nE]]&amp;" Ø "&amp;HC[[#This Row],[Ø (cm)]]&amp;" cm, Prof. "&amp;HC[[#This Row],[Prof. (m)]]&amp;" m","")</f>
        <v/>
      </c>
      <c r="BL283" s="4" t="str">
        <f ca="1">IF(HC[[#This Row],[idDimensionamento]]="","",HC[[#This Row],[idPilar]]&amp;HC[[#This Row],[idDimensionamento]])</f>
        <v/>
      </c>
    </row>
    <row r="284" spans="2:64" x14ac:dyDescent="0.25">
      <c r="B284" s="12">
        <f>ROUNDUP((ROW(HC[[#This Row],[idDiâmetro]])-ROW(HC[[#Headers],[idDiâmetro]]))/(COUNT(SPT[Prof. (m)])*COUNT(PILARES[Pilar])),0)</f>
        <v>10</v>
      </c>
      <c r="C284" s="12">
        <f>IF(HC[[#This Row],[idDiâmetro]]&lt;&gt;B283,1,IF(HC[[#This Row],[Prof. (m)]]=0,C283+1,C283))</f>
        <v>2</v>
      </c>
      <c r="D284" s="82">
        <f>IFERROR(IF(D283=MAX(SPT[Prof. (m)]),0,D283+1),0)</f>
        <v>13</v>
      </c>
      <c r="E284" s="82">
        <f>INDEX(SPT[],MATCH(HC[[#This Row],[Prof. (m)]],SPT[Prof. (m)],0),2)</f>
        <v>68</v>
      </c>
      <c r="F284" s="82" t="str">
        <f>INDEX(SPT[],MATCH(HC[[#This Row],[Prof. (m)]],SPT[Prof. (m)],0),3)</f>
        <v>Areia siltosa</v>
      </c>
      <c r="G284" s="82">
        <f>INDEX(estacas[],HC[[#This Row],[idDiâmetro]],MATCH($B$2,estacas[#Headers],0))</f>
        <v>90</v>
      </c>
      <c r="H284" s="82">
        <f>INDEX(estacas[],MATCH(HC[[#This Row],[Ø (cm)]],estacas[Ø HC (cm)],0),MATCH(HC[[#Headers],[Pe HC (kN)]],estacas[#Headers],0))</f>
        <v>4000</v>
      </c>
      <c r="I284" s="4">
        <f>INDEX(K_alpha_C[],MATCH(HC[[#This Row],[Solo]],K_alpha_C[Solo],0),2)</f>
        <v>0.8</v>
      </c>
      <c r="J284" s="5">
        <f>INDEX(K_alpha_C[],MATCH(HC[[#This Row],[Solo]],K_alpha_C[Solo],0),3)</f>
        <v>2</v>
      </c>
      <c r="K284" s="4">
        <f>INDEX(F1_F2[],MATCH($D$2,F1_F2[Tipo de estaca],0),2)</f>
        <v>2</v>
      </c>
      <c r="L284" s="4">
        <f>INDEX(F1_F2[],MATCH($D$2,F1_F2[Tipo de estaca],0),3)</f>
        <v>4</v>
      </c>
      <c r="M284" s="4">
        <f>PI()*(HC[[#This Row],[Ø (cm)]]/100)^2/4</f>
        <v>0.63617251235193317</v>
      </c>
      <c r="N284" s="4">
        <f>PI()*HC[[#This Row],[Ø (cm)]]/100</f>
        <v>2.8274333882308138</v>
      </c>
      <c r="O284" s="4">
        <f>IF(HC[[#This Row],[Prof. (m)]]=0,0,HC[[#This Row],[α (%)]]/100*HC[[#This Row],[K (MPa)]]*1000*HC[[#This Row],[NSPT]])</f>
        <v>1088</v>
      </c>
      <c r="P284" s="4">
        <f>IF(HC[[#This Row],[Prof. (m)]]=0,0,(HC[[#This Row],[K (MPa)]]*1000*HC[[#This Row],[NSPT]]/HC[[#This Row],[F1]]*HC[[#This Row],[Ap (m²)]]+HC[[#This Row],[U (m)]]/HC[[#This Row],[F2]]*SUMIFS(HC[(α∙K∙NL∙ΔL)],HC[Prof. (m)],"&lt;="&amp;HC[[#This Row],[Prof. (m)]],HC[idDiâmetro],HC[[#This Row],[idDiâmetro]],HC[idPilar],HC[[#This Row],[idPilar]]))/'DADOS CAP. CARGA'!$D$2)</f>
        <v>10243.755822642886</v>
      </c>
      <c r="Q284" s="12">
        <f>INDEX(C_alpha_beta[],MATCH(HC[[#This Row],[Solo]],C_alpha_beta[Solo],0),MATCH(HC[[#Headers],[C (kPa)]],C_alpha_beta[#Headers],0))</f>
        <v>400</v>
      </c>
      <c r="R284" s="4">
        <f>INDEX(C_alpha_beta[],MATCH(HC[[#This Row],[Solo]],C_alpha_beta[Solo],0),MATCH(HC[[#Headers],[α ESF]],C_alpha_beta[#Headers],0))</f>
        <v>0.5</v>
      </c>
      <c r="S284" s="4">
        <f>INDEX(C_alpha_beta[],MATCH(HC[[#This Row],[Solo]],C_alpha_beta[Solo],0),MATCH(HC[[#Headers],[β ESF]],C_alpha_beta[#Headers],0))</f>
        <v>0.5</v>
      </c>
      <c r="T284" s="4">
        <f>IF(HC[[#This Row],[Prof. (m)]]=0,0,10*(HC[[#This Row],[NSPT]]/3+1))</f>
        <v>236.66666666666669</v>
      </c>
      <c r="U284" s="4">
        <f>(HC[[#This Row],[α ESF]]*HC[[#This Row],[C (kPa)]]*HC[[#This Row],[NSPT]]*HC[[#This Row],[Ap (m²)]])/'DADOS CAP. CARGA'!$Q$2+(HC[[#This Row],[β ESF]]*SUMIFS(HC[10∙(NL/3+1)],HC[Prof. (m)],"&lt;="&amp;HC[[#This Row],[Prof. (m)]],HC[idDiâmetro],HC[[#This Row],[idDiâmetro]],HC[idPilar],HC[[#This Row],[idPilar]])*HC[[#This Row],[U (m)]])/'DADOS CAP. CARGA'!$S$2</f>
        <v>2940.5307237600464</v>
      </c>
      <c r="V284" s="4">
        <f>IF(SPT!$M$5=1,MIN(HC[[#This Row],[Pe HC (kN)]],HC[[#This Row],[R_AV (kN)]]),IF(SPT!$M$5=2,MIN(HC[[#This Row],[Pe HC (kN)]],HC[[#This Row],[R_DC (kN)]]),MIN(HC[[#This Row],[Pe HC (kN)]],HC[[#This Row],[R_AV (kN)]],HC[[#This Row],[R_DC (kN)]])))</f>
        <v>2940.5307237600464</v>
      </c>
      <c r="W284" s="4">
        <f>INDEX(PILARES[],HC[[#This Row],[idPilar]],MATCH("Carga (kN)",PILARES[#Headers],0))*1.4</f>
        <v>1750</v>
      </c>
      <c r="X284" s="12">
        <f>INDEX(PILARES[],HC[[#This Row],[idPilar]],MATCH(HC[[#Headers],[ap (cm)]],PILARES[#Headers],0))</f>
        <v>50</v>
      </c>
      <c r="Y284" s="12">
        <f>INDEX(PILARES[],HC[[#This Row],[idPilar]],MATCH(HC[[#Headers],[bp (cm)]],PILARES[#Headers],0))</f>
        <v>40</v>
      </c>
      <c r="Z284" s="4">
        <f>SQRT(HC[[#This Row],[ap (cm)]]*HC[[#This Row],[bp (cm)]])</f>
        <v>44.721359549995796</v>
      </c>
      <c r="AA284" s="12">
        <f>HC[[#This Row],[ap (cm)]]*HC[[#This Row],[bp (cm)]]</f>
        <v>2000</v>
      </c>
      <c r="AB284" s="12">
        <f ca="1">IF(HC[[#This Row],[Padm∙ε (kN)]]&gt;=HC[[#This Row],[Padm (kN)]],ROUNDUP(1.05*HC[[#This Row],[Nsd (kN)]]/HC[[#This Row],[Padm (kN)]],0),ROUNDUP(1.05*HC[[#This Row],[Nsd (kN)]]/HC[[#This Row],[Padm (kN)]],0)+1)</f>
        <v>1</v>
      </c>
      <c r="AC284" s="4">
        <f ca="1">IFERROR(IF(HC[[#This Row],[nE]]=1,HC[[#This Row],[Padm (kN)]],HC[[#This Row],[Padm (kN)]]*HC[[#This Row],[nE]]*INDEX(grupoEstacas[],HC[[#This Row],[nE]],MATCH("ε",grupoEstacas[#Headers],0))),"N.S.")</f>
        <v>2940.5307237600464</v>
      </c>
      <c r="AD284" s="4">
        <f ca="1">1.05*HC[[#This Row],[Nsd (kN)]]/(HC[[#This Row],[nE]]*PI()*HC[[#This Row],[Ø (cm)]]^2/4)*10</f>
        <v>2.8883674857418047</v>
      </c>
      <c r="AE284" s="4">
        <f ca="1">IF(HC[[#This Row],[σ (MPa)]]&lt;INDEX(tipoEstaca[],MATCH($D$2,tipoEstaca[TIPO DE ESTACA],0),MATCH("σmáx (MPa)",tipoEstaca[#Headers],0)),0.4%*PI()*HC[[#This Row],[Ø (cm)]]^2/4,"N.S.")</f>
        <v>25.446900494077326</v>
      </c>
      <c r="AF284" s="82">
        <f>INDEX(tipoEstaca[],MATCH($D$2,tipoEstaca[TIPO DE ESTACA],0),MATCH(HC[[#Headers],[Comprimento (m)]],tipoEstaca[#Headers],0))</f>
        <v>4</v>
      </c>
      <c r="AG284" s="5">
        <f ca="1">HC[[#This Row],[As,mín (cm²)]]/100^2*HC[[#This Row],[Comprimento (m)]]*7850</f>
        <v>79.903267551402806</v>
      </c>
      <c r="AH284" s="4">
        <f ca="1">HC[[#This Row],[nE]]*HC[[#This Row],[Prof. (m)]]*HC[[#This Row],[Ap (m²)]]</f>
        <v>8.270242660575132</v>
      </c>
      <c r="AI284" s="82">
        <f ca="1">IF(HC[[#This Row],[nE]]=1,0,MAX(3*HC[[#This Row],[Ø (cm)]],60))</f>
        <v>0</v>
      </c>
      <c r="AJ284" s="82">
        <f ca="1">IF(HC[[#This Row],[nE]]=1,HC[[#This Row],[Ø (cm)]]+2*10,MAX(1.5*HC[[#This Row],[Ø (cm)]],HC[[#This Row],[Ø (cm)]]+15))</f>
        <v>110</v>
      </c>
      <c r="AK284" s="82">
        <f ca="1">alturaUtil(HC[[#This Row],[nE]],HC[[#This Row],[Ø (cm)]],HC[[#This Row],[e (cm)]],HC[[#This Row],[ap,eq (cm)]])</f>
        <v>110</v>
      </c>
      <c r="AL284" s="82">
        <f ca="1">IFERROR(HC[[#This Row],[d (cm)]]+arredondarParaCimaMultiplo5cm(MAX(5,SQRT(PI())/2*HC[[#This Row],[Ø (cm)]]/5)),"N.S.")</f>
        <v>130</v>
      </c>
      <c r="AM284" s="5">
        <f ca="1">alpha(HC[[#This Row],[nE]],HC[[#This Row],[d (cm)]],HC[[#This Row],[e (cm)]],HC[[#This Row],[ap,eq (cm)]])</f>
        <v>90</v>
      </c>
      <c r="AN284" s="35">
        <f ca="1">IFERROR(HC[[#This Row],[Nsd (kN)]]/(HC[[#This Row],[Ap (cm²)]]*SIN(HC[[#This Row],[α]])^2),"N.S.")</f>
        <v>1.0948037013095111</v>
      </c>
      <c r="AO284" s="35">
        <f ca="1">IFERROR(HC[[#This Row],[Nsd (kN)]]/(HC[[#This Row],[nE]]*PI()*HC[[#This Row],[Ø (cm)]]^2/4*SIN(HC[[#This Row],[α]])^2),"N.S.")</f>
        <v>0.34418453487152917</v>
      </c>
      <c r="AP284" s="4">
        <f ca="1">IFERROR(INDEX(grupoEstacas[],HC[[#This Row],[nE]],MATCH("coef. Blévot",grupoEstacas[#Headers],0)),"N.S.")</f>
        <v>1</v>
      </c>
      <c r="AQ284" s="35">
        <f ca="1">IFERROR(HC[[#This Row],[coef. Blévot]]*0.9*INDEX(tipoEstaca[],MATCH($D$2,tipoEstaca[TIPO DE ESTACA],0),MATCH("fcd (kN/cm²)",tipoEstaca[#Headers],0)),"N.S.")</f>
        <v>1</v>
      </c>
      <c r="AR284" s="82" t="str">
        <f ca="1">IF(AND(HC[[#This Row],[cd,b,pil (kN/cm²)]]&lt;=HC[[#This Row],[cd,b,lim (kN/cm²)]],HC[[#This Row],[cd,b,est (kN/cm²)]]&lt;=HC[[#This Row],[cd,b,lim (kN/cm²)]]),"OK","ERRO")</f>
        <v>ERRO</v>
      </c>
      <c r="AS284" s="4">
        <f ca="1">As_lado(HC[[#This Row],[nE]],HC[[#This Row],[Nsd (kN)]],HC[[#This Row],[d (cm)]],HC[[#This Row],[e (cm)]],HC[[#This Row],[ap,eq (cm)]])</f>
        <v>10.0625</v>
      </c>
      <c r="AT284" s="4">
        <f ca="1">IF(HC[[#This Row],[nE]]=1,HC[[#This Row],[As,lado (cm²)]],IF(HC[[#This Row],[nE]]=2,0.075*2*HC[a (cm)],"N.A."))</f>
        <v>10.0625</v>
      </c>
      <c r="AU284" s="4" t="str">
        <f ca="1">IFERROR(IF(HC[[#This Row],[nE]]=1,"N.A.",0.2*HC[[#This Row],[As,lado (cm²)]]),"N.S.")</f>
        <v>N.A.</v>
      </c>
      <c r="AV284" s="4" t="str">
        <f ca="1">As_malha(HC[[#This Row],[nE]],HC[[#This Row],[As,lado (cm²)]],HC[[#This Row],[Nsd (kN)]])</f>
        <v>N.A.</v>
      </c>
      <c r="AW284" s="4" t="str">
        <f ca="1">As_susp_tot(HC[[#This Row],[nE]],HC[[#This Row],[Nsd (kN)]])</f>
        <v>N.A.</v>
      </c>
      <c r="AX284" s="4" t="str">
        <f ca="1">Asp_face(HC[[#This Row],[nE]],HC[[#This Row],[As,lado (cm²)]])</f>
        <v>N.A.</v>
      </c>
      <c r="AY284" s="5">
        <f ca="1">acoBloco(HC[[#This Row],[nE]],HC[[#This Row],[e (cm)]],HC[[#This Row],[a (cm)]],HC[[#This Row],[h (cm)]],HC[[#This Row],[As,lado (cm²)]],HC[[#This Row],[Asp e Asw (cm²/m)]],HC[[#This Row],[As,sup (cm²)]],HC[[#This Row],[As,malha (cm²)]],HC[[#This Row],[As,susp,tot (cm²)]],HC[[#This Row],[Asp,face (cm²)]])</f>
        <v>110.58687500000001</v>
      </c>
      <c r="AZ284" s="4">
        <f ca="1">concretoBloco(HC[[#This Row],[nE]],HC[[#This Row],[e (cm)]],HC[[#This Row],[a (cm)]],HC[[#This Row],[h (cm)]])</f>
        <v>1.573</v>
      </c>
      <c r="BA284" s="5">
        <f ca="1">SUM(HC[[#This Row],[Aço Est (kg)]],HC[[#This Row],[Aço Bloco (kg)]])</f>
        <v>190.49014255140281</v>
      </c>
      <c r="BB284" s="4">
        <f>INDEX(composicoes[],MATCH(95580,composicoes[CÓDIGO],0),MATCH("CUSTO TOTAL",composicoes[#Headers],0))</f>
        <v>10.46</v>
      </c>
      <c r="BC284" s="4">
        <f ca="1">SUM(HC[[#This Row],[Conc Est (m³)]],HC[[#This Row],[Conc Bloco (m³)]])</f>
        <v>9.8432426605751324</v>
      </c>
      <c r="BD284" s="4">
        <f>INDEX(composicoes[],MATCH(94966,composicoes[CÓDIGO],0),MATCH("CUSTO TOTAL",composicoes[#Headers],0))</f>
        <v>439.52</v>
      </c>
      <c r="BE284" s="38">
        <f ca="1">HC[[#This Row],[Aço (kg)]]*HC[[#This Row],[Aço (R$/kg)]]+HC[[#This Row],[Conc (m³)]]*HC[[#This Row],[Conc (R$/m³)]]</f>
        <v>6318.8289052636555</v>
      </c>
      <c r="BF284" s="4" t="str">
        <f ca="1">IF(COUNTIF(HC[#This Row],"N.S.")&gt;0,"lim.","OK")</f>
        <v>OK</v>
      </c>
      <c r="BG284" s="4" t="str">
        <f>IF(HC[[#This Row],[Prof. (m)]]&lt;4,"lim.","OK")</f>
        <v>OK</v>
      </c>
      <c r="BH284" s="4" t="str">
        <f>IF(HC[[#This Row],[Prof. (m)]]&gt;=8*HC[[#This Row],[Ø (cm)]]/100,"OK","lim.")</f>
        <v>OK</v>
      </c>
      <c r="BI284" s="4" t="str">
        <f ca="1">IF(HC[[#This Row],[Verif. Biela]]="OK","OK","lim.")</f>
        <v>lim.</v>
      </c>
      <c r="BJ284" s="4" t="str">
        <f ca="1">IF(COUNTA(HC[[#This Row],[Nº Est.]:[Biela comp.]])=COUNTIF(HC[[#This Row],[Nº Est.]:[Biela comp.]],"OK"),"OK","lim.")</f>
        <v>lim.</v>
      </c>
      <c r="BK284" s="4" t="str">
        <f ca="1">IF(HC[[#This Row],[Controle]]="OK",HC[[#This Row],[nE]]&amp;" Ø "&amp;HC[[#This Row],[Ø (cm)]]&amp;" cm, Prof. "&amp;HC[[#This Row],[Prof. (m)]]&amp;" m","")</f>
        <v/>
      </c>
      <c r="BL284" s="4" t="str">
        <f ca="1">IF(HC[[#This Row],[idDimensionamento]]="","",HC[[#This Row],[idPilar]]&amp;HC[[#This Row],[idDimensionamento]])</f>
        <v/>
      </c>
    </row>
    <row r="285" spans="2:64" x14ac:dyDescent="0.25">
      <c r="B285" s="12">
        <f>ROUNDUP((ROW(HC[[#This Row],[idDiâmetro]])-ROW(HC[[#Headers],[idDiâmetro]]))/(COUNT(SPT[Prof. (m)])*COUNT(PILARES[Pilar])),0)</f>
        <v>11</v>
      </c>
      <c r="C285" s="12">
        <f>IF(HC[[#This Row],[idDiâmetro]]&lt;&gt;B284,1,IF(HC[[#This Row],[Prof. (m)]]=0,C284+1,C284))</f>
        <v>1</v>
      </c>
      <c r="D285" s="82">
        <f>IFERROR(IF(D284=MAX(SPT[Prof. (m)]),0,D284+1),0)</f>
        <v>0</v>
      </c>
      <c r="E285" s="82">
        <f>INDEX(SPT[],MATCH(HC[[#This Row],[Prof. (m)]],SPT[Prof. (m)],0),2)</f>
        <v>0</v>
      </c>
      <c r="F285" s="82" t="str">
        <f>INDEX(SPT[],MATCH(HC[[#This Row],[Prof. (m)]],SPT[Prof. (m)],0),3)</f>
        <v>Areia siltosa</v>
      </c>
      <c r="G285" s="82">
        <f>INDEX(estacas[],HC[[#This Row],[idDiâmetro]],MATCH($B$2,estacas[#Headers],0))</f>
        <v>100</v>
      </c>
      <c r="H285" s="82">
        <f>INDEX(estacas[],MATCH(HC[[#This Row],[Ø (cm)]],estacas[Ø HC (cm)],0),MATCH(HC[[#Headers],[Pe HC (kN)]],estacas[#Headers],0))</f>
        <v>5000</v>
      </c>
      <c r="I285" s="4">
        <f>INDEX(K_alpha_C[],MATCH(HC[[#This Row],[Solo]],K_alpha_C[Solo],0),2)</f>
        <v>0.8</v>
      </c>
      <c r="J285" s="5">
        <f>INDEX(K_alpha_C[],MATCH(HC[[#This Row],[Solo]],K_alpha_C[Solo],0),3)</f>
        <v>2</v>
      </c>
      <c r="K285" s="4">
        <f>INDEX(F1_F2[],MATCH($D$2,F1_F2[Tipo de estaca],0),2)</f>
        <v>2</v>
      </c>
      <c r="L285" s="4">
        <f>INDEX(F1_F2[],MATCH($D$2,F1_F2[Tipo de estaca],0),3)</f>
        <v>4</v>
      </c>
      <c r="M285" s="4">
        <f>PI()*(HC[[#This Row],[Ø (cm)]]/100)^2/4</f>
        <v>0.78539816339744828</v>
      </c>
      <c r="N285" s="4">
        <f>PI()*HC[[#This Row],[Ø (cm)]]/100</f>
        <v>3.1415926535897931</v>
      </c>
      <c r="O285" s="4">
        <f>IF(HC[[#This Row],[Prof. (m)]]=0,0,HC[[#This Row],[α (%)]]/100*HC[[#This Row],[K (MPa)]]*1000*HC[[#This Row],[NSPT]])</f>
        <v>0</v>
      </c>
      <c r="P285" s="4">
        <f>IF(HC[[#This Row],[Prof. (m)]]=0,0,(HC[[#This Row],[K (MPa)]]*1000*HC[[#This Row],[NSPT]]/HC[[#This Row],[F1]]*HC[[#This Row],[Ap (m²)]]+HC[[#This Row],[U (m)]]/HC[[#This Row],[F2]]*SUMIFS(HC[(α∙K∙NL∙ΔL)],HC[Prof. (m)],"&lt;="&amp;HC[[#This Row],[Prof. (m)]],HC[idDiâmetro],HC[[#This Row],[idDiâmetro]],HC[idPilar],HC[[#This Row],[idPilar]]))/'DADOS CAP. CARGA'!$D$2)</f>
        <v>0</v>
      </c>
      <c r="Q285" s="12">
        <f>INDEX(C_alpha_beta[],MATCH(HC[[#This Row],[Solo]],C_alpha_beta[Solo],0),MATCH(HC[[#Headers],[C (kPa)]],C_alpha_beta[#Headers],0))</f>
        <v>400</v>
      </c>
      <c r="R285" s="4">
        <f>INDEX(C_alpha_beta[],MATCH(HC[[#This Row],[Solo]],C_alpha_beta[Solo],0),MATCH(HC[[#Headers],[α ESF]],C_alpha_beta[#Headers],0))</f>
        <v>0.5</v>
      </c>
      <c r="S285" s="4">
        <f>INDEX(C_alpha_beta[],MATCH(HC[[#This Row],[Solo]],C_alpha_beta[Solo],0),MATCH(HC[[#Headers],[β ESF]],C_alpha_beta[#Headers],0))</f>
        <v>0.5</v>
      </c>
      <c r="T285" s="4">
        <f>IF(HC[[#This Row],[Prof. (m)]]=0,0,10*(HC[[#This Row],[NSPT]]/3+1))</f>
        <v>0</v>
      </c>
      <c r="U285" s="4">
        <f>(HC[[#This Row],[α ESF]]*HC[[#This Row],[C (kPa)]]*HC[[#This Row],[NSPT]]*HC[[#This Row],[Ap (m²)]])/'DADOS CAP. CARGA'!$Q$2+(HC[[#This Row],[β ESF]]*SUMIFS(HC[10∙(NL/3+1)],HC[Prof. (m)],"&lt;="&amp;HC[[#This Row],[Prof. (m)]],HC[idDiâmetro],HC[[#This Row],[idDiâmetro]],HC[idPilar],HC[[#This Row],[idPilar]])*HC[[#This Row],[U (m)]])/'DADOS CAP. CARGA'!$S$2</f>
        <v>0</v>
      </c>
      <c r="V285" s="4">
        <f>IF(SPT!$M$5=1,MIN(HC[[#This Row],[Pe HC (kN)]],HC[[#This Row],[R_AV (kN)]]),IF(SPT!$M$5=2,MIN(HC[[#This Row],[Pe HC (kN)]],HC[[#This Row],[R_DC (kN)]]),MIN(HC[[#This Row],[Pe HC (kN)]],HC[[#This Row],[R_AV (kN)]],HC[[#This Row],[R_DC (kN)]])))</f>
        <v>0</v>
      </c>
      <c r="W285" s="4">
        <f>INDEX(PILARES[],HC[[#This Row],[idPilar]],MATCH("Carga (kN)",PILARES[#Headers],0))*1.4</f>
        <v>3500</v>
      </c>
      <c r="X285" s="12">
        <f>INDEX(PILARES[],HC[[#This Row],[idPilar]],MATCH(HC[[#Headers],[ap (cm)]],PILARES[#Headers],0))</f>
        <v>60</v>
      </c>
      <c r="Y285" s="12">
        <f>INDEX(PILARES[],HC[[#This Row],[idPilar]],MATCH(HC[[#Headers],[bp (cm)]],PILARES[#Headers],0))</f>
        <v>60</v>
      </c>
      <c r="Z285" s="4">
        <f>SQRT(HC[[#This Row],[ap (cm)]]*HC[[#This Row],[bp (cm)]])</f>
        <v>60</v>
      </c>
      <c r="AA285" s="12">
        <f>HC[[#This Row],[ap (cm)]]*HC[[#This Row],[bp (cm)]]</f>
        <v>3600</v>
      </c>
      <c r="AB285" s="12" t="e">
        <f ca="1">IF(HC[[#This Row],[Padm∙ε (kN)]]&gt;=HC[[#This Row],[Padm (kN)]],ROUNDUP(1.05*HC[[#This Row],[Nsd (kN)]]/HC[[#This Row],[Padm (kN)]],0),ROUNDUP(1.05*HC[[#This Row],[Nsd (kN)]]/HC[[#This Row],[Padm (kN)]],0)+1)</f>
        <v>#DIV/0!</v>
      </c>
      <c r="AC285" s="4" t="str">
        <f ca="1">IFERROR(IF(HC[[#This Row],[nE]]=1,HC[[#This Row],[Padm (kN)]],HC[[#This Row],[Padm (kN)]]*HC[[#This Row],[nE]]*INDEX(grupoEstacas[],HC[[#This Row],[nE]],MATCH("ε",grupoEstacas[#Headers],0))),"N.S.")</f>
        <v>N.S.</v>
      </c>
      <c r="AD285" s="4" t="e">
        <f ca="1">1.05*HC[[#This Row],[Nsd (kN)]]/(HC[[#This Row],[nE]]*PI()*HC[[#This Row],[Ø (cm)]]^2/4)*10</f>
        <v>#DIV/0!</v>
      </c>
      <c r="AE285" s="4" t="e">
        <f ca="1">IF(HC[[#This Row],[σ (MPa)]]&lt;INDEX(tipoEstaca[],MATCH($D$2,tipoEstaca[TIPO DE ESTACA],0),MATCH("σmáx (MPa)",tipoEstaca[#Headers],0)),0.4%*PI()*HC[[#This Row],[Ø (cm)]]^2/4,"N.S.")</f>
        <v>#DIV/0!</v>
      </c>
      <c r="AF285" s="82">
        <f>INDEX(tipoEstaca[],MATCH($D$2,tipoEstaca[TIPO DE ESTACA],0),MATCH(HC[[#Headers],[Comprimento (m)]],tipoEstaca[#Headers],0))</f>
        <v>4</v>
      </c>
      <c r="AG285" s="5" t="e">
        <f ca="1">HC[[#This Row],[As,mín (cm²)]]/100^2*HC[[#This Row],[Comprimento (m)]]*7850</f>
        <v>#DIV/0!</v>
      </c>
      <c r="AH285" s="4" t="e">
        <f ca="1">HC[[#This Row],[nE]]*HC[[#This Row],[Prof. (m)]]*HC[[#This Row],[Ap (m²)]]</f>
        <v>#DIV/0!</v>
      </c>
      <c r="AI285" s="82" t="e">
        <f ca="1">IF(HC[[#This Row],[nE]]=1,0,MAX(3*HC[[#This Row],[Ø (cm)]],60))</f>
        <v>#DIV/0!</v>
      </c>
      <c r="AJ285" s="82" t="e">
        <f ca="1">IF(HC[[#This Row],[nE]]=1,HC[[#This Row],[Ø (cm)]]+2*10,MAX(1.5*HC[[#This Row],[Ø (cm)]],HC[[#This Row],[Ø (cm)]]+15))</f>
        <v>#DIV/0!</v>
      </c>
      <c r="AK285" s="82" t="e">
        <f ca="1">alturaUtil(HC[[#This Row],[nE]],HC[[#This Row],[Ø (cm)]],HC[[#This Row],[e (cm)]],HC[[#This Row],[ap,eq (cm)]])</f>
        <v>#VALUE!</v>
      </c>
      <c r="AL285" s="82" t="str">
        <f ca="1">IFERROR(HC[[#This Row],[d (cm)]]+arredondarParaCimaMultiplo5cm(MAX(5,SQRT(PI())/2*HC[[#This Row],[Ø (cm)]]/5)),"N.S.")</f>
        <v>N.S.</v>
      </c>
      <c r="AM285" s="5" t="e">
        <f ca="1">alpha(HC[[#This Row],[nE]],HC[[#This Row],[d (cm)]],HC[[#This Row],[e (cm)]],HC[[#This Row],[ap,eq (cm)]])</f>
        <v>#VALUE!</v>
      </c>
      <c r="AN285" s="35" t="str">
        <f ca="1">IFERROR(HC[[#This Row],[Nsd (kN)]]/(HC[[#This Row],[Ap (cm²)]]*SIN(HC[[#This Row],[α]])^2),"N.S.")</f>
        <v>N.S.</v>
      </c>
      <c r="AO285" s="35" t="str">
        <f ca="1">IFERROR(HC[[#This Row],[Nsd (kN)]]/(HC[[#This Row],[nE]]*PI()*HC[[#This Row],[Ø (cm)]]^2/4*SIN(HC[[#This Row],[α]])^2),"N.S.")</f>
        <v>N.S.</v>
      </c>
      <c r="AP285" s="4" t="str">
        <f ca="1">IFERROR(INDEX(grupoEstacas[],HC[[#This Row],[nE]],MATCH("coef. Blévot",grupoEstacas[#Headers],0)),"N.S.")</f>
        <v>N.S.</v>
      </c>
      <c r="AQ285" s="35" t="str">
        <f ca="1">IFERROR(HC[[#This Row],[coef. Blévot]]*0.9*INDEX(tipoEstaca[],MATCH($D$2,tipoEstaca[TIPO DE ESTACA],0),MATCH("fcd (kN/cm²)",tipoEstaca[#Headers],0)),"N.S.")</f>
        <v>N.S.</v>
      </c>
      <c r="AR285" s="82" t="str">
        <f ca="1">IF(AND(HC[[#This Row],[cd,b,pil (kN/cm²)]]&lt;=HC[[#This Row],[cd,b,lim (kN/cm²)]],HC[[#This Row],[cd,b,est (kN/cm²)]]&lt;=HC[[#This Row],[cd,b,lim (kN/cm²)]]),"OK","ERRO")</f>
        <v>OK</v>
      </c>
      <c r="AS285" s="4" t="e">
        <f ca="1">As_lado(HC[[#This Row],[nE]],HC[[#This Row],[Nsd (kN)]],HC[[#This Row],[d (cm)]],HC[[#This Row],[e (cm)]],HC[[#This Row],[ap,eq (cm)]])</f>
        <v>#VALUE!</v>
      </c>
      <c r="AT285" s="4" t="e">
        <f ca="1">IF(HC[[#This Row],[nE]]=1,HC[[#This Row],[As,lado (cm²)]],IF(HC[[#This Row],[nE]]=2,0.075*2*HC[a (cm)],"N.A."))</f>
        <v>#DIV/0!</v>
      </c>
      <c r="AU285" s="4" t="str">
        <f ca="1">IFERROR(IF(HC[[#This Row],[nE]]=1,"N.A.",0.2*HC[[#This Row],[As,lado (cm²)]]),"N.S.")</f>
        <v>N.S.</v>
      </c>
      <c r="AV285" s="4" t="e">
        <f ca="1">As_malha(HC[[#This Row],[nE]],HC[[#This Row],[As,lado (cm²)]],HC[[#This Row],[Nsd (kN)]])</f>
        <v>#VALUE!</v>
      </c>
      <c r="AW285" s="4" t="e">
        <f ca="1">As_susp_tot(HC[[#This Row],[nE]],HC[[#This Row],[Nsd (kN)]])</f>
        <v>#VALUE!</v>
      </c>
      <c r="AX285" s="4" t="e">
        <f ca="1">Asp_face(HC[[#This Row],[nE]],HC[[#This Row],[As,lado (cm²)]])</f>
        <v>#VALUE!</v>
      </c>
      <c r="AY285" s="5" t="e">
        <f ca="1">acoBloco(HC[[#This Row],[nE]],HC[[#This Row],[e (cm)]],HC[[#This Row],[a (cm)]],HC[[#This Row],[h (cm)]],HC[[#This Row],[As,lado (cm²)]],HC[[#This Row],[Asp e Asw (cm²/m)]],HC[[#This Row],[As,sup (cm²)]],HC[[#This Row],[As,malha (cm²)]],HC[[#This Row],[As,susp,tot (cm²)]],HC[[#This Row],[Asp,face (cm²)]])</f>
        <v>#VALUE!</v>
      </c>
      <c r="AZ285" s="4" t="e">
        <f ca="1">concretoBloco(HC[[#This Row],[nE]],HC[[#This Row],[e (cm)]],HC[[#This Row],[a (cm)]],HC[[#This Row],[h (cm)]])</f>
        <v>#VALUE!</v>
      </c>
      <c r="BA285" s="5" t="e">
        <f ca="1">SUM(HC[[#This Row],[Aço Est (kg)]],HC[[#This Row],[Aço Bloco (kg)]])</f>
        <v>#DIV/0!</v>
      </c>
      <c r="BB285" s="4">
        <f>INDEX(composicoes[],MATCH(95580,composicoes[CÓDIGO],0),MATCH("CUSTO TOTAL",composicoes[#Headers],0))</f>
        <v>10.46</v>
      </c>
      <c r="BC285" s="4" t="e">
        <f ca="1">SUM(HC[[#This Row],[Conc Est (m³)]],HC[[#This Row],[Conc Bloco (m³)]])</f>
        <v>#DIV/0!</v>
      </c>
      <c r="BD285" s="4">
        <f>INDEX(composicoes[],MATCH(94966,composicoes[CÓDIGO],0),MATCH("CUSTO TOTAL",composicoes[#Headers],0))</f>
        <v>439.52</v>
      </c>
      <c r="BE285" s="38" t="e">
        <f ca="1">HC[[#This Row],[Aço (kg)]]*HC[[#This Row],[Aço (R$/kg)]]+HC[[#This Row],[Conc (m³)]]*HC[[#This Row],[Conc (R$/m³)]]</f>
        <v>#DIV/0!</v>
      </c>
      <c r="BF285" s="4" t="str">
        <f ca="1">IF(COUNTIF(HC[#This Row],"N.S.")&gt;0,"lim.","OK")</f>
        <v>lim.</v>
      </c>
      <c r="BG285" s="4" t="str">
        <f>IF(HC[[#This Row],[Prof. (m)]]&lt;4,"lim.","OK")</f>
        <v>lim.</v>
      </c>
      <c r="BH285" s="4" t="str">
        <f>IF(HC[[#This Row],[Prof. (m)]]&gt;=8*HC[[#This Row],[Ø (cm)]]/100,"OK","lim.")</f>
        <v>lim.</v>
      </c>
      <c r="BI285" s="4" t="str">
        <f ca="1">IF(HC[[#This Row],[Verif. Biela]]="OK","OK","lim.")</f>
        <v>OK</v>
      </c>
      <c r="BJ285" s="4" t="str">
        <f ca="1">IF(COUNTA(HC[[#This Row],[Nº Est.]:[Biela comp.]])=COUNTIF(HC[[#This Row],[Nº Est.]:[Biela comp.]],"OK"),"OK","lim.")</f>
        <v>lim.</v>
      </c>
      <c r="BK285" s="4" t="str">
        <f ca="1">IF(HC[[#This Row],[Controle]]="OK",HC[[#This Row],[nE]]&amp;" Ø "&amp;HC[[#This Row],[Ø (cm)]]&amp;" cm, Prof. "&amp;HC[[#This Row],[Prof. (m)]]&amp;" m","")</f>
        <v/>
      </c>
      <c r="BL285" s="4" t="str">
        <f ca="1">IF(HC[[#This Row],[idDimensionamento]]="","",HC[[#This Row],[idPilar]]&amp;HC[[#This Row],[idDimensionamento]])</f>
        <v/>
      </c>
    </row>
    <row r="286" spans="2:64" x14ac:dyDescent="0.25">
      <c r="B286" s="12">
        <f>ROUNDUP((ROW(HC[[#This Row],[idDiâmetro]])-ROW(HC[[#Headers],[idDiâmetro]]))/(COUNT(SPT[Prof. (m)])*COUNT(PILARES[Pilar])),0)</f>
        <v>11</v>
      </c>
      <c r="C286" s="12">
        <f>IF(HC[[#This Row],[idDiâmetro]]&lt;&gt;B285,1,IF(HC[[#This Row],[Prof. (m)]]=0,C285+1,C285))</f>
        <v>1</v>
      </c>
      <c r="D286" s="82">
        <f>IFERROR(IF(D285=MAX(SPT[Prof. (m)]),0,D285+1),0)</f>
        <v>1</v>
      </c>
      <c r="E286" s="82">
        <f>INDEX(SPT[],MATCH(HC[[#This Row],[Prof. (m)]],SPT[Prof. (m)],0),2)</f>
        <v>2</v>
      </c>
      <c r="F286" s="82" t="str">
        <f>INDEX(SPT[],MATCH(HC[[#This Row],[Prof. (m)]],SPT[Prof. (m)],0),3)</f>
        <v>Areia siltosa</v>
      </c>
      <c r="G286" s="82">
        <f>INDEX(estacas[],HC[[#This Row],[idDiâmetro]],MATCH($B$2,estacas[#Headers],0))</f>
        <v>100</v>
      </c>
      <c r="H286" s="82">
        <f>INDEX(estacas[],MATCH(HC[[#This Row],[Ø (cm)]],estacas[Ø HC (cm)],0),MATCH(HC[[#Headers],[Pe HC (kN)]],estacas[#Headers],0))</f>
        <v>5000</v>
      </c>
      <c r="I286" s="4">
        <f>INDEX(K_alpha_C[],MATCH(HC[[#This Row],[Solo]],K_alpha_C[Solo],0),2)</f>
        <v>0.8</v>
      </c>
      <c r="J286" s="5">
        <f>INDEX(K_alpha_C[],MATCH(HC[[#This Row],[Solo]],K_alpha_C[Solo],0),3)</f>
        <v>2</v>
      </c>
      <c r="K286" s="4">
        <f>INDEX(F1_F2[],MATCH($D$2,F1_F2[Tipo de estaca],0),2)</f>
        <v>2</v>
      </c>
      <c r="L286" s="4">
        <f>INDEX(F1_F2[],MATCH($D$2,F1_F2[Tipo de estaca],0),3)</f>
        <v>4</v>
      </c>
      <c r="M286" s="4">
        <f>PI()*(HC[[#This Row],[Ø (cm)]]/100)^2/4</f>
        <v>0.78539816339744828</v>
      </c>
      <c r="N286" s="4">
        <f>PI()*HC[[#This Row],[Ø (cm)]]/100</f>
        <v>3.1415926535897931</v>
      </c>
      <c r="O286" s="4">
        <f>IF(HC[[#This Row],[Prof. (m)]]=0,0,HC[[#This Row],[α (%)]]/100*HC[[#This Row],[K (MPa)]]*1000*HC[[#This Row],[NSPT]])</f>
        <v>32</v>
      </c>
      <c r="P286" s="4">
        <f>IF(HC[[#This Row],[Prof. (m)]]=0,0,(HC[[#This Row],[K (MPa)]]*1000*HC[[#This Row],[NSPT]]/HC[[#This Row],[F1]]*HC[[#This Row],[Ap (m²)]]+HC[[#This Row],[U (m)]]/HC[[#This Row],[F2]]*SUMIFS(HC[(α∙K∙NL∙ΔL)],HC[Prof. (m)],"&lt;="&amp;HC[[#This Row],[Prof. (m)]],HC[idDiâmetro],HC[[#This Row],[idDiâmetro]],HC[idPilar],HC[[#This Row],[idPilar]]))/'DADOS CAP. CARGA'!$D$2)</f>
        <v>326.72563597333851</v>
      </c>
      <c r="Q286" s="12">
        <f>INDEX(C_alpha_beta[],MATCH(HC[[#This Row],[Solo]],C_alpha_beta[Solo],0),MATCH(HC[[#Headers],[C (kPa)]],C_alpha_beta[#Headers],0))</f>
        <v>400</v>
      </c>
      <c r="R286" s="4">
        <f>INDEX(C_alpha_beta[],MATCH(HC[[#This Row],[Solo]],C_alpha_beta[Solo],0),MATCH(HC[[#Headers],[α ESF]],C_alpha_beta[#Headers],0))</f>
        <v>0.5</v>
      </c>
      <c r="S286" s="4">
        <f>INDEX(C_alpha_beta[],MATCH(HC[[#This Row],[Solo]],C_alpha_beta[Solo],0),MATCH(HC[[#Headers],[β ESF]],C_alpha_beta[#Headers],0))</f>
        <v>0.5</v>
      </c>
      <c r="T286" s="4">
        <f>IF(HC[[#This Row],[Prof. (m)]]=0,0,10*(HC[[#This Row],[NSPT]]/3+1))</f>
        <v>16.666666666666664</v>
      </c>
      <c r="U286" s="4">
        <f>(HC[[#This Row],[α ESF]]*HC[[#This Row],[C (kPa)]]*HC[[#This Row],[NSPT]]*HC[[#This Row],[Ap (m²)]])/'DADOS CAP. CARGA'!$Q$2+(HC[[#This Row],[β ESF]]*SUMIFS(HC[10∙(NL/3+1)],HC[Prof. (m)],"&lt;="&amp;HC[[#This Row],[Prof. (m)]],HC[idDiâmetro],HC[[#This Row],[idDiâmetro]],HC[idPilar],HC[[#This Row],[idPilar]])*HC[[#This Row],[U (m)]])/'DADOS CAP. CARGA'!$S$2</f>
        <v>91.629785729702306</v>
      </c>
      <c r="V286" s="4">
        <f>IF(SPT!$M$5=1,MIN(HC[[#This Row],[Pe HC (kN)]],HC[[#This Row],[R_AV (kN)]]),IF(SPT!$M$5=2,MIN(HC[[#This Row],[Pe HC (kN)]],HC[[#This Row],[R_DC (kN)]]),MIN(HC[[#This Row],[Pe HC (kN)]],HC[[#This Row],[R_AV (kN)]],HC[[#This Row],[R_DC (kN)]])))</f>
        <v>91.629785729702306</v>
      </c>
      <c r="W286" s="4">
        <f>INDEX(PILARES[],HC[[#This Row],[idPilar]],MATCH("Carga (kN)",PILARES[#Headers],0))*1.4</f>
        <v>3500</v>
      </c>
      <c r="X286" s="12">
        <f>INDEX(PILARES[],HC[[#This Row],[idPilar]],MATCH(HC[[#Headers],[ap (cm)]],PILARES[#Headers],0))</f>
        <v>60</v>
      </c>
      <c r="Y286" s="12">
        <f>INDEX(PILARES[],HC[[#This Row],[idPilar]],MATCH(HC[[#Headers],[bp (cm)]],PILARES[#Headers],0))</f>
        <v>60</v>
      </c>
      <c r="Z286" s="4">
        <f>SQRT(HC[[#This Row],[ap (cm)]]*HC[[#This Row],[bp (cm)]])</f>
        <v>60</v>
      </c>
      <c r="AA286" s="12">
        <f>HC[[#This Row],[ap (cm)]]*HC[[#This Row],[bp (cm)]]</f>
        <v>3600</v>
      </c>
      <c r="AB286" s="12">
        <f ca="1">IF(HC[[#This Row],[Padm∙ε (kN)]]&gt;=HC[[#This Row],[Padm (kN)]],ROUNDUP(1.05*HC[[#This Row],[Nsd (kN)]]/HC[[#This Row],[Padm (kN)]],0),ROUNDUP(1.05*HC[[#This Row],[Nsd (kN)]]/HC[[#This Row],[Padm (kN)]],0)+1)</f>
        <v>41</v>
      </c>
      <c r="AC286" s="4" t="str">
        <f ca="1">IFERROR(IF(HC[[#This Row],[nE]]=1,HC[[#This Row],[Padm (kN)]],HC[[#This Row],[Padm (kN)]]*HC[[#This Row],[nE]]*INDEX(grupoEstacas[],HC[[#This Row],[nE]],MATCH("ε",grupoEstacas[#Headers],0))),"N.S.")</f>
        <v>N.S.</v>
      </c>
      <c r="AD286" s="4">
        <f ca="1">1.05*HC[[#This Row],[Nsd (kN)]]/(HC[[#This Row],[nE]]*PI()*HC[[#This Row],[Ø (cm)]]^2/4)*10</f>
        <v>0.11412573968052983</v>
      </c>
      <c r="AE286" s="4">
        <f ca="1">IF(HC[[#This Row],[σ (MPa)]]&lt;INDEX(tipoEstaca[],MATCH($D$2,tipoEstaca[TIPO DE ESTACA],0),MATCH("σmáx (MPa)",tipoEstaca[#Headers],0)),0.4%*PI()*HC[[#This Row],[Ø (cm)]]^2/4,"N.S.")</f>
        <v>31.415926535897935</v>
      </c>
      <c r="AF286" s="82">
        <f>INDEX(tipoEstaca[],MATCH($D$2,tipoEstaca[TIPO DE ESTACA],0),MATCH(HC[[#Headers],[Comprimento (m)]],tipoEstaca[#Headers],0))</f>
        <v>4</v>
      </c>
      <c r="AG286" s="5">
        <f ca="1">HC[[#This Row],[As,mín (cm²)]]/100^2*HC[[#This Row],[Comprimento (m)]]*7850</f>
        <v>98.646009322719507</v>
      </c>
      <c r="AH286" s="4">
        <f ca="1">HC[[#This Row],[nE]]*HC[[#This Row],[Prof. (m)]]*HC[[#This Row],[Ap (m²)]]</f>
        <v>32.201324699295377</v>
      </c>
      <c r="AI286" s="82">
        <f ca="1">IF(HC[[#This Row],[nE]]=1,0,MAX(3*HC[[#This Row],[Ø (cm)]],60))</f>
        <v>300</v>
      </c>
      <c r="AJ286" s="82">
        <f ca="1">IF(HC[[#This Row],[nE]]=1,HC[[#This Row],[Ø (cm)]]+2*10,MAX(1.5*HC[[#This Row],[Ø (cm)]],HC[[#This Row],[Ø (cm)]]+15))</f>
        <v>150</v>
      </c>
      <c r="AK286" s="82" t="str">
        <f ca="1">alturaUtil(HC[[#This Row],[nE]],HC[[#This Row],[Ø (cm)]],HC[[#This Row],[e (cm)]],HC[[#This Row],[ap,eq (cm)]])</f>
        <v>N.S.</v>
      </c>
      <c r="AL286" s="82" t="str">
        <f ca="1">IFERROR(HC[[#This Row],[d (cm)]]+arredondarParaCimaMultiplo5cm(MAX(5,SQRT(PI())/2*HC[[#This Row],[Ø (cm)]]/5)),"N.S.")</f>
        <v>N.S.</v>
      </c>
      <c r="AM286" s="5" t="str">
        <f ca="1">alpha(HC[[#This Row],[nE]],HC[[#This Row],[d (cm)]],HC[[#This Row],[e (cm)]],HC[[#This Row],[ap,eq (cm)]])</f>
        <v>N.S.</v>
      </c>
      <c r="AN286" s="35" t="str">
        <f ca="1">IFERROR(HC[[#This Row],[Nsd (kN)]]/(HC[[#This Row],[Ap (cm²)]]*SIN(HC[[#This Row],[α]])^2),"N.S.")</f>
        <v>N.S.</v>
      </c>
      <c r="AO286" s="35" t="str">
        <f ca="1">IFERROR(HC[[#This Row],[Nsd (kN)]]/(HC[[#This Row],[nE]]*PI()*HC[[#This Row],[Ø (cm)]]^2/4*SIN(HC[[#This Row],[α]])^2),"N.S.")</f>
        <v>N.S.</v>
      </c>
      <c r="AP286" s="4" t="str">
        <f ca="1">IFERROR(INDEX(grupoEstacas[],HC[[#This Row],[nE]],MATCH("coef. Blévot",grupoEstacas[#Headers],0)),"N.S.")</f>
        <v>N.S.</v>
      </c>
      <c r="AQ286" s="35" t="str">
        <f ca="1">IFERROR(HC[[#This Row],[coef. Blévot]]*0.9*INDEX(tipoEstaca[],MATCH($D$2,tipoEstaca[TIPO DE ESTACA],0),MATCH("fcd (kN/cm²)",tipoEstaca[#Headers],0)),"N.S.")</f>
        <v>N.S.</v>
      </c>
      <c r="AR286" s="82" t="str">
        <f ca="1">IF(AND(HC[[#This Row],[cd,b,pil (kN/cm²)]]&lt;=HC[[#This Row],[cd,b,lim (kN/cm²)]],HC[[#This Row],[cd,b,est (kN/cm²)]]&lt;=HC[[#This Row],[cd,b,lim (kN/cm²)]]),"OK","ERRO")</f>
        <v>OK</v>
      </c>
      <c r="AS286" s="4" t="str">
        <f ca="1">As_lado(HC[[#This Row],[nE]],HC[[#This Row],[Nsd (kN)]],HC[[#This Row],[d (cm)]],HC[[#This Row],[e (cm)]],HC[[#This Row],[ap,eq (cm)]])</f>
        <v>N.S.</v>
      </c>
      <c r="AT286" s="4" t="str">
        <f ca="1">IF(HC[[#This Row],[nE]]=1,HC[[#This Row],[As,lado (cm²)]],IF(HC[[#This Row],[nE]]=2,0.075*2*HC[a (cm)],"N.A."))</f>
        <v>N.A.</v>
      </c>
      <c r="AU286" s="4" t="str">
        <f ca="1">IFERROR(IF(HC[[#This Row],[nE]]=1,"N.A.",0.2*HC[[#This Row],[As,lado (cm²)]]),"N.S.")</f>
        <v>N.S.</v>
      </c>
      <c r="AV286" s="4" t="str">
        <f ca="1">As_malha(HC[[#This Row],[nE]],HC[[#This Row],[As,lado (cm²)]],HC[[#This Row],[Nsd (kN)]])</f>
        <v>N.S.</v>
      </c>
      <c r="AW286" s="4" t="str">
        <f ca="1">As_susp_tot(HC[[#This Row],[nE]],HC[[#This Row],[Nsd (kN)]])</f>
        <v>N.S.</v>
      </c>
      <c r="AX286" s="4" t="str">
        <f ca="1">Asp_face(HC[[#This Row],[nE]],HC[[#This Row],[As,lado (cm²)]])</f>
        <v>N.S.</v>
      </c>
      <c r="AY286" s="5" t="str">
        <f ca="1">acoBloco(HC[[#This Row],[nE]],HC[[#This Row],[e (cm)]],HC[[#This Row],[a (cm)]],HC[[#This Row],[h (cm)]],HC[[#This Row],[As,lado (cm²)]],HC[[#This Row],[Asp e Asw (cm²/m)]],HC[[#This Row],[As,sup (cm²)]],HC[[#This Row],[As,malha (cm²)]],HC[[#This Row],[As,susp,tot (cm²)]],HC[[#This Row],[Asp,face (cm²)]])</f>
        <v>N.S.</v>
      </c>
      <c r="AZ286" s="4" t="str">
        <f ca="1">concretoBloco(HC[[#This Row],[nE]],HC[[#This Row],[e (cm)]],HC[[#This Row],[a (cm)]],HC[[#This Row],[h (cm)]])</f>
        <v>N.S.</v>
      </c>
      <c r="BA286" s="5">
        <f ca="1">SUM(HC[[#This Row],[Aço Est (kg)]],HC[[#This Row],[Aço Bloco (kg)]])</f>
        <v>98.646009322719507</v>
      </c>
      <c r="BB286" s="4">
        <f>INDEX(composicoes[],MATCH(95580,composicoes[CÓDIGO],0),MATCH("CUSTO TOTAL",composicoes[#Headers],0))</f>
        <v>10.46</v>
      </c>
      <c r="BC286" s="4">
        <f ca="1">SUM(HC[[#This Row],[Conc Est (m³)]],HC[[#This Row],[Conc Bloco (m³)]])</f>
        <v>32.201324699295377</v>
      </c>
      <c r="BD286" s="4">
        <f>INDEX(composicoes[],MATCH(94966,composicoes[CÓDIGO],0),MATCH("CUSTO TOTAL",composicoes[#Headers],0))</f>
        <v>439.52</v>
      </c>
      <c r="BE286" s="38">
        <f ca="1">HC[[#This Row],[Aço (kg)]]*HC[[#This Row],[Aço (R$/kg)]]+HC[[#This Row],[Conc (m³)]]*HC[[#This Row],[Conc (R$/m³)]]</f>
        <v>15184.96348934995</v>
      </c>
      <c r="BF286" s="4" t="str">
        <f ca="1">IF(COUNTIF(HC[#This Row],"N.S.")&gt;0,"lim.","OK")</f>
        <v>lim.</v>
      </c>
      <c r="BG286" s="4" t="str">
        <f>IF(HC[[#This Row],[Prof. (m)]]&lt;4,"lim.","OK")</f>
        <v>lim.</v>
      </c>
      <c r="BH286" s="4" t="str">
        <f>IF(HC[[#This Row],[Prof. (m)]]&gt;=8*HC[[#This Row],[Ø (cm)]]/100,"OK","lim.")</f>
        <v>lim.</v>
      </c>
      <c r="BI286" s="4" t="str">
        <f ca="1">IF(HC[[#This Row],[Verif. Biela]]="OK","OK","lim.")</f>
        <v>OK</v>
      </c>
      <c r="BJ286" s="4" t="str">
        <f ca="1">IF(COUNTA(HC[[#This Row],[Nº Est.]:[Biela comp.]])=COUNTIF(HC[[#This Row],[Nº Est.]:[Biela comp.]],"OK"),"OK","lim.")</f>
        <v>lim.</v>
      </c>
      <c r="BK286" s="4" t="str">
        <f ca="1">IF(HC[[#This Row],[Controle]]="OK",HC[[#This Row],[nE]]&amp;" Ø "&amp;HC[[#This Row],[Ø (cm)]]&amp;" cm, Prof. "&amp;HC[[#This Row],[Prof. (m)]]&amp;" m","")</f>
        <v/>
      </c>
      <c r="BL286" s="4" t="str">
        <f ca="1">IF(HC[[#This Row],[idDimensionamento]]="","",HC[[#This Row],[idPilar]]&amp;HC[[#This Row],[idDimensionamento]])</f>
        <v/>
      </c>
    </row>
    <row r="287" spans="2:64" x14ac:dyDescent="0.25">
      <c r="B287" s="12">
        <f>ROUNDUP((ROW(HC[[#This Row],[idDiâmetro]])-ROW(HC[[#Headers],[idDiâmetro]]))/(COUNT(SPT[Prof. (m)])*COUNT(PILARES[Pilar])),0)</f>
        <v>11</v>
      </c>
      <c r="C287" s="12">
        <f>IF(HC[[#This Row],[idDiâmetro]]&lt;&gt;B286,1,IF(HC[[#This Row],[Prof. (m)]]=0,C286+1,C286))</f>
        <v>1</v>
      </c>
      <c r="D287" s="82">
        <f>IFERROR(IF(D286=MAX(SPT[Prof. (m)]),0,D286+1),0)</f>
        <v>2</v>
      </c>
      <c r="E287" s="82">
        <f>INDEX(SPT[],MATCH(HC[[#This Row],[Prof. (m)]],SPT[Prof. (m)],0),2)</f>
        <v>2</v>
      </c>
      <c r="F287" s="82" t="str">
        <f>INDEX(SPT[],MATCH(HC[[#This Row],[Prof. (m)]],SPT[Prof. (m)],0),3)</f>
        <v>Areia siltosa</v>
      </c>
      <c r="G287" s="82">
        <f>INDEX(estacas[],HC[[#This Row],[idDiâmetro]],MATCH($B$2,estacas[#Headers],0))</f>
        <v>100</v>
      </c>
      <c r="H287" s="82">
        <f>INDEX(estacas[],MATCH(HC[[#This Row],[Ø (cm)]],estacas[Ø HC (cm)],0),MATCH(HC[[#Headers],[Pe HC (kN)]],estacas[#Headers],0))</f>
        <v>5000</v>
      </c>
      <c r="I287" s="4">
        <f>INDEX(K_alpha_C[],MATCH(HC[[#This Row],[Solo]],K_alpha_C[Solo],0),2)</f>
        <v>0.8</v>
      </c>
      <c r="J287" s="5">
        <f>INDEX(K_alpha_C[],MATCH(HC[[#This Row],[Solo]],K_alpha_C[Solo],0),3)</f>
        <v>2</v>
      </c>
      <c r="K287" s="4">
        <f>INDEX(F1_F2[],MATCH($D$2,F1_F2[Tipo de estaca],0),2)</f>
        <v>2</v>
      </c>
      <c r="L287" s="4">
        <f>INDEX(F1_F2[],MATCH($D$2,F1_F2[Tipo de estaca],0),3)</f>
        <v>4</v>
      </c>
      <c r="M287" s="4">
        <f>PI()*(HC[[#This Row],[Ø (cm)]]/100)^2/4</f>
        <v>0.78539816339744828</v>
      </c>
      <c r="N287" s="4">
        <f>PI()*HC[[#This Row],[Ø (cm)]]/100</f>
        <v>3.1415926535897931</v>
      </c>
      <c r="O287" s="4">
        <f>IF(HC[[#This Row],[Prof. (m)]]=0,0,HC[[#This Row],[α (%)]]/100*HC[[#This Row],[K (MPa)]]*1000*HC[[#This Row],[NSPT]])</f>
        <v>32</v>
      </c>
      <c r="P287" s="4">
        <f>IF(HC[[#This Row],[Prof. (m)]]=0,0,(HC[[#This Row],[K (MPa)]]*1000*HC[[#This Row],[NSPT]]/HC[[#This Row],[F1]]*HC[[#This Row],[Ap (m²)]]+HC[[#This Row],[U (m)]]/HC[[#This Row],[F2]]*SUMIFS(HC[(α∙K∙NL∙ΔL)],HC[Prof. (m)],"&lt;="&amp;HC[[#This Row],[Prof. (m)]],HC[idDiâmetro],HC[[#This Row],[idDiâmetro]],HC[idPilar],HC[[#This Row],[idPilar]]))/'DADOS CAP. CARGA'!$D$2)</f>
        <v>339.29200658769764</v>
      </c>
      <c r="Q287" s="12">
        <f>INDEX(C_alpha_beta[],MATCH(HC[[#This Row],[Solo]],C_alpha_beta[Solo],0),MATCH(HC[[#Headers],[C (kPa)]],C_alpha_beta[#Headers],0))</f>
        <v>400</v>
      </c>
      <c r="R287" s="4">
        <f>INDEX(C_alpha_beta[],MATCH(HC[[#This Row],[Solo]],C_alpha_beta[Solo],0),MATCH(HC[[#Headers],[α ESF]],C_alpha_beta[#Headers],0))</f>
        <v>0.5</v>
      </c>
      <c r="S287" s="4">
        <f>INDEX(C_alpha_beta[],MATCH(HC[[#This Row],[Solo]],C_alpha_beta[Solo],0),MATCH(HC[[#Headers],[β ESF]],C_alpha_beta[#Headers],0))</f>
        <v>0.5</v>
      </c>
      <c r="T287" s="4">
        <f>IF(HC[[#This Row],[Prof. (m)]]=0,0,10*(HC[[#This Row],[NSPT]]/3+1))</f>
        <v>16.666666666666664</v>
      </c>
      <c r="U287" s="4">
        <f>(HC[[#This Row],[α ESF]]*HC[[#This Row],[C (kPa)]]*HC[[#This Row],[NSPT]]*HC[[#This Row],[Ap (m²)]])/'DADOS CAP. CARGA'!$Q$2+(HC[[#This Row],[β ESF]]*SUMIFS(HC[10∙(NL/3+1)],HC[Prof. (m)],"&lt;="&amp;HC[[#This Row],[Prof. (m)]],HC[idDiâmetro],HC[[#This Row],[idDiâmetro]],HC[idPilar],HC[[#This Row],[idPilar]])*HC[[#This Row],[U (m)]])/'DADOS CAP. CARGA'!$S$2</f>
        <v>104.71975511965977</v>
      </c>
      <c r="V287" s="4">
        <f>IF(SPT!$M$5=1,MIN(HC[[#This Row],[Pe HC (kN)]],HC[[#This Row],[R_AV (kN)]]),IF(SPT!$M$5=2,MIN(HC[[#This Row],[Pe HC (kN)]],HC[[#This Row],[R_DC (kN)]]),MIN(HC[[#This Row],[Pe HC (kN)]],HC[[#This Row],[R_AV (kN)]],HC[[#This Row],[R_DC (kN)]])))</f>
        <v>104.71975511965977</v>
      </c>
      <c r="W287" s="4">
        <f>INDEX(PILARES[],HC[[#This Row],[idPilar]],MATCH("Carga (kN)",PILARES[#Headers],0))*1.4</f>
        <v>3500</v>
      </c>
      <c r="X287" s="12">
        <f>INDEX(PILARES[],HC[[#This Row],[idPilar]],MATCH(HC[[#Headers],[ap (cm)]],PILARES[#Headers],0))</f>
        <v>60</v>
      </c>
      <c r="Y287" s="12">
        <f>INDEX(PILARES[],HC[[#This Row],[idPilar]],MATCH(HC[[#Headers],[bp (cm)]],PILARES[#Headers],0))</f>
        <v>60</v>
      </c>
      <c r="Z287" s="4">
        <f>SQRT(HC[[#This Row],[ap (cm)]]*HC[[#This Row],[bp (cm)]])</f>
        <v>60</v>
      </c>
      <c r="AA287" s="12">
        <f>HC[[#This Row],[ap (cm)]]*HC[[#This Row],[bp (cm)]]</f>
        <v>3600</v>
      </c>
      <c r="AB287" s="12">
        <f ca="1">IF(HC[[#This Row],[Padm∙ε (kN)]]&gt;=HC[[#This Row],[Padm (kN)]],ROUNDUP(1.05*HC[[#This Row],[Nsd (kN)]]/HC[[#This Row],[Padm (kN)]],0),ROUNDUP(1.05*HC[[#This Row],[Nsd (kN)]]/HC[[#This Row],[Padm (kN)]],0)+1)</f>
        <v>36</v>
      </c>
      <c r="AC287" s="4" t="str">
        <f ca="1">IFERROR(IF(HC[[#This Row],[nE]]=1,HC[[#This Row],[Padm (kN)]],HC[[#This Row],[Padm (kN)]]*HC[[#This Row],[nE]]*INDEX(grupoEstacas[],HC[[#This Row],[nE]],MATCH("ε",grupoEstacas[#Headers],0))),"N.S.")</f>
        <v>N.S.</v>
      </c>
      <c r="AD287" s="4">
        <f ca="1">1.05*HC[[#This Row],[Nsd (kN)]]/(HC[[#This Row],[nE]]*PI()*HC[[#This Row],[Ø (cm)]]^2/4)*10</f>
        <v>0.12997653685838118</v>
      </c>
      <c r="AE287" s="4">
        <f ca="1">IF(HC[[#This Row],[σ (MPa)]]&lt;INDEX(tipoEstaca[],MATCH($D$2,tipoEstaca[TIPO DE ESTACA],0),MATCH("σmáx (MPa)",tipoEstaca[#Headers],0)),0.4%*PI()*HC[[#This Row],[Ø (cm)]]^2/4,"N.S.")</f>
        <v>31.415926535897935</v>
      </c>
      <c r="AF287" s="82">
        <f>INDEX(tipoEstaca[],MATCH($D$2,tipoEstaca[TIPO DE ESTACA],0),MATCH(HC[[#Headers],[Comprimento (m)]],tipoEstaca[#Headers],0))</f>
        <v>4</v>
      </c>
      <c r="AG287" s="5">
        <f ca="1">HC[[#This Row],[As,mín (cm²)]]/100^2*HC[[#This Row],[Comprimento (m)]]*7850</f>
        <v>98.646009322719507</v>
      </c>
      <c r="AH287" s="4">
        <f ca="1">HC[[#This Row],[nE]]*HC[[#This Row],[Prof. (m)]]*HC[[#This Row],[Ap (m²)]]</f>
        <v>56.548667764616276</v>
      </c>
      <c r="AI287" s="82">
        <f ca="1">IF(HC[[#This Row],[nE]]=1,0,MAX(3*HC[[#This Row],[Ø (cm)]],60))</f>
        <v>300</v>
      </c>
      <c r="AJ287" s="82">
        <f ca="1">IF(HC[[#This Row],[nE]]=1,HC[[#This Row],[Ø (cm)]]+2*10,MAX(1.5*HC[[#This Row],[Ø (cm)]],HC[[#This Row],[Ø (cm)]]+15))</f>
        <v>150</v>
      </c>
      <c r="AK287" s="82" t="str">
        <f ca="1">alturaUtil(HC[[#This Row],[nE]],HC[[#This Row],[Ø (cm)]],HC[[#This Row],[e (cm)]],HC[[#This Row],[ap,eq (cm)]])</f>
        <v>N.S.</v>
      </c>
      <c r="AL287" s="82" t="str">
        <f ca="1">IFERROR(HC[[#This Row],[d (cm)]]+arredondarParaCimaMultiplo5cm(MAX(5,SQRT(PI())/2*HC[[#This Row],[Ø (cm)]]/5)),"N.S.")</f>
        <v>N.S.</v>
      </c>
      <c r="AM287" s="5" t="str">
        <f ca="1">alpha(HC[[#This Row],[nE]],HC[[#This Row],[d (cm)]],HC[[#This Row],[e (cm)]],HC[[#This Row],[ap,eq (cm)]])</f>
        <v>N.S.</v>
      </c>
      <c r="AN287" s="35" t="str">
        <f ca="1">IFERROR(HC[[#This Row],[Nsd (kN)]]/(HC[[#This Row],[Ap (cm²)]]*SIN(HC[[#This Row],[α]])^2),"N.S.")</f>
        <v>N.S.</v>
      </c>
      <c r="AO287" s="35" t="str">
        <f ca="1">IFERROR(HC[[#This Row],[Nsd (kN)]]/(HC[[#This Row],[nE]]*PI()*HC[[#This Row],[Ø (cm)]]^2/4*SIN(HC[[#This Row],[α]])^2),"N.S.")</f>
        <v>N.S.</v>
      </c>
      <c r="AP287" s="4" t="str">
        <f ca="1">IFERROR(INDEX(grupoEstacas[],HC[[#This Row],[nE]],MATCH("coef. Blévot",grupoEstacas[#Headers],0)),"N.S.")</f>
        <v>N.S.</v>
      </c>
      <c r="AQ287" s="35" t="str">
        <f ca="1">IFERROR(HC[[#This Row],[coef. Blévot]]*0.9*INDEX(tipoEstaca[],MATCH($D$2,tipoEstaca[TIPO DE ESTACA],0),MATCH("fcd (kN/cm²)",tipoEstaca[#Headers],0)),"N.S.")</f>
        <v>N.S.</v>
      </c>
      <c r="AR287" s="82" t="str">
        <f ca="1">IF(AND(HC[[#This Row],[cd,b,pil (kN/cm²)]]&lt;=HC[[#This Row],[cd,b,lim (kN/cm²)]],HC[[#This Row],[cd,b,est (kN/cm²)]]&lt;=HC[[#This Row],[cd,b,lim (kN/cm²)]]),"OK","ERRO")</f>
        <v>OK</v>
      </c>
      <c r="AS287" s="4" t="str">
        <f ca="1">As_lado(HC[[#This Row],[nE]],HC[[#This Row],[Nsd (kN)]],HC[[#This Row],[d (cm)]],HC[[#This Row],[e (cm)]],HC[[#This Row],[ap,eq (cm)]])</f>
        <v>N.S.</v>
      </c>
      <c r="AT287" s="4" t="str">
        <f ca="1">IF(HC[[#This Row],[nE]]=1,HC[[#This Row],[As,lado (cm²)]],IF(HC[[#This Row],[nE]]=2,0.075*2*HC[a (cm)],"N.A."))</f>
        <v>N.A.</v>
      </c>
      <c r="AU287" s="4" t="str">
        <f ca="1">IFERROR(IF(HC[[#This Row],[nE]]=1,"N.A.",0.2*HC[[#This Row],[As,lado (cm²)]]),"N.S.")</f>
        <v>N.S.</v>
      </c>
      <c r="AV287" s="4" t="str">
        <f ca="1">As_malha(HC[[#This Row],[nE]],HC[[#This Row],[As,lado (cm²)]],HC[[#This Row],[Nsd (kN)]])</f>
        <v>N.S.</v>
      </c>
      <c r="AW287" s="4" t="str">
        <f ca="1">As_susp_tot(HC[[#This Row],[nE]],HC[[#This Row],[Nsd (kN)]])</f>
        <v>N.S.</v>
      </c>
      <c r="AX287" s="4" t="str">
        <f ca="1">Asp_face(HC[[#This Row],[nE]],HC[[#This Row],[As,lado (cm²)]])</f>
        <v>N.S.</v>
      </c>
      <c r="AY287" s="5" t="str">
        <f ca="1">acoBloco(HC[[#This Row],[nE]],HC[[#This Row],[e (cm)]],HC[[#This Row],[a (cm)]],HC[[#This Row],[h (cm)]],HC[[#This Row],[As,lado (cm²)]],HC[[#This Row],[Asp e Asw (cm²/m)]],HC[[#This Row],[As,sup (cm²)]],HC[[#This Row],[As,malha (cm²)]],HC[[#This Row],[As,susp,tot (cm²)]],HC[[#This Row],[Asp,face (cm²)]])</f>
        <v>N.S.</v>
      </c>
      <c r="AZ287" s="4" t="str">
        <f ca="1">concretoBloco(HC[[#This Row],[nE]],HC[[#This Row],[e (cm)]],HC[[#This Row],[a (cm)]],HC[[#This Row],[h (cm)]])</f>
        <v>N.S.</v>
      </c>
      <c r="BA287" s="5">
        <f ca="1">SUM(HC[[#This Row],[Aço Est (kg)]],HC[[#This Row],[Aço Bloco (kg)]])</f>
        <v>98.646009322719507</v>
      </c>
      <c r="BB287" s="4">
        <f>INDEX(composicoes[],MATCH(95580,composicoes[CÓDIGO],0),MATCH("CUSTO TOTAL",composicoes[#Headers],0))</f>
        <v>10.46</v>
      </c>
      <c r="BC287" s="4">
        <f ca="1">SUM(HC[[#This Row],[Conc Est (m³)]],HC[[#This Row],[Conc Bloco (m³)]])</f>
        <v>56.548667764616276</v>
      </c>
      <c r="BD287" s="4">
        <f>INDEX(composicoes[],MATCH(94966,composicoes[CÓDIGO],0),MATCH("CUSTO TOTAL",composicoes[#Headers],0))</f>
        <v>439.52</v>
      </c>
      <c r="BE287" s="38">
        <f ca="1">HC[[#This Row],[Aço (kg)]]*HC[[#This Row],[Aço (R$/kg)]]+HC[[#This Row],[Conc (m³)]]*HC[[#This Row],[Conc (R$/m³)]]</f>
        <v>25886.107713419791</v>
      </c>
      <c r="BF287" s="4" t="str">
        <f ca="1">IF(COUNTIF(HC[#This Row],"N.S.")&gt;0,"lim.","OK")</f>
        <v>lim.</v>
      </c>
      <c r="BG287" s="4" t="str">
        <f>IF(HC[[#This Row],[Prof. (m)]]&lt;4,"lim.","OK")</f>
        <v>lim.</v>
      </c>
      <c r="BH287" s="4" t="str">
        <f>IF(HC[[#This Row],[Prof. (m)]]&gt;=8*HC[[#This Row],[Ø (cm)]]/100,"OK","lim.")</f>
        <v>lim.</v>
      </c>
      <c r="BI287" s="4" t="str">
        <f ca="1">IF(HC[[#This Row],[Verif. Biela]]="OK","OK","lim.")</f>
        <v>OK</v>
      </c>
      <c r="BJ287" s="4" t="str">
        <f ca="1">IF(COUNTA(HC[[#This Row],[Nº Est.]:[Biela comp.]])=COUNTIF(HC[[#This Row],[Nº Est.]:[Biela comp.]],"OK"),"OK","lim.")</f>
        <v>lim.</v>
      </c>
      <c r="BK287" s="4" t="str">
        <f ca="1">IF(HC[[#This Row],[Controle]]="OK",HC[[#This Row],[nE]]&amp;" Ø "&amp;HC[[#This Row],[Ø (cm)]]&amp;" cm, Prof. "&amp;HC[[#This Row],[Prof. (m)]]&amp;" m","")</f>
        <v/>
      </c>
      <c r="BL287" s="4" t="str">
        <f ca="1">IF(HC[[#This Row],[idDimensionamento]]="","",HC[[#This Row],[idPilar]]&amp;HC[[#This Row],[idDimensionamento]])</f>
        <v/>
      </c>
    </row>
    <row r="288" spans="2:64" x14ac:dyDescent="0.25">
      <c r="B288" s="12">
        <f>ROUNDUP((ROW(HC[[#This Row],[idDiâmetro]])-ROW(HC[[#Headers],[idDiâmetro]]))/(COUNT(SPT[Prof. (m)])*COUNT(PILARES[Pilar])),0)</f>
        <v>11</v>
      </c>
      <c r="C288" s="12">
        <f>IF(HC[[#This Row],[idDiâmetro]]&lt;&gt;B287,1,IF(HC[[#This Row],[Prof. (m)]]=0,C287+1,C287))</f>
        <v>1</v>
      </c>
      <c r="D288" s="82">
        <f>IFERROR(IF(D287=MAX(SPT[Prof. (m)]),0,D287+1),0)</f>
        <v>3</v>
      </c>
      <c r="E288" s="82">
        <f>INDEX(SPT[],MATCH(HC[[#This Row],[Prof. (m)]],SPT[Prof. (m)],0),2)</f>
        <v>4</v>
      </c>
      <c r="F288" s="82" t="str">
        <f>INDEX(SPT[],MATCH(HC[[#This Row],[Prof. (m)]],SPT[Prof. (m)],0),3)</f>
        <v>Areia siltosa</v>
      </c>
      <c r="G288" s="82">
        <f>INDEX(estacas[],HC[[#This Row],[idDiâmetro]],MATCH($B$2,estacas[#Headers],0))</f>
        <v>100</v>
      </c>
      <c r="H288" s="82">
        <f>INDEX(estacas[],MATCH(HC[[#This Row],[Ø (cm)]],estacas[Ø HC (cm)],0),MATCH(HC[[#Headers],[Pe HC (kN)]],estacas[#Headers],0))</f>
        <v>5000</v>
      </c>
      <c r="I288" s="4">
        <f>INDEX(K_alpha_C[],MATCH(HC[[#This Row],[Solo]],K_alpha_C[Solo],0),2)</f>
        <v>0.8</v>
      </c>
      <c r="J288" s="5">
        <f>INDEX(K_alpha_C[],MATCH(HC[[#This Row],[Solo]],K_alpha_C[Solo],0),3)</f>
        <v>2</v>
      </c>
      <c r="K288" s="4">
        <f>INDEX(F1_F2[],MATCH($D$2,F1_F2[Tipo de estaca],0),2)</f>
        <v>2</v>
      </c>
      <c r="L288" s="4">
        <f>INDEX(F1_F2[],MATCH($D$2,F1_F2[Tipo de estaca],0),3)</f>
        <v>4</v>
      </c>
      <c r="M288" s="4">
        <f>PI()*(HC[[#This Row],[Ø (cm)]]/100)^2/4</f>
        <v>0.78539816339744828</v>
      </c>
      <c r="N288" s="4">
        <f>PI()*HC[[#This Row],[Ø (cm)]]/100</f>
        <v>3.1415926535897931</v>
      </c>
      <c r="O288" s="4">
        <f>IF(HC[[#This Row],[Prof. (m)]]=0,0,HC[[#This Row],[α (%)]]/100*HC[[#This Row],[K (MPa)]]*1000*HC[[#This Row],[NSPT]])</f>
        <v>64</v>
      </c>
      <c r="P288" s="4">
        <f>IF(HC[[#This Row],[Prof. (m)]]=0,0,(HC[[#This Row],[K (MPa)]]*1000*HC[[#This Row],[NSPT]]/HC[[#This Row],[F1]]*HC[[#This Row],[Ap (m²)]]+HC[[#This Row],[U (m)]]/HC[[#This Row],[F2]]*SUMIFS(HC[(α∙K∙NL∙ΔL)],HC[Prof. (m)],"&lt;="&amp;HC[[#This Row],[Prof. (m)]],HC[idDiâmetro],HC[[#This Row],[idDiâmetro]],HC[idPilar],HC[[#This Row],[idPilar]]))/'DADOS CAP. CARGA'!$D$2)</f>
        <v>678.58401317539528</v>
      </c>
      <c r="Q288" s="12">
        <f>INDEX(C_alpha_beta[],MATCH(HC[[#This Row],[Solo]],C_alpha_beta[Solo],0),MATCH(HC[[#Headers],[C (kPa)]],C_alpha_beta[#Headers],0))</f>
        <v>400</v>
      </c>
      <c r="R288" s="4">
        <f>INDEX(C_alpha_beta[],MATCH(HC[[#This Row],[Solo]],C_alpha_beta[Solo],0),MATCH(HC[[#Headers],[α ESF]],C_alpha_beta[#Headers],0))</f>
        <v>0.5</v>
      </c>
      <c r="S288" s="4">
        <f>INDEX(C_alpha_beta[],MATCH(HC[[#This Row],[Solo]],C_alpha_beta[Solo],0),MATCH(HC[[#Headers],[β ESF]],C_alpha_beta[#Headers],0))</f>
        <v>0.5</v>
      </c>
      <c r="T288" s="4">
        <f>IF(HC[[#This Row],[Prof. (m)]]=0,0,10*(HC[[#This Row],[NSPT]]/3+1))</f>
        <v>23.333333333333329</v>
      </c>
      <c r="U288" s="4">
        <f>(HC[[#This Row],[α ESF]]*HC[[#This Row],[C (kPa)]]*HC[[#This Row],[NSPT]]*HC[[#This Row],[Ap (m²)]])/'DADOS CAP. CARGA'!$Q$2+(HC[[#This Row],[β ESF]]*SUMIFS(HC[10∙(NL/3+1)],HC[Prof. (m)],"&lt;="&amp;HC[[#This Row],[Prof. (m)]],HC[idDiâmetro],HC[[#This Row],[idDiâmetro]],HC[idPilar],HC[[#This Row],[idPilar]])*HC[[#This Row],[U (m)]])/'DADOS CAP. CARGA'!$S$2</f>
        <v>201.58552860534508</v>
      </c>
      <c r="V288" s="4">
        <f>IF(SPT!$M$5=1,MIN(HC[[#This Row],[Pe HC (kN)]],HC[[#This Row],[R_AV (kN)]]),IF(SPT!$M$5=2,MIN(HC[[#This Row],[Pe HC (kN)]],HC[[#This Row],[R_DC (kN)]]),MIN(HC[[#This Row],[Pe HC (kN)]],HC[[#This Row],[R_AV (kN)]],HC[[#This Row],[R_DC (kN)]])))</f>
        <v>201.58552860534508</v>
      </c>
      <c r="W288" s="4">
        <f>INDEX(PILARES[],HC[[#This Row],[idPilar]],MATCH("Carga (kN)",PILARES[#Headers],0))*1.4</f>
        <v>3500</v>
      </c>
      <c r="X288" s="12">
        <f>INDEX(PILARES[],HC[[#This Row],[idPilar]],MATCH(HC[[#Headers],[ap (cm)]],PILARES[#Headers],0))</f>
        <v>60</v>
      </c>
      <c r="Y288" s="12">
        <f>INDEX(PILARES[],HC[[#This Row],[idPilar]],MATCH(HC[[#Headers],[bp (cm)]],PILARES[#Headers],0))</f>
        <v>60</v>
      </c>
      <c r="Z288" s="4">
        <f>SQRT(HC[[#This Row],[ap (cm)]]*HC[[#This Row],[bp (cm)]])</f>
        <v>60</v>
      </c>
      <c r="AA288" s="12">
        <f>HC[[#This Row],[ap (cm)]]*HC[[#This Row],[bp (cm)]]</f>
        <v>3600</v>
      </c>
      <c r="AB288" s="12">
        <f ca="1">IF(HC[[#This Row],[Padm∙ε (kN)]]&gt;=HC[[#This Row],[Padm (kN)]],ROUNDUP(1.05*HC[[#This Row],[Nsd (kN)]]/HC[[#This Row],[Padm (kN)]],0),ROUNDUP(1.05*HC[[#This Row],[Nsd (kN)]]/HC[[#This Row],[Padm (kN)]],0)+1)</f>
        <v>19</v>
      </c>
      <c r="AC288" s="4" t="str">
        <f ca="1">IFERROR(IF(HC[[#This Row],[nE]]=1,HC[[#This Row],[Padm (kN)]],HC[[#This Row],[Padm (kN)]]*HC[[#This Row],[nE]]*INDEX(grupoEstacas[],HC[[#This Row],[nE]],MATCH("ε",grupoEstacas[#Headers],0))),"N.S.")</f>
        <v>N.S.</v>
      </c>
      <c r="AD288" s="4">
        <f ca="1">1.05*HC[[#This Row],[Nsd (kN)]]/(HC[[#This Row],[nE]]*PI()*HC[[#This Row],[Ø (cm)]]^2/4)*10</f>
        <v>0.24627133299482754</v>
      </c>
      <c r="AE288" s="4">
        <f ca="1">IF(HC[[#This Row],[σ (MPa)]]&lt;INDEX(tipoEstaca[],MATCH($D$2,tipoEstaca[TIPO DE ESTACA],0),MATCH("σmáx (MPa)",tipoEstaca[#Headers],0)),0.4%*PI()*HC[[#This Row],[Ø (cm)]]^2/4,"N.S.")</f>
        <v>31.415926535897935</v>
      </c>
      <c r="AF288" s="82">
        <f>INDEX(tipoEstaca[],MATCH($D$2,tipoEstaca[TIPO DE ESTACA],0),MATCH(HC[[#Headers],[Comprimento (m)]],tipoEstaca[#Headers],0))</f>
        <v>4</v>
      </c>
      <c r="AG288" s="5">
        <f ca="1">HC[[#This Row],[As,mín (cm²)]]/100^2*HC[[#This Row],[Comprimento (m)]]*7850</f>
        <v>98.646009322719507</v>
      </c>
      <c r="AH288" s="4">
        <f ca="1">HC[[#This Row],[nE]]*HC[[#This Row],[Prof. (m)]]*HC[[#This Row],[Ap (m²)]]</f>
        <v>44.767695313654549</v>
      </c>
      <c r="AI288" s="82">
        <f ca="1">IF(HC[[#This Row],[nE]]=1,0,MAX(3*HC[[#This Row],[Ø (cm)]],60))</f>
        <v>300</v>
      </c>
      <c r="AJ288" s="82">
        <f ca="1">IF(HC[[#This Row],[nE]]=1,HC[[#This Row],[Ø (cm)]]+2*10,MAX(1.5*HC[[#This Row],[Ø (cm)]],HC[[#This Row],[Ø (cm)]]+15))</f>
        <v>150</v>
      </c>
      <c r="AK288" s="82" t="str">
        <f ca="1">alturaUtil(HC[[#This Row],[nE]],HC[[#This Row],[Ø (cm)]],HC[[#This Row],[e (cm)]],HC[[#This Row],[ap,eq (cm)]])</f>
        <v>N.S.</v>
      </c>
      <c r="AL288" s="82" t="str">
        <f ca="1">IFERROR(HC[[#This Row],[d (cm)]]+arredondarParaCimaMultiplo5cm(MAX(5,SQRT(PI())/2*HC[[#This Row],[Ø (cm)]]/5)),"N.S.")</f>
        <v>N.S.</v>
      </c>
      <c r="AM288" s="5" t="str">
        <f ca="1">alpha(HC[[#This Row],[nE]],HC[[#This Row],[d (cm)]],HC[[#This Row],[e (cm)]],HC[[#This Row],[ap,eq (cm)]])</f>
        <v>N.S.</v>
      </c>
      <c r="AN288" s="35" t="str">
        <f ca="1">IFERROR(HC[[#This Row],[Nsd (kN)]]/(HC[[#This Row],[Ap (cm²)]]*SIN(HC[[#This Row],[α]])^2),"N.S.")</f>
        <v>N.S.</v>
      </c>
      <c r="AO288" s="35" t="str">
        <f ca="1">IFERROR(HC[[#This Row],[Nsd (kN)]]/(HC[[#This Row],[nE]]*PI()*HC[[#This Row],[Ø (cm)]]^2/4*SIN(HC[[#This Row],[α]])^2),"N.S.")</f>
        <v>N.S.</v>
      </c>
      <c r="AP288" s="4" t="str">
        <f ca="1">IFERROR(INDEX(grupoEstacas[],HC[[#This Row],[nE]],MATCH("coef. Blévot",grupoEstacas[#Headers],0)),"N.S.")</f>
        <v>N.S.</v>
      </c>
      <c r="AQ288" s="35" t="str">
        <f ca="1">IFERROR(HC[[#This Row],[coef. Blévot]]*0.9*INDEX(tipoEstaca[],MATCH($D$2,tipoEstaca[TIPO DE ESTACA],0),MATCH("fcd (kN/cm²)",tipoEstaca[#Headers],0)),"N.S.")</f>
        <v>N.S.</v>
      </c>
      <c r="AR288" s="82" t="str">
        <f ca="1">IF(AND(HC[[#This Row],[cd,b,pil (kN/cm²)]]&lt;=HC[[#This Row],[cd,b,lim (kN/cm²)]],HC[[#This Row],[cd,b,est (kN/cm²)]]&lt;=HC[[#This Row],[cd,b,lim (kN/cm²)]]),"OK","ERRO")</f>
        <v>OK</v>
      </c>
      <c r="AS288" s="4" t="str">
        <f ca="1">As_lado(HC[[#This Row],[nE]],HC[[#This Row],[Nsd (kN)]],HC[[#This Row],[d (cm)]],HC[[#This Row],[e (cm)]],HC[[#This Row],[ap,eq (cm)]])</f>
        <v>N.S.</v>
      </c>
      <c r="AT288" s="4" t="str">
        <f ca="1">IF(HC[[#This Row],[nE]]=1,HC[[#This Row],[As,lado (cm²)]],IF(HC[[#This Row],[nE]]=2,0.075*2*HC[a (cm)],"N.A."))</f>
        <v>N.A.</v>
      </c>
      <c r="AU288" s="4" t="str">
        <f ca="1">IFERROR(IF(HC[[#This Row],[nE]]=1,"N.A.",0.2*HC[[#This Row],[As,lado (cm²)]]),"N.S.")</f>
        <v>N.S.</v>
      </c>
      <c r="AV288" s="4" t="str">
        <f ca="1">As_malha(HC[[#This Row],[nE]],HC[[#This Row],[As,lado (cm²)]],HC[[#This Row],[Nsd (kN)]])</f>
        <v>N.S.</v>
      </c>
      <c r="AW288" s="4" t="str">
        <f ca="1">As_susp_tot(HC[[#This Row],[nE]],HC[[#This Row],[Nsd (kN)]])</f>
        <v>N.S.</v>
      </c>
      <c r="AX288" s="4" t="str">
        <f ca="1">Asp_face(HC[[#This Row],[nE]],HC[[#This Row],[As,lado (cm²)]])</f>
        <v>N.S.</v>
      </c>
      <c r="AY288" s="5" t="str">
        <f ca="1">acoBloco(HC[[#This Row],[nE]],HC[[#This Row],[e (cm)]],HC[[#This Row],[a (cm)]],HC[[#This Row],[h (cm)]],HC[[#This Row],[As,lado (cm²)]],HC[[#This Row],[Asp e Asw (cm²/m)]],HC[[#This Row],[As,sup (cm²)]],HC[[#This Row],[As,malha (cm²)]],HC[[#This Row],[As,susp,tot (cm²)]],HC[[#This Row],[Asp,face (cm²)]])</f>
        <v>N.S.</v>
      </c>
      <c r="AZ288" s="4" t="str">
        <f ca="1">concretoBloco(HC[[#This Row],[nE]],HC[[#This Row],[e (cm)]],HC[[#This Row],[a (cm)]],HC[[#This Row],[h (cm)]])</f>
        <v>N.S.</v>
      </c>
      <c r="BA288" s="5">
        <f ca="1">SUM(HC[[#This Row],[Aço Est (kg)]],HC[[#This Row],[Aço Bloco (kg)]])</f>
        <v>98.646009322719507</v>
      </c>
      <c r="BB288" s="4">
        <f>INDEX(composicoes[],MATCH(95580,composicoes[CÓDIGO],0),MATCH("CUSTO TOTAL",composicoes[#Headers],0))</f>
        <v>10.46</v>
      </c>
      <c r="BC288" s="4">
        <f ca="1">SUM(HC[[#This Row],[Conc Est (m³)]],HC[[#This Row],[Conc Bloco (m³)]])</f>
        <v>44.767695313654549</v>
      </c>
      <c r="BD288" s="4">
        <f>INDEX(composicoes[],MATCH(94966,composicoes[CÓDIGO],0),MATCH("CUSTO TOTAL",composicoes[#Headers],0))</f>
        <v>439.52</v>
      </c>
      <c r="BE288" s="38">
        <f ca="1">HC[[#This Row],[Aço (kg)]]*HC[[#This Row],[Aço (R$/kg)]]+HC[[#This Row],[Conc (m³)]]*HC[[#This Row],[Conc (R$/m³)]]</f>
        <v>20708.134701773091</v>
      </c>
      <c r="BF288" s="4" t="str">
        <f ca="1">IF(COUNTIF(HC[#This Row],"N.S.")&gt;0,"lim.","OK")</f>
        <v>lim.</v>
      </c>
      <c r="BG288" s="4" t="str">
        <f>IF(HC[[#This Row],[Prof. (m)]]&lt;4,"lim.","OK")</f>
        <v>lim.</v>
      </c>
      <c r="BH288" s="4" t="str">
        <f>IF(HC[[#This Row],[Prof. (m)]]&gt;=8*HC[[#This Row],[Ø (cm)]]/100,"OK","lim.")</f>
        <v>lim.</v>
      </c>
      <c r="BI288" s="4" t="str">
        <f ca="1">IF(HC[[#This Row],[Verif. Biela]]="OK","OK","lim.")</f>
        <v>OK</v>
      </c>
      <c r="BJ288" s="4" t="str">
        <f ca="1">IF(COUNTA(HC[[#This Row],[Nº Est.]:[Biela comp.]])=COUNTIF(HC[[#This Row],[Nº Est.]:[Biela comp.]],"OK"),"OK","lim.")</f>
        <v>lim.</v>
      </c>
      <c r="BK288" s="4" t="str">
        <f ca="1">IF(HC[[#This Row],[Controle]]="OK",HC[[#This Row],[nE]]&amp;" Ø "&amp;HC[[#This Row],[Ø (cm)]]&amp;" cm, Prof. "&amp;HC[[#This Row],[Prof. (m)]]&amp;" m","")</f>
        <v/>
      </c>
      <c r="BL288" s="4" t="str">
        <f ca="1">IF(HC[[#This Row],[idDimensionamento]]="","",HC[[#This Row],[idPilar]]&amp;HC[[#This Row],[idDimensionamento]])</f>
        <v/>
      </c>
    </row>
    <row r="289" spans="2:64" x14ac:dyDescent="0.25">
      <c r="B289" s="12">
        <f>ROUNDUP((ROW(HC[[#This Row],[idDiâmetro]])-ROW(HC[[#Headers],[idDiâmetro]]))/(COUNT(SPT[Prof. (m)])*COUNT(PILARES[Pilar])),0)</f>
        <v>11</v>
      </c>
      <c r="C289" s="12">
        <f>IF(HC[[#This Row],[idDiâmetro]]&lt;&gt;B288,1,IF(HC[[#This Row],[Prof. (m)]]=0,C288+1,C288))</f>
        <v>1</v>
      </c>
      <c r="D289" s="82">
        <f>IFERROR(IF(D288=MAX(SPT[Prof. (m)]),0,D288+1),0)</f>
        <v>4</v>
      </c>
      <c r="E289" s="82">
        <f>INDEX(SPT[],MATCH(HC[[#This Row],[Prof. (m)]],SPT[Prof. (m)],0),2)</f>
        <v>8</v>
      </c>
      <c r="F289" s="82" t="str">
        <f>INDEX(SPT[],MATCH(HC[[#This Row],[Prof. (m)]],SPT[Prof. (m)],0),3)</f>
        <v>Areia siltosa</v>
      </c>
      <c r="G289" s="82">
        <f>INDEX(estacas[],HC[[#This Row],[idDiâmetro]],MATCH($B$2,estacas[#Headers],0))</f>
        <v>100</v>
      </c>
      <c r="H289" s="82">
        <f>INDEX(estacas[],MATCH(HC[[#This Row],[Ø (cm)]],estacas[Ø HC (cm)],0),MATCH(HC[[#Headers],[Pe HC (kN)]],estacas[#Headers],0))</f>
        <v>5000</v>
      </c>
      <c r="I289" s="4">
        <f>INDEX(K_alpha_C[],MATCH(HC[[#This Row],[Solo]],K_alpha_C[Solo],0),2)</f>
        <v>0.8</v>
      </c>
      <c r="J289" s="5">
        <f>INDEX(K_alpha_C[],MATCH(HC[[#This Row],[Solo]],K_alpha_C[Solo],0),3)</f>
        <v>2</v>
      </c>
      <c r="K289" s="4">
        <f>INDEX(F1_F2[],MATCH($D$2,F1_F2[Tipo de estaca],0),2)</f>
        <v>2</v>
      </c>
      <c r="L289" s="4">
        <f>INDEX(F1_F2[],MATCH($D$2,F1_F2[Tipo de estaca],0),3)</f>
        <v>4</v>
      </c>
      <c r="M289" s="4">
        <f>PI()*(HC[[#This Row],[Ø (cm)]]/100)^2/4</f>
        <v>0.78539816339744828</v>
      </c>
      <c r="N289" s="4">
        <f>PI()*HC[[#This Row],[Ø (cm)]]/100</f>
        <v>3.1415926535897931</v>
      </c>
      <c r="O289" s="4">
        <f>IF(HC[[#This Row],[Prof. (m)]]=0,0,HC[[#This Row],[α (%)]]/100*HC[[#This Row],[K (MPa)]]*1000*HC[[#This Row],[NSPT]])</f>
        <v>128</v>
      </c>
      <c r="P289" s="4">
        <f>IF(HC[[#This Row],[Prof. (m)]]=0,0,(HC[[#This Row],[K (MPa)]]*1000*HC[[#This Row],[NSPT]]/HC[[#This Row],[F1]]*HC[[#This Row],[Ap (m²)]]+HC[[#This Row],[U (m)]]/HC[[#This Row],[F2]]*SUMIFS(HC[(α∙K∙NL∙ΔL)],HC[Prof. (m)],"&lt;="&amp;HC[[#This Row],[Prof. (m)]],HC[idDiâmetro],HC[[#This Row],[idDiâmetro]],HC[idPilar],HC[[#This Row],[idPilar]]))/'DADOS CAP. CARGA'!$D$2)</f>
        <v>1357.1680263507906</v>
      </c>
      <c r="Q289" s="12">
        <f>INDEX(C_alpha_beta[],MATCH(HC[[#This Row],[Solo]],C_alpha_beta[Solo],0),MATCH(HC[[#Headers],[C (kPa)]],C_alpha_beta[#Headers],0))</f>
        <v>400</v>
      </c>
      <c r="R289" s="4">
        <f>INDEX(C_alpha_beta[],MATCH(HC[[#This Row],[Solo]],C_alpha_beta[Solo],0),MATCH(HC[[#Headers],[α ESF]],C_alpha_beta[#Headers],0))</f>
        <v>0.5</v>
      </c>
      <c r="S289" s="4">
        <f>INDEX(C_alpha_beta[],MATCH(HC[[#This Row],[Solo]],C_alpha_beta[Solo],0),MATCH(HC[[#Headers],[β ESF]],C_alpha_beta[#Headers],0))</f>
        <v>0.5</v>
      </c>
      <c r="T289" s="4">
        <f>IF(HC[[#This Row],[Prof. (m)]]=0,0,10*(HC[[#This Row],[NSPT]]/3+1))</f>
        <v>36.666666666666664</v>
      </c>
      <c r="U289" s="4">
        <f>(HC[[#This Row],[α ESF]]*HC[[#This Row],[C (kPa)]]*HC[[#This Row],[NSPT]]*HC[[#This Row],[Ap (m²)]])/'DADOS CAP. CARGA'!$Q$2+(HC[[#This Row],[β ESF]]*SUMIFS(HC[10∙(NL/3+1)],HC[Prof. (m)],"&lt;="&amp;HC[[#This Row],[Prof. (m)]],HC[idDiâmetro],HC[[#This Row],[idDiâmetro]],HC[idPilar],HC[[#This Row],[idPilar]])*HC[[#This Row],[U (m)]])/'DADOS CAP. CARGA'!$S$2</f>
        <v>387.46309394274112</v>
      </c>
      <c r="V289" s="4">
        <f>IF(SPT!$M$5=1,MIN(HC[[#This Row],[Pe HC (kN)]],HC[[#This Row],[R_AV (kN)]]),IF(SPT!$M$5=2,MIN(HC[[#This Row],[Pe HC (kN)]],HC[[#This Row],[R_DC (kN)]]),MIN(HC[[#This Row],[Pe HC (kN)]],HC[[#This Row],[R_AV (kN)]],HC[[#This Row],[R_DC (kN)]])))</f>
        <v>387.46309394274112</v>
      </c>
      <c r="W289" s="4">
        <f>INDEX(PILARES[],HC[[#This Row],[idPilar]],MATCH("Carga (kN)",PILARES[#Headers],0))*1.4</f>
        <v>3500</v>
      </c>
      <c r="X289" s="12">
        <f>INDEX(PILARES[],HC[[#This Row],[idPilar]],MATCH(HC[[#Headers],[ap (cm)]],PILARES[#Headers],0))</f>
        <v>60</v>
      </c>
      <c r="Y289" s="12">
        <f>INDEX(PILARES[],HC[[#This Row],[idPilar]],MATCH(HC[[#Headers],[bp (cm)]],PILARES[#Headers],0))</f>
        <v>60</v>
      </c>
      <c r="Z289" s="4">
        <f>SQRT(HC[[#This Row],[ap (cm)]]*HC[[#This Row],[bp (cm)]])</f>
        <v>60</v>
      </c>
      <c r="AA289" s="12">
        <f>HC[[#This Row],[ap (cm)]]*HC[[#This Row],[bp (cm)]]</f>
        <v>3600</v>
      </c>
      <c r="AB289" s="12">
        <f ca="1">IF(HC[[#This Row],[Padm∙ε (kN)]]&gt;=HC[[#This Row],[Padm (kN)]],ROUNDUP(1.05*HC[[#This Row],[Nsd (kN)]]/HC[[#This Row],[Padm (kN)]],0),ROUNDUP(1.05*HC[[#This Row],[Nsd (kN)]]/HC[[#This Row],[Padm (kN)]],0)+1)</f>
        <v>10</v>
      </c>
      <c r="AC289" s="4" t="str">
        <f ca="1">IFERROR(IF(HC[[#This Row],[nE]]=1,HC[[#This Row],[Padm (kN)]],HC[[#This Row],[Padm (kN)]]*HC[[#This Row],[nE]]*INDEX(grupoEstacas[],HC[[#This Row],[nE]],MATCH("ε",grupoEstacas[#Headers],0))),"N.S.")</f>
        <v>N.S.</v>
      </c>
      <c r="AD289" s="4">
        <f ca="1">1.05*HC[[#This Row],[Nsd (kN)]]/(HC[[#This Row],[nE]]*PI()*HC[[#This Row],[Ø (cm)]]^2/4)*10</f>
        <v>0.46791553269017233</v>
      </c>
      <c r="AE289" s="4">
        <f ca="1">IF(HC[[#This Row],[σ (MPa)]]&lt;INDEX(tipoEstaca[],MATCH($D$2,tipoEstaca[TIPO DE ESTACA],0),MATCH("σmáx (MPa)",tipoEstaca[#Headers],0)),0.4%*PI()*HC[[#This Row],[Ø (cm)]]^2/4,"N.S.")</f>
        <v>31.415926535897935</v>
      </c>
      <c r="AF289" s="82">
        <f>INDEX(tipoEstaca[],MATCH($D$2,tipoEstaca[TIPO DE ESTACA],0),MATCH(HC[[#Headers],[Comprimento (m)]],tipoEstaca[#Headers],0))</f>
        <v>4</v>
      </c>
      <c r="AG289" s="5">
        <f ca="1">HC[[#This Row],[As,mín (cm²)]]/100^2*HC[[#This Row],[Comprimento (m)]]*7850</f>
        <v>98.646009322719507</v>
      </c>
      <c r="AH289" s="4">
        <f ca="1">HC[[#This Row],[nE]]*HC[[#This Row],[Prof. (m)]]*HC[[#This Row],[Ap (m²)]]</f>
        <v>31.415926535897931</v>
      </c>
      <c r="AI289" s="82">
        <f ca="1">IF(HC[[#This Row],[nE]]=1,0,MAX(3*HC[[#This Row],[Ø (cm)]],60))</f>
        <v>300</v>
      </c>
      <c r="AJ289" s="82">
        <f ca="1">IF(HC[[#This Row],[nE]]=1,HC[[#This Row],[Ø (cm)]]+2*10,MAX(1.5*HC[[#This Row],[Ø (cm)]],HC[[#This Row],[Ø (cm)]]+15))</f>
        <v>150</v>
      </c>
      <c r="AK289" s="82" t="str">
        <f ca="1">alturaUtil(HC[[#This Row],[nE]],HC[[#This Row],[Ø (cm)]],HC[[#This Row],[e (cm)]],HC[[#This Row],[ap,eq (cm)]])</f>
        <v>N.S.</v>
      </c>
      <c r="AL289" s="82" t="str">
        <f ca="1">IFERROR(HC[[#This Row],[d (cm)]]+arredondarParaCimaMultiplo5cm(MAX(5,SQRT(PI())/2*HC[[#This Row],[Ø (cm)]]/5)),"N.S.")</f>
        <v>N.S.</v>
      </c>
      <c r="AM289" s="5" t="str">
        <f ca="1">alpha(HC[[#This Row],[nE]],HC[[#This Row],[d (cm)]],HC[[#This Row],[e (cm)]],HC[[#This Row],[ap,eq (cm)]])</f>
        <v>N.S.</v>
      </c>
      <c r="AN289" s="35" t="str">
        <f ca="1">IFERROR(HC[[#This Row],[Nsd (kN)]]/(HC[[#This Row],[Ap (cm²)]]*SIN(HC[[#This Row],[α]])^2),"N.S.")</f>
        <v>N.S.</v>
      </c>
      <c r="AO289" s="35" t="str">
        <f ca="1">IFERROR(HC[[#This Row],[Nsd (kN)]]/(HC[[#This Row],[nE]]*PI()*HC[[#This Row],[Ø (cm)]]^2/4*SIN(HC[[#This Row],[α]])^2),"N.S.")</f>
        <v>N.S.</v>
      </c>
      <c r="AP289" s="4" t="str">
        <f ca="1">IFERROR(INDEX(grupoEstacas[],HC[[#This Row],[nE]],MATCH("coef. Blévot",grupoEstacas[#Headers],0)),"N.S.")</f>
        <v>N.S.</v>
      </c>
      <c r="AQ289" s="35" t="str">
        <f ca="1">IFERROR(HC[[#This Row],[coef. Blévot]]*0.9*INDEX(tipoEstaca[],MATCH($D$2,tipoEstaca[TIPO DE ESTACA],0),MATCH("fcd (kN/cm²)",tipoEstaca[#Headers],0)),"N.S.")</f>
        <v>N.S.</v>
      </c>
      <c r="AR289" s="82" t="str">
        <f ca="1">IF(AND(HC[[#This Row],[cd,b,pil (kN/cm²)]]&lt;=HC[[#This Row],[cd,b,lim (kN/cm²)]],HC[[#This Row],[cd,b,est (kN/cm²)]]&lt;=HC[[#This Row],[cd,b,lim (kN/cm²)]]),"OK","ERRO")</f>
        <v>OK</v>
      </c>
      <c r="AS289" s="4" t="str">
        <f ca="1">As_lado(HC[[#This Row],[nE]],HC[[#This Row],[Nsd (kN)]],HC[[#This Row],[d (cm)]],HC[[#This Row],[e (cm)]],HC[[#This Row],[ap,eq (cm)]])</f>
        <v>N.S.</v>
      </c>
      <c r="AT289" s="4" t="str">
        <f ca="1">IF(HC[[#This Row],[nE]]=1,HC[[#This Row],[As,lado (cm²)]],IF(HC[[#This Row],[nE]]=2,0.075*2*HC[a (cm)],"N.A."))</f>
        <v>N.A.</v>
      </c>
      <c r="AU289" s="4" t="str">
        <f ca="1">IFERROR(IF(HC[[#This Row],[nE]]=1,"N.A.",0.2*HC[[#This Row],[As,lado (cm²)]]),"N.S.")</f>
        <v>N.S.</v>
      </c>
      <c r="AV289" s="4" t="str">
        <f ca="1">As_malha(HC[[#This Row],[nE]],HC[[#This Row],[As,lado (cm²)]],HC[[#This Row],[Nsd (kN)]])</f>
        <v>N.S.</v>
      </c>
      <c r="AW289" s="4" t="str">
        <f ca="1">As_susp_tot(HC[[#This Row],[nE]],HC[[#This Row],[Nsd (kN)]])</f>
        <v>N.S.</v>
      </c>
      <c r="AX289" s="4" t="str">
        <f ca="1">Asp_face(HC[[#This Row],[nE]],HC[[#This Row],[As,lado (cm²)]])</f>
        <v>N.S.</v>
      </c>
      <c r="AY289" s="5" t="str">
        <f ca="1">acoBloco(HC[[#This Row],[nE]],HC[[#This Row],[e (cm)]],HC[[#This Row],[a (cm)]],HC[[#This Row],[h (cm)]],HC[[#This Row],[As,lado (cm²)]],HC[[#This Row],[Asp e Asw (cm²/m)]],HC[[#This Row],[As,sup (cm²)]],HC[[#This Row],[As,malha (cm²)]],HC[[#This Row],[As,susp,tot (cm²)]],HC[[#This Row],[Asp,face (cm²)]])</f>
        <v>N.S.</v>
      </c>
      <c r="AZ289" s="4" t="str">
        <f ca="1">concretoBloco(HC[[#This Row],[nE]],HC[[#This Row],[e (cm)]],HC[[#This Row],[a (cm)]],HC[[#This Row],[h (cm)]])</f>
        <v>N.S.</v>
      </c>
      <c r="BA289" s="5">
        <f ca="1">SUM(HC[[#This Row],[Aço Est (kg)]],HC[[#This Row],[Aço Bloco (kg)]])</f>
        <v>98.646009322719507</v>
      </c>
      <c r="BB289" s="4">
        <f>INDEX(composicoes[],MATCH(95580,composicoes[CÓDIGO],0),MATCH("CUSTO TOTAL",composicoes[#Headers],0))</f>
        <v>10.46</v>
      </c>
      <c r="BC289" s="4">
        <f ca="1">SUM(HC[[#This Row],[Conc Est (m³)]],HC[[#This Row],[Conc Bloco (m³)]])</f>
        <v>31.415926535897931</v>
      </c>
      <c r="BD289" s="4">
        <f>INDEX(composicoes[],MATCH(94966,composicoes[CÓDIGO],0),MATCH("CUSTO TOTAL",composicoes[#Headers],0))</f>
        <v>439.52</v>
      </c>
      <c r="BE289" s="38">
        <f ca="1">HC[[#This Row],[Aço (kg)]]*HC[[#This Row],[Aço (R$/kg)]]+HC[[#This Row],[Conc (m³)]]*HC[[#This Row],[Conc (R$/m³)]]</f>
        <v>14839.765288573504</v>
      </c>
      <c r="BF289" s="4" t="str">
        <f ca="1">IF(COUNTIF(HC[#This Row],"N.S.")&gt;0,"lim.","OK")</f>
        <v>lim.</v>
      </c>
      <c r="BG289" s="4" t="str">
        <f>IF(HC[[#This Row],[Prof. (m)]]&lt;4,"lim.","OK")</f>
        <v>OK</v>
      </c>
      <c r="BH289" s="4" t="str">
        <f>IF(HC[[#This Row],[Prof. (m)]]&gt;=8*HC[[#This Row],[Ø (cm)]]/100,"OK","lim.")</f>
        <v>lim.</v>
      </c>
      <c r="BI289" s="4" t="str">
        <f ca="1">IF(HC[[#This Row],[Verif. Biela]]="OK","OK","lim.")</f>
        <v>OK</v>
      </c>
      <c r="BJ289" s="4" t="str">
        <f ca="1">IF(COUNTA(HC[[#This Row],[Nº Est.]:[Biela comp.]])=COUNTIF(HC[[#This Row],[Nº Est.]:[Biela comp.]],"OK"),"OK","lim.")</f>
        <v>lim.</v>
      </c>
      <c r="BK289" s="4" t="str">
        <f ca="1">IF(HC[[#This Row],[Controle]]="OK",HC[[#This Row],[nE]]&amp;" Ø "&amp;HC[[#This Row],[Ø (cm)]]&amp;" cm, Prof. "&amp;HC[[#This Row],[Prof. (m)]]&amp;" m","")</f>
        <v/>
      </c>
      <c r="BL289" s="4" t="str">
        <f ca="1">IF(HC[[#This Row],[idDimensionamento]]="","",HC[[#This Row],[idPilar]]&amp;HC[[#This Row],[idDimensionamento]])</f>
        <v/>
      </c>
    </row>
    <row r="290" spans="2:64" x14ac:dyDescent="0.25">
      <c r="B290" s="12">
        <f>ROUNDUP((ROW(HC[[#This Row],[idDiâmetro]])-ROW(HC[[#Headers],[idDiâmetro]]))/(COUNT(SPT[Prof. (m)])*COUNT(PILARES[Pilar])),0)</f>
        <v>11</v>
      </c>
      <c r="C290" s="12">
        <f>IF(HC[[#This Row],[idDiâmetro]]&lt;&gt;B289,1,IF(HC[[#This Row],[Prof. (m)]]=0,C289+1,C289))</f>
        <v>1</v>
      </c>
      <c r="D290" s="82">
        <f>IFERROR(IF(D289=MAX(SPT[Prof. (m)]),0,D289+1),0)</f>
        <v>5</v>
      </c>
      <c r="E290" s="82">
        <f>INDEX(SPT[],MATCH(HC[[#This Row],[Prof. (m)]],SPT[Prof. (m)],0),2)</f>
        <v>17</v>
      </c>
      <c r="F290" s="82" t="str">
        <f>INDEX(SPT[],MATCH(HC[[#This Row],[Prof. (m)]],SPT[Prof. (m)],0),3)</f>
        <v>Areia siltosa</v>
      </c>
      <c r="G290" s="82">
        <f>INDEX(estacas[],HC[[#This Row],[idDiâmetro]],MATCH($B$2,estacas[#Headers],0))</f>
        <v>100</v>
      </c>
      <c r="H290" s="82">
        <f>INDEX(estacas[],MATCH(HC[[#This Row],[Ø (cm)]],estacas[Ø HC (cm)],0),MATCH(HC[[#Headers],[Pe HC (kN)]],estacas[#Headers],0))</f>
        <v>5000</v>
      </c>
      <c r="I290" s="4">
        <f>INDEX(K_alpha_C[],MATCH(HC[[#This Row],[Solo]],K_alpha_C[Solo],0),2)</f>
        <v>0.8</v>
      </c>
      <c r="J290" s="5">
        <f>INDEX(K_alpha_C[],MATCH(HC[[#This Row],[Solo]],K_alpha_C[Solo],0),3)</f>
        <v>2</v>
      </c>
      <c r="K290" s="4">
        <f>INDEX(F1_F2[],MATCH($D$2,F1_F2[Tipo de estaca],0),2)</f>
        <v>2</v>
      </c>
      <c r="L290" s="4">
        <f>INDEX(F1_F2[],MATCH($D$2,F1_F2[Tipo de estaca],0),3)</f>
        <v>4</v>
      </c>
      <c r="M290" s="4">
        <f>PI()*(HC[[#This Row],[Ø (cm)]]/100)^2/4</f>
        <v>0.78539816339744828</v>
      </c>
      <c r="N290" s="4">
        <f>PI()*HC[[#This Row],[Ø (cm)]]/100</f>
        <v>3.1415926535897931</v>
      </c>
      <c r="O290" s="4">
        <f>IF(HC[[#This Row],[Prof. (m)]]=0,0,HC[[#This Row],[α (%)]]/100*HC[[#This Row],[K (MPa)]]*1000*HC[[#This Row],[NSPT]])</f>
        <v>272</v>
      </c>
      <c r="P290" s="4">
        <f>IF(HC[[#This Row],[Prof. (m)]]=0,0,(HC[[#This Row],[K (MPa)]]*1000*HC[[#This Row],[NSPT]]/HC[[#This Row],[F1]]*HC[[#This Row],[Ap (m²)]]+HC[[#This Row],[U (m)]]/HC[[#This Row],[F2]]*SUMIFS(HC[(α∙K∙NL∙ΔL)],HC[Prof. (m)],"&lt;="&amp;HC[[#This Row],[Prof. (m)]],HC[idDiâmetro],HC[[#This Row],[idDiâmetro]],HC[idPilar],HC[[#This Row],[idPilar]]))/'DADOS CAP. CARGA'!$D$2)</f>
        <v>2877.6988706882503</v>
      </c>
      <c r="Q290" s="12">
        <f>INDEX(C_alpha_beta[],MATCH(HC[[#This Row],[Solo]],C_alpha_beta[Solo],0),MATCH(HC[[#Headers],[C (kPa)]],C_alpha_beta[#Headers],0))</f>
        <v>400</v>
      </c>
      <c r="R290" s="4">
        <f>INDEX(C_alpha_beta[],MATCH(HC[[#This Row],[Solo]],C_alpha_beta[Solo],0),MATCH(HC[[#Headers],[α ESF]],C_alpha_beta[#Headers],0))</f>
        <v>0.5</v>
      </c>
      <c r="S290" s="4">
        <f>INDEX(C_alpha_beta[],MATCH(HC[[#This Row],[Solo]],C_alpha_beta[Solo],0),MATCH(HC[[#Headers],[β ESF]],C_alpha_beta[#Headers],0))</f>
        <v>0.5</v>
      </c>
      <c r="T290" s="4">
        <f>IF(HC[[#This Row],[Prof. (m)]]=0,0,10*(HC[[#This Row],[NSPT]]/3+1))</f>
        <v>66.666666666666671</v>
      </c>
      <c r="U290" s="4">
        <f>(HC[[#This Row],[α ESF]]*HC[[#This Row],[C (kPa)]]*HC[[#This Row],[NSPT]]*HC[[#This Row],[Ap (m²)]])/'DADOS CAP. CARGA'!$Q$2+(HC[[#This Row],[β ESF]]*SUMIFS(HC[10∙(NL/3+1)],HC[Prof. (m)],"&lt;="&amp;HC[[#This Row],[Prof. (m)]],HC[idDiâmetro],HC[[#This Row],[idDiâmetro]],HC[idPilar],HC[[#This Row],[idPilar]])*HC[[#This Row],[U (m)]])/'DADOS CAP. CARGA'!$S$2</f>
        <v>793.25214503142274</v>
      </c>
      <c r="V290" s="4">
        <f>IF(SPT!$M$5=1,MIN(HC[[#This Row],[Pe HC (kN)]],HC[[#This Row],[R_AV (kN)]]),IF(SPT!$M$5=2,MIN(HC[[#This Row],[Pe HC (kN)]],HC[[#This Row],[R_DC (kN)]]),MIN(HC[[#This Row],[Pe HC (kN)]],HC[[#This Row],[R_AV (kN)]],HC[[#This Row],[R_DC (kN)]])))</f>
        <v>793.25214503142274</v>
      </c>
      <c r="W290" s="4">
        <f>INDEX(PILARES[],HC[[#This Row],[idPilar]],MATCH("Carga (kN)",PILARES[#Headers],0))*1.4</f>
        <v>3500</v>
      </c>
      <c r="X290" s="12">
        <f>INDEX(PILARES[],HC[[#This Row],[idPilar]],MATCH(HC[[#Headers],[ap (cm)]],PILARES[#Headers],0))</f>
        <v>60</v>
      </c>
      <c r="Y290" s="12">
        <f>INDEX(PILARES[],HC[[#This Row],[idPilar]],MATCH(HC[[#Headers],[bp (cm)]],PILARES[#Headers],0))</f>
        <v>60</v>
      </c>
      <c r="Z290" s="4">
        <f>SQRT(HC[[#This Row],[ap (cm)]]*HC[[#This Row],[bp (cm)]])</f>
        <v>60</v>
      </c>
      <c r="AA290" s="12">
        <f>HC[[#This Row],[ap (cm)]]*HC[[#This Row],[bp (cm)]]</f>
        <v>3600</v>
      </c>
      <c r="AB290" s="12">
        <f ca="1">IF(HC[[#This Row],[Padm∙ε (kN)]]&gt;=HC[[#This Row],[Padm (kN)]],ROUNDUP(1.05*HC[[#This Row],[Nsd (kN)]]/HC[[#This Row],[Padm (kN)]],0),ROUNDUP(1.05*HC[[#This Row],[Nsd (kN)]]/HC[[#This Row],[Padm (kN)]],0)+1)</f>
        <v>5</v>
      </c>
      <c r="AC290" s="4" t="str">
        <f ca="1">IFERROR(IF(HC[[#This Row],[nE]]=1,HC[[#This Row],[Padm (kN)]],HC[[#This Row],[Padm (kN)]]*HC[[#This Row],[nE]]*INDEX(grupoEstacas[],HC[[#This Row],[nE]],MATCH("ε",grupoEstacas[#Headers],0))),"N.S.")</f>
        <v>N.S.</v>
      </c>
      <c r="AD290" s="4">
        <f ca="1">1.05*HC[[#This Row],[Nsd (kN)]]/(HC[[#This Row],[nE]]*PI()*HC[[#This Row],[Ø (cm)]]^2/4)*10</f>
        <v>0.93583106538034466</v>
      </c>
      <c r="AE290" s="4">
        <f ca="1">IF(HC[[#This Row],[σ (MPa)]]&lt;INDEX(tipoEstaca[],MATCH($D$2,tipoEstaca[TIPO DE ESTACA],0),MATCH("σmáx (MPa)",tipoEstaca[#Headers],0)),0.4%*PI()*HC[[#This Row],[Ø (cm)]]^2/4,"N.S.")</f>
        <v>31.415926535897935</v>
      </c>
      <c r="AF290" s="82">
        <f>INDEX(tipoEstaca[],MATCH($D$2,tipoEstaca[TIPO DE ESTACA],0),MATCH(HC[[#Headers],[Comprimento (m)]],tipoEstaca[#Headers],0))</f>
        <v>4</v>
      </c>
      <c r="AG290" s="5">
        <f ca="1">HC[[#This Row],[As,mín (cm²)]]/100^2*HC[[#This Row],[Comprimento (m)]]*7850</f>
        <v>98.646009322719507</v>
      </c>
      <c r="AH290" s="4">
        <f ca="1">HC[[#This Row],[nE]]*HC[[#This Row],[Prof. (m)]]*HC[[#This Row],[Ap (m²)]]</f>
        <v>19.634954084936208</v>
      </c>
      <c r="AI290" s="82">
        <f ca="1">IF(HC[[#This Row],[nE]]=1,0,MAX(3*HC[[#This Row],[Ø (cm)]],60))</f>
        <v>300</v>
      </c>
      <c r="AJ290" s="82">
        <f ca="1">IF(HC[[#This Row],[nE]]=1,HC[[#This Row],[Ø (cm)]]+2*10,MAX(1.5*HC[[#This Row],[Ø (cm)]],HC[[#This Row],[Ø (cm)]]+15))</f>
        <v>150</v>
      </c>
      <c r="AK290" s="82" t="str">
        <f ca="1">alturaUtil(HC[[#This Row],[nE]],HC[[#This Row],[Ø (cm)]],HC[[#This Row],[e (cm)]],HC[[#This Row],[ap,eq (cm)]])</f>
        <v>N.S.</v>
      </c>
      <c r="AL290" s="82" t="str">
        <f ca="1">IFERROR(HC[[#This Row],[d (cm)]]+arredondarParaCimaMultiplo5cm(MAX(5,SQRT(PI())/2*HC[[#This Row],[Ø (cm)]]/5)),"N.S.")</f>
        <v>N.S.</v>
      </c>
      <c r="AM290" s="5" t="str">
        <f ca="1">alpha(HC[[#This Row],[nE]],HC[[#This Row],[d (cm)]],HC[[#This Row],[e (cm)]],HC[[#This Row],[ap,eq (cm)]])</f>
        <v>N.S.</v>
      </c>
      <c r="AN290" s="35" t="str">
        <f ca="1">IFERROR(HC[[#This Row],[Nsd (kN)]]/(HC[[#This Row],[Ap (cm²)]]*SIN(HC[[#This Row],[α]])^2),"N.S.")</f>
        <v>N.S.</v>
      </c>
      <c r="AO290" s="35" t="str">
        <f ca="1">IFERROR(HC[[#This Row],[Nsd (kN)]]/(HC[[#This Row],[nE]]*PI()*HC[[#This Row],[Ø (cm)]]^2/4*SIN(HC[[#This Row],[α]])^2),"N.S.")</f>
        <v>N.S.</v>
      </c>
      <c r="AP290" s="4" t="str">
        <f ca="1">IFERROR(INDEX(grupoEstacas[],HC[[#This Row],[nE]],MATCH("coef. Blévot",grupoEstacas[#Headers],0)),"N.S.")</f>
        <v>N.S.</v>
      </c>
      <c r="AQ290" s="35" t="str">
        <f ca="1">IFERROR(HC[[#This Row],[coef. Blévot]]*0.9*INDEX(tipoEstaca[],MATCH($D$2,tipoEstaca[TIPO DE ESTACA],0),MATCH("fcd (kN/cm²)",tipoEstaca[#Headers],0)),"N.S.")</f>
        <v>N.S.</v>
      </c>
      <c r="AR290" s="82" t="str">
        <f ca="1">IF(AND(HC[[#This Row],[cd,b,pil (kN/cm²)]]&lt;=HC[[#This Row],[cd,b,lim (kN/cm²)]],HC[[#This Row],[cd,b,est (kN/cm²)]]&lt;=HC[[#This Row],[cd,b,lim (kN/cm²)]]),"OK","ERRO")</f>
        <v>OK</v>
      </c>
      <c r="AS290" s="4" t="str">
        <f ca="1">As_lado(HC[[#This Row],[nE]],HC[[#This Row],[Nsd (kN)]],HC[[#This Row],[d (cm)]],HC[[#This Row],[e (cm)]],HC[[#This Row],[ap,eq (cm)]])</f>
        <v>N.S.</v>
      </c>
      <c r="AT290" s="4" t="str">
        <f ca="1">IF(HC[[#This Row],[nE]]=1,HC[[#This Row],[As,lado (cm²)]],IF(HC[[#This Row],[nE]]=2,0.075*2*HC[a (cm)],"N.A."))</f>
        <v>N.A.</v>
      </c>
      <c r="AU290" s="4" t="str">
        <f ca="1">IFERROR(IF(HC[[#This Row],[nE]]=1,"N.A.",0.2*HC[[#This Row],[As,lado (cm²)]]),"N.S.")</f>
        <v>N.S.</v>
      </c>
      <c r="AV290" s="4" t="str">
        <f ca="1">As_malha(HC[[#This Row],[nE]],HC[[#This Row],[As,lado (cm²)]],HC[[#This Row],[Nsd (kN)]])</f>
        <v>N.S.</v>
      </c>
      <c r="AW290" s="4" t="str">
        <f ca="1">As_susp_tot(HC[[#This Row],[nE]],HC[[#This Row],[Nsd (kN)]])</f>
        <v>N.S.</v>
      </c>
      <c r="AX290" s="4" t="str">
        <f ca="1">Asp_face(HC[[#This Row],[nE]],HC[[#This Row],[As,lado (cm²)]])</f>
        <v>N.S.</v>
      </c>
      <c r="AY290" s="5" t="str">
        <f ca="1">acoBloco(HC[[#This Row],[nE]],HC[[#This Row],[e (cm)]],HC[[#This Row],[a (cm)]],HC[[#This Row],[h (cm)]],HC[[#This Row],[As,lado (cm²)]],HC[[#This Row],[Asp e Asw (cm²/m)]],HC[[#This Row],[As,sup (cm²)]],HC[[#This Row],[As,malha (cm²)]],HC[[#This Row],[As,susp,tot (cm²)]],HC[[#This Row],[Asp,face (cm²)]])</f>
        <v>N.S.</v>
      </c>
      <c r="AZ290" s="4" t="str">
        <f ca="1">concretoBloco(HC[[#This Row],[nE]],HC[[#This Row],[e (cm)]],HC[[#This Row],[a (cm)]],HC[[#This Row],[h (cm)]])</f>
        <v>N.S.</v>
      </c>
      <c r="BA290" s="5">
        <f ca="1">SUM(HC[[#This Row],[Aço Est (kg)]],HC[[#This Row],[Aço Bloco (kg)]])</f>
        <v>98.646009322719507</v>
      </c>
      <c r="BB290" s="4">
        <f>INDEX(composicoes[],MATCH(95580,composicoes[CÓDIGO],0),MATCH("CUSTO TOTAL",composicoes[#Headers],0))</f>
        <v>10.46</v>
      </c>
      <c r="BC290" s="4">
        <f ca="1">SUM(HC[[#This Row],[Conc Est (m³)]],HC[[#This Row],[Conc Bloco (m³)]])</f>
        <v>19.634954084936208</v>
      </c>
      <c r="BD290" s="4">
        <f>INDEX(composicoes[],MATCH(94966,composicoes[CÓDIGO],0),MATCH("CUSTO TOTAL",composicoes[#Headers],0))</f>
        <v>439.52</v>
      </c>
      <c r="BE290" s="38">
        <f ca="1">HC[[#This Row],[Aço (kg)]]*HC[[#This Row],[Aço (R$/kg)]]+HC[[#This Row],[Conc (m³)]]*HC[[#This Row],[Conc (R$/m³)]]</f>
        <v>9661.792276926808</v>
      </c>
      <c r="BF290" s="4" t="str">
        <f ca="1">IF(COUNTIF(HC[#This Row],"N.S.")&gt;0,"lim.","OK")</f>
        <v>lim.</v>
      </c>
      <c r="BG290" s="4" t="str">
        <f>IF(HC[[#This Row],[Prof. (m)]]&lt;4,"lim.","OK")</f>
        <v>OK</v>
      </c>
      <c r="BH290" s="4" t="str">
        <f>IF(HC[[#This Row],[Prof. (m)]]&gt;=8*HC[[#This Row],[Ø (cm)]]/100,"OK","lim.")</f>
        <v>lim.</v>
      </c>
      <c r="BI290" s="4" t="str">
        <f ca="1">IF(HC[[#This Row],[Verif. Biela]]="OK","OK","lim.")</f>
        <v>OK</v>
      </c>
      <c r="BJ290" s="4" t="str">
        <f ca="1">IF(COUNTA(HC[[#This Row],[Nº Est.]:[Biela comp.]])=COUNTIF(HC[[#This Row],[Nº Est.]:[Biela comp.]],"OK"),"OK","lim.")</f>
        <v>lim.</v>
      </c>
      <c r="BK290" s="4" t="str">
        <f ca="1">IF(HC[[#This Row],[Controle]]="OK",HC[[#This Row],[nE]]&amp;" Ø "&amp;HC[[#This Row],[Ø (cm)]]&amp;" cm, Prof. "&amp;HC[[#This Row],[Prof. (m)]]&amp;" m","")</f>
        <v/>
      </c>
      <c r="BL290" s="4" t="str">
        <f ca="1">IF(HC[[#This Row],[idDimensionamento]]="","",HC[[#This Row],[idPilar]]&amp;HC[[#This Row],[idDimensionamento]])</f>
        <v/>
      </c>
    </row>
    <row r="291" spans="2:64" x14ac:dyDescent="0.25">
      <c r="B291" s="12">
        <f>ROUNDUP((ROW(HC[[#This Row],[idDiâmetro]])-ROW(HC[[#Headers],[idDiâmetro]]))/(COUNT(SPT[Prof. (m)])*COUNT(PILARES[Pilar])),0)</f>
        <v>11</v>
      </c>
      <c r="C291" s="12">
        <f>IF(HC[[#This Row],[idDiâmetro]]&lt;&gt;B290,1,IF(HC[[#This Row],[Prof. (m)]]=0,C290+1,C290))</f>
        <v>1</v>
      </c>
      <c r="D291" s="82">
        <f>IFERROR(IF(D290=MAX(SPT[Prof. (m)]),0,D290+1),0)</f>
        <v>6</v>
      </c>
      <c r="E291" s="82">
        <f>INDEX(SPT[],MATCH(HC[[#This Row],[Prof. (m)]],SPT[Prof. (m)],0),2)</f>
        <v>21</v>
      </c>
      <c r="F291" s="82" t="str">
        <f>INDEX(SPT[],MATCH(HC[[#This Row],[Prof. (m)]],SPT[Prof. (m)],0),3)</f>
        <v>Silte arenoso</v>
      </c>
      <c r="G291" s="82">
        <f>INDEX(estacas[],HC[[#This Row],[idDiâmetro]],MATCH($B$2,estacas[#Headers],0))</f>
        <v>100</v>
      </c>
      <c r="H291" s="82">
        <f>INDEX(estacas[],MATCH(HC[[#This Row],[Ø (cm)]],estacas[Ø HC (cm)],0),MATCH(HC[[#Headers],[Pe HC (kN)]],estacas[#Headers],0))</f>
        <v>5000</v>
      </c>
      <c r="I291" s="4">
        <f>INDEX(K_alpha_C[],MATCH(HC[[#This Row],[Solo]],K_alpha_C[Solo],0),2)</f>
        <v>0.55000000000000004</v>
      </c>
      <c r="J291" s="5">
        <f>INDEX(K_alpha_C[],MATCH(HC[[#This Row],[Solo]],K_alpha_C[Solo],0),3)</f>
        <v>2.2000000000000002</v>
      </c>
      <c r="K291" s="4">
        <f>INDEX(F1_F2[],MATCH($D$2,F1_F2[Tipo de estaca],0),2)</f>
        <v>2</v>
      </c>
      <c r="L291" s="4">
        <f>INDEX(F1_F2[],MATCH($D$2,F1_F2[Tipo de estaca],0),3)</f>
        <v>4</v>
      </c>
      <c r="M291" s="4">
        <f>PI()*(HC[[#This Row],[Ø (cm)]]/100)^2/4</f>
        <v>0.78539816339744828</v>
      </c>
      <c r="N291" s="4">
        <f>PI()*HC[[#This Row],[Ø (cm)]]/100</f>
        <v>3.1415926535897931</v>
      </c>
      <c r="O291" s="4">
        <f>IF(HC[[#This Row],[Prof. (m)]]=0,0,HC[[#This Row],[α (%)]]/100*HC[[#This Row],[K (MPa)]]*1000*HC[[#This Row],[NSPT]])</f>
        <v>254.10000000000002</v>
      </c>
      <c r="P291" s="4">
        <f>IF(HC[[#This Row],[Prof. (m)]]=0,0,(HC[[#This Row],[K (MPa)]]*1000*HC[[#This Row],[NSPT]]/HC[[#This Row],[F1]]*HC[[#This Row],[Ap (m²)]]+HC[[#This Row],[U (m)]]/HC[[#This Row],[F2]]*SUMIFS(HC[(α∙K∙NL∙ΔL)],HC[Prof. (m)],"&lt;="&amp;HC[[#This Row],[Prof. (m)]],HC[idDiâmetro],HC[[#This Row],[idDiâmetro]],HC[idPilar],HC[[#This Row],[idPilar]]))/'DADOS CAP. CARGA'!$D$2)</f>
        <v>2574.9671486067041</v>
      </c>
      <c r="Q291" s="12">
        <f>INDEX(C_alpha_beta[],MATCH(HC[[#This Row],[Solo]],C_alpha_beta[Solo],0),MATCH(HC[[#Headers],[C (kPa)]],C_alpha_beta[#Headers],0))</f>
        <v>250</v>
      </c>
      <c r="R291" s="4">
        <f>INDEX(C_alpha_beta[],MATCH(HC[[#This Row],[Solo]],C_alpha_beta[Solo],0),MATCH(HC[[#Headers],[α ESF]],C_alpha_beta[#Headers],0))</f>
        <v>0.6</v>
      </c>
      <c r="S291" s="4">
        <f>INDEX(C_alpha_beta[],MATCH(HC[[#This Row],[Solo]],C_alpha_beta[Solo],0),MATCH(HC[[#Headers],[β ESF]],C_alpha_beta[#Headers],0))</f>
        <v>0.65</v>
      </c>
      <c r="T291" s="4">
        <f>IF(HC[[#This Row],[Prof. (m)]]=0,0,10*(HC[[#This Row],[NSPT]]/3+1))</f>
        <v>80</v>
      </c>
      <c r="U291" s="4">
        <f>(HC[[#This Row],[α ESF]]*HC[[#This Row],[C (kPa)]]*HC[[#This Row],[NSPT]]*HC[[#This Row],[Ap (m²)]])/'DADOS CAP. CARGA'!$Q$2+(HC[[#This Row],[β ESF]]*SUMIFS(HC[10∙(NL/3+1)],HC[Prof. (m)],"&lt;="&amp;HC[[#This Row],[Prof. (m)]],HC[idDiâmetro],HC[[#This Row],[idDiâmetro]],HC[idPilar],HC[[#This Row],[idPilar]])*HC[[#This Row],[U (m)]])/'DADOS CAP. CARGA'!$S$2</f>
        <v>863.54528065549437</v>
      </c>
      <c r="V291" s="4">
        <f>IF(SPT!$M$5=1,MIN(HC[[#This Row],[Pe HC (kN)]],HC[[#This Row],[R_AV (kN)]]),IF(SPT!$M$5=2,MIN(HC[[#This Row],[Pe HC (kN)]],HC[[#This Row],[R_DC (kN)]]),MIN(HC[[#This Row],[Pe HC (kN)]],HC[[#This Row],[R_AV (kN)]],HC[[#This Row],[R_DC (kN)]])))</f>
        <v>863.54528065549437</v>
      </c>
      <c r="W291" s="4">
        <f>INDEX(PILARES[],HC[[#This Row],[idPilar]],MATCH("Carga (kN)",PILARES[#Headers],0))*1.4</f>
        <v>3500</v>
      </c>
      <c r="X291" s="12">
        <f>INDEX(PILARES[],HC[[#This Row],[idPilar]],MATCH(HC[[#Headers],[ap (cm)]],PILARES[#Headers],0))</f>
        <v>60</v>
      </c>
      <c r="Y291" s="12">
        <f>INDEX(PILARES[],HC[[#This Row],[idPilar]],MATCH(HC[[#Headers],[bp (cm)]],PILARES[#Headers],0))</f>
        <v>60</v>
      </c>
      <c r="Z291" s="4">
        <f>SQRT(HC[[#This Row],[ap (cm)]]*HC[[#This Row],[bp (cm)]])</f>
        <v>60</v>
      </c>
      <c r="AA291" s="12">
        <f>HC[[#This Row],[ap (cm)]]*HC[[#This Row],[bp (cm)]]</f>
        <v>3600</v>
      </c>
      <c r="AB291" s="12">
        <f ca="1">IF(HC[[#This Row],[Padm∙ε (kN)]]&gt;=HC[[#This Row],[Padm (kN)]],ROUNDUP(1.05*HC[[#This Row],[Nsd (kN)]]/HC[[#This Row],[Padm (kN)]],0),ROUNDUP(1.05*HC[[#This Row],[Nsd (kN)]]/HC[[#This Row],[Padm (kN)]],0)+1)</f>
        <v>5</v>
      </c>
      <c r="AC291" s="4" t="str">
        <f ca="1">IFERROR(IF(HC[[#This Row],[nE]]=1,HC[[#This Row],[Padm (kN)]],HC[[#This Row],[Padm (kN)]]*HC[[#This Row],[nE]]*INDEX(grupoEstacas[],HC[[#This Row],[nE]],MATCH("ε",grupoEstacas[#Headers],0))),"N.S.")</f>
        <v>N.S.</v>
      </c>
      <c r="AD291" s="4">
        <f ca="1">1.05*HC[[#This Row],[Nsd (kN)]]/(HC[[#This Row],[nE]]*PI()*HC[[#This Row],[Ø (cm)]]^2/4)*10</f>
        <v>0.93583106538034466</v>
      </c>
      <c r="AE291" s="4">
        <f ca="1">IF(HC[[#This Row],[σ (MPa)]]&lt;INDEX(tipoEstaca[],MATCH($D$2,tipoEstaca[TIPO DE ESTACA],0),MATCH("σmáx (MPa)",tipoEstaca[#Headers],0)),0.4%*PI()*HC[[#This Row],[Ø (cm)]]^2/4,"N.S.")</f>
        <v>31.415926535897935</v>
      </c>
      <c r="AF291" s="82">
        <f>INDEX(tipoEstaca[],MATCH($D$2,tipoEstaca[TIPO DE ESTACA],0),MATCH(HC[[#Headers],[Comprimento (m)]],tipoEstaca[#Headers],0))</f>
        <v>4</v>
      </c>
      <c r="AG291" s="5">
        <f ca="1">HC[[#This Row],[As,mín (cm²)]]/100^2*HC[[#This Row],[Comprimento (m)]]*7850</f>
        <v>98.646009322719507</v>
      </c>
      <c r="AH291" s="4">
        <f ca="1">HC[[#This Row],[nE]]*HC[[#This Row],[Prof. (m)]]*HC[[#This Row],[Ap (m²)]]</f>
        <v>23.561944901923447</v>
      </c>
      <c r="AI291" s="82">
        <f ca="1">IF(HC[[#This Row],[nE]]=1,0,MAX(3*HC[[#This Row],[Ø (cm)]],60))</f>
        <v>300</v>
      </c>
      <c r="AJ291" s="82">
        <f ca="1">IF(HC[[#This Row],[nE]]=1,HC[[#This Row],[Ø (cm)]]+2*10,MAX(1.5*HC[[#This Row],[Ø (cm)]],HC[[#This Row],[Ø (cm)]]+15))</f>
        <v>150</v>
      </c>
      <c r="AK291" s="82" t="str">
        <f ca="1">alturaUtil(HC[[#This Row],[nE]],HC[[#This Row],[Ø (cm)]],HC[[#This Row],[e (cm)]],HC[[#This Row],[ap,eq (cm)]])</f>
        <v>N.S.</v>
      </c>
      <c r="AL291" s="82" t="str">
        <f ca="1">IFERROR(HC[[#This Row],[d (cm)]]+arredondarParaCimaMultiplo5cm(MAX(5,SQRT(PI())/2*HC[[#This Row],[Ø (cm)]]/5)),"N.S.")</f>
        <v>N.S.</v>
      </c>
      <c r="AM291" s="5" t="str">
        <f ca="1">alpha(HC[[#This Row],[nE]],HC[[#This Row],[d (cm)]],HC[[#This Row],[e (cm)]],HC[[#This Row],[ap,eq (cm)]])</f>
        <v>N.S.</v>
      </c>
      <c r="AN291" s="35" t="str">
        <f ca="1">IFERROR(HC[[#This Row],[Nsd (kN)]]/(HC[[#This Row],[Ap (cm²)]]*SIN(HC[[#This Row],[α]])^2),"N.S.")</f>
        <v>N.S.</v>
      </c>
      <c r="AO291" s="35" t="str">
        <f ca="1">IFERROR(HC[[#This Row],[Nsd (kN)]]/(HC[[#This Row],[nE]]*PI()*HC[[#This Row],[Ø (cm)]]^2/4*SIN(HC[[#This Row],[α]])^2),"N.S.")</f>
        <v>N.S.</v>
      </c>
      <c r="AP291" s="4" t="str">
        <f ca="1">IFERROR(INDEX(grupoEstacas[],HC[[#This Row],[nE]],MATCH("coef. Blévot",grupoEstacas[#Headers],0)),"N.S.")</f>
        <v>N.S.</v>
      </c>
      <c r="AQ291" s="35" t="str">
        <f ca="1">IFERROR(HC[[#This Row],[coef. Blévot]]*0.9*INDEX(tipoEstaca[],MATCH($D$2,tipoEstaca[TIPO DE ESTACA],0),MATCH("fcd (kN/cm²)",tipoEstaca[#Headers],0)),"N.S.")</f>
        <v>N.S.</v>
      </c>
      <c r="AR291" s="82" t="str">
        <f ca="1">IF(AND(HC[[#This Row],[cd,b,pil (kN/cm²)]]&lt;=HC[[#This Row],[cd,b,lim (kN/cm²)]],HC[[#This Row],[cd,b,est (kN/cm²)]]&lt;=HC[[#This Row],[cd,b,lim (kN/cm²)]]),"OK","ERRO")</f>
        <v>OK</v>
      </c>
      <c r="AS291" s="4" t="str">
        <f ca="1">As_lado(HC[[#This Row],[nE]],HC[[#This Row],[Nsd (kN)]],HC[[#This Row],[d (cm)]],HC[[#This Row],[e (cm)]],HC[[#This Row],[ap,eq (cm)]])</f>
        <v>N.S.</v>
      </c>
      <c r="AT291" s="4" t="str">
        <f ca="1">IF(HC[[#This Row],[nE]]=1,HC[[#This Row],[As,lado (cm²)]],IF(HC[[#This Row],[nE]]=2,0.075*2*HC[a (cm)],"N.A."))</f>
        <v>N.A.</v>
      </c>
      <c r="AU291" s="4" t="str">
        <f ca="1">IFERROR(IF(HC[[#This Row],[nE]]=1,"N.A.",0.2*HC[[#This Row],[As,lado (cm²)]]),"N.S.")</f>
        <v>N.S.</v>
      </c>
      <c r="AV291" s="4" t="str">
        <f ca="1">As_malha(HC[[#This Row],[nE]],HC[[#This Row],[As,lado (cm²)]],HC[[#This Row],[Nsd (kN)]])</f>
        <v>N.S.</v>
      </c>
      <c r="AW291" s="4" t="str">
        <f ca="1">As_susp_tot(HC[[#This Row],[nE]],HC[[#This Row],[Nsd (kN)]])</f>
        <v>N.S.</v>
      </c>
      <c r="AX291" s="4" t="str">
        <f ca="1">Asp_face(HC[[#This Row],[nE]],HC[[#This Row],[As,lado (cm²)]])</f>
        <v>N.S.</v>
      </c>
      <c r="AY291" s="5" t="str">
        <f ca="1">acoBloco(HC[[#This Row],[nE]],HC[[#This Row],[e (cm)]],HC[[#This Row],[a (cm)]],HC[[#This Row],[h (cm)]],HC[[#This Row],[As,lado (cm²)]],HC[[#This Row],[Asp e Asw (cm²/m)]],HC[[#This Row],[As,sup (cm²)]],HC[[#This Row],[As,malha (cm²)]],HC[[#This Row],[As,susp,tot (cm²)]],HC[[#This Row],[Asp,face (cm²)]])</f>
        <v>N.S.</v>
      </c>
      <c r="AZ291" s="4" t="str">
        <f ca="1">concretoBloco(HC[[#This Row],[nE]],HC[[#This Row],[e (cm)]],HC[[#This Row],[a (cm)]],HC[[#This Row],[h (cm)]])</f>
        <v>N.S.</v>
      </c>
      <c r="BA291" s="5">
        <f ca="1">SUM(HC[[#This Row],[Aço Est (kg)]],HC[[#This Row],[Aço Bloco (kg)]])</f>
        <v>98.646009322719507</v>
      </c>
      <c r="BB291" s="4">
        <f>INDEX(composicoes[],MATCH(95580,composicoes[CÓDIGO],0),MATCH("CUSTO TOTAL",composicoes[#Headers],0))</f>
        <v>10.46</v>
      </c>
      <c r="BC291" s="4">
        <f ca="1">SUM(HC[[#This Row],[Conc Est (m³)]],HC[[#This Row],[Conc Bloco (m³)]])</f>
        <v>23.561944901923447</v>
      </c>
      <c r="BD291" s="4">
        <f>INDEX(composicoes[],MATCH(94966,composicoes[CÓDIGO],0),MATCH("CUSTO TOTAL",composicoes[#Headers],0))</f>
        <v>439.52</v>
      </c>
      <c r="BE291" s="38">
        <f ca="1">HC[[#This Row],[Aço (kg)]]*HC[[#This Row],[Aço (R$/kg)]]+HC[[#This Row],[Conc (m³)]]*HC[[#This Row],[Conc (R$/m³)]]</f>
        <v>11387.783280809039</v>
      </c>
      <c r="BF291" s="4" t="str">
        <f ca="1">IF(COUNTIF(HC[#This Row],"N.S.")&gt;0,"lim.","OK")</f>
        <v>lim.</v>
      </c>
      <c r="BG291" s="4" t="str">
        <f>IF(HC[[#This Row],[Prof. (m)]]&lt;4,"lim.","OK")</f>
        <v>OK</v>
      </c>
      <c r="BH291" s="4" t="str">
        <f>IF(HC[[#This Row],[Prof. (m)]]&gt;=8*HC[[#This Row],[Ø (cm)]]/100,"OK","lim.")</f>
        <v>lim.</v>
      </c>
      <c r="BI291" s="4" t="str">
        <f ca="1">IF(HC[[#This Row],[Verif. Biela]]="OK","OK","lim.")</f>
        <v>OK</v>
      </c>
      <c r="BJ291" s="4" t="str">
        <f ca="1">IF(COUNTA(HC[[#This Row],[Nº Est.]:[Biela comp.]])=COUNTIF(HC[[#This Row],[Nº Est.]:[Biela comp.]],"OK"),"OK","lim.")</f>
        <v>lim.</v>
      </c>
      <c r="BK291" s="4" t="str">
        <f ca="1">IF(HC[[#This Row],[Controle]]="OK",HC[[#This Row],[nE]]&amp;" Ø "&amp;HC[[#This Row],[Ø (cm)]]&amp;" cm, Prof. "&amp;HC[[#This Row],[Prof. (m)]]&amp;" m","")</f>
        <v/>
      </c>
      <c r="BL291" s="4" t="str">
        <f ca="1">IF(HC[[#This Row],[idDimensionamento]]="","",HC[[#This Row],[idPilar]]&amp;HC[[#This Row],[idDimensionamento]])</f>
        <v/>
      </c>
    </row>
    <row r="292" spans="2:64" x14ac:dyDescent="0.25">
      <c r="B292" s="12">
        <f>ROUNDUP((ROW(HC[[#This Row],[idDiâmetro]])-ROW(HC[[#Headers],[idDiâmetro]]))/(COUNT(SPT[Prof. (m)])*COUNT(PILARES[Pilar])),0)</f>
        <v>11</v>
      </c>
      <c r="C292" s="12">
        <f>IF(HC[[#This Row],[idDiâmetro]]&lt;&gt;B291,1,IF(HC[[#This Row],[Prof. (m)]]=0,C291+1,C291))</f>
        <v>1</v>
      </c>
      <c r="D292" s="82">
        <f>IFERROR(IF(D291=MAX(SPT[Prof. (m)]),0,D291+1),0)</f>
        <v>7</v>
      </c>
      <c r="E292" s="82">
        <f>INDEX(SPT[],MATCH(HC[[#This Row],[Prof. (m)]],SPT[Prof. (m)],0),2)</f>
        <v>8</v>
      </c>
      <c r="F292" s="82" t="str">
        <f>INDEX(SPT[],MATCH(HC[[#This Row],[Prof. (m)]],SPT[Prof. (m)],0),3)</f>
        <v>Silte arenoso</v>
      </c>
      <c r="G292" s="82">
        <f>INDEX(estacas[],HC[[#This Row],[idDiâmetro]],MATCH($B$2,estacas[#Headers],0))</f>
        <v>100</v>
      </c>
      <c r="H292" s="82">
        <f>INDEX(estacas[],MATCH(HC[[#This Row],[Ø (cm)]],estacas[Ø HC (cm)],0),MATCH(HC[[#Headers],[Pe HC (kN)]],estacas[#Headers],0))</f>
        <v>5000</v>
      </c>
      <c r="I292" s="4">
        <f>INDEX(K_alpha_C[],MATCH(HC[[#This Row],[Solo]],K_alpha_C[Solo],0),2)</f>
        <v>0.55000000000000004</v>
      </c>
      <c r="J292" s="5">
        <f>INDEX(K_alpha_C[],MATCH(HC[[#This Row],[Solo]],K_alpha_C[Solo],0),3)</f>
        <v>2.2000000000000002</v>
      </c>
      <c r="K292" s="4">
        <f>INDEX(F1_F2[],MATCH($D$2,F1_F2[Tipo de estaca],0),2)</f>
        <v>2</v>
      </c>
      <c r="L292" s="4">
        <f>INDEX(F1_F2[],MATCH($D$2,F1_F2[Tipo de estaca],0),3)</f>
        <v>4</v>
      </c>
      <c r="M292" s="4">
        <f>PI()*(HC[[#This Row],[Ø (cm)]]/100)^2/4</f>
        <v>0.78539816339744828</v>
      </c>
      <c r="N292" s="4">
        <f>PI()*HC[[#This Row],[Ø (cm)]]/100</f>
        <v>3.1415926535897931</v>
      </c>
      <c r="O292" s="4">
        <f>IF(HC[[#This Row],[Prof. (m)]]=0,0,HC[[#This Row],[α (%)]]/100*HC[[#This Row],[K (MPa)]]*1000*HC[[#This Row],[NSPT]])</f>
        <v>96.800000000000011</v>
      </c>
      <c r="P292" s="4">
        <f>IF(HC[[#This Row],[Prof. (m)]]=0,0,(HC[[#This Row],[K (MPa)]]*1000*HC[[#This Row],[NSPT]]/HC[[#This Row],[F1]]*HC[[#This Row],[Ap (m²)]]+HC[[#This Row],[U (m)]]/HC[[#This Row],[F2]]*SUMIFS(HC[(α∙K∙NL∙ΔL)],HC[Prof. (m)],"&lt;="&amp;HC[[#This Row],[Prof. (m)]],HC[idDiâmetro],HC[[#This Row],[idDiâmetro]],HC[idPilar],HC[[#This Row],[idPilar]]))/'DADOS CAP. CARGA'!$D$2)</f>
        <v>1209.0812026422018</v>
      </c>
      <c r="Q292" s="12">
        <f>INDEX(C_alpha_beta[],MATCH(HC[[#This Row],[Solo]],C_alpha_beta[Solo],0),MATCH(HC[[#Headers],[C (kPa)]],C_alpha_beta[#Headers],0))</f>
        <v>250</v>
      </c>
      <c r="R292" s="4">
        <f>INDEX(C_alpha_beta[],MATCH(HC[[#This Row],[Solo]],C_alpha_beta[Solo],0),MATCH(HC[[#Headers],[α ESF]],C_alpha_beta[#Headers],0))</f>
        <v>0.6</v>
      </c>
      <c r="S292" s="4">
        <f>INDEX(C_alpha_beta[],MATCH(HC[[#This Row],[Solo]],C_alpha_beta[Solo],0),MATCH(HC[[#Headers],[β ESF]],C_alpha_beta[#Headers],0))</f>
        <v>0.65</v>
      </c>
      <c r="T292" s="4">
        <f>IF(HC[[#This Row],[Prof. (m)]]=0,0,10*(HC[[#This Row],[NSPT]]/3+1))</f>
        <v>36.666666666666664</v>
      </c>
      <c r="U292" s="4">
        <f>(HC[[#This Row],[α ESF]]*HC[[#This Row],[C (kPa)]]*HC[[#This Row],[NSPT]]*HC[[#This Row],[Ap (m²)]])/'DADOS CAP. CARGA'!$Q$2+(HC[[#This Row],[β ESF]]*SUMIFS(HC[10∙(NL/3+1)],HC[Prof. (m)],"&lt;="&amp;HC[[#This Row],[Prof. (m)]],HC[idDiâmetro],HC[[#This Row],[idDiâmetro]],HC[idPilar],HC[[#This Row],[idPilar]])*HC[[#This Row],[U (m)]])/'DADOS CAP. CARGA'!$S$2</f>
        <v>518.10098845451671</v>
      </c>
      <c r="V292" s="4">
        <f>IF(SPT!$M$5=1,MIN(HC[[#This Row],[Pe HC (kN)]],HC[[#This Row],[R_AV (kN)]]),IF(SPT!$M$5=2,MIN(HC[[#This Row],[Pe HC (kN)]],HC[[#This Row],[R_DC (kN)]]),MIN(HC[[#This Row],[Pe HC (kN)]],HC[[#This Row],[R_AV (kN)]],HC[[#This Row],[R_DC (kN)]])))</f>
        <v>518.10098845451671</v>
      </c>
      <c r="W292" s="4">
        <f>INDEX(PILARES[],HC[[#This Row],[idPilar]],MATCH("Carga (kN)",PILARES[#Headers],0))*1.4</f>
        <v>3500</v>
      </c>
      <c r="X292" s="12">
        <f>INDEX(PILARES[],HC[[#This Row],[idPilar]],MATCH(HC[[#Headers],[ap (cm)]],PILARES[#Headers],0))</f>
        <v>60</v>
      </c>
      <c r="Y292" s="12">
        <f>INDEX(PILARES[],HC[[#This Row],[idPilar]],MATCH(HC[[#Headers],[bp (cm)]],PILARES[#Headers],0))</f>
        <v>60</v>
      </c>
      <c r="Z292" s="4">
        <f>SQRT(HC[[#This Row],[ap (cm)]]*HC[[#This Row],[bp (cm)]])</f>
        <v>60</v>
      </c>
      <c r="AA292" s="12">
        <f>HC[[#This Row],[ap (cm)]]*HC[[#This Row],[bp (cm)]]</f>
        <v>3600</v>
      </c>
      <c r="AB292" s="12">
        <f ca="1">IF(HC[[#This Row],[Padm∙ε (kN)]]&gt;=HC[[#This Row],[Padm (kN)]],ROUNDUP(1.05*HC[[#This Row],[Nsd (kN)]]/HC[[#This Row],[Padm (kN)]],0),ROUNDUP(1.05*HC[[#This Row],[Nsd (kN)]]/HC[[#This Row],[Padm (kN)]],0)+1)</f>
        <v>8</v>
      </c>
      <c r="AC292" s="4" t="str">
        <f ca="1">IFERROR(IF(HC[[#This Row],[nE]]=1,HC[[#This Row],[Padm (kN)]],HC[[#This Row],[Padm (kN)]]*HC[[#This Row],[nE]]*INDEX(grupoEstacas[],HC[[#This Row],[nE]],MATCH("ε",grupoEstacas[#Headers],0))),"N.S.")</f>
        <v>N.S.</v>
      </c>
      <c r="AD292" s="4">
        <f ca="1">1.05*HC[[#This Row],[Nsd (kN)]]/(HC[[#This Row],[nE]]*PI()*HC[[#This Row],[Ø (cm)]]^2/4)*10</f>
        <v>0.5848944158627154</v>
      </c>
      <c r="AE292" s="4">
        <f ca="1">IF(HC[[#This Row],[σ (MPa)]]&lt;INDEX(tipoEstaca[],MATCH($D$2,tipoEstaca[TIPO DE ESTACA],0),MATCH("σmáx (MPa)",tipoEstaca[#Headers],0)),0.4%*PI()*HC[[#This Row],[Ø (cm)]]^2/4,"N.S.")</f>
        <v>31.415926535897935</v>
      </c>
      <c r="AF292" s="82">
        <f>INDEX(tipoEstaca[],MATCH($D$2,tipoEstaca[TIPO DE ESTACA],0),MATCH(HC[[#Headers],[Comprimento (m)]],tipoEstaca[#Headers],0))</f>
        <v>4</v>
      </c>
      <c r="AG292" s="5">
        <f ca="1">HC[[#This Row],[As,mín (cm²)]]/100^2*HC[[#This Row],[Comprimento (m)]]*7850</f>
        <v>98.646009322719507</v>
      </c>
      <c r="AH292" s="4">
        <f ca="1">HC[[#This Row],[nE]]*HC[[#This Row],[Prof. (m)]]*HC[[#This Row],[Ap (m²)]]</f>
        <v>43.982297150257104</v>
      </c>
      <c r="AI292" s="82">
        <f ca="1">IF(HC[[#This Row],[nE]]=1,0,MAX(3*HC[[#This Row],[Ø (cm)]],60))</f>
        <v>300</v>
      </c>
      <c r="AJ292" s="82">
        <f ca="1">IF(HC[[#This Row],[nE]]=1,HC[[#This Row],[Ø (cm)]]+2*10,MAX(1.5*HC[[#This Row],[Ø (cm)]],HC[[#This Row],[Ø (cm)]]+15))</f>
        <v>150</v>
      </c>
      <c r="AK292" s="82" t="str">
        <f ca="1">alturaUtil(HC[[#This Row],[nE]],HC[[#This Row],[Ø (cm)]],HC[[#This Row],[e (cm)]],HC[[#This Row],[ap,eq (cm)]])</f>
        <v>N.S.</v>
      </c>
      <c r="AL292" s="82" t="str">
        <f ca="1">IFERROR(HC[[#This Row],[d (cm)]]+arredondarParaCimaMultiplo5cm(MAX(5,SQRT(PI())/2*HC[[#This Row],[Ø (cm)]]/5)),"N.S.")</f>
        <v>N.S.</v>
      </c>
      <c r="AM292" s="5" t="str">
        <f ca="1">alpha(HC[[#This Row],[nE]],HC[[#This Row],[d (cm)]],HC[[#This Row],[e (cm)]],HC[[#This Row],[ap,eq (cm)]])</f>
        <v>N.S.</v>
      </c>
      <c r="AN292" s="35" t="str">
        <f ca="1">IFERROR(HC[[#This Row],[Nsd (kN)]]/(HC[[#This Row],[Ap (cm²)]]*SIN(HC[[#This Row],[α]])^2),"N.S.")</f>
        <v>N.S.</v>
      </c>
      <c r="AO292" s="35" t="str">
        <f ca="1">IFERROR(HC[[#This Row],[Nsd (kN)]]/(HC[[#This Row],[nE]]*PI()*HC[[#This Row],[Ø (cm)]]^2/4*SIN(HC[[#This Row],[α]])^2),"N.S.")</f>
        <v>N.S.</v>
      </c>
      <c r="AP292" s="4" t="str">
        <f ca="1">IFERROR(INDEX(grupoEstacas[],HC[[#This Row],[nE]],MATCH("coef. Blévot",grupoEstacas[#Headers],0)),"N.S.")</f>
        <v>N.S.</v>
      </c>
      <c r="AQ292" s="35" t="str">
        <f ca="1">IFERROR(HC[[#This Row],[coef. Blévot]]*0.9*INDEX(tipoEstaca[],MATCH($D$2,tipoEstaca[TIPO DE ESTACA],0),MATCH("fcd (kN/cm²)",tipoEstaca[#Headers],0)),"N.S.")</f>
        <v>N.S.</v>
      </c>
      <c r="AR292" s="82" t="str">
        <f ca="1">IF(AND(HC[[#This Row],[cd,b,pil (kN/cm²)]]&lt;=HC[[#This Row],[cd,b,lim (kN/cm²)]],HC[[#This Row],[cd,b,est (kN/cm²)]]&lt;=HC[[#This Row],[cd,b,lim (kN/cm²)]]),"OK","ERRO")</f>
        <v>OK</v>
      </c>
      <c r="AS292" s="4" t="str">
        <f ca="1">As_lado(HC[[#This Row],[nE]],HC[[#This Row],[Nsd (kN)]],HC[[#This Row],[d (cm)]],HC[[#This Row],[e (cm)]],HC[[#This Row],[ap,eq (cm)]])</f>
        <v>N.S.</v>
      </c>
      <c r="AT292" s="4" t="str">
        <f ca="1">IF(HC[[#This Row],[nE]]=1,HC[[#This Row],[As,lado (cm²)]],IF(HC[[#This Row],[nE]]=2,0.075*2*HC[a (cm)],"N.A."))</f>
        <v>N.A.</v>
      </c>
      <c r="AU292" s="4" t="str">
        <f ca="1">IFERROR(IF(HC[[#This Row],[nE]]=1,"N.A.",0.2*HC[[#This Row],[As,lado (cm²)]]),"N.S.")</f>
        <v>N.S.</v>
      </c>
      <c r="AV292" s="4" t="str">
        <f ca="1">As_malha(HC[[#This Row],[nE]],HC[[#This Row],[As,lado (cm²)]],HC[[#This Row],[Nsd (kN)]])</f>
        <v>N.S.</v>
      </c>
      <c r="AW292" s="4" t="str">
        <f ca="1">As_susp_tot(HC[[#This Row],[nE]],HC[[#This Row],[Nsd (kN)]])</f>
        <v>N.S.</v>
      </c>
      <c r="AX292" s="4" t="str">
        <f ca="1">Asp_face(HC[[#This Row],[nE]],HC[[#This Row],[As,lado (cm²)]])</f>
        <v>N.S.</v>
      </c>
      <c r="AY292" s="5" t="str">
        <f ca="1">acoBloco(HC[[#This Row],[nE]],HC[[#This Row],[e (cm)]],HC[[#This Row],[a (cm)]],HC[[#This Row],[h (cm)]],HC[[#This Row],[As,lado (cm²)]],HC[[#This Row],[Asp e Asw (cm²/m)]],HC[[#This Row],[As,sup (cm²)]],HC[[#This Row],[As,malha (cm²)]],HC[[#This Row],[As,susp,tot (cm²)]],HC[[#This Row],[Asp,face (cm²)]])</f>
        <v>N.S.</v>
      </c>
      <c r="AZ292" s="4" t="str">
        <f ca="1">concretoBloco(HC[[#This Row],[nE]],HC[[#This Row],[e (cm)]],HC[[#This Row],[a (cm)]],HC[[#This Row],[h (cm)]])</f>
        <v>N.S.</v>
      </c>
      <c r="BA292" s="5">
        <f ca="1">SUM(HC[[#This Row],[Aço Est (kg)]],HC[[#This Row],[Aço Bloco (kg)]])</f>
        <v>98.646009322719507</v>
      </c>
      <c r="BB292" s="4">
        <f>INDEX(composicoes[],MATCH(95580,composicoes[CÓDIGO],0),MATCH("CUSTO TOTAL",composicoes[#Headers],0))</f>
        <v>10.46</v>
      </c>
      <c r="BC292" s="4">
        <f ca="1">SUM(HC[[#This Row],[Conc Est (m³)]],HC[[#This Row],[Conc Bloco (m³)]])</f>
        <v>43.982297150257104</v>
      </c>
      <c r="BD292" s="4">
        <f>INDEX(composicoes[],MATCH(94966,composicoes[CÓDIGO],0),MATCH("CUSTO TOTAL",composicoes[#Headers],0))</f>
        <v>439.52</v>
      </c>
      <c r="BE292" s="38">
        <f ca="1">HC[[#This Row],[Aço (kg)]]*HC[[#This Row],[Aço (R$/kg)]]+HC[[#This Row],[Conc (m³)]]*HC[[#This Row],[Conc (R$/m³)]]</f>
        <v>20362.936500996646</v>
      </c>
      <c r="BF292" s="4" t="str">
        <f ca="1">IF(COUNTIF(HC[#This Row],"N.S.")&gt;0,"lim.","OK")</f>
        <v>lim.</v>
      </c>
      <c r="BG292" s="4" t="str">
        <f>IF(HC[[#This Row],[Prof. (m)]]&lt;4,"lim.","OK")</f>
        <v>OK</v>
      </c>
      <c r="BH292" s="4" t="str">
        <f>IF(HC[[#This Row],[Prof. (m)]]&gt;=8*HC[[#This Row],[Ø (cm)]]/100,"OK","lim.")</f>
        <v>lim.</v>
      </c>
      <c r="BI292" s="4" t="str">
        <f ca="1">IF(HC[[#This Row],[Verif. Biela]]="OK","OK","lim.")</f>
        <v>OK</v>
      </c>
      <c r="BJ292" s="4" t="str">
        <f ca="1">IF(COUNTA(HC[[#This Row],[Nº Est.]:[Biela comp.]])=COUNTIF(HC[[#This Row],[Nº Est.]:[Biela comp.]],"OK"),"OK","lim.")</f>
        <v>lim.</v>
      </c>
      <c r="BK292" s="4" t="str">
        <f ca="1">IF(HC[[#This Row],[Controle]]="OK",HC[[#This Row],[nE]]&amp;" Ø "&amp;HC[[#This Row],[Ø (cm)]]&amp;" cm, Prof. "&amp;HC[[#This Row],[Prof. (m)]]&amp;" m","")</f>
        <v/>
      </c>
      <c r="BL292" s="4" t="str">
        <f ca="1">IF(HC[[#This Row],[idDimensionamento]]="","",HC[[#This Row],[idPilar]]&amp;HC[[#This Row],[idDimensionamento]])</f>
        <v/>
      </c>
    </row>
    <row r="293" spans="2:64" x14ac:dyDescent="0.25">
      <c r="B293" s="12">
        <f>ROUNDUP((ROW(HC[[#This Row],[idDiâmetro]])-ROW(HC[[#Headers],[idDiâmetro]]))/(COUNT(SPT[Prof. (m)])*COUNT(PILARES[Pilar])),0)</f>
        <v>11</v>
      </c>
      <c r="C293" s="12">
        <f>IF(HC[[#This Row],[idDiâmetro]]&lt;&gt;B292,1,IF(HC[[#This Row],[Prof. (m)]]=0,C292+1,C292))</f>
        <v>1</v>
      </c>
      <c r="D293" s="82">
        <f>IFERROR(IF(D292=MAX(SPT[Prof. (m)]),0,D292+1),0)</f>
        <v>8</v>
      </c>
      <c r="E293" s="82">
        <f>INDEX(SPT[],MATCH(HC[[#This Row],[Prof. (m)]],SPT[Prof. (m)],0),2)</f>
        <v>10</v>
      </c>
      <c r="F293" s="82" t="str">
        <f>INDEX(SPT[],MATCH(HC[[#This Row],[Prof. (m)]],SPT[Prof. (m)],0),3)</f>
        <v>Silte arenoso</v>
      </c>
      <c r="G293" s="82">
        <f>INDEX(estacas[],HC[[#This Row],[idDiâmetro]],MATCH($B$2,estacas[#Headers],0))</f>
        <v>100</v>
      </c>
      <c r="H293" s="82">
        <f>INDEX(estacas[],MATCH(HC[[#This Row],[Ø (cm)]],estacas[Ø HC (cm)],0),MATCH(HC[[#Headers],[Pe HC (kN)]],estacas[#Headers],0))</f>
        <v>5000</v>
      </c>
      <c r="I293" s="4">
        <f>INDEX(K_alpha_C[],MATCH(HC[[#This Row],[Solo]],K_alpha_C[Solo],0),2)</f>
        <v>0.55000000000000004</v>
      </c>
      <c r="J293" s="5">
        <f>INDEX(K_alpha_C[],MATCH(HC[[#This Row],[Solo]],K_alpha_C[Solo],0),3)</f>
        <v>2.2000000000000002</v>
      </c>
      <c r="K293" s="4">
        <f>INDEX(F1_F2[],MATCH($D$2,F1_F2[Tipo de estaca],0),2)</f>
        <v>2</v>
      </c>
      <c r="L293" s="4">
        <f>INDEX(F1_F2[],MATCH($D$2,F1_F2[Tipo de estaca],0),3)</f>
        <v>4</v>
      </c>
      <c r="M293" s="4">
        <f>PI()*(HC[[#This Row],[Ø (cm)]]/100)^2/4</f>
        <v>0.78539816339744828</v>
      </c>
      <c r="N293" s="4">
        <f>PI()*HC[[#This Row],[Ø (cm)]]/100</f>
        <v>3.1415926535897931</v>
      </c>
      <c r="O293" s="4">
        <f>IF(HC[[#This Row],[Prof. (m)]]=0,0,HC[[#This Row],[α (%)]]/100*HC[[#This Row],[K (MPa)]]*1000*HC[[#This Row],[NSPT]])</f>
        <v>121.00000000000001</v>
      </c>
      <c r="P293" s="4">
        <f>IF(HC[[#This Row],[Prof. (m)]]=0,0,(HC[[#This Row],[K (MPa)]]*1000*HC[[#This Row],[NSPT]]/HC[[#This Row],[F1]]*HC[[#This Row],[Ap (m²)]]+HC[[#This Row],[U (m)]]/HC[[#This Row],[F2]]*SUMIFS(HC[(α∙K∙NL∙ΔL)],HC[Prof. (m)],"&lt;="&amp;HC[[#This Row],[Prof. (m)]],HC[idDiâmetro],HC[[#This Row],[idDiâmetro]],HC[idPilar],HC[[#This Row],[idPilar]]))/'DADOS CAP. CARGA'!$D$2)</f>
        <v>1472.5822864620457</v>
      </c>
      <c r="Q293" s="12">
        <f>INDEX(C_alpha_beta[],MATCH(HC[[#This Row],[Solo]],C_alpha_beta[Solo],0),MATCH(HC[[#Headers],[C (kPa)]],C_alpha_beta[#Headers],0))</f>
        <v>250</v>
      </c>
      <c r="R293" s="4">
        <f>INDEX(C_alpha_beta[],MATCH(HC[[#This Row],[Solo]],C_alpha_beta[Solo],0),MATCH(HC[[#Headers],[α ESF]],C_alpha_beta[#Headers],0))</f>
        <v>0.6</v>
      </c>
      <c r="S293" s="4">
        <f>INDEX(C_alpha_beta[],MATCH(HC[[#This Row],[Solo]],C_alpha_beta[Solo],0),MATCH(HC[[#Headers],[β ESF]],C_alpha_beta[#Headers],0))</f>
        <v>0.65</v>
      </c>
      <c r="T293" s="4">
        <f>IF(HC[[#This Row],[Prof. (m)]]=0,0,10*(HC[[#This Row],[NSPT]]/3+1))</f>
        <v>43.333333333333343</v>
      </c>
      <c r="U293" s="4">
        <f>(HC[[#This Row],[α ESF]]*HC[[#This Row],[C (kPa)]]*HC[[#This Row],[NSPT]]*HC[[#This Row],[Ap (m²)]])/'DADOS CAP. CARGA'!$Q$2+(HC[[#This Row],[β ESF]]*SUMIFS(HC[10∙(NL/3+1)],HC[Prof. (m)],"&lt;="&amp;HC[[#This Row],[Prof. (m)]],HC[idDiâmetro],HC[[#This Row],[idDiâmetro]],HC[idPilar],HC[[#This Row],[idPilar]])*HC[[#This Row],[U (m)]])/'DADOS CAP. CARGA'!$S$2</f>
        <v>621.24994724738167</v>
      </c>
      <c r="V293" s="4">
        <f>IF(SPT!$M$5=1,MIN(HC[[#This Row],[Pe HC (kN)]],HC[[#This Row],[R_AV (kN)]]),IF(SPT!$M$5=2,MIN(HC[[#This Row],[Pe HC (kN)]],HC[[#This Row],[R_DC (kN)]]),MIN(HC[[#This Row],[Pe HC (kN)]],HC[[#This Row],[R_AV (kN)]],HC[[#This Row],[R_DC (kN)]])))</f>
        <v>621.24994724738167</v>
      </c>
      <c r="W293" s="4">
        <f>INDEX(PILARES[],HC[[#This Row],[idPilar]],MATCH("Carga (kN)",PILARES[#Headers],0))*1.4</f>
        <v>3500</v>
      </c>
      <c r="X293" s="12">
        <f>INDEX(PILARES[],HC[[#This Row],[idPilar]],MATCH(HC[[#Headers],[ap (cm)]],PILARES[#Headers],0))</f>
        <v>60</v>
      </c>
      <c r="Y293" s="12">
        <f>INDEX(PILARES[],HC[[#This Row],[idPilar]],MATCH(HC[[#Headers],[bp (cm)]],PILARES[#Headers],0))</f>
        <v>60</v>
      </c>
      <c r="Z293" s="4">
        <f>SQRT(HC[[#This Row],[ap (cm)]]*HC[[#This Row],[bp (cm)]])</f>
        <v>60</v>
      </c>
      <c r="AA293" s="12">
        <f>HC[[#This Row],[ap (cm)]]*HC[[#This Row],[bp (cm)]]</f>
        <v>3600</v>
      </c>
      <c r="AB293" s="12">
        <f ca="1">IF(HC[[#This Row],[Padm∙ε (kN)]]&gt;=HC[[#This Row],[Padm (kN)]],ROUNDUP(1.05*HC[[#This Row],[Nsd (kN)]]/HC[[#This Row],[Padm (kN)]],0),ROUNDUP(1.05*HC[[#This Row],[Nsd (kN)]]/HC[[#This Row],[Padm (kN)]],0)+1)</f>
        <v>6</v>
      </c>
      <c r="AC293" s="4" t="str">
        <f ca="1">IFERROR(IF(HC[[#This Row],[nE]]=1,HC[[#This Row],[Padm (kN)]],HC[[#This Row],[Padm (kN)]]*HC[[#This Row],[nE]]*INDEX(grupoEstacas[],HC[[#This Row],[nE]],MATCH("ε",grupoEstacas[#Headers],0))),"N.S.")</f>
        <v>N.S.</v>
      </c>
      <c r="AD293" s="4">
        <f ca="1">1.05*HC[[#This Row],[Nsd (kN)]]/(HC[[#This Row],[nE]]*PI()*HC[[#This Row],[Ø (cm)]]^2/4)*10</f>
        <v>0.77985922115028727</v>
      </c>
      <c r="AE293" s="4">
        <f ca="1">IF(HC[[#This Row],[σ (MPa)]]&lt;INDEX(tipoEstaca[],MATCH($D$2,tipoEstaca[TIPO DE ESTACA],0),MATCH("σmáx (MPa)",tipoEstaca[#Headers],0)),0.4%*PI()*HC[[#This Row],[Ø (cm)]]^2/4,"N.S.")</f>
        <v>31.415926535897935</v>
      </c>
      <c r="AF293" s="82">
        <f>INDEX(tipoEstaca[],MATCH($D$2,tipoEstaca[TIPO DE ESTACA],0),MATCH(HC[[#Headers],[Comprimento (m)]],tipoEstaca[#Headers],0))</f>
        <v>4</v>
      </c>
      <c r="AG293" s="5">
        <f ca="1">HC[[#This Row],[As,mín (cm²)]]/100^2*HC[[#This Row],[Comprimento (m)]]*7850</f>
        <v>98.646009322719507</v>
      </c>
      <c r="AH293" s="4">
        <f ca="1">HC[[#This Row],[nE]]*HC[[#This Row],[Prof. (m)]]*HC[[#This Row],[Ap (m²)]]</f>
        <v>37.699111843077517</v>
      </c>
      <c r="AI293" s="82">
        <f ca="1">IF(HC[[#This Row],[nE]]=1,0,MAX(3*HC[[#This Row],[Ø (cm)]],60))</f>
        <v>300</v>
      </c>
      <c r="AJ293" s="82">
        <f ca="1">IF(HC[[#This Row],[nE]]=1,HC[[#This Row],[Ø (cm)]]+2*10,MAX(1.5*HC[[#This Row],[Ø (cm)]],HC[[#This Row],[Ø (cm)]]+15))</f>
        <v>150</v>
      </c>
      <c r="AK293" s="82" t="str">
        <f ca="1">alturaUtil(HC[[#This Row],[nE]],HC[[#This Row],[Ø (cm)]],HC[[#This Row],[e (cm)]],HC[[#This Row],[ap,eq (cm)]])</f>
        <v>N.S.</v>
      </c>
      <c r="AL293" s="82" t="str">
        <f ca="1">IFERROR(HC[[#This Row],[d (cm)]]+arredondarParaCimaMultiplo5cm(MAX(5,SQRT(PI())/2*HC[[#This Row],[Ø (cm)]]/5)),"N.S.")</f>
        <v>N.S.</v>
      </c>
      <c r="AM293" s="5" t="str">
        <f ca="1">alpha(HC[[#This Row],[nE]],HC[[#This Row],[d (cm)]],HC[[#This Row],[e (cm)]],HC[[#This Row],[ap,eq (cm)]])</f>
        <v>N.S.</v>
      </c>
      <c r="AN293" s="35" t="str">
        <f ca="1">IFERROR(HC[[#This Row],[Nsd (kN)]]/(HC[[#This Row],[Ap (cm²)]]*SIN(HC[[#This Row],[α]])^2),"N.S.")</f>
        <v>N.S.</v>
      </c>
      <c r="AO293" s="35" t="str">
        <f ca="1">IFERROR(HC[[#This Row],[Nsd (kN)]]/(HC[[#This Row],[nE]]*PI()*HC[[#This Row],[Ø (cm)]]^2/4*SIN(HC[[#This Row],[α]])^2),"N.S.")</f>
        <v>N.S.</v>
      </c>
      <c r="AP293" s="4" t="str">
        <f ca="1">IFERROR(INDEX(grupoEstacas[],HC[[#This Row],[nE]],MATCH("coef. Blévot",grupoEstacas[#Headers],0)),"N.S.")</f>
        <v>N.S.</v>
      </c>
      <c r="AQ293" s="35" t="str">
        <f ca="1">IFERROR(HC[[#This Row],[coef. Blévot]]*0.9*INDEX(tipoEstaca[],MATCH($D$2,tipoEstaca[TIPO DE ESTACA],0),MATCH("fcd (kN/cm²)",tipoEstaca[#Headers],0)),"N.S.")</f>
        <v>N.S.</v>
      </c>
      <c r="AR293" s="82" t="str">
        <f ca="1">IF(AND(HC[[#This Row],[cd,b,pil (kN/cm²)]]&lt;=HC[[#This Row],[cd,b,lim (kN/cm²)]],HC[[#This Row],[cd,b,est (kN/cm²)]]&lt;=HC[[#This Row],[cd,b,lim (kN/cm²)]]),"OK","ERRO")</f>
        <v>OK</v>
      </c>
      <c r="AS293" s="4" t="str">
        <f ca="1">As_lado(HC[[#This Row],[nE]],HC[[#This Row],[Nsd (kN)]],HC[[#This Row],[d (cm)]],HC[[#This Row],[e (cm)]],HC[[#This Row],[ap,eq (cm)]])</f>
        <v>N.S.</v>
      </c>
      <c r="AT293" s="4" t="str">
        <f ca="1">IF(HC[[#This Row],[nE]]=1,HC[[#This Row],[As,lado (cm²)]],IF(HC[[#This Row],[nE]]=2,0.075*2*HC[a (cm)],"N.A."))</f>
        <v>N.A.</v>
      </c>
      <c r="AU293" s="4" t="str">
        <f ca="1">IFERROR(IF(HC[[#This Row],[nE]]=1,"N.A.",0.2*HC[[#This Row],[As,lado (cm²)]]),"N.S.")</f>
        <v>N.S.</v>
      </c>
      <c r="AV293" s="4" t="str">
        <f ca="1">As_malha(HC[[#This Row],[nE]],HC[[#This Row],[As,lado (cm²)]],HC[[#This Row],[Nsd (kN)]])</f>
        <v>N.S.</v>
      </c>
      <c r="AW293" s="4" t="str">
        <f ca="1">As_susp_tot(HC[[#This Row],[nE]],HC[[#This Row],[Nsd (kN)]])</f>
        <v>N.S.</v>
      </c>
      <c r="AX293" s="4" t="str">
        <f ca="1">Asp_face(HC[[#This Row],[nE]],HC[[#This Row],[As,lado (cm²)]])</f>
        <v>N.S.</v>
      </c>
      <c r="AY293" s="5" t="str">
        <f ca="1">acoBloco(HC[[#This Row],[nE]],HC[[#This Row],[e (cm)]],HC[[#This Row],[a (cm)]],HC[[#This Row],[h (cm)]],HC[[#This Row],[As,lado (cm²)]],HC[[#This Row],[Asp e Asw (cm²/m)]],HC[[#This Row],[As,sup (cm²)]],HC[[#This Row],[As,malha (cm²)]],HC[[#This Row],[As,susp,tot (cm²)]],HC[[#This Row],[Asp,face (cm²)]])</f>
        <v>N.S.</v>
      </c>
      <c r="AZ293" s="4" t="str">
        <f ca="1">concretoBloco(HC[[#This Row],[nE]],HC[[#This Row],[e (cm)]],HC[[#This Row],[a (cm)]],HC[[#This Row],[h (cm)]])</f>
        <v>N.S.</v>
      </c>
      <c r="BA293" s="5">
        <f ca="1">SUM(HC[[#This Row],[Aço Est (kg)]],HC[[#This Row],[Aço Bloco (kg)]])</f>
        <v>98.646009322719507</v>
      </c>
      <c r="BB293" s="4">
        <f>INDEX(composicoes[],MATCH(95580,composicoes[CÓDIGO],0),MATCH("CUSTO TOTAL",composicoes[#Headers],0))</f>
        <v>10.46</v>
      </c>
      <c r="BC293" s="4">
        <f ca="1">SUM(HC[[#This Row],[Conc Est (m³)]],HC[[#This Row],[Conc Bloco (m³)]])</f>
        <v>37.699111843077517</v>
      </c>
      <c r="BD293" s="4">
        <f>INDEX(composicoes[],MATCH(94966,composicoes[CÓDIGO],0),MATCH("CUSTO TOTAL",composicoes[#Headers],0))</f>
        <v>439.52</v>
      </c>
      <c r="BE293" s="38">
        <f ca="1">HC[[#This Row],[Aço (kg)]]*HC[[#This Row],[Aço (R$/kg)]]+HC[[#This Row],[Conc (m³)]]*HC[[#This Row],[Conc (R$/m³)]]</f>
        <v>17601.350894785075</v>
      </c>
      <c r="BF293" s="4" t="str">
        <f ca="1">IF(COUNTIF(HC[#This Row],"N.S.")&gt;0,"lim.","OK")</f>
        <v>lim.</v>
      </c>
      <c r="BG293" s="4" t="str">
        <f>IF(HC[[#This Row],[Prof. (m)]]&lt;4,"lim.","OK")</f>
        <v>OK</v>
      </c>
      <c r="BH293" s="4" t="str">
        <f>IF(HC[[#This Row],[Prof. (m)]]&gt;=8*HC[[#This Row],[Ø (cm)]]/100,"OK","lim.")</f>
        <v>OK</v>
      </c>
      <c r="BI293" s="4" t="str">
        <f ca="1">IF(HC[[#This Row],[Verif. Biela]]="OK","OK","lim.")</f>
        <v>OK</v>
      </c>
      <c r="BJ293" s="4" t="str">
        <f ca="1">IF(COUNTA(HC[[#This Row],[Nº Est.]:[Biela comp.]])=COUNTIF(HC[[#This Row],[Nº Est.]:[Biela comp.]],"OK"),"OK","lim.")</f>
        <v>lim.</v>
      </c>
      <c r="BK293" s="4" t="str">
        <f ca="1">IF(HC[[#This Row],[Controle]]="OK",HC[[#This Row],[nE]]&amp;" Ø "&amp;HC[[#This Row],[Ø (cm)]]&amp;" cm, Prof. "&amp;HC[[#This Row],[Prof. (m)]]&amp;" m","")</f>
        <v/>
      </c>
      <c r="BL293" s="4" t="str">
        <f ca="1">IF(HC[[#This Row],[idDimensionamento]]="","",HC[[#This Row],[idPilar]]&amp;HC[[#This Row],[idDimensionamento]])</f>
        <v/>
      </c>
    </row>
    <row r="294" spans="2:64" x14ac:dyDescent="0.25">
      <c r="B294" s="12">
        <f>ROUNDUP((ROW(HC[[#This Row],[idDiâmetro]])-ROW(HC[[#Headers],[idDiâmetro]]))/(COUNT(SPT[Prof. (m)])*COUNT(PILARES[Pilar])),0)</f>
        <v>11</v>
      </c>
      <c r="C294" s="12">
        <f>IF(HC[[#This Row],[idDiâmetro]]&lt;&gt;B293,1,IF(HC[[#This Row],[Prof. (m)]]=0,C293+1,C293))</f>
        <v>1</v>
      </c>
      <c r="D294" s="82">
        <f>IFERROR(IF(D293=MAX(SPT[Prof. (m)]),0,D293+1),0)</f>
        <v>9</v>
      </c>
      <c r="E294" s="82">
        <f>INDEX(SPT[],MATCH(HC[[#This Row],[Prof. (m)]],SPT[Prof. (m)],0),2)</f>
        <v>26</v>
      </c>
      <c r="F294" s="82" t="str">
        <f>INDEX(SPT[],MATCH(HC[[#This Row],[Prof. (m)]],SPT[Prof. (m)],0),3)</f>
        <v>Areia siltosa</v>
      </c>
      <c r="G294" s="82">
        <f>INDEX(estacas[],HC[[#This Row],[idDiâmetro]],MATCH($B$2,estacas[#Headers],0))</f>
        <v>100</v>
      </c>
      <c r="H294" s="82">
        <f>INDEX(estacas[],MATCH(HC[[#This Row],[Ø (cm)]],estacas[Ø HC (cm)],0),MATCH(HC[[#Headers],[Pe HC (kN)]],estacas[#Headers],0))</f>
        <v>5000</v>
      </c>
      <c r="I294" s="4">
        <f>INDEX(K_alpha_C[],MATCH(HC[[#This Row],[Solo]],K_alpha_C[Solo],0),2)</f>
        <v>0.8</v>
      </c>
      <c r="J294" s="5">
        <f>INDEX(K_alpha_C[],MATCH(HC[[#This Row],[Solo]],K_alpha_C[Solo],0),3)</f>
        <v>2</v>
      </c>
      <c r="K294" s="4">
        <f>INDEX(F1_F2[],MATCH($D$2,F1_F2[Tipo de estaca],0),2)</f>
        <v>2</v>
      </c>
      <c r="L294" s="4">
        <f>INDEX(F1_F2[],MATCH($D$2,F1_F2[Tipo de estaca],0),3)</f>
        <v>4</v>
      </c>
      <c r="M294" s="4">
        <f>PI()*(HC[[#This Row],[Ø (cm)]]/100)^2/4</f>
        <v>0.78539816339744828</v>
      </c>
      <c r="N294" s="4">
        <f>PI()*HC[[#This Row],[Ø (cm)]]/100</f>
        <v>3.1415926535897931</v>
      </c>
      <c r="O294" s="4">
        <f>IF(HC[[#This Row],[Prof. (m)]]=0,0,HC[[#This Row],[α (%)]]/100*HC[[#This Row],[K (MPa)]]*1000*HC[[#This Row],[NSPT]])</f>
        <v>416</v>
      </c>
      <c r="P294" s="4">
        <f>IF(HC[[#This Row],[Prof. (m)]]=0,0,(HC[[#This Row],[K (MPa)]]*1000*HC[[#This Row],[NSPT]]/HC[[#This Row],[F1]]*HC[[#This Row],[Ap (m²)]]+HC[[#This Row],[U (m)]]/HC[[#This Row],[F2]]*SUMIFS(HC[(α∙K∙NL∙ΔL)],HC[Prof. (m)],"&lt;="&amp;HC[[#This Row],[Prof. (m)]],HC[idDiâmetro],HC[[#This Row],[idDiâmetro]],HC[idPilar],HC[[#This Row],[idPilar]]))/'DADOS CAP. CARGA'!$D$2)</f>
        <v>4640.0930794439546</v>
      </c>
      <c r="Q294" s="12">
        <f>INDEX(C_alpha_beta[],MATCH(HC[[#This Row],[Solo]],C_alpha_beta[Solo],0),MATCH(HC[[#Headers],[C (kPa)]],C_alpha_beta[#Headers],0))</f>
        <v>400</v>
      </c>
      <c r="R294" s="4">
        <f>INDEX(C_alpha_beta[],MATCH(HC[[#This Row],[Solo]],C_alpha_beta[Solo],0),MATCH(HC[[#Headers],[α ESF]],C_alpha_beta[#Headers],0))</f>
        <v>0.5</v>
      </c>
      <c r="S294" s="4">
        <f>INDEX(C_alpha_beta[],MATCH(HC[[#This Row],[Solo]],C_alpha_beta[Solo],0),MATCH(HC[[#Headers],[β ESF]],C_alpha_beta[#Headers],0))</f>
        <v>0.5</v>
      </c>
      <c r="T294" s="4">
        <f>IF(HC[[#This Row],[Prof. (m)]]=0,0,10*(HC[[#This Row],[NSPT]]/3+1))</f>
        <v>96.666666666666657</v>
      </c>
      <c r="U294" s="4">
        <f>(HC[[#This Row],[α ESF]]*HC[[#This Row],[C (kPa)]]*HC[[#This Row],[NSPT]]*HC[[#This Row],[Ap (m²)]])/'DADOS CAP. CARGA'!$Q$2+(HC[[#This Row],[β ESF]]*SUMIFS(HC[10∙(NL/3+1)],HC[Prof. (m)],"&lt;="&amp;HC[[#This Row],[Prof. (m)]],HC[idDiâmetro],HC[[#This Row],[idDiâmetro]],HC[idPilar],HC[[#This Row],[idPilar]])*HC[[#This Row],[U (m)]])/'DADOS CAP. CARGA'!$S$2</f>
        <v>1348.2668471656195</v>
      </c>
      <c r="V294" s="4">
        <f>IF(SPT!$M$5=1,MIN(HC[[#This Row],[Pe HC (kN)]],HC[[#This Row],[R_AV (kN)]]),IF(SPT!$M$5=2,MIN(HC[[#This Row],[Pe HC (kN)]],HC[[#This Row],[R_DC (kN)]]),MIN(HC[[#This Row],[Pe HC (kN)]],HC[[#This Row],[R_AV (kN)]],HC[[#This Row],[R_DC (kN)]])))</f>
        <v>1348.2668471656195</v>
      </c>
      <c r="W294" s="4">
        <f>INDEX(PILARES[],HC[[#This Row],[idPilar]],MATCH("Carga (kN)",PILARES[#Headers],0))*1.4</f>
        <v>3500</v>
      </c>
      <c r="X294" s="12">
        <f>INDEX(PILARES[],HC[[#This Row],[idPilar]],MATCH(HC[[#Headers],[ap (cm)]],PILARES[#Headers],0))</f>
        <v>60</v>
      </c>
      <c r="Y294" s="12">
        <f>INDEX(PILARES[],HC[[#This Row],[idPilar]],MATCH(HC[[#Headers],[bp (cm)]],PILARES[#Headers],0))</f>
        <v>60</v>
      </c>
      <c r="Z294" s="4">
        <f>SQRT(HC[[#This Row],[ap (cm)]]*HC[[#This Row],[bp (cm)]])</f>
        <v>60</v>
      </c>
      <c r="AA294" s="12">
        <f>HC[[#This Row],[ap (cm)]]*HC[[#This Row],[bp (cm)]]</f>
        <v>3600</v>
      </c>
      <c r="AB294" s="12">
        <f ca="1">IF(HC[[#This Row],[Padm∙ε (kN)]]&gt;=HC[[#This Row],[Padm (kN)]],ROUNDUP(1.05*HC[[#This Row],[Nsd (kN)]]/HC[[#This Row],[Padm (kN)]],0),ROUNDUP(1.05*HC[[#This Row],[Nsd (kN)]]/HC[[#This Row],[Padm (kN)]],0)+1)</f>
        <v>3</v>
      </c>
      <c r="AC294" s="4">
        <f ca="1">IFERROR(IF(HC[[#This Row],[nE]]=1,HC[[#This Row],[Padm (kN)]],HC[[#This Row],[Padm (kN)]]*HC[[#This Row],[nE]]*INDEX(grupoEstacas[],HC[[#This Row],[nE]],MATCH("ε",grupoEstacas[#Headers],0))),"N.S.")</f>
        <v>3539.2004738097512</v>
      </c>
      <c r="AD294" s="4">
        <f ca="1">1.05*HC[[#This Row],[Nsd (kN)]]/(HC[[#This Row],[nE]]*PI()*HC[[#This Row],[Ø (cm)]]^2/4)*10</f>
        <v>1.5597184423005745</v>
      </c>
      <c r="AE294" s="4">
        <f ca="1">IF(HC[[#This Row],[σ (MPa)]]&lt;INDEX(tipoEstaca[],MATCH($D$2,tipoEstaca[TIPO DE ESTACA],0),MATCH("σmáx (MPa)",tipoEstaca[#Headers],0)),0.4%*PI()*HC[[#This Row],[Ø (cm)]]^2/4,"N.S.")</f>
        <v>31.415926535897935</v>
      </c>
      <c r="AF294" s="82">
        <f>INDEX(tipoEstaca[],MATCH($D$2,tipoEstaca[TIPO DE ESTACA],0),MATCH(HC[[#Headers],[Comprimento (m)]],tipoEstaca[#Headers],0))</f>
        <v>4</v>
      </c>
      <c r="AG294" s="5">
        <f ca="1">HC[[#This Row],[As,mín (cm²)]]/100^2*HC[[#This Row],[Comprimento (m)]]*7850</f>
        <v>98.646009322719507</v>
      </c>
      <c r="AH294" s="4">
        <f ca="1">HC[[#This Row],[nE]]*HC[[#This Row],[Prof. (m)]]*HC[[#This Row],[Ap (m²)]]</f>
        <v>21.205750411731103</v>
      </c>
      <c r="AI294" s="82">
        <f ca="1">IF(HC[[#This Row],[nE]]=1,0,MAX(3*HC[[#This Row],[Ø (cm)]],60))</f>
        <v>300</v>
      </c>
      <c r="AJ294" s="82">
        <f ca="1">IF(HC[[#This Row],[nE]]=1,HC[[#This Row],[Ø (cm)]]+2*10,MAX(1.5*HC[[#This Row],[Ø (cm)]],HC[[#This Row],[Ø (cm)]]+15))</f>
        <v>150</v>
      </c>
      <c r="AK294" s="82">
        <f ca="1">alturaUtil(HC[[#This Row],[nE]],HC[[#This Row],[Ø (cm)]],HC[[#This Row],[e (cm)]],HC[[#This Row],[ap,eq (cm)]])</f>
        <v>135</v>
      </c>
      <c r="AL294" s="82">
        <f ca="1">IFERROR(HC[[#This Row],[d (cm)]]+arredondarParaCimaMultiplo5cm(MAX(5,SQRT(PI())/2*HC[[#This Row],[Ø (cm)]]/5)),"N.S.")</f>
        <v>155</v>
      </c>
      <c r="AM294" s="5">
        <f ca="1">alpha(HC[[#This Row],[nE]],HC[[#This Row],[d (cm)]],HC[[#This Row],[e (cm)]],HC[[#This Row],[ap,eq (cm)]])</f>
        <v>45.643745714175381</v>
      </c>
      <c r="AN294" s="35">
        <f ca="1">IFERROR(HC[[#This Row],[Nsd (kN)]]/(HC[[#This Row],[Ap (cm²)]]*SIN(HC[[#This Row],[α]])^2),"N.S.")</f>
        <v>0.98025575321721969</v>
      </c>
      <c r="AO294" s="35">
        <f ca="1">IFERROR(HC[[#This Row],[Nsd (kN)]]/(HC[[#This Row],[nE]]*PI()*HC[[#This Row],[Ø (cm)]]^2/4*SIN(HC[[#This Row],[α]])^2),"N.S.")</f>
        <v>0.14977204667403804</v>
      </c>
      <c r="AP294" s="4">
        <f ca="1">IFERROR(INDEX(grupoEstacas[],HC[[#This Row],[nE]],MATCH("coef. Blévot",grupoEstacas[#Headers],0)),"N.S.")</f>
        <v>1.75</v>
      </c>
      <c r="AQ294" s="35">
        <f ca="1">IFERROR(HC[[#This Row],[coef. Blévot]]*0.9*INDEX(tipoEstaca[],MATCH($D$2,tipoEstaca[TIPO DE ESTACA],0),MATCH("fcd (kN/cm²)",tipoEstaca[#Headers],0)),"N.S.")</f>
        <v>1.75</v>
      </c>
      <c r="AR294" s="82" t="str">
        <f ca="1">IF(AND(HC[[#This Row],[cd,b,pil (kN/cm²)]]&lt;=HC[[#This Row],[cd,b,lim (kN/cm²)]],HC[[#This Row],[cd,b,est (kN/cm²)]]&lt;=HC[[#This Row],[cd,b,lim (kN/cm²)]]),"OK","ERRO")</f>
        <v>OK</v>
      </c>
      <c r="AS294" s="4">
        <f ca="1">As_lado(HC[[#This Row],[nE]],HC[[#This Row],[Nsd (kN)]],HC[[#This Row],[d (cm)]],HC[[#This Row],[e (cm)]],HC[[#This Row],[ap,eq (cm)]])</f>
        <v>17.810912246775882</v>
      </c>
      <c r="AT294" s="4" t="str">
        <f ca="1">IF(HC[[#This Row],[nE]]=1,HC[[#This Row],[As,lado (cm²)]],IF(HC[[#This Row],[nE]]=2,0.075*2*HC[a (cm)],"N.A."))</f>
        <v>N.A.</v>
      </c>
      <c r="AU294" s="4">
        <f ca="1">IFERROR(IF(HC[[#This Row],[nE]]=1,"N.A.",0.2*HC[[#This Row],[As,lado (cm²)]]),"N.S.")</f>
        <v>3.5621824493551766</v>
      </c>
      <c r="AV294" s="4">
        <f ca="1">As_malha(HC[[#This Row],[nE]],HC[[#This Row],[As,lado (cm²)]],HC[[#This Row],[Nsd (kN)]])</f>
        <v>5.9629629629629619</v>
      </c>
      <c r="AW294" s="4">
        <f ca="1">As_susp_tot(HC[[#This Row],[nE]],HC[[#This Row],[Nsd (kN)]])</f>
        <v>17.888888888888886</v>
      </c>
      <c r="AX294" s="4">
        <f ca="1">Asp_face(HC[[#This Row],[nE]],HC[[#This Row],[As,lado (cm²)]])</f>
        <v>6.6790920925409552</v>
      </c>
      <c r="AY294" s="5">
        <f ca="1">acoBloco(HC[[#This Row],[nE]],HC[[#This Row],[e (cm)]],HC[[#This Row],[a (cm)]],HC[[#This Row],[h (cm)]],HC[[#This Row],[As,lado (cm²)]],HC[[#This Row],[Asp e Asw (cm²/m)]],HC[[#This Row],[As,sup (cm²)]],HC[[#This Row],[As,malha (cm²)]],HC[[#This Row],[As,susp,tot (cm²)]],HC[[#This Row],[Asp,face (cm²)]])</f>
        <v>527.88157078579366</v>
      </c>
      <c r="AZ294" s="4">
        <f ca="1">concretoBloco(HC[[#This Row],[nE]],HC[[#This Row],[e (cm)]],HC[[#This Row],[a (cm)]],HC[[#This Row],[h (cm)]])</f>
        <v>39.046581574189382</v>
      </c>
      <c r="BA294" s="5">
        <f ca="1">SUM(HC[[#This Row],[Aço Est (kg)]],HC[[#This Row],[Aço Bloco (kg)]])</f>
        <v>626.52758010851312</v>
      </c>
      <c r="BB294" s="4">
        <f>INDEX(composicoes[],MATCH(95580,composicoes[CÓDIGO],0),MATCH("CUSTO TOTAL",composicoes[#Headers],0))</f>
        <v>10.46</v>
      </c>
      <c r="BC294" s="4">
        <f ca="1">SUM(HC[[#This Row],[Conc Est (m³)]],HC[[#This Row],[Conc Bloco (m³)]])</f>
        <v>60.252331985920485</v>
      </c>
      <c r="BD294" s="4">
        <f>INDEX(composicoes[],MATCH(94966,composicoes[CÓDIGO],0),MATCH("CUSTO TOTAL",composicoes[#Headers],0))</f>
        <v>439.52</v>
      </c>
      <c r="BE294" s="38">
        <f ca="1">HC[[#This Row],[Aço (kg)]]*HC[[#This Row],[Aço (R$/kg)]]+HC[[#This Row],[Conc (m³)]]*HC[[#This Row],[Conc (R$/m³)]]</f>
        <v>33035.583442386822</v>
      </c>
      <c r="BF294" s="4" t="str">
        <f ca="1">IF(COUNTIF(HC[#This Row],"N.S.")&gt;0,"lim.","OK")</f>
        <v>OK</v>
      </c>
      <c r="BG294" s="4" t="str">
        <f>IF(HC[[#This Row],[Prof. (m)]]&lt;4,"lim.","OK")</f>
        <v>OK</v>
      </c>
      <c r="BH294" s="4" t="str">
        <f>IF(HC[[#This Row],[Prof. (m)]]&gt;=8*HC[[#This Row],[Ø (cm)]]/100,"OK","lim.")</f>
        <v>OK</v>
      </c>
      <c r="BI294" s="4" t="str">
        <f ca="1">IF(HC[[#This Row],[Verif. Biela]]="OK","OK","lim.")</f>
        <v>OK</v>
      </c>
      <c r="BJ294" s="4" t="str">
        <f ca="1">IF(COUNTA(HC[[#This Row],[Nº Est.]:[Biela comp.]])=COUNTIF(HC[[#This Row],[Nº Est.]:[Biela comp.]],"OK"),"OK","lim.")</f>
        <v>OK</v>
      </c>
      <c r="BK294" s="4" t="str">
        <f ca="1">IF(HC[[#This Row],[Controle]]="OK",HC[[#This Row],[nE]]&amp;" Ø "&amp;HC[[#This Row],[Ø (cm)]]&amp;" cm, Prof. "&amp;HC[[#This Row],[Prof. (m)]]&amp;" m","")</f>
        <v>3 Ø 100 cm, Prof. 9 m</v>
      </c>
      <c r="BL294" s="4" t="str">
        <f ca="1">IF(HC[[#This Row],[idDimensionamento]]="","",HC[[#This Row],[idPilar]]&amp;HC[[#This Row],[idDimensionamento]])</f>
        <v>13 Ø 100 cm, Prof. 9 m</v>
      </c>
    </row>
    <row r="295" spans="2:64" x14ac:dyDescent="0.25">
      <c r="B295" s="12">
        <f>ROUNDUP((ROW(HC[[#This Row],[idDiâmetro]])-ROW(HC[[#Headers],[idDiâmetro]]))/(COUNT(SPT[Prof. (m)])*COUNT(PILARES[Pilar])),0)</f>
        <v>11</v>
      </c>
      <c r="C295" s="12">
        <f>IF(HC[[#This Row],[idDiâmetro]]&lt;&gt;B294,1,IF(HC[[#This Row],[Prof. (m)]]=0,C294+1,C294))</f>
        <v>1</v>
      </c>
      <c r="D295" s="82">
        <f>IFERROR(IF(D294=MAX(SPT[Prof. (m)]),0,D294+1),0)</f>
        <v>10</v>
      </c>
      <c r="E295" s="82">
        <f>INDEX(SPT[],MATCH(HC[[#This Row],[Prof. (m)]],SPT[Prof. (m)],0),2)</f>
        <v>32</v>
      </c>
      <c r="F295" s="82" t="str">
        <f>INDEX(SPT[],MATCH(HC[[#This Row],[Prof. (m)]],SPT[Prof. (m)],0),3)</f>
        <v>Areia siltosa</v>
      </c>
      <c r="G295" s="82">
        <f>INDEX(estacas[],HC[[#This Row],[idDiâmetro]],MATCH($B$2,estacas[#Headers],0))</f>
        <v>100</v>
      </c>
      <c r="H295" s="82">
        <f>INDEX(estacas[],MATCH(HC[[#This Row],[Ø (cm)]],estacas[Ø HC (cm)],0),MATCH(HC[[#Headers],[Pe HC (kN)]],estacas[#Headers],0))</f>
        <v>5000</v>
      </c>
      <c r="I295" s="4">
        <f>INDEX(K_alpha_C[],MATCH(HC[[#This Row],[Solo]],K_alpha_C[Solo],0),2)</f>
        <v>0.8</v>
      </c>
      <c r="J295" s="5">
        <f>INDEX(K_alpha_C[],MATCH(HC[[#This Row],[Solo]],K_alpha_C[Solo],0),3)</f>
        <v>2</v>
      </c>
      <c r="K295" s="4">
        <f>INDEX(F1_F2[],MATCH($D$2,F1_F2[Tipo de estaca],0),2)</f>
        <v>2</v>
      </c>
      <c r="L295" s="4">
        <f>INDEX(F1_F2[],MATCH($D$2,F1_F2[Tipo de estaca],0),3)</f>
        <v>4</v>
      </c>
      <c r="M295" s="4">
        <f>PI()*(HC[[#This Row],[Ø (cm)]]/100)^2/4</f>
        <v>0.78539816339744828</v>
      </c>
      <c r="N295" s="4">
        <f>PI()*HC[[#This Row],[Ø (cm)]]/100</f>
        <v>3.1415926535897931</v>
      </c>
      <c r="O295" s="4">
        <f>IF(HC[[#This Row],[Prof. (m)]]=0,0,HC[[#This Row],[α (%)]]/100*HC[[#This Row],[K (MPa)]]*1000*HC[[#This Row],[NSPT]])</f>
        <v>512</v>
      </c>
      <c r="P295" s="4">
        <f>IF(HC[[#This Row],[Prof. (m)]]=0,0,(HC[[#This Row],[K (MPa)]]*1000*HC[[#This Row],[NSPT]]/HC[[#This Row],[F1]]*HC[[#This Row],[Ap (m²)]]+HC[[#This Row],[U (m)]]/HC[[#This Row],[F2]]*SUMIFS(HC[(α∙K∙NL∙ΔL)],HC[Prof. (m)],"&lt;="&amp;HC[[#This Row],[Prof. (m)]],HC[idDiâmetro],HC[[#This Row],[idDiâmetro]],HC[idPilar],HC[[#This Row],[idPilar]]))/'DADOS CAP. CARGA'!$D$2)</f>
        <v>5783.6328053506395</v>
      </c>
      <c r="Q295" s="12">
        <f>INDEX(C_alpha_beta[],MATCH(HC[[#This Row],[Solo]],C_alpha_beta[Solo],0),MATCH(HC[[#Headers],[C (kPa)]],C_alpha_beta[#Headers],0))</f>
        <v>400</v>
      </c>
      <c r="R295" s="4">
        <f>INDEX(C_alpha_beta[],MATCH(HC[[#This Row],[Solo]],C_alpha_beta[Solo],0),MATCH(HC[[#Headers],[α ESF]],C_alpha_beta[#Headers],0))</f>
        <v>0.5</v>
      </c>
      <c r="S295" s="4">
        <f>INDEX(C_alpha_beta[],MATCH(HC[[#This Row],[Solo]],C_alpha_beta[Solo],0),MATCH(HC[[#Headers],[β ESF]],C_alpha_beta[#Headers],0))</f>
        <v>0.5</v>
      </c>
      <c r="T295" s="4">
        <f>IF(HC[[#This Row],[Prof. (m)]]=0,0,10*(HC[[#This Row],[NSPT]]/3+1))</f>
        <v>116.66666666666666</v>
      </c>
      <c r="U295" s="4">
        <f>(HC[[#This Row],[α ESF]]*HC[[#This Row],[C (kPa)]]*HC[[#This Row],[NSPT]]*HC[[#This Row],[Ap (m²)]])/'DADOS CAP. CARGA'!$Q$2+(HC[[#This Row],[β ESF]]*SUMIFS(HC[10∙(NL/3+1)],HC[Prof. (m)],"&lt;="&amp;HC[[#This Row],[Prof. (m)]],HC[idDiâmetro],HC[[#This Row],[idDiâmetro]],HC[idPilar],HC[[#This Row],[idPilar]])*HC[[#This Row],[U (m)]])/'DADOS CAP. CARGA'!$S$2</f>
        <v>1675.5160819145563</v>
      </c>
      <c r="V295" s="4">
        <f>IF(SPT!$M$5=1,MIN(HC[[#This Row],[Pe HC (kN)]],HC[[#This Row],[R_AV (kN)]]),IF(SPT!$M$5=2,MIN(HC[[#This Row],[Pe HC (kN)]],HC[[#This Row],[R_DC (kN)]]),MIN(HC[[#This Row],[Pe HC (kN)]],HC[[#This Row],[R_AV (kN)]],HC[[#This Row],[R_DC (kN)]])))</f>
        <v>1675.5160819145563</v>
      </c>
      <c r="W295" s="4">
        <f>INDEX(PILARES[],HC[[#This Row],[idPilar]],MATCH("Carga (kN)",PILARES[#Headers],0))*1.4</f>
        <v>3500</v>
      </c>
      <c r="X295" s="12">
        <f>INDEX(PILARES[],HC[[#This Row],[idPilar]],MATCH(HC[[#Headers],[ap (cm)]],PILARES[#Headers],0))</f>
        <v>60</v>
      </c>
      <c r="Y295" s="12">
        <f>INDEX(PILARES[],HC[[#This Row],[idPilar]],MATCH(HC[[#Headers],[bp (cm)]],PILARES[#Headers],0))</f>
        <v>60</v>
      </c>
      <c r="Z295" s="4">
        <f>SQRT(HC[[#This Row],[ap (cm)]]*HC[[#This Row],[bp (cm)]])</f>
        <v>60</v>
      </c>
      <c r="AA295" s="12">
        <f>HC[[#This Row],[ap (cm)]]*HC[[#This Row],[bp (cm)]]</f>
        <v>3600</v>
      </c>
      <c r="AB295" s="12">
        <f ca="1">IF(HC[[#This Row],[Padm∙ε (kN)]]&gt;=HC[[#This Row],[Padm (kN)]],ROUNDUP(1.05*HC[[#This Row],[Nsd (kN)]]/HC[[#This Row],[Padm (kN)]],0),ROUNDUP(1.05*HC[[#This Row],[Nsd (kN)]]/HC[[#This Row],[Padm (kN)]],0)+1)</f>
        <v>3</v>
      </c>
      <c r="AC295" s="4">
        <f ca="1">IFERROR(IF(HC[[#This Row],[nE]]=1,HC[[#This Row],[Padm (kN)]],HC[[#This Row],[Padm (kN)]]*HC[[#This Row],[nE]]*INDEX(grupoEstacas[],HC[[#This Row],[nE]],MATCH("ε",grupoEstacas[#Headers],0))),"N.S.")</f>
        <v>4398.22971502571</v>
      </c>
      <c r="AD295" s="4">
        <f ca="1">1.05*HC[[#This Row],[Nsd (kN)]]/(HC[[#This Row],[nE]]*PI()*HC[[#This Row],[Ø (cm)]]^2/4)*10</f>
        <v>1.5597184423005745</v>
      </c>
      <c r="AE295" s="4">
        <f ca="1">IF(HC[[#This Row],[σ (MPa)]]&lt;INDEX(tipoEstaca[],MATCH($D$2,tipoEstaca[TIPO DE ESTACA],0),MATCH("σmáx (MPa)",tipoEstaca[#Headers],0)),0.4%*PI()*HC[[#This Row],[Ø (cm)]]^2/4,"N.S.")</f>
        <v>31.415926535897935</v>
      </c>
      <c r="AF295" s="82">
        <f>INDEX(tipoEstaca[],MATCH($D$2,tipoEstaca[TIPO DE ESTACA],0),MATCH(HC[[#Headers],[Comprimento (m)]],tipoEstaca[#Headers],0))</f>
        <v>4</v>
      </c>
      <c r="AG295" s="5">
        <f ca="1">HC[[#This Row],[As,mín (cm²)]]/100^2*HC[[#This Row],[Comprimento (m)]]*7850</f>
        <v>98.646009322719507</v>
      </c>
      <c r="AH295" s="4">
        <f ca="1">HC[[#This Row],[nE]]*HC[[#This Row],[Prof. (m)]]*HC[[#This Row],[Ap (m²)]]</f>
        <v>23.561944901923447</v>
      </c>
      <c r="AI295" s="82">
        <f ca="1">IF(HC[[#This Row],[nE]]=1,0,MAX(3*HC[[#This Row],[Ø (cm)]],60))</f>
        <v>300</v>
      </c>
      <c r="AJ295" s="82">
        <f ca="1">IF(HC[[#This Row],[nE]]=1,HC[[#This Row],[Ø (cm)]]+2*10,MAX(1.5*HC[[#This Row],[Ø (cm)]],HC[[#This Row],[Ø (cm)]]+15))</f>
        <v>150</v>
      </c>
      <c r="AK295" s="82">
        <f ca="1">alturaUtil(HC[[#This Row],[nE]],HC[[#This Row],[Ø (cm)]],HC[[#This Row],[e (cm)]],HC[[#This Row],[ap,eq (cm)]])</f>
        <v>135</v>
      </c>
      <c r="AL295" s="82">
        <f ca="1">IFERROR(HC[[#This Row],[d (cm)]]+arredondarParaCimaMultiplo5cm(MAX(5,SQRT(PI())/2*HC[[#This Row],[Ø (cm)]]/5)),"N.S.")</f>
        <v>155</v>
      </c>
      <c r="AM295" s="5">
        <f ca="1">alpha(HC[[#This Row],[nE]],HC[[#This Row],[d (cm)]],HC[[#This Row],[e (cm)]],HC[[#This Row],[ap,eq (cm)]])</f>
        <v>45.643745714175381</v>
      </c>
      <c r="AN295" s="35">
        <f ca="1">IFERROR(HC[[#This Row],[Nsd (kN)]]/(HC[[#This Row],[Ap (cm²)]]*SIN(HC[[#This Row],[α]])^2),"N.S.")</f>
        <v>0.98025575321721969</v>
      </c>
      <c r="AO295" s="35">
        <f ca="1">IFERROR(HC[[#This Row],[Nsd (kN)]]/(HC[[#This Row],[nE]]*PI()*HC[[#This Row],[Ø (cm)]]^2/4*SIN(HC[[#This Row],[α]])^2),"N.S.")</f>
        <v>0.14977204667403804</v>
      </c>
      <c r="AP295" s="4">
        <f ca="1">IFERROR(INDEX(grupoEstacas[],HC[[#This Row],[nE]],MATCH("coef. Blévot",grupoEstacas[#Headers],0)),"N.S.")</f>
        <v>1.75</v>
      </c>
      <c r="AQ295" s="35">
        <f ca="1">IFERROR(HC[[#This Row],[coef. Blévot]]*0.9*INDEX(tipoEstaca[],MATCH($D$2,tipoEstaca[TIPO DE ESTACA],0),MATCH("fcd (kN/cm²)",tipoEstaca[#Headers],0)),"N.S.")</f>
        <v>1.75</v>
      </c>
      <c r="AR295" s="82" t="str">
        <f ca="1">IF(AND(HC[[#This Row],[cd,b,pil (kN/cm²)]]&lt;=HC[[#This Row],[cd,b,lim (kN/cm²)]],HC[[#This Row],[cd,b,est (kN/cm²)]]&lt;=HC[[#This Row],[cd,b,lim (kN/cm²)]]),"OK","ERRO")</f>
        <v>OK</v>
      </c>
      <c r="AS295" s="4">
        <f ca="1">As_lado(HC[[#This Row],[nE]],HC[[#This Row],[Nsd (kN)]],HC[[#This Row],[d (cm)]],HC[[#This Row],[e (cm)]],HC[[#This Row],[ap,eq (cm)]])</f>
        <v>17.810912246775882</v>
      </c>
      <c r="AT295" s="4" t="str">
        <f ca="1">IF(HC[[#This Row],[nE]]=1,HC[[#This Row],[As,lado (cm²)]],IF(HC[[#This Row],[nE]]=2,0.075*2*HC[a (cm)],"N.A."))</f>
        <v>N.A.</v>
      </c>
      <c r="AU295" s="4">
        <f ca="1">IFERROR(IF(HC[[#This Row],[nE]]=1,"N.A.",0.2*HC[[#This Row],[As,lado (cm²)]]),"N.S.")</f>
        <v>3.5621824493551766</v>
      </c>
      <c r="AV295" s="4">
        <f ca="1">As_malha(HC[[#This Row],[nE]],HC[[#This Row],[As,lado (cm²)]],HC[[#This Row],[Nsd (kN)]])</f>
        <v>5.9629629629629619</v>
      </c>
      <c r="AW295" s="4">
        <f ca="1">As_susp_tot(HC[[#This Row],[nE]],HC[[#This Row],[Nsd (kN)]])</f>
        <v>17.888888888888886</v>
      </c>
      <c r="AX295" s="4">
        <f ca="1">Asp_face(HC[[#This Row],[nE]],HC[[#This Row],[As,lado (cm²)]])</f>
        <v>6.6790920925409552</v>
      </c>
      <c r="AY295" s="5">
        <f ca="1">acoBloco(HC[[#This Row],[nE]],HC[[#This Row],[e (cm)]],HC[[#This Row],[a (cm)]],HC[[#This Row],[h (cm)]],HC[[#This Row],[As,lado (cm²)]],HC[[#This Row],[Asp e Asw (cm²/m)]],HC[[#This Row],[As,sup (cm²)]],HC[[#This Row],[As,malha (cm²)]],HC[[#This Row],[As,susp,tot (cm²)]],HC[[#This Row],[Asp,face (cm²)]])</f>
        <v>527.88157078579366</v>
      </c>
      <c r="AZ295" s="4">
        <f ca="1">concretoBloco(HC[[#This Row],[nE]],HC[[#This Row],[e (cm)]],HC[[#This Row],[a (cm)]],HC[[#This Row],[h (cm)]])</f>
        <v>39.046581574189382</v>
      </c>
      <c r="BA295" s="5">
        <f ca="1">SUM(HC[[#This Row],[Aço Est (kg)]],HC[[#This Row],[Aço Bloco (kg)]])</f>
        <v>626.52758010851312</v>
      </c>
      <c r="BB295" s="4">
        <f>INDEX(composicoes[],MATCH(95580,composicoes[CÓDIGO],0),MATCH("CUSTO TOTAL",composicoes[#Headers],0))</f>
        <v>10.46</v>
      </c>
      <c r="BC295" s="4">
        <f ca="1">SUM(HC[[#This Row],[Conc Est (m³)]],HC[[#This Row],[Conc Bloco (m³)]])</f>
        <v>62.608526476112829</v>
      </c>
      <c r="BD295" s="4">
        <f>INDEX(composicoes[],MATCH(94966,composicoes[CÓDIGO],0),MATCH("CUSTO TOTAL",composicoes[#Headers],0))</f>
        <v>439.52</v>
      </c>
      <c r="BE295" s="38">
        <f ca="1">HC[[#This Row],[Aço (kg)]]*HC[[#This Row],[Aço (R$/kg)]]+HC[[#This Row],[Conc (m³)]]*HC[[#This Row],[Conc (R$/m³)]]</f>
        <v>34071.178044716158</v>
      </c>
      <c r="BF295" s="4" t="str">
        <f ca="1">IF(COUNTIF(HC[#This Row],"N.S.")&gt;0,"lim.","OK")</f>
        <v>OK</v>
      </c>
      <c r="BG295" s="4" t="str">
        <f>IF(HC[[#This Row],[Prof. (m)]]&lt;4,"lim.","OK")</f>
        <v>OK</v>
      </c>
      <c r="BH295" s="4" t="str">
        <f>IF(HC[[#This Row],[Prof. (m)]]&gt;=8*HC[[#This Row],[Ø (cm)]]/100,"OK","lim.")</f>
        <v>OK</v>
      </c>
      <c r="BI295" s="4" t="str">
        <f ca="1">IF(HC[[#This Row],[Verif. Biela]]="OK","OK","lim.")</f>
        <v>OK</v>
      </c>
      <c r="BJ295" s="4" t="str">
        <f ca="1">IF(COUNTA(HC[[#This Row],[Nº Est.]:[Biela comp.]])=COUNTIF(HC[[#This Row],[Nº Est.]:[Biela comp.]],"OK"),"OK","lim.")</f>
        <v>OK</v>
      </c>
      <c r="BK295" s="4" t="str">
        <f ca="1">IF(HC[[#This Row],[Controle]]="OK",HC[[#This Row],[nE]]&amp;" Ø "&amp;HC[[#This Row],[Ø (cm)]]&amp;" cm, Prof. "&amp;HC[[#This Row],[Prof. (m)]]&amp;" m","")</f>
        <v>3 Ø 100 cm, Prof. 10 m</v>
      </c>
      <c r="BL295" s="4" t="str">
        <f ca="1">IF(HC[[#This Row],[idDimensionamento]]="","",HC[[#This Row],[idPilar]]&amp;HC[[#This Row],[idDimensionamento]])</f>
        <v>13 Ø 100 cm, Prof. 10 m</v>
      </c>
    </row>
    <row r="296" spans="2:64" x14ac:dyDescent="0.25">
      <c r="B296" s="12">
        <f>ROUNDUP((ROW(HC[[#This Row],[idDiâmetro]])-ROW(HC[[#Headers],[idDiâmetro]]))/(COUNT(SPT[Prof. (m)])*COUNT(PILARES[Pilar])),0)</f>
        <v>11</v>
      </c>
      <c r="C296" s="12">
        <f>IF(HC[[#This Row],[idDiâmetro]]&lt;&gt;B295,1,IF(HC[[#This Row],[Prof. (m)]]=0,C295+1,C295))</f>
        <v>1</v>
      </c>
      <c r="D296" s="82">
        <f>IFERROR(IF(D295=MAX(SPT[Prof. (m)]),0,D295+1),0)</f>
        <v>11</v>
      </c>
      <c r="E296" s="82">
        <f>INDEX(SPT[],MATCH(HC[[#This Row],[Prof. (m)]],SPT[Prof. (m)],0),2)</f>
        <v>41</v>
      </c>
      <c r="F296" s="82" t="str">
        <f>INDEX(SPT[],MATCH(HC[[#This Row],[Prof. (m)]],SPT[Prof. (m)],0),3)</f>
        <v>Areia siltosa</v>
      </c>
      <c r="G296" s="82">
        <f>INDEX(estacas[],HC[[#This Row],[idDiâmetro]],MATCH($B$2,estacas[#Headers],0))</f>
        <v>100</v>
      </c>
      <c r="H296" s="82">
        <f>INDEX(estacas[],MATCH(HC[[#This Row],[Ø (cm)]],estacas[Ø HC (cm)],0),MATCH(HC[[#Headers],[Pe HC (kN)]],estacas[#Headers],0))</f>
        <v>5000</v>
      </c>
      <c r="I296" s="4">
        <f>INDEX(K_alpha_C[],MATCH(HC[[#This Row],[Solo]],K_alpha_C[Solo],0),2)</f>
        <v>0.8</v>
      </c>
      <c r="J296" s="5">
        <f>INDEX(K_alpha_C[],MATCH(HC[[#This Row],[Solo]],K_alpha_C[Solo],0),3)</f>
        <v>2</v>
      </c>
      <c r="K296" s="4">
        <f>INDEX(F1_F2[],MATCH($D$2,F1_F2[Tipo de estaca],0),2)</f>
        <v>2</v>
      </c>
      <c r="L296" s="4">
        <f>INDEX(F1_F2[],MATCH($D$2,F1_F2[Tipo de estaca],0),3)</f>
        <v>4</v>
      </c>
      <c r="M296" s="4">
        <f>PI()*(HC[[#This Row],[Ø (cm)]]/100)^2/4</f>
        <v>0.78539816339744828</v>
      </c>
      <c r="N296" s="4">
        <f>PI()*HC[[#This Row],[Ø (cm)]]/100</f>
        <v>3.1415926535897931</v>
      </c>
      <c r="O296" s="4">
        <f>IF(HC[[#This Row],[Prof. (m)]]=0,0,HC[[#This Row],[α (%)]]/100*HC[[#This Row],[K (MPa)]]*1000*HC[[#This Row],[NSPT]])</f>
        <v>656</v>
      </c>
      <c r="P296" s="4">
        <f>IF(HC[[#This Row],[Prof. (m)]]=0,0,(HC[[#This Row],[K (MPa)]]*1000*HC[[#This Row],[NSPT]]/HC[[#This Row],[F1]]*HC[[#This Row],[Ap (m²)]]+HC[[#This Row],[U (m)]]/HC[[#This Row],[F2]]*SUMIFS(HC[(α∙K∙NL∙ΔL)],HC[Prof. (m)],"&lt;="&amp;HC[[#This Row],[Prof. (m)]],HC[idDiâmetro],HC[[#This Row],[idDiâmetro]],HC[idPilar],HC[[#This Row],[idPilar]]))/'DADOS CAP. CARGA'!$D$2)</f>
        <v>7454.9600970604088</v>
      </c>
      <c r="Q296" s="12">
        <f>INDEX(C_alpha_beta[],MATCH(HC[[#This Row],[Solo]],C_alpha_beta[Solo],0),MATCH(HC[[#Headers],[C (kPa)]],C_alpha_beta[#Headers],0))</f>
        <v>400</v>
      </c>
      <c r="R296" s="4">
        <f>INDEX(C_alpha_beta[],MATCH(HC[[#This Row],[Solo]],C_alpha_beta[Solo],0),MATCH(HC[[#Headers],[α ESF]],C_alpha_beta[#Headers],0))</f>
        <v>0.5</v>
      </c>
      <c r="S296" s="4">
        <f>INDEX(C_alpha_beta[],MATCH(HC[[#This Row],[Solo]],C_alpha_beta[Solo],0),MATCH(HC[[#Headers],[β ESF]],C_alpha_beta[#Headers],0))</f>
        <v>0.5</v>
      </c>
      <c r="T296" s="4">
        <f>IF(HC[[#This Row],[Prof. (m)]]=0,0,10*(HC[[#This Row],[NSPT]]/3+1))</f>
        <v>146.66666666666666</v>
      </c>
      <c r="U296" s="4">
        <f>(HC[[#This Row],[α ESF]]*HC[[#This Row],[C (kPa)]]*HC[[#This Row],[NSPT]]*HC[[#This Row],[Ap (m²)]])/'DADOS CAP. CARGA'!$Q$2+(HC[[#This Row],[β ESF]]*SUMIFS(HC[10∙(NL/3+1)],HC[Prof. (m)],"&lt;="&amp;HC[[#This Row],[Prof. (m)]],HC[idDiâmetro],HC[[#This Row],[idDiâmetro]],HC[idPilar],HC[[#This Row],[idPilar]])*HC[[#This Row],[U (m)]])/'DADOS CAP. CARGA'!$S$2</f>
        <v>2144.1369860750337</v>
      </c>
      <c r="V296" s="4">
        <f>IF(SPT!$M$5=1,MIN(HC[[#This Row],[Pe HC (kN)]],HC[[#This Row],[R_AV (kN)]]),IF(SPT!$M$5=2,MIN(HC[[#This Row],[Pe HC (kN)]],HC[[#This Row],[R_DC (kN)]]),MIN(HC[[#This Row],[Pe HC (kN)]],HC[[#This Row],[R_AV (kN)]],HC[[#This Row],[R_DC (kN)]])))</f>
        <v>2144.1369860750337</v>
      </c>
      <c r="W296" s="4">
        <f>INDEX(PILARES[],HC[[#This Row],[idPilar]],MATCH("Carga (kN)",PILARES[#Headers],0))*1.4</f>
        <v>3500</v>
      </c>
      <c r="X296" s="12">
        <f>INDEX(PILARES[],HC[[#This Row],[idPilar]],MATCH(HC[[#Headers],[ap (cm)]],PILARES[#Headers],0))</f>
        <v>60</v>
      </c>
      <c r="Y296" s="12">
        <f>INDEX(PILARES[],HC[[#This Row],[idPilar]],MATCH(HC[[#Headers],[bp (cm)]],PILARES[#Headers],0))</f>
        <v>60</v>
      </c>
      <c r="Z296" s="4">
        <f>SQRT(HC[[#This Row],[ap (cm)]]*HC[[#This Row],[bp (cm)]])</f>
        <v>60</v>
      </c>
      <c r="AA296" s="12">
        <f>HC[[#This Row],[ap (cm)]]*HC[[#This Row],[bp (cm)]]</f>
        <v>3600</v>
      </c>
      <c r="AB296" s="12">
        <f ca="1">IF(HC[[#This Row],[Padm∙ε (kN)]]&gt;=HC[[#This Row],[Padm (kN)]],ROUNDUP(1.05*HC[[#This Row],[Nsd (kN)]]/HC[[#This Row],[Padm (kN)]],0),ROUNDUP(1.05*HC[[#This Row],[Nsd (kN)]]/HC[[#This Row],[Padm (kN)]],0)+1)</f>
        <v>2</v>
      </c>
      <c r="AC296" s="4">
        <f ca="1">IFERROR(IF(HC[[#This Row],[nE]]=1,HC[[#This Row],[Padm (kN)]],HC[[#This Row],[Padm (kN)]]*HC[[#This Row],[nE]]*INDEX(grupoEstacas[],HC[[#This Row],[nE]],MATCH("ε",grupoEstacas[#Headers],0))),"N.S.")</f>
        <v>4020.2568488906882</v>
      </c>
      <c r="AD296" s="4">
        <f ca="1">1.05*HC[[#This Row],[Nsd (kN)]]/(HC[[#This Row],[nE]]*PI()*HC[[#This Row],[Ø (cm)]]^2/4)*10</f>
        <v>2.3395776634508616</v>
      </c>
      <c r="AE296" s="4">
        <f ca="1">IF(HC[[#This Row],[σ (MPa)]]&lt;INDEX(tipoEstaca[],MATCH($D$2,tipoEstaca[TIPO DE ESTACA],0),MATCH("σmáx (MPa)",tipoEstaca[#Headers],0)),0.4%*PI()*HC[[#This Row],[Ø (cm)]]^2/4,"N.S.")</f>
        <v>31.415926535897935</v>
      </c>
      <c r="AF296" s="82">
        <f>INDEX(tipoEstaca[],MATCH($D$2,tipoEstaca[TIPO DE ESTACA],0),MATCH(HC[[#Headers],[Comprimento (m)]],tipoEstaca[#Headers],0))</f>
        <v>4</v>
      </c>
      <c r="AG296" s="5">
        <f ca="1">HC[[#This Row],[As,mín (cm²)]]/100^2*HC[[#This Row],[Comprimento (m)]]*7850</f>
        <v>98.646009322719507</v>
      </c>
      <c r="AH296" s="4">
        <f ca="1">HC[[#This Row],[nE]]*HC[[#This Row],[Prof. (m)]]*HC[[#This Row],[Ap (m²)]]</f>
        <v>17.27875959474386</v>
      </c>
      <c r="AI296" s="82">
        <f ca="1">IF(HC[[#This Row],[nE]]=1,0,MAX(3*HC[[#This Row],[Ø (cm)]],60))</f>
        <v>300</v>
      </c>
      <c r="AJ296" s="82">
        <f ca="1">IF(HC[[#This Row],[nE]]=1,HC[[#This Row],[Ø (cm)]]+2*10,MAX(1.5*HC[[#This Row],[Ø (cm)]],HC[[#This Row],[Ø (cm)]]+15))</f>
        <v>150</v>
      </c>
      <c r="AK296" s="82">
        <f ca="1">alturaUtil(HC[[#This Row],[nE]],HC[[#This Row],[Ø (cm)]],HC[[#This Row],[e (cm)]],HC[[#This Row],[ap,eq (cm)]])</f>
        <v>135</v>
      </c>
      <c r="AL296" s="82">
        <f ca="1">IFERROR(HC[[#This Row],[d (cm)]]+arredondarParaCimaMultiplo5cm(MAX(5,SQRT(PI())/2*HC[[#This Row],[Ø (cm)]]/5)),"N.S.")</f>
        <v>155</v>
      </c>
      <c r="AM296" s="5">
        <f ca="1">alpha(HC[[#This Row],[nE]],HC[[#This Row],[d (cm)]],HC[[#This Row],[e (cm)]],HC[[#This Row],[ap,eq (cm)]])</f>
        <v>45</v>
      </c>
      <c r="AN296" s="35">
        <f ca="1">IFERROR(HC[[#This Row],[Nsd (kN)]]/(HC[[#This Row],[Ap (cm²)]]*SIN(HC[[#This Row],[α]])^2),"N.S.")</f>
        <v>1.3427801064714635</v>
      </c>
      <c r="AO296" s="35">
        <f ca="1">IFERROR(HC[[#This Row],[Nsd (kN)]]/(HC[[#This Row],[nE]]*PI()*HC[[#This Row],[Ø (cm)]]^2/4*SIN(HC[[#This Row],[α]])^2),"N.S.")</f>
        <v>0.30774253165976873</v>
      </c>
      <c r="AP296" s="4">
        <f ca="1">IFERROR(INDEX(grupoEstacas[],HC[[#This Row],[nE]],MATCH("coef. Blévot",grupoEstacas[#Headers],0)),"N.S.")</f>
        <v>1.4</v>
      </c>
      <c r="AQ296" s="35">
        <f ca="1">IFERROR(HC[[#This Row],[coef. Blévot]]*0.9*INDEX(tipoEstaca[],MATCH($D$2,tipoEstaca[TIPO DE ESTACA],0),MATCH("fcd (kN/cm²)",tipoEstaca[#Headers],0)),"N.S.")</f>
        <v>1.4000000000000001</v>
      </c>
      <c r="AR296" s="82" t="str">
        <f ca="1">IF(AND(HC[[#This Row],[cd,b,pil (kN/cm²)]]&lt;=HC[[#This Row],[cd,b,lim (kN/cm²)]],HC[[#This Row],[cd,b,est (kN/cm²)]]&lt;=HC[[#This Row],[cd,b,lim (kN/cm²)]]),"OK","ERRO")</f>
        <v>OK</v>
      </c>
      <c r="AS296" s="4">
        <f ca="1">As_lado(HC[[#This Row],[nE]],HC[[#This Row],[Nsd (kN)]],HC[[#This Row],[d (cm)]],HC[[#This Row],[e (cm)]],HC[[#This Row],[ap,eq (cm)]])</f>
        <v>46.287499999999987</v>
      </c>
      <c r="AT296" s="4">
        <f ca="1">IF(HC[[#This Row],[nE]]=1,HC[[#This Row],[As,lado (cm²)]],IF(HC[[#This Row],[nE]]=2,0.075*2*HC[a (cm)],"N.A."))</f>
        <v>22.5</v>
      </c>
      <c r="AU296" s="4">
        <f ca="1">IFERROR(IF(HC[[#This Row],[nE]]=1,"N.A.",0.2*HC[[#This Row],[As,lado (cm²)]]),"N.S.")</f>
        <v>9.2574999999999985</v>
      </c>
      <c r="AV296" s="4" t="str">
        <f ca="1">As_malha(HC[[#This Row],[nE]],HC[[#This Row],[As,lado (cm²)]],HC[[#This Row],[Nsd (kN)]])</f>
        <v>N.A.</v>
      </c>
      <c r="AW296" s="4" t="str">
        <f ca="1">As_susp_tot(HC[[#This Row],[nE]],HC[[#This Row],[Nsd (kN)]])</f>
        <v>N.A.</v>
      </c>
      <c r="AX296" s="4" t="str">
        <f ca="1">Asp_face(HC[[#This Row],[nE]],HC[[#This Row],[As,lado (cm²)]])</f>
        <v>N.A.</v>
      </c>
      <c r="AY296" s="5">
        <f ca="1">acoBloco(HC[[#This Row],[nE]],HC[[#This Row],[e (cm)]],HC[[#This Row],[a (cm)]],HC[[#This Row],[h (cm)]],HC[[#This Row],[As,lado (cm²)]],HC[[#This Row],[Asp e Asw (cm²/m)]],HC[[#This Row],[As,sup (cm²)]],HC[[#This Row],[As,malha (cm²)]],HC[[#This Row],[As,susp,tot (cm²)]],HC[[#This Row],[Asp,face (cm²)]])</f>
        <v>1718.7732000000001</v>
      </c>
      <c r="AZ296" s="4">
        <f ca="1">concretoBloco(HC[[#This Row],[nE]],HC[[#This Row],[e (cm)]],HC[[#This Row],[a (cm)]],HC[[#This Row],[h (cm)]])</f>
        <v>27.9</v>
      </c>
      <c r="BA296" s="5">
        <f ca="1">SUM(HC[[#This Row],[Aço Est (kg)]],HC[[#This Row],[Aço Bloco (kg)]])</f>
        <v>1817.4192093227196</v>
      </c>
      <c r="BB296" s="4">
        <f>INDEX(composicoes[],MATCH(95580,composicoes[CÓDIGO],0),MATCH("CUSTO TOTAL",composicoes[#Headers],0))</f>
        <v>10.46</v>
      </c>
      <c r="BC296" s="4">
        <f ca="1">SUM(HC[[#This Row],[Conc Est (m³)]],HC[[#This Row],[Conc Bloco (m³)]])</f>
        <v>45.178759594743859</v>
      </c>
      <c r="BD296" s="4">
        <f>INDEX(composicoes[],MATCH(94966,composicoes[CÓDIGO],0),MATCH("CUSTO TOTAL",composicoes[#Headers],0))</f>
        <v>439.52</v>
      </c>
      <c r="BE296" s="38">
        <f ca="1">HC[[#This Row],[Aço (kg)]]*HC[[#This Row],[Aço (R$/kg)]]+HC[[#This Row],[Conc (m³)]]*HC[[#This Row],[Conc (R$/m³)]]</f>
        <v>38867.173346597468</v>
      </c>
      <c r="BF296" s="4" t="str">
        <f ca="1">IF(COUNTIF(HC[#This Row],"N.S.")&gt;0,"lim.","OK")</f>
        <v>OK</v>
      </c>
      <c r="BG296" s="4" t="str">
        <f>IF(HC[[#This Row],[Prof. (m)]]&lt;4,"lim.","OK")</f>
        <v>OK</v>
      </c>
      <c r="BH296" s="4" t="str">
        <f>IF(HC[[#This Row],[Prof. (m)]]&gt;=8*HC[[#This Row],[Ø (cm)]]/100,"OK","lim.")</f>
        <v>OK</v>
      </c>
      <c r="BI296" s="4" t="str">
        <f ca="1">IF(HC[[#This Row],[Verif. Biela]]="OK","OK","lim.")</f>
        <v>OK</v>
      </c>
      <c r="BJ296" s="4" t="str">
        <f ca="1">IF(COUNTA(HC[[#This Row],[Nº Est.]:[Biela comp.]])=COUNTIF(HC[[#This Row],[Nº Est.]:[Biela comp.]],"OK"),"OK","lim.")</f>
        <v>OK</v>
      </c>
      <c r="BK296" s="4" t="str">
        <f ca="1">IF(HC[[#This Row],[Controle]]="OK",HC[[#This Row],[nE]]&amp;" Ø "&amp;HC[[#This Row],[Ø (cm)]]&amp;" cm, Prof. "&amp;HC[[#This Row],[Prof. (m)]]&amp;" m","")</f>
        <v>2 Ø 100 cm, Prof. 11 m</v>
      </c>
      <c r="BL296" s="4" t="str">
        <f ca="1">IF(HC[[#This Row],[idDimensionamento]]="","",HC[[#This Row],[idPilar]]&amp;HC[[#This Row],[idDimensionamento]])</f>
        <v>12 Ø 100 cm, Prof. 11 m</v>
      </c>
    </row>
    <row r="297" spans="2:64" x14ac:dyDescent="0.25">
      <c r="B297" s="12">
        <f>ROUNDUP((ROW(HC[[#This Row],[idDiâmetro]])-ROW(HC[[#Headers],[idDiâmetro]]))/(COUNT(SPT[Prof. (m)])*COUNT(PILARES[Pilar])),0)</f>
        <v>11</v>
      </c>
      <c r="C297" s="12">
        <f>IF(HC[[#This Row],[idDiâmetro]]&lt;&gt;B296,1,IF(HC[[#This Row],[Prof. (m)]]=0,C296+1,C296))</f>
        <v>1</v>
      </c>
      <c r="D297" s="82">
        <f>IFERROR(IF(D296=MAX(SPT[Prof. (m)]),0,D296+1),0)</f>
        <v>12</v>
      </c>
      <c r="E297" s="82">
        <f>INDEX(SPT[],MATCH(HC[[#This Row],[Prof. (m)]],SPT[Prof. (m)],0),2)</f>
        <v>52</v>
      </c>
      <c r="F297" s="82" t="str">
        <f>INDEX(SPT[],MATCH(HC[[#This Row],[Prof. (m)]],SPT[Prof. (m)],0),3)</f>
        <v>Areia siltosa</v>
      </c>
      <c r="G297" s="82">
        <f>INDEX(estacas[],HC[[#This Row],[idDiâmetro]],MATCH($B$2,estacas[#Headers],0))</f>
        <v>100</v>
      </c>
      <c r="H297" s="82">
        <f>INDEX(estacas[],MATCH(HC[[#This Row],[Ø (cm)]],estacas[Ø HC (cm)],0),MATCH(HC[[#Headers],[Pe HC (kN)]],estacas[#Headers],0))</f>
        <v>5000</v>
      </c>
      <c r="I297" s="4">
        <f>INDEX(K_alpha_C[],MATCH(HC[[#This Row],[Solo]],K_alpha_C[Solo],0),2)</f>
        <v>0.8</v>
      </c>
      <c r="J297" s="5">
        <f>INDEX(K_alpha_C[],MATCH(HC[[#This Row],[Solo]],K_alpha_C[Solo],0),3)</f>
        <v>2</v>
      </c>
      <c r="K297" s="4">
        <f>INDEX(F1_F2[],MATCH($D$2,F1_F2[Tipo de estaca],0),2)</f>
        <v>2</v>
      </c>
      <c r="L297" s="4">
        <f>INDEX(F1_F2[],MATCH($D$2,F1_F2[Tipo de estaca],0),3)</f>
        <v>4</v>
      </c>
      <c r="M297" s="4">
        <f>PI()*(HC[[#This Row],[Ø (cm)]]/100)^2/4</f>
        <v>0.78539816339744828</v>
      </c>
      <c r="N297" s="4">
        <f>PI()*HC[[#This Row],[Ø (cm)]]/100</f>
        <v>3.1415926535897931</v>
      </c>
      <c r="O297" s="4">
        <f>IF(HC[[#This Row],[Prof. (m)]]=0,0,HC[[#This Row],[α (%)]]/100*HC[[#This Row],[K (MPa)]]*1000*HC[[#This Row],[NSPT]])</f>
        <v>832</v>
      </c>
      <c r="P297" s="4">
        <f>IF(HC[[#This Row],[Prof. (m)]]=0,0,(HC[[#This Row],[K (MPa)]]*1000*HC[[#This Row],[NSPT]]/HC[[#This Row],[F1]]*HC[[#This Row],[Ap (m²)]]+HC[[#This Row],[U (m)]]/HC[[#This Row],[F2]]*SUMIFS(HC[(α∙K∙NL∙ΔL)],HC[Prof. (m)],"&lt;="&amp;HC[[#This Row],[Prof. (m)]],HC[idDiâmetro],HC[[#This Row],[idDiâmetro]],HC[idPilar],HC[[#This Row],[idPilar]]))/'DADOS CAP. CARGA'!$D$2)</f>
        <v>9509.561692508134</v>
      </c>
      <c r="Q297" s="12">
        <f>INDEX(C_alpha_beta[],MATCH(HC[[#This Row],[Solo]],C_alpha_beta[Solo],0),MATCH(HC[[#Headers],[C (kPa)]],C_alpha_beta[#Headers],0))</f>
        <v>400</v>
      </c>
      <c r="R297" s="4">
        <f>INDEX(C_alpha_beta[],MATCH(HC[[#This Row],[Solo]],C_alpha_beta[Solo],0),MATCH(HC[[#Headers],[α ESF]],C_alpha_beta[#Headers],0))</f>
        <v>0.5</v>
      </c>
      <c r="S297" s="4">
        <f>INDEX(C_alpha_beta[],MATCH(HC[[#This Row],[Solo]],C_alpha_beta[Solo],0),MATCH(HC[[#Headers],[β ESF]],C_alpha_beta[#Headers],0))</f>
        <v>0.5</v>
      </c>
      <c r="T297" s="4">
        <f>IF(HC[[#This Row],[Prof. (m)]]=0,0,10*(HC[[#This Row],[NSPT]]/3+1))</f>
        <v>183.33333333333331</v>
      </c>
      <c r="U297" s="4">
        <f>(HC[[#This Row],[α ESF]]*HC[[#This Row],[C (kPa)]]*HC[[#This Row],[NSPT]]*HC[[#This Row],[Ap (m²)]])/'DADOS CAP. CARGA'!$Q$2+(HC[[#This Row],[β ESF]]*SUMIFS(HC[10∙(NL/3+1)],HC[Prof. (m)],"&lt;="&amp;HC[[#This Row],[Prof. (m)]],HC[idDiâmetro],HC[[#This Row],[idDiâmetro]],HC[idPilar],HC[[#This Row],[idPilar]])*HC[[#This Row],[U (m)]])/'DADOS CAP. CARGA'!$S$2</f>
        <v>2720.0956392331623</v>
      </c>
      <c r="V297" s="4">
        <f>IF(SPT!$M$5=1,MIN(HC[[#This Row],[Pe HC (kN)]],HC[[#This Row],[R_AV (kN)]]),IF(SPT!$M$5=2,MIN(HC[[#This Row],[Pe HC (kN)]],HC[[#This Row],[R_DC (kN)]]),MIN(HC[[#This Row],[Pe HC (kN)]],HC[[#This Row],[R_AV (kN)]],HC[[#This Row],[R_DC (kN)]])))</f>
        <v>2720.0956392331623</v>
      </c>
      <c r="W297" s="4">
        <f>INDEX(PILARES[],HC[[#This Row],[idPilar]],MATCH("Carga (kN)",PILARES[#Headers],0))*1.4</f>
        <v>3500</v>
      </c>
      <c r="X297" s="12">
        <f>INDEX(PILARES[],HC[[#This Row],[idPilar]],MATCH(HC[[#Headers],[ap (cm)]],PILARES[#Headers],0))</f>
        <v>60</v>
      </c>
      <c r="Y297" s="12">
        <f>INDEX(PILARES[],HC[[#This Row],[idPilar]],MATCH(HC[[#Headers],[bp (cm)]],PILARES[#Headers],0))</f>
        <v>60</v>
      </c>
      <c r="Z297" s="4">
        <f>SQRT(HC[[#This Row],[ap (cm)]]*HC[[#This Row],[bp (cm)]])</f>
        <v>60</v>
      </c>
      <c r="AA297" s="12">
        <f>HC[[#This Row],[ap (cm)]]*HC[[#This Row],[bp (cm)]]</f>
        <v>3600</v>
      </c>
      <c r="AB297" s="12">
        <f ca="1">IF(HC[[#This Row],[Padm∙ε (kN)]]&gt;=HC[[#This Row],[Padm (kN)]],ROUNDUP(1.05*HC[[#This Row],[Nsd (kN)]]/HC[[#This Row],[Padm (kN)]],0),ROUNDUP(1.05*HC[[#This Row],[Nsd (kN)]]/HC[[#This Row],[Padm (kN)]],0)+1)</f>
        <v>2</v>
      </c>
      <c r="AC297" s="4">
        <f ca="1">IFERROR(IF(HC[[#This Row],[nE]]=1,HC[[#This Row],[Padm (kN)]],HC[[#This Row],[Padm (kN)]]*HC[[#This Row],[nE]]*INDEX(grupoEstacas[],HC[[#This Row],[nE]],MATCH("ε",grupoEstacas[#Headers],0))),"N.S.")</f>
        <v>5100.179323562179</v>
      </c>
      <c r="AD297" s="4">
        <f ca="1">1.05*HC[[#This Row],[Nsd (kN)]]/(HC[[#This Row],[nE]]*PI()*HC[[#This Row],[Ø (cm)]]^2/4)*10</f>
        <v>2.3395776634508616</v>
      </c>
      <c r="AE297" s="4">
        <f ca="1">IF(HC[[#This Row],[σ (MPa)]]&lt;INDEX(tipoEstaca[],MATCH($D$2,tipoEstaca[TIPO DE ESTACA],0),MATCH("σmáx (MPa)",tipoEstaca[#Headers],0)),0.4%*PI()*HC[[#This Row],[Ø (cm)]]^2/4,"N.S.")</f>
        <v>31.415926535897935</v>
      </c>
      <c r="AF297" s="82">
        <f>INDEX(tipoEstaca[],MATCH($D$2,tipoEstaca[TIPO DE ESTACA],0),MATCH(HC[[#Headers],[Comprimento (m)]],tipoEstaca[#Headers],0))</f>
        <v>4</v>
      </c>
      <c r="AG297" s="5">
        <f ca="1">HC[[#This Row],[As,mín (cm²)]]/100^2*HC[[#This Row],[Comprimento (m)]]*7850</f>
        <v>98.646009322719507</v>
      </c>
      <c r="AH297" s="4">
        <f ca="1">HC[[#This Row],[nE]]*HC[[#This Row],[Prof. (m)]]*HC[[#This Row],[Ap (m²)]]</f>
        <v>18.849555921538759</v>
      </c>
      <c r="AI297" s="82">
        <f ca="1">IF(HC[[#This Row],[nE]]=1,0,MAX(3*HC[[#This Row],[Ø (cm)]],60))</f>
        <v>300</v>
      </c>
      <c r="AJ297" s="82">
        <f ca="1">IF(HC[[#This Row],[nE]]=1,HC[[#This Row],[Ø (cm)]]+2*10,MAX(1.5*HC[[#This Row],[Ø (cm)]],HC[[#This Row],[Ø (cm)]]+15))</f>
        <v>150</v>
      </c>
      <c r="AK297" s="82">
        <f ca="1">alturaUtil(HC[[#This Row],[nE]],HC[[#This Row],[Ø (cm)]],HC[[#This Row],[e (cm)]],HC[[#This Row],[ap,eq (cm)]])</f>
        <v>135</v>
      </c>
      <c r="AL297" s="82">
        <f ca="1">IFERROR(HC[[#This Row],[d (cm)]]+arredondarParaCimaMultiplo5cm(MAX(5,SQRT(PI())/2*HC[[#This Row],[Ø (cm)]]/5)),"N.S.")</f>
        <v>155</v>
      </c>
      <c r="AM297" s="5">
        <f ca="1">alpha(HC[[#This Row],[nE]],HC[[#This Row],[d (cm)]],HC[[#This Row],[e (cm)]],HC[[#This Row],[ap,eq (cm)]])</f>
        <v>45</v>
      </c>
      <c r="AN297" s="35">
        <f ca="1">IFERROR(HC[[#This Row],[Nsd (kN)]]/(HC[[#This Row],[Ap (cm²)]]*SIN(HC[[#This Row],[α]])^2),"N.S.")</f>
        <v>1.3427801064714635</v>
      </c>
      <c r="AO297" s="35">
        <f ca="1">IFERROR(HC[[#This Row],[Nsd (kN)]]/(HC[[#This Row],[nE]]*PI()*HC[[#This Row],[Ø (cm)]]^2/4*SIN(HC[[#This Row],[α]])^2),"N.S.")</f>
        <v>0.30774253165976873</v>
      </c>
      <c r="AP297" s="4">
        <f ca="1">IFERROR(INDEX(grupoEstacas[],HC[[#This Row],[nE]],MATCH("coef. Blévot",grupoEstacas[#Headers],0)),"N.S.")</f>
        <v>1.4</v>
      </c>
      <c r="AQ297" s="35">
        <f ca="1">IFERROR(HC[[#This Row],[coef. Blévot]]*0.9*INDEX(tipoEstaca[],MATCH($D$2,tipoEstaca[TIPO DE ESTACA],0),MATCH("fcd (kN/cm²)",tipoEstaca[#Headers],0)),"N.S.")</f>
        <v>1.4000000000000001</v>
      </c>
      <c r="AR297" s="82" t="str">
        <f ca="1">IF(AND(HC[[#This Row],[cd,b,pil (kN/cm²)]]&lt;=HC[[#This Row],[cd,b,lim (kN/cm²)]],HC[[#This Row],[cd,b,est (kN/cm²)]]&lt;=HC[[#This Row],[cd,b,lim (kN/cm²)]]),"OK","ERRO")</f>
        <v>OK</v>
      </c>
      <c r="AS297" s="4">
        <f ca="1">As_lado(HC[[#This Row],[nE]],HC[[#This Row],[Nsd (kN)]],HC[[#This Row],[d (cm)]],HC[[#This Row],[e (cm)]],HC[[#This Row],[ap,eq (cm)]])</f>
        <v>46.287499999999987</v>
      </c>
      <c r="AT297" s="4">
        <f ca="1">IF(HC[[#This Row],[nE]]=1,HC[[#This Row],[As,lado (cm²)]],IF(HC[[#This Row],[nE]]=2,0.075*2*HC[a (cm)],"N.A."))</f>
        <v>22.5</v>
      </c>
      <c r="AU297" s="4">
        <f ca="1">IFERROR(IF(HC[[#This Row],[nE]]=1,"N.A.",0.2*HC[[#This Row],[As,lado (cm²)]]),"N.S.")</f>
        <v>9.2574999999999985</v>
      </c>
      <c r="AV297" s="4" t="str">
        <f ca="1">As_malha(HC[[#This Row],[nE]],HC[[#This Row],[As,lado (cm²)]],HC[[#This Row],[Nsd (kN)]])</f>
        <v>N.A.</v>
      </c>
      <c r="AW297" s="4" t="str">
        <f ca="1">As_susp_tot(HC[[#This Row],[nE]],HC[[#This Row],[Nsd (kN)]])</f>
        <v>N.A.</v>
      </c>
      <c r="AX297" s="4" t="str">
        <f ca="1">Asp_face(HC[[#This Row],[nE]],HC[[#This Row],[As,lado (cm²)]])</f>
        <v>N.A.</v>
      </c>
      <c r="AY297" s="5">
        <f ca="1">acoBloco(HC[[#This Row],[nE]],HC[[#This Row],[e (cm)]],HC[[#This Row],[a (cm)]],HC[[#This Row],[h (cm)]],HC[[#This Row],[As,lado (cm²)]],HC[[#This Row],[Asp e Asw (cm²/m)]],HC[[#This Row],[As,sup (cm²)]],HC[[#This Row],[As,malha (cm²)]],HC[[#This Row],[As,susp,tot (cm²)]],HC[[#This Row],[Asp,face (cm²)]])</f>
        <v>1718.7732000000001</v>
      </c>
      <c r="AZ297" s="4">
        <f ca="1">concretoBloco(HC[[#This Row],[nE]],HC[[#This Row],[e (cm)]],HC[[#This Row],[a (cm)]],HC[[#This Row],[h (cm)]])</f>
        <v>27.9</v>
      </c>
      <c r="BA297" s="5">
        <f ca="1">SUM(HC[[#This Row],[Aço Est (kg)]],HC[[#This Row],[Aço Bloco (kg)]])</f>
        <v>1817.4192093227196</v>
      </c>
      <c r="BB297" s="4">
        <f>INDEX(composicoes[],MATCH(95580,composicoes[CÓDIGO],0),MATCH("CUSTO TOTAL",composicoes[#Headers],0))</f>
        <v>10.46</v>
      </c>
      <c r="BC297" s="4">
        <f ca="1">SUM(HC[[#This Row],[Conc Est (m³)]],HC[[#This Row],[Conc Bloco (m³)]])</f>
        <v>46.749555921538757</v>
      </c>
      <c r="BD297" s="4">
        <f>INDEX(composicoes[],MATCH(94966,composicoes[CÓDIGO],0),MATCH("CUSTO TOTAL",composicoes[#Headers],0))</f>
        <v>439.52</v>
      </c>
      <c r="BE297" s="38">
        <f ca="1">HC[[#This Row],[Aço (kg)]]*HC[[#This Row],[Aço (R$/kg)]]+HC[[#This Row],[Conc (m³)]]*HC[[#This Row],[Conc (R$/m³)]]</f>
        <v>39557.569748150359</v>
      </c>
      <c r="BF297" s="4" t="str">
        <f ca="1">IF(COUNTIF(HC[#This Row],"N.S.")&gt;0,"lim.","OK")</f>
        <v>OK</v>
      </c>
      <c r="BG297" s="4" t="str">
        <f>IF(HC[[#This Row],[Prof. (m)]]&lt;4,"lim.","OK")</f>
        <v>OK</v>
      </c>
      <c r="BH297" s="4" t="str">
        <f>IF(HC[[#This Row],[Prof. (m)]]&gt;=8*HC[[#This Row],[Ø (cm)]]/100,"OK","lim.")</f>
        <v>OK</v>
      </c>
      <c r="BI297" s="4" t="str">
        <f ca="1">IF(HC[[#This Row],[Verif. Biela]]="OK","OK","lim.")</f>
        <v>OK</v>
      </c>
      <c r="BJ297" s="4" t="str">
        <f ca="1">IF(COUNTA(HC[[#This Row],[Nº Est.]:[Biela comp.]])=COUNTIF(HC[[#This Row],[Nº Est.]:[Biela comp.]],"OK"),"OK","lim.")</f>
        <v>OK</v>
      </c>
      <c r="BK297" s="4" t="str">
        <f ca="1">IF(HC[[#This Row],[Controle]]="OK",HC[[#This Row],[nE]]&amp;" Ø "&amp;HC[[#This Row],[Ø (cm)]]&amp;" cm, Prof. "&amp;HC[[#This Row],[Prof. (m)]]&amp;" m","")</f>
        <v>2 Ø 100 cm, Prof. 12 m</v>
      </c>
      <c r="BL297" s="4" t="str">
        <f ca="1">IF(HC[[#This Row],[idDimensionamento]]="","",HC[[#This Row],[idPilar]]&amp;HC[[#This Row],[idDimensionamento]])</f>
        <v>12 Ø 100 cm, Prof. 12 m</v>
      </c>
    </row>
    <row r="298" spans="2:64" x14ac:dyDescent="0.25">
      <c r="B298" s="12">
        <f>ROUNDUP((ROW(HC[[#This Row],[idDiâmetro]])-ROW(HC[[#Headers],[idDiâmetro]]))/(COUNT(SPT[Prof. (m)])*COUNT(PILARES[Pilar])),0)</f>
        <v>11</v>
      </c>
      <c r="C298" s="12">
        <f>IF(HC[[#This Row],[idDiâmetro]]&lt;&gt;B297,1,IF(HC[[#This Row],[Prof. (m)]]=0,C297+1,C297))</f>
        <v>1</v>
      </c>
      <c r="D298" s="82">
        <f>IFERROR(IF(D297=MAX(SPT[Prof. (m)]),0,D297+1),0)</f>
        <v>13</v>
      </c>
      <c r="E298" s="82">
        <f>INDEX(SPT[],MATCH(HC[[#This Row],[Prof. (m)]],SPT[Prof. (m)],0),2)</f>
        <v>68</v>
      </c>
      <c r="F298" s="82" t="str">
        <f>INDEX(SPT[],MATCH(HC[[#This Row],[Prof. (m)]],SPT[Prof. (m)],0),3)</f>
        <v>Areia siltosa</v>
      </c>
      <c r="G298" s="82">
        <f>INDEX(estacas[],HC[[#This Row],[idDiâmetro]],MATCH($B$2,estacas[#Headers],0))</f>
        <v>100</v>
      </c>
      <c r="H298" s="82">
        <f>INDEX(estacas[],MATCH(HC[[#This Row],[Ø (cm)]],estacas[Ø HC (cm)],0),MATCH(HC[[#Headers],[Pe HC (kN)]],estacas[#Headers],0))</f>
        <v>5000</v>
      </c>
      <c r="I298" s="4">
        <f>INDEX(K_alpha_C[],MATCH(HC[[#This Row],[Solo]],K_alpha_C[Solo],0),2)</f>
        <v>0.8</v>
      </c>
      <c r="J298" s="5">
        <f>INDEX(K_alpha_C[],MATCH(HC[[#This Row],[Solo]],K_alpha_C[Solo],0),3)</f>
        <v>2</v>
      </c>
      <c r="K298" s="4">
        <f>INDEX(F1_F2[],MATCH($D$2,F1_F2[Tipo de estaca],0),2)</f>
        <v>2</v>
      </c>
      <c r="L298" s="4">
        <f>INDEX(F1_F2[],MATCH($D$2,F1_F2[Tipo de estaca],0),3)</f>
        <v>4</v>
      </c>
      <c r="M298" s="4">
        <f>PI()*(HC[[#This Row],[Ø (cm)]]/100)^2/4</f>
        <v>0.78539816339744828</v>
      </c>
      <c r="N298" s="4">
        <f>PI()*HC[[#This Row],[Ø (cm)]]/100</f>
        <v>3.1415926535897931</v>
      </c>
      <c r="O298" s="4">
        <f>IF(HC[[#This Row],[Prof. (m)]]=0,0,HC[[#This Row],[α (%)]]/100*HC[[#This Row],[K (MPa)]]*1000*HC[[#This Row],[NSPT]])</f>
        <v>1088</v>
      </c>
      <c r="P298" s="4">
        <f>IF(HC[[#This Row],[Prof. (m)]]=0,0,(HC[[#This Row],[K (MPa)]]*1000*HC[[#This Row],[NSPT]]/HC[[#This Row],[F1]]*HC[[#This Row],[Ap (m²)]]+HC[[#This Row],[U (m)]]/HC[[#This Row],[F2]]*SUMIFS(HC[(α∙K∙NL∙ΔL)],HC[Prof. (m)],"&lt;="&amp;HC[[#This Row],[Prof. (m)]],HC[idDiâmetro],HC[[#This Row],[idDiâmetro]],HC[idPilar],HC[[#This Row],[idPilar]]))/'DADOS CAP. CARGA'!$D$2)</f>
        <v>12450.092416268179</v>
      </c>
      <c r="Q298" s="12">
        <f>INDEX(C_alpha_beta[],MATCH(HC[[#This Row],[Solo]],C_alpha_beta[Solo],0),MATCH(HC[[#Headers],[C (kPa)]],C_alpha_beta[#Headers],0))</f>
        <v>400</v>
      </c>
      <c r="R298" s="4">
        <f>INDEX(C_alpha_beta[],MATCH(HC[[#This Row],[Solo]],C_alpha_beta[Solo],0),MATCH(HC[[#Headers],[α ESF]],C_alpha_beta[#Headers],0))</f>
        <v>0.5</v>
      </c>
      <c r="S298" s="4">
        <f>INDEX(C_alpha_beta[],MATCH(HC[[#This Row],[Solo]],C_alpha_beta[Solo],0),MATCH(HC[[#Headers],[β ESF]],C_alpha_beta[#Headers],0))</f>
        <v>0.5</v>
      </c>
      <c r="T298" s="4">
        <f>IF(HC[[#This Row],[Prof. (m)]]=0,0,10*(HC[[#This Row],[NSPT]]/3+1))</f>
        <v>236.66666666666669</v>
      </c>
      <c r="U298" s="4">
        <f>(HC[[#This Row],[α ESF]]*HC[[#This Row],[C (kPa)]]*HC[[#This Row],[NSPT]]*HC[[#This Row],[Ap (m²)]])/'DADOS CAP. CARGA'!$Q$2+(HC[[#This Row],[β ESF]]*SUMIFS(HC[10∙(NL/3+1)],HC[Prof. (m)],"&lt;="&amp;HC[[#This Row],[Prof. (m)]],HC[idDiâmetro],HC[[#This Row],[idDiâmetro]],HC[idPilar],HC[[#This Row],[idPilar]])*HC[[#This Row],[U (m)]])/'DADOS CAP. CARGA'!$S$2</f>
        <v>3534.291735288517</v>
      </c>
      <c r="V298" s="4">
        <f>IF(SPT!$M$5=1,MIN(HC[[#This Row],[Pe HC (kN)]],HC[[#This Row],[R_AV (kN)]]),IF(SPT!$M$5=2,MIN(HC[[#This Row],[Pe HC (kN)]],HC[[#This Row],[R_DC (kN)]]),MIN(HC[[#This Row],[Pe HC (kN)]],HC[[#This Row],[R_AV (kN)]],HC[[#This Row],[R_DC (kN)]])))</f>
        <v>3534.291735288517</v>
      </c>
      <c r="W298" s="4">
        <f>INDEX(PILARES[],HC[[#This Row],[idPilar]],MATCH("Carga (kN)",PILARES[#Headers],0))*1.4</f>
        <v>3500</v>
      </c>
      <c r="X298" s="12">
        <f>INDEX(PILARES[],HC[[#This Row],[idPilar]],MATCH(HC[[#Headers],[ap (cm)]],PILARES[#Headers],0))</f>
        <v>60</v>
      </c>
      <c r="Y298" s="12">
        <f>INDEX(PILARES[],HC[[#This Row],[idPilar]],MATCH(HC[[#Headers],[bp (cm)]],PILARES[#Headers],0))</f>
        <v>60</v>
      </c>
      <c r="Z298" s="4">
        <f>SQRT(HC[[#This Row],[ap (cm)]]*HC[[#This Row],[bp (cm)]])</f>
        <v>60</v>
      </c>
      <c r="AA298" s="12">
        <f>HC[[#This Row],[ap (cm)]]*HC[[#This Row],[bp (cm)]]</f>
        <v>3600</v>
      </c>
      <c r="AB298" s="12">
        <f ca="1">IF(HC[[#This Row],[Padm∙ε (kN)]]&gt;=HC[[#This Row],[Padm (kN)]],ROUNDUP(1.05*HC[[#This Row],[Nsd (kN)]]/HC[[#This Row],[Padm (kN)]],0),ROUNDUP(1.05*HC[[#This Row],[Nsd (kN)]]/HC[[#This Row],[Padm (kN)]],0)+1)</f>
        <v>2</v>
      </c>
      <c r="AC298" s="4">
        <f ca="1">IFERROR(IF(HC[[#This Row],[nE]]=1,HC[[#This Row],[Padm (kN)]],HC[[#This Row],[Padm (kN)]]*HC[[#This Row],[nE]]*INDEX(grupoEstacas[],HC[[#This Row],[nE]],MATCH("ε",grupoEstacas[#Headers],0))),"N.S.")</f>
        <v>6626.797003665969</v>
      </c>
      <c r="AD298" s="4">
        <f ca="1">1.05*HC[[#This Row],[Nsd (kN)]]/(HC[[#This Row],[nE]]*PI()*HC[[#This Row],[Ø (cm)]]^2/4)*10</f>
        <v>2.3395776634508616</v>
      </c>
      <c r="AE298" s="4">
        <f ca="1">IF(HC[[#This Row],[σ (MPa)]]&lt;INDEX(tipoEstaca[],MATCH($D$2,tipoEstaca[TIPO DE ESTACA],0),MATCH("σmáx (MPa)",tipoEstaca[#Headers],0)),0.4%*PI()*HC[[#This Row],[Ø (cm)]]^2/4,"N.S.")</f>
        <v>31.415926535897935</v>
      </c>
      <c r="AF298" s="82">
        <f>INDEX(tipoEstaca[],MATCH($D$2,tipoEstaca[TIPO DE ESTACA],0),MATCH(HC[[#Headers],[Comprimento (m)]],tipoEstaca[#Headers],0))</f>
        <v>4</v>
      </c>
      <c r="AG298" s="5">
        <f ca="1">HC[[#This Row],[As,mín (cm²)]]/100^2*HC[[#This Row],[Comprimento (m)]]*7850</f>
        <v>98.646009322719507</v>
      </c>
      <c r="AH298" s="4">
        <f ca="1">HC[[#This Row],[nE]]*HC[[#This Row],[Prof. (m)]]*HC[[#This Row],[Ap (m²)]]</f>
        <v>20.420352248333657</v>
      </c>
      <c r="AI298" s="82">
        <f ca="1">IF(HC[[#This Row],[nE]]=1,0,MAX(3*HC[[#This Row],[Ø (cm)]],60))</f>
        <v>300</v>
      </c>
      <c r="AJ298" s="82">
        <f ca="1">IF(HC[[#This Row],[nE]]=1,HC[[#This Row],[Ø (cm)]]+2*10,MAX(1.5*HC[[#This Row],[Ø (cm)]],HC[[#This Row],[Ø (cm)]]+15))</f>
        <v>150</v>
      </c>
      <c r="AK298" s="82">
        <f ca="1">alturaUtil(HC[[#This Row],[nE]],HC[[#This Row],[Ø (cm)]],HC[[#This Row],[e (cm)]],HC[[#This Row],[ap,eq (cm)]])</f>
        <v>135</v>
      </c>
      <c r="AL298" s="82">
        <f ca="1">IFERROR(HC[[#This Row],[d (cm)]]+arredondarParaCimaMultiplo5cm(MAX(5,SQRT(PI())/2*HC[[#This Row],[Ø (cm)]]/5)),"N.S.")</f>
        <v>155</v>
      </c>
      <c r="AM298" s="5">
        <f ca="1">alpha(HC[[#This Row],[nE]],HC[[#This Row],[d (cm)]],HC[[#This Row],[e (cm)]],HC[[#This Row],[ap,eq (cm)]])</f>
        <v>45</v>
      </c>
      <c r="AN298" s="35">
        <f ca="1">IFERROR(HC[[#This Row],[Nsd (kN)]]/(HC[[#This Row],[Ap (cm²)]]*SIN(HC[[#This Row],[α]])^2),"N.S.")</f>
        <v>1.3427801064714635</v>
      </c>
      <c r="AO298" s="35">
        <f ca="1">IFERROR(HC[[#This Row],[Nsd (kN)]]/(HC[[#This Row],[nE]]*PI()*HC[[#This Row],[Ø (cm)]]^2/4*SIN(HC[[#This Row],[α]])^2),"N.S.")</f>
        <v>0.30774253165976873</v>
      </c>
      <c r="AP298" s="4">
        <f ca="1">IFERROR(INDEX(grupoEstacas[],HC[[#This Row],[nE]],MATCH("coef. Blévot",grupoEstacas[#Headers],0)),"N.S.")</f>
        <v>1.4</v>
      </c>
      <c r="AQ298" s="35">
        <f ca="1">IFERROR(HC[[#This Row],[coef. Blévot]]*0.9*INDEX(tipoEstaca[],MATCH($D$2,tipoEstaca[TIPO DE ESTACA],0),MATCH("fcd (kN/cm²)",tipoEstaca[#Headers],0)),"N.S.")</f>
        <v>1.4000000000000001</v>
      </c>
      <c r="AR298" s="82" t="str">
        <f ca="1">IF(AND(HC[[#This Row],[cd,b,pil (kN/cm²)]]&lt;=HC[[#This Row],[cd,b,lim (kN/cm²)]],HC[[#This Row],[cd,b,est (kN/cm²)]]&lt;=HC[[#This Row],[cd,b,lim (kN/cm²)]]),"OK","ERRO")</f>
        <v>OK</v>
      </c>
      <c r="AS298" s="4">
        <f ca="1">As_lado(HC[[#This Row],[nE]],HC[[#This Row],[Nsd (kN)]],HC[[#This Row],[d (cm)]],HC[[#This Row],[e (cm)]],HC[[#This Row],[ap,eq (cm)]])</f>
        <v>46.287499999999987</v>
      </c>
      <c r="AT298" s="4">
        <f ca="1">IF(HC[[#This Row],[nE]]=1,HC[[#This Row],[As,lado (cm²)]],IF(HC[[#This Row],[nE]]=2,0.075*2*HC[a (cm)],"N.A."))</f>
        <v>22.5</v>
      </c>
      <c r="AU298" s="4">
        <f ca="1">IFERROR(IF(HC[[#This Row],[nE]]=1,"N.A.",0.2*HC[[#This Row],[As,lado (cm²)]]),"N.S.")</f>
        <v>9.2574999999999985</v>
      </c>
      <c r="AV298" s="4" t="str">
        <f ca="1">As_malha(HC[[#This Row],[nE]],HC[[#This Row],[As,lado (cm²)]],HC[[#This Row],[Nsd (kN)]])</f>
        <v>N.A.</v>
      </c>
      <c r="AW298" s="4" t="str">
        <f ca="1">As_susp_tot(HC[[#This Row],[nE]],HC[[#This Row],[Nsd (kN)]])</f>
        <v>N.A.</v>
      </c>
      <c r="AX298" s="4" t="str">
        <f ca="1">Asp_face(HC[[#This Row],[nE]],HC[[#This Row],[As,lado (cm²)]])</f>
        <v>N.A.</v>
      </c>
      <c r="AY298" s="5">
        <f ca="1">acoBloco(HC[[#This Row],[nE]],HC[[#This Row],[e (cm)]],HC[[#This Row],[a (cm)]],HC[[#This Row],[h (cm)]],HC[[#This Row],[As,lado (cm²)]],HC[[#This Row],[Asp e Asw (cm²/m)]],HC[[#This Row],[As,sup (cm²)]],HC[[#This Row],[As,malha (cm²)]],HC[[#This Row],[As,susp,tot (cm²)]],HC[[#This Row],[Asp,face (cm²)]])</f>
        <v>1718.7732000000001</v>
      </c>
      <c r="AZ298" s="4">
        <f ca="1">concretoBloco(HC[[#This Row],[nE]],HC[[#This Row],[e (cm)]],HC[[#This Row],[a (cm)]],HC[[#This Row],[h (cm)]])</f>
        <v>27.9</v>
      </c>
      <c r="BA298" s="5">
        <f ca="1">SUM(HC[[#This Row],[Aço Est (kg)]],HC[[#This Row],[Aço Bloco (kg)]])</f>
        <v>1817.4192093227196</v>
      </c>
      <c r="BB298" s="4">
        <f>INDEX(composicoes[],MATCH(95580,composicoes[CÓDIGO],0),MATCH("CUSTO TOTAL",composicoes[#Headers],0))</f>
        <v>10.46</v>
      </c>
      <c r="BC298" s="4">
        <f ca="1">SUM(HC[[#This Row],[Conc Est (m³)]],HC[[#This Row],[Conc Bloco (m³)]])</f>
        <v>48.320352248333656</v>
      </c>
      <c r="BD298" s="4">
        <f>INDEX(composicoes[],MATCH(94966,composicoes[CÓDIGO],0),MATCH("CUSTO TOTAL",composicoes[#Headers],0))</f>
        <v>439.52</v>
      </c>
      <c r="BE298" s="38">
        <f ca="1">HC[[#This Row],[Aço (kg)]]*HC[[#This Row],[Aço (R$/kg)]]+HC[[#This Row],[Conc (m³)]]*HC[[#This Row],[Conc (R$/m³)]]</f>
        <v>40247.96614970325</v>
      </c>
      <c r="BF298" s="4" t="str">
        <f ca="1">IF(COUNTIF(HC[#This Row],"N.S.")&gt;0,"lim.","OK")</f>
        <v>OK</v>
      </c>
      <c r="BG298" s="4" t="str">
        <f>IF(HC[[#This Row],[Prof. (m)]]&lt;4,"lim.","OK")</f>
        <v>OK</v>
      </c>
      <c r="BH298" s="4" t="str">
        <f>IF(HC[[#This Row],[Prof. (m)]]&gt;=8*HC[[#This Row],[Ø (cm)]]/100,"OK","lim.")</f>
        <v>OK</v>
      </c>
      <c r="BI298" s="4" t="str">
        <f ca="1">IF(HC[[#This Row],[Verif. Biela]]="OK","OK","lim.")</f>
        <v>OK</v>
      </c>
      <c r="BJ298" s="4" t="str">
        <f ca="1">IF(COUNTA(HC[[#This Row],[Nº Est.]:[Biela comp.]])=COUNTIF(HC[[#This Row],[Nº Est.]:[Biela comp.]],"OK"),"OK","lim.")</f>
        <v>OK</v>
      </c>
      <c r="BK298" s="4" t="str">
        <f ca="1">IF(HC[[#This Row],[Controle]]="OK",HC[[#This Row],[nE]]&amp;" Ø "&amp;HC[[#This Row],[Ø (cm)]]&amp;" cm, Prof. "&amp;HC[[#This Row],[Prof. (m)]]&amp;" m","")</f>
        <v>2 Ø 100 cm, Prof. 13 m</v>
      </c>
      <c r="BL298" s="4" t="str">
        <f ca="1">IF(HC[[#This Row],[idDimensionamento]]="","",HC[[#This Row],[idPilar]]&amp;HC[[#This Row],[idDimensionamento]])</f>
        <v>12 Ø 100 cm, Prof. 13 m</v>
      </c>
    </row>
    <row r="299" spans="2:64" x14ac:dyDescent="0.25">
      <c r="B299" s="12">
        <f>ROUNDUP((ROW(HC[[#This Row],[idDiâmetro]])-ROW(HC[[#Headers],[idDiâmetro]]))/(COUNT(SPT[Prof. (m)])*COUNT(PILARES[Pilar])),0)</f>
        <v>11</v>
      </c>
      <c r="C299" s="12">
        <f>IF(HC[[#This Row],[idDiâmetro]]&lt;&gt;B298,1,IF(HC[[#This Row],[Prof. (m)]]=0,C298+1,C298))</f>
        <v>2</v>
      </c>
      <c r="D299" s="82">
        <f>IFERROR(IF(D298=MAX(SPT[Prof. (m)]),0,D298+1),0)</f>
        <v>0</v>
      </c>
      <c r="E299" s="82">
        <f>INDEX(SPT[],MATCH(HC[[#This Row],[Prof. (m)]],SPT[Prof. (m)],0),2)</f>
        <v>0</v>
      </c>
      <c r="F299" s="82" t="str">
        <f>INDEX(SPT[],MATCH(HC[[#This Row],[Prof. (m)]],SPT[Prof. (m)],0),3)</f>
        <v>Areia siltosa</v>
      </c>
      <c r="G299" s="82">
        <f>INDEX(estacas[],HC[[#This Row],[idDiâmetro]],MATCH($B$2,estacas[#Headers],0))</f>
        <v>100</v>
      </c>
      <c r="H299" s="82">
        <f>INDEX(estacas[],MATCH(HC[[#This Row],[Ø (cm)]],estacas[Ø HC (cm)],0),MATCH(HC[[#Headers],[Pe HC (kN)]],estacas[#Headers],0))</f>
        <v>5000</v>
      </c>
      <c r="I299" s="4">
        <f>INDEX(K_alpha_C[],MATCH(HC[[#This Row],[Solo]],K_alpha_C[Solo],0),2)</f>
        <v>0.8</v>
      </c>
      <c r="J299" s="5">
        <f>INDEX(K_alpha_C[],MATCH(HC[[#This Row],[Solo]],K_alpha_C[Solo],0),3)</f>
        <v>2</v>
      </c>
      <c r="K299" s="4">
        <f>INDEX(F1_F2[],MATCH($D$2,F1_F2[Tipo de estaca],0),2)</f>
        <v>2</v>
      </c>
      <c r="L299" s="4">
        <f>INDEX(F1_F2[],MATCH($D$2,F1_F2[Tipo de estaca],0),3)</f>
        <v>4</v>
      </c>
      <c r="M299" s="4">
        <f>PI()*(HC[[#This Row],[Ø (cm)]]/100)^2/4</f>
        <v>0.78539816339744828</v>
      </c>
      <c r="N299" s="4">
        <f>PI()*HC[[#This Row],[Ø (cm)]]/100</f>
        <v>3.1415926535897931</v>
      </c>
      <c r="O299" s="4">
        <f>IF(HC[[#This Row],[Prof. (m)]]=0,0,HC[[#This Row],[α (%)]]/100*HC[[#This Row],[K (MPa)]]*1000*HC[[#This Row],[NSPT]])</f>
        <v>0</v>
      </c>
      <c r="P299" s="4">
        <f>IF(HC[[#This Row],[Prof. (m)]]=0,0,(HC[[#This Row],[K (MPa)]]*1000*HC[[#This Row],[NSPT]]/HC[[#This Row],[F1]]*HC[[#This Row],[Ap (m²)]]+HC[[#This Row],[U (m)]]/HC[[#This Row],[F2]]*SUMIFS(HC[(α∙K∙NL∙ΔL)],HC[Prof. (m)],"&lt;="&amp;HC[[#This Row],[Prof. (m)]],HC[idDiâmetro],HC[[#This Row],[idDiâmetro]],HC[idPilar],HC[[#This Row],[idPilar]]))/'DADOS CAP. CARGA'!$D$2)</f>
        <v>0</v>
      </c>
      <c r="Q299" s="12">
        <f>INDEX(C_alpha_beta[],MATCH(HC[[#This Row],[Solo]],C_alpha_beta[Solo],0),MATCH(HC[[#Headers],[C (kPa)]],C_alpha_beta[#Headers],0))</f>
        <v>400</v>
      </c>
      <c r="R299" s="4">
        <f>INDEX(C_alpha_beta[],MATCH(HC[[#This Row],[Solo]],C_alpha_beta[Solo],0),MATCH(HC[[#Headers],[α ESF]],C_alpha_beta[#Headers],0))</f>
        <v>0.5</v>
      </c>
      <c r="S299" s="4">
        <f>INDEX(C_alpha_beta[],MATCH(HC[[#This Row],[Solo]],C_alpha_beta[Solo],0),MATCH(HC[[#Headers],[β ESF]],C_alpha_beta[#Headers],0))</f>
        <v>0.5</v>
      </c>
      <c r="T299" s="4">
        <f>IF(HC[[#This Row],[Prof. (m)]]=0,0,10*(HC[[#This Row],[NSPT]]/3+1))</f>
        <v>0</v>
      </c>
      <c r="U299" s="4">
        <f>(HC[[#This Row],[α ESF]]*HC[[#This Row],[C (kPa)]]*HC[[#This Row],[NSPT]]*HC[[#This Row],[Ap (m²)]])/'DADOS CAP. CARGA'!$Q$2+(HC[[#This Row],[β ESF]]*SUMIFS(HC[10∙(NL/3+1)],HC[Prof. (m)],"&lt;="&amp;HC[[#This Row],[Prof. (m)]],HC[idDiâmetro],HC[[#This Row],[idDiâmetro]],HC[idPilar],HC[[#This Row],[idPilar]])*HC[[#This Row],[U (m)]])/'DADOS CAP. CARGA'!$S$2</f>
        <v>0</v>
      </c>
      <c r="V299" s="4">
        <f>IF(SPT!$M$5=1,MIN(HC[[#This Row],[Pe HC (kN)]],HC[[#This Row],[R_AV (kN)]]),IF(SPT!$M$5=2,MIN(HC[[#This Row],[Pe HC (kN)]],HC[[#This Row],[R_DC (kN)]]),MIN(HC[[#This Row],[Pe HC (kN)]],HC[[#This Row],[R_AV (kN)]],HC[[#This Row],[R_DC (kN)]])))</f>
        <v>0</v>
      </c>
      <c r="W299" s="4">
        <f>INDEX(PILARES[],HC[[#This Row],[idPilar]],MATCH("Carga (kN)",PILARES[#Headers],0))*1.4</f>
        <v>1750</v>
      </c>
      <c r="X299" s="12">
        <f>INDEX(PILARES[],HC[[#This Row],[idPilar]],MATCH(HC[[#Headers],[ap (cm)]],PILARES[#Headers],0))</f>
        <v>50</v>
      </c>
      <c r="Y299" s="12">
        <f>INDEX(PILARES[],HC[[#This Row],[idPilar]],MATCH(HC[[#Headers],[bp (cm)]],PILARES[#Headers],0))</f>
        <v>40</v>
      </c>
      <c r="Z299" s="4">
        <f>SQRT(HC[[#This Row],[ap (cm)]]*HC[[#This Row],[bp (cm)]])</f>
        <v>44.721359549995796</v>
      </c>
      <c r="AA299" s="12">
        <f>HC[[#This Row],[ap (cm)]]*HC[[#This Row],[bp (cm)]]</f>
        <v>2000</v>
      </c>
      <c r="AB299" s="12" t="e">
        <f ca="1">IF(HC[[#This Row],[Padm∙ε (kN)]]&gt;=HC[[#This Row],[Padm (kN)]],ROUNDUP(1.05*HC[[#This Row],[Nsd (kN)]]/HC[[#This Row],[Padm (kN)]],0),ROUNDUP(1.05*HC[[#This Row],[Nsd (kN)]]/HC[[#This Row],[Padm (kN)]],0)+1)</f>
        <v>#DIV/0!</v>
      </c>
      <c r="AC299" s="4" t="str">
        <f ca="1">IFERROR(IF(HC[[#This Row],[nE]]=1,HC[[#This Row],[Padm (kN)]],HC[[#This Row],[Padm (kN)]]*HC[[#This Row],[nE]]*INDEX(grupoEstacas[],HC[[#This Row],[nE]],MATCH("ε",grupoEstacas[#Headers],0))),"N.S.")</f>
        <v>N.S.</v>
      </c>
      <c r="AD299" s="4" t="e">
        <f ca="1">1.05*HC[[#This Row],[Nsd (kN)]]/(HC[[#This Row],[nE]]*PI()*HC[[#This Row],[Ø (cm)]]^2/4)*10</f>
        <v>#DIV/0!</v>
      </c>
      <c r="AE299" s="4" t="e">
        <f ca="1">IF(HC[[#This Row],[σ (MPa)]]&lt;INDEX(tipoEstaca[],MATCH($D$2,tipoEstaca[TIPO DE ESTACA],0),MATCH("σmáx (MPa)",tipoEstaca[#Headers],0)),0.4%*PI()*HC[[#This Row],[Ø (cm)]]^2/4,"N.S.")</f>
        <v>#DIV/0!</v>
      </c>
      <c r="AF299" s="82">
        <f>INDEX(tipoEstaca[],MATCH($D$2,tipoEstaca[TIPO DE ESTACA],0),MATCH(HC[[#Headers],[Comprimento (m)]],tipoEstaca[#Headers],0))</f>
        <v>4</v>
      </c>
      <c r="AG299" s="5" t="e">
        <f ca="1">HC[[#This Row],[As,mín (cm²)]]/100^2*HC[[#This Row],[Comprimento (m)]]*7850</f>
        <v>#DIV/0!</v>
      </c>
      <c r="AH299" s="4" t="e">
        <f ca="1">HC[[#This Row],[nE]]*HC[[#This Row],[Prof. (m)]]*HC[[#This Row],[Ap (m²)]]</f>
        <v>#DIV/0!</v>
      </c>
      <c r="AI299" s="82" t="e">
        <f ca="1">IF(HC[[#This Row],[nE]]=1,0,MAX(3*HC[[#This Row],[Ø (cm)]],60))</f>
        <v>#DIV/0!</v>
      </c>
      <c r="AJ299" s="82" t="e">
        <f ca="1">IF(HC[[#This Row],[nE]]=1,HC[[#This Row],[Ø (cm)]]+2*10,MAX(1.5*HC[[#This Row],[Ø (cm)]],HC[[#This Row],[Ø (cm)]]+15))</f>
        <v>#DIV/0!</v>
      </c>
      <c r="AK299" s="82" t="e">
        <f ca="1">alturaUtil(HC[[#This Row],[nE]],HC[[#This Row],[Ø (cm)]],HC[[#This Row],[e (cm)]],HC[[#This Row],[ap,eq (cm)]])</f>
        <v>#VALUE!</v>
      </c>
      <c r="AL299" s="82" t="str">
        <f ca="1">IFERROR(HC[[#This Row],[d (cm)]]+arredondarParaCimaMultiplo5cm(MAX(5,SQRT(PI())/2*HC[[#This Row],[Ø (cm)]]/5)),"N.S.")</f>
        <v>N.S.</v>
      </c>
      <c r="AM299" s="5" t="e">
        <f ca="1">alpha(HC[[#This Row],[nE]],HC[[#This Row],[d (cm)]],HC[[#This Row],[e (cm)]],HC[[#This Row],[ap,eq (cm)]])</f>
        <v>#VALUE!</v>
      </c>
      <c r="AN299" s="35" t="str">
        <f ca="1">IFERROR(HC[[#This Row],[Nsd (kN)]]/(HC[[#This Row],[Ap (cm²)]]*SIN(HC[[#This Row],[α]])^2),"N.S.")</f>
        <v>N.S.</v>
      </c>
      <c r="AO299" s="35" t="str">
        <f ca="1">IFERROR(HC[[#This Row],[Nsd (kN)]]/(HC[[#This Row],[nE]]*PI()*HC[[#This Row],[Ø (cm)]]^2/4*SIN(HC[[#This Row],[α]])^2),"N.S.")</f>
        <v>N.S.</v>
      </c>
      <c r="AP299" s="4" t="str">
        <f ca="1">IFERROR(INDEX(grupoEstacas[],HC[[#This Row],[nE]],MATCH("coef. Blévot",grupoEstacas[#Headers],0)),"N.S.")</f>
        <v>N.S.</v>
      </c>
      <c r="AQ299" s="35" t="str">
        <f ca="1">IFERROR(HC[[#This Row],[coef. Blévot]]*0.9*INDEX(tipoEstaca[],MATCH($D$2,tipoEstaca[TIPO DE ESTACA],0),MATCH("fcd (kN/cm²)",tipoEstaca[#Headers],0)),"N.S.")</f>
        <v>N.S.</v>
      </c>
      <c r="AR299" s="82" t="str">
        <f ca="1">IF(AND(HC[[#This Row],[cd,b,pil (kN/cm²)]]&lt;=HC[[#This Row],[cd,b,lim (kN/cm²)]],HC[[#This Row],[cd,b,est (kN/cm²)]]&lt;=HC[[#This Row],[cd,b,lim (kN/cm²)]]),"OK","ERRO")</f>
        <v>OK</v>
      </c>
      <c r="AS299" s="4" t="e">
        <f ca="1">As_lado(HC[[#This Row],[nE]],HC[[#This Row],[Nsd (kN)]],HC[[#This Row],[d (cm)]],HC[[#This Row],[e (cm)]],HC[[#This Row],[ap,eq (cm)]])</f>
        <v>#VALUE!</v>
      </c>
      <c r="AT299" s="4" t="e">
        <f ca="1">IF(HC[[#This Row],[nE]]=1,HC[[#This Row],[As,lado (cm²)]],IF(HC[[#This Row],[nE]]=2,0.075*2*HC[a (cm)],"N.A."))</f>
        <v>#DIV/0!</v>
      </c>
      <c r="AU299" s="4" t="str">
        <f ca="1">IFERROR(IF(HC[[#This Row],[nE]]=1,"N.A.",0.2*HC[[#This Row],[As,lado (cm²)]]),"N.S.")</f>
        <v>N.S.</v>
      </c>
      <c r="AV299" s="4" t="e">
        <f ca="1">As_malha(HC[[#This Row],[nE]],HC[[#This Row],[As,lado (cm²)]],HC[[#This Row],[Nsd (kN)]])</f>
        <v>#VALUE!</v>
      </c>
      <c r="AW299" s="4" t="e">
        <f ca="1">As_susp_tot(HC[[#This Row],[nE]],HC[[#This Row],[Nsd (kN)]])</f>
        <v>#VALUE!</v>
      </c>
      <c r="AX299" s="4" t="e">
        <f ca="1">Asp_face(HC[[#This Row],[nE]],HC[[#This Row],[As,lado (cm²)]])</f>
        <v>#VALUE!</v>
      </c>
      <c r="AY299" s="5" t="e">
        <f ca="1">acoBloco(HC[[#This Row],[nE]],HC[[#This Row],[e (cm)]],HC[[#This Row],[a (cm)]],HC[[#This Row],[h (cm)]],HC[[#This Row],[As,lado (cm²)]],HC[[#This Row],[Asp e Asw (cm²/m)]],HC[[#This Row],[As,sup (cm²)]],HC[[#This Row],[As,malha (cm²)]],HC[[#This Row],[As,susp,tot (cm²)]],HC[[#This Row],[Asp,face (cm²)]])</f>
        <v>#VALUE!</v>
      </c>
      <c r="AZ299" s="4" t="e">
        <f ca="1">concretoBloco(HC[[#This Row],[nE]],HC[[#This Row],[e (cm)]],HC[[#This Row],[a (cm)]],HC[[#This Row],[h (cm)]])</f>
        <v>#VALUE!</v>
      </c>
      <c r="BA299" s="5" t="e">
        <f ca="1">SUM(HC[[#This Row],[Aço Est (kg)]],HC[[#This Row],[Aço Bloco (kg)]])</f>
        <v>#DIV/0!</v>
      </c>
      <c r="BB299" s="4">
        <f>INDEX(composicoes[],MATCH(95580,composicoes[CÓDIGO],0),MATCH("CUSTO TOTAL",composicoes[#Headers],0))</f>
        <v>10.46</v>
      </c>
      <c r="BC299" s="4" t="e">
        <f ca="1">SUM(HC[[#This Row],[Conc Est (m³)]],HC[[#This Row],[Conc Bloco (m³)]])</f>
        <v>#DIV/0!</v>
      </c>
      <c r="BD299" s="4">
        <f>INDEX(composicoes[],MATCH(94966,composicoes[CÓDIGO],0),MATCH("CUSTO TOTAL",composicoes[#Headers],0))</f>
        <v>439.52</v>
      </c>
      <c r="BE299" s="38" t="e">
        <f ca="1">HC[[#This Row],[Aço (kg)]]*HC[[#This Row],[Aço (R$/kg)]]+HC[[#This Row],[Conc (m³)]]*HC[[#This Row],[Conc (R$/m³)]]</f>
        <v>#DIV/0!</v>
      </c>
      <c r="BF299" s="4" t="str">
        <f ca="1">IF(COUNTIF(HC[#This Row],"N.S.")&gt;0,"lim.","OK")</f>
        <v>lim.</v>
      </c>
      <c r="BG299" s="4" t="str">
        <f>IF(HC[[#This Row],[Prof. (m)]]&lt;4,"lim.","OK")</f>
        <v>lim.</v>
      </c>
      <c r="BH299" s="4" t="str">
        <f>IF(HC[[#This Row],[Prof. (m)]]&gt;=8*HC[[#This Row],[Ø (cm)]]/100,"OK","lim.")</f>
        <v>lim.</v>
      </c>
      <c r="BI299" s="4" t="str">
        <f ca="1">IF(HC[[#This Row],[Verif. Biela]]="OK","OK","lim.")</f>
        <v>OK</v>
      </c>
      <c r="BJ299" s="4" t="str">
        <f ca="1">IF(COUNTA(HC[[#This Row],[Nº Est.]:[Biela comp.]])=COUNTIF(HC[[#This Row],[Nº Est.]:[Biela comp.]],"OK"),"OK","lim.")</f>
        <v>lim.</v>
      </c>
      <c r="BK299" s="4" t="str">
        <f ca="1">IF(HC[[#This Row],[Controle]]="OK",HC[[#This Row],[nE]]&amp;" Ø "&amp;HC[[#This Row],[Ø (cm)]]&amp;" cm, Prof. "&amp;HC[[#This Row],[Prof. (m)]]&amp;" m","")</f>
        <v/>
      </c>
      <c r="BL299" s="4" t="str">
        <f ca="1">IF(HC[[#This Row],[idDimensionamento]]="","",HC[[#This Row],[idPilar]]&amp;HC[[#This Row],[idDimensionamento]])</f>
        <v/>
      </c>
    </row>
    <row r="300" spans="2:64" x14ac:dyDescent="0.25">
      <c r="B300" s="12">
        <f>ROUNDUP((ROW(HC[[#This Row],[idDiâmetro]])-ROW(HC[[#Headers],[idDiâmetro]]))/(COUNT(SPT[Prof. (m)])*COUNT(PILARES[Pilar])),0)</f>
        <v>11</v>
      </c>
      <c r="C300" s="12">
        <f>IF(HC[[#This Row],[idDiâmetro]]&lt;&gt;B299,1,IF(HC[[#This Row],[Prof. (m)]]=0,C299+1,C299))</f>
        <v>2</v>
      </c>
      <c r="D300" s="82">
        <f>IFERROR(IF(D299=MAX(SPT[Prof. (m)]),0,D299+1),0)</f>
        <v>1</v>
      </c>
      <c r="E300" s="82">
        <f>INDEX(SPT[],MATCH(HC[[#This Row],[Prof. (m)]],SPT[Prof. (m)],0),2)</f>
        <v>2</v>
      </c>
      <c r="F300" s="82" t="str">
        <f>INDEX(SPT[],MATCH(HC[[#This Row],[Prof. (m)]],SPT[Prof. (m)],0),3)</f>
        <v>Areia siltosa</v>
      </c>
      <c r="G300" s="82">
        <f>INDEX(estacas[],HC[[#This Row],[idDiâmetro]],MATCH($B$2,estacas[#Headers],0))</f>
        <v>100</v>
      </c>
      <c r="H300" s="82">
        <f>INDEX(estacas[],MATCH(HC[[#This Row],[Ø (cm)]],estacas[Ø HC (cm)],0),MATCH(HC[[#Headers],[Pe HC (kN)]],estacas[#Headers],0))</f>
        <v>5000</v>
      </c>
      <c r="I300" s="4">
        <f>INDEX(K_alpha_C[],MATCH(HC[[#This Row],[Solo]],K_alpha_C[Solo],0),2)</f>
        <v>0.8</v>
      </c>
      <c r="J300" s="5">
        <f>INDEX(K_alpha_C[],MATCH(HC[[#This Row],[Solo]],K_alpha_C[Solo],0),3)</f>
        <v>2</v>
      </c>
      <c r="K300" s="4">
        <f>INDEX(F1_F2[],MATCH($D$2,F1_F2[Tipo de estaca],0),2)</f>
        <v>2</v>
      </c>
      <c r="L300" s="4">
        <f>INDEX(F1_F2[],MATCH($D$2,F1_F2[Tipo de estaca],0),3)</f>
        <v>4</v>
      </c>
      <c r="M300" s="4">
        <f>PI()*(HC[[#This Row],[Ø (cm)]]/100)^2/4</f>
        <v>0.78539816339744828</v>
      </c>
      <c r="N300" s="4">
        <f>PI()*HC[[#This Row],[Ø (cm)]]/100</f>
        <v>3.1415926535897931</v>
      </c>
      <c r="O300" s="4">
        <f>IF(HC[[#This Row],[Prof. (m)]]=0,0,HC[[#This Row],[α (%)]]/100*HC[[#This Row],[K (MPa)]]*1000*HC[[#This Row],[NSPT]])</f>
        <v>32</v>
      </c>
      <c r="P300" s="4">
        <f>IF(HC[[#This Row],[Prof. (m)]]=0,0,(HC[[#This Row],[K (MPa)]]*1000*HC[[#This Row],[NSPT]]/HC[[#This Row],[F1]]*HC[[#This Row],[Ap (m²)]]+HC[[#This Row],[U (m)]]/HC[[#This Row],[F2]]*SUMIFS(HC[(α∙K∙NL∙ΔL)],HC[Prof. (m)],"&lt;="&amp;HC[[#This Row],[Prof. (m)]],HC[idDiâmetro],HC[[#This Row],[idDiâmetro]],HC[idPilar],HC[[#This Row],[idPilar]]))/'DADOS CAP. CARGA'!$D$2)</f>
        <v>326.72563597333851</v>
      </c>
      <c r="Q300" s="12">
        <f>INDEX(C_alpha_beta[],MATCH(HC[[#This Row],[Solo]],C_alpha_beta[Solo],0),MATCH(HC[[#Headers],[C (kPa)]],C_alpha_beta[#Headers],0))</f>
        <v>400</v>
      </c>
      <c r="R300" s="4">
        <f>INDEX(C_alpha_beta[],MATCH(HC[[#This Row],[Solo]],C_alpha_beta[Solo],0),MATCH(HC[[#Headers],[α ESF]],C_alpha_beta[#Headers],0))</f>
        <v>0.5</v>
      </c>
      <c r="S300" s="4">
        <f>INDEX(C_alpha_beta[],MATCH(HC[[#This Row],[Solo]],C_alpha_beta[Solo],0),MATCH(HC[[#Headers],[β ESF]],C_alpha_beta[#Headers],0))</f>
        <v>0.5</v>
      </c>
      <c r="T300" s="4">
        <f>IF(HC[[#This Row],[Prof. (m)]]=0,0,10*(HC[[#This Row],[NSPT]]/3+1))</f>
        <v>16.666666666666664</v>
      </c>
      <c r="U300" s="4">
        <f>(HC[[#This Row],[α ESF]]*HC[[#This Row],[C (kPa)]]*HC[[#This Row],[NSPT]]*HC[[#This Row],[Ap (m²)]])/'DADOS CAP. CARGA'!$Q$2+(HC[[#This Row],[β ESF]]*SUMIFS(HC[10∙(NL/3+1)],HC[Prof. (m)],"&lt;="&amp;HC[[#This Row],[Prof. (m)]],HC[idDiâmetro],HC[[#This Row],[idDiâmetro]],HC[idPilar],HC[[#This Row],[idPilar]])*HC[[#This Row],[U (m)]])/'DADOS CAP. CARGA'!$S$2</f>
        <v>91.629785729702306</v>
      </c>
      <c r="V300" s="4">
        <f>IF(SPT!$M$5=1,MIN(HC[[#This Row],[Pe HC (kN)]],HC[[#This Row],[R_AV (kN)]]),IF(SPT!$M$5=2,MIN(HC[[#This Row],[Pe HC (kN)]],HC[[#This Row],[R_DC (kN)]]),MIN(HC[[#This Row],[Pe HC (kN)]],HC[[#This Row],[R_AV (kN)]],HC[[#This Row],[R_DC (kN)]])))</f>
        <v>91.629785729702306</v>
      </c>
      <c r="W300" s="4">
        <f>INDEX(PILARES[],HC[[#This Row],[idPilar]],MATCH("Carga (kN)",PILARES[#Headers],0))*1.4</f>
        <v>1750</v>
      </c>
      <c r="X300" s="12">
        <f>INDEX(PILARES[],HC[[#This Row],[idPilar]],MATCH(HC[[#Headers],[ap (cm)]],PILARES[#Headers],0))</f>
        <v>50</v>
      </c>
      <c r="Y300" s="12">
        <f>INDEX(PILARES[],HC[[#This Row],[idPilar]],MATCH(HC[[#Headers],[bp (cm)]],PILARES[#Headers],0))</f>
        <v>40</v>
      </c>
      <c r="Z300" s="4">
        <f>SQRT(HC[[#This Row],[ap (cm)]]*HC[[#This Row],[bp (cm)]])</f>
        <v>44.721359549995796</v>
      </c>
      <c r="AA300" s="12">
        <f>HC[[#This Row],[ap (cm)]]*HC[[#This Row],[bp (cm)]]</f>
        <v>2000</v>
      </c>
      <c r="AB300" s="12">
        <f ca="1">IF(HC[[#This Row],[Padm∙ε (kN)]]&gt;=HC[[#This Row],[Padm (kN)]],ROUNDUP(1.05*HC[[#This Row],[Nsd (kN)]]/HC[[#This Row],[Padm (kN)]],0),ROUNDUP(1.05*HC[[#This Row],[Nsd (kN)]]/HC[[#This Row],[Padm (kN)]],0)+1)</f>
        <v>21</v>
      </c>
      <c r="AC300" s="4" t="str">
        <f ca="1">IFERROR(IF(HC[[#This Row],[nE]]=1,HC[[#This Row],[Padm (kN)]],HC[[#This Row],[Padm (kN)]]*HC[[#This Row],[nE]]*INDEX(grupoEstacas[],HC[[#This Row],[nE]],MATCH("ε",grupoEstacas[#Headers],0))),"N.S.")</f>
        <v>N.S.</v>
      </c>
      <c r="AD300" s="4">
        <f ca="1">1.05*HC[[#This Row],[Nsd (kN)]]/(HC[[#This Row],[nE]]*PI()*HC[[#This Row],[Ø (cm)]]^2/4)*10</f>
        <v>0.11140846016432673</v>
      </c>
      <c r="AE300" s="4">
        <f ca="1">IF(HC[[#This Row],[σ (MPa)]]&lt;INDEX(tipoEstaca[],MATCH($D$2,tipoEstaca[TIPO DE ESTACA],0),MATCH("σmáx (MPa)",tipoEstaca[#Headers],0)),0.4%*PI()*HC[[#This Row],[Ø (cm)]]^2/4,"N.S.")</f>
        <v>31.415926535897935</v>
      </c>
      <c r="AF300" s="82">
        <f>INDEX(tipoEstaca[],MATCH($D$2,tipoEstaca[TIPO DE ESTACA],0),MATCH(HC[[#Headers],[Comprimento (m)]],tipoEstaca[#Headers],0))</f>
        <v>4</v>
      </c>
      <c r="AG300" s="5">
        <f ca="1">HC[[#This Row],[As,mín (cm²)]]/100^2*HC[[#This Row],[Comprimento (m)]]*7850</f>
        <v>98.646009322719507</v>
      </c>
      <c r="AH300" s="4">
        <f ca="1">HC[[#This Row],[nE]]*HC[[#This Row],[Prof. (m)]]*HC[[#This Row],[Ap (m²)]]</f>
        <v>16.493361431346415</v>
      </c>
      <c r="AI300" s="82">
        <f ca="1">IF(HC[[#This Row],[nE]]=1,0,MAX(3*HC[[#This Row],[Ø (cm)]],60))</f>
        <v>300</v>
      </c>
      <c r="AJ300" s="82">
        <f ca="1">IF(HC[[#This Row],[nE]]=1,HC[[#This Row],[Ø (cm)]]+2*10,MAX(1.5*HC[[#This Row],[Ø (cm)]],HC[[#This Row],[Ø (cm)]]+15))</f>
        <v>150</v>
      </c>
      <c r="AK300" s="82" t="str">
        <f ca="1">alturaUtil(HC[[#This Row],[nE]],HC[[#This Row],[Ø (cm)]],HC[[#This Row],[e (cm)]],HC[[#This Row],[ap,eq (cm)]])</f>
        <v>N.S.</v>
      </c>
      <c r="AL300" s="82" t="str">
        <f ca="1">IFERROR(HC[[#This Row],[d (cm)]]+arredondarParaCimaMultiplo5cm(MAX(5,SQRT(PI())/2*HC[[#This Row],[Ø (cm)]]/5)),"N.S.")</f>
        <v>N.S.</v>
      </c>
      <c r="AM300" s="5" t="str">
        <f ca="1">alpha(HC[[#This Row],[nE]],HC[[#This Row],[d (cm)]],HC[[#This Row],[e (cm)]],HC[[#This Row],[ap,eq (cm)]])</f>
        <v>N.S.</v>
      </c>
      <c r="AN300" s="35" t="str">
        <f ca="1">IFERROR(HC[[#This Row],[Nsd (kN)]]/(HC[[#This Row],[Ap (cm²)]]*SIN(HC[[#This Row],[α]])^2),"N.S.")</f>
        <v>N.S.</v>
      </c>
      <c r="AO300" s="35" t="str">
        <f ca="1">IFERROR(HC[[#This Row],[Nsd (kN)]]/(HC[[#This Row],[nE]]*PI()*HC[[#This Row],[Ø (cm)]]^2/4*SIN(HC[[#This Row],[α]])^2),"N.S.")</f>
        <v>N.S.</v>
      </c>
      <c r="AP300" s="4" t="str">
        <f ca="1">IFERROR(INDEX(grupoEstacas[],HC[[#This Row],[nE]],MATCH("coef. Blévot",grupoEstacas[#Headers],0)),"N.S.")</f>
        <v>N.S.</v>
      </c>
      <c r="AQ300" s="35" t="str">
        <f ca="1">IFERROR(HC[[#This Row],[coef. Blévot]]*0.9*INDEX(tipoEstaca[],MATCH($D$2,tipoEstaca[TIPO DE ESTACA],0),MATCH("fcd (kN/cm²)",tipoEstaca[#Headers],0)),"N.S.")</f>
        <v>N.S.</v>
      </c>
      <c r="AR300" s="82" t="str">
        <f ca="1">IF(AND(HC[[#This Row],[cd,b,pil (kN/cm²)]]&lt;=HC[[#This Row],[cd,b,lim (kN/cm²)]],HC[[#This Row],[cd,b,est (kN/cm²)]]&lt;=HC[[#This Row],[cd,b,lim (kN/cm²)]]),"OK","ERRO")</f>
        <v>OK</v>
      </c>
      <c r="AS300" s="4" t="str">
        <f ca="1">As_lado(HC[[#This Row],[nE]],HC[[#This Row],[Nsd (kN)]],HC[[#This Row],[d (cm)]],HC[[#This Row],[e (cm)]],HC[[#This Row],[ap,eq (cm)]])</f>
        <v>N.S.</v>
      </c>
      <c r="AT300" s="4" t="str">
        <f ca="1">IF(HC[[#This Row],[nE]]=1,HC[[#This Row],[As,lado (cm²)]],IF(HC[[#This Row],[nE]]=2,0.075*2*HC[a (cm)],"N.A."))</f>
        <v>N.A.</v>
      </c>
      <c r="AU300" s="4" t="str">
        <f ca="1">IFERROR(IF(HC[[#This Row],[nE]]=1,"N.A.",0.2*HC[[#This Row],[As,lado (cm²)]]),"N.S.")</f>
        <v>N.S.</v>
      </c>
      <c r="AV300" s="4" t="str">
        <f ca="1">As_malha(HC[[#This Row],[nE]],HC[[#This Row],[As,lado (cm²)]],HC[[#This Row],[Nsd (kN)]])</f>
        <v>N.S.</v>
      </c>
      <c r="AW300" s="4" t="str">
        <f ca="1">As_susp_tot(HC[[#This Row],[nE]],HC[[#This Row],[Nsd (kN)]])</f>
        <v>N.S.</v>
      </c>
      <c r="AX300" s="4" t="str">
        <f ca="1">Asp_face(HC[[#This Row],[nE]],HC[[#This Row],[As,lado (cm²)]])</f>
        <v>N.S.</v>
      </c>
      <c r="AY300" s="5" t="str">
        <f ca="1">acoBloco(HC[[#This Row],[nE]],HC[[#This Row],[e (cm)]],HC[[#This Row],[a (cm)]],HC[[#This Row],[h (cm)]],HC[[#This Row],[As,lado (cm²)]],HC[[#This Row],[Asp e Asw (cm²/m)]],HC[[#This Row],[As,sup (cm²)]],HC[[#This Row],[As,malha (cm²)]],HC[[#This Row],[As,susp,tot (cm²)]],HC[[#This Row],[Asp,face (cm²)]])</f>
        <v>N.S.</v>
      </c>
      <c r="AZ300" s="4" t="str">
        <f ca="1">concretoBloco(HC[[#This Row],[nE]],HC[[#This Row],[e (cm)]],HC[[#This Row],[a (cm)]],HC[[#This Row],[h (cm)]])</f>
        <v>N.S.</v>
      </c>
      <c r="BA300" s="5">
        <f ca="1">SUM(HC[[#This Row],[Aço Est (kg)]],HC[[#This Row],[Aço Bloco (kg)]])</f>
        <v>98.646009322719507</v>
      </c>
      <c r="BB300" s="4">
        <f>INDEX(composicoes[],MATCH(95580,composicoes[CÓDIGO],0),MATCH("CUSTO TOTAL",composicoes[#Headers],0))</f>
        <v>10.46</v>
      </c>
      <c r="BC300" s="4">
        <f ca="1">SUM(HC[[#This Row],[Conc Est (m³)]],HC[[#This Row],[Conc Bloco (m³)]])</f>
        <v>16.493361431346415</v>
      </c>
      <c r="BD300" s="4">
        <f>INDEX(composicoes[],MATCH(94966,composicoes[CÓDIGO],0),MATCH("CUSTO TOTAL",composicoes[#Headers],0))</f>
        <v>439.52</v>
      </c>
      <c r="BE300" s="38">
        <f ca="1">HC[[#This Row],[Aço (kg)]]*HC[[#This Row],[Aço (R$/kg)]]+HC[[#This Row],[Conc (m³)]]*HC[[#This Row],[Conc (R$/m³)]]</f>
        <v>8280.9994738210225</v>
      </c>
      <c r="BF300" s="4" t="str">
        <f ca="1">IF(COUNTIF(HC[#This Row],"N.S.")&gt;0,"lim.","OK")</f>
        <v>lim.</v>
      </c>
      <c r="BG300" s="4" t="str">
        <f>IF(HC[[#This Row],[Prof. (m)]]&lt;4,"lim.","OK")</f>
        <v>lim.</v>
      </c>
      <c r="BH300" s="4" t="str">
        <f>IF(HC[[#This Row],[Prof. (m)]]&gt;=8*HC[[#This Row],[Ø (cm)]]/100,"OK","lim.")</f>
        <v>lim.</v>
      </c>
      <c r="BI300" s="4" t="str">
        <f ca="1">IF(HC[[#This Row],[Verif. Biela]]="OK","OK","lim.")</f>
        <v>OK</v>
      </c>
      <c r="BJ300" s="4" t="str">
        <f ca="1">IF(COUNTA(HC[[#This Row],[Nº Est.]:[Biela comp.]])=COUNTIF(HC[[#This Row],[Nº Est.]:[Biela comp.]],"OK"),"OK","lim.")</f>
        <v>lim.</v>
      </c>
      <c r="BK300" s="4" t="str">
        <f ca="1">IF(HC[[#This Row],[Controle]]="OK",HC[[#This Row],[nE]]&amp;" Ø "&amp;HC[[#This Row],[Ø (cm)]]&amp;" cm, Prof. "&amp;HC[[#This Row],[Prof. (m)]]&amp;" m","")</f>
        <v/>
      </c>
      <c r="BL300" s="4" t="str">
        <f ca="1">IF(HC[[#This Row],[idDimensionamento]]="","",HC[[#This Row],[idPilar]]&amp;HC[[#This Row],[idDimensionamento]])</f>
        <v/>
      </c>
    </row>
    <row r="301" spans="2:64" x14ac:dyDescent="0.25">
      <c r="B301" s="12">
        <f>ROUNDUP((ROW(HC[[#This Row],[idDiâmetro]])-ROW(HC[[#Headers],[idDiâmetro]]))/(COUNT(SPT[Prof. (m)])*COUNT(PILARES[Pilar])),0)</f>
        <v>11</v>
      </c>
      <c r="C301" s="12">
        <f>IF(HC[[#This Row],[idDiâmetro]]&lt;&gt;B300,1,IF(HC[[#This Row],[Prof. (m)]]=0,C300+1,C300))</f>
        <v>2</v>
      </c>
      <c r="D301" s="82">
        <f>IFERROR(IF(D300=MAX(SPT[Prof. (m)]),0,D300+1),0)</f>
        <v>2</v>
      </c>
      <c r="E301" s="82">
        <f>INDEX(SPT[],MATCH(HC[[#This Row],[Prof. (m)]],SPT[Prof. (m)],0),2)</f>
        <v>2</v>
      </c>
      <c r="F301" s="82" t="str">
        <f>INDEX(SPT[],MATCH(HC[[#This Row],[Prof. (m)]],SPT[Prof. (m)],0),3)</f>
        <v>Areia siltosa</v>
      </c>
      <c r="G301" s="82">
        <f>INDEX(estacas[],HC[[#This Row],[idDiâmetro]],MATCH($B$2,estacas[#Headers],0))</f>
        <v>100</v>
      </c>
      <c r="H301" s="82">
        <f>INDEX(estacas[],MATCH(HC[[#This Row],[Ø (cm)]],estacas[Ø HC (cm)],0),MATCH(HC[[#Headers],[Pe HC (kN)]],estacas[#Headers],0))</f>
        <v>5000</v>
      </c>
      <c r="I301" s="4">
        <f>INDEX(K_alpha_C[],MATCH(HC[[#This Row],[Solo]],K_alpha_C[Solo],0),2)</f>
        <v>0.8</v>
      </c>
      <c r="J301" s="5">
        <f>INDEX(K_alpha_C[],MATCH(HC[[#This Row],[Solo]],K_alpha_C[Solo],0),3)</f>
        <v>2</v>
      </c>
      <c r="K301" s="4">
        <f>INDEX(F1_F2[],MATCH($D$2,F1_F2[Tipo de estaca],0),2)</f>
        <v>2</v>
      </c>
      <c r="L301" s="4">
        <f>INDEX(F1_F2[],MATCH($D$2,F1_F2[Tipo de estaca],0),3)</f>
        <v>4</v>
      </c>
      <c r="M301" s="4">
        <f>PI()*(HC[[#This Row],[Ø (cm)]]/100)^2/4</f>
        <v>0.78539816339744828</v>
      </c>
      <c r="N301" s="4">
        <f>PI()*HC[[#This Row],[Ø (cm)]]/100</f>
        <v>3.1415926535897931</v>
      </c>
      <c r="O301" s="4">
        <f>IF(HC[[#This Row],[Prof. (m)]]=0,0,HC[[#This Row],[α (%)]]/100*HC[[#This Row],[K (MPa)]]*1000*HC[[#This Row],[NSPT]])</f>
        <v>32</v>
      </c>
      <c r="P301" s="4">
        <f>IF(HC[[#This Row],[Prof. (m)]]=0,0,(HC[[#This Row],[K (MPa)]]*1000*HC[[#This Row],[NSPT]]/HC[[#This Row],[F1]]*HC[[#This Row],[Ap (m²)]]+HC[[#This Row],[U (m)]]/HC[[#This Row],[F2]]*SUMIFS(HC[(α∙K∙NL∙ΔL)],HC[Prof. (m)],"&lt;="&amp;HC[[#This Row],[Prof. (m)]],HC[idDiâmetro],HC[[#This Row],[idDiâmetro]],HC[idPilar],HC[[#This Row],[idPilar]]))/'DADOS CAP. CARGA'!$D$2)</f>
        <v>339.29200658769764</v>
      </c>
      <c r="Q301" s="12">
        <f>INDEX(C_alpha_beta[],MATCH(HC[[#This Row],[Solo]],C_alpha_beta[Solo],0),MATCH(HC[[#Headers],[C (kPa)]],C_alpha_beta[#Headers],0))</f>
        <v>400</v>
      </c>
      <c r="R301" s="4">
        <f>INDEX(C_alpha_beta[],MATCH(HC[[#This Row],[Solo]],C_alpha_beta[Solo],0),MATCH(HC[[#Headers],[α ESF]],C_alpha_beta[#Headers],0))</f>
        <v>0.5</v>
      </c>
      <c r="S301" s="4">
        <f>INDEX(C_alpha_beta[],MATCH(HC[[#This Row],[Solo]],C_alpha_beta[Solo],0),MATCH(HC[[#Headers],[β ESF]],C_alpha_beta[#Headers],0))</f>
        <v>0.5</v>
      </c>
      <c r="T301" s="4">
        <f>IF(HC[[#This Row],[Prof. (m)]]=0,0,10*(HC[[#This Row],[NSPT]]/3+1))</f>
        <v>16.666666666666664</v>
      </c>
      <c r="U301" s="4">
        <f>(HC[[#This Row],[α ESF]]*HC[[#This Row],[C (kPa)]]*HC[[#This Row],[NSPT]]*HC[[#This Row],[Ap (m²)]])/'DADOS CAP. CARGA'!$Q$2+(HC[[#This Row],[β ESF]]*SUMIFS(HC[10∙(NL/3+1)],HC[Prof. (m)],"&lt;="&amp;HC[[#This Row],[Prof. (m)]],HC[idDiâmetro],HC[[#This Row],[idDiâmetro]],HC[idPilar],HC[[#This Row],[idPilar]])*HC[[#This Row],[U (m)]])/'DADOS CAP. CARGA'!$S$2</f>
        <v>104.71975511965977</v>
      </c>
      <c r="V301" s="4">
        <f>IF(SPT!$M$5=1,MIN(HC[[#This Row],[Pe HC (kN)]],HC[[#This Row],[R_AV (kN)]]),IF(SPT!$M$5=2,MIN(HC[[#This Row],[Pe HC (kN)]],HC[[#This Row],[R_DC (kN)]]),MIN(HC[[#This Row],[Pe HC (kN)]],HC[[#This Row],[R_AV (kN)]],HC[[#This Row],[R_DC (kN)]])))</f>
        <v>104.71975511965977</v>
      </c>
      <c r="W301" s="4">
        <f>INDEX(PILARES[],HC[[#This Row],[idPilar]],MATCH("Carga (kN)",PILARES[#Headers],0))*1.4</f>
        <v>1750</v>
      </c>
      <c r="X301" s="12">
        <f>INDEX(PILARES[],HC[[#This Row],[idPilar]],MATCH(HC[[#Headers],[ap (cm)]],PILARES[#Headers],0))</f>
        <v>50</v>
      </c>
      <c r="Y301" s="12">
        <f>INDEX(PILARES[],HC[[#This Row],[idPilar]],MATCH(HC[[#Headers],[bp (cm)]],PILARES[#Headers],0))</f>
        <v>40</v>
      </c>
      <c r="Z301" s="4">
        <f>SQRT(HC[[#This Row],[ap (cm)]]*HC[[#This Row],[bp (cm)]])</f>
        <v>44.721359549995796</v>
      </c>
      <c r="AA301" s="12">
        <f>HC[[#This Row],[ap (cm)]]*HC[[#This Row],[bp (cm)]]</f>
        <v>2000</v>
      </c>
      <c r="AB301" s="12">
        <f ca="1">IF(HC[[#This Row],[Padm∙ε (kN)]]&gt;=HC[[#This Row],[Padm (kN)]],ROUNDUP(1.05*HC[[#This Row],[Nsd (kN)]]/HC[[#This Row],[Padm (kN)]],0),ROUNDUP(1.05*HC[[#This Row],[Nsd (kN)]]/HC[[#This Row],[Padm (kN)]],0)+1)</f>
        <v>18</v>
      </c>
      <c r="AC301" s="4" t="str">
        <f ca="1">IFERROR(IF(HC[[#This Row],[nE]]=1,HC[[#This Row],[Padm (kN)]],HC[[#This Row],[Padm (kN)]]*HC[[#This Row],[nE]]*INDEX(grupoEstacas[],HC[[#This Row],[nE]],MATCH("ε",grupoEstacas[#Headers],0))),"N.S.")</f>
        <v>N.S.</v>
      </c>
      <c r="AD301" s="4">
        <f ca="1">1.05*HC[[#This Row],[Nsd (kN)]]/(HC[[#This Row],[nE]]*PI()*HC[[#This Row],[Ø (cm)]]^2/4)*10</f>
        <v>0.12997653685838118</v>
      </c>
      <c r="AE301" s="4">
        <f ca="1">IF(HC[[#This Row],[σ (MPa)]]&lt;INDEX(tipoEstaca[],MATCH($D$2,tipoEstaca[TIPO DE ESTACA],0),MATCH("σmáx (MPa)",tipoEstaca[#Headers],0)),0.4%*PI()*HC[[#This Row],[Ø (cm)]]^2/4,"N.S.")</f>
        <v>31.415926535897935</v>
      </c>
      <c r="AF301" s="82">
        <f>INDEX(tipoEstaca[],MATCH($D$2,tipoEstaca[TIPO DE ESTACA],0),MATCH(HC[[#Headers],[Comprimento (m)]],tipoEstaca[#Headers],0))</f>
        <v>4</v>
      </c>
      <c r="AG301" s="5">
        <f ca="1">HC[[#This Row],[As,mín (cm²)]]/100^2*HC[[#This Row],[Comprimento (m)]]*7850</f>
        <v>98.646009322719507</v>
      </c>
      <c r="AH301" s="4">
        <f ca="1">HC[[#This Row],[nE]]*HC[[#This Row],[Prof. (m)]]*HC[[#This Row],[Ap (m²)]]</f>
        <v>28.274333882308138</v>
      </c>
      <c r="AI301" s="82">
        <f ca="1">IF(HC[[#This Row],[nE]]=1,0,MAX(3*HC[[#This Row],[Ø (cm)]],60))</f>
        <v>300</v>
      </c>
      <c r="AJ301" s="82">
        <f ca="1">IF(HC[[#This Row],[nE]]=1,HC[[#This Row],[Ø (cm)]]+2*10,MAX(1.5*HC[[#This Row],[Ø (cm)]],HC[[#This Row],[Ø (cm)]]+15))</f>
        <v>150</v>
      </c>
      <c r="AK301" s="82" t="str">
        <f ca="1">alturaUtil(HC[[#This Row],[nE]],HC[[#This Row],[Ø (cm)]],HC[[#This Row],[e (cm)]],HC[[#This Row],[ap,eq (cm)]])</f>
        <v>N.S.</v>
      </c>
      <c r="AL301" s="82" t="str">
        <f ca="1">IFERROR(HC[[#This Row],[d (cm)]]+arredondarParaCimaMultiplo5cm(MAX(5,SQRT(PI())/2*HC[[#This Row],[Ø (cm)]]/5)),"N.S.")</f>
        <v>N.S.</v>
      </c>
      <c r="AM301" s="5" t="str">
        <f ca="1">alpha(HC[[#This Row],[nE]],HC[[#This Row],[d (cm)]],HC[[#This Row],[e (cm)]],HC[[#This Row],[ap,eq (cm)]])</f>
        <v>N.S.</v>
      </c>
      <c r="AN301" s="35" t="str">
        <f ca="1">IFERROR(HC[[#This Row],[Nsd (kN)]]/(HC[[#This Row],[Ap (cm²)]]*SIN(HC[[#This Row],[α]])^2),"N.S.")</f>
        <v>N.S.</v>
      </c>
      <c r="AO301" s="35" t="str">
        <f ca="1">IFERROR(HC[[#This Row],[Nsd (kN)]]/(HC[[#This Row],[nE]]*PI()*HC[[#This Row],[Ø (cm)]]^2/4*SIN(HC[[#This Row],[α]])^2),"N.S.")</f>
        <v>N.S.</v>
      </c>
      <c r="AP301" s="4" t="str">
        <f ca="1">IFERROR(INDEX(grupoEstacas[],HC[[#This Row],[nE]],MATCH("coef. Blévot",grupoEstacas[#Headers],0)),"N.S.")</f>
        <v>N.S.</v>
      </c>
      <c r="AQ301" s="35" t="str">
        <f ca="1">IFERROR(HC[[#This Row],[coef. Blévot]]*0.9*INDEX(tipoEstaca[],MATCH($D$2,tipoEstaca[TIPO DE ESTACA],0),MATCH("fcd (kN/cm²)",tipoEstaca[#Headers],0)),"N.S.")</f>
        <v>N.S.</v>
      </c>
      <c r="AR301" s="82" t="str">
        <f ca="1">IF(AND(HC[[#This Row],[cd,b,pil (kN/cm²)]]&lt;=HC[[#This Row],[cd,b,lim (kN/cm²)]],HC[[#This Row],[cd,b,est (kN/cm²)]]&lt;=HC[[#This Row],[cd,b,lim (kN/cm²)]]),"OK","ERRO")</f>
        <v>OK</v>
      </c>
      <c r="AS301" s="4" t="str">
        <f ca="1">As_lado(HC[[#This Row],[nE]],HC[[#This Row],[Nsd (kN)]],HC[[#This Row],[d (cm)]],HC[[#This Row],[e (cm)]],HC[[#This Row],[ap,eq (cm)]])</f>
        <v>N.S.</v>
      </c>
      <c r="AT301" s="4" t="str">
        <f ca="1">IF(HC[[#This Row],[nE]]=1,HC[[#This Row],[As,lado (cm²)]],IF(HC[[#This Row],[nE]]=2,0.075*2*HC[a (cm)],"N.A."))</f>
        <v>N.A.</v>
      </c>
      <c r="AU301" s="4" t="str">
        <f ca="1">IFERROR(IF(HC[[#This Row],[nE]]=1,"N.A.",0.2*HC[[#This Row],[As,lado (cm²)]]),"N.S.")</f>
        <v>N.S.</v>
      </c>
      <c r="AV301" s="4" t="str">
        <f ca="1">As_malha(HC[[#This Row],[nE]],HC[[#This Row],[As,lado (cm²)]],HC[[#This Row],[Nsd (kN)]])</f>
        <v>N.S.</v>
      </c>
      <c r="AW301" s="4" t="str">
        <f ca="1">As_susp_tot(HC[[#This Row],[nE]],HC[[#This Row],[Nsd (kN)]])</f>
        <v>N.S.</v>
      </c>
      <c r="AX301" s="4" t="str">
        <f ca="1">Asp_face(HC[[#This Row],[nE]],HC[[#This Row],[As,lado (cm²)]])</f>
        <v>N.S.</v>
      </c>
      <c r="AY301" s="5" t="str">
        <f ca="1">acoBloco(HC[[#This Row],[nE]],HC[[#This Row],[e (cm)]],HC[[#This Row],[a (cm)]],HC[[#This Row],[h (cm)]],HC[[#This Row],[As,lado (cm²)]],HC[[#This Row],[Asp e Asw (cm²/m)]],HC[[#This Row],[As,sup (cm²)]],HC[[#This Row],[As,malha (cm²)]],HC[[#This Row],[As,susp,tot (cm²)]],HC[[#This Row],[Asp,face (cm²)]])</f>
        <v>N.S.</v>
      </c>
      <c r="AZ301" s="4" t="str">
        <f ca="1">concretoBloco(HC[[#This Row],[nE]],HC[[#This Row],[e (cm)]],HC[[#This Row],[a (cm)]],HC[[#This Row],[h (cm)]])</f>
        <v>N.S.</v>
      </c>
      <c r="BA301" s="5">
        <f ca="1">SUM(HC[[#This Row],[Aço Est (kg)]],HC[[#This Row],[Aço Bloco (kg)]])</f>
        <v>98.646009322719507</v>
      </c>
      <c r="BB301" s="4">
        <f>INDEX(composicoes[],MATCH(95580,composicoes[CÓDIGO],0),MATCH("CUSTO TOTAL",composicoes[#Headers],0))</f>
        <v>10.46</v>
      </c>
      <c r="BC301" s="4">
        <f ca="1">SUM(HC[[#This Row],[Conc Est (m³)]],HC[[#This Row],[Conc Bloco (m³)]])</f>
        <v>28.274333882308138</v>
      </c>
      <c r="BD301" s="4">
        <f>INDEX(composicoes[],MATCH(94966,composicoes[CÓDIGO],0),MATCH("CUSTO TOTAL",composicoes[#Headers],0))</f>
        <v>439.52</v>
      </c>
      <c r="BE301" s="38">
        <f ca="1">HC[[#This Row],[Aço (kg)]]*HC[[#This Row],[Aço (R$/kg)]]+HC[[#This Row],[Conc (m³)]]*HC[[#This Row],[Conc (R$/m³)]]</f>
        <v>13458.972485467719</v>
      </c>
      <c r="BF301" s="4" t="str">
        <f ca="1">IF(COUNTIF(HC[#This Row],"N.S.")&gt;0,"lim.","OK")</f>
        <v>lim.</v>
      </c>
      <c r="BG301" s="4" t="str">
        <f>IF(HC[[#This Row],[Prof. (m)]]&lt;4,"lim.","OK")</f>
        <v>lim.</v>
      </c>
      <c r="BH301" s="4" t="str">
        <f>IF(HC[[#This Row],[Prof. (m)]]&gt;=8*HC[[#This Row],[Ø (cm)]]/100,"OK","lim.")</f>
        <v>lim.</v>
      </c>
      <c r="BI301" s="4" t="str">
        <f ca="1">IF(HC[[#This Row],[Verif. Biela]]="OK","OK","lim.")</f>
        <v>OK</v>
      </c>
      <c r="BJ301" s="4" t="str">
        <f ca="1">IF(COUNTA(HC[[#This Row],[Nº Est.]:[Biela comp.]])=COUNTIF(HC[[#This Row],[Nº Est.]:[Biela comp.]],"OK"),"OK","lim.")</f>
        <v>lim.</v>
      </c>
      <c r="BK301" s="4" t="str">
        <f ca="1">IF(HC[[#This Row],[Controle]]="OK",HC[[#This Row],[nE]]&amp;" Ø "&amp;HC[[#This Row],[Ø (cm)]]&amp;" cm, Prof. "&amp;HC[[#This Row],[Prof. (m)]]&amp;" m","")</f>
        <v/>
      </c>
      <c r="BL301" s="4" t="str">
        <f ca="1">IF(HC[[#This Row],[idDimensionamento]]="","",HC[[#This Row],[idPilar]]&amp;HC[[#This Row],[idDimensionamento]])</f>
        <v/>
      </c>
    </row>
    <row r="302" spans="2:64" x14ac:dyDescent="0.25">
      <c r="B302" s="12">
        <f>ROUNDUP((ROW(HC[[#This Row],[idDiâmetro]])-ROW(HC[[#Headers],[idDiâmetro]]))/(COUNT(SPT[Prof. (m)])*COUNT(PILARES[Pilar])),0)</f>
        <v>11</v>
      </c>
      <c r="C302" s="12">
        <f>IF(HC[[#This Row],[idDiâmetro]]&lt;&gt;B301,1,IF(HC[[#This Row],[Prof. (m)]]=0,C301+1,C301))</f>
        <v>2</v>
      </c>
      <c r="D302" s="82">
        <f>IFERROR(IF(D301=MAX(SPT[Prof. (m)]),0,D301+1),0)</f>
        <v>3</v>
      </c>
      <c r="E302" s="82">
        <f>INDEX(SPT[],MATCH(HC[[#This Row],[Prof. (m)]],SPT[Prof. (m)],0),2)</f>
        <v>4</v>
      </c>
      <c r="F302" s="82" t="str">
        <f>INDEX(SPT[],MATCH(HC[[#This Row],[Prof. (m)]],SPT[Prof. (m)],0),3)</f>
        <v>Areia siltosa</v>
      </c>
      <c r="G302" s="82">
        <f>INDEX(estacas[],HC[[#This Row],[idDiâmetro]],MATCH($B$2,estacas[#Headers],0))</f>
        <v>100</v>
      </c>
      <c r="H302" s="82">
        <f>INDEX(estacas[],MATCH(HC[[#This Row],[Ø (cm)]],estacas[Ø HC (cm)],0),MATCH(HC[[#Headers],[Pe HC (kN)]],estacas[#Headers],0))</f>
        <v>5000</v>
      </c>
      <c r="I302" s="4">
        <f>INDEX(K_alpha_C[],MATCH(HC[[#This Row],[Solo]],K_alpha_C[Solo],0),2)</f>
        <v>0.8</v>
      </c>
      <c r="J302" s="5">
        <f>INDEX(K_alpha_C[],MATCH(HC[[#This Row],[Solo]],K_alpha_C[Solo],0),3)</f>
        <v>2</v>
      </c>
      <c r="K302" s="4">
        <f>INDEX(F1_F2[],MATCH($D$2,F1_F2[Tipo de estaca],0),2)</f>
        <v>2</v>
      </c>
      <c r="L302" s="4">
        <f>INDEX(F1_F2[],MATCH($D$2,F1_F2[Tipo de estaca],0),3)</f>
        <v>4</v>
      </c>
      <c r="M302" s="4">
        <f>PI()*(HC[[#This Row],[Ø (cm)]]/100)^2/4</f>
        <v>0.78539816339744828</v>
      </c>
      <c r="N302" s="4">
        <f>PI()*HC[[#This Row],[Ø (cm)]]/100</f>
        <v>3.1415926535897931</v>
      </c>
      <c r="O302" s="4">
        <f>IF(HC[[#This Row],[Prof. (m)]]=0,0,HC[[#This Row],[α (%)]]/100*HC[[#This Row],[K (MPa)]]*1000*HC[[#This Row],[NSPT]])</f>
        <v>64</v>
      </c>
      <c r="P302" s="4">
        <f>IF(HC[[#This Row],[Prof. (m)]]=0,0,(HC[[#This Row],[K (MPa)]]*1000*HC[[#This Row],[NSPT]]/HC[[#This Row],[F1]]*HC[[#This Row],[Ap (m²)]]+HC[[#This Row],[U (m)]]/HC[[#This Row],[F2]]*SUMIFS(HC[(α∙K∙NL∙ΔL)],HC[Prof. (m)],"&lt;="&amp;HC[[#This Row],[Prof. (m)]],HC[idDiâmetro],HC[[#This Row],[idDiâmetro]],HC[idPilar],HC[[#This Row],[idPilar]]))/'DADOS CAP. CARGA'!$D$2)</f>
        <v>678.58401317539528</v>
      </c>
      <c r="Q302" s="12">
        <f>INDEX(C_alpha_beta[],MATCH(HC[[#This Row],[Solo]],C_alpha_beta[Solo],0),MATCH(HC[[#Headers],[C (kPa)]],C_alpha_beta[#Headers],0))</f>
        <v>400</v>
      </c>
      <c r="R302" s="4">
        <f>INDEX(C_alpha_beta[],MATCH(HC[[#This Row],[Solo]],C_alpha_beta[Solo],0),MATCH(HC[[#Headers],[α ESF]],C_alpha_beta[#Headers],0))</f>
        <v>0.5</v>
      </c>
      <c r="S302" s="4">
        <f>INDEX(C_alpha_beta[],MATCH(HC[[#This Row],[Solo]],C_alpha_beta[Solo],0),MATCH(HC[[#Headers],[β ESF]],C_alpha_beta[#Headers],0))</f>
        <v>0.5</v>
      </c>
      <c r="T302" s="4">
        <f>IF(HC[[#This Row],[Prof. (m)]]=0,0,10*(HC[[#This Row],[NSPT]]/3+1))</f>
        <v>23.333333333333329</v>
      </c>
      <c r="U302" s="4">
        <f>(HC[[#This Row],[α ESF]]*HC[[#This Row],[C (kPa)]]*HC[[#This Row],[NSPT]]*HC[[#This Row],[Ap (m²)]])/'DADOS CAP. CARGA'!$Q$2+(HC[[#This Row],[β ESF]]*SUMIFS(HC[10∙(NL/3+1)],HC[Prof. (m)],"&lt;="&amp;HC[[#This Row],[Prof. (m)]],HC[idDiâmetro],HC[[#This Row],[idDiâmetro]],HC[idPilar],HC[[#This Row],[idPilar]])*HC[[#This Row],[U (m)]])/'DADOS CAP. CARGA'!$S$2</f>
        <v>201.58552860534508</v>
      </c>
      <c r="V302" s="4">
        <f>IF(SPT!$M$5=1,MIN(HC[[#This Row],[Pe HC (kN)]],HC[[#This Row],[R_AV (kN)]]),IF(SPT!$M$5=2,MIN(HC[[#This Row],[Pe HC (kN)]],HC[[#This Row],[R_DC (kN)]]),MIN(HC[[#This Row],[Pe HC (kN)]],HC[[#This Row],[R_AV (kN)]],HC[[#This Row],[R_DC (kN)]])))</f>
        <v>201.58552860534508</v>
      </c>
      <c r="W302" s="4">
        <f>INDEX(PILARES[],HC[[#This Row],[idPilar]],MATCH("Carga (kN)",PILARES[#Headers],0))*1.4</f>
        <v>1750</v>
      </c>
      <c r="X302" s="12">
        <f>INDEX(PILARES[],HC[[#This Row],[idPilar]],MATCH(HC[[#Headers],[ap (cm)]],PILARES[#Headers],0))</f>
        <v>50</v>
      </c>
      <c r="Y302" s="12">
        <f>INDEX(PILARES[],HC[[#This Row],[idPilar]],MATCH(HC[[#Headers],[bp (cm)]],PILARES[#Headers],0))</f>
        <v>40</v>
      </c>
      <c r="Z302" s="4">
        <f>SQRT(HC[[#This Row],[ap (cm)]]*HC[[#This Row],[bp (cm)]])</f>
        <v>44.721359549995796</v>
      </c>
      <c r="AA302" s="12">
        <f>HC[[#This Row],[ap (cm)]]*HC[[#This Row],[bp (cm)]]</f>
        <v>2000</v>
      </c>
      <c r="AB302" s="12">
        <f ca="1">IF(HC[[#This Row],[Padm∙ε (kN)]]&gt;=HC[[#This Row],[Padm (kN)]],ROUNDUP(1.05*HC[[#This Row],[Nsd (kN)]]/HC[[#This Row],[Padm (kN)]],0),ROUNDUP(1.05*HC[[#This Row],[Nsd (kN)]]/HC[[#This Row],[Padm (kN)]],0)+1)</f>
        <v>10</v>
      </c>
      <c r="AC302" s="4" t="str">
        <f ca="1">IFERROR(IF(HC[[#This Row],[nE]]=1,HC[[#This Row],[Padm (kN)]],HC[[#This Row],[Padm (kN)]]*HC[[#This Row],[nE]]*INDEX(grupoEstacas[],HC[[#This Row],[nE]],MATCH("ε",grupoEstacas[#Headers],0))),"N.S.")</f>
        <v>N.S.</v>
      </c>
      <c r="AD302" s="4">
        <f ca="1">1.05*HC[[#This Row],[Nsd (kN)]]/(HC[[#This Row],[nE]]*PI()*HC[[#This Row],[Ø (cm)]]^2/4)*10</f>
        <v>0.23395776634508617</v>
      </c>
      <c r="AE302" s="4">
        <f ca="1">IF(HC[[#This Row],[σ (MPa)]]&lt;INDEX(tipoEstaca[],MATCH($D$2,tipoEstaca[TIPO DE ESTACA],0),MATCH("σmáx (MPa)",tipoEstaca[#Headers],0)),0.4%*PI()*HC[[#This Row],[Ø (cm)]]^2/4,"N.S.")</f>
        <v>31.415926535897935</v>
      </c>
      <c r="AF302" s="82">
        <f>INDEX(tipoEstaca[],MATCH($D$2,tipoEstaca[TIPO DE ESTACA],0),MATCH(HC[[#Headers],[Comprimento (m)]],tipoEstaca[#Headers],0))</f>
        <v>4</v>
      </c>
      <c r="AG302" s="5">
        <f ca="1">HC[[#This Row],[As,mín (cm²)]]/100^2*HC[[#This Row],[Comprimento (m)]]*7850</f>
        <v>98.646009322719507</v>
      </c>
      <c r="AH302" s="4">
        <f ca="1">HC[[#This Row],[nE]]*HC[[#This Row],[Prof. (m)]]*HC[[#This Row],[Ap (m²)]]</f>
        <v>23.561944901923447</v>
      </c>
      <c r="AI302" s="82">
        <f ca="1">IF(HC[[#This Row],[nE]]=1,0,MAX(3*HC[[#This Row],[Ø (cm)]],60))</f>
        <v>300</v>
      </c>
      <c r="AJ302" s="82">
        <f ca="1">IF(HC[[#This Row],[nE]]=1,HC[[#This Row],[Ø (cm)]]+2*10,MAX(1.5*HC[[#This Row],[Ø (cm)]],HC[[#This Row],[Ø (cm)]]+15))</f>
        <v>150</v>
      </c>
      <c r="AK302" s="82" t="str">
        <f ca="1">alturaUtil(HC[[#This Row],[nE]],HC[[#This Row],[Ø (cm)]],HC[[#This Row],[e (cm)]],HC[[#This Row],[ap,eq (cm)]])</f>
        <v>N.S.</v>
      </c>
      <c r="AL302" s="82" t="str">
        <f ca="1">IFERROR(HC[[#This Row],[d (cm)]]+arredondarParaCimaMultiplo5cm(MAX(5,SQRT(PI())/2*HC[[#This Row],[Ø (cm)]]/5)),"N.S.")</f>
        <v>N.S.</v>
      </c>
      <c r="AM302" s="5" t="str">
        <f ca="1">alpha(HC[[#This Row],[nE]],HC[[#This Row],[d (cm)]],HC[[#This Row],[e (cm)]],HC[[#This Row],[ap,eq (cm)]])</f>
        <v>N.S.</v>
      </c>
      <c r="AN302" s="35" t="str">
        <f ca="1">IFERROR(HC[[#This Row],[Nsd (kN)]]/(HC[[#This Row],[Ap (cm²)]]*SIN(HC[[#This Row],[α]])^2),"N.S.")</f>
        <v>N.S.</v>
      </c>
      <c r="AO302" s="35" t="str">
        <f ca="1">IFERROR(HC[[#This Row],[Nsd (kN)]]/(HC[[#This Row],[nE]]*PI()*HC[[#This Row],[Ø (cm)]]^2/4*SIN(HC[[#This Row],[α]])^2),"N.S.")</f>
        <v>N.S.</v>
      </c>
      <c r="AP302" s="4" t="str">
        <f ca="1">IFERROR(INDEX(grupoEstacas[],HC[[#This Row],[nE]],MATCH("coef. Blévot",grupoEstacas[#Headers],0)),"N.S.")</f>
        <v>N.S.</v>
      </c>
      <c r="AQ302" s="35" t="str">
        <f ca="1">IFERROR(HC[[#This Row],[coef. Blévot]]*0.9*INDEX(tipoEstaca[],MATCH($D$2,tipoEstaca[TIPO DE ESTACA],0),MATCH("fcd (kN/cm²)",tipoEstaca[#Headers],0)),"N.S.")</f>
        <v>N.S.</v>
      </c>
      <c r="AR302" s="82" t="str">
        <f ca="1">IF(AND(HC[[#This Row],[cd,b,pil (kN/cm²)]]&lt;=HC[[#This Row],[cd,b,lim (kN/cm²)]],HC[[#This Row],[cd,b,est (kN/cm²)]]&lt;=HC[[#This Row],[cd,b,lim (kN/cm²)]]),"OK","ERRO")</f>
        <v>OK</v>
      </c>
      <c r="AS302" s="4" t="str">
        <f ca="1">As_lado(HC[[#This Row],[nE]],HC[[#This Row],[Nsd (kN)]],HC[[#This Row],[d (cm)]],HC[[#This Row],[e (cm)]],HC[[#This Row],[ap,eq (cm)]])</f>
        <v>N.S.</v>
      </c>
      <c r="AT302" s="4" t="str">
        <f ca="1">IF(HC[[#This Row],[nE]]=1,HC[[#This Row],[As,lado (cm²)]],IF(HC[[#This Row],[nE]]=2,0.075*2*HC[a (cm)],"N.A."))</f>
        <v>N.A.</v>
      </c>
      <c r="AU302" s="4" t="str">
        <f ca="1">IFERROR(IF(HC[[#This Row],[nE]]=1,"N.A.",0.2*HC[[#This Row],[As,lado (cm²)]]),"N.S.")</f>
        <v>N.S.</v>
      </c>
      <c r="AV302" s="4" t="str">
        <f ca="1">As_malha(HC[[#This Row],[nE]],HC[[#This Row],[As,lado (cm²)]],HC[[#This Row],[Nsd (kN)]])</f>
        <v>N.S.</v>
      </c>
      <c r="AW302" s="4" t="str">
        <f ca="1">As_susp_tot(HC[[#This Row],[nE]],HC[[#This Row],[Nsd (kN)]])</f>
        <v>N.S.</v>
      </c>
      <c r="AX302" s="4" t="str">
        <f ca="1">Asp_face(HC[[#This Row],[nE]],HC[[#This Row],[As,lado (cm²)]])</f>
        <v>N.S.</v>
      </c>
      <c r="AY302" s="5" t="str">
        <f ca="1">acoBloco(HC[[#This Row],[nE]],HC[[#This Row],[e (cm)]],HC[[#This Row],[a (cm)]],HC[[#This Row],[h (cm)]],HC[[#This Row],[As,lado (cm²)]],HC[[#This Row],[Asp e Asw (cm²/m)]],HC[[#This Row],[As,sup (cm²)]],HC[[#This Row],[As,malha (cm²)]],HC[[#This Row],[As,susp,tot (cm²)]],HC[[#This Row],[Asp,face (cm²)]])</f>
        <v>N.S.</v>
      </c>
      <c r="AZ302" s="4" t="str">
        <f ca="1">concretoBloco(HC[[#This Row],[nE]],HC[[#This Row],[e (cm)]],HC[[#This Row],[a (cm)]],HC[[#This Row],[h (cm)]])</f>
        <v>N.S.</v>
      </c>
      <c r="BA302" s="5">
        <f ca="1">SUM(HC[[#This Row],[Aço Est (kg)]],HC[[#This Row],[Aço Bloco (kg)]])</f>
        <v>98.646009322719507</v>
      </c>
      <c r="BB302" s="4">
        <f>INDEX(composicoes[],MATCH(95580,composicoes[CÓDIGO],0),MATCH("CUSTO TOTAL",composicoes[#Headers],0))</f>
        <v>10.46</v>
      </c>
      <c r="BC302" s="4">
        <f ca="1">SUM(HC[[#This Row],[Conc Est (m³)]],HC[[#This Row],[Conc Bloco (m³)]])</f>
        <v>23.561944901923447</v>
      </c>
      <c r="BD302" s="4">
        <f>INDEX(composicoes[],MATCH(94966,composicoes[CÓDIGO],0),MATCH("CUSTO TOTAL",composicoes[#Headers],0))</f>
        <v>439.52</v>
      </c>
      <c r="BE302" s="38">
        <f ca="1">HC[[#This Row],[Aço (kg)]]*HC[[#This Row],[Aço (R$/kg)]]+HC[[#This Row],[Conc (m³)]]*HC[[#This Row],[Conc (R$/m³)]]</f>
        <v>11387.783280809039</v>
      </c>
      <c r="BF302" s="4" t="str">
        <f ca="1">IF(COUNTIF(HC[#This Row],"N.S.")&gt;0,"lim.","OK")</f>
        <v>lim.</v>
      </c>
      <c r="BG302" s="4" t="str">
        <f>IF(HC[[#This Row],[Prof. (m)]]&lt;4,"lim.","OK")</f>
        <v>lim.</v>
      </c>
      <c r="BH302" s="4" t="str">
        <f>IF(HC[[#This Row],[Prof. (m)]]&gt;=8*HC[[#This Row],[Ø (cm)]]/100,"OK","lim.")</f>
        <v>lim.</v>
      </c>
      <c r="BI302" s="4" t="str">
        <f ca="1">IF(HC[[#This Row],[Verif. Biela]]="OK","OK","lim.")</f>
        <v>OK</v>
      </c>
      <c r="BJ302" s="4" t="str">
        <f ca="1">IF(COUNTA(HC[[#This Row],[Nº Est.]:[Biela comp.]])=COUNTIF(HC[[#This Row],[Nº Est.]:[Biela comp.]],"OK"),"OK","lim.")</f>
        <v>lim.</v>
      </c>
      <c r="BK302" s="4" t="str">
        <f ca="1">IF(HC[[#This Row],[Controle]]="OK",HC[[#This Row],[nE]]&amp;" Ø "&amp;HC[[#This Row],[Ø (cm)]]&amp;" cm, Prof. "&amp;HC[[#This Row],[Prof. (m)]]&amp;" m","")</f>
        <v/>
      </c>
      <c r="BL302" s="4" t="str">
        <f ca="1">IF(HC[[#This Row],[idDimensionamento]]="","",HC[[#This Row],[idPilar]]&amp;HC[[#This Row],[idDimensionamento]])</f>
        <v/>
      </c>
    </row>
    <row r="303" spans="2:64" x14ac:dyDescent="0.25">
      <c r="B303" s="12">
        <f>ROUNDUP((ROW(HC[[#This Row],[idDiâmetro]])-ROW(HC[[#Headers],[idDiâmetro]]))/(COUNT(SPT[Prof. (m)])*COUNT(PILARES[Pilar])),0)</f>
        <v>11</v>
      </c>
      <c r="C303" s="12">
        <f>IF(HC[[#This Row],[idDiâmetro]]&lt;&gt;B302,1,IF(HC[[#This Row],[Prof. (m)]]=0,C302+1,C302))</f>
        <v>2</v>
      </c>
      <c r="D303" s="82">
        <f>IFERROR(IF(D302=MAX(SPT[Prof. (m)]),0,D302+1),0)</f>
        <v>4</v>
      </c>
      <c r="E303" s="82">
        <f>INDEX(SPT[],MATCH(HC[[#This Row],[Prof. (m)]],SPT[Prof. (m)],0),2)</f>
        <v>8</v>
      </c>
      <c r="F303" s="82" t="str">
        <f>INDEX(SPT[],MATCH(HC[[#This Row],[Prof. (m)]],SPT[Prof. (m)],0),3)</f>
        <v>Areia siltosa</v>
      </c>
      <c r="G303" s="82">
        <f>INDEX(estacas[],HC[[#This Row],[idDiâmetro]],MATCH($B$2,estacas[#Headers],0))</f>
        <v>100</v>
      </c>
      <c r="H303" s="82">
        <f>INDEX(estacas[],MATCH(HC[[#This Row],[Ø (cm)]],estacas[Ø HC (cm)],0),MATCH(HC[[#Headers],[Pe HC (kN)]],estacas[#Headers],0))</f>
        <v>5000</v>
      </c>
      <c r="I303" s="4">
        <f>INDEX(K_alpha_C[],MATCH(HC[[#This Row],[Solo]],K_alpha_C[Solo],0),2)</f>
        <v>0.8</v>
      </c>
      <c r="J303" s="5">
        <f>INDEX(K_alpha_C[],MATCH(HC[[#This Row],[Solo]],K_alpha_C[Solo],0),3)</f>
        <v>2</v>
      </c>
      <c r="K303" s="4">
        <f>INDEX(F1_F2[],MATCH($D$2,F1_F2[Tipo de estaca],0),2)</f>
        <v>2</v>
      </c>
      <c r="L303" s="4">
        <f>INDEX(F1_F2[],MATCH($D$2,F1_F2[Tipo de estaca],0),3)</f>
        <v>4</v>
      </c>
      <c r="M303" s="4">
        <f>PI()*(HC[[#This Row],[Ø (cm)]]/100)^2/4</f>
        <v>0.78539816339744828</v>
      </c>
      <c r="N303" s="4">
        <f>PI()*HC[[#This Row],[Ø (cm)]]/100</f>
        <v>3.1415926535897931</v>
      </c>
      <c r="O303" s="4">
        <f>IF(HC[[#This Row],[Prof. (m)]]=0,0,HC[[#This Row],[α (%)]]/100*HC[[#This Row],[K (MPa)]]*1000*HC[[#This Row],[NSPT]])</f>
        <v>128</v>
      </c>
      <c r="P303" s="4">
        <f>IF(HC[[#This Row],[Prof. (m)]]=0,0,(HC[[#This Row],[K (MPa)]]*1000*HC[[#This Row],[NSPT]]/HC[[#This Row],[F1]]*HC[[#This Row],[Ap (m²)]]+HC[[#This Row],[U (m)]]/HC[[#This Row],[F2]]*SUMIFS(HC[(α∙K∙NL∙ΔL)],HC[Prof. (m)],"&lt;="&amp;HC[[#This Row],[Prof. (m)]],HC[idDiâmetro],HC[[#This Row],[idDiâmetro]],HC[idPilar],HC[[#This Row],[idPilar]]))/'DADOS CAP. CARGA'!$D$2)</f>
        <v>1357.1680263507906</v>
      </c>
      <c r="Q303" s="12">
        <f>INDEX(C_alpha_beta[],MATCH(HC[[#This Row],[Solo]],C_alpha_beta[Solo],0),MATCH(HC[[#Headers],[C (kPa)]],C_alpha_beta[#Headers],0))</f>
        <v>400</v>
      </c>
      <c r="R303" s="4">
        <f>INDEX(C_alpha_beta[],MATCH(HC[[#This Row],[Solo]],C_alpha_beta[Solo],0),MATCH(HC[[#Headers],[α ESF]],C_alpha_beta[#Headers],0))</f>
        <v>0.5</v>
      </c>
      <c r="S303" s="4">
        <f>INDEX(C_alpha_beta[],MATCH(HC[[#This Row],[Solo]],C_alpha_beta[Solo],0),MATCH(HC[[#Headers],[β ESF]],C_alpha_beta[#Headers],0))</f>
        <v>0.5</v>
      </c>
      <c r="T303" s="4">
        <f>IF(HC[[#This Row],[Prof. (m)]]=0,0,10*(HC[[#This Row],[NSPT]]/3+1))</f>
        <v>36.666666666666664</v>
      </c>
      <c r="U303" s="4">
        <f>(HC[[#This Row],[α ESF]]*HC[[#This Row],[C (kPa)]]*HC[[#This Row],[NSPT]]*HC[[#This Row],[Ap (m²)]])/'DADOS CAP. CARGA'!$Q$2+(HC[[#This Row],[β ESF]]*SUMIFS(HC[10∙(NL/3+1)],HC[Prof. (m)],"&lt;="&amp;HC[[#This Row],[Prof. (m)]],HC[idDiâmetro],HC[[#This Row],[idDiâmetro]],HC[idPilar],HC[[#This Row],[idPilar]])*HC[[#This Row],[U (m)]])/'DADOS CAP. CARGA'!$S$2</f>
        <v>387.46309394274112</v>
      </c>
      <c r="V303" s="4">
        <f>IF(SPT!$M$5=1,MIN(HC[[#This Row],[Pe HC (kN)]],HC[[#This Row],[R_AV (kN)]]),IF(SPT!$M$5=2,MIN(HC[[#This Row],[Pe HC (kN)]],HC[[#This Row],[R_DC (kN)]]),MIN(HC[[#This Row],[Pe HC (kN)]],HC[[#This Row],[R_AV (kN)]],HC[[#This Row],[R_DC (kN)]])))</f>
        <v>387.46309394274112</v>
      </c>
      <c r="W303" s="4">
        <f>INDEX(PILARES[],HC[[#This Row],[idPilar]],MATCH("Carga (kN)",PILARES[#Headers],0))*1.4</f>
        <v>1750</v>
      </c>
      <c r="X303" s="12">
        <f>INDEX(PILARES[],HC[[#This Row],[idPilar]],MATCH(HC[[#Headers],[ap (cm)]],PILARES[#Headers],0))</f>
        <v>50</v>
      </c>
      <c r="Y303" s="12">
        <f>INDEX(PILARES[],HC[[#This Row],[idPilar]],MATCH(HC[[#Headers],[bp (cm)]],PILARES[#Headers],0))</f>
        <v>40</v>
      </c>
      <c r="Z303" s="4">
        <f>SQRT(HC[[#This Row],[ap (cm)]]*HC[[#This Row],[bp (cm)]])</f>
        <v>44.721359549995796</v>
      </c>
      <c r="AA303" s="12">
        <f>HC[[#This Row],[ap (cm)]]*HC[[#This Row],[bp (cm)]]</f>
        <v>2000</v>
      </c>
      <c r="AB303" s="12">
        <f ca="1">IF(HC[[#This Row],[Padm∙ε (kN)]]&gt;=HC[[#This Row],[Padm (kN)]],ROUNDUP(1.05*HC[[#This Row],[Nsd (kN)]]/HC[[#This Row],[Padm (kN)]],0),ROUNDUP(1.05*HC[[#This Row],[Nsd (kN)]]/HC[[#This Row],[Padm (kN)]],0)+1)</f>
        <v>5</v>
      </c>
      <c r="AC303" s="4" t="str">
        <f ca="1">IFERROR(IF(HC[[#This Row],[nE]]=1,HC[[#This Row],[Padm (kN)]],HC[[#This Row],[Padm (kN)]]*HC[[#This Row],[nE]]*INDEX(grupoEstacas[],HC[[#This Row],[nE]],MATCH("ε",grupoEstacas[#Headers],0))),"N.S.")</f>
        <v>N.S.</v>
      </c>
      <c r="AD303" s="4">
        <f ca="1">1.05*HC[[#This Row],[Nsd (kN)]]/(HC[[#This Row],[nE]]*PI()*HC[[#This Row],[Ø (cm)]]^2/4)*10</f>
        <v>0.46791553269017233</v>
      </c>
      <c r="AE303" s="4">
        <f ca="1">IF(HC[[#This Row],[σ (MPa)]]&lt;INDEX(tipoEstaca[],MATCH($D$2,tipoEstaca[TIPO DE ESTACA],0),MATCH("σmáx (MPa)",tipoEstaca[#Headers],0)),0.4%*PI()*HC[[#This Row],[Ø (cm)]]^2/4,"N.S.")</f>
        <v>31.415926535897935</v>
      </c>
      <c r="AF303" s="82">
        <f>INDEX(tipoEstaca[],MATCH($D$2,tipoEstaca[TIPO DE ESTACA],0),MATCH(HC[[#Headers],[Comprimento (m)]],tipoEstaca[#Headers],0))</f>
        <v>4</v>
      </c>
      <c r="AG303" s="5">
        <f ca="1">HC[[#This Row],[As,mín (cm²)]]/100^2*HC[[#This Row],[Comprimento (m)]]*7850</f>
        <v>98.646009322719507</v>
      </c>
      <c r="AH303" s="4">
        <f ca="1">HC[[#This Row],[nE]]*HC[[#This Row],[Prof. (m)]]*HC[[#This Row],[Ap (m²)]]</f>
        <v>15.707963267948966</v>
      </c>
      <c r="AI303" s="82">
        <f ca="1">IF(HC[[#This Row],[nE]]=1,0,MAX(3*HC[[#This Row],[Ø (cm)]],60))</f>
        <v>300</v>
      </c>
      <c r="AJ303" s="82">
        <f ca="1">IF(HC[[#This Row],[nE]]=1,HC[[#This Row],[Ø (cm)]]+2*10,MAX(1.5*HC[[#This Row],[Ø (cm)]],HC[[#This Row],[Ø (cm)]]+15))</f>
        <v>150</v>
      </c>
      <c r="AK303" s="82" t="str">
        <f ca="1">alturaUtil(HC[[#This Row],[nE]],HC[[#This Row],[Ø (cm)]],HC[[#This Row],[e (cm)]],HC[[#This Row],[ap,eq (cm)]])</f>
        <v>N.S.</v>
      </c>
      <c r="AL303" s="82" t="str">
        <f ca="1">IFERROR(HC[[#This Row],[d (cm)]]+arredondarParaCimaMultiplo5cm(MAX(5,SQRT(PI())/2*HC[[#This Row],[Ø (cm)]]/5)),"N.S.")</f>
        <v>N.S.</v>
      </c>
      <c r="AM303" s="5" t="str">
        <f ca="1">alpha(HC[[#This Row],[nE]],HC[[#This Row],[d (cm)]],HC[[#This Row],[e (cm)]],HC[[#This Row],[ap,eq (cm)]])</f>
        <v>N.S.</v>
      </c>
      <c r="AN303" s="35" t="str">
        <f ca="1">IFERROR(HC[[#This Row],[Nsd (kN)]]/(HC[[#This Row],[Ap (cm²)]]*SIN(HC[[#This Row],[α]])^2),"N.S.")</f>
        <v>N.S.</v>
      </c>
      <c r="AO303" s="35" t="str">
        <f ca="1">IFERROR(HC[[#This Row],[Nsd (kN)]]/(HC[[#This Row],[nE]]*PI()*HC[[#This Row],[Ø (cm)]]^2/4*SIN(HC[[#This Row],[α]])^2),"N.S.")</f>
        <v>N.S.</v>
      </c>
      <c r="AP303" s="4" t="str">
        <f ca="1">IFERROR(INDEX(grupoEstacas[],HC[[#This Row],[nE]],MATCH("coef. Blévot",grupoEstacas[#Headers],0)),"N.S.")</f>
        <v>N.S.</v>
      </c>
      <c r="AQ303" s="35" t="str">
        <f ca="1">IFERROR(HC[[#This Row],[coef. Blévot]]*0.9*INDEX(tipoEstaca[],MATCH($D$2,tipoEstaca[TIPO DE ESTACA],0),MATCH("fcd (kN/cm²)",tipoEstaca[#Headers],0)),"N.S.")</f>
        <v>N.S.</v>
      </c>
      <c r="AR303" s="82" t="str">
        <f ca="1">IF(AND(HC[[#This Row],[cd,b,pil (kN/cm²)]]&lt;=HC[[#This Row],[cd,b,lim (kN/cm²)]],HC[[#This Row],[cd,b,est (kN/cm²)]]&lt;=HC[[#This Row],[cd,b,lim (kN/cm²)]]),"OK","ERRO")</f>
        <v>OK</v>
      </c>
      <c r="AS303" s="4" t="str">
        <f ca="1">As_lado(HC[[#This Row],[nE]],HC[[#This Row],[Nsd (kN)]],HC[[#This Row],[d (cm)]],HC[[#This Row],[e (cm)]],HC[[#This Row],[ap,eq (cm)]])</f>
        <v>N.S.</v>
      </c>
      <c r="AT303" s="4" t="str">
        <f ca="1">IF(HC[[#This Row],[nE]]=1,HC[[#This Row],[As,lado (cm²)]],IF(HC[[#This Row],[nE]]=2,0.075*2*HC[a (cm)],"N.A."))</f>
        <v>N.A.</v>
      </c>
      <c r="AU303" s="4" t="str">
        <f ca="1">IFERROR(IF(HC[[#This Row],[nE]]=1,"N.A.",0.2*HC[[#This Row],[As,lado (cm²)]]),"N.S.")</f>
        <v>N.S.</v>
      </c>
      <c r="AV303" s="4" t="str">
        <f ca="1">As_malha(HC[[#This Row],[nE]],HC[[#This Row],[As,lado (cm²)]],HC[[#This Row],[Nsd (kN)]])</f>
        <v>N.S.</v>
      </c>
      <c r="AW303" s="4" t="str">
        <f ca="1">As_susp_tot(HC[[#This Row],[nE]],HC[[#This Row],[Nsd (kN)]])</f>
        <v>N.S.</v>
      </c>
      <c r="AX303" s="4" t="str">
        <f ca="1">Asp_face(HC[[#This Row],[nE]],HC[[#This Row],[As,lado (cm²)]])</f>
        <v>N.S.</v>
      </c>
      <c r="AY303" s="5" t="str">
        <f ca="1">acoBloco(HC[[#This Row],[nE]],HC[[#This Row],[e (cm)]],HC[[#This Row],[a (cm)]],HC[[#This Row],[h (cm)]],HC[[#This Row],[As,lado (cm²)]],HC[[#This Row],[Asp e Asw (cm²/m)]],HC[[#This Row],[As,sup (cm²)]],HC[[#This Row],[As,malha (cm²)]],HC[[#This Row],[As,susp,tot (cm²)]],HC[[#This Row],[Asp,face (cm²)]])</f>
        <v>N.S.</v>
      </c>
      <c r="AZ303" s="4" t="str">
        <f ca="1">concretoBloco(HC[[#This Row],[nE]],HC[[#This Row],[e (cm)]],HC[[#This Row],[a (cm)]],HC[[#This Row],[h (cm)]])</f>
        <v>N.S.</v>
      </c>
      <c r="BA303" s="5">
        <f ca="1">SUM(HC[[#This Row],[Aço Est (kg)]],HC[[#This Row],[Aço Bloco (kg)]])</f>
        <v>98.646009322719507</v>
      </c>
      <c r="BB303" s="4">
        <f>INDEX(composicoes[],MATCH(95580,composicoes[CÓDIGO],0),MATCH("CUSTO TOTAL",composicoes[#Headers],0))</f>
        <v>10.46</v>
      </c>
      <c r="BC303" s="4">
        <f ca="1">SUM(HC[[#This Row],[Conc Est (m³)]],HC[[#This Row],[Conc Bloco (m³)]])</f>
        <v>15.707963267948966</v>
      </c>
      <c r="BD303" s="4">
        <f>INDEX(composicoes[],MATCH(94966,composicoes[CÓDIGO],0),MATCH("CUSTO TOTAL",composicoes[#Headers],0))</f>
        <v>439.52</v>
      </c>
      <c r="BE303" s="38">
        <f ca="1">HC[[#This Row],[Aço (kg)]]*HC[[#This Row],[Aço (R$/kg)]]+HC[[#This Row],[Conc (m³)]]*HC[[#This Row],[Conc (R$/m³)]]</f>
        <v>7935.8012730445753</v>
      </c>
      <c r="BF303" s="4" t="str">
        <f ca="1">IF(COUNTIF(HC[#This Row],"N.S.")&gt;0,"lim.","OK")</f>
        <v>lim.</v>
      </c>
      <c r="BG303" s="4" t="str">
        <f>IF(HC[[#This Row],[Prof. (m)]]&lt;4,"lim.","OK")</f>
        <v>OK</v>
      </c>
      <c r="BH303" s="4" t="str">
        <f>IF(HC[[#This Row],[Prof. (m)]]&gt;=8*HC[[#This Row],[Ø (cm)]]/100,"OK","lim.")</f>
        <v>lim.</v>
      </c>
      <c r="BI303" s="4" t="str">
        <f ca="1">IF(HC[[#This Row],[Verif. Biela]]="OK","OK","lim.")</f>
        <v>OK</v>
      </c>
      <c r="BJ303" s="4" t="str">
        <f ca="1">IF(COUNTA(HC[[#This Row],[Nº Est.]:[Biela comp.]])=COUNTIF(HC[[#This Row],[Nº Est.]:[Biela comp.]],"OK"),"OK","lim.")</f>
        <v>lim.</v>
      </c>
      <c r="BK303" s="4" t="str">
        <f ca="1">IF(HC[[#This Row],[Controle]]="OK",HC[[#This Row],[nE]]&amp;" Ø "&amp;HC[[#This Row],[Ø (cm)]]&amp;" cm, Prof. "&amp;HC[[#This Row],[Prof. (m)]]&amp;" m","")</f>
        <v/>
      </c>
      <c r="BL303" s="4" t="str">
        <f ca="1">IF(HC[[#This Row],[idDimensionamento]]="","",HC[[#This Row],[idPilar]]&amp;HC[[#This Row],[idDimensionamento]])</f>
        <v/>
      </c>
    </row>
    <row r="304" spans="2:64" x14ac:dyDescent="0.25">
      <c r="B304" s="12">
        <f>ROUNDUP((ROW(HC[[#This Row],[idDiâmetro]])-ROW(HC[[#Headers],[idDiâmetro]]))/(COUNT(SPT[Prof. (m)])*COUNT(PILARES[Pilar])),0)</f>
        <v>11</v>
      </c>
      <c r="C304" s="12">
        <f>IF(HC[[#This Row],[idDiâmetro]]&lt;&gt;B303,1,IF(HC[[#This Row],[Prof. (m)]]=0,C303+1,C303))</f>
        <v>2</v>
      </c>
      <c r="D304" s="82">
        <f>IFERROR(IF(D303=MAX(SPT[Prof. (m)]),0,D303+1),0)</f>
        <v>5</v>
      </c>
      <c r="E304" s="82">
        <f>INDEX(SPT[],MATCH(HC[[#This Row],[Prof. (m)]],SPT[Prof. (m)],0),2)</f>
        <v>17</v>
      </c>
      <c r="F304" s="82" t="str">
        <f>INDEX(SPT[],MATCH(HC[[#This Row],[Prof. (m)]],SPT[Prof. (m)],0),3)</f>
        <v>Areia siltosa</v>
      </c>
      <c r="G304" s="82">
        <f>INDEX(estacas[],HC[[#This Row],[idDiâmetro]],MATCH($B$2,estacas[#Headers],0))</f>
        <v>100</v>
      </c>
      <c r="H304" s="82">
        <f>INDEX(estacas[],MATCH(HC[[#This Row],[Ø (cm)]],estacas[Ø HC (cm)],0),MATCH(HC[[#Headers],[Pe HC (kN)]],estacas[#Headers],0))</f>
        <v>5000</v>
      </c>
      <c r="I304" s="4">
        <f>INDEX(K_alpha_C[],MATCH(HC[[#This Row],[Solo]],K_alpha_C[Solo],0),2)</f>
        <v>0.8</v>
      </c>
      <c r="J304" s="5">
        <f>INDEX(K_alpha_C[],MATCH(HC[[#This Row],[Solo]],K_alpha_C[Solo],0),3)</f>
        <v>2</v>
      </c>
      <c r="K304" s="4">
        <f>INDEX(F1_F2[],MATCH($D$2,F1_F2[Tipo de estaca],0),2)</f>
        <v>2</v>
      </c>
      <c r="L304" s="4">
        <f>INDEX(F1_F2[],MATCH($D$2,F1_F2[Tipo de estaca],0),3)</f>
        <v>4</v>
      </c>
      <c r="M304" s="4">
        <f>PI()*(HC[[#This Row],[Ø (cm)]]/100)^2/4</f>
        <v>0.78539816339744828</v>
      </c>
      <c r="N304" s="4">
        <f>PI()*HC[[#This Row],[Ø (cm)]]/100</f>
        <v>3.1415926535897931</v>
      </c>
      <c r="O304" s="4">
        <f>IF(HC[[#This Row],[Prof. (m)]]=0,0,HC[[#This Row],[α (%)]]/100*HC[[#This Row],[K (MPa)]]*1000*HC[[#This Row],[NSPT]])</f>
        <v>272</v>
      </c>
      <c r="P304" s="4">
        <f>IF(HC[[#This Row],[Prof. (m)]]=0,0,(HC[[#This Row],[K (MPa)]]*1000*HC[[#This Row],[NSPT]]/HC[[#This Row],[F1]]*HC[[#This Row],[Ap (m²)]]+HC[[#This Row],[U (m)]]/HC[[#This Row],[F2]]*SUMIFS(HC[(α∙K∙NL∙ΔL)],HC[Prof. (m)],"&lt;="&amp;HC[[#This Row],[Prof. (m)]],HC[idDiâmetro],HC[[#This Row],[idDiâmetro]],HC[idPilar],HC[[#This Row],[idPilar]]))/'DADOS CAP. CARGA'!$D$2)</f>
        <v>2877.6988706882503</v>
      </c>
      <c r="Q304" s="12">
        <f>INDEX(C_alpha_beta[],MATCH(HC[[#This Row],[Solo]],C_alpha_beta[Solo],0),MATCH(HC[[#Headers],[C (kPa)]],C_alpha_beta[#Headers],0))</f>
        <v>400</v>
      </c>
      <c r="R304" s="4">
        <f>INDEX(C_alpha_beta[],MATCH(HC[[#This Row],[Solo]],C_alpha_beta[Solo],0),MATCH(HC[[#Headers],[α ESF]],C_alpha_beta[#Headers],0))</f>
        <v>0.5</v>
      </c>
      <c r="S304" s="4">
        <f>INDEX(C_alpha_beta[],MATCH(HC[[#This Row],[Solo]],C_alpha_beta[Solo],0),MATCH(HC[[#Headers],[β ESF]],C_alpha_beta[#Headers],0))</f>
        <v>0.5</v>
      </c>
      <c r="T304" s="4">
        <f>IF(HC[[#This Row],[Prof. (m)]]=0,0,10*(HC[[#This Row],[NSPT]]/3+1))</f>
        <v>66.666666666666671</v>
      </c>
      <c r="U304" s="4">
        <f>(HC[[#This Row],[α ESF]]*HC[[#This Row],[C (kPa)]]*HC[[#This Row],[NSPT]]*HC[[#This Row],[Ap (m²)]])/'DADOS CAP. CARGA'!$Q$2+(HC[[#This Row],[β ESF]]*SUMIFS(HC[10∙(NL/3+1)],HC[Prof. (m)],"&lt;="&amp;HC[[#This Row],[Prof. (m)]],HC[idDiâmetro],HC[[#This Row],[idDiâmetro]],HC[idPilar],HC[[#This Row],[idPilar]])*HC[[#This Row],[U (m)]])/'DADOS CAP. CARGA'!$S$2</f>
        <v>793.25214503142274</v>
      </c>
      <c r="V304" s="4">
        <f>IF(SPT!$M$5=1,MIN(HC[[#This Row],[Pe HC (kN)]],HC[[#This Row],[R_AV (kN)]]),IF(SPT!$M$5=2,MIN(HC[[#This Row],[Pe HC (kN)]],HC[[#This Row],[R_DC (kN)]]),MIN(HC[[#This Row],[Pe HC (kN)]],HC[[#This Row],[R_AV (kN)]],HC[[#This Row],[R_DC (kN)]])))</f>
        <v>793.25214503142274</v>
      </c>
      <c r="W304" s="4">
        <f>INDEX(PILARES[],HC[[#This Row],[idPilar]],MATCH("Carga (kN)",PILARES[#Headers],0))*1.4</f>
        <v>1750</v>
      </c>
      <c r="X304" s="12">
        <f>INDEX(PILARES[],HC[[#This Row],[idPilar]],MATCH(HC[[#Headers],[ap (cm)]],PILARES[#Headers],0))</f>
        <v>50</v>
      </c>
      <c r="Y304" s="12">
        <f>INDEX(PILARES[],HC[[#This Row],[idPilar]],MATCH(HC[[#Headers],[bp (cm)]],PILARES[#Headers],0))</f>
        <v>40</v>
      </c>
      <c r="Z304" s="4">
        <f>SQRT(HC[[#This Row],[ap (cm)]]*HC[[#This Row],[bp (cm)]])</f>
        <v>44.721359549995796</v>
      </c>
      <c r="AA304" s="12">
        <f>HC[[#This Row],[ap (cm)]]*HC[[#This Row],[bp (cm)]]</f>
        <v>2000</v>
      </c>
      <c r="AB304" s="12">
        <f ca="1">IF(HC[[#This Row],[Padm∙ε (kN)]]&gt;=HC[[#This Row],[Padm (kN)]],ROUNDUP(1.05*HC[[#This Row],[Nsd (kN)]]/HC[[#This Row],[Padm (kN)]],0),ROUNDUP(1.05*HC[[#This Row],[Nsd (kN)]]/HC[[#This Row],[Padm (kN)]],0)+1)</f>
        <v>3</v>
      </c>
      <c r="AC304" s="4">
        <f ca="1">IFERROR(IF(HC[[#This Row],[nE]]=1,HC[[#This Row],[Padm (kN)]],HC[[#This Row],[Padm (kN)]]*HC[[#This Row],[nE]]*INDEX(grupoEstacas[],HC[[#This Row],[nE]],MATCH("ε",grupoEstacas[#Headers],0))),"N.S.")</f>
        <v>2082.2868807074847</v>
      </c>
      <c r="AD304" s="4">
        <f ca="1">1.05*HC[[#This Row],[Nsd (kN)]]/(HC[[#This Row],[nE]]*PI()*HC[[#This Row],[Ø (cm)]]^2/4)*10</f>
        <v>0.77985922115028727</v>
      </c>
      <c r="AE304" s="4">
        <f ca="1">IF(HC[[#This Row],[σ (MPa)]]&lt;INDEX(tipoEstaca[],MATCH($D$2,tipoEstaca[TIPO DE ESTACA],0),MATCH("σmáx (MPa)",tipoEstaca[#Headers],0)),0.4%*PI()*HC[[#This Row],[Ø (cm)]]^2/4,"N.S.")</f>
        <v>31.415926535897935</v>
      </c>
      <c r="AF304" s="82">
        <f>INDEX(tipoEstaca[],MATCH($D$2,tipoEstaca[TIPO DE ESTACA],0),MATCH(HC[[#Headers],[Comprimento (m)]],tipoEstaca[#Headers],0))</f>
        <v>4</v>
      </c>
      <c r="AG304" s="5">
        <f ca="1">HC[[#This Row],[As,mín (cm²)]]/100^2*HC[[#This Row],[Comprimento (m)]]*7850</f>
        <v>98.646009322719507</v>
      </c>
      <c r="AH304" s="4">
        <f ca="1">HC[[#This Row],[nE]]*HC[[#This Row],[Prof. (m)]]*HC[[#This Row],[Ap (m²)]]</f>
        <v>11.780972450961723</v>
      </c>
      <c r="AI304" s="82">
        <f ca="1">IF(HC[[#This Row],[nE]]=1,0,MAX(3*HC[[#This Row],[Ø (cm)]],60))</f>
        <v>300</v>
      </c>
      <c r="AJ304" s="82">
        <f ca="1">IF(HC[[#This Row],[nE]]=1,HC[[#This Row],[Ø (cm)]]+2*10,MAX(1.5*HC[[#This Row],[Ø (cm)]],HC[[#This Row],[Ø (cm)]]+15))</f>
        <v>150</v>
      </c>
      <c r="AK304" s="82">
        <f ca="1">alturaUtil(HC[[#This Row],[nE]],HC[[#This Row],[Ø (cm)]],HC[[#This Row],[e (cm)]],HC[[#This Row],[ap,eq (cm)]])</f>
        <v>140</v>
      </c>
      <c r="AL304" s="82">
        <f ca="1">IFERROR(HC[[#This Row],[d (cm)]]+arredondarParaCimaMultiplo5cm(MAX(5,SQRT(PI())/2*HC[[#This Row],[Ø (cm)]]/5)),"N.S.")</f>
        <v>160</v>
      </c>
      <c r="AM304" s="5">
        <f ca="1">alpha(HC[[#This Row],[nE]],HC[[#This Row],[d (cm)]],HC[[#This Row],[e (cm)]],HC[[#This Row],[ap,eq (cm)]])</f>
        <v>45.70769128343273</v>
      </c>
      <c r="AN304" s="35">
        <f ca="1">IFERROR(HC[[#This Row],[Nsd (kN)]]/(HC[[#This Row],[Ap (cm²)]]*SIN(HC[[#This Row],[α]])^2),"N.S.")</f>
        <v>0.89625071064735617</v>
      </c>
      <c r="AO304" s="35">
        <f ca="1">IFERROR(HC[[#This Row],[Nsd (kN)]]/(HC[[#This Row],[nE]]*PI()*HC[[#This Row],[Ø (cm)]]^2/4*SIN(HC[[#This Row],[α]])^2),"N.S.")</f>
        <v>7.6076123119547062E-2</v>
      </c>
      <c r="AP304" s="4">
        <f ca="1">IFERROR(INDEX(grupoEstacas[],HC[[#This Row],[nE]],MATCH("coef. Blévot",grupoEstacas[#Headers],0)),"N.S.")</f>
        <v>1.75</v>
      </c>
      <c r="AQ304" s="35">
        <f ca="1">IFERROR(HC[[#This Row],[coef. Blévot]]*0.9*INDEX(tipoEstaca[],MATCH($D$2,tipoEstaca[TIPO DE ESTACA],0),MATCH("fcd (kN/cm²)",tipoEstaca[#Headers],0)),"N.S.")</f>
        <v>1.75</v>
      </c>
      <c r="AR304" s="82" t="str">
        <f ca="1">IF(AND(HC[[#This Row],[cd,b,pil (kN/cm²)]]&lt;=HC[[#This Row],[cd,b,lim (kN/cm²)]],HC[[#This Row],[cd,b,est (kN/cm²)]]&lt;=HC[[#This Row],[cd,b,lim (kN/cm²)]]),"OK","ERRO")</f>
        <v>OK</v>
      </c>
      <c r="AS304" s="4">
        <f ca="1">As_lado(HC[[#This Row],[nE]],HC[[#This Row],[Nsd (kN)]],HC[[#This Row],[d (cm)]],HC[[#This Row],[e (cm)]],HC[[#This Row],[ap,eq (cm)]])</f>
        <v>8.841011525310245</v>
      </c>
      <c r="AT304" s="4" t="str">
        <f ca="1">IF(HC[[#This Row],[nE]]=1,HC[[#This Row],[As,lado (cm²)]],IF(HC[[#This Row],[nE]]=2,0.075*2*HC[a (cm)],"N.A."))</f>
        <v>N.A.</v>
      </c>
      <c r="AU304" s="4">
        <f ca="1">IFERROR(IF(HC[[#This Row],[nE]]=1,"N.A.",0.2*HC[[#This Row],[As,lado (cm²)]]),"N.S.")</f>
        <v>1.768202305062049</v>
      </c>
      <c r="AV304" s="4">
        <f ca="1">As_malha(HC[[#This Row],[nE]],HC[[#This Row],[As,lado (cm²)]],HC[[#This Row],[Nsd (kN)]])</f>
        <v>2.981481481481481</v>
      </c>
      <c r="AW304" s="4">
        <f ca="1">As_susp_tot(HC[[#This Row],[nE]],HC[[#This Row],[Nsd (kN)]])</f>
        <v>8.9444444444444429</v>
      </c>
      <c r="AX304" s="4">
        <f ca="1">Asp_face(HC[[#This Row],[nE]],HC[[#This Row],[As,lado (cm²)]])</f>
        <v>3.3153793219913421</v>
      </c>
      <c r="AY304" s="5">
        <f ca="1">acoBloco(HC[[#This Row],[nE]],HC[[#This Row],[e (cm)]],HC[[#This Row],[a (cm)]],HC[[#This Row],[h (cm)]],HC[[#This Row],[As,lado (cm²)]],HC[[#This Row],[Asp e Asw (cm²/m)]],HC[[#This Row],[As,sup (cm²)]],HC[[#This Row],[As,malha (cm²)]],HC[[#This Row],[As,susp,tot (cm²)]],HC[[#This Row],[Asp,face (cm²)]])</f>
        <v>262.66620819411736</v>
      </c>
      <c r="AZ304" s="4">
        <f ca="1">concretoBloco(HC[[#This Row],[nE]],HC[[#This Row],[e (cm)]],HC[[#This Row],[a (cm)]],HC[[#This Row],[h (cm)]])</f>
        <v>40.306148721743874</v>
      </c>
      <c r="BA304" s="5">
        <f ca="1">SUM(HC[[#This Row],[Aço Est (kg)]],HC[[#This Row],[Aço Bloco (kg)]])</f>
        <v>361.31221751683688</v>
      </c>
      <c r="BB304" s="4">
        <f>INDEX(composicoes[],MATCH(95580,composicoes[CÓDIGO],0),MATCH("CUSTO TOTAL",composicoes[#Headers],0))</f>
        <v>10.46</v>
      </c>
      <c r="BC304" s="4">
        <f ca="1">SUM(HC[[#This Row],[Conc Est (m³)]],HC[[#This Row],[Conc Bloco (m³)]])</f>
        <v>52.087121172705594</v>
      </c>
      <c r="BD304" s="4">
        <f>INDEX(composicoes[],MATCH(94966,composicoes[CÓDIGO],0),MATCH("CUSTO TOTAL",composicoes[#Headers],0))</f>
        <v>439.52</v>
      </c>
      <c r="BE304" s="38">
        <f ca="1">HC[[#This Row],[Aço (kg)]]*HC[[#This Row],[Aço (R$/kg)]]+HC[[#This Row],[Conc (m³)]]*HC[[#This Row],[Conc (R$/m³)]]</f>
        <v>26672.657293053679</v>
      </c>
      <c r="BF304" s="4" t="str">
        <f ca="1">IF(COUNTIF(HC[#This Row],"N.S.")&gt;0,"lim.","OK")</f>
        <v>OK</v>
      </c>
      <c r="BG304" s="4" t="str">
        <f>IF(HC[[#This Row],[Prof. (m)]]&lt;4,"lim.","OK")</f>
        <v>OK</v>
      </c>
      <c r="BH304" s="4" t="str">
        <f>IF(HC[[#This Row],[Prof. (m)]]&gt;=8*HC[[#This Row],[Ø (cm)]]/100,"OK","lim.")</f>
        <v>lim.</v>
      </c>
      <c r="BI304" s="4" t="str">
        <f ca="1">IF(HC[[#This Row],[Verif. Biela]]="OK","OK","lim.")</f>
        <v>OK</v>
      </c>
      <c r="BJ304" s="4" t="str">
        <f ca="1">IF(COUNTA(HC[[#This Row],[Nº Est.]:[Biela comp.]])=COUNTIF(HC[[#This Row],[Nº Est.]:[Biela comp.]],"OK"),"OK","lim.")</f>
        <v>lim.</v>
      </c>
      <c r="BK304" s="4" t="str">
        <f ca="1">IF(HC[[#This Row],[Controle]]="OK",HC[[#This Row],[nE]]&amp;" Ø "&amp;HC[[#This Row],[Ø (cm)]]&amp;" cm, Prof. "&amp;HC[[#This Row],[Prof. (m)]]&amp;" m","")</f>
        <v/>
      </c>
      <c r="BL304" s="4" t="str">
        <f ca="1">IF(HC[[#This Row],[idDimensionamento]]="","",HC[[#This Row],[idPilar]]&amp;HC[[#This Row],[idDimensionamento]])</f>
        <v/>
      </c>
    </row>
    <row r="305" spans="2:64" x14ac:dyDescent="0.25">
      <c r="B305" s="12">
        <f>ROUNDUP((ROW(HC[[#This Row],[idDiâmetro]])-ROW(HC[[#Headers],[idDiâmetro]]))/(COUNT(SPT[Prof. (m)])*COUNT(PILARES[Pilar])),0)</f>
        <v>11</v>
      </c>
      <c r="C305" s="12">
        <f>IF(HC[[#This Row],[idDiâmetro]]&lt;&gt;B304,1,IF(HC[[#This Row],[Prof. (m)]]=0,C304+1,C304))</f>
        <v>2</v>
      </c>
      <c r="D305" s="82">
        <f>IFERROR(IF(D304=MAX(SPT[Prof. (m)]),0,D304+1),0)</f>
        <v>6</v>
      </c>
      <c r="E305" s="82">
        <f>INDEX(SPT[],MATCH(HC[[#This Row],[Prof. (m)]],SPT[Prof. (m)],0),2)</f>
        <v>21</v>
      </c>
      <c r="F305" s="82" t="str">
        <f>INDEX(SPT[],MATCH(HC[[#This Row],[Prof. (m)]],SPT[Prof. (m)],0),3)</f>
        <v>Silte arenoso</v>
      </c>
      <c r="G305" s="82">
        <f>INDEX(estacas[],HC[[#This Row],[idDiâmetro]],MATCH($B$2,estacas[#Headers],0))</f>
        <v>100</v>
      </c>
      <c r="H305" s="82">
        <f>INDEX(estacas[],MATCH(HC[[#This Row],[Ø (cm)]],estacas[Ø HC (cm)],0),MATCH(HC[[#Headers],[Pe HC (kN)]],estacas[#Headers],0))</f>
        <v>5000</v>
      </c>
      <c r="I305" s="4">
        <f>INDEX(K_alpha_C[],MATCH(HC[[#This Row],[Solo]],K_alpha_C[Solo],0),2)</f>
        <v>0.55000000000000004</v>
      </c>
      <c r="J305" s="5">
        <f>INDEX(K_alpha_C[],MATCH(HC[[#This Row],[Solo]],K_alpha_C[Solo],0),3)</f>
        <v>2.2000000000000002</v>
      </c>
      <c r="K305" s="4">
        <f>INDEX(F1_F2[],MATCH($D$2,F1_F2[Tipo de estaca],0),2)</f>
        <v>2</v>
      </c>
      <c r="L305" s="4">
        <f>INDEX(F1_F2[],MATCH($D$2,F1_F2[Tipo de estaca],0),3)</f>
        <v>4</v>
      </c>
      <c r="M305" s="4">
        <f>PI()*(HC[[#This Row],[Ø (cm)]]/100)^2/4</f>
        <v>0.78539816339744828</v>
      </c>
      <c r="N305" s="4">
        <f>PI()*HC[[#This Row],[Ø (cm)]]/100</f>
        <v>3.1415926535897931</v>
      </c>
      <c r="O305" s="4">
        <f>IF(HC[[#This Row],[Prof. (m)]]=0,0,HC[[#This Row],[α (%)]]/100*HC[[#This Row],[K (MPa)]]*1000*HC[[#This Row],[NSPT]])</f>
        <v>254.10000000000002</v>
      </c>
      <c r="P305" s="4">
        <f>IF(HC[[#This Row],[Prof. (m)]]=0,0,(HC[[#This Row],[K (MPa)]]*1000*HC[[#This Row],[NSPT]]/HC[[#This Row],[F1]]*HC[[#This Row],[Ap (m²)]]+HC[[#This Row],[U (m)]]/HC[[#This Row],[F2]]*SUMIFS(HC[(α∙K∙NL∙ΔL)],HC[Prof. (m)],"&lt;="&amp;HC[[#This Row],[Prof. (m)]],HC[idDiâmetro],HC[[#This Row],[idDiâmetro]],HC[idPilar],HC[[#This Row],[idPilar]]))/'DADOS CAP. CARGA'!$D$2)</f>
        <v>2574.9671486067041</v>
      </c>
      <c r="Q305" s="12">
        <f>INDEX(C_alpha_beta[],MATCH(HC[[#This Row],[Solo]],C_alpha_beta[Solo],0),MATCH(HC[[#Headers],[C (kPa)]],C_alpha_beta[#Headers],0))</f>
        <v>250</v>
      </c>
      <c r="R305" s="4">
        <f>INDEX(C_alpha_beta[],MATCH(HC[[#This Row],[Solo]],C_alpha_beta[Solo],0),MATCH(HC[[#Headers],[α ESF]],C_alpha_beta[#Headers],0))</f>
        <v>0.6</v>
      </c>
      <c r="S305" s="4">
        <f>INDEX(C_alpha_beta[],MATCH(HC[[#This Row],[Solo]],C_alpha_beta[Solo],0),MATCH(HC[[#Headers],[β ESF]],C_alpha_beta[#Headers],0))</f>
        <v>0.65</v>
      </c>
      <c r="T305" s="4">
        <f>IF(HC[[#This Row],[Prof. (m)]]=0,0,10*(HC[[#This Row],[NSPT]]/3+1))</f>
        <v>80</v>
      </c>
      <c r="U305" s="4">
        <f>(HC[[#This Row],[α ESF]]*HC[[#This Row],[C (kPa)]]*HC[[#This Row],[NSPT]]*HC[[#This Row],[Ap (m²)]])/'DADOS CAP. CARGA'!$Q$2+(HC[[#This Row],[β ESF]]*SUMIFS(HC[10∙(NL/3+1)],HC[Prof. (m)],"&lt;="&amp;HC[[#This Row],[Prof. (m)]],HC[idDiâmetro],HC[[#This Row],[idDiâmetro]],HC[idPilar],HC[[#This Row],[idPilar]])*HC[[#This Row],[U (m)]])/'DADOS CAP. CARGA'!$S$2</f>
        <v>863.54528065549437</v>
      </c>
      <c r="V305" s="4">
        <f>IF(SPT!$M$5=1,MIN(HC[[#This Row],[Pe HC (kN)]],HC[[#This Row],[R_AV (kN)]]),IF(SPT!$M$5=2,MIN(HC[[#This Row],[Pe HC (kN)]],HC[[#This Row],[R_DC (kN)]]),MIN(HC[[#This Row],[Pe HC (kN)]],HC[[#This Row],[R_AV (kN)]],HC[[#This Row],[R_DC (kN)]])))</f>
        <v>863.54528065549437</v>
      </c>
      <c r="W305" s="4">
        <f>INDEX(PILARES[],HC[[#This Row],[idPilar]],MATCH("Carga (kN)",PILARES[#Headers],0))*1.4</f>
        <v>1750</v>
      </c>
      <c r="X305" s="12">
        <f>INDEX(PILARES[],HC[[#This Row],[idPilar]],MATCH(HC[[#Headers],[ap (cm)]],PILARES[#Headers],0))</f>
        <v>50</v>
      </c>
      <c r="Y305" s="12">
        <f>INDEX(PILARES[],HC[[#This Row],[idPilar]],MATCH(HC[[#Headers],[bp (cm)]],PILARES[#Headers],0))</f>
        <v>40</v>
      </c>
      <c r="Z305" s="4">
        <f>SQRT(HC[[#This Row],[ap (cm)]]*HC[[#This Row],[bp (cm)]])</f>
        <v>44.721359549995796</v>
      </c>
      <c r="AA305" s="12">
        <f>HC[[#This Row],[ap (cm)]]*HC[[#This Row],[bp (cm)]]</f>
        <v>2000</v>
      </c>
      <c r="AB305" s="12">
        <f ca="1">IF(HC[[#This Row],[Padm∙ε (kN)]]&gt;=HC[[#This Row],[Padm (kN)]],ROUNDUP(1.05*HC[[#This Row],[Nsd (kN)]]/HC[[#This Row],[Padm (kN)]],0),ROUNDUP(1.05*HC[[#This Row],[Nsd (kN)]]/HC[[#This Row],[Padm (kN)]],0)+1)</f>
        <v>3</v>
      </c>
      <c r="AC305" s="4">
        <f ca="1">IFERROR(IF(HC[[#This Row],[nE]]=1,HC[[#This Row],[Padm (kN)]],HC[[#This Row],[Padm (kN)]]*HC[[#This Row],[nE]]*INDEX(grupoEstacas[],HC[[#This Row],[nE]],MATCH("ε",grupoEstacas[#Headers],0))),"N.S.")</f>
        <v>2266.8063617206726</v>
      </c>
      <c r="AD305" s="4">
        <f ca="1">1.05*HC[[#This Row],[Nsd (kN)]]/(HC[[#This Row],[nE]]*PI()*HC[[#This Row],[Ø (cm)]]^2/4)*10</f>
        <v>0.77985922115028727</v>
      </c>
      <c r="AE305" s="4">
        <f ca="1">IF(HC[[#This Row],[σ (MPa)]]&lt;INDEX(tipoEstaca[],MATCH($D$2,tipoEstaca[TIPO DE ESTACA],0),MATCH("σmáx (MPa)",tipoEstaca[#Headers],0)),0.4%*PI()*HC[[#This Row],[Ø (cm)]]^2/4,"N.S.")</f>
        <v>31.415926535897935</v>
      </c>
      <c r="AF305" s="82">
        <f>INDEX(tipoEstaca[],MATCH($D$2,tipoEstaca[TIPO DE ESTACA],0),MATCH(HC[[#Headers],[Comprimento (m)]],tipoEstaca[#Headers],0))</f>
        <v>4</v>
      </c>
      <c r="AG305" s="5">
        <f ca="1">HC[[#This Row],[As,mín (cm²)]]/100^2*HC[[#This Row],[Comprimento (m)]]*7850</f>
        <v>98.646009322719507</v>
      </c>
      <c r="AH305" s="4">
        <f ca="1">HC[[#This Row],[nE]]*HC[[#This Row],[Prof. (m)]]*HC[[#This Row],[Ap (m²)]]</f>
        <v>14.137166941154069</v>
      </c>
      <c r="AI305" s="82">
        <f ca="1">IF(HC[[#This Row],[nE]]=1,0,MAX(3*HC[[#This Row],[Ø (cm)]],60))</f>
        <v>300</v>
      </c>
      <c r="AJ305" s="82">
        <f ca="1">IF(HC[[#This Row],[nE]]=1,HC[[#This Row],[Ø (cm)]]+2*10,MAX(1.5*HC[[#This Row],[Ø (cm)]],HC[[#This Row],[Ø (cm)]]+15))</f>
        <v>150</v>
      </c>
      <c r="AK305" s="82">
        <f ca="1">alturaUtil(HC[[#This Row],[nE]],HC[[#This Row],[Ø (cm)]],HC[[#This Row],[e (cm)]],HC[[#This Row],[ap,eq (cm)]])</f>
        <v>140</v>
      </c>
      <c r="AL305" s="82">
        <f ca="1">IFERROR(HC[[#This Row],[d (cm)]]+arredondarParaCimaMultiplo5cm(MAX(5,SQRT(PI())/2*HC[[#This Row],[Ø (cm)]]/5)),"N.S.")</f>
        <v>160</v>
      </c>
      <c r="AM305" s="5">
        <f ca="1">alpha(HC[[#This Row],[nE]],HC[[#This Row],[d (cm)]],HC[[#This Row],[e (cm)]],HC[[#This Row],[ap,eq (cm)]])</f>
        <v>45.70769128343273</v>
      </c>
      <c r="AN305" s="35">
        <f ca="1">IFERROR(HC[[#This Row],[Nsd (kN)]]/(HC[[#This Row],[Ap (cm²)]]*SIN(HC[[#This Row],[α]])^2),"N.S.")</f>
        <v>0.89625071064735617</v>
      </c>
      <c r="AO305" s="35">
        <f ca="1">IFERROR(HC[[#This Row],[Nsd (kN)]]/(HC[[#This Row],[nE]]*PI()*HC[[#This Row],[Ø (cm)]]^2/4*SIN(HC[[#This Row],[α]])^2),"N.S.")</f>
        <v>7.6076123119547062E-2</v>
      </c>
      <c r="AP305" s="4">
        <f ca="1">IFERROR(INDEX(grupoEstacas[],HC[[#This Row],[nE]],MATCH("coef. Blévot",grupoEstacas[#Headers],0)),"N.S.")</f>
        <v>1.75</v>
      </c>
      <c r="AQ305" s="35">
        <f ca="1">IFERROR(HC[[#This Row],[coef. Blévot]]*0.9*INDEX(tipoEstaca[],MATCH($D$2,tipoEstaca[TIPO DE ESTACA],0),MATCH("fcd (kN/cm²)",tipoEstaca[#Headers],0)),"N.S.")</f>
        <v>1.75</v>
      </c>
      <c r="AR305" s="82" t="str">
        <f ca="1">IF(AND(HC[[#This Row],[cd,b,pil (kN/cm²)]]&lt;=HC[[#This Row],[cd,b,lim (kN/cm²)]],HC[[#This Row],[cd,b,est (kN/cm²)]]&lt;=HC[[#This Row],[cd,b,lim (kN/cm²)]]),"OK","ERRO")</f>
        <v>OK</v>
      </c>
      <c r="AS305" s="4">
        <f ca="1">As_lado(HC[[#This Row],[nE]],HC[[#This Row],[Nsd (kN)]],HC[[#This Row],[d (cm)]],HC[[#This Row],[e (cm)]],HC[[#This Row],[ap,eq (cm)]])</f>
        <v>8.841011525310245</v>
      </c>
      <c r="AT305" s="4" t="str">
        <f ca="1">IF(HC[[#This Row],[nE]]=1,HC[[#This Row],[As,lado (cm²)]],IF(HC[[#This Row],[nE]]=2,0.075*2*HC[a (cm)],"N.A."))</f>
        <v>N.A.</v>
      </c>
      <c r="AU305" s="4">
        <f ca="1">IFERROR(IF(HC[[#This Row],[nE]]=1,"N.A.",0.2*HC[[#This Row],[As,lado (cm²)]]),"N.S.")</f>
        <v>1.768202305062049</v>
      </c>
      <c r="AV305" s="4">
        <f ca="1">As_malha(HC[[#This Row],[nE]],HC[[#This Row],[As,lado (cm²)]],HC[[#This Row],[Nsd (kN)]])</f>
        <v>2.981481481481481</v>
      </c>
      <c r="AW305" s="4">
        <f ca="1">As_susp_tot(HC[[#This Row],[nE]],HC[[#This Row],[Nsd (kN)]])</f>
        <v>8.9444444444444429</v>
      </c>
      <c r="AX305" s="4">
        <f ca="1">Asp_face(HC[[#This Row],[nE]],HC[[#This Row],[As,lado (cm²)]])</f>
        <v>3.3153793219913421</v>
      </c>
      <c r="AY305" s="5">
        <f ca="1">acoBloco(HC[[#This Row],[nE]],HC[[#This Row],[e (cm)]],HC[[#This Row],[a (cm)]],HC[[#This Row],[h (cm)]],HC[[#This Row],[As,lado (cm²)]],HC[[#This Row],[Asp e Asw (cm²/m)]],HC[[#This Row],[As,sup (cm²)]],HC[[#This Row],[As,malha (cm²)]],HC[[#This Row],[As,susp,tot (cm²)]],HC[[#This Row],[Asp,face (cm²)]])</f>
        <v>262.66620819411736</v>
      </c>
      <c r="AZ305" s="4">
        <f ca="1">concretoBloco(HC[[#This Row],[nE]],HC[[#This Row],[e (cm)]],HC[[#This Row],[a (cm)]],HC[[#This Row],[h (cm)]])</f>
        <v>40.306148721743874</v>
      </c>
      <c r="BA305" s="5">
        <f ca="1">SUM(HC[[#This Row],[Aço Est (kg)]],HC[[#This Row],[Aço Bloco (kg)]])</f>
        <v>361.31221751683688</v>
      </c>
      <c r="BB305" s="4">
        <f>INDEX(composicoes[],MATCH(95580,composicoes[CÓDIGO],0),MATCH("CUSTO TOTAL",composicoes[#Headers],0))</f>
        <v>10.46</v>
      </c>
      <c r="BC305" s="4">
        <f ca="1">SUM(HC[[#This Row],[Conc Est (m³)]],HC[[#This Row],[Conc Bloco (m³)]])</f>
        <v>54.443315662897945</v>
      </c>
      <c r="BD305" s="4">
        <f>INDEX(composicoes[],MATCH(94966,composicoes[CÓDIGO],0),MATCH("CUSTO TOTAL",composicoes[#Headers],0))</f>
        <v>439.52</v>
      </c>
      <c r="BE305" s="38">
        <f ca="1">HC[[#This Row],[Aço (kg)]]*HC[[#This Row],[Aço (R$/kg)]]+HC[[#This Row],[Conc (m³)]]*HC[[#This Row],[Conc (R$/m³)]]</f>
        <v>27708.251895383019</v>
      </c>
      <c r="BF305" s="4" t="str">
        <f ca="1">IF(COUNTIF(HC[#This Row],"N.S.")&gt;0,"lim.","OK")</f>
        <v>OK</v>
      </c>
      <c r="BG305" s="4" t="str">
        <f>IF(HC[[#This Row],[Prof. (m)]]&lt;4,"lim.","OK")</f>
        <v>OK</v>
      </c>
      <c r="BH305" s="4" t="str">
        <f>IF(HC[[#This Row],[Prof. (m)]]&gt;=8*HC[[#This Row],[Ø (cm)]]/100,"OK","lim.")</f>
        <v>lim.</v>
      </c>
      <c r="BI305" s="4" t="str">
        <f ca="1">IF(HC[[#This Row],[Verif. Biela]]="OK","OK","lim.")</f>
        <v>OK</v>
      </c>
      <c r="BJ305" s="4" t="str">
        <f ca="1">IF(COUNTA(HC[[#This Row],[Nº Est.]:[Biela comp.]])=COUNTIF(HC[[#This Row],[Nº Est.]:[Biela comp.]],"OK"),"OK","lim.")</f>
        <v>lim.</v>
      </c>
      <c r="BK305" s="4" t="str">
        <f ca="1">IF(HC[[#This Row],[Controle]]="OK",HC[[#This Row],[nE]]&amp;" Ø "&amp;HC[[#This Row],[Ø (cm)]]&amp;" cm, Prof. "&amp;HC[[#This Row],[Prof. (m)]]&amp;" m","")</f>
        <v/>
      </c>
      <c r="BL305" s="4" t="str">
        <f ca="1">IF(HC[[#This Row],[idDimensionamento]]="","",HC[[#This Row],[idPilar]]&amp;HC[[#This Row],[idDimensionamento]])</f>
        <v/>
      </c>
    </row>
    <row r="306" spans="2:64" x14ac:dyDescent="0.25">
      <c r="B306" s="12">
        <f>ROUNDUP((ROW(HC[[#This Row],[idDiâmetro]])-ROW(HC[[#Headers],[idDiâmetro]]))/(COUNT(SPT[Prof. (m)])*COUNT(PILARES[Pilar])),0)</f>
        <v>11</v>
      </c>
      <c r="C306" s="12">
        <f>IF(HC[[#This Row],[idDiâmetro]]&lt;&gt;B305,1,IF(HC[[#This Row],[Prof. (m)]]=0,C305+1,C305))</f>
        <v>2</v>
      </c>
      <c r="D306" s="82">
        <f>IFERROR(IF(D305=MAX(SPT[Prof. (m)]),0,D305+1),0)</f>
        <v>7</v>
      </c>
      <c r="E306" s="82">
        <f>INDEX(SPT[],MATCH(HC[[#This Row],[Prof. (m)]],SPT[Prof. (m)],0),2)</f>
        <v>8</v>
      </c>
      <c r="F306" s="82" t="str">
        <f>INDEX(SPT[],MATCH(HC[[#This Row],[Prof. (m)]],SPT[Prof. (m)],0),3)</f>
        <v>Silte arenoso</v>
      </c>
      <c r="G306" s="82">
        <f>INDEX(estacas[],HC[[#This Row],[idDiâmetro]],MATCH($B$2,estacas[#Headers],0))</f>
        <v>100</v>
      </c>
      <c r="H306" s="82">
        <f>INDEX(estacas[],MATCH(HC[[#This Row],[Ø (cm)]],estacas[Ø HC (cm)],0),MATCH(HC[[#Headers],[Pe HC (kN)]],estacas[#Headers],0))</f>
        <v>5000</v>
      </c>
      <c r="I306" s="4">
        <f>INDEX(K_alpha_C[],MATCH(HC[[#This Row],[Solo]],K_alpha_C[Solo],0),2)</f>
        <v>0.55000000000000004</v>
      </c>
      <c r="J306" s="5">
        <f>INDEX(K_alpha_C[],MATCH(HC[[#This Row],[Solo]],K_alpha_C[Solo],0),3)</f>
        <v>2.2000000000000002</v>
      </c>
      <c r="K306" s="4">
        <f>INDEX(F1_F2[],MATCH($D$2,F1_F2[Tipo de estaca],0),2)</f>
        <v>2</v>
      </c>
      <c r="L306" s="4">
        <f>INDEX(F1_F2[],MATCH($D$2,F1_F2[Tipo de estaca],0),3)</f>
        <v>4</v>
      </c>
      <c r="M306" s="4">
        <f>PI()*(HC[[#This Row],[Ø (cm)]]/100)^2/4</f>
        <v>0.78539816339744828</v>
      </c>
      <c r="N306" s="4">
        <f>PI()*HC[[#This Row],[Ø (cm)]]/100</f>
        <v>3.1415926535897931</v>
      </c>
      <c r="O306" s="4">
        <f>IF(HC[[#This Row],[Prof. (m)]]=0,0,HC[[#This Row],[α (%)]]/100*HC[[#This Row],[K (MPa)]]*1000*HC[[#This Row],[NSPT]])</f>
        <v>96.800000000000011</v>
      </c>
      <c r="P306" s="4">
        <f>IF(HC[[#This Row],[Prof. (m)]]=0,0,(HC[[#This Row],[K (MPa)]]*1000*HC[[#This Row],[NSPT]]/HC[[#This Row],[F1]]*HC[[#This Row],[Ap (m²)]]+HC[[#This Row],[U (m)]]/HC[[#This Row],[F2]]*SUMIFS(HC[(α∙K∙NL∙ΔL)],HC[Prof. (m)],"&lt;="&amp;HC[[#This Row],[Prof. (m)]],HC[idDiâmetro],HC[[#This Row],[idDiâmetro]],HC[idPilar],HC[[#This Row],[idPilar]]))/'DADOS CAP. CARGA'!$D$2)</f>
        <v>1209.0812026422018</v>
      </c>
      <c r="Q306" s="12">
        <f>INDEX(C_alpha_beta[],MATCH(HC[[#This Row],[Solo]],C_alpha_beta[Solo],0),MATCH(HC[[#Headers],[C (kPa)]],C_alpha_beta[#Headers],0))</f>
        <v>250</v>
      </c>
      <c r="R306" s="4">
        <f>INDEX(C_alpha_beta[],MATCH(HC[[#This Row],[Solo]],C_alpha_beta[Solo],0),MATCH(HC[[#Headers],[α ESF]],C_alpha_beta[#Headers],0))</f>
        <v>0.6</v>
      </c>
      <c r="S306" s="4">
        <f>INDEX(C_alpha_beta[],MATCH(HC[[#This Row],[Solo]],C_alpha_beta[Solo],0),MATCH(HC[[#Headers],[β ESF]],C_alpha_beta[#Headers],0))</f>
        <v>0.65</v>
      </c>
      <c r="T306" s="4">
        <f>IF(HC[[#This Row],[Prof. (m)]]=0,0,10*(HC[[#This Row],[NSPT]]/3+1))</f>
        <v>36.666666666666664</v>
      </c>
      <c r="U306" s="4">
        <f>(HC[[#This Row],[α ESF]]*HC[[#This Row],[C (kPa)]]*HC[[#This Row],[NSPT]]*HC[[#This Row],[Ap (m²)]])/'DADOS CAP. CARGA'!$Q$2+(HC[[#This Row],[β ESF]]*SUMIFS(HC[10∙(NL/3+1)],HC[Prof. (m)],"&lt;="&amp;HC[[#This Row],[Prof. (m)]],HC[idDiâmetro],HC[[#This Row],[idDiâmetro]],HC[idPilar],HC[[#This Row],[idPilar]])*HC[[#This Row],[U (m)]])/'DADOS CAP. CARGA'!$S$2</f>
        <v>518.10098845451671</v>
      </c>
      <c r="V306" s="4">
        <f>IF(SPT!$M$5=1,MIN(HC[[#This Row],[Pe HC (kN)]],HC[[#This Row],[R_AV (kN)]]),IF(SPT!$M$5=2,MIN(HC[[#This Row],[Pe HC (kN)]],HC[[#This Row],[R_DC (kN)]]),MIN(HC[[#This Row],[Pe HC (kN)]],HC[[#This Row],[R_AV (kN)]],HC[[#This Row],[R_DC (kN)]])))</f>
        <v>518.10098845451671</v>
      </c>
      <c r="W306" s="4">
        <f>INDEX(PILARES[],HC[[#This Row],[idPilar]],MATCH("Carga (kN)",PILARES[#Headers],0))*1.4</f>
        <v>1750</v>
      </c>
      <c r="X306" s="12">
        <f>INDEX(PILARES[],HC[[#This Row],[idPilar]],MATCH(HC[[#Headers],[ap (cm)]],PILARES[#Headers],0))</f>
        <v>50</v>
      </c>
      <c r="Y306" s="12">
        <f>INDEX(PILARES[],HC[[#This Row],[idPilar]],MATCH(HC[[#Headers],[bp (cm)]],PILARES[#Headers],0))</f>
        <v>40</v>
      </c>
      <c r="Z306" s="4">
        <f>SQRT(HC[[#This Row],[ap (cm)]]*HC[[#This Row],[bp (cm)]])</f>
        <v>44.721359549995796</v>
      </c>
      <c r="AA306" s="12">
        <f>HC[[#This Row],[ap (cm)]]*HC[[#This Row],[bp (cm)]]</f>
        <v>2000</v>
      </c>
      <c r="AB306" s="12">
        <f ca="1">IF(HC[[#This Row],[Padm∙ε (kN)]]&gt;=HC[[#This Row],[Padm (kN)]],ROUNDUP(1.05*HC[[#This Row],[Nsd (kN)]]/HC[[#This Row],[Padm (kN)]],0),ROUNDUP(1.05*HC[[#This Row],[Nsd (kN)]]/HC[[#This Row],[Padm (kN)]],0)+1)</f>
        <v>4</v>
      </c>
      <c r="AC306" s="4">
        <f ca="1">IFERROR(IF(HC[[#This Row],[nE]]=1,HC[[#This Row],[Padm (kN)]],HC[[#This Row],[Padm (kN)]]*HC[[#This Row],[nE]]*INDEX(grupoEstacas[],HC[[#This Row],[nE]],MATCH("ε",grupoEstacas[#Headers],0))),"N.S.")</f>
        <v>1683.8282124771792</v>
      </c>
      <c r="AD306" s="4">
        <f ca="1">1.05*HC[[#This Row],[Nsd (kN)]]/(HC[[#This Row],[nE]]*PI()*HC[[#This Row],[Ø (cm)]]^2/4)*10</f>
        <v>0.5848944158627154</v>
      </c>
      <c r="AE306" s="4">
        <f ca="1">IF(HC[[#This Row],[σ (MPa)]]&lt;INDEX(tipoEstaca[],MATCH($D$2,tipoEstaca[TIPO DE ESTACA],0),MATCH("σmáx (MPa)",tipoEstaca[#Headers],0)),0.4%*PI()*HC[[#This Row],[Ø (cm)]]^2/4,"N.S.")</f>
        <v>31.415926535897935</v>
      </c>
      <c r="AF306" s="82">
        <f>INDEX(tipoEstaca[],MATCH($D$2,tipoEstaca[TIPO DE ESTACA],0),MATCH(HC[[#Headers],[Comprimento (m)]],tipoEstaca[#Headers],0))</f>
        <v>4</v>
      </c>
      <c r="AG306" s="5">
        <f ca="1">HC[[#This Row],[As,mín (cm²)]]/100^2*HC[[#This Row],[Comprimento (m)]]*7850</f>
        <v>98.646009322719507</v>
      </c>
      <c r="AH306" s="4">
        <f ca="1">HC[[#This Row],[nE]]*HC[[#This Row],[Prof. (m)]]*HC[[#This Row],[Ap (m²)]]</f>
        <v>21.991148575128552</v>
      </c>
      <c r="AI306" s="82">
        <f ca="1">IF(HC[[#This Row],[nE]]=1,0,MAX(3*HC[[#This Row],[Ø (cm)]],60))</f>
        <v>300</v>
      </c>
      <c r="AJ306" s="82">
        <f ca="1">IF(HC[[#This Row],[nE]]=1,HC[[#This Row],[Ø (cm)]]+2*10,MAX(1.5*HC[[#This Row],[Ø (cm)]],HC[[#This Row],[Ø (cm)]]+15))</f>
        <v>150</v>
      </c>
      <c r="AK306" s="82">
        <f ca="1">alturaUtil(HC[[#This Row],[nE]],HC[[#This Row],[Ø (cm)]],HC[[#This Row],[e (cm)]],HC[[#This Row],[ap,eq (cm)]])</f>
        <v>140</v>
      </c>
      <c r="AL306" s="82">
        <f ca="1">IFERROR(HC[[#This Row],[d (cm)]]+arredondarParaCimaMultiplo5cm(MAX(5,SQRT(PI())/2*HC[[#This Row],[Ø (cm)]]/5)),"N.S.")</f>
        <v>160</v>
      </c>
      <c r="AM306" s="5">
        <f ca="1">alpha(HC[[#This Row],[nE]],HC[[#This Row],[d (cm)]],HC[[#This Row],[e (cm)]],HC[[#This Row],[ap,eq (cm)]])</f>
        <v>45.242551367887152</v>
      </c>
      <c r="AN306" s="35">
        <f ca="1">IFERROR(HC[[#This Row],[Nsd (kN)]]/(HC[[#This Row],[Ap (cm²)]]*SIN(HC[[#This Row],[α]])^2),"N.S.")</f>
        <v>0.96511894174638402</v>
      </c>
      <c r="AO306" s="35">
        <f ca="1">IFERROR(HC[[#This Row],[Nsd (kN)]]/(HC[[#This Row],[nE]]*PI()*HC[[#This Row],[Ø (cm)]]^2/4*SIN(HC[[#This Row],[α]])^2),"N.S.")</f>
        <v>6.1441380100222404E-2</v>
      </c>
      <c r="AP306" s="4">
        <f ca="1">IFERROR(INDEX(grupoEstacas[],HC[[#This Row],[nE]],MATCH("coef. Blévot",grupoEstacas[#Headers],0)),"N.S.")</f>
        <v>2.1</v>
      </c>
      <c r="AQ306" s="35">
        <f ca="1">IFERROR(HC[[#This Row],[coef. Blévot]]*0.9*INDEX(tipoEstaca[],MATCH($D$2,tipoEstaca[TIPO DE ESTACA],0),MATCH("fcd (kN/cm²)",tipoEstaca[#Headers],0)),"N.S.")</f>
        <v>2.1</v>
      </c>
      <c r="AR306" s="82" t="str">
        <f ca="1">IF(AND(HC[[#This Row],[cd,b,pil (kN/cm²)]]&lt;=HC[[#This Row],[cd,b,lim (kN/cm²)]],HC[[#This Row],[cd,b,est (kN/cm²)]]&lt;=HC[[#This Row],[cd,b,lim (kN/cm²)]]),"OK","ERRO")</f>
        <v>OK</v>
      </c>
      <c r="AS306" s="4">
        <f ca="1">As_lado(HC[[#This Row],[nE]],HC[[#This Row],[Nsd (kN)]],HC[[#This Row],[d (cm)]],HC[[#This Row],[e (cm)]],HC[[#This Row],[ap,eq (cm)]])</f>
        <v>9.9776630705860132</v>
      </c>
      <c r="AT306" s="4" t="str">
        <f ca="1">IF(HC[[#This Row],[nE]]=1,HC[[#This Row],[As,lado (cm²)]],IF(HC[[#This Row],[nE]]=2,0.075*2*HC[a (cm)],"N.A."))</f>
        <v>N.A.</v>
      </c>
      <c r="AU306" s="4">
        <f ca="1">IFERROR(IF(HC[[#This Row],[nE]]=1,"N.A.",0.2*HC[[#This Row],[As,lado (cm²)]]),"N.S.")</f>
        <v>1.9955326141172027</v>
      </c>
      <c r="AV306" s="4">
        <f ca="1">As_malha(HC[[#This Row],[nE]],HC[[#This Row],[As,lado (cm²)]],HC[[#This Row],[Nsd (kN)]])</f>
        <v>1.9955326141172027</v>
      </c>
      <c r="AW306" s="4">
        <f ca="1">As_susp_tot(HC[[#This Row],[nE]],HC[[#This Row],[Nsd (kN)]])</f>
        <v>6.708333333333333</v>
      </c>
      <c r="AX306" s="4">
        <f ca="1">Asp_face(HC[[#This Row],[nE]],HC[[#This Row],[As,lado (cm²)]])</f>
        <v>4.9888315352930066</v>
      </c>
      <c r="AY306" s="5">
        <f ca="1">acoBloco(HC[[#This Row],[nE]],HC[[#This Row],[e (cm)]],HC[[#This Row],[a (cm)]],HC[[#This Row],[h (cm)]],HC[[#This Row],[As,lado (cm²)]],HC[[#This Row],[Asp e Asw (cm²/m)]],HC[[#This Row],[As,sup (cm²)]],HC[[#This Row],[As,malha (cm²)]],HC[[#This Row],[As,susp,tot (cm²)]],HC[[#This Row],[Asp,face (cm²)]])</f>
        <v>346.7881767163795</v>
      </c>
      <c r="AZ306" s="4">
        <f ca="1">concretoBloco(HC[[#This Row],[nE]],HC[[#This Row],[e (cm)]],HC[[#This Row],[a (cm)]],HC[[#This Row],[h (cm)]])</f>
        <v>57.6</v>
      </c>
      <c r="BA306" s="5">
        <f ca="1">SUM(HC[[#This Row],[Aço Est (kg)]],HC[[#This Row],[Aço Bloco (kg)]])</f>
        <v>445.43418603909902</v>
      </c>
      <c r="BB306" s="4">
        <f>INDEX(composicoes[],MATCH(95580,composicoes[CÓDIGO],0),MATCH("CUSTO TOTAL",composicoes[#Headers],0))</f>
        <v>10.46</v>
      </c>
      <c r="BC306" s="4">
        <f ca="1">SUM(HC[[#This Row],[Conc Est (m³)]],HC[[#This Row],[Conc Bloco (m³)]])</f>
        <v>79.591148575128557</v>
      </c>
      <c r="BD306" s="4">
        <f>INDEX(composicoes[],MATCH(94966,composicoes[CÓDIGO],0),MATCH("CUSTO TOTAL",composicoes[#Headers],0))</f>
        <v>439.52</v>
      </c>
      <c r="BE306" s="38">
        <f ca="1">HC[[#This Row],[Aço (kg)]]*HC[[#This Row],[Aço (R$/kg)]]+HC[[#This Row],[Conc (m³)]]*HC[[#This Row],[Conc (R$/m³)]]</f>
        <v>39641.14320770948</v>
      </c>
      <c r="BF306" s="4" t="str">
        <f ca="1">IF(COUNTIF(HC[#This Row],"N.S.")&gt;0,"lim.","OK")</f>
        <v>OK</v>
      </c>
      <c r="BG306" s="4" t="str">
        <f>IF(HC[[#This Row],[Prof. (m)]]&lt;4,"lim.","OK")</f>
        <v>OK</v>
      </c>
      <c r="BH306" s="4" t="str">
        <f>IF(HC[[#This Row],[Prof. (m)]]&gt;=8*HC[[#This Row],[Ø (cm)]]/100,"OK","lim.")</f>
        <v>lim.</v>
      </c>
      <c r="BI306" s="4" t="str">
        <f ca="1">IF(HC[[#This Row],[Verif. Biela]]="OK","OK","lim.")</f>
        <v>OK</v>
      </c>
      <c r="BJ306" s="4" t="str">
        <f ca="1">IF(COUNTA(HC[[#This Row],[Nº Est.]:[Biela comp.]])=COUNTIF(HC[[#This Row],[Nº Est.]:[Biela comp.]],"OK"),"OK","lim.")</f>
        <v>lim.</v>
      </c>
      <c r="BK306" s="4" t="str">
        <f ca="1">IF(HC[[#This Row],[Controle]]="OK",HC[[#This Row],[nE]]&amp;" Ø "&amp;HC[[#This Row],[Ø (cm)]]&amp;" cm, Prof. "&amp;HC[[#This Row],[Prof. (m)]]&amp;" m","")</f>
        <v/>
      </c>
      <c r="BL306" s="4" t="str">
        <f ca="1">IF(HC[[#This Row],[idDimensionamento]]="","",HC[[#This Row],[idPilar]]&amp;HC[[#This Row],[idDimensionamento]])</f>
        <v/>
      </c>
    </row>
    <row r="307" spans="2:64" x14ac:dyDescent="0.25">
      <c r="B307" s="12">
        <f>ROUNDUP((ROW(HC[[#This Row],[idDiâmetro]])-ROW(HC[[#Headers],[idDiâmetro]]))/(COUNT(SPT[Prof. (m)])*COUNT(PILARES[Pilar])),0)</f>
        <v>11</v>
      </c>
      <c r="C307" s="12">
        <f>IF(HC[[#This Row],[idDiâmetro]]&lt;&gt;B306,1,IF(HC[[#This Row],[Prof. (m)]]=0,C306+1,C306))</f>
        <v>2</v>
      </c>
      <c r="D307" s="82">
        <f>IFERROR(IF(D306=MAX(SPT[Prof. (m)]),0,D306+1),0)</f>
        <v>8</v>
      </c>
      <c r="E307" s="82">
        <f>INDEX(SPT[],MATCH(HC[[#This Row],[Prof. (m)]],SPT[Prof. (m)],0),2)</f>
        <v>10</v>
      </c>
      <c r="F307" s="82" t="str">
        <f>INDEX(SPT[],MATCH(HC[[#This Row],[Prof. (m)]],SPT[Prof. (m)],0),3)</f>
        <v>Silte arenoso</v>
      </c>
      <c r="G307" s="82">
        <f>INDEX(estacas[],HC[[#This Row],[idDiâmetro]],MATCH($B$2,estacas[#Headers],0))</f>
        <v>100</v>
      </c>
      <c r="H307" s="82">
        <f>INDEX(estacas[],MATCH(HC[[#This Row],[Ø (cm)]],estacas[Ø HC (cm)],0),MATCH(HC[[#Headers],[Pe HC (kN)]],estacas[#Headers],0))</f>
        <v>5000</v>
      </c>
      <c r="I307" s="4">
        <f>INDEX(K_alpha_C[],MATCH(HC[[#This Row],[Solo]],K_alpha_C[Solo],0),2)</f>
        <v>0.55000000000000004</v>
      </c>
      <c r="J307" s="5">
        <f>INDEX(K_alpha_C[],MATCH(HC[[#This Row],[Solo]],K_alpha_C[Solo],0),3)</f>
        <v>2.2000000000000002</v>
      </c>
      <c r="K307" s="4">
        <f>INDEX(F1_F2[],MATCH($D$2,F1_F2[Tipo de estaca],0),2)</f>
        <v>2</v>
      </c>
      <c r="L307" s="4">
        <f>INDEX(F1_F2[],MATCH($D$2,F1_F2[Tipo de estaca],0),3)</f>
        <v>4</v>
      </c>
      <c r="M307" s="4">
        <f>PI()*(HC[[#This Row],[Ø (cm)]]/100)^2/4</f>
        <v>0.78539816339744828</v>
      </c>
      <c r="N307" s="4">
        <f>PI()*HC[[#This Row],[Ø (cm)]]/100</f>
        <v>3.1415926535897931</v>
      </c>
      <c r="O307" s="4">
        <f>IF(HC[[#This Row],[Prof. (m)]]=0,0,HC[[#This Row],[α (%)]]/100*HC[[#This Row],[K (MPa)]]*1000*HC[[#This Row],[NSPT]])</f>
        <v>121.00000000000001</v>
      </c>
      <c r="P307" s="4">
        <f>IF(HC[[#This Row],[Prof. (m)]]=0,0,(HC[[#This Row],[K (MPa)]]*1000*HC[[#This Row],[NSPT]]/HC[[#This Row],[F1]]*HC[[#This Row],[Ap (m²)]]+HC[[#This Row],[U (m)]]/HC[[#This Row],[F2]]*SUMIFS(HC[(α∙K∙NL∙ΔL)],HC[Prof. (m)],"&lt;="&amp;HC[[#This Row],[Prof. (m)]],HC[idDiâmetro],HC[[#This Row],[idDiâmetro]],HC[idPilar],HC[[#This Row],[idPilar]]))/'DADOS CAP. CARGA'!$D$2)</f>
        <v>1472.5822864620457</v>
      </c>
      <c r="Q307" s="12">
        <f>INDEX(C_alpha_beta[],MATCH(HC[[#This Row],[Solo]],C_alpha_beta[Solo],0),MATCH(HC[[#Headers],[C (kPa)]],C_alpha_beta[#Headers],0))</f>
        <v>250</v>
      </c>
      <c r="R307" s="4">
        <f>INDEX(C_alpha_beta[],MATCH(HC[[#This Row],[Solo]],C_alpha_beta[Solo],0),MATCH(HC[[#Headers],[α ESF]],C_alpha_beta[#Headers],0))</f>
        <v>0.6</v>
      </c>
      <c r="S307" s="4">
        <f>INDEX(C_alpha_beta[],MATCH(HC[[#This Row],[Solo]],C_alpha_beta[Solo],0),MATCH(HC[[#Headers],[β ESF]],C_alpha_beta[#Headers],0))</f>
        <v>0.65</v>
      </c>
      <c r="T307" s="4">
        <f>IF(HC[[#This Row],[Prof. (m)]]=0,0,10*(HC[[#This Row],[NSPT]]/3+1))</f>
        <v>43.333333333333343</v>
      </c>
      <c r="U307" s="4">
        <f>(HC[[#This Row],[α ESF]]*HC[[#This Row],[C (kPa)]]*HC[[#This Row],[NSPT]]*HC[[#This Row],[Ap (m²)]])/'DADOS CAP. CARGA'!$Q$2+(HC[[#This Row],[β ESF]]*SUMIFS(HC[10∙(NL/3+1)],HC[Prof. (m)],"&lt;="&amp;HC[[#This Row],[Prof. (m)]],HC[idDiâmetro],HC[[#This Row],[idDiâmetro]],HC[idPilar],HC[[#This Row],[idPilar]])*HC[[#This Row],[U (m)]])/'DADOS CAP. CARGA'!$S$2</f>
        <v>621.24994724738167</v>
      </c>
      <c r="V307" s="4">
        <f>IF(SPT!$M$5=1,MIN(HC[[#This Row],[Pe HC (kN)]],HC[[#This Row],[R_AV (kN)]]),IF(SPT!$M$5=2,MIN(HC[[#This Row],[Pe HC (kN)]],HC[[#This Row],[R_DC (kN)]]),MIN(HC[[#This Row],[Pe HC (kN)]],HC[[#This Row],[R_AV (kN)]],HC[[#This Row],[R_DC (kN)]])))</f>
        <v>621.24994724738167</v>
      </c>
      <c r="W307" s="4">
        <f>INDEX(PILARES[],HC[[#This Row],[idPilar]],MATCH("Carga (kN)",PILARES[#Headers],0))*1.4</f>
        <v>1750</v>
      </c>
      <c r="X307" s="12">
        <f>INDEX(PILARES[],HC[[#This Row],[idPilar]],MATCH(HC[[#Headers],[ap (cm)]],PILARES[#Headers],0))</f>
        <v>50</v>
      </c>
      <c r="Y307" s="12">
        <f>INDEX(PILARES[],HC[[#This Row],[idPilar]],MATCH(HC[[#Headers],[bp (cm)]],PILARES[#Headers],0))</f>
        <v>40</v>
      </c>
      <c r="Z307" s="4">
        <f>SQRT(HC[[#This Row],[ap (cm)]]*HC[[#This Row],[bp (cm)]])</f>
        <v>44.721359549995796</v>
      </c>
      <c r="AA307" s="12">
        <f>HC[[#This Row],[ap (cm)]]*HC[[#This Row],[bp (cm)]]</f>
        <v>2000</v>
      </c>
      <c r="AB307" s="12">
        <f ca="1">IF(HC[[#This Row],[Padm∙ε (kN)]]&gt;=HC[[#This Row],[Padm (kN)]],ROUNDUP(1.05*HC[[#This Row],[Nsd (kN)]]/HC[[#This Row],[Padm (kN)]],0),ROUNDUP(1.05*HC[[#This Row],[Nsd (kN)]]/HC[[#This Row],[Padm (kN)]],0)+1)</f>
        <v>3</v>
      </c>
      <c r="AC307" s="4">
        <f ca="1">IFERROR(IF(HC[[#This Row],[nE]]=1,HC[[#This Row],[Padm (kN)]],HC[[#This Row],[Padm (kN)]]*HC[[#This Row],[nE]]*INDEX(grupoEstacas[],HC[[#This Row],[nE]],MATCH("ε",grupoEstacas[#Headers],0))),"N.S.")</f>
        <v>1630.7811115243769</v>
      </c>
      <c r="AD307" s="4">
        <f ca="1">1.05*HC[[#This Row],[Nsd (kN)]]/(HC[[#This Row],[nE]]*PI()*HC[[#This Row],[Ø (cm)]]^2/4)*10</f>
        <v>0.77985922115028727</v>
      </c>
      <c r="AE307" s="4">
        <f ca="1">IF(HC[[#This Row],[σ (MPa)]]&lt;INDEX(tipoEstaca[],MATCH($D$2,tipoEstaca[TIPO DE ESTACA],0),MATCH("σmáx (MPa)",tipoEstaca[#Headers],0)),0.4%*PI()*HC[[#This Row],[Ø (cm)]]^2/4,"N.S.")</f>
        <v>31.415926535897935</v>
      </c>
      <c r="AF307" s="82">
        <f>INDEX(tipoEstaca[],MATCH($D$2,tipoEstaca[TIPO DE ESTACA],0),MATCH(HC[[#Headers],[Comprimento (m)]],tipoEstaca[#Headers],0))</f>
        <v>4</v>
      </c>
      <c r="AG307" s="5">
        <f ca="1">HC[[#This Row],[As,mín (cm²)]]/100^2*HC[[#This Row],[Comprimento (m)]]*7850</f>
        <v>98.646009322719507</v>
      </c>
      <c r="AH307" s="4">
        <f ca="1">HC[[#This Row],[nE]]*HC[[#This Row],[Prof. (m)]]*HC[[#This Row],[Ap (m²)]]</f>
        <v>18.849555921538759</v>
      </c>
      <c r="AI307" s="82">
        <f ca="1">IF(HC[[#This Row],[nE]]=1,0,MAX(3*HC[[#This Row],[Ø (cm)]],60))</f>
        <v>300</v>
      </c>
      <c r="AJ307" s="82">
        <f ca="1">IF(HC[[#This Row],[nE]]=1,HC[[#This Row],[Ø (cm)]]+2*10,MAX(1.5*HC[[#This Row],[Ø (cm)]],HC[[#This Row],[Ø (cm)]]+15))</f>
        <v>150</v>
      </c>
      <c r="AK307" s="82">
        <f ca="1">alturaUtil(HC[[#This Row],[nE]],HC[[#This Row],[Ø (cm)]],HC[[#This Row],[e (cm)]],HC[[#This Row],[ap,eq (cm)]])</f>
        <v>140</v>
      </c>
      <c r="AL307" s="82">
        <f ca="1">IFERROR(HC[[#This Row],[d (cm)]]+arredondarParaCimaMultiplo5cm(MAX(5,SQRT(PI())/2*HC[[#This Row],[Ø (cm)]]/5)),"N.S.")</f>
        <v>160</v>
      </c>
      <c r="AM307" s="5">
        <f ca="1">alpha(HC[[#This Row],[nE]],HC[[#This Row],[d (cm)]],HC[[#This Row],[e (cm)]],HC[[#This Row],[ap,eq (cm)]])</f>
        <v>45.70769128343273</v>
      </c>
      <c r="AN307" s="35">
        <f ca="1">IFERROR(HC[[#This Row],[Nsd (kN)]]/(HC[[#This Row],[Ap (cm²)]]*SIN(HC[[#This Row],[α]])^2),"N.S.")</f>
        <v>0.89625071064735617</v>
      </c>
      <c r="AO307" s="35">
        <f ca="1">IFERROR(HC[[#This Row],[Nsd (kN)]]/(HC[[#This Row],[nE]]*PI()*HC[[#This Row],[Ø (cm)]]^2/4*SIN(HC[[#This Row],[α]])^2),"N.S.")</f>
        <v>7.6076123119547062E-2</v>
      </c>
      <c r="AP307" s="4">
        <f ca="1">IFERROR(INDEX(grupoEstacas[],HC[[#This Row],[nE]],MATCH("coef. Blévot",grupoEstacas[#Headers],0)),"N.S.")</f>
        <v>1.75</v>
      </c>
      <c r="AQ307" s="35">
        <f ca="1">IFERROR(HC[[#This Row],[coef. Blévot]]*0.9*INDEX(tipoEstaca[],MATCH($D$2,tipoEstaca[TIPO DE ESTACA],0),MATCH("fcd (kN/cm²)",tipoEstaca[#Headers],0)),"N.S.")</f>
        <v>1.75</v>
      </c>
      <c r="AR307" s="82" t="str">
        <f ca="1">IF(AND(HC[[#This Row],[cd,b,pil (kN/cm²)]]&lt;=HC[[#This Row],[cd,b,lim (kN/cm²)]],HC[[#This Row],[cd,b,est (kN/cm²)]]&lt;=HC[[#This Row],[cd,b,lim (kN/cm²)]]),"OK","ERRO")</f>
        <v>OK</v>
      </c>
      <c r="AS307" s="4">
        <f ca="1">As_lado(HC[[#This Row],[nE]],HC[[#This Row],[Nsd (kN)]],HC[[#This Row],[d (cm)]],HC[[#This Row],[e (cm)]],HC[[#This Row],[ap,eq (cm)]])</f>
        <v>8.841011525310245</v>
      </c>
      <c r="AT307" s="4" t="str">
        <f ca="1">IF(HC[[#This Row],[nE]]=1,HC[[#This Row],[As,lado (cm²)]],IF(HC[[#This Row],[nE]]=2,0.075*2*HC[a (cm)],"N.A."))</f>
        <v>N.A.</v>
      </c>
      <c r="AU307" s="4">
        <f ca="1">IFERROR(IF(HC[[#This Row],[nE]]=1,"N.A.",0.2*HC[[#This Row],[As,lado (cm²)]]),"N.S.")</f>
        <v>1.768202305062049</v>
      </c>
      <c r="AV307" s="4">
        <f ca="1">As_malha(HC[[#This Row],[nE]],HC[[#This Row],[As,lado (cm²)]],HC[[#This Row],[Nsd (kN)]])</f>
        <v>2.981481481481481</v>
      </c>
      <c r="AW307" s="4">
        <f ca="1">As_susp_tot(HC[[#This Row],[nE]],HC[[#This Row],[Nsd (kN)]])</f>
        <v>8.9444444444444429</v>
      </c>
      <c r="AX307" s="4">
        <f ca="1">Asp_face(HC[[#This Row],[nE]],HC[[#This Row],[As,lado (cm²)]])</f>
        <v>3.3153793219913421</v>
      </c>
      <c r="AY307" s="5">
        <f ca="1">acoBloco(HC[[#This Row],[nE]],HC[[#This Row],[e (cm)]],HC[[#This Row],[a (cm)]],HC[[#This Row],[h (cm)]],HC[[#This Row],[As,lado (cm²)]],HC[[#This Row],[Asp e Asw (cm²/m)]],HC[[#This Row],[As,sup (cm²)]],HC[[#This Row],[As,malha (cm²)]],HC[[#This Row],[As,susp,tot (cm²)]],HC[[#This Row],[Asp,face (cm²)]])</f>
        <v>262.66620819411736</v>
      </c>
      <c r="AZ307" s="4">
        <f ca="1">concretoBloco(HC[[#This Row],[nE]],HC[[#This Row],[e (cm)]],HC[[#This Row],[a (cm)]],HC[[#This Row],[h (cm)]])</f>
        <v>40.306148721743874</v>
      </c>
      <c r="BA307" s="5">
        <f ca="1">SUM(HC[[#This Row],[Aço Est (kg)]],HC[[#This Row],[Aço Bloco (kg)]])</f>
        <v>361.31221751683688</v>
      </c>
      <c r="BB307" s="4">
        <f>INDEX(composicoes[],MATCH(95580,composicoes[CÓDIGO],0),MATCH("CUSTO TOTAL",composicoes[#Headers],0))</f>
        <v>10.46</v>
      </c>
      <c r="BC307" s="4">
        <f ca="1">SUM(HC[[#This Row],[Conc Est (m³)]],HC[[#This Row],[Conc Bloco (m³)]])</f>
        <v>59.155704643282633</v>
      </c>
      <c r="BD307" s="4">
        <f>INDEX(composicoes[],MATCH(94966,composicoes[CÓDIGO],0),MATCH("CUSTO TOTAL",composicoes[#Headers],0))</f>
        <v>439.52</v>
      </c>
      <c r="BE307" s="38">
        <f ca="1">HC[[#This Row],[Aço (kg)]]*HC[[#This Row],[Aço (R$/kg)]]+HC[[#This Row],[Conc (m³)]]*HC[[#This Row],[Conc (R$/m³)]]</f>
        <v>29779.441100041699</v>
      </c>
      <c r="BF307" s="4" t="str">
        <f ca="1">IF(COUNTIF(HC[#This Row],"N.S.")&gt;0,"lim.","OK")</f>
        <v>OK</v>
      </c>
      <c r="BG307" s="4" t="str">
        <f>IF(HC[[#This Row],[Prof. (m)]]&lt;4,"lim.","OK")</f>
        <v>OK</v>
      </c>
      <c r="BH307" s="4" t="str">
        <f>IF(HC[[#This Row],[Prof. (m)]]&gt;=8*HC[[#This Row],[Ø (cm)]]/100,"OK","lim.")</f>
        <v>OK</v>
      </c>
      <c r="BI307" s="4" t="str">
        <f ca="1">IF(HC[[#This Row],[Verif. Biela]]="OK","OK","lim.")</f>
        <v>OK</v>
      </c>
      <c r="BJ307" s="4" t="str">
        <f ca="1">IF(COUNTA(HC[[#This Row],[Nº Est.]:[Biela comp.]])=COUNTIF(HC[[#This Row],[Nº Est.]:[Biela comp.]],"OK"),"OK","lim.")</f>
        <v>OK</v>
      </c>
      <c r="BK307" s="4" t="str">
        <f ca="1">IF(HC[[#This Row],[Controle]]="OK",HC[[#This Row],[nE]]&amp;" Ø "&amp;HC[[#This Row],[Ø (cm)]]&amp;" cm, Prof. "&amp;HC[[#This Row],[Prof. (m)]]&amp;" m","")</f>
        <v>3 Ø 100 cm, Prof. 8 m</v>
      </c>
      <c r="BL307" s="4" t="str">
        <f ca="1">IF(HC[[#This Row],[idDimensionamento]]="","",HC[[#This Row],[idPilar]]&amp;HC[[#This Row],[idDimensionamento]])</f>
        <v>23 Ø 100 cm, Prof. 8 m</v>
      </c>
    </row>
    <row r="308" spans="2:64" x14ac:dyDescent="0.25">
      <c r="B308" s="12">
        <f>ROUNDUP((ROW(HC[[#This Row],[idDiâmetro]])-ROW(HC[[#Headers],[idDiâmetro]]))/(COUNT(SPT[Prof. (m)])*COUNT(PILARES[Pilar])),0)</f>
        <v>11</v>
      </c>
      <c r="C308" s="12">
        <f>IF(HC[[#This Row],[idDiâmetro]]&lt;&gt;B307,1,IF(HC[[#This Row],[Prof. (m)]]=0,C307+1,C307))</f>
        <v>2</v>
      </c>
      <c r="D308" s="82">
        <f>IFERROR(IF(D307=MAX(SPT[Prof. (m)]),0,D307+1),0)</f>
        <v>9</v>
      </c>
      <c r="E308" s="82">
        <f>INDEX(SPT[],MATCH(HC[[#This Row],[Prof. (m)]],SPT[Prof. (m)],0),2)</f>
        <v>26</v>
      </c>
      <c r="F308" s="82" t="str">
        <f>INDEX(SPT[],MATCH(HC[[#This Row],[Prof. (m)]],SPT[Prof. (m)],0),3)</f>
        <v>Areia siltosa</v>
      </c>
      <c r="G308" s="82">
        <f>INDEX(estacas[],HC[[#This Row],[idDiâmetro]],MATCH($B$2,estacas[#Headers],0))</f>
        <v>100</v>
      </c>
      <c r="H308" s="82">
        <f>INDEX(estacas[],MATCH(HC[[#This Row],[Ø (cm)]],estacas[Ø HC (cm)],0),MATCH(HC[[#Headers],[Pe HC (kN)]],estacas[#Headers],0))</f>
        <v>5000</v>
      </c>
      <c r="I308" s="4">
        <f>INDEX(K_alpha_C[],MATCH(HC[[#This Row],[Solo]],K_alpha_C[Solo],0),2)</f>
        <v>0.8</v>
      </c>
      <c r="J308" s="5">
        <f>INDEX(K_alpha_C[],MATCH(HC[[#This Row],[Solo]],K_alpha_C[Solo],0),3)</f>
        <v>2</v>
      </c>
      <c r="K308" s="4">
        <f>INDEX(F1_F2[],MATCH($D$2,F1_F2[Tipo de estaca],0),2)</f>
        <v>2</v>
      </c>
      <c r="L308" s="4">
        <f>INDEX(F1_F2[],MATCH($D$2,F1_F2[Tipo de estaca],0),3)</f>
        <v>4</v>
      </c>
      <c r="M308" s="4">
        <f>PI()*(HC[[#This Row],[Ø (cm)]]/100)^2/4</f>
        <v>0.78539816339744828</v>
      </c>
      <c r="N308" s="4">
        <f>PI()*HC[[#This Row],[Ø (cm)]]/100</f>
        <v>3.1415926535897931</v>
      </c>
      <c r="O308" s="4">
        <f>IF(HC[[#This Row],[Prof. (m)]]=0,0,HC[[#This Row],[α (%)]]/100*HC[[#This Row],[K (MPa)]]*1000*HC[[#This Row],[NSPT]])</f>
        <v>416</v>
      </c>
      <c r="P308" s="4">
        <f>IF(HC[[#This Row],[Prof. (m)]]=0,0,(HC[[#This Row],[K (MPa)]]*1000*HC[[#This Row],[NSPT]]/HC[[#This Row],[F1]]*HC[[#This Row],[Ap (m²)]]+HC[[#This Row],[U (m)]]/HC[[#This Row],[F2]]*SUMIFS(HC[(α∙K∙NL∙ΔL)],HC[Prof. (m)],"&lt;="&amp;HC[[#This Row],[Prof. (m)]],HC[idDiâmetro],HC[[#This Row],[idDiâmetro]],HC[idPilar],HC[[#This Row],[idPilar]]))/'DADOS CAP. CARGA'!$D$2)</f>
        <v>4640.0930794439546</v>
      </c>
      <c r="Q308" s="12">
        <f>INDEX(C_alpha_beta[],MATCH(HC[[#This Row],[Solo]],C_alpha_beta[Solo],0),MATCH(HC[[#Headers],[C (kPa)]],C_alpha_beta[#Headers],0))</f>
        <v>400</v>
      </c>
      <c r="R308" s="4">
        <f>INDEX(C_alpha_beta[],MATCH(HC[[#This Row],[Solo]],C_alpha_beta[Solo],0),MATCH(HC[[#Headers],[α ESF]],C_alpha_beta[#Headers],0))</f>
        <v>0.5</v>
      </c>
      <c r="S308" s="4">
        <f>INDEX(C_alpha_beta[],MATCH(HC[[#This Row],[Solo]],C_alpha_beta[Solo],0),MATCH(HC[[#Headers],[β ESF]],C_alpha_beta[#Headers],0))</f>
        <v>0.5</v>
      </c>
      <c r="T308" s="4">
        <f>IF(HC[[#This Row],[Prof. (m)]]=0,0,10*(HC[[#This Row],[NSPT]]/3+1))</f>
        <v>96.666666666666657</v>
      </c>
      <c r="U308" s="4">
        <f>(HC[[#This Row],[α ESF]]*HC[[#This Row],[C (kPa)]]*HC[[#This Row],[NSPT]]*HC[[#This Row],[Ap (m²)]])/'DADOS CAP. CARGA'!$Q$2+(HC[[#This Row],[β ESF]]*SUMIFS(HC[10∙(NL/3+1)],HC[Prof. (m)],"&lt;="&amp;HC[[#This Row],[Prof. (m)]],HC[idDiâmetro],HC[[#This Row],[idDiâmetro]],HC[idPilar],HC[[#This Row],[idPilar]])*HC[[#This Row],[U (m)]])/'DADOS CAP. CARGA'!$S$2</f>
        <v>1348.2668471656195</v>
      </c>
      <c r="V308" s="4">
        <f>IF(SPT!$M$5=1,MIN(HC[[#This Row],[Pe HC (kN)]],HC[[#This Row],[R_AV (kN)]]),IF(SPT!$M$5=2,MIN(HC[[#This Row],[Pe HC (kN)]],HC[[#This Row],[R_DC (kN)]]),MIN(HC[[#This Row],[Pe HC (kN)]],HC[[#This Row],[R_AV (kN)]],HC[[#This Row],[R_DC (kN)]])))</f>
        <v>1348.2668471656195</v>
      </c>
      <c r="W308" s="4">
        <f>INDEX(PILARES[],HC[[#This Row],[idPilar]],MATCH("Carga (kN)",PILARES[#Headers],0))*1.4</f>
        <v>1750</v>
      </c>
      <c r="X308" s="12">
        <f>INDEX(PILARES[],HC[[#This Row],[idPilar]],MATCH(HC[[#Headers],[ap (cm)]],PILARES[#Headers],0))</f>
        <v>50</v>
      </c>
      <c r="Y308" s="12">
        <f>INDEX(PILARES[],HC[[#This Row],[idPilar]],MATCH(HC[[#Headers],[bp (cm)]],PILARES[#Headers],0))</f>
        <v>40</v>
      </c>
      <c r="Z308" s="4">
        <f>SQRT(HC[[#This Row],[ap (cm)]]*HC[[#This Row],[bp (cm)]])</f>
        <v>44.721359549995796</v>
      </c>
      <c r="AA308" s="12">
        <f>HC[[#This Row],[ap (cm)]]*HC[[#This Row],[bp (cm)]]</f>
        <v>2000</v>
      </c>
      <c r="AB308" s="12">
        <f ca="1">IF(HC[[#This Row],[Padm∙ε (kN)]]&gt;=HC[[#This Row],[Padm (kN)]],ROUNDUP(1.05*HC[[#This Row],[Nsd (kN)]]/HC[[#This Row],[Padm (kN)]],0),ROUNDUP(1.05*HC[[#This Row],[Nsd (kN)]]/HC[[#This Row],[Padm (kN)]],0)+1)</f>
        <v>2</v>
      </c>
      <c r="AC308" s="4">
        <f ca="1">IFERROR(IF(HC[[#This Row],[nE]]=1,HC[[#This Row],[Padm (kN)]],HC[[#This Row],[Padm (kN)]]*HC[[#This Row],[nE]]*INDEX(grupoEstacas[],HC[[#This Row],[nE]],MATCH("ε",grupoEstacas[#Headers],0))),"N.S.")</f>
        <v>2528.0003384355368</v>
      </c>
      <c r="AD308" s="4">
        <f ca="1">1.05*HC[[#This Row],[Nsd (kN)]]/(HC[[#This Row],[nE]]*PI()*HC[[#This Row],[Ø (cm)]]^2/4)*10</f>
        <v>1.1697888317254308</v>
      </c>
      <c r="AE308" s="4">
        <f ca="1">IF(HC[[#This Row],[σ (MPa)]]&lt;INDEX(tipoEstaca[],MATCH($D$2,tipoEstaca[TIPO DE ESTACA],0),MATCH("σmáx (MPa)",tipoEstaca[#Headers],0)),0.4%*PI()*HC[[#This Row],[Ø (cm)]]^2/4,"N.S.")</f>
        <v>31.415926535897935</v>
      </c>
      <c r="AF308" s="82">
        <f>INDEX(tipoEstaca[],MATCH($D$2,tipoEstaca[TIPO DE ESTACA],0),MATCH(HC[[#Headers],[Comprimento (m)]],tipoEstaca[#Headers],0))</f>
        <v>4</v>
      </c>
      <c r="AG308" s="5">
        <f ca="1">HC[[#This Row],[As,mín (cm²)]]/100^2*HC[[#This Row],[Comprimento (m)]]*7850</f>
        <v>98.646009322719507</v>
      </c>
      <c r="AH308" s="4">
        <f ca="1">HC[[#This Row],[nE]]*HC[[#This Row],[Prof. (m)]]*HC[[#This Row],[Ap (m²)]]</f>
        <v>14.137166941154069</v>
      </c>
      <c r="AI308" s="82">
        <f ca="1">IF(HC[[#This Row],[nE]]=1,0,MAX(3*HC[[#This Row],[Ø (cm)]],60))</f>
        <v>300</v>
      </c>
      <c r="AJ308" s="82">
        <f ca="1">IF(HC[[#This Row],[nE]]=1,HC[[#This Row],[Ø (cm)]]+2*10,MAX(1.5*HC[[#This Row],[Ø (cm)]],HC[[#This Row],[Ø (cm)]]+15))</f>
        <v>150</v>
      </c>
      <c r="AK308" s="82">
        <f ca="1">alturaUtil(HC[[#This Row],[nE]],HC[[#This Row],[Ø (cm)]],HC[[#This Row],[e (cm)]],HC[[#This Row],[ap,eq (cm)]])</f>
        <v>140</v>
      </c>
      <c r="AL308" s="82">
        <f ca="1">IFERROR(HC[[#This Row],[d (cm)]]+arredondarParaCimaMultiplo5cm(MAX(5,SQRT(PI())/2*HC[[#This Row],[Ø (cm)]]/5)),"N.S.")</f>
        <v>160</v>
      </c>
      <c r="AM308" s="5">
        <f ca="1">alpha(HC[[#This Row],[nE]],HC[[#This Row],[d (cm)]],HC[[#This Row],[e (cm)]],HC[[#This Row],[ap,eq (cm)]])</f>
        <v>45.242551367887152</v>
      </c>
      <c r="AN308" s="35">
        <f ca="1">IFERROR(HC[[#This Row],[Nsd (kN)]]/(HC[[#This Row],[Ap (cm²)]]*SIN(HC[[#This Row],[α]])^2),"N.S.")</f>
        <v>0.96511894174638402</v>
      </c>
      <c r="AO308" s="35">
        <f ca="1">IFERROR(HC[[#This Row],[Nsd (kN)]]/(HC[[#This Row],[nE]]*PI()*HC[[#This Row],[Ø (cm)]]^2/4*SIN(HC[[#This Row],[α]])^2),"N.S.")</f>
        <v>0.12288276020044481</v>
      </c>
      <c r="AP308" s="4">
        <f ca="1">IFERROR(INDEX(grupoEstacas[],HC[[#This Row],[nE]],MATCH("coef. Blévot",grupoEstacas[#Headers],0)),"N.S.")</f>
        <v>1.4</v>
      </c>
      <c r="AQ308" s="35">
        <f ca="1">IFERROR(HC[[#This Row],[coef. Blévot]]*0.9*INDEX(tipoEstaca[],MATCH($D$2,tipoEstaca[TIPO DE ESTACA],0),MATCH("fcd (kN/cm²)",tipoEstaca[#Headers],0)),"N.S.")</f>
        <v>1.4000000000000001</v>
      </c>
      <c r="AR308" s="82" t="str">
        <f ca="1">IF(AND(HC[[#This Row],[cd,b,pil (kN/cm²)]]&lt;=HC[[#This Row],[cd,b,lim (kN/cm²)]],HC[[#This Row],[cd,b,est (kN/cm²)]]&lt;=HC[[#This Row],[cd,b,lim (kN/cm²)]]),"OK","ERRO")</f>
        <v>OK</v>
      </c>
      <c r="AS308" s="4">
        <f ca="1">As_lado(HC[[#This Row],[nE]],HC[[#This Row],[Nsd (kN)]],HC[[#This Row],[d (cm)]],HC[[#This Row],[e (cm)]],HC[[#This Row],[ap,eq (cm)]])</f>
        <v>22.948625062347826</v>
      </c>
      <c r="AT308" s="4">
        <f ca="1">IF(HC[[#This Row],[nE]]=1,HC[[#This Row],[As,lado (cm²)]],IF(HC[[#This Row],[nE]]=2,0.075*2*HC[a (cm)],"N.A."))</f>
        <v>22.5</v>
      </c>
      <c r="AU308" s="4">
        <f ca="1">IFERROR(IF(HC[[#This Row],[nE]]=1,"N.A.",0.2*HC[[#This Row],[As,lado (cm²)]]),"N.S.")</f>
        <v>4.5897250124695654</v>
      </c>
      <c r="AV308" s="4" t="str">
        <f ca="1">As_malha(HC[[#This Row],[nE]],HC[[#This Row],[As,lado (cm²)]],HC[[#This Row],[Nsd (kN)]])</f>
        <v>N.A.</v>
      </c>
      <c r="AW308" s="4" t="str">
        <f ca="1">As_susp_tot(HC[[#This Row],[nE]],HC[[#This Row],[Nsd (kN)]])</f>
        <v>N.A.</v>
      </c>
      <c r="AX308" s="4" t="str">
        <f ca="1">Asp_face(HC[[#This Row],[nE]],HC[[#This Row],[As,lado (cm²)]])</f>
        <v>N.A.</v>
      </c>
      <c r="AY308" s="5">
        <f ca="1">acoBloco(HC[[#This Row],[nE]],HC[[#This Row],[e (cm)]],HC[[#This Row],[a (cm)]],HC[[#This Row],[h (cm)]],HC[[#This Row],[As,lado (cm²)]],HC[[#This Row],[Asp e Asw (cm²/m)]],HC[[#This Row],[As,sup (cm²)]],HC[[#This Row],[As,malha (cm²)]],HC[[#This Row],[As,susp,tot (cm²)]],HC[[#This Row],[Asp,face (cm²)]])</f>
        <v>1613.3556288523898</v>
      </c>
      <c r="AZ308" s="4">
        <f ca="1">concretoBloco(HC[[#This Row],[nE]],HC[[#This Row],[e (cm)]],HC[[#This Row],[a (cm)]],HC[[#This Row],[h (cm)]])</f>
        <v>28.8</v>
      </c>
      <c r="BA308" s="5">
        <f ca="1">SUM(HC[[#This Row],[Aço Est (kg)]],HC[[#This Row],[Aço Bloco (kg)]])</f>
        <v>1712.0016381751093</v>
      </c>
      <c r="BB308" s="4">
        <f>INDEX(composicoes[],MATCH(95580,composicoes[CÓDIGO],0),MATCH("CUSTO TOTAL",composicoes[#Headers],0))</f>
        <v>10.46</v>
      </c>
      <c r="BC308" s="4">
        <f ca="1">SUM(HC[[#This Row],[Conc Est (m³)]],HC[[#This Row],[Conc Bloco (m³)]])</f>
        <v>42.937166941154068</v>
      </c>
      <c r="BD308" s="4">
        <f>INDEX(composicoes[],MATCH(94966,composicoes[CÓDIGO],0),MATCH("CUSTO TOTAL",composicoes[#Headers],0))</f>
        <v>439.52</v>
      </c>
      <c r="BE308" s="38">
        <f ca="1">HC[[#This Row],[Aço (kg)]]*HC[[#This Row],[Aço (R$/kg)]]+HC[[#This Row],[Conc (m³)]]*HC[[#This Row],[Conc (R$/m³)]]</f>
        <v>36779.280749287682</v>
      </c>
      <c r="BF308" s="4" t="str">
        <f ca="1">IF(COUNTIF(HC[#This Row],"N.S.")&gt;0,"lim.","OK")</f>
        <v>OK</v>
      </c>
      <c r="BG308" s="4" t="str">
        <f>IF(HC[[#This Row],[Prof. (m)]]&lt;4,"lim.","OK")</f>
        <v>OK</v>
      </c>
      <c r="BH308" s="4" t="str">
        <f>IF(HC[[#This Row],[Prof. (m)]]&gt;=8*HC[[#This Row],[Ø (cm)]]/100,"OK","lim.")</f>
        <v>OK</v>
      </c>
      <c r="BI308" s="4" t="str">
        <f ca="1">IF(HC[[#This Row],[Verif. Biela]]="OK","OK","lim.")</f>
        <v>OK</v>
      </c>
      <c r="BJ308" s="4" t="str">
        <f ca="1">IF(COUNTA(HC[[#This Row],[Nº Est.]:[Biela comp.]])=COUNTIF(HC[[#This Row],[Nº Est.]:[Biela comp.]],"OK"),"OK","lim.")</f>
        <v>OK</v>
      </c>
      <c r="BK308" s="4" t="str">
        <f ca="1">IF(HC[[#This Row],[Controle]]="OK",HC[[#This Row],[nE]]&amp;" Ø "&amp;HC[[#This Row],[Ø (cm)]]&amp;" cm, Prof. "&amp;HC[[#This Row],[Prof. (m)]]&amp;" m","")</f>
        <v>2 Ø 100 cm, Prof. 9 m</v>
      </c>
      <c r="BL308" s="4" t="str">
        <f ca="1">IF(HC[[#This Row],[idDimensionamento]]="","",HC[[#This Row],[idPilar]]&amp;HC[[#This Row],[idDimensionamento]])</f>
        <v>22 Ø 100 cm, Prof. 9 m</v>
      </c>
    </row>
    <row r="309" spans="2:64" x14ac:dyDescent="0.25">
      <c r="B309" s="12">
        <f>ROUNDUP((ROW(HC[[#This Row],[idDiâmetro]])-ROW(HC[[#Headers],[idDiâmetro]]))/(COUNT(SPT[Prof. (m)])*COUNT(PILARES[Pilar])),0)</f>
        <v>11</v>
      </c>
      <c r="C309" s="12">
        <f>IF(HC[[#This Row],[idDiâmetro]]&lt;&gt;B308,1,IF(HC[[#This Row],[Prof. (m)]]=0,C308+1,C308))</f>
        <v>2</v>
      </c>
      <c r="D309" s="82">
        <f>IFERROR(IF(D308=MAX(SPT[Prof. (m)]),0,D308+1),0)</f>
        <v>10</v>
      </c>
      <c r="E309" s="82">
        <f>INDEX(SPT[],MATCH(HC[[#This Row],[Prof. (m)]],SPT[Prof. (m)],0),2)</f>
        <v>32</v>
      </c>
      <c r="F309" s="82" t="str">
        <f>INDEX(SPT[],MATCH(HC[[#This Row],[Prof. (m)]],SPT[Prof. (m)],0),3)</f>
        <v>Areia siltosa</v>
      </c>
      <c r="G309" s="82">
        <f>INDEX(estacas[],HC[[#This Row],[idDiâmetro]],MATCH($B$2,estacas[#Headers],0))</f>
        <v>100</v>
      </c>
      <c r="H309" s="82">
        <f>INDEX(estacas[],MATCH(HC[[#This Row],[Ø (cm)]],estacas[Ø HC (cm)],0),MATCH(HC[[#Headers],[Pe HC (kN)]],estacas[#Headers],0))</f>
        <v>5000</v>
      </c>
      <c r="I309" s="4">
        <f>INDEX(K_alpha_C[],MATCH(HC[[#This Row],[Solo]],K_alpha_C[Solo],0),2)</f>
        <v>0.8</v>
      </c>
      <c r="J309" s="5">
        <f>INDEX(K_alpha_C[],MATCH(HC[[#This Row],[Solo]],K_alpha_C[Solo],0),3)</f>
        <v>2</v>
      </c>
      <c r="K309" s="4">
        <f>INDEX(F1_F2[],MATCH($D$2,F1_F2[Tipo de estaca],0),2)</f>
        <v>2</v>
      </c>
      <c r="L309" s="4">
        <f>INDEX(F1_F2[],MATCH($D$2,F1_F2[Tipo de estaca],0),3)</f>
        <v>4</v>
      </c>
      <c r="M309" s="4">
        <f>PI()*(HC[[#This Row],[Ø (cm)]]/100)^2/4</f>
        <v>0.78539816339744828</v>
      </c>
      <c r="N309" s="4">
        <f>PI()*HC[[#This Row],[Ø (cm)]]/100</f>
        <v>3.1415926535897931</v>
      </c>
      <c r="O309" s="4">
        <f>IF(HC[[#This Row],[Prof. (m)]]=0,0,HC[[#This Row],[α (%)]]/100*HC[[#This Row],[K (MPa)]]*1000*HC[[#This Row],[NSPT]])</f>
        <v>512</v>
      </c>
      <c r="P309" s="4">
        <f>IF(HC[[#This Row],[Prof. (m)]]=0,0,(HC[[#This Row],[K (MPa)]]*1000*HC[[#This Row],[NSPT]]/HC[[#This Row],[F1]]*HC[[#This Row],[Ap (m²)]]+HC[[#This Row],[U (m)]]/HC[[#This Row],[F2]]*SUMIFS(HC[(α∙K∙NL∙ΔL)],HC[Prof. (m)],"&lt;="&amp;HC[[#This Row],[Prof. (m)]],HC[idDiâmetro],HC[[#This Row],[idDiâmetro]],HC[idPilar],HC[[#This Row],[idPilar]]))/'DADOS CAP. CARGA'!$D$2)</f>
        <v>5783.6328053506395</v>
      </c>
      <c r="Q309" s="12">
        <f>INDEX(C_alpha_beta[],MATCH(HC[[#This Row],[Solo]],C_alpha_beta[Solo],0),MATCH(HC[[#Headers],[C (kPa)]],C_alpha_beta[#Headers],0))</f>
        <v>400</v>
      </c>
      <c r="R309" s="4">
        <f>INDEX(C_alpha_beta[],MATCH(HC[[#This Row],[Solo]],C_alpha_beta[Solo],0),MATCH(HC[[#Headers],[α ESF]],C_alpha_beta[#Headers],0))</f>
        <v>0.5</v>
      </c>
      <c r="S309" s="4">
        <f>INDEX(C_alpha_beta[],MATCH(HC[[#This Row],[Solo]],C_alpha_beta[Solo],0),MATCH(HC[[#Headers],[β ESF]],C_alpha_beta[#Headers],0))</f>
        <v>0.5</v>
      </c>
      <c r="T309" s="4">
        <f>IF(HC[[#This Row],[Prof. (m)]]=0,0,10*(HC[[#This Row],[NSPT]]/3+1))</f>
        <v>116.66666666666666</v>
      </c>
      <c r="U309" s="4">
        <f>(HC[[#This Row],[α ESF]]*HC[[#This Row],[C (kPa)]]*HC[[#This Row],[NSPT]]*HC[[#This Row],[Ap (m²)]])/'DADOS CAP. CARGA'!$Q$2+(HC[[#This Row],[β ESF]]*SUMIFS(HC[10∙(NL/3+1)],HC[Prof. (m)],"&lt;="&amp;HC[[#This Row],[Prof. (m)]],HC[idDiâmetro],HC[[#This Row],[idDiâmetro]],HC[idPilar],HC[[#This Row],[idPilar]])*HC[[#This Row],[U (m)]])/'DADOS CAP. CARGA'!$S$2</f>
        <v>1675.5160819145563</v>
      </c>
      <c r="V309" s="4">
        <f>IF(SPT!$M$5=1,MIN(HC[[#This Row],[Pe HC (kN)]],HC[[#This Row],[R_AV (kN)]]),IF(SPT!$M$5=2,MIN(HC[[#This Row],[Pe HC (kN)]],HC[[#This Row],[R_DC (kN)]]),MIN(HC[[#This Row],[Pe HC (kN)]],HC[[#This Row],[R_AV (kN)]],HC[[#This Row],[R_DC (kN)]])))</f>
        <v>1675.5160819145563</v>
      </c>
      <c r="W309" s="4">
        <f>INDEX(PILARES[],HC[[#This Row],[idPilar]],MATCH("Carga (kN)",PILARES[#Headers],0))*1.4</f>
        <v>1750</v>
      </c>
      <c r="X309" s="12">
        <f>INDEX(PILARES[],HC[[#This Row],[idPilar]],MATCH(HC[[#Headers],[ap (cm)]],PILARES[#Headers],0))</f>
        <v>50</v>
      </c>
      <c r="Y309" s="12">
        <f>INDEX(PILARES[],HC[[#This Row],[idPilar]],MATCH(HC[[#Headers],[bp (cm)]],PILARES[#Headers],0))</f>
        <v>40</v>
      </c>
      <c r="Z309" s="4">
        <f>SQRT(HC[[#This Row],[ap (cm)]]*HC[[#This Row],[bp (cm)]])</f>
        <v>44.721359549995796</v>
      </c>
      <c r="AA309" s="12">
        <f>HC[[#This Row],[ap (cm)]]*HC[[#This Row],[bp (cm)]]</f>
        <v>2000</v>
      </c>
      <c r="AB309" s="12">
        <f ca="1">IF(HC[[#This Row],[Padm∙ε (kN)]]&gt;=HC[[#This Row],[Padm (kN)]],ROUNDUP(1.05*HC[[#This Row],[Nsd (kN)]]/HC[[#This Row],[Padm (kN)]],0),ROUNDUP(1.05*HC[[#This Row],[Nsd (kN)]]/HC[[#This Row],[Padm (kN)]],0)+1)</f>
        <v>2</v>
      </c>
      <c r="AC309" s="4">
        <f ca="1">IFERROR(IF(HC[[#This Row],[nE]]=1,HC[[#This Row],[Padm (kN)]],HC[[#This Row],[Padm (kN)]]*HC[[#This Row],[nE]]*INDEX(grupoEstacas[],HC[[#This Row],[nE]],MATCH("ε",grupoEstacas[#Headers],0))),"N.S.")</f>
        <v>3141.5926535897929</v>
      </c>
      <c r="AD309" s="4">
        <f ca="1">1.05*HC[[#This Row],[Nsd (kN)]]/(HC[[#This Row],[nE]]*PI()*HC[[#This Row],[Ø (cm)]]^2/4)*10</f>
        <v>1.1697888317254308</v>
      </c>
      <c r="AE309" s="4">
        <f ca="1">IF(HC[[#This Row],[σ (MPa)]]&lt;INDEX(tipoEstaca[],MATCH($D$2,tipoEstaca[TIPO DE ESTACA],0),MATCH("σmáx (MPa)",tipoEstaca[#Headers],0)),0.4%*PI()*HC[[#This Row],[Ø (cm)]]^2/4,"N.S.")</f>
        <v>31.415926535897935</v>
      </c>
      <c r="AF309" s="82">
        <f>INDEX(tipoEstaca[],MATCH($D$2,tipoEstaca[TIPO DE ESTACA],0),MATCH(HC[[#Headers],[Comprimento (m)]],tipoEstaca[#Headers],0))</f>
        <v>4</v>
      </c>
      <c r="AG309" s="5">
        <f ca="1">HC[[#This Row],[As,mín (cm²)]]/100^2*HC[[#This Row],[Comprimento (m)]]*7850</f>
        <v>98.646009322719507</v>
      </c>
      <c r="AH309" s="4">
        <f ca="1">HC[[#This Row],[nE]]*HC[[#This Row],[Prof. (m)]]*HC[[#This Row],[Ap (m²)]]</f>
        <v>15.707963267948966</v>
      </c>
      <c r="AI309" s="82">
        <f ca="1">IF(HC[[#This Row],[nE]]=1,0,MAX(3*HC[[#This Row],[Ø (cm)]],60))</f>
        <v>300</v>
      </c>
      <c r="AJ309" s="82">
        <f ca="1">IF(HC[[#This Row],[nE]]=1,HC[[#This Row],[Ø (cm)]]+2*10,MAX(1.5*HC[[#This Row],[Ø (cm)]],HC[[#This Row],[Ø (cm)]]+15))</f>
        <v>150</v>
      </c>
      <c r="AK309" s="82">
        <f ca="1">alturaUtil(HC[[#This Row],[nE]],HC[[#This Row],[Ø (cm)]],HC[[#This Row],[e (cm)]],HC[[#This Row],[ap,eq (cm)]])</f>
        <v>140</v>
      </c>
      <c r="AL309" s="82">
        <f ca="1">IFERROR(HC[[#This Row],[d (cm)]]+arredondarParaCimaMultiplo5cm(MAX(5,SQRT(PI())/2*HC[[#This Row],[Ø (cm)]]/5)),"N.S.")</f>
        <v>160</v>
      </c>
      <c r="AM309" s="5">
        <f ca="1">alpha(HC[[#This Row],[nE]],HC[[#This Row],[d (cm)]],HC[[#This Row],[e (cm)]],HC[[#This Row],[ap,eq (cm)]])</f>
        <v>45.242551367887152</v>
      </c>
      <c r="AN309" s="35">
        <f ca="1">IFERROR(HC[[#This Row],[Nsd (kN)]]/(HC[[#This Row],[Ap (cm²)]]*SIN(HC[[#This Row],[α]])^2),"N.S.")</f>
        <v>0.96511894174638402</v>
      </c>
      <c r="AO309" s="35">
        <f ca="1">IFERROR(HC[[#This Row],[Nsd (kN)]]/(HC[[#This Row],[nE]]*PI()*HC[[#This Row],[Ø (cm)]]^2/4*SIN(HC[[#This Row],[α]])^2),"N.S.")</f>
        <v>0.12288276020044481</v>
      </c>
      <c r="AP309" s="4">
        <f ca="1">IFERROR(INDEX(grupoEstacas[],HC[[#This Row],[nE]],MATCH("coef. Blévot",grupoEstacas[#Headers],0)),"N.S.")</f>
        <v>1.4</v>
      </c>
      <c r="AQ309" s="35">
        <f ca="1">IFERROR(HC[[#This Row],[coef. Blévot]]*0.9*INDEX(tipoEstaca[],MATCH($D$2,tipoEstaca[TIPO DE ESTACA],0),MATCH("fcd (kN/cm²)",tipoEstaca[#Headers],0)),"N.S.")</f>
        <v>1.4000000000000001</v>
      </c>
      <c r="AR309" s="82" t="str">
        <f ca="1">IF(AND(HC[[#This Row],[cd,b,pil (kN/cm²)]]&lt;=HC[[#This Row],[cd,b,lim (kN/cm²)]],HC[[#This Row],[cd,b,est (kN/cm²)]]&lt;=HC[[#This Row],[cd,b,lim (kN/cm²)]]),"OK","ERRO")</f>
        <v>OK</v>
      </c>
      <c r="AS309" s="4">
        <f ca="1">As_lado(HC[[#This Row],[nE]],HC[[#This Row],[Nsd (kN)]],HC[[#This Row],[d (cm)]],HC[[#This Row],[e (cm)]],HC[[#This Row],[ap,eq (cm)]])</f>
        <v>22.948625062347826</v>
      </c>
      <c r="AT309" s="4">
        <f ca="1">IF(HC[[#This Row],[nE]]=1,HC[[#This Row],[As,lado (cm²)]],IF(HC[[#This Row],[nE]]=2,0.075*2*HC[a (cm)],"N.A."))</f>
        <v>22.5</v>
      </c>
      <c r="AU309" s="4">
        <f ca="1">IFERROR(IF(HC[[#This Row],[nE]]=1,"N.A.",0.2*HC[[#This Row],[As,lado (cm²)]]),"N.S.")</f>
        <v>4.5897250124695654</v>
      </c>
      <c r="AV309" s="4" t="str">
        <f ca="1">As_malha(HC[[#This Row],[nE]],HC[[#This Row],[As,lado (cm²)]],HC[[#This Row],[Nsd (kN)]])</f>
        <v>N.A.</v>
      </c>
      <c r="AW309" s="4" t="str">
        <f ca="1">As_susp_tot(HC[[#This Row],[nE]],HC[[#This Row],[Nsd (kN)]])</f>
        <v>N.A.</v>
      </c>
      <c r="AX309" s="4" t="str">
        <f ca="1">Asp_face(HC[[#This Row],[nE]],HC[[#This Row],[As,lado (cm²)]])</f>
        <v>N.A.</v>
      </c>
      <c r="AY309" s="5">
        <f ca="1">acoBloco(HC[[#This Row],[nE]],HC[[#This Row],[e (cm)]],HC[[#This Row],[a (cm)]],HC[[#This Row],[h (cm)]],HC[[#This Row],[As,lado (cm²)]],HC[[#This Row],[Asp e Asw (cm²/m)]],HC[[#This Row],[As,sup (cm²)]],HC[[#This Row],[As,malha (cm²)]],HC[[#This Row],[As,susp,tot (cm²)]],HC[[#This Row],[Asp,face (cm²)]])</f>
        <v>1613.3556288523898</v>
      </c>
      <c r="AZ309" s="4">
        <f ca="1">concretoBloco(HC[[#This Row],[nE]],HC[[#This Row],[e (cm)]],HC[[#This Row],[a (cm)]],HC[[#This Row],[h (cm)]])</f>
        <v>28.8</v>
      </c>
      <c r="BA309" s="5">
        <f ca="1">SUM(HC[[#This Row],[Aço Est (kg)]],HC[[#This Row],[Aço Bloco (kg)]])</f>
        <v>1712.0016381751093</v>
      </c>
      <c r="BB309" s="4">
        <f>INDEX(composicoes[],MATCH(95580,composicoes[CÓDIGO],0),MATCH("CUSTO TOTAL",composicoes[#Headers],0))</f>
        <v>10.46</v>
      </c>
      <c r="BC309" s="4">
        <f ca="1">SUM(HC[[#This Row],[Conc Est (m³)]],HC[[#This Row],[Conc Bloco (m³)]])</f>
        <v>44.507963267948966</v>
      </c>
      <c r="BD309" s="4">
        <f>INDEX(composicoes[],MATCH(94966,composicoes[CÓDIGO],0),MATCH("CUSTO TOTAL",composicoes[#Headers],0))</f>
        <v>439.52</v>
      </c>
      <c r="BE309" s="38">
        <f ca="1">HC[[#This Row],[Aço (kg)]]*HC[[#This Row],[Aço (R$/kg)]]+HC[[#This Row],[Conc (m³)]]*HC[[#This Row],[Conc (R$/m³)]]</f>
        <v>37469.67715084058</v>
      </c>
      <c r="BF309" s="4" t="str">
        <f ca="1">IF(COUNTIF(HC[#This Row],"N.S.")&gt;0,"lim.","OK")</f>
        <v>OK</v>
      </c>
      <c r="BG309" s="4" t="str">
        <f>IF(HC[[#This Row],[Prof. (m)]]&lt;4,"lim.","OK")</f>
        <v>OK</v>
      </c>
      <c r="BH309" s="4" t="str">
        <f>IF(HC[[#This Row],[Prof. (m)]]&gt;=8*HC[[#This Row],[Ø (cm)]]/100,"OK","lim.")</f>
        <v>OK</v>
      </c>
      <c r="BI309" s="4" t="str">
        <f ca="1">IF(HC[[#This Row],[Verif. Biela]]="OK","OK","lim.")</f>
        <v>OK</v>
      </c>
      <c r="BJ309" s="4" t="str">
        <f ca="1">IF(COUNTA(HC[[#This Row],[Nº Est.]:[Biela comp.]])=COUNTIF(HC[[#This Row],[Nº Est.]:[Biela comp.]],"OK"),"OK","lim.")</f>
        <v>OK</v>
      </c>
      <c r="BK309" s="4" t="str">
        <f ca="1">IF(HC[[#This Row],[Controle]]="OK",HC[[#This Row],[nE]]&amp;" Ø "&amp;HC[[#This Row],[Ø (cm)]]&amp;" cm, Prof. "&amp;HC[[#This Row],[Prof. (m)]]&amp;" m","")</f>
        <v>2 Ø 100 cm, Prof. 10 m</v>
      </c>
      <c r="BL309" s="4" t="str">
        <f ca="1">IF(HC[[#This Row],[idDimensionamento]]="","",HC[[#This Row],[idPilar]]&amp;HC[[#This Row],[idDimensionamento]])</f>
        <v>22 Ø 100 cm, Prof. 10 m</v>
      </c>
    </row>
    <row r="310" spans="2:64" x14ac:dyDescent="0.25">
      <c r="B310" s="12">
        <f>ROUNDUP((ROW(HC[[#This Row],[idDiâmetro]])-ROW(HC[[#Headers],[idDiâmetro]]))/(COUNT(SPT[Prof. (m)])*COUNT(PILARES[Pilar])),0)</f>
        <v>11</v>
      </c>
      <c r="C310" s="12">
        <f>IF(HC[[#This Row],[idDiâmetro]]&lt;&gt;B309,1,IF(HC[[#This Row],[Prof. (m)]]=0,C309+1,C309))</f>
        <v>2</v>
      </c>
      <c r="D310" s="82">
        <f>IFERROR(IF(D309=MAX(SPT[Prof. (m)]),0,D309+1),0)</f>
        <v>11</v>
      </c>
      <c r="E310" s="82">
        <f>INDEX(SPT[],MATCH(HC[[#This Row],[Prof. (m)]],SPT[Prof. (m)],0),2)</f>
        <v>41</v>
      </c>
      <c r="F310" s="82" t="str">
        <f>INDEX(SPT[],MATCH(HC[[#This Row],[Prof. (m)]],SPT[Prof. (m)],0),3)</f>
        <v>Areia siltosa</v>
      </c>
      <c r="G310" s="82">
        <f>INDEX(estacas[],HC[[#This Row],[idDiâmetro]],MATCH($B$2,estacas[#Headers],0))</f>
        <v>100</v>
      </c>
      <c r="H310" s="82">
        <f>INDEX(estacas[],MATCH(HC[[#This Row],[Ø (cm)]],estacas[Ø HC (cm)],0),MATCH(HC[[#Headers],[Pe HC (kN)]],estacas[#Headers],0))</f>
        <v>5000</v>
      </c>
      <c r="I310" s="4">
        <f>INDEX(K_alpha_C[],MATCH(HC[[#This Row],[Solo]],K_alpha_C[Solo],0),2)</f>
        <v>0.8</v>
      </c>
      <c r="J310" s="5">
        <f>INDEX(K_alpha_C[],MATCH(HC[[#This Row],[Solo]],K_alpha_C[Solo],0),3)</f>
        <v>2</v>
      </c>
      <c r="K310" s="4">
        <f>INDEX(F1_F2[],MATCH($D$2,F1_F2[Tipo de estaca],0),2)</f>
        <v>2</v>
      </c>
      <c r="L310" s="4">
        <f>INDEX(F1_F2[],MATCH($D$2,F1_F2[Tipo de estaca],0),3)</f>
        <v>4</v>
      </c>
      <c r="M310" s="4">
        <f>PI()*(HC[[#This Row],[Ø (cm)]]/100)^2/4</f>
        <v>0.78539816339744828</v>
      </c>
      <c r="N310" s="4">
        <f>PI()*HC[[#This Row],[Ø (cm)]]/100</f>
        <v>3.1415926535897931</v>
      </c>
      <c r="O310" s="4">
        <f>IF(HC[[#This Row],[Prof. (m)]]=0,0,HC[[#This Row],[α (%)]]/100*HC[[#This Row],[K (MPa)]]*1000*HC[[#This Row],[NSPT]])</f>
        <v>656</v>
      </c>
      <c r="P310" s="4">
        <f>IF(HC[[#This Row],[Prof. (m)]]=0,0,(HC[[#This Row],[K (MPa)]]*1000*HC[[#This Row],[NSPT]]/HC[[#This Row],[F1]]*HC[[#This Row],[Ap (m²)]]+HC[[#This Row],[U (m)]]/HC[[#This Row],[F2]]*SUMIFS(HC[(α∙K∙NL∙ΔL)],HC[Prof. (m)],"&lt;="&amp;HC[[#This Row],[Prof. (m)]],HC[idDiâmetro],HC[[#This Row],[idDiâmetro]],HC[idPilar],HC[[#This Row],[idPilar]]))/'DADOS CAP. CARGA'!$D$2)</f>
        <v>7454.9600970604088</v>
      </c>
      <c r="Q310" s="12">
        <f>INDEX(C_alpha_beta[],MATCH(HC[[#This Row],[Solo]],C_alpha_beta[Solo],0),MATCH(HC[[#Headers],[C (kPa)]],C_alpha_beta[#Headers],0))</f>
        <v>400</v>
      </c>
      <c r="R310" s="4">
        <f>INDEX(C_alpha_beta[],MATCH(HC[[#This Row],[Solo]],C_alpha_beta[Solo],0),MATCH(HC[[#Headers],[α ESF]],C_alpha_beta[#Headers],0))</f>
        <v>0.5</v>
      </c>
      <c r="S310" s="4">
        <f>INDEX(C_alpha_beta[],MATCH(HC[[#This Row],[Solo]],C_alpha_beta[Solo],0),MATCH(HC[[#Headers],[β ESF]],C_alpha_beta[#Headers],0))</f>
        <v>0.5</v>
      </c>
      <c r="T310" s="4">
        <f>IF(HC[[#This Row],[Prof. (m)]]=0,0,10*(HC[[#This Row],[NSPT]]/3+1))</f>
        <v>146.66666666666666</v>
      </c>
      <c r="U310" s="4">
        <f>(HC[[#This Row],[α ESF]]*HC[[#This Row],[C (kPa)]]*HC[[#This Row],[NSPT]]*HC[[#This Row],[Ap (m²)]])/'DADOS CAP. CARGA'!$Q$2+(HC[[#This Row],[β ESF]]*SUMIFS(HC[10∙(NL/3+1)],HC[Prof. (m)],"&lt;="&amp;HC[[#This Row],[Prof. (m)]],HC[idDiâmetro],HC[[#This Row],[idDiâmetro]],HC[idPilar],HC[[#This Row],[idPilar]])*HC[[#This Row],[U (m)]])/'DADOS CAP. CARGA'!$S$2</f>
        <v>2144.1369860750337</v>
      </c>
      <c r="V310" s="4">
        <f>IF(SPT!$M$5=1,MIN(HC[[#This Row],[Pe HC (kN)]],HC[[#This Row],[R_AV (kN)]]),IF(SPT!$M$5=2,MIN(HC[[#This Row],[Pe HC (kN)]],HC[[#This Row],[R_DC (kN)]]),MIN(HC[[#This Row],[Pe HC (kN)]],HC[[#This Row],[R_AV (kN)]],HC[[#This Row],[R_DC (kN)]])))</f>
        <v>2144.1369860750337</v>
      </c>
      <c r="W310" s="4">
        <f>INDEX(PILARES[],HC[[#This Row],[idPilar]],MATCH("Carga (kN)",PILARES[#Headers],0))*1.4</f>
        <v>1750</v>
      </c>
      <c r="X310" s="12">
        <f>INDEX(PILARES[],HC[[#This Row],[idPilar]],MATCH(HC[[#Headers],[ap (cm)]],PILARES[#Headers],0))</f>
        <v>50</v>
      </c>
      <c r="Y310" s="12">
        <f>INDEX(PILARES[],HC[[#This Row],[idPilar]],MATCH(HC[[#Headers],[bp (cm)]],PILARES[#Headers],0))</f>
        <v>40</v>
      </c>
      <c r="Z310" s="4">
        <f>SQRT(HC[[#This Row],[ap (cm)]]*HC[[#This Row],[bp (cm)]])</f>
        <v>44.721359549995796</v>
      </c>
      <c r="AA310" s="12">
        <f>HC[[#This Row],[ap (cm)]]*HC[[#This Row],[bp (cm)]]</f>
        <v>2000</v>
      </c>
      <c r="AB310" s="12">
        <f ca="1">IF(HC[[#This Row],[Padm∙ε (kN)]]&gt;=HC[[#This Row],[Padm (kN)]],ROUNDUP(1.05*HC[[#This Row],[Nsd (kN)]]/HC[[#This Row],[Padm (kN)]],0),ROUNDUP(1.05*HC[[#This Row],[Nsd (kN)]]/HC[[#This Row],[Padm (kN)]],0)+1)</f>
        <v>1</v>
      </c>
      <c r="AC310" s="4">
        <f ca="1">IFERROR(IF(HC[[#This Row],[nE]]=1,HC[[#This Row],[Padm (kN)]],HC[[#This Row],[Padm (kN)]]*HC[[#This Row],[nE]]*INDEX(grupoEstacas[],HC[[#This Row],[nE]],MATCH("ε",grupoEstacas[#Headers],0))),"N.S.")</f>
        <v>2144.1369860750337</v>
      </c>
      <c r="AD310" s="4">
        <f ca="1">1.05*HC[[#This Row],[Nsd (kN)]]/(HC[[#This Row],[nE]]*PI()*HC[[#This Row],[Ø (cm)]]^2/4)*10</f>
        <v>2.3395776634508616</v>
      </c>
      <c r="AE310" s="4">
        <f ca="1">IF(HC[[#This Row],[σ (MPa)]]&lt;INDEX(tipoEstaca[],MATCH($D$2,tipoEstaca[TIPO DE ESTACA],0),MATCH("σmáx (MPa)",tipoEstaca[#Headers],0)),0.4%*PI()*HC[[#This Row],[Ø (cm)]]^2/4,"N.S.")</f>
        <v>31.415926535897935</v>
      </c>
      <c r="AF310" s="82">
        <f>INDEX(tipoEstaca[],MATCH($D$2,tipoEstaca[TIPO DE ESTACA],0),MATCH(HC[[#Headers],[Comprimento (m)]],tipoEstaca[#Headers],0))</f>
        <v>4</v>
      </c>
      <c r="AG310" s="5">
        <f ca="1">HC[[#This Row],[As,mín (cm²)]]/100^2*HC[[#This Row],[Comprimento (m)]]*7850</f>
        <v>98.646009322719507</v>
      </c>
      <c r="AH310" s="4">
        <f ca="1">HC[[#This Row],[nE]]*HC[[#This Row],[Prof. (m)]]*HC[[#This Row],[Ap (m²)]]</f>
        <v>8.6393797973719302</v>
      </c>
      <c r="AI310" s="82">
        <f ca="1">IF(HC[[#This Row],[nE]]=1,0,MAX(3*HC[[#This Row],[Ø (cm)]],60))</f>
        <v>0</v>
      </c>
      <c r="AJ310" s="82">
        <f ca="1">IF(HC[[#This Row],[nE]]=1,HC[[#This Row],[Ø (cm)]]+2*10,MAX(1.5*HC[[#This Row],[Ø (cm)]],HC[[#This Row],[Ø (cm)]]+15))</f>
        <v>120</v>
      </c>
      <c r="AK310" s="82">
        <f ca="1">alturaUtil(HC[[#This Row],[nE]],HC[[#This Row],[Ø (cm)]],HC[[#This Row],[e (cm)]],HC[[#This Row],[ap,eq (cm)]])</f>
        <v>120</v>
      </c>
      <c r="AL310" s="82">
        <f ca="1">IFERROR(HC[[#This Row],[d (cm)]]+arredondarParaCimaMultiplo5cm(MAX(5,SQRT(PI())/2*HC[[#This Row],[Ø (cm)]]/5)),"N.S.")</f>
        <v>140</v>
      </c>
      <c r="AM310" s="5">
        <f ca="1">alpha(HC[[#This Row],[nE]],HC[[#This Row],[d (cm)]],HC[[#This Row],[e (cm)]],HC[[#This Row],[ap,eq (cm)]])</f>
        <v>90</v>
      </c>
      <c r="AN310" s="35">
        <f ca="1">IFERROR(HC[[#This Row],[Nsd (kN)]]/(HC[[#This Row],[Ap (cm²)]]*SIN(HC[[#This Row],[α]])^2),"N.S.")</f>
        <v>1.0948037013095111</v>
      </c>
      <c r="AO310" s="35">
        <f ca="1">IFERROR(HC[[#This Row],[Nsd (kN)]]/(HC[[#This Row],[nE]]*PI()*HC[[#This Row],[Ø (cm)]]^2/4*SIN(HC[[#This Row],[α]])^2),"N.S.")</f>
        <v>0.27878947324593861</v>
      </c>
      <c r="AP310" s="4">
        <f ca="1">IFERROR(INDEX(grupoEstacas[],HC[[#This Row],[nE]],MATCH("coef. Blévot",grupoEstacas[#Headers],0)),"N.S.")</f>
        <v>1</v>
      </c>
      <c r="AQ310" s="35">
        <f ca="1">IFERROR(HC[[#This Row],[coef. Blévot]]*0.9*INDEX(tipoEstaca[],MATCH($D$2,tipoEstaca[TIPO DE ESTACA],0),MATCH("fcd (kN/cm²)",tipoEstaca[#Headers],0)),"N.S.")</f>
        <v>1</v>
      </c>
      <c r="AR310" s="82" t="str">
        <f ca="1">IF(AND(HC[[#This Row],[cd,b,pil (kN/cm²)]]&lt;=HC[[#This Row],[cd,b,lim (kN/cm²)]],HC[[#This Row],[cd,b,est (kN/cm²)]]&lt;=HC[[#This Row],[cd,b,lim (kN/cm²)]]),"OK","ERRO")</f>
        <v>ERRO</v>
      </c>
      <c r="AS310" s="4">
        <f ca="1">As_lado(HC[[#This Row],[nE]],HC[[#This Row],[Nsd (kN)]],HC[[#This Row],[d (cm)]],HC[[#This Row],[e (cm)]],HC[[#This Row],[ap,eq (cm)]])</f>
        <v>10.0625</v>
      </c>
      <c r="AT310" s="4">
        <f ca="1">IF(HC[[#This Row],[nE]]=1,HC[[#This Row],[As,lado (cm²)]],IF(HC[[#This Row],[nE]]=2,0.075*2*HC[a (cm)],"N.A."))</f>
        <v>10.0625</v>
      </c>
      <c r="AU310" s="4" t="str">
        <f ca="1">IFERROR(IF(HC[[#This Row],[nE]]=1,"N.A.",0.2*HC[[#This Row],[As,lado (cm²)]]),"N.S.")</f>
        <v>N.A.</v>
      </c>
      <c r="AV310" s="4" t="str">
        <f ca="1">As_malha(HC[[#This Row],[nE]],HC[[#This Row],[As,lado (cm²)]],HC[[#This Row],[Nsd (kN)]])</f>
        <v>N.A.</v>
      </c>
      <c r="AW310" s="4" t="str">
        <f ca="1">As_susp_tot(HC[[#This Row],[nE]],HC[[#This Row],[Nsd (kN)]])</f>
        <v>N.A.</v>
      </c>
      <c r="AX310" s="4" t="str">
        <f ca="1">Asp_face(HC[[#This Row],[nE]],HC[[#This Row],[As,lado (cm²)]])</f>
        <v>N.A.</v>
      </c>
      <c r="AY310" s="5">
        <f ca="1">acoBloco(HC[[#This Row],[nE]],HC[[#This Row],[e (cm)]],HC[[#This Row],[a (cm)]],HC[[#This Row],[h (cm)]],HC[[#This Row],[As,lado (cm²)]],HC[[#This Row],[Asp e Asw (cm²/m)]],HC[[#This Row],[As,sup (cm²)]],HC[[#This Row],[As,malha (cm²)]],HC[[#This Row],[As,susp,tot (cm²)]],HC[[#This Row],[Asp,face (cm²)]])</f>
        <v>120.06574999999999</v>
      </c>
      <c r="AZ310" s="4">
        <f ca="1">concretoBloco(HC[[#This Row],[nE]],HC[[#This Row],[e (cm)]],HC[[#This Row],[a (cm)]],HC[[#This Row],[h (cm)]])</f>
        <v>2.016</v>
      </c>
      <c r="BA310" s="5">
        <f ca="1">SUM(HC[[#This Row],[Aço Est (kg)]],HC[[#This Row],[Aço Bloco (kg)]])</f>
        <v>218.7117593227195</v>
      </c>
      <c r="BB310" s="4">
        <f>INDEX(composicoes[],MATCH(95580,composicoes[CÓDIGO],0),MATCH("CUSTO TOTAL",composicoes[#Headers],0))</f>
        <v>10.46</v>
      </c>
      <c r="BC310" s="4">
        <f ca="1">SUM(HC[[#This Row],[Conc Est (m³)]],HC[[#This Row],[Conc Bloco (m³)]])</f>
        <v>10.65537979737193</v>
      </c>
      <c r="BD310" s="4">
        <f>INDEX(composicoes[],MATCH(94966,composicoes[CÓDIGO],0),MATCH("CUSTO TOTAL",composicoes[#Headers],0))</f>
        <v>439.52</v>
      </c>
      <c r="BE310" s="38">
        <f ca="1">HC[[#This Row],[Aço (kg)]]*HC[[#This Row],[Aço (R$/kg)]]+HC[[#This Row],[Conc (m³)]]*HC[[#This Row],[Conc (R$/m³)]]</f>
        <v>6970.9775310565565</v>
      </c>
      <c r="BF310" s="4" t="str">
        <f ca="1">IF(COUNTIF(HC[#This Row],"N.S.")&gt;0,"lim.","OK")</f>
        <v>OK</v>
      </c>
      <c r="BG310" s="4" t="str">
        <f>IF(HC[[#This Row],[Prof. (m)]]&lt;4,"lim.","OK")</f>
        <v>OK</v>
      </c>
      <c r="BH310" s="4" t="str">
        <f>IF(HC[[#This Row],[Prof. (m)]]&gt;=8*HC[[#This Row],[Ø (cm)]]/100,"OK","lim.")</f>
        <v>OK</v>
      </c>
      <c r="BI310" s="4" t="str">
        <f ca="1">IF(HC[[#This Row],[Verif. Biela]]="OK","OK","lim.")</f>
        <v>lim.</v>
      </c>
      <c r="BJ310" s="4" t="str">
        <f ca="1">IF(COUNTA(HC[[#This Row],[Nº Est.]:[Biela comp.]])=COUNTIF(HC[[#This Row],[Nº Est.]:[Biela comp.]],"OK"),"OK","lim.")</f>
        <v>lim.</v>
      </c>
      <c r="BK310" s="4" t="str">
        <f ca="1">IF(HC[[#This Row],[Controle]]="OK",HC[[#This Row],[nE]]&amp;" Ø "&amp;HC[[#This Row],[Ø (cm)]]&amp;" cm, Prof. "&amp;HC[[#This Row],[Prof. (m)]]&amp;" m","")</f>
        <v/>
      </c>
      <c r="BL310" s="4" t="str">
        <f ca="1">IF(HC[[#This Row],[idDimensionamento]]="","",HC[[#This Row],[idPilar]]&amp;HC[[#This Row],[idDimensionamento]])</f>
        <v/>
      </c>
    </row>
    <row r="311" spans="2:64" x14ac:dyDescent="0.25">
      <c r="B311" s="12">
        <f>ROUNDUP((ROW(HC[[#This Row],[idDiâmetro]])-ROW(HC[[#Headers],[idDiâmetro]]))/(COUNT(SPT[Prof. (m)])*COUNT(PILARES[Pilar])),0)</f>
        <v>11</v>
      </c>
      <c r="C311" s="12">
        <f>IF(HC[[#This Row],[idDiâmetro]]&lt;&gt;B310,1,IF(HC[[#This Row],[Prof. (m)]]=0,C310+1,C310))</f>
        <v>2</v>
      </c>
      <c r="D311" s="82">
        <f>IFERROR(IF(D310=MAX(SPT[Prof. (m)]),0,D310+1),0)</f>
        <v>12</v>
      </c>
      <c r="E311" s="82">
        <f>INDEX(SPT[],MATCH(HC[[#This Row],[Prof. (m)]],SPT[Prof. (m)],0),2)</f>
        <v>52</v>
      </c>
      <c r="F311" s="82" t="str">
        <f>INDEX(SPT[],MATCH(HC[[#This Row],[Prof. (m)]],SPT[Prof. (m)],0),3)</f>
        <v>Areia siltosa</v>
      </c>
      <c r="G311" s="82">
        <f>INDEX(estacas[],HC[[#This Row],[idDiâmetro]],MATCH($B$2,estacas[#Headers],0))</f>
        <v>100</v>
      </c>
      <c r="H311" s="82">
        <f>INDEX(estacas[],MATCH(HC[[#This Row],[Ø (cm)]],estacas[Ø HC (cm)],0),MATCH(HC[[#Headers],[Pe HC (kN)]],estacas[#Headers],0))</f>
        <v>5000</v>
      </c>
      <c r="I311" s="4">
        <f>INDEX(K_alpha_C[],MATCH(HC[[#This Row],[Solo]],K_alpha_C[Solo],0),2)</f>
        <v>0.8</v>
      </c>
      <c r="J311" s="5">
        <f>INDEX(K_alpha_C[],MATCH(HC[[#This Row],[Solo]],K_alpha_C[Solo],0),3)</f>
        <v>2</v>
      </c>
      <c r="K311" s="4">
        <f>INDEX(F1_F2[],MATCH($D$2,F1_F2[Tipo de estaca],0),2)</f>
        <v>2</v>
      </c>
      <c r="L311" s="4">
        <f>INDEX(F1_F2[],MATCH($D$2,F1_F2[Tipo de estaca],0),3)</f>
        <v>4</v>
      </c>
      <c r="M311" s="4">
        <f>PI()*(HC[[#This Row],[Ø (cm)]]/100)^2/4</f>
        <v>0.78539816339744828</v>
      </c>
      <c r="N311" s="4">
        <f>PI()*HC[[#This Row],[Ø (cm)]]/100</f>
        <v>3.1415926535897931</v>
      </c>
      <c r="O311" s="4">
        <f>IF(HC[[#This Row],[Prof. (m)]]=0,0,HC[[#This Row],[α (%)]]/100*HC[[#This Row],[K (MPa)]]*1000*HC[[#This Row],[NSPT]])</f>
        <v>832</v>
      </c>
      <c r="P311" s="4">
        <f>IF(HC[[#This Row],[Prof. (m)]]=0,0,(HC[[#This Row],[K (MPa)]]*1000*HC[[#This Row],[NSPT]]/HC[[#This Row],[F1]]*HC[[#This Row],[Ap (m²)]]+HC[[#This Row],[U (m)]]/HC[[#This Row],[F2]]*SUMIFS(HC[(α∙K∙NL∙ΔL)],HC[Prof. (m)],"&lt;="&amp;HC[[#This Row],[Prof. (m)]],HC[idDiâmetro],HC[[#This Row],[idDiâmetro]],HC[idPilar],HC[[#This Row],[idPilar]]))/'DADOS CAP. CARGA'!$D$2)</f>
        <v>9509.561692508134</v>
      </c>
      <c r="Q311" s="12">
        <f>INDEX(C_alpha_beta[],MATCH(HC[[#This Row],[Solo]],C_alpha_beta[Solo],0),MATCH(HC[[#Headers],[C (kPa)]],C_alpha_beta[#Headers],0))</f>
        <v>400</v>
      </c>
      <c r="R311" s="4">
        <f>INDEX(C_alpha_beta[],MATCH(HC[[#This Row],[Solo]],C_alpha_beta[Solo],0),MATCH(HC[[#Headers],[α ESF]],C_alpha_beta[#Headers],0))</f>
        <v>0.5</v>
      </c>
      <c r="S311" s="4">
        <f>INDEX(C_alpha_beta[],MATCH(HC[[#This Row],[Solo]],C_alpha_beta[Solo],0),MATCH(HC[[#Headers],[β ESF]],C_alpha_beta[#Headers],0))</f>
        <v>0.5</v>
      </c>
      <c r="T311" s="4">
        <f>IF(HC[[#This Row],[Prof. (m)]]=0,0,10*(HC[[#This Row],[NSPT]]/3+1))</f>
        <v>183.33333333333331</v>
      </c>
      <c r="U311" s="4">
        <f>(HC[[#This Row],[α ESF]]*HC[[#This Row],[C (kPa)]]*HC[[#This Row],[NSPT]]*HC[[#This Row],[Ap (m²)]])/'DADOS CAP. CARGA'!$Q$2+(HC[[#This Row],[β ESF]]*SUMIFS(HC[10∙(NL/3+1)],HC[Prof. (m)],"&lt;="&amp;HC[[#This Row],[Prof. (m)]],HC[idDiâmetro],HC[[#This Row],[idDiâmetro]],HC[idPilar],HC[[#This Row],[idPilar]])*HC[[#This Row],[U (m)]])/'DADOS CAP. CARGA'!$S$2</f>
        <v>2720.0956392331623</v>
      </c>
      <c r="V311" s="4">
        <f>IF(SPT!$M$5=1,MIN(HC[[#This Row],[Pe HC (kN)]],HC[[#This Row],[R_AV (kN)]]),IF(SPT!$M$5=2,MIN(HC[[#This Row],[Pe HC (kN)]],HC[[#This Row],[R_DC (kN)]]),MIN(HC[[#This Row],[Pe HC (kN)]],HC[[#This Row],[R_AV (kN)]],HC[[#This Row],[R_DC (kN)]])))</f>
        <v>2720.0956392331623</v>
      </c>
      <c r="W311" s="4">
        <f>INDEX(PILARES[],HC[[#This Row],[idPilar]],MATCH("Carga (kN)",PILARES[#Headers],0))*1.4</f>
        <v>1750</v>
      </c>
      <c r="X311" s="12">
        <f>INDEX(PILARES[],HC[[#This Row],[idPilar]],MATCH(HC[[#Headers],[ap (cm)]],PILARES[#Headers],0))</f>
        <v>50</v>
      </c>
      <c r="Y311" s="12">
        <f>INDEX(PILARES[],HC[[#This Row],[idPilar]],MATCH(HC[[#Headers],[bp (cm)]],PILARES[#Headers],0))</f>
        <v>40</v>
      </c>
      <c r="Z311" s="4">
        <f>SQRT(HC[[#This Row],[ap (cm)]]*HC[[#This Row],[bp (cm)]])</f>
        <v>44.721359549995796</v>
      </c>
      <c r="AA311" s="12">
        <f>HC[[#This Row],[ap (cm)]]*HC[[#This Row],[bp (cm)]]</f>
        <v>2000</v>
      </c>
      <c r="AB311" s="12">
        <f ca="1">IF(HC[[#This Row],[Padm∙ε (kN)]]&gt;=HC[[#This Row],[Padm (kN)]],ROUNDUP(1.05*HC[[#This Row],[Nsd (kN)]]/HC[[#This Row],[Padm (kN)]],0),ROUNDUP(1.05*HC[[#This Row],[Nsd (kN)]]/HC[[#This Row],[Padm (kN)]],0)+1)</f>
        <v>1</v>
      </c>
      <c r="AC311" s="4">
        <f ca="1">IFERROR(IF(HC[[#This Row],[nE]]=1,HC[[#This Row],[Padm (kN)]],HC[[#This Row],[Padm (kN)]]*HC[[#This Row],[nE]]*INDEX(grupoEstacas[],HC[[#This Row],[nE]],MATCH("ε",grupoEstacas[#Headers],0))),"N.S.")</f>
        <v>2720.0956392331623</v>
      </c>
      <c r="AD311" s="4">
        <f ca="1">1.05*HC[[#This Row],[Nsd (kN)]]/(HC[[#This Row],[nE]]*PI()*HC[[#This Row],[Ø (cm)]]^2/4)*10</f>
        <v>2.3395776634508616</v>
      </c>
      <c r="AE311" s="4">
        <f ca="1">IF(HC[[#This Row],[σ (MPa)]]&lt;INDEX(tipoEstaca[],MATCH($D$2,tipoEstaca[TIPO DE ESTACA],0),MATCH("σmáx (MPa)",tipoEstaca[#Headers],0)),0.4%*PI()*HC[[#This Row],[Ø (cm)]]^2/4,"N.S.")</f>
        <v>31.415926535897935</v>
      </c>
      <c r="AF311" s="82">
        <f>INDEX(tipoEstaca[],MATCH($D$2,tipoEstaca[TIPO DE ESTACA],0),MATCH(HC[[#Headers],[Comprimento (m)]],tipoEstaca[#Headers],0))</f>
        <v>4</v>
      </c>
      <c r="AG311" s="5">
        <f ca="1">HC[[#This Row],[As,mín (cm²)]]/100^2*HC[[#This Row],[Comprimento (m)]]*7850</f>
        <v>98.646009322719507</v>
      </c>
      <c r="AH311" s="4">
        <f ca="1">HC[[#This Row],[nE]]*HC[[#This Row],[Prof. (m)]]*HC[[#This Row],[Ap (m²)]]</f>
        <v>9.4247779607693793</v>
      </c>
      <c r="AI311" s="82">
        <f ca="1">IF(HC[[#This Row],[nE]]=1,0,MAX(3*HC[[#This Row],[Ø (cm)]],60))</f>
        <v>0</v>
      </c>
      <c r="AJ311" s="82">
        <f ca="1">IF(HC[[#This Row],[nE]]=1,HC[[#This Row],[Ø (cm)]]+2*10,MAX(1.5*HC[[#This Row],[Ø (cm)]],HC[[#This Row],[Ø (cm)]]+15))</f>
        <v>120</v>
      </c>
      <c r="AK311" s="82">
        <f ca="1">alturaUtil(HC[[#This Row],[nE]],HC[[#This Row],[Ø (cm)]],HC[[#This Row],[e (cm)]],HC[[#This Row],[ap,eq (cm)]])</f>
        <v>120</v>
      </c>
      <c r="AL311" s="82">
        <f ca="1">IFERROR(HC[[#This Row],[d (cm)]]+arredondarParaCimaMultiplo5cm(MAX(5,SQRT(PI())/2*HC[[#This Row],[Ø (cm)]]/5)),"N.S.")</f>
        <v>140</v>
      </c>
      <c r="AM311" s="5">
        <f ca="1">alpha(HC[[#This Row],[nE]],HC[[#This Row],[d (cm)]],HC[[#This Row],[e (cm)]],HC[[#This Row],[ap,eq (cm)]])</f>
        <v>90</v>
      </c>
      <c r="AN311" s="35">
        <f ca="1">IFERROR(HC[[#This Row],[Nsd (kN)]]/(HC[[#This Row],[Ap (cm²)]]*SIN(HC[[#This Row],[α]])^2),"N.S.")</f>
        <v>1.0948037013095111</v>
      </c>
      <c r="AO311" s="35">
        <f ca="1">IFERROR(HC[[#This Row],[Nsd (kN)]]/(HC[[#This Row],[nE]]*PI()*HC[[#This Row],[Ø (cm)]]^2/4*SIN(HC[[#This Row],[α]])^2),"N.S.")</f>
        <v>0.27878947324593861</v>
      </c>
      <c r="AP311" s="4">
        <f ca="1">IFERROR(INDEX(grupoEstacas[],HC[[#This Row],[nE]],MATCH("coef. Blévot",grupoEstacas[#Headers],0)),"N.S.")</f>
        <v>1</v>
      </c>
      <c r="AQ311" s="35">
        <f ca="1">IFERROR(HC[[#This Row],[coef. Blévot]]*0.9*INDEX(tipoEstaca[],MATCH($D$2,tipoEstaca[TIPO DE ESTACA],0),MATCH("fcd (kN/cm²)",tipoEstaca[#Headers],0)),"N.S.")</f>
        <v>1</v>
      </c>
      <c r="AR311" s="82" t="str">
        <f ca="1">IF(AND(HC[[#This Row],[cd,b,pil (kN/cm²)]]&lt;=HC[[#This Row],[cd,b,lim (kN/cm²)]],HC[[#This Row],[cd,b,est (kN/cm²)]]&lt;=HC[[#This Row],[cd,b,lim (kN/cm²)]]),"OK","ERRO")</f>
        <v>ERRO</v>
      </c>
      <c r="AS311" s="4">
        <f ca="1">As_lado(HC[[#This Row],[nE]],HC[[#This Row],[Nsd (kN)]],HC[[#This Row],[d (cm)]],HC[[#This Row],[e (cm)]],HC[[#This Row],[ap,eq (cm)]])</f>
        <v>10.0625</v>
      </c>
      <c r="AT311" s="4">
        <f ca="1">IF(HC[[#This Row],[nE]]=1,HC[[#This Row],[As,lado (cm²)]],IF(HC[[#This Row],[nE]]=2,0.075*2*HC[a (cm)],"N.A."))</f>
        <v>10.0625</v>
      </c>
      <c r="AU311" s="4" t="str">
        <f ca="1">IFERROR(IF(HC[[#This Row],[nE]]=1,"N.A.",0.2*HC[[#This Row],[As,lado (cm²)]]),"N.S.")</f>
        <v>N.A.</v>
      </c>
      <c r="AV311" s="4" t="str">
        <f ca="1">As_malha(HC[[#This Row],[nE]],HC[[#This Row],[As,lado (cm²)]],HC[[#This Row],[Nsd (kN)]])</f>
        <v>N.A.</v>
      </c>
      <c r="AW311" s="4" t="str">
        <f ca="1">As_susp_tot(HC[[#This Row],[nE]],HC[[#This Row],[Nsd (kN)]])</f>
        <v>N.A.</v>
      </c>
      <c r="AX311" s="4" t="str">
        <f ca="1">Asp_face(HC[[#This Row],[nE]],HC[[#This Row],[As,lado (cm²)]])</f>
        <v>N.A.</v>
      </c>
      <c r="AY311" s="5">
        <f ca="1">acoBloco(HC[[#This Row],[nE]],HC[[#This Row],[e (cm)]],HC[[#This Row],[a (cm)]],HC[[#This Row],[h (cm)]],HC[[#This Row],[As,lado (cm²)]],HC[[#This Row],[Asp e Asw (cm²/m)]],HC[[#This Row],[As,sup (cm²)]],HC[[#This Row],[As,malha (cm²)]],HC[[#This Row],[As,susp,tot (cm²)]],HC[[#This Row],[Asp,face (cm²)]])</f>
        <v>120.06574999999999</v>
      </c>
      <c r="AZ311" s="4">
        <f ca="1">concretoBloco(HC[[#This Row],[nE]],HC[[#This Row],[e (cm)]],HC[[#This Row],[a (cm)]],HC[[#This Row],[h (cm)]])</f>
        <v>2.016</v>
      </c>
      <c r="BA311" s="5">
        <f ca="1">SUM(HC[[#This Row],[Aço Est (kg)]],HC[[#This Row],[Aço Bloco (kg)]])</f>
        <v>218.7117593227195</v>
      </c>
      <c r="BB311" s="4">
        <f>INDEX(composicoes[],MATCH(95580,composicoes[CÓDIGO],0),MATCH("CUSTO TOTAL",composicoes[#Headers],0))</f>
        <v>10.46</v>
      </c>
      <c r="BC311" s="4">
        <f ca="1">SUM(HC[[#This Row],[Conc Est (m³)]],HC[[#This Row],[Conc Bloco (m³)]])</f>
        <v>11.440777960769379</v>
      </c>
      <c r="BD311" s="4">
        <f>INDEX(composicoes[],MATCH(94966,composicoes[CÓDIGO],0),MATCH("CUSTO TOTAL",composicoes[#Headers],0))</f>
        <v>439.52</v>
      </c>
      <c r="BE311" s="38">
        <f ca="1">HC[[#This Row],[Aço (kg)]]*HC[[#This Row],[Aço (R$/kg)]]+HC[[#This Row],[Conc (m³)]]*HC[[#This Row],[Conc (R$/m³)]]</f>
        <v>7316.1757318330037</v>
      </c>
      <c r="BF311" s="4" t="str">
        <f ca="1">IF(COUNTIF(HC[#This Row],"N.S.")&gt;0,"lim.","OK")</f>
        <v>OK</v>
      </c>
      <c r="BG311" s="4" t="str">
        <f>IF(HC[[#This Row],[Prof. (m)]]&lt;4,"lim.","OK")</f>
        <v>OK</v>
      </c>
      <c r="BH311" s="4" t="str">
        <f>IF(HC[[#This Row],[Prof. (m)]]&gt;=8*HC[[#This Row],[Ø (cm)]]/100,"OK","lim.")</f>
        <v>OK</v>
      </c>
      <c r="BI311" s="4" t="str">
        <f ca="1">IF(HC[[#This Row],[Verif. Biela]]="OK","OK","lim.")</f>
        <v>lim.</v>
      </c>
      <c r="BJ311" s="4" t="str">
        <f ca="1">IF(COUNTA(HC[[#This Row],[Nº Est.]:[Biela comp.]])=COUNTIF(HC[[#This Row],[Nº Est.]:[Biela comp.]],"OK"),"OK","lim.")</f>
        <v>lim.</v>
      </c>
      <c r="BK311" s="4" t="str">
        <f ca="1">IF(HC[[#This Row],[Controle]]="OK",HC[[#This Row],[nE]]&amp;" Ø "&amp;HC[[#This Row],[Ø (cm)]]&amp;" cm, Prof. "&amp;HC[[#This Row],[Prof. (m)]]&amp;" m","")</f>
        <v/>
      </c>
      <c r="BL311" s="4" t="str">
        <f ca="1">IF(HC[[#This Row],[idDimensionamento]]="","",HC[[#This Row],[idPilar]]&amp;HC[[#This Row],[idDimensionamento]])</f>
        <v/>
      </c>
    </row>
    <row r="312" spans="2:64" x14ac:dyDescent="0.25">
      <c r="B312" s="12">
        <f>ROUNDUP((ROW(HC[[#This Row],[idDiâmetro]])-ROW(HC[[#Headers],[idDiâmetro]]))/(COUNT(SPT[Prof. (m)])*COUNT(PILARES[Pilar])),0)</f>
        <v>11</v>
      </c>
      <c r="C312" s="12">
        <f>IF(HC[[#This Row],[idDiâmetro]]&lt;&gt;B311,1,IF(HC[[#This Row],[Prof. (m)]]=0,C311+1,C311))</f>
        <v>2</v>
      </c>
      <c r="D312" s="82">
        <f>IFERROR(IF(D311=MAX(SPT[Prof. (m)]),0,D311+1),0)</f>
        <v>13</v>
      </c>
      <c r="E312" s="82">
        <f>INDEX(SPT[],MATCH(HC[[#This Row],[Prof. (m)]],SPT[Prof. (m)],0),2)</f>
        <v>68</v>
      </c>
      <c r="F312" s="82" t="str">
        <f>INDEX(SPT[],MATCH(HC[[#This Row],[Prof. (m)]],SPT[Prof. (m)],0),3)</f>
        <v>Areia siltosa</v>
      </c>
      <c r="G312" s="82">
        <f>INDEX(estacas[],HC[[#This Row],[idDiâmetro]],MATCH($B$2,estacas[#Headers],0))</f>
        <v>100</v>
      </c>
      <c r="H312" s="82">
        <f>INDEX(estacas[],MATCH(HC[[#This Row],[Ø (cm)]],estacas[Ø HC (cm)],0),MATCH(HC[[#Headers],[Pe HC (kN)]],estacas[#Headers],0))</f>
        <v>5000</v>
      </c>
      <c r="I312" s="4">
        <f>INDEX(K_alpha_C[],MATCH(HC[[#This Row],[Solo]],K_alpha_C[Solo],0),2)</f>
        <v>0.8</v>
      </c>
      <c r="J312" s="5">
        <f>INDEX(K_alpha_C[],MATCH(HC[[#This Row],[Solo]],K_alpha_C[Solo],0),3)</f>
        <v>2</v>
      </c>
      <c r="K312" s="4">
        <f>INDEX(F1_F2[],MATCH($D$2,F1_F2[Tipo de estaca],0),2)</f>
        <v>2</v>
      </c>
      <c r="L312" s="4">
        <f>INDEX(F1_F2[],MATCH($D$2,F1_F2[Tipo de estaca],0),3)</f>
        <v>4</v>
      </c>
      <c r="M312" s="4">
        <f>PI()*(HC[[#This Row],[Ø (cm)]]/100)^2/4</f>
        <v>0.78539816339744828</v>
      </c>
      <c r="N312" s="4">
        <f>PI()*HC[[#This Row],[Ø (cm)]]/100</f>
        <v>3.1415926535897931</v>
      </c>
      <c r="O312" s="4">
        <f>IF(HC[[#This Row],[Prof. (m)]]=0,0,HC[[#This Row],[α (%)]]/100*HC[[#This Row],[K (MPa)]]*1000*HC[[#This Row],[NSPT]])</f>
        <v>1088</v>
      </c>
      <c r="P312" s="4">
        <f>IF(HC[[#This Row],[Prof. (m)]]=0,0,(HC[[#This Row],[K (MPa)]]*1000*HC[[#This Row],[NSPT]]/HC[[#This Row],[F1]]*HC[[#This Row],[Ap (m²)]]+HC[[#This Row],[U (m)]]/HC[[#This Row],[F2]]*SUMIFS(HC[(α∙K∙NL∙ΔL)],HC[Prof. (m)],"&lt;="&amp;HC[[#This Row],[Prof. (m)]],HC[idDiâmetro],HC[[#This Row],[idDiâmetro]],HC[idPilar],HC[[#This Row],[idPilar]]))/'DADOS CAP. CARGA'!$D$2)</f>
        <v>12450.092416268179</v>
      </c>
      <c r="Q312" s="12">
        <f>INDEX(C_alpha_beta[],MATCH(HC[[#This Row],[Solo]],C_alpha_beta[Solo],0),MATCH(HC[[#Headers],[C (kPa)]],C_alpha_beta[#Headers],0))</f>
        <v>400</v>
      </c>
      <c r="R312" s="4">
        <f>INDEX(C_alpha_beta[],MATCH(HC[[#This Row],[Solo]],C_alpha_beta[Solo],0),MATCH(HC[[#Headers],[α ESF]],C_alpha_beta[#Headers],0))</f>
        <v>0.5</v>
      </c>
      <c r="S312" s="4">
        <f>INDEX(C_alpha_beta[],MATCH(HC[[#This Row],[Solo]],C_alpha_beta[Solo],0),MATCH(HC[[#Headers],[β ESF]],C_alpha_beta[#Headers],0))</f>
        <v>0.5</v>
      </c>
      <c r="T312" s="4">
        <f>IF(HC[[#This Row],[Prof. (m)]]=0,0,10*(HC[[#This Row],[NSPT]]/3+1))</f>
        <v>236.66666666666669</v>
      </c>
      <c r="U312" s="4">
        <f>(HC[[#This Row],[α ESF]]*HC[[#This Row],[C (kPa)]]*HC[[#This Row],[NSPT]]*HC[[#This Row],[Ap (m²)]])/'DADOS CAP. CARGA'!$Q$2+(HC[[#This Row],[β ESF]]*SUMIFS(HC[10∙(NL/3+1)],HC[Prof. (m)],"&lt;="&amp;HC[[#This Row],[Prof. (m)]],HC[idDiâmetro],HC[[#This Row],[idDiâmetro]],HC[idPilar],HC[[#This Row],[idPilar]])*HC[[#This Row],[U (m)]])/'DADOS CAP. CARGA'!$S$2</f>
        <v>3534.291735288517</v>
      </c>
      <c r="V312" s="4">
        <f>IF(SPT!$M$5=1,MIN(HC[[#This Row],[Pe HC (kN)]],HC[[#This Row],[R_AV (kN)]]),IF(SPT!$M$5=2,MIN(HC[[#This Row],[Pe HC (kN)]],HC[[#This Row],[R_DC (kN)]]),MIN(HC[[#This Row],[Pe HC (kN)]],HC[[#This Row],[R_AV (kN)]],HC[[#This Row],[R_DC (kN)]])))</f>
        <v>3534.291735288517</v>
      </c>
      <c r="W312" s="4">
        <f>INDEX(PILARES[],HC[[#This Row],[idPilar]],MATCH("Carga (kN)",PILARES[#Headers],0))*1.4</f>
        <v>1750</v>
      </c>
      <c r="X312" s="12">
        <f>INDEX(PILARES[],HC[[#This Row],[idPilar]],MATCH(HC[[#Headers],[ap (cm)]],PILARES[#Headers],0))</f>
        <v>50</v>
      </c>
      <c r="Y312" s="12">
        <f>INDEX(PILARES[],HC[[#This Row],[idPilar]],MATCH(HC[[#Headers],[bp (cm)]],PILARES[#Headers],0))</f>
        <v>40</v>
      </c>
      <c r="Z312" s="4">
        <f>SQRT(HC[[#This Row],[ap (cm)]]*HC[[#This Row],[bp (cm)]])</f>
        <v>44.721359549995796</v>
      </c>
      <c r="AA312" s="12">
        <f>HC[[#This Row],[ap (cm)]]*HC[[#This Row],[bp (cm)]]</f>
        <v>2000</v>
      </c>
      <c r="AB312" s="12">
        <f ca="1">IF(HC[[#This Row],[Padm∙ε (kN)]]&gt;=HC[[#This Row],[Padm (kN)]],ROUNDUP(1.05*HC[[#This Row],[Nsd (kN)]]/HC[[#This Row],[Padm (kN)]],0),ROUNDUP(1.05*HC[[#This Row],[Nsd (kN)]]/HC[[#This Row],[Padm (kN)]],0)+1)</f>
        <v>1</v>
      </c>
      <c r="AC312" s="4">
        <f ca="1">IFERROR(IF(HC[[#This Row],[nE]]=1,HC[[#This Row],[Padm (kN)]],HC[[#This Row],[Padm (kN)]]*HC[[#This Row],[nE]]*INDEX(grupoEstacas[],HC[[#This Row],[nE]],MATCH("ε",grupoEstacas[#Headers],0))),"N.S.")</f>
        <v>3534.291735288517</v>
      </c>
      <c r="AD312" s="4">
        <f ca="1">1.05*HC[[#This Row],[Nsd (kN)]]/(HC[[#This Row],[nE]]*PI()*HC[[#This Row],[Ø (cm)]]^2/4)*10</f>
        <v>2.3395776634508616</v>
      </c>
      <c r="AE312" s="4">
        <f ca="1">IF(HC[[#This Row],[σ (MPa)]]&lt;INDEX(tipoEstaca[],MATCH($D$2,tipoEstaca[TIPO DE ESTACA],0),MATCH("σmáx (MPa)",tipoEstaca[#Headers],0)),0.4%*PI()*HC[[#This Row],[Ø (cm)]]^2/4,"N.S.")</f>
        <v>31.415926535897935</v>
      </c>
      <c r="AF312" s="82">
        <f>INDEX(tipoEstaca[],MATCH($D$2,tipoEstaca[TIPO DE ESTACA],0),MATCH(HC[[#Headers],[Comprimento (m)]],tipoEstaca[#Headers],0))</f>
        <v>4</v>
      </c>
      <c r="AG312" s="5">
        <f ca="1">HC[[#This Row],[As,mín (cm²)]]/100^2*HC[[#This Row],[Comprimento (m)]]*7850</f>
        <v>98.646009322719507</v>
      </c>
      <c r="AH312" s="4">
        <f ca="1">HC[[#This Row],[nE]]*HC[[#This Row],[Prof. (m)]]*HC[[#This Row],[Ap (m²)]]</f>
        <v>10.210176124166829</v>
      </c>
      <c r="AI312" s="82">
        <f ca="1">IF(HC[[#This Row],[nE]]=1,0,MAX(3*HC[[#This Row],[Ø (cm)]],60))</f>
        <v>0</v>
      </c>
      <c r="AJ312" s="82">
        <f ca="1">IF(HC[[#This Row],[nE]]=1,HC[[#This Row],[Ø (cm)]]+2*10,MAX(1.5*HC[[#This Row],[Ø (cm)]],HC[[#This Row],[Ø (cm)]]+15))</f>
        <v>120</v>
      </c>
      <c r="AK312" s="82">
        <f ca="1">alturaUtil(HC[[#This Row],[nE]],HC[[#This Row],[Ø (cm)]],HC[[#This Row],[e (cm)]],HC[[#This Row],[ap,eq (cm)]])</f>
        <v>120</v>
      </c>
      <c r="AL312" s="82">
        <f ca="1">IFERROR(HC[[#This Row],[d (cm)]]+arredondarParaCimaMultiplo5cm(MAX(5,SQRT(PI())/2*HC[[#This Row],[Ø (cm)]]/5)),"N.S.")</f>
        <v>140</v>
      </c>
      <c r="AM312" s="5">
        <f ca="1">alpha(HC[[#This Row],[nE]],HC[[#This Row],[d (cm)]],HC[[#This Row],[e (cm)]],HC[[#This Row],[ap,eq (cm)]])</f>
        <v>90</v>
      </c>
      <c r="AN312" s="35">
        <f ca="1">IFERROR(HC[[#This Row],[Nsd (kN)]]/(HC[[#This Row],[Ap (cm²)]]*SIN(HC[[#This Row],[α]])^2),"N.S.")</f>
        <v>1.0948037013095111</v>
      </c>
      <c r="AO312" s="35">
        <f ca="1">IFERROR(HC[[#This Row],[Nsd (kN)]]/(HC[[#This Row],[nE]]*PI()*HC[[#This Row],[Ø (cm)]]^2/4*SIN(HC[[#This Row],[α]])^2),"N.S.")</f>
        <v>0.27878947324593861</v>
      </c>
      <c r="AP312" s="4">
        <f ca="1">IFERROR(INDEX(grupoEstacas[],HC[[#This Row],[nE]],MATCH("coef. Blévot",grupoEstacas[#Headers],0)),"N.S.")</f>
        <v>1</v>
      </c>
      <c r="AQ312" s="35">
        <f ca="1">IFERROR(HC[[#This Row],[coef. Blévot]]*0.9*INDEX(tipoEstaca[],MATCH($D$2,tipoEstaca[TIPO DE ESTACA],0),MATCH("fcd (kN/cm²)",tipoEstaca[#Headers],0)),"N.S.")</f>
        <v>1</v>
      </c>
      <c r="AR312" s="82" t="str">
        <f ca="1">IF(AND(HC[[#This Row],[cd,b,pil (kN/cm²)]]&lt;=HC[[#This Row],[cd,b,lim (kN/cm²)]],HC[[#This Row],[cd,b,est (kN/cm²)]]&lt;=HC[[#This Row],[cd,b,lim (kN/cm²)]]),"OK","ERRO")</f>
        <v>ERRO</v>
      </c>
      <c r="AS312" s="4">
        <f ca="1">As_lado(HC[[#This Row],[nE]],HC[[#This Row],[Nsd (kN)]],HC[[#This Row],[d (cm)]],HC[[#This Row],[e (cm)]],HC[[#This Row],[ap,eq (cm)]])</f>
        <v>10.0625</v>
      </c>
      <c r="AT312" s="4">
        <f ca="1">IF(HC[[#This Row],[nE]]=1,HC[[#This Row],[As,lado (cm²)]],IF(HC[[#This Row],[nE]]=2,0.075*2*HC[a (cm)],"N.A."))</f>
        <v>10.0625</v>
      </c>
      <c r="AU312" s="4" t="str">
        <f ca="1">IFERROR(IF(HC[[#This Row],[nE]]=1,"N.A.",0.2*HC[[#This Row],[As,lado (cm²)]]),"N.S.")</f>
        <v>N.A.</v>
      </c>
      <c r="AV312" s="4" t="str">
        <f ca="1">As_malha(HC[[#This Row],[nE]],HC[[#This Row],[As,lado (cm²)]],HC[[#This Row],[Nsd (kN)]])</f>
        <v>N.A.</v>
      </c>
      <c r="AW312" s="4" t="str">
        <f ca="1">As_susp_tot(HC[[#This Row],[nE]],HC[[#This Row],[Nsd (kN)]])</f>
        <v>N.A.</v>
      </c>
      <c r="AX312" s="4" t="str">
        <f ca="1">Asp_face(HC[[#This Row],[nE]],HC[[#This Row],[As,lado (cm²)]])</f>
        <v>N.A.</v>
      </c>
      <c r="AY312" s="5">
        <f ca="1">acoBloco(HC[[#This Row],[nE]],HC[[#This Row],[e (cm)]],HC[[#This Row],[a (cm)]],HC[[#This Row],[h (cm)]],HC[[#This Row],[As,lado (cm²)]],HC[[#This Row],[Asp e Asw (cm²/m)]],HC[[#This Row],[As,sup (cm²)]],HC[[#This Row],[As,malha (cm²)]],HC[[#This Row],[As,susp,tot (cm²)]],HC[[#This Row],[Asp,face (cm²)]])</f>
        <v>120.06574999999999</v>
      </c>
      <c r="AZ312" s="4">
        <f ca="1">concretoBloco(HC[[#This Row],[nE]],HC[[#This Row],[e (cm)]],HC[[#This Row],[a (cm)]],HC[[#This Row],[h (cm)]])</f>
        <v>2.016</v>
      </c>
      <c r="BA312" s="5">
        <f ca="1">SUM(HC[[#This Row],[Aço Est (kg)]],HC[[#This Row],[Aço Bloco (kg)]])</f>
        <v>218.7117593227195</v>
      </c>
      <c r="BB312" s="4">
        <f>INDEX(composicoes[],MATCH(95580,composicoes[CÓDIGO],0),MATCH("CUSTO TOTAL",composicoes[#Headers],0))</f>
        <v>10.46</v>
      </c>
      <c r="BC312" s="4">
        <f ca="1">SUM(HC[[#This Row],[Conc Est (m³)]],HC[[#This Row],[Conc Bloco (m³)]])</f>
        <v>12.226176124166829</v>
      </c>
      <c r="BD312" s="4">
        <f>INDEX(composicoes[],MATCH(94966,composicoes[CÓDIGO],0),MATCH("CUSTO TOTAL",composicoes[#Headers],0))</f>
        <v>439.52</v>
      </c>
      <c r="BE312" s="38">
        <f ca="1">HC[[#This Row],[Aço (kg)]]*HC[[#This Row],[Aço (R$/kg)]]+HC[[#This Row],[Conc (m³)]]*HC[[#This Row],[Conc (R$/m³)]]</f>
        <v>7661.373932609451</v>
      </c>
      <c r="BF312" s="4" t="str">
        <f ca="1">IF(COUNTIF(HC[#This Row],"N.S.")&gt;0,"lim.","OK")</f>
        <v>OK</v>
      </c>
      <c r="BG312" s="4" t="str">
        <f>IF(HC[[#This Row],[Prof. (m)]]&lt;4,"lim.","OK")</f>
        <v>OK</v>
      </c>
      <c r="BH312" s="4" t="str">
        <f>IF(HC[[#This Row],[Prof. (m)]]&gt;=8*HC[[#This Row],[Ø (cm)]]/100,"OK","lim.")</f>
        <v>OK</v>
      </c>
      <c r="BI312" s="4" t="str">
        <f ca="1">IF(HC[[#This Row],[Verif. Biela]]="OK","OK","lim.")</f>
        <v>lim.</v>
      </c>
      <c r="BJ312" s="4" t="str">
        <f ca="1">IF(COUNTA(HC[[#This Row],[Nº Est.]:[Biela comp.]])=COUNTIF(HC[[#This Row],[Nº Est.]:[Biela comp.]],"OK"),"OK","lim.")</f>
        <v>lim.</v>
      </c>
      <c r="BK312" s="4" t="str">
        <f ca="1">IF(HC[[#This Row],[Controle]]="OK",HC[[#This Row],[nE]]&amp;" Ø "&amp;HC[[#This Row],[Ø (cm)]]&amp;" cm, Prof. "&amp;HC[[#This Row],[Prof. (m)]]&amp;" m","")</f>
        <v/>
      </c>
      <c r="BL312" s="4" t="str">
        <f ca="1">IF(HC[[#This Row],[idDimensionamento]]="","",HC[[#This Row],[idPilar]]&amp;HC[[#This Row],[idDimensionamento]])</f>
        <v/>
      </c>
    </row>
    <row r="313" spans="2:64" x14ac:dyDescent="0.25">
      <c r="B313" s="12"/>
      <c r="C313" s="12"/>
      <c r="D313" s="1"/>
      <c r="E313" s="1"/>
      <c r="F313" s="1"/>
      <c r="G313" s="1"/>
      <c r="H313" s="1"/>
      <c r="I313" s="4"/>
      <c r="J313" s="5"/>
      <c r="K313" s="4"/>
      <c r="L313" s="4"/>
      <c r="M313" s="4"/>
      <c r="N313" s="4"/>
      <c r="O313" s="4"/>
      <c r="P313" s="4"/>
      <c r="Q313" s="12"/>
      <c r="R313" s="4"/>
      <c r="S313" s="4"/>
      <c r="T313" s="4"/>
      <c r="U313" s="4"/>
      <c r="V313" s="4"/>
      <c r="W313" s="4"/>
      <c r="X313" s="12"/>
      <c r="Y313" s="12"/>
      <c r="Z313" s="4"/>
      <c r="AA313" s="12"/>
      <c r="AB313" s="12"/>
      <c r="AC313" s="4"/>
      <c r="AD313" s="4"/>
      <c r="AE313" s="4"/>
      <c r="AF313" s="1"/>
      <c r="AG313" s="5"/>
      <c r="AH313" s="4"/>
      <c r="AI313" s="1"/>
      <c r="AJ313" s="1"/>
      <c r="AK313" s="1"/>
      <c r="AL313" s="1"/>
      <c r="AM313" s="5"/>
      <c r="AN313" s="35"/>
      <c r="AO313" s="35"/>
      <c r="AP313" s="4"/>
      <c r="AQ313" s="35"/>
      <c r="AR313" s="1"/>
      <c r="AS313" s="4"/>
      <c r="AT313" s="4"/>
      <c r="AU313" s="4"/>
      <c r="AV313" s="4"/>
      <c r="AW313" s="4"/>
      <c r="AX313" s="4"/>
      <c r="AY313" s="5"/>
      <c r="AZ313" s="4"/>
      <c r="BA313" s="5"/>
      <c r="BB313" s="4"/>
      <c r="BC313" s="4"/>
      <c r="BD313" s="4"/>
      <c r="BE313" s="38"/>
      <c r="BF313" s="4"/>
      <c r="BG313" s="4"/>
      <c r="BH313" s="4"/>
      <c r="BI313" s="4"/>
      <c r="BJ313" s="4"/>
      <c r="BK313" s="4"/>
      <c r="BL313" s="4"/>
    </row>
    <row r="314" spans="2:64" x14ac:dyDescent="0.25">
      <c r="B314" s="12"/>
      <c r="C314" s="12"/>
      <c r="D314" s="1"/>
      <c r="E314" s="1"/>
      <c r="F314" s="1"/>
      <c r="G314" s="1"/>
      <c r="H314" s="1"/>
      <c r="I314" s="4"/>
      <c r="J314" s="5"/>
      <c r="K314" s="4"/>
      <c r="L314" s="4"/>
      <c r="M314" s="4"/>
      <c r="N314" s="4"/>
      <c r="O314" s="4"/>
      <c r="P314" s="4"/>
      <c r="Q314" s="12"/>
      <c r="R314" s="4"/>
      <c r="S314" s="4"/>
      <c r="T314" s="4"/>
      <c r="U314" s="4"/>
      <c r="V314" s="4"/>
      <c r="W314" s="4"/>
      <c r="X314" s="12"/>
      <c r="Y314" s="12"/>
      <c r="Z314" s="4"/>
      <c r="AA314" s="12"/>
      <c r="AB314" s="12"/>
      <c r="AC314" s="4"/>
      <c r="AD314" s="4"/>
      <c r="AE314" s="4"/>
      <c r="AF314" s="1"/>
      <c r="AG314" s="5"/>
      <c r="AH314" s="4"/>
      <c r="AI314" s="1"/>
      <c r="AJ314" s="1"/>
      <c r="AK314" s="1"/>
      <c r="AL314" s="1"/>
      <c r="AM314" s="5"/>
      <c r="AN314" s="35"/>
      <c r="AO314" s="35"/>
      <c r="AP314" s="4"/>
      <c r="AQ314" s="35"/>
      <c r="AR314" s="1"/>
      <c r="AS314" s="4"/>
      <c r="AT314" s="4"/>
      <c r="AU314" s="4"/>
      <c r="AV314" s="4"/>
      <c r="AW314" s="4"/>
      <c r="AX314" s="4"/>
      <c r="AY314" s="5"/>
      <c r="AZ314" s="4"/>
      <c r="BA314" s="5"/>
      <c r="BB314" s="4"/>
      <c r="BC314" s="4"/>
      <c r="BD314" s="4"/>
      <c r="BE314" s="38"/>
      <c r="BF314" s="4"/>
      <c r="BG314" s="4"/>
      <c r="BH314" s="4"/>
      <c r="BI314" s="4"/>
      <c r="BJ314" s="4"/>
      <c r="BK314" s="4"/>
      <c r="BL314" s="4"/>
    </row>
    <row r="315" spans="2:64" x14ac:dyDescent="0.25">
      <c r="B315" s="12"/>
      <c r="C315" s="12"/>
      <c r="D315" s="1"/>
      <c r="E315" s="1"/>
      <c r="F315" s="1"/>
      <c r="G315" s="1"/>
      <c r="H315" s="1"/>
      <c r="I315" s="4"/>
      <c r="J315" s="5"/>
      <c r="K315" s="4"/>
      <c r="L315" s="4"/>
      <c r="M315" s="4"/>
      <c r="N315" s="4"/>
      <c r="O315" s="4"/>
      <c r="P315" s="4"/>
      <c r="Q315" s="12"/>
      <c r="R315" s="4"/>
      <c r="S315" s="4"/>
      <c r="T315" s="4"/>
      <c r="U315" s="4"/>
      <c r="V315" s="4"/>
      <c r="W315" s="4"/>
      <c r="X315" s="12"/>
      <c r="Y315" s="12"/>
      <c r="Z315" s="4"/>
      <c r="AA315" s="12"/>
      <c r="AB315" s="12"/>
      <c r="AC315" s="4"/>
      <c r="AD315" s="4"/>
      <c r="AE315" s="4"/>
      <c r="AF315" s="1"/>
      <c r="AG315" s="5"/>
      <c r="AH315" s="4"/>
      <c r="AI315" s="1"/>
      <c r="AJ315" s="1"/>
      <c r="AK315" s="1"/>
      <c r="AL315" s="1"/>
      <c r="AM315" s="5"/>
      <c r="AN315" s="35"/>
      <c r="AO315" s="35"/>
      <c r="AP315" s="4"/>
      <c r="AQ315" s="35"/>
      <c r="AR315" s="1"/>
      <c r="AS315" s="4"/>
      <c r="AT315" s="4"/>
      <c r="AU315" s="4"/>
      <c r="AV315" s="4"/>
      <c r="AW315" s="4"/>
      <c r="AX315" s="4"/>
      <c r="AY315" s="5"/>
      <c r="AZ315" s="4"/>
      <c r="BA315" s="5"/>
      <c r="BB315" s="4"/>
      <c r="BC315" s="4"/>
      <c r="BD315" s="4"/>
      <c r="BE315" s="38"/>
      <c r="BF315" s="4"/>
      <c r="BG315" s="4"/>
      <c r="BH315" s="4"/>
      <c r="BI315" s="4"/>
      <c r="BJ315" s="4"/>
      <c r="BK315" s="4"/>
      <c r="BL315" s="4"/>
    </row>
    <row r="316" spans="2:64" x14ac:dyDescent="0.25">
      <c r="B316" s="12"/>
      <c r="C316" s="12"/>
      <c r="D316" s="1"/>
      <c r="E316" s="1"/>
      <c r="F316" s="1"/>
      <c r="G316" s="1"/>
      <c r="H316" s="1"/>
      <c r="I316" s="4"/>
      <c r="J316" s="5"/>
      <c r="K316" s="4"/>
      <c r="L316" s="4"/>
      <c r="M316" s="4"/>
      <c r="N316" s="4"/>
      <c r="O316" s="4"/>
      <c r="P316" s="4"/>
      <c r="Q316" s="12"/>
      <c r="R316" s="4"/>
      <c r="S316" s="4"/>
      <c r="T316" s="4"/>
      <c r="U316" s="4"/>
      <c r="V316" s="4"/>
      <c r="W316" s="4"/>
      <c r="X316" s="12"/>
      <c r="Y316" s="12"/>
      <c r="Z316" s="4"/>
      <c r="AA316" s="12"/>
      <c r="AB316" s="12"/>
      <c r="AC316" s="4"/>
      <c r="AD316" s="4"/>
      <c r="AE316" s="4"/>
      <c r="AF316" s="1"/>
      <c r="AG316" s="5"/>
      <c r="AH316" s="4"/>
      <c r="AI316" s="1"/>
      <c r="AJ316" s="1"/>
      <c r="AK316" s="1"/>
      <c r="AL316" s="1"/>
      <c r="AM316" s="5"/>
      <c r="AN316" s="35"/>
      <c r="AO316" s="35"/>
      <c r="AP316" s="4"/>
      <c r="AQ316" s="35"/>
      <c r="AR316" s="1"/>
      <c r="AS316" s="4"/>
      <c r="AT316" s="4"/>
      <c r="AU316" s="4"/>
      <c r="AV316" s="4"/>
      <c r="AW316" s="4"/>
      <c r="AX316" s="4"/>
      <c r="AY316" s="5"/>
      <c r="AZ316" s="4"/>
      <c r="BA316" s="5"/>
      <c r="BB316" s="4"/>
      <c r="BC316" s="4"/>
      <c r="BD316" s="4"/>
      <c r="BE316" s="38"/>
      <c r="BF316" s="4"/>
      <c r="BG316" s="4"/>
      <c r="BH316" s="4"/>
      <c r="BI316" s="4"/>
      <c r="BJ316" s="4"/>
      <c r="BK316" s="4"/>
      <c r="BL316" s="4"/>
    </row>
    <row r="317" spans="2:64" x14ac:dyDescent="0.25">
      <c r="B317" s="12"/>
      <c r="C317" s="12"/>
      <c r="D317" s="1"/>
      <c r="E317" s="1"/>
      <c r="F317" s="1"/>
      <c r="G317" s="1"/>
      <c r="H317" s="1"/>
      <c r="I317" s="4"/>
      <c r="J317" s="5"/>
      <c r="K317" s="4"/>
      <c r="L317" s="4"/>
      <c r="M317" s="4"/>
      <c r="N317" s="4"/>
      <c r="O317" s="4"/>
      <c r="P317" s="4"/>
      <c r="Q317" s="12"/>
      <c r="R317" s="4"/>
      <c r="S317" s="4"/>
      <c r="T317" s="4"/>
      <c r="U317" s="4"/>
      <c r="V317" s="4"/>
      <c r="W317" s="4"/>
      <c r="X317" s="12"/>
      <c r="Y317" s="12"/>
      <c r="Z317" s="4"/>
      <c r="AA317" s="12"/>
      <c r="AB317" s="12"/>
      <c r="AC317" s="4"/>
      <c r="AD317" s="4"/>
      <c r="AE317" s="4"/>
      <c r="AF317" s="1"/>
      <c r="AG317" s="5"/>
      <c r="AH317" s="4"/>
      <c r="AI317" s="1"/>
      <c r="AJ317" s="1"/>
      <c r="AK317" s="1"/>
      <c r="AL317" s="1"/>
      <c r="AM317" s="5"/>
      <c r="AN317" s="35"/>
      <c r="AO317" s="35"/>
      <c r="AP317" s="4"/>
      <c r="AQ317" s="35"/>
      <c r="AR317" s="1"/>
      <c r="AS317" s="4"/>
      <c r="AT317" s="4"/>
      <c r="AU317" s="4"/>
      <c r="AV317" s="4"/>
      <c r="AW317" s="4"/>
      <c r="AX317" s="4"/>
      <c r="AY317" s="5"/>
      <c r="AZ317" s="4"/>
      <c r="BA317" s="5"/>
      <c r="BB317" s="4"/>
      <c r="BC317" s="4"/>
      <c r="BD317" s="4"/>
      <c r="BE317" s="38"/>
      <c r="BF317" s="4"/>
      <c r="BG317" s="4"/>
      <c r="BH317" s="4"/>
      <c r="BI317" s="4"/>
      <c r="BJ317" s="4"/>
      <c r="BK317" s="4"/>
      <c r="BL317" s="4"/>
    </row>
  </sheetData>
  <dataConsolidate link="1"/>
  <mergeCells count="10">
    <mergeCell ref="AB3:AH3"/>
    <mergeCell ref="AI3:AZ3"/>
    <mergeCell ref="BA3:BE3"/>
    <mergeCell ref="BF3:BJ3"/>
    <mergeCell ref="B3:C3"/>
    <mergeCell ref="D3:F3"/>
    <mergeCell ref="G3:H3"/>
    <mergeCell ref="I3:P3"/>
    <mergeCell ref="Q3:U3"/>
    <mergeCell ref="W3:AA3"/>
  </mergeCell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0F141-54E3-47E3-BDFF-9B99437CD662}">
  <sheetPr codeName="tecViavelESF"/>
  <dimension ref="A1:BA14"/>
  <sheetViews>
    <sheetView showGridLines="0" workbookViewId="0">
      <selection activeCell="U159" sqref="U159"/>
    </sheetView>
  </sheetViews>
  <sheetFormatPr defaultColWidth="0" defaultRowHeight="15" x14ac:dyDescent="0.25"/>
  <cols>
    <col min="1" max="1" width="2.7109375" style="1" customWidth="1"/>
    <col min="2" max="2" width="8.42578125" style="1" bestFit="1" customWidth="1"/>
    <col min="3" max="3" width="6.140625" style="1" bestFit="1" customWidth="1"/>
    <col min="4" max="4" width="23.5703125" style="1" bestFit="1" customWidth="1"/>
    <col min="5" max="5" width="9.28515625" style="1" bestFit="1" customWidth="1"/>
    <col min="6" max="6" width="9.42578125" style="1" bestFit="1" customWidth="1"/>
    <col min="7" max="7" width="6.42578125" style="1" bestFit="1" customWidth="1"/>
    <col min="8" max="8" width="8.28515625" style="1" bestFit="1" customWidth="1"/>
    <col min="9" max="9" width="8.7109375" style="1" bestFit="1" customWidth="1"/>
    <col min="10" max="10" width="4.28515625" style="1" bestFit="1" customWidth="1"/>
    <col min="11" max="11" width="5.7109375" style="1" bestFit="1" customWidth="1"/>
    <col min="12" max="12" width="5.7109375" style="1" customWidth="1"/>
    <col min="13" max="13" width="23.85546875" style="1" bestFit="1" customWidth="1"/>
    <col min="14" max="14" width="10.28515625" style="1" bestFit="1" customWidth="1"/>
    <col min="15" max="16" width="7.85546875" style="1" bestFit="1" customWidth="1"/>
    <col min="17" max="17" width="8" style="1" bestFit="1" customWidth="1"/>
    <col min="18" max="18" width="9.42578125" style="1" bestFit="1" customWidth="1"/>
    <col min="19" max="19" width="4.28515625" style="1" bestFit="1" customWidth="1"/>
    <col min="20" max="21" width="5.7109375" style="1" customWidth="1"/>
    <col min="22" max="22" width="22" style="1" bestFit="1" customWidth="1"/>
    <col min="23" max="23" width="5.7109375" style="1" bestFit="1" customWidth="1"/>
    <col min="24" max="24" width="4.28515625" style="1" bestFit="1" customWidth="1"/>
    <col min="25" max="25" width="4.42578125" style="1" bestFit="1" customWidth="1"/>
    <col min="26" max="26" width="5.140625" style="1" bestFit="1" customWidth="1"/>
    <col min="27" max="27" width="22.5703125" style="1" bestFit="1" customWidth="1"/>
    <col min="28" max="28" width="6" style="1" bestFit="1" customWidth="1"/>
    <col min="29" max="29" width="4.28515625" style="1" bestFit="1" customWidth="1"/>
    <col min="30" max="30" width="4.42578125" style="1" bestFit="1" customWidth="1"/>
    <col min="31" max="31" width="5.140625" style="1" bestFit="1" customWidth="1"/>
    <col min="32" max="32" width="22.5703125" style="1" bestFit="1" customWidth="1"/>
    <col min="33" max="33" width="8.85546875" style="1" bestFit="1" customWidth="1"/>
    <col min="34" max="34" width="4.28515625" style="1" bestFit="1" customWidth="1"/>
    <col min="35" max="35" width="5.7109375" style="1" customWidth="1"/>
    <col min="36" max="36" width="5.140625" style="1" bestFit="1" customWidth="1"/>
    <col min="37" max="37" width="23.85546875" style="1" bestFit="1" customWidth="1"/>
    <col min="38" max="38" width="11.28515625" style="1" bestFit="1" customWidth="1"/>
    <col min="39" max="39" width="4.28515625" style="1" bestFit="1" customWidth="1"/>
    <col min="40" max="40" width="5.7109375" style="1" customWidth="1"/>
    <col min="41" max="41" width="5.140625" style="1" bestFit="1" customWidth="1"/>
    <col min="42" max="42" width="23.85546875" style="1" bestFit="1" customWidth="1"/>
    <col min="43" max="43" width="13.7109375" style="1" bestFit="1" customWidth="1"/>
    <col min="44" max="44" width="4.28515625" style="1" bestFit="1" customWidth="1"/>
    <col min="45" max="45" width="5.7109375" style="1" customWidth="1"/>
    <col min="46" max="46" width="5.140625" style="1" bestFit="1" customWidth="1"/>
    <col min="47" max="47" width="22" style="1" bestFit="1" customWidth="1"/>
    <col min="48" max="48" width="10.7109375" style="1" bestFit="1" customWidth="1"/>
    <col min="49" max="49" width="4.28515625" style="1" bestFit="1" customWidth="1"/>
    <col min="50" max="50" width="5.7109375" style="1" customWidth="1"/>
    <col min="51" max="51" width="6.42578125" style="1" bestFit="1" customWidth="1"/>
    <col min="52" max="52" width="25.140625" style="1" bestFit="1" customWidth="1"/>
    <col min="53" max="53" width="2.7109375" style="1" customWidth="1"/>
    <col min="54" max="16384" width="9.140625" style="1" hidden="1"/>
  </cols>
  <sheetData>
    <row r="1" spans="2:52" ht="5.0999999999999996" customHeight="1" x14ac:dyDescent="0.25"/>
    <row r="2" spans="2:52" s="36" customFormat="1" ht="20.25" x14ac:dyDescent="0.25">
      <c r="B2" s="37" t="s">
        <v>31</v>
      </c>
    </row>
    <row r="3" spans="2:52" x14ac:dyDescent="0.25">
      <c r="B3" s="72" t="s">
        <v>72</v>
      </c>
      <c r="C3" s="73"/>
      <c r="D3" s="74"/>
      <c r="E3" s="72" t="s">
        <v>263</v>
      </c>
      <c r="F3" s="74"/>
      <c r="G3" s="72" t="s">
        <v>226</v>
      </c>
      <c r="H3" s="73"/>
      <c r="I3" s="73"/>
      <c r="J3" s="73"/>
      <c r="K3" s="73"/>
      <c r="L3" s="73"/>
      <c r="M3" s="73"/>
      <c r="N3" s="74"/>
      <c r="O3" s="72" t="s">
        <v>184</v>
      </c>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4"/>
    </row>
    <row r="4" spans="2:52" x14ac:dyDescent="0.25">
      <c r="B4" s="1" t="s">
        <v>180</v>
      </c>
      <c r="C4" s="1" t="s">
        <v>67</v>
      </c>
      <c r="D4" s="1" t="s">
        <v>179</v>
      </c>
      <c r="E4" s="1" t="s">
        <v>264</v>
      </c>
      <c r="F4" s="1" t="s">
        <v>99</v>
      </c>
      <c r="G4" s="1" t="s">
        <v>82</v>
      </c>
      <c r="H4" s="1" t="s">
        <v>29</v>
      </c>
      <c r="I4" s="1" t="s">
        <v>182</v>
      </c>
      <c r="J4" s="1" t="s">
        <v>188</v>
      </c>
      <c r="K4" s="1" t="s">
        <v>183</v>
      </c>
      <c r="L4" s="1" t="s">
        <v>187</v>
      </c>
      <c r="M4" s="1" t="s">
        <v>228</v>
      </c>
      <c r="N4" s="1" t="s">
        <v>137</v>
      </c>
      <c r="O4" s="1" t="s">
        <v>127</v>
      </c>
      <c r="P4" s="1" t="s">
        <v>94</v>
      </c>
      <c r="Q4" s="1" t="s">
        <v>96</v>
      </c>
      <c r="R4" s="1" t="s">
        <v>219</v>
      </c>
      <c r="S4" s="1" t="s">
        <v>190</v>
      </c>
      <c r="T4" s="1" t="s">
        <v>191</v>
      </c>
      <c r="U4" s="1" t="s">
        <v>189</v>
      </c>
      <c r="V4" s="1" t="s">
        <v>227</v>
      </c>
      <c r="W4" s="1" t="s">
        <v>224</v>
      </c>
      <c r="X4" s="1" t="s">
        <v>195</v>
      </c>
      <c r="Y4" s="1" t="s">
        <v>196</v>
      </c>
      <c r="Z4" s="1" t="s">
        <v>192</v>
      </c>
      <c r="AA4" s="1" t="s">
        <v>229</v>
      </c>
      <c r="AB4" s="1" t="s">
        <v>225</v>
      </c>
      <c r="AC4" s="1" t="s">
        <v>193</v>
      </c>
      <c r="AD4" s="1" t="s">
        <v>198</v>
      </c>
      <c r="AE4" s="1" t="s">
        <v>197</v>
      </c>
      <c r="AF4" s="1" t="s">
        <v>230</v>
      </c>
      <c r="AG4" s="1" t="s">
        <v>220</v>
      </c>
      <c r="AH4" s="1" t="s">
        <v>200</v>
      </c>
      <c r="AI4" s="1" t="s">
        <v>194</v>
      </c>
      <c r="AJ4" s="1" t="s">
        <v>199</v>
      </c>
      <c r="AK4" s="1" t="s">
        <v>231</v>
      </c>
      <c r="AL4" s="1" t="s">
        <v>221</v>
      </c>
      <c r="AM4" s="1" t="s">
        <v>202</v>
      </c>
      <c r="AN4" s="1" t="s">
        <v>203</v>
      </c>
      <c r="AO4" s="1" t="s">
        <v>201</v>
      </c>
      <c r="AP4" s="1" t="s">
        <v>232</v>
      </c>
      <c r="AQ4" s="1" t="s">
        <v>222</v>
      </c>
      <c r="AR4" s="1" t="s">
        <v>205</v>
      </c>
      <c r="AS4" s="1" t="s">
        <v>206</v>
      </c>
      <c r="AT4" s="1" t="s">
        <v>204</v>
      </c>
      <c r="AU4" s="1" t="s">
        <v>234</v>
      </c>
      <c r="AV4" s="1" t="s">
        <v>223</v>
      </c>
      <c r="AW4" s="1" t="s">
        <v>208</v>
      </c>
      <c r="AX4" s="1" t="s">
        <v>209</v>
      </c>
      <c r="AY4" s="1" t="s">
        <v>207</v>
      </c>
      <c r="AZ4" s="1" t="s">
        <v>233</v>
      </c>
    </row>
    <row r="5" spans="2:52" x14ac:dyDescent="0.25">
      <c r="B5" s="1">
        <f>COUNTIF($C$4:C4,viavelESF[[#This Row],[Pilar]])+1</f>
        <v>1</v>
      </c>
      <c r="C5" s="16">
        <f>ROUNDDOWN((COUNTA($C$4:C4)-1)/3,0)+1</f>
        <v>1</v>
      </c>
      <c r="D5" s="16" t="str">
        <f ca="1">opcao($B$2,viavelESF[[#This Row],[Pilar]],viavelESF[[#This Row],[Opção]])</f>
        <v>4 Ø50cm Prof. 13 m</v>
      </c>
      <c r="E5" s="12">
        <f>INDEX(PILARES[],MATCH(viavelESF[[#This Row],[Pilar]],PILARES[Pilar],0),MATCH(viavelESF[[#Headers],[ap (cm)]],PILARES[#Headers],0))</f>
        <v>60</v>
      </c>
      <c r="F5" s="12">
        <f>INDEX(PILARES[],MATCH(viavelESF[[#This Row],[Pilar]],PILARES[Pilar],0),MATCH(viavelESF[[#Headers],[bp (cm)]],PILARES[#Headers],0))</f>
        <v>60</v>
      </c>
      <c r="G5" s="12">
        <f ca="1">IF(viavelESF[[#This Row],[idDimensionamento]]="",0,INDEX(ESF[],MATCH(viavelESF[[#This Row],[Pilar]]&amp;viavelESF[[#This Row],[idDimensionamento]],ESF[idPilar,idDimensionamento],0),MATCH(viavelESF[[#Headers],[nE]],ESF[#Headers],0)))</f>
        <v>4</v>
      </c>
      <c r="H5" s="12">
        <f ca="1">INDEX(ESF[],MATCH(viavelESF[[#This Row],[Pilar]]&amp;viavelESF[[#This Row],[idDimensionamento]],ESF[idPilar,idDimensionamento],0),MATCH(viavelESF[[#Headers],[Ø (cm)]],ESF[#Headers],0))</f>
        <v>50</v>
      </c>
      <c r="I5" s="4">
        <f ca="1">INDEX(ESF[],MATCH(viavelESF[[#This Row],[Pilar]]&amp;viavelESF[[#This Row],[idDimensionamento]],ESF[idPilar,idDimensionamento],0),MATCH("As,mín (cm²)",ESF[#Headers],0))</f>
        <v>7.8539816339744837</v>
      </c>
      <c r="J5" s="12">
        <f ca="1">IF(viavelESF[[#This Row],[idDimensionamento]]="",0,6)</f>
        <v>6</v>
      </c>
      <c r="K5" s="5">
        <f ca="1">IF(viavelESF[[#This Row],[idDimensionamento]]="",0,INDEX(areaAco[],MATCH(10*SQRT(viavelESF[[#This Row],[As,mín]]*4/(viavelESF[[#This Row],[N]]*PI())),areaAco[Ø\QNTD],1)+1,1))</f>
        <v>16</v>
      </c>
      <c r="L5" s="12">
        <f ca="1">IF(viavelESF[[#This Row],[idDimensionamento]]="",0,INDEX(ESF[],MATCH(viavelESF[[#This Row],[Pilar]]&amp;viavelESF[[#This Row],[idDimensionamento]],ESF[idPilar,idDimensionamento],0),MATCH("Comprimento (m)",ESF[#Headers],0))*100)</f>
        <v>200</v>
      </c>
      <c r="M5" s="12" t="str">
        <f ca="1">IF(viavelESF[[#This Row],[N]]=0,"N.A.",viavelESF[[#This Row],[N]]&amp;" Ø"&amp;viavelESF[[#This Row],[Ø]]&amp;"mm C="&amp;viavelESF[[#This Row],[C]]&amp;"cm")</f>
        <v>6 Ø16mm C=200cm</v>
      </c>
      <c r="N5" s="5">
        <f ca="1">viavelESF[[#This Row],[nE]]*viavelESF[[#This Row],[N]]*(PI()*(viavelESF[[#This Row],[Ø]]/10)^2/4*viavelESF[[#This Row],[C]])/100^3*7850</f>
        <v>75.760135159848588</v>
      </c>
      <c r="O5" s="5">
        <f ca="1">INDEX(ESF[],MATCH(viavelESF[[#This Row],[Pilar]]&amp;viavelESF[[#This Row],[idDimensionamento]],ESF[idPilar,idDimensionamento],0),MATCH(viavelESF[[#Headers],[e (cm)]],ESF[#Headers],0))</f>
        <v>150</v>
      </c>
      <c r="P5" s="5">
        <f ca="1">INDEX(ESF[],MATCH(viavelESF[[#This Row],[Pilar]]&amp;viavelESF[[#This Row],[idDimensionamento]],ESF[idPilar,idDimensionamento],0),MATCH(viavelESF[[#Headers],[a (cm)]],ESF[#Headers],0))</f>
        <v>75</v>
      </c>
      <c r="Q5" s="5">
        <f ca="1">INDEX(ESF[],MATCH(viavelESF[[#This Row],[Pilar]]&amp;viavelESF[[#This Row],[idDimensionamento]],ESF[idPilar,idDimensionamento],0),MATCH(viavelESF[[#Headers],[h (cm)]],ESF[#Headers],0))</f>
        <v>70</v>
      </c>
      <c r="R5" s="4">
        <f ca="1">IF(viavelESF[[#This Row],[idDimensionamento]]="","N.A.",INDEX(ESF[],MATCH(viavelESF[[#This Row],[Pilar]]&amp;viavelESF[[#This Row],[idDimensionamento]],ESF[idPilar,idDimensionamento],0),MATCH("As,lado (cm²)",ESF[#Headers],0)))</f>
        <v>20.125</v>
      </c>
      <c r="S5" s="12">
        <f ca="1">IF(viavelESF[[#This Row],[As,lado]]="N.A.",0,IF(viavelESF[[#This Row],[nE]]=1,ROUNDUP(viavelESF[[#This Row],[As,lado]]/(PI()*(viavelESF[[#This Row],[Ø1]]/10)^2/4)/2,0),ROUNDUP(viavelESF[[#This Row],[As,lado]]/(PI()*(viavelESF[[#This Row],[Ø1]]/10)^2/4),0)))</f>
        <v>7</v>
      </c>
      <c r="T5" s="5">
        <f ca="1">IF(viavelESF[[#This Row],[As,lado]]="N.A.",0,dArmadura(viavelESF[[#This Row],[nE]],viavelESF[[#This Row],[Ø (cm)]],viavelESF[[#This Row],[e (cm)]],viavelESF[[#This Row],[a (cm)]],viavelESF[[#This Row],[h (cm)]],viavelESF[[#Headers],[As,lado]],viavelESF[[#This Row],[As,lado]]))</f>
        <v>20</v>
      </c>
      <c r="U5" s="12">
        <f ca="1">IF(viavelESF[[#This Row],[As,lado]]="N.A.",0,comprimento(viavelESF[[#This Row],[nE]],viavelESF[[#This Row],[Ø1]],viavelESF[[#This Row],[e (cm)]],viavelESF[[#This Row],[a (cm)]],viavelESF[[#This Row],[h (cm)]],viavelESF[[#Headers],[As,lado]]))</f>
        <v>430</v>
      </c>
      <c r="V5" s="12" t="str">
        <f ca="1">IF(viavelESF[[#This Row],[N1]]=0,"N.A.",viavelESF[[#This Row],[N1]]&amp;" Ø"&amp;viavelESF[[#This Row],[Ø1]]&amp;"mm C="&amp;viavelESF[[#This Row],[C1]]&amp;"cm")</f>
        <v>7 Ø20mm C=430cm</v>
      </c>
      <c r="W5" s="4" t="str">
        <f ca="1">IF(viavelESF[[#This Row],[idDimensionamento]]="","N.A.",INDEX(ESF[],MATCH(viavelESF[[#This Row],[Pilar]]&amp;viavelESF[[#This Row],[idDimensionamento]],ESF[idPilar,idDimensionamento],0),MATCH("Asp e Asw (cm²/m)",ESF[#Headers],0)))</f>
        <v>N.A.</v>
      </c>
      <c r="X5" s="12">
        <f ca="1">IF(viavelESF[[#This Row],[Asp]]="N.A.",0,ROUNDUP(viavelESF[[#This Row],[Asp]]/(PI()*(viavelESF[[#This Row],[Ø2]]/10)^2/4)/2,0))</f>
        <v>0</v>
      </c>
      <c r="Y5" s="5">
        <f ca="1">IF(viavelESF[[#This Row],[Asp]]="N.A.",0,dArmadura(viavelESF[[#This Row],[nE]],viavelESF[[#This Row],[Ø (cm)]],viavelESF[[#This Row],[e (cm)]],viavelESF[[#This Row],[a (cm)]],viavelESF[[#This Row],[h (cm)]],viavelESF[[#Headers],[Asp]],viavelESF[[#This Row],[Asp]]))</f>
        <v>0</v>
      </c>
      <c r="Z5" s="12">
        <f ca="1">IF(viavelESF[[#This Row],[Asp]]="N.A.",0,comprimento(viavelESF[[#This Row],[nE]],viavelESF[[#This Row],[Ø2]],viavelESF[[#This Row],[e (cm)]],viavelESF[[#This Row],[a (cm)]],viavelESF[[#This Row],[h (cm)]],viavelESF[[#Headers],[Asp]]))</f>
        <v>0</v>
      </c>
      <c r="AA5" s="12" t="str">
        <f ca="1">IF(viavelESF[[#This Row],[N2]]=0,"N.A.",viavelESF[[#This Row],[N2]]&amp;" Ø"&amp;viavelESF[[#This Row],[Ø2]]&amp;"mm C="&amp;viavelESF[[#This Row],[C2]]&amp;"cm")</f>
        <v>N.A.</v>
      </c>
      <c r="AB5" s="4" t="str">
        <f ca="1">viavelESF[[#This Row],[Asp]]</f>
        <v>N.A.</v>
      </c>
      <c r="AC5" s="12">
        <f ca="1">IF(viavelESF[[#This Row],[Asw]]="N.A.",0,ROUNDUP(viavelESF[[#This Row],[Asw]]/(PI()*(viavelESF[[#This Row],[Ø3]]/10)^2/4)/2,0))</f>
        <v>0</v>
      </c>
      <c r="AD5" s="5">
        <f ca="1">IF(viavelESF[[#This Row],[Asw]]="N.A.",0,dArmadura(viavelESF[[#This Row],[nE]],viavelESF[[#This Row],[Ø (cm)]],viavelESF[[#This Row],[e (cm)]],viavelESF[[#This Row],[a (cm)]],viavelESF[[#This Row],[h (cm)]],viavelESF[[#Headers],[Asw]],viavelESF[[#This Row],[Asw]]))</f>
        <v>0</v>
      </c>
      <c r="AE5" s="12">
        <f ca="1">IF(viavelESF[[#This Row],[Asw]]="N.A.",0,comprimento(viavelESF[[#This Row],[nE]],viavelESF[[#This Row],[Ø3]],viavelESF[[#This Row],[e (cm)]],viavelESF[[#This Row],[a (cm)]],viavelESF[[#This Row],[h (cm)]],viavelESF[[#Headers],[Asw]]))</f>
        <v>0</v>
      </c>
      <c r="AF5" s="12" t="str">
        <f ca="1">IF(viavelESF[[#This Row],[N3]]=0,"N.A.",viavelESF[[#This Row],[N3]]&amp;" Ø"&amp;viavelESF[[#This Row],[Ø3]]&amp;"mm C="&amp;viavelESF[[#This Row],[C3]]&amp;"cm")</f>
        <v>N.A.</v>
      </c>
      <c r="AG5" s="4">
        <f ca="1">IF(viavelESF[[#This Row],[idDimensionamento]]="","N.A.",INDEX(ESF[],MATCH(viavelESF[[#This Row],[Pilar]]&amp;viavelESF[[#This Row],[idDimensionamento]],ESF[idPilar,idDimensionamento],0),MATCH("As,sup (cm²)",ESF[#Headers],0)))</f>
        <v>4.0250000000000004</v>
      </c>
      <c r="AH5" s="12">
        <f ca="1">IF(viavelESF[[#This Row],[As,sup]]="N.A.",0,ROUNDUP(viavelESF[[#This Row],[As,sup]]/(PI()*(viavelESF[[#This Row],[Ø4]]/10)^2/4),0))</f>
        <v>1</v>
      </c>
      <c r="AI5" s="5">
        <f ca="1">IF(viavelESF[[#This Row],[As,sup]]="N.A.",0,dArmadura(viavelESF[[#This Row],[nE]],viavelESF[[#This Row],[Ø (cm)]],viavelESF[[#This Row],[e (cm)]],viavelESF[[#This Row],[a (cm)]],viavelESF[[#This Row],[h (cm)]],viavelESF[[#Headers],[As,sup]],viavelESF[[#This Row],[As,sup]]))</f>
        <v>25</v>
      </c>
      <c r="AJ5" s="12">
        <f ca="1">IF(viavelESF[[#This Row],[As,sup]]="N.A.",0,comprimento(viavelESF[[#This Row],[nE]],viavelESF[[#This Row],[Ø4]],viavelESF[[#This Row],[e (cm)]],viavelESF[[#This Row],[a (cm)]],viavelESF[[#This Row],[h (cm)]],viavelESF[[#Headers],[As,sup]]))</f>
        <v>295</v>
      </c>
      <c r="AK5" s="12" t="str">
        <f ca="1">IF(viavelESF[[#This Row],[N4]]=0,"N.A.",viavelESF[[#This Row],[N4]]&amp;" Ø"&amp;viavelESF[[#This Row],[Ø4]]&amp;"mm C="&amp;viavelESF[[#This Row],[C4]]&amp;"cm")</f>
        <v>1 Ø25mm C=295cm</v>
      </c>
      <c r="AL5" s="4">
        <f ca="1">IF(viavelESF[[#This Row],[idDimensionamento]]="","N.A.",INDEX(ESF[],MATCH(viavelESF[[#This Row],[Pilar]]&amp;viavelESF[[#This Row],[idDimensionamento]],ESF[idPilar,idDimensionamento],0),MATCH("As,malha (cm²)",ESF[#Headers],0)))</f>
        <v>4.0250000000000004</v>
      </c>
      <c r="AM5" s="12">
        <f ca="1">IF(viavelESF[[#This Row],[As,malha]]="N.A.",0,ROUNDUP(viavelESF[[#This Row],[As,malha]]/(PI()*(viavelESF[[#This Row],[Ø5]]/10)^2/4),0))</f>
        <v>1</v>
      </c>
      <c r="AN5" s="5">
        <f ca="1">IF(viavelESF[[#This Row],[As,malha]]="N.A.",0,dArmadura(viavelESF[[#This Row],[nE]],viavelESF[[#This Row],[Ø (cm)]],viavelESF[[#This Row],[e (cm)]],viavelESF[[#This Row],[a (cm)]],viavelESF[[#This Row],[h (cm)]],viavelESF[[#Headers],[As,malha]],viavelESF[[#This Row],[As,malha]]))</f>
        <v>25</v>
      </c>
      <c r="AO5" s="12">
        <f ca="1">IF(viavelESF[[#This Row],[As,malha]]="N.A.",0,comprimento(viavelESF[[#This Row],[nE]],viavelESF[[#This Row],[Ø4]],viavelESF[[#This Row],[e (cm)]],viavelESF[[#This Row],[a (cm)]],viavelESF[[#This Row],[h (cm)]],viavelESF[[#Headers],[As,malha]]))</f>
        <v>465</v>
      </c>
      <c r="AP5" s="12" t="str">
        <f ca="1">IF(viavelESF[[#This Row],[N5]]=0,"N.A.",viavelESF[[#This Row],[N5]]&amp;" Ø"&amp;viavelESF[[#This Row],[Ø5]]&amp;"mm C="&amp;viavelESF[[#This Row],[C5]]&amp;"cm")</f>
        <v>1 Ø25mm C=465cm</v>
      </c>
      <c r="AQ5" s="4">
        <f ca="1">IF(viavelESF[[#This Row],[idDimensionamento]]="","N.A.",INDEX(ESF[],MATCH(viavelESF[[#This Row],[Pilar]]&amp;viavelESF[[#This Row],[idDimensionamento]],ESF[idPilar,idDimensionamento],0),MATCH("As,susp,tot (cm²)",ESF[#Headers],0)))</f>
        <v>13.416666666666666</v>
      </c>
      <c r="AR5" s="12">
        <f ca="1">IF(viavelESF[[#This Row],[As,susp,tot]]="N.A.",0,ROUNDUP(viavelESF[[#This Row],[As,susp,tot]]/(PI()*(viavelESF[[#This Row],[Ø6]]/10)^2/4),0))</f>
        <v>27</v>
      </c>
      <c r="AS5" s="5">
        <f ca="1">IF(viavelESF[[#This Row],[As,susp,tot]]="N.A.",0,dArmadura(viavelESF[[#This Row],[nE]],viavelESF[[#This Row],[Ø (cm)]],viavelESF[[#This Row],[e (cm)]],viavelESF[[#This Row],[a (cm)]],viavelESF[[#This Row],[h (cm)]],viavelESF[[#Headers],[As,susp,tot]],viavelESF[[#This Row],[As,susp,tot]]))</f>
        <v>8</v>
      </c>
      <c r="AT5" s="12">
        <f ca="1">IF(viavelESF[[#This Row],[As,susp,tot]]="N.A.",0,comprimento(viavelESF[[#This Row],[nE]],viavelESF[[#This Row],[Ø4]],viavelESF[[#This Row],[e (cm)]],viavelESF[[#This Row],[a (cm)]],viavelESF[[#This Row],[h (cm)]],viavelESF[[#Headers],[As,susp,tot]]))</f>
        <v>235</v>
      </c>
      <c r="AU5" s="12" t="str">
        <f ca="1">IF(viavelESF[[#This Row],[N6]]=0,"N.A.",viavelESF[[#This Row],[N6]]&amp;" Ø"&amp;viavelESF[[#This Row],[Ø6]]&amp;"mm C="&amp;viavelESF[[#This Row],[C6]]&amp;"cm")</f>
        <v>27 Ø8mm C=235cm</v>
      </c>
      <c r="AV5" s="4">
        <f ca="1">IF(viavelESF[[#This Row],[idDimensionamento]]="","N.A.",INDEX(ESF[],MATCH(viavelESF[[#This Row],[Pilar]]&amp;viavelESF[[#This Row],[idDimensionamento]],ESF[idPilar,idDimensionamento],0),MATCH("Asp,face (cm²)",ESF[#Headers],0)))</f>
        <v>10.0625</v>
      </c>
      <c r="AW5" s="12">
        <f ca="1">IF(viavelESF[[#This Row],[Asp,face]]="N.A.",0,ROUNDUP(viavelESF[[#This Row],[Asp,face]]/(PI()*(viavelESF[[#This Row],[Ø7]]/10)^2/4),0))</f>
        <v>13</v>
      </c>
      <c r="AX5" s="5">
        <f ca="1">IF(viavelESF[[#This Row],[Asp,face]]="N.A.",0,dArmadura(viavelESF[[#This Row],[nE]],viavelESF[[#This Row],[Ø (cm)]],viavelESF[[#This Row],[e (cm)]],viavelESF[[#This Row],[a (cm)]],viavelESF[[#This Row],[h (cm)]],viavelESF[[#Headers],[Asp,face]],viavelESF[[#This Row],[Asp,face]]))</f>
        <v>10</v>
      </c>
      <c r="AY5" s="12">
        <f ca="1">IF(viavelESF[[#This Row],[Asp,face]]="N.A.",0,comprimento(viavelESF[[#This Row],[nE]],viavelESF[[#This Row],[Ø4]],viavelESF[[#This Row],[e (cm)]],viavelESF[[#This Row],[a (cm)]],viavelESF[[#This Row],[h (cm)]],viavelESF[[#Headers],[Asp,face]]))</f>
        <v>1185</v>
      </c>
      <c r="AZ5" s="12" t="str">
        <f ca="1">IF(viavelESF[[#This Row],[N7]]=0,"N.A.",viavelESF[[#This Row],[N7]]&amp;" Ø"&amp;viavelESF[[#This Row],[Ø7]]&amp;"mm C="&amp;viavelESF[[#This Row],[C7]]&amp;"cm")</f>
        <v>13 Ø10mm C=1185cm</v>
      </c>
    </row>
    <row r="6" spans="2:52" x14ac:dyDescent="0.25">
      <c r="B6" s="1">
        <f>COUNTIF($C$4:C5,viavelESF[[#This Row],[Pilar]])+1</f>
        <v>2</v>
      </c>
      <c r="C6" s="16">
        <f>ROUNDDOWN((COUNTA($C$4:C5)-1)/3,0)+1</f>
        <v>1</v>
      </c>
      <c r="D6" s="16" t="str">
        <f ca="1">opcao($B$2,viavelESF[[#This Row],[Pilar]],viavelESF[[#This Row],[Opção]])</f>
        <v/>
      </c>
      <c r="E6" s="12">
        <f>INDEX(PILARES[],MATCH(viavelESF[[#This Row],[Pilar]],PILARES[Pilar],0),MATCH(viavelESF[[#Headers],[ap (cm)]],PILARES[#Headers],0))</f>
        <v>60</v>
      </c>
      <c r="F6" s="12">
        <f>INDEX(PILARES[],MATCH(viavelESF[[#This Row],[Pilar]],PILARES[Pilar],0),MATCH(viavelESF[[#Headers],[bp (cm)]],PILARES[#Headers],0))</f>
        <v>60</v>
      </c>
      <c r="G6" s="12">
        <f ca="1">IF(viavelESF[[#This Row],[idDimensionamento]]="",0,INDEX(ESF[],MATCH(viavelESF[[#This Row],[Pilar]]&amp;viavelESF[[#This Row],[idDimensionamento]],ESF[idPilar,idDimensionamento],0),MATCH(viavelESF[[#Headers],[nE]],ESF[#Headers],0)))</f>
        <v>0</v>
      </c>
      <c r="H6" s="12" t="e">
        <f ca="1">INDEX(ESF[],MATCH(viavelESF[[#This Row],[Pilar]]&amp;viavelESF[[#This Row],[idDimensionamento]],ESF[idPilar,idDimensionamento],0),MATCH(viavelESF[[#Headers],[Ø (cm)]],ESF[#Headers],0))</f>
        <v>#N/A</v>
      </c>
      <c r="I6" s="4" t="e">
        <f ca="1">INDEX(ESF[],MATCH(viavelESF[[#This Row],[Pilar]]&amp;viavelESF[[#This Row],[idDimensionamento]],ESF[idPilar,idDimensionamento],0),MATCH("As,mín (cm²)",ESF[#Headers],0))</f>
        <v>#N/A</v>
      </c>
      <c r="J6" s="12">
        <f ca="1">IF(viavelESF[[#This Row],[idDimensionamento]]="",0,6)</f>
        <v>0</v>
      </c>
      <c r="K6" s="5">
        <f ca="1">IF(viavelESF[[#This Row],[idDimensionamento]]="",0,INDEX(areaAco[],MATCH(10*SQRT(viavelESF[[#This Row],[As,mín]]*4/(viavelESF[[#This Row],[N]]*PI())),areaAco[Ø\QNTD],1)+1,1))</f>
        <v>0</v>
      </c>
      <c r="L6" s="12">
        <f ca="1">IF(viavelESF[[#This Row],[idDimensionamento]]="",0,INDEX(ESF[],MATCH(viavelESF[[#This Row],[Pilar]]&amp;viavelESF[[#This Row],[idDimensionamento]],ESF[idPilar,idDimensionamento],0),MATCH("Comprimento (m)",ESF[#Headers],0))*100)</f>
        <v>0</v>
      </c>
      <c r="M6" s="12" t="str">
        <f ca="1">IF(viavelESF[[#This Row],[N]]=0,"N.A.",viavelESF[[#This Row],[N]]&amp;" Ø"&amp;viavelESF[[#This Row],[Ø]]&amp;"mm C="&amp;viavelESF[[#This Row],[C]]&amp;"cm")</f>
        <v>N.A.</v>
      </c>
      <c r="N6" s="5">
        <f ca="1">viavelESF[[#This Row],[nE]]*viavelESF[[#This Row],[N]]*(PI()*(viavelESF[[#This Row],[Ø]]/10)^2/4*viavelESF[[#This Row],[C]])/100^3*7850</f>
        <v>0</v>
      </c>
      <c r="O6" s="5" t="e">
        <f ca="1">INDEX(ESF[],MATCH(viavelESF[[#This Row],[Pilar]]&amp;viavelESF[[#This Row],[idDimensionamento]],ESF[idPilar,idDimensionamento],0),MATCH(viavelESF[[#Headers],[e (cm)]],ESF[#Headers],0))</f>
        <v>#N/A</v>
      </c>
      <c r="P6" s="5" t="e">
        <f ca="1">INDEX(ESF[],MATCH(viavelESF[[#This Row],[Pilar]]&amp;viavelESF[[#This Row],[idDimensionamento]],ESF[idPilar,idDimensionamento],0),MATCH(viavelESF[[#Headers],[a (cm)]],ESF[#Headers],0))</f>
        <v>#N/A</v>
      </c>
      <c r="Q6" s="5" t="e">
        <f ca="1">INDEX(ESF[],MATCH(viavelESF[[#This Row],[Pilar]]&amp;viavelESF[[#This Row],[idDimensionamento]],ESF[idPilar,idDimensionamento],0),MATCH(viavelESF[[#Headers],[h (cm)]],ESF[#Headers],0))</f>
        <v>#N/A</v>
      </c>
      <c r="R6" s="4" t="str">
        <f ca="1">IF(viavelESF[[#This Row],[idDimensionamento]]="","N.A.",INDEX(ESF[],MATCH(viavelESF[[#This Row],[Pilar]]&amp;viavelESF[[#This Row],[idDimensionamento]],ESF[idPilar,idDimensionamento],0),MATCH("As,lado (cm²)",ESF[#Headers],0)))</f>
        <v>N.A.</v>
      </c>
      <c r="S6" s="12">
        <f ca="1">IF(viavelESF[[#This Row],[As,lado]]="N.A.",0,IF(viavelESF[[#This Row],[nE]]=1,ROUNDUP(viavelESF[[#This Row],[As,lado]]/(PI()*(viavelESF[[#This Row],[Ø1]]/10)^2/4)/2,0),ROUNDUP(viavelESF[[#This Row],[As,lado]]/(PI()*(viavelESF[[#This Row],[Ø1]]/10)^2/4),0)))</f>
        <v>0</v>
      </c>
      <c r="T6" s="5">
        <f ca="1">IF(viavelESF[[#This Row],[As,lado]]="N.A.",0,dArmadura(viavelESF[[#This Row],[nE]],viavelESF[[#This Row],[Ø (cm)]],viavelESF[[#This Row],[e (cm)]],viavelESF[[#This Row],[a (cm)]],viavelESF[[#This Row],[h (cm)]],viavelESF[[#Headers],[As,lado]],viavelESF[[#This Row],[As,lado]]))</f>
        <v>0</v>
      </c>
      <c r="U6" s="12">
        <f ca="1">IF(viavelESF[[#This Row],[As,lado]]="N.A.",0,comprimento(viavelESF[[#This Row],[nE]],viavelESF[[#This Row],[Ø1]],viavelESF[[#This Row],[e (cm)]],viavelESF[[#This Row],[a (cm)]],viavelESF[[#This Row],[h (cm)]],viavelESF[[#Headers],[As,lado]]))</f>
        <v>0</v>
      </c>
      <c r="V6" s="12" t="str">
        <f ca="1">IF(viavelESF[[#This Row],[N1]]=0,"N.A.",viavelESF[[#This Row],[N1]]&amp;" Ø"&amp;viavelESF[[#This Row],[Ø1]]&amp;"mm C="&amp;viavelESF[[#This Row],[C1]]&amp;"cm")</f>
        <v>N.A.</v>
      </c>
      <c r="W6" s="4" t="str">
        <f ca="1">IF(viavelESF[[#This Row],[idDimensionamento]]="","N.A.",INDEX(ESF[],MATCH(viavelESF[[#This Row],[Pilar]]&amp;viavelESF[[#This Row],[idDimensionamento]],ESF[idPilar,idDimensionamento],0),MATCH("Asp e Asw (cm²/m)",ESF[#Headers],0)))</f>
        <v>N.A.</v>
      </c>
      <c r="X6" s="12">
        <f ca="1">IF(viavelESF[[#This Row],[Asp]]="N.A.",0,ROUNDUP(viavelESF[[#This Row],[Asp]]/(PI()*(viavelESF[[#This Row],[Ø2]]/10)^2/4)/2,0))</f>
        <v>0</v>
      </c>
      <c r="Y6" s="5">
        <f ca="1">IF(viavelESF[[#This Row],[Asp]]="N.A.",0,dArmadura(viavelESF[[#This Row],[nE]],viavelESF[[#This Row],[Ø (cm)]],viavelESF[[#This Row],[e (cm)]],viavelESF[[#This Row],[a (cm)]],viavelESF[[#This Row],[h (cm)]],viavelESF[[#Headers],[Asp]],viavelESF[[#This Row],[Asp]]))</f>
        <v>0</v>
      </c>
      <c r="Z6" s="12">
        <f ca="1">IF(viavelESF[[#This Row],[Asp]]="N.A.",0,comprimento(viavelESF[[#This Row],[nE]],viavelESF[[#This Row],[Ø2]],viavelESF[[#This Row],[e (cm)]],viavelESF[[#This Row],[a (cm)]],viavelESF[[#This Row],[h (cm)]],viavelESF[[#Headers],[Asp]]))</f>
        <v>0</v>
      </c>
      <c r="AA6" s="12" t="str">
        <f ca="1">IF(viavelESF[[#This Row],[N2]]=0,"N.A.",viavelESF[[#This Row],[N2]]&amp;" Ø"&amp;viavelESF[[#This Row],[Ø2]]&amp;"mm C="&amp;viavelESF[[#This Row],[C2]]&amp;"cm")</f>
        <v>N.A.</v>
      </c>
      <c r="AB6" s="4" t="str">
        <f ca="1">viavelESF[[#This Row],[Asp]]</f>
        <v>N.A.</v>
      </c>
      <c r="AC6" s="12">
        <f ca="1">IF(viavelESF[[#This Row],[Asw]]="N.A.",0,ROUNDUP(viavelESF[[#This Row],[Asw]]/(PI()*(viavelESF[[#This Row],[Ø3]]/10)^2/4)/2,0))</f>
        <v>0</v>
      </c>
      <c r="AD6" s="5">
        <f ca="1">IF(viavelESF[[#This Row],[Asw]]="N.A.",0,dArmadura(viavelESF[[#This Row],[nE]],viavelESF[[#This Row],[Ø (cm)]],viavelESF[[#This Row],[e (cm)]],viavelESF[[#This Row],[a (cm)]],viavelESF[[#This Row],[h (cm)]],viavelESF[[#Headers],[Asw]],viavelESF[[#This Row],[Asw]]))</f>
        <v>0</v>
      </c>
      <c r="AE6" s="12">
        <f ca="1">IF(viavelESF[[#This Row],[Asw]]="N.A.",0,comprimento(viavelESF[[#This Row],[nE]],viavelESF[[#This Row],[Ø3]],viavelESF[[#This Row],[e (cm)]],viavelESF[[#This Row],[a (cm)]],viavelESF[[#This Row],[h (cm)]],viavelESF[[#Headers],[Asw]]))</f>
        <v>0</v>
      </c>
      <c r="AF6" s="12" t="str">
        <f ca="1">IF(viavelESF[[#This Row],[N3]]=0,"N.A.",viavelESF[[#This Row],[N3]]&amp;" Ø"&amp;viavelESF[[#This Row],[Ø3]]&amp;"mm C="&amp;viavelESF[[#This Row],[C3]]&amp;"cm")</f>
        <v>N.A.</v>
      </c>
      <c r="AG6" s="4" t="str">
        <f ca="1">IF(viavelESF[[#This Row],[idDimensionamento]]="","N.A.",INDEX(ESF[],MATCH(viavelESF[[#This Row],[Pilar]]&amp;viavelESF[[#This Row],[idDimensionamento]],ESF[idPilar,idDimensionamento],0),MATCH("As,sup (cm²)",ESF[#Headers],0)))</f>
        <v>N.A.</v>
      </c>
      <c r="AH6" s="12">
        <f ca="1">IF(viavelESF[[#This Row],[As,sup]]="N.A.",0,ROUNDUP(viavelESF[[#This Row],[As,sup]]/(PI()*(viavelESF[[#This Row],[Ø4]]/10)^2/4),0))</f>
        <v>0</v>
      </c>
      <c r="AI6" s="5">
        <f ca="1">IF(viavelESF[[#This Row],[As,sup]]="N.A.",0,dArmadura(viavelESF[[#This Row],[nE]],viavelESF[[#This Row],[Ø (cm)]],viavelESF[[#This Row],[e (cm)]],viavelESF[[#This Row],[a (cm)]],viavelESF[[#This Row],[h (cm)]],viavelESF[[#Headers],[As,sup]],viavelESF[[#This Row],[As,sup]]))</f>
        <v>0</v>
      </c>
      <c r="AJ6" s="12">
        <f ca="1">IF(viavelESF[[#This Row],[As,sup]]="N.A.",0,comprimento(viavelESF[[#This Row],[nE]],viavelESF[[#This Row],[Ø4]],viavelESF[[#This Row],[e (cm)]],viavelESF[[#This Row],[a (cm)]],viavelESF[[#This Row],[h (cm)]],viavelESF[[#Headers],[As,sup]]))</f>
        <v>0</v>
      </c>
      <c r="AK6" s="12" t="str">
        <f ca="1">IF(viavelESF[[#This Row],[N4]]=0,"N.A.",viavelESF[[#This Row],[N4]]&amp;" Ø"&amp;viavelESF[[#This Row],[Ø4]]&amp;"mm C="&amp;viavelESF[[#This Row],[C4]]&amp;"cm")</f>
        <v>N.A.</v>
      </c>
      <c r="AL6" s="4" t="str">
        <f ca="1">IF(viavelESF[[#This Row],[idDimensionamento]]="","N.A.",INDEX(ESF[],MATCH(viavelESF[[#This Row],[Pilar]]&amp;viavelESF[[#This Row],[idDimensionamento]],ESF[idPilar,idDimensionamento],0),MATCH("As,malha (cm²)",ESF[#Headers],0)))</f>
        <v>N.A.</v>
      </c>
      <c r="AM6" s="12">
        <f ca="1">IF(viavelESF[[#This Row],[As,malha]]="N.A.",0,ROUNDUP(viavelESF[[#This Row],[As,malha]]/(PI()*(viavelESF[[#This Row],[Ø5]]/10)^2/4),0))</f>
        <v>0</v>
      </c>
      <c r="AN6" s="5">
        <f ca="1">IF(viavelESF[[#This Row],[As,malha]]="N.A.",0,dArmadura(viavelESF[[#This Row],[nE]],viavelESF[[#This Row],[Ø (cm)]],viavelESF[[#This Row],[e (cm)]],viavelESF[[#This Row],[a (cm)]],viavelESF[[#This Row],[h (cm)]],viavelESF[[#Headers],[As,malha]],viavelESF[[#This Row],[As,malha]]))</f>
        <v>0</v>
      </c>
      <c r="AO6" s="12">
        <f ca="1">IF(viavelESF[[#This Row],[As,malha]]="N.A.",0,comprimento(viavelESF[[#This Row],[nE]],viavelESF[[#This Row],[Ø4]],viavelESF[[#This Row],[e (cm)]],viavelESF[[#This Row],[a (cm)]],viavelESF[[#This Row],[h (cm)]],viavelESF[[#Headers],[As,malha]]))</f>
        <v>0</v>
      </c>
      <c r="AP6" s="12" t="str">
        <f ca="1">IF(viavelESF[[#This Row],[N5]]=0,"N.A.",viavelESF[[#This Row],[N5]]&amp;" Ø"&amp;viavelESF[[#This Row],[Ø5]]&amp;"mm C="&amp;viavelESF[[#This Row],[C5]]&amp;"cm")</f>
        <v>N.A.</v>
      </c>
      <c r="AQ6" s="4" t="str">
        <f ca="1">IF(viavelESF[[#This Row],[idDimensionamento]]="","N.A.",INDEX(ESF[],MATCH(viavelESF[[#This Row],[Pilar]]&amp;viavelESF[[#This Row],[idDimensionamento]],ESF[idPilar,idDimensionamento],0),MATCH("As,susp,tot (cm²)",ESF[#Headers],0)))</f>
        <v>N.A.</v>
      </c>
      <c r="AR6" s="12">
        <f ca="1">IF(viavelESF[[#This Row],[As,susp,tot]]="N.A.",0,ROUNDUP(viavelESF[[#This Row],[As,susp,tot]]/(PI()*(viavelESF[[#This Row],[Ø6]]/10)^2/4),0))</f>
        <v>0</v>
      </c>
      <c r="AS6" s="5">
        <f ca="1">IF(viavelESF[[#This Row],[As,susp,tot]]="N.A.",0,dArmadura(viavelESF[[#This Row],[nE]],viavelESF[[#This Row],[Ø (cm)]],viavelESF[[#This Row],[e (cm)]],viavelESF[[#This Row],[a (cm)]],viavelESF[[#This Row],[h (cm)]],viavelESF[[#Headers],[As,susp,tot]],viavelESF[[#This Row],[As,susp,tot]]))</f>
        <v>0</v>
      </c>
      <c r="AT6" s="12">
        <f ca="1">IF(viavelESF[[#This Row],[As,susp,tot]]="N.A.",0,comprimento(viavelESF[[#This Row],[nE]],viavelESF[[#This Row],[Ø4]],viavelESF[[#This Row],[e (cm)]],viavelESF[[#This Row],[a (cm)]],viavelESF[[#This Row],[h (cm)]],viavelESF[[#Headers],[As,susp,tot]]))</f>
        <v>0</v>
      </c>
      <c r="AU6" s="12" t="str">
        <f ca="1">IF(viavelESF[[#This Row],[N6]]=0,"N.A.",viavelESF[[#This Row],[N6]]&amp;" Ø"&amp;viavelESF[[#This Row],[Ø6]]&amp;"mm C="&amp;viavelESF[[#This Row],[C6]]&amp;"cm")</f>
        <v>N.A.</v>
      </c>
      <c r="AV6" s="4" t="str">
        <f ca="1">IF(viavelESF[[#This Row],[idDimensionamento]]="","N.A.",INDEX(ESF[],MATCH(viavelESF[[#This Row],[Pilar]]&amp;viavelESF[[#This Row],[idDimensionamento]],ESF[idPilar,idDimensionamento],0),MATCH("Asp,face (cm²)",ESF[#Headers],0)))</f>
        <v>N.A.</v>
      </c>
      <c r="AW6" s="12">
        <f ca="1">IF(viavelESF[[#This Row],[Asp,face]]="N.A.",0,ROUNDUP(viavelESF[[#This Row],[Asp,face]]/(PI()*(viavelESF[[#This Row],[Ø7]]/10)^2/4),0))</f>
        <v>0</v>
      </c>
      <c r="AX6" s="5">
        <f ca="1">IF(viavelESF[[#This Row],[Asp,face]]="N.A.",0,dArmadura(viavelESF[[#This Row],[nE]],viavelESF[[#This Row],[Ø (cm)]],viavelESF[[#This Row],[e (cm)]],viavelESF[[#This Row],[a (cm)]],viavelESF[[#This Row],[h (cm)]],viavelESF[[#Headers],[Asp,face]],viavelESF[[#This Row],[Asp,face]]))</f>
        <v>0</v>
      </c>
      <c r="AY6" s="12">
        <f ca="1">IF(viavelESF[[#This Row],[Asp,face]]="N.A.",0,comprimento(viavelESF[[#This Row],[nE]],viavelESF[[#This Row],[Ø4]],viavelESF[[#This Row],[e (cm)]],viavelESF[[#This Row],[a (cm)]],viavelESF[[#This Row],[h (cm)]],viavelESF[[#Headers],[Asp,face]]))</f>
        <v>0</v>
      </c>
      <c r="AZ6" s="12" t="str">
        <f ca="1">IF(viavelESF[[#This Row],[N7]]=0,"N.A.",viavelESF[[#This Row],[N7]]&amp;" Ø"&amp;viavelESF[[#This Row],[Ø7]]&amp;"mm C="&amp;viavelESF[[#This Row],[C7]]&amp;"cm")</f>
        <v>N.A.</v>
      </c>
    </row>
    <row r="7" spans="2:52" x14ac:dyDescent="0.25">
      <c r="B7" s="1">
        <f>COUNTIF($C$4:C6,viavelESF[[#This Row],[Pilar]])+1</f>
        <v>3</v>
      </c>
      <c r="C7" s="16">
        <f>ROUNDDOWN((COUNTA($C$4:C6)-1)/3,0)+1</f>
        <v>1</v>
      </c>
      <c r="D7" s="16" t="str">
        <f ca="1">opcao($B$2,viavelESF[[#This Row],[Pilar]],viavelESF[[#This Row],[Opção]])</f>
        <v/>
      </c>
      <c r="E7" s="12">
        <f>INDEX(PILARES[],MATCH(viavelESF[[#This Row],[Pilar]],PILARES[Pilar],0),MATCH(viavelESF[[#Headers],[ap (cm)]],PILARES[#Headers],0))</f>
        <v>60</v>
      </c>
      <c r="F7" s="12">
        <f>INDEX(PILARES[],MATCH(viavelESF[[#This Row],[Pilar]],PILARES[Pilar],0),MATCH(viavelESF[[#Headers],[bp (cm)]],PILARES[#Headers],0))</f>
        <v>60</v>
      </c>
      <c r="G7" s="12">
        <f ca="1">IF(viavelESF[[#This Row],[idDimensionamento]]="",0,INDEX(ESF[],MATCH(viavelESF[[#This Row],[Pilar]]&amp;viavelESF[[#This Row],[idDimensionamento]],ESF[idPilar,idDimensionamento],0),MATCH(viavelESF[[#Headers],[nE]],ESF[#Headers],0)))</f>
        <v>0</v>
      </c>
      <c r="H7" s="12" t="e">
        <f ca="1">INDEX(ESF[],MATCH(viavelESF[[#This Row],[Pilar]]&amp;viavelESF[[#This Row],[idDimensionamento]],ESF[idPilar,idDimensionamento],0),MATCH(viavelESF[[#Headers],[Ø (cm)]],ESF[#Headers],0))</f>
        <v>#N/A</v>
      </c>
      <c r="I7" s="4" t="e">
        <f ca="1">INDEX(ESF[],MATCH(viavelESF[[#This Row],[Pilar]]&amp;viavelESF[[#This Row],[idDimensionamento]],ESF[idPilar,idDimensionamento],0),MATCH("As,mín (cm²)",ESF[#Headers],0))</f>
        <v>#N/A</v>
      </c>
      <c r="J7" s="12">
        <f ca="1">IF(viavelESF[[#This Row],[idDimensionamento]]="",0,6)</f>
        <v>0</v>
      </c>
      <c r="K7" s="5">
        <f ca="1">IF(viavelESF[[#This Row],[idDimensionamento]]="",0,INDEX(areaAco[],MATCH(10*SQRT(viavelESF[[#This Row],[As,mín]]*4/(viavelESF[[#This Row],[N]]*PI())),areaAco[Ø\QNTD],1)+1,1))</f>
        <v>0</v>
      </c>
      <c r="L7" s="12">
        <f ca="1">IF(viavelESF[[#This Row],[idDimensionamento]]="",0,INDEX(ESF[],MATCH(viavelESF[[#This Row],[Pilar]]&amp;viavelESF[[#This Row],[idDimensionamento]],ESF[idPilar,idDimensionamento],0),MATCH("Comprimento (m)",ESF[#Headers],0))*100)</f>
        <v>0</v>
      </c>
      <c r="M7" s="12" t="str">
        <f ca="1">IF(viavelESF[[#This Row],[N]]=0,"N.A.",viavelESF[[#This Row],[N]]&amp;" Ø"&amp;viavelESF[[#This Row],[Ø]]&amp;"mm C="&amp;viavelESF[[#This Row],[C]]&amp;"cm")</f>
        <v>N.A.</v>
      </c>
      <c r="N7" s="5">
        <f ca="1">viavelESF[[#This Row],[nE]]*viavelESF[[#This Row],[N]]*(PI()*(viavelESF[[#This Row],[Ø]]/10)^2/4*viavelESF[[#This Row],[C]])/100^3*7850</f>
        <v>0</v>
      </c>
      <c r="O7" s="5" t="e">
        <f ca="1">INDEX(ESF[],MATCH(viavelESF[[#This Row],[Pilar]]&amp;viavelESF[[#This Row],[idDimensionamento]],ESF[idPilar,idDimensionamento],0),MATCH(viavelESF[[#Headers],[e (cm)]],ESF[#Headers],0))</f>
        <v>#N/A</v>
      </c>
      <c r="P7" s="5" t="e">
        <f ca="1">INDEX(ESF[],MATCH(viavelESF[[#This Row],[Pilar]]&amp;viavelESF[[#This Row],[idDimensionamento]],ESF[idPilar,idDimensionamento],0),MATCH(viavelESF[[#Headers],[a (cm)]],ESF[#Headers],0))</f>
        <v>#N/A</v>
      </c>
      <c r="Q7" s="5" t="e">
        <f ca="1">INDEX(ESF[],MATCH(viavelESF[[#This Row],[Pilar]]&amp;viavelESF[[#This Row],[idDimensionamento]],ESF[idPilar,idDimensionamento],0),MATCH(viavelESF[[#Headers],[h (cm)]],ESF[#Headers],0))</f>
        <v>#N/A</v>
      </c>
      <c r="R7" s="4" t="str">
        <f ca="1">IF(viavelESF[[#This Row],[idDimensionamento]]="","N.A.",INDEX(ESF[],MATCH(viavelESF[[#This Row],[Pilar]]&amp;viavelESF[[#This Row],[idDimensionamento]],ESF[idPilar,idDimensionamento],0),MATCH("As,lado (cm²)",ESF[#Headers],0)))</f>
        <v>N.A.</v>
      </c>
      <c r="S7" s="12">
        <f ca="1">IF(viavelESF[[#This Row],[As,lado]]="N.A.",0,IF(viavelESF[[#This Row],[nE]]=1,ROUNDUP(viavelESF[[#This Row],[As,lado]]/(PI()*(viavelESF[[#This Row],[Ø1]]/10)^2/4)/2,0),ROUNDUP(viavelESF[[#This Row],[As,lado]]/(PI()*(viavelESF[[#This Row],[Ø1]]/10)^2/4),0)))</f>
        <v>0</v>
      </c>
      <c r="T7" s="5">
        <f ca="1">IF(viavelESF[[#This Row],[As,lado]]="N.A.",0,dArmadura(viavelESF[[#This Row],[nE]],viavelESF[[#This Row],[Ø (cm)]],viavelESF[[#This Row],[e (cm)]],viavelESF[[#This Row],[a (cm)]],viavelESF[[#This Row],[h (cm)]],viavelESF[[#Headers],[As,lado]],viavelESF[[#This Row],[As,lado]]))</f>
        <v>0</v>
      </c>
      <c r="U7" s="12">
        <f ca="1">IF(viavelESF[[#This Row],[As,lado]]="N.A.",0,comprimento(viavelESF[[#This Row],[nE]],viavelESF[[#This Row],[Ø1]],viavelESF[[#This Row],[e (cm)]],viavelESF[[#This Row],[a (cm)]],viavelESF[[#This Row],[h (cm)]],viavelESF[[#Headers],[As,lado]]))</f>
        <v>0</v>
      </c>
      <c r="V7" s="12" t="str">
        <f ca="1">IF(viavelESF[[#This Row],[N1]]=0,"N.A.",viavelESF[[#This Row],[N1]]&amp;" Ø"&amp;viavelESF[[#This Row],[Ø1]]&amp;"mm C="&amp;viavelESF[[#This Row],[C1]]&amp;"cm")</f>
        <v>N.A.</v>
      </c>
      <c r="W7" s="4" t="str">
        <f ca="1">IF(viavelESF[[#This Row],[idDimensionamento]]="","N.A.",INDEX(ESF[],MATCH(viavelESF[[#This Row],[Pilar]]&amp;viavelESF[[#This Row],[idDimensionamento]],ESF[idPilar,idDimensionamento],0),MATCH("Asp e Asw (cm²/m)",ESF[#Headers],0)))</f>
        <v>N.A.</v>
      </c>
      <c r="X7" s="12">
        <f ca="1">IF(viavelESF[[#This Row],[Asp]]="N.A.",0,ROUNDUP(viavelESF[[#This Row],[Asp]]/(PI()*(viavelESF[[#This Row],[Ø2]]/10)^2/4)/2,0))</f>
        <v>0</v>
      </c>
      <c r="Y7" s="5">
        <f ca="1">IF(viavelESF[[#This Row],[Asp]]="N.A.",0,dArmadura(viavelESF[[#This Row],[nE]],viavelESF[[#This Row],[Ø (cm)]],viavelESF[[#This Row],[e (cm)]],viavelESF[[#This Row],[a (cm)]],viavelESF[[#This Row],[h (cm)]],viavelESF[[#Headers],[Asp]],viavelESF[[#This Row],[Asp]]))</f>
        <v>0</v>
      </c>
      <c r="Z7" s="12">
        <f ca="1">IF(viavelESF[[#This Row],[Asp]]="N.A.",0,comprimento(viavelESF[[#This Row],[nE]],viavelESF[[#This Row],[Ø2]],viavelESF[[#This Row],[e (cm)]],viavelESF[[#This Row],[a (cm)]],viavelESF[[#This Row],[h (cm)]],viavelESF[[#Headers],[Asp]]))</f>
        <v>0</v>
      </c>
      <c r="AA7" s="12" t="str">
        <f ca="1">IF(viavelESF[[#This Row],[N2]]=0,"N.A.",viavelESF[[#This Row],[N2]]&amp;" Ø"&amp;viavelESF[[#This Row],[Ø2]]&amp;"mm C="&amp;viavelESF[[#This Row],[C2]]&amp;"cm")</f>
        <v>N.A.</v>
      </c>
      <c r="AB7" s="4" t="str">
        <f ca="1">viavelESF[[#This Row],[Asp]]</f>
        <v>N.A.</v>
      </c>
      <c r="AC7" s="12">
        <f ca="1">IF(viavelESF[[#This Row],[Asw]]="N.A.",0,ROUNDUP(viavelESF[[#This Row],[Asw]]/(PI()*(viavelESF[[#This Row],[Ø3]]/10)^2/4)/2,0))</f>
        <v>0</v>
      </c>
      <c r="AD7" s="5">
        <f ca="1">IF(viavelESF[[#This Row],[Asw]]="N.A.",0,dArmadura(viavelESF[[#This Row],[nE]],viavelESF[[#This Row],[Ø (cm)]],viavelESF[[#This Row],[e (cm)]],viavelESF[[#This Row],[a (cm)]],viavelESF[[#This Row],[h (cm)]],viavelESF[[#Headers],[Asw]],viavelESF[[#This Row],[Asw]]))</f>
        <v>0</v>
      </c>
      <c r="AE7" s="12">
        <f ca="1">IF(viavelESF[[#This Row],[Asw]]="N.A.",0,comprimento(viavelESF[[#This Row],[nE]],viavelESF[[#This Row],[Ø3]],viavelESF[[#This Row],[e (cm)]],viavelESF[[#This Row],[a (cm)]],viavelESF[[#This Row],[h (cm)]],viavelESF[[#Headers],[Asw]]))</f>
        <v>0</v>
      </c>
      <c r="AF7" s="12" t="str">
        <f ca="1">IF(viavelESF[[#This Row],[N3]]=0,"N.A.",viavelESF[[#This Row],[N3]]&amp;" Ø"&amp;viavelESF[[#This Row],[Ø3]]&amp;"mm C="&amp;viavelESF[[#This Row],[C3]]&amp;"cm")</f>
        <v>N.A.</v>
      </c>
      <c r="AG7" s="4" t="str">
        <f ca="1">IF(viavelESF[[#This Row],[idDimensionamento]]="","N.A.",INDEX(ESF[],MATCH(viavelESF[[#This Row],[Pilar]]&amp;viavelESF[[#This Row],[idDimensionamento]],ESF[idPilar,idDimensionamento],0),MATCH("As,sup (cm²)",ESF[#Headers],0)))</f>
        <v>N.A.</v>
      </c>
      <c r="AH7" s="12">
        <f ca="1">IF(viavelESF[[#This Row],[As,sup]]="N.A.",0,ROUNDUP(viavelESF[[#This Row],[As,sup]]/(PI()*(viavelESF[[#This Row],[Ø4]]/10)^2/4),0))</f>
        <v>0</v>
      </c>
      <c r="AI7" s="5">
        <f ca="1">IF(viavelESF[[#This Row],[As,sup]]="N.A.",0,dArmadura(viavelESF[[#This Row],[nE]],viavelESF[[#This Row],[Ø (cm)]],viavelESF[[#This Row],[e (cm)]],viavelESF[[#This Row],[a (cm)]],viavelESF[[#This Row],[h (cm)]],viavelESF[[#Headers],[As,sup]],viavelESF[[#This Row],[As,sup]]))</f>
        <v>0</v>
      </c>
      <c r="AJ7" s="12">
        <f ca="1">IF(viavelESF[[#This Row],[As,sup]]="N.A.",0,comprimento(viavelESF[[#This Row],[nE]],viavelESF[[#This Row],[Ø4]],viavelESF[[#This Row],[e (cm)]],viavelESF[[#This Row],[a (cm)]],viavelESF[[#This Row],[h (cm)]],viavelESF[[#Headers],[As,sup]]))</f>
        <v>0</v>
      </c>
      <c r="AK7" s="12" t="str">
        <f ca="1">IF(viavelESF[[#This Row],[N4]]=0,"N.A.",viavelESF[[#This Row],[N4]]&amp;" Ø"&amp;viavelESF[[#This Row],[Ø4]]&amp;"mm C="&amp;viavelESF[[#This Row],[C4]]&amp;"cm")</f>
        <v>N.A.</v>
      </c>
      <c r="AL7" s="4" t="str">
        <f ca="1">IF(viavelESF[[#This Row],[idDimensionamento]]="","N.A.",INDEX(ESF[],MATCH(viavelESF[[#This Row],[Pilar]]&amp;viavelESF[[#This Row],[idDimensionamento]],ESF[idPilar,idDimensionamento],0),MATCH("As,malha (cm²)",ESF[#Headers],0)))</f>
        <v>N.A.</v>
      </c>
      <c r="AM7" s="12">
        <f ca="1">IF(viavelESF[[#This Row],[As,malha]]="N.A.",0,ROUNDUP(viavelESF[[#This Row],[As,malha]]/(PI()*(viavelESF[[#This Row],[Ø5]]/10)^2/4),0))</f>
        <v>0</v>
      </c>
      <c r="AN7" s="5">
        <f ca="1">IF(viavelESF[[#This Row],[As,malha]]="N.A.",0,dArmadura(viavelESF[[#This Row],[nE]],viavelESF[[#This Row],[Ø (cm)]],viavelESF[[#This Row],[e (cm)]],viavelESF[[#This Row],[a (cm)]],viavelESF[[#This Row],[h (cm)]],viavelESF[[#Headers],[As,malha]],viavelESF[[#This Row],[As,malha]]))</f>
        <v>0</v>
      </c>
      <c r="AO7" s="12">
        <f ca="1">IF(viavelESF[[#This Row],[As,malha]]="N.A.",0,comprimento(viavelESF[[#This Row],[nE]],viavelESF[[#This Row],[Ø4]],viavelESF[[#This Row],[e (cm)]],viavelESF[[#This Row],[a (cm)]],viavelESF[[#This Row],[h (cm)]],viavelESF[[#Headers],[As,malha]]))</f>
        <v>0</v>
      </c>
      <c r="AP7" s="12" t="str">
        <f ca="1">IF(viavelESF[[#This Row],[N5]]=0,"N.A.",viavelESF[[#This Row],[N5]]&amp;" Ø"&amp;viavelESF[[#This Row],[Ø5]]&amp;"mm C="&amp;viavelESF[[#This Row],[C5]]&amp;"cm")</f>
        <v>N.A.</v>
      </c>
      <c r="AQ7" s="4" t="str">
        <f ca="1">IF(viavelESF[[#This Row],[idDimensionamento]]="","N.A.",INDEX(ESF[],MATCH(viavelESF[[#This Row],[Pilar]]&amp;viavelESF[[#This Row],[idDimensionamento]],ESF[idPilar,idDimensionamento],0),MATCH("As,susp,tot (cm²)",ESF[#Headers],0)))</f>
        <v>N.A.</v>
      </c>
      <c r="AR7" s="12">
        <f ca="1">IF(viavelESF[[#This Row],[As,susp,tot]]="N.A.",0,ROUNDUP(viavelESF[[#This Row],[As,susp,tot]]/(PI()*(viavelESF[[#This Row],[Ø6]]/10)^2/4),0))</f>
        <v>0</v>
      </c>
      <c r="AS7" s="5">
        <f ca="1">IF(viavelESF[[#This Row],[As,susp,tot]]="N.A.",0,dArmadura(viavelESF[[#This Row],[nE]],viavelESF[[#This Row],[Ø (cm)]],viavelESF[[#This Row],[e (cm)]],viavelESF[[#This Row],[a (cm)]],viavelESF[[#This Row],[h (cm)]],viavelESF[[#Headers],[As,susp,tot]],viavelESF[[#This Row],[As,susp,tot]]))</f>
        <v>0</v>
      </c>
      <c r="AT7" s="12">
        <f ca="1">IF(viavelESF[[#This Row],[As,susp,tot]]="N.A.",0,comprimento(viavelESF[[#This Row],[nE]],viavelESF[[#This Row],[Ø4]],viavelESF[[#This Row],[e (cm)]],viavelESF[[#This Row],[a (cm)]],viavelESF[[#This Row],[h (cm)]],viavelESF[[#Headers],[As,susp,tot]]))</f>
        <v>0</v>
      </c>
      <c r="AU7" s="12" t="str">
        <f ca="1">IF(viavelESF[[#This Row],[N6]]=0,"N.A.",viavelESF[[#This Row],[N6]]&amp;" Ø"&amp;viavelESF[[#This Row],[Ø6]]&amp;"mm C="&amp;viavelESF[[#This Row],[C6]]&amp;"cm")</f>
        <v>N.A.</v>
      </c>
      <c r="AV7" s="4" t="str">
        <f ca="1">IF(viavelESF[[#This Row],[idDimensionamento]]="","N.A.",INDEX(ESF[],MATCH(viavelESF[[#This Row],[Pilar]]&amp;viavelESF[[#This Row],[idDimensionamento]],ESF[idPilar,idDimensionamento],0),MATCH("Asp,face (cm²)",ESF[#Headers],0)))</f>
        <v>N.A.</v>
      </c>
      <c r="AW7" s="12">
        <f ca="1">IF(viavelESF[[#This Row],[Asp,face]]="N.A.",0,ROUNDUP(viavelESF[[#This Row],[Asp,face]]/(PI()*(viavelESF[[#This Row],[Ø7]]/10)^2/4),0))</f>
        <v>0</v>
      </c>
      <c r="AX7" s="5">
        <f ca="1">IF(viavelESF[[#This Row],[Asp,face]]="N.A.",0,dArmadura(viavelESF[[#This Row],[nE]],viavelESF[[#This Row],[Ø (cm)]],viavelESF[[#This Row],[e (cm)]],viavelESF[[#This Row],[a (cm)]],viavelESF[[#This Row],[h (cm)]],viavelESF[[#Headers],[Asp,face]],viavelESF[[#This Row],[Asp,face]]))</f>
        <v>0</v>
      </c>
      <c r="AY7" s="12">
        <f ca="1">IF(viavelESF[[#This Row],[Asp,face]]="N.A.",0,comprimento(viavelESF[[#This Row],[nE]],viavelESF[[#This Row],[Ø4]],viavelESF[[#This Row],[e (cm)]],viavelESF[[#This Row],[a (cm)]],viavelESF[[#This Row],[h (cm)]],viavelESF[[#Headers],[Asp,face]]))</f>
        <v>0</v>
      </c>
      <c r="AZ7" s="12" t="str">
        <f ca="1">IF(viavelESF[[#This Row],[N7]]=0,"N.A.",viavelESF[[#This Row],[N7]]&amp;" Ø"&amp;viavelESF[[#This Row],[Ø7]]&amp;"mm C="&amp;viavelESF[[#This Row],[C7]]&amp;"cm")</f>
        <v>N.A.</v>
      </c>
    </row>
    <row r="8" spans="2:52" x14ac:dyDescent="0.25">
      <c r="B8" s="1">
        <f>COUNTIF($C$4:C7,viavelESF[[#This Row],[Pilar]])+1</f>
        <v>1</v>
      </c>
      <c r="C8" s="16">
        <f>ROUNDDOWN((COUNTA($C$4:C7)-1)/3,0)+1</f>
        <v>2</v>
      </c>
      <c r="D8" s="16" t="str">
        <f ca="1">opcao($B$2,viavelESF[[#This Row],[Pilar]],viavelESF[[#This Row],[Opção]])</f>
        <v>3 Ø45cm Prof. 12 m</v>
      </c>
      <c r="E8" s="12">
        <f>INDEX(PILARES[],MATCH(viavelESF[[#This Row],[Pilar]],PILARES[Pilar],0),MATCH(viavelESF[[#Headers],[ap (cm)]],PILARES[#Headers],0))</f>
        <v>50</v>
      </c>
      <c r="F8" s="12">
        <f>INDEX(PILARES[],MATCH(viavelESF[[#This Row],[Pilar]],PILARES[Pilar],0),MATCH(viavelESF[[#Headers],[bp (cm)]],PILARES[#Headers],0))</f>
        <v>40</v>
      </c>
      <c r="G8" s="12">
        <f ca="1">IF(viavelESF[[#This Row],[idDimensionamento]]="",0,INDEX(ESF[],MATCH(viavelESF[[#This Row],[Pilar]]&amp;viavelESF[[#This Row],[idDimensionamento]],ESF[idPilar,idDimensionamento],0),MATCH(viavelESF[[#Headers],[nE]],ESF[#Headers],0)))</f>
        <v>3</v>
      </c>
      <c r="H8" s="12">
        <f ca="1">INDEX(ESF[],MATCH(viavelESF[[#This Row],[Pilar]]&amp;viavelESF[[#This Row],[idDimensionamento]],ESF[idPilar,idDimensionamento],0),MATCH(viavelESF[[#Headers],[Ø (cm)]],ESF[#Headers],0))</f>
        <v>45</v>
      </c>
      <c r="I8" s="4">
        <f ca="1">INDEX(ESF[],MATCH(viavelESF[[#This Row],[Pilar]]&amp;viavelESF[[#This Row],[idDimensionamento]],ESF[idPilar,idDimensionamento],0),MATCH("As,mín (cm²)",ESF[#Headers],0))</f>
        <v>6.3617251235193315</v>
      </c>
      <c r="J8" s="12">
        <f ca="1">IF(viavelESF[[#This Row],[idDimensionamento]]="",0,6)</f>
        <v>6</v>
      </c>
      <c r="K8" s="5">
        <f ca="1">IF(viavelESF[[#This Row],[idDimensionamento]]="",0,INDEX(areaAco[],MATCH(10*SQRT(viavelESF[[#This Row],[As,mín]]*4/(viavelESF[[#This Row],[N]]*PI())),areaAco[Ø\QNTD],1)+1,1))</f>
        <v>12.5</v>
      </c>
      <c r="L8" s="12">
        <f ca="1">IF(viavelESF[[#This Row],[idDimensionamento]]="",0,INDEX(ESF[],MATCH(viavelESF[[#This Row],[Pilar]]&amp;viavelESF[[#This Row],[idDimensionamento]],ESF[idPilar,idDimensionamento],0),MATCH("Comprimento (m)",ESF[#Headers],0))*100)</f>
        <v>200</v>
      </c>
      <c r="M8" s="12" t="str">
        <f ca="1">IF(viavelESF[[#This Row],[N]]=0,"N.A.",viavelESF[[#This Row],[N]]&amp;" Ø"&amp;viavelESF[[#This Row],[Ø]]&amp;"mm C="&amp;viavelESF[[#This Row],[C]]&amp;"cm")</f>
        <v>6 Ø12,5mm C=200cm</v>
      </c>
      <c r="N8" s="5">
        <f ca="1">viavelESF[[#This Row],[nE]]*viavelESF[[#This Row],[N]]*(PI()*(viavelESF[[#This Row],[Ø]]/10)^2/4*viavelESF[[#This Row],[C]])/100^3*7850</f>
        <v>34.680237652518578</v>
      </c>
      <c r="O8" s="5">
        <f ca="1">INDEX(ESF[],MATCH(viavelESF[[#This Row],[Pilar]]&amp;viavelESF[[#This Row],[idDimensionamento]],ESF[idPilar,idDimensionamento],0),MATCH(viavelESF[[#Headers],[e (cm)]],ESF[#Headers],0))</f>
        <v>135</v>
      </c>
      <c r="P8" s="5">
        <f ca="1">INDEX(ESF[],MATCH(viavelESF[[#This Row],[Pilar]]&amp;viavelESF[[#This Row],[idDimensionamento]],ESF[idPilar,idDimensionamento],0),MATCH(viavelESF[[#Headers],[a (cm)]],ESF[#Headers],0))</f>
        <v>67.5</v>
      </c>
      <c r="Q8" s="5">
        <f ca="1">INDEX(ESF[],MATCH(viavelESF[[#This Row],[Pilar]]&amp;viavelESF[[#This Row],[idDimensionamento]],ESF[idPilar,idDimensionamento],0),MATCH(viavelESF[[#Headers],[h (cm)]],ESF[#Headers],0))</f>
        <v>65</v>
      </c>
      <c r="R8" s="4">
        <f ca="1">IF(viavelESF[[#This Row],[idDimensionamento]]="","N.A.",INDEX(ESF[],MATCH(viavelESF[[#This Row],[Pilar]]&amp;viavelESF[[#This Row],[idDimensionamento]],ESF[idPilar,idDimensionamento],0),MATCH("As,lado (cm²)",ESF[#Headers],0)))</f>
        <v>9.0877263068503176</v>
      </c>
      <c r="S8" s="12">
        <f ca="1">IF(viavelESF[[#This Row],[As,lado]]="N.A.",0,IF(viavelESF[[#This Row],[nE]]=1,ROUNDUP(viavelESF[[#This Row],[As,lado]]/(PI()*(viavelESF[[#This Row],[Ø1]]/10)^2/4)/2,0),ROUNDUP(viavelESF[[#This Row],[As,lado]]/(PI()*(viavelESF[[#This Row],[Ø1]]/10)^2/4),0)))</f>
        <v>5</v>
      </c>
      <c r="T8" s="5">
        <f ca="1">IF(viavelESF[[#This Row],[As,lado]]="N.A.",0,dArmadura(viavelESF[[#This Row],[nE]],viavelESF[[#This Row],[Ø (cm)]],viavelESF[[#This Row],[e (cm)]],viavelESF[[#This Row],[a (cm)]],viavelESF[[#This Row],[h (cm)]],viavelESF[[#Headers],[As,lado]],viavelESF[[#This Row],[As,lado]]))</f>
        <v>16</v>
      </c>
      <c r="U8" s="12">
        <f ca="1">IF(viavelESF[[#This Row],[As,lado]]="N.A.",0,comprimento(viavelESF[[#This Row],[nE]],viavelESF[[#This Row],[Ø1]],viavelESF[[#This Row],[e (cm)]],viavelESF[[#This Row],[a (cm)]],viavelESF[[#This Row],[h (cm)]],viavelESF[[#Headers],[As,lado]]))</f>
        <v>380</v>
      </c>
      <c r="V8" s="12" t="str">
        <f ca="1">IF(viavelESF[[#This Row],[N1]]=0,"N.A.",viavelESF[[#This Row],[N1]]&amp;" Ø"&amp;viavelESF[[#This Row],[Ø1]]&amp;"mm C="&amp;viavelESF[[#This Row],[C1]]&amp;"cm")</f>
        <v>5 Ø16mm C=380cm</v>
      </c>
      <c r="W8" s="4" t="str">
        <f ca="1">IF(viavelESF[[#This Row],[idDimensionamento]]="","N.A.",INDEX(ESF[],MATCH(viavelESF[[#This Row],[Pilar]]&amp;viavelESF[[#This Row],[idDimensionamento]],ESF[idPilar,idDimensionamento],0),MATCH("Asp e Asw (cm²/m)",ESF[#Headers],0)))</f>
        <v>N.A.</v>
      </c>
      <c r="X8" s="12">
        <f ca="1">IF(viavelESF[[#This Row],[Asp]]="N.A.",0,ROUNDUP(viavelESF[[#This Row],[Asp]]/(PI()*(viavelESF[[#This Row],[Ø2]]/10)^2/4)/2,0))</f>
        <v>0</v>
      </c>
      <c r="Y8" s="5">
        <f ca="1">IF(viavelESF[[#This Row],[Asp]]="N.A.",0,dArmadura(viavelESF[[#This Row],[nE]],viavelESF[[#This Row],[Ø (cm)]],viavelESF[[#This Row],[e (cm)]],viavelESF[[#This Row],[a (cm)]],viavelESF[[#This Row],[h (cm)]],viavelESF[[#Headers],[Asp]],viavelESF[[#This Row],[Asp]]))</f>
        <v>0</v>
      </c>
      <c r="Z8" s="12">
        <f ca="1">IF(viavelESF[[#This Row],[Asp]]="N.A.",0,comprimento(viavelESF[[#This Row],[nE]],viavelESF[[#This Row],[Ø2]],viavelESF[[#This Row],[e (cm)]],viavelESF[[#This Row],[a (cm)]],viavelESF[[#This Row],[h (cm)]],viavelESF[[#Headers],[Asp]]))</f>
        <v>0</v>
      </c>
      <c r="AA8" s="12" t="str">
        <f ca="1">IF(viavelESF[[#This Row],[N2]]=0,"N.A.",viavelESF[[#This Row],[N2]]&amp;" Ø"&amp;viavelESF[[#This Row],[Ø2]]&amp;"mm C="&amp;viavelESF[[#This Row],[C2]]&amp;"cm")</f>
        <v>N.A.</v>
      </c>
      <c r="AB8" s="4" t="str">
        <f ca="1">viavelESF[[#This Row],[Asp]]</f>
        <v>N.A.</v>
      </c>
      <c r="AC8" s="12">
        <f ca="1">IF(viavelESF[[#This Row],[Asw]]="N.A.",0,ROUNDUP(viavelESF[[#This Row],[Asw]]/(PI()*(viavelESF[[#This Row],[Ø3]]/10)^2/4)/2,0))</f>
        <v>0</v>
      </c>
      <c r="AD8" s="5">
        <f ca="1">IF(viavelESF[[#This Row],[Asw]]="N.A.",0,dArmadura(viavelESF[[#This Row],[nE]],viavelESF[[#This Row],[Ø (cm)]],viavelESF[[#This Row],[e (cm)]],viavelESF[[#This Row],[a (cm)]],viavelESF[[#This Row],[h (cm)]],viavelESF[[#Headers],[Asw]],viavelESF[[#This Row],[Asw]]))</f>
        <v>0</v>
      </c>
      <c r="AE8" s="12">
        <f ca="1">IF(viavelESF[[#This Row],[Asw]]="N.A.",0,comprimento(viavelESF[[#This Row],[nE]],viavelESF[[#This Row],[Ø3]],viavelESF[[#This Row],[e (cm)]],viavelESF[[#This Row],[a (cm)]],viavelESF[[#This Row],[h (cm)]],viavelESF[[#Headers],[Asw]]))</f>
        <v>0</v>
      </c>
      <c r="AF8" s="12" t="str">
        <f ca="1">IF(viavelESF[[#This Row],[N3]]=0,"N.A.",viavelESF[[#This Row],[N3]]&amp;" Ø"&amp;viavelESF[[#This Row],[Ø3]]&amp;"mm C="&amp;viavelESF[[#This Row],[C3]]&amp;"cm")</f>
        <v>N.A.</v>
      </c>
      <c r="AG8" s="4">
        <f ca="1">IF(viavelESF[[#This Row],[idDimensionamento]]="","N.A.",INDEX(ESF[],MATCH(viavelESF[[#This Row],[Pilar]]&amp;viavelESF[[#This Row],[idDimensionamento]],ESF[idPilar,idDimensionamento],0),MATCH("As,sup (cm²)",ESF[#Headers],0)))</f>
        <v>1.8175452613700636</v>
      </c>
      <c r="AH8" s="12">
        <f ca="1">IF(viavelESF[[#This Row],[As,sup]]="N.A.",0,ROUNDUP(viavelESF[[#This Row],[As,sup]]/(PI()*(viavelESF[[#This Row],[Ø4]]/10)^2/4),0))</f>
        <v>1</v>
      </c>
      <c r="AI8" s="5">
        <f ca="1">IF(viavelESF[[#This Row],[As,sup]]="N.A.",0,dArmadura(viavelESF[[#This Row],[nE]],viavelESF[[#This Row],[Ø (cm)]],viavelESF[[#This Row],[e (cm)]],viavelESF[[#This Row],[a (cm)]],viavelESF[[#This Row],[h (cm)]],viavelESF[[#Headers],[As,sup]],viavelESF[[#This Row],[As,sup]]))</f>
        <v>16</v>
      </c>
      <c r="AJ8" s="12">
        <f ca="1">IF(viavelESF[[#This Row],[As,sup]]="N.A.",0,comprimento(viavelESF[[#This Row],[nE]],viavelESF[[#This Row],[Ø4]],viavelESF[[#This Row],[e (cm)]],viavelESF[[#This Row],[a (cm)]],viavelESF[[#This Row],[h (cm)]],viavelESF[[#Headers],[As,sup]]))</f>
        <v>270</v>
      </c>
      <c r="AK8" s="12" t="str">
        <f ca="1">IF(viavelESF[[#This Row],[N4]]=0,"N.A.",viavelESF[[#This Row],[N4]]&amp;" Ø"&amp;viavelESF[[#This Row],[Ø4]]&amp;"mm C="&amp;viavelESF[[#This Row],[C4]]&amp;"cm")</f>
        <v>1 Ø16mm C=270cm</v>
      </c>
      <c r="AL8" s="4">
        <f ca="1">IF(viavelESF[[#This Row],[idDimensionamento]]="","N.A.",INDEX(ESF[],MATCH(viavelESF[[#This Row],[Pilar]]&amp;viavelESF[[#This Row],[idDimensionamento]],ESF[idPilar,idDimensionamento],0),MATCH("As,malha (cm²)",ESF[#Headers],0)))</f>
        <v>2.981481481481481</v>
      </c>
      <c r="AM8" s="12">
        <f ca="1">IF(viavelESF[[#This Row],[As,malha]]="N.A.",0,ROUNDUP(viavelESF[[#This Row],[As,malha]]/(PI()*(viavelESF[[#This Row],[Ø5]]/10)^2/4),0))</f>
        <v>1</v>
      </c>
      <c r="AN8" s="5">
        <f ca="1">IF(viavelESF[[#This Row],[As,malha]]="N.A.",0,dArmadura(viavelESF[[#This Row],[nE]],viavelESF[[#This Row],[Ø (cm)]],viavelESF[[#This Row],[e (cm)]],viavelESF[[#This Row],[a (cm)]],viavelESF[[#This Row],[h (cm)]],viavelESF[[#Headers],[As,malha]],viavelESF[[#This Row],[As,malha]]))</f>
        <v>20</v>
      </c>
      <c r="AO8" s="12">
        <f ca="1">IF(viavelESF[[#This Row],[As,malha]]="N.A.",0,comprimento(viavelESF[[#This Row],[nE]],viavelESF[[#This Row],[Ø4]],viavelESF[[#This Row],[e (cm)]],viavelESF[[#This Row],[a (cm)]],viavelESF[[#This Row],[h (cm)]],viavelESF[[#Headers],[As,malha]]))</f>
        <v>270</v>
      </c>
      <c r="AP8" s="12" t="str">
        <f ca="1">IF(viavelESF[[#This Row],[N5]]=0,"N.A.",viavelESF[[#This Row],[N5]]&amp;" Ø"&amp;viavelESF[[#This Row],[Ø5]]&amp;"mm C="&amp;viavelESF[[#This Row],[C5]]&amp;"cm")</f>
        <v>1 Ø20mm C=270cm</v>
      </c>
      <c r="AQ8" s="4">
        <f ca="1">IF(viavelESF[[#This Row],[idDimensionamento]]="","N.A.",INDEX(ESF[],MATCH(viavelESF[[#This Row],[Pilar]]&amp;viavelESF[[#This Row],[idDimensionamento]],ESF[idPilar,idDimensionamento],0),MATCH("As,susp,tot (cm²)",ESF[#Headers],0)))</f>
        <v>8.9444444444444429</v>
      </c>
      <c r="AR8" s="12">
        <f ca="1">IF(viavelESF[[#This Row],[As,susp,tot]]="N.A.",0,ROUNDUP(viavelESF[[#This Row],[As,susp,tot]]/(PI()*(viavelESF[[#This Row],[Ø6]]/10)^2/4),0))</f>
        <v>29</v>
      </c>
      <c r="AS8" s="5">
        <f ca="1">IF(viavelESF[[#This Row],[As,susp,tot]]="N.A.",0,dArmadura(viavelESF[[#This Row],[nE]],viavelESF[[#This Row],[Ø (cm)]],viavelESF[[#This Row],[e (cm)]],viavelESF[[#This Row],[a (cm)]],viavelESF[[#This Row],[h (cm)]],viavelESF[[#Headers],[As,susp,tot]],viavelESF[[#This Row],[As,susp,tot]]))</f>
        <v>6.3</v>
      </c>
      <c r="AT8" s="12">
        <f ca="1">IF(viavelESF[[#This Row],[As,susp,tot]]="N.A.",0,comprimento(viavelESF[[#This Row],[nE]],viavelESF[[#This Row],[Ø4]],viavelESF[[#This Row],[e (cm)]],viavelESF[[#This Row],[a (cm)]],viavelESF[[#This Row],[h (cm)]],viavelESF[[#Headers],[As,susp,tot]]))</f>
        <v>60</v>
      </c>
      <c r="AU8" s="12" t="str">
        <f ca="1">IF(viavelESF[[#This Row],[N6]]=0,"N.A.",viavelESF[[#This Row],[N6]]&amp;" Ø"&amp;viavelESF[[#This Row],[Ø6]]&amp;"mm C="&amp;viavelESF[[#This Row],[C6]]&amp;"cm")</f>
        <v>29 Ø6,3mm C=60cm</v>
      </c>
      <c r="AV8" s="4">
        <f ca="1">IF(viavelESF[[#This Row],[idDimensionamento]]="","N.A.",INDEX(ESF[],MATCH(viavelESF[[#This Row],[Pilar]]&amp;viavelESF[[#This Row],[idDimensionamento]],ESF[idPilar,idDimensionamento],0),MATCH("Asp,face (cm²)",ESF[#Headers],0)))</f>
        <v>3.4078973650688691</v>
      </c>
      <c r="AW8" s="12">
        <f ca="1">IF(viavelESF[[#This Row],[Asp,face]]="N.A.",0,ROUNDUP(viavelESF[[#This Row],[Asp,face]]/(PI()*(viavelESF[[#This Row],[Ø7]]/10)^2/4),0))</f>
        <v>7</v>
      </c>
      <c r="AX8" s="5">
        <f ca="1">IF(viavelESF[[#This Row],[Asp,face]]="N.A.",0,dArmadura(viavelESF[[#This Row],[nE]],viavelESF[[#This Row],[Ø (cm)]],viavelESF[[#This Row],[e (cm)]],viavelESF[[#This Row],[a (cm)]],viavelESF[[#This Row],[h (cm)]],viavelESF[[#Headers],[Asp,face]],viavelESF[[#This Row],[Asp,face]]))</f>
        <v>8</v>
      </c>
      <c r="AY8" s="12">
        <f ca="1">IF(viavelESF[[#This Row],[Asp,face]]="N.A.",0,comprimento(viavelESF[[#This Row],[nE]],viavelESF[[#This Row],[Ø4]],viavelESF[[#This Row],[e (cm)]],viavelESF[[#This Row],[a (cm)]],viavelESF[[#This Row],[h (cm)]],viavelESF[[#Headers],[Asp,face]]))</f>
        <v>380</v>
      </c>
      <c r="AZ8" s="12" t="str">
        <f ca="1">IF(viavelESF[[#This Row],[N7]]=0,"N.A.",viavelESF[[#This Row],[N7]]&amp;" Ø"&amp;viavelESF[[#This Row],[Ø7]]&amp;"mm C="&amp;viavelESF[[#This Row],[C7]]&amp;"cm")</f>
        <v>7 Ø8mm C=380cm</v>
      </c>
    </row>
    <row r="9" spans="2:52" x14ac:dyDescent="0.25">
      <c r="B9" s="1">
        <f>COUNTIF($C$4:C8,viavelESF[[#This Row],[Pilar]])+1</f>
        <v>2</v>
      </c>
      <c r="C9" s="16">
        <f>ROUNDDOWN((COUNTA($C$4:C8)-1)/3,0)+1</f>
        <v>2</v>
      </c>
      <c r="D9" s="16" t="str">
        <f ca="1">opcao($B$2,viavelESF[[#This Row],[Pilar]],viavelESF[[#This Row],[Opção]])</f>
        <v>4 Ø40cm Prof. 11 m</v>
      </c>
      <c r="E9" s="12">
        <f>INDEX(PILARES[],MATCH(viavelESF[[#This Row],[Pilar]],PILARES[Pilar],0),MATCH(viavelESF[[#Headers],[ap (cm)]],PILARES[#Headers],0))</f>
        <v>50</v>
      </c>
      <c r="F9" s="12">
        <f>INDEX(PILARES[],MATCH(viavelESF[[#This Row],[Pilar]],PILARES[Pilar],0),MATCH(viavelESF[[#Headers],[bp (cm)]],PILARES[#Headers],0))</f>
        <v>40</v>
      </c>
      <c r="G9" s="12">
        <f ca="1">IF(viavelESF[[#This Row],[idDimensionamento]]="",0,INDEX(ESF[],MATCH(viavelESF[[#This Row],[Pilar]]&amp;viavelESF[[#This Row],[idDimensionamento]],ESF[idPilar,idDimensionamento],0),MATCH(viavelESF[[#Headers],[nE]],ESF[#Headers],0)))</f>
        <v>4</v>
      </c>
      <c r="H9" s="12">
        <f ca="1">INDEX(ESF[],MATCH(viavelESF[[#This Row],[Pilar]]&amp;viavelESF[[#This Row],[idDimensionamento]],ESF[idPilar,idDimensionamento],0),MATCH(viavelESF[[#Headers],[Ø (cm)]],ESF[#Headers],0))</f>
        <v>40</v>
      </c>
      <c r="I9" s="4">
        <f ca="1">INDEX(ESF[],MATCH(viavelESF[[#This Row],[Pilar]]&amp;viavelESF[[#This Row],[idDimensionamento]],ESF[idPilar,idDimensionamento],0),MATCH("As,mín (cm²)",ESF[#Headers],0))</f>
        <v>5.026548245743669</v>
      </c>
      <c r="J9" s="12">
        <f ca="1">IF(viavelESF[[#This Row],[idDimensionamento]]="",0,6)</f>
        <v>6</v>
      </c>
      <c r="K9" s="5">
        <f ca="1">IF(viavelESF[[#This Row],[idDimensionamento]]="",0,INDEX(areaAco[],MATCH(10*SQRT(viavelESF[[#This Row],[As,mín]]*4/(viavelESF[[#This Row],[N]]*PI())),areaAco[Ø\QNTD],1)+1,1))</f>
        <v>12.5</v>
      </c>
      <c r="L9" s="12">
        <f ca="1">IF(viavelESF[[#This Row],[idDimensionamento]]="",0,INDEX(ESF[],MATCH(viavelESF[[#This Row],[Pilar]]&amp;viavelESF[[#This Row],[idDimensionamento]],ESF[idPilar,idDimensionamento],0),MATCH("Comprimento (m)",ESF[#Headers],0))*100)</f>
        <v>200</v>
      </c>
      <c r="M9" s="12" t="str">
        <f ca="1">IF(viavelESF[[#This Row],[N]]=0,"N.A.",viavelESF[[#This Row],[N]]&amp;" Ø"&amp;viavelESF[[#This Row],[Ø]]&amp;"mm C="&amp;viavelESF[[#This Row],[C]]&amp;"cm")</f>
        <v>6 Ø12,5mm C=200cm</v>
      </c>
      <c r="N9" s="5">
        <f ca="1">viavelESF[[#This Row],[nE]]*viavelESF[[#This Row],[N]]*(PI()*(viavelESF[[#This Row],[Ø]]/10)^2/4*viavelESF[[#This Row],[C]])/100^3*7850</f>
        <v>46.24031687002477</v>
      </c>
      <c r="O9" s="5">
        <f ca="1">INDEX(ESF[],MATCH(viavelESF[[#This Row],[Pilar]]&amp;viavelESF[[#This Row],[idDimensionamento]],ESF[idPilar,idDimensionamento],0),MATCH(viavelESF[[#Headers],[e (cm)]],ESF[#Headers],0))</f>
        <v>120</v>
      </c>
      <c r="P9" s="5">
        <f ca="1">INDEX(ESF[],MATCH(viavelESF[[#This Row],[Pilar]]&amp;viavelESF[[#This Row],[idDimensionamento]],ESF[idPilar,idDimensionamento],0),MATCH(viavelESF[[#Headers],[a (cm)]],ESF[#Headers],0))</f>
        <v>60</v>
      </c>
      <c r="Q9" s="5">
        <f ca="1">INDEX(ESF[],MATCH(viavelESF[[#This Row],[Pilar]]&amp;viavelESF[[#This Row],[idDimensionamento]],ESF[idPilar,idDimensionamento],0),MATCH(viavelESF[[#Headers],[h (cm)]],ESF[#Headers],0))</f>
        <v>60</v>
      </c>
      <c r="R9" s="4">
        <f ca="1">IF(viavelESF[[#This Row],[idDimensionamento]]="","N.A.",INDEX(ESF[],MATCH(viavelESF[[#This Row],[Pilar]]&amp;viavelESF[[#This Row],[idDimensionamento]],ESF[idPilar,idDimensionamento],0),MATCH("As,lado (cm²)",ESF[#Headers],0)))</f>
        <v>9.8249565976408366</v>
      </c>
      <c r="S9" s="12">
        <f ca="1">IF(viavelESF[[#This Row],[As,lado]]="N.A.",0,IF(viavelESF[[#This Row],[nE]]=1,ROUNDUP(viavelESF[[#This Row],[As,lado]]/(PI()*(viavelESF[[#This Row],[Ø1]]/10)^2/4)/2,0),ROUNDUP(viavelESF[[#This Row],[As,lado]]/(PI()*(viavelESF[[#This Row],[Ø1]]/10)^2/4),0)))</f>
        <v>5</v>
      </c>
      <c r="T9" s="5">
        <f ca="1">IF(viavelESF[[#This Row],[As,lado]]="N.A.",0,dArmadura(viavelESF[[#This Row],[nE]],viavelESF[[#This Row],[Ø (cm)]],viavelESF[[#This Row],[e (cm)]],viavelESF[[#This Row],[a (cm)]],viavelESF[[#This Row],[h (cm)]],viavelESF[[#Headers],[As,lado]],viavelESF[[#This Row],[As,lado]]))</f>
        <v>16</v>
      </c>
      <c r="U9" s="12">
        <f ca="1">IF(viavelESF[[#This Row],[As,lado]]="N.A.",0,comprimento(viavelESF[[#This Row],[nE]],viavelESF[[#This Row],[Ø1]],viavelESF[[#This Row],[e (cm)]],viavelESF[[#This Row],[a (cm)]],viavelESF[[#This Row],[h (cm)]],viavelESF[[#Headers],[As,lado]]))</f>
        <v>345</v>
      </c>
      <c r="V9" s="12" t="str">
        <f ca="1">IF(viavelESF[[#This Row],[N1]]=0,"N.A.",viavelESF[[#This Row],[N1]]&amp;" Ø"&amp;viavelESF[[#This Row],[Ø1]]&amp;"mm C="&amp;viavelESF[[#This Row],[C1]]&amp;"cm")</f>
        <v>5 Ø16mm C=345cm</v>
      </c>
      <c r="W9" s="4" t="str">
        <f ca="1">IF(viavelESF[[#This Row],[idDimensionamento]]="","N.A.",INDEX(ESF[],MATCH(viavelESF[[#This Row],[Pilar]]&amp;viavelESF[[#This Row],[idDimensionamento]],ESF[idPilar,idDimensionamento],0),MATCH("Asp e Asw (cm²/m)",ESF[#Headers],0)))</f>
        <v>N.A.</v>
      </c>
      <c r="X9" s="12">
        <f ca="1">IF(viavelESF[[#This Row],[Asp]]="N.A.",0,ROUNDUP(viavelESF[[#This Row],[Asp]]/(PI()*(viavelESF[[#This Row],[Ø2]]/10)^2/4)/2,0))</f>
        <v>0</v>
      </c>
      <c r="Y9" s="5">
        <f ca="1">IF(viavelESF[[#This Row],[Asp]]="N.A.",0,dArmadura(viavelESF[[#This Row],[nE]],viavelESF[[#This Row],[Ø (cm)]],viavelESF[[#This Row],[e (cm)]],viavelESF[[#This Row],[a (cm)]],viavelESF[[#This Row],[h (cm)]],viavelESF[[#Headers],[Asp]],viavelESF[[#This Row],[Asp]]))</f>
        <v>0</v>
      </c>
      <c r="Z9" s="12">
        <f ca="1">IF(viavelESF[[#This Row],[Asp]]="N.A.",0,comprimento(viavelESF[[#This Row],[nE]],viavelESF[[#This Row],[Ø2]],viavelESF[[#This Row],[e (cm)]],viavelESF[[#This Row],[a (cm)]],viavelESF[[#This Row],[h (cm)]],viavelESF[[#Headers],[Asp]]))</f>
        <v>0</v>
      </c>
      <c r="AA9" s="12" t="str">
        <f ca="1">IF(viavelESF[[#This Row],[N2]]=0,"N.A.",viavelESF[[#This Row],[N2]]&amp;" Ø"&amp;viavelESF[[#This Row],[Ø2]]&amp;"mm C="&amp;viavelESF[[#This Row],[C2]]&amp;"cm")</f>
        <v>N.A.</v>
      </c>
      <c r="AB9" s="4" t="str">
        <f ca="1">viavelESF[[#This Row],[Asp]]</f>
        <v>N.A.</v>
      </c>
      <c r="AC9" s="12">
        <f ca="1">IF(viavelESF[[#This Row],[Asw]]="N.A.",0,ROUNDUP(viavelESF[[#This Row],[Asw]]/(PI()*(viavelESF[[#This Row],[Ø3]]/10)^2/4)/2,0))</f>
        <v>0</v>
      </c>
      <c r="AD9" s="5">
        <f ca="1">IF(viavelESF[[#This Row],[Asw]]="N.A.",0,dArmadura(viavelESF[[#This Row],[nE]],viavelESF[[#This Row],[Ø (cm)]],viavelESF[[#This Row],[e (cm)]],viavelESF[[#This Row],[a (cm)]],viavelESF[[#This Row],[h (cm)]],viavelESF[[#Headers],[Asw]],viavelESF[[#This Row],[Asw]]))</f>
        <v>0</v>
      </c>
      <c r="AE9" s="12">
        <f ca="1">IF(viavelESF[[#This Row],[Asw]]="N.A.",0,comprimento(viavelESF[[#This Row],[nE]],viavelESF[[#This Row],[Ø3]],viavelESF[[#This Row],[e (cm)]],viavelESF[[#This Row],[a (cm)]],viavelESF[[#This Row],[h (cm)]],viavelESF[[#Headers],[Asw]]))</f>
        <v>0</v>
      </c>
      <c r="AF9" s="12" t="str">
        <f ca="1">IF(viavelESF[[#This Row],[N3]]=0,"N.A.",viavelESF[[#This Row],[N3]]&amp;" Ø"&amp;viavelESF[[#This Row],[Ø3]]&amp;"mm C="&amp;viavelESF[[#This Row],[C3]]&amp;"cm")</f>
        <v>N.A.</v>
      </c>
      <c r="AG9" s="4">
        <f ca="1">IF(viavelESF[[#This Row],[idDimensionamento]]="","N.A.",INDEX(ESF[],MATCH(viavelESF[[#This Row],[Pilar]]&amp;viavelESF[[#This Row],[idDimensionamento]],ESF[idPilar,idDimensionamento],0),MATCH("As,sup (cm²)",ESF[#Headers],0)))</f>
        <v>1.9649913195281674</v>
      </c>
      <c r="AH9" s="12">
        <f ca="1">IF(viavelESF[[#This Row],[As,sup]]="N.A.",0,ROUNDUP(viavelESF[[#This Row],[As,sup]]/(PI()*(viavelESF[[#This Row],[Ø4]]/10)^2/4),0))</f>
        <v>1</v>
      </c>
      <c r="AI9" s="5">
        <f ca="1">IF(viavelESF[[#This Row],[As,sup]]="N.A.",0,dArmadura(viavelESF[[#This Row],[nE]],viavelESF[[#This Row],[Ø (cm)]],viavelESF[[#This Row],[e (cm)]],viavelESF[[#This Row],[a (cm)]],viavelESF[[#This Row],[h (cm)]],viavelESF[[#Headers],[As,sup]],viavelESF[[#This Row],[As,sup]]))</f>
        <v>16</v>
      </c>
      <c r="AJ9" s="12">
        <f ca="1">IF(viavelESF[[#This Row],[As,sup]]="N.A.",0,comprimento(viavelESF[[#This Row],[nE]],viavelESF[[#This Row],[Ø4]],viavelESF[[#This Row],[e (cm)]],viavelESF[[#This Row],[a (cm)]],viavelESF[[#This Row],[h (cm)]],viavelESF[[#Headers],[As,sup]]))</f>
        <v>235</v>
      </c>
      <c r="AK9" s="12" t="str">
        <f ca="1">IF(viavelESF[[#This Row],[N4]]=0,"N.A.",viavelESF[[#This Row],[N4]]&amp;" Ø"&amp;viavelESF[[#This Row],[Ø4]]&amp;"mm C="&amp;viavelESF[[#This Row],[C4]]&amp;"cm")</f>
        <v>1 Ø16mm C=235cm</v>
      </c>
      <c r="AL9" s="4">
        <f ca="1">IF(viavelESF[[#This Row],[idDimensionamento]]="","N.A.",INDEX(ESF[],MATCH(viavelESF[[#This Row],[Pilar]]&amp;viavelESF[[#This Row],[idDimensionamento]],ESF[idPilar,idDimensionamento],0),MATCH("As,malha (cm²)",ESF[#Headers],0)))</f>
        <v>1.9649913195281674</v>
      </c>
      <c r="AM9" s="12">
        <f ca="1">IF(viavelESF[[#This Row],[As,malha]]="N.A.",0,ROUNDUP(viavelESF[[#This Row],[As,malha]]/(PI()*(viavelESF[[#This Row],[Ø5]]/10)^2/4),0))</f>
        <v>1</v>
      </c>
      <c r="AN9" s="5">
        <f ca="1">IF(viavelESF[[#This Row],[As,malha]]="N.A.",0,dArmadura(viavelESF[[#This Row],[nE]],viavelESF[[#This Row],[Ø (cm)]],viavelESF[[#This Row],[e (cm)]],viavelESF[[#This Row],[a (cm)]],viavelESF[[#This Row],[h (cm)]],viavelESF[[#Headers],[As,malha]],viavelESF[[#This Row],[As,malha]]))</f>
        <v>16</v>
      </c>
      <c r="AO9" s="12">
        <f ca="1">IF(viavelESF[[#This Row],[As,malha]]="N.A.",0,comprimento(viavelESF[[#This Row],[nE]],viavelESF[[#This Row],[Ø4]],viavelESF[[#This Row],[e (cm)]],viavelESF[[#This Row],[a (cm)]],viavelESF[[#This Row],[h (cm)]],viavelESF[[#Headers],[As,malha]]))</f>
        <v>345</v>
      </c>
      <c r="AP9" s="12" t="str">
        <f ca="1">IF(viavelESF[[#This Row],[N5]]=0,"N.A.",viavelESF[[#This Row],[N5]]&amp;" Ø"&amp;viavelESF[[#This Row],[Ø5]]&amp;"mm C="&amp;viavelESF[[#This Row],[C5]]&amp;"cm")</f>
        <v>1 Ø16mm C=345cm</v>
      </c>
      <c r="AQ9" s="4">
        <f ca="1">IF(viavelESF[[#This Row],[idDimensionamento]]="","N.A.",INDEX(ESF[],MATCH(viavelESF[[#This Row],[Pilar]]&amp;viavelESF[[#This Row],[idDimensionamento]],ESF[idPilar,idDimensionamento],0),MATCH("As,susp,tot (cm²)",ESF[#Headers],0)))</f>
        <v>6.708333333333333</v>
      </c>
      <c r="AR9" s="12">
        <f ca="1">IF(viavelESF[[#This Row],[As,susp,tot]]="N.A.",0,ROUNDUP(viavelESF[[#This Row],[As,susp,tot]]/(PI()*(viavelESF[[#This Row],[Ø6]]/10)^2/4),0))</f>
        <v>22</v>
      </c>
      <c r="AS9" s="5">
        <f ca="1">IF(viavelESF[[#This Row],[As,susp,tot]]="N.A.",0,dArmadura(viavelESF[[#This Row],[nE]],viavelESF[[#This Row],[Ø (cm)]],viavelESF[[#This Row],[e (cm)]],viavelESF[[#This Row],[a (cm)]],viavelESF[[#This Row],[h (cm)]],viavelESF[[#Headers],[As,susp,tot]],viavelESF[[#This Row],[As,susp,tot]]))</f>
        <v>6.3</v>
      </c>
      <c r="AT9" s="12">
        <f ca="1">IF(viavelESF[[#This Row],[As,susp,tot]]="N.A.",0,comprimento(viavelESF[[#This Row],[nE]],viavelESF[[#This Row],[Ø4]],viavelESF[[#This Row],[e (cm)]],viavelESF[[#This Row],[a (cm)]],viavelESF[[#This Row],[h (cm)]],viavelESF[[#Headers],[As,susp,tot]]))</f>
        <v>165</v>
      </c>
      <c r="AU9" s="12" t="str">
        <f ca="1">IF(viavelESF[[#This Row],[N6]]=0,"N.A.",viavelESF[[#This Row],[N6]]&amp;" Ø"&amp;viavelESF[[#This Row],[Ø6]]&amp;"mm C="&amp;viavelESF[[#This Row],[C6]]&amp;"cm")</f>
        <v>22 Ø6,3mm C=165cm</v>
      </c>
      <c r="AV9" s="4">
        <f ca="1">IF(viavelESF[[#This Row],[idDimensionamento]]="","N.A.",INDEX(ESF[],MATCH(viavelESF[[#This Row],[Pilar]]&amp;viavelESF[[#This Row],[idDimensionamento]],ESF[idPilar,idDimensionamento],0),MATCH("Asp,face (cm²)",ESF[#Headers],0)))</f>
        <v>4.9124782988204183</v>
      </c>
      <c r="AW9" s="12">
        <f ca="1">IF(viavelESF[[#This Row],[Asp,face]]="N.A.",0,ROUNDUP(viavelESF[[#This Row],[Asp,face]]/(PI()*(viavelESF[[#This Row],[Ø7]]/10)^2/4),0))</f>
        <v>10</v>
      </c>
      <c r="AX9" s="5">
        <f ca="1">IF(viavelESF[[#This Row],[Asp,face]]="N.A.",0,dArmadura(viavelESF[[#This Row],[nE]],viavelESF[[#This Row],[Ø (cm)]],viavelESF[[#This Row],[e (cm)]],viavelESF[[#This Row],[a (cm)]],viavelESF[[#This Row],[h (cm)]],viavelESF[[#Headers],[Asp,face]],viavelESF[[#This Row],[Asp,face]]))</f>
        <v>8</v>
      </c>
      <c r="AY9" s="12">
        <f ca="1">IF(viavelESF[[#This Row],[Asp,face]]="N.A.",0,comprimento(viavelESF[[#This Row],[nE]],viavelESF[[#This Row],[Ø4]],viavelESF[[#This Row],[e (cm)]],viavelESF[[#This Row],[a (cm)]],viavelESF[[#This Row],[h (cm)]],viavelESF[[#Headers],[Asp,face]]))</f>
        <v>945</v>
      </c>
      <c r="AZ9" s="12" t="str">
        <f ca="1">IF(viavelESF[[#This Row],[N7]]=0,"N.A.",viavelESF[[#This Row],[N7]]&amp;" Ø"&amp;viavelESF[[#This Row],[Ø7]]&amp;"mm C="&amp;viavelESF[[#This Row],[C7]]&amp;"cm")</f>
        <v>10 Ø8mm C=945cm</v>
      </c>
    </row>
    <row r="10" spans="2:52" x14ac:dyDescent="0.25">
      <c r="B10" s="1">
        <f>COUNTIF($C$4:C9,viavelESF[[#This Row],[Pilar]])+1</f>
        <v>3</v>
      </c>
      <c r="C10" s="16">
        <f>ROUNDDOWN((COUNTA($C$4:C9)-1)/3,0)+1</f>
        <v>2</v>
      </c>
      <c r="D10" s="16" t="str">
        <f ca="1">opcao($B$2,viavelESF[[#This Row],[Pilar]],viavelESF[[#This Row],[Opção]])</f>
        <v>2 Ø50cm Prof. 13 m</v>
      </c>
      <c r="E10" s="12">
        <f>INDEX(PILARES[],MATCH(viavelESF[[#This Row],[Pilar]],PILARES[Pilar],0),MATCH(viavelESF[[#Headers],[ap (cm)]],PILARES[#Headers],0))</f>
        <v>50</v>
      </c>
      <c r="F10" s="12">
        <f>INDEX(PILARES[],MATCH(viavelESF[[#This Row],[Pilar]],PILARES[Pilar],0),MATCH(viavelESF[[#Headers],[bp (cm)]],PILARES[#Headers],0))</f>
        <v>40</v>
      </c>
      <c r="G10" s="12">
        <f ca="1">IF(viavelESF[[#This Row],[idDimensionamento]]="",0,INDEX(ESF[],MATCH(viavelESF[[#This Row],[Pilar]]&amp;viavelESF[[#This Row],[idDimensionamento]],ESF[idPilar,idDimensionamento],0),MATCH(viavelESF[[#Headers],[nE]],ESF[#Headers],0)))</f>
        <v>2</v>
      </c>
      <c r="H10" s="12">
        <f ca="1">INDEX(ESF[],MATCH(viavelESF[[#This Row],[Pilar]]&amp;viavelESF[[#This Row],[idDimensionamento]],ESF[idPilar,idDimensionamento],0),MATCH(viavelESF[[#Headers],[Ø (cm)]],ESF[#Headers],0))</f>
        <v>50</v>
      </c>
      <c r="I10" s="4">
        <f ca="1">INDEX(ESF[],MATCH(viavelESF[[#This Row],[Pilar]]&amp;viavelESF[[#This Row],[idDimensionamento]],ESF[idPilar,idDimensionamento],0),MATCH("As,mín (cm²)",ESF[#Headers],0))</f>
        <v>7.8539816339744837</v>
      </c>
      <c r="J10" s="12">
        <f ca="1">IF(viavelESF[[#This Row],[idDimensionamento]]="",0,6)</f>
        <v>6</v>
      </c>
      <c r="K10" s="5">
        <f ca="1">IF(viavelESF[[#This Row],[idDimensionamento]]="",0,INDEX(areaAco[],MATCH(10*SQRT(viavelESF[[#This Row],[As,mín]]*4/(viavelESF[[#This Row],[N]]*PI())),areaAco[Ø\QNTD],1)+1,1))</f>
        <v>16</v>
      </c>
      <c r="L10" s="12">
        <f ca="1">IF(viavelESF[[#This Row],[idDimensionamento]]="",0,INDEX(ESF[],MATCH(viavelESF[[#This Row],[Pilar]]&amp;viavelESF[[#This Row],[idDimensionamento]],ESF[idPilar,idDimensionamento],0),MATCH("Comprimento (m)",ESF[#Headers],0))*100)</f>
        <v>200</v>
      </c>
      <c r="M10" s="12" t="str">
        <f ca="1">IF(viavelESF[[#This Row],[N]]=0,"N.A.",viavelESF[[#This Row],[N]]&amp;" Ø"&amp;viavelESF[[#This Row],[Ø]]&amp;"mm C="&amp;viavelESF[[#This Row],[C]]&amp;"cm")</f>
        <v>6 Ø16mm C=200cm</v>
      </c>
      <c r="N10" s="5">
        <f ca="1">viavelESF[[#This Row],[nE]]*viavelESF[[#This Row],[N]]*(PI()*(viavelESF[[#This Row],[Ø]]/10)^2/4*viavelESF[[#This Row],[C]])/100^3*7850</f>
        <v>37.880067579924294</v>
      </c>
      <c r="O10" s="5">
        <f ca="1">INDEX(ESF[],MATCH(viavelESF[[#This Row],[Pilar]]&amp;viavelESF[[#This Row],[idDimensionamento]],ESF[idPilar,idDimensionamento],0),MATCH(viavelESF[[#Headers],[e (cm)]],ESF[#Headers],0))</f>
        <v>150</v>
      </c>
      <c r="P10" s="5">
        <f ca="1">INDEX(ESF[],MATCH(viavelESF[[#This Row],[Pilar]]&amp;viavelESF[[#This Row],[idDimensionamento]],ESF[idPilar,idDimensionamento],0),MATCH(viavelESF[[#Headers],[a (cm)]],ESF[#Headers],0))</f>
        <v>75</v>
      </c>
      <c r="Q10" s="5">
        <f ca="1">INDEX(ESF[],MATCH(viavelESF[[#This Row],[Pilar]]&amp;viavelESF[[#This Row],[idDimensionamento]],ESF[idPilar,idDimensionamento],0),MATCH(viavelESF[[#Headers],[h (cm)]],ESF[#Headers],0))</f>
        <v>75</v>
      </c>
      <c r="R10" s="4">
        <f ca="1">IF(viavelESF[[#This Row],[idDimensionamento]]="","N.A.",INDEX(ESF[],MATCH(viavelESF[[#This Row],[Pilar]]&amp;viavelESF[[#This Row],[idDimensionamento]],ESF[idPilar,idDimensionamento],0),MATCH("As,lado (cm²)",ESF[#Headers],0)))</f>
        <v>22.723480903518404</v>
      </c>
      <c r="S10" s="12">
        <f ca="1">IF(viavelESF[[#This Row],[As,lado]]="N.A.",0,IF(viavelESF[[#This Row],[nE]]=1,ROUNDUP(viavelESF[[#This Row],[As,lado]]/(PI()*(viavelESF[[#This Row],[Ø1]]/10)^2/4)/2,0),ROUNDUP(viavelESF[[#This Row],[As,lado]]/(PI()*(viavelESF[[#This Row],[Ø1]]/10)^2/4),0)))</f>
        <v>6</v>
      </c>
      <c r="T10" s="5">
        <f ca="1">IF(viavelESF[[#This Row],[As,lado]]="N.A.",0,dArmadura(viavelESF[[#This Row],[nE]],viavelESF[[#This Row],[Ø (cm)]],viavelESF[[#This Row],[e (cm)]],viavelESF[[#This Row],[a (cm)]],viavelESF[[#This Row],[h (cm)]],viavelESF[[#Headers],[As,lado]],viavelESF[[#This Row],[As,lado]]))</f>
        <v>22</v>
      </c>
      <c r="U10" s="12">
        <f ca="1">IF(viavelESF[[#This Row],[As,lado]]="N.A.",0,comprimento(viavelESF[[#This Row],[nE]],viavelESF[[#This Row],[Ø1]],viavelESF[[#This Row],[e (cm)]],viavelESF[[#This Row],[a (cm)]],viavelESF[[#This Row],[h (cm)]],viavelESF[[#Headers],[As,lado]]))</f>
        <v>445</v>
      </c>
      <c r="V10" s="12" t="str">
        <f ca="1">IF(viavelESF[[#This Row],[N1]]=0,"N.A.",viavelESF[[#This Row],[N1]]&amp;" Ø"&amp;viavelESF[[#This Row],[Ø1]]&amp;"mm C="&amp;viavelESF[[#This Row],[C1]]&amp;"cm")</f>
        <v>6 Ø22mm C=445cm</v>
      </c>
      <c r="W10" s="4">
        <f ca="1">IF(viavelESF[[#This Row],[idDimensionamento]]="","N.A.",INDEX(ESF[],MATCH(viavelESF[[#This Row],[Pilar]]&amp;viavelESF[[#This Row],[idDimensionamento]],ESF[idPilar,idDimensionamento],0),MATCH("Asp e Asw (cm²/m)",ESF[#Headers],0)))</f>
        <v>11.25</v>
      </c>
      <c r="X10" s="12">
        <f ca="1">IF(viavelESF[[#This Row],[Asp]]="N.A.",0,ROUNDUP(viavelESF[[#This Row],[Asp]]/(PI()*(viavelESF[[#This Row],[Ø2]]/10)^2/4)/2,0))</f>
        <v>12</v>
      </c>
      <c r="Y10" s="5">
        <f ca="1">IF(viavelESF[[#This Row],[Asp]]="N.A.",0,dArmadura(viavelESF[[#This Row],[nE]],viavelESF[[#This Row],[Ø (cm)]],viavelESF[[#This Row],[e (cm)]],viavelESF[[#This Row],[a (cm)]],viavelESF[[#This Row],[h (cm)]],viavelESF[[#Headers],[Asp]],viavelESF[[#This Row],[Asp]]))</f>
        <v>8</v>
      </c>
      <c r="Z10" s="12">
        <f ca="1">IF(viavelESF[[#This Row],[Asp]]="N.A.",0,comprimento(viavelESF[[#This Row],[nE]],viavelESF[[#This Row],[Ø2]],viavelESF[[#This Row],[e (cm)]],viavelESF[[#This Row],[a (cm)]],viavelESF[[#This Row],[h (cm)]],viavelESF[[#Headers],[Asp]]))</f>
        <v>885</v>
      </c>
      <c r="AA10" s="12" t="str">
        <f ca="1">IF(viavelESF[[#This Row],[N2]]=0,"N.A.",viavelESF[[#This Row],[N2]]&amp;" Ø"&amp;viavelESF[[#This Row],[Ø2]]&amp;"mm C="&amp;viavelESF[[#This Row],[C2]]&amp;"cm")</f>
        <v>12 Ø8mm C=885cm</v>
      </c>
      <c r="AB10" s="4">
        <f ca="1">viavelESF[[#This Row],[Asp]]</f>
        <v>11.25</v>
      </c>
      <c r="AC10" s="12">
        <f ca="1">IF(viavelESF[[#This Row],[Asw]]="N.A.",0,ROUNDUP(viavelESF[[#This Row],[Asw]]/(PI()*(viavelESF[[#This Row],[Ø3]]/10)^2/4)/2,0))</f>
        <v>12</v>
      </c>
      <c r="AD10" s="5">
        <f ca="1">IF(viavelESF[[#This Row],[Asw]]="N.A.",0,dArmadura(viavelESF[[#This Row],[nE]],viavelESF[[#This Row],[Ø (cm)]],viavelESF[[#This Row],[e (cm)]],viavelESF[[#This Row],[a (cm)]],viavelESF[[#This Row],[h (cm)]],viavelESF[[#Headers],[Asw]],viavelESF[[#This Row],[Asw]]))</f>
        <v>8</v>
      </c>
      <c r="AE10" s="12">
        <f ca="1">IF(viavelESF[[#This Row],[Asw]]="N.A.",0,comprimento(viavelESF[[#This Row],[nE]],viavelESF[[#This Row],[Ø3]],viavelESF[[#This Row],[e (cm)]],viavelESF[[#This Row],[a (cm)]],viavelESF[[#This Row],[h (cm)]],viavelESF[[#Headers],[Asw]]))</f>
        <v>435</v>
      </c>
      <c r="AF10" s="12" t="str">
        <f ca="1">IF(viavelESF[[#This Row],[N3]]=0,"N.A.",viavelESF[[#This Row],[N3]]&amp;" Ø"&amp;viavelESF[[#This Row],[Ø3]]&amp;"mm C="&amp;viavelESF[[#This Row],[C3]]&amp;"cm")</f>
        <v>12 Ø8mm C=435cm</v>
      </c>
      <c r="AG10" s="4">
        <f ca="1">IF(viavelESF[[#This Row],[idDimensionamento]]="","N.A.",INDEX(ESF[],MATCH(viavelESF[[#This Row],[Pilar]]&amp;viavelESF[[#This Row],[idDimensionamento]],ESF[idPilar,idDimensionamento],0),MATCH("As,sup (cm²)",ESF[#Headers],0)))</f>
        <v>4.5446961807036805</v>
      </c>
      <c r="AH10" s="12">
        <f ca="1">IF(viavelESF[[#This Row],[As,sup]]="N.A.",0,ROUNDUP(viavelESF[[#This Row],[As,sup]]/(PI()*(viavelESF[[#This Row],[Ø4]]/10)^2/4),0))</f>
        <v>15</v>
      </c>
      <c r="AI10" s="5">
        <f ca="1">IF(viavelESF[[#This Row],[As,sup]]="N.A.",0,dArmadura(viavelESF[[#This Row],[nE]],viavelESF[[#This Row],[Ø (cm)]],viavelESF[[#This Row],[e (cm)]],viavelESF[[#This Row],[a (cm)]],viavelESF[[#This Row],[h (cm)]],viavelESF[[#Headers],[As,sup]],viavelESF[[#This Row],[As,sup]]))</f>
        <v>6.3</v>
      </c>
      <c r="AJ10" s="12">
        <f ca="1">IF(viavelESF[[#This Row],[As,sup]]="N.A.",0,comprimento(viavelESF[[#This Row],[nE]],viavelESF[[#This Row],[Ø4]],viavelESF[[#This Row],[e (cm)]],viavelESF[[#This Row],[a (cm)]],viavelESF[[#This Row],[h (cm)]],viavelESF[[#Headers],[As,sup]]))</f>
        <v>295</v>
      </c>
      <c r="AK10" s="12" t="str">
        <f ca="1">IF(viavelESF[[#This Row],[N4]]=0,"N.A.",viavelESF[[#This Row],[N4]]&amp;" Ø"&amp;viavelESF[[#This Row],[Ø4]]&amp;"mm C="&amp;viavelESF[[#This Row],[C4]]&amp;"cm")</f>
        <v>15 Ø6,3mm C=295cm</v>
      </c>
      <c r="AL10" s="4" t="str">
        <f ca="1">IF(viavelESF[[#This Row],[idDimensionamento]]="","N.A.",INDEX(ESF[],MATCH(viavelESF[[#This Row],[Pilar]]&amp;viavelESF[[#This Row],[idDimensionamento]],ESF[idPilar,idDimensionamento],0),MATCH("As,malha (cm²)",ESF[#Headers],0)))</f>
        <v>N.A.</v>
      </c>
      <c r="AM10" s="12">
        <f ca="1">IF(viavelESF[[#This Row],[As,malha]]="N.A.",0,ROUNDUP(viavelESF[[#This Row],[As,malha]]/(PI()*(viavelESF[[#This Row],[Ø5]]/10)^2/4),0))</f>
        <v>0</v>
      </c>
      <c r="AN10" s="5">
        <f ca="1">IF(viavelESF[[#This Row],[As,malha]]="N.A.",0,dArmadura(viavelESF[[#This Row],[nE]],viavelESF[[#This Row],[Ø (cm)]],viavelESF[[#This Row],[e (cm)]],viavelESF[[#This Row],[a (cm)]],viavelESF[[#This Row],[h (cm)]],viavelESF[[#Headers],[As,malha]],viavelESF[[#This Row],[As,malha]]))</f>
        <v>0</v>
      </c>
      <c r="AO10" s="12">
        <f ca="1">IF(viavelESF[[#This Row],[As,malha]]="N.A.",0,comprimento(viavelESF[[#This Row],[nE]],viavelESF[[#This Row],[Ø4]],viavelESF[[#This Row],[e (cm)]],viavelESF[[#This Row],[a (cm)]],viavelESF[[#This Row],[h (cm)]],viavelESF[[#Headers],[As,malha]]))</f>
        <v>0</v>
      </c>
      <c r="AP10" s="12" t="str">
        <f ca="1">IF(viavelESF[[#This Row],[N5]]=0,"N.A.",viavelESF[[#This Row],[N5]]&amp;" Ø"&amp;viavelESF[[#This Row],[Ø5]]&amp;"mm C="&amp;viavelESF[[#This Row],[C5]]&amp;"cm")</f>
        <v>N.A.</v>
      </c>
      <c r="AQ10" s="4" t="str">
        <f ca="1">IF(viavelESF[[#This Row],[idDimensionamento]]="","N.A.",INDEX(ESF[],MATCH(viavelESF[[#This Row],[Pilar]]&amp;viavelESF[[#This Row],[idDimensionamento]],ESF[idPilar,idDimensionamento],0),MATCH("As,susp,tot (cm²)",ESF[#Headers],0)))</f>
        <v>N.A.</v>
      </c>
      <c r="AR10" s="12">
        <f ca="1">IF(viavelESF[[#This Row],[As,susp,tot]]="N.A.",0,ROUNDUP(viavelESF[[#This Row],[As,susp,tot]]/(PI()*(viavelESF[[#This Row],[Ø6]]/10)^2/4),0))</f>
        <v>0</v>
      </c>
      <c r="AS10" s="5">
        <f ca="1">IF(viavelESF[[#This Row],[As,susp,tot]]="N.A.",0,dArmadura(viavelESF[[#This Row],[nE]],viavelESF[[#This Row],[Ø (cm)]],viavelESF[[#This Row],[e (cm)]],viavelESF[[#This Row],[a (cm)]],viavelESF[[#This Row],[h (cm)]],viavelESF[[#Headers],[As,susp,tot]],viavelESF[[#This Row],[As,susp,tot]]))</f>
        <v>0</v>
      </c>
      <c r="AT10" s="12">
        <f ca="1">IF(viavelESF[[#This Row],[As,susp,tot]]="N.A.",0,comprimento(viavelESF[[#This Row],[nE]],viavelESF[[#This Row],[Ø4]],viavelESF[[#This Row],[e (cm)]],viavelESF[[#This Row],[a (cm)]],viavelESF[[#This Row],[h (cm)]],viavelESF[[#Headers],[As,susp,tot]]))</f>
        <v>0</v>
      </c>
      <c r="AU10" s="12" t="str">
        <f ca="1">IF(viavelESF[[#This Row],[N6]]=0,"N.A.",viavelESF[[#This Row],[N6]]&amp;" Ø"&amp;viavelESF[[#This Row],[Ø6]]&amp;"mm C="&amp;viavelESF[[#This Row],[C6]]&amp;"cm")</f>
        <v>N.A.</v>
      </c>
      <c r="AV10" s="4" t="str">
        <f ca="1">IF(viavelESF[[#This Row],[idDimensionamento]]="","N.A.",INDEX(ESF[],MATCH(viavelESF[[#This Row],[Pilar]]&amp;viavelESF[[#This Row],[idDimensionamento]],ESF[idPilar,idDimensionamento],0),MATCH("Asp,face (cm²)",ESF[#Headers],0)))</f>
        <v>N.A.</v>
      </c>
      <c r="AW10" s="12">
        <f ca="1">IF(viavelESF[[#This Row],[Asp,face]]="N.A.",0,ROUNDUP(viavelESF[[#This Row],[Asp,face]]/(PI()*(viavelESF[[#This Row],[Ø7]]/10)^2/4),0))</f>
        <v>0</v>
      </c>
      <c r="AX10" s="5">
        <f ca="1">IF(viavelESF[[#This Row],[Asp,face]]="N.A.",0,dArmadura(viavelESF[[#This Row],[nE]],viavelESF[[#This Row],[Ø (cm)]],viavelESF[[#This Row],[e (cm)]],viavelESF[[#This Row],[a (cm)]],viavelESF[[#This Row],[h (cm)]],viavelESF[[#Headers],[Asp,face]],viavelESF[[#This Row],[Asp,face]]))</f>
        <v>0</v>
      </c>
      <c r="AY10" s="12">
        <f ca="1">IF(viavelESF[[#This Row],[Asp,face]]="N.A.",0,comprimento(viavelESF[[#This Row],[nE]],viavelESF[[#This Row],[Ø4]],viavelESF[[#This Row],[e (cm)]],viavelESF[[#This Row],[a (cm)]],viavelESF[[#This Row],[h (cm)]],viavelESF[[#Headers],[Asp,face]]))</f>
        <v>0</v>
      </c>
      <c r="AZ10" s="12" t="str">
        <f ca="1">IF(viavelESF[[#This Row],[N7]]=0,"N.A.",viavelESF[[#This Row],[N7]]&amp;" Ø"&amp;viavelESF[[#This Row],[Ø7]]&amp;"mm C="&amp;viavelESF[[#This Row],[C7]]&amp;"cm")</f>
        <v>N.A.</v>
      </c>
    </row>
    <row r="11" spans="2:52" x14ac:dyDescent="0.25">
      <c r="C11" s="16"/>
      <c r="D11" s="16"/>
      <c r="E11" s="16"/>
      <c r="F11" s="16"/>
      <c r="G11" s="16"/>
      <c r="H11" s="16"/>
      <c r="I11" s="16"/>
      <c r="J11" s="16"/>
      <c r="K11" s="16"/>
      <c r="L11" s="16"/>
      <c r="M11" s="16"/>
      <c r="N11" s="16"/>
      <c r="O11" s="16"/>
      <c r="P11" s="16"/>
      <c r="Q11" s="16"/>
    </row>
    <row r="12" spans="2:52" x14ac:dyDescent="0.25">
      <c r="C12" s="16"/>
      <c r="D12" s="16"/>
      <c r="E12" s="16"/>
      <c r="F12" s="16"/>
      <c r="G12" s="16"/>
      <c r="H12" s="16"/>
      <c r="I12" s="16"/>
      <c r="J12" s="16"/>
      <c r="K12" s="16"/>
      <c r="L12" s="16"/>
      <c r="M12" s="16"/>
      <c r="N12" s="16"/>
      <c r="O12" s="16"/>
      <c r="P12" s="16"/>
      <c r="Q12" s="16"/>
    </row>
    <row r="14" spans="2:52" x14ac:dyDescent="0.25">
      <c r="C14" s="16"/>
    </row>
  </sheetData>
  <dataConsolidate link="1"/>
  <mergeCells count="4">
    <mergeCell ref="B3:D3"/>
    <mergeCell ref="G3:N3"/>
    <mergeCell ref="O3:AZ3"/>
    <mergeCell ref="E3:F3"/>
  </mergeCells>
  <phoneticPr fontId="6" type="noConversion"/>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6636C-9D40-4A08-931C-5DD7783AF618}">
  <sheetPr codeName="tecViavelECF"/>
  <dimension ref="A1:BA13"/>
  <sheetViews>
    <sheetView showGridLines="0" workbookViewId="0">
      <selection activeCell="U159" sqref="U159"/>
    </sheetView>
  </sheetViews>
  <sheetFormatPr defaultColWidth="0" defaultRowHeight="15" x14ac:dyDescent="0.25"/>
  <cols>
    <col min="1" max="1" width="2.7109375" style="1" customWidth="1"/>
    <col min="2" max="2" width="8.42578125" style="1" bestFit="1" customWidth="1"/>
    <col min="3" max="3" width="6.140625" style="1" bestFit="1" customWidth="1"/>
    <col min="4" max="4" width="23.5703125" style="1" bestFit="1" customWidth="1"/>
    <col min="5" max="5" width="9.28515625" style="1" bestFit="1" customWidth="1"/>
    <col min="6" max="6" width="9.42578125" style="1" bestFit="1" customWidth="1"/>
    <col min="7" max="7" width="4.28515625" style="1" bestFit="1" customWidth="1"/>
    <col min="8" max="8" width="8.28515625" style="1" bestFit="1" customWidth="1"/>
    <col min="9" max="9" width="8.7109375" style="1" bestFit="1" customWidth="1"/>
    <col min="10" max="10" width="4.28515625" style="1" bestFit="1" customWidth="1"/>
    <col min="11" max="11" width="5.7109375" style="1" bestFit="1" customWidth="1"/>
    <col min="12" max="12" width="5.7109375" style="1" customWidth="1"/>
    <col min="13" max="13" width="22" style="1" bestFit="1" customWidth="1"/>
    <col min="14" max="14" width="10.28515625" style="1" bestFit="1" customWidth="1"/>
    <col min="15" max="16" width="7.85546875" style="1" bestFit="1" customWidth="1"/>
    <col min="17" max="17" width="8" style="1" bestFit="1" customWidth="1"/>
    <col min="18" max="18" width="9.42578125" style="1" bestFit="1" customWidth="1"/>
    <col min="19" max="19" width="4.28515625" style="1" bestFit="1" customWidth="1"/>
    <col min="20" max="20" width="5.7109375" style="1" customWidth="1"/>
    <col min="21" max="21" width="5.140625" style="1" bestFit="1" customWidth="1"/>
    <col min="22" max="22" width="23.85546875" style="1" bestFit="1" customWidth="1"/>
    <col min="23" max="23" width="7" style="1" bestFit="1" customWidth="1"/>
    <col min="24" max="24" width="4.28515625" style="1" bestFit="1" customWidth="1"/>
    <col min="25" max="25" width="5.7109375" style="1" customWidth="1"/>
    <col min="26" max="26" width="6.42578125" style="1" bestFit="1" customWidth="1"/>
    <col min="27" max="27" width="24.5703125" style="1" bestFit="1" customWidth="1"/>
    <col min="28" max="28" width="7" style="1" bestFit="1" customWidth="1"/>
    <col min="29" max="29" width="4.28515625" style="1" bestFit="1" customWidth="1"/>
    <col min="30" max="30" width="5.7109375" style="1" bestFit="1" customWidth="1"/>
    <col min="31" max="31" width="5.140625" style="1" bestFit="1" customWidth="1"/>
    <col min="32" max="32" width="23.28515625" style="1" bestFit="1" customWidth="1"/>
    <col min="33" max="33" width="8.85546875" style="1" bestFit="1" customWidth="1"/>
    <col min="34" max="34" width="4.28515625" style="1" bestFit="1" customWidth="1"/>
    <col min="35" max="35" width="5.7109375" style="1" customWidth="1"/>
    <col min="36" max="36" width="5.140625" style="1" bestFit="1" customWidth="1"/>
    <col min="37" max="37" width="23.85546875" style="1" bestFit="1" customWidth="1"/>
    <col min="38" max="38" width="11.28515625" style="1" bestFit="1" customWidth="1"/>
    <col min="39" max="39" width="4.28515625" style="1" bestFit="1" customWidth="1"/>
    <col min="40" max="40" width="5.7109375" style="1" customWidth="1"/>
    <col min="41" max="41" width="5.140625" style="1" bestFit="1" customWidth="1"/>
    <col min="42" max="42" width="23.85546875" style="1" bestFit="1" customWidth="1"/>
    <col min="43" max="43" width="13.7109375" style="1" bestFit="1" customWidth="1"/>
    <col min="44" max="44" width="4.28515625" style="1" bestFit="1" customWidth="1"/>
    <col min="45" max="45" width="5.7109375" style="1" customWidth="1"/>
    <col min="46" max="46" width="5.140625" style="1" bestFit="1" customWidth="1"/>
    <col min="47" max="47" width="22" style="1" bestFit="1" customWidth="1"/>
    <col min="48" max="48" width="10.7109375" style="1" bestFit="1" customWidth="1"/>
    <col min="49" max="49" width="4.28515625" style="1" bestFit="1" customWidth="1"/>
    <col min="50" max="50" width="5.7109375" style="1" customWidth="1"/>
    <col min="51" max="51" width="6.42578125" style="1" bestFit="1" customWidth="1"/>
    <col min="52" max="52" width="25.140625" style="1" bestFit="1" customWidth="1"/>
    <col min="53" max="53" width="2.7109375" style="1" customWidth="1"/>
    <col min="54" max="16384" width="9.140625" style="1" hidden="1"/>
  </cols>
  <sheetData>
    <row r="1" spans="2:52" ht="5.0999999999999996" customHeight="1" x14ac:dyDescent="0.25"/>
    <row r="2" spans="2:52" s="36" customFormat="1" ht="20.25" x14ac:dyDescent="0.25">
      <c r="B2" s="37" t="s">
        <v>42</v>
      </c>
    </row>
    <row r="3" spans="2:52" x14ac:dyDescent="0.25">
      <c r="B3" s="72" t="s">
        <v>72</v>
      </c>
      <c r="C3" s="73"/>
      <c r="D3" s="74"/>
      <c r="G3" s="72" t="s">
        <v>226</v>
      </c>
      <c r="H3" s="73"/>
      <c r="I3" s="73"/>
      <c r="J3" s="73"/>
      <c r="K3" s="73"/>
      <c r="L3" s="73"/>
      <c r="M3" s="73"/>
      <c r="N3" s="74"/>
      <c r="O3" s="72" t="s">
        <v>184</v>
      </c>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4"/>
    </row>
    <row r="4" spans="2:52" x14ac:dyDescent="0.25">
      <c r="B4" s="1" t="s">
        <v>180</v>
      </c>
      <c r="C4" s="1" t="s">
        <v>67</v>
      </c>
      <c r="D4" s="1" t="s">
        <v>179</v>
      </c>
      <c r="E4" s="1" t="s">
        <v>264</v>
      </c>
      <c r="F4" s="1" t="s">
        <v>99</v>
      </c>
      <c r="G4" s="1" t="s">
        <v>82</v>
      </c>
      <c r="H4" s="1" t="s">
        <v>29</v>
      </c>
      <c r="I4" s="1" t="s">
        <v>182</v>
      </c>
      <c r="J4" s="1" t="s">
        <v>188</v>
      </c>
      <c r="K4" s="1" t="s">
        <v>183</v>
      </c>
      <c r="L4" s="1" t="s">
        <v>187</v>
      </c>
      <c r="M4" s="1" t="s">
        <v>228</v>
      </c>
      <c r="N4" s="1" t="s">
        <v>137</v>
      </c>
      <c r="O4" s="1" t="s">
        <v>127</v>
      </c>
      <c r="P4" s="1" t="s">
        <v>94</v>
      </c>
      <c r="Q4" s="1" t="s">
        <v>96</v>
      </c>
      <c r="R4" s="1" t="s">
        <v>219</v>
      </c>
      <c r="S4" s="1" t="s">
        <v>190</v>
      </c>
      <c r="T4" s="1" t="s">
        <v>191</v>
      </c>
      <c r="U4" s="1" t="s">
        <v>189</v>
      </c>
      <c r="V4" s="1" t="s">
        <v>227</v>
      </c>
      <c r="W4" s="1" t="s">
        <v>224</v>
      </c>
      <c r="X4" s="1" t="s">
        <v>195</v>
      </c>
      <c r="Y4" s="1" t="s">
        <v>196</v>
      </c>
      <c r="Z4" s="1" t="s">
        <v>192</v>
      </c>
      <c r="AA4" s="1" t="s">
        <v>229</v>
      </c>
      <c r="AB4" s="1" t="s">
        <v>225</v>
      </c>
      <c r="AC4" s="1" t="s">
        <v>193</v>
      </c>
      <c r="AD4" s="1" t="s">
        <v>198</v>
      </c>
      <c r="AE4" s="1" t="s">
        <v>197</v>
      </c>
      <c r="AF4" s="1" t="s">
        <v>230</v>
      </c>
      <c r="AG4" s="1" t="s">
        <v>220</v>
      </c>
      <c r="AH4" s="1" t="s">
        <v>200</v>
      </c>
      <c r="AI4" s="1" t="s">
        <v>194</v>
      </c>
      <c r="AJ4" s="1" t="s">
        <v>199</v>
      </c>
      <c r="AK4" s="1" t="s">
        <v>231</v>
      </c>
      <c r="AL4" s="1" t="s">
        <v>221</v>
      </c>
      <c r="AM4" s="1" t="s">
        <v>202</v>
      </c>
      <c r="AN4" s="1" t="s">
        <v>203</v>
      </c>
      <c r="AO4" s="1" t="s">
        <v>201</v>
      </c>
      <c r="AP4" s="1" t="s">
        <v>232</v>
      </c>
      <c r="AQ4" s="1" t="s">
        <v>222</v>
      </c>
      <c r="AR4" s="1" t="s">
        <v>205</v>
      </c>
      <c r="AS4" s="1" t="s">
        <v>206</v>
      </c>
      <c r="AT4" s="1" t="s">
        <v>204</v>
      </c>
      <c r="AU4" s="1" t="s">
        <v>234</v>
      </c>
      <c r="AV4" s="1" t="s">
        <v>223</v>
      </c>
      <c r="AW4" s="1" t="s">
        <v>208</v>
      </c>
      <c r="AX4" s="1" t="s">
        <v>209</v>
      </c>
      <c r="AY4" s="1" t="s">
        <v>207</v>
      </c>
      <c r="AZ4" s="1" t="s">
        <v>233</v>
      </c>
    </row>
    <row r="5" spans="2:52" x14ac:dyDescent="0.25">
      <c r="B5" s="1">
        <f>COUNTIF($C$4:C4,viavelECF[[#This Row],[Pilar]])+1</f>
        <v>1</v>
      </c>
      <c r="C5" s="16">
        <f>ROUNDDOWN((COUNTA($C$4:C4)-1)/3,0)+1</f>
        <v>1</v>
      </c>
      <c r="D5" s="16" t="str">
        <f ca="1">opcao($B$2,viavelECF[[#This Row],[Pilar]],viavelECF[[#This Row],[Opção]])</f>
        <v>4 Ø60cm Prof. 12 m</v>
      </c>
      <c r="E5" s="12">
        <f>INDEX(PILARES[],MATCH(viavelECF[[#This Row],[Pilar]],PILARES[Pilar],0),MATCH(viavelECF[[#Headers],[ap (cm)]],PILARES[#Headers],0))</f>
        <v>60</v>
      </c>
      <c r="F5" s="12">
        <f>INDEX(PILARES[],MATCH(viavelECF[[#This Row],[Pilar]],PILARES[Pilar],0),MATCH(viavelECF[[#Headers],[bp (cm)]],PILARES[#Headers],0))</f>
        <v>60</v>
      </c>
      <c r="G5" s="12">
        <f ca="1">IF(viavelECF[[#This Row],[idDimensionamento]]="",0,INDEX(ECF[],MATCH(viavelECF[[#This Row],[Pilar]]&amp;viavelECF[[#This Row],[idDimensionamento]],ECF[idPilar,idDimensionamento],0),MATCH(viavelECF[[#Headers],[nE]],ECF[#Headers],0)))</f>
        <v>4</v>
      </c>
      <c r="H5" s="12">
        <f ca="1">INDEX(ECF[],MATCH(viavelECF[[#This Row],[Pilar]]&amp;viavelECF[[#This Row],[idDimensionamento]],ECF[idPilar,idDimensionamento],0),MATCH(viavelECF[[#Headers],[Ø (cm)]],ECF[#Headers],0))</f>
        <v>60</v>
      </c>
      <c r="I5" s="4">
        <f ca="1">INDEX(ECF[],MATCH(viavelECF[[#This Row],[Pilar]]&amp;viavelECF[[#This Row],[idDimensionamento]],ECF[idPilar,idDimensionamento],0),MATCH("As,mín (cm²)",ECF[#Headers],0))</f>
        <v>11.309733552923255</v>
      </c>
      <c r="J5" s="12">
        <f ca="1">IF(viavelECF[[#This Row],[idDimensionamento]]="",0,6)</f>
        <v>6</v>
      </c>
      <c r="K5" s="5">
        <f ca="1">IF(viavelECF[[#This Row],[idDimensionamento]]="",0,INDEX(areaAco[],MATCH(10*SQRT(viavelECF[[#This Row],[As,mín]]*4/(viavelECF[[#This Row],[N]]*PI())),areaAco[Ø\QNTD],1)+1,1))</f>
        <v>16</v>
      </c>
      <c r="L5" s="12">
        <f ca="1">IF(viavelECF[[#This Row],[idDimensionamento]]="",0,INDEX(ECF[],MATCH(viavelECF[[#This Row],[Pilar]]&amp;viavelECF[[#This Row],[idDimensionamento]],ECF[idPilar,idDimensionamento],0),MATCH("Comprimento (m)",ECF[#Headers],0))*100)</f>
        <v>400</v>
      </c>
      <c r="M5" s="12" t="str">
        <f ca="1">IF(viavelECF[[#This Row],[N]]=0,"N.A.",viavelECF[[#This Row],[N]]&amp;" Ø"&amp;viavelECF[[#This Row],[Ø]]&amp;"mm C="&amp;viavelECF[[#This Row],[C]]&amp;"cm")</f>
        <v>6 Ø16mm C=400cm</v>
      </c>
      <c r="N5" s="5">
        <f ca="1">viavelECF[[#This Row],[nE]]*viavelECF[[#This Row],[N]]*(PI()*(viavelECF[[#This Row],[Ø]]/10)^2/4*viavelECF[[#This Row],[C]])/100^3*7850</f>
        <v>151.52027031969718</v>
      </c>
      <c r="O5" s="5">
        <f ca="1">INDEX(ECF[],MATCH(viavelECF[[#This Row],[Pilar]]&amp;viavelECF[[#This Row],[idDimensionamento]],ECF[idPilar,idDimensionamento],0),MATCH(viavelECF[[#Headers],[e (cm)]],ECF[#Headers],0))</f>
        <v>180</v>
      </c>
      <c r="P5" s="5">
        <f ca="1">INDEX(ECF[],MATCH(viavelECF[[#This Row],[Pilar]]&amp;viavelECF[[#This Row],[idDimensionamento]],ECF[idPilar,idDimensionamento],0),MATCH(viavelECF[[#Headers],[a (cm)]],ECF[#Headers],0))</f>
        <v>90</v>
      </c>
      <c r="Q5" s="5">
        <f ca="1">INDEX(ECF[],MATCH(viavelECF[[#This Row],[Pilar]]&amp;viavelECF[[#This Row],[idDimensionamento]],ECF[idPilar,idDimensionamento],0),MATCH(viavelECF[[#Headers],[h (cm)]],ECF[#Headers],0))</f>
        <v>90</v>
      </c>
      <c r="R5" s="4">
        <f ca="1">IF(viavelECF[[#This Row],[idDimensionamento]]="","N.A.",INDEX(ECF[],MATCH(viavelECF[[#This Row],[Pilar]]&amp;viavelECF[[#This Row],[idDimensionamento]],ECF[idPilar,idDimensionamento],0),MATCH("As,lado (cm²)",ECF[#Headers],0)))</f>
        <v>20.125</v>
      </c>
      <c r="S5" s="12">
        <f ca="1">IF(viavelECF[[#This Row],[As,lado]]="N.A.",0,IF(viavelECF[[#This Row],[nE]]=1,ROUNDUP(viavelECF[[#This Row],[As,lado]]/(PI()*(viavelECF[[#This Row],[Ø1]]/10)^2/4)/2,0),ROUNDUP(viavelECF[[#This Row],[As,lado]]/(PI()*(viavelECF[[#This Row],[Ø1]]/10)^2/4),0)))</f>
        <v>7</v>
      </c>
      <c r="T5" s="5">
        <f ca="1">IF(viavelECF[[#This Row],[As,lado]]="N.A.",0,dArmadura(viavelECF[[#This Row],[nE]],viavelECF[[#This Row],[Ø (cm)]],viavelECF[[#This Row],[e (cm)]],viavelECF[[#This Row],[a (cm)]],viavelECF[[#This Row],[h (cm)]],viavelECF[[#Headers],[As,lado]],viavelECF[[#This Row],[As,lado]]))</f>
        <v>20</v>
      </c>
      <c r="U5" s="12">
        <f ca="1">IF(viavelECF[[#This Row],[As,lado]]="N.A.",0,comprimento(viavelECF[[#This Row],[nE]],viavelECF[[#This Row],[Ø1]],viavelECF[[#This Row],[e (cm)]],viavelECF[[#This Row],[a (cm)]],viavelECF[[#This Row],[h (cm)]],viavelECF[[#Headers],[As,lado]]))</f>
        <v>490</v>
      </c>
      <c r="V5" s="12" t="str">
        <f ca="1">IF(viavelECF[[#This Row],[N1]]=0,"N.A.",viavelECF[[#This Row],[N1]]&amp;" Ø"&amp;viavelECF[[#This Row],[Ø1]]&amp;"mm C="&amp;viavelECF[[#This Row],[C1]]&amp;"cm")</f>
        <v>7 Ø20mm C=490cm</v>
      </c>
      <c r="W5" s="4" t="str">
        <f ca="1">IF(viavelECF[[#This Row],[idDimensionamento]]="","N.A.",INDEX(ECF[],MATCH(viavelECF[[#This Row],[Pilar]]&amp;viavelECF[[#This Row],[idDimensionamento]],ECF[idPilar,idDimensionamento],0),MATCH("Asp e Asw (cm²/m)",ECF[#Headers],0)))</f>
        <v>N.A.</v>
      </c>
      <c r="X5" s="12">
        <f ca="1">IF(viavelECF[[#This Row],[Asp]]="N.A.",0,ROUNDUP(viavelECF[[#This Row],[Asp]]/(PI()*(viavelECF[[#This Row],[Ø2]]/10)^2/4)/2,0))</f>
        <v>0</v>
      </c>
      <c r="Y5" s="5">
        <f ca="1">IF(viavelECF[[#This Row],[Asp]]="N.A.",0,dArmadura(viavelECF[[#This Row],[nE]],viavelECF[[#This Row],[Ø (cm)]],viavelECF[[#This Row],[e (cm)]],viavelECF[[#This Row],[a (cm)]],viavelECF[[#This Row],[h (cm)]],viavelECF[[#Headers],[Asp]],viavelECF[[#This Row],[Asp]]))</f>
        <v>0</v>
      </c>
      <c r="Z5" s="12">
        <f ca="1">IF(viavelECF[[#This Row],[Asp]]="N.A.",0,comprimento(viavelECF[[#This Row],[nE]],viavelECF[[#This Row],[Ø2]],viavelECF[[#This Row],[e (cm)]],viavelECF[[#This Row],[a (cm)]],viavelECF[[#This Row],[h (cm)]],viavelECF[[#Headers],[Asp]]))</f>
        <v>0</v>
      </c>
      <c r="AA5" s="12" t="str">
        <f ca="1">IF(viavelECF[[#This Row],[N2]]=0,"N.A.",viavelECF[[#This Row],[N2]]&amp;" Ø"&amp;viavelECF[[#This Row],[Ø2]]&amp;"mm C="&amp;viavelECF[[#This Row],[C2]]&amp;"cm")</f>
        <v>N.A.</v>
      </c>
      <c r="AB5" s="4" t="str">
        <f ca="1">viavelECF[[#This Row],[Asp]]</f>
        <v>N.A.</v>
      </c>
      <c r="AC5" s="12">
        <f ca="1">IF(viavelECF[[#This Row],[Asw]]="N.A.",0,ROUNDUP(viavelECF[[#This Row],[Asw]]/(PI()*(viavelECF[[#This Row],[Ø3]]/10)^2/4)/2,0))</f>
        <v>0</v>
      </c>
      <c r="AD5" s="5">
        <f ca="1">IF(viavelECF[[#This Row],[Asw]]="N.A.",0,dArmadura(viavelECF[[#This Row],[nE]],viavelECF[[#This Row],[Ø (cm)]],viavelECF[[#This Row],[e (cm)]],viavelECF[[#This Row],[a (cm)]],viavelECF[[#This Row],[h (cm)]],viavelECF[[#Headers],[Asw]],viavelECF[[#This Row],[Asw]]))</f>
        <v>0</v>
      </c>
      <c r="AE5" s="12">
        <f ca="1">IF(viavelECF[[#This Row],[Asw]]="N.A.",0,comprimento(viavelECF[[#This Row],[nE]],viavelECF[[#This Row],[Ø3]],viavelECF[[#This Row],[e (cm)]],viavelECF[[#This Row],[a (cm)]],viavelECF[[#This Row],[h (cm)]],viavelECF[[#Headers],[Asw]]))</f>
        <v>0</v>
      </c>
      <c r="AF5" s="12" t="str">
        <f ca="1">IF(viavelECF[[#This Row],[N3]]=0,"N.A.",viavelECF[[#This Row],[N3]]&amp;" Ø"&amp;viavelECF[[#This Row],[Ø3]]&amp;"mm C="&amp;viavelECF[[#This Row],[C3]]&amp;"cm")</f>
        <v>N.A.</v>
      </c>
      <c r="AG5" s="4">
        <f ca="1">IF(viavelECF[[#This Row],[idDimensionamento]]="","N.A.",INDEX(ECF[],MATCH(viavelECF[[#This Row],[Pilar]]&amp;viavelECF[[#This Row],[idDimensionamento]],ECF[idPilar,idDimensionamento],0),MATCH("As,sup (cm²)",ECF[#Headers],0)))</f>
        <v>4.0250000000000004</v>
      </c>
      <c r="AH5" s="12">
        <f ca="1">IF(viavelECF[[#This Row],[As,sup]]="N.A.",0,ROUNDUP(viavelECF[[#This Row],[As,sup]]/(PI()*(viavelECF[[#This Row],[Ø4]]/10)^2/4),0))</f>
        <v>1</v>
      </c>
      <c r="AI5" s="5">
        <f ca="1">IF(viavelECF[[#This Row],[As,sup]]="N.A.",0,dArmadura(viavelECF[[#This Row],[nE]],viavelECF[[#This Row],[Ø (cm)]],viavelECF[[#This Row],[e (cm)]],viavelECF[[#This Row],[a (cm)]],viavelECF[[#This Row],[h (cm)]],viavelECF[[#Headers],[As,sup]],viavelECF[[#This Row],[As,sup]]))</f>
        <v>25</v>
      </c>
      <c r="AJ5" s="12">
        <f ca="1">IF(viavelECF[[#This Row],[As,sup]]="N.A.",0,comprimento(viavelECF[[#This Row],[nE]],viavelECF[[#This Row],[Ø4]],viavelECF[[#This Row],[e (cm)]],viavelECF[[#This Row],[a (cm)]],viavelECF[[#This Row],[h (cm)]],viavelECF[[#Headers],[As,sup]]))</f>
        <v>355</v>
      </c>
      <c r="AK5" s="12" t="str">
        <f ca="1">IF(viavelECF[[#This Row],[N4]]=0,"N.A.",viavelECF[[#This Row],[N4]]&amp;" Ø"&amp;viavelECF[[#This Row],[Ø4]]&amp;"mm C="&amp;viavelECF[[#This Row],[C4]]&amp;"cm")</f>
        <v>1 Ø25mm C=355cm</v>
      </c>
      <c r="AL5" s="4">
        <f ca="1">IF(viavelECF[[#This Row],[idDimensionamento]]="","N.A.",INDEX(ECF[],MATCH(viavelECF[[#This Row],[Pilar]]&amp;viavelECF[[#This Row],[idDimensionamento]],ECF[idPilar,idDimensionamento],0),MATCH("As,malha (cm²)",ECF[#Headers],0)))</f>
        <v>4.0250000000000004</v>
      </c>
      <c r="AM5" s="12">
        <f ca="1">IF(viavelECF[[#This Row],[As,malha]]="N.A.",0,ROUNDUP(viavelECF[[#This Row],[As,malha]]/(PI()*(viavelECF[[#This Row],[Ø5]]/10)^2/4),0))</f>
        <v>1</v>
      </c>
      <c r="AN5" s="5">
        <f ca="1">IF(viavelECF[[#This Row],[As,malha]]="N.A.",0,dArmadura(viavelECF[[#This Row],[nE]],viavelECF[[#This Row],[Ø (cm)]],viavelECF[[#This Row],[e (cm)]],viavelECF[[#This Row],[a (cm)]],viavelECF[[#This Row],[h (cm)]],viavelECF[[#Headers],[As,malha]],viavelECF[[#This Row],[As,malha]]))</f>
        <v>25</v>
      </c>
      <c r="AO5" s="12">
        <f ca="1">IF(viavelECF[[#This Row],[As,malha]]="N.A.",0,comprimento(viavelECF[[#This Row],[nE]],viavelECF[[#This Row],[Ø4]],viavelECF[[#This Row],[e (cm)]],viavelECF[[#This Row],[a (cm)]],viavelECF[[#This Row],[h (cm)]],viavelECF[[#Headers],[As,malha]]))</f>
        <v>525</v>
      </c>
      <c r="AP5" s="12" t="str">
        <f ca="1">IF(viavelECF[[#This Row],[N5]]=0,"N.A.",viavelECF[[#This Row],[N5]]&amp;" Ø"&amp;viavelECF[[#This Row],[Ø5]]&amp;"mm C="&amp;viavelECF[[#This Row],[C5]]&amp;"cm")</f>
        <v>1 Ø25mm C=525cm</v>
      </c>
      <c r="AQ5" s="4">
        <f ca="1">IF(viavelECF[[#This Row],[idDimensionamento]]="","N.A.",INDEX(ECF[],MATCH(viavelECF[[#This Row],[Pilar]]&amp;viavelECF[[#This Row],[idDimensionamento]],ECF[idPilar,idDimensionamento],0),MATCH("As,susp,tot (cm²)",ECF[#Headers],0)))</f>
        <v>13.416666666666666</v>
      </c>
      <c r="AR5" s="12">
        <f ca="1">IF(viavelECF[[#This Row],[As,susp,tot]]="N.A.",0,ROUNDUP(viavelECF[[#This Row],[As,susp,tot]]/(PI()*(viavelECF[[#This Row],[Ø6]]/10)^2/4),0))</f>
        <v>44</v>
      </c>
      <c r="AS5" s="5">
        <f ca="1">IF(viavelECF[[#This Row],[As,susp,tot]]="N.A.",0,dArmadura(viavelECF[[#This Row],[nE]],viavelECF[[#This Row],[Ø (cm)]],viavelECF[[#This Row],[e (cm)]],viavelECF[[#This Row],[a (cm)]],viavelECF[[#This Row],[h (cm)]],viavelECF[[#Headers],[As,susp,tot]],viavelECF[[#This Row],[As,susp,tot]]))</f>
        <v>6.3</v>
      </c>
      <c r="AT5" s="12">
        <f ca="1">IF(viavelECF[[#This Row],[As,susp,tot]]="N.A.",0,comprimento(viavelECF[[#This Row],[nE]],viavelECF[[#This Row],[Ø4]],viavelECF[[#This Row],[e (cm)]],viavelECF[[#This Row],[a (cm)]],viavelECF[[#This Row],[h (cm)]],viavelECF[[#Headers],[As,susp,tot]]))</f>
        <v>255</v>
      </c>
      <c r="AU5" s="12" t="str">
        <f ca="1">IF(viavelECF[[#This Row],[N6]]=0,"N.A.",viavelECF[[#This Row],[N6]]&amp;" Ø"&amp;viavelECF[[#This Row],[Ø6]]&amp;"mm C="&amp;viavelECF[[#This Row],[C6]]&amp;"cm")</f>
        <v>44 Ø6,3mm C=255cm</v>
      </c>
      <c r="AV5" s="4">
        <f ca="1">IF(viavelECF[[#This Row],[idDimensionamento]]="","N.A.",INDEX(ECF[],MATCH(viavelECF[[#This Row],[Pilar]]&amp;viavelECF[[#This Row],[idDimensionamento]],ECF[idPilar,idDimensionamento],0),MATCH("Asp,face (cm²)",ECF[#Headers],0)))</f>
        <v>10.0625</v>
      </c>
      <c r="AW5" s="12">
        <f ca="1">IF(viavelECF[[#This Row],[Asp,face]]="N.A.",0,ROUNDUP(viavelECF[[#This Row],[Asp,face]]/(PI()*(viavelECF[[#This Row],[Ø7]]/10)^2/4),0))</f>
        <v>21</v>
      </c>
      <c r="AX5" s="5">
        <f ca="1">IF(viavelECF[[#This Row],[Asp,face]]="N.A.",0,dArmadura(viavelECF[[#This Row],[nE]],viavelECF[[#This Row],[Ø (cm)]],viavelECF[[#This Row],[e (cm)]],viavelECF[[#This Row],[a (cm)]],viavelECF[[#This Row],[h (cm)]],viavelECF[[#Headers],[Asp,face]],viavelECF[[#This Row],[Asp,face]]))</f>
        <v>8</v>
      </c>
      <c r="AY5" s="12">
        <f ca="1">IF(viavelECF[[#This Row],[Asp,face]]="N.A.",0,comprimento(viavelECF[[#This Row],[nE]],viavelECF[[#This Row],[Ø4]],viavelECF[[#This Row],[e (cm)]],viavelECF[[#This Row],[a (cm)]],viavelECF[[#This Row],[h (cm)]],viavelECF[[#Headers],[Asp,face]]))</f>
        <v>1425</v>
      </c>
      <c r="AZ5" s="12" t="str">
        <f ca="1">IF(viavelECF[[#This Row],[N7]]=0,"N.A.",viavelECF[[#This Row],[N7]]&amp;" Ø"&amp;viavelECF[[#This Row],[Ø7]]&amp;"mm C="&amp;viavelECF[[#This Row],[C7]]&amp;"cm")</f>
        <v>21 Ø8mm C=1425cm</v>
      </c>
    </row>
    <row r="6" spans="2:52" x14ac:dyDescent="0.25">
      <c r="B6" s="1">
        <f>COUNTIF($C$4:C5,viavelECF[[#This Row],[Pilar]])+1</f>
        <v>2</v>
      </c>
      <c r="C6" s="16">
        <f>ROUNDDOWN((COUNTA($C$4:C5)-1)/3,0)+1</f>
        <v>1</v>
      </c>
      <c r="D6" s="16" t="str">
        <f ca="1">opcao($B$2,viavelECF[[#This Row],[Pilar]],viavelECF[[#This Row],[Opção]])</f>
        <v>3 Ø70cm Prof. 12 m</v>
      </c>
      <c r="E6" s="12">
        <f>INDEX(PILARES[],MATCH(viavelECF[[#This Row],[Pilar]],PILARES[Pilar],0),MATCH(viavelECF[[#Headers],[ap (cm)]],PILARES[#Headers],0))</f>
        <v>60</v>
      </c>
      <c r="F6" s="12">
        <f>INDEX(PILARES[],MATCH(viavelECF[[#This Row],[Pilar]],PILARES[Pilar],0),MATCH(viavelECF[[#Headers],[bp (cm)]],PILARES[#Headers],0))</f>
        <v>60</v>
      </c>
      <c r="G6" s="12">
        <f ca="1">IF(viavelECF[[#This Row],[idDimensionamento]]="",0,INDEX(ECF[],MATCH(viavelECF[[#This Row],[Pilar]]&amp;viavelECF[[#This Row],[idDimensionamento]],ECF[idPilar,idDimensionamento],0),MATCH(viavelECF[[#Headers],[nE]],ECF[#Headers],0)))</f>
        <v>3</v>
      </c>
      <c r="H6" s="12">
        <f ca="1">INDEX(ECF[],MATCH(viavelECF[[#This Row],[Pilar]]&amp;viavelECF[[#This Row],[idDimensionamento]],ECF[idPilar,idDimensionamento],0),MATCH(viavelECF[[#Headers],[Ø (cm)]],ECF[#Headers],0))</f>
        <v>70</v>
      </c>
      <c r="I6" s="4">
        <f ca="1">INDEX(ECF[],MATCH(viavelECF[[#This Row],[Pilar]]&amp;viavelECF[[#This Row],[idDimensionamento]],ECF[idPilar,idDimensionamento],0),MATCH("As,mín (cm²)",ECF[#Headers],0))</f>
        <v>15.393804002589988</v>
      </c>
      <c r="J6" s="12">
        <f ca="1">IF(viavelECF[[#This Row],[idDimensionamento]]="",0,6)</f>
        <v>6</v>
      </c>
      <c r="K6" s="5">
        <f ca="1">IF(viavelECF[[#This Row],[idDimensionamento]]="",0,INDEX(areaAco[],MATCH(10*SQRT(viavelECF[[#This Row],[As,mín]]*4/(viavelECF[[#This Row],[N]]*PI())),areaAco[Ø\QNTD],1)+1,1))</f>
        <v>20</v>
      </c>
      <c r="L6" s="12">
        <f ca="1">IF(viavelECF[[#This Row],[idDimensionamento]]="",0,INDEX(ECF[],MATCH(viavelECF[[#This Row],[Pilar]]&amp;viavelECF[[#This Row],[idDimensionamento]],ECF[idPilar,idDimensionamento],0),MATCH("Comprimento (m)",ECF[#Headers],0))*100)</f>
        <v>400</v>
      </c>
      <c r="M6" s="12" t="str">
        <f ca="1">IF(viavelECF[[#This Row],[N]]=0,"N.A.",viavelECF[[#This Row],[N]]&amp;" Ø"&amp;viavelECF[[#This Row],[Ø]]&amp;"mm C="&amp;viavelECF[[#This Row],[C]]&amp;"cm")</f>
        <v>6 Ø20mm C=400cm</v>
      </c>
      <c r="N6" s="5">
        <f ca="1">viavelECF[[#This Row],[nE]]*viavelECF[[#This Row],[N]]*(PI()*(viavelECF[[#This Row],[Ø]]/10)^2/4*viavelECF[[#This Row],[C]])/100^3*7850</f>
        <v>177.5628167808951</v>
      </c>
      <c r="O6" s="5">
        <f ca="1">INDEX(ECF[],MATCH(viavelECF[[#This Row],[Pilar]]&amp;viavelECF[[#This Row],[idDimensionamento]],ECF[idPilar,idDimensionamento],0),MATCH(viavelECF[[#Headers],[e (cm)]],ECF[#Headers],0))</f>
        <v>210</v>
      </c>
      <c r="P6" s="5">
        <f ca="1">INDEX(ECF[],MATCH(viavelECF[[#This Row],[Pilar]]&amp;viavelECF[[#This Row],[idDimensionamento]],ECF[idPilar,idDimensionamento],0),MATCH(viavelECF[[#Headers],[a (cm)]],ECF[#Headers],0))</f>
        <v>105</v>
      </c>
      <c r="Q6" s="5">
        <f ca="1">INDEX(ECF[],MATCH(viavelECF[[#This Row],[Pilar]]&amp;viavelECF[[#This Row],[idDimensionamento]],ECF[idPilar,idDimensionamento],0),MATCH(viavelECF[[#Headers],[h (cm)]],ECF[#Headers],0))</f>
        <v>105</v>
      </c>
      <c r="R6" s="4">
        <f ca="1">IF(viavelECF[[#This Row],[idDimensionamento]]="","N.A.",INDEX(ECF[],MATCH(viavelECF[[#This Row],[Pilar]]&amp;viavelECF[[#This Row],[idDimensionamento]],ECF[idPilar,idDimensionamento],0),MATCH("As,lado (cm²)",ECF[#Headers],0)))</f>
        <v>17.771923925719374</v>
      </c>
      <c r="S6" s="12">
        <f ca="1">IF(viavelECF[[#This Row],[As,lado]]="N.A.",0,IF(viavelECF[[#This Row],[nE]]=1,ROUNDUP(viavelECF[[#This Row],[As,lado]]/(PI()*(viavelECF[[#This Row],[Ø1]]/10)^2/4)/2,0),ROUNDUP(viavelECF[[#This Row],[As,lado]]/(PI()*(viavelECF[[#This Row],[Ø1]]/10)^2/4),0)))</f>
        <v>9</v>
      </c>
      <c r="T6" s="5">
        <f ca="1">IF(viavelECF[[#This Row],[As,lado]]="N.A.",0,dArmadura(viavelECF[[#This Row],[nE]],viavelECF[[#This Row],[Ø (cm)]],viavelECF[[#This Row],[e (cm)]],viavelECF[[#This Row],[a (cm)]],viavelECF[[#This Row],[h (cm)]],viavelECF[[#Headers],[As,lado]],viavelECF[[#This Row],[As,lado]]))</f>
        <v>16</v>
      </c>
      <c r="U6" s="12">
        <f ca="1">IF(viavelECF[[#This Row],[As,lado]]="N.A.",0,comprimento(viavelECF[[#This Row],[nE]],viavelECF[[#This Row],[Ø1]],viavelECF[[#This Row],[e (cm)]],viavelECF[[#This Row],[a (cm)]],viavelECF[[#This Row],[h (cm)]],viavelECF[[#Headers],[As,lado]]))</f>
        <v>530</v>
      </c>
      <c r="V6" s="12" t="str">
        <f ca="1">IF(viavelECF[[#This Row],[N1]]=0,"N.A.",viavelECF[[#This Row],[N1]]&amp;" Ø"&amp;viavelECF[[#This Row],[Ø1]]&amp;"mm C="&amp;viavelECF[[#This Row],[C1]]&amp;"cm")</f>
        <v>9 Ø16mm C=530cm</v>
      </c>
      <c r="W6" s="4" t="str">
        <f ca="1">IF(viavelECF[[#This Row],[idDimensionamento]]="","N.A.",INDEX(ECF[],MATCH(viavelECF[[#This Row],[Pilar]]&amp;viavelECF[[#This Row],[idDimensionamento]],ECF[idPilar,idDimensionamento],0),MATCH("Asp e Asw (cm²/m)",ECF[#Headers],0)))</f>
        <v>N.A.</v>
      </c>
      <c r="X6" s="12">
        <f ca="1">IF(viavelECF[[#This Row],[Asp]]="N.A.",0,ROUNDUP(viavelECF[[#This Row],[Asp]]/(PI()*(viavelECF[[#This Row],[Ø2]]/10)^2/4)/2,0))</f>
        <v>0</v>
      </c>
      <c r="Y6" s="5">
        <f ca="1">IF(viavelECF[[#This Row],[Asp]]="N.A.",0,dArmadura(viavelECF[[#This Row],[nE]],viavelECF[[#This Row],[Ø (cm)]],viavelECF[[#This Row],[e (cm)]],viavelECF[[#This Row],[a (cm)]],viavelECF[[#This Row],[h (cm)]],viavelECF[[#Headers],[Asp]],viavelECF[[#This Row],[Asp]]))</f>
        <v>0</v>
      </c>
      <c r="Z6" s="12">
        <f ca="1">IF(viavelECF[[#This Row],[Asp]]="N.A.",0,comprimento(viavelECF[[#This Row],[nE]],viavelECF[[#This Row],[Ø2]],viavelECF[[#This Row],[e (cm)]],viavelECF[[#This Row],[a (cm)]],viavelECF[[#This Row],[h (cm)]],viavelECF[[#Headers],[Asp]]))</f>
        <v>0</v>
      </c>
      <c r="AA6" s="12" t="str">
        <f ca="1">IF(viavelECF[[#This Row],[N2]]=0,"N.A.",viavelECF[[#This Row],[N2]]&amp;" Ø"&amp;viavelECF[[#This Row],[Ø2]]&amp;"mm C="&amp;viavelECF[[#This Row],[C2]]&amp;"cm")</f>
        <v>N.A.</v>
      </c>
      <c r="AB6" s="4" t="str">
        <f ca="1">viavelECF[[#This Row],[Asp]]</f>
        <v>N.A.</v>
      </c>
      <c r="AC6" s="12">
        <f ca="1">IF(viavelECF[[#This Row],[Asw]]="N.A.",0,ROUNDUP(viavelECF[[#This Row],[Asw]]/(PI()*(viavelECF[[#This Row],[Ø3]]/10)^2/4)/2,0))</f>
        <v>0</v>
      </c>
      <c r="AD6" s="5">
        <f ca="1">IF(viavelECF[[#This Row],[Asw]]="N.A.",0,dArmadura(viavelECF[[#This Row],[nE]],viavelECF[[#This Row],[Ø (cm)]],viavelECF[[#This Row],[e (cm)]],viavelECF[[#This Row],[a (cm)]],viavelECF[[#This Row],[h (cm)]],viavelECF[[#Headers],[Asw]],viavelECF[[#This Row],[Asw]]))</f>
        <v>0</v>
      </c>
      <c r="AE6" s="12">
        <f ca="1">IF(viavelECF[[#This Row],[Asw]]="N.A.",0,comprimento(viavelECF[[#This Row],[nE]],viavelECF[[#This Row],[Ø3]],viavelECF[[#This Row],[e (cm)]],viavelECF[[#This Row],[a (cm)]],viavelECF[[#This Row],[h (cm)]],viavelECF[[#Headers],[Asw]]))</f>
        <v>0</v>
      </c>
      <c r="AF6" s="12" t="str">
        <f ca="1">IF(viavelECF[[#This Row],[N3]]=0,"N.A.",viavelECF[[#This Row],[N3]]&amp;" Ø"&amp;viavelECF[[#This Row],[Ø3]]&amp;"mm C="&amp;viavelECF[[#This Row],[C3]]&amp;"cm")</f>
        <v>N.A.</v>
      </c>
      <c r="AG6" s="4">
        <f ca="1">IF(viavelECF[[#This Row],[idDimensionamento]]="","N.A.",INDEX(ECF[],MATCH(viavelECF[[#This Row],[Pilar]]&amp;viavelECF[[#This Row],[idDimensionamento]],ECF[idPilar,idDimensionamento],0),MATCH("As,sup (cm²)",ECF[#Headers],0)))</f>
        <v>3.554384785143875</v>
      </c>
      <c r="AH6" s="12">
        <f ca="1">IF(viavelECF[[#This Row],[As,sup]]="N.A.",0,ROUNDUP(viavelECF[[#This Row],[As,sup]]/(PI()*(viavelECF[[#This Row],[Ø4]]/10)^2/4),0))</f>
        <v>1</v>
      </c>
      <c r="AI6" s="5">
        <f ca="1">IF(viavelECF[[#This Row],[As,sup]]="N.A.",0,dArmadura(viavelECF[[#This Row],[nE]],viavelECF[[#This Row],[Ø (cm)]],viavelECF[[#This Row],[e (cm)]],viavelECF[[#This Row],[a (cm)]],viavelECF[[#This Row],[h (cm)]],viavelECF[[#Headers],[As,sup]],viavelECF[[#This Row],[As,sup]]))</f>
        <v>22</v>
      </c>
      <c r="AJ6" s="12">
        <f ca="1">IF(viavelECF[[#This Row],[As,sup]]="N.A.",0,comprimento(viavelECF[[#This Row],[nE]],viavelECF[[#This Row],[Ø4]],viavelECF[[#This Row],[e (cm)]],viavelECF[[#This Row],[a (cm)]],viavelECF[[#This Row],[h (cm)]],viavelECF[[#Headers],[As,sup]]))</f>
        <v>420</v>
      </c>
      <c r="AK6" s="12" t="str">
        <f ca="1">IF(viavelECF[[#This Row],[N4]]=0,"N.A.",viavelECF[[#This Row],[N4]]&amp;" Ø"&amp;viavelECF[[#This Row],[Ø4]]&amp;"mm C="&amp;viavelECF[[#This Row],[C4]]&amp;"cm")</f>
        <v>1 Ø22mm C=420cm</v>
      </c>
      <c r="AL6" s="4">
        <f ca="1">IF(viavelECF[[#This Row],[idDimensionamento]]="","N.A.",INDEX(ECF[],MATCH(viavelECF[[#This Row],[Pilar]]&amp;viavelECF[[#This Row],[idDimensionamento]],ECF[idPilar,idDimensionamento],0),MATCH("As,malha (cm²)",ECF[#Headers],0)))</f>
        <v>5.9629629629629619</v>
      </c>
      <c r="AM6" s="12">
        <f ca="1">IF(viavelECF[[#This Row],[As,malha]]="N.A.",0,ROUNDUP(viavelECF[[#This Row],[As,malha]]/(PI()*(viavelECF[[#This Row],[Ø5]]/10)^2/4),0))</f>
        <v>1</v>
      </c>
      <c r="AN6" s="5">
        <f ca="1">IF(viavelECF[[#This Row],[As,malha]]="N.A.",0,dArmadura(viavelECF[[#This Row],[nE]],viavelECF[[#This Row],[Ø (cm)]],viavelECF[[#This Row],[e (cm)]],viavelECF[[#This Row],[a (cm)]],viavelECF[[#This Row],[h (cm)]],viavelECF[[#Headers],[As,malha]],viavelECF[[#This Row],[As,malha]]))</f>
        <v>32</v>
      </c>
      <c r="AO6" s="12">
        <f ca="1">IF(viavelECF[[#This Row],[As,malha]]="N.A.",0,comprimento(viavelECF[[#This Row],[nE]],viavelECF[[#This Row],[Ø4]],viavelECF[[#This Row],[e (cm)]],viavelECF[[#This Row],[a (cm)]],viavelECF[[#This Row],[h (cm)]],viavelECF[[#Headers],[As,malha]]))</f>
        <v>420</v>
      </c>
      <c r="AP6" s="12" t="str">
        <f ca="1">IF(viavelECF[[#This Row],[N5]]=0,"N.A.",viavelECF[[#This Row],[N5]]&amp;" Ø"&amp;viavelECF[[#This Row],[Ø5]]&amp;"mm C="&amp;viavelECF[[#This Row],[C5]]&amp;"cm")</f>
        <v>1 Ø32mm C=420cm</v>
      </c>
      <c r="AQ6" s="4">
        <f ca="1">IF(viavelECF[[#This Row],[idDimensionamento]]="","N.A.",INDEX(ECF[],MATCH(viavelECF[[#This Row],[Pilar]]&amp;viavelECF[[#This Row],[idDimensionamento]],ECF[idPilar,idDimensionamento],0),MATCH("As,susp,tot (cm²)",ECF[#Headers],0)))</f>
        <v>17.888888888888886</v>
      </c>
      <c r="AR6" s="12">
        <f ca="1">IF(viavelECF[[#This Row],[As,susp,tot]]="N.A.",0,ROUNDUP(viavelECF[[#This Row],[As,susp,tot]]/(PI()*(viavelECF[[#This Row],[Ø6]]/10)^2/4),0))</f>
        <v>36</v>
      </c>
      <c r="AS6" s="5">
        <f ca="1">IF(viavelECF[[#This Row],[As,susp,tot]]="N.A.",0,dArmadura(viavelECF[[#This Row],[nE]],viavelECF[[#This Row],[Ø (cm)]],viavelECF[[#This Row],[e (cm)]],viavelECF[[#This Row],[a (cm)]],viavelECF[[#This Row],[h (cm)]],viavelECF[[#Headers],[As,susp,tot]],viavelECF[[#This Row],[As,susp,tot]]))</f>
        <v>8</v>
      </c>
      <c r="AT6" s="12">
        <f ca="1">IF(viavelECF[[#This Row],[As,susp,tot]]="N.A.",0,comprimento(viavelECF[[#This Row],[nE]],viavelECF[[#This Row],[Ø4]],viavelECF[[#This Row],[e (cm)]],viavelECF[[#This Row],[a (cm)]],viavelECF[[#This Row],[h (cm)]],viavelECF[[#Headers],[As,susp,tot]]))</f>
        <v>100</v>
      </c>
      <c r="AU6" s="12" t="str">
        <f ca="1">IF(viavelECF[[#This Row],[N6]]=0,"N.A.",viavelECF[[#This Row],[N6]]&amp;" Ø"&amp;viavelECF[[#This Row],[Ø6]]&amp;"mm C="&amp;viavelECF[[#This Row],[C6]]&amp;"cm")</f>
        <v>36 Ø8mm C=100cm</v>
      </c>
      <c r="AV6" s="4">
        <f ca="1">IF(viavelECF[[#This Row],[idDimensionamento]]="","N.A.",INDEX(ECF[],MATCH(viavelECF[[#This Row],[Pilar]]&amp;viavelECF[[#This Row],[idDimensionamento]],ECF[idPilar,idDimensionamento],0),MATCH("Asp,face (cm²)",ECF[#Headers],0)))</f>
        <v>6.6644714721447649</v>
      </c>
      <c r="AW6" s="12">
        <f ca="1">IF(viavelECF[[#This Row],[Asp,face]]="N.A.",0,ROUNDUP(viavelECF[[#This Row],[Asp,face]]/(PI()*(viavelECF[[#This Row],[Ø7]]/10)^2/4),0))</f>
        <v>9</v>
      </c>
      <c r="AX6" s="5">
        <f ca="1">IF(viavelECF[[#This Row],[Asp,face]]="N.A.",0,dArmadura(viavelECF[[#This Row],[nE]],viavelECF[[#This Row],[Ø (cm)]],viavelECF[[#This Row],[e (cm)]],viavelECF[[#This Row],[a (cm)]],viavelECF[[#This Row],[h (cm)]],viavelECF[[#Headers],[Asp,face]],viavelECF[[#This Row],[Asp,face]]))</f>
        <v>10</v>
      </c>
      <c r="AY6" s="12">
        <f ca="1">IF(viavelECF[[#This Row],[Asp,face]]="N.A.",0,comprimento(viavelECF[[#This Row],[nE]],viavelECF[[#This Row],[Ø4]],viavelECF[[#This Row],[e (cm)]],viavelECF[[#This Row],[a (cm)]],viavelECF[[#This Row],[h (cm)]],viavelECF[[#Headers],[Asp,face]]))</f>
        <v>570</v>
      </c>
      <c r="AZ6" s="12" t="str">
        <f ca="1">IF(viavelECF[[#This Row],[N7]]=0,"N.A.",viavelECF[[#This Row],[N7]]&amp;" Ø"&amp;viavelECF[[#This Row],[Ø7]]&amp;"mm C="&amp;viavelECF[[#This Row],[C7]]&amp;"cm")</f>
        <v>9 Ø10mm C=570cm</v>
      </c>
    </row>
    <row r="7" spans="2:52" x14ac:dyDescent="0.25">
      <c r="B7" s="1">
        <f>COUNTIF($C$4:C6,viavelECF[[#This Row],[Pilar]])+1</f>
        <v>3</v>
      </c>
      <c r="C7" s="16">
        <f>ROUNDDOWN((COUNTA($C$4:C6)-1)/3,0)+1</f>
        <v>1</v>
      </c>
      <c r="D7" s="16" t="str">
        <f ca="1">opcao($B$2,viavelECF[[#This Row],[Pilar]],viavelECF[[#This Row],[Opção]])</f>
        <v>3 Ø80cm Prof. 11 m</v>
      </c>
      <c r="E7" s="12">
        <f>INDEX(PILARES[],MATCH(viavelECF[[#This Row],[Pilar]],PILARES[Pilar],0),MATCH(viavelECF[[#Headers],[ap (cm)]],PILARES[#Headers],0))</f>
        <v>60</v>
      </c>
      <c r="F7" s="12">
        <f>INDEX(PILARES[],MATCH(viavelECF[[#This Row],[Pilar]],PILARES[Pilar],0),MATCH(viavelECF[[#Headers],[bp (cm)]],PILARES[#Headers],0))</f>
        <v>60</v>
      </c>
      <c r="G7" s="12">
        <f ca="1">IF(viavelECF[[#This Row],[idDimensionamento]]="",0,INDEX(ECF[],MATCH(viavelECF[[#This Row],[Pilar]]&amp;viavelECF[[#This Row],[idDimensionamento]],ECF[idPilar,idDimensionamento],0),MATCH(viavelECF[[#Headers],[nE]],ECF[#Headers],0)))</f>
        <v>3</v>
      </c>
      <c r="H7" s="12">
        <f ca="1">INDEX(ECF[],MATCH(viavelECF[[#This Row],[Pilar]]&amp;viavelECF[[#This Row],[idDimensionamento]],ECF[idPilar,idDimensionamento],0),MATCH(viavelECF[[#Headers],[Ø (cm)]],ECF[#Headers],0))</f>
        <v>80</v>
      </c>
      <c r="I7" s="4">
        <f ca="1">INDEX(ECF[],MATCH(viavelECF[[#This Row],[Pilar]]&amp;viavelECF[[#This Row],[idDimensionamento]],ECF[idPilar,idDimensionamento],0),MATCH("As,mín (cm²)",ECF[#Headers],0))</f>
        <v>20.106192982974676</v>
      </c>
      <c r="J7" s="12">
        <f ca="1">IF(viavelECF[[#This Row],[idDimensionamento]]="",0,6)</f>
        <v>6</v>
      </c>
      <c r="K7" s="5">
        <f ca="1">IF(viavelECF[[#This Row],[idDimensionamento]]="",0,INDEX(areaAco[],MATCH(10*SQRT(viavelECF[[#This Row],[As,mín]]*4/(viavelECF[[#This Row],[N]]*PI())),areaAco[Ø\QNTD],1)+1,1))</f>
        <v>22</v>
      </c>
      <c r="L7" s="12">
        <f ca="1">IF(viavelECF[[#This Row],[idDimensionamento]]="",0,INDEX(ECF[],MATCH(viavelECF[[#This Row],[Pilar]]&amp;viavelECF[[#This Row],[idDimensionamento]],ECF[idPilar,idDimensionamento],0),MATCH("Comprimento (m)",ECF[#Headers],0))*100)</f>
        <v>400</v>
      </c>
      <c r="M7" s="12" t="str">
        <f ca="1">IF(viavelECF[[#This Row],[N]]=0,"N.A.",viavelECF[[#This Row],[N]]&amp;" Ø"&amp;viavelECF[[#This Row],[Ø]]&amp;"mm C="&amp;viavelECF[[#This Row],[C]]&amp;"cm")</f>
        <v>6 Ø22mm C=400cm</v>
      </c>
      <c r="N7" s="5">
        <f ca="1">viavelECF[[#This Row],[nE]]*viavelECF[[#This Row],[N]]*(PI()*(viavelECF[[#This Row],[Ø]]/10)^2/4*viavelECF[[#This Row],[C]])/100^3*7850</f>
        <v>214.85100830488312</v>
      </c>
      <c r="O7" s="5">
        <f ca="1">INDEX(ECF[],MATCH(viavelECF[[#This Row],[Pilar]]&amp;viavelECF[[#This Row],[idDimensionamento]],ECF[idPilar,idDimensionamento],0),MATCH(viavelECF[[#Headers],[e (cm)]],ECF[#Headers],0))</f>
        <v>240</v>
      </c>
      <c r="P7" s="5">
        <f ca="1">INDEX(ECF[],MATCH(viavelECF[[#This Row],[Pilar]]&amp;viavelECF[[#This Row],[idDimensionamento]],ECF[idPilar,idDimensionamento],0),MATCH(viavelECF[[#Headers],[a (cm)]],ECF[#Headers],0))</f>
        <v>120</v>
      </c>
      <c r="Q7" s="5">
        <f ca="1">INDEX(ECF[],MATCH(viavelECF[[#This Row],[Pilar]]&amp;viavelECF[[#This Row],[idDimensionamento]],ECF[idPilar,idDimensionamento],0),MATCH(viavelECF[[#Headers],[h (cm)]],ECF[#Headers],0))</f>
        <v>120</v>
      </c>
      <c r="R7" s="4">
        <f ca="1">IF(viavelECF[[#This Row],[idDimensionamento]]="","N.A.",INDEX(ECF[],MATCH(viavelECF[[#This Row],[Pilar]]&amp;viavelECF[[#This Row],[idDimensionamento]],ECF[idPilar,idDimensionamento],0),MATCH("As,lado (cm²)",ECF[#Headers],0)))</f>
        <v>17.788633206172161</v>
      </c>
      <c r="S7" s="12">
        <f ca="1">IF(viavelECF[[#This Row],[As,lado]]="N.A.",0,IF(viavelECF[[#This Row],[nE]]=1,ROUNDUP(viavelECF[[#This Row],[As,lado]]/(PI()*(viavelECF[[#This Row],[Ø1]]/10)^2/4)/2,0),ROUNDUP(viavelECF[[#This Row],[As,lado]]/(PI()*(viavelECF[[#This Row],[Ø1]]/10)^2/4),0)))</f>
        <v>9</v>
      </c>
      <c r="T7" s="5">
        <f ca="1">IF(viavelECF[[#This Row],[As,lado]]="N.A.",0,dArmadura(viavelECF[[#This Row],[nE]],viavelECF[[#This Row],[Ø (cm)]],viavelECF[[#This Row],[e (cm)]],viavelECF[[#This Row],[a (cm)]],viavelECF[[#This Row],[h (cm)]],viavelECF[[#Headers],[As,lado]],viavelECF[[#This Row],[As,lado]]))</f>
        <v>16</v>
      </c>
      <c r="U7" s="12">
        <f ca="1">IF(viavelECF[[#This Row],[As,lado]]="N.A.",0,comprimento(viavelECF[[#This Row],[nE]],viavelECF[[#This Row],[Ø1]],viavelECF[[#This Row],[e (cm)]],viavelECF[[#This Row],[a (cm)]],viavelECF[[#This Row],[h (cm)]],viavelECF[[#Headers],[As,lado]]))</f>
        <v>590</v>
      </c>
      <c r="V7" s="12" t="str">
        <f ca="1">IF(viavelECF[[#This Row],[N1]]=0,"N.A.",viavelECF[[#This Row],[N1]]&amp;" Ø"&amp;viavelECF[[#This Row],[Ø1]]&amp;"mm C="&amp;viavelECF[[#This Row],[C1]]&amp;"cm")</f>
        <v>9 Ø16mm C=590cm</v>
      </c>
      <c r="W7" s="4" t="str">
        <f ca="1">IF(viavelECF[[#This Row],[idDimensionamento]]="","N.A.",INDEX(ECF[],MATCH(viavelECF[[#This Row],[Pilar]]&amp;viavelECF[[#This Row],[idDimensionamento]],ECF[idPilar,idDimensionamento],0),MATCH("Asp e Asw (cm²/m)",ECF[#Headers],0)))</f>
        <v>N.A.</v>
      </c>
      <c r="X7" s="12">
        <f ca="1">IF(viavelECF[[#This Row],[Asp]]="N.A.",0,ROUNDUP(viavelECF[[#This Row],[Asp]]/(PI()*(viavelECF[[#This Row],[Ø2]]/10)^2/4)/2,0))</f>
        <v>0</v>
      </c>
      <c r="Y7" s="5">
        <f ca="1">IF(viavelECF[[#This Row],[Asp]]="N.A.",0,dArmadura(viavelECF[[#This Row],[nE]],viavelECF[[#This Row],[Ø (cm)]],viavelECF[[#This Row],[e (cm)]],viavelECF[[#This Row],[a (cm)]],viavelECF[[#This Row],[h (cm)]],viavelECF[[#Headers],[Asp]],viavelECF[[#This Row],[Asp]]))</f>
        <v>0</v>
      </c>
      <c r="Z7" s="12">
        <f ca="1">IF(viavelECF[[#This Row],[Asp]]="N.A.",0,comprimento(viavelECF[[#This Row],[nE]],viavelECF[[#This Row],[Ø2]],viavelECF[[#This Row],[e (cm)]],viavelECF[[#This Row],[a (cm)]],viavelECF[[#This Row],[h (cm)]],viavelECF[[#Headers],[Asp]]))</f>
        <v>0</v>
      </c>
      <c r="AA7" s="12" t="str">
        <f ca="1">IF(viavelECF[[#This Row],[N2]]=0,"N.A.",viavelECF[[#This Row],[N2]]&amp;" Ø"&amp;viavelECF[[#This Row],[Ø2]]&amp;"mm C="&amp;viavelECF[[#This Row],[C2]]&amp;"cm")</f>
        <v>N.A.</v>
      </c>
      <c r="AB7" s="4" t="str">
        <f ca="1">viavelECF[[#This Row],[Asp]]</f>
        <v>N.A.</v>
      </c>
      <c r="AC7" s="12">
        <f ca="1">IF(viavelECF[[#This Row],[Asw]]="N.A.",0,ROUNDUP(viavelECF[[#This Row],[Asw]]/(PI()*(viavelECF[[#This Row],[Ø3]]/10)^2/4)/2,0))</f>
        <v>0</v>
      </c>
      <c r="AD7" s="5">
        <f ca="1">IF(viavelECF[[#This Row],[Asw]]="N.A.",0,dArmadura(viavelECF[[#This Row],[nE]],viavelECF[[#This Row],[Ø (cm)]],viavelECF[[#This Row],[e (cm)]],viavelECF[[#This Row],[a (cm)]],viavelECF[[#This Row],[h (cm)]],viavelECF[[#Headers],[Asw]],viavelECF[[#This Row],[Asw]]))</f>
        <v>0</v>
      </c>
      <c r="AE7" s="12">
        <f ca="1">IF(viavelECF[[#This Row],[Asw]]="N.A.",0,comprimento(viavelECF[[#This Row],[nE]],viavelECF[[#This Row],[Ø3]],viavelECF[[#This Row],[e (cm)]],viavelECF[[#This Row],[a (cm)]],viavelECF[[#This Row],[h (cm)]],viavelECF[[#Headers],[Asw]]))</f>
        <v>0</v>
      </c>
      <c r="AF7" s="12" t="str">
        <f ca="1">IF(viavelECF[[#This Row],[N3]]=0,"N.A.",viavelECF[[#This Row],[N3]]&amp;" Ø"&amp;viavelECF[[#This Row],[Ø3]]&amp;"mm C="&amp;viavelECF[[#This Row],[C3]]&amp;"cm")</f>
        <v>N.A.</v>
      </c>
      <c r="AG7" s="4">
        <f ca="1">IF(viavelECF[[#This Row],[idDimensionamento]]="","N.A.",INDEX(ECF[],MATCH(viavelECF[[#This Row],[Pilar]]&amp;viavelECF[[#This Row],[idDimensionamento]],ECF[idPilar,idDimensionamento],0),MATCH("As,sup (cm²)",ECF[#Headers],0)))</f>
        <v>3.5577266412344324</v>
      </c>
      <c r="AH7" s="12">
        <f ca="1">IF(viavelECF[[#This Row],[As,sup]]="N.A.",0,ROUNDUP(viavelECF[[#This Row],[As,sup]]/(PI()*(viavelECF[[#This Row],[Ø4]]/10)^2/4),0))</f>
        <v>1</v>
      </c>
      <c r="AI7" s="5">
        <f ca="1">IF(viavelECF[[#This Row],[As,sup]]="N.A.",0,dArmadura(viavelECF[[#This Row],[nE]],viavelECF[[#This Row],[Ø (cm)]],viavelECF[[#This Row],[e (cm)]],viavelECF[[#This Row],[a (cm)]],viavelECF[[#This Row],[h (cm)]],viavelECF[[#Headers],[As,sup]],viavelECF[[#This Row],[As,sup]]))</f>
        <v>22</v>
      </c>
      <c r="AJ7" s="12">
        <f ca="1">IF(viavelECF[[#This Row],[As,sup]]="N.A.",0,comprimento(viavelECF[[#This Row],[nE]],viavelECF[[#This Row],[Ø4]],viavelECF[[#This Row],[e (cm)]],viavelECF[[#This Row],[a (cm)]],viavelECF[[#This Row],[h (cm)]],viavelECF[[#Headers],[As,sup]]))</f>
        <v>480</v>
      </c>
      <c r="AK7" s="12" t="str">
        <f ca="1">IF(viavelECF[[#This Row],[N4]]=0,"N.A.",viavelECF[[#This Row],[N4]]&amp;" Ø"&amp;viavelECF[[#This Row],[Ø4]]&amp;"mm C="&amp;viavelECF[[#This Row],[C4]]&amp;"cm")</f>
        <v>1 Ø22mm C=480cm</v>
      </c>
      <c r="AL7" s="4">
        <f ca="1">IF(viavelECF[[#This Row],[idDimensionamento]]="","N.A.",INDEX(ECF[],MATCH(viavelECF[[#This Row],[Pilar]]&amp;viavelECF[[#This Row],[idDimensionamento]],ECF[idPilar,idDimensionamento],0),MATCH("As,malha (cm²)",ECF[#Headers],0)))</f>
        <v>5.9629629629629619</v>
      </c>
      <c r="AM7" s="12">
        <f ca="1">IF(viavelECF[[#This Row],[As,malha]]="N.A.",0,ROUNDUP(viavelECF[[#This Row],[As,malha]]/(PI()*(viavelECF[[#This Row],[Ø5]]/10)^2/4),0))</f>
        <v>1</v>
      </c>
      <c r="AN7" s="5">
        <f ca="1">IF(viavelECF[[#This Row],[As,malha]]="N.A.",0,dArmadura(viavelECF[[#This Row],[nE]],viavelECF[[#This Row],[Ø (cm)]],viavelECF[[#This Row],[e (cm)]],viavelECF[[#This Row],[a (cm)]],viavelECF[[#This Row],[h (cm)]],viavelECF[[#Headers],[As,malha]],viavelECF[[#This Row],[As,malha]]))</f>
        <v>32</v>
      </c>
      <c r="AO7" s="12">
        <f ca="1">IF(viavelECF[[#This Row],[As,malha]]="N.A.",0,comprimento(viavelECF[[#This Row],[nE]],viavelECF[[#This Row],[Ø4]],viavelECF[[#This Row],[e (cm)]],viavelECF[[#This Row],[a (cm)]],viavelECF[[#This Row],[h (cm)]],viavelECF[[#Headers],[As,malha]]))</f>
        <v>480</v>
      </c>
      <c r="AP7" s="12" t="str">
        <f ca="1">IF(viavelECF[[#This Row],[N5]]=0,"N.A.",viavelECF[[#This Row],[N5]]&amp;" Ø"&amp;viavelECF[[#This Row],[Ø5]]&amp;"mm C="&amp;viavelECF[[#This Row],[C5]]&amp;"cm")</f>
        <v>1 Ø32mm C=480cm</v>
      </c>
      <c r="AQ7" s="4">
        <f ca="1">IF(viavelECF[[#This Row],[idDimensionamento]]="","N.A.",INDEX(ECF[],MATCH(viavelECF[[#This Row],[Pilar]]&amp;viavelECF[[#This Row],[idDimensionamento]],ECF[idPilar,idDimensionamento],0),MATCH("As,susp,tot (cm²)",ECF[#Headers],0)))</f>
        <v>17.888888888888886</v>
      </c>
      <c r="AR7" s="12">
        <f ca="1">IF(viavelECF[[#This Row],[As,susp,tot]]="N.A.",0,ROUNDUP(viavelECF[[#This Row],[As,susp,tot]]/(PI()*(viavelECF[[#This Row],[Ø6]]/10)^2/4),0))</f>
        <v>58</v>
      </c>
      <c r="AS7" s="5">
        <f ca="1">IF(viavelECF[[#This Row],[As,susp,tot]]="N.A.",0,dArmadura(viavelECF[[#This Row],[nE]],viavelECF[[#This Row],[Ø (cm)]],viavelECF[[#This Row],[e (cm)]],viavelECF[[#This Row],[a (cm)]],viavelECF[[#This Row],[h (cm)]],viavelECF[[#Headers],[As,susp,tot]],viavelECF[[#This Row],[As,susp,tot]]))</f>
        <v>6.3</v>
      </c>
      <c r="AT7" s="12">
        <f ca="1">IF(viavelECF[[#This Row],[As,susp,tot]]="N.A.",0,comprimento(viavelECF[[#This Row],[nE]],viavelECF[[#This Row],[Ø4]],viavelECF[[#This Row],[e (cm)]],viavelECF[[#This Row],[a (cm)]],viavelECF[[#This Row],[h (cm)]],viavelECF[[#Headers],[As,susp,tot]]))</f>
        <v>115</v>
      </c>
      <c r="AU7" s="12" t="str">
        <f ca="1">IF(viavelECF[[#This Row],[N6]]=0,"N.A.",viavelECF[[#This Row],[N6]]&amp;" Ø"&amp;viavelECF[[#This Row],[Ø6]]&amp;"mm C="&amp;viavelECF[[#This Row],[C6]]&amp;"cm")</f>
        <v>58 Ø6,3mm C=115cm</v>
      </c>
      <c r="AV7" s="4">
        <f ca="1">IF(viavelECF[[#This Row],[idDimensionamento]]="","N.A.",INDEX(ECF[],MATCH(viavelECF[[#This Row],[Pilar]]&amp;viavelECF[[#This Row],[idDimensionamento]],ECF[idPilar,idDimensionamento],0),MATCH("Asp,face (cm²)",ECF[#Headers],0)))</f>
        <v>6.6707374523145599</v>
      </c>
      <c r="AW7" s="12">
        <f ca="1">IF(viavelECF[[#This Row],[Asp,face]]="N.A.",0,ROUNDUP(viavelECF[[#This Row],[Asp,face]]/(PI()*(viavelECF[[#This Row],[Ø7]]/10)^2/4),0))</f>
        <v>14</v>
      </c>
      <c r="AX7" s="5">
        <f ca="1">IF(viavelECF[[#This Row],[Asp,face]]="N.A.",0,dArmadura(viavelECF[[#This Row],[nE]],viavelECF[[#This Row],[Ø (cm)]],viavelECF[[#This Row],[e (cm)]],viavelECF[[#This Row],[a (cm)]],viavelECF[[#This Row],[h (cm)]],viavelECF[[#Headers],[Asp,face]],viavelECF[[#This Row],[Asp,face]]))</f>
        <v>8</v>
      </c>
      <c r="AY7" s="12">
        <f ca="1">IF(viavelECF[[#This Row],[Asp,face]]="N.A.",0,comprimento(viavelECF[[#This Row],[nE]],viavelECF[[#This Row],[Ø4]],viavelECF[[#This Row],[e (cm)]],viavelECF[[#This Row],[a (cm)]],viavelECF[[#This Row],[h (cm)]],viavelECF[[#Headers],[Asp,face]]))</f>
        <v>630</v>
      </c>
      <c r="AZ7" s="12" t="str">
        <f ca="1">IF(viavelECF[[#This Row],[N7]]=0,"N.A.",viavelECF[[#This Row],[N7]]&amp;" Ø"&amp;viavelECF[[#This Row],[Ø7]]&amp;"mm C="&amp;viavelECF[[#This Row],[C7]]&amp;"cm")</f>
        <v>14 Ø8mm C=630cm</v>
      </c>
    </row>
    <row r="8" spans="2:52" x14ac:dyDescent="0.25">
      <c r="B8" s="1">
        <f>COUNTIF($C$4:C7,viavelECF[[#This Row],[Pilar]])+1</f>
        <v>1</v>
      </c>
      <c r="C8" s="16">
        <f>ROUNDDOWN((COUNTA($C$4:C7)-1)/3,0)+1</f>
        <v>2</v>
      </c>
      <c r="D8" s="16" t="str">
        <f ca="1">opcao($B$2,viavelECF[[#This Row],[Pilar]],viavelECF[[#This Row],[Opção]])</f>
        <v>3 Ø60cm Prof. 10 m</v>
      </c>
      <c r="E8" s="12">
        <f>INDEX(PILARES[],MATCH(viavelECF[[#This Row],[Pilar]],PILARES[Pilar],0),MATCH(viavelECF[[#Headers],[ap (cm)]],PILARES[#Headers],0))</f>
        <v>50</v>
      </c>
      <c r="F8" s="12">
        <f>INDEX(PILARES[],MATCH(viavelECF[[#This Row],[Pilar]],PILARES[Pilar],0),MATCH(viavelECF[[#Headers],[bp (cm)]],PILARES[#Headers],0))</f>
        <v>40</v>
      </c>
      <c r="G8" s="12">
        <f ca="1">IF(viavelECF[[#This Row],[idDimensionamento]]="",0,INDEX(ECF[],MATCH(viavelECF[[#This Row],[Pilar]]&amp;viavelECF[[#This Row],[idDimensionamento]],ECF[idPilar,idDimensionamento],0),MATCH(viavelECF[[#Headers],[nE]],ECF[#Headers],0)))</f>
        <v>3</v>
      </c>
      <c r="H8" s="12">
        <f ca="1">INDEX(ECF[],MATCH(viavelECF[[#This Row],[Pilar]]&amp;viavelECF[[#This Row],[idDimensionamento]],ECF[idPilar,idDimensionamento],0),MATCH(viavelECF[[#Headers],[Ø (cm)]],ECF[#Headers],0))</f>
        <v>60</v>
      </c>
      <c r="I8" s="4">
        <f ca="1">INDEX(ECF[],MATCH(viavelECF[[#This Row],[Pilar]]&amp;viavelECF[[#This Row],[idDimensionamento]],ECF[idPilar,idDimensionamento],0),MATCH("As,mín (cm²)",ECF[#Headers],0))</f>
        <v>11.309733552923255</v>
      </c>
      <c r="J8" s="12">
        <f ca="1">IF(viavelECF[[#This Row],[idDimensionamento]]="",0,6)</f>
        <v>6</v>
      </c>
      <c r="K8" s="5">
        <f ca="1">IF(viavelECF[[#This Row],[idDimensionamento]]="",0,INDEX(areaAco[],MATCH(10*SQRT(viavelECF[[#This Row],[As,mín]]*4/(viavelECF[[#This Row],[N]]*PI())),areaAco[Ø\QNTD],1)+1,1))</f>
        <v>16</v>
      </c>
      <c r="L8" s="12">
        <f ca="1">IF(viavelECF[[#This Row],[idDimensionamento]]="",0,INDEX(ECF[],MATCH(viavelECF[[#This Row],[Pilar]]&amp;viavelECF[[#This Row],[idDimensionamento]],ECF[idPilar,idDimensionamento],0),MATCH("Comprimento (m)",ECF[#Headers],0))*100)</f>
        <v>400</v>
      </c>
      <c r="M8" s="12" t="str">
        <f ca="1">IF(viavelECF[[#This Row],[N]]=0,"N.A.",viavelECF[[#This Row],[N]]&amp;" Ø"&amp;viavelECF[[#This Row],[Ø]]&amp;"mm C="&amp;viavelECF[[#This Row],[C]]&amp;"cm")</f>
        <v>6 Ø16mm C=400cm</v>
      </c>
      <c r="N8" s="5">
        <f ca="1">viavelECF[[#This Row],[nE]]*viavelECF[[#This Row],[N]]*(PI()*(viavelECF[[#This Row],[Ø]]/10)^2/4*viavelECF[[#This Row],[C]])/100^3*7850</f>
        <v>113.64020273977287</v>
      </c>
      <c r="O8" s="5">
        <f ca="1">INDEX(ECF[],MATCH(viavelECF[[#This Row],[Pilar]]&amp;viavelECF[[#This Row],[idDimensionamento]],ECF[idPilar,idDimensionamento],0),MATCH(viavelECF[[#Headers],[e (cm)]],ECF[#Headers],0))</f>
        <v>180</v>
      </c>
      <c r="P8" s="5">
        <f ca="1">INDEX(ECF[],MATCH(viavelECF[[#This Row],[Pilar]]&amp;viavelECF[[#This Row],[idDimensionamento]],ECF[idPilar,idDimensionamento],0),MATCH(viavelECF[[#Headers],[a (cm)]],ECF[#Headers],0))</f>
        <v>90</v>
      </c>
      <c r="Q8" s="5">
        <f ca="1">INDEX(ECF[],MATCH(viavelECF[[#This Row],[Pilar]]&amp;viavelECF[[#This Row],[idDimensionamento]],ECF[idPilar,idDimensionamento],0),MATCH(viavelECF[[#Headers],[h (cm)]],ECF[#Headers],0))</f>
        <v>95</v>
      </c>
      <c r="R8" s="4">
        <f ca="1">IF(viavelECF[[#This Row],[idDimensionamento]]="","N.A.",INDEX(ECF[],MATCH(viavelECF[[#This Row],[Pilar]]&amp;viavelECF[[#This Row],[idDimensionamento]],ECF[idPilar,idDimensionamento],0),MATCH("As,lado (cm²)",ECF[#Headers],0)))</f>
        <v>8.7634368359595936</v>
      </c>
      <c r="S8" s="12">
        <f ca="1">IF(viavelECF[[#This Row],[As,lado]]="N.A.",0,IF(viavelECF[[#This Row],[nE]]=1,ROUNDUP(viavelECF[[#This Row],[As,lado]]/(PI()*(viavelECF[[#This Row],[Ø1]]/10)^2/4)/2,0),ROUNDUP(viavelECF[[#This Row],[As,lado]]/(PI()*(viavelECF[[#This Row],[Ø1]]/10)^2/4),0)))</f>
        <v>8</v>
      </c>
      <c r="T8" s="5">
        <f ca="1">IF(viavelECF[[#This Row],[As,lado]]="N.A.",0,dArmadura(viavelECF[[#This Row],[nE]],viavelECF[[#This Row],[Ø (cm)]],viavelECF[[#This Row],[e (cm)]],viavelECF[[#This Row],[a (cm)]],viavelECF[[#This Row],[h (cm)]],viavelECF[[#Headers],[As,lado]],viavelECF[[#This Row],[As,lado]]))</f>
        <v>12.5</v>
      </c>
      <c r="U8" s="12">
        <f ca="1">IF(viavelECF[[#This Row],[As,lado]]="N.A.",0,comprimento(viavelECF[[#This Row],[nE]],viavelECF[[#This Row],[Ø1]],viavelECF[[#This Row],[e (cm)]],viavelECF[[#This Row],[a (cm)]],viavelECF[[#This Row],[h (cm)]],viavelECF[[#Headers],[As,lado]]))</f>
        <v>445</v>
      </c>
      <c r="V8" s="12" t="str">
        <f ca="1">IF(viavelECF[[#This Row],[N1]]=0,"N.A.",viavelECF[[#This Row],[N1]]&amp;" Ø"&amp;viavelECF[[#This Row],[Ø1]]&amp;"mm C="&amp;viavelECF[[#This Row],[C1]]&amp;"cm")</f>
        <v>8 Ø12,5mm C=445cm</v>
      </c>
      <c r="W8" s="4" t="str">
        <f ca="1">IF(viavelECF[[#This Row],[idDimensionamento]]="","N.A.",INDEX(ECF[],MATCH(viavelECF[[#This Row],[Pilar]]&amp;viavelECF[[#This Row],[idDimensionamento]],ECF[idPilar,idDimensionamento],0),MATCH("Asp e Asw (cm²/m)",ECF[#Headers],0)))</f>
        <v>N.A.</v>
      </c>
      <c r="X8" s="12">
        <f ca="1">IF(viavelECF[[#This Row],[Asp]]="N.A.",0,ROUNDUP(viavelECF[[#This Row],[Asp]]/(PI()*(viavelECF[[#This Row],[Ø2]]/10)^2/4)/2,0))</f>
        <v>0</v>
      </c>
      <c r="Y8" s="5">
        <f ca="1">IF(viavelECF[[#This Row],[Asp]]="N.A.",0,dArmadura(viavelECF[[#This Row],[nE]],viavelECF[[#This Row],[Ø (cm)]],viavelECF[[#This Row],[e (cm)]],viavelECF[[#This Row],[a (cm)]],viavelECF[[#This Row],[h (cm)]],viavelECF[[#Headers],[Asp]],viavelECF[[#This Row],[Asp]]))</f>
        <v>0</v>
      </c>
      <c r="Z8" s="12">
        <f ca="1">IF(viavelECF[[#This Row],[Asp]]="N.A.",0,comprimento(viavelECF[[#This Row],[nE]],viavelECF[[#This Row],[Ø2]],viavelECF[[#This Row],[e (cm)]],viavelECF[[#This Row],[a (cm)]],viavelECF[[#This Row],[h (cm)]],viavelECF[[#Headers],[Asp]]))</f>
        <v>0</v>
      </c>
      <c r="AA8" s="12" t="str">
        <f ca="1">IF(viavelECF[[#This Row],[N2]]=0,"N.A.",viavelECF[[#This Row],[N2]]&amp;" Ø"&amp;viavelECF[[#This Row],[Ø2]]&amp;"mm C="&amp;viavelECF[[#This Row],[C2]]&amp;"cm")</f>
        <v>N.A.</v>
      </c>
      <c r="AB8" s="4" t="str">
        <f ca="1">viavelECF[[#This Row],[Asp]]</f>
        <v>N.A.</v>
      </c>
      <c r="AC8" s="12">
        <f ca="1">IF(viavelECF[[#This Row],[Asw]]="N.A.",0,ROUNDUP(viavelECF[[#This Row],[Asw]]/(PI()*(viavelECF[[#This Row],[Ø3]]/10)^2/4)/2,0))</f>
        <v>0</v>
      </c>
      <c r="AD8" s="5">
        <f ca="1">IF(viavelECF[[#This Row],[Asw]]="N.A.",0,dArmadura(viavelECF[[#This Row],[nE]],viavelECF[[#This Row],[Ø (cm)]],viavelECF[[#This Row],[e (cm)]],viavelECF[[#This Row],[a (cm)]],viavelECF[[#This Row],[h (cm)]],viavelECF[[#Headers],[Asw]],viavelECF[[#This Row],[Asw]]))</f>
        <v>0</v>
      </c>
      <c r="AE8" s="12">
        <f ca="1">IF(viavelECF[[#This Row],[Asw]]="N.A.",0,comprimento(viavelECF[[#This Row],[nE]],viavelECF[[#This Row],[Ø3]],viavelECF[[#This Row],[e (cm)]],viavelECF[[#This Row],[a (cm)]],viavelECF[[#This Row],[h (cm)]],viavelECF[[#Headers],[Asw]]))</f>
        <v>0</v>
      </c>
      <c r="AF8" s="12" t="str">
        <f ca="1">IF(viavelECF[[#This Row],[N3]]=0,"N.A.",viavelECF[[#This Row],[N3]]&amp;" Ø"&amp;viavelECF[[#This Row],[Ø3]]&amp;"mm C="&amp;viavelECF[[#This Row],[C3]]&amp;"cm")</f>
        <v>N.A.</v>
      </c>
      <c r="AG8" s="4">
        <f ca="1">IF(viavelECF[[#This Row],[idDimensionamento]]="","N.A.",INDEX(ECF[],MATCH(viavelECF[[#This Row],[Pilar]]&amp;viavelECF[[#This Row],[idDimensionamento]],ECF[idPilar,idDimensionamento],0),MATCH("As,sup (cm²)",ECF[#Headers],0)))</f>
        <v>1.7526873671919188</v>
      </c>
      <c r="AH8" s="12">
        <f ca="1">IF(viavelECF[[#This Row],[As,sup]]="N.A.",0,ROUNDUP(viavelECF[[#This Row],[As,sup]]/(PI()*(viavelECF[[#This Row],[Ø4]]/10)^2/4),0))</f>
        <v>1</v>
      </c>
      <c r="AI8" s="5">
        <f ca="1">IF(viavelECF[[#This Row],[As,sup]]="N.A.",0,dArmadura(viavelECF[[#This Row],[nE]],viavelECF[[#This Row],[Ø (cm)]],viavelECF[[#This Row],[e (cm)]],viavelECF[[#This Row],[a (cm)]],viavelECF[[#This Row],[h (cm)]],viavelECF[[#Headers],[As,sup]],viavelECF[[#This Row],[As,sup]]))</f>
        <v>16</v>
      </c>
      <c r="AJ8" s="12">
        <f ca="1">IF(viavelECF[[#This Row],[As,sup]]="N.A.",0,comprimento(viavelECF[[#This Row],[nE]],viavelECF[[#This Row],[Ø4]],viavelECF[[#This Row],[e (cm)]],viavelECF[[#This Row],[a (cm)]],viavelECF[[#This Row],[h (cm)]],viavelECF[[#Headers],[As,sup]]))</f>
        <v>360</v>
      </c>
      <c r="AK8" s="12" t="str">
        <f ca="1">IF(viavelECF[[#This Row],[N4]]=0,"N.A.",viavelECF[[#This Row],[N4]]&amp;" Ø"&amp;viavelECF[[#This Row],[Ø4]]&amp;"mm C="&amp;viavelECF[[#This Row],[C4]]&amp;"cm")</f>
        <v>1 Ø16mm C=360cm</v>
      </c>
      <c r="AL8" s="4">
        <f ca="1">IF(viavelECF[[#This Row],[idDimensionamento]]="","N.A.",INDEX(ECF[],MATCH(viavelECF[[#This Row],[Pilar]]&amp;viavelECF[[#This Row],[idDimensionamento]],ECF[idPilar,idDimensionamento],0),MATCH("As,malha (cm²)",ECF[#Headers],0)))</f>
        <v>2.981481481481481</v>
      </c>
      <c r="AM8" s="12">
        <f ca="1">IF(viavelECF[[#This Row],[As,malha]]="N.A.",0,ROUNDUP(viavelECF[[#This Row],[As,malha]]/(PI()*(viavelECF[[#This Row],[Ø5]]/10)^2/4),0))</f>
        <v>1</v>
      </c>
      <c r="AN8" s="5">
        <f ca="1">IF(viavelECF[[#This Row],[As,malha]]="N.A.",0,dArmadura(viavelECF[[#This Row],[nE]],viavelECF[[#This Row],[Ø (cm)]],viavelECF[[#This Row],[e (cm)]],viavelECF[[#This Row],[a (cm)]],viavelECF[[#This Row],[h (cm)]],viavelECF[[#Headers],[As,malha]],viavelECF[[#This Row],[As,malha]]))</f>
        <v>20</v>
      </c>
      <c r="AO8" s="12">
        <f ca="1">IF(viavelECF[[#This Row],[As,malha]]="N.A.",0,comprimento(viavelECF[[#This Row],[nE]],viavelECF[[#This Row],[Ø4]],viavelECF[[#This Row],[e (cm)]],viavelECF[[#This Row],[a (cm)]],viavelECF[[#This Row],[h (cm)]],viavelECF[[#Headers],[As,malha]]))</f>
        <v>360</v>
      </c>
      <c r="AP8" s="12" t="str">
        <f ca="1">IF(viavelECF[[#This Row],[N5]]=0,"N.A.",viavelECF[[#This Row],[N5]]&amp;" Ø"&amp;viavelECF[[#This Row],[Ø5]]&amp;"mm C="&amp;viavelECF[[#This Row],[C5]]&amp;"cm")</f>
        <v>1 Ø20mm C=360cm</v>
      </c>
      <c r="AQ8" s="4">
        <f ca="1">IF(viavelECF[[#This Row],[idDimensionamento]]="","N.A.",INDEX(ECF[],MATCH(viavelECF[[#This Row],[Pilar]]&amp;viavelECF[[#This Row],[idDimensionamento]],ECF[idPilar,idDimensionamento],0),MATCH("As,susp,tot (cm²)",ECF[#Headers],0)))</f>
        <v>8.9444444444444429</v>
      </c>
      <c r="AR8" s="12">
        <f ca="1">IF(viavelECF[[#This Row],[As,susp,tot]]="N.A.",0,ROUNDUP(viavelECF[[#This Row],[As,susp,tot]]/(PI()*(viavelECF[[#This Row],[Ø6]]/10)^2/4),0))</f>
        <v>29</v>
      </c>
      <c r="AS8" s="5">
        <f ca="1">IF(viavelECF[[#This Row],[As,susp,tot]]="N.A.",0,dArmadura(viavelECF[[#This Row],[nE]],viavelECF[[#This Row],[Ø (cm)]],viavelECF[[#This Row],[e (cm)]],viavelECF[[#This Row],[a (cm)]],viavelECF[[#This Row],[h (cm)]],viavelECF[[#Headers],[As,susp,tot]],viavelECF[[#This Row],[As,susp,tot]]))</f>
        <v>6.3</v>
      </c>
      <c r="AT8" s="12">
        <f ca="1">IF(viavelECF[[#This Row],[As,susp,tot]]="N.A.",0,comprimento(viavelECF[[#This Row],[nE]],viavelECF[[#This Row],[Ø4]],viavelECF[[#This Row],[e (cm)]],viavelECF[[#This Row],[a (cm)]],viavelECF[[#This Row],[h (cm)]],viavelECF[[#Headers],[As,susp,tot]]))</f>
        <v>90</v>
      </c>
      <c r="AU8" s="12" t="str">
        <f ca="1">IF(viavelECF[[#This Row],[N6]]=0,"N.A.",viavelECF[[#This Row],[N6]]&amp;" Ø"&amp;viavelECF[[#This Row],[Ø6]]&amp;"mm C="&amp;viavelECF[[#This Row],[C6]]&amp;"cm")</f>
        <v>29 Ø6,3mm C=90cm</v>
      </c>
      <c r="AV8" s="4">
        <f ca="1">IF(viavelECF[[#This Row],[idDimensionamento]]="","N.A.",INDEX(ECF[],MATCH(viavelECF[[#This Row],[Pilar]]&amp;viavelECF[[#This Row],[idDimensionamento]],ECF[idPilar,idDimensionamento],0),MATCH("Asp,face (cm²)",ECF[#Headers],0)))</f>
        <v>3.2862888134848474</v>
      </c>
      <c r="AW8" s="12">
        <f ca="1">IF(viavelECF[[#This Row],[Asp,face]]="N.A.",0,ROUNDUP(viavelECF[[#This Row],[Asp,face]]/(PI()*(viavelECF[[#This Row],[Ø7]]/10)^2/4),0))</f>
        <v>11</v>
      </c>
      <c r="AX8" s="5">
        <f ca="1">IF(viavelECF[[#This Row],[Asp,face]]="N.A.",0,dArmadura(viavelECF[[#This Row],[nE]],viavelECF[[#This Row],[Ø (cm)]],viavelECF[[#This Row],[e (cm)]],viavelECF[[#This Row],[a (cm)]],viavelECF[[#This Row],[h (cm)]],viavelECF[[#Headers],[Asp,face]],viavelECF[[#This Row],[Asp,face]]))</f>
        <v>6.3</v>
      </c>
      <c r="AY8" s="12">
        <f ca="1">IF(viavelECF[[#This Row],[Asp,face]]="N.A.",0,comprimento(viavelECF[[#This Row],[nE]],viavelECF[[#This Row],[Ø4]],viavelECF[[#This Row],[e (cm)]],viavelECF[[#This Row],[a (cm)]],viavelECF[[#This Row],[h (cm)]],viavelECF[[#Headers],[Asp,face]]))</f>
        <v>470</v>
      </c>
      <c r="AZ8" s="12" t="str">
        <f ca="1">IF(viavelECF[[#This Row],[N7]]=0,"N.A.",viavelECF[[#This Row],[N7]]&amp;" Ø"&amp;viavelECF[[#This Row],[Ø7]]&amp;"mm C="&amp;viavelECF[[#This Row],[C7]]&amp;"cm")</f>
        <v>11 Ø6,3mm C=470cm</v>
      </c>
    </row>
    <row r="9" spans="2:52" x14ac:dyDescent="0.25">
      <c r="B9" s="1">
        <f>COUNTIF($C$4:C8,viavelECF[[#This Row],[Pilar]])+1</f>
        <v>2</v>
      </c>
      <c r="C9" s="16">
        <f>ROUNDDOWN((COUNTA($C$4:C8)-1)/3,0)+1</f>
        <v>2</v>
      </c>
      <c r="D9" s="16" t="str">
        <f ca="1">opcao($B$2,viavelECF[[#This Row],[Pilar]],viavelECF[[#This Row],[Opção]])</f>
        <v>2 Ø60cm Prof. 12 m</v>
      </c>
      <c r="E9" s="12">
        <f>INDEX(PILARES[],MATCH(viavelECF[[#This Row],[Pilar]],PILARES[Pilar],0),MATCH(viavelECF[[#Headers],[ap (cm)]],PILARES[#Headers],0))</f>
        <v>50</v>
      </c>
      <c r="F9" s="12">
        <f>INDEX(PILARES[],MATCH(viavelECF[[#This Row],[Pilar]],PILARES[Pilar],0),MATCH(viavelECF[[#Headers],[bp (cm)]],PILARES[#Headers],0))</f>
        <v>40</v>
      </c>
      <c r="G9" s="12">
        <f ca="1">IF(viavelECF[[#This Row],[idDimensionamento]]="",0,INDEX(ECF[],MATCH(viavelECF[[#This Row],[Pilar]]&amp;viavelECF[[#This Row],[idDimensionamento]],ECF[idPilar,idDimensionamento],0),MATCH(viavelECF[[#Headers],[nE]],ECF[#Headers],0)))</f>
        <v>2</v>
      </c>
      <c r="H9" s="12">
        <f ca="1">INDEX(ECF[],MATCH(viavelECF[[#This Row],[Pilar]]&amp;viavelECF[[#This Row],[idDimensionamento]],ECF[idPilar,idDimensionamento],0),MATCH(viavelECF[[#Headers],[Ø (cm)]],ECF[#Headers],0))</f>
        <v>60</v>
      </c>
      <c r="I9" s="4">
        <f ca="1">INDEX(ECF[],MATCH(viavelECF[[#This Row],[Pilar]]&amp;viavelECF[[#This Row],[idDimensionamento]],ECF[idPilar,idDimensionamento],0),MATCH("As,mín (cm²)",ECF[#Headers],0))</f>
        <v>11.309733552923255</v>
      </c>
      <c r="J9" s="12">
        <f ca="1">IF(viavelECF[[#This Row],[idDimensionamento]]="",0,6)</f>
        <v>6</v>
      </c>
      <c r="K9" s="5">
        <f ca="1">IF(viavelECF[[#This Row],[idDimensionamento]]="",0,INDEX(areaAco[],MATCH(10*SQRT(viavelECF[[#This Row],[As,mín]]*4/(viavelECF[[#This Row],[N]]*PI())),areaAco[Ø\QNTD],1)+1,1))</f>
        <v>16</v>
      </c>
      <c r="L9" s="12">
        <f ca="1">IF(viavelECF[[#This Row],[idDimensionamento]]="",0,INDEX(ECF[],MATCH(viavelECF[[#This Row],[Pilar]]&amp;viavelECF[[#This Row],[idDimensionamento]],ECF[idPilar,idDimensionamento],0),MATCH("Comprimento (m)",ECF[#Headers],0))*100)</f>
        <v>400</v>
      </c>
      <c r="M9" s="12" t="str">
        <f ca="1">IF(viavelECF[[#This Row],[N]]=0,"N.A.",viavelECF[[#This Row],[N]]&amp;" Ø"&amp;viavelECF[[#This Row],[Ø]]&amp;"mm C="&amp;viavelECF[[#This Row],[C]]&amp;"cm")</f>
        <v>6 Ø16mm C=400cm</v>
      </c>
      <c r="N9" s="5">
        <f ca="1">viavelECF[[#This Row],[nE]]*viavelECF[[#This Row],[N]]*(PI()*(viavelECF[[#This Row],[Ø]]/10)^2/4*viavelECF[[#This Row],[C]])/100^3*7850</f>
        <v>75.760135159848588</v>
      </c>
      <c r="O9" s="5">
        <f ca="1">INDEX(ECF[],MATCH(viavelECF[[#This Row],[Pilar]]&amp;viavelECF[[#This Row],[idDimensionamento]],ECF[idPilar,idDimensionamento],0),MATCH(viavelECF[[#Headers],[e (cm)]],ECF[#Headers],0))</f>
        <v>180</v>
      </c>
      <c r="P9" s="5">
        <f ca="1">INDEX(ECF[],MATCH(viavelECF[[#This Row],[Pilar]]&amp;viavelECF[[#This Row],[idDimensionamento]],ECF[idPilar,idDimensionamento],0),MATCH(viavelECF[[#Headers],[a (cm)]],ECF[#Headers],0))</f>
        <v>90</v>
      </c>
      <c r="Q9" s="5">
        <f ca="1">INDEX(ECF[],MATCH(viavelECF[[#This Row],[Pilar]]&amp;viavelECF[[#This Row],[idDimensionamento]],ECF[idPilar,idDimensionamento],0),MATCH(viavelECF[[#Headers],[h (cm)]],ECF[#Headers],0))</f>
        <v>95</v>
      </c>
      <c r="R9" s="4">
        <f ca="1">IF(viavelECF[[#This Row],[idDimensionamento]]="","N.A.",INDEX(ECF[],MATCH(viavelECF[[#This Row],[Pilar]]&amp;viavelECF[[#This Row],[idDimensionamento]],ECF[idPilar,idDimensionamento],0),MATCH("As,lado (cm²)",ECF[#Headers],0)))</f>
        <v>22.802281359108701</v>
      </c>
      <c r="S9" s="12">
        <f ca="1">IF(viavelECF[[#This Row],[As,lado]]="N.A.",0,IF(viavelECF[[#This Row],[nE]]=1,ROUNDUP(viavelECF[[#This Row],[As,lado]]/(PI()*(viavelECF[[#This Row],[Ø1]]/10)^2/4)/2,0),ROUNDUP(viavelECF[[#This Row],[As,lado]]/(PI()*(viavelECF[[#This Row],[Ø1]]/10)^2/4),0)))</f>
        <v>8</v>
      </c>
      <c r="T9" s="5">
        <f ca="1">IF(viavelECF[[#This Row],[As,lado]]="N.A.",0,dArmadura(viavelECF[[#This Row],[nE]],viavelECF[[#This Row],[Ø (cm)]],viavelECF[[#This Row],[e (cm)]],viavelECF[[#This Row],[a (cm)]],viavelECF[[#This Row],[h (cm)]],viavelECF[[#Headers],[As,lado]],viavelECF[[#This Row],[As,lado]]))</f>
        <v>20</v>
      </c>
      <c r="U9" s="12">
        <f ca="1">IF(viavelECF[[#This Row],[As,lado]]="N.A.",0,comprimento(viavelECF[[#This Row],[nE]],viavelECF[[#This Row],[Ø1]],viavelECF[[#This Row],[e (cm)]],viavelECF[[#This Row],[a (cm)]],viavelECF[[#This Row],[h (cm)]],viavelECF[[#Headers],[As,lado]]))</f>
        <v>490</v>
      </c>
      <c r="V9" s="12" t="str">
        <f ca="1">IF(viavelECF[[#This Row],[N1]]=0,"N.A.",viavelECF[[#This Row],[N1]]&amp;" Ø"&amp;viavelECF[[#This Row],[Ø1]]&amp;"mm C="&amp;viavelECF[[#This Row],[C1]]&amp;"cm")</f>
        <v>8 Ø20mm C=490cm</v>
      </c>
      <c r="W9" s="4">
        <f ca="1">IF(viavelECF[[#This Row],[idDimensionamento]]="","N.A.",INDEX(ECF[],MATCH(viavelECF[[#This Row],[Pilar]]&amp;viavelECF[[#This Row],[idDimensionamento]],ECF[idPilar,idDimensionamento],0),MATCH("Asp e Asw (cm²/m)",ECF[#Headers],0)))</f>
        <v>13.5</v>
      </c>
      <c r="X9" s="12">
        <f ca="1">IF(viavelECF[[#This Row],[Asp]]="N.A.",0,ROUNDUP(viavelECF[[#This Row],[Asp]]/(PI()*(viavelECF[[#This Row],[Ø2]]/10)^2/4)/2,0))</f>
        <v>9</v>
      </c>
      <c r="Y9" s="5">
        <f ca="1">IF(viavelECF[[#This Row],[Asp]]="N.A.",0,dArmadura(viavelECF[[#This Row],[nE]],viavelECF[[#This Row],[Ø (cm)]],viavelECF[[#This Row],[e (cm)]],viavelECF[[#This Row],[a (cm)]],viavelECF[[#This Row],[h (cm)]],viavelECF[[#Headers],[Asp]],viavelECF[[#This Row],[Asp]]))</f>
        <v>10</v>
      </c>
      <c r="Z9" s="12">
        <f ca="1">IF(viavelECF[[#This Row],[Asp]]="N.A.",0,comprimento(viavelECF[[#This Row],[nE]],viavelECF[[#This Row],[Ø2]],viavelECF[[#This Row],[e (cm)]],viavelECF[[#This Row],[a (cm)]],viavelECF[[#This Row],[h (cm)]],viavelECF[[#Headers],[Asp]]))</f>
        <v>1065</v>
      </c>
      <c r="AA9" s="12" t="str">
        <f ca="1">IF(viavelECF[[#This Row],[N2]]=0,"N.A.",viavelECF[[#This Row],[N2]]&amp;" Ø"&amp;viavelECF[[#This Row],[Ø2]]&amp;"mm C="&amp;viavelECF[[#This Row],[C2]]&amp;"cm")</f>
        <v>9 Ø10mm C=1065cm</v>
      </c>
      <c r="AB9" s="4">
        <f ca="1">viavelECF[[#This Row],[Asp]]</f>
        <v>13.5</v>
      </c>
      <c r="AC9" s="12">
        <f ca="1">IF(viavelECF[[#This Row],[Asw]]="N.A.",0,ROUNDUP(viavelECF[[#This Row],[Asw]]/(PI()*(viavelECF[[#This Row],[Ø3]]/10)^2/4)/2,0))</f>
        <v>9</v>
      </c>
      <c r="AD9" s="5">
        <f ca="1">IF(viavelECF[[#This Row],[Asw]]="N.A.",0,dArmadura(viavelECF[[#This Row],[nE]],viavelECF[[#This Row],[Ø (cm)]],viavelECF[[#This Row],[e (cm)]],viavelECF[[#This Row],[a (cm)]],viavelECF[[#This Row],[h (cm)]],viavelECF[[#Headers],[Asw]],viavelECF[[#This Row],[Asw]]))</f>
        <v>10</v>
      </c>
      <c r="AE9" s="12">
        <f ca="1">IF(viavelECF[[#This Row],[Asw]]="N.A.",0,comprimento(viavelECF[[#This Row],[nE]],viavelECF[[#This Row],[Ø3]],viavelECF[[#This Row],[e (cm)]],viavelECF[[#This Row],[a (cm)]],viavelECF[[#This Row],[h (cm)]],viavelECF[[#Headers],[Asw]]))</f>
        <v>535</v>
      </c>
      <c r="AF9" s="12" t="str">
        <f ca="1">IF(viavelECF[[#This Row],[N3]]=0,"N.A.",viavelECF[[#This Row],[N3]]&amp;" Ø"&amp;viavelECF[[#This Row],[Ø3]]&amp;"mm C="&amp;viavelECF[[#This Row],[C3]]&amp;"cm")</f>
        <v>9 Ø10mm C=535cm</v>
      </c>
      <c r="AG9" s="4">
        <f ca="1">IF(viavelECF[[#This Row],[idDimensionamento]]="","N.A.",INDEX(ECF[],MATCH(viavelECF[[#This Row],[Pilar]]&amp;viavelECF[[#This Row],[idDimensionamento]],ECF[idPilar,idDimensionamento],0),MATCH("As,sup (cm²)",ECF[#Headers],0)))</f>
        <v>4.5604562718217405</v>
      </c>
      <c r="AH9" s="12">
        <f ca="1">IF(viavelECF[[#This Row],[As,sup]]="N.A.",0,ROUNDUP(viavelECF[[#This Row],[As,sup]]/(PI()*(viavelECF[[#This Row],[Ø4]]/10)^2/4),0))</f>
        <v>15</v>
      </c>
      <c r="AI9" s="5">
        <f ca="1">IF(viavelECF[[#This Row],[As,sup]]="N.A.",0,dArmadura(viavelECF[[#This Row],[nE]],viavelECF[[#This Row],[Ø (cm)]],viavelECF[[#This Row],[e (cm)]],viavelECF[[#This Row],[a (cm)]],viavelECF[[#This Row],[h (cm)]],viavelECF[[#Headers],[As,sup]],viavelECF[[#This Row],[As,sup]]))</f>
        <v>6.3</v>
      </c>
      <c r="AJ9" s="12">
        <f ca="1">IF(viavelECF[[#This Row],[As,sup]]="N.A.",0,comprimento(viavelECF[[#This Row],[nE]],viavelECF[[#This Row],[Ø4]],viavelECF[[#This Row],[e (cm)]],viavelECF[[#This Row],[a (cm)]],viavelECF[[#This Row],[h (cm)]],viavelECF[[#Headers],[As,sup]]))</f>
        <v>355</v>
      </c>
      <c r="AK9" s="12" t="str">
        <f ca="1">IF(viavelECF[[#This Row],[N4]]=0,"N.A.",viavelECF[[#This Row],[N4]]&amp;" Ø"&amp;viavelECF[[#This Row],[Ø4]]&amp;"mm C="&amp;viavelECF[[#This Row],[C4]]&amp;"cm")</f>
        <v>15 Ø6,3mm C=355cm</v>
      </c>
      <c r="AL9" s="4" t="str">
        <f ca="1">IF(viavelECF[[#This Row],[idDimensionamento]]="","N.A.",INDEX(ECF[],MATCH(viavelECF[[#This Row],[Pilar]]&amp;viavelECF[[#This Row],[idDimensionamento]],ECF[idPilar,idDimensionamento],0),MATCH("As,malha (cm²)",ECF[#Headers],0)))</f>
        <v>N.A.</v>
      </c>
      <c r="AM9" s="12">
        <f ca="1">IF(viavelECF[[#This Row],[As,malha]]="N.A.",0,ROUNDUP(viavelECF[[#This Row],[As,malha]]/(PI()*(viavelECF[[#This Row],[Ø5]]/10)^2/4),0))</f>
        <v>0</v>
      </c>
      <c r="AN9" s="5">
        <f ca="1">IF(viavelECF[[#This Row],[As,malha]]="N.A.",0,dArmadura(viavelECF[[#This Row],[nE]],viavelECF[[#This Row],[Ø (cm)]],viavelECF[[#This Row],[e (cm)]],viavelECF[[#This Row],[a (cm)]],viavelECF[[#This Row],[h (cm)]],viavelECF[[#Headers],[As,malha]],viavelECF[[#This Row],[As,malha]]))</f>
        <v>0</v>
      </c>
      <c r="AO9" s="12">
        <f ca="1">IF(viavelECF[[#This Row],[As,malha]]="N.A.",0,comprimento(viavelECF[[#This Row],[nE]],viavelECF[[#This Row],[Ø4]],viavelECF[[#This Row],[e (cm)]],viavelECF[[#This Row],[a (cm)]],viavelECF[[#This Row],[h (cm)]],viavelECF[[#Headers],[As,malha]]))</f>
        <v>0</v>
      </c>
      <c r="AP9" s="12" t="str">
        <f ca="1">IF(viavelECF[[#This Row],[N5]]=0,"N.A.",viavelECF[[#This Row],[N5]]&amp;" Ø"&amp;viavelECF[[#This Row],[Ø5]]&amp;"mm C="&amp;viavelECF[[#This Row],[C5]]&amp;"cm")</f>
        <v>N.A.</v>
      </c>
      <c r="AQ9" s="4" t="str">
        <f ca="1">IF(viavelECF[[#This Row],[idDimensionamento]]="","N.A.",INDEX(ECF[],MATCH(viavelECF[[#This Row],[Pilar]]&amp;viavelECF[[#This Row],[idDimensionamento]],ECF[idPilar,idDimensionamento],0),MATCH("As,susp,tot (cm²)",ECF[#Headers],0)))</f>
        <v>N.A.</v>
      </c>
      <c r="AR9" s="12">
        <f ca="1">IF(viavelECF[[#This Row],[As,susp,tot]]="N.A.",0,ROUNDUP(viavelECF[[#This Row],[As,susp,tot]]/(PI()*(viavelECF[[#This Row],[Ø6]]/10)^2/4),0))</f>
        <v>0</v>
      </c>
      <c r="AS9" s="5">
        <f ca="1">IF(viavelECF[[#This Row],[As,susp,tot]]="N.A.",0,dArmadura(viavelECF[[#This Row],[nE]],viavelECF[[#This Row],[Ø (cm)]],viavelECF[[#This Row],[e (cm)]],viavelECF[[#This Row],[a (cm)]],viavelECF[[#This Row],[h (cm)]],viavelECF[[#Headers],[As,susp,tot]],viavelECF[[#This Row],[As,susp,tot]]))</f>
        <v>0</v>
      </c>
      <c r="AT9" s="12">
        <f ca="1">IF(viavelECF[[#This Row],[As,susp,tot]]="N.A.",0,comprimento(viavelECF[[#This Row],[nE]],viavelECF[[#This Row],[Ø4]],viavelECF[[#This Row],[e (cm)]],viavelECF[[#This Row],[a (cm)]],viavelECF[[#This Row],[h (cm)]],viavelECF[[#Headers],[As,susp,tot]]))</f>
        <v>0</v>
      </c>
      <c r="AU9" s="12" t="str">
        <f ca="1">IF(viavelECF[[#This Row],[N6]]=0,"N.A.",viavelECF[[#This Row],[N6]]&amp;" Ø"&amp;viavelECF[[#This Row],[Ø6]]&amp;"mm C="&amp;viavelECF[[#This Row],[C6]]&amp;"cm")</f>
        <v>N.A.</v>
      </c>
      <c r="AV9" s="4" t="str">
        <f ca="1">IF(viavelECF[[#This Row],[idDimensionamento]]="","N.A.",INDEX(ECF[],MATCH(viavelECF[[#This Row],[Pilar]]&amp;viavelECF[[#This Row],[idDimensionamento]],ECF[idPilar,idDimensionamento],0),MATCH("Asp,face (cm²)",ECF[#Headers],0)))</f>
        <v>N.A.</v>
      </c>
      <c r="AW9" s="12">
        <f ca="1">IF(viavelECF[[#This Row],[Asp,face]]="N.A.",0,ROUNDUP(viavelECF[[#This Row],[Asp,face]]/(PI()*(viavelECF[[#This Row],[Ø7]]/10)^2/4),0))</f>
        <v>0</v>
      </c>
      <c r="AX9" s="5">
        <f ca="1">IF(viavelECF[[#This Row],[Asp,face]]="N.A.",0,dArmadura(viavelECF[[#This Row],[nE]],viavelECF[[#This Row],[Ø (cm)]],viavelECF[[#This Row],[e (cm)]],viavelECF[[#This Row],[a (cm)]],viavelECF[[#This Row],[h (cm)]],viavelECF[[#Headers],[Asp,face]],viavelECF[[#This Row],[Asp,face]]))</f>
        <v>0</v>
      </c>
      <c r="AY9" s="12">
        <f ca="1">IF(viavelECF[[#This Row],[Asp,face]]="N.A.",0,comprimento(viavelECF[[#This Row],[nE]],viavelECF[[#This Row],[Ø4]],viavelECF[[#This Row],[e (cm)]],viavelECF[[#This Row],[a (cm)]],viavelECF[[#This Row],[h (cm)]],viavelECF[[#Headers],[Asp,face]]))</f>
        <v>0</v>
      </c>
      <c r="AZ9" s="12" t="str">
        <f ca="1">IF(viavelECF[[#This Row],[N7]]=0,"N.A.",viavelECF[[#This Row],[N7]]&amp;" Ø"&amp;viavelECF[[#This Row],[Ø7]]&amp;"mm C="&amp;viavelECF[[#This Row],[C7]]&amp;"cm")</f>
        <v>N.A.</v>
      </c>
    </row>
    <row r="10" spans="2:52" x14ac:dyDescent="0.25">
      <c r="B10" s="1">
        <f>COUNTIF($C$4:C9,viavelECF[[#This Row],[Pilar]])+1</f>
        <v>3</v>
      </c>
      <c r="C10" s="16">
        <f>ROUNDDOWN((COUNTA($C$4:C9)-1)/3,0)+1</f>
        <v>2</v>
      </c>
      <c r="D10" s="16" t="str">
        <f ca="1">opcao($B$2,viavelECF[[#This Row],[Pilar]],viavelECF[[#This Row],[Opção]])</f>
        <v>4 Ø60cm Prof. 9 m</v>
      </c>
      <c r="E10" s="12">
        <f>INDEX(PILARES[],MATCH(viavelECF[[#This Row],[Pilar]],PILARES[Pilar],0),MATCH(viavelECF[[#Headers],[ap (cm)]],PILARES[#Headers],0))</f>
        <v>50</v>
      </c>
      <c r="F10" s="12">
        <f>INDEX(PILARES[],MATCH(viavelECF[[#This Row],[Pilar]],PILARES[Pilar],0),MATCH(viavelECF[[#Headers],[bp (cm)]],PILARES[#Headers],0))</f>
        <v>40</v>
      </c>
      <c r="G10" s="12">
        <f ca="1">IF(viavelECF[[#This Row],[idDimensionamento]]="",0,INDEX(ECF[],MATCH(viavelECF[[#This Row],[Pilar]]&amp;viavelECF[[#This Row],[idDimensionamento]],ECF[idPilar,idDimensionamento],0),MATCH(viavelECF[[#Headers],[nE]],ECF[#Headers],0)))</f>
        <v>4</v>
      </c>
      <c r="H10" s="12">
        <f ca="1">INDEX(ECF[],MATCH(viavelECF[[#This Row],[Pilar]]&amp;viavelECF[[#This Row],[idDimensionamento]],ECF[idPilar,idDimensionamento],0),MATCH(viavelECF[[#Headers],[Ø (cm)]],ECF[#Headers],0))</f>
        <v>60</v>
      </c>
      <c r="I10" s="4">
        <f ca="1">INDEX(ECF[],MATCH(viavelECF[[#This Row],[Pilar]]&amp;viavelECF[[#This Row],[idDimensionamento]],ECF[idPilar,idDimensionamento],0),MATCH("As,mín (cm²)",ECF[#Headers],0))</f>
        <v>11.309733552923255</v>
      </c>
      <c r="J10" s="12">
        <f ca="1">IF(viavelECF[[#This Row],[idDimensionamento]]="",0,6)</f>
        <v>6</v>
      </c>
      <c r="K10" s="5">
        <f ca="1">IF(viavelECF[[#This Row],[idDimensionamento]]="",0,INDEX(areaAco[],MATCH(10*SQRT(viavelECF[[#This Row],[As,mín]]*4/(viavelECF[[#This Row],[N]]*PI())),areaAco[Ø\QNTD],1)+1,1))</f>
        <v>16</v>
      </c>
      <c r="L10" s="12">
        <f ca="1">IF(viavelECF[[#This Row],[idDimensionamento]]="",0,INDEX(ECF[],MATCH(viavelECF[[#This Row],[Pilar]]&amp;viavelECF[[#This Row],[idDimensionamento]],ECF[idPilar,idDimensionamento],0),MATCH("Comprimento (m)",ECF[#Headers],0))*100)</f>
        <v>400</v>
      </c>
      <c r="M10" s="12" t="str">
        <f ca="1">IF(viavelECF[[#This Row],[N]]=0,"N.A.",viavelECF[[#This Row],[N]]&amp;" Ø"&amp;viavelECF[[#This Row],[Ø]]&amp;"mm C="&amp;viavelECF[[#This Row],[C]]&amp;"cm")</f>
        <v>6 Ø16mm C=400cm</v>
      </c>
      <c r="N10" s="5">
        <f ca="1">viavelECF[[#This Row],[nE]]*viavelECF[[#This Row],[N]]*(PI()*(viavelECF[[#This Row],[Ø]]/10)^2/4*viavelECF[[#This Row],[C]])/100^3*7850</f>
        <v>151.52027031969718</v>
      </c>
      <c r="O10" s="5">
        <f ca="1">INDEX(ECF[],MATCH(viavelECF[[#This Row],[Pilar]]&amp;viavelECF[[#This Row],[idDimensionamento]],ECF[idPilar,idDimensionamento],0),MATCH(viavelECF[[#Headers],[e (cm)]],ECF[#Headers],0))</f>
        <v>180</v>
      </c>
      <c r="P10" s="5">
        <f ca="1">INDEX(ECF[],MATCH(viavelECF[[#This Row],[Pilar]]&amp;viavelECF[[#This Row],[idDimensionamento]],ECF[idPilar,idDimensionamento],0),MATCH(viavelECF[[#Headers],[a (cm)]],ECF[#Headers],0))</f>
        <v>90</v>
      </c>
      <c r="Q10" s="5">
        <f ca="1">INDEX(ECF[],MATCH(viavelECF[[#This Row],[Pilar]]&amp;viavelECF[[#This Row],[idDimensionamento]],ECF[idPilar,idDimensionamento],0),MATCH(viavelECF[[#Headers],[h (cm)]],ECF[#Headers],0))</f>
        <v>95</v>
      </c>
      <c r="R10" s="4">
        <f ca="1">IF(viavelECF[[#This Row],[idDimensionamento]]="","N.A.",INDEX(ECF[],MATCH(viavelECF[[#This Row],[Pilar]]&amp;viavelECF[[#This Row],[idDimensionamento]],ECF[idPilar,idDimensionamento],0),MATCH("As,lado (cm²)",ECF[#Headers],0)))</f>
        <v>9.9140353735255218</v>
      </c>
      <c r="S10" s="12">
        <f ca="1">IF(viavelECF[[#This Row],[As,lado]]="N.A.",0,IF(viavelECF[[#This Row],[nE]]=1,ROUNDUP(viavelECF[[#This Row],[As,lado]]/(PI()*(viavelECF[[#This Row],[Ø1]]/10)^2/4)/2,0),ROUNDUP(viavelECF[[#This Row],[As,lado]]/(PI()*(viavelECF[[#This Row],[Ø1]]/10)^2/4),0)))</f>
        <v>9</v>
      </c>
      <c r="T10" s="5">
        <f ca="1">IF(viavelECF[[#This Row],[As,lado]]="N.A.",0,dArmadura(viavelECF[[#This Row],[nE]],viavelECF[[#This Row],[Ø (cm)]],viavelECF[[#This Row],[e (cm)]],viavelECF[[#This Row],[a (cm)]],viavelECF[[#This Row],[h (cm)]],viavelECF[[#Headers],[As,lado]],viavelECF[[#This Row],[As,lado]]))</f>
        <v>12.5</v>
      </c>
      <c r="U10" s="12">
        <f ca="1">IF(viavelECF[[#This Row],[As,lado]]="N.A.",0,comprimento(viavelECF[[#This Row],[nE]],viavelECF[[#This Row],[Ø1]],viavelECF[[#This Row],[e (cm)]],viavelECF[[#This Row],[a (cm)]],viavelECF[[#This Row],[h (cm)]],viavelECF[[#Headers],[As,lado]]))</f>
        <v>440</v>
      </c>
      <c r="V10" s="12" t="str">
        <f ca="1">IF(viavelECF[[#This Row],[N1]]=0,"N.A.",viavelECF[[#This Row],[N1]]&amp;" Ø"&amp;viavelECF[[#This Row],[Ø1]]&amp;"mm C="&amp;viavelECF[[#This Row],[C1]]&amp;"cm")</f>
        <v>9 Ø12,5mm C=440cm</v>
      </c>
      <c r="W10" s="4" t="str">
        <f ca="1">IF(viavelECF[[#This Row],[idDimensionamento]]="","N.A.",INDEX(ECF[],MATCH(viavelECF[[#This Row],[Pilar]]&amp;viavelECF[[#This Row],[idDimensionamento]],ECF[idPilar,idDimensionamento],0),MATCH("Asp e Asw (cm²/m)",ECF[#Headers],0)))</f>
        <v>N.A.</v>
      </c>
      <c r="X10" s="12">
        <f ca="1">IF(viavelECF[[#This Row],[Asp]]="N.A.",0,ROUNDUP(viavelECF[[#This Row],[Asp]]/(PI()*(viavelECF[[#This Row],[Ø2]]/10)^2/4)/2,0))</f>
        <v>0</v>
      </c>
      <c r="Y10" s="5">
        <f ca="1">IF(viavelECF[[#This Row],[Asp]]="N.A.",0,dArmadura(viavelECF[[#This Row],[nE]],viavelECF[[#This Row],[Ø (cm)]],viavelECF[[#This Row],[e (cm)]],viavelECF[[#This Row],[a (cm)]],viavelECF[[#This Row],[h (cm)]],viavelECF[[#Headers],[Asp]],viavelECF[[#This Row],[Asp]]))</f>
        <v>0</v>
      </c>
      <c r="Z10" s="12">
        <f ca="1">IF(viavelECF[[#This Row],[Asp]]="N.A.",0,comprimento(viavelECF[[#This Row],[nE]],viavelECF[[#This Row],[Ø2]],viavelECF[[#This Row],[e (cm)]],viavelECF[[#This Row],[a (cm)]],viavelECF[[#This Row],[h (cm)]],viavelECF[[#Headers],[Asp]]))</f>
        <v>0</v>
      </c>
      <c r="AA10" s="12" t="str">
        <f ca="1">IF(viavelECF[[#This Row],[N2]]=0,"N.A.",viavelECF[[#This Row],[N2]]&amp;" Ø"&amp;viavelECF[[#This Row],[Ø2]]&amp;"mm C="&amp;viavelECF[[#This Row],[C2]]&amp;"cm")</f>
        <v>N.A.</v>
      </c>
      <c r="AB10" s="4" t="str">
        <f ca="1">viavelECF[[#This Row],[Asp]]</f>
        <v>N.A.</v>
      </c>
      <c r="AC10" s="12">
        <f ca="1">IF(viavelECF[[#This Row],[Asw]]="N.A.",0,ROUNDUP(viavelECF[[#This Row],[Asw]]/(PI()*(viavelECF[[#This Row],[Ø3]]/10)^2/4)/2,0))</f>
        <v>0</v>
      </c>
      <c r="AD10" s="5">
        <f ca="1">IF(viavelECF[[#This Row],[Asw]]="N.A.",0,dArmadura(viavelECF[[#This Row],[nE]],viavelECF[[#This Row],[Ø (cm)]],viavelECF[[#This Row],[e (cm)]],viavelECF[[#This Row],[a (cm)]],viavelECF[[#This Row],[h (cm)]],viavelECF[[#Headers],[Asw]],viavelECF[[#This Row],[Asw]]))</f>
        <v>0</v>
      </c>
      <c r="AE10" s="12">
        <f ca="1">IF(viavelECF[[#This Row],[Asw]]="N.A.",0,comprimento(viavelECF[[#This Row],[nE]],viavelECF[[#This Row],[Ø3]],viavelECF[[#This Row],[e (cm)]],viavelECF[[#This Row],[a (cm)]],viavelECF[[#This Row],[h (cm)]],viavelECF[[#Headers],[Asw]]))</f>
        <v>0</v>
      </c>
      <c r="AF10" s="12" t="str">
        <f ca="1">IF(viavelECF[[#This Row],[N3]]=0,"N.A.",viavelECF[[#This Row],[N3]]&amp;" Ø"&amp;viavelECF[[#This Row],[Ø3]]&amp;"mm C="&amp;viavelECF[[#This Row],[C3]]&amp;"cm")</f>
        <v>N.A.</v>
      </c>
      <c r="AG10" s="4">
        <f ca="1">IF(viavelECF[[#This Row],[idDimensionamento]]="","N.A.",INDEX(ECF[],MATCH(viavelECF[[#This Row],[Pilar]]&amp;viavelECF[[#This Row],[idDimensionamento]],ECF[idPilar,idDimensionamento],0),MATCH("As,sup (cm²)",ECF[#Headers],0)))</f>
        <v>1.9828070747051045</v>
      </c>
      <c r="AH10" s="12">
        <f ca="1">IF(viavelECF[[#This Row],[As,sup]]="N.A.",0,ROUNDUP(viavelECF[[#This Row],[As,sup]]/(PI()*(viavelECF[[#This Row],[Ø4]]/10)^2/4),0))</f>
        <v>1</v>
      </c>
      <c r="AI10" s="5">
        <f ca="1">IF(viavelECF[[#This Row],[As,sup]]="N.A.",0,dArmadura(viavelECF[[#This Row],[nE]],viavelECF[[#This Row],[Ø (cm)]],viavelECF[[#This Row],[e (cm)]],viavelECF[[#This Row],[a (cm)]],viavelECF[[#This Row],[h (cm)]],viavelECF[[#Headers],[As,sup]],viavelECF[[#This Row],[As,sup]]))</f>
        <v>16</v>
      </c>
      <c r="AJ10" s="12">
        <f ca="1">IF(viavelECF[[#This Row],[As,sup]]="N.A.",0,comprimento(viavelECF[[#This Row],[nE]],viavelECF[[#This Row],[Ø4]],viavelECF[[#This Row],[e (cm)]],viavelECF[[#This Row],[a (cm)]],viavelECF[[#This Row],[h (cm)]],viavelECF[[#Headers],[As,sup]]))</f>
        <v>355</v>
      </c>
      <c r="AK10" s="12" t="str">
        <f ca="1">IF(viavelECF[[#This Row],[N4]]=0,"N.A.",viavelECF[[#This Row],[N4]]&amp;" Ø"&amp;viavelECF[[#This Row],[Ø4]]&amp;"mm C="&amp;viavelECF[[#This Row],[C4]]&amp;"cm")</f>
        <v>1 Ø16mm C=355cm</v>
      </c>
      <c r="AL10" s="4">
        <f ca="1">IF(viavelECF[[#This Row],[idDimensionamento]]="","N.A.",INDEX(ECF[],MATCH(viavelECF[[#This Row],[Pilar]]&amp;viavelECF[[#This Row],[idDimensionamento]],ECF[idPilar,idDimensionamento],0),MATCH("As,malha (cm²)",ECF[#Headers],0)))</f>
        <v>1.9828070747051045</v>
      </c>
      <c r="AM10" s="12">
        <f ca="1">IF(viavelECF[[#This Row],[As,malha]]="N.A.",0,ROUNDUP(viavelECF[[#This Row],[As,malha]]/(PI()*(viavelECF[[#This Row],[Ø5]]/10)^2/4),0))</f>
        <v>1</v>
      </c>
      <c r="AN10" s="5">
        <f ca="1">IF(viavelECF[[#This Row],[As,malha]]="N.A.",0,dArmadura(viavelECF[[#This Row],[nE]],viavelECF[[#This Row],[Ø (cm)]],viavelECF[[#This Row],[e (cm)]],viavelECF[[#This Row],[a (cm)]],viavelECF[[#This Row],[h (cm)]],viavelECF[[#Headers],[As,malha]],viavelECF[[#This Row],[As,malha]]))</f>
        <v>16</v>
      </c>
      <c r="AO10" s="12">
        <f ca="1">IF(viavelECF[[#This Row],[As,malha]]="N.A.",0,comprimento(viavelECF[[#This Row],[nE]],viavelECF[[#This Row],[Ø4]],viavelECF[[#This Row],[e (cm)]],viavelECF[[#This Row],[a (cm)]],viavelECF[[#This Row],[h (cm)]],viavelECF[[#Headers],[As,malha]]))</f>
        <v>465</v>
      </c>
      <c r="AP10" s="12" t="str">
        <f ca="1">IF(viavelECF[[#This Row],[N5]]=0,"N.A.",viavelECF[[#This Row],[N5]]&amp;" Ø"&amp;viavelECF[[#This Row],[Ø5]]&amp;"mm C="&amp;viavelECF[[#This Row],[C5]]&amp;"cm")</f>
        <v>1 Ø16mm C=465cm</v>
      </c>
      <c r="AQ10" s="4">
        <f ca="1">IF(viavelECF[[#This Row],[idDimensionamento]]="","N.A.",INDEX(ECF[],MATCH(viavelECF[[#This Row],[Pilar]]&amp;viavelECF[[#This Row],[idDimensionamento]],ECF[idPilar,idDimensionamento],0),MATCH("As,susp,tot (cm²)",ECF[#Headers],0)))</f>
        <v>6.708333333333333</v>
      </c>
      <c r="AR10" s="12">
        <f ca="1">IF(viavelECF[[#This Row],[As,susp,tot]]="N.A.",0,ROUNDUP(viavelECF[[#This Row],[As,susp,tot]]/(PI()*(viavelECF[[#This Row],[Ø6]]/10)^2/4),0))</f>
        <v>22</v>
      </c>
      <c r="AS10" s="5">
        <f ca="1">IF(viavelECF[[#This Row],[As,susp,tot]]="N.A.",0,dArmadura(viavelECF[[#This Row],[nE]],viavelECF[[#This Row],[Ø (cm)]],viavelECF[[#This Row],[e (cm)]],viavelECF[[#This Row],[a (cm)]],viavelECF[[#This Row],[h (cm)]],viavelECF[[#Headers],[As,susp,tot]],viavelECF[[#This Row],[As,susp,tot]]))</f>
        <v>6.3</v>
      </c>
      <c r="AT10" s="12">
        <f ca="1">IF(viavelECF[[#This Row],[As,susp,tot]]="N.A.",0,comprimento(viavelECF[[#This Row],[nE]],viavelECF[[#This Row],[Ø4]],viavelECF[[#This Row],[e (cm)]],viavelECF[[#This Row],[a (cm)]],viavelECF[[#This Row],[h (cm)]],viavelECF[[#Headers],[As,susp,tot]]))</f>
        <v>200</v>
      </c>
      <c r="AU10" s="12" t="str">
        <f ca="1">IF(viavelECF[[#This Row],[N6]]=0,"N.A.",viavelECF[[#This Row],[N6]]&amp;" Ø"&amp;viavelECF[[#This Row],[Ø6]]&amp;"mm C="&amp;viavelECF[[#This Row],[C6]]&amp;"cm")</f>
        <v>22 Ø6,3mm C=200cm</v>
      </c>
      <c r="AV10" s="4">
        <f ca="1">IF(viavelECF[[#This Row],[idDimensionamento]]="","N.A.",INDEX(ECF[],MATCH(viavelECF[[#This Row],[Pilar]]&amp;viavelECF[[#This Row],[idDimensionamento]],ECF[idPilar,idDimensionamento],0),MATCH("Asp,face (cm²)",ECF[#Headers],0)))</f>
        <v>4.9570176867627609</v>
      </c>
      <c r="AW10" s="12">
        <f ca="1">IF(viavelECF[[#This Row],[Asp,face]]="N.A.",0,ROUNDUP(viavelECF[[#This Row],[Asp,face]]/(PI()*(viavelECF[[#This Row],[Ø7]]/10)^2/4),0))</f>
        <v>16</v>
      </c>
      <c r="AX10" s="5">
        <f ca="1">IF(viavelECF[[#This Row],[Asp,face]]="N.A.",0,dArmadura(viavelECF[[#This Row],[nE]],viavelECF[[#This Row],[Ø (cm)]],viavelECF[[#This Row],[e (cm)]],viavelECF[[#This Row],[a (cm)]],viavelECF[[#This Row],[h (cm)]],viavelECF[[#Headers],[Asp,face]],viavelECF[[#This Row],[Asp,face]]))</f>
        <v>6.3</v>
      </c>
      <c r="AY10" s="12">
        <f ca="1">IF(viavelECF[[#This Row],[Asp,face]]="N.A.",0,comprimento(viavelECF[[#This Row],[nE]],viavelECF[[#This Row],[Ø4]],viavelECF[[#This Row],[e (cm)]],viavelECF[[#This Row],[a (cm)]],viavelECF[[#This Row],[h (cm)]],viavelECF[[#Headers],[Asp,face]]))</f>
        <v>1425</v>
      </c>
      <c r="AZ10" s="12" t="str">
        <f ca="1">IF(viavelECF[[#This Row],[N7]]=0,"N.A.",viavelECF[[#This Row],[N7]]&amp;" Ø"&amp;viavelECF[[#This Row],[Ø7]]&amp;"mm C="&amp;viavelECF[[#This Row],[C7]]&amp;"cm")</f>
        <v>16 Ø6,3mm C=1425cm</v>
      </c>
    </row>
    <row r="11" spans="2:52" x14ac:dyDescent="0.25">
      <c r="C11" s="16"/>
      <c r="D11" s="16"/>
      <c r="E11" s="16"/>
      <c r="F11" s="16"/>
      <c r="G11" s="16"/>
      <c r="H11" s="16"/>
      <c r="I11" s="16"/>
      <c r="J11" s="16"/>
      <c r="K11" s="16"/>
      <c r="L11" s="16"/>
      <c r="M11" s="16"/>
      <c r="N11" s="16"/>
      <c r="O11" s="16"/>
      <c r="P11" s="16"/>
      <c r="Q11" s="16"/>
    </row>
    <row r="12" spans="2:52" x14ac:dyDescent="0.25">
      <c r="C12" s="16"/>
      <c r="D12" s="16"/>
      <c r="E12" s="16"/>
      <c r="F12" s="16"/>
      <c r="G12" s="16"/>
      <c r="H12" s="16"/>
      <c r="I12" s="16"/>
      <c r="J12" s="16"/>
      <c r="K12" s="16"/>
      <c r="L12" s="16"/>
      <c r="M12" s="16"/>
      <c r="N12" s="16"/>
      <c r="O12" s="16"/>
      <c r="P12" s="16"/>
      <c r="Q12" s="16"/>
    </row>
    <row r="13" spans="2:52" x14ac:dyDescent="0.25">
      <c r="D13" s="16"/>
      <c r="E13" s="16"/>
      <c r="F13" s="16"/>
    </row>
  </sheetData>
  <mergeCells count="3">
    <mergeCell ref="B3:D3"/>
    <mergeCell ref="G3:N3"/>
    <mergeCell ref="O3:AZ3"/>
  </mergeCells>
  <pageMargins left="0.511811024" right="0.511811024" top="0.78740157499999996" bottom="0.78740157499999996" header="0.31496062000000002" footer="0.31496062000000002"/>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323E-078F-473E-A27F-B0951D60C6BC}">
  <sheetPr codeName="tecViaveHC"/>
  <dimension ref="A1:BA12"/>
  <sheetViews>
    <sheetView showGridLines="0" topLeftCell="H1" workbookViewId="0">
      <selection activeCell="U159" sqref="U159"/>
    </sheetView>
  </sheetViews>
  <sheetFormatPr defaultColWidth="0" defaultRowHeight="15" x14ac:dyDescent="0.25"/>
  <cols>
    <col min="1" max="1" width="2.7109375" style="1" customWidth="1"/>
    <col min="2" max="2" width="8.42578125" style="1" bestFit="1" customWidth="1"/>
    <col min="3" max="3" width="6.140625" style="1" bestFit="1" customWidth="1"/>
    <col min="4" max="4" width="23.5703125" style="1" bestFit="1" customWidth="1"/>
    <col min="5" max="5" width="9.28515625" style="1" bestFit="1" customWidth="1"/>
    <col min="6" max="6" width="9.42578125" style="1" bestFit="1" customWidth="1"/>
    <col min="7" max="7" width="6.42578125" style="1" bestFit="1" customWidth="1"/>
    <col min="8" max="8" width="8.28515625" style="1" bestFit="1" customWidth="1"/>
    <col min="9" max="9" width="8.7109375" style="1" bestFit="1" customWidth="1"/>
    <col min="10" max="10" width="4.28515625" style="1" bestFit="1" customWidth="1"/>
    <col min="11" max="11" width="5.7109375" style="1" bestFit="1" customWidth="1"/>
    <col min="12" max="12" width="5.7109375" style="1" customWidth="1"/>
    <col min="13" max="13" width="23.85546875" style="1" bestFit="1" customWidth="1"/>
    <col min="14" max="14" width="10.28515625" style="1" bestFit="1" customWidth="1"/>
    <col min="15" max="16" width="7.85546875" style="1" bestFit="1" customWidth="1"/>
    <col min="17" max="17" width="8" style="1" bestFit="1" customWidth="1"/>
    <col min="18" max="18" width="9.42578125" style="1" bestFit="1" customWidth="1"/>
    <col min="19" max="19" width="4.28515625" style="1" bestFit="1" customWidth="1"/>
    <col min="20" max="20" width="5.7109375" style="1" customWidth="1"/>
    <col min="21" max="21" width="5.140625" style="1" bestFit="1" customWidth="1"/>
    <col min="22" max="22" width="23.85546875" style="1" bestFit="1" customWidth="1"/>
    <col min="23" max="23" width="5.7109375" style="1" bestFit="1" customWidth="1"/>
    <col min="24" max="24" width="4.28515625" style="1" bestFit="1" customWidth="1"/>
    <col min="25" max="25" width="4.42578125" style="1" bestFit="1" customWidth="1"/>
    <col min="26" max="26" width="5.140625" style="1" bestFit="1" customWidth="1"/>
    <col min="27" max="27" width="22.5703125" style="1" bestFit="1" customWidth="1"/>
    <col min="28" max="28" width="6" style="1" bestFit="1" customWidth="1"/>
    <col min="29" max="29" width="4.28515625" style="1" bestFit="1" customWidth="1"/>
    <col min="30" max="30" width="4.42578125" style="1" bestFit="1" customWidth="1"/>
    <col min="31" max="31" width="5.140625" style="1" bestFit="1" customWidth="1"/>
    <col min="32" max="32" width="22.5703125" style="1" bestFit="1" customWidth="1"/>
    <col min="33" max="33" width="8.85546875" style="1" bestFit="1" customWidth="1"/>
    <col min="34" max="34" width="4.28515625" style="1" bestFit="1" customWidth="1"/>
    <col min="35" max="35" width="5.7109375" style="1" customWidth="1"/>
    <col min="36" max="36" width="5.140625" style="1" bestFit="1" customWidth="1"/>
    <col min="37" max="37" width="23.85546875" style="1" bestFit="1" customWidth="1"/>
    <col min="38" max="38" width="11.28515625" style="1" bestFit="1" customWidth="1"/>
    <col min="39" max="39" width="4.28515625" style="1" bestFit="1" customWidth="1"/>
    <col min="40" max="40" width="5.7109375" style="1" customWidth="1"/>
    <col min="41" max="41" width="5.140625" style="1" bestFit="1" customWidth="1"/>
    <col min="42" max="42" width="23.85546875" style="1" bestFit="1" customWidth="1"/>
    <col min="43" max="43" width="13.7109375" style="1" bestFit="1" customWidth="1"/>
    <col min="44" max="44" width="4.28515625" style="1" bestFit="1" customWidth="1"/>
    <col min="45" max="45" width="5.7109375" style="1" customWidth="1"/>
    <col min="46" max="46" width="5.140625" style="1" bestFit="1" customWidth="1"/>
    <col min="47" max="47" width="22.5703125" style="1" bestFit="1" customWidth="1"/>
    <col min="48" max="48" width="10.7109375" style="1" bestFit="1" customWidth="1"/>
    <col min="49" max="49" width="4.28515625" style="1" bestFit="1" customWidth="1"/>
    <col min="50" max="50" width="5.7109375" style="1" customWidth="1"/>
    <col min="51" max="51" width="5.140625" style="1" bestFit="1" customWidth="1"/>
    <col min="52" max="52" width="22.5703125" style="1" bestFit="1" customWidth="1"/>
    <col min="53" max="53" width="2.7109375" style="1" customWidth="1"/>
    <col min="54" max="16384" width="9.140625" style="1" hidden="1"/>
  </cols>
  <sheetData>
    <row r="1" spans="2:52" ht="5.0999999999999996" customHeight="1" x14ac:dyDescent="0.25"/>
    <row r="2" spans="2:52" s="36" customFormat="1" ht="20.25" x14ac:dyDescent="0.25">
      <c r="B2" s="37" t="s">
        <v>38</v>
      </c>
    </row>
    <row r="3" spans="2:52" x14ac:dyDescent="0.25">
      <c r="B3" s="72" t="s">
        <v>72</v>
      </c>
      <c r="C3" s="73"/>
      <c r="D3" s="74"/>
      <c r="E3" s="72" t="s">
        <v>263</v>
      </c>
      <c r="F3" s="74"/>
      <c r="G3" s="72" t="s">
        <v>226</v>
      </c>
      <c r="H3" s="73"/>
      <c r="I3" s="73"/>
      <c r="J3" s="73"/>
      <c r="K3" s="73"/>
      <c r="L3" s="73"/>
      <c r="M3" s="73"/>
      <c r="N3" s="74"/>
      <c r="O3" s="72" t="s">
        <v>184</v>
      </c>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4"/>
    </row>
    <row r="4" spans="2:52" x14ac:dyDescent="0.25">
      <c r="B4" s="1" t="s">
        <v>180</v>
      </c>
      <c r="C4" s="1" t="s">
        <v>67</v>
      </c>
      <c r="D4" s="1" t="s">
        <v>179</v>
      </c>
      <c r="E4" s="1" t="s">
        <v>264</v>
      </c>
      <c r="F4" s="1" t="s">
        <v>99</v>
      </c>
      <c r="G4" s="1" t="s">
        <v>82</v>
      </c>
      <c r="H4" s="1" t="s">
        <v>29</v>
      </c>
      <c r="I4" s="1" t="s">
        <v>182</v>
      </c>
      <c r="J4" s="1" t="s">
        <v>188</v>
      </c>
      <c r="K4" s="1" t="s">
        <v>183</v>
      </c>
      <c r="L4" s="1" t="s">
        <v>187</v>
      </c>
      <c r="M4" s="1" t="s">
        <v>228</v>
      </c>
      <c r="N4" s="1" t="s">
        <v>137</v>
      </c>
      <c r="O4" s="1" t="s">
        <v>127</v>
      </c>
      <c r="P4" s="1" t="s">
        <v>94</v>
      </c>
      <c r="Q4" s="1" t="s">
        <v>96</v>
      </c>
      <c r="R4" s="1" t="s">
        <v>219</v>
      </c>
      <c r="S4" s="1" t="s">
        <v>190</v>
      </c>
      <c r="T4" s="1" t="s">
        <v>191</v>
      </c>
      <c r="U4" s="1" t="s">
        <v>189</v>
      </c>
      <c r="V4" s="1" t="s">
        <v>227</v>
      </c>
      <c r="W4" s="1" t="s">
        <v>224</v>
      </c>
      <c r="X4" s="1" t="s">
        <v>195</v>
      </c>
      <c r="Y4" s="1" t="s">
        <v>196</v>
      </c>
      <c r="Z4" s="1" t="s">
        <v>192</v>
      </c>
      <c r="AA4" s="1" t="s">
        <v>229</v>
      </c>
      <c r="AB4" s="1" t="s">
        <v>225</v>
      </c>
      <c r="AC4" s="1" t="s">
        <v>193</v>
      </c>
      <c r="AD4" s="1" t="s">
        <v>198</v>
      </c>
      <c r="AE4" s="1" t="s">
        <v>197</v>
      </c>
      <c r="AF4" s="1" t="s">
        <v>230</v>
      </c>
      <c r="AG4" s="1" t="s">
        <v>220</v>
      </c>
      <c r="AH4" s="1" t="s">
        <v>200</v>
      </c>
      <c r="AI4" s="1" t="s">
        <v>194</v>
      </c>
      <c r="AJ4" s="1" t="s">
        <v>199</v>
      </c>
      <c r="AK4" s="1" t="s">
        <v>231</v>
      </c>
      <c r="AL4" s="1" t="s">
        <v>221</v>
      </c>
      <c r="AM4" s="1" t="s">
        <v>202</v>
      </c>
      <c r="AN4" s="1" t="s">
        <v>203</v>
      </c>
      <c r="AO4" s="1" t="s">
        <v>201</v>
      </c>
      <c r="AP4" s="1" t="s">
        <v>232</v>
      </c>
      <c r="AQ4" s="1" t="s">
        <v>222</v>
      </c>
      <c r="AR4" s="1" t="s">
        <v>205</v>
      </c>
      <c r="AS4" s="1" t="s">
        <v>206</v>
      </c>
      <c r="AT4" s="1" t="s">
        <v>204</v>
      </c>
      <c r="AU4" s="1" t="s">
        <v>234</v>
      </c>
      <c r="AV4" s="1" t="s">
        <v>223</v>
      </c>
      <c r="AW4" s="1" t="s">
        <v>208</v>
      </c>
      <c r="AX4" s="1" t="s">
        <v>209</v>
      </c>
      <c r="AY4" s="1" t="s">
        <v>207</v>
      </c>
      <c r="AZ4" s="1" t="s">
        <v>233</v>
      </c>
    </row>
    <row r="5" spans="2:52" x14ac:dyDescent="0.25">
      <c r="B5" s="1">
        <f>COUNTIF($C$4:C4,viavelHC[[#This Row],[Pilar]])+1</f>
        <v>1</v>
      </c>
      <c r="C5" s="16">
        <f>ROUNDDOWN((COUNTA($C$4:C4)-1)/3,0)+1</f>
        <v>1</v>
      </c>
      <c r="D5" s="16" t="str">
        <f ca="1">opcao($B$2,viavelHC[[#This Row],[Pilar]],viavelHC[[#This Row],[Opção]])</f>
        <v>4 Ø50cm Prof. 13 m</v>
      </c>
      <c r="E5" s="12">
        <f>INDEX(PILARES[],MATCH(viavelHC[[#This Row],[Pilar]],PILARES[Pilar],0),MATCH(viavelHC[[#Headers],[ap (cm)]],PILARES[#Headers],0))</f>
        <v>60</v>
      </c>
      <c r="F5" s="12">
        <f>INDEX(PILARES[],MATCH(viavelHC[[#This Row],[Pilar]],PILARES[Pilar],0),MATCH(viavelHC[[#Headers],[bp (cm)]],PILARES[#Headers],0))</f>
        <v>60</v>
      </c>
      <c r="G5" s="12">
        <f ca="1">IF(viavelHC[[#This Row],[idDimensionamento]]="",0,INDEX(HC[],MATCH(viavelHC[[#This Row],[Pilar]]&amp;viavelHC[[#This Row],[idDimensionamento]],HC[idPilar,idDimensionamento],0),MATCH(viavelHC[[#Headers],[nE]],HC[#Headers],0)))</f>
        <v>4</v>
      </c>
      <c r="H5" s="12">
        <f ca="1">INDEX(HC[],MATCH(viavelHC[[#This Row],[Pilar]]&amp;viavelHC[[#This Row],[idDimensionamento]],HC[idPilar,idDimensionamento],0),MATCH(viavelHC[[#Headers],[Ø (cm)]],HC[#Headers],0))</f>
        <v>50</v>
      </c>
      <c r="I5" s="4">
        <f ca="1">INDEX(HC[],MATCH(viavelHC[[#This Row],[Pilar]]&amp;viavelHC[[#This Row],[idDimensionamento]],HC[idPilar,idDimensionamento],0),MATCH("As,mín (cm²)",HC[#Headers],0))</f>
        <v>7.8539816339744837</v>
      </c>
      <c r="J5" s="12">
        <f ca="1">IF(viavelHC[[#This Row],[idDimensionamento]]="",0,6)</f>
        <v>6</v>
      </c>
      <c r="K5" s="5">
        <f ca="1">IF(viavelHC[[#This Row],[idDimensionamento]]="",0,INDEX(areaAco[],MATCH(10*SQRT(viavelHC[[#This Row],[As,mín]]*4/(viavelHC[[#This Row],[N]]*PI())),areaAco[Ø\QNTD],1)+1,1))</f>
        <v>16</v>
      </c>
      <c r="L5" s="12">
        <f ca="1">IF(viavelHC[[#This Row],[idDimensionamento]]="",0,INDEX(HC[],MATCH(viavelHC[[#This Row],[Pilar]]&amp;viavelHC[[#This Row],[idDimensionamento]],HC[idPilar,idDimensionamento],0),MATCH("Comprimento (m)",HC[#Headers],0))*100)</f>
        <v>400</v>
      </c>
      <c r="M5" s="12" t="str">
        <f ca="1">IF(viavelHC[[#This Row],[N]]=0,"N.A.",viavelHC[[#This Row],[N]]&amp;" Ø"&amp;viavelHC[[#This Row],[Ø]]&amp;"mm C="&amp;viavelHC[[#This Row],[C]]&amp;"cm")</f>
        <v>6 Ø16mm C=400cm</v>
      </c>
      <c r="N5" s="5">
        <f ca="1">viavelHC[[#This Row],[nE]]*viavelHC[[#This Row],[N]]*(PI()*(viavelHC[[#This Row],[Ø]]/10)^2/4*viavelHC[[#This Row],[C]])/100^3*7850</f>
        <v>151.52027031969718</v>
      </c>
      <c r="O5" s="5">
        <f ca="1">INDEX(HC[],MATCH(viavelHC[[#This Row],[Pilar]]&amp;viavelHC[[#This Row],[idDimensionamento]],HC[idPilar,idDimensionamento],0),MATCH(viavelHC[[#Headers],[e (cm)]],HC[#Headers],0))</f>
        <v>150</v>
      </c>
      <c r="P5" s="5">
        <f ca="1">INDEX(HC[],MATCH(viavelHC[[#This Row],[Pilar]]&amp;viavelHC[[#This Row],[idDimensionamento]],HC[idPilar,idDimensionamento],0),MATCH(viavelHC[[#Headers],[a (cm)]],HC[#Headers],0))</f>
        <v>75</v>
      </c>
      <c r="Q5" s="5">
        <f ca="1">INDEX(HC[],MATCH(viavelHC[[#This Row],[Pilar]]&amp;viavelHC[[#This Row],[idDimensionamento]],HC[idPilar,idDimensionamento],0),MATCH(viavelHC[[#Headers],[h (cm)]],HC[#Headers],0))</f>
        <v>70</v>
      </c>
      <c r="R5" s="4">
        <f ca="1">IF(viavelHC[[#This Row],[idDimensionamento]]="","N.A.",INDEX(HC[],MATCH(viavelHC[[#This Row],[Pilar]]&amp;viavelHC[[#This Row],[idDimensionamento]],HC[idPilar,idDimensionamento],0),MATCH("As,lado (cm²)",HC[#Headers],0)))</f>
        <v>20.125</v>
      </c>
      <c r="S5" s="12">
        <f ca="1">IF(viavelHC[[#This Row],[As,lado]]="N.A.",0,IF(viavelHC[[#This Row],[nE]]=1,ROUNDUP(viavelHC[[#This Row],[As,lado]]/(PI()*(viavelHC[[#This Row],[Ø1]]/10)^2/4)/2,0),ROUNDUP(viavelHC[[#This Row],[As,lado]]/(PI()*(viavelHC[[#This Row],[Ø1]]/10)^2/4),0)))</f>
        <v>7</v>
      </c>
      <c r="T5" s="5">
        <f ca="1">IF(viavelHC[[#This Row],[As,lado]]="N.A.",0,dArmadura(viavelHC[[#This Row],[nE]],viavelHC[[#This Row],[Ø (cm)]],viavelHC[[#This Row],[e (cm)]],viavelHC[[#This Row],[a (cm)]],viavelHC[[#This Row],[h (cm)]],viavelHC[[#Headers],[As,lado]],viavelHC[[#This Row],[As,lado]]))</f>
        <v>20</v>
      </c>
      <c r="U5" s="12">
        <f ca="1">IF(viavelHC[[#This Row],[As,lado]]="N.A.",0,comprimento(viavelHC[[#This Row],[nE]],viavelHC[[#This Row],[Ø1]],viavelHC[[#This Row],[e (cm)]],viavelHC[[#This Row],[a (cm)]],viavelHC[[#This Row],[h (cm)]],viavelHC[[#Headers],[As,lado]]))</f>
        <v>430</v>
      </c>
      <c r="V5" s="12" t="str">
        <f ca="1">IF(viavelHC[[#This Row],[N1]]=0,"N.A.",viavelHC[[#This Row],[N1]]&amp;" Ø"&amp;viavelHC[[#This Row],[Ø1]]&amp;"mm C="&amp;viavelHC[[#This Row],[C1]]&amp;"cm")</f>
        <v>7 Ø20mm C=430cm</v>
      </c>
      <c r="W5" s="4" t="str">
        <f ca="1">IF(viavelHC[[#This Row],[idDimensionamento]]="","N.A.",INDEX(HC[],MATCH(viavelHC[[#This Row],[Pilar]]&amp;viavelHC[[#This Row],[idDimensionamento]],HC[idPilar,idDimensionamento],0),MATCH("Asp e Asw (cm²/m)",HC[#Headers],0)))</f>
        <v>N.A.</v>
      </c>
      <c r="X5" s="12">
        <f ca="1">IF(viavelHC[[#This Row],[Asp]]="N.A.",0,ROUNDUP(viavelHC[[#This Row],[Asp]]/(PI()*(viavelHC[[#This Row],[Ø2]]/10)^2/4)/2,0))</f>
        <v>0</v>
      </c>
      <c r="Y5" s="5">
        <f ca="1">IF(viavelHC[[#This Row],[Asp]]="N.A.",0,dArmadura(viavelHC[[#This Row],[nE]],viavelHC[[#This Row],[Ø (cm)]],viavelHC[[#This Row],[e (cm)]],viavelHC[[#This Row],[a (cm)]],viavelHC[[#This Row],[h (cm)]],viavelHC[[#Headers],[Asp]],viavelHC[[#This Row],[Asp]]))</f>
        <v>0</v>
      </c>
      <c r="Z5" s="12">
        <f ca="1">IF(viavelHC[[#This Row],[Asp]]="N.A.",0,comprimento(viavelHC[[#This Row],[nE]],viavelHC[[#This Row],[Ø2]],viavelHC[[#This Row],[e (cm)]],viavelHC[[#This Row],[a (cm)]],viavelHC[[#This Row],[h (cm)]],viavelHC[[#Headers],[Asp]]))</f>
        <v>0</v>
      </c>
      <c r="AA5" s="12" t="str">
        <f ca="1">IF(viavelHC[[#This Row],[N2]]=0,"N.A.",viavelHC[[#This Row],[N2]]&amp;" Ø"&amp;viavelHC[[#This Row],[Ø2]]&amp;"mm C="&amp;viavelHC[[#This Row],[C2]]&amp;"cm")</f>
        <v>N.A.</v>
      </c>
      <c r="AB5" s="4" t="str">
        <f ca="1">viavelHC[[#This Row],[Asp]]</f>
        <v>N.A.</v>
      </c>
      <c r="AC5" s="12">
        <f ca="1">IF(viavelHC[[#This Row],[Asw]]="N.A.",0,ROUNDUP(viavelHC[[#This Row],[Asw]]/(PI()*(viavelHC[[#This Row],[Ø3]]/10)^2/4)/2,0))</f>
        <v>0</v>
      </c>
      <c r="AD5" s="5">
        <f ca="1">IF(viavelHC[[#This Row],[Asw]]="N.A.",0,dArmadura(viavelHC[[#This Row],[nE]],viavelHC[[#This Row],[Ø (cm)]],viavelHC[[#This Row],[e (cm)]],viavelHC[[#This Row],[a (cm)]],viavelHC[[#This Row],[h (cm)]],viavelHC[[#Headers],[Asw]],viavelHC[[#This Row],[Asw]]))</f>
        <v>0</v>
      </c>
      <c r="AE5" s="12">
        <f ca="1">IF(viavelHC[[#This Row],[Asw]]="N.A.",0,comprimento(viavelHC[[#This Row],[nE]],viavelHC[[#This Row],[Ø3]],viavelHC[[#This Row],[e (cm)]],viavelHC[[#This Row],[a (cm)]],viavelHC[[#This Row],[h (cm)]],viavelHC[[#Headers],[Asw]]))</f>
        <v>0</v>
      </c>
      <c r="AF5" s="12" t="str">
        <f ca="1">IF(viavelHC[[#This Row],[N3]]=0,"N.A.",viavelHC[[#This Row],[N3]]&amp;" Ø"&amp;viavelHC[[#This Row],[Ø3]]&amp;"mm C="&amp;viavelHC[[#This Row],[C3]]&amp;"cm")</f>
        <v>N.A.</v>
      </c>
      <c r="AG5" s="4">
        <f ca="1">IF(viavelHC[[#This Row],[idDimensionamento]]="","N.A.",INDEX(HC[],MATCH(viavelHC[[#This Row],[Pilar]]&amp;viavelHC[[#This Row],[idDimensionamento]],HC[idPilar,idDimensionamento],0),MATCH("As,sup (cm²)",HC[#Headers],0)))</f>
        <v>4.0250000000000004</v>
      </c>
      <c r="AH5" s="12">
        <f ca="1">IF(viavelHC[[#This Row],[As,sup]]="N.A.",0,ROUNDUP(viavelHC[[#This Row],[As,sup]]/(PI()*(viavelHC[[#This Row],[Ø4]]/10)^2/4),0))</f>
        <v>1</v>
      </c>
      <c r="AI5" s="5">
        <f ca="1">IF(viavelHC[[#This Row],[As,sup]]="N.A.",0,dArmadura(viavelHC[[#This Row],[nE]],viavelHC[[#This Row],[Ø (cm)]],viavelHC[[#This Row],[e (cm)]],viavelHC[[#This Row],[a (cm)]],viavelHC[[#This Row],[h (cm)]],viavelHC[[#Headers],[As,sup]],viavelHC[[#This Row],[As,sup]]))</f>
        <v>25</v>
      </c>
      <c r="AJ5" s="12">
        <f ca="1">IF(viavelHC[[#This Row],[As,sup]]="N.A.",0,comprimento(viavelHC[[#This Row],[nE]],viavelHC[[#This Row],[Ø4]],viavelHC[[#This Row],[e (cm)]],viavelHC[[#This Row],[a (cm)]],viavelHC[[#This Row],[h (cm)]],viavelHC[[#Headers],[As,sup]]))</f>
        <v>295</v>
      </c>
      <c r="AK5" s="12" t="str">
        <f ca="1">IF(viavelHC[[#This Row],[N4]]=0,"N.A.",viavelHC[[#This Row],[N4]]&amp;" Ø"&amp;viavelHC[[#This Row],[Ø4]]&amp;"mm C="&amp;viavelHC[[#This Row],[C4]]&amp;"cm")</f>
        <v>1 Ø25mm C=295cm</v>
      </c>
      <c r="AL5" s="4">
        <f ca="1">IF(viavelHC[[#This Row],[idDimensionamento]]="","N.A.",INDEX(HC[],MATCH(viavelHC[[#This Row],[Pilar]]&amp;viavelHC[[#This Row],[idDimensionamento]],HC[idPilar,idDimensionamento],0),MATCH("As,malha (cm²)",HC[#Headers],0)))</f>
        <v>4.0250000000000004</v>
      </c>
      <c r="AM5" s="12">
        <f ca="1">IF(viavelHC[[#This Row],[As,malha]]="N.A.",0,ROUNDUP(viavelHC[[#This Row],[As,malha]]/(PI()*(viavelHC[[#This Row],[Ø5]]/10)^2/4),0))</f>
        <v>1</v>
      </c>
      <c r="AN5" s="5">
        <f ca="1">IF(viavelHC[[#This Row],[As,malha]]="N.A.",0,dArmadura(viavelHC[[#This Row],[nE]],viavelHC[[#This Row],[Ø (cm)]],viavelHC[[#This Row],[e (cm)]],viavelHC[[#This Row],[a (cm)]],viavelHC[[#This Row],[h (cm)]],viavelHC[[#Headers],[As,malha]],viavelHC[[#This Row],[As,malha]]))</f>
        <v>25</v>
      </c>
      <c r="AO5" s="12">
        <f ca="1">IF(viavelHC[[#This Row],[As,malha]]="N.A.",0,comprimento(viavelHC[[#This Row],[nE]],viavelHC[[#This Row],[Ø4]],viavelHC[[#This Row],[e (cm)]],viavelHC[[#This Row],[a (cm)]],viavelHC[[#This Row],[h (cm)]],viavelHC[[#Headers],[As,malha]]))</f>
        <v>465</v>
      </c>
      <c r="AP5" s="12" t="str">
        <f ca="1">IF(viavelHC[[#This Row],[N5]]=0,"N.A.",viavelHC[[#This Row],[N5]]&amp;" Ø"&amp;viavelHC[[#This Row],[Ø5]]&amp;"mm C="&amp;viavelHC[[#This Row],[C5]]&amp;"cm")</f>
        <v>1 Ø25mm C=465cm</v>
      </c>
      <c r="AQ5" s="4">
        <f ca="1">IF(viavelHC[[#This Row],[idDimensionamento]]="","N.A.",INDEX(HC[],MATCH(viavelHC[[#This Row],[Pilar]]&amp;viavelHC[[#This Row],[idDimensionamento]],HC[idPilar,idDimensionamento],0),MATCH("As,susp,tot (cm²)",HC[#Headers],0)))</f>
        <v>13.416666666666666</v>
      </c>
      <c r="AR5" s="12">
        <f ca="1">IF(viavelHC[[#This Row],[As,susp,tot]]="N.A.",0,ROUNDUP(viavelHC[[#This Row],[As,susp,tot]]/(PI()*(viavelHC[[#This Row],[Ø6]]/10)^2/4),0))</f>
        <v>27</v>
      </c>
      <c r="AS5" s="5">
        <f ca="1">IF(viavelHC[[#This Row],[As,susp,tot]]="N.A.",0,dArmadura(viavelHC[[#This Row],[nE]],viavelHC[[#This Row],[Ø (cm)]],viavelHC[[#This Row],[e (cm)]],viavelHC[[#This Row],[a (cm)]],viavelHC[[#This Row],[h (cm)]],viavelHC[[#Headers],[As,susp,tot]],viavelHC[[#This Row],[As,susp,tot]]))</f>
        <v>8</v>
      </c>
      <c r="AT5" s="12">
        <f ca="1">IF(viavelHC[[#This Row],[As,susp,tot]]="N.A.",0,comprimento(viavelHC[[#This Row],[nE]],viavelHC[[#This Row],[Ø4]],viavelHC[[#This Row],[e (cm)]],viavelHC[[#This Row],[a (cm)]],viavelHC[[#This Row],[h (cm)]],viavelHC[[#Headers],[As,susp,tot]]))</f>
        <v>235</v>
      </c>
      <c r="AU5" s="12" t="str">
        <f ca="1">IF(viavelHC[[#This Row],[N6]]=0,"N.A.",viavelHC[[#This Row],[N6]]&amp;" Ø"&amp;viavelHC[[#This Row],[Ø6]]&amp;"mm C="&amp;viavelHC[[#This Row],[C6]]&amp;"cm")</f>
        <v>27 Ø8mm C=235cm</v>
      </c>
      <c r="AV5" s="4">
        <f ca="1">IF(viavelHC[[#This Row],[idDimensionamento]]="","N.A.",INDEX(HC[],MATCH(viavelHC[[#This Row],[Pilar]]&amp;viavelHC[[#This Row],[idDimensionamento]],HC[idPilar,idDimensionamento],0),MATCH("Asp,face (cm²)",HC[#Headers],0)))</f>
        <v>10.0625</v>
      </c>
      <c r="AW5" s="12">
        <f ca="1">IF(viavelHC[[#This Row],[Asp,face]]="N.A.",0,ROUNDUP(viavelHC[[#This Row],[Asp,face]]/(PI()*(viavelHC[[#This Row],[Ø7]]/10)^2/4),0))</f>
        <v>13</v>
      </c>
      <c r="AX5" s="5">
        <f ca="1">IF(viavelHC[[#This Row],[Asp,face]]="N.A.",0,dArmadura(viavelHC[[#This Row],[nE]],viavelHC[[#This Row],[Ø (cm)]],viavelHC[[#This Row],[e (cm)]],viavelHC[[#This Row],[a (cm)]],viavelHC[[#This Row],[h (cm)]],viavelHC[[#Headers],[Asp,face]],viavelHC[[#This Row],[Asp,face]]))</f>
        <v>10</v>
      </c>
      <c r="AY5" s="12">
        <f ca="1">IF(viavelHC[[#This Row],[Asp,face]]="N.A.",0,comprimento(viavelHC[[#This Row],[nE]],viavelHC[[#This Row],[Ø4]],viavelHC[[#This Row],[e (cm)]],viavelHC[[#This Row],[a (cm)]],viavelHC[[#This Row],[h (cm)]],viavelHC[[#Headers],[Asp,face]]))</f>
        <v>1185</v>
      </c>
      <c r="AZ5" s="12" t="str">
        <f ca="1">IF(viavelHC[[#This Row],[N7]]=0,"N.A.",viavelHC[[#This Row],[N7]]&amp;" Ø"&amp;viavelHC[[#This Row],[Ø7]]&amp;"mm C="&amp;viavelHC[[#This Row],[C7]]&amp;"cm")</f>
        <v>13 Ø10mm C=1185cm</v>
      </c>
    </row>
    <row r="6" spans="2:52" x14ac:dyDescent="0.25">
      <c r="B6" s="1">
        <f>COUNTIF($C$4:C5,viavelHC[[#This Row],[Pilar]])+1</f>
        <v>2</v>
      </c>
      <c r="C6" s="16">
        <f>ROUNDDOWN((COUNTA($C$4:C5)-1)/3,0)+1</f>
        <v>1</v>
      </c>
      <c r="D6" s="16" t="str">
        <f ca="1">opcao($B$2,viavelHC[[#This Row],[Pilar]],viavelHC[[#This Row],[Opção]])</f>
        <v>3 Ø60cm Prof. 13 m</v>
      </c>
      <c r="E6" s="12">
        <f>INDEX(PILARES[],MATCH(viavelHC[[#This Row],[Pilar]],PILARES[Pilar],0),MATCH(viavelHC[[#Headers],[ap (cm)]],PILARES[#Headers],0))</f>
        <v>60</v>
      </c>
      <c r="F6" s="12">
        <f>INDEX(PILARES[],MATCH(viavelHC[[#This Row],[Pilar]],PILARES[Pilar],0),MATCH(viavelHC[[#Headers],[bp (cm)]],PILARES[#Headers],0))</f>
        <v>60</v>
      </c>
      <c r="G6" s="12">
        <f ca="1">IF(viavelHC[[#This Row],[idDimensionamento]]="",0,INDEX(HC[],MATCH(viavelHC[[#This Row],[Pilar]]&amp;viavelHC[[#This Row],[idDimensionamento]],HC[idPilar,idDimensionamento],0),MATCH(viavelHC[[#Headers],[nE]],HC[#Headers],0)))</f>
        <v>3</v>
      </c>
      <c r="H6" s="12">
        <f ca="1">INDEX(HC[],MATCH(viavelHC[[#This Row],[Pilar]]&amp;viavelHC[[#This Row],[idDimensionamento]],HC[idPilar,idDimensionamento],0),MATCH(viavelHC[[#Headers],[Ø (cm)]],HC[#Headers],0))</f>
        <v>60</v>
      </c>
      <c r="I6" s="4">
        <f ca="1">INDEX(HC[],MATCH(viavelHC[[#This Row],[Pilar]]&amp;viavelHC[[#This Row],[idDimensionamento]],HC[idPilar,idDimensionamento],0),MATCH("As,mín (cm²)",HC[#Headers],0))</f>
        <v>11.309733552923255</v>
      </c>
      <c r="J6" s="12">
        <f ca="1">IF(viavelHC[[#This Row],[idDimensionamento]]="",0,6)</f>
        <v>6</v>
      </c>
      <c r="K6" s="5">
        <f ca="1">IF(viavelHC[[#This Row],[idDimensionamento]]="",0,INDEX(areaAco[],MATCH(10*SQRT(viavelHC[[#This Row],[As,mín]]*4/(viavelHC[[#This Row],[N]]*PI())),areaAco[Ø\QNTD],1)+1,1))</f>
        <v>16</v>
      </c>
      <c r="L6" s="12">
        <f ca="1">IF(viavelHC[[#This Row],[idDimensionamento]]="",0,INDEX(HC[],MATCH(viavelHC[[#This Row],[Pilar]]&amp;viavelHC[[#This Row],[idDimensionamento]],HC[idPilar,idDimensionamento],0),MATCH("Comprimento (m)",HC[#Headers],0))*100)</f>
        <v>400</v>
      </c>
      <c r="M6" s="12" t="str">
        <f ca="1">IF(viavelHC[[#This Row],[N]]=0,"N.A.",viavelHC[[#This Row],[N]]&amp;" Ø"&amp;viavelHC[[#This Row],[Ø]]&amp;"mm C="&amp;viavelHC[[#This Row],[C]]&amp;"cm")</f>
        <v>6 Ø16mm C=400cm</v>
      </c>
      <c r="N6" s="5">
        <f ca="1">viavelHC[[#This Row],[nE]]*viavelHC[[#This Row],[N]]*(PI()*(viavelHC[[#This Row],[Ø]]/10)^2/4*viavelHC[[#This Row],[C]])/100^3*7850</f>
        <v>113.64020273977287</v>
      </c>
      <c r="O6" s="5">
        <f ca="1">INDEX(HC[],MATCH(viavelHC[[#This Row],[Pilar]]&amp;viavelHC[[#This Row],[idDimensionamento]],HC[idPilar,idDimensionamento],0),MATCH(viavelHC[[#Headers],[e (cm)]],HC[#Headers],0))</f>
        <v>180</v>
      </c>
      <c r="P6" s="5">
        <f ca="1">INDEX(HC[],MATCH(viavelHC[[#This Row],[Pilar]]&amp;viavelHC[[#This Row],[idDimensionamento]],HC[idPilar,idDimensionamento],0),MATCH(viavelHC[[#Headers],[a (cm)]],HC[#Headers],0))</f>
        <v>90</v>
      </c>
      <c r="Q6" s="5">
        <f ca="1">INDEX(HC[],MATCH(viavelHC[[#This Row],[Pilar]]&amp;viavelHC[[#This Row],[idDimensionamento]],HC[idPilar,idDimensionamento],0),MATCH(viavelHC[[#Headers],[h (cm)]],HC[#Headers],0))</f>
        <v>90</v>
      </c>
      <c r="R6" s="4">
        <f ca="1">IF(viavelHC[[#This Row],[idDimensionamento]]="","N.A.",INDEX(HC[],MATCH(viavelHC[[#This Row],[Pilar]]&amp;viavelHC[[#This Row],[idDimensionamento]],HC[idPilar,idDimensionamento],0),MATCH("As,lado (cm²)",HC[#Headers],0)))</f>
        <v>17.748530933085476</v>
      </c>
      <c r="S6" s="12">
        <f ca="1">IF(viavelHC[[#This Row],[As,lado]]="N.A.",0,IF(viavelHC[[#This Row],[nE]]=1,ROUNDUP(viavelHC[[#This Row],[As,lado]]/(PI()*(viavelHC[[#This Row],[Ø1]]/10)^2/4)/2,0),ROUNDUP(viavelHC[[#This Row],[As,lado]]/(PI()*(viavelHC[[#This Row],[Ø1]]/10)^2/4),0)))</f>
        <v>9</v>
      </c>
      <c r="T6" s="5">
        <f ca="1">IF(viavelHC[[#This Row],[As,lado]]="N.A.",0,dArmadura(viavelHC[[#This Row],[nE]],viavelHC[[#This Row],[Ø (cm)]],viavelHC[[#This Row],[e (cm)]],viavelHC[[#This Row],[a (cm)]],viavelHC[[#This Row],[h (cm)]],viavelHC[[#Headers],[As,lado]],viavelHC[[#This Row],[As,lado]]))</f>
        <v>16</v>
      </c>
      <c r="U6" s="12">
        <f ca="1">IF(viavelHC[[#This Row],[As,lado]]="N.A.",0,comprimento(viavelHC[[#This Row],[nE]],viavelHC[[#This Row],[Ø1]],viavelHC[[#This Row],[e (cm)]],viavelHC[[#This Row],[a (cm)]],viavelHC[[#This Row],[h (cm)]],viavelHC[[#Headers],[As,lado]]))</f>
        <v>470</v>
      </c>
      <c r="V6" s="12" t="str">
        <f ca="1">IF(viavelHC[[#This Row],[N1]]=0,"N.A.",viavelHC[[#This Row],[N1]]&amp;" Ø"&amp;viavelHC[[#This Row],[Ø1]]&amp;"mm C="&amp;viavelHC[[#This Row],[C1]]&amp;"cm")</f>
        <v>9 Ø16mm C=470cm</v>
      </c>
      <c r="W6" s="4" t="str">
        <f ca="1">IF(viavelHC[[#This Row],[idDimensionamento]]="","N.A.",INDEX(HC[],MATCH(viavelHC[[#This Row],[Pilar]]&amp;viavelHC[[#This Row],[idDimensionamento]],HC[idPilar,idDimensionamento],0),MATCH("Asp e Asw (cm²/m)",HC[#Headers],0)))</f>
        <v>N.A.</v>
      </c>
      <c r="X6" s="12">
        <f ca="1">IF(viavelHC[[#This Row],[Asp]]="N.A.",0,ROUNDUP(viavelHC[[#This Row],[Asp]]/(PI()*(viavelHC[[#This Row],[Ø2]]/10)^2/4)/2,0))</f>
        <v>0</v>
      </c>
      <c r="Y6" s="5">
        <f ca="1">IF(viavelHC[[#This Row],[Asp]]="N.A.",0,dArmadura(viavelHC[[#This Row],[nE]],viavelHC[[#This Row],[Ø (cm)]],viavelHC[[#This Row],[e (cm)]],viavelHC[[#This Row],[a (cm)]],viavelHC[[#This Row],[h (cm)]],viavelHC[[#Headers],[Asp]],viavelHC[[#This Row],[Asp]]))</f>
        <v>0</v>
      </c>
      <c r="Z6" s="12">
        <f ca="1">IF(viavelHC[[#This Row],[Asp]]="N.A.",0,comprimento(viavelHC[[#This Row],[nE]],viavelHC[[#This Row],[Ø2]],viavelHC[[#This Row],[e (cm)]],viavelHC[[#This Row],[a (cm)]],viavelHC[[#This Row],[h (cm)]],viavelHC[[#Headers],[Asp]]))</f>
        <v>0</v>
      </c>
      <c r="AA6" s="12" t="str">
        <f ca="1">IF(viavelHC[[#This Row],[N2]]=0,"N.A.",viavelHC[[#This Row],[N2]]&amp;" Ø"&amp;viavelHC[[#This Row],[Ø2]]&amp;"mm C="&amp;viavelHC[[#This Row],[C2]]&amp;"cm")</f>
        <v>N.A.</v>
      </c>
      <c r="AB6" s="4" t="str">
        <f ca="1">viavelHC[[#This Row],[Asp]]</f>
        <v>N.A.</v>
      </c>
      <c r="AC6" s="12">
        <f ca="1">IF(viavelHC[[#This Row],[Asw]]="N.A.",0,ROUNDUP(viavelHC[[#This Row],[Asw]]/(PI()*(viavelHC[[#This Row],[Ø3]]/10)^2/4)/2,0))</f>
        <v>0</v>
      </c>
      <c r="AD6" s="5">
        <f ca="1">IF(viavelHC[[#This Row],[Asw]]="N.A.",0,dArmadura(viavelHC[[#This Row],[nE]],viavelHC[[#This Row],[Ø (cm)]],viavelHC[[#This Row],[e (cm)]],viavelHC[[#This Row],[a (cm)]],viavelHC[[#This Row],[h (cm)]],viavelHC[[#Headers],[Asw]],viavelHC[[#This Row],[Asw]]))</f>
        <v>0</v>
      </c>
      <c r="AE6" s="12">
        <f ca="1">IF(viavelHC[[#This Row],[Asw]]="N.A.",0,comprimento(viavelHC[[#This Row],[nE]],viavelHC[[#This Row],[Ø3]],viavelHC[[#This Row],[e (cm)]],viavelHC[[#This Row],[a (cm)]],viavelHC[[#This Row],[h (cm)]],viavelHC[[#Headers],[Asw]]))</f>
        <v>0</v>
      </c>
      <c r="AF6" s="12" t="str">
        <f ca="1">IF(viavelHC[[#This Row],[N3]]=0,"N.A.",viavelHC[[#This Row],[N3]]&amp;" Ø"&amp;viavelHC[[#This Row],[Ø3]]&amp;"mm C="&amp;viavelHC[[#This Row],[C3]]&amp;"cm")</f>
        <v>N.A.</v>
      </c>
      <c r="AG6" s="4">
        <f ca="1">IF(viavelHC[[#This Row],[idDimensionamento]]="","N.A.",INDEX(HC[],MATCH(viavelHC[[#This Row],[Pilar]]&amp;viavelHC[[#This Row],[idDimensionamento]],HC[idPilar,idDimensionamento],0),MATCH("As,sup (cm²)",HC[#Headers],0)))</f>
        <v>3.5497061866170956</v>
      </c>
      <c r="AH6" s="12">
        <f ca="1">IF(viavelHC[[#This Row],[As,sup]]="N.A.",0,ROUNDUP(viavelHC[[#This Row],[As,sup]]/(PI()*(viavelHC[[#This Row],[Ø4]]/10)^2/4),0))</f>
        <v>1</v>
      </c>
      <c r="AI6" s="5">
        <f ca="1">IF(viavelHC[[#This Row],[As,sup]]="N.A.",0,dArmadura(viavelHC[[#This Row],[nE]],viavelHC[[#This Row],[Ø (cm)]],viavelHC[[#This Row],[e (cm)]],viavelHC[[#This Row],[a (cm)]],viavelHC[[#This Row],[h (cm)]],viavelHC[[#Headers],[As,sup]],viavelHC[[#This Row],[As,sup]]))</f>
        <v>22</v>
      </c>
      <c r="AJ6" s="12">
        <f ca="1">IF(viavelHC[[#This Row],[As,sup]]="N.A.",0,comprimento(viavelHC[[#This Row],[nE]],viavelHC[[#This Row],[Ø4]],viavelHC[[#This Row],[e (cm)]],viavelHC[[#This Row],[a (cm)]],viavelHC[[#This Row],[h (cm)]],viavelHC[[#Headers],[As,sup]]))</f>
        <v>360</v>
      </c>
      <c r="AK6" s="12" t="str">
        <f ca="1">IF(viavelHC[[#This Row],[N4]]=0,"N.A.",viavelHC[[#This Row],[N4]]&amp;" Ø"&amp;viavelHC[[#This Row],[Ø4]]&amp;"mm C="&amp;viavelHC[[#This Row],[C4]]&amp;"cm")</f>
        <v>1 Ø22mm C=360cm</v>
      </c>
      <c r="AL6" s="4">
        <f ca="1">IF(viavelHC[[#This Row],[idDimensionamento]]="","N.A.",INDEX(HC[],MATCH(viavelHC[[#This Row],[Pilar]]&amp;viavelHC[[#This Row],[idDimensionamento]],HC[idPilar,idDimensionamento],0),MATCH("As,malha (cm²)",HC[#Headers],0)))</f>
        <v>5.9629629629629619</v>
      </c>
      <c r="AM6" s="12">
        <f ca="1">IF(viavelHC[[#This Row],[As,malha]]="N.A.",0,ROUNDUP(viavelHC[[#This Row],[As,malha]]/(PI()*(viavelHC[[#This Row],[Ø5]]/10)^2/4),0))</f>
        <v>20</v>
      </c>
      <c r="AN6" s="5">
        <f ca="1">IF(viavelHC[[#This Row],[As,malha]]="N.A.",0,dArmadura(viavelHC[[#This Row],[nE]],viavelHC[[#This Row],[Ø (cm)]],viavelHC[[#This Row],[e (cm)]],viavelHC[[#This Row],[a (cm)]],viavelHC[[#This Row],[h (cm)]],viavelHC[[#Headers],[As,malha]],viavelHC[[#This Row],[As,malha]]))</f>
        <v>6.3</v>
      </c>
      <c r="AO6" s="12">
        <f ca="1">IF(viavelHC[[#This Row],[As,malha]]="N.A.",0,comprimento(viavelHC[[#This Row],[nE]],viavelHC[[#This Row],[Ø4]],viavelHC[[#This Row],[e (cm)]],viavelHC[[#This Row],[a (cm)]],viavelHC[[#This Row],[h (cm)]],viavelHC[[#Headers],[As,malha]]))</f>
        <v>360</v>
      </c>
      <c r="AP6" s="12" t="str">
        <f ca="1">IF(viavelHC[[#This Row],[N5]]=0,"N.A.",viavelHC[[#This Row],[N5]]&amp;" Ø"&amp;viavelHC[[#This Row],[Ø5]]&amp;"mm C="&amp;viavelHC[[#This Row],[C5]]&amp;"cm")</f>
        <v>20 Ø6,3mm C=360cm</v>
      </c>
      <c r="AQ6" s="4">
        <f ca="1">IF(viavelHC[[#This Row],[idDimensionamento]]="","N.A.",INDEX(HC[],MATCH(viavelHC[[#This Row],[Pilar]]&amp;viavelHC[[#This Row],[idDimensionamento]],HC[idPilar,idDimensionamento],0),MATCH("As,susp,tot (cm²)",HC[#Headers],0)))</f>
        <v>17.888888888888886</v>
      </c>
      <c r="AR6" s="12">
        <f ca="1">IF(viavelHC[[#This Row],[As,susp,tot]]="N.A.",0,ROUNDUP(viavelHC[[#This Row],[As,susp,tot]]/(PI()*(viavelHC[[#This Row],[Ø6]]/10)^2/4),0))</f>
        <v>36</v>
      </c>
      <c r="AS6" s="5">
        <f ca="1">IF(viavelHC[[#This Row],[As,susp,tot]]="N.A.",0,dArmadura(viavelHC[[#This Row],[nE]],viavelHC[[#This Row],[Ø (cm)]],viavelHC[[#This Row],[e (cm)]],viavelHC[[#This Row],[a (cm)]],viavelHC[[#This Row],[h (cm)]],viavelHC[[#Headers],[As,susp,tot]],viavelHC[[#This Row],[As,susp,tot]]))</f>
        <v>8</v>
      </c>
      <c r="AT6" s="12">
        <f ca="1">IF(viavelHC[[#This Row],[As,susp,tot]]="N.A.",0,comprimento(viavelHC[[#This Row],[nE]],viavelHC[[#This Row],[Ø4]],viavelHC[[#This Row],[e (cm)]],viavelHC[[#This Row],[a (cm)]],viavelHC[[#This Row],[h (cm)]],viavelHC[[#Headers],[As,susp,tot]]))</f>
        <v>85</v>
      </c>
      <c r="AU6" s="12" t="str">
        <f ca="1">IF(viavelHC[[#This Row],[N6]]=0,"N.A.",viavelHC[[#This Row],[N6]]&amp;" Ø"&amp;viavelHC[[#This Row],[Ø6]]&amp;"mm C="&amp;viavelHC[[#This Row],[C6]]&amp;"cm")</f>
        <v>36 Ø8mm C=85cm</v>
      </c>
      <c r="AV6" s="4">
        <f ca="1">IF(viavelHC[[#This Row],[idDimensionamento]]="","N.A.",INDEX(HC[],MATCH(viavelHC[[#This Row],[Pilar]]&amp;viavelHC[[#This Row],[idDimensionamento]],HC[idPilar,idDimensionamento],0),MATCH("Asp,face (cm²)",HC[#Headers],0)))</f>
        <v>6.6556990999070536</v>
      </c>
      <c r="AW6" s="12">
        <f ca="1">IF(viavelHC[[#This Row],[Asp,face]]="N.A.",0,ROUNDUP(viavelHC[[#This Row],[Asp,face]]/(PI()*(viavelHC[[#This Row],[Ø7]]/10)^2/4),0))</f>
        <v>9</v>
      </c>
      <c r="AX6" s="5">
        <f ca="1">IF(viavelHC[[#This Row],[Asp,face]]="N.A.",0,dArmadura(viavelHC[[#This Row],[nE]],viavelHC[[#This Row],[Ø (cm)]],viavelHC[[#This Row],[e (cm)]],viavelHC[[#This Row],[a (cm)]],viavelHC[[#This Row],[h (cm)]],viavelHC[[#Headers],[Asp,face]],viavelHC[[#This Row],[Asp,face]]))</f>
        <v>10</v>
      </c>
      <c r="AY6" s="12">
        <f ca="1">IF(viavelHC[[#This Row],[Asp,face]]="N.A.",0,comprimento(viavelHC[[#This Row],[nE]],viavelHC[[#This Row],[Ø4]],viavelHC[[#This Row],[e (cm)]],viavelHC[[#This Row],[a (cm)]],viavelHC[[#This Row],[h (cm)]],viavelHC[[#Headers],[Asp,face]]))</f>
        <v>510</v>
      </c>
      <c r="AZ6" s="12" t="str">
        <f ca="1">IF(viavelHC[[#This Row],[N7]]=0,"N.A.",viavelHC[[#This Row],[N7]]&amp;" Ø"&amp;viavelHC[[#This Row],[Ø7]]&amp;"mm C="&amp;viavelHC[[#This Row],[C7]]&amp;"cm")</f>
        <v>9 Ø10mm C=510cm</v>
      </c>
    </row>
    <row r="7" spans="2:52" x14ac:dyDescent="0.25">
      <c r="B7" s="1">
        <f>COUNTIF($C$4:C6,viavelHC[[#This Row],[Pilar]])+1</f>
        <v>3</v>
      </c>
      <c r="C7" s="16">
        <f>ROUNDDOWN((COUNTA($C$4:C6)-1)/3,0)+1</f>
        <v>1</v>
      </c>
      <c r="D7" s="16" t="str">
        <f ca="1">opcao($B$2,viavelHC[[#This Row],[Pilar]],viavelHC[[#This Row],[Opção]])</f>
        <v>4 Ø60cm Prof. 12 m</v>
      </c>
      <c r="E7" s="12">
        <f>INDEX(PILARES[],MATCH(viavelHC[[#This Row],[Pilar]],PILARES[Pilar],0),MATCH(viavelHC[[#Headers],[ap (cm)]],PILARES[#Headers],0))</f>
        <v>60</v>
      </c>
      <c r="F7" s="12">
        <f>INDEX(PILARES[],MATCH(viavelHC[[#This Row],[Pilar]],PILARES[Pilar],0),MATCH(viavelHC[[#Headers],[bp (cm)]],PILARES[#Headers],0))</f>
        <v>60</v>
      </c>
      <c r="G7" s="12">
        <f ca="1">IF(viavelHC[[#This Row],[idDimensionamento]]="",0,INDEX(HC[],MATCH(viavelHC[[#This Row],[Pilar]]&amp;viavelHC[[#This Row],[idDimensionamento]],HC[idPilar,idDimensionamento],0),MATCH(viavelHC[[#Headers],[nE]],HC[#Headers],0)))</f>
        <v>4</v>
      </c>
      <c r="H7" s="12">
        <f ca="1">INDEX(HC[],MATCH(viavelHC[[#This Row],[Pilar]]&amp;viavelHC[[#This Row],[idDimensionamento]],HC[idPilar,idDimensionamento],0),MATCH(viavelHC[[#Headers],[Ø (cm)]],HC[#Headers],0))</f>
        <v>60</v>
      </c>
      <c r="I7" s="4">
        <f ca="1">INDEX(HC[],MATCH(viavelHC[[#This Row],[Pilar]]&amp;viavelHC[[#This Row],[idDimensionamento]],HC[idPilar,idDimensionamento],0),MATCH("As,mín (cm²)",HC[#Headers],0))</f>
        <v>11.309733552923255</v>
      </c>
      <c r="J7" s="12">
        <f ca="1">IF(viavelHC[[#This Row],[idDimensionamento]]="",0,6)</f>
        <v>6</v>
      </c>
      <c r="K7" s="5">
        <f ca="1">IF(viavelHC[[#This Row],[idDimensionamento]]="",0,INDEX(areaAco[],MATCH(10*SQRT(viavelHC[[#This Row],[As,mín]]*4/(viavelHC[[#This Row],[N]]*PI())),areaAco[Ø\QNTD],1)+1,1))</f>
        <v>16</v>
      </c>
      <c r="L7" s="12">
        <f ca="1">IF(viavelHC[[#This Row],[idDimensionamento]]="",0,INDEX(HC[],MATCH(viavelHC[[#This Row],[Pilar]]&amp;viavelHC[[#This Row],[idDimensionamento]],HC[idPilar,idDimensionamento],0),MATCH("Comprimento (m)",HC[#Headers],0))*100)</f>
        <v>400</v>
      </c>
      <c r="M7" s="12" t="str">
        <f ca="1">IF(viavelHC[[#This Row],[N]]=0,"N.A.",viavelHC[[#This Row],[N]]&amp;" Ø"&amp;viavelHC[[#This Row],[Ø]]&amp;"mm C="&amp;viavelHC[[#This Row],[C]]&amp;"cm")</f>
        <v>6 Ø16mm C=400cm</v>
      </c>
      <c r="N7" s="5">
        <f ca="1">viavelHC[[#This Row],[nE]]*viavelHC[[#This Row],[N]]*(PI()*(viavelHC[[#This Row],[Ø]]/10)^2/4*viavelHC[[#This Row],[C]])/100^3*7850</f>
        <v>151.52027031969718</v>
      </c>
      <c r="O7" s="5">
        <f ca="1">INDEX(HC[],MATCH(viavelHC[[#This Row],[Pilar]]&amp;viavelHC[[#This Row],[idDimensionamento]],HC[idPilar,idDimensionamento],0),MATCH(viavelHC[[#Headers],[e (cm)]],HC[#Headers],0))</f>
        <v>180</v>
      </c>
      <c r="P7" s="5">
        <f ca="1">INDEX(HC[],MATCH(viavelHC[[#This Row],[Pilar]]&amp;viavelHC[[#This Row],[idDimensionamento]],HC[idPilar,idDimensionamento],0),MATCH(viavelHC[[#Headers],[a (cm)]],HC[#Headers],0))</f>
        <v>90</v>
      </c>
      <c r="Q7" s="5">
        <f ca="1">INDEX(HC[],MATCH(viavelHC[[#This Row],[Pilar]]&amp;viavelHC[[#This Row],[idDimensionamento]],HC[idPilar,idDimensionamento],0),MATCH(viavelHC[[#Headers],[h (cm)]],HC[#Headers],0))</f>
        <v>90</v>
      </c>
      <c r="R7" s="4">
        <f ca="1">IF(viavelHC[[#This Row],[idDimensionamento]]="","N.A.",INDEX(HC[],MATCH(viavelHC[[#This Row],[Pilar]]&amp;viavelHC[[#This Row],[idDimensionamento]],HC[idPilar,idDimensionamento],0),MATCH("As,lado (cm²)",HC[#Headers],0)))</f>
        <v>20.125</v>
      </c>
      <c r="S7" s="12">
        <f ca="1">IF(viavelHC[[#This Row],[As,lado]]="N.A.",0,IF(viavelHC[[#This Row],[nE]]=1,ROUNDUP(viavelHC[[#This Row],[As,lado]]/(PI()*(viavelHC[[#This Row],[Ø1]]/10)^2/4)/2,0),ROUNDUP(viavelHC[[#This Row],[As,lado]]/(PI()*(viavelHC[[#This Row],[Ø1]]/10)^2/4),0)))</f>
        <v>7</v>
      </c>
      <c r="T7" s="5">
        <f ca="1">IF(viavelHC[[#This Row],[As,lado]]="N.A.",0,dArmadura(viavelHC[[#This Row],[nE]],viavelHC[[#This Row],[Ø (cm)]],viavelHC[[#This Row],[e (cm)]],viavelHC[[#This Row],[a (cm)]],viavelHC[[#This Row],[h (cm)]],viavelHC[[#Headers],[As,lado]],viavelHC[[#This Row],[As,lado]]))</f>
        <v>20</v>
      </c>
      <c r="U7" s="12">
        <f ca="1">IF(viavelHC[[#This Row],[As,lado]]="N.A.",0,comprimento(viavelHC[[#This Row],[nE]],viavelHC[[#This Row],[Ø1]],viavelHC[[#This Row],[e (cm)]],viavelHC[[#This Row],[a (cm)]],viavelHC[[#This Row],[h (cm)]],viavelHC[[#Headers],[As,lado]]))</f>
        <v>490</v>
      </c>
      <c r="V7" s="12" t="str">
        <f ca="1">IF(viavelHC[[#This Row],[N1]]=0,"N.A.",viavelHC[[#This Row],[N1]]&amp;" Ø"&amp;viavelHC[[#This Row],[Ø1]]&amp;"mm C="&amp;viavelHC[[#This Row],[C1]]&amp;"cm")</f>
        <v>7 Ø20mm C=490cm</v>
      </c>
      <c r="W7" s="4" t="str">
        <f ca="1">IF(viavelHC[[#This Row],[idDimensionamento]]="","N.A.",INDEX(HC[],MATCH(viavelHC[[#This Row],[Pilar]]&amp;viavelHC[[#This Row],[idDimensionamento]],HC[idPilar,idDimensionamento],0),MATCH("Asp e Asw (cm²/m)",HC[#Headers],0)))</f>
        <v>N.A.</v>
      </c>
      <c r="X7" s="12">
        <f ca="1">IF(viavelHC[[#This Row],[Asp]]="N.A.",0,ROUNDUP(viavelHC[[#This Row],[Asp]]/(PI()*(viavelHC[[#This Row],[Ø2]]/10)^2/4)/2,0))</f>
        <v>0</v>
      </c>
      <c r="Y7" s="5">
        <f ca="1">IF(viavelHC[[#This Row],[Asp]]="N.A.",0,dArmadura(viavelHC[[#This Row],[nE]],viavelHC[[#This Row],[Ø (cm)]],viavelHC[[#This Row],[e (cm)]],viavelHC[[#This Row],[a (cm)]],viavelHC[[#This Row],[h (cm)]],viavelHC[[#Headers],[Asp]],viavelHC[[#This Row],[Asp]]))</f>
        <v>0</v>
      </c>
      <c r="Z7" s="12">
        <f ca="1">IF(viavelHC[[#This Row],[Asp]]="N.A.",0,comprimento(viavelHC[[#This Row],[nE]],viavelHC[[#This Row],[Ø2]],viavelHC[[#This Row],[e (cm)]],viavelHC[[#This Row],[a (cm)]],viavelHC[[#This Row],[h (cm)]],viavelHC[[#Headers],[Asp]]))</f>
        <v>0</v>
      </c>
      <c r="AA7" s="12" t="str">
        <f ca="1">IF(viavelHC[[#This Row],[N2]]=0,"N.A.",viavelHC[[#This Row],[N2]]&amp;" Ø"&amp;viavelHC[[#This Row],[Ø2]]&amp;"mm C="&amp;viavelHC[[#This Row],[C2]]&amp;"cm")</f>
        <v>N.A.</v>
      </c>
      <c r="AB7" s="4" t="str">
        <f ca="1">viavelHC[[#This Row],[Asp]]</f>
        <v>N.A.</v>
      </c>
      <c r="AC7" s="12">
        <f ca="1">IF(viavelHC[[#This Row],[Asw]]="N.A.",0,ROUNDUP(viavelHC[[#This Row],[Asw]]/(PI()*(viavelHC[[#This Row],[Ø3]]/10)^2/4)/2,0))</f>
        <v>0</v>
      </c>
      <c r="AD7" s="5">
        <f ca="1">IF(viavelHC[[#This Row],[Asw]]="N.A.",0,dArmadura(viavelHC[[#This Row],[nE]],viavelHC[[#This Row],[Ø (cm)]],viavelHC[[#This Row],[e (cm)]],viavelHC[[#This Row],[a (cm)]],viavelHC[[#This Row],[h (cm)]],viavelHC[[#Headers],[Asw]],viavelHC[[#This Row],[Asw]]))</f>
        <v>0</v>
      </c>
      <c r="AE7" s="12">
        <f ca="1">IF(viavelHC[[#This Row],[Asw]]="N.A.",0,comprimento(viavelHC[[#This Row],[nE]],viavelHC[[#This Row],[Ø3]],viavelHC[[#This Row],[e (cm)]],viavelHC[[#This Row],[a (cm)]],viavelHC[[#This Row],[h (cm)]],viavelHC[[#Headers],[Asw]]))</f>
        <v>0</v>
      </c>
      <c r="AF7" s="12" t="str">
        <f ca="1">IF(viavelHC[[#This Row],[N3]]=0,"N.A.",viavelHC[[#This Row],[N3]]&amp;" Ø"&amp;viavelHC[[#This Row],[Ø3]]&amp;"mm C="&amp;viavelHC[[#This Row],[C3]]&amp;"cm")</f>
        <v>N.A.</v>
      </c>
      <c r="AG7" s="4">
        <f ca="1">IF(viavelHC[[#This Row],[idDimensionamento]]="","N.A.",INDEX(HC[],MATCH(viavelHC[[#This Row],[Pilar]]&amp;viavelHC[[#This Row],[idDimensionamento]],HC[idPilar,idDimensionamento],0),MATCH("As,sup (cm²)",HC[#Headers],0)))</f>
        <v>4.0250000000000004</v>
      </c>
      <c r="AH7" s="12">
        <f ca="1">IF(viavelHC[[#This Row],[As,sup]]="N.A.",0,ROUNDUP(viavelHC[[#This Row],[As,sup]]/(PI()*(viavelHC[[#This Row],[Ø4]]/10)^2/4),0))</f>
        <v>1</v>
      </c>
      <c r="AI7" s="5">
        <f ca="1">IF(viavelHC[[#This Row],[As,sup]]="N.A.",0,dArmadura(viavelHC[[#This Row],[nE]],viavelHC[[#This Row],[Ø (cm)]],viavelHC[[#This Row],[e (cm)]],viavelHC[[#This Row],[a (cm)]],viavelHC[[#This Row],[h (cm)]],viavelHC[[#Headers],[As,sup]],viavelHC[[#This Row],[As,sup]]))</f>
        <v>25</v>
      </c>
      <c r="AJ7" s="12">
        <f ca="1">IF(viavelHC[[#This Row],[As,sup]]="N.A.",0,comprimento(viavelHC[[#This Row],[nE]],viavelHC[[#This Row],[Ø4]],viavelHC[[#This Row],[e (cm)]],viavelHC[[#This Row],[a (cm)]],viavelHC[[#This Row],[h (cm)]],viavelHC[[#Headers],[As,sup]]))</f>
        <v>355</v>
      </c>
      <c r="AK7" s="12" t="str">
        <f ca="1">IF(viavelHC[[#This Row],[N4]]=0,"N.A.",viavelHC[[#This Row],[N4]]&amp;" Ø"&amp;viavelHC[[#This Row],[Ø4]]&amp;"mm C="&amp;viavelHC[[#This Row],[C4]]&amp;"cm")</f>
        <v>1 Ø25mm C=355cm</v>
      </c>
      <c r="AL7" s="4">
        <f ca="1">IF(viavelHC[[#This Row],[idDimensionamento]]="","N.A.",INDEX(HC[],MATCH(viavelHC[[#This Row],[Pilar]]&amp;viavelHC[[#This Row],[idDimensionamento]],HC[idPilar,idDimensionamento],0),MATCH("As,malha (cm²)",HC[#Headers],0)))</f>
        <v>4.0250000000000004</v>
      </c>
      <c r="AM7" s="12">
        <f ca="1">IF(viavelHC[[#This Row],[As,malha]]="N.A.",0,ROUNDUP(viavelHC[[#This Row],[As,malha]]/(PI()*(viavelHC[[#This Row],[Ø5]]/10)^2/4),0))</f>
        <v>1</v>
      </c>
      <c r="AN7" s="5">
        <f ca="1">IF(viavelHC[[#This Row],[As,malha]]="N.A.",0,dArmadura(viavelHC[[#This Row],[nE]],viavelHC[[#This Row],[Ø (cm)]],viavelHC[[#This Row],[e (cm)]],viavelHC[[#This Row],[a (cm)]],viavelHC[[#This Row],[h (cm)]],viavelHC[[#Headers],[As,malha]],viavelHC[[#This Row],[As,malha]]))</f>
        <v>25</v>
      </c>
      <c r="AO7" s="12">
        <f ca="1">IF(viavelHC[[#This Row],[As,malha]]="N.A.",0,comprimento(viavelHC[[#This Row],[nE]],viavelHC[[#This Row],[Ø4]],viavelHC[[#This Row],[e (cm)]],viavelHC[[#This Row],[a (cm)]],viavelHC[[#This Row],[h (cm)]],viavelHC[[#Headers],[As,malha]]))</f>
        <v>525</v>
      </c>
      <c r="AP7" s="12" t="str">
        <f ca="1">IF(viavelHC[[#This Row],[N5]]=0,"N.A.",viavelHC[[#This Row],[N5]]&amp;" Ø"&amp;viavelHC[[#This Row],[Ø5]]&amp;"mm C="&amp;viavelHC[[#This Row],[C5]]&amp;"cm")</f>
        <v>1 Ø25mm C=525cm</v>
      </c>
      <c r="AQ7" s="4">
        <f ca="1">IF(viavelHC[[#This Row],[idDimensionamento]]="","N.A.",INDEX(HC[],MATCH(viavelHC[[#This Row],[Pilar]]&amp;viavelHC[[#This Row],[idDimensionamento]],HC[idPilar,idDimensionamento],0),MATCH("As,susp,tot (cm²)",HC[#Headers],0)))</f>
        <v>13.416666666666666</v>
      </c>
      <c r="AR7" s="12">
        <f ca="1">IF(viavelHC[[#This Row],[As,susp,tot]]="N.A.",0,ROUNDUP(viavelHC[[#This Row],[As,susp,tot]]/(PI()*(viavelHC[[#This Row],[Ø6]]/10)^2/4),0))</f>
        <v>44</v>
      </c>
      <c r="AS7" s="5">
        <f ca="1">IF(viavelHC[[#This Row],[As,susp,tot]]="N.A.",0,dArmadura(viavelHC[[#This Row],[nE]],viavelHC[[#This Row],[Ø (cm)]],viavelHC[[#This Row],[e (cm)]],viavelHC[[#This Row],[a (cm)]],viavelHC[[#This Row],[h (cm)]],viavelHC[[#Headers],[As,susp,tot]],viavelHC[[#This Row],[As,susp,tot]]))</f>
        <v>6.3</v>
      </c>
      <c r="AT7" s="12">
        <f ca="1">IF(viavelHC[[#This Row],[As,susp,tot]]="N.A.",0,comprimento(viavelHC[[#This Row],[nE]],viavelHC[[#This Row],[Ø4]],viavelHC[[#This Row],[e (cm)]],viavelHC[[#This Row],[a (cm)]],viavelHC[[#This Row],[h (cm)]],viavelHC[[#Headers],[As,susp,tot]]))</f>
        <v>255</v>
      </c>
      <c r="AU7" s="12" t="str">
        <f ca="1">IF(viavelHC[[#This Row],[N6]]=0,"N.A.",viavelHC[[#This Row],[N6]]&amp;" Ø"&amp;viavelHC[[#This Row],[Ø6]]&amp;"mm C="&amp;viavelHC[[#This Row],[C6]]&amp;"cm")</f>
        <v>44 Ø6,3mm C=255cm</v>
      </c>
      <c r="AV7" s="4">
        <f ca="1">IF(viavelHC[[#This Row],[idDimensionamento]]="","N.A.",INDEX(HC[],MATCH(viavelHC[[#This Row],[Pilar]]&amp;viavelHC[[#This Row],[idDimensionamento]],HC[idPilar,idDimensionamento],0),MATCH("Asp,face (cm²)",HC[#Headers],0)))</f>
        <v>10.0625</v>
      </c>
      <c r="AW7" s="12">
        <f ca="1">IF(viavelHC[[#This Row],[Asp,face]]="N.A.",0,ROUNDUP(viavelHC[[#This Row],[Asp,face]]/(PI()*(viavelHC[[#This Row],[Ø7]]/10)^2/4),0))</f>
        <v>21</v>
      </c>
      <c r="AX7" s="5">
        <f ca="1">IF(viavelHC[[#This Row],[Asp,face]]="N.A.",0,dArmadura(viavelHC[[#This Row],[nE]],viavelHC[[#This Row],[Ø (cm)]],viavelHC[[#This Row],[e (cm)]],viavelHC[[#This Row],[a (cm)]],viavelHC[[#This Row],[h (cm)]],viavelHC[[#Headers],[Asp,face]],viavelHC[[#This Row],[Asp,face]]))</f>
        <v>8</v>
      </c>
      <c r="AY7" s="12">
        <f ca="1">IF(viavelHC[[#This Row],[Asp,face]]="N.A.",0,comprimento(viavelHC[[#This Row],[nE]],viavelHC[[#This Row],[Ø4]],viavelHC[[#This Row],[e (cm)]],viavelHC[[#This Row],[a (cm)]],viavelHC[[#This Row],[h (cm)]],viavelHC[[#Headers],[Asp,face]]))</f>
        <v>1425</v>
      </c>
      <c r="AZ7" s="12" t="str">
        <f ca="1">IF(viavelHC[[#This Row],[N7]]=0,"N.A.",viavelHC[[#This Row],[N7]]&amp;" Ø"&amp;viavelHC[[#This Row],[Ø7]]&amp;"mm C="&amp;viavelHC[[#This Row],[C7]]&amp;"cm")</f>
        <v>21 Ø8mm C=1425cm</v>
      </c>
    </row>
    <row r="8" spans="2:52" x14ac:dyDescent="0.25">
      <c r="B8" s="1">
        <f>COUNTIF($C$4:C7,viavelHC[[#This Row],[Pilar]])+1</f>
        <v>1</v>
      </c>
      <c r="C8" s="16">
        <f>ROUNDDOWN((COUNTA($C$4:C7)-1)/3,0)+1</f>
        <v>2</v>
      </c>
      <c r="D8" s="16" t="str">
        <f ca="1">opcao($B$2,viavelHC[[#This Row],[Pilar]],viavelHC[[#This Row],[Opção]])</f>
        <v>4 Ø40cm Prof. 11 m</v>
      </c>
      <c r="E8" s="12">
        <f>INDEX(PILARES[],MATCH(viavelHC[[#This Row],[Pilar]],PILARES[Pilar],0),MATCH(viavelHC[[#Headers],[ap (cm)]],PILARES[#Headers],0))</f>
        <v>50</v>
      </c>
      <c r="F8" s="12">
        <f>INDEX(PILARES[],MATCH(viavelHC[[#This Row],[Pilar]],PILARES[Pilar],0),MATCH(viavelHC[[#Headers],[bp (cm)]],PILARES[#Headers],0))</f>
        <v>40</v>
      </c>
      <c r="G8" s="12">
        <f ca="1">IF(viavelHC[[#This Row],[idDimensionamento]]="",0,INDEX(HC[],MATCH(viavelHC[[#This Row],[Pilar]]&amp;viavelHC[[#This Row],[idDimensionamento]],HC[idPilar,idDimensionamento],0),MATCH(viavelHC[[#Headers],[nE]],HC[#Headers],0)))</f>
        <v>4</v>
      </c>
      <c r="H8" s="12">
        <f ca="1">INDEX(HC[],MATCH(viavelHC[[#This Row],[Pilar]]&amp;viavelHC[[#This Row],[idDimensionamento]],HC[idPilar,idDimensionamento],0),MATCH(viavelHC[[#Headers],[Ø (cm)]],HC[#Headers],0))</f>
        <v>40</v>
      </c>
      <c r="I8" s="4">
        <f ca="1">INDEX(HC[],MATCH(viavelHC[[#This Row],[Pilar]]&amp;viavelHC[[#This Row],[idDimensionamento]],HC[idPilar,idDimensionamento],0),MATCH("As,mín (cm²)",HC[#Headers],0))</f>
        <v>5.026548245743669</v>
      </c>
      <c r="J8" s="12">
        <f ca="1">IF(viavelHC[[#This Row],[idDimensionamento]]="",0,6)</f>
        <v>6</v>
      </c>
      <c r="K8" s="5">
        <f ca="1">IF(viavelHC[[#This Row],[idDimensionamento]]="",0,INDEX(areaAco[],MATCH(10*SQRT(viavelHC[[#This Row],[As,mín]]*4/(viavelHC[[#This Row],[N]]*PI())),areaAco[Ø\QNTD],1)+1,1))</f>
        <v>12.5</v>
      </c>
      <c r="L8" s="12">
        <f ca="1">IF(viavelHC[[#This Row],[idDimensionamento]]="",0,INDEX(HC[],MATCH(viavelHC[[#This Row],[Pilar]]&amp;viavelHC[[#This Row],[idDimensionamento]],HC[idPilar,idDimensionamento],0),MATCH("Comprimento (m)",HC[#Headers],0))*100)</f>
        <v>400</v>
      </c>
      <c r="M8" s="12" t="str">
        <f ca="1">IF(viavelHC[[#This Row],[N]]=0,"N.A.",viavelHC[[#This Row],[N]]&amp;" Ø"&amp;viavelHC[[#This Row],[Ø]]&amp;"mm C="&amp;viavelHC[[#This Row],[C]]&amp;"cm")</f>
        <v>6 Ø12,5mm C=400cm</v>
      </c>
      <c r="N8" s="5">
        <f ca="1">viavelHC[[#This Row],[nE]]*viavelHC[[#This Row],[N]]*(PI()*(viavelHC[[#This Row],[Ø]]/10)^2/4*viavelHC[[#This Row],[C]])/100^3*7850</f>
        <v>92.480633740049541</v>
      </c>
      <c r="O8" s="5">
        <f ca="1">INDEX(HC[],MATCH(viavelHC[[#This Row],[Pilar]]&amp;viavelHC[[#This Row],[idDimensionamento]],HC[idPilar,idDimensionamento],0),MATCH(viavelHC[[#Headers],[e (cm)]],HC[#Headers],0))</f>
        <v>120</v>
      </c>
      <c r="P8" s="5">
        <f ca="1">INDEX(HC[],MATCH(viavelHC[[#This Row],[Pilar]]&amp;viavelHC[[#This Row],[idDimensionamento]],HC[idPilar,idDimensionamento],0),MATCH(viavelHC[[#Headers],[a (cm)]],HC[#Headers],0))</f>
        <v>60</v>
      </c>
      <c r="Q8" s="5">
        <f ca="1">INDEX(HC[],MATCH(viavelHC[[#This Row],[Pilar]]&amp;viavelHC[[#This Row],[idDimensionamento]],HC[idPilar,idDimensionamento],0),MATCH(viavelHC[[#Headers],[h (cm)]],HC[#Headers],0))</f>
        <v>60</v>
      </c>
      <c r="R8" s="4">
        <f ca="1">IF(viavelHC[[#This Row],[idDimensionamento]]="","N.A.",INDEX(HC[],MATCH(viavelHC[[#This Row],[Pilar]]&amp;viavelHC[[#This Row],[idDimensionamento]],HC[idPilar,idDimensionamento],0),MATCH("As,lado (cm²)",HC[#Headers],0)))</f>
        <v>9.8249565976408366</v>
      </c>
      <c r="S8" s="12">
        <f ca="1">IF(viavelHC[[#This Row],[As,lado]]="N.A.",0,IF(viavelHC[[#This Row],[nE]]=1,ROUNDUP(viavelHC[[#This Row],[As,lado]]/(PI()*(viavelHC[[#This Row],[Ø1]]/10)^2/4)/2,0),ROUNDUP(viavelHC[[#This Row],[As,lado]]/(PI()*(viavelHC[[#This Row],[Ø1]]/10)^2/4),0)))</f>
        <v>5</v>
      </c>
      <c r="T8" s="5">
        <f ca="1">IF(viavelHC[[#This Row],[As,lado]]="N.A.",0,dArmadura(viavelHC[[#This Row],[nE]],viavelHC[[#This Row],[Ø (cm)]],viavelHC[[#This Row],[e (cm)]],viavelHC[[#This Row],[a (cm)]],viavelHC[[#This Row],[h (cm)]],viavelHC[[#Headers],[As,lado]],viavelHC[[#This Row],[As,lado]]))</f>
        <v>16</v>
      </c>
      <c r="U8" s="12">
        <f ca="1">IF(viavelHC[[#This Row],[As,lado]]="N.A.",0,comprimento(viavelHC[[#This Row],[nE]],viavelHC[[#This Row],[Ø1]],viavelHC[[#This Row],[e (cm)]],viavelHC[[#This Row],[a (cm)]],viavelHC[[#This Row],[h (cm)]],viavelHC[[#Headers],[As,lado]]))</f>
        <v>345</v>
      </c>
      <c r="V8" s="12" t="str">
        <f ca="1">IF(viavelHC[[#This Row],[N1]]=0,"N.A.",viavelHC[[#This Row],[N1]]&amp;" Ø"&amp;viavelHC[[#This Row],[Ø1]]&amp;"mm C="&amp;viavelHC[[#This Row],[C1]]&amp;"cm")</f>
        <v>5 Ø16mm C=345cm</v>
      </c>
      <c r="W8" s="4" t="str">
        <f ca="1">IF(viavelHC[[#This Row],[idDimensionamento]]="","N.A.",INDEX(HC[],MATCH(viavelHC[[#This Row],[Pilar]]&amp;viavelHC[[#This Row],[idDimensionamento]],HC[idPilar,idDimensionamento],0),MATCH("Asp e Asw (cm²/m)",HC[#Headers],0)))</f>
        <v>N.A.</v>
      </c>
      <c r="X8" s="12">
        <f ca="1">IF(viavelHC[[#This Row],[Asp]]="N.A.",0,ROUNDUP(viavelHC[[#This Row],[Asp]]/(PI()*(viavelHC[[#This Row],[Ø2]]/10)^2/4)/2,0))</f>
        <v>0</v>
      </c>
      <c r="Y8" s="5">
        <f ca="1">IF(viavelHC[[#This Row],[Asp]]="N.A.",0,dArmadura(viavelHC[[#This Row],[nE]],viavelHC[[#This Row],[Ø (cm)]],viavelHC[[#This Row],[e (cm)]],viavelHC[[#This Row],[a (cm)]],viavelHC[[#This Row],[h (cm)]],viavelHC[[#Headers],[Asp]],viavelHC[[#This Row],[Asp]]))</f>
        <v>0</v>
      </c>
      <c r="Z8" s="12">
        <f ca="1">IF(viavelHC[[#This Row],[Asp]]="N.A.",0,comprimento(viavelHC[[#This Row],[nE]],viavelHC[[#This Row],[Ø2]],viavelHC[[#This Row],[e (cm)]],viavelHC[[#This Row],[a (cm)]],viavelHC[[#This Row],[h (cm)]],viavelHC[[#Headers],[Asp]]))</f>
        <v>0</v>
      </c>
      <c r="AA8" s="12" t="str">
        <f ca="1">IF(viavelHC[[#This Row],[N2]]=0,"N.A.",viavelHC[[#This Row],[N2]]&amp;" Ø"&amp;viavelHC[[#This Row],[Ø2]]&amp;"mm C="&amp;viavelHC[[#This Row],[C2]]&amp;"cm")</f>
        <v>N.A.</v>
      </c>
      <c r="AB8" s="4" t="str">
        <f ca="1">viavelHC[[#This Row],[Asp]]</f>
        <v>N.A.</v>
      </c>
      <c r="AC8" s="12">
        <f ca="1">IF(viavelHC[[#This Row],[Asw]]="N.A.",0,ROUNDUP(viavelHC[[#This Row],[Asw]]/(PI()*(viavelHC[[#This Row],[Ø3]]/10)^2/4)/2,0))</f>
        <v>0</v>
      </c>
      <c r="AD8" s="5">
        <f ca="1">IF(viavelHC[[#This Row],[Asw]]="N.A.",0,dArmadura(viavelHC[[#This Row],[nE]],viavelHC[[#This Row],[Ø (cm)]],viavelHC[[#This Row],[e (cm)]],viavelHC[[#This Row],[a (cm)]],viavelHC[[#This Row],[h (cm)]],viavelHC[[#Headers],[Asw]],viavelHC[[#This Row],[Asw]]))</f>
        <v>0</v>
      </c>
      <c r="AE8" s="12">
        <f ca="1">IF(viavelHC[[#This Row],[Asw]]="N.A.",0,comprimento(viavelHC[[#This Row],[nE]],viavelHC[[#This Row],[Ø3]],viavelHC[[#This Row],[e (cm)]],viavelHC[[#This Row],[a (cm)]],viavelHC[[#This Row],[h (cm)]],viavelHC[[#Headers],[Asw]]))</f>
        <v>0</v>
      </c>
      <c r="AF8" s="12" t="str">
        <f ca="1">IF(viavelHC[[#This Row],[N3]]=0,"N.A.",viavelHC[[#This Row],[N3]]&amp;" Ø"&amp;viavelHC[[#This Row],[Ø3]]&amp;"mm C="&amp;viavelHC[[#This Row],[C3]]&amp;"cm")</f>
        <v>N.A.</v>
      </c>
      <c r="AG8" s="4">
        <f ca="1">IF(viavelHC[[#This Row],[idDimensionamento]]="","N.A.",INDEX(HC[],MATCH(viavelHC[[#This Row],[Pilar]]&amp;viavelHC[[#This Row],[idDimensionamento]],HC[idPilar,idDimensionamento],0),MATCH("As,sup (cm²)",HC[#Headers],0)))</f>
        <v>1.9649913195281674</v>
      </c>
      <c r="AH8" s="12">
        <f ca="1">IF(viavelHC[[#This Row],[As,sup]]="N.A.",0,ROUNDUP(viavelHC[[#This Row],[As,sup]]/(PI()*(viavelHC[[#This Row],[Ø4]]/10)^2/4),0))</f>
        <v>1</v>
      </c>
      <c r="AI8" s="5">
        <f ca="1">IF(viavelHC[[#This Row],[As,sup]]="N.A.",0,dArmadura(viavelHC[[#This Row],[nE]],viavelHC[[#This Row],[Ø (cm)]],viavelHC[[#This Row],[e (cm)]],viavelHC[[#This Row],[a (cm)]],viavelHC[[#This Row],[h (cm)]],viavelHC[[#Headers],[As,sup]],viavelHC[[#This Row],[As,sup]]))</f>
        <v>16</v>
      </c>
      <c r="AJ8" s="12">
        <f ca="1">IF(viavelHC[[#This Row],[As,sup]]="N.A.",0,comprimento(viavelHC[[#This Row],[nE]],viavelHC[[#This Row],[Ø4]],viavelHC[[#This Row],[e (cm)]],viavelHC[[#This Row],[a (cm)]],viavelHC[[#This Row],[h (cm)]],viavelHC[[#Headers],[As,sup]]))</f>
        <v>235</v>
      </c>
      <c r="AK8" s="12" t="str">
        <f ca="1">IF(viavelHC[[#This Row],[N4]]=0,"N.A.",viavelHC[[#This Row],[N4]]&amp;" Ø"&amp;viavelHC[[#This Row],[Ø4]]&amp;"mm C="&amp;viavelHC[[#This Row],[C4]]&amp;"cm")</f>
        <v>1 Ø16mm C=235cm</v>
      </c>
      <c r="AL8" s="4">
        <f ca="1">IF(viavelHC[[#This Row],[idDimensionamento]]="","N.A.",INDEX(HC[],MATCH(viavelHC[[#This Row],[Pilar]]&amp;viavelHC[[#This Row],[idDimensionamento]],HC[idPilar,idDimensionamento],0),MATCH("As,malha (cm²)",HC[#Headers],0)))</f>
        <v>1.9649913195281674</v>
      </c>
      <c r="AM8" s="12">
        <f ca="1">IF(viavelHC[[#This Row],[As,malha]]="N.A.",0,ROUNDUP(viavelHC[[#This Row],[As,malha]]/(PI()*(viavelHC[[#This Row],[Ø5]]/10)^2/4),0))</f>
        <v>1</v>
      </c>
      <c r="AN8" s="5">
        <f ca="1">IF(viavelHC[[#This Row],[As,malha]]="N.A.",0,dArmadura(viavelHC[[#This Row],[nE]],viavelHC[[#This Row],[Ø (cm)]],viavelHC[[#This Row],[e (cm)]],viavelHC[[#This Row],[a (cm)]],viavelHC[[#This Row],[h (cm)]],viavelHC[[#Headers],[As,malha]],viavelHC[[#This Row],[As,malha]]))</f>
        <v>16</v>
      </c>
      <c r="AO8" s="12">
        <f ca="1">IF(viavelHC[[#This Row],[As,malha]]="N.A.",0,comprimento(viavelHC[[#This Row],[nE]],viavelHC[[#This Row],[Ø4]],viavelHC[[#This Row],[e (cm)]],viavelHC[[#This Row],[a (cm)]],viavelHC[[#This Row],[h (cm)]],viavelHC[[#Headers],[As,malha]]))</f>
        <v>345</v>
      </c>
      <c r="AP8" s="12" t="str">
        <f ca="1">IF(viavelHC[[#This Row],[N5]]=0,"N.A.",viavelHC[[#This Row],[N5]]&amp;" Ø"&amp;viavelHC[[#This Row],[Ø5]]&amp;"mm C="&amp;viavelHC[[#This Row],[C5]]&amp;"cm")</f>
        <v>1 Ø16mm C=345cm</v>
      </c>
      <c r="AQ8" s="4">
        <f ca="1">IF(viavelHC[[#This Row],[idDimensionamento]]="","N.A.",INDEX(HC[],MATCH(viavelHC[[#This Row],[Pilar]]&amp;viavelHC[[#This Row],[idDimensionamento]],HC[idPilar,idDimensionamento],0),MATCH("As,susp,tot (cm²)",HC[#Headers],0)))</f>
        <v>6.708333333333333</v>
      </c>
      <c r="AR8" s="12">
        <f ca="1">IF(viavelHC[[#This Row],[As,susp,tot]]="N.A.",0,ROUNDUP(viavelHC[[#This Row],[As,susp,tot]]/(PI()*(viavelHC[[#This Row],[Ø6]]/10)^2/4),0))</f>
        <v>22</v>
      </c>
      <c r="AS8" s="5">
        <f ca="1">IF(viavelHC[[#This Row],[As,susp,tot]]="N.A.",0,dArmadura(viavelHC[[#This Row],[nE]],viavelHC[[#This Row],[Ø (cm)]],viavelHC[[#This Row],[e (cm)]],viavelHC[[#This Row],[a (cm)]],viavelHC[[#This Row],[h (cm)]],viavelHC[[#Headers],[As,susp,tot]],viavelHC[[#This Row],[As,susp,tot]]))</f>
        <v>6.3</v>
      </c>
      <c r="AT8" s="12">
        <f ca="1">IF(viavelHC[[#This Row],[As,susp,tot]]="N.A.",0,comprimento(viavelHC[[#This Row],[nE]],viavelHC[[#This Row],[Ø4]],viavelHC[[#This Row],[e (cm)]],viavelHC[[#This Row],[a (cm)]],viavelHC[[#This Row],[h (cm)]],viavelHC[[#Headers],[As,susp,tot]]))</f>
        <v>165</v>
      </c>
      <c r="AU8" s="12" t="str">
        <f ca="1">IF(viavelHC[[#This Row],[N6]]=0,"N.A.",viavelHC[[#This Row],[N6]]&amp;" Ø"&amp;viavelHC[[#This Row],[Ø6]]&amp;"mm C="&amp;viavelHC[[#This Row],[C6]]&amp;"cm")</f>
        <v>22 Ø6,3mm C=165cm</v>
      </c>
      <c r="AV8" s="4">
        <f ca="1">IF(viavelHC[[#This Row],[idDimensionamento]]="","N.A.",INDEX(HC[],MATCH(viavelHC[[#This Row],[Pilar]]&amp;viavelHC[[#This Row],[idDimensionamento]],HC[idPilar,idDimensionamento],0),MATCH("Asp,face (cm²)",HC[#Headers],0)))</f>
        <v>4.9124782988204183</v>
      </c>
      <c r="AW8" s="12">
        <f ca="1">IF(viavelHC[[#This Row],[Asp,face]]="N.A.",0,ROUNDUP(viavelHC[[#This Row],[Asp,face]]/(PI()*(viavelHC[[#This Row],[Ø7]]/10)^2/4),0))</f>
        <v>10</v>
      </c>
      <c r="AX8" s="5">
        <f ca="1">IF(viavelHC[[#This Row],[Asp,face]]="N.A.",0,dArmadura(viavelHC[[#This Row],[nE]],viavelHC[[#This Row],[Ø (cm)]],viavelHC[[#This Row],[e (cm)]],viavelHC[[#This Row],[a (cm)]],viavelHC[[#This Row],[h (cm)]],viavelHC[[#Headers],[Asp,face]],viavelHC[[#This Row],[Asp,face]]))</f>
        <v>8</v>
      </c>
      <c r="AY8" s="12">
        <f ca="1">IF(viavelHC[[#This Row],[Asp,face]]="N.A.",0,comprimento(viavelHC[[#This Row],[nE]],viavelHC[[#This Row],[Ø4]],viavelHC[[#This Row],[e (cm)]],viavelHC[[#This Row],[a (cm)]],viavelHC[[#This Row],[h (cm)]],viavelHC[[#Headers],[Asp,face]]))</f>
        <v>945</v>
      </c>
      <c r="AZ8" s="12" t="str">
        <f ca="1">IF(viavelHC[[#This Row],[N7]]=0,"N.A.",viavelHC[[#This Row],[N7]]&amp;" Ø"&amp;viavelHC[[#This Row],[Ø7]]&amp;"mm C="&amp;viavelHC[[#This Row],[C7]]&amp;"cm")</f>
        <v>10 Ø8mm C=945cm</v>
      </c>
    </row>
    <row r="9" spans="2:52" x14ac:dyDescent="0.25">
      <c r="B9" s="1">
        <f>COUNTIF($C$4:C8,viavelHC[[#This Row],[Pilar]])+1</f>
        <v>2</v>
      </c>
      <c r="C9" s="16">
        <f>ROUNDDOWN((COUNTA($C$4:C8)-1)/3,0)+1</f>
        <v>2</v>
      </c>
      <c r="D9" s="16" t="str">
        <f ca="1">opcao($B$2,viavelHC[[#This Row],[Pilar]],viavelHC[[#This Row],[Opção]])</f>
        <v>4 Ø42,5cm Prof. 11 m</v>
      </c>
      <c r="E9" s="12">
        <f>INDEX(PILARES[],MATCH(viavelHC[[#This Row],[Pilar]],PILARES[Pilar],0),MATCH(viavelHC[[#Headers],[ap (cm)]],PILARES[#Headers],0))</f>
        <v>50</v>
      </c>
      <c r="F9" s="12">
        <f>INDEX(PILARES[],MATCH(viavelHC[[#This Row],[Pilar]],PILARES[Pilar],0),MATCH(viavelHC[[#Headers],[bp (cm)]],PILARES[#Headers],0))</f>
        <v>40</v>
      </c>
      <c r="G9" s="12">
        <f ca="1">IF(viavelHC[[#This Row],[idDimensionamento]]="",0,INDEX(HC[],MATCH(viavelHC[[#This Row],[Pilar]]&amp;viavelHC[[#This Row],[idDimensionamento]],HC[idPilar,idDimensionamento],0),MATCH(viavelHC[[#Headers],[nE]],HC[#Headers],0)))</f>
        <v>4</v>
      </c>
      <c r="H9" s="12">
        <f ca="1">INDEX(HC[],MATCH(viavelHC[[#This Row],[Pilar]]&amp;viavelHC[[#This Row],[idDimensionamento]],HC[idPilar,idDimensionamento],0),MATCH(viavelHC[[#Headers],[Ø (cm)]],HC[#Headers],0))</f>
        <v>42.5</v>
      </c>
      <c r="I9" s="4">
        <f ca="1">INDEX(HC[],MATCH(viavelHC[[#This Row],[Pilar]]&amp;viavelHC[[#This Row],[idDimensionamento]],HC[idPilar,idDimensionamento],0),MATCH("As,mín (cm²)",HC[#Headers],0))</f>
        <v>5.6745017305465639</v>
      </c>
      <c r="J9" s="12">
        <f ca="1">IF(viavelHC[[#This Row],[idDimensionamento]]="",0,6)</f>
        <v>6</v>
      </c>
      <c r="K9" s="5">
        <f ca="1">IF(viavelHC[[#This Row],[idDimensionamento]]="",0,INDEX(areaAco[],MATCH(10*SQRT(viavelHC[[#This Row],[As,mín]]*4/(viavelHC[[#This Row],[N]]*PI())),areaAco[Ø\QNTD],1)+1,1))</f>
        <v>12.5</v>
      </c>
      <c r="L9" s="12">
        <f ca="1">IF(viavelHC[[#This Row],[idDimensionamento]]="",0,INDEX(HC[],MATCH(viavelHC[[#This Row],[Pilar]]&amp;viavelHC[[#This Row],[idDimensionamento]],HC[idPilar,idDimensionamento],0),MATCH("Comprimento (m)",HC[#Headers],0))*100)</f>
        <v>400</v>
      </c>
      <c r="M9" s="12" t="str">
        <f ca="1">IF(viavelHC[[#This Row],[N]]=0,"N.A.",viavelHC[[#This Row],[N]]&amp;" Ø"&amp;viavelHC[[#This Row],[Ø]]&amp;"mm C="&amp;viavelHC[[#This Row],[C]]&amp;"cm")</f>
        <v>6 Ø12,5mm C=400cm</v>
      </c>
      <c r="N9" s="5">
        <f ca="1">viavelHC[[#This Row],[nE]]*viavelHC[[#This Row],[N]]*(PI()*(viavelHC[[#This Row],[Ø]]/10)^2/4*viavelHC[[#This Row],[C]])/100^3*7850</f>
        <v>92.480633740049541</v>
      </c>
      <c r="O9" s="5">
        <f ca="1">INDEX(HC[],MATCH(viavelHC[[#This Row],[Pilar]]&amp;viavelHC[[#This Row],[idDimensionamento]],HC[idPilar,idDimensionamento],0),MATCH(viavelHC[[#Headers],[e (cm)]],HC[#Headers],0))</f>
        <v>127.5</v>
      </c>
      <c r="P9" s="5">
        <f ca="1">INDEX(HC[],MATCH(viavelHC[[#This Row],[Pilar]]&amp;viavelHC[[#This Row],[idDimensionamento]],HC[idPilar,idDimensionamento],0),MATCH(viavelHC[[#Headers],[a (cm)]],HC[#Headers],0))</f>
        <v>63.75</v>
      </c>
      <c r="Q9" s="5">
        <f ca="1">INDEX(HC[],MATCH(viavelHC[[#This Row],[Pilar]]&amp;viavelHC[[#This Row],[idDimensionamento]],HC[idPilar,idDimensionamento],0),MATCH(viavelHC[[#Headers],[h (cm)]],HC[#Headers],0))</f>
        <v>65</v>
      </c>
      <c r="R9" s="4">
        <f ca="1">IF(viavelHC[[#This Row],[idDimensionamento]]="","N.A.",INDEX(HC[],MATCH(viavelHC[[#This Row],[Pilar]]&amp;viavelHC[[#This Row],[idDimensionamento]],HC[idPilar,idDimensionamento],0),MATCH("As,lado (cm²)",HC[#Headers],0)))</f>
        <v>9.6178582705825786</v>
      </c>
      <c r="S9" s="12">
        <f ca="1">IF(viavelHC[[#This Row],[As,lado]]="N.A.",0,IF(viavelHC[[#This Row],[nE]]=1,ROUNDUP(viavelHC[[#This Row],[As,lado]]/(PI()*(viavelHC[[#This Row],[Ø1]]/10)^2/4)/2,0),ROUNDUP(viavelHC[[#This Row],[As,lado]]/(PI()*(viavelHC[[#This Row],[Ø1]]/10)^2/4),0)))</f>
        <v>5</v>
      </c>
      <c r="T9" s="5">
        <f ca="1">IF(viavelHC[[#This Row],[As,lado]]="N.A.",0,dArmadura(viavelHC[[#This Row],[nE]],viavelHC[[#This Row],[Ø (cm)]],viavelHC[[#This Row],[e (cm)]],viavelHC[[#This Row],[a (cm)]],viavelHC[[#This Row],[h (cm)]],viavelHC[[#Headers],[As,lado]],viavelHC[[#This Row],[As,lado]]))</f>
        <v>16</v>
      </c>
      <c r="U9" s="12">
        <f ca="1">IF(viavelHC[[#This Row],[As,lado]]="N.A.",0,comprimento(viavelHC[[#This Row],[nE]],viavelHC[[#This Row],[Ø1]],viavelHC[[#This Row],[e (cm)]],viavelHC[[#This Row],[a (cm)]],viavelHC[[#This Row],[h (cm)]],viavelHC[[#Headers],[As,lado]]))</f>
        <v>360</v>
      </c>
      <c r="V9" s="12" t="str">
        <f ca="1">IF(viavelHC[[#This Row],[N1]]=0,"N.A.",viavelHC[[#This Row],[N1]]&amp;" Ø"&amp;viavelHC[[#This Row],[Ø1]]&amp;"mm C="&amp;viavelHC[[#This Row],[C1]]&amp;"cm")</f>
        <v>5 Ø16mm C=360cm</v>
      </c>
      <c r="W9" s="4" t="str">
        <f ca="1">IF(viavelHC[[#This Row],[idDimensionamento]]="","N.A.",INDEX(HC[],MATCH(viavelHC[[#This Row],[Pilar]]&amp;viavelHC[[#This Row],[idDimensionamento]],HC[idPilar,idDimensionamento],0),MATCH("Asp e Asw (cm²/m)",HC[#Headers],0)))</f>
        <v>N.A.</v>
      </c>
      <c r="X9" s="12">
        <f ca="1">IF(viavelHC[[#This Row],[Asp]]="N.A.",0,ROUNDUP(viavelHC[[#This Row],[Asp]]/(PI()*(viavelHC[[#This Row],[Ø2]]/10)^2/4)/2,0))</f>
        <v>0</v>
      </c>
      <c r="Y9" s="5">
        <f ca="1">IF(viavelHC[[#This Row],[Asp]]="N.A.",0,dArmadura(viavelHC[[#This Row],[nE]],viavelHC[[#This Row],[Ø (cm)]],viavelHC[[#This Row],[e (cm)]],viavelHC[[#This Row],[a (cm)]],viavelHC[[#This Row],[h (cm)]],viavelHC[[#Headers],[Asp]],viavelHC[[#This Row],[Asp]]))</f>
        <v>0</v>
      </c>
      <c r="Z9" s="12">
        <f ca="1">IF(viavelHC[[#This Row],[Asp]]="N.A.",0,comprimento(viavelHC[[#This Row],[nE]],viavelHC[[#This Row],[Ø2]],viavelHC[[#This Row],[e (cm)]],viavelHC[[#This Row],[a (cm)]],viavelHC[[#This Row],[h (cm)]],viavelHC[[#Headers],[Asp]]))</f>
        <v>0</v>
      </c>
      <c r="AA9" s="12" t="str">
        <f ca="1">IF(viavelHC[[#This Row],[N2]]=0,"N.A.",viavelHC[[#This Row],[N2]]&amp;" Ø"&amp;viavelHC[[#This Row],[Ø2]]&amp;"mm C="&amp;viavelHC[[#This Row],[C2]]&amp;"cm")</f>
        <v>N.A.</v>
      </c>
      <c r="AB9" s="4" t="str">
        <f ca="1">viavelHC[[#This Row],[Asp]]</f>
        <v>N.A.</v>
      </c>
      <c r="AC9" s="12">
        <f ca="1">IF(viavelHC[[#This Row],[Asw]]="N.A.",0,ROUNDUP(viavelHC[[#This Row],[Asw]]/(PI()*(viavelHC[[#This Row],[Ø3]]/10)^2/4)/2,0))</f>
        <v>0</v>
      </c>
      <c r="AD9" s="5">
        <f ca="1">IF(viavelHC[[#This Row],[Asw]]="N.A.",0,dArmadura(viavelHC[[#This Row],[nE]],viavelHC[[#This Row],[Ø (cm)]],viavelHC[[#This Row],[e (cm)]],viavelHC[[#This Row],[a (cm)]],viavelHC[[#This Row],[h (cm)]],viavelHC[[#Headers],[Asw]],viavelHC[[#This Row],[Asw]]))</f>
        <v>0</v>
      </c>
      <c r="AE9" s="12">
        <f ca="1">IF(viavelHC[[#This Row],[Asw]]="N.A.",0,comprimento(viavelHC[[#This Row],[nE]],viavelHC[[#This Row],[Ø3]],viavelHC[[#This Row],[e (cm)]],viavelHC[[#This Row],[a (cm)]],viavelHC[[#This Row],[h (cm)]],viavelHC[[#Headers],[Asw]]))</f>
        <v>0</v>
      </c>
      <c r="AF9" s="12" t="str">
        <f ca="1">IF(viavelHC[[#This Row],[N3]]=0,"N.A.",viavelHC[[#This Row],[N3]]&amp;" Ø"&amp;viavelHC[[#This Row],[Ø3]]&amp;"mm C="&amp;viavelHC[[#This Row],[C3]]&amp;"cm")</f>
        <v>N.A.</v>
      </c>
      <c r="AG9" s="4">
        <f ca="1">IF(viavelHC[[#This Row],[idDimensionamento]]="","N.A.",INDEX(HC[],MATCH(viavelHC[[#This Row],[Pilar]]&amp;viavelHC[[#This Row],[idDimensionamento]],HC[idPilar,idDimensionamento],0),MATCH("As,sup (cm²)",HC[#Headers],0)))</f>
        <v>1.9235716541165158</v>
      </c>
      <c r="AH9" s="12">
        <f ca="1">IF(viavelHC[[#This Row],[As,sup]]="N.A.",0,ROUNDUP(viavelHC[[#This Row],[As,sup]]/(PI()*(viavelHC[[#This Row],[Ø4]]/10)^2/4),0))</f>
        <v>1</v>
      </c>
      <c r="AI9" s="5">
        <f ca="1">IF(viavelHC[[#This Row],[As,sup]]="N.A.",0,dArmadura(viavelHC[[#This Row],[nE]],viavelHC[[#This Row],[Ø (cm)]],viavelHC[[#This Row],[e (cm)]],viavelHC[[#This Row],[a (cm)]],viavelHC[[#This Row],[h (cm)]],viavelHC[[#Headers],[As,sup]],viavelHC[[#This Row],[As,sup]]))</f>
        <v>16</v>
      </c>
      <c r="AJ9" s="12">
        <f ca="1">IF(viavelHC[[#This Row],[As,sup]]="N.A.",0,comprimento(viavelHC[[#This Row],[nE]],viavelHC[[#This Row],[Ø4]],viavelHC[[#This Row],[e (cm)]],viavelHC[[#This Row],[a (cm)]],viavelHC[[#This Row],[h (cm)]],viavelHC[[#Headers],[As,sup]]))</f>
        <v>250</v>
      </c>
      <c r="AK9" s="12" t="str">
        <f ca="1">IF(viavelHC[[#This Row],[N4]]=0,"N.A.",viavelHC[[#This Row],[N4]]&amp;" Ø"&amp;viavelHC[[#This Row],[Ø4]]&amp;"mm C="&amp;viavelHC[[#This Row],[C4]]&amp;"cm")</f>
        <v>1 Ø16mm C=250cm</v>
      </c>
      <c r="AL9" s="4">
        <f ca="1">IF(viavelHC[[#This Row],[idDimensionamento]]="","N.A.",INDEX(HC[],MATCH(viavelHC[[#This Row],[Pilar]]&amp;viavelHC[[#This Row],[idDimensionamento]],HC[idPilar,idDimensionamento],0),MATCH("As,malha (cm²)",HC[#Headers],0)))</f>
        <v>1.9235716541165158</v>
      </c>
      <c r="AM9" s="12">
        <f ca="1">IF(viavelHC[[#This Row],[As,malha]]="N.A.",0,ROUNDUP(viavelHC[[#This Row],[As,malha]]/(PI()*(viavelHC[[#This Row],[Ø5]]/10)^2/4),0))</f>
        <v>1</v>
      </c>
      <c r="AN9" s="5">
        <f ca="1">IF(viavelHC[[#This Row],[As,malha]]="N.A.",0,dArmadura(viavelHC[[#This Row],[nE]],viavelHC[[#This Row],[Ø (cm)]],viavelHC[[#This Row],[e (cm)]],viavelHC[[#This Row],[a (cm)]],viavelHC[[#This Row],[h (cm)]],viavelHC[[#Headers],[As,malha]],viavelHC[[#This Row],[As,malha]]))</f>
        <v>16</v>
      </c>
      <c r="AO9" s="12">
        <f ca="1">IF(viavelHC[[#This Row],[As,malha]]="N.A.",0,comprimento(viavelHC[[#This Row],[nE]],viavelHC[[#This Row],[Ø4]],viavelHC[[#This Row],[e (cm)]],viavelHC[[#This Row],[a (cm)]],viavelHC[[#This Row],[h (cm)]],viavelHC[[#Headers],[As,malha]]))</f>
        <v>360</v>
      </c>
      <c r="AP9" s="12" t="str">
        <f ca="1">IF(viavelHC[[#This Row],[N5]]=0,"N.A.",viavelHC[[#This Row],[N5]]&amp;" Ø"&amp;viavelHC[[#This Row],[Ø5]]&amp;"mm C="&amp;viavelHC[[#This Row],[C5]]&amp;"cm")</f>
        <v>1 Ø16mm C=360cm</v>
      </c>
      <c r="AQ9" s="4">
        <f ca="1">IF(viavelHC[[#This Row],[idDimensionamento]]="","N.A.",INDEX(HC[],MATCH(viavelHC[[#This Row],[Pilar]]&amp;viavelHC[[#This Row],[idDimensionamento]],HC[idPilar,idDimensionamento],0),MATCH("As,susp,tot (cm²)",HC[#Headers],0)))</f>
        <v>6.708333333333333</v>
      </c>
      <c r="AR9" s="12">
        <f ca="1">IF(viavelHC[[#This Row],[As,susp,tot]]="N.A.",0,ROUNDUP(viavelHC[[#This Row],[As,susp,tot]]/(PI()*(viavelHC[[#This Row],[Ø6]]/10)^2/4),0))</f>
        <v>22</v>
      </c>
      <c r="AS9" s="5">
        <f ca="1">IF(viavelHC[[#This Row],[As,susp,tot]]="N.A.",0,dArmadura(viavelHC[[#This Row],[nE]],viavelHC[[#This Row],[Ø (cm)]],viavelHC[[#This Row],[e (cm)]],viavelHC[[#This Row],[a (cm)]],viavelHC[[#This Row],[h (cm)]],viavelHC[[#Headers],[As,susp,tot]],viavelHC[[#This Row],[As,susp,tot]]))</f>
        <v>6.3</v>
      </c>
      <c r="AT9" s="12">
        <f ca="1">IF(viavelHC[[#This Row],[As,susp,tot]]="N.A.",0,comprimento(viavelHC[[#This Row],[nE]],viavelHC[[#This Row],[Ø4]],viavelHC[[#This Row],[e (cm)]],viavelHC[[#This Row],[a (cm)]],viavelHC[[#This Row],[h (cm)]],viavelHC[[#Headers],[As,susp,tot]]))</f>
        <v>170</v>
      </c>
      <c r="AU9" s="12" t="str">
        <f ca="1">IF(viavelHC[[#This Row],[N6]]=0,"N.A.",viavelHC[[#This Row],[N6]]&amp;" Ø"&amp;viavelHC[[#This Row],[Ø6]]&amp;"mm C="&amp;viavelHC[[#This Row],[C6]]&amp;"cm")</f>
        <v>22 Ø6,3mm C=170cm</v>
      </c>
      <c r="AV9" s="4">
        <f ca="1">IF(viavelHC[[#This Row],[idDimensionamento]]="","N.A.",INDEX(HC[],MATCH(viavelHC[[#This Row],[Pilar]]&amp;viavelHC[[#This Row],[idDimensionamento]],HC[idPilar,idDimensionamento],0),MATCH("Asp,face (cm²)",HC[#Headers],0)))</f>
        <v>4.8089291352912893</v>
      </c>
      <c r="AW9" s="12">
        <f ca="1">IF(viavelHC[[#This Row],[Asp,face]]="N.A.",0,ROUNDUP(viavelHC[[#This Row],[Asp,face]]/(PI()*(viavelHC[[#This Row],[Ø7]]/10)^2/4),0))</f>
        <v>16</v>
      </c>
      <c r="AX9" s="5">
        <f ca="1">IF(viavelHC[[#This Row],[Asp,face]]="N.A.",0,dArmadura(viavelHC[[#This Row],[nE]],viavelHC[[#This Row],[Ø (cm)]],viavelHC[[#This Row],[e (cm)]],viavelHC[[#This Row],[a (cm)]],viavelHC[[#This Row],[h (cm)]],viavelHC[[#Headers],[Asp,face]],viavelHC[[#This Row],[Asp,face]]))</f>
        <v>6.3</v>
      </c>
      <c r="AY9" s="12">
        <f ca="1">IF(viavelHC[[#This Row],[Asp,face]]="N.A.",0,comprimento(viavelHC[[#This Row],[nE]],viavelHC[[#This Row],[Ø4]],viavelHC[[#This Row],[e (cm)]],viavelHC[[#This Row],[a (cm)]],viavelHC[[#This Row],[h (cm)]],viavelHC[[#Headers],[Asp,face]]))</f>
        <v>1005</v>
      </c>
      <c r="AZ9" s="12" t="str">
        <f ca="1">IF(viavelHC[[#This Row],[N7]]=0,"N.A.",viavelHC[[#This Row],[N7]]&amp;" Ø"&amp;viavelHC[[#This Row],[Ø7]]&amp;"mm C="&amp;viavelHC[[#This Row],[C7]]&amp;"cm")</f>
        <v>16 Ø6,3mm C=1005cm</v>
      </c>
    </row>
    <row r="10" spans="2:52" x14ac:dyDescent="0.25">
      <c r="B10" s="1">
        <f>COUNTIF($C$4:C9,viavelHC[[#This Row],[Pilar]])+1</f>
        <v>3</v>
      </c>
      <c r="C10" s="16">
        <f>ROUNDDOWN((COUNTA($C$4:C9)-1)/3,0)+1</f>
        <v>2</v>
      </c>
      <c r="D10" s="16" t="str">
        <f ca="1">opcao($B$2,viavelHC[[#This Row],[Pilar]],viavelHC[[#This Row],[Opção]])</f>
        <v>2 Ø50cm Prof. 13 m</v>
      </c>
      <c r="E10" s="12">
        <f>INDEX(PILARES[],MATCH(viavelHC[[#This Row],[Pilar]],PILARES[Pilar],0),MATCH(viavelHC[[#Headers],[ap (cm)]],PILARES[#Headers],0))</f>
        <v>50</v>
      </c>
      <c r="F10" s="12">
        <f>INDEX(PILARES[],MATCH(viavelHC[[#This Row],[Pilar]],PILARES[Pilar],0),MATCH(viavelHC[[#Headers],[bp (cm)]],PILARES[#Headers],0))</f>
        <v>40</v>
      </c>
      <c r="G10" s="12">
        <f ca="1">IF(viavelHC[[#This Row],[idDimensionamento]]="",0,INDEX(HC[],MATCH(viavelHC[[#This Row],[Pilar]]&amp;viavelHC[[#This Row],[idDimensionamento]],HC[idPilar,idDimensionamento],0),MATCH(viavelHC[[#Headers],[nE]],HC[#Headers],0)))</f>
        <v>2</v>
      </c>
      <c r="H10" s="12">
        <f ca="1">INDEX(HC[],MATCH(viavelHC[[#This Row],[Pilar]]&amp;viavelHC[[#This Row],[idDimensionamento]],HC[idPilar,idDimensionamento],0),MATCH(viavelHC[[#Headers],[Ø (cm)]],HC[#Headers],0))</f>
        <v>50</v>
      </c>
      <c r="I10" s="4">
        <f ca="1">INDEX(HC[],MATCH(viavelHC[[#This Row],[Pilar]]&amp;viavelHC[[#This Row],[idDimensionamento]],HC[idPilar,idDimensionamento],0),MATCH("As,mín (cm²)",HC[#Headers],0))</f>
        <v>7.8539816339744837</v>
      </c>
      <c r="J10" s="12">
        <f ca="1">IF(viavelHC[[#This Row],[idDimensionamento]]="",0,6)</f>
        <v>6</v>
      </c>
      <c r="K10" s="5">
        <f ca="1">IF(viavelHC[[#This Row],[idDimensionamento]]="",0,INDEX(areaAco[],MATCH(10*SQRT(viavelHC[[#This Row],[As,mín]]*4/(viavelHC[[#This Row],[N]]*PI())),areaAco[Ø\QNTD],1)+1,1))</f>
        <v>16</v>
      </c>
      <c r="L10" s="12">
        <f ca="1">IF(viavelHC[[#This Row],[idDimensionamento]]="",0,INDEX(HC[],MATCH(viavelHC[[#This Row],[Pilar]]&amp;viavelHC[[#This Row],[idDimensionamento]],HC[idPilar,idDimensionamento],0),MATCH("Comprimento (m)",HC[#Headers],0))*100)</f>
        <v>400</v>
      </c>
      <c r="M10" s="12" t="str">
        <f ca="1">IF(viavelHC[[#This Row],[N]]=0,"N.A.",viavelHC[[#This Row],[N]]&amp;" Ø"&amp;viavelHC[[#This Row],[Ø]]&amp;"mm C="&amp;viavelHC[[#This Row],[C]]&amp;"cm")</f>
        <v>6 Ø16mm C=400cm</v>
      </c>
      <c r="N10" s="5">
        <f ca="1">viavelHC[[#This Row],[nE]]*viavelHC[[#This Row],[N]]*(PI()*(viavelHC[[#This Row],[Ø]]/10)^2/4*viavelHC[[#This Row],[C]])/100^3*7850</f>
        <v>75.760135159848588</v>
      </c>
      <c r="O10" s="5">
        <f ca="1">INDEX(HC[],MATCH(viavelHC[[#This Row],[Pilar]]&amp;viavelHC[[#This Row],[idDimensionamento]],HC[idPilar,idDimensionamento],0),MATCH(viavelHC[[#Headers],[e (cm)]],HC[#Headers],0))</f>
        <v>150</v>
      </c>
      <c r="P10" s="5">
        <f ca="1">INDEX(HC[],MATCH(viavelHC[[#This Row],[Pilar]]&amp;viavelHC[[#This Row],[idDimensionamento]],HC[idPilar,idDimensionamento],0),MATCH(viavelHC[[#Headers],[a (cm)]],HC[#Headers],0))</f>
        <v>75</v>
      </c>
      <c r="Q10" s="5">
        <f ca="1">INDEX(HC[],MATCH(viavelHC[[#This Row],[Pilar]]&amp;viavelHC[[#This Row],[idDimensionamento]],HC[idPilar,idDimensionamento],0),MATCH(viavelHC[[#Headers],[h (cm)]],HC[#Headers],0))</f>
        <v>75</v>
      </c>
      <c r="R10" s="4">
        <f ca="1">IF(viavelHC[[#This Row],[idDimensionamento]]="","N.A.",INDEX(HC[],MATCH(viavelHC[[#This Row],[Pilar]]&amp;viavelHC[[#This Row],[idDimensionamento]],HC[idPilar,idDimensionamento],0),MATCH("As,lado (cm²)",HC[#Headers],0)))</f>
        <v>22.723480903518404</v>
      </c>
      <c r="S10" s="12">
        <f ca="1">IF(viavelHC[[#This Row],[As,lado]]="N.A.",0,IF(viavelHC[[#This Row],[nE]]=1,ROUNDUP(viavelHC[[#This Row],[As,lado]]/(PI()*(viavelHC[[#This Row],[Ø1]]/10)^2/4)/2,0),ROUNDUP(viavelHC[[#This Row],[As,lado]]/(PI()*(viavelHC[[#This Row],[Ø1]]/10)^2/4),0)))</f>
        <v>6</v>
      </c>
      <c r="T10" s="5">
        <f ca="1">IF(viavelHC[[#This Row],[As,lado]]="N.A.",0,dArmadura(viavelHC[[#This Row],[nE]],viavelHC[[#This Row],[Ø (cm)]],viavelHC[[#This Row],[e (cm)]],viavelHC[[#This Row],[a (cm)]],viavelHC[[#This Row],[h (cm)]],viavelHC[[#Headers],[As,lado]],viavelHC[[#This Row],[As,lado]]))</f>
        <v>22</v>
      </c>
      <c r="U10" s="12">
        <f ca="1">IF(viavelHC[[#This Row],[As,lado]]="N.A.",0,comprimento(viavelHC[[#This Row],[nE]],viavelHC[[#This Row],[Ø1]],viavelHC[[#This Row],[e (cm)]],viavelHC[[#This Row],[a (cm)]],viavelHC[[#This Row],[h (cm)]],viavelHC[[#Headers],[As,lado]]))</f>
        <v>445</v>
      </c>
      <c r="V10" s="12" t="str">
        <f ca="1">IF(viavelHC[[#This Row],[N1]]=0,"N.A.",viavelHC[[#This Row],[N1]]&amp;" Ø"&amp;viavelHC[[#This Row],[Ø1]]&amp;"mm C="&amp;viavelHC[[#This Row],[C1]]&amp;"cm")</f>
        <v>6 Ø22mm C=445cm</v>
      </c>
      <c r="W10" s="4">
        <f ca="1">IF(viavelHC[[#This Row],[idDimensionamento]]="","N.A.",INDEX(HC[],MATCH(viavelHC[[#This Row],[Pilar]]&amp;viavelHC[[#This Row],[idDimensionamento]],HC[idPilar,idDimensionamento],0),MATCH("Asp e Asw (cm²/m)",HC[#Headers],0)))</f>
        <v>11.25</v>
      </c>
      <c r="X10" s="12">
        <f ca="1">IF(viavelHC[[#This Row],[Asp]]="N.A.",0,ROUNDUP(viavelHC[[#This Row],[Asp]]/(PI()*(viavelHC[[#This Row],[Ø2]]/10)^2/4)/2,0))</f>
        <v>12</v>
      </c>
      <c r="Y10" s="5">
        <f ca="1">IF(viavelHC[[#This Row],[Asp]]="N.A.",0,dArmadura(viavelHC[[#This Row],[nE]],viavelHC[[#This Row],[Ø (cm)]],viavelHC[[#This Row],[e (cm)]],viavelHC[[#This Row],[a (cm)]],viavelHC[[#This Row],[h (cm)]],viavelHC[[#Headers],[Asp]],viavelHC[[#This Row],[Asp]]))</f>
        <v>8</v>
      </c>
      <c r="Z10" s="12">
        <f ca="1">IF(viavelHC[[#This Row],[Asp]]="N.A.",0,comprimento(viavelHC[[#This Row],[nE]],viavelHC[[#This Row],[Ø2]],viavelHC[[#This Row],[e (cm)]],viavelHC[[#This Row],[a (cm)]],viavelHC[[#This Row],[h (cm)]],viavelHC[[#Headers],[Asp]]))</f>
        <v>885</v>
      </c>
      <c r="AA10" s="12" t="str">
        <f ca="1">IF(viavelHC[[#This Row],[N2]]=0,"N.A.",viavelHC[[#This Row],[N2]]&amp;" Ø"&amp;viavelHC[[#This Row],[Ø2]]&amp;"mm C="&amp;viavelHC[[#This Row],[C2]]&amp;"cm")</f>
        <v>12 Ø8mm C=885cm</v>
      </c>
      <c r="AB10" s="4">
        <f ca="1">viavelHC[[#This Row],[Asp]]</f>
        <v>11.25</v>
      </c>
      <c r="AC10" s="12">
        <f ca="1">IF(viavelHC[[#This Row],[Asw]]="N.A.",0,ROUNDUP(viavelHC[[#This Row],[Asw]]/(PI()*(viavelHC[[#This Row],[Ø3]]/10)^2/4)/2,0))</f>
        <v>12</v>
      </c>
      <c r="AD10" s="5">
        <f ca="1">IF(viavelHC[[#This Row],[Asw]]="N.A.",0,dArmadura(viavelHC[[#This Row],[nE]],viavelHC[[#This Row],[Ø (cm)]],viavelHC[[#This Row],[e (cm)]],viavelHC[[#This Row],[a (cm)]],viavelHC[[#This Row],[h (cm)]],viavelHC[[#Headers],[Asw]],viavelHC[[#This Row],[Asw]]))</f>
        <v>8</v>
      </c>
      <c r="AE10" s="12">
        <f ca="1">IF(viavelHC[[#This Row],[Asw]]="N.A.",0,comprimento(viavelHC[[#This Row],[nE]],viavelHC[[#This Row],[Ø3]],viavelHC[[#This Row],[e (cm)]],viavelHC[[#This Row],[a (cm)]],viavelHC[[#This Row],[h (cm)]],viavelHC[[#Headers],[Asw]]))</f>
        <v>435</v>
      </c>
      <c r="AF10" s="12" t="str">
        <f ca="1">IF(viavelHC[[#This Row],[N3]]=0,"N.A.",viavelHC[[#This Row],[N3]]&amp;" Ø"&amp;viavelHC[[#This Row],[Ø3]]&amp;"mm C="&amp;viavelHC[[#This Row],[C3]]&amp;"cm")</f>
        <v>12 Ø8mm C=435cm</v>
      </c>
      <c r="AG10" s="4">
        <f ca="1">IF(viavelHC[[#This Row],[idDimensionamento]]="","N.A.",INDEX(HC[],MATCH(viavelHC[[#This Row],[Pilar]]&amp;viavelHC[[#This Row],[idDimensionamento]],HC[idPilar,idDimensionamento],0),MATCH("As,sup (cm²)",HC[#Headers],0)))</f>
        <v>4.5446961807036805</v>
      </c>
      <c r="AH10" s="12">
        <f ca="1">IF(viavelHC[[#This Row],[As,sup]]="N.A.",0,ROUNDUP(viavelHC[[#This Row],[As,sup]]/(PI()*(viavelHC[[#This Row],[Ø4]]/10)^2/4),0))</f>
        <v>15</v>
      </c>
      <c r="AI10" s="5">
        <f ca="1">IF(viavelHC[[#This Row],[As,sup]]="N.A.",0,dArmadura(viavelHC[[#This Row],[nE]],viavelHC[[#This Row],[Ø (cm)]],viavelHC[[#This Row],[e (cm)]],viavelHC[[#This Row],[a (cm)]],viavelHC[[#This Row],[h (cm)]],viavelHC[[#Headers],[As,sup]],viavelHC[[#This Row],[As,sup]]))</f>
        <v>6.3</v>
      </c>
      <c r="AJ10" s="12">
        <f ca="1">IF(viavelHC[[#This Row],[As,sup]]="N.A.",0,comprimento(viavelHC[[#This Row],[nE]],viavelHC[[#This Row],[Ø4]],viavelHC[[#This Row],[e (cm)]],viavelHC[[#This Row],[a (cm)]],viavelHC[[#This Row],[h (cm)]],viavelHC[[#Headers],[As,sup]]))</f>
        <v>295</v>
      </c>
      <c r="AK10" s="12" t="str">
        <f ca="1">IF(viavelHC[[#This Row],[N4]]=0,"N.A.",viavelHC[[#This Row],[N4]]&amp;" Ø"&amp;viavelHC[[#This Row],[Ø4]]&amp;"mm C="&amp;viavelHC[[#This Row],[C4]]&amp;"cm")</f>
        <v>15 Ø6,3mm C=295cm</v>
      </c>
      <c r="AL10" s="4" t="str">
        <f ca="1">IF(viavelHC[[#This Row],[idDimensionamento]]="","N.A.",INDEX(HC[],MATCH(viavelHC[[#This Row],[Pilar]]&amp;viavelHC[[#This Row],[idDimensionamento]],HC[idPilar,idDimensionamento],0),MATCH("As,malha (cm²)",HC[#Headers],0)))</f>
        <v>N.A.</v>
      </c>
      <c r="AM10" s="12">
        <f ca="1">IF(viavelHC[[#This Row],[As,malha]]="N.A.",0,ROUNDUP(viavelHC[[#This Row],[As,malha]]/(PI()*(viavelHC[[#This Row],[Ø5]]/10)^2/4),0))</f>
        <v>0</v>
      </c>
      <c r="AN10" s="5">
        <f ca="1">IF(viavelHC[[#This Row],[As,malha]]="N.A.",0,dArmadura(viavelHC[[#This Row],[nE]],viavelHC[[#This Row],[Ø (cm)]],viavelHC[[#This Row],[e (cm)]],viavelHC[[#This Row],[a (cm)]],viavelHC[[#This Row],[h (cm)]],viavelHC[[#Headers],[As,malha]],viavelHC[[#This Row],[As,malha]]))</f>
        <v>0</v>
      </c>
      <c r="AO10" s="12">
        <f ca="1">IF(viavelHC[[#This Row],[As,malha]]="N.A.",0,comprimento(viavelHC[[#This Row],[nE]],viavelHC[[#This Row],[Ø4]],viavelHC[[#This Row],[e (cm)]],viavelHC[[#This Row],[a (cm)]],viavelHC[[#This Row],[h (cm)]],viavelHC[[#Headers],[As,malha]]))</f>
        <v>0</v>
      </c>
      <c r="AP10" s="12" t="str">
        <f ca="1">IF(viavelHC[[#This Row],[N5]]=0,"N.A.",viavelHC[[#This Row],[N5]]&amp;" Ø"&amp;viavelHC[[#This Row],[Ø5]]&amp;"mm C="&amp;viavelHC[[#This Row],[C5]]&amp;"cm")</f>
        <v>N.A.</v>
      </c>
      <c r="AQ10" s="4" t="str">
        <f ca="1">IF(viavelHC[[#This Row],[idDimensionamento]]="","N.A.",INDEX(HC[],MATCH(viavelHC[[#This Row],[Pilar]]&amp;viavelHC[[#This Row],[idDimensionamento]],HC[idPilar,idDimensionamento],0),MATCH("As,susp,tot (cm²)",HC[#Headers],0)))</f>
        <v>N.A.</v>
      </c>
      <c r="AR10" s="12">
        <f ca="1">IF(viavelHC[[#This Row],[As,susp,tot]]="N.A.",0,ROUNDUP(viavelHC[[#This Row],[As,susp,tot]]/(PI()*(viavelHC[[#This Row],[Ø6]]/10)^2/4),0))</f>
        <v>0</v>
      </c>
      <c r="AS10" s="5">
        <f ca="1">IF(viavelHC[[#This Row],[As,susp,tot]]="N.A.",0,dArmadura(viavelHC[[#This Row],[nE]],viavelHC[[#This Row],[Ø (cm)]],viavelHC[[#This Row],[e (cm)]],viavelHC[[#This Row],[a (cm)]],viavelHC[[#This Row],[h (cm)]],viavelHC[[#Headers],[As,susp,tot]],viavelHC[[#This Row],[As,susp,tot]]))</f>
        <v>0</v>
      </c>
      <c r="AT10" s="12">
        <f ca="1">IF(viavelHC[[#This Row],[As,susp,tot]]="N.A.",0,comprimento(viavelHC[[#This Row],[nE]],viavelHC[[#This Row],[Ø4]],viavelHC[[#This Row],[e (cm)]],viavelHC[[#This Row],[a (cm)]],viavelHC[[#This Row],[h (cm)]],viavelHC[[#Headers],[As,susp,tot]]))</f>
        <v>0</v>
      </c>
      <c r="AU10" s="12" t="str">
        <f ca="1">IF(viavelHC[[#This Row],[N6]]=0,"N.A.",viavelHC[[#This Row],[N6]]&amp;" Ø"&amp;viavelHC[[#This Row],[Ø6]]&amp;"mm C="&amp;viavelHC[[#This Row],[C6]]&amp;"cm")</f>
        <v>N.A.</v>
      </c>
      <c r="AV10" s="4" t="str">
        <f ca="1">IF(viavelHC[[#This Row],[idDimensionamento]]="","N.A.",INDEX(HC[],MATCH(viavelHC[[#This Row],[Pilar]]&amp;viavelHC[[#This Row],[idDimensionamento]],HC[idPilar,idDimensionamento],0),MATCH("Asp,face (cm²)",HC[#Headers],0)))</f>
        <v>N.A.</v>
      </c>
      <c r="AW10" s="12">
        <f ca="1">IF(viavelHC[[#This Row],[Asp,face]]="N.A.",0,ROUNDUP(viavelHC[[#This Row],[Asp,face]]/(PI()*(viavelHC[[#This Row],[Ø7]]/10)^2/4),0))</f>
        <v>0</v>
      </c>
      <c r="AX10" s="5">
        <f ca="1">IF(viavelHC[[#This Row],[Asp,face]]="N.A.",0,dArmadura(viavelHC[[#This Row],[nE]],viavelHC[[#This Row],[Ø (cm)]],viavelHC[[#This Row],[e (cm)]],viavelHC[[#This Row],[a (cm)]],viavelHC[[#This Row],[h (cm)]],viavelHC[[#Headers],[Asp,face]],viavelHC[[#This Row],[Asp,face]]))</f>
        <v>0</v>
      </c>
      <c r="AY10" s="12">
        <f ca="1">IF(viavelHC[[#This Row],[Asp,face]]="N.A.",0,comprimento(viavelHC[[#This Row],[nE]],viavelHC[[#This Row],[Ø4]],viavelHC[[#This Row],[e (cm)]],viavelHC[[#This Row],[a (cm)]],viavelHC[[#This Row],[h (cm)]],viavelHC[[#Headers],[Asp,face]]))</f>
        <v>0</v>
      </c>
      <c r="AZ10" s="12" t="str">
        <f ca="1">IF(viavelHC[[#This Row],[N7]]=0,"N.A.",viavelHC[[#This Row],[N7]]&amp;" Ø"&amp;viavelHC[[#This Row],[Ø7]]&amp;"mm C="&amp;viavelHC[[#This Row],[C7]]&amp;"cm")</f>
        <v>N.A.</v>
      </c>
    </row>
    <row r="11" spans="2:52" x14ac:dyDescent="0.25">
      <c r="C11" s="16"/>
      <c r="D11" s="16"/>
      <c r="E11" s="16"/>
      <c r="F11" s="16"/>
      <c r="G11" s="16"/>
      <c r="H11" s="16"/>
      <c r="I11" s="16"/>
      <c r="J11" s="16"/>
      <c r="K11" s="16"/>
      <c r="L11" s="16"/>
      <c r="M11" s="16"/>
      <c r="N11" s="16"/>
      <c r="O11" s="16"/>
      <c r="P11" s="16"/>
      <c r="Q11" s="16"/>
    </row>
    <row r="12" spans="2:52" x14ac:dyDescent="0.25">
      <c r="C12" s="16"/>
      <c r="D12" s="16"/>
      <c r="E12" s="16"/>
      <c r="F12" s="16"/>
      <c r="G12" s="16"/>
      <c r="H12" s="16"/>
      <c r="I12" s="16"/>
      <c r="J12" s="16"/>
      <c r="K12" s="16"/>
      <c r="L12" s="16"/>
      <c r="M12" s="16"/>
      <c r="N12" s="16"/>
      <c r="O12" s="16"/>
      <c r="P12" s="16"/>
      <c r="Q12" s="16"/>
    </row>
  </sheetData>
  <mergeCells count="4">
    <mergeCell ref="B3:D3"/>
    <mergeCell ref="G3:N3"/>
    <mergeCell ref="O3:AZ3"/>
    <mergeCell ref="E3:F3"/>
  </mergeCells>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F4CE2-BA10-43E1-B3BC-D271E8F17BE0}">
  <sheetPr codeName="cenarios"/>
  <dimension ref="A1:O38"/>
  <sheetViews>
    <sheetView showGridLines="0" tabSelected="1" zoomScaleNormal="100" workbookViewId="0">
      <selection activeCell="I15" sqref="I15"/>
    </sheetView>
  </sheetViews>
  <sheetFormatPr defaultColWidth="0" defaultRowHeight="15" x14ac:dyDescent="0.25"/>
  <cols>
    <col min="1" max="1" width="2.7109375" style="1" customWidth="1"/>
    <col min="2" max="2" width="25.85546875" style="1" hidden="1" customWidth="1"/>
    <col min="3" max="3" width="18" style="1" hidden="1" customWidth="1"/>
    <col min="4" max="4" width="25.85546875" style="42" bestFit="1" customWidth="1"/>
    <col min="5" max="5" width="9.5703125" style="1" bestFit="1" customWidth="1"/>
    <col min="6" max="6" width="24.7109375" style="1" customWidth="1"/>
    <col min="7" max="7" width="1.7109375" style="1" customWidth="1"/>
    <col min="8" max="8" width="25.85546875" style="42" bestFit="1" customWidth="1"/>
    <col min="9" max="9" width="9.5703125" style="1" bestFit="1" customWidth="1"/>
    <col min="10" max="10" width="24.7109375" style="1" customWidth="1"/>
    <col min="11" max="11" width="1.7109375" style="1" customWidth="1"/>
    <col min="12" max="12" width="25.85546875" style="42" bestFit="1" customWidth="1"/>
    <col min="13" max="13" width="9.5703125" style="1" bestFit="1" customWidth="1"/>
    <col min="14" max="14" width="24.7109375" style="1" customWidth="1"/>
    <col min="15" max="15" width="2.7109375" style="1" customWidth="1"/>
    <col min="16" max="16384" width="9.140625" style="1" hidden="1"/>
  </cols>
  <sheetData>
    <row r="1" spans="2:14" ht="5.0999999999999996" customHeight="1" x14ac:dyDescent="0.25"/>
    <row r="2" spans="2:14" ht="20.25" x14ac:dyDescent="0.25">
      <c r="D2" s="75" t="s">
        <v>235</v>
      </c>
      <c r="E2" s="75"/>
      <c r="F2" s="75"/>
      <c r="H2" s="75" t="s">
        <v>246</v>
      </c>
      <c r="I2" s="75"/>
      <c r="J2" s="75"/>
      <c r="L2" s="75" t="s">
        <v>247</v>
      </c>
      <c r="M2" s="75"/>
      <c r="N2" s="75"/>
    </row>
    <row r="3" spans="2:14" ht="15.75" x14ac:dyDescent="0.25">
      <c r="D3" s="44" t="s">
        <v>238</v>
      </c>
      <c r="E3" s="76" t="s">
        <v>31</v>
      </c>
      <c r="F3" s="77"/>
      <c r="H3" s="46" t="s">
        <v>238</v>
      </c>
      <c r="I3" s="78" t="s">
        <v>42</v>
      </c>
      <c r="J3" s="79"/>
      <c r="L3" s="45" t="s">
        <v>238</v>
      </c>
      <c r="M3" s="80" t="s">
        <v>38</v>
      </c>
      <c r="N3" s="81"/>
    </row>
    <row r="4" spans="2:14" ht="15.75" x14ac:dyDescent="0.25">
      <c r="D4" s="44" t="s">
        <v>236</v>
      </c>
      <c r="E4" s="43" t="s">
        <v>242</v>
      </c>
      <c r="H4" s="46" t="s">
        <v>236</v>
      </c>
      <c r="I4" s="47" t="s">
        <v>242</v>
      </c>
      <c r="L4" s="45" t="s">
        <v>236</v>
      </c>
      <c r="M4" s="48" t="s">
        <v>242</v>
      </c>
    </row>
    <row r="5" spans="2:14" ht="15.75" x14ac:dyDescent="0.25">
      <c r="D5" s="44" t="s">
        <v>237</v>
      </c>
      <c r="E5" s="43" t="s">
        <v>241</v>
      </c>
      <c r="F5" s="4"/>
      <c r="H5" s="46" t="s">
        <v>237</v>
      </c>
      <c r="I5" s="47" t="s">
        <v>241</v>
      </c>
      <c r="L5" s="45" t="s">
        <v>237</v>
      </c>
      <c r="M5" s="48" t="s">
        <v>241</v>
      </c>
    </row>
    <row r="6" spans="2:14" ht="15.75" x14ac:dyDescent="0.25">
      <c r="D6" s="44" t="s">
        <v>277</v>
      </c>
      <c r="E6" s="61">
        <v>0.25</v>
      </c>
      <c r="F6" s="4"/>
      <c r="H6" s="46" t="s">
        <v>277</v>
      </c>
      <c r="I6" s="62">
        <v>0.22</v>
      </c>
      <c r="L6" s="45" t="s">
        <v>277</v>
      </c>
      <c r="M6" s="63">
        <v>0.25</v>
      </c>
    </row>
    <row r="9" spans="2:14" x14ac:dyDescent="0.25">
      <c r="D9" s="42" t="s">
        <v>244</v>
      </c>
      <c r="E9" s="1" t="s">
        <v>243</v>
      </c>
      <c r="F9" s="1" t="s">
        <v>245</v>
      </c>
      <c r="H9" s="42" t="s">
        <v>244</v>
      </c>
      <c r="I9" s="1" t="s">
        <v>243</v>
      </c>
      <c r="J9" s="1" t="s">
        <v>245</v>
      </c>
      <c r="L9" s="42" t="s">
        <v>244</v>
      </c>
      <c r="M9" s="1" t="s">
        <v>243</v>
      </c>
      <c r="N9" s="1" t="s">
        <v>245</v>
      </c>
    </row>
    <row r="10" spans="2:14" x14ac:dyDescent="0.25">
      <c r="B10" s="42" t="s">
        <v>67</v>
      </c>
      <c r="D10" s="42" t="str">
        <f>INDEX($B$10:$B$18,ROW(cenario1[[#This Row],[Parâmetros]])-ROW(cenario1[[#Headers],[Parâmetros]])-COUNTA($B$10:$B$18)*COUNTIF($D$9:D9,$B$18),1)</f>
        <v>Pilar</v>
      </c>
      <c r="E10" s="4" t="str">
        <f ca="1">calculoCenarios($E$3,$D$2,cenario1[[#This Row],[Parâmetros]],ROW(cenario1[[#This Row],[Parâmetros]])-ROW(cenario1[[#Headers],[Parâmetros]]))</f>
        <v>P01</v>
      </c>
      <c r="F10" s="1" t="str">
        <f ca="1">solucaoCenarios($E$3,$D$2,cenario1[[#This Row],[Parâmetros]],ROW(cenario1[[#This Row],[Parâmetros]])-ROW(cenario1[[#Headers],[Parâmetros]]))</f>
        <v>(60 x 60) cm</v>
      </c>
      <c r="H10" s="42" t="str">
        <f>cenario1[[#This Row],[Parâmetros]]</f>
        <v>Pilar</v>
      </c>
      <c r="I10" s="4" t="str">
        <f ca="1">calculoCenarios($I$3,$H$2,cenario2[[#This Row],[Parâmetros]],ROW(cenario2[[#This Row],[Parâmetros]])-ROW(cenario2[[#Headers],[Parâmetros]]))</f>
        <v>P01</v>
      </c>
      <c r="J10" s="1" t="str">
        <f ca="1">solucaoCenarios($I$3,$H$2,cenario2[[#This Row],[Parâmetros]],ROW(cenario2[[#This Row],[Parâmetros]])-ROW(cenario2[[#Headers],[Parâmetros]]))</f>
        <v>(60 x 60) cm</v>
      </c>
      <c r="L10" s="42" t="str">
        <f>cenario1[[#This Row],[Parâmetros]]</f>
        <v>Pilar</v>
      </c>
      <c r="M10" s="4" t="str">
        <f ca="1">calculoCenarios($M$3,$L$2,cenario3[[#This Row],[Parâmetros]],ROW(cenario3[[#This Row],[Parâmetros]])-ROW(cenario3[[#Headers],[Parâmetros]]))</f>
        <v>P01</v>
      </c>
      <c r="N10" s="1" t="str">
        <f ca="1">solucaoCenarios($M$3,$L$2,cenario3[[#This Row],[Parâmetros]],ROW(cenario3[[#This Row],[Parâmetros]])-ROW(cenario3[[#Headers],[Parâmetros]]))</f>
        <v>(60 x 60) cm</v>
      </c>
    </row>
    <row r="11" spans="2:14" x14ac:dyDescent="0.25">
      <c r="B11" s="42" t="s">
        <v>239</v>
      </c>
      <c r="D11" s="42" t="str">
        <f>INDEX($B$10:$B$18,ROW(cenario1[[#This Row],[Parâmetros]])-ROW(cenario1[[#Headers],[Parâmetros]])-COUNTA($B$10:$B$18)*COUNTIF($D$9:D10,$B$18),1)</f>
        <v>Estacas</v>
      </c>
      <c r="E11" s="4" t="str">
        <f ca="1">calculoCenarios($E$3,$D$2,cenario1[[#This Row],[Parâmetros]],ROW(cenario1[[#This Row],[Parâmetros]])-ROW(cenario1[[#Headers],[Parâmetros]]))</f>
        <v>OP.1</v>
      </c>
      <c r="F11" s="4" t="str">
        <f ca="1">solucaoCenarios($E$3,$D$2,cenario1[[#This Row],[Parâmetros]],ROW(cenario1[[#This Row],[Parâmetros]])-ROW(cenario1[[#Headers],[Parâmetros]]))</f>
        <v>4 Ø50cm Prof. 13 m</v>
      </c>
      <c r="H11" s="42" t="str">
        <f>cenario1[[#This Row],[Parâmetros]]</f>
        <v>Estacas</v>
      </c>
      <c r="I11" s="4" t="str">
        <f ca="1">calculoCenarios($I$3,$H$2,cenario2[[#This Row],[Parâmetros]],ROW(cenario2[[#This Row],[Parâmetros]])-ROW(cenario2[[#Headers],[Parâmetros]]))</f>
        <v>OP.1</v>
      </c>
      <c r="J11" s="1" t="str">
        <f ca="1">solucaoCenarios($I$3,$H$2,cenario2[[#This Row],[Parâmetros]],ROW(cenario2[[#This Row],[Parâmetros]])-ROW(cenario2[[#Headers],[Parâmetros]]))</f>
        <v>4 Ø60cm Prof. 12 m</v>
      </c>
      <c r="L11" s="42" t="str">
        <f>cenario1[[#This Row],[Parâmetros]]</f>
        <v>Estacas</v>
      </c>
      <c r="M11" s="4" t="str">
        <f ca="1">calculoCenarios($M$3,$L$2,cenario3[[#This Row],[Parâmetros]],ROW(cenario3[[#This Row],[Parâmetros]])-ROW(cenario3[[#Headers],[Parâmetros]]))</f>
        <v>OP.1</v>
      </c>
      <c r="N11" s="1" t="str">
        <f ca="1">solucaoCenarios($M$3,$L$2,cenario3[[#This Row],[Parâmetros]],ROW(cenario3[[#This Row],[Parâmetros]])-ROW(cenario3[[#Headers],[Parâmetros]]))</f>
        <v>4 Ø50cm Prof. 13 m</v>
      </c>
    </row>
    <row r="12" spans="2:14" x14ac:dyDescent="0.25">
      <c r="B12" s="42" t="s">
        <v>240</v>
      </c>
      <c r="D12" s="42" t="str">
        <f>INDEX($B$10:$B$18,ROW(cenario1[[#This Row],[Parâmetros]])-ROW(cenario1[[#Headers],[Parâmetros]])-COUNTA($B$10:$B$18)*COUNTIF($D$9:D11,$B$18),1)</f>
        <v>Armadura estacas (cm²)</v>
      </c>
      <c r="E12" s="4">
        <f ca="1">calculoCenarios($E$3,$D$2,cenario1[[#This Row],[Parâmetros]],ROW(cenario1[[#This Row],[Parâmetros]])-ROW(cenario1[[#Headers],[Parâmetros]]))</f>
        <v>7.8539816339744837</v>
      </c>
      <c r="F12" s="1" t="str">
        <f ca="1">solucaoCenarios($E$3,$D$2,cenario1[[#This Row],[Parâmetros]],ROW(cenario1[[#This Row],[Parâmetros]])-ROW(cenario1[[#Headers],[Parâmetros]]))</f>
        <v>6 Ø16mm C=200cm</v>
      </c>
      <c r="H12" s="42" t="str">
        <f>cenario1[[#This Row],[Parâmetros]]</f>
        <v>Armadura estacas (cm²)</v>
      </c>
      <c r="I12" s="4">
        <f ca="1">calculoCenarios($I$3,$H$2,cenario2[[#This Row],[Parâmetros]],ROW(cenario2[[#This Row],[Parâmetros]])-ROW(cenario2[[#Headers],[Parâmetros]]))</f>
        <v>11.309733552923255</v>
      </c>
      <c r="J12" s="1" t="str">
        <f ca="1">solucaoCenarios($I$3,$H$2,cenario2[[#This Row],[Parâmetros]],ROW(cenario2[[#This Row],[Parâmetros]])-ROW(cenario2[[#Headers],[Parâmetros]]))</f>
        <v>6 Ø16mm C=400cm</v>
      </c>
      <c r="L12" s="42" t="str">
        <f>cenario1[[#This Row],[Parâmetros]]</f>
        <v>Armadura estacas (cm²)</v>
      </c>
      <c r="M12" s="4">
        <f ca="1">calculoCenarios($M$3,$L$2,cenario3[[#This Row],[Parâmetros]],ROW(cenario3[[#This Row],[Parâmetros]])-ROW(cenario3[[#Headers],[Parâmetros]]))</f>
        <v>7.8539816339744837</v>
      </c>
      <c r="N12" s="1" t="str">
        <f ca="1">solucaoCenarios($M$3,$L$2,cenario3[[#This Row],[Parâmetros]],ROW(cenario3[[#This Row],[Parâmetros]])-ROW(cenario3[[#Headers],[Parâmetros]]))</f>
        <v>6 Ø16mm C=400cm</v>
      </c>
    </row>
    <row r="13" spans="2:14" x14ac:dyDescent="0.25">
      <c r="B13" s="42" t="s">
        <v>107</v>
      </c>
      <c r="D13" s="42" t="str">
        <f>INDEX($B$10:$B$18,ROW(cenario1[[#This Row],[Parâmetros]])-ROW(cenario1[[#Headers],[Parâmetros]])-COUNTA($B$10:$B$18)*COUNTIF($D$9:D12,$B$18),1)</f>
        <v>As,lado (cm²)</v>
      </c>
      <c r="E13" s="4">
        <f ca="1">calculoCenarios($E$3,$D$2,cenario1[[#This Row],[Parâmetros]],ROW(cenario1[[#This Row],[Parâmetros]])-ROW(cenario1[[#Headers],[Parâmetros]]))</f>
        <v>20.125</v>
      </c>
      <c r="F13" s="1" t="str">
        <f ca="1">solucaoCenarios($E$3,$D$2,cenario1[[#This Row],[Parâmetros]],ROW(cenario1[[#This Row],[Parâmetros]])-ROW(cenario1[[#Headers],[Parâmetros]]))</f>
        <v>7 Ø20mm C=430cm</v>
      </c>
      <c r="H13" s="42" t="str">
        <f>cenario1[[#This Row],[Parâmetros]]</f>
        <v>As,lado (cm²)</v>
      </c>
      <c r="I13" s="4">
        <f ca="1">calculoCenarios($I$3,$H$2,cenario2[[#This Row],[Parâmetros]],ROW(cenario2[[#This Row],[Parâmetros]])-ROW(cenario2[[#Headers],[Parâmetros]]))</f>
        <v>20.125</v>
      </c>
      <c r="J13" s="1" t="str">
        <f ca="1">solucaoCenarios($I$3,$H$2,cenario2[[#This Row],[Parâmetros]],ROW(cenario2[[#This Row],[Parâmetros]])-ROW(cenario2[[#Headers],[Parâmetros]]))</f>
        <v>7 Ø20mm C=490cm</v>
      </c>
      <c r="L13" s="42" t="str">
        <f>cenario1[[#This Row],[Parâmetros]]</f>
        <v>As,lado (cm²)</v>
      </c>
      <c r="M13" s="4">
        <f ca="1">calculoCenarios($M$3,$L$2,cenario3[[#This Row],[Parâmetros]],ROW(cenario3[[#This Row],[Parâmetros]])-ROW(cenario3[[#Headers],[Parâmetros]]))</f>
        <v>20.125</v>
      </c>
      <c r="N13" s="1" t="str">
        <f ca="1">solucaoCenarios($M$3,$L$2,cenario3[[#This Row],[Parâmetros]],ROW(cenario3[[#This Row],[Parâmetros]])-ROW(cenario3[[#Headers],[Parâmetros]]))</f>
        <v>7 Ø20mm C=430cm</v>
      </c>
    </row>
    <row r="14" spans="2:14" x14ac:dyDescent="0.25">
      <c r="B14" s="42" t="s">
        <v>128</v>
      </c>
      <c r="D14" s="42" t="str">
        <f>INDEX($B$10:$B$18,ROW(cenario1[[#This Row],[Parâmetros]])-ROW(cenario1[[#Headers],[Parâmetros]])-COUNTA($B$10:$B$18)*COUNTIF($D$9:D13,$B$18),1)</f>
        <v>Asp e Asw (cm²/m)</v>
      </c>
      <c r="E14" s="4" t="str">
        <f ca="1">calculoCenarios($E$3,$D$2,cenario1[[#This Row],[Parâmetros]],ROW(cenario1[[#This Row],[Parâmetros]])-ROW(cenario1[[#Headers],[Parâmetros]]))</f>
        <v>N.A.</v>
      </c>
      <c r="F14" s="1" t="str">
        <f ca="1">solucaoCenarios($E$3,$D$2,cenario1[[#This Row],[Parâmetros]],ROW(cenario1[[#This Row],[Parâmetros]])-ROW(cenario1[[#Headers],[Parâmetros]]))</f>
        <v>N.A.</v>
      </c>
      <c r="H14" s="42" t="str">
        <f>cenario1[[#This Row],[Parâmetros]]</f>
        <v>Asp e Asw (cm²/m)</v>
      </c>
      <c r="I14" s="4" t="str">
        <f ca="1">calculoCenarios($I$3,$H$2,cenario2[[#This Row],[Parâmetros]],ROW(cenario2[[#This Row],[Parâmetros]])-ROW(cenario2[[#Headers],[Parâmetros]]))</f>
        <v>N.A.</v>
      </c>
      <c r="J14" s="1" t="str">
        <f ca="1">solucaoCenarios($I$3,$H$2,cenario2[[#This Row],[Parâmetros]],ROW(cenario2[[#This Row],[Parâmetros]])-ROW(cenario2[[#Headers],[Parâmetros]]))</f>
        <v>N.A.</v>
      </c>
      <c r="L14" s="42" t="str">
        <f>cenario1[[#This Row],[Parâmetros]]</f>
        <v>Asp e Asw (cm²/m)</v>
      </c>
      <c r="M14" s="4" t="str">
        <f ca="1">calculoCenarios($M$3,$L$2,cenario3[[#This Row],[Parâmetros]],ROW(cenario3[[#This Row],[Parâmetros]])-ROW(cenario3[[#Headers],[Parâmetros]]))</f>
        <v>N.A.</v>
      </c>
      <c r="N14" s="1" t="str">
        <f ca="1">solucaoCenarios($M$3,$L$2,cenario3[[#This Row],[Parâmetros]],ROW(cenario3[[#This Row],[Parâmetros]])-ROW(cenario3[[#Headers],[Parâmetros]]))</f>
        <v>N.A.</v>
      </c>
    </row>
    <row r="15" spans="2:14" x14ac:dyDescent="0.25">
      <c r="B15" s="42" t="s">
        <v>108</v>
      </c>
      <c r="D15" s="42" t="str">
        <f>INDEX($B$10:$B$18,ROW(cenario1[[#This Row],[Parâmetros]])-ROW(cenario1[[#Headers],[Parâmetros]])-COUNTA($B$10:$B$18)*COUNTIF($D$9:D14,$B$18),1)</f>
        <v>As,sup (cm²)</v>
      </c>
      <c r="E15" s="4">
        <f ca="1">calculoCenarios($E$3,$D$2,cenario1[[#This Row],[Parâmetros]],ROW(cenario1[[#This Row],[Parâmetros]])-ROW(cenario1[[#Headers],[Parâmetros]]))</f>
        <v>4.0250000000000004</v>
      </c>
      <c r="F15" s="1" t="str">
        <f ca="1">solucaoCenarios($E$3,$D$2,cenario1[[#This Row],[Parâmetros]],ROW(cenario1[[#This Row],[Parâmetros]])-ROW(cenario1[[#Headers],[Parâmetros]]))</f>
        <v>1 Ø25mm C=295cm</v>
      </c>
      <c r="H15" s="42" t="str">
        <f>cenario1[[#This Row],[Parâmetros]]</f>
        <v>As,sup (cm²)</v>
      </c>
      <c r="I15" s="4">
        <f ca="1">calculoCenarios($I$3,$H$2,cenario2[[#This Row],[Parâmetros]],ROW(cenario2[[#This Row],[Parâmetros]])-ROW(cenario2[[#Headers],[Parâmetros]]))</f>
        <v>4.0250000000000004</v>
      </c>
      <c r="J15" s="1" t="str">
        <f ca="1">solucaoCenarios($I$3,$H$2,cenario2[[#This Row],[Parâmetros]],ROW(cenario2[[#This Row],[Parâmetros]])-ROW(cenario2[[#Headers],[Parâmetros]]))</f>
        <v>1 Ø25mm C=355cm</v>
      </c>
      <c r="L15" s="42" t="str">
        <f>cenario1[[#This Row],[Parâmetros]]</f>
        <v>As,sup (cm²)</v>
      </c>
      <c r="M15" s="4">
        <f ca="1">calculoCenarios($M$3,$L$2,cenario3[[#This Row],[Parâmetros]],ROW(cenario3[[#This Row],[Parâmetros]])-ROW(cenario3[[#Headers],[Parâmetros]]))</f>
        <v>4.0250000000000004</v>
      </c>
      <c r="N15" s="1" t="str">
        <f ca="1">solucaoCenarios($M$3,$L$2,cenario3[[#This Row],[Parâmetros]],ROW(cenario3[[#This Row],[Parâmetros]])-ROW(cenario3[[#Headers],[Parâmetros]]))</f>
        <v>1 Ø25mm C=295cm</v>
      </c>
    </row>
    <row r="16" spans="2:14" x14ac:dyDescent="0.25">
      <c r="B16" s="42" t="s">
        <v>109</v>
      </c>
      <c r="D16" s="42" t="str">
        <f>INDEX($B$10:$B$18,ROW(cenario1[[#This Row],[Parâmetros]])-ROW(cenario1[[#Headers],[Parâmetros]])-COUNTA($B$10:$B$18)*COUNTIF($D$9:D15,$B$18),1)</f>
        <v>As,malha (cm²)</v>
      </c>
      <c r="E16" s="4">
        <f ca="1">calculoCenarios($E$3,$D$2,cenario1[[#This Row],[Parâmetros]],ROW(cenario1[[#This Row],[Parâmetros]])-ROW(cenario1[[#Headers],[Parâmetros]]))</f>
        <v>4.0250000000000004</v>
      </c>
      <c r="F16" s="1" t="str">
        <f ca="1">solucaoCenarios($E$3,$D$2,cenario1[[#This Row],[Parâmetros]],ROW(cenario1[[#This Row],[Parâmetros]])-ROW(cenario1[[#Headers],[Parâmetros]]))</f>
        <v>1 Ø25mm C=465cm</v>
      </c>
      <c r="H16" s="42" t="str">
        <f>cenario1[[#This Row],[Parâmetros]]</f>
        <v>As,malha (cm²)</v>
      </c>
      <c r="I16" s="4">
        <f ca="1">calculoCenarios($I$3,$H$2,cenario2[[#This Row],[Parâmetros]],ROW(cenario2[[#This Row],[Parâmetros]])-ROW(cenario2[[#Headers],[Parâmetros]]))</f>
        <v>4.0250000000000004</v>
      </c>
      <c r="J16" s="1" t="str">
        <f ca="1">solucaoCenarios($I$3,$H$2,cenario2[[#This Row],[Parâmetros]],ROW(cenario2[[#This Row],[Parâmetros]])-ROW(cenario2[[#Headers],[Parâmetros]]))</f>
        <v>1 Ø25mm C=525cm</v>
      </c>
      <c r="L16" s="42" t="str">
        <f>cenario1[[#This Row],[Parâmetros]]</f>
        <v>As,malha (cm²)</v>
      </c>
      <c r="M16" s="4">
        <f ca="1">calculoCenarios($M$3,$L$2,cenario3[[#This Row],[Parâmetros]],ROW(cenario3[[#This Row],[Parâmetros]])-ROW(cenario3[[#Headers],[Parâmetros]]))</f>
        <v>4.0250000000000004</v>
      </c>
      <c r="N16" s="1" t="str">
        <f ca="1">solucaoCenarios($M$3,$L$2,cenario3[[#This Row],[Parâmetros]],ROW(cenario3[[#This Row],[Parâmetros]])-ROW(cenario3[[#Headers],[Parâmetros]]))</f>
        <v>1 Ø25mm C=465cm</v>
      </c>
    </row>
    <row r="17" spans="2:14" x14ac:dyDescent="0.25">
      <c r="B17" s="42" t="s">
        <v>110</v>
      </c>
      <c r="D17" s="42" t="str">
        <f>INDEX($B$10:$B$18,ROW(cenario1[[#This Row],[Parâmetros]])-ROW(cenario1[[#Headers],[Parâmetros]])-COUNTA($B$10:$B$18)*COUNTIF($D$9:D16,$B$18),1)</f>
        <v>As,susp,tot (cm²)</v>
      </c>
      <c r="E17" s="4">
        <f ca="1">calculoCenarios($E$3,$D$2,cenario1[[#This Row],[Parâmetros]],ROW(cenario1[[#This Row],[Parâmetros]])-ROW(cenario1[[#Headers],[Parâmetros]]))</f>
        <v>13.416666666666666</v>
      </c>
      <c r="F17" s="1" t="str">
        <f ca="1">solucaoCenarios($E$3,$D$2,cenario1[[#This Row],[Parâmetros]],ROW(cenario1[[#This Row],[Parâmetros]])-ROW(cenario1[[#Headers],[Parâmetros]]))</f>
        <v>27 Ø8mm C=235cm</v>
      </c>
      <c r="H17" s="42" t="str">
        <f>cenario1[[#This Row],[Parâmetros]]</f>
        <v>As,susp,tot (cm²)</v>
      </c>
      <c r="I17" s="4">
        <f ca="1">calculoCenarios($I$3,$H$2,cenario2[[#This Row],[Parâmetros]],ROW(cenario2[[#This Row],[Parâmetros]])-ROW(cenario2[[#Headers],[Parâmetros]]))</f>
        <v>13.416666666666666</v>
      </c>
      <c r="J17" s="1" t="str">
        <f ca="1">solucaoCenarios($I$3,$H$2,cenario2[[#This Row],[Parâmetros]],ROW(cenario2[[#This Row],[Parâmetros]])-ROW(cenario2[[#Headers],[Parâmetros]]))</f>
        <v>44 Ø6,3mm C=255cm</v>
      </c>
      <c r="L17" s="42" t="str">
        <f>cenario1[[#This Row],[Parâmetros]]</f>
        <v>As,susp,tot (cm²)</v>
      </c>
      <c r="M17" s="4">
        <f ca="1">calculoCenarios($M$3,$L$2,cenario3[[#This Row],[Parâmetros]],ROW(cenario3[[#This Row],[Parâmetros]])-ROW(cenario3[[#Headers],[Parâmetros]]))</f>
        <v>13.416666666666666</v>
      </c>
      <c r="N17" s="1" t="str">
        <f ca="1">solucaoCenarios($M$3,$L$2,cenario3[[#This Row],[Parâmetros]],ROW(cenario3[[#This Row],[Parâmetros]])-ROW(cenario3[[#Headers],[Parâmetros]]))</f>
        <v>27 Ø8mm C=235cm</v>
      </c>
    </row>
    <row r="18" spans="2:14" x14ac:dyDescent="0.25">
      <c r="B18" s="42" t="s">
        <v>111</v>
      </c>
      <c r="D18" s="42" t="str">
        <f>INDEX($B$10:$B$18,ROW(cenario1[[#This Row],[Parâmetros]])-ROW(cenario1[[#Headers],[Parâmetros]])-COUNTA($B$10:$B$18)*COUNTIF($D$9:D17,$B$18),1)</f>
        <v>Asp,face (cm²)</v>
      </c>
      <c r="E18" s="4">
        <f ca="1">calculoCenarios($E$3,$D$2,cenario1[[#This Row],[Parâmetros]],ROW(cenario1[[#This Row],[Parâmetros]])-ROW(cenario1[[#Headers],[Parâmetros]]))</f>
        <v>10.0625</v>
      </c>
      <c r="F18" s="1" t="str">
        <f ca="1">solucaoCenarios($E$3,$D$2,cenario1[[#This Row],[Parâmetros]],ROW(cenario1[[#This Row],[Parâmetros]])-ROW(cenario1[[#Headers],[Parâmetros]]))</f>
        <v>13 Ø10mm C=1185cm</v>
      </c>
      <c r="H18" s="42" t="str">
        <f>cenario1[[#This Row],[Parâmetros]]</f>
        <v>Asp,face (cm²)</v>
      </c>
      <c r="I18" s="4">
        <f ca="1">calculoCenarios($I$3,$H$2,cenario2[[#This Row],[Parâmetros]],ROW(cenario2[[#This Row],[Parâmetros]])-ROW(cenario2[[#Headers],[Parâmetros]]))</f>
        <v>10.0625</v>
      </c>
      <c r="J18" s="1" t="str">
        <f ca="1">solucaoCenarios($I$3,$H$2,cenario2[[#This Row],[Parâmetros]],ROW(cenario2[[#This Row],[Parâmetros]])-ROW(cenario2[[#Headers],[Parâmetros]]))</f>
        <v>21 Ø8mm C=1425cm</v>
      </c>
      <c r="L18" s="42" t="str">
        <f>cenario1[[#This Row],[Parâmetros]]</f>
        <v>Asp,face (cm²)</v>
      </c>
      <c r="M18" s="4">
        <f ca="1">calculoCenarios($M$3,$L$2,cenario3[[#This Row],[Parâmetros]],ROW(cenario3[[#This Row],[Parâmetros]])-ROW(cenario3[[#Headers],[Parâmetros]]))</f>
        <v>10.0625</v>
      </c>
      <c r="N18" s="1" t="str">
        <f ca="1">solucaoCenarios($M$3,$L$2,cenario3[[#This Row],[Parâmetros]],ROW(cenario3[[#This Row],[Parâmetros]])-ROW(cenario3[[#Headers],[Parâmetros]]))</f>
        <v>13 Ø10mm C=1185cm</v>
      </c>
    </row>
    <row r="19" spans="2:14" x14ac:dyDescent="0.25">
      <c r="D19" s="42" t="str">
        <f>INDEX($B$10:$B$18,ROW(cenario1[[#This Row],[Parâmetros]])-ROW(cenario1[[#Headers],[Parâmetros]])-COUNTA($B$10:$B$18)*COUNTIF($D$9:D18,$B$18),1)</f>
        <v>Pilar</v>
      </c>
      <c r="E19" s="4" t="str">
        <f ca="1">calculoCenarios($E$3,$D$2,cenario1[[#This Row],[Parâmetros]],ROW(cenario1[[#This Row],[Parâmetros]])-ROW(cenario1[[#Headers],[Parâmetros]]))</f>
        <v>P02</v>
      </c>
      <c r="F19" s="1" t="str">
        <f ca="1">solucaoCenarios($E$3,$D$2,cenario1[[#This Row],[Parâmetros]],ROW(cenario1[[#This Row],[Parâmetros]])-ROW(cenario1[[#Headers],[Parâmetros]]))</f>
        <v>(50 x 40) cm</v>
      </c>
      <c r="H19" s="42" t="str">
        <f>cenario1[[#This Row],[Parâmetros]]</f>
        <v>Pilar</v>
      </c>
      <c r="I19" s="4" t="str">
        <f ca="1">calculoCenarios($I$3,$H$2,cenario2[[#This Row],[Parâmetros]],ROW(cenario2[[#This Row],[Parâmetros]])-ROW(cenario2[[#Headers],[Parâmetros]]))</f>
        <v>P02</v>
      </c>
      <c r="J19" s="1" t="str">
        <f ca="1">solucaoCenarios($I$3,$H$2,cenario2[[#This Row],[Parâmetros]],ROW(cenario2[[#This Row],[Parâmetros]])-ROW(cenario2[[#Headers],[Parâmetros]]))</f>
        <v>(50 x 40) cm</v>
      </c>
      <c r="L19" s="42" t="str">
        <f>cenario1[[#This Row],[Parâmetros]]</f>
        <v>Pilar</v>
      </c>
      <c r="M19" s="4" t="str">
        <f ca="1">calculoCenarios($M$3,$L$2,cenario3[[#This Row],[Parâmetros]],ROW(cenario3[[#This Row],[Parâmetros]])-ROW(cenario3[[#Headers],[Parâmetros]]))</f>
        <v>P02</v>
      </c>
      <c r="N19" s="1" t="str">
        <f ca="1">solucaoCenarios($M$3,$L$2,cenario3[[#This Row],[Parâmetros]],ROW(cenario3[[#This Row],[Parâmetros]])-ROW(cenario3[[#Headers],[Parâmetros]]))</f>
        <v>(50 x 40) cm</v>
      </c>
    </row>
    <row r="20" spans="2:14" x14ac:dyDescent="0.25">
      <c r="D20" s="42" t="str">
        <f>INDEX($B$10:$B$18,ROW(cenario1[[#This Row],[Parâmetros]])-ROW(cenario1[[#Headers],[Parâmetros]])-COUNTA($B$10:$B$18)*COUNTIF($D$9:D19,$B$18),1)</f>
        <v>Estacas</v>
      </c>
      <c r="E20" s="4" t="str">
        <f ca="1">calculoCenarios($E$3,$D$2,cenario1[[#This Row],[Parâmetros]],ROW(cenario1[[#This Row],[Parâmetros]])-ROW(cenario1[[#Headers],[Parâmetros]]))</f>
        <v>OP.1</v>
      </c>
      <c r="F20" s="1" t="str">
        <f ca="1">solucaoCenarios($E$3,$D$2,cenario1[[#This Row],[Parâmetros]],ROW(cenario1[[#This Row],[Parâmetros]])-ROW(cenario1[[#Headers],[Parâmetros]]))</f>
        <v>3 Ø45cm Prof. 12 m</v>
      </c>
      <c r="H20" s="42" t="str">
        <f>cenario1[[#This Row],[Parâmetros]]</f>
        <v>Estacas</v>
      </c>
      <c r="I20" s="4" t="str">
        <f ca="1">calculoCenarios($I$3,$H$2,cenario2[[#This Row],[Parâmetros]],ROW(cenario2[[#This Row],[Parâmetros]])-ROW(cenario2[[#Headers],[Parâmetros]]))</f>
        <v>OP.1</v>
      </c>
      <c r="J20" s="1" t="str">
        <f ca="1">solucaoCenarios($I$3,$H$2,cenario2[[#This Row],[Parâmetros]],ROW(cenario2[[#This Row],[Parâmetros]])-ROW(cenario2[[#Headers],[Parâmetros]]))</f>
        <v>3 Ø60cm Prof. 10 m</v>
      </c>
      <c r="L20" s="42" t="str">
        <f>cenario1[[#This Row],[Parâmetros]]</f>
        <v>Estacas</v>
      </c>
      <c r="M20" s="4" t="str">
        <f ca="1">calculoCenarios($M$3,$L$2,cenario3[[#This Row],[Parâmetros]],ROW(cenario3[[#This Row],[Parâmetros]])-ROW(cenario3[[#Headers],[Parâmetros]]))</f>
        <v>OP.1</v>
      </c>
      <c r="N20" s="1" t="str">
        <f ca="1">solucaoCenarios($M$3,$L$2,cenario3[[#This Row],[Parâmetros]],ROW(cenario3[[#This Row],[Parâmetros]])-ROW(cenario3[[#Headers],[Parâmetros]]))</f>
        <v>4 Ø40cm Prof. 11 m</v>
      </c>
    </row>
    <row r="21" spans="2:14" x14ac:dyDescent="0.25">
      <c r="D21" s="42" t="str">
        <f>INDEX($B$10:$B$18,ROW(cenario1[[#This Row],[Parâmetros]])-ROW(cenario1[[#Headers],[Parâmetros]])-COUNTA($B$10:$B$18)*COUNTIF($D$9:D20,$B$18),1)</f>
        <v>Armadura estacas (cm²)</v>
      </c>
      <c r="E21" s="4">
        <f ca="1">calculoCenarios($E$3,$D$2,cenario1[[#This Row],[Parâmetros]],ROW(cenario1[[#This Row],[Parâmetros]])-ROW(cenario1[[#Headers],[Parâmetros]]))</f>
        <v>6.3617251235193315</v>
      </c>
      <c r="F21" s="1" t="str">
        <f ca="1">solucaoCenarios($E$3,$D$2,cenario1[[#This Row],[Parâmetros]],ROW(cenario1[[#This Row],[Parâmetros]])-ROW(cenario1[[#Headers],[Parâmetros]]))</f>
        <v>6 Ø12,5mm C=200cm</v>
      </c>
      <c r="H21" s="42" t="str">
        <f>cenario1[[#This Row],[Parâmetros]]</f>
        <v>Armadura estacas (cm²)</v>
      </c>
      <c r="I21" s="4">
        <f ca="1">calculoCenarios($I$3,$H$2,cenario2[[#This Row],[Parâmetros]],ROW(cenario2[[#This Row],[Parâmetros]])-ROW(cenario2[[#Headers],[Parâmetros]]))</f>
        <v>11.309733552923255</v>
      </c>
      <c r="J21" s="1" t="str">
        <f ca="1">solucaoCenarios($I$3,$H$2,cenario2[[#This Row],[Parâmetros]],ROW(cenario2[[#This Row],[Parâmetros]])-ROW(cenario2[[#Headers],[Parâmetros]]))</f>
        <v>6 Ø16mm C=400cm</v>
      </c>
      <c r="L21" s="42" t="str">
        <f>cenario1[[#This Row],[Parâmetros]]</f>
        <v>Armadura estacas (cm²)</v>
      </c>
      <c r="M21" s="4">
        <f ca="1">calculoCenarios($M$3,$L$2,cenario3[[#This Row],[Parâmetros]],ROW(cenario3[[#This Row],[Parâmetros]])-ROW(cenario3[[#Headers],[Parâmetros]]))</f>
        <v>5.026548245743669</v>
      </c>
      <c r="N21" s="1" t="str">
        <f ca="1">solucaoCenarios($M$3,$L$2,cenario3[[#This Row],[Parâmetros]],ROW(cenario3[[#This Row],[Parâmetros]])-ROW(cenario3[[#Headers],[Parâmetros]]))</f>
        <v>6 Ø12,5mm C=400cm</v>
      </c>
    </row>
    <row r="22" spans="2:14" x14ac:dyDescent="0.25">
      <c r="D22" s="42" t="str">
        <f>INDEX($B$10:$B$18,ROW(cenario1[[#This Row],[Parâmetros]])-ROW(cenario1[[#Headers],[Parâmetros]])-COUNTA($B$10:$B$18)*COUNTIF($D$9:D21,$B$18),1)</f>
        <v>As,lado (cm²)</v>
      </c>
      <c r="E22" s="4">
        <f ca="1">calculoCenarios($E$3,$D$2,cenario1[[#This Row],[Parâmetros]],ROW(cenario1[[#This Row],[Parâmetros]])-ROW(cenario1[[#Headers],[Parâmetros]]))</f>
        <v>9.0877263068503176</v>
      </c>
      <c r="F22" s="1" t="str">
        <f ca="1">solucaoCenarios($E$3,$D$2,cenario1[[#This Row],[Parâmetros]],ROW(cenario1[[#This Row],[Parâmetros]])-ROW(cenario1[[#Headers],[Parâmetros]]))</f>
        <v>5 Ø16mm C=380cm</v>
      </c>
      <c r="H22" s="42" t="str">
        <f>cenario1[[#This Row],[Parâmetros]]</f>
        <v>As,lado (cm²)</v>
      </c>
      <c r="I22" s="4">
        <f ca="1">calculoCenarios($I$3,$H$2,cenario2[[#This Row],[Parâmetros]],ROW(cenario2[[#This Row],[Parâmetros]])-ROW(cenario2[[#Headers],[Parâmetros]]))</f>
        <v>8.7634368359595936</v>
      </c>
      <c r="J22" s="1" t="str">
        <f ca="1">solucaoCenarios($I$3,$H$2,cenario2[[#This Row],[Parâmetros]],ROW(cenario2[[#This Row],[Parâmetros]])-ROW(cenario2[[#Headers],[Parâmetros]]))</f>
        <v>8 Ø12,5mm C=445cm</v>
      </c>
      <c r="L22" s="42" t="str">
        <f>cenario1[[#This Row],[Parâmetros]]</f>
        <v>As,lado (cm²)</v>
      </c>
      <c r="M22" s="4">
        <f ca="1">calculoCenarios($M$3,$L$2,cenario3[[#This Row],[Parâmetros]],ROW(cenario3[[#This Row],[Parâmetros]])-ROW(cenario3[[#Headers],[Parâmetros]]))</f>
        <v>9.8249565976408366</v>
      </c>
      <c r="N22" s="1" t="str">
        <f ca="1">solucaoCenarios($M$3,$L$2,cenario3[[#This Row],[Parâmetros]],ROW(cenario3[[#This Row],[Parâmetros]])-ROW(cenario3[[#Headers],[Parâmetros]]))</f>
        <v>5 Ø16mm C=345cm</v>
      </c>
    </row>
    <row r="23" spans="2:14" x14ac:dyDescent="0.25">
      <c r="D23" s="42" t="str">
        <f>INDEX($B$10:$B$18,ROW(cenario1[[#This Row],[Parâmetros]])-ROW(cenario1[[#Headers],[Parâmetros]])-COUNTA($B$10:$B$18)*COUNTIF($D$9:D22,$B$18),1)</f>
        <v>Asp e Asw (cm²/m)</v>
      </c>
      <c r="E23" s="4" t="str">
        <f ca="1">calculoCenarios($E$3,$D$2,cenario1[[#This Row],[Parâmetros]],ROW(cenario1[[#This Row],[Parâmetros]])-ROW(cenario1[[#Headers],[Parâmetros]]))</f>
        <v>N.A.</v>
      </c>
      <c r="F23" s="1" t="str">
        <f ca="1">solucaoCenarios($E$3,$D$2,cenario1[[#This Row],[Parâmetros]],ROW(cenario1[[#This Row],[Parâmetros]])-ROW(cenario1[[#Headers],[Parâmetros]]))</f>
        <v>N.A.</v>
      </c>
      <c r="H23" s="42" t="str">
        <f>cenario1[[#This Row],[Parâmetros]]</f>
        <v>Asp e Asw (cm²/m)</v>
      </c>
      <c r="I23" s="4" t="str">
        <f ca="1">calculoCenarios($I$3,$H$2,cenario2[[#This Row],[Parâmetros]],ROW(cenario2[[#This Row],[Parâmetros]])-ROW(cenario2[[#Headers],[Parâmetros]]))</f>
        <v>N.A.</v>
      </c>
      <c r="J23" s="1" t="str">
        <f ca="1">solucaoCenarios($I$3,$H$2,cenario2[[#This Row],[Parâmetros]],ROW(cenario2[[#This Row],[Parâmetros]])-ROW(cenario2[[#Headers],[Parâmetros]]))</f>
        <v>N.A.</v>
      </c>
      <c r="L23" s="42" t="str">
        <f>cenario1[[#This Row],[Parâmetros]]</f>
        <v>Asp e Asw (cm²/m)</v>
      </c>
      <c r="M23" s="4" t="str">
        <f ca="1">calculoCenarios($M$3,$L$2,cenario3[[#This Row],[Parâmetros]],ROW(cenario3[[#This Row],[Parâmetros]])-ROW(cenario3[[#Headers],[Parâmetros]]))</f>
        <v>N.A.</v>
      </c>
      <c r="N23" s="1" t="str">
        <f ca="1">solucaoCenarios($M$3,$L$2,cenario3[[#This Row],[Parâmetros]],ROW(cenario3[[#This Row],[Parâmetros]])-ROW(cenario3[[#Headers],[Parâmetros]]))</f>
        <v>N.A.</v>
      </c>
    </row>
    <row r="24" spans="2:14" x14ac:dyDescent="0.25">
      <c r="D24" s="42" t="str">
        <f>INDEX($B$10:$B$18,ROW(cenario1[[#This Row],[Parâmetros]])-ROW(cenario1[[#Headers],[Parâmetros]])-COUNTA($B$10:$B$18)*COUNTIF($D$9:D23,$B$18),1)</f>
        <v>As,sup (cm²)</v>
      </c>
      <c r="E24" s="4">
        <f ca="1">calculoCenarios($E$3,$D$2,cenario1[[#This Row],[Parâmetros]],ROW(cenario1[[#This Row],[Parâmetros]])-ROW(cenario1[[#Headers],[Parâmetros]]))</f>
        <v>1.8175452613700636</v>
      </c>
      <c r="F24" s="1" t="str">
        <f ca="1">solucaoCenarios($E$3,$D$2,cenario1[[#This Row],[Parâmetros]],ROW(cenario1[[#This Row],[Parâmetros]])-ROW(cenario1[[#Headers],[Parâmetros]]))</f>
        <v>1 Ø16mm C=270cm</v>
      </c>
      <c r="H24" s="42" t="str">
        <f>cenario1[[#This Row],[Parâmetros]]</f>
        <v>As,sup (cm²)</v>
      </c>
      <c r="I24" s="4">
        <f ca="1">calculoCenarios($I$3,$H$2,cenario2[[#This Row],[Parâmetros]],ROW(cenario2[[#This Row],[Parâmetros]])-ROW(cenario2[[#Headers],[Parâmetros]]))</f>
        <v>1.7526873671919188</v>
      </c>
      <c r="J24" s="1" t="str">
        <f ca="1">solucaoCenarios($I$3,$H$2,cenario2[[#This Row],[Parâmetros]],ROW(cenario2[[#This Row],[Parâmetros]])-ROW(cenario2[[#Headers],[Parâmetros]]))</f>
        <v>1 Ø16mm C=360cm</v>
      </c>
      <c r="L24" s="42" t="str">
        <f>cenario1[[#This Row],[Parâmetros]]</f>
        <v>As,sup (cm²)</v>
      </c>
      <c r="M24" s="4">
        <f ca="1">calculoCenarios($M$3,$L$2,cenario3[[#This Row],[Parâmetros]],ROW(cenario3[[#This Row],[Parâmetros]])-ROW(cenario3[[#Headers],[Parâmetros]]))</f>
        <v>1.9649913195281674</v>
      </c>
      <c r="N24" s="1" t="str">
        <f ca="1">solucaoCenarios($M$3,$L$2,cenario3[[#This Row],[Parâmetros]],ROW(cenario3[[#This Row],[Parâmetros]])-ROW(cenario3[[#Headers],[Parâmetros]]))</f>
        <v>1 Ø16mm C=235cm</v>
      </c>
    </row>
    <row r="25" spans="2:14" x14ac:dyDescent="0.25">
      <c r="D25" s="42" t="str">
        <f>INDEX($B$10:$B$18,ROW(cenario1[[#This Row],[Parâmetros]])-ROW(cenario1[[#Headers],[Parâmetros]])-COUNTA($B$10:$B$18)*COUNTIF($D$9:D24,$B$18),1)</f>
        <v>As,malha (cm²)</v>
      </c>
      <c r="E25" s="4">
        <f ca="1">calculoCenarios($E$3,$D$2,cenario1[[#This Row],[Parâmetros]],ROW(cenario1[[#This Row],[Parâmetros]])-ROW(cenario1[[#Headers],[Parâmetros]]))</f>
        <v>2.981481481481481</v>
      </c>
      <c r="F25" s="1" t="str">
        <f ca="1">solucaoCenarios($E$3,$D$2,cenario1[[#This Row],[Parâmetros]],ROW(cenario1[[#This Row],[Parâmetros]])-ROW(cenario1[[#Headers],[Parâmetros]]))</f>
        <v>1 Ø20mm C=270cm</v>
      </c>
      <c r="H25" s="42" t="str">
        <f>cenario1[[#This Row],[Parâmetros]]</f>
        <v>As,malha (cm²)</v>
      </c>
      <c r="I25" s="4">
        <f ca="1">calculoCenarios($I$3,$H$2,cenario2[[#This Row],[Parâmetros]],ROW(cenario2[[#This Row],[Parâmetros]])-ROW(cenario2[[#Headers],[Parâmetros]]))</f>
        <v>2.981481481481481</v>
      </c>
      <c r="J25" s="1" t="str">
        <f ca="1">solucaoCenarios($I$3,$H$2,cenario2[[#This Row],[Parâmetros]],ROW(cenario2[[#This Row],[Parâmetros]])-ROW(cenario2[[#Headers],[Parâmetros]]))</f>
        <v>1 Ø20mm C=360cm</v>
      </c>
      <c r="L25" s="42" t="str">
        <f>cenario1[[#This Row],[Parâmetros]]</f>
        <v>As,malha (cm²)</v>
      </c>
      <c r="M25" s="4">
        <f ca="1">calculoCenarios($M$3,$L$2,cenario3[[#This Row],[Parâmetros]],ROW(cenario3[[#This Row],[Parâmetros]])-ROW(cenario3[[#Headers],[Parâmetros]]))</f>
        <v>1.9649913195281674</v>
      </c>
      <c r="N25" s="1" t="str">
        <f ca="1">solucaoCenarios($M$3,$L$2,cenario3[[#This Row],[Parâmetros]],ROW(cenario3[[#This Row],[Parâmetros]])-ROW(cenario3[[#Headers],[Parâmetros]]))</f>
        <v>1 Ø16mm C=345cm</v>
      </c>
    </row>
    <row r="26" spans="2:14" x14ac:dyDescent="0.25">
      <c r="D26" s="42" t="str">
        <f>INDEX($B$10:$B$18,ROW(cenario1[[#This Row],[Parâmetros]])-ROW(cenario1[[#Headers],[Parâmetros]])-COUNTA($B$10:$B$18)*COUNTIF($D$9:D25,$B$18),1)</f>
        <v>As,susp,tot (cm²)</v>
      </c>
      <c r="E26" s="4">
        <f ca="1">calculoCenarios($E$3,$D$2,cenario1[[#This Row],[Parâmetros]],ROW(cenario1[[#This Row],[Parâmetros]])-ROW(cenario1[[#Headers],[Parâmetros]]))</f>
        <v>8.9444444444444429</v>
      </c>
      <c r="F26" s="1" t="str">
        <f ca="1">solucaoCenarios($E$3,$D$2,cenario1[[#This Row],[Parâmetros]],ROW(cenario1[[#This Row],[Parâmetros]])-ROW(cenario1[[#Headers],[Parâmetros]]))</f>
        <v>29 Ø6,3mm C=60cm</v>
      </c>
      <c r="H26" s="42" t="str">
        <f>cenario1[[#This Row],[Parâmetros]]</f>
        <v>As,susp,tot (cm²)</v>
      </c>
      <c r="I26" s="4">
        <f ca="1">calculoCenarios($I$3,$H$2,cenario2[[#This Row],[Parâmetros]],ROW(cenario2[[#This Row],[Parâmetros]])-ROW(cenario2[[#Headers],[Parâmetros]]))</f>
        <v>8.9444444444444429</v>
      </c>
      <c r="J26" s="1" t="str">
        <f ca="1">solucaoCenarios($I$3,$H$2,cenario2[[#This Row],[Parâmetros]],ROW(cenario2[[#This Row],[Parâmetros]])-ROW(cenario2[[#Headers],[Parâmetros]]))</f>
        <v>29 Ø6,3mm C=90cm</v>
      </c>
      <c r="L26" s="42" t="str">
        <f>cenario1[[#This Row],[Parâmetros]]</f>
        <v>As,susp,tot (cm²)</v>
      </c>
      <c r="M26" s="4">
        <f ca="1">calculoCenarios($M$3,$L$2,cenario3[[#This Row],[Parâmetros]],ROW(cenario3[[#This Row],[Parâmetros]])-ROW(cenario3[[#Headers],[Parâmetros]]))</f>
        <v>6.708333333333333</v>
      </c>
      <c r="N26" s="1" t="str">
        <f ca="1">solucaoCenarios($M$3,$L$2,cenario3[[#This Row],[Parâmetros]],ROW(cenario3[[#This Row],[Parâmetros]])-ROW(cenario3[[#Headers],[Parâmetros]]))</f>
        <v>22 Ø6,3mm C=165cm</v>
      </c>
    </row>
    <row r="27" spans="2:14" x14ac:dyDescent="0.25">
      <c r="D27" s="42" t="str">
        <f>INDEX($B$10:$B$18,ROW(cenario1[[#This Row],[Parâmetros]])-ROW(cenario1[[#Headers],[Parâmetros]])-COUNTA($B$10:$B$18)*COUNTIF($D$9:D26,$B$18),1)</f>
        <v>Asp,face (cm²)</v>
      </c>
      <c r="E27" s="4">
        <f ca="1">calculoCenarios($E$3,$D$2,cenario1[[#This Row],[Parâmetros]],ROW(cenario1[[#This Row],[Parâmetros]])-ROW(cenario1[[#Headers],[Parâmetros]]))</f>
        <v>3.4078973650688691</v>
      </c>
      <c r="F27" s="1" t="str">
        <f ca="1">solucaoCenarios($E$3,$D$2,cenario1[[#This Row],[Parâmetros]],ROW(cenario1[[#This Row],[Parâmetros]])-ROW(cenario1[[#Headers],[Parâmetros]]))</f>
        <v>7 Ø8mm C=380cm</v>
      </c>
      <c r="H27" s="42" t="str">
        <f>cenario1[[#This Row],[Parâmetros]]</f>
        <v>Asp,face (cm²)</v>
      </c>
      <c r="I27" s="4">
        <f ca="1">calculoCenarios($I$3,$H$2,cenario2[[#This Row],[Parâmetros]],ROW(cenario2[[#This Row],[Parâmetros]])-ROW(cenario2[[#Headers],[Parâmetros]]))</f>
        <v>3.2862888134848474</v>
      </c>
      <c r="J27" s="1" t="str">
        <f ca="1">solucaoCenarios($I$3,$H$2,cenario2[[#This Row],[Parâmetros]],ROW(cenario2[[#This Row],[Parâmetros]])-ROW(cenario2[[#Headers],[Parâmetros]]))</f>
        <v>11 Ø6,3mm C=470cm</v>
      </c>
      <c r="L27" s="42" t="str">
        <f>cenario1[[#This Row],[Parâmetros]]</f>
        <v>Asp,face (cm²)</v>
      </c>
      <c r="M27" s="4">
        <f ca="1">calculoCenarios($M$3,$L$2,cenario3[[#This Row],[Parâmetros]],ROW(cenario3[[#This Row],[Parâmetros]])-ROW(cenario3[[#Headers],[Parâmetros]]))</f>
        <v>4.9124782988204183</v>
      </c>
      <c r="N27" s="1" t="str">
        <f ca="1">solucaoCenarios($M$3,$L$2,cenario3[[#This Row],[Parâmetros]],ROW(cenario3[[#This Row],[Parâmetros]])-ROW(cenario3[[#Headers],[Parâmetros]]))</f>
        <v>10 Ø8mm C=945cm</v>
      </c>
    </row>
    <row r="28" spans="2:14" x14ac:dyDescent="0.25">
      <c r="E28" s="4"/>
    </row>
    <row r="29" spans="2:14" x14ac:dyDescent="0.25">
      <c r="E29" s="4"/>
    </row>
    <row r="30" spans="2:14" x14ac:dyDescent="0.25">
      <c r="E30" s="4"/>
    </row>
    <row r="31" spans="2:14" x14ac:dyDescent="0.25">
      <c r="E31" s="4"/>
    </row>
    <row r="32" spans="2:14" x14ac:dyDescent="0.25">
      <c r="E32" s="4"/>
    </row>
    <row r="33" spans="5:5" x14ac:dyDescent="0.25">
      <c r="E33" s="4"/>
    </row>
    <row r="34" spans="5:5" x14ac:dyDescent="0.25">
      <c r="E34" s="4"/>
    </row>
    <row r="35" spans="5:5" x14ac:dyDescent="0.25">
      <c r="E35" s="4"/>
    </row>
    <row r="36" spans="5:5" x14ac:dyDescent="0.25">
      <c r="E36" s="4"/>
    </row>
    <row r="37" spans="5:5" x14ac:dyDescent="0.25">
      <c r="E37" s="4"/>
    </row>
    <row r="38" spans="5:5" x14ac:dyDescent="0.25">
      <c r="E38" s="4"/>
    </row>
  </sheetData>
  <dataConsolidate link="1"/>
  <mergeCells count="6">
    <mergeCell ref="D2:F2"/>
    <mergeCell ref="H2:J2"/>
    <mergeCell ref="L2:N2"/>
    <mergeCell ref="E3:F3"/>
    <mergeCell ref="I3:J3"/>
    <mergeCell ref="M3:N3"/>
  </mergeCells>
  <phoneticPr fontId="6" type="noConversion"/>
  <dataValidations count="2">
    <dataValidation type="list" allowBlank="1" showInputMessage="1" showErrorMessage="1" sqref="E3:F3 I3:J3 M3:N3" xr:uid="{DB9DDF22-2475-4683-9C51-09C112A5F714}">
      <formula1>Tipo_da_estaca</formula1>
    </dataValidation>
    <dataValidation type="list" allowBlank="1" showInputMessage="1" showErrorMessage="1" sqref="E4 I4 M4" xr:uid="{74AD2B63-47BD-475A-A529-1602687B125C}">
      <formula1>Concreto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C54DD-0FF9-41BB-A280-478AA4EF6A65}">
  <sheetPr codeName="orcamentoCenario1">
    <pageSetUpPr fitToPage="1"/>
  </sheetPr>
  <dimension ref="A1:V37"/>
  <sheetViews>
    <sheetView showGridLines="0" zoomScale="70" zoomScaleNormal="70" workbookViewId="0">
      <selection sqref="A1:R37"/>
    </sheetView>
  </sheetViews>
  <sheetFormatPr defaultColWidth="0" defaultRowHeight="15" zeroHeight="1" x14ac:dyDescent="0.25"/>
  <cols>
    <col min="1" max="1" width="2.7109375" style="1" customWidth="1"/>
    <col min="2" max="2" width="6.85546875" style="1" hidden="1" customWidth="1"/>
    <col min="3" max="3" width="6.7109375" style="1" bestFit="1" customWidth="1"/>
    <col min="4" max="4" width="10.42578125" style="1" bestFit="1" customWidth="1"/>
    <col min="5" max="5" width="100" style="1" bestFit="1" customWidth="1"/>
    <col min="6" max="6" width="5.28515625" style="1" bestFit="1" customWidth="1"/>
    <col min="7" max="7" width="16.7109375" style="1" bestFit="1" customWidth="1"/>
    <col min="8" max="8" width="11.7109375" style="1" hidden="1" customWidth="1"/>
    <col min="9" max="9" width="13" style="1" hidden="1" customWidth="1"/>
    <col min="10" max="10" width="18.5703125" style="1" hidden="1" customWidth="1"/>
    <col min="11" max="11" width="13.85546875" style="1" bestFit="1" customWidth="1"/>
    <col min="12" max="12" width="9.140625" style="1" bestFit="1" customWidth="1"/>
    <col min="13" max="13" width="15.28515625" style="1" hidden="1" customWidth="1"/>
    <col min="14" max="14" width="13.85546875" style="1" hidden="1" customWidth="1"/>
    <col min="15" max="15" width="18.5703125" style="1" hidden="1" customWidth="1"/>
    <col min="16" max="16" width="14.7109375" style="1" customWidth="1"/>
    <col min="17" max="17" width="11.7109375" style="1" hidden="1" customWidth="1"/>
    <col min="18" max="18" width="2.7109375" style="1" customWidth="1"/>
    <col min="19" max="16384" width="9.140625" style="1" hidden="1"/>
  </cols>
  <sheetData>
    <row r="1" spans="2:22" ht="5.0999999999999996" customHeight="1" x14ac:dyDescent="0.25"/>
    <row r="2" spans="2:22" ht="30" customHeight="1" x14ac:dyDescent="0.25">
      <c r="E2" s="50"/>
      <c r="H2" s="50"/>
      <c r="I2" s="50"/>
      <c r="J2" s="50"/>
      <c r="K2" s="50"/>
      <c r="L2" s="50"/>
      <c r="M2" s="50"/>
      <c r="N2" s="50"/>
      <c r="O2" s="50"/>
      <c r="P2" s="50"/>
      <c r="Q2" s="50"/>
      <c r="S2" s="12"/>
      <c r="T2" s="12"/>
      <c r="U2" s="12"/>
      <c r="V2" s="12"/>
    </row>
    <row r="3" spans="2:22" s="51" customFormat="1" ht="31.5" x14ac:dyDescent="0.25">
      <c r="B3" s="51" t="s">
        <v>260</v>
      </c>
      <c r="C3" s="51" t="s">
        <v>255</v>
      </c>
      <c r="D3" s="51" t="s">
        <v>142</v>
      </c>
      <c r="E3" s="51" t="s">
        <v>143</v>
      </c>
      <c r="F3" s="51" t="s">
        <v>145</v>
      </c>
      <c r="G3" s="51" t="s">
        <v>258</v>
      </c>
      <c r="H3" s="51" t="s">
        <v>146</v>
      </c>
      <c r="I3" s="51" t="s">
        <v>147</v>
      </c>
      <c r="J3" s="51" t="s">
        <v>148</v>
      </c>
      <c r="K3" s="51" t="s">
        <v>259</v>
      </c>
      <c r="L3" s="51" t="s">
        <v>262</v>
      </c>
      <c r="M3" s="51" t="s">
        <v>256</v>
      </c>
      <c r="N3" s="51" t="s">
        <v>257</v>
      </c>
      <c r="O3" s="51" t="s">
        <v>273</v>
      </c>
      <c r="P3" s="51" t="s">
        <v>144</v>
      </c>
      <c r="Q3" s="51" t="s">
        <v>279</v>
      </c>
    </row>
    <row r="4" spans="2:22" ht="15.75" x14ac:dyDescent="0.25">
      <c r="B4" s="49">
        <v>100</v>
      </c>
      <c r="C4" s="49">
        <f>IF(orcCenario1[[#This Row],[DESCRIÇÃO]]="ESTACAS",100,IF(orcCenario1[[#This Row],[DESCRIÇÃO]]="BLOCO",200,orcCenario1[[#This Row],['#]]-COUNTIFS(orcCenario1[QUANTIDADE],0,orcCenario1['#],"&lt;"&amp;orcCenario1[[#This Row],['#]],orcCenario1['#],"&gt;"&amp;ROUNDDOWN(orcCenario1[[#This Row],['#]],-2))))</f>
        <v>100</v>
      </c>
      <c r="E4" s="39" t="str">
        <f>IF(orcCenario1[[#This Row],['#]]=100,"ESTACAS",IF(orcCenario1[[#This Row],['#]]=200,"BLOCO",INDEX(composicoes[],MATCH(orcCenario1[[#This Row],[CÓDIGO]],composicoes[CÓDIGO],0),MATCH(orcCenario1[[#Headers],[DESCRIÇÃO]],composicoes[#Headers],0))))</f>
        <v>ESTACAS</v>
      </c>
      <c r="F4" s="1" t="str">
        <f>IFERROR(INDEX(composicoes[],MATCH(orcCenario1[[#This Row],[CÓDIGO]],composicoes[CÓDIGO],0),MATCH(orcCenario1[[#Headers],[UN.]],composicoes[#Headers],0)),"")</f>
        <v/>
      </c>
      <c r="G4" s="4" t="str">
        <f>IF(orcCenario1[[#This Row],[CÓDIGO]]="","",quantitativo(orcCenario1[[#This Row],[CÓDIGO]],orcCenario1[[#This Row],['#]],CENÁRIOS!$E$3,CENÁRIOS!$E$4,cenario1[]))</f>
        <v/>
      </c>
      <c r="H4" s="40" t="str">
        <f>IFERROR(INDEX(composicoes[],MATCH(orcCenario1[[#This Row],[CÓDIGO]],composicoes[CÓDIGO],0),MATCH(orcCenario1[[#Headers],[ MÃO DE OBRA]],composicoes[#Headers],0)),"")</f>
        <v/>
      </c>
      <c r="I4" s="40" t="str">
        <f>IFERROR(INDEX(composicoes[],MATCH(orcCenario1[[#This Row],[CÓDIGO]],composicoes[CÓDIGO],0),MATCH(orcCenario1[[#Headers],[MATERIAL]],composicoes[#Headers],0)),"")</f>
        <v/>
      </c>
      <c r="J4" s="40" t="str">
        <f>IFERROR(INDEX(composicoes[],MATCH(orcCenario1[[#This Row],[CÓDIGO]],composicoes[CÓDIGO],0),MATCH(orcCenario1[[#Headers],[EQUIPAMENTO]],composicoes[#Headers],0)),"")</f>
        <v/>
      </c>
      <c r="K4" s="40" t="str">
        <f>IF(orcCenario1[[#This Row],[ MÃO DE OBRA]]="","",SUM(orcCenario1[[#This Row],[ MÃO DE OBRA]:[EQUIPAMENTO]]))</f>
        <v/>
      </c>
      <c r="L4" s="23" t="str">
        <f>IF(orcCenario1[[#This Row],[CUSTO UNITÁRIO]]="","",CENÁRIOS!$E$6)</f>
        <v/>
      </c>
      <c r="M4" s="40">
        <f ca="1">IF(orcCenario1[[#This Row],[ MÃO DE OBRA]]&lt;&gt;"",orcCenario1[[#This Row],[QUANTIDADE]]*orcCenario1[[#This Row],[ MÃO DE OBRA]]*(1+orcCenario1[[#This Row],[BDI]]),SUMIFS(orcCenario1[CUSTO MÃO DE OBRA],orcCenario1['#],"&gt;"&amp;orcCenario1[[#This Row],['#]],orcCenario1['#],"&lt;"&amp;orcCenario1[[#This Row],['#]]+100))</f>
        <v>2024.7412184138752</v>
      </c>
      <c r="N4" s="40">
        <f ca="1">IF(orcCenario1[[#This Row],[MATERIAL]]&lt;&gt;"",orcCenario1[[#This Row],[QUANTIDADE]]*orcCenario1[[#This Row],[MATERIAL]]*(1+orcCenario1[[#This Row],[BDI]]),SUMIFS(orcCenario1[CUSTO MATERIAL],orcCenario1['#],"&gt;"&amp;orcCenario1[[#This Row],['#]],orcCenario1['#],"&lt;"&amp;orcCenario1[[#This Row],['#]]+100))</f>
        <v>9274.7222843339023</v>
      </c>
      <c r="O4" s="40">
        <f ca="1">IF(orcCenario1[EQUIPAMENTO]&lt;&gt;"",orcCenario1[[#This Row],[QUANTIDADE]]*orcCenario1[EQUIPAMENTO]*(1+orcCenario1[[#This Row],[BDI]]),SUMIFS(orcCenario1[CUSTO EQUIPAMENTO],orcCenario1['#],"&gt;"&amp;orcCenario1[[#This Row],['#]],orcCenario1['#],"&lt;"&amp;orcCenario1[[#This Row],['#]]+100))</f>
        <v>1677.7835083327934</v>
      </c>
      <c r="P4" s="40">
        <f ca="1">SUM(orcCenario1[[#This Row],[CUSTO MÃO DE OBRA]:[CUSTO EQUIPAMENTO]])</f>
        <v>12977.247011080572</v>
      </c>
      <c r="Q4" s="40" t="str">
        <f>IF(orcCenario1[[#This Row],[QUANTIDADE]]=0,"Não","Sim")</f>
        <v>Sim</v>
      </c>
    </row>
    <row r="5" spans="2:22" ht="45" x14ac:dyDescent="0.25">
      <c r="B5" s="49">
        <v>101</v>
      </c>
      <c r="C5" s="49">
        <f ca="1">IF(orcCenario1[[#This Row],[DESCRIÇÃO]]="ESTACAS",100,IF(orcCenario1[[#This Row],[DESCRIÇÃO]]="BLOCO",200,orcCenario1[[#This Row],['#]]-COUNTIFS(orcCenario1[QUANTIDADE],0,orcCenario1['#],"&lt;"&amp;orcCenario1[[#This Row],['#]],orcCenario1['#],"&gt;"&amp;ROUNDDOWN(orcCenario1[[#This Row],['#]],-2))))</f>
        <v>101</v>
      </c>
      <c r="D5" s="1">
        <v>90680</v>
      </c>
      <c r="E5" s="39" t="str">
        <f>IF(orcCenario1[[#This Row],['#]]=100,"ESTACAS",IF(orcCenario1[[#This Row],['#]]=200,"BLOCO",INDEX(composicoes[],MATCH(orcCenario1[[#This Row],[CÓDIGO]],composicoes[CÓDIGO],0),MATCH(orcCenario1[[#Headers],[DESCRIÇÃO]],composicoes[#Headers],0))))</f>
        <v>PERFURATRIZ HIDRÁULICA SOBRE CAMINHÃO COM TRADO CURTO ACOPLADO, PROFUNDIDADE MÁXIMA DE 20 M, DIÂMETRO MÁXIMO DE 1500 MM, POTÊNCIA INSTALADA DE 137 HP, MESA ROTATIVA COM TORQUE MÁXIMO DE 30 KNM. AF_06/2015</v>
      </c>
      <c r="F5" s="1" t="str">
        <f>IFERROR(INDEX(composicoes[],MATCH(orcCenario1[[#This Row],[CÓDIGO]],composicoes[CÓDIGO],0),MATCH(orcCenario1[[#Headers],[UN.]],composicoes[#Headers],0)),"")</f>
        <v>M</v>
      </c>
      <c r="G5" s="4">
        <f ca="1">IF(orcCenario1[[#This Row],[CÓDIGO]]="","",quantitativo(orcCenario1[[#This Row],[CÓDIGO]],orcCenario1[[#This Row],['#]],CENÁRIOS!$E$3,CENÁRIOS!$E$4,cenario1[]))</f>
        <v>88</v>
      </c>
      <c r="H5" s="40">
        <f>IFERROR(INDEX(composicoes[],MATCH(orcCenario1[[#This Row],[CÓDIGO]],composicoes[CÓDIGO],0),MATCH(orcCenario1[[#Headers],[ MÃO DE OBRA]],composicoes[#Headers],0)),"")</f>
        <v>1.66</v>
      </c>
      <c r="I5" s="40">
        <f>IFERROR(INDEX(composicoes[],MATCH(orcCenario1[[#This Row],[CÓDIGO]],composicoes[CÓDIGO],0),MATCH(orcCenario1[[#Headers],[MATERIAL]],composicoes[#Headers],0)),"")</f>
        <v>6.32</v>
      </c>
      <c r="J5" s="40">
        <f>IFERROR(INDEX(composicoes[],MATCH(orcCenario1[[#This Row],[CÓDIGO]],composicoes[CÓDIGO],0),MATCH(orcCenario1[[#Headers],[EQUIPAMENTO]],composicoes[#Headers],0)),"")</f>
        <v>14.99</v>
      </c>
      <c r="K5" s="40">
        <f>IF(orcCenario1[[#This Row],[ MÃO DE OBRA]]="","",SUM(orcCenario1[[#This Row],[ MÃO DE OBRA]:[EQUIPAMENTO]]))</f>
        <v>22.97</v>
      </c>
      <c r="L5" s="23">
        <f>IF(orcCenario1[[#This Row],[CUSTO UNITÁRIO]]="","",CENÁRIOS!$E$6)</f>
        <v>0.25</v>
      </c>
      <c r="M5" s="40">
        <f ca="1">IF(orcCenario1[[#This Row],[ MÃO DE OBRA]]&lt;&gt;"",orcCenario1[[#This Row],[QUANTIDADE]]*orcCenario1[[#This Row],[ MÃO DE OBRA]]*(1+orcCenario1[[#This Row],[BDI]]),SUMIFS(orcCenario1[CUSTO MÃO DE OBRA],orcCenario1['#],"&gt;"&amp;orcCenario1[[#This Row],['#]],orcCenario1['#],"&lt;"&amp;orcCenario1[[#This Row],['#]]+100))</f>
        <v>182.59999999999997</v>
      </c>
      <c r="N5" s="40">
        <f ca="1">IF(orcCenario1[[#This Row],[MATERIAL]]&lt;&gt;"",orcCenario1[[#This Row],[QUANTIDADE]]*orcCenario1[[#This Row],[MATERIAL]]*(1+orcCenario1[[#This Row],[BDI]]),SUMIFS(orcCenario1[CUSTO MATERIAL],orcCenario1['#],"&gt;"&amp;orcCenario1[[#This Row],['#]],orcCenario1['#],"&lt;"&amp;orcCenario1[[#This Row],['#]]+100))</f>
        <v>695.2</v>
      </c>
      <c r="O5" s="40">
        <f ca="1">IF(orcCenario1[EQUIPAMENTO]&lt;&gt;"",orcCenario1[[#This Row],[QUANTIDADE]]*orcCenario1[EQUIPAMENTO]*(1+orcCenario1[[#This Row],[BDI]]),SUMIFS(orcCenario1[CUSTO EQUIPAMENTO],orcCenario1['#],"&gt;"&amp;orcCenario1[[#This Row],['#]],orcCenario1['#],"&lt;"&amp;orcCenario1[[#This Row],['#]]+100))</f>
        <v>1648.9</v>
      </c>
      <c r="P5" s="40">
        <f ca="1">SUM(orcCenario1[[#This Row],[CUSTO MÃO DE OBRA]:[CUSTO EQUIPAMENTO]])</f>
        <v>2526.6999999999998</v>
      </c>
      <c r="Q5" s="40" t="str">
        <f ca="1">IF(orcCenario1[[#This Row],[QUANTIDADE]]=0,"Não","Sim")</f>
        <v>Sim</v>
      </c>
    </row>
    <row r="6" spans="2:22" ht="60" hidden="1" x14ac:dyDescent="0.25">
      <c r="B6" s="49">
        <v>102</v>
      </c>
      <c r="C6" s="49">
        <f ca="1">IF(orcCenario1[[#This Row],[DESCRIÇÃO]]="ESTACAS",100,IF(orcCenario1[[#This Row],[DESCRIÇÃO]]="BLOCO",200,orcCenario1[[#This Row],['#]]-COUNTIFS(orcCenario1[QUANTIDADE],0,orcCenario1['#],"&lt;"&amp;orcCenario1[[#This Row],['#]],orcCenario1['#],"&gt;"&amp;ROUNDDOWN(orcCenario1[[#This Row],['#]],-2))))</f>
        <v>102</v>
      </c>
      <c r="D6" s="1">
        <v>90674</v>
      </c>
      <c r="E6" s="39" t="str">
        <f>IF(orcCenario1[[#This Row],['#]]=100,"ESTACAS",IF(orcCenario1[[#This Row],['#]]=200,"BLOCO",INDEX(composicoes[],MATCH(orcCenario1[[#This Row],[CÓDIGO]],composicoes[CÓDIGO],0),MATCH(orcCenario1[[#Headers],[DESCRIÇÃO]],composicoes[#Headers],0))))</f>
        <v>PERFURATRIZ COM TORRE METÁLICA PARA EXECUÇÃO DE ESTACA HÉLICE CONTÍNUA, PROFUNDIDADE MÁXIMA DE 30 M, DIÂMETRO MÁXIMO DE 800 MM, POTÊNCIA INSTALADA DE 268 HP, MESA ROTATIVA COM TORQUE MÁXIMO DE 170 KNM. AF_06/2015</v>
      </c>
      <c r="F6" s="1" t="str">
        <f>IFERROR(INDEX(composicoes[],MATCH(orcCenario1[[#This Row],[CÓDIGO]],composicoes[CÓDIGO],0),MATCH(orcCenario1[[#Headers],[UN.]],composicoes[#Headers],0)),"")</f>
        <v>M</v>
      </c>
      <c r="G6" s="4">
        <f ca="1">IF(orcCenario1[[#This Row],[CÓDIGO]]="","",quantitativo(orcCenario1[[#This Row],[CÓDIGO]],orcCenario1[[#This Row],['#]],CENÁRIOS!$E$3,CENÁRIOS!$E$4,cenario1[]))</f>
        <v>0</v>
      </c>
      <c r="H6" s="40">
        <f>IFERROR(INDEX(composicoes[],MATCH(orcCenario1[[#This Row],[CÓDIGO]],composicoes[CÓDIGO],0),MATCH(orcCenario1[[#Headers],[ MÃO DE OBRA]],composicoes[#Headers],0)),"")</f>
        <v>1.7</v>
      </c>
      <c r="I6" s="40">
        <f>IFERROR(INDEX(composicoes[],MATCH(orcCenario1[[#This Row],[CÓDIGO]],composicoes[CÓDIGO],0),MATCH(orcCenario1[[#Headers],[MATERIAL]],composicoes[#Headers],0)),"")</f>
        <v>5.19</v>
      </c>
      <c r="J6" s="40">
        <f>IFERROR(INDEX(composicoes[],MATCH(orcCenario1[[#This Row],[CÓDIGO]],composicoes[CÓDIGO],0),MATCH(orcCenario1[[#Headers],[EQUIPAMENTO]],composicoes[#Headers],0)),"")</f>
        <v>35.4</v>
      </c>
      <c r="K6" s="40">
        <f>IF(orcCenario1[[#This Row],[ MÃO DE OBRA]]="","",SUM(orcCenario1[[#This Row],[ MÃO DE OBRA]:[EQUIPAMENTO]]))</f>
        <v>42.29</v>
      </c>
      <c r="L6" s="23">
        <f>IF(orcCenario1[[#This Row],[CUSTO UNITÁRIO]]="","",CENÁRIOS!$E$6)</f>
        <v>0.25</v>
      </c>
      <c r="M6" s="40">
        <f ca="1">IF(orcCenario1[[#This Row],[ MÃO DE OBRA]]&lt;&gt;"",orcCenario1[[#This Row],[QUANTIDADE]]*orcCenario1[[#This Row],[ MÃO DE OBRA]]*(1+orcCenario1[[#This Row],[BDI]]),SUMIFS(orcCenario1[CUSTO MÃO DE OBRA],orcCenario1['#],"&gt;"&amp;orcCenario1[[#This Row],['#]],orcCenario1['#],"&lt;"&amp;orcCenario1[[#This Row],['#]]+100))</f>
        <v>0</v>
      </c>
      <c r="N6" s="40">
        <f ca="1">IF(orcCenario1[[#This Row],[MATERIAL]]&lt;&gt;"",orcCenario1[[#This Row],[QUANTIDADE]]*orcCenario1[[#This Row],[MATERIAL]]*(1+orcCenario1[[#This Row],[BDI]]),SUMIFS(orcCenario1[CUSTO MATERIAL],orcCenario1['#],"&gt;"&amp;orcCenario1[[#This Row],['#]],orcCenario1['#],"&lt;"&amp;orcCenario1[[#This Row],['#]]+100))</f>
        <v>0</v>
      </c>
      <c r="O6" s="40">
        <f ca="1">IF(orcCenario1[EQUIPAMENTO]&lt;&gt;"",orcCenario1[[#This Row],[QUANTIDADE]]*orcCenario1[EQUIPAMENTO]*(1+orcCenario1[[#This Row],[BDI]]),SUMIFS(orcCenario1[CUSTO EQUIPAMENTO],orcCenario1['#],"&gt;"&amp;orcCenario1[[#This Row],['#]],orcCenario1['#],"&lt;"&amp;orcCenario1[[#This Row],['#]]+100))</f>
        <v>0</v>
      </c>
      <c r="P6" s="40">
        <f ca="1">SUM(orcCenario1[[#This Row],[CUSTO MÃO DE OBRA]:[CUSTO EQUIPAMENTO]])</f>
        <v>0</v>
      </c>
      <c r="Q6" s="40" t="str">
        <f ca="1">IF(orcCenario1[[#This Row],[QUANTIDADE]]=0,"Não","Sim")</f>
        <v>Não</v>
      </c>
    </row>
    <row r="7" spans="2:22" ht="60" hidden="1" x14ac:dyDescent="0.25">
      <c r="B7" s="49">
        <v>103</v>
      </c>
      <c r="C7" s="49">
        <f ca="1">IF(orcCenario1[[#This Row],[DESCRIÇÃO]]="ESTACAS",100,IF(orcCenario1[[#This Row],[DESCRIÇÃO]]="BLOCO",200,orcCenario1[[#This Row],['#]]-COUNTIFS(orcCenario1[QUANTIDADE],0,orcCenario1['#],"&lt;"&amp;orcCenario1[[#This Row],['#]],orcCenario1['#],"&gt;"&amp;ROUNDDOWN(orcCenario1[[#This Row],['#]],-2))))</f>
        <v>102</v>
      </c>
      <c r="D7" s="1">
        <v>93224</v>
      </c>
      <c r="E7" s="39" t="str">
        <f>IF(orcCenario1[[#This Row],['#]]=100,"ESTACAS",IF(orcCenario1[[#This Row],['#]]=200,"BLOCO",INDEX(composicoes[],MATCH(orcCenario1[[#This Row],[CÓDIGO]],composicoes[CÓDIGO],0),MATCH(orcCenario1[[#Headers],[DESCRIÇÃO]],composicoes[#Headers],0))))</f>
        <v>PERFURATRIZ COM TORRE METÁLICA PARA EXECUÇÃO DE ESTACA HÉLICE CONTÍNUA, PROFUNDIDADE MÁXIMA DE 32 M, DIÂMETRO MÁXIMO DE 1000 MM, POTÊNCIA INSTALADA DE 350 HP, MESA ROTATIVA COM TORQUE MÁXIMO DE 263 KNM AF_01/2016</v>
      </c>
      <c r="F7" s="1" t="str">
        <f>IFERROR(INDEX(composicoes[],MATCH(orcCenario1[[#This Row],[CÓDIGO]],composicoes[CÓDIGO],0),MATCH(orcCenario1[[#Headers],[UN.]],composicoes[#Headers],0)),"")</f>
        <v>M</v>
      </c>
      <c r="G7" s="4">
        <f ca="1">IF(orcCenario1[[#This Row],[CÓDIGO]]="","",quantitativo(orcCenario1[[#This Row],[CÓDIGO]],orcCenario1[[#This Row],['#]],CENÁRIOS!$E$3,CENÁRIOS!$E$4,cenario1[]))</f>
        <v>0</v>
      </c>
      <c r="H7" s="40">
        <f>IFERROR(INDEX(composicoes[],MATCH(orcCenario1[[#This Row],[CÓDIGO]],composicoes[CÓDIGO],0),MATCH(orcCenario1[[#Headers],[ MÃO DE OBRA]],composicoes[#Headers],0)),"")</f>
        <v>1.7</v>
      </c>
      <c r="I7" s="40">
        <f>IFERROR(INDEX(composicoes[],MATCH(orcCenario1[[#This Row],[CÓDIGO]],composicoes[CÓDIGO],0),MATCH(orcCenario1[[#Headers],[MATERIAL]],composicoes[#Headers],0)),"")</f>
        <v>6.61</v>
      </c>
      <c r="J7" s="40">
        <f>IFERROR(INDEX(composicoes[],MATCH(orcCenario1[[#This Row],[CÓDIGO]],composicoes[CÓDIGO],0),MATCH(orcCenario1[[#Headers],[EQUIPAMENTO]],composicoes[#Headers],0)),"")</f>
        <v>55.05</v>
      </c>
      <c r="K7" s="40">
        <f>IF(orcCenario1[[#This Row],[ MÃO DE OBRA]]="","",SUM(orcCenario1[[#This Row],[ MÃO DE OBRA]:[EQUIPAMENTO]]))</f>
        <v>63.36</v>
      </c>
      <c r="L7" s="23">
        <f>IF(orcCenario1[[#This Row],[CUSTO UNITÁRIO]]="","",CENÁRIOS!$E$6)</f>
        <v>0.25</v>
      </c>
      <c r="M7" s="40">
        <f ca="1">IF(orcCenario1[[#This Row],[ MÃO DE OBRA]]&lt;&gt;"",orcCenario1[[#This Row],[QUANTIDADE]]*orcCenario1[[#This Row],[ MÃO DE OBRA]]*(1+orcCenario1[[#This Row],[BDI]]),SUMIFS(orcCenario1[CUSTO MÃO DE OBRA],orcCenario1['#],"&gt;"&amp;orcCenario1[[#This Row],['#]],orcCenario1['#],"&lt;"&amp;orcCenario1[[#This Row],['#]]+100))</f>
        <v>0</v>
      </c>
      <c r="N7" s="40">
        <f ca="1">IF(orcCenario1[[#This Row],[MATERIAL]]&lt;&gt;"",orcCenario1[[#This Row],[QUANTIDADE]]*orcCenario1[[#This Row],[MATERIAL]]*(1+orcCenario1[[#This Row],[BDI]]),SUMIFS(orcCenario1[CUSTO MATERIAL],orcCenario1['#],"&gt;"&amp;orcCenario1[[#This Row],['#]],orcCenario1['#],"&lt;"&amp;orcCenario1[[#This Row],['#]]+100))</f>
        <v>0</v>
      </c>
      <c r="O7" s="40">
        <f ca="1">IF(orcCenario1[EQUIPAMENTO]&lt;&gt;"",orcCenario1[[#This Row],[QUANTIDADE]]*orcCenario1[EQUIPAMENTO]*(1+orcCenario1[[#This Row],[BDI]]),SUMIFS(orcCenario1[CUSTO EQUIPAMENTO],orcCenario1['#],"&gt;"&amp;orcCenario1[[#This Row],['#]],orcCenario1['#],"&lt;"&amp;orcCenario1[[#This Row],['#]]+100))</f>
        <v>0</v>
      </c>
      <c r="P7" s="40">
        <f ca="1">SUM(orcCenario1[[#This Row],[CUSTO MÃO DE OBRA]:[CUSTO EQUIPAMENTO]])</f>
        <v>0</v>
      </c>
      <c r="Q7" s="40" t="str">
        <f ca="1">IF(orcCenario1[[#This Row],[QUANTIDADE]]=0,"Não","Sim")</f>
        <v>Não</v>
      </c>
    </row>
    <row r="8" spans="2:22" hidden="1" x14ac:dyDescent="0.25">
      <c r="B8" s="49">
        <v>104</v>
      </c>
      <c r="C8" s="49">
        <f ca="1">IF(orcCenario1[[#This Row],[DESCRIÇÃO]]="ESTACAS",100,IF(orcCenario1[[#This Row],[DESCRIÇÃO]]="BLOCO",200,orcCenario1[[#This Row],['#]]-COUNTIFS(orcCenario1[QUANTIDADE],0,orcCenario1['#],"&lt;"&amp;orcCenario1[[#This Row],['#]],orcCenario1['#],"&gt;"&amp;ROUNDDOWN(orcCenario1[[#This Row],['#]],-2))))</f>
        <v>102</v>
      </c>
      <c r="D8" s="1">
        <v>43366</v>
      </c>
      <c r="E8" s="39" t="str">
        <f>IF(orcCenario1[[#This Row],['#]]=100,"ESTACAS",IF(orcCenario1[[#This Row],['#]]=200,"BLOCO",INDEX(composicoes[],MATCH(orcCenario1[[#This Row],[CÓDIGO]],composicoes[CÓDIGO],0),MATCH(orcCenario1[[#Headers],[DESCRIÇÃO]],composicoes[#Headers],0))))</f>
        <v>BENTONITA, ARGILA CONSTITUIDA POR  MONTMORILONITA</v>
      </c>
      <c r="F8" s="1" t="str">
        <f>IFERROR(INDEX(composicoes[],MATCH(orcCenario1[[#This Row],[CÓDIGO]],composicoes[CÓDIGO],0),MATCH(orcCenario1[[#Headers],[UN.]],composicoes[#Headers],0)),"")</f>
        <v>KG</v>
      </c>
      <c r="G8" s="4">
        <f ca="1">IF(orcCenario1[[#This Row],[CÓDIGO]]="","",quantitativo(orcCenario1[[#This Row],[CÓDIGO]],orcCenario1[[#This Row],['#]],CENÁRIOS!$E$3,CENÁRIOS!$E$4,cenario1[]))</f>
        <v>0</v>
      </c>
      <c r="H8" s="40">
        <f>IFERROR(INDEX(composicoes[],MATCH(orcCenario1[[#This Row],[CÓDIGO]],composicoes[CÓDIGO],0),MATCH(orcCenario1[[#Headers],[ MÃO DE OBRA]],composicoes[#Headers],0)),"")</f>
        <v>0</v>
      </c>
      <c r="I8" s="40">
        <f>IFERROR(INDEX(composicoes[],MATCH(orcCenario1[[#This Row],[CÓDIGO]],composicoes[CÓDIGO],0),MATCH(orcCenario1[[#Headers],[MATERIAL]],composicoes[#Headers],0)),"")</f>
        <v>1.58</v>
      </c>
      <c r="J8" s="40">
        <f>IFERROR(INDEX(composicoes[],MATCH(orcCenario1[[#This Row],[CÓDIGO]],composicoes[CÓDIGO],0),MATCH(orcCenario1[[#Headers],[EQUIPAMENTO]],composicoes[#Headers],0)),"")</f>
        <v>0</v>
      </c>
      <c r="K8" s="40">
        <f>IF(orcCenario1[[#This Row],[ MÃO DE OBRA]]="","",SUM(orcCenario1[[#This Row],[ MÃO DE OBRA]:[EQUIPAMENTO]]))</f>
        <v>1.58</v>
      </c>
      <c r="L8" s="23">
        <f>IF(orcCenario1[[#This Row],[CUSTO UNITÁRIO]]="","",CENÁRIOS!$E$6)</f>
        <v>0.25</v>
      </c>
      <c r="M8" s="40">
        <f ca="1">IF(orcCenario1[[#This Row],[ MÃO DE OBRA]]&lt;&gt;"",orcCenario1[[#This Row],[QUANTIDADE]]*orcCenario1[[#This Row],[ MÃO DE OBRA]]*(1+orcCenario1[[#This Row],[BDI]]),SUMIFS(orcCenario1[CUSTO MÃO DE OBRA],orcCenario1['#],"&gt;"&amp;orcCenario1[[#This Row],['#]],orcCenario1['#],"&lt;"&amp;orcCenario1[[#This Row],['#]]+100))</f>
        <v>0</v>
      </c>
      <c r="N8" s="40">
        <f ca="1">IF(orcCenario1[[#This Row],[MATERIAL]]&lt;&gt;"",orcCenario1[[#This Row],[QUANTIDADE]]*orcCenario1[[#This Row],[MATERIAL]]*(1+orcCenario1[[#This Row],[BDI]]),SUMIFS(orcCenario1[CUSTO MATERIAL],orcCenario1['#],"&gt;"&amp;orcCenario1[[#This Row],['#]],orcCenario1['#],"&lt;"&amp;orcCenario1[[#This Row],['#]]+100))</f>
        <v>0</v>
      </c>
      <c r="O8" s="40">
        <f ca="1">IF(orcCenario1[EQUIPAMENTO]&lt;&gt;"",orcCenario1[[#This Row],[QUANTIDADE]]*orcCenario1[EQUIPAMENTO]*(1+orcCenario1[[#This Row],[BDI]]),SUMIFS(orcCenario1[CUSTO EQUIPAMENTO],orcCenario1['#],"&gt;"&amp;orcCenario1[[#This Row],['#]],orcCenario1['#],"&lt;"&amp;orcCenario1[[#This Row],['#]]+100))</f>
        <v>0</v>
      </c>
      <c r="P8" s="40">
        <f ca="1">SUM(orcCenario1[[#This Row],[CUSTO MÃO DE OBRA]:[CUSTO EQUIPAMENTO]])</f>
        <v>0</v>
      </c>
      <c r="Q8" s="40" t="str">
        <f ca="1">IF(orcCenario1[[#This Row],[QUANTIDADE]]=0,"Não","Sim")</f>
        <v>Não</v>
      </c>
    </row>
    <row r="9" spans="2:22" hidden="1" x14ac:dyDescent="0.25">
      <c r="B9" s="49">
        <v>105</v>
      </c>
      <c r="C9" s="49">
        <f ca="1">IF(orcCenario1[[#This Row],[DESCRIÇÃO]]="ESTACAS",100,IF(orcCenario1[[#This Row],[DESCRIÇÃO]]="BLOCO",200,orcCenario1[[#This Row],['#]]-COUNTIFS(orcCenario1[QUANTIDADE],0,orcCenario1['#],"&lt;"&amp;orcCenario1[[#This Row],['#]],orcCenario1['#],"&gt;"&amp;ROUNDDOWN(orcCenario1[[#This Row],['#]],-2))))</f>
        <v>102</v>
      </c>
      <c r="D9" s="1">
        <v>95576</v>
      </c>
      <c r="E9" s="39" t="str">
        <f>IF(orcCenario1[[#This Row],['#]]=100,"ESTACAS",IF(orcCenario1[[#This Row],['#]]=200,"BLOCO",INDEX(composicoes[],MATCH(orcCenario1[[#This Row],[CÓDIGO]],composicoes[CÓDIGO],0),MATCH(orcCenario1[[#Headers],[DESCRIÇÃO]],composicoes[#Headers],0))))</f>
        <v>MONTAGEM DE ARMADURA DE ESTACAS, DIÂMETRO = 8,0 MM. AF_09/2021_PS</v>
      </c>
      <c r="F9" s="1" t="str">
        <f>IFERROR(INDEX(composicoes[],MATCH(orcCenario1[[#This Row],[CÓDIGO]],composicoes[CÓDIGO],0),MATCH(orcCenario1[[#Headers],[UN.]],composicoes[#Headers],0)),"")</f>
        <v>KG</v>
      </c>
      <c r="G9" s="4">
        <f ca="1">IF(orcCenario1[[#This Row],[CÓDIGO]]="","",quantitativo(orcCenario1[[#This Row],[CÓDIGO]],orcCenario1[[#This Row],['#]],CENÁRIOS!$E$3,CENÁRIOS!$E$4,cenario1[]))</f>
        <v>0</v>
      </c>
      <c r="H9" s="40">
        <f>IFERROR(INDEX(composicoes[],MATCH(orcCenario1[[#This Row],[CÓDIGO]],composicoes[CÓDIGO],0),MATCH(orcCenario1[[#Headers],[ MÃO DE OBRA]],composicoes[#Headers],0)),"")</f>
        <v>1.9</v>
      </c>
      <c r="I9" s="40">
        <f>IFERROR(INDEX(composicoes[],MATCH(orcCenario1[[#This Row],[CÓDIGO]],composicoes[CÓDIGO],0),MATCH(orcCenario1[[#Headers],[MATERIAL]],composicoes[#Headers],0)),"")</f>
        <v>11.38</v>
      </c>
      <c r="J9" s="40">
        <f>IFERROR(INDEX(composicoes[],MATCH(orcCenario1[[#This Row],[CÓDIGO]],composicoes[CÓDIGO],0),MATCH(orcCenario1[[#Headers],[EQUIPAMENTO]],composicoes[#Headers],0)),"")</f>
        <v>0</v>
      </c>
      <c r="K9" s="40">
        <f>IF(orcCenario1[[#This Row],[ MÃO DE OBRA]]="","",SUM(orcCenario1[[#This Row],[ MÃO DE OBRA]:[EQUIPAMENTO]]))</f>
        <v>13.280000000000001</v>
      </c>
      <c r="L9" s="23">
        <f>IF(orcCenario1[[#This Row],[CUSTO UNITÁRIO]]="","",CENÁRIOS!$E$6)</f>
        <v>0.25</v>
      </c>
      <c r="M9" s="40">
        <f ca="1">IF(orcCenario1[[#This Row],[ MÃO DE OBRA]]&lt;&gt;"",orcCenario1[[#This Row],[QUANTIDADE]]*orcCenario1[[#This Row],[ MÃO DE OBRA]]*(1+orcCenario1[[#This Row],[BDI]]),SUMIFS(orcCenario1[CUSTO MÃO DE OBRA],orcCenario1['#],"&gt;"&amp;orcCenario1[[#This Row],['#]],orcCenario1['#],"&lt;"&amp;orcCenario1[[#This Row],['#]]+100))</f>
        <v>0</v>
      </c>
      <c r="N9" s="40">
        <f ca="1">IF(orcCenario1[[#This Row],[MATERIAL]]&lt;&gt;"",orcCenario1[[#This Row],[QUANTIDADE]]*orcCenario1[[#This Row],[MATERIAL]]*(1+orcCenario1[[#This Row],[BDI]]),SUMIFS(orcCenario1[CUSTO MATERIAL],orcCenario1['#],"&gt;"&amp;orcCenario1[[#This Row],['#]],orcCenario1['#],"&lt;"&amp;orcCenario1[[#This Row],['#]]+100))</f>
        <v>0</v>
      </c>
      <c r="O9" s="40">
        <f ca="1">IF(orcCenario1[EQUIPAMENTO]&lt;&gt;"",orcCenario1[[#This Row],[QUANTIDADE]]*orcCenario1[EQUIPAMENTO]*(1+orcCenario1[[#This Row],[BDI]]),SUMIFS(orcCenario1[CUSTO EQUIPAMENTO],orcCenario1['#],"&gt;"&amp;orcCenario1[[#This Row],['#]],orcCenario1['#],"&lt;"&amp;orcCenario1[[#This Row],['#]]+100))</f>
        <v>0</v>
      </c>
      <c r="P9" s="40">
        <f ca="1">SUM(orcCenario1[[#This Row],[CUSTO MÃO DE OBRA]:[CUSTO EQUIPAMENTO]])</f>
        <v>0</v>
      </c>
      <c r="Q9" s="40" t="str">
        <f ca="1">IF(orcCenario1[[#This Row],[QUANTIDADE]]=0,"Não","Sim")</f>
        <v>Não</v>
      </c>
    </row>
    <row r="10" spans="2:22" hidden="1" x14ac:dyDescent="0.25">
      <c r="B10" s="49">
        <v>106</v>
      </c>
      <c r="C10" s="49">
        <f ca="1">IF(orcCenario1[[#This Row],[DESCRIÇÃO]]="ESTACAS",100,IF(orcCenario1[[#This Row],[DESCRIÇÃO]]="BLOCO",200,orcCenario1[[#This Row],['#]]-COUNTIFS(orcCenario1[QUANTIDADE],0,orcCenario1['#],"&lt;"&amp;orcCenario1[[#This Row],['#]],orcCenario1['#],"&gt;"&amp;ROUNDDOWN(orcCenario1[[#This Row],['#]],-2))))</f>
        <v>102</v>
      </c>
      <c r="D10" s="1">
        <v>95577</v>
      </c>
      <c r="E10" s="39" t="str">
        <f>IF(orcCenario1[[#This Row],['#]]=100,"ESTACAS",IF(orcCenario1[[#This Row],['#]]=200,"BLOCO",INDEX(composicoes[],MATCH(orcCenario1[[#This Row],[CÓDIGO]],composicoes[CÓDIGO],0),MATCH(orcCenario1[[#Headers],[DESCRIÇÃO]],composicoes[#Headers],0))))</f>
        <v>MONTAGEM DE ARMADURA DE ESTACAS, DIÂMETRO = 10,0 MM. AF_09/2021_PS</v>
      </c>
      <c r="F10" s="1" t="str">
        <f>IFERROR(INDEX(composicoes[],MATCH(orcCenario1[[#This Row],[CÓDIGO]],composicoes[CÓDIGO],0),MATCH(orcCenario1[[#Headers],[UN.]],composicoes[#Headers],0)),"")</f>
        <v>KG</v>
      </c>
      <c r="G10" s="4">
        <f ca="1">IF(orcCenario1[[#This Row],[CÓDIGO]]="","",quantitativo(orcCenario1[[#This Row],[CÓDIGO]],orcCenario1[[#This Row],['#]],CENÁRIOS!$E$3,CENÁRIOS!$E$4,cenario1[]))</f>
        <v>0</v>
      </c>
      <c r="H10" s="40">
        <f>IFERROR(INDEX(composicoes[],MATCH(orcCenario1[[#This Row],[CÓDIGO]],composicoes[CÓDIGO],0),MATCH(orcCenario1[[#Headers],[ MÃO DE OBRA]],composicoes[#Headers],0)),"")</f>
        <v>0.91</v>
      </c>
      <c r="I10" s="40">
        <f>IFERROR(INDEX(composicoes[],MATCH(orcCenario1[[#This Row],[CÓDIGO]],composicoes[CÓDIGO],0),MATCH(orcCenario1[[#Headers],[MATERIAL]],composicoes[#Headers],0)),"")</f>
        <v>10.38</v>
      </c>
      <c r="J10" s="40">
        <f>IFERROR(INDEX(composicoes[],MATCH(orcCenario1[[#This Row],[CÓDIGO]],composicoes[CÓDIGO],0),MATCH(orcCenario1[[#Headers],[EQUIPAMENTO]],composicoes[#Headers],0)),"")</f>
        <v>0</v>
      </c>
      <c r="K10" s="40">
        <f>IF(orcCenario1[[#This Row],[ MÃO DE OBRA]]="","",SUM(orcCenario1[[#This Row],[ MÃO DE OBRA]:[EQUIPAMENTO]]))</f>
        <v>11.290000000000001</v>
      </c>
      <c r="L10" s="23">
        <f>IF(orcCenario1[[#This Row],[CUSTO UNITÁRIO]]="","",CENÁRIOS!$E$6)</f>
        <v>0.25</v>
      </c>
      <c r="M10" s="40">
        <f ca="1">IF(orcCenario1[[#This Row],[ MÃO DE OBRA]]&lt;&gt;"",orcCenario1[[#This Row],[QUANTIDADE]]*orcCenario1[[#This Row],[ MÃO DE OBRA]]*(1+orcCenario1[[#This Row],[BDI]]),SUMIFS(orcCenario1[CUSTO MÃO DE OBRA],orcCenario1['#],"&gt;"&amp;orcCenario1[[#This Row],['#]],orcCenario1['#],"&lt;"&amp;orcCenario1[[#This Row],['#]]+100))</f>
        <v>0</v>
      </c>
      <c r="N10" s="40">
        <f ca="1">IF(orcCenario1[[#This Row],[MATERIAL]]&lt;&gt;"",orcCenario1[[#This Row],[QUANTIDADE]]*orcCenario1[[#This Row],[MATERIAL]]*(1+orcCenario1[[#This Row],[BDI]]),SUMIFS(orcCenario1[CUSTO MATERIAL],orcCenario1['#],"&gt;"&amp;orcCenario1[[#This Row],['#]],orcCenario1['#],"&lt;"&amp;orcCenario1[[#This Row],['#]]+100))</f>
        <v>0</v>
      </c>
      <c r="O10" s="40">
        <f ca="1">IF(orcCenario1[EQUIPAMENTO]&lt;&gt;"",orcCenario1[[#This Row],[QUANTIDADE]]*orcCenario1[EQUIPAMENTO]*(1+orcCenario1[[#This Row],[BDI]]),SUMIFS(orcCenario1[CUSTO EQUIPAMENTO],orcCenario1['#],"&gt;"&amp;orcCenario1[[#This Row],['#]],orcCenario1['#],"&lt;"&amp;orcCenario1[[#This Row],['#]]+100))</f>
        <v>0</v>
      </c>
      <c r="P10" s="40">
        <f ca="1">SUM(orcCenario1[[#This Row],[CUSTO MÃO DE OBRA]:[CUSTO EQUIPAMENTO]])</f>
        <v>0</v>
      </c>
      <c r="Q10" s="40" t="str">
        <f ca="1">IF(orcCenario1[[#This Row],[QUANTIDADE]]=0,"Não","Sim")</f>
        <v>Não</v>
      </c>
    </row>
    <row r="11" spans="2:22" x14ac:dyDescent="0.25">
      <c r="B11" s="49">
        <v>107</v>
      </c>
      <c r="C11" s="49">
        <f ca="1">IF(orcCenario1[[#This Row],[DESCRIÇÃO]]="ESTACAS",100,IF(orcCenario1[[#This Row],[DESCRIÇÃO]]="BLOCO",200,orcCenario1[[#This Row],['#]]-COUNTIFS(orcCenario1[QUANTIDADE],0,orcCenario1['#],"&lt;"&amp;orcCenario1[[#This Row],['#]],orcCenario1['#],"&gt;"&amp;ROUNDDOWN(orcCenario1[[#This Row],['#]],-2))))</f>
        <v>102</v>
      </c>
      <c r="D11" s="1">
        <v>95578</v>
      </c>
      <c r="E11" s="39" t="str">
        <f>IF(orcCenario1[[#This Row],['#]]=100,"ESTACAS",IF(orcCenario1[[#This Row],['#]]=200,"BLOCO",INDEX(composicoes[],MATCH(orcCenario1[[#This Row],[CÓDIGO]],composicoes[CÓDIGO],0),MATCH(orcCenario1[[#Headers],[DESCRIÇÃO]],composicoes[#Headers],0))))</f>
        <v>MONTAGEM DE ARMADURA DE ESTACAS, DIÂMETRO = 12,5 MM. AF_09/2021_PS</v>
      </c>
      <c r="F11" s="1" t="str">
        <f>IFERROR(INDEX(composicoes[],MATCH(orcCenario1[[#This Row],[CÓDIGO]],composicoes[CÓDIGO],0),MATCH(orcCenario1[[#Headers],[UN.]],composicoes[#Headers],0)),"")</f>
        <v>KG</v>
      </c>
      <c r="G11" s="4">
        <f ca="1">IF(orcCenario1[[#This Row],[CÓDIGO]]="","",quantitativo(orcCenario1[[#This Row],[CÓDIGO]],orcCenario1[[#This Row],['#]],CENÁRIOS!$E$3,CENÁRIOS!$E$4,cenario1[]))</f>
        <v>11.560079217506184</v>
      </c>
      <c r="H11" s="40">
        <f>IFERROR(INDEX(composicoes[],MATCH(orcCenario1[[#This Row],[CÓDIGO]],composicoes[CÓDIGO],0),MATCH(orcCenario1[[#Headers],[ MÃO DE OBRA]],composicoes[#Headers],0)),"")</f>
        <v>0.48</v>
      </c>
      <c r="I11" s="40">
        <f>IFERROR(INDEX(composicoes[],MATCH(orcCenario1[[#This Row],[CÓDIGO]],composicoes[CÓDIGO],0),MATCH(orcCenario1[[#Headers],[MATERIAL]],composicoes[#Headers],0)),"")</f>
        <v>8.93</v>
      </c>
      <c r="J11" s="40">
        <f>IFERROR(INDEX(composicoes[],MATCH(orcCenario1[[#This Row],[CÓDIGO]],composicoes[CÓDIGO],0),MATCH(orcCenario1[[#Headers],[EQUIPAMENTO]],composicoes[#Headers],0)),"")</f>
        <v>0</v>
      </c>
      <c r="K11" s="40">
        <f>IF(orcCenario1[[#This Row],[ MÃO DE OBRA]]="","",SUM(orcCenario1[[#This Row],[ MÃO DE OBRA]:[EQUIPAMENTO]]))</f>
        <v>9.41</v>
      </c>
      <c r="L11" s="23">
        <f>IF(orcCenario1[[#This Row],[CUSTO UNITÁRIO]]="","",CENÁRIOS!$E$6)</f>
        <v>0.25</v>
      </c>
      <c r="M11" s="40">
        <f ca="1">IF(orcCenario1[[#This Row],[ MÃO DE OBRA]]&lt;&gt;"",orcCenario1[[#This Row],[QUANTIDADE]]*orcCenario1[[#This Row],[ MÃO DE OBRA]]*(1+orcCenario1[[#This Row],[BDI]]),SUMIFS(orcCenario1[CUSTO MÃO DE OBRA],orcCenario1['#],"&gt;"&amp;orcCenario1[[#This Row],['#]],orcCenario1['#],"&lt;"&amp;orcCenario1[[#This Row],['#]]+100))</f>
        <v>6.9360475305037097</v>
      </c>
      <c r="N11" s="40">
        <f ca="1">IF(orcCenario1[[#This Row],[MATERIAL]]&lt;&gt;"",orcCenario1[[#This Row],[QUANTIDADE]]*orcCenario1[[#This Row],[MATERIAL]]*(1+orcCenario1[[#This Row],[BDI]]),SUMIFS(orcCenario1[CUSTO MATERIAL],orcCenario1['#],"&gt;"&amp;orcCenario1[[#This Row],['#]],orcCenario1['#],"&lt;"&amp;orcCenario1[[#This Row],['#]]+100))</f>
        <v>129.03938426541276</v>
      </c>
      <c r="O11" s="40">
        <f ca="1">IF(orcCenario1[EQUIPAMENTO]&lt;&gt;"",orcCenario1[[#This Row],[QUANTIDADE]]*orcCenario1[EQUIPAMENTO]*(1+orcCenario1[[#This Row],[BDI]]),SUMIFS(orcCenario1[CUSTO EQUIPAMENTO],orcCenario1['#],"&gt;"&amp;orcCenario1[[#This Row],['#]],orcCenario1['#],"&lt;"&amp;orcCenario1[[#This Row],['#]]+100))</f>
        <v>0</v>
      </c>
      <c r="P11" s="40">
        <f ca="1">SUM(orcCenario1[[#This Row],[CUSTO MÃO DE OBRA]:[CUSTO EQUIPAMENTO]])</f>
        <v>135.97543179591648</v>
      </c>
      <c r="Q11" s="40" t="str">
        <f ca="1">IF(orcCenario1[[#This Row],[QUANTIDADE]]=0,"Não","Sim")</f>
        <v>Sim</v>
      </c>
    </row>
    <row r="12" spans="2:22" x14ac:dyDescent="0.25">
      <c r="B12" s="49">
        <v>108</v>
      </c>
      <c r="C12" s="49">
        <f ca="1">IF(orcCenario1[[#This Row],[DESCRIÇÃO]]="ESTACAS",100,IF(orcCenario1[[#This Row],[DESCRIÇÃO]]="BLOCO",200,orcCenario1[[#This Row],['#]]-COUNTIFS(orcCenario1[QUANTIDADE],0,orcCenario1['#],"&lt;"&amp;orcCenario1[[#This Row],['#]],orcCenario1['#],"&gt;"&amp;ROUNDDOWN(orcCenario1[[#This Row],['#]],-2))))</f>
        <v>103</v>
      </c>
      <c r="D12" s="1">
        <v>95579</v>
      </c>
      <c r="E12" s="39" t="str">
        <f>IF(orcCenario1[[#This Row],['#]]=100,"ESTACAS",IF(orcCenario1[[#This Row],['#]]=200,"BLOCO",INDEX(composicoes[],MATCH(orcCenario1[[#This Row],[CÓDIGO]],composicoes[CÓDIGO],0),MATCH(orcCenario1[[#Headers],[DESCRIÇÃO]],composicoes[#Headers],0))))</f>
        <v>MONTAGEM DE ARMADURA DE ESTACAS, DIÂMETRO = 16,0 MM. AF_09/2021_PS</v>
      </c>
      <c r="F12" s="1" t="str">
        <f>IFERROR(INDEX(composicoes[],MATCH(orcCenario1[[#This Row],[CÓDIGO]],composicoes[CÓDIGO],0),MATCH(orcCenario1[[#Headers],[UN.]],composicoes[#Headers],0)),"")</f>
        <v>KG</v>
      </c>
      <c r="G12" s="4">
        <f ca="1">IF(orcCenario1[[#This Row],[CÓDIGO]]="","",quantitativo(orcCenario1[[#This Row],[CÓDIGO]],orcCenario1[[#This Row],['#]],CENÁRIOS!$E$3,CENÁRIOS!$E$4,cenario1[]))</f>
        <v>18.940033789962126</v>
      </c>
      <c r="H12" s="40">
        <f>IFERROR(INDEX(composicoes[],MATCH(orcCenario1[[#This Row],[CÓDIGO]],composicoes[CÓDIGO],0),MATCH(orcCenario1[[#Headers],[ MÃO DE OBRA]],composicoes[#Headers],0)),"")</f>
        <v>0.3</v>
      </c>
      <c r="I12" s="40">
        <f>IFERROR(INDEX(composicoes[],MATCH(orcCenario1[[#This Row],[CÓDIGO]],composicoes[CÓDIGO],0),MATCH(orcCenario1[[#Headers],[MATERIAL]],composicoes[#Headers],0)),"")</f>
        <v>8.7899999999999991</v>
      </c>
      <c r="J12" s="40">
        <f>IFERROR(INDEX(composicoes[],MATCH(orcCenario1[[#This Row],[CÓDIGO]],composicoes[CÓDIGO],0),MATCH(orcCenario1[[#Headers],[EQUIPAMENTO]],composicoes[#Headers],0)),"")</f>
        <v>0</v>
      </c>
      <c r="K12" s="40">
        <f>IF(orcCenario1[[#This Row],[ MÃO DE OBRA]]="","",SUM(orcCenario1[[#This Row],[ MÃO DE OBRA]:[EQUIPAMENTO]]))</f>
        <v>9.09</v>
      </c>
      <c r="L12" s="23">
        <f>IF(orcCenario1[[#This Row],[CUSTO UNITÁRIO]]="","",CENÁRIOS!$E$6)</f>
        <v>0.25</v>
      </c>
      <c r="M12" s="40">
        <f ca="1">IF(orcCenario1[[#This Row],[ MÃO DE OBRA]]&lt;&gt;"",orcCenario1[[#This Row],[QUANTIDADE]]*orcCenario1[[#This Row],[ MÃO DE OBRA]]*(1+orcCenario1[[#This Row],[BDI]]),SUMIFS(orcCenario1[CUSTO MÃO DE OBRA],orcCenario1['#],"&gt;"&amp;orcCenario1[[#This Row],['#]],orcCenario1['#],"&lt;"&amp;orcCenario1[[#This Row],['#]]+100))</f>
        <v>7.1025126712357967</v>
      </c>
      <c r="N12" s="40">
        <f ca="1">IF(orcCenario1[[#This Row],[MATERIAL]]&lt;&gt;"",orcCenario1[[#This Row],[QUANTIDADE]]*orcCenario1[[#This Row],[MATERIAL]]*(1+orcCenario1[[#This Row],[BDI]]),SUMIFS(orcCenario1[CUSTO MATERIAL],orcCenario1['#],"&gt;"&amp;orcCenario1[[#This Row],['#]],orcCenario1['#],"&lt;"&amp;orcCenario1[[#This Row],['#]]+100))</f>
        <v>208.10362126720884</v>
      </c>
      <c r="O12" s="40">
        <f ca="1">IF(orcCenario1[EQUIPAMENTO]&lt;&gt;"",orcCenario1[[#This Row],[QUANTIDADE]]*orcCenario1[EQUIPAMENTO]*(1+orcCenario1[[#This Row],[BDI]]),SUMIFS(orcCenario1[CUSTO EQUIPAMENTO],orcCenario1['#],"&gt;"&amp;orcCenario1[[#This Row],['#]],orcCenario1['#],"&lt;"&amp;orcCenario1[[#This Row],['#]]+100))</f>
        <v>0</v>
      </c>
      <c r="P12" s="40">
        <f ca="1">SUM(orcCenario1[[#This Row],[CUSTO MÃO DE OBRA]:[CUSTO EQUIPAMENTO]])</f>
        <v>215.20613393844462</v>
      </c>
      <c r="Q12" s="40" t="str">
        <f ca="1">IF(orcCenario1[[#This Row],[QUANTIDADE]]=0,"Não","Sim")</f>
        <v>Sim</v>
      </c>
    </row>
    <row r="13" spans="2:22" hidden="1" x14ac:dyDescent="0.25">
      <c r="B13" s="49">
        <v>109</v>
      </c>
      <c r="C13" s="49">
        <f ca="1">IF(orcCenario1[[#This Row],[DESCRIÇÃO]]="ESTACAS",100,IF(orcCenario1[[#This Row],[DESCRIÇÃO]]="BLOCO",200,orcCenario1[[#This Row],['#]]-COUNTIFS(orcCenario1[QUANTIDADE],0,orcCenario1['#],"&lt;"&amp;orcCenario1[[#This Row],['#]],orcCenario1['#],"&gt;"&amp;ROUNDDOWN(orcCenario1[[#This Row],['#]],-2))))</f>
        <v>104</v>
      </c>
      <c r="D13" s="1">
        <v>95580</v>
      </c>
      <c r="E13" s="39" t="str">
        <f>IF(orcCenario1[[#This Row],['#]]=100,"ESTACAS",IF(orcCenario1[[#This Row],['#]]=200,"BLOCO",INDEX(composicoes[],MATCH(orcCenario1[[#This Row],[CÓDIGO]],composicoes[CÓDIGO],0),MATCH(orcCenario1[[#Headers],[DESCRIÇÃO]],composicoes[#Headers],0))))</f>
        <v>MONTAGEM DE ARMADURA DE ESTACAS, DIÂMETRO = 20,0 MM. AF_09/2021_PS</v>
      </c>
      <c r="F13" s="1" t="str">
        <f>IFERROR(INDEX(composicoes[],MATCH(orcCenario1[[#This Row],[CÓDIGO]],composicoes[CÓDIGO],0),MATCH(orcCenario1[[#Headers],[UN.]],composicoes[#Headers],0)),"")</f>
        <v>KG</v>
      </c>
      <c r="G13" s="4">
        <f ca="1">IF(orcCenario1[[#This Row],[CÓDIGO]]="","",quantitativo(orcCenario1[[#This Row],[CÓDIGO]],orcCenario1[[#This Row],['#]],CENÁRIOS!$E$3,CENÁRIOS!$E$4,cenario1[]))</f>
        <v>0</v>
      </c>
      <c r="H13" s="40">
        <f>IFERROR(INDEX(composicoes[],MATCH(orcCenario1[[#This Row],[CÓDIGO]],composicoes[CÓDIGO],0),MATCH(orcCenario1[[#Headers],[ MÃO DE OBRA]],composicoes[#Headers],0)),"")</f>
        <v>0.21</v>
      </c>
      <c r="I13" s="40">
        <f>IFERROR(INDEX(composicoes[],MATCH(orcCenario1[[#This Row],[CÓDIGO]],composicoes[CÓDIGO],0),MATCH(orcCenario1[[#Headers],[MATERIAL]],composicoes[#Headers],0)),"")</f>
        <v>10.25</v>
      </c>
      <c r="J13" s="40">
        <f>IFERROR(INDEX(composicoes[],MATCH(orcCenario1[[#This Row],[CÓDIGO]],composicoes[CÓDIGO],0),MATCH(orcCenario1[[#Headers],[EQUIPAMENTO]],composicoes[#Headers],0)),"")</f>
        <v>0</v>
      </c>
      <c r="K13" s="40">
        <f>IF(orcCenario1[[#This Row],[ MÃO DE OBRA]]="","",SUM(orcCenario1[[#This Row],[ MÃO DE OBRA]:[EQUIPAMENTO]]))</f>
        <v>10.46</v>
      </c>
      <c r="L13" s="23">
        <f>IF(orcCenario1[[#This Row],[CUSTO UNITÁRIO]]="","",CENÁRIOS!$E$6)</f>
        <v>0.25</v>
      </c>
      <c r="M13" s="40">
        <f ca="1">IF(orcCenario1[[#This Row],[ MÃO DE OBRA]]&lt;&gt;"",orcCenario1[[#This Row],[QUANTIDADE]]*orcCenario1[[#This Row],[ MÃO DE OBRA]]*(1+orcCenario1[[#This Row],[BDI]]),SUMIFS(orcCenario1[CUSTO MÃO DE OBRA],orcCenario1['#],"&gt;"&amp;orcCenario1[[#This Row],['#]],orcCenario1['#],"&lt;"&amp;orcCenario1[[#This Row],['#]]+100))</f>
        <v>0</v>
      </c>
      <c r="N13" s="40">
        <f ca="1">IF(orcCenario1[[#This Row],[MATERIAL]]&lt;&gt;"",orcCenario1[[#This Row],[QUANTIDADE]]*orcCenario1[[#This Row],[MATERIAL]]*(1+orcCenario1[[#This Row],[BDI]]),SUMIFS(orcCenario1[CUSTO MATERIAL],orcCenario1['#],"&gt;"&amp;orcCenario1[[#This Row],['#]],orcCenario1['#],"&lt;"&amp;orcCenario1[[#This Row],['#]]+100))</f>
        <v>0</v>
      </c>
      <c r="O13" s="40">
        <f ca="1">IF(orcCenario1[EQUIPAMENTO]&lt;&gt;"",orcCenario1[[#This Row],[QUANTIDADE]]*orcCenario1[EQUIPAMENTO]*(1+orcCenario1[[#This Row],[BDI]]),SUMIFS(orcCenario1[CUSTO EQUIPAMENTO],orcCenario1['#],"&gt;"&amp;orcCenario1[[#This Row],['#]],orcCenario1['#],"&lt;"&amp;orcCenario1[[#This Row],['#]]+100))</f>
        <v>0</v>
      </c>
      <c r="P13" s="40">
        <f ca="1">SUM(orcCenario1[[#This Row],[CUSTO MÃO DE OBRA]:[CUSTO EQUIPAMENTO]])</f>
        <v>0</v>
      </c>
      <c r="Q13" s="40" t="str">
        <f ca="1">IF(orcCenario1[[#This Row],[QUANTIDADE]]=0,"Não","Sim")</f>
        <v>Não</v>
      </c>
    </row>
    <row r="14" spans="2:22" hidden="1" x14ac:dyDescent="0.25">
      <c r="B14" s="49">
        <v>110</v>
      </c>
      <c r="C14" s="49">
        <f ca="1">IF(orcCenario1[[#This Row],[DESCRIÇÃO]]="ESTACAS",100,IF(orcCenario1[[#This Row],[DESCRIÇÃO]]="BLOCO",200,orcCenario1[[#This Row],['#]]-COUNTIFS(orcCenario1[QUANTIDADE],0,orcCenario1['#],"&lt;"&amp;orcCenario1[[#This Row],['#]],orcCenario1['#],"&gt;"&amp;ROUNDDOWN(orcCenario1[[#This Row],['#]],-2))))</f>
        <v>104</v>
      </c>
      <c r="D14" s="1">
        <v>95581</v>
      </c>
      <c r="E14" s="39" t="str">
        <f>IF(orcCenario1[[#This Row],['#]]=100,"ESTACAS",IF(orcCenario1[[#This Row],['#]]=200,"BLOCO",INDEX(composicoes[],MATCH(orcCenario1[[#This Row],[CÓDIGO]],composicoes[CÓDIGO],0),MATCH(orcCenario1[[#Headers],[DESCRIÇÃO]],composicoes[#Headers],0))))</f>
        <v>MONTAGEM DE ARMADURA DE ESTACAS, DIÂMETRO = 25,0 MM. AF_09/2021_PS</v>
      </c>
      <c r="F14" s="1" t="str">
        <f>IFERROR(INDEX(composicoes[],MATCH(orcCenario1[[#This Row],[CÓDIGO]],composicoes[CÓDIGO],0),MATCH(orcCenario1[[#Headers],[UN.]],composicoes[#Headers],0)),"")</f>
        <v>KG</v>
      </c>
      <c r="G14" s="4">
        <f ca="1">IF(orcCenario1[[#This Row],[CÓDIGO]]="","",quantitativo(orcCenario1[[#This Row],[CÓDIGO]],orcCenario1[[#This Row],['#]],CENÁRIOS!$E$3,CENÁRIOS!$E$4,cenario1[]))</f>
        <v>0</v>
      </c>
      <c r="H14" s="40">
        <f>IFERROR(INDEX(composicoes[],MATCH(orcCenario1[[#This Row],[CÓDIGO]],composicoes[CÓDIGO],0),MATCH(orcCenario1[[#Headers],[ MÃO DE OBRA]],composicoes[#Headers],0)),"")</f>
        <v>0.2</v>
      </c>
      <c r="I14" s="40">
        <f>IFERROR(INDEX(composicoes[],MATCH(orcCenario1[[#This Row],[CÓDIGO]],composicoes[CÓDIGO],0),MATCH(orcCenario1[[#Headers],[MATERIAL]],composicoes[#Headers],0)),"")</f>
        <v>10.23</v>
      </c>
      <c r="J14" s="40">
        <f>IFERROR(INDEX(composicoes[],MATCH(orcCenario1[[#This Row],[CÓDIGO]],composicoes[CÓDIGO],0),MATCH(orcCenario1[[#Headers],[EQUIPAMENTO]],composicoes[#Headers],0)),"")</f>
        <v>0</v>
      </c>
      <c r="K14" s="40">
        <f>IF(orcCenario1[[#This Row],[ MÃO DE OBRA]]="","",SUM(orcCenario1[[#This Row],[ MÃO DE OBRA]:[EQUIPAMENTO]]))</f>
        <v>10.43</v>
      </c>
      <c r="L14" s="23">
        <f>IF(orcCenario1[[#This Row],[CUSTO UNITÁRIO]]="","",CENÁRIOS!$E$6)</f>
        <v>0.25</v>
      </c>
      <c r="M14" s="40">
        <f ca="1">IF(orcCenario1[[#This Row],[ MÃO DE OBRA]]&lt;&gt;"",orcCenario1[[#This Row],[QUANTIDADE]]*orcCenario1[[#This Row],[ MÃO DE OBRA]]*(1+orcCenario1[[#This Row],[BDI]]),SUMIFS(orcCenario1[CUSTO MÃO DE OBRA],orcCenario1['#],"&gt;"&amp;orcCenario1[[#This Row],['#]],orcCenario1['#],"&lt;"&amp;orcCenario1[[#This Row],['#]]+100))</f>
        <v>0</v>
      </c>
      <c r="N14" s="40">
        <f ca="1">IF(orcCenario1[[#This Row],[MATERIAL]]&lt;&gt;"",orcCenario1[[#This Row],[QUANTIDADE]]*orcCenario1[[#This Row],[MATERIAL]]*(1+orcCenario1[[#This Row],[BDI]]),SUMIFS(orcCenario1[CUSTO MATERIAL],orcCenario1['#],"&gt;"&amp;orcCenario1[[#This Row],['#]],orcCenario1['#],"&lt;"&amp;orcCenario1[[#This Row],['#]]+100))</f>
        <v>0</v>
      </c>
      <c r="O14" s="40">
        <f ca="1">IF(orcCenario1[EQUIPAMENTO]&lt;&gt;"",orcCenario1[[#This Row],[QUANTIDADE]]*orcCenario1[EQUIPAMENTO]*(1+orcCenario1[[#This Row],[BDI]]),SUMIFS(orcCenario1[CUSTO EQUIPAMENTO],orcCenario1['#],"&gt;"&amp;orcCenario1[[#This Row],['#]],orcCenario1['#],"&lt;"&amp;orcCenario1[[#This Row],['#]]+100))</f>
        <v>0</v>
      </c>
      <c r="P14" s="40">
        <f ca="1">SUM(orcCenario1[[#This Row],[CUSTO MÃO DE OBRA]:[CUSTO EQUIPAMENTO]])</f>
        <v>0</v>
      </c>
      <c r="Q14" s="40" t="str">
        <f ca="1">IF(orcCenario1[[#This Row],[QUANTIDADE]]=0,"Não","Sim")</f>
        <v>Não</v>
      </c>
    </row>
    <row r="15" spans="2:22" hidden="1" x14ac:dyDescent="0.25">
      <c r="B15" s="49">
        <v>111</v>
      </c>
      <c r="C15" s="49">
        <f ca="1">IF(orcCenario1[[#This Row],[DESCRIÇÃO]]="ESTACAS",100,IF(orcCenario1[[#This Row],[DESCRIÇÃO]]="BLOCO",200,orcCenario1[[#This Row],['#]]-COUNTIFS(orcCenario1[QUANTIDADE],0,orcCenario1['#],"&lt;"&amp;orcCenario1[[#This Row],['#]],orcCenario1['#],"&gt;"&amp;ROUNDDOWN(orcCenario1[[#This Row],['#]],-2))))</f>
        <v>104</v>
      </c>
      <c r="D15" s="1">
        <v>95582</v>
      </c>
      <c r="E15" s="39" t="str">
        <f>IF(orcCenario1[[#This Row],['#]]=100,"ESTACAS",IF(orcCenario1[[#This Row],['#]]=200,"BLOCO",INDEX(composicoes[],MATCH(orcCenario1[[#This Row],[CÓDIGO]],composicoes[CÓDIGO],0),MATCH(orcCenario1[[#Headers],[DESCRIÇÃO]],composicoes[#Headers],0))))</f>
        <v>MONTAGEM DE ARMADURA DE ESTACAS, DIÂMETRO = 32,0 MM. AF_09/2021_PE</v>
      </c>
      <c r="F15" s="1" t="str">
        <f>IFERROR(INDEX(composicoes[],MATCH(orcCenario1[[#This Row],[CÓDIGO]],composicoes[CÓDIGO],0),MATCH(orcCenario1[[#Headers],[UN.]],composicoes[#Headers],0)),"")</f>
        <v>KG</v>
      </c>
      <c r="G15" s="4">
        <f ca="1">IF(orcCenario1[[#This Row],[CÓDIGO]]="","",quantitativo(orcCenario1[[#This Row],[CÓDIGO]],orcCenario1[[#This Row],['#]],CENÁRIOS!$E$3,CENÁRIOS!$E$4,cenario1[]))</f>
        <v>0</v>
      </c>
      <c r="H15" s="40">
        <f>IFERROR(INDEX(composicoes[],MATCH(orcCenario1[[#This Row],[CÓDIGO]],composicoes[CÓDIGO],0),MATCH(orcCenario1[[#Headers],[ MÃO DE OBRA]],composicoes[#Headers],0)),"")</f>
        <v>0.18</v>
      </c>
      <c r="I15" s="40">
        <f>IFERROR(INDEX(composicoes[],MATCH(orcCenario1[[#This Row],[CÓDIGO]],composicoes[CÓDIGO],0),MATCH(orcCenario1[[#Headers],[MATERIAL]],composicoes[#Headers],0)),"")</f>
        <v>11.15</v>
      </c>
      <c r="J15" s="40">
        <f>IFERROR(INDEX(composicoes[],MATCH(orcCenario1[[#This Row],[CÓDIGO]],composicoes[CÓDIGO],0),MATCH(orcCenario1[[#Headers],[EQUIPAMENTO]],composicoes[#Headers],0)),"")</f>
        <v>0</v>
      </c>
      <c r="K15" s="40">
        <f>IF(orcCenario1[[#This Row],[ MÃO DE OBRA]]="","",SUM(orcCenario1[[#This Row],[ MÃO DE OBRA]:[EQUIPAMENTO]]))</f>
        <v>11.33</v>
      </c>
      <c r="L15" s="23">
        <f>IF(orcCenario1[[#This Row],[CUSTO UNITÁRIO]]="","",CENÁRIOS!$E$6)</f>
        <v>0.25</v>
      </c>
      <c r="M15" s="40">
        <f ca="1">IF(orcCenario1[[#This Row],[ MÃO DE OBRA]]&lt;&gt;"",orcCenario1[[#This Row],[QUANTIDADE]]*orcCenario1[[#This Row],[ MÃO DE OBRA]]*(1+orcCenario1[[#This Row],[BDI]]),SUMIFS(orcCenario1[CUSTO MÃO DE OBRA],orcCenario1['#],"&gt;"&amp;orcCenario1[[#This Row],['#]],orcCenario1['#],"&lt;"&amp;orcCenario1[[#This Row],['#]]+100))</f>
        <v>0</v>
      </c>
      <c r="N15" s="40">
        <f ca="1">IF(orcCenario1[[#This Row],[MATERIAL]]&lt;&gt;"",orcCenario1[[#This Row],[QUANTIDADE]]*orcCenario1[[#This Row],[MATERIAL]]*(1+orcCenario1[[#This Row],[BDI]]),SUMIFS(orcCenario1[CUSTO MATERIAL],orcCenario1['#],"&gt;"&amp;orcCenario1[[#This Row],['#]],orcCenario1['#],"&lt;"&amp;orcCenario1[[#This Row],['#]]+100))</f>
        <v>0</v>
      </c>
      <c r="O15" s="40">
        <f ca="1">IF(orcCenario1[EQUIPAMENTO]&lt;&gt;"",orcCenario1[[#This Row],[QUANTIDADE]]*orcCenario1[EQUIPAMENTO]*(1+orcCenario1[[#This Row],[BDI]]),SUMIFS(orcCenario1[CUSTO EQUIPAMENTO],orcCenario1['#],"&gt;"&amp;orcCenario1[[#This Row],['#]],orcCenario1['#],"&lt;"&amp;orcCenario1[[#This Row],['#]]+100))</f>
        <v>0</v>
      </c>
      <c r="P15" s="40">
        <f ca="1">SUM(orcCenario1[[#This Row],[CUSTO MÃO DE OBRA]:[CUSTO EQUIPAMENTO]])</f>
        <v>0</v>
      </c>
      <c r="Q15" s="40" t="str">
        <f ca="1">IF(orcCenario1[[#This Row],[QUANTIDADE]]=0,"Não","Sim")</f>
        <v>Não</v>
      </c>
    </row>
    <row r="16" spans="2:22" ht="30" x14ac:dyDescent="0.25">
      <c r="B16" s="49">
        <v>112</v>
      </c>
      <c r="C16" s="49">
        <f ca="1">IF(orcCenario1[[#This Row],[DESCRIÇÃO]]="ESTACAS",100,IF(orcCenario1[[#This Row],[DESCRIÇÃO]]="BLOCO",200,orcCenario1[[#This Row],['#]]-COUNTIFS(orcCenario1[QUANTIDADE],0,orcCenario1['#],"&lt;"&amp;orcCenario1[[#This Row],['#]],orcCenario1['#],"&gt;"&amp;ROUNDDOWN(orcCenario1[[#This Row],['#]],-2))))</f>
        <v>104</v>
      </c>
      <c r="D16" s="1">
        <v>95584</v>
      </c>
      <c r="E16" s="39" t="str">
        <f>IF(orcCenario1[[#This Row],['#]]=100,"ESTACAS",IF(orcCenario1[[#This Row],['#]]=200,"BLOCO",INDEX(composicoes[],MATCH(orcCenario1[[#This Row],[CÓDIGO]],composicoes[CÓDIGO],0),MATCH(orcCenario1[[#Headers],[DESCRIÇÃO]],composicoes[#Headers],0))))</f>
        <v>MONTAGEM DE ARMADURA TRANSVERSAL DE ESTACAS DE SEÇÃO CIRCULAR, DIÂMETRO = 6,30 MM. AF_09/2021_PS</v>
      </c>
      <c r="F16" s="1" t="str">
        <f>IFERROR(INDEX(composicoes[],MATCH(orcCenario1[[#This Row],[CÓDIGO]],composicoes[CÓDIGO],0),MATCH(orcCenario1[[#Headers],[UN.]],composicoes[#Headers],0)),"")</f>
        <v>KG</v>
      </c>
      <c r="G16" s="4">
        <f ca="1">IF(orcCenario1[[#This Row],[CÓDIGO]]="","",quantitativo(orcCenario1[[#This Row],[CÓDIGO]],orcCenario1[[#This Row],['#]],CENÁRIOS!$E$3,CENÁRIOS!$E$4,cenario1[]))</f>
        <v>25.75344408441801</v>
      </c>
      <c r="H16" s="40">
        <f>IFERROR(INDEX(composicoes[],MATCH(orcCenario1[[#This Row],[CÓDIGO]],composicoes[CÓDIGO],0),MATCH(orcCenario1[[#Headers],[ MÃO DE OBRA]],composicoes[#Headers],0)),"")</f>
        <v>3.22</v>
      </c>
      <c r="I16" s="40">
        <f>IFERROR(INDEX(composicoes[],MATCH(orcCenario1[[#This Row],[CÓDIGO]],composicoes[CÓDIGO],0),MATCH(orcCenario1[[#Headers],[MATERIAL]],composicoes[#Headers],0)),"")</f>
        <v>11.51</v>
      </c>
      <c r="J16" s="40">
        <f>IFERROR(INDEX(composicoes[],MATCH(orcCenario1[[#This Row],[CÓDIGO]],composicoes[CÓDIGO],0),MATCH(orcCenario1[[#Headers],[EQUIPAMENTO]],composicoes[#Headers],0)),"")</f>
        <v>0</v>
      </c>
      <c r="K16" s="40">
        <f>IF(orcCenario1[[#This Row],[ MÃO DE OBRA]]="","",SUM(orcCenario1[[#This Row],[ MÃO DE OBRA]:[EQUIPAMENTO]]))</f>
        <v>14.73</v>
      </c>
      <c r="L16" s="23">
        <f>IF(orcCenario1[[#This Row],[CUSTO UNITÁRIO]]="","",CENÁRIOS!$E$6)</f>
        <v>0.25</v>
      </c>
      <c r="M16" s="40">
        <f ca="1">IF(orcCenario1[[#This Row],[ MÃO DE OBRA]]&lt;&gt;"",orcCenario1[[#This Row],[QUANTIDADE]]*orcCenario1[[#This Row],[ MÃO DE OBRA]]*(1+orcCenario1[[#This Row],[BDI]]),SUMIFS(orcCenario1[CUSTO MÃO DE OBRA],orcCenario1['#],"&gt;"&amp;orcCenario1[[#This Row],['#]],orcCenario1['#],"&lt;"&amp;orcCenario1[[#This Row],['#]]+100))</f>
        <v>103.6576124397825</v>
      </c>
      <c r="N16" s="40">
        <f ca="1">IF(orcCenario1[[#This Row],[MATERIAL]]&lt;&gt;"",orcCenario1[[#This Row],[QUANTIDADE]]*orcCenario1[[#This Row],[MATERIAL]]*(1+orcCenario1[[#This Row],[BDI]]),SUMIFS(orcCenario1[CUSTO MATERIAL],orcCenario1['#],"&gt;"&amp;orcCenario1[[#This Row],['#]],orcCenario1['#],"&lt;"&amp;orcCenario1[[#This Row],['#]]+100))</f>
        <v>370.52767676456415</v>
      </c>
      <c r="O16" s="40">
        <f ca="1">IF(orcCenario1[EQUIPAMENTO]&lt;&gt;"",orcCenario1[[#This Row],[QUANTIDADE]]*orcCenario1[EQUIPAMENTO]*(1+orcCenario1[[#This Row],[BDI]]),SUMIFS(orcCenario1[CUSTO EQUIPAMENTO],orcCenario1['#],"&gt;"&amp;orcCenario1[[#This Row],['#]],orcCenario1['#],"&lt;"&amp;orcCenario1[[#This Row],['#]]+100))</f>
        <v>0</v>
      </c>
      <c r="P16" s="40">
        <f ca="1">SUM(orcCenario1[[#This Row],[CUSTO MÃO DE OBRA]:[CUSTO EQUIPAMENTO]])</f>
        <v>474.18528920434665</v>
      </c>
      <c r="Q16" s="40" t="str">
        <f ca="1">IF(orcCenario1[[#This Row],[QUANTIDADE]]=0,"Não","Sim")</f>
        <v>Sim</v>
      </c>
    </row>
    <row r="17" spans="2:17" ht="30" hidden="1" x14ac:dyDescent="0.25">
      <c r="B17" s="49">
        <v>113</v>
      </c>
      <c r="C17" s="49">
        <f ca="1">IF(orcCenario1[[#This Row],[DESCRIÇÃO]]="ESTACAS",100,IF(orcCenario1[[#This Row],[DESCRIÇÃO]]="BLOCO",200,orcCenario1[[#This Row],['#]]-COUNTIFS(orcCenario1[QUANTIDADE],0,orcCenario1['#],"&lt;"&amp;orcCenario1[[#This Row],['#]],orcCenario1['#],"&gt;"&amp;ROUNDDOWN(orcCenario1[[#This Row],['#]],-2))))</f>
        <v>105</v>
      </c>
      <c r="D17" s="1">
        <v>94965</v>
      </c>
      <c r="E17" s="39" t="str">
        <f>IF(orcCenario1[[#This Row],['#]]=100,"ESTACAS",IF(orcCenario1[[#This Row],['#]]=200,"BLOCO",INDEX(composicoes[],MATCH(orcCenario1[[#This Row],[CÓDIGO]],composicoes[CÓDIGO],0),MATCH(orcCenario1[[#Headers],[DESCRIÇÃO]],composicoes[#Headers],0))))</f>
        <v>CONCRETO FCK = 25MPA, TRAÇO 1:2,3:2,7 (EM MASSA SECA DE CIMENTO/ AREIA MÉDIA/ BRITA 1) - PREPARO MECÂNICO COM BETONEIRA 400 L. AF_05/2021</v>
      </c>
      <c r="F17" s="1" t="str">
        <f>IFERROR(INDEX(composicoes[],MATCH(orcCenario1[[#This Row],[CÓDIGO]],composicoes[CÓDIGO],0),MATCH(orcCenario1[[#Headers],[UN.]],composicoes[#Headers],0)),"")</f>
        <v>M³</v>
      </c>
      <c r="G17" s="4">
        <f ca="1">IF(orcCenario1[[#This Row],[CÓDIGO]]="","",quantitativo(orcCenario1[[#This Row],[CÓDIGO]],orcCenario1[[#This Row],['#]],CENÁRIOS!$E$3,CENÁRIOS!$E$4,cenario1[]))</f>
        <v>0</v>
      </c>
      <c r="H17" s="40">
        <f>IFERROR(INDEX(composicoes[],MATCH(orcCenario1[[#This Row],[CÓDIGO]],composicoes[CÓDIGO],0),MATCH(orcCenario1[[#Headers],[ MÃO DE OBRA]],composicoes[#Headers],0)),"")</f>
        <v>57.3</v>
      </c>
      <c r="I17" s="40">
        <f>IFERROR(INDEX(composicoes[],MATCH(orcCenario1[[#This Row],[CÓDIGO]],composicoes[CÓDIGO],0),MATCH(orcCenario1[[#Headers],[MATERIAL]],composicoes[#Headers],0)),"")</f>
        <v>365.86</v>
      </c>
      <c r="J17" s="40">
        <f>IFERROR(INDEX(composicoes[],MATCH(orcCenario1[[#This Row],[CÓDIGO]],composicoes[CÓDIGO],0),MATCH(orcCenario1[[#Headers],[EQUIPAMENTO]],composicoes[#Headers],0)),"")</f>
        <v>1.31</v>
      </c>
      <c r="K17" s="40">
        <f>IF(orcCenario1[[#This Row],[ MÃO DE OBRA]]="","",SUM(orcCenario1[[#This Row],[ MÃO DE OBRA]:[EQUIPAMENTO]]))</f>
        <v>424.47</v>
      </c>
      <c r="L17" s="23">
        <f>IF(orcCenario1[[#This Row],[CUSTO UNITÁRIO]]="","",CENÁRIOS!$E$6)</f>
        <v>0.25</v>
      </c>
      <c r="M17" s="40">
        <f ca="1">IF(orcCenario1[[#This Row],[ MÃO DE OBRA]]&lt;&gt;"",orcCenario1[[#This Row],[QUANTIDADE]]*orcCenario1[[#This Row],[ MÃO DE OBRA]]*(1+orcCenario1[[#This Row],[BDI]]),SUMIFS(orcCenario1[CUSTO MÃO DE OBRA],orcCenario1['#],"&gt;"&amp;orcCenario1[[#This Row],['#]],orcCenario1['#],"&lt;"&amp;orcCenario1[[#This Row],['#]]+100))</f>
        <v>0</v>
      </c>
      <c r="N17" s="40">
        <f ca="1">IF(orcCenario1[[#This Row],[MATERIAL]]&lt;&gt;"",orcCenario1[[#This Row],[QUANTIDADE]]*orcCenario1[[#This Row],[MATERIAL]]*(1+orcCenario1[[#This Row],[BDI]]),SUMIFS(orcCenario1[CUSTO MATERIAL],orcCenario1['#],"&gt;"&amp;orcCenario1[[#This Row],['#]],orcCenario1['#],"&lt;"&amp;orcCenario1[[#This Row],['#]]+100))</f>
        <v>0</v>
      </c>
      <c r="O17" s="40">
        <f ca="1">IF(orcCenario1[EQUIPAMENTO]&lt;&gt;"",orcCenario1[[#This Row],[QUANTIDADE]]*orcCenario1[EQUIPAMENTO]*(1+orcCenario1[[#This Row],[BDI]]),SUMIFS(orcCenario1[CUSTO EQUIPAMENTO],orcCenario1['#],"&gt;"&amp;orcCenario1[[#This Row],['#]],orcCenario1['#],"&lt;"&amp;orcCenario1[[#This Row],['#]]+100))</f>
        <v>0</v>
      </c>
      <c r="P17" s="40">
        <f ca="1">SUM(orcCenario1[[#This Row],[CUSTO MÃO DE OBRA]:[CUSTO EQUIPAMENTO]])</f>
        <v>0</v>
      </c>
      <c r="Q17" s="40" t="str">
        <f ca="1">IF(orcCenario1[[#This Row],[QUANTIDADE]]=0,"Não","Sim")</f>
        <v>Não</v>
      </c>
    </row>
    <row r="18" spans="2:17" ht="30" x14ac:dyDescent="0.25">
      <c r="B18" s="49">
        <v>114</v>
      </c>
      <c r="C18" s="49">
        <f ca="1">IF(orcCenario1[[#This Row],[DESCRIÇÃO]]="ESTACAS",100,IF(orcCenario1[[#This Row],[DESCRIÇÃO]]="BLOCO",200,orcCenario1[[#This Row],['#]]-COUNTIFS(orcCenario1[QUANTIDADE],0,orcCenario1['#],"&lt;"&amp;orcCenario1[[#This Row],['#]],orcCenario1['#],"&gt;"&amp;ROUNDDOWN(orcCenario1[[#This Row],['#]],-2))))</f>
        <v>105</v>
      </c>
      <c r="D18" s="1">
        <v>94966</v>
      </c>
      <c r="E18" s="39" t="str">
        <f>IF(orcCenario1[[#This Row],['#]]=100,"ESTACAS",IF(orcCenario1[[#This Row],['#]]=200,"BLOCO",INDEX(composicoes[],MATCH(orcCenario1[[#This Row],[CÓDIGO]],composicoes[CÓDIGO],0),MATCH(orcCenario1[[#Headers],[DESCRIÇÃO]],composicoes[#Headers],0))))</f>
        <v>CONCRETO FCK = 30MPA, TRAÇO 1:2,1:2,5 (EM MASSA SECA DE CIMENTO/ AREIA MÉDIA/ BRITA 1) - PREPARO MECÂNICO COM BETONEIRA 400 L. AF_05/2021</v>
      </c>
      <c r="F18" s="1" t="str">
        <f>IFERROR(INDEX(composicoes[],MATCH(orcCenario1[[#This Row],[CÓDIGO]],composicoes[CÓDIGO],0),MATCH(orcCenario1[[#Headers],[UN.]],composicoes[#Headers],0)),"")</f>
        <v>M³</v>
      </c>
      <c r="G18" s="4">
        <f ca="1">IF(orcCenario1[[#This Row],[CÓDIGO]]="","",quantitativo(orcCenario1[[#This Row],[CÓDIGO]],orcCenario1[[#This Row],['#]],CENÁRIOS!$E$3,CENÁRIOS!$E$4,cenario1[]))</f>
        <v>15.935728735334211</v>
      </c>
      <c r="H18" s="40">
        <f>IFERROR(INDEX(composicoes[],MATCH(orcCenario1[[#This Row],[CÓDIGO]],composicoes[CÓDIGO],0),MATCH(orcCenario1[[#Headers],[ MÃO DE OBRA]],composicoes[#Headers],0)),"")</f>
        <v>56.82</v>
      </c>
      <c r="I18" s="40">
        <f>IFERROR(INDEX(composicoes[],MATCH(orcCenario1[[#This Row],[CÓDIGO]],composicoes[CÓDIGO],0),MATCH(orcCenario1[[#Headers],[MATERIAL]],composicoes[#Headers],0)),"")</f>
        <v>381.4</v>
      </c>
      <c r="J18" s="40">
        <f>IFERROR(INDEX(composicoes[],MATCH(orcCenario1[[#This Row],[CÓDIGO]],composicoes[CÓDIGO],0),MATCH(orcCenario1[[#Headers],[EQUIPAMENTO]],composicoes[#Headers],0)),"")</f>
        <v>1.2999999999999998</v>
      </c>
      <c r="K18" s="40">
        <f>IF(orcCenario1[[#This Row],[ MÃO DE OBRA]]="","",SUM(orcCenario1[[#This Row],[ MÃO DE OBRA]:[EQUIPAMENTO]]))</f>
        <v>439.52</v>
      </c>
      <c r="L18" s="23">
        <f>IF(orcCenario1[[#This Row],[CUSTO UNITÁRIO]]="","",CENÁRIOS!$E$6)</f>
        <v>0.25</v>
      </c>
      <c r="M18" s="40">
        <f ca="1">IF(orcCenario1[[#This Row],[ MÃO DE OBRA]]&lt;&gt;"",orcCenario1[[#This Row],[QUANTIDADE]]*orcCenario1[[#This Row],[ MÃO DE OBRA]]*(1+orcCenario1[[#This Row],[BDI]]),SUMIFS(orcCenario1[CUSTO MÃO DE OBRA],orcCenario1['#],"&gt;"&amp;orcCenario1[[#This Row],['#]],orcCenario1['#],"&lt;"&amp;orcCenario1[[#This Row],['#]]+100))</f>
        <v>1131.8351334271124</v>
      </c>
      <c r="N18" s="40">
        <f ca="1">IF(orcCenario1[[#This Row],[MATERIAL]]&lt;&gt;"",orcCenario1[[#This Row],[QUANTIDADE]]*orcCenario1[[#This Row],[MATERIAL]]*(1+orcCenario1[[#This Row],[BDI]]),SUMIFS(orcCenario1[CUSTO MATERIAL],orcCenario1['#],"&gt;"&amp;orcCenario1[[#This Row],['#]],orcCenario1['#],"&lt;"&amp;orcCenario1[[#This Row],['#]]+100))</f>
        <v>7597.3586745705852</v>
      </c>
      <c r="O18" s="40">
        <f ca="1">IF(orcCenario1[EQUIPAMENTO]&lt;&gt;"",orcCenario1[[#This Row],[QUANTIDADE]]*orcCenario1[EQUIPAMENTO]*(1+orcCenario1[[#This Row],[BDI]]),SUMIFS(orcCenario1[CUSTO EQUIPAMENTO],orcCenario1['#],"&gt;"&amp;orcCenario1[[#This Row],['#]],orcCenario1['#],"&lt;"&amp;orcCenario1[[#This Row],['#]]+100))</f>
        <v>25.895559194918086</v>
      </c>
      <c r="P18" s="40">
        <f ca="1">SUM(orcCenario1[[#This Row],[CUSTO MÃO DE OBRA]:[CUSTO EQUIPAMENTO]])</f>
        <v>8755.0893671926151</v>
      </c>
      <c r="Q18" s="40" t="str">
        <f ca="1">IF(orcCenario1[[#This Row],[QUANTIDADE]]=0,"Não","Sim")</f>
        <v>Sim</v>
      </c>
    </row>
    <row r="19" spans="2:17" ht="30" hidden="1" x14ac:dyDescent="0.25">
      <c r="B19" s="49">
        <v>115</v>
      </c>
      <c r="C19" s="49">
        <f ca="1">IF(orcCenario1[[#This Row],[DESCRIÇÃO]]="ESTACAS",100,IF(orcCenario1[[#This Row],[DESCRIÇÃO]]="BLOCO",200,orcCenario1[[#This Row],['#]]-COUNTIFS(orcCenario1[QUANTIDADE],0,orcCenario1['#],"&lt;"&amp;orcCenario1[[#This Row],['#]],orcCenario1['#],"&gt;"&amp;ROUNDDOWN(orcCenario1[[#This Row],['#]],-2))))</f>
        <v>106</v>
      </c>
      <c r="D19" s="1">
        <v>94967</v>
      </c>
      <c r="E19" s="39" t="str">
        <f>IF(orcCenario1[[#This Row],['#]]=100,"ESTACAS",IF(orcCenario1[[#This Row],['#]]=200,"BLOCO",INDEX(composicoes[],MATCH(orcCenario1[[#This Row],[CÓDIGO]],composicoes[CÓDIGO],0),MATCH(orcCenario1[[#Headers],[DESCRIÇÃO]],composicoes[#Headers],0))))</f>
        <v>CONCRETO FCK = 40MPA, TRAÇO 1:1,6:1,9 (EM MASSA SECA DE CIMENTO/ AREIA MÉDIA/ BRITA 1) - PREPARO MECÂNICO COM BETONEIRA 400 L. AF_05/2021</v>
      </c>
      <c r="F19" s="1" t="str">
        <f>IFERROR(INDEX(composicoes[],MATCH(orcCenario1[[#This Row],[CÓDIGO]],composicoes[CÓDIGO],0),MATCH(orcCenario1[[#Headers],[UN.]],composicoes[#Headers],0)),"")</f>
        <v>M³</v>
      </c>
      <c r="G19" s="4">
        <f ca="1">IF(orcCenario1[[#This Row],[CÓDIGO]]="","",quantitativo(orcCenario1[[#This Row],[CÓDIGO]],orcCenario1[[#This Row],['#]],CENÁRIOS!$E$3,CENÁRIOS!$E$4,cenario1[]))</f>
        <v>0</v>
      </c>
      <c r="H19" s="40">
        <f>IFERROR(INDEX(composicoes[],MATCH(orcCenario1[[#This Row],[CÓDIGO]],composicoes[CÓDIGO],0),MATCH(orcCenario1[[#Headers],[ MÃO DE OBRA]],composicoes[#Headers],0)),"")</f>
        <v>60.4</v>
      </c>
      <c r="I19" s="40">
        <f>IFERROR(INDEX(composicoes[],MATCH(orcCenario1[[#This Row],[CÓDIGO]],composicoes[CÓDIGO],0),MATCH(orcCenario1[[#Headers],[MATERIAL]],composicoes[#Headers],0)),"")</f>
        <v>443.17</v>
      </c>
      <c r="J19" s="40">
        <f>IFERROR(INDEX(composicoes[],MATCH(orcCenario1[[#This Row],[CÓDIGO]],composicoes[CÓDIGO],0),MATCH(orcCenario1[[#Headers],[EQUIPAMENTO]],composicoes[#Headers],0)),"")</f>
        <v>1.38</v>
      </c>
      <c r="K19" s="40">
        <f>IF(orcCenario1[[#This Row],[ MÃO DE OBRA]]="","",SUM(orcCenario1[[#This Row],[ MÃO DE OBRA]:[EQUIPAMENTO]]))</f>
        <v>504.95</v>
      </c>
      <c r="L19" s="23">
        <f>IF(orcCenario1[[#This Row],[CUSTO UNITÁRIO]]="","",CENÁRIOS!$E$6)</f>
        <v>0.25</v>
      </c>
      <c r="M19" s="40">
        <f ca="1">IF(orcCenario1[[#This Row],[ MÃO DE OBRA]]&lt;&gt;"",orcCenario1[[#This Row],[QUANTIDADE]]*orcCenario1[[#This Row],[ MÃO DE OBRA]]*(1+orcCenario1[[#This Row],[BDI]]),SUMIFS(orcCenario1[CUSTO MÃO DE OBRA],orcCenario1['#],"&gt;"&amp;orcCenario1[[#This Row],['#]],orcCenario1['#],"&lt;"&amp;orcCenario1[[#This Row],['#]]+100))</f>
        <v>0</v>
      </c>
      <c r="N19" s="40">
        <f ca="1">IF(orcCenario1[[#This Row],[MATERIAL]]&lt;&gt;"",orcCenario1[[#This Row],[QUANTIDADE]]*orcCenario1[[#This Row],[MATERIAL]]*(1+orcCenario1[[#This Row],[BDI]]),SUMIFS(orcCenario1[CUSTO MATERIAL],orcCenario1['#],"&gt;"&amp;orcCenario1[[#This Row],['#]],orcCenario1['#],"&lt;"&amp;orcCenario1[[#This Row],['#]]+100))</f>
        <v>0</v>
      </c>
      <c r="O19" s="40">
        <f ca="1">IF(orcCenario1[EQUIPAMENTO]&lt;&gt;"",orcCenario1[[#This Row],[QUANTIDADE]]*orcCenario1[EQUIPAMENTO]*(1+orcCenario1[[#This Row],[BDI]]),SUMIFS(orcCenario1[CUSTO EQUIPAMENTO],orcCenario1['#],"&gt;"&amp;orcCenario1[[#This Row],['#]],orcCenario1['#],"&lt;"&amp;orcCenario1[[#This Row],['#]]+100))</f>
        <v>0</v>
      </c>
      <c r="P19" s="40">
        <f ca="1">SUM(orcCenario1[[#This Row],[CUSTO MÃO DE OBRA]:[CUSTO EQUIPAMENTO]])</f>
        <v>0</v>
      </c>
      <c r="Q19" s="40" t="str">
        <f ca="1">IF(orcCenario1[[#This Row],[QUANTIDADE]]=0,"Não","Sim")</f>
        <v>Não</v>
      </c>
    </row>
    <row r="20" spans="2:17" ht="30" x14ac:dyDescent="0.25">
      <c r="B20" s="49">
        <v>116</v>
      </c>
      <c r="C20" s="49">
        <f ca="1">IF(orcCenario1[[#This Row],[DESCRIÇÃO]]="ESTACAS",100,IF(orcCenario1[[#This Row],[DESCRIÇÃO]]="BLOCO",200,orcCenario1[[#This Row],['#]]-COUNTIFS(orcCenario1[QUANTIDADE],0,orcCenario1['#],"&lt;"&amp;orcCenario1[[#This Row],['#]],orcCenario1['#],"&gt;"&amp;ROUNDDOWN(orcCenario1[[#This Row],['#]],-2))))</f>
        <v>106</v>
      </c>
      <c r="D20" s="1">
        <v>103673</v>
      </c>
      <c r="E20" s="39" t="str">
        <f>IF(orcCenario1[[#This Row],['#]]=100,"ESTACAS",IF(orcCenario1[[#This Row],['#]]=200,"BLOCO",INDEX(composicoes[],MATCH(orcCenario1[[#This Row],[CÓDIGO]],composicoes[CÓDIGO],0),MATCH(orcCenario1[[#Headers],[DESCRIÇÃO]],composicoes[#Headers],0))))</f>
        <v>LANÇAMENTO COM USO DE BOMBA, ADENSAMENTO E ACABAMENTO DE CONCRETO EM ESTRUTURAS. AF_02/2022</v>
      </c>
      <c r="F20" s="1" t="str">
        <f>IFERROR(INDEX(composicoes[],MATCH(orcCenario1[[#This Row],[CÓDIGO]],composicoes[CÓDIGO],0),MATCH(orcCenario1[[#Headers],[UN.]],composicoes[#Headers],0)),"")</f>
        <v>M³</v>
      </c>
      <c r="G20" s="4">
        <f ca="1">IF(orcCenario1[[#This Row],[CÓDIGO]]="","",quantitativo(orcCenario1[[#This Row],[CÓDIGO]],orcCenario1[[#This Row],['#]],CENÁRIOS!$E$3,CENÁRIOS!$E$4,cenario1[]))</f>
        <v>15.935728735334211</v>
      </c>
      <c r="H20" s="40">
        <f>IFERROR(INDEX(composicoes[],MATCH(orcCenario1[[#This Row],[CÓDIGO]],composicoes[CÓDIGO],0),MATCH(orcCenario1[[#Headers],[ MÃO DE OBRA]],composicoes[#Headers],0)),"")</f>
        <v>29.75</v>
      </c>
      <c r="I20" s="40">
        <f>IFERROR(INDEX(composicoes[],MATCH(orcCenario1[[#This Row],[CÓDIGO]],composicoes[CÓDIGO],0),MATCH(orcCenario1[[#Headers],[MATERIAL]],composicoes[#Headers],0)),"")</f>
        <v>13.78</v>
      </c>
      <c r="J20" s="40">
        <f>IFERROR(INDEX(composicoes[],MATCH(orcCenario1[[#This Row],[CÓDIGO]],composicoes[CÓDIGO],0),MATCH(orcCenario1[[#Headers],[EQUIPAMENTO]],composicoes[#Headers],0)),"")</f>
        <v>0.15</v>
      </c>
      <c r="K20" s="40">
        <f>IF(orcCenario1[[#This Row],[ MÃO DE OBRA]]="","",SUM(orcCenario1[[#This Row],[ MÃO DE OBRA]:[EQUIPAMENTO]]))</f>
        <v>43.68</v>
      </c>
      <c r="L20" s="23">
        <f>IF(orcCenario1[[#This Row],[CUSTO UNITÁRIO]]="","",CENÁRIOS!$E$6)</f>
        <v>0.25</v>
      </c>
      <c r="M20" s="40">
        <f ca="1">IF(orcCenario1[[#This Row],[ MÃO DE OBRA]]&lt;&gt;"",orcCenario1[[#This Row],[QUANTIDADE]]*orcCenario1[[#This Row],[ MÃO DE OBRA]]*(1+orcCenario1[[#This Row],[BDI]]),SUMIFS(orcCenario1[CUSTO MÃO DE OBRA],orcCenario1['#],"&gt;"&amp;orcCenario1[[#This Row],['#]],orcCenario1['#],"&lt;"&amp;orcCenario1[[#This Row],['#]]+100))</f>
        <v>592.60991234524101</v>
      </c>
      <c r="N20" s="40">
        <f ca="1">IF(orcCenario1[[#This Row],[MATERIAL]]&lt;&gt;"",orcCenario1[[#This Row],[QUANTIDADE]]*orcCenario1[[#This Row],[MATERIAL]]*(1+orcCenario1[[#This Row],[BDI]]),SUMIFS(orcCenario1[CUSTO MATERIAL],orcCenario1['#],"&gt;"&amp;orcCenario1[[#This Row],['#]],orcCenario1['#],"&lt;"&amp;orcCenario1[[#This Row],['#]]+100))</f>
        <v>274.49292746613173</v>
      </c>
      <c r="O20" s="40">
        <f ca="1">IF(orcCenario1[EQUIPAMENTO]&lt;&gt;"",orcCenario1[[#This Row],[QUANTIDADE]]*orcCenario1[EQUIPAMENTO]*(1+orcCenario1[[#This Row],[BDI]]),SUMIFS(orcCenario1[CUSTO EQUIPAMENTO],orcCenario1['#],"&gt;"&amp;orcCenario1[[#This Row],['#]],orcCenario1['#],"&lt;"&amp;orcCenario1[[#This Row],['#]]+100))</f>
        <v>2.9879491378751641</v>
      </c>
      <c r="P20" s="40">
        <f ca="1">SUM(orcCenario1[[#This Row],[CUSTO MÃO DE OBRA]:[CUSTO EQUIPAMENTO]])</f>
        <v>870.09078894924789</v>
      </c>
      <c r="Q20" s="40" t="str">
        <f ca="1">IF(orcCenario1[[#This Row],[QUANTIDADE]]=0,"Não","Sim")</f>
        <v>Sim</v>
      </c>
    </row>
    <row r="21" spans="2:17" ht="15.75" x14ac:dyDescent="0.25">
      <c r="B21" s="49">
        <v>200</v>
      </c>
      <c r="C21" s="49">
        <f>IF(orcCenario1[[#This Row],[DESCRIÇÃO]]="ESTACAS",100,IF(orcCenario1[[#This Row],[DESCRIÇÃO]]="BLOCO",200,orcCenario1[[#This Row],['#]]-COUNTIFS(orcCenario1[QUANTIDADE],0,orcCenario1['#],"&lt;"&amp;orcCenario1[[#This Row],['#]],orcCenario1['#],"&gt;"&amp;ROUNDDOWN(orcCenario1[[#This Row],['#]],-2))))</f>
        <v>200</v>
      </c>
      <c r="E21" s="39" t="str">
        <f>IF(orcCenario1[[#This Row],['#]]=100,"ESTACAS",IF(orcCenario1[[#This Row],['#]]=200,"BLOCO",INDEX(composicoes[],MATCH(orcCenario1[[#This Row],[CÓDIGO]],composicoes[CÓDIGO],0),MATCH(orcCenario1[[#Headers],[DESCRIÇÃO]],composicoes[#Headers],0))))</f>
        <v>BLOCO</v>
      </c>
      <c r="F21" s="1" t="str">
        <f>IFERROR(INDEX(composicoes[],MATCH(orcCenario1[[#This Row],[CÓDIGO]],composicoes[CÓDIGO],0),MATCH(orcCenario1[[#Headers],[UN.]],composicoes[#Headers],0)),"")</f>
        <v/>
      </c>
      <c r="G21" s="4" t="str">
        <f>IF(orcCenario1[[#This Row],[CÓDIGO]]="","",quantitativo(orcCenario1[[#This Row],[CÓDIGO]],orcCenario1[[#This Row],['#]],CENÁRIOS!$E$3,CENÁRIOS!$E$4,cenario1[]))</f>
        <v/>
      </c>
      <c r="H21" s="40" t="str">
        <f>IFERROR(INDEX(composicoes[],MATCH(orcCenario1[[#This Row],[CÓDIGO]],composicoes[CÓDIGO],0),MATCH(orcCenario1[[#Headers],[ MÃO DE OBRA]],composicoes[#Headers],0)),"")</f>
        <v/>
      </c>
      <c r="I21" s="40" t="str">
        <f>IFERROR(INDEX(composicoes[],MATCH(orcCenario1[[#This Row],[CÓDIGO]],composicoes[CÓDIGO],0),MATCH(orcCenario1[[#Headers],[MATERIAL]],composicoes[#Headers],0)),"")</f>
        <v/>
      </c>
      <c r="J21" s="40" t="str">
        <f>IFERROR(INDEX(composicoes[],MATCH(orcCenario1[[#This Row],[CÓDIGO]],composicoes[CÓDIGO],0),MATCH(orcCenario1[[#Headers],[EQUIPAMENTO]],composicoes[#Headers],0)),"")</f>
        <v/>
      </c>
      <c r="K21" s="40" t="str">
        <f>IF(orcCenario1[[#This Row],[ MÃO DE OBRA]]="","",SUM(orcCenario1[[#This Row],[ MÃO DE OBRA]:[EQUIPAMENTO]]))</f>
        <v/>
      </c>
      <c r="L21" s="23" t="str">
        <f>IF(orcCenario1[[#This Row],[CUSTO UNITÁRIO]]="","",CENÁRIOS!$E$6)</f>
        <v/>
      </c>
      <c r="M21" s="40">
        <f ca="1">IF(orcCenario1[[#This Row],[ MÃO DE OBRA]]&lt;&gt;"",orcCenario1[[#This Row],[QUANTIDADE]]*orcCenario1[[#This Row],[ MÃO DE OBRA]]*(1+orcCenario1[[#This Row],[BDI]]),SUMIFS(orcCenario1[CUSTO MÃO DE OBRA],orcCenario1['#],"&gt;"&amp;orcCenario1[[#This Row],['#]],orcCenario1['#],"&lt;"&amp;orcCenario1[[#This Row],['#]]+100))</f>
        <v>5981.6705526114229</v>
      </c>
      <c r="N21" s="40">
        <f ca="1">IF(orcCenario1[[#This Row],[MATERIAL]]&lt;&gt;"",orcCenario1[[#This Row],[QUANTIDADE]]*orcCenario1[[#This Row],[MATERIAL]]*(1+orcCenario1[[#This Row],[BDI]]),SUMIFS(orcCenario1[CUSTO MATERIAL],orcCenario1['#],"&gt;"&amp;orcCenario1[[#This Row],['#]],orcCenario1['#],"&lt;"&amp;orcCenario1[[#This Row],['#]]+100))</f>
        <v>11540.75329122635</v>
      </c>
      <c r="O21" s="40">
        <f ca="1">IF(orcCenario1[EQUIPAMENTO]&lt;&gt;"",orcCenario1[[#This Row],[QUANTIDADE]]*orcCenario1[EQUIPAMENTO]*(1+orcCenario1[[#This Row],[BDI]]),SUMIFS(orcCenario1[CUSTO EQUIPAMENTO],orcCenario1['#],"&gt;"&amp;orcCenario1[[#This Row],['#]],orcCenario1['#],"&lt;"&amp;orcCenario1[[#This Row],['#]]+100))</f>
        <v>18.893418422941231</v>
      </c>
      <c r="P21" s="40">
        <f ca="1">SUM(orcCenario1[[#This Row],[CUSTO MÃO DE OBRA]:[CUSTO EQUIPAMENTO]])</f>
        <v>17541.317262260713</v>
      </c>
      <c r="Q21" s="40" t="str">
        <f>IF(orcCenario1[[#This Row],[QUANTIDADE]]=0,"Não","Sim")</f>
        <v>Sim</v>
      </c>
    </row>
    <row r="22" spans="2:17" ht="30" x14ac:dyDescent="0.25">
      <c r="B22" s="49">
        <v>201</v>
      </c>
      <c r="C22" s="49">
        <f ca="1">IF(orcCenario1[[#This Row],[DESCRIÇÃO]]="ESTACAS",100,IF(orcCenario1[[#This Row],[DESCRIÇÃO]]="BLOCO",200,orcCenario1[[#This Row],['#]]-COUNTIFS(orcCenario1[QUANTIDADE],0,orcCenario1['#],"&lt;"&amp;orcCenario1[[#This Row],['#]],orcCenario1['#],"&gt;"&amp;ROUNDDOWN(orcCenario1[[#This Row],['#]],-2))))</f>
        <v>201</v>
      </c>
      <c r="D22" s="1">
        <v>96522</v>
      </c>
      <c r="E22" s="39" t="str">
        <f>IF(orcCenario1[[#This Row],['#]]=100,"ESTACAS",IF(orcCenario1[[#This Row],['#]]=200,"BLOCO",INDEX(composicoes[],MATCH(orcCenario1[[#This Row],[CÓDIGO]],composicoes[CÓDIGO],0),MATCH(orcCenario1[[#Headers],[DESCRIÇÃO]],composicoes[#Headers],0))))</f>
        <v>ESCAVAÇÃO MANUAL PARA BLOCO DE COROAMENTO OU SAPATA (SEM ESCAVAÇÃO PARA COLOCAÇÃO DE FÔRMAS). AF_06/2017</v>
      </c>
      <c r="F22" s="1" t="str">
        <f>IFERROR(INDEX(composicoes[],MATCH(orcCenario1[[#This Row],[CÓDIGO]],composicoes[CÓDIGO],0),MATCH(orcCenario1[[#Headers],[UN.]],composicoes[#Headers],0)),"")</f>
        <v>M³</v>
      </c>
      <c r="G22" s="4">
        <f ca="1">IF(orcCenario1[[#This Row],[CÓDIGO]]="","",quantitativo(orcCenario1[[#This Row],[CÓDIGO]],orcCenario1[[#This Row],['#]],CENÁRIOS!$E$3,CENÁRIOS!$E$4,cenario1[]))</f>
        <v>25.820731104778723</v>
      </c>
      <c r="H22" s="40">
        <f>IFERROR(INDEX(composicoes[],MATCH(orcCenario1[[#This Row],[CÓDIGO]],composicoes[CÓDIGO],0),MATCH(orcCenario1[[#Headers],[ MÃO DE OBRA]],composicoes[#Headers],0)),"")</f>
        <v>112.56</v>
      </c>
      <c r="I22" s="40">
        <f>IFERROR(INDEX(composicoes[],MATCH(orcCenario1[[#This Row],[CÓDIGO]],composicoes[CÓDIGO],0),MATCH(orcCenario1[[#Headers],[MATERIAL]],composicoes[#Headers],0)),"")</f>
        <v>50.47</v>
      </c>
      <c r="J22" s="40">
        <f>IFERROR(INDEX(composicoes[],MATCH(orcCenario1[[#This Row],[CÓDIGO]],composicoes[CÓDIGO],0),MATCH(orcCenario1[[#Headers],[EQUIPAMENTO]],composicoes[#Headers],0)),"")</f>
        <v>0</v>
      </c>
      <c r="K22" s="40">
        <f>IF(orcCenario1[[#This Row],[ MÃO DE OBRA]]="","",SUM(orcCenario1[[#This Row],[ MÃO DE OBRA]:[EQUIPAMENTO]]))</f>
        <v>163.03</v>
      </c>
      <c r="L22" s="23">
        <f>IF(orcCenario1[[#This Row],[CUSTO UNITÁRIO]]="","",CENÁRIOS!$E$6)</f>
        <v>0.25</v>
      </c>
      <c r="M22" s="40">
        <f ca="1">IF(orcCenario1[[#This Row],[ MÃO DE OBRA]]&lt;&gt;"",orcCenario1[[#This Row],[QUANTIDADE]]*orcCenario1[[#This Row],[ MÃO DE OBRA]]*(1+orcCenario1[[#This Row],[BDI]]),SUMIFS(orcCenario1[CUSTO MÃO DE OBRA],orcCenario1['#],"&gt;"&amp;orcCenario1[[#This Row],['#]],orcCenario1['#],"&lt;"&amp;orcCenario1[[#This Row],['#]]+100))</f>
        <v>3632.9768664423664</v>
      </c>
      <c r="N22" s="40">
        <f ca="1">IF(orcCenario1[[#This Row],[MATERIAL]]&lt;&gt;"",orcCenario1[[#This Row],[QUANTIDADE]]*orcCenario1[[#This Row],[MATERIAL]]*(1+orcCenario1[[#This Row],[BDI]]),SUMIFS(orcCenario1[CUSTO MATERIAL],orcCenario1['#],"&gt;"&amp;orcCenario1[[#This Row],['#]],orcCenario1['#],"&lt;"&amp;orcCenario1[[#This Row],['#]]+100))</f>
        <v>1628.9653735727277</v>
      </c>
      <c r="O22" s="40">
        <f ca="1">IF(orcCenario1[EQUIPAMENTO]&lt;&gt;"",orcCenario1[[#This Row],[QUANTIDADE]]*orcCenario1[EQUIPAMENTO]*(1+orcCenario1[[#This Row],[BDI]]),SUMIFS(orcCenario1[CUSTO EQUIPAMENTO],orcCenario1['#],"&gt;"&amp;orcCenario1[[#This Row],['#]],orcCenario1['#],"&lt;"&amp;orcCenario1[[#This Row],['#]]+100))</f>
        <v>0</v>
      </c>
      <c r="P22" s="40">
        <f ca="1">SUM(orcCenario1[[#This Row],[CUSTO MÃO DE OBRA]:[CUSTO EQUIPAMENTO]])</f>
        <v>5261.9422400150943</v>
      </c>
      <c r="Q22" s="40" t="str">
        <f ca="1">IF(orcCenario1[[#This Row],[QUANTIDADE]]=0,"Não","Sim")</f>
        <v>Sim</v>
      </c>
    </row>
    <row r="23" spans="2:17" ht="30" x14ac:dyDescent="0.25">
      <c r="B23" s="49">
        <v>202</v>
      </c>
      <c r="C23" s="49">
        <f ca="1">IF(orcCenario1[[#This Row],[DESCRIÇÃO]]="ESTACAS",100,IF(orcCenario1[[#This Row],[DESCRIÇÃO]]="BLOCO",200,orcCenario1[[#This Row],['#]]-COUNTIFS(orcCenario1[QUANTIDADE],0,orcCenario1['#],"&lt;"&amp;orcCenario1[[#This Row],['#]],orcCenario1['#],"&gt;"&amp;ROUNDDOWN(orcCenario1[[#This Row],['#]],-2))))</f>
        <v>202</v>
      </c>
      <c r="D23" s="1">
        <v>96619</v>
      </c>
      <c r="E23" s="39" t="str">
        <f>IF(orcCenario1[[#This Row],['#]]=100,"ESTACAS",IF(orcCenario1[[#This Row],['#]]=200,"BLOCO",INDEX(composicoes[],MATCH(orcCenario1[[#This Row],[CÓDIGO]],composicoes[CÓDIGO],0),MATCH(orcCenario1[[#Headers],[DESCRIÇÃO]],composicoes[#Headers],0))))</f>
        <v>LASTRO DE CONCRETO MAGRO, APLICADO EM BLOCOS DE COROAMENTO OU SAPATAS, ESPESSURA DE 5 CM. AF_08/2017</v>
      </c>
      <c r="F23" s="1" t="str">
        <f>IFERROR(INDEX(composicoes[],MATCH(orcCenario1[[#This Row],[CÓDIGO]],composicoes[CÓDIGO],0),MATCH(orcCenario1[[#Headers],[UN.]],composicoes[#Headers],0)),"")</f>
        <v>M²</v>
      </c>
      <c r="G23" s="4">
        <f ca="1">IF(orcCenario1[[#This Row],[CÓDIGO]]="","",quantitativo(orcCenario1[[#This Row],[CÓDIGO]],orcCenario1[[#This Row],['#]],CENÁRIOS!$E$3,CENÁRIOS!$E$4,cenario1[]))</f>
        <v>1.4877876525757154</v>
      </c>
      <c r="H23" s="40">
        <f>IFERROR(INDEX(composicoes[],MATCH(orcCenario1[[#This Row],[CÓDIGO]],composicoes[CÓDIGO],0),MATCH(orcCenario1[[#Headers],[ MÃO DE OBRA]],composicoes[#Headers],0)),"")</f>
        <v>10.85</v>
      </c>
      <c r="I23" s="40">
        <f>IFERROR(INDEX(composicoes[],MATCH(orcCenario1[[#This Row],[CÓDIGO]],composicoes[CÓDIGO],0),MATCH(orcCenario1[[#Headers],[MATERIAL]],composicoes[#Headers],0)),"")</f>
        <v>18.559999999999999</v>
      </c>
      <c r="J23" s="40">
        <f>IFERROR(INDEX(composicoes[],MATCH(orcCenario1[[#This Row],[CÓDIGO]],composicoes[CÓDIGO],0),MATCH(orcCenario1[[#Headers],[EQUIPAMENTO]],composicoes[#Headers],0)),"")</f>
        <v>0.19</v>
      </c>
      <c r="K23" s="40">
        <f>IF(orcCenario1[[#This Row],[ MÃO DE OBRA]]="","",SUM(orcCenario1[[#This Row],[ MÃO DE OBRA]:[EQUIPAMENTO]]))</f>
        <v>29.599999999999998</v>
      </c>
      <c r="L23" s="23">
        <f>IF(orcCenario1[[#This Row],[CUSTO UNITÁRIO]]="","",CENÁRIOS!$E$6)</f>
        <v>0.25</v>
      </c>
      <c r="M23" s="40">
        <f ca="1">IF(orcCenario1[[#This Row],[ MÃO DE OBRA]]&lt;&gt;"",orcCenario1[[#This Row],[QUANTIDADE]]*orcCenario1[[#This Row],[ MÃO DE OBRA]]*(1+orcCenario1[[#This Row],[BDI]]),SUMIFS(orcCenario1[CUSTO MÃO DE OBRA],orcCenario1['#],"&gt;"&amp;orcCenario1[[#This Row],['#]],orcCenario1['#],"&lt;"&amp;orcCenario1[[#This Row],['#]]+100))</f>
        <v>20.17812003805814</v>
      </c>
      <c r="N23" s="40">
        <f ca="1">IF(orcCenario1[[#This Row],[MATERIAL]]&lt;&gt;"",orcCenario1[[#This Row],[QUANTIDADE]]*orcCenario1[[#This Row],[MATERIAL]]*(1+orcCenario1[[#This Row],[BDI]]),SUMIFS(orcCenario1[CUSTO MATERIAL],orcCenario1['#],"&gt;"&amp;orcCenario1[[#This Row],['#]],orcCenario1['#],"&lt;"&amp;orcCenario1[[#This Row],['#]]+100))</f>
        <v>34.516673539756596</v>
      </c>
      <c r="O23" s="40">
        <f ca="1">IF(orcCenario1[EQUIPAMENTO]&lt;&gt;"",orcCenario1[[#This Row],[QUANTIDADE]]*orcCenario1[EQUIPAMENTO]*(1+orcCenario1[[#This Row],[BDI]]),SUMIFS(orcCenario1[CUSTO EQUIPAMENTO],orcCenario1['#],"&gt;"&amp;orcCenario1[[#This Row],['#]],orcCenario1['#],"&lt;"&amp;orcCenario1[[#This Row],['#]]+100))</f>
        <v>0.35334956748673241</v>
      </c>
      <c r="P23" s="40">
        <f ca="1">SUM(orcCenario1[[#This Row],[CUSTO MÃO DE OBRA]:[CUSTO EQUIPAMENTO]])</f>
        <v>55.048143145301466</v>
      </c>
      <c r="Q23" s="40" t="str">
        <f ca="1">IF(orcCenario1[[#This Row],[QUANTIDADE]]=0,"Não","Sim")</f>
        <v>Sim</v>
      </c>
    </row>
    <row r="24" spans="2:17" ht="45" x14ac:dyDescent="0.25">
      <c r="B24" s="49">
        <v>203</v>
      </c>
      <c r="C24" s="49">
        <f ca="1">IF(orcCenario1[[#This Row],[DESCRIÇÃO]]="ESTACAS",100,IF(orcCenario1[[#This Row],[DESCRIÇÃO]]="BLOCO",200,orcCenario1[[#This Row],['#]]-COUNTIFS(orcCenario1[QUANTIDADE],0,orcCenario1['#],"&lt;"&amp;orcCenario1[[#This Row],['#]],orcCenario1['#],"&gt;"&amp;ROUNDDOWN(orcCenario1[[#This Row],['#]],-2))))</f>
        <v>203</v>
      </c>
      <c r="D24" s="1">
        <v>92916</v>
      </c>
      <c r="E24" s="39" t="str">
        <f>IF(orcCenario1[[#This Row],['#]]=100,"ESTACAS",IF(orcCenario1[[#This Row],['#]]=200,"BLOCO",INDEX(composicoes[],MATCH(orcCenario1[[#This Row],[CÓDIGO]],composicoes[CÓDIGO],0),MATCH(orcCenario1[[#Headers],[DESCRIÇÃO]],composicoes[#Headers],0))))</f>
        <v>ARMAÇÃO DE ESTRUTURAS DIVERSAS DE CONCRETO ARMADO, EXCETO VIGAS, PILARES, LAJES E FUNDAÇÕES, UTILIZANDO AÇO CA-50 DE 6,3 MM - MONTAGEM. AF_06/2022</v>
      </c>
      <c r="F24" s="1" t="str">
        <f>IFERROR(INDEX(composicoes[],MATCH(orcCenario1[[#This Row],[CÓDIGO]],composicoes[CÓDIGO],0),MATCH(orcCenario1[[#Headers],[UN.]],composicoes[#Headers],0)),"")</f>
        <v>KG</v>
      </c>
      <c r="G24" s="4">
        <f ca="1">IF(orcCenario1[[#This Row],[CÓDIGO]]="","",quantitativo(orcCenario1[[#This Row],[CÓDIGO]],orcCenario1[[#This Row],['#]],CENÁRIOS!$E$3,CENÁRIOS!$E$4,cenario1[]))</f>
        <v>4.2578453696453726</v>
      </c>
      <c r="H24" s="40">
        <f>IFERROR(INDEX(composicoes[],MATCH(orcCenario1[[#This Row],[CÓDIGO]],composicoes[CÓDIGO],0),MATCH(orcCenario1[[#Headers],[ MÃO DE OBRA]],composicoes[#Headers],0)),"")</f>
        <v>4.08</v>
      </c>
      <c r="I24" s="40">
        <f>IFERROR(INDEX(composicoes[],MATCH(orcCenario1[[#This Row],[CÓDIGO]],composicoes[CÓDIGO],0),MATCH(orcCenario1[[#Headers],[MATERIAL]],composicoes[#Headers],0)),"")</f>
        <v>11.96</v>
      </c>
      <c r="J24" s="40">
        <f>IFERROR(INDEX(composicoes[],MATCH(orcCenario1[[#This Row],[CÓDIGO]],composicoes[CÓDIGO],0),MATCH(orcCenario1[[#Headers],[EQUIPAMENTO]],composicoes[#Headers],0)),"")</f>
        <v>0</v>
      </c>
      <c r="K24" s="40">
        <f>IF(orcCenario1[[#This Row],[ MÃO DE OBRA]]="","",SUM(orcCenario1[[#This Row],[ MÃO DE OBRA]:[EQUIPAMENTO]]))</f>
        <v>16.04</v>
      </c>
      <c r="L24" s="23">
        <f>IF(orcCenario1[[#This Row],[CUSTO UNITÁRIO]]="","",CENÁRIOS!$E$6)</f>
        <v>0.25</v>
      </c>
      <c r="M24" s="40">
        <f ca="1">IF(orcCenario1[[#This Row],[ MÃO DE OBRA]]&lt;&gt;"",orcCenario1[[#This Row],[QUANTIDADE]]*orcCenario1[[#This Row],[ MÃO DE OBRA]]*(1+orcCenario1[[#This Row],[BDI]]),SUMIFS(orcCenario1[CUSTO MÃO DE OBRA],orcCenario1['#],"&gt;"&amp;orcCenario1[[#This Row],['#]],orcCenario1['#],"&lt;"&amp;orcCenario1[[#This Row],['#]]+100))</f>
        <v>21.715011385191403</v>
      </c>
      <c r="N24" s="40">
        <f ca="1">IF(orcCenario1[[#This Row],[MATERIAL]]&lt;&gt;"",orcCenario1[[#This Row],[QUANTIDADE]]*orcCenario1[[#This Row],[MATERIAL]]*(1+orcCenario1[[#This Row],[BDI]]),SUMIFS(orcCenario1[CUSTO MATERIAL],orcCenario1['#],"&gt;"&amp;orcCenario1[[#This Row],['#]],orcCenario1['#],"&lt;"&amp;orcCenario1[[#This Row],['#]]+100))</f>
        <v>63.654788276198325</v>
      </c>
      <c r="O24" s="40">
        <f ca="1">IF(orcCenario1[EQUIPAMENTO]&lt;&gt;"",orcCenario1[[#This Row],[QUANTIDADE]]*orcCenario1[EQUIPAMENTO]*(1+orcCenario1[[#This Row],[BDI]]),SUMIFS(orcCenario1[CUSTO EQUIPAMENTO],orcCenario1['#],"&gt;"&amp;orcCenario1[[#This Row],['#]],orcCenario1['#],"&lt;"&amp;orcCenario1[[#This Row],['#]]+100))</f>
        <v>0</v>
      </c>
      <c r="P24" s="40">
        <f ca="1">SUM(orcCenario1[[#This Row],[CUSTO MÃO DE OBRA]:[CUSTO EQUIPAMENTO]])</f>
        <v>85.36979966138972</v>
      </c>
      <c r="Q24" s="40" t="str">
        <f ca="1">IF(orcCenario1[[#This Row],[QUANTIDADE]]=0,"Não","Sim")</f>
        <v>Sim</v>
      </c>
    </row>
    <row r="25" spans="2:17" ht="45" x14ac:dyDescent="0.25">
      <c r="B25" s="49">
        <v>204</v>
      </c>
      <c r="C25" s="49">
        <f ca="1">IF(orcCenario1[[#This Row],[DESCRIÇÃO]]="ESTACAS",100,IF(orcCenario1[[#This Row],[DESCRIÇÃO]]="BLOCO",200,orcCenario1[[#This Row],['#]]-COUNTIFS(orcCenario1[QUANTIDADE],0,orcCenario1['#],"&lt;"&amp;orcCenario1[[#This Row],['#]],orcCenario1['#],"&gt;"&amp;ROUNDDOWN(orcCenario1[[#This Row],['#]],-2))))</f>
        <v>204</v>
      </c>
      <c r="D25" s="1">
        <v>92917</v>
      </c>
      <c r="E25" s="39" t="str">
        <f>IF(orcCenario1[[#This Row],['#]]=100,"ESTACAS",IF(orcCenario1[[#This Row],['#]]=200,"BLOCO",INDEX(composicoes[],MATCH(orcCenario1[[#This Row],[CÓDIGO]],composicoes[CÓDIGO],0),MATCH(orcCenario1[[#Headers],[DESCRIÇÃO]],composicoes[#Headers],0))))</f>
        <v>ARMAÇÃO DE ESTRUTURAS DIVERSAS DE CONCRETO ARMADO, EXCETO VIGAS, PILARES, LAJES E FUNDAÇÕES, UTILIZANDO AÇO CA-50 DE 8,0 MM - MONTAGEM. AF_06/2022</v>
      </c>
      <c r="F25" s="1" t="str">
        <f>IFERROR(INDEX(composicoes[],MATCH(orcCenario1[[#This Row],[CÓDIGO]],composicoes[CÓDIGO],0),MATCH(orcCenario1[[#Headers],[UN.]],composicoes[#Headers],0)),"")</f>
        <v>KG</v>
      </c>
      <c r="G25" s="4">
        <f ca="1">IF(orcCenario1[[#This Row],[CÓDIGO]]="","",quantitativo(orcCenario1[[#This Row],[CÓDIGO]],orcCenario1[[#This Row],['#]],CENÁRIOS!$E$3,CENÁRIOS!$E$4,cenario1[]))</f>
        <v>35.53229255804353</v>
      </c>
      <c r="H25" s="40">
        <f>IFERROR(INDEX(composicoes[],MATCH(orcCenario1[[#This Row],[CÓDIGO]],composicoes[CÓDIGO],0),MATCH(orcCenario1[[#Headers],[ MÃO DE OBRA]],composicoes[#Headers],0)),"")</f>
        <v>2.75</v>
      </c>
      <c r="I25" s="40">
        <f>IFERROR(INDEX(composicoes[],MATCH(orcCenario1[[#This Row],[CÓDIGO]],composicoes[CÓDIGO],0),MATCH(orcCenario1[[#Headers],[MATERIAL]],composicoes[#Headers],0)),"")</f>
        <v>11.81</v>
      </c>
      <c r="J25" s="40">
        <f>IFERROR(INDEX(composicoes[],MATCH(orcCenario1[[#This Row],[CÓDIGO]],composicoes[CÓDIGO],0),MATCH(orcCenario1[[#Headers],[EQUIPAMENTO]],composicoes[#Headers],0)),"")</f>
        <v>0</v>
      </c>
      <c r="K25" s="40">
        <f>IF(orcCenario1[[#This Row],[ MÃO DE OBRA]]="","",SUM(orcCenario1[[#This Row],[ MÃO DE OBRA]:[EQUIPAMENTO]]))</f>
        <v>14.56</v>
      </c>
      <c r="L25" s="23">
        <f>IF(orcCenario1[[#This Row],[CUSTO UNITÁRIO]]="","",CENÁRIOS!$E$6)</f>
        <v>0.25</v>
      </c>
      <c r="M25" s="40">
        <f ca="1">IF(orcCenario1[[#This Row],[ MÃO DE OBRA]]&lt;&gt;"",orcCenario1[[#This Row],[QUANTIDADE]]*orcCenario1[[#This Row],[ MÃO DE OBRA]]*(1+orcCenario1[[#This Row],[BDI]]),SUMIFS(orcCenario1[CUSTO MÃO DE OBRA],orcCenario1['#],"&gt;"&amp;orcCenario1[[#This Row],['#]],orcCenario1['#],"&lt;"&amp;orcCenario1[[#This Row],['#]]+100))</f>
        <v>122.14225566827464</v>
      </c>
      <c r="N25" s="40">
        <f ca="1">IF(orcCenario1[[#This Row],[MATERIAL]]&lt;&gt;"",orcCenario1[[#This Row],[QUANTIDADE]]*orcCenario1[[#This Row],[MATERIAL]]*(1+orcCenario1[[#This Row],[BDI]]),SUMIFS(orcCenario1[CUSTO MATERIAL],orcCenario1['#],"&gt;"&amp;orcCenario1[[#This Row],['#]],orcCenario1['#],"&lt;"&amp;orcCenario1[[#This Row],['#]]+100))</f>
        <v>524.54546888811763</v>
      </c>
      <c r="O25" s="40">
        <f ca="1">IF(orcCenario1[EQUIPAMENTO]&lt;&gt;"",orcCenario1[[#This Row],[QUANTIDADE]]*orcCenario1[EQUIPAMENTO]*(1+orcCenario1[[#This Row],[BDI]]),SUMIFS(orcCenario1[CUSTO EQUIPAMENTO],orcCenario1['#],"&gt;"&amp;orcCenario1[[#This Row],['#]],orcCenario1['#],"&lt;"&amp;orcCenario1[[#This Row],['#]]+100))</f>
        <v>0</v>
      </c>
      <c r="P25" s="40">
        <f ca="1">SUM(orcCenario1[[#This Row],[CUSTO MÃO DE OBRA]:[CUSTO EQUIPAMENTO]])</f>
        <v>646.68772455639225</v>
      </c>
      <c r="Q25" s="40" t="str">
        <f ca="1">IF(orcCenario1[[#This Row],[QUANTIDADE]]=0,"Não","Sim")</f>
        <v>Sim</v>
      </c>
    </row>
    <row r="26" spans="2:17" ht="45" x14ac:dyDescent="0.25">
      <c r="B26" s="49">
        <v>205</v>
      </c>
      <c r="C26" s="49">
        <f ca="1">IF(orcCenario1[[#This Row],[DESCRIÇÃO]]="ESTACAS",100,IF(orcCenario1[[#This Row],[DESCRIÇÃO]]="BLOCO",200,orcCenario1[[#This Row],['#]]-COUNTIFS(orcCenario1[QUANTIDADE],0,orcCenario1['#],"&lt;"&amp;orcCenario1[[#This Row],['#]],orcCenario1['#],"&gt;"&amp;ROUNDDOWN(orcCenario1[[#This Row],['#]],-2))))</f>
        <v>205</v>
      </c>
      <c r="D26" s="1">
        <v>92919</v>
      </c>
      <c r="E26" s="39" t="str">
        <f>IF(orcCenario1[[#This Row],['#]]=100,"ESTACAS",IF(orcCenario1[[#This Row],['#]]=200,"BLOCO",INDEX(composicoes[],MATCH(orcCenario1[[#This Row],[CÓDIGO]],composicoes[CÓDIGO],0),MATCH(orcCenario1[[#Headers],[DESCRIÇÃO]],composicoes[#Headers],0))))</f>
        <v>ARMAÇÃO DE ESTRUTURAS DIVERSAS DE CONCRETO ARMADO, EXCETO VIGAS, PILARES, LAJES E FUNDAÇÕES, UTILIZANDO AÇO CA-50 DE 10,0 MM - MONTAGEM. AF_06/2022</v>
      </c>
      <c r="F26" s="1" t="str">
        <f>IFERROR(INDEX(composicoes[],MATCH(orcCenario1[[#This Row],[CÓDIGO]],composicoes[CÓDIGO],0),MATCH(orcCenario1[[#Headers],[UN.]],composicoes[#Headers],0)),"")</f>
        <v>KG</v>
      </c>
      <c r="G26" s="4">
        <f ca="1">IF(orcCenario1[[#This Row],[CÓDIGO]]="","",quantitativo(orcCenario1[[#This Row],[CÓDIGO]],orcCenario1[[#This Row],['#]],CENÁRIOS!$E$3,CENÁRIOS!$E$4,cenario1[]))</f>
        <v>94.977610851030775</v>
      </c>
      <c r="H26" s="40">
        <f>IFERROR(INDEX(composicoes[],MATCH(orcCenario1[[#This Row],[CÓDIGO]],composicoes[CÓDIGO],0),MATCH(orcCenario1[[#Headers],[ MÃO DE OBRA]],composicoes[#Headers],0)),"")</f>
        <v>1.86</v>
      </c>
      <c r="I26" s="40">
        <f>IFERROR(INDEX(composicoes[],MATCH(orcCenario1[[#This Row],[CÓDIGO]],composicoes[CÓDIGO],0),MATCH(orcCenario1[[#Headers],[MATERIAL]],composicoes[#Headers],0)),"")</f>
        <v>10.86</v>
      </c>
      <c r="J26" s="40">
        <f>IFERROR(INDEX(composicoes[],MATCH(orcCenario1[[#This Row],[CÓDIGO]],composicoes[CÓDIGO],0),MATCH(orcCenario1[[#Headers],[EQUIPAMENTO]],composicoes[#Headers],0)),"")</f>
        <v>0</v>
      </c>
      <c r="K26" s="40">
        <f>IF(orcCenario1[[#This Row],[ MÃO DE OBRA]]="","",SUM(orcCenario1[[#This Row],[ MÃO DE OBRA]:[EQUIPAMENTO]]))</f>
        <v>12.719999999999999</v>
      </c>
      <c r="L26" s="23">
        <f>IF(orcCenario1[[#This Row],[CUSTO UNITÁRIO]]="","",CENÁRIOS!$E$6)</f>
        <v>0.25</v>
      </c>
      <c r="M26" s="40">
        <f ca="1">IF(orcCenario1[[#This Row],[ MÃO DE OBRA]]&lt;&gt;"",orcCenario1[[#This Row],[QUANTIDADE]]*orcCenario1[[#This Row],[ MÃO DE OBRA]]*(1+orcCenario1[[#This Row],[BDI]]),SUMIFS(orcCenario1[CUSTO MÃO DE OBRA],orcCenario1['#],"&gt;"&amp;orcCenario1[[#This Row],['#]],orcCenario1['#],"&lt;"&amp;orcCenario1[[#This Row],['#]]+100))</f>
        <v>220.82294522864657</v>
      </c>
      <c r="N26" s="40">
        <f ca="1">IF(orcCenario1[[#This Row],[MATERIAL]]&lt;&gt;"",orcCenario1[[#This Row],[QUANTIDADE]]*orcCenario1[[#This Row],[MATERIAL]]*(1+orcCenario1[[#This Row],[BDI]]),SUMIFS(orcCenario1[CUSTO MATERIAL],orcCenario1['#],"&gt;"&amp;orcCenario1[[#This Row],['#]],orcCenario1['#],"&lt;"&amp;orcCenario1[[#This Row],['#]]+100))</f>
        <v>1289.3210673027424</v>
      </c>
      <c r="O26" s="40">
        <f ca="1">IF(orcCenario1[EQUIPAMENTO]&lt;&gt;"",orcCenario1[[#This Row],[QUANTIDADE]]*orcCenario1[EQUIPAMENTO]*(1+orcCenario1[[#This Row],[BDI]]),SUMIFS(orcCenario1[CUSTO EQUIPAMENTO],orcCenario1['#],"&gt;"&amp;orcCenario1[[#This Row],['#]],orcCenario1['#],"&lt;"&amp;orcCenario1[[#This Row],['#]]+100))</f>
        <v>0</v>
      </c>
      <c r="P26" s="40">
        <f ca="1">SUM(orcCenario1[[#This Row],[CUSTO MÃO DE OBRA]:[CUSTO EQUIPAMENTO]])</f>
        <v>1510.1440125313891</v>
      </c>
      <c r="Q26" s="40" t="str">
        <f ca="1">IF(orcCenario1[[#This Row],[QUANTIDADE]]=0,"Não","Sim")</f>
        <v>Sim</v>
      </c>
    </row>
    <row r="27" spans="2:17" ht="45" hidden="1" x14ac:dyDescent="0.25">
      <c r="B27" s="49">
        <v>206</v>
      </c>
      <c r="C27" s="49">
        <f ca="1">IF(orcCenario1[[#This Row],[DESCRIÇÃO]]="ESTACAS",100,IF(orcCenario1[[#This Row],[DESCRIÇÃO]]="BLOCO",200,orcCenario1[[#This Row],['#]]-COUNTIFS(orcCenario1[QUANTIDADE],0,orcCenario1['#],"&lt;"&amp;orcCenario1[[#This Row],['#]],orcCenario1['#],"&gt;"&amp;ROUNDDOWN(orcCenario1[[#This Row],['#]],-2))))</f>
        <v>206</v>
      </c>
      <c r="D27" s="1">
        <v>92921</v>
      </c>
      <c r="E27" s="39" t="str">
        <f>IF(orcCenario1[[#This Row],['#]]=100,"ESTACAS",IF(orcCenario1[[#This Row],['#]]=200,"BLOCO",INDEX(composicoes[],MATCH(orcCenario1[[#This Row],[CÓDIGO]],composicoes[CÓDIGO],0),MATCH(orcCenario1[[#Headers],[DESCRIÇÃO]],composicoes[#Headers],0))))</f>
        <v>ARMAÇÃO DE ESTRUTURAS DIVERSAS DE CONCRETO ARMADO, EXCETO VIGAS, PILARES, LAJES E FUNDAÇÕES, UTILIZANDO AÇO CA-50 DE 12,5 MM - MONTAGEM. AF_06/2022</v>
      </c>
      <c r="F27" s="1" t="str">
        <f>IFERROR(INDEX(composicoes[],MATCH(orcCenario1[[#This Row],[CÓDIGO]],composicoes[CÓDIGO],0),MATCH(orcCenario1[[#Headers],[UN.]],composicoes[#Headers],0)),"")</f>
        <v>KG</v>
      </c>
      <c r="G27" s="4">
        <f ca="1">IF(orcCenario1[[#This Row],[CÓDIGO]]="","",quantitativo(orcCenario1[[#This Row],[CÓDIGO]],orcCenario1[[#This Row],['#]],CENÁRIOS!$E$3,CENÁRIOS!$E$4,cenario1[]))</f>
        <v>0</v>
      </c>
      <c r="H27" s="40">
        <f>IFERROR(INDEX(composicoes[],MATCH(orcCenario1[[#This Row],[CÓDIGO]],composicoes[CÓDIGO],0),MATCH(orcCenario1[[#Headers],[ MÃO DE OBRA]],composicoes[#Headers],0)),"")</f>
        <v>1.19</v>
      </c>
      <c r="I27" s="40">
        <f>IFERROR(INDEX(composicoes[],MATCH(orcCenario1[[#This Row],[CÓDIGO]],composicoes[CÓDIGO],0),MATCH(orcCenario1[[#Headers],[MATERIAL]],composicoes[#Headers],0)),"")</f>
        <v>9.31</v>
      </c>
      <c r="J27" s="40">
        <f>IFERROR(INDEX(composicoes[],MATCH(orcCenario1[[#This Row],[CÓDIGO]],composicoes[CÓDIGO],0),MATCH(orcCenario1[[#Headers],[EQUIPAMENTO]],composicoes[#Headers],0)),"")</f>
        <v>0</v>
      </c>
      <c r="K27" s="40">
        <f>IF(orcCenario1[[#This Row],[ MÃO DE OBRA]]="","",SUM(orcCenario1[[#This Row],[ MÃO DE OBRA]:[EQUIPAMENTO]]))</f>
        <v>10.5</v>
      </c>
      <c r="L27" s="23">
        <f>IF(orcCenario1[[#This Row],[CUSTO UNITÁRIO]]="","",CENÁRIOS!$E$6)</f>
        <v>0.25</v>
      </c>
      <c r="M27" s="40">
        <f ca="1">IF(orcCenario1[[#This Row],[ MÃO DE OBRA]]&lt;&gt;"",orcCenario1[[#This Row],[QUANTIDADE]]*orcCenario1[[#This Row],[ MÃO DE OBRA]]*(1+orcCenario1[[#This Row],[BDI]]),SUMIFS(orcCenario1[CUSTO MÃO DE OBRA],orcCenario1['#],"&gt;"&amp;orcCenario1[[#This Row],['#]],orcCenario1['#],"&lt;"&amp;orcCenario1[[#This Row],['#]]+100))</f>
        <v>0</v>
      </c>
      <c r="N27" s="40">
        <f ca="1">IF(orcCenario1[[#This Row],[MATERIAL]]&lt;&gt;"",orcCenario1[[#This Row],[QUANTIDADE]]*orcCenario1[[#This Row],[MATERIAL]]*(1+orcCenario1[[#This Row],[BDI]]),SUMIFS(orcCenario1[CUSTO MATERIAL],orcCenario1['#],"&gt;"&amp;orcCenario1[[#This Row],['#]],orcCenario1['#],"&lt;"&amp;orcCenario1[[#This Row],['#]]+100))</f>
        <v>0</v>
      </c>
      <c r="O27" s="40">
        <f ca="1">IF(orcCenario1[EQUIPAMENTO]&lt;&gt;"",orcCenario1[[#This Row],[QUANTIDADE]]*orcCenario1[EQUIPAMENTO]*(1+orcCenario1[[#This Row],[BDI]]),SUMIFS(orcCenario1[CUSTO EQUIPAMENTO],orcCenario1['#],"&gt;"&amp;orcCenario1[[#This Row],['#]],orcCenario1['#],"&lt;"&amp;orcCenario1[[#This Row],['#]]+100))</f>
        <v>0</v>
      </c>
      <c r="P27" s="40">
        <f ca="1">SUM(orcCenario1[[#This Row],[CUSTO MÃO DE OBRA]:[CUSTO EQUIPAMENTO]])</f>
        <v>0</v>
      </c>
      <c r="Q27" s="40" t="str">
        <f ca="1">IF(orcCenario1[[#This Row],[QUANTIDADE]]=0,"Não","Sim")</f>
        <v>Não</v>
      </c>
    </row>
    <row r="28" spans="2:17" ht="45" x14ac:dyDescent="0.25">
      <c r="B28" s="49">
        <v>207</v>
      </c>
      <c r="C28" s="49">
        <f ca="1">IF(orcCenario1[[#This Row],[DESCRIÇÃO]]="ESTACAS",100,IF(orcCenario1[[#This Row],[DESCRIÇÃO]]="BLOCO",200,orcCenario1[[#This Row],['#]]-COUNTIFS(orcCenario1[QUANTIDADE],0,orcCenario1['#],"&lt;"&amp;orcCenario1[[#This Row],['#]],orcCenario1['#],"&gt;"&amp;ROUNDDOWN(orcCenario1[[#This Row],['#]],-2))))</f>
        <v>206</v>
      </c>
      <c r="D28" s="1">
        <v>92922</v>
      </c>
      <c r="E28" s="39" t="str">
        <f>IF(orcCenario1[[#This Row],['#]]=100,"ESTACAS",IF(orcCenario1[[#This Row],['#]]=200,"BLOCO",INDEX(composicoes[],MATCH(orcCenario1[[#This Row],[CÓDIGO]],composicoes[CÓDIGO],0),MATCH(orcCenario1[[#Headers],[DESCRIÇÃO]],composicoes[#Headers],0))))</f>
        <v>ARMAÇÃO DE ESTRUTURAS DIVERSAS DE CONCRETO ARMADO, EXCETO VIGAS, PILARES, LAJES E FUNDAÇÕES, UTILIZANDO AÇO CA-50 DE 16,0 MM - MONTAGEM. AF_06/2022</v>
      </c>
      <c r="F28" s="1" t="str">
        <f>IFERROR(INDEX(composicoes[],MATCH(orcCenario1[[#This Row],[CÓDIGO]],composicoes[CÓDIGO],0),MATCH(orcCenario1[[#Headers],[UN.]],composicoes[#Headers],0)),"")</f>
        <v>KG</v>
      </c>
      <c r="G28" s="4">
        <f ca="1">IF(orcCenario1[[#This Row],[CÓDIGO]]="","",quantitativo(orcCenario1[[#This Row],[CÓDIGO]],orcCenario1[[#This Row],['#]],CENÁRIOS!$E$3,CENÁRIOS!$E$4,cenario1[]))</f>
        <v>34.249894436848173</v>
      </c>
      <c r="H28" s="40">
        <f>IFERROR(INDEX(composicoes[],MATCH(orcCenario1[[#This Row],[CÓDIGO]],composicoes[CÓDIGO],0),MATCH(orcCenario1[[#Headers],[ MÃO DE OBRA]],composicoes[#Headers],0)),"")</f>
        <v>0.86</v>
      </c>
      <c r="I28" s="40">
        <f>IFERROR(INDEX(composicoes[],MATCH(orcCenario1[[#This Row],[CÓDIGO]],composicoes[CÓDIGO],0),MATCH(orcCenario1[[#Headers],[MATERIAL]],composicoes[#Headers],0)),"")</f>
        <v>9.15</v>
      </c>
      <c r="J28" s="40">
        <f>IFERROR(INDEX(composicoes[],MATCH(orcCenario1[[#This Row],[CÓDIGO]],composicoes[CÓDIGO],0),MATCH(orcCenario1[[#Headers],[EQUIPAMENTO]],composicoes[#Headers],0)),"")</f>
        <v>0</v>
      </c>
      <c r="K28" s="40">
        <f>IF(orcCenario1[[#This Row],[ MÃO DE OBRA]]="","",SUM(orcCenario1[[#This Row],[ MÃO DE OBRA]:[EQUIPAMENTO]]))</f>
        <v>10.01</v>
      </c>
      <c r="L28" s="23">
        <f>IF(orcCenario1[[#This Row],[CUSTO UNITÁRIO]]="","",CENÁRIOS!$E$6)</f>
        <v>0.25</v>
      </c>
      <c r="M28" s="40">
        <f ca="1">IF(orcCenario1[[#This Row],[ MÃO DE OBRA]]&lt;&gt;"",orcCenario1[[#This Row],[QUANTIDADE]]*orcCenario1[[#This Row],[ MÃO DE OBRA]]*(1+orcCenario1[[#This Row],[BDI]]),SUMIFS(orcCenario1[CUSTO MÃO DE OBRA],orcCenario1['#],"&gt;"&amp;orcCenario1[[#This Row],['#]],orcCenario1['#],"&lt;"&amp;orcCenario1[[#This Row],['#]]+100))</f>
        <v>36.818636519611786</v>
      </c>
      <c r="N28" s="40">
        <f ca="1">IF(orcCenario1[[#This Row],[MATERIAL]]&lt;&gt;"",orcCenario1[[#This Row],[QUANTIDADE]]*orcCenario1[[#This Row],[MATERIAL]]*(1+orcCenario1[[#This Row],[BDI]]),SUMIFS(orcCenario1[CUSTO MATERIAL],orcCenario1['#],"&gt;"&amp;orcCenario1[[#This Row],['#]],orcCenario1['#],"&lt;"&amp;orcCenario1[[#This Row],['#]]+100))</f>
        <v>391.733167621451</v>
      </c>
      <c r="O28" s="40">
        <f ca="1">IF(orcCenario1[EQUIPAMENTO]&lt;&gt;"",orcCenario1[[#This Row],[QUANTIDADE]]*orcCenario1[EQUIPAMENTO]*(1+orcCenario1[[#This Row],[BDI]]),SUMIFS(orcCenario1[CUSTO EQUIPAMENTO],orcCenario1['#],"&gt;"&amp;orcCenario1[[#This Row],['#]],orcCenario1['#],"&lt;"&amp;orcCenario1[[#This Row],['#]]+100))</f>
        <v>0</v>
      </c>
      <c r="P28" s="40">
        <f ca="1">SUM(orcCenario1[[#This Row],[CUSTO MÃO DE OBRA]:[CUSTO EQUIPAMENTO]])</f>
        <v>428.5518041410628</v>
      </c>
      <c r="Q28" s="40" t="str">
        <f ca="1">IF(orcCenario1[[#This Row],[QUANTIDADE]]=0,"Não","Sim")</f>
        <v>Sim</v>
      </c>
    </row>
    <row r="29" spans="2:17" ht="45" x14ac:dyDescent="0.25">
      <c r="B29" s="49">
        <v>208</v>
      </c>
      <c r="C29" s="49">
        <f ca="1">IF(orcCenario1[[#This Row],[DESCRIÇÃO]]="ESTACAS",100,IF(orcCenario1[[#This Row],[DESCRIÇÃO]]="BLOCO",200,orcCenario1[[#This Row],['#]]-COUNTIFS(orcCenario1[QUANTIDADE],0,orcCenario1['#],"&lt;"&amp;orcCenario1[[#This Row],['#]],orcCenario1['#],"&gt;"&amp;ROUNDDOWN(orcCenario1[[#This Row],['#]],-2))))</f>
        <v>207</v>
      </c>
      <c r="D29" s="1">
        <v>92923</v>
      </c>
      <c r="E29" s="39" t="str">
        <f>IF(orcCenario1[[#This Row],['#]]=100,"ESTACAS",IF(orcCenario1[[#This Row],['#]]=200,"BLOCO",INDEX(composicoes[],MATCH(orcCenario1[[#This Row],[CÓDIGO]],composicoes[CÓDIGO],0),MATCH(orcCenario1[[#Headers],[DESCRIÇÃO]],composicoes[#Headers],0))))</f>
        <v>ARMAÇÃO DE ESTRUTURAS DIVERSAS DE CONCRETO ARMADO, EXCETO VIGAS, PILARES, LAJES E FUNDAÇÕES, UTILIZANDO AÇO CA-50 DE 20,0 MM - MONTAGEM. AF_06/2022</v>
      </c>
      <c r="F29" s="1" t="str">
        <f>IFERROR(INDEX(composicoes[],MATCH(orcCenario1[[#This Row],[CÓDIGO]],composicoes[CÓDIGO],0),MATCH(orcCenario1[[#Headers],[UN.]],composicoes[#Headers],0)),"")</f>
        <v>KG</v>
      </c>
      <c r="G29" s="4">
        <f ca="1">IF(orcCenario1[[#This Row],[CÓDIGO]]="","",quantitativo(orcCenario1[[#This Row],[CÓDIGO]],orcCenario1[[#This Row],['#]],CENÁRIOS!$E$3,CENÁRIOS!$E$4,cenario1[]))</f>
        <v>80.889727644629914</v>
      </c>
      <c r="H29" s="40">
        <f>IFERROR(INDEX(composicoes[],MATCH(orcCenario1[[#This Row],[CÓDIGO]],composicoes[CÓDIGO],0),MATCH(orcCenario1[[#Headers],[ MÃO DE OBRA]],composicoes[#Headers],0)),"")</f>
        <v>0.65</v>
      </c>
      <c r="I29" s="40">
        <f>IFERROR(INDEX(composicoes[],MATCH(orcCenario1[[#This Row],[CÓDIGO]],composicoes[CÓDIGO],0),MATCH(orcCenario1[[#Headers],[MATERIAL]],composicoes[#Headers],0)),"")</f>
        <v>10.56</v>
      </c>
      <c r="J29" s="40">
        <f>IFERROR(INDEX(composicoes[],MATCH(orcCenario1[[#This Row],[CÓDIGO]],composicoes[CÓDIGO],0),MATCH(orcCenario1[[#Headers],[EQUIPAMENTO]],composicoes[#Headers],0)),"")</f>
        <v>0</v>
      </c>
      <c r="K29" s="40">
        <f>IF(orcCenario1[[#This Row],[ MÃO DE OBRA]]="","",SUM(orcCenario1[[#This Row],[ MÃO DE OBRA]:[EQUIPAMENTO]]))</f>
        <v>11.21</v>
      </c>
      <c r="L29" s="23">
        <f>IF(orcCenario1[[#This Row],[CUSTO UNITÁRIO]]="","",CENÁRIOS!$E$6)</f>
        <v>0.25</v>
      </c>
      <c r="M29" s="40">
        <f ca="1">IF(orcCenario1[[#This Row],[ MÃO DE OBRA]]&lt;&gt;"",orcCenario1[[#This Row],[QUANTIDADE]]*orcCenario1[[#This Row],[ MÃO DE OBRA]]*(1+orcCenario1[[#This Row],[BDI]]),SUMIFS(orcCenario1[CUSTO MÃO DE OBRA],orcCenario1['#],"&gt;"&amp;orcCenario1[[#This Row],['#]],orcCenario1['#],"&lt;"&amp;orcCenario1[[#This Row],['#]]+100))</f>
        <v>65.722903711261807</v>
      </c>
      <c r="N29" s="40">
        <f ca="1">IF(orcCenario1[[#This Row],[MATERIAL]]&lt;&gt;"",orcCenario1[[#This Row],[QUANTIDADE]]*orcCenario1[[#This Row],[MATERIAL]]*(1+orcCenario1[[#This Row],[BDI]]),SUMIFS(orcCenario1[CUSTO MATERIAL],orcCenario1['#],"&gt;"&amp;orcCenario1[[#This Row],['#]],orcCenario1['#],"&lt;"&amp;orcCenario1[[#This Row],['#]]+100))</f>
        <v>1067.7444049091148</v>
      </c>
      <c r="O29" s="40">
        <f ca="1">IF(orcCenario1[EQUIPAMENTO]&lt;&gt;"",orcCenario1[[#This Row],[QUANTIDADE]]*orcCenario1[EQUIPAMENTO]*(1+orcCenario1[[#This Row],[BDI]]),SUMIFS(orcCenario1[CUSTO EQUIPAMENTO],orcCenario1['#],"&gt;"&amp;orcCenario1[[#This Row],['#]],orcCenario1['#],"&lt;"&amp;orcCenario1[[#This Row],['#]]+100))</f>
        <v>0</v>
      </c>
      <c r="P29" s="40">
        <f ca="1">SUM(orcCenario1[[#This Row],[CUSTO MÃO DE OBRA]:[CUSTO EQUIPAMENTO]])</f>
        <v>1133.4673086203766</v>
      </c>
      <c r="Q29" s="40" t="str">
        <f ca="1">IF(orcCenario1[[#This Row],[QUANTIDADE]]=0,"Não","Sim")</f>
        <v>Sim</v>
      </c>
    </row>
    <row r="30" spans="2:17" ht="45" x14ac:dyDescent="0.25">
      <c r="B30" s="49">
        <v>209</v>
      </c>
      <c r="C30" s="49">
        <f ca="1">IF(orcCenario1[[#This Row],[DESCRIÇÃO]]="ESTACAS",100,IF(orcCenario1[[#This Row],[DESCRIÇÃO]]="BLOCO",200,orcCenario1[[#This Row],['#]]-COUNTIFS(orcCenario1[QUANTIDADE],0,orcCenario1['#],"&lt;"&amp;orcCenario1[[#This Row],['#]],orcCenario1['#],"&gt;"&amp;ROUNDDOWN(orcCenario1[[#This Row],['#]],-2))))</f>
        <v>208</v>
      </c>
      <c r="D30" s="1">
        <v>92924</v>
      </c>
      <c r="E30" s="39" t="str">
        <f>IF(orcCenario1[[#This Row],['#]]=100,"ESTACAS",IF(orcCenario1[[#This Row],['#]]=200,"BLOCO",INDEX(composicoes[],MATCH(orcCenario1[[#This Row],[CÓDIGO]],composicoes[CÓDIGO],0),MATCH(orcCenario1[[#Headers],[DESCRIÇÃO]],composicoes[#Headers],0))))</f>
        <v>ARMAÇÃO DE ESTRUTURAS DIVERSAS DE CONCRETO ARMADO, EXCETO VIGAS, PILARES, LAJES E FUNDAÇÕES, UTILIZANDO AÇO CA-50 DE 25,0 MM - MONTAGEM. AF_06/2022</v>
      </c>
      <c r="F30" s="1" t="str">
        <f>IFERROR(INDEX(composicoes[],MATCH(orcCenario1[[#This Row],[CÓDIGO]],composicoes[CÓDIGO],0),MATCH(orcCenario1[[#Headers],[UN.]],composicoes[#Headers],0)),"")</f>
        <v>KG</v>
      </c>
      <c r="G30" s="4">
        <f ca="1">IF(orcCenario1[[#This Row],[CÓDIGO]]="","",quantitativo(orcCenario1[[#This Row],[CÓDIGO]],orcCenario1[[#This Row],['#]],CENÁRIOS!$E$3,CENÁRIOS!$E$4,cenario1[]))</f>
        <v>29.28553401768233</v>
      </c>
      <c r="H30" s="40">
        <f>IFERROR(INDEX(composicoes[],MATCH(orcCenario1[[#This Row],[CÓDIGO]],composicoes[CÓDIGO],0),MATCH(orcCenario1[[#Headers],[ MÃO DE OBRA]],composicoes[#Headers],0)),"")</f>
        <v>0.51</v>
      </c>
      <c r="I30" s="40">
        <f>IFERROR(INDEX(composicoes[],MATCH(orcCenario1[[#This Row],[CÓDIGO]],composicoes[CÓDIGO],0),MATCH(orcCenario1[[#Headers],[MATERIAL]],composicoes[#Headers],0)),"")</f>
        <v>10.49</v>
      </c>
      <c r="J30" s="40">
        <f>IFERROR(INDEX(composicoes[],MATCH(orcCenario1[[#This Row],[CÓDIGO]],composicoes[CÓDIGO],0),MATCH(orcCenario1[[#Headers],[EQUIPAMENTO]],composicoes[#Headers],0)),"")</f>
        <v>0</v>
      </c>
      <c r="K30" s="40">
        <f>IF(orcCenario1[[#This Row],[ MÃO DE OBRA]]="","",SUM(orcCenario1[[#This Row],[ MÃO DE OBRA]:[EQUIPAMENTO]]))</f>
        <v>11</v>
      </c>
      <c r="L30" s="23">
        <f>IF(orcCenario1[[#This Row],[CUSTO UNITÁRIO]]="","",CENÁRIOS!$E$6)</f>
        <v>0.25</v>
      </c>
      <c r="M30" s="40">
        <f ca="1">IF(orcCenario1[[#This Row],[ MÃO DE OBRA]]&lt;&gt;"",orcCenario1[[#This Row],[QUANTIDADE]]*orcCenario1[[#This Row],[ MÃO DE OBRA]]*(1+orcCenario1[[#This Row],[BDI]]),SUMIFS(orcCenario1[CUSTO MÃO DE OBRA],orcCenario1['#],"&gt;"&amp;orcCenario1[[#This Row],['#]],orcCenario1['#],"&lt;"&amp;orcCenario1[[#This Row],['#]]+100))</f>
        <v>18.669527936272484</v>
      </c>
      <c r="N30" s="40">
        <f ca="1">IF(orcCenario1[[#This Row],[MATERIAL]]&lt;&gt;"",orcCenario1[[#This Row],[QUANTIDADE]]*orcCenario1[[#This Row],[MATERIAL]]*(1+orcCenario1[[#This Row],[BDI]]),SUMIFS(orcCenario1[CUSTO MATERIAL],orcCenario1['#],"&gt;"&amp;orcCenario1[[#This Row],['#]],orcCenario1['#],"&lt;"&amp;orcCenario1[[#This Row],['#]]+100))</f>
        <v>384.00656480685961</v>
      </c>
      <c r="O30" s="40">
        <f ca="1">IF(orcCenario1[EQUIPAMENTO]&lt;&gt;"",orcCenario1[[#This Row],[QUANTIDADE]]*orcCenario1[EQUIPAMENTO]*(1+orcCenario1[[#This Row],[BDI]]),SUMIFS(orcCenario1[CUSTO EQUIPAMENTO],orcCenario1['#],"&gt;"&amp;orcCenario1[[#This Row],['#]],orcCenario1['#],"&lt;"&amp;orcCenario1[[#This Row],['#]]+100))</f>
        <v>0</v>
      </c>
      <c r="P30" s="40">
        <f ca="1">SUM(orcCenario1[[#This Row],[CUSTO MÃO DE OBRA]:[CUSTO EQUIPAMENTO]])</f>
        <v>402.67609274313207</v>
      </c>
      <c r="Q30" s="40" t="str">
        <f ca="1">IF(orcCenario1[[#This Row],[QUANTIDADE]]=0,"Não","Sim")</f>
        <v>Sim</v>
      </c>
    </row>
    <row r="31" spans="2:17" ht="30" x14ac:dyDescent="0.25">
      <c r="B31" s="49">
        <v>210</v>
      </c>
      <c r="C31" s="49">
        <f ca="1">IF(orcCenario1[[#This Row],[DESCRIÇÃO]]="ESTACAS",100,IF(orcCenario1[[#This Row],[DESCRIÇÃO]]="BLOCO",200,orcCenario1[[#This Row],['#]]-COUNTIFS(orcCenario1[QUANTIDADE],0,orcCenario1['#],"&lt;"&amp;orcCenario1[[#This Row],['#]],orcCenario1['#],"&gt;"&amp;ROUNDDOWN(orcCenario1[[#This Row],['#]],-2))))</f>
        <v>209</v>
      </c>
      <c r="D31" s="1">
        <v>96534</v>
      </c>
      <c r="E31" s="39" t="str">
        <f>IF(orcCenario1[[#This Row],['#]]=100,"ESTACAS",IF(orcCenario1[[#This Row],['#]]=200,"BLOCO",INDEX(composicoes[],MATCH(orcCenario1[[#This Row],[CÓDIGO]],composicoes[CÓDIGO],0),MATCH(orcCenario1[[#Headers],[DESCRIÇÃO]],composicoes[#Headers],0))))</f>
        <v>FABRICAÇÃO, MONTAGEM E DESMONTAGEM DE FÔRMA PARA BLOCO DE COROAMENTO, EM MADEIRA SERRADA, E=25 MM, 4 UTILIZAÇÕES. AF_06/2017</v>
      </c>
      <c r="F31" s="1" t="str">
        <f>IFERROR(INDEX(composicoes[],MATCH(orcCenario1[[#This Row],[CÓDIGO]],composicoes[CÓDIGO],0),MATCH(orcCenario1[[#Headers],[UN.]],composicoes[#Headers],0)),"")</f>
        <v>M²</v>
      </c>
      <c r="G31" s="4">
        <f ca="1">IF(orcCenario1[[#This Row],[CÓDIGO]]="","",quantitativo(orcCenario1[[#This Row],[CÓDIGO]],orcCenario1[[#This Row],['#]],CENÁRIOS!$E$3,CENÁRIOS!$E$4,cenario1[]))</f>
        <v>14.944902885326975</v>
      </c>
      <c r="H31" s="40">
        <f>IFERROR(INDEX(composicoes[],MATCH(orcCenario1[[#This Row],[CÓDIGO]],composicoes[CÓDIGO],0),MATCH(orcCenario1[[#Headers],[ MÃO DE OBRA]],composicoes[#Headers],0)),"")</f>
        <v>39.979999999999997</v>
      </c>
      <c r="I31" s="40">
        <f>IFERROR(INDEX(composicoes[],MATCH(orcCenario1[[#This Row],[CÓDIGO]],composicoes[CÓDIGO],0),MATCH(orcCenario1[[#Headers],[MATERIAL]],composicoes[#Headers],0)),"")</f>
        <v>61.79</v>
      </c>
      <c r="J31" s="40">
        <f>IFERROR(INDEX(composicoes[],MATCH(orcCenario1[[#This Row],[CÓDIGO]],composicoes[CÓDIGO],0),MATCH(orcCenario1[[#Headers],[EQUIPAMENTO]],composicoes[#Headers],0)),"")</f>
        <v>0.01</v>
      </c>
      <c r="K31" s="40">
        <f>IF(orcCenario1[[#This Row],[ MÃO DE OBRA]]="","",SUM(orcCenario1[[#This Row],[ MÃO DE OBRA]:[EQUIPAMENTO]]))</f>
        <v>101.78</v>
      </c>
      <c r="L31" s="23">
        <f>IF(orcCenario1[[#This Row],[CUSTO UNITÁRIO]]="","",CENÁRIOS!$E$6)</f>
        <v>0.25</v>
      </c>
      <c r="M31" s="40">
        <f ca="1">IF(orcCenario1[[#This Row],[ MÃO DE OBRA]]&lt;&gt;"",orcCenario1[[#This Row],[QUANTIDADE]]*orcCenario1[[#This Row],[ MÃO DE OBRA]]*(1+orcCenario1[[#This Row],[BDI]]),SUMIFS(orcCenario1[CUSTO MÃO DE OBRA],orcCenario1['#],"&gt;"&amp;orcCenario1[[#This Row],['#]],orcCenario1['#],"&lt;"&amp;orcCenario1[[#This Row],['#]]+100))</f>
        <v>746.87152169421552</v>
      </c>
      <c r="N31" s="40">
        <f ca="1">IF(orcCenario1[[#This Row],[MATERIAL]]&lt;&gt;"",orcCenario1[[#This Row],[QUANTIDADE]]*orcCenario1[[#This Row],[MATERIAL]]*(1+orcCenario1[[#This Row],[BDI]]),SUMIFS(orcCenario1[CUSTO MATERIAL],orcCenario1['#],"&gt;"&amp;orcCenario1[[#This Row],['#]],orcCenario1['#],"&lt;"&amp;orcCenario1[[#This Row],['#]]+100))</f>
        <v>1154.3069366054422</v>
      </c>
      <c r="O31" s="40">
        <f ca="1">IF(orcCenario1[EQUIPAMENTO]&lt;&gt;"",orcCenario1[[#This Row],[QUANTIDADE]]*orcCenario1[EQUIPAMENTO]*(1+orcCenario1[[#This Row],[BDI]]),SUMIFS(orcCenario1[CUSTO EQUIPAMENTO],orcCenario1['#],"&gt;"&amp;orcCenario1[[#This Row],['#]],orcCenario1['#],"&lt;"&amp;orcCenario1[[#This Row],['#]]+100))</f>
        <v>0.18681128606658717</v>
      </c>
      <c r="P31" s="40">
        <f ca="1">SUM(orcCenario1[[#This Row],[CUSTO MÃO DE OBRA]:[CUSTO EQUIPAMENTO]])</f>
        <v>1901.3652695857243</v>
      </c>
      <c r="Q31" s="40" t="str">
        <f ca="1">IF(orcCenario1[[#This Row],[QUANTIDADE]]=0,"Não","Sim")</f>
        <v>Sim</v>
      </c>
    </row>
    <row r="32" spans="2:17" ht="30" hidden="1" x14ac:dyDescent="0.25">
      <c r="B32" s="49">
        <v>211</v>
      </c>
      <c r="C32" s="49">
        <f ca="1">IF(orcCenario1[[#This Row],[DESCRIÇÃO]]="ESTACAS",100,IF(orcCenario1[[#This Row],[DESCRIÇÃO]]="BLOCO",200,orcCenario1[[#This Row],['#]]-COUNTIFS(orcCenario1[QUANTIDADE],0,orcCenario1['#],"&lt;"&amp;orcCenario1[[#This Row],['#]],orcCenario1['#],"&gt;"&amp;ROUNDDOWN(orcCenario1[[#This Row],['#]],-2))))</f>
        <v>210</v>
      </c>
      <c r="D32" s="1">
        <v>94965</v>
      </c>
      <c r="E32" s="39" t="str">
        <f>IF(orcCenario1[[#This Row],['#]]=100,"ESTACAS",IF(orcCenario1[[#This Row],['#]]=200,"BLOCO",INDEX(composicoes[],MATCH(orcCenario1[[#This Row],[CÓDIGO]],composicoes[CÓDIGO],0),MATCH(orcCenario1[[#Headers],[DESCRIÇÃO]],composicoes[#Headers],0))))</f>
        <v>CONCRETO FCK = 25MPA, TRAÇO 1:2,3:2,7 (EM MASSA SECA DE CIMENTO/ AREIA MÉDIA/ BRITA 1) - PREPARO MECÂNICO COM BETONEIRA 400 L. AF_05/2021</v>
      </c>
      <c r="F32" s="1" t="str">
        <f>IFERROR(INDEX(composicoes[],MATCH(orcCenario1[[#This Row],[CÓDIGO]],composicoes[CÓDIGO],0),MATCH(orcCenario1[[#Headers],[UN.]],composicoes[#Headers],0)),"")</f>
        <v>M³</v>
      </c>
      <c r="G32" s="4">
        <f ca="1">IF(orcCenario1[[#This Row],[CÓDIGO]]="","",quantitativo(orcCenario1[[#This Row],[CÓDIGO]],orcCenario1[[#This Row],['#]],CENÁRIOS!$E$3,CENÁRIOS!$E$4,cenario1[]))</f>
        <v>0</v>
      </c>
      <c r="H32" s="40">
        <f>IFERROR(INDEX(composicoes[],MATCH(orcCenario1[[#This Row],[CÓDIGO]],composicoes[CÓDIGO],0),MATCH(orcCenario1[[#Headers],[ MÃO DE OBRA]],composicoes[#Headers],0)),"")</f>
        <v>57.3</v>
      </c>
      <c r="I32" s="40">
        <f>IFERROR(INDEX(composicoes[],MATCH(orcCenario1[[#This Row],[CÓDIGO]],composicoes[CÓDIGO],0),MATCH(orcCenario1[[#Headers],[MATERIAL]],composicoes[#Headers],0)),"")</f>
        <v>365.86</v>
      </c>
      <c r="J32" s="40">
        <f>IFERROR(INDEX(composicoes[],MATCH(orcCenario1[[#This Row],[CÓDIGO]],composicoes[CÓDIGO],0),MATCH(orcCenario1[[#Headers],[EQUIPAMENTO]],composicoes[#Headers],0)),"")</f>
        <v>1.31</v>
      </c>
      <c r="K32" s="40">
        <f>IF(orcCenario1[[#This Row],[ MÃO DE OBRA]]="","",SUM(orcCenario1[[#This Row],[ MÃO DE OBRA]:[EQUIPAMENTO]]))</f>
        <v>424.47</v>
      </c>
      <c r="L32" s="23">
        <f>IF(orcCenario1[[#This Row],[CUSTO UNITÁRIO]]="","",CENÁRIOS!$E$6)</f>
        <v>0.25</v>
      </c>
      <c r="M32" s="40">
        <f ca="1">IF(orcCenario1[[#This Row],[ MÃO DE OBRA]]&lt;&gt;"",orcCenario1[[#This Row],[QUANTIDADE]]*orcCenario1[[#This Row],[ MÃO DE OBRA]]*(1+orcCenario1[[#This Row],[BDI]]),SUMIFS(orcCenario1[CUSTO MÃO DE OBRA],orcCenario1['#],"&gt;"&amp;orcCenario1[[#This Row],['#]],orcCenario1['#],"&lt;"&amp;orcCenario1[[#This Row],['#]]+100))</f>
        <v>0</v>
      </c>
      <c r="N32" s="40">
        <f ca="1">IF(orcCenario1[[#This Row],[MATERIAL]]&lt;&gt;"",orcCenario1[[#This Row],[QUANTIDADE]]*orcCenario1[[#This Row],[MATERIAL]]*(1+orcCenario1[[#This Row],[BDI]]),SUMIFS(orcCenario1[CUSTO MATERIAL],orcCenario1['#],"&gt;"&amp;orcCenario1[[#This Row],['#]],orcCenario1['#],"&lt;"&amp;orcCenario1[[#This Row],['#]]+100))</f>
        <v>0</v>
      </c>
      <c r="O32" s="40">
        <f ca="1">IF(orcCenario1[EQUIPAMENTO]&lt;&gt;"",orcCenario1[[#This Row],[QUANTIDADE]]*orcCenario1[EQUIPAMENTO]*(1+orcCenario1[[#This Row],[BDI]]),SUMIFS(orcCenario1[CUSTO EQUIPAMENTO],orcCenario1['#],"&gt;"&amp;orcCenario1[[#This Row],['#]],orcCenario1['#],"&lt;"&amp;orcCenario1[[#This Row],['#]]+100))</f>
        <v>0</v>
      </c>
      <c r="P32" s="40">
        <f ca="1">SUM(orcCenario1[[#This Row],[CUSTO MÃO DE OBRA]:[CUSTO EQUIPAMENTO]])</f>
        <v>0</v>
      </c>
      <c r="Q32" s="40" t="str">
        <f ca="1">IF(orcCenario1[[#This Row],[QUANTIDADE]]=0,"Não","Sim")</f>
        <v>Não</v>
      </c>
    </row>
    <row r="33" spans="2:17" ht="30" x14ac:dyDescent="0.25">
      <c r="B33" s="49">
        <v>212</v>
      </c>
      <c r="C33" s="49">
        <f ca="1">IF(orcCenario1[[#This Row],[DESCRIÇÃO]]="ESTACAS",100,IF(orcCenario1[[#This Row],[DESCRIÇÃO]]="BLOCO",200,orcCenario1[[#This Row],['#]]-COUNTIFS(orcCenario1[QUANTIDADE],0,orcCenario1['#],"&lt;"&amp;orcCenario1[[#This Row],['#]],orcCenario1['#],"&gt;"&amp;ROUNDDOWN(orcCenario1[[#This Row],['#]],-2))))</f>
        <v>210</v>
      </c>
      <c r="D33" s="1">
        <v>94966</v>
      </c>
      <c r="E33" s="39" t="str">
        <f>IF(orcCenario1[[#This Row],['#]]=100,"ESTACAS",IF(orcCenario1[[#This Row],['#]]=200,"BLOCO",INDEX(composicoes[],MATCH(orcCenario1[[#This Row],[CÓDIGO]],composicoes[CÓDIGO],0),MATCH(orcCenario1[[#Headers],[DESCRIÇÃO]],composicoes[#Headers],0))))</f>
        <v>CONCRETO FCK = 30MPA, TRAÇO 1:2,1:2,5 (EM MASSA SECA DE CIMENTO/ AREIA MÉDIA/ BRITA 1) - PREPARO MECÂNICO COM BETONEIRA 400 L. AF_05/2021</v>
      </c>
      <c r="F33" s="1" t="str">
        <f>IFERROR(INDEX(composicoes[],MATCH(orcCenario1[[#This Row],[CÓDIGO]],composicoes[CÓDIGO],0),MATCH(orcCenario1[[#Headers],[UN.]],composicoes[#Headers],0)),"")</f>
        <v>M³</v>
      </c>
      <c r="G33" s="4">
        <f ca="1">IF(orcCenario1[[#This Row],[CÓDIGO]]="","",quantitativo(orcCenario1[[#This Row],[CÓDIGO]],orcCenario1[[#This Row],['#]],CENÁRIOS!$E$3,CENÁRIOS!$E$4,cenario1[]))</f>
        <v>10.125935210696781</v>
      </c>
      <c r="H33" s="40">
        <f>IFERROR(INDEX(composicoes[],MATCH(orcCenario1[[#This Row],[CÓDIGO]],composicoes[CÓDIGO],0),MATCH(orcCenario1[[#Headers],[ MÃO DE OBRA]],composicoes[#Headers],0)),"")</f>
        <v>56.82</v>
      </c>
      <c r="I33" s="40">
        <f>IFERROR(INDEX(composicoes[],MATCH(orcCenario1[[#This Row],[CÓDIGO]],composicoes[CÓDIGO],0),MATCH(orcCenario1[[#Headers],[MATERIAL]],composicoes[#Headers],0)),"")</f>
        <v>381.4</v>
      </c>
      <c r="J33" s="40">
        <f>IFERROR(INDEX(composicoes[],MATCH(orcCenario1[[#This Row],[CÓDIGO]],composicoes[CÓDIGO],0),MATCH(orcCenario1[[#Headers],[EQUIPAMENTO]],composicoes[#Headers],0)),"")</f>
        <v>1.2999999999999998</v>
      </c>
      <c r="K33" s="40">
        <f>IF(orcCenario1[[#This Row],[ MÃO DE OBRA]]="","",SUM(orcCenario1[[#This Row],[ MÃO DE OBRA]:[EQUIPAMENTO]]))</f>
        <v>439.52</v>
      </c>
      <c r="L33" s="23">
        <f>IF(orcCenario1[[#This Row],[CUSTO UNITÁRIO]]="","",CENÁRIOS!$E$6)</f>
        <v>0.25</v>
      </c>
      <c r="M33" s="40">
        <f ca="1">IF(orcCenario1[[#This Row],[ MÃO DE OBRA]]&lt;&gt;"",orcCenario1[[#This Row],[QUANTIDADE]]*orcCenario1[[#This Row],[ MÃO DE OBRA]]*(1+orcCenario1[[#This Row],[BDI]]),SUMIFS(orcCenario1[CUSTO MÃO DE OBRA],orcCenario1['#],"&gt;"&amp;orcCenario1[[#This Row],['#]],orcCenario1['#],"&lt;"&amp;orcCenario1[[#This Row],['#]]+100))</f>
        <v>719.19454833973884</v>
      </c>
      <c r="N33" s="40">
        <f ca="1">IF(orcCenario1[[#This Row],[MATERIAL]]&lt;&gt;"",orcCenario1[[#This Row],[QUANTIDADE]]*orcCenario1[[#This Row],[MATERIAL]]*(1+orcCenario1[[#This Row],[BDI]]),SUMIFS(orcCenario1[CUSTO MATERIAL],orcCenario1['#],"&gt;"&amp;orcCenario1[[#This Row],['#]],orcCenario1['#],"&lt;"&amp;orcCenario1[[#This Row],['#]]+100))</f>
        <v>4827.5396116996899</v>
      </c>
      <c r="O33" s="40">
        <f ca="1">IF(orcCenario1[EQUIPAMENTO]&lt;&gt;"",orcCenario1[[#This Row],[QUANTIDADE]]*orcCenario1[EQUIPAMENTO]*(1+orcCenario1[[#This Row],[BDI]]),SUMIFS(orcCenario1[CUSTO EQUIPAMENTO],orcCenario1['#],"&gt;"&amp;orcCenario1[[#This Row],['#]],orcCenario1['#],"&lt;"&amp;orcCenario1[[#This Row],['#]]+100))</f>
        <v>16.454644717382266</v>
      </c>
      <c r="P33" s="40">
        <f ca="1">SUM(orcCenario1[[#This Row],[CUSTO MÃO DE OBRA]:[CUSTO EQUIPAMENTO]])</f>
        <v>5563.1888047568109</v>
      </c>
      <c r="Q33" s="40" t="str">
        <f ca="1">IF(orcCenario1[[#This Row],[QUANTIDADE]]=0,"Não","Sim")</f>
        <v>Sim</v>
      </c>
    </row>
    <row r="34" spans="2:17" ht="30" hidden="1" x14ac:dyDescent="0.25">
      <c r="B34" s="49">
        <v>213</v>
      </c>
      <c r="C34" s="49">
        <f ca="1">IF(orcCenario1[[#This Row],[DESCRIÇÃO]]="ESTACAS",100,IF(orcCenario1[[#This Row],[DESCRIÇÃO]]="BLOCO",200,orcCenario1[[#This Row],['#]]-COUNTIFS(orcCenario1[QUANTIDADE],0,orcCenario1['#],"&lt;"&amp;orcCenario1[[#This Row],['#]],orcCenario1['#],"&gt;"&amp;ROUNDDOWN(orcCenario1[[#This Row],['#]],-2))))</f>
        <v>211</v>
      </c>
      <c r="D34" s="1">
        <v>94967</v>
      </c>
      <c r="E34" s="39" t="str">
        <f>IF(orcCenario1[[#This Row],['#]]=100,"ESTACAS",IF(orcCenario1[[#This Row],['#]]=200,"BLOCO",INDEX(composicoes[],MATCH(orcCenario1[[#This Row],[CÓDIGO]],composicoes[CÓDIGO],0),MATCH(orcCenario1[[#Headers],[DESCRIÇÃO]],composicoes[#Headers],0))))</f>
        <v>CONCRETO FCK = 40MPA, TRAÇO 1:1,6:1,9 (EM MASSA SECA DE CIMENTO/ AREIA MÉDIA/ BRITA 1) - PREPARO MECÂNICO COM BETONEIRA 400 L. AF_05/2021</v>
      </c>
      <c r="F34" s="1" t="str">
        <f>IFERROR(INDEX(composicoes[],MATCH(orcCenario1[[#This Row],[CÓDIGO]],composicoes[CÓDIGO],0),MATCH(orcCenario1[[#Headers],[UN.]],composicoes[#Headers],0)),"")</f>
        <v>M³</v>
      </c>
      <c r="G34" s="4">
        <f ca="1">IF(orcCenario1[[#This Row],[CÓDIGO]]="","",quantitativo(orcCenario1[[#This Row],[CÓDIGO]],orcCenario1[[#This Row],['#]],CENÁRIOS!$E$3,CENÁRIOS!$E$4,cenario1[]))</f>
        <v>0</v>
      </c>
      <c r="H34" s="40">
        <f>IFERROR(INDEX(composicoes[],MATCH(orcCenario1[[#This Row],[CÓDIGO]],composicoes[CÓDIGO],0),MATCH(orcCenario1[[#Headers],[ MÃO DE OBRA]],composicoes[#Headers],0)),"")</f>
        <v>60.4</v>
      </c>
      <c r="I34" s="40">
        <f>IFERROR(INDEX(composicoes[],MATCH(orcCenario1[[#This Row],[CÓDIGO]],composicoes[CÓDIGO],0),MATCH(orcCenario1[[#Headers],[MATERIAL]],composicoes[#Headers],0)),"")</f>
        <v>443.17</v>
      </c>
      <c r="J34" s="40">
        <f>IFERROR(INDEX(composicoes[],MATCH(orcCenario1[[#This Row],[CÓDIGO]],composicoes[CÓDIGO],0),MATCH(orcCenario1[[#Headers],[EQUIPAMENTO]],composicoes[#Headers],0)),"")</f>
        <v>1.38</v>
      </c>
      <c r="K34" s="40">
        <f>IF(orcCenario1[[#This Row],[ MÃO DE OBRA]]="","",SUM(orcCenario1[[#This Row],[ MÃO DE OBRA]:[EQUIPAMENTO]]))</f>
        <v>504.95</v>
      </c>
      <c r="L34" s="23">
        <f>IF(orcCenario1[[#This Row],[CUSTO UNITÁRIO]]="","",CENÁRIOS!$E$6)</f>
        <v>0.25</v>
      </c>
      <c r="M34" s="40">
        <f ca="1">IF(orcCenario1[[#This Row],[ MÃO DE OBRA]]&lt;&gt;"",orcCenario1[[#This Row],[QUANTIDADE]]*orcCenario1[[#This Row],[ MÃO DE OBRA]]*(1+orcCenario1[[#This Row],[BDI]]),SUMIFS(orcCenario1[CUSTO MÃO DE OBRA],orcCenario1['#],"&gt;"&amp;orcCenario1[[#This Row],['#]],orcCenario1['#],"&lt;"&amp;orcCenario1[[#This Row],['#]]+100))</f>
        <v>0</v>
      </c>
      <c r="N34" s="40">
        <f ca="1">IF(orcCenario1[[#This Row],[MATERIAL]]&lt;&gt;"",orcCenario1[[#This Row],[QUANTIDADE]]*orcCenario1[[#This Row],[MATERIAL]]*(1+orcCenario1[[#This Row],[BDI]]),SUMIFS(orcCenario1[CUSTO MATERIAL],orcCenario1['#],"&gt;"&amp;orcCenario1[[#This Row],['#]],orcCenario1['#],"&lt;"&amp;orcCenario1[[#This Row],['#]]+100))</f>
        <v>0</v>
      </c>
      <c r="O34" s="40">
        <f ca="1">IF(orcCenario1[EQUIPAMENTO]&lt;&gt;"",orcCenario1[[#This Row],[QUANTIDADE]]*orcCenario1[EQUIPAMENTO]*(1+orcCenario1[[#This Row],[BDI]]),SUMIFS(orcCenario1[CUSTO EQUIPAMENTO],orcCenario1['#],"&gt;"&amp;orcCenario1[[#This Row],['#]],orcCenario1['#],"&lt;"&amp;orcCenario1[[#This Row],['#]]+100))</f>
        <v>0</v>
      </c>
      <c r="P34" s="40">
        <f ca="1">SUM(orcCenario1[[#This Row],[CUSTO MÃO DE OBRA]:[CUSTO EQUIPAMENTO]])</f>
        <v>0</v>
      </c>
      <c r="Q34" s="40" t="str">
        <f ca="1">IF(orcCenario1[[#This Row],[QUANTIDADE]]=0,"Não","Sim")</f>
        <v>Não</v>
      </c>
    </row>
    <row r="35" spans="2:17" ht="30" x14ac:dyDescent="0.25">
      <c r="B35" s="49">
        <v>214</v>
      </c>
      <c r="C35" s="49">
        <f ca="1">IF(orcCenario1[[#This Row],[DESCRIÇÃO]]="ESTACAS",100,IF(orcCenario1[[#This Row],[DESCRIÇÃO]]="BLOCO",200,orcCenario1[[#This Row],['#]]-COUNTIFS(orcCenario1[QUANTIDADE],0,orcCenario1['#],"&lt;"&amp;orcCenario1[[#This Row],['#]],orcCenario1['#],"&gt;"&amp;ROUNDDOWN(orcCenario1[[#This Row],['#]],-2))))</f>
        <v>211</v>
      </c>
      <c r="D35" s="1">
        <v>103673</v>
      </c>
      <c r="E35" s="39" t="str">
        <f>IF(orcCenario1[[#This Row],['#]]=100,"ESTACAS",IF(orcCenario1[[#This Row],['#]]=200,"BLOCO",INDEX(composicoes[],MATCH(orcCenario1[[#This Row],[CÓDIGO]],composicoes[CÓDIGO],0),MATCH(orcCenario1[[#Headers],[DESCRIÇÃO]],composicoes[#Headers],0))))</f>
        <v>LANÇAMENTO COM USO DE BOMBA, ADENSAMENTO E ACABAMENTO DE CONCRETO EM ESTRUTURAS. AF_02/2022</v>
      </c>
      <c r="F35" s="1" t="str">
        <f>IFERROR(INDEX(composicoes[],MATCH(orcCenario1[[#This Row],[CÓDIGO]],composicoes[CÓDIGO],0),MATCH(orcCenario1[[#Headers],[UN.]],composicoes[#Headers],0)),"")</f>
        <v>M³</v>
      </c>
      <c r="G35" s="4">
        <f ca="1">IF(orcCenario1[[#This Row],[CÓDIGO]]="","",quantitativo(orcCenario1[[#This Row],[CÓDIGO]],orcCenario1[[#This Row],['#]],CENÁRIOS!$E$3,CENÁRIOS!$E$4,cenario1[]))</f>
        <v>10.125935210696781</v>
      </c>
      <c r="H35" s="40">
        <f>IFERROR(INDEX(composicoes[],MATCH(orcCenario1[[#This Row],[CÓDIGO]],composicoes[CÓDIGO],0),MATCH(orcCenario1[[#Headers],[ MÃO DE OBRA]],composicoes[#Headers],0)),"")</f>
        <v>29.75</v>
      </c>
      <c r="I35" s="40">
        <f>IFERROR(INDEX(composicoes[],MATCH(orcCenario1[[#This Row],[CÓDIGO]],composicoes[CÓDIGO],0),MATCH(orcCenario1[[#Headers],[MATERIAL]],composicoes[#Headers],0)),"")</f>
        <v>13.78</v>
      </c>
      <c r="J35" s="40">
        <f>IFERROR(INDEX(composicoes[],MATCH(orcCenario1[[#This Row],[CÓDIGO]],composicoes[CÓDIGO],0),MATCH(orcCenario1[[#Headers],[EQUIPAMENTO]],composicoes[#Headers],0)),"")</f>
        <v>0.15</v>
      </c>
      <c r="K35" s="40">
        <f>IF(orcCenario1[[#This Row],[ MÃO DE OBRA]]="","",SUM(orcCenario1[[#This Row],[ MÃO DE OBRA]:[EQUIPAMENTO]]))</f>
        <v>43.68</v>
      </c>
      <c r="L35" s="23">
        <f>IF(orcCenario1[[#This Row],[CUSTO UNITÁRIO]]="","",CENÁRIOS!$E$6)</f>
        <v>0.25</v>
      </c>
      <c r="M35" s="40">
        <f ca="1">IF(orcCenario1[[#This Row],[ MÃO DE OBRA]]&lt;&gt;"",orcCenario1[[#This Row],[QUANTIDADE]]*orcCenario1[[#This Row],[ MÃO DE OBRA]]*(1+orcCenario1[[#This Row],[BDI]]),SUMIFS(orcCenario1[CUSTO MÃO DE OBRA],orcCenario1['#],"&gt;"&amp;orcCenario1[[#This Row],['#]],orcCenario1['#],"&lt;"&amp;orcCenario1[[#This Row],['#]]+100))</f>
        <v>376.55821564778654</v>
      </c>
      <c r="N35" s="40">
        <f ca="1">IF(orcCenario1[[#This Row],[MATERIAL]]&lt;&gt;"",orcCenario1[[#This Row],[QUANTIDADE]]*orcCenario1[[#This Row],[MATERIAL]]*(1+orcCenario1[[#This Row],[BDI]]),SUMIFS(orcCenario1[CUSTO MATERIAL],orcCenario1['#],"&gt;"&amp;orcCenario1[[#This Row],['#]],orcCenario1['#],"&lt;"&amp;orcCenario1[[#This Row],['#]]+100))</f>
        <v>174.41923400425202</v>
      </c>
      <c r="O35" s="40">
        <f ca="1">IF(orcCenario1[EQUIPAMENTO]&lt;&gt;"",orcCenario1[[#This Row],[QUANTIDADE]]*orcCenario1[EQUIPAMENTO]*(1+orcCenario1[[#This Row],[BDI]]),SUMIFS(orcCenario1[CUSTO EQUIPAMENTO],orcCenario1['#],"&gt;"&amp;orcCenario1[[#This Row],['#]],orcCenario1['#],"&lt;"&amp;orcCenario1[[#This Row],['#]]+100))</f>
        <v>1.8986128520056464</v>
      </c>
      <c r="P35" s="40">
        <f ca="1">SUM(orcCenario1[[#This Row],[CUSTO MÃO DE OBRA]:[CUSTO EQUIPAMENTO]])</f>
        <v>552.87606250404417</v>
      </c>
      <c r="Q35" s="40" t="str">
        <f ca="1">IF(orcCenario1[[#This Row],[QUANTIDADE]]=0,"Não","Sim")</f>
        <v>Sim</v>
      </c>
    </row>
    <row r="36" spans="2:17" x14ac:dyDescent="0.25">
      <c r="B36" s="1" t="s">
        <v>261</v>
      </c>
      <c r="E36" s="39"/>
      <c r="K36" s="50"/>
      <c r="L36" s="23"/>
      <c r="M36" s="50">
        <f ca="1">SUM(orcCenario1[CUSTO MÃO DE OBRA])/2</f>
        <v>8006.4117710252995</v>
      </c>
      <c r="N36" s="50">
        <f ca="1">SUM(orcCenario1[CUSTO MATERIAL])/2</f>
        <v>20815.475575560256</v>
      </c>
      <c r="O36" s="50">
        <f ca="1">SUM(orcCenario1[CUSTO EQUIPAMENTO])/2</f>
        <v>1696.6769267557343</v>
      </c>
      <c r="P36" s="50">
        <f ca="1">SUM(orcCenario1[CUSTO TOTAL])/2</f>
        <v>30518.56427334129</v>
      </c>
    </row>
    <row r="37" spans="2:17" x14ac:dyDescent="0.25"/>
  </sheetData>
  <conditionalFormatting sqref="B4:Q35">
    <cfRule type="expression" dxfId="9" priority="1">
      <formula>$C4/100=ROUND($C4/100,0)</formula>
    </cfRule>
  </conditionalFormatting>
  <printOptions horizontalCentered="1"/>
  <pageMargins left="1.1811023622047245" right="0.78740157480314965" top="1.1811023622047245" bottom="0.78740157480314965" header="0" footer="0"/>
  <pageSetup paperSize="9" scale="43" orientation="landscape"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C325A-324B-45CB-B753-4F7FEB7EBB3B}">
  <sheetPr codeName="orcamentoCenario2">
    <pageSetUpPr fitToPage="1"/>
  </sheetPr>
  <dimension ref="A1:V37"/>
  <sheetViews>
    <sheetView showGridLines="0" zoomScale="70" zoomScaleNormal="70" workbookViewId="0">
      <selection activeCell="P2" sqref="P2"/>
    </sheetView>
  </sheetViews>
  <sheetFormatPr defaultColWidth="0" defaultRowHeight="15" zeroHeight="1" x14ac:dyDescent="0.25"/>
  <cols>
    <col min="1" max="1" width="2.7109375" style="1" customWidth="1"/>
    <col min="2" max="2" width="6.85546875" style="1" hidden="1" customWidth="1"/>
    <col min="3" max="3" width="6.7109375" style="1" bestFit="1" customWidth="1"/>
    <col min="4" max="4" width="10.42578125" style="1" bestFit="1" customWidth="1"/>
    <col min="5" max="5" width="100" style="1" bestFit="1" customWidth="1"/>
    <col min="6" max="6" width="5.28515625" style="1" bestFit="1" customWidth="1"/>
    <col min="7" max="7" width="16.7109375" style="1" bestFit="1" customWidth="1"/>
    <col min="8" max="8" width="11.7109375" style="1" hidden="1" customWidth="1"/>
    <col min="9" max="9" width="13" style="1" hidden="1" customWidth="1"/>
    <col min="10" max="10" width="18.5703125" style="1" hidden="1" customWidth="1"/>
    <col min="11" max="11" width="13.85546875" style="1" bestFit="1" customWidth="1"/>
    <col min="12" max="12" width="9.140625" style="1" bestFit="1" customWidth="1"/>
    <col min="13" max="13" width="15.28515625" style="1" hidden="1" customWidth="1"/>
    <col min="14" max="14" width="13.85546875" style="1" hidden="1" customWidth="1"/>
    <col min="15" max="15" width="17.28515625" style="1" hidden="1" customWidth="1"/>
    <col min="16" max="16" width="14.7109375" style="1" customWidth="1"/>
    <col min="17" max="17" width="11.7109375" style="1" hidden="1" customWidth="1"/>
    <col min="18" max="18" width="2.7109375" style="1" customWidth="1"/>
    <col min="19" max="16384" width="9.140625" style="1" hidden="1"/>
  </cols>
  <sheetData>
    <row r="1" spans="2:22" ht="5.0999999999999996" customHeight="1" x14ac:dyDescent="0.25"/>
    <row r="2" spans="2:22" ht="30" customHeight="1" x14ac:dyDescent="0.25">
      <c r="E2" s="50"/>
      <c r="H2" s="50"/>
      <c r="I2" s="50"/>
      <c r="J2" s="50"/>
      <c r="K2" s="50"/>
      <c r="L2" s="50"/>
      <c r="M2" s="50"/>
      <c r="N2" s="50"/>
      <c r="O2" s="50"/>
      <c r="P2" s="50"/>
      <c r="Q2" s="50"/>
      <c r="S2" s="12"/>
      <c r="T2" s="12"/>
      <c r="U2" s="12"/>
      <c r="V2" s="12"/>
    </row>
    <row r="3" spans="2:22" s="51" customFormat="1" ht="31.5" customHeight="1" x14ac:dyDescent="0.25">
      <c r="B3" s="51" t="s">
        <v>260</v>
      </c>
      <c r="C3" s="51" t="s">
        <v>255</v>
      </c>
      <c r="D3" s="51" t="s">
        <v>142</v>
      </c>
      <c r="E3" s="51" t="s">
        <v>143</v>
      </c>
      <c r="F3" s="51" t="s">
        <v>145</v>
      </c>
      <c r="G3" s="51" t="s">
        <v>258</v>
      </c>
      <c r="H3" s="51" t="s">
        <v>146</v>
      </c>
      <c r="I3" s="51" t="s">
        <v>147</v>
      </c>
      <c r="J3" s="51" t="s">
        <v>148</v>
      </c>
      <c r="K3" s="51" t="s">
        <v>259</v>
      </c>
      <c r="L3" s="51" t="s">
        <v>262</v>
      </c>
      <c r="M3" s="51" t="s">
        <v>256</v>
      </c>
      <c r="N3" s="51" t="s">
        <v>257</v>
      </c>
      <c r="O3" s="51" t="s">
        <v>273</v>
      </c>
      <c r="P3" s="51" t="s">
        <v>144</v>
      </c>
      <c r="Q3" s="51" t="s">
        <v>279</v>
      </c>
    </row>
    <row r="4" spans="2:22" ht="15.75" x14ac:dyDescent="0.25">
      <c r="B4" s="49">
        <v>100</v>
      </c>
      <c r="C4" s="49">
        <f>IF(orcCenario2[[#This Row],[DESCRIÇÃO]]="ESTACAS",100,IF(orcCenario2[[#This Row],[DESCRIÇÃO]]="BLOCO",200,orcCenario2[[#This Row],['#]]-COUNTIFS(orcCenario2[QUANTIDADE],0,orcCenario2['#],"&lt;"&amp;orcCenario2[[#This Row],['#]],orcCenario2['#],"&gt;"&amp;ROUNDDOWN(orcCenario2[[#This Row],['#]],-2))))</f>
        <v>100</v>
      </c>
      <c r="E4" s="39" t="str">
        <f>IF(orcCenario2[[#This Row],['#]]=100,"ESTACAS",IF(orcCenario2[[#This Row],['#]]=200,"BLOCO",INDEX(composicoes[],MATCH(orcCenario2[[#This Row],[CÓDIGO]],composicoes[CÓDIGO],0),MATCH(orcCenario2[[#Headers],[DESCRIÇÃO]],composicoes[#Headers],0))))</f>
        <v>ESTACAS</v>
      </c>
      <c r="F4" s="1" t="str">
        <f>IFERROR(INDEX(composicoes[],MATCH(orcCenario2[[#This Row],[CÓDIGO]],composicoes[CÓDIGO],0),MATCH(orcCenario2[[#Headers],[UN.]],composicoes[#Headers],0)),"")</f>
        <v/>
      </c>
      <c r="G4" s="4" t="str">
        <f>IF(orcCenario2[[#This Row],[CÓDIGO]]="","",quantitativo(orcCenario2[[#This Row],[CÓDIGO]],orcCenario2[[#This Row],['#]],CENÁRIOS!$I$3,CENÁRIOS!$I$4,cenario2[]))</f>
        <v/>
      </c>
      <c r="H4" s="40" t="str">
        <f>IFERROR(INDEX(composicoes[],MATCH(orcCenario2[[#This Row],[CÓDIGO]],composicoes[CÓDIGO],0),MATCH(orcCenario2[[#Headers],[ MÃO DE OBRA]],composicoes[#Headers],0)),"")</f>
        <v/>
      </c>
      <c r="I4" s="40" t="str">
        <f>IFERROR(INDEX(composicoes[],MATCH(orcCenario2[[#This Row],[CÓDIGO]],composicoes[CÓDIGO],0),MATCH(orcCenario2[[#Headers],[MATERIAL]],composicoes[#Headers],0)),"")</f>
        <v/>
      </c>
      <c r="J4" s="40" t="str">
        <f>IFERROR(INDEX(composicoes[],MATCH(orcCenario2[[#This Row],[CÓDIGO]],composicoes[CÓDIGO],0),MATCH(orcCenario2[[#Headers],[EQUIPAMENTO]],composicoes[#Headers],0)),"")</f>
        <v/>
      </c>
      <c r="K4" s="40" t="str">
        <f>IF(orcCenario2[[#This Row],[ MÃO DE OBRA]]="","",SUM(orcCenario2[[#This Row],[ MÃO DE OBRA]:[EQUIPAMENTO]]))</f>
        <v/>
      </c>
      <c r="L4" s="23" t="str">
        <f>IF(orcCenario2[[#This Row],[CUSTO UNITÁRIO]]="","",CENÁRIOS!$I$6)</f>
        <v/>
      </c>
      <c r="M4" s="40">
        <f ca="1">IF(orcCenario2[[#This Row],[ MÃO DE OBRA]]&lt;&gt;"",orcCenario2[[#This Row],[QUANTIDADE]]*orcCenario2[[#This Row],[ MÃO DE OBRA]]*(1+orcCenario2[[#This Row],[BDI]]),SUMIFS(orcCenario2[CUSTO MÃO DE OBRA],orcCenario2['#],"&gt;"&amp;orcCenario2[[#This Row],['#]],orcCenario2['#],"&lt;"&amp;orcCenario2[[#This Row],['#]]+100))</f>
        <v>2705.1934537969141</v>
      </c>
      <c r="N4" s="40">
        <f ca="1">IF(orcCenario2[[#This Row],[MATERIAL]]&lt;&gt;"",orcCenario2[[#This Row],[QUANTIDADE]]*orcCenario2[[#This Row],[MATERIAL]]*(1+orcCenario2[[#This Row],[BDI]]),SUMIFS(orcCenario2[CUSTO MATERIAL],orcCenario2['#],"&gt;"&amp;orcCenario2[[#This Row],['#]],orcCenario2['#],"&lt;"&amp;orcCenario2[[#This Row],['#]]+100))</f>
        <v>33769.663758253213</v>
      </c>
      <c r="O4" s="40">
        <f ca="1">IF(orcCenario2[EQUIPAMENTO]&lt;&gt;"",orcCenario2[[#This Row],[QUANTIDADE]]*orcCenario2[EQUIPAMENTO]*(1+orcCenario2[[#This Row],[BDI]]),SUMIFS(orcCenario2[CUSTO EQUIPAMENTO],orcCenario2['#],"&gt;"&amp;orcCenario2[[#This Row],['#]],orcCenario2['#],"&lt;"&amp;orcCenario2[[#This Row],['#]]+100))</f>
        <v>1465.4618913774864</v>
      </c>
      <c r="P4" s="40">
        <f ca="1">SUM(orcCenario2[[#This Row],[CUSTO MÃO DE OBRA]:[CUSTO EQUIPAMENTO]])</f>
        <v>37940.31910342761</v>
      </c>
      <c r="Q4" s="64" t="str">
        <f>IF(orcCenario2[[#This Row],[QUANTIDADE]]=0,"Não","Sim")</f>
        <v>Sim</v>
      </c>
    </row>
    <row r="5" spans="2:22" ht="45" x14ac:dyDescent="0.25">
      <c r="B5" s="49">
        <v>101</v>
      </c>
      <c r="C5" s="49">
        <f ca="1">IF(orcCenario2[[#This Row],[DESCRIÇÃO]]="ESTACAS",100,IF(orcCenario2[[#This Row],[DESCRIÇÃO]]="BLOCO",200,orcCenario2[[#This Row],['#]]-COUNTIFS(orcCenario2[QUANTIDADE],0,orcCenario2['#],"&lt;"&amp;orcCenario2[[#This Row],['#]],orcCenario2['#],"&gt;"&amp;ROUNDDOWN(orcCenario2[[#This Row],['#]],-2))))</f>
        <v>101</v>
      </c>
      <c r="D5" s="1">
        <v>90680</v>
      </c>
      <c r="E5" s="39" t="str">
        <f>IF(orcCenario2[[#This Row],['#]]=100,"ESTACAS",IF(orcCenario2[[#This Row],['#]]=200,"BLOCO",INDEX(composicoes[],MATCH(orcCenario2[[#This Row],[CÓDIGO]],composicoes[CÓDIGO],0),MATCH(orcCenario2[[#Headers],[DESCRIÇÃO]],composicoes[#Headers],0))))</f>
        <v>PERFURATRIZ HIDRÁULICA SOBRE CAMINHÃO COM TRADO CURTO ACOPLADO, PROFUNDIDADE MÁXIMA DE 20 M, DIÂMETRO MÁXIMO DE 1500 MM, POTÊNCIA INSTALADA DE 137 HP, MESA ROTATIVA COM TORQUE MÁXIMO DE 30 KNM. AF_06/2015</v>
      </c>
      <c r="F5" s="1" t="str">
        <f>IFERROR(INDEX(composicoes[],MATCH(orcCenario2[[#This Row],[CÓDIGO]],composicoes[CÓDIGO],0),MATCH(orcCenario2[[#Headers],[UN.]],composicoes[#Headers],0)),"")</f>
        <v>M</v>
      </c>
      <c r="G5" s="4">
        <f ca="1">IF(orcCenario2[[#This Row],[CÓDIGO]]="","",quantitativo(orcCenario2[[#This Row],[CÓDIGO]],orcCenario2[[#This Row],['#]],CENÁRIOS!$I$3,CENÁRIOS!$I$4,cenario2[]))</f>
        <v>78</v>
      </c>
      <c r="H5" s="40">
        <f>IFERROR(INDEX(composicoes[],MATCH(orcCenario2[[#This Row],[CÓDIGO]],composicoes[CÓDIGO],0),MATCH(orcCenario2[[#Headers],[ MÃO DE OBRA]],composicoes[#Headers],0)),"")</f>
        <v>1.66</v>
      </c>
      <c r="I5" s="40">
        <f>IFERROR(INDEX(composicoes[],MATCH(orcCenario2[[#This Row],[CÓDIGO]],composicoes[CÓDIGO],0),MATCH(orcCenario2[[#Headers],[MATERIAL]],composicoes[#Headers],0)),"")</f>
        <v>6.32</v>
      </c>
      <c r="J5" s="40">
        <f>IFERROR(INDEX(composicoes[],MATCH(orcCenario2[[#This Row],[CÓDIGO]],composicoes[CÓDIGO],0),MATCH(orcCenario2[[#Headers],[EQUIPAMENTO]],composicoes[#Headers],0)),"")</f>
        <v>14.99</v>
      </c>
      <c r="K5" s="40">
        <f>IF(orcCenario2[[#This Row],[ MÃO DE OBRA]]="","",SUM(orcCenario2[[#This Row],[ MÃO DE OBRA]:[EQUIPAMENTO]]))</f>
        <v>22.97</v>
      </c>
      <c r="L5" s="23">
        <f>IF(orcCenario2[[#This Row],[CUSTO UNITÁRIO]]="","",CENÁRIOS!$I$6)</f>
        <v>0.22</v>
      </c>
      <c r="M5" s="40">
        <f ca="1">IF(orcCenario2[[#This Row],[ MÃO DE OBRA]]&lt;&gt;"",orcCenario2[[#This Row],[QUANTIDADE]]*orcCenario2[[#This Row],[ MÃO DE OBRA]]*(1+orcCenario2[[#This Row],[BDI]]),SUMIFS(orcCenario2[CUSTO MÃO DE OBRA],orcCenario2['#],"&gt;"&amp;orcCenario2[[#This Row],['#]],orcCenario2['#],"&lt;"&amp;orcCenario2[[#This Row],['#]]+100))</f>
        <v>157.96559999999999</v>
      </c>
      <c r="N5" s="40">
        <f ca="1">IF(orcCenario2[[#This Row],[MATERIAL]]&lt;&gt;"",orcCenario2[[#This Row],[QUANTIDADE]]*orcCenario2[[#This Row],[MATERIAL]]*(1+orcCenario2[[#This Row],[BDI]]),SUMIFS(orcCenario2[CUSTO MATERIAL],orcCenario2['#],"&gt;"&amp;orcCenario2[[#This Row],['#]],orcCenario2['#],"&lt;"&amp;orcCenario2[[#This Row],['#]]+100))</f>
        <v>601.41120000000001</v>
      </c>
      <c r="O5" s="40">
        <f ca="1">IF(orcCenario2[EQUIPAMENTO]&lt;&gt;"",orcCenario2[[#This Row],[QUANTIDADE]]*orcCenario2[EQUIPAMENTO]*(1+orcCenario2[[#This Row],[BDI]]),SUMIFS(orcCenario2[CUSTO EQUIPAMENTO],orcCenario2['#],"&gt;"&amp;orcCenario2[[#This Row],['#]],orcCenario2['#],"&lt;"&amp;orcCenario2[[#This Row],['#]]+100))</f>
        <v>1426.4484</v>
      </c>
      <c r="P5" s="40">
        <f ca="1">SUM(orcCenario2[[#This Row],[CUSTO MÃO DE OBRA]:[CUSTO EQUIPAMENTO]])</f>
        <v>2185.8252000000002</v>
      </c>
      <c r="Q5" s="64" t="str">
        <f ca="1">IF(orcCenario2[[#This Row],[QUANTIDADE]]=0,"Não","Sim")</f>
        <v>Sim</v>
      </c>
    </row>
    <row r="6" spans="2:22" ht="60" hidden="1" x14ac:dyDescent="0.25">
      <c r="B6" s="49">
        <v>102</v>
      </c>
      <c r="C6" s="49">
        <f ca="1">IF(orcCenario2[[#This Row],[DESCRIÇÃO]]="ESTACAS",100,IF(orcCenario2[[#This Row],[DESCRIÇÃO]]="BLOCO",200,orcCenario2[[#This Row],['#]]-COUNTIFS(orcCenario2[QUANTIDADE],0,orcCenario2['#],"&lt;"&amp;orcCenario2[[#This Row],['#]],orcCenario2['#],"&gt;"&amp;ROUNDDOWN(orcCenario2[[#This Row],['#]],-2))))</f>
        <v>102</v>
      </c>
      <c r="D6" s="1">
        <v>90674</v>
      </c>
      <c r="E6" s="39" t="str">
        <f>IF(orcCenario2[[#This Row],['#]]=100,"ESTACAS",IF(orcCenario2[[#This Row],['#]]=200,"BLOCO",INDEX(composicoes[],MATCH(orcCenario2[[#This Row],[CÓDIGO]],composicoes[CÓDIGO],0),MATCH(orcCenario2[[#Headers],[DESCRIÇÃO]],composicoes[#Headers],0))))</f>
        <v>PERFURATRIZ COM TORRE METÁLICA PARA EXECUÇÃO DE ESTACA HÉLICE CONTÍNUA, PROFUNDIDADE MÁXIMA DE 30 M, DIÂMETRO MÁXIMO DE 800 MM, POTÊNCIA INSTALADA DE 268 HP, MESA ROTATIVA COM TORQUE MÁXIMO DE 170 KNM. AF_06/2015</v>
      </c>
      <c r="F6" s="1" t="str">
        <f>IFERROR(INDEX(composicoes[],MATCH(orcCenario2[[#This Row],[CÓDIGO]],composicoes[CÓDIGO],0),MATCH(orcCenario2[[#Headers],[UN.]],composicoes[#Headers],0)),"")</f>
        <v>M</v>
      </c>
      <c r="G6" s="4">
        <f ca="1">IF(orcCenario2[[#This Row],[CÓDIGO]]="","",quantitativo(orcCenario2[[#This Row],[CÓDIGO]],orcCenario2[[#This Row],['#]],CENÁRIOS!$I$3,CENÁRIOS!$I$4,cenario2[]))</f>
        <v>0</v>
      </c>
      <c r="H6" s="40">
        <f>IFERROR(INDEX(composicoes[],MATCH(orcCenario2[[#This Row],[CÓDIGO]],composicoes[CÓDIGO],0),MATCH(orcCenario2[[#Headers],[ MÃO DE OBRA]],composicoes[#Headers],0)),"")</f>
        <v>1.7</v>
      </c>
      <c r="I6" s="40">
        <f>IFERROR(INDEX(composicoes[],MATCH(orcCenario2[[#This Row],[CÓDIGO]],composicoes[CÓDIGO],0),MATCH(orcCenario2[[#Headers],[MATERIAL]],composicoes[#Headers],0)),"")</f>
        <v>5.19</v>
      </c>
      <c r="J6" s="40">
        <f>IFERROR(INDEX(composicoes[],MATCH(orcCenario2[[#This Row],[CÓDIGO]],composicoes[CÓDIGO],0),MATCH(orcCenario2[[#Headers],[EQUIPAMENTO]],composicoes[#Headers],0)),"")</f>
        <v>35.4</v>
      </c>
      <c r="K6" s="40">
        <f>IF(orcCenario2[[#This Row],[ MÃO DE OBRA]]="","",SUM(orcCenario2[[#This Row],[ MÃO DE OBRA]:[EQUIPAMENTO]]))</f>
        <v>42.29</v>
      </c>
      <c r="L6" s="23">
        <f>IF(orcCenario2[[#This Row],[CUSTO UNITÁRIO]]="","",CENÁRIOS!$I$6)</f>
        <v>0.22</v>
      </c>
      <c r="M6" s="40">
        <f ca="1">IF(orcCenario2[[#This Row],[ MÃO DE OBRA]]&lt;&gt;"",orcCenario2[[#This Row],[QUANTIDADE]]*orcCenario2[[#This Row],[ MÃO DE OBRA]]*(1+orcCenario2[[#This Row],[BDI]]),SUMIFS(orcCenario2[CUSTO MÃO DE OBRA],orcCenario2['#],"&gt;"&amp;orcCenario2[[#This Row],['#]],orcCenario2['#],"&lt;"&amp;orcCenario2[[#This Row],['#]]+100))</f>
        <v>0</v>
      </c>
      <c r="N6" s="40">
        <f ca="1">IF(orcCenario2[[#This Row],[MATERIAL]]&lt;&gt;"",orcCenario2[[#This Row],[QUANTIDADE]]*orcCenario2[[#This Row],[MATERIAL]]*(1+orcCenario2[[#This Row],[BDI]]),SUMIFS(orcCenario2[CUSTO MATERIAL],orcCenario2['#],"&gt;"&amp;orcCenario2[[#This Row],['#]],orcCenario2['#],"&lt;"&amp;orcCenario2[[#This Row],['#]]+100))</f>
        <v>0</v>
      </c>
      <c r="O6" s="40">
        <f ca="1">IF(orcCenario2[EQUIPAMENTO]&lt;&gt;"",orcCenario2[[#This Row],[QUANTIDADE]]*orcCenario2[EQUIPAMENTO]*(1+orcCenario2[[#This Row],[BDI]]),SUMIFS(orcCenario2[CUSTO EQUIPAMENTO],orcCenario2['#],"&gt;"&amp;orcCenario2[[#This Row],['#]],orcCenario2['#],"&lt;"&amp;orcCenario2[[#This Row],['#]]+100))</f>
        <v>0</v>
      </c>
      <c r="P6" s="40">
        <f ca="1">SUM(orcCenario2[[#This Row],[CUSTO MÃO DE OBRA]:[CUSTO EQUIPAMENTO]])</f>
        <v>0</v>
      </c>
      <c r="Q6" s="64" t="str">
        <f ca="1">IF(orcCenario2[[#This Row],[QUANTIDADE]]=0,"Não","Sim")</f>
        <v>Não</v>
      </c>
    </row>
    <row r="7" spans="2:22" ht="60" hidden="1" x14ac:dyDescent="0.25">
      <c r="B7" s="49">
        <v>103</v>
      </c>
      <c r="C7" s="49">
        <f ca="1">IF(orcCenario2[[#This Row],[DESCRIÇÃO]]="ESTACAS",100,IF(orcCenario2[[#This Row],[DESCRIÇÃO]]="BLOCO",200,orcCenario2[[#This Row],['#]]-COUNTIFS(orcCenario2[QUANTIDADE],0,orcCenario2['#],"&lt;"&amp;orcCenario2[[#This Row],['#]],orcCenario2['#],"&gt;"&amp;ROUNDDOWN(orcCenario2[[#This Row],['#]],-2))))</f>
        <v>102</v>
      </c>
      <c r="D7" s="1">
        <v>93224</v>
      </c>
      <c r="E7" s="39" t="str">
        <f>IF(orcCenario2[[#This Row],['#]]=100,"ESTACAS",IF(orcCenario2[[#This Row],['#]]=200,"BLOCO",INDEX(composicoes[],MATCH(orcCenario2[[#This Row],[CÓDIGO]],composicoes[CÓDIGO],0),MATCH(orcCenario2[[#Headers],[DESCRIÇÃO]],composicoes[#Headers],0))))</f>
        <v>PERFURATRIZ COM TORRE METÁLICA PARA EXECUÇÃO DE ESTACA HÉLICE CONTÍNUA, PROFUNDIDADE MÁXIMA DE 32 M, DIÂMETRO MÁXIMO DE 1000 MM, POTÊNCIA INSTALADA DE 350 HP, MESA ROTATIVA COM TORQUE MÁXIMO DE 263 KNM AF_01/2016</v>
      </c>
      <c r="F7" s="1" t="str">
        <f>IFERROR(INDEX(composicoes[],MATCH(orcCenario2[[#This Row],[CÓDIGO]],composicoes[CÓDIGO],0),MATCH(orcCenario2[[#Headers],[UN.]],composicoes[#Headers],0)),"")</f>
        <v>M</v>
      </c>
      <c r="G7" s="4">
        <f ca="1">IF(orcCenario2[[#This Row],[CÓDIGO]]="","",quantitativo(orcCenario2[[#This Row],[CÓDIGO]],orcCenario2[[#This Row],['#]],CENÁRIOS!$I$3,CENÁRIOS!$I$4,cenario2[]))</f>
        <v>0</v>
      </c>
      <c r="H7" s="40">
        <f>IFERROR(INDEX(composicoes[],MATCH(orcCenario2[[#This Row],[CÓDIGO]],composicoes[CÓDIGO],0),MATCH(orcCenario2[[#Headers],[ MÃO DE OBRA]],composicoes[#Headers],0)),"")</f>
        <v>1.7</v>
      </c>
      <c r="I7" s="40">
        <f>IFERROR(INDEX(composicoes[],MATCH(orcCenario2[[#This Row],[CÓDIGO]],composicoes[CÓDIGO],0),MATCH(orcCenario2[[#Headers],[MATERIAL]],composicoes[#Headers],0)),"")</f>
        <v>6.61</v>
      </c>
      <c r="J7" s="40">
        <f>IFERROR(INDEX(composicoes[],MATCH(orcCenario2[[#This Row],[CÓDIGO]],composicoes[CÓDIGO],0),MATCH(orcCenario2[[#Headers],[EQUIPAMENTO]],composicoes[#Headers],0)),"")</f>
        <v>55.05</v>
      </c>
      <c r="K7" s="40">
        <f>IF(orcCenario2[[#This Row],[ MÃO DE OBRA]]="","",SUM(orcCenario2[[#This Row],[ MÃO DE OBRA]:[EQUIPAMENTO]]))</f>
        <v>63.36</v>
      </c>
      <c r="L7" s="23">
        <f>IF(orcCenario2[[#This Row],[CUSTO UNITÁRIO]]="","",CENÁRIOS!$I$6)</f>
        <v>0.22</v>
      </c>
      <c r="M7" s="40">
        <f ca="1">IF(orcCenario2[[#This Row],[ MÃO DE OBRA]]&lt;&gt;"",orcCenario2[[#This Row],[QUANTIDADE]]*orcCenario2[[#This Row],[ MÃO DE OBRA]]*(1+orcCenario2[[#This Row],[BDI]]),SUMIFS(orcCenario2[CUSTO MÃO DE OBRA],orcCenario2['#],"&gt;"&amp;orcCenario2[[#This Row],['#]],orcCenario2['#],"&lt;"&amp;orcCenario2[[#This Row],['#]]+100))</f>
        <v>0</v>
      </c>
      <c r="N7" s="40">
        <f ca="1">IF(orcCenario2[[#This Row],[MATERIAL]]&lt;&gt;"",orcCenario2[[#This Row],[QUANTIDADE]]*orcCenario2[[#This Row],[MATERIAL]]*(1+orcCenario2[[#This Row],[BDI]]),SUMIFS(orcCenario2[CUSTO MATERIAL],orcCenario2['#],"&gt;"&amp;orcCenario2[[#This Row],['#]],orcCenario2['#],"&lt;"&amp;orcCenario2[[#This Row],['#]]+100))</f>
        <v>0</v>
      </c>
      <c r="O7" s="40">
        <f ca="1">IF(orcCenario2[EQUIPAMENTO]&lt;&gt;"",orcCenario2[[#This Row],[QUANTIDADE]]*orcCenario2[EQUIPAMENTO]*(1+orcCenario2[[#This Row],[BDI]]),SUMIFS(orcCenario2[CUSTO EQUIPAMENTO],orcCenario2['#],"&gt;"&amp;orcCenario2[[#This Row],['#]],orcCenario2['#],"&lt;"&amp;orcCenario2[[#This Row],['#]]+100))</f>
        <v>0</v>
      </c>
      <c r="P7" s="40">
        <f ca="1">SUM(orcCenario2[[#This Row],[CUSTO MÃO DE OBRA]:[CUSTO EQUIPAMENTO]])</f>
        <v>0</v>
      </c>
      <c r="Q7" s="64" t="str">
        <f ca="1">IF(orcCenario2[[#This Row],[QUANTIDADE]]=0,"Não","Sim")</f>
        <v>Não</v>
      </c>
    </row>
    <row r="8" spans="2:22" x14ac:dyDescent="0.25">
      <c r="B8" s="49">
        <v>104</v>
      </c>
      <c r="C8" s="49">
        <f ca="1">IF(orcCenario2[[#This Row],[DESCRIÇÃO]]="ESTACAS",100,IF(orcCenario2[[#This Row],[DESCRIÇÃO]]="BLOCO",200,orcCenario2[[#This Row],['#]]-COUNTIFS(orcCenario2[QUANTIDADE],0,orcCenario2['#],"&lt;"&amp;orcCenario2[[#This Row],['#]],orcCenario2['#],"&gt;"&amp;ROUNDDOWN(orcCenario2[[#This Row],['#]],-2))))</f>
        <v>102</v>
      </c>
      <c r="D8" s="1">
        <v>43366</v>
      </c>
      <c r="E8" s="39" t="str">
        <f>IF(orcCenario2[[#This Row],['#]]=100,"ESTACAS",IF(orcCenario2[[#This Row],['#]]=200,"BLOCO",INDEX(composicoes[],MATCH(orcCenario2[[#This Row],[CÓDIGO]],composicoes[CÓDIGO],0),MATCH(orcCenario2[[#Headers],[DESCRIÇÃO]],composicoes[#Headers],0))))</f>
        <v>BENTONITA, ARGILA CONSTITUIDA POR  MONTMORILONITA</v>
      </c>
      <c r="F8" s="1" t="str">
        <f>IFERROR(INDEX(composicoes[],MATCH(orcCenario2[[#This Row],[CÓDIGO]],composicoes[CÓDIGO],0),MATCH(orcCenario2[[#Headers],[UN.]],composicoes[#Headers],0)),"")</f>
        <v>KG</v>
      </c>
      <c r="G8" s="4">
        <f ca="1">IF(orcCenario2[[#This Row],[CÓDIGO]]="","",quantitativo(orcCenario2[[#This Row],[CÓDIGO]],orcCenario2[[#This Row],['#]],CENÁRIOS!$I$3,CENÁRIOS!$I$4,cenario2[]))</f>
        <v>10916.720311959161</v>
      </c>
      <c r="H8" s="40">
        <f>IFERROR(INDEX(composicoes[],MATCH(orcCenario2[[#This Row],[CÓDIGO]],composicoes[CÓDIGO],0),MATCH(orcCenario2[[#Headers],[ MÃO DE OBRA]],composicoes[#Headers],0)),"")</f>
        <v>0</v>
      </c>
      <c r="I8" s="40">
        <f>IFERROR(INDEX(composicoes[],MATCH(orcCenario2[[#This Row],[CÓDIGO]],composicoes[CÓDIGO],0),MATCH(orcCenario2[[#Headers],[MATERIAL]],composicoes[#Headers],0)),"")</f>
        <v>1.58</v>
      </c>
      <c r="J8" s="40">
        <f>IFERROR(INDEX(composicoes[],MATCH(orcCenario2[[#This Row],[CÓDIGO]],composicoes[CÓDIGO],0),MATCH(orcCenario2[[#Headers],[EQUIPAMENTO]],composicoes[#Headers],0)),"")</f>
        <v>0</v>
      </c>
      <c r="K8" s="40">
        <f>IF(orcCenario2[[#This Row],[ MÃO DE OBRA]]="","",SUM(orcCenario2[[#This Row],[ MÃO DE OBRA]:[EQUIPAMENTO]]))</f>
        <v>1.58</v>
      </c>
      <c r="L8" s="23">
        <f>IF(orcCenario2[[#This Row],[CUSTO UNITÁRIO]]="","",CENÁRIOS!$I$6)</f>
        <v>0.22</v>
      </c>
      <c r="M8" s="40">
        <f ca="1">IF(orcCenario2[[#This Row],[ MÃO DE OBRA]]&lt;&gt;"",orcCenario2[[#This Row],[QUANTIDADE]]*orcCenario2[[#This Row],[ MÃO DE OBRA]]*(1+orcCenario2[[#This Row],[BDI]]),SUMIFS(orcCenario2[CUSTO MÃO DE OBRA],orcCenario2['#],"&gt;"&amp;orcCenario2[[#This Row],['#]],orcCenario2['#],"&lt;"&amp;orcCenario2[[#This Row],['#]]+100))</f>
        <v>0</v>
      </c>
      <c r="N8" s="40">
        <f ca="1">IF(orcCenario2[[#This Row],[MATERIAL]]&lt;&gt;"",orcCenario2[[#This Row],[QUANTIDADE]]*orcCenario2[[#This Row],[MATERIAL]]*(1+orcCenario2[[#This Row],[BDI]]),SUMIFS(orcCenario2[CUSTO MATERIAL],orcCenario2['#],"&gt;"&amp;orcCenario2[[#This Row],['#]],orcCenario2['#],"&lt;"&amp;orcCenario2[[#This Row],['#]]+100))</f>
        <v>21043.070073332481</v>
      </c>
      <c r="O8" s="40">
        <f ca="1">IF(orcCenario2[EQUIPAMENTO]&lt;&gt;"",orcCenario2[[#This Row],[QUANTIDADE]]*orcCenario2[EQUIPAMENTO]*(1+orcCenario2[[#This Row],[BDI]]),SUMIFS(orcCenario2[CUSTO EQUIPAMENTO],orcCenario2['#],"&gt;"&amp;orcCenario2[[#This Row],['#]],orcCenario2['#],"&lt;"&amp;orcCenario2[[#This Row],['#]]+100))</f>
        <v>0</v>
      </c>
      <c r="P8" s="40">
        <f ca="1">SUM(orcCenario2[[#This Row],[CUSTO MÃO DE OBRA]:[CUSTO EQUIPAMENTO]])</f>
        <v>21043.070073332481</v>
      </c>
      <c r="Q8" s="64" t="str">
        <f ca="1">IF(orcCenario2[[#This Row],[QUANTIDADE]]=0,"Não","Sim")</f>
        <v>Sim</v>
      </c>
    </row>
    <row r="9" spans="2:22" hidden="1" x14ac:dyDescent="0.25">
      <c r="B9" s="49">
        <v>105</v>
      </c>
      <c r="C9" s="49">
        <f ca="1">IF(orcCenario2[[#This Row],[DESCRIÇÃO]]="ESTACAS",100,IF(orcCenario2[[#This Row],[DESCRIÇÃO]]="BLOCO",200,orcCenario2[[#This Row],['#]]-COUNTIFS(orcCenario2[QUANTIDADE],0,orcCenario2['#],"&lt;"&amp;orcCenario2[[#This Row],['#]],orcCenario2['#],"&gt;"&amp;ROUNDDOWN(orcCenario2[[#This Row],['#]],-2))))</f>
        <v>103</v>
      </c>
      <c r="D9" s="1">
        <v>95576</v>
      </c>
      <c r="E9" s="39" t="str">
        <f>IF(orcCenario2[[#This Row],['#]]=100,"ESTACAS",IF(orcCenario2[[#This Row],['#]]=200,"BLOCO",INDEX(composicoes[],MATCH(orcCenario2[[#This Row],[CÓDIGO]],composicoes[CÓDIGO],0),MATCH(orcCenario2[[#Headers],[DESCRIÇÃO]],composicoes[#Headers],0))))</f>
        <v>MONTAGEM DE ARMADURA DE ESTACAS, DIÂMETRO = 8,0 MM. AF_09/2021_PS</v>
      </c>
      <c r="F9" s="1" t="str">
        <f>IFERROR(INDEX(composicoes[],MATCH(orcCenario2[[#This Row],[CÓDIGO]],composicoes[CÓDIGO],0),MATCH(orcCenario2[[#Headers],[UN.]],composicoes[#Headers],0)),"")</f>
        <v>KG</v>
      </c>
      <c r="G9" s="4">
        <f ca="1">IF(orcCenario2[[#This Row],[CÓDIGO]]="","",quantitativo(orcCenario2[[#This Row],[CÓDIGO]],orcCenario2[[#This Row],['#]],CENÁRIOS!$I$3,CENÁRIOS!$I$4,cenario2[]))</f>
        <v>0</v>
      </c>
      <c r="H9" s="40">
        <f>IFERROR(INDEX(composicoes[],MATCH(orcCenario2[[#This Row],[CÓDIGO]],composicoes[CÓDIGO],0),MATCH(orcCenario2[[#Headers],[ MÃO DE OBRA]],composicoes[#Headers],0)),"")</f>
        <v>1.9</v>
      </c>
      <c r="I9" s="40">
        <f>IFERROR(INDEX(composicoes[],MATCH(orcCenario2[[#This Row],[CÓDIGO]],composicoes[CÓDIGO],0),MATCH(orcCenario2[[#Headers],[MATERIAL]],composicoes[#Headers],0)),"")</f>
        <v>11.38</v>
      </c>
      <c r="J9" s="40">
        <f>IFERROR(INDEX(composicoes[],MATCH(orcCenario2[[#This Row],[CÓDIGO]],composicoes[CÓDIGO],0),MATCH(orcCenario2[[#Headers],[EQUIPAMENTO]],composicoes[#Headers],0)),"")</f>
        <v>0</v>
      </c>
      <c r="K9" s="40">
        <f>IF(orcCenario2[[#This Row],[ MÃO DE OBRA]]="","",SUM(orcCenario2[[#This Row],[ MÃO DE OBRA]:[EQUIPAMENTO]]))</f>
        <v>13.280000000000001</v>
      </c>
      <c r="L9" s="23">
        <f>IF(orcCenario2[[#This Row],[CUSTO UNITÁRIO]]="","",CENÁRIOS!$I$6)</f>
        <v>0.22</v>
      </c>
      <c r="M9" s="40">
        <f ca="1">IF(orcCenario2[[#This Row],[ MÃO DE OBRA]]&lt;&gt;"",orcCenario2[[#This Row],[QUANTIDADE]]*orcCenario2[[#This Row],[ MÃO DE OBRA]]*(1+orcCenario2[[#This Row],[BDI]]),SUMIFS(orcCenario2[CUSTO MÃO DE OBRA],orcCenario2['#],"&gt;"&amp;orcCenario2[[#This Row],['#]],orcCenario2['#],"&lt;"&amp;orcCenario2[[#This Row],['#]]+100))</f>
        <v>0</v>
      </c>
      <c r="N9" s="40">
        <f ca="1">IF(orcCenario2[[#This Row],[MATERIAL]]&lt;&gt;"",orcCenario2[[#This Row],[QUANTIDADE]]*orcCenario2[[#This Row],[MATERIAL]]*(1+orcCenario2[[#This Row],[BDI]]),SUMIFS(orcCenario2[CUSTO MATERIAL],orcCenario2['#],"&gt;"&amp;orcCenario2[[#This Row],['#]],orcCenario2['#],"&lt;"&amp;orcCenario2[[#This Row],['#]]+100))</f>
        <v>0</v>
      </c>
      <c r="O9" s="40">
        <f ca="1">IF(orcCenario2[EQUIPAMENTO]&lt;&gt;"",orcCenario2[[#This Row],[QUANTIDADE]]*orcCenario2[EQUIPAMENTO]*(1+orcCenario2[[#This Row],[BDI]]),SUMIFS(orcCenario2[CUSTO EQUIPAMENTO],orcCenario2['#],"&gt;"&amp;orcCenario2[[#This Row],['#]],orcCenario2['#],"&lt;"&amp;orcCenario2[[#This Row],['#]]+100))</f>
        <v>0</v>
      </c>
      <c r="P9" s="40">
        <f ca="1">SUM(orcCenario2[[#This Row],[CUSTO MÃO DE OBRA]:[CUSTO EQUIPAMENTO]])</f>
        <v>0</v>
      </c>
      <c r="Q9" s="64" t="str">
        <f ca="1">IF(orcCenario2[[#This Row],[QUANTIDADE]]=0,"Não","Sim")</f>
        <v>Não</v>
      </c>
    </row>
    <row r="10" spans="2:22" hidden="1" x14ac:dyDescent="0.25">
      <c r="B10" s="49">
        <v>106</v>
      </c>
      <c r="C10" s="49">
        <f ca="1">IF(orcCenario2[[#This Row],[DESCRIÇÃO]]="ESTACAS",100,IF(orcCenario2[[#This Row],[DESCRIÇÃO]]="BLOCO",200,orcCenario2[[#This Row],['#]]-COUNTIFS(orcCenario2[QUANTIDADE],0,orcCenario2['#],"&lt;"&amp;orcCenario2[[#This Row],['#]],orcCenario2['#],"&gt;"&amp;ROUNDDOWN(orcCenario2[[#This Row],['#]],-2))))</f>
        <v>103</v>
      </c>
      <c r="D10" s="1">
        <v>95577</v>
      </c>
      <c r="E10" s="39" t="str">
        <f>IF(orcCenario2[[#This Row],['#]]=100,"ESTACAS",IF(orcCenario2[[#This Row],['#]]=200,"BLOCO",INDEX(composicoes[],MATCH(orcCenario2[[#This Row],[CÓDIGO]],composicoes[CÓDIGO],0),MATCH(orcCenario2[[#Headers],[DESCRIÇÃO]],composicoes[#Headers],0))))</f>
        <v>MONTAGEM DE ARMADURA DE ESTACAS, DIÂMETRO = 10,0 MM. AF_09/2021_PS</v>
      </c>
      <c r="F10" s="1" t="str">
        <f>IFERROR(INDEX(composicoes[],MATCH(orcCenario2[[#This Row],[CÓDIGO]],composicoes[CÓDIGO],0),MATCH(orcCenario2[[#Headers],[UN.]],composicoes[#Headers],0)),"")</f>
        <v>KG</v>
      </c>
      <c r="G10" s="4">
        <f ca="1">IF(orcCenario2[[#This Row],[CÓDIGO]]="","",quantitativo(orcCenario2[[#This Row],[CÓDIGO]],orcCenario2[[#This Row],['#]],CENÁRIOS!$I$3,CENÁRIOS!$I$4,cenario2[]))</f>
        <v>0</v>
      </c>
      <c r="H10" s="40">
        <f>IFERROR(INDEX(composicoes[],MATCH(orcCenario2[[#This Row],[CÓDIGO]],composicoes[CÓDIGO],0),MATCH(orcCenario2[[#Headers],[ MÃO DE OBRA]],composicoes[#Headers],0)),"")</f>
        <v>0.91</v>
      </c>
      <c r="I10" s="40">
        <f>IFERROR(INDEX(composicoes[],MATCH(orcCenario2[[#This Row],[CÓDIGO]],composicoes[CÓDIGO],0),MATCH(orcCenario2[[#Headers],[MATERIAL]],composicoes[#Headers],0)),"")</f>
        <v>10.38</v>
      </c>
      <c r="J10" s="40">
        <f>IFERROR(INDEX(composicoes[],MATCH(orcCenario2[[#This Row],[CÓDIGO]],composicoes[CÓDIGO],0),MATCH(orcCenario2[[#Headers],[EQUIPAMENTO]],composicoes[#Headers],0)),"")</f>
        <v>0</v>
      </c>
      <c r="K10" s="40">
        <f>IF(orcCenario2[[#This Row],[ MÃO DE OBRA]]="","",SUM(orcCenario2[[#This Row],[ MÃO DE OBRA]:[EQUIPAMENTO]]))</f>
        <v>11.290000000000001</v>
      </c>
      <c r="L10" s="23">
        <f>IF(orcCenario2[[#This Row],[CUSTO UNITÁRIO]]="","",CENÁRIOS!$I$6)</f>
        <v>0.22</v>
      </c>
      <c r="M10" s="40">
        <f ca="1">IF(orcCenario2[[#This Row],[ MÃO DE OBRA]]&lt;&gt;"",orcCenario2[[#This Row],[QUANTIDADE]]*orcCenario2[[#This Row],[ MÃO DE OBRA]]*(1+orcCenario2[[#This Row],[BDI]]),SUMIFS(orcCenario2[CUSTO MÃO DE OBRA],orcCenario2['#],"&gt;"&amp;orcCenario2[[#This Row],['#]],orcCenario2['#],"&lt;"&amp;orcCenario2[[#This Row],['#]]+100))</f>
        <v>0</v>
      </c>
      <c r="N10" s="40">
        <f ca="1">IF(orcCenario2[[#This Row],[MATERIAL]]&lt;&gt;"",orcCenario2[[#This Row],[QUANTIDADE]]*orcCenario2[[#This Row],[MATERIAL]]*(1+orcCenario2[[#This Row],[BDI]]),SUMIFS(orcCenario2[CUSTO MATERIAL],orcCenario2['#],"&gt;"&amp;orcCenario2[[#This Row],['#]],orcCenario2['#],"&lt;"&amp;orcCenario2[[#This Row],['#]]+100))</f>
        <v>0</v>
      </c>
      <c r="O10" s="40">
        <f ca="1">IF(orcCenario2[EQUIPAMENTO]&lt;&gt;"",orcCenario2[[#This Row],[QUANTIDADE]]*orcCenario2[EQUIPAMENTO]*(1+orcCenario2[[#This Row],[BDI]]),SUMIFS(orcCenario2[CUSTO EQUIPAMENTO],orcCenario2['#],"&gt;"&amp;orcCenario2[[#This Row],['#]],orcCenario2['#],"&lt;"&amp;orcCenario2[[#This Row],['#]]+100))</f>
        <v>0</v>
      </c>
      <c r="P10" s="40">
        <f ca="1">SUM(orcCenario2[[#This Row],[CUSTO MÃO DE OBRA]:[CUSTO EQUIPAMENTO]])</f>
        <v>0</v>
      </c>
      <c r="Q10" s="64" t="str">
        <f ca="1">IF(orcCenario2[[#This Row],[QUANTIDADE]]=0,"Não","Sim")</f>
        <v>Não</v>
      </c>
    </row>
    <row r="11" spans="2:22" hidden="1" x14ac:dyDescent="0.25">
      <c r="B11" s="49">
        <v>107</v>
      </c>
      <c r="C11" s="49">
        <f ca="1">IF(orcCenario2[[#This Row],[DESCRIÇÃO]]="ESTACAS",100,IF(orcCenario2[[#This Row],[DESCRIÇÃO]]="BLOCO",200,orcCenario2[[#This Row],['#]]-COUNTIFS(orcCenario2[QUANTIDADE],0,orcCenario2['#],"&lt;"&amp;orcCenario2[[#This Row],['#]],orcCenario2['#],"&gt;"&amp;ROUNDDOWN(orcCenario2[[#This Row],['#]],-2))))</f>
        <v>103</v>
      </c>
      <c r="D11" s="1">
        <v>95578</v>
      </c>
      <c r="E11" s="39" t="str">
        <f>IF(orcCenario2[[#This Row],['#]]=100,"ESTACAS",IF(orcCenario2[[#This Row],['#]]=200,"BLOCO",INDEX(composicoes[],MATCH(orcCenario2[[#This Row],[CÓDIGO]],composicoes[CÓDIGO],0),MATCH(orcCenario2[[#Headers],[DESCRIÇÃO]],composicoes[#Headers],0))))</f>
        <v>MONTAGEM DE ARMADURA DE ESTACAS, DIÂMETRO = 12,5 MM. AF_09/2021_PS</v>
      </c>
      <c r="F11" s="1" t="str">
        <f>IFERROR(INDEX(composicoes[],MATCH(orcCenario2[[#This Row],[CÓDIGO]],composicoes[CÓDIGO],0),MATCH(orcCenario2[[#Headers],[UN.]],composicoes[#Headers],0)),"")</f>
        <v>KG</v>
      </c>
      <c r="G11" s="4">
        <f ca="1">IF(orcCenario2[[#This Row],[CÓDIGO]]="","",quantitativo(orcCenario2[[#This Row],[CÓDIGO]],orcCenario2[[#This Row],['#]],CENÁRIOS!$I$3,CENÁRIOS!$I$4,cenario2[]))</f>
        <v>0</v>
      </c>
      <c r="H11" s="40">
        <f>IFERROR(INDEX(composicoes[],MATCH(orcCenario2[[#This Row],[CÓDIGO]],composicoes[CÓDIGO],0),MATCH(orcCenario2[[#Headers],[ MÃO DE OBRA]],composicoes[#Headers],0)),"")</f>
        <v>0.48</v>
      </c>
      <c r="I11" s="40">
        <f>IFERROR(INDEX(composicoes[],MATCH(orcCenario2[[#This Row],[CÓDIGO]],composicoes[CÓDIGO],0),MATCH(orcCenario2[[#Headers],[MATERIAL]],composicoes[#Headers],0)),"")</f>
        <v>8.93</v>
      </c>
      <c r="J11" s="40">
        <f>IFERROR(INDEX(composicoes[],MATCH(orcCenario2[[#This Row],[CÓDIGO]],composicoes[CÓDIGO],0),MATCH(orcCenario2[[#Headers],[EQUIPAMENTO]],composicoes[#Headers],0)),"")</f>
        <v>0</v>
      </c>
      <c r="K11" s="40">
        <f>IF(orcCenario2[[#This Row],[ MÃO DE OBRA]]="","",SUM(orcCenario2[[#This Row],[ MÃO DE OBRA]:[EQUIPAMENTO]]))</f>
        <v>9.41</v>
      </c>
      <c r="L11" s="23">
        <f>IF(orcCenario2[[#This Row],[CUSTO UNITÁRIO]]="","",CENÁRIOS!$I$6)</f>
        <v>0.22</v>
      </c>
      <c r="M11" s="40">
        <f ca="1">IF(orcCenario2[[#This Row],[ MÃO DE OBRA]]&lt;&gt;"",orcCenario2[[#This Row],[QUANTIDADE]]*orcCenario2[[#This Row],[ MÃO DE OBRA]]*(1+orcCenario2[[#This Row],[BDI]]),SUMIFS(orcCenario2[CUSTO MÃO DE OBRA],orcCenario2['#],"&gt;"&amp;orcCenario2[[#This Row],['#]],orcCenario2['#],"&lt;"&amp;orcCenario2[[#This Row],['#]]+100))</f>
        <v>0</v>
      </c>
      <c r="N11" s="40">
        <f ca="1">IF(orcCenario2[[#This Row],[MATERIAL]]&lt;&gt;"",orcCenario2[[#This Row],[QUANTIDADE]]*orcCenario2[[#This Row],[MATERIAL]]*(1+orcCenario2[[#This Row],[BDI]]),SUMIFS(orcCenario2[CUSTO MATERIAL],orcCenario2['#],"&gt;"&amp;orcCenario2[[#This Row],['#]],orcCenario2['#],"&lt;"&amp;orcCenario2[[#This Row],['#]]+100))</f>
        <v>0</v>
      </c>
      <c r="O11" s="40">
        <f ca="1">IF(orcCenario2[EQUIPAMENTO]&lt;&gt;"",orcCenario2[[#This Row],[QUANTIDADE]]*orcCenario2[EQUIPAMENTO]*(1+orcCenario2[[#This Row],[BDI]]),SUMIFS(orcCenario2[CUSTO EQUIPAMENTO],orcCenario2['#],"&gt;"&amp;orcCenario2[[#This Row],['#]],orcCenario2['#],"&lt;"&amp;orcCenario2[[#This Row],['#]]+100))</f>
        <v>0</v>
      </c>
      <c r="P11" s="40">
        <f ca="1">SUM(orcCenario2[[#This Row],[CUSTO MÃO DE OBRA]:[CUSTO EQUIPAMENTO]])</f>
        <v>0</v>
      </c>
      <c r="Q11" s="64" t="str">
        <f ca="1">IF(orcCenario2[[#This Row],[QUANTIDADE]]=0,"Não","Sim")</f>
        <v>Não</v>
      </c>
    </row>
    <row r="12" spans="2:22" x14ac:dyDescent="0.25">
      <c r="B12" s="49">
        <v>108</v>
      </c>
      <c r="C12" s="49">
        <f ca="1">IF(orcCenario2[[#This Row],[DESCRIÇÃO]]="ESTACAS",100,IF(orcCenario2[[#This Row],[DESCRIÇÃO]]="BLOCO",200,orcCenario2[[#This Row],['#]]-COUNTIFS(orcCenario2[QUANTIDADE],0,orcCenario2['#],"&lt;"&amp;orcCenario2[[#This Row],['#]],orcCenario2['#],"&gt;"&amp;ROUNDDOWN(orcCenario2[[#This Row],['#]],-2))))</f>
        <v>103</v>
      </c>
      <c r="D12" s="1">
        <v>95579</v>
      </c>
      <c r="E12" s="39" t="str">
        <f>IF(orcCenario2[[#This Row],['#]]=100,"ESTACAS",IF(orcCenario2[[#This Row],['#]]=200,"BLOCO",INDEX(composicoes[],MATCH(orcCenario2[[#This Row],[CÓDIGO]],composicoes[CÓDIGO],0),MATCH(orcCenario2[[#Headers],[DESCRIÇÃO]],composicoes[#Headers],0))))</f>
        <v>MONTAGEM DE ARMADURA DE ESTACAS, DIÂMETRO = 16,0 MM. AF_09/2021_PS</v>
      </c>
      <c r="F12" s="1" t="str">
        <f>IFERROR(INDEX(composicoes[],MATCH(orcCenario2[[#This Row],[CÓDIGO]],composicoes[CÓDIGO],0),MATCH(orcCenario2[[#Headers],[UN.]],composicoes[#Headers],0)),"")</f>
        <v>KG</v>
      </c>
      <c r="G12" s="4">
        <f ca="1">IF(orcCenario2[[#This Row],[CÓDIGO]]="","",quantitativo(orcCenario2[[#This Row],[CÓDIGO]],orcCenario2[[#This Row],['#]],CENÁRIOS!$I$3,CENÁRIOS!$I$4,cenario2[]))</f>
        <v>75.760135159848502</v>
      </c>
      <c r="H12" s="40">
        <f>IFERROR(INDEX(composicoes[],MATCH(orcCenario2[[#This Row],[CÓDIGO]],composicoes[CÓDIGO],0),MATCH(orcCenario2[[#Headers],[ MÃO DE OBRA]],composicoes[#Headers],0)),"")</f>
        <v>0.3</v>
      </c>
      <c r="I12" s="40">
        <f>IFERROR(INDEX(composicoes[],MATCH(orcCenario2[[#This Row],[CÓDIGO]],composicoes[CÓDIGO],0),MATCH(orcCenario2[[#Headers],[MATERIAL]],composicoes[#Headers],0)),"")</f>
        <v>8.7899999999999991</v>
      </c>
      <c r="J12" s="40">
        <f>IFERROR(INDEX(composicoes[],MATCH(orcCenario2[[#This Row],[CÓDIGO]],composicoes[CÓDIGO],0),MATCH(orcCenario2[[#Headers],[EQUIPAMENTO]],composicoes[#Headers],0)),"")</f>
        <v>0</v>
      </c>
      <c r="K12" s="40">
        <f>IF(orcCenario2[[#This Row],[ MÃO DE OBRA]]="","",SUM(orcCenario2[[#This Row],[ MÃO DE OBRA]:[EQUIPAMENTO]]))</f>
        <v>9.09</v>
      </c>
      <c r="L12" s="23">
        <f>IF(orcCenario2[[#This Row],[CUSTO UNITÁRIO]]="","",CENÁRIOS!$I$6)</f>
        <v>0.22</v>
      </c>
      <c r="M12" s="40">
        <f ca="1">IF(orcCenario2[[#This Row],[ MÃO DE OBRA]]&lt;&gt;"",orcCenario2[[#This Row],[QUANTIDADE]]*orcCenario2[[#This Row],[ MÃO DE OBRA]]*(1+orcCenario2[[#This Row],[BDI]]),SUMIFS(orcCenario2[CUSTO MÃO DE OBRA],orcCenario2['#],"&gt;"&amp;orcCenario2[[#This Row],['#]],orcCenario2['#],"&lt;"&amp;orcCenario2[[#This Row],['#]]+100))</f>
        <v>27.728209468504549</v>
      </c>
      <c r="N12" s="40">
        <f ca="1">IF(orcCenario2[[#This Row],[MATERIAL]]&lt;&gt;"",orcCenario2[[#This Row],[QUANTIDADE]]*orcCenario2[[#This Row],[MATERIAL]]*(1+orcCenario2[[#This Row],[BDI]]),SUMIFS(orcCenario2[CUSTO MATERIAL],orcCenario2['#],"&gt;"&amp;orcCenario2[[#This Row],['#]],orcCenario2['#],"&lt;"&amp;orcCenario2[[#This Row],['#]]+100))</f>
        <v>812.43653742718323</v>
      </c>
      <c r="O12" s="40">
        <f ca="1">IF(orcCenario2[EQUIPAMENTO]&lt;&gt;"",orcCenario2[[#This Row],[QUANTIDADE]]*orcCenario2[EQUIPAMENTO]*(1+orcCenario2[[#This Row],[BDI]]),SUMIFS(orcCenario2[CUSTO EQUIPAMENTO],orcCenario2['#],"&gt;"&amp;orcCenario2[[#This Row],['#]],orcCenario2['#],"&lt;"&amp;orcCenario2[[#This Row],['#]]+100))</f>
        <v>0</v>
      </c>
      <c r="P12" s="40">
        <f ca="1">SUM(orcCenario2[[#This Row],[CUSTO MÃO DE OBRA]:[CUSTO EQUIPAMENTO]])</f>
        <v>840.16474689568781</v>
      </c>
      <c r="Q12" s="64" t="str">
        <f ca="1">IF(orcCenario2[[#This Row],[QUANTIDADE]]=0,"Não","Sim")</f>
        <v>Sim</v>
      </c>
    </row>
    <row r="13" spans="2:22" hidden="1" x14ac:dyDescent="0.25">
      <c r="B13" s="49">
        <v>109</v>
      </c>
      <c r="C13" s="49">
        <f ca="1">IF(orcCenario2[[#This Row],[DESCRIÇÃO]]="ESTACAS",100,IF(orcCenario2[[#This Row],[DESCRIÇÃO]]="BLOCO",200,orcCenario2[[#This Row],['#]]-COUNTIFS(orcCenario2[QUANTIDADE],0,orcCenario2['#],"&lt;"&amp;orcCenario2[[#This Row],['#]],orcCenario2['#],"&gt;"&amp;ROUNDDOWN(orcCenario2[[#This Row],['#]],-2))))</f>
        <v>104</v>
      </c>
      <c r="D13" s="1">
        <v>95580</v>
      </c>
      <c r="E13" s="39" t="str">
        <f>IF(orcCenario2[[#This Row],['#]]=100,"ESTACAS",IF(orcCenario2[[#This Row],['#]]=200,"BLOCO",INDEX(composicoes[],MATCH(orcCenario2[[#This Row],[CÓDIGO]],composicoes[CÓDIGO],0),MATCH(orcCenario2[[#Headers],[DESCRIÇÃO]],composicoes[#Headers],0))))</f>
        <v>MONTAGEM DE ARMADURA DE ESTACAS, DIÂMETRO = 20,0 MM. AF_09/2021_PS</v>
      </c>
      <c r="F13" s="1" t="str">
        <f>IFERROR(INDEX(composicoes[],MATCH(orcCenario2[[#This Row],[CÓDIGO]],composicoes[CÓDIGO],0),MATCH(orcCenario2[[#Headers],[UN.]],composicoes[#Headers],0)),"")</f>
        <v>KG</v>
      </c>
      <c r="G13" s="4">
        <f ca="1">IF(orcCenario2[[#This Row],[CÓDIGO]]="","",quantitativo(orcCenario2[[#This Row],[CÓDIGO]],orcCenario2[[#This Row],['#]],CENÁRIOS!$I$3,CENÁRIOS!$I$4,cenario2[]))</f>
        <v>0</v>
      </c>
      <c r="H13" s="40">
        <f>IFERROR(INDEX(composicoes[],MATCH(orcCenario2[[#This Row],[CÓDIGO]],composicoes[CÓDIGO],0),MATCH(orcCenario2[[#Headers],[ MÃO DE OBRA]],composicoes[#Headers],0)),"")</f>
        <v>0.21</v>
      </c>
      <c r="I13" s="40">
        <f>IFERROR(INDEX(composicoes[],MATCH(orcCenario2[[#This Row],[CÓDIGO]],composicoes[CÓDIGO],0),MATCH(orcCenario2[[#Headers],[MATERIAL]],composicoes[#Headers],0)),"")</f>
        <v>10.25</v>
      </c>
      <c r="J13" s="40">
        <f>IFERROR(INDEX(composicoes[],MATCH(orcCenario2[[#This Row],[CÓDIGO]],composicoes[CÓDIGO],0),MATCH(orcCenario2[[#Headers],[EQUIPAMENTO]],composicoes[#Headers],0)),"")</f>
        <v>0</v>
      </c>
      <c r="K13" s="40">
        <f>IF(orcCenario2[[#This Row],[ MÃO DE OBRA]]="","",SUM(orcCenario2[[#This Row],[ MÃO DE OBRA]:[EQUIPAMENTO]]))</f>
        <v>10.46</v>
      </c>
      <c r="L13" s="23">
        <f>IF(orcCenario2[[#This Row],[CUSTO UNITÁRIO]]="","",CENÁRIOS!$I$6)</f>
        <v>0.22</v>
      </c>
      <c r="M13" s="40">
        <f ca="1">IF(orcCenario2[[#This Row],[ MÃO DE OBRA]]&lt;&gt;"",orcCenario2[[#This Row],[QUANTIDADE]]*orcCenario2[[#This Row],[ MÃO DE OBRA]]*(1+orcCenario2[[#This Row],[BDI]]),SUMIFS(orcCenario2[CUSTO MÃO DE OBRA],orcCenario2['#],"&gt;"&amp;orcCenario2[[#This Row],['#]],orcCenario2['#],"&lt;"&amp;orcCenario2[[#This Row],['#]]+100))</f>
        <v>0</v>
      </c>
      <c r="N13" s="40">
        <f ca="1">IF(orcCenario2[[#This Row],[MATERIAL]]&lt;&gt;"",orcCenario2[[#This Row],[QUANTIDADE]]*orcCenario2[[#This Row],[MATERIAL]]*(1+orcCenario2[[#This Row],[BDI]]),SUMIFS(orcCenario2[CUSTO MATERIAL],orcCenario2['#],"&gt;"&amp;orcCenario2[[#This Row],['#]],orcCenario2['#],"&lt;"&amp;orcCenario2[[#This Row],['#]]+100))</f>
        <v>0</v>
      </c>
      <c r="O13" s="40">
        <f ca="1">IF(orcCenario2[EQUIPAMENTO]&lt;&gt;"",orcCenario2[[#This Row],[QUANTIDADE]]*orcCenario2[EQUIPAMENTO]*(1+orcCenario2[[#This Row],[BDI]]),SUMIFS(orcCenario2[CUSTO EQUIPAMENTO],orcCenario2['#],"&gt;"&amp;orcCenario2[[#This Row],['#]],orcCenario2['#],"&lt;"&amp;orcCenario2[[#This Row],['#]]+100))</f>
        <v>0</v>
      </c>
      <c r="P13" s="40">
        <f ca="1">SUM(orcCenario2[[#This Row],[CUSTO MÃO DE OBRA]:[CUSTO EQUIPAMENTO]])</f>
        <v>0</v>
      </c>
      <c r="Q13" s="64" t="str">
        <f ca="1">IF(orcCenario2[[#This Row],[QUANTIDADE]]=0,"Não","Sim")</f>
        <v>Não</v>
      </c>
    </row>
    <row r="14" spans="2:22" hidden="1" x14ac:dyDescent="0.25">
      <c r="B14" s="49">
        <v>110</v>
      </c>
      <c r="C14" s="49">
        <f ca="1">IF(orcCenario2[[#This Row],[DESCRIÇÃO]]="ESTACAS",100,IF(orcCenario2[[#This Row],[DESCRIÇÃO]]="BLOCO",200,orcCenario2[[#This Row],['#]]-COUNTIFS(orcCenario2[QUANTIDADE],0,orcCenario2['#],"&lt;"&amp;orcCenario2[[#This Row],['#]],orcCenario2['#],"&gt;"&amp;ROUNDDOWN(orcCenario2[[#This Row],['#]],-2))))</f>
        <v>104</v>
      </c>
      <c r="D14" s="1">
        <v>95581</v>
      </c>
      <c r="E14" s="39" t="str">
        <f>IF(orcCenario2[[#This Row],['#]]=100,"ESTACAS",IF(orcCenario2[[#This Row],['#]]=200,"BLOCO",INDEX(composicoes[],MATCH(orcCenario2[[#This Row],[CÓDIGO]],composicoes[CÓDIGO],0),MATCH(orcCenario2[[#Headers],[DESCRIÇÃO]],composicoes[#Headers],0))))</f>
        <v>MONTAGEM DE ARMADURA DE ESTACAS, DIÂMETRO = 25,0 MM. AF_09/2021_PS</v>
      </c>
      <c r="F14" s="1" t="str">
        <f>IFERROR(INDEX(composicoes[],MATCH(orcCenario2[[#This Row],[CÓDIGO]],composicoes[CÓDIGO],0),MATCH(orcCenario2[[#Headers],[UN.]],composicoes[#Headers],0)),"")</f>
        <v>KG</v>
      </c>
      <c r="G14" s="4">
        <f ca="1">IF(orcCenario2[[#This Row],[CÓDIGO]]="","",quantitativo(orcCenario2[[#This Row],[CÓDIGO]],orcCenario2[[#This Row],['#]],CENÁRIOS!$I$3,CENÁRIOS!$I$4,cenario2[]))</f>
        <v>0</v>
      </c>
      <c r="H14" s="40">
        <f>IFERROR(INDEX(composicoes[],MATCH(orcCenario2[[#This Row],[CÓDIGO]],composicoes[CÓDIGO],0),MATCH(orcCenario2[[#Headers],[ MÃO DE OBRA]],composicoes[#Headers],0)),"")</f>
        <v>0.2</v>
      </c>
      <c r="I14" s="40">
        <f>IFERROR(INDEX(composicoes[],MATCH(orcCenario2[[#This Row],[CÓDIGO]],composicoes[CÓDIGO],0),MATCH(orcCenario2[[#Headers],[MATERIAL]],composicoes[#Headers],0)),"")</f>
        <v>10.23</v>
      </c>
      <c r="J14" s="40">
        <f>IFERROR(INDEX(composicoes[],MATCH(orcCenario2[[#This Row],[CÓDIGO]],composicoes[CÓDIGO],0),MATCH(orcCenario2[[#Headers],[EQUIPAMENTO]],composicoes[#Headers],0)),"")</f>
        <v>0</v>
      </c>
      <c r="K14" s="40">
        <f>IF(orcCenario2[[#This Row],[ MÃO DE OBRA]]="","",SUM(orcCenario2[[#This Row],[ MÃO DE OBRA]:[EQUIPAMENTO]]))</f>
        <v>10.43</v>
      </c>
      <c r="L14" s="23">
        <f>IF(orcCenario2[[#This Row],[CUSTO UNITÁRIO]]="","",CENÁRIOS!$I$6)</f>
        <v>0.22</v>
      </c>
      <c r="M14" s="40">
        <f ca="1">IF(orcCenario2[[#This Row],[ MÃO DE OBRA]]&lt;&gt;"",orcCenario2[[#This Row],[QUANTIDADE]]*orcCenario2[[#This Row],[ MÃO DE OBRA]]*(1+orcCenario2[[#This Row],[BDI]]),SUMIFS(orcCenario2[CUSTO MÃO DE OBRA],orcCenario2['#],"&gt;"&amp;orcCenario2[[#This Row],['#]],orcCenario2['#],"&lt;"&amp;orcCenario2[[#This Row],['#]]+100))</f>
        <v>0</v>
      </c>
      <c r="N14" s="40">
        <f ca="1">IF(orcCenario2[[#This Row],[MATERIAL]]&lt;&gt;"",orcCenario2[[#This Row],[QUANTIDADE]]*orcCenario2[[#This Row],[MATERIAL]]*(1+orcCenario2[[#This Row],[BDI]]),SUMIFS(orcCenario2[CUSTO MATERIAL],orcCenario2['#],"&gt;"&amp;orcCenario2[[#This Row],['#]],orcCenario2['#],"&lt;"&amp;orcCenario2[[#This Row],['#]]+100))</f>
        <v>0</v>
      </c>
      <c r="O14" s="40">
        <f ca="1">IF(orcCenario2[EQUIPAMENTO]&lt;&gt;"",orcCenario2[[#This Row],[QUANTIDADE]]*orcCenario2[EQUIPAMENTO]*(1+orcCenario2[[#This Row],[BDI]]),SUMIFS(orcCenario2[CUSTO EQUIPAMENTO],orcCenario2['#],"&gt;"&amp;orcCenario2[[#This Row],['#]],orcCenario2['#],"&lt;"&amp;orcCenario2[[#This Row],['#]]+100))</f>
        <v>0</v>
      </c>
      <c r="P14" s="40">
        <f ca="1">SUM(orcCenario2[[#This Row],[CUSTO MÃO DE OBRA]:[CUSTO EQUIPAMENTO]])</f>
        <v>0</v>
      </c>
      <c r="Q14" s="64" t="str">
        <f ca="1">IF(orcCenario2[[#This Row],[QUANTIDADE]]=0,"Não","Sim")</f>
        <v>Não</v>
      </c>
    </row>
    <row r="15" spans="2:22" hidden="1" x14ac:dyDescent="0.25">
      <c r="B15" s="49">
        <v>111</v>
      </c>
      <c r="C15" s="49">
        <f ca="1">IF(orcCenario2[[#This Row],[DESCRIÇÃO]]="ESTACAS",100,IF(orcCenario2[[#This Row],[DESCRIÇÃO]]="BLOCO",200,orcCenario2[[#This Row],['#]]-COUNTIFS(orcCenario2[QUANTIDADE],0,orcCenario2['#],"&lt;"&amp;orcCenario2[[#This Row],['#]],orcCenario2['#],"&gt;"&amp;ROUNDDOWN(orcCenario2[[#This Row],['#]],-2))))</f>
        <v>104</v>
      </c>
      <c r="D15" s="1">
        <v>95582</v>
      </c>
      <c r="E15" s="39" t="str">
        <f>IF(orcCenario2[[#This Row],['#]]=100,"ESTACAS",IF(orcCenario2[[#This Row],['#]]=200,"BLOCO",INDEX(composicoes[],MATCH(orcCenario2[[#This Row],[CÓDIGO]],composicoes[CÓDIGO],0),MATCH(orcCenario2[[#Headers],[DESCRIÇÃO]],composicoes[#Headers],0))))</f>
        <v>MONTAGEM DE ARMADURA DE ESTACAS, DIÂMETRO = 32,0 MM. AF_09/2021_PE</v>
      </c>
      <c r="F15" s="1" t="str">
        <f>IFERROR(INDEX(composicoes[],MATCH(orcCenario2[[#This Row],[CÓDIGO]],composicoes[CÓDIGO],0),MATCH(orcCenario2[[#Headers],[UN.]],composicoes[#Headers],0)),"")</f>
        <v>KG</v>
      </c>
      <c r="G15" s="4">
        <f ca="1">IF(orcCenario2[[#This Row],[CÓDIGO]]="","",quantitativo(orcCenario2[[#This Row],[CÓDIGO]],orcCenario2[[#This Row],['#]],CENÁRIOS!$I$3,CENÁRIOS!$I$4,cenario2[]))</f>
        <v>0</v>
      </c>
      <c r="H15" s="40">
        <f>IFERROR(INDEX(composicoes[],MATCH(orcCenario2[[#This Row],[CÓDIGO]],composicoes[CÓDIGO],0),MATCH(orcCenario2[[#Headers],[ MÃO DE OBRA]],composicoes[#Headers],0)),"")</f>
        <v>0.18</v>
      </c>
      <c r="I15" s="40">
        <f>IFERROR(INDEX(composicoes[],MATCH(orcCenario2[[#This Row],[CÓDIGO]],composicoes[CÓDIGO],0),MATCH(orcCenario2[[#Headers],[MATERIAL]],composicoes[#Headers],0)),"")</f>
        <v>11.15</v>
      </c>
      <c r="J15" s="40">
        <f>IFERROR(INDEX(composicoes[],MATCH(orcCenario2[[#This Row],[CÓDIGO]],composicoes[CÓDIGO],0),MATCH(orcCenario2[[#Headers],[EQUIPAMENTO]],composicoes[#Headers],0)),"")</f>
        <v>0</v>
      </c>
      <c r="K15" s="40">
        <f>IF(orcCenario2[[#This Row],[ MÃO DE OBRA]]="","",SUM(orcCenario2[[#This Row],[ MÃO DE OBRA]:[EQUIPAMENTO]]))</f>
        <v>11.33</v>
      </c>
      <c r="L15" s="23">
        <f>IF(orcCenario2[[#This Row],[CUSTO UNITÁRIO]]="","",CENÁRIOS!$I$6)</f>
        <v>0.22</v>
      </c>
      <c r="M15" s="40">
        <f ca="1">IF(orcCenario2[[#This Row],[ MÃO DE OBRA]]&lt;&gt;"",orcCenario2[[#This Row],[QUANTIDADE]]*orcCenario2[[#This Row],[ MÃO DE OBRA]]*(1+orcCenario2[[#This Row],[BDI]]),SUMIFS(orcCenario2[CUSTO MÃO DE OBRA],orcCenario2['#],"&gt;"&amp;orcCenario2[[#This Row],['#]],orcCenario2['#],"&lt;"&amp;orcCenario2[[#This Row],['#]]+100))</f>
        <v>0</v>
      </c>
      <c r="N15" s="40">
        <f ca="1">IF(orcCenario2[[#This Row],[MATERIAL]]&lt;&gt;"",orcCenario2[[#This Row],[QUANTIDADE]]*orcCenario2[[#This Row],[MATERIAL]]*(1+orcCenario2[[#This Row],[BDI]]),SUMIFS(orcCenario2[CUSTO MATERIAL],orcCenario2['#],"&gt;"&amp;orcCenario2[[#This Row],['#]],orcCenario2['#],"&lt;"&amp;orcCenario2[[#This Row],['#]]+100))</f>
        <v>0</v>
      </c>
      <c r="O15" s="40">
        <f ca="1">IF(orcCenario2[EQUIPAMENTO]&lt;&gt;"",orcCenario2[[#This Row],[QUANTIDADE]]*orcCenario2[EQUIPAMENTO]*(1+orcCenario2[[#This Row],[BDI]]),SUMIFS(orcCenario2[CUSTO EQUIPAMENTO],orcCenario2['#],"&gt;"&amp;orcCenario2[[#This Row],['#]],orcCenario2['#],"&lt;"&amp;orcCenario2[[#This Row],['#]]+100))</f>
        <v>0</v>
      </c>
      <c r="P15" s="40">
        <f ca="1">SUM(orcCenario2[[#This Row],[CUSTO MÃO DE OBRA]:[CUSTO EQUIPAMENTO]])</f>
        <v>0</v>
      </c>
      <c r="Q15" s="64" t="str">
        <f ca="1">IF(orcCenario2[[#This Row],[QUANTIDADE]]=0,"Não","Sim")</f>
        <v>Não</v>
      </c>
    </row>
    <row r="16" spans="2:22" ht="30" x14ac:dyDescent="0.25">
      <c r="B16" s="49">
        <v>112</v>
      </c>
      <c r="C16" s="49">
        <f ca="1">IF(orcCenario2[[#This Row],[DESCRIÇÃO]]="ESTACAS",100,IF(orcCenario2[[#This Row],[DESCRIÇÃO]]="BLOCO",200,orcCenario2[[#This Row],['#]]-COUNTIFS(orcCenario2[QUANTIDADE],0,orcCenario2['#],"&lt;"&amp;orcCenario2[[#This Row],['#]],orcCenario2['#],"&gt;"&amp;ROUNDDOWN(orcCenario2[[#This Row],['#]],-2))))</f>
        <v>104</v>
      </c>
      <c r="D16" s="1">
        <v>95584</v>
      </c>
      <c r="E16" s="39" t="str">
        <f>IF(orcCenario2[[#This Row],['#]]=100,"ESTACAS",IF(orcCenario2[[#This Row],['#]]=200,"BLOCO",INDEX(composicoes[],MATCH(orcCenario2[[#This Row],[CÓDIGO]],composicoes[CÓDIGO],0),MATCH(orcCenario2[[#Headers],[DESCRIÇÃO]],composicoes[#Headers],0))))</f>
        <v>MONTAGEM DE ARMADURA TRANSVERSAL DE ESTACAS DE SEÇÃO CIRCULAR, DIÂMETRO = 6,30 MM. AF_09/2021_PS</v>
      </c>
      <c r="F16" s="1" t="str">
        <f>IFERROR(INDEX(composicoes[],MATCH(orcCenario2[[#This Row],[CÓDIGO]],composicoes[CÓDIGO],0),MATCH(orcCenario2[[#Headers],[UN.]],composicoes[#Headers],0)),"")</f>
        <v>KG</v>
      </c>
      <c r="G16" s="4">
        <f ca="1">IF(orcCenario2[[#This Row],[CÓDIGO]]="","",quantitativo(orcCenario2[[#This Row],[CÓDIGO]],orcCenario2[[#This Row],['#]],CENÁRIOS!$I$3,CENÁRIOS!$I$4,cenario2[]))</f>
        <v>48.431850069204017</v>
      </c>
      <c r="H16" s="40">
        <f>IFERROR(INDEX(composicoes[],MATCH(orcCenario2[[#This Row],[CÓDIGO]],composicoes[CÓDIGO],0),MATCH(orcCenario2[[#Headers],[ MÃO DE OBRA]],composicoes[#Headers],0)),"")</f>
        <v>3.22</v>
      </c>
      <c r="I16" s="40">
        <f>IFERROR(INDEX(composicoes[],MATCH(orcCenario2[[#This Row],[CÓDIGO]],composicoes[CÓDIGO],0),MATCH(orcCenario2[[#Headers],[MATERIAL]],composicoes[#Headers],0)),"")</f>
        <v>11.51</v>
      </c>
      <c r="J16" s="40">
        <f>IFERROR(INDEX(composicoes[],MATCH(orcCenario2[[#This Row],[CÓDIGO]],composicoes[CÓDIGO],0),MATCH(orcCenario2[[#Headers],[EQUIPAMENTO]],composicoes[#Headers],0)),"")</f>
        <v>0</v>
      </c>
      <c r="K16" s="40">
        <f>IF(orcCenario2[[#This Row],[ MÃO DE OBRA]]="","",SUM(orcCenario2[[#This Row],[ MÃO DE OBRA]:[EQUIPAMENTO]]))</f>
        <v>14.73</v>
      </c>
      <c r="L16" s="23">
        <f>IF(orcCenario2[[#This Row],[CUSTO UNITÁRIO]]="","",CENÁRIOS!$I$6)</f>
        <v>0.22</v>
      </c>
      <c r="M16" s="40">
        <f ca="1">IF(orcCenario2[[#This Row],[ MÃO DE OBRA]]&lt;&gt;"",orcCenario2[[#This Row],[QUANTIDADE]]*orcCenario2[[#This Row],[ MÃO DE OBRA]]*(1+orcCenario2[[#This Row],[BDI]]),SUMIFS(orcCenario2[CUSTO MÃO DE OBRA],orcCenario2['#],"&gt;"&amp;orcCenario2[[#This Row],['#]],orcCenario2['#],"&lt;"&amp;orcCenario2[[#This Row],['#]]+100))</f>
        <v>190.25967981186108</v>
      </c>
      <c r="N16" s="40">
        <f ca="1">IF(orcCenario2[[#This Row],[MATERIAL]]&lt;&gt;"",orcCenario2[[#This Row],[QUANTIDADE]]*orcCenario2[[#This Row],[MATERIAL]]*(1+orcCenario2[[#This Row],[BDI]]),SUMIFS(orcCenario2[CUSTO MATERIAL],orcCenario2['#],"&gt;"&amp;orcCenario2[[#This Row],['#]],orcCenario2['#],"&lt;"&amp;orcCenario2[[#This Row],['#]]+100))</f>
        <v>680.08972504177666</v>
      </c>
      <c r="O16" s="40">
        <f ca="1">IF(orcCenario2[EQUIPAMENTO]&lt;&gt;"",orcCenario2[[#This Row],[QUANTIDADE]]*orcCenario2[EQUIPAMENTO]*(1+orcCenario2[[#This Row],[BDI]]),SUMIFS(orcCenario2[CUSTO EQUIPAMENTO],orcCenario2['#],"&gt;"&amp;orcCenario2[[#This Row],['#]],orcCenario2['#],"&lt;"&amp;orcCenario2[[#This Row],['#]]+100))</f>
        <v>0</v>
      </c>
      <c r="P16" s="40">
        <f ca="1">SUM(orcCenario2[[#This Row],[CUSTO MÃO DE OBRA]:[CUSTO EQUIPAMENTO]])</f>
        <v>870.34940485363768</v>
      </c>
      <c r="Q16" s="64" t="str">
        <f ca="1">IF(orcCenario2[[#This Row],[QUANTIDADE]]=0,"Não","Sim")</f>
        <v>Sim</v>
      </c>
    </row>
    <row r="17" spans="2:17" ht="30" hidden="1" x14ac:dyDescent="0.25">
      <c r="B17" s="49">
        <v>113</v>
      </c>
      <c r="C17" s="49">
        <f ca="1">IF(orcCenario2[[#This Row],[DESCRIÇÃO]]="ESTACAS",100,IF(orcCenario2[[#This Row],[DESCRIÇÃO]]="BLOCO",200,orcCenario2[[#This Row],['#]]-COUNTIFS(orcCenario2[QUANTIDADE],0,orcCenario2['#],"&lt;"&amp;orcCenario2[[#This Row],['#]],orcCenario2['#],"&gt;"&amp;ROUNDDOWN(orcCenario2[[#This Row],['#]],-2))))</f>
        <v>105</v>
      </c>
      <c r="D17" s="1">
        <v>94965</v>
      </c>
      <c r="E17" s="39" t="str">
        <f>IF(orcCenario2[[#This Row],['#]]=100,"ESTACAS",IF(orcCenario2[[#This Row],['#]]=200,"BLOCO",INDEX(composicoes[],MATCH(orcCenario2[[#This Row],[CÓDIGO]],composicoes[CÓDIGO],0),MATCH(orcCenario2[[#Headers],[DESCRIÇÃO]],composicoes[#Headers],0))))</f>
        <v>CONCRETO FCK = 25MPA, TRAÇO 1:2,3:2,7 (EM MASSA SECA DE CIMENTO/ AREIA MÉDIA/ BRITA 1) - PREPARO MECÂNICO COM BETONEIRA 400 L. AF_05/2021</v>
      </c>
      <c r="F17" s="1" t="str">
        <f>IFERROR(INDEX(composicoes[],MATCH(orcCenario2[[#This Row],[CÓDIGO]],composicoes[CÓDIGO],0),MATCH(orcCenario2[[#Headers],[UN.]],composicoes[#Headers],0)),"")</f>
        <v>M³</v>
      </c>
      <c r="G17" s="4">
        <f ca="1">IF(orcCenario2[[#This Row],[CÓDIGO]]="","",quantitativo(orcCenario2[[#This Row],[CÓDIGO]],orcCenario2[[#This Row],['#]],CENÁRIOS!$I$3,CENÁRIOS!$I$4,cenario2[]))</f>
        <v>0</v>
      </c>
      <c r="H17" s="40">
        <f>IFERROR(INDEX(composicoes[],MATCH(orcCenario2[[#This Row],[CÓDIGO]],composicoes[CÓDIGO],0),MATCH(orcCenario2[[#Headers],[ MÃO DE OBRA]],composicoes[#Headers],0)),"")</f>
        <v>57.3</v>
      </c>
      <c r="I17" s="40">
        <f>IFERROR(INDEX(composicoes[],MATCH(orcCenario2[[#This Row],[CÓDIGO]],composicoes[CÓDIGO],0),MATCH(orcCenario2[[#Headers],[MATERIAL]],composicoes[#Headers],0)),"")</f>
        <v>365.86</v>
      </c>
      <c r="J17" s="40">
        <f>IFERROR(INDEX(composicoes[],MATCH(orcCenario2[[#This Row],[CÓDIGO]],composicoes[CÓDIGO],0),MATCH(orcCenario2[[#Headers],[EQUIPAMENTO]],composicoes[#Headers],0)),"")</f>
        <v>1.31</v>
      </c>
      <c r="K17" s="40">
        <f>IF(orcCenario2[[#This Row],[ MÃO DE OBRA]]="","",SUM(orcCenario2[[#This Row],[ MÃO DE OBRA]:[EQUIPAMENTO]]))</f>
        <v>424.47</v>
      </c>
      <c r="L17" s="23">
        <f>IF(orcCenario2[[#This Row],[CUSTO UNITÁRIO]]="","",CENÁRIOS!$I$6)</f>
        <v>0.22</v>
      </c>
      <c r="M17" s="40">
        <f ca="1">IF(orcCenario2[[#This Row],[ MÃO DE OBRA]]&lt;&gt;"",orcCenario2[[#This Row],[QUANTIDADE]]*orcCenario2[[#This Row],[ MÃO DE OBRA]]*(1+orcCenario2[[#This Row],[BDI]]),SUMIFS(orcCenario2[CUSTO MÃO DE OBRA],orcCenario2['#],"&gt;"&amp;orcCenario2[[#This Row],['#]],orcCenario2['#],"&lt;"&amp;orcCenario2[[#This Row],['#]]+100))</f>
        <v>0</v>
      </c>
      <c r="N17" s="40">
        <f ca="1">IF(orcCenario2[[#This Row],[MATERIAL]]&lt;&gt;"",orcCenario2[[#This Row],[QUANTIDADE]]*orcCenario2[[#This Row],[MATERIAL]]*(1+orcCenario2[[#This Row],[BDI]]),SUMIFS(orcCenario2[CUSTO MATERIAL],orcCenario2['#],"&gt;"&amp;orcCenario2[[#This Row],['#]],orcCenario2['#],"&lt;"&amp;orcCenario2[[#This Row],['#]]+100))</f>
        <v>0</v>
      </c>
      <c r="O17" s="40">
        <f ca="1">IF(orcCenario2[EQUIPAMENTO]&lt;&gt;"",orcCenario2[[#This Row],[QUANTIDADE]]*orcCenario2[EQUIPAMENTO]*(1+orcCenario2[[#This Row],[BDI]]),SUMIFS(orcCenario2[CUSTO EQUIPAMENTO],orcCenario2['#],"&gt;"&amp;orcCenario2[[#This Row],['#]],orcCenario2['#],"&lt;"&amp;orcCenario2[[#This Row],['#]]+100))</f>
        <v>0</v>
      </c>
      <c r="P17" s="40">
        <f ca="1">SUM(orcCenario2[[#This Row],[CUSTO MÃO DE OBRA]:[CUSTO EQUIPAMENTO]])</f>
        <v>0</v>
      </c>
      <c r="Q17" s="64" t="str">
        <f ca="1">IF(orcCenario2[[#This Row],[QUANTIDADE]]=0,"Não","Sim")</f>
        <v>Não</v>
      </c>
    </row>
    <row r="18" spans="2:17" ht="30" x14ac:dyDescent="0.25">
      <c r="B18" s="49">
        <v>114</v>
      </c>
      <c r="C18" s="49">
        <f ca="1">IF(orcCenario2[[#This Row],[DESCRIÇÃO]]="ESTACAS",100,IF(orcCenario2[[#This Row],[DESCRIÇÃO]]="BLOCO",200,orcCenario2[[#This Row],['#]]-COUNTIFS(orcCenario2[QUANTIDADE],0,orcCenario2['#],"&lt;"&amp;orcCenario2[[#This Row],['#]],orcCenario2['#],"&gt;"&amp;ROUNDDOWN(orcCenario2[[#This Row],['#]],-2))))</f>
        <v>105</v>
      </c>
      <c r="D18" s="1">
        <v>94966</v>
      </c>
      <c r="E18" s="39" t="str">
        <f>IF(orcCenario2[[#This Row],['#]]=100,"ESTACAS",IF(orcCenario2[[#This Row],['#]]=200,"BLOCO",INDEX(composicoes[],MATCH(orcCenario2[[#This Row],[CÓDIGO]],composicoes[CÓDIGO],0),MATCH(orcCenario2[[#Headers],[DESCRIÇÃO]],composicoes[#Headers],0))))</f>
        <v>CONCRETO FCK = 30MPA, TRAÇO 1:2,1:2,5 (EM MASSA SECA DE CIMENTO/ AREIA MÉDIA/ BRITA 1) - PREPARO MECÂNICO COM BETONEIRA 400 L. AF_05/2021</v>
      </c>
      <c r="F18" s="1" t="str">
        <f>IFERROR(INDEX(composicoes[],MATCH(orcCenario2[[#This Row],[CÓDIGO]],composicoes[CÓDIGO],0),MATCH(orcCenario2[[#Headers],[UN.]],composicoes[#Headers],0)),"")</f>
        <v>M³</v>
      </c>
      <c r="G18" s="4">
        <f ca="1">IF(orcCenario2[[#This Row],[CÓDIGO]]="","",quantitativo(orcCenario2[[#This Row],[CÓDIGO]],orcCenario2[[#This Row],['#]],CENÁRIOS!$I$3,CENÁRIOS!$I$4,cenario2[]))</f>
        <v>22.053980428200326</v>
      </c>
      <c r="H18" s="40">
        <f>IFERROR(INDEX(composicoes[],MATCH(orcCenario2[[#This Row],[CÓDIGO]],composicoes[CÓDIGO],0),MATCH(orcCenario2[[#Headers],[ MÃO DE OBRA]],composicoes[#Headers],0)),"")</f>
        <v>56.82</v>
      </c>
      <c r="I18" s="40">
        <f>IFERROR(INDEX(composicoes[],MATCH(orcCenario2[[#This Row],[CÓDIGO]],composicoes[CÓDIGO],0),MATCH(orcCenario2[[#Headers],[MATERIAL]],composicoes[#Headers],0)),"")</f>
        <v>381.4</v>
      </c>
      <c r="J18" s="40">
        <f>IFERROR(INDEX(composicoes[],MATCH(orcCenario2[[#This Row],[CÓDIGO]],composicoes[CÓDIGO],0),MATCH(orcCenario2[[#Headers],[EQUIPAMENTO]],composicoes[#Headers],0)),"")</f>
        <v>1.2999999999999998</v>
      </c>
      <c r="K18" s="40">
        <f>IF(orcCenario2[[#This Row],[ MÃO DE OBRA]]="","",SUM(orcCenario2[[#This Row],[ MÃO DE OBRA]:[EQUIPAMENTO]]))</f>
        <v>439.52</v>
      </c>
      <c r="L18" s="23">
        <f>IF(orcCenario2[[#This Row],[CUSTO UNITÁRIO]]="","",CENÁRIOS!$I$6)</f>
        <v>0.22</v>
      </c>
      <c r="M18" s="40">
        <f ca="1">IF(orcCenario2[[#This Row],[ MÃO DE OBRA]]&lt;&gt;"",orcCenario2[[#This Row],[QUANTIDADE]]*orcCenario2[[#This Row],[ MÃO DE OBRA]]*(1+orcCenario2[[#This Row],[BDI]]),SUMIFS(orcCenario2[CUSTO MÃO DE OBRA],orcCenario2['#],"&gt;"&amp;orcCenario2[[#This Row],['#]],orcCenario2['#],"&lt;"&amp;orcCenario2[[#This Row],['#]]+100))</f>
        <v>1528.7907448750177</v>
      </c>
      <c r="N18" s="40">
        <f ca="1">IF(orcCenario2[[#This Row],[MATERIAL]]&lt;&gt;"",orcCenario2[[#This Row],[QUANTIDADE]]*orcCenario2[[#This Row],[MATERIAL]]*(1+orcCenario2[[#This Row],[BDI]]),SUMIFS(orcCenario2[CUSTO MATERIAL],orcCenario2['#],"&gt;"&amp;orcCenario2[[#This Row],['#]],orcCenario2['#],"&lt;"&amp;orcCenario2[[#This Row],['#]]+100))</f>
        <v>10261.893525085035</v>
      </c>
      <c r="O18" s="40">
        <f ca="1">IF(orcCenario2[EQUIPAMENTO]&lt;&gt;"",orcCenario2[[#This Row],[QUANTIDADE]]*orcCenario2[EQUIPAMENTO]*(1+orcCenario2[[#This Row],[BDI]]),SUMIFS(orcCenario2[CUSTO EQUIPAMENTO],orcCenario2['#],"&gt;"&amp;orcCenario2[[#This Row],['#]],orcCenario2['#],"&lt;"&amp;orcCenario2[[#This Row],['#]]+100))</f>
        <v>34.977612959125715</v>
      </c>
      <c r="P18" s="40">
        <f ca="1">SUM(orcCenario2[[#This Row],[CUSTO MÃO DE OBRA]:[CUSTO EQUIPAMENTO]])</f>
        <v>11825.661882919179</v>
      </c>
      <c r="Q18" s="64" t="str">
        <f ca="1">IF(orcCenario2[[#This Row],[QUANTIDADE]]=0,"Não","Sim")</f>
        <v>Sim</v>
      </c>
    </row>
    <row r="19" spans="2:17" ht="30" hidden="1" x14ac:dyDescent="0.25">
      <c r="B19" s="49">
        <v>115</v>
      </c>
      <c r="C19" s="49">
        <f ca="1">IF(orcCenario2[[#This Row],[DESCRIÇÃO]]="ESTACAS",100,IF(orcCenario2[[#This Row],[DESCRIÇÃO]]="BLOCO",200,orcCenario2[[#This Row],['#]]-COUNTIFS(orcCenario2[QUANTIDADE],0,orcCenario2['#],"&lt;"&amp;orcCenario2[[#This Row],['#]],orcCenario2['#],"&gt;"&amp;ROUNDDOWN(orcCenario2[[#This Row],['#]],-2))))</f>
        <v>106</v>
      </c>
      <c r="D19" s="1">
        <v>94967</v>
      </c>
      <c r="E19" s="39" t="str">
        <f>IF(orcCenario2[[#This Row],['#]]=100,"ESTACAS",IF(orcCenario2[[#This Row],['#]]=200,"BLOCO",INDEX(composicoes[],MATCH(orcCenario2[[#This Row],[CÓDIGO]],composicoes[CÓDIGO],0),MATCH(orcCenario2[[#Headers],[DESCRIÇÃO]],composicoes[#Headers],0))))</f>
        <v>CONCRETO FCK = 40MPA, TRAÇO 1:1,6:1,9 (EM MASSA SECA DE CIMENTO/ AREIA MÉDIA/ BRITA 1) - PREPARO MECÂNICO COM BETONEIRA 400 L. AF_05/2021</v>
      </c>
      <c r="F19" s="1" t="str">
        <f>IFERROR(INDEX(composicoes[],MATCH(orcCenario2[[#This Row],[CÓDIGO]],composicoes[CÓDIGO],0),MATCH(orcCenario2[[#Headers],[UN.]],composicoes[#Headers],0)),"")</f>
        <v>M³</v>
      </c>
      <c r="G19" s="4">
        <f ca="1">IF(orcCenario2[[#This Row],[CÓDIGO]]="","",quantitativo(orcCenario2[[#This Row],[CÓDIGO]],orcCenario2[[#This Row],['#]],CENÁRIOS!$I$3,CENÁRIOS!$I$4,cenario2[]))</f>
        <v>0</v>
      </c>
      <c r="H19" s="40">
        <f>IFERROR(INDEX(composicoes[],MATCH(orcCenario2[[#This Row],[CÓDIGO]],composicoes[CÓDIGO],0),MATCH(orcCenario2[[#Headers],[ MÃO DE OBRA]],composicoes[#Headers],0)),"")</f>
        <v>60.4</v>
      </c>
      <c r="I19" s="40">
        <f>IFERROR(INDEX(composicoes[],MATCH(orcCenario2[[#This Row],[CÓDIGO]],composicoes[CÓDIGO],0),MATCH(orcCenario2[[#Headers],[MATERIAL]],composicoes[#Headers],0)),"")</f>
        <v>443.17</v>
      </c>
      <c r="J19" s="40">
        <f>IFERROR(INDEX(composicoes[],MATCH(orcCenario2[[#This Row],[CÓDIGO]],composicoes[CÓDIGO],0),MATCH(orcCenario2[[#Headers],[EQUIPAMENTO]],composicoes[#Headers],0)),"")</f>
        <v>1.38</v>
      </c>
      <c r="K19" s="40">
        <f>IF(orcCenario2[[#This Row],[ MÃO DE OBRA]]="","",SUM(orcCenario2[[#This Row],[ MÃO DE OBRA]:[EQUIPAMENTO]]))</f>
        <v>504.95</v>
      </c>
      <c r="L19" s="23">
        <f>IF(orcCenario2[[#This Row],[CUSTO UNITÁRIO]]="","",CENÁRIOS!$I$6)</f>
        <v>0.22</v>
      </c>
      <c r="M19" s="40">
        <f ca="1">IF(orcCenario2[[#This Row],[ MÃO DE OBRA]]&lt;&gt;"",orcCenario2[[#This Row],[QUANTIDADE]]*orcCenario2[[#This Row],[ MÃO DE OBRA]]*(1+orcCenario2[[#This Row],[BDI]]),SUMIFS(orcCenario2[CUSTO MÃO DE OBRA],orcCenario2['#],"&gt;"&amp;orcCenario2[[#This Row],['#]],orcCenario2['#],"&lt;"&amp;orcCenario2[[#This Row],['#]]+100))</f>
        <v>0</v>
      </c>
      <c r="N19" s="40">
        <f ca="1">IF(orcCenario2[[#This Row],[MATERIAL]]&lt;&gt;"",orcCenario2[[#This Row],[QUANTIDADE]]*orcCenario2[[#This Row],[MATERIAL]]*(1+orcCenario2[[#This Row],[BDI]]),SUMIFS(orcCenario2[CUSTO MATERIAL],orcCenario2['#],"&gt;"&amp;orcCenario2[[#This Row],['#]],orcCenario2['#],"&lt;"&amp;orcCenario2[[#This Row],['#]]+100))</f>
        <v>0</v>
      </c>
      <c r="O19" s="40">
        <f ca="1">IF(orcCenario2[EQUIPAMENTO]&lt;&gt;"",orcCenario2[[#This Row],[QUANTIDADE]]*orcCenario2[EQUIPAMENTO]*(1+orcCenario2[[#This Row],[BDI]]),SUMIFS(orcCenario2[CUSTO EQUIPAMENTO],orcCenario2['#],"&gt;"&amp;orcCenario2[[#This Row],['#]],orcCenario2['#],"&lt;"&amp;orcCenario2[[#This Row],['#]]+100))</f>
        <v>0</v>
      </c>
      <c r="P19" s="40">
        <f ca="1">SUM(orcCenario2[[#This Row],[CUSTO MÃO DE OBRA]:[CUSTO EQUIPAMENTO]])</f>
        <v>0</v>
      </c>
      <c r="Q19" s="64" t="str">
        <f ca="1">IF(orcCenario2[[#This Row],[QUANTIDADE]]=0,"Não","Sim")</f>
        <v>Não</v>
      </c>
    </row>
    <row r="20" spans="2:17" ht="30" x14ac:dyDescent="0.25">
      <c r="B20" s="49">
        <v>116</v>
      </c>
      <c r="C20" s="49">
        <f ca="1">IF(orcCenario2[[#This Row],[DESCRIÇÃO]]="ESTACAS",100,IF(orcCenario2[[#This Row],[DESCRIÇÃO]]="BLOCO",200,orcCenario2[[#This Row],['#]]-COUNTIFS(orcCenario2[QUANTIDADE],0,orcCenario2['#],"&lt;"&amp;orcCenario2[[#This Row],['#]],orcCenario2['#],"&gt;"&amp;ROUNDDOWN(orcCenario2[[#This Row],['#]],-2))))</f>
        <v>106</v>
      </c>
      <c r="D20" s="1">
        <v>103673</v>
      </c>
      <c r="E20" s="39" t="str">
        <f>IF(orcCenario2[[#This Row],['#]]=100,"ESTACAS",IF(orcCenario2[[#This Row],['#]]=200,"BLOCO",INDEX(composicoes[],MATCH(orcCenario2[[#This Row],[CÓDIGO]],composicoes[CÓDIGO],0),MATCH(orcCenario2[[#Headers],[DESCRIÇÃO]],composicoes[#Headers],0))))</f>
        <v>LANÇAMENTO COM USO DE BOMBA, ADENSAMENTO E ACABAMENTO DE CONCRETO EM ESTRUTURAS. AF_02/2022</v>
      </c>
      <c r="F20" s="1" t="str">
        <f>IFERROR(INDEX(composicoes[],MATCH(orcCenario2[[#This Row],[CÓDIGO]],composicoes[CÓDIGO],0),MATCH(orcCenario2[[#Headers],[UN.]],composicoes[#Headers],0)),"")</f>
        <v>M³</v>
      </c>
      <c r="G20" s="4">
        <f ca="1">IF(orcCenario2[[#This Row],[CÓDIGO]]="","",quantitativo(orcCenario2[[#This Row],[CÓDIGO]],orcCenario2[[#This Row],['#]],CENÁRIOS!$I$3,CENÁRIOS!$I$4,cenario2[]))</f>
        <v>22.053980428200326</v>
      </c>
      <c r="H20" s="40">
        <f>IFERROR(INDEX(composicoes[],MATCH(orcCenario2[[#This Row],[CÓDIGO]],composicoes[CÓDIGO],0),MATCH(orcCenario2[[#Headers],[ MÃO DE OBRA]],composicoes[#Headers],0)),"")</f>
        <v>29.75</v>
      </c>
      <c r="I20" s="40">
        <f>IFERROR(INDEX(composicoes[],MATCH(orcCenario2[[#This Row],[CÓDIGO]],composicoes[CÓDIGO],0),MATCH(orcCenario2[[#Headers],[MATERIAL]],composicoes[#Headers],0)),"")</f>
        <v>13.78</v>
      </c>
      <c r="J20" s="40">
        <f>IFERROR(INDEX(composicoes[],MATCH(orcCenario2[[#This Row],[CÓDIGO]],composicoes[CÓDIGO],0),MATCH(orcCenario2[[#Headers],[EQUIPAMENTO]],composicoes[#Headers],0)),"")</f>
        <v>0.15</v>
      </c>
      <c r="K20" s="40">
        <f>IF(orcCenario2[[#This Row],[ MÃO DE OBRA]]="","",SUM(orcCenario2[[#This Row],[ MÃO DE OBRA]:[EQUIPAMENTO]]))</f>
        <v>43.68</v>
      </c>
      <c r="L20" s="23">
        <f>IF(orcCenario2[[#This Row],[CUSTO UNITÁRIO]]="","",CENÁRIOS!$I$6)</f>
        <v>0.22</v>
      </c>
      <c r="M20" s="40">
        <f ca="1">IF(orcCenario2[[#This Row],[ MÃO DE OBRA]]&lt;&gt;"",orcCenario2[[#This Row],[QUANTIDADE]]*orcCenario2[[#This Row],[ MÃO DE OBRA]]*(1+orcCenario2[[#This Row],[BDI]]),SUMIFS(orcCenario2[CUSTO MÃO DE OBRA],orcCenario2['#],"&gt;"&amp;orcCenario2[[#This Row],['#]],orcCenario2['#],"&lt;"&amp;orcCenario2[[#This Row],['#]]+100))</f>
        <v>800.4492196415307</v>
      </c>
      <c r="N20" s="40">
        <f ca="1">IF(orcCenario2[[#This Row],[MATERIAL]]&lt;&gt;"",orcCenario2[[#This Row],[QUANTIDADE]]*orcCenario2[[#This Row],[MATERIAL]]*(1+orcCenario2[[#This Row],[BDI]]),SUMIFS(orcCenario2[CUSTO MATERIAL],orcCenario2['#],"&gt;"&amp;orcCenario2[[#This Row],['#]],orcCenario2['#],"&lt;"&amp;orcCenario2[[#This Row],['#]]+100))</f>
        <v>370.7626973667326</v>
      </c>
      <c r="O20" s="40">
        <f ca="1">IF(orcCenario2[EQUIPAMENTO]&lt;&gt;"",orcCenario2[[#This Row],[QUANTIDADE]]*orcCenario2[EQUIPAMENTO]*(1+orcCenario2[[#This Row],[BDI]]),SUMIFS(orcCenario2[CUSTO EQUIPAMENTO],orcCenario2['#],"&gt;"&amp;orcCenario2[[#This Row],['#]],orcCenario2['#],"&lt;"&amp;orcCenario2[[#This Row],['#]]+100))</f>
        <v>4.0358784183606593</v>
      </c>
      <c r="P20" s="40">
        <f ca="1">SUM(orcCenario2[[#This Row],[CUSTO MÃO DE OBRA]:[CUSTO EQUIPAMENTO]])</f>
        <v>1175.247795426624</v>
      </c>
      <c r="Q20" s="64" t="str">
        <f ca="1">IF(orcCenario2[[#This Row],[QUANTIDADE]]=0,"Não","Sim")</f>
        <v>Sim</v>
      </c>
    </row>
    <row r="21" spans="2:17" ht="15.75" x14ac:dyDescent="0.25">
      <c r="B21" s="49">
        <v>200</v>
      </c>
      <c r="C21" s="49">
        <f>IF(orcCenario2[[#This Row],[DESCRIÇÃO]]="ESTACAS",100,IF(orcCenario2[[#This Row],[DESCRIÇÃO]]="BLOCO",200,orcCenario2[[#This Row],['#]]-COUNTIFS(orcCenario2[QUANTIDADE],0,orcCenario2['#],"&lt;"&amp;orcCenario2[[#This Row],['#]],orcCenario2['#],"&gt;"&amp;ROUNDDOWN(orcCenario2[[#This Row],['#]],-2))))</f>
        <v>200</v>
      </c>
      <c r="E21" s="39" t="str">
        <f>IF(orcCenario2[[#This Row],['#]]=100,"ESTACAS",IF(orcCenario2[[#This Row],['#]]=200,"BLOCO",INDEX(composicoes[],MATCH(orcCenario2[[#This Row],[CÓDIGO]],composicoes[CÓDIGO],0),MATCH(orcCenario2[[#Headers],[DESCRIÇÃO]],composicoes[#Headers],0))))</f>
        <v>BLOCO</v>
      </c>
      <c r="F21" s="1" t="str">
        <f>IFERROR(INDEX(composicoes[],MATCH(orcCenario2[[#This Row],[CÓDIGO]],composicoes[CÓDIGO],0),MATCH(orcCenario2[[#Headers],[UN.]],composicoes[#Headers],0)),"")</f>
        <v/>
      </c>
      <c r="G21" s="4" t="str">
        <f>IF(orcCenario2[[#This Row],[CÓDIGO]]="","",quantitativo(orcCenario2[[#This Row],[CÓDIGO]],orcCenario2[[#This Row],['#]],CENÁRIOS!$I$3,CENÁRIOS!$I$4,cenario2[]))</f>
        <v/>
      </c>
      <c r="H21" s="40" t="str">
        <f>IFERROR(INDEX(composicoes[],MATCH(orcCenario2[[#This Row],[CÓDIGO]],composicoes[CÓDIGO],0),MATCH(orcCenario2[[#Headers],[ MÃO DE OBRA]],composicoes[#Headers],0)),"")</f>
        <v/>
      </c>
      <c r="I21" s="40" t="str">
        <f>IFERROR(INDEX(composicoes[],MATCH(orcCenario2[[#This Row],[CÓDIGO]],composicoes[CÓDIGO],0),MATCH(orcCenario2[[#Headers],[MATERIAL]],composicoes[#Headers],0)),"")</f>
        <v/>
      </c>
      <c r="J21" s="40" t="str">
        <f>IFERROR(INDEX(composicoes[],MATCH(orcCenario2[[#This Row],[CÓDIGO]],composicoes[CÓDIGO],0),MATCH(orcCenario2[[#Headers],[EQUIPAMENTO]],composicoes[#Headers],0)),"")</f>
        <v/>
      </c>
      <c r="K21" s="40" t="str">
        <f>IF(orcCenario2[[#This Row],[ MÃO DE OBRA]]="","",SUM(orcCenario2[[#This Row],[ MÃO DE OBRA]:[EQUIPAMENTO]]))</f>
        <v/>
      </c>
      <c r="L21" s="23" t="str">
        <f>IF(orcCenario2[[#This Row],[CUSTO UNITÁRIO]]="","",CENÁRIOS!$I$6)</f>
        <v/>
      </c>
      <c r="M21" s="40">
        <f ca="1">IF(orcCenario2[[#This Row],[ MÃO DE OBRA]]&lt;&gt;"",orcCenario2[[#This Row],[QUANTIDADE]]*orcCenario2[[#This Row],[ MÃO DE OBRA]]*(1+orcCenario2[[#This Row],[BDI]]),SUMIFS(orcCenario2[CUSTO MÃO DE OBRA],orcCenario2['#],"&gt;"&amp;orcCenario2[[#This Row],['#]],orcCenario2['#],"&lt;"&amp;orcCenario2[[#This Row],['#]]+100))</f>
        <v>11250.771012085479</v>
      </c>
      <c r="N21" s="40">
        <f ca="1">IF(orcCenario2[[#This Row],[MATERIAL]]&lt;&gt;"",orcCenario2[[#This Row],[QUANTIDADE]]*orcCenario2[[#This Row],[MATERIAL]]*(1+orcCenario2[[#This Row],[BDI]]),SUMIFS(orcCenario2[CUSTO MATERIAL],orcCenario2['#],"&gt;"&amp;orcCenario2[[#This Row],['#]],orcCenario2['#],"&lt;"&amp;orcCenario2[[#This Row],['#]]+100))</f>
        <v>19760.157702302196</v>
      </c>
      <c r="O21" s="40">
        <f ca="1">IF(orcCenario2[EQUIPAMENTO]&lt;&gt;"",orcCenario2[[#This Row],[QUANTIDADE]]*orcCenario2[EQUIPAMENTO]*(1+orcCenario2[[#This Row],[BDI]]),SUMIFS(orcCenario2[CUSTO EQUIPAMENTO],orcCenario2['#],"&gt;"&amp;orcCenario2[[#This Row],['#]],orcCenario2['#],"&lt;"&amp;orcCenario2[[#This Row],['#]]+100))</f>
        <v>38.277474319157733</v>
      </c>
      <c r="P21" s="40">
        <f ca="1">SUM(orcCenario2[[#This Row],[CUSTO MÃO DE OBRA]:[CUSTO EQUIPAMENTO]])</f>
        <v>31049.206188706834</v>
      </c>
      <c r="Q21" s="64" t="str">
        <f>IF(orcCenario2[[#This Row],[QUANTIDADE]]=0,"Não","Sim")</f>
        <v>Sim</v>
      </c>
    </row>
    <row r="22" spans="2:17" ht="30" x14ac:dyDescent="0.25">
      <c r="B22" s="49">
        <v>201</v>
      </c>
      <c r="C22" s="49">
        <f ca="1">IF(orcCenario2[[#This Row],[DESCRIÇÃO]]="ESTACAS",100,IF(orcCenario2[[#This Row],[DESCRIÇÃO]]="BLOCO",200,orcCenario2[[#This Row],['#]]-COUNTIFS(orcCenario2[QUANTIDADE],0,orcCenario2['#],"&lt;"&amp;orcCenario2[[#This Row],['#]],orcCenario2['#],"&gt;"&amp;ROUNDDOWN(orcCenario2[[#This Row],['#]],-2))))</f>
        <v>201</v>
      </c>
      <c r="D22" s="1">
        <v>96522</v>
      </c>
      <c r="E22" s="39" t="str">
        <f>IF(orcCenario2[[#This Row],['#]]=100,"ESTACAS",IF(orcCenario2[[#This Row],['#]]=200,"BLOCO",INDEX(composicoes[],MATCH(orcCenario2[[#This Row],[CÓDIGO]],composicoes[CÓDIGO],0),MATCH(orcCenario2[[#Headers],[DESCRIÇÃO]],composicoes[#Headers],0))))</f>
        <v>ESCAVAÇÃO MANUAL PARA BLOCO DE COROAMENTO OU SAPATA (SEM ESCAVAÇÃO PARA COLOCAÇÃO DE FÔRMAS). AF_06/2017</v>
      </c>
      <c r="F22" s="1" t="str">
        <f>IFERROR(INDEX(composicoes[],MATCH(orcCenario2[[#This Row],[CÓDIGO]],composicoes[CÓDIGO],0),MATCH(orcCenario2[[#Headers],[UN.]],composicoes[#Headers],0)),"")</f>
        <v>M³</v>
      </c>
      <c r="G22" s="4">
        <f ca="1">IF(orcCenario2[[#This Row],[CÓDIGO]]="","",quantitativo(orcCenario2[[#This Row],[CÓDIGO]],orcCenario2[[#This Row],['#]],CENÁRIOS!$I$3,CENÁRIOS!$I$4,cenario2[]))</f>
        <v>50.818123280504139</v>
      </c>
      <c r="H22" s="40">
        <f>IFERROR(INDEX(composicoes[],MATCH(orcCenario2[[#This Row],[CÓDIGO]],composicoes[CÓDIGO],0),MATCH(orcCenario2[[#Headers],[ MÃO DE OBRA]],composicoes[#Headers],0)),"")</f>
        <v>112.56</v>
      </c>
      <c r="I22" s="40">
        <f>IFERROR(INDEX(composicoes[],MATCH(orcCenario2[[#This Row],[CÓDIGO]],composicoes[CÓDIGO],0),MATCH(orcCenario2[[#Headers],[MATERIAL]],composicoes[#Headers],0)),"")</f>
        <v>50.47</v>
      </c>
      <c r="J22" s="40">
        <f>IFERROR(INDEX(composicoes[],MATCH(orcCenario2[[#This Row],[CÓDIGO]],composicoes[CÓDIGO],0),MATCH(orcCenario2[[#Headers],[EQUIPAMENTO]],composicoes[#Headers],0)),"")</f>
        <v>0</v>
      </c>
      <c r="K22" s="40">
        <f>IF(orcCenario2[[#This Row],[ MÃO DE OBRA]]="","",SUM(orcCenario2[[#This Row],[ MÃO DE OBRA]:[EQUIPAMENTO]]))</f>
        <v>163.03</v>
      </c>
      <c r="L22" s="23">
        <f>IF(orcCenario2[[#This Row],[CUSTO UNITÁRIO]]="","",CENÁRIOS!$I$6)</f>
        <v>0.22</v>
      </c>
      <c r="M22" s="40">
        <f ca="1">IF(orcCenario2[[#This Row],[ MÃO DE OBRA]]&lt;&gt;"",orcCenario2[[#This Row],[QUANTIDADE]]*orcCenario2[[#This Row],[ MÃO DE OBRA]]*(1+orcCenario2[[#This Row],[BDI]]),SUMIFS(orcCenario2[CUSTO MÃO DE OBRA],orcCenario2['#],"&gt;"&amp;orcCenario2[[#This Row],['#]],orcCenario2['#],"&lt;"&amp;orcCenario2[[#This Row],['#]]+100))</f>
        <v>6978.5073068733263</v>
      </c>
      <c r="N22" s="40">
        <f ca="1">IF(orcCenario2[[#This Row],[MATERIAL]]&lt;&gt;"",orcCenario2[[#This Row],[QUANTIDADE]]*orcCenario2[[#This Row],[MATERIAL]]*(1+orcCenario2[[#This Row],[BDI]]),SUMIFS(orcCenario2[CUSTO MATERIAL],orcCenario2['#],"&gt;"&amp;orcCenario2[[#This Row],['#]],orcCenario2['#],"&lt;"&amp;orcCenario2[[#This Row],['#]]+100))</f>
        <v>3129.0446319997936</v>
      </c>
      <c r="O22" s="40">
        <f ca="1">IF(orcCenario2[EQUIPAMENTO]&lt;&gt;"",orcCenario2[[#This Row],[QUANTIDADE]]*orcCenario2[EQUIPAMENTO]*(1+orcCenario2[[#This Row],[BDI]]),SUMIFS(orcCenario2[CUSTO EQUIPAMENTO],orcCenario2['#],"&gt;"&amp;orcCenario2[[#This Row],['#]],orcCenario2['#],"&lt;"&amp;orcCenario2[[#This Row],['#]]+100))</f>
        <v>0</v>
      </c>
      <c r="P22" s="40">
        <f ca="1">SUM(orcCenario2[[#This Row],[CUSTO MÃO DE OBRA]:[CUSTO EQUIPAMENTO]])</f>
        <v>10107.551938873119</v>
      </c>
      <c r="Q22" s="64" t="str">
        <f ca="1">IF(orcCenario2[[#This Row],[QUANTIDADE]]=0,"Não","Sim")</f>
        <v>Sim</v>
      </c>
    </row>
    <row r="23" spans="2:17" ht="30" x14ac:dyDescent="0.25">
      <c r="B23" s="49">
        <v>202</v>
      </c>
      <c r="C23" s="49">
        <f ca="1">IF(orcCenario2[[#This Row],[DESCRIÇÃO]]="ESTACAS",100,IF(orcCenario2[[#This Row],[DESCRIÇÃO]]="BLOCO",200,orcCenario2[[#This Row],['#]]-COUNTIFS(orcCenario2[QUANTIDADE],0,orcCenario2['#],"&lt;"&amp;orcCenario2[[#This Row],['#]],orcCenario2['#],"&gt;"&amp;ROUNDDOWN(orcCenario2[[#This Row],['#]],-2))))</f>
        <v>202</v>
      </c>
      <c r="D23" s="1">
        <v>96619</v>
      </c>
      <c r="E23" s="39" t="str">
        <f>IF(orcCenario2[[#This Row],['#]]=100,"ESTACAS",IF(orcCenario2[[#This Row],['#]]=200,"BLOCO",INDEX(composicoes[],MATCH(orcCenario2[[#This Row],[CÓDIGO]],composicoes[CÓDIGO],0),MATCH(orcCenario2[[#Headers],[DESCRIÇÃO]],composicoes[#Headers],0))))</f>
        <v>LASTRO DE CONCRETO MAGRO, APLICADO EM BLOCOS DE COROAMENTO OU SAPATAS, ESPESSURA DE 5 CM. AF_08/2017</v>
      </c>
      <c r="F23" s="1" t="str">
        <f>IFERROR(INDEX(composicoes[],MATCH(orcCenario2[[#This Row],[CÓDIGO]],composicoes[CÓDIGO],0),MATCH(orcCenario2[[#Headers],[UN.]],composicoes[#Headers],0)),"")</f>
        <v>M²</v>
      </c>
      <c r="G23" s="4">
        <f ca="1">IF(orcCenario2[[#This Row],[CÓDIGO]]="","",quantitativo(orcCenario2[[#This Row],[CÓDIGO]],orcCenario2[[#This Row],['#]],CENÁRIOS!$I$3,CENÁRIOS!$I$4,cenario2[]))</f>
        <v>2.1212229374252498</v>
      </c>
      <c r="H23" s="40">
        <f>IFERROR(INDEX(composicoes[],MATCH(orcCenario2[[#This Row],[CÓDIGO]],composicoes[CÓDIGO],0),MATCH(orcCenario2[[#Headers],[ MÃO DE OBRA]],composicoes[#Headers],0)),"")</f>
        <v>10.85</v>
      </c>
      <c r="I23" s="40">
        <f>IFERROR(INDEX(composicoes[],MATCH(orcCenario2[[#This Row],[CÓDIGO]],composicoes[CÓDIGO],0),MATCH(orcCenario2[[#Headers],[MATERIAL]],composicoes[#Headers],0)),"")</f>
        <v>18.559999999999999</v>
      </c>
      <c r="J23" s="40">
        <f>IFERROR(INDEX(composicoes[],MATCH(orcCenario2[[#This Row],[CÓDIGO]],composicoes[CÓDIGO],0),MATCH(orcCenario2[[#Headers],[EQUIPAMENTO]],composicoes[#Headers],0)),"")</f>
        <v>0.19</v>
      </c>
      <c r="K23" s="40">
        <f>IF(orcCenario2[[#This Row],[ MÃO DE OBRA]]="","",SUM(orcCenario2[[#This Row],[ MÃO DE OBRA]:[EQUIPAMENTO]]))</f>
        <v>29.599999999999998</v>
      </c>
      <c r="L23" s="23">
        <f>IF(orcCenario2[[#This Row],[CUSTO UNITÁRIO]]="","",CENÁRIOS!$I$6)</f>
        <v>0.22</v>
      </c>
      <c r="M23" s="40">
        <f ca="1">IF(orcCenario2[[#This Row],[ MÃO DE OBRA]]&lt;&gt;"",orcCenario2[[#This Row],[QUANTIDADE]]*orcCenario2[[#This Row],[ MÃO DE OBRA]]*(1+orcCenario2[[#This Row],[BDI]]),SUMIFS(orcCenario2[CUSTO MÃO DE OBRA],orcCenario2['#],"&gt;"&amp;orcCenario2[[#This Row],['#]],orcCenario2['#],"&lt;"&amp;orcCenario2[[#This Row],['#]]+100))</f>
        <v>28.07862802269803</v>
      </c>
      <c r="N23" s="40">
        <f ca="1">IF(orcCenario2[[#This Row],[MATERIAL]]&lt;&gt;"",orcCenario2[[#This Row],[QUANTIDADE]]*orcCenario2[[#This Row],[MATERIAL]]*(1+orcCenario2[[#This Row],[BDI]]),SUMIFS(orcCenario2[CUSTO MATERIAL],orcCenario2['#],"&gt;"&amp;orcCenario2[[#This Row],['#]],orcCenario2['#],"&lt;"&amp;orcCenario2[[#This Row],['#]]+100))</f>
        <v>48.031275216707414</v>
      </c>
      <c r="O23" s="40">
        <f ca="1">IF(orcCenario2[EQUIPAMENTO]&lt;&gt;"",orcCenario2[[#This Row],[QUANTIDADE]]*orcCenario2[EQUIPAMENTO]*(1+orcCenario2[[#This Row],[BDI]]),SUMIFS(orcCenario2[CUSTO EQUIPAMENTO],orcCenario2['#],"&gt;"&amp;orcCenario2[[#This Row],['#]],orcCenario2['#],"&lt;"&amp;orcCenario2[[#This Row],['#]]+100))</f>
        <v>0.4916994768951729</v>
      </c>
      <c r="P23" s="40">
        <f ca="1">SUM(orcCenario2[[#This Row],[CUSTO MÃO DE OBRA]:[CUSTO EQUIPAMENTO]])</f>
        <v>76.601602716300619</v>
      </c>
      <c r="Q23" s="64" t="str">
        <f ca="1">IF(orcCenario2[[#This Row],[QUANTIDADE]]=0,"Não","Sim")</f>
        <v>Sim</v>
      </c>
    </row>
    <row r="24" spans="2:17" ht="45" x14ac:dyDescent="0.25">
      <c r="B24" s="49">
        <v>203</v>
      </c>
      <c r="C24" s="49">
        <f ca="1">IF(orcCenario2[[#This Row],[DESCRIÇÃO]]="ESTACAS",100,IF(orcCenario2[[#This Row],[DESCRIÇÃO]]="BLOCO",200,orcCenario2[[#This Row],['#]]-COUNTIFS(orcCenario2[QUANTIDADE],0,orcCenario2['#],"&lt;"&amp;orcCenario2[[#This Row],['#]],orcCenario2['#],"&gt;"&amp;ROUNDDOWN(orcCenario2[[#This Row],['#]],-2))))</f>
        <v>203</v>
      </c>
      <c r="D24" s="1">
        <v>92916</v>
      </c>
      <c r="E24" s="39" t="str">
        <f>IF(orcCenario2[[#This Row],['#]]=100,"ESTACAS",IF(orcCenario2[[#This Row],['#]]=200,"BLOCO",INDEX(composicoes[],MATCH(orcCenario2[[#This Row],[CÓDIGO]],composicoes[CÓDIGO],0),MATCH(orcCenario2[[#Headers],[DESCRIÇÃO]],composicoes[#Headers],0))))</f>
        <v>ARMAÇÃO DE ESTRUTURAS DIVERSAS DE CONCRETO ARMADO, EXCETO VIGAS, PILARES, LAJES E FUNDAÇÕES, UTILIZANDO AÇO CA-50 DE 6,3 MM - MONTAGEM. AF_06/2022</v>
      </c>
      <c r="F24" s="1" t="str">
        <f>IFERROR(INDEX(composicoes[],MATCH(orcCenario2[[#This Row],[CÓDIGO]],composicoes[CÓDIGO],0),MATCH(orcCenario2[[#Headers],[UN.]],composicoes[#Headers],0)),"")</f>
        <v>KG</v>
      </c>
      <c r="G24" s="4">
        <f ca="1">IF(orcCenario2[[#This Row],[CÓDIGO]]="","",quantitativo(orcCenario2[[#This Row],[CÓDIGO]],orcCenario2[[#This Row],['#]],CENÁRIOS!$I$3,CENÁRIOS!$I$4,cenario2[]))</f>
        <v>46.493713806472456</v>
      </c>
      <c r="H24" s="40">
        <f>IFERROR(INDEX(composicoes[],MATCH(orcCenario2[[#This Row],[CÓDIGO]],composicoes[CÓDIGO],0),MATCH(orcCenario2[[#Headers],[ MÃO DE OBRA]],composicoes[#Headers],0)),"")</f>
        <v>4.08</v>
      </c>
      <c r="I24" s="40">
        <f>IFERROR(INDEX(composicoes[],MATCH(orcCenario2[[#This Row],[CÓDIGO]],composicoes[CÓDIGO],0),MATCH(orcCenario2[[#Headers],[MATERIAL]],composicoes[#Headers],0)),"")</f>
        <v>11.96</v>
      </c>
      <c r="J24" s="40">
        <f>IFERROR(INDEX(composicoes[],MATCH(orcCenario2[[#This Row],[CÓDIGO]],composicoes[CÓDIGO],0),MATCH(orcCenario2[[#Headers],[EQUIPAMENTO]],composicoes[#Headers],0)),"")</f>
        <v>0</v>
      </c>
      <c r="K24" s="40">
        <f>IF(orcCenario2[[#This Row],[ MÃO DE OBRA]]="","",SUM(orcCenario2[[#This Row],[ MÃO DE OBRA]:[EQUIPAMENTO]]))</f>
        <v>16.04</v>
      </c>
      <c r="L24" s="23">
        <f>IF(orcCenario2[[#This Row],[CUSTO UNITÁRIO]]="","",CENÁRIOS!$I$6)</f>
        <v>0.22</v>
      </c>
      <c r="M24" s="40">
        <f ca="1">IF(orcCenario2[[#This Row],[ MÃO DE OBRA]]&lt;&gt;"",orcCenario2[[#This Row],[QUANTIDADE]]*orcCenario2[[#This Row],[ MÃO DE OBRA]]*(1+orcCenario2[[#This Row],[BDI]]),SUMIFS(orcCenario2[CUSTO MÃO DE OBRA],orcCenario2['#],"&gt;"&amp;orcCenario2[[#This Row],['#]],orcCenario2['#],"&lt;"&amp;orcCenario2[[#This Row],['#]]+100))</f>
        <v>231.42710984309733</v>
      </c>
      <c r="N24" s="40">
        <f ca="1">IF(orcCenario2[[#This Row],[MATERIAL]]&lt;&gt;"",orcCenario2[[#This Row],[QUANTIDADE]]*orcCenario2[[#This Row],[MATERIAL]]*(1+orcCenario2[[#This Row],[BDI]]),SUMIFS(orcCenario2[CUSTO MATERIAL],orcCenario2['#],"&gt;"&amp;orcCenario2[[#This Row],['#]],orcCenario2['#],"&lt;"&amp;orcCenario2[[#This Row],['#]]+100))</f>
        <v>678.39907689300094</v>
      </c>
      <c r="O24" s="40">
        <f ca="1">IF(orcCenario2[EQUIPAMENTO]&lt;&gt;"",orcCenario2[[#This Row],[QUANTIDADE]]*orcCenario2[EQUIPAMENTO]*(1+orcCenario2[[#This Row],[BDI]]),SUMIFS(orcCenario2[CUSTO EQUIPAMENTO],orcCenario2['#],"&gt;"&amp;orcCenario2[[#This Row],['#]],orcCenario2['#],"&lt;"&amp;orcCenario2[[#This Row],['#]]+100))</f>
        <v>0</v>
      </c>
      <c r="P24" s="40">
        <f ca="1">SUM(orcCenario2[[#This Row],[CUSTO MÃO DE OBRA]:[CUSTO EQUIPAMENTO]])</f>
        <v>909.82618673609829</v>
      </c>
      <c r="Q24" s="64" t="str">
        <f ca="1">IF(orcCenario2[[#This Row],[QUANTIDADE]]=0,"Não","Sim")</f>
        <v>Sim</v>
      </c>
    </row>
    <row r="25" spans="2:17" ht="45" x14ac:dyDescent="0.25">
      <c r="B25" s="49">
        <v>204</v>
      </c>
      <c r="C25" s="49">
        <f ca="1">IF(orcCenario2[[#This Row],[DESCRIÇÃO]]="ESTACAS",100,IF(orcCenario2[[#This Row],[DESCRIÇÃO]]="BLOCO",200,orcCenario2[[#This Row],['#]]-COUNTIFS(orcCenario2[QUANTIDADE],0,orcCenario2['#],"&lt;"&amp;orcCenario2[[#This Row],['#]],orcCenario2['#],"&gt;"&amp;ROUNDDOWN(orcCenario2[[#This Row],['#]],-2))))</f>
        <v>204</v>
      </c>
      <c r="D25" s="1">
        <v>92917</v>
      </c>
      <c r="E25" s="39" t="str">
        <f>IF(orcCenario2[[#This Row],['#]]=100,"ESTACAS",IF(orcCenario2[[#This Row],['#]]=200,"BLOCO",INDEX(composicoes[],MATCH(orcCenario2[[#This Row],[CÓDIGO]],composicoes[CÓDIGO],0),MATCH(orcCenario2[[#Headers],[DESCRIÇÃO]],composicoes[#Headers],0))))</f>
        <v>ARMAÇÃO DE ESTRUTURAS DIVERSAS DE CONCRETO ARMADO, EXCETO VIGAS, PILARES, LAJES E FUNDAÇÕES, UTILIZANDO AÇO CA-50 DE 8,0 MM - MONTAGEM. AF_06/2022</v>
      </c>
      <c r="F25" s="1" t="str">
        <f>IFERROR(INDEX(composicoes[],MATCH(orcCenario2[[#This Row],[CÓDIGO]],composicoes[CÓDIGO],0),MATCH(orcCenario2[[#Headers],[UN.]],composicoes[#Headers],0)),"")</f>
        <v>KG</v>
      </c>
      <c r="G25" s="4">
        <f ca="1">IF(orcCenario2[[#This Row],[CÓDIGO]]="","",quantitativo(orcCenario2[[#This Row],[CÓDIGO]],orcCenario2[[#This Row],['#]],CENÁRIOS!$I$3,CENÁRIOS!$I$4,cenario2[]))</f>
        <v>118.07927315929511</v>
      </c>
      <c r="H25" s="40">
        <f>IFERROR(INDEX(composicoes[],MATCH(orcCenario2[[#This Row],[CÓDIGO]],composicoes[CÓDIGO],0),MATCH(orcCenario2[[#Headers],[ MÃO DE OBRA]],composicoes[#Headers],0)),"")</f>
        <v>2.75</v>
      </c>
      <c r="I25" s="40">
        <f>IFERROR(INDEX(composicoes[],MATCH(orcCenario2[[#This Row],[CÓDIGO]],composicoes[CÓDIGO],0),MATCH(orcCenario2[[#Headers],[MATERIAL]],composicoes[#Headers],0)),"")</f>
        <v>11.81</v>
      </c>
      <c r="J25" s="40">
        <f>IFERROR(INDEX(composicoes[],MATCH(orcCenario2[[#This Row],[CÓDIGO]],composicoes[CÓDIGO],0),MATCH(orcCenario2[[#Headers],[EQUIPAMENTO]],composicoes[#Headers],0)),"")</f>
        <v>0</v>
      </c>
      <c r="K25" s="40">
        <f>IF(orcCenario2[[#This Row],[ MÃO DE OBRA]]="","",SUM(orcCenario2[[#This Row],[ MÃO DE OBRA]:[EQUIPAMENTO]]))</f>
        <v>14.56</v>
      </c>
      <c r="L25" s="23">
        <f>IF(orcCenario2[[#This Row],[CUSTO UNITÁRIO]]="","",CENÁRIOS!$I$6)</f>
        <v>0.22</v>
      </c>
      <c r="M25" s="40">
        <f ca="1">IF(orcCenario2[[#This Row],[ MÃO DE OBRA]]&lt;&gt;"",orcCenario2[[#This Row],[QUANTIDADE]]*orcCenario2[[#This Row],[ MÃO DE OBRA]]*(1+orcCenario2[[#This Row],[BDI]]),SUMIFS(orcCenario2[CUSTO MÃO DE OBRA],orcCenario2['#],"&gt;"&amp;orcCenario2[[#This Row],['#]],orcCenario2['#],"&lt;"&amp;orcCenario2[[#This Row],['#]]+100))</f>
        <v>396.1559614494351</v>
      </c>
      <c r="N25" s="40">
        <f ca="1">IF(orcCenario2[[#This Row],[MATERIAL]]&lt;&gt;"",orcCenario2[[#This Row],[QUANTIDADE]]*orcCenario2[[#This Row],[MATERIAL]]*(1+orcCenario2[[#This Row],[BDI]]),SUMIFS(orcCenario2[CUSTO MATERIAL],orcCenario2['#],"&gt;"&amp;orcCenario2[[#This Row],['#]],orcCenario2['#],"&lt;"&amp;orcCenario2[[#This Row],['#]]+100))</f>
        <v>1701.309783533756</v>
      </c>
      <c r="O25" s="40">
        <f ca="1">IF(orcCenario2[EQUIPAMENTO]&lt;&gt;"",orcCenario2[[#This Row],[QUANTIDADE]]*orcCenario2[EQUIPAMENTO]*(1+orcCenario2[[#This Row],[BDI]]),SUMIFS(orcCenario2[CUSTO EQUIPAMENTO],orcCenario2['#],"&gt;"&amp;orcCenario2[[#This Row],['#]],orcCenario2['#],"&lt;"&amp;orcCenario2[[#This Row],['#]]+100))</f>
        <v>0</v>
      </c>
      <c r="P25" s="40">
        <f ca="1">SUM(orcCenario2[[#This Row],[CUSTO MÃO DE OBRA]:[CUSTO EQUIPAMENTO]])</f>
        <v>2097.4657449831911</v>
      </c>
      <c r="Q25" s="64" t="str">
        <f ca="1">IF(orcCenario2[[#This Row],[QUANTIDADE]]=0,"Não","Sim")</f>
        <v>Sim</v>
      </c>
    </row>
    <row r="26" spans="2:17" ht="45" hidden="1" x14ac:dyDescent="0.25">
      <c r="B26" s="49">
        <v>205</v>
      </c>
      <c r="C26" s="49">
        <f ca="1">IF(orcCenario2[[#This Row],[DESCRIÇÃO]]="ESTACAS",100,IF(orcCenario2[[#This Row],[DESCRIÇÃO]]="BLOCO",200,orcCenario2[[#This Row],['#]]-COUNTIFS(orcCenario2[QUANTIDADE],0,orcCenario2['#],"&lt;"&amp;orcCenario2[[#This Row],['#]],orcCenario2['#],"&gt;"&amp;ROUNDDOWN(orcCenario2[[#This Row],['#]],-2))))</f>
        <v>205</v>
      </c>
      <c r="D26" s="1">
        <v>92919</v>
      </c>
      <c r="E26" s="39" t="str">
        <f>IF(orcCenario2[[#This Row],['#]]=100,"ESTACAS",IF(orcCenario2[[#This Row],['#]]=200,"BLOCO",INDEX(composicoes[],MATCH(orcCenario2[[#This Row],[CÓDIGO]],composicoes[CÓDIGO],0),MATCH(orcCenario2[[#Headers],[DESCRIÇÃO]],composicoes[#Headers],0))))</f>
        <v>ARMAÇÃO DE ESTRUTURAS DIVERSAS DE CONCRETO ARMADO, EXCETO VIGAS, PILARES, LAJES E FUNDAÇÕES, UTILIZANDO AÇO CA-50 DE 10,0 MM - MONTAGEM. AF_06/2022</v>
      </c>
      <c r="F26" s="1" t="str">
        <f>IFERROR(INDEX(composicoes[],MATCH(orcCenario2[[#This Row],[CÓDIGO]],composicoes[CÓDIGO],0),MATCH(orcCenario2[[#Headers],[UN.]],composicoes[#Headers],0)),"")</f>
        <v>KG</v>
      </c>
      <c r="G26" s="4">
        <f ca="1">IF(orcCenario2[[#This Row],[CÓDIGO]]="","",quantitativo(orcCenario2[[#This Row],[CÓDIGO]],orcCenario2[[#This Row],['#]],CENÁRIOS!$I$3,CENÁRIOS!$I$4,cenario2[]))</f>
        <v>0</v>
      </c>
      <c r="H26" s="40">
        <f>IFERROR(INDEX(composicoes[],MATCH(orcCenario2[[#This Row],[CÓDIGO]],composicoes[CÓDIGO],0),MATCH(orcCenario2[[#Headers],[ MÃO DE OBRA]],composicoes[#Headers],0)),"")</f>
        <v>1.86</v>
      </c>
      <c r="I26" s="40">
        <f>IFERROR(INDEX(composicoes[],MATCH(orcCenario2[[#This Row],[CÓDIGO]],composicoes[CÓDIGO],0),MATCH(orcCenario2[[#Headers],[MATERIAL]],composicoes[#Headers],0)),"")</f>
        <v>10.86</v>
      </c>
      <c r="J26" s="40">
        <f>IFERROR(INDEX(composicoes[],MATCH(orcCenario2[[#This Row],[CÓDIGO]],composicoes[CÓDIGO],0),MATCH(orcCenario2[[#Headers],[EQUIPAMENTO]],composicoes[#Headers],0)),"")</f>
        <v>0</v>
      </c>
      <c r="K26" s="40">
        <f>IF(orcCenario2[[#This Row],[ MÃO DE OBRA]]="","",SUM(orcCenario2[[#This Row],[ MÃO DE OBRA]:[EQUIPAMENTO]]))</f>
        <v>12.719999999999999</v>
      </c>
      <c r="L26" s="23">
        <f>IF(orcCenario2[[#This Row],[CUSTO UNITÁRIO]]="","",CENÁRIOS!$I$6)</f>
        <v>0.22</v>
      </c>
      <c r="M26" s="40">
        <f ca="1">IF(orcCenario2[[#This Row],[ MÃO DE OBRA]]&lt;&gt;"",orcCenario2[[#This Row],[QUANTIDADE]]*orcCenario2[[#This Row],[ MÃO DE OBRA]]*(1+orcCenario2[[#This Row],[BDI]]),SUMIFS(orcCenario2[CUSTO MÃO DE OBRA],orcCenario2['#],"&gt;"&amp;orcCenario2[[#This Row],['#]],orcCenario2['#],"&lt;"&amp;orcCenario2[[#This Row],['#]]+100))</f>
        <v>0</v>
      </c>
      <c r="N26" s="40">
        <f ca="1">IF(orcCenario2[[#This Row],[MATERIAL]]&lt;&gt;"",orcCenario2[[#This Row],[QUANTIDADE]]*orcCenario2[[#This Row],[MATERIAL]]*(1+orcCenario2[[#This Row],[BDI]]),SUMIFS(orcCenario2[CUSTO MATERIAL],orcCenario2['#],"&gt;"&amp;orcCenario2[[#This Row],['#]],orcCenario2['#],"&lt;"&amp;orcCenario2[[#This Row],['#]]+100))</f>
        <v>0</v>
      </c>
      <c r="O26" s="40">
        <f ca="1">IF(orcCenario2[EQUIPAMENTO]&lt;&gt;"",orcCenario2[[#This Row],[QUANTIDADE]]*orcCenario2[EQUIPAMENTO]*(1+orcCenario2[[#This Row],[BDI]]),SUMIFS(orcCenario2[CUSTO EQUIPAMENTO],orcCenario2['#],"&gt;"&amp;orcCenario2[[#This Row],['#]],orcCenario2['#],"&lt;"&amp;orcCenario2[[#This Row],['#]]+100))</f>
        <v>0</v>
      </c>
      <c r="P26" s="40">
        <f ca="1">SUM(orcCenario2[[#This Row],[CUSTO MÃO DE OBRA]:[CUSTO EQUIPAMENTO]])</f>
        <v>0</v>
      </c>
      <c r="Q26" s="64" t="str">
        <f ca="1">IF(orcCenario2[[#This Row],[QUANTIDADE]]=0,"Não","Sim")</f>
        <v>Não</v>
      </c>
    </row>
    <row r="27" spans="2:17" ht="45" x14ac:dyDescent="0.25">
      <c r="B27" s="49">
        <v>206</v>
      </c>
      <c r="C27" s="49">
        <f ca="1">IF(orcCenario2[[#This Row],[DESCRIÇÃO]]="ESTACAS",100,IF(orcCenario2[[#This Row],[DESCRIÇÃO]]="BLOCO",200,orcCenario2[[#This Row],['#]]-COUNTIFS(orcCenario2[QUANTIDADE],0,orcCenario2['#],"&lt;"&amp;orcCenario2[[#This Row],['#]],orcCenario2['#],"&gt;"&amp;ROUNDDOWN(orcCenario2[[#This Row],['#]],-2))))</f>
        <v>205</v>
      </c>
      <c r="D27" s="1">
        <v>92921</v>
      </c>
      <c r="E27" s="39" t="str">
        <f>IF(orcCenario2[[#This Row],['#]]=100,"ESTACAS",IF(orcCenario2[[#This Row],['#]]=200,"BLOCO",INDEX(composicoes[],MATCH(orcCenario2[[#This Row],[CÓDIGO]],composicoes[CÓDIGO],0),MATCH(orcCenario2[[#Headers],[DESCRIÇÃO]],composicoes[#Headers],0))))</f>
        <v>ARMAÇÃO DE ESTRUTURAS DIVERSAS DE CONCRETO ARMADO, EXCETO VIGAS, PILARES, LAJES E FUNDAÇÕES, UTILIZANDO AÇO CA-50 DE 12,5 MM - MONTAGEM. AF_06/2022</v>
      </c>
      <c r="F27" s="1" t="str">
        <f>IFERROR(INDEX(composicoes[],MATCH(orcCenario2[[#This Row],[CÓDIGO]],composicoes[CÓDIGO],0),MATCH(orcCenario2[[#Headers],[UN.]],composicoes[#Headers],0)),"")</f>
        <v>KG</v>
      </c>
      <c r="G27" s="4">
        <f ca="1">IF(orcCenario2[[#This Row],[CÓDIGO]]="","",quantitativo(orcCenario2[[#This Row],[CÓDIGO]],orcCenario2[[#This Row],['#]],CENÁRIOS!$I$3,CENÁRIOS!$I$4,cenario2[]))</f>
        <v>34.294901678601676</v>
      </c>
      <c r="H27" s="40">
        <f>IFERROR(INDEX(composicoes[],MATCH(orcCenario2[[#This Row],[CÓDIGO]],composicoes[CÓDIGO],0),MATCH(orcCenario2[[#Headers],[ MÃO DE OBRA]],composicoes[#Headers],0)),"")</f>
        <v>1.19</v>
      </c>
      <c r="I27" s="40">
        <f>IFERROR(INDEX(composicoes[],MATCH(orcCenario2[[#This Row],[CÓDIGO]],composicoes[CÓDIGO],0),MATCH(orcCenario2[[#Headers],[MATERIAL]],composicoes[#Headers],0)),"")</f>
        <v>9.31</v>
      </c>
      <c r="J27" s="40">
        <f>IFERROR(INDEX(composicoes[],MATCH(orcCenario2[[#This Row],[CÓDIGO]],composicoes[CÓDIGO],0),MATCH(orcCenario2[[#Headers],[EQUIPAMENTO]],composicoes[#Headers],0)),"")</f>
        <v>0</v>
      </c>
      <c r="K27" s="40">
        <f>IF(orcCenario2[[#This Row],[ MÃO DE OBRA]]="","",SUM(orcCenario2[[#This Row],[ MÃO DE OBRA]:[EQUIPAMENTO]]))</f>
        <v>10.5</v>
      </c>
      <c r="L27" s="23">
        <f>IF(orcCenario2[[#This Row],[CUSTO UNITÁRIO]]="","",CENÁRIOS!$I$6)</f>
        <v>0.22</v>
      </c>
      <c r="M27" s="40">
        <f ca="1">IF(orcCenario2[[#This Row],[ MÃO DE OBRA]]&lt;&gt;"",orcCenario2[[#This Row],[QUANTIDADE]]*orcCenario2[[#This Row],[ MÃO DE OBRA]]*(1+orcCenario2[[#This Row],[BDI]]),SUMIFS(orcCenario2[CUSTO MÃO DE OBRA],orcCenario2['#],"&gt;"&amp;orcCenario2[[#This Row],['#]],orcCenario2['#],"&lt;"&amp;orcCenario2[[#This Row],['#]]+100))</f>
        <v>49.789338256993908</v>
      </c>
      <c r="N27" s="40">
        <f ca="1">IF(orcCenario2[[#This Row],[MATERIAL]]&lt;&gt;"",orcCenario2[[#This Row],[QUANTIDADE]]*orcCenario2[[#This Row],[MATERIAL]]*(1+orcCenario2[[#This Row],[BDI]]),SUMIFS(orcCenario2[CUSTO MATERIAL],orcCenario2['#],"&gt;"&amp;orcCenario2[[#This Row],['#]],orcCenario2['#],"&lt;"&amp;orcCenario2[[#This Row],['#]]+100))</f>
        <v>389.52835224589353</v>
      </c>
      <c r="O27" s="40">
        <f ca="1">IF(orcCenario2[EQUIPAMENTO]&lt;&gt;"",orcCenario2[[#This Row],[QUANTIDADE]]*orcCenario2[EQUIPAMENTO]*(1+orcCenario2[[#This Row],[BDI]]),SUMIFS(orcCenario2[CUSTO EQUIPAMENTO],orcCenario2['#],"&gt;"&amp;orcCenario2[[#This Row],['#]],orcCenario2['#],"&lt;"&amp;orcCenario2[[#This Row],['#]]+100))</f>
        <v>0</v>
      </c>
      <c r="P27" s="40">
        <f ca="1">SUM(orcCenario2[[#This Row],[CUSTO MÃO DE OBRA]:[CUSTO EQUIPAMENTO]])</f>
        <v>439.31769050288744</v>
      </c>
      <c r="Q27" s="64" t="str">
        <f ca="1">IF(orcCenario2[[#This Row],[QUANTIDADE]]=0,"Não","Sim")</f>
        <v>Sim</v>
      </c>
    </row>
    <row r="28" spans="2:17" ht="45" x14ac:dyDescent="0.25">
      <c r="B28" s="49">
        <v>207</v>
      </c>
      <c r="C28" s="49">
        <f ca="1">IF(orcCenario2[[#This Row],[DESCRIÇÃO]]="ESTACAS",100,IF(orcCenario2[[#This Row],[DESCRIÇÃO]]="BLOCO",200,orcCenario2[[#This Row],['#]]-COUNTIFS(orcCenario2[QUANTIDADE],0,orcCenario2['#],"&lt;"&amp;orcCenario2[[#This Row],['#]],orcCenario2['#],"&gt;"&amp;ROUNDDOWN(orcCenario2[[#This Row],['#]],-2))))</f>
        <v>206</v>
      </c>
      <c r="D28" s="1">
        <v>92922</v>
      </c>
      <c r="E28" s="39" t="str">
        <f>IF(orcCenario2[[#This Row],['#]]=100,"ESTACAS",IF(orcCenario2[[#This Row],['#]]=200,"BLOCO",INDEX(composicoes[],MATCH(orcCenario2[[#This Row],[CÓDIGO]],composicoes[CÓDIGO],0),MATCH(orcCenario2[[#Headers],[DESCRIÇÃO]],composicoes[#Headers],0))))</f>
        <v>ARMAÇÃO DE ESTRUTURAS DIVERSAS DE CONCRETO ARMADO, EXCETO VIGAS, PILARES, LAJES E FUNDAÇÕES, UTILIZANDO AÇO CA-50 DE 16,0 MM - MONTAGEM. AF_06/2022</v>
      </c>
      <c r="F28" s="1" t="str">
        <f>IFERROR(INDEX(composicoes[],MATCH(orcCenario2[[#This Row],[CÓDIGO]],composicoes[CÓDIGO],0),MATCH(orcCenario2[[#Headers],[UN.]],composicoes[#Headers],0)),"")</f>
        <v>KG</v>
      </c>
      <c r="G28" s="4">
        <f ca="1">IF(orcCenario2[[#This Row],[CÓDIGO]]="","",quantitativo(orcCenario2[[#This Row],[CÓDIGO]],orcCenario2[[#This Row],['#]],CENÁRIOS!$I$3,CENÁRIOS!$I$4,cenario2[]))</f>
        <v>5.6820101369886373</v>
      </c>
      <c r="H28" s="40">
        <f>IFERROR(INDEX(composicoes[],MATCH(orcCenario2[[#This Row],[CÓDIGO]],composicoes[CÓDIGO],0),MATCH(orcCenario2[[#Headers],[ MÃO DE OBRA]],composicoes[#Headers],0)),"")</f>
        <v>0.86</v>
      </c>
      <c r="I28" s="40">
        <f>IFERROR(INDEX(composicoes[],MATCH(orcCenario2[[#This Row],[CÓDIGO]],composicoes[CÓDIGO],0),MATCH(orcCenario2[[#Headers],[MATERIAL]],composicoes[#Headers],0)),"")</f>
        <v>9.15</v>
      </c>
      <c r="J28" s="40">
        <f>IFERROR(INDEX(composicoes[],MATCH(orcCenario2[[#This Row],[CÓDIGO]],composicoes[CÓDIGO],0),MATCH(orcCenario2[[#Headers],[EQUIPAMENTO]],composicoes[#Headers],0)),"")</f>
        <v>0</v>
      </c>
      <c r="K28" s="40">
        <f>IF(orcCenario2[[#This Row],[ MÃO DE OBRA]]="","",SUM(orcCenario2[[#This Row],[ MÃO DE OBRA]:[EQUIPAMENTO]]))</f>
        <v>10.01</v>
      </c>
      <c r="L28" s="23">
        <f>IF(orcCenario2[[#This Row],[CUSTO UNITÁRIO]]="","",CENÁRIOS!$I$6)</f>
        <v>0.22</v>
      </c>
      <c r="M28" s="40">
        <f ca="1">IF(orcCenario2[[#This Row],[ MÃO DE OBRA]]&lt;&gt;"",orcCenario2[[#This Row],[QUANTIDADE]]*orcCenario2[[#This Row],[ MÃO DE OBRA]]*(1+orcCenario2[[#This Row],[BDI]]),SUMIFS(orcCenario2[CUSTO MÃO DE OBRA],orcCenario2['#],"&gt;"&amp;orcCenario2[[#This Row],['#]],orcCenario2['#],"&lt;"&amp;orcCenario2[[#This Row],['#]]+100))</f>
        <v>5.9615650357284782</v>
      </c>
      <c r="N28" s="40">
        <f ca="1">IF(orcCenario2[[#This Row],[MATERIAL]]&lt;&gt;"",orcCenario2[[#This Row],[QUANTIDADE]]*orcCenario2[[#This Row],[MATERIAL]]*(1+orcCenario2[[#This Row],[BDI]]),SUMIFS(orcCenario2[CUSTO MATERIAL],orcCenario2['#],"&gt;"&amp;orcCenario2[[#This Row],['#]],orcCenario2['#],"&lt;"&amp;orcCenario2[[#This Row],['#]]+100))</f>
        <v>63.428279159204159</v>
      </c>
      <c r="O28" s="40">
        <f ca="1">IF(orcCenario2[EQUIPAMENTO]&lt;&gt;"",orcCenario2[[#This Row],[QUANTIDADE]]*orcCenario2[EQUIPAMENTO]*(1+orcCenario2[[#This Row],[BDI]]),SUMIFS(orcCenario2[CUSTO EQUIPAMENTO],orcCenario2['#],"&gt;"&amp;orcCenario2[[#This Row],['#]],orcCenario2['#],"&lt;"&amp;orcCenario2[[#This Row],['#]]+100))</f>
        <v>0</v>
      </c>
      <c r="P28" s="40">
        <f ca="1">SUM(orcCenario2[[#This Row],[CUSTO MÃO DE OBRA]:[CUSTO EQUIPAMENTO]])</f>
        <v>69.389844194932635</v>
      </c>
      <c r="Q28" s="64" t="str">
        <f ca="1">IF(orcCenario2[[#This Row],[QUANTIDADE]]=0,"Não","Sim")</f>
        <v>Sim</v>
      </c>
    </row>
    <row r="29" spans="2:17" ht="45" x14ac:dyDescent="0.25">
      <c r="B29" s="49">
        <v>208</v>
      </c>
      <c r="C29" s="49">
        <f ca="1">IF(orcCenario2[[#This Row],[DESCRIÇÃO]]="ESTACAS",100,IF(orcCenario2[[#This Row],[DESCRIÇÃO]]="BLOCO",200,orcCenario2[[#This Row],['#]]-COUNTIFS(orcCenario2[QUANTIDADE],0,orcCenario2['#],"&lt;"&amp;orcCenario2[[#This Row],['#]],orcCenario2['#],"&gt;"&amp;ROUNDDOWN(orcCenario2[[#This Row],['#]],-2))))</f>
        <v>207</v>
      </c>
      <c r="D29" s="1">
        <v>92923</v>
      </c>
      <c r="E29" s="39" t="str">
        <f>IF(orcCenario2[[#This Row],['#]]=100,"ESTACAS",IF(orcCenario2[[#This Row],['#]]=200,"BLOCO",INDEX(composicoes[],MATCH(orcCenario2[[#This Row],[CÓDIGO]],composicoes[CÓDIGO],0),MATCH(orcCenario2[[#Headers],[DESCRIÇÃO]],composicoes[#Headers],0))))</f>
        <v>ARMAÇÃO DE ESTRUTURAS DIVERSAS DE CONCRETO ARMADO, EXCETO VIGAS, PILARES, LAJES E FUNDAÇÕES, UTILIZANDO AÇO CA-50 DE 20,0 MM - MONTAGEM. AF_06/2022</v>
      </c>
      <c r="F29" s="1" t="str">
        <f>IFERROR(INDEX(composicoes[],MATCH(orcCenario2[[#This Row],[CÓDIGO]],composicoes[CÓDIGO],0),MATCH(orcCenario2[[#Headers],[UN.]],composicoes[#Headers],0)),"")</f>
        <v>KG</v>
      </c>
      <c r="G29" s="4">
        <f ca="1">IF(orcCenario2[[#This Row],[CÓDIGO]]="","",quantitativo(orcCenario2[[#This Row],[CÓDIGO]],orcCenario2[[#This Row],['#]],CENÁRIOS!$I$3,CENÁRIOS!$I$4,cenario2[]))</f>
        <v>93.46709383327665</v>
      </c>
      <c r="H29" s="40">
        <f>IFERROR(INDEX(composicoes[],MATCH(orcCenario2[[#This Row],[CÓDIGO]],composicoes[CÓDIGO],0),MATCH(orcCenario2[[#Headers],[ MÃO DE OBRA]],composicoes[#Headers],0)),"")</f>
        <v>0.65</v>
      </c>
      <c r="I29" s="40">
        <f>IFERROR(INDEX(composicoes[],MATCH(orcCenario2[[#This Row],[CÓDIGO]],composicoes[CÓDIGO],0),MATCH(orcCenario2[[#Headers],[MATERIAL]],composicoes[#Headers],0)),"")</f>
        <v>10.56</v>
      </c>
      <c r="J29" s="40">
        <f>IFERROR(INDEX(composicoes[],MATCH(orcCenario2[[#This Row],[CÓDIGO]],composicoes[CÓDIGO],0),MATCH(orcCenario2[[#Headers],[EQUIPAMENTO]],composicoes[#Headers],0)),"")</f>
        <v>0</v>
      </c>
      <c r="K29" s="40">
        <f>IF(orcCenario2[[#This Row],[ MÃO DE OBRA]]="","",SUM(orcCenario2[[#This Row],[ MÃO DE OBRA]:[EQUIPAMENTO]]))</f>
        <v>11.21</v>
      </c>
      <c r="L29" s="23">
        <f>IF(orcCenario2[[#This Row],[CUSTO UNITÁRIO]]="","",CENÁRIOS!$I$6)</f>
        <v>0.22</v>
      </c>
      <c r="M29" s="40">
        <f ca="1">IF(orcCenario2[[#This Row],[ MÃO DE OBRA]]&lt;&gt;"",orcCenario2[[#This Row],[QUANTIDADE]]*orcCenario2[[#This Row],[ MÃO DE OBRA]]*(1+orcCenario2[[#This Row],[BDI]]),SUMIFS(orcCenario2[CUSTO MÃO DE OBRA],orcCenario2['#],"&gt;"&amp;orcCenario2[[#This Row],['#]],orcCenario2['#],"&lt;"&amp;orcCenario2[[#This Row],['#]]+100))</f>
        <v>74.119405409788385</v>
      </c>
      <c r="N29" s="40">
        <f ca="1">IF(orcCenario2[[#This Row],[MATERIAL]]&lt;&gt;"",orcCenario2[[#This Row],[QUANTIDADE]]*orcCenario2[[#This Row],[MATERIAL]]*(1+orcCenario2[[#This Row],[BDI]]),SUMIFS(orcCenario2[CUSTO MATERIAL],orcCenario2['#],"&gt;"&amp;orcCenario2[[#This Row],['#]],orcCenario2['#],"&lt;"&amp;orcCenario2[[#This Row],['#]]+100))</f>
        <v>1204.1552632728697</v>
      </c>
      <c r="O29" s="40">
        <f ca="1">IF(orcCenario2[EQUIPAMENTO]&lt;&gt;"",orcCenario2[[#This Row],[QUANTIDADE]]*orcCenario2[EQUIPAMENTO]*(1+orcCenario2[[#This Row],[BDI]]),SUMIFS(orcCenario2[CUSTO EQUIPAMENTO],orcCenario2['#],"&gt;"&amp;orcCenario2[[#This Row],['#]],orcCenario2['#],"&lt;"&amp;orcCenario2[[#This Row],['#]]+100))</f>
        <v>0</v>
      </c>
      <c r="P29" s="40">
        <f ca="1">SUM(orcCenario2[[#This Row],[CUSTO MÃO DE OBRA]:[CUSTO EQUIPAMENTO]])</f>
        <v>1278.2746686826581</v>
      </c>
      <c r="Q29" s="64" t="str">
        <f ca="1">IF(orcCenario2[[#This Row],[QUANTIDADE]]=0,"Não","Sim")</f>
        <v>Sim</v>
      </c>
    </row>
    <row r="30" spans="2:17" ht="45" x14ac:dyDescent="0.25">
      <c r="B30" s="49">
        <v>209</v>
      </c>
      <c r="C30" s="49">
        <f ca="1">IF(orcCenario2[[#This Row],[DESCRIÇÃO]]="ESTACAS",100,IF(orcCenario2[[#This Row],[DESCRIÇÃO]]="BLOCO",200,orcCenario2[[#This Row],['#]]-COUNTIFS(orcCenario2[QUANTIDADE],0,orcCenario2['#],"&lt;"&amp;orcCenario2[[#This Row],['#]],orcCenario2['#],"&gt;"&amp;ROUNDDOWN(orcCenario2[[#This Row],['#]],-2))))</f>
        <v>208</v>
      </c>
      <c r="D30" s="1">
        <v>92924</v>
      </c>
      <c r="E30" s="39" t="str">
        <f>IF(orcCenario2[[#This Row],['#]]=100,"ESTACAS",IF(orcCenario2[[#This Row],['#]]=200,"BLOCO",INDEX(composicoes[],MATCH(orcCenario2[[#This Row],[CÓDIGO]],composicoes[CÓDIGO],0),MATCH(orcCenario2[[#Headers],[DESCRIÇÃO]],composicoes[#Headers],0))))</f>
        <v>ARMAÇÃO DE ESTRUTURAS DIVERSAS DE CONCRETO ARMADO, EXCETO VIGAS, PILARES, LAJES E FUNDAÇÕES, UTILIZANDO AÇO CA-50 DE 25,0 MM - MONTAGEM. AF_06/2022</v>
      </c>
      <c r="F30" s="1" t="str">
        <f>IFERROR(INDEX(composicoes[],MATCH(orcCenario2[[#This Row],[CÓDIGO]],composicoes[CÓDIGO],0),MATCH(orcCenario2[[#Headers],[UN.]],composicoes[#Headers],0)),"")</f>
        <v>KG</v>
      </c>
      <c r="G30" s="4">
        <f ca="1">IF(orcCenario2[[#This Row],[CÓDIGO]]="","",quantitativo(orcCenario2[[#This Row],[CÓDIGO]],orcCenario2[[#This Row],['#]],CENÁRIOS!$I$3,CENÁRIOS!$I$4,cenario2[]))</f>
        <v>33.909565704684795</v>
      </c>
      <c r="H30" s="40">
        <f>IFERROR(INDEX(composicoes[],MATCH(orcCenario2[[#This Row],[CÓDIGO]],composicoes[CÓDIGO],0),MATCH(orcCenario2[[#Headers],[ MÃO DE OBRA]],composicoes[#Headers],0)),"")</f>
        <v>0.51</v>
      </c>
      <c r="I30" s="40">
        <f>IFERROR(INDEX(composicoes[],MATCH(orcCenario2[[#This Row],[CÓDIGO]],composicoes[CÓDIGO],0),MATCH(orcCenario2[[#Headers],[MATERIAL]],composicoes[#Headers],0)),"")</f>
        <v>10.49</v>
      </c>
      <c r="J30" s="40">
        <f>IFERROR(INDEX(composicoes[],MATCH(orcCenario2[[#This Row],[CÓDIGO]],composicoes[CÓDIGO],0),MATCH(orcCenario2[[#Headers],[EQUIPAMENTO]],composicoes[#Headers],0)),"")</f>
        <v>0</v>
      </c>
      <c r="K30" s="40">
        <f>IF(orcCenario2[[#This Row],[ MÃO DE OBRA]]="","",SUM(orcCenario2[[#This Row],[ MÃO DE OBRA]:[EQUIPAMENTO]]))</f>
        <v>11</v>
      </c>
      <c r="L30" s="23">
        <f>IF(orcCenario2[[#This Row],[CUSTO UNITÁRIO]]="","",CENÁRIOS!$I$6)</f>
        <v>0.22</v>
      </c>
      <c r="M30" s="40">
        <f ca="1">IF(orcCenario2[[#This Row],[ MÃO DE OBRA]]&lt;&gt;"",orcCenario2[[#This Row],[QUANTIDADE]]*orcCenario2[[#This Row],[ MÃO DE OBRA]]*(1+orcCenario2[[#This Row],[BDI]]),SUMIFS(orcCenario2[CUSTO MÃO DE OBRA],orcCenario2['#],"&gt;"&amp;orcCenario2[[#This Row],['#]],orcCenario2['#],"&lt;"&amp;orcCenario2[[#This Row],['#]]+100))</f>
        <v>21.098531781454877</v>
      </c>
      <c r="N30" s="40">
        <f ca="1">IF(orcCenario2[[#This Row],[MATERIAL]]&lt;&gt;"",orcCenario2[[#This Row],[QUANTIDADE]]*orcCenario2[[#This Row],[MATERIAL]]*(1+orcCenario2[[#This Row],[BDI]]),SUMIFS(orcCenario2[CUSTO MATERIAL],orcCenario2['#],"&gt;"&amp;orcCenario2[[#This Row],['#]],orcCenario2['#],"&lt;"&amp;orcCenario2[[#This Row],['#]]+100))</f>
        <v>433.96783997541507</v>
      </c>
      <c r="O30" s="40">
        <f ca="1">IF(orcCenario2[EQUIPAMENTO]&lt;&gt;"",orcCenario2[[#This Row],[QUANTIDADE]]*orcCenario2[EQUIPAMENTO]*(1+orcCenario2[[#This Row],[BDI]]),SUMIFS(orcCenario2[CUSTO EQUIPAMENTO],orcCenario2['#],"&gt;"&amp;orcCenario2[[#This Row],['#]],orcCenario2['#],"&lt;"&amp;orcCenario2[[#This Row],['#]]+100))</f>
        <v>0</v>
      </c>
      <c r="P30" s="40">
        <f ca="1">SUM(orcCenario2[[#This Row],[CUSTO MÃO DE OBRA]:[CUSTO EQUIPAMENTO]])</f>
        <v>455.06637175686996</v>
      </c>
      <c r="Q30" s="64" t="str">
        <f ca="1">IF(orcCenario2[[#This Row],[QUANTIDADE]]=0,"Não","Sim")</f>
        <v>Sim</v>
      </c>
    </row>
    <row r="31" spans="2:17" ht="30" x14ac:dyDescent="0.25">
      <c r="B31" s="49">
        <v>210</v>
      </c>
      <c r="C31" s="49">
        <f ca="1">IF(orcCenario2[[#This Row],[DESCRIÇÃO]]="ESTACAS",100,IF(orcCenario2[[#This Row],[DESCRIÇÃO]]="BLOCO",200,orcCenario2[[#This Row],['#]]-COUNTIFS(orcCenario2[QUANTIDADE],0,orcCenario2['#],"&lt;"&amp;orcCenario2[[#This Row],['#]],orcCenario2['#],"&gt;"&amp;ROUNDDOWN(orcCenario2[[#This Row],['#]],-2))))</f>
        <v>209</v>
      </c>
      <c r="D31" s="1">
        <v>96534</v>
      </c>
      <c r="E31" s="39" t="str">
        <f>IF(orcCenario2[[#This Row],['#]]=100,"ESTACAS",IF(orcCenario2[[#This Row],['#]]=200,"BLOCO",INDEX(composicoes[],MATCH(orcCenario2[[#This Row],[CÓDIGO]],composicoes[CÓDIGO],0),MATCH(orcCenario2[[#Headers],[DESCRIÇÃO]],composicoes[#Headers],0))))</f>
        <v>FABRICAÇÃO, MONTAGEM E DESMONTAGEM DE FÔRMA PARA BLOCO DE COROAMENTO, EM MADEIRA SERRADA, E=25 MM, 4 UTILIZAÇÕES. AF_06/2017</v>
      </c>
      <c r="F31" s="1" t="str">
        <f>IFERROR(INDEX(composicoes[],MATCH(orcCenario2[[#This Row],[CÓDIGO]],composicoes[CÓDIGO],0),MATCH(orcCenario2[[#Headers],[UN.]],composicoes[#Headers],0)),"")</f>
        <v>M²</v>
      </c>
      <c r="G31" s="4">
        <f ca="1">IF(orcCenario2[[#This Row],[CÓDIGO]]="","",quantitativo(orcCenario2[[#This Row],[CÓDIGO]],orcCenario2[[#This Row],['#]],CENÁRIOS!$I$3,CENÁRIOS!$I$4,cenario2[]))</f>
        <v>25.17715205261036</v>
      </c>
      <c r="H31" s="40">
        <f>IFERROR(INDEX(composicoes[],MATCH(orcCenario2[[#This Row],[CÓDIGO]],composicoes[CÓDIGO],0),MATCH(orcCenario2[[#Headers],[ MÃO DE OBRA]],composicoes[#Headers],0)),"")</f>
        <v>39.979999999999997</v>
      </c>
      <c r="I31" s="40">
        <f>IFERROR(INDEX(composicoes[],MATCH(orcCenario2[[#This Row],[CÓDIGO]],composicoes[CÓDIGO],0),MATCH(orcCenario2[[#Headers],[MATERIAL]],composicoes[#Headers],0)),"")</f>
        <v>61.79</v>
      </c>
      <c r="J31" s="40">
        <f>IFERROR(INDEX(composicoes[],MATCH(orcCenario2[[#This Row],[CÓDIGO]],composicoes[CÓDIGO],0),MATCH(orcCenario2[[#Headers],[EQUIPAMENTO]],composicoes[#Headers],0)),"")</f>
        <v>0.01</v>
      </c>
      <c r="K31" s="40">
        <f>IF(orcCenario2[[#This Row],[ MÃO DE OBRA]]="","",SUM(orcCenario2[[#This Row],[ MÃO DE OBRA]:[EQUIPAMENTO]]))</f>
        <v>101.78</v>
      </c>
      <c r="L31" s="23">
        <f>IF(orcCenario2[[#This Row],[CUSTO UNITÁRIO]]="","",CENÁRIOS!$I$6)</f>
        <v>0.22</v>
      </c>
      <c r="M31" s="40">
        <f ca="1">IF(orcCenario2[[#This Row],[ MÃO DE OBRA]]&lt;&gt;"",orcCenario2[[#This Row],[QUANTIDADE]]*orcCenario2[[#This Row],[ MÃO DE OBRA]]*(1+orcCenario2[[#This Row],[BDI]]),SUMIFS(orcCenario2[CUSTO MÃO DE OBRA],orcCenario2['#],"&gt;"&amp;orcCenario2[[#This Row],['#]],orcCenario2['#],"&lt;"&amp;orcCenario2[[#This Row],['#]]+100))</f>
        <v>1228.0306976573017</v>
      </c>
      <c r="N31" s="40">
        <f ca="1">IF(orcCenario2[[#This Row],[MATERIAL]]&lt;&gt;"",orcCenario2[[#This Row],[QUANTIDADE]]*orcCenario2[[#This Row],[MATERIAL]]*(1+orcCenario2[[#This Row],[BDI]]),SUMIFS(orcCenario2[CUSTO MATERIAL],orcCenario2['#],"&gt;"&amp;orcCenario2[[#This Row],['#]],orcCenario2['#],"&lt;"&amp;orcCenario2[[#This Row],['#]]+100))</f>
        <v>1897.9493949035686</v>
      </c>
      <c r="O31" s="40">
        <f ca="1">IF(orcCenario2[EQUIPAMENTO]&lt;&gt;"",orcCenario2[[#This Row],[QUANTIDADE]]*orcCenario2[EQUIPAMENTO]*(1+orcCenario2[[#This Row],[BDI]]),SUMIFS(orcCenario2[CUSTO EQUIPAMENTO],orcCenario2['#],"&gt;"&amp;orcCenario2[[#This Row],['#]],orcCenario2['#],"&lt;"&amp;orcCenario2[[#This Row],['#]]+100))</f>
        <v>0.30716125504184644</v>
      </c>
      <c r="P31" s="40">
        <f ca="1">SUM(orcCenario2[[#This Row],[CUSTO MÃO DE OBRA]:[CUSTO EQUIPAMENTO]])</f>
        <v>3126.2872538159127</v>
      </c>
      <c r="Q31" s="64" t="str">
        <f ca="1">IF(orcCenario2[[#This Row],[QUANTIDADE]]=0,"Não","Sim")</f>
        <v>Sim</v>
      </c>
    </row>
    <row r="32" spans="2:17" ht="30" hidden="1" x14ac:dyDescent="0.25">
      <c r="B32" s="49">
        <v>211</v>
      </c>
      <c r="C32" s="49">
        <f ca="1">IF(orcCenario2[[#This Row],[DESCRIÇÃO]]="ESTACAS",100,IF(orcCenario2[[#This Row],[DESCRIÇÃO]]="BLOCO",200,orcCenario2[[#This Row],['#]]-COUNTIFS(orcCenario2[QUANTIDADE],0,orcCenario2['#],"&lt;"&amp;orcCenario2[[#This Row],['#]],orcCenario2['#],"&gt;"&amp;ROUNDDOWN(orcCenario2[[#This Row],['#]],-2))))</f>
        <v>210</v>
      </c>
      <c r="D32" s="1">
        <v>94965</v>
      </c>
      <c r="E32" s="39" t="str">
        <f>IF(orcCenario2[[#This Row],['#]]=100,"ESTACAS",IF(orcCenario2[[#This Row],['#]]=200,"BLOCO",INDEX(composicoes[],MATCH(orcCenario2[[#This Row],[CÓDIGO]],composicoes[CÓDIGO],0),MATCH(orcCenario2[[#Headers],[DESCRIÇÃO]],composicoes[#Headers],0))))</f>
        <v>CONCRETO FCK = 25MPA, TRAÇO 1:2,3:2,7 (EM MASSA SECA DE CIMENTO/ AREIA MÉDIA/ BRITA 1) - PREPARO MECÂNICO COM BETONEIRA 400 L. AF_05/2021</v>
      </c>
      <c r="F32" s="1" t="str">
        <f>IFERROR(INDEX(composicoes[],MATCH(orcCenario2[[#This Row],[CÓDIGO]],composicoes[CÓDIGO],0),MATCH(orcCenario2[[#Headers],[UN.]],composicoes[#Headers],0)),"")</f>
        <v>M³</v>
      </c>
      <c r="G32" s="4">
        <f ca="1">IF(orcCenario2[[#This Row],[CÓDIGO]]="","",quantitativo(orcCenario2[[#This Row],[CÓDIGO]],orcCenario2[[#This Row],['#]],CENÁRIOS!$I$3,CENÁRIOS!$I$4,cenario2[]))</f>
        <v>0</v>
      </c>
      <c r="H32" s="40">
        <f>IFERROR(INDEX(composicoes[],MATCH(orcCenario2[[#This Row],[CÓDIGO]],composicoes[CÓDIGO],0),MATCH(orcCenario2[[#Headers],[ MÃO DE OBRA]],composicoes[#Headers],0)),"")</f>
        <v>57.3</v>
      </c>
      <c r="I32" s="40">
        <f>IFERROR(INDEX(composicoes[],MATCH(orcCenario2[[#This Row],[CÓDIGO]],composicoes[CÓDIGO],0),MATCH(orcCenario2[[#Headers],[MATERIAL]],composicoes[#Headers],0)),"")</f>
        <v>365.86</v>
      </c>
      <c r="J32" s="40">
        <f>IFERROR(INDEX(composicoes[],MATCH(orcCenario2[[#This Row],[CÓDIGO]],composicoes[CÓDIGO],0),MATCH(orcCenario2[[#Headers],[EQUIPAMENTO]],composicoes[#Headers],0)),"")</f>
        <v>1.31</v>
      </c>
      <c r="K32" s="40">
        <f>IF(orcCenario2[[#This Row],[ MÃO DE OBRA]]="","",SUM(orcCenario2[[#This Row],[ MÃO DE OBRA]:[EQUIPAMENTO]]))</f>
        <v>424.47</v>
      </c>
      <c r="L32" s="23">
        <f>IF(orcCenario2[[#This Row],[CUSTO UNITÁRIO]]="","",CENÁRIOS!$I$6)</f>
        <v>0.22</v>
      </c>
      <c r="M32" s="40">
        <f ca="1">IF(orcCenario2[[#This Row],[ MÃO DE OBRA]]&lt;&gt;"",orcCenario2[[#This Row],[QUANTIDADE]]*orcCenario2[[#This Row],[ MÃO DE OBRA]]*(1+orcCenario2[[#This Row],[BDI]]),SUMIFS(orcCenario2[CUSTO MÃO DE OBRA],orcCenario2['#],"&gt;"&amp;orcCenario2[[#This Row],['#]],orcCenario2['#],"&lt;"&amp;orcCenario2[[#This Row],['#]]+100))</f>
        <v>0</v>
      </c>
      <c r="N32" s="40">
        <f ca="1">IF(orcCenario2[[#This Row],[MATERIAL]]&lt;&gt;"",orcCenario2[[#This Row],[QUANTIDADE]]*orcCenario2[[#This Row],[MATERIAL]]*(1+orcCenario2[[#This Row],[BDI]]),SUMIFS(orcCenario2[CUSTO MATERIAL],orcCenario2['#],"&gt;"&amp;orcCenario2[[#This Row],['#]],orcCenario2['#],"&lt;"&amp;orcCenario2[[#This Row],['#]]+100))</f>
        <v>0</v>
      </c>
      <c r="O32" s="40">
        <f ca="1">IF(orcCenario2[EQUIPAMENTO]&lt;&gt;"",orcCenario2[[#This Row],[QUANTIDADE]]*orcCenario2[EQUIPAMENTO]*(1+orcCenario2[[#This Row],[BDI]]),SUMIFS(orcCenario2[CUSTO EQUIPAMENTO],orcCenario2['#],"&gt;"&amp;orcCenario2[[#This Row],['#]],orcCenario2['#],"&lt;"&amp;orcCenario2[[#This Row],['#]]+100))</f>
        <v>0</v>
      </c>
      <c r="P32" s="40">
        <f ca="1">SUM(orcCenario2[[#This Row],[CUSTO MÃO DE OBRA]:[CUSTO EQUIPAMENTO]])</f>
        <v>0</v>
      </c>
      <c r="Q32" s="64" t="str">
        <f ca="1">IF(orcCenario2[[#This Row],[QUANTIDADE]]=0,"Não","Sim")</f>
        <v>Não</v>
      </c>
    </row>
    <row r="33" spans="2:17" ht="30" x14ac:dyDescent="0.25">
      <c r="B33" s="49">
        <v>212</v>
      </c>
      <c r="C33" s="49">
        <f ca="1">IF(orcCenario2[[#This Row],[DESCRIÇÃO]]="ESTACAS",100,IF(orcCenario2[[#This Row],[DESCRIÇÃO]]="BLOCO",200,orcCenario2[[#This Row],['#]]-COUNTIFS(orcCenario2[QUANTIDADE],0,orcCenario2['#],"&lt;"&amp;orcCenario2[[#This Row],['#]],orcCenario2['#],"&gt;"&amp;ROUNDDOWN(orcCenario2[[#This Row],['#]],-2))))</f>
        <v>210</v>
      </c>
      <c r="D33" s="1">
        <v>94966</v>
      </c>
      <c r="E33" s="39" t="str">
        <f>IF(orcCenario2[[#This Row],['#]]=100,"ESTACAS",IF(orcCenario2[[#This Row],['#]]=200,"BLOCO",INDEX(composicoes[],MATCH(orcCenario2[[#This Row],[CÓDIGO]],composicoes[CÓDIGO],0),MATCH(orcCenario2[[#Headers],[DESCRIÇÃO]],composicoes[#Headers],0))))</f>
        <v>CONCRETO FCK = 30MPA, TRAÇO 1:2,1:2,5 (EM MASSA SECA DE CIMENTO/ AREIA MÉDIA/ BRITA 1) - PREPARO MECÂNICO COM BETONEIRA 400 L. AF_05/2021</v>
      </c>
      <c r="F33" s="1" t="str">
        <f>IFERROR(INDEX(composicoes[],MATCH(orcCenario2[[#This Row],[CÓDIGO]],composicoes[CÓDIGO],0),MATCH(orcCenario2[[#Headers],[UN.]],composicoes[#Headers],0)),"")</f>
        <v>M³</v>
      </c>
      <c r="G33" s="4">
        <f ca="1">IF(orcCenario2[[#This Row],[CÓDIGO]]="","",quantitativo(orcCenario2[[#This Row],[CÓDIGO]],orcCenario2[[#This Row],['#]],CENÁRIOS!$I$3,CENÁRIOS!$I$4,cenario2[]))</f>
        <v>21.186327635511994</v>
      </c>
      <c r="H33" s="40">
        <f>IFERROR(INDEX(composicoes[],MATCH(orcCenario2[[#This Row],[CÓDIGO]],composicoes[CÓDIGO],0),MATCH(orcCenario2[[#Headers],[ MÃO DE OBRA]],composicoes[#Headers],0)),"")</f>
        <v>56.82</v>
      </c>
      <c r="I33" s="40">
        <f>IFERROR(INDEX(composicoes[],MATCH(orcCenario2[[#This Row],[CÓDIGO]],composicoes[CÓDIGO],0),MATCH(orcCenario2[[#Headers],[MATERIAL]],composicoes[#Headers],0)),"")</f>
        <v>381.4</v>
      </c>
      <c r="J33" s="40">
        <f>IFERROR(INDEX(composicoes[],MATCH(orcCenario2[[#This Row],[CÓDIGO]],composicoes[CÓDIGO],0),MATCH(orcCenario2[[#Headers],[EQUIPAMENTO]],composicoes[#Headers],0)),"")</f>
        <v>1.2999999999999998</v>
      </c>
      <c r="K33" s="40">
        <f>IF(orcCenario2[[#This Row],[ MÃO DE OBRA]]="","",SUM(orcCenario2[[#This Row],[ MÃO DE OBRA]:[EQUIPAMENTO]]))</f>
        <v>439.52</v>
      </c>
      <c r="L33" s="23">
        <f>IF(orcCenario2[[#This Row],[CUSTO UNITÁRIO]]="","",CENÁRIOS!$I$6)</f>
        <v>0.22</v>
      </c>
      <c r="M33" s="40">
        <f ca="1">IF(orcCenario2[[#This Row],[ MÃO DE OBRA]]&lt;&gt;"",orcCenario2[[#This Row],[QUANTIDADE]]*orcCenario2[[#This Row],[ MÃO DE OBRA]]*(1+orcCenario2[[#This Row],[BDI]]),SUMIFS(orcCenario2[CUSTO MÃO DE OBRA],orcCenario2['#],"&gt;"&amp;orcCenario2[[#This Row],['#]],orcCenario2['#],"&lt;"&amp;orcCenario2[[#This Row],['#]]+100))</f>
        <v>1468.6447062247455</v>
      </c>
      <c r="N33" s="40">
        <f ca="1">IF(orcCenario2[[#This Row],[MATERIAL]]&lt;&gt;"",orcCenario2[[#This Row],[QUANTIDADE]]*orcCenario2[[#This Row],[MATERIAL]]*(1+orcCenario2[[#This Row],[BDI]]),SUMIFS(orcCenario2[CUSTO MATERIAL],orcCenario2['#],"&gt;"&amp;orcCenario2[[#This Row],['#]],orcCenario2['#],"&lt;"&amp;orcCenario2[[#This Row],['#]]+100))</f>
        <v>9858.1677394248145</v>
      </c>
      <c r="O33" s="40">
        <f ca="1">IF(orcCenario2[EQUIPAMENTO]&lt;&gt;"",orcCenario2[[#This Row],[QUANTIDADE]]*orcCenario2[EQUIPAMENTO]*(1+orcCenario2[[#This Row],[BDI]]),SUMIFS(orcCenario2[CUSTO EQUIPAMENTO],orcCenario2['#],"&gt;"&amp;orcCenario2[[#This Row],['#]],orcCenario2['#],"&lt;"&amp;orcCenario2[[#This Row],['#]]+100))</f>
        <v>33.601515629922019</v>
      </c>
      <c r="P33" s="40">
        <f ca="1">SUM(orcCenario2[[#This Row],[CUSTO MÃO DE OBRA]:[CUSTO EQUIPAMENTO]])</f>
        <v>11360.413961279482</v>
      </c>
      <c r="Q33" s="64" t="str">
        <f ca="1">IF(orcCenario2[[#This Row],[QUANTIDADE]]=0,"Não","Sim")</f>
        <v>Sim</v>
      </c>
    </row>
    <row r="34" spans="2:17" ht="30" hidden="1" x14ac:dyDescent="0.25">
      <c r="B34" s="49">
        <v>213</v>
      </c>
      <c r="C34" s="49">
        <f ca="1">IF(orcCenario2[[#This Row],[DESCRIÇÃO]]="ESTACAS",100,IF(orcCenario2[[#This Row],[DESCRIÇÃO]]="BLOCO",200,orcCenario2[[#This Row],['#]]-COUNTIFS(orcCenario2[QUANTIDADE],0,orcCenario2['#],"&lt;"&amp;orcCenario2[[#This Row],['#]],orcCenario2['#],"&gt;"&amp;ROUNDDOWN(orcCenario2[[#This Row],['#]],-2))))</f>
        <v>211</v>
      </c>
      <c r="D34" s="1">
        <v>94967</v>
      </c>
      <c r="E34" s="39" t="str">
        <f>IF(orcCenario2[[#This Row],['#]]=100,"ESTACAS",IF(orcCenario2[[#This Row],['#]]=200,"BLOCO",INDEX(composicoes[],MATCH(orcCenario2[[#This Row],[CÓDIGO]],composicoes[CÓDIGO],0),MATCH(orcCenario2[[#Headers],[DESCRIÇÃO]],composicoes[#Headers],0))))</f>
        <v>CONCRETO FCK = 40MPA, TRAÇO 1:1,6:1,9 (EM MASSA SECA DE CIMENTO/ AREIA MÉDIA/ BRITA 1) - PREPARO MECÂNICO COM BETONEIRA 400 L. AF_05/2021</v>
      </c>
      <c r="F34" s="1" t="str">
        <f>IFERROR(INDEX(composicoes[],MATCH(orcCenario2[[#This Row],[CÓDIGO]],composicoes[CÓDIGO],0),MATCH(orcCenario2[[#Headers],[UN.]],composicoes[#Headers],0)),"")</f>
        <v>M³</v>
      </c>
      <c r="G34" s="4">
        <f ca="1">IF(orcCenario2[[#This Row],[CÓDIGO]]="","",quantitativo(orcCenario2[[#This Row],[CÓDIGO]],orcCenario2[[#This Row],['#]],CENÁRIOS!$I$3,CENÁRIOS!$I$4,cenario2[]))</f>
        <v>0</v>
      </c>
      <c r="H34" s="40">
        <f>IFERROR(INDEX(composicoes[],MATCH(orcCenario2[[#This Row],[CÓDIGO]],composicoes[CÓDIGO],0),MATCH(orcCenario2[[#Headers],[ MÃO DE OBRA]],composicoes[#Headers],0)),"")</f>
        <v>60.4</v>
      </c>
      <c r="I34" s="40">
        <f>IFERROR(INDEX(composicoes[],MATCH(orcCenario2[[#This Row],[CÓDIGO]],composicoes[CÓDIGO],0),MATCH(orcCenario2[[#Headers],[MATERIAL]],composicoes[#Headers],0)),"")</f>
        <v>443.17</v>
      </c>
      <c r="J34" s="40">
        <f>IFERROR(INDEX(composicoes[],MATCH(orcCenario2[[#This Row],[CÓDIGO]],composicoes[CÓDIGO],0),MATCH(orcCenario2[[#Headers],[EQUIPAMENTO]],composicoes[#Headers],0)),"")</f>
        <v>1.38</v>
      </c>
      <c r="K34" s="40">
        <f>IF(orcCenario2[[#This Row],[ MÃO DE OBRA]]="","",SUM(orcCenario2[[#This Row],[ MÃO DE OBRA]:[EQUIPAMENTO]]))</f>
        <v>504.95</v>
      </c>
      <c r="L34" s="23">
        <f>IF(orcCenario2[[#This Row],[CUSTO UNITÁRIO]]="","",CENÁRIOS!$I$6)</f>
        <v>0.22</v>
      </c>
      <c r="M34" s="40">
        <f ca="1">IF(orcCenario2[[#This Row],[ MÃO DE OBRA]]&lt;&gt;"",orcCenario2[[#This Row],[QUANTIDADE]]*orcCenario2[[#This Row],[ MÃO DE OBRA]]*(1+orcCenario2[[#This Row],[BDI]]),SUMIFS(orcCenario2[CUSTO MÃO DE OBRA],orcCenario2['#],"&gt;"&amp;orcCenario2[[#This Row],['#]],orcCenario2['#],"&lt;"&amp;orcCenario2[[#This Row],['#]]+100))</f>
        <v>0</v>
      </c>
      <c r="N34" s="40">
        <f ca="1">IF(orcCenario2[[#This Row],[MATERIAL]]&lt;&gt;"",orcCenario2[[#This Row],[QUANTIDADE]]*orcCenario2[[#This Row],[MATERIAL]]*(1+orcCenario2[[#This Row],[BDI]]),SUMIFS(orcCenario2[CUSTO MATERIAL],orcCenario2['#],"&gt;"&amp;orcCenario2[[#This Row],['#]],orcCenario2['#],"&lt;"&amp;orcCenario2[[#This Row],['#]]+100))</f>
        <v>0</v>
      </c>
      <c r="O34" s="40">
        <f ca="1">IF(orcCenario2[EQUIPAMENTO]&lt;&gt;"",orcCenario2[[#This Row],[QUANTIDADE]]*orcCenario2[EQUIPAMENTO]*(1+orcCenario2[[#This Row],[BDI]]),SUMIFS(orcCenario2[CUSTO EQUIPAMENTO],orcCenario2['#],"&gt;"&amp;orcCenario2[[#This Row],['#]],orcCenario2['#],"&lt;"&amp;orcCenario2[[#This Row],['#]]+100))</f>
        <v>0</v>
      </c>
      <c r="P34" s="40">
        <f ca="1">SUM(orcCenario2[[#This Row],[CUSTO MÃO DE OBRA]:[CUSTO EQUIPAMENTO]])</f>
        <v>0</v>
      </c>
      <c r="Q34" s="64" t="str">
        <f ca="1">IF(orcCenario2[[#This Row],[QUANTIDADE]]=0,"Não","Sim")</f>
        <v>Não</v>
      </c>
    </row>
    <row r="35" spans="2:17" ht="30" x14ac:dyDescent="0.25">
      <c r="B35" s="49">
        <v>214</v>
      </c>
      <c r="C35" s="49">
        <f ca="1">IF(orcCenario2[[#This Row],[DESCRIÇÃO]]="ESTACAS",100,IF(orcCenario2[[#This Row],[DESCRIÇÃO]]="BLOCO",200,orcCenario2[[#This Row],['#]]-COUNTIFS(orcCenario2[QUANTIDADE],0,orcCenario2['#],"&lt;"&amp;orcCenario2[[#This Row],['#]],orcCenario2['#],"&gt;"&amp;ROUNDDOWN(orcCenario2[[#This Row],['#]],-2))))</f>
        <v>211</v>
      </c>
      <c r="D35" s="1">
        <v>103673</v>
      </c>
      <c r="E35" s="39" t="str">
        <f>IF(orcCenario2[[#This Row],['#]]=100,"ESTACAS",IF(orcCenario2[[#This Row],['#]]=200,"BLOCO",INDEX(composicoes[],MATCH(orcCenario2[[#This Row],[CÓDIGO]],composicoes[CÓDIGO],0),MATCH(orcCenario2[[#Headers],[DESCRIÇÃO]],composicoes[#Headers],0))))</f>
        <v>LANÇAMENTO COM USO DE BOMBA, ADENSAMENTO E ACABAMENTO DE CONCRETO EM ESTRUTURAS. AF_02/2022</v>
      </c>
      <c r="F35" s="1" t="str">
        <f>IFERROR(INDEX(composicoes[],MATCH(orcCenario2[[#This Row],[CÓDIGO]],composicoes[CÓDIGO],0),MATCH(orcCenario2[[#Headers],[UN.]],composicoes[#Headers],0)),"")</f>
        <v>M³</v>
      </c>
      <c r="G35" s="4">
        <f ca="1">IF(orcCenario2[[#This Row],[CÓDIGO]]="","",quantitativo(orcCenario2[[#This Row],[CÓDIGO]],orcCenario2[[#This Row],['#]],CENÁRIOS!$I$3,CENÁRIOS!$I$4,cenario2[]))</f>
        <v>21.186327635511994</v>
      </c>
      <c r="H35" s="40">
        <f>IFERROR(INDEX(composicoes[],MATCH(orcCenario2[[#This Row],[CÓDIGO]],composicoes[CÓDIGO],0),MATCH(orcCenario2[[#Headers],[ MÃO DE OBRA]],composicoes[#Headers],0)),"")</f>
        <v>29.75</v>
      </c>
      <c r="I35" s="40">
        <f>IFERROR(INDEX(composicoes[],MATCH(orcCenario2[[#This Row],[CÓDIGO]],composicoes[CÓDIGO],0),MATCH(orcCenario2[[#Headers],[MATERIAL]],composicoes[#Headers],0)),"")</f>
        <v>13.78</v>
      </c>
      <c r="J35" s="40">
        <f>IFERROR(INDEX(composicoes[],MATCH(orcCenario2[[#This Row],[CÓDIGO]],composicoes[CÓDIGO],0),MATCH(orcCenario2[[#Headers],[EQUIPAMENTO]],composicoes[#Headers],0)),"")</f>
        <v>0.15</v>
      </c>
      <c r="K35" s="40">
        <f>IF(orcCenario2[[#This Row],[ MÃO DE OBRA]]="","",SUM(orcCenario2[[#This Row],[ MÃO DE OBRA]:[EQUIPAMENTO]]))</f>
        <v>43.68</v>
      </c>
      <c r="L35" s="23">
        <f>IF(orcCenario2[[#This Row],[CUSTO UNITÁRIO]]="","",CENÁRIOS!$I$6)</f>
        <v>0.22</v>
      </c>
      <c r="M35" s="40">
        <f ca="1">IF(orcCenario2[[#This Row],[ MÃO DE OBRA]]&lt;&gt;"",orcCenario2[[#This Row],[QUANTIDADE]]*orcCenario2[[#This Row],[ MÃO DE OBRA]]*(1+orcCenario2[[#This Row],[BDI]]),SUMIFS(orcCenario2[CUSTO MÃO DE OBRA],orcCenario2['#],"&gt;"&amp;orcCenario2[[#This Row],['#]],orcCenario2['#],"&lt;"&amp;orcCenario2[[#This Row],['#]]+100))</f>
        <v>768.95776153090776</v>
      </c>
      <c r="N35" s="40">
        <f ca="1">IF(orcCenario2[[#This Row],[MATERIAL]]&lt;&gt;"",orcCenario2[[#This Row],[QUANTIDADE]]*orcCenario2[[#This Row],[MATERIAL]]*(1+orcCenario2[[#This Row],[BDI]]),SUMIFS(orcCenario2[CUSTO MATERIAL],orcCenario2['#],"&gt;"&amp;orcCenario2[[#This Row],['#]],orcCenario2['#],"&lt;"&amp;orcCenario2[[#This Row],['#]]+100))</f>
        <v>356.17606567717343</v>
      </c>
      <c r="O35" s="40">
        <f ca="1">IF(orcCenario2[EQUIPAMENTO]&lt;&gt;"",orcCenario2[[#This Row],[QUANTIDADE]]*orcCenario2[EQUIPAMENTO]*(1+orcCenario2[[#This Row],[BDI]]),SUMIFS(orcCenario2[CUSTO EQUIPAMENTO],orcCenario2['#],"&gt;"&amp;orcCenario2[[#This Row],['#]],orcCenario2['#],"&lt;"&amp;orcCenario2[[#This Row],['#]]+100))</f>
        <v>3.8770979572986946</v>
      </c>
      <c r="P35" s="40">
        <f ca="1">SUM(orcCenario2[[#This Row],[CUSTO MÃO DE OBRA]:[CUSTO EQUIPAMENTO]])</f>
        <v>1129.0109251653798</v>
      </c>
      <c r="Q35" s="64" t="str">
        <f ca="1">IF(orcCenario2[[#This Row],[QUANTIDADE]]=0,"Não","Sim")</f>
        <v>Sim</v>
      </c>
    </row>
    <row r="36" spans="2:17" x14ac:dyDescent="0.25">
      <c r="B36" s="1" t="s">
        <v>261</v>
      </c>
      <c r="E36" s="39"/>
      <c r="K36" s="50"/>
      <c r="L36" s="23"/>
      <c r="M36" s="50">
        <f ca="1">SUM(orcCenario2[CUSTO MÃO DE OBRA])/2</f>
        <v>13955.964465882391</v>
      </c>
      <c r="N36" s="50">
        <f ca="1">SUM(orcCenario2[CUSTO MATERIAL])/2</f>
        <v>53529.821460555402</v>
      </c>
      <c r="O36" s="50">
        <f ca="1">SUM(orcCenario2[CUSTO EQUIPAMENTO])/2</f>
        <v>1503.7393656966442</v>
      </c>
      <c r="P36" s="50">
        <f ca="1">SUM(orcCenario2[CUSTO TOTAL])/2</f>
        <v>68989.525292134436</v>
      </c>
    </row>
    <row r="37" spans="2:17" x14ac:dyDescent="0.25"/>
  </sheetData>
  <conditionalFormatting sqref="B4:Q35">
    <cfRule type="expression" dxfId="8" priority="1">
      <formula>$C4/100=ROUND($C4/100,0)</formula>
    </cfRule>
  </conditionalFormatting>
  <pageMargins left="0.511811024" right="0.511811024" top="0.78740157499999996" bottom="0.78740157499999996" header="0.31496062000000002" footer="0.31496062000000002"/>
  <pageSetup paperSize="9" scale="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031DC-5B77-4FFB-B506-41AECF49DB26}">
  <sheetPr codeName="orcamentoCenario3">
    <pageSetUpPr fitToPage="1"/>
  </sheetPr>
  <dimension ref="A1:V37"/>
  <sheetViews>
    <sheetView showGridLines="0" zoomScale="70" zoomScaleNormal="70" workbookViewId="0">
      <selection activeCell="P2" sqref="P2"/>
    </sheetView>
  </sheetViews>
  <sheetFormatPr defaultColWidth="0" defaultRowHeight="15" zeroHeight="1" x14ac:dyDescent="0.25"/>
  <cols>
    <col min="1" max="1" width="2.7109375" style="1" customWidth="1"/>
    <col min="2" max="2" width="6.85546875" style="1" hidden="1" customWidth="1"/>
    <col min="3" max="3" width="6.7109375" style="1" bestFit="1" customWidth="1"/>
    <col min="4" max="4" width="10.42578125" style="1" bestFit="1" customWidth="1"/>
    <col min="5" max="5" width="100" style="1" bestFit="1" customWidth="1"/>
    <col min="6" max="6" width="5.28515625" style="1" bestFit="1" customWidth="1"/>
    <col min="7" max="7" width="16.7109375" style="1" bestFit="1" customWidth="1"/>
    <col min="8" max="8" width="11.7109375" style="1" hidden="1" customWidth="1"/>
    <col min="9" max="9" width="13" style="1" hidden="1" customWidth="1"/>
    <col min="10" max="10" width="18.5703125" style="1" hidden="1" customWidth="1"/>
    <col min="11" max="11" width="13.85546875" style="1" bestFit="1" customWidth="1"/>
    <col min="12" max="12" width="9.140625" style="1" bestFit="1" customWidth="1"/>
    <col min="13" max="13" width="15.28515625" style="1" hidden="1" customWidth="1"/>
    <col min="14" max="14" width="13.85546875" style="1" hidden="1" customWidth="1"/>
    <col min="15" max="15" width="18.5703125" style="1" hidden="1" customWidth="1"/>
    <col min="16" max="16" width="14.7109375" style="1" customWidth="1"/>
    <col min="17" max="17" width="11.7109375" style="1" hidden="1" customWidth="1"/>
    <col min="18" max="18" width="2.7109375" style="1" customWidth="1"/>
    <col min="19" max="16384" width="9.140625" style="1" hidden="1"/>
  </cols>
  <sheetData>
    <row r="1" spans="2:22" ht="5.0999999999999996" customHeight="1" x14ac:dyDescent="0.25"/>
    <row r="2" spans="2:22" ht="30" customHeight="1" x14ac:dyDescent="0.25">
      <c r="E2" s="50"/>
      <c r="H2" s="50"/>
      <c r="I2" s="50"/>
      <c r="J2" s="50"/>
      <c r="K2" s="50"/>
      <c r="L2" s="50"/>
      <c r="M2" s="50"/>
      <c r="N2" s="50"/>
      <c r="O2" s="50"/>
      <c r="P2" s="50"/>
      <c r="Q2" s="50"/>
      <c r="S2" s="12"/>
      <c r="T2" s="12"/>
      <c r="U2" s="12"/>
      <c r="V2" s="12"/>
    </row>
    <row r="3" spans="2:22" s="51" customFormat="1" ht="31.5" x14ac:dyDescent="0.25">
      <c r="B3" s="51" t="s">
        <v>260</v>
      </c>
      <c r="C3" s="51" t="s">
        <v>255</v>
      </c>
      <c r="D3" s="51" t="s">
        <v>142</v>
      </c>
      <c r="E3" s="51" t="s">
        <v>143</v>
      </c>
      <c r="F3" s="51" t="s">
        <v>145</v>
      </c>
      <c r="G3" s="51" t="s">
        <v>258</v>
      </c>
      <c r="H3" s="51" t="s">
        <v>146</v>
      </c>
      <c r="I3" s="51" t="s">
        <v>147</v>
      </c>
      <c r="J3" s="51" t="s">
        <v>148</v>
      </c>
      <c r="K3" s="51" t="s">
        <v>259</v>
      </c>
      <c r="L3" s="51" t="s">
        <v>262</v>
      </c>
      <c r="M3" s="51" t="s">
        <v>256</v>
      </c>
      <c r="N3" s="51" t="s">
        <v>257</v>
      </c>
      <c r="O3" s="51" t="s">
        <v>273</v>
      </c>
      <c r="P3" s="51" t="s">
        <v>144</v>
      </c>
      <c r="Q3" s="51" t="s">
        <v>279</v>
      </c>
    </row>
    <row r="4" spans="2:22" ht="15.75" x14ac:dyDescent="0.25">
      <c r="B4" s="49">
        <v>100</v>
      </c>
      <c r="C4" s="49">
        <f>IF(orcCenario3[[#This Row],[DESCRIÇÃO]]="ESTACAS",100,IF(orcCenario3[[#This Row],[DESCRIÇÃO]]="BLOCO",200,orcCenario3[[#This Row],['#]]-COUNTIFS(orcCenario3[QUANTIDADE],0,orcCenario3['#],"&lt;"&amp;orcCenario3[[#This Row],['#]],orcCenario3['#],"&gt;"&amp;ROUNDDOWN(orcCenario3[[#This Row],['#]],-2))))</f>
        <v>100</v>
      </c>
      <c r="E4" s="39" t="str">
        <f>IF(orcCenario3[[#This Row],['#]]=100,"ESTACAS",IF(orcCenario3[[#This Row],['#]]=200,"BLOCO",INDEX(composicoes[],MATCH(orcCenario3[[#This Row],[CÓDIGO]],composicoes[CÓDIGO],0),MATCH(orcCenario3[[#Headers],[DESCRIÇÃO]],composicoes[#Headers],0))))</f>
        <v>ESTACAS</v>
      </c>
      <c r="F4" s="1" t="str">
        <f>IFERROR(INDEX(composicoes[],MATCH(orcCenario3[[#This Row],[CÓDIGO]],composicoes[CÓDIGO],0),MATCH(orcCenario3[[#Headers],[UN.]],composicoes[#Headers],0)),"")</f>
        <v/>
      </c>
      <c r="G4" s="4" t="str">
        <f>IF(orcCenario3[[#This Row],[CÓDIGO]]="","",quantitativo(orcCenario3[[#This Row],[CÓDIGO]],orcCenario3[[#This Row],['#]],CENÁRIOS!$M$3,CENÁRIOS!$M$4,cenario3[]))</f>
        <v/>
      </c>
      <c r="H4" s="40" t="str">
        <f>IFERROR(INDEX(composicoes[],MATCH(orcCenario3[[#This Row],[CÓDIGO]],composicoes[CÓDIGO],0),MATCH(orcCenario3[[#Headers],[ MÃO DE OBRA]],composicoes[#Headers],0)),"")</f>
        <v/>
      </c>
      <c r="I4" s="40" t="str">
        <f>IFERROR(INDEX(composicoes[],MATCH(orcCenario3[[#This Row],[CÓDIGO]],composicoes[CÓDIGO],0),MATCH(orcCenario3[[#Headers],[MATERIAL]],composicoes[#Headers],0)),"")</f>
        <v/>
      </c>
      <c r="J4" s="40" t="str">
        <f>IFERROR(INDEX(composicoes[],MATCH(orcCenario3[[#This Row],[CÓDIGO]],composicoes[CÓDIGO],0),MATCH(orcCenario3[[#Headers],[EQUIPAMENTO]],composicoes[#Headers],0)),"")</f>
        <v/>
      </c>
      <c r="K4" s="40" t="str">
        <f>IF(orcCenario3[[#This Row],[ MÃO DE OBRA]]="","",SUM(orcCenario3[[#This Row],[ MÃO DE OBRA]:[EQUIPAMENTO]]))</f>
        <v/>
      </c>
      <c r="L4" s="23" t="str">
        <f>IF(orcCenario3[[#This Row],[CUSTO UNITÁRIO]]="","",CENÁRIOS!$M$6)</f>
        <v/>
      </c>
      <c r="M4" s="40">
        <f ca="1">IF(orcCenario3[[#This Row],[ MÃO DE OBRA]]&lt;&gt;"",orcCenario3[[#This Row],[QUANTIDADE]]*orcCenario3[[#This Row],[ MÃO DE OBRA]]*(1+orcCenario3[[#This Row],[BDI]]),SUMIFS(orcCenario3[CUSTO MÃO DE OBRA],orcCenario3['#],"&gt;"&amp;orcCenario3[[#This Row],['#]],orcCenario3['#],"&lt;"&amp;orcCenario3[[#This Row],['#]]+100))</f>
        <v>2102.3645742254248</v>
      </c>
      <c r="N4" s="40">
        <f ca="1">IF(orcCenario3[[#This Row],[MATERIAL]]&lt;&gt;"",orcCenario3[[#This Row],[QUANTIDADE]]*orcCenario3[[#This Row],[MATERIAL]]*(1+orcCenario3[[#This Row],[BDI]]),SUMIFS(orcCenario3[CUSTO MATERIAL],orcCenario3['#],"&gt;"&amp;orcCenario3[[#This Row],['#]],orcCenario3['#],"&lt;"&amp;orcCenario3[[#This Row],['#]]+100))</f>
        <v>9669.2143425500453</v>
      </c>
      <c r="O4" s="40">
        <f ca="1">IF(orcCenario3[EQUIPAMENTO]&lt;&gt;"",orcCenario3[[#This Row],[QUANTIDADE]]*orcCenario3[EQUIPAMENTO]*(1+orcCenario3[[#This Row],[BDI]]),SUMIFS(orcCenario3[CUSTO EQUIPAMENTO],orcCenario3['#],"&gt;"&amp;orcCenario3[[#This Row],['#]],orcCenario3['#],"&lt;"&amp;orcCenario3[[#This Row],['#]]+100))</f>
        <v>4276.5276247900038</v>
      </c>
      <c r="P4" s="40">
        <f ca="1">SUM(orcCenario3[[#This Row],[CUSTO MÃO DE OBRA]:[CUSTO EQUIPAMENTO]])</f>
        <v>16048.106541565474</v>
      </c>
      <c r="Q4" s="64" t="str">
        <f>IF(orcCenario3[[#This Row],[QUANTIDADE]]=0,"Não","Sim")</f>
        <v>Sim</v>
      </c>
    </row>
    <row r="5" spans="2:22" ht="45" hidden="1" x14ac:dyDescent="0.25">
      <c r="B5" s="49">
        <v>101</v>
      </c>
      <c r="C5" s="49">
        <f ca="1">IF(orcCenario3[[#This Row],[DESCRIÇÃO]]="ESTACAS",100,IF(orcCenario3[[#This Row],[DESCRIÇÃO]]="BLOCO",200,orcCenario3[[#This Row],['#]]-COUNTIFS(orcCenario3[QUANTIDADE],0,orcCenario3['#],"&lt;"&amp;orcCenario3[[#This Row],['#]],orcCenario3['#],"&gt;"&amp;ROUNDDOWN(orcCenario3[[#This Row],['#]],-2))))</f>
        <v>101</v>
      </c>
      <c r="D5" s="1">
        <v>90680</v>
      </c>
      <c r="E5" s="39" t="str">
        <f>IF(orcCenario3[[#This Row],['#]]=100,"ESTACAS",IF(orcCenario3[[#This Row],['#]]=200,"BLOCO",INDEX(composicoes[],MATCH(orcCenario3[[#This Row],[CÓDIGO]],composicoes[CÓDIGO],0),MATCH(orcCenario3[[#Headers],[DESCRIÇÃO]],composicoes[#Headers],0))))</f>
        <v>PERFURATRIZ HIDRÁULICA SOBRE CAMINHÃO COM TRADO CURTO ACOPLADO, PROFUNDIDADE MÁXIMA DE 20 M, DIÂMETRO MÁXIMO DE 1500 MM, POTÊNCIA INSTALADA DE 137 HP, MESA ROTATIVA COM TORQUE MÁXIMO DE 30 KNM. AF_06/2015</v>
      </c>
      <c r="F5" s="1" t="str">
        <f>IFERROR(INDEX(composicoes[],MATCH(orcCenario3[[#This Row],[CÓDIGO]],composicoes[CÓDIGO],0),MATCH(orcCenario3[[#Headers],[UN.]],composicoes[#Headers],0)),"")</f>
        <v>M</v>
      </c>
      <c r="G5" s="4">
        <f ca="1">IF(orcCenario3[[#This Row],[CÓDIGO]]="","",quantitativo(orcCenario3[[#This Row],[CÓDIGO]],orcCenario3[[#This Row],['#]],CENÁRIOS!$M$3,CENÁRIOS!$M$4,cenario3[]))</f>
        <v>0</v>
      </c>
      <c r="H5" s="40">
        <f>IFERROR(INDEX(composicoes[],MATCH(orcCenario3[[#This Row],[CÓDIGO]],composicoes[CÓDIGO],0),MATCH(orcCenario3[[#Headers],[ MÃO DE OBRA]],composicoes[#Headers],0)),"")</f>
        <v>1.66</v>
      </c>
      <c r="I5" s="40">
        <f>IFERROR(INDEX(composicoes[],MATCH(orcCenario3[[#This Row],[CÓDIGO]],composicoes[CÓDIGO],0),MATCH(orcCenario3[[#Headers],[MATERIAL]],composicoes[#Headers],0)),"")</f>
        <v>6.32</v>
      </c>
      <c r="J5" s="40">
        <f>IFERROR(INDEX(composicoes[],MATCH(orcCenario3[[#This Row],[CÓDIGO]],composicoes[CÓDIGO],0),MATCH(orcCenario3[[#Headers],[EQUIPAMENTO]],composicoes[#Headers],0)),"")</f>
        <v>14.99</v>
      </c>
      <c r="K5" s="40">
        <f>IF(orcCenario3[[#This Row],[ MÃO DE OBRA]]="","",SUM(orcCenario3[[#This Row],[ MÃO DE OBRA]:[EQUIPAMENTO]]))</f>
        <v>22.97</v>
      </c>
      <c r="L5" s="23">
        <f>IF(orcCenario3[[#This Row],[CUSTO UNITÁRIO]]="","",CENÁRIOS!$M$6)</f>
        <v>0.25</v>
      </c>
      <c r="M5" s="40">
        <f ca="1">IF(orcCenario3[[#This Row],[ MÃO DE OBRA]]&lt;&gt;"",orcCenario3[[#This Row],[QUANTIDADE]]*orcCenario3[[#This Row],[ MÃO DE OBRA]]*(1+orcCenario3[[#This Row],[BDI]]),SUMIFS(orcCenario3[CUSTO MÃO DE OBRA],orcCenario3['#],"&gt;"&amp;orcCenario3[[#This Row],['#]],orcCenario3['#],"&lt;"&amp;orcCenario3[[#This Row],['#]]+100))</f>
        <v>0</v>
      </c>
      <c r="N5" s="40">
        <f ca="1">IF(orcCenario3[[#This Row],[MATERIAL]]&lt;&gt;"",orcCenario3[[#This Row],[QUANTIDADE]]*orcCenario3[[#This Row],[MATERIAL]]*(1+orcCenario3[[#This Row],[BDI]]),SUMIFS(orcCenario3[CUSTO MATERIAL],orcCenario3['#],"&gt;"&amp;orcCenario3[[#This Row],['#]],orcCenario3['#],"&lt;"&amp;orcCenario3[[#This Row],['#]]+100))</f>
        <v>0</v>
      </c>
      <c r="O5" s="40">
        <f ca="1">IF(orcCenario3[EQUIPAMENTO]&lt;&gt;"",orcCenario3[[#This Row],[QUANTIDADE]]*orcCenario3[EQUIPAMENTO]*(1+orcCenario3[[#This Row],[BDI]]),SUMIFS(orcCenario3[CUSTO EQUIPAMENTO],orcCenario3['#],"&gt;"&amp;orcCenario3[[#This Row],['#]],orcCenario3['#],"&lt;"&amp;orcCenario3[[#This Row],['#]]+100))</f>
        <v>0</v>
      </c>
      <c r="P5" s="40">
        <f ca="1">SUM(orcCenario3[[#This Row],[CUSTO MÃO DE OBRA]:[CUSTO EQUIPAMENTO]])</f>
        <v>0</v>
      </c>
      <c r="Q5" s="64" t="str">
        <f ca="1">IF(orcCenario3[[#This Row],[QUANTIDADE]]=0,"Não","Sim")</f>
        <v>Não</v>
      </c>
    </row>
    <row r="6" spans="2:22" ht="60" x14ac:dyDescent="0.25">
      <c r="B6" s="49">
        <v>102</v>
      </c>
      <c r="C6" s="49">
        <f ca="1">IF(orcCenario3[[#This Row],[DESCRIÇÃO]]="ESTACAS",100,IF(orcCenario3[[#This Row],[DESCRIÇÃO]]="BLOCO",200,orcCenario3[[#This Row],['#]]-COUNTIFS(orcCenario3[QUANTIDADE],0,orcCenario3['#],"&lt;"&amp;orcCenario3[[#This Row],['#]],orcCenario3['#],"&gt;"&amp;ROUNDDOWN(orcCenario3[[#This Row],['#]],-2))))</f>
        <v>101</v>
      </c>
      <c r="D6" s="1">
        <v>90674</v>
      </c>
      <c r="E6" s="39" t="str">
        <f>IF(orcCenario3[[#This Row],['#]]=100,"ESTACAS",IF(orcCenario3[[#This Row],['#]]=200,"BLOCO",INDEX(composicoes[],MATCH(orcCenario3[[#This Row],[CÓDIGO]],composicoes[CÓDIGO],0),MATCH(orcCenario3[[#Headers],[DESCRIÇÃO]],composicoes[#Headers],0))))</f>
        <v>PERFURATRIZ COM TORRE METÁLICA PARA EXECUÇÃO DE ESTACA HÉLICE CONTÍNUA, PROFUNDIDADE MÁXIMA DE 30 M, DIÂMETRO MÁXIMO DE 800 MM, POTÊNCIA INSTALADA DE 268 HP, MESA ROTATIVA COM TORQUE MÁXIMO DE 170 KNM. AF_06/2015</v>
      </c>
      <c r="F6" s="1" t="str">
        <f>IFERROR(INDEX(composicoes[],MATCH(orcCenario3[[#This Row],[CÓDIGO]],composicoes[CÓDIGO],0),MATCH(orcCenario3[[#Headers],[UN.]],composicoes[#Headers],0)),"")</f>
        <v>M</v>
      </c>
      <c r="G6" s="4">
        <f ca="1">IF(orcCenario3[[#This Row],[CÓDIGO]]="","",quantitativo(orcCenario3[[#This Row],[CÓDIGO]],orcCenario3[[#This Row],['#]],CENÁRIOS!$M$3,CENÁRIOS!$M$4,cenario3[]))</f>
        <v>96</v>
      </c>
      <c r="H6" s="40">
        <f>IFERROR(INDEX(composicoes[],MATCH(orcCenario3[[#This Row],[CÓDIGO]],composicoes[CÓDIGO],0),MATCH(orcCenario3[[#Headers],[ MÃO DE OBRA]],composicoes[#Headers],0)),"")</f>
        <v>1.7</v>
      </c>
      <c r="I6" s="40">
        <f>IFERROR(INDEX(composicoes[],MATCH(orcCenario3[[#This Row],[CÓDIGO]],composicoes[CÓDIGO],0),MATCH(orcCenario3[[#Headers],[MATERIAL]],composicoes[#Headers],0)),"")</f>
        <v>5.19</v>
      </c>
      <c r="J6" s="40">
        <f>IFERROR(INDEX(composicoes[],MATCH(orcCenario3[[#This Row],[CÓDIGO]],composicoes[CÓDIGO],0),MATCH(orcCenario3[[#Headers],[EQUIPAMENTO]],composicoes[#Headers],0)),"")</f>
        <v>35.4</v>
      </c>
      <c r="K6" s="40">
        <f>IF(orcCenario3[[#This Row],[ MÃO DE OBRA]]="","",SUM(orcCenario3[[#This Row],[ MÃO DE OBRA]:[EQUIPAMENTO]]))</f>
        <v>42.29</v>
      </c>
      <c r="L6" s="23">
        <f>IF(orcCenario3[[#This Row],[CUSTO UNITÁRIO]]="","",CENÁRIOS!$M$6)</f>
        <v>0.25</v>
      </c>
      <c r="M6" s="40">
        <f ca="1">IF(orcCenario3[[#This Row],[ MÃO DE OBRA]]&lt;&gt;"",orcCenario3[[#This Row],[QUANTIDADE]]*orcCenario3[[#This Row],[ MÃO DE OBRA]]*(1+orcCenario3[[#This Row],[BDI]]),SUMIFS(orcCenario3[CUSTO MÃO DE OBRA],orcCenario3['#],"&gt;"&amp;orcCenario3[[#This Row],['#]],orcCenario3['#],"&lt;"&amp;orcCenario3[[#This Row],['#]]+100))</f>
        <v>204</v>
      </c>
      <c r="N6" s="40">
        <f ca="1">IF(orcCenario3[[#This Row],[MATERIAL]]&lt;&gt;"",orcCenario3[[#This Row],[QUANTIDADE]]*orcCenario3[[#This Row],[MATERIAL]]*(1+orcCenario3[[#This Row],[BDI]]),SUMIFS(orcCenario3[CUSTO MATERIAL],orcCenario3['#],"&gt;"&amp;orcCenario3[[#This Row],['#]],orcCenario3['#],"&lt;"&amp;orcCenario3[[#This Row],['#]]+100))</f>
        <v>622.79999999999995</v>
      </c>
      <c r="O6" s="40">
        <f ca="1">IF(orcCenario3[EQUIPAMENTO]&lt;&gt;"",orcCenario3[[#This Row],[QUANTIDADE]]*orcCenario3[EQUIPAMENTO]*(1+orcCenario3[[#This Row],[BDI]]),SUMIFS(orcCenario3[CUSTO EQUIPAMENTO],orcCenario3['#],"&gt;"&amp;orcCenario3[[#This Row],['#]],orcCenario3['#],"&lt;"&amp;orcCenario3[[#This Row],['#]]+100))</f>
        <v>4248</v>
      </c>
      <c r="P6" s="40">
        <f ca="1">SUM(orcCenario3[[#This Row],[CUSTO MÃO DE OBRA]:[CUSTO EQUIPAMENTO]])</f>
        <v>5074.8</v>
      </c>
      <c r="Q6" s="64" t="str">
        <f ca="1">IF(orcCenario3[[#This Row],[QUANTIDADE]]=0,"Não","Sim")</f>
        <v>Sim</v>
      </c>
    </row>
    <row r="7" spans="2:22" ht="60" hidden="1" x14ac:dyDescent="0.25">
      <c r="B7" s="49">
        <v>103</v>
      </c>
      <c r="C7" s="49">
        <f ca="1">IF(orcCenario3[[#This Row],[DESCRIÇÃO]]="ESTACAS",100,IF(orcCenario3[[#This Row],[DESCRIÇÃO]]="BLOCO",200,orcCenario3[[#This Row],['#]]-COUNTIFS(orcCenario3[QUANTIDADE],0,orcCenario3['#],"&lt;"&amp;orcCenario3[[#This Row],['#]],orcCenario3['#],"&gt;"&amp;ROUNDDOWN(orcCenario3[[#This Row],['#]],-2))))</f>
        <v>102</v>
      </c>
      <c r="D7" s="1">
        <v>93224</v>
      </c>
      <c r="E7" s="39" t="str">
        <f>IF(orcCenario3[[#This Row],['#]]=100,"ESTACAS",IF(orcCenario3[[#This Row],['#]]=200,"BLOCO",INDEX(composicoes[],MATCH(orcCenario3[[#This Row],[CÓDIGO]],composicoes[CÓDIGO],0),MATCH(orcCenario3[[#Headers],[DESCRIÇÃO]],composicoes[#Headers],0))))</f>
        <v>PERFURATRIZ COM TORRE METÁLICA PARA EXECUÇÃO DE ESTACA HÉLICE CONTÍNUA, PROFUNDIDADE MÁXIMA DE 32 M, DIÂMETRO MÁXIMO DE 1000 MM, POTÊNCIA INSTALADA DE 350 HP, MESA ROTATIVA COM TORQUE MÁXIMO DE 263 KNM AF_01/2016</v>
      </c>
      <c r="F7" s="1" t="str">
        <f>IFERROR(INDEX(composicoes[],MATCH(orcCenario3[[#This Row],[CÓDIGO]],composicoes[CÓDIGO],0),MATCH(orcCenario3[[#Headers],[UN.]],composicoes[#Headers],0)),"")</f>
        <v>M</v>
      </c>
      <c r="G7" s="4">
        <f ca="1">IF(orcCenario3[[#This Row],[CÓDIGO]]="","",quantitativo(orcCenario3[[#This Row],[CÓDIGO]],orcCenario3[[#This Row],['#]],CENÁRIOS!$M$3,CENÁRIOS!$M$4,cenario3[]))</f>
        <v>0</v>
      </c>
      <c r="H7" s="40">
        <f>IFERROR(INDEX(composicoes[],MATCH(orcCenario3[[#This Row],[CÓDIGO]],composicoes[CÓDIGO],0),MATCH(orcCenario3[[#Headers],[ MÃO DE OBRA]],composicoes[#Headers],0)),"")</f>
        <v>1.7</v>
      </c>
      <c r="I7" s="40">
        <f>IFERROR(INDEX(composicoes[],MATCH(orcCenario3[[#This Row],[CÓDIGO]],composicoes[CÓDIGO],0),MATCH(orcCenario3[[#Headers],[MATERIAL]],composicoes[#Headers],0)),"")</f>
        <v>6.61</v>
      </c>
      <c r="J7" s="40">
        <f>IFERROR(INDEX(composicoes[],MATCH(orcCenario3[[#This Row],[CÓDIGO]],composicoes[CÓDIGO],0),MATCH(orcCenario3[[#Headers],[EQUIPAMENTO]],composicoes[#Headers],0)),"")</f>
        <v>55.05</v>
      </c>
      <c r="K7" s="40">
        <f>IF(orcCenario3[[#This Row],[ MÃO DE OBRA]]="","",SUM(orcCenario3[[#This Row],[ MÃO DE OBRA]:[EQUIPAMENTO]]))</f>
        <v>63.36</v>
      </c>
      <c r="L7" s="23">
        <f>IF(orcCenario3[[#This Row],[CUSTO UNITÁRIO]]="","",CENÁRIOS!$M$6)</f>
        <v>0.25</v>
      </c>
      <c r="M7" s="40">
        <f ca="1">IF(orcCenario3[[#This Row],[ MÃO DE OBRA]]&lt;&gt;"",orcCenario3[[#This Row],[QUANTIDADE]]*orcCenario3[[#This Row],[ MÃO DE OBRA]]*(1+orcCenario3[[#This Row],[BDI]]),SUMIFS(orcCenario3[CUSTO MÃO DE OBRA],orcCenario3['#],"&gt;"&amp;orcCenario3[[#This Row],['#]],orcCenario3['#],"&lt;"&amp;orcCenario3[[#This Row],['#]]+100))</f>
        <v>0</v>
      </c>
      <c r="N7" s="40">
        <f ca="1">IF(orcCenario3[[#This Row],[MATERIAL]]&lt;&gt;"",orcCenario3[[#This Row],[QUANTIDADE]]*orcCenario3[[#This Row],[MATERIAL]]*(1+orcCenario3[[#This Row],[BDI]]),SUMIFS(orcCenario3[CUSTO MATERIAL],orcCenario3['#],"&gt;"&amp;orcCenario3[[#This Row],['#]],orcCenario3['#],"&lt;"&amp;orcCenario3[[#This Row],['#]]+100))</f>
        <v>0</v>
      </c>
      <c r="O7" s="40">
        <f ca="1">IF(orcCenario3[EQUIPAMENTO]&lt;&gt;"",orcCenario3[[#This Row],[QUANTIDADE]]*orcCenario3[EQUIPAMENTO]*(1+orcCenario3[[#This Row],[BDI]]),SUMIFS(orcCenario3[CUSTO EQUIPAMENTO],orcCenario3['#],"&gt;"&amp;orcCenario3[[#This Row],['#]],orcCenario3['#],"&lt;"&amp;orcCenario3[[#This Row],['#]]+100))</f>
        <v>0</v>
      </c>
      <c r="P7" s="40">
        <f ca="1">SUM(orcCenario3[[#This Row],[CUSTO MÃO DE OBRA]:[CUSTO EQUIPAMENTO]])</f>
        <v>0</v>
      </c>
      <c r="Q7" s="64" t="str">
        <f ca="1">IF(orcCenario3[[#This Row],[QUANTIDADE]]=0,"Não","Sim")</f>
        <v>Não</v>
      </c>
    </row>
    <row r="8" spans="2:22" hidden="1" x14ac:dyDescent="0.25">
      <c r="B8" s="49">
        <v>104</v>
      </c>
      <c r="C8" s="49">
        <f ca="1">IF(orcCenario3[[#This Row],[DESCRIÇÃO]]="ESTACAS",100,IF(orcCenario3[[#This Row],[DESCRIÇÃO]]="BLOCO",200,orcCenario3[[#This Row],['#]]-COUNTIFS(orcCenario3[QUANTIDADE],0,orcCenario3['#],"&lt;"&amp;orcCenario3[[#This Row],['#]],orcCenario3['#],"&gt;"&amp;ROUNDDOWN(orcCenario3[[#This Row],['#]],-2))))</f>
        <v>102</v>
      </c>
      <c r="D8" s="1">
        <v>43366</v>
      </c>
      <c r="E8" s="39" t="str">
        <f>IF(orcCenario3[[#This Row],['#]]=100,"ESTACAS",IF(orcCenario3[[#This Row],['#]]=200,"BLOCO",INDEX(composicoes[],MATCH(orcCenario3[[#This Row],[CÓDIGO]],composicoes[CÓDIGO],0),MATCH(orcCenario3[[#Headers],[DESCRIÇÃO]],composicoes[#Headers],0))))</f>
        <v>BENTONITA, ARGILA CONSTITUIDA POR  MONTMORILONITA</v>
      </c>
      <c r="F8" s="1" t="str">
        <f>IFERROR(INDEX(composicoes[],MATCH(orcCenario3[[#This Row],[CÓDIGO]],composicoes[CÓDIGO],0),MATCH(orcCenario3[[#Headers],[UN.]],composicoes[#Headers],0)),"")</f>
        <v>KG</v>
      </c>
      <c r="G8" s="4">
        <f ca="1">IF(orcCenario3[[#This Row],[CÓDIGO]]="","",quantitativo(orcCenario3[[#This Row],[CÓDIGO]],orcCenario3[[#This Row],['#]],CENÁRIOS!$M$3,CENÁRIOS!$M$4,cenario3[]))</f>
        <v>0</v>
      </c>
      <c r="H8" s="40">
        <f>IFERROR(INDEX(composicoes[],MATCH(orcCenario3[[#This Row],[CÓDIGO]],composicoes[CÓDIGO],0),MATCH(orcCenario3[[#Headers],[ MÃO DE OBRA]],composicoes[#Headers],0)),"")</f>
        <v>0</v>
      </c>
      <c r="I8" s="40">
        <f>IFERROR(INDEX(composicoes[],MATCH(orcCenario3[[#This Row],[CÓDIGO]],composicoes[CÓDIGO],0),MATCH(orcCenario3[[#Headers],[MATERIAL]],composicoes[#Headers],0)),"")</f>
        <v>1.58</v>
      </c>
      <c r="J8" s="40">
        <f>IFERROR(INDEX(composicoes[],MATCH(orcCenario3[[#This Row],[CÓDIGO]],composicoes[CÓDIGO],0),MATCH(orcCenario3[[#Headers],[EQUIPAMENTO]],composicoes[#Headers],0)),"")</f>
        <v>0</v>
      </c>
      <c r="K8" s="40">
        <f>IF(orcCenario3[[#This Row],[ MÃO DE OBRA]]="","",SUM(orcCenario3[[#This Row],[ MÃO DE OBRA]:[EQUIPAMENTO]]))</f>
        <v>1.58</v>
      </c>
      <c r="L8" s="23">
        <f>IF(orcCenario3[[#This Row],[CUSTO UNITÁRIO]]="","",CENÁRIOS!$M$6)</f>
        <v>0.25</v>
      </c>
      <c r="M8" s="40">
        <f ca="1">IF(orcCenario3[[#This Row],[ MÃO DE OBRA]]&lt;&gt;"",orcCenario3[[#This Row],[QUANTIDADE]]*orcCenario3[[#This Row],[ MÃO DE OBRA]]*(1+orcCenario3[[#This Row],[BDI]]),SUMIFS(orcCenario3[CUSTO MÃO DE OBRA],orcCenario3['#],"&gt;"&amp;orcCenario3[[#This Row],['#]],orcCenario3['#],"&lt;"&amp;orcCenario3[[#This Row],['#]]+100))</f>
        <v>0</v>
      </c>
      <c r="N8" s="40">
        <f ca="1">IF(orcCenario3[[#This Row],[MATERIAL]]&lt;&gt;"",orcCenario3[[#This Row],[QUANTIDADE]]*orcCenario3[[#This Row],[MATERIAL]]*(1+orcCenario3[[#This Row],[BDI]]),SUMIFS(orcCenario3[CUSTO MATERIAL],orcCenario3['#],"&gt;"&amp;orcCenario3[[#This Row],['#]],orcCenario3['#],"&lt;"&amp;orcCenario3[[#This Row],['#]]+100))</f>
        <v>0</v>
      </c>
      <c r="O8" s="40">
        <f ca="1">IF(orcCenario3[EQUIPAMENTO]&lt;&gt;"",orcCenario3[[#This Row],[QUANTIDADE]]*orcCenario3[EQUIPAMENTO]*(1+orcCenario3[[#This Row],[BDI]]),SUMIFS(orcCenario3[CUSTO EQUIPAMENTO],orcCenario3['#],"&gt;"&amp;orcCenario3[[#This Row],['#]],orcCenario3['#],"&lt;"&amp;orcCenario3[[#This Row],['#]]+100))</f>
        <v>0</v>
      </c>
      <c r="P8" s="40">
        <f ca="1">SUM(orcCenario3[[#This Row],[CUSTO MÃO DE OBRA]:[CUSTO EQUIPAMENTO]])</f>
        <v>0</v>
      </c>
      <c r="Q8" s="64" t="str">
        <f ca="1">IF(orcCenario3[[#This Row],[QUANTIDADE]]=0,"Não","Sim")</f>
        <v>Não</v>
      </c>
    </row>
    <row r="9" spans="2:22" hidden="1" x14ac:dyDescent="0.25">
      <c r="B9" s="49">
        <v>105</v>
      </c>
      <c r="C9" s="49">
        <f ca="1">IF(orcCenario3[[#This Row],[DESCRIÇÃO]]="ESTACAS",100,IF(orcCenario3[[#This Row],[DESCRIÇÃO]]="BLOCO",200,orcCenario3[[#This Row],['#]]-COUNTIFS(orcCenario3[QUANTIDADE],0,orcCenario3['#],"&lt;"&amp;orcCenario3[[#This Row],['#]],orcCenario3['#],"&gt;"&amp;ROUNDDOWN(orcCenario3[[#This Row],['#]],-2))))</f>
        <v>102</v>
      </c>
      <c r="D9" s="1">
        <v>95576</v>
      </c>
      <c r="E9" s="39" t="str">
        <f>IF(orcCenario3[[#This Row],['#]]=100,"ESTACAS",IF(orcCenario3[[#This Row],['#]]=200,"BLOCO",INDEX(composicoes[],MATCH(orcCenario3[[#This Row],[CÓDIGO]],composicoes[CÓDIGO],0),MATCH(orcCenario3[[#Headers],[DESCRIÇÃO]],composicoes[#Headers],0))))</f>
        <v>MONTAGEM DE ARMADURA DE ESTACAS, DIÂMETRO = 8,0 MM. AF_09/2021_PS</v>
      </c>
      <c r="F9" s="1" t="str">
        <f>IFERROR(INDEX(composicoes[],MATCH(orcCenario3[[#This Row],[CÓDIGO]],composicoes[CÓDIGO],0),MATCH(orcCenario3[[#Headers],[UN.]],composicoes[#Headers],0)),"")</f>
        <v>KG</v>
      </c>
      <c r="G9" s="4">
        <f ca="1">IF(orcCenario3[[#This Row],[CÓDIGO]]="","",quantitativo(orcCenario3[[#This Row],[CÓDIGO]],orcCenario3[[#This Row],['#]],CENÁRIOS!$M$3,CENÁRIOS!$M$4,cenario3[]))</f>
        <v>0</v>
      </c>
      <c r="H9" s="40">
        <f>IFERROR(INDEX(composicoes[],MATCH(orcCenario3[[#This Row],[CÓDIGO]],composicoes[CÓDIGO],0),MATCH(orcCenario3[[#Headers],[ MÃO DE OBRA]],composicoes[#Headers],0)),"")</f>
        <v>1.9</v>
      </c>
      <c r="I9" s="40">
        <f>IFERROR(INDEX(composicoes[],MATCH(orcCenario3[[#This Row],[CÓDIGO]],composicoes[CÓDIGO],0),MATCH(orcCenario3[[#Headers],[MATERIAL]],composicoes[#Headers],0)),"")</f>
        <v>11.38</v>
      </c>
      <c r="J9" s="40">
        <f>IFERROR(INDEX(composicoes[],MATCH(orcCenario3[[#This Row],[CÓDIGO]],composicoes[CÓDIGO],0),MATCH(orcCenario3[[#Headers],[EQUIPAMENTO]],composicoes[#Headers],0)),"")</f>
        <v>0</v>
      </c>
      <c r="K9" s="40">
        <f>IF(orcCenario3[[#This Row],[ MÃO DE OBRA]]="","",SUM(orcCenario3[[#This Row],[ MÃO DE OBRA]:[EQUIPAMENTO]]))</f>
        <v>13.280000000000001</v>
      </c>
      <c r="L9" s="23">
        <f>IF(orcCenario3[[#This Row],[CUSTO UNITÁRIO]]="","",CENÁRIOS!$M$6)</f>
        <v>0.25</v>
      </c>
      <c r="M9" s="40">
        <f ca="1">IF(orcCenario3[[#This Row],[ MÃO DE OBRA]]&lt;&gt;"",orcCenario3[[#This Row],[QUANTIDADE]]*orcCenario3[[#This Row],[ MÃO DE OBRA]]*(1+orcCenario3[[#This Row],[BDI]]),SUMIFS(orcCenario3[CUSTO MÃO DE OBRA],orcCenario3['#],"&gt;"&amp;orcCenario3[[#This Row],['#]],orcCenario3['#],"&lt;"&amp;orcCenario3[[#This Row],['#]]+100))</f>
        <v>0</v>
      </c>
      <c r="N9" s="40">
        <f ca="1">IF(orcCenario3[[#This Row],[MATERIAL]]&lt;&gt;"",orcCenario3[[#This Row],[QUANTIDADE]]*orcCenario3[[#This Row],[MATERIAL]]*(1+orcCenario3[[#This Row],[BDI]]),SUMIFS(orcCenario3[CUSTO MATERIAL],orcCenario3['#],"&gt;"&amp;orcCenario3[[#This Row],['#]],orcCenario3['#],"&lt;"&amp;orcCenario3[[#This Row],['#]]+100))</f>
        <v>0</v>
      </c>
      <c r="O9" s="40">
        <f ca="1">IF(orcCenario3[EQUIPAMENTO]&lt;&gt;"",orcCenario3[[#This Row],[QUANTIDADE]]*orcCenario3[EQUIPAMENTO]*(1+orcCenario3[[#This Row],[BDI]]),SUMIFS(orcCenario3[CUSTO EQUIPAMENTO],orcCenario3['#],"&gt;"&amp;orcCenario3[[#This Row],['#]],orcCenario3['#],"&lt;"&amp;orcCenario3[[#This Row],['#]]+100))</f>
        <v>0</v>
      </c>
      <c r="P9" s="40">
        <f ca="1">SUM(orcCenario3[[#This Row],[CUSTO MÃO DE OBRA]:[CUSTO EQUIPAMENTO]])</f>
        <v>0</v>
      </c>
      <c r="Q9" s="64" t="str">
        <f ca="1">IF(orcCenario3[[#This Row],[QUANTIDADE]]=0,"Não","Sim")</f>
        <v>Não</v>
      </c>
    </row>
    <row r="10" spans="2:22" hidden="1" x14ac:dyDescent="0.25">
      <c r="B10" s="49">
        <v>106</v>
      </c>
      <c r="C10" s="49">
        <f ca="1">IF(orcCenario3[[#This Row],[DESCRIÇÃO]]="ESTACAS",100,IF(orcCenario3[[#This Row],[DESCRIÇÃO]]="BLOCO",200,orcCenario3[[#This Row],['#]]-COUNTIFS(orcCenario3[QUANTIDADE],0,orcCenario3['#],"&lt;"&amp;orcCenario3[[#This Row],['#]],orcCenario3['#],"&gt;"&amp;ROUNDDOWN(orcCenario3[[#This Row],['#]],-2))))</f>
        <v>102</v>
      </c>
      <c r="D10" s="1">
        <v>95577</v>
      </c>
      <c r="E10" s="39" t="str">
        <f>IF(orcCenario3[[#This Row],['#]]=100,"ESTACAS",IF(orcCenario3[[#This Row],['#]]=200,"BLOCO",INDEX(composicoes[],MATCH(orcCenario3[[#This Row],[CÓDIGO]],composicoes[CÓDIGO],0),MATCH(orcCenario3[[#Headers],[DESCRIÇÃO]],composicoes[#Headers],0))))</f>
        <v>MONTAGEM DE ARMADURA DE ESTACAS, DIÂMETRO = 10,0 MM. AF_09/2021_PS</v>
      </c>
      <c r="F10" s="1" t="str">
        <f>IFERROR(INDEX(composicoes[],MATCH(orcCenario3[[#This Row],[CÓDIGO]],composicoes[CÓDIGO],0),MATCH(orcCenario3[[#Headers],[UN.]],composicoes[#Headers],0)),"")</f>
        <v>KG</v>
      </c>
      <c r="G10" s="4">
        <f ca="1">IF(orcCenario3[[#This Row],[CÓDIGO]]="","",quantitativo(orcCenario3[[#This Row],[CÓDIGO]],orcCenario3[[#This Row],['#]],CENÁRIOS!$M$3,CENÁRIOS!$M$4,cenario3[]))</f>
        <v>0</v>
      </c>
      <c r="H10" s="40">
        <f>IFERROR(INDEX(composicoes[],MATCH(orcCenario3[[#This Row],[CÓDIGO]],composicoes[CÓDIGO],0),MATCH(orcCenario3[[#Headers],[ MÃO DE OBRA]],composicoes[#Headers],0)),"")</f>
        <v>0.91</v>
      </c>
      <c r="I10" s="40">
        <f>IFERROR(INDEX(composicoes[],MATCH(orcCenario3[[#This Row],[CÓDIGO]],composicoes[CÓDIGO],0),MATCH(orcCenario3[[#Headers],[MATERIAL]],composicoes[#Headers],0)),"")</f>
        <v>10.38</v>
      </c>
      <c r="J10" s="40">
        <f>IFERROR(INDEX(composicoes[],MATCH(orcCenario3[[#This Row],[CÓDIGO]],composicoes[CÓDIGO],0),MATCH(orcCenario3[[#Headers],[EQUIPAMENTO]],composicoes[#Headers],0)),"")</f>
        <v>0</v>
      </c>
      <c r="K10" s="40">
        <f>IF(orcCenario3[[#This Row],[ MÃO DE OBRA]]="","",SUM(orcCenario3[[#This Row],[ MÃO DE OBRA]:[EQUIPAMENTO]]))</f>
        <v>11.290000000000001</v>
      </c>
      <c r="L10" s="23">
        <f>IF(orcCenario3[[#This Row],[CUSTO UNITÁRIO]]="","",CENÁRIOS!$M$6)</f>
        <v>0.25</v>
      </c>
      <c r="M10" s="40">
        <f ca="1">IF(orcCenario3[[#This Row],[ MÃO DE OBRA]]&lt;&gt;"",orcCenario3[[#This Row],[QUANTIDADE]]*orcCenario3[[#This Row],[ MÃO DE OBRA]]*(1+orcCenario3[[#This Row],[BDI]]),SUMIFS(orcCenario3[CUSTO MÃO DE OBRA],orcCenario3['#],"&gt;"&amp;orcCenario3[[#This Row],['#]],orcCenario3['#],"&lt;"&amp;orcCenario3[[#This Row],['#]]+100))</f>
        <v>0</v>
      </c>
      <c r="N10" s="40">
        <f ca="1">IF(orcCenario3[[#This Row],[MATERIAL]]&lt;&gt;"",orcCenario3[[#This Row],[QUANTIDADE]]*orcCenario3[[#This Row],[MATERIAL]]*(1+orcCenario3[[#This Row],[BDI]]),SUMIFS(orcCenario3[CUSTO MATERIAL],orcCenario3['#],"&gt;"&amp;orcCenario3[[#This Row],['#]],orcCenario3['#],"&lt;"&amp;orcCenario3[[#This Row],['#]]+100))</f>
        <v>0</v>
      </c>
      <c r="O10" s="40">
        <f ca="1">IF(orcCenario3[EQUIPAMENTO]&lt;&gt;"",orcCenario3[[#This Row],[QUANTIDADE]]*orcCenario3[EQUIPAMENTO]*(1+orcCenario3[[#This Row],[BDI]]),SUMIFS(orcCenario3[CUSTO EQUIPAMENTO],orcCenario3['#],"&gt;"&amp;orcCenario3[[#This Row],['#]],orcCenario3['#],"&lt;"&amp;orcCenario3[[#This Row],['#]]+100))</f>
        <v>0</v>
      </c>
      <c r="P10" s="40">
        <f ca="1">SUM(orcCenario3[[#This Row],[CUSTO MÃO DE OBRA]:[CUSTO EQUIPAMENTO]])</f>
        <v>0</v>
      </c>
      <c r="Q10" s="64" t="str">
        <f ca="1">IF(orcCenario3[[#This Row],[QUANTIDADE]]=0,"Não","Sim")</f>
        <v>Não</v>
      </c>
    </row>
    <row r="11" spans="2:22" x14ac:dyDescent="0.25">
      <c r="B11" s="49">
        <v>107</v>
      </c>
      <c r="C11" s="49">
        <f ca="1">IF(orcCenario3[[#This Row],[DESCRIÇÃO]]="ESTACAS",100,IF(orcCenario3[[#This Row],[DESCRIÇÃO]]="BLOCO",200,orcCenario3[[#This Row],['#]]-COUNTIFS(orcCenario3[QUANTIDADE],0,orcCenario3['#],"&lt;"&amp;orcCenario3[[#This Row],['#]],orcCenario3['#],"&gt;"&amp;ROUNDDOWN(orcCenario3[[#This Row],['#]],-2))))</f>
        <v>102</v>
      </c>
      <c r="D11" s="1">
        <v>95578</v>
      </c>
      <c r="E11" s="39" t="str">
        <f>IF(orcCenario3[[#This Row],['#]]=100,"ESTACAS",IF(orcCenario3[[#This Row],['#]]=200,"BLOCO",INDEX(composicoes[],MATCH(orcCenario3[[#This Row],[CÓDIGO]],composicoes[CÓDIGO],0),MATCH(orcCenario3[[#Headers],[DESCRIÇÃO]],composicoes[#Headers],0))))</f>
        <v>MONTAGEM DE ARMADURA DE ESTACAS, DIÂMETRO = 12,5 MM. AF_09/2021_PS</v>
      </c>
      <c r="F11" s="1" t="str">
        <f>IFERROR(INDEX(composicoes[],MATCH(orcCenario3[[#This Row],[CÓDIGO]],composicoes[CÓDIGO],0),MATCH(orcCenario3[[#Headers],[UN.]],composicoes[#Headers],0)),"")</f>
        <v>KG</v>
      </c>
      <c r="G11" s="4">
        <f ca="1">IF(orcCenario3[[#This Row],[CÓDIGO]]="","",quantitativo(orcCenario3[[#This Row],[CÓDIGO]],orcCenario3[[#This Row],['#]],CENÁRIOS!$M$3,CENÁRIOS!$M$4,cenario3[]))</f>
        <v>23.120158435012367</v>
      </c>
      <c r="H11" s="40">
        <f>IFERROR(INDEX(composicoes[],MATCH(orcCenario3[[#This Row],[CÓDIGO]],composicoes[CÓDIGO],0),MATCH(orcCenario3[[#Headers],[ MÃO DE OBRA]],composicoes[#Headers],0)),"")</f>
        <v>0.48</v>
      </c>
      <c r="I11" s="40">
        <f>IFERROR(INDEX(composicoes[],MATCH(orcCenario3[[#This Row],[CÓDIGO]],composicoes[CÓDIGO],0),MATCH(orcCenario3[[#Headers],[MATERIAL]],composicoes[#Headers],0)),"")</f>
        <v>8.93</v>
      </c>
      <c r="J11" s="40">
        <f>IFERROR(INDEX(composicoes[],MATCH(orcCenario3[[#This Row],[CÓDIGO]],composicoes[CÓDIGO],0),MATCH(orcCenario3[[#Headers],[EQUIPAMENTO]],composicoes[#Headers],0)),"")</f>
        <v>0</v>
      </c>
      <c r="K11" s="40">
        <f>IF(orcCenario3[[#This Row],[ MÃO DE OBRA]]="","",SUM(orcCenario3[[#This Row],[ MÃO DE OBRA]:[EQUIPAMENTO]]))</f>
        <v>9.41</v>
      </c>
      <c r="L11" s="23">
        <f>IF(orcCenario3[[#This Row],[CUSTO UNITÁRIO]]="","",CENÁRIOS!$M$6)</f>
        <v>0.25</v>
      </c>
      <c r="M11" s="40">
        <f ca="1">IF(orcCenario3[[#This Row],[ MÃO DE OBRA]]&lt;&gt;"",orcCenario3[[#This Row],[QUANTIDADE]]*orcCenario3[[#This Row],[ MÃO DE OBRA]]*(1+orcCenario3[[#This Row],[BDI]]),SUMIFS(orcCenario3[CUSTO MÃO DE OBRA],orcCenario3['#],"&gt;"&amp;orcCenario3[[#This Row],['#]],orcCenario3['#],"&lt;"&amp;orcCenario3[[#This Row],['#]]+100))</f>
        <v>13.872095061007419</v>
      </c>
      <c r="N11" s="40">
        <f ca="1">IF(orcCenario3[[#This Row],[MATERIAL]]&lt;&gt;"",orcCenario3[[#This Row],[QUANTIDADE]]*orcCenario3[[#This Row],[MATERIAL]]*(1+orcCenario3[[#This Row],[BDI]]),SUMIFS(orcCenario3[CUSTO MATERIAL],orcCenario3['#],"&gt;"&amp;orcCenario3[[#This Row],['#]],orcCenario3['#],"&lt;"&amp;orcCenario3[[#This Row],['#]]+100))</f>
        <v>258.07876853082553</v>
      </c>
      <c r="O11" s="40">
        <f ca="1">IF(orcCenario3[EQUIPAMENTO]&lt;&gt;"",orcCenario3[[#This Row],[QUANTIDADE]]*orcCenario3[EQUIPAMENTO]*(1+orcCenario3[[#This Row],[BDI]]),SUMIFS(orcCenario3[CUSTO EQUIPAMENTO],orcCenario3['#],"&gt;"&amp;orcCenario3[[#This Row],['#]],orcCenario3['#],"&lt;"&amp;orcCenario3[[#This Row],['#]]+100))</f>
        <v>0</v>
      </c>
      <c r="P11" s="40">
        <f ca="1">SUM(orcCenario3[[#This Row],[CUSTO MÃO DE OBRA]:[CUSTO EQUIPAMENTO]])</f>
        <v>271.95086359183296</v>
      </c>
      <c r="Q11" s="64" t="str">
        <f ca="1">IF(orcCenario3[[#This Row],[QUANTIDADE]]=0,"Não","Sim")</f>
        <v>Sim</v>
      </c>
    </row>
    <row r="12" spans="2:22" x14ac:dyDescent="0.25">
      <c r="B12" s="49">
        <v>108</v>
      </c>
      <c r="C12" s="49">
        <f ca="1">IF(orcCenario3[[#This Row],[DESCRIÇÃO]]="ESTACAS",100,IF(orcCenario3[[#This Row],[DESCRIÇÃO]]="BLOCO",200,orcCenario3[[#This Row],['#]]-COUNTIFS(orcCenario3[QUANTIDADE],0,orcCenario3['#],"&lt;"&amp;orcCenario3[[#This Row],['#]],orcCenario3['#],"&gt;"&amp;ROUNDDOWN(orcCenario3[[#This Row],['#]],-2))))</f>
        <v>103</v>
      </c>
      <c r="D12" s="1">
        <v>95579</v>
      </c>
      <c r="E12" s="39" t="str">
        <f>IF(orcCenario3[[#This Row],['#]]=100,"ESTACAS",IF(orcCenario3[[#This Row],['#]]=200,"BLOCO",INDEX(composicoes[],MATCH(orcCenario3[[#This Row],[CÓDIGO]],composicoes[CÓDIGO],0),MATCH(orcCenario3[[#Headers],[DESCRIÇÃO]],composicoes[#Headers],0))))</f>
        <v>MONTAGEM DE ARMADURA DE ESTACAS, DIÂMETRO = 16,0 MM. AF_09/2021_PS</v>
      </c>
      <c r="F12" s="1" t="str">
        <f>IFERROR(INDEX(composicoes[],MATCH(orcCenario3[[#This Row],[CÓDIGO]],composicoes[CÓDIGO],0),MATCH(orcCenario3[[#Headers],[UN.]],composicoes[#Headers],0)),"")</f>
        <v>KG</v>
      </c>
      <c r="G12" s="4">
        <f ca="1">IF(orcCenario3[[#This Row],[CÓDIGO]]="","",quantitativo(orcCenario3[[#This Row],[CÓDIGO]],orcCenario3[[#This Row],['#]],CENÁRIOS!$M$3,CENÁRIOS!$M$4,cenario3[]))</f>
        <v>37.880067579924251</v>
      </c>
      <c r="H12" s="40">
        <f>IFERROR(INDEX(composicoes[],MATCH(orcCenario3[[#This Row],[CÓDIGO]],composicoes[CÓDIGO],0),MATCH(orcCenario3[[#Headers],[ MÃO DE OBRA]],composicoes[#Headers],0)),"")</f>
        <v>0.3</v>
      </c>
      <c r="I12" s="40">
        <f>IFERROR(INDEX(composicoes[],MATCH(orcCenario3[[#This Row],[CÓDIGO]],composicoes[CÓDIGO],0),MATCH(orcCenario3[[#Headers],[MATERIAL]],composicoes[#Headers],0)),"")</f>
        <v>8.7899999999999991</v>
      </c>
      <c r="J12" s="40">
        <f>IFERROR(INDEX(composicoes[],MATCH(orcCenario3[[#This Row],[CÓDIGO]],composicoes[CÓDIGO],0),MATCH(orcCenario3[[#Headers],[EQUIPAMENTO]],composicoes[#Headers],0)),"")</f>
        <v>0</v>
      </c>
      <c r="K12" s="40">
        <f>IF(orcCenario3[[#This Row],[ MÃO DE OBRA]]="","",SUM(orcCenario3[[#This Row],[ MÃO DE OBRA]:[EQUIPAMENTO]]))</f>
        <v>9.09</v>
      </c>
      <c r="L12" s="23">
        <f>IF(orcCenario3[[#This Row],[CUSTO UNITÁRIO]]="","",CENÁRIOS!$M$6)</f>
        <v>0.25</v>
      </c>
      <c r="M12" s="40">
        <f ca="1">IF(orcCenario3[[#This Row],[ MÃO DE OBRA]]&lt;&gt;"",orcCenario3[[#This Row],[QUANTIDADE]]*orcCenario3[[#This Row],[ MÃO DE OBRA]]*(1+orcCenario3[[#This Row],[BDI]]),SUMIFS(orcCenario3[CUSTO MÃO DE OBRA],orcCenario3['#],"&gt;"&amp;orcCenario3[[#This Row],['#]],orcCenario3['#],"&lt;"&amp;orcCenario3[[#This Row],['#]]+100))</f>
        <v>14.205025342471593</v>
      </c>
      <c r="N12" s="40">
        <f ca="1">IF(orcCenario3[[#This Row],[MATERIAL]]&lt;&gt;"",orcCenario3[[#This Row],[QUANTIDADE]]*orcCenario3[[#This Row],[MATERIAL]]*(1+orcCenario3[[#This Row],[BDI]]),SUMIFS(orcCenario3[CUSTO MATERIAL],orcCenario3['#],"&gt;"&amp;orcCenario3[[#This Row],['#]],orcCenario3['#],"&lt;"&amp;orcCenario3[[#This Row],['#]]+100))</f>
        <v>416.20724253441767</v>
      </c>
      <c r="O12" s="40">
        <f ca="1">IF(orcCenario3[EQUIPAMENTO]&lt;&gt;"",orcCenario3[[#This Row],[QUANTIDADE]]*orcCenario3[EQUIPAMENTO]*(1+orcCenario3[[#This Row],[BDI]]),SUMIFS(orcCenario3[CUSTO EQUIPAMENTO],orcCenario3['#],"&gt;"&amp;orcCenario3[[#This Row],['#]],orcCenario3['#],"&lt;"&amp;orcCenario3[[#This Row],['#]]+100))</f>
        <v>0</v>
      </c>
      <c r="P12" s="40">
        <f ca="1">SUM(orcCenario3[[#This Row],[CUSTO MÃO DE OBRA]:[CUSTO EQUIPAMENTO]])</f>
        <v>430.41226787688925</v>
      </c>
      <c r="Q12" s="64" t="str">
        <f ca="1">IF(orcCenario3[[#This Row],[QUANTIDADE]]=0,"Não","Sim")</f>
        <v>Sim</v>
      </c>
    </row>
    <row r="13" spans="2:22" hidden="1" x14ac:dyDescent="0.25">
      <c r="B13" s="49">
        <v>109</v>
      </c>
      <c r="C13" s="49">
        <f ca="1">IF(orcCenario3[[#This Row],[DESCRIÇÃO]]="ESTACAS",100,IF(orcCenario3[[#This Row],[DESCRIÇÃO]]="BLOCO",200,orcCenario3[[#This Row],['#]]-COUNTIFS(orcCenario3[QUANTIDADE],0,orcCenario3['#],"&lt;"&amp;orcCenario3[[#This Row],['#]],orcCenario3['#],"&gt;"&amp;ROUNDDOWN(orcCenario3[[#This Row],['#]],-2))))</f>
        <v>104</v>
      </c>
      <c r="D13" s="1">
        <v>95580</v>
      </c>
      <c r="E13" s="39" t="str">
        <f>IF(orcCenario3[[#This Row],['#]]=100,"ESTACAS",IF(orcCenario3[[#This Row],['#]]=200,"BLOCO",INDEX(composicoes[],MATCH(orcCenario3[[#This Row],[CÓDIGO]],composicoes[CÓDIGO],0),MATCH(orcCenario3[[#Headers],[DESCRIÇÃO]],composicoes[#Headers],0))))</f>
        <v>MONTAGEM DE ARMADURA DE ESTACAS, DIÂMETRO = 20,0 MM. AF_09/2021_PS</v>
      </c>
      <c r="F13" s="1" t="str">
        <f>IFERROR(INDEX(composicoes[],MATCH(orcCenario3[[#This Row],[CÓDIGO]],composicoes[CÓDIGO],0),MATCH(orcCenario3[[#Headers],[UN.]],composicoes[#Headers],0)),"")</f>
        <v>KG</v>
      </c>
      <c r="G13" s="4">
        <f ca="1">IF(orcCenario3[[#This Row],[CÓDIGO]]="","",quantitativo(orcCenario3[[#This Row],[CÓDIGO]],orcCenario3[[#This Row],['#]],CENÁRIOS!$M$3,CENÁRIOS!$M$4,cenario3[]))</f>
        <v>0</v>
      </c>
      <c r="H13" s="40">
        <f>IFERROR(INDEX(composicoes[],MATCH(orcCenario3[[#This Row],[CÓDIGO]],composicoes[CÓDIGO],0),MATCH(orcCenario3[[#Headers],[ MÃO DE OBRA]],composicoes[#Headers],0)),"")</f>
        <v>0.21</v>
      </c>
      <c r="I13" s="40">
        <f>IFERROR(INDEX(composicoes[],MATCH(orcCenario3[[#This Row],[CÓDIGO]],composicoes[CÓDIGO],0),MATCH(orcCenario3[[#Headers],[MATERIAL]],composicoes[#Headers],0)),"")</f>
        <v>10.25</v>
      </c>
      <c r="J13" s="40">
        <f>IFERROR(INDEX(composicoes[],MATCH(orcCenario3[[#This Row],[CÓDIGO]],composicoes[CÓDIGO],0),MATCH(orcCenario3[[#Headers],[EQUIPAMENTO]],composicoes[#Headers],0)),"")</f>
        <v>0</v>
      </c>
      <c r="K13" s="40">
        <f>IF(orcCenario3[[#This Row],[ MÃO DE OBRA]]="","",SUM(orcCenario3[[#This Row],[ MÃO DE OBRA]:[EQUIPAMENTO]]))</f>
        <v>10.46</v>
      </c>
      <c r="L13" s="23">
        <f>IF(orcCenario3[[#This Row],[CUSTO UNITÁRIO]]="","",CENÁRIOS!$M$6)</f>
        <v>0.25</v>
      </c>
      <c r="M13" s="40">
        <f ca="1">IF(orcCenario3[[#This Row],[ MÃO DE OBRA]]&lt;&gt;"",orcCenario3[[#This Row],[QUANTIDADE]]*orcCenario3[[#This Row],[ MÃO DE OBRA]]*(1+orcCenario3[[#This Row],[BDI]]),SUMIFS(orcCenario3[CUSTO MÃO DE OBRA],orcCenario3['#],"&gt;"&amp;orcCenario3[[#This Row],['#]],orcCenario3['#],"&lt;"&amp;orcCenario3[[#This Row],['#]]+100))</f>
        <v>0</v>
      </c>
      <c r="N13" s="40">
        <f ca="1">IF(orcCenario3[[#This Row],[MATERIAL]]&lt;&gt;"",orcCenario3[[#This Row],[QUANTIDADE]]*orcCenario3[[#This Row],[MATERIAL]]*(1+orcCenario3[[#This Row],[BDI]]),SUMIFS(orcCenario3[CUSTO MATERIAL],orcCenario3['#],"&gt;"&amp;orcCenario3[[#This Row],['#]],orcCenario3['#],"&lt;"&amp;orcCenario3[[#This Row],['#]]+100))</f>
        <v>0</v>
      </c>
      <c r="O13" s="40">
        <f ca="1">IF(orcCenario3[EQUIPAMENTO]&lt;&gt;"",orcCenario3[[#This Row],[QUANTIDADE]]*orcCenario3[EQUIPAMENTO]*(1+orcCenario3[[#This Row],[BDI]]),SUMIFS(orcCenario3[CUSTO EQUIPAMENTO],orcCenario3['#],"&gt;"&amp;orcCenario3[[#This Row],['#]],orcCenario3['#],"&lt;"&amp;orcCenario3[[#This Row],['#]]+100))</f>
        <v>0</v>
      </c>
      <c r="P13" s="40">
        <f ca="1">SUM(orcCenario3[[#This Row],[CUSTO MÃO DE OBRA]:[CUSTO EQUIPAMENTO]])</f>
        <v>0</v>
      </c>
      <c r="Q13" s="64" t="str">
        <f ca="1">IF(orcCenario3[[#This Row],[QUANTIDADE]]=0,"Não","Sim")</f>
        <v>Não</v>
      </c>
    </row>
    <row r="14" spans="2:22" hidden="1" x14ac:dyDescent="0.25">
      <c r="B14" s="49">
        <v>110</v>
      </c>
      <c r="C14" s="49">
        <f ca="1">IF(orcCenario3[[#This Row],[DESCRIÇÃO]]="ESTACAS",100,IF(orcCenario3[[#This Row],[DESCRIÇÃO]]="BLOCO",200,orcCenario3[[#This Row],['#]]-COUNTIFS(orcCenario3[QUANTIDADE],0,orcCenario3['#],"&lt;"&amp;orcCenario3[[#This Row],['#]],orcCenario3['#],"&gt;"&amp;ROUNDDOWN(orcCenario3[[#This Row],['#]],-2))))</f>
        <v>104</v>
      </c>
      <c r="D14" s="1">
        <v>95581</v>
      </c>
      <c r="E14" s="39" t="str">
        <f>IF(orcCenario3[[#This Row],['#]]=100,"ESTACAS",IF(orcCenario3[[#This Row],['#]]=200,"BLOCO",INDEX(composicoes[],MATCH(orcCenario3[[#This Row],[CÓDIGO]],composicoes[CÓDIGO],0),MATCH(orcCenario3[[#Headers],[DESCRIÇÃO]],composicoes[#Headers],0))))</f>
        <v>MONTAGEM DE ARMADURA DE ESTACAS, DIÂMETRO = 25,0 MM. AF_09/2021_PS</v>
      </c>
      <c r="F14" s="1" t="str">
        <f>IFERROR(INDEX(composicoes[],MATCH(orcCenario3[[#This Row],[CÓDIGO]],composicoes[CÓDIGO],0),MATCH(orcCenario3[[#Headers],[UN.]],composicoes[#Headers],0)),"")</f>
        <v>KG</v>
      </c>
      <c r="G14" s="4">
        <f ca="1">IF(orcCenario3[[#This Row],[CÓDIGO]]="","",quantitativo(orcCenario3[[#This Row],[CÓDIGO]],orcCenario3[[#This Row],['#]],CENÁRIOS!$M$3,CENÁRIOS!$M$4,cenario3[]))</f>
        <v>0</v>
      </c>
      <c r="H14" s="40">
        <f>IFERROR(INDEX(composicoes[],MATCH(orcCenario3[[#This Row],[CÓDIGO]],composicoes[CÓDIGO],0),MATCH(orcCenario3[[#Headers],[ MÃO DE OBRA]],composicoes[#Headers],0)),"")</f>
        <v>0.2</v>
      </c>
      <c r="I14" s="40">
        <f>IFERROR(INDEX(composicoes[],MATCH(orcCenario3[[#This Row],[CÓDIGO]],composicoes[CÓDIGO],0),MATCH(orcCenario3[[#Headers],[MATERIAL]],composicoes[#Headers],0)),"")</f>
        <v>10.23</v>
      </c>
      <c r="J14" s="40">
        <f>IFERROR(INDEX(composicoes[],MATCH(orcCenario3[[#This Row],[CÓDIGO]],composicoes[CÓDIGO],0),MATCH(orcCenario3[[#Headers],[EQUIPAMENTO]],composicoes[#Headers],0)),"")</f>
        <v>0</v>
      </c>
      <c r="K14" s="40">
        <f>IF(orcCenario3[[#This Row],[ MÃO DE OBRA]]="","",SUM(orcCenario3[[#This Row],[ MÃO DE OBRA]:[EQUIPAMENTO]]))</f>
        <v>10.43</v>
      </c>
      <c r="L14" s="23">
        <f>IF(orcCenario3[[#This Row],[CUSTO UNITÁRIO]]="","",CENÁRIOS!$M$6)</f>
        <v>0.25</v>
      </c>
      <c r="M14" s="40">
        <f ca="1">IF(orcCenario3[[#This Row],[ MÃO DE OBRA]]&lt;&gt;"",orcCenario3[[#This Row],[QUANTIDADE]]*orcCenario3[[#This Row],[ MÃO DE OBRA]]*(1+orcCenario3[[#This Row],[BDI]]),SUMIFS(orcCenario3[CUSTO MÃO DE OBRA],orcCenario3['#],"&gt;"&amp;orcCenario3[[#This Row],['#]],orcCenario3['#],"&lt;"&amp;orcCenario3[[#This Row],['#]]+100))</f>
        <v>0</v>
      </c>
      <c r="N14" s="40">
        <f ca="1">IF(orcCenario3[[#This Row],[MATERIAL]]&lt;&gt;"",orcCenario3[[#This Row],[QUANTIDADE]]*orcCenario3[[#This Row],[MATERIAL]]*(1+orcCenario3[[#This Row],[BDI]]),SUMIFS(orcCenario3[CUSTO MATERIAL],orcCenario3['#],"&gt;"&amp;orcCenario3[[#This Row],['#]],orcCenario3['#],"&lt;"&amp;orcCenario3[[#This Row],['#]]+100))</f>
        <v>0</v>
      </c>
      <c r="O14" s="40">
        <f ca="1">IF(orcCenario3[EQUIPAMENTO]&lt;&gt;"",orcCenario3[[#This Row],[QUANTIDADE]]*orcCenario3[EQUIPAMENTO]*(1+orcCenario3[[#This Row],[BDI]]),SUMIFS(orcCenario3[CUSTO EQUIPAMENTO],orcCenario3['#],"&gt;"&amp;orcCenario3[[#This Row],['#]],orcCenario3['#],"&lt;"&amp;orcCenario3[[#This Row],['#]]+100))</f>
        <v>0</v>
      </c>
      <c r="P14" s="40">
        <f ca="1">SUM(orcCenario3[[#This Row],[CUSTO MÃO DE OBRA]:[CUSTO EQUIPAMENTO]])</f>
        <v>0</v>
      </c>
      <c r="Q14" s="64" t="str">
        <f ca="1">IF(orcCenario3[[#This Row],[QUANTIDADE]]=0,"Não","Sim")</f>
        <v>Não</v>
      </c>
    </row>
    <row r="15" spans="2:22" hidden="1" x14ac:dyDescent="0.25">
      <c r="B15" s="49">
        <v>111</v>
      </c>
      <c r="C15" s="49">
        <f ca="1">IF(orcCenario3[[#This Row],[DESCRIÇÃO]]="ESTACAS",100,IF(orcCenario3[[#This Row],[DESCRIÇÃO]]="BLOCO",200,orcCenario3[[#This Row],['#]]-COUNTIFS(orcCenario3[QUANTIDADE],0,orcCenario3['#],"&lt;"&amp;orcCenario3[[#This Row],['#]],orcCenario3['#],"&gt;"&amp;ROUNDDOWN(orcCenario3[[#This Row],['#]],-2))))</f>
        <v>104</v>
      </c>
      <c r="D15" s="1">
        <v>95582</v>
      </c>
      <c r="E15" s="39" t="str">
        <f>IF(orcCenario3[[#This Row],['#]]=100,"ESTACAS",IF(orcCenario3[[#This Row],['#]]=200,"BLOCO",INDEX(composicoes[],MATCH(orcCenario3[[#This Row],[CÓDIGO]],composicoes[CÓDIGO],0),MATCH(orcCenario3[[#Headers],[DESCRIÇÃO]],composicoes[#Headers],0))))</f>
        <v>MONTAGEM DE ARMADURA DE ESTACAS, DIÂMETRO = 32,0 MM. AF_09/2021_PE</v>
      </c>
      <c r="F15" s="1" t="str">
        <f>IFERROR(INDEX(composicoes[],MATCH(orcCenario3[[#This Row],[CÓDIGO]],composicoes[CÓDIGO],0),MATCH(orcCenario3[[#Headers],[UN.]],composicoes[#Headers],0)),"")</f>
        <v>KG</v>
      </c>
      <c r="G15" s="4">
        <f ca="1">IF(orcCenario3[[#This Row],[CÓDIGO]]="","",quantitativo(orcCenario3[[#This Row],[CÓDIGO]],orcCenario3[[#This Row],['#]],CENÁRIOS!$M$3,CENÁRIOS!$M$4,cenario3[]))</f>
        <v>0</v>
      </c>
      <c r="H15" s="40">
        <f>IFERROR(INDEX(composicoes[],MATCH(orcCenario3[[#This Row],[CÓDIGO]],composicoes[CÓDIGO],0),MATCH(orcCenario3[[#Headers],[ MÃO DE OBRA]],composicoes[#Headers],0)),"")</f>
        <v>0.18</v>
      </c>
      <c r="I15" s="40">
        <f>IFERROR(INDEX(composicoes[],MATCH(orcCenario3[[#This Row],[CÓDIGO]],composicoes[CÓDIGO],0),MATCH(orcCenario3[[#Headers],[MATERIAL]],composicoes[#Headers],0)),"")</f>
        <v>11.15</v>
      </c>
      <c r="J15" s="40">
        <f>IFERROR(INDEX(composicoes[],MATCH(orcCenario3[[#This Row],[CÓDIGO]],composicoes[CÓDIGO],0),MATCH(orcCenario3[[#Headers],[EQUIPAMENTO]],composicoes[#Headers],0)),"")</f>
        <v>0</v>
      </c>
      <c r="K15" s="40">
        <f>IF(orcCenario3[[#This Row],[ MÃO DE OBRA]]="","",SUM(orcCenario3[[#This Row],[ MÃO DE OBRA]:[EQUIPAMENTO]]))</f>
        <v>11.33</v>
      </c>
      <c r="L15" s="23">
        <f>IF(orcCenario3[[#This Row],[CUSTO UNITÁRIO]]="","",CENÁRIOS!$M$6)</f>
        <v>0.25</v>
      </c>
      <c r="M15" s="40">
        <f ca="1">IF(orcCenario3[[#This Row],[ MÃO DE OBRA]]&lt;&gt;"",orcCenario3[[#This Row],[QUANTIDADE]]*orcCenario3[[#This Row],[ MÃO DE OBRA]]*(1+orcCenario3[[#This Row],[BDI]]),SUMIFS(orcCenario3[CUSTO MÃO DE OBRA],orcCenario3['#],"&gt;"&amp;orcCenario3[[#This Row],['#]],orcCenario3['#],"&lt;"&amp;orcCenario3[[#This Row],['#]]+100))</f>
        <v>0</v>
      </c>
      <c r="N15" s="40">
        <f ca="1">IF(orcCenario3[[#This Row],[MATERIAL]]&lt;&gt;"",orcCenario3[[#This Row],[QUANTIDADE]]*orcCenario3[[#This Row],[MATERIAL]]*(1+orcCenario3[[#This Row],[BDI]]),SUMIFS(orcCenario3[CUSTO MATERIAL],orcCenario3['#],"&gt;"&amp;orcCenario3[[#This Row],['#]],orcCenario3['#],"&lt;"&amp;orcCenario3[[#This Row],['#]]+100))</f>
        <v>0</v>
      </c>
      <c r="O15" s="40">
        <f ca="1">IF(orcCenario3[EQUIPAMENTO]&lt;&gt;"",orcCenario3[[#This Row],[QUANTIDADE]]*orcCenario3[EQUIPAMENTO]*(1+orcCenario3[[#This Row],[BDI]]),SUMIFS(orcCenario3[CUSTO EQUIPAMENTO],orcCenario3['#],"&gt;"&amp;orcCenario3[[#This Row],['#]],orcCenario3['#],"&lt;"&amp;orcCenario3[[#This Row],['#]]+100))</f>
        <v>0</v>
      </c>
      <c r="P15" s="40">
        <f ca="1">SUM(orcCenario3[[#This Row],[CUSTO MÃO DE OBRA]:[CUSTO EQUIPAMENTO]])</f>
        <v>0</v>
      </c>
      <c r="Q15" s="64" t="str">
        <f ca="1">IF(orcCenario3[[#This Row],[QUANTIDADE]]=0,"Não","Sim")</f>
        <v>Não</v>
      </c>
    </row>
    <row r="16" spans="2:22" ht="30" x14ac:dyDescent="0.25">
      <c r="B16" s="49">
        <v>112</v>
      </c>
      <c r="C16" s="49">
        <f ca="1">IF(orcCenario3[[#This Row],[DESCRIÇÃO]]="ESTACAS",100,IF(orcCenario3[[#This Row],[DESCRIÇÃO]]="BLOCO",200,orcCenario3[[#This Row],['#]]-COUNTIFS(orcCenario3[QUANTIDADE],0,orcCenario3['#],"&lt;"&amp;orcCenario3[[#This Row],['#]],orcCenario3['#],"&gt;"&amp;ROUNDDOWN(orcCenario3[[#This Row],['#]],-2))))</f>
        <v>104</v>
      </c>
      <c r="D16" s="1">
        <v>95584</v>
      </c>
      <c r="E16" s="39" t="str">
        <f>IF(orcCenario3[[#This Row],['#]]=100,"ESTACAS",IF(orcCenario3[[#This Row],['#]]=200,"BLOCO",INDEX(composicoes[],MATCH(orcCenario3[[#This Row],[CÓDIGO]],composicoes[CÓDIGO],0),MATCH(orcCenario3[[#Headers],[DESCRIÇÃO]],composicoes[#Headers],0))))</f>
        <v>MONTAGEM DE ARMADURA TRANSVERSAL DE ESTACAS DE SEÇÃO CIRCULAR, DIÂMETRO = 6,30 MM. AF_09/2021_PS</v>
      </c>
      <c r="F16" s="1" t="str">
        <f>IFERROR(INDEX(composicoes[],MATCH(orcCenario3[[#This Row],[CÓDIGO]],composicoes[CÓDIGO],0),MATCH(orcCenario3[[#Headers],[UN.]],composicoes[#Headers],0)),"")</f>
        <v>KG</v>
      </c>
      <c r="G16" s="4">
        <f ca="1">IF(orcCenario3[[#This Row],[CÓDIGO]]="","",quantitativo(orcCenario3[[#This Row],[CÓDIGO]],orcCenario3[[#This Row],['#]],CENÁRIOS!$M$3,CENÁRIOS!$M$4,cenario3[]))</f>
        <v>41.513014345032019</v>
      </c>
      <c r="H16" s="40">
        <f>IFERROR(INDEX(composicoes[],MATCH(orcCenario3[[#This Row],[CÓDIGO]],composicoes[CÓDIGO],0),MATCH(orcCenario3[[#Headers],[ MÃO DE OBRA]],composicoes[#Headers],0)),"")</f>
        <v>3.22</v>
      </c>
      <c r="I16" s="40">
        <f>IFERROR(INDEX(composicoes[],MATCH(orcCenario3[[#This Row],[CÓDIGO]],composicoes[CÓDIGO],0),MATCH(orcCenario3[[#Headers],[MATERIAL]],composicoes[#Headers],0)),"")</f>
        <v>11.51</v>
      </c>
      <c r="J16" s="40">
        <f>IFERROR(INDEX(composicoes[],MATCH(orcCenario3[[#This Row],[CÓDIGO]],composicoes[CÓDIGO],0),MATCH(orcCenario3[[#Headers],[EQUIPAMENTO]],composicoes[#Headers],0)),"")</f>
        <v>0</v>
      </c>
      <c r="K16" s="40">
        <f>IF(orcCenario3[[#This Row],[ MÃO DE OBRA]]="","",SUM(orcCenario3[[#This Row],[ MÃO DE OBRA]:[EQUIPAMENTO]]))</f>
        <v>14.73</v>
      </c>
      <c r="L16" s="23">
        <f>IF(orcCenario3[[#This Row],[CUSTO UNITÁRIO]]="","",CENÁRIOS!$M$6)</f>
        <v>0.25</v>
      </c>
      <c r="M16" s="40">
        <f ca="1">IF(orcCenario3[[#This Row],[ MÃO DE OBRA]]&lt;&gt;"",orcCenario3[[#This Row],[QUANTIDADE]]*orcCenario3[[#This Row],[ MÃO DE OBRA]]*(1+orcCenario3[[#This Row],[BDI]]),SUMIFS(orcCenario3[CUSTO MÃO DE OBRA],orcCenario3['#],"&gt;"&amp;orcCenario3[[#This Row],['#]],orcCenario3['#],"&lt;"&amp;orcCenario3[[#This Row],['#]]+100))</f>
        <v>167.08988273875389</v>
      </c>
      <c r="N16" s="40">
        <f ca="1">IF(orcCenario3[[#This Row],[MATERIAL]]&lt;&gt;"",orcCenario3[[#This Row],[QUANTIDADE]]*orcCenario3[[#This Row],[MATERIAL]]*(1+orcCenario3[[#This Row],[BDI]]),SUMIFS(orcCenario3[CUSTO MATERIAL],orcCenario3['#],"&gt;"&amp;orcCenario3[[#This Row],['#]],orcCenario3['#],"&lt;"&amp;orcCenario3[[#This Row],['#]]+100))</f>
        <v>597.2684938891482</v>
      </c>
      <c r="O16" s="40">
        <f ca="1">IF(orcCenario3[EQUIPAMENTO]&lt;&gt;"",orcCenario3[[#This Row],[QUANTIDADE]]*orcCenario3[EQUIPAMENTO]*(1+orcCenario3[[#This Row],[BDI]]),SUMIFS(orcCenario3[CUSTO EQUIPAMENTO],orcCenario3['#],"&gt;"&amp;orcCenario3[[#This Row],['#]],orcCenario3['#],"&lt;"&amp;orcCenario3[[#This Row],['#]]+100))</f>
        <v>0</v>
      </c>
      <c r="P16" s="40">
        <f ca="1">SUM(orcCenario3[[#This Row],[CUSTO MÃO DE OBRA]:[CUSTO EQUIPAMENTO]])</f>
        <v>764.35837662790209</v>
      </c>
      <c r="Q16" s="64" t="str">
        <f ca="1">IF(orcCenario3[[#This Row],[QUANTIDADE]]=0,"Não","Sim")</f>
        <v>Sim</v>
      </c>
    </row>
    <row r="17" spans="2:17" ht="30" hidden="1" x14ac:dyDescent="0.25">
      <c r="B17" s="49">
        <v>113</v>
      </c>
      <c r="C17" s="49">
        <f ca="1">IF(orcCenario3[[#This Row],[DESCRIÇÃO]]="ESTACAS",100,IF(orcCenario3[[#This Row],[DESCRIÇÃO]]="BLOCO",200,orcCenario3[[#This Row],['#]]-COUNTIFS(orcCenario3[QUANTIDADE],0,orcCenario3['#],"&lt;"&amp;orcCenario3[[#This Row],['#]],orcCenario3['#],"&gt;"&amp;ROUNDDOWN(orcCenario3[[#This Row],['#]],-2))))</f>
        <v>105</v>
      </c>
      <c r="D17" s="1">
        <v>94965</v>
      </c>
      <c r="E17" s="39" t="str">
        <f>IF(orcCenario3[[#This Row],['#]]=100,"ESTACAS",IF(orcCenario3[[#This Row],['#]]=200,"BLOCO",INDEX(composicoes[],MATCH(orcCenario3[[#This Row],[CÓDIGO]],composicoes[CÓDIGO],0),MATCH(orcCenario3[[#Headers],[DESCRIÇÃO]],composicoes[#Headers],0))))</f>
        <v>CONCRETO FCK = 25MPA, TRAÇO 1:2,3:2,7 (EM MASSA SECA DE CIMENTO/ AREIA MÉDIA/ BRITA 1) - PREPARO MECÂNICO COM BETONEIRA 400 L. AF_05/2021</v>
      </c>
      <c r="F17" s="1" t="str">
        <f>IFERROR(INDEX(composicoes[],MATCH(orcCenario3[[#This Row],[CÓDIGO]],composicoes[CÓDIGO],0),MATCH(orcCenario3[[#Headers],[UN.]],composicoes[#Headers],0)),"")</f>
        <v>M³</v>
      </c>
      <c r="G17" s="4">
        <f ca="1">IF(orcCenario3[[#This Row],[CÓDIGO]]="","",quantitativo(orcCenario3[[#This Row],[CÓDIGO]],orcCenario3[[#This Row],['#]],CENÁRIOS!$M$3,CENÁRIOS!$M$4,cenario3[]))</f>
        <v>0</v>
      </c>
      <c r="H17" s="40">
        <f>IFERROR(INDEX(composicoes[],MATCH(orcCenario3[[#This Row],[CÓDIGO]],composicoes[CÓDIGO],0),MATCH(orcCenario3[[#Headers],[ MÃO DE OBRA]],composicoes[#Headers],0)),"")</f>
        <v>57.3</v>
      </c>
      <c r="I17" s="40">
        <f>IFERROR(INDEX(composicoes[],MATCH(orcCenario3[[#This Row],[CÓDIGO]],composicoes[CÓDIGO],0),MATCH(orcCenario3[[#Headers],[MATERIAL]],composicoes[#Headers],0)),"")</f>
        <v>365.86</v>
      </c>
      <c r="J17" s="40">
        <f>IFERROR(INDEX(composicoes[],MATCH(orcCenario3[[#This Row],[CÓDIGO]],composicoes[CÓDIGO],0),MATCH(orcCenario3[[#Headers],[EQUIPAMENTO]],composicoes[#Headers],0)),"")</f>
        <v>1.31</v>
      </c>
      <c r="K17" s="40">
        <f>IF(orcCenario3[[#This Row],[ MÃO DE OBRA]]="","",SUM(orcCenario3[[#This Row],[ MÃO DE OBRA]:[EQUIPAMENTO]]))</f>
        <v>424.47</v>
      </c>
      <c r="L17" s="23">
        <f>IF(orcCenario3[[#This Row],[CUSTO UNITÁRIO]]="","",CENÁRIOS!$M$6)</f>
        <v>0.25</v>
      </c>
      <c r="M17" s="40">
        <f ca="1">IF(orcCenario3[[#This Row],[ MÃO DE OBRA]]&lt;&gt;"",orcCenario3[[#This Row],[QUANTIDADE]]*orcCenario3[[#This Row],[ MÃO DE OBRA]]*(1+orcCenario3[[#This Row],[BDI]]),SUMIFS(orcCenario3[CUSTO MÃO DE OBRA],orcCenario3['#],"&gt;"&amp;orcCenario3[[#This Row],['#]],orcCenario3['#],"&lt;"&amp;orcCenario3[[#This Row],['#]]+100))</f>
        <v>0</v>
      </c>
      <c r="N17" s="40">
        <f ca="1">IF(orcCenario3[[#This Row],[MATERIAL]]&lt;&gt;"",orcCenario3[[#This Row],[QUANTIDADE]]*orcCenario3[[#This Row],[MATERIAL]]*(1+orcCenario3[[#This Row],[BDI]]),SUMIFS(orcCenario3[CUSTO MATERIAL],orcCenario3['#],"&gt;"&amp;orcCenario3[[#This Row],['#]],orcCenario3['#],"&lt;"&amp;orcCenario3[[#This Row],['#]]+100))</f>
        <v>0</v>
      </c>
      <c r="O17" s="40">
        <f ca="1">IF(orcCenario3[EQUIPAMENTO]&lt;&gt;"",orcCenario3[[#This Row],[QUANTIDADE]]*orcCenario3[EQUIPAMENTO]*(1+orcCenario3[[#This Row],[BDI]]),SUMIFS(orcCenario3[CUSTO EQUIPAMENTO],orcCenario3['#],"&gt;"&amp;orcCenario3[[#This Row],['#]],orcCenario3['#],"&lt;"&amp;orcCenario3[[#This Row],['#]]+100))</f>
        <v>0</v>
      </c>
      <c r="P17" s="40">
        <f ca="1">SUM(orcCenario3[[#This Row],[CUSTO MÃO DE OBRA]:[CUSTO EQUIPAMENTO]])</f>
        <v>0</v>
      </c>
      <c r="Q17" s="64" t="str">
        <f ca="1">IF(orcCenario3[[#This Row],[QUANTIDADE]]=0,"Não","Sim")</f>
        <v>Não</v>
      </c>
    </row>
    <row r="18" spans="2:17" ht="30" x14ac:dyDescent="0.25">
      <c r="B18" s="49">
        <v>114</v>
      </c>
      <c r="C18" s="49">
        <f ca="1">IF(orcCenario3[[#This Row],[DESCRIÇÃO]]="ESTACAS",100,IF(orcCenario3[[#This Row],[DESCRIÇÃO]]="BLOCO",200,orcCenario3[[#This Row],['#]]-COUNTIFS(orcCenario3[QUANTIDADE],0,orcCenario3['#],"&lt;"&amp;orcCenario3[[#This Row],['#]],orcCenario3['#],"&gt;"&amp;ROUNDDOWN(orcCenario3[[#This Row],['#]],-2))))</f>
        <v>105</v>
      </c>
      <c r="D18" s="1">
        <v>94966</v>
      </c>
      <c r="E18" s="39" t="str">
        <f>IF(orcCenario3[[#This Row],['#]]=100,"ESTACAS",IF(orcCenario3[[#This Row],['#]]=200,"BLOCO",INDEX(composicoes[],MATCH(orcCenario3[[#This Row],[CÓDIGO]],composicoes[CÓDIGO],0),MATCH(orcCenario3[[#Headers],[DESCRIÇÃO]],composicoes[#Headers],0))))</f>
        <v>CONCRETO FCK = 30MPA, TRAÇO 1:2,1:2,5 (EM MASSA SECA DE CIMENTO/ AREIA MÉDIA/ BRITA 1) - PREPARO MECÂNICO COM BETONEIRA 400 L. AF_05/2021</v>
      </c>
      <c r="F18" s="1" t="str">
        <f>IFERROR(INDEX(composicoes[],MATCH(orcCenario3[[#This Row],[CÓDIGO]],composicoes[CÓDIGO],0),MATCH(orcCenario3[[#Headers],[UN.]],composicoes[#Headers],0)),"")</f>
        <v>M³</v>
      </c>
      <c r="G18" s="4">
        <f ca="1">IF(orcCenario3[[#This Row],[CÓDIGO]]="","",quantitativo(orcCenario3[[#This Row],[CÓDIGO]],orcCenario3[[#This Row],['#]],CENÁRIOS!$M$3,CENÁRIOS!$M$4,cenario3[]))</f>
        <v>15.739379194484849</v>
      </c>
      <c r="H18" s="40">
        <f>IFERROR(INDEX(composicoes[],MATCH(orcCenario3[[#This Row],[CÓDIGO]],composicoes[CÓDIGO],0),MATCH(orcCenario3[[#Headers],[ MÃO DE OBRA]],composicoes[#Headers],0)),"")</f>
        <v>56.82</v>
      </c>
      <c r="I18" s="40">
        <f>IFERROR(INDEX(composicoes[],MATCH(orcCenario3[[#This Row],[CÓDIGO]],composicoes[CÓDIGO],0),MATCH(orcCenario3[[#Headers],[MATERIAL]],composicoes[#Headers],0)),"")</f>
        <v>381.4</v>
      </c>
      <c r="J18" s="40">
        <f>IFERROR(INDEX(composicoes[],MATCH(orcCenario3[[#This Row],[CÓDIGO]],composicoes[CÓDIGO],0),MATCH(orcCenario3[[#Headers],[EQUIPAMENTO]],composicoes[#Headers],0)),"")</f>
        <v>1.2999999999999998</v>
      </c>
      <c r="K18" s="40">
        <f>IF(orcCenario3[[#This Row],[ MÃO DE OBRA]]="","",SUM(orcCenario3[[#This Row],[ MÃO DE OBRA]:[EQUIPAMENTO]]))</f>
        <v>439.52</v>
      </c>
      <c r="L18" s="23">
        <f>IF(orcCenario3[[#This Row],[CUSTO UNITÁRIO]]="","",CENÁRIOS!$M$6)</f>
        <v>0.25</v>
      </c>
      <c r="M18" s="40">
        <f ca="1">IF(orcCenario3[[#This Row],[ MÃO DE OBRA]]&lt;&gt;"",orcCenario3[[#This Row],[QUANTIDADE]]*orcCenario3[[#This Row],[ MÃO DE OBRA]]*(1+orcCenario3[[#This Row],[BDI]]),SUMIFS(orcCenario3[CUSTO MÃO DE OBRA],orcCenario3['#],"&gt;"&amp;orcCenario3[[#This Row],['#]],orcCenario3['#],"&lt;"&amp;orcCenario3[[#This Row],['#]]+100))</f>
        <v>1117.8894072882863</v>
      </c>
      <c r="N18" s="40">
        <f ca="1">IF(orcCenario3[[#This Row],[MATERIAL]]&lt;&gt;"",orcCenario3[[#This Row],[QUANTIDADE]]*orcCenario3[[#This Row],[MATERIAL]]*(1+orcCenario3[[#This Row],[BDI]]),SUMIFS(orcCenario3[CUSTO MATERIAL],orcCenario3['#],"&gt;"&amp;orcCenario3[[#This Row],['#]],orcCenario3['#],"&lt;"&amp;orcCenario3[[#This Row],['#]]+100))</f>
        <v>7503.7490309706518</v>
      </c>
      <c r="O18" s="40">
        <f ca="1">IF(orcCenario3[EQUIPAMENTO]&lt;&gt;"",orcCenario3[[#This Row],[QUANTIDADE]]*orcCenario3[EQUIPAMENTO]*(1+orcCenario3[[#This Row],[BDI]]),SUMIFS(orcCenario3[CUSTO EQUIPAMENTO],orcCenario3['#],"&gt;"&amp;orcCenario3[[#This Row],['#]],orcCenario3['#],"&lt;"&amp;orcCenario3[[#This Row],['#]]+100))</f>
        <v>25.576491191037878</v>
      </c>
      <c r="P18" s="40">
        <f ca="1">SUM(orcCenario3[[#This Row],[CUSTO MÃO DE OBRA]:[CUSTO EQUIPAMENTO]])</f>
        <v>8647.2149294499759</v>
      </c>
      <c r="Q18" s="64" t="str">
        <f ca="1">IF(orcCenario3[[#This Row],[QUANTIDADE]]=0,"Não","Sim")</f>
        <v>Sim</v>
      </c>
    </row>
    <row r="19" spans="2:17" ht="30" hidden="1" x14ac:dyDescent="0.25">
      <c r="B19" s="49">
        <v>115</v>
      </c>
      <c r="C19" s="49">
        <f ca="1">IF(orcCenario3[[#This Row],[DESCRIÇÃO]]="ESTACAS",100,IF(orcCenario3[[#This Row],[DESCRIÇÃO]]="BLOCO",200,orcCenario3[[#This Row],['#]]-COUNTIFS(orcCenario3[QUANTIDADE],0,orcCenario3['#],"&lt;"&amp;orcCenario3[[#This Row],['#]],orcCenario3['#],"&gt;"&amp;ROUNDDOWN(orcCenario3[[#This Row],['#]],-2))))</f>
        <v>106</v>
      </c>
      <c r="D19" s="1">
        <v>94967</v>
      </c>
      <c r="E19" s="39" t="str">
        <f>IF(orcCenario3[[#This Row],['#]]=100,"ESTACAS",IF(orcCenario3[[#This Row],['#]]=200,"BLOCO",INDEX(composicoes[],MATCH(orcCenario3[[#This Row],[CÓDIGO]],composicoes[CÓDIGO],0),MATCH(orcCenario3[[#Headers],[DESCRIÇÃO]],composicoes[#Headers],0))))</f>
        <v>CONCRETO FCK = 40MPA, TRAÇO 1:1,6:1,9 (EM MASSA SECA DE CIMENTO/ AREIA MÉDIA/ BRITA 1) - PREPARO MECÂNICO COM BETONEIRA 400 L. AF_05/2021</v>
      </c>
      <c r="F19" s="1" t="str">
        <f>IFERROR(INDEX(composicoes[],MATCH(orcCenario3[[#This Row],[CÓDIGO]],composicoes[CÓDIGO],0),MATCH(orcCenario3[[#Headers],[UN.]],composicoes[#Headers],0)),"")</f>
        <v>M³</v>
      </c>
      <c r="G19" s="4">
        <f ca="1">IF(orcCenario3[[#This Row],[CÓDIGO]]="","",quantitativo(orcCenario3[[#This Row],[CÓDIGO]],orcCenario3[[#This Row],['#]],CENÁRIOS!$M$3,CENÁRIOS!$M$4,cenario3[]))</f>
        <v>0</v>
      </c>
      <c r="H19" s="40">
        <f>IFERROR(INDEX(composicoes[],MATCH(orcCenario3[[#This Row],[CÓDIGO]],composicoes[CÓDIGO],0),MATCH(orcCenario3[[#Headers],[ MÃO DE OBRA]],composicoes[#Headers],0)),"")</f>
        <v>60.4</v>
      </c>
      <c r="I19" s="40">
        <f>IFERROR(INDEX(composicoes[],MATCH(orcCenario3[[#This Row],[CÓDIGO]],composicoes[CÓDIGO],0),MATCH(orcCenario3[[#Headers],[MATERIAL]],composicoes[#Headers],0)),"")</f>
        <v>443.17</v>
      </c>
      <c r="J19" s="40">
        <f>IFERROR(INDEX(composicoes[],MATCH(orcCenario3[[#This Row],[CÓDIGO]],composicoes[CÓDIGO],0),MATCH(orcCenario3[[#Headers],[EQUIPAMENTO]],composicoes[#Headers],0)),"")</f>
        <v>1.38</v>
      </c>
      <c r="K19" s="40">
        <f>IF(orcCenario3[[#This Row],[ MÃO DE OBRA]]="","",SUM(orcCenario3[[#This Row],[ MÃO DE OBRA]:[EQUIPAMENTO]]))</f>
        <v>504.95</v>
      </c>
      <c r="L19" s="23">
        <f>IF(orcCenario3[[#This Row],[CUSTO UNITÁRIO]]="","",CENÁRIOS!$M$6)</f>
        <v>0.25</v>
      </c>
      <c r="M19" s="40">
        <f ca="1">IF(orcCenario3[[#This Row],[ MÃO DE OBRA]]&lt;&gt;"",orcCenario3[[#This Row],[QUANTIDADE]]*orcCenario3[[#This Row],[ MÃO DE OBRA]]*(1+orcCenario3[[#This Row],[BDI]]),SUMIFS(orcCenario3[CUSTO MÃO DE OBRA],orcCenario3['#],"&gt;"&amp;orcCenario3[[#This Row],['#]],orcCenario3['#],"&lt;"&amp;orcCenario3[[#This Row],['#]]+100))</f>
        <v>0</v>
      </c>
      <c r="N19" s="40">
        <f ca="1">IF(orcCenario3[[#This Row],[MATERIAL]]&lt;&gt;"",orcCenario3[[#This Row],[QUANTIDADE]]*orcCenario3[[#This Row],[MATERIAL]]*(1+orcCenario3[[#This Row],[BDI]]),SUMIFS(orcCenario3[CUSTO MATERIAL],orcCenario3['#],"&gt;"&amp;orcCenario3[[#This Row],['#]],orcCenario3['#],"&lt;"&amp;orcCenario3[[#This Row],['#]]+100))</f>
        <v>0</v>
      </c>
      <c r="O19" s="40">
        <f ca="1">IF(orcCenario3[EQUIPAMENTO]&lt;&gt;"",orcCenario3[[#This Row],[QUANTIDADE]]*orcCenario3[EQUIPAMENTO]*(1+orcCenario3[[#This Row],[BDI]]),SUMIFS(orcCenario3[CUSTO EQUIPAMENTO],orcCenario3['#],"&gt;"&amp;orcCenario3[[#This Row],['#]],orcCenario3['#],"&lt;"&amp;orcCenario3[[#This Row],['#]]+100))</f>
        <v>0</v>
      </c>
      <c r="P19" s="40">
        <f ca="1">SUM(orcCenario3[[#This Row],[CUSTO MÃO DE OBRA]:[CUSTO EQUIPAMENTO]])</f>
        <v>0</v>
      </c>
      <c r="Q19" s="64" t="str">
        <f ca="1">IF(orcCenario3[[#This Row],[QUANTIDADE]]=0,"Não","Sim")</f>
        <v>Não</v>
      </c>
    </row>
    <row r="20" spans="2:17" ht="30" x14ac:dyDescent="0.25">
      <c r="B20" s="49">
        <v>116</v>
      </c>
      <c r="C20" s="49">
        <f ca="1">IF(orcCenario3[[#This Row],[DESCRIÇÃO]]="ESTACAS",100,IF(orcCenario3[[#This Row],[DESCRIÇÃO]]="BLOCO",200,orcCenario3[[#This Row],['#]]-COUNTIFS(orcCenario3[QUANTIDADE],0,orcCenario3['#],"&lt;"&amp;orcCenario3[[#This Row],['#]],orcCenario3['#],"&gt;"&amp;ROUNDDOWN(orcCenario3[[#This Row],['#]],-2))))</f>
        <v>106</v>
      </c>
      <c r="D20" s="1">
        <v>103673</v>
      </c>
      <c r="E20" s="39" t="str">
        <f>IF(orcCenario3[[#This Row],['#]]=100,"ESTACAS",IF(orcCenario3[[#This Row],['#]]=200,"BLOCO",INDEX(composicoes[],MATCH(orcCenario3[[#This Row],[CÓDIGO]],composicoes[CÓDIGO],0),MATCH(orcCenario3[[#Headers],[DESCRIÇÃO]],composicoes[#Headers],0))))</f>
        <v>LANÇAMENTO COM USO DE BOMBA, ADENSAMENTO E ACABAMENTO DE CONCRETO EM ESTRUTURAS. AF_02/2022</v>
      </c>
      <c r="F20" s="1" t="str">
        <f>IFERROR(INDEX(composicoes[],MATCH(orcCenario3[[#This Row],[CÓDIGO]],composicoes[CÓDIGO],0),MATCH(orcCenario3[[#Headers],[UN.]],composicoes[#Headers],0)),"")</f>
        <v>M³</v>
      </c>
      <c r="G20" s="4">
        <f ca="1">IF(orcCenario3[[#This Row],[CÓDIGO]]="","",quantitativo(orcCenario3[[#This Row],[CÓDIGO]],orcCenario3[[#This Row],['#]],CENÁRIOS!$M$3,CENÁRIOS!$M$4,cenario3[]))</f>
        <v>15.739379194484849</v>
      </c>
      <c r="H20" s="40">
        <f>IFERROR(INDEX(composicoes[],MATCH(orcCenario3[[#This Row],[CÓDIGO]],composicoes[CÓDIGO],0),MATCH(orcCenario3[[#Headers],[ MÃO DE OBRA]],composicoes[#Headers],0)),"")</f>
        <v>29.75</v>
      </c>
      <c r="I20" s="40">
        <f>IFERROR(INDEX(composicoes[],MATCH(orcCenario3[[#This Row],[CÓDIGO]],composicoes[CÓDIGO],0),MATCH(orcCenario3[[#Headers],[MATERIAL]],composicoes[#Headers],0)),"")</f>
        <v>13.78</v>
      </c>
      <c r="J20" s="40">
        <f>IFERROR(INDEX(composicoes[],MATCH(orcCenario3[[#This Row],[CÓDIGO]],composicoes[CÓDIGO],0),MATCH(orcCenario3[[#Headers],[EQUIPAMENTO]],composicoes[#Headers],0)),"")</f>
        <v>0.15</v>
      </c>
      <c r="K20" s="40">
        <f>IF(orcCenario3[[#This Row],[ MÃO DE OBRA]]="","",SUM(orcCenario3[[#This Row],[ MÃO DE OBRA]:[EQUIPAMENTO]]))</f>
        <v>43.68</v>
      </c>
      <c r="L20" s="23">
        <f>IF(orcCenario3[[#This Row],[CUSTO UNITÁRIO]]="","",CENÁRIOS!$M$6)</f>
        <v>0.25</v>
      </c>
      <c r="M20" s="40">
        <f ca="1">IF(orcCenario3[[#This Row],[ MÃO DE OBRA]]&lt;&gt;"",orcCenario3[[#This Row],[QUANTIDADE]]*orcCenario3[[#This Row],[ MÃO DE OBRA]]*(1+orcCenario3[[#This Row],[BDI]]),SUMIFS(orcCenario3[CUSTO MÃO DE OBRA],orcCenario3['#],"&gt;"&amp;orcCenario3[[#This Row],['#]],orcCenario3['#],"&lt;"&amp;orcCenario3[[#This Row],['#]]+100))</f>
        <v>585.30816379490534</v>
      </c>
      <c r="N20" s="40">
        <f ca="1">IF(orcCenario3[[#This Row],[MATERIAL]]&lt;&gt;"",orcCenario3[[#This Row],[QUANTIDADE]]*orcCenario3[[#This Row],[MATERIAL]]*(1+orcCenario3[[#This Row],[BDI]]),SUMIFS(orcCenario3[CUSTO MATERIAL],orcCenario3['#],"&gt;"&amp;orcCenario3[[#This Row],['#]],orcCenario3['#],"&lt;"&amp;orcCenario3[[#This Row],['#]]+100))</f>
        <v>271.11080662500149</v>
      </c>
      <c r="O20" s="40">
        <f ca="1">IF(orcCenario3[EQUIPAMENTO]&lt;&gt;"",orcCenario3[[#This Row],[QUANTIDADE]]*orcCenario3[EQUIPAMENTO]*(1+orcCenario3[[#This Row],[BDI]]),SUMIFS(orcCenario3[CUSTO EQUIPAMENTO],orcCenario3['#],"&gt;"&amp;orcCenario3[[#This Row],['#]],orcCenario3['#],"&lt;"&amp;orcCenario3[[#This Row],['#]]+100))</f>
        <v>2.9511335989659093</v>
      </c>
      <c r="P20" s="40">
        <f ca="1">SUM(orcCenario3[[#This Row],[CUSTO MÃO DE OBRA]:[CUSTO EQUIPAMENTO]])</f>
        <v>859.37010401887278</v>
      </c>
      <c r="Q20" s="64" t="str">
        <f ca="1">IF(orcCenario3[[#This Row],[QUANTIDADE]]=0,"Não","Sim")</f>
        <v>Sim</v>
      </c>
    </row>
    <row r="21" spans="2:17" ht="15.75" x14ac:dyDescent="0.25">
      <c r="B21" s="49">
        <v>200</v>
      </c>
      <c r="C21" s="49">
        <f>IF(orcCenario3[[#This Row],[DESCRIÇÃO]]="ESTACAS",100,IF(orcCenario3[[#This Row],[DESCRIÇÃO]]="BLOCO",200,orcCenario3[[#This Row],['#]]-COUNTIFS(orcCenario3[QUANTIDADE],0,orcCenario3['#],"&lt;"&amp;orcCenario3[[#This Row],['#]],orcCenario3['#],"&gt;"&amp;ROUNDDOWN(orcCenario3[[#This Row],['#]],-2))))</f>
        <v>200</v>
      </c>
      <c r="E21" s="39" t="str">
        <f>IF(orcCenario3[[#This Row],['#]]=100,"ESTACAS",IF(orcCenario3[[#This Row],['#]]=200,"BLOCO",INDEX(composicoes[],MATCH(orcCenario3[[#This Row],[CÓDIGO]],composicoes[CÓDIGO],0),MATCH(orcCenario3[[#Headers],[DESCRIÇÃO]],composicoes[#Headers],0))))</f>
        <v>BLOCO</v>
      </c>
      <c r="F21" s="1" t="str">
        <f>IFERROR(INDEX(composicoes[],MATCH(orcCenario3[[#This Row],[CÓDIGO]],composicoes[CÓDIGO],0),MATCH(orcCenario3[[#Headers],[UN.]],composicoes[#Headers],0)),"")</f>
        <v/>
      </c>
      <c r="G21" s="4" t="str">
        <f>IF(orcCenario3[[#This Row],[CÓDIGO]]="","",quantitativo(orcCenario3[[#This Row],[CÓDIGO]],orcCenario3[[#This Row],['#]],CENÁRIOS!$M$3,CENÁRIOS!$M$4,cenario3[]))</f>
        <v/>
      </c>
      <c r="H21" s="40" t="str">
        <f>IFERROR(INDEX(composicoes[],MATCH(orcCenario3[[#This Row],[CÓDIGO]],composicoes[CÓDIGO],0),MATCH(orcCenario3[[#Headers],[ MÃO DE OBRA]],composicoes[#Headers],0)),"")</f>
        <v/>
      </c>
      <c r="I21" s="40" t="str">
        <f>IFERROR(INDEX(composicoes[],MATCH(orcCenario3[[#This Row],[CÓDIGO]],composicoes[CÓDIGO],0),MATCH(orcCenario3[[#Headers],[MATERIAL]],composicoes[#Headers],0)),"")</f>
        <v/>
      </c>
      <c r="J21" s="40" t="str">
        <f>IFERROR(INDEX(composicoes[],MATCH(orcCenario3[[#This Row],[CÓDIGO]],composicoes[CÓDIGO],0),MATCH(orcCenario3[[#Headers],[EQUIPAMENTO]],composicoes[#Headers],0)),"")</f>
        <v/>
      </c>
      <c r="K21" s="40" t="str">
        <f>IF(orcCenario3[[#This Row],[ MÃO DE OBRA]]="","",SUM(orcCenario3[[#This Row],[ MÃO DE OBRA]:[EQUIPAMENTO]]))</f>
        <v/>
      </c>
      <c r="L21" s="23" t="str">
        <f>IF(orcCenario3[[#This Row],[CUSTO UNITÁRIO]]="","",CENÁRIOS!$M$6)</f>
        <v/>
      </c>
      <c r="M21" s="40">
        <f ca="1">IF(orcCenario3[[#This Row],[ MÃO DE OBRA]]&lt;&gt;"",orcCenario3[[#This Row],[QUANTIDADE]]*orcCenario3[[#This Row],[ MÃO DE OBRA]]*(1+orcCenario3[[#This Row],[BDI]]),SUMIFS(orcCenario3[CUSTO MÃO DE OBRA],orcCenario3['#],"&gt;"&amp;orcCenario3[[#This Row],['#]],orcCenario3['#],"&lt;"&amp;orcCenario3[[#This Row],['#]]+100))</f>
        <v>5406.4544742911567</v>
      </c>
      <c r="N21" s="40">
        <f ca="1">IF(orcCenario3[[#This Row],[MATERIAL]]&lt;&gt;"",orcCenario3[[#This Row],[QUANTIDADE]]*orcCenario3[[#This Row],[MATERIAL]]*(1+orcCenario3[[#This Row],[BDI]]),SUMIFS(orcCenario3[CUSTO MATERIAL],orcCenario3['#],"&gt;"&amp;orcCenario3[[#This Row],['#]],orcCenario3['#],"&lt;"&amp;orcCenario3[[#This Row],['#]]+100))</f>
        <v>11423.798819441326</v>
      </c>
      <c r="O21" s="40">
        <f ca="1">IF(orcCenario3[EQUIPAMENTO]&lt;&gt;"",orcCenario3[[#This Row],[QUANTIDADE]]*orcCenario3[EQUIPAMENTO]*(1+orcCenario3[[#This Row],[BDI]]),SUMIFS(orcCenario3[CUSTO EQUIPAMENTO],orcCenario3['#],"&gt;"&amp;orcCenario3[[#This Row],['#]],orcCenario3['#],"&lt;"&amp;orcCenario3[[#This Row],['#]]+100))</f>
        <v>18.187024999999998</v>
      </c>
      <c r="P21" s="40">
        <f ca="1">SUM(orcCenario3[[#This Row],[CUSTO MÃO DE OBRA]:[CUSTO EQUIPAMENTO]])</f>
        <v>16848.440318732482</v>
      </c>
      <c r="Q21" s="64" t="str">
        <f>IF(orcCenario3[[#This Row],[QUANTIDADE]]=0,"Não","Sim")</f>
        <v>Sim</v>
      </c>
    </row>
    <row r="22" spans="2:17" ht="30" x14ac:dyDescent="0.25">
      <c r="B22" s="49">
        <v>201</v>
      </c>
      <c r="C22" s="49">
        <f ca="1">IF(orcCenario3[[#This Row],[DESCRIÇÃO]]="ESTACAS",100,IF(orcCenario3[[#This Row],[DESCRIÇÃO]]="BLOCO",200,orcCenario3[[#This Row],['#]]-COUNTIFS(orcCenario3[QUANTIDADE],0,orcCenario3['#],"&lt;"&amp;orcCenario3[[#This Row],['#]],orcCenario3['#],"&gt;"&amp;ROUNDDOWN(orcCenario3[[#This Row],['#]],-2))))</f>
        <v>201</v>
      </c>
      <c r="D22" s="1">
        <v>96522</v>
      </c>
      <c r="E22" s="39" t="str">
        <f>IF(orcCenario3[[#This Row],['#]]=100,"ESTACAS",IF(orcCenario3[[#This Row],['#]]=200,"BLOCO",INDEX(composicoes[],MATCH(orcCenario3[[#This Row],[CÓDIGO]],composicoes[CÓDIGO],0),MATCH(orcCenario3[[#Headers],[DESCRIÇÃO]],composicoes[#Headers],0))))</f>
        <v>ESCAVAÇÃO MANUAL PARA BLOCO DE COROAMENTO OU SAPATA (SEM ESCAVAÇÃO PARA COLOCAÇÃO DE FÔRMAS). AF_06/2017</v>
      </c>
      <c r="F22" s="1" t="str">
        <f>IFERROR(INDEX(composicoes[],MATCH(orcCenario3[[#This Row],[CÓDIGO]],composicoes[CÓDIGO],0),MATCH(orcCenario3[[#Headers],[UN.]],composicoes[#Headers],0)),"")</f>
        <v>M³</v>
      </c>
      <c r="G22" s="4">
        <f ca="1">IF(orcCenario3[[#This Row],[CÓDIGO]]="","",quantitativo(orcCenario3[[#This Row],[CÓDIGO]],orcCenario3[[#This Row],['#]],CENÁRIOS!$M$3,CENÁRIOS!$M$4,cenario3[]))</f>
        <v>21.50633333333333</v>
      </c>
      <c r="H22" s="40">
        <f>IFERROR(INDEX(composicoes[],MATCH(orcCenario3[[#This Row],[CÓDIGO]],composicoes[CÓDIGO],0),MATCH(orcCenario3[[#Headers],[ MÃO DE OBRA]],composicoes[#Headers],0)),"")</f>
        <v>112.56</v>
      </c>
      <c r="I22" s="40">
        <f>IFERROR(INDEX(composicoes[],MATCH(orcCenario3[[#This Row],[CÓDIGO]],composicoes[CÓDIGO],0),MATCH(orcCenario3[[#Headers],[MATERIAL]],composicoes[#Headers],0)),"")</f>
        <v>50.47</v>
      </c>
      <c r="J22" s="40">
        <f>IFERROR(INDEX(composicoes[],MATCH(orcCenario3[[#This Row],[CÓDIGO]],composicoes[CÓDIGO],0),MATCH(orcCenario3[[#Headers],[EQUIPAMENTO]],composicoes[#Headers],0)),"")</f>
        <v>0</v>
      </c>
      <c r="K22" s="40">
        <f>IF(orcCenario3[[#This Row],[ MÃO DE OBRA]]="","",SUM(orcCenario3[[#This Row],[ MÃO DE OBRA]:[EQUIPAMENTO]]))</f>
        <v>163.03</v>
      </c>
      <c r="L22" s="23">
        <f>IF(orcCenario3[[#This Row],[CUSTO UNITÁRIO]]="","",CENÁRIOS!$M$6)</f>
        <v>0.25</v>
      </c>
      <c r="M22" s="40">
        <f ca="1">IF(orcCenario3[[#This Row],[ MÃO DE OBRA]]&lt;&gt;"",orcCenario3[[#This Row],[QUANTIDADE]]*orcCenario3[[#This Row],[ MÃO DE OBRA]]*(1+orcCenario3[[#This Row],[BDI]]),SUMIFS(orcCenario3[CUSTO MÃO DE OBRA],orcCenario3['#],"&gt;"&amp;orcCenario3[[#This Row],['#]],orcCenario3['#],"&lt;"&amp;orcCenario3[[#This Row],['#]]+100))</f>
        <v>3025.9410999999996</v>
      </c>
      <c r="N22" s="40">
        <f ca="1">IF(orcCenario3[[#This Row],[MATERIAL]]&lt;&gt;"",orcCenario3[[#This Row],[QUANTIDADE]]*orcCenario3[[#This Row],[MATERIAL]]*(1+orcCenario3[[#This Row],[BDI]]),SUMIFS(orcCenario3[CUSTO MATERIAL],orcCenario3['#],"&gt;"&amp;orcCenario3[[#This Row],['#]],orcCenario3['#],"&lt;"&amp;orcCenario3[[#This Row],['#]]+100))</f>
        <v>1356.7808041666663</v>
      </c>
      <c r="O22" s="40">
        <f ca="1">IF(orcCenario3[EQUIPAMENTO]&lt;&gt;"",orcCenario3[[#This Row],[QUANTIDADE]]*orcCenario3[EQUIPAMENTO]*(1+orcCenario3[[#This Row],[BDI]]),SUMIFS(orcCenario3[CUSTO EQUIPAMENTO],orcCenario3['#],"&gt;"&amp;orcCenario3[[#This Row],['#]],orcCenario3['#],"&lt;"&amp;orcCenario3[[#This Row],['#]]+100))</f>
        <v>0</v>
      </c>
      <c r="P22" s="40">
        <f ca="1">SUM(orcCenario3[[#This Row],[CUSTO MÃO DE OBRA]:[CUSTO EQUIPAMENTO]])</f>
        <v>4382.7219041666658</v>
      </c>
      <c r="Q22" s="64" t="str">
        <f ca="1">IF(orcCenario3[[#This Row],[QUANTIDADE]]=0,"Não","Sim")</f>
        <v>Sim</v>
      </c>
    </row>
    <row r="23" spans="2:17" ht="30" x14ac:dyDescent="0.25">
      <c r="B23" s="49">
        <v>202</v>
      </c>
      <c r="C23" s="49">
        <f ca="1">IF(orcCenario3[[#This Row],[DESCRIÇÃO]]="ESTACAS",100,IF(orcCenario3[[#This Row],[DESCRIÇÃO]]="BLOCO",200,orcCenario3[[#This Row],['#]]-COUNTIFS(orcCenario3[QUANTIDADE],0,orcCenario3['#],"&lt;"&amp;orcCenario3[[#This Row],['#]],orcCenario3['#],"&gt;"&amp;ROUNDDOWN(orcCenario3[[#This Row],['#]],-2))))</f>
        <v>202</v>
      </c>
      <c r="D23" s="1">
        <v>96619</v>
      </c>
      <c r="E23" s="39" t="str">
        <f>IF(orcCenario3[[#This Row],['#]]=100,"ESTACAS",IF(orcCenario3[[#This Row],['#]]=200,"BLOCO",INDEX(composicoes[],MATCH(orcCenario3[[#This Row],[CÓDIGO]],composicoes[CÓDIGO],0),MATCH(orcCenario3[[#Headers],[DESCRIÇÃO]],composicoes[#Headers],0))))</f>
        <v>LASTRO DE CONCRETO MAGRO, APLICADO EM BLOCOS DE COROAMENTO OU SAPATAS, ESPESSURA DE 5 CM. AF_08/2017</v>
      </c>
      <c r="F23" s="1" t="str">
        <f>IFERROR(INDEX(composicoes[],MATCH(orcCenario3[[#This Row],[CÓDIGO]],composicoes[CÓDIGO],0),MATCH(orcCenario3[[#Headers],[UN.]],composicoes[#Headers],0)),"")</f>
        <v>M²</v>
      </c>
      <c r="G23" s="4">
        <f ca="1">IF(orcCenario3[[#This Row],[CÓDIGO]]="","",quantitativo(orcCenario3[[#This Row],[CÓDIGO]],orcCenario3[[#This Row],['#]],CENÁRIOS!$M$3,CENÁRIOS!$M$4,cenario3[]))</f>
        <v>1.3780000000000001</v>
      </c>
      <c r="H23" s="40">
        <f>IFERROR(INDEX(composicoes[],MATCH(orcCenario3[[#This Row],[CÓDIGO]],composicoes[CÓDIGO],0),MATCH(orcCenario3[[#Headers],[ MÃO DE OBRA]],composicoes[#Headers],0)),"")</f>
        <v>10.85</v>
      </c>
      <c r="I23" s="40">
        <f>IFERROR(INDEX(composicoes[],MATCH(orcCenario3[[#This Row],[CÓDIGO]],composicoes[CÓDIGO],0),MATCH(orcCenario3[[#Headers],[MATERIAL]],composicoes[#Headers],0)),"")</f>
        <v>18.559999999999999</v>
      </c>
      <c r="J23" s="40">
        <f>IFERROR(INDEX(composicoes[],MATCH(orcCenario3[[#This Row],[CÓDIGO]],composicoes[CÓDIGO],0),MATCH(orcCenario3[[#Headers],[EQUIPAMENTO]],composicoes[#Headers],0)),"")</f>
        <v>0.19</v>
      </c>
      <c r="K23" s="40">
        <f>IF(orcCenario3[[#This Row],[ MÃO DE OBRA]]="","",SUM(orcCenario3[[#This Row],[ MÃO DE OBRA]:[EQUIPAMENTO]]))</f>
        <v>29.599999999999998</v>
      </c>
      <c r="L23" s="23">
        <f>IF(orcCenario3[[#This Row],[CUSTO UNITÁRIO]]="","",CENÁRIOS!$M$6)</f>
        <v>0.25</v>
      </c>
      <c r="M23" s="40">
        <f ca="1">IF(orcCenario3[[#This Row],[ MÃO DE OBRA]]&lt;&gt;"",orcCenario3[[#This Row],[QUANTIDADE]]*orcCenario3[[#This Row],[ MÃO DE OBRA]]*(1+orcCenario3[[#This Row],[BDI]]),SUMIFS(orcCenario3[CUSTO MÃO DE OBRA],orcCenario3['#],"&gt;"&amp;orcCenario3[[#This Row],['#]],orcCenario3['#],"&lt;"&amp;orcCenario3[[#This Row],['#]]+100))</f>
        <v>18.689125000000001</v>
      </c>
      <c r="N23" s="40">
        <f ca="1">IF(orcCenario3[[#This Row],[MATERIAL]]&lt;&gt;"",orcCenario3[[#This Row],[QUANTIDADE]]*orcCenario3[[#This Row],[MATERIAL]]*(1+orcCenario3[[#This Row],[BDI]]),SUMIFS(orcCenario3[CUSTO MATERIAL],orcCenario3['#],"&gt;"&amp;orcCenario3[[#This Row],['#]],orcCenario3['#],"&lt;"&amp;orcCenario3[[#This Row],['#]]+100))</f>
        <v>31.969600000000003</v>
      </c>
      <c r="O23" s="40">
        <f ca="1">IF(orcCenario3[EQUIPAMENTO]&lt;&gt;"",orcCenario3[[#This Row],[QUANTIDADE]]*orcCenario3[EQUIPAMENTO]*(1+orcCenario3[[#This Row],[BDI]]),SUMIFS(orcCenario3[CUSTO EQUIPAMENTO],orcCenario3['#],"&gt;"&amp;orcCenario3[[#This Row],['#]],orcCenario3['#],"&lt;"&amp;orcCenario3[[#This Row],['#]]+100))</f>
        <v>0.32727499999999998</v>
      </c>
      <c r="P23" s="40">
        <f ca="1">SUM(orcCenario3[[#This Row],[CUSTO MÃO DE OBRA]:[CUSTO EQUIPAMENTO]])</f>
        <v>50.986000000000004</v>
      </c>
      <c r="Q23" s="64" t="str">
        <f ca="1">IF(orcCenario3[[#This Row],[QUANTIDADE]]=0,"Não","Sim")</f>
        <v>Sim</v>
      </c>
    </row>
    <row r="24" spans="2:17" ht="45" x14ac:dyDescent="0.25">
      <c r="B24" s="49">
        <v>203</v>
      </c>
      <c r="C24" s="49">
        <f ca="1">IF(orcCenario3[[#This Row],[DESCRIÇÃO]]="ESTACAS",100,IF(orcCenario3[[#This Row],[DESCRIÇÃO]]="BLOCO",200,orcCenario3[[#This Row],['#]]-COUNTIFS(orcCenario3[QUANTIDADE],0,orcCenario3['#],"&lt;"&amp;orcCenario3[[#This Row],['#]],orcCenario3['#],"&gt;"&amp;ROUNDDOWN(orcCenario3[[#This Row],['#]],-2))))</f>
        <v>203</v>
      </c>
      <c r="D24" s="1">
        <v>92916</v>
      </c>
      <c r="E24" s="39" t="str">
        <f>IF(orcCenario3[[#This Row],['#]]=100,"ESTACAS",IF(orcCenario3[[#This Row],['#]]=200,"BLOCO",INDEX(composicoes[],MATCH(orcCenario3[[#This Row],[CÓDIGO]],composicoes[CÓDIGO],0),MATCH(orcCenario3[[#Headers],[DESCRIÇÃO]],composicoes[#Headers],0))))</f>
        <v>ARMAÇÃO DE ESTRUTURAS DIVERSAS DE CONCRETO ARMADO, EXCETO VIGAS, PILARES, LAJES E FUNDAÇÕES, UTILIZANDO AÇO CA-50 DE 6,3 MM - MONTAGEM. AF_06/2022</v>
      </c>
      <c r="F24" s="1" t="str">
        <f>IFERROR(INDEX(composicoes[],MATCH(orcCenario3[[#This Row],[CÓDIGO]],composicoes[CÓDIGO],0),MATCH(orcCenario3[[#Headers],[UN.]],composicoes[#Headers],0)),"")</f>
        <v>KG</v>
      </c>
      <c r="G24" s="4">
        <f ca="1">IF(orcCenario3[[#This Row],[CÓDIGO]]="","",quantitativo(orcCenario3[[#This Row],[CÓDIGO]],orcCenario3[[#This Row],['#]],CENÁRIOS!$M$3,CENÁRIOS!$M$4,cenario3[]))</f>
        <v>8.8827463746050004</v>
      </c>
      <c r="H24" s="40">
        <f>IFERROR(INDEX(composicoes[],MATCH(orcCenario3[[#This Row],[CÓDIGO]],composicoes[CÓDIGO],0),MATCH(orcCenario3[[#Headers],[ MÃO DE OBRA]],composicoes[#Headers],0)),"")</f>
        <v>4.08</v>
      </c>
      <c r="I24" s="40">
        <f>IFERROR(INDEX(composicoes[],MATCH(orcCenario3[[#This Row],[CÓDIGO]],composicoes[CÓDIGO],0),MATCH(orcCenario3[[#Headers],[MATERIAL]],composicoes[#Headers],0)),"")</f>
        <v>11.96</v>
      </c>
      <c r="J24" s="40">
        <f>IFERROR(INDEX(composicoes[],MATCH(orcCenario3[[#This Row],[CÓDIGO]],composicoes[CÓDIGO],0),MATCH(orcCenario3[[#Headers],[EQUIPAMENTO]],composicoes[#Headers],0)),"")</f>
        <v>0</v>
      </c>
      <c r="K24" s="40">
        <f>IF(orcCenario3[[#This Row],[ MÃO DE OBRA]]="","",SUM(orcCenario3[[#This Row],[ MÃO DE OBRA]:[EQUIPAMENTO]]))</f>
        <v>16.04</v>
      </c>
      <c r="L24" s="23">
        <f>IF(orcCenario3[[#This Row],[CUSTO UNITÁRIO]]="","",CENÁRIOS!$M$6)</f>
        <v>0.25</v>
      </c>
      <c r="M24" s="40">
        <f ca="1">IF(orcCenario3[[#This Row],[ MÃO DE OBRA]]&lt;&gt;"",orcCenario3[[#This Row],[QUANTIDADE]]*orcCenario3[[#This Row],[ MÃO DE OBRA]]*(1+orcCenario3[[#This Row],[BDI]]),SUMIFS(orcCenario3[CUSTO MÃO DE OBRA],orcCenario3['#],"&gt;"&amp;orcCenario3[[#This Row],['#]],orcCenario3['#],"&lt;"&amp;orcCenario3[[#This Row],['#]]+100))</f>
        <v>45.302006510485498</v>
      </c>
      <c r="N24" s="40">
        <f ca="1">IF(orcCenario3[[#This Row],[MATERIAL]]&lt;&gt;"",orcCenario3[[#This Row],[QUANTIDADE]]*orcCenario3[[#This Row],[MATERIAL]]*(1+orcCenario3[[#This Row],[BDI]]),SUMIFS(orcCenario3[CUSTO MATERIAL],orcCenario3['#],"&gt;"&amp;orcCenario3[[#This Row],['#]],orcCenario3['#],"&lt;"&amp;orcCenario3[[#This Row],['#]]+100))</f>
        <v>132.79705830034476</v>
      </c>
      <c r="O24" s="40">
        <f ca="1">IF(orcCenario3[EQUIPAMENTO]&lt;&gt;"",orcCenario3[[#This Row],[QUANTIDADE]]*orcCenario3[EQUIPAMENTO]*(1+orcCenario3[[#This Row],[BDI]]),SUMIFS(orcCenario3[CUSTO EQUIPAMENTO],orcCenario3['#],"&gt;"&amp;orcCenario3[[#This Row],['#]],orcCenario3['#],"&lt;"&amp;orcCenario3[[#This Row],['#]]+100))</f>
        <v>0</v>
      </c>
      <c r="P24" s="40">
        <f ca="1">SUM(orcCenario3[[#This Row],[CUSTO MÃO DE OBRA]:[CUSTO EQUIPAMENTO]])</f>
        <v>178.09906481083027</v>
      </c>
      <c r="Q24" s="64" t="str">
        <f ca="1">IF(orcCenario3[[#This Row],[QUANTIDADE]]=0,"Não","Sim")</f>
        <v>Sim</v>
      </c>
    </row>
    <row r="25" spans="2:17" ht="45" x14ac:dyDescent="0.25">
      <c r="B25" s="49">
        <v>204</v>
      </c>
      <c r="C25" s="49">
        <f ca="1">IF(orcCenario3[[#This Row],[DESCRIÇÃO]]="ESTACAS",100,IF(orcCenario3[[#This Row],[DESCRIÇÃO]]="BLOCO",200,orcCenario3[[#This Row],['#]]-COUNTIFS(orcCenario3[QUANTIDADE],0,orcCenario3['#],"&lt;"&amp;orcCenario3[[#This Row],['#]],orcCenario3['#],"&gt;"&amp;ROUNDDOWN(orcCenario3[[#This Row],['#]],-2))))</f>
        <v>204</v>
      </c>
      <c r="D25" s="1">
        <v>92917</v>
      </c>
      <c r="E25" s="39" t="str">
        <f>IF(orcCenario3[[#This Row],['#]]=100,"ESTACAS",IF(orcCenario3[[#This Row],['#]]=200,"BLOCO",INDEX(composicoes[],MATCH(orcCenario3[[#This Row],[CÓDIGO]],composicoes[CÓDIGO],0),MATCH(orcCenario3[[#Headers],[DESCRIÇÃO]],composicoes[#Headers],0))))</f>
        <v>ARMAÇÃO DE ESTRUTURAS DIVERSAS DE CONCRETO ARMADO, EXCETO VIGAS, PILARES, LAJES E FUNDAÇÕES, UTILIZANDO AÇO CA-50 DE 8,0 MM - MONTAGEM. AF_06/2022</v>
      </c>
      <c r="F25" s="1" t="str">
        <f>IFERROR(INDEX(composicoes[],MATCH(orcCenario3[[#This Row],[CÓDIGO]],composicoes[CÓDIGO],0),MATCH(orcCenario3[[#Headers],[UN.]],composicoes[#Headers],0)),"")</f>
        <v>KG</v>
      </c>
      <c r="G25" s="4">
        <f ca="1">IF(orcCenario3[[#This Row],[CÓDIGO]]="","",quantitativo(orcCenario3[[#This Row],[CÓDIGO]],orcCenario3[[#This Row],['#]],CENÁRIOS!$M$3,CENÁRIOS!$M$4,cenario3[]))</f>
        <v>62.324548690094112</v>
      </c>
      <c r="H25" s="40">
        <f>IFERROR(INDEX(composicoes[],MATCH(orcCenario3[[#This Row],[CÓDIGO]],composicoes[CÓDIGO],0),MATCH(orcCenario3[[#Headers],[ MÃO DE OBRA]],composicoes[#Headers],0)),"")</f>
        <v>2.75</v>
      </c>
      <c r="I25" s="40">
        <f>IFERROR(INDEX(composicoes[],MATCH(orcCenario3[[#This Row],[CÓDIGO]],composicoes[CÓDIGO],0),MATCH(orcCenario3[[#Headers],[MATERIAL]],composicoes[#Headers],0)),"")</f>
        <v>11.81</v>
      </c>
      <c r="J25" s="40">
        <f>IFERROR(INDEX(composicoes[],MATCH(orcCenario3[[#This Row],[CÓDIGO]],composicoes[CÓDIGO],0),MATCH(orcCenario3[[#Headers],[EQUIPAMENTO]],composicoes[#Headers],0)),"")</f>
        <v>0</v>
      </c>
      <c r="K25" s="40">
        <f>IF(orcCenario3[[#This Row],[ MÃO DE OBRA]]="","",SUM(orcCenario3[[#This Row],[ MÃO DE OBRA]:[EQUIPAMENTO]]))</f>
        <v>14.56</v>
      </c>
      <c r="L25" s="23">
        <f>IF(orcCenario3[[#This Row],[CUSTO UNITÁRIO]]="","",CENÁRIOS!$M$6)</f>
        <v>0.25</v>
      </c>
      <c r="M25" s="40">
        <f ca="1">IF(orcCenario3[[#This Row],[ MÃO DE OBRA]]&lt;&gt;"",orcCenario3[[#This Row],[QUANTIDADE]]*orcCenario3[[#This Row],[ MÃO DE OBRA]]*(1+orcCenario3[[#This Row],[BDI]]),SUMIFS(orcCenario3[CUSTO MÃO DE OBRA],orcCenario3['#],"&gt;"&amp;orcCenario3[[#This Row],['#]],orcCenario3['#],"&lt;"&amp;orcCenario3[[#This Row],['#]]+100))</f>
        <v>214.24063612219851</v>
      </c>
      <c r="N25" s="40">
        <f ca="1">IF(orcCenario3[[#This Row],[MATERIAL]]&lt;&gt;"",orcCenario3[[#This Row],[QUANTIDADE]]*orcCenario3[[#This Row],[MATERIAL]]*(1+orcCenario3[[#This Row],[BDI]]),SUMIFS(orcCenario3[CUSTO MATERIAL],orcCenario3['#],"&gt;"&amp;orcCenario3[[#This Row],['#]],orcCenario3['#],"&lt;"&amp;orcCenario3[[#This Row],['#]]+100))</f>
        <v>920.06615003751438</v>
      </c>
      <c r="O25" s="40">
        <f ca="1">IF(orcCenario3[EQUIPAMENTO]&lt;&gt;"",orcCenario3[[#This Row],[QUANTIDADE]]*orcCenario3[EQUIPAMENTO]*(1+orcCenario3[[#This Row],[BDI]]),SUMIFS(orcCenario3[CUSTO EQUIPAMENTO],orcCenario3['#],"&gt;"&amp;orcCenario3[[#This Row],['#]],orcCenario3['#],"&lt;"&amp;orcCenario3[[#This Row],['#]]+100))</f>
        <v>0</v>
      </c>
      <c r="P25" s="40">
        <f ca="1">SUM(orcCenario3[[#This Row],[CUSTO MÃO DE OBRA]:[CUSTO EQUIPAMENTO]])</f>
        <v>1134.3067861597128</v>
      </c>
      <c r="Q25" s="64" t="str">
        <f ca="1">IF(orcCenario3[[#This Row],[QUANTIDADE]]=0,"Não","Sim")</f>
        <v>Sim</v>
      </c>
    </row>
    <row r="26" spans="2:17" ht="45" x14ac:dyDescent="0.25">
      <c r="B26" s="49">
        <v>205</v>
      </c>
      <c r="C26" s="49">
        <f ca="1">IF(orcCenario3[[#This Row],[DESCRIÇÃO]]="ESTACAS",100,IF(orcCenario3[[#This Row],[DESCRIÇÃO]]="BLOCO",200,orcCenario3[[#This Row],['#]]-COUNTIFS(orcCenario3[QUANTIDADE],0,orcCenario3['#],"&lt;"&amp;orcCenario3[[#This Row],['#]],orcCenario3['#],"&gt;"&amp;ROUNDDOWN(orcCenario3[[#This Row],['#]],-2))))</f>
        <v>205</v>
      </c>
      <c r="D26" s="1">
        <v>92919</v>
      </c>
      <c r="E26" s="39" t="str">
        <f>IF(orcCenario3[[#This Row],['#]]=100,"ESTACAS",IF(orcCenario3[[#This Row],['#]]=200,"BLOCO",INDEX(composicoes[],MATCH(orcCenario3[[#This Row],[CÓDIGO]],composicoes[CÓDIGO],0),MATCH(orcCenario3[[#Headers],[DESCRIÇÃO]],composicoes[#Headers],0))))</f>
        <v>ARMAÇÃO DE ESTRUTURAS DIVERSAS DE CONCRETO ARMADO, EXCETO VIGAS, PILARES, LAJES E FUNDAÇÕES, UTILIZANDO AÇO CA-50 DE 10,0 MM - MONTAGEM. AF_06/2022</v>
      </c>
      <c r="F26" s="1" t="str">
        <f>IFERROR(INDEX(composicoes[],MATCH(orcCenario3[[#This Row],[CÓDIGO]],composicoes[CÓDIGO],0),MATCH(orcCenario3[[#Headers],[UN.]],composicoes[#Headers],0)),"")</f>
        <v>KG</v>
      </c>
      <c r="G26" s="4">
        <f ca="1">IF(orcCenario3[[#This Row],[CÓDIGO]]="","",quantitativo(orcCenario3[[#This Row],[CÓDIGO]],orcCenario3[[#This Row],['#]],CENÁRIOS!$M$3,CENÁRIOS!$M$4,cenario3[]))</f>
        <v>94.977610851030775</v>
      </c>
      <c r="H26" s="40">
        <f>IFERROR(INDEX(composicoes[],MATCH(orcCenario3[[#This Row],[CÓDIGO]],composicoes[CÓDIGO],0),MATCH(orcCenario3[[#Headers],[ MÃO DE OBRA]],composicoes[#Headers],0)),"")</f>
        <v>1.86</v>
      </c>
      <c r="I26" s="40">
        <f>IFERROR(INDEX(composicoes[],MATCH(orcCenario3[[#This Row],[CÓDIGO]],composicoes[CÓDIGO],0),MATCH(orcCenario3[[#Headers],[MATERIAL]],composicoes[#Headers],0)),"")</f>
        <v>10.86</v>
      </c>
      <c r="J26" s="40">
        <f>IFERROR(INDEX(composicoes[],MATCH(orcCenario3[[#This Row],[CÓDIGO]],composicoes[CÓDIGO],0),MATCH(orcCenario3[[#Headers],[EQUIPAMENTO]],composicoes[#Headers],0)),"")</f>
        <v>0</v>
      </c>
      <c r="K26" s="40">
        <f>IF(orcCenario3[[#This Row],[ MÃO DE OBRA]]="","",SUM(orcCenario3[[#This Row],[ MÃO DE OBRA]:[EQUIPAMENTO]]))</f>
        <v>12.719999999999999</v>
      </c>
      <c r="L26" s="23">
        <f>IF(orcCenario3[[#This Row],[CUSTO UNITÁRIO]]="","",CENÁRIOS!$M$6)</f>
        <v>0.25</v>
      </c>
      <c r="M26" s="40">
        <f ca="1">IF(orcCenario3[[#This Row],[ MÃO DE OBRA]]&lt;&gt;"",orcCenario3[[#This Row],[QUANTIDADE]]*orcCenario3[[#This Row],[ MÃO DE OBRA]]*(1+orcCenario3[[#This Row],[BDI]]),SUMIFS(orcCenario3[CUSTO MÃO DE OBRA],orcCenario3['#],"&gt;"&amp;orcCenario3[[#This Row],['#]],orcCenario3['#],"&lt;"&amp;orcCenario3[[#This Row],['#]]+100))</f>
        <v>220.82294522864657</v>
      </c>
      <c r="N26" s="40">
        <f ca="1">IF(orcCenario3[[#This Row],[MATERIAL]]&lt;&gt;"",orcCenario3[[#This Row],[QUANTIDADE]]*orcCenario3[[#This Row],[MATERIAL]]*(1+orcCenario3[[#This Row],[BDI]]),SUMIFS(orcCenario3[CUSTO MATERIAL],orcCenario3['#],"&gt;"&amp;orcCenario3[[#This Row],['#]],orcCenario3['#],"&lt;"&amp;orcCenario3[[#This Row],['#]]+100))</f>
        <v>1289.3210673027424</v>
      </c>
      <c r="O26" s="40">
        <f ca="1">IF(orcCenario3[EQUIPAMENTO]&lt;&gt;"",orcCenario3[[#This Row],[QUANTIDADE]]*orcCenario3[EQUIPAMENTO]*(1+orcCenario3[[#This Row],[BDI]]),SUMIFS(orcCenario3[CUSTO EQUIPAMENTO],orcCenario3['#],"&gt;"&amp;orcCenario3[[#This Row],['#]],orcCenario3['#],"&lt;"&amp;orcCenario3[[#This Row],['#]]+100))</f>
        <v>0</v>
      </c>
      <c r="P26" s="40">
        <f ca="1">SUM(orcCenario3[[#This Row],[CUSTO MÃO DE OBRA]:[CUSTO EQUIPAMENTO]])</f>
        <v>1510.1440125313891</v>
      </c>
      <c r="Q26" s="64" t="str">
        <f ca="1">IF(orcCenario3[[#This Row],[QUANTIDADE]]=0,"Não","Sim")</f>
        <v>Sim</v>
      </c>
    </row>
    <row r="27" spans="2:17" ht="45" hidden="1" x14ac:dyDescent="0.25">
      <c r="B27" s="49">
        <v>206</v>
      </c>
      <c r="C27" s="49">
        <f ca="1">IF(orcCenario3[[#This Row],[DESCRIÇÃO]]="ESTACAS",100,IF(orcCenario3[[#This Row],[DESCRIÇÃO]]="BLOCO",200,orcCenario3[[#This Row],['#]]-COUNTIFS(orcCenario3[QUANTIDADE],0,orcCenario3['#],"&lt;"&amp;orcCenario3[[#This Row],['#]],orcCenario3['#],"&gt;"&amp;ROUNDDOWN(orcCenario3[[#This Row],['#]],-2))))</f>
        <v>206</v>
      </c>
      <c r="D27" s="1">
        <v>92921</v>
      </c>
      <c r="E27" s="39" t="str">
        <f>IF(orcCenario3[[#This Row],['#]]=100,"ESTACAS",IF(orcCenario3[[#This Row],['#]]=200,"BLOCO",INDEX(composicoes[],MATCH(orcCenario3[[#This Row],[CÓDIGO]],composicoes[CÓDIGO],0),MATCH(orcCenario3[[#Headers],[DESCRIÇÃO]],composicoes[#Headers],0))))</f>
        <v>ARMAÇÃO DE ESTRUTURAS DIVERSAS DE CONCRETO ARMADO, EXCETO VIGAS, PILARES, LAJES E FUNDAÇÕES, UTILIZANDO AÇO CA-50 DE 12,5 MM - MONTAGEM. AF_06/2022</v>
      </c>
      <c r="F27" s="1" t="str">
        <f>IFERROR(INDEX(composicoes[],MATCH(orcCenario3[[#This Row],[CÓDIGO]],composicoes[CÓDIGO],0),MATCH(orcCenario3[[#Headers],[UN.]],composicoes[#Headers],0)),"")</f>
        <v>KG</v>
      </c>
      <c r="G27" s="4">
        <f ca="1">IF(orcCenario3[[#This Row],[CÓDIGO]]="","",quantitativo(orcCenario3[[#This Row],[CÓDIGO]],orcCenario3[[#This Row],['#]],CENÁRIOS!$M$3,CENÁRIOS!$M$4,cenario3[]))</f>
        <v>0</v>
      </c>
      <c r="H27" s="40">
        <f>IFERROR(INDEX(composicoes[],MATCH(orcCenario3[[#This Row],[CÓDIGO]],composicoes[CÓDIGO],0),MATCH(orcCenario3[[#Headers],[ MÃO DE OBRA]],composicoes[#Headers],0)),"")</f>
        <v>1.19</v>
      </c>
      <c r="I27" s="40">
        <f>IFERROR(INDEX(composicoes[],MATCH(orcCenario3[[#This Row],[CÓDIGO]],composicoes[CÓDIGO],0),MATCH(orcCenario3[[#Headers],[MATERIAL]],composicoes[#Headers],0)),"")</f>
        <v>9.31</v>
      </c>
      <c r="J27" s="40">
        <f>IFERROR(INDEX(composicoes[],MATCH(orcCenario3[[#This Row],[CÓDIGO]],composicoes[CÓDIGO],0),MATCH(orcCenario3[[#Headers],[EQUIPAMENTO]],composicoes[#Headers],0)),"")</f>
        <v>0</v>
      </c>
      <c r="K27" s="40">
        <f>IF(orcCenario3[[#This Row],[ MÃO DE OBRA]]="","",SUM(orcCenario3[[#This Row],[ MÃO DE OBRA]:[EQUIPAMENTO]]))</f>
        <v>10.5</v>
      </c>
      <c r="L27" s="23">
        <f>IF(orcCenario3[[#This Row],[CUSTO UNITÁRIO]]="","",CENÁRIOS!$M$6)</f>
        <v>0.25</v>
      </c>
      <c r="M27" s="40">
        <f ca="1">IF(orcCenario3[[#This Row],[ MÃO DE OBRA]]&lt;&gt;"",orcCenario3[[#This Row],[QUANTIDADE]]*orcCenario3[[#This Row],[ MÃO DE OBRA]]*(1+orcCenario3[[#This Row],[BDI]]),SUMIFS(orcCenario3[CUSTO MÃO DE OBRA],orcCenario3['#],"&gt;"&amp;orcCenario3[[#This Row],['#]],orcCenario3['#],"&lt;"&amp;orcCenario3[[#This Row],['#]]+100))</f>
        <v>0</v>
      </c>
      <c r="N27" s="40">
        <f ca="1">IF(orcCenario3[[#This Row],[MATERIAL]]&lt;&gt;"",orcCenario3[[#This Row],[QUANTIDADE]]*orcCenario3[[#This Row],[MATERIAL]]*(1+orcCenario3[[#This Row],[BDI]]),SUMIFS(orcCenario3[CUSTO MATERIAL],orcCenario3['#],"&gt;"&amp;orcCenario3[[#This Row],['#]],orcCenario3['#],"&lt;"&amp;orcCenario3[[#This Row],['#]]+100))</f>
        <v>0</v>
      </c>
      <c r="O27" s="40">
        <f ca="1">IF(orcCenario3[EQUIPAMENTO]&lt;&gt;"",orcCenario3[[#This Row],[QUANTIDADE]]*orcCenario3[EQUIPAMENTO]*(1+orcCenario3[[#This Row],[BDI]]),SUMIFS(orcCenario3[CUSTO EQUIPAMENTO],orcCenario3['#],"&gt;"&amp;orcCenario3[[#This Row],['#]],orcCenario3['#],"&lt;"&amp;orcCenario3[[#This Row],['#]]+100))</f>
        <v>0</v>
      </c>
      <c r="P27" s="40">
        <f ca="1">SUM(orcCenario3[[#This Row],[CUSTO MÃO DE OBRA]:[CUSTO EQUIPAMENTO]])</f>
        <v>0</v>
      </c>
      <c r="Q27" s="64" t="str">
        <f ca="1">IF(orcCenario3[[#This Row],[QUANTIDADE]]=0,"Não","Sim")</f>
        <v>Não</v>
      </c>
    </row>
    <row r="28" spans="2:17" ht="45" x14ac:dyDescent="0.25">
      <c r="B28" s="49">
        <v>207</v>
      </c>
      <c r="C28" s="49">
        <f ca="1">IF(orcCenario3[[#This Row],[DESCRIÇÃO]]="ESTACAS",100,IF(orcCenario3[[#This Row],[DESCRIÇÃO]]="BLOCO",200,orcCenario3[[#This Row],['#]]-COUNTIFS(orcCenario3[QUANTIDADE],0,orcCenario3['#],"&lt;"&amp;orcCenario3[[#This Row],['#]],orcCenario3['#],"&gt;"&amp;ROUNDDOWN(orcCenario3[[#This Row],['#]],-2))))</f>
        <v>206</v>
      </c>
      <c r="D28" s="1">
        <v>92922</v>
      </c>
      <c r="E28" s="39" t="str">
        <f>IF(orcCenario3[[#This Row],['#]]=100,"ESTACAS",IF(orcCenario3[[#This Row],['#]]=200,"BLOCO",INDEX(composicoes[],MATCH(orcCenario3[[#This Row],[CÓDIGO]],composicoes[CÓDIGO],0),MATCH(orcCenario3[[#Headers],[DESCRIÇÃO]],composicoes[#Headers],0))))</f>
        <v>ARMAÇÃO DE ESTRUTURAS DIVERSAS DE CONCRETO ARMADO, EXCETO VIGAS, PILARES, LAJES E FUNDAÇÕES, UTILIZANDO AÇO CA-50 DE 16,0 MM - MONTAGEM. AF_06/2022</v>
      </c>
      <c r="F28" s="1" t="str">
        <f>IFERROR(INDEX(composicoes[],MATCH(orcCenario3[[#This Row],[CÓDIGO]],composicoes[CÓDIGO],0),MATCH(orcCenario3[[#Headers],[UN.]],composicoes[#Headers],0)),"")</f>
        <v>KG</v>
      </c>
      <c r="G28" s="4">
        <f ca="1">IF(orcCenario3[[#This Row],[CÓDIGO]]="","",quantitativo(orcCenario3[[#This Row],[CÓDIGO]],orcCenario3[[#This Row],['#]],CENÁRIOS!$M$3,CENÁRIOS!$M$4,cenario3[]))</f>
        <v>36.380648238218917</v>
      </c>
      <c r="H28" s="40">
        <f>IFERROR(INDEX(composicoes[],MATCH(orcCenario3[[#This Row],[CÓDIGO]],composicoes[CÓDIGO],0),MATCH(orcCenario3[[#Headers],[ MÃO DE OBRA]],composicoes[#Headers],0)),"")</f>
        <v>0.86</v>
      </c>
      <c r="I28" s="40">
        <f>IFERROR(INDEX(composicoes[],MATCH(orcCenario3[[#This Row],[CÓDIGO]],composicoes[CÓDIGO],0),MATCH(orcCenario3[[#Headers],[MATERIAL]],composicoes[#Headers],0)),"")</f>
        <v>9.15</v>
      </c>
      <c r="J28" s="40">
        <f>IFERROR(INDEX(composicoes[],MATCH(orcCenario3[[#This Row],[CÓDIGO]],composicoes[CÓDIGO],0),MATCH(orcCenario3[[#Headers],[EQUIPAMENTO]],composicoes[#Headers],0)),"")</f>
        <v>0</v>
      </c>
      <c r="K28" s="40">
        <f>IF(orcCenario3[[#This Row],[ MÃO DE OBRA]]="","",SUM(orcCenario3[[#This Row],[ MÃO DE OBRA]:[EQUIPAMENTO]]))</f>
        <v>10.01</v>
      </c>
      <c r="L28" s="23">
        <f>IF(orcCenario3[[#This Row],[CUSTO UNITÁRIO]]="","",CENÁRIOS!$M$6)</f>
        <v>0.25</v>
      </c>
      <c r="M28" s="40">
        <f ca="1">IF(orcCenario3[[#This Row],[ MÃO DE OBRA]]&lt;&gt;"",orcCenario3[[#This Row],[QUANTIDADE]]*orcCenario3[[#This Row],[ MÃO DE OBRA]]*(1+orcCenario3[[#This Row],[BDI]]),SUMIFS(orcCenario3[CUSTO MÃO DE OBRA],orcCenario3['#],"&gt;"&amp;orcCenario3[[#This Row],['#]],orcCenario3['#],"&lt;"&amp;orcCenario3[[#This Row],['#]]+100))</f>
        <v>39.10919685608534</v>
      </c>
      <c r="N28" s="40">
        <f ca="1">IF(orcCenario3[[#This Row],[MATERIAL]]&lt;&gt;"",orcCenario3[[#This Row],[QUANTIDADE]]*orcCenario3[[#This Row],[MATERIAL]]*(1+orcCenario3[[#This Row],[BDI]]),SUMIFS(orcCenario3[CUSTO MATERIAL],orcCenario3['#],"&gt;"&amp;orcCenario3[[#This Row],['#]],orcCenario3['#],"&lt;"&amp;orcCenario3[[#This Row],['#]]+100))</f>
        <v>416.10366422462891</v>
      </c>
      <c r="O28" s="40">
        <f ca="1">IF(orcCenario3[EQUIPAMENTO]&lt;&gt;"",orcCenario3[[#This Row],[QUANTIDADE]]*orcCenario3[EQUIPAMENTO]*(1+orcCenario3[[#This Row],[BDI]]),SUMIFS(orcCenario3[CUSTO EQUIPAMENTO],orcCenario3['#],"&gt;"&amp;orcCenario3[[#This Row],['#]],orcCenario3['#],"&lt;"&amp;orcCenario3[[#This Row],['#]]+100))</f>
        <v>0</v>
      </c>
      <c r="P28" s="40">
        <f ca="1">SUM(orcCenario3[[#This Row],[CUSTO MÃO DE OBRA]:[CUSTO EQUIPAMENTO]])</f>
        <v>455.21286108071428</v>
      </c>
      <c r="Q28" s="64" t="str">
        <f ca="1">IF(orcCenario3[[#This Row],[QUANTIDADE]]=0,"Não","Sim")</f>
        <v>Sim</v>
      </c>
    </row>
    <row r="29" spans="2:17" ht="45" x14ac:dyDescent="0.25">
      <c r="B29" s="49">
        <v>208</v>
      </c>
      <c r="C29" s="49">
        <f ca="1">IF(orcCenario3[[#This Row],[DESCRIÇÃO]]="ESTACAS",100,IF(orcCenario3[[#This Row],[DESCRIÇÃO]]="BLOCO",200,orcCenario3[[#This Row],['#]]-COUNTIFS(orcCenario3[QUANTIDADE],0,orcCenario3['#],"&lt;"&amp;orcCenario3[[#This Row],['#]],orcCenario3['#],"&gt;"&amp;ROUNDDOWN(orcCenario3[[#This Row],['#]],-2))))</f>
        <v>207</v>
      </c>
      <c r="D29" s="1">
        <v>92923</v>
      </c>
      <c r="E29" s="39" t="str">
        <f>IF(orcCenario3[[#This Row],['#]]=100,"ESTACAS",IF(orcCenario3[[#This Row],['#]]=200,"BLOCO",INDEX(composicoes[],MATCH(orcCenario3[[#This Row],[CÓDIGO]],composicoes[CÓDIGO],0),MATCH(orcCenario3[[#Headers],[DESCRIÇÃO]],composicoes[#Headers],0))))</f>
        <v>ARMAÇÃO DE ESTRUTURAS DIVERSAS DE CONCRETO ARMADO, EXCETO VIGAS, PILARES, LAJES E FUNDAÇÕES, UTILIZANDO AÇO CA-50 DE 20,0 MM - MONTAGEM. AF_06/2022</v>
      </c>
      <c r="F29" s="1" t="str">
        <f>IFERROR(INDEX(composicoes[],MATCH(orcCenario3[[#This Row],[CÓDIGO]],composicoes[CÓDIGO],0),MATCH(orcCenario3[[#Headers],[UN.]],composicoes[#Headers],0)),"")</f>
        <v>KG</v>
      </c>
      <c r="G29" s="4">
        <f ca="1">IF(orcCenario3[[#This Row],[CÓDIGO]]="","",quantitativo(orcCenario3[[#This Row],[CÓDIGO]],orcCenario3[[#This Row],['#]],CENÁRIOS!$M$3,CENÁRIOS!$M$4,cenario3[]))</f>
        <v>74.231122015346358</v>
      </c>
      <c r="H29" s="40">
        <f>IFERROR(INDEX(composicoes[],MATCH(orcCenario3[[#This Row],[CÓDIGO]],composicoes[CÓDIGO],0),MATCH(orcCenario3[[#Headers],[ MÃO DE OBRA]],composicoes[#Headers],0)),"")</f>
        <v>0.65</v>
      </c>
      <c r="I29" s="40">
        <f>IFERROR(INDEX(composicoes[],MATCH(orcCenario3[[#This Row],[CÓDIGO]],composicoes[CÓDIGO],0),MATCH(orcCenario3[[#Headers],[MATERIAL]],composicoes[#Headers],0)),"")</f>
        <v>10.56</v>
      </c>
      <c r="J29" s="40">
        <f>IFERROR(INDEX(composicoes[],MATCH(orcCenario3[[#This Row],[CÓDIGO]],composicoes[CÓDIGO],0),MATCH(orcCenario3[[#Headers],[EQUIPAMENTO]],composicoes[#Headers],0)),"")</f>
        <v>0</v>
      </c>
      <c r="K29" s="40">
        <f>IF(orcCenario3[[#This Row],[ MÃO DE OBRA]]="","",SUM(orcCenario3[[#This Row],[ MÃO DE OBRA]:[EQUIPAMENTO]]))</f>
        <v>11.21</v>
      </c>
      <c r="L29" s="23">
        <f>IF(orcCenario3[[#This Row],[CUSTO UNITÁRIO]]="","",CENÁRIOS!$M$6)</f>
        <v>0.25</v>
      </c>
      <c r="M29" s="40">
        <f ca="1">IF(orcCenario3[[#This Row],[ MÃO DE OBRA]]&lt;&gt;"",orcCenario3[[#This Row],[QUANTIDADE]]*orcCenario3[[#This Row],[ MÃO DE OBRA]]*(1+orcCenario3[[#This Row],[BDI]]),SUMIFS(orcCenario3[CUSTO MÃO DE OBRA],orcCenario3['#],"&gt;"&amp;orcCenario3[[#This Row],['#]],orcCenario3['#],"&lt;"&amp;orcCenario3[[#This Row],['#]]+100))</f>
        <v>60.312786637468918</v>
      </c>
      <c r="N29" s="40">
        <f ca="1">IF(orcCenario3[[#This Row],[MATERIAL]]&lt;&gt;"",orcCenario3[[#This Row],[QUANTIDADE]]*orcCenario3[[#This Row],[MATERIAL]]*(1+orcCenario3[[#This Row],[BDI]]),SUMIFS(orcCenario3[CUSTO MATERIAL],orcCenario3['#],"&gt;"&amp;orcCenario3[[#This Row],['#]],orcCenario3['#],"&lt;"&amp;orcCenario3[[#This Row],['#]]+100))</f>
        <v>979.85081060257198</v>
      </c>
      <c r="O29" s="40">
        <f ca="1">IF(orcCenario3[EQUIPAMENTO]&lt;&gt;"",orcCenario3[[#This Row],[QUANTIDADE]]*orcCenario3[EQUIPAMENTO]*(1+orcCenario3[[#This Row],[BDI]]),SUMIFS(orcCenario3[CUSTO EQUIPAMENTO],orcCenario3['#],"&gt;"&amp;orcCenario3[[#This Row],['#]],orcCenario3['#],"&lt;"&amp;orcCenario3[[#This Row],['#]]+100))</f>
        <v>0</v>
      </c>
      <c r="P29" s="40">
        <f ca="1">SUM(orcCenario3[[#This Row],[CUSTO MÃO DE OBRA]:[CUSTO EQUIPAMENTO]])</f>
        <v>1040.1635972400409</v>
      </c>
      <c r="Q29" s="64" t="str">
        <f ca="1">IF(orcCenario3[[#This Row],[QUANTIDADE]]=0,"Não","Sim")</f>
        <v>Sim</v>
      </c>
    </row>
    <row r="30" spans="2:17" ht="45" x14ac:dyDescent="0.25">
      <c r="B30" s="49">
        <v>209</v>
      </c>
      <c r="C30" s="49">
        <f ca="1">IF(orcCenario3[[#This Row],[DESCRIÇÃO]]="ESTACAS",100,IF(orcCenario3[[#This Row],[DESCRIÇÃO]]="BLOCO",200,orcCenario3[[#This Row],['#]]-COUNTIFS(orcCenario3[QUANTIDADE],0,orcCenario3['#],"&lt;"&amp;orcCenario3[[#This Row],['#]],orcCenario3['#],"&gt;"&amp;ROUNDDOWN(orcCenario3[[#This Row],['#]],-2))))</f>
        <v>208</v>
      </c>
      <c r="D30" s="1">
        <v>92924</v>
      </c>
      <c r="E30" s="39" t="str">
        <f>IF(orcCenario3[[#This Row],['#]]=100,"ESTACAS",IF(orcCenario3[[#This Row],['#]]=200,"BLOCO",INDEX(composicoes[],MATCH(orcCenario3[[#This Row],[CÓDIGO]],composicoes[CÓDIGO],0),MATCH(orcCenario3[[#Headers],[DESCRIÇÃO]],composicoes[#Headers],0))))</f>
        <v>ARMAÇÃO DE ESTRUTURAS DIVERSAS DE CONCRETO ARMADO, EXCETO VIGAS, PILARES, LAJES E FUNDAÇÕES, UTILIZANDO AÇO CA-50 DE 25,0 MM - MONTAGEM. AF_06/2022</v>
      </c>
      <c r="F30" s="1" t="str">
        <f>IFERROR(INDEX(composicoes[],MATCH(orcCenario3[[#This Row],[CÓDIGO]],composicoes[CÓDIGO],0),MATCH(orcCenario3[[#Headers],[UN.]],composicoes[#Headers],0)),"")</f>
        <v>KG</v>
      </c>
      <c r="G30" s="4">
        <f ca="1">IF(orcCenario3[[#This Row],[CÓDIGO]]="","",quantitativo(orcCenario3[[#This Row],[CÓDIGO]],orcCenario3[[#This Row],['#]],CENÁRIOS!$M$3,CENÁRIOS!$M$4,cenario3[]))</f>
        <v>29.28553401768233</v>
      </c>
      <c r="H30" s="40">
        <f>IFERROR(INDEX(composicoes[],MATCH(orcCenario3[[#This Row],[CÓDIGO]],composicoes[CÓDIGO],0),MATCH(orcCenario3[[#Headers],[ MÃO DE OBRA]],composicoes[#Headers],0)),"")</f>
        <v>0.51</v>
      </c>
      <c r="I30" s="40">
        <f>IFERROR(INDEX(composicoes[],MATCH(orcCenario3[[#This Row],[CÓDIGO]],composicoes[CÓDIGO],0),MATCH(orcCenario3[[#Headers],[MATERIAL]],composicoes[#Headers],0)),"")</f>
        <v>10.49</v>
      </c>
      <c r="J30" s="40">
        <f>IFERROR(INDEX(composicoes[],MATCH(orcCenario3[[#This Row],[CÓDIGO]],composicoes[CÓDIGO],0),MATCH(orcCenario3[[#Headers],[EQUIPAMENTO]],composicoes[#Headers],0)),"")</f>
        <v>0</v>
      </c>
      <c r="K30" s="40">
        <f>IF(orcCenario3[[#This Row],[ MÃO DE OBRA]]="","",SUM(orcCenario3[[#This Row],[ MÃO DE OBRA]:[EQUIPAMENTO]]))</f>
        <v>11</v>
      </c>
      <c r="L30" s="23">
        <f>IF(orcCenario3[[#This Row],[CUSTO UNITÁRIO]]="","",CENÁRIOS!$M$6)</f>
        <v>0.25</v>
      </c>
      <c r="M30" s="40">
        <f ca="1">IF(orcCenario3[[#This Row],[ MÃO DE OBRA]]&lt;&gt;"",orcCenario3[[#This Row],[QUANTIDADE]]*orcCenario3[[#This Row],[ MÃO DE OBRA]]*(1+orcCenario3[[#This Row],[BDI]]),SUMIFS(orcCenario3[CUSTO MÃO DE OBRA],orcCenario3['#],"&gt;"&amp;orcCenario3[[#This Row],['#]],orcCenario3['#],"&lt;"&amp;orcCenario3[[#This Row],['#]]+100))</f>
        <v>18.669527936272484</v>
      </c>
      <c r="N30" s="40">
        <f ca="1">IF(orcCenario3[[#This Row],[MATERIAL]]&lt;&gt;"",orcCenario3[[#This Row],[QUANTIDADE]]*orcCenario3[[#This Row],[MATERIAL]]*(1+orcCenario3[[#This Row],[BDI]]),SUMIFS(orcCenario3[CUSTO MATERIAL],orcCenario3['#],"&gt;"&amp;orcCenario3[[#This Row],['#]],orcCenario3['#],"&lt;"&amp;orcCenario3[[#This Row],['#]]+100))</f>
        <v>384.00656480685961</v>
      </c>
      <c r="O30" s="40">
        <f ca="1">IF(orcCenario3[EQUIPAMENTO]&lt;&gt;"",orcCenario3[[#This Row],[QUANTIDADE]]*orcCenario3[EQUIPAMENTO]*(1+orcCenario3[[#This Row],[BDI]]),SUMIFS(orcCenario3[CUSTO EQUIPAMENTO],orcCenario3['#],"&gt;"&amp;orcCenario3[[#This Row],['#]],orcCenario3['#],"&lt;"&amp;orcCenario3[[#This Row],['#]]+100))</f>
        <v>0</v>
      </c>
      <c r="P30" s="40">
        <f ca="1">SUM(orcCenario3[[#This Row],[CUSTO MÃO DE OBRA]:[CUSTO EQUIPAMENTO]])</f>
        <v>402.67609274313207</v>
      </c>
      <c r="Q30" s="64" t="str">
        <f ca="1">IF(orcCenario3[[#This Row],[QUANTIDADE]]=0,"Não","Sim")</f>
        <v>Sim</v>
      </c>
    </row>
    <row r="31" spans="2:17" ht="30" x14ac:dyDescent="0.25">
      <c r="B31" s="49">
        <v>210</v>
      </c>
      <c r="C31" s="49">
        <f ca="1">IF(orcCenario3[[#This Row],[DESCRIÇÃO]]="ESTACAS",100,IF(orcCenario3[[#This Row],[DESCRIÇÃO]]="BLOCO",200,orcCenario3[[#This Row],['#]]-COUNTIFS(orcCenario3[QUANTIDADE],0,orcCenario3['#],"&lt;"&amp;orcCenario3[[#This Row],['#]],orcCenario3['#],"&gt;"&amp;ROUNDDOWN(orcCenario3[[#This Row],['#]],-2))))</f>
        <v>209</v>
      </c>
      <c r="D31" s="1">
        <v>96534</v>
      </c>
      <c r="E31" s="39" t="str">
        <f>IF(orcCenario3[[#This Row],['#]]=100,"ESTACAS",IF(orcCenario3[[#This Row],['#]]=200,"BLOCO",INDEX(composicoes[],MATCH(orcCenario3[[#This Row],[CÓDIGO]],composicoes[CÓDIGO],0),MATCH(orcCenario3[[#Headers],[DESCRIÇÃO]],composicoes[#Headers],0))))</f>
        <v>FABRICAÇÃO, MONTAGEM E DESMONTAGEM DE FÔRMA PARA BLOCO DE COROAMENTO, EM MADEIRA SERRADA, E=25 MM, 4 UTILIZAÇÕES. AF_06/2017</v>
      </c>
      <c r="F31" s="1" t="str">
        <f>IFERROR(INDEX(composicoes[],MATCH(orcCenario3[[#This Row],[CÓDIGO]],composicoes[CÓDIGO],0),MATCH(orcCenario3[[#Headers],[UN.]],composicoes[#Headers],0)),"")</f>
        <v>M²</v>
      </c>
      <c r="G31" s="4">
        <f ca="1">IF(orcCenario3[[#This Row],[CÓDIGO]]="","",quantitativo(orcCenario3[[#This Row],[CÓDIGO]],orcCenario3[[#This Row],['#]],CENÁRIOS!$M$3,CENÁRIOS!$M$4,cenario3[]))</f>
        <v>14.159999999999998</v>
      </c>
      <c r="H31" s="40">
        <f>IFERROR(INDEX(composicoes[],MATCH(orcCenario3[[#This Row],[CÓDIGO]],composicoes[CÓDIGO],0),MATCH(orcCenario3[[#Headers],[ MÃO DE OBRA]],composicoes[#Headers],0)),"")</f>
        <v>39.979999999999997</v>
      </c>
      <c r="I31" s="40">
        <f>IFERROR(INDEX(composicoes[],MATCH(orcCenario3[[#This Row],[CÓDIGO]],composicoes[CÓDIGO],0),MATCH(orcCenario3[[#Headers],[MATERIAL]],composicoes[#Headers],0)),"")</f>
        <v>61.79</v>
      </c>
      <c r="J31" s="40">
        <f>IFERROR(INDEX(composicoes[],MATCH(orcCenario3[[#This Row],[CÓDIGO]],composicoes[CÓDIGO],0),MATCH(orcCenario3[[#Headers],[EQUIPAMENTO]],composicoes[#Headers],0)),"")</f>
        <v>0.01</v>
      </c>
      <c r="K31" s="40">
        <f>IF(orcCenario3[[#This Row],[ MÃO DE OBRA]]="","",SUM(orcCenario3[[#This Row],[ MÃO DE OBRA]:[EQUIPAMENTO]]))</f>
        <v>101.78</v>
      </c>
      <c r="L31" s="23">
        <f>IF(orcCenario3[[#This Row],[CUSTO UNITÁRIO]]="","",CENÁRIOS!$M$6)</f>
        <v>0.25</v>
      </c>
      <c r="M31" s="40">
        <f ca="1">IF(orcCenario3[[#This Row],[ MÃO DE OBRA]]&lt;&gt;"",orcCenario3[[#This Row],[QUANTIDADE]]*orcCenario3[[#This Row],[ MÃO DE OBRA]]*(1+orcCenario3[[#This Row],[BDI]]),SUMIFS(orcCenario3[CUSTO MÃO DE OBRA],orcCenario3['#],"&gt;"&amp;orcCenario3[[#This Row],['#]],orcCenario3['#],"&lt;"&amp;orcCenario3[[#This Row],['#]]+100))</f>
        <v>707.64599999999984</v>
      </c>
      <c r="N31" s="40">
        <f ca="1">IF(orcCenario3[[#This Row],[MATERIAL]]&lt;&gt;"",orcCenario3[[#This Row],[QUANTIDADE]]*orcCenario3[[#This Row],[MATERIAL]]*(1+orcCenario3[[#This Row],[BDI]]),SUMIFS(orcCenario3[CUSTO MATERIAL],orcCenario3['#],"&gt;"&amp;orcCenario3[[#This Row],['#]],orcCenario3['#],"&lt;"&amp;orcCenario3[[#This Row],['#]]+100))</f>
        <v>1093.683</v>
      </c>
      <c r="O31" s="40">
        <f ca="1">IF(orcCenario3[EQUIPAMENTO]&lt;&gt;"",orcCenario3[[#This Row],[QUANTIDADE]]*orcCenario3[EQUIPAMENTO]*(1+orcCenario3[[#This Row],[BDI]]),SUMIFS(orcCenario3[CUSTO EQUIPAMENTO],orcCenario3['#],"&gt;"&amp;orcCenario3[[#This Row],['#]],orcCenario3['#],"&lt;"&amp;orcCenario3[[#This Row],['#]]+100))</f>
        <v>0.17699999999999996</v>
      </c>
      <c r="P31" s="40">
        <f ca="1">SUM(orcCenario3[[#This Row],[CUSTO MÃO DE OBRA]:[CUSTO EQUIPAMENTO]])</f>
        <v>1801.5059999999996</v>
      </c>
      <c r="Q31" s="64" t="str">
        <f ca="1">IF(orcCenario3[[#This Row],[QUANTIDADE]]=0,"Não","Sim")</f>
        <v>Sim</v>
      </c>
    </row>
    <row r="32" spans="2:17" ht="30" hidden="1" x14ac:dyDescent="0.25">
      <c r="B32" s="49">
        <v>211</v>
      </c>
      <c r="C32" s="49">
        <f ca="1">IF(orcCenario3[[#This Row],[DESCRIÇÃO]]="ESTACAS",100,IF(orcCenario3[[#This Row],[DESCRIÇÃO]]="BLOCO",200,orcCenario3[[#This Row],['#]]-COUNTIFS(orcCenario3[QUANTIDADE],0,orcCenario3['#],"&lt;"&amp;orcCenario3[[#This Row],['#]],orcCenario3['#],"&gt;"&amp;ROUNDDOWN(orcCenario3[[#This Row],['#]],-2))))</f>
        <v>210</v>
      </c>
      <c r="D32" s="1">
        <v>94965</v>
      </c>
      <c r="E32" s="39" t="str">
        <f>IF(orcCenario3[[#This Row],['#]]=100,"ESTACAS",IF(orcCenario3[[#This Row],['#]]=200,"BLOCO",INDEX(composicoes[],MATCH(orcCenario3[[#This Row],[CÓDIGO]],composicoes[CÓDIGO],0),MATCH(orcCenario3[[#Headers],[DESCRIÇÃO]],composicoes[#Headers],0))))</f>
        <v>CONCRETO FCK = 25MPA, TRAÇO 1:2,3:2,7 (EM MASSA SECA DE CIMENTO/ AREIA MÉDIA/ BRITA 1) - PREPARO MECÂNICO COM BETONEIRA 400 L. AF_05/2021</v>
      </c>
      <c r="F32" s="1" t="str">
        <f>IFERROR(INDEX(composicoes[],MATCH(orcCenario3[[#This Row],[CÓDIGO]],composicoes[CÓDIGO],0),MATCH(orcCenario3[[#Headers],[UN.]],composicoes[#Headers],0)),"")</f>
        <v>M³</v>
      </c>
      <c r="G32" s="4">
        <f ca="1">IF(orcCenario3[[#This Row],[CÓDIGO]]="","",quantitativo(orcCenario3[[#This Row],[CÓDIGO]],orcCenario3[[#This Row],['#]],CENÁRIOS!$M$3,CENÁRIOS!$M$4,cenario3[]))</f>
        <v>0</v>
      </c>
      <c r="H32" s="40">
        <f>IFERROR(INDEX(composicoes[],MATCH(orcCenario3[[#This Row],[CÓDIGO]],composicoes[CÓDIGO],0),MATCH(orcCenario3[[#Headers],[ MÃO DE OBRA]],composicoes[#Headers],0)),"")</f>
        <v>57.3</v>
      </c>
      <c r="I32" s="40">
        <f>IFERROR(INDEX(composicoes[],MATCH(orcCenario3[[#This Row],[CÓDIGO]],composicoes[CÓDIGO],0),MATCH(orcCenario3[[#Headers],[MATERIAL]],composicoes[#Headers],0)),"")</f>
        <v>365.86</v>
      </c>
      <c r="J32" s="40">
        <f>IFERROR(INDEX(composicoes[],MATCH(orcCenario3[[#This Row],[CÓDIGO]],composicoes[CÓDIGO],0),MATCH(orcCenario3[[#Headers],[EQUIPAMENTO]],composicoes[#Headers],0)),"")</f>
        <v>1.31</v>
      </c>
      <c r="K32" s="40">
        <f>IF(orcCenario3[[#This Row],[ MÃO DE OBRA]]="","",SUM(orcCenario3[[#This Row],[ MÃO DE OBRA]:[EQUIPAMENTO]]))</f>
        <v>424.47</v>
      </c>
      <c r="L32" s="23">
        <f>IF(orcCenario3[[#This Row],[CUSTO UNITÁRIO]]="","",CENÁRIOS!$M$6)</f>
        <v>0.25</v>
      </c>
      <c r="M32" s="40">
        <f ca="1">IF(orcCenario3[[#This Row],[ MÃO DE OBRA]]&lt;&gt;"",orcCenario3[[#This Row],[QUANTIDADE]]*orcCenario3[[#This Row],[ MÃO DE OBRA]]*(1+orcCenario3[[#This Row],[BDI]]),SUMIFS(orcCenario3[CUSTO MÃO DE OBRA],orcCenario3['#],"&gt;"&amp;orcCenario3[[#This Row],['#]],orcCenario3['#],"&lt;"&amp;orcCenario3[[#This Row],['#]]+100))</f>
        <v>0</v>
      </c>
      <c r="N32" s="40">
        <f ca="1">IF(orcCenario3[[#This Row],[MATERIAL]]&lt;&gt;"",orcCenario3[[#This Row],[QUANTIDADE]]*orcCenario3[[#This Row],[MATERIAL]]*(1+orcCenario3[[#This Row],[BDI]]),SUMIFS(orcCenario3[CUSTO MATERIAL],orcCenario3['#],"&gt;"&amp;orcCenario3[[#This Row],['#]],orcCenario3['#],"&lt;"&amp;orcCenario3[[#This Row],['#]]+100))</f>
        <v>0</v>
      </c>
      <c r="O32" s="40">
        <f ca="1">IF(orcCenario3[EQUIPAMENTO]&lt;&gt;"",orcCenario3[[#This Row],[QUANTIDADE]]*orcCenario3[EQUIPAMENTO]*(1+orcCenario3[[#This Row],[BDI]]),SUMIFS(orcCenario3[CUSTO EQUIPAMENTO],orcCenario3['#],"&gt;"&amp;orcCenario3[[#This Row],['#]],orcCenario3['#],"&lt;"&amp;orcCenario3[[#This Row],['#]]+100))</f>
        <v>0</v>
      </c>
      <c r="P32" s="40">
        <f ca="1">SUM(orcCenario3[[#This Row],[CUSTO MÃO DE OBRA]:[CUSTO EQUIPAMENTO]])</f>
        <v>0</v>
      </c>
      <c r="Q32" s="64" t="str">
        <f ca="1">IF(orcCenario3[[#This Row],[QUANTIDADE]]=0,"Não","Sim")</f>
        <v>Não</v>
      </c>
    </row>
    <row r="33" spans="2:17" ht="30" x14ac:dyDescent="0.25">
      <c r="B33" s="49">
        <v>212</v>
      </c>
      <c r="C33" s="49">
        <f ca="1">IF(orcCenario3[[#This Row],[DESCRIÇÃO]]="ESTACAS",100,IF(orcCenario3[[#This Row],[DESCRIÇÃO]]="BLOCO",200,orcCenario3[[#This Row],['#]]-COUNTIFS(orcCenario3[QUANTIDADE],0,orcCenario3['#],"&lt;"&amp;orcCenario3[[#This Row],['#]],orcCenario3['#],"&gt;"&amp;ROUNDDOWN(orcCenario3[[#This Row],['#]],-2))))</f>
        <v>210</v>
      </c>
      <c r="D33" s="1">
        <v>94966</v>
      </c>
      <c r="E33" s="39" t="str">
        <f>IF(orcCenario3[[#This Row],['#]]=100,"ESTACAS",IF(orcCenario3[[#This Row],['#]]=200,"BLOCO",INDEX(composicoes[],MATCH(orcCenario3[[#This Row],[CÓDIGO]],composicoes[CÓDIGO],0),MATCH(orcCenario3[[#Headers],[DESCRIÇÃO]],composicoes[#Headers],0))))</f>
        <v>CONCRETO FCK = 30MPA, TRAÇO 1:2,1:2,5 (EM MASSA SECA DE CIMENTO/ AREIA MÉDIA/ BRITA 1) - PREPARO MECÂNICO COM BETONEIRA 400 L. AF_05/2021</v>
      </c>
      <c r="F33" s="1" t="str">
        <f>IFERROR(INDEX(composicoes[],MATCH(orcCenario3[[#This Row],[CÓDIGO]],composicoes[CÓDIGO],0),MATCH(orcCenario3[[#Headers],[UN.]],composicoes[#Headers],0)),"")</f>
        <v>M³</v>
      </c>
      <c r="G33" s="4">
        <f ca="1">IF(orcCenario3[[#This Row],[CÓDIGO]]="","",quantitativo(orcCenario3[[#This Row],[CÓDIGO]],orcCenario3[[#This Row],['#]],CENÁRIOS!$M$3,CENÁRIOS!$M$4,cenario3[]))</f>
        <v>9.7560000000000002</v>
      </c>
      <c r="H33" s="40">
        <f>IFERROR(INDEX(composicoes[],MATCH(orcCenario3[[#This Row],[CÓDIGO]],composicoes[CÓDIGO],0),MATCH(orcCenario3[[#Headers],[ MÃO DE OBRA]],composicoes[#Headers],0)),"")</f>
        <v>56.82</v>
      </c>
      <c r="I33" s="40">
        <f>IFERROR(INDEX(composicoes[],MATCH(orcCenario3[[#This Row],[CÓDIGO]],composicoes[CÓDIGO],0),MATCH(orcCenario3[[#Headers],[MATERIAL]],composicoes[#Headers],0)),"")</f>
        <v>381.4</v>
      </c>
      <c r="J33" s="40">
        <f>IFERROR(INDEX(composicoes[],MATCH(orcCenario3[[#This Row],[CÓDIGO]],composicoes[CÓDIGO],0),MATCH(orcCenario3[[#Headers],[EQUIPAMENTO]],composicoes[#Headers],0)),"")</f>
        <v>1.2999999999999998</v>
      </c>
      <c r="K33" s="40">
        <f>IF(orcCenario3[[#This Row],[ MÃO DE OBRA]]="","",SUM(orcCenario3[[#This Row],[ MÃO DE OBRA]:[EQUIPAMENTO]]))</f>
        <v>439.52</v>
      </c>
      <c r="L33" s="23">
        <f>IF(orcCenario3[[#This Row],[CUSTO UNITÁRIO]]="","",CENÁRIOS!$M$6)</f>
        <v>0.25</v>
      </c>
      <c r="M33" s="40">
        <f ca="1">IF(orcCenario3[[#This Row],[ MÃO DE OBRA]]&lt;&gt;"",orcCenario3[[#This Row],[QUANTIDADE]]*orcCenario3[[#This Row],[ MÃO DE OBRA]]*(1+orcCenario3[[#This Row],[BDI]]),SUMIFS(orcCenario3[CUSTO MÃO DE OBRA],orcCenario3['#],"&gt;"&amp;orcCenario3[[#This Row],['#]],orcCenario3['#],"&lt;"&amp;orcCenario3[[#This Row],['#]]+100))</f>
        <v>692.91989999999998</v>
      </c>
      <c r="N33" s="40">
        <f ca="1">IF(orcCenario3[[#This Row],[MATERIAL]]&lt;&gt;"",orcCenario3[[#This Row],[QUANTIDADE]]*orcCenario3[[#This Row],[MATERIAL]]*(1+orcCenario3[[#This Row],[BDI]]),SUMIFS(orcCenario3[CUSTO MATERIAL],orcCenario3['#],"&gt;"&amp;orcCenario3[[#This Row],['#]],orcCenario3['#],"&lt;"&amp;orcCenario3[[#This Row],['#]]+100))</f>
        <v>4651.1729999999998</v>
      </c>
      <c r="O33" s="40">
        <f ca="1">IF(orcCenario3[EQUIPAMENTO]&lt;&gt;"",orcCenario3[[#This Row],[QUANTIDADE]]*orcCenario3[EQUIPAMENTO]*(1+orcCenario3[[#This Row],[BDI]]),SUMIFS(orcCenario3[CUSTO EQUIPAMENTO],orcCenario3['#],"&gt;"&amp;orcCenario3[[#This Row],['#]],orcCenario3['#],"&lt;"&amp;orcCenario3[[#This Row],['#]]+100))</f>
        <v>15.853499999999999</v>
      </c>
      <c r="P33" s="40">
        <f ca="1">SUM(orcCenario3[[#This Row],[CUSTO MÃO DE OBRA]:[CUSTO EQUIPAMENTO]])</f>
        <v>5359.9463999999998</v>
      </c>
      <c r="Q33" s="64" t="str">
        <f ca="1">IF(orcCenario3[[#This Row],[QUANTIDADE]]=0,"Não","Sim")</f>
        <v>Sim</v>
      </c>
    </row>
    <row r="34" spans="2:17" ht="30" hidden="1" x14ac:dyDescent="0.25">
      <c r="B34" s="49">
        <v>213</v>
      </c>
      <c r="C34" s="49">
        <f ca="1">IF(orcCenario3[[#This Row],[DESCRIÇÃO]]="ESTACAS",100,IF(orcCenario3[[#This Row],[DESCRIÇÃO]]="BLOCO",200,orcCenario3[[#This Row],['#]]-COUNTIFS(orcCenario3[QUANTIDADE],0,orcCenario3['#],"&lt;"&amp;orcCenario3[[#This Row],['#]],orcCenario3['#],"&gt;"&amp;ROUNDDOWN(orcCenario3[[#This Row],['#]],-2))))</f>
        <v>211</v>
      </c>
      <c r="D34" s="1">
        <v>94967</v>
      </c>
      <c r="E34" s="39" t="str">
        <f>IF(orcCenario3[[#This Row],['#]]=100,"ESTACAS",IF(orcCenario3[[#This Row],['#]]=200,"BLOCO",INDEX(composicoes[],MATCH(orcCenario3[[#This Row],[CÓDIGO]],composicoes[CÓDIGO],0),MATCH(orcCenario3[[#Headers],[DESCRIÇÃO]],composicoes[#Headers],0))))</f>
        <v>CONCRETO FCK = 40MPA, TRAÇO 1:1,6:1,9 (EM MASSA SECA DE CIMENTO/ AREIA MÉDIA/ BRITA 1) - PREPARO MECÂNICO COM BETONEIRA 400 L. AF_05/2021</v>
      </c>
      <c r="F34" s="1" t="str">
        <f>IFERROR(INDEX(composicoes[],MATCH(orcCenario3[[#This Row],[CÓDIGO]],composicoes[CÓDIGO],0),MATCH(orcCenario3[[#Headers],[UN.]],composicoes[#Headers],0)),"")</f>
        <v>M³</v>
      </c>
      <c r="G34" s="4">
        <f ca="1">IF(orcCenario3[[#This Row],[CÓDIGO]]="","",quantitativo(orcCenario3[[#This Row],[CÓDIGO]],orcCenario3[[#This Row],['#]],CENÁRIOS!$M$3,CENÁRIOS!$M$4,cenario3[]))</f>
        <v>0</v>
      </c>
      <c r="H34" s="40">
        <f>IFERROR(INDEX(composicoes[],MATCH(orcCenario3[[#This Row],[CÓDIGO]],composicoes[CÓDIGO],0),MATCH(orcCenario3[[#Headers],[ MÃO DE OBRA]],composicoes[#Headers],0)),"")</f>
        <v>60.4</v>
      </c>
      <c r="I34" s="40">
        <f>IFERROR(INDEX(composicoes[],MATCH(orcCenario3[[#This Row],[CÓDIGO]],composicoes[CÓDIGO],0),MATCH(orcCenario3[[#Headers],[MATERIAL]],composicoes[#Headers],0)),"")</f>
        <v>443.17</v>
      </c>
      <c r="J34" s="40">
        <f>IFERROR(INDEX(composicoes[],MATCH(orcCenario3[[#This Row],[CÓDIGO]],composicoes[CÓDIGO],0),MATCH(orcCenario3[[#Headers],[EQUIPAMENTO]],composicoes[#Headers],0)),"")</f>
        <v>1.38</v>
      </c>
      <c r="K34" s="40">
        <f>IF(orcCenario3[[#This Row],[ MÃO DE OBRA]]="","",SUM(orcCenario3[[#This Row],[ MÃO DE OBRA]:[EQUIPAMENTO]]))</f>
        <v>504.95</v>
      </c>
      <c r="L34" s="23">
        <f>IF(orcCenario3[[#This Row],[CUSTO UNITÁRIO]]="","",CENÁRIOS!$M$6)</f>
        <v>0.25</v>
      </c>
      <c r="M34" s="40">
        <f ca="1">IF(orcCenario3[[#This Row],[ MÃO DE OBRA]]&lt;&gt;"",orcCenario3[[#This Row],[QUANTIDADE]]*orcCenario3[[#This Row],[ MÃO DE OBRA]]*(1+orcCenario3[[#This Row],[BDI]]),SUMIFS(orcCenario3[CUSTO MÃO DE OBRA],orcCenario3['#],"&gt;"&amp;orcCenario3[[#This Row],['#]],orcCenario3['#],"&lt;"&amp;orcCenario3[[#This Row],['#]]+100))</f>
        <v>0</v>
      </c>
      <c r="N34" s="40">
        <f ca="1">IF(orcCenario3[[#This Row],[MATERIAL]]&lt;&gt;"",orcCenario3[[#This Row],[QUANTIDADE]]*orcCenario3[[#This Row],[MATERIAL]]*(1+orcCenario3[[#This Row],[BDI]]),SUMIFS(orcCenario3[CUSTO MATERIAL],orcCenario3['#],"&gt;"&amp;orcCenario3[[#This Row],['#]],orcCenario3['#],"&lt;"&amp;orcCenario3[[#This Row],['#]]+100))</f>
        <v>0</v>
      </c>
      <c r="O34" s="40">
        <f ca="1">IF(orcCenario3[EQUIPAMENTO]&lt;&gt;"",orcCenario3[[#This Row],[QUANTIDADE]]*orcCenario3[EQUIPAMENTO]*(1+orcCenario3[[#This Row],[BDI]]),SUMIFS(orcCenario3[CUSTO EQUIPAMENTO],orcCenario3['#],"&gt;"&amp;orcCenario3[[#This Row],['#]],orcCenario3['#],"&lt;"&amp;orcCenario3[[#This Row],['#]]+100))</f>
        <v>0</v>
      </c>
      <c r="P34" s="40">
        <f ca="1">SUM(orcCenario3[[#This Row],[CUSTO MÃO DE OBRA]:[CUSTO EQUIPAMENTO]])</f>
        <v>0</v>
      </c>
      <c r="Q34" s="64" t="str">
        <f ca="1">IF(orcCenario3[[#This Row],[QUANTIDADE]]=0,"Não","Sim")</f>
        <v>Não</v>
      </c>
    </row>
    <row r="35" spans="2:17" ht="30" x14ac:dyDescent="0.25">
      <c r="B35" s="49">
        <v>214</v>
      </c>
      <c r="C35" s="49">
        <f ca="1">IF(orcCenario3[[#This Row],[DESCRIÇÃO]]="ESTACAS",100,IF(orcCenario3[[#This Row],[DESCRIÇÃO]]="BLOCO",200,orcCenario3[[#This Row],['#]]-COUNTIFS(orcCenario3[QUANTIDADE],0,orcCenario3['#],"&lt;"&amp;orcCenario3[[#This Row],['#]],orcCenario3['#],"&gt;"&amp;ROUNDDOWN(orcCenario3[[#This Row],['#]],-2))))</f>
        <v>211</v>
      </c>
      <c r="D35" s="1">
        <v>103673</v>
      </c>
      <c r="E35" s="39" t="str">
        <f>IF(orcCenario3[[#This Row],['#]]=100,"ESTACAS",IF(orcCenario3[[#This Row],['#]]=200,"BLOCO",INDEX(composicoes[],MATCH(orcCenario3[[#This Row],[CÓDIGO]],composicoes[CÓDIGO],0),MATCH(orcCenario3[[#Headers],[DESCRIÇÃO]],composicoes[#Headers],0))))</f>
        <v>LANÇAMENTO COM USO DE BOMBA, ADENSAMENTO E ACABAMENTO DE CONCRETO EM ESTRUTURAS. AF_02/2022</v>
      </c>
      <c r="F35" s="1" t="str">
        <f>IFERROR(INDEX(composicoes[],MATCH(orcCenario3[[#This Row],[CÓDIGO]],composicoes[CÓDIGO],0),MATCH(orcCenario3[[#Headers],[UN.]],composicoes[#Headers],0)),"")</f>
        <v>M³</v>
      </c>
      <c r="G35" s="4">
        <f ca="1">IF(orcCenario3[[#This Row],[CÓDIGO]]="","",quantitativo(orcCenario3[[#This Row],[CÓDIGO]],orcCenario3[[#This Row],['#]],CENÁRIOS!$M$3,CENÁRIOS!$M$4,cenario3[]))</f>
        <v>9.7560000000000002</v>
      </c>
      <c r="H35" s="40">
        <f>IFERROR(INDEX(composicoes[],MATCH(orcCenario3[[#This Row],[CÓDIGO]],composicoes[CÓDIGO],0),MATCH(orcCenario3[[#Headers],[ MÃO DE OBRA]],composicoes[#Headers],0)),"")</f>
        <v>29.75</v>
      </c>
      <c r="I35" s="40">
        <f>IFERROR(INDEX(composicoes[],MATCH(orcCenario3[[#This Row],[CÓDIGO]],composicoes[CÓDIGO],0),MATCH(orcCenario3[[#Headers],[MATERIAL]],composicoes[#Headers],0)),"")</f>
        <v>13.78</v>
      </c>
      <c r="J35" s="40">
        <f>IFERROR(INDEX(composicoes[],MATCH(orcCenario3[[#This Row],[CÓDIGO]],composicoes[CÓDIGO],0),MATCH(orcCenario3[[#Headers],[EQUIPAMENTO]],composicoes[#Headers],0)),"")</f>
        <v>0.15</v>
      </c>
      <c r="K35" s="40">
        <f>IF(orcCenario3[[#This Row],[ MÃO DE OBRA]]="","",SUM(orcCenario3[[#This Row],[ MÃO DE OBRA]:[EQUIPAMENTO]]))</f>
        <v>43.68</v>
      </c>
      <c r="L35" s="23">
        <f>IF(orcCenario3[[#This Row],[CUSTO UNITÁRIO]]="","",CENÁRIOS!$M$6)</f>
        <v>0.25</v>
      </c>
      <c r="M35" s="40">
        <f ca="1">IF(orcCenario3[[#This Row],[ MÃO DE OBRA]]&lt;&gt;"",orcCenario3[[#This Row],[QUANTIDADE]]*orcCenario3[[#This Row],[ MÃO DE OBRA]]*(1+orcCenario3[[#This Row],[BDI]]),SUMIFS(orcCenario3[CUSTO MÃO DE OBRA],orcCenario3['#],"&gt;"&amp;orcCenario3[[#This Row],['#]],orcCenario3['#],"&lt;"&amp;orcCenario3[[#This Row],['#]]+100))</f>
        <v>362.80124999999998</v>
      </c>
      <c r="N35" s="40">
        <f ca="1">IF(orcCenario3[[#This Row],[MATERIAL]]&lt;&gt;"",orcCenario3[[#This Row],[QUANTIDADE]]*orcCenario3[[#This Row],[MATERIAL]]*(1+orcCenario3[[#This Row],[BDI]]),SUMIFS(orcCenario3[CUSTO MATERIAL],orcCenario3['#],"&gt;"&amp;orcCenario3[[#This Row],['#]],orcCenario3['#],"&lt;"&amp;orcCenario3[[#This Row],['#]]+100))</f>
        <v>168.0471</v>
      </c>
      <c r="O35" s="40">
        <f ca="1">IF(orcCenario3[EQUIPAMENTO]&lt;&gt;"",orcCenario3[[#This Row],[QUANTIDADE]]*orcCenario3[EQUIPAMENTO]*(1+orcCenario3[[#This Row],[BDI]]),SUMIFS(orcCenario3[CUSTO EQUIPAMENTO],orcCenario3['#],"&gt;"&amp;orcCenario3[[#This Row],['#]],orcCenario3['#],"&lt;"&amp;orcCenario3[[#This Row],['#]]+100))</f>
        <v>1.82925</v>
      </c>
      <c r="P35" s="40">
        <f ca="1">SUM(orcCenario3[[#This Row],[CUSTO MÃO DE OBRA]:[CUSTO EQUIPAMENTO]])</f>
        <v>532.67759999999998</v>
      </c>
      <c r="Q35" s="64" t="str">
        <f ca="1">IF(orcCenario3[[#This Row],[QUANTIDADE]]=0,"Não","Sim")</f>
        <v>Sim</v>
      </c>
    </row>
    <row r="36" spans="2:17" x14ac:dyDescent="0.25">
      <c r="B36" s="1" t="s">
        <v>261</v>
      </c>
      <c r="E36" s="39"/>
      <c r="K36" s="50"/>
      <c r="L36" s="23"/>
      <c r="M36" s="50">
        <f ca="1">SUM(orcCenario3[CUSTO MÃO DE OBRA])/2</f>
        <v>7508.8190485165824</v>
      </c>
      <c r="N36" s="50">
        <f ca="1">SUM(orcCenario3[CUSTO MATERIAL])/2</f>
        <v>21093.013161991374</v>
      </c>
      <c r="O36" s="50">
        <f ca="1">SUM(orcCenario3[CUSTO EQUIPAMENTO])/2</f>
        <v>4294.714649790003</v>
      </c>
      <c r="P36" s="50">
        <f ca="1">SUM(orcCenario3[CUSTO TOTAL])/2</f>
        <v>32896.546860297953</v>
      </c>
    </row>
    <row r="37" spans="2:17" x14ac:dyDescent="0.25"/>
  </sheetData>
  <conditionalFormatting sqref="B4:Q35">
    <cfRule type="expression" dxfId="7" priority="1">
      <formula>$C4/100=ROUND($C4/100,0)</formula>
    </cfRule>
  </conditionalFormatting>
  <pageMargins left="0.511811024" right="0.511811024" top="0.78740157499999996" bottom="0.78740157499999996" header="0.31496062000000002" footer="0.31496062000000002"/>
  <pageSetup paperSize="9" scale="47" orientation="landscape"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E1CFE-83B8-4997-82E9-E5823CBE8034}">
  <sheetPr codeName="resumo"/>
  <dimension ref="A1:F11"/>
  <sheetViews>
    <sheetView showGridLines="0" zoomScaleNormal="100" workbookViewId="0">
      <selection activeCell="C3" sqref="C3"/>
    </sheetView>
  </sheetViews>
  <sheetFormatPr defaultColWidth="0" defaultRowHeight="15" zeroHeight="1" x14ac:dyDescent="0.25"/>
  <cols>
    <col min="1" max="1" width="2.7109375" style="1" customWidth="1"/>
    <col min="2" max="2" width="15" style="1" bestFit="1" customWidth="1"/>
    <col min="3" max="5" width="16.42578125" style="1" bestFit="1" customWidth="1"/>
    <col min="6" max="6" width="2.7109375" style="1" customWidth="1"/>
    <col min="7" max="16384" width="9.140625" style="1" hidden="1"/>
  </cols>
  <sheetData>
    <row r="1" spans="2:5" x14ac:dyDescent="0.25"/>
    <row r="2" spans="2:5" x14ac:dyDescent="0.25">
      <c r="B2" s="1" t="s">
        <v>267</v>
      </c>
      <c r="C2" s="1" t="s">
        <v>266</v>
      </c>
      <c r="D2" s="1" t="s">
        <v>271</v>
      </c>
      <c r="E2" s="1" t="s">
        <v>272</v>
      </c>
    </row>
    <row r="3" spans="2:5" x14ac:dyDescent="0.25">
      <c r="B3" s="1" t="s">
        <v>268</v>
      </c>
      <c r="C3" s="57">
        <f ca="1">INDEX(orcCenario1[#Totals],1,MATCH("Custo "&amp;resumoTotal[[#This Row],[Orçamento]],orcCenario1[#Headers],0))</f>
        <v>8006.4117710252995</v>
      </c>
      <c r="D3" s="57">
        <f ca="1">INDEX(orcCenario2[#Totals],1,MATCH("Custo "&amp;resumoTotal[[#This Row],[Orçamento]],orcCenario2[#Headers],0))</f>
        <v>13955.964465882391</v>
      </c>
      <c r="E3" s="57">
        <f ca="1">INDEX(orcCenario3[#Totals],1,MATCH("Custo "&amp;resumoTotal[[#This Row],[Orçamento]],orcCenario3[#Headers],0))</f>
        <v>7508.8190485165824</v>
      </c>
    </row>
    <row r="4" spans="2:5" x14ac:dyDescent="0.25">
      <c r="B4" s="1" t="s">
        <v>269</v>
      </c>
      <c r="C4" s="57">
        <f ca="1">INDEX(orcCenario1[#Totals],1,MATCH("Custo "&amp;resumoTotal[[#This Row],[Orçamento]],orcCenario1[#Headers],0))</f>
        <v>20815.475575560256</v>
      </c>
      <c r="D4" s="57">
        <f ca="1">INDEX(orcCenario2[#Totals],1,MATCH("Custo "&amp;resumoTotal[[#This Row],[Orçamento]],orcCenario2[#Headers],0))</f>
        <v>53529.821460555402</v>
      </c>
      <c r="E4" s="57">
        <f ca="1">INDEX(orcCenario3[#Totals],1,MATCH("Custo "&amp;resumoTotal[[#This Row],[Orçamento]],orcCenario3[#Headers],0))</f>
        <v>21093.013161991374</v>
      </c>
    </row>
    <row r="5" spans="2:5" x14ac:dyDescent="0.25">
      <c r="B5" s="1" t="s">
        <v>270</v>
      </c>
      <c r="C5" s="57">
        <f ca="1">INDEX(orcCenario1[#Totals],1,MATCH("Custo "&amp;resumoTotal[[#This Row],[Orçamento]],orcCenario1[#Headers],0))</f>
        <v>1696.6769267557343</v>
      </c>
      <c r="D5" s="57">
        <f ca="1">INDEX(orcCenario2[#Totals],1,MATCH("Custo "&amp;resumoTotal[[#This Row],[Orçamento]],orcCenario2[#Headers],0))</f>
        <v>1503.7393656966442</v>
      </c>
      <c r="E5" s="57">
        <f ca="1">INDEX(orcCenario3[#Totals],1,MATCH("Custo "&amp;resumoTotal[[#This Row],[Orçamento]],orcCenario3[#Headers],0))</f>
        <v>4294.714649790003</v>
      </c>
    </row>
    <row r="6" spans="2:5" x14ac:dyDescent="0.25">
      <c r="B6" s="1" t="s">
        <v>261</v>
      </c>
      <c r="C6" s="57">
        <f ca="1">INDEX(orcCenario1[#Totals],1,MATCH("Custo "&amp;resumoTotal[[#This Row],[Orçamento]],orcCenario1[#Headers],0))</f>
        <v>30518.56427334129</v>
      </c>
      <c r="D6" s="57">
        <f ca="1">INDEX(orcCenario2[#Totals],1,MATCH("Custo "&amp;resumoTotal[[#This Row],[Orçamento]],orcCenario2[#Headers],0))</f>
        <v>68989.525292134436</v>
      </c>
      <c r="E6" s="57">
        <f ca="1">INDEX(orcCenario3[#Totals],1,MATCH("Custo "&amp;resumoTotal[[#This Row],[Orçamento]],orcCenario3[#Headers],0))</f>
        <v>32896.546860297953</v>
      </c>
    </row>
    <row r="7" spans="2:5" ht="15.75" thickBot="1" x14ac:dyDescent="0.3"/>
    <row r="8" spans="2:5" ht="16.5" thickBot="1" x14ac:dyDescent="0.3">
      <c r="B8" s="52" t="s">
        <v>274</v>
      </c>
      <c r="C8" s="52" t="s">
        <v>266</v>
      </c>
      <c r="D8" s="52" t="s">
        <v>271</v>
      </c>
      <c r="E8" s="53" t="s">
        <v>272</v>
      </c>
    </row>
    <row r="9" spans="2:5" x14ac:dyDescent="0.25">
      <c r="B9" s="54" t="s">
        <v>275</v>
      </c>
      <c r="C9" s="59">
        <f ca="1">profMax(cenario1[])</f>
        <v>13</v>
      </c>
      <c r="D9" s="59">
        <f ca="1">profMax(cenario2[])</f>
        <v>12</v>
      </c>
      <c r="E9" s="60">
        <f ca="1">profMax(cenario3[])</f>
        <v>13</v>
      </c>
    </row>
    <row r="10" spans="2:5" x14ac:dyDescent="0.25">
      <c r="B10" s="55" t="s">
        <v>276</v>
      </c>
      <c r="C10" s="58">
        <f ca="1">SUMIF(orcCenario1[CÓDIGO],103673,orcCenario1[QUANTIDADE])</f>
        <v>26.06166394603099</v>
      </c>
      <c r="D10" s="58">
        <f ca="1">SUMIF(orcCenario2[CÓDIGO],103673,orcCenario2[QUANTIDADE])</f>
        <v>43.24030806371232</v>
      </c>
      <c r="E10" s="58">
        <f ca="1">SUMIF(orcCenario3[CÓDIGO],103673,orcCenario3[QUANTIDADE])</f>
        <v>25.495379194484848</v>
      </c>
    </row>
    <row r="11" spans="2:5" x14ac:dyDescent="0.25"/>
  </sheetData>
  <phoneticPr fontId="6" type="noConversion"/>
  <pageMargins left="0.511811024" right="0.511811024" top="0.78740157499999996" bottom="0.78740157499999996" header="0.31496062000000002" footer="0.31496062000000002"/>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6B749-F439-40A6-A1CD-4B8F52B77B95}">
  <sheetPr codeName="dashboard"/>
  <dimension ref="A1:Q38"/>
  <sheetViews>
    <sheetView showGridLines="0" showRowColHeaders="0" zoomScale="65" zoomScaleNormal="65" workbookViewId="0">
      <selection activeCell="Q38" sqref="A1:Q38"/>
    </sheetView>
  </sheetViews>
  <sheetFormatPr defaultColWidth="0" defaultRowHeight="15" zeroHeight="1" x14ac:dyDescent="0.2"/>
  <cols>
    <col min="1" max="17" width="9.140625" style="56" customWidth="1"/>
    <col min="18" max="16384" width="9.140625" style="56"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sheetData>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18</vt:i4>
      </vt:variant>
      <vt:variant>
        <vt:lpstr>Intervalos Nomeados</vt:lpstr>
      </vt:variant>
      <vt:variant>
        <vt:i4>4</vt:i4>
      </vt:variant>
    </vt:vector>
  </HeadingPairs>
  <TitlesOfParts>
    <vt:vector size="22" baseType="lpstr">
      <vt:lpstr>DADOS CAP. CARGA</vt:lpstr>
      <vt:lpstr>DADOS ESTACAS</vt:lpstr>
      <vt:lpstr>DADOS ARMADURA</vt:lpstr>
      <vt:lpstr>DADOS ORÇAMENTO</vt:lpstr>
      <vt:lpstr>SPT</vt:lpstr>
      <vt:lpstr>PILARES</vt:lpstr>
      <vt:lpstr>ESC. SEM FLUIDO</vt:lpstr>
      <vt:lpstr>ESC. COM FLUIDO</vt:lpstr>
      <vt:lpstr>HÉLICE CONTÍNUA</vt:lpstr>
      <vt:lpstr>TEC. VIÁVEL ESF</vt:lpstr>
      <vt:lpstr>TEC. VIÁVEL ECF</vt:lpstr>
      <vt:lpstr>TEC. VIÁVEL HC</vt:lpstr>
      <vt:lpstr>CENÁRIOS</vt:lpstr>
      <vt:lpstr>ORC CEN1</vt:lpstr>
      <vt:lpstr>ORC CEN2</vt:lpstr>
      <vt:lpstr>ORC CEN3</vt:lpstr>
      <vt:lpstr>RESUMO</vt:lpstr>
      <vt:lpstr>DASHBOARD</vt:lpstr>
      <vt:lpstr>Concreto</vt:lpstr>
      <vt:lpstr>Opcoes</vt:lpstr>
      <vt:lpstr>Solos</vt:lpstr>
      <vt:lpstr>Tipo_da_estaca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Vitor Hugo D'Orazio Bortoluzzi</dc:creator>
  <cp:lastModifiedBy>Vitor Hugo D'Orazio Bortoluzzi</cp:lastModifiedBy>
  <cp:lastPrinted>2023-04-01T01:12:48Z</cp:lastPrinted>
  <dcterms:created xsi:type="dcterms:W3CDTF">2023-01-12T19:21:35Z</dcterms:created>
  <dcterms:modified xsi:type="dcterms:W3CDTF">2023-04-05T20:14:01Z</dcterms:modified>
</cp:coreProperties>
</file>